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fileSharing readOnlyRecommended="1"/>
  <workbookPr filterPrivacy="1" codeName="ЭтаКнига"/>
  <xr:revisionPtr revIDLastSave="0" documentId="13_ncr:1_{2EE06C72-BF39-4FF3-A548-510510616DF8}" xr6:coauthVersionLast="45" xr6:coauthVersionMax="45" xr10:uidLastSave="{00000000-0000-0000-0000-000000000000}"/>
  <bookViews>
    <workbookView xWindow="28680" yWindow="-120" windowWidth="29040" windowHeight="15840" tabRatio="700" xr2:uid="{00000000-000D-0000-FFFF-FFFF00000000}"/>
  </bookViews>
  <sheets>
    <sheet name="декабрь 2024" sheetId="174" r:id="rId1"/>
    <sheet name="ноябрь 2024" sheetId="172" r:id="rId2"/>
    <sheet name="октябрь 2024" sheetId="170" r:id="rId3"/>
    <sheet name="сентябрь 2024" sheetId="168" r:id="rId4"/>
    <sheet name="август 2024" sheetId="166" r:id="rId5"/>
    <sheet name="июль 2024" sheetId="164" r:id="rId6"/>
    <sheet name="июнь 2024" sheetId="162" r:id="rId7"/>
    <sheet name="май 2024" sheetId="160" r:id="rId8"/>
    <sheet name="апрель 2024" sheetId="158" r:id="rId9"/>
    <sheet name="март 2024" sheetId="156" r:id="rId10"/>
    <sheet name="февраль 2024" sheetId="154" r:id="rId11"/>
    <sheet name="январь 2024" sheetId="153" r:id="rId12"/>
    <sheet name="справочник" sheetId="33" r:id="rId13"/>
    <sheet name="промеж.06" sheetId="36" state="hidden" r:id="rId14"/>
    <sheet name="промеж." sheetId="34" state="hidden" r:id="rId15"/>
    <sheet name="промеж.12.24" sheetId="175" r:id="rId16"/>
    <sheet name="промеж.11.24" sheetId="173" r:id="rId17"/>
    <sheet name="промеж.10.24" sheetId="171" r:id="rId18"/>
    <sheet name="промеж.09.24" sheetId="169" r:id="rId19"/>
    <sheet name="промеж.08.24" sheetId="167" r:id="rId20"/>
    <sheet name="промеж.07.24" sheetId="165" r:id="rId21"/>
    <sheet name="промеж.06.24" sheetId="163" r:id="rId22"/>
    <sheet name="промеж.05.24" sheetId="161" r:id="rId23"/>
    <sheet name="промеж.04.24" sheetId="159" r:id="rId24"/>
    <sheet name="промеж.03.24" sheetId="157" r:id="rId25"/>
    <sheet name="промеж.02.24" sheetId="155" r:id="rId26"/>
    <sheet name="промеж.01.24" sheetId="152" r:id="rId27"/>
  </sheets>
  <externalReferences>
    <externalReference r:id="rId28"/>
  </externalReferences>
  <definedNames>
    <definedName name="_xlnm._FilterDatabase" localSheetId="4" hidden="1">'август 2024'!$A$1:$T$109</definedName>
    <definedName name="_xlnm._FilterDatabase" localSheetId="8" hidden="1">'апрель 2024'!$D$1:$D$75</definedName>
    <definedName name="_xlnm._FilterDatabase" localSheetId="0" hidden="1">'декабрь 2024'!$D$1:$D$73</definedName>
    <definedName name="_xlnm._FilterDatabase" localSheetId="5" hidden="1">'июль 2024'!$D$1:$D$76</definedName>
    <definedName name="_xlnm._FilterDatabase" localSheetId="6" hidden="1">'июнь 2024'!$D$1:$D$79</definedName>
    <definedName name="_xlnm._FilterDatabase" localSheetId="7" hidden="1">'май 2024'!$D$1:$D$81</definedName>
    <definedName name="_xlnm._FilterDatabase" localSheetId="9" hidden="1">'март 2024'!$D$1:$D$160</definedName>
    <definedName name="_xlnm._FilterDatabase" localSheetId="1" hidden="1">'ноябрь 2024'!$D$1:$D$57</definedName>
    <definedName name="_xlnm._FilterDatabase" localSheetId="2" hidden="1">'октябрь 2024'!$D$1:$D$71</definedName>
    <definedName name="_xlnm._FilterDatabase" localSheetId="3" hidden="1">'сентябрь 2024'!$D$1:$D$69</definedName>
    <definedName name="_xlnm._FilterDatabase" localSheetId="10" hidden="1">'февраль 2024'!$D$1:$D$145</definedName>
    <definedName name="_xlnm._FilterDatabase" localSheetId="11" hidden="1">'январь 2024'!$D$1:$D$104</definedName>
    <definedName name="_xlnm.Print_Area" localSheetId="4">'август 2024'!$A$1:$R$103</definedName>
    <definedName name="_xlnm.Print_Area" localSheetId="8">'апрель 2024'!$A$1:$R$69</definedName>
    <definedName name="_xlnm.Print_Area" localSheetId="0">'декабрь 2024'!$A$1:$R$67</definedName>
    <definedName name="_xlnm.Print_Area" localSheetId="5">'июль 2024'!$A$1:$R$70</definedName>
    <definedName name="_xlnm.Print_Area" localSheetId="6">'июнь 2024'!$A$1:$R$73</definedName>
    <definedName name="_xlnm.Print_Area" localSheetId="7">'май 2024'!$A$1:$R$75</definedName>
    <definedName name="_xlnm.Print_Area" localSheetId="9">'март 2024'!$A$1:$R$154</definedName>
    <definedName name="_xlnm.Print_Area" localSheetId="1">'ноябрь 2024'!$A$1:$R$51</definedName>
    <definedName name="_xlnm.Print_Area" localSheetId="2">'октябрь 2024'!$A$1:$R$65</definedName>
    <definedName name="_xlnm.Print_Area" localSheetId="3">'сентябрь 2024'!$A$1:$R$63</definedName>
    <definedName name="_xlnm.Print_Area" localSheetId="10">'февраль 2024'!$A$1:$R$139</definedName>
    <definedName name="_xlnm.Print_Area" localSheetId="11">'январь 2024'!$A$1:$R$98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4" i="174" l="1"/>
  <c r="T60" i="174"/>
  <c r="T61" i="174"/>
  <c r="T62" i="174"/>
  <c r="T65" i="174"/>
  <c r="T66" i="174"/>
  <c r="T67" i="174"/>
  <c r="T54" i="174" l="1"/>
  <c r="T55" i="174"/>
  <c r="T56" i="174"/>
  <c r="T57" i="174"/>
  <c r="T58" i="174"/>
  <c r="T63" i="174"/>
  <c r="T59" i="174"/>
  <c r="T53" i="174" l="1"/>
  <c r="T49" i="174" l="1"/>
  <c r="T50" i="174"/>
  <c r="T51" i="174"/>
  <c r="T52" i="174"/>
  <c r="T45" i="174" l="1"/>
  <c r="T46" i="174"/>
  <c r="T42" i="174"/>
  <c r="T43" i="174"/>
  <c r="T44" i="174"/>
  <c r="T34" i="174" l="1"/>
  <c r="T35" i="174"/>
  <c r="T36" i="174"/>
  <c r="T37" i="174"/>
  <c r="T38" i="174"/>
  <c r="T41" i="174"/>
  <c r="T39" i="174" l="1"/>
  <c r="T40" i="174"/>
  <c r="T32" i="174" l="1"/>
  <c r="T33" i="174"/>
  <c r="T31" i="174" l="1"/>
  <c r="T30" i="174" l="1"/>
  <c r="T26" i="174"/>
  <c r="T23" i="174" l="1"/>
  <c r="T24" i="174"/>
  <c r="T25" i="174"/>
  <c r="T27" i="174"/>
  <c r="T28" i="174"/>
  <c r="T29" i="174"/>
  <c r="T20" i="174"/>
  <c r="T21" i="174"/>
  <c r="T48" i="174" l="1"/>
  <c r="T22" i="174" l="1"/>
  <c r="T8" i="174" l="1"/>
  <c r="T9" i="174"/>
  <c r="T10" i="174"/>
  <c r="T11" i="174"/>
  <c r="T12" i="174"/>
  <c r="T13" i="174"/>
  <c r="T14" i="174"/>
  <c r="T15" i="174"/>
  <c r="T16" i="174"/>
  <c r="T17" i="174"/>
  <c r="T18" i="174"/>
  <c r="T19" i="174"/>
  <c r="T6" i="174" l="1"/>
  <c r="T7" i="174"/>
  <c r="T47" i="174" l="1"/>
  <c r="T5" i="174" l="1"/>
  <c r="T40" i="172"/>
  <c r="T41" i="172"/>
  <c r="T42" i="172"/>
  <c r="T43" i="172"/>
  <c r="T44" i="172"/>
  <c r="T45" i="172"/>
  <c r="T46" i="172"/>
  <c r="T47" i="172"/>
  <c r="T48" i="172"/>
  <c r="T49" i="172"/>
  <c r="T50" i="172"/>
  <c r="T51" i="172"/>
  <c r="T5" i="172" l="1"/>
  <c r="T6" i="172"/>
  <c r="T7" i="172"/>
  <c r="T8" i="172"/>
  <c r="T9" i="172"/>
  <c r="T10" i="172"/>
  <c r="T11" i="172"/>
  <c r="T12" i="172"/>
  <c r="T13" i="172"/>
  <c r="T14" i="172"/>
  <c r="T15" i="172"/>
  <c r="P47" i="172"/>
  <c r="P48" i="172"/>
  <c r="P49" i="172"/>
  <c r="P50" i="172"/>
  <c r="P51" i="172"/>
  <c r="P46" i="172"/>
  <c r="P42" i="172"/>
  <c r="P43" i="172"/>
  <c r="P44" i="172"/>
  <c r="P45" i="172"/>
  <c r="P41" i="172"/>
  <c r="T33" i="172" l="1"/>
  <c r="T37" i="172" l="1"/>
  <c r="T36" i="172"/>
  <c r="T28" i="172"/>
  <c r="T29" i="172"/>
  <c r="T34" i="172"/>
  <c r="T35" i="172"/>
  <c r="T32" i="172"/>
  <c r="T30" i="172"/>
  <c r="T31" i="172"/>
  <c r="T38" i="172"/>
  <c r="T39" i="172"/>
  <c r="D1" i="175" l="1"/>
  <c r="B72" i="174"/>
  <c r="B71" i="174"/>
  <c r="B70" i="174"/>
  <c r="B68" i="174"/>
  <c r="D143" i="175" l="1"/>
  <c r="D98" i="175"/>
  <c r="D28" i="175"/>
  <c r="D38" i="175"/>
  <c r="D35" i="175"/>
  <c r="D34" i="175"/>
  <c r="D36" i="175"/>
  <c r="D37" i="175"/>
  <c r="D80" i="175"/>
  <c r="D155" i="175"/>
  <c r="D141" i="175"/>
  <c r="D4" i="175"/>
  <c r="D16" i="175"/>
  <c r="D11" i="175"/>
  <c r="D23" i="175"/>
  <c r="D6" i="175"/>
  <c r="D18" i="175"/>
  <c r="D30" i="175"/>
  <c r="D13" i="175"/>
  <c r="D25" i="175"/>
  <c r="D8" i="175"/>
  <c r="D20" i="175"/>
  <c r="D32" i="175"/>
  <c r="D15" i="175"/>
  <c r="D27" i="175"/>
  <c r="D17" i="175"/>
  <c r="D48" i="175"/>
  <c r="D24" i="175"/>
  <c r="D43" i="175"/>
  <c r="D7" i="175"/>
  <c r="D31" i="175"/>
  <c r="D50" i="175"/>
  <c r="D14" i="175"/>
  <c r="D45" i="175"/>
  <c r="D21" i="175"/>
  <c r="D40" i="175"/>
  <c r="D52" i="175"/>
  <c r="D22" i="175"/>
  <c r="D47" i="175"/>
  <c r="D5" i="175"/>
  <c r="D29" i="175"/>
  <c r="D42" i="175"/>
  <c r="D54" i="175"/>
  <c r="D19" i="175"/>
  <c r="D44" i="175"/>
  <c r="D9" i="175"/>
  <c r="D33" i="175"/>
  <c r="D46" i="175"/>
  <c r="D56" i="175"/>
  <c r="D68" i="175"/>
  <c r="D81" i="175"/>
  <c r="D39" i="175"/>
  <c r="D63" i="175"/>
  <c r="D75" i="175"/>
  <c r="D53" i="175"/>
  <c r="D58" i="175"/>
  <c r="D70" i="175"/>
  <c r="D12" i="175"/>
  <c r="D65" i="175"/>
  <c r="D77" i="175"/>
  <c r="D60" i="175"/>
  <c r="D72" i="175"/>
  <c r="D41" i="175"/>
  <c r="D55" i="175"/>
  <c r="D67" i="175"/>
  <c r="D79" i="175"/>
  <c r="D10" i="175"/>
  <c r="D64" i="175"/>
  <c r="D76" i="175"/>
  <c r="D59" i="175"/>
  <c r="D71" i="175"/>
  <c r="D26" i="175"/>
  <c r="D51" i="175"/>
  <c r="D66" i="175"/>
  <c r="D62" i="175"/>
  <c r="D89" i="175"/>
  <c r="D102" i="175"/>
  <c r="D84" i="175"/>
  <c r="D96" i="175"/>
  <c r="D73" i="175"/>
  <c r="D91" i="175"/>
  <c r="D104" i="175"/>
  <c r="D49" i="175"/>
  <c r="D86" i="175"/>
  <c r="D99" i="175"/>
  <c r="D93" i="175"/>
  <c r="D61" i="175"/>
  <c r="D88" i="175"/>
  <c r="D101" i="175"/>
  <c r="D85" i="175"/>
  <c r="D97" i="175"/>
  <c r="D74" i="175"/>
  <c r="D92" i="175"/>
  <c r="D105" i="175"/>
  <c r="D57" i="175"/>
  <c r="D87" i="175"/>
  <c r="D100" i="175"/>
  <c r="D95" i="175"/>
  <c r="D111" i="175"/>
  <c r="D123" i="175"/>
  <c r="D118" i="175"/>
  <c r="D130" i="175"/>
  <c r="D78" i="175"/>
  <c r="D113" i="175"/>
  <c r="D125" i="175"/>
  <c r="D83" i="175"/>
  <c r="D108" i="175"/>
  <c r="D120" i="175"/>
  <c r="D106" i="175"/>
  <c r="D115" i="175"/>
  <c r="D127" i="175"/>
  <c r="D94" i="175"/>
  <c r="D110" i="175"/>
  <c r="D122" i="175"/>
  <c r="D117" i="175"/>
  <c r="D129" i="175"/>
  <c r="D82" i="175"/>
  <c r="D119" i="175"/>
  <c r="D107" i="175"/>
  <c r="D114" i="175"/>
  <c r="D126" i="175"/>
  <c r="D90" i="175"/>
  <c r="D109" i="175"/>
  <c r="D121" i="175"/>
  <c r="D140" i="175"/>
  <c r="D152" i="175"/>
  <c r="D128" i="175"/>
  <c r="D135" i="175"/>
  <c r="D147" i="175"/>
  <c r="D103" i="175"/>
  <c r="D112" i="175"/>
  <c r="D142" i="175"/>
  <c r="D154" i="175"/>
  <c r="D137" i="175"/>
  <c r="D149" i="175"/>
  <c r="D124" i="175"/>
  <c r="D132" i="175"/>
  <c r="D144" i="175"/>
  <c r="D156" i="175"/>
  <c r="D139" i="175"/>
  <c r="D151" i="175"/>
  <c r="D69" i="175"/>
  <c r="D134" i="175"/>
  <c r="D146" i="175"/>
  <c r="D136" i="175"/>
  <c r="D148" i="175"/>
  <c r="D138" i="175"/>
  <c r="D150" i="175"/>
  <c r="D116" i="175"/>
  <c r="D131" i="175"/>
  <c r="D133" i="175"/>
  <c r="D145" i="175"/>
  <c r="D157" i="175"/>
  <c r="D3" i="175"/>
  <c r="D153" i="175"/>
  <c r="E1" i="175"/>
  <c r="E210" i="175"/>
  <c r="E186" i="175"/>
  <c r="E190" i="175"/>
  <c r="D215" i="175"/>
  <c r="D203" i="175"/>
  <c r="D220" i="175"/>
  <c r="D208" i="175"/>
  <c r="D213" i="175"/>
  <c r="D218" i="175"/>
  <c r="D206" i="175"/>
  <c r="D194" i="175"/>
  <c r="D211" i="175"/>
  <c r="D216" i="175"/>
  <c r="D221" i="175"/>
  <c r="D214" i="175"/>
  <c r="D202" i="175"/>
  <c r="D190" i="175"/>
  <c r="D219" i="175"/>
  <c r="D207" i="175"/>
  <c r="D195" i="175"/>
  <c r="D212" i="175"/>
  <c r="D217" i="175"/>
  <c r="D205" i="175"/>
  <c r="D193" i="175"/>
  <c r="D209" i="175"/>
  <c r="D186" i="175"/>
  <c r="D174" i="175"/>
  <c r="D204" i="175"/>
  <c r="D191" i="175"/>
  <c r="D182" i="175"/>
  <c r="D170" i="175"/>
  <c r="D192" i="175"/>
  <c r="D175" i="175"/>
  <c r="D169" i="175"/>
  <c r="D165" i="175"/>
  <c r="D199" i="175"/>
  <c r="D173" i="175"/>
  <c r="D198" i="175"/>
  <c r="D179" i="175"/>
  <c r="D168" i="175"/>
  <c r="D161" i="175"/>
  <c r="D196" i="175"/>
  <c r="D184" i="175"/>
  <c r="D197" i="175"/>
  <c r="D189" i="175"/>
  <c r="D185" i="175"/>
  <c r="D180" i="175"/>
  <c r="D210" i="175"/>
  <c r="D181" i="175"/>
  <c r="D176" i="175"/>
  <c r="D164" i="175"/>
  <c r="D172" i="175"/>
  <c r="D187" i="175"/>
  <c r="D177" i="175"/>
  <c r="D178" i="175"/>
  <c r="D201" i="175"/>
  <c r="D200" i="175"/>
  <c r="D188" i="175"/>
  <c r="D183" i="175"/>
  <c r="D158" i="175"/>
  <c r="D166" i="175"/>
  <c r="D162" i="175"/>
  <c r="D159" i="175"/>
  <c r="D160" i="175"/>
  <c r="D171" i="175"/>
  <c r="D163" i="175"/>
  <c r="D167" i="175"/>
  <c r="B69" i="174"/>
  <c r="B73" i="174" s="1"/>
  <c r="T68" i="174"/>
  <c r="E220" i="175" l="1"/>
  <c r="E98" i="175"/>
  <c r="E28" i="175"/>
  <c r="E34" i="175"/>
  <c r="E37" i="175"/>
  <c r="E36" i="175"/>
  <c r="E38" i="175"/>
  <c r="E35" i="175"/>
  <c r="E80" i="175"/>
  <c r="E195" i="175"/>
  <c r="E213" i="175"/>
  <c r="E164" i="175"/>
  <c r="E171" i="175"/>
  <c r="E177" i="175"/>
  <c r="E189" i="175"/>
  <c r="E170" i="175"/>
  <c r="E203" i="175"/>
  <c r="E197" i="175"/>
  <c r="E217" i="175"/>
  <c r="E196" i="175"/>
  <c r="E176" i="175"/>
  <c r="E166" i="175"/>
  <c r="E169" i="175"/>
  <c r="E200" i="175"/>
  <c r="E208" i="175"/>
  <c r="E161" i="175"/>
  <c r="E182" i="175"/>
  <c r="E184" i="175"/>
  <c r="E212" i="175"/>
  <c r="E9" i="175"/>
  <c r="E21" i="175"/>
  <c r="E33" i="175"/>
  <c r="E4" i="175"/>
  <c r="E16" i="175"/>
  <c r="E11" i="175"/>
  <c r="E23" i="175"/>
  <c r="E6" i="175"/>
  <c r="E18" i="175"/>
  <c r="E30" i="175"/>
  <c r="E13" i="175"/>
  <c r="E25" i="175"/>
  <c r="E8" i="175"/>
  <c r="E20" i="175"/>
  <c r="E32" i="175"/>
  <c r="E10" i="175"/>
  <c r="E41" i="175"/>
  <c r="E53" i="175"/>
  <c r="E17" i="175"/>
  <c r="E48" i="175"/>
  <c r="E24" i="175"/>
  <c r="E43" i="175"/>
  <c r="E7" i="175"/>
  <c r="E31" i="175"/>
  <c r="E50" i="175"/>
  <c r="E14" i="175"/>
  <c r="E45" i="175"/>
  <c r="E15" i="175"/>
  <c r="E40" i="175"/>
  <c r="E52" i="175"/>
  <c r="E22" i="175"/>
  <c r="E47" i="175"/>
  <c r="E12" i="175"/>
  <c r="E49" i="175"/>
  <c r="E26" i="175"/>
  <c r="E39" i="175"/>
  <c r="E51" i="175"/>
  <c r="E5" i="175"/>
  <c r="E42" i="175"/>
  <c r="E61" i="175"/>
  <c r="E73" i="175"/>
  <c r="E56" i="175"/>
  <c r="E68" i="175"/>
  <c r="E27" i="175"/>
  <c r="E63" i="175"/>
  <c r="E75" i="175"/>
  <c r="E58" i="175"/>
  <c r="E70" i="175"/>
  <c r="E44" i="175"/>
  <c r="E65" i="175"/>
  <c r="E77" i="175"/>
  <c r="E60" i="175"/>
  <c r="E72" i="175"/>
  <c r="E46" i="175"/>
  <c r="E57" i="175"/>
  <c r="E69" i="175"/>
  <c r="E29" i="175"/>
  <c r="E54" i="175"/>
  <c r="E64" i="175"/>
  <c r="E76" i="175"/>
  <c r="E59" i="175"/>
  <c r="E71" i="175"/>
  <c r="E78" i="175"/>
  <c r="E82" i="175"/>
  <c r="E94" i="175"/>
  <c r="E107" i="175"/>
  <c r="E19" i="175"/>
  <c r="E62" i="175"/>
  <c r="E89" i="175"/>
  <c r="E102" i="175"/>
  <c r="E79" i="175"/>
  <c r="E84" i="175"/>
  <c r="E96" i="175"/>
  <c r="E67" i="175"/>
  <c r="E91" i="175"/>
  <c r="E104" i="175"/>
  <c r="E86" i="175"/>
  <c r="E99" i="175"/>
  <c r="E81" i="175"/>
  <c r="E93" i="175"/>
  <c r="E66" i="175"/>
  <c r="E90" i="175"/>
  <c r="E103" i="175"/>
  <c r="E85" i="175"/>
  <c r="E97" i="175"/>
  <c r="E74" i="175"/>
  <c r="E92" i="175"/>
  <c r="E116" i="175"/>
  <c r="E128" i="175"/>
  <c r="E95" i="175"/>
  <c r="E111" i="175"/>
  <c r="E123" i="175"/>
  <c r="E118" i="175"/>
  <c r="E130" i="175"/>
  <c r="E55" i="175"/>
  <c r="E101" i="175"/>
  <c r="E113" i="175"/>
  <c r="E125" i="175"/>
  <c r="E83" i="175"/>
  <c r="E108" i="175"/>
  <c r="E120" i="175"/>
  <c r="E106" i="175"/>
  <c r="E115" i="175"/>
  <c r="E127" i="175"/>
  <c r="E88" i="175"/>
  <c r="E110" i="175"/>
  <c r="E122" i="175"/>
  <c r="E100" i="175"/>
  <c r="E112" i="175"/>
  <c r="E124" i="175"/>
  <c r="E119" i="175"/>
  <c r="E114" i="175"/>
  <c r="E126" i="175"/>
  <c r="E131" i="175"/>
  <c r="E133" i="175"/>
  <c r="E145" i="175"/>
  <c r="E157" i="175"/>
  <c r="E121" i="175"/>
  <c r="E140" i="175"/>
  <c r="E152" i="175"/>
  <c r="E135" i="175"/>
  <c r="E147" i="175"/>
  <c r="E142" i="175"/>
  <c r="E154" i="175"/>
  <c r="E117" i="175"/>
  <c r="E137" i="175"/>
  <c r="E149" i="175"/>
  <c r="E105" i="175"/>
  <c r="E132" i="175"/>
  <c r="E144" i="175"/>
  <c r="E156" i="175"/>
  <c r="E139" i="175"/>
  <c r="E151" i="175"/>
  <c r="E141" i="175"/>
  <c r="E153" i="175"/>
  <c r="E143" i="175"/>
  <c r="E155" i="175"/>
  <c r="E109" i="175"/>
  <c r="E138" i="175"/>
  <c r="E150" i="175"/>
  <c r="E146" i="175"/>
  <c r="E87" i="175"/>
  <c r="E129" i="175"/>
  <c r="E3" i="175"/>
  <c r="E136" i="175"/>
  <c r="E148" i="175"/>
  <c r="E134" i="175"/>
  <c r="E159" i="175"/>
  <c r="E172" i="175"/>
  <c r="E193" i="175"/>
  <c r="E207" i="175"/>
  <c r="E162" i="175"/>
  <c r="E181" i="175"/>
  <c r="E188" i="175"/>
  <c r="E219" i="175"/>
  <c r="E168" i="175"/>
  <c r="E194" i="175"/>
  <c r="E175" i="175"/>
  <c r="E209" i="175"/>
  <c r="E183" i="175"/>
  <c r="E191" i="175"/>
  <c r="E187" i="175"/>
  <c r="E216" i="175"/>
  <c r="F1" i="175"/>
  <c r="E201" i="175"/>
  <c r="E214" i="175"/>
  <c r="E192" i="175"/>
  <c r="E199" i="175"/>
  <c r="E167" i="175"/>
  <c r="E202" i="175"/>
  <c r="E180" i="175"/>
  <c r="E215" i="175"/>
  <c r="E211" i="175"/>
  <c r="E158" i="175"/>
  <c r="E178" i="175"/>
  <c r="E185" i="175"/>
  <c r="E198" i="175"/>
  <c r="E218" i="175"/>
  <c r="E163" i="175"/>
  <c r="E204" i="175"/>
  <c r="E165" i="175"/>
  <c r="E179" i="175"/>
  <c r="E221" i="175"/>
  <c r="E173" i="175"/>
  <c r="E160" i="175"/>
  <c r="E174" i="175"/>
  <c r="E205" i="175"/>
  <c r="E206" i="175"/>
  <c r="F213" i="175"/>
  <c r="F201" i="175"/>
  <c r="F218" i="175"/>
  <c r="F211" i="175"/>
  <c r="F216" i="175"/>
  <c r="F204" i="175"/>
  <c r="F192" i="175"/>
  <c r="F221" i="175"/>
  <c r="F209" i="175"/>
  <c r="F214" i="175"/>
  <c r="F219" i="175"/>
  <c r="F212" i="175"/>
  <c r="F200" i="175"/>
  <c r="F217" i="175"/>
  <c r="F205" i="175"/>
  <c r="F210" i="175"/>
  <c r="F215" i="175"/>
  <c r="F203" i="175"/>
  <c r="F191" i="175"/>
  <c r="F220" i="175"/>
  <c r="F207" i="175"/>
  <c r="F184" i="175"/>
  <c r="F172" i="175"/>
  <c r="F193" i="175"/>
  <c r="F180" i="175"/>
  <c r="F196" i="175"/>
  <c r="F181" i="175"/>
  <c r="F163" i="175"/>
  <c r="F185" i="175"/>
  <c r="F179" i="175"/>
  <c r="F197" i="175"/>
  <c r="F189" i="175"/>
  <c r="F165" i="175"/>
  <c r="F159" i="175"/>
  <c r="F208" i="175"/>
  <c r="F206" i="175"/>
  <c r="F170" i="175"/>
  <c r="F195" i="175"/>
  <c r="F171" i="175"/>
  <c r="F167" i="175"/>
  <c r="F162" i="175"/>
  <c r="F194" i="175"/>
  <c r="F186" i="175"/>
  <c r="F177" i="175"/>
  <c r="F187" i="175"/>
  <c r="F182" i="175"/>
  <c r="F166" i="175"/>
  <c r="F190" i="175"/>
  <c r="F178" i="175"/>
  <c r="F173" i="175"/>
  <c r="F202" i="175"/>
  <c r="F183" i="175"/>
  <c r="F188" i="175"/>
  <c r="F168" i="175"/>
  <c r="F199" i="175"/>
  <c r="F198" i="175"/>
  <c r="F174" i="175"/>
  <c r="F169" i="175"/>
  <c r="F160" i="175"/>
  <c r="F176" i="175"/>
  <c r="F175" i="175"/>
  <c r="F164" i="175"/>
  <c r="F158" i="175"/>
  <c r="F161" i="175"/>
  <c r="G1" i="175"/>
  <c r="F98" i="175" l="1"/>
  <c r="F28" i="175"/>
  <c r="F37" i="175"/>
  <c r="F35" i="175"/>
  <c r="F38" i="175"/>
  <c r="F34" i="175"/>
  <c r="F36" i="175"/>
  <c r="F80" i="175"/>
  <c r="G98" i="175"/>
  <c r="G28" i="175"/>
  <c r="G37" i="175"/>
  <c r="G38" i="175"/>
  <c r="G34" i="175"/>
  <c r="G35" i="175"/>
  <c r="G36" i="175"/>
  <c r="G80" i="175"/>
  <c r="G7" i="175"/>
  <c r="G19" i="175"/>
  <c r="G31" i="175"/>
  <c r="G14" i="175"/>
  <c r="G26" i="175"/>
  <c r="G9" i="175"/>
  <c r="G21" i="175"/>
  <c r="G33" i="175"/>
  <c r="G4" i="175"/>
  <c r="G16" i="175"/>
  <c r="G11" i="175"/>
  <c r="G23" i="175"/>
  <c r="G6" i="175"/>
  <c r="G18" i="175"/>
  <c r="G30" i="175"/>
  <c r="G20" i="175"/>
  <c r="G39" i="175"/>
  <c r="G51" i="175"/>
  <c r="G27" i="175"/>
  <c r="G46" i="175"/>
  <c r="G10" i="175"/>
  <c r="G41" i="175"/>
  <c r="G53" i="175"/>
  <c r="G17" i="175"/>
  <c r="G48" i="175"/>
  <c r="G24" i="175"/>
  <c r="G43" i="175"/>
  <c r="G25" i="175"/>
  <c r="G50" i="175"/>
  <c r="G8" i="175"/>
  <c r="G32" i="175"/>
  <c r="G45" i="175"/>
  <c r="G22" i="175"/>
  <c r="G47" i="175"/>
  <c r="G12" i="175"/>
  <c r="G49" i="175"/>
  <c r="G59" i="175"/>
  <c r="G71" i="175"/>
  <c r="G5" i="175"/>
  <c r="G42" i="175"/>
  <c r="G66" i="175"/>
  <c r="G78" i="175"/>
  <c r="G61" i="175"/>
  <c r="G73" i="175"/>
  <c r="G15" i="175"/>
  <c r="G56" i="175"/>
  <c r="G68" i="175"/>
  <c r="G63" i="175"/>
  <c r="G75" i="175"/>
  <c r="G44" i="175"/>
  <c r="G58" i="175"/>
  <c r="G70" i="175"/>
  <c r="G13" i="175"/>
  <c r="G55" i="175"/>
  <c r="G67" i="175"/>
  <c r="G79" i="175"/>
  <c r="G40" i="175"/>
  <c r="G62" i="175"/>
  <c r="G74" i="175"/>
  <c r="G29" i="175"/>
  <c r="G54" i="175"/>
  <c r="G57" i="175"/>
  <c r="G69" i="175"/>
  <c r="G65" i="175"/>
  <c r="G92" i="175"/>
  <c r="G105" i="175"/>
  <c r="G87" i="175"/>
  <c r="G100" i="175"/>
  <c r="G76" i="175"/>
  <c r="G82" i="175"/>
  <c r="G94" i="175"/>
  <c r="G89" i="175"/>
  <c r="G102" i="175"/>
  <c r="G84" i="175"/>
  <c r="G96" i="175"/>
  <c r="G64" i="175"/>
  <c r="G91" i="175"/>
  <c r="G104" i="175"/>
  <c r="G88" i="175"/>
  <c r="G101" i="175"/>
  <c r="G52" i="175"/>
  <c r="G83" i="175"/>
  <c r="G95" i="175"/>
  <c r="G60" i="175"/>
  <c r="G90" i="175"/>
  <c r="G103" i="175"/>
  <c r="G99" i="175"/>
  <c r="G114" i="175"/>
  <c r="G126" i="175"/>
  <c r="G72" i="175"/>
  <c r="G81" i="175"/>
  <c r="G109" i="175"/>
  <c r="G121" i="175"/>
  <c r="G116" i="175"/>
  <c r="G128" i="175"/>
  <c r="G86" i="175"/>
  <c r="G111" i="175"/>
  <c r="G123" i="175"/>
  <c r="G118" i="175"/>
  <c r="G130" i="175"/>
  <c r="G97" i="175"/>
  <c r="G113" i="175"/>
  <c r="G125" i="175"/>
  <c r="G108" i="175"/>
  <c r="G120" i="175"/>
  <c r="G85" i="175"/>
  <c r="G110" i="175"/>
  <c r="G122" i="175"/>
  <c r="G117" i="175"/>
  <c r="G93" i="175"/>
  <c r="G112" i="175"/>
  <c r="G124" i="175"/>
  <c r="G143" i="175"/>
  <c r="G155" i="175"/>
  <c r="G107" i="175"/>
  <c r="G138" i="175"/>
  <c r="G150" i="175"/>
  <c r="G131" i="175"/>
  <c r="G133" i="175"/>
  <c r="G145" i="175"/>
  <c r="G157" i="175"/>
  <c r="G119" i="175"/>
  <c r="G140" i="175"/>
  <c r="G152" i="175"/>
  <c r="G135" i="175"/>
  <c r="G147" i="175"/>
  <c r="G142" i="175"/>
  <c r="G154" i="175"/>
  <c r="G115" i="175"/>
  <c r="G137" i="175"/>
  <c r="G149" i="175"/>
  <c r="G106" i="175"/>
  <c r="G127" i="175"/>
  <c r="G129" i="175"/>
  <c r="G139" i="175"/>
  <c r="G151" i="175"/>
  <c r="G141" i="175"/>
  <c r="G153" i="175"/>
  <c r="G136" i="175"/>
  <c r="G148" i="175"/>
  <c r="G132" i="175"/>
  <c r="G77" i="175"/>
  <c r="G146" i="175"/>
  <c r="G144" i="175"/>
  <c r="G156" i="175"/>
  <c r="G134" i="175"/>
  <c r="G3" i="175"/>
  <c r="F14" i="175"/>
  <c r="F26" i="175"/>
  <c r="F9" i="175"/>
  <c r="F21" i="175"/>
  <c r="F33" i="175"/>
  <c r="F4" i="175"/>
  <c r="F16" i="175"/>
  <c r="F11" i="175"/>
  <c r="F23" i="175"/>
  <c r="F6" i="175"/>
  <c r="F18" i="175"/>
  <c r="F30" i="175"/>
  <c r="F13" i="175"/>
  <c r="F25" i="175"/>
  <c r="F27" i="175"/>
  <c r="F46" i="175"/>
  <c r="F10" i="175"/>
  <c r="F41" i="175"/>
  <c r="F53" i="175"/>
  <c r="F17" i="175"/>
  <c r="F48" i="175"/>
  <c r="F24" i="175"/>
  <c r="F43" i="175"/>
  <c r="F7" i="175"/>
  <c r="F31" i="175"/>
  <c r="F50" i="175"/>
  <c r="F8" i="175"/>
  <c r="F32" i="175"/>
  <c r="F45" i="175"/>
  <c r="F15" i="175"/>
  <c r="F40" i="175"/>
  <c r="F52" i="175"/>
  <c r="F5" i="175"/>
  <c r="F29" i="175"/>
  <c r="F42" i="175"/>
  <c r="F54" i="175"/>
  <c r="F19" i="175"/>
  <c r="F44" i="175"/>
  <c r="F66" i="175"/>
  <c r="F78" i="175"/>
  <c r="F61" i="175"/>
  <c r="F73" i="175"/>
  <c r="F39" i="175"/>
  <c r="F56" i="175"/>
  <c r="F68" i="175"/>
  <c r="F47" i="175"/>
  <c r="F63" i="175"/>
  <c r="F75" i="175"/>
  <c r="F12" i="175"/>
  <c r="F58" i="175"/>
  <c r="F70" i="175"/>
  <c r="F65" i="175"/>
  <c r="F77" i="175"/>
  <c r="F62" i="175"/>
  <c r="F74" i="175"/>
  <c r="F57" i="175"/>
  <c r="F69" i="175"/>
  <c r="F64" i="175"/>
  <c r="F76" i="175"/>
  <c r="F87" i="175"/>
  <c r="F100" i="175"/>
  <c r="F82" i="175"/>
  <c r="F94" i="175"/>
  <c r="F20" i="175"/>
  <c r="F59" i="175"/>
  <c r="F89" i="175"/>
  <c r="F102" i="175"/>
  <c r="F22" i="175"/>
  <c r="F79" i="175"/>
  <c r="F84" i="175"/>
  <c r="F96" i="175"/>
  <c r="F49" i="175"/>
  <c r="F67" i="175"/>
  <c r="F91" i="175"/>
  <c r="F104" i="175"/>
  <c r="F86" i="175"/>
  <c r="F99" i="175"/>
  <c r="F51" i="175"/>
  <c r="F83" i="175"/>
  <c r="F95" i="175"/>
  <c r="F60" i="175"/>
  <c r="F90" i="175"/>
  <c r="F103" i="175"/>
  <c r="F85" i="175"/>
  <c r="F97" i="175"/>
  <c r="F72" i="175"/>
  <c r="F81" i="175"/>
  <c r="F105" i="175"/>
  <c r="F109" i="175"/>
  <c r="F121" i="175"/>
  <c r="F116" i="175"/>
  <c r="F128" i="175"/>
  <c r="F92" i="175"/>
  <c r="F111" i="175"/>
  <c r="F123" i="175"/>
  <c r="F118" i="175"/>
  <c r="F130" i="175"/>
  <c r="F55" i="175"/>
  <c r="F101" i="175"/>
  <c r="F113" i="175"/>
  <c r="F125" i="175"/>
  <c r="F108" i="175"/>
  <c r="F120" i="175"/>
  <c r="F106" i="175"/>
  <c r="F115" i="175"/>
  <c r="F127" i="175"/>
  <c r="F117" i="175"/>
  <c r="F129" i="175"/>
  <c r="F93" i="175"/>
  <c r="F112" i="175"/>
  <c r="F124" i="175"/>
  <c r="F107" i="175"/>
  <c r="F119" i="175"/>
  <c r="F138" i="175"/>
  <c r="F150" i="175"/>
  <c r="F114" i="175"/>
  <c r="F131" i="175"/>
  <c r="F133" i="175"/>
  <c r="F145" i="175"/>
  <c r="F157" i="175"/>
  <c r="F140" i="175"/>
  <c r="F152" i="175"/>
  <c r="F126" i="175"/>
  <c r="F135" i="175"/>
  <c r="F147" i="175"/>
  <c r="F110" i="175"/>
  <c r="F142" i="175"/>
  <c r="F154" i="175"/>
  <c r="F137" i="175"/>
  <c r="F149" i="175"/>
  <c r="F122" i="175"/>
  <c r="F132" i="175"/>
  <c r="F144" i="175"/>
  <c r="F156" i="175"/>
  <c r="F88" i="175"/>
  <c r="F134" i="175"/>
  <c r="F146" i="175"/>
  <c r="F136" i="175"/>
  <c r="F148" i="175"/>
  <c r="F143" i="175"/>
  <c r="F155" i="175"/>
  <c r="F71" i="175"/>
  <c r="F139" i="175"/>
  <c r="F153" i="175"/>
  <c r="F151" i="175"/>
  <c r="F3" i="175"/>
  <c r="F141" i="175"/>
  <c r="G218" i="175"/>
  <c r="G206" i="175"/>
  <c r="G211" i="175"/>
  <c r="G216" i="175"/>
  <c r="G221" i="175"/>
  <c r="G209" i="175"/>
  <c r="G197" i="175"/>
  <c r="G214" i="175"/>
  <c r="G219" i="175"/>
  <c r="G207" i="175"/>
  <c r="G217" i="175"/>
  <c r="G205" i="175"/>
  <c r="G193" i="175"/>
  <c r="G210" i="175"/>
  <c r="G198" i="175"/>
  <c r="G215" i="175"/>
  <c r="G220" i="175"/>
  <c r="G208" i="175"/>
  <c r="G196" i="175"/>
  <c r="G189" i="175"/>
  <c r="G177" i="175"/>
  <c r="G185" i="175"/>
  <c r="G173" i="175"/>
  <c r="G204" i="175"/>
  <c r="G200" i="175"/>
  <c r="G187" i="175"/>
  <c r="G174" i="175"/>
  <c r="G168" i="175"/>
  <c r="G195" i="175"/>
  <c r="G178" i="175"/>
  <c r="G172" i="175"/>
  <c r="G192" i="175"/>
  <c r="G170" i="175"/>
  <c r="G180" i="175"/>
  <c r="G175" i="175"/>
  <c r="G194" i="175"/>
  <c r="G191" i="175"/>
  <c r="G176" i="175"/>
  <c r="G164" i="175"/>
  <c r="G186" i="175"/>
  <c r="G181" i="175"/>
  <c r="G182" i="175"/>
  <c r="G166" i="175"/>
  <c r="G158" i="175"/>
  <c r="G213" i="175"/>
  <c r="G190" i="175"/>
  <c r="G203" i="175"/>
  <c r="G202" i="175"/>
  <c r="G183" i="175"/>
  <c r="G163" i="175"/>
  <c r="G201" i="175"/>
  <c r="G188" i="175"/>
  <c r="G212" i="175"/>
  <c r="G199" i="175"/>
  <c r="G169" i="175"/>
  <c r="G184" i="175"/>
  <c r="G179" i="175"/>
  <c r="G165" i="175"/>
  <c r="G161" i="175"/>
  <c r="G160" i="175"/>
  <c r="G159" i="175"/>
  <c r="G167" i="175"/>
  <c r="G171" i="175"/>
  <c r="G162" i="175"/>
  <c r="H1" i="175"/>
  <c r="H98" i="175" l="1"/>
  <c r="H28" i="175"/>
  <c r="H35" i="175"/>
  <c r="H36" i="175"/>
  <c r="H37" i="175"/>
  <c r="H34" i="175"/>
  <c r="H38" i="175"/>
  <c r="H80" i="175"/>
  <c r="H12" i="175"/>
  <c r="H24" i="175"/>
  <c r="H7" i="175"/>
  <c r="H19" i="175"/>
  <c r="H31" i="175"/>
  <c r="H14" i="175"/>
  <c r="H26" i="175"/>
  <c r="H9" i="175"/>
  <c r="H21" i="175"/>
  <c r="H33" i="175"/>
  <c r="H4" i="175"/>
  <c r="H16" i="175"/>
  <c r="H11" i="175"/>
  <c r="H23" i="175"/>
  <c r="H13" i="175"/>
  <c r="H44" i="175"/>
  <c r="H20" i="175"/>
  <c r="H39" i="175"/>
  <c r="H51" i="175"/>
  <c r="H27" i="175"/>
  <c r="H46" i="175"/>
  <c r="H10" i="175"/>
  <c r="H41" i="175"/>
  <c r="H53" i="175"/>
  <c r="H17" i="175"/>
  <c r="H48" i="175"/>
  <c r="H18" i="175"/>
  <c r="H43" i="175"/>
  <c r="H25" i="175"/>
  <c r="H50" i="175"/>
  <c r="H15" i="175"/>
  <c r="H40" i="175"/>
  <c r="H52" i="175"/>
  <c r="H5" i="175"/>
  <c r="H29" i="175"/>
  <c r="H42" i="175"/>
  <c r="H54" i="175"/>
  <c r="H8" i="175"/>
  <c r="H45" i="175"/>
  <c r="H64" i="175"/>
  <c r="H76" i="175"/>
  <c r="H59" i="175"/>
  <c r="H71" i="175"/>
  <c r="H30" i="175"/>
  <c r="H66" i="175"/>
  <c r="H78" i="175"/>
  <c r="H61" i="175"/>
  <c r="H73" i="175"/>
  <c r="H47" i="175"/>
  <c r="H56" i="175"/>
  <c r="H68" i="175"/>
  <c r="H6" i="175"/>
  <c r="H63" i="175"/>
  <c r="H75" i="175"/>
  <c r="H49" i="175"/>
  <c r="H60" i="175"/>
  <c r="H72" i="175"/>
  <c r="H32" i="175"/>
  <c r="H55" i="175"/>
  <c r="H67" i="175"/>
  <c r="H62" i="175"/>
  <c r="H74" i="175"/>
  <c r="H77" i="175"/>
  <c r="H85" i="175"/>
  <c r="H97" i="175"/>
  <c r="H65" i="175"/>
  <c r="H92" i="175"/>
  <c r="H105" i="175"/>
  <c r="H87" i="175"/>
  <c r="H100" i="175"/>
  <c r="H70" i="175"/>
  <c r="H82" i="175"/>
  <c r="H94" i="175"/>
  <c r="H22" i="175"/>
  <c r="H79" i="175"/>
  <c r="H89" i="175"/>
  <c r="H102" i="175"/>
  <c r="H84" i="175"/>
  <c r="H96" i="175"/>
  <c r="H69" i="175"/>
  <c r="H81" i="175"/>
  <c r="H93" i="175"/>
  <c r="H88" i="175"/>
  <c r="H101" i="175"/>
  <c r="H83" i="175"/>
  <c r="H95" i="175"/>
  <c r="H107" i="175"/>
  <c r="H119" i="175"/>
  <c r="H131" i="175"/>
  <c r="H99" i="175"/>
  <c r="H114" i="175"/>
  <c r="H126" i="175"/>
  <c r="H109" i="175"/>
  <c r="H121" i="175"/>
  <c r="H104" i="175"/>
  <c r="H116" i="175"/>
  <c r="H128" i="175"/>
  <c r="H86" i="175"/>
  <c r="H111" i="175"/>
  <c r="H123" i="175"/>
  <c r="H118" i="175"/>
  <c r="H130" i="175"/>
  <c r="H91" i="175"/>
  <c r="H113" i="175"/>
  <c r="H125" i="175"/>
  <c r="H57" i="175"/>
  <c r="H103" i="175"/>
  <c r="H106" i="175"/>
  <c r="H115" i="175"/>
  <c r="H127" i="175"/>
  <c r="H58" i="175"/>
  <c r="H110" i="175"/>
  <c r="H122" i="175"/>
  <c r="H117" i="175"/>
  <c r="H129" i="175"/>
  <c r="H136" i="175"/>
  <c r="H148" i="175"/>
  <c r="H143" i="175"/>
  <c r="H155" i="175"/>
  <c r="H138" i="175"/>
  <c r="H150" i="175"/>
  <c r="H112" i="175"/>
  <c r="H133" i="175"/>
  <c r="H145" i="175"/>
  <c r="H157" i="175"/>
  <c r="H140" i="175"/>
  <c r="H152" i="175"/>
  <c r="H124" i="175"/>
  <c r="H135" i="175"/>
  <c r="H147" i="175"/>
  <c r="H108" i="175"/>
  <c r="H142" i="175"/>
  <c r="H154" i="175"/>
  <c r="H120" i="175"/>
  <c r="H132" i="175"/>
  <c r="H144" i="175"/>
  <c r="H156" i="175"/>
  <c r="H134" i="175"/>
  <c r="H146" i="175"/>
  <c r="H90" i="175"/>
  <c r="H141" i="175"/>
  <c r="H153" i="175"/>
  <c r="H3" i="175"/>
  <c r="H139" i="175"/>
  <c r="H137" i="175"/>
  <c r="H151" i="175"/>
  <c r="H149" i="175"/>
  <c r="H211" i="175"/>
  <c r="H199" i="175"/>
  <c r="H216" i="175"/>
  <c r="H221" i="175"/>
  <c r="H209" i="175"/>
  <c r="H214" i="175"/>
  <c r="H202" i="175"/>
  <c r="H190" i="175"/>
  <c r="H219" i="175"/>
  <c r="H212" i="175"/>
  <c r="H217" i="175"/>
  <c r="H210" i="175"/>
  <c r="H198" i="175"/>
  <c r="H215" i="175"/>
  <c r="H203" i="175"/>
  <c r="H220" i="175"/>
  <c r="H208" i="175"/>
  <c r="H213" i="175"/>
  <c r="H201" i="175"/>
  <c r="H189" i="175"/>
  <c r="H218" i="175"/>
  <c r="H182" i="175"/>
  <c r="H170" i="175"/>
  <c r="H194" i="175"/>
  <c r="H178" i="175"/>
  <c r="H206" i="175"/>
  <c r="H205" i="175"/>
  <c r="H180" i="175"/>
  <c r="H207" i="175"/>
  <c r="H171" i="175"/>
  <c r="H196" i="175"/>
  <c r="H175" i="175"/>
  <c r="H195" i="175"/>
  <c r="H185" i="175"/>
  <c r="H167" i="175"/>
  <c r="H162" i="175"/>
  <c r="H191" i="175"/>
  <c r="H186" i="175"/>
  <c r="H181" i="175"/>
  <c r="H160" i="175"/>
  <c r="H187" i="175"/>
  <c r="H193" i="175"/>
  <c r="H183" i="175"/>
  <c r="H173" i="175"/>
  <c r="H163" i="175"/>
  <c r="H204" i="175"/>
  <c r="H188" i="175"/>
  <c r="H161" i="175"/>
  <c r="H200" i="175"/>
  <c r="H184" i="175"/>
  <c r="H179" i="175"/>
  <c r="H174" i="175"/>
  <c r="H165" i="175"/>
  <c r="H197" i="175"/>
  <c r="H192" i="175"/>
  <c r="H168" i="175"/>
  <c r="H169" i="175"/>
  <c r="H158" i="175"/>
  <c r="H177" i="175"/>
  <c r="H172" i="175"/>
  <c r="H166" i="175"/>
  <c r="H159" i="175"/>
  <c r="H164" i="175"/>
  <c r="H176" i="175"/>
  <c r="I1" i="175"/>
  <c r="I98" i="175" l="1"/>
  <c r="I28" i="175"/>
  <c r="I38" i="175"/>
  <c r="I35" i="175"/>
  <c r="I37" i="175"/>
  <c r="I36" i="175"/>
  <c r="I34" i="175"/>
  <c r="I80" i="175"/>
  <c r="I5" i="175"/>
  <c r="I17" i="175"/>
  <c r="I29" i="175"/>
  <c r="I12" i="175"/>
  <c r="I24" i="175"/>
  <c r="I7" i="175"/>
  <c r="I19" i="175"/>
  <c r="I31" i="175"/>
  <c r="I14" i="175"/>
  <c r="I26" i="175"/>
  <c r="I9" i="175"/>
  <c r="I21" i="175"/>
  <c r="I33" i="175"/>
  <c r="I4" i="175"/>
  <c r="I16" i="175"/>
  <c r="I6" i="175"/>
  <c r="I30" i="175"/>
  <c r="I49" i="175"/>
  <c r="I13" i="175"/>
  <c r="I44" i="175"/>
  <c r="I20" i="175"/>
  <c r="I39" i="175"/>
  <c r="I51" i="175"/>
  <c r="I27" i="175"/>
  <c r="I46" i="175"/>
  <c r="I10" i="175"/>
  <c r="I41" i="175"/>
  <c r="I53" i="175"/>
  <c r="I11" i="175"/>
  <c r="I48" i="175"/>
  <c r="I18" i="175"/>
  <c r="I43" i="175"/>
  <c r="I8" i="175"/>
  <c r="I32" i="175"/>
  <c r="I45" i="175"/>
  <c r="I22" i="175"/>
  <c r="I47" i="175"/>
  <c r="I57" i="175"/>
  <c r="I69" i="175"/>
  <c r="I64" i="175"/>
  <c r="I76" i="175"/>
  <c r="I42" i="175"/>
  <c r="I59" i="175"/>
  <c r="I71" i="175"/>
  <c r="I50" i="175"/>
  <c r="I66" i="175"/>
  <c r="I78" i="175"/>
  <c r="I15" i="175"/>
  <c r="I61" i="175"/>
  <c r="I73" i="175"/>
  <c r="I56" i="175"/>
  <c r="I68" i="175"/>
  <c r="I65" i="175"/>
  <c r="I77" i="175"/>
  <c r="I60" i="175"/>
  <c r="I72" i="175"/>
  <c r="I40" i="175"/>
  <c r="I55" i="175"/>
  <c r="I67" i="175"/>
  <c r="I90" i="175"/>
  <c r="I103" i="175"/>
  <c r="I85" i="175"/>
  <c r="I97" i="175"/>
  <c r="I54" i="175"/>
  <c r="I62" i="175"/>
  <c r="I92" i="175"/>
  <c r="I105" i="175"/>
  <c r="I87" i="175"/>
  <c r="I100" i="175"/>
  <c r="I70" i="175"/>
  <c r="I82" i="175"/>
  <c r="I94" i="175"/>
  <c r="I23" i="175"/>
  <c r="I79" i="175"/>
  <c r="I89" i="175"/>
  <c r="I102" i="175"/>
  <c r="I86" i="175"/>
  <c r="I99" i="175"/>
  <c r="I63" i="175"/>
  <c r="I81" i="175"/>
  <c r="I93" i="175"/>
  <c r="I52" i="175"/>
  <c r="I88" i="175"/>
  <c r="I101" i="175"/>
  <c r="I84" i="175"/>
  <c r="I112" i="175"/>
  <c r="I124" i="175"/>
  <c r="I107" i="175"/>
  <c r="I119" i="175"/>
  <c r="I95" i="175"/>
  <c r="I114" i="175"/>
  <c r="I126" i="175"/>
  <c r="I25" i="175"/>
  <c r="I109" i="175"/>
  <c r="I121" i="175"/>
  <c r="I104" i="175"/>
  <c r="I116" i="175"/>
  <c r="I128" i="175"/>
  <c r="I74" i="175"/>
  <c r="I83" i="175"/>
  <c r="I111" i="175"/>
  <c r="I123" i="175"/>
  <c r="I75" i="175"/>
  <c r="I118" i="175"/>
  <c r="I130" i="175"/>
  <c r="I108" i="175"/>
  <c r="I120" i="175"/>
  <c r="I96" i="175"/>
  <c r="I106" i="175"/>
  <c r="I115" i="175"/>
  <c r="I127" i="175"/>
  <c r="I58" i="175"/>
  <c r="I110" i="175"/>
  <c r="I122" i="175"/>
  <c r="I91" i="175"/>
  <c r="I141" i="175"/>
  <c r="I153" i="175"/>
  <c r="I136" i="175"/>
  <c r="I148" i="175"/>
  <c r="I143" i="175"/>
  <c r="I155" i="175"/>
  <c r="I131" i="175"/>
  <c r="I138" i="175"/>
  <c r="I150" i="175"/>
  <c r="I133" i="175"/>
  <c r="I145" i="175"/>
  <c r="I157" i="175"/>
  <c r="I117" i="175"/>
  <c r="I140" i="175"/>
  <c r="I152" i="175"/>
  <c r="I135" i="175"/>
  <c r="I147" i="175"/>
  <c r="I113" i="175"/>
  <c r="I137" i="175"/>
  <c r="I149" i="175"/>
  <c r="I125" i="175"/>
  <c r="I139" i="175"/>
  <c r="I151" i="175"/>
  <c r="I134" i="175"/>
  <c r="I146" i="175"/>
  <c r="I3" i="175"/>
  <c r="I132" i="175"/>
  <c r="I129" i="175"/>
  <c r="I144" i="175"/>
  <c r="I142" i="175"/>
  <c r="I156" i="175"/>
  <c r="I154" i="175"/>
  <c r="I216" i="175"/>
  <c r="I204" i="175"/>
  <c r="I221" i="175"/>
  <c r="I209" i="175"/>
  <c r="I214" i="175"/>
  <c r="I219" i="175"/>
  <c r="I207" i="175"/>
  <c r="I195" i="175"/>
  <c r="I212" i="175"/>
  <c r="I217" i="175"/>
  <c r="I215" i="175"/>
  <c r="I203" i="175"/>
  <c r="I191" i="175"/>
  <c r="I220" i="175"/>
  <c r="I208" i="175"/>
  <c r="I196" i="175"/>
  <c r="I213" i="175"/>
  <c r="I218" i="175"/>
  <c r="I206" i="175"/>
  <c r="I194" i="175"/>
  <c r="I202" i="175"/>
  <c r="I200" i="175"/>
  <c r="I190" i="175"/>
  <c r="I187" i="175"/>
  <c r="I175" i="175"/>
  <c r="I183" i="175"/>
  <c r="I171" i="175"/>
  <c r="I186" i="175"/>
  <c r="I173" i="175"/>
  <c r="I166" i="175"/>
  <c r="I184" i="175"/>
  <c r="I185" i="175"/>
  <c r="I180" i="175"/>
  <c r="I167" i="175"/>
  <c r="I162" i="175"/>
  <c r="I176" i="175"/>
  <c r="I164" i="175"/>
  <c r="I211" i="175"/>
  <c r="I181" i="175"/>
  <c r="I210" i="175"/>
  <c r="I182" i="175"/>
  <c r="I193" i="175"/>
  <c r="I163" i="175"/>
  <c r="I188" i="175"/>
  <c r="I178" i="175"/>
  <c r="I201" i="175"/>
  <c r="I169" i="175"/>
  <c r="I168" i="175"/>
  <c r="I199" i="175"/>
  <c r="I179" i="175"/>
  <c r="I205" i="175"/>
  <c r="I198" i="175"/>
  <c r="I197" i="175"/>
  <c r="I192" i="175"/>
  <c r="I189" i="175"/>
  <c r="I170" i="175"/>
  <c r="I174" i="175"/>
  <c r="I165" i="175"/>
  <c r="I159" i="175"/>
  <c r="I158" i="175"/>
  <c r="I177" i="175"/>
  <c r="I172" i="175"/>
  <c r="I161" i="175"/>
  <c r="I160" i="175"/>
  <c r="J1" i="175"/>
  <c r="T26" i="172"/>
  <c r="T25" i="172"/>
  <c r="T16" i="172"/>
  <c r="T17" i="172"/>
  <c r="T18" i="172"/>
  <c r="T19" i="172"/>
  <c r="T20" i="172"/>
  <c r="T21" i="172"/>
  <c r="T22" i="172"/>
  <c r="T27" i="172"/>
  <c r="J98" i="175" l="1"/>
  <c r="J28" i="175"/>
  <c r="J35" i="175"/>
  <c r="J36" i="175"/>
  <c r="J37" i="175"/>
  <c r="J38" i="175"/>
  <c r="J34" i="175"/>
  <c r="J80" i="175"/>
  <c r="J10" i="175"/>
  <c r="J22" i="175"/>
  <c r="J5" i="175"/>
  <c r="J17" i="175"/>
  <c r="J29" i="175"/>
  <c r="J12" i="175"/>
  <c r="J24" i="175"/>
  <c r="J7" i="175"/>
  <c r="J19" i="175"/>
  <c r="J31" i="175"/>
  <c r="J14" i="175"/>
  <c r="J26" i="175"/>
  <c r="J9" i="175"/>
  <c r="J21" i="175"/>
  <c r="J33" i="175"/>
  <c r="J4" i="175"/>
  <c r="J23" i="175"/>
  <c r="J42" i="175"/>
  <c r="J54" i="175"/>
  <c r="J6" i="175"/>
  <c r="J30" i="175"/>
  <c r="J49" i="175"/>
  <c r="J13" i="175"/>
  <c r="J44" i="175"/>
  <c r="J20" i="175"/>
  <c r="J39" i="175"/>
  <c r="J51" i="175"/>
  <c r="J27" i="175"/>
  <c r="J46" i="175"/>
  <c r="J41" i="175"/>
  <c r="J53" i="175"/>
  <c r="J11" i="175"/>
  <c r="J48" i="175"/>
  <c r="J25" i="175"/>
  <c r="J50" i="175"/>
  <c r="J15" i="175"/>
  <c r="J40" i="175"/>
  <c r="J52" i="175"/>
  <c r="J62" i="175"/>
  <c r="J74" i="175"/>
  <c r="J8" i="175"/>
  <c r="J45" i="175"/>
  <c r="J57" i="175"/>
  <c r="J69" i="175"/>
  <c r="J64" i="175"/>
  <c r="J76" i="175"/>
  <c r="J18" i="175"/>
  <c r="J59" i="175"/>
  <c r="J71" i="175"/>
  <c r="J66" i="175"/>
  <c r="J78" i="175"/>
  <c r="J47" i="175"/>
  <c r="J61" i="175"/>
  <c r="J73" i="175"/>
  <c r="J16" i="175"/>
  <c r="J58" i="175"/>
  <c r="J70" i="175"/>
  <c r="J43" i="175"/>
  <c r="J65" i="175"/>
  <c r="J32" i="175"/>
  <c r="J60" i="175"/>
  <c r="J72" i="175"/>
  <c r="J68" i="175"/>
  <c r="J83" i="175"/>
  <c r="J95" i="175"/>
  <c r="J77" i="175"/>
  <c r="J90" i="175"/>
  <c r="J103" i="175"/>
  <c r="J85" i="175"/>
  <c r="J97" i="175"/>
  <c r="J56" i="175"/>
  <c r="J92" i="175"/>
  <c r="J105" i="175"/>
  <c r="J87" i="175"/>
  <c r="J100" i="175"/>
  <c r="J67" i="175"/>
  <c r="J82" i="175"/>
  <c r="J94" i="175"/>
  <c r="J55" i="175"/>
  <c r="J91" i="175"/>
  <c r="J104" i="175"/>
  <c r="J86" i="175"/>
  <c r="J99" i="175"/>
  <c r="J63" i="175"/>
  <c r="J81" i="175"/>
  <c r="J93" i="175"/>
  <c r="J102" i="175"/>
  <c r="J117" i="175"/>
  <c r="J129" i="175"/>
  <c r="J84" i="175"/>
  <c r="J112" i="175"/>
  <c r="J124" i="175"/>
  <c r="J107" i="175"/>
  <c r="J119" i="175"/>
  <c r="J89" i="175"/>
  <c r="J114" i="175"/>
  <c r="J126" i="175"/>
  <c r="J109" i="175"/>
  <c r="J121" i="175"/>
  <c r="J101" i="175"/>
  <c r="J116" i="175"/>
  <c r="J128" i="175"/>
  <c r="J79" i="175"/>
  <c r="J111" i="175"/>
  <c r="J123" i="175"/>
  <c r="J88" i="175"/>
  <c r="J113" i="175"/>
  <c r="J125" i="175"/>
  <c r="J108" i="175"/>
  <c r="J120" i="175"/>
  <c r="J96" i="175"/>
  <c r="J106" i="175"/>
  <c r="J115" i="175"/>
  <c r="J127" i="175"/>
  <c r="J134" i="175"/>
  <c r="J146" i="175"/>
  <c r="J141" i="175"/>
  <c r="J153" i="175"/>
  <c r="J136" i="175"/>
  <c r="J148" i="175"/>
  <c r="J143" i="175"/>
  <c r="J155" i="175"/>
  <c r="J130" i="175"/>
  <c r="J131" i="175"/>
  <c r="J138" i="175"/>
  <c r="J150" i="175"/>
  <c r="J110" i="175"/>
  <c r="J133" i="175"/>
  <c r="J145" i="175"/>
  <c r="J157" i="175"/>
  <c r="J140" i="175"/>
  <c r="J152" i="175"/>
  <c r="J75" i="175"/>
  <c r="J142" i="175"/>
  <c r="J154" i="175"/>
  <c r="J118" i="175"/>
  <c r="J132" i="175"/>
  <c r="J144" i="175"/>
  <c r="J156" i="175"/>
  <c r="J139" i="175"/>
  <c r="J151" i="175"/>
  <c r="J3" i="175"/>
  <c r="J137" i="175"/>
  <c r="J135" i="175"/>
  <c r="J149" i="175"/>
  <c r="J147" i="175"/>
  <c r="J122" i="175"/>
  <c r="J221" i="175"/>
  <c r="J209" i="175"/>
  <c r="J197" i="175"/>
  <c r="J214" i="175"/>
  <c r="J219" i="175"/>
  <c r="J207" i="175"/>
  <c r="J212" i="175"/>
  <c r="J200" i="175"/>
  <c r="J217" i="175"/>
  <c r="J210" i="175"/>
  <c r="J215" i="175"/>
  <c r="J220" i="175"/>
  <c r="J208" i="175"/>
  <c r="J196" i="175"/>
  <c r="J213" i="175"/>
  <c r="J201" i="175"/>
  <c r="J218" i="175"/>
  <c r="J206" i="175"/>
  <c r="J211" i="175"/>
  <c r="J199" i="175"/>
  <c r="J216" i="175"/>
  <c r="J204" i="175"/>
  <c r="J198" i="175"/>
  <c r="J192" i="175"/>
  <c r="J191" i="175"/>
  <c r="J180" i="175"/>
  <c r="J188" i="175"/>
  <c r="J176" i="175"/>
  <c r="J190" i="175"/>
  <c r="J179" i="175"/>
  <c r="J202" i="175"/>
  <c r="J177" i="175"/>
  <c r="J195" i="175"/>
  <c r="J164" i="175"/>
  <c r="J181" i="175"/>
  <c r="J171" i="175"/>
  <c r="J194" i="175"/>
  <c r="J186" i="175"/>
  <c r="J172" i="175"/>
  <c r="J158" i="175"/>
  <c r="J182" i="175"/>
  <c r="J193" i="175"/>
  <c r="J187" i="175"/>
  <c r="J183" i="175"/>
  <c r="J178" i="175"/>
  <c r="J173" i="175"/>
  <c r="J161" i="175"/>
  <c r="J203" i="175"/>
  <c r="J169" i="175"/>
  <c r="J168" i="175"/>
  <c r="J174" i="175"/>
  <c r="J165" i="175"/>
  <c r="J205" i="175"/>
  <c r="J184" i="175"/>
  <c r="J189" i="175"/>
  <c r="J170" i="175"/>
  <c r="J185" i="175"/>
  <c r="J175" i="175"/>
  <c r="J167" i="175"/>
  <c r="J159" i="175"/>
  <c r="J166" i="175"/>
  <c r="J162" i="175"/>
  <c r="J160" i="175"/>
  <c r="J163" i="175"/>
  <c r="K1" i="175"/>
  <c r="K98" i="175" l="1"/>
  <c r="K28" i="175"/>
  <c r="K38" i="175"/>
  <c r="K34" i="175"/>
  <c r="K35" i="175"/>
  <c r="K37" i="175"/>
  <c r="K36" i="175"/>
  <c r="K80" i="175"/>
  <c r="K15" i="175"/>
  <c r="K27" i="175"/>
  <c r="K10" i="175"/>
  <c r="K22" i="175"/>
  <c r="K5" i="175"/>
  <c r="K17" i="175"/>
  <c r="K29" i="175"/>
  <c r="K12" i="175"/>
  <c r="K24" i="175"/>
  <c r="K7" i="175"/>
  <c r="K19" i="175"/>
  <c r="K31" i="175"/>
  <c r="K14" i="175"/>
  <c r="K26" i="175"/>
  <c r="K4" i="175"/>
  <c r="K16" i="175"/>
  <c r="K47" i="175"/>
  <c r="K23" i="175"/>
  <c r="K42" i="175"/>
  <c r="K54" i="175"/>
  <c r="K6" i="175"/>
  <c r="K30" i="175"/>
  <c r="K49" i="175"/>
  <c r="K13" i="175"/>
  <c r="K44" i="175"/>
  <c r="K20" i="175"/>
  <c r="K39" i="175"/>
  <c r="K51" i="175"/>
  <c r="K21" i="175"/>
  <c r="K46" i="175"/>
  <c r="K41" i="175"/>
  <c r="K53" i="175"/>
  <c r="K18" i="175"/>
  <c r="K43" i="175"/>
  <c r="K8" i="175"/>
  <c r="K32" i="175"/>
  <c r="K45" i="175"/>
  <c r="K11" i="175"/>
  <c r="K48" i="175"/>
  <c r="K55" i="175"/>
  <c r="K67" i="175"/>
  <c r="K79" i="175"/>
  <c r="K62" i="175"/>
  <c r="K74" i="175"/>
  <c r="K33" i="175"/>
  <c r="K57" i="175"/>
  <c r="K69" i="175"/>
  <c r="K64" i="175"/>
  <c r="K76" i="175"/>
  <c r="K50" i="175"/>
  <c r="K59" i="175"/>
  <c r="K71" i="175"/>
  <c r="K9" i="175"/>
  <c r="K66" i="175"/>
  <c r="K78" i="175"/>
  <c r="K52" i="175"/>
  <c r="K63" i="175"/>
  <c r="K75" i="175"/>
  <c r="K58" i="175"/>
  <c r="K70" i="175"/>
  <c r="K65" i="175"/>
  <c r="K77" i="175"/>
  <c r="K88" i="175"/>
  <c r="K101" i="175"/>
  <c r="K68" i="175"/>
  <c r="K83" i="175"/>
  <c r="K95" i="175"/>
  <c r="K90" i="175"/>
  <c r="K103" i="175"/>
  <c r="K73" i="175"/>
  <c r="K85" i="175"/>
  <c r="K97" i="175"/>
  <c r="K56" i="175"/>
  <c r="K92" i="175"/>
  <c r="K105" i="175"/>
  <c r="K87" i="175"/>
  <c r="K100" i="175"/>
  <c r="K72" i="175"/>
  <c r="K84" i="175"/>
  <c r="K96" i="175"/>
  <c r="K91" i="175"/>
  <c r="K104" i="175"/>
  <c r="K86" i="175"/>
  <c r="K99" i="175"/>
  <c r="K110" i="175"/>
  <c r="K122" i="175"/>
  <c r="K102" i="175"/>
  <c r="K117" i="175"/>
  <c r="K129" i="175"/>
  <c r="K60" i="175"/>
  <c r="K81" i="175"/>
  <c r="K112" i="175"/>
  <c r="K124" i="175"/>
  <c r="K61" i="175"/>
  <c r="K107" i="175"/>
  <c r="K119" i="175"/>
  <c r="K25" i="175"/>
  <c r="K89" i="175"/>
  <c r="K114" i="175"/>
  <c r="K126" i="175"/>
  <c r="K109" i="175"/>
  <c r="K121" i="175"/>
  <c r="K94" i="175"/>
  <c r="K116" i="175"/>
  <c r="K128" i="175"/>
  <c r="K40" i="175"/>
  <c r="K118" i="175"/>
  <c r="K130" i="175"/>
  <c r="K82" i="175"/>
  <c r="K113" i="175"/>
  <c r="K125" i="175"/>
  <c r="K108" i="175"/>
  <c r="K120" i="175"/>
  <c r="K123" i="175"/>
  <c r="K139" i="175"/>
  <c r="K151" i="175"/>
  <c r="K134" i="175"/>
  <c r="K146" i="175"/>
  <c r="K141" i="175"/>
  <c r="K153" i="175"/>
  <c r="K93" i="175"/>
  <c r="K136" i="175"/>
  <c r="K148" i="175"/>
  <c r="K143" i="175"/>
  <c r="K155" i="175"/>
  <c r="K131" i="175"/>
  <c r="K138" i="175"/>
  <c r="K150" i="175"/>
  <c r="K133" i="175"/>
  <c r="K145" i="175"/>
  <c r="K157" i="175"/>
  <c r="K135" i="175"/>
  <c r="K147" i="175"/>
  <c r="K111" i="175"/>
  <c r="K137" i="175"/>
  <c r="K149" i="175"/>
  <c r="K132" i="175"/>
  <c r="K144" i="175"/>
  <c r="K156" i="175"/>
  <c r="K127" i="175"/>
  <c r="K115" i="175"/>
  <c r="K3" i="175"/>
  <c r="K142" i="175"/>
  <c r="K140" i="175"/>
  <c r="K106" i="175"/>
  <c r="K154" i="175"/>
  <c r="K152" i="175"/>
  <c r="K214" i="175"/>
  <c r="K202" i="175"/>
  <c r="K219" i="175"/>
  <c r="K207" i="175"/>
  <c r="K212" i="175"/>
  <c r="K217" i="175"/>
  <c r="K205" i="175"/>
  <c r="K193" i="175"/>
  <c r="K210" i="175"/>
  <c r="K215" i="175"/>
  <c r="K220" i="175"/>
  <c r="K213" i="175"/>
  <c r="K201" i="175"/>
  <c r="K189" i="175"/>
  <c r="K218" i="175"/>
  <c r="K206" i="175"/>
  <c r="K194" i="175"/>
  <c r="K211" i="175"/>
  <c r="K216" i="175"/>
  <c r="K204" i="175"/>
  <c r="K192" i="175"/>
  <c r="K221" i="175"/>
  <c r="K196" i="175"/>
  <c r="K185" i="175"/>
  <c r="K173" i="175"/>
  <c r="K208" i="175"/>
  <c r="K181" i="175"/>
  <c r="K169" i="175"/>
  <c r="K203" i="175"/>
  <c r="K199" i="175"/>
  <c r="K172" i="175"/>
  <c r="K164" i="175"/>
  <c r="K198" i="175"/>
  <c r="K191" i="175"/>
  <c r="K183" i="175"/>
  <c r="K170" i="175"/>
  <c r="K176" i="175"/>
  <c r="K171" i="175"/>
  <c r="K160" i="175"/>
  <c r="K186" i="175"/>
  <c r="K182" i="175"/>
  <c r="K177" i="175"/>
  <c r="K166" i="175"/>
  <c r="K187" i="175"/>
  <c r="K190" i="175"/>
  <c r="K188" i="175"/>
  <c r="K168" i="175"/>
  <c r="K174" i="175"/>
  <c r="K165" i="175"/>
  <c r="K184" i="175"/>
  <c r="K179" i="175"/>
  <c r="K209" i="175"/>
  <c r="K200" i="175"/>
  <c r="K197" i="175"/>
  <c r="K175" i="175"/>
  <c r="K167" i="175"/>
  <c r="K195" i="175"/>
  <c r="K180" i="175"/>
  <c r="K163" i="175"/>
  <c r="K162" i="175"/>
  <c r="K159" i="175"/>
  <c r="K178" i="175"/>
  <c r="K158" i="175"/>
  <c r="K161" i="175"/>
  <c r="L1" i="175"/>
  <c r="L98" i="175" l="1"/>
  <c r="L28" i="175"/>
  <c r="L37" i="175"/>
  <c r="L38" i="175"/>
  <c r="L34" i="175"/>
  <c r="L35" i="175"/>
  <c r="L36" i="175"/>
  <c r="L80" i="175"/>
  <c r="L8" i="175"/>
  <c r="L20" i="175"/>
  <c r="L32" i="175"/>
  <c r="L15" i="175"/>
  <c r="L27" i="175"/>
  <c r="L10" i="175"/>
  <c r="L22" i="175"/>
  <c r="L5" i="175"/>
  <c r="L17" i="175"/>
  <c r="L29" i="175"/>
  <c r="L12" i="175"/>
  <c r="L24" i="175"/>
  <c r="L7" i="175"/>
  <c r="L19" i="175"/>
  <c r="L31" i="175"/>
  <c r="L4" i="175"/>
  <c r="L9" i="175"/>
  <c r="L33" i="175"/>
  <c r="L40" i="175"/>
  <c r="L52" i="175"/>
  <c r="L16" i="175"/>
  <c r="L47" i="175"/>
  <c r="L23" i="175"/>
  <c r="L42" i="175"/>
  <c r="L54" i="175"/>
  <c r="L6" i="175"/>
  <c r="L30" i="175"/>
  <c r="L49" i="175"/>
  <c r="L13" i="175"/>
  <c r="L44" i="175"/>
  <c r="L14" i="175"/>
  <c r="L39" i="175"/>
  <c r="L51" i="175"/>
  <c r="L21" i="175"/>
  <c r="L46" i="175"/>
  <c r="L11" i="175"/>
  <c r="L48" i="175"/>
  <c r="L25" i="175"/>
  <c r="L50" i="175"/>
  <c r="L60" i="175"/>
  <c r="L72" i="175"/>
  <c r="L55" i="175"/>
  <c r="L67" i="175"/>
  <c r="L45" i="175"/>
  <c r="L62" i="175"/>
  <c r="L74" i="175"/>
  <c r="L53" i="175"/>
  <c r="L57" i="175"/>
  <c r="L69" i="175"/>
  <c r="L18" i="175"/>
  <c r="L64" i="175"/>
  <c r="L76" i="175"/>
  <c r="L59" i="175"/>
  <c r="L71" i="175"/>
  <c r="L56" i="175"/>
  <c r="L68" i="175"/>
  <c r="L63" i="175"/>
  <c r="L75" i="175"/>
  <c r="L43" i="175"/>
  <c r="L58" i="175"/>
  <c r="L70" i="175"/>
  <c r="L41" i="175"/>
  <c r="L81" i="175"/>
  <c r="L93" i="175"/>
  <c r="L106" i="175"/>
  <c r="L78" i="175"/>
  <c r="L88" i="175"/>
  <c r="L101" i="175"/>
  <c r="L65" i="175"/>
  <c r="L77" i="175"/>
  <c r="L83" i="175"/>
  <c r="L95" i="175"/>
  <c r="L90" i="175"/>
  <c r="L103" i="175"/>
  <c r="L73" i="175"/>
  <c r="L85" i="175"/>
  <c r="L97" i="175"/>
  <c r="L92" i="175"/>
  <c r="L105" i="175"/>
  <c r="L26" i="175"/>
  <c r="L89" i="175"/>
  <c r="L102" i="175"/>
  <c r="L66" i="175"/>
  <c r="L84" i="175"/>
  <c r="L96" i="175"/>
  <c r="L91" i="175"/>
  <c r="L104" i="175"/>
  <c r="L87" i="175"/>
  <c r="L115" i="175"/>
  <c r="L127" i="175"/>
  <c r="L110" i="175"/>
  <c r="L122" i="175"/>
  <c r="L99" i="175"/>
  <c r="L117" i="175"/>
  <c r="L129" i="175"/>
  <c r="L112" i="175"/>
  <c r="L124" i="175"/>
  <c r="L61" i="175"/>
  <c r="L107" i="175"/>
  <c r="L119" i="175"/>
  <c r="L86" i="175"/>
  <c r="L114" i="175"/>
  <c r="L126" i="175"/>
  <c r="L109" i="175"/>
  <c r="L121" i="175"/>
  <c r="L111" i="175"/>
  <c r="L123" i="175"/>
  <c r="L100" i="175"/>
  <c r="L118" i="175"/>
  <c r="L82" i="175"/>
  <c r="L113" i="175"/>
  <c r="L125" i="175"/>
  <c r="L116" i="175"/>
  <c r="L132" i="175"/>
  <c r="L144" i="175"/>
  <c r="L156" i="175"/>
  <c r="L139" i="175"/>
  <c r="L151" i="175"/>
  <c r="L128" i="175"/>
  <c r="L134" i="175"/>
  <c r="L146" i="175"/>
  <c r="L141" i="175"/>
  <c r="L153" i="175"/>
  <c r="L94" i="175"/>
  <c r="L136" i="175"/>
  <c r="L148" i="175"/>
  <c r="L130" i="175"/>
  <c r="L143" i="175"/>
  <c r="L155" i="175"/>
  <c r="L131" i="175"/>
  <c r="L138" i="175"/>
  <c r="L150" i="175"/>
  <c r="L140" i="175"/>
  <c r="L152" i="175"/>
  <c r="L79" i="175"/>
  <c r="L142" i="175"/>
  <c r="L154" i="175"/>
  <c r="L137" i="175"/>
  <c r="L149" i="175"/>
  <c r="L120" i="175"/>
  <c r="L147" i="175"/>
  <c r="L3" i="175"/>
  <c r="L135" i="175"/>
  <c r="L133" i="175"/>
  <c r="L108" i="175"/>
  <c r="L145" i="175"/>
  <c r="L157" i="175"/>
  <c r="L219" i="175"/>
  <c r="L207" i="175"/>
  <c r="L212" i="175"/>
  <c r="L217" i="175"/>
  <c r="L210" i="175"/>
  <c r="L198" i="175"/>
  <c r="L215" i="175"/>
  <c r="L220" i="175"/>
  <c r="L208" i="175"/>
  <c r="L218" i="175"/>
  <c r="L206" i="175"/>
  <c r="L194" i="175"/>
  <c r="L211" i="175"/>
  <c r="L199" i="175"/>
  <c r="L216" i="175"/>
  <c r="L204" i="175"/>
  <c r="L221" i="175"/>
  <c r="L209" i="175"/>
  <c r="L197" i="175"/>
  <c r="L193" i="175"/>
  <c r="L178" i="175"/>
  <c r="L203" i="175"/>
  <c r="L186" i="175"/>
  <c r="L174" i="175"/>
  <c r="L213" i="175"/>
  <c r="L195" i="175"/>
  <c r="L185" i="175"/>
  <c r="L176" i="175"/>
  <c r="L181" i="175"/>
  <c r="L191" i="175"/>
  <c r="L182" i="175"/>
  <c r="L214" i="175"/>
  <c r="L187" i="175"/>
  <c r="L163" i="175"/>
  <c r="L190" i="175"/>
  <c r="L188" i="175"/>
  <c r="L183" i="175"/>
  <c r="L169" i="175"/>
  <c r="L165" i="175"/>
  <c r="L159" i="175"/>
  <c r="L202" i="175"/>
  <c r="L201" i="175"/>
  <c r="L184" i="175"/>
  <c r="L179" i="175"/>
  <c r="L205" i="175"/>
  <c r="L200" i="175"/>
  <c r="L192" i="175"/>
  <c r="L189" i="175"/>
  <c r="L180" i="175"/>
  <c r="L196" i="175"/>
  <c r="L171" i="175"/>
  <c r="L164" i="175"/>
  <c r="L160" i="175"/>
  <c r="L175" i="175"/>
  <c r="L170" i="175"/>
  <c r="L167" i="175"/>
  <c r="L173" i="175"/>
  <c r="L168" i="175"/>
  <c r="L166" i="175"/>
  <c r="L158" i="175"/>
  <c r="L177" i="175"/>
  <c r="L172" i="175"/>
  <c r="L161" i="175"/>
  <c r="L162" i="175"/>
  <c r="M1" i="175"/>
  <c r="M98" i="175" l="1"/>
  <c r="M28" i="175"/>
  <c r="M36" i="175"/>
  <c r="M37" i="175"/>
  <c r="M38" i="175"/>
  <c r="M35" i="175"/>
  <c r="M34" i="175"/>
  <c r="M80" i="175"/>
  <c r="M13" i="175"/>
  <c r="M25" i="175"/>
  <c r="M8" i="175"/>
  <c r="M20" i="175"/>
  <c r="M32" i="175"/>
  <c r="M15" i="175"/>
  <c r="M27" i="175"/>
  <c r="M10" i="175"/>
  <c r="M22" i="175"/>
  <c r="M5" i="175"/>
  <c r="M17" i="175"/>
  <c r="M29" i="175"/>
  <c r="M12" i="175"/>
  <c r="M24" i="175"/>
  <c r="M4" i="175"/>
  <c r="M26" i="175"/>
  <c r="M45" i="175"/>
  <c r="M9" i="175"/>
  <c r="M33" i="175"/>
  <c r="M40" i="175"/>
  <c r="M52" i="175"/>
  <c r="M16" i="175"/>
  <c r="M47" i="175"/>
  <c r="M23" i="175"/>
  <c r="M42" i="175"/>
  <c r="M54" i="175"/>
  <c r="M6" i="175"/>
  <c r="M30" i="175"/>
  <c r="M49" i="175"/>
  <c r="M7" i="175"/>
  <c r="M31" i="175"/>
  <c r="M44" i="175"/>
  <c r="M14" i="175"/>
  <c r="M39" i="175"/>
  <c r="M51" i="175"/>
  <c r="M41" i="175"/>
  <c r="M53" i="175"/>
  <c r="M18" i="175"/>
  <c r="M43" i="175"/>
  <c r="M65" i="175"/>
  <c r="M77" i="175"/>
  <c r="M11" i="175"/>
  <c r="M48" i="175"/>
  <c r="M60" i="175"/>
  <c r="M72" i="175"/>
  <c r="M55" i="175"/>
  <c r="M67" i="175"/>
  <c r="M21" i="175"/>
  <c r="M62" i="175"/>
  <c r="M74" i="175"/>
  <c r="M57" i="175"/>
  <c r="M69" i="175"/>
  <c r="M50" i="175"/>
  <c r="M64" i="175"/>
  <c r="M76" i="175"/>
  <c r="M19" i="175"/>
  <c r="M61" i="175"/>
  <c r="M73" i="175"/>
  <c r="M46" i="175"/>
  <c r="M56" i="175"/>
  <c r="M68" i="175"/>
  <c r="M63" i="175"/>
  <c r="M75" i="175"/>
  <c r="M71" i="175"/>
  <c r="M86" i="175"/>
  <c r="M99" i="175"/>
  <c r="M81" i="175"/>
  <c r="M93" i="175"/>
  <c r="M78" i="175"/>
  <c r="M88" i="175"/>
  <c r="M101" i="175"/>
  <c r="M59" i="175"/>
  <c r="M83" i="175"/>
  <c r="M95" i="175"/>
  <c r="M90" i="175"/>
  <c r="M103" i="175"/>
  <c r="M70" i="175"/>
  <c r="M85" i="175"/>
  <c r="M97" i="175"/>
  <c r="M58" i="175"/>
  <c r="M79" i="175"/>
  <c r="M82" i="175"/>
  <c r="M94" i="175"/>
  <c r="M89" i="175"/>
  <c r="M102" i="175"/>
  <c r="M66" i="175"/>
  <c r="M84" i="175"/>
  <c r="M96" i="175"/>
  <c r="M106" i="175"/>
  <c r="M108" i="175"/>
  <c r="M120" i="175"/>
  <c r="M87" i="175"/>
  <c r="M105" i="175"/>
  <c r="M115" i="175"/>
  <c r="M127" i="175"/>
  <c r="M110" i="175"/>
  <c r="M122" i="175"/>
  <c r="M92" i="175"/>
  <c r="M117" i="175"/>
  <c r="M129" i="175"/>
  <c r="M112" i="175"/>
  <c r="M124" i="175"/>
  <c r="M104" i="175"/>
  <c r="M107" i="175"/>
  <c r="M119" i="175"/>
  <c r="M114" i="175"/>
  <c r="M126" i="175"/>
  <c r="M91" i="175"/>
  <c r="M116" i="175"/>
  <c r="M128" i="175"/>
  <c r="M111" i="175"/>
  <c r="M123" i="175"/>
  <c r="M100" i="175"/>
  <c r="M118" i="175"/>
  <c r="M130" i="175"/>
  <c r="M109" i="175"/>
  <c r="M137" i="175"/>
  <c r="M149" i="175"/>
  <c r="M132" i="175"/>
  <c r="M144" i="175"/>
  <c r="M156" i="175"/>
  <c r="M121" i="175"/>
  <c r="M139" i="175"/>
  <c r="M151" i="175"/>
  <c r="M134" i="175"/>
  <c r="M146" i="175"/>
  <c r="M141" i="175"/>
  <c r="M153" i="175"/>
  <c r="M136" i="175"/>
  <c r="M148" i="175"/>
  <c r="M143" i="175"/>
  <c r="M155" i="175"/>
  <c r="M133" i="175"/>
  <c r="M145" i="175"/>
  <c r="M157" i="175"/>
  <c r="M135" i="175"/>
  <c r="M147" i="175"/>
  <c r="M125" i="175"/>
  <c r="M142" i="175"/>
  <c r="M154" i="175"/>
  <c r="M113" i="175"/>
  <c r="M3" i="175"/>
  <c r="M140" i="175"/>
  <c r="M131" i="175"/>
  <c r="M138" i="175"/>
  <c r="M152" i="175"/>
  <c r="M150" i="175"/>
  <c r="M212" i="175"/>
  <c r="M200" i="175"/>
  <c r="M217" i="175"/>
  <c r="M210" i="175"/>
  <c r="M215" i="175"/>
  <c r="M203" i="175"/>
  <c r="M191" i="175"/>
  <c r="M220" i="175"/>
  <c r="M208" i="175"/>
  <c r="M213" i="175"/>
  <c r="M218" i="175"/>
  <c r="M211" i="175"/>
  <c r="M199" i="175"/>
  <c r="M216" i="175"/>
  <c r="M204" i="175"/>
  <c r="M221" i="175"/>
  <c r="M209" i="175"/>
  <c r="M214" i="175"/>
  <c r="M202" i="175"/>
  <c r="M190" i="175"/>
  <c r="M219" i="175"/>
  <c r="M183" i="175"/>
  <c r="M171" i="175"/>
  <c r="M201" i="175"/>
  <c r="M197" i="175"/>
  <c r="M195" i="175"/>
  <c r="M179" i="175"/>
  <c r="M193" i="175"/>
  <c r="M184" i="175"/>
  <c r="M178" i="175"/>
  <c r="M182" i="175"/>
  <c r="M169" i="175"/>
  <c r="M206" i="175"/>
  <c r="M186" i="175"/>
  <c r="M158" i="175"/>
  <c r="M194" i="175"/>
  <c r="M177" i="175"/>
  <c r="M172" i="175"/>
  <c r="M166" i="175"/>
  <c r="M187" i="175"/>
  <c r="M161" i="175"/>
  <c r="M188" i="175"/>
  <c r="M207" i="175"/>
  <c r="M174" i="175"/>
  <c r="M205" i="175"/>
  <c r="M192" i="175"/>
  <c r="M189" i="175"/>
  <c r="M175" i="175"/>
  <c r="M170" i="175"/>
  <c r="M167" i="175"/>
  <c r="M162" i="175"/>
  <c r="M198" i="175"/>
  <c r="M180" i="175"/>
  <c r="M196" i="175"/>
  <c r="M185" i="175"/>
  <c r="M164" i="175"/>
  <c r="M181" i="175"/>
  <c r="M176" i="175"/>
  <c r="M173" i="175"/>
  <c r="M168" i="175"/>
  <c r="M165" i="175"/>
  <c r="M160" i="175"/>
  <c r="M163" i="175"/>
  <c r="M159" i="175"/>
  <c r="N1" i="175"/>
  <c r="N98" i="175" l="1"/>
  <c r="N28" i="175"/>
  <c r="N34" i="175"/>
  <c r="N36" i="175"/>
  <c r="N38" i="175"/>
  <c r="N37" i="175"/>
  <c r="N35" i="175"/>
  <c r="N80" i="175"/>
  <c r="N6" i="175"/>
  <c r="N18" i="175"/>
  <c r="N30" i="175"/>
  <c r="N13" i="175"/>
  <c r="N25" i="175"/>
  <c r="N8" i="175"/>
  <c r="N20" i="175"/>
  <c r="N32" i="175"/>
  <c r="N15" i="175"/>
  <c r="N27" i="175"/>
  <c r="N10" i="175"/>
  <c r="N22" i="175"/>
  <c r="N5" i="175"/>
  <c r="N17" i="175"/>
  <c r="N29" i="175"/>
  <c r="N4" i="175"/>
  <c r="N19" i="175"/>
  <c r="N50" i="175"/>
  <c r="N26" i="175"/>
  <c r="N45" i="175"/>
  <c r="N9" i="175"/>
  <c r="N33" i="175"/>
  <c r="N40" i="175"/>
  <c r="N52" i="175"/>
  <c r="N16" i="175"/>
  <c r="N47" i="175"/>
  <c r="N23" i="175"/>
  <c r="N42" i="175"/>
  <c r="N54" i="175"/>
  <c r="N24" i="175"/>
  <c r="N49" i="175"/>
  <c r="N7" i="175"/>
  <c r="N31" i="175"/>
  <c r="N44" i="175"/>
  <c r="N21" i="175"/>
  <c r="N46" i="175"/>
  <c r="N11" i="175"/>
  <c r="N48" i="175"/>
  <c r="N14" i="175"/>
  <c r="N51" i="175"/>
  <c r="N58" i="175"/>
  <c r="N70" i="175"/>
  <c r="N65" i="175"/>
  <c r="N77" i="175"/>
  <c r="N60" i="175"/>
  <c r="N72" i="175"/>
  <c r="N39" i="175"/>
  <c r="N55" i="175"/>
  <c r="N67" i="175"/>
  <c r="N53" i="175"/>
  <c r="N62" i="175"/>
  <c r="N74" i="175"/>
  <c r="N12" i="175"/>
  <c r="N57" i="175"/>
  <c r="N69" i="175"/>
  <c r="N66" i="175"/>
  <c r="N78" i="175"/>
  <c r="N61" i="175"/>
  <c r="N73" i="175"/>
  <c r="N56" i="175"/>
  <c r="N68" i="175"/>
  <c r="N91" i="175"/>
  <c r="N104" i="175"/>
  <c r="N41" i="175"/>
  <c r="N71" i="175"/>
  <c r="N86" i="175"/>
  <c r="N99" i="175"/>
  <c r="N81" i="175"/>
  <c r="N93" i="175"/>
  <c r="N76" i="175"/>
  <c r="N88" i="175"/>
  <c r="N101" i="175"/>
  <c r="N59" i="175"/>
  <c r="N83" i="175"/>
  <c r="N95" i="175"/>
  <c r="N43" i="175"/>
  <c r="N90" i="175"/>
  <c r="N103" i="175"/>
  <c r="N75" i="175"/>
  <c r="N87" i="175"/>
  <c r="N100" i="175"/>
  <c r="N79" i="175"/>
  <c r="N82" i="175"/>
  <c r="N94" i="175"/>
  <c r="N89" i="175"/>
  <c r="N102" i="175"/>
  <c r="N113" i="175"/>
  <c r="N125" i="175"/>
  <c r="N106" i="175"/>
  <c r="N108" i="175"/>
  <c r="N120" i="175"/>
  <c r="N84" i="175"/>
  <c r="N105" i="175"/>
  <c r="N115" i="175"/>
  <c r="N127" i="175"/>
  <c r="N110" i="175"/>
  <c r="N122" i="175"/>
  <c r="N92" i="175"/>
  <c r="N117" i="175"/>
  <c r="N129" i="175"/>
  <c r="N112" i="175"/>
  <c r="N124" i="175"/>
  <c r="N97" i="175"/>
  <c r="N107" i="175"/>
  <c r="N119" i="175"/>
  <c r="N63" i="175"/>
  <c r="N109" i="175"/>
  <c r="N121" i="175"/>
  <c r="N64" i="175"/>
  <c r="N85" i="175"/>
  <c r="N116" i="175"/>
  <c r="N128" i="175"/>
  <c r="N111" i="175"/>
  <c r="N123" i="175"/>
  <c r="N142" i="175"/>
  <c r="N154" i="175"/>
  <c r="N137" i="175"/>
  <c r="N149" i="175"/>
  <c r="N114" i="175"/>
  <c r="N132" i="175"/>
  <c r="N144" i="175"/>
  <c r="N156" i="175"/>
  <c r="N139" i="175"/>
  <c r="N151" i="175"/>
  <c r="N126" i="175"/>
  <c r="N134" i="175"/>
  <c r="N146" i="175"/>
  <c r="N141" i="175"/>
  <c r="N153" i="175"/>
  <c r="N130" i="175"/>
  <c r="N136" i="175"/>
  <c r="N148" i="175"/>
  <c r="N131" i="175"/>
  <c r="N138" i="175"/>
  <c r="N150" i="175"/>
  <c r="N140" i="175"/>
  <c r="N152" i="175"/>
  <c r="N118" i="175"/>
  <c r="N135" i="175"/>
  <c r="N147" i="175"/>
  <c r="N155" i="175"/>
  <c r="N133" i="175"/>
  <c r="N96" i="175"/>
  <c r="N157" i="175"/>
  <c r="N3" i="175"/>
  <c r="N145" i="175"/>
  <c r="N143" i="175"/>
  <c r="N217" i="175"/>
  <c r="N205" i="175"/>
  <c r="N210" i="175"/>
  <c r="N215" i="175"/>
  <c r="N220" i="175"/>
  <c r="N208" i="175"/>
  <c r="N196" i="175"/>
  <c r="N213" i="175"/>
  <c r="N218" i="175"/>
  <c r="N206" i="175"/>
  <c r="N216" i="175"/>
  <c r="N204" i="175"/>
  <c r="N192" i="175"/>
  <c r="N221" i="175"/>
  <c r="N209" i="175"/>
  <c r="N197" i="175"/>
  <c r="N214" i="175"/>
  <c r="N219" i="175"/>
  <c r="N207" i="175"/>
  <c r="N195" i="175"/>
  <c r="N211" i="175"/>
  <c r="N188" i="175"/>
  <c r="N176" i="175"/>
  <c r="N199" i="175"/>
  <c r="N184" i="175"/>
  <c r="N172" i="175"/>
  <c r="N177" i="175"/>
  <c r="N171" i="175"/>
  <c r="N167" i="175"/>
  <c r="N212" i="175"/>
  <c r="N189" i="175"/>
  <c r="N175" i="175"/>
  <c r="N194" i="175"/>
  <c r="N191" i="175"/>
  <c r="N166" i="175"/>
  <c r="N187" i="175"/>
  <c r="N182" i="175"/>
  <c r="N163" i="175"/>
  <c r="N173" i="175"/>
  <c r="N168" i="175"/>
  <c r="N193" i="175"/>
  <c r="N190" i="175"/>
  <c r="N183" i="175"/>
  <c r="N203" i="175"/>
  <c r="N202" i="175"/>
  <c r="N201" i="175"/>
  <c r="N179" i="175"/>
  <c r="N200" i="175"/>
  <c r="N170" i="175"/>
  <c r="N198" i="175"/>
  <c r="N180" i="175"/>
  <c r="N185" i="175"/>
  <c r="N181" i="175"/>
  <c r="N186" i="175"/>
  <c r="N164" i="175"/>
  <c r="N159" i="175"/>
  <c r="N158" i="175"/>
  <c r="N161" i="175"/>
  <c r="N178" i="175"/>
  <c r="N165" i="175"/>
  <c r="N162" i="175"/>
  <c r="N160" i="175"/>
  <c r="N174" i="175"/>
  <c r="N169" i="175"/>
  <c r="O1" i="175"/>
  <c r="T23" i="172"/>
  <c r="T24" i="172"/>
  <c r="B52" i="172"/>
  <c r="B54" i="172"/>
  <c r="B55" i="172"/>
  <c r="B56" i="172"/>
  <c r="O98" i="175" l="1"/>
  <c r="O28" i="175"/>
  <c r="O34" i="175"/>
  <c r="O36" i="175"/>
  <c r="O37" i="175"/>
  <c r="O38" i="175"/>
  <c r="O35" i="175"/>
  <c r="O80" i="175"/>
  <c r="O11" i="175"/>
  <c r="O23" i="175"/>
  <c r="O6" i="175"/>
  <c r="O18" i="175"/>
  <c r="O30" i="175"/>
  <c r="O13" i="175"/>
  <c r="O25" i="175"/>
  <c r="O8" i="175"/>
  <c r="O20" i="175"/>
  <c r="O32" i="175"/>
  <c r="O15" i="175"/>
  <c r="O27" i="175"/>
  <c r="O10" i="175"/>
  <c r="O22" i="175"/>
  <c r="O4" i="175"/>
  <c r="O12" i="175"/>
  <c r="O43" i="175"/>
  <c r="O19" i="175"/>
  <c r="O50" i="175"/>
  <c r="O26" i="175"/>
  <c r="O45" i="175"/>
  <c r="O9" i="175"/>
  <c r="O33" i="175"/>
  <c r="O40" i="175"/>
  <c r="O52" i="175"/>
  <c r="O16" i="175"/>
  <c r="O47" i="175"/>
  <c r="O17" i="175"/>
  <c r="O42" i="175"/>
  <c r="O54" i="175"/>
  <c r="O24" i="175"/>
  <c r="O49" i="175"/>
  <c r="O14" i="175"/>
  <c r="O39" i="175"/>
  <c r="O51" i="175"/>
  <c r="O41" i="175"/>
  <c r="O53" i="175"/>
  <c r="O63" i="175"/>
  <c r="O75" i="175"/>
  <c r="O58" i="175"/>
  <c r="O70" i="175"/>
  <c r="O5" i="175"/>
  <c r="O48" i="175"/>
  <c r="O65" i="175"/>
  <c r="O77" i="175"/>
  <c r="O60" i="175"/>
  <c r="O72" i="175"/>
  <c r="O21" i="175"/>
  <c r="O55" i="175"/>
  <c r="O67" i="175"/>
  <c r="O62" i="175"/>
  <c r="O74" i="175"/>
  <c r="O59" i="175"/>
  <c r="O71" i="175"/>
  <c r="O7" i="175"/>
  <c r="O66" i="175"/>
  <c r="O46" i="175"/>
  <c r="O61" i="175"/>
  <c r="O73" i="175"/>
  <c r="O31" i="175"/>
  <c r="O57" i="175"/>
  <c r="O84" i="175"/>
  <c r="O96" i="175"/>
  <c r="O91" i="175"/>
  <c r="O104" i="175"/>
  <c r="O68" i="175"/>
  <c r="O86" i="175"/>
  <c r="O99" i="175"/>
  <c r="O78" i="175"/>
  <c r="O81" i="175"/>
  <c r="O93" i="175"/>
  <c r="O76" i="175"/>
  <c r="O88" i="175"/>
  <c r="O101" i="175"/>
  <c r="O56" i="175"/>
  <c r="O83" i="175"/>
  <c r="O95" i="175"/>
  <c r="O92" i="175"/>
  <c r="O105" i="175"/>
  <c r="O69" i="175"/>
  <c r="O87" i="175"/>
  <c r="O100" i="175"/>
  <c r="O79" i="175"/>
  <c r="O82" i="175"/>
  <c r="O94" i="175"/>
  <c r="O90" i="175"/>
  <c r="O118" i="175"/>
  <c r="O130" i="175"/>
  <c r="O113" i="175"/>
  <c r="O125" i="175"/>
  <c r="O102" i="175"/>
  <c r="O106" i="175"/>
  <c r="O108" i="175"/>
  <c r="O120" i="175"/>
  <c r="O115" i="175"/>
  <c r="O127" i="175"/>
  <c r="O110" i="175"/>
  <c r="O122" i="175"/>
  <c r="O29" i="175"/>
  <c r="O89" i="175"/>
  <c r="O117" i="175"/>
  <c r="O129" i="175"/>
  <c r="O112" i="175"/>
  <c r="O124" i="175"/>
  <c r="O114" i="175"/>
  <c r="O126" i="175"/>
  <c r="O44" i="175"/>
  <c r="O103" i="175"/>
  <c r="O109" i="175"/>
  <c r="O121" i="175"/>
  <c r="O64" i="175"/>
  <c r="O85" i="175"/>
  <c r="O116" i="175"/>
  <c r="O128" i="175"/>
  <c r="O135" i="175"/>
  <c r="O147" i="175"/>
  <c r="O123" i="175"/>
  <c r="O142" i="175"/>
  <c r="O154" i="175"/>
  <c r="O107" i="175"/>
  <c r="O137" i="175"/>
  <c r="O149" i="175"/>
  <c r="O132" i="175"/>
  <c r="O144" i="175"/>
  <c r="O156" i="175"/>
  <c r="O119" i="175"/>
  <c r="O139" i="175"/>
  <c r="O151" i="175"/>
  <c r="O134" i="175"/>
  <c r="O146" i="175"/>
  <c r="O141" i="175"/>
  <c r="O153" i="175"/>
  <c r="O97" i="175"/>
  <c r="O143" i="175"/>
  <c r="O155" i="175"/>
  <c r="O133" i="175"/>
  <c r="O145" i="175"/>
  <c r="O157" i="175"/>
  <c r="O111" i="175"/>
  <c r="O140" i="175"/>
  <c r="O152" i="175"/>
  <c r="O148" i="175"/>
  <c r="O3" i="175"/>
  <c r="O150" i="175"/>
  <c r="O131" i="175"/>
  <c r="O138" i="175"/>
  <c r="O136" i="175"/>
  <c r="O210" i="175"/>
  <c r="O198" i="175"/>
  <c r="O215" i="175"/>
  <c r="O220" i="175"/>
  <c r="O208" i="175"/>
  <c r="O213" i="175"/>
  <c r="O201" i="175"/>
  <c r="O189" i="175"/>
  <c r="O218" i="175"/>
  <c r="O211" i="175"/>
  <c r="O216" i="175"/>
  <c r="O221" i="175"/>
  <c r="O209" i="175"/>
  <c r="O197" i="175"/>
  <c r="O214" i="175"/>
  <c r="O202" i="175"/>
  <c r="O219" i="175"/>
  <c r="O207" i="175"/>
  <c r="O212" i="175"/>
  <c r="O200" i="175"/>
  <c r="O217" i="175"/>
  <c r="O194" i="175"/>
  <c r="O181" i="175"/>
  <c r="O169" i="175"/>
  <c r="O177" i="175"/>
  <c r="O170" i="175"/>
  <c r="O188" i="175"/>
  <c r="O187" i="175"/>
  <c r="O182" i="175"/>
  <c r="O172" i="175"/>
  <c r="O163" i="175"/>
  <c r="O161" i="175"/>
  <c r="O193" i="175"/>
  <c r="O190" i="175"/>
  <c r="O183" i="175"/>
  <c r="O178" i="175"/>
  <c r="O165" i="175"/>
  <c r="O159" i="175"/>
  <c r="O203" i="175"/>
  <c r="O205" i="175"/>
  <c r="O184" i="175"/>
  <c r="O162" i="175"/>
  <c r="O204" i="175"/>
  <c r="O192" i="175"/>
  <c r="O180" i="175"/>
  <c r="O175" i="175"/>
  <c r="O167" i="175"/>
  <c r="O199" i="175"/>
  <c r="O185" i="175"/>
  <c r="O164" i="175"/>
  <c r="O160" i="175"/>
  <c r="O196" i="175"/>
  <c r="O195" i="175"/>
  <c r="O186" i="175"/>
  <c r="O176" i="175"/>
  <c r="O171" i="175"/>
  <c r="O206" i="175"/>
  <c r="O191" i="175"/>
  <c r="O166" i="175"/>
  <c r="O173" i="175"/>
  <c r="O168" i="175"/>
  <c r="O179" i="175"/>
  <c r="O158" i="175"/>
  <c r="O174" i="175"/>
  <c r="P1" i="175"/>
  <c r="B53" i="172"/>
  <c r="B57" i="172" s="1"/>
  <c r="P98" i="175" l="1"/>
  <c r="P28" i="175"/>
  <c r="P34" i="175"/>
  <c r="P35" i="175"/>
  <c r="P36" i="175"/>
  <c r="P37" i="175"/>
  <c r="P38" i="175"/>
  <c r="P80" i="175"/>
  <c r="P4" i="175"/>
  <c r="P16" i="175"/>
  <c r="P11" i="175"/>
  <c r="P23" i="175"/>
  <c r="P6" i="175"/>
  <c r="P18" i="175"/>
  <c r="P30" i="175"/>
  <c r="P13" i="175"/>
  <c r="P25" i="175"/>
  <c r="P8" i="175"/>
  <c r="P20" i="175"/>
  <c r="P32" i="175"/>
  <c r="P15" i="175"/>
  <c r="P27" i="175"/>
  <c r="P5" i="175"/>
  <c r="P29" i="175"/>
  <c r="P48" i="175"/>
  <c r="P12" i="175"/>
  <c r="P43" i="175"/>
  <c r="P19" i="175"/>
  <c r="P50" i="175"/>
  <c r="P26" i="175"/>
  <c r="P45" i="175"/>
  <c r="P9" i="175"/>
  <c r="P33" i="175"/>
  <c r="P40" i="175"/>
  <c r="P52" i="175"/>
  <c r="P10" i="175"/>
  <c r="P47" i="175"/>
  <c r="P17" i="175"/>
  <c r="P42" i="175"/>
  <c r="P7" i="175"/>
  <c r="P31" i="175"/>
  <c r="P44" i="175"/>
  <c r="P21" i="175"/>
  <c r="P46" i="175"/>
  <c r="P54" i="175"/>
  <c r="P56" i="175"/>
  <c r="P68" i="175"/>
  <c r="P14" i="175"/>
  <c r="P51" i="175"/>
  <c r="P63" i="175"/>
  <c r="P75" i="175"/>
  <c r="P58" i="175"/>
  <c r="P70" i="175"/>
  <c r="P24" i="175"/>
  <c r="P65" i="175"/>
  <c r="P77" i="175"/>
  <c r="P39" i="175"/>
  <c r="P60" i="175"/>
  <c r="P72" i="175"/>
  <c r="P53" i="175"/>
  <c r="P55" i="175"/>
  <c r="P67" i="175"/>
  <c r="P22" i="175"/>
  <c r="P41" i="175"/>
  <c r="P64" i="175"/>
  <c r="P76" i="175"/>
  <c r="P49" i="175"/>
  <c r="P59" i="175"/>
  <c r="P71" i="175"/>
  <c r="P66" i="175"/>
  <c r="P74" i="175"/>
  <c r="P89" i="175"/>
  <c r="P102" i="175"/>
  <c r="P57" i="175"/>
  <c r="P84" i="175"/>
  <c r="P96" i="175"/>
  <c r="P91" i="175"/>
  <c r="P104" i="175"/>
  <c r="P62" i="175"/>
  <c r="P86" i="175"/>
  <c r="P99" i="175"/>
  <c r="P78" i="175"/>
  <c r="P81" i="175"/>
  <c r="P93" i="175"/>
  <c r="P73" i="175"/>
  <c r="P88" i="175"/>
  <c r="P101" i="175"/>
  <c r="P61" i="175"/>
  <c r="P85" i="175"/>
  <c r="P97" i="175"/>
  <c r="P92" i="175"/>
  <c r="P105" i="175"/>
  <c r="P69" i="175"/>
  <c r="P87" i="175"/>
  <c r="P100" i="175"/>
  <c r="P111" i="175"/>
  <c r="P123" i="175"/>
  <c r="P90" i="175"/>
  <c r="P118" i="175"/>
  <c r="P113" i="175"/>
  <c r="P125" i="175"/>
  <c r="P95" i="175"/>
  <c r="P106" i="175"/>
  <c r="P108" i="175"/>
  <c r="P120" i="175"/>
  <c r="P115" i="175"/>
  <c r="P127" i="175"/>
  <c r="P110" i="175"/>
  <c r="P122" i="175"/>
  <c r="P83" i="175"/>
  <c r="P117" i="175"/>
  <c r="P129" i="175"/>
  <c r="P79" i="175"/>
  <c r="P94" i="175"/>
  <c r="P107" i="175"/>
  <c r="P119" i="175"/>
  <c r="P114" i="175"/>
  <c r="P126" i="175"/>
  <c r="P103" i="175"/>
  <c r="P109" i="175"/>
  <c r="P121" i="175"/>
  <c r="P140" i="175"/>
  <c r="P152" i="175"/>
  <c r="P82" i="175"/>
  <c r="P116" i="175"/>
  <c r="P135" i="175"/>
  <c r="P147" i="175"/>
  <c r="P142" i="175"/>
  <c r="P154" i="175"/>
  <c r="P128" i="175"/>
  <c r="P137" i="175"/>
  <c r="P149" i="175"/>
  <c r="P112" i="175"/>
  <c r="P132" i="175"/>
  <c r="P144" i="175"/>
  <c r="P156" i="175"/>
  <c r="P139" i="175"/>
  <c r="P151" i="175"/>
  <c r="P124" i="175"/>
  <c r="P134" i="175"/>
  <c r="P146" i="175"/>
  <c r="P136" i="175"/>
  <c r="P148" i="175"/>
  <c r="P131" i="175"/>
  <c r="P138" i="175"/>
  <c r="P150" i="175"/>
  <c r="P133" i="175"/>
  <c r="P145" i="175"/>
  <c r="P157" i="175"/>
  <c r="P141" i="175"/>
  <c r="P3" i="175"/>
  <c r="P155" i="175"/>
  <c r="P153" i="175"/>
  <c r="P130" i="175"/>
  <c r="P143" i="175"/>
  <c r="P215" i="175"/>
  <c r="P203" i="175"/>
  <c r="P220" i="175"/>
  <c r="P208" i="175"/>
  <c r="P213" i="175"/>
  <c r="P218" i="175"/>
  <c r="P206" i="175"/>
  <c r="P194" i="175"/>
  <c r="P211" i="175"/>
  <c r="P216" i="175"/>
  <c r="P221" i="175"/>
  <c r="P214" i="175"/>
  <c r="P202" i="175"/>
  <c r="P190" i="175"/>
  <c r="P219" i="175"/>
  <c r="P207" i="175"/>
  <c r="P195" i="175"/>
  <c r="P212" i="175"/>
  <c r="P217" i="175"/>
  <c r="P205" i="175"/>
  <c r="P193" i="175"/>
  <c r="P186" i="175"/>
  <c r="P174" i="175"/>
  <c r="P182" i="175"/>
  <c r="P170" i="175"/>
  <c r="P210" i="175"/>
  <c r="P191" i="175"/>
  <c r="P183" i="175"/>
  <c r="P165" i="175"/>
  <c r="P201" i="175"/>
  <c r="P187" i="175"/>
  <c r="P181" i="175"/>
  <c r="P177" i="175"/>
  <c r="P161" i="175"/>
  <c r="P173" i="175"/>
  <c r="P168" i="175"/>
  <c r="P178" i="175"/>
  <c r="P188" i="175"/>
  <c r="P184" i="175"/>
  <c r="P204" i="175"/>
  <c r="P200" i="175"/>
  <c r="P192" i="175"/>
  <c r="P180" i="175"/>
  <c r="P175" i="175"/>
  <c r="P167" i="175"/>
  <c r="P199" i="175"/>
  <c r="P198" i="175"/>
  <c r="P189" i="175"/>
  <c r="P185" i="175"/>
  <c r="P164" i="175"/>
  <c r="P209" i="175"/>
  <c r="P197" i="175"/>
  <c r="P196" i="175"/>
  <c r="P166" i="175"/>
  <c r="P172" i="175"/>
  <c r="P163" i="175"/>
  <c r="P176" i="175"/>
  <c r="P171" i="175"/>
  <c r="P179" i="175"/>
  <c r="P158" i="175"/>
  <c r="P162" i="175"/>
  <c r="P160" i="175"/>
  <c r="P169" i="175"/>
  <c r="P159" i="175"/>
  <c r="Q1" i="175"/>
  <c r="T64" i="170"/>
  <c r="Q98" i="175" l="1"/>
  <c r="Q28" i="175"/>
  <c r="Q37" i="175"/>
  <c r="Q34" i="175"/>
  <c r="Q36" i="175"/>
  <c r="Q38" i="175"/>
  <c r="Q35" i="175"/>
  <c r="Q80" i="175"/>
  <c r="Q9" i="175"/>
  <c r="Q21" i="175"/>
  <c r="Q33" i="175"/>
  <c r="Q4" i="175"/>
  <c r="Q16" i="175"/>
  <c r="Q11" i="175"/>
  <c r="Q23" i="175"/>
  <c r="Q6" i="175"/>
  <c r="Q18" i="175"/>
  <c r="Q30" i="175"/>
  <c r="Q13" i="175"/>
  <c r="Q25" i="175"/>
  <c r="Q8" i="175"/>
  <c r="Q20" i="175"/>
  <c r="Q32" i="175"/>
  <c r="Q22" i="175"/>
  <c r="Q41" i="175"/>
  <c r="Q53" i="175"/>
  <c r="Q5" i="175"/>
  <c r="Q29" i="175"/>
  <c r="Q48" i="175"/>
  <c r="Q12" i="175"/>
  <c r="Q43" i="175"/>
  <c r="Q19" i="175"/>
  <c r="Q50" i="175"/>
  <c r="Q26" i="175"/>
  <c r="Q45" i="175"/>
  <c r="Q27" i="175"/>
  <c r="Q40" i="175"/>
  <c r="Q52" i="175"/>
  <c r="Q10" i="175"/>
  <c r="Q47" i="175"/>
  <c r="Q24" i="175"/>
  <c r="Q49" i="175"/>
  <c r="Q14" i="175"/>
  <c r="Q39" i="175"/>
  <c r="Q51" i="175"/>
  <c r="Q17" i="175"/>
  <c r="Q61" i="175"/>
  <c r="Q73" i="175"/>
  <c r="Q54" i="175"/>
  <c r="Q56" i="175"/>
  <c r="Q68" i="175"/>
  <c r="Q63" i="175"/>
  <c r="Q75" i="175"/>
  <c r="Q42" i="175"/>
  <c r="Q58" i="175"/>
  <c r="Q70" i="175"/>
  <c r="Q65" i="175"/>
  <c r="Q77" i="175"/>
  <c r="Q15" i="175"/>
  <c r="Q60" i="175"/>
  <c r="Q72" i="175"/>
  <c r="Q57" i="175"/>
  <c r="Q69" i="175"/>
  <c r="Q64" i="175"/>
  <c r="Q7" i="175"/>
  <c r="Q59" i="175"/>
  <c r="Q71" i="175"/>
  <c r="Q79" i="175"/>
  <c r="Q82" i="175"/>
  <c r="Q94" i="175"/>
  <c r="Q31" i="175"/>
  <c r="Q74" i="175"/>
  <c r="Q89" i="175"/>
  <c r="Q102" i="175"/>
  <c r="Q84" i="175"/>
  <c r="Q96" i="175"/>
  <c r="Q91" i="175"/>
  <c r="Q104" i="175"/>
  <c r="Q62" i="175"/>
  <c r="Q86" i="175"/>
  <c r="Q99" i="175"/>
  <c r="Q76" i="175"/>
  <c r="Q78" i="175"/>
  <c r="Q81" i="175"/>
  <c r="Q93" i="175"/>
  <c r="Q90" i="175"/>
  <c r="Q103" i="175"/>
  <c r="Q55" i="175"/>
  <c r="Q85" i="175"/>
  <c r="Q97" i="175"/>
  <c r="Q92" i="175"/>
  <c r="Q116" i="175"/>
  <c r="Q128" i="175"/>
  <c r="Q111" i="175"/>
  <c r="Q123" i="175"/>
  <c r="Q66" i="175"/>
  <c r="Q87" i="175"/>
  <c r="Q118" i="175"/>
  <c r="Q130" i="175"/>
  <c r="Q67" i="175"/>
  <c r="Q105" i="175"/>
  <c r="Q113" i="175"/>
  <c r="Q125" i="175"/>
  <c r="Q95" i="175"/>
  <c r="Q106" i="175"/>
  <c r="Q108" i="175"/>
  <c r="Q120" i="175"/>
  <c r="Q115" i="175"/>
  <c r="Q127" i="175"/>
  <c r="Q101" i="175"/>
  <c r="Q110" i="175"/>
  <c r="Q122" i="175"/>
  <c r="Q112" i="175"/>
  <c r="Q124" i="175"/>
  <c r="Q88" i="175"/>
  <c r="Q107" i="175"/>
  <c r="Q119" i="175"/>
  <c r="Q44" i="175"/>
  <c r="Q114" i="175"/>
  <c r="Q126" i="175"/>
  <c r="Q133" i="175"/>
  <c r="Q145" i="175"/>
  <c r="Q157" i="175"/>
  <c r="Q46" i="175"/>
  <c r="Q109" i="175"/>
  <c r="Q140" i="175"/>
  <c r="Q152" i="175"/>
  <c r="Q83" i="175"/>
  <c r="Q135" i="175"/>
  <c r="Q147" i="175"/>
  <c r="Q121" i="175"/>
  <c r="Q142" i="175"/>
  <c r="Q154" i="175"/>
  <c r="Q137" i="175"/>
  <c r="Q149" i="175"/>
  <c r="Q132" i="175"/>
  <c r="Q144" i="175"/>
  <c r="Q156" i="175"/>
  <c r="Q117" i="175"/>
  <c r="Q139" i="175"/>
  <c r="Q151" i="175"/>
  <c r="Q141" i="175"/>
  <c r="Q153" i="175"/>
  <c r="Q129" i="175"/>
  <c r="Q143" i="175"/>
  <c r="Q155" i="175"/>
  <c r="Q100" i="175"/>
  <c r="Q131" i="175"/>
  <c r="Q138" i="175"/>
  <c r="Q150" i="175"/>
  <c r="Q134" i="175"/>
  <c r="Q148" i="175"/>
  <c r="Q146" i="175"/>
  <c r="Q3" i="175"/>
  <c r="Q136" i="175"/>
  <c r="Q220" i="175"/>
  <c r="Q208" i="175"/>
  <c r="Q196" i="175"/>
  <c r="Q213" i="175"/>
  <c r="Q218" i="175"/>
  <c r="Q206" i="175"/>
  <c r="Q211" i="175"/>
  <c r="Q199" i="175"/>
  <c r="Q216" i="175"/>
  <c r="Q221" i="175"/>
  <c r="Q209" i="175"/>
  <c r="Q219" i="175"/>
  <c r="Q207" i="175"/>
  <c r="Q195" i="175"/>
  <c r="Q212" i="175"/>
  <c r="Q200" i="175"/>
  <c r="Q217" i="175"/>
  <c r="Q205" i="175"/>
  <c r="Q210" i="175"/>
  <c r="Q198" i="175"/>
  <c r="Q215" i="175"/>
  <c r="Q179" i="175"/>
  <c r="Q187" i="175"/>
  <c r="Q175" i="175"/>
  <c r="Q176" i="175"/>
  <c r="Q197" i="175"/>
  <c r="Q194" i="175"/>
  <c r="Q192" i="175"/>
  <c r="Q180" i="175"/>
  <c r="Q174" i="175"/>
  <c r="Q173" i="175"/>
  <c r="Q168" i="175"/>
  <c r="Q178" i="175"/>
  <c r="Q214" i="175"/>
  <c r="Q193" i="175"/>
  <c r="Q190" i="175"/>
  <c r="Q188" i="175"/>
  <c r="Q183" i="175"/>
  <c r="Q169" i="175"/>
  <c r="Q203" i="175"/>
  <c r="Q184" i="175"/>
  <c r="Q204" i="175"/>
  <c r="Q202" i="175"/>
  <c r="Q201" i="175"/>
  <c r="Q189" i="175"/>
  <c r="Q185" i="175"/>
  <c r="Q170" i="175"/>
  <c r="Q164" i="175"/>
  <c r="Q160" i="175"/>
  <c r="Q171" i="175"/>
  <c r="Q186" i="175"/>
  <c r="Q181" i="175"/>
  <c r="Q191" i="175"/>
  <c r="Q172" i="175"/>
  <c r="Q182" i="175"/>
  <c r="Q177" i="175"/>
  <c r="Q162" i="175"/>
  <c r="Q166" i="175"/>
  <c r="Q167" i="175"/>
  <c r="Q161" i="175"/>
  <c r="Q158" i="175"/>
  <c r="Q165" i="175"/>
  <c r="Q163" i="175"/>
  <c r="Q159" i="175"/>
  <c r="R1" i="175"/>
  <c r="D1" i="173"/>
  <c r="T52" i="172"/>
  <c r="R98" i="175" l="1"/>
  <c r="R28" i="175"/>
  <c r="R37" i="175"/>
  <c r="R35" i="175"/>
  <c r="R34" i="175"/>
  <c r="R36" i="175"/>
  <c r="R38" i="175"/>
  <c r="R80" i="175"/>
  <c r="R14" i="175"/>
  <c r="R26" i="175"/>
  <c r="R9" i="175"/>
  <c r="R21" i="175"/>
  <c r="R33" i="175"/>
  <c r="R4" i="175"/>
  <c r="R16" i="175"/>
  <c r="R11" i="175"/>
  <c r="R23" i="175"/>
  <c r="R6" i="175"/>
  <c r="R18" i="175"/>
  <c r="R30" i="175"/>
  <c r="R13" i="175"/>
  <c r="R25" i="175"/>
  <c r="R15" i="175"/>
  <c r="R46" i="175"/>
  <c r="R22" i="175"/>
  <c r="R41" i="175"/>
  <c r="R53" i="175"/>
  <c r="R5" i="175"/>
  <c r="R29" i="175"/>
  <c r="R48" i="175"/>
  <c r="R12" i="175"/>
  <c r="R43" i="175"/>
  <c r="R19" i="175"/>
  <c r="R50" i="175"/>
  <c r="R20" i="175"/>
  <c r="R45" i="175"/>
  <c r="R27" i="175"/>
  <c r="R40" i="175"/>
  <c r="R52" i="175"/>
  <c r="R17" i="175"/>
  <c r="R42" i="175"/>
  <c r="R54" i="175"/>
  <c r="R7" i="175"/>
  <c r="R31" i="175"/>
  <c r="R44" i="175"/>
  <c r="R66" i="175"/>
  <c r="R78" i="175"/>
  <c r="R61" i="175"/>
  <c r="R73" i="175"/>
  <c r="R8" i="175"/>
  <c r="R51" i="175"/>
  <c r="R56" i="175"/>
  <c r="R68" i="175"/>
  <c r="R63" i="175"/>
  <c r="R75" i="175"/>
  <c r="R24" i="175"/>
  <c r="R58" i="175"/>
  <c r="R70" i="175"/>
  <c r="R39" i="175"/>
  <c r="R65" i="175"/>
  <c r="R77" i="175"/>
  <c r="R62" i="175"/>
  <c r="R74" i="175"/>
  <c r="R10" i="175"/>
  <c r="R57" i="175"/>
  <c r="R69" i="175"/>
  <c r="R49" i="175"/>
  <c r="R64" i="175"/>
  <c r="R76" i="175"/>
  <c r="R47" i="175"/>
  <c r="R60" i="175"/>
  <c r="R87" i="175"/>
  <c r="R100" i="175"/>
  <c r="R79" i="175"/>
  <c r="R82" i="175"/>
  <c r="R94" i="175"/>
  <c r="R32" i="175"/>
  <c r="R71" i="175"/>
  <c r="R89" i="175"/>
  <c r="R102" i="175"/>
  <c r="R84" i="175"/>
  <c r="R96" i="175"/>
  <c r="R91" i="175"/>
  <c r="R104" i="175"/>
  <c r="R59" i="175"/>
  <c r="R86" i="175"/>
  <c r="R99" i="175"/>
  <c r="R83" i="175"/>
  <c r="R95" i="175"/>
  <c r="R72" i="175"/>
  <c r="R90" i="175"/>
  <c r="R103" i="175"/>
  <c r="R55" i="175"/>
  <c r="R85" i="175"/>
  <c r="R97" i="175"/>
  <c r="R93" i="175"/>
  <c r="R109" i="175"/>
  <c r="R121" i="175"/>
  <c r="R116" i="175"/>
  <c r="R128" i="175"/>
  <c r="R111" i="175"/>
  <c r="R123" i="175"/>
  <c r="R81" i="175"/>
  <c r="R118" i="175"/>
  <c r="R67" i="175"/>
  <c r="R105" i="175"/>
  <c r="R113" i="175"/>
  <c r="R125" i="175"/>
  <c r="R92" i="175"/>
  <c r="R106" i="175"/>
  <c r="R108" i="175"/>
  <c r="R120" i="175"/>
  <c r="R115" i="175"/>
  <c r="R127" i="175"/>
  <c r="R117" i="175"/>
  <c r="R129" i="175"/>
  <c r="R112" i="175"/>
  <c r="R124" i="175"/>
  <c r="R88" i="175"/>
  <c r="R107" i="175"/>
  <c r="R119" i="175"/>
  <c r="R101" i="175"/>
  <c r="R131" i="175"/>
  <c r="R138" i="175"/>
  <c r="R150" i="175"/>
  <c r="R133" i="175"/>
  <c r="R145" i="175"/>
  <c r="R157" i="175"/>
  <c r="R140" i="175"/>
  <c r="R152" i="175"/>
  <c r="R114" i="175"/>
  <c r="R135" i="175"/>
  <c r="R147" i="175"/>
  <c r="R142" i="175"/>
  <c r="R154" i="175"/>
  <c r="R126" i="175"/>
  <c r="R137" i="175"/>
  <c r="R149" i="175"/>
  <c r="R110" i="175"/>
  <c r="R132" i="175"/>
  <c r="R144" i="175"/>
  <c r="R156" i="175"/>
  <c r="R122" i="175"/>
  <c r="R130" i="175"/>
  <c r="R134" i="175"/>
  <c r="R146" i="175"/>
  <c r="R136" i="175"/>
  <c r="R148" i="175"/>
  <c r="R143" i="175"/>
  <c r="R155" i="175"/>
  <c r="R141" i="175"/>
  <c r="R139" i="175"/>
  <c r="R153" i="175"/>
  <c r="R151" i="175"/>
  <c r="R3" i="175"/>
  <c r="R213" i="175"/>
  <c r="R201" i="175"/>
  <c r="R218" i="175"/>
  <c r="R211" i="175"/>
  <c r="R216" i="175"/>
  <c r="R204" i="175"/>
  <c r="R192" i="175"/>
  <c r="R221" i="175"/>
  <c r="R209" i="175"/>
  <c r="R214" i="175"/>
  <c r="R219" i="175"/>
  <c r="R212" i="175"/>
  <c r="R200" i="175"/>
  <c r="R217" i="175"/>
  <c r="R205" i="175"/>
  <c r="R210" i="175"/>
  <c r="R215" i="175"/>
  <c r="R203" i="175"/>
  <c r="R191" i="175"/>
  <c r="R220" i="175"/>
  <c r="R184" i="175"/>
  <c r="R172" i="175"/>
  <c r="R189" i="175"/>
  <c r="R180" i="175"/>
  <c r="R168" i="175"/>
  <c r="R202" i="175"/>
  <c r="R198" i="175"/>
  <c r="R182" i="175"/>
  <c r="R169" i="175"/>
  <c r="R163" i="175"/>
  <c r="R173" i="175"/>
  <c r="R208" i="175"/>
  <c r="R178" i="175"/>
  <c r="R159" i="175"/>
  <c r="R193" i="175"/>
  <c r="R190" i="175"/>
  <c r="R188" i="175"/>
  <c r="R183" i="175"/>
  <c r="R165" i="175"/>
  <c r="R179" i="175"/>
  <c r="R174" i="175"/>
  <c r="R162" i="175"/>
  <c r="R207" i="175"/>
  <c r="R185" i="175"/>
  <c r="R199" i="175"/>
  <c r="R197" i="175"/>
  <c r="R196" i="175"/>
  <c r="R171" i="175"/>
  <c r="R186" i="175"/>
  <c r="R181" i="175"/>
  <c r="R176" i="175"/>
  <c r="R166" i="175"/>
  <c r="R195" i="175"/>
  <c r="R206" i="175"/>
  <c r="R177" i="175"/>
  <c r="R194" i="175"/>
  <c r="R187" i="175"/>
  <c r="R160" i="175"/>
  <c r="R175" i="175"/>
  <c r="R170" i="175"/>
  <c r="R158" i="175"/>
  <c r="R164" i="175"/>
  <c r="R167" i="175"/>
  <c r="R161" i="175"/>
  <c r="S1" i="175"/>
  <c r="D4" i="173"/>
  <c r="D16" i="173"/>
  <c r="D28" i="173"/>
  <c r="D40" i="173"/>
  <c r="D52" i="173"/>
  <c r="D64" i="173"/>
  <c r="D76" i="173"/>
  <c r="D88" i="173"/>
  <c r="D100" i="173"/>
  <c r="D112" i="173"/>
  <c r="D124" i="173"/>
  <c r="D136" i="173"/>
  <c r="D148" i="173"/>
  <c r="D5" i="173"/>
  <c r="D17" i="173"/>
  <c r="D29" i="173"/>
  <c r="D41" i="173"/>
  <c r="D53" i="173"/>
  <c r="D65" i="173"/>
  <c r="D77" i="173"/>
  <c r="D89" i="173"/>
  <c r="D101" i="173"/>
  <c r="D113" i="173"/>
  <c r="D125" i="173"/>
  <c r="D137" i="173"/>
  <c r="D149" i="173"/>
  <c r="D6" i="173"/>
  <c r="D18" i="173"/>
  <c r="D30" i="173"/>
  <c r="D42" i="173"/>
  <c r="D54" i="173"/>
  <c r="D66" i="173"/>
  <c r="D78" i="173"/>
  <c r="D90" i="173"/>
  <c r="D102" i="173"/>
  <c r="D114" i="173"/>
  <c r="D126" i="173"/>
  <c r="D138" i="173"/>
  <c r="D150" i="173"/>
  <c r="D7" i="173"/>
  <c r="D19" i="173"/>
  <c r="D31" i="173"/>
  <c r="D43" i="173"/>
  <c r="D55" i="173"/>
  <c r="D67" i="173"/>
  <c r="D79" i="173"/>
  <c r="D91" i="173"/>
  <c r="D103" i="173"/>
  <c r="D115" i="173"/>
  <c r="D127" i="173"/>
  <c r="D139" i="173"/>
  <c r="D151" i="173"/>
  <c r="D8" i="173"/>
  <c r="D20" i="173"/>
  <c r="D32" i="173"/>
  <c r="D44" i="173"/>
  <c r="D56" i="173"/>
  <c r="D68" i="173"/>
  <c r="D80" i="173"/>
  <c r="D92" i="173"/>
  <c r="D104" i="173"/>
  <c r="D116" i="173"/>
  <c r="D128" i="173"/>
  <c r="D140" i="173"/>
  <c r="D152" i="173"/>
  <c r="D9" i="173"/>
  <c r="D21" i="173"/>
  <c r="D33" i="173"/>
  <c r="D45" i="173"/>
  <c r="D57" i="173"/>
  <c r="D69" i="173"/>
  <c r="D81" i="173"/>
  <c r="D93" i="173"/>
  <c r="D105" i="173"/>
  <c r="D117" i="173"/>
  <c r="D129" i="173"/>
  <c r="D141" i="173"/>
  <c r="D153" i="173"/>
  <c r="D10" i="173"/>
  <c r="D22" i="173"/>
  <c r="D34" i="173"/>
  <c r="D46" i="173"/>
  <c r="D58" i="173"/>
  <c r="D70" i="173"/>
  <c r="D82" i="173"/>
  <c r="D94" i="173"/>
  <c r="D106" i="173"/>
  <c r="D118" i="173"/>
  <c r="D130" i="173"/>
  <c r="D142" i="173"/>
  <c r="D154" i="173"/>
  <c r="D12" i="173"/>
  <c r="D24" i="173"/>
  <c r="D36" i="173"/>
  <c r="D48" i="173"/>
  <c r="D60" i="173"/>
  <c r="D72" i="173"/>
  <c r="D84" i="173"/>
  <c r="D96" i="173"/>
  <c r="D108" i="173"/>
  <c r="D120" i="173"/>
  <c r="D132" i="173"/>
  <c r="D144" i="173"/>
  <c r="D14" i="173"/>
  <c r="D15" i="173"/>
  <c r="D27" i="173"/>
  <c r="D39" i="173"/>
  <c r="D51" i="173"/>
  <c r="D63" i="173"/>
  <c r="D75" i="173"/>
  <c r="D87" i="173"/>
  <c r="D99" i="173"/>
  <c r="D111" i="173"/>
  <c r="D123" i="173"/>
  <c r="D135" i="173"/>
  <c r="D147" i="173"/>
  <c r="D11" i="173"/>
  <c r="D61" i="173"/>
  <c r="D109" i="173"/>
  <c r="D13" i="173"/>
  <c r="D62" i="173"/>
  <c r="D110" i="173"/>
  <c r="D23" i="173"/>
  <c r="D71" i="173"/>
  <c r="D119" i="173"/>
  <c r="D25" i="173"/>
  <c r="D73" i="173"/>
  <c r="D121" i="173"/>
  <c r="D26" i="173"/>
  <c r="D74" i="173"/>
  <c r="D122" i="173"/>
  <c r="D37" i="173"/>
  <c r="D85" i="173"/>
  <c r="D133" i="173"/>
  <c r="D47" i="173"/>
  <c r="D95" i="173"/>
  <c r="D143" i="173"/>
  <c r="D49" i="173"/>
  <c r="D35" i="173"/>
  <c r="D146" i="173"/>
  <c r="D38" i="173"/>
  <c r="D3" i="173"/>
  <c r="D50" i="173"/>
  <c r="D59" i="173"/>
  <c r="D83" i="173"/>
  <c r="D86" i="173"/>
  <c r="D97" i="173"/>
  <c r="D107" i="173"/>
  <c r="D131" i="173"/>
  <c r="D98" i="173"/>
  <c r="D134" i="173"/>
  <c r="D145" i="173"/>
  <c r="E1" i="173"/>
  <c r="E212" i="173" s="1"/>
  <c r="D215" i="173"/>
  <c r="D211" i="173"/>
  <c r="D218" i="173"/>
  <c r="D213" i="173"/>
  <c r="D208" i="173"/>
  <c r="D204" i="173"/>
  <c r="D200" i="173"/>
  <c r="D196" i="173"/>
  <c r="D216" i="173"/>
  <c r="D203" i="173"/>
  <c r="D217" i="173"/>
  <c r="D214" i="173"/>
  <c r="D207" i="173"/>
  <c r="D202" i="173"/>
  <c r="D198" i="173"/>
  <c r="D191" i="173"/>
  <c r="D187" i="173"/>
  <c r="D212" i="173"/>
  <c r="D199" i="173"/>
  <c r="D193" i="173"/>
  <c r="D188" i="173"/>
  <c r="D210" i="173"/>
  <c r="D195" i="173"/>
  <c r="D194" i="173"/>
  <c r="D189" i="173"/>
  <c r="D209" i="173"/>
  <c r="D206" i="173"/>
  <c r="D197" i="173"/>
  <c r="D190" i="173"/>
  <c r="D183" i="173"/>
  <c r="D179" i="173"/>
  <c r="D175" i="173"/>
  <c r="D171" i="173"/>
  <c r="D184" i="173"/>
  <c r="D180" i="173"/>
  <c r="D176" i="173"/>
  <c r="D172" i="173"/>
  <c r="D168" i="173"/>
  <c r="D201" i="173"/>
  <c r="D186" i="173"/>
  <c r="D185" i="173"/>
  <c r="D181" i="173"/>
  <c r="D177" i="173"/>
  <c r="D173" i="173"/>
  <c r="D169" i="173"/>
  <c r="D192" i="173"/>
  <c r="D182" i="173"/>
  <c r="D165" i="173"/>
  <c r="D161" i="173"/>
  <c r="D157" i="173"/>
  <c r="D170" i="173"/>
  <c r="D166" i="173"/>
  <c r="D162" i="173"/>
  <c r="D158" i="173"/>
  <c r="D205" i="173"/>
  <c r="D174" i="173"/>
  <c r="D167" i="173"/>
  <c r="D163" i="173"/>
  <c r="D159" i="173"/>
  <c r="D155" i="173"/>
  <c r="D178" i="173"/>
  <c r="D164" i="173"/>
  <c r="D160" i="173"/>
  <c r="D156" i="173"/>
  <c r="E216" i="173"/>
  <c r="E197" i="173"/>
  <c r="E213" i="173"/>
  <c r="E210" i="173"/>
  <c r="E204" i="173"/>
  <c r="E211" i="173"/>
  <c r="E203" i="173"/>
  <c r="E200" i="173"/>
  <c r="E195" i="173"/>
  <c r="E215" i="173"/>
  <c r="E207" i="173"/>
  <c r="E194" i="173"/>
  <c r="E189" i="173"/>
  <c r="E180" i="173"/>
  <c r="E176" i="173"/>
  <c r="E172" i="173"/>
  <c r="E168" i="173"/>
  <c r="E193" i="173"/>
  <c r="E187" i="173"/>
  <c r="E182" i="173"/>
  <c r="E178" i="173"/>
  <c r="E174" i="173"/>
  <c r="E170" i="173"/>
  <c r="E183" i="173"/>
  <c r="E166" i="173"/>
  <c r="E155" i="173"/>
  <c r="E154" i="173"/>
  <c r="E153" i="173"/>
  <c r="E175" i="173"/>
  <c r="E164" i="173"/>
  <c r="E160" i="173"/>
  <c r="T62" i="170"/>
  <c r="T61" i="170"/>
  <c r="T60" i="170"/>
  <c r="T63" i="170"/>
  <c r="T59" i="170"/>
  <c r="T65" i="170"/>
  <c r="S98" i="175" l="1"/>
  <c r="S28" i="175"/>
  <c r="S37" i="175"/>
  <c r="S38" i="175"/>
  <c r="S36" i="175"/>
  <c r="S35" i="175"/>
  <c r="S34" i="175"/>
  <c r="S80" i="175"/>
  <c r="E157" i="173"/>
  <c r="E163" i="173"/>
  <c r="E173" i="173"/>
  <c r="E191" i="173"/>
  <c r="E217" i="173"/>
  <c r="E205" i="173"/>
  <c r="F1" i="173"/>
  <c r="E159" i="173"/>
  <c r="E169" i="173"/>
  <c r="E184" i="173"/>
  <c r="E202" i="173"/>
  <c r="E201" i="173"/>
  <c r="E165" i="173"/>
  <c r="E171" i="173"/>
  <c r="E181" i="173"/>
  <c r="E190" i="173"/>
  <c r="E192" i="173"/>
  <c r="E214" i="173"/>
  <c r="E161" i="173"/>
  <c r="E167" i="173"/>
  <c r="E177" i="173"/>
  <c r="E198" i="173"/>
  <c r="E188" i="173"/>
  <c r="E209" i="173"/>
  <c r="E179" i="173"/>
  <c r="E158" i="173"/>
  <c r="E185" i="173"/>
  <c r="E196" i="173"/>
  <c r="E199" i="173"/>
  <c r="E208" i="173"/>
  <c r="E156" i="173"/>
  <c r="E162" i="173"/>
  <c r="E186" i="173"/>
  <c r="E206" i="173"/>
  <c r="E218" i="173"/>
  <c r="S7" i="175"/>
  <c r="S19" i="175"/>
  <c r="S31" i="175"/>
  <c r="S14" i="175"/>
  <c r="S26" i="175"/>
  <c r="S9" i="175"/>
  <c r="S21" i="175"/>
  <c r="S33" i="175"/>
  <c r="S4" i="175"/>
  <c r="S16" i="175"/>
  <c r="S11" i="175"/>
  <c r="S23" i="175"/>
  <c r="S6" i="175"/>
  <c r="S18" i="175"/>
  <c r="S30" i="175"/>
  <c r="S8" i="175"/>
  <c r="S32" i="175"/>
  <c r="S39" i="175"/>
  <c r="S51" i="175"/>
  <c r="S15" i="175"/>
  <c r="S46" i="175"/>
  <c r="S22" i="175"/>
  <c r="S41" i="175"/>
  <c r="S53" i="175"/>
  <c r="S5" i="175"/>
  <c r="S29" i="175"/>
  <c r="S48" i="175"/>
  <c r="S12" i="175"/>
  <c r="S43" i="175"/>
  <c r="S13" i="175"/>
  <c r="S50" i="175"/>
  <c r="S20" i="175"/>
  <c r="S45" i="175"/>
  <c r="S10" i="175"/>
  <c r="S47" i="175"/>
  <c r="S24" i="175"/>
  <c r="S49" i="175"/>
  <c r="S40" i="175"/>
  <c r="S59" i="175"/>
  <c r="S71" i="175"/>
  <c r="S17" i="175"/>
  <c r="S66" i="175"/>
  <c r="S78" i="175"/>
  <c r="S54" i="175"/>
  <c r="S61" i="175"/>
  <c r="S73" i="175"/>
  <c r="S27" i="175"/>
  <c r="S56" i="175"/>
  <c r="S68" i="175"/>
  <c r="S42" i="175"/>
  <c r="S63" i="175"/>
  <c r="S75" i="175"/>
  <c r="S58" i="175"/>
  <c r="S70" i="175"/>
  <c r="S25" i="175"/>
  <c r="S44" i="175"/>
  <c r="S55" i="175"/>
  <c r="S67" i="175"/>
  <c r="S52" i="175"/>
  <c r="S62" i="175"/>
  <c r="S74" i="175"/>
  <c r="S57" i="175"/>
  <c r="S69" i="175"/>
  <c r="S92" i="175"/>
  <c r="S105" i="175"/>
  <c r="S60" i="175"/>
  <c r="S87" i="175"/>
  <c r="S100" i="175"/>
  <c r="S79" i="175"/>
  <c r="S82" i="175"/>
  <c r="S94" i="175"/>
  <c r="S65" i="175"/>
  <c r="S77" i="175"/>
  <c r="S89" i="175"/>
  <c r="S102" i="175"/>
  <c r="S84" i="175"/>
  <c r="S96" i="175"/>
  <c r="S91" i="175"/>
  <c r="S104" i="175"/>
  <c r="S64" i="175"/>
  <c r="S88" i="175"/>
  <c r="S101" i="175"/>
  <c r="S83" i="175"/>
  <c r="S95" i="175"/>
  <c r="S72" i="175"/>
  <c r="S90" i="175"/>
  <c r="S103" i="175"/>
  <c r="S114" i="175"/>
  <c r="S126" i="175"/>
  <c r="S93" i="175"/>
  <c r="S109" i="175"/>
  <c r="S121" i="175"/>
  <c r="S116" i="175"/>
  <c r="S128" i="175"/>
  <c r="S99" i="175"/>
  <c r="S111" i="175"/>
  <c r="S123" i="175"/>
  <c r="S81" i="175"/>
  <c r="S118" i="175"/>
  <c r="S113" i="175"/>
  <c r="S125" i="175"/>
  <c r="S86" i="175"/>
  <c r="S106" i="175"/>
  <c r="S108" i="175"/>
  <c r="S120" i="175"/>
  <c r="S97" i="175"/>
  <c r="S110" i="175"/>
  <c r="S122" i="175"/>
  <c r="S76" i="175"/>
  <c r="S117" i="175"/>
  <c r="S112" i="175"/>
  <c r="S124" i="175"/>
  <c r="S143" i="175"/>
  <c r="S155" i="175"/>
  <c r="S131" i="175"/>
  <c r="S138" i="175"/>
  <c r="S150" i="175"/>
  <c r="S133" i="175"/>
  <c r="S145" i="175"/>
  <c r="S157" i="175"/>
  <c r="S107" i="175"/>
  <c r="S140" i="175"/>
  <c r="S152" i="175"/>
  <c r="S135" i="175"/>
  <c r="S147" i="175"/>
  <c r="S85" i="175"/>
  <c r="S119" i="175"/>
  <c r="S142" i="175"/>
  <c r="S154" i="175"/>
  <c r="S137" i="175"/>
  <c r="S149" i="175"/>
  <c r="S115" i="175"/>
  <c r="S139" i="175"/>
  <c r="S151" i="175"/>
  <c r="S127" i="175"/>
  <c r="S141" i="175"/>
  <c r="S153" i="175"/>
  <c r="S129" i="175"/>
  <c r="S136" i="175"/>
  <c r="S148" i="175"/>
  <c r="S134" i="175"/>
  <c r="S132" i="175"/>
  <c r="S146" i="175"/>
  <c r="S144" i="175"/>
  <c r="S130" i="175"/>
  <c r="S156" i="175"/>
  <c r="S3" i="175"/>
  <c r="S218" i="175"/>
  <c r="S206" i="175"/>
  <c r="S211" i="175"/>
  <c r="S216" i="175"/>
  <c r="S221" i="175"/>
  <c r="S209" i="175"/>
  <c r="S197" i="175"/>
  <c r="S214" i="175"/>
  <c r="S219" i="175"/>
  <c r="S207" i="175"/>
  <c r="S217" i="175"/>
  <c r="S205" i="175"/>
  <c r="S193" i="175"/>
  <c r="S210" i="175"/>
  <c r="S198" i="175"/>
  <c r="S215" i="175"/>
  <c r="S220" i="175"/>
  <c r="S208" i="175"/>
  <c r="S196" i="175"/>
  <c r="S203" i="175"/>
  <c r="S201" i="175"/>
  <c r="S199" i="175"/>
  <c r="S177" i="175"/>
  <c r="S190" i="175"/>
  <c r="S185" i="175"/>
  <c r="S173" i="175"/>
  <c r="S188" i="175"/>
  <c r="S175" i="175"/>
  <c r="S186" i="175"/>
  <c r="S183" i="175"/>
  <c r="S165" i="175"/>
  <c r="S179" i="175"/>
  <c r="S184" i="175"/>
  <c r="S167" i="175"/>
  <c r="S204" i="175"/>
  <c r="S202" i="175"/>
  <c r="S200" i="175"/>
  <c r="S192" i="175"/>
  <c r="S189" i="175"/>
  <c r="S180" i="175"/>
  <c r="S213" i="175"/>
  <c r="S171" i="175"/>
  <c r="S158" i="175"/>
  <c r="S181" i="175"/>
  <c r="S176" i="175"/>
  <c r="S166" i="175"/>
  <c r="S195" i="175"/>
  <c r="S212" i="175"/>
  <c r="S191" i="175"/>
  <c r="S194" i="175"/>
  <c r="S187" i="175"/>
  <c r="S182" i="175"/>
  <c r="S178" i="175"/>
  <c r="S168" i="175"/>
  <c r="S172" i="175"/>
  <c r="S164" i="175"/>
  <c r="S170" i="175"/>
  <c r="S162" i="175"/>
  <c r="S161" i="175"/>
  <c r="S160" i="175"/>
  <c r="S174" i="175"/>
  <c r="S169" i="175"/>
  <c r="S163" i="175"/>
  <c r="S159" i="175"/>
  <c r="T1" i="175"/>
  <c r="E5" i="173"/>
  <c r="E7" i="173"/>
  <c r="E9" i="173"/>
  <c r="E11" i="173"/>
  <c r="E13" i="173"/>
  <c r="E15" i="173"/>
  <c r="E17" i="173"/>
  <c r="E19" i="173"/>
  <c r="E21" i="173"/>
  <c r="E23" i="173"/>
  <c r="E25" i="173"/>
  <c r="E27" i="173"/>
  <c r="E29" i="173"/>
  <c r="E31" i="173"/>
  <c r="E4" i="173"/>
  <c r="E6" i="173"/>
  <c r="E8" i="173"/>
  <c r="E10" i="173"/>
  <c r="E12" i="173"/>
  <c r="E14" i="173"/>
  <c r="E16" i="173"/>
  <c r="E18" i="173"/>
  <c r="E20" i="173"/>
  <c r="E22" i="173"/>
  <c r="E24" i="173"/>
  <c r="E26" i="173"/>
  <c r="E33" i="173"/>
  <c r="E35" i="173"/>
  <c r="E37" i="173"/>
  <c r="E39" i="173"/>
  <c r="E41" i="173"/>
  <c r="E43" i="173"/>
  <c r="E45" i="173"/>
  <c r="E47" i="173"/>
  <c r="E49" i="173"/>
  <c r="E51" i="173"/>
  <c r="E53" i="173"/>
  <c r="E28" i="173"/>
  <c r="E30" i="173"/>
  <c r="E34" i="173"/>
  <c r="E36" i="173"/>
  <c r="E38" i="173"/>
  <c r="E40" i="173"/>
  <c r="E42" i="173"/>
  <c r="E44" i="173"/>
  <c r="E46" i="173"/>
  <c r="E48" i="173"/>
  <c r="E50" i="173"/>
  <c r="E52" i="173"/>
  <c r="E54" i="173"/>
  <c r="E56" i="173"/>
  <c r="E58" i="173"/>
  <c r="E60" i="173"/>
  <c r="E62" i="173"/>
  <c r="E64" i="173"/>
  <c r="E66" i="173"/>
  <c r="E68" i="173"/>
  <c r="E70" i="173"/>
  <c r="E72" i="173"/>
  <c r="E74" i="173"/>
  <c r="E55" i="173"/>
  <c r="E57" i="173"/>
  <c r="E59" i="173"/>
  <c r="E61" i="173"/>
  <c r="E63" i="173"/>
  <c r="E65" i="173"/>
  <c r="E67" i="173"/>
  <c r="E69" i="173"/>
  <c r="E71" i="173"/>
  <c r="E73" i="173"/>
  <c r="E76" i="173"/>
  <c r="E78" i="173"/>
  <c r="E80" i="173"/>
  <c r="E82" i="173"/>
  <c r="E84" i="173"/>
  <c r="E86" i="173"/>
  <c r="E88" i="173"/>
  <c r="E90" i="173"/>
  <c r="E92" i="173"/>
  <c r="E94" i="173"/>
  <c r="E96" i="173"/>
  <c r="E98" i="173"/>
  <c r="E75" i="173"/>
  <c r="E77" i="173"/>
  <c r="E79" i="173"/>
  <c r="E81" i="173"/>
  <c r="E83" i="173"/>
  <c r="E85" i="173"/>
  <c r="E87" i="173"/>
  <c r="E89" i="173"/>
  <c r="E91" i="173"/>
  <c r="E93" i="173"/>
  <c r="E95" i="173"/>
  <c r="E97" i="173"/>
  <c r="E99" i="173"/>
  <c r="E101" i="173"/>
  <c r="E103" i="173"/>
  <c r="E105" i="173"/>
  <c r="E107" i="173"/>
  <c r="E109" i="173"/>
  <c r="E111" i="173"/>
  <c r="E113" i="173"/>
  <c r="E115" i="173"/>
  <c r="E117" i="173"/>
  <c r="E119" i="173"/>
  <c r="E121" i="173"/>
  <c r="E123" i="173"/>
  <c r="E125" i="173"/>
  <c r="E100" i="173"/>
  <c r="E32" i="173"/>
  <c r="E102" i="173"/>
  <c r="E104" i="173"/>
  <c r="E106" i="173"/>
  <c r="E108" i="173"/>
  <c r="E110" i="173"/>
  <c r="E112" i="173"/>
  <c r="E114" i="173"/>
  <c r="E116" i="173"/>
  <c r="E118" i="173"/>
  <c r="E120" i="173"/>
  <c r="E122" i="173"/>
  <c r="E124" i="173"/>
  <c r="E129" i="173"/>
  <c r="E131" i="173"/>
  <c r="E133" i="173"/>
  <c r="E135" i="173"/>
  <c r="E137" i="173"/>
  <c r="E139" i="173"/>
  <c r="E141" i="173"/>
  <c r="E143" i="173"/>
  <c r="E145" i="173"/>
  <c r="E147" i="173"/>
  <c r="E149" i="173"/>
  <c r="E151" i="173"/>
  <c r="E126" i="173"/>
  <c r="E3" i="173"/>
  <c r="E127" i="173"/>
  <c r="E130" i="173"/>
  <c r="E132" i="173"/>
  <c r="E134" i="173"/>
  <c r="E136" i="173"/>
  <c r="E138" i="173"/>
  <c r="E140" i="173"/>
  <c r="E142" i="173"/>
  <c r="E144" i="173"/>
  <c r="E146" i="173"/>
  <c r="E148" i="173"/>
  <c r="E150" i="173"/>
  <c r="E152" i="173"/>
  <c r="E128" i="173"/>
  <c r="F5" i="173"/>
  <c r="F7" i="173"/>
  <c r="F9" i="173"/>
  <c r="F11" i="173"/>
  <c r="F13" i="173"/>
  <c r="F15" i="173"/>
  <c r="F17" i="173"/>
  <c r="F19" i="173"/>
  <c r="F21" i="173"/>
  <c r="F23" i="173"/>
  <c r="F25" i="173"/>
  <c r="F27" i="173"/>
  <c r="F29" i="173"/>
  <c r="F31" i="173"/>
  <c r="F4" i="173"/>
  <c r="F8" i="173"/>
  <c r="F14" i="173"/>
  <c r="F20" i="173"/>
  <c r="F22" i="173"/>
  <c r="F24" i="173"/>
  <c r="F26" i="173"/>
  <c r="F33" i="173"/>
  <c r="F35" i="173"/>
  <c r="F37" i="173"/>
  <c r="F39" i="173"/>
  <c r="F41" i="173"/>
  <c r="F43" i="173"/>
  <c r="F45" i="173"/>
  <c r="F47" i="173"/>
  <c r="F49" i="173"/>
  <c r="F51" i="173"/>
  <c r="F53" i="173"/>
  <c r="F6" i="173"/>
  <c r="F12" i="173"/>
  <c r="F18" i="173"/>
  <c r="F28" i="173"/>
  <c r="F32" i="173"/>
  <c r="F10" i="173"/>
  <c r="F16" i="173"/>
  <c r="F48" i="173"/>
  <c r="F50" i="173"/>
  <c r="F56" i="173"/>
  <c r="F58" i="173"/>
  <c r="F60" i="173"/>
  <c r="F62" i="173"/>
  <c r="F64" i="173"/>
  <c r="F66" i="173"/>
  <c r="F68" i="173"/>
  <c r="F70" i="173"/>
  <c r="F72" i="173"/>
  <c r="F74" i="173"/>
  <c r="F52" i="173"/>
  <c r="F54" i="173"/>
  <c r="F34" i="173"/>
  <c r="F36" i="173"/>
  <c r="F40" i="173"/>
  <c r="F30" i="173"/>
  <c r="F42" i="173"/>
  <c r="F57" i="173"/>
  <c r="F65" i="173"/>
  <c r="F73" i="173"/>
  <c r="F38" i="173"/>
  <c r="F59" i="173"/>
  <c r="F67" i="173"/>
  <c r="F76" i="173"/>
  <c r="F78" i="173"/>
  <c r="F80" i="173"/>
  <c r="F82" i="173"/>
  <c r="F84" i="173"/>
  <c r="F86" i="173"/>
  <c r="F88" i="173"/>
  <c r="F90" i="173"/>
  <c r="F92" i="173"/>
  <c r="F94" i="173"/>
  <c r="F96" i="173"/>
  <c r="F98" i="173"/>
  <c r="F100" i="173"/>
  <c r="F46" i="173"/>
  <c r="F61" i="173"/>
  <c r="F69" i="173"/>
  <c r="F55" i="173"/>
  <c r="F81" i="173"/>
  <c r="F89" i="173"/>
  <c r="F97" i="173"/>
  <c r="F63" i="173"/>
  <c r="F75" i="173"/>
  <c r="F83" i="173"/>
  <c r="F91" i="173"/>
  <c r="F44" i="173"/>
  <c r="F99" i="173"/>
  <c r="F101" i="173"/>
  <c r="F103" i="173"/>
  <c r="F105" i="173"/>
  <c r="F107" i="173"/>
  <c r="F109" i="173"/>
  <c r="F111" i="173"/>
  <c r="F113" i="173"/>
  <c r="F115" i="173"/>
  <c r="F117" i="173"/>
  <c r="F119" i="173"/>
  <c r="F121" i="173"/>
  <c r="F123" i="173"/>
  <c r="F125" i="173"/>
  <c r="F71" i="173"/>
  <c r="F77" i="173"/>
  <c r="F85" i="173"/>
  <c r="F93" i="173"/>
  <c r="F79" i="173"/>
  <c r="F87" i="173"/>
  <c r="F95" i="173"/>
  <c r="F104" i="173"/>
  <c r="F116" i="173"/>
  <c r="F102" i="173"/>
  <c r="F114" i="173"/>
  <c r="F129" i="173"/>
  <c r="F131" i="173"/>
  <c r="F133" i="173"/>
  <c r="F135" i="173"/>
  <c r="F137" i="173"/>
  <c r="F139" i="173"/>
  <c r="F141" i="173"/>
  <c r="F143" i="173"/>
  <c r="F145" i="173"/>
  <c r="F147" i="173"/>
  <c r="F149" i="173"/>
  <c r="F151" i="173"/>
  <c r="F112" i="173"/>
  <c r="F126" i="173"/>
  <c r="F3" i="173"/>
  <c r="F110" i="173"/>
  <c r="F122" i="173"/>
  <c r="F127" i="173"/>
  <c r="F108" i="173"/>
  <c r="F120" i="173"/>
  <c r="F130" i="173"/>
  <c r="F132" i="173"/>
  <c r="F134" i="173"/>
  <c r="F136" i="173"/>
  <c r="F138" i="173"/>
  <c r="F140" i="173"/>
  <c r="F142" i="173"/>
  <c r="F144" i="173"/>
  <c r="F146" i="173"/>
  <c r="F148" i="173"/>
  <c r="F150" i="173"/>
  <c r="F152" i="173"/>
  <c r="F118" i="173"/>
  <c r="F124" i="173"/>
  <c r="F106" i="173"/>
  <c r="F128" i="173"/>
  <c r="F217" i="173"/>
  <c r="F213" i="173"/>
  <c r="F209" i="173"/>
  <c r="F215" i="173"/>
  <c r="F210" i="173"/>
  <c r="F206" i="173"/>
  <c r="F202" i="173"/>
  <c r="F198" i="173"/>
  <c r="F218" i="173"/>
  <c r="F205" i="173"/>
  <c r="F216" i="173"/>
  <c r="F208" i="173"/>
  <c r="F204" i="173"/>
  <c r="F212" i="173"/>
  <c r="F200" i="173"/>
  <c r="F195" i="173"/>
  <c r="F193" i="173"/>
  <c r="F189" i="173"/>
  <c r="F211" i="173"/>
  <c r="F203" i="173"/>
  <c r="F201" i="173"/>
  <c r="F196" i="173"/>
  <c r="F190" i="173"/>
  <c r="F197" i="173"/>
  <c r="F191" i="173"/>
  <c r="F214" i="173"/>
  <c r="F199" i="173"/>
  <c r="F192" i="173"/>
  <c r="F187" i="173"/>
  <c r="F207" i="173"/>
  <c r="F186" i="173"/>
  <c r="F185" i="173"/>
  <c r="F181" i="173"/>
  <c r="F177" i="173"/>
  <c r="F173" i="173"/>
  <c r="F169" i="173"/>
  <c r="F188" i="173"/>
  <c r="F182" i="173"/>
  <c r="F178" i="173"/>
  <c r="F174" i="173"/>
  <c r="F170" i="173"/>
  <c r="F183" i="173"/>
  <c r="F179" i="173"/>
  <c r="F175" i="173"/>
  <c r="F171" i="173"/>
  <c r="F184" i="173"/>
  <c r="F167" i="173"/>
  <c r="F163" i="173"/>
  <c r="F159" i="173"/>
  <c r="F155" i="173"/>
  <c r="F154" i="173"/>
  <c r="F153" i="173"/>
  <c r="F194" i="173"/>
  <c r="F172" i="173"/>
  <c r="F164" i="173"/>
  <c r="F160" i="173"/>
  <c r="F156" i="173"/>
  <c r="F176" i="173"/>
  <c r="F165" i="173"/>
  <c r="F161" i="173"/>
  <c r="F157" i="173"/>
  <c r="F180" i="173"/>
  <c r="F168" i="173"/>
  <c r="F166" i="173"/>
  <c r="F162" i="173"/>
  <c r="F158" i="173"/>
  <c r="G1" i="173"/>
  <c r="T52" i="170"/>
  <c r="T53" i="170"/>
  <c r="T98" i="175" l="1"/>
  <c r="T28" i="175"/>
  <c r="T35" i="175"/>
  <c r="T38" i="175"/>
  <c r="T37" i="175"/>
  <c r="T36" i="175"/>
  <c r="T34" i="175"/>
  <c r="T80" i="175"/>
  <c r="T12" i="175"/>
  <c r="T24" i="175"/>
  <c r="T7" i="175"/>
  <c r="T19" i="175"/>
  <c r="T31" i="175"/>
  <c r="T14" i="175"/>
  <c r="T26" i="175"/>
  <c r="T9" i="175"/>
  <c r="T21" i="175"/>
  <c r="T33" i="175"/>
  <c r="T4" i="175"/>
  <c r="T16" i="175"/>
  <c r="T11" i="175"/>
  <c r="T23" i="175"/>
  <c r="T25" i="175"/>
  <c r="T44" i="175"/>
  <c r="T8" i="175"/>
  <c r="T32" i="175"/>
  <c r="T39" i="175"/>
  <c r="T51" i="175"/>
  <c r="T15" i="175"/>
  <c r="T46" i="175"/>
  <c r="T22" i="175"/>
  <c r="T41" i="175"/>
  <c r="T53" i="175"/>
  <c r="T5" i="175"/>
  <c r="T29" i="175"/>
  <c r="T48" i="175"/>
  <c r="T6" i="175"/>
  <c r="T30" i="175"/>
  <c r="T43" i="175"/>
  <c r="T13" i="175"/>
  <c r="T50" i="175"/>
  <c r="T27" i="175"/>
  <c r="T40" i="175"/>
  <c r="T52" i="175"/>
  <c r="T17" i="175"/>
  <c r="T42" i="175"/>
  <c r="T54" i="175"/>
  <c r="T20" i="175"/>
  <c r="T64" i="175"/>
  <c r="T76" i="175"/>
  <c r="T59" i="175"/>
  <c r="T71" i="175"/>
  <c r="T66" i="175"/>
  <c r="T78" i="175"/>
  <c r="T45" i="175"/>
  <c r="T61" i="175"/>
  <c r="T73" i="175"/>
  <c r="T56" i="175"/>
  <c r="T68" i="175"/>
  <c r="T18" i="175"/>
  <c r="T63" i="175"/>
  <c r="T75" i="175"/>
  <c r="T60" i="175"/>
  <c r="T72" i="175"/>
  <c r="T55" i="175"/>
  <c r="T67" i="175"/>
  <c r="T10" i="175"/>
  <c r="T62" i="175"/>
  <c r="T74" i="175"/>
  <c r="T85" i="175"/>
  <c r="T97" i="175"/>
  <c r="T47" i="175"/>
  <c r="T92" i="175"/>
  <c r="T105" i="175"/>
  <c r="T57" i="175"/>
  <c r="T87" i="175"/>
  <c r="T100" i="175"/>
  <c r="T79" i="175"/>
  <c r="T82" i="175"/>
  <c r="T94" i="175"/>
  <c r="T65" i="175"/>
  <c r="T77" i="175"/>
  <c r="T89" i="175"/>
  <c r="T102" i="175"/>
  <c r="T49" i="175"/>
  <c r="T84" i="175"/>
  <c r="T96" i="175"/>
  <c r="T81" i="175"/>
  <c r="T93" i="175"/>
  <c r="T58" i="175"/>
  <c r="T88" i="175"/>
  <c r="T101" i="175"/>
  <c r="T83" i="175"/>
  <c r="T95" i="175"/>
  <c r="T107" i="175"/>
  <c r="T119" i="175"/>
  <c r="T131" i="175"/>
  <c r="T114" i="175"/>
  <c r="T126" i="175"/>
  <c r="T90" i="175"/>
  <c r="T109" i="175"/>
  <c r="T121" i="175"/>
  <c r="T116" i="175"/>
  <c r="T128" i="175"/>
  <c r="T99" i="175"/>
  <c r="T111" i="175"/>
  <c r="T123" i="175"/>
  <c r="T118" i="175"/>
  <c r="T104" i="175"/>
  <c r="T113" i="175"/>
  <c r="T125" i="175"/>
  <c r="T69" i="175"/>
  <c r="T115" i="175"/>
  <c r="T127" i="175"/>
  <c r="T70" i="175"/>
  <c r="T91" i="175"/>
  <c r="T110" i="175"/>
  <c r="T122" i="175"/>
  <c r="T117" i="175"/>
  <c r="T129" i="175"/>
  <c r="T136" i="175"/>
  <c r="T148" i="175"/>
  <c r="T143" i="175"/>
  <c r="T155" i="175"/>
  <c r="T138" i="175"/>
  <c r="T150" i="175"/>
  <c r="T103" i="175"/>
  <c r="T133" i="175"/>
  <c r="T145" i="175"/>
  <c r="T157" i="175"/>
  <c r="T140" i="175"/>
  <c r="T152" i="175"/>
  <c r="T112" i="175"/>
  <c r="T135" i="175"/>
  <c r="T147" i="175"/>
  <c r="T86" i="175"/>
  <c r="T142" i="175"/>
  <c r="T154" i="175"/>
  <c r="T108" i="175"/>
  <c r="T132" i="175"/>
  <c r="T144" i="175"/>
  <c r="T156" i="175"/>
  <c r="T106" i="175"/>
  <c r="T120" i="175"/>
  <c r="T130" i="175"/>
  <c r="T134" i="175"/>
  <c r="T146" i="175"/>
  <c r="T141" i="175"/>
  <c r="T153" i="175"/>
  <c r="T139" i="175"/>
  <c r="T137" i="175"/>
  <c r="T151" i="175"/>
  <c r="T149" i="175"/>
  <c r="T3" i="175"/>
  <c r="T124" i="175"/>
  <c r="T211" i="175"/>
  <c r="T199" i="175"/>
  <c r="T216" i="175"/>
  <c r="T221" i="175"/>
  <c r="T209" i="175"/>
  <c r="T214" i="175"/>
  <c r="T202" i="175"/>
  <c r="T190" i="175"/>
  <c r="T219" i="175"/>
  <c r="T212" i="175"/>
  <c r="T217" i="175"/>
  <c r="T210" i="175"/>
  <c r="T198" i="175"/>
  <c r="T215" i="175"/>
  <c r="T203" i="175"/>
  <c r="T220" i="175"/>
  <c r="T208" i="175"/>
  <c r="T213" i="175"/>
  <c r="T201" i="175"/>
  <c r="T189" i="175"/>
  <c r="T218" i="175"/>
  <c r="T197" i="175"/>
  <c r="T195" i="175"/>
  <c r="T182" i="175"/>
  <c r="T170" i="175"/>
  <c r="T191" i="175"/>
  <c r="T178" i="175"/>
  <c r="T181" i="175"/>
  <c r="T168" i="175"/>
  <c r="T179" i="175"/>
  <c r="T193" i="175"/>
  <c r="T188" i="175"/>
  <c r="T174" i="175"/>
  <c r="T169" i="175"/>
  <c r="T162" i="175"/>
  <c r="T184" i="175"/>
  <c r="T207" i="175"/>
  <c r="T204" i="175"/>
  <c r="T164" i="175"/>
  <c r="T160" i="175"/>
  <c r="T200" i="175"/>
  <c r="T192" i="175"/>
  <c r="T185" i="175"/>
  <c r="T180" i="175"/>
  <c r="T205" i="175"/>
  <c r="T196" i="175"/>
  <c r="T176" i="175"/>
  <c r="T166" i="175"/>
  <c r="T186" i="175"/>
  <c r="T172" i="175"/>
  <c r="T163" i="175"/>
  <c r="T161" i="175"/>
  <c r="T206" i="175"/>
  <c r="T194" i="175"/>
  <c r="T187" i="175"/>
  <c r="T177" i="175"/>
  <c r="T183" i="175"/>
  <c r="T173" i="175"/>
  <c r="T165" i="175"/>
  <c r="T158" i="175"/>
  <c r="T159" i="175"/>
  <c r="T175" i="175"/>
  <c r="T167" i="175"/>
  <c r="T171" i="175"/>
  <c r="U1" i="175"/>
  <c r="G5" i="173"/>
  <c r="G7" i="173"/>
  <c r="G9" i="173"/>
  <c r="G11" i="173"/>
  <c r="G13" i="173"/>
  <c r="G15" i="173"/>
  <c r="G17" i="173"/>
  <c r="G19" i="173"/>
  <c r="G21" i="173"/>
  <c r="G23" i="173"/>
  <c r="G25" i="173"/>
  <c r="G27" i="173"/>
  <c r="G29" i="173"/>
  <c r="G31" i="173"/>
  <c r="G4" i="173"/>
  <c r="G8" i="173"/>
  <c r="G14" i="173"/>
  <c r="G20" i="173"/>
  <c r="G22" i="173"/>
  <c r="G24" i="173"/>
  <c r="G26" i="173"/>
  <c r="G33" i="173"/>
  <c r="G35" i="173"/>
  <c r="G37" i="173"/>
  <c r="G39" i="173"/>
  <c r="G41" i="173"/>
  <c r="G43" i="173"/>
  <c r="G45" i="173"/>
  <c r="G47" i="173"/>
  <c r="G49" i="173"/>
  <c r="G51" i="173"/>
  <c r="G53" i="173"/>
  <c r="G30" i="173"/>
  <c r="G10" i="173"/>
  <c r="G46" i="173"/>
  <c r="G16" i="173"/>
  <c r="G48" i="173"/>
  <c r="G50" i="173"/>
  <c r="G56" i="173"/>
  <c r="G58" i="173"/>
  <c r="G60" i="173"/>
  <c r="G62" i="173"/>
  <c r="G64" i="173"/>
  <c r="G66" i="173"/>
  <c r="G68" i="173"/>
  <c r="G70" i="173"/>
  <c r="G72" i="173"/>
  <c r="G74" i="173"/>
  <c r="G52" i="173"/>
  <c r="G54" i="173"/>
  <c r="G34" i="173"/>
  <c r="G12" i="173"/>
  <c r="G32" i="173"/>
  <c r="G38" i="173"/>
  <c r="G55" i="173"/>
  <c r="G57" i="173"/>
  <c r="G59" i="173"/>
  <c r="G61" i="173"/>
  <c r="G63" i="173"/>
  <c r="G65" i="173"/>
  <c r="G67" i="173"/>
  <c r="G69" i="173"/>
  <c r="G71" i="173"/>
  <c r="G73" i="173"/>
  <c r="G18" i="173"/>
  <c r="G40" i="173"/>
  <c r="G6" i="173"/>
  <c r="G42" i="173"/>
  <c r="G76" i="173"/>
  <c r="G78" i="173"/>
  <c r="G80" i="173"/>
  <c r="G82" i="173"/>
  <c r="G84" i="173"/>
  <c r="G86" i="173"/>
  <c r="G88" i="173"/>
  <c r="G90" i="173"/>
  <c r="G92" i="173"/>
  <c r="G94" i="173"/>
  <c r="G96" i="173"/>
  <c r="G98" i="173"/>
  <c r="G100" i="173"/>
  <c r="G28" i="173"/>
  <c r="G81" i="173"/>
  <c r="G89" i="173"/>
  <c r="G97" i="173"/>
  <c r="G75" i="173"/>
  <c r="G83" i="173"/>
  <c r="G91" i="173"/>
  <c r="G44" i="173"/>
  <c r="G99" i="173"/>
  <c r="G101" i="173"/>
  <c r="G103" i="173"/>
  <c r="G105" i="173"/>
  <c r="G107" i="173"/>
  <c r="G109" i="173"/>
  <c r="G111" i="173"/>
  <c r="G113" i="173"/>
  <c r="G115" i="173"/>
  <c r="G117" i="173"/>
  <c r="G119" i="173"/>
  <c r="G121" i="173"/>
  <c r="G123" i="173"/>
  <c r="G125" i="173"/>
  <c r="G77" i="173"/>
  <c r="G85" i="173"/>
  <c r="G93" i="173"/>
  <c r="G36" i="173"/>
  <c r="G87" i="173"/>
  <c r="G104" i="173"/>
  <c r="G116" i="173"/>
  <c r="G79" i="173"/>
  <c r="G102" i="173"/>
  <c r="G114" i="173"/>
  <c r="G129" i="173"/>
  <c r="G131" i="173"/>
  <c r="G133" i="173"/>
  <c r="G135" i="173"/>
  <c r="G137" i="173"/>
  <c r="G139" i="173"/>
  <c r="G141" i="173"/>
  <c r="G143" i="173"/>
  <c r="G145" i="173"/>
  <c r="G147" i="173"/>
  <c r="G149" i="173"/>
  <c r="G151" i="173"/>
  <c r="G112" i="173"/>
  <c r="G126" i="173"/>
  <c r="G3" i="173"/>
  <c r="G124" i="173"/>
  <c r="G108" i="173"/>
  <c r="G120" i="173"/>
  <c r="G122" i="173"/>
  <c r="G134" i="173"/>
  <c r="G150" i="173"/>
  <c r="G130" i="173"/>
  <c r="G138" i="173"/>
  <c r="G146" i="173"/>
  <c r="G142" i="173"/>
  <c r="G127" i="173"/>
  <c r="G132" i="173"/>
  <c r="G140" i="173"/>
  <c r="G148" i="173"/>
  <c r="G152" i="173"/>
  <c r="G128" i="173"/>
  <c r="G106" i="173"/>
  <c r="G95" i="173"/>
  <c r="G118" i="173"/>
  <c r="G110" i="173"/>
  <c r="G136" i="173"/>
  <c r="G144" i="173"/>
  <c r="G218" i="173"/>
  <c r="G214" i="173"/>
  <c r="G210" i="173"/>
  <c r="G216" i="173"/>
  <c r="G211" i="173"/>
  <c r="G207" i="173"/>
  <c r="G203" i="173"/>
  <c r="G199" i="173"/>
  <c r="G195" i="173"/>
  <c r="G215" i="173"/>
  <c r="G212" i="173"/>
  <c r="G206" i="173"/>
  <c r="G213" i="173"/>
  <c r="G205" i="173"/>
  <c r="G217" i="173"/>
  <c r="G202" i="173"/>
  <c r="G201" i="173"/>
  <c r="G196" i="173"/>
  <c r="G194" i="173"/>
  <c r="G190" i="173"/>
  <c r="G186" i="173"/>
  <c r="G204" i="173"/>
  <c r="G197" i="173"/>
  <c r="G191" i="173"/>
  <c r="G209" i="173"/>
  <c r="G198" i="173"/>
  <c r="G192" i="173"/>
  <c r="G208" i="173"/>
  <c r="G200" i="173"/>
  <c r="G193" i="173"/>
  <c r="G188" i="173"/>
  <c r="G189" i="173"/>
  <c r="G187" i="173"/>
  <c r="G182" i="173"/>
  <c r="G178" i="173"/>
  <c r="G174" i="173"/>
  <c r="G170" i="173"/>
  <c r="G183" i="173"/>
  <c r="G179" i="173"/>
  <c r="G175" i="173"/>
  <c r="G171" i="173"/>
  <c r="G184" i="173"/>
  <c r="G180" i="173"/>
  <c r="G176" i="173"/>
  <c r="G172" i="173"/>
  <c r="G185" i="173"/>
  <c r="G169" i="173"/>
  <c r="G164" i="173"/>
  <c r="G160" i="173"/>
  <c r="G156" i="173"/>
  <c r="G173" i="173"/>
  <c r="G165" i="173"/>
  <c r="G161" i="173"/>
  <c r="G157" i="173"/>
  <c r="G177" i="173"/>
  <c r="G168" i="173"/>
  <c r="G166" i="173"/>
  <c r="G162" i="173"/>
  <c r="G158" i="173"/>
  <c r="G181" i="173"/>
  <c r="G167" i="173"/>
  <c r="G163" i="173"/>
  <c r="G159" i="173"/>
  <c r="G155" i="173"/>
  <c r="G154" i="173"/>
  <c r="G153" i="173"/>
  <c r="H1" i="173"/>
  <c r="F49" i="170"/>
  <c r="U98" i="175" l="1"/>
  <c r="U28" i="175"/>
  <c r="U35" i="175"/>
  <c r="U37" i="175"/>
  <c r="U34" i="175"/>
  <c r="U36" i="175"/>
  <c r="U38" i="175"/>
  <c r="U80" i="175"/>
  <c r="U5" i="175"/>
  <c r="U17" i="175"/>
  <c r="U29" i="175"/>
  <c r="U12" i="175"/>
  <c r="U24" i="175"/>
  <c r="U7" i="175"/>
  <c r="U19" i="175"/>
  <c r="U31" i="175"/>
  <c r="U14" i="175"/>
  <c r="U26" i="175"/>
  <c r="U9" i="175"/>
  <c r="U21" i="175"/>
  <c r="U33" i="175"/>
  <c r="U4" i="175"/>
  <c r="U16" i="175"/>
  <c r="U18" i="175"/>
  <c r="U49" i="175"/>
  <c r="U25" i="175"/>
  <c r="U44" i="175"/>
  <c r="U8" i="175"/>
  <c r="U32" i="175"/>
  <c r="U39" i="175"/>
  <c r="U51" i="175"/>
  <c r="U15" i="175"/>
  <c r="U46" i="175"/>
  <c r="U22" i="175"/>
  <c r="U41" i="175"/>
  <c r="U53" i="175"/>
  <c r="U23" i="175"/>
  <c r="U48" i="175"/>
  <c r="U6" i="175"/>
  <c r="U30" i="175"/>
  <c r="U43" i="175"/>
  <c r="U20" i="175"/>
  <c r="U45" i="175"/>
  <c r="U10" i="175"/>
  <c r="U47" i="175"/>
  <c r="U57" i="175"/>
  <c r="U69" i="175"/>
  <c r="U40" i="175"/>
  <c r="U64" i="175"/>
  <c r="U76" i="175"/>
  <c r="U11" i="175"/>
  <c r="U59" i="175"/>
  <c r="U71" i="175"/>
  <c r="U54" i="175"/>
  <c r="U66" i="175"/>
  <c r="U78" i="175"/>
  <c r="U27" i="175"/>
  <c r="U61" i="175"/>
  <c r="U73" i="175"/>
  <c r="U42" i="175"/>
  <c r="U56" i="175"/>
  <c r="U68" i="175"/>
  <c r="U65" i="175"/>
  <c r="U77" i="175"/>
  <c r="U13" i="175"/>
  <c r="U60" i="175"/>
  <c r="U72" i="175"/>
  <c r="U52" i="175"/>
  <c r="U55" i="175"/>
  <c r="U67" i="175"/>
  <c r="U63" i="175"/>
  <c r="U90" i="175"/>
  <c r="U103" i="175"/>
  <c r="U85" i="175"/>
  <c r="U97" i="175"/>
  <c r="U74" i="175"/>
  <c r="U92" i="175"/>
  <c r="U105" i="175"/>
  <c r="U87" i="175"/>
  <c r="U100" i="175"/>
  <c r="U79" i="175"/>
  <c r="U82" i="175"/>
  <c r="U94" i="175"/>
  <c r="U62" i="175"/>
  <c r="U89" i="175"/>
  <c r="U102" i="175"/>
  <c r="U86" i="175"/>
  <c r="U99" i="175"/>
  <c r="U75" i="175"/>
  <c r="U81" i="175"/>
  <c r="U93" i="175"/>
  <c r="U58" i="175"/>
  <c r="U88" i="175"/>
  <c r="U101" i="175"/>
  <c r="U50" i="175"/>
  <c r="U96" i="175"/>
  <c r="U112" i="175"/>
  <c r="U124" i="175"/>
  <c r="U107" i="175"/>
  <c r="U119" i="175"/>
  <c r="U114" i="175"/>
  <c r="U126" i="175"/>
  <c r="U84" i="175"/>
  <c r="U109" i="175"/>
  <c r="U121" i="175"/>
  <c r="U116" i="175"/>
  <c r="U128" i="175"/>
  <c r="U95" i="175"/>
  <c r="U111" i="175"/>
  <c r="U123" i="175"/>
  <c r="U118" i="175"/>
  <c r="U83" i="175"/>
  <c r="U106" i="175"/>
  <c r="U108" i="175"/>
  <c r="U120" i="175"/>
  <c r="U115" i="175"/>
  <c r="U127" i="175"/>
  <c r="U70" i="175"/>
  <c r="U91" i="175"/>
  <c r="U110" i="175"/>
  <c r="U122" i="175"/>
  <c r="U125" i="175"/>
  <c r="U129" i="175"/>
  <c r="U141" i="175"/>
  <c r="U153" i="175"/>
  <c r="U136" i="175"/>
  <c r="U148" i="175"/>
  <c r="U131" i="175"/>
  <c r="U143" i="175"/>
  <c r="U155" i="175"/>
  <c r="U138" i="175"/>
  <c r="U150" i="175"/>
  <c r="U104" i="175"/>
  <c r="U133" i="175"/>
  <c r="U145" i="175"/>
  <c r="U157" i="175"/>
  <c r="U140" i="175"/>
  <c r="U152" i="175"/>
  <c r="U135" i="175"/>
  <c r="U147" i="175"/>
  <c r="U137" i="175"/>
  <c r="U149" i="175"/>
  <c r="U113" i="175"/>
  <c r="U139" i="175"/>
  <c r="U151" i="175"/>
  <c r="U130" i="175"/>
  <c r="U134" i="175"/>
  <c r="U146" i="175"/>
  <c r="U3" i="175"/>
  <c r="U156" i="175"/>
  <c r="U132" i="175"/>
  <c r="U117" i="175"/>
  <c r="U144" i="175"/>
  <c r="U142" i="175"/>
  <c r="U154" i="175"/>
  <c r="U216" i="175"/>
  <c r="U204" i="175"/>
  <c r="U221" i="175"/>
  <c r="U209" i="175"/>
  <c r="U214" i="175"/>
  <c r="U219" i="175"/>
  <c r="U207" i="175"/>
  <c r="U195" i="175"/>
  <c r="U212" i="175"/>
  <c r="U217" i="175"/>
  <c r="U205" i="175"/>
  <c r="U215" i="175"/>
  <c r="U203" i="175"/>
  <c r="U191" i="175"/>
  <c r="U220" i="175"/>
  <c r="U208" i="175"/>
  <c r="U196" i="175"/>
  <c r="U213" i="175"/>
  <c r="U218" i="175"/>
  <c r="U206" i="175"/>
  <c r="U194" i="175"/>
  <c r="U187" i="175"/>
  <c r="U175" i="175"/>
  <c r="U210" i="175"/>
  <c r="U192" i="175"/>
  <c r="U183" i="175"/>
  <c r="U171" i="175"/>
  <c r="U189" i="175"/>
  <c r="U174" i="175"/>
  <c r="U166" i="175"/>
  <c r="U200" i="175"/>
  <c r="U185" i="175"/>
  <c r="U172" i="175"/>
  <c r="U190" i="175"/>
  <c r="U169" i="175"/>
  <c r="U162" i="175"/>
  <c r="U211" i="175"/>
  <c r="U184" i="175"/>
  <c r="U179" i="175"/>
  <c r="U167" i="175"/>
  <c r="U202" i="175"/>
  <c r="U180" i="175"/>
  <c r="U170" i="175"/>
  <c r="U201" i="175"/>
  <c r="U199" i="175"/>
  <c r="U198" i="175"/>
  <c r="U197" i="175"/>
  <c r="U186" i="175"/>
  <c r="U181" i="175"/>
  <c r="U163" i="175"/>
  <c r="U177" i="175"/>
  <c r="U182" i="175"/>
  <c r="U178" i="175"/>
  <c r="U173" i="175"/>
  <c r="U168" i="175"/>
  <c r="U165" i="175"/>
  <c r="U193" i="175"/>
  <c r="U188" i="175"/>
  <c r="U161" i="175"/>
  <c r="U159" i="175"/>
  <c r="U164" i="175"/>
  <c r="U160" i="175"/>
  <c r="U176" i="175"/>
  <c r="U158" i="175"/>
  <c r="V1" i="175"/>
  <c r="H5" i="173"/>
  <c r="H7" i="173"/>
  <c r="H9" i="173"/>
  <c r="H11" i="173"/>
  <c r="H13" i="173"/>
  <c r="H15" i="173"/>
  <c r="H17" i="173"/>
  <c r="H19" i="173"/>
  <c r="H21" i="173"/>
  <c r="H23" i="173"/>
  <c r="H25" i="173"/>
  <c r="H27" i="173"/>
  <c r="H29" i="173"/>
  <c r="H31" i="173"/>
  <c r="H4" i="173"/>
  <c r="H8" i="173"/>
  <c r="H14" i="173"/>
  <c r="H20" i="173"/>
  <c r="H22" i="173"/>
  <c r="H24" i="173"/>
  <c r="H6" i="173"/>
  <c r="H12" i="173"/>
  <c r="H18" i="173"/>
  <c r="H28" i="173"/>
  <c r="H32" i="173"/>
  <c r="H44" i="173"/>
  <c r="H47" i="173"/>
  <c r="H10" i="173"/>
  <c r="H26" i="173"/>
  <c r="H46" i="173"/>
  <c r="H49" i="173"/>
  <c r="H16" i="173"/>
  <c r="H48" i="173"/>
  <c r="H51" i="173"/>
  <c r="H50" i="173"/>
  <c r="H53" i="173"/>
  <c r="H56" i="173"/>
  <c r="H58" i="173"/>
  <c r="H60" i="173"/>
  <c r="H62" i="173"/>
  <c r="H64" i="173"/>
  <c r="H66" i="173"/>
  <c r="H68" i="173"/>
  <c r="H70" i="173"/>
  <c r="H72" i="173"/>
  <c r="H74" i="173"/>
  <c r="H52" i="173"/>
  <c r="H33" i="173"/>
  <c r="H54" i="173"/>
  <c r="H35" i="173"/>
  <c r="H36" i="173"/>
  <c r="H39" i="173"/>
  <c r="H38" i="173"/>
  <c r="H41" i="173"/>
  <c r="H55" i="173"/>
  <c r="H57" i="173"/>
  <c r="H59" i="173"/>
  <c r="H61" i="173"/>
  <c r="H63" i="173"/>
  <c r="H65" i="173"/>
  <c r="H67" i="173"/>
  <c r="H69" i="173"/>
  <c r="H71" i="173"/>
  <c r="H73" i="173"/>
  <c r="H37" i="173"/>
  <c r="H45" i="173"/>
  <c r="H34" i="173"/>
  <c r="H42" i="173"/>
  <c r="H76" i="173"/>
  <c r="H78" i="173"/>
  <c r="H80" i="173"/>
  <c r="H82" i="173"/>
  <c r="H84" i="173"/>
  <c r="H86" i="173"/>
  <c r="H88" i="173"/>
  <c r="H90" i="173"/>
  <c r="H92" i="173"/>
  <c r="H94" i="173"/>
  <c r="H96" i="173"/>
  <c r="H98" i="173"/>
  <c r="H100" i="173"/>
  <c r="H30" i="173"/>
  <c r="H43" i="173"/>
  <c r="H102" i="173"/>
  <c r="H104" i="173"/>
  <c r="H106" i="173"/>
  <c r="H108" i="173"/>
  <c r="H110" i="173"/>
  <c r="H112" i="173"/>
  <c r="H114" i="173"/>
  <c r="H116" i="173"/>
  <c r="H118" i="173"/>
  <c r="H120" i="173"/>
  <c r="H122" i="173"/>
  <c r="H124" i="173"/>
  <c r="H126" i="173"/>
  <c r="H128" i="173"/>
  <c r="H40" i="173"/>
  <c r="H81" i="173"/>
  <c r="H89" i="173"/>
  <c r="H97" i="173"/>
  <c r="H75" i="173"/>
  <c r="H83" i="173"/>
  <c r="H91" i="173"/>
  <c r="H99" i="173"/>
  <c r="H101" i="173"/>
  <c r="H103" i="173"/>
  <c r="H105" i="173"/>
  <c r="H107" i="173"/>
  <c r="H109" i="173"/>
  <c r="H111" i="173"/>
  <c r="H113" i="173"/>
  <c r="H115" i="173"/>
  <c r="H117" i="173"/>
  <c r="H119" i="173"/>
  <c r="H121" i="173"/>
  <c r="H123" i="173"/>
  <c r="H125" i="173"/>
  <c r="H77" i="173"/>
  <c r="H85" i="173"/>
  <c r="H93" i="173"/>
  <c r="H87" i="173"/>
  <c r="H79" i="173"/>
  <c r="H129" i="173"/>
  <c r="H131" i="173"/>
  <c r="H133" i="173"/>
  <c r="H135" i="173"/>
  <c r="H137" i="173"/>
  <c r="H139" i="173"/>
  <c r="H141" i="173"/>
  <c r="H143" i="173"/>
  <c r="H145" i="173"/>
  <c r="H147" i="173"/>
  <c r="H149" i="173"/>
  <c r="H151" i="173"/>
  <c r="H3" i="173"/>
  <c r="H127" i="173"/>
  <c r="H130" i="173"/>
  <c r="H138" i="173"/>
  <c r="H146" i="173"/>
  <c r="H144" i="173"/>
  <c r="H152" i="173"/>
  <c r="H132" i="173"/>
  <c r="H140" i="173"/>
  <c r="H148" i="173"/>
  <c r="H95" i="173"/>
  <c r="H134" i="173"/>
  <c r="H142" i="173"/>
  <c r="H150" i="173"/>
  <c r="H136" i="173"/>
  <c r="H215" i="173"/>
  <c r="H211" i="173"/>
  <c r="H217" i="173"/>
  <c r="H212" i="173"/>
  <c r="H204" i="173"/>
  <c r="H200" i="173"/>
  <c r="H196" i="173"/>
  <c r="H209" i="173"/>
  <c r="H207" i="173"/>
  <c r="H202" i="173"/>
  <c r="H218" i="173"/>
  <c r="H210" i="173"/>
  <c r="H206" i="173"/>
  <c r="H203" i="173"/>
  <c r="H197" i="173"/>
  <c r="H191" i="173"/>
  <c r="H187" i="173"/>
  <c r="H216" i="173"/>
  <c r="H205" i="173"/>
  <c r="H198" i="173"/>
  <c r="H214" i="173"/>
  <c r="H213" i="173"/>
  <c r="H195" i="173"/>
  <c r="H192" i="173"/>
  <c r="H208" i="173"/>
  <c r="H199" i="173"/>
  <c r="H193" i="173"/>
  <c r="H201" i="173"/>
  <c r="H194" i="173"/>
  <c r="H189" i="173"/>
  <c r="H188" i="173"/>
  <c r="H183" i="173"/>
  <c r="H179" i="173"/>
  <c r="H175" i="173"/>
  <c r="H171" i="173"/>
  <c r="H184" i="173"/>
  <c r="H180" i="173"/>
  <c r="H176" i="173"/>
  <c r="H172" i="173"/>
  <c r="H168" i="173"/>
  <c r="H190" i="173"/>
  <c r="H185" i="173"/>
  <c r="H181" i="173"/>
  <c r="H177" i="173"/>
  <c r="H173" i="173"/>
  <c r="H169" i="173"/>
  <c r="H170" i="173"/>
  <c r="H165" i="173"/>
  <c r="H161" i="173"/>
  <c r="H157" i="173"/>
  <c r="H186" i="173"/>
  <c r="H174" i="173"/>
  <c r="H166" i="173"/>
  <c r="H162" i="173"/>
  <c r="H158" i="173"/>
  <c r="H178" i="173"/>
  <c r="H167" i="173"/>
  <c r="H163" i="173"/>
  <c r="H159" i="173"/>
  <c r="H155" i="173"/>
  <c r="H154" i="173"/>
  <c r="H153" i="173"/>
  <c r="H182" i="173"/>
  <c r="H164" i="173"/>
  <c r="H160" i="173"/>
  <c r="H156" i="173"/>
  <c r="I1" i="173"/>
  <c r="F44" i="170"/>
  <c r="T44" i="170" s="1"/>
  <c r="V98" i="175" l="1"/>
  <c r="V28" i="175"/>
  <c r="V34" i="175"/>
  <c r="V36" i="175"/>
  <c r="V35" i="175"/>
  <c r="V37" i="175"/>
  <c r="V38" i="175"/>
  <c r="V80" i="175"/>
  <c r="V10" i="175"/>
  <c r="V22" i="175"/>
  <c r="V5" i="175"/>
  <c r="V17" i="175"/>
  <c r="V29" i="175"/>
  <c r="V12" i="175"/>
  <c r="V24" i="175"/>
  <c r="V7" i="175"/>
  <c r="V19" i="175"/>
  <c r="V31" i="175"/>
  <c r="V14" i="175"/>
  <c r="V26" i="175"/>
  <c r="V9" i="175"/>
  <c r="V21" i="175"/>
  <c r="V33" i="175"/>
  <c r="V4" i="175"/>
  <c r="V11" i="175"/>
  <c r="V42" i="175"/>
  <c r="V18" i="175"/>
  <c r="V49" i="175"/>
  <c r="V25" i="175"/>
  <c r="V44" i="175"/>
  <c r="V8" i="175"/>
  <c r="V32" i="175"/>
  <c r="V39" i="175"/>
  <c r="V51" i="175"/>
  <c r="V15" i="175"/>
  <c r="V46" i="175"/>
  <c r="V16" i="175"/>
  <c r="V41" i="175"/>
  <c r="V53" i="175"/>
  <c r="V23" i="175"/>
  <c r="V48" i="175"/>
  <c r="V13" i="175"/>
  <c r="V50" i="175"/>
  <c r="V27" i="175"/>
  <c r="V40" i="175"/>
  <c r="V52" i="175"/>
  <c r="V43" i="175"/>
  <c r="V62" i="175"/>
  <c r="V74" i="175"/>
  <c r="V20" i="175"/>
  <c r="V57" i="175"/>
  <c r="V69" i="175"/>
  <c r="V64" i="175"/>
  <c r="V76" i="175"/>
  <c r="V30" i="175"/>
  <c r="V59" i="175"/>
  <c r="V71" i="175"/>
  <c r="V45" i="175"/>
  <c r="V54" i="175"/>
  <c r="V66" i="175"/>
  <c r="V78" i="175"/>
  <c r="V61" i="175"/>
  <c r="V73" i="175"/>
  <c r="V47" i="175"/>
  <c r="V58" i="175"/>
  <c r="V70" i="175"/>
  <c r="V65" i="175"/>
  <c r="V60" i="175"/>
  <c r="V72" i="175"/>
  <c r="V6" i="175"/>
  <c r="V83" i="175"/>
  <c r="V95" i="175"/>
  <c r="V63" i="175"/>
  <c r="V90" i="175"/>
  <c r="V103" i="175"/>
  <c r="V85" i="175"/>
  <c r="V97" i="175"/>
  <c r="V68" i="175"/>
  <c r="V92" i="175"/>
  <c r="V87" i="175"/>
  <c r="V100" i="175"/>
  <c r="V77" i="175"/>
  <c r="V79" i="175"/>
  <c r="V82" i="175"/>
  <c r="V94" i="175"/>
  <c r="V67" i="175"/>
  <c r="V91" i="175"/>
  <c r="V104" i="175"/>
  <c r="V86" i="175"/>
  <c r="V99" i="175"/>
  <c r="V75" i="175"/>
  <c r="V81" i="175"/>
  <c r="V93" i="175"/>
  <c r="V117" i="175"/>
  <c r="V129" i="175"/>
  <c r="V96" i="175"/>
  <c r="V112" i="175"/>
  <c r="V124" i="175"/>
  <c r="V107" i="175"/>
  <c r="V119" i="175"/>
  <c r="V102" i="175"/>
  <c r="V114" i="175"/>
  <c r="V126" i="175"/>
  <c r="V84" i="175"/>
  <c r="V109" i="175"/>
  <c r="V121" i="175"/>
  <c r="V55" i="175"/>
  <c r="V105" i="175"/>
  <c r="V116" i="175"/>
  <c r="V128" i="175"/>
  <c r="V56" i="175"/>
  <c r="V89" i="175"/>
  <c r="V111" i="175"/>
  <c r="V123" i="175"/>
  <c r="V101" i="175"/>
  <c r="V113" i="175"/>
  <c r="V125" i="175"/>
  <c r="V106" i="175"/>
  <c r="V108" i="175"/>
  <c r="V120" i="175"/>
  <c r="V115" i="175"/>
  <c r="V127" i="175"/>
  <c r="V118" i="175"/>
  <c r="V130" i="175"/>
  <c r="V134" i="175"/>
  <c r="V146" i="175"/>
  <c r="V141" i="175"/>
  <c r="V153" i="175"/>
  <c r="V136" i="175"/>
  <c r="V148" i="175"/>
  <c r="V131" i="175"/>
  <c r="V143" i="175"/>
  <c r="V155" i="175"/>
  <c r="V138" i="175"/>
  <c r="V150" i="175"/>
  <c r="V133" i="175"/>
  <c r="V145" i="175"/>
  <c r="V140" i="175"/>
  <c r="V152" i="175"/>
  <c r="V142" i="175"/>
  <c r="V154" i="175"/>
  <c r="V132" i="175"/>
  <c r="V144" i="175"/>
  <c r="V156" i="175"/>
  <c r="V139" i="175"/>
  <c r="V151" i="175"/>
  <c r="V157" i="175"/>
  <c r="V3" i="175"/>
  <c r="V88" i="175"/>
  <c r="V137" i="175"/>
  <c r="V149" i="175"/>
  <c r="V135" i="175"/>
  <c r="V147" i="175"/>
  <c r="V122" i="175"/>
  <c r="V110" i="175"/>
  <c r="V221" i="175"/>
  <c r="V209" i="175"/>
  <c r="V197" i="175"/>
  <c r="V214" i="175"/>
  <c r="V219" i="175"/>
  <c r="V207" i="175"/>
  <c r="V212" i="175"/>
  <c r="V200" i="175"/>
  <c r="V217" i="175"/>
  <c r="V210" i="175"/>
  <c r="V215" i="175"/>
  <c r="V220" i="175"/>
  <c r="V208" i="175"/>
  <c r="V196" i="175"/>
  <c r="V213" i="175"/>
  <c r="V201" i="175"/>
  <c r="V218" i="175"/>
  <c r="V206" i="175"/>
  <c r="V211" i="175"/>
  <c r="V199" i="175"/>
  <c r="V216" i="175"/>
  <c r="V180" i="175"/>
  <c r="V168" i="175"/>
  <c r="V205" i="175"/>
  <c r="V202" i="175"/>
  <c r="V193" i="175"/>
  <c r="V188" i="175"/>
  <c r="V176" i="175"/>
  <c r="V194" i="175"/>
  <c r="V187" i="175"/>
  <c r="V190" i="175"/>
  <c r="V178" i="175"/>
  <c r="V184" i="175"/>
  <c r="V179" i="175"/>
  <c r="V174" i="175"/>
  <c r="V167" i="175"/>
  <c r="V164" i="175"/>
  <c r="V160" i="175"/>
  <c r="V204" i="175"/>
  <c r="V203" i="175"/>
  <c r="V192" i="175"/>
  <c r="V185" i="175"/>
  <c r="V175" i="175"/>
  <c r="V158" i="175"/>
  <c r="V189" i="175"/>
  <c r="V198" i="175"/>
  <c r="V186" i="175"/>
  <c r="V181" i="175"/>
  <c r="V163" i="175"/>
  <c r="V161" i="175"/>
  <c r="V195" i="175"/>
  <c r="V177" i="175"/>
  <c r="V172" i="175"/>
  <c r="V191" i="175"/>
  <c r="V182" i="175"/>
  <c r="V183" i="175"/>
  <c r="V169" i="175"/>
  <c r="V165" i="175"/>
  <c r="V173" i="175"/>
  <c r="V166" i="175"/>
  <c r="V170" i="175"/>
  <c r="V162" i="175"/>
  <c r="V159" i="175"/>
  <c r="V171" i="175"/>
  <c r="W1" i="175"/>
  <c r="I4" i="173"/>
  <c r="I6" i="173"/>
  <c r="I8" i="173"/>
  <c r="I10" i="173"/>
  <c r="I12" i="173"/>
  <c r="I14" i="173"/>
  <c r="I16" i="173"/>
  <c r="I18" i="173"/>
  <c r="I20" i="173"/>
  <c r="I22" i="173"/>
  <c r="I24" i="173"/>
  <c r="I26" i="173"/>
  <c r="I28" i="173"/>
  <c r="I30" i="173"/>
  <c r="I32" i="173"/>
  <c r="I5" i="173"/>
  <c r="I7" i="173"/>
  <c r="I9" i="173"/>
  <c r="I11" i="173"/>
  <c r="I13" i="173"/>
  <c r="I15" i="173"/>
  <c r="I17" i="173"/>
  <c r="I19" i="173"/>
  <c r="I21" i="173"/>
  <c r="I23" i="173"/>
  <c r="I25" i="173"/>
  <c r="I27" i="173"/>
  <c r="I29" i="173"/>
  <c r="I31" i="173"/>
  <c r="I34" i="173"/>
  <c r="I36" i="173"/>
  <c r="I38" i="173"/>
  <c r="I40" i="173"/>
  <c r="I42" i="173"/>
  <c r="I44" i="173"/>
  <c r="I46" i="173"/>
  <c r="I48" i="173"/>
  <c r="I50" i="173"/>
  <c r="I52" i="173"/>
  <c r="I54" i="173"/>
  <c r="I33" i="173"/>
  <c r="I35" i="173"/>
  <c r="I37" i="173"/>
  <c r="I39" i="173"/>
  <c r="I41" i="173"/>
  <c r="I43" i="173"/>
  <c r="I45" i="173"/>
  <c r="I47" i="173"/>
  <c r="I49" i="173"/>
  <c r="I51" i="173"/>
  <c r="I53" i="173"/>
  <c r="I56" i="173"/>
  <c r="I58" i="173"/>
  <c r="I60" i="173"/>
  <c r="I62" i="173"/>
  <c r="I64" i="173"/>
  <c r="I66" i="173"/>
  <c r="I68" i="173"/>
  <c r="I70" i="173"/>
  <c r="I72" i="173"/>
  <c r="I74" i="173"/>
  <c r="I75" i="173"/>
  <c r="I77" i="173"/>
  <c r="I79" i="173"/>
  <c r="I81" i="173"/>
  <c r="I83" i="173"/>
  <c r="I85" i="173"/>
  <c r="I87" i="173"/>
  <c r="I89" i="173"/>
  <c r="I91" i="173"/>
  <c r="I93" i="173"/>
  <c r="I95" i="173"/>
  <c r="I97" i="173"/>
  <c r="I99" i="173"/>
  <c r="I57" i="173"/>
  <c r="I65" i="173"/>
  <c r="I73" i="173"/>
  <c r="I59" i="173"/>
  <c r="I67" i="173"/>
  <c r="I76" i="173"/>
  <c r="I78" i="173"/>
  <c r="I80" i="173"/>
  <c r="I82" i="173"/>
  <c r="I84" i="173"/>
  <c r="I86" i="173"/>
  <c r="I88" i="173"/>
  <c r="I90" i="173"/>
  <c r="I92" i="173"/>
  <c r="I94" i="173"/>
  <c r="I96" i="173"/>
  <c r="I98" i="173"/>
  <c r="I100" i="173"/>
  <c r="I61" i="173"/>
  <c r="I69" i="173"/>
  <c r="I55" i="173"/>
  <c r="I102" i="173"/>
  <c r="I104" i="173"/>
  <c r="I106" i="173"/>
  <c r="I108" i="173"/>
  <c r="I110" i="173"/>
  <c r="I112" i="173"/>
  <c r="I114" i="173"/>
  <c r="I116" i="173"/>
  <c r="I118" i="173"/>
  <c r="I120" i="173"/>
  <c r="I122" i="173"/>
  <c r="I124" i="173"/>
  <c r="I63" i="173"/>
  <c r="I71" i="173"/>
  <c r="I101" i="173"/>
  <c r="I103" i="173"/>
  <c r="I105" i="173"/>
  <c r="I107" i="173"/>
  <c r="I109" i="173"/>
  <c r="I111" i="173"/>
  <c r="I113" i="173"/>
  <c r="I115" i="173"/>
  <c r="I117" i="173"/>
  <c r="I119" i="173"/>
  <c r="I121" i="173"/>
  <c r="I123" i="173"/>
  <c r="I128" i="173"/>
  <c r="I130" i="173"/>
  <c r="I132" i="173"/>
  <c r="I134" i="173"/>
  <c r="I136" i="173"/>
  <c r="I138" i="173"/>
  <c r="I140" i="173"/>
  <c r="I142" i="173"/>
  <c r="I144" i="173"/>
  <c r="I146" i="173"/>
  <c r="I148" i="173"/>
  <c r="I150" i="173"/>
  <c r="I152" i="173"/>
  <c r="I125" i="173"/>
  <c r="I126" i="173"/>
  <c r="I129" i="173"/>
  <c r="I131" i="173"/>
  <c r="I133" i="173"/>
  <c r="I135" i="173"/>
  <c r="I137" i="173"/>
  <c r="I139" i="173"/>
  <c r="I141" i="173"/>
  <c r="I143" i="173"/>
  <c r="I145" i="173"/>
  <c r="I147" i="173"/>
  <c r="I149" i="173"/>
  <c r="I151" i="173"/>
  <c r="I127" i="173"/>
  <c r="I3" i="173"/>
  <c r="I216" i="173"/>
  <c r="I212" i="173"/>
  <c r="I208" i="173"/>
  <c r="I218" i="173"/>
  <c r="I213" i="173"/>
  <c r="I205" i="173"/>
  <c r="I201" i="173"/>
  <c r="I197" i="173"/>
  <c r="I217" i="173"/>
  <c r="I214" i="173"/>
  <c r="I203" i="173"/>
  <c r="I215" i="173"/>
  <c r="I209" i="173"/>
  <c r="I207" i="173"/>
  <c r="I202" i="173"/>
  <c r="I211" i="173"/>
  <c r="I204" i="173"/>
  <c r="I198" i="173"/>
  <c r="I192" i="173"/>
  <c r="I188" i="173"/>
  <c r="I210" i="173"/>
  <c r="I206" i="173"/>
  <c r="I199" i="173"/>
  <c r="I196" i="173"/>
  <c r="I193" i="173"/>
  <c r="I187" i="173"/>
  <c r="I200" i="173"/>
  <c r="I194" i="173"/>
  <c r="I189" i="173"/>
  <c r="I190" i="173"/>
  <c r="I191" i="173"/>
  <c r="I184" i="173"/>
  <c r="I180" i="173"/>
  <c r="I176" i="173"/>
  <c r="I172" i="173"/>
  <c r="I168" i="173"/>
  <c r="I185" i="173"/>
  <c r="I181" i="173"/>
  <c r="I177" i="173"/>
  <c r="I173" i="173"/>
  <c r="I169" i="173"/>
  <c r="I186" i="173"/>
  <c r="I182" i="173"/>
  <c r="I178" i="173"/>
  <c r="I174" i="173"/>
  <c r="I170" i="173"/>
  <c r="I195" i="173"/>
  <c r="I171" i="173"/>
  <c r="I166" i="173"/>
  <c r="I162" i="173"/>
  <c r="I158" i="173"/>
  <c r="I175" i="173"/>
  <c r="I167" i="173"/>
  <c r="I163" i="173"/>
  <c r="I159" i="173"/>
  <c r="I155" i="173"/>
  <c r="I154" i="173"/>
  <c r="I153" i="173"/>
  <c r="I179" i="173"/>
  <c r="I164" i="173"/>
  <c r="I160" i="173"/>
  <c r="I156" i="173"/>
  <c r="I183" i="173"/>
  <c r="I165" i="173"/>
  <c r="I161" i="173"/>
  <c r="I157" i="173"/>
  <c r="J1" i="173"/>
  <c r="F57" i="170"/>
  <c r="T57" i="170" s="1"/>
  <c r="F58" i="170"/>
  <c r="T58" i="170" s="1"/>
  <c r="W98" i="175" l="1"/>
  <c r="W28" i="175"/>
  <c r="W38" i="175"/>
  <c r="W37" i="175"/>
  <c r="W35" i="175"/>
  <c r="W34" i="175"/>
  <c r="W36" i="175"/>
  <c r="W80" i="175"/>
  <c r="W15" i="175"/>
  <c r="W27" i="175"/>
  <c r="W10" i="175"/>
  <c r="W22" i="175"/>
  <c r="W5" i="175"/>
  <c r="W17" i="175"/>
  <c r="W29" i="175"/>
  <c r="W12" i="175"/>
  <c r="W24" i="175"/>
  <c r="W7" i="175"/>
  <c r="W19" i="175"/>
  <c r="W31" i="175"/>
  <c r="W14" i="175"/>
  <c r="W26" i="175"/>
  <c r="W47" i="175"/>
  <c r="W4" i="175"/>
  <c r="W11" i="175"/>
  <c r="W42" i="175"/>
  <c r="W18" i="175"/>
  <c r="W49" i="175"/>
  <c r="W25" i="175"/>
  <c r="W44" i="175"/>
  <c r="W8" i="175"/>
  <c r="W32" i="175"/>
  <c r="W39" i="175"/>
  <c r="W51" i="175"/>
  <c r="W9" i="175"/>
  <c r="W33" i="175"/>
  <c r="W46" i="175"/>
  <c r="W16" i="175"/>
  <c r="W41" i="175"/>
  <c r="W53" i="175"/>
  <c r="W6" i="175"/>
  <c r="W30" i="175"/>
  <c r="W43" i="175"/>
  <c r="W20" i="175"/>
  <c r="W45" i="175"/>
  <c r="W23" i="175"/>
  <c r="W55" i="175"/>
  <c r="W67" i="175"/>
  <c r="W79" i="175"/>
  <c r="W62" i="175"/>
  <c r="W74" i="175"/>
  <c r="W40" i="175"/>
  <c r="W57" i="175"/>
  <c r="W69" i="175"/>
  <c r="W48" i="175"/>
  <c r="W64" i="175"/>
  <c r="W76" i="175"/>
  <c r="W59" i="175"/>
  <c r="W71" i="175"/>
  <c r="W21" i="175"/>
  <c r="W54" i="175"/>
  <c r="W66" i="175"/>
  <c r="W78" i="175"/>
  <c r="W63" i="175"/>
  <c r="W75" i="175"/>
  <c r="W58" i="175"/>
  <c r="W70" i="175"/>
  <c r="W13" i="175"/>
  <c r="W65" i="175"/>
  <c r="W88" i="175"/>
  <c r="W101" i="175"/>
  <c r="W83" i="175"/>
  <c r="W95" i="175"/>
  <c r="W60" i="175"/>
  <c r="W90" i="175"/>
  <c r="W103" i="175"/>
  <c r="W85" i="175"/>
  <c r="W97" i="175"/>
  <c r="W68" i="175"/>
  <c r="W92" i="175"/>
  <c r="W87" i="175"/>
  <c r="W100" i="175"/>
  <c r="W84" i="175"/>
  <c r="W96" i="175"/>
  <c r="W61" i="175"/>
  <c r="W91" i="175"/>
  <c r="W104" i="175"/>
  <c r="W86" i="175"/>
  <c r="W99" i="175"/>
  <c r="W77" i="175"/>
  <c r="W82" i="175"/>
  <c r="W110" i="175"/>
  <c r="W122" i="175"/>
  <c r="W50" i="175"/>
  <c r="W117" i="175"/>
  <c r="W129" i="175"/>
  <c r="W52" i="175"/>
  <c r="W72" i="175"/>
  <c r="W93" i="175"/>
  <c r="W112" i="175"/>
  <c r="W124" i="175"/>
  <c r="W73" i="175"/>
  <c r="W107" i="175"/>
  <c r="W119" i="175"/>
  <c r="W102" i="175"/>
  <c r="W114" i="175"/>
  <c r="W126" i="175"/>
  <c r="W81" i="175"/>
  <c r="W109" i="175"/>
  <c r="W121" i="175"/>
  <c r="W105" i="175"/>
  <c r="W116" i="175"/>
  <c r="W128" i="175"/>
  <c r="W118" i="175"/>
  <c r="W130" i="175"/>
  <c r="W94" i="175"/>
  <c r="W113" i="175"/>
  <c r="W125" i="175"/>
  <c r="W106" i="175"/>
  <c r="W108" i="175"/>
  <c r="W120" i="175"/>
  <c r="W111" i="175"/>
  <c r="W139" i="175"/>
  <c r="W151" i="175"/>
  <c r="W134" i="175"/>
  <c r="W146" i="175"/>
  <c r="W56" i="175"/>
  <c r="W123" i="175"/>
  <c r="W141" i="175"/>
  <c r="W153" i="175"/>
  <c r="W136" i="175"/>
  <c r="W148" i="175"/>
  <c r="W131" i="175"/>
  <c r="W143" i="175"/>
  <c r="W155" i="175"/>
  <c r="W138" i="175"/>
  <c r="W150" i="175"/>
  <c r="W133" i="175"/>
  <c r="W145" i="175"/>
  <c r="W157" i="175"/>
  <c r="W135" i="175"/>
  <c r="W147" i="175"/>
  <c r="W89" i="175"/>
  <c r="W137" i="175"/>
  <c r="W149" i="175"/>
  <c r="W127" i="175"/>
  <c r="W132" i="175"/>
  <c r="W144" i="175"/>
  <c r="W156" i="175"/>
  <c r="W142" i="175"/>
  <c r="W3" i="175"/>
  <c r="W115" i="175"/>
  <c r="W140" i="175"/>
  <c r="W154" i="175"/>
  <c r="W152" i="175"/>
  <c r="W214" i="175"/>
  <c r="W202" i="175"/>
  <c r="W219" i="175"/>
  <c r="W207" i="175"/>
  <c r="W212" i="175"/>
  <c r="W217" i="175"/>
  <c r="W205" i="175"/>
  <c r="W193" i="175"/>
  <c r="W210" i="175"/>
  <c r="W215" i="175"/>
  <c r="W220" i="175"/>
  <c r="W213" i="175"/>
  <c r="W201" i="175"/>
  <c r="W189" i="175"/>
  <c r="W218" i="175"/>
  <c r="W206" i="175"/>
  <c r="W194" i="175"/>
  <c r="W211" i="175"/>
  <c r="W216" i="175"/>
  <c r="W204" i="175"/>
  <c r="W192" i="175"/>
  <c r="W221" i="175"/>
  <c r="W185" i="175"/>
  <c r="W173" i="175"/>
  <c r="W200" i="175"/>
  <c r="W198" i="175"/>
  <c r="W181" i="175"/>
  <c r="W169" i="175"/>
  <c r="W186" i="175"/>
  <c r="W180" i="175"/>
  <c r="W164" i="175"/>
  <c r="W209" i="175"/>
  <c r="W196" i="175"/>
  <c r="W184" i="175"/>
  <c r="W171" i="175"/>
  <c r="W160" i="175"/>
  <c r="W170" i="175"/>
  <c r="W203" i="175"/>
  <c r="W199" i="175"/>
  <c r="W197" i="175"/>
  <c r="W195" i="175"/>
  <c r="W177" i="175"/>
  <c r="W172" i="175"/>
  <c r="W191" i="175"/>
  <c r="W182" i="175"/>
  <c r="W187" i="175"/>
  <c r="W165" i="175"/>
  <c r="W183" i="175"/>
  <c r="W178" i="175"/>
  <c r="W188" i="175"/>
  <c r="W208" i="175"/>
  <c r="W190" i="175"/>
  <c r="W179" i="175"/>
  <c r="W174" i="175"/>
  <c r="W167" i="175"/>
  <c r="W168" i="175"/>
  <c r="W163" i="175"/>
  <c r="W166" i="175"/>
  <c r="W175" i="175"/>
  <c r="W162" i="175"/>
  <c r="W161" i="175"/>
  <c r="W159" i="175"/>
  <c r="W176" i="175"/>
  <c r="W158" i="175"/>
  <c r="X1" i="175"/>
  <c r="J4" i="173"/>
  <c r="J6" i="173"/>
  <c r="J8" i="173"/>
  <c r="J10" i="173"/>
  <c r="J12" i="173"/>
  <c r="J14" i="173"/>
  <c r="J16" i="173"/>
  <c r="J18" i="173"/>
  <c r="J20" i="173"/>
  <c r="J22" i="173"/>
  <c r="J24" i="173"/>
  <c r="J26" i="173"/>
  <c r="J28" i="173"/>
  <c r="J30" i="173"/>
  <c r="J32" i="173"/>
  <c r="J21" i="173"/>
  <c r="J34" i="173"/>
  <c r="J36" i="173"/>
  <c r="J38" i="173"/>
  <c r="J40" i="173"/>
  <c r="J42" i="173"/>
  <c r="J44" i="173"/>
  <c r="J46" i="173"/>
  <c r="J48" i="173"/>
  <c r="J50" i="173"/>
  <c r="J52" i="173"/>
  <c r="J54" i="173"/>
  <c r="J23" i="173"/>
  <c r="J7" i="173"/>
  <c r="J13" i="173"/>
  <c r="J19" i="173"/>
  <c r="J25" i="173"/>
  <c r="J27" i="173"/>
  <c r="J31" i="173"/>
  <c r="J5" i="173"/>
  <c r="J45" i="173"/>
  <c r="J47" i="173"/>
  <c r="J49" i="173"/>
  <c r="J51" i="173"/>
  <c r="J11" i="173"/>
  <c r="J29" i="173"/>
  <c r="J53" i="173"/>
  <c r="J17" i="173"/>
  <c r="J56" i="173"/>
  <c r="J58" i="173"/>
  <c r="J60" i="173"/>
  <c r="J62" i="173"/>
  <c r="J64" i="173"/>
  <c r="J66" i="173"/>
  <c r="J68" i="173"/>
  <c r="J70" i="173"/>
  <c r="J72" i="173"/>
  <c r="J74" i="173"/>
  <c r="J33" i="173"/>
  <c r="J37" i="173"/>
  <c r="J9" i="173"/>
  <c r="J39" i="173"/>
  <c r="J15" i="173"/>
  <c r="J41" i="173"/>
  <c r="J75" i="173"/>
  <c r="J77" i="173"/>
  <c r="J79" i="173"/>
  <c r="J81" i="173"/>
  <c r="J83" i="173"/>
  <c r="J85" i="173"/>
  <c r="J87" i="173"/>
  <c r="J89" i="173"/>
  <c r="J91" i="173"/>
  <c r="J93" i="173"/>
  <c r="J95" i="173"/>
  <c r="J97" i="173"/>
  <c r="J99" i="173"/>
  <c r="J57" i="173"/>
  <c r="J65" i="173"/>
  <c r="J73" i="173"/>
  <c r="J59" i="173"/>
  <c r="J67" i="173"/>
  <c r="J35" i="173"/>
  <c r="J76" i="173"/>
  <c r="J78" i="173"/>
  <c r="J80" i="173"/>
  <c r="J82" i="173"/>
  <c r="J84" i="173"/>
  <c r="J86" i="173"/>
  <c r="J88" i="173"/>
  <c r="J90" i="173"/>
  <c r="J92" i="173"/>
  <c r="J94" i="173"/>
  <c r="J96" i="173"/>
  <c r="J98" i="173"/>
  <c r="J43" i="173"/>
  <c r="J61" i="173"/>
  <c r="J69" i="173"/>
  <c r="J55" i="173"/>
  <c r="J102" i="173"/>
  <c r="J104" i="173"/>
  <c r="J106" i="173"/>
  <c r="J108" i="173"/>
  <c r="J110" i="173"/>
  <c r="J112" i="173"/>
  <c r="J114" i="173"/>
  <c r="J116" i="173"/>
  <c r="J118" i="173"/>
  <c r="J120" i="173"/>
  <c r="J122" i="173"/>
  <c r="J124" i="173"/>
  <c r="J63" i="173"/>
  <c r="J100" i="173"/>
  <c r="J71" i="173"/>
  <c r="J101" i="173"/>
  <c r="J103" i="173"/>
  <c r="J105" i="173"/>
  <c r="J107" i="173"/>
  <c r="J109" i="173"/>
  <c r="J111" i="173"/>
  <c r="J113" i="173"/>
  <c r="J115" i="173"/>
  <c r="J117" i="173"/>
  <c r="J119" i="173"/>
  <c r="J121" i="173"/>
  <c r="J123" i="173"/>
  <c r="J125" i="173"/>
  <c r="J128" i="173"/>
  <c r="J130" i="173"/>
  <c r="J132" i="173"/>
  <c r="J134" i="173"/>
  <c r="J136" i="173"/>
  <c r="J138" i="173"/>
  <c r="J140" i="173"/>
  <c r="J142" i="173"/>
  <c r="J144" i="173"/>
  <c r="J146" i="173"/>
  <c r="J148" i="173"/>
  <c r="J150" i="173"/>
  <c r="J152" i="173"/>
  <c r="J3" i="173"/>
  <c r="J133" i="173"/>
  <c r="J141" i="173"/>
  <c r="J149" i="173"/>
  <c r="J135" i="173"/>
  <c r="J143" i="173"/>
  <c r="J151" i="173"/>
  <c r="J127" i="173"/>
  <c r="J129" i="173"/>
  <c r="J137" i="173"/>
  <c r="J145" i="173"/>
  <c r="J126" i="173"/>
  <c r="J131" i="173"/>
  <c r="J139" i="173"/>
  <c r="J147" i="173"/>
  <c r="J217" i="173"/>
  <c r="J213" i="173"/>
  <c r="J209" i="173"/>
  <c r="J214" i="173"/>
  <c r="J208" i="173"/>
  <c r="J206" i="173"/>
  <c r="J202" i="173"/>
  <c r="J198" i="173"/>
  <c r="J211" i="173"/>
  <c r="J204" i="173"/>
  <c r="J212" i="173"/>
  <c r="J203" i="173"/>
  <c r="J216" i="173"/>
  <c r="J210" i="173"/>
  <c r="J205" i="173"/>
  <c r="J199" i="173"/>
  <c r="J193" i="173"/>
  <c r="J189" i="173"/>
  <c r="J215" i="173"/>
  <c r="J207" i="173"/>
  <c r="J200" i="173"/>
  <c r="J195" i="173"/>
  <c r="J197" i="173"/>
  <c r="J194" i="173"/>
  <c r="J188" i="173"/>
  <c r="J218" i="173"/>
  <c r="J201" i="173"/>
  <c r="J190" i="173"/>
  <c r="J191" i="173"/>
  <c r="J196" i="173"/>
  <c r="J185" i="173"/>
  <c r="J181" i="173"/>
  <c r="J177" i="173"/>
  <c r="J173" i="173"/>
  <c r="J169" i="173"/>
  <c r="J186" i="173"/>
  <c r="J182" i="173"/>
  <c r="J178" i="173"/>
  <c r="J174" i="173"/>
  <c r="J170" i="173"/>
  <c r="J192" i="173"/>
  <c r="J183" i="173"/>
  <c r="J179" i="173"/>
  <c r="J175" i="173"/>
  <c r="J171" i="173"/>
  <c r="J172" i="173"/>
  <c r="J167" i="173"/>
  <c r="J163" i="173"/>
  <c r="J159" i="173"/>
  <c r="J155" i="173"/>
  <c r="J154" i="173"/>
  <c r="J153" i="173"/>
  <c r="J187" i="173"/>
  <c r="J176" i="173"/>
  <c r="J168" i="173"/>
  <c r="J164" i="173"/>
  <c r="J160" i="173"/>
  <c r="J156" i="173"/>
  <c r="J180" i="173"/>
  <c r="J165" i="173"/>
  <c r="J161" i="173"/>
  <c r="J157" i="173"/>
  <c r="J184" i="173"/>
  <c r="J166" i="173"/>
  <c r="J162" i="173"/>
  <c r="J158" i="173"/>
  <c r="K1" i="173"/>
  <c r="T40" i="170"/>
  <c r="T38" i="170"/>
  <c r="T39" i="170"/>
  <c r="T45" i="170"/>
  <c r="T46" i="170"/>
  <c r="X98" i="175" l="1"/>
  <c r="X28" i="175"/>
  <c r="X38" i="175"/>
  <c r="X36" i="175"/>
  <c r="X37" i="175"/>
  <c r="X35" i="175"/>
  <c r="X34" i="175"/>
  <c r="X80" i="175"/>
  <c r="X8" i="175"/>
  <c r="X20" i="175"/>
  <c r="X32" i="175"/>
  <c r="X15" i="175"/>
  <c r="X27" i="175"/>
  <c r="X10" i="175"/>
  <c r="X22" i="175"/>
  <c r="X5" i="175"/>
  <c r="X17" i="175"/>
  <c r="X29" i="175"/>
  <c r="X12" i="175"/>
  <c r="X24" i="175"/>
  <c r="X7" i="175"/>
  <c r="X19" i="175"/>
  <c r="X31" i="175"/>
  <c r="X4" i="175"/>
  <c r="X21" i="175"/>
  <c r="X40" i="175"/>
  <c r="X52" i="175"/>
  <c r="X47" i="175"/>
  <c r="X11" i="175"/>
  <c r="X42" i="175"/>
  <c r="X18" i="175"/>
  <c r="X49" i="175"/>
  <c r="X25" i="175"/>
  <c r="X44" i="175"/>
  <c r="X26" i="175"/>
  <c r="X39" i="175"/>
  <c r="X51" i="175"/>
  <c r="X9" i="175"/>
  <c r="X33" i="175"/>
  <c r="X46" i="175"/>
  <c r="X23" i="175"/>
  <c r="X48" i="175"/>
  <c r="X13" i="175"/>
  <c r="X50" i="175"/>
  <c r="X60" i="175"/>
  <c r="X72" i="175"/>
  <c r="X43" i="175"/>
  <c r="X55" i="175"/>
  <c r="X67" i="175"/>
  <c r="X14" i="175"/>
  <c r="X62" i="175"/>
  <c r="X74" i="175"/>
  <c r="X57" i="175"/>
  <c r="X69" i="175"/>
  <c r="X30" i="175"/>
  <c r="X64" i="175"/>
  <c r="X76" i="175"/>
  <c r="X45" i="175"/>
  <c r="X59" i="175"/>
  <c r="X71" i="175"/>
  <c r="X56" i="175"/>
  <c r="X68" i="175"/>
  <c r="X16" i="175"/>
  <c r="X41" i="175"/>
  <c r="X63" i="175"/>
  <c r="X75" i="175"/>
  <c r="X58" i="175"/>
  <c r="X70" i="175"/>
  <c r="X53" i="175"/>
  <c r="X66" i="175"/>
  <c r="X81" i="175"/>
  <c r="X93" i="175"/>
  <c r="X106" i="175"/>
  <c r="X6" i="175"/>
  <c r="X88" i="175"/>
  <c r="X101" i="175"/>
  <c r="X83" i="175"/>
  <c r="X95" i="175"/>
  <c r="X54" i="175"/>
  <c r="X90" i="175"/>
  <c r="X103" i="175"/>
  <c r="X85" i="175"/>
  <c r="X97" i="175"/>
  <c r="X65" i="175"/>
  <c r="X92" i="175"/>
  <c r="X89" i="175"/>
  <c r="X102" i="175"/>
  <c r="X84" i="175"/>
  <c r="X96" i="175"/>
  <c r="X61" i="175"/>
  <c r="X91" i="175"/>
  <c r="X104" i="175"/>
  <c r="X100" i="175"/>
  <c r="X115" i="175"/>
  <c r="X127" i="175"/>
  <c r="X77" i="175"/>
  <c r="X82" i="175"/>
  <c r="X110" i="175"/>
  <c r="X122" i="175"/>
  <c r="X117" i="175"/>
  <c r="X129" i="175"/>
  <c r="X78" i="175"/>
  <c r="X87" i="175"/>
  <c r="X112" i="175"/>
  <c r="X124" i="175"/>
  <c r="X73" i="175"/>
  <c r="X107" i="175"/>
  <c r="X119" i="175"/>
  <c r="X99" i="175"/>
  <c r="X114" i="175"/>
  <c r="X126" i="175"/>
  <c r="X109" i="175"/>
  <c r="X121" i="175"/>
  <c r="X86" i="175"/>
  <c r="X111" i="175"/>
  <c r="X123" i="175"/>
  <c r="X79" i="175"/>
  <c r="X118" i="175"/>
  <c r="X94" i="175"/>
  <c r="X113" i="175"/>
  <c r="X125" i="175"/>
  <c r="X132" i="175"/>
  <c r="X144" i="175"/>
  <c r="X156" i="175"/>
  <c r="X130" i="175"/>
  <c r="X139" i="175"/>
  <c r="X151" i="175"/>
  <c r="X116" i="175"/>
  <c r="X134" i="175"/>
  <c r="X146" i="175"/>
  <c r="X141" i="175"/>
  <c r="X153" i="175"/>
  <c r="X128" i="175"/>
  <c r="X136" i="175"/>
  <c r="X148" i="175"/>
  <c r="X131" i="175"/>
  <c r="X143" i="175"/>
  <c r="X155" i="175"/>
  <c r="X105" i="175"/>
  <c r="X138" i="175"/>
  <c r="X150" i="175"/>
  <c r="X140" i="175"/>
  <c r="X152" i="175"/>
  <c r="X142" i="175"/>
  <c r="X154" i="175"/>
  <c r="X120" i="175"/>
  <c r="X137" i="175"/>
  <c r="X149" i="175"/>
  <c r="X157" i="175"/>
  <c r="X135" i="175"/>
  <c r="X3" i="175"/>
  <c r="X133" i="175"/>
  <c r="X108" i="175"/>
  <c r="X147" i="175"/>
  <c r="X145" i="175"/>
  <c r="X219" i="175"/>
  <c r="X207" i="175"/>
  <c r="X195" i="175"/>
  <c r="X212" i="175"/>
  <c r="X217" i="175"/>
  <c r="X210" i="175"/>
  <c r="X198" i="175"/>
  <c r="X215" i="175"/>
  <c r="X220" i="175"/>
  <c r="X208" i="175"/>
  <c r="X218" i="175"/>
  <c r="X206" i="175"/>
  <c r="X194" i="175"/>
  <c r="X211" i="175"/>
  <c r="X199" i="175"/>
  <c r="X216" i="175"/>
  <c r="X204" i="175"/>
  <c r="X221" i="175"/>
  <c r="X209" i="175"/>
  <c r="X197" i="175"/>
  <c r="X213" i="175"/>
  <c r="X190" i="175"/>
  <c r="X189" i="175"/>
  <c r="X178" i="175"/>
  <c r="X196" i="175"/>
  <c r="X186" i="175"/>
  <c r="X174" i="175"/>
  <c r="X192" i="175"/>
  <c r="X179" i="175"/>
  <c r="X173" i="175"/>
  <c r="X177" i="175"/>
  <c r="X170" i="175"/>
  <c r="X164" i="175"/>
  <c r="X214" i="175"/>
  <c r="X203" i="175"/>
  <c r="X175" i="175"/>
  <c r="X202" i="175"/>
  <c r="X185" i="175"/>
  <c r="X180" i="175"/>
  <c r="X201" i="175"/>
  <c r="X200" i="175"/>
  <c r="X176" i="175"/>
  <c r="X171" i="175"/>
  <c r="X166" i="175"/>
  <c r="X205" i="175"/>
  <c r="X181" i="175"/>
  <c r="X191" i="175"/>
  <c r="X182" i="175"/>
  <c r="X159" i="175"/>
  <c r="X187" i="175"/>
  <c r="X165" i="175"/>
  <c r="X183" i="175"/>
  <c r="X168" i="175"/>
  <c r="X188" i="175"/>
  <c r="X193" i="175"/>
  <c r="X169" i="175"/>
  <c r="X167" i="175"/>
  <c r="X184" i="175"/>
  <c r="X158" i="175"/>
  <c r="X163" i="175"/>
  <c r="X162" i="175"/>
  <c r="X161" i="175"/>
  <c r="X160" i="175"/>
  <c r="X172" i="175"/>
  <c r="Y1" i="175"/>
  <c r="K4" i="173"/>
  <c r="K6" i="173"/>
  <c r="K8" i="173"/>
  <c r="K10" i="173"/>
  <c r="K12" i="173"/>
  <c r="K14" i="173"/>
  <c r="K16" i="173"/>
  <c r="K18" i="173"/>
  <c r="K20" i="173"/>
  <c r="K22" i="173"/>
  <c r="K24" i="173"/>
  <c r="K26" i="173"/>
  <c r="K28" i="173"/>
  <c r="K30" i="173"/>
  <c r="K32" i="173"/>
  <c r="K5" i="173"/>
  <c r="K7" i="173"/>
  <c r="K9" i="173"/>
  <c r="K11" i="173"/>
  <c r="K13" i="173"/>
  <c r="K15" i="173"/>
  <c r="K17" i="173"/>
  <c r="K19" i="173"/>
  <c r="K21" i="173"/>
  <c r="K34" i="173"/>
  <c r="K36" i="173"/>
  <c r="K38" i="173"/>
  <c r="K40" i="173"/>
  <c r="K42" i="173"/>
  <c r="K44" i="173"/>
  <c r="K46" i="173"/>
  <c r="K48" i="173"/>
  <c r="K50" i="173"/>
  <c r="K52" i="173"/>
  <c r="K54" i="173"/>
  <c r="K23" i="173"/>
  <c r="K25" i="173"/>
  <c r="K29" i="173"/>
  <c r="K33" i="173"/>
  <c r="K35" i="173"/>
  <c r="K37" i="173"/>
  <c r="K39" i="173"/>
  <c r="K41" i="173"/>
  <c r="K43" i="173"/>
  <c r="K45" i="173"/>
  <c r="K47" i="173"/>
  <c r="K49" i="173"/>
  <c r="K51" i="173"/>
  <c r="K53" i="173"/>
  <c r="K55" i="173"/>
  <c r="K57" i="173"/>
  <c r="K59" i="173"/>
  <c r="K61" i="173"/>
  <c r="K63" i="173"/>
  <c r="K65" i="173"/>
  <c r="K67" i="173"/>
  <c r="K69" i="173"/>
  <c r="K71" i="173"/>
  <c r="K73" i="173"/>
  <c r="K31" i="173"/>
  <c r="K27" i="173"/>
  <c r="K56" i="173"/>
  <c r="K58" i="173"/>
  <c r="K60" i="173"/>
  <c r="K62" i="173"/>
  <c r="K64" i="173"/>
  <c r="K66" i="173"/>
  <c r="K68" i="173"/>
  <c r="K70" i="173"/>
  <c r="K72" i="173"/>
  <c r="K74" i="173"/>
  <c r="K75" i="173"/>
  <c r="K77" i="173"/>
  <c r="K79" i="173"/>
  <c r="K81" i="173"/>
  <c r="K83" i="173"/>
  <c r="K85" i="173"/>
  <c r="K87" i="173"/>
  <c r="K89" i="173"/>
  <c r="K91" i="173"/>
  <c r="K93" i="173"/>
  <c r="K95" i="173"/>
  <c r="K97" i="173"/>
  <c r="K76" i="173"/>
  <c r="K78" i="173"/>
  <c r="K80" i="173"/>
  <c r="K82" i="173"/>
  <c r="K84" i="173"/>
  <c r="K86" i="173"/>
  <c r="K88" i="173"/>
  <c r="K90" i="173"/>
  <c r="K92" i="173"/>
  <c r="K94" i="173"/>
  <c r="K96" i="173"/>
  <c r="K98" i="173"/>
  <c r="K100" i="173"/>
  <c r="K102" i="173"/>
  <c r="K104" i="173"/>
  <c r="K106" i="173"/>
  <c r="K108" i="173"/>
  <c r="K110" i="173"/>
  <c r="K112" i="173"/>
  <c r="K114" i="173"/>
  <c r="K116" i="173"/>
  <c r="K118" i="173"/>
  <c r="K120" i="173"/>
  <c r="K122" i="173"/>
  <c r="K124" i="173"/>
  <c r="K99" i="173"/>
  <c r="K101" i="173"/>
  <c r="K103" i="173"/>
  <c r="K105" i="173"/>
  <c r="K107" i="173"/>
  <c r="K109" i="173"/>
  <c r="K111" i="173"/>
  <c r="K113" i="173"/>
  <c r="K115" i="173"/>
  <c r="K117" i="173"/>
  <c r="K119" i="173"/>
  <c r="K121" i="173"/>
  <c r="K123" i="173"/>
  <c r="K125" i="173"/>
  <c r="K128" i="173"/>
  <c r="K130" i="173"/>
  <c r="K132" i="173"/>
  <c r="K134" i="173"/>
  <c r="K136" i="173"/>
  <c r="K138" i="173"/>
  <c r="K140" i="173"/>
  <c r="K142" i="173"/>
  <c r="K144" i="173"/>
  <c r="K146" i="173"/>
  <c r="K148" i="173"/>
  <c r="K150" i="173"/>
  <c r="K152" i="173"/>
  <c r="K126" i="173"/>
  <c r="K129" i="173"/>
  <c r="K131" i="173"/>
  <c r="K133" i="173"/>
  <c r="K135" i="173"/>
  <c r="K137" i="173"/>
  <c r="K139" i="173"/>
  <c r="K141" i="173"/>
  <c r="K143" i="173"/>
  <c r="K145" i="173"/>
  <c r="K147" i="173"/>
  <c r="K149" i="173"/>
  <c r="K151" i="173"/>
  <c r="K3" i="173"/>
  <c r="K127" i="173"/>
  <c r="K218" i="173"/>
  <c r="K214" i="173"/>
  <c r="K210" i="173"/>
  <c r="K215" i="173"/>
  <c r="K209" i="173"/>
  <c r="K207" i="173"/>
  <c r="K203" i="173"/>
  <c r="K199" i="173"/>
  <c r="K195" i="173"/>
  <c r="K216" i="173"/>
  <c r="K208" i="173"/>
  <c r="K205" i="173"/>
  <c r="K217" i="173"/>
  <c r="K211" i="173"/>
  <c r="K204" i="173"/>
  <c r="K206" i="173"/>
  <c r="K200" i="173"/>
  <c r="K194" i="173"/>
  <c r="K190" i="173"/>
  <c r="K186" i="173"/>
  <c r="K201" i="173"/>
  <c r="K196" i="173"/>
  <c r="K213" i="173"/>
  <c r="K202" i="173"/>
  <c r="K198" i="173"/>
  <c r="K189" i="173"/>
  <c r="K191" i="173"/>
  <c r="K212" i="173"/>
  <c r="K192" i="173"/>
  <c r="K187" i="173"/>
  <c r="K193" i="173"/>
  <c r="K182" i="173"/>
  <c r="K178" i="173"/>
  <c r="K174" i="173"/>
  <c r="K170" i="173"/>
  <c r="K197" i="173"/>
  <c r="K183" i="173"/>
  <c r="K179" i="173"/>
  <c r="K175" i="173"/>
  <c r="K171" i="173"/>
  <c r="K184" i="173"/>
  <c r="K180" i="173"/>
  <c r="K176" i="173"/>
  <c r="K172" i="173"/>
  <c r="K173" i="173"/>
  <c r="K168" i="173"/>
  <c r="K164" i="173"/>
  <c r="K160" i="173"/>
  <c r="K156" i="173"/>
  <c r="K177" i="173"/>
  <c r="K165" i="173"/>
  <c r="K161" i="173"/>
  <c r="K157" i="173"/>
  <c r="K188" i="173"/>
  <c r="K181" i="173"/>
  <c r="K166" i="173"/>
  <c r="K162" i="173"/>
  <c r="K158" i="173"/>
  <c r="K185" i="173"/>
  <c r="K169" i="173"/>
  <c r="K167" i="173"/>
  <c r="K163" i="173"/>
  <c r="K159" i="173"/>
  <c r="K155" i="173"/>
  <c r="K154" i="173"/>
  <c r="K153" i="173"/>
  <c r="L1" i="173"/>
  <c r="F36" i="170"/>
  <c r="T36" i="170" s="1"/>
  <c r="Y98" i="175" l="1"/>
  <c r="Y28" i="175"/>
  <c r="Y36" i="175"/>
  <c r="Y34" i="175"/>
  <c r="Y38" i="175"/>
  <c r="Y35" i="175"/>
  <c r="Y37" i="175"/>
  <c r="Y80" i="175"/>
  <c r="Y13" i="175"/>
  <c r="Y25" i="175"/>
  <c r="Y8" i="175"/>
  <c r="Y20" i="175"/>
  <c r="Y32" i="175"/>
  <c r="Y15" i="175"/>
  <c r="Y27" i="175"/>
  <c r="Y10" i="175"/>
  <c r="Y22" i="175"/>
  <c r="Y5" i="175"/>
  <c r="Y17" i="175"/>
  <c r="Y29" i="175"/>
  <c r="Y12" i="175"/>
  <c r="Y24" i="175"/>
  <c r="Y14" i="175"/>
  <c r="Y45" i="175"/>
  <c r="Y21" i="175"/>
  <c r="Y40" i="175"/>
  <c r="Y52" i="175"/>
  <c r="Y4" i="175"/>
  <c r="Y47" i="175"/>
  <c r="Y11" i="175"/>
  <c r="Y42" i="175"/>
  <c r="Y18" i="175"/>
  <c r="Y49" i="175"/>
  <c r="Y19" i="175"/>
  <c r="Y44" i="175"/>
  <c r="Y26" i="175"/>
  <c r="Y39" i="175"/>
  <c r="Y51" i="175"/>
  <c r="Y16" i="175"/>
  <c r="Y41" i="175"/>
  <c r="Y53" i="175"/>
  <c r="Y6" i="175"/>
  <c r="Y30" i="175"/>
  <c r="Y43" i="175"/>
  <c r="Y46" i="175"/>
  <c r="Y65" i="175"/>
  <c r="Y77" i="175"/>
  <c r="Y23" i="175"/>
  <c r="Y60" i="175"/>
  <c r="Y72" i="175"/>
  <c r="Y55" i="175"/>
  <c r="Y67" i="175"/>
  <c r="Y33" i="175"/>
  <c r="Y62" i="175"/>
  <c r="Y74" i="175"/>
  <c r="Y48" i="175"/>
  <c r="Y57" i="175"/>
  <c r="Y69" i="175"/>
  <c r="Y64" i="175"/>
  <c r="Y76" i="175"/>
  <c r="Y31" i="175"/>
  <c r="Y50" i="175"/>
  <c r="Y61" i="175"/>
  <c r="Y73" i="175"/>
  <c r="Y56" i="175"/>
  <c r="Y68" i="175"/>
  <c r="Y63" i="175"/>
  <c r="Y75" i="175"/>
  <c r="Y86" i="175"/>
  <c r="Y99" i="175"/>
  <c r="Y66" i="175"/>
  <c r="Y81" i="175"/>
  <c r="Y93" i="175"/>
  <c r="Y7" i="175"/>
  <c r="Y88" i="175"/>
  <c r="Y101" i="175"/>
  <c r="Y9" i="175"/>
  <c r="Y71" i="175"/>
  <c r="Y83" i="175"/>
  <c r="Y95" i="175"/>
  <c r="Y54" i="175"/>
  <c r="Y90" i="175"/>
  <c r="Y103" i="175"/>
  <c r="Y85" i="175"/>
  <c r="Y97" i="175"/>
  <c r="Y70" i="175"/>
  <c r="Y82" i="175"/>
  <c r="Y94" i="175"/>
  <c r="Y89" i="175"/>
  <c r="Y102" i="175"/>
  <c r="Y84" i="175"/>
  <c r="Y96" i="175"/>
  <c r="Y59" i="175"/>
  <c r="Y108" i="175"/>
  <c r="Y120" i="175"/>
  <c r="Y100" i="175"/>
  <c r="Y115" i="175"/>
  <c r="Y127" i="175"/>
  <c r="Y110" i="175"/>
  <c r="Y122" i="175"/>
  <c r="Y117" i="175"/>
  <c r="Y129" i="175"/>
  <c r="Y78" i="175"/>
  <c r="Y87" i="175"/>
  <c r="Y112" i="175"/>
  <c r="Y124" i="175"/>
  <c r="Y107" i="175"/>
  <c r="Y119" i="175"/>
  <c r="Y92" i="175"/>
  <c r="Y114" i="175"/>
  <c r="Y126" i="175"/>
  <c r="Y104" i="175"/>
  <c r="Y105" i="175"/>
  <c r="Y116" i="175"/>
  <c r="Y128" i="175"/>
  <c r="Y111" i="175"/>
  <c r="Y123" i="175"/>
  <c r="Y79" i="175"/>
  <c r="Y118" i="175"/>
  <c r="Y137" i="175"/>
  <c r="Y149" i="175"/>
  <c r="Y91" i="175"/>
  <c r="Y125" i="175"/>
  <c r="Y132" i="175"/>
  <c r="Y144" i="175"/>
  <c r="Y156" i="175"/>
  <c r="Y109" i="175"/>
  <c r="Y130" i="175"/>
  <c r="Y139" i="175"/>
  <c r="Y151" i="175"/>
  <c r="Y58" i="175"/>
  <c r="Y134" i="175"/>
  <c r="Y146" i="175"/>
  <c r="Y121" i="175"/>
  <c r="Y141" i="175"/>
  <c r="Y153" i="175"/>
  <c r="Y136" i="175"/>
  <c r="Y148" i="175"/>
  <c r="Y131" i="175"/>
  <c r="Y143" i="175"/>
  <c r="Y155" i="175"/>
  <c r="Y133" i="175"/>
  <c r="Y145" i="175"/>
  <c r="Y157" i="175"/>
  <c r="Y135" i="175"/>
  <c r="Y147" i="175"/>
  <c r="Y106" i="175"/>
  <c r="Y113" i="175"/>
  <c r="Y142" i="175"/>
  <c r="Y154" i="175"/>
  <c r="Y150" i="175"/>
  <c r="Y152" i="175"/>
  <c r="Y3" i="175"/>
  <c r="Y140" i="175"/>
  <c r="Y138" i="175"/>
  <c r="Y212" i="175"/>
  <c r="Y200" i="175"/>
  <c r="Y217" i="175"/>
  <c r="Y210" i="175"/>
  <c r="Y215" i="175"/>
  <c r="Y203" i="175"/>
  <c r="Y191" i="175"/>
  <c r="Y220" i="175"/>
  <c r="Y208" i="175"/>
  <c r="Y213" i="175"/>
  <c r="Y218" i="175"/>
  <c r="Y211" i="175"/>
  <c r="Y199" i="175"/>
  <c r="Y216" i="175"/>
  <c r="Y204" i="175"/>
  <c r="Y221" i="175"/>
  <c r="Y209" i="175"/>
  <c r="Y214" i="175"/>
  <c r="Y202" i="175"/>
  <c r="Y190" i="175"/>
  <c r="Y219" i="175"/>
  <c r="Y183" i="175"/>
  <c r="Y171" i="175"/>
  <c r="Y206" i="175"/>
  <c r="Y179" i="175"/>
  <c r="Y207" i="175"/>
  <c r="Y201" i="175"/>
  <c r="Y197" i="175"/>
  <c r="Y172" i="175"/>
  <c r="Y205" i="175"/>
  <c r="Y193" i="175"/>
  <c r="Y170" i="175"/>
  <c r="Y175" i="175"/>
  <c r="Y158" i="175"/>
  <c r="Y185" i="175"/>
  <c r="Y180" i="175"/>
  <c r="Y192" i="175"/>
  <c r="Y189" i="175"/>
  <c r="Y181" i="175"/>
  <c r="Y163" i="175"/>
  <c r="Y161" i="175"/>
  <c r="Y198" i="175"/>
  <c r="Y186" i="175"/>
  <c r="Y196" i="175"/>
  <c r="Y195" i="175"/>
  <c r="Y182" i="175"/>
  <c r="Y187" i="175"/>
  <c r="Y165" i="175"/>
  <c r="Y168" i="175"/>
  <c r="Y194" i="175"/>
  <c r="Y188" i="175"/>
  <c r="Y178" i="175"/>
  <c r="Y173" i="175"/>
  <c r="Y162" i="175"/>
  <c r="Y184" i="175"/>
  <c r="Y174" i="175"/>
  <c r="Y164" i="175"/>
  <c r="Y169" i="175"/>
  <c r="Y177" i="175"/>
  <c r="Y167" i="175"/>
  <c r="Y159" i="175"/>
  <c r="Y160" i="175"/>
  <c r="Y176" i="175"/>
  <c r="Y166" i="175"/>
  <c r="Z1" i="175"/>
  <c r="L4" i="173"/>
  <c r="L6" i="173"/>
  <c r="L8" i="173"/>
  <c r="L10" i="173"/>
  <c r="L12" i="173"/>
  <c r="L14" i="173"/>
  <c r="L16" i="173"/>
  <c r="L18" i="173"/>
  <c r="L20" i="173"/>
  <c r="L22" i="173"/>
  <c r="L24" i="173"/>
  <c r="L26" i="173"/>
  <c r="L28" i="173"/>
  <c r="L30" i="173"/>
  <c r="L32" i="173"/>
  <c r="L9" i="173"/>
  <c r="L15" i="173"/>
  <c r="L21" i="173"/>
  <c r="L34" i="173"/>
  <c r="L36" i="173"/>
  <c r="L38" i="173"/>
  <c r="L40" i="173"/>
  <c r="L42" i="173"/>
  <c r="L44" i="173"/>
  <c r="L46" i="173"/>
  <c r="L48" i="173"/>
  <c r="L50" i="173"/>
  <c r="L52" i="173"/>
  <c r="L54" i="173"/>
  <c r="L7" i="173"/>
  <c r="L13" i="173"/>
  <c r="L19" i="173"/>
  <c r="L23" i="173"/>
  <c r="L27" i="173"/>
  <c r="L11" i="173"/>
  <c r="L17" i="173"/>
  <c r="L31" i="173"/>
  <c r="L43" i="173"/>
  <c r="L45" i="173"/>
  <c r="L55" i="173"/>
  <c r="L57" i="173"/>
  <c r="L59" i="173"/>
  <c r="L61" i="173"/>
  <c r="L63" i="173"/>
  <c r="L65" i="173"/>
  <c r="L67" i="173"/>
  <c r="L69" i="173"/>
  <c r="L71" i="173"/>
  <c r="L73" i="173"/>
  <c r="L47" i="173"/>
  <c r="L49" i="173"/>
  <c r="L5" i="173"/>
  <c r="L51" i="173"/>
  <c r="L29" i="173"/>
  <c r="L53" i="173"/>
  <c r="L25" i="173"/>
  <c r="L35" i="173"/>
  <c r="L37" i="173"/>
  <c r="L33" i="173"/>
  <c r="L60" i="173"/>
  <c r="L68" i="173"/>
  <c r="L41" i="173"/>
  <c r="L62" i="173"/>
  <c r="L70" i="173"/>
  <c r="L75" i="173"/>
  <c r="L77" i="173"/>
  <c r="L79" i="173"/>
  <c r="L81" i="173"/>
  <c r="L83" i="173"/>
  <c r="L85" i="173"/>
  <c r="L87" i="173"/>
  <c r="L89" i="173"/>
  <c r="L91" i="173"/>
  <c r="L93" i="173"/>
  <c r="L95" i="173"/>
  <c r="L97" i="173"/>
  <c r="L99" i="173"/>
  <c r="L56" i="173"/>
  <c r="L64" i="173"/>
  <c r="L72" i="173"/>
  <c r="L39" i="173"/>
  <c r="L74" i="173"/>
  <c r="L76" i="173"/>
  <c r="L84" i="173"/>
  <c r="L92" i="173"/>
  <c r="L78" i="173"/>
  <c r="L86" i="173"/>
  <c r="L94" i="173"/>
  <c r="L102" i="173"/>
  <c r="L104" i="173"/>
  <c r="L106" i="173"/>
  <c r="L108" i="173"/>
  <c r="L110" i="173"/>
  <c r="L112" i="173"/>
  <c r="L114" i="173"/>
  <c r="L116" i="173"/>
  <c r="L118" i="173"/>
  <c r="L120" i="173"/>
  <c r="L122" i="173"/>
  <c r="L124" i="173"/>
  <c r="L58" i="173"/>
  <c r="L80" i="173"/>
  <c r="L88" i="173"/>
  <c r="L96" i="173"/>
  <c r="L100" i="173"/>
  <c r="L66" i="173"/>
  <c r="L82" i="173"/>
  <c r="L90" i="173"/>
  <c r="L98" i="173"/>
  <c r="L111" i="173"/>
  <c r="L127" i="173"/>
  <c r="L123" i="173"/>
  <c r="L109" i="173"/>
  <c r="L121" i="173"/>
  <c r="L128" i="173"/>
  <c r="L130" i="173"/>
  <c r="L132" i="173"/>
  <c r="L134" i="173"/>
  <c r="L136" i="173"/>
  <c r="L138" i="173"/>
  <c r="L140" i="173"/>
  <c r="L142" i="173"/>
  <c r="L144" i="173"/>
  <c r="L146" i="173"/>
  <c r="L148" i="173"/>
  <c r="L150" i="173"/>
  <c r="L152" i="173"/>
  <c r="L107" i="173"/>
  <c r="L119" i="173"/>
  <c r="L125" i="173"/>
  <c r="L105" i="173"/>
  <c r="L117" i="173"/>
  <c r="L103" i="173"/>
  <c r="L115" i="173"/>
  <c r="L126" i="173"/>
  <c r="L129" i="173"/>
  <c r="L131" i="173"/>
  <c r="L133" i="173"/>
  <c r="L135" i="173"/>
  <c r="L137" i="173"/>
  <c r="L139" i="173"/>
  <c r="L141" i="173"/>
  <c r="L143" i="173"/>
  <c r="L145" i="173"/>
  <c r="L147" i="173"/>
  <c r="L149" i="173"/>
  <c r="L151" i="173"/>
  <c r="L113" i="173"/>
  <c r="L3" i="173"/>
  <c r="L101" i="173"/>
  <c r="L215" i="173"/>
  <c r="L211" i="173"/>
  <c r="L216" i="173"/>
  <c r="L210" i="173"/>
  <c r="L204" i="173"/>
  <c r="L200" i="173"/>
  <c r="L196" i="173"/>
  <c r="L213" i="173"/>
  <c r="L206" i="173"/>
  <c r="L214" i="173"/>
  <c r="L208" i="173"/>
  <c r="L205" i="173"/>
  <c r="L207" i="173"/>
  <c r="L201" i="173"/>
  <c r="L195" i="173"/>
  <c r="L191" i="173"/>
  <c r="L187" i="173"/>
  <c r="L209" i="173"/>
  <c r="L197" i="173"/>
  <c r="L218" i="173"/>
  <c r="L212" i="173"/>
  <c r="L199" i="173"/>
  <c r="L190" i="173"/>
  <c r="L192" i="173"/>
  <c r="L203" i="173"/>
  <c r="L193" i="173"/>
  <c r="L188" i="173"/>
  <c r="L217" i="173"/>
  <c r="L186" i="173"/>
  <c r="L183" i="173"/>
  <c r="L179" i="173"/>
  <c r="L175" i="173"/>
  <c r="L171" i="173"/>
  <c r="L184" i="173"/>
  <c r="L180" i="173"/>
  <c r="L176" i="173"/>
  <c r="L172" i="173"/>
  <c r="L168" i="173"/>
  <c r="L198" i="173"/>
  <c r="L194" i="173"/>
  <c r="L185" i="173"/>
  <c r="L181" i="173"/>
  <c r="L177" i="173"/>
  <c r="L173" i="173"/>
  <c r="L169" i="173"/>
  <c r="L189" i="173"/>
  <c r="L174" i="173"/>
  <c r="L165" i="173"/>
  <c r="L161" i="173"/>
  <c r="L157" i="173"/>
  <c r="L178" i="173"/>
  <c r="L166" i="173"/>
  <c r="L162" i="173"/>
  <c r="L158" i="173"/>
  <c r="L182" i="173"/>
  <c r="L167" i="173"/>
  <c r="L163" i="173"/>
  <c r="L159" i="173"/>
  <c r="L155" i="173"/>
  <c r="L154" i="173"/>
  <c r="L153" i="173"/>
  <c r="L202" i="173"/>
  <c r="L170" i="173"/>
  <c r="L164" i="173"/>
  <c r="L160" i="173"/>
  <c r="L156" i="173"/>
  <c r="M1" i="173"/>
  <c r="F31" i="170"/>
  <c r="F56" i="170"/>
  <c r="T56" i="170" s="1"/>
  <c r="F55" i="170"/>
  <c r="T55" i="170" s="1"/>
  <c r="F54" i="170"/>
  <c r="T54" i="170" s="1"/>
  <c r="F51" i="170"/>
  <c r="T51" i="170" s="1"/>
  <c r="F50" i="170"/>
  <c r="T50" i="170" s="1"/>
  <c r="T49" i="170"/>
  <c r="F48" i="170"/>
  <c r="T48" i="170" s="1"/>
  <c r="F47" i="170"/>
  <c r="T47" i="170" s="1"/>
  <c r="Z98" i="175" l="1"/>
  <c r="Z28" i="175"/>
  <c r="Z36" i="175"/>
  <c r="Z38" i="175"/>
  <c r="Z37" i="175"/>
  <c r="Z35" i="175"/>
  <c r="Z34" i="175"/>
  <c r="Z80" i="175"/>
  <c r="Z6" i="175"/>
  <c r="Z18" i="175"/>
  <c r="Z30" i="175"/>
  <c r="Z13" i="175"/>
  <c r="Z25" i="175"/>
  <c r="Z8" i="175"/>
  <c r="Z20" i="175"/>
  <c r="Z32" i="175"/>
  <c r="Z15" i="175"/>
  <c r="Z27" i="175"/>
  <c r="Z10" i="175"/>
  <c r="Z22" i="175"/>
  <c r="Z5" i="175"/>
  <c r="Z17" i="175"/>
  <c r="Z29" i="175"/>
  <c r="Z7" i="175"/>
  <c r="Z31" i="175"/>
  <c r="Z50" i="175"/>
  <c r="Z14" i="175"/>
  <c r="Z45" i="175"/>
  <c r="Z21" i="175"/>
  <c r="Z40" i="175"/>
  <c r="Z52" i="175"/>
  <c r="Z4" i="175"/>
  <c r="Z47" i="175"/>
  <c r="Z11" i="175"/>
  <c r="Z42" i="175"/>
  <c r="Z12" i="175"/>
  <c r="Z49" i="175"/>
  <c r="Z19" i="175"/>
  <c r="Z44" i="175"/>
  <c r="Z9" i="175"/>
  <c r="Z33" i="175"/>
  <c r="Z46" i="175"/>
  <c r="Z23" i="175"/>
  <c r="Z48" i="175"/>
  <c r="Z26" i="175"/>
  <c r="Z58" i="175"/>
  <c r="Z70" i="175"/>
  <c r="Z65" i="175"/>
  <c r="Z77" i="175"/>
  <c r="Z43" i="175"/>
  <c r="Z60" i="175"/>
  <c r="Z72" i="175"/>
  <c r="Z51" i="175"/>
  <c r="Z55" i="175"/>
  <c r="Z67" i="175"/>
  <c r="Z62" i="175"/>
  <c r="Z74" i="175"/>
  <c r="Z24" i="175"/>
  <c r="Z57" i="175"/>
  <c r="Z69" i="175"/>
  <c r="Z54" i="175"/>
  <c r="Z66" i="175"/>
  <c r="Z78" i="175"/>
  <c r="Z61" i="175"/>
  <c r="Z73" i="175"/>
  <c r="Z16" i="175"/>
  <c r="Z41" i="175"/>
  <c r="Z56" i="175"/>
  <c r="Z68" i="175"/>
  <c r="Z91" i="175"/>
  <c r="Z104" i="175"/>
  <c r="Z53" i="175"/>
  <c r="Z86" i="175"/>
  <c r="Z99" i="175"/>
  <c r="Z63" i="175"/>
  <c r="Z81" i="175"/>
  <c r="Z93" i="175"/>
  <c r="Z88" i="175"/>
  <c r="Z101" i="175"/>
  <c r="Z71" i="175"/>
  <c r="Z83" i="175"/>
  <c r="Z95" i="175"/>
  <c r="Z90" i="175"/>
  <c r="Z103" i="175"/>
  <c r="Z79" i="175"/>
  <c r="Z87" i="175"/>
  <c r="Z100" i="175"/>
  <c r="Z39" i="175"/>
  <c r="Z64" i="175"/>
  <c r="Z82" i="175"/>
  <c r="Z94" i="175"/>
  <c r="Z89" i="175"/>
  <c r="Z102" i="175"/>
  <c r="Z85" i="175"/>
  <c r="Z106" i="175"/>
  <c r="Z113" i="175"/>
  <c r="Z125" i="175"/>
  <c r="Z59" i="175"/>
  <c r="Z108" i="175"/>
  <c r="Z120" i="175"/>
  <c r="Z96" i="175"/>
  <c r="Z115" i="175"/>
  <c r="Z127" i="175"/>
  <c r="Z110" i="175"/>
  <c r="Z122" i="175"/>
  <c r="Z117" i="175"/>
  <c r="Z129" i="175"/>
  <c r="Z84" i="175"/>
  <c r="Z112" i="175"/>
  <c r="Z124" i="175"/>
  <c r="Z107" i="175"/>
  <c r="Z119" i="175"/>
  <c r="Z75" i="175"/>
  <c r="Z109" i="175"/>
  <c r="Z121" i="175"/>
  <c r="Z97" i="175"/>
  <c r="Z105" i="175"/>
  <c r="Z116" i="175"/>
  <c r="Z76" i="175"/>
  <c r="Z111" i="175"/>
  <c r="Z123" i="175"/>
  <c r="Z142" i="175"/>
  <c r="Z154" i="175"/>
  <c r="Z118" i="175"/>
  <c r="Z137" i="175"/>
  <c r="Z149" i="175"/>
  <c r="Z92" i="175"/>
  <c r="Z132" i="175"/>
  <c r="Z144" i="175"/>
  <c r="Z156" i="175"/>
  <c r="Z130" i="175"/>
  <c r="Z139" i="175"/>
  <c r="Z151" i="175"/>
  <c r="Z114" i="175"/>
  <c r="Z134" i="175"/>
  <c r="Z146" i="175"/>
  <c r="Z128" i="175"/>
  <c r="Z141" i="175"/>
  <c r="Z153" i="175"/>
  <c r="Z126" i="175"/>
  <c r="Z136" i="175"/>
  <c r="Z148" i="175"/>
  <c r="Z138" i="175"/>
  <c r="Z150" i="175"/>
  <c r="Z140" i="175"/>
  <c r="Z152" i="175"/>
  <c r="Z135" i="175"/>
  <c r="Z147" i="175"/>
  <c r="Z143" i="175"/>
  <c r="Z155" i="175"/>
  <c r="Z157" i="175"/>
  <c r="Z3" i="175"/>
  <c r="Z145" i="175"/>
  <c r="Z133" i="175"/>
  <c r="Z131" i="175"/>
  <c r="Z217" i="175"/>
  <c r="Z205" i="175"/>
  <c r="Z210" i="175"/>
  <c r="Z215" i="175"/>
  <c r="Z220" i="175"/>
  <c r="Z208" i="175"/>
  <c r="Z196" i="175"/>
  <c r="Z213" i="175"/>
  <c r="Z218" i="175"/>
  <c r="Z206" i="175"/>
  <c r="Z216" i="175"/>
  <c r="Z204" i="175"/>
  <c r="Z192" i="175"/>
  <c r="Z221" i="175"/>
  <c r="Z209" i="175"/>
  <c r="Z197" i="175"/>
  <c r="Z214" i="175"/>
  <c r="Z219" i="175"/>
  <c r="Z207" i="175"/>
  <c r="Z195" i="175"/>
  <c r="Z191" i="175"/>
  <c r="Z188" i="175"/>
  <c r="Z176" i="175"/>
  <c r="Z184" i="175"/>
  <c r="Z172" i="175"/>
  <c r="Z185" i="175"/>
  <c r="Z167" i="175"/>
  <c r="Z183" i="175"/>
  <c r="Z211" i="175"/>
  <c r="Z203" i="175"/>
  <c r="Z180" i="175"/>
  <c r="Z202" i="175"/>
  <c r="Z166" i="175"/>
  <c r="Z201" i="175"/>
  <c r="Z200" i="175"/>
  <c r="Z189" i="175"/>
  <c r="Z181" i="175"/>
  <c r="Z199" i="175"/>
  <c r="Z198" i="175"/>
  <c r="Z186" i="175"/>
  <c r="Z182" i="175"/>
  <c r="Z187" i="175"/>
  <c r="Z168" i="175"/>
  <c r="Z194" i="175"/>
  <c r="Z178" i="175"/>
  <c r="Z173" i="175"/>
  <c r="Z212" i="175"/>
  <c r="Z169" i="175"/>
  <c r="Z193" i="175"/>
  <c r="Z190" i="175"/>
  <c r="Z179" i="175"/>
  <c r="Z164" i="175"/>
  <c r="Z175" i="175"/>
  <c r="Z170" i="175"/>
  <c r="Z174" i="175"/>
  <c r="Z162" i="175"/>
  <c r="Z160" i="175"/>
  <c r="Z161" i="175"/>
  <c r="Z177" i="175"/>
  <c r="Z159" i="175"/>
  <c r="Z165" i="175"/>
  <c r="Z163" i="175"/>
  <c r="Z171" i="175"/>
  <c r="Z158" i="175"/>
  <c r="AA1" i="175"/>
  <c r="M4" i="173"/>
  <c r="M6" i="173"/>
  <c r="M8" i="173"/>
  <c r="M10" i="173"/>
  <c r="M12" i="173"/>
  <c r="M14" i="173"/>
  <c r="M16" i="173"/>
  <c r="M18" i="173"/>
  <c r="M20" i="173"/>
  <c r="M22" i="173"/>
  <c r="M24" i="173"/>
  <c r="M26" i="173"/>
  <c r="M28" i="173"/>
  <c r="M30" i="173"/>
  <c r="M32" i="173"/>
  <c r="M9" i="173"/>
  <c r="M15" i="173"/>
  <c r="M21" i="173"/>
  <c r="M34" i="173"/>
  <c r="M36" i="173"/>
  <c r="M38" i="173"/>
  <c r="M40" i="173"/>
  <c r="M42" i="173"/>
  <c r="M44" i="173"/>
  <c r="M46" i="173"/>
  <c r="M48" i="173"/>
  <c r="M50" i="173"/>
  <c r="M52" i="173"/>
  <c r="M54" i="173"/>
  <c r="M25" i="173"/>
  <c r="M29" i="173"/>
  <c r="M7" i="173"/>
  <c r="M41" i="173"/>
  <c r="M13" i="173"/>
  <c r="M43" i="173"/>
  <c r="M19" i="173"/>
  <c r="M45" i="173"/>
  <c r="M55" i="173"/>
  <c r="M57" i="173"/>
  <c r="M59" i="173"/>
  <c r="M61" i="173"/>
  <c r="M63" i="173"/>
  <c r="M65" i="173"/>
  <c r="M67" i="173"/>
  <c r="M69" i="173"/>
  <c r="M71" i="173"/>
  <c r="M73" i="173"/>
  <c r="M47" i="173"/>
  <c r="M31" i="173"/>
  <c r="M49" i="173"/>
  <c r="M5" i="173"/>
  <c r="M11" i="173"/>
  <c r="M51" i="173"/>
  <c r="M17" i="173"/>
  <c r="M53" i="173"/>
  <c r="M33" i="173"/>
  <c r="M56" i="173"/>
  <c r="M58" i="173"/>
  <c r="M60" i="173"/>
  <c r="M62" i="173"/>
  <c r="M64" i="173"/>
  <c r="M66" i="173"/>
  <c r="M68" i="173"/>
  <c r="M70" i="173"/>
  <c r="M72" i="173"/>
  <c r="M74" i="173"/>
  <c r="M35" i="173"/>
  <c r="M37" i="173"/>
  <c r="M27" i="173"/>
  <c r="M75" i="173"/>
  <c r="M77" i="173"/>
  <c r="M79" i="173"/>
  <c r="M81" i="173"/>
  <c r="M83" i="173"/>
  <c r="M85" i="173"/>
  <c r="M87" i="173"/>
  <c r="M89" i="173"/>
  <c r="M91" i="173"/>
  <c r="M93" i="173"/>
  <c r="M95" i="173"/>
  <c r="M97" i="173"/>
  <c r="M99" i="173"/>
  <c r="M39" i="173"/>
  <c r="M76" i="173"/>
  <c r="M84" i="173"/>
  <c r="M92" i="173"/>
  <c r="M23" i="173"/>
  <c r="M78" i="173"/>
  <c r="M86" i="173"/>
  <c r="M94" i="173"/>
  <c r="M102" i="173"/>
  <c r="M104" i="173"/>
  <c r="M106" i="173"/>
  <c r="M108" i="173"/>
  <c r="M110" i="173"/>
  <c r="M112" i="173"/>
  <c r="M114" i="173"/>
  <c r="M116" i="173"/>
  <c r="M118" i="173"/>
  <c r="M120" i="173"/>
  <c r="M122" i="173"/>
  <c r="M124" i="173"/>
  <c r="M80" i="173"/>
  <c r="M88" i="173"/>
  <c r="M96" i="173"/>
  <c r="M100" i="173"/>
  <c r="M111" i="173"/>
  <c r="M127" i="173"/>
  <c r="M98" i="173"/>
  <c r="M123" i="173"/>
  <c r="M109" i="173"/>
  <c r="M121" i="173"/>
  <c r="M90" i="173"/>
  <c r="M128" i="173"/>
  <c r="M130" i="173"/>
  <c r="M132" i="173"/>
  <c r="M134" i="173"/>
  <c r="M136" i="173"/>
  <c r="M138" i="173"/>
  <c r="M140" i="173"/>
  <c r="M142" i="173"/>
  <c r="M144" i="173"/>
  <c r="M146" i="173"/>
  <c r="M148" i="173"/>
  <c r="M150" i="173"/>
  <c r="M152" i="173"/>
  <c r="M107" i="173"/>
  <c r="M119" i="173"/>
  <c r="M125" i="173"/>
  <c r="M82" i="173"/>
  <c r="M103" i="173"/>
  <c r="M115" i="173"/>
  <c r="M101" i="173"/>
  <c r="M133" i="173"/>
  <c r="M141" i="173"/>
  <c r="M149" i="173"/>
  <c r="M113" i="173"/>
  <c r="M105" i="173"/>
  <c r="M145" i="173"/>
  <c r="M147" i="173"/>
  <c r="M135" i="173"/>
  <c r="M143" i="173"/>
  <c r="M151" i="173"/>
  <c r="M137" i="173"/>
  <c r="M129" i="173"/>
  <c r="M117" i="173"/>
  <c r="M3" i="173"/>
  <c r="M131" i="173"/>
  <c r="M126" i="173"/>
  <c r="M139" i="173"/>
  <c r="M216" i="173"/>
  <c r="M212" i="173"/>
  <c r="M208" i="173"/>
  <c r="M217" i="173"/>
  <c r="M211" i="173"/>
  <c r="M205" i="173"/>
  <c r="M201" i="173"/>
  <c r="M197" i="173"/>
  <c r="M218" i="173"/>
  <c r="M210" i="173"/>
  <c r="M207" i="173"/>
  <c r="M202" i="173"/>
  <c r="M213" i="173"/>
  <c r="M206" i="173"/>
  <c r="M215" i="173"/>
  <c r="M209" i="173"/>
  <c r="M196" i="173"/>
  <c r="M192" i="173"/>
  <c r="M188" i="173"/>
  <c r="M214" i="173"/>
  <c r="M198" i="173"/>
  <c r="M204" i="173"/>
  <c r="M200" i="173"/>
  <c r="M191" i="173"/>
  <c r="M203" i="173"/>
  <c r="M193" i="173"/>
  <c r="M195" i="173"/>
  <c r="M194" i="173"/>
  <c r="M189" i="173"/>
  <c r="M184" i="173"/>
  <c r="M180" i="173"/>
  <c r="M176" i="173"/>
  <c r="M172" i="173"/>
  <c r="M168" i="173"/>
  <c r="M190" i="173"/>
  <c r="M185" i="173"/>
  <c r="M181" i="173"/>
  <c r="M177" i="173"/>
  <c r="M173" i="173"/>
  <c r="M169" i="173"/>
  <c r="M187" i="173"/>
  <c r="M182" i="173"/>
  <c r="M178" i="173"/>
  <c r="M174" i="173"/>
  <c r="M170" i="173"/>
  <c r="M186" i="173"/>
  <c r="M175" i="173"/>
  <c r="M166" i="173"/>
  <c r="M162" i="173"/>
  <c r="M158" i="173"/>
  <c r="M199" i="173"/>
  <c r="M179" i="173"/>
  <c r="M167" i="173"/>
  <c r="M163" i="173"/>
  <c r="M159" i="173"/>
  <c r="M155" i="173"/>
  <c r="M154" i="173"/>
  <c r="M153" i="173"/>
  <c r="M183" i="173"/>
  <c r="M164" i="173"/>
  <c r="M160" i="173"/>
  <c r="M156" i="173"/>
  <c r="M171" i="173"/>
  <c r="M165" i="173"/>
  <c r="M161" i="173"/>
  <c r="M157" i="173"/>
  <c r="N1" i="173"/>
  <c r="F43" i="170"/>
  <c r="T43" i="170" s="1"/>
  <c r="F37" i="170"/>
  <c r="T37" i="170" s="1"/>
  <c r="F35" i="170"/>
  <c r="T35" i="170" s="1"/>
  <c r="F34" i="170"/>
  <c r="T34" i="170" s="1"/>
  <c r="F33" i="170"/>
  <c r="T33" i="170" s="1"/>
  <c r="AA98" i="175" l="1"/>
  <c r="AA28" i="175"/>
  <c r="AA34" i="175"/>
  <c r="AA36" i="175"/>
  <c r="AA38" i="175"/>
  <c r="AA35" i="175"/>
  <c r="AA37" i="175"/>
  <c r="AA80" i="175"/>
  <c r="AA11" i="175"/>
  <c r="AA23" i="175"/>
  <c r="AA6" i="175"/>
  <c r="AA18" i="175"/>
  <c r="AA30" i="175"/>
  <c r="AA13" i="175"/>
  <c r="AA25" i="175"/>
  <c r="AA8" i="175"/>
  <c r="AA20" i="175"/>
  <c r="AA32" i="175"/>
  <c r="AA15" i="175"/>
  <c r="AA27" i="175"/>
  <c r="AA10" i="175"/>
  <c r="AA22" i="175"/>
  <c r="AA24" i="175"/>
  <c r="AA43" i="175"/>
  <c r="AA7" i="175"/>
  <c r="AA31" i="175"/>
  <c r="AA50" i="175"/>
  <c r="AA14" i="175"/>
  <c r="AA45" i="175"/>
  <c r="AA21" i="175"/>
  <c r="AA40" i="175"/>
  <c r="AA52" i="175"/>
  <c r="AA4" i="175"/>
  <c r="AA47" i="175"/>
  <c r="AA5" i="175"/>
  <c r="AA29" i="175"/>
  <c r="AA42" i="175"/>
  <c r="AA12" i="175"/>
  <c r="AA49" i="175"/>
  <c r="AA26" i="175"/>
  <c r="AA39" i="175"/>
  <c r="AA51" i="175"/>
  <c r="AA16" i="175"/>
  <c r="AA41" i="175"/>
  <c r="AA53" i="175"/>
  <c r="AA63" i="175"/>
  <c r="AA75" i="175"/>
  <c r="AA46" i="175"/>
  <c r="AA58" i="175"/>
  <c r="AA70" i="175"/>
  <c r="AA17" i="175"/>
  <c r="AA65" i="175"/>
  <c r="AA77" i="175"/>
  <c r="AA60" i="175"/>
  <c r="AA72" i="175"/>
  <c r="AA33" i="175"/>
  <c r="AA55" i="175"/>
  <c r="AA67" i="175"/>
  <c r="AA48" i="175"/>
  <c r="AA62" i="175"/>
  <c r="AA74" i="175"/>
  <c r="AA59" i="175"/>
  <c r="AA71" i="175"/>
  <c r="AA19" i="175"/>
  <c r="AA44" i="175"/>
  <c r="AA54" i="175"/>
  <c r="AA66" i="175"/>
  <c r="AA61" i="175"/>
  <c r="AA73" i="175"/>
  <c r="AA69" i="175"/>
  <c r="AA84" i="175"/>
  <c r="AA96" i="175"/>
  <c r="AA91" i="175"/>
  <c r="AA104" i="175"/>
  <c r="AA86" i="175"/>
  <c r="AA99" i="175"/>
  <c r="AA57" i="175"/>
  <c r="AA81" i="175"/>
  <c r="AA93" i="175"/>
  <c r="AA9" i="175"/>
  <c r="AA88" i="175"/>
  <c r="AA101" i="175"/>
  <c r="AA68" i="175"/>
  <c r="AA83" i="175"/>
  <c r="AA95" i="175"/>
  <c r="AA56" i="175"/>
  <c r="AA76" i="175"/>
  <c r="AA78" i="175"/>
  <c r="AA92" i="175"/>
  <c r="AA79" i="175"/>
  <c r="AA87" i="175"/>
  <c r="AA100" i="175"/>
  <c r="AA64" i="175"/>
  <c r="AA82" i="175"/>
  <c r="AA94" i="175"/>
  <c r="AA103" i="175"/>
  <c r="AA118" i="175"/>
  <c r="AA130" i="175"/>
  <c r="AA85" i="175"/>
  <c r="AA106" i="175"/>
  <c r="AA113" i="175"/>
  <c r="AA125" i="175"/>
  <c r="AA108" i="175"/>
  <c r="AA120" i="175"/>
  <c r="AA90" i="175"/>
  <c r="AA115" i="175"/>
  <c r="AA127" i="175"/>
  <c r="AA110" i="175"/>
  <c r="AA122" i="175"/>
  <c r="AA102" i="175"/>
  <c r="AA117" i="175"/>
  <c r="AA129" i="175"/>
  <c r="AA112" i="175"/>
  <c r="AA124" i="175"/>
  <c r="AA89" i="175"/>
  <c r="AA114" i="175"/>
  <c r="AA126" i="175"/>
  <c r="AA109" i="175"/>
  <c r="AA121" i="175"/>
  <c r="AA97" i="175"/>
  <c r="AA105" i="175"/>
  <c r="AA116" i="175"/>
  <c r="AA128" i="175"/>
  <c r="AA135" i="175"/>
  <c r="AA147" i="175"/>
  <c r="AA111" i="175"/>
  <c r="AA142" i="175"/>
  <c r="AA154" i="175"/>
  <c r="AA137" i="175"/>
  <c r="AA149" i="175"/>
  <c r="AA123" i="175"/>
  <c r="AA132" i="175"/>
  <c r="AA144" i="175"/>
  <c r="AA156" i="175"/>
  <c r="AA107" i="175"/>
  <c r="AA139" i="175"/>
  <c r="AA151" i="175"/>
  <c r="AA134" i="175"/>
  <c r="AA146" i="175"/>
  <c r="AA119" i="175"/>
  <c r="AA141" i="175"/>
  <c r="AA153" i="175"/>
  <c r="AA131" i="175"/>
  <c r="AA143" i="175"/>
  <c r="AA155" i="175"/>
  <c r="AA133" i="175"/>
  <c r="AA145" i="175"/>
  <c r="AA140" i="175"/>
  <c r="AA152" i="175"/>
  <c r="AA136" i="175"/>
  <c r="AA150" i="175"/>
  <c r="AA148" i="175"/>
  <c r="AA157" i="175"/>
  <c r="AA3" i="175"/>
  <c r="AA138" i="175"/>
  <c r="AA210" i="175"/>
  <c r="AA198" i="175"/>
  <c r="AA215" i="175"/>
  <c r="AA220" i="175"/>
  <c r="AA208" i="175"/>
  <c r="AA213" i="175"/>
  <c r="AA201" i="175"/>
  <c r="AA189" i="175"/>
  <c r="AA218" i="175"/>
  <c r="AA211" i="175"/>
  <c r="AA216" i="175"/>
  <c r="AA221" i="175"/>
  <c r="AA209" i="175"/>
  <c r="AA197" i="175"/>
  <c r="AA214" i="175"/>
  <c r="AA202" i="175"/>
  <c r="AA219" i="175"/>
  <c r="AA207" i="175"/>
  <c r="AA212" i="175"/>
  <c r="AA200" i="175"/>
  <c r="AA217" i="175"/>
  <c r="AA193" i="175"/>
  <c r="AA192" i="175"/>
  <c r="AA181" i="175"/>
  <c r="AA169" i="175"/>
  <c r="AA194" i="175"/>
  <c r="AA177" i="175"/>
  <c r="AA178" i="175"/>
  <c r="AA204" i="175"/>
  <c r="AA203" i="175"/>
  <c r="AA182" i="175"/>
  <c r="AA176" i="175"/>
  <c r="AA185" i="175"/>
  <c r="AA166" i="175"/>
  <c r="AA171" i="175"/>
  <c r="AA163" i="175"/>
  <c r="AA161" i="175"/>
  <c r="AA199" i="175"/>
  <c r="AA186" i="175"/>
  <c r="AA205" i="175"/>
  <c r="AA159" i="175"/>
  <c r="AA196" i="175"/>
  <c r="AA195" i="175"/>
  <c r="AA187" i="175"/>
  <c r="AA191" i="175"/>
  <c r="AA173" i="175"/>
  <c r="AA162" i="175"/>
  <c r="AA188" i="175"/>
  <c r="AA183" i="175"/>
  <c r="AA206" i="175"/>
  <c r="AA174" i="175"/>
  <c r="AA167" i="175"/>
  <c r="AA160" i="175"/>
  <c r="AA190" i="175"/>
  <c r="AA184" i="175"/>
  <c r="AA179" i="175"/>
  <c r="AA175" i="175"/>
  <c r="AA170" i="175"/>
  <c r="AA180" i="175"/>
  <c r="AA168" i="175"/>
  <c r="AA164" i="175"/>
  <c r="AA172" i="175"/>
  <c r="AA165" i="175"/>
  <c r="AA158" i="175"/>
  <c r="AB1" i="175"/>
  <c r="N4" i="173"/>
  <c r="N6" i="173"/>
  <c r="N8" i="173"/>
  <c r="N10" i="173"/>
  <c r="N12" i="173"/>
  <c r="N14" i="173"/>
  <c r="N16" i="173"/>
  <c r="N18" i="173"/>
  <c r="N20" i="173"/>
  <c r="N22" i="173"/>
  <c r="N24" i="173"/>
  <c r="N26" i="173"/>
  <c r="N28" i="173"/>
  <c r="N30" i="173"/>
  <c r="N32" i="173"/>
  <c r="N5" i="173"/>
  <c r="N9" i="173"/>
  <c r="N15" i="173"/>
  <c r="N7" i="173"/>
  <c r="N13" i="173"/>
  <c r="N19" i="173"/>
  <c r="N23" i="173"/>
  <c r="N27" i="173"/>
  <c r="N21" i="173"/>
  <c r="N39" i="173"/>
  <c r="N42" i="173"/>
  <c r="N41" i="173"/>
  <c r="N44" i="173"/>
  <c r="N43" i="173"/>
  <c r="N46" i="173"/>
  <c r="N45" i="173"/>
  <c r="N48" i="173"/>
  <c r="N55" i="173"/>
  <c r="N57" i="173"/>
  <c r="N59" i="173"/>
  <c r="N61" i="173"/>
  <c r="N63" i="173"/>
  <c r="N65" i="173"/>
  <c r="N67" i="173"/>
  <c r="N69" i="173"/>
  <c r="N71" i="173"/>
  <c r="N73" i="173"/>
  <c r="N47" i="173"/>
  <c r="N50" i="173"/>
  <c r="N31" i="173"/>
  <c r="N49" i="173"/>
  <c r="N52" i="173"/>
  <c r="N11" i="173"/>
  <c r="N29" i="173"/>
  <c r="N51" i="173"/>
  <c r="N54" i="173"/>
  <c r="N34" i="173"/>
  <c r="N25" i="173"/>
  <c r="N33" i="173"/>
  <c r="N36" i="173"/>
  <c r="N56" i="173"/>
  <c r="N58" i="173"/>
  <c r="N60" i="173"/>
  <c r="N62" i="173"/>
  <c r="N64" i="173"/>
  <c r="N66" i="173"/>
  <c r="N68" i="173"/>
  <c r="N70" i="173"/>
  <c r="N72" i="173"/>
  <c r="N74" i="173"/>
  <c r="N37" i="173"/>
  <c r="N17" i="173"/>
  <c r="N53" i="173"/>
  <c r="N38" i="173"/>
  <c r="N75" i="173"/>
  <c r="N77" i="173"/>
  <c r="N79" i="173"/>
  <c r="N81" i="173"/>
  <c r="N83" i="173"/>
  <c r="N85" i="173"/>
  <c r="N87" i="173"/>
  <c r="N89" i="173"/>
  <c r="N91" i="173"/>
  <c r="N93" i="173"/>
  <c r="N95" i="173"/>
  <c r="N97" i="173"/>
  <c r="N99" i="173"/>
  <c r="N35" i="173"/>
  <c r="N101" i="173"/>
  <c r="N103" i="173"/>
  <c r="N105" i="173"/>
  <c r="N107" i="173"/>
  <c r="N109" i="173"/>
  <c r="N111" i="173"/>
  <c r="N113" i="173"/>
  <c r="N115" i="173"/>
  <c r="N117" i="173"/>
  <c r="N119" i="173"/>
  <c r="N121" i="173"/>
  <c r="N123" i="173"/>
  <c r="N125" i="173"/>
  <c r="N127" i="173"/>
  <c r="N40" i="173"/>
  <c r="N76" i="173"/>
  <c r="N84" i="173"/>
  <c r="N92" i="173"/>
  <c r="N78" i="173"/>
  <c r="N86" i="173"/>
  <c r="N94" i="173"/>
  <c r="N102" i="173"/>
  <c r="N104" i="173"/>
  <c r="N106" i="173"/>
  <c r="N108" i="173"/>
  <c r="N110" i="173"/>
  <c r="N112" i="173"/>
  <c r="N114" i="173"/>
  <c r="N116" i="173"/>
  <c r="N118" i="173"/>
  <c r="N120" i="173"/>
  <c r="N122" i="173"/>
  <c r="N124" i="173"/>
  <c r="N126" i="173"/>
  <c r="N80" i="173"/>
  <c r="N88" i="173"/>
  <c r="N96" i="173"/>
  <c r="N100" i="173"/>
  <c r="N3" i="173"/>
  <c r="N98" i="173"/>
  <c r="N90" i="173"/>
  <c r="N128" i="173"/>
  <c r="N130" i="173"/>
  <c r="N132" i="173"/>
  <c r="N134" i="173"/>
  <c r="N136" i="173"/>
  <c r="N138" i="173"/>
  <c r="N140" i="173"/>
  <c r="N142" i="173"/>
  <c r="N144" i="173"/>
  <c r="N146" i="173"/>
  <c r="N148" i="173"/>
  <c r="N150" i="173"/>
  <c r="N152" i="173"/>
  <c r="N139" i="173"/>
  <c r="N131" i="173"/>
  <c r="N133" i="173"/>
  <c r="N141" i="173"/>
  <c r="N149" i="173"/>
  <c r="N82" i="173"/>
  <c r="N147" i="173"/>
  <c r="N135" i="173"/>
  <c r="N143" i="173"/>
  <c r="N151" i="173"/>
  <c r="N129" i="173"/>
  <c r="N137" i="173"/>
  <c r="N145" i="173"/>
  <c r="N217" i="173"/>
  <c r="N213" i="173"/>
  <c r="N209" i="173"/>
  <c r="N218" i="173"/>
  <c r="N212" i="173"/>
  <c r="N206" i="173"/>
  <c r="N202" i="173"/>
  <c r="N198" i="173"/>
  <c r="N194" i="173"/>
  <c r="N215" i="173"/>
  <c r="N203" i="173"/>
  <c r="N216" i="173"/>
  <c r="N210" i="173"/>
  <c r="N207" i="173"/>
  <c r="N214" i="173"/>
  <c r="N197" i="173"/>
  <c r="N193" i="173"/>
  <c r="N189" i="173"/>
  <c r="N208" i="173"/>
  <c r="N199" i="173"/>
  <c r="N211" i="173"/>
  <c r="N201" i="173"/>
  <c r="N192" i="173"/>
  <c r="N187" i="173"/>
  <c r="N195" i="173"/>
  <c r="N205" i="173"/>
  <c r="N196" i="173"/>
  <c r="N190" i="173"/>
  <c r="N204" i="173"/>
  <c r="N200" i="173"/>
  <c r="N185" i="173"/>
  <c r="N181" i="173"/>
  <c r="N177" i="173"/>
  <c r="N173" i="173"/>
  <c r="N169" i="173"/>
  <c r="N182" i="173"/>
  <c r="N178" i="173"/>
  <c r="N174" i="173"/>
  <c r="N170" i="173"/>
  <c r="N188" i="173"/>
  <c r="N186" i="173"/>
  <c r="N183" i="173"/>
  <c r="N179" i="173"/>
  <c r="N175" i="173"/>
  <c r="N171" i="173"/>
  <c r="N176" i="173"/>
  <c r="N167" i="173"/>
  <c r="N163" i="173"/>
  <c r="N159" i="173"/>
  <c r="N155" i="173"/>
  <c r="N154" i="173"/>
  <c r="N153" i="173"/>
  <c r="N191" i="173"/>
  <c r="N180" i="173"/>
  <c r="N164" i="173"/>
  <c r="N160" i="173"/>
  <c r="N156" i="173"/>
  <c r="N184" i="173"/>
  <c r="N165" i="173"/>
  <c r="N161" i="173"/>
  <c r="N157" i="173"/>
  <c r="N172" i="173"/>
  <c r="N168" i="173"/>
  <c r="N166" i="173"/>
  <c r="N162" i="173"/>
  <c r="N158" i="173"/>
  <c r="O1" i="173"/>
  <c r="T30" i="170"/>
  <c r="T32" i="170"/>
  <c r="AB98" i="175" l="1"/>
  <c r="AB28" i="175"/>
  <c r="AB34" i="175"/>
  <c r="AB36" i="175"/>
  <c r="AB38" i="175"/>
  <c r="AB35" i="175"/>
  <c r="AB37" i="175"/>
  <c r="AB80" i="175"/>
  <c r="AB4" i="175"/>
  <c r="AB16" i="175"/>
  <c r="AB11" i="175"/>
  <c r="AB23" i="175"/>
  <c r="AB6" i="175"/>
  <c r="AB18" i="175"/>
  <c r="AB30" i="175"/>
  <c r="AB13" i="175"/>
  <c r="AB25" i="175"/>
  <c r="AB8" i="175"/>
  <c r="AB20" i="175"/>
  <c r="AB32" i="175"/>
  <c r="AB15" i="175"/>
  <c r="AB27" i="175"/>
  <c r="AB17" i="175"/>
  <c r="AB48" i="175"/>
  <c r="AB24" i="175"/>
  <c r="AB43" i="175"/>
  <c r="AB7" i="175"/>
  <c r="AB31" i="175"/>
  <c r="AB50" i="175"/>
  <c r="AB14" i="175"/>
  <c r="AB45" i="175"/>
  <c r="AB21" i="175"/>
  <c r="AB40" i="175"/>
  <c r="AB52" i="175"/>
  <c r="AB22" i="175"/>
  <c r="AB47" i="175"/>
  <c r="AB5" i="175"/>
  <c r="AB29" i="175"/>
  <c r="AB42" i="175"/>
  <c r="AB19" i="175"/>
  <c r="AB44" i="175"/>
  <c r="AB9" i="175"/>
  <c r="AB33" i="175"/>
  <c r="AB46" i="175"/>
  <c r="AB49" i="175"/>
  <c r="AB56" i="175"/>
  <c r="AB68" i="175"/>
  <c r="AB26" i="175"/>
  <c r="AB63" i="175"/>
  <c r="AB75" i="175"/>
  <c r="AB58" i="175"/>
  <c r="AB70" i="175"/>
  <c r="AB65" i="175"/>
  <c r="AB77" i="175"/>
  <c r="AB51" i="175"/>
  <c r="AB60" i="175"/>
  <c r="AB72" i="175"/>
  <c r="AB55" i="175"/>
  <c r="AB67" i="175"/>
  <c r="AB53" i="175"/>
  <c r="AB64" i="175"/>
  <c r="AB76" i="175"/>
  <c r="AB59" i="175"/>
  <c r="AB71" i="175"/>
  <c r="AB54" i="175"/>
  <c r="AB66" i="175"/>
  <c r="AB89" i="175"/>
  <c r="AB102" i="175"/>
  <c r="AB69" i="175"/>
  <c r="AB84" i="175"/>
  <c r="AB96" i="175"/>
  <c r="AB41" i="175"/>
  <c r="AB91" i="175"/>
  <c r="AB104" i="175"/>
  <c r="AB74" i="175"/>
  <c r="AB86" i="175"/>
  <c r="AB99" i="175"/>
  <c r="AB57" i="175"/>
  <c r="AB81" i="175"/>
  <c r="AB93" i="175"/>
  <c r="AB10" i="175"/>
  <c r="AB88" i="175"/>
  <c r="AB101" i="175"/>
  <c r="AB73" i="175"/>
  <c r="AB85" i="175"/>
  <c r="AB97" i="175"/>
  <c r="AB78" i="175"/>
  <c r="AB92" i="175"/>
  <c r="AB39" i="175"/>
  <c r="AB79" i="175"/>
  <c r="AB87" i="175"/>
  <c r="AB100" i="175"/>
  <c r="AB12" i="175"/>
  <c r="AB111" i="175"/>
  <c r="AB123" i="175"/>
  <c r="AB103" i="175"/>
  <c r="AB118" i="175"/>
  <c r="AB82" i="175"/>
  <c r="AB106" i="175"/>
  <c r="AB113" i="175"/>
  <c r="AB125" i="175"/>
  <c r="AB108" i="175"/>
  <c r="AB120" i="175"/>
  <c r="AB90" i="175"/>
  <c r="AB115" i="175"/>
  <c r="AB127" i="175"/>
  <c r="AB61" i="175"/>
  <c r="AB110" i="175"/>
  <c r="AB122" i="175"/>
  <c r="AB62" i="175"/>
  <c r="AB95" i="175"/>
  <c r="AB117" i="175"/>
  <c r="AB129" i="175"/>
  <c r="AB107" i="175"/>
  <c r="AB119" i="175"/>
  <c r="AB83" i="175"/>
  <c r="AB114" i="175"/>
  <c r="AB126" i="175"/>
  <c r="AB109" i="175"/>
  <c r="AB121" i="175"/>
  <c r="AB140" i="175"/>
  <c r="AB152" i="175"/>
  <c r="AB135" i="175"/>
  <c r="AB147" i="175"/>
  <c r="AB142" i="175"/>
  <c r="AB154" i="175"/>
  <c r="AB116" i="175"/>
  <c r="AB137" i="175"/>
  <c r="AB149" i="175"/>
  <c r="AB130" i="175"/>
  <c r="AB132" i="175"/>
  <c r="AB144" i="175"/>
  <c r="AB156" i="175"/>
  <c r="AB94" i="175"/>
  <c r="AB139" i="175"/>
  <c r="AB151" i="175"/>
  <c r="AB112" i="175"/>
  <c r="AB128" i="175"/>
  <c r="AB134" i="175"/>
  <c r="AB146" i="175"/>
  <c r="AB124" i="175"/>
  <c r="AB136" i="175"/>
  <c r="AB148" i="175"/>
  <c r="AB138" i="175"/>
  <c r="AB150" i="175"/>
  <c r="AB133" i="175"/>
  <c r="AB145" i="175"/>
  <c r="AB143" i="175"/>
  <c r="AB141" i="175"/>
  <c r="AB155" i="175"/>
  <c r="AB153" i="175"/>
  <c r="AB157" i="175"/>
  <c r="AB3" i="175"/>
  <c r="AB105" i="175"/>
  <c r="AB131" i="175"/>
  <c r="AB215" i="175"/>
  <c r="AB203" i="175"/>
  <c r="AB220" i="175"/>
  <c r="AB208" i="175"/>
  <c r="AB213" i="175"/>
  <c r="AB218" i="175"/>
  <c r="AB206" i="175"/>
  <c r="AB194" i="175"/>
  <c r="AB211" i="175"/>
  <c r="AB216" i="175"/>
  <c r="AB221" i="175"/>
  <c r="AB214" i="175"/>
  <c r="AB202" i="175"/>
  <c r="AB190" i="175"/>
  <c r="AB219" i="175"/>
  <c r="AB207" i="175"/>
  <c r="AB195" i="175"/>
  <c r="AB212" i="175"/>
  <c r="AB217" i="175"/>
  <c r="AB205" i="175"/>
  <c r="AB193" i="175"/>
  <c r="AB186" i="175"/>
  <c r="AB174" i="175"/>
  <c r="AB204" i="175"/>
  <c r="AB182" i="175"/>
  <c r="AB170" i="175"/>
  <c r="AB184" i="175"/>
  <c r="AB171" i="175"/>
  <c r="AB165" i="175"/>
  <c r="AB199" i="175"/>
  <c r="AB175" i="175"/>
  <c r="AB169" i="175"/>
  <c r="AB163" i="175"/>
  <c r="AB161" i="175"/>
  <c r="AB201" i="175"/>
  <c r="AB200" i="175"/>
  <c r="AB192" i="175"/>
  <c r="AB189" i="175"/>
  <c r="AB181" i="175"/>
  <c r="AB176" i="175"/>
  <c r="AB198" i="175"/>
  <c r="AB196" i="175"/>
  <c r="AB187" i="175"/>
  <c r="AB177" i="175"/>
  <c r="AB172" i="175"/>
  <c r="AB210" i="175"/>
  <c r="AB197" i="175"/>
  <c r="AB191" i="175"/>
  <c r="AB188" i="175"/>
  <c r="AB183" i="175"/>
  <c r="AB178" i="175"/>
  <c r="AB209" i="175"/>
  <c r="AB167" i="175"/>
  <c r="AB179" i="175"/>
  <c r="AB164" i="175"/>
  <c r="AB180" i="175"/>
  <c r="AB185" i="175"/>
  <c r="AB166" i="175"/>
  <c r="AB173" i="175"/>
  <c r="AB162" i="175"/>
  <c r="AB160" i="175"/>
  <c r="AB159" i="175"/>
  <c r="AB158" i="175"/>
  <c r="AB168" i="175"/>
  <c r="AC1" i="175"/>
  <c r="O5" i="173"/>
  <c r="O7" i="173"/>
  <c r="O9" i="173"/>
  <c r="O11" i="173"/>
  <c r="O13" i="173"/>
  <c r="O15" i="173"/>
  <c r="O17" i="173"/>
  <c r="O19" i="173"/>
  <c r="O21" i="173"/>
  <c r="O23" i="173"/>
  <c r="O25" i="173"/>
  <c r="O27" i="173"/>
  <c r="O29" i="173"/>
  <c r="O31" i="173"/>
  <c r="O4" i="173"/>
  <c r="O6" i="173"/>
  <c r="O8" i="173"/>
  <c r="O10" i="173"/>
  <c r="O12" i="173"/>
  <c r="O14" i="173"/>
  <c r="O16" i="173"/>
  <c r="O18" i="173"/>
  <c r="O20" i="173"/>
  <c r="O22" i="173"/>
  <c r="O24" i="173"/>
  <c r="O26" i="173"/>
  <c r="O28" i="173"/>
  <c r="O30" i="173"/>
  <c r="O32" i="173"/>
  <c r="O33" i="173"/>
  <c r="O35" i="173"/>
  <c r="O37" i="173"/>
  <c r="O39" i="173"/>
  <c r="O41" i="173"/>
  <c r="O43" i="173"/>
  <c r="O45" i="173"/>
  <c r="O47" i="173"/>
  <c r="O49" i="173"/>
  <c r="O51" i="173"/>
  <c r="O53" i="173"/>
  <c r="O34" i="173"/>
  <c r="O36" i="173"/>
  <c r="O38" i="173"/>
  <c r="O40" i="173"/>
  <c r="O42" i="173"/>
  <c r="O44" i="173"/>
  <c r="O46" i="173"/>
  <c r="O48" i="173"/>
  <c r="O50" i="173"/>
  <c r="O52" i="173"/>
  <c r="O54" i="173"/>
  <c r="O55" i="173"/>
  <c r="O57" i="173"/>
  <c r="O59" i="173"/>
  <c r="O61" i="173"/>
  <c r="O63" i="173"/>
  <c r="O65" i="173"/>
  <c r="O67" i="173"/>
  <c r="O69" i="173"/>
  <c r="O71" i="173"/>
  <c r="O73" i="173"/>
  <c r="O76" i="173"/>
  <c r="O78" i="173"/>
  <c r="O80" i="173"/>
  <c r="O82" i="173"/>
  <c r="O84" i="173"/>
  <c r="O86" i="173"/>
  <c r="O88" i="173"/>
  <c r="O90" i="173"/>
  <c r="O92" i="173"/>
  <c r="O94" i="173"/>
  <c r="O96" i="173"/>
  <c r="O98" i="173"/>
  <c r="O100" i="173"/>
  <c r="O60" i="173"/>
  <c r="O68" i="173"/>
  <c r="O62" i="173"/>
  <c r="O70" i="173"/>
  <c r="O75" i="173"/>
  <c r="O77" i="173"/>
  <c r="O79" i="173"/>
  <c r="O81" i="173"/>
  <c r="O83" i="173"/>
  <c r="O85" i="173"/>
  <c r="O87" i="173"/>
  <c r="O89" i="173"/>
  <c r="O91" i="173"/>
  <c r="O93" i="173"/>
  <c r="O95" i="173"/>
  <c r="O97" i="173"/>
  <c r="O99" i="173"/>
  <c r="O56" i="173"/>
  <c r="O64" i="173"/>
  <c r="O72" i="173"/>
  <c r="O74" i="173"/>
  <c r="O101" i="173"/>
  <c r="O103" i="173"/>
  <c r="O105" i="173"/>
  <c r="O107" i="173"/>
  <c r="O109" i="173"/>
  <c r="O111" i="173"/>
  <c r="O113" i="173"/>
  <c r="O115" i="173"/>
  <c r="O117" i="173"/>
  <c r="O119" i="173"/>
  <c r="O121" i="173"/>
  <c r="O123" i="173"/>
  <c r="O125" i="173"/>
  <c r="O58" i="173"/>
  <c r="O102" i="173"/>
  <c r="O104" i="173"/>
  <c r="O106" i="173"/>
  <c r="O108" i="173"/>
  <c r="O110" i="173"/>
  <c r="O112" i="173"/>
  <c r="O114" i="173"/>
  <c r="O116" i="173"/>
  <c r="O118" i="173"/>
  <c r="O120" i="173"/>
  <c r="O122" i="173"/>
  <c r="O129" i="173"/>
  <c r="O131" i="173"/>
  <c r="O133" i="173"/>
  <c r="O135" i="173"/>
  <c r="O137" i="173"/>
  <c r="O139" i="173"/>
  <c r="O141" i="173"/>
  <c r="O143" i="173"/>
  <c r="O145" i="173"/>
  <c r="O147" i="173"/>
  <c r="O149" i="173"/>
  <c r="O151" i="173"/>
  <c r="O3" i="173"/>
  <c r="O127" i="173"/>
  <c r="O66" i="173"/>
  <c r="O128" i="173"/>
  <c r="O130" i="173"/>
  <c r="O132" i="173"/>
  <c r="O134" i="173"/>
  <c r="O136" i="173"/>
  <c r="O138" i="173"/>
  <c r="O140" i="173"/>
  <c r="O142" i="173"/>
  <c r="O144" i="173"/>
  <c r="O146" i="173"/>
  <c r="O148" i="173"/>
  <c r="O150" i="173"/>
  <c r="O152" i="173"/>
  <c r="O124" i="173"/>
  <c r="O126" i="173"/>
  <c r="O218" i="173"/>
  <c r="O214" i="173"/>
  <c r="O210" i="173"/>
  <c r="O213" i="173"/>
  <c r="O208" i="173"/>
  <c r="O207" i="173"/>
  <c r="O203" i="173"/>
  <c r="O199" i="173"/>
  <c r="O195" i="173"/>
  <c r="O212" i="173"/>
  <c r="O209" i="173"/>
  <c r="O204" i="173"/>
  <c r="O215" i="173"/>
  <c r="O202" i="173"/>
  <c r="O198" i="173"/>
  <c r="O190" i="173"/>
  <c r="O186" i="173"/>
  <c r="O200" i="173"/>
  <c r="O217" i="173"/>
  <c r="O211" i="173"/>
  <c r="O206" i="173"/>
  <c r="O193" i="173"/>
  <c r="O188" i="173"/>
  <c r="O216" i="173"/>
  <c r="O205" i="173"/>
  <c r="O196" i="173"/>
  <c r="O194" i="173"/>
  <c r="O189" i="173"/>
  <c r="O197" i="173"/>
  <c r="O191" i="173"/>
  <c r="O182" i="173"/>
  <c r="O178" i="173"/>
  <c r="O174" i="173"/>
  <c r="O170" i="173"/>
  <c r="O201" i="173"/>
  <c r="O192" i="173"/>
  <c r="O187" i="173"/>
  <c r="O183" i="173"/>
  <c r="O179" i="173"/>
  <c r="O175" i="173"/>
  <c r="O171" i="173"/>
  <c r="O184" i="173"/>
  <c r="O180" i="173"/>
  <c r="O176" i="173"/>
  <c r="O172" i="173"/>
  <c r="O177" i="173"/>
  <c r="O164" i="173"/>
  <c r="O160" i="173"/>
  <c r="O156" i="173"/>
  <c r="O181" i="173"/>
  <c r="O165" i="173"/>
  <c r="O161" i="173"/>
  <c r="O157" i="173"/>
  <c r="O185" i="173"/>
  <c r="O169" i="173"/>
  <c r="O168" i="173"/>
  <c r="O166" i="173"/>
  <c r="O162" i="173"/>
  <c r="O158" i="173"/>
  <c r="O173" i="173"/>
  <c r="O167" i="173"/>
  <c r="O163" i="173"/>
  <c r="O159" i="173"/>
  <c r="O155" i="173"/>
  <c r="O154" i="173"/>
  <c r="O153" i="173"/>
  <c r="P1" i="173"/>
  <c r="B70" i="170"/>
  <c r="B69" i="170"/>
  <c r="B68" i="170"/>
  <c r="AC98" i="175" l="1"/>
  <c r="AC28" i="175"/>
  <c r="AC38" i="175"/>
  <c r="AC34" i="175"/>
  <c r="AC37" i="175"/>
  <c r="AC36" i="175"/>
  <c r="AC35" i="175"/>
  <c r="AC80" i="175"/>
  <c r="AC9" i="175"/>
  <c r="AC21" i="175"/>
  <c r="AC33" i="175"/>
  <c r="AC4" i="175"/>
  <c r="AC16" i="175"/>
  <c r="AC11" i="175"/>
  <c r="AC23" i="175"/>
  <c r="AC6" i="175"/>
  <c r="AC18" i="175"/>
  <c r="AC30" i="175"/>
  <c r="AC13" i="175"/>
  <c r="AC25" i="175"/>
  <c r="AC8" i="175"/>
  <c r="AC20" i="175"/>
  <c r="AC32" i="175"/>
  <c r="AC10" i="175"/>
  <c r="AC41" i="175"/>
  <c r="AC53" i="175"/>
  <c r="AC17" i="175"/>
  <c r="AC48" i="175"/>
  <c r="AC24" i="175"/>
  <c r="AC43" i="175"/>
  <c r="AC7" i="175"/>
  <c r="AC31" i="175"/>
  <c r="AC50" i="175"/>
  <c r="AC14" i="175"/>
  <c r="AC45" i="175"/>
  <c r="AC15" i="175"/>
  <c r="AC40" i="175"/>
  <c r="AC52" i="175"/>
  <c r="AC22" i="175"/>
  <c r="AC47" i="175"/>
  <c r="AC12" i="175"/>
  <c r="AC49" i="175"/>
  <c r="AC26" i="175"/>
  <c r="AC39" i="175"/>
  <c r="AC51" i="175"/>
  <c r="AC29" i="175"/>
  <c r="AC61" i="175"/>
  <c r="AC73" i="175"/>
  <c r="AC56" i="175"/>
  <c r="AC68" i="175"/>
  <c r="AC46" i="175"/>
  <c r="AC63" i="175"/>
  <c r="AC75" i="175"/>
  <c r="AC5" i="175"/>
  <c r="AC58" i="175"/>
  <c r="AC70" i="175"/>
  <c r="AC65" i="175"/>
  <c r="AC77" i="175"/>
  <c r="AC27" i="175"/>
  <c r="AC60" i="175"/>
  <c r="AC72" i="175"/>
  <c r="AC57" i="175"/>
  <c r="AC69" i="175"/>
  <c r="AC64" i="175"/>
  <c r="AC19" i="175"/>
  <c r="AC44" i="175"/>
  <c r="AC59" i="175"/>
  <c r="AC71" i="175"/>
  <c r="AC55" i="175"/>
  <c r="AC82" i="175"/>
  <c r="AC94" i="175"/>
  <c r="AC89" i="175"/>
  <c r="AC102" i="175"/>
  <c r="AC66" i="175"/>
  <c r="AC84" i="175"/>
  <c r="AC96" i="175"/>
  <c r="AC42" i="175"/>
  <c r="AC91" i="175"/>
  <c r="AC104" i="175"/>
  <c r="AC74" i="175"/>
  <c r="AC86" i="175"/>
  <c r="AC99" i="175"/>
  <c r="AC54" i="175"/>
  <c r="AC81" i="175"/>
  <c r="AC93" i="175"/>
  <c r="AC90" i="175"/>
  <c r="AC103" i="175"/>
  <c r="AC67" i="175"/>
  <c r="AC76" i="175"/>
  <c r="AC85" i="175"/>
  <c r="AC97" i="175"/>
  <c r="AC78" i="175"/>
  <c r="AC92" i="175"/>
  <c r="AC88" i="175"/>
  <c r="AC105" i="175"/>
  <c r="AC116" i="175"/>
  <c r="AC128" i="175"/>
  <c r="AC111" i="175"/>
  <c r="AC123" i="175"/>
  <c r="AC100" i="175"/>
  <c r="AC118" i="175"/>
  <c r="AC106" i="175"/>
  <c r="AC113" i="175"/>
  <c r="AC125" i="175"/>
  <c r="AC108" i="175"/>
  <c r="AC120" i="175"/>
  <c r="AC87" i="175"/>
  <c r="AC115" i="175"/>
  <c r="AC127" i="175"/>
  <c r="AC110" i="175"/>
  <c r="AC122" i="175"/>
  <c r="AC112" i="175"/>
  <c r="AC124" i="175"/>
  <c r="AC101" i="175"/>
  <c r="AC107" i="175"/>
  <c r="AC119" i="175"/>
  <c r="AC83" i="175"/>
  <c r="AC114" i="175"/>
  <c r="AC126" i="175"/>
  <c r="AC133" i="175"/>
  <c r="AC145" i="175"/>
  <c r="AC157" i="175"/>
  <c r="AC129" i="175"/>
  <c r="AC140" i="175"/>
  <c r="AC152" i="175"/>
  <c r="AC135" i="175"/>
  <c r="AC147" i="175"/>
  <c r="AC109" i="175"/>
  <c r="AC142" i="175"/>
  <c r="AC154" i="175"/>
  <c r="AC62" i="175"/>
  <c r="AC137" i="175"/>
  <c r="AC149" i="175"/>
  <c r="AC121" i="175"/>
  <c r="AC130" i="175"/>
  <c r="AC132" i="175"/>
  <c r="AC144" i="175"/>
  <c r="AC156" i="175"/>
  <c r="AC95" i="175"/>
  <c r="AC139" i="175"/>
  <c r="AC151" i="175"/>
  <c r="AC117" i="175"/>
  <c r="AC141" i="175"/>
  <c r="AC153" i="175"/>
  <c r="AC131" i="175"/>
  <c r="AC143" i="175"/>
  <c r="AC155" i="175"/>
  <c r="AC79" i="175"/>
  <c r="AC138" i="175"/>
  <c r="AC150" i="175"/>
  <c r="AC136" i="175"/>
  <c r="AC134" i="175"/>
  <c r="AC148" i="175"/>
  <c r="AC146" i="175"/>
  <c r="AC3" i="175"/>
  <c r="AC220" i="175"/>
  <c r="AC208" i="175"/>
  <c r="AC196" i="175"/>
  <c r="AC213" i="175"/>
  <c r="AC218" i="175"/>
  <c r="AC206" i="175"/>
  <c r="AC211" i="175"/>
  <c r="AC199" i="175"/>
  <c r="AC216" i="175"/>
  <c r="AC221" i="175"/>
  <c r="AC209" i="175"/>
  <c r="AC219" i="175"/>
  <c r="AC207" i="175"/>
  <c r="AC195" i="175"/>
  <c r="AC212" i="175"/>
  <c r="AC200" i="175"/>
  <c r="AC217" i="175"/>
  <c r="AC205" i="175"/>
  <c r="AC210" i="175"/>
  <c r="AC198" i="175"/>
  <c r="AC215" i="175"/>
  <c r="AC179" i="175"/>
  <c r="AC187" i="175"/>
  <c r="AC175" i="175"/>
  <c r="AC190" i="175"/>
  <c r="AC177" i="175"/>
  <c r="AC191" i="175"/>
  <c r="AC188" i="175"/>
  <c r="AC168" i="175"/>
  <c r="AC214" i="175"/>
  <c r="AC202" i="175"/>
  <c r="AC201" i="175"/>
  <c r="AC192" i="175"/>
  <c r="AC189" i="175"/>
  <c r="AC181" i="175"/>
  <c r="AC176" i="175"/>
  <c r="AC171" i="175"/>
  <c r="AC204" i="175"/>
  <c r="AC186" i="175"/>
  <c r="AC197" i="175"/>
  <c r="AC182" i="175"/>
  <c r="AC165" i="175"/>
  <c r="AC183" i="175"/>
  <c r="AC194" i="175"/>
  <c r="AC167" i="175"/>
  <c r="AC160" i="175"/>
  <c r="AC174" i="175"/>
  <c r="AC169" i="175"/>
  <c r="AC164" i="175"/>
  <c r="AC193" i="175"/>
  <c r="AC184" i="175"/>
  <c r="AC180" i="175"/>
  <c r="AC185" i="175"/>
  <c r="AC166" i="175"/>
  <c r="AC203" i="175"/>
  <c r="AC163" i="175"/>
  <c r="AC178" i="175"/>
  <c r="AC161" i="175"/>
  <c r="AC158" i="175"/>
  <c r="AC170" i="175"/>
  <c r="AC162" i="175"/>
  <c r="AC172" i="175"/>
  <c r="AC159" i="175"/>
  <c r="AC173" i="175"/>
  <c r="AD1" i="175"/>
  <c r="P5" i="173"/>
  <c r="P7" i="173"/>
  <c r="P9" i="173"/>
  <c r="P11" i="173"/>
  <c r="P13" i="173"/>
  <c r="P15" i="173"/>
  <c r="P17" i="173"/>
  <c r="P19" i="173"/>
  <c r="P21" i="173"/>
  <c r="P23" i="173"/>
  <c r="P25" i="173"/>
  <c r="P27" i="173"/>
  <c r="P29" i="173"/>
  <c r="P31" i="173"/>
  <c r="P33" i="173"/>
  <c r="P35" i="173"/>
  <c r="P37" i="173"/>
  <c r="P39" i="173"/>
  <c r="P41" i="173"/>
  <c r="P43" i="173"/>
  <c r="P45" i="173"/>
  <c r="P47" i="173"/>
  <c r="P49" i="173"/>
  <c r="P51" i="173"/>
  <c r="P53" i="173"/>
  <c r="P4" i="173"/>
  <c r="P8" i="173"/>
  <c r="P14" i="173"/>
  <c r="P20" i="173"/>
  <c r="P22" i="173"/>
  <c r="P26" i="173"/>
  <c r="P30" i="173"/>
  <c r="P28" i="173"/>
  <c r="P40" i="173"/>
  <c r="P42" i="173"/>
  <c r="P10" i="173"/>
  <c r="P44" i="173"/>
  <c r="P16" i="173"/>
  <c r="P24" i="173"/>
  <c r="P46" i="173"/>
  <c r="P48" i="173"/>
  <c r="P50" i="173"/>
  <c r="P55" i="173"/>
  <c r="P57" i="173"/>
  <c r="P59" i="173"/>
  <c r="P61" i="173"/>
  <c r="P63" i="173"/>
  <c r="P65" i="173"/>
  <c r="P67" i="173"/>
  <c r="P69" i="173"/>
  <c r="P71" i="173"/>
  <c r="P73" i="173"/>
  <c r="P52" i="173"/>
  <c r="P6" i="173"/>
  <c r="P12" i="173"/>
  <c r="P32" i="173"/>
  <c r="P34" i="173"/>
  <c r="P76" i="173"/>
  <c r="P78" i="173"/>
  <c r="P80" i="173"/>
  <c r="P82" i="173"/>
  <c r="P84" i="173"/>
  <c r="P86" i="173"/>
  <c r="P88" i="173"/>
  <c r="P90" i="173"/>
  <c r="P92" i="173"/>
  <c r="P94" i="173"/>
  <c r="P96" i="173"/>
  <c r="P98" i="173"/>
  <c r="P60" i="173"/>
  <c r="P68" i="173"/>
  <c r="P18" i="173"/>
  <c r="P38" i="173"/>
  <c r="P62" i="173"/>
  <c r="P70" i="173"/>
  <c r="P54" i="173"/>
  <c r="P75" i="173"/>
  <c r="P77" i="173"/>
  <c r="P79" i="173"/>
  <c r="P81" i="173"/>
  <c r="P83" i="173"/>
  <c r="P85" i="173"/>
  <c r="P87" i="173"/>
  <c r="P89" i="173"/>
  <c r="P91" i="173"/>
  <c r="P93" i="173"/>
  <c r="P95" i="173"/>
  <c r="P97" i="173"/>
  <c r="P99" i="173"/>
  <c r="P56" i="173"/>
  <c r="P64" i="173"/>
  <c r="P72" i="173"/>
  <c r="P74" i="173"/>
  <c r="P101" i="173"/>
  <c r="P103" i="173"/>
  <c r="P105" i="173"/>
  <c r="P107" i="173"/>
  <c r="P109" i="173"/>
  <c r="P111" i="173"/>
  <c r="P113" i="173"/>
  <c r="P115" i="173"/>
  <c r="P117" i="173"/>
  <c r="P119" i="173"/>
  <c r="P121" i="173"/>
  <c r="P123" i="173"/>
  <c r="P125" i="173"/>
  <c r="P58" i="173"/>
  <c r="P102" i="173"/>
  <c r="P104" i="173"/>
  <c r="P106" i="173"/>
  <c r="P108" i="173"/>
  <c r="P110" i="173"/>
  <c r="P112" i="173"/>
  <c r="P114" i="173"/>
  <c r="P116" i="173"/>
  <c r="P118" i="173"/>
  <c r="P120" i="173"/>
  <c r="P122" i="173"/>
  <c r="P124" i="173"/>
  <c r="P100" i="173"/>
  <c r="P36" i="173"/>
  <c r="P126" i="173"/>
  <c r="P129" i="173"/>
  <c r="P131" i="173"/>
  <c r="P133" i="173"/>
  <c r="P135" i="173"/>
  <c r="P137" i="173"/>
  <c r="P139" i="173"/>
  <c r="P141" i="173"/>
  <c r="P143" i="173"/>
  <c r="P145" i="173"/>
  <c r="P147" i="173"/>
  <c r="P149" i="173"/>
  <c r="P151" i="173"/>
  <c r="P127" i="173"/>
  <c r="P66" i="173"/>
  <c r="P128" i="173"/>
  <c r="P136" i="173"/>
  <c r="P144" i="173"/>
  <c r="P152" i="173"/>
  <c r="P130" i="173"/>
  <c r="P138" i="173"/>
  <c r="P146" i="173"/>
  <c r="P132" i="173"/>
  <c r="P140" i="173"/>
  <c r="P148" i="173"/>
  <c r="P134" i="173"/>
  <c r="P142" i="173"/>
  <c r="P150" i="173"/>
  <c r="P3" i="173"/>
  <c r="P215" i="173"/>
  <c r="P211" i="173"/>
  <c r="P214" i="173"/>
  <c r="P209" i="173"/>
  <c r="P204" i="173"/>
  <c r="P200" i="173"/>
  <c r="P196" i="173"/>
  <c r="P217" i="173"/>
  <c r="P205" i="173"/>
  <c r="P218" i="173"/>
  <c r="P212" i="173"/>
  <c r="P203" i="173"/>
  <c r="P208" i="173"/>
  <c r="P199" i="173"/>
  <c r="P194" i="173"/>
  <c r="P191" i="173"/>
  <c r="P187" i="173"/>
  <c r="P213" i="173"/>
  <c r="P202" i="173"/>
  <c r="P201" i="173"/>
  <c r="P195" i="173"/>
  <c r="P216" i="173"/>
  <c r="P210" i="173"/>
  <c r="P189" i="173"/>
  <c r="P197" i="173"/>
  <c r="P190" i="173"/>
  <c r="P207" i="173"/>
  <c r="P198" i="173"/>
  <c r="P192" i="173"/>
  <c r="P186" i="173"/>
  <c r="P183" i="173"/>
  <c r="P179" i="173"/>
  <c r="P175" i="173"/>
  <c r="P171" i="173"/>
  <c r="P206" i="173"/>
  <c r="P188" i="173"/>
  <c r="P184" i="173"/>
  <c r="P180" i="173"/>
  <c r="P176" i="173"/>
  <c r="P172" i="173"/>
  <c r="P168" i="173"/>
  <c r="P185" i="173"/>
  <c r="P181" i="173"/>
  <c r="P177" i="173"/>
  <c r="P173" i="173"/>
  <c r="P169" i="173"/>
  <c r="P178" i="173"/>
  <c r="P165" i="173"/>
  <c r="P161" i="173"/>
  <c r="P157" i="173"/>
  <c r="P182" i="173"/>
  <c r="P166" i="173"/>
  <c r="P162" i="173"/>
  <c r="P158" i="173"/>
  <c r="P193" i="173"/>
  <c r="P170" i="173"/>
  <c r="P167" i="173"/>
  <c r="P163" i="173"/>
  <c r="P159" i="173"/>
  <c r="P155" i="173"/>
  <c r="P154" i="173"/>
  <c r="P153" i="173"/>
  <c r="P174" i="173"/>
  <c r="P164" i="173"/>
  <c r="P160" i="173"/>
  <c r="P156" i="173"/>
  <c r="Q1" i="173"/>
  <c r="B67" i="170"/>
  <c r="AD98" i="175" l="1"/>
  <c r="AD28" i="175"/>
  <c r="AD37" i="175"/>
  <c r="AD34" i="175"/>
  <c r="AD35" i="175"/>
  <c r="AD38" i="175"/>
  <c r="AD36" i="175"/>
  <c r="AD80" i="175"/>
  <c r="AD14" i="175"/>
  <c r="AD26" i="175"/>
  <c r="AD9" i="175"/>
  <c r="AD21" i="175"/>
  <c r="AD33" i="175"/>
  <c r="AD4" i="175"/>
  <c r="AD16" i="175"/>
  <c r="AD11" i="175"/>
  <c r="AD23" i="175"/>
  <c r="AD6" i="175"/>
  <c r="AD18" i="175"/>
  <c r="AD30" i="175"/>
  <c r="AD13" i="175"/>
  <c r="AD25" i="175"/>
  <c r="AD27" i="175"/>
  <c r="AD46" i="175"/>
  <c r="AD10" i="175"/>
  <c r="AD41" i="175"/>
  <c r="AD53" i="175"/>
  <c r="AD17" i="175"/>
  <c r="AD48" i="175"/>
  <c r="AD24" i="175"/>
  <c r="AD43" i="175"/>
  <c r="AD7" i="175"/>
  <c r="AD31" i="175"/>
  <c r="AD50" i="175"/>
  <c r="AD8" i="175"/>
  <c r="AD32" i="175"/>
  <c r="AD45" i="175"/>
  <c r="AD15" i="175"/>
  <c r="AD40" i="175"/>
  <c r="AD52" i="175"/>
  <c r="AD5" i="175"/>
  <c r="AD29" i="175"/>
  <c r="AD42" i="175"/>
  <c r="AD19" i="175"/>
  <c r="AD44" i="175"/>
  <c r="AD54" i="175"/>
  <c r="AD66" i="175"/>
  <c r="AD78" i="175"/>
  <c r="AD49" i="175"/>
  <c r="AD61" i="175"/>
  <c r="AD73" i="175"/>
  <c r="AD20" i="175"/>
  <c r="AD56" i="175"/>
  <c r="AD68" i="175"/>
  <c r="AD63" i="175"/>
  <c r="AD75" i="175"/>
  <c r="AD58" i="175"/>
  <c r="AD70" i="175"/>
  <c r="AD51" i="175"/>
  <c r="AD65" i="175"/>
  <c r="AD77" i="175"/>
  <c r="AD39" i="175"/>
  <c r="AD62" i="175"/>
  <c r="AD74" i="175"/>
  <c r="AD22" i="175"/>
  <c r="AD47" i="175"/>
  <c r="AD57" i="175"/>
  <c r="AD69" i="175"/>
  <c r="AD64" i="175"/>
  <c r="AD76" i="175"/>
  <c r="AD72" i="175"/>
  <c r="AD79" i="175"/>
  <c r="AD87" i="175"/>
  <c r="AD100" i="175"/>
  <c r="AD55" i="175"/>
  <c r="AD82" i="175"/>
  <c r="AD94" i="175"/>
  <c r="AD89" i="175"/>
  <c r="AD102" i="175"/>
  <c r="AD60" i="175"/>
  <c r="AD84" i="175"/>
  <c r="AD96" i="175"/>
  <c r="AD91" i="175"/>
  <c r="AD104" i="175"/>
  <c r="AD71" i="175"/>
  <c r="AD86" i="175"/>
  <c r="AD99" i="175"/>
  <c r="AD59" i="175"/>
  <c r="AD83" i="175"/>
  <c r="AD95" i="175"/>
  <c r="AD90" i="175"/>
  <c r="AD103" i="175"/>
  <c r="AD67" i="175"/>
  <c r="AD85" i="175"/>
  <c r="AD97" i="175"/>
  <c r="AD109" i="175"/>
  <c r="AD121" i="175"/>
  <c r="AD12" i="175"/>
  <c r="AD88" i="175"/>
  <c r="AD105" i="175"/>
  <c r="AD116" i="175"/>
  <c r="AD128" i="175"/>
  <c r="AD111" i="175"/>
  <c r="AD123" i="175"/>
  <c r="AD93" i="175"/>
  <c r="AD118" i="175"/>
  <c r="AD106" i="175"/>
  <c r="AD113" i="175"/>
  <c r="AD125" i="175"/>
  <c r="AD108" i="175"/>
  <c r="AD120" i="175"/>
  <c r="AD81" i="175"/>
  <c r="AD115" i="175"/>
  <c r="AD127" i="175"/>
  <c r="AD92" i="175"/>
  <c r="AD117" i="175"/>
  <c r="AD129" i="175"/>
  <c r="AD112" i="175"/>
  <c r="AD124" i="175"/>
  <c r="AD101" i="175"/>
  <c r="AD107" i="175"/>
  <c r="AD119" i="175"/>
  <c r="AD138" i="175"/>
  <c r="AD150" i="175"/>
  <c r="AD133" i="175"/>
  <c r="AD145" i="175"/>
  <c r="AD157" i="175"/>
  <c r="AD140" i="175"/>
  <c r="AD152" i="175"/>
  <c r="AD135" i="175"/>
  <c r="AD147" i="175"/>
  <c r="AD142" i="175"/>
  <c r="AD154" i="175"/>
  <c r="AD114" i="175"/>
  <c r="AD137" i="175"/>
  <c r="AD149" i="175"/>
  <c r="AD130" i="175"/>
  <c r="AD132" i="175"/>
  <c r="AD144" i="175"/>
  <c r="AD156" i="175"/>
  <c r="AD110" i="175"/>
  <c r="AD134" i="175"/>
  <c r="AD146" i="175"/>
  <c r="AD122" i="175"/>
  <c r="AD136" i="175"/>
  <c r="AD148" i="175"/>
  <c r="AD131" i="175"/>
  <c r="AD143" i="175"/>
  <c r="AD155" i="175"/>
  <c r="AD126" i="175"/>
  <c r="AD141" i="175"/>
  <c r="AD139" i="175"/>
  <c r="AD153" i="175"/>
  <c r="AD151" i="175"/>
  <c r="AD3" i="175"/>
  <c r="AD213" i="175"/>
  <c r="AD201" i="175"/>
  <c r="AD218" i="175"/>
  <c r="AD211" i="175"/>
  <c r="AD216" i="175"/>
  <c r="AD204" i="175"/>
  <c r="AD192" i="175"/>
  <c r="AD221" i="175"/>
  <c r="AD209" i="175"/>
  <c r="AD214" i="175"/>
  <c r="AD219" i="175"/>
  <c r="AD212" i="175"/>
  <c r="AD200" i="175"/>
  <c r="AD217" i="175"/>
  <c r="AD205" i="175"/>
  <c r="AD193" i="175"/>
  <c r="AD210" i="175"/>
  <c r="AD215" i="175"/>
  <c r="AD203" i="175"/>
  <c r="AD191" i="175"/>
  <c r="AD220" i="175"/>
  <c r="AD202" i="175"/>
  <c r="AD198" i="175"/>
  <c r="AD196" i="175"/>
  <c r="AD184" i="175"/>
  <c r="AD172" i="175"/>
  <c r="AD180" i="175"/>
  <c r="AD168" i="175"/>
  <c r="AD183" i="175"/>
  <c r="AD170" i="175"/>
  <c r="AD163" i="175"/>
  <c r="AD195" i="175"/>
  <c r="AD181" i="175"/>
  <c r="AD186" i="175"/>
  <c r="AD159" i="175"/>
  <c r="AD199" i="175"/>
  <c r="AD207" i="175"/>
  <c r="AD197" i="175"/>
  <c r="AD187" i="175"/>
  <c r="AD182" i="175"/>
  <c r="AD177" i="175"/>
  <c r="AD173" i="175"/>
  <c r="AD162" i="175"/>
  <c r="AD194" i="175"/>
  <c r="AD188" i="175"/>
  <c r="AD174" i="175"/>
  <c r="AD169" i="175"/>
  <c r="AD164" i="175"/>
  <c r="AD206" i="175"/>
  <c r="AD179" i="175"/>
  <c r="AD190" i="175"/>
  <c r="AD185" i="175"/>
  <c r="AD208" i="175"/>
  <c r="AD189" i="175"/>
  <c r="AD176" i="175"/>
  <c r="AD171" i="175"/>
  <c r="AD166" i="175"/>
  <c r="AD175" i="175"/>
  <c r="AD178" i="175"/>
  <c r="AD161" i="175"/>
  <c r="AD160" i="175"/>
  <c r="AD165" i="175"/>
  <c r="AD167" i="175"/>
  <c r="AD158" i="175"/>
  <c r="AE1" i="175"/>
  <c r="Q5" i="173"/>
  <c r="Q7" i="173"/>
  <c r="Q9" i="173"/>
  <c r="Q11" i="173"/>
  <c r="Q13" i="173"/>
  <c r="Q15" i="173"/>
  <c r="Q17" i="173"/>
  <c r="Q19" i="173"/>
  <c r="Q21" i="173"/>
  <c r="Q23" i="173"/>
  <c r="Q25" i="173"/>
  <c r="Q27" i="173"/>
  <c r="Q29" i="173"/>
  <c r="Q31" i="173"/>
  <c r="Q4" i="173"/>
  <c r="Q6" i="173"/>
  <c r="Q8" i="173"/>
  <c r="Q10" i="173"/>
  <c r="Q12" i="173"/>
  <c r="Q14" i="173"/>
  <c r="Q16" i="173"/>
  <c r="Q18" i="173"/>
  <c r="Q33" i="173"/>
  <c r="Q35" i="173"/>
  <c r="Q37" i="173"/>
  <c r="Q39" i="173"/>
  <c r="Q41" i="173"/>
  <c r="Q43" i="173"/>
  <c r="Q45" i="173"/>
  <c r="Q47" i="173"/>
  <c r="Q49" i="173"/>
  <c r="Q51" i="173"/>
  <c r="Q53" i="173"/>
  <c r="Q20" i="173"/>
  <c r="Q24" i="173"/>
  <c r="Q28" i="173"/>
  <c r="Q34" i="173"/>
  <c r="Q36" i="173"/>
  <c r="Q38" i="173"/>
  <c r="Q40" i="173"/>
  <c r="Q42" i="173"/>
  <c r="Q44" i="173"/>
  <c r="Q46" i="173"/>
  <c r="Q48" i="173"/>
  <c r="Q50" i="173"/>
  <c r="Q52" i="173"/>
  <c r="Q54" i="173"/>
  <c r="Q56" i="173"/>
  <c r="Q58" i="173"/>
  <c r="Q60" i="173"/>
  <c r="Q62" i="173"/>
  <c r="Q64" i="173"/>
  <c r="Q66" i="173"/>
  <c r="Q68" i="173"/>
  <c r="Q70" i="173"/>
  <c r="Q72" i="173"/>
  <c r="Q74" i="173"/>
  <c r="Q26" i="173"/>
  <c r="Q22" i="173"/>
  <c r="Q55" i="173"/>
  <c r="Q57" i="173"/>
  <c r="Q59" i="173"/>
  <c r="Q61" i="173"/>
  <c r="Q63" i="173"/>
  <c r="Q65" i="173"/>
  <c r="Q67" i="173"/>
  <c r="Q69" i="173"/>
  <c r="Q71" i="173"/>
  <c r="Q73" i="173"/>
  <c r="Q76" i="173"/>
  <c r="Q78" i="173"/>
  <c r="Q80" i="173"/>
  <c r="Q82" i="173"/>
  <c r="Q84" i="173"/>
  <c r="Q86" i="173"/>
  <c r="Q88" i="173"/>
  <c r="Q90" i="173"/>
  <c r="Q92" i="173"/>
  <c r="Q94" i="173"/>
  <c r="Q96" i="173"/>
  <c r="Q98" i="173"/>
  <c r="Q30" i="173"/>
  <c r="Q75" i="173"/>
  <c r="Q77" i="173"/>
  <c r="Q79" i="173"/>
  <c r="Q81" i="173"/>
  <c r="Q83" i="173"/>
  <c r="Q85" i="173"/>
  <c r="Q87" i="173"/>
  <c r="Q89" i="173"/>
  <c r="Q91" i="173"/>
  <c r="Q93" i="173"/>
  <c r="Q95" i="173"/>
  <c r="Q97" i="173"/>
  <c r="Q99" i="173"/>
  <c r="Q101" i="173"/>
  <c r="Q103" i="173"/>
  <c r="Q105" i="173"/>
  <c r="Q107" i="173"/>
  <c r="Q109" i="173"/>
  <c r="Q111" i="173"/>
  <c r="Q113" i="173"/>
  <c r="Q115" i="173"/>
  <c r="Q117" i="173"/>
  <c r="Q119" i="173"/>
  <c r="Q121" i="173"/>
  <c r="Q123" i="173"/>
  <c r="Q125" i="173"/>
  <c r="Q32" i="173"/>
  <c r="Q102" i="173"/>
  <c r="Q104" i="173"/>
  <c r="Q106" i="173"/>
  <c r="Q108" i="173"/>
  <c r="Q110" i="173"/>
  <c r="Q112" i="173"/>
  <c r="Q114" i="173"/>
  <c r="Q116" i="173"/>
  <c r="Q118" i="173"/>
  <c r="Q120" i="173"/>
  <c r="Q122" i="173"/>
  <c r="Q124" i="173"/>
  <c r="Q126" i="173"/>
  <c r="Q129" i="173"/>
  <c r="Q131" i="173"/>
  <c r="Q133" i="173"/>
  <c r="Q135" i="173"/>
  <c r="Q137" i="173"/>
  <c r="Q139" i="173"/>
  <c r="Q141" i="173"/>
  <c r="Q143" i="173"/>
  <c r="Q145" i="173"/>
  <c r="Q147" i="173"/>
  <c r="Q149" i="173"/>
  <c r="Q151" i="173"/>
  <c r="Q127" i="173"/>
  <c r="Q100" i="173"/>
  <c r="Q128" i="173"/>
  <c r="Q130" i="173"/>
  <c r="Q132" i="173"/>
  <c r="Q134" i="173"/>
  <c r="Q136" i="173"/>
  <c r="Q138" i="173"/>
  <c r="Q140" i="173"/>
  <c r="Q142" i="173"/>
  <c r="Q144" i="173"/>
  <c r="Q146" i="173"/>
  <c r="Q148" i="173"/>
  <c r="Q150" i="173"/>
  <c r="Q152" i="173"/>
  <c r="Q3" i="173"/>
  <c r="Q216" i="173"/>
  <c r="Q212" i="173"/>
  <c r="Q208" i="173"/>
  <c r="Q215" i="173"/>
  <c r="Q210" i="173"/>
  <c r="Q205" i="173"/>
  <c r="Q201" i="173"/>
  <c r="Q197" i="173"/>
  <c r="Q214" i="173"/>
  <c r="Q211" i="173"/>
  <c r="Q206" i="173"/>
  <c r="Q217" i="173"/>
  <c r="Q209" i="173"/>
  <c r="Q204" i="173"/>
  <c r="Q213" i="173"/>
  <c r="Q202" i="173"/>
  <c r="Q200" i="173"/>
  <c r="Q195" i="173"/>
  <c r="Q192" i="173"/>
  <c r="Q188" i="173"/>
  <c r="Q218" i="173"/>
  <c r="Q203" i="173"/>
  <c r="Q196" i="173"/>
  <c r="Q194" i="173"/>
  <c r="Q190" i="173"/>
  <c r="Q207" i="173"/>
  <c r="Q198" i="173"/>
  <c r="Q191" i="173"/>
  <c r="Q199" i="173"/>
  <c r="Q193" i="173"/>
  <c r="Q187" i="173"/>
  <c r="Q184" i="173"/>
  <c r="Q180" i="173"/>
  <c r="Q176" i="173"/>
  <c r="Q172" i="173"/>
  <c r="Q168" i="173"/>
  <c r="Q186" i="173"/>
  <c r="Q185" i="173"/>
  <c r="Q181" i="173"/>
  <c r="Q177" i="173"/>
  <c r="Q173" i="173"/>
  <c r="Q169" i="173"/>
  <c r="Q189" i="173"/>
  <c r="Q182" i="173"/>
  <c r="Q178" i="173"/>
  <c r="Q174" i="173"/>
  <c r="Q170" i="173"/>
  <c r="Q179" i="173"/>
  <c r="Q166" i="173"/>
  <c r="Q162" i="173"/>
  <c r="Q158" i="173"/>
  <c r="Q183" i="173"/>
  <c r="Q167" i="173"/>
  <c r="Q163" i="173"/>
  <c r="Q159" i="173"/>
  <c r="Q155" i="173"/>
  <c r="Q154" i="173"/>
  <c r="Q153" i="173"/>
  <c r="Q171" i="173"/>
  <c r="Q164" i="173"/>
  <c r="Q160" i="173"/>
  <c r="Q156" i="173"/>
  <c r="Q175" i="173"/>
  <c r="Q165" i="173"/>
  <c r="Q161" i="173"/>
  <c r="Q157" i="173"/>
  <c r="R1" i="173"/>
  <c r="F42" i="170"/>
  <c r="T42" i="170" s="1"/>
  <c r="F41" i="170"/>
  <c r="T41" i="170" s="1"/>
  <c r="AE98" i="175" l="1"/>
  <c r="AE28" i="175"/>
  <c r="AE38" i="175"/>
  <c r="AE37" i="175"/>
  <c r="AE34" i="175"/>
  <c r="AE36" i="175"/>
  <c r="AE35" i="175"/>
  <c r="AE80" i="175"/>
  <c r="AE7" i="175"/>
  <c r="AE19" i="175"/>
  <c r="AE31" i="175"/>
  <c r="AE14" i="175"/>
  <c r="AE26" i="175"/>
  <c r="AE9" i="175"/>
  <c r="AE21" i="175"/>
  <c r="AE33" i="175"/>
  <c r="AE4" i="175"/>
  <c r="AE16" i="175"/>
  <c r="AE11" i="175"/>
  <c r="AE23" i="175"/>
  <c r="AE6" i="175"/>
  <c r="AE18" i="175"/>
  <c r="AE30" i="175"/>
  <c r="AE20" i="175"/>
  <c r="AE39" i="175"/>
  <c r="AE51" i="175"/>
  <c r="AE27" i="175"/>
  <c r="AE46" i="175"/>
  <c r="AE10" i="175"/>
  <c r="AE41" i="175"/>
  <c r="AE53" i="175"/>
  <c r="AE17" i="175"/>
  <c r="AE48" i="175"/>
  <c r="AE24" i="175"/>
  <c r="AE43" i="175"/>
  <c r="AE25" i="175"/>
  <c r="AE50" i="175"/>
  <c r="AE8" i="175"/>
  <c r="AE32" i="175"/>
  <c r="AE45" i="175"/>
  <c r="AE22" i="175"/>
  <c r="AE47" i="175"/>
  <c r="AE12" i="175"/>
  <c r="AE49" i="175"/>
  <c r="AE52" i="175"/>
  <c r="AE59" i="175"/>
  <c r="AE71" i="175"/>
  <c r="AE29" i="175"/>
  <c r="AE54" i="175"/>
  <c r="AE66" i="175"/>
  <c r="AE61" i="175"/>
  <c r="AE73" i="175"/>
  <c r="AE40" i="175"/>
  <c r="AE56" i="175"/>
  <c r="AE68" i="175"/>
  <c r="AE5" i="175"/>
  <c r="AE63" i="175"/>
  <c r="AE75" i="175"/>
  <c r="AE58" i="175"/>
  <c r="AE70" i="175"/>
  <c r="AE55" i="175"/>
  <c r="AE67" i="175"/>
  <c r="AE62" i="175"/>
  <c r="AE74" i="175"/>
  <c r="AE57" i="175"/>
  <c r="AE69" i="175"/>
  <c r="AE92" i="175"/>
  <c r="AE105" i="175"/>
  <c r="AE72" i="175"/>
  <c r="AE79" i="175"/>
  <c r="AE87" i="175"/>
  <c r="AE100" i="175"/>
  <c r="AE82" i="175"/>
  <c r="AE94" i="175"/>
  <c r="AE89" i="175"/>
  <c r="AE102" i="175"/>
  <c r="AE42" i="175"/>
  <c r="AE60" i="175"/>
  <c r="AE84" i="175"/>
  <c r="AE96" i="175"/>
  <c r="AE91" i="175"/>
  <c r="AE104" i="175"/>
  <c r="AE13" i="175"/>
  <c r="AE44" i="175"/>
  <c r="AE77" i="175"/>
  <c r="AE88" i="175"/>
  <c r="AE101" i="175"/>
  <c r="AE15" i="175"/>
  <c r="AE83" i="175"/>
  <c r="AE95" i="175"/>
  <c r="AE76" i="175"/>
  <c r="AE90" i="175"/>
  <c r="AE103" i="175"/>
  <c r="AE65" i="175"/>
  <c r="AE114" i="175"/>
  <c r="AE126" i="175"/>
  <c r="AE109" i="175"/>
  <c r="AE121" i="175"/>
  <c r="AE85" i="175"/>
  <c r="AE116" i="175"/>
  <c r="AE128" i="175"/>
  <c r="AE111" i="175"/>
  <c r="AE123" i="175"/>
  <c r="AE93" i="175"/>
  <c r="AE118" i="175"/>
  <c r="AE78" i="175"/>
  <c r="AE106" i="175"/>
  <c r="AE113" i="175"/>
  <c r="AE125" i="175"/>
  <c r="AE99" i="175"/>
  <c r="AE108" i="175"/>
  <c r="AE120" i="175"/>
  <c r="AE110" i="175"/>
  <c r="AE122" i="175"/>
  <c r="AE86" i="175"/>
  <c r="AE117" i="175"/>
  <c r="AE112" i="175"/>
  <c r="AE124" i="175"/>
  <c r="AE81" i="175"/>
  <c r="AE127" i="175"/>
  <c r="AE131" i="175"/>
  <c r="AE143" i="175"/>
  <c r="AE155" i="175"/>
  <c r="AE138" i="175"/>
  <c r="AE150" i="175"/>
  <c r="AE129" i="175"/>
  <c r="AE133" i="175"/>
  <c r="AE145" i="175"/>
  <c r="AE157" i="175"/>
  <c r="AE140" i="175"/>
  <c r="AE152" i="175"/>
  <c r="AE135" i="175"/>
  <c r="AE147" i="175"/>
  <c r="AE64" i="175"/>
  <c r="AE107" i="175"/>
  <c r="AE142" i="175"/>
  <c r="AE154" i="175"/>
  <c r="AE137" i="175"/>
  <c r="AE149" i="175"/>
  <c r="AE139" i="175"/>
  <c r="AE151" i="175"/>
  <c r="AE115" i="175"/>
  <c r="AE141" i="175"/>
  <c r="AE153" i="175"/>
  <c r="AE136" i="175"/>
  <c r="AE148" i="175"/>
  <c r="AE134" i="175"/>
  <c r="AE132" i="175"/>
  <c r="AE97" i="175"/>
  <c r="AE146" i="175"/>
  <c r="AE119" i="175"/>
  <c r="AE130" i="175"/>
  <c r="AE144" i="175"/>
  <c r="AE156" i="175"/>
  <c r="AE3" i="175"/>
  <c r="AE218" i="175"/>
  <c r="AE206" i="175"/>
  <c r="AE211" i="175"/>
  <c r="AE216" i="175"/>
  <c r="AE221" i="175"/>
  <c r="AE209" i="175"/>
  <c r="AE197" i="175"/>
  <c r="AE214" i="175"/>
  <c r="AE219" i="175"/>
  <c r="AE207" i="175"/>
  <c r="AE217" i="175"/>
  <c r="AE205" i="175"/>
  <c r="AE193" i="175"/>
  <c r="AE210" i="175"/>
  <c r="AE198" i="175"/>
  <c r="AE215" i="175"/>
  <c r="AE203" i="175"/>
  <c r="AE220" i="175"/>
  <c r="AE208" i="175"/>
  <c r="AE196" i="175"/>
  <c r="AE200" i="175"/>
  <c r="AE177" i="175"/>
  <c r="AE212" i="175"/>
  <c r="AE185" i="175"/>
  <c r="AE173" i="175"/>
  <c r="AE176" i="175"/>
  <c r="AE187" i="175"/>
  <c r="AE174" i="175"/>
  <c r="AE204" i="175"/>
  <c r="AE199" i="175"/>
  <c r="AE182" i="175"/>
  <c r="AE172" i="175"/>
  <c r="AE165" i="175"/>
  <c r="AE195" i="175"/>
  <c r="AE191" i="175"/>
  <c r="AE178" i="175"/>
  <c r="AE168" i="175"/>
  <c r="AE194" i="175"/>
  <c r="AE188" i="175"/>
  <c r="AE183" i="175"/>
  <c r="AE213" i="175"/>
  <c r="AE179" i="175"/>
  <c r="AE158" i="175"/>
  <c r="AE190" i="175"/>
  <c r="AE184" i="175"/>
  <c r="AE180" i="175"/>
  <c r="AE175" i="175"/>
  <c r="AE170" i="175"/>
  <c r="AE166" i="175"/>
  <c r="AE189" i="175"/>
  <c r="AE171" i="175"/>
  <c r="AE202" i="175"/>
  <c r="AE201" i="175"/>
  <c r="AE192" i="175"/>
  <c r="AE186" i="175"/>
  <c r="AE181" i="175"/>
  <c r="AE159" i="175"/>
  <c r="AE162" i="175"/>
  <c r="AE160" i="175"/>
  <c r="AE164" i="175"/>
  <c r="AE161" i="175"/>
  <c r="AE167" i="175"/>
  <c r="AE169" i="175"/>
  <c r="AE163" i="175"/>
  <c r="AF1" i="175"/>
  <c r="R5" i="173"/>
  <c r="R7" i="173"/>
  <c r="R9" i="173"/>
  <c r="R11" i="173"/>
  <c r="R13" i="173"/>
  <c r="R15" i="173"/>
  <c r="R17" i="173"/>
  <c r="R19" i="173"/>
  <c r="R21" i="173"/>
  <c r="R23" i="173"/>
  <c r="R25" i="173"/>
  <c r="R27" i="173"/>
  <c r="R29" i="173"/>
  <c r="R31" i="173"/>
  <c r="R10" i="173"/>
  <c r="R16" i="173"/>
  <c r="R4" i="173"/>
  <c r="R33" i="173"/>
  <c r="R35" i="173"/>
  <c r="R37" i="173"/>
  <c r="R39" i="173"/>
  <c r="R41" i="173"/>
  <c r="R43" i="173"/>
  <c r="R45" i="173"/>
  <c r="R47" i="173"/>
  <c r="R49" i="173"/>
  <c r="R51" i="173"/>
  <c r="R53" i="173"/>
  <c r="R8" i="173"/>
  <c r="R14" i="173"/>
  <c r="R22" i="173"/>
  <c r="R6" i="173"/>
  <c r="R12" i="173"/>
  <c r="R18" i="173"/>
  <c r="R26" i="173"/>
  <c r="R30" i="173"/>
  <c r="R38" i="173"/>
  <c r="R28" i="173"/>
  <c r="R40" i="173"/>
  <c r="R56" i="173"/>
  <c r="R58" i="173"/>
  <c r="R60" i="173"/>
  <c r="R62" i="173"/>
  <c r="R64" i="173"/>
  <c r="R66" i="173"/>
  <c r="R68" i="173"/>
  <c r="R70" i="173"/>
  <c r="R72" i="173"/>
  <c r="R74" i="173"/>
  <c r="R42" i="173"/>
  <c r="R44" i="173"/>
  <c r="R24" i="173"/>
  <c r="R46" i="173"/>
  <c r="R48" i="173"/>
  <c r="R50" i="173"/>
  <c r="R54" i="173"/>
  <c r="R52" i="173"/>
  <c r="R55" i="173"/>
  <c r="R63" i="173"/>
  <c r="R71" i="173"/>
  <c r="R57" i="173"/>
  <c r="R65" i="173"/>
  <c r="R73" i="173"/>
  <c r="R76" i="173"/>
  <c r="R78" i="173"/>
  <c r="R80" i="173"/>
  <c r="R82" i="173"/>
  <c r="R84" i="173"/>
  <c r="R86" i="173"/>
  <c r="R88" i="173"/>
  <c r="R90" i="173"/>
  <c r="R92" i="173"/>
  <c r="R94" i="173"/>
  <c r="R96" i="173"/>
  <c r="R98" i="173"/>
  <c r="R100" i="173"/>
  <c r="R34" i="173"/>
  <c r="R20" i="173"/>
  <c r="R59" i="173"/>
  <c r="R67" i="173"/>
  <c r="R61" i="173"/>
  <c r="R79" i="173"/>
  <c r="R87" i="173"/>
  <c r="R95" i="173"/>
  <c r="R69" i="173"/>
  <c r="R81" i="173"/>
  <c r="R89" i="173"/>
  <c r="R97" i="173"/>
  <c r="R101" i="173"/>
  <c r="R103" i="173"/>
  <c r="R105" i="173"/>
  <c r="R107" i="173"/>
  <c r="R109" i="173"/>
  <c r="R111" i="173"/>
  <c r="R113" i="173"/>
  <c r="R115" i="173"/>
  <c r="R117" i="173"/>
  <c r="R119" i="173"/>
  <c r="R121" i="173"/>
  <c r="R123" i="173"/>
  <c r="R125" i="173"/>
  <c r="R75" i="173"/>
  <c r="R83" i="173"/>
  <c r="R91" i="173"/>
  <c r="R32" i="173"/>
  <c r="R99" i="173"/>
  <c r="R77" i="173"/>
  <c r="R85" i="173"/>
  <c r="R93" i="173"/>
  <c r="R106" i="173"/>
  <c r="R118" i="173"/>
  <c r="R36" i="173"/>
  <c r="R104" i="173"/>
  <c r="R116" i="173"/>
  <c r="R126" i="173"/>
  <c r="R129" i="173"/>
  <c r="R131" i="173"/>
  <c r="R133" i="173"/>
  <c r="R135" i="173"/>
  <c r="R137" i="173"/>
  <c r="R139" i="173"/>
  <c r="R141" i="173"/>
  <c r="R143" i="173"/>
  <c r="R145" i="173"/>
  <c r="R147" i="173"/>
  <c r="R149" i="173"/>
  <c r="R151" i="173"/>
  <c r="R102" i="173"/>
  <c r="R114" i="173"/>
  <c r="R127" i="173"/>
  <c r="R112" i="173"/>
  <c r="R110" i="173"/>
  <c r="R122" i="173"/>
  <c r="R128" i="173"/>
  <c r="R130" i="173"/>
  <c r="R132" i="173"/>
  <c r="R134" i="173"/>
  <c r="R136" i="173"/>
  <c r="R138" i="173"/>
  <c r="R140" i="173"/>
  <c r="R142" i="173"/>
  <c r="R144" i="173"/>
  <c r="R146" i="173"/>
  <c r="R148" i="173"/>
  <c r="R150" i="173"/>
  <c r="R152" i="173"/>
  <c r="R3" i="173"/>
  <c r="R108" i="173"/>
  <c r="R124" i="173"/>
  <c r="R120" i="173"/>
  <c r="R217" i="173"/>
  <c r="R213" i="173"/>
  <c r="R209" i="173"/>
  <c r="R216" i="173"/>
  <c r="R211" i="173"/>
  <c r="R206" i="173"/>
  <c r="R202" i="173"/>
  <c r="R198" i="173"/>
  <c r="R194" i="173"/>
  <c r="R208" i="173"/>
  <c r="R207" i="173"/>
  <c r="R214" i="173"/>
  <c r="R205" i="173"/>
  <c r="R218" i="173"/>
  <c r="R203" i="173"/>
  <c r="R201" i="173"/>
  <c r="R196" i="173"/>
  <c r="R193" i="173"/>
  <c r="R189" i="173"/>
  <c r="R212" i="173"/>
  <c r="R204" i="173"/>
  <c r="R197" i="173"/>
  <c r="R195" i="173"/>
  <c r="R191" i="173"/>
  <c r="R199" i="173"/>
  <c r="R192" i="173"/>
  <c r="R200" i="173"/>
  <c r="R188" i="173"/>
  <c r="R210" i="173"/>
  <c r="R190" i="173"/>
  <c r="R187" i="173"/>
  <c r="R186" i="173"/>
  <c r="R185" i="173"/>
  <c r="R181" i="173"/>
  <c r="R177" i="173"/>
  <c r="R173" i="173"/>
  <c r="R169" i="173"/>
  <c r="R215" i="173"/>
  <c r="R182" i="173"/>
  <c r="R178" i="173"/>
  <c r="R174" i="173"/>
  <c r="R170" i="173"/>
  <c r="R183" i="173"/>
  <c r="R179" i="173"/>
  <c r="R175" i="173"/>
  <c r="R171" i="173"/>
  <c r="R180" i="173"/>
  <c r="R167" i="173"/>
  <c r="R163" i="173"/>
  <c r="R159" i="173"/>
  <c r="R155" i="173"/>
  <c r="R154" i="173"/>
  <c r="R153" i="173"/>
  <c r="R184" i="173"/>
  <c r="R168" i="173"/>
  <c r="R164" i="173"/>
  <c r="R160" i="173"/>
  <c r="R156" i="173"/>
  <c r="R172" i="173"/>
  <c r="R165" i="173"/>
  <c r="R161" i="173"/>
  <c r="R157" i="173"/>
  <c r="R176" i="173"/>
  <c r="R166" i="173"/>
  <c r="R162" i="173"/>
  <c r="R158" i="173"/>
  <c r="S1" i="173"/>
  <c r="F29" i="170"/>
  <c r="T29" i="170" s="1"/>
  <c r="AF98" i="175" l="1"/>
  <c r="AF28" i="175"/>
  <c r="AF35" i="175"/>
  <c r="AF37" i="175"/>
  <c r="AF36" i="175"/>
  <c r="AF38" i="175"/>
  <c r="AF34" i="175"/>
  <c r="AF80" i="175"/>
  <c r="AF12" i="175"/>
  <c r="AF24" i="175"/>
  <c r="AF7" i="175"/>
  <c r="AF19" i="175"/>
  <c r="AF31" i="175"/>
  <c r="AF14" i="175"/>
  <c r="AF26" i="175"/>
  <c r="AF9" i="175"/>
  <c r="AF21" i="175"/>
  <c r="AF33" i="175"/>
  <c r="AF4" i="175"/>
  <c r="AF16" i="175"/>
  <c r="AF11" i="175"/>
  <c r="AF23" i="175"/>
  <c r="AF13" i="175"/>
  <c r="AF44" i="175"/>
  <c r="AF20" i="175"/>
  <c r="AF39" i="175"/>
  <c r="AF51" i="175"/>
  <c r="AF27" i="175"/>
  <c r="AF46" i="175"/>
  <c r="AF10" i="175"/>
  <c r="AF41" i="175"/>
  <c r="AF53" i="175"/>
  <c r="AF17" i="175"/>
  <c r="AF48" i="175"/>
  <c r="AF18" i="175"/>
  <c r="AF43" i="175"/>
  <c r="AF25" i="175"/>
  <c r="AF50" i="175"/>
  <c r="AF15" i="175"/>
  <c r="AF40" i="175"/>
  <c r="AF52" i="175"/>
  <c r="AF5" i="175"/>
  <c r="AF29" i="175"/>
  <c r="AF42" i="175"/>
  <c r="AF32" i="175"/>
  <c r="AF64" i="175"/>
  <c r="AF76" i="175"/>
  <c r="AF59" i="175"/>
  <c r="AF71" i="175"/>
  <c r="AF49" i="175"/>
  <c r="AF54" i="175"/>
  <c r="AF66" i="175"/>
  <c r="AF78" i="175"/>
  <c r="AF8" i="175"/>
  <c r="AF61" i="175"/>
  <c r="AF73" i="175"/>
  <c r="AF56" i="175"/>
  <c r="AF68" i="175"/>
  <c r="AF30" i="175"/>
  <c r="AF63" i="175"/>
  <c r="AF75" i="175"/>
  <c r="AF6" i="175"/>
  <c r="AF60" i="175"/>
  <c r="AF72" i="175"/>
  <c r="AF55" i="175"/>
  <c r="AF67" i="175"/>
  <c r="AF22" i="175"/>
  <c r="AF47" i="175"/>
  <c r="AF62" i="175"/>
  <c r="AF74" i="175"/>
  <c r="AF58" i="175"/>
  <c r="AF85" i="175"/>
  <c r="AF97" i="175"/>
  <c r="AF92" i="175"/>
  <c r="AF105" i="175"/>
  <c r="AF69" i="175"/>
  <c r="AF79" i="175"/>
  <c r="AF87" i="175"/>
  <c r="AF100" i="175"/>
  <c r="AF82" i="175"/>
  <c r="AF94" i="175"/>
  <c r="AF89" i="175"/>
  <c r="AF102" i="175"/>
  <c r="AF57" i="175"/>
  <c r="AF84" i="175"/>
  <c r="AF96" i="175"/>
  <c r="AF81" i="175"/>
  <c r="AF93" i="175"/>
  <c r="AF45" i="175"/>
  <c r="AF70" i="175"/>
  <c r="AF77" i="175"/>
  <c r="AF88" i="175"/>
  <c r="AF101" i="175"/>
  <c r="AF83" i="175"/>
  <c r="AF95" i="175"/>
  <c r="AF91" i="175"/>
  <c r="AF107" i="175"/>
  <c r="AF119" i="175"/>
  <c r="AF65" i="175"/>
  <c r="AF114" i="175"/>
  <c r="AF126" i="175"/>
  <c r="AF103" i="175"/>
  <c r="AF109" i="175"/>
  <c r="AF121" i="175"/>
  <c r="AF116" i="175"/>
  <c r="AF128" i="175"/>
  <c r="AF111" i="175"/>
  <c r="AF123" i="175"/>
  <c r="AF90" i="175"/>
  <c r="AF118" i="175"/>
  <c r="AF106" i="175"/>
  <c r="AF113" i="175"/>
  <c r="AF125" i="175"/>
  <c r="AF115" i="175"/>
  <c r="AF127" i="175"/>
  <c r="AF104" i="175"/>
  <c r="AF110" i="175"/>
  <c r="AF122" i="175"/>
  <c r="AF86" i="175"/>
  <c r="AF117" i="175"/>
  <c r="AF129" i="175"/>
  <c r="AF120" i="175"/>
  <c r="AF136" i="175"/>
  <c r="AF148" i="175"/>
  <c r="AF131" i="175"/>
  <c r="AF143" i="175"/>
  <c r="AF155" i="175"/>
  <c r="AF138" i="175"/>
  <c r="AF150" i="175"/>
  <c r="AF133" i="175"/>
  <c r="AF145" i="175"/>
  <c r="AF140" i="175"/>
  <c r="AF152" i="175"/>
  <c r="AF135" i="175"/>
  <c r="AF147" i="175"/>
  <c r="AF142" i="175"/>
  <c r="AF154" i="175"/>
  <c r="AF130" i="175"/>
  <c r="AF132" i="175"/>
  <c r="AF144" i="175"/>
  <c r="AF156" i="175"/>
  <c r="AF99" i="175"/>
  <c r="AF108" i="175"/>
  <c r="AF134" i="175"/>
  <c r="AF146" i="175"/>
  <c r="AF141" i="175"/>
  <c r="AF153" i="175"/>
  <c r="AF112" i="175"/>
  <c r="AF151" i="175"/>
  <c r="AF3" i="175"/>
  <c r="AF139" i="175"/>
  <c r="AF157" i="175"/>
  <c r="AF137" i="175"/>
  <c r="AF149" i="175"/>
  <c r="AF124" i="175"/>
  <c r="AF211" i="175"/>
  <c r="AF199" i="175"/>
  <c r="AF216" i="175"/>
  <c r="AF221" i="175"/>
  <c r="AF209" i="175"/>
  <c r="AF214" i="175"/>
  <c r="AF202" i="175"/>
  <c r="AF190" i="175"/>
  <c r="AF219" i="175"/>
  <c r="AF207" i="175"/>
  <c r="AF212" i="175"/>
  <c r="AF217" i="175"/>
  <c r="AF210" i="175"/>
  <c r="AF198" i="175"/>
  <c r="AF215" i="175"/>
  <c r="AF203" i="175"/>
  <c r="AF220" i="175"/>
  <c r="AF208" i="175"/>
  <c r="AF213" i="175"/>
  <c r="AF201" i="175"/>
  <c r="AF189" i="175"/>
  <c r="AF218" i="175"/>
  <c r="AF205" i="175"/>
  <c r="AF194" i="175"/>
  <c r="AF182" i="175"/>
  <c r="AF170" i="175"/>
  <c r="AF178" i="175"/>
  <c r="AF200" i="175"/>
  <c r="AF196" i="175"/>
  <c r="AF169" i="175"/>
  <c r="AF180" i="175"/>
  <c r="AF172" i="175"/>
  <c r="AF165" i="175"/>
  <c r="AF197" i="175"/>
  <c r="AF187" i="175"/>
  <c r="AF177" i="175"/>
  <c r="AF162" i="175"/>
  <c r="AF195" i="175"/>
  <c r="AF191" i="175"/>
  <c r="AF188" i="175"/>
  <c r="AF183" i="175"/>
  <c r="AF167" i="175"/>
  <c r="AF160" i="175"/>
  <c r="AF179" i="175"/>
  <c r="AF206" i="175"/>
  <c r="AF184" i="175"/>
  <c r="AF193" i="175"/>
  <c r="AF175" i="175"/>
  <c r="AF166" i="175"/>
  <c r="AF185" i="175"/>
  <c r="AF161" i="175"/>
  <c r="AF192" i="175"/>
  <c r="AF186" i="175"/>
  <c r="AF181" i="175"/>
  <c r="AF176" i="175"/>
  <c r="AF204" i="175"/>
  <c r="AF163" i="175"/>
  <c r="AF171" i="175"/>
  <c r="AF159" i="175"/>
  <c r="AF158" i="175"/>
  <c r="AF174" i="175"/>
  <c r="AF173" i="175"/>
  <c r="AF168" i="175"/>
  <c r="AF164" i="175"/>
  <c r="AG1" i="175"/>
  <c r="S5" i="173"/>
  <c r="S7" i="173"/>
  <c r="S9" i="173"/>
  <c r="S11" i="173"/>
  <c r="S13" i="173"/>
  <c r="S15" i="173"/>
  <c r="S17" i="173"/>
  <c r="S19" i="173"/>
  <c r="S21" i="173"/>
  <c r="S23" i="173"/>
  <c r="S25" i="173"/>
  <c r="S27" i="173"/>
  <c r="S29" i="173"/>
  <c r="S31" i="173"/>
  <c r="S32" i="173"/>
  <c r="S10" i="173"/>
  <c r="S16" i="173"/>
  <c r="S4" i="173"/>
  <c r="S33" i="173"/>
  <c r="S35" i="173"/>
  <c r="S37" i="173"/>
  <c r="S39" i="173"/>
  <c r="S41" i="173"/>
  <c r="S43" i="173"/>
  <c r="S45" i="173"/>
  <c r="S47" i="173"/>
  <c r="S49" i="173"/>
  <c r="S51" i="173"/>
  <c r="S53" i="173"/>
  <c r="S20" i="173"/>
  <c r="S24" i="173"/>
  <c r="S36" i="173"/>
  <c r="S30" i="173"/>
  <c r="S38" i="173"/>
  <c r="S28" i="173"/>
  <c r="S40" i="173"/>
  <c r="S56" i="173"/>
  <c r="S58" i="173"/>
  <c r="S60" i="173"/>
  <c r="S62" i="173"/>
  <c r="S64" i="173"/>
  <c r="S66" i="173"/>
  <c r="S68" i="173"/>
  <c r="S70" i="173"/>
  <c r="S72" i="173"/>
  <c r="S74" i="173"/>
  <c r="S26" i="173"/>
  <c r="S42" i="173"/>
  <c r="S44" i="173"/>
  <c r="S8" i="173"/>
  <c r="S46" i="173"/>
  <c r="S14" i="173"/>
  <c r="S22" i="173"/>
  <c r="S48" i="173"/>
  <c r="S52" i="173"/>
  <c r="S55" i="173"/>
  <c r="S57" i="173"/>
  <c r="S59" i="173"/>
  <c r="S61" i="173"/>
  <c r="S63" i="173"/>
  <c r="S65" i="173"/>
  <c r="S67" i="173"/>
  <c r="S69" i="173"/>
  <c r="S71" i="173"/>
  <c r="S73" i="173"/>
  <c r="S6" i="173"/>
  <c r="S54" i="173"/>
  <c r="S76" i="173"/>
  <c r="S78" i="173"/>
  <c r="S80" i="173"/>
  <c r="S82" i="173"/>
  <c r="S84" i="173"/>
  <c r="S86" i="173"/>
  <c r="S88" i="173"/>
  <c r="S90" i="173"/>
  <c r="S92" i="173"/>
  <c r="S94" i="173"/>
  <c r="S96" i="173"/>
  <c r="S98" i="173"/>
  <c r="S18" i="173"/>
  <c r="S34" i="173"/>
  <c r="S50" i="173"/>
  <c r="S12" i="173"/>
  <c r="S79" i="173"/>
  <c r="S87" i="173"/>
  <c r="S95" i="173"/>
  <c r="S81" i="173"/>
  <c r="S89" i="173"/>
  <c r="S97" i="173"/>
  <c r="S101" i="173"/>
  <c r="S103" i="173"/>
  <c r="S105" i="173"/>
  <c r="S107" i="173"/>
  <c r="S109" i="173"/>
  <c r="S111" i="173"/>
  <c r="S113" i="173"/>
  <c r="S115" i="173"/>
  <c r="S117" i="173"/>
  <c r="S119" i="173"/>
  <c r="S121" i="173"/>
  <c r="S123" i="173"/>
  <c r="S125" i="173"/>
  <c r="S75" i="173"/>
  <c r="S83" i="173"/>
  <c r="S91" i="173"/>
  <c r="S99" i="173"/>
  <c r="S77" i="173"/>
  <c r="S106" i="173"/>
  <c r="S118" i="173"/>
  <c r="S104" i="173"/>
  <c r="S116" i="173"/>
  <c r="S126" i="173"/>
  <c r="S129" i="173"/>
  <c r="S131" i="173"/>
  <c r="S133" i="173"/>
  <c r="S135" i="173"/>
  <c r="S137" i="173"/>
  <c r="S139" i="173"/>
  <c r="S141" i="173"/>
  <c r="S143" i="173"/>
  <c r="S145" i="173"/>
  <c r="S147" i="173"/>
  <c r="S149" i="173"/>
  <c r="S151" i="173"/>
  <c r="S102" i="173"/>
  <c r="S114" i="173"/>
  <c r="S127" i="173"/>
  <c r="S93" i="173"/>
  <c r="S110" i="173"/>
  <c r="S122" i="173"/>
  <c r="S112" i="173"/>
  <c r="S3" i="173"/>
  <c r="S132" i="173"/>
  <c r="S128" i="173"/>
  <c r="S136" i="173"/>
  <c r="S144" i="173"/>
  <c r="S152" i="173"/>
  <c r="S120" i="173"/>
  <c r="S85" i="173"/>
  <c r="S130" i="173"/>
  <c r="S138" i="173"/>
  <c r="S146" i="173"/>
  <c r="S140" i="173"/>
  <c r="S148" i="173"/>
  <c r="S124" i="173"/>
  <c r="S108" i="173"/>
  <c r="S134" i="173"/>
  <c r="S142" i="173"/>
  <c r="S100" i="173"/>
  <c r="S150" i="173"/>
  <c r="S218" i="173"/>
  <c r="S214" i="173"/>
  <c r="S210" i="173"/>
  <c r="S217" i="173"/>
  <c r="S212" i="173"/>
  <c r="S207" i="173"/>
  <c r="S203" i="173"/>
  <c r="S199" i="173"/>
  <c r="S195" i="173"/>
  <c r="S216" i="173"/>
  <c r="S213" i="173"/>
  <c r="S202" i="173"/>
  <c r="S211" i="173"/>
  <c r="S208" i="173"/>
  <c r="S206" i="173"/>
  <c r="S204" i="173"/>
  <c r="S197" i="173"/>
  <c r="S190" i="173"/>
  <c r="S186" i="173"/>
  <c r="S205" i="173"/>
  <c r="S198" i="173"/>
  <c r="S215" i="173"/>
  <c r="S209" i="173"/>
  <c r="S196" i="173"/>
  <c r="S192" i="173"/>
  <c r="S187" i="173"/>
  <c r="S200" i="173"/>
  <c r="S193" i="173"/>
  <c r="S201" i="173"/>
  <c r="S189" i="173"/>
  <c r="S188" i="173"/>
  <c r="S182" i="173"/>
  <c r="S178" i="173"/>
  <c r="S174" i="173"/>
  <c r="S170" i="173"/>
  <c r="S194" i="173"/>
  <c r="S183" i="173"/>
  <c r="S179" i="173"/>
  <c r="S175" i="173"/>
  <c r="S171" i="173"/>
  <c r="S167" i="173"/>
  <c r="S191" i="173"/>
  <c r="S184" i="173"/>
  <c r="S180" i="173"/>
  <c r="S176" i="173"/>
  <c r="S172" i="173"/>
  <c r="S181" i="173"/>
  <c r="S168" i="173"/>
  <c r="S164" i="173"/>
  <c r="S160" i="173"/>
  <c r="S156" i="173"/>
  <c r="S185" i="173"/>
  <c r="S169" i="173"/>
  <c r="S165" i="173"/>
  <c r="S161" i="173"/>
  <c r="S157" i="173"/>
  <c r="S173" i="173"/>
  <c r="S166" i="173"/>
  <c r="S162" i="173"/>
  <c r="S158" i="173"/>
  <c r="S177" i="173"/>
  <c r="S163" i="173"/>
  <c r="S159" i="173"/>
  <c r="S155" i="173"/>
  <c r="S154" i="173"/>
  <c r="S153" i="173"/>
  <c r="T1" i="173"/>
  <c r="T27" i="170"/>
  <c r="AG98" i="175" l="1"/>
  <c r="AG28" i="175"/>
  <c r="AG35" i="175"/>
  <c r="AG38" i="175"/>
  <c r="AG36" i="175"/>
  <c r="AG37" i="175"/>
  <c r="AG34" i="175"/>
  <c r="AG80" i="175"/>
  <c r="AG5" i="175"/>
  <c r="AG17" i="175"/>
  <c r="AG29" i="175"/>
  <c r="AG12" i="175"/>
  <c r="AG24" i="175"/>
  <c r="AG7" i="175"/>
  <c r="AG19" i="175"/>
  <c r="AG31" i="175"/>
  <c r="AG14" i="175"/>
  <c r="AG26" i="175"/>
  <c r="AG9" i="175"/>
  <c r="AG21" i="175"/>
  <c r="AG33" i="175"/>
  <c r="AG4" i="175"/>
  <c r="AG16" i="175"/>
  <c r="AG6" i="175"/>
  <c r="AG30" i="175"/>
  <c r="AG49" i="175"/>
  <c r="AG13" i="175"/>
  <c r="AG44" i="175"/>
  <c r="AG20" i="175"/>
  <c r="AG39" i="175"/>
  <c r="AG51" i="175"/>
  <c r="AG27" i="175"/>
  <c r="AG46" i="175"/>
  <c r="AG10" i="175"/>
  <c r="AG41" i="175"/>
  <c r="AG53" i="175"/>
  <c r="AG11" i="175"/>
  <c r="AG48" i="175"/>
  <c r="AG18" i="175"/>
  <c r="AG43" i="175"/>
  <c r="AG8" i="175"/>
  <c r="AG32" i="175"/>
  <c r="AG45" i="175"/>
  <c r="AG22" i="175"/>
  <c r="AG47" i="175"/>
  <c r="AG57" i="175"/>
  <c r="AG69" i="175"/>
  <c r="AG52" i="175"/>
  <c r="AG64" i="175"/>
  <c r="AG76" i="175"/>
  <c r="AG23" i="175"/>
  <c r="AG59" i="175"/>
  <c r="AG71" i="175"/>
  <c r="AG54" i="175"/>
  <c r="AG66" i="175"/>
  <c r="AG40" i="175"/>
  <c r="AG61" i="175"/>
  <c r="AG73" i="175"/>
  <c r="AG56" i="175"/>
  <c r="AG68" i="175"/>
  <c r="AG42" i="175"/>
  <c r="AG65" i="175"/>
  <c r="AG77" i="175"/>
  <c r="AG25" i="175"/>
  <c r="AG50" i="175"/>
  <c r="AG60" i="175"/>
  <c r="AG72" i="175"/>
  <c r="AG55" i="175"/>
  <c r="AG67" i="175"/>
  <c r="AG75" i="175"/>
  <c r="AG78" i="175"/>
  <c r="AG90" i="175"/>
  <c r="AG103" i="175"/>
  <c r="AG58" i="175"/>
  <c r="AG85" i="175"/>
  <c r="AG97" i="175"/>
  <c r="AG92" i="175"/>
  <c r="AG63" i="175"/>
  <c r="AG79" i="175"/>
  <c r="AG87" i="175"/>
  <c r="AG100" i="175"/>
  <c r="AG82" i="175"/>
  <c r="AG94" i="175"/>
  <c r="AG74" i="175"/>
  <c r="AG89" i="175"/>
  <c r="AG102" i="175"/>
  <c r="AG62" i="175"/>
  <c r="AG86" i="175"/>
  <c r="AG99" i="175"/>
  <c r="AG81" i="175"/>
  <c r="AG93" i="175"/>
  <c r="AG15" i="175"/>
  <c r="AG70" i="175"/>
  <c r="AG88" i="175"/>
  <c r="AG101" i="175"/>
  <c r="AG112" i="175"/>
  <c r="AG124" i="175"/>
  <c r="AG91" i="175"/>
  <c r="AG107" i="175"/>
  <c r="AG119" i="175"/>
  <c r="AG105" i="175"/>
  <c r="AG114" i="175"/>
  <c r="AG126" i="175"/>
  <c r="AG96" i="175"/>
  <c r="AG109" i="175"/>
  <c r="AG121" i="175"/>
  <c r="AG116" i="175"/>
  <c r="AG128" i="175"/>
  <c r="AG111" i="175"/>
  <c r="AG123" i="175"/>
  <c r="AG84" i="175"/>
  <c r="AG118" i="175"/>
  <c r="AG95" i="175"/>
  <c r="AG108" i="175"/>
  <c r="AG120" i="175"/>
  <c r="AG115" i="175"/>
  <c r="AG127" i="175"/>
  <c r="AG104" i="175"/>
  <c r="AG110" i="175"/>
  <c r="AG122" i="175"/>
  <c r="AG106" i="175"/>
  <c r="AG113" i="175"/>
  <c r="AG141" i="175"/>
  <c r="AG153" i="175"/>
  <c r="AG136" i="175"/>
  <c r="AG148" i="175"/>
  <c r="AG125" i="175"/>
  <c r="AG131" i="175"/>
  <c r="AG143" i="175"/>
  <c r="AG155" i="175"/>
  <c r="AG83" i="175"/>
  <c r="AG129" i="175"/>
  <c r="AG138" i="175"/>
  <c r="AG150" i="175"/>
  <c r="AG133" i="175"/>
  <c r="AG145" i="175"/>
  <c r="AG140" i="175"/>
  <c r="AG152" i="175"/>
  <c r="AG135" i="175"/>
  <c r="AG147" i="175"/>
  <c r="AG137" i="175"/>
  <c r="AG149" i="175"/>
  <c r="AG139" i="175"/>
  <c r="AG151" i="175"/>
  <c r="AG134" i="175"/>
  <c r="AG146" i="175"/>
  <c r="AG3" i="175"/>
  <c r="AG144" i="175"/>
  <c r="AG117" i="175"/>
  <c r="AG132" i="175"/>
  <c r="AG130" i="175"/>
  <c r="AG157" i="175"/>
  <c r="AG142" i="175"/>
  <c r="AG156" i="175"/>
  <c r="AG154" i="175"/>
  <c r="AG216" i="175"/>
  <c r="AG204" i="175"/>
  <c r="AG221" i="175"/>
  <c r="AG209" i="175"/>
  <c r="AG214" i="175"/>
  <c r="AG219" i="175"/>
  <c r="AG207" i="175"/>
  <c r="AG195" i="175"/>
  <c r="AG212" i="175"/>
  <c r="AG217" i="175"/>
  <c r="AG205" i="175"/>
  <c r="AG215" i="175"/>
  <c r="AG203" i="175"/>
  <c r="AG191" i="175"/>
  <c r="AG220" i="175"/>
  <c r="AG208" i="175"/>
  <c r="AG196" i="175"/>
  <c r="AG213" i="175"/>
  <c r="AG218" i="175"/>
  <c r="AG206" i="175"/>
  <c r="AG194" i="175"/>
  <c r="AG187" i="175"/>
  <c r="AG175" i="175"/>
  <c r="AG201" i="175"/>
  <c r="AG199" i="175"/>
  <c r="AG197" i="175"/>
  <c r="AG183" i="175"/>
  <c r="AG171" i="175"/>
  <c r="AG193" i="175"/>
  <c r="AG188" i="175"/>
  <c r="AG182" i="175"/>
  <c r="AG166" i="175"/>
  <c r="AG189" i="175"/>
  <c r="AG186" i="175"/>
  <c r="AG173" i="175"/>
  <c r="AG200" i="175"/>
  <c r="AG177" i="175"/>
  <c r="AG162" i="175"/>
  <c r="AG198" i="175"/>
  <c r="AG168" i="175"/>
  <c r="AG178" i="175"/>
  <c r="AG210" i="175"/>
  <c r="AG164" i="175"/>
  <c r="AG179" i="175"/>
  <c r="AG184" i="175"/>
  <c r="AG190" i="175"/>
  <c r="AG185" i="175"/>
  <c r="AG180" i="175"/>
  <c r="AG170" i="175"/>
  <c r="AG163" i="175"/>
  <c r="AG192" i="175"/>
  <c r="AG181" i="175"/>
  <c r="AG202" i="175"/>
  <c r="AG211" i="175"/>
  <c r="AG172" i="175"/>
  <c r="AG165" i="175"/>
  <c r="AG176" i="175"/>
  <c r="AG161" i="175"/>
  <c r="AG160" i="175"/>
  <c r="AG159" i="175"/>
  <c r="AG167" i="175"/>
  <c r="AG158" i="175"/>
  <c r="AG174" i="175"/>
  <c r="AG169" i="175"/>
  <c r="AH1" i="175"/>
  <c r="T5" i="173"/>
  <c r="T7" i="173"/>
  <c r="T9" i="173"/>
  <c r="T11" i="173"/>
  <c r="T13" i="173"/>
  <c r="T15" i="173"/>
  <c r="T17" i="173"/>
  <c r="T19" i="173"/>
  <c r="T21" i="173"/>
  <c r="T23" i="173"/>
  <c r="T25" i="173"/>
  <c r="T27" i="173"/>
  <c r="T29" i="173"/>
  <c r="T31" i="173"/>
  <c r="T4" i="173"/>
  <c r="T30" i="173"/>
  <c r="T32" i="173"/>
  <c r="T10" i="173"/>
  <c r="T16" i="173"/>
  <c r="T8" i="173"/>
  <c r="T14" i="173"/>
  <c r="T22" i="173"/>
  <c r="T18" i="173"/>
  <c r="T34" i="173"/>
  <c r="T37" i="173"/>
  <c r="T36" i="173"/>
  <c r="T39" i="173"/>
  <c r="T38" i="173"/>
  <c r="T41" i="173"/>
  <c r="T28" i="173"/>
  <c r="T40" i="173"/>
  <c r="T43" i="173"/>
  <c r="T56" i="173"/>
  <c r="T58" i="173"/>
  <c r="T60" i="173"/>
  <c r="T62" i="173"/>
  <c r="T64" i="173"/>
  <c r="T66" i="173"/>
  <c r="T68" i="173"/>
  <c r="T70" i="173"/>
  <c r="T72" i="173"/>
  <c r="T74" i="173"/>
  <c r="T26" i="173"/>
  <c r="T42" i="173"/>
  <c r="T45" i="173"/>
  <c r="T24" i="173"/>
  <c r="T44" i="173"/>
  <c r="T47" i="173"/>
  <c r="T46" i="173"/>
  <c r="T49" i="173"/>
  <c r="T20" i="173"/>
  <c r="T50" i="173"/>
  <c r="T53" i="173"/>
  <c r="T52" i="173"/>
  <c r="T55" i="173"/>
  <c r="T57" i="173"/>
  <c r="T59" i="173"/>
  <c r="T61" i="173"/>
  <c r="T63" i="173"/>
  <c r="T65" i="173"/>
  <c r="T67" i="173"/>
  <c r="T69" i="173"/>
  <c r="T71" i="173"/>
  <c r="T73" i="173"/>
  <c r="T48" i="173"/>
  <c r="T33" i="173"/>
  <c r="T6" i="173"/>
  <c r="T76" i="173"/>
  <c r="T78" i="173"/>
  <c r="T80" i="173"/>
  <c r="T82" i="173"/>
  <c r="T84" i="173"/>
  <c r="T86" i="173"/>
  <c r="T88" i="173"/>
  <c r="T90" i="173"/>
  <c r="T92" i="173"/>
  <c r="T94" i="173"/>
  <c r="T96" i="173"/>
  <c r="T98" i="173"/>
  <c r="T54" i="173"/>
  <c r="T35" i="173"/>
  <c r="T100" i="173"/>
  <c r="T102" i="173"/>
  <c r="T104" i="173"/>
  <c r="T106" i="173"/>
  <c r="T108" i="173"/>
  <c r="T110" i="173"/>
  <c r="T112" i="173"/>
  <c r="T114" i="173"/>
  <c r="T116" i="173"/>
  <c r="T118" i="173"/>
  <c r="T120" i="173"/>
  <c r="T122" i="173"/>
  <c r="T124" i="173"/>
  <c r="T126" i="173"/>
  <c r="T12" i="173"/>
  <c r="T79" i="173"/>
  <c r="T87" i="173"/>
  <c r="T95" i="173"/>
  <c r="T81" i="173"/>
  <c r="T89" i="173"/>
  <c r="T97" i="173"/>
  <c r="T101" i="173"/>
  <c r="T103" i="173"/>
  <c r="T105" i="173"/>
  <c r="T107" i="173"/>
  <c r="T109" i="173"/>
  <c r="T111" i="173"/>
  <c r="T113" i="173"/>
  <c r="T115" i="173"/>
  <c r="T117" i="173"/>
  <c r="T119" i="173"/>
  <c r="T121" i="173"/>
  <c r="T123" i="173"/>
  <c r="T125" i="173"/>
  <c r="T75" i="173"/>
  <c r="T83" i="173"/>
  <c r="T91" i="173"/>
  <c r="T51" i="173"/>
  <c r="T77" i="173"/>
  <c r="T99" i="173"/>
  <c r="T129" i="173"/>
  <c r="T131" i="173"/>
  <c r="T133" i="173"/>
  <c r="T135" i="173"/>
  <c r="T137" i="173"/>
  <c r="T139" i="173"/>
  <c r="T141" i="173"/>
  <c r="T143" i="173"/>
  <c r="T145" i="173"/>
  <c r="T147" i="173"/>
  <c r="T149" i="173"/>
  <c r="T151" i="173"/>
  <c r="T93" i="173"/>
  <c r="T3" i="173"/>
  <c r="T128" i="173"/>
  <c r="T136" i="173"/>
  <c r="T144" i="173"/>
  <c r="T152" i="173"/>
  <c r="T134" i="173"/>
  <c r="T85" i="173"/>
  <c r="T130" i="173"/>
  <c r="T138" i="173"/>
  <c r="T146" i="173"/>
  <c r="T150" i="173"/>
  <c r="T127" i="173"/>
  <c r="T132" i="173"/>
  <c r="T140" i="173"/>
  <c r="T148" i="173"/>
  <c r="T142" i="173"/>
  <c r="T215" i="173"/>
  <c r="T211" i="173"/>
  <c r="T218" i="173"/>
  <c r="T213" i="173"/>
  <c r="T208" i="173"/>
  <c r="T204" i="173"/>
  <c r="T200" i="173"/>
  <c r="T196" i="173"/>
  <c r="T210" i="173"/>
  <c r="T203" i="173"/>
  <c r="T216" i="173"/>
  <c r="T207" i="173"/>
  <c r="T202" i="173"/>
  <c r="T212" i="173"/>
  <c r="T205" i="173"/>
  <c r="T198" i="173"/>
  <c r="T191" i="173"/>
  <c r="T187" i="173"/>
  <c r="T217" i="173"/>
  <c r="T206" i="173"/>
  <c r="T199" i="173"/>
  <c r="T194" i="173"/>
  <c r="T197" i="173"/>
  <c r="T193" i="173"/>
  <c r="T188" i="173"/>
  <c r="T214" i="173"/>
  <c r="T201" i="173"/>
  <c r="T189" i="173"/>
  <c r="T190" i="173"/>
  <c r="T192" i="173"/>
  <c r="T183" i="173"/>
  <c r="T179" i="173"/>
  <c r="T175" i="173"/>
  <c r="T171" i="173"/>
  <c r="T167" i="173"/>
  <c r="T209" i="173"/>
  <c r="T184" i="173"/>
  <c r="T180" i="173"/>
  <c r="T176" i="173"/>
  <c r="T172" i="173"/>
  <c r="T168" i="173"/>
  <c r="T195" i="173"/>
  <c r="T185" i="173"/>
  <c r="T181" i="173"/>
  <c r="T177" i="173"/>
  <c r="T173" i="173"/>
  <c r="T169" i="173"/>
  <c r="T182" i="173"/>
  <c r="T165" i="173"/>
  <c r="T161" i="173"/>
  <c r="T157" i="173"/>
  <c r="T170" i="173"/>
  <c r="T166" i="173"/>
  <c r="T162" i="173"/>
  <c r="T158" i="173"/>
  <c r="T174" i="173"/>
  <c r="T163" i="173"/>
  <c r="T159" i="173"/>
  <c r="T155" i="173"/>
  <c r="T154" i="173"/>
  <c r="T153" i="173"/>
  <c r="T186" i="173"/>
  <c r="T178" i="173"/>
  <c r="T164" i="173"/>
  <c r="T160" i="173"/>
  <c r="T156" i="173"/>
  <c r="U1" i="173"/>
  <c r="F28" i="170"/>
  <c r="T31" i="170"/>
  <c r="AH98" i="175" l="1"/>
  <c r="AI98" i="175" s="1"/>
  <c r="AH28" i="175"/>
  <c r="AI28" i="175" s="1"/>
  <c r="AH36" i="175"/>
  <c r="AI36" i="175" s="1"/>
  <c r="AH35" i="175"/>
  <c r="AI35" i="175" s="1"/>
  <c r="AH37" i="175"/>
  <c r="AI37" i="175" s="1"/>
  <c r="AH34" i="175"/>
  <c r="AI34" i="175" s="1"/>
  <c r="AH38" i="175"/>
  <c r="AI38" i="175" s="1"/>
  <c r="AH80" i="175"/>
  <c r="AI80" i="175" s="1"/>
  <c r="AH10" i="175"/>
  <c r="AH22" i="175"/>
  <c r="AH5" i="175"/>
  <c r="AH17" i="175"/>
  <c r="AI17" i="175" s="1"/>
  <c r="AH29" i="175"/>
  <c r="AI29" i="175" s="1"/>
  <c r="AH12" i="175"/>
  <c r="AI12" i="175" s="1"/>
  <c r="AH24" i="175"/>
  <c r="AI24" i="175" s="1"/>
  <c r="AH7" i="175"/>
  <c r="AI7" i="175" s="1"/>
  <c r="AH19" i="175"/>
  <c r="AI19" i="175" s="1"/>
  <c r="AH31" i="175"/>
  <c r="AI31" i="175" s="1"/>
  <c r="AH14" i="175"/>
  <c r="AI14" i="175" s="1"/>
  <c r="AH26" i="175"/>
  <c r="AI26" i="175" s="1"/>
  <c r="AH9" i="175"/>
  <c r="AI9" i="175" s="1"/>
  <c r="AH21" i="175"/>
  <c r="AH33" i="175"/>
  <c r="AI33" i="175" s="1"/>
  <c r="AH23" i="175"/>
  <c r="AI23" i="175" s="1"/>
  <c r="AH42" i="175"/>
  <c r="AI42" i="175" s="1"/>
  <c r="AH6" i="175"/>
  <c r="AI6" i="175" s="1"/>
  <c r="AH30" i="175"/>
  <c r="AI30" i="175" s="1"/>
  <c r="AH49" i="175"/>
  <c r="AI49" i="175" s="1"/>
  <c r="AH13" i="175"/>
  <c r="AI13" i="175" s="1"/>
  <c r="AH44" i="175"/>
  <c r="AI44" i="175" s="1"/>
  <c r="AH20" i="175"/>
  <c r="AI20" i="175" s="1"/>
  <c r="AH39" i="175"/>
  <c r="AI39" i="175" s="1"/>
  <c r="AH51" i="175"/>
  <c r="AH27" i="175"/>
  <c r="AI27" i="175" s="1"/>
  <c r="AH46" i="175"/>
  <c r="AH4" i="175"/>
  <c r="AI4" i="175" s="1"/>
  <c r="AH41" i="175"/>
  <c r="AI41" i="175" s="1"/>
  <c r="AH53" i="175"/>
  <c r="AI53" i="175" s="1"/>
  <c r="AH11" i="175"/>
  <c r="AI11" i="175" s="1"/>
  <c r="AH48" i="175"/>
  <c r="AI48" i="175" s="1"/>
  <c r="AH25" i="175"/>
  <c r="AI25" i="175" s="1"/>
  <c r="AH50" i="175"/>
  <c r="AI50" i="175" s="1"/>
  <c r="AH15" i="175"/>
  <c r="AI15" i="175" s="1"/>
  <c r="AH40" i="175"/>
  <c r="AI40" i="175" s="1"/>
  <c r="AH52" i="175"/>
  <c r="AI52" i="175" s="1"/>
  <c r="AH62" i="175"/>
  <c r="AI62" i="175" s="1"/>
  <c r="AH74" i="175"/>
  <c r="AI74" i="175" s="1"/>
  <c r="AH32" i="175"/>
  <c r="AI32" i="175" s="1"/>
  <c r="AH57" i="175"/>
  <c r="AI57" i="175" s="1"/>
  <c r="AH69" i="175"/>
  <c r="AI69" i="175" s="1"/>
  <c r="AH64" i="175"/>
  <c r="AI64" i="175" s="1"/>
  <c r="AH76" i="175"/>
  <c r="AI76" i="175" s="1"/>
  <c r="AH43" i="175"/>
  <c r="AI43" i="175" s="1"/>
  <c r="AH59" i="175"/>
  <c r="AI59" i="175" s="1"/>
  <c r="AH71" i="175"/>
  <c r="AI71" i="175" s="1"/>
  <c r="AH8" i="175"/>
  <c r="AI8" i="175" s="1"/>
  <c r="AH54" i="175"/>
  <c r="AI54" i="175" s="1"/>
  <c r="AH66" i="175"/>
  <c r="AI66" i="175" s="1"/>
  <c r="AH61" i="175"/>
  <c r="AI61" i="175" s="1"/>
  <c r="AH73" i="175"/>
  <c r="AI73" i="175" s="1"/>
  <c r="AH58" i="175"/>
  <c r="AI58" i="175" s="1"/>
  <c r="AH70" i="175"/>
  <c r="AI70" i="175" s="1"/>
  <c r="AH65" i="175"/>
  <c r="AI65" i="175" s="1"/>
  <c r="AH60" i="175"/>
  <c r="AI60" i="175" s="1"/>
  <c r="AH72" i="175"/>
  <c r="AI72" i="175" s="1"/>
  <c r="AH18" i="175"/>
  <c r="AI18" i="175" s="1"/>
  <c r="AH83" i="175"/>
  <c r="AI83" i="175" s="1"/>
  <c r="AH95" i="175"/>
  <c r="AI95" i="175" s="1"/>
  <c r="AH75" i="175"/>
  <c r="AI75" i="175" s="1"/>
  <c r="AH78" i="175"/>
  <c r="AI78" i="175" s="1"/>
  <c r="AH90" i="175"/>
  <c r="AI90" i="175" s="1"/>
  <c r="AH103" i="175"/>
  <c r="AI103" i="175" s="1"/>
  <c r="AH47" i="175"/>
  <c r="AI47" i="175" s="1"/>
  <c r="AH55" i="175"/>
  <c r="AI55" i="175" s="1"/>
  <c r="AH85" i="175"/>
  <c r="AI85" i="175" s="1"/>
  <c r="AH97" i="175"/>
  <c r="AI97" i="175" s="1"/>
  <c r="AH92" i="175"/>
  <c r="AI92" i="175" s="1"/>
  <c r="AH63" i="175"/>
  <c r="AI63" i="175" s="1"/>
  <c r="AH79" i="175"/>
  <c r="AI79" i="175" s="1"/>
  <c r="AH87" i="175"/>
  <c r="AI87" i="175" s="1"/>
  <c r="AH100" i="175"/>
  <c r="AI100" i="175" s="1"/>
  <c r="AH82" i="175"/>
  <c r="AI82" i="175" s="1"/>
  <c r="AH94" i="175"/>
  <c r="AI94" i="175" s="1"/>
  <c r="AH91" i="175"/>
  <c r="AI91" i="175" s="1"/>
  <c r="AH104" i="175"/>
  <c r="AI104" i="175" s="1"/>
  <c r="AH56" i="175"/>
  <c r="AI56" i="175" s="1"/>
  <c r="AH86" i="175"/>
  <c r="AI86" i="175" s="1"/>
  <c r="AH99" i="175"/>
  <c r="AI99" i="175" s="1"/>
  <c r="AH45" i="175"/>
  <c r="AI45" i="175" s="1"/>
  <c r="AH77" i="175"/>
  <c r="AI77" i="175" s="1"/>
  <c r="AH81" i="175"/>
  <c r="AI81" i="175" s="1"/>
  <c r="AH93" i="175"/>
  <c r="AI93" i="175" s="1"/>
  <c r="AH117" i="175"/>
  <c r="AI117" i="175" s="1"/>
  <c r="AH129" i="175"/>
  <c r="AI129" i="175" s="1"/>
  <c r="AH112" i="175"/>
  <c r="AI112" i="175" s="1"/>
  <c r="AH124" i="175"/>
  <c r="AH16" i="175"/>
  <c r="AI16" i="175" s="1"/>
  <c r="AH88" i="175"/>
  <c r="AI88" i="175" s="1"/>
  <c r="AH107" i="175"/>
  <c r="AI107" i="175" s="1"/>
  <c r="AH119" i="175"/>
  <c r="AI119" i="175" s="1"/>
  <c r="AH105" i="175"/>
  <c r="AI105" i="175" s="1"/>
  <c r="AH114" i="175"/>
  <c r="AI114" i="175" s="1"/>
  <c r="AH126" i="175"/>
  <c r="AI126" i="175" s="1"/>
  <c r="AH96" i="175"/>
  <c r="AI96" i="175" s="1"/>
  <c r="AH109" i="175"/>
  <c r="AI109" i="175" s="1"/>
  <c r="AH121" i="175"/>
  <c r="AI121" i="175" s="1"/>
  <c r="AH67" i="175"/>
  <c r="AI67" i="175" s="1"/>
  <c r="AH116" i="175"/>
  <c r="AI116" i="175" s="1"/>
  <c r="AH128" i="175"/>
  <c r="AI128" i="175" s="1"/>
  <c r="AH68" i="175"/>
  <c r="AI68" i="175" s="1"/>
  <c r="AH102" i="175"/>
  <c r="AI102" i="175" s="1"/>
  <c r="AH111" i="175"/>
  <c r="AI111" i="175" s="1"/>
  <c r="AH123" i="175"/>
  <c r="AI123" i="175" s="1"/>
  <c r="AH106" i="175"/>
  <c r="AI106" i="175" s="1"/>
  <c r="AH113" i="175"/>
  <c r="AI113" i="175" s="1"/>
  <c r="AH125" i="175"/>
  <c r="AI125" i="175" s="1"/>
  <c r="AH89" i="175"/>
  <c r="AI89" i="175" s="1"/>
  <c r="AH108" i="175"/>
  <c r="AI108" i="175" s="1"/>
  <c r="AH120" i="175"/>
  <c r="AI120" i="175" s="1"/>
  <c r="AH115" i="175"/>
  <c r="AI115" i="175" s="1"/>
  <c r="AH127" i="175"/>
  <c r="AI127" i="175" s="1"/>
  <c r="AH134" i="175"/>
  <c r="AI134" i="175" s="1"/>
  <c r="AH146" i="175"/>
  <c r="AI146" i="175" s="1"/>
  <c r="AH101" i="175"/>
  <c r="AI101" i="175" s="1"/>
  <c r="AH141" i="175"/>
  <c r="AI141" i="175" s="1"/>
  <c r="AH153" i="175"/>
  <c r="AI153" i="175" s="1"/>
  <c r="AH118" i="175"/>
  <c r="AI118" i="175" s="1"/>
  <c r="AH136" i="175"/>
  <c r="AI136" i="175" s="1"/>
  <c r="AH148" i="175"/>
  <c r="AI148" i="175" s="1"/>
  <c r="AH131" i="175"/>
  <c r="AI131" i="175" s="1"/>
  <c r="AH143" i="175"/>
  <c r="AI143" i="175" s="1"/>
  <c r="AH155" i="175"/>
  <c r="AI155" i="175" s="1"/>
  <c r="AH84" i="175"/>
  <c r="AI84" i="175" s="1"/>
  <c r="AH138" i="175"/>
  <c r="AI138" i="175" s="1"/>
  <c r="AH150" i="175"/>
  <c r="AI150" i="175" s="1"/>
  <c r="AH133" i="175"/>
  <c r="AI133" i="175" s="1"/>
  <c r="AH145" i="175"/>
  <c r="AI145" i="175" s="1"/>
  <c r="AH140" i="175"/>
  <c r="AI140" i="175" s="1"/>
  <c r="AH152" i="175"/>
  <c r="AI152" i="175" s="1"/>
  <c r="AH142" i="175"/>
  <c r="AI142" i="175" s="1"/>
  <c r="AH154" i="175"/>
  <c r="AI154" i="175" s="1"/>
  <c r="AH130" i="175"/>
  <c r="AI130" i="175" s="1"/>
  <c r="AH132" i="175"/>
  <c r="AI132" i="175" s="1"/>
  <c r="AH144" i="175"/>
  <c r="AI144" i="175" s="1"/>
  <c r="AH156" i="175"/>
  <c r="AI156" i="175" s="1"/>
  <c r="AH122" i="175"/>
  <c r="AI122" i="175" s="1"/>
  <c r="AH139" i="175"/>
  <c r="AI139" i="175" s="1"/>
  <c r="AH151" i="175"/>
  <c r="AI151" i="175" s="1"/>
  <c r="AH3" i="175"/>
  <c r="AI3" i="175" s="1"/>
  <c r="AH137" i="175"/>
  <c r="AI137" i="175" s="1"/>
  <c r="AH157" i="175"/>
  <c r="AI157" i="175" s="1"/>
  <c r="AH135" i="175"/>
  <c r="AI135" i="175" s="1"/>
  <c r="AH149" i="175"/>
  <c r="AI149" i="175" s="1"/>
  <c r="AH147" i="175"/>
  <c r="AI147" i="175" s="1"/>
  <c r="AH110" i="175"/>
  <c r="AI110" i="175" s="1"/>
  <c r="AH221" i="175"/>
  <c r="AH209" i="175"/>
  <c r="AH197" i="175"/>
  <c r="AH214" i="175"/>
  <c r="AH219" i="175"/>
  <c r="AH207" i="175"/>
  <c r="AH212" i="175"/>
  <c r="AH200" i="175"/>
  <c r="AH217" i="175"/>
  <c r="AH210" i="175"/>
  <c r="AH215" i="175"/>
  <c r="AH220" i="175"/>
  <c r="AH208" i="175"/>
  <c r="AH196" i="175"/>
  <c r="AH213" i="175"/>
  <c r="AH201" i="175"/>
  <c r="AH218" i="175"/>
  <c r="AH206" i="175"/>
  <c r="AH211" i="175"/>
  <c r="AH199" i="175"/>
  <c r="AH216" i="175"/>
  <c r="AH204" i="175"/>
  <c r="AH180" i="175"/>
  <c r="AH168" i="175"/>
  <c r="AH195" i="175"/>
  <c r="AH189" i="175"/>
  <c r="AH188" i="175"/>
  <c r="AH176" i="175"/>
  <c r="AH181" i="175"/>
  <c r="AH175" i="175"/>
  <c r="AH202" i="175"/>
  <c r="AH179" i="175"/>
  <c r="AH198" i="175"/>
  <c r="AH187" i="175"/>
  <c r="AH182" i="175"/>
  <c r="AH191" i="175"/>
  <c r="AH178" i="175"/>
  <c r="AH173" i="175"/>
  <c r="AH167" i="175"/>
  <c r="AH160" i="175"/>
  <c r="AH205" i="175"/>
  <c r="AH183" i="175"/>
  <c r="AH194" i="175"/>
  <c r="AH174" i="175"/>
  <c r="AH169" i="175"/>
  <c r="AH158" i="175"/>
  <c r="AH184" i="175"/>
  <c r="AH190" i="175"/>
  <c r="AH193" i="175"/>
  <c r="AH185" i="175"/>
  <c r="AH170" i="175"/>
  <c r="AH166" i="175"/>
  <c r="AH161" i="175"/>
  <c r="AH163" i="175"/>
  <c r="AH192" i="175"/>
  <c r="AH171" i="175"/>
  <c r="AH159" i="175"/>
  <c r="AH186" i="175"/>
  <c r="AH203" i="175"/>
  <c r="AH172" i="175"/>
  <c r="AH165" i="175"/>
  <c r="AH177" i="175"/>
  <c r="AH162" i="175"/>
  <c r="AH164" i="175"/>
  <c r="AI51" i="175"/>
  <c r="AI46" i="175"/>
  <c r="AI21" i="175"/>
  <c r="AI22" i="175"/>
  <c r="AI5" i="175"/>
  <c r="AI10" i="175"/>
  <c r="U4" i="173"/>
  <c r="U6" i="173"/>
  <c r="U8" i="173"/>
  <c r="U10" i="173"/>
  <c r="U12" i="173"/>
  <c r="U14" i="173"/>
  <c r="U16" i="173"/>
  <c r="U18" i="173"/>
  <c r="U20" i="173"/>
  <c r="U22" i="173"/>
  <c r="U24" i="173"/>
  <c r="U26" i="173"/>
  <c r="U28" i="173"/>
  <c r="U30" i="173"/>
  <c r="U32" i="173"/>
  <c r="U5" i="173"/>
  <c r="U7" i="173"/>
  <c r="U9" i="173"/>
  <c r="U11" i="173"/>
  <c r="U13" i="173"/>
  <c r="U15" i="173"/>
  <c r="U17" i="173"/>
  <c r="U19" i="173"/>
  <c r="U21" i="173"/>
  <c r="U23" i="173"/>
  <c r="U25" i="173"/>
  <c r="U27" i="173"/>
  <c r="U29" i="173"/>
  <c r="U31" i="173"/>
  <c r="U34" i="173"/>
  <c r="U36" i="173"/>
  <c r="U38" i="173"/>
  <c r="U40" i="173"/>
  <c r="U42" i="173"/>
  <c r="U44" i="173"/>
  <c r="U46" i="173"/>
  <c r="U48" i="173"/>
  <c r="U50" i="173"/>
  <c r="U52" i="173"/>
  <c r="U54" i="173"/>
  <c r="U33" i="173"/>
  <c r="U35" i="173"/>
  <c r="U37" i="173"/>
  <c r="U39" i="173"/>
  <c r="U41" i="173"/>
  <c r="U43" i="173"/>
  <c r="U45" i="173"/>
  <c r="U47" i="173"/>
  <c r="U49" i="173"/>
  <c r="U51" i="173"/>
  <c r="U53" i="173"/>
  <c r="U56" i="173"/>
  <c r="U58" i="173"/>
  <c r="U60" i="173"/>
  <c r="U62" i="173"/>
  <c r="U64" i="173"/>
  <c r="U66" i="173"/>
  <c r="U68" i="173"/>
  <c r="U70" i="173"/>
  <c r="U72" i="173"/>
  <c r="U74" i="173"/>
  <c r="U75" i="173"/>
  <c r="U77" i="173"/>
  <c r="U79" i="173"/>
  <c r="U81" i="173"/>
  <c r="U83" i="173"/>
  <c r="U85" i="173"/>
  <c r="U87" i="173"/>
  <c r="U89" i="173"/>
  <c r="U91" i="173"/>
  <c r="U93" i="173"/>
  <c r="U95" i="173"/>
  <c r="U97" i="173"/>
  <c r="U99" i="173"/>
  <c r="U55" i="173"/>
  <c r="U63" i="173"/>
  <c r="U71" i="173"/>
  <c r="U57" i="173"/>
  <c r="U65" i="173"/>
  <c r="U73" i="173"/>
  <c r="U76" i="173"/>
  <c r="U78" i="173"/>
  <c r="U80" i="173"/>
  <c r="U82" i="173"/>
  <c r="U84" i="173"/>
  <c r="U86" i="173"/>
  <c r="U88" i="173"/>
  <c r="U90" i="173"/>
  <c r="U92" i="173"/>
  <c r="U94" i="173"/>
  <c r="U96" i="173"/>
  <c r="U98" i="173"/>
  <c r="U59" i="173"/>
  <c r="U67" i="173"/>
  <c r="U61" i="173"/>
  <c r="U100" i="173"/>
  <c r="U102" i="173"/>
  <c r="U104" i="173"/>
  <c r="U106" i="173"/>
  <c r="U108" i="173"/>
  <c r="U110" i="173"/>
  <c r="U112" i="173"/>
  <c r="U114" i="173"/>
  <c r="U116" i="173"/>
  <c r="U118" i="173"/>
  <c r="U120" i="173"/>
  <c r="U122" i="173"/>
  <c r="U124" i="173"/>
  <c r="U69" i="173"/>
  <c r="U101" i="173"/>
  <c r="U103" i="173"/>
  <c r="U105" i="173"/>
  <c r="U107" i="173"/>
  <c r="U109" i="173"/>
  <c r="U111" i="173"/>
  <c r="U113" i="173"/>
  <c r="U115" i="173"/>
  <c r="U117" i="173"/>
  <c r="U119" i="173"/>
  <c r="U121" i="173"/>
  <c r="U128" i="173"/>
  <c r="U130" i="173"/>
  <c r="U132" i="173"/>
  <c r="U134" i="173"/>
  <c r="U136" i="173"/>
  <c r="U138" i="173"/>
  <c r="U140" i="173"/>
  <c r="U142" i="173"/>
  <c r="U144" i="173"/>
  <c r="U146" i="173"/>
  <c r="U148" i="173"/>
  <c r="U150" i="173"/>
  <c r="U152" i="173"/>
  <c r="U123" i="173"/>
  <c r="U126" i="173"/>
  <c r="U125" i="173"/>
  <c r="U129" i="173"/>
  <c r="U131" i="173"/>
  <c r="U133" i="173"/>
  <c r="U135" i="173"/>
  <c r="U137" i="173"/>
  <c r="U139" i="173"/>
  <c r="U141" i="173"/>
  <c r="U143" i="173"/>
  <c r="U145" i="173"/>
  <c r="U147" i="173"/>
  <c r="U149" i="173"/>
  <c r="U151" i="173"/>
  <c r="U127" i="173"/>
  <c r="U3" i="173"/>
  <c r="U216" i="173"/>
  <c r="U212" i="173"/>
  <c r="U208" i="173"/>
  <c r="U214" i="173"/>
  <c r="U209" i="173"/>
  <c r="U205" i="173"/>
  <c r="U201" i="173"/>
  <c r="U197" i="173"/>
  <c r="U218" i="173"/>
  <c r="U215" i="173"/>
  <c r="U204" i="173"/>
  <c r="U213" i="173"/>
  <c r="U210" i="173"/>
  <c r="U203" i="173"/>
  <c r="U217" i="173"/>
  <c r="U206" i="173"/>
  <c r="U199" i="173"/>
  <c r="U194" i="173"/>
  <c r="U192" i="173"/>
  <c r="U188" i="173"/>
  <c r="U211" i="173"/>
  <c r="U207" i="173"/>
  <c r="U200" i="173"/>
  <c r="U195" i="173"/>
  <c r="U198" i="173"/>
  <c r="U189" i="173"/>
  <c r="U190" i="173"/>
  <c r="U202" i="173"/>
  <c r="U191" i="173"/>
  <c r="U186" i="173"/>
  <c r="U184" i="173"/>
  <c r="U180" i="173"/>
  <c r="U176" i="173"/>
  <c r="U172" i="173"/>
  <c r="U168" i="173"/>
  <c r="U185" i="173"/>
  <c r="U181" i="173"/>
  <c r="U177" i="173"/>
  <c r="U173" i="173"/>
  <c r="U169" i="173"/>
  <c r="U193" i="173"/>
  <c r="U182" i="173"/>
  <c r="U178" i="173"/>
  <c r="U174" i="173"/>
  <c r="U170" i="173"/>
  <c r="U187" i="173"/>
  <c r="U183" i="173"/>
  <c r="U166" i="173"/>
  <c r="U162" i="173"/>
  <c r="U158" i="173"/>
  <c r="U171" i="173"/>
  <c r="U163" i="173"/>
  <c r="U159" i="173"/>
  <c r="U155" i="173"/>
  <c r="U154" i="173"/>
  <c r="U153" i="173"/>
  <c r="U175" i="173"/>
  <c r="U164" i="173"/>
  <c r="U160" i="173"/>
  <c r="U156" i="173"/>
  <c r="U196" i="173"/>
  <c r="U179" i="173"/>
  <c r="U167" i="173"/>
  <c r="U165" i="173"/>
  <c r="U161" i="173"/>
  <c r="U157" i="173"/>
  <c r="V1" i="173"/>
  <c r="B66" i="170"/>
  <c r="T23" i="170"/>
  <c r="T24" i="170"/>
  <c r="T25" i="170"/>
  <c r="T26" i="170"/>
  <c r="V4" i="173" l="1"/>
  <c r="V6" i="173"/>
  <c r="V8" i="173"/>
  <c r="V10" i="173"/>
  <c r="V12" i="173"/>
  <c r="V14" i="173"/>
  <c r="V16" i="173"/>
  <c r="V18" i="173"/>
  <c r="V20" i="173"/>
  <c r="V22" i="173"/>
  <c r="V24" i="173"/>
  <c r="V26" i="173"/>
  <c r="V28" i="173"/>
  <c r="V30" i="173"/>
  <c r="V34" i="173"/>
  <c r="V36" i="173"/>
  <c r="V38" i="173"/>
  <c r="V40" i="173"/>
  <c r="V42" i="173"/>
  <c r="V44" i="173"/>
  <c r="V46" i="173"/>
  <c r="V48" i="173"/>
  <c r="V50" i="173"/>
  <c r="V52" i="173"/>
  <c r="V54" i="173"/>
  <c r="V32" i="173"/>
  <c r="V9" i="173"/>
  <c r="V15" i="173"/>
  <c r="V21" i="173"/>
  <c r="V25" i="173"/>
  <c r="V35" i="173"/>
  <c r="V7" i="173"/>
  <c r="V37" i="173"/>
  <c r="V13" i="173"/>
  <c r="V39" i="173"/>
  <c r="V19" i="173"/>
  <c r="V41" i="173"/>
  <c r="V43" i="173"/>
  <c r="V45" i="173"/>
  <c r="V56" i="173"/>
  <c r="V58" i="173"/>
  <c r="V60" i="173"/>
  <c r="V62" i="173"/>
  <c r="V64" i="173"/>
  <c r="V66" i="173"/>
  <c r="V68" i="173"/>
  <c r="V70" i="173"/>
  <c r="V72" i="173"/>
  <c r="V74" i="173"/>
  <c r="V5" i="173"/>
  <c r="V31" i="173"/>
  <c r="V47" i="173"/>
  <c r="V17" i="173"/>
  <c r="V27" i="173"/>
  <c r="V51" i="173"/>
  <c r="V53" i="173"/>
  <c r="V75" i="173"/>
  <c r="V77" i="173"/>
  <c r="V79" i="173"/>
  <c r="V81" i="173"/>
  <c r="V83" i="173"/>
  <c r="V85" i="173"/>
  <c r="V87" i="173"/>
  <c r="V89" i="173"/>
  <c r="V91" i="173"/>
  <c r="V93" i="173"/>
  <c r="V95" i="173"/>
  <c r="V97" i="173"/>
  <c r="V99" i="173"/>
  <c r="V33" i="173"/>
  <c r="V55" i="173"/>
  <c r="V63" i="173"/>
  <c r="V71" i="173"/>
  <c r="V49" i="173"/>
  <c r="V57" i="173"/>
  <c r="V65" i="173"/>
  <c r="V73" i="173"/>
  <c r="V29" i="173"/>
  <c r="V76" i="173"/>
  <c r="V78" i="173"/>
  <c r="V80" i="173"/>
  <c r="V82" i="173"/>
  <c r="V84" i="173"/>
  <c r="V86" i="173"/>
  <c r="V88" i="173"/>
  <c r="V90" i="173"/>
  <c r="V92" i="173"/>
  <c r="V94" i="173"/>
  <c r="V96" i="173"/>
  <c r="V98" i="173"/>
  <c r="V59" i="173"/>
  <c r="V67" i="173"/>
  <c r="V11" i="173"/>
  <c r="V61" i="173"/>
  <c r="V100" i="173"/>
  <c r="V102" i="173"/>
  <c r="V104" i="173"/>
  <c r="V106" i="173"/>
  <c r="V108" i="173"/>
  <c r="V110" i="173"/>
  <c r="V112" i="173"/>
  <c r="V114" i="173"/>
  <c r="V116" i="173"/>
  <c r="V118" i="173"/>
  <c r="V120" i="173"/>
  <c r="V122" i="173"/>
  <c r="V124" i="173"/>
  <c r="V23" i="173"/>
  <c r="V69" i="173"/>
  <c r="V101" i="173"/>
  <c r="V103" i="173"/>
  <c r="V105" i="173"/>
  <c r="V107" i="173"/>
  <c r="V109" i="173"/>
  <c r="V111" i="173"/>
  <c r="V113" i="173"/>
  <c r="V115" i="173"/>
  <c r="V117" i="173"/>
  <c r="V119" i="173"/>
  <c r="V121" i="173"/>
  <c r="V123" i="173"/>
  <c r="V125" i="173"/>
  <c r="V128" i="173"/>
  <c r="V130" i="173"/>
  <c r="V132" i="173"/>
  <c r="V134" i="173"/>
  <c r="V136" i="173"/>
  <c r="V138" i="173"/>
  <c r="V140" i="173"/>
  <c r="V142" i="173"/>
  <c r="V144" i="173"/>
  <c r="V146" i="173"/>
  <c r="V148" i="173"/>
  <c r="V150" i="173"/>
  <c r="V152" i="173"/>
  <c r="V126" i="173"/>
  <c r="V3" i="173"/>
  <c r="V127" i="173"/>
  <c r="V131" i="173"/>
  <c r="V139" i="173"/>
  <c r="V147" i="173"/>
  <c r="V133" i="173"/>
  <c r="V141" i="173"/>
  <c r="V149" i="173"/>
  <c r="V135" i="173"/>
  <c r="V143" i="173"/>
  <c r="V151" i="173"/>
  <c r="V129" i="173"/>
  <c r="V137" i="173"/>
  <c r="V145" i="173"/>
  <c r="V217" i="173"/>
  <c r="V213" i="173"/>
  <c r="V209" i="173"/>
  <c r="V215" i="173"/>
  <c r="V210" i="173"/>
  <c r="V206" i="173"/>
  <c r="V202" i="173"/>
  <c r="V198" i="173"/>
  <c r="V194" i="173"/>
  <c r="V212" i="173"/>
  <c r="V205" i="173"/>
  <c r="V218" i="173"/>
  <c r="V204" i="173"/>
  <c r="V211" i="173"/>
  <c r="V207" i="173"/>
  <c r="V200" i="173"/>
  <c r="V195" i="173"/>
  <c r="V193" i="173"/>
  <c r="V189" i="173"/>
  <c r="V216" i="173"/>
  <c r="V201" i="173"/>
  <c r="V196" i="173"/>
  <c r="V214" i="173"/>
  <c r="V208" i="173"/>
  <c r="V203" i="173"/>
  <c r="V199" i="173"/>
  <c r="V190" i="173"/>
  <c r="V191" i="173"/>
  <c r="V192" i="173"/>
  <c r="V187" i="173"/>
  <c r="V197" i="173"/>
  <c r="V185" i="173"/>
  <c r="V181" i="173"/>
  <c r="V177" i="173"/>
  <c r="V173" i="173"/>
  <c r="V169" i="173"/>
  <c r="V182" i="173"/>
  <c r="V178" i="173"/>
  <c r="V174" i="173"/>
  <c r="V170" i="173"/>
  <c r="V186" i="173"/>
  <c r="V183" i="173"/>
  <c r="V179" i="173"/>
  <c r="V175" i="173"/>
  <c r="V171" i="173"/>
  <c r="V184" i="173"/>
  <c r="V163" i="173"/>
  <c r="V159" i="173"/>
  <c r="V155" i="173"/>
  <c r="V154" i="173"/>
  <c r="V153" i="173"/>
  <c r="V188" i="173"/>
  <c r="V172" i="173"/>
  <c r="V164" i="173"/>
  <c r="V160" i="173"/>
  <c r="V156" i="173"/>
  <c r="V176" i="173"/>
  <c r="V167" i="173"/>
  <c r="V165" i="173"/>
  <c r="V161" i="173"/>
  <c r="V157" i="173"/>
  <c r="V180" i="173"/>
  <c r="V168" i="173"/>
  <c r="V166" i="173"/>
  <c r="V162" i="173"/>
  <c r="V158" i="173"/>
  <c r="W1" i="173"/>
  <c r="T22" i="170"/>
  <c r="T28" i="170"/>
  <c r="T20" i="170"/>
  <c r="W4" i="173" l="1"/>
  <c r="W6" i="173"/>
  <c r="W8" i="173"/>
  <c r="W10" i="173"/>
  <c r="W12" i="173"/>
  <c r="W14" i="173"/>
  <c r="W16" i="173"/>
  <c r="W18" i="173"/>
  <c r="W20" i="173"/>
  <c r="W22" i="173"/>
  <c r="W24" i="173"/>
  <c r="W26" i="173"/>
  <c r="W28" i="173"/>
  <c r="W30" i="173"/>
  <c r="W5" i="173"/>
  <c r="W7" i="173"/>
  <c r="W9" i="173"/>
  <c r="W11" i="173"/>
  <c r="W13" i="173"/>
  <c r="W15" i="173"/>
  <c r="W17" i="173"/>
  <c r="W19" i="173"/>
  <c r="W31" i="173"/>
  <c r="W34" i="173"/>
  <c r="W36" i="173"/>
  <c r="W38" i="173"/>
  <c r="W40" i="173"/>
  <c r="W42" i="173"/>
  <c r="W44" i="173"/>
  <c r="W46" i="173"/>
  <c r="W48" i="173"/>
  <c r="W50" i="173"/>
  <c r="W52" i="173"/>
  <c r="W54" i="173"/>
  <c r="W32" i="173"/>
  <c r="W23" i="173"/>
  <c r="W33" i="173"/>
  <c r="W35" i="173"/>
  <c r="W37" i="173"/>
  <c r="W39" i="173"/>
  <c r="W41" i="173"/>
  <c r="W43" i="173"/>
  <c r="W45" i="173"/>
  <c r="W47" i="173"/>
  <c r="W49" i="173"/>
  <c r="W51" i="173"/>
  <c r="W53" i="173"/>
  <c r="W55" i="173"/>
  <c r="W57" i="173"/>
  <c r="W59" i="173"/>
  <c r="W61" i="173"/>
  <c r="W63" i="173"/>
  <c r="W65" i="173"/>
  <c r="W67" i="173"/>
  <c r="W69" i="173"/>
  <c r="W71" i="173"/>
  <c r="W73" i="173"/>
  <c r="W21" i="173"/>
  <c r="W56" i="173"/>
  <c r="W58" i="173"/>
  <c r="W60" i="173"/>
  <c r="W62" i="173"/>
  <c r="W64" i="173"/>
  <c r="W66" i="173"/>
  <c r="W68" i="173"/>
  <c r="W70" i="173"/>
  <c r="W72" i="173"/>
  <c r="W74" i="173"/>
  <c r="W29" i="173"/>
  <c r="W27" i="173"/>
  <c r="W25" i="173"/>
  <c r="W75" i="173"/>
  <c r="W77" i="173"/>
  <c r="W79" i="173"/>
  <c r="W81" i="173"/>
  <c r="W83" i="173"/>
  <c r="W85" i="173"/>
  <c r="W87" i="173"/>
  <c r="W89" i="173"/>
  <c r="W91" i="173"/>
  <c r="W93" i="173"/>
  <c r="W95" i="173"/>
  <c r="W97" i="173"/>
  <c r="W76" i="173"/>
  <c r="W78" i="173"/>
  <c r="W80" i="173"/>
  <c r="W82" i="173"/>
  <c r="W84" i="173"/>
  <c r="W86" i="173"/>
  <c r="W88" i="173"/>
  <c r="W90" i="173"/>
  <c r="W92" i="173"/>
  <c r="W94" i="173"/>
  <c r="W96" i="173"/>
  <c r="W98" i="173"/>
  <c r="W100" i="173"/>
  <c r="W102" i="173"/>
  <c r="W104" i="173"/>
  <c r="W106" i="173"/>
  <c r="W108" i="173"/>
  <c r="W110" i="173"/>
  <c r="W112" i="173"/>
  <c r="W114" i="173"/>
  <c r="W116" i="173"/>
  <c r="W118" i="173"/>
  <c r="W120" i="173"/>
  <c r="W122" i="173"/>
  <c r="W124" i="173"/>
  <c r="W101" i="173"/>
  <c r="W103" i="173"/>
  <c r="W105" i="173"/>
  <c r="W107" i="173"/>
  <c r="W109" i="173"/>
  <c r="W111" i="173"/>
  <c r="W113" i="173"/>
  <c r="W115" i="173"/>
  <c r="W117" i="173"/>
  <c r="W119" i="173"/>
  <c r="W121" i="173"/>
  <c r="W123" i="173"/>
  <c r="W125" i="173"/>
  <c r="W128" i="173"/>
  <c r="W130" i="173"/>
  <c r="W132" i="173"/>
  <c r="W134" i="173"/>
  <c r="W136" i="173"/>
  <c r="W138" i="173"/>
  <c r="W140" i="173"/>
  <c r="W142" i="173"/>
  <c r="W144" i="173"/>
  <c r="W146" i="173"/>
  <c r="W148" i="173"/>
  <c r="W150" i="173"/>
  <c r="W152" i="173"/>
  <c r="W99" i="173"/>
  <c r="W126" i="173"/>
  <c r="W129" i="173"/>
  <c r="W131" i="173"/>
  <c r="W133" i="173"/>
  <c r="W135" i="173"/>
  <c r="W137" i="173"/>
  <c r="W139" i="173"/>
  <c r="W141" i="173"/>
  <c r="W143" i="173"/>
  <c r="W145" i="173"/>
  <c r="W147" i="173"/>
  <c r="W149" i="173"/>
  <c r="W151" i="173"/>
  <c r="W3" i="173"/>
  <c r="W127" i="173"/>
  <c r="W218" i="173"/>
  <c r="W214" i="173"/>
  <c r="W210" i="173"/>
  <c r="W216" i="173"/>
  <c r="W211" i="173"/>
  <c r="W207" i="173"/>
  <c r="W203" i="173"/>
  <c r="W199" i="173"/>
  <c r="W195" i="173"/>
  <c r="W217" i="173"/>
  <c r="W209" i="173"/>
  <c r="W206" i="173"/>
  <c r="W215" i="173"/>
  <c r="W212" i="173"/>
  <c r="W205" i="173"/>
  <c r="W201" i="173"/>
  <c r="W196" i="173"/>
  <c r="W190" i="173"/>
  <c r="W186" i="173"/>
  <c r="W197" i="173"/>
  <c r="W200" i="173"/>
  <c r="W191" i="173"/>
  <c r="W202" i="173"/>
  <c r="W192" i="173"/>
  <c r="W204" i="173"/>
  <c r="W194" i="173"/>
  <c r="W193" i="173"/>
  <c r="W188" i="173"/>
  <c r="W182" i="173"/>
  <c r="W178" i="173"/>
  <c r="W174" i="173"/>
  <c r="W170" i="173"/>
  <c r="W198" i="173"/>
  <c r="W189" i="173"/>
  <c r="W183" i="173"/>
  <c r="W179" i="173"/>
  <c r="W175" i="173"/>
  <c r="W171" i="173"/>
  <c r="W167" i="173"/>
  <c r="W213" i="173"/>
  <c r="W208" i="173"/>
  <c r="W187" i="173"/>
  <c r="W184" i="173"/>
  <c r="W180" i="173"/>
  <c r="W176" i="173"/>
  <c r="W172" i="173"/>
  <c r="W185" i="173"/>
  <c r="W169" i="173"/>
  <c r="W164" i="173"/>
  <c r="W160" i="173"/>
  <c r="W156" i="173"/>
  <c r="W173" i="173"/>
  <c r="W165" i="173"/>
  <c r="W161" i="173"/>
  <c r="W157" i="173"/>
  <c r="W177" i="173"/>
  <c r="W168" i="173"/>
  <c r="W166" i="173"/>
  <c r="W162" i="173"/>
  <c r="W158" i="173"/>
  <c r="W181" i="173"/>
  <c r="W163" i="173"/>
  <c r="W159" i="173"/>
  <c r="W155" i="173"/>
  <c r="W154" i="173"/>
  <c r="W153" i="173"/>
  <c r="X1" i="173"/>
  <c r="T18" i="170"/>
  <c r="T9" i="170"/>
  <c r="T10" i="170"/>
  <c r="T19" i="170"/>
  <c r="X4" i="173" l="1"/>
  <c r="X6" i="173"/>
  <c r="X8" i="173"/>
  <c r="X10" i="173"/>
  <c r="X12" i="173"/>
  <c r="X14" i="173"/>
  <c r="X16" i="173"/>
  <c r="X18" i="173"/>
  <c r="X20" i="173"/>
  <c r="X22" i="173"/>
  <c r="X24" i="173"/>
  <c r="X26" i="173"/>
  <c r="X28" i="173"/>
  <c r="X30" i="173"/>
  <c r="X5" i="173"/>
  <c r="X11" i="173"/>
  <c r="X17" i="173"/>
  <c r="X29" i="173"/>
  <c r="X31" i="173"/>
  <c r="X34" i="173"/>
  <c r="X36" i="173"/>
  <c r="X38" i="173"/>
  <c r="X40" i="173"/>
  <c r="X42" i="173"/>
  <c r="X44" i="173"/>
  <c r="X46" i="173"/>
  <c r="X48" i="173"/>
  <c r="X50" i="173"/>
  <c r="X52" i="173"/>
  <c r="X54" i="173"/>
  <c r="X9" i="173"/>
  <c r="X15" i="173"/>
  <c r="X32" i="173"/>
  <c r="X7" i="173"/>
  <c r="X13" i="173"/>
  <c r="X19" i="173"/>
  <c r="X21" i="173"/>
  <c r="X23" i="173"/>
  <c r="X33" i="173"/>
  <c r="X35" i="173"/>
  <c r="X55" i="173"/>
  <c r="X57" i="173"/>
  <c r="X59" i="173"/>
  <c r="X61" i="173"/>
  <c r="X63" i="173"/>
  <c r="X65" i="173"/>
  <c r="X67" i="173"/>
  <c r="X69" i="173"/>
  <c r="X71" i="173"/>
  <c r="X73" i="173"/>
  <c r="X37" i="173"/>
  <c r="X39" i="173"/>
  <c r="X41" i="173"/>
  <c r="X43" i="173"/>
  <c r="X45" i="173"/>
  <c r="X49" i="173"/>
  <c r="X51" i="173"/>
  <c r="X58" i="173"/>
  <c r="X66" i="173"/>
  <c r="X74" i="173"/>
  <c r="X25" i="173"/>
  <c r="X60" i="173"/>
  <c r="X68" i="173"/>
  <c r="X75" i="173"/>
  <c r="X77" i="173"/>
  <c r="X79" i="173"/>
  <c r="X81" i="173"/>
  <c r="X83" i="173"/>
  <c r="X85" i="173"/>
  <c r="X87" i="173"/>
  <c r="X89" i="173"/>
  <c r="X91" i="173"/>
  <c r="X93" i="173"/>
  <c r="X95" i="173"/>
  <c r="X97" i="173"/>
  <c r="X99" i="173"/>
  <c r="X27" i="173"/>
  <c r="X53" i="173"/>
  <c r="X62" i="173"/>
  <c r="X70" i="173"/>
  <c r="X82" i="173"/>
  <c r="X90" i="173"/>
  <c r="X98" i="173"/>
  <c r="X56" i="173"/>
  <c r="X76" i="173"/>
  <c r="X84" i="173"/>
  <c r="X92" i="173"/>
  <c r="X100" i="173"/>
  <c r="X102" i="173"/>
  <c r="X104" i="173"/>
  <c r="X106" i="173"/>
  <c r="X108" i="173"/>
  <c r="X110" i="173"/>
  <c r="X112" i="173"/>
  <c r="X114" i="173"/>
  <c r="X116" i="173"/>
  <c r="X118" i="173"/>
  <c r="X120" i="173"/>
  <c r="X122" i="173"/>
  <c r="X124" i="173"/>
  <c r="X47" i="173"/>
  <c r="X64" i="173"/>
  <c r="X78" i="173"/>
  <c r="X86" i="173"/>
  <c r="X94" i="173"/>
  <c r="X72" i="173"/>
  <c r="X80" i="173"/>
  <c r="X88" i="173"/>
  <c r="X96" i="173"/>
  <c r="X101" i="173"/>
  <c r="X113" i="173"/>
  <c r="X111" i="173"/>
  <c r="X128" i="173"/>
  <c r="X130" i="173"/>
  <c r="X132" i="173"/>
  <c r="X134" i="173"/>
  <c r="X136" i="173"/>
  <c r="X138" i="173"/>
  <c r="X140" i="173"/>
  <c r="X142" i="173"/>
  <c r="X144" i="173"/>
  <c r="X146" i="173"/>
  <c r="X148" i="173"/>
  <c r="X150" i="173"/>
  <c r="X152" i="173"/>
  <c r="X109" i="173"/>
  <c r="X121" i="173"/>
  <c r="X123" i="173"/>
  <c r="X107" i="173"/>
  <c r="X119" i="173"/>
  <c r="X105" i="173"/>
  <c r="X117" i="173"/>
  <c r="X129" i="173"/>
  <c r="X131" i="173"/>
  <c r="X133" i="173"/>
  <c r="X135" i="173"/>
  <c r="X137" i="173"/>
  <c r="X139" i="173"/>
  <c r="X141" i="173"/>
  <c r="X143" i="173"/>
  <c r="X145" i="173"/>
  <c r="X147" i="173"/>
  <c r="X149" i="173"/>
  <c r="X151" i="173"/>
  <c r="X126" i="173"/>
  <c r="X103" i="173"/>
  <c r="X3" i="173"/>
  <c r="X115" i="173"/>
  <c r="X125" i="173"/>
  <c r="X127" i="173"/>
  <c r="X215" i="173"/>
  <c r="X211" i="173"/>
  <c r="X217" i="173"/>
  <c r="X212" i="173"/>
  <c r="X204" i="173"/>
  <c r="X200" i="173"/>
  <c r="X196" i="173"/>
  <c r="X214" i="173"/>
  <c r="X208" i="173"/>
  <c r="X207" i="173"/>
  <c r="X202" i="173"/>
  <c r="X209" i="173"/>
  <c r="X206" i="173"/>
  <c r="X216" i="173"/>
  <c r="X197" i="173"/>
  <c r="X191" i="173"/>
  <c r="X187" i="173"/>
  <c r="X210" i="173"/>
  <c r="X198" i="173"/>
  <c r="X213" i="173"/>
  <c r="X218" i="173"/>
  <c r="X205" i="173"/>
  <c r="X201" i="173"/>
  <c r="X192" i="173"/>
  <c r="X186" i="173"/>
  <c r="X194" i="173"/>
  <c r="X193" i="173"/>
  <c r="X188" i="173"/>
  <c r="X195" i="173"/>
  <c r="X189" i="173"/>
  <c r="X183" i="173"/>
  <c r="X179" i="173"/>
  <c r="X175" i="173"/>
  <c r="X171" i="173"/>
  <c r="X167" i="173"/>
  <c r="X203" i="173"/>
  <c r="X184" i="173"/>
  <c r="X180" i="173"/>
  <c r="X176" i="173"/>
  <c r="X172" i="173"/>
  <c r="X168" i="173"/>
  <c r="X199" i="173"/>
  <c r="X185" i="173"/>
  <c r="X181" i="173"/>
  <c r="X177" i="173"/>
  <c r="X173" i="173"/>
  <c r="X169" i="173"/>
  <c r="X170" i="173"/>
  <c r="X165" i="173"/>
  <c r="X161" i="173"/>
  <c r="X157" i="173"/>
  <c r="X174" i="173"/>
  <c r="X166" i="173"/>
  <c r="X162" i="173"/>
  <c r="X158" i="173"/>
  <c r="X190" i="173"/>
  <c r="X178" i="173"/>
  <c r="X163" i="173"/>
  <c r="X159" i="173"/>
  <c r="X155" i="173"/>
  <c r="X154" i="173"/>
  <c r="X153" i="173"/>
  <c r="X182" i="173"/>
  <c r="X164" i="173"/>
  <c r="X160" i="173"/>
  <c r="X156" i="173"/>
  <c r="Y1" i="173"/>
  <c r="B64" i="168"/>
  <c r="T21" i="170"/>
  <c r="T17" i="170"/>
  <c r="T16" i="170"/>
  <c r="T15" i="170"/>
  <c r="T14" i="170"/>
  <c r="T13" i="170"/>
  <c r="T12" i="170"/>
  <c r="T11" i="170"/>
  <c r="T8" i="170"/>
  <c r="T7" i="170"/>
  <c r="Y4" i="173" l="1"/>
  <c r="Y6" i="173"/>
  <c r="Y8" i="173"/>
  <c r="Y10" i="173"/>
  <c r="Y12" i="173"/>
  <c r="Y14" i="173"/>
  <c r="Y16" i="173"/>
  <c r="Y18" i="173"/>
  <c r="Y20" i="173"/>
  <c r="Y22" i="173"/>
  <c r="Y24" i="173"/>
  <c r="Y26" i="173"/>
  <c r="Y28" i="173"/>
  <c r="Y30" i="173"/>
  <c r="Y32" i="173"/>
  <c r="Y27" i="173"/>
  <c r="Y5" i="173"/>
  <c r="Y11" i="173"/>
  <c r="Y17" i="173"/>
  <c r="Y29" i="173"/>
  <c r="Y31" i="173"/>
  <c r="Y34" i="173"/>
  <c r="Y36" i="173"/>
  <c r="Y38" i="173"/>
  <c r="Y40" i="173"/>
  <c r="Y42" i="173"/>
  <c r="Y44" i="173"/>
  <c r="Y46" i="173"/>
  <c r="Y48" i="173"/>
  <c r="Y50" i="173"/>
  <c r="Y52" i="173"/>
  <c r="Y54" i="173"/>
  <c r="Y25" i="173"/>
  <c r="Y23" i="173"/>
  <c r="Y33" i="173"/>
  <c r="Y7" i="173"/>
  <c r="Y21" i="173"/>
  <c r="Y35" i="173"/>
  <c r="Y55" i="173"/>
  <c r="Y57" i="173"/>
  <c r="Y59" i="173"/>
  <c r="Y61" i="173"/>
  <c r="Y63" i="173"/>
  <c r="Y65" i="173"/>
  <c r="Y67" i="173"/>
  <c r="Y69" i="173"/>
  <c r="Y71" i="173"/>
  <c r="Y73" i="173"/>
  <c r="Y13" i="173"/>
  <c r="Y37" i="173"/>
  <c r="Y19" i="173"/>
  <c r="Y39" i="173"/>
  <c r="Y41" i="173"/>
  <c r="Y43" i="173"/>
  <c r="Y47" i="173"/>
  <c r="Y56" i="173"/>
  <c r="Y58" i="173"/>
  <c r="Y60" i="173"/>
  <c r="Y62" i="173"/>
  <c r="Y64" i="173"/>
  <c r="Y66" i="173"/>
  <c r="Y68" i="173"/>
  <c r="Y70" i="173"/>
  <c r="Y72" i="173"/>
  <c r="Y74" i="173"/>
  <c r="Y49" i="173"/>
  <c r="Y15" i="173"/>
  <c r="Y45" i="173"/>
  <c r="Y75" i="173"/>
  <c r="Y77" i="173"/>
  <c r="Y79" i="173"/>
  <c r="Y81" i="173"/>
  <c r="Y83" i="173"/>
  <c r="Y85" i="173"/>
  <c r="Y87" i="173"/>
  <c r="Y89" i="173"/>
  <c r="Y91" i="173"/>
  <c r="Y93" i="173"/>
  <c r="Y95" i="173"/>
  <c r="Y97" i="173"/>
  <c r="Y99" i="173"/>
  <c r="Y53" i="173"/>
  <c r="Y9" i="173"/>
  <c r="Y82" i="173"/>
  <c r="Y90" i="173"/>
  <c r="Y98" i="173"/>
  <c r="Y76" i="173"/>
  <c r="Y84" i="173"/>
  <c r="Y92" i="173"/>
  <c r="Y100" i="173"/>
  <c r="Y102" i="173"/>
  <c r="Y104" i="173"/>
  <c r="Y106" i="173"/>
  <c r="Y108" i="173"/>
  <c r="Y110" i="173"/>
  <c r="Y112" i="173"/>
  <c r="Y114" i="173"/>
  <c r="Y116" i="173"/>
  <c r="Y118" i="173"/>
  <c r="Y120" i="173"/>
  <c r="Y122" i="173"/>
  <c r="Y124" i="173"/>
  <c r="Y78" i="173"/>
  <c r="Y86" i="173"/>
  <c r="Y94" i="173"/>
  <c r="Y96" i="173"/>
  <c r="Y127" i="173"/>
  <c r="Y101" i="173"/>
  <c r="Y113" i="173"/>
  <c r="Y51" i="173"/>
  <c r="Y88" i="173"/>
  <c r="Y111" i="173"/>
  <c r="Y80" i="173"/>
  <c r="Y128" i="173"/>
  <c r="Y130" i="173"/>
  <c r="Y132" i="173"/>
  <c r="Y134" i="173"/>
  <c r="Y136" i="173"/>
  <c r="Y138" i="173"/>
  <c r="Y140" i="173"/>
  <c r="Y142" i="173"/>
  <c r="Y144" i="173"/>
  <c r="Y146" i="173"/>
  <c r="Y148" i="173"/>
  <c r="Y150" i="173"/>
  <c r="Y152" i="173"/>
  <c r="Y109" i="173"/>
  <c r="Y121" i="173"/>
  <c r="Y123" i="173"/>
  <c r="Y125" i="173"/>
  <c r="Y126" i="173"/>
  <c r="Y105" i="173"/>
  <c r="Y117" i="173"/>
  <c r="Y135" i="173"/>
  <c r="Y131" i="173"/>
  <c r="Y139" i="173"/>
  <c r="Y147" i="173"/>
  <c r="Y103" i="173"/>
  <c r="Y145" i="173"/>
  <c r="Y133" i="173"/>
  <c r="Y141" i="173"/>
  <c r="Y149" i="173"/>
  <c r="Y3" i="173"/>
  <c r="Y151" i="173"/>
  <c r="Y115" i="173"/>
  <c r="Y107" i="173"/>
  <c r="Y143" i="173"/>
  <c r="Y137" i="173"/>
  <c r="Y119" i="173"/>
  <c r="Y129" i="173"/>
  <c r="Y216" i="173"/>
  <c r="Y212" i="173"/>
  <c r="Y208" i="173"/>
  <c r="Y218" i="173"/>
  <c r="Y213" i="173"/>
  <c r="Y205" i="173"/>
  <c r="Y201" i="173"/>
  <c r="Y197" i="173"/>
  <c r="Y211" i="173"/>
  <c r="Y203" i="173"/>
  <c r="Y217" i="173"/>
  <c r="Y214" i="173"/>
  <c r="Y207" i="173"/>
  <c r="Y202" i="173"/>
  <c r="Y210" i="173"/>
  <c r="Y198" i="173"/>
  <c r="Y192" i="173"/>
  <c r="Y188" i="173"/>
  <c r="Y215" i="173"/>
  <c r="Y209" i="173"/>
  <c r="Y199" i="173"/>
  <c r="Y194" i="173"/>
  <c r="Y193" i="173"/>
  <c r="Y187" i="173"/>
  <c r="Y204" i="173"/>
  <c r="Y195" i="173"/>
  <c r="Y189" i="173"/>
  <c r="Y206" i="173"/>
  <c r="Y196" i="173"/>
  <c r="Y190" i="173"/>
  <c r="Y184" i="173"/>
  <c r="Y180" i="173"/>
  <c r="Y176" i="173"/>
  <c r="Y172" i="173"/>
  <c r="Y168" i="173"/>
  <c r="Y191" i="173"/>
  <c r="Y186" i="173"/>
  <c r="Y185" i="173"/>
  <c r="Y181" i="173"/>
  <c r="Y177" i="173"/>
  <c r="Y173" i="173"/>
  <c r="Y169" i="173"/>
  <c r="Y182" i="173"/>
  <c r="Y178" i="173"/>
  <c r="Y174" i="173"/>
  <c r="Y170" i="173"/>
  <c r="Y200" i="173"/>
  <c r="Y171" i="173"/>
  <c r="Y166" i="173"/>
  <c r="Y162" i="173"/>
  <c r="Y158" i="173"/>
  <c r="Y175" i="173"/>
  <c r="Y167" i="173"/>
  <c r="Y163" i="173"/>
  <c r="Y159" i="173"/>
  <c r="Y155" i="173"/>
  <c r="Y154" i="173"/>
  <c r="Y153" i="173"/>
  <c r="Y179" i="173"/>
  <c r="Y164" i="173"/>
  <c r="Y160" i="173"/>
  <c r="Y156" i="173"/>
  <c r="Y183" i="173"/>
  <c r="Y165" i="173"/>
  <c r="Y161" i="173"/>
  <c r="Y157" i="173"/>
  <c r="Z1" i="173"/>
  <c r="B68" i="168"/>
  <c r="Z4" i="173" l="1"/>
  <c r="Z6" i="173"/>
  <c r="Z8" i="173"/>
  <c r="Z10" i="173"/>
  <c r="Z12" i="173"/>
  <c r="Z14" i="173"/>
  <c r="Z16" i="173"/>
  <c r="Z18" i="173"/>
  <c r="Z20" i="173"/>
  <c r="Z22" i="173"/>
  <c r="Z24" i="173"/>
  <c r="Z26" i="173"/>
  <c r="Z28" i="173"/>
  <c r="Z30" i="173"/>
  <c r="Z25" i="173"/>
  <c r="Z27" i="173"/>
  <c r="Z5" i="173"/>
  <c r="Z11" i="173"/>
  <c r="Z17" i="173"/>
  <c r="Z29" i="173"/>
  <c r="Z31" i="173"/>
  <c r="Z9" i="173"/>
  <c r="Z15" i="173"/>
  <c r="Z32" i="173"/>
  <c r="Z53" i="173"/>
  <c r="Z34" i="173"/>
  <c r="Z23" i="173"/>
  <c r="Z33" i="173"/>
  <c r="Z36" i="173"/>
  <c r="Z7" i="173"/>
  <c r="Z21" i="173"/>
  <c r="Z35" i="173"/>
  <c r="Z38" i="173"/>
  <c r="Z55" i="173"/>
  <c r="Z57" i="173"/>
  <c r="Z59" i="173"/>
  <c r="Z61" i="173"/>
  <c r="Z63" i="173"/>
  <c r="Z65" i="173"/>
  <c r="Z67" i="173"/>
  <c r="Z69" i="173"/>
  <c r="Z71" i="173"/>
  <c r="Z73" i="173"/>
  <c r="Z13" i="173"/>
  <c r="Z37" i="173"/>
  <c r="Z40" i="173"/>
  <c r="Z19" i="173"/>
  <c r="Z39" i="173"/>
  <c r="Z42" i="173"/>
  <c r="Z41" i="173"/>
  <c r="Z44" i="173"/>
  <c r="Z45" i="173"/>
  <c r="Z48" i="173"/>
  <c r="Z47" i="173"/>
  <c r="Z50" i="173"/>
  <c r="Z56" i="173"/>
  <c r="Z58" i="173"/>
  <c r="Z60" i="173"/>
  <c r="Z62" i="173"/>
  <c r="Z64" i="173"/>
  <c r="Z66" i="173"/>
  <c r="Z68" i="173"/>
  <c r="Z70" i="173"/>
  <c r="Z72" i="173"/>
  <c r="Z74" i="173"/>
  <c r="Z52" i="173"/>
  <c r="Z49" i="173"/>
  <c r="Z75" i="173"/>
  <c r="Z77" i="173"/>
  <c r="Z79" i="173"/>
  <c r="Z81" i="173"/>
  <c r="Z83" i="173"/>
  <c r="Z85" i="173"/>
  <c r="Z87" i="173"/>
  <c r="Z89" i="173"/>
  <c r="Z91" i="173"/>
  <c r="Z93" i="173"/>
  <c r="Z95" i="173"/>
  <c r="Z97" i="173"/>
  <c r="Z99" i="173"/>
  <c r="Z46" i="173"/>
  <c r="Z54" i="173"/>
  <c r="Z101" i="173"/>
  <c r="Z103" i="173"/>
  <c r="Z105" i="173"/>
  <c r="Z107" i="173"/>
  <c r="Z109" i="173"/>
  <c r="Z111" i="173"/>
  <c r="Z113" i="173"/>
  <c r="Z115" i="173"/>
  <c r="Z117" i="173"/>
  <c r="Z119" i="173"/>
  <c r="Z121" i="173"/>
  <c r="Z123" i="173"/>
  <c r="Z125" i="173"/>
  <c r="Z127" i="173"/>
  <c r="Z82" i="173"/>
  <c r="Z90" i="173"/>
  <c r="Z98" i="173"/>
  <c r="Z43" i="173"/>
  <c r="Z76" i="173"/>
  <c r="Z84" i="173"/>
  <c r="Z92" i="173"/>
  <c r="Z100" i="173"/>
  <c r="Z102" i="173"/>
  <c r="Z104" i="173"/>
  <c r="Z106" i="173"/>
  <c r="Z108" i="173"/>
  <c r="Z110" i="173"/>
  <c r="Z112" i="173"/>
  <c r="Z114" i="173"/>
  <c r="Z116" i="173"/>
  <c r="Z118" i="173"/>
  <c r="Z120" i="173"/>
  <c r="Z122" i="173"/>
  <c r="Z124" i="173"/>
  <c r="Z78" i="173"/>
  <c r="Z86" i="173"/>
  <c r="Z94" i="173"/>
  <c r="Z3" i="173"/>
  <c r="Z96" i="173"/>
  <c r="Z51" i="173"/>
  <c r="Z88" i="173"/>
  <c r="Z80" i="173"/>
  <c r="Z128" i="173"/>
  <c r="Z130" i="173"/>
  <c r="Z132" i="173"/>
  <c r="Z134" i="173"/>
  <c r="Z136" i="173"/>
  <c r="Z138" i="173"/>
  <c r="Z140" i="173"/>
  <c r="Z142" i="173"/>
  <c r="Z144" i="173"/>
  <c r="Z146" i="173"/>
  <c r="Z148" i="173"/>
  <c r="Z150" i="173"/>
  <c r="Z152" i="173"/>
  <c r="Z126" i="173"/>
  <c r="Z131" i="173"/>
  <c r="Z139" i="173"/>
  <c r="Z147" i="173"/>
  <c r="Z133" i="173"/>
  <c r="Z141" i="173"/>
  <c r="Z149" i="173"/>
  <c r="Z129" i="173"/>
  <c r="Z137" i="173"/>
  <c r="Z145" i="173"/>
  <c r="Z135" i="173"/>
  <c r="Z143" i="173"/>
  <c r="Z151" i="173"/>
  <c r="Z217" i="173"/>
  <c r="Z213" i="173"/>
  <c r="Z209" i="173"/>
  <c r="Z214" i="173"/>
  <c r="Z208" i="173"/>
  <c r="Z206" i="173"/>
  <c r="Z202" i="173"/>
  <c r="Z198" i="173"/>
  <c r="Z194" i="173"/>
  <c r="Z216" i="173"/>
  <c r="Z210" i="173"/>
  <c r="Z204" i="173"/>
  <c r="Z211" i="173"/>
  <c r="Z203" i="173"/>
  <c r="Z215" i="173"/>
  <c r="Z199" i="173"/>
  <c r="Z193" i="173"/>
  <c r="Z189" i="173"/>
  <c r="Z185" i="173"/>
  <c r="Z200" i="173"/>
  <c r="Z195" i="173"/>
  <c r="Z218" i="173"/>
  <c r="Z207" i="173"/>
  <c r="Z188" i="173"/>
  <c r="Z212" i="173"/>
  <c r="Z196" i="173"/>
  <c r="Z190" i="173"/>
  <c r="Z197" i="173"/>
  <c r="Z191" i="173"/>
  <c r="Z186" i="173"/>
  <c r="Z201" i="173"/>
  <c r="Z181" i="173"/>
  <c r="Z177" i="173"/>
  <c r="Z173" i="173"/>
  <c r="Z169" i="173"/>
  <c r="Z187" i="173"/>
  <c r="Z182" i="173"/>
  <c r="Z178" i="173"/>
  <c r="Z174" i="173"/>
  <c r="Z170" i="173"/>
  <c r="Z205" i="173"/>
  <c r="Z183" i="173"/>
  <c r="Z179" i="173"/>
  <c r="Z175" i="173"/>
  <c r="Z171" i="173"/>
  <c r="Z172" i="173"/>
  <c r="Z167" i="173"/>
  <c r="Z163" i="173"/>
  <c r="Z159" i="173"/>
  <c r="Z155" i="173"/>
  <c r="Z154" i="173"/>
  <c r="Z153" i="173"/>
  <c r="Z176" i="173"/>
  <c r="Z168" i="173"/>
  <c r="Z164" i="173"/>
  <c r="Z160" i="173"/>
  <c r="Z156" i="173"/>
  <c r="Z180" i="173"/>
  <c r="Z165" i="173"/>
  <c r="Z161" i="173"/>
  <c r="Z157" i="173"/>
  <c r="Z192" i="173"/>
  <c r="Z184" i="173"/>
  <c r="Z166" i="173"/>
  <c r="Z162" i="173"/>
  <c r="Z158" i="173"/>
  <c r="AA1" i="173"/>
  <c r="T5" i="170"/>
  <c r="T6" i="170"/>
  <c r="D1" i="171"/>
  <c r="T66" i="170" l="1"/>
  <c r="AA5" i="173"/>
  <c r="AA7" i="173"/>
  <c r="AA9" i="173"/>
  <c r="AA11" i="173"/>
  <c r="AA13" i="173"/>
  <c r="AA15" i="173"/>
  <c r="AA17" i="173"/>
  <c r="AA19" i="173"/>
  <c r="AA21" i="173"/>
  <c r="AA23" i="173"/>
  <c r="AA25" i="173"/>
  <c r="AA27" i="173"/>
  <c r="AA29" i="173"/>
  <c r="AA31" i="173"/>
  <c r="AA4" i="173"/>
  <c r="AA6" i="173"/>
  <c r="AA8" i="173"/>
  <c r="AA10" i="173"/>
  <c r="AA12" i="173"/>
  <c r="AA14" i="173"/>
  <c r="AA16" i="173"/>
  <c r="AA18" i="173"/>
  <c r="AA20" i="173"/>
  <c r="AA22" i="173"/>
  <c r="AA24" i="173"/>
  <c r="AA26" i="173"/>
  <c r="AA28" i="173"/>
  <c r="AA30" i="173"/>
  <c r="AA33" i="173"/>
  <c r="AA35" i="173"/>
  <c r="AA37" i="173"/>
  <c r="AA39" i="173"/>
  <c r="AA41" i="173"/>
  <c r="AA43" i="173"/>
  <c r="AA45" i="173"/>
  <c r="AA47" i="173"/>
  <c r="AA49" i="173"/>
  <c r="AA51" i="173"/>
  <c r="AA53" i="173"/>
  <c r="AA32" i="173"/>
  <c r="AA34" i="173"/>
  <c r="AA36" i="173"/>
  <c r="AA38" i="173"/>
  <c r="AA40" i="173"/>
  <c r="AA42" i="173"/>
  <c r="AA44" i="173"/>
  <c r="AA46" i="173"/>
  <c r="AA48" i="173"/>
  <c r="AA50" i="173"/>
  <c r="AA52" i="173"/>
  <c r="AA54" i="173"/>
  <c r="AA55" i="173"/>
  <c r="AA57" i="173"/>
  <c r="AA59" i="173"/>
  <c r="AA61" i="173"/>
  <c r="AA63" i="173"/>
  <c r="AA65" i="173"/>
  <c r="AA67" i="173"/>
  <c r="AA69" i="173"/>
  <c r="AA71" i="173"/>
  <c r="AA73" i="173"/>
  <c r="AA76" i="173"/>
  <c r="AA78" i="173"/>
  <c r="AA80" i="173"/>
  <c r="AA82" i="173"/>
  <c r="AA84" i="173"/>
  <c r="AA86" i="173"/>
  <c r="AA88" i="173"/>
  <c r="AA90" i="173"/>
  <c r="AA92" i="173"/>
  <c r="AA94" i="173"/>
  <c r="AA96" i="173"/>
  <c r="AA98" i="173"/>
  <c r="AA58" i="173"/>
  <c r="AA66" i="173"/>
  <c r="AA74" i="173"/>
  <c r="AA60" i="173"/>
  <c r="AA68" i="173"/>
  <c r="AA75" i="173"/>
  <c r="AA77" i="173"/>
  <c r="AA79" i="173"/>
  <c r="AA81" i="173"/>
  <c r="AA83" i="173"/>
  <c r="AA85" i="173"/>
  <c r="AA87" i="173"/>
  <c r="AA89" i="173"/>
  <c r="AA91" i="173"/>
  <c r="AA93" i="173"/>
  <c r="AA95" i="173"/>
  <c r="AA97" i="173"/>
  <c r="AA99" i="173"/>
  <c r="AA62" i="173"/>
  <c r="AA70" i="173"/>
  <c r="AA101" i="173"/>
  <c r="AA103" i="173"/>
  <c r="AA105" i="173"/>
  <c r="AA107" i="173"/>
  <c r="AA109" i="173"/>
  <c r="AA111" i="173"/>
  <c r="AA113" i="173"/>
  <c r="AA115" i="173"/>
  <c r="AA117" i="173"/>
  <c r="AA119" i="173"/>
  <c r="AA121" i="173"/>
  <c r="AA123" i="173"/>
  <c r="AA125" i="173"/>
  <c r="AA56" i="173"/>
  <c r="AA64" i="173"/>
  <c r="AA100" i="173"/>
  <c r="AA102" i="173"/>
  <c r="AA104" i="173"/>
  <c r="AA106" i="173"/>
  <c r="AA108" i="173"/>
  <c r="AA110" i="173"/>
  <c r="AA112" i="173"/>
  <c r="AA114" i="173"/>
  <c r="AA116" i="173"/>
  <c r="AA118" i="173"/>
  <c r="AA120" i="173"/>
  <c r="AA122" i="173"/>
  <c r="AA124" i="173"/>
  <c r="AA129" i="173"/>
  <c r="AA131" i="173"/>
  <c r="AA133" i="173"/>
  <c r="AA135" i="173"/>
  <c r="AA137" i="173"/>
  <c r="AA139" i="173"/>
  <c r="AA141" i="173"/>
  <c r="AA143" i="173"/>
  <c r="AA145" i="173"/>
  <c r="AA147" i="173"/>
  <c r="AA149" i="173"/>
  <c r="AA151" i="173"/>
  <c r="AA127" i="173"/>
  <c r="AA128" i="173"/>
  <c r="AA130" i="173"/>
  <c r="AA132" i="173"/>
  <c r="AA134" i="173"/>
  <c r="AA136" i="173"/>
  <c r="AA138" i="173"/>
  <c r="AA140" i="173"/>
  <c r="AA142" i="173"/>
  <c r="AA144" i="173"/>
  <c r="AA146" i="173"/>
  <c r="AA148" i="173"/>
  <c r="AA150" i="173"/>
  <c r="AA152" i="173"/>
  <c r="AA72" i="173"/>
  <c r="AA126" i="173"/>
  <c r="AA3" i="173"/>
  <c r="AA218" i="173"/>
  <c r="AA214" i="173"/>
  <c r="AA210" i="173"/>
  <c r="AA215" i="173"/>
  <c r="AA209" i="173"/>
  <c r="AA207" i="173"/>
  <c r="AA203" i="173"/>
  <c r="AA199" i="173"/>
  <c r="AA195" i="173"/>
  <c r="AA213" i="173"/>
  <c r="AA205" i="173"/>
  <c r="AA216" i="173"/>
  <c r="AA208" i="173"/>
  <c r="AA204" i="173"/>
  <c r="AA200" i="173"/>
  <c r="AA194" i="173"/>
  <c r="AA190" i="173"/>
  <c r="AA186" i="173"/>
  <c r="AA202" i="173"/>
  <c r="AA201" i="173"/>
  <c r="AA196" i="173"/>
  <c r="AA212" i="173"/>
  <c r="AA189" i="173"/>
  <c r="AA206" i="173"/>
  <c r="AA197" i="173"/>
  <c r="AA191" i="173"/>
  <c r="AA217" i="173"/>
  <c r="AA198" i="173"/>
  <c r="AA192" i="173"/>
  <c r="AA187" i="173"/>
  <c r="AA185" i="173"/>
  <c r="AA182" i="173"/>
  <c r="AA178" i="173"/>
  <c r="AA174" i="173"/>
  <c r="AA170" i="173"/>
  <c r="AA193" i="173"/>
  <c r="AA183" i="173"/>
  <c r="AA179" i="173"/>
  <c r="AA175" i="173"/>
  <c r="AA171" i="173"/>
  <c r="AA167" i="173"/>
  <c r="AA188" i="173"/>
  <c r="AA184" i="173"/>
  <c r="AA180" i="173"/>
  <c r="AA176" i="173"/>
  <c r="AA172" i="173"/>
  <c r="AA211" i="173"/>
  <c r="AA173" i="173"/>
  <c r="AA168" i="173"/>
  <c r="AA164" i="173"/>
  <c r="AA160" i="173"/>
  <c r="AA156" i="173"/>
  <c r="AA177" i="173"/>
  <c r="AA165" i="173"/>
  <c r="AA161" i="173"/>
  <c r="AA157" i="173"/>
  <c r="AA181" i="173"/>
  <c r="AA166" i="173"/>
  <c r="AA162" i="173"/>
  <c r="AA158" i="173"/>
  <c r="AA169" i="173"/>
  <c r="AA163" i="173"/>
  <c r="AA159" i="173"/>
  <c r="AA155" i="173"/>
  <c r="AA154" i="173"/>
  <c r="AA153" i="173"/>
  <c r="AB1" i="173"/>
  <c r="D4" i="171"/>
  <c r="D10" i="171"/>
  <c r="D16" i="171"/>
  <c r="D7" i="171"/>
  <c r="D13" i="171"/>
  <c r="D19" i="171"/>
  <c r="D8" i="171"/>
  <c r="D14" i="171"/>
  <c r="D20" i="171"/>
  <c r="D6" i="171"/>
  <c r="D18" i="171"/>
  <c r="D15" i="171"/>
  <c r="D21" i="171"/>
  <c r="D27" i="171"/>
  <c r="D17" i="171"/>
  <c r="D25" i="171"/>
  <c r="D32" i="171"/>
  <c r="D33" i="171"/>
  <c r="D5" i="171"/>
  <c r="D9" i="171"/>
  <c r="D22" i="171"/>
  <c r="D23" i="171"/>
  <c r="D26" i="171"/>
  <c r="D30" i="171"/>
  <c r="D36" i="171"/>
  <c r="D28" i="171"/>
  <c r="D37" i="171"/>
  <c r="D40" i="171"/>
  <c r="D47" i="171"/>
  <c r="D53" i="171"/>
  <c r="D59" i="171"/>
  <c r="D12" i="171"/>
  <c r="D34" i="171"/>
  <c r="D41" i="171"/>
  <c r="D43" i="171"/>
  <c r="D49" i="171"/>
  <c r="D55" i="171"/>
  <c r="D61" i="171"/>
  <c r="D31" i="171"/>
  <c r="D11" i="171"/>
  <c r="D48" i="171"/>
  <c r="D57" i="171"/>
  <c r="D24" i="171"/>
  <c r="D44" i="171"/>
  <c r="D46" i="171"/>
  <c r="D42" i="171"/>
  <c r="D51" i="171"/>
  <c r="D56" i="171"/>
  <c r="D68" i="171"/>
  <c r="D74" i="171"/>
  <c r="D80" i="171"/>
  <c r="D29" i="171"/>
  <c r="D39" i="171"/>
  <c r="D45" i="171"/>
  <c r="D63" i="171"/>
  <c r="D69" i="171"/>
  <c r="D75" i="171"/>
  <c r="D81" i="171"/>
  <c r="D38" i="171"/>
  <c r="D52" i="171"/>
  <c r="D62" i="171"/>
  <c r="D64" i="171"/>
  <c r="D70" i="171"/>
  <c r="D76" i="171"/>
  <c r="D82" i="171"/>
  <c r="D35" i="171"/>
  <c r="D73" i="171"/>
  <c r="D85" i="171"/>
  <c r="D91" i="171"/>
  <c r="D97" i="171"/>
  <c r="D58" i="171"/>
  <c r="D65" i="171"/>
  <c r="D77" i="171"/>
  <c r="D86" i="171"/>
  <c r="D92" i="171"/>
  <c r="D98" i="171"/>
  <c r="D72" i="171"/>
  <c r="D84" i="171"/>
  <c r="D87" i="171"/>
  <c r="D93" i="171"/>
  <c r="D99" i="171"/>
  <c r="D50" i="171"/>
  <c r="D67" i="171"/>
  <c r="D79" i="171"/>
  <c r="D88" i="171"/>
  <c r="D94" i="171"/>
  <c r="D100" i="171"/>
  <c r="D54" i="171"/>
  <c r="D105" i="171"/>
  <c r="D111" i="171"/>
  <c r="D117" i="171"/>
  <c r="D123" i="171"/>
  <c r="D101" i="171"/>
  <c r="D106" i="171"/>
  <c r="D112" i="171"/>
  <c r="D118" i="171"/>
  <c r="D124" i="171"/>
  <c r="D130" i="171"/>
  <c r="D136" i="171"/>
  <c r="D66" i="171"/>
  <c r="D90" i="171"/>
  <c r="D107" i="171"/>
  <c r="D113" i="171"/>
  <c r="D119" i="171"/>
  <c r="D125" i="171"/>
  <c r="D131" i="171"/>
  <c r="D137" i="171"/>
  <c r="D71" i="171"/>
  <c r="D89" i="171"/>
  <c r="D102" i="171"/>
  <c r="D108" i="171"/>
  <c r="D114" i="171"/>
  <c r="D120" i="171"/>
  <c r="D126" i="171"/>
  <c r="D132" i="171"/>
  <c r="D138" i="171"/>
  <c r="D78" i="171"/>
  <c r="D115" i="171"/>
  <c r="D134" i="171"/>
  <c r="D141" i="171"/>
  <c r="D147" i="171"/>
  <c r="D153" i="171"/>
  <c r="D159" i="171"/>
  <c r="D60" i="171"/>
  <c r="D104" i="171"/>
  <c r="D122" i="171"/>
  <c r="D129" i="171"/>
  <c r="D96" i="171"/>
  <c r="D103" i="171"/>
  <c r="D121" i="171"/>
  <c r="D133" i="171"/>
  <c r="D143" i="171"/>
  <c r="D149" i="171"/>
  <c r="D155" i="171"/>
  <c r="D161" i="171"/>
  <c r="D167" i="171"/>
  <c r="D173" i="171"/>
  <c r="D83" i="171"/>
  <c r="D110" i="171"/>
  <c r="D128" i="171"/>
  <c r="D144" i="171"/>
  <c r="D150" i="171"/>
  <c r="D156" i="171"/>
  <c r="D162" i="171"/>
  <c r="D168" i="171"/>
  <c r="D174" i="171"/>
  <c r="D180" i="171"/>
  <c r="D186" i="171"/>
  <c r="D109" i="171"/>
  <c r="D135" i="171"/>
  <c r="D145" i="171"/>
  <c r="D151" i="171"/>
  <c r="D157" i="171"/>
  <c r="D163" i="171"/>
  <c r="D169" i="171"/>
  <c r="D175" i="171"/>
  <c r="D181" i="171"/>
  <c r="D142" i="171"/>
  <c r="D160" i="171"/>
  <c r="D170" i="171"/>
  <c r="D188" i="171"/>
  <c r="D194" i="171"/>
  <c r="D200" i="171"/>
  <c r="D206" i="171"/>
  <c r="D212" i="171"/>
  <c r="D116" i="171"/>
  <c r="D152" i="171"/>
  <c r="D165" i="171"/>
  <c r="D177" i="171"/>
  <c r="D179" i="171"/>
  <c r="D189" i="171"/>
  <c r="D195" i="171"/>
  <c r="D201" i="171"/>
  <c r="D207" i="171"/>
  <c r="D3" i="171"/>
  <c r="D198" i="171"/>
  <c r="D95" i="171"/>
  <c r="D148" i="171"/>
  <c r="D172" i="171"/>
  <c r="D182" i="171"/>
  <c r="D184" i="171"/>
  <c r="D190" i="171"/>
  <c r="D196" i="171"/>
  <c r="D202" i="171"/>
  <c r="D208" i="171"/>
  <c r="D171" i="171"/>
  <c r="D140" i="171"/>
  <c r="D158" i="171"/>
  <c r="D164" i="171"/>
  <c r="D176" i="171"/>
  <c r="D191" i="171"/>
  <c r="D197" i="171"/>
  <c r="D203" i="171"/>
  <c r="D209" i="171"/>
  <c r="D154" i="171"/>
  <c r="D192" i="171"/>
  <c r="D178" i="171"/>
  <c r="D185" i="171"/>
  <c r="D210" i="171"/>
  <c r="D205" i="171"/>
  <c r="D199" i="171"/>
  <c r="D204" i="171"/>
  <c r="D183" i="171"/>
  <c r="D211" i="171"/>
  <c r="D127" i="171"/>
  <c r="D187" i="171"/>
  <c r="D193" i="171"/>
  <c r="D139" i="171"/>
  <c r="D146" i="171"/>
  <c r="D166" i="171"/>
  <c r="B71" i="170"/>
  <c r="E1" i="171"/>
  <c r="E215" i="171" s="1"/>
  <c r="D218" i="171"/>
  <c r="D214" i="171"/>
  <c r="D217" i="171"/>
  <c r="D216" i="171"/>
  <c r="D215" i="171"/>
  <c r="D213" i="171"/>
  <c r="AB5" i="173" l="1"/>
  <c r="AB7" i="173"/>
  <c r="AB9" i="173"/>
  <c r="AB11" i="173"/>
  <c r="AB13" i="173"/>
  <c r="AB15" i="173"/>
  <c r="AB17" i="173"/>
  <c r="AB19" i="173"/>
  <c r="AB21" i="173"/>
  <c r="AB23" i="173"/>
  <c r="AB25" i="173"/>
  <c r="AB27" i="173"/>
  <c r="AB29" i="173"/>
  <c r="AB31" i="173"/>
  <c r="AB28" i="173"/>
  <c r="AB30" i="173"/>
  <c r="AB33" i="173"/>
  <c r="AB35" i="173"/>
  <c r="AB37" i="173"/>
  <c r="AB39" i="173"/>
  <c r="AB41" i="173"/>
  <c r="AB43" i="173"/>
  <c r="AB45" i="173"/>
  <c r="AB47" i="173"/>
  <c r="AB49" i="173"/>
  <c r="AB51" i="173"/>
  <c r="AB53" i="173"/>
  <c r="AB10" i="173"/>
  <c r="AB16" i="173"/>
  <c r="AB20" i="173"/>
  <c r="AB12" i="173"/>
  <c r="AB18" i="173"/>
  <c r="AB32" i="173"/>
  <c r="AB54" i="173"/>
  <c r="AB4" i="173"/>
  <c r="AB34" i="173"/>
  <c r="AB36" i="173"/>
  <c r="AB38" i="173"/>
  <c r="AB26" i="173"/>
  <c r="AB40" i="173"/>
  <c r="AB55" i="173"/>
  <c r="AB57" i="173"/>
  <c r="AB59" i="173"/>
  <c r="AB61" i="173"/>
  <c r="AB63" i="173"/>
  <c r="AB65" i="173"/>
  <c r="AB67" i="173"/>
  <c r="AB69" i="173"/>
  <c r="AB71" i="173"/>
  <c r="AB73" i="173"/>
  <c r="AB8" i="173"/>
  <c r="AB24" i="173"/>
  <c r="AB42" i="173"/>
  <c r="AB46" i="173"/>
  <c r="AB48" i="173"/>
  <c r="AB14" i="173"/>
  <c r="AB44" i="173"/>
  <c r="AB76" i="173"/>
  <c r="AB78" i="173"/>
  <c r="AB80" i="173"/>
  <c r="AB82" i="173"/>
  <c r="AB84" i="173"/>
  <c r="AB86" i="173"/>
  <c r="AB88" i="173"/>
  <c r="AB90" i="173"/>
  <c r="AB92" i="173"/>
  <c r="AB94" i="173"/>
  <c r="AB96" i="173"/>
  <c r="AB98" i="173"/>
  <c r="AB52" i="173"/>
  <c r="AB58" i="173"/>
  <c r="AB66" i="173"/>
  <c r="AB74" i="173"/>
  <c r="AB6" i="173"/>
  <c r="AB60" i="173"/>
  <c r="AB68" i="173"/>
  <c r="AB50" i="173"/>
  <c r="AB75" i="173"/>
  <c r="AB77" i="173"/>
  <c r="AB79" i="173"/>
  <c r="AB81" i="173"/>
  <c r="AB83" i="173"/>
  <c r="AB85" i="173"/>
  <c r="AB87" i="173"/>
  <c r="AB89" i="173"/>
  <c r="AB91" i="173"/>
  <c r="AB93" i="173"/>
  <c r="AB95" i="173"/>
  <c r="AB97" i="173"/>
  <c r="AB62" i="173"/>
  <c r="AB70" i="173"/>
  <c r="AB99" i="173"/>
  <c r="AB101" i="173"/>
  <c r="AB103" i="173"/>
  <c r="AB105" i="173"/>
  <c r="AB107" i="173"/>
  <c r="AB109" i="173"/>
  <c r="AB111" i="173"/>
  <c r="AB113" i="173"/>
  <c r="AB115" i="173"/>
  <c r="AB117" i="173"/>
  <c r="AB119" i="173"/>
  <c r="AB121" i="173"/>
  <c r="AB123" i="173"/>
  <c r="AB22" i="173"/>
  <c r="AB56" i="173"/>
  <c r="AB64" i="173"/>
  <c r="AB100" i="173"/>
  <c r="AB102" i="173"/>
  <c r="AB104" i="173"/>
  <c r="AB106" i="173"/>
  <c r="AB108" i="173"/>
  <c r="AB110" i="173"/>
  <c r="AB112" i="173"/>
  <c r="AB114" i="173"/>
  <c r="AB116" i="173"/>
  <c r="AB118" i="173"/>
  <c r="AB120" i="173"/>
  <c r="AB122" i="173"/>
  <c r="AB124" i="173"/>
  <c r="AB129" i="173"/>
  <c r="AB131" i="173"/>
  <c r="AB133" i="173"/>
  <c r="AB135" i="173"/>
  <c r="AB137" i="173"/>
  <c r="AB139" i="173"/>
  <c r="AB141" i="173"/>
  <c r="AB143" i="173"/>
  <c r="AB145" i="173"/>
  <c r="AB147" i="173"/>
  <c r="AB149" i="173"/>
  <c r="AB151" i="173"/>
  <c r="AB127" i="173"/>
  <c r="AB72" i="173"/>
  <c r="AB125" i="173"/>
  <c r="AB134" i="173"/>
  <c r="AB142" i="173"/>
  <c r="AB150" i="173"/>
  <c r="AB126" i="173"/>
  <c r="AB128" i="173"/>
  <c r="AB136" i="173"/>
  <c r="AB144" i="173"/>
  <c r="AB152" i="173"/>
  <c r="AB130" i="173"/>
  <c r="AB138" i="173"/>
  <c r="AB146" i="173"/>
  <c r="AB3" i="173"/>
  <c r="AB132" i="173"/>
  <c r="AB140" i="173"/>
  <c r="AB148" i="173"/>
  <c r="AB215" i="173"/>
  <c r="AB211" i="173"/>
  <c r="AB216" i="173"/>
  <c r="AB210" i="173"/>
  <c r="AB204" i="173"/>
  <c r="AB200" i="173"/>
  <c r="AB196" i="173"/>
  <c r="AB218" i="173"/>
  <c r="AB212" i="173"/>
  <c r="AB206" i="173"/>
  <c r="AB201" i="173"/>
  <c r="AB213" i="173"/>
  <c r="AB205" i="173"/>
  <c r="AB209" i="173"/>
  <c r="AB202" i="173"/>
  <c r="AB195" i="173"/>
  <c r="AB191" i="173"/>
  <c r="AB187" i="173"/>
  <c r="AB214" i="173"/>
  <c r="AB208" i="173"/>
  <c r="AB203" i="173"/>
  <c r="AB197" i="173"/>
  <c r="AB217" i="173"/>
  <c r="AB194" i="173"/>
  <c r="AB190" i="173"/>
  <c r="AB198" i="173"/>
  <c r="AB192" i="173"/>
  <c r="AB199" i="173"/>
  <c r="AB193" i="173"/>
  <c r="AB188" i="173"/>
  <c r="AB189" i="173"/>
  <c r="AB186" i="173"/>
  <c r="AB183" i="173"/>
  <c r="AB179" i="173"/>
  <c r="AB175" i="173"/>
  <c r="AB171" i="173"/>
  <c r="AB167" i="173"/>
  <c r="AB184" i="173"/>
  <c r="AB180" i="173"/>
  <c r="AB176" i="173"/>
  <c r="AB172" i="173"/>
  <c r="AB168" i="173"/>
  <c r="AB181" i="173"/>
  <c r="AB177" i="173"/>
  <c r="AB173" i="173"/>
  <c r="AB169" i="173"/>
  <c r="AB174" i="173"/>
  <c r="AB165" i="173"/>
  <c r="AB161" i="173"/>
  <c r="AB157" i="173"/>
  <c r="AB207" i="173"/>
  <c r="AB178" i="173"/>
  <c r="AB166" i="173"/>
  <c r="AB162" i="173"/>
  <c r="AB158" i="173"/>
  <c r="AB182" i="173"/>
  <c r="AB163" i="173"/>
  <c r="AB159" i="173"/>
  <c r="AB155" i="173"/>
  <c r="AB154" i="173"/>
  <c r="AB153" i="173"/>
  <c r="AB185" i="173"/>
  <c r="AB170" i="173"/>
  <c r="AB164" i="173"/>
  <c r="AB160" i="173"/>
  <c r="AB156" i="173"/>
  <c r="AC1" i="173"/>
  <c r="E9" i="171"/>
  <c r="E15" i="171"/>
  <c r="E6" i="171"/>
  <c r="E12" i="171"/>
  <c r="E18" i="171"/>
  <c r="E7" i="171"/>
  <c r="E13" i="171"/>
  <c r="E19" i="171"/>
  <c r="E11" i="171"/>
  <c r="E8" i="171"/>
  <c r="E20" i="171"/>
  <c r="E26" i="171"/>
  <c r="E10" i="171"/>
  <c r="E14" i="171"/>
  <c r="E21" i="171"/>
  <c r="E28" i="171"/>
  <c r="E31" i="171"/>
  <c r="E17" i="171"/>
  <c r="E25" i="171"/>
  <c r="E32" i="171"/>
  <c r="E33" i="171"/>
  <c r="E27" i="171"/>
  <c r="E35" i="171"/>
  <c r="E30" i="171"/>
  <c r="E36" i="171"/>
  <c r="E29" i="171"/>
  <c r="E38" i="171"/>
  <c r="E46" i="171"/>
  <c r="E52" i="171"/>
  <c r="E58" i="171"/>
  <c r="E5" i="171"/>
  <c r="E23" i="171"/>
  <c r="E34" i="171"/>
  <c r="E42" i="171"/>
  <c r="E48" i="171"/>
  <c r="E54" i="171"/>
  <c r="E60" i="171"/>
  <c r="E37" i="171"/>
  <c r="E40" i="171"/>
  <c r="E50" i="171"/>
  <c r="E59" i="171"/>
  <c r="E41" i="171"/>
  <c r="E55" i="171"/>
  <c r="E57" i="171"/>
  <c r="E22" i="171"/>
  <c r="E24" i="171"/>
  <c r="E44" i="171"/>
  <c r="E53" i="171"/>
  <c r="E49" i="171"/>
  <c r="E61" i="171"/>
  <c r="E67" i="171"/>
  <c r="E73" i="171"/>
  <c r="E79" i="171"/>
  <c r="E56" i="171"/>
  <c r="E68" i="171"/>
  <c r="E74" i="171"/>
  <c r="E80" i="171"/>
  <c r="E39" i="171"/>
  <c r="E45" i="171"/>
  <c r="E63" i="171"/>
  <c r="E69" i="171"/>
  <c r="E75" i="171"/>
  <c r="E81" i="171"/>
  <c r="E4" i="171"/>
  <c r="E66" i="171"/>
  <c r="E78" i="171"/>
  <c r="E90" i="171"/>
  <c r="E96" i="171"/>
  <c r="E51" i="171"/>
  <c r="E62" i="171"/>
  <c r="E70" i="171"/>
  <c r="E82" i="171"/>
  <c r="E85" i="171"/>
  <c r="E91" i="171"/>
  <c r="E97" i="171"/>
  <c r="E65" i="171"/>
  <c r="E77" i="171"/>
  <c r="E86" i="171"/>
  <c r="E92" i="171"/>
  <c r="E98" i="171"/>
  <c r="E16" i="171"/>
  <c r="E43" i="171"/>
  <c r="E72" i="171"/>
  <c r="E84" i="171"/>
  <c r="E87" i="171"/>
  <c r="E93" i="171"/>
  <c r="E99" i="171"/>
  <c r="E47" i="171"/>
  <c r="E83" i="171"/>
  <c r="E95" i="171"/>
  <c r="E104" i="171"/>
  <c r="E110" i="171"/>
  <c r="E116" i="171"/>
  <c r="E122" i="171"/>
  <c r="E94" i="171"/>
  <c r="E105" i="171"/>
  <c r="E111" i="171"/>
  <c r="E117" i="171"/>
  <c r="E123" i="171"/>
  <c r="E129" i="171"/>
  <c r="E135" i="171"/>
  <c r="E101" i="171"/>
  <c r="E106" i="171"/>
  <c r="E112" i="171"/>
  <c r="E118" i="171"/>
  <c r="E124" i="171"/>
  <c r="E130" i="171"/>
  <c r="E136" i="171"/>
  <c r="E64" i="171"/>
  <c r="E100" i="171"/>
  <c r="E107" i="171"/>
  <c r="E113" i="171"/>
  <c r="E119" i="171"/>
  <c r="E125" i="171"/>
  <c r="E131" i="171"/>
  <c r="E137" i="171"/>
  <c r="E71" i="171"/>
  <c r="E108" i="171"/>
  <c r="E127" i="171"/>
  <c r="E139" i="171"/>
  <c r="E140" i="171"/>
  <c r="E146" i="171"/>
  <c r="E152" i="171"/>
  <c r="E158" i="171"/>
  <c r="E115" i="171"/>
  <c r="E89" i="171"/>
  <c r="E114" i="171"/>
  <c r="E126" i="171"/>
  <c r="E138" i="171"/>
  <c r="E142" i="171"/>
  <c r="E148" i="171"/>
  <c r="E154" i="171"/>
  <c r="E160" i="171"/>
  <c r="E166" i="171"/>
  <c r="E172" i="171"/>
  <c r="E178" i="171"/>
  <c r="E76" i="171"/>
  <c r="E103" i="171"/>
  <c r="E121" i="171"/>
  <c r="E133" i="171"/>
  <c r="E143" i="171"/>
  <c r="E149" i="171"/>
  <c r="E155" i="171"/>
  <c r="E161" i="171"/>
  <c r="E167" i="171"/>
  <c r="E173" i="171"/>
  <c r="E179" i="171"/>
  <c r="E185" i="171"/>
  <c r="E102" i="171"/>
  <c r="E120" i="171"/>
  <c r="E128" i="171"/>
  <c r="E144" i="171"/>
  <c r="E150" i="171"/>
  <c r="E156" i="171"/>
  <c r="E162" i="171"/>
  <c r="E168" i="171"/>
  <c r="E174" i="171"/>
  <c r="E180" i="171"/>
  <c r="E186" i="171"/>
  <c r="E132" i="171"/>
  <c r="E153" i="171"/>
  <c r="E175" i="171"/>
  <c r="E181" i="171"/>
  <c r="E183" i="171"/>
  <c r="E187" i="171"/>
  <c r="E193" i="171"/>
  <c r="E199" i="171"/>
  <c r="E205" i="171"/>
  <c r="E211" i="171"/>
  <c r="E109" i="171"/>
  <c r="E145" i="171"/>
  <c r="E163" i="171"/>
  <c r="E170" i="171"/>
  <c r="E188" i="171"/>
  <c r="E194" i="171"/>
  <c r="E200" i="171"/>
  <c r="E206" i="171"/>
  <c r="E212" i="171"/>
  <c r="E3" i="171"/>
  <c r="E134" i="171"/>
  <c r="E191" i="171"/>
  <c r="E203" i="171"/>
  <c r="E141" i="171"/>
  <c r="E159" i="171"/>
  <c r="E165" i="171"/>
  <c r="E177" i="171"/>
  <c r="E189" i="171"/>
  <c r="E195" i="171"/>
  <c r="E201" i="171"/>
  <c r="E207" i="171"/>
  <c r="E88" i="171"/>
  <c r="E164" i="171"/>
  <c r="E151" i="171"/>
  <c r="E169" i="171"/>
  <c r="E182" i="171"/>
  <c r="E184" i="171"/>
  <c r="E190" i="171"/>
  <c r="E196" i="171"/>
  <c r="E202" i="171"/>
  <c r="E208" i="171"/>
  <c r="E147" i="171"/>
  <c r="E176" i="171"/>
  <c r="E197" i="171"/>
  <c r="E198" i="171"/>
  <c r="E171" i="171"/>
  <c r="E210" i="171"/>
  <c r="E209" i="171"/>
  <c r="E192" i="171"/>
  <c r="E157" i="171"/>
  <c r="E204" i="171"/>
  <c r="E214" i="171"/>
  <c r="F1" i="171"/>
  <c r="E213" i="171"/>
  <c r="E218" i="171"/>
  <c r="E217" i="171"/>
  <c r="E216" i="171"/>
  <c r="T59" i="168"/>
  <c r="AC5" i="173" l="1"/>
  <c r="AC7" i="173"/>
  <c r="AC9" i="173"/>
  <c r="AC11" i="173"/>
  <c r="AC13" i="173"/>
  <c r="AC15" i="173"/>
  <c r="AC17" i="173"/>
  <c r="AC19" i="173"/>
  <c r="AC21" i="173"/>
  <c r="AC23" i="173"/>
  <c r="AC25" i="173"/>
  <c r="AC27" i="173"/>
  <c r="AC29" i="173"/>
  <c r="AC31" i="173"/>
  <c r="AC4" i="173"/>
  <c r="AC6" i="173"/>
  <c r="AC8" i="173"/>
  <c r="AC10" i="173"/>
  <c r="AC12" i="173"/>
  <c r="AC14" i="173"/>
  <c r="AC16" i="173"/>
  <c r="AC18" i="173"/>
  <c r="AC26" i="173"/>
  <c r="AC28" i="173"/>
  <c r="AC30" i="173"/>
  <c r="AC33" i="173"/>
  <c r="AC35" i="173"/>
  <c r="AC37" i="173"/>
  <c r="AC39" i="173"/>
  <c r="AC41" i="173"/>
  <c r="AC43" i="173"/>
  <c r="AC45" i="173"/>
  <c r="AC47" i="173"/>
  <c r="AC49" i="173"/>
  <c r="AC51" i="173"/>
  <c r="AC53" i="173"/>
  <c r="AC32" i="173"/>
  <c r="AC34" i="173"/>
  <c r="AC36" i="173"/>
  <c r="AC38" i="173"/>
  <c r="AC40" i="173"/>
  <c r="AC42" i="173"/>
  <c r="AC44" i="173"/>
  <c r="AC46" i="173"/>
  <c r="AC48" i="173"/>
  <c r="AC50" i="173"/>
  <c r="AC52" i="173"/>
  <c r="AC54" i="173"/>
  <c r="AC56" i="173"/>
  <c r="AC58" i="173"/>
  <c r="AC60" i="173"/>
  <c r="AC62" i="173"/>
  <c r="AC64" i="173"/>
  <c r="AC66" i="173"/>
  <c r="AC68" i="173"/>
  <c r="AC70" i="173"/>
  <c r="AC72" i="173"/>
  <c r="AC74" i="173"/>
  <c r="AC55" i="173"/>
  <c r="AC57" i="173"/>
  <c r="AC59" i="173"/>
  <c r="AC61" i="173"/>
  <c r="AC63" i="173"/>
  <c r="AC65" i="173"/>
  <c r="AC67" i="173"/>
  <c r="AC69" i="173"/>
  <c r="AC71" i="173"/>
  <c r="AC73" i="173"/>
  <c r="AC22" i="173"/>
  <c r="AC20" i="173"/>
  <c r="AC24" i="173"/>
  <c r="AC76" i="173"/>
  <c r="AC78" i="173"/>
  <c r="AC80" i="173"/>
  <c r="AC82" i="173"/>
  <c r="AC84" i="173"/>
  <c r="AC86" i="173"/>
  <c r="AC88" i="173"/>
  <c r="AC90" i="173"/>
  <c r="AC92" i="173"/>
  <c r="AC94" i="173"/>
  <c r="AC96" i="173"/>
  <c r="AC75" i="173"/>
  <c r="AC77" i="173"/>
  <c r="AC79" i="173"/>
  <c r="AC81" i="173"/>
  <c r="AC83" i="173"/>
  <c r="AC85" i="173"/>
  <c r="AC87" i="173"/>
  <c r="AC89" i="173"/>
  <c r="AC91" i="173"/>
  <c r="AC93" i="173"/>
  <c r="AC95" i="173"/>
  <c r="AC97" i="173"/>
  <c r="AC99" i="173"/>
  <c r="AC98" i="173"/>
  <c r="AC101" i="173"/>
  <c r="AC103" i="173"/>
  <c r="AC105" i="173"/>
  <c r="AC107" i="173"/>
  <c r="AC109" i="173"/>
  <c r="AC111" i="173"/>
  <c r="AC113" i="173"/>
  <c r="AC115" i="173"/>
  <c r="AC117" i="173"/>
  <c r="AC119" i="173"/>
  <c r="AC121" i="173"/>
  <c r="AC123" i="173"/>
  <c r="AC100" i="173"/>
  <c r="AC102" i="173"/>
  <c r="AC104" i="173"/>
  <c r="AC106" i="173"/>
  <c r="AC108" i="173"/>
  <c r="AC110" i="173"/>
  <c r="AC112" i="173"/>
  <c r="AC114" i="173"/>
  <c r="AC116" i="173"/>
  <c r="AC118" i="173"/>
  <c r="AC120" i="173"/>
  <c r="AC122" i="173"/>
  <c r="AC124" i="173"/>
  <c r="AC126" i="173"/>
  <c r="AC129" i="173"/>
  <c r="AC131" i="173"/>
  <c r="AC133" i="173"/>
  <c r="AC135" i="173"/>
  <c r="AC137" i="173"/>
  <c r="AC139" i="173"/>
  <c r="AC141" i="173"/>
  <c r="AC143" i="173"/>
  <c r="AC145" i="173"/>
  <c r="AC147" i="173"/>
  <c r="AC149" i="173"/>
  <c r="AC151" i="173"/>
  <c r="AC127" i="173"/>
  <c r="AC128" i="173"/>
  <c r="AC130" i="173"/>
  <c r="AC132" i="173"/>
  <c r="AC134" i="173"/>
  <c r="AC136" i="173"/>
  <c r="AC138" i="173"/>
  <c r="AC140" i="173"/>
  <c r="AC142" i="173"/>
  <c r="AC144" i="173"/>
  <c r="AC146" i="173"/>
  <c r="AC148" i="173"/>
  <c r="AC150" i="173"/>
  <c r="AC152" i="173"/>
  <c r="AC125" i="173"/>
  <c r="AC3" i="173"/>
  <c r="AC216" i="173"/>
  <c r="AC212" i="173"/>
  <c r="AC208" i="173"/>
  <c r="AC217" i="173"/>
  <c r="AC211" i="173"/>
  <c r="AC205" i="173"/>
  <c r="AC201" i="173"/>
  <c r="AC197" i="173"/>
  <c r="AC215" i="173"/>
  <c r="AC209" i="173"/>
  <c r="AC207" i="173"/>
  <c r="AC202" i="173"/>
  <c r="AC218" i="173"/>
  <c r="AC210" i="173"/>
  <c r="AC206" i="173"/>
  <c r="AC214" i="173"/>
  <c r="AC203" i="173"/>
  <c r="AC196" i="173"/>
  <c r="AC192" i="173"/>
  <c r="AC188" i="173"/>
  <c r="AC213" i="173"/>
  <c r="AC204" i="173"/>
  <c r="AC198" i="173"/>
  <c r="AC195" i="173"/>
  <c r="AC191" i="173"/>
  <c r="AC186" i="173"/>
  <c r="AC199" i="173"/>
  <c r="AC193" i="173"/>
  <c r="AC200" i="173"/>
  <c r="AC189" i="173"/>
  <c r="AC194" i="173"/>
  <c r="AC187" i="173"/>
  <c r="AC184" i="173"/>
  <c r="AC180" i="173"/>
  <c r="AC176" i="173"/>
  <c r="AC172" i="173"/>
  <c r="AC168" i="173"/>
  <c r="AC181" i="173"/>
  <c r="AC177" i="173"/>
  <c r="AC173" i="173"/>
  <c r="AC169" i="173"/>
  <c r="AC190" i="173"/>
  <c r="AC185" i="173"/>
  <c r="AC182" i="173"/>
  <c r="AC178" i="173"/>
  <c r="AC174" i="173"/>
  <c r="AC170" i="173"/>
  <c r="AC175" i="173"/>
  <c r="AC166" i="173"/>
  <c r="AC162" i="173"/>
  <c r="AC158" i="173"/>
  <c r="AC179" i="173"/>
  <c r="AC163" i="173"/>
  <c r="AC159" i="173"/>
  <c r="AC155" i="173"/>
  <c r="AC154" i="173"/>
  <c r="AC153" i="173"/>
  <c r="AC183" i="173"/>
  <c r="AC164" i="173"/>
  <c r="AC160" i="173"/>
  <c r="AC156" i="173"/>
  <c r="AC171" i="173"/>
  <c r="AC167" i="173"/>
  <c r="AC165" i="173"/>
  <c r="AC161" i="173"/>
  <c r="AC157" i="173"/>
  <c r="AD1" i="173"/>
  <c r="F8" i="171"/>
  <c r="F14" i="171"/>
  <c r="F20" i="171"/>
  <c r="F5" i="171"/>
  <c r="F11" i="171"/>
  <c r="F17" i="171"/>
  <c r="F6" i="171"/>
  <c r="F12" i="171"/>
  <c r="F18" i="171"/>
  <c r="F4" i="171"/>
  <c r="F16" i="171"/>
  <c r="F13" i="171"/>
  <c r="F25" i="171"/>
  <c r="F7" i="171"/>
  <c r="F24" i="171"/>
  <c r="F30" i="171"/>
  <c r="F10" i="171"/>
  <c r="F21" i="171"/>
  <c r="F28" i="171"/>
  <c r="F31" i="171"/>
  <c r="F32" i="171"/>
  <c r="F15" i="171"/>
  <c r="F34" i="171"/>
  <c r="F27" i="171"/>
  <c r="F35" i="171"/>
  <c r="F41" i="171"/>
  <c r="F22" i="171"/>
  <c r="F33" i="171"/>
  <c r="F39" i="171"/>
  <c r="F45" i="171"/>
  <c r="F51" i="171"/>
  <c r="F57" i="171"/>
  <c r="F29" i="171"/>
  <c r="F19" i="171"/>
  <c r="F23" i="171"/>
  <c r="F40" i="171"/>
  <c r="F47" i="171"/>
  <c r="F53" i="171"/>
  <c r="F59" i="171"/>
  <c r="F38" i="171"/>
  <c r="F43" i="171"/>
  <c r="F52" i="171"/>
  <c r="F26" i="171"/>
  <c r="F37" i="171"/>
  <c r="F48" i="171"/>
  <c r="F50" i="171"/>
  <c r="F46" i="171"/>
  <c r="F55" i="171"/>
  <c r="F9" i="171"/>
  <c r="F42" i="171"/>
  <c r="F66" i="171"/>
  <c r="F72" i="171"/>
  <c r="F78" i="171"/>
  <c r="F84" i="171"/>
  <c r="F49" i="171"/>
  <c r="F61" i="171"/>
  <c r="F67" i="171"/>
  <c r="F73" i="171"/>
  <c r="F79" i="171"/>
  <c r="F56" i="171"/>
  <c r="F68" i="171"/>
  <c r="F74" i="171"/>
  <c r="F80" i="171"/>
  <c r="F54" i="171"/>
  <c r="F71" i="171"/>
  <c r="F83" i="171"/>
  <c r="F89" i="171"/>
  <c r="F95" i="171"/>
  <c r="F101" i="171"/>
  <c r="F36" i="171"/>
  <c r="F44" i="171"/>
  <c r="F63" i="171"/>
  <c r="F75" i="171"/>
  <c r="F90" i="171"/>
  <c r="F96" i="171"/>
  <c r="F58" i="171"/>
  <c r="F62" i="171"/>
  <c r="F70" i="171"/>
  <c r="F82" i="171"/>
  <c r="F85" i="171"/>
  <c r="F91" i="171"/>
  <c r="F97" i="171"/>
  <c r="F65" i="171"/>
  <c r="F77" i="171"/>
  <c r="F86" i="171"/>
  <c r="F92" i="171"/>
  <c r="F98" i="171"/>
  <c r="F60" i="171"/>
  <c r="F76" i="171"/>
  <c r="F88" i="171"/>
  <c r="F103" i="171"/>
  <c r="F109" i="171"/>
  <c r="F115" i="171"/>
  <c r="F121" i="171"/>
  <c r="F81" i="171"/>
  <c r="F87" i="171"/>
  <c r="F104" i="171"/>
  <c r="F110" i="171"/>
  <c r="F116" i="171"/>
  <c r="F122" i="171"/>
  <c r="F128" i="171"/>
  <c r="F134" i="171"/>
  <c r="F94" i="171"/>
  <c r="F105" i="171"/>
  <c r="F111" i="171"/>
  <c r="F117" i="171"/>
  <c r="F123" i="171"/>
  <c r="F129" i="171"/>
  <c r="F135" i="171"/>
  <c r="F93" i="171"/>
  <c r="F106" i="171"/>
  <c r="F112" i="171"/>
  <c r="F118" i="171"/>
  <c r="F124" i="171"/>
  <c r="F130" i="171"/>
  <c r="F136" i="171"/>
  <c r="F64" i="171"/>
  <c r="F119" i="171"/>
  <c r="F132" i="171"/>
  <c r="F145" i="171"/>
  <c r="F151" i="171"/>
  <c r="F157" i="171"/>
  <c r="F163" i="171"/>
  <c r="F99" i="171"/>
  <c r="F108" i="171"/>
  <c r="F127" i="171"/>
  <c r="F107" i="171"/>
  <c r="F131" i="171"/>
  <c r="F141" i="171"/>
  <c r="F147" i="171"/>
  <c r="F153" i="171"/>
  <c r="F159" i="171"/>
  <c r="F165" i="171"/>
  <c r="F171" i="171"/>
  <c r="F177" i="171"/>
  <c r="F69" i="171"/>
  <c r="F114" i="171"/>
  <c r="F126" i="171"/>
  <c r="F138" i="171"/>
  <c r="F142" i="171"/>
  <c r="F148" i="171"/>
  <c r="F154" i="171"/>
  <c r="F160" i="171"/>
  <c r="F166" i="171"/>
  <c r="F172" i="171"/>
  <c r="F178" i="171"/>
  <c r="F184" i="171"/>
  <c r="F100" i="171"/>
  <c r="F113" i="171"/>
  <c r="F133" i="171"/>
  <c r="F143" i="171"/>
  <c r="F149" i="171"/>
  <c r="F155" i="171"/>
  <c r="F161" i="171"/>
  <c r="F167" i="171"/>
  <c r="F173" i="171"/>
  <c r="F179" i="171"/>
  <c r="F185" i="171"/>
  <c r="F125" i="171"/>
  <c r="F139" i="171"/>
  <c r="F146" i="171"/>
  <c r="F168" i="171"/>
  <c r="F192" i="171"/>
  <c r="F198" i="171"/>
  <c r="F204" i="171"/>
  <c r="F210" i="171"/>
  <c r="F102" i="171"/>
  <c r="F137" i="171"/>
  <c r="F156" i="171"/>
  <c r="F175" i="171"/>
  <c r="F181" i="171"/>
  <c r="F183" i="171"/>
  <c r="F187" i="171"/>
  <c r="F193" i="171"/>
  <c r="F199" i="171"/>
  <c r="F205" i="171"/>
  <c r="F211" i="171"/>
  <c r="F140" i="171"/>
  <c r="F202" i="171"/>
  <c r="F120" i="171"/>
  <c r="F152" i="171"/>
  <c r="F170" i="171"/>
  <c r="F186" i="171"/>
  <c r="F188" i="171"/>
  <c r="F194" i="171"/>
  <c r="F200" i="171"/>
  <c r="F206" i="171"/>
  <c r="F212" i="171"/>
  <c r="F3" i="171"/>
  <c r="F169" i="171"/>
  <c r="F182" i="171"/>
  <c r="F196" i="171"/>
  <c r="F144" i="171"/>
  <c r="F162" i="171"/>
  <c r="F174" i="171"/>
  <c r="F189" i="171"/>
  <c r="F195" i="171"/>
  <c r="F201" i="171"/>
  <c r="F207" i="171"/>
  <c r="F158" i="171"/>
  <c r="F180" i="171"/>
  <c r="F190" i="171"/>
  <c r="F191" i="171"/>
  <c r="F164" i="171"/>
  <c r="F197" i="171"/>
  <c r="F176" i="171"/>
  <c r="F203" i="171"/>
  <c r="F209" i="171"/>
  <c r="F208" i="171"/>
  <c r="F150" i="171"/>
  <c r="F213" i="171"/>
  <c r="G1" i="171"/>
  <c r="F218" i="171"/>
  <c r="F215" i="171"/>
  <c r="F214" i="171"/>
  <c r="F216" i="171"/>
  <c r="F217" i="171"/>
  <c r="AD5" i="173" l="1"/>
  <c r="AD7" i="173"/>
  <c r="AD9" i="173"/>
  <c r="AD11" i="173"/>
  <c r="AD13" i="173"/>
  <c r="AD15" i="173"/>
  <c r="AD17" i="173"/>
  <c r="AD19" i="173"/>
  <c r="AD21" i="173"/>
  <c r="AD23" i="173"/>
  <c r="AD25" i="173"/>
  <c r="AD27" i="173"/>
  <c r="AD29" i="173"/>
  <c r="AD31" i="173"/>
  <c r="AD6" i="173"/>
  <c r="AD12" i="173"/>
  <c r="AD18" i="173"/>
  <c r="AD24" i="173"/>
  <c r="AD26" i="173"/>
  <c r="AD28" i="173"/>
  <c r="AD30" i="173"/>
  <c r="AD33" i="173"/>
  <c r="AD35" i="173"/>
  <c r="AD37" i="173"/>
  <c r="AD39" i="173"/>
  <c r="AD41" i="173"/>
  <c r="AD43" i="173"/>
  <c r="AD45" i="173"/>
  <c r="AD47" i="173"/>
  <c r="AD49" i="173"/>
  <c r="AD51" i="173"/>
  <c r="AD53" i="173"/>
  <c r="AD10" i="173"/>
  <c r="AD16" i="173"/>
  <c r="AD4" i="173"/>
  <c r="AD8" i="173"/>
  <c r="AD14" i="173"/>
  <c r="AD52" i="173"/>
  <c r="AD56" i="173"/>
  <c r="AD58" i="173"/>
  <c r="AD60" i="173"/>
  <c r="AD62" i="173"/>
  <c r="AD64" i="173"/>
  <c r="AD66" i="173"/>
  <c r="AD68" i="173"/>
  <c r="AD70" i="173"/>
  <c r="AD72" i="173"/>
  <c r="AD32" i="173"/>
  <c r="AD54" i="173"/>
  <c r="AD34" i="173"/>
  <c r="AD36" i="173"/>
  <c r="AD38" i="173"/>
  <c r="AD40" i="173"/>
  <c r="AD44" i="173"/>
  <c r="AD22" i="173"/>
  <c r="AD46" i="173"/>
  <c r="AD61" i="173"/>
  <c r="AD69" i="173"/>
  <c r="AD48" i="173"/>
  <c r="AD55" i="173"/>
  <c r="AD63" i="173"/>
  <c r="AD71" i="173"/>
  <c r="AD74" i="173"/>
  <c r="AD76" i="173"/>
  <c r="AD78" i="173"/>
  <c r="AD80" i="173"/>
  <c r="AD82" i="173"/>
  <c r="AD84" i="173"/>
  <c r="AD86" i="173"/>
  <c r="AD88" i="173"/>
  <c r="AD90" i="173"/>
  <c r="AD92" i="173"/>
  <c r="AD94" i="173"/>
  <c r="AD96" i="173"/>
  <c r="AD98" i="173"/>
  <c r="AD42" i="173"/>
  <c r="AD57" i="173"/>
  <c r="AD65" i="173"/>
  <c r="AD73" i="173"/>
  <c r="AD20" i="173"/>
  <c r="AD50" i="173"/>
  <c r="AD67" i="173"/>
  <c r="AD77" i="173"/>
  <c r="AD85" i="173"/>
  <c r="AD93" i="173"/>
  <c r="AD99" i="173"/>
  <c r="AD79" i="173"/>
  <c r="AD87" i="173"/>
  <c r="AD95" i="173"/>
  <c r="AD101" i="173"/>
  <c r="AD103" i="173"/>
  <c r="AD105" i="173"/>
  <c r="AD107" i="173"/>
  <c r="AD109" i="173"/>
  <c r="AD111" i="173"/>
  <c r="AD113" i="173"/>
  <c r="AD115" i="173"/>
  <c r="AD117" i="173"/>
  <c r="AD119" i="173"/>
  <c r="AD121" i="173"/>
  <c r="AD123" i="173"/>
  <c r="AD81" i="173"/>
  <c r="AD89" i="173"/>
  <c r="AD97" i="173"/>
  <c r="AD59" i="173"/>
  <c r="AD75" i="173"/>
  <c r="AD83" i="173"/>
  <c r="AD91" i="173"/>
  <c r="AD108" i="173"/>
  <c r="AD120" i="173"/>
  <c r="AD124" i="173"/>
  <c r="AD126" i="173"/>
  <c r="AD106" i="173"/>
  <c r="AD118" i="173"/>
  <c r="AD129" i="173"/>
  <c r="AD131" i="173"/>
  <c r="AD133" i="173"/>
  <c r="AD135" i="173"/>
  <c r="AD137" i="173"/>
  <c r="AD139" i="173"/>
  <c r="AD141" i="173"/>
  <c r="AD143" i="173"/>
  <c r="AD145" i="173"/>
  <c r="AD147" i="173"/>
  <c r="AD149" i="173"/>
  <c r="AD151" i="173"/>
  <c r="AD104" i="173"/>
  <c r="AD116" i="173"/>
  <c r="AD127" i="173"/>
  <c r="AD102" i="173"/>
  <c r="AD114" i="173"/>
  <c r="AD100" i="173"/>
  <c r="AD112" i="173"/>
  <c r="AD128" i="173"/>
  <c r="AD130" i="173"/>
  <c r="AD132" i="173"/>
  <c r="AD134" i="173"/>
  <c r="AD136" i="173"/>
  <c r="AD138" i="173"/>
  <c r="AD140" i="173"/>
  <c r="AD142" i="173"/>
  <c r="AD144" i="173"/>
  <c r="AD146" i="173"/>
  <c r="AD148" i="173"/>
  <c r="AD150" i="173"/>
  <c r="AD152" i="173"/>
  <c r="AD122" i="173"/>
  <c r="AD125" i="173"/>
  <c r="AD3" i="173"/>
  <c r="AD110" i="173"/>
  <c r="AD217" i="173"/>
  <c r="AD213" i="173"/>
  <c r="AD209" i="173"/>
  <c r="AD218" i="173"/>
  <c r="AD212" i="173"/>
  <c r="AD206" i="173"/>
  <c r="AD202" i="173"/>
  <c r="AD198" i="173"/>
  <c r="AD194" i="173"/>
  <c r="AD214" i="173"/>
  <c r="AD203" i="173"/>
  <c r="AD215" i="173"/>
  <c r="AD207" i="173"/>
  <c r="AD208" i="173"/>
  <c r="AD204" i="173"/>
  <c r="AD201" i="173"/>
  <c r="AD197" i="173"/>
  <c r="AD193" i="173"/>
  <c r="AD189" i="173"/>
  <c r="AD185" i="173"/>
  <c r="AD205" i="173"/>
  <c r="AD199" i="173"/>
  <c r="AD211" i="173"/>
  <c r="AD216" i="173"/>
  <c r="AD196" i="173"/>
  <c r="AD192" i="173"/>
  <c r="AD187" i="173"/>
  <c r="AD200" i="173"/>
  <c r="AD188" i="173"/>
  <c r="AD210" i="173"/>
  <c r="AD190" i="173"/>
  <c r="AD191" i="173"/>
  <c r="AD181" i="173"/>
  <c r="AD177" i="173"/>
  <c r="AD173" i="173"/>
  <c r="AD169" i="173"/>
  <c r="AD195" i="173"/>
  <c r="AD182" i="173"/>
  <c r="AD178" i="173"/>
  <c r="AD174" i="173"/>
  <c r="AD170" i="173"/>
  <c r="AD183" i="173"/>
  <c r="AD179" i="173"/>
  <c r="AD175" i="173"/>
  <c r="AD171" i="173"/>
  <c r="AD176" i="173"/>
  <c r="AD163" i="173"/>
  <c r="AD159" i="173"/>
  <c r="AD155" i="173"/>
  <c r="AD154" i="173"/>
  <c r="AD153" i="173"/>
  <c r="AD180" i="173"/>
  <c r="AD164" i="173"/>
  <c r="AD160" i="173"/>
  <c r="AD156" i="173"/>
  <c r="AD186" i="173"/>
  <c r="AD184" i="173"/>
  <c r="AD167" i="173"/>
  <c r="AD165" i="173"/>
  <c r="AD161" i="173"/>
  <c r="AD157" i="173"/>
  <c r="AD172" i="173"/>
  <c r="AD168" i="173"/>
  <c r="AD166" i="173"/>
  <c r="AD162" i="173"/>
  <c r="AD158" i="173"/>
  <c r="AE1" i="173"/>
  <c r="G7" i="171"/>
  <c r="G13" i="171"/>
  <c r="G19" i="171"/>
  <c r="G4" i="171"/>
  <c r="G10" i="171"/>
  <c r="G16" i="171"/>
  <c r="G5" i="171"/>
  <c r="G11" i="171"/>
  <c r="G17" i="171"/>
  <c r="G9" i="171"/>
  <c r="G6" i="171"/>
  <c r="G18" i="171"/>
  <c r="G24" i="171"/>
  <c r="G27" i="171"/>
  <c r="G29" i="171"/>
  <c r="G14" i="171"/>
  <c r="G30" i="171"/>
  <c r="G20" i="171"/>
  <c r="G21" i="171"/>
  <c r="G25" i="171"/>
  <c r="G28" i="171"/>
  <c r="G31" i="171"/>
  <c r="G8" i="171"/>
  <c r="G26" i="171"/>
  <c r="G33" i="171"/>
  <c r="G15" i="171"/>
  <c r="G34" i="171"/>
  <c r="G40" i="171"/>
  <c r="G44" i="171"/>
  <c r="G50" i="171"/>
  <c r="G56" i="171"/>
  <c r="G62" i="171"/>
  <c r="G22" i="171"/>
  <c r="G32" i="171"/>
  <c r="G12" i="171"/>
  <c r="G36" i="171"/>
  <c r="G38" i="171"/>
  <c r="G46" i="171"/>
  <c r="G52" i="171"/>
  <c r="G58" i="171"/>
  <c r="G23" i="171"/>
  <c r="G39" i="171"/>
  <c r="G45" i="171"/>
  <c r="G54" i="171"/>
  <c r="G43" i="171"/>
  <c r="G59" i="171"/>
  <c r="G37" i="171"/>
  <c r="G41" i="171"/>
  <c r="G48" i="171"/>
  <c r="G57" i="171"/>
  <c r="G53" i="171"/>
  <c r="G65" i="171"/>
  <c r="G71" i="171"/>
  <c r="G77" i="171"/>
  <c r="G83" i="171"/>
  <c r="G42" i="171"/>
  <c r="G66" i="171"/>
  <c r="G72" i="171"/>
  <c r="G78" i="171"/>
  <c r="G84" i="171"/>
  <c r="G49" i="171"/>
  <c r="G61" i="171"/>
  <c r="G67" i="171"/>
  <c r="G73" i="171"/>
  <c r="G79" i="171"/>
  <c r="G35" i="171"/>
  <c r="G47" i="171"/>
  <c r="G60" i="171"/>
  <c r="G64" i="171"/>
  <c r="G76" i="171"/>
  <c r="G88" i="171"/>
  <c r="G94" i="171"/>
  <c r="G100" i="171"/>
  <c r="G68" i="171"/>
  <c r="G80" i="171"/>
  <c r="G89" i="171"/>
  <c r="G95" i="171"/>
  <c r="G101" i="171"/>
  <c r="G51" i="171"/>
  <c r="G63" i="171"/>
  <c r="G75" i="171"/>
  <c r="G90" i="171"/>
  <c r="G96" i="171"/>
  <c r="G70" i="171"/>
  <c r="G82" i="171"/>
  <c r="G85" i="171"/>
  <c r="G91" i="171"/>
  <c r="G97" i="171"/>
  <c r="G69" i="171"/>
  <c r="G99" i="171"/>
  <c r="G102" i="171"/>
  <c r="G108" i="171"/>
  <c r="G114" i="171"/>
  <c r="G120" i="171"/>
  <c r="G55" i="171"/>
  <c r="G74" i="171"/>
  <c r="G98" i="171"/>
  <c r="G103" i="171"/>
  <c r="G109" i="171"/>
  <c r="G115" i="171"/>
  <c r="G121" i="171"/>
  <c r="G127" i="171"/>
  <c r="G133" i="171"/>
  <c r="G139" i="171"/>
  <c r="G81" i="171"/>
  <c r="G87" i="171"/>
  <c r="G104" i="171"/>
  <c r="G110" i="171"/>
  <c r="G116" i="171"/>
  <c r="G122" i="171"/>
  <c r="G128" i="171"/>
  <c r="G134" i="171"/>
  <c r="G86" i="171"/>
  <c r="G105" i="171"/>
  <c r="G111" i="171"/>
  <c r="G117" i="171"/>
  <c r="G123" i="171"/>
  <c r="G129" i="171"/>
  <c r="G135" i="171"/>
  <c r="G112" i="171"/>
  <c r="G125" i="171"/>
  <c r="G137" i="171"/>
  <c r="G144" i="171"/>
  <c r="G150" i="171"/>
  <c r="G156" i="171"/>
  <c r="G162" i="171"/>
  <c r="G92" i="171"/>
  <c r="G119" i="171"/>
  <c r="G132" i="171"/>
  <c r="G118" i="171"/>
  <c r="G124" i="171"/>
  <c r="G136" i="171"/>
  <c r="G140" i="171"/>
  <c r="G146" i="171"/>
  <c r="G152" i="171"/>
  <c r="G158" i="171"/>
  <c r="G164" i="171"/>
  <c r="G170" i="171"/>
  <c r="G176" i="171"/>
  <c r="G107" i="171"/>
  <c r="G131" i="171"/>
  <c r="G141" i="171"/>
  <c r="G147" i="171"/>
  <c r="G153" i="171"/>
  <c r="G159" i="171"/>
  <c r="G165" i="171"/>
  <c r="G171" i="171"/>
  <c r="G177" i="171"/>
  <c r="G183" i="171"/>
  <c r="G93" i="171"/>
  <c r="G106" i="171"/>
  <c r="G126" i="171"/>
  <c r="G138" i="171"/>
  <c r="G142" i="171"/>
  <c r="G148" i="171"/>
  <c r="G154" i="171"/>
  <c r="G160" i="171"/>
  <c r="G166" i="171"/>
  <c r="G172" i="171"/>
  <c r="G178" i="171"/>
  <c r="G184" i="171"/>
  <c r="G157" i="171"/>
  <c r="G173" i="171"/>
  <c r="G185" i="171"/>
  <c r="G191" i="171"/>
  <c r="G197" i="171"/>
  <c r="G203" i="171"/>
  <c r="G209" i="171"/>
  <c r="G195" i="171"/>
  <c r="G130" i="171"/>
  <c r="G149" i="171"/>
  <c r="G168" i="171"/>
  <c r="G192" i="171"/>
  <c r="G198" i="171"/>
  <c r="G204" i="171"/>
  <c r="G210" i="171"/>
  <c r="G113" i="171"/>
  <c r="G145" i="171"/>
  <c r="G163" i="171"/>
  <c r="G175" i="171"/>
  <c r="G179" i="171"/>
  <c r="G181" i="171"/>
  <c r="G187" i="171"/>
  <c r="G193" i="171"/>
  <c r="G199" i="171"/>
  <c r="G205" i="171"/>
  <c r="G211" i="171"/>
  <c r="G189" i="171"/>
  <c r="G201" i="171"/>
  <c r="G155" i="171"/>
  <c r="G167" i="171"/>
  <c r="G186" i="171"/>
  <c r="G188" i="171"/>
  <c r="G194" i="171"/>
  <c r="G200" i="171"/>
  <c r="G206" i="171"/>
  <c r="G212" i="171"/>
  <c r="G3" i="171"/>
  <c r="G151" i="171"/>
  <c r="G174" i="171"/>
  <c r="G208" i="171"/>
  <c r="G161" i="171"/>
  <c r="G190" i="171"/>
  <c r="G207" i="171"/>
  <c r="G180" i="171"/>
  <c r="G196" i="171"/>
  <c r="G202" i="171"/>
  <c r="G143" i="171"/>
  <c r="G169" i="171"/>
  <c r="G182" i="171"/>
  <c r="G213" i="171"/>
  <c r="G216" i="171"/>
  <c r="H1" i="171"/>
  <c r="G215" i="171"/>
  <c r="G217" i="171"/>
  <c r="G218" i="171"/>
  <c r="G214" i="171"/>
  <c r="B67" i="168"/>
  <c r="B66" i="168"/>
  <c r="AE5" i="173" l="1"/>
  <c r="AE7" i="173"/>
  <c r="AE9" i="173"/>
  <c r="AE11" i="173"/>
  <c r="AE13" i="173"/>
  <c r="AE15" i="173"/>
  <c r="AE17" i="173"/>
  <c r="AE19" i="173"/>
  <c r="AE21" i="173"/>
  <c r="AE23" i="173"/>
  <c r="AE25" i="173"/>
  <c r="AE27" i="173"/>
  <c r="AE29" i="173"/>
  <c r="AE31" i="173"/>
  <c r="AE22" i="173"/>
  <c r="AE6" i="173"/>
  <c r="AE12" i="173"/>
  <c r="AE18" i="173"/>
  <c r="AE24" i="173"/>
  <c r="AE26" i="173"/>
  <c r="AE28" i="173"/>
  <c r="AE30" i="173"/>
  <c r="AE33" i="173"/>
  <c r="AE35" i="173"/>
  <c r="AE37" i="173"/>
  <c r="AE39" i="173"/>
  <c r="AE41" i="173"/>
  <c r="AE43" i="173"/>
  <c r="AE45" i="173"/>
  <c r="AE47" i="173"/>
  <c r="AE49" i="173"/>
  <c r="AE51" i="173"/>
  <c r="AE53" i="173"/>
  <c r="AE50" i="173"/>
  <c r="AE52" i="173"/>
  <c r="AE56" i="173"/>
  <c r="AE58" i="173"/>
  <c r="AE60" i="173"/>
  <c r="AE62" i="173"/>
  <c r="AE64" i="173"/>
  <c r="AE66" i="173"/>
  <c r="AE68" i="173"/>
  <c r="AE70" i="173"/>
  <c r="AE72" i="173"/>
  <c r="AE4" i="173"/>
  <c r="AE10" i="173"/>
  <c r="AE32" i="173"/>
  <c r="AE54" i="173"/>
  <c r="AE16" i="173"/>
  <c r="AE34" i="173"/>
  <c r="AE36" i="173"/>
  <c r="AE38" i="173"/>
  <c r="AE14" i="173"/>
  <c r="AE42" i="173"/>
  <c r="AE55" i="173"/>
  <c r="AE57" i="173"/>
  <c r="AE59" i="173"/>
  <c r="AE61" i="173"/>
  <c r="AE63" i="173"/>
  <c r="AE65" i="173"/>
  <c r="AE67" i="173"/>
  <c r="AE69" i="173"/>
  <c r="AE71" i="173"/>
  <c r="AE73" i="173"/>
  <c r="AE44" i="173"/>
  <c r="AE40" i="173"/>
  <c r="AE48" i="173"/>
  <c r="AE74" i="173"/>
  <c r="AE76" i="173"/>
  <c r="AE78" i="173"/>
  <c r="AE80" i="173"/>
  <c r="AE82" i="173"/>
  <c r="AE84" i="173"/>
  <c r="AE86" i="173"/>
  <c r="AE88" i="173"/>
  <c r="AE90" i="173"/>
  <c r="AE92" i="173"/>
  <c r="AE94" i="173"/>
  <c r="AE96" i="173"/>
  <c r="AE98" i="173"/>
  <c r="AE8" i="173"/>
  <c r="AE46" i="173"/>
  <c r="AE20" i="173"/>
  <c r="AE77" i="173"/>
  <c r="AE85" i="173"/>
  <c r="AE93" i="173"/>
  <c r="AE99" i="173"/>
  <c r="AE79" i="173"/>
  <c r="AE87" i="173"/>
  <c r="AE95" i="173"/>
  <c r="AE101" i="173"/>
  <c r="AE103" i="173"/>
  <c r="AE105" i="173"/>
  <c r="AE107" i="173"/>
  <c r="AE109" i="173"/>
  <c r="AE111" i="173"/>
  <c r="AE113" i="173"/>
  <c r="AE115" i="173"/>
  <c r="AE117" i="173"/>
  <c r="AE119" i="173"/>
  <c r="AE121" i="173"/>
  <c r="AE123" i="173"/>
  <c r="AE81" i="173"/>
  <c r="AE89" i="173"/>
  <c r="AE97" i="173"/>
  <c r="AE125" i="173"/>
  <c r="AE108" i="173"/>
  <c r="AE120" i="173"/>
  <c r="AE124" i="173"/>
  <c r="AE126" i="173"/>
  <c r="AE106" i="173"/>
  <c r="AE118" i="173"/>
  <c r="AE129" i="173"/>
  <c r="AE131" i="173"/>
  <c r="AE133" i="173"/>
  <c r="AE135" i="173"/>
  <c r="AE137" i="173"/>
  <c r="AE139" i="173"/>
  <c r="AE141" i="173"/>
  <c r="AE143" i="173"/>
  <c r="AE145" i="173"/>
  <c r="AE147" i="173"/>
  <c r="AE149" i="173"/>
  <c r="AE151" i="173"/>
  <c r="AE104" i="173"/>
  <c r="AE116" i="173"/>
  <c r="AE127" i="173"/>
  <c r="AE91" i="173"/>
  <c r="AE83" i="173"/>
  <c r="AE100" i="173"/>
  <c r="AE112" i="173"/>
  <c r="AE102" i="173"/>
  <c r="AE138" i="173"/>
  <c r="AE146" i="173"/>
  <c r="AE75" i="173"/>
  <c r="AE134" i="173"/>
  <c r="AE142" i="173"/>
  <c r="AE150" i="173"/>
  <c r="AE130" i="173"/>
  <c r="AE122" i="173"/>
  <c r="AE114" i="173"/>
  <c r="AE128" i="173"/>
  <c r="AE136" i="173"/>
  <c r="AE144" i="173"/>
  <c r="AE152" i="173"/>
  <c r="AE140" i="173"/>
  <c r="AE148" i="173"/>
  <c r="AE3" i="173"/>
  <c r="AE132" i="173"/>
  <c r="AE110" i="173"/>
  <c r="AE218" i="173"/>
  <c r="AE214" i="173"/>
  <c r="AE210" i="173"/>
  <c r="AE213" i="173"/>
  <c r="AE208" i="173"/>
  <c r="AE207" i="173"/>
  <c r="AE203" i="173"/>
  <c r="AE199" i="173"/>
  <c r="AE195" i="173"/>
  <c r="AE217" i="173"/>
  <c r="AE211" i="173"/>
  <c r="AE204" i="173"/>
  <c r="AE212" i="173"/>
  <c r="AE209" i="173"/>
  <c r="AE202" i="173"/>
  <c r="AE205" i="173"/>
  <c r="AE198" i="173"/>
  <c r="AE190" i="173"/>
  <c r="AE186" i="173"/>
  <c r="AE206" i="173"/>
  <c r="AE200" i="173"/>
  <c r="AE194" i="173"/>
  <c r="AE216" i="173"/>
  <c r="AE197" i="173"/>
  <c r="AE193" i="173"/>
  <c r="AE188" i="173"/>
  <c r="AE189" i="173"/>
  <c r="AE215" i="173"/>
  <c r="AE201" i="173"/>
  <c r="AE191" i="173"/>
  <c r="AE182" i="173"/>
  <c r="AE178" i="173"/>
  <c r="AE174" i="173"/>
  <c r="AE170" i="173"/>
  <c r="AE185" i="173"/>
  <c r="AE183" i="173"/>
  <c r="AE179" i="173"/>
  <c r="AE175" i="173"/>
  <c r="AE171" i="173"/>
  <c r="AE167" i="173"/>
  <c r="AE196" i="173"/>
  <c r="AE192" i="173"/>
  <c r="AE184" i="173"/>
  <c r="AE180" i="173"/>
  <c r="AE176" i="173"/>
  <c r="AE172" i="173"/>
  <c r="AE177" i="173"/>
  <c r="AE164" i="173"/>
  <c r="AE160" i="173"/>
  <c r="AE156" i="173"/>
  <c r="AE181" i="173"/>
  <c r="AE165" i="173"/>
  <c r="AE161" i="173"/>
  <c r="AE157" i="173"/>
  <c r="AE169" i="173"/>
  <c r="AE168" i="173"/>
  <c r="AE166" i="173"/>
  <c r="AE162" i="173"/>
  <c r="AE158" i="173"/>
  <c r="AE187" i="173"/>
  <c r="AE173" i="173"/>
  <c r="AE163" i="173"/>
  <c r="AE159" i="173"/>
  <c r="AE155" i="173"/>
  <c r="AE154" i="173"/>
  <c r="AE153" i="173"/>
  <c r="AF1" i="173"/>
  <c r="B65" i="168"/>
  <c r="B69" i="168" s="1"/>
  <c r="H6" i="171"/>
  <c r="H12" i="171"/>
  <c r="H18" i="171"/>
  <c r="H9" i="171"/>
  <c r="H15" i="171"/>
  <c r="H4" i="171"/>
  <c r="H10" i="171"/>
  <c r="H16" i="171"/>
  <c r="H14" i="171"/>
  <c r="H22" i="171"/>
  <c r="H11" i="171"/>
  <c r="H23" i="171"/>
  <c r="H7" i="171"/>
  <c r="H24" i="171"/>
  <c r="H27" i="171"/>
  <c r="H29" i="171"/>
  <c r="H13" i="171"/>
  <c r="H17" i="171"/>
  <c r="H30" i="171"/>
  <c r="H38" i="171"/>
  <c r="H8" i="171"/>
  <c r="H26" i="171"/>
  <c r="H33" i="171"/>
  <c r="H39" i="171"/>
  <c r="H21" i="171"/>
  <c r="H35" i="171"/>
  <c r="H37" i="171"/>
  <c r="H43" i="171"/>
  <c r="H49" i="171"/>
  <c r="H55" i="171"/>
  <c r="H61" i="171"/>
  <c r="H5" i="171"/>
  <c r="H25" i="171"/>
  <c r="H32" i="171"/>
  <c r="H45" i="171"/>
  <c r="H51" i="171"/>
  <c r="H57" i="171"/>
  <c r="H19" i="171"/>
  <c r="H28" i="171"/>
  <c r="H34" i="171"/>
  <c r="H36" i="171"/>
  <c r="H40" i="171"/>
  <c r="H47" i="171"/>
  <c r="H56" i="171"/>
  <c r="H52" i="171"/>
  <c r="H54" i="171"/>
  <c r="H50" i="171"/>
  <c r="H46" i="171"/>
  <c r="H60" i="171"/>
  <c r="H64" i="171"/>
  <c r="H70" i="171"/>
  <c r="H76" i="171"/>
  <c r="H82" i="171"/>
  <c r="H20" i="171"/>
  <c r="H53" i="171"/>
  <c r="H65" i="171"/>
  <c r="H71" i="171"/>
  <c r="H77" i="171"/>
  <c r="H83" i="171"/>
  <c r="H42" i="171"/>
  <c r="H66" i="171"/>
  <c r="H72" i="171"/>
  <c r="H78" i="171"/>
  <c r="H84" i="171"/>
  <c r="H31" i="171"/>
  <c r="H69" i="171"/>
  <c r="H81" i="171"/>
  <c r="H87" i="171"/>
  <c r="H93" i="171"/>
  <c r="H99" i="171"/>
  <c r="H59" i="171"/>
  <c r="H73" i="171"/>
  <c r="H88" i="171"/>
  <c r="H94" i="171"/>
  <c r="H100" i="171"/>
  <c r="H44" i="171"/>
  <c r="H68" i="171"/>
  <c r="H80" i="171"/>
  <c r="H89" i="171"/>
  <c r="H95" i="171"/>
  <c r="H101" i="171"/>
  <c r="H58" i="171"/>
  <c r="H62" i="171"/>
  <c r="H63" i="171"/>
  <c r="H75" i="171"/>
  <c r="H90" i="171"/>
  <c r="H96" i="171"/>
  <c r="H92" i="171"/>
  <c r="H107" i="171"/>
  <c r="H113" i="171"/>
  <c r="H119" i="171"/>
  <c r="H41" i="171"/>
  <c r="H48" i="171"/>
  <c r="H67" i="171"/>
  <c r="H91" i="171"/>
  <c r="H102" i="171"/>
  <c r="H108" i="171"/>
  <c r="H114" i="171"/>
  <c r="H120" i="171"/>
  <c r="H126" i="171"/>
  <c r="H132" i="171"/>
  <c r="H138" i="171"/>
  <c r="H74" i="171"/>
  <c r="H98" i="171"/>
  <c r="H103" i="171"/>
  <c r="H109" i="171"/>
  <c r="H115" i="171"/>
  <c r="H121" i="171"/>
  <c r="H127" i="171"/>
  <c r="H133" i="171"/>
  <c r="H79" i="171"/>
  <c r="H97" i="171"/>
  <c r="H104" i="171"/>
  <c r="H110" i="171"/>
  <c r="H116" i="171"/>
  <c r="H122" i="171"/>
  <c r="H128" i="171"/>
  <c r="H134" i="171"/>
  <c r="H105" i="171"/>
  <c r="H123" i="171"/>
  <c r="H130" i="171"/>
  <c r="H143" i="171"/>
  <c r="H149" i="171"/>
  <c r="H155" i="171"/>
  <c r="H161" i="171"/>
  <c r="H85" i="171"/>
  <c r="H112" i="171"/>
  <c r="H125" i="171"/>
  <c r="H111" i="171"/>
  <c r="H129" i="171"/>
  <c r="H139" i="171"/>
  <c r="H145" i="171"/>
  <c r="H151" i="171"/>
  <c r="H157" i="171"/>
  <c r="H163" i="171"/>
  <c r="H169" i="171"/>
  <c r="H175" i="171"/>
  <c r="H118" i="171"/>
  <c r="H124" i="171"/>
  <c r="H136" i="171"/>
  <c r="H140" i="171"/>
  <c r="H146" i="171"/>
  <c r="H152" i="171"/>
  <c r="H158" i="171"/>
  <c r="H164" i="171"/>
  <c r="H170" i="171"/>
  <c r="H176" i="171"/>
  <c r="H182" i="171"/>
  <c r="H86" i="171"/>
  <c r="H117" i="171"/>
  <c r="H131" i="171"/>
  <c r="H141" i="171"/>
  <c r="H147" i="171"/>
  <c r="H153" i="171"/>
  <c r="H159" i="171"/>
  <c r="H165" i="171"/>
  <c r="H171" i="171"/>
  <c r="H177" i="171"/>
  <c r="H183" i="171"/>
  <c r="H150" i="171"/>
  <c r="H166" i="171"/>
  <c r="H178" i="171"/>
  <c r="H180" i="171"/>
  <c r="H190" i="171"/>
  <c r="H196" i="171"/>
  <c r="H202" i="171"/>
  <c r="H208" i="171"/>
  <c r="H142" i="171"/>
  <c r="H160" i="171"/>
  <c r="H173" i="171"/>
  <c r="H185" i="171"/>
  <c r="H191" i="171"/>
  <c r="H197" i="171"/>
  <c r="H203" i="171"/>
  <c r="H209" i="171"/>
  <c r="H144" i="171"/>
  <c r="H194" i="171"/>
  <c r="H106" i="171"/>
  <c r="H137" i="171"/>
  <c r="H156" i="171"/>
  <c r="H168" i="171"/>
  <c r="H192" i="171"/>
  <c r="H198" i="171"/>
  <c r="H204" i="171"/>
  <c r="H210" i="171"/>
  <c r="H162" i="171"/>
  <c r="H167" i="171"/>
  <c r="H186" i="171"/>
  <c r="H135" i="171"/>
  <c r="H148" i="171"/>
  <c r="H172" i="171"/>
  <c r="H179" i="171"/>
  <c r="H181" i="171"/>
  <c r="H187" i="171"/>
  <c r="H193" i="171"/>
  <c r="H199" i="171"/>
  <c r="H205" i="171"/>
  <c r="H211" i="171"/>
  <c r="H184" i="171"/>
  <c r="H188" i="171"/>
  <c r="H200" i="171"/>
  <c r="H154" i="171"/>
  <c r="H189" i="171"/>
  <c r="H207" i="171"/>
  <c r="H195" i="171"/>
  <c r="H3" i="171"/>
  <c r="H201" i="171"/>
  <c r="H212" i="171"/>
  <c r="H174" i="171"/>
  <c r="H206" i="171"/>
  <c r="H213" i="171"/>
  <c r="H214" i="171"/>
  <c r="H215" i="171"/>
  <c r="H217" i="171"/>
  <c r="H218" i="171"/>
  <c r="I1" i="171"/>
  <c r="H216" i="171"/>
  <c r="T58" i="168"/>
  <c r="AF5" i="173" l="1"/>
  <c r="AF7" i="173"/>
  <c r="AF9" i="173"/>
  <c r="AF11" i="173"/>
  <c r="AF13" i="173"/>
  <c r="AF15" i="173"/>
  <c r="AF17" i="173"/>
  <c r="AF19" i="173"/>
  <c r="AF21" i="173"/>
  <c r="AF23" i="173"/>
  <c r="AF25" i="173"/>
  <c r="AF27" i="173"/>
  <c r="AF29" i="173"/>
  <c r="AF31" i="173"/>
  <c r="AF4" i="173"/>
  <c r="AF20" i="173"/>
  <c r="AF22" i="173"/>
  <c r="AF6" i="173"/>
  <c r="AF12" i="173"/>
  <c r="AF18" i="173"/>
  <c r="AF24" i="173"/>
  <c r="AF26" i="173"/>
  <c r="AF28" i="173"/>
  <c r="AF10" i="173"/>
  <c r="AF16" i="173"/>
  <c r="AF48" i="173"/>
  <c r="AF51" i="173"/>
  <c r="AF50" i="173"/>
  <c r="AF53" i="173"/>
  <c r="AF30" i="173"/>
  <c r="AF52" i="173"/>
  <c r="AF33" i="173"/>
  <c r="AF56" i="173"/>
  <c r="AF58" i="173"/>
  <c r="AF60" i="173"/>
  <c r="AF62" i="173"/>
  <c r="AF64" i="173"/>
  <c r="AF66" i="173"/>
  <c r="AF68" i="173"/>
  <c r="AF70" i="173"/>
  <c r="AF72" i="173"/>
  <c r="AF32" i="173"/>
  <c r="AF35" i="173"/>
  <c r="AF54" i="173"/>
  <c r="AF34" i="173"/>
  <c r="AF37" i="173"/>
  <c r="AF36" i="173"/>
  <c r="AF39" i="173"/>
  <c r="AF8" i="173"/>
  <c r="AF40" i="173"/>
  <c r="AF43" i="173"/>
  <c r="AF14" i="173"/>
  <c r="AF42" i="173"/>
  <c r="AF45" i="173"/>
  <c r="AF55" i="173"/>
  <c r="AF57" i="173"/>
  <c r="AF59" i="173"/>
  <c r="AF61" i="173"/>
  <c r="AF63" i="173"/>
  <c r="AF65" i="173"/>
  <c r="AF67" i="173"/>
  <c r="AF69" i="173"/>
  <c r="AF71" i="173"/>
  <c r="AF73" i="173"/>
  <c r="AF44" i="173"/>
  <c r="AF41" i="173"/>
  <c r="AF49" i="173"/>
  <c r="AF74" i="173"/>
  <c r="AF76" i="173"/>
  <c r="AF78" i="173"/>
  <c r="AF80" i="173"/>
  <c r="AF82" i="173"/>
  <c r="AF84" i="173"/>
  <c r="AF86" i="173"/>
  <c r="AF88" i="173"/>
  <c r="AF90" i="173"/>
  <c r="AF92" i="173"/>
  <c r="AF94" i="173"/>
  <c r="AF96" i="173"/>
  <c r="AF98" i="173"/>
  <c r="AF38" i="173"/>
  <c r="AF46" i="173"/>
  <c r="AF100" i="173"/>
  <c r="AF102" i="173"/>
  <c r="AF104" i="173"/>
  <c r="AF106" i="173"/>
  <c r="AF108" i="173"/>
  <c r="AF110" i="173"/>
  <c r="AF112" i="173"/>
  <c r="AF114" i="173"/>
  <c r="AF116" i="173"/>
  <c r="AF118" i="173"/>
  <c r="AF120" i="173"/>
  <c r="AF122" i="173"/>
  <c r="AF124" i="173"/>
  <c r="AF126" i="173"/>
  <c r="AF77" i="173"/>
  <c r="AF85" i="173"/>
  <c r="AF93" i="173"/>
  <c r="AF99" i="173"/>
  <c r="AF79" i="173"/>
  <c r="AF87" i="173"/>
  <c r="AF95" i="173"/>
  <c r="AF101" i="173"/>
  <c r="AF103" i="173"/>
  <c r="AF105" i="173"/>
  <c r="AF107" i="173"/>
  <c r="AF109" i="173"/>
  <c r="AF111" i="173"/>
  <c r="AF113" i="173"/>
  <c r="AF115" i="173"/>
  <c r="AF117" i="173"/>
  <c r="AF119" i="173"/>
  <c r="AF121" i="173"/>
  <c r="AF123" i="173"/>
  <c r="AF125" i="173"/>
  <c r="AF47" i="173"/>
  <c r="AF81" i="173"/>
  <c r="AF89" i="173"/>
  <c r="AF97" i="173"/>
  <c r="AF129" i="173"/>
  <c r="AF131" i="173"/>
  <c r="AF133" i="173"/>
  <c r="AF135" i="173"/>
  <c r="AF137" i="173"/>
  <c r="AF139" i="173"/>
  <c r="AF141" i="173"/>
  <c r="AF143" i="173"/>
  <c r="AF145" i="173"/>
  <c r="AF147" i="173"/>
  <c r="AF149" i="173"/>
  <c r="AF151" i="173"/>
  <c r="AF127" i="173"/>
  <c r="AF83" i="173"/>
  <c r="AF3" i="173"/>
  <c r="AF75" i="173"/>
  <c r="AF134" i="173"/>
  <c r="AF142" i="173"/>
  <c r="AF150" i="173"/>
  <c r="AF140" i="173"/>
  <c r="AF128" i="173"/>
  <c r="AF136" i="173"/>
  <c r="AF144" i="173"/>
  <c r="AF152" i="173"/>
  <c r="AF91" i="173"/>
  <c r="AF130" i="173"/>
  <c r="AF138" i="173"/>
  <c r="AF146" i="173"/>
  <c r="AF132" i="173"/>
  <c r="AF148" i="173"/>
  <c r="AF215" i="173"/>
  <c r="AF211" i="173"/>
  <c r="AF214" i="173"/>
  <c r="AF209" i="173"/>
  <c r="AF204" i="173"/>
  <c r="AF200" i="173"/>
  <c r="AF196" i="173"/>
  <c r="AF216" i="173"/>
  <c r="AF208" i="173"/>
  <c r="AF205" i="173"/>
  <c r="AF217" i="173"/>
  <c r="AF203" i="173"/>
  <c r="AF213" i="173"/>
  <c r="AF206" i="173"/>
  <c r="AF199" i="173"/>
  <c r="AF194" i="173"/>
  <c r="AF191" i="173"/>
  <c r="AF187" i="173"/>
  <c r="AF218" i="173"/>
  <c r="AF212" i="173"/>
  <c r="AF207" i="173"/>
  <c r="AF195" i="173"/>
  <c r="AF202" i="173"/>
  <c r="AF198" i="173"/>
  <c r="AF189" i="173"/>
  <c r="AF210" i="173"/>
  <c r="AF201" i="173"/>
  <c r="AF190" i="173"/>
  <c r="AF192" i="173"/>
  <c r="AF186" i="173"/>
  <c r="AF193" i="173"/>
  <c r="AF185" i="173"/>
  <c r="AF183" i="173"/>
  <c r="AF179" i="173"/>
  <c r="AF175" i="173"/>
  <c r="AF171" i="173"/>
  <c r="AF167" i="173"/>
  <c r="AF188" i="173"/>
  <c r="AF184" i="173"/>
  <c r="AF180" i="173"/>
  <c r="AF176" i="173"/>
  <c r="AF172" i="173"/>
  <c r="AF168" i="173"/>
  <c r="AF181" i="173"/>
  <c r="AF177" i="173"/>
  <c r="AF173" i="173"/>
  <c r="AF169" i="173"/>
  <c r="AF178" i="173"/>
  <c r="AF165" i="173"/>
  <c r="AF161" i="173"/>
  <c r="AF157" i="173"/>
  <c r="AF182" i="173"/>
  <c r="AF166" i="173"/>
  <c r="AF162" i="173"/>
  <c r="AF158" i="173"/>
  <c r="AF197" i="173"/>
  <c r="AF170" i="173"/>
  <c r="AF163" i="173"/>
  <c r="AF159" i="173"/>
  <c r="AF155" i="173"/>
  <c r="AF154" i="173"/>
  <c r="AF153" i="173"/>
  <c r="AF174" i="173"/>
  <c r="AF164" i="173"/>
  <c r="AF160" i="173"/>
  <c r="AF156" i="173"/>
  <c r="AG1" i="173"/>
  <c r="I5" i="171"/>
  <c r="I11" i="171"/>
  <c r="I17" i="171"/>
  <c r="I8" i="171"/>
  <c r="I14" i="171"/>
  <c r="I20" i="171"/>
  <c r="I9" i="171"/>
  <c r="I15" i="171"/>
  <c r="I7" i="171"/>
  <c r="I19" i="171"/>
  <c r="I21" i="171"/>
  <c r="I4" i="171"/>
  <c r="I16" i="171"/>
  <c r="I22" i="171"/>
  <c r="I28" i="171"/>
  <c r="I18" i="171"/>
  <c r="I23" i="171"/>
  <c r="I26" i="171"/>
  <c r="I6" i="171"/>
  <c r="I10" i="171"/>
  <c r="I24" i="171"/>
  <c r="I27" i="171"/>
  <c r="I29" i="171"/>
  <c r="I25" i="171"/>
  <c r="I31" i="171"/>
  <c r="I37" i="171"/>
  <c r="I38" i="171"/>
  <c r="I41" i="171"/>
  <c r="I42" i="171"/>
  <c r="I48" i="171"/>
  <c r="I54" i="171"/>
  <c r="I60" i="171"/>
  <c r="I33" i="171"/>
  <c r="I39" i="171"/>
  <c r="I44" i="171"/>
  <c r="I50" i="171"/>
  <c r="I56" i="171"/>
  <c r="I62" i="171"/>
  <c r="I12" i="171"/>
  <c r="I32" i="171"/>
  <c r="I35" i="171"/>
  <c r="I49" i="171"/>
  <c r="I58" i="171"/>
  <c r="I34" i="171"/>
  <c r="I40" i="171"/>
  <c r="I45" i="171"/>
  <c r="I47" i="171"/>
  <c r="I13" i="171"/>
  <c r="I30" i="171"/>
  <c r="I43" i="171"/>
  <c r="I52" i="171"/>
  <c r="I57" i="171"/>
  <c r="I63" i="171"/>
  <c r="I69" i="171"/>
  <c r="I75" i="171"/>
  <c r="I81" i="171"/>
  <c r="I46" i="171"/>
  <c r="I64" i="171"/>
  <c r="I70" i="171"/>
  <c r="I76" i="171"/>
  <c r="I82" i="171"/>
  <c r="I53" i="171"/>
  <c r="I65" i="171"/>
  <c r="I71" i="171"/>
  <c r="I77" i="171"/>
  <c r="I83" i="171"/>
  <c r="I74" i="171"/>
  <c r="I86" i="171"/>
  <c r="I92" i="171"/>
  <c r="I98" i="171"/>
  <c r="I66" i="171"/>
  <c r="I78" i="171"/>
  <c r="I87" i="171"/>
  <c r="I93" i="171"/>
  <c r="I99" i="171"/>
  <c r="I36" i="171"/>
  <c r="I59" i="171"/>
  <c r="I73" i="171"/>
  <c r="I88" i="171"/>
  <c r="I94" i="171"/>
  <c r="I100" i="171"/>
  <c r="I51" i="171"/>
  <c r="I68" i="171"/>
  <c r="I80" i="171"/>
  <c r="I89" i="171"/>
  <c r="I95" i="171"/>
  <c r="I101" i="171"/>
  <c r="I85" i="171"/>
  <c r="I106" i="171"/>
  <c r="I112" i="171"/>
  <c r="I118" i="171"/>
  <c r="I107" i="171"/>
  <c r="I113" i="171"/>
  <c r="I119" i="171"/>
  <c r="I125" i="171"/>
  <c r="I131" i="171"/>
  <c r="I137" i="171"/>
  <c r="I55" i="171"/>
  <c r="I67" i="171"/>
  <c r="I91" i="171"/>
  <c r="I102" i="171"/>
  <c r="I108" i="171"/>
  <c r="I114" i="171"/>
  <c r="I120" i="171"/>
  <c r="I126" i="171"/>
  <c r="I132" i="171"/>
  <c r="I138" i="171"/>
  <c r="I61" i="171"/>
  <c r="I72" i="171"/>
  <c r="I90" i="171"/>
  <c r="I103" i="171"/>
  <c r="I109" i="171"/>
  <c r="I115" i="171"/>
  <c r="I121" i="171"/>
  <c r="I127" i="171"/>
  <c r="I133" i="171"/>
  <c r="I97" i="171"/>
  <c r="I116" i="171"/>
  <c r="I135" i="171"/>
  <c r="I142" i="171"/>
  <c r="I148" i="171"/>
  <c r="I154" i="171"/>
  <c r="I160" i="171"/>
  <c r="I105" i="171"/>
  <c r="I123" i="171"/>
  <c r="I130" i="171"/>
  <c r="I79" i="171"/>
  <c r="I104" i="171"/>
  <c r="I122" i="171"/>
  <c r="I134" i="171"/>
  <c r="I144" i="171"/>
  <c r="I150" i="171"/>
  <c r="I156" i="171"/>
  <c r="I162" i="171"/>
  <c r="I168" i="171"/>
  <c r="I174" i="171"/>
  <c r="I96" i="171"/>
  <c r="I111" i="171"/>
  <c r="I129" i="171"/>
  <c r="I139" i="171"/>
  <c r="I145" i="171"/>
  <c r="I151" i="171"/>
  <c r="I157" i="171"/>
  <c r="I163" i="171"/>
  <c r="I169" i="171"/>
  <c r="I175" i="171"/>
  <c r="I181" i="171"/>
  <c r="I110" i="171"/>
  <c r="I124" i="171"/>
  <c r="I136" i="171"/>
  <c r="I140" i="171"/>
  <c r="I146" i="171"/>
  <c r="I152" i="171"/>
  <c r="I158" i="171"/>
  <c r="I164" i="171"/>
  <c r="I170" i="171"/>
  <c r="I176" i="171"/>
  <c r="I182" i="171"/>
  <c r="I143" i="171"/>
  <c r="I161" i="171"/>
  <c r="I171" i="171"/>
  <c r="I189" i="171"/>
  <c r="I195" i="171"/>
  <c r="I201" i="171"/>
  <c r="I207" i="171"/>
  <c r="I199" i="171"/>
  <c r="I153" i="171"/>
  <c r="I166" i="171"/>
  <c r="I178" i="171"/>
  <c r="I180" i="171"/>
  <c r="I190" i="171"/>
  <c r="I196" i="171"/>
  <c r="I202" i="171"/>
  <c r="I208" i="171"/>
  <c r="I84" i="171"/>
  <c r="I128" i="171"/>
  <c r="I149" i="171"/>
  <c r="I173" i="171"/>
  <c r="I183" i="171"/>
  <c r="I185" i="171"/>
  <c r="I191" i="171"/>
  <c r="I197" i="171"/>
  <c r="I203" i="171"/>
  <c r="I209" i="171"/>
  <c r="I155" i="171"/>
  <c r="I172" i="171"/>
  <c r="I117" i="171"/>
  <c r="I141" i="171"/>
  <c r="I159" i="171"/>
  <c r="I165" i="171"/>
  <c r="I177" i="171"/>
  <c r="I192" i="171"/>
  <c r="I198" i="171"/>
  <c r="I204" i="171"/>
  <c r="I210" i="171"/>
  <c r="I179" i="171"/>
  <c r="I187" i="171"/>
  <c r="I193" i="171"/>
  <c r="I212" i="171"/>
  <c r="I147" i="171"/>
  <c r="I211" i="171"/>
  <c r="I167" i="171"/>
  <c r="I188" i="171"/>
  <c r="I184" i="171"/>
  <c r="I194" i="171"/>
  <c r="I206" i="171"/>
  <c r="I186" i="171"/>
  <c r="I205" i="171"/>
  <c r="I3" i="171"/>
  <c r="I200" i="171"/>
  <c r="I218" i="171"/>
  <c r="J1" i="171"/>
  <c r="I213" i="171"/>
  <c r="I215" i="171"/>
  <c r="I214" i="171"/>
  <c r="I217" i="171"/>
  <c r="I216" i="171"/>
  <c r="T62" i="168"/>
  <c r="T63" i="168"/>
  <c r="AG4" i="173" l="1"/>
  <c r="AG6" i="173"/>
  <c r="AG8" i="173"/>
  <c r="AG10" i="173"/>
  <c r="AG12" i="173"/>
  <c r="AG14" i="173"/>
  <c r="AG16" i="173"/>
  <c r="AG18" i="173"/>
  <c r="AG20" i="173"/>
  <c r="AG22" i="173"/>
  <c r="AG24" i="173"/>
  <c r="AG26" i="173"/>
  <c r="AG28" i="173"/>
  <c r="AG30" i="173"/>
  <c r="AG5" i="173"/>
  <c r="AG7" i="173"/>
  <c r="AG9" i="173"/>
  <c r="AG11" i="173"/>
  <c r="AG13" i="173"/>
  <c r="AG15" i="173"/>
  <c r="AG17" i="173"/>
  <c r="AG19" i="173"/>
  <c r="AG21" i="173"/>
  <c r="AG23" i="173"/>
  <c r="AG25" i="173"/>
  <c r="AG27" i="173"/>
  <c r="AG29" i="173"/>
  <c r="AG31" i="173"/>
  <c r="AG32" i="173"/>
  <c r="AG34" i="173"/>
  <c r="AG36" i="173"/>
  <c r="AG38" i="173"/>
  <c r="AG40" i="173"/>
  <c r="AG42" i="173"/>
  <c r="AG44" i="173"/>
  <c r="AG46" i="173"/>
  <c r="AG48" i="173"/>
  <c r="AG50" i="173"/>
  <c r="AG52" i="173"/>
  <c r="AG54" i="173"/>
  <c r="AG33" i="173"/>
  <c r="AG35" i="173"/>
  <c r="AG37" i="173"/>
  <c r="AG39" i="173"/>
  <c r="AG41" i="173"/>
  <c r="AG43" i="173"/>
  <c r="AG45" i="173"/>
  <c r="AG47" i="173"/>
  <c r="AG49" i="173"/>
  <c r="AG51" i="173"/>
  <c r="AG53" i="173"/>
  <c r="AG56" i="173"/>
  <c r="AG58" i="173"/>
  <c r="AG60" i="173"/>
  <c r="AG62" i="173"/>
  <c r="AG64" i="173"/>
  <c r="AG66" i="173"/>
  <c r="AG68" i="173"/>
  <c r="AG70" i="173"/>
  <c r="AG72" i="173"/>
  <c r="AG75" i="173"/>
  <c r="AG77" i="173"/>
  <c r="AG79" i="173"/>
  <c r="AG81" i="173"/>
  <c r="AG83" i="173"/>
  <c r="AG85" i="173"/>
  <c r="AG87" i="173"/>
  <c r="AG89" i="173"/>
  <c r="AG91" i="173"/>
  <c r="AG93" i="173"/>
  <c r="AG95" i="173"/>
  <c r="AG97" i="173"/>
  <c r="AG99" i="173"/>
  <c r="AG61" i="173"/>
  <c r="AG69" i="173"/>
  <c r="AG55" i="173"/>
  <c r="AG63" i="173"/>
  <c r="AG71" i="173"/>
  <c r="AG74" i="173"/>
  <c r="AG76" i="173"/>
  <c r="AG78" i="173"/>
  <c r="AG80" i="173"/>
  <c r="AG82" i="173"/>
  <c r="AG84" i="173"/>
  <c r="AG86" i="173"/>
  <c r="AG88" i="173"/>
  <c r="AG90" i="173"/>
  <c r="AG92" i="173"/>
  <c r="AG94" i="173"/>
  <c r="AG96" i="173"/>
  <c r="AG98" i="173"/>
  <c r="AG57" i="173"/>
  <c r="AG65" i="173"/>
  <c r="AG73" i="173"/>
  <c r="AG67" i="173"/>
  <c r="AG100" i="173"/>
  <c r="AG102" i="173"/>
  <c r="AG104" i="173"/>
  <c r="AG106" i="173"/>
  <c r="AG108" i="173"/>
  <c r="AG110" i="173"/>
  <c r="AG112" i="173"/>
  <c r="AG114" i="173"/>
  <c r="AG116" i="173"/>
  <c r="AG118" i="173"/>
  <c r="AG120" i="173"/>
  <c r="AG122" i="173"/>
  <c r="AG124" i="173"/>
  <c r="AG101" i="173"/>
  <c r="AG103" i="173"/>
  <c r="AG105" i="173"/>
  <c r="AG107" i="173"/>
  <c r="AG109" i="173"/>
  <c r="AG111" i="173"/>
  <c r="AG113" i="173"/>
  <c r="AG115" i="173"/>
  <c r="AG117" i="173"/>
  <c r="AG119" i="173"/>
  <c r="AG121" i="173"/>
  <c r="AG128" i="173"/>
  <c r="AG130" i="173"/>
  <c r="AG132" i="173"/>
  <c r="AG134" i="173"/>
  <c r="AG136" i="173"/>
  <c r="AG138" i="173"/>
  <c r="AG140" i="173"/>
  <c r="AG142" i="173"/>
  <c r="AG144" i="173"/>
  <c r="AG146" i="173"/>
  <c r="AG148" i="173"/>
  <c r="AG150" i="173"/>
  <c r="AG152" i="173"/>
  <c r="AG125" i="173"/>
  <c r="AG126" i="173"/>
  <c r="AG59" i="173"/>
  <c r="AG123" i="173"/>
  <c r="AG129" i="173"/>
  <c r="AG131" i="173"/>
  <c r="AG133" i="173"/>
  <c r="AG135" i="173"/>
  <c r="AG137" i="173"/>
  <c r="AG139" i="173"/>
  <c r="AG141" i="173"/>
  <c r="AG143" i="173"/>
  <c r="AG145" i="173"/>
  <c r="AG147" i="173"/>
  <c r="AG149" i="173"/>
  <c r="AG151" i="173"/>
  <c r="AG3" i="173"/>
  <c r="AG127" i="173"/>
  <c r="AG216" i="173"/>
  <c r="AG212" i="173"/>
  <c r="AG208" i="173"/>
  <c r="AG215" i="173"/>
  <c r="AG210" i="173"/>
  <c r="AG205" i="173"/>
  <c r="AG201" i="173"/>
  <c r="AG197" i="173"/>
  <c r="AG213" i="173"/>
  <c r="AG206" i="173"/>
  <c r="AG214" i="173"/>
  <c r="AG211" i="173"/>
  <c r="AG204" i="173"/>
  <c r="AG218" i="173"/>
  <c r="AG207" i="173"/>
  <c r="AG200" i="173"/>
  <c r="AG195" i="173"/>
  <c r="AG192" i="173"/>
  <c r="AG188" i="173"/>
  <c r="AG217" i="173"/>
  <c r="AG196" i="173"/>
  <c r="AG199" i="173"/>
  <c r="AG190" i="173"/>
  <c r="AG191" i="173"/>
  <c r="AG209" i="173"/>
  <c r="AG203" i="173"/>
  <c r="AG194" i="173"/>
  <c r="AG193" i="173"/>
  <c r="AG187" i="173"/>
  <c r="AG198" i="173"/>
  <c r="AG184" i="173"/>
  <c r="AG180" i="173"/>
  <c r="AG176" i="173"/>
  <c r="AG172" i="173"/>
  <c r="AG168" i="173"/>
  <c r="AG181" i="173"/>
  <c r="AG177" i="173"/>
  <c r="AG173" i="173"/>
  <c r="AG169" i="173"/>
  <c r="AG202" i="173"/>
  <c r="AG186" i="173"/>
  <c r="AG182" i="173"/>
  <c r="AG178" i="173"/>
  <c r="AG174" i="173"/>
  <c r="AG170" i="173"/>
  <c r="AG179" i="173"/>
  <c r="AG166" i="173"/>
  <c r="AG162" i="173"/>
  <c r="AG158" i="173"/>
  <c r="AG183" i="173"/>
  <c r="AG167" i="173"/>
  <c r="AG163" i="173"/>
  <c r="AG159" i="173"/>
  <c r="AG155" i="173"/>
  <c r="AG154" i="173"/>
  <c r="AG153" i="173"/>
  <c r="AG185" i="173"/>
  <c r="AG171" i="173"/>
  <c r="AG164" i="173"/>
  <c r="AG160" i="173"/>
  <c r="AG156" i="173"/>
  <c r="AG189" i="173"/>
  <c r="AG175" i="173"/>
  <c r="AG165" i="173"/>
  <c r="AG161" i="173"/>
  <c r="AG157" i="173"/>
  <c r="AH1" i="173"/>
  <c r="J4" i="171"/>
  <c r="J10" i="171"/>
  <c r="J16" i="171"/>
  <c r="J7" i="171"/>
  <c r="J13" i="171"/>
  <c r="J19" i="171"/>
  <c r="J8" i="171"/>
  <c r="J14" i="171"/>
  <c r="J20" i="171"/>
  <c r="J12" i="171"/>
  <c r="J9" i="171"/>
  <c r="J21" i="171"/>
  <c r="J27" i="171"/>
  <c r="J11" i="171"/>
  <c r="J15" i="171"/>
  <c r="J22" i="171"/>
  <c r="J32" i="171"/>
  <c r="J18" i="171"/>
  <c r="J23" i="171"/>
  <c r="J26" i="171"/>
  <c r="J36" i="171"/>
  <c r="J25" i="171"/>
  <c r="J31" i="171"/>
  <c r="J37" i="171"/>
  <c r="J24" i="171"/>
  <c r="J30" i="171"/>
  <c r="J47" i="171"/>
  <c r="J53" i="171"/>
  <c r="J59" i="171"/>
  <c r="J17" i="171"/>
  <c r="J29" i="171"/>
  <c r="J33" i="171"/>
  <c r="J35" i="171"/>
  <c r="J43" i="171"/>
  <c r="J49" i="171"/>
  <c r="J55" i="171"/>
  <c r="J61" i="171"/>
  <c r="J5" i="171"/>
  <c r="J38" i="171"/>
  <c r="J39" i="171"/>
  <c r="J6" i="171"/>
  <c r="J42" i="171"/>
  <c r="J51" i="171"/>
  <c r="J28" i="171"/>
  <c r="J56" i="171"/>
  <c r="J58" i="171"/>
  <c r="J34" i="171"/>
  <c r="J40" i="171"/>
  <c r="J45" i="171"/>
  <c r="J54" i="171"/>
  <c r="J50" i="171"/>
  <c r="J62" i="171"/>
  <c r="J68" i="171"/>
  <c r="J74" i="171"/>
  <c r="J80" i="171"/>
  <c r="J57" i="171"/>
  <c r="J60" i="171"/>
  <c r="J63" i="171"/>
  <c r="J69" i="171"/>
  <c r="J75" i="171"/>
  <c r="J81" i="171"/>
  <c r="J46" i="171"/>
  <c r="J64" i="171"/>
  <c r="J70" i="171"/>
  <c r="J76" i="171"/>
  <c r="J82" i="171"/>
  <c r="J67" i="171"/>
  <c r="J79" i="171"/>
  <c r="J85" i="171"/>
  <c r="J91" i="171"/>
  <c r="J97" i="171"/>
  <c r="J52" i="171"/>
  <c r="J71" i="171"/>
  <c r="J83" i="171"/>
  <c r="J86" i="171"/>
  <c r="J92" i="171"/>
  <c r="J98" i="171"/>
  <c r="J66" i="171"/>
  <c r="J78" i="171"/>
  <c r="J87" i="171"/>
  <c r="J93" i="171"/>
  <c r="J99" i="171"/>
  <c r="J44" i="171"/>
  <c r="J73" i="171"/>
  <c r="J88" i="171"/>
  <c r="J94" i="171"/>
  <c r="J100" i="171"/>
  <c r="J84" i="171"/>
  <c r="J96" i="171"/>
  <c r="J105" i="171"/>
  <c r="J111" i="171"/>
  <c r="J117" i="171"/>
  <c r="J123" i="171"/>
  <c r="J95" i="171"/>
  <c r="J106" i="171"/>
  <c r="J112" i="171"/>
  <c r="J118" i="171"/>
  <c r="J124" i="171"/>
  <c r="J130" i="171"/>
  <c r="J136" i="171"/>
  <c r="J41" i="171"/>
  <c r="J48" i="171"/>
  <c r="J107" i="171"/>
  <c r="J113" i="171"/>
  <c r="J119" i="171"/>
  <c r="J125" i="171"/>
  <c r="J131" i="171"/>
  <c r="J137" i="171"/>
  <c r="J65" i="171"/>
  <c r="J101" i="171"/>
  <c r="J102" i="171"/>
  <c r="J108" i="171"/>
  <c r="J114" i="171"/>
  <c r="J120" i="171"/>
  <c r="J126" i="171"/>
  <c r="J132" i="171"/>
  <c r="J138" i="171"/>
  <c r="J90" i="171"/>
  <c r="J109" i="171"/>
  <c r="J128" i="171"/>
  <c r="J141" i="171"/>
  <c r="J147" i="171"/>
  <c r="J153" i="171"/>
  <c r="J159" i="171"/>
  <c r="J116" i="171"/>
  <c r="J72" i="171"/>
  <c r="J115" i="171"/>
  <c r="J127" i="171"/>
  <c r="J143" i="171"/>
  <c r="J149" i="171"/>
  <c r="J155" i="171"/>
  <c r="J161" i="171"/>
  <c r="J167" i="171"/>
  <c r="J173" i="171"/>
  <c r="J89" i="171"/>
  <c r="J104" i="171"/>
  <c r="J122" i="171"/>
  <c r="J134" i="171"/>
  <c r="J144" i="171"/>
  <c r="J150" i="171"/>
  <c r="J156" i="171"/>
  <c r="J162" i="171"/>
  <c r="J168" i="171"/>
  <c r="J174" i="171"/>
  <c r="J180" i="171"/>
  <c r="J186" i="171"/>
  <c r="J103" i="171"/>
  <c r="J121" i="171"/>
  <c r="J129" i="171"/>
  <c r="J139" i="171"/>
  <c r="J145" i="171"/>
  <c r="J151" i="171"/>
  <c r="J157" i="171"/>
  <c r="J163" i="171"/>
  <c r="J169" i="171"/>
  <c r="J175" i="171"/>
  <c r="J181" i="171"/>
  <c r="J77" i="171"/>
  <c r="J154" i="171"/>
  <c r="J164" i="171"/>
  <c r="J176" i="171"/>
  <c r="J182" i="171"/>
  <c r="J184" i="171"/>
  <c r="J188" i="171"/>
  <c r="J194" i="171"/>
  <c r="J200" i="171"/>
  <c r="J206" i="171"/>
  <c r="J212" i="171"/>
  <c r="J3" i="171"/>
  <c r="J146" i="171"/>
  <c r="J171" i="171"/>
  <c r="J189" i="171"/>
  <c r="J195" i="171"/>
  <c r="J201" i="171"/>
  <c r="J207" i="171"/>
  <c r="J165" i="171"/>
  <c r="J192" i="171"/>
  <c r="J142" i="171"/>
  <c r="J160" i="171"/>
  <c r="J166" i="171"/>
  <c r="J178" i="171"/>
  <c r="J190" i="171"/>
  <c r="J196" i="171"/>
  <c r="J202" i="171"/>
  <c r="J208" i="171"/>
  <c r="J135" i="171"/>
  <c r="J198" i="171"/>
  <c r="J110" i="171"/>
  <c r="J152" i="171"/>
  <c r="J170" i="171"/>
  <c r="J183" i="171"/>
  <c r="J185" i="171"/>
  <c r="J191" i="171"/>
  <c r="J197" i="171"/>
  <c r="J203" i="171"/>
  <c r="J209" i="171"/>
  <c r="J148" i="171"/>
  <c r="J177" i="171"/>
  <c r="J133" i="171"/>
  <c r="J140" i="171"/>
  <c r="J204" i="171"/>
  <c r="J211" i="171"/>
  <c r="J210" i="171"/>
  <c r="J172" i="171"/>
  <c r="J187" i="171"/>
  <c r="J179" i="171"/>
  <c r="J193" i="171"/>
  <c r="J199" i="171"/>
  <c r="J158" i="171"/>
  <c r="J205" i="171"/>
  <c r="J214" i="171"/>
  <c r="J216" i="171"/>
  <c r="J213" i="171"/>
  <c r="J215" i="171"/>
  <c r="J217" i="171"/>
  <c r="K1" i="171"/>
  <c r="J218" i="171"/>
  <c r="T60" i="168"/>
  <c r="T51" i="168"/>
  <c r="T52" i="168"/>
  <c r="T53" i="168"/>
  <c r="T54" i="168"/>
  <c r="T55" i="168"/>
  <c r="T56" i="168"/>
  <c r="T57" i="168"/>
  <c r="AH4" i="173" l="1"/>
  <c r="AI4" i="173" s="1"/>
  <c r="AH6" i="173"/>
  <c r="AI6" i="173" s="1"/>
  <c r="AH8" i="173"/>
  <c r="AI8" i="173" s="1"/>
  <c r="AH10" i="173"/>
  <c r="AH12" i="173"/>
  <c r="AI12" i="173" s="1"/>
  <c r="AH14" i="173"/>
  <c r="AI14" i="173" s="1"/>
  <c r="AH16" i="173"/>
  <c r="AI16" i="173" s="1"/>
  <c r="AH18" i="173"/>
  <c r="AH20" i="173"/>
  <c r="AI20" i="173" s="1"/>
  <c r="AH22" i="173"/>
  <c r="AI22" i="173" s="1"/>
  <c r="AH24" i="173"/>
  <c r="AI24" i="173" s="1"/>
  <c r="AH26" i="173"/>
  <c r="AI26" i="173" s="1"/>
  <c r="AH28" i="173"/>
  <c r="AI28" i="173" s="1"/>
  <c r="AH30" i="173"/>
  <c r="AI30" i="173" s="1"/>
  <c r="AH23" i="173"/>
  <c r="AI23" i="173" s="1"/>
  <c r="AH25" i="173"/>
  <c r="AH32" i="173"/>
  <c r="AI32" i="173" s="1"/>
  <c r="AH34" i="173"/>
  <c r="AI34" i="173" s="1"/>
  <c r="AH36" i="173"/>
  <c r="AI36" i="173" s="1"/>
  <c r="AH38" i="173"/>
  <c r="AH40" i="173"/>
  <c r="AI40" i="173" s="1"/>
  <c r="AH42" i="173"/>
  <c r="AI42" i="173" s="1"/>
  <c r="AH44" i="173"/>
  <c r="AI44" i="173" s="1"/>
  <c r="AH46" i="173"/>
  <c r="AI46" i="173" s="1"/>
  <c r="AH48" i="173"/>
  <c r="AI48" i="173" s="1"/>
  <c r="AH50" i="173"/>
  <c r="AI50" i="173" s="1"/>
  <c r="AH52" i="173"/>
  <c r="AI52" i="173" s="1"/>
  <c r="AH27" i="173"/>
  <c r="AH5" i="173"/>
  <c r="AH11" i="173"/>
  <c r="AI11" i="173" s="1"/>
  <c r="AH17" i="173"/>
  <c r="AI17" i="173" s="1"/>
  <c r="AH29" i="173"/>
  <c r="AI29" i="173" s="1"/>
  <c r="AH31" i="173"/>
  <c r="AI31" i="173" s="1"/>
  <c r="AH15" i="173"/>
  <c r="AI15" i="173" s="1"/>
  <c r="AH49" i="173"/>
  <c r="AI49" i="173" s="1"/>
  <c r="AH51" i="173"/>
  <c r="AI51" i="173" s="1"/>
  <c r="AH53" i="173"/>
  <c r="AI53" i="173" s="1"/>
  <c r="AH7" i="173"/>
  <c r="AI7" i="173" s="1"/>
  <c r="AH21" i="173"/>
  <c r="AI21" i="173" s="1"/>
  <c r="AH33" i="173"/>
  <c r="AH13" i="173"/>
  <c r="AI13" i="173" s="1"/>
  <c r="AH35" i="173"/>
  <c r="AI35" i="173" s="1"/>
  <c r="AH54" i="173"/>
  <c r="AI54" i="173" s="1"/>
  <c r="AH56" i="173"/>
  <c r="AI56" i="173" s="1"/>
  <c r="AH58" i="173"/>
  <c r="AI58" i="173" s="1"/>
  <c r="AH60" i="173"/>
  <c r="AI60" i="173" s="1"/>
  <c r="AH62" i="173"/>
  <c r="AI62" i="173" s="1"/>
  <c r="AH64" i="173"/>
  <c r="AI64" i="173" s="1"/>
  <c r="AH66" i="173"/>
  <c r="AI66" i="173" s="1"/>
  <c r="AH68" i="173"/>
  <c r="AI68" i="173" s="1"/>
  <c r="AH70" i="173"/>
  <c r="AI70" i="173" s="1"/>
  <c r="AH72" i="173"/>
  <c r="AH19" i="173"/>
  <c r="AI19" i="173" s="1"/>
  <c r="AH37" i="173"/>
  <c r="AI37" i="173" s="1"/>
  <c r="AH41" i="173"/>
  <c r="AI41" i="173" s="1"/>
  <c r="AH43" i="173"/>
  <c r="AI43" i="173" s="1"/>
  <c r="AH75" i="173"/>
  <c r="AI75" i="173" s="1"/>
  <c r="AH77" i="173"/>
  <c r="AI77" i="173" s="1"/>
  <c r="AH79" i="173"/>
  <c r="AI79" i="173" s="1"/>
  <c r="AH81" i="173"/>
  <c r="AI81" i="173" s="1"/>
  <c r="AH83" i="173"/>
  <c r="AI83" i="173" s="1"/>
  <c r="AH85" i="173"/>
  <c r="AI85" i="173" s="1"/>
  <c r="AH87" i="173"/>
  <c r="AI87" i="173" s="1"/>
  <c r="AH89" i="173"/>
  <c r="AH91" i="173"/>
  <c r="AI91" i="173" s="1"/>
  <c r="AH93" i="173"/>
  <c r="AI93" i="173" s="1"/>
  <c r="AH95" i="173"/>
  <c r="AI95" i="173" s="1"/>
  <c r="AH97" i="173"/>
  <c r="AI97" i="173" s="1"/>
  <c r="AH99" i="173"/>
  <c r="AI99" i="173" s="1"/>
  <c r="AH61" i="173"/>
  <c r="AI61" i="173" s="1"/>
  <c r="AH69" i="173"/>
  <c r="AI69" i="173" s="1"/>
  <c r="AH45" i="173"/>
  <c r="AI45" i="173" s="1"/>
  <c r="AH55" i="173"/>
  <c r="AI55" i="173" s="1"/>
  <c r="AH63" i="173"/>
  <c r="AI63" i="173" s="1"/>
  <c r="AH71" i="173"/>
  <c r="AI71" i="173" s="1"/>
  <c r="AH74" i="173"/>
  <c r="AI74" i="173" s="1"/>
  <c r="AH76" i="173"/>
  <c r="AI76" i="173" s="1"/>
  <c r="AH78" i="173"/>
  <c r="AI78" i="173" s="1"/>
  <c r="AH80" i="173"/>
  <c r="AI80" i="173" s="1"/>
  <c r="AH82" i="173"/>
  <c r="AI82" i="173" s="1"/>
  <c r="AH84" i="173"/>
  <c r="AI84" i="173" s="1"/>
  <c r="AH86" i="173"/>
  <c r="AI86" i="173" s="1"/>
  <c r="AH88" i="173"/>
  <c r="AI88" i="173" s="1"/>
  <c r="AH90" i="173"/>
  <c r="AI90" i="173" s="1"/>
  <c r="AH92" i="173"/>
  <c r="AI92" i="173" s="1"/>
  <c r="AH94" i="173"/>
  <c r="AI94" i="173" s="1"/>
  <c r="AH96" i="173"/>
  <c r="AI96" i="173" s="1"/>
  <c r="AH98" i="173"/>
  <c r="AH9" i="173"/>
  <c r="AI9" i="173" s="1"/>
  <c r="AH57" i="173"/>
  <c r="AI57" i="173" s="1"/>
  <c r="AH65" i="173"/>
  <c r="AI65" i="173" s="1"/>
  <c r="AH73" i="173"/>
  <c r="AI73" i="173" s="1"/>
  <c r="AH39" i="173"/>
  <c r="AI39" i="173" s="1"/>
  <c r="AH67" i="173"/>
  <c r="AI67" i="173" s="1"/>
  <c r="AH100" i="173"/>
  <c r="AI100" i="173" s="1"/>
  <c r="AH102" i="173"/>
  <c r="AI102" i="173" s="1"/>
  <c r="AH104" i="173"/>
  <c r="AI104" i="173" s="1"/>
  <c r="AH106" i="173"/>
  <c r="AI106" i="173" s="1"/>
  <c r="AH108" i="173"/>
  <c r="AI108" i="173" s="1"/>
  <c r="AH110" i="173"/>
  <c r="AI110" i="173" s="1"/>
  <c r="AH112" i="173"/>
  <c r="AI112" i="173" s="1"/>
  <c r="AH114" i="173"/>
  <c r="AI114" i="173" s="1"/>
  <c r="AH116" i="173"/>
  <c r="AI116" i="173" s="1"/>
  <c r="AH118" i="173"/>
  <c r="AI118" i="173" s="1"/>
  <c r="AH120" i="173"/>
  <c r="AI120" i="173" s="1"/>
  <c r="AH122" i="173"/>
  <c r="AI122" i="173" s="1"/>
  <c r="AH124" i="173"/>
  <c r="AI124" i="173" s="1"/>
  <c r="AH47" i="173"/>
  <c r="AI47" i="173" s="1"/>
  <c r="AH101" i="173"/>
  <c r="AI101" i="173" s="1"/>
  <c r="AH103" i="173"/>
  <c r="AI103" i="173" s="1"/>
  <c r="AH105" i="173"/>
  <c r="AI105" i="173" s="1"/>
  <c r="AH107" i="173"/>
  <c r="AI107" i="173" s="1"/>
  <c r="AH109" i="173"/>
  <c r="AI109" i="173" s="1"/>
  <c r="AH111" i="173"/>
  <c r="AI111" i="173" s="1"/>
  <c r="AH113" i="173"/>
  <c r="AI113" i="173" s="1"/>
  <c r="AH115" i="173"/>
  <c r="AI115" i="173" s="1"/>
  <c r="AH117" i="173"/>
  <c r="AI117" i="173" s="1"/>
  <c r="AH119" i="173"/>
  <c r="AI119" i="173" s="1"/>
  <c r="AH121" i="173"/>
  <c r="AH123" i="173"/>
  <c r="AI123" i="173" s="1"/>
  <c r="AH128" i="173"/>
  <c r="AI128" i="173" s="1"/>
  <c r="AH130" i="173"/>
  <c r="AI130" i="173" s="1"/>
  <c r="AH132" i="173"/>
  <c r="AI132" i="173" s="1"/>
  <c r="AH134" i="173"/>
  <c r="AI134" i="173" s="1"/>
  <c r="AH136" i="173"/>
  <c r="AI136" i="173" s="1"/>
  <c r="AH138" i="173"/>
  <c r="AI138" i="173" s="1"/>
  <c r="AH140" i="173"/>
  <c r="AI140" i="173" s="1"/>
  <c r="AH142" i="173"/>
  <c r="AI142" i="173" s="1"/>
  <c r="AH144" i="173"/>
  <c r="AI144" i="173" s="1"/>
  <c r="AH146" i="173"/>
  <c r="AI146" i="173" s="1"/>
  <c r="AH148" i="173"/>
  <c r="AI148" i="173" s="1"/>
  <c r="AH150" i="173"/>
  <c r="AI150" i="173" s="1"/>
  <c r="AH152" i="173"/>
  <c r="AI152" i="173" s="1"/>
  <c r="AH125" i="173"/>
  <c r="AI125" i="173" s="1"/>
  <c r="AH3" i="173"/>
  <c r="AI3" i="173" s="1"/>
  <c r="AH126" i="173"/>
  <c r="AI126" i="173" s="1"/>
  <c r="AH59" i="173"/>
  <c r="AI59" i="173" s="1"/>
  <c r="AH127" i="173"/>
  <c r="AI127" i="173" s="1"/>
  <c r="AH129" i="173"/>
  <c r="AI129" i="173" s="1"/>
  <c r="AH137" i="173"/>
  <c r="AI137" i="173" s="1"/>
  <c r="AH145" i="173"/>
  <c r="AI145" i="173" s="1"/>
  <c r="AH131" i="173"/>
  <c r="AI131" i="173" s="1"/>
  <c r="AH139" i="173"/>
  <c r="AI139" i="173" s="1"/>
  <c r="AH147" i="173"/>
  <c r="AI147" i="173" s="1"/>
  <c r="AH133" i="173"/>
  <c r="AI133" i="173" s="1"/>
  <c r="AH141" i="173"/>
  <c r="AI141" i="173" s="1"/>
  <c r="AH149" i="173"/>
  <c r="AI149" i="173" s="1"/>
  <c r="AH135" i="173"/>
  <c r="AI135" i="173" s="1"/>
  <c r="AH143" i="173"/>
  <c r="AI143" i="173" s="1"/>
  <c r="AH151" i="173"/>
  <c r="AI151" i="173" s="1"/>
  <c r="AH217" i="173"/>
  <c r="AH213" i="173"/>
  <c r="AH209" i="173"/>
  <c r="AH216" i="173"/>
  <c r="AH211" i="173"/>
  <c r="AH206" i="173"/>
  <c r="AH202" i="173"/>
  <c r="AH198" i="173"/>
  <c r="AH194" i="173"/>
  <c r="AH218" i="173"/>
  <c r="AH210" i="173"/>
  <c r="AH207" i="173"/>
  <c r="AH201" i="173"/>
  <c r="AH208" i="173"/>
  <c r="AH205" i="173"/>
  <c r="AH212" i="173"/>
  <c r="AH196" i="173"/>
  <c r="AH193" i="173"/>
  <c r="AH189" i="173"/>
  <c r="AH185" i="173"/>
  <c r="AH197" i="173"/>
  <c r="AH215" i="173"/>
  <c r="AH214" i="173"/>
  <c r="AH204" i="173"/>
  <c r="AH200" i="173"/>
  <c r="AH191" i="173"/>
  <c r="AH186" i="173"/>
  <c r="AH203" i="173"/>
  <c r="AH192" i="173"/>
  <c r="AH195" i="173"/>
  <c r="AH188" i="173"/>
  <c r="AH181" i="173"/>
  <c r="AH177" i="173"/>
  <c r="AH173" i="173"/>
  <c r="AH169" i="173"/>
  <c r="AH199" i="173"/>
  <c r="AH190" i="173"/>
  <c r="AH182" i="173"/>
  <c r="AH178" i="173"/>
  <c r="AH174" i="173"/>
  <c r="AH170" i="173"/>
  <c r="AH187" i="173"/>
  <c r="AH183" i="173"/>
  <c r="AH179" i="173"/>
  <c r="AH175" i="173"/>
  <c r="AH171" i="173"/>
  <c r="AH180" i="173"/>
  <c r="AH167" i="173"/>
  <c r="AH163" i="173"/>
  <c r="AH159" i="173"/>
  <c r="AH155" i="173"/>
  <c r="AH154" i="173"/>
  <c r="AI154" i="173" s="1"/>
  <c r="AH153" i="173"/>
  <c r="AI153" i="173" s="1"/>
  <c r="AH184" i="173"/>
  <c r="AH168" i="173"/>
  <c r="AH164" i="173"/>
  <c r="AH160" i="173"/>
  <c r="AH156" i="173"/>
  <c r="AH172" i="173"/>
  <c r="AH165" i="173"/>
  <c r="AH161" i="173"/>
  <c r="AH157" i="173"/>
  <c r="AH176" i="173"/>
  <c r="AH166" i="173"/>
  <c r="AH162" i="173"/>
  <c r="AH158" i="173"/>
  <c r="AI98" i="173"/>
  <c r="AI89" i="173"/>
  <c r="AI72" i="173"/>
  <c r="AI38" i="173"/>
  <c r="AI33" i="173"/>
  <c r="AI27" i="173"/>
  <c r="AI25" i="173"/>
  <c r="AI18" i="173"/>
  <c r="AI10" i="173"/>
  <c r="AI5" i="173"/>
  <c r="K9" i="171"/>
  <c r="K15" i="171"/>
  <c r="K6" i="171"/>
  <c r="K12" i="171"/>
  <c r="K18" i="171"/>
  <c r="K7" i="171"/>
  <c r="K13" i="171"/>
  <c r="K19" i="171"/>
  <c r="K5" i="171"/>
  <c r="K17" i="171"/>
  <c r="K14" i="171"/>
  <c r="K26" i="171"/>
  <c r="K4" i="171"/>
  <c r="K8" i="171"/>
  <c r="K25" i="171"/>
  <c r="K31" i="171"/>
  <c r="K11" i="171"/>
  <c r="K22" i="171"/>
  <c r="K32" i="171"/>
  <c r="K23" i="171"/>
  <c r="K16" i="171"/>
  <c r="K21" i="171"/>
  <c r="K24" i="171"/>
  <c r="K29" i="171"/>
  <c r="K35" i="171"/>
  <c r="K36" i="171"/>
  <c r="K20" i="171"/>
  <c r="K34" i="171"/>
  <c r="K40" i="171"/>
  <c r="K46" i="171"/>
  <c r="K52" i="171"/>
  <c r="K58" i="171"/>
  <c r="K27" i="171"/>
  <c r="K30" i="171"/>
  <c r="K10" i="171"/>
  <c r="K41" i="171"/>
  <c r="K42" i="171"/>
  <c r="K48" i="171"/>
  <c r="K54" i="171"/>
  <c r="K60" i="171"/>
  <c r="K33" i="171"/>
  <c r="K44" i="171"/>
  <c r="K53" i="171"/>
  <c r="K38" i="171"/>
  <c r="K39" i="171"/>
  <c r="K49" i="171"/>
  <c r="K51" i="171"/>
  <c r="K28" i="171"/>
  <c r="K47" i="171"/>
  <c r="K56" i="171"/>
  <c r="K43" i="171"/>
  <c r="K67" i="171"/>
  <c r="K73" i="171"/>
  <c r="K79" i="171"/>
  <c r="K50" i="171"/>
  <c r="K62" i="171"/>
  <c r="K68" i="171"/>
  <c r="K74" i="171"/>
  <c r="K80" i="171"/>
  <c r="K57" i="171"/>
  <c r="K63" i="171"/>
  <c r="K69" i="171"/>
  <c r="K75" i="171"/>
  <c r="K81" i="171"/>
  <c r="K55" i="171"/>
  <c r="K72" i="171"/>
  <c r="K84" i="171"/>
  <c r="K90" i="171"/>
  <c r="K96" i="171"/>
  <c r="K45" i="171"/>
  <c r="K64" i="171"/>
  <c r="K76" i="171"/>
  <c r="K85" i="171"/>
  <c r="K91" i="171"/>
  <c r="K97" i="171"/>
  <c r="K71" i="171"/>
  <c r="K83" i="171"/>
  <c r="K86" i="171"/>
  <c r="K92" i="171"/>
  <c r="K98" i="171"/>
  <c r="K59" i="171"/>
  <c r="K66" i="171"/>
  <c r="K78" i="171"/>
  <c r="K87" i="171"/>
  <c r="K93" i="171"/>
  <c r="K99" i="171"/>
  <c r="K77" i="171"/>
  <c r="K89" i="171"/>
  <c r="K104" i="171"/>
  <c r="K110" i="171"/>
  <c r="K116" i="171"/>
  <c r="K122" i="171"/>
  <c r="K82" i="171"/>
  <c r="K88" i="171"/>
  <c r="K105" i="171"/>
  <c r="K111" i="171"/>
  <c r="K117" i="171"/>
  <c r="K123" i="171"/>
  <c r="K129" i="171"/>
  <c r="K135" i="171"/>
  <c r="K95" i="171"/>
  <c r="K106" i="171"/>
  <c r="K112" i="171"/>
  <c r="K118" i="171"/>
  <c r="K124" i="171"/>
  <c r="K130" i="171"/>
  <c r="K136" i="171"/>
  <c r="K37" i="171"/>
  <c r="K94" i="171"/>
  <c r="K107" i="171"/>
  <c r="K113" i="171"/>
  <c r="K119" i="171"/>
  <c r="K125" i="171"/>
  <c r="K131" i="171"/>
  <c r="K137" i="171"/>
  <c r="K102" i="171"/>
  <c r="K120" i="171"/>
  <c r="K133" i="171"/>
  <c r="K140" i="171"/>
  <c r="K146" i="171"/>
  <c r="K152" i="171"/>
  <c r="K158" i="171"/>
  <c r="K109" i="171"/>
  <c r="K128" i="171"/>
  <c r="K61" i="171"/>
  <c r="K65" i="171"/>
  <c r="K101" i="171"/>
  <c r="K108" i="171"/>
  <c r="K132" i="171"/>
  <c r="K142" i="171"/>
  <c r="K148" i="171"/>
  <c r="K154" i="171"/>
  <c r="K160" i="171"/>
  <c r="K166" i="171"/>
  <c r="K172" i="171"/>
  <c r="K115" i="171"/>
  <c r="K127" i="171"/>
  <c r="K143" i="171"/>
  <c r="K149" i="171"/>
  <c r="K155" i="171"/>
  <c r="K161" i="171"/>
  <c r="K167" i="171"/>
  <c r="K173" i="171"/>
  <c r="K179" i="171"/>
  <c r="K185" i="171"/>
  <c r="K114" i="171"/>
  <c r="K134" i="171"/>
  <c r="K144" i="171"/>
  <c r="K150" i="171"/>
  <c r="K156" i="171"/>
  <c r="K162" i="171"/>
  <c r="K168" i="171"/>
  <c r="K174" i="171"/>
  <c r="K180" i="171"/>
  <c r="K186" i="171"/>
  <c r="K147" i="171"/>
  <c r="K169" i="171"/>
  <c r="K187" i="171"/>
  <c r="K193" i="171"/>
  <c r="K199" i="171"/>
  <c r="K205" i="171"/>
  <c r="K211" i="171"/>
  <c r="K138" i="171"/>
  <c r="K139" i="171"/>
  <c r="K157" i="171"/>
  <c r="K164" i="171"/>
  <c r="K176" i="171"/>
  <c r="K182" i="171"/>
  <c r="K184" i="171"/>
  <c r="K188" i="171"/>
  <c r="K194" i="171"/>
  <c r="K200" i="171"/>
  <c r="K206" i="171"/>
  <c r="K212" i="171"/>
  <c r="K3" i="171"/>
  <c r="K159" i="171"/>
  <c r="K170" i="171"/>
  <c r="K197" i="171"/>
  <c r="K153" i="171"/>
  <c r="K171" i="171"/>
  <c r="K189" i="171"/>
  <c r="K195" i="171"/>
  <c r="K201" i="171"/>
  <c r="K207" i="171"/>
  <c r="K121" i="171"/>
  <c r="K181" i="171"/>
  <c r="K183" i="171"/>
  <c r="K191" i="171"/>
  <c r="K103" i="171"/>
  <c r="K126" i="171"/>
  <c r="K145" i="171"/>
  <c r="K163" i="171"/>
  <c r="K175" i="171"/>
  <c r="K178" i="171"/>
  <c r="K190" i="171"/>
  <c r="K196" i="171"/>
  <c r="K202" i="171"/>
  <c r="K208" i="171"/>
  <c r="K70" i="171"/>
  <c r="K141" i="171"/>
  <c r="K100" i="171"/>
  <c r="K198" i="171"/>
  <c r="K204" i="171"/>
  <c r="K210" i="171"/>
  <c r="K192" i="171"/>
  <c r="K151" i="171"/>
  <c r="K203" i="171"/>
  <c r="K165" i="171"/>
  <c r="K177" i="171"/>
  <c r="K209" i="171"/>
  <c r="L1" i="171"/>
  <c r="K213" i="171"/>
  <c r="K214" i="171"/>
  <c r="K215" i="171"/>
  <c r="K217" i="171"/>
  <c r="K218" i="171"/>
  <c r="K216" i="171"/>
  <c r="T46" i="168"/>
  <c r="T44" i="168"/>
  <c r="L8" i="171" l="1"/>
  <c r="L14" i="171"/>
  <c r="L20" i="171"/>
  <c r="L5" i="171"/>
  <c r="L11" i="171"/>
  <c r="L17" i="171"/>
  <c r="L6" i="171"/>
  <c r="L12" i="171"/>
  <c r="L18" i="171"/>
  <c r="L10" i="171"/>
  <c r="L7" i="171"/>
  <c r="L19" i="171"/>
  <c r="L25" i="171"/>
  <c r="L28" i="171"/>
  <c r="L30" i="171"/>
  <c r="L4" i="171"/>
  <c r="L15" i="171"/>
  <c r="L31" i="171"/>
  <c r="L22" i="171"/>
  <c r="L26" i="171"/>
  <c r="L32" i="171"/>
  <c r="L9" i="171"/>
  <c r="L34" i="171"/>
  <c r="L16" i="171"/>
  <c r="L21" i="171"/>
  <c r="L24" i="171"/>
  <c r="L29" i="171"/>
  <c r="L35" i="171"/>
  <c r="L41" i="171"/>
  <c r="L13" i="171"/>
  <c r="L45" i="171"/>
  <c r="L51" i="171"/>
  <c r="L57" i="171"/>
  <c r="L27" i="171"/>
  <c r="L37" i="171"/>
  <c r="L47" i="171"/>
  <c r="L53" i="171"/>
  <c r="L59" i="171"/>
  <c r="L46" i="171"/>
  <c r="L55" i="171"/>
  <c r="L33" i="171"/>
  <c r="L42" i="171"/>
  <c r="L44" i="171"/>
  <c r="L38" i="171"/>
  <c r="L39" i="171"/>
  <c r="L49" i="171"/>
  <c r="L58" i="171"/>
  <c r="L54" i="171"/>
  <c r="L66" i="171"/>
  <c r="L72" i="171"/>
  <c r="L78" i="171"/>
  <c r="L84" i="171"/>
  <c r="L43" i="171"/>
  <c r="L67" i="171"/>
  <c r="L73" i="171"/>
  <c r="L79" i="171"/>
  <c r="L50" i="171"/>
  <c r="L60" i="171"/>
  <c r="L62" i="171"/>
  <c r="L68" i="171"/>
  <c r="L74" i="171"/>
  <c r="L80" i="171"/>
  <c r="L23" i="171"/>
  <c r="L48" i="171"/>
  <c r="L61" i="171"/>
  <c r="L65" i="171"/>
  <c r="L77" i="171"/>
  <c r="L89" i="171"/>
  <c r="L95" i="171"/>
  <c r="L40" i="171"/>
  <c r="L69" i="171"/>
  <c r="L81" i="171"/>
  <c r="L90" i="171"/>
  <c r="L96" i="171"/>
  <c r="L52" i="171"/>
  <c r="L64" i="171"/>
  <c r="L76" i="171"/>
  <c r="L85" i="171"/>
  <c r="L91" i="171"/>
  <c r="L97" i="171"/>
  <c r="L36" i="171"/>
  <c r="L71" i="171"/>
  <c r="L83" i="171"/>
  <c r="L86" i="171"/>
  <c r="L92" i="171"/>
  <c r="L98" i="171"/>
  <c r="L70" i="171"/>
  <c r="L100" i="171"/>
  <c r="L103" i="171"/>
  <c r="L109" i="171"/>
  <c r="L115" i="171"/>
  <c r="L121" i="171"/>
  <c r="L75" i="171"/>
  <c r="L99" i="171"/>
  <c r="L104" i="171"/>
  <c r="L110" i="171"/>
  <c r="L116" i="171"/>
  <c r="L122" i="171"/>
  <c r="L128" i="171"/>
  <c r="L134" i="171"/>
  <c r="L82" i="171"/>
  <c r="L88" i="171"/>
  <c r="L105" i="171"/>
  <c r="L111" i="171"/>
  <c r="L117" i="171"/>
  <c r="L123" i="171"/>
  <c r="L129" i="171"/>
  <c r="L135" i="171"/>
  <c r="L56" i="171"/>
  <c r="L87" i="171"/>
  <c r="L106" i="171"/>
  <c r="L112" i="171"/>
  <c r="L118" i="171"/>
  <c r="L124" i="171"/>
  <c r="L130" i="171"/>
  <c r="L136" i="171"/>
  <c r="L113" i="171"/>
  <c r="L126" i="171"/>
  <c r="L138" i="171"/>
  <c r="L139" i="171"/>
  <c r="L145" i="171"/>
  <c r="L151" i="171"/>
  <c r="L157" i="171"/>
  <c r="L102" i="171"/>
  <c r="L120" i="171"/>
  <c r="L94" i="171"/>
  <c r="L119" i="171"/>
  <c r="L125" i="171"/>
  <c r="L137" i="171"/>
  <c r="L141" i="171"/>
  <c r="L147" i="171"/>
  <c r="L153" i="171"/>
  <c r="L159" i="171"/>
  <c r="L165" i="171"/>
  <c r="L171" i="171"/>
  <c r="L177" i="171"/>
  <c r="L101" i="171"/>
  <c r="L108" i="171"/>
  <c r="L132" i="171"/>
  <c r="L142" i="171"/>
  <c r="L148" i="171"/>
  <c r="L154" i="171"/>
  <c r="L160" i="171"/>
  <c r="L166" i="171"/>
  <c r="L172" i="171"/>
  <c r="L178" i="171"/>
  <c r="L184" i="171"/>
  <c r="L107" i="171"/>
  <c r="L127" i="171"/>
  <c r="L143" i="171"/>
  <c r="L149" i="171"/>
  <c r="L155" i="171"/>
  <c r="L161" i="171"/>
  <c r="L167" i="171"/>
  <c r="L173" i="171"/>
  <c r="L179" i="171"/>
  <c r="L185" i="171"/>
  <c r="L133" i="171"/>
  <c r="L140" i="171"/>
  <c r="L158" i="171"/>
  <c r="L174" i="171"/>
  <c r="L186" i="171"/>
  <c r="L192" i="171"/>
  <c r="L198" i="171"/>
  <c r="L204" i="171"/>
  <c r="L210" i="171"/>
  <c r="L202" i="171"/>
  <c r="L93" i="171"/>
  <c r="L150" i="171"/>
  <c r="L169" i="171"/>
  <c r="L187" i="171"/>
  <c r="L193" i="171"/>
  <c r="L199" i="171"/>
  <c r="L205" i="171"/>
  <c r="L211" i="171"/>
  <c r="L175" i="171"/>
  <c r="L190" i="171"/>
  <c r="L63" i="171"/>
  <c r="L146" i="171"/>
  <c r="L164" i="171"/>
  <c r="L176" i="171"/>
  <c r="L180" i="171"/>
  <c r="L182" i="171"/>
  <c r="L188" i="171"/>
  <c r="L194" i="171"/>
  <c r="L200" i="171"/>
  <c r="L206" i="171"/>
  <c r="L212" i="171"/>
  <c r="L3" i="171"/>
  <c r="L114" i="171"/>
  <c r="L163" i="171"/>
  <c r="L156" i="171"/>
  <c r="L168" i="171"/>
  <c r="L189" i="171"/>
  <c r="L195" i="171"/>
  <c r="L201" i="171"/>
  <c r="L207" i="171"/>
  <c r="L131" i="171"/>
  <c r="L152" i="171"/>
  <c r="L196" i="171"/>
  <c r="L181" i="171"/>
  <c r="L183" i="171"/>
  <c r="L191" i="171"/>
  <c r="L208" i="171"/>
  <c r="L197" i="171"/>
  <c r="L162" i="171"/>
  <c r="L203" i="171"/>
  <c r="L209" i="171"/>
  <c r="L144" i="171"/>
  <c r="L170" i="171"/>
  <c r="L216" i="171"/>
  <c r="L214" i="171"/>
  <c r="L218" i="171"/>
  <c r="L215" i="171"/>
  <c r="L213" i="171"/>
  <c r="L217" i="171"/>
  <c r="M1" i="171"/>
  <c r="T50" i="168"/>
  <c r="T39" i="168"/>
  <c r="M7" i="171" l="1"/>
  <c r="M13" i="171"/>
  <c r="M19" i="171"/>
  <c r="M4" i="171"/>
  <c r="M10" i="171"/>
  <c r="M16" i="171"/>
  <c r="M5" i="171"/>
  <c r="M11" i="171"/>
  <c r="M17" i="171"/>
  <c r="M15" i="171"/>
  <c r="M12" i="171"/>
  <c r="M24" i="171"/>
  <c r="M21" i="171"/>
  <c r="M29" i="171"/>
  <c r="M8" i="171"/>
  <c r="M25" i="171"/>
  <c r="M28" i="171"/>
  <c r="M30" i="171"/>
  <c r="M14" i="171"/>
  <c r="M18" i="171"/>
  <c r="M31" i="171"/>
  <c r="M23" i="171"/>
  <c r="M33" i="171"/>
  <c r="M9" i="171"/>
  <c r="M34" i="171"/>
  <c r="M40" i="171"/>
  <c r="M6" i="171"/>
  <c r="M36" i="171"/>
  <c r="M38" i="171"/>
  <c r="M39" i="171"/>
  <c r="M44" i="171"/>
  <c r="M50" i="171"/>
  <c r="M56" i="171"/>
  <c r="M62" i="171"/>
  <c r="M20" i="171"/>
  <c r="M22" i="171"/>
  <c r="M46" i="171"/>
  <c r="M52" i="171"/>
  <c r="M58" i="171"/>
  <c r="M27" i="171"/>
  <c r="M35" i="171"/>
  <c r="M37" i="171"/>
  <c r="M48" i="171"/>
  <c r="M57" i="171"/>
  <c r="M53" i="171"/>
  <c r="M55" i="171"/>
  <c r="M26" i="171"/>
  <c r="M42" i="171"/>
  <c r="M51" i="171"/>
  <c r="M32" i="171"/>
  <c r="M47" i="171"/>
  <c r="M59" i="171"/>
  <c r="M61" i="171"/>
  <c r="M65" i="171"/>
  <c r="M71" i="171"/>
  <c r="M77" i="171"/>
  <c r="M83" i="171"/>
  <c r="M54" i="171"/>
  <c r="M66" i="171"/>
  <c r="M72" i="171"/>
  <c r="M78" i="171"/>
  <c r="M84" i="171"/>
  <c r="M43" i="171"/>
  <c r="M67" i="171"/>
  <c r="M73" i="171"/>
  <c r="M79" i="171"/>
  <c r="M41" i="171"/>
  <c r="M70" i="171"/>
  <c r="M82" i="171"/>
  <c r="M88" i="171"/>
  <c r="M94" i="171"/>
  <c r="M100" i="171"/>
  <c r="M60" i="171"/>
  <c r="M74" i="171"/>
  <c r="M89" i="171"/>
  <c r="M95" i="171"/>
  <c r="M101" i="171"/>
  <c r="M45" i="171"/>
  <c r="M69" i="171"/>
  <c r="M81" i="171"/>
  <c r="M90" i="171"/>
  <c r="M96" i="171"/>
  <c r="M64" i="171"/>
  <c r="M76" i="171"/>
  <c r="M85" i="171"/>
  <c r="M91" i="171"/>
  <c r="M97" i="171"/>
  <c r="M63" i="171"/>
  <c r="M93" i="171"/>
  <c r="M102" i="171"/>
  <c r="M108" i="171"/>
  <c r="M114" i="171"/>
  <c r="M120" i="171"/>
  <c r="M68" i="171"/>
  <c r="M92" i="171"/>
  <c r="M103" i="171"/>
  <c r="M109" i="171"/>
  <c r="M115" i="171"/>
  <c r="M121" i="171"/>
  <c r="M127" i="171"/>
  <c r="M133" i="171"/>
  <c r="M75" i="171"/>
  <c r="M99" i="171"/>
  <c r="M104" i="171"/>
  <c r="M110" i="171"/>
  <c r="M116" i="171"/>
  <c r="M122" i="171"/>
  <c r="M128" i="171"/>
  <c r="M134" i="171"/>
  <c r="M49" i="171"/>
  <c r="M80" i="171"/>
  <c r="M98" i="171"/>
  <c r="M105" i="171"/>
  <c r="M111" i="171"/>
  <c r="M117" i="171"/>
  <c r="M123" i="171"/>
  <c r="M129" i="171"/>
  <c r="M135" i="171"/>
  <c r="M106" i="171"/>
  <c r="M131" i="171"/>
  <c r="M144" i="171"/>
  <c r="M150" i="171"/>
  <c r="M156" i="171"/>
  <c r="M162" i="171"/>
  <c r="M113" i="171"/>
  <c r="M126" i="171"/>
  <c r="M87" i="171"/>
  <c r="M112" i="171"/>
  <c r="M130" i="171"/>
  <c r="M140" i="171"/>
  <c r="M146" i="171"/>
  <c r="M152" i="171"/>
  <c r="M158" i="171"/>
  <c r="M164" i="171"/>
  <c r="M170" i="171"/>
  <c r="M176" i="171"/>
  <c r="M119" i="171"/>
  <c r="M125" i="171"/>
  <c r="M137" i="171"/>
  <c r="M141" i="171"/>
  <c r="M147" i="171"/>
  <c r="M153" i="171"/>
  <c r="M159" i="171"/>
  <c r="M165" i="171"/>
  <c r="M171" i="171"/>
  <c r="M177" i="171"/>
  <c r="M183" i="171"/>
  <c r="M118" i="171"/>
  <c r="M132" i="171"/>
  <c r="M142" i="171"/>
  <c r="M148" i="171"/>
  <c r="M154" i="171"/>
  <c r="M160" i="171"/>
  <c r="M166" i="171"/>
  <c r="M172" i="171"/>
  <c r="M178" i="171"/>
  <c r="M184" i="171"/>
  <c r="M151" i="171"/>
  <c r="M167" i="171"/>
  <c r="M179" i="171"/>
  <c r="M181" i="171"/>
  <c r="M191" i="171"/>
  <c r="M197" i="171"/>
  <c r="M203" i="171"/>
  <c r="M209" i="171"/>
  <c r="M143" i="171"/>
  <c r="M161" i="171"/>
  <c r="M174" i="171"/>
  <c r="M186" i="171"/>
  <c r="M192" i="171"/>
  <c r="M198" i="171"/>
  <c r="M204" i="171"/>
  <c r="M210" i="171"/>
  <c r="M107" i="171"/>
  <c r="M201" i="171"/>
  <c r="M138" i="171"/>
  <c r="M139" i="171"/>
  <c r="M157" i="171"/>
  <c r="M169" i="171"/>
  <c r="M187" i="171"/>
  <c r="M193" i="171"/>
  <c r="M199" i="171"/>
  <c r="M205" i="171"/>
  <c r="M211" i="171"/>
  <c r="M168" i="171"/>
  <c r="M185" i="171"/>
  <c r="M189" i="171"/>
  <c r="M86" i="171"/>
  <c r="M136" i="171"/>
  <c r="M149" i="171"/>
  <c r="M173" i="171"/>
  <c r="M180" i="171"/>
  <c r="M182" i="171"/>
  <c r="M188" i="171"/>
  <c r="M194" i="171"/>
  <c r="M200" i="171"/>
  <c r="M206" i="171"/>
  <c r="M212" i="171"/>
  <c r="M3" i="171"/>
  <c r="M124" i="171"/>
  <c r="M145" i="171"/>
  <c r="M195" i="171"/>
  <c r="M190" i="171"/>
  <c r="M208" i="171"/>
  <c r="M155" i="171"/>
  <c r="M196" i="171"/>
  <c r="M207" i="171"/>
  <c r="M202" i="171"/>
  <c r="M163" i="171"/>
  <c r="M175" i="171"/>
  <c r="N1" i="171"/>
  <c r="M218" i="171"/>
  <c r="M215" i="171"/>
  <c r="M216" i="171"/>
  <c r="M217" i="171"/>
  <c r="M214" i="171"/>
  <c r="M213" i="171"/>
  <c r="T40" i="168"/>
  <c r="T41" i="168"/>
  <c r="T45" i="168"/>
  <c r="T49" i="168"/>
  <c r="T48" i="168"/>
  <c r="N6" i="171" l="1"/>
  <c r="N12" i="171"/>
  <c r="N18" i="171"/>
  <c r="N9" i="171"/>
  <c r="N15" i="171"/>
  <c r="N4" i="171"/>
  <c r="N10" i="171"/>
  <c r="N16" i="171"/>
  <c r="N8" i="171"/>
  <c r="N20" i="171"/>
  <c r="N22" i="171"/>
  <c r="N5" i="171"/>
  <c r="N17" i="171"/>
  <c r="N23" i="171"/>
  <c r="N19" i="171"/>
  <c r="N24" i="171"/>
  <c r="N27" i="171"/>
  <c r="N21" i="171"/>
  <c r="N29" i="171"/>
  <c r="N7" i="171"/>
  <c r="N11" i="171"/>
  <c r="N25" i="171"/>
  <c r="N28" i="171"/>
  <c r="N30" i="171"/>
  <c r="N32" i="171"/>
  <c r="N38" i="171"/>
  <c r="N33" i="171"/>
  <c r="N39" i="171"/>
  <c r="N26" i="171"/>
  <c r="N43" i="171"/>
  <c r="N49" i="171"/>
  <c r="N55" i="171"/>
  <c r="N61" i="171"/>
  <c r="N13" i="171"/>
  <c r="N40" i="171"/>
  <c r="N45" i="171"/>
  <c r="N51" i="171"/>
  <c r="N57" i="171"/>
  <c r="N14" i="171"/>
  <c r="N31" i="171"/>
  <c r="N36" i="171"/>
  <c r="N41" i="171"/>
  <c r="N50" i="171"/>
  <c r="N35" i="171"/>
  <c r="N46" i="171"/>
  <c r="N48" i="171"/>
  <c r="N44" i="171"/>
  <c r="N53" i="171"/>
  <c r="N34" i="171"/>
  <c r="N58" i="171"/>
  <c r="N64" i="171"/>
  <c r="N70" i="171"/>
  <c r="N76" i="171"/>
  <c r="N82" i="171"/>
  <c r="N47" i="171"/>
  <c r="N59" i="171"/>
  <c r="N65" i="171"/>
  <c r="N71" i="171"/>
  <c r="N77" i="171"/>
  <c r="N83" i="171"/>
  <c r="N54" i="171"/>
  <c r="N66" i="171"/>
  <c r="N72" i="171"/>
  <c r="N78" i="171"/>
  <c r="N84" i="171"/>
  <c r="N63" i="171"/>
  <c r="N75" i="171"/>
  <c r="N87" i="171"/>
  <c r="N93" i="171"/>
  <c r="N99" i="171"/>
  <c r="N67" i="171"/>
  <c r="N79" i="171"/>
  <c r="N88" i="171"/>
  <c r="N94" i="171"/>
  <c r="N100" i="171"/>
  <c r="N60" i="171"/>
  <c r="N74" i="171"/>
  <c r="N89" i="171"/>
  <c r="N95" i="171"/>
  <c r="N52" i="171"/>
  <c r="N69" i="171"/>
  <c r="N81" i="171"/>
  <c r="N90" i="171"/>
  <c r="N96" i="171"/>
  <c r="N86" i="171"/>
  <c r="N101" i="171"/>
  <c r="N107" i="171"/>
  <c r="N113" i="171"/>
  <c r="N119" i="171"/>
  <c r="N62" i="171"/>
  <c r="N85" i="171"/>
  <c r="N102" i="171"/>
  <c r="N108" i="171"/>
  <c r="N114" i="171"/>
  <c r="N120" i="171"/>
  <c r="N126" i="171"/>
  <c r="N132" i="171"/>
  <c r="N138" i="171"/>
  <c r="N68" i="171"/>
  <c r="N92" i="171"/>
  <c r="N103" i="171"/>
  <c r="N109" i="171"/>
  <c r="N115" i="171"/>
  <c r="N121" i="171"/>
  <c r="N127" i="171"/>
  <c r="N133" i="171"/>
  <c r="N42" i="171"/>
  <c r="N73" i="171"/>
  <c r="N91" i="171"/>
  <c r="N104" i="171"/>
  <c r="N110" i="171"/>
  <c r="N116" i="171"/>
  <c r="N122" i="171"/>
  <c r="N128" i="171"/>
  <c r="N134" i="171"/>
  <c r="N37" i="171"/>
  <c r="N117" i="171"/>
  <c r="N124" i="171"/>
  <c r="N136" i="171"/>
  <c r="N143" i="171"/>
  <c r="N149" i="171"/>
  <c r="N155" i="171"/>
  <c r="N161" i="171"/>
  <c r="N97" i="171"/>
  <c r="N106" i="171"/>
  <c r="N131" i="171"/>
  <c r="N105" i="171"/>
  <c r="N123" i="171"/>
  <c r="N135" i="171"/>
  <c r="N139" i="171"/>
  <c r="N145" i="171"/>
  <c r="N151" i="171"/>
  <c r="N157" i="171"/>
  <c r="N163" i="171"/>
  <c r="N169" i="171"/>
  <c r="N175" i="171"/>
  <c r="N112" i="171"/>
  <c r="N130" i="171"/>
  <c r="N140" i="171"/>
  <c r="N146" i="171"/>
  <c r="N152" i="171"/>
  <c r="N158" i="171"/>
  <c r="N164" i="171"/>
  <c r="N170" i="171"/>
  <c r="N176" i="171"/>
  <c r="N182" i="171"/>
  <c r="N56" i="171"/>
  <c r="N80" i="171"/>
  <c r="N98" i="171"/>
  <c r="N111" i="171"/>
  <c r="N125" i="171"/>
  <c r="N137" i="171"/>
  <c r="N141" i="171"/>
  <c r="N147" i="171"/>
  <c r="N153" i="171"/>
  <c r="N159" i="171"/>
  <c r="N165" i="171"/>
  <c r="N171" i="171"/>
  <c r="N177" i="171"/>
  <c r="N183" i="171"/>
  <c r="N144" i="171"/>
  <c r="N162" i="171"/>
  <c r="N172" i="171"/>
  <c r="N190" i="171"/>
  <c r="N196" i="171"/>
  <c r="N202" i="171"/>
  <c r="N208" i="171"/>
  <c r="N154" i="171"/>
  <c r="N167" i="171"/>
  <c r="N179" i="171"/>
  <c r="N181" i="171"/>
  <c r="N191" i="171"/>
  <c r="N197" i="171"/>
  <c r="N203" i="171"/>
  <c r="N209" i="171"/>
  <c r="N188" i="171"/>
  <c r="N150" i="171"/>
  <c r="N174" i="171"/>
  <c r="N184" i="171"/>
  <c r="N186" i="171"/>
  <c r="N192" i="171"/>
  <c r="N198" i="171"/>
  <c r="N204" i="171"/>
  <c r="N210" i="171"/>
  <c r="N173" i="171"/>
  <c r="N180" i="171"/>
  <c r="N194" i="171"/>
  <c r="N200" i="171"/>
  <c r="N142" i="171"/>
  <c r="N160" i="171"/>
  <c r="N166" i="171"/>
  <c r="N187" i="171"/>
  <c r="N193" i="171"/>
  <c r="N199" i="171"/>
  <c r="N205" i="171"/>
  <c r="N211" i="171"/>
  <c r="N156" i="171"/>
  <c r="N178" i="171"/>
  <c r="N168" i="171"/>
  <c r="N212" i="171"/>
  <c r="N185" i="171"/>
  <c r="N189" i="171"/>
  <c r="N207" i="171"/>
  <c r="N201" i="171"/>
  <c r="N206" i="171"/>
  <c r="N3" i="171"/>
  <c r="N148" i="171"/>
  <c r="N129" i="171"/>
  <c r="N195" i="171"/>
  <c r="N118" i="171"/>
  <c r="N217" i="171"/>
  <c r="O1" i="171"/>
  <c r="N214" i="171"/>
  <c r="N218" i="171"/>
  <c r="N216" i="171"/>
  <c r="N215" i="171"/>
  <c r="N213" i="171"/>
  <c r="T47" i="168"/>
  <c r="T42" i="168"/>
  <c r="T43" i="168"/>
  <c r="O5" i="171" l="1"/>
  <c r="O11" i="171"/>
  <c r="O17" i="171"/>
  <c r="O8" i="171"/>
  <c r="O14" i="171"/>
  <c r="O20" i="171"/>
  <c r="O9" i="171"/>
  <c r="O15" i="171"/>
  <c r="O13" i="171"/>
  <c r="O21" i="171"/>
  <c r="O10" i="171"/>
  <c r="O22" i="171"/>
  <c r="O28" i="171"/>
  <c r="O12" i="171"/>
  <c r="O16" i="171"/>
  <c r="O19" i="171"/>
  <c r="O24" i="171"/>
  <c r="O27" i="171"/>
  <c r="O4" i="171"/>
  <c r="O29" i="171"/>
  <c r="O37" i="171"/>
  <c r="O23" i="171"/>
  <c r="O32" i="171"/>
  <c r="O38" i="171"/>
  <c r="O18" i="171"/>
  <c r="O31" i="171"/>
  <c r="O42" i="171"/>
  <c r="O48" i="171"/>
  <c r="O54" i="171"/>
  <c r="O60" i="171"/>
  <c r="O6" i="171"/>
  <c r="O26" i="171"/>
  <c r="O30" i="171"/>
  <c r="O34" i="171"/>
  <c r="O36" i="171"/>
  <c r="O44" i="171"/>
  <c r="O50" i="171"/>
  <c r="O56" i="171"/>
  <c r="O62" i="171"/>
  <c r="O7" i="171"/>
  <c r="O25" i="171"/>
  <c r="O40" i="171"/>
  <c r="O43" i="171"/>
  <c r="O52" i="171"/>
  <c r="O41" i="171"/>
  <c r="O57" i="171"/>
  <c r="O33" i="171"/>
  <c r="O35" i="171"/>
  <c r="O46" i="171"/>
  <c r="O55" i="171"/>
  <c r="O51" i="171"/>
  <c r="O63" i="171"/>
  <c r="O69" i="171"/>
  <c r="O75" i="171"/>
  <c r="O81" i="171"/>
  <c r="O58" i="171"/>
  <c r="O61" i="171"/>
  <c r="O64" i="171"/>
  <c r="O70" i="171"/>
  <c r="O76" i="171"/>
  <c r="O82" i="171"/>
  <c r="O47" i="171"/>
  <c r="O59" i="171"/>
  <c r="O65" i="171"/>
  <c r="O71" i="171"/>
  <c r="O77" i="171"/>
  <c r="O83" i="171"/>
  <c r="O68" i="171"/>
  <c r="O80" i="171"/>
  <c r="O86" i="171"/>
  <c r="O92" i="171"/>
  <c r="O98" i="171"/>
  <c r="O53" i="171"/>
  <c r="O72" i="171"/>
  <c r="O84" i="171"/>
  <c r="O87" i="171"/>
  <c r="O93" i="171"/>
  <c r="O99" i="171"/>
  <c r="O67" i="171"/>
  <c r="O79" i="171"/>
  <c r="O88" i="171"/>
  <c r="O94" i="171"/>
  <c r="O100" i="171"/>
  <c r="O45" i="171"/>
  <c r="O74" i="171"/>
  <c r="O89" i="171"/>
  <c r="O95" i="171"/>
  <c r="O97" i="171"/>
  <c r="O106" i="171"/>
  <c r="O112" i="171"/>
  <c r="O118" i="171"/>
  <c r="O96" i="171"/>
  <c r="O101" i="171"/>
  <c r="O107" i="171"/>
  <c r="O113" i="171"/>
  <c r="O119" i="171"/>
  <c r="O125" i="171"/>
  <c r="O131" i="171"/>
  <c r="O137" i="171"/>
  <c r="O85" i="171"/>
  <c r="O102" i="171"/>
  <c r="O108" i="171"/>
  <c r="O114" i="171"/>
  <c r="O120" i="171"/>
  <c r="O126" i="171"/>
  <c r="O132" i="171"/>
  <c r="O138" i="171"/>
  <c r="O66" i="171"/>
  <c r="O103" i="171"/>
  <c r="O109" i="171"/>
  <c r="O115" i="171"/>
  <c r="O121" i="171"/>
  <c r="O127" i="171"/>
  <c r="O133" i="171"/>
  <c r="O49" i="171"/>
  <c r="O110" i="171"/>
  <c r="O129" i="171"/>
  <c r="O142" i="171"/>
  <c r="O148" i="171"/>
  <c r="O154" i="171"/>
  <c r="O160" i="171"/>
  <c r="O39" i="171"/>
  <c r="O78" i="171"/>
  <c r="O90" i="171"/>
  <c r="O117" i="171"/>
  <c r="O124" i="171"/>
  <c r="O116" i="171"/>
  <c r="O128" i="171"/>
  <c r="O144" i="171"/>
  <c r="O150" i="171"/>
  <c r="O156" i="171"/>
  <c r="O162" i="171"/>
  <c r="O168" i="171"/>
  <c r="O174" i="171"/>
  <c r="O105" i="171"/>
  <c r="O123" i="171"/>
  <c r="O135" i="171"/>
  <c r="O139" i="171"/>
  <c r="O145" i="171"/>
  <c r="O151" i="171"/>
  <c r="O157" i="171"/>
  <c r="O163" i="171"/>
  <c r="O169" i="171"/>
  <c r="O175" i="171"/>
  <c r="O181" i="171"/>
  <c r="O73" i="171"/>
  <c r="O91" i="171"/>
  <c r="O104" i="171"/>
  <c r="O122" i="171"/>
  <c r="O130" i="171"/>
  <c r="O140" i="171"/>
  <c r="O146" i="171"/>
  <c r="O152" i="171"/>
  <c r="O158" i="171"/>
  <c r="O164" i="171"/>
  <c r="O170" i="171"/>
  <c r="O176" i="171"/>
  <c r="O182" i="171"/>
  <c r="O155" i="171"/>
  <c r="O165" i="171"/>
  <c r="O177" i="171"/>
  <c r="O183" i="171"/>
  <c r="O185" i="171"/>
  <c r="O189" i="171"/>
  <c r="O195" i="171"/>
  <c r="O201" i="171"/>
  <c r="O207" i="171"/>
  <c r="O147" i="171"/>
  <c r="O172" i="171"/>
  <c r="O190" i="171"/>
  <c r="O196" i="171"/>
  <c r="O202" i="171"/>
  <c r="O208" i="171"/>
  <c r="O149" i="171"/>
  <c r="O166" i="171"/>
  <c r="O143" i="171"/>
  <c r="O161" i="171"/>
  <c r="O167" i="171"/>
  <c r="O179" i="171"/>
  <c r="O191" i="171"/>
  <c r="O197" i="171"/>
  <c r="O203" i="171"/>
  <c r="O209" i="171"/>
  <c r="O187" i="171"/>
  <c r="O193" i="171"/>
  <c r="O153" i="171"/>
  <c r="O171" i="171"/>
  <c r="O184" i="171"/>
  <c r="O186" i="171"/>
  <c r="O192" i="171"/>
  <c r="O198" i="171"/>
  <c r="O204" i="171"/>
  <c r="O210" i="171"/>
  <c r="O136" i="171"/>
  <c r="O199" i="171"/>
  <c r="O134" i="171"/>
  <c r="O173" i="171"/>
  <c r="O205" i="171"/>
  <c r="O212" i="171"/>
  <c r="O141" i="171"/>
  <c r="O180" i="171"/>
  <c r="O111" i="171"/>
  <c r="O206" i="171"/>
  <c r="O3" i="171"/>
  <c r="O178" i="171"/>
  <c r="O211" i="171"/>
  <c r="O159" i="171"/>
  <c r="O188" i="171"/>
  <c r="O194" i="171"/>
  <c r="O200" i="171"/>
  <c r="P1" i="171"/>
  <c r="O215" i="171"/>
  <c r="O216" i="171"/>
  <c r="O213" i="171"/>
  <c r="O214" i="171"/>
  <c r="O217" i="171"/>
  <c r="O218" i="171"/>
  <c r="T35" i="168"/>
  <c r="T36" i="168"/>
  <c r="T37" i="168"/>
  <c r="T38" i="168"/>
  <c r="P4" i="171" l="1"/>
  <c r="P10" i="171"/>
  <c r="P16" i="171"/>
  <c r="P7" i="171"/>
  <c r="P13" i="171"/>
  <c r="P19" i="171"/>
  <c r="P8" i="171"/>
  <c r="P14" i="171"/>
  <c r="P20" i="171"/>
  <c r="P6" i="171"/>
  <c r="P18" i="171"/>
  <c r="P15" i="171"/>
  <c r="P21" i="171"/>
  <c r="P27" i="171"/>
  <c r="P5" i="171"/>
  <c r="P9" i="171"/>
  <c r="P23" i="171"/>
  <c r="P26" i="171"/>
  <c r="P32" i="171"/>
  <c r="P12" i="171"/>
  <c r="P24" i="171"/>
  <c r="P17" i="171"/>
  <c r="P22" i="171"/>
  <c r="P30" i="171"/>
  <c r="P36" i="171"/>
  <c r="P37" i="171"/>
  <c r="P11" i="171"/>
  <c r="P28" i="171"/>
  <c r="P33" i="171"/>
  <c r="P35" i="171"/>
  <c r="P41" i="171"/>
  <c r="P47" i="171"/>
  <c r="P53" i="171"/>
  <c r="P59" i="171"/>
  <c r="P31" i="171"/>
  <c r="P39" i="171"/>
  <c r="P43" i="171"/>
  <c r="P49" i="171"/>
  <c r="P55" i="171"/>
  <c r="P61" i="171"/>
  <c r="P29" i="171"/>
  <c r="P34" i="171"/>
  <c r="P45" i="171"/>
  <c r="P54" i="171"/>
  <c r="P50" i="171"/>
  <c r="P52" i="171"/>
  <c r="P48" i="171"/>
  <c r="P57" i="171"/>
  <c r="P44" i="171"/>
  <c r="P68" i="171"/>
  <c r="P74" i="171"/>
  <c r="P80" i="171"/>
  <c r="P51" i="171"/>
  <c r="P63" i="171"/>
  <c r="P69" i="171"/>
  <c r="P75" i="171"/>
  <c r="P81" i="171"/>
  <c r="P25" i="171"/>
  <c r="P58" i="171"/>
  <c r="P64" i="171"/>
  <c r="P70" i="171"/>
  <c r="P76" i="171"/>
  <c r="P82" i="171"/>
  <c r="P56" i="171"/>
  <c r="P73" i="171"/>
  <c r="P85" i="171"/>
  <c r="P91" i="171"/>
  <c r="P97" i="171"/>
  <c r="P38" i="171"/>
  <c r="P46" i="171"/>
  <c r="P65" i="171"/>
  <c r="P77" i="171"/>
  <c r="P86" i="171"/>
  <c r="P92" i="171"/>
  <c r="P98" i="171"/>
  <c r="P40" i="171"/>
  <c r="P72" i="171"/>
  <c r="P84" i="171"/>
  <c r="P87" i="171"/>
  <c r="P93" i="171"/>
  <c r="P99" i="171"/>
  <c r="P60" i="171"/>
  <c r="P67" i="171"/>
  <c r="P79" i="171"/>
  <c r="P88" i="171"/>
  <c r="P94" i="171"/>
  <c r="P100" i="171"/>
  <c r="P78" i="171"/>
  <c r="P90" i="171"/>
  <c r="P105" i="171"/>
  <c r="P111" i="171"/>
  <c r="P117" i="171"/>
  <c r="P83" i="171"/>
  <c r="P89" i="171"/>
  <c r="P106" i="171"/>
  <c r="P112" i="171"/>
  <c r="P118" i="171"/>
  <c r="P124" i="171"/>
  <c r="P130" i="171"/>
  <c r="P136" i="171"/>
  <c r="P62" i="171"/>
  <c r="P96" i="171"/>
  <c r="P101" i="171"/>
  <c r="P107" i="171"/>
  <c r="P113" i="171"/>
  <c r="P119" i="171"/>
  <c r="P125" i="171"/>
  <c r="P131" i="171"/>
  <c r="P137" i="171"/>
  <c r="P95" i="171"/>
  <c r="P102" i="171"/>
  <c r="P108" i="171"/>
  <c r="P114" i="171"/>
  <c r="P120" i="171"/>
  <c r="P126" i="171"/>
  <c r="P132" i="171"/>
  <c r="P138" i="171"/>
  <c r="P103" i="171"/>
  <c r="P121" i="171"/>
  <c r="P134" i="171"/>
  <c r="P141" i="171"/>
  <c r="P147" i="171"/>
  <c r="P153" i="171"/>
  <c r="P159" i="171"/>
  <c r="P71" i="171"/>
  <c r="P110" i="171"/>
  <c r="P129" i="171"/>
  <c r="P42" i="171"/>
  <c r="P109" i="171"/>
  <c r="P133" i="171"/>
  <c r="P143" i="171"/>
  <c r="P149" i="171"/>
  <c r="P155" i="171"/>
  <c r="P161" i="171"/>
  <c r="P167" i="171"/>
  <c r="P173" i="171"/>
  <c r="P116" i="171"/>
  <c r="P128" i="171"/>
  <c r="P144" i="171"/>
  <c r="P150" i="171"/>
  <c r="P156" i="171"/>
  <c r="P162" i="171"/>
  <c r="P168" i="171"/>
  <c r="P174" i="171"/>
  <c r="P180" i="171"/>
  <c r="P66" i="171"/>
  <c r="P115" i="171"/>
  <c r="P123" i="171"/>
  <c r="P135" i="171"/>
  <c r="P139" i="171"/>
  <c r="P145" i="171"/>
  <c r="P151" i="171"/>
  <c r="P157" i="171"/>
  <c r="P163" i="171"/>
  <c r="P169" i="171"/>
  <c r="P175" i="171"/>
  <c r="P181" i="171"/>
  <c r="P122" i="171"/>
  <c r="P127" i="171"/>
  <c r="P148" i="171"/>
  <c r="P170" i="171"/>
  <c r="P178" i="171"/>
  <c r="P188" i="171"/>
  <c r="P194" i="171"/>
  <c r="P200" i="171"/>
  <c r="P206" i="171"/>
  <c r="P212" i="171"/>
  <c r="P3" i="171"/>
  <c r="P140" i="171"/>
  <c r="P158" i="171"/>
  <c r="P165" i="171"/>
  <c r="P177" i="171"/>
  <c r="P183" i="171"/>
  <c r="P185" i="171"/>
  <c r="P189" i="171"/>
  <c r="P195" i="171"/>
  <c r="P201" i="171"/>
  <c r="P207" i="171"/>
  <c r="P171" i="171"/>
  <c r="P182" i="171"/>
  <c r="P186" i="171"/>
  <c r="P154" i="171"/>
  <c r="P172" i="171"/>
  <c r="P190" i="171"/>
  <c r="P196" i="171"/>
  <c r="P202" i="171"/>
  <c r="P208" i="171"/>
  <c r="P142" i="171"/>
  <c r="P184" i="171"/>
  <c r="P192" i="171"/>
  <c r="P146" i="171"/>
  <c r="P164" i="171"/>
  <c r="P176" i="171"/>
  <c r="P179" i="171"/>
  <c r="P191" i="171"/>
  <c r="P197" i="171"/>
  <c r="P203" i="171"/>
  <c r="P209" i="171"/>
  <c r="P160" i="171"/>
  <c r="P198" i="171"/>
  <c r="P166" i="171"/>
  <c r="P199" i="171"/>
  <c r="P205" i="171"/>
  <c r="P204" i="171"/>
  <c r="P211" i="171"/>
  <c r="P104" i="171"/>
  <c r="P152" i="171"/>
  <c r="P187" i="171"/>
  <c r="P210" i="171"/>
  <c r="P193" i="171"/>
  <c r="P215" i="171"/>
  <c r="Q1" i="171"/>
  <c r="P217" i="171"/>
  <c r="P216" i="171"/>
  <c r="P214" i="171"/>
  <c r="P213" i="171"/>
  <c r="P218" i="171"/>
  <c r="T33" i="168"/>
  <c r="Q9" i="171" l="1"/>
  <c r="Q15" i="171"/>
  <c r="Q6" i="171"/>
  <c r="Q12" i="171"/>
  <c r="Q18" i="171"/>
  <c r="Q7" i="171"/>
  <c r="Q13" i="171"/>
  <c r="Q19" i="171"/>
  <c r="Q11" i="171"/>
  <c r="Q8" i="171"/>
  <c r="Q20" i="171"/>
  <c r="Q26" i="171"/>
  <c r="Q31" i="171"/>
  <c r="Q5" i="171"/>
  <c r="Q16" i="171"/>
  <c r="Q23" i="171"/>
  <c r="Q32" i="171"/>
  <c r="Q21" i="171"/>
  <c r="Q27" i="171"/>
  <c r="Q10" i="171"/>
  <c r="Q28" i="171"/>
  <c r="Q35" i="171"/>
  <c r="Q17" i="171"/>
  <c r="Q22" i="171"/>
  <c r="Q30" i="171"/>
  <c r="Q36" i="171"/>
  <c r="Q4" i="171"/>
  <c r="Q46" i="171"/>
  <c r="Q52" i="171"/>
  <c r="Q58" i="171"/>
  <c r="Q24" i="171"/>
  <c r="Q33" i="171"/>
  <c r="Q38" i="171"/>
  <c r="Q42" i="171"/>
  <c r="Q48" i="171"/>
  <c r="Q54" i="171"/>
  <c r="Q60" i="171"/>
  <c r="Q39" i="171"/>
  <c r="Q25" i="171"/>
  <c r="Q47" i="171"/>
  <c r="Q56" i="171"/>
  <c r="Q43" i="171"/>
  <c r="Q45" i="171"/>
  <c r="Q41" i="171"/>
  <c r="Q50" i="171"/>
  <c r="Q55" i="171"/>
  <c r="Q67" i="171"/>
  <c r="Q73" i="171"/>
  <c r="Q79" i="171"/>
  <c r="Q34" i="171"/>
  <c r="Q44" i="171"/>
  <c r="Q68" i="171"/>
  <c r="Q74" i="171"/>
  <c r="Q80" i="171"/>
  <c r="Q29" i="171"/>
  <c r="Q51" i="171"/>
  <c r="Q61" i="171"/>
  <c r="Q63" i="171"/>
  <c r="Q69" i="171"/>
  <c r="Q75" i="171"/>
  <c r="Q81" i="171"/>
  <c r="Q37" i="171"/>
  <c r="Q49" i="171"/>
  <c r="Q62" i="171"/>
  <c r="Q66" i="171"/>
  <c r="Q78" i="171"/>
  <c r="Q90" i="171"/>
  <c r="Q96" i="171"/>
  <c r="Q14" i="171"/>
  <c r="Q70" i="171"/>
  <c r="Q82" i="171"/>
  <c r="Q85" i="171"/>
  <c r="Q91" i="171"/>
  <c r="Q97" i="171"/>
  <c r="Q53" i="171"/>
  <c r="Q65" i="171"/>
  <c r="Q77" i="171"/>
  <c r="Q86" i="171"/>
  <c r="Q92" i="171"/>
  <c r="Q98" i="171"/>
  <c r="Q40" i="171"/>
  <c r="Q72" i="171"/>
  <c r="Q84" i="171"/>
  <c r="Q87" i="171"/>
  <c r="Q93" i="171"/>
  <c r="Q99" i="171"/>
  <c r="Q71" i="171"/>
  <c r="Q104" i="171"/>
  <c r="Q110" i="171"/>
  <c r="Q116" i="171"/>
  <c r="Q122" i="171"/>
  <c r="Q76" i="171"/>
  <c r="Q100" i="171"/>
  <c r="Q105" i="171"/>
  <c r="Q111" i="171"/>
  <c r="Q117" i="171"/>
  <c r="Q123" i="171"/>
  <c r="Q129" i="171"/>
  <c r="Q135" i="171"/>
  <c r="Q83" i="171"/>
  <c r="Q89" i="171"/>
  <c r="Q106" i="171"/>
  <c r="Q112" i="171"/>
  <c r="Q118" i="171"/>
  <c r="Q124" i="171"/>
  <c r="Q130" i="171"/>
  <c r="Q136" i="171"/>
  <c r="Q59" i="171"/>
  <c r="Q88" i="171"/>
  <c r="Q101" i="171"/>
  <c r="Q107" i="171"/>
  <c r="Q113" i="171"/>
  <c r="Q119" i="171"/>
  <c r="Q125" i="171"/>
  <c r="Q131" i="171"/>
  <c r="Q137" i="171"/>
  <c r="Q95" i="171"/>
  <c r="Q114" i="171"/>
  <c r="Q127" i="171"/>
  <c r="Q140" i="171"/>
  <c r="Q146" i="171"/>
  <c r="Q152" i="171"/>
  <c r="Q158" i="171"/>
  <c r="Q64" i="171"/>
  <c r="Q103" i="171"/>
  <c r="Q121" i="171"/>
  <c r="Q102" i="171"/>
  <c r="Q120" i="171"/>
  <c r="Q126" i="171"/>
  <c r="Q138" i="171"/>
  <c r="Q142" i="171"/>
  <c r="Q148" i="171"/>
  <c r="Q154" i="171"/>
  <c r="Q160" i="171"/>
  <c r="Q166" i="171"/>
  <c r="Q172" i="171"/>
  <c r="Q94" i="171"/>
  <c r="Q109" i="171"/>
  <c r="Q133" i="171"/>
  <c r="Q143" i="171"/>
  <c r="Q149" i="171"/>
  <c r="Q155" i="171"/>
  <c r="Q161" i="171"/>
  <c r="Q167" i="171"/>
  <c r="Q173" i="171"/>
  <c r="Q179" i="171"/>
  <c r="Q185" i="171"/>
  <c r="Q108" i="171"/>
  <c r="Q128" i="171"/>
  <c r="Q144" i="171"/>
  <c r="Q150" i="171"/>
  <c r="Q156" i="171"/>
  <c r="Q162" i="171"/>
  <c r="Q168" i="171"/>
  <c r="Q174" i="171"/>
  <c r="Q180" i="171"/>
  <c r="Q115" i="171"/>
  <c r="Q134" i="171"/>
  <c r="Q141" i="171"/>
  <c r="Q159" i="171"/>
  <c r="Q163" i="171"/>
  <c r="Q175" i="171"/>
  <c r="Q187" i="171"/>
  <c r="Q193" i="171"/>
  <c r="Q199" i="171"/>
  <c r="Q205" i="171"/>
  <c r="Q211" i="171"/>
  <c r="Q57" i="171"/>
  <c r="Q132" i="171"/>
  <c r="Q151" i="171"/>
  <c r="Q170" i="171"/>
  <c r="Q178" i="171"/>
  <c r="Q188" i="171"/>
  <c r="Q194" i="171"/>
  <c r="Q200" i="171"/>
  <c r="Q206" i="171"/>
  <c r="Q212" i="171"/>
  <c r="Q3" i="171"/>
  <c r="Q147" i="171"/>
  <c r="Q165" i="171"/>
  <c r="Q177" i="171"/>
  <c r="Q181" i="171"/>
  <c r="Q183" i="171"/>
  <c r="Q189" i="171"/>
  <c r="Q195" i="171"/>
  <c r="Q201" i="171"/>
  <c r="Q207" i="171"/>
  <c r="Q176" i="171"/>
  <c r="Q197" i="171"/>
  <c r="Q139" i="171"/>
  <c r="Q157" i="171"/>
  <c r="Q169" i="171"/>
  <c r="Q190" i="171"/>
  <c r="Q196" i="171"/>
  <c r="Q202" i="171"/>
  <c r="Q208" i="171"/>
  <c r="Q153" i="171"/>
  <c r="Q164" i="171"/>
  <c r="Q191" i="171"/>
  <c r="Q210" i="171"/>
  <c r="Q192" i="171"/>
  <c r="Q209" i="171"/>
  <c r="Q198" i="171"/>
  <c r="Q171" i="171"/>
  <c r="Q145" i="171"/>
  <c r="Q182" i="171"/>
  <c r="Q204" i="171"/>
  <c r="Q184" i="171"/>
  <c r="Q203" i="171"/>
  <c r="Q186" i="171"/>
  <c r="Q216" i="171"/>
  <c r="Q215" i="171"/>
  <c r="R1" i="171"/>
  <c r="Q217" i="171"/>
  <c r="Q218" i="171"/>
  <c r="Q213" i="171"/>
  <c r="Q214" i="171"/>
  <c r="T32" i="168"/>
  <c r="R8" i="171" l="1"/>
  <c r="R14" i="171"/>
  <c r="R5" i="171"/>
  <c r="R11" i="171"/>
  <c r="R17" i="171"/>
  <c r="R6" i="171"/>
  <c r="R12" i="171"/>
  <c r="R18" i="171"/>
  <c r="R4" i="171"/>
  <c r="R16" i="171"/>
  <c r="R13" i="171"/>
  <c r="R25" i="171"/>
  <c r="R20" i="171"/>
  <c r="R22" i="171"/>
  <c r="R30" i="171"/>
  <c r="R9" i="171"/>
  <c r="R26" i="171"/>
  <c r="R31" i="171"/>
  <c r="R15" i="171"/>
  <c r="R19" i="171"/>
  <c r="R23" i="171"/>
  <c r="R32" i="171"/>
  <c r="R34" i="171"/>
  <c r="R10" i="171"/>
  <c r="R28" i="171"/>
  <c r="R35" i="171"/>
  <c r="R37" i="171"/>
  <c r="R40" i="171"/>
  <c r="R45" i="171"/>
  <c r="R51" i="171"/>
  <c r="R57" i="171"/>
  <c r="R21" i="171"/>
  <c r="R24" i="171"/>
  <c r="R33" i="171"/>
  <c r="R41" i="171"/>
  <c r="R47" i="171"/>
  <c r="R53" i="171"/>
  <c r="R59" i="171"/>
  <c r="R36" i="171"/>
  <c r="R38" i="171"/>
  <c r="R29" i="171"/>
  <c r="R49" i="171"/>
  <c r="R58" i="171"/>
  <c r="R7" i="171"/>
  <c r="R54" i="171"/>
  <c r="R56" i="171"/>
  <c r="R43" i="171"/>
  <c r="R52" i="171"/>
  <c r="R48" i="171"/>
  <c r="R60" i="171"/>
  <c r="R62" i="171"/>
  <c r="R66" i="171"/>
  <c r="R72" i="171"/>
  <c r="R78" i="171"/>
  <c r="R84" i="171"/>
  <c r="R55" i="171"/>
  <c r="R67" i="171"/>
  <c r="R73" i="171"/>
  <c r="R79" i="171"/>
  <c r="R44" i="171"/>
  <c r="R68" i="171"/>
  <c r="R74" i="171"/>
  <c r="R80" i="171"/>
  <c r="R42" i="171"/>
  <c r="R71" i="171"/>
  <c r="R83" i="171"/>
  <c r="R89" i="171"/>
  <c r="R95" i="171"/>
  <c r="R61" i="171"/>
  <c r="R63" i="171"/>
  <c r="R75" i="171"/>
  <c r="R90" i="171"/>
  <c r="R96" i="171"/>
  <c r="R46" i="171"/>
  <c r="R70" i="171"/>
  <c r="R82" i="171"/>
  <c r="R85" i="171"/>
  <c r="R91" i="171"/>
  <c r="R97" i="171"/>
  <c r="R27" i="171"/>
  <c r="R65" i="171"/>
  <c r="R77" i="171"/>
  <c r="R86" i="171"/>
  <c r="R92" i="171"/>
  <c r="R98" i="171"/>
  <c r="R39" i="171"/>
  <c r="R64" i="171"/>
  <c r="R94" i="171"/>
  <c r="R103" i="171"/>
  <c r="R109" i="171"/>
  <c r="R115" i="171"/>
  <c r="R121" i="171"/>
  <c r="R69" i="171"/>
  <c r="R93" i="171"/>
  <c r="R104" i="171"/>
  <c r="R110" i="171"/>
  <c r="R116" i="171"/>
  <c r="R122" i="171"/>
  <c r="R128" i="171"/>
  <c r="R134" i="171"/>
  <c r="R76" i="171"/>
  <c r="R100" i="171"/>
  <c r="R105" i="171"/>
  <c r="R111" i="171"/>
  <c r="R117" i="171"/>
  <c r="R123" i="171"/>
  <c r="R129" i="171"/>
  <c r="R135" i="171"/>
  <c r="R81" i="171"/>
  <c r="R99" i="171"/>
  <c r="R106" i="171"/>
  <c r="R112" i="171"/>
  <c r="R118" i="171"/>
  <c r="R124" i="171"/>
  <c r="R130" i="171"/>
  <c r="R136" i="171"/>
  <c r="R88" i="171"/>
  <c r="R107" i="171"/>
  <c r="R132" i="171"/>
  <c r="R139" i="171"/>
  <c r="R145" i="171"/>
  <c r="R151" i="171"/>
  <c r="R157" i="171"/>
  <c r="R50" i="171"/>
  <c r="R114" i="171"/>
  <c r="R127" i="171"/>
  <c r="R113" i="171"/>
  <c r="R131" i="171"/>
  <c r="R141" i="171"/>
  <c r="R147" i="171"/>
  <c r="R153" i="171"/>
  <c r="R159" i="171"/>
  <c r="R165" i="171"/>
  <c r="R171" i="171"/>
  <c r="R177" i="171"/>
  <c r="R87" i="171"/>
  <c r="R102" i="171"/>
  <c r="R120" i="171"/>
  <c r="R126" i="171"/>
  <c r="R138" i="171"/>
  <c r="R142" i="171"/>
  <c r="R148" i="171"/>
  <c r="R154" i="171"/>
  <c r="R160" i="171"/>
  <c r="R166" i="171"/>
  <c r="R172" i="171"/>
  <c r="R178" i="171"/>
  <c r="R184" i="171"/>
  <c r="R101" i="171"/>
  <c r="R119" i="171"/>
  <c r="R133" i="171"/>
  <c r="R143" i="171"/>
  <c r="R149" i="171"/>
  <c r="R155" i="171"/>
  <c r="R161" i="171"/>
  <c r="R167" i="171"/>
  <c r="R173" i="171"/>
  <c r="R179" i="171"/>
  <c r="R185" i="171"/>
  <c r="R108" i="171"/>
  <c r="R152" i="171"/>
  <c r="R168" i="171"/>
  <c r="R180" i="171"/>
  <c r="R182" i="171"/>
  <c r="R186" i="171"/>
  <c r="R192" i="171"/>
  <c r="R198" i="171"/>
  <c r="R204" i="171"/>
  <c r="R210" i="171"/>
  <c r="R190" i="171"/>
  <c r="R125" i="171"/>
  <c r="R144" i="171"/>
  <c r="R162" i="171"/>
  <c r="R163" i="171"/>
  <c r="R175" i="171"/>
  <c r="R187" i="171"/>
  <c r="R193" i="171"/>
  <c r="R199" i="171"/>
  <c r="R205" i="171"/>
  <c r="R211" i="171"/>
  <c r="R146" i="171"/>
  <c r="R196" i="171"/>
  <c r="R140" i="171"/>
  <c r="R158" i="171"/>
  <c r="R170" i="171"/>
  <c r="R188" i="171"/>
  <c r="R194" i="171"/>
  <c r="R200" i="171"/>
  <c r="R206" i="171"/>
  <c r="R212" i="171"/>
  <c r="R3" i="171"/>
  <c r="R137" i="171"/>
  <c r="R150" i="171"/>
  <c r="R174" i="171"/>
  <c r="R181" i="171"/>
  <c r="R183" i="171"/>
  <c r="R189" i="171"/>
  <c r="R195" i="171"/>
  <c r="R201" i="171"/>
  <c r="R207" i="171"/>
  <c r="R169" i="171"/>
  <c r="R202" i="171"/>
  <c r="R203" i="171"/>
  <c r="R164" i="171"/>
  <c r="R191" i="171"/>
  <c r="R209" i="171"/>
  <c r="R176" i="171"/>
  <c r="R197" i="171"/>
  <c r="R208" i="171"/>
  <c r="R156" i="171"/>
  <c r="S1" i="171"/>
  <c r="R218" i="171"/>
  <c r="R214" i="171"/>
  <c r="R215" i="171"/>
  <c r="R216" i="171"/>
  <c r="R217" i="171"/>
  <c r="R213" i="171"/>
  <c r="T31" i="168"/>
  <c r="S7" i="171" l="1"/>
  <c r="S13" i="171"/>
  <c r="S19" i="171"/>
  <c r="S4" i="171"/>
  <c r="S10" i="171"/>
  <c r="S16" i="171"/>
  <c r="S5" i="171"/>
  <c r="S11" i="171"/>
  <c r="S17" i="171"/>
  <c r="S9" i="171"/>
  <c r="S6" i="171"/>
  <c r="S18" i="171"/>
  <c r="S24" i="171"/>
  <c r="S25" i="171"/>
  <c r="S28" i="171"/>
  <c r="S29" i="171"/>
  <c r="S20" i="171"/>
  <c r="S22" i="171"/>
  <c r="S30" i="171"/>
  <c r="S8" i="171"/>
  <c r="S12" i="171"/>
  <c r="S26" i="171"/>
  <c r="S31" i="171"/>
  <c r="S27" i="171"/>
  <c r="S33" i="171"/>
  <c r="S34" i="171"/>
  <c r="S40" i="171"/>
  <c r="S44" i="171"/>
  <c r="S50" i="171"/>
  <c r="S56" i="171"/>
  <c r="S62" i="171"/>
  <c r="S15" i="171"/>
  <c r="S21" i="171"/>
  <c r="S46" i="171"/>
  <c r="S52" i="171"/>
  <c r="S58" i="171"/>
  <c r="S23" i="171"/>
  <c r="S37" i="171"/>
  <c r="S42" i="171"/>
  <c r="S51" i="171"/>
  <c r="S36" i="171"/>
  <c r="S47" i="171"/>
  <c r="S49" i="171"/>
  <c r="S45" i="171"/>
  <c r="S54" i="171"/>
  <c r="S35" i="171"/>
  <c r="S41" i="171"/>
  <c r="S65" i="171"/>
  <c r="S71" i="171"/>
  <c r="S77" i="171"/>
  <c r="S83" i="171"/>
  <c r="S32" i="171"/>
  <c r="S48" i="171"/>
  <c r="S60" i="171"/>
  <c r="S66" i="171"/>
  <c r="S72" i="171"/>
  <c r="S78" i="171"/>
  <c r="S84" i="171"/>
  <c r="S55" i="171"/>
  <c r="S67" i="171"/>
  <c r="S73" i="171"/>
  <c r="S79" i="171"/>
  <c r="S39" i="171"/>
  <c r="S64" i="171"/>
  <c r="S76" i="171"/>
  <c r="S88" i="171"/>
  <c r="S94" i="171"/>
  <c r="S100" i="171"/>
  <c r="S68" i="171"/>
  <c r="S80" i="171"/>
  <c r="S89" i="171"/>
  <c r="S95" i="171"/>
  <c r="S14" i="171"/>
  <c r="S38" i="171"/>
  <c r="S61" i="171"/>
  <c r="S63" i="171"/>
  <c r="S75" i="171"/>
  <c r="S90" i="171"/>
  <c r="S96" i="171"/>
  <c r="S53" i="171"/>
  <c r="S70" i="171"/>
  <c r="S82" i="171"/>
  <c r="S85" i="171"/>
  <c r="S91" i="171"/>
  <c r="S97" i="171"/>
  <c r="S57" i="171"/>
  <c r="S87" i="171"/>
  <c r="S102" i="171"/>
  <c r="S108" i="171"/>
  <c r="S114" i="171"/>
  <c r="S120" i="171"/>
  <c r="S86" i="171"/>
  <c r="S103" i="171"/>
  <c r="S109" i="171"/>
  <c r="S115" i="171"/>
  <c r="S121" i="171"/>
  <c r="S127" i="171"/>
  <c r="S133" i="171"/>
  <c r="S69" i="171"/>
  <c r="S93" i="171"/>
  <c r="S104" i="171"/>
  <c r="S110" i="171"/>
  <c r="S116" i="171"/>
  <c r="S122" i="171"/>
  <c r="S128" i="171"/>
  <c r="S134" i="171"/>
  <c r="S74" i="171"/>
  <c r="S92" i="171"/>
  <c r="S105" i="171"/>
  <c r="S111" i="171"/>
  <c r="S117" i="171"/>
  <c r="S123" i="171"/>
  <c r="S129" i="171"/>
  <c r="S135" i="171"/>
  <c r="S59" i="171"/>
  <c r="S81" i="171"/>
  <c r="S118" i="171"/>
  <c r="S125" i="171"/>
  <c r="S137" i="171"/>
  <c r="S144" i="171"/>
  <c r="S150" i="171"/>
  <c r="S156" i="171"/>
  <c r="S162" i="171"/>
  <c r="S107" i="171"/>
  <c r="S99" i="171"/>
  <c r="S106" i="171"/>
  <c r="S124" i="171"/>
  <c r="S136" i="171"/>
  <c r="S140" i="171"/>
  <c r="S146" i="171"/>
  <c r="S152" i="171"/>
  <c r="S158" i="171"/>
  <c r="S164" i="171"/>
  <c r="S170" i="171"/>
  <c r="S176" i="171"/>
  <c r="S43" i="171"/>
  <c r="S113" i="171"/>
  <c r="S131" i="171"/>
  <c r="S141" i="171"/>
  <c r="S147" i="171"/>
  <c r="S153" i="171"/>
  <c r="S159" i="171"/>
  <c r="S165" i="171"/>
  <c r="S171" i="171"/>
  <c r="S177" i="171"/>
  <c r="S183" i="171"/>
  <c r="S112" i="171"/>
  <c r="S126" i="171"/>
  <c r="S138" i="171"/>
  <c r="S142" i="171"/>
  <c r="S148" i="171"/>
  <c r="S154" i="171"/>
  <c r="S160" i="171"/>
  <c r="S166" i="171"/>
  <c r="S172" i="171"/>
  <c r="S178" i="171"/>
  <c r="S184" i="171"/>
  <c r="S101" i="171"/>
  <c r="S145" i="171"/>
  <c r="S173" i="171"/>
  <c r="S191" i="171"/>
  <c r="S197" i="171"/>
  <c r="S203" i="171"/>
  <c r="S209" i="171"/>
  <c r="S201" i="171"/>
  <c r="S119" i="171"/>
  <c r="S155" i="171"/>
  <c r="S168" i="171"/>
  <c r="S180" i="171"/>
  <c r="S182" i="171"/>
  <c r="S186" i="171"/>
  <c r="S192" i="171"/>
  <c r="S198" i="171"/>
  <c r="S204" i="171"/>
  <c r="S210" i="171"/>
  <c r="S98" i="171"/>
  <c r="S181" i="171"/>
  <c r="S195" i="171"/>
  <c r="S130" i="171"/>
  <c r="S132" i="171"/>
  <c r="S151" i="171"/>
  <c r="S163" i="171"/>
  <c r="S175" i="171"/>
  <c r="S185" i="171"/>
  <c r="S187" i="171"/>
  <c r="S193" i="171"/>
  <c r="S199" i="171"/>
  <c r="S205" i="171"/>
  <c r="S211" i="171"/>
  <c r="S157" i="171"/>
  <c r="S174" i="171"/>
  <c r="S179" i="171"/>
  <c r="S143" i="171"/>
  <c r="S161" i="171"/>
  <c r="S167" i="171"/>
  <c r="S188" i="171"/>
  <c r="S194" i="171"/>
  <c r="S200" i="171"/>
  <c r="S206" i="171"/>
  <c r="S212" i="171"/>
  <c r="S3" i="171"/>
  <c r="S139" i="171"/>
  <c r="S189" i="171"/>
  <c r="S196" i="171"/>
  <c r="S202" i="171"/>
  <c r="S207" i="171"/>
  <c r="S169" i="171"/>
  <c r="S190" i="171"/>
  <c r="S208" i="171"/>
  <c r="S149" i="171"/>
  <c r="S215" i="171"/>
  <c r="S217" i="171"/>
  <c r="S218" i="171"/>
  <c r="S216" i="171"/>
  <c r="S213" i="171"/>
  <c r="S214" i="171"/>
  <c r="T1" i="171"/>
  <c r="T61" i="168"/>
  <c r="T6" i="171" l="1"/>
  <c r="T12" i="171"/>
  <c r="T18" i="171"/>
  <c r="T9" i="171"/>
  <c r="T15" i="171"/>
  <c r="T4" i="171"/>
  <c r="T10" i="171"/>
  <c r="T16" i="171"/>
  <c r="T14" i="171"/>
  <c r="T11" i="171"/>
  <c r="T23" i="171"/>
  <c r="T13" i="171"/>
  <c r="T17" i="171"/>
  <c r="T25" i="171"/>
  <c r="T28" i="171"/>
  <c r="T29" i="171"/>
  <c r="T5" i="171"/>
  <c r="T20" i="171"/>
  <c r="T22" i="171"/>
  <c r="T30" i="171"/>
  <c r="T38" i="171"/>
  <c r="T27" i="171"/>
  <c r="T33" i="171"/>
  <c r="T39" i="171"/>
  <c r="T32" i="171"/>
  <c r="T43" i="171"/>
  <c r="T49" i="171"/>
  <c r="T55" i="171"/>
  <c r="T61" i="171"/>
  <c r="T8" i="171"/>
  <c r="T26" i="171"/>
  <c r="T31" i="171"/>
  <c r="T35" i="171"/>
  <c r="T37" i="171"/>
  <c r="T45" i="171"/>
  <c r="T51" i="171"/>
  <c r="T57" i="171"/>
  <c r="T21" i="171"/>
  <c r="T24" i="171"/>
  <c r="T40" i="171"/>
  <c r="T44" i="171"/>
  <c r="T53" i="171"/>
  <c r="T42" i="171"/>
  <c r="T58" i="171"/>
  <c r="T7" i="171"/>
  <c r="T36" i="171"/>
  <c r="T47" i="171"/>
  <c r="T56" i="171"/>
  <c r="T19" i="171"/>
  <c r="T52" i="171"/>
  <c r="T64" i="171"/>
  <c r="T70" i="171"/>
  <c r="T76" i="171"/>
  <c r="T82" i="171"/>
  <c r="T41" i="171"/>
  <c r="T62" i="171"/>
  <c r="T65" i="171"/>
  <c r="T71" i="171"/>
  <c r="T77" i="171"/>
  <c r="T83" i="171"/>
  <c r="T34" i="171"/>
  <c r="T48" i="171"/>
  <c r="T60" i="171"/>
  <c r="T66" i="171"/>
  <c r="T72" i="171"/>
  <c r="T78" i="171"/>
  <c r="T84" i="171"/>
  <c r="T59" i="171"/>
  <c r="T69" i="171"/>
  <c r="T81" i="171"/>
  <c r="T87" i="171"/>
  <c r="T93" i="171"/>
  <c r="T99" i="171"/>
  <c r="T54" i="171"/>
  <c r="T73" i="171"/>
  <c r="T88" i="171"/>
  <c r="T94" i="171"/>
  <c r="T100" i="171"/>
  <c r="T68" i="171"/>
  <c r="T80" i="171"/>
  <c r="T89" i="171"/>
  <c r="T95" i="171"/>
  <c r="T46" i="171"/>
  <c r="T63" i="171"/>
  <c r="T75" i="171"/>
  <c r="T90" i="171"/>
  <c r="T96" i="171"/>
  <c r="T50" i="171"/>
  <c r="T98" i="171"/>
  <c r="T101" i="171"/>
  <c r="T107" i="171"/>
  <c r="T113" i="171"/>
  <c r="T119" i="171"/>
  <c r="T97" i="171"/>
  <c r="T102" i="171"/>
  <c r="T108" i="171"/>
  <c r="T114" i="171"/>
  <c r="T120" i="171"/>
  <c r="T126" i="171"/>
  <c r="T132" i="171"/>
  <c r="T138" i="171"/>
  <c r="T86" i="171"/>
  <c r="T103" i="171"/>
  <c r="T109" i="171"/>
  <c r="T115" i="171"/>
  <c r="T121" i="171"/>
  <c r="T127" i="171"/>
  <c r="T133" i="171"/>
  <c r="T67" i="171"/>
  <c r="T85" i="171"/>
  <c r="T104" i="171"/>
  <c r="T110" i="171"/>
  <c r="T116" i="171"/>
  <c r="T122" i="171"/>
  <c r="T128" i="171"/>
  <c r="T134" i="171"/>
  <c r="T74" i="171"/>
  <c r="T111" i="171"/>
  <c r="T130" i="171"/>
  <c r="T143" i="171"/>
  <c r="T149" i="171"/>
  <c r="T155" i="171"/>
  <c r="T161" i="171"/>
  <c r="T118" i="171"/>
  <c r="T125" i="171"/>
  <c r="T92" i="171"/>
  <c r="T117" i="171"/>
  <c r="T129" i="171"/>
  <c r="T139" i="171"/>
  <c r="T145" i="171"/>
  <c r="T151" i="171"/>
  <c r="T157" i="171"/>
  <c r="T163" i="171"/>
  <c r="T169" i="171"/>
  <c r="T175" i="171"/>
  <c r="T79" i="171"/>
  <c r="T106" i="171"/>
  <c r="T124" i="171"/>
  <c r="T136" i="171"/>
  <c r="T140" i="171"/>
  <c r="T146" i="171"/>
  <c r="T152" i="171"/>
  <c r="T158" i="171"/>
  <c r="T164" i="171"/>
  <c r="T170" i="171"/>
  <c r="T176" i="171"/>
  <c r="T182" i="171"/>
  <c r="T105" i="171"/>
  <c r="T131" i="171"/>
  <c r="T141" i="171"/>
  <c r="T147" i="171"/>
  <c r="T153" i="171"/>
  <c r="T159" i="171"/>
  <c r="T165" i="171"/>
  <c r="T171" i="171"/>
  <c r="T177" i="171"/>
  <c r="T183" i="171"/>
  <c r="T91" i="171"/>
  <c r="T156" i="171"/>
  <c r="T166" i="171"/>
  <c r="T184" i="171"/>
  <c r="T190" i="171"/>
  <c r="T196" i="171"/>
  <c r="T202" i="171"/>
  <c r="T208" i="171"/>
  <c r="T112" i="171"/>
  <c r="T148" i="171"/>
  <c r="T173" i="171"/>
  <c r="T191" i="171"/>
  <c r="T197" i="171"/>
  <c r="T203" i="171"/>
  <c r="T209" i="171"/>
  <c r="T137" i="171"/>
  <c r="T167" i="171"/>
  <c r="T200" i="171"/>
  <c r="T123" i="171"/>
  <c r="T144" i="171"/>
  <c r="T162" i="171"/>
  <c r="T168" i="171"/>
  <c r="T178" i="171"/>
  <c r="T180" i="171"/>
  <c r="T186" i="171"/>
  <c r="T192" i="171"/>
  <c r="T198" i="171"/>
  <c r="T204" i="171"/>
  <c r="T210" i="171"/>
  <c r="T150" i="171"/>
  <c r="T188" i="171"/>
  <c r="T154" i="171"/>
  <c r="T172" i="171"/>
  <c r="T185" i="171"/>
  <c r="T187" i="171"/>
  <c r="T193" i="171"/>
  <c r="T199" i="171"/>
  <c r="T205" i="171"/>
  <c r="T211" i="171"/>
  <c r="T194" i="171"/>
  <c r="T195" i="171"/>
  <c r="T181" i="171"/>
  <c r="T206" i="171"/>
  <c r="T3" i="171"/>
  <c r="T189" i="171"/>
  <c r="T160" i="171"/>
  <c r="T207" i="171"/>
  <c r="T135" i="171"/>
  <c r="T212" i="171"/>
  <c r="T174" i="171"/>
  <c r="T142" i="171"/>
  <c r="T179" i="171"/>
  <c r="T201" i="171"/>
  <c r="U1" i="171"/>
  <c r="T216" i="171"/>
  <c r="T213" i="171"/>
  <c r="T218" i="171"/>
  <c r="T217" i="171"/>
  <c r="T214" i="171"/>
  <c r="T215" i="171"/>
  <c r="T29" i="168"/>
  <c r="T30" i="168"/>
  <c r="T34" i="168"/>
  <c r="U5" i="171" l="1"/>
  <c r="U11" i="171"/>
  <c r="U17" i="171"/>
  <c r="U8" i="171"/>
  <c r="U14" i="171"/>
  <c r="U9" i="171"/>
  <c r="U15" i="171"/>
  <c r="U7" i="171"/>
  <c r="U19" i="171"/>
  <c r="U21" i="171"/>
  <c r="U4" i="171"/>
  <c r="U16" i="171"/>
  <c r="U22" i="171"/>
  <c r="U28" i="171"/>
  <c r="U6" i="171"/>
  <c r="U10" i="171"/>
  <c r="U24" i="171"/>
  <c r="U27" i="171"/>
  <c r="U13" i="171"/>
  <c r="U25" i="171"/>
  <c r="U29" i="171"/>
  <c r="U18" i="171"/>
  <c r="U26" i="171"/>
  <c r="U31" i="171"/>
  <c r="U37" i="171"/>
  <c r="U38" i="171"/>
  <c r="U23" i="171"/>
  <c r="U34" i="171"/>
  <c r="U36" i="171"/>
  <c r="U39" i="171"/>
  <c r="U42" i="171"/>
  <c r="U48" i="171"/>
  <c r="U54" i="171"/>
  <c r="U60" i="171"/>
  <c r="U32" i="171"/>
  <c r="U20" i="171"/>
  <c r="U40" i="171"/>
  <c r="U44" i="171"/>
  <c r="U50" i="171"/>
  <c r="U56" i="171"/>
  <c r="U62" i="171"/>
  <c r="U30" i="171"/>
  <c r="U33" i="171"/>
  <c r="U35" i="171"/>
  <c r="U46" i="171"/>
  <c r="U55" i="171"/>
  <c r="U12" i="171"/>
  <c r="U51" i="171"/>
  <c r="U53" i="171"/>
  <c r="U49" i="171"/>
  <c r="U58" i="171"/>
  <c r="U45" i="171"/>
  <c r="U59" i="171"/>
  <c r="U63" i="171"/>
  <c r="U69" i="171"/>
  <c r="U75" i="171"/>
  <c r="U81" i="171"/>
  <c r="U52" i="171"/>
  <c r="U64" i="171"/>
  <c r="U70" i="171"/>
  <c r="U76" i="171"/>
  <c r="U82" i="171"/>
  <c r="U41" i="171"/>
  <c r="U65" i="171"/>
  <c r="U71" i="171"/>
  <c r="U77" i="171"/>
  <c r="U83" i="171"/>
  <c r="U57" i="171"/>
  <c r="U74" i="171"/>
  <c r="U86" i="171"/>
  <c r="U92" i="171"/>
  <c r="U98" i="171"/>
  <c r="U47" i="171"/>
  <c r="U66" i="171"/>
  <c r="U78" i="171"/>
  <c r="U87" i="171"/>
  <c r="U93" i="171"/>
  <c r="U99" i="171"/>
  <c r="U73" i="171"/>
  <c r="U88" i="171"/>
  <c r="U94" i="171"/>
  <c r="U100" i="171"/>
  <c r="U61" i="171"/>
  <c r="U68" i="171"/>
  <c r="U80" i="171"/>
  <c r="U89" i="171"/>
  <c r="U95" i="171"/>
  <c r="U43" i="171"/>
  <c r="U79" i="171"/>
  <c r="U91" i="171"/>
  <c r="U106" i="171"/>
  <c r="U112" i="171"/>
  <c r="U118" i="171"/>
  <c r="U84" i="171"/>
  <c r="U90" i="171"/>
  <c r="U101" i="171"/>
  <c r="U107" i="171"/>
  <c r="U113" i="171"/>
  <c r="U119" i="171"/>
  <c r="U125" i="171"/>
  <c r="U131" i="171"/>
  <c r="U137" i="171"/>
  <c r="U97" i="171"/>
  <c r="U102" i="171"/>
  <c r="U108" i="171"/>
  <c r="U114" i="171"/>
  <c r="U120" i="171"/>
  <c r="U126" i="171"/>
  <c r="U132" i="171"/>
  <c r="U138" i="171"/>
  <c r="U96" i="171"/>
  <c r="U103" i="171"/>
  <c r="U109" i="171"/>
  <c r="U115" i="171"/>
  <c r="U121" i="171"/>
  <c r="U127" i="171"/>
  <c r="U133" i="171"/>
  <c r="U67" i="171"/>
  <c r="U104" i="171"/>
  <c r="U122" i="171"/>
  <c r="U123" i="171"/>
  <c r="U135" i="171"/>
  <c r="U142" i="171"/>
  <c r="U148" i="171"/>
  <c r="U154" i="171"/>
  <c r="U160" i="171"/>
  <c r="U111" i="171"/>
  <c r="U130" i="171"/>
  <c r="U85" i="171"/>
  <c r="U110" i="171"/>
  <c r="U134" i="171"/>
  <c r="U144" i="171"/>
  <c r="U150" i="171"/>
  <c r="U156" i="171"/>
  <c r="U162" i="171"/>
  <c r="U168" i="171"/>
  <c r="U174" i="171"/>
  <c r="U72" i="171"/>
  <c r="U117" i="171"/>
  <c r="U129" i="171"/>
  <c r="U139" i="171"/>
  <c r="U145" i="171"/>
  <c r="U151" i="171"/>
  <c r="U157" i="171"/>
  <c r="U163" i="171"/>
  <c r="U169" i="171"/>
  <c r="U175" i="171"/>
  <c r="U181" i="171"/>
  <c r="U116" i="171"/>
  <c r="U124" i="171"/>
  <c r="U136" i="171"/>
  <c r="U140" i="171"/>
  <c r="U146" i="171"/>
  <c r="U152" i="171"/>
  <c r="U158" i="171"/>
  <c r="U164" i="171"/>
  <c r="U170" i="171"/>
  <c r="U176" i="171"/>
  <c r="U182" i="171"/>
  <c r="U149" i="171"/>
  <c r="U171" i="171"/>
  <c r="U179" i="171"/>
  <c r="U189" i="171"/>
  <c r="U195" i="171"/>
  <c r="U201" i="171"/>
  <c r="U207" i="171"/>
  <c r="U105" i="171"/>
  <c r="U141" i="171"/>
  <c r="U159" i="171"/>
  <c r="U166" i="171"/>
  <c r="U184" i="171"/>
  <c r="U190" i="171"/>
  <c r="U196" i="171"/>
  <c r="U202" i="171"/>
  <c r="U208" i="171"/>
  <c r="U161" i="171"/>
  <c r="U172" i="171"/>
  <c r="U183" i="171"/>
  <c r="U185" i="171"/>
  <c r="U193" i="171"/>
  <c r="U155" i="171"/>
  <c r="U173" i="171"/>
  <c r="U191" i="171"/>
  <c r="U197" i="171"/>
  <c r="U203" i="171"/>
  <c r="U209" i="171"/>
  <c r="U199" i="171"/>
  <c r="U128" i="171"/>
  <c r="U147" i="171"/>
  <c r="U165" i="171"/>
  <c r="U177" i="171"/>
  <c r="U178" i="171"/>
  <c r="U180" i="171"/>
  <c r="U186" i="171"/>
  <c r="U192" i="171"/>
  <c r="U198" i="171"/>
  <c r="U204" i="171"/>
  <c r="U210" i="171"/>
  <c r="U143" i="171"/>
  <c r="U187" i="171"/>
  <c r="U194" i="171"/>
  <c r="U200" i="171"/>
  <c r="U206" i="171"/>
  <c r="U3" i="171"/>
  <c r="U205" i="171"/>
  <c r="U167" i="171"/>
  <c r="U212" i="171"/>
  <c r="U188" i="171"/>
  <c r="U153" i="171"/>
  <c r="U211" i="171"/>
  <c r="U214" i="171"/>
  <c r="V1" i="171"/>
  <c r="U213" i="171"/>
  <c r="U215" i="171"/>
  <c r="U218" i="171"/>
  <c r="U216" i="171"/>
  <c r="U217" i="171"/>
  <c r="T22" i="168"/>
  <c r="T23" i="168"/>
  <c r="T24" i="168"/>
  <c r="T25" i="168"/>
  <c r="T26" i="168"/>
  <c r="T27" i="168"/>
  <c r="T28" i="168"/>
  <c r="T21" i="168"/>
  <c r="V4" i="171" l="1"/>
  <c r="V10" i="171"/>
  <c r="V16" i="171"/>
  <c r="V7" i="171"/>
  <c r="V13" i="171"/>
  <c r="V19" i="171"/>
  <c r="V8" i="171"/>
  <c r="V14" i="171"/>
  <c r="V12" i="171"/>
  <c r="V20" i="171"/>
  <c r="V9" i="171"/>
  <c r="V21" i="171"/>
  <c r="V27" i="171"/>
  <c r="V32" i="171"/>
  <c r="V6" i="171"/>
  <c r="V17" i="171"/>
  <c r="V24" i="171"/>
  <c r="V28" i="171"/>
  <c r="V11" i="171"/>
  <c r="V36" i="171"/>
  <c r="V18" i="171"/>
  <c r="V26" i="171"/>
  <c r="V31" i="171"/>
  <c r="V37" i="171"/>
  <c r="V25" i="171"/>
  <c r="V29" i="171"/>
  <c r="V41" i="171"/>
  <c r="V47" i="171"/>
  <c r="V53" i="171"/>
  <c r="V59" i="171"/>
  <c r="V23" i="171"/>
  <c r="V15" i="171"/>
  <c r="V43" i="171"/>
  <c r="V49" i="171"/>
  <c r="V55" i="171"/>
  <c r="V61" i="171"/>
  <c r="V22" i="171"/>
  <c r="V40" i="171"/>
  <c r="V34" i="171"/>
  <c r="V39" i="171"/>
  <c r="V48" i="171"/>
  <c r="V57" i="171"/>
  <c r="V44" i="171"/>
  <c r="V46" i="171"/>
  <c r="V42" i="171"/>
  <c r="V51" i="171"/>
  <c r="V56" i="171"/>
  <c r="V68" i="171"/>
  <c r="V74" i="171"/>
  <c r="V80" i="171"/>
  <c r="V35" i="171"/>
  <c r="V45" i="171"/>
  <c r="V63" i="171"/>
  <c r="V69" i="171"/>
  <c r="V75" i="171"/>
  <c r="V81" i="171"/>
  <c r="V52" i="171"/>
  <c r="V62" i="171"/>
  <c r="V64" i="171"/>
  <c r="V70" i="171"/>
  <c r="V76" i="171"/>
  <c r="V82" i="171"/>
  <c r="V5" i="171"/>
  <c r="V50" i="171"/>
  <c r="V67" i="171"/>
  <c r="V79" i="171"/>
  <c r="V85" i="171"/>
  <c r="V91" i="171"/>
  <c r="V97" i="171"/>
  <c r="V33" i="171"/>
  <c r="V71" i="171"/>
  <c r="V83" i="171"/>
  <c r="V86" i="171"/>
  <c r="V92" i="171"/>
  <c r="V98" i="171"/>
  <c r="V54" i="171"/>
  <c r="V66" i="171"/>
  <c r="V78" i="171"/>
  <c r="V87" i="171"/>
  <c r="V93" i="171"/>
  <c r="V99" i="171"/>
  <c r="V38" i="171"/>
  <c r="V73" i="171"/>
  <c r="V88" i="171"/>
  <c r="V94" i="171"/>
  <c r="V100" i="171"/>
  <c r="V72" i="171"/>
  <c r="V105" i="171"/>
  <c r="V111" i="171"/>
  <c r="V117" i="171"/>
  <c r="V30" i="171"/>
  <c r="V58" i="171"/>
  <c r="V60" i="171"/>
  <c r="V77" i="171"/>
  <c r="V106" i="171"/>
  <c r="V112" i="171"/>
  <c r="V118" i="171"/>
  <c r="V124" i="171"/>
  <c r="V130" i="171"/>
  <c r="V136" i="171"/>
  <c r="V84" i="171"/>
  <c r="V90" i="171"/>
  <c r="V101" i="171"/>
  <c r="V107" i="171"/>
  <c r="V113" i="171"/>
  <c r="V119" i="171"/>
  <c r="V125" i="171"/>
  <c r="V131" i="171"/>
  <c r="V137" i="171"/>
  <c r="V89" i="171"/>
  <c r="V102" i="171"/>
  <c r="V108" i="171"/>
  <c r="V114" i="171"/>
  <c r="V120" i="171"/>
  <c r="V126" i="171"/>
  <c r="V132" i="171"/>
  <c r="V138" i="171"/>
  <c r="V115" i="171"/>
  <c r="V128" i="171"/>
  <c r="V141" i="171"/>
  <c r="V147" i="171"/>
  <c r="V153" i="171"/>
  <c r="V159" i="171"/>
  <c r="V95" i="171"/>
  <c r="V104" i="171"/>
  <c r="V122" i="171"/>
  <c r="V123" i="171"/>
  <c r="V103" i="171"/>
  <c r="V121" i="171"/>
  <c r="V127" i="171"/>
  <c r="V143" i="171"/>
  <c r="V149" i="171"/>
  <c r="V155" i="171"/>
  <c r="V161" i="171"/>
  <c r="V167" i="171"/>
  <c r="V173" i="171"/>
  <c r="V65" i="171"/>
  <c r="V110" i="171"/>
  <c r="V134" i="171"/>
  <c r="V144" i="171"/>
  <c r="V150" i="171"/>
  <c r="V156" i="171"/>
  <c r="V162" i="171"/>
  <c r="V168" i="171"/>
  <c r="V174" i="171"/>
  <c r="V180" i="171"/>
  <c r="V96" i="171"/>
  <c r="V109" i="171"/>
  <c r="V129" i="171"/>
  <c r="V139" i="171"/>
  <c r="V145" i="171"/>
  <c r="V151" i="171"/>
  <c r="V157" i="171"/>
  <c r="V163" i="171"/>
  <c r="V169" i="171"/>
  <c r="V175" i="171"/>
  <c r="V181" i="171"/>
  <c r="V135" i="171"/>
  <c r="V142" i="171"/>
  <c r="V160" i="171"/>
  <c r="V164" i="171"/>
  <c r="V176" i="171"/>
  <c r="V188" i="171"/>
  <c r="V194" i="171"/>
  <c r="V200" i="171"/>
  <c r="V206" i="171"/>
  <c r="V212" i="171"/>
  <c r="V3" i="171"/>
  <c r="V198" i="171"/>
  <c r="V133" i="171"/>
  <c r="V152" i="171"/>
  <c r="V171" i="171"/>
  <c r="V179" i="171"/>
  <c r="V189" i="171"/>
  <c r="V195" i="171"/>
  <c r="V201" i="171"/>
  <c r="V207" i="171"/>
  <c r="V154" i="171"/>
  <c r="V116" i="171"/>
  <c r="V148" i="171"/>
  <c r="V166" i="171"/>
  <c r="V182" i="171"/>
  <c r="V184" i="171"/>
  <c r="V190" i="171"/>
  <c r="V196" i="171"/>
  <c r="V202" i="171"/>
  <c r="V208" i="171"/>
  <c r="V177" i="171"/>
  <c r="V178" i="171"/>
  <c r="V140" i="171"/>
  <c r="V158" i="171"/>
  <c r="V170" i="171"/>
  <c r="V191" i="171"/>
  <c r="V197" i="171"/>
  <c r="V203" i="171"/>
  <c r="V209" i="171"/>
  <c r="V165" i="171"/>
  <c r="V186" i="171"/>
  <c r="V192" i="171"/>
  <c r="V187" i="171"/>
  <c r="V193" i="171"/>
  <c r="V210" i="171"/>
  <c r="V183" i="171"/>
  <c r="V185" i="171"/>
  <c r="V172" i="171"/>
  <c r="V146" i="171"/>
  <c r="V199" i="171"/>
  <c r="V205" i="171"/>
  <c r="V204" i="171"/>
  <c r="V211" i="171"/>
  <c r="V213" i="171"/>
  <c r="V216" i="171"/>
  <c r="V217" i="171"/>
  <c r="V215" i="171"/>
  <c r="W1" i="171"/>
  <c r="V218" i="171"/>
  <c r="V214" i="171"/>
  <c r="T10" i="168"/>
  <c r="T11" i="168"/>
  <c r="T18" i="168"/>
  <c r="T19" i="168"/>
  <c r="T20" i="168"/>
  <c r="W9" i="171" l="1"/>
  <c r="W15" i="171"/>
  <c r="W6" i="171"/>
  <c r="W12" i="171"/>
  <c r="W18" i="171"/>
  <c r="W7" i="171"/>
  <c r="W13" i="171"/>
  <c r="W19" i="171"/>
  <c r="W5" i="171"/>
  <c r="W17" i="171"/>
  <c r="W14" i="171"/>
  <c r="W20" i="171"/>
  <c r="W26" i="171"/>
  <c r="W21" i="171"/>
  <c r="W23" i="171"/>
  <c r="W31" i="171"/>
  <c r="W10" i="171"/>
  <c r="W27" i="171"/>
  <c r="W32" i="171"/>
  <c r="W16" i="171"/>
  <c r="W24" i="171"/>
  <c r="W4" i="171"/>
  <c r="W25" i="171"/>
  <c r="W29" i="171"/>
  <c r="W35" i="171"/>
  <c r="W11" i="171"/>
  <c r="W36" i="171"/>
  <c r="W38" i="171"/>
  <c r="W46" i="171"/>
  <c r="W52" i="171"/>
  <c r="W58" i="171"/>
  <c r="W28" i="171"/>
  <c r="W8" i="171"/>
  <c r="W34" i="171"/>
  <c r="W39" i="171"/>
  <c r="W42" i="171"/>
  <c r="W48" i="171"/>
  <c r="W54" i="171"/>
  <c r="W60" i="171"/>
  <c r="W37" i="171"/>
  <c r="W41" i="171"/>
  <c r="W50" i="171"/>
  <c r="W40" i="171"/>
  <c r="W55" i="171"/>
  <c r="W57" i="171"/>
  <c r="W44" i="171"/>
  <c r="W53" i="171"/>
  <c r="W49" i="171"/>
  <c r="W61" i="171"/>
  <c r="W67" i="171"/>
  <c r="W73" i="171"/>
  <c r="W79" i="171"/>
  <c r="W56" i="171"/>
  <c r="W59" i="171"/>
  <c r="W68" i="171"/>
  <c r="W74" i="171"/>
  <c r="W80" i="171"/>
  <c r="W45" i="171"/>
  <c r="W63" i="171"/>
  <c r="W69" i="171"/>
  <c r="W75" i="171"/>
  <c r="W81" i="171"/>
  <c r="W30" i="171"/>
  <c r="W43" i="171"/>
  <c r="W72" i="171"/>
  <c r="W84" i="171"/>
  <c r="W90" i="171"/>
  <c r="W96" i="171"/>
  <c r="W62" i="171"/>
  <c r="W64" i="171"/>
  <c r="W76" i="171"/>
  <c r="W85" i="171"/>
  <c r="W91" i="171"/>
  <c r="W97" i="171"/>
  <c r="W33" i="171"/>
  <c r="W47" i="171"/>
  <c r="W71" i="171"/>
  <c r="W83" i="171"/>
  <c r="W86" i="171"/>
  <c r="W92" i="171"/>
  <c r="W98" i="171"/>
  <c r="W66" i="171"/>
  <c r="W78" i="171"/>
  <c r="W87" i="171"/>
  <c r="W93" i="171"/>
  <c r="W99" i="171"/>
  <c r="W22" i="171"/>
  <c r="W65" i="171"/>
  <c r="W95" i="171"/>
  <c r="W104" i="171"/>
  <c r="W110" i="171"/>
  <c r="W116" i="171"/>
  <c r="W122" i="171"/>
  <c r="W51" i="171"/>
  <c r="W70" i="171"/>
  <c r="W94" i="171"/>
  <c r="W105" i="171"/>
  <c r="W111" i="171"/>
  <c r="W117" i="171"/>
  <c r="W123" i="171"/>
  <c r="W129" i="171"/>
  <c r="W135" i="171"/>
  <c r="W77" i="171"/>
  <c r="W106" i="171"/>
  <c r="W112" i="171"/>
  <c r="W118" i="171"/>
  <c r="W124" i="171"/>
  <c r="W130" i="171"/>
  <c r="W136" i="171"/>
  <c r="W82" i="171"/>
  <c r="W100" i="171"/>
  <c r="W101" i="171"/>
  <c r="W107" i="171"/>
  <c r="W113" i="171"/>
  <c r="W119" i="171"/>
  <c r="W125" i="171"/>
  <c r="W131" i="171"/>
  <c r="W137" i="171"/>
  <c r="W108" i="171"/>
  <c r="W133" i="171"/>
  <c r="W140" i="171"/>
  <c r="W146" i="171"/>
  <c r="W152" i="171"/>
  <c r="W158" i="171"/>
  <c r="W88" i="171"/>
  <c r="W115" i="171"/>
  <c r="W128" i="171"/>
  <c r="W114" i="171"/>
  <c r="W132" i="171"/>
  <c r="W142" i="171"/>
  <c r="W148" i="171"/>
  <c r="W154" i="171"/>
  <c r="W160" i="171"/>
  <c r="W166" i="171"/>
  <c r="W172" i="171"/>
  <c r="W103" i="171"/>
  <c r="W121" i="171"/>
  <c r="W127" i="171"/>
  <c r="W143" i="171"/>
  <c r="W149" i="171"/>
  <c r="W155" i="171"/>
  <c r="W161" i="171"/>
  <c r="W167" i="171"/>
  <c r="W173" i="171"/>
  <c r="W179" i="171"/>
  <c r="W185" i="171"/>
  <c r="W89" i="171"/>
  <c r="W102" i="171"/>
  <c r="W120" i="171"/>
  <c r="W134" i="171"/>
  <c r="W144" i="171"/>
  <c r="W150" i="171"/>
  <c r="W156" i="171"/>
  <c r="W162" i="171"/>
  <c r="W168" i="171"/>
  <c r="W174" i="171"/>
  <c r="W180" i="171"/>
  <c r="W153" i="171"/>
  <c r="W169" i="171"/>
  <c r="W181" i="171"/>
  <c r="W183" i="171"/>
  <c r="W187" i="171"/>
  <c r="W193" i="171"/>
  <c r="W199" i="171"/>
  <c r="W205" i="171"/>
  <c r="W211" i="171"/>
  <c r="W145" i="171"/>
  <c r="W164" i="171"/>
  <c r="W176" i="171"/>
  <c r="W188" i="171"/>
  <c r="W194" i="171"/>
  <c r="W200" i="171"/>
  <c r="W206" i="171"/>
  <c r="W212" i="171"/>
  <c r="W3" i="171"/>
  <c r="W126" i="171"/>
  <c r="W191" i="171"/>
  <c r="W109" i="171"/>
  <c r="W141" i="171"/>
  <c r="W159" i="171"/>
  <c r="W171" i="171"/>
  <c r="W189" i="171"/>
  <c r="W195" i="171"/>
  <c r="W201" i="171"/>
  <c r="W207" i="171"/>
  <c r="W147" i="171"/>
  <c r="W138" i="171"/>
  <c r="W151" i="171"/>
  <c r="W163" i="171"/>
  <c r="W175" i="171"/>
  <c r="W182" i="171"/>
  <c r="W184" i="171"/>
  <c r="W190" i="171"/>
  <c r="W196" i="171"/>
  <c r="W202" i="171"/>
  <c r="W208" i="171"/>
  <c r="W170" i="171"/>
  <c r="W197" i="171"/>
  <c r="W157" i="171"/>
  <c r="W186" i="171"/>
  <c r="W203" i="171"/>
  <c r="W192" i="171"/>
  <c r="W210" i="171"/>
  <c r="W139" i="171"/>
  <c r="W177" i="171"/>
  <c r="W204" i="171"/>
  <c r="W178" i="171"/>
  <c r="W198" i="171"/>
  <c r="W209" i="171"/>
  <c r="W165" i="171"/>
  <c r="W215" i="171"/>
  <c r="W213" i="171"/>
  <c r="W216" i="171"/>
  <c r="W217" i="171"/>
  <c r="W214" i="171"/>
  <c r="W218" i="171"/>
  <c r="X1" i="171"/>
  <c r="T16" i="168"/>
  <c r="X8" i="171" l="1"/>
  <c r="X14" i="171"/>
  <c r="X5" i="171"/>
  <c r="X11" i="171"/>
  <c r="X17" i="171"/>
  <c r="X6" i="171"/>
  <c r="X12" i="171"/>
  <c r="X18" i="171"/>
  <c r="X10" i="171"/>
  <c r="X7" i="171"/>
  <c r="X19" i="171"/>
  <c r="X25" i="171"/>
  <c r="X26" i="171"/>
  <c r="X30" i="171"/>
  <c r="X21" i="171"/>
  <c r="X23" i="171"/>
  <c r="X31" i="171"/>
  <c r="X9" i="171"/>
  <c r="X13" i="171"/>
  <c r="X27" i="171"/>
  <c r="X32" i="171"/>
  <c r="X20" i="171"/>
  <c r="X34" i="171"/>
  <c r="X4" i="171"/>
  <c r="X29" i="171"/>
  <c r="X35" i="171"/>
  <c r="X33" i="171"/>
  <c r="X45" i="171"/>
  <c r="X51" i="171"/>
  <c r="X57" i="171"/>
  <c r="X28" i="171"/>
  <c r="X41" i="171"/>
  <c r="X47" i="171"/>
  <c r="X53" i="171"/>
  <c r="X59" i="171"/>
  <c r="X15" i="171"/>
  <c r="X39" i="171"/>
  <c r="X16" i="171"/>
  <c r="X38" i="171"/>
  <c r="X43" i="171"/>
  <c r="X52" i="171"/>
  <c r="X37" i="171"/>
  <c r="X48" i="171"/>
  <c r="X50" i="171"/>
  <c r="X40" i="171"/>
  <c r="X46" i="171"/>
  <c r="X55" i="171"/>
  <c r="X24" i="171"/>
  <c r="X36" i="171"/>
  <c r="X42" i="171"/>
  <c r="X66" i="171"/>
  <c r="X72" i="171"/>
  <c r="X78" i="171"/>
  <c r="X84" i="171"/>
  <c r="X49" i="171"/>
  <c r="X61" i="171"/>
  <c r="X67" i="171"/>
  <c r="X73" i="171"/>
  <c r="X79" i="171"/>
  <c r="X56" i="171"/>
  <c r="X68" i="171"/>
  <c r="X74" i="171"/>
  <c r="X80" i="171"/>
  <c r="X22" i="171"/>
  <c r="X65" i="171"/>
  <c r="X77" i="171"/>
  <c r="X89" i="171"/>
  <c r="X95" i="171"/>
  <c r="X69" i="171"/>
  <c r="X81" i="171"/>
  <c r="X90" i="171"/>
  <c r="X96" i="171"/>
  <c r="X62" i="171"/>
  <c r="X64" i="171"/>
  <c r="X76" i="171"/>
  <c r="X85" i="171"/>
  <c r="X91" i="171"/>
  <c r="X97" i="171"/>
  <c r="X54" i="171"/>
  <c r="X71" i="171"/>
  <c r="X83" i="171"/>
  <c r="X86" i="171"/>
  <c r="X92" i="171"/>
  <c r="X98" i="171"/>
  <c r="X88" i="171"/>
  <c r="X103" i="171"/>
  <c r="X109" i="171"/>
  <c r="X115" i="171"/>
  <c r="X121" i="171"/>
  <c r="X44" i="171"/>
  <c r="X63" i="171"/>
  <c r="X87" i="171"/>
  <c r="X104" i="171"/>
  <c r="X110" i="171"/>
  <c r="X116" i="171"/>
  <c r="X122" i="171"/>
  <c r="X128" i="171"/>
  <c r="X134" i="171"/>
  <c r="X58" i="171"/>
  <c r="X60" i="171"/>
  <c r="X70" i="171"/>
  <c r="X94" i="171"/>
  <c r="X105" i="171"/>
  <c r="X111" i="171"/>
  <c r="X117" i="171"/>
  <c r="X123" i="171"/>
  <c r="X129" i="171"/>
  <c r="X135" i="171"/>
  <c r="X75" i="171"/>
  <c r="X93" i="171"/>
  <c r="X106" i="171"/>
  <c r="X112" i="171"/>
  <c r="X118" i="171"/>
  <c r="X124" i="171"/>
  <c r="X130" i="171"/>
  <c r="X136" i="171"/>
  <c r="X100" i="171"/>
  <c r="X101" i="171"/>
  <c r="X119" i="171"/>
  <c r="X126" i="171"/>
  <c r="X138" i="171"/>
  <c r="X139" i="171"/>
  <c r="X145" i="171"/>
  <c r="X151" i="171"/>
  <c r="X157" i="171"/>
  <c r="X108" i="171"/>
  <c r="X82" i="171"/>
  <c r="X107" i="171"/>
  <c r="X125" i="171"/>
  <c r="X137" i="171"/>
  <c r="X141" i="171"/>
  <c r="X147" i="171"/>
  <c r="X153" i="171"/>
  <c r="X159" i="171"/>
  <c r="X165" i="171"/>
  <c r="X171" i="171"/>
  <c r="X177" i="171"/>
  <c r="X99" i="171"/>
  <c r="X114" i="171"/>
  <c r="X132" i="171"/>
  <c r="X142" i="171"/>
  <c r="X148" i="171"/>
  <c r="X154" i="171"/>
  <c r="X160" i="171"/>
  <c r="X166" i="171"/>
  <c r="X172" i="171"/>
  <c r="X178" i="171"/>
  <c r="X184" i="171"/>
  <c r="X113" i="171"/>
  <c r="X127" i="171"/>
  <c r="X143" i="171"/>
  <c r="X149" i="171"/>
  <c r="X155" i="171"/>
  <c r="X161" i="171"/>
  <c r="X167" i="171"/>
  <c r="X173" i="171"/>
  <c r="X179" i="171"/>
  <c r="X185" i="171"/>
  <c r="X146" i="171"/>
  <c r="X174" i="171"/>
  <c r="X186" i="171"/>
  <c r="X192" i="171"/>
  <c r="X198" i="171"/>
  <c r="X204" i="171"/>
  <c r="X210" i="171"/>
  <c r="X156" i="171"/>
  <c r="X169" i="171"/>
  <c r="X181" i="171"/>
  <c r="X183" i="171"/>
  <c r="X187" i="171"/>
  <c r="X193" i="171"/>
  <c r="X199" i="171"/>
  <c r="X205" i="171"/>
  <c r="X211" i="171"/>
  <c r="X163" i="171"/>
  <c r="X180" i="171"/>
  <c r="X102" i="171"/>
  <c r="X133" i="171"/>
  <c r="X152" i="171"/>
  <c r="X164" i="171"/>
  <c r="X176" i="171"/>
  <c r="X188" i="171"/>
  <c r="X194" i="171"/>
  <c r="X200" i="171"/>
  <c r="X206" i="171"/>
  <c r="X212" i="171"/>
  <c r="X3" i="171"/>
  <c r="X140" i="171"/>
  <c r="X175" i="171"/>
  <c r="X182" i="171"/>
  <c r="X190" i="171"/>
  <c r="X196" i="171"/>
  <c r="X202" i="171"/>
  <c r="X120" i="171"/>
  <c r="X144" i="171"/>
  <c r="X162" i="171"/>
  <c r="X168" i="171"/>
  <c r="X189" i="171"/>
  <c r="X195" i="171"/>
  <c r="X201" i="171"/>
  <c r="X207" i="171"/>
  <c r="X158" i="171"/>
  <c r="X150" i="171"/>
  <c r="X203" i="171"/>
  <c r="X191" i="171"/>
  <c r="X208" i="171"/>
  <c r="X170" i="171"/>
  <c r="X197" i="171"/>
  <c r="X209" i="171"/>
  <c r="X131" i="171"/>
  <c r="X217" i="171"/>
  <c r="X218" i="171"/>
  <c r="X214" i="171"/>
  <c r="X213" i="171"/>
  <c r="X215" i="171"/>
  <c r="Y1" i="171"/>
  <c r="X216" i="171"/>
  <c r="T13" i="168"/>
  <c r="T12" i="168"/>
  <c r="Y7" i="171" l="1"/>
  <c r="Y13" i="171"/>
  <c r="Y19" i="171"/>
  <c r="Y4" i="171"/>
  <c r="Y10" i="171"/>
  <c r="Y16" i="171"/>
  <c r="Y5" i="171"/>
  <c r="Y11" i="171"/>
  <c r="Y17" i="171"/>
  <c r="Y15" i="171"/>
  <c r="Y12" i="171"/>
  <c r="Y24" i="171"/>
  <c r="Y14" i="171"/>
  <c r="Y18" i="171"/>
  <c r="Y22" i="171"/>
  <c r="Y29" i="171"/>
  <c r="Y26" i="171"/>
  <c r="Y30" i="171"/>
  <c r="Y6" i="171"/>
  <c r="Y21" i="171"/>
  <c r="Y23" i="171"/>
  <c r="Y31" i="171"/>
  <c r="Y33" i="171"/>
  <c r="Y20" i="171"/>
  <c r="Y25" i="171"/>
  <c r="Y34" i="171"/>
  <c r="Y40" i="171"/>
  <c r="Y44" i="171"/>
  <c r="Y50" i="171"/>
  <c r="Y56" i="171"/>
  <c r="Y62" i="171"/>
  <c r="Y32" i="171"/>
  <c r="Y36" i="171"/>
  <c r="Y38" i="171"/>
  <c r="Y46" i="171"/>
  <c r="Y52" i="171"/>
  <c r="Y58" i="171"/>
  <c r="Y8" i="171"/>
  <c r="Y28" i="171"/>
  <c r="Y27" i="171"/>
  <c r="Y45" i="171"/>
  <c r="Y54" i="171"/>
  <c r="Y39" i="171"/>
  <c r="Y41" i="171"/>
  <c r="Y43" i="171"/>
  <c r="Y37" i="171"/>
  <c r="Y48" i="171"/>
  <c r="Y57" i="171"/>
  <c r="Y53" i="171"/>
  <c r="Y65" i="171"/>
  <c r="Y71" i="171"/>
  <c r="Y77" i="171"/>
  <c r="Y83" i="171"/>
  <c r="Y9" i="171"/>
  <c r="Y42" i="171"/>
  <c r="Y66" i="171"/>
  <c r="Y72" i="171"/>
  <c r="Y78" i="171"/>
  <c r="Y84" i="171"/>
  <c r="Y35" i="171"/>
  <c r="Y49" i="171"/>
  <c r="Y59" i="171"/>
  <c r="Y61" i="171"/>
  <c r="Y67" i="171"/>
  <c r="Y73" i="171"/>
  <c r="Y79" i="171"/>
  <c r="Y60" i="171"/>
  <c r="Y70" i="171"/>
  <c r="Y82" i="171"/>
  <c r="Y88" i="171"/>
  <c r="Y94" i="171"/>
  <c r="Y100" i="171"/>
  <c r="Y55" i="171"/>
  <c r="Y74" i="171"/>
  <c r="Y89" i="171"/>
  <c r="Y95" i="171"/>
  <c r="Y69" i="171"/>
  <c r="Y81" i="171"/>
  <c r="Y90" i="171"/>
  <c r="Y96" i="171"/>
  <c r="Y47" i="171"/>
  <c r="Y64" i="171"/>
  <c r="Y76" i="171"/>
  <c r="Y85" i="171"/>
  <c r="Y91" i="171"/>
  <c r="Y97" i="171"/>
  <c r="Y99" i="171"/>
  <c r="Y102" i="171"/>
  <c r="Y108" i="171"/>
  <c r="Y114" i="171"/>
  <c r="Y120" i="171"/>
  <c r="Y98" i="171"/>
  <c r="Y103" i="171"/>
  <c r="Y109" i="171"/>
  <c r="Y115" i="171"/>
  <c r="Y121" i="171"/>
  <c r="Y127" i="171"/>
  <c r="Y133" i="171"/>
  <c r="Y51" i="171"/>
  <c r="Y63" i="171"/>
  <c r="Y87" i="171"/>
  <c r="Y104" i="171"/>
  <c r="Y110" i="171"/>
  <c r="Y116" i="171"/>
  <c r="Y122" i="171"/>
  <c r="Y128" i="171"/>
  <c r="Y134" i="171"/>
  <c r="Y68" i="171"/>
  <c r="Y86" i="171"/>
  <c r="Y105" i="171"/>
  <c r="Y111" i="171"/>
  <c r="Y117" i="171"/>
  <c r="Y123" i="171"/>
  <c r="Y129" i="171"/>
  <c r="Y135" i="171"/>
  <c r="Y93" i="171"/>
  <c r="Y112" i="171"/>
  <c r="Y131" i="171"/>
  <c r="Y144" i="171"/>
  <c r="Y150" i="171"/>
  <c r="Y156" i="171"/>
  <c r="Y162" i="171"/>
  <c r="Y101" i="171"/>
  <c r="Y119" i="171"/>
  <c r="Y126" i="171"/>
  <c r="Y75" i="171"/>
  <c r="Y118" i="171"/>
  <c r="Y130" i="171"/>
  <c r="Y140" i="171"/>
  <c r="Y146" i="171"/>
  <c r="Y152" i="171"/>
  <c r="Y158" i="171"/>
  <c r="Y164" i="171"/>
  <c r="Y170" i="171"/>
  <c r="Y176" i="171"/>
  <c r="Y92" i="171"/>
  <c r="Y107" i="171"/>
  <c r="Y125" i="171"/>
  <c r="Y137" i="171"/>
  <c r="Y141" i="171"/>
  <c r="Y147" i="171"/>
  <c r="Y153" i="171"/>
  <c r="Y159" i="171"/>
  <c r="Y165" i="171"/>
  <c r="Y171" i="171"/>
  <c r="Y177" i="171"/>
  <c r="Y183" i="171"/>
  <c r="Y106" i="171"/>
  <c r="Y132" i="171"/>
  <c r="Y142" i="171"/>
  <c r="Y148" i="171"/>
  <c r="Y154" i="171"/>
  <c r="Y160" i="171"/>
  <c r="Y166" i="171"/>
  <c r="Y172" i="171"/>
  <c r="Y178" i="171"/>
  <c r="Y184" i="171"/>
  <c r="Y139" i="171"/>
  <c r="Y157" i="171"/>
  <c r="Y167" i="171"/>
  <c r="Y185" i="171"/>
  <c r="Y191" i="171"/>
  <c r="Y197" i="171"/>
  <c r="Y203" i="171"/>
  <c r="Y209" i="171"/>
  <c r="Y80" i="171"/>
  <c r="Y149" i="171"/>
  <c r="Y174" i="171"/>
  <c r="Y186" i="171"/>
  <c r="Y192" i="171"/>
  <c r="Y198" i="171"/>
  <c r="Y204" i="171"/>
  <c r="Y210" i="171"/>
  <c r="Y151" i="171"/>
  <c r="Y168" i="171"/>
  <c r="Y189" i="171"/>
  <c r="Y145" i="171"/>
  <c r="Y169" i="171"/>
  <c r="Y179" i="171"/>
  <c r="Y181" i="171"/>
  <c r="Y187" i="171"/>
  <c r="Y193" i="171"/>
  <c r="Y199" i="171"/>
  <c r="Y205" i="171"/>
  <c r="Y211" i="171"/>
  <c r="Y138" i="171"/>
  <c r="Y195" i="171"/>
  <c r="Y113" i="171"/>
  <c r="Y155" i="171"/>
  <c r="Y173" i="171"/>
  <c r="Y188" i="171"/>
  <c r="Y194" i="171"/>
  <c r="Y200" i="171"/>
  <c r="Y206" i="171"/>
  <c r="Y212" i="171"/>
  <c r="Y3" i="171"/>
  <c r="Y201" i="171"/>
  <c r="Y143" i="171"/>
  <c r="Y175" i="171"/>
  <c r="Y207" i="171"/>
  <c r="Y136" i="171"/>
  <c r="Y180" i="171"/>
  <c r="Y182" i="171"/>
  <c r="Y196" i="171"/>
  <c r="Y202" i="171"/>
  <c r="Y124" i="171"/>
  <c r="Y161" i="171"/>
  <c r="Y190" i="171"/>
  <c r="Y163" i="171"/>
  <c r="Y208" i="171"/>
  <c r="Z1" i="171"/>
  <c r="Y217" i="171"/>
  <c r="Y214" i="171"/>
  <c r="Y213" i="171"/>
  <c r="Y215" i="171"/>
  <c r="Y216" i="171"/>
  <c r="Y218" i="171"/>
  <c r="T8" i="168"/>
  <c r="Z6" i="171" l="1"/>
  <c r="Z12" i="171"/>
  <c r="Z18" i="171"/>
  <c r="Z9" i="171"/>
  <c r="Z15" i="171"/>
  <c r="Z4" i="171"/>
  <c r="Z10" i="171"/>
  <c r="Z16" i="171"/>
  <c r="Z8" i="171"/>
  <c r="Z5" i="171"/>
  <c r="Z17" i="171"/>
  <c r="Z23" i="171"/>
  <c r="Z7" i="171"/>
  <c r="Z11" i="171"/>
  <c r="Z20" i="171"/>
  <c r="Z25" i="171"/>
  <c r="Z28" i="171"/>
  <c r="Z14" i="171"/>
  <c r="Z22" i="171"/>
  <c r="Z29" i="171"/>
  <c r="Z26" i="171"/>
  <c r="Z30" i="171"/>
  <c r="Z19" i="171"/>
  <c r="Z24" i="171"/>
  <c r="Z32" i="171"/>
  <c r="Z33" i="171"/>
  <c r="Z39" i="171"/>
  <c r="Z27" i="171"/>
  <c r="Z35" i="171"/>
  <c r="Z37" i="171"/>
  <c r="Z40" i="171"/>
  <c r="Z43" i="171"/>
  <c r="Z49" i="171"/>
  <c r="Z55" i="171"/>
  <c r="Z61" i="171"/>
  <c r="Z13" i="171"/>
  <c r="Z45" i="171"/>
  <c r="Z51" i="171"/>
  <c r="Z57" i="171"/>
  <c r="Z31" i="171"/>
  <c r="Z34" i="171"/>
  <c r="Z36" i="171"/>
  <c r="Z38" i="171"/>
  <c r="Z47" i="171"/>
  <c r="Z56" i="171"/>
  <c r="Z21" i="171"/>
  <c r="Z52" i="171"/>
  <c r="Z54" i="171"/>
  <c r="Z41" i="171"/>
  <c r="Z50" i="171"/>
  <c r="Z46" i="171"/>
  <c r="Z60" i="171"/>
  <c r="Z64" i="171"/>
  <c r="Z70" i="171"/>
  <c r="Z76" i="171"/>
  <c r="Z82" i="171"/>
  <c r="Z53" i="171"/>
  <c r="Z65" i="171"/>
  <c r="Z71" i="171"/>
  <c r="Z77" i="171"/>
  <c r="Z83" i="171"/>
  <c r="Z42" i="171"/>
  <c r="Z66" i="171"/>
  <c r="Z72" i="171"/>
  <c r="Z78" i="171"/>
  <c r="Z84" i="171"/>
  <c r="Z58" i="171"/>
  <c r="Z63" i="171"/>
  <c r="Z75" i="171"/>
  <c r="Z87" i="171"/>
  <c r="Z93" i="171"/>
  <c r="Z99" i="171"/>
  <c r="Z48" i="171"/>
  <c r="Z59" i="171"/>
  <c r="Z67" i="171"/>
  <c r="Z79" i="171"/>
  <c r="Z88" i="171"/>
  <c r="Z94" i="171"/>
  <c r="Z100" i="171"/>
  <c r="Z74" i="171"/>
  <c r="Z89" i="171"/>
  <c r="Z95" i="171"/>
  <c r="Z62" i="171"/>
  <c r="Z69" i="171"/>
  <c r="Z81" i="171"/>
  <c r="Z90" i="171"/>
  <c r="Z96" i="171"/>
  <c r="Z80" i="171"/>
  <c r="Z92" i="171"/>
  <c r="Z101" i="171"/>
  <c r="Z107" i="171"/>
  <c r="Z113" i="171"/>
  <c r="Z119" i="171"/>
  <c r="Z91" i="171"/>
  <c r="Z102" i="171"/>
  <c r="Z108" i="171"/>
  <c r="Z114" i="171"/>
  <c r="Z120" i="171"/>
  <c r="Z126" i="171"/>
  <c r="Z132" i="171"/>
  <c r="Z138" i="171"/>
  <c r="Z44" i="171"/>
  <c r="Z98" i="171"/>
  <c r="Z103" i="171"/>
  <c r="Z109" i="171"/>
  <c r="Z115" i="171"/>
  <c r="Z121" i="171"/>
  <c r="Z127" i="171"/>
  <c r="Z133" i="171"/>
  <c r="Z97" i="171"/>
  <c r="Z104" i="171"/>
  <c r="Z110" i="171"/>
  <c r="Z116" i="171"/>
  <c r="Z122" i="171"/>
  <c r="Z128" i="171"/>
  <c r="Z134" i="171"/>
  <c r="Z86" i="171"/>
  <c r="Z105" i="171"/>
  <c r="Z124" i="171"/>
  <c r="Z136" i="171"/>
  <c r="Z143" i="171"/>
  <c r="Z149" i="171"/>
  <c r="Z155" i="171"/>
  <c r="Z161" i="171"/>
  <c r="Z112" i="171"/>
  <c r="Z131" i="171"/>
  <c r="Z68" i="171"/>
  <c r="Z111" i="171"/>
  <c r="Z123" i="171"/>
  <c r="Z135" i="171"/>
  <c r="Z139" i="171"/>
  <c r="Z145" i="171"/>
  <c r="Z151" i="171"/>
  <c r="Z157" i="171"/>
  <c r="Z163" i="171"/>
  <c r="Z169" i="171"/>
  <c r="Z175" i="171"/>
  <c r="Z85" i="171"/>
  <c r="Z118" i="171"/>
  <c r="Z130" i="171"/>
  <c r="Z140" i="171"/>
  <c r="Z146" i="171"/>
  <c r="Z152" i="171"/>
  <c r="Z158" i="171"/>
  <c r="Z164" i="171"/>
  <c r="Z170" i="171"/>
  <c r="Z176" i="171"/>
  <c r="Z182" i="171"/>
  <c r="Z117" i="171"/>
  <c r="Z125" i="171"/>
  <c r="Z137" i="171"/>
  <c r="Z141" i="171"/>
  <c r="Z147" i="171"/>
  <c r="Z153" i="171"/>
  <c r="Z159" i="171"/>
  <c r="Z165" i="171"/>
  <c r="Z171" i="171"/>
  <c r="Z177" i="171"/>
  <c r="Z183" i="171"/>
  <c r="Z129" i="171"/>
  <c r="Z150" i="171"/>
  <c r="Z172" i="171"/>
  <c r="Z178" i="171"/>
  <c r="Z180" i="171"/>
  <c r="Z190" i="171"/>
  <c r="Z196" i="171"/>
  <c r="Z202" i="171"/>
  <c r="Z208" i="171"/>
  <c r="Z200" i="171"/>
  <c r="Z142" i="171"/>
  <c r="Z160" i="171"/>
  <c r="Z167" i="171"/>
  <c r="Z185" i="171"/>
  <c r="Z191" i="171"/>
  <c r="Z197" i="171"/>
  <c r="Z203" i="171"/>
  <c r="Z209" i="171"/>
  <c r="Z173" i="171"/>
  <c r="Z184" i="171"/>
  <c r="Z194" i="171"/>
  <c r="Z156" i="171"/>
  <c r="Z174" i="171"/>
  <c r="Z186" i="171"/>
  <c r="Z192" i="171"/>
  <c r="Z198" i="171"/>
  <c r="Z204" i="171"/>
  <c r="Z210" i="171"/>
  <c r="Z144" i="171"/>
  <c r="Z106" i="171"/>
  <c r="Z148" i="171"/>
  <c r="Z166" i="171"/>
  <c r="Z179" i="171"/>
  <c r="Z181" i="171"/>
  <c r="Z187" i="171"/>
  <c r="Z193" i="171"/>
  <c r="Z199" i="171"/>
  <c r="Z205" i="171"/>
  <c r="Z211" i="171"/>
  <c r="Z162" i="171"/>
  <c r="Z188" i="171"/>
  <c r="Z168" i="171"/>
  <c r="Z201" i="171"/>
  <c r="Z207" i="171"/>
  <c r="Z206" i="171"/>
  <c r="Z73" i="171"/>
  <c r="Z195" i="171"/>
  <c r="Z154" i="171"/>
  <c r="Z3" i="171"/>
  <c r="Z189" i="171"/>
  <c r="Z212" i="171"/>
  <c r="Z214" i="171"/>
  <c r="Z216" i="171"/>
  <c r="Z217" i="171"/>
  <c r="Z218" i="171"/>
  <c r="Z215" i="171"/>
  <c r="Z213" i="171"/>
  <c r="AA1" i="171"/>
  <c r="T7" i="168"/>
  <c r="T14" i="168"/>
  <c r="T15" i="168"/>
  <c r="T6" i="168"/>
  <c r="AA5" i="171" l="1"/>
  <c r="AA11" i="171"/>
  <c r="AA17" i="171"/>
  <c r="AA8" i="171"/>
  <c r="AA14" i="171"/>
  <c r="AA9" i="171"/>
  <c r="AA15" i="171"/>
  <c r="AA13" i="171"/>
  <c r="AA21" i="171"/>
  <c r="AA10" i="171"/>
  <c r="AA22" i="171"/>
  <c r="AA4" i="171"/>
  <c r="AA7" i="171"/>
  <c r="AA18" i="171"/>
  <c r="AA20" i="171"/>
  <c r="AA25" i="171"/>
  <c r="AA28" i="171"/>
  <c r="AA29" i="171"/>
  <c r="AA12" i="171"/>
  <c r="AA37" i="171"/>
  <c r="AA19" i="171"/>
  <c r="AA24" i="171"/>
  <c r="AA32" i="171"/>
  <c r="AA38" i="171"/>
  <c r="AA16" i="171"/>
  <c r="AA30" i="171"/>
  <c r="AA42" i="171"/>
  <c r="AA48" i="171"/>
  <c r="AA54" i="171"/>
  <c r="AA60" i="171"/>
  <c r="AA27" i="171"/>
  <c r="AA33" i="171"/>
  <c r="AA6" i="171"/>
  <c r="AA23" i="171"/>
  <c r="AA44" i="171"/>
  <c r="AA50" i="171"/>
  <c r="AA56" i="171"/>
  <c r="AA62" i="171"/>
  <c r="AA26" i="171"/>
  <c r="AA35" i="171"/>
  <c r="AA49" i="171"/>
  <c r="AA58" i="171"/>
  <c r="AA31" i="171"/>
  <c r="AA34" i="171"/>
  <c r="AA45" i="171"/>
  <c r="AA47" i="171"/>
  <c r="AA39" i="171"/>
  <c r="AA43" i="171"/>
  <c r="AA52" i="171"/>
  <c r="AA40" i="171"/>
  <c r="AA57" i="171"/>
  <c r="AA63" i="171"/>
  <c r="AA69" i="171"/>
  <c r="AA75" i="171"/>
  <c r="AA81" i="171"/>
  <c r="AA36" i="171"/>
  <c r="AA46" i="171"/>
  <c r="AA64" i="171"/>
  <c r="AA70" i="171"/>
  <c r="AA76" i="171"/>
  <c r="AA82" i="171"/>
  <c r="AA53" i="171"/>
  <c r="AA65" i="171"/>
  <c r="AA71" i="171"/>
  <c r="AA77" i="171"/>
  <c r="AA83" i="171"/>
  <c r="AA51" i="171"/>
  <c r="AA68" i="171"/>
  <c r="AA80" i="171"/>
  <c r="AA86" i="171"/>
  <c r="AA92" i="171"/>
  <c r="AA98" i="171"/>
  <c r="AA41" i="171"/>
  <c r="AA72" i="171"/>
  <c r="AA84" i="171"/>
  <c r="AA87" i="171"/>
  <c r="AA93" i="171"/>
  <c r="AA99" i="171"/>
  <c r="AA55" i="171"/>
  <c r="AA59" i="171"/>
  <c r="AA67" i="171"/>
  <c r="AA79" i="171"/>
  <c r="AA88" i="171"/>
  <c r="AA94" i="171"/>
  <c r="AA100" i="171"/>
  <c r="AA74" i="171"/>
  <c r="AA89" i="171"/>
  <c r="AA95" i="171"/>
  <c r="AA73" i="171"/>
  <c r="AA85" i="171"/>
  <c r="AA106" i="171"/>
  <c r="AA112" i="171"/>
  <c r="AA118" i="171"/>
  <c r="AA78" i="171"/>
  <c r="AA101" i="171"/>
  <c r="AA107" i="171"/>
  <c r="AA113" i="171"/>
  <c r="AA119" i="171"/>
  <c r="AA125" i="171"/>
  <c r="AA131" i="171"/>
  <c r="AA137" i="171"/>
  <c r="AA91" i="171"/>
  <c r="AA102" i="171"/>
  <c r="AA108" i="171"/>
  <c r="AA114" i="171"/>
  <c r="AA120" i="171"/>
  <c r="AA126" i="171"/>
  <c r="AA132" i="171"/>
  <c r="AA138" i="171"/>
  <c r="AA90" i="171"/>
  <c r="AA103" i="171"/>
  <c r="AA109" i="171"/>
  <c r="AA115" i="171"/>
  <c r="AA121" i="171"/>
  <c r="AA127" i="171"/>
  <c r="AA133" i="171"/>
  <c r="AA116" i="171"/>
  <c r="AA129" i="171"/>
  <c r="AA142" i="171"/>
  <c r="AA148" i="171"/>
  <c r="AA154" i="171"/>
  <c r="AA160" i="171"/>
  <c r="AA105" i="171"/>
  <c r="AA124" i="171"/>
  <c r="AA97" i="171"/>
  <c r="AA104" i="171"/>
  <c r="AA122" i="171"/>
  <c r="AA128" i="171"/>
  <c r="AA144" i="171"/>
  <c r="AA150" i="171"/>
  <c r="AA156" i="171"/>
  <c r="AA162" i="171"/>
  <c r="AA168" i="171"/>
  <c r="AA174" i="171"/>
  <c r="AA61" i="171"/>
  <c r="AA111" i="171"/>
  <c r="AA123" i="171"/>
  <c r="AA135" i="171"/>
  <c r="AA139" i="171"/>
  <c r="AA145" i="171"/>
  <c r="AA151" i="171"/>
  <c r="AA157" i="171"/>
  <c r="AA163" i="171"/>
  <c r="AA169" i="171"/>
  <c r="AA175" i="171"/>
  <c r="AA181" i="171"/>
  <c r="AA110" i="171"/>
  <c r="AA130" i="171"/>
  <c r="AA140" i="171"/>
  <c r="AA146" i="171"/>
  <c r="AA152" i="171"/>
  <c r="AA158" i="171"/>
  <c r="AA164" i="171"/>
  <c r="AA170" i="171"/>
  <c r="AA176" i="171"/>
  <c r="AA182" i="171"/>
  <c r="AA136" i="171"/>
  <c r="AA143" i="171"/>
  <c r="AA161" i="171"/>
  <c r="AA165" i="171"/>
  <c r="AA177" i="171"/>
  <c r="AA189" i="171"/>
  <c r="AA195" i="171"/>
  <c r="AA201" i="171"/>
  <c r="AA207" i="171"/>
  <c r="AA134" i="171"/>
  <c r="AA153" i="171"/>
  <c r="AA172" i="171"/>
  <c r="AA178" i="171"/>
  <c r="AA180" i="171"/>
  <c r="AA190" i="171"/>
  <c r="AA196" i="171"/>
  <c r="AA202" i="171"/>
  <c r="AA208" i="171"/>
  <c r="AA117" i="171"/>
  <c r="AA179" i="171"/>
  <c r="AA187" i="171"/>
  <c r="AA199" i="171"/>
  <c r="AA149" i="171"/>
  <c r="AA167" i="171"/>
  <c r="AA183" i="171"/>
  <c r="AA185" i="171"/>
  <c r="AA191" i="171"/>
  <c r="AA197" i="171"/>
  <c r="AA203" i="171"/>
  <c r="AA209" i="171"/>
  <c r="AA193" i="171"/>
  <c r="AA66" i="171"/>
  <c r="AA96" i="171"/>
  <c r="AA141" i="171"/>
  <c r="AA159" i="171"/>
  <c r="AA171" i="171"/>
  <c r="AA186" i="171"/>
  <c r="AA192" i="171"/>
  <c r="AA198" i="171"/>
  <c r="AA204" i="171"/>
  <c r="AA210" i="171"/>
  <c r="AA155" i="171"/>
  <c r="AA166" i="171"/>
  <c r="AA212" i="171"/>
  <c r="AA194" i="171"/>
  <c r="AA211" i="171"/>
  <c r="AA200" i="171"/>
  <c r="AA3" i="171"/>
  <c r="AA188" i="171"/>
  <c r="AA147" i="171"/>
  <c r="AA173" i="171"/>
  <c r="AA206" i="171"/>
  <c r="AA205" i="171"/>
  <c r="AA184" i="171"/>
  <c r="AB1" i="171"/>
  <c r="AA215" i="171"/>
  <c r="AA217" i="171"/>
  <c r="AA216" i="171"/>
  <c r="AA213" i="171"/>
  <c r="AA214" i="171"/>
  <c r="AA218" i="171"/>
  <c r="T9" i="168"/>
  <c r="AB4" i="171" l="1"/>
  <c r="AB10" i="171"/>
  <c r="AB16" i="171"/>
  <c r="AB7" i="171"/>
  <c r="AB13" i="171"/>
  <c r="AB19" i="171"/>
  <c r="AB8" i="171"/>
  <c r="AB14" i="171"/>
  <c r="AB6" i="171"/>
  <c r="AB18" i="171"/>
  <c r="AB20" i="171"/>
  <c r="AB15" i="171"/>
  <c r="AB21" i="171"/>
  <c r="AB27" i="171"/>
  <c r="AB24" i="171"/>
  <c r="AB32" i="171"/>
  <c r="AB11" i="171"/>
  <c r="AB17" i="171"/>
  <c r="AB22" i="171"/>
  <c r="AB25" i="171"/>
  <c r="AB28" i="171"/>
  <c r="AB5" i="171"/>
  <c r="AB23" i="171"/>
  <c r="AB30" i="171"/>
  <c r="AB36" i="171"/>
  <c r="AB12" i="171"/>
  <c r="AB37" i="171"/>
  <c r="AB9" i="171"/>
  <c r="AB39" i="171"/>
  <c r="AB41" i="171"/>
  <c r="AB47" i="171"/>
  <c r="AB53" i="171"/>
  <c r="AB59" i="171"/>
  <c r="AB29" i="171"/>
  <c r="AB33" i="171"/>
  <c r="AB35" i="171"/>
  <c r="AB40" i="171"/>
  <c r="AB43" i="171"/>
  <c r="AB49" i="171"/>
  <c r="AB55" i="171"/>
  <c r="AB61" i="171"/>
  <c r="AB42" i="171"/>
  <c r="AB51" i="171"/>
  <c r="AB38" i="171"/>
  <c r="AB56" i="171"/>
  <c r="AB58" i="171"/>
  <c r="AB31" i="171"/>
  <c r="AB34" i="171"/>
  <c r="AB45" i="171"/>
  <c r="AB54" i="171"/>
  <c r="AB50" i="171"/>
  <c r="AB62" i="171"/>
  <c r="AB68" i="171"/>
  <c r="AB74" i="171"/>
  <c r="AB80" i="171"/>
  <c r="AB57" i="171"/>
  <c r="AB60" i="171"/>
  <c r="AB63" i="171"/>
  <c r="AB69" i="171"/>
  <c r="AB75" i="171"/>
  <c r="AB81" i="171"/>
  <c r="AB46" i="171"/>
  <c r="AB64" i="171"/>
  <c r="AB70" i="171"/>
  <c r="AB76" i="171"/>
  <c r="AB82" i="171"/>
  <c r="AB44" i="171"/>
  <c r="AB73" i="171"/>
  <c r="AB85" i="171"/>
  <c r="AB91" i="171"/>
  <c r="AB97" i="171"/>
  <c r="AB26" i="171"/>
  <c r="AB65" i="171"/>
  <c r="AB77" i="171"/>
  <c r="AB86" i="171"/>
  <c r="AB92" i="171"/>
  <c r="AB98" i="171"/>
  <c r="AB48" i="171"/>
  <c r="AB72" i="171"/>
  <c r="AB84" i="171"/>
  <c r="AB87" i="171"/>
  <c r="AB93" i="171"/>
  <c r="AB99" i="171"/>
  <c r="AB67" i="171"/>
  <c r="AB79" i="171"/>
  <c r="AB88" i="171"/>
  <c r="AB94" i="171"/>
  <c r="AB100" i="171"/>
  <c r="AB66" i="171"/>
  <c r="AB96" i="171"/>
  <c r="AB105" i="171"/>
  <c r="AB111" i="171"/>
  <c r="AB117" i="171"/>
  <c r="AB71" i="171"/>
  <c r="AB95" i="171"/>
  <c r="AB106" i="171"/>
  <c r="AB112" i="171"/>
  <c r="AB118" i="171"/>
  <c r="AB124" i="171"/>
  <c r="AB130" i="171"/>
  <c r="AB136" i="171"/>
  <c r="AB78" i="171"/>
  <c r="AB101" i="171"/>
  <c r="AB107" i="171"/>
  <c r="AB113" i="171"/>
  <c r="AB119" i="171"/>
  <c r="AB125" i="171"/>
  <c r="AB131" i="171"/>
  <c r="AB137" i="171"/>
  <c r="AB52" i="171"/>
  <c r="AB83" i="171"/>
  <c r="AB102" i="171"/>
  <c r="AB108" i="171"/>
  <c r="AB114" i="171"/>
  <c r="AB120" i="171"/>
  <c r="AB126" i="171"/>
  <c r="AB132" i="171"/>
  <c r="AB138" i="171"/>
  <c r="AB109" i="171"/>
  <c r="AB134" i="171"/>
  <c r="AB141" i="171"/>
  <c r="AB147" i="171"/>
  <c r="AB153" i="171"/>
  <c r="AB159" i="171"/>
  <c r="AB116" i="171"/>
  <c r="AB129" i="171"/>
  <c r="AB90" i="171"/>
  <c r="AB115" i="171"/>
  <c r="AB133" i="171"/>
  <c r="AB143" i="171"/>
  <c r="AB149" i="171"/>
  <c r="AB155" i="171"/>
  <c r="AB161" i="171"/>
  <c r="AB167" i="171"/>
  <c r="AB173" i="171"/>
  <c r="AB104" i="171"/>
  <c r="AB122" i="171"/>
  <c r="AB128" i="171"/>
  <c r="AB144" i="171"/>
  <c r="AB150" i="171"/>
  <c r="AB156" i="171"/>
  <c r="AB162" i="171"/>
  <c r="AB168" i="171"/>
  <c r="AB174" i="171"/>
  <c r="AB180" i="171"/>
  <c r="AB103" i="171"/>
  <c r="AB121" i="171"/>
  <c r="AB123" i="171"/>
  <c r="AB135" i="171"/>
  <c r="AB139" i="171"/>
  <c r="AB145" i="171"/>
  <c r="AB151" i="171"/>
  <c r="AB157" i="171"/>
  <c r="AB163" i="171"/>
  <c r="AB169" i="171"/>
  <c r="AB175" i="171"/>
  <c r="AB181" i="171"/>
  <c r="AB154" i="171"/>
  <c r="AB170" i="171"/>
  <c r="AB182" i="171"/>
  <c r="AB184" i="171"/>
  <c r="AB188" i="171"/>
  <c r="AB194" i="171"/>
  <c r="AB200" i="171"/>
  <c r="AB206" i="171"/>
  <c r="AB212" i="171"/>
  <c r="AB3" i="171"/>
  <c r="AB127" i="171"/>
  <c r="AB146" i="171"/>
  <c r="AB165" i="171"/>
  <c r="AB177" i="171"/>
  <c r="AB189" i="171"/>
  <c r="AB195" i="171"/>
  <c r="AB201" i="171"/>
  <c r="AB207" i="171"/>
  <c r="AB192" i="171"/>
  <c r="AB198" i="171"/>
  <c r="AB142" i="171"/>
  <c r="AB160" i="171"/>
  <c r="AB172" i="171"/>
  <c r="AB178" i="171"/>
  <c r="AB190" i="171"/>
  <c r="AB196" i="171"/>
  <c r="AB202" i="171"/>
  <c r="AB208" i="171"/>
  <c r="AB186" i="171"/>
  <c r="AB152" i="171"/>
  <c r="AB164" i="171"/>
  <c r="AB176" i="171"/>
  <c r="AB183" i="171"/>
  <c r="AB185" i="171"/>
  <c r="AB191" i="171"/>
  <c r="AB197" i="171"/>
  <c r="AB203" i="171"/>
  <c r="AB209" i="171"/>
  <c r="AB110" i="171"/>
  <c r="AB148" i="171"/>
  <c r="AB171" i="171"/>
  <c r="AB205" i="171"/>
  <c r="AB179" i="171"/>
  <c r="AB187" i="171"/>
  <c r="AB204" i="171"/>
  <c r="AB193" i="171"/>
  <c r="AB211" i="171"/>
  <c r="AB199" i="171"/>
  <c r="AB89" i="171"/>
  <c r="AB140" i="171"/>
  <c r="AB166" i="171"/>
  <c r="AB158" i="171"/>
  <c r="AB210" i="171"/>
  <c r="AB214" i="171"/>
  <c r="AB218" i="171"/>
  <c r="AB215" i="171"/>
  <c r="AB217" i="171"/>
  <c r="AB216" i="171"/>
  <c r="AB213" i="171"/>
  <c r="AC1" i="171"/>
  <c r="T4" i="168"/>
  <c r="T5" i="168"/>
  <c r="T64" i="168" l="1"/>
  <c r="AC9" i="171"/>
  <c r="AC15" i="171"/>
  <c r="AC6" i="171"/>
  <c r="AC12" i="171"/>
  <c r="AC18" i="171"/>
  <c r="AC7" i="171"/>
  <c r="AC13" i="171"/>
  <c r="AC19" i="171"/>
  <c r="AC11" i="171"/>
  <c r="AC8" i="171"/>
  <c r="AC20" i="171"/>
  <c r="AC26" i="171"/>
  <c r="AC27" i="171"/>
  <c r="AC31" i="171"/>
  <c r="AC4" i="171"/>
  <c r="AC24" i="171"/>
  <c r="AC32" i="171"/>
  <c r="AC10" i="171"/>
  <c r="AC14" i="171"/>
  <c r="AC21" i="171"/>
  <c r="AC35" i="171"/>
  <c r="AC5" i="171"/>
  <c r="AC23" i="171"/>
  <c r="AC30" i="171"/>
  <c r="AC36" i="171"/>
  <c r="AC22" i="171"/>
  <c r="AC34" i="171"/>
  <c r="AC46" i="171"/>
  <c r="AC52" i="171"/>
  <c r="AC58" i="171"/>
  <c r="AC16" i="171"/>
  <c r="AC25" i="171"/>
  <c r="AC29" i="171"/>
  <c r="AC42" i="171"/>
  <c r="AC48" i="171"/>
  <c r="AC54" i="171"/>
  <c r="AC60" i="171"/>
  <c r="AC17" i="171"/>
  <c r="AC33" i="171"/>
  <c r="AC40" i="171"/>
  <c r="AC44" i="171"/>
  <c r="AC53" i="171"/>
  <c r="AC49" i="171"/>
  <c r="AC51" i="171"/>
  <c r="AC38" i="171"/>
  <c r="AC47" i="171"/>
  <c r="AC56" i="171"/>
  <c r="AC28" i="171"/>
  <c r="AC37" i="171"/>
  <c r="AC39" i="171"/>
  <c r="AC43" i="171"/>
  <c r="AC67" i="171"/>
  <c r="AC73" i="171"/>
  <c r="AC79" i="171"/>
  <c r="AC50" i="171"/>
  <c r="AC62" i="171"/>
  <c r="AC68" i="171"/>
  <c r="AC74" i="171"/>
  <c r="AC80" i="171"/>
  <c r="AC57" i="171"/>
  <c r="AC63" i="171"/>
  <c r="AC69" i="171"/>
  <c r="AC75" i="171"/>
  <c r="AC81" i="171"/>
  <c r="AC66" i="171"/>
  <c r="AC78" i="171"/>
  <c r="AC90" i="171"/>
  <c r="AC96" i="171"/>
  <c r="AC70" i="171"/>
  <c r="AC82" i="171"/>
  <c r="AC85" i="171"/>
  <c r="AC91" i="171"/>
  <c r="AC97" i="171"/>
  <c r="AC41" i="171"/>
  <c r="AC65" i="171"/>
  <c r="AC77" i="171"/>
  <c r="AC86" i="171"/>
  <c r="AC92" i="171"/>
  <c r="AC98" i="171"/>
  <c r="AC55" i="171"/>
  <c r="AC59" i="171"/>
  <c r="AC72" i="171"/>
  <c r="AC84" i="171"/>
  <c r="AC87" i="171"/>
  <c r="AC93" i="171"/>
  <c r="AC99" i="171"/>
  <c r="AC61" i="171"/>
  <c r="AC89" i="171"/>
  <c r="AC104" i="171"/>
  <c r="AC110" i="171"/>
  <c r="AC116" i="171"/>
  <c r="AC122" i="171"/>
  <c r="AC64" i="171"/>
  <c r="AC88" i="171"/>
  <c r="AC105" i="171"/>
  <c r="AC111" i="171"/>
  <c r="AC117" i="171"/>
  <c r="AC123" i="171"/>
  <c r="AC129" i="171"/>
  <c r="AC135" i="171"/>
  <c r="AC71" i="171"/>
  <c r="AC95" i="171"/>
  <c r="AC106" i="171"/>
  <c r="AC112" i="171"/>
  <c r="AC118" i="171"/>
  <c r="AC124" i="171"/>
  <c r="AC130" i="171"/>
  <c r="AC136" i="171"/>
  <c r="AC45" i="171"/>
  <c r="AC76" i="171"/>
  <c r="AC94" i="171"/>
  <c r="AC101" i="171"/>
  <c r="AC107" i="171"/>
  <c r="AC113" i="171"/>
  <c r="AC119" i="171"/>
  <c r="AC125" i="171"/>
  <c r="AC131" i="171"/>
  <c r="AC137" i="171"/>
  <c r="AC102" i="171"/>
  <c r="AC120" i="171"/>
  <c r="AC127" i="171"/>
  <c r="AC140" i="171"/>
  <c r="AC146" i="171"/>
  <c r="AC152" i="171"/>
  <c r="AC158" i="171"/>
  <c r="AC100" i="171"/>
  <c r="AC109" i="171"/>
  <c r="AC108" i="171"/>
  <c r="AC126" i="171"/>
  <c r="AC138" i="171"/>
  <c r="AC142" i="171"/>
  <c r="AC148" i="171"/>
  <c r="AC154" i="171"/>
  <c r="AC160" i="171"/>
  <c r="AC166" i="171"/>
  <c r="AC172" i="171"/>
  <c r="AC115" i="171"/>
  <c r="AC133" i="171"/>
  <c r="AC143" i="171"/>
  <c r="AC149" i="171"/>
  <c r="AC155" i="171"/>
  <c r="AC161" i="171"/>
  <c r="AC167" i="171"/>
  <c r="AC173" i="171"/>
  <c r="AC179" i="171"/>
  <c r="AC185" i="171"/>
  <c r="AC83" i="171"/>
  <c r="AC114" i="171"/>
  <c r="AC128" i="171"/>
  <c r="AC144" i="171"/>
  <c r="AC150" i="171"/>
  <c r="AC156" i="171"/>
  <c r="AC162" i="171"/>
  <c r="AC168" i="171"/>
  <c r="AC174" i="171"/>
  <c r="AC180" i="171"/>
  <c r="AC147" i="171"/>
  <c r="AC163" i="171"/>
  <c r="AC175" i="171"/>
  <c r="AC187" i="171"/>
  <c r="AC193" i="171"/>
  <c r="AC199" i="171"/>
  <c r="AC205" i="171"/>
  <c r="AC211" i="171"/>
  <c r="AC197" i="171"/>
  <c r="AC139" i="171"/>
  <c r="AC157" i="171"/>
  <c r="AC170" i="171"/>
  <c r="AC182" i="171"/>
  <c r="AC184" i="171"/>
  <c r="AC188" i="171"/>
  <c r="AC194" i="171"/>
  <c r="AC200" i="171"/>
  <c r="AC206" i="171"/>
  <c r="AC212" i="171"/>
  <c r="AC3" i="171"/>
  <c r="AC141" i="171"/>
  <c r="AC176" i="171"/>
  <c r="AC134" i="171"/>
  <c r="AC153" i="171"/>
  <c r="AC165" i="171"/>
  <c r="AC177" i="171"/>
  <c r="AC189" i="171"/>
  <c r="AC195" i="171"/>
  <c r="AC201" i="171"/>
  <c r="AC207" i="171"/>
  <c r="AC103" i="171"/>
  <c r="AC159" i="171"/>
  <c r="AC164" i="171"/>
  <c r="AC183" i="171"/>
  <c r="AC191" i="171"/>
  <c r="AC132" i="171"/>
  <c r="AC145" i="171"/>
  <c r="AC169" i="171"/>
  <c r="AC178" i="171"/>
  <c r="AC190" i="171"/>
  <c r="AC196" i="171"/>
  <c r="AC202" i="171"/>
  <c r="AC208" i="171"/>
  <c r="AC181" i="171"/>
  <c r="AC209" i="171"/>
  <c r="AC121" i="171"/>
  <c r="AC204" i="171"/>
  <c r="AC151" i="171"/>
  <c r="AC171" i="171"/>
  <c r="AC203" i="171"/>
  <c r="AC198" i="171"/>
  <c r="AC186" i="171"/>
  <c r="AC192" i="171"/>
  <c r="AC210" i="171"/>
  <c r="AC217" i="171"/>
  <c r="AC218" i="171"/>
  <c r="AC213" i="171"/>
  <c r="AC214" i="171"/>
  <c r="AC216" i="171"/>
  <c r="AC215" i="171"/>
  <c r="AD1" i="171"/>
  <c r="D1" i="169"/>
  <c r="D33" i="169" l="1"/>
  <c r="D39" i="169"/>
  <c r="D45" i="169"/>
  <c r="D51" i="169"/>
  <c r="D57" i="169"/>
  <c r="D63" i="169"/>
  <c r="D69" i="169"/>
  <c r="D75" i="169"/>
  <c r="D81" i="169"/>
  <c r="D87" i="169"/>
  <c r="D93" i="169"/>
  <c r="D34" i="169"/>
  <c r="D40" i="169"/>
  <c r="D46" i="169"/>
  <c r="D52" i="169"/>
  <c r="D58" i="169"/>
  <c r="D64" i="169"/>
  <c r="D35" i="169"/>
  <c r="D41" i="169"/>
  <c r="D47" i="169"/>
  <c r="D53" i="169"/>
  <c r="D59" i="169"/>
  <c r="D65" i="169"/>
  <c r="D71" i="169"/>
  <c r="D77" i="169"/>
  <c r="D83" i="169"/>
  <c r="D89" i="169"/>
  <c r="D95" i="169"/>
  <c r="D36" i="169"/>
  <c r="D42" i="169"/>
  <c r="D48" i="169"/>
  <c r="D54" i="169"/>
  <c r="D60" i="169"/>
  <c r="D66" i="169"/>
  <c r="D72" i="169"/>
  <c r="D78" i="169"/>
  <c r="D84" i="169"/>
  <c r="D90" i="169"/>
  <c r="D96" i="169"/>
  <c r="D37" i="169"/>
  <c r="D43" i="169"/>
  <c r="D49" i="169"/>
  <c r="D55" i="169"/>
  <c r="D61" i="169"/>
  <c r="D67" i="169"/>
  <c r="D73" i="169"/>
  <c r="D79" i="169"/>
  <c r="D85" i="169"/>
  <c r="D91" i="169"/>
  <c r="D97" i="169"/>
  <c r="D38" i="169"/>
  <c r="D74" i="169"/>
  <c r="D92" i="169"/>
  <c r="D100" i="169"/>
  <c r="D106" i="169"/>
  <c r="D112" i="169"/>
  <c r="D118" i="169"/>
  <c r="D124" i="169"/>
  <c r="D130" i="169"/>
  <c r="D136" i="169"/>
  <c r="D142" i="169"/>
  <c r="D50" i="169"/>
  <c r="D80" i="169"/>
  <c r="D94" i="169"/>
  <c r="D102" i="169"/>
  <c r="D108" i="169"/>
  <c r="D114" i="169"/>
  <c r="D120" i="169"/>
  <c r="D56" i="169"/>
  <c r="D76" i="169"/>
  <c r="D98" i="169"/>
  <c r="D103" i="169"/>
  <c r="D109" i="169"/>
  <c r="D115" i="169"/>
  <c r="D121" i="169"/>
  <c r="D127" i="169"/>
  <c r="D133" i="169"/>
  <c r="D139" i="169"/>
  <c r="D145" i="169"/>
  <c r="D62" i="169"/>
  <c r="D68" i="169"/>
  <c r="D104" i="169"/>
  <c r="D116" i="169"/>
  <c r="D125" i="169"/>
  <c r="D134" i="169"/>
  <c r="D143" i="169"/>
  <c r="D148" i="169"/>
  <c r="D154" i="169"/>
  <c r="D9" i="169"/>
  <c r="D15" i="169"/>
  <c r="D21" i="169"/>
  <c r="D82" i="169"/>
  <c r="D111" i="169"/>
  <c r="D123" i="169"/>
  <c r="D132" i="169"/>
  <c r="D141" i="169"/>
  <c r="D149" i="169"/>
  <c r="D4" i="169"/>
  <c r="D10" i="169"/>
  <c r="D16" i="169"/>
  <c r="D22" i="169"/>
  <c r="D88" i="169"/>
  <c r="D99" i="169"/>
  <c r="D101" i="169"/>
  <c r="D113" i="169"/>
  <c r="D86" i="169"/>
  <c r="D110" i="169"/>
  <c r="D126" i="169"/>
  <c r="D135" i="169"/>
  <c r="D144" i="169"/>
  <c r="D151" i="169"/>
  <c r="D6" i="169"/>
  <c r="D12" i="169"/>
  <c r="D18" i="169"/>
  <c r="D24" i="169"/>
  <c r="D105" i="169"/>
  <c r="D131" i="169"/>
  <c r="D152" i="169"/>
  <c r="D13" i="169"/>
  <c r="D25" i="169"/>
  <c r="D32" i="169"/>
  <c r="D27" i="169"/>
  <c r="D119" i="169"/>
  <c r="D138" i="169"/>
  <c r="D8" i="169"/>
  <c r="D20" i="169"/>
  <c r="D3" i="169"/>
  <c r="D11" i="169"/>
  <c r="D31" i="169"/>
  <c r="D117" i="169"/>
  <c r="D137" i="169"/>
  <c r="D5" i="169"/>
  <c r="D17" i="169"/>
  <c r="D28" i="169"/>
  <c r="D122" i="169"/>
  <c r="D153" i="169"/>
  <c r="D26" i="169"/>
  <c r="D30" i="169"/>
  <c r="D128" i="169"/>
  <c r="D150" i="169"/>
  <c r="D44" i="169"/>
  <c r="D140" i="169"/>
  <c r="D7" i="169"/>
  <c r="D19" i="169"/>
  <c r="D29" i="169"/>
  <c r="D129" i="169"/>
  <c r="D147" i="169"/>
  <c r="D14" i="169"/>
  <c r="D70" i="169"/>
  <c r="D107" i="169"/>
  <c r="D146" i="169"/>
  <c r="D23" i="169"/>
  <c r="AD8" i="171"/>
  <c r="AD14" i="171"/>
  <c r="AD5" i="171"/>
  <c r="AD11" i="171"/>
  <c r="AD17" i="171"/>
  <c r="AD6" i="171"/>
  <c r="AD12" i="171"/>
  <c r="AD18" i="171"/>
  <c r="AD4" i="171"/>
  <c r="AD16" i="171"/>
  <c r="AD13" i="171"/>
  <c r="AD25" i="171"/>
  <c r="AD15" i="171"/>
  <c r="AD19" i="171"/>
  <c r="AD23" i="171"/>
  <c r="AD30" i="171"/>
  <c r="AD27" i="171"/>
  <c r="AD31" i="171"/>
  <c r="AD7" i="171"/>
  <c r="AD20" i="171"/>
  <c r="AD24" i="171"/>
  <c r="AD32" i="171"/>
  <c r="AD22" i="171"/>
  <c r="AD28" i="171"/>
  <c r="AD34" i="171"/>
  <c r="AD21" i="171"/>
  <c r="AD35" i="171"/>
  <c r="AD38" i="171"/>
  <c r="AD45" i="171"/>
  <c r="AD51" i="171"/>
  <c r="AD57" i="171"/>
  <c r="AD9" i="171"/>
  <c r="AD37" i="171"/>
  <c r="AD39" i="171"/>
  <c r="AD41" i="171"/>
  <c r="AD47" i="171"/>
  <c r="AD53" i="171"/>
  <c r="AD59" i="171"/>
  <c r="AD10" i="171"/>
  <c r="AD29" i="171"/>
  <c r="AD46" i="171"/>
  <c r="AD55" i="171"/>
  <c r="AD42" i="171"/>
  <c r="AD44" i="171"/>
  <c r="AD49" i="171"/>
  <c r="AD58" i="171"/>
  <c r="AD54" i="171"/>
  <c r="AD66" i="171"/>
  <c r="AD72" i="171"/>
  <c r="AD78" i="171"/>
  <c r="AD84" i="171"/>
  <c r="AD40" i="171"/>
  <c r="AD43" i="171"/>
  <c r="AD67" i="171"/>
  <c r="AD73" i="171"/>
  <c r="AD79" i="171"/>
  <c r="AD36" i="171"/>
  <c r="AD50" i="171"/>
  <c r="AD60" i="171"/>
  <c r="AD62" i="171"/>
  <c r="AD68" i="171"/>
  <c r="AD74" i="171"/>
  <c r="AD80" i="171"/>
  <c r="AD61" i="171"/>
  <c r="AD71" i="171"/>
  <c r="AD83" i="171"/>
  <c r="AD89" i="171"/>
  <c r="AD95" i="171"/>
  <c r="AD56" i="171"/>
  <c r="AD63" i="171"/>
  <c r="AD75" i="171"/>
  <c r="AD90" i="171"/>
  <c r="AD96" i="171"/>
  <c r="AD26" i="171"/>
  <c r="AD70" i="171"/>
  <c r="AD82" i="171"/>
  <c r="AD85" i="171"/>
  <c r="AD91" i="171"/>
  <c r="AD97" i="171"/>
  <c r="AD33" i="171"/>
  <c r="AD48" i="171"/>
  <c r="AD65" i="171"/>
  <c r="AD77" i="171"/>
  <c r="AD86" i="171"/>
  <c r="AD92" i="171"/>
  <c r="AD98" i="171"/>
  <c r="AD100" i="171"/>
  <c r="AD103" i="171"/>
  <c r="AD109" i="171"/>
  <c r="AD115" i="171"/>
  <c r="AD121" i="171"/>
  <c r="AD99" i="171"/>
  <c r="AD104" i="171"/>
  <c r="AD110" i="171"/>
  <c r="AD116" i="171"/>
  <c r="AD122" i="171"/>
  <c r="AD128" i="171"/>
  <c r="AD134" i="171"/>
  <c r="AD64" i="171"/>
  <c r="AD88" i="171"/>
  <c r="AD105" i="171"/>
  <c r="AD111" i="171"/>
  <c r="AD117" i="171"/>
  <c r="AD123" i="171"/>
  <c r="AD129" i="171"/>
  <c r="AD135" i="171"/>
  <c r="AD69" i="171"/>
  <c r="AD87" i="171"/>
  <c r="AD106" i="171"/>
  <c r="AD112" i="171"/>
  <c r="AD118" i="171"/>
  <c r="AD124" i="171"/>
  <c r="AD130" i="171"/>
  <c r="AD136" i="171"/>
  <c r="AD113" i="171"/>
  <c r="AD132" i="171"/>
  <c r="AD139" i="171"/>
  <c r="AD145" i="171"/>
  <c r="AD151" i="171"/>
  <c r="AD157" i="171"/>
  <c r="AD81" i="171"/>
  <c r="AD93" i="171"/>
  <c r="AD102" i="171"/>
  <c r="AD120" i="171"/>
  <c r="AD127" i="171"/>
  <c r="AD52" i="171"/>
  <c r="AD101" i="171"/>
  <c r="AD119" i="171"/>
  <c r="AD131" i="171"/>
  <c r="AD141" i="171"/>
  <c r="AD147" i="171"/>
  <c r="AD153" i="171"/>
  <c r="AD159" i="171"/>
  <c r="AD165" i="171"/>
  <c r="AD171" i="171"/>
  <c r="AD177" i="171"/>
  <c r="AD108" i="171"/>
  <c r="AD126" i="171"/>
  <c r="AD138" i="171"/>
  <c r="AD142" i="171"/>
  <c r="AD148" i="171"/>
  <c r="AD154" i="171"/>
  <c r="AD160" i="171"/>
  <c r="AD166" i="171"/>
  <c r="AD172" i="171"/>
  <c r="AD178" i="171"/>
  <c r="AD184" i="171"/>
  <c r="AD76" i="171"/>
  <c r="AD94" i="171"/>
  <c r="AD107" i="171"/>
  <c r="AD133" i="171"/>
  <c r="AD143" i="171"/>
  <c r="AD149" i="171"/>
  <c r="AD155" i="171"/>
  <c r="AD161" i="171"/>
  <c r="AD167" i="171"/>
  <c r="AD173" i="171"/>
  <c r="AD179" i="171"/>
  <c r="AD185" i="171"/>
  <c r="AD140" i="171"/>
  <c r="AD158" i="171"/>
  <c r="AD168" i="171"/>
  <c r="AD186" i="171"/>
  <c r="AD192" i="171"/>
  <c r="AD198" i="171"/>
  <c r="AD204" i="171"/>
  <c r="AD210" i="171"/>
  <c r="AD196" i="171"/>
  <c r="AD202" i="171"/>
  <c r="AD150" i="171"/>
  <c r="AD163" i="171"/>
  <c r="AD175" i="171"/>
  <c r="AD187" i="171"/>
  <c r="AD193" i="171"/>
  <c r="AD199" i="171"/>
  <c r="AD205" i="171"/>
  <c r="AD211" i="171"/>
  <c r="AD125" i="171"/>
  <c r="AD146" i="171"/>
  <c r="AD170" i="171"/>
  <c r="AD180" i="171"/>
  <c r="AD182" i="171"/>
  <c r="AD188" i="171"/>
  <c r="AD194" i="171"/>
  <c r="AD200" i="171"/>
  <c r="AD206" i="171"/>
  <c r="AD212" i="171"/>
  <c r="AD3" i="171"/>
  <c r="AD152" i="171"/>
  <c r="AD169" i="171"/>
  <c r="AD156" i="171"/>
  <c r="AD174" i="171"/>
  <c r="AD189" i="171"/>
  <c r="AD195" i="171"/>
  <c r="AD201" i="171"/>
  <c r="AD207" i="171"/>
  <c r="AD190" i="171"/>
  <c r="AD208" i="171"/>
  <c r="AD181" i="171"/>
  <c r="AD144" i="171"/>
  <c r="AD183" i="171"/>
  <c r="AD137" i="171"/>
  <c r="AD162" i="171"/>
  <c r="AD176" i="171"/>
  <c r="AD191" i="171"/>
  <c r="AD203" i="171"/>
  <c r="AD164" i="171"/>
  <c r="AD114" i="171"/>
  <c r="AD197" i="171"/>
  <c r="AD209" i="171"/>
  <c r="AE1" i="171"/>
  <c r="AD218" i="171"/>
  <c r="AD215" i="171"/>
  <c r="AD214" i="171"/>
  <c r="AD216" i="171"/>
  <c r="AD217" i="171"/>
  <c r="AD213" i="171"/>
  <c r="D212" i="169"/>
  <c r="D200" i="169"/>
  <c r="D217" i="169"/>
  <c r="D210" i="169"/>
  <c r="D215" i="169"/>
  <c r="D208" i="169"/>
  <c r="D213" i="169"/>
  <c r="D218" i="169"/>
  <c r="D206" i="169"/>
  <c r="D211" i="169"/>
  <c r="D199" i="169"/>
  <c r="D216" i="169"/>
  <c r="D214" i="169"/>
  <c r="D207" i="169"/>
  <c r="D195" i="169"/>
  <c r="D190" i="169"/>
  <c r="D179" i="169"/>
  <c r="D203" i="169"/>
  <c r="D184" i="169"/>
  <c r="D189" i="169"/>
  <c r="D188" i="169"/>
  <c r="D204" i="169"/>
  <c r="D194" i="169"/>
  <c r="D197" i="169"/>
  <c r="D196" i="169"/>
  <c r="D193" i="169"/>
  <c r="D185" i="169"/>
  <c r="D173" i="169"/>
  <c r="D205" i="169"/>
  <c r="D201" i="169"/>
  <c r="D187" i="169"/>
  <c r="D198" i="169"/>
  <c r="D192" i="169"/>
  <c r="D183" i="169"/>
  <c r="D176" i="169"/>
  <c r="D209" i="169"/>
  <c r="D202" i="169"/>
  <c r="D191" i="169"/>
  <c r="D181" i="169"/>
  <c r="D167" i="169"/>
  <c r="D155" i="169"/>
  <c r="D182" i="169"/>
  <c r="D180" i="169"/>
  <c r="D178" i="169"/>
  <c r="D172" i="169"/>
  <c r="D174" i="169"/>
  <c r="D171" i="169"/>
  <c r="D186" i="169"/>
  <c r="D177" i="169"/>
  <c r="D170" i="169"/>
  <c r="D161" i="169"/>
  <c r="D175" i="169"/>
  <c r="D166" i="169"/>
  <c r="D162" i="169"/>
  <c r="D169" i="169"/>
  <c r="D159" i="169"/>
  <c r="D163" i="169"/>
  <c r="D160" i="169"/>
  <c r="D156" i="169"/>
  <c r="D168" i="169"/>
  <c r="D164" i="169"/>
  <c r="D157" i="169"/>
  <c r="D165" i="169"/>
  <c r="D158" i="169"/>
  <c r="E1" i="169"/>
  <c r="T98" i="166"/>
  <c r="T95" i="166"/>
  <c r="T102" i="166"/>
  <c r="T103" i="166"/>
  <c r="T101" i="166"/>
  <c r="T99" i="166"/>
  <c r="T100" i="166"/>
  <c r="T96" i="166"/>
  <c r="T97" i="166"/>
  <c r="AE7" i="171" l="1"/>
  <c r="AE13" i="171"/>
  <c r="AE19" i="171"/>
  <c r="AE4" i="171"/>
  <c r="AE10" i="171"/>
  <c r="AE16" i="171"/>
  <c r="AE5" i="171"/>
  <c r="AE11" i="171"/>
  <c r="AE17" i="171"/>
  <c r="AE9" i="171"/>
  <c r="AE6" i="171"/>
  <c r="AE18" i="171"/>
  <c r="AE24" i="171"/>
  <c r="AE8" i="171"/>
  <c r="AE12" i="171"/>
  <c r="AE21" i="171"/>
  <c r="AE26" i="171"/>
  <c r="AE29" i="171"/>
  <c r="AE15" i="171"/>
  <c r="AE23" i="171"/>
  <c r="AE30" i="171"/>
  <c r="AE27" i="171"/>
  <c r="AE31" i="171"/>
  <c r="AE33" i="171"/>
  <c r="AE22" i="171"/>
  <c r="AE28" i="171"/>
  <c r="AE34" i="171"/>
  <c r="AE40" i="171"/>
  <c r="AE14" i="171"/>
  <c r="AE36" i="171"/>
  <c r="AE44" i="171"/>
  <c r="AE50" i="171"/>
  <c r="AE56" i="171"/>
  <c r="AE25" i="171"/>
  <c r="AE46" i="171"/>
  <c r="AE52" i="171"/>
  <c r="AE58" i="171"/>
  <c r="AE20" i="171"/>
  <c r="AE32" i="171"/>
  <c r="AE35" i="171"/>
  <c r="AE37" i="171"/>
  <c r="AE39" i="171"/>
  <c r="AE48" i="171"/>
  <c r="AE57" i="171"/>
  <c r="AE53" i="171"/>
  <c r="AE55" i="171"/>
  <c r="AE42" i="171"/>
  <c r="AE51" i="171"/>
  <c r="AE38" i="171"/>
  <c r="AE47" i="171"/>
  <c r="AE59" i="171"/>
  <c r="AE61" i="171"/>
  <c r="AE65" i="171"/>
  <c r="AE71" i="171"/>
  <c r="AE77" i="171"/>
  <c r="AE83" i="171"/>
  <c r="AE54" i="171"/>
  <c r="AE66" i="171"/>
  <c r="AE72" i="171"/>
  <c r="AE78" i="171"/>
  <c r="AE84" i="171"/>
  <c r="AE43" i="171"/>
  <c r="AE67" i="171"/>
  <c r="AE73" i="171"/>
  <c r="AE79" i="171"/>
  <c r="AE64" i="171"/>
  <c r="AE76" i="171"/>
  <c r="AE88" i="171"/>
  <c r="AE94" i="171"/>
  <c r="AE100" i="171"/>
  <c r="AE49" i="171"/>
  <c r="AE60" i="171"/>
  <c r="AE68" i="171"/>
  <c r="AE80" i="171"/>
  <c r="AE89" i="171"/>
  <c r="AE95" i="171"/>
  <c r="AE63" i="171"/>
  <c r="AE75" i="171"/>
  <c r="AE90" i="171"/>
  <c r="AE96" i="171"/>
  <c r="AE41" i="171"/>
  <c r="AE70" i="171"/>
  <c r="AE82" i="171"/>
  <c r="AE85" i="171"/>
  <c r="AE91" i="171"/>
  <c r="AE97" i="171"/>
  <c r="AE81" i="171"/>
  <c r="AE93" i="171"/>
  <c r="AE102" i="171"/>
  <c r="AE108" i="171"/>
  <c r="AE114" i="171"/>
  <c r="AE120" i="171"/>
  <c r="AE92" i="171"/>
  <c r="AE103" i="171"/>
  <c r="AE109" i="171"/>
  <c r="AE115" i="171"/>
  <c r="AE121" i="171"/>
  <c r="AE127" i="171"/>
  <c r="AE133" i="171"/>
  <c r="AE99" i="171"/>
  <c r="AE104" i="171"/>
  <c r="AE110" i="171"/>
  <c r="AE116" i="171"/>
  <c r="AE122" i="171"/>
  <c r="AE128" i="171"/>
  <c r="AE134" i="171"/>
  <c r="AE62" i="171"/>
  <c r="AE98" i="171"/>
  <c r="AE105" i="171"/>
  <c r="AE111" i="171"/>
  <c r="AE117" i="171"/>
  <c r="AE123" i="171"/>
  <c r="AE129" i="171"/>
  <c r="AE135" i="171"/>
  <c r="AE106" i="171"/>
  <c r="AE125" i="171"/>
  <c r="AE137" i="171"/>
  <c r="AE144" i="171"/>
  <c r="AE150" i="171"/>
  <c r="AE156" i="171"/>
  <c r="AE162" i="171"/>
  <c r="AE74" i="171"/>
  <c r="AE86" i="171"/>
  <c r="AE113" i="171"/>
  <c r="AE112" i="171"/>
  <c r="AE124" i="171"/>
  <c r="AE136" i="171"/>
  <c r="AE140" i="171"/>
  <c r="AE146" i="171"/>
  <c r="AE152" i="171"/>
  <c r="AE158" i="171"/>
  <c r="AE164" i="171"/>
  <c r="AE170" i="171"/>
  <c r="AE176" i="171"/>
  <c r="AE101" i="171"/>
  <c r="AE119" i="171"/>
  <c r="AE131" i="171"/>
  <c r="AE141" i="171"/>
  <c r="AE147" i="171"/>
  <c r="AE153" i="171"/>
  <c r="AE159" i="171"/>
  <c r="AE165" i="171"/>
  <c r="AE171" i="171"/>
  <c r="AE177" i="171"/>
  <c r="AE183" i="171"/>
  <c r="AE45" i="171"/>
  <c r="AE69" i="171"/>
  <c r="AE87" i="171"/>
  <c r="AE118" i="171"/>
  <c r="AE126" i="171"/>
  <c r="AE138" i="171"/>
  <c r="AE142" i="171"/>
  <c r="AE148" i="171"/>
  <c r="AE154" i="171"/>
  <c r="AE160" i="171"/>
  <c r="AE166" i="171"/>
  <c r="AE172" i="171"/>
  <c r="AE178" i="171"/>
  <c r="AE184" i="171"/>
  <c r="AE151" i="171"/>
  <c r="AE173" i="171"/>
  <c r="AE179" i="171"/>
  <c r="AE181" i="171"/>
  <c r="AE191" i="171"/>
  <c r="AE197" i="171"/>
  <c r="AE203" i="171"/>
  <c r="AE209" i="171"/>
  <c r="AE195" i="171"/>
  <c r="AE143" i="171"/>
  <c r="AE161" i="171"/>
  <c r="AE168" i="171"/>
  <c r="AE186" i="171"/>
  <c r="AE192" i="171"/>
  <c r="AE198" i="171"/>
  <c r="AE204" i="171"/>
  <c r="AE210" i="171"/>
  <c r="AE139" i="171"/>
  <c r="AE157" i="171"/>
  <c r="AE163" i="171"/>
  <c r="AE175" i="171"/>
  <c r="AE187" i="171"/>
  <c r="AE193" i="171"/>
  <c r="AE199" i="171"/>
  <c r="AE205" i="171"/>
  <c r="AE211" i="171"/>
  <c r="AE132" i="171"/>
  <c r="AE189" i="171"/>
  <c r="AE201" i="171"/>
  <c r="AE130" i="171"/>
  <c r="AE149" i="171"/>
  <c r="AE167" i="171"/>
  <c r="AE180" i="171"/>
  <c r="AE182" i="171"/>
  <c r="AE188" i="171"/>
  <c r="AE194" i="171"/>
  <c r="AE200" i="171"/>
  <c r="AE206" i="171"/>
  <c r="AE212" i="171"/>
  <c r="AE3" i="171"/>
  <c r="AE145" i="171"/>
  <c r="AE174" i="171"/>
  <c r="AE185" i="171"/>
  <c r="AE202" i="171"/>
  <c r="AE208" i="171"/>
  <c r="AE107" i="171"/>
  <c r="AE155" i="171"/>
  <c r="AE190" i="171"/>
  <c r="AE207" i="171"/>
  <c r="AE169" i="171"/>
  <c r="AE196" i="171"/>
  <c r="E38" i="169"/>
  <c r="E44" i="169"/>
  <c r="E50" i="169"/>
  <c r="E56" i="169"/>
  <c r="E62" i="169"/>
  <c r="E68" i="169"/>
  <c r="E74" i="169"/>
  <c r="E80" i="169"/>
  <c r="E86" i="169"/>
  <c r="E92" i="169"/>
  <c r="E33" i="169"/>
  <c r="E39" i="169"/>
  <c r="E45" i="169"/>
  <c r="E51" i="169"/>
  <c r="E57" i="169"/>
  <c r="E63" i="169"/>
  <c r="E34" i="169"/>
  <c r="E40" i="169"/>
  <c r="E46" i="169"/>
  <c r="E52" i="169"/>
  <c r="E58" i="169"/>
  <c r="E64" i="169"/>
  <c r="E70" i="169"/>
  <c r="E76" i="169"/>
  <c r="E82" i="169"/>
  <c r="E88" i="169"/>
  <c r="E94" i="169"/>
  <c r="E35" i="169"/>
  <c r="E41" i="169"/>
  <c r="E47" i="169"/>
  <c r="E53" i="169"/>
  <c r="E59" i="169"/>
  <c r="E65" i="169"/>
  <c r="E71" i="169"/>
  <c r="E77" i="169"/>
  <c r="E83" i="169"/>
  <c r="E89" i="169"/>
  <c r="E95" i="169"/>
  <c r="E36" i="169"/>
  <c r="E42" i="169"/>
  <c r="E48" i="169"/>
  <c r="E54" i="169"/>
  <c r="E60" i="169"/>
  <c r="E66" i="169"/>
  <c r="E72" i="169"/>
  <c r="E78" i="169"/>
  <c r="E84" i="169"/>
  <c r="E90" i="169"/>
  <c r="E96" i="169"/>
  <c r="E61" i="169"/>
  <c r="E67" i="169"/>
  <c r="E85" i="169"/>
  <c r="E97" i="169"/>
  <c r="E105" i="169"/>
  <c r="E111" i="169"/>
  <c r="E117" i="169"/>
  <c r="E123" i="169"/>
  <c r="E129" i="169"/>
  <c r="E135" i="169"/>
  <c r="E141" i="169"/>
  <c r="E147" i="169"/>
  <c r="E37" i="169"/>
  <c r="E43" i="169"/>
  <c r="E73" i="169"/>
  <c r="E91" i="169"/>
  <c r="E99" i="169"/>
  <c r="E101" i="169"/>
  <c r="E107" i="169"/>
  <c r="E113" i="169"/>
  <c r="E119" i="169"/>
  <c r="E49" i="169"/>
  <c r="E69" i="169"/>
  <c r="E87" i="169"/>
  <c r="E102" i="169"/>
  <c r="E108" i="169"/>
  <c r="E114" i="169"/>
  <c r="E120" i="169"/>
  <c r="E126" i="169"/>
  <c r="E132" i="169"/>
  <c r="E138" i="169"/>
  <c r="E144" i="169"/>
  <c r="E55" i="169"/>
  <c r="E98" i="169"/>
  <c r="E109" i="169"/>
  <c r="E121" i="169"/>
  <c r="E127" i="169"/>
  <c r="E136" i="169"/>
  <c r="E145" i="169"/>
  <c r="E153" i="169"/>
  <c r="E8" i="169"/>
  <c r="E14" i="169"/>
  <c r="E20" i="169"/>
  <c r="E26" i="169"/>
  <c r="E75" i="169"/>
  <c r="E104" i="169"/>
  <c r="E116" i="169"/>
  <c r="E125" i="169"/>
  <c r="E134" i="169"/>
  <c r="E143" i="169"/>
  <c r="E148" i="169"/>
  <c r="E154" i="169"/>
  <c r="E9" i="169"/>
  <c r="E15" i="169"/>
  <c r="E21" i="169"/>
  <c r="E81" i="169"/>
  <c r="E106" i="169"/>
  <c r="E118" i="169"/>
  <c r="E79" i="169"/>
  <c r="E103" i="169"/>
  <c r="E115" i="169"/>
  <c r="E128" i="169"/>
  <c r="E137" i="169"/>
  <c r="E146" i="169"/>
  <c r="E150" i="169"/>
  <c r="E5" i="169"/>
  <c r="E11" i="169"/>
  <c r="E17" i="169"/>
  <c r="E23" i="169"/>
  <c r="E124" i="169"/>
  <c r="E142" i="169"/>
  <c r="E6" i="169"/>
  <c r="E18" i="169"/>
  <c r="E31" i="169"/>
  <c r="E25" i="169"/>
  <c r="E32" i="169"/>
  <c r="E16" i="169"/>
  <c r="E30" i="169"/>
  <c r="E112" i="169"/>
  <c r="E131" i="169"/>
  <c r="E152" i="169"/>
  <c r="E13" i="169"/>
  <c r="E3" i="169"/>
  <c r="E93" i="169"/>
  <c r="E110" i="169"/>
  <c r="E130" i="169"/>
  <c r="E149" i="169"/>
  <c r="E10" i="169"/>
  <c r="E22" i="169"/>
  <c r="E27" i="169"/>
  <c r="E29" i="169"/>
  <c r="E122" i="169"/>
  <c r="E139" i="169"/>
  <c r="E4" i="169"/>
  <c r="E133" i="169"/>
  <c r="E151" i="169"/>
  <c r="E12" i="169"/>
  <c r="E24" i="169"/>
  <c r="E28" i="169"/>
  <c r="E140" i="169"/>
  <c r="E7" i="169"/>
  <c r="E19" i="169"/>
  <c r="E100" i="169"/>
  <c r="AE213" i="171"/>
  <c r="AF1" i="171"/>
  <c r="AE215" i="171"/>
  <c r="AE217" i="171"/>
  <c r="AE218" i="171"/>
  <c r="AE214" i="171"/>
  <c r="AE216" i="171"/>
  <c r="E217" i="169"/>
  <c r="E205" i="169"/>
  <c r="E210" i="169"/>
  <c r="E215" i="169"/>
  <c r="E208" i="169"/>
  <c r="E213" i="169"/>
  <c r="E218" i="169"/>
  <c r="E211" i="169"/>
  <c r="E199" i="169"/>
  <c r="E216" i="169"/>
  <c r="E204" i="169"/>
  <c r="E192" i="169"/>
  <c r="E209" i="169"/>
  <c r="E214" i="169"/>
  <c r="E212" i="169"/>
  <c r="E200" i="169"/>
  <c r="E188" i="169"/>
  <c r="E203" i="169"/>
  <c r="E184" i="169"/>
  <c r="E172" i="169"/>
  <c r="E189" i="169"/>
  <c r="E195" i="169"/>
  <c r="E194" i="169"/>
  <c r="E197" i="169"/>
  <c r="E196" i="169"/>
  <c r="E193" i="169"/>
  <c r="E201" i="169"/>
  <c r="E187" i="169"/>
  <c r="E178" i="169"/>
  <c r="E198" i="169"/>
  <c r="E183" i="169"/>
  <c r="E176" i="169"/>
  <c r="E207" i="169"/>
  <c r="E202" i="169"/>
  <c r="E191" i="169"/>
  <c r="E181" i="169"/>
  <c r="E186" i="169"/>
  <c r="E174" i="169"/>
  <c r="E182" i="169"/>
  <c r="E180" i="169"/>
  <c r="E173" i="169"/>
  <c r="E160" i="169"/>
  <c r="E206" i="169"/>
  <c r="E171" i="169"/>
  <c r="E179" i="169"/>
  <c r="E177" i="169"/>
  <c r="E170" i="169"/>
  <c r="E175" i="169"/>
  <c r="E166" i="169"/>
  <c r="E159" i="169"/>
  <c r="E190" i="169"/>
  <c r="E169" i="169"/>
  <c r="E185" i="169"/>
  <c r="E167" i="169"/>
  <c r="E155" i="169"/>
  <c r="E162" i="169"/>
  <c r="E163" i="169"/>
  <c r="E156" i="169"/>
  <c r="E168" i="169"/>
  <c r="E164" i="169"/>
  <c r="E157" i="169"/>
  <c r="E165" i="169"/>
  <c r="E161" i="169"/>
  <c r="E158" i="169"/>
  <c r="F1" i="169"/>
  <c r="T92" i="166"/>
  <c r="T94" i="166"/>
  <c r="T93" i="166"/>
  <c r="AF6" i="171" l="1"/>
  <c r="AF12" i="171"/>
  <c r="AF18" i="171"/>
  <c r="AF9" i="171"/>
  <c r="AF15" i="171"/>
  <c r="AF4" i="171"/>
  <c r="AF10" i="171"/>
  <c r="AF16" i="171"/>
  <c r="AF14" i="171"/>
  <c r="AF11" i="171"/>
  <c r="AF23" i="171"/>
  <c r="AF5" i="171"/>
  <c r="AF22" i="171"/>
  <c r="AF28" i="171"/>
  <c r="AF8" i="171"/>
  <c r="AF19" i="171"/>
  <c r="AF21" i="171"/>
  <c r="AF26" i="171"/>
  <c r="AF29" i="171"/>
  <c r="AF30" i="171"/>
  <c r="AF13" i="171"/>
  <c r="AF33" i="171"/>
  <c r="AF39" i="171"/>
  <c r="AF7" i="171"/>
  <c r="AF31" i="171"/>
  <c r="AF43" i="171"/>
  <c r="AF49" i="171"/>
  <c r="AF55" i="171"/>
  <c r="AF61" i="171"/>
  <c r="AF27" i="171"/>
  <c r="AF38" i="171"/>
  <c r="AF45" i="171"/>
  <c r="AF51" i="171"/>
  <c r="AF57" i="171"/>
  <c r="AF25" i="171"/>
  <c r="AF36" i="171"/>
  <c r="AF41" i="171"/>
  <c r="AF50" i="171"/>
  <c r="AF17" i="171"/>
  <c r="AF35" i="171"/>
  <c r="AF46" i="171"/>
  <c r="AF48" i="171"/>
  <c r="AF44" i="171"/>
  <c r="AF53" i="171"/>
  <c r="AF58" i="171"/>
  <c r="AF64" i="171"/>
  <c r="AF70" i="171"/>
  <c r="AF76" i="171"/>
  <c r="AF82" i="171"/>
  <c r="AF24" i="171"/>
  <c r="AF37" i="171"/>
  <c r="AF47" i="171"/>
  <c r="AF59" i="171"/>
  <c r="AF65" i="171"/>
  <c r="AF71" i="171"/>
  <c r="AF77" i="171"/>
  <c r="AF83" i="171"/>
  <c r="AF20" i="171"/>
  <c r="AF32" i="171"/>
  <c r="AF40" i="171"/>
  <c r="AF54" i="171"/>
  <c r="AF66" i="171"/>
  <c r="AF72" i="171"/>
  <c r="AF78" i="171"/>
  <c r="AF84" i="171"/>
  <c r="AF52" i="171"/>
  <c r="AF69" i="171"/>
  <c r="AF81" i="171"/>
  <c r="AF87" i="171"/>
  <c r="AF93" i="171"/>
  <c r="AF99" i="171"/>
  <c r="AF42" i="171"/>
  <c r="AF73" i="171"/>
  <c r="AF88" i="171"/>
  <c r="AF94" i="171"/>
  <c r="AF100" i="171"/>
  <c r="AF56" i="171"/>
  <c r="AF60" i="171"/>
  <c r="AF68" i="171"/>
  <c r="AF80" i="171"/>
  <c r="AF89" i="171"/>
  <c r="AF95" i="171"/>
  <c r="AF63" i="171"/>
  <c r="AF75" i="171"/>
  <c r="AF90" i="171"/>
  <c r="AF96" i="171"/>
  <c r="AF74" i="171"/>
  <c r="AF86" i="171"/>
  <c r="AF101" i="171"/>
  <c r="AF107" i="171"/>
  <c r="AF113" i="171"/>
  <c r="AF119" i="171"/>
  <c r="AF79" i="171"/>
  <c r="AF85" i="171"/>
  <c r="AF102" i="171"/>
  <c r="AF108" i="171"/>
  <c r="AF114" i="171"/>
  <c r="AF120" i="171"/>
  <c r="AF126" i="171"/>
  <c r="AF132" i="171"/>
  <c r="AF138" i="171"/>
  <c r="AF34" i="171"/>
  <c r="AF92" i="171"/>
  <c r="AF103" i="171"/>
  <c r="AF109" i="171"/>
  <c r="AF115" i="171"/>
  <c r="AF121" i="171"/>
  <c r="AF127" i="171"/>
  <c r="AF133" i="171"/>
  <c r="AF91" i="171"/>
  <c r="AF104" i="171"/>
  <c r="AF110" i="171"/>
  <c r="AF116" i="171"/>
  <c r="AF122" i="171"/>
  <c r="AF128" i="171"/>
  <c r="AF134" i="171"/>
  <c r="AF98" i="171"/>
  <c r="AF117" i="171"/>
  <c r="AF130" i="171"/>
  <c r="AF143" i="171"/>
  <c r="AF149" i="171"/>
  <c r="AF155" i="171"/>
  <c r="AF161" i="171"/>
  <c r="AF67" i="171"/>
  <c r="AF106" i="171"/>
  <c r="AF125" i="171"/>
  <c r="AF105" i="171"/>
  <c r="AF129" i="171"/>
  <c r="AF139" i="171"/>
  <c r="AF145" i="171"/>
  <c r="AF151" i="171"/>
  <c r="AF157" i="171"/>
  <c r="AF163" i="171"/>
  <c r="AF169" i="171"/>
  <c r="AF175" i="171"/>
  <c r="AF97" i="171"/>
  <c r="AF112" i="171"/>
  <c r="AF124" i="171"/>
  <c r="AF136" i="171"/>
  <c r="AF140" i="171"/>
  <c r="AF146" i="171"/>
  <c r="AF152" i="171"/>
  <c r="AF158" i="171"/>
  <c r="AF164" i="171"/>
  <c r="AF170" i="171"/>
  <c r="AF176" i="171"/>
  <c r="AF182" i="171"/>
  <c r="AF62" i="171"/>
  <c r="AF111" i="171"/>
  <c r="AF131" i="171"/>
  <c r="AF141" i="171"/>
  <c r="AF147" i="171"/>
  <c r="AF153" i="171"/>
  <c r="AF159" i="171"/>
  <c r="AF165" i="171"/>
  <c r="AF171" i="171"/>
  <c r="AF177" i="171"/>
  <c r="AF183" i="171"/>
  <c r="AF118" i="171"/>
  <c r="AF137" i="171"/>
  <c r="AF144" i="171"/>
  <c r="AF162" i="171"/>
  <c r="AF166" i="171"/>
  <c r="AF190" i="171"/>
  <c r="AF196" i="171"/>
  <c r="AF202" i="171"/>
  <c r="AF208" i="171"/>
  <c r="AF135" i="171"/>
  <c r="AF154" i="171"/>
  <c r="AF173" i="171"/>
  <c r="AF179" i="171"/>
  <c r="AF181" i="171"/>
  <c r="AF191" i="171"/>
  <c r="AF197" i="171"/>
  <c r="AF203" i="171"/>
  <c r="AF209" i="171"/>
  <c r="AF156" i="171"/>
  <c r="AF178" i="171"/>
  <c r="AF188" i="171"/>
  <c r="AF150" i="171"/>
  <c r="AF168" i="171"/>
  <c r="AF184" i="171"/>
  <c r="AF186" i="171"/>
  <c r="AF192" i="171"/>
  <c r="AF198" i="171"/>
  <c r="AF204" i="171"/>
  <c r="AF210" i="171"/>
  <c r="AF194" i="171"/>
  <c r="AF123" i="171"/>
  <c r="AF142" i="171"/>
  <c r="AF160" i="171"/>
  <c r="AF172" i="171"/>
  <c r="AF187" i="171"/>
  <c r="AF193" i="171"/>
  <c r="AF199" i="171"/>
  <c r="AF205" i="171"/>
  <c r="AF211" i="171"/>
  <c r="AF167" i="171"/>
  <c r="AF180" i="171"/>
  <c r="AF200" i="171"/>
  <c r="AF195" i="171"/>
  <c r="AF212" i="171"/>
  <c r="AF201" i="171"/>
  <c r="AF148" i="171"/>
  <c r="AF207" i="171"/>
  <c r="AF185" i="171"/>
  <c r="AF174" i="171"/>
  <c r="AF206" i="171"/>
  <c r="AF3" i="171"/>
  <c r="AF189" i="171"/>
  <c r="F37" i="169"/>
  <c r="F43" i="169"/>
  <c r="F49" i="169"/>
  <c r="F55" i="169"/>
  <c r="F61" i="169"/>
  <c r="F67" i="169"/>
  <c r="F73" i="169"/>
  <c r="F79" i="169"/>
  <c r="F85" i="169"/>
  <c r="F91" i="169"/>
  <c r="F38" i="169"/>
  <c r="F44" i="169"/>
  <c r="F50" i="169"/>
  <c r="F56" i="169"/>
  <c r="F62" i="169"/>
  <c r="F33" i="169"/>
  <c r="F39" i="169"/>
  <c r="F45" i="169"/>
  <c r="F51" i="169"/>
  <c r="F57" i="169"/>
  <c r="F63" i="169"/>
  <c r="F69" i="169"/>
  <c r="F75" i="169"/>
  <c r="F81" i="169"/>
  <c r="F87" i="169"/>
  <c r="F93" i="169"/>
  <c r="F99" i="169"/>
  <c r="F34" i="169"/>
  <c r="F40" i="169"/>
  <c r="F46" i="169"/>
  <c r="F52" i="169"/>
  <c r="F58" i="169"/>
  <c r="F64" i="169"/>
  <c r="F70" i="169"/>
  <c r="F76" i="169"/>
  <c r="F82" i="169"/>
  <c r="F88" i="169"/>
  <c r="F94" i="169"/>
  <c r="F35" i="169"/>
  <c r="F41" i="169"/>
  <c r="F47" i="169"/>
  <c r="F53" i="169"/>
  <c r="F59" i="169"/>
  <c r="F65" i="169"/>
  <c r="F71" i="169"/>
  <c r="F77" i="169"/>
  <c r="F83" i="169"/>
  <c r="F89" i="169"/>
  <c r="F95" i="169"/>
  <c r="F54" i="169"/>
  <c r="F60" i="169"/>
  <c r="F78" i="169"/>
  <c r="F104" i="169"/>
  <c r="F110" i="169"/>
  <c r="F116" i="169"/>
  <c r="F122" i="169"/>
  <c r="F128" i="169"/>
  <c r="F134" i="169"/>
  <c r="F140" i="169"/>
  <c r="F146" i="169"/>
  <c r="F36" i="169"/>
  <c r="F66" i="169"/>
  <c r="F84" i="169"/>
  <c r="F100" i="169"/>
  <c r="F106" i="169"/>
  <c r="F112" i="169"/>
  <c r="F118" i="169"/>
  <c r="F42" i="169"/>
  <c r="F80" i="169"/>
  <c r="F96" i="169"/>
  <c r="F101" i="169"/>
  <c r="F107" i="169"/>
  <c r="F113" i="169"/>
  <c r="F119" i="169"/>
  <c r="F125" i="169"/>
  <c r="F131" i="169"/>
  <c r="F137" i="169"/>
  <c r="F143" i="169"/>
  <c r="F48" i="169"/>
  <c r="F90" i="169"/>
  <c r="F102" i="169"/>
  <c r="F114" i="169"/>
  <c r="F129" i="169"/>
  <c r="F138" i="169"/>
  <c r="F147" i="169"/>
  <c r="F152" i="169"/>
  <c r="F7" i="169"/>
  <c r="F13" i="169"/>
  <c r="F19" i="169"/>
  <c r="F25" i="169"/>
  <c r="F68" i="169"/>
  <c r="F98" i="169"/>
  <c r="F109" i="169"/>
  <c r="F121" i="169"/>
  <c r="F127" i="169"/>
  <c r="F136" i="169"/>
  <c r="F145" i="169"/>
  <c r="F153" i="169"/>
  <c r="F8" i="169"/>
  <c r="F14" i="169"/>
  <c r="F20" i="169"/>
  <c r="F26" i="169"/>
  <c r="F74" i="169"/>
  <c r="F111" i="169"/>
  <c r="F72" i="169"/>
  <c r="F108" i="169"/>
  <c r="F120" i="169"/>
  <c r="F130" i="169"/>
  <c r="F139" i="169"/>
  <c r="F149" i="169"/>
  <c r="F4" i="169"/>
  <c r="F10" i="169"/>
  <c r="F16" i="169"/>
  <c r="F22" i="169"/>
  <c r="F135" i="169"/>
  <c r="F150" i="169"/>
  <c r="F11" i="169"/>
  <c r="F23" i="169"/>
  <c r="F30" i="169"/>
  <c r="F92" i="169"/>
  <c r="F97" i="169"/>
  <c r="F105" i="169"/>
  <c r="F124" i="169"/>
  <c r="F142" i="169"/>
  <c r="F6" i="169"/>
  <c r="F18" i="169"/>
  <c r="F31" i="169"/>
  <c r="F86" i="169"/>
  <c r="F103" i="169"/>
  <c r="F123" i="169"/>
  <c r="F141" i="169"/>
  <c r="F154" i="169"/>
  <c r="F15" i="169"/>
  <c r="F32" i="169"/>
  <c r="F3" i="169"/>
  <c r="F115" i="169"/>
  <c r="F133" i="169"/>
  <c r="F151" i="169"/>
  <c r="F12" i="169"/>
  <c r="F28" i="169"/>
  <c r="F132" i="169"/>
  <c r="F148" i="169"/>
  <c r="F117" i="169"/>
  <c r="F126" i="169"/>
  <c r="F144" i="169"/>
  <c r="F5" i="169"/>
  <c r="F17" i="169"/>
  <c r="F27" i="169"/>
  <c r="F24" i="169"/>
  <c r="F9" i="169"/>
  <c r="F21" i="169"/>
  <c r="F29" i="169"/>
  <c r="AG1" i="171"/>
  <c r="AF216" i="171"/>
  <c r="AF214" i="171"/>
  <c r="AF215" i="171"/>
  <c r="AF213" i="171"/>
  <c r="AF218" i="171"/>
  <c r="AF217" i="171"/>
  <c r="F210" i="169"/>
  <c r="F198" i="169"/>
  <c r="F215" i="169"/>
  <c r="F208" i="169"/>
  <c r="F213" i="169"/>
  <c r="F218" i="169"/>
  <c r="F211" i="169"/>
  <c r="F216" i="169"/>
  <c r="F204" i="169"/>
  <c r="F209" i="169"/>
  <c r="F197" i="169"/>
  <c r="F214" i="169"/>
  <c r="F217" i="169"/>
  <c r="F205" i="169"/>
  <c r="F193" i="169"/>
  <c r="F189" i="169"/>
  <c r="F177" i="169"/>
  <c r="F212" i="169"/>
  <c r="F182" i="169"/>
  <c r="F200" i="169"/>
  <c r="F188" i="169"/>
  <c r="F195" i="169"/>
  <c r="F194" i="169"/>
  <c r="F196" i="169"/>
  <c r="F185" i="169"/>
  <c r="F201" i="169"/>
  <c r="F187" i="169"/>
  <c r="F183" i="169"/>
  <c r="F171" i="169"/>
  <c r="F192" i="169"/>
  <c r="F207" i="169"/>
  <c r="F202" i="169"/>
  <c r="F191" i="169"/>
  <c r="F181" i="169"/>
  <c r="F186" i="169"/>
  <c r="F174" i="169"/>
  <c r="F206" i="169"/>
  <c r="F190" i="169"/>
  <c r="F179" i="169"/>
  <c r="F178" i="169"/>
  <c r="F176" i="169"/>
  <c r="F165" i="169"/>
  <c r="F172" i="169"/>
  <c r="F199" i="169"/>
  <c r="F168" i="169"/>
  <c r="F170" i="169"/>
  <c r="F184" i="169"/>
  <c r="F175" i="169"/>
  <c r="F159" i="169"/>
  <c r="F203" i="169"/>
  <c r="F164" i="169"/>
  <c r="F169" i="169"/>
  <c r="F180" i="169"/>
  <c r="F173" i="169"/>
  <c r="F160" i="169"/>
  <c r="F155" i="169"/>
  <c r="F166" i="169"/>
  <c r="F163" i="169"/>
  <c r="F156" i="169"/>
  <c r="F167" i="169"/>
  <c r="F157" i="169"/>
  <c r="F161" i="169"/>
  <c r="F158" i="169"/>
  <c r="F162" i="169"/>
  <c r="G1" i="169"/>
  <c r="T90" i="166"/>
  <c r="T91" i="166"/>
  <c r="T89" i="166"/>
  <c r="T88" i="166"/>
  <c r="AG5" i="171" l="1"/>
  <c r="AG11" i="171"/>
  <c r="AG17" i="171"/>
  <c r="AG8" i="171"/>
  <c r="AG14" i="171"/>
  <c r="AG9" i="171"/>
  <c r="AG15" i="171"/>
  <c r="AG7" i="171"/>
  <c r="AG19" i="171"/>
  <c r="AG21" i="171"/>
  <c r="AG4" i="171"/>
  <c r="AG16" i="171"/>
  <c r="AG22" i="171"/>
  <c r="AG25" i="171"/>
  <c r="AG12" i="171"/>
  <c r="AG28" i="171"/>
  <c r="AG18" i="171"/>
  <c r="AG23" i="171"/>
  <c r="AG26" i="171"/>
  <c r="AG29" i="171"/>
  <c r="AG6" i="171"/>
  <c r="AG27" i="171"/>
  <c r="AG31" i="171"/>
  <c r="AG37" i="171"/>
  <c r="AG13" i="171"/>
  <c r="AG38" i="171"/>
  <c r="AG24" i="171"/>
  <c r="AG40" i="171"/>
  <c r="AG42" i="171"/>
  <c r="AG48" i="171"/>
  <c r="AG54" i="171"/>
  <c r="AG60" i="171"/>
  <c r="AG30" i="171"/>
  <c r="AG34" i="171"/>
  <c r="AG36" i="171"/>
  <c r="AG44" i="171"/>
  <c r="AG50" i="171"/>
  <c r="AG56" i="171"/>
  <c r="AG20" i="171"/>
  <c r="AG32" i="171"/>
  <c r="AG33" i="171"/>
  <c r="AG43" i="171"/>
  <c r="AG52" i="171"/>
  <c r="AG41" i="171"/>
  <c r="AG57" i="171"/>
  <c r="AG35" i="171"/>
  <c r="AG46" i="171"/>
  <c r="AG55" i="171"/>
  <c r="AG51" i="171"/>
  <c r="AG63" i="171"/>
  <c r="AG69" i="171"/>
  <c r="AG75" i="171"/>
  <c r="AG81" i="171"/>
  <c r="AG39" i="171"/>
  <c r="AG58" i="171"/>
  <c r="AG61" i="171"/>
  <c r="AG64" i="171"/>
  <c r="AG70" i="171"/>
  <c r="AG76" i="171"/>
  <c r="AG82" i="171"/>
  <c r="AG10" i="171"/>
  <c r="AG47" i="171"/>
  <c r="AG59" i="171"/>
  <c r="AG65" i="171"/>
  <c r="AG71" i="171"/>
  <c r="AG77" i="171"/>
  <c r="AG83" i="171"/>
  <c r="AG45" i="171"/>
  <c r="AG62" i="171"/>
  <c r="AG74" i="171"/>
  <c r="AG86" i="171"/>
  <c r="AG92" i="171"/>
  <c r="AG98" i="171"/>
  <c r="AG66" i="171"/>
  <c r="AG78" i="171"/>
  <c r="AG87" i="171"/>
  <c r="AG93" i="171"/>
  <c r="AG99" i="171"/>
  <c r="AG49" i="171"/>
  <c r="AG73" i="171"/>
  <c r="AG88" i="171"/>
  <c r="AG94" i="171"/>
  <c r="AG100" i="171"/>
  <c r="AG68" i="171"/>
  <c r="AG80" i="171"/>
  <c r="AG89" i="171"/>
  <c r="AG95" i="171"/>
  <c r="AG67" i="171"/>
  <c r="AG97" i="171"/>
  <c r="AG106" i="171"/>
  <c r="AG112" i="171"/>
  <c r="AG118" i="171"/>
  <c r="AG72" i="171"/>
  <c r="AG96" i="171"/>
  <c r="AG101" i="171"/>
  <c r="AG107" i="171"/>
  <c r="AG113" i="171"/>
  <c r="AG119" i="171"/>
  <c r="AG125" i="171"/>
  <c r="AG131" i="171"/>
  <c r="AG137" i="171"/>
  <c r="AG79" i="171"/>
  <c r="AG85" i="171"/>
  <c r="AG102" i="171"/>
  <c r="AG108" i="171"/>
  <c r="AG114" i="171"/>
  <c r="AG120" i="171"/>
  <c r="AG126" i="171"/>
  <c r="AG132" i="171"/>
  <c r="AG138" i="171"/>
  <c r="AG84" i="171"/>
  <c r="AG103" i="171"/>
  <c r="AG109" i="171"/>
  <c r="AG115" i="171"/>
  <c r="AG121" i="171"/>
  <c r="AG127" i="171"/>
  <c r="AG133" i="171"/>
  <c r="AG91" i="171"/>
  <c r="AG110" i="171"/>
  <c r="AG123" i="171"/>
  <c r="AG135" i="171"/>
  <c r="AG142" i="171"/>
  <c r="AG148" i="171"/>
  <c r="AG154" i="171"/>
  <c r="AG160" i="171"/>
  <c r="AG117" i="171"/>
  <c r="AG130" i="171"/>
  <c r="AG116" i="171"/>
  <c r="AG134" i="171"/>
  <c r="AG144" i="171"/>
  <c r="AG150" i="171"/>
  <c r="AG156" i="171"/>
  <c r="AG162" i="171"/>
  <c r="AG168" i="171"/>
  <c r="AG174" i="171"/>
  <c r="AG53" i="171"/>
  <c r="AG90" i="171"/>
  <c r="AG105" i="171"/>
  <c r="AG129" i="171"/>
  <c r="AG139" i="171"/>
  <c r="AG145" i="171"/>
  <c r="AG151" i="171"/>
  <c r="AG157" i="171"/>
  <c r="AG163" i="171"/>
  <c r="AG169" i="171"/>
  <c r="AG175" i="171"/>
  <c r="AG181" i="171"/>
  <c r="AG104" i="171"/>
  <c r="AG122" i="171"/>
  <c r="AG124" i="171"/>
  <c r="AG136" i="171"/>
  <c r="AG140" i="171"/>
  <c r="AG146" i="171"/>
  <c r="AG152" i="171"/>
  <c r="AG158" i="171"/>
  <c r="AG164" i="171"/>
  <c r="AG170" i="171"/>
  <c r="AG176" i="171"/>
  <c r="AG182" i="171"/>
  <c r="AG111" i="171"/>
  <c r="AG155" i="171"/>
  <c r="AG171" i="171"/>
  <c r="AG183" i="171"/>
  <c r="AG185" i="171"/>
  <c r="AG189" i="171"/>
  <c r="AG195" i="171"/>
  <c r="AG201" i="171"/>
  <c r="AG207" i="171"/>
  <c r="AG199" i="171"/>
  <c r="AG147" i="171"/>
  <c r="AG166" i="171"/>
  <c r="AG190" i="171"/>
  <c r="AG196" i="171"/>
  <c r="AG202" i="171"/>
  <c r="AG208" i="171"/>
  <c r="AG143" i="171"/>
  <c r="AG161" i="171"/>
  <c r="AG173" i="171"/>
  <c r="AG179" i="171"/>
  <c r="AG191" i="171"/>
  <c r="AG197" i="171"/>
  <c r="AG203" i="171"/>
  <c r="AG209" i="171"/>
  <c r="AG128" i="171"/>
  <c r="AG187" i="171"/>
  <c r="AG153" i="171"/>
  <c r="AG165" i="171"/>
  <c r="AG177" i="171"/>
  <c r="AG184" i="171"/>
  <c r="AG186" i="171"/>
  <c r="AG192" i="171"/>
  <c r="AG198" i="171"/>
  <c r="AG204" i="171"/>
  <c r="AG210" i="171"/>
  <c r="AG149" i="171"/>
  <c r="AG172" i="171"/>
  <c r="AG193" i="171"/>
  <c r="AG159" i="171"/>
  <c r="AG3" i="171"/>
  <c r="AG188" i="171"/>
  <c r="AG205" i="171"/>
  <c r="AG194" i="171"/>
  <c r="AG212" i="171"/>
  <c r="AG211" i="171"/>
  <c r="AG141" i="171"/>
  <c r="AG167" i="171"/>
  <c r="AG200" i="171"/>
  <c r="AG178" i="171"/>
  <c r="AG180" i="171"/>
  <c r="AG206" i="171"/>
  <c r="G36" i="169"/>
  <c r="G42" i="169"/>
  <c r="G48" i="169"/>
  <c r="G54" i="169"/>
  <c r="G60" i="169"/>
  <c r="G66" i="169"/>
  <c r="G72" i="169"/>
  <c r="G78" i="169"/>
  <c r="G84" i="169"/>
  <c r="G90" i="169"/>
  <c r="G37" i="169"/>
  <c r="G43" i="169"/>
  <c r="G49" i="169"/>
  <c r="G55" i="169"/>
  <c r="G61" i="169"/>
  <c r="G38" i="169"/>
  <c r="G44" i="169"/>
  <c r="G50" i="169"/>
  <c r="G56" i="169"/>
  <c r="G62" i="169"/>
  <c r="G68" i="169"/>
  <c r="G74" i="169"/>
  <c r="G80" i="169"/>
  <c r="G86" i="169"/>
  <c r="G92" i="169"/>
  <c r="G98" i="169"/>
  <c r="G33" i="169"/>
  <c r="G39" i="169"/>
  <c r="G45" i="169"/>
  <c r="G51" i="169"/>
  <c r="G57" i="169"/>
  <c r="G63" i="169"/>
  <c r="G69" i="169"/>
  <c r="G75" i="169"/>
  <c r="G81" i="169"/>
  <c r="G87" i="169"/>
  <c r="G93" i="169"/>
  <c r="G34" i="169"/>
  <c r="G40" i="169"/>
  <c r="G46" i="169"/>
  <c r="G52" i="169"/>
  <c r="G58" i="169"/>
  <c r="G64" i="169"/>
  <c r="G70" i="169"/>
  <c r="G76" i="169"/>
  <c r="G82" i="169"/>
  <c r="G88" i="169"/>
  <c r="G94" i="169"/>
  <c r="G47" i="169"/>
  <c r="G53" i="169"/>
  <c r="G71" i="169"/>
  <c r="G89" i="169"/>
  <c r="G95" i="169"/>
  <c r="G103" i="169"/>
  <c r="G109" i="169"/>
  <c r="G115" i="169"/>
  <c r="G121" i="169"/>
  <c r="G127" i="169"/>
  <c r="G133" i="169"/>
  <c r="G139" i="169"/>
  <c r="G145" i="169"/>
  <c r="G65" i="169"/>
  <c r="G77" i="169"/>
  <c r="G97" i="169"/>
  <c r="G105" i="169"/>
  <c r="G111" i="169"/>
  <c r="G117" i="169"/>
  <c r="G35" i="169"/>
  <c r="G73" i="169"/>
  <c r="G91" i="169"/>
  <c r="G99" i="169"/>
  <c r="G100" i="169"/>
  <c r="G106" i="169"/>
  <c r="G112" i="169"/>
  <c r="G118" i="169"/>
  <c r="G124" i="169"/>
  <c r="G130" i="169"/>
  <c r="G136" i="169"/>
  <c r="G142" i="169"/>
  <c r="G41" i="169"/>
  <c r="G83" i="169"/>
  <c r="G107" i="169"/>
  <c r="G119" i="169"/>
  <c r="G122" i="169"/>
  <c r="G131" i="169"/>
  <c r="G140" i="169"/>
  <c r="G151" i="169"/>
  <c r="G6" i="169"/>
  <c r="G12" i="169"/>
  <c r="G18" i="169"/>
  <c r="G24" i="169"/>
  <c r="G59" i="169"/>
  <c r="G102" i="169"/>
  <c r="G114" i="169"/>
  <c r="G129" i="169"/>
  <c r="G138" i="169"/>
  <c r="G147" i="169"/>
  <c r="G152" i="169"/>
  <c r="G7" i="169"/>
  <c r="G13" i="169"/>
  <c r="G19" i="169"/>
  <c r="G25" i="169"/>
  <c r="G67" i="169"/>
  <c r="G104" i="169"/>
  <c r="G116" i="169"/>
  <c r="G96" i="169"/>
  <c r="G101" i="169"/>
  <c r="G113" i="169"/>
  <c r="G123" i="169"/>
  <c r="G132" i="169"/>
  <c r="G141" i="169"/>
  <c r="G148" i="169"/>
  <c r="G154" i="169"/>
  <c r="G9" i="169"/>
  <c r="G15" i="169"/>
  <c r="G21" i="169"/>
  <c r="G120" i="169"/>
  <c r="G128" i="169"/>
  <c r="G146" i="169"/>
  <c r="G4" i="169"/>
  <c r="G16" i="169"/>
  <c r="G29" i="169"/>
  <c r="G85" i="169"/>
  <c r="G135" i="169"/>
  <c r="G150" i="169"/>
  <c r="G11" i="169"/>
  <c r="G23" i="169"/>
  <c r="G30" i="169"/>
  <c r="G26" i="169"/>
  <c r="G79" i="169"/>
  <c r="G134" i="169"/>
  <c r="G8" i="169"/>
  <c r="G20" i="169"/>
  <c r="G31" i="169"/>
  <c r="G108" i="169"/>
  <c r="G126" i="169"/>
  <c r="G144" i="169"/>
  <c r="G5" i="169"/>
  <c r="G153" i="169"/>
  <c r="G28" i="169"/>
  <c r="G110" i="169"/>
  <c r="G137" i="169"/>
  <c r="G149" i="169"/>
  <c r="G10" i="169"/>
  <c r="G22" i="169"/>
  <c r="G32" i="169"/>
  <c r="G3" i="169"/>
  <c r="G17" i="169"/>
  <c r="G27" i="169"/>
  <c r="G125" i="169"/>
  <c r="G143" i="169"/>
  <c r="G14" i="169"/>
  <c r="AG218" i="171"/>
  <c r="AG214" i="171"/>
  <c r="AH1" i="171"/>
  <c r="AG213" i="171"/>
  <c r="AG215" i="171"/>
  <c r="AG216" i="171"/>
  <c r="AG217" i="171"/>
  <c r="G215" i="169"/>
  <c r="G203" i="169"/>
  <c r="G208" i="169"/>
  <c r="G213" i="169"/>
  <c r="G218" i="169"/>
  <c r="G211" i="169"/>
  <c r="G216" i="169"/>
  <c r="G209" i="169"/>
  <c r="G197" i="169"/>
  <c r="G214" i="169"/>
  <c r="G202" i="169"/>
  <c r="G190" i="169"/>
  <c r="G207" i="169"/>
  <c r="G212" i="169"/>
  <c r="G217" i="169"/>
  <c r="G210" i="169"/>
  <c r="G198" i="169"/>
  <c r="G186" i="169"/>
  <c r="G182" i="169"/>
  <c r="G170" i="169"/>
  <c r="G200" i="169"/>
  <c r="G188" i="169"/>
  <c r="G195" i="169"/>
  <c r="G194" i="169"/>
  <c r="G204" i="169"/>
  <c r="G196" i="169"/>
  <c r="G201" i="169"/>
  <c r="G193" i="169"/>
  <c r="G187" i="169"/>
  <c r="G205" i="169"/>
  <c r="G192" i="169"/>
  <c r="G176" i="169"/>
  <c r="G191" i="169"/>
  <c r="G206" i="169"/>
  <c r="G179" i="169"/>
  <c r="G199" i="169"/>
  <c r="G184" i="169"/>
  <c r="G172" i="169"/>
  <c r="G158" i="169"/>
  <c r="G183" i="169"/>
  <c r="G174" i="169"/>
  <c r="G171" i="169"/>
  <c r="G168" i="169"/>
  <c r="G177" i="169"/>
  <c r="G175" i="169"/>
  <c r="G181" i="169"/>
  <c r="G164" i="169"/>
  <c r="G169" i="169"/>
  <c r="G157" i="169"/>
  <c r="G185" i="169"/>
  <c r="G167" i="169"/>
  <c r="G189" i="169"/>
  <c r="G180" i="169"/>
  <c r="G173" i="169"/>
  <c r="G178" i="169"/>
  <c r="G165" i="169"/>
  <c r="G166" i="169"/>
  <c r="G163" i="169"/>
  <c r="G159" i="169"/>
  <c r="G156" i="169"/>
  <c r="G160" i="169"/>
  <c r="G161" i="169"/>
  <c r="G162" i="169"/>
  <c r="G155" i="169"/>
  <c r="H1" i="169"/>
  <c r="T79" i="166"/>
  <c r="T80" i="166"/>
  <c r="T81" i="166"/>
  <c r="AH4" i="171" l="1"/>
  <c r="AH10" i="171"/>
  <c r="AI10" i="171" s="1"/>
  <c r="AH16" i="171"/>
  <c r="AH7" i="171"/>
  <c r="AH13" i="171"/>
  <c r="AI13" i="171" s="1"/>
  <c r="AH19" i="171"/>
  <c r="AI19" i="171" s="1"/>
  <c r="AH8" i="171"/>
  <c r="AI8" i="171" s="1"/>
  <c r="AH14" i="171"/>
  <c r="AH12" i="171"/>
  <c r="AI12" i="171" s="1"/>
  <c r="AH20" i="171"/>
  <c r="AI20" i="171" s="1"/>
  <c r="AH9" i="171"/>
  <c r="AI9" i="171" s="1"/>
  <c r="AH21" i="171"/>
  <c r="AI21" i="171" s="1"/>
  <c r="AH27" i="171"/>
  <c r="AI27" i="171" s="1"/>
  <c r="AH32" i="171"/>
  <c r="AI32" i="171" s="1"/>
  <c r="AH5" i="171"/>
  <c r="AI5" i="171" s="1"/>
  <c r="AH22" i="171"/>
  <c r="AI22" i="171" s="1"/>
  <c r="AH25" i="171"/>
  <c r="AI25" i="171" s="1"/>
  <c r="AH11" i="171"/>
  <c r="AI11" i="171" s="1"/>
  <c r="AH15" i="171"/>
  <c r="AI15" i="171" s="1"/>
  <c r="AH28" i="171"/>
  <c r="AI28" i="171" s="1"/>
  <c r="AH36" i="171"/>
  <c r="AI36" i="171" s="1"/>
  <c r="AH6" i="171"/>
  <c r="AI6" i="171" s="1"/>
  <c r="AH31" i="171"/>
  <c r="AI31" i="171" s="1"/>
  <c r="AH37" i="171"/>
  <c r="AI37" i="171" s="1"/>
  <c r="AH26" i="171"/>
  <c r="AI26" i="171" s="1"/>
  <c r="AH33" i="171"/>
  <c r="AI33" i="171" s="1"/>
  <c r="AH35" i="171"/>
  <c r="AI35" i="171" s="1"/>
  <c r="AH41" i="171"/>
  <c r="AI41" i="171" s="1"/>
  <c r="AH47" i="171"/>
  <c r="AI47" i="171" s="1"/>
  <c r="AH53" i="171"/>
  <c r="AI53" i="171" s="1"/>
  <c r="AH59" i="171"/>
  <c r="AI59" i="171" s="1"/>
  <c r="AH18" i="171"/>
  <c r="AI18" i="171" s="1"/>
  <c r="AH24" i="171"/>
  <c r="AI24" i="171" s="1"/>
  <c r="AH30" i="171"/>
  <c r="AI30" i="171" s="1"/>
  <c r="AH43" i="171"/>
  <c r="AI43" i="171" s="1"/>
  <c r="AH49" i="171"/>
  <c r="AI49" i="171" s="1"/>
  <c r="AH55" i="171"/>
  <c r="AI55" i="171" s="1"/>
  <c r="AH61" i="171"/>
  <c r="AI61" i="171" s="1"/>
  <c r="AH23" i="171"/>
  <c r="AI23" i="171" s="1"/>
  <c r="AH34" i="171"/>
  <c r="AI34" i="171" s="1"/>
  <c r="AH38" i="171"/>
  <c r="AI38" i="171" s="1"/>
  <c r="AH40" i="171"/>
  <c r="AI40" i="171" s="1"/>
  <c r="AH45" i="171"/>
  <c r="AI45" i="171" s="1"/>
  <c r="AH54" i="171"/>
  <c r="AI54" i="171" s="1"/>
  <c r="AH29" i="171"/>
  <c r="AI29" i="171" s="1"/>
  <c r="AH50" i="171"/>
  <c r="AI50" i="171" s="1"/>
  <c r="AH52" i="171"/>
  <c r="AI52" i="171" s="1"/>
  <c r="AH17" i="171"/>
  <c r="AI17" i="171" s="1"/>
  <c r="AH48" i="171"/>
  <c r="AI48" i="171" s="1"/>
  <c r="AH57" i="171"/>
  <c r="AI57" i="171" s="1"/>
  <c r="AH44" i="171"/>
  <c r="AI44" i="171" s="1"/>
  <c r="AH62" i="171"/>
  <c r="AI62" i="171" s="1"/>
  <c r="AH68" i="171"/>
  <c r="AI68" i="171" s="1"/>
  <c r="AH74" i="171"/>
  <c r="AI74" i="171" s="1"/>
  <c r="AH80" i="171"/>
  <c r="AI80" i="171" s="1"/>
  <c r="AH51" i="171"/>
  <c r="AI51" i="171" s="1"/>
  <c r="AH63" i="171"/>
  <c r="AI63" i="171" s="1"/>
  <c r="AH69" i="171"/>
  <c r="AI69" i="171" s="1"/>
  <c r="AH75" i="171"/>
  <c r="AI75" i="171" s="1"/>
  <c r="AH81" i="171"/>
  <c r="AI81" i="171" s="1"/>
  <c r="AH39" i="171"/>
  <c r="AI39" i="171" s="1"/>
  <c r="AH58" i="171"/>
  <c r="AI58" i="171" s="1"/>
  <c r="AH64" i="171"/>
  <c r="AI64" i="171" s="1"/>
  <c r="AH70" i="171"/>
  <c r="AI70" i="171" s="1"/>
  <c r="AH76" i="171"/>
  <c r="AI76" i="171" s="1"/>
  <c r="AH82" i="171"/>
  <c r="AI82" i="171" s="1"/>
  <c r="AH67" i="171"/>
  <c r="AI67" i="171" s="1"/>
  <c r="AH79" i="171"/>
  <c r="AI79" i="171" s="1"/>
  <c r="AH85" i="171"/>
  <c r="AI85" i="171" s="1"/>
  <c r="AH91" i="171"/>
  <c r="AI91" i="171" s="1"/>
  <c r="AH97" i="171"/>
  <c r="AI97" i="171" s="1"/>
  <c r="AH71" i="171"/>
  <c r="AI71" i="171" s="1"/>
  <c r="AH83" i="171"/>
  <c r="AI83" i="171" s="1"/>
  <c r="AH86" i="171"/>
  <c r="AI86" i="171" s="1"/>
  <c r="AH92" i="171"/>
  <c r="AI92" i="171" s="1"/>
  <c r="AH98" i="171"/>
  <c r="AH42" i="171"/>
  <c r="AI42" i="171" s="1"/>
  <c r="AH66" i="171"/>
  <c r="AI66" i="171" s="1"/>
  <c r="AH78" i="171"/>
  <c r="AI78" i="171" s="1"/>
  <c r="AH87" i="171"/>
  <c r="AI87" i="171" s="1"/>
  <c r="AH93" i="171"/>
  <c r="AI93" i="171" s="1"/>
  <c r="AH99" i="171"/>
  <c r="AI99" i="171" s="1"/>
  <c r="AH56" i="171"/>
  <c r="AI56" i="171" s="1"/>
  <c r="AH60" i="171"/>
  <c r="AI60" i="171" s="1"/>
  <c r="AH73" i="171"/>
  <c r="AI73" i="171" s="1"/>
  <c r="AH88" i="171"/>
  <c r="AI88" i="171" s="1"/>
  <c r="AH94" i="171"/>
  <c r="AI94" i="171" s="1"/>
  <c r="AH100" i="171"/>
  <c r="AI100" i="171" s="1"/>
  <c r="AH90" i="171"/>
  <c r="AI90" i="171" s="1"/>
  <c r="AH105" i="171"/>
  <c r="AI105" i="171" s="1"/>
  <c r="AH111" i="171"/>
  <c r="AI111" i="171" s="1"/>
  <c r="AH117" i="171"/>
  <c r="AI117" i="171" s="1"/>
  <c r="AH65" i="171"/>
  <c r="AI65" i="171" s="1"/>
  <c r="AH89" i="171"/>
  <c r="AI89" i="171" s="1"/>
  <c r="AH106" i="171"/>
  <c r="AI106" i="171" s="1"/>
  <c r="AH112" i="171"/>
  <c r="AI112" i="171" s="1"/>
  <c r="AH118" i="171"/>
  <c r="AH124" i="171"/>
  <c r="AI124" i="171" s="1"/>
  <c r="AH130" i="171"/>
  <c r="AI130" i="171" s="1"/>
  <c r="AH136" i="171"/>
  <c r="AI136" i="171" s="1"/>
  <c r="AH72" i="171"/>
  <c r="AI72" i="171" s="1"/>
  <c r="AH96" i="171"/>
  <c r="AI96" i="171" s="1"/>
  <c r="AH101" i="171"/>
  <c r="AI101" i="171" s="1"/>
  <c r="AH107" i="171"/>
  <c r="AI107" i="171" s="1"/>
  <c r="AH113" i="171"/>
  <c r="AI113" i="171" s="1"/>
  <c r="AH119" i="171"/>
  <c r="AI119" i="171" s="1"/>
  <c r="AH125" i="171"/>
  <c r="AI125" i="171" s="1"/>
  <c r="AH131" i="171"/>
  <c r="AI131" i="171" s="1"/>
  <c r="AH137" i="171"/>
  <c r="AI137" i="171" s="1"/>
  <c r="AH77" i="171"/>
  <c r="AI77" i="171" s="1"/>
  <c r="AH95" i="171"/>
  <c r="AI95" i="171" s="1"/>
  <c r="AH102" i="171"/>
  <c r="AI102" i="171" s="1"/>
  <c r="AH108" i="171"/>
  <c r="AI108" i="171" s="1"/>
  <c r="AH114" i="171"/>
  <c r="AI114" i="171" s="1"/>
  <c r="AH120" i="171"/>
  <c r="AI120" i="171" s="1"/>
  <c r="AH126" i="171"/>
  <c r="AI126" i="171" s="1"/>
  <c r="AH132" i="171"/>
  <c r="AI132" i="171" s="1"/>
  <c r="AH138" i="171"/>
  <c r="AI138" i="171" s="1"/>
  <c r="AH84" i="171"/>
  <c r="AI84" i="171" s="1"/>
  <c r="AH103" i="171"/>
  <c r="AI103" i="171" s="1"/>
  <c r="AH121" i="171"/>
  <c r="AH128" i="171"/>
  <c r="AI128" i="171" s="1"/>
  <c r="AH141" i="171"/>
  <c r="AI141" i="171" s="1"/>
  <c r="AH147" i="171"/>
  <c r="AI147" i="171" s="1"/>
  <c r="AH153" i="171"/>
  <c r="AI153" i="171" s="1"/>
  <c r="AH159" i="171"/>
  <c r="AH110" i="171"/>
  <c r="AI110" i="171" s="1"/>
  <c r="AH123" i="171"/>
  <c r="AI123" i="171" s="1"/>
  <c r="AH109" i="171"/>
  <c r="AI109" i="171" s="1"/>
  <c r="AH127" i="171"/>
  <c r="AI127" i="171" s="1"/>
  <c r="AH143" i="171"/>
  <c r="AI143" i="171" s="1"/>
  <c r="AH149" i="171"/>
  <c r="AI149" i="171" s="1"/>
  <c r="AH155" i="171"/>
  <c r="AH161" i="171"/>
  <c r="AH167" i="171"/>
  <c r="AH173" i="171"/>
  <c r="AH116" i="171"/>
  <c r="AI116" i="171" s="1"/>
  <c r="AH134" i="171"/>
  <c r="AI134" i="171" s="1"/>
  <c r="AH144" i="171"/>
  <c r="AI144" i="171" s="1"/>
  <c r="AH150" i="171"/>
  <c r="AI150" i="171" s="1"/>
  <c r="AH156" i="171"/>
  <c r="AH162" i="171"/>
  <c r="AH168" i="171"/>
  <c r="AH174" i="171"/>
  <c r="AH180" i="171"/>
  <c r="AH115" i="171"/>
  <c r="AI115" i="171" s="1"/>
  <c r="AH129" i="171"/>
  <c r="AI129" i="171" s="1"/>
  <c r="AH139" i="171"/>
  <c r="AI139" i="171" s="1"/>
  <c r="AH145" i="171"/>
  <c r="AI145" i="171" s="1"/>
  <c r="AH151" i="171"/>
  <c r="AI151" i="171" s="1"/>
  <c r="AH157" i="171"/>
  <c r="AH163" i="171"/>
  <c r="AH169" i="171"/>
  <c r="AH175" i="171"/>
  <c r="AH181" i="171"/>
  <c r="AH46" i="171"/>
  <c r="AI46" i="171" s="1"/>
  <c r="AH104" i="171"/>
  <c r="AI104" i="171" s="1"/>
  <c r="AH148" i="171"/>
  <c r="AI148" i="171" s="1"/>
  <c r="AH164" i="171"/>
  <c r="AH176" i="171"/>
  <c r="AH178" i="171"/>
  <c r="AH188" i="171"/>
  <c r="AH194" i="171"/>
  <c r="AH200" i="171"/>
  <c r="AH206" i="171"/>
  <c r="AH212" i="171"/>
  <c r="AH3" i="171"/>
  <c r="AI3" i="171" s="1"/>
  <c r="AH122" i="171"/>
  <c r="AI122" i="171" s="1"/>
  <c r="AH140" i="171"/>
  <c r="AI140" i="171" s="1"/>
  <c r="AH158" i="171"/>
  <c r="AH171" i="171"/>
  <c r="AH183" i="171"/>
  <c r="AH185" i="171"/>
  <c r="AH189" i="171"/>
  <c r="AH195" i="171"/>
  <c r="AH201" i="171"/>
  <c r="AH207" i="171"/>
  <c r="AH177" i="171"/>
  <c r="AH186" i="171"/>
  <c r="AH135" i="171"/>
  <c r="AI135" i="171" s="1"/>
  <c r="AH154" i="171"/>
  <c r="AI154" i="171" s="1"/>
  <c r="AH166" i="171"/>
  <c r="AH190" i="171"/>
  <c r="AH196" i="171"/>
  <c r="AH202" i="171"/>
  <c r="AH208" i="171"/>
  <c r="AH165" i="171"/>
  <c r="AH192" i="171"/>
  <c r="AH198" i="171"/>
  <c r="AH133" i="171"/>
  <c r="AI133" i="171" s="1"/>
  <c r="AH146" i="171"/>
  <c r="AI146" i="171" s="1"/>
  <c r="AH170" i="171"/>
  <c r="AH179" i="171"/>
  <c r="AH191" i="171"/>
  <c r="AH197" i="171"/>
  <c r="AH203" i="171"/>
  <c r="AH209" i="171"/>
  <c r="AH142" i="171"/>
  <c r="AI142" i="171" s="1"/>
  <c r="AH160" i="171"/>
  <c r="AH182" i="171"/>
  <c r="AH184" i="171"/>
  <c r="AH187" i="171"/>
  <c r="AH205" i="171"/>
  <c r="AH193" i="171"/>
  <c r="AH210" i="171"/>
  <c r="AH204" i="171"/>
  <c r="AH199" i="171"/>
  <c r="AH211" i="171"/>
  <c r="AH152" i="171"/>
  <c r="AI152" i="171" s="1"/>
  <c r="AH172" i="171"/>
  <c r="H35" i="169"/>
  <c r="H41" i="169"/>
  <c r="H47" i="169"/>
  <c r="H53" i="169"/>
  <c r="H59" i="169"/>
  <c r="H65" i="169"/>
  <c r="H71" i="169"/>
  <c r="H77" i="169"/>
  <c r="H83" i="169"/>
  <c r="H89" i="169"/>
  <c r="H36" i="169"/>
  <c r="H42" i="169"/>
  <c r="H48" i="169"/>
  <c r="H54" i="169"/>
  <c r="H60" i="169"/>
  <c r="H37" i="169"/>
  <c r="H43" i="169"/>
  <c r="H49" i="169"/>
  <c r="H55" i="169"/>
  <c r="H61" i="169"/>
  <c r="H67" i="169"/>
  <c r="H73" i="169"/>
  <c r="H79" i="169"/>
  <c r="H85" i="169"/>
  <c r="H91" i="169"/>
  <c r="H97" i="169"/>
  <c r="H38" i="169"/>
  <c r="H44" i="169"/>
  <c r="H50" i="169"/>
  <c r="H56" i="169"/>
  <c r="H62" i="169"/>
  <c r="H68" i="169"/>
  <c r="H74" i="169"/>
  <c r="H80" i="169"/>
  <c r="H86" i="169"/>
  <c r="H92" i="169"/>
  <c r="H98" i="169"/>
  <c r="H33" i="169"/>
  <c r="H39" i="169"/>
  <c r="H45" i="169"/>
  <c r="H51" i="169"/>
  <c r="H57" i="169"/>
  <c r="H63" i="169"/>
  <c r="H69" i="169"/>
  <c r="H75" i="169"/>
  <c r="H81" i="169"/>
  <c r="H87" i="169"/>
  <c r="H93" i="169"/>
  <c r="H99" i="169"/>
  <c r="H40" i="169"/>
  <c r="H46" i="169"/>
  <c r="H82" i="169"/>
  <c r="H102" i="169"/>
  <c r="H108" i="169"/>
  <c r="H114" i="169"/>
  <c r="H120" i="169"/>
  <c r="H126" i="169"/>
  <c r="H132" i="169"/>
  <c r="H138" i="169"/>
  <c r="H144" i="169"/>
  <c r="H58" i="169"/>
  <c r="H70" i="169"/>
  <c r="H88" i="169"/>
  <c r="H104" i="169"/>
  <c r="H110" i="169"/>
  <c r="H116" i="169"/>
  <c r="H64" i="169"/>
  <c r="H66" i="169"/>
  <c r="H84" i="169"/>
  <c r="H94" i="169"/>
  <c r="H105" i="169"/>
  <c r="H111" i="169"/>
  <c r="H117" i="169"/>
  <c r="H123" i="169"/>
  <c r="H129" i="169"/>
  <c r="H135" i="169"/>
  <c r="H141" i="169"/>
  <c r="H147" i="169"/>
  <c r="H34" i="169"/>
  <c r="H76" i="169"/>
  <c r="H100" i="169"/>
  <c r="H112" i="169"/>
  <c r="H124" i="169"/>
  <c r="H133" i="169"/>
  <c r="H142" i="169"/>
  <c r="H150" i="169"/>
  <c r="H5" i="169"/>
  <c r="H11" i="169"/>
  <c r="H17" i="169"/>
  <c r="H23" i="169"/>
  <c r="H52" i="169"/>
  <c r="H90" i="169"/>
  <c r="H107" i="169"/>
  <c r="H119" i="169"/>
  <c r="H122" i="169"/>
  <c r="H131" i="169"/>
  <c r="H140" i="169"/>
  <c r="H151" i="169"/>
  <c r="H6" i="169"/>
  <c r="H12" i="169"/>
  <c r="H18" i="169"/>
  <c r="H24" i="169"/>
  <c r="H95" i="169"/>
  <c r="H109" i="169"/>
  <c r="H121" i="169"/>
  <c r="H106" i="169"/>
  <c r="H118" i="169"/>
  <c r="H125" i="169"/>
  <c r="H134" i="169"/>
  <c r="H143" i="169"/>
  <c r="H153" i="169"/>
  <c r="H8" i="169"/>
  <c r="H14" i="169"/>
  <c r="H20" i="169"/>
  <c r="H26" i="169"/>
  <c r="H113" i="169"/>
  <c r="H139" i="169"/>
  <c r="H148" i="169"/>
  <c r="H9" i="169"/>
  <c r="H21" i="169"/>
  <c r="H28" i="169"/>
  <c r="H16" i="169"/>
  <c r="H78" i="169"/>
  <c r="H128" i="169"/>
  <c r="H146" i="169"/>
  <c r="H4" i="169"/>
  <c r="H29" i="169"/>
  <c r="H27" i="169"/>
  <c r="H72" i="169"/>
  <c r="H127" i="169"/>
  <c r="H145" i="169"/>
  <c r="H152" i="169"/>
  <c r="H13" i="169"/>
  <c r="H25" i="169"/>
  <c r="H30" i="169"/>
  <c r="H101" i="169"/>
  <c r="H32" i="169"/>
  <c r="H3" i="169"/>
  <c r="H115" i="169"/>
  <c r="H7" i="169"/>
  <c r="H19" i="169"/>
  <c r="H103" i="169"/>
  <c r="H130" i="169"/>
  <c r="H154" i="169"/>
  <c r="H15" i="169"/>
  <c r="H31" i="169"/>
  <c r="H96" i="169"/>
  <c r="H137" i="169"/>
  <c r="H149" i="169"/>
  <c r="H10" i="169"/>
  <c r="H22" i="169"/>
  <c r="H136" i="169"/>
  <c r="AI16" i="171"/>
  <c r="AI7" i="171"/>
  <c r="AI118" i="171"/>
  <c r="AI98" i="171"/>
  <c r="AH217" i="171"/>
  <c r="AH218" i="171"/>
  <c r="AH214" i="171"/>
  <c r="AH216" i="171"/>
  <c r="AH213" i="171"/>
  <c r="AH215" i="171"/>
  <c r="AI4" i="171"/>
  <c r="AI14" i="171"/>
  <c r="H208" i="169"/>
  <c r="H213" i="169"/>
  <c r="H218" i="169"/>
  <c r="H211" i="169"/>
  <c r="H216" i="169"/>
  <c r="H209" i="169"/>
  <c r="H214" i="169"/>
  <c r="H202" i="169"/>
  <c r="H207" i="169"/>
  <c r="H195" i="169"/>
  <c r="H212" i="169"/>
  <c r="H217" i="169"/>
  <c r="H215" i="169"/>
  <c r="H203" i="169"/>
  <c r="H191" i="169"/>
  <c r="H200" i="169"/>
  <c r="H188" i="169"/>
  <c r="H175" i="169"/>
  <c r="H194" i="169"/>
  <c r="H204" i="169"/>
  <c r="H196" i="169"/>
  <c r="H185" i="169"/>
  <c r="H201" i="169"/>
  <c r="H193" i="169"/>
  <c r="H187" i="169"/>
  <c r="H197" i="169"/>
  <c r="H183" i="169"/>
  <c r="H205" i="169"/>
  <c r="H192" i="169"/>
  <c r="H210" i="169"/>
  <c r="H198" i="169"/>
  <c r="H181" i="169"/>
  <c r="H206" i="169"/>
  <c r="H186" i="169"/>
  <c r="H179" i="169"/>
  <c r="H199" i="169"/>
  <c r="H190" i="169"/>
  <c r="H184" i="169"/>
  <c r="H189" i="169"/>
  <c r="H177" i="169"/>
  <c r="H163" i="169"/>
  <c r="H174" i="169"/>
  <c r="H171" i="169"/>
  <c r="H168" i="169"/>
  <c r="H170" i="169"/>
  <c r="H169" i="169"/>
  <c r="H157" i="169"/>
  <c r="H162" i="169"/>
  <c r="H180" i="169"/>
  <c r="H173" i="169"/>
  <c r="H178" i="169"/>
  <c r="H182" i="169"/>
  <c r="H176" i="169"/>
  <c r="H172" i="169"/>
  <c r="H158" i="169"/>
  <c r="H159" i="169"/>
  <c r="H156" i="169"/>
  <c r="H160" i="169"/>
  <c r="H167" i="169"/>
  <c r="H164" i="169"/>
  <c r="H161" i="169"/>
  <c r="H165" i="169"/>
  <c r="H155" i="169"/>
  <c r="H166" i="169"/>
  <c r="I1" i="169"/>
  <c r="T78" i="166"/>
  <c r="T82" i="166"/>
  <c r="T83" i="166"/>
  <c r="I34" i="169" l="1"/>
  <c r="I40" i="169"/>
  <c r="I46" i="169"/>
  <c r="I52" i="169"/>
  <c r="I58" i="169"/>
  <c r="I64" i="169"/>
  <c r="I70" i="169"/>
  <c r="I76" i="169"/>
  <c r="I82" i="169"/>
  <c r="I88" i="169"/>
  <c r="I35" i="169"/>
  <c r="I41" i="169"/>
  <c r="I47" i="169"/>
  <c r="I53" i="169"/>
  <c r="I59" i="169"/>
  <c r="I65" i="169"/>
  <c r="I36" i="169"/>
  <c r="I42" i="169"/>
  <c r="I48" i="169"/>
  <c r="I54" i="169"/>
  <c r="I60" i="169"/>
  <c r="I66" i="169"/>
  <c r="I72" i="169"/>
  <c r="I78" i="169"/>
  <c r="I84" i="169"/>
  <c r="I90" i="169"/>
  <c r="I96" i="169"/>
  <c r="I37" i="169"/>
  <c r="I43" i="169"/>
  <c r="I49" i="169"/>
  <c r="I55" i="169"/>
  <c r="I61" i="169"/>
  <c r="I67" i="169"/>
  <c r="I73" i="169"/>
  <c r="I79" i="169"/>
  <c r="I85" i="169"/>
  <c r="I91" i="169"/>
  <c r="I97" i="169"/>
  <c r="I38" i="169"/>
  <c r="I44" i="169"/>
  <c r="I50" i="169"/>
  <c r="I56" i="169"/>
  <c r="I62" i="169"/>
  <c r="I68" i="169"/>
  <c r="I74" i="169"/>
  <c r="I80" i="169"/>
  <c r="I86" i="169"/>
  <c r="I92" i="169"/>
  <c r="I98" i="169"/>
  <c r="I33" i="169"/>
  <c r="I39" i="169"/>
  <c r="I75" i="169"/>
  <c r="I93" i="169"/>
  <c r="I101" i="169"/>
  <c r="I107" i="169"/>
  <c r="I113" i="169"/>
  <c r="I119" i="169"/>
  <c r="I125" i="169"/>
  <c r="I131" i="169"/>
  <c r="I137" i="169"/>
  <c r="I143" i="169"/>
  <c r="I51" i="169"/>
  <c r="I81" i="169"/>
  <c r="I95" i="169"/>
  <c r="I103" i="169"/>
  <c r="I109" i="169"/>
  <c r="I115" i="169"/>
  <c r="I121" i="169"/>
  <c r="I57" i="169"/>
  <c r="I77" i="169"/>
  <c r="I104" i="169"/>
  <c r="I110" i="169"/>
  <c r="I116" i="169"/>
  <c r="I122" i="169"/>
  <c r="I128" i="169"/>
  <c r="I134" i="169"/>
  <c r="I140" i="169"/>
  <c r="I146" i="169"/>
  <c r="I69" i="169"/>
  <c r="I94" i="169"/>
  <c r="I105" i="169"/>
  <c r="I117" i="169"/>
  <c r="I126" i="169"/>
  <c r="I135" i="169"/>
  <c r="I144" i="169"/>
  <c r="I149" i="169"/>
  <c r="I4" i="169"/>
  <c r="I10" i="169"/>
  <c r="I16" i="169"/>
  <c r="I22" i="169"/>
  <c r="I45" i="169"/>
  <c r="I83" i="169"/>
  <c r="I100" i="169"/>
  <c r="I112" i="169"/>
  <c r="I124" i="169"/>
  <c r="I133" i="169"/>
  <c r="I142" i="169"/>
  <c r="I150" i="169"/>
  <c r="I5" i="169"/>
  <c r="I11" i="169"/>
  <c r="I17" i="169"/>
  <c r="I23" i="169"/>
  <c r="I63" i="169"/>
  <c r="I89" i="169"/>
  <c r="I102" i="169"/>
  <c r="I114" i="169"/>
  <c r="I87" i="169"/>
  <c r="I99" i="169"/>
  <c r="I111" i="169"/>
  <c r="I127" i="169"/>
  <c r="I136" i="169"/>
  <c r="I145" i="169"/>
  <c r="I152" i="169"/>
  <c r="I7" i="169"/>
  <c r="I13" i="169"/>
  <c r="I19" i="169"/>
  <c r="I25" i="169"/>
  <c r="I106" i="169"/>
  <c r="I132" i="169"/>
  <c r="I153" i="169"/>
  <c r="I14" i="169"/>
  <c r="I26" i="169"/>
  <c r="I27" i="169"/>
  <c r="I28" i="169"/>
  <c r="I71" i="169"/>
  <c r="I120" i="169"/>
  <c r="I139" i="169"/>
  <c r="I148" i="169"/>
  <c r="I9" i="169"/>
  <c r="I21" i="169"/>
  <c r="I118" i="169"/>
  <c r="I138" i="169"/>
  <c r="I6" i="169"/>
  <c r="I18" i="169"/>
  <c r="I29" i="169"/>
  <c r="I154" i="169"/>
  <c r="I15" i="169"/>
  <c r="I108" i="169"/>
  <c r="I129" i="169"/>
  <c r="I151" i="169"/>
  <c r="I12" i="169"/>
  <c r="I24" i="169"/>
  <c r="I123" i="169"/>
  <c r="I141" i="169"/>
  <c r="I8" i="169"/>
  <c r="I20" i="169"/>
  <c r="I30" i="169"/>
  <c r="I130" i="169"/>
  <c r="I31" i="169"/>
  <c r="I147" i="169"/>
  <c r="I32" i="169"/>
  <c r="I3" i="169"/>
  <c r="I213" i="169"/>
  <c r="I201" i="169"/>
  <c r="I218" i="169"/>
  <c r="I211" i="169"/>
  <c r="I216" i="169"/>
  <c r="I209" i="169"/>
  <c r="I214" i="169"/>
  <c r="I207" i="169"/>
  <c r="I195" i="169"/>
  <c r="I212" i="169"/>
  <c r="I200" i="169"/>
  <c r="I188" i="169"/>
  <c r="I217" i="169"/>
  <c r="I210" i="169"/>
  <c r="I215" i="169"/>
  <c r="I208" i="169"/>
  <c r="I196" i="169"/>
  <c r="I194" i="169"/>
  <c r="I180" i="169"/>
  <c r="I204" i="169"/>
  <c r="I185" i="169"/>
  <c r="I193" i="169"/>
  <c r="I187" i="169"/>
  <c r="I197" i="169"/>
  <c r="I205" i="169"/>
  <c r="I192" i="169"/>
  <c r="I198" i="169"/>
  <c r="I191" i="169"/>
  <c r="I174" i="169"/>
  <c r="I206" i="169"/>
  <c r="I202" i="169"/>
  <c r="I186" i="169"/>
  <c r="I199" i="169"/>
  <c r="I190" i="169"/>
  <c r="I184" i="169"/>
  <c r="I189" i="169"/>
  <c r="I177" i="169"/>
  <c r="I203" i="169"/>
  <c r="I182" i="169"/>
  <c r="I183" i="169"/>
  <c r="I171" i="169"/>
  <c r="I168" i="169"/>
  <c r="I156" i="169"/>
  <c r="I170" i="169"/>
  <c r="I175" i="169"/>
  <c r="I181" i="169"/>
  <c r="I179" i="169"/>
  <c r="I169" i="169"/>
  <c r="I162" i="169"/>
  <c r="I167" i="169"/>
  <c r="I155" i="169"/>
  <c r="I173" i="169"/>
  <c r="I178" i="169"/>
  <c r="I176" i="169"/>
  <c r="I172" i="169"/>
  <c r="I163" i="169"/>
  <c r="I160" i="169"/>
  <c r="I164" i="169"/>
  <c r="I161" i="169"/>
  <c r="I157" i="169"/>
  <c r="I165" i="169"/>
  <c r="I158" i="169"/>
  <c r="I166" i="169"/>
  <c r="I159" i="169"/>
  <c r="J1" i="169"/>
  <c r="T72" i="166"/>
  <c r="T73" i="166"/>
  <c r="T74" i="166"/>
  <c r="T75" i="166"/>
  <c r="T76" i="166"/>
  <c r="T77" i="166"/>
  <c r="T84" i="166"/>
  <c r="T85" i="166"/>
  <c r="T86" i="166"/>
  <c r="T87" i="166"/>
  <c r="J33" i="169" l="1"/>
  <c r="J39" i="169"/>
  <c r="J45" i="169"/>
  <c r="J51" i="169"/>
  <c r="J57" i="169"/>
  <c r="J63" i="169"/>
  <c r="J69" i="169"/>
  <c r="J75" i="169"/>
  <c r="J81" i="169"/>
  <c r="J87" i="169"/>
  <c r="J34" i="169"/>
  <c r="J40" i="169"/>
  <c r="J46" i="169"/>
  <c r="J52" i="169"/>
  <c r="J58" i="169"/>
  <c r="J64" i="169"/>
  <c r="J35" i="169"/>
  <c r="J41" i="169"/>
  <c r="J47" i="169"/>
  <c r="J53" i="169"/>
  <c r="J59" i="169"/>
  <c r="J65" i="169"/>
  <c r="J71" i="169"/>
  <c r="J77" i="169"/>
  <c r="J83" i="169"/>
  <c r="J89" i="169"/>
  <c r="J95" i="169"/>
  <c r="J36" i="169"/>
  <c r="J42" i="169"/>
  <c r="J48" i="169"/>
  <c r="J54" i="169"/>
  <c r="J60" i="169"/>
  <c r="J66" i="169"/>
  <c r="J72" i="169"/>
  <c r="J78" i="169"/>
  <c r="J84" i="169"/>
  <c r="J90" i="169"/>
  <c r="J96" i="169"/>
  <c r="J37" i="169"/>
  <c r="J43" i="169"/>
  <c r="J49" i="169"/>
  <c r="J55" i="169"/>
  <c r="J61" i="169"/>
  <c r="J67" i="169"/>
  <c r="J73" i="169"/>
  <c r="J79" i="169"/>
  <c r="J85" i="169"/>
  <c r="J91" i="169"/>
  <c r="J97" i="169"/>
  <c r="J62" i="169"/>
  <c r="J68" i="169"/>
  <c r="J86" i="169"/>
  <c r="J98" i="169"/>
  <c r="J100" i="169"/>
  <c r="J106" i="169"/>
  <c r="J112" i="169"/>
  <c r="J118" i="169"/>
  <c r="J124" i="169"/>
  <c r="J130" i="169"/>
  <c r="J136" i="169"/>
  <c r="J142" i="169"/>
  <c r="J38" i="169"/>
  <c r="J44" i="169"/>
  <c r="J74" i="169"/>
  <c r="J92" i="169"/>
  <c r="J102" i="169"/>
  <c r="J108" i="169"/>
  <c r="J114" i="169"/>
  <c r="J120" i="169"/>
  <c r="J50" i="169"/>
  <c r="J70" i="169"/>
  <c r="J88" i="169"/>
  <c r="J103" i="169"/>
  <c r="J109" i="169"/>
  <c r="J115" i="169"/>
  <c r="J121" i="169"/>
  <c r="J127" i="169"/>
  <c r="J133" i="169"/>
  <c r="J139" i="169"/>
  <c r="J145" i="169"/>
  <c r="J110" i="169"/>
  <c r="J128" i="169"/>
  <c r="J137" i="169"/>
  <c r="J146" i="169"/>
  <c r="J148" i="169"/>
  <c r="J154" i="169"/>
  <c r="J9" i="169"/>
  <c r="J15" i="169"/>
  <c r="J21" i="169"/>
  <c r="J76" i="169"/>
  <c r="J94" i="169"/>
  <c r="J105" i="169"/>
  <c r="J117" i="169"/>
  <c r="J126" i="169"/>
  <c r="J135" i="169"/>
  <c r="J144" i="169"/>
  <c r="J149" i="169"/>
  <c r="J4" i="169"/>
  <c r="J10" i="169"/>
  <c r="J16" i="169"/>
  <c r="J22" i="169"/>
  <c r="J56" i="169"/>
  <c r="J82" i="169"/>
  <c r="J107" i="169"/>
  <c r="J119" i="169"/>
  <c r="J122" i="169"/>
  <c r="J80" i="169"/>
  <c r="J104" i="169"/>
  <c r="J116" i="169"/>
  <c r="J129" i="169"/>
  <c r="J138" i="169"/>
  <c r="J147" i="169"/>
  <c r="J151" i="169"/>
  <c r="J6" i="169"/>
  <c r="J12" i="169"/>
  <c r="J18" i="169"/>
  <c r="J24" i="169"/>
  <c r="J99" i="169"/>
  <c r="J125" i="169"/>
  <c r="J143" i="169"/>
  <c r="J7" i="169"/>
  <c r="J19" i="169"/>
  <c r="J32" i="169"/>
  <c r="J3" i="169"/>
  <c r="J17" i="169"/>
  <c r="J113" i="169"/>
  <c r="J132" i="169"/>
  <c r="J153" i="169"/>
  <c r="J14" i="169"/>
  <c r="J26" i="169"/>
  <c r="J27" i="169"/>
  <c r="J111" i="169"/>
  <c r="J131" i="169"/>
  <c r="J150" i="169"/>
  <c r="J11" i="169"/>
  <c r="J23" i="169"/>
  <c r="J28" i="169"/>
  <c r="J101" i="169"/>
  <c r="J140" i="169"/>
  <c r="J5" i="169"/>
  <c r="J31" i="169"/>
  <c r="J93" i="169"/>
  <c r="J134" i="169"/>
  <c r="J152" i="169"/>
  <c r="J13" i="169"/>
  <c r="J25" i="169"/>
  <c r="J29" i="169"/>
  <c r="J123" i="169"/>
  <c r="J141" i="169"/>
  <c r="J8" i="169"/>
  <c r="J20" i="169"/>
  <c r="J30" i="169"/>
  <c r="J218" i="169"/>
  <c r="J206" i="169"/>
  <c r="J211" i="169"/>
  <c r="J216" i="169"/>
  <c r="J209" i="169"/>
  <c r="J214" i="169"/>
  <c r="J207" i="169"/>
  <c r="J212" i="169"/>
  <c r="J200" i="169"/>
  <c r="J217" i="169"/>
  <c r="J205" i="169"/>
  <c r="J193" i="169"/>
  <c r="J210" i="169"/>
  <c r="J215" i="169"/>
  <c r="J213" i="169"/>
  <c r="J201" i="169"/>
  <c r="J189" i="169"/>
  <c r="J204" i="169"/>
  <c r="J185" i="169"/>
  <c r="J173" i="169"/>
  <c r="J196" i="169"/>
  <c r="J195" i="169"/>
  <c r="J187" i="169"/>
  <c r="J197" i="169"/>
  <c r="J183" i="169"/>
  <c r="J208" i="169"/>
  <c r="J192" i="169"/>
  <c r="J198" i="169"/>
  <c r="J191" i="169"/>
  <c r="J202" i="169"/>
  <c r="J186" i="169"/>
  <c r="J179" i="169"/>
  <c r="J199" i="169"/>
  <c r="J190" i="169"/>
  <c r="J184" i="169"/>
  <c r="J177" i="169"/>
  <c r="J203" i="169"/>
  <c r="J182" i="169"/>
  <c r="J175" i="169"/>
  <c r="J188" i="169"/>
  <c r="J174" i="169"/>
  <c r="J161" i="169"/>
  <c r="J170" i="169"/>
  <c r="J181" i="169"/>
  <c r="J169" i="169"/>
  <c r="J167" i="169"/>
  <c r="J155" i="169"/>
  <c r="J160" i="169"/>
  <c r="J180" i="169"/>
  <c r="J178" i="169"/>
  <c r="J176" i="169"/>
  <c r="J172" i="169"/>
  <c r="J194" i="169"/>
  <c r="J171" i="169"/>
  <c r="J168" i="169"/>
  <c r="J156" i="169"/>
  <c r="J163" i="169"/>
  <c r="J164" i="169"/>
  <c r="J157" i="169"/>
  <c r="J165" i="169"/>
  <c r="J158" i="169"/>
  <c r="J166" i="169"/>
  <c r="J162" i="169"/>
  <c r="J159" i="169"/>
  <c r="K1" i="169"/>
  <c r="T65" i="166"/>
  <c r="T67" i="166"/>
  <c r="T66" i="166"/>
  <c r="K38" i="169" l="1"/>
  <c r="K44" i="169"/>
  <c r="K50" i="169"/>
  <c r="K56" i="169"/>
  <c r="K62" i="169"/>
  <c r="K68" i="169"/>
  <c r="K74" i="169"/>
  <c r="K80" i="169"/>
  <c r="K86" i="169"/>
  <c r="K92" i="169"/>
  <c r="K33" i="169"/>
  <c r="K39" i="169"/>
  <c r="K45" i="169"/>
  <c r="K51" i="169"/>
  <c r="K57" i="169"/>
  <c r="K63" i="169"/>
  <c r="K34" i="169"/>
  <c r="K40" i="169"/>
  <c r="K46" i="169"/>
  <c r="K52" i="169"/>
  <c r="K58" i="169"/>
  <c r="K64" i="169"/>
  <c r="K70" i="169"/>
  <c r="K76" i="169"/>
  <c r="K82" i="169"/>
  <c r="K88" i="169"/>
  <c r="K94" i="169"/>
  <c r="K35" i="169"/>
  <c r="K41" i="169"/>
  <c r="K47" i="169"/>
  <c r="K53" i="169"/>
  <c r="K59" i="169"/>
  <c r="K65" i="169"/>
  <c r="K71" i="169"/>
  <c r="K77" i="169"/>
  <c r="K83" i="169"/>
  <c r="K89" i="169"/>
  <c r="K95" i="169"/>
  <c r="K36" i="169"/>
  <c r="K42" i="169"/>
  <c r="K48" i="169"/>
  <c r="K54" i="169"/>
  <c r="K60" i="169"/>
  <c r="K66" i="169"/>
  <c r="K72" i="169"/>
  <c r="K78" i="169"/>
  <c r="K84" i="169"/>
  <c r="K90" i="169"/>
  <c r="K96" i="169"/>
  <c r="K55" i="169"/>
  <c r="K61" i="169"/>
  <c r="K79" i="169"/>
  <c r="K99" i="169"/>
  <c r="K105" i="169"/>
  <c r="K111" i="169"/>
  <c r="K117" i="169"/>
  <c r="K123" i="169"/>
  <c r="K129" i="169"/>
  <c r="K135" i="169"/>
  <c r="K141" i="169"/>
  <c r="K147" i="169"/>
  <c r="K37" i="169"/>
  <c r="K67" i="169"/>
  <c r="K85" i="169"/>
  <c r="K93" i="169"/>
  <c r="K101" i="169"/>
  <c r="K107" i="169"/>
  <c r="K113" i="169"/>
  <c r="K119" i="169"/>
  <c r="K43" i="169"/>
  <c r="K81" i="169"/>
  <c r="K97" i="169"/>
  <c r="K102" i="169"/>
  <c r="K108" i="169"/>
  <c r="K114" i="169"/>
  <c r="K120" i="169"/>
  <c r="K126" i="169"/>
  <c r="K132" i="169"/>
  <c r="K138" i="169"/>
  <c r="K144" i="169"/>
  <c r="K91" i="169"/>
  <c r="K103" i="169"/>
  <c r="K115" i="169"/>
  <c r="K130" i="169"/>
  <c r="K139" i="169"/>
  <c r="K153" i="169"/>
  <c r="K8" i="169"/>
  <c r="K14" i="169"/>
  <c r="K20" i="169"/>
  <c r="K26" i="169"/>
  <c r="K69" i="169"/>
  <c r="K110" i="169"/>
  <c r="K128" i="169"/>
  <c r="K137" i="169"/>
  <c r="K146" i="169"/>
  <c r="K148" i="169"/>
  <c r="K154" i="169"/>
  <c r="K9" i="169"/>
  <c r="K15" i="169"/>
  <c r="K21" i="169"/>
  <c r="K49" i="169"/>
  <c r="K75" i="169"/>
  <c r="K98" i="169"/>
  <c r="K100" i="169"/>
  <c r="K112" i="169"/>
  <c r="K73" i="169"/>
  <c r="K109" i="169"/>
  <c r="K121" i="169"/>
  <c r="K122" i="169"/>
  <c r="K131" i="169"/>
  <c r="K140" i="169"/>
  <c r="K150" i="169"/>
  <c r="K5" i="169"/>
  <c r="K11" i="169"/>
  <c r="K17" i="169"/>
  <c r="K23" i="169"/>
  <c r="K136" i="169"/>
  <c r="K151" i="169"/>
  <c r="K12" i="169"/>
  <c r="K24" i="169"/>
  <c r="K31" i="169"/>
  <c r="K3" i="169"/>
  <c r="K10" i="169"/>
  <c r="K106" i="169"/>
  <c r="K125" i="169"/>
  <c r="K143" i="169"/>
  <c r="K7" i="169"/>
  <c r="K19" i="169"/>
  <c r="K32" i="169"/>
  <c r="K30" i="169"/>
  <c r="K104" i="169"/>
  <c r="K124" i="169"/>
  <c r="K142" i="169"/>
  <c r="K4" i="169"/>
  <c r="K16" i="169"/>
  <c r="K27" i="169"/>
  <c r="K134" i="169"/>
  <c r="K152" i="169"/>
  <c r="K25" i="169"/>
  <c r="K133" i="169"/>
  <c r="K22" i="169"/>
  <c r="K118" i="169"/>
  <c r="K127" i="169"/>
  <c r="K145" i="169"/>
  <c r="K6" i="169"/>
  <c r="K18" i="169"/>
  <c r="K28" i="169"/>
  <c r="K87" i="169"/>
  <c r="K116" i="169"/>
  <c r="K13" i="169"/>
  <c r="K29" i="169"/>
  <c r="K149" i="169"/>
  <c r="K211" i="169"/>
  <c r="K199" i="169"/>
  <c r="K216" i="169"/>
  <c r="K209" i="169"/>
  <c r="K214" i="169"/>
  <c r="K207" i="169"/>
  <c r="K212" i="169"/>
  <c r="K217" i="169"/>
  <c r="K205" i="169"/>
  <c r="K210" i="169"/>
  <c r="K198" i="169"/>
  <c r="K215" i="169"/>
  <c r="K213" i="169"/>
  <c r="K218" i="169"/>
  <c r="K206" i="169"/>
  <c r="K194" i="169"/>
  <c r="K196" i="169"/>
  <c r="K195" i="169"/>
  <c r="K187" i="169"/>
  <c r="K178" i="169"/>
  <c r="K197" i="169"/>
  <c r="K193" i="169"/>
  <c r="K183" i="169"/>
  <c r="K208" i="169"/>
  <c r="K201" i="169"/>
  <c r="K192" i="169"/>
  <c r="K191" i="169"/>
  <c r="K202" i="169"/>
  <c r="K186" i="169"/>
  <c r="K190" i="169"/>
  <c r="K184" i="169"/>
  <c r="K172" i="169"/>
  <c r="K203" i="169"/>
  <c r="K189" i="169"/>
  <c r="K182" i="169"/>
  <c r="K175" i="169"/>
  <c r="K188" i="169"/>
  <c r="K180" i="169"/>
  <c r="K200" i="169"/>
  <c r="K170" i="169"/>
  <c r="K166" i="169"/>
  <c r="K181" i="169"/>
  <c r="K179" i="169"/>
  <c r="K177" i="169"/>
  <c r="K169" i="169"/>
  <c r="K204" i="169"/>
  <c r="K160" i="169"/>
  <c r="K173" i="169"/>
  <c r="K165" i="169"/>
  <c r="K185" i="169"/>
  <c r="K176" i="169"/>
  <c r="K171" i="169"/>
  <c r="K174" i="169"/>
  <c r="K161" i="169"/>
  <c r="K156" i="169"/>
  <c r="K164" i="169"/>
  <c r="K157" i="169"/>
  <c r="K168" i="169"/>
  <c r="K167" i="169"/>
  <c r="K158" i="169"/>
  <c r="K162" i="169"/>
  <c r="K159" i="169"/>
  <c r="K155" i="169"/>
  <c r="K163" i="169"/>
  <c r="L1" i="169"/>
  <c r="T70" i="166"/>
  <c r="L37" i="169" l="1"/>
  <c r="L43" i="169"/>
  <c r="L49" i="169"/>
  <c r="L55" i="169"/>
  <c r="L61" i="169"/>
  <c r="L67" i="169"/>
  <c r="L73" i="169"/>
  <c r="L79" i="169"/>
  <c r="L85" i="169"/>
  <c r="L91" i="169"/>
  <c r="L38" i="169"/>
  <c r="L44" i="169"/>
  <c r="L50" i="169"/>
  <c r="L56" i="169"/>
  <c r="L62" i="169"/>
  <c r="L33" i="169"/>
  <c r="L39" i="169"/>
  <c r="L45" i="169"/>
  <c r="L51" i="169"/>
  <c r="L57" i="169"/>
  <c r="L63" i="169"/>
  <c r="L69" i="169"/>
  <c r="L75" i="169"/>
  <c r="L81" i="169"/>
  <c r="L87" i="169"/>
  <c r="L93" i="169"/>
  <c r="L34" i="169"/>
  <c r="L40" i="169"/>
  <c r="L46" i="169"/>
  <c r="L52" i="169"/>
  <c r="L58" i="169"/>
  <c r="L64" i="169"/>
  <c r="L70" i="169"/>
  <c r="L76" i="169"/>
  <c r="L82" i="169"/>
  <c r="L88" i="169"/>
  <c r="L94" i="169"/>
  <c r="L35" i="169"/>
  <c r="L41" i="169"/>
  <c r="L47" i="169"/>
  <c r="L53" i="169"/>
  <c r="L59" i="169"/>
  <c r="L65" i="169"/>
  <c r="L71" i="169"/>
  <c r="L77" i="169"/>
  <c r="L83" i="169"/>
  <c r="L89" i="169"/>
  <c r="L95" i="169"/>
  <c r="L48" i="169"/>
  <c r="L54" i="169"/>
  <c r="L72" i="169"/>
  <c r="L90" i="169"/>
  <c r="L96" i="169"/>
  <c r="L104" i="169"/>
  <c r="L110" i="169"/>
  <c r="L116" i="169"/>
  <c r="L122" i="169"/>
  <c r="L128" i="169"/>
  <c r="L134" i="169"/>
  <c r="L140" i="169"/>
  <c r="L146" i="169"/>
  <c r="L78" i="169"/>
  <c r="L98" i="169"/>
  <c r="L100" i="169"/>
  <c r="L106" i="169"/>
  <c r="L112" i="169"/>
  <c r="L118" i="169"/>
  <c r="L36" i="169"/>
  <c r="L74" i="169"/>
  <c r="L92" i="169"/>
  <c r="L101" i="169"/>
  <c r="L107" i="169"/>
  <c r="L113" i="169"/>
  <c r="L119" i="169"/>
  <c r="L125" i="169"/>
  <c r="L131" i="169"/>
  <c r="L137" i="169"/>
  <c r="L143" i="169"/>
  <c r="L84" i="169"/>
  <c r="L97" i="169"/>
  <c r="L108" i="169"/>
  <c r="L120" i="169"/>
  <c r="L123" i="169"/>
  <c r="L132" i="169"/>
  <c r="L141" i="169"/>
  <c r="L152" i="169"/>
  <c r="L7" i="169"/>
  <c r="L13" i="169"/>
  <c r="L19" i="169"/>
  <c r="L25" i="169"/>
  <c r="L103" i="169"/>
  <c r="L115" i="169"/>
  <c r="L130" i="169"/>
  <c r="L139" i="169"/>
  <c r="L153" i="169"/>
  <c r="L8" i="169"/>
  <c r="L14" i="169"/>
  <c r="L20" i="169"/>
  <c r="L42" i="169"/>
  <c r="L68" i="169"/>
  <c r="L105" i="169"/>
  <c r="L117" i="169"/>
  <c r="L60" i="169"/>
  <c r="L66" i="169"/>
  <c r="L102" i="169"/>
  <c r="L114" i="169"/>
  <c r="L124" i="169"/>
  <c r="L133" i="169"/>
  <c r="L142" i="169"/>
  <c r="L149" i="169"/>
  <c r="L4" i="169"/>
  <c r="L10" i="169"/>
  <c r="L16" i="169"/>
  <c r="L22" i="169"/>
  <c r="L121" i="169"/>
  <c r="L129" i="169"/>
  <c r="L147" i="169"/>
  <c r="L5" i="169"/>
  <c r="L17" i="169"/>
  <c r="L30" i="169"/>
  <c r="L31" i="169"/>
  <c r="L29" i="169"/>
  <c r="L99" i="169"/>
  <c r="L136" i="169"/>
  <c r="L151" i="169"/>
  <c r="L12" i="169"/>
  <c r="L24" i="169"/>
  <c r="L135" i="169"/>
  <c r="L148" i="169"/>
  <c r="L9" i="169"/>
  <c r="L21" i="169"/>
  <c r="L26" i="169"/>
  <c r="L32" i="169"/>
  <c r="L3" i="169"/>
  <c r="L145" i="169"/>
  <c r="L6" i="169"/>
  <c r="L154" i="169"/>
  <c r="L15" i="169"/>
  <c r="L86" i="169"/>
  <c r="L111" i="169"/>
  <c r="L138" i="169"/>
  <c r="L150" i="169"/>
  <c r="L11" i="169"/>
  <c r="L23" i="169"/>
  <c r="L27" i="169"/>
  <c r="L80" i="169"/>
  <c r="L109" i="169"/>
  <c r="L127" i="169"/>
  <c r="L18" i="169"/>
  <c r="L28" i="169"/>
  <c r="L126" i="169"/>
  <c r="L144" i="169"/>
  <c r="L216" i="169"/>
  <c r="L204" i="169"/>
  <c r="L209" i="169"/>
  <c r="L214" i="169"/>
  <c r="L207" i="169"/>
  <c r="L212" i="169"/>
  <c r="L217" i="169"/>
  <c r="L210" i="169"/>
  <c r="L198" i="169"/>
  <c r="L215" i="169"/>
  <c r="L203" i="169"/>
  <c r="L191" i="169"/>
  <c r="L208" i="169"/>
  <c r="L213" i="169"/>
  <c r="L218" i="169"/>
  <c r="L211" i="169"/>
  <c r="L199" i="169"/>
  <c r="L187" i="169"/>
  <c r="L197" i="169"/>
  <c r="L193" i="169"/>
  <c r="L183" i="169"/>
  <c r="L171" i="169"/>
  <c r="L201" i="169"/>
  <c r="L192" i="169"/>
  <c r="L205" i="169"/>
  <c r="L202" i="169"/>
  <c r="L186" i="169"/>
  <c r="L190" i="169"/>
  <c r="L206" i="169"/>
  <c r="L177" i="169"/>
  <c r="L189" i="169"/>
  <c r="L182" i="169"/>
  <c r="L175" i="169"/>
  <c r="L188" i="169"/>
  <c r="L180" i="169"/>
  <c r="L200" i="169"/>
  <c r="L194" i="169"/>
  <c r="L185" i="169"/>
  <c r="L173" i="169"/>
  <c r="L159" i="169"/>
  <c r="L181" i="169"/>
  <c r="L179" i="169"/>
  <c r="L169" i="169"/>
  <c r="L184" i="169"/>
  <c r="L165" i="169"/>
  <c r="L196" i="169"/>
  <c r="L178" i="169"/>
  <c r="L176" i="169"/>
  <c r="L158" i="169"/>
  <c r="L172" i="169"/>
  <c r="L195" i="169"/>
  <c r="L168" i="169"/>
  <c r="L174" i="169"/>
  <c r="L170" i="169"/>
  <c r="L166" i="169"/>
  <c r="L164" i="169"/>
  <c r="L160" i="169"/>
  <c r="L157" i="169"/>
  <c r="L167" i="169"/>
  <c r="L161" i="169"/>
  <c r="L162" i="169"/>
  <c r="L155" i="169"/>
  <c r="L163" i="169"/>
  <c r="L156" i="169"/>
  <c r="M1" i="169"/>
  <c r="T56" i="166"/>
  <c r="T57" i="166"/>
  <c r="T58" i="166"/>
  <c r="T59" i="166"/>
  <c r="T60" i="166"/>
  <c r="T71" i="166"/>
  <c r="M36" i="169" l="1"/>
  <c r="M42" i="169"/>
  <c r="M48" i="169"/>
  <c r="M54" i="169"/>
  <c r="M60" i="169"/>
  <c r="M66" i="169"/>
  <c r="M72" i="169"/>
  <c r="M78" i="169"/>
  <c r="M84" i="169"/>
  <c r="M90" i="169"/>
  <c r="M37" i="169"/>
  <c r="M43" i="169"/>
  <c r="M49" i="169"/>
  <c r="M55" i="169"/>
  <c r="M61" i="169"/>
  <c r="M38" i="169"/>
  <c r="M44" i="169"/>
  <c r="M50" i="169"/>
  <c r="M56" i="169"/>
  <c r="M62" i="169"/>
  <c r="M68" i="169"/>
  <c r="M74" i="169"/>
  <c r="M80" i="169"/>
  <c r="M86" i="169"/>
  <c r="M92" i="169"/>
  <c r="M98" i="169"/>
  <c r="M33" i="169"/>
  <c r="M39" i="169"/>
  <c r="M45" i="169"/>
  <c r="M51" i="169"/>
  <c r="M57" i="169"/>
  <c r="M63" i="169"/>
  <c r="M69" i="169"/>
  <c r="M75" i="169"/>
  <c r="M81" i="169"/>
  <c r="M87" i="169"/>
  <c r="M93" i="169"/>
  <c r="M34" i="169"/>
  <c r="M40" i="169"/>
  <c r="M46" i="169"/>
  <c r="M52" i="169"/>
  <c r="M58" i="169"/>
  <c r="M64" i="169"/>
  <c r="M70" i="169"/>
  <c r="M76" i="169"/>
  <c r="M82" i="169"/>
  <c r="M88" i="169"/>
  <c r="M94" i="169"/>
  <c r="M41" i="169"/>
  <c r="M47" i="169"/>
  <c r="M83" i="169"/>
  <c r="M103" i="169"/>
  <c r="M109" i="169"/>
  <c r="M115" i="169"/>
  <c r="M121" i="169"/>
  <c r="M127" i="169"/>
  <c r="M133" i="169"/>
  <c r="M139" i="169"/>
  <c r="M145" i="169"/>
  <c r="M59" i="169"/>
  <c r="M71" i="169"/>
  <c r="M89" i="169"/>
  <c r="M99" i="169"/>
  <c r="M105" i="169"/>
  <c r="M111" i="169"/>
  <c r="M117" i="169"/>
  <c r="M65" i="169"/>
  <c r="M67" i="169"/>
  <c r="M85" i="169"/>
  <c r="M95" i="169"/>
  <c r="M100" i="169"/>
  <c r="M106" i="169"/>
  <c r="M112" i="169"/>
  <c r="M118" i="169"/>
  <c r="M124" i="169"/>
  <c r="M130" i="169"/>
  <c r="M136" i="169"/>
  <c r="M142" i="169"/>
  <c r="M77" i="169"/>
  <c r="M101" i="169"/>
  <c r="M113" i="169"/>
  <c r="M125" i="169"/>
  <c r="M134" i="169"/>
  <c r="M143" i="169"/>
  <c r="M151" i="169"/>
  <c r="M6" i="169"/>
  <c r="M12" i="169"/>
  <c r="M18" i="169"/>
  <c r="M24" i="169"/>
  <c r="M35" i="169"/>
  <c r="M91" i="169"/>
  <c r="M97" i="169"/>
  <c r="M108" i="169"/>
  <c r="M120" i="169"/>
  <c r="M123" i="169"/>
  <c r="M132" i="169"/>
  <c r="M141" i="169"/>
  <c r="M152" i="169"/>
  <c r="M7" i="169"/>
  <c r="M13" i="169"/>
  <c r="M19" i="169"/>
  <c r="M25" i="169"/>
  <c r="M110" i="169"/>
  <c r="M53" i="169"/>
  <c r="M107" i="169"/>
  <c r="M119" i="169"/>
  <c r="M126" i="169"/>
  <c r="M135" i="169"/>
  <c r="M144" i="169"/>
  <c r="M148" i="169"/>
  <c r="M154" i="169"/>
  <c r="M9" i="169"/>
  <c r="M15" i="169"/>
  <c r="M21" i="169"/>
  <c r="M114" i="169"/>
  <c r="M122" i="169"/>
  <c r="M140" i="169"/>
  <c r="M149" i="169"/>
  <c r="M10" i="169"/>
  <c r="M22" i="169"/>
  <c r="M29" i="169"/>
  <c r="M30" i="169"/>
  <c r="M116" i="169"/>
  <c r="M20" i="169"/>
  <c r="M129" i="169"/>
  <c r="M147" i="169"/>
  <c r="M5" i="169"/>
  <c r="M17" i="169"/>
  <c r="M128" i="169"/>
  <c r="M146" i="169"/>
  <c r="M153" i="169"/>
  <c r="M14" i="169"/>
  <c r="M31" i="169"/>
  <c r="M3" i="169"/>
  <c r="M138" i="169"/>
  <c r="M11" i="169"/>
  <c r="M23" i="169"/>
  <c r="M27" i="169"/>
  <c r="M79" i="169"/>
  <c r="M104" i="169"/>
  <c r="M131" i="169"/>
  <c r="M4" i="169"/>
  <c r="M16" i="169"/>
  <c r="M26" i="169"/>
  <c r="M32" i="169"/>
  <c r="M73" i="169"/>
  <c r="M102" i="169"/>
  <c r="M150" i="169"/>
  <c r="M96" i="169"/>
  <c r="M137" i="169"/>
  <c r="M8" i="169"/>
  <c r="M28" i="169"/>
  <c r="M209" i="169"/>
  <c r="M214" i="169"/>
  <c r="M207" i="169"/>
  <c r="M212" i="169"/>
  <c r="M217" i="169"/>
  <c r="M210" i="169"/>
  <c r="M215" i="169"/>
  <c r="M203" i="169"/>
  <c r="M208" i="169"/>
  <c r="M196" i="169"/>
  <c r="M213" i="169"/>
  <c r="M218" i="169"/>
  <c r="M216" i="169"/>
  <c r="M204" i="169"/>
  <c r="M192" i="169"/>
  <c r="M201" i="169"/>
  <c r="M176" i="169"/>
  <c r="M205" i="169"/>
  <c r="M211" i="169"/>
  <c r="M202" i="169"/>
  <c r="M198" i="169"/>
  <c r="M191" i="169"/>
  <c r="M186" i="169"/>
  <c r="M190" i="169"/>
  <c r="M184" i="169"/>
  <c r="M206" i="169"/>
  <c r="M199" i="169"/>
  <c r="M189" i="169"/>
  <c r="M182" i="169"/>
  <c r="M170" i="169"/>
  <c r="M188" i="169"/>
  <c r="M180" i="169"/>
  <c r="M200" i="169"/>
  <c r="M194" i="169"/>
  <c r="M185" i="169"/>
  <c r="M173" i="169"/>
  <c r="M195" i="169"/>
  <c r="M178" i="169"/>
  <c r="M181" i="169"/>
  <c r="M164" i="169"/>
  <c r="M193" i="169"/>
  <c r="M179" i="169"/>
  <c r="M169" i="169"/>
  <c r="M187" i="169"/>
  <c r="M177" i="169"/>
  <c r="M175" i="169"/>
  <c r="M197" i="169"/>
  <c r="M158" i="169"/>
  <c r="M172" i="169"/>
  <c r="M163" i="169"/>
  <c r="M168" i="169"/>
  <c r="M174" i="169"/>
  <c r="M171" i="169"/>
  <c r="M183" i="169"/>
  <c r="M159" i="169"/>
  <c r="M160" i="169"/>
  <c r="M157" i="169"/>
  <c r="M167" i="169"/>
  <c r="M161" i="169"/>
  <c r="M165" i="169"/>
  <c r="M162" i="169"/>
  <c r="M155" i="169"/>
  <c r="M166" i="169"/>
  <c r="M156" i="169"/>
  <c r="N1" i="169"/>
  <c r="T51" i="166"/>
  <c r="N35" i="169" l="1"/>
  <c r="N41" i="169"/>
  <c r="N47" i="169"/>
  <c r="N53" i="169"/>
  <c r="N59" i="169"/>
  <c r="N65" i="169"/>
  <c r="N71" i="169"/>
  <c r="N77" i="169"/>
  <c r="N83" i="169"/>
  <c r="N89" i="169"/>
  <c r="N36" i="169"/>
  <c r="N42" i="169"/>
  <c r="N48" i="169"/>
  <c r="N54" i="169"/>
  <c r="N60" i="169"/>
  <c r="N37" i="169"/>
  <c r="N43" i="169"/>
  <c r="N49" i="169"/>
  <c r="N55" i="169"/>
  <c r="N61" i="169"/>
  <c r="N67" i="169"/>
  <c r="N73" i="169"/>
  <c r="N79" i="169"/>
  <c r="N85" i="169"/>
  <c r="N91" i="169"/>
  <c r="N97" i="169"/>
  <c r="N38" i="169"/>
  <c r="N44" i="169"/>
  <c r="N50" i="169"/>
  <c r="N56" i="169"/>
  <c r="N62" i="169"/>
  <c r="N68" i="169"/>
  <c r="N74" i="169"/>
  <c r="N80" i="169"/>
  <c r="N86" i="169"/>
  <c r="N92" i="169"/>
  <c r="N98" i="169"/>
  <c r="N33" i="169"/>
  <c r="N39" i="169"/>
  <c r="N45" i="169"/>
  <c r="N51" i="169"/>
  <c r="N57" i="169"/>
  <c r="N63" i="169"/>
  <c r="N69" i="169"/>
  <c r="N75" i="169"/>
  <c r="N81" i="169"/>
  <c r="N87" i="169"/>
  <c r="N93" i="169"/>
  <c r="N34" i="169"/>
  <c r="N40" i="169"/>
  <c r="N76" i="169"/>
  <c r="N94" i="169"/>
  <c r="N102" i="169"/>
  <c r="N108" i="169"/>
  <c r="N114" i="169"/>
  <c r="N120" i="169"/>
  <c r="N126" i="169"/>
  <c r="N132" i="169"/>
  <c r="N138" i="169"/>
  <c r="N144" i="169"/>
  <c r="N52" i="169"/>
  <c r="N82" i="169"/>
  <c r="N96" i="169"/>
  <c r="N104" i="169"/>
  <c r="N110" i="169"/>
  <c r="N116" i="169"/>
  <c r="N58" i="169"/>
  <c r="N78" i="169"/>
  <c r="N99" i="169"/>
  <c r="N105" i="169"/>
  <c r="N111" i="169"/>
  <c r="N117" i="169"/>
  <c r="N123" i="169"/>
  <c r="N129" i="169"/>
  <c r="N135" i="169"/>
  <c r="N141" i="169"/>
  <c r="N147" i="169"/>
  <c r="N70" i="169"/>
  <c r="N106" i="169"/>
  <c r="N118" i="169"/>
  <c r="N127" i="169"/>
  <c r="N136" i="169"/>
  <c r="N145" i="169"/>
  <c r="N150" i="169"/>
  <c r="N5" i="169"/>
  <c r="N11" i="169"/>
  <c r="N17" i="169"/>
  <c r="N23" i="169"/>
  <c r="N84" i="169"/>
  <c r="N101" i="169"/>
  <c r="N113" i="169"/>
  <c r="N125" i="169"/>
  <c r="N134" i="169"/>
  <c r="N143" i="169"/>
  <c r="N151" i="169"/>
  <c r="N6" i="169"/>
  <c r="N12" i="169"/>
  <c r="N18" i="169"/>
  <c r="N24" i="169"/>
  <c r="N90" i="169"/>
  <c r="N103" i="169"/>
  <c r="N115" i="169"/>
  <c r="N46" i="169"/>
  <c r="N88" i="169"/>
  <c r="N95" i="169"/>
  <c r="N100" i="169"/>
  <c r="N112" i="169"/>
  <c r="N128" i="169"/>
  <c r="N137" i="169"/>
  <c r="N146" i="169"/>
  <c r="N153" i="169"/>
  <c r="N8" i="169"/>
  <c r="N14" i="169"/>
  <c r="N20" i="169"/>
  <c r="N107" i="169"/>
  <c r="N133" i="169"/>
  <c r="N154" i="169"/>
  <c r="N15" i="169"/>
  <c r="N28" i="169"/>
  <c r="N10" i="169"/>
  <c r="N29" i="169"/>
  <c r="N121" i="169"/>
  <c r="N122" i="169"/>
  <c r="N140" i="169"/>
  <c r="N149" i="169"/>
  <c r="N22" i="169"/>
  <c r="N13" i="169"/>
  <c r="N25" i="169"/>
  <c r="N64" i="169"/>
  <c r="N119" i="169"/>
  <c r="N139" i="169"/>
  <c r="N7" i="169"/>
  <c r="N19" i="169"/>
  <c r="N30" i="169"/>
  <c r="N31" i="169"/>
  <c r="N131" i="169"/>
  <c r="N4" i="169"/>
  <c r="N130" i="169"/>
  <c r="N72" i="169"/>
  <c r="N124" i="169"/>
  <c r="N142" i="169"/>
  <c r="N148" i="169"/>
  <c r="N9" i="169"/>
  <c r="N21" i="169"/>
  <c r="N66" i="169"/>
  <c r="N16" i="169"/>
  <c r="N26" i="169"/>
  <c r="N32" i="169"/>
  <c r="N3" i="169"/>
  <c r="N109" i="169"/>
  <c r="N152" i="169"/>
  <c r="N27" i="169"/>
  <c r="N214" i="169"/>
  <c r="N202" i="169"/>
  <c r="N207" i="169"/>
  <c r="N212" i="169"/>
  <c r="N217" i="169"/>
  <c r="N210" i="169"/>
  <c r="N215" i="169"/>
  <c r="N208" i="169"/>
  <c r="N196" i="169"/>
  <c r="N213" i="169"/>
  <c r="N201" i="169"/>
  <c r="N189" i="169"/>
  <c r="N218" i="169"/>
  <c r="N211" i="169"/>
  <c r="N216" i="169"/>
  <c r="N209" i="169"/>
  <c r="N197" i="169"/>
  <c r="N192" i="169"/>
  <c r="N181" i="169"/>
  <c r="N205" i="169"/>
  <c r="N198" i="169"/>
  <c r="N191" i="169"/>
  <c r="N186" i="169"/>
  <c r="N190" i="169"/>
  <c r="N206" i="169"/>
  <c r="N199" i="169"/>
  <c r="N175" i="169"/>
  <c r="N203" i="169"/>
  <c r="N188" i="169"/>
  <c r="N200" i="169"/>
  <c r="N194" i="169"/>
  <c r="N185" i="169"/>
  <c r="N195" i="169"/>
  <c r="N178" i="169"/>
  <c r="N204" i="169"/>
  <c r="N193" i="169"/>
  <c r="N187" i="169"/>
  <c r="N183" i="169"/>
  <c r="N179" i="169"/>
  <c r="N169" i="169"/>
  <c r="N157" i="169"/>
  <c r="N177" i="169"/>
  <c r="N167" i="169"/>
  <c r="N184" i="169"/>
  <c r="N176" i="169"/>
  <c r="N173" i="169"/>
  <c r="N172" i="169"/>
  <c r="N163" i="169"/>
  <c r="N180" i="169"/>
  <c r="N168" i="169"/>
  <c r="N156" i="169"/>
  <c r="N174" i="169"/>
  <c r="N171" i="169"/>
  <c r="N182" i="169"/>
  <c r="N170" i="169"/>
  <c r="N164" i="169"/>
  <c r="N161" i="169"/>
  <c r="N165" i="169"/>
  <c r="N162" i="169"/>
  <c r="N158" i="169"/>
  <c r="N155" i="169"/>
  <c r="N166" i="169"/>
  <c r="N159" i="169"/>
  <c r="N160" i="169"/>
  <c r="O1" i="169"/>
  <c r="T63" i="166"/>
  <c r="T64" i="166"/>
  <c r="O34" i="169" l="1"/>
  <c r="O40" i="169"/>
  <c r="O46" i="169"/>
  <c r="O52" i="169"/>
  <c r="O58" i="169"/>
  <c r="O64" i="169"/>
  <c r="O70" i="169"/>
  <c r="O76" i="169"/>
  <c r="O82" i="169"/>
  <c r="O88" i="169"/>
  <c r="O35" i="169"/>
  <c r="O41" i="169"/>
  <c r="O47" i="169"/>
  <c r="O53" i="169"/>
  <c r="O59" i="169"/>
  <c r="O65" i="169"/>
  <c r="O36" i="169"/>
  <c r="O42" i="169"/>
  <c r="O48" i="169"/>
  <c r="O54" i="169"/>
  <c r="O60" i="169"/>
  <c r="O66" i="169"/>
  <c r="O72" i="169"/>
  <c r="O78" i="169"/>
  <c r="O84" i="169"/>
  <c r="O90" i="169"/>
  <c r="O96" i="169"/>
  <c r="O37" i="169"/>
  <c r="O43" i="169"/>
  <c r="O49" i="169"/>
  <c r="O55" i="169"/>
  <c r="O61" i="169"/>
  <c r="O67" i="169"/>
  <c r="O73" i="169"/>
  <c r="O79" i="169"/>
  <c r="O85" i="169"/>
  <c r="O91" i="169"/>
  <c r="O97" i="169"/>
  <c r="O38" i="169"/>
  <c r="O44" i="169"/>
  <c r="O50" i="169"/>
  <c r="O56" i="169"/>
  <c r="O62" i="169"/>
  <c r="O68" i="169"/>
  <c r="O74" i="169"/>
  <c r="O80" i="169"/>
  <c r="O86" i="169"/>
  <c r="O92" i="169"/>
  <c r="O98" i="169"/>
  <c r="O63" i="169"/>
  <c r="O33" i="169"/>
  <c r="O69" i="169"/>
  <c r="O87" i="169"/>
  <c r="O101" i="169"/>
  <c r="O107" i="169"/>
  <c r="O113" i="169"/>
  <c r="O119" i="169"/>
  <c r="O125" i="169"/>
  <c r="O131" i="169"/>
  <c r="O137" i="169"/>
  <c r="O143" i="169"/>
  <c r="O39" i="169"/>
  <c r="O45" i="169"/>
  <c r="O75" i="169"/>
  <c r="O103" i="169"/>
  <c r="O109" i="169"/>
  <c r="O115" i="169"/>
  <c r="O121" i="169"/>
  <c r="O51" i="169"/>
  <c r="O71" i="169"/>
  <c r="O89" i="169"/>
  <c r="O93" i="169"/>
  <c r="O104" i="169"/>
  <c r="O110" i="169"/>
  <c r="O116" i="169"/>
  <c r="O122" i="169"/>
  <c r="O128" i="169"/>
  <c r="O134" i="169"/>
  <c r="O140" i="169"/>
  <c r="O146" i="169"/>
  <c r="O99" i="169"/>
  <c r="O111" i="169"/>
  <c r="O129" i="169"/>
  <c r="O138" i="169"/>
  <c r="O147" i="169"/>
  <c r="O149" i="169"/>
  <c r="O4" i="169"/>
  <c r="O10" i="169"/>
  <c r="O16" i="169"/>
  <c r="O22" i="169"/>
  <c r="O77" i="169"/>
  <c r="O106" i="169"/>
  <c r="O118" i="169"/>
  <c r="O127" i="169"/>
  <c r="O136" i="169"/>
  <c r="O145" i="169"/>
  <c r="O150" i="169"/>
  <c r="O5" i="169"/>
  <c r="O11" i="169"/>
  <c r="O17" i="169"/>
  <c r="O23" i="169"/>
  <c r="O83" i="169"/>
  <c r="O94" i="169"/>
  <c r="O108" i="169"/>
  <c r="O120" i="169"/>
  <c r="O81" i="169"/>
  <c r="O105" i="169"/>
  <c r="O117" i="169"/>
  <c r="O130" i="169"/>
  <c r="O139" i="169"/>
  <c r="O152" i="169"/>
  <c r="O7" i="169"/>
  <c r="O13" i="169"/>
  <c r="O19" i="169"/>
  <c r="O25" i="169"/>
  <c r="O100" i="169"/>
  <c r="O126" i="169"/>
  <c r="O144" i="169"/>
  <c r="O8" i="169"/>
  <c r="O20" i="169"/>
  <c r="O27" i="169"/>
  <c r="O32" i="169"/>
  <c r="O3" i="169"/>
  <c r="O114" i="169"/>
  <c r="O133" i="169"/>
  <c r="O154" i="169"/>
  <c r="O15" i="169"/>
  <c r="O28" i="169"/>
  <c r="O95" i="169"/>
  <c r="O112" i="169"/>
  <c r="O132" i="169"/>
  <c r="O151" i="169"/>
  <c r="O12" i="169"/>
  <c r="O24" i="169"/>
  <c r="O29" i="169"/>
  <c r="O21" i="169"/>
  <c r="O31" i="169"/>
  <c r="O141" i="169"/>
  <c r="O6" i="169"/>
  <c r="O135" i="169"/>
  <c r="O153" i="169"/>
  <c r="O14" i="169"/>
  <c r="O30" i="169"/>
  <c r="O57" i="169"/>
  <c r="O124" i="169"/>
  <c r="O142" i="169"/>
  <c r="O148" i="169"/>
  <c r="O9" i="169"/>
  <c r="O102" i="169"/>
  <c r="O123" i="169"/>
  <c r="O18" i="169"/>
  <c r="O26" i="169"/>
  <c r="O207" i="169"/>
  <c r="O212" i="169"/>
  <c r="O217" i="169"/>
  <c r="O210" i="169"/>
  <c r="O215" i="169"/>
  <c r="O208" i="169"/>
  <c r="O213" i="169"/>
  <c r="O201" i="169"/>
  <c r="O218" i="169"/>
  <c r="O206" i="169"/>
  <c r="O194" i="169"/>
  <c r="O211" i="169"/>
  <c r="O216" i="169"/>
  <c r="O214" i="169"/>
  <c r="O202" i="169"/>
  <c r="O190" i="169"/>
  <c r="O205" i="169"/>
  <c r="O174" i="169"/>
  <c r="O198" i="169"/>
  <c r="O191" i="169"/>
  <c r="O186" i="169"/>
  <c r="O184" i="169"/>
  <c r="O199" i="169"/>
  <c r="O189" i="169"/>
  <c r="O203" i="169"/>
  <c r="O188" i="169"/>
  <c r="O180" i="169"/>
  <c r="O200" i="169"/>
  <c r="O185" i="169"/>
  <c r="O195" i="169"/>
  <c r="O178" i="169"/>
  <c r="O209" i="169"/>
  <c r="O204" i="169"/>
  <c r="O193" i="169"/>
  <c r="O187" i="169"/>
  <c r="O183" i="169"/>
  <c r="O197" i="169"/>
  <c r="O196" i="169"/>
  <c r="O176" i="169"/>
  <c r="O177" i="169"/>
  <c r="O162" i="169"/>
  <c r="O175" i="169"/>
  <c r="O192" i="169"/>
  <c r="O173" i="169"/>
  <c r="O172" i="169"/>
  <c r="O168" i="169"/>
  <c r="O156" i="169"/>
  <c r="O171" i="169"/>
  <c r="O161" i="169"/>
  <c r="O182" i="169"/>
  <c r="O170" i="169"/>
  <c r="O181" i="169"/>
  <c r="O179" i="169"/>
  <c r="O169" i="169"/>
  <c r="O157" i="169"/>
  <c r="O164" i="169"/>
  <c r="O167" i="169"/>
  <c r="O165" i="169"/>
  <c r="O158" i="169"/>
  <c r="O155" i="169"/>
  <c r="O166" i="169"/>
  <c r="O159" i="169"/>
  <c r="O163" i="169"/>
  <c r="O160" i="169"/>
  <c r="P1" i="169"/>
  <c r="T52" i="166"/>
  <c r="T53" i="166"/>
  <c r="T61" i="166"/>
  <c r="T62" i="166"/>
  <c r="T68" i="166"/>
  <c r="T69" i="166"/>
  <c r="T43" i="166"/>
  <c r="T44" i="166"/>
  <c r="T45" i="166"/>
  <c r="T46" i="166"/>
  <c r="T47" i="166"/>
  <c r="T48" i="166"/>
  <c r="T49" i="166"/>
  <c r="T50" i="166"/>
  <c r="P33" i="169" l="1"/>
  <c r="P39" i="169"/>
  <c r="P45" i="169"/>
  <c r="P51" i="169"/>
  <c r="P57" i="169"/>
  <c r="P63" i="169"/>
  <c r="P69" i="169"/>
  <c r="P75" i="169"/>
  <c r="P81" i="169"/>
  <c r="P87" i="169"/>
  <c r="P34" i="169"/>
  <c r="P40" i="169"/>
  <c r="P46" i="169"/>
  <c r="P52" i="169"/>
  <c r="P58" i="169"/>
  <c r="P64" i="169"/>
  <c r="P35" i="169"/>
  <c r="P41" i="169"/>
  <c r="P47" i="169"/>
  <c r="P53" i="169"/>
  <c r="P59" i="169"/>
  <c r="P65" i="169"/>
  <c r="P71" i="169"/>
  <c r="P77" i="169"/>
  <c r="P83" i="169"/>
  <c r="P89" i="169"/>
  <c r="P95" i="169"/>
  <c r="P36" i="169"/>
  <c r="P42" i="169"/>
  <c r="P48" i="169"/>
  <c r="P54" i="169"/>
  <c r="P60" i="169"/>
  <c r="P66" i="169"/>
  <c r="P72" i="169"/>
  <c r="P78" i="169"/>
  <c r="P84" i="169"/>
  <c r="P90" i="169"/>
  <c r="P96" i="169"/>
  <c r="P37" i="169"/>
  <c r="P43" i="169"/>
  <c r="P49" i="169"/>
  <c r="P55" i="169"/>
  <c r="P61" i="169"/>
  <c r="P67" i="169"/>
  <c r="P73" i="169"/>
  <c r="P79" i="169"/>
  <c r="P85" i="169"/>
  <c r="P91" i="169"/>
  <c r="P97" i="169"/>
  <c r="P56" i="169"/>
  <c r="P62" i="169"/>
  <c r="P80" i="169"/>
  <c r="P100" i="169"/>
  <c r="P106" i="169"/>
  <c r="P112" i="169"/>
  <c r="P118" i="169"/>
  <c r="P124" i="169"/>
  <c r="P130" i="169"/>
  <c r="P136" i="169"/>
  <c r="P142" i="169"/>
  <c r="P38" i="169"/>
  <c r="P68" i="169"/>
  <c r="P86" i="169"/>
  <c r="P94" i="169"/>
  <c r="P102" i="169"/>
  <c r="P108" i="169"/>
  <c r="P114" i="169"/>
  <c r="P120" i="169"/>
  <c r="P44" i="169"/>
  <c r="P82" i="169"/>
  <c r="P98" i="169"/>
  <c r="P103" i="169"/>
  <c r="P109" i="169"/>
  <c r="P115" i="169"/>
  <c r="P121" i="169"/>
  <c r="P127" i="169"/>
  <c r="P133" i="169"/>
  <c r="P139" i="169"/>
  <c r="P145" i="169"/>
  <c r="P92" i="169"/>
  <c r="P93" i="169"/>
  <c r="P104" i="169"/>
  <c r="P116" i="169"/>
  <c r="P122" i="169"/>
  <c r="P131" i="169"/>
  <c r="P140" i="169"/>
  <c r="P148" i="169"/>
  <c r="P154" i="169"/>
  <c r="P9" i="169"/>
  <c r="P15" i="169"/>
  <c r="P21" i="169"/>
  <c r="P70" i="169"/>
  <c r="P99" i="169"/>
  <c r="P111" i="169"/>
  <c r="P129" i="169"/>
  <c r="P138" i="169"/>
  <c r="P147" i="169"/>
  <c r="P149" i="169"/>
  <c r="P4" i="169"/>
  <c r="P10" i="169"/>
  <c r="P16" i="169"/>
  <c r="P22" i="169"/>
  <c r="P76" i="169"/>
  <c r="P101" i="169"/>
  <c r="P113" i="169"/>
  <c r="P74" i="169"/>
  <c r="P110" i="169"/>
  <c r="P123" i="169"/>
  <c r="P132" i="169"/>
  <c r="P141" i="169"/>
  <c r="P151" i="169"/>
  <c r="P6" i="169"/>
  <c r="P12" i="169"/>
  <c r="P18" i="169"/>
  <c r="P24" i="169"/>
  <c r="P50" i="169"/>
  <c r="P88" i="169"/>
  <c r="P137" i="169"/>
  <c r="P152" i="169"/>
  <c r="P13" i="169"/>
  <c r="P25" i="169"/>
  <c r="P26" i="169"/>
  <c r="P32" i="169"/>
  <c r="P3" i="169"/>
  <c r="P27" i="169"/>
  <c r="P107" i="169"/>
  <c r="P126" i="169"/>
  <c r="P144" i="169"/>
  <c r="P8" i="169"/>
  <c r="P20" i="169"/>
  <c r="P23" i="169"/>
  <c r="P105" i="169"/>
  <c r="P125" i="169"/>
  <c r="P143" i="169"/>
  <c r="P5" i="169"/>
  <c r="P17" i="169"/>
  <c r="P28" i="169"/>
  <c r="P117" i="169"/>
  <c r="P135" i="169"/>
  <c r="P14" i="169"/>
  <c r="P30" i="169"/>
  <c r="P11" i="169"/>
  <c r="P119" i="169"/>
  <c r="P128" i="169"/>
  <c r="P146" i="169"/>
  <c r="P7" i="169"/>
  <c r="P19" i="169"/>
  <c r="P29" i="169"/>
  <c r="P153" i="169"/>
  <c r="P134" i="169"/>
  <c r="P150" i="169"/>
  <c r="P31" i="169"/>
  <c r="P212" i="169"/>
  <c r="P200" i="169"/>
  <c r="P217" i="169"/>
  <c r="P210" i="169"/>
  <c r="P215" i="169"/>
  <c r="P208" i="169"/>
  <c r="P213" i="169"/>
  <c r="P218" i="169"/>
  <c r="P206" i="169"/>
  <c r="P194" i="169"/>
  <c r="P211" i="169"/>
  <c r="P199" i="169"/>
  <c r="P216" i="169"/>
  <c r="P214" i="169"/>
  <c r="P207" i="169"/>
  <c r="P195" i="169"/>
  <c r="P198" i="169"/>
  <c r="P191" i="169"/>
  <c r="P186" i="169"/>
  <c r="P179" i="169"/>
  <c r="P184" i="169"/>
  <c r="P202" i="169"/>
  <c r="P190" i="169"/>
  <c r="P189" i="169"/>
  <c r="P203" i="169"/>
  <c r="P188" i="169"/>
  <c r="P185" i="169"/>
  <c r="P173" i="169"/>
  <c r="P209" i="169"/>
  <c r="P204" i="169"/>
  <c r="P193" i="169"/>
  <c r="P187" i="169"/>
  <c r="P183" i="169"/>
  <c r="P197" i="169"/>
  <c r="P196" i="169"/>
  <c r="P176" i="169"/>
  <c r="P192" i="169"/>
  <c r="P181" i="169"/>
  <c r="P175" i="169"/>
  <c r="P167" i="169"/>
  <c r="P155" i="169"/>
  <c r="P205" i="169"/>
  <c r="P172" i="169"/>
  <c r="P168" i="169"/>
  <c r="P180" i="169"/>
  <c r="P178" i="169"/>
  <c r="P171" i="169"/>
  <c r="P161" i="169"/>
  <c r="P174" i="169"/>
  <c r="P166" i="169"/>
  <c r="P182" i="169"/>
  <c r="P170" i="169"/>
  <c r="P201" i="169"/>
  <c r="P177" i="169"/>
  <c r="P162" i="169"/>
  <c r="P169" i="169"/>
  <c r="P157" i="169"/>
  <c r="P165" i="169"/>
  <c r="P158" i="169"/>
  <c r="P159" i="169"/>
  <c r="P163" i="169"/>
  <c r="P160" i="169"/>
  <c r="P156" i="169"/>
  <c r="P164" i="169"/>
  <c r="Q1" i="169"/>
  <c r="T54" i="166"/>
  <c r="T55" i="166"/>
  <c r="T40" i="166"/>
  <c r="T41" i="166"/>
  <c r="T42" i="166"/>
  <c r="Q38" i="169" l="1"/>
  <c r="Q44" i="169"/>
  <c r="Q50" i="169"/>
  <c r="Q56" i="169"/>
  <c r="Q62" i="169"/>
  <c r="Q68" i="169"/>
  <c r="Q74" i="169"/>
  <c r="Q80" i="169"/>
  <c r="Q86" i="169"/>
  <c r="Q92" i="169"/>
  <c r="Q33" i="169"/>
  <c r="Q39" i="169"/>
  <c r="Q45" i="169"/>
  <c r="Q51" i="169"/>
  <c r="Q57" i="169"/>
  <c r="Q63" i="169"/>
  <c r="Q34" i="169"/>
  <c r="Q40" i="169"/>
  <c r="Q46" i="169"/>
  <c r="Q52" i="169"/>
  <c r="Q58" i="169"/>
  <c r="Q64" i="169"/>
  <c r="Q70" i="169"/>
  <c r="Q76" i="169"/>
  <c r="Q82" i="169"/>
  <c r="Q88" i="169"/>
  <c r="Q94" i="169"/>
  <c r="Q35" i="169"/>
  <c r="Q41" i="169"/>
  <c r="Q47" i="169"/>
  <c r="Q53" i="169"/>
  <c r="Q59" i="169"/>
  <c r="Q65" i="169"/>
  <c r="Q71" i="169"/>
  <c r="Q77" i="169"/>
  <c r="Q83" i="169"/>
  <c r="Q89" i="169"/>
  <c r="Q95" i="169"/>
  <c r="Q36" i="169"/>
  <c r="Q42" i="169"/>
  <c r="Q48" i="169"/>
  <c r="Q54" i="169"/>
  <c r="Q60" i="169"/>
  <c r="Q66" i="169"/>
  <c r="Q72" i="169"/>
  <c r="Q78" i="169"/>
  <c r="Q84" i="169"/>
  <c r="Q90" i="169"/>
  <c r="Q96" i="169"/>
  <c r="Q49" i="169"/>
  <c r="Q55" i="169"/>
  <c r="Q73" i="169"/>
  <c r="Q91" i="169"/>
  <c r="Q97" i="169"/>
  <c r="Q99" i="169"/>
  <c r="Q105" i="169"/>
  <c r="Q111" i="169"/>
  <c r="Q117" i="169"/>
  <c r="Q123" i="169"/>
  <c r="Q129" i="169"/>
  <c r="Q135" i="169"/>
  <c r="Q141" i="169"/>
  <c r="Q147" i="169"/>
  <c r="Q79" i="169"/>
  <c r="Q101" i="169"/>
  <c r="Q107" i="169"/>
  <c r="Q113" i="169"/>
  <c r="Q119" i="169"/>
  <c r="Q37" i="169"/>
  <c r="Q75" i="169"/>
  <c r="Q102" i="169"/>
  <c r="Q108" i="169"/>
  <c r="Q114" i="169"/>
  <c r="Q120" i="169"/>
  <c r="Q126" i="169"/>
  <c r="Q132" i="169"/>
  <c r="Q138" i="169"/>
  <c r="Q144" i="169"/>
  <c r="Q85" i="169"/>
  <c r="Q109" i="169"/>
  <c r="Q121" i="169"/>
  <c r="Q124" i="169"/>
  <c r="Q133" i="169"/>
  <c r="Q142" i="169"/>
  <c r="Q153" i="169"/>
  <c r="Q8" i="169"/>
  <c r="Q14" i="169"/>
  <c r="Q20" i="169"/>
  <c r="Q93" i="169"/>
  <c r="Q104" i="169"/>
  <c r="Q116" i="169"/>
  <c r="Q122" i="169"/>
  <c r="Q131" i="169"/>
  <c r="Q140" i="169"/>
  <c r="Q148" i="169"/>
  <c r="Q154" i="169"/>
  <c r="Q9" i="169"/>
  <c r="Q15" i="169"/>
  <c r="Q21" i="169"/>
  <c r="Q69" i="169"/>
  <c r="Q106" i="169"/>
  <c r="Q118" i="169"/>
  <c r="Q67" i="169"/>
  <c r="Q98" i="169"/>
  <c r="Q103" i="169"/>
  <c r="Q115" i="169"/>
  <c r="Q125" i="169"/>
  <c r="Q134" i="169"/>
  <c r="Q143" i="169"/>
  <c r="Q150" i="169"/>
  <c r="Q5" i="169"/>
  <c r="Q11" i="169"/>
  <c r="Q17" i="169"/>
  <c r="Q23" i="169"/>
  <c r="Q81" i="169"/>
  <c r="Q130" i="169"/>
  <c r="Q6" i="169"/>
  <c r="Q18" i="169"/>
  <c r="Q31" i="169"/>
  <c r="Q26" i="169"/>
  <c r="Q32" i="169"/>
  <c r="Q3" i="169"/>
  <c r="Q61" i="169"/>
  <c r="Q100" i="169"/>
  <c r="Q137" i="169"/>
  <c r="Q152" i="169"/>
  <c r="Q13" i="169"/>
  <c r="Q25" i="169"/>
  <c r="Q16" i="169"/>
  <c r="Q43" i="169"/>
  <c r="Q136" i="169"/>
  <c r="Q149" i="169"/>
  <c r="Q10" i="169"/>
  <c r="Q22" i="169"/>
  <c r="Q27" i="169"/>
  <c r="Q110" i="169"/>
  <c r="Q128" i="169"/>
  <c r="Q146" i="169"/>
  <c r="Q7" i="169"/>
  <c r="Q19" i="169"/>
  <c r="Q29" i="169"/>
  <c r="Q87" i="169"/>
  <c r="Q30" i="169"/>
  <c r="Q112" i="169"/>
  <c r="Q139" i="169"/>
  <c r="Q151" i="169"/>
  <c r="Q12" i="169"/>
  <c r="Q24" i="169"/>
  <c r="Q28" i="169"/>
  <c r="Q127" i="169"/>
  <c r="Q145" i="169"/>
  <c r="Q4" i="169"/>
  <c r="Q217" i="169"/>
  <c r="Q205" i="169"/>
  <c r="Q210" i="169"/>
  <c r="Q215" i="169"/>
  <c r="Q208" i="169"/>
  <c r="Q213" i="169"/>
  <c r="Q218" i="169"/>
  <c r="Q206" i="169"/>
  <c r="Q211" i="169"/>
  <c r="Q199" i="169"/>
  <c r="Q216" i="169"/>
  <c r="Q204" i="169"/>
  <c r="Q192" i="169"/>
  <c r="Q209" i="169"/>
  <c r="Q214" i="169"/>
  <c r="Q212" i="169"/>
  <c r="Q200" i="169"/>
  <c r="Q188" i="169"/>
  <c r="Q184" i="169"/>
  <c r="Q172" i="169"/>
  <c r="Q202" i="169"/>
  <c r="Q190" i="169"/>
  <c r="Q189" i="169"/>
  <c r="Q203" i="169"/>
  <c r="Q178" i="169"/>
  <c r="Q207" i="169"/>
  <c r="Q195" i="169"/>
  <c r="Q194" i="169"/>
  <c r="Q193" i="169"/>
  <c r="Q187" i="169"/>
  <c r="Q183" i="169"/>
  <c r="Q197" i="169"/>
  <c r="Q196" i="169"/>
  <c r="Q176" i="169"/>
  <c r="Q181" i="169"/>
  <c r="Q201" i="169"/>
  <c r="Q174" i="169"/>
  <c r="Q160" i="169"/>
  <c r="Q198" i="169"/>
  <c r="Q186" i="169"/>
  <c r="Q173" i="169"/>
  <c r="Q191" i="169"/>
  <c r="Q180" i="169"/>
  <c r="Q171" i="169"/>
  <c r="Q166" i="169"/>
  <c r="Q185" i="169"/>
  <c r="Q182" i="169"/>
  <c r="Q170" i="169"/>
  <c r="Q159" i="169"/>
  <c r="Q169" i="169"/>
  <c r="Q179" i="169"/>
  <c r="Q177" i="169"/>
  <c r="Q175" i="169"/>
  <c r="Q167" i="169"/>
  <c r="Q155" i="169"/>
  <c r="Q165" i="169"/>
  <c r="Q161" i="169"/>
  <c r="Q158" i="169"/>
  <c r="Q168" i="169"/>
  <c r="Q162" i="169"/>
  <c r="Q163" i="169"/>
  <c r="Q156" i="169"/>
  <c r="Q164" i="169"/>
  <c r="Q157" i="169"/>
  <c r="R1" i="169"/>
  <c r="T34" i="166"/>
  <c r="T35" i="166"/>
  <c r="T36" i="166"/>
  <c r="T37" i="166"/>
  <c r="T38" i="166"/>
  <c r="R37" i="169" l="1"/>
  <c r="R43" i="169"/>
  <c r="R49" i="169"/>
  <c r="R55" i="169"/>
  <c r="R61" i="169"/>
  <c r="R67" i="169"/>
  <c r="R73" i="169"/>
  <c r="R79" i="169"/>
  <c r="R85" i="169"/>
  <c r="R91" i="169"/>
  <c r="R38" i="169"/>
  <c r="R44" i="169"/>
  <c r="R50" i="169"/>
  <c r="R56" i="169"/>
  <c r="R62" i="169"/>
  <c r="R33" i="169"/>
  <c r="R39" i="169"/>
  <c r="R45" i="169"/>
  <c r="R51" i="169"/>
  <c r="R57" i="169"/>
  <c r="R63" i="169"/>
  <c r="R69" i="169"/>
  <c r="R75" i="169"/>
  <c r="R81" i="169"/>
  <c r="R87" i="169"/>
  <c r="R93" i="169"/>
  <c r="R34" i="169"/>
  <c r="R40" i="169"/>
  <c r="R46" i="169"/>
  <c r="R52" i="169"/>
  <c r="R58" i="169"/>
  <c r="R64" i="169"/>
  <c r="R70" i="169"/>
  <c r="R76" i="169"/>
  <c r="R82" i="169"/>
  <c r="R88" i="169"/>
  <c r="R94" i="169"/>
  <c r="R35" i="169"/>
  <c r="R41" i="169"/>
  <c r="R47" i="169"/>
  <c r="R53" i="169"/>
  <c r="R59" i="169"/>
  <c r="R65" i="169"/>
  <c r="R71" i="169"/>
  <c r="R77" i="169"/>
  <c r="R83" i="169"/>
  <c r="R89" i="169"/>
  <c r="R95" i="169"/>
  <c r="R42" i="169"/>
  <c r="R48" i="169"/>
  <c r="R66" i="169"/>
  <c r="R84" i="169"/>
  <c r="R104" i="169"/>
  <c r="R110" i="169"/>
  <c r="R116" i="169"/>
  <c r="R122" i="169"/>
  <c r="R128" i="169"/>
  <c r="R134" i="169"/>
  <c r="R140" i="169"/>
  <c r="R146" i="169"/>
  <c r="R60" i="169"/>
  <c r="R72" i="169"/>
  <c r="R90" i="169"/>
  <c r="R100" i="169"/>
  <c r="R106" i="169"/>
  <c r="R112" i="169"/>
  <c r="R118" i="169"/>
  <c r="R68" i="169"/>
  <c r="R86" i="169"/>
  <c r="R96" i="169"/>
  <c r="R101" i="169"/>
  <c r="R107" i="169"/>
  <c r="R113" i="169"/>
  <c r="R119" i="169"/>
  <c r="R125" i="169"/>
  <c r="R131" i="169"/>
  <c r="R137" i="169"/>
  <c r="R143" i="169"/>
  <c r="R78" i="169"/>
  <c r="R102" i="169"/>
  <c r="R114" i="169"/>
  <c r="R126" i="169"/>
  <c r="R135" i="169"/>
  <c r="R144" i="169"/>
  <c r="R152" i="169"/>
  <c r="R7" i="169"/>
  <c r="R13" i="169"/>
  <c r="R19" i="169"/>
  <c r="R25" i="169"/>
  <c r="R92" i="169"/>
  <c r="R109" i="169"/>
  <c r="R121" i="169"/>
  <c r="R124" i="169"/>
  <c r="R133" i="169"/>
  <c r="R142" i="169"/>
  <c r="R153" i="169"/>
  <c r="R8" i="169"/>
  <c r="R14" i="169"/>
  <c r="R20" i="169"/>
  <c r="R36" i="169"/>
  <c r="R97" i="169"/>
  <c r="R99" i="169"/>
  <c r="R111" i="169"/>
  <c r="R108" i="169"/>
  <c r="R120" i="169"/>
  <c r="R127" i="169"/>
  <c r="R136" i="169"/>
  <c r="R145" i="169"/>
  <c r="R149" i="169"/>
  <c r="R4" i="169"/>
  <c r="R10" i="169"/>
  <c r="R16" i="169"/>
  <c r="R22" i="169"/>
  <c r="R74" i="169"/>
  <c r="R115" i="169"/>
  <c r="R123" i="169"/>
  <c r="R141" i="169"/>
  <c r="R150" i="169"/>
  <c r="R11" i="169"/>
  <c r="R23" i="169"/>
  <c r="R30" i="169"/>
  <c r="R31" i="169"/>
  <c r="R130" i="169"/>
  <c r="R6" i="169"/>
  <c r="R18" i="169"/>
  <c r="R21" i="169"/>
  <c r="R29" i="169"/>
  <c r="R129" i="169"/>
  <c r="R147" i="169"/>
  <c r="R154" i="169"/>
  <c r="R15" i="169"/>
  <c r="R26" i="169"/>
  <c r="R32" i="169"/>
  <c r="R3" i="169"/>
  <c r="R139" i="169"/>
  <c r="R24" i="169"/>
  <c r="R28" i="169"/>
  <c r="R9" i="169"/>
  <c r="R54" i="169"/>
  <c r="R105" i="169"/>
  <c r="R132" i="169"/>
  <c r="R5" i="169"/>
  <c r="R17" i="169"/>
  <c r="R27" i="169"/>
  <c r="R98" i="169"/>
  <c r="R103" i="169"/>
  <c r="R151" i="169"/>
  <c r="R12" i="169"/>
  <c r="R80" i="169"/>
  <c r="R117" i="169"/>
  <c r="R138" i="169"/>
  <c r="R148" i="169"/>
  <c r="R210" i="169"/>
  <c r="R198" i="169"/>
  <c r="R215" i="169"/>
  <c r="R208" i="169"/>
  <c r="R213" i="169"/>
  <c r="R218" i="169"/>
  <c r="R206" i="169"/>
  <c r="R211" i="169"/>
  <c r="R216" i="169"/>
  <c r="R204" i="169"/>
  <c r="R209" i="169"/>
  <c r="R197" i="169"/>
  <c r="R214" i="169"/>
  <c r="R217" i="169"/>
  <c r="R205" i="169"/>
  <c r="R193" i="169"/>
  <c r="R212" i="169"/>
  <c r="R202" i="169"/>
  <c r="R190" i="169"/>
  <c r="R177" i="169"/>
  <c r="R182" i="169"/>
  <c r="R189" i="169"/>
  <c r="R203" i="169"/>
  <c r="R199" i="169"/>
  <c r="R188" i="169"/>
  <c r="R185" i="169"/>
  <c r="R207" i="169"/>
  <c r="R200" i="169"/>
  <c r="R195" i="169"/>
  <c r="R194" i="169"/>
  <c r="R187" i="169"/>
  <c r="R183" i="169"/>
  <c r="R171" i="169"/>
  <c r="R196" i="169"/>
  <c r="R181" i="169"/>
  <c r="R201" i="169"/>
  <c r="R192" i="169"/>
  <c r="R174" i="169"/>
  <c r="R191" i="169"/>
  <c r="R186" i="169"/>
  <c r="R179" i="169"/>
  <c r="R165" i="169"/>
  <c r="R184" i="169"/>
  <c r="R173" i="169"/>
  <c r="R172" i="169"/>
  <c r="R168" i="169"/>
  <c r="R180" i="169"/>
  <c r="R178" i="169"/>
  <c r="R176" i="169"/>
  <c r="R170" i="169"/>
  <c r="R159" i="169"/>
  <c r="R164" i="169"/>
  <c r="R169" i="169"/>
  <c r="R175" i="169"/>
  <c r="R160" i="169"/>
  <c r="R167" i="169"/>
  <c r="R161" i="169"/>
  <c r="R158" i="169"/>
  <c r="R162" i="169"/>
  <c r="R155" i="169"/>
  <c r="R166" i="169"/>
  <c r="R163" i="169"/>
  <c r="R156" i="169"/>
  <c r="R157" i="169"/>
  <c r="S1" i="169"/>
  <c r="T39" i="166"/>
  <c r="S36" i="169" l="1"/>
  <c r="S42" i="169"/>
  <c r="S48" i="169"/>
  <c r="S54" i="169"/>
  <c r="S60" i="169"/>
  <c r="S66" i="169"/>
  <c r="S72" i="169"/>
  <c r="S78" i="169"/>
  <c r="S84" i="169"/>
  <c r="S90" i="169"/>
  <c r="S37" i="169"/>
  <c r="S43" i="169"/>
  <c r="S49" i="169"/>
  <c r="S55" i="169"/>
  <c r="S61" i="169"/>
  <c r="S38" i="169"/>
  <c r="S44" i="169"/>
  <c r="S50" i="169"/>
  <c r="S56" i="169"/>
  <c r="S62" i="169"/>
  <c r="S68" i="169"/>
  <c r="S74" i="169"/>
  <c r="S80" i="169"/>
  <c r="S86" i="169"/>
  <c r="S92" i="169"/>
  <c r="S98" i="169"/>
  <c r="S33" i="169"/>
  <c r="S39" i="169"/>
  <c r="S45" i="169"/>
  <c r="S51" i="169"/>
  <c r="S57" i="169"/>
  <c r="S63" i="169"/>
  <c r="S69" i="169"/>
  <c r="S75" i="169"/>
  <c r="S81" i="169"/>
  <c r="S87" i="169"/>
  <c r="S93" i="169"/>
  <c r="S34" i="169"/>
  <c r="S40" i="169"/>
  <c r="S46" i="169"/>
  <c r="S52" i="169"/>
  <c r="S58" i="169"/>
  <c r="S64" i="169"/>
  <c r="S70" i="169"/>
  <c r="S76" i="169"/>
  <c r="S82" i="169"/>
  <c r="S88" i="169"/>
  <c r="S94" i="169"/>
  <c r="S35" i="169"/>
  <c r="S41" i="169"/>
  <c r="S77" i="169"/>
  <c r="S95" i="169"/>
  <c r="S103" i="169"/>
  <c r="S109" i="169"/>
  <c r="S115" i="169"/>
  <c r="S121" i="169"/>
  <c r="S127" i="169"/>
  <c r="S133" i="169"/>
  <c r="S139" i="169"/>
  <c r="S145" i="169"/>
  <c r="S53" i="169"/>
  <c r="S83" i="169"/>
  <c r="S97" i="169"/>
  <c r="S99" i="169"/>
  <c r="S105" i="169"/>
  <c r="S111" i="169"/>
  <c r="S117" i="169"/>
  <c r="S59" i="169"/>
  <c r="S79" i="169"/>
  <c r="S100" i="169"/>
  <c r="S106" i="169"/>
  <c r="S112" i="169"/>
  <c r="S118" i="169"/>
  <c r="S124" i="169"/>
  <c r="S130" i="169"/>
  <c r="S136" i="169"/>
  <c r="S142" i="169"/>
  <c r="S65" i="169"/>
  <c r="S71" i="169"/>
  <c r="S96" i="169"/>
  <c r="S107" i="169"/>
  <c r="S119" i="169"/>
  <c r="S128" i="169"/>
  <c r="S137" i="169"/>
  <c r="S146" i="169"/>
  <c r="S151" i="169"/>
  <c r="S6" i="169"/>
  <c r="S12" i="169"/>
  <c r="S18" i="169"/>
  <c r="S24" i="169"/>
  <c r="S85" i="169"/>
  <c r="S102" i="169"/>
  <c r="S114" i="169"/>
  <c r="S126" i="169"/>
  <c r="S135" i="169"/>
  <c r="S144" i="169"/>
  <c r="S152" i="169"/>
  <c r="S7" i="169"/>
  <c r="S13" i="169"/>
  <c r="S19" i="169"/>
  <c r="S25" i="169"/>
  <c r="S91" i="169"/>
  <c r="S104" i="169"/>
  <c r="S116" i="169"/>
  <c r="S89" i="169"/>
  <c r="S101" i="169"/>
  <c r="S113" i="169"/>
  <c r="S129" i="169"/>
  <c r="S138" i="169"/>
  <c r="S147" i="169"/>
  <c r="S148" i="169"/>
  <c r="S154" i="169"/>
  <c r="S9" i="169"/>
  <c r="S15" i="169"/>
  <c r="S21" i="169"/>
  <c r="S67" i="169"/>
  <c r="S108" i="169"/>
  <c r="S134" i="169"/>
  <c r="S4" i="169"/>
  <c r="S16" i="169"/>
  <c r="S29" i="169"/>
  <c r="S30" i="169"/>
  <c r="S28" i="169"/>
  <c r="S123" i="169"/>
  <c r="S141" i="169"/>
  <c r="S150" i="169"/>
  <c r="S11" i="169"/>
  <c r="S23" i="169"/>
  <c r="S14" i="169"/>
  <c r="S120" i="169"/>
  <c r="S122" i="169"/>
  <c r="S140" i="169"/>
  <c r="S8" i="169"/>
  <c r="S20" i="169"/>
  <c r="S31" i="169"/>
  <c r="S32" i="169"/>
  <c r="S3" i="169"/>
  <c r="S132" i="169"/>
  <c r="S47" i="169"/>
  <c r="S110" i="169"/>
  <c r="S131" i="169"/>
  <c r="S153" i="169"/>
  <c r="S125" i="169"/>
  <c r="S143" i="169"/>
  <c r="S149" i="169"/>
  <c r="S10" i="169"/>
  <c r="S22" i="169"/>
  <c r="S26" i="169"/>
  <c r="S5" i="169"/>
  <c r="S17" i="169"/>
  <c r="S27" i="169"/>
  <c r="S73" i="169"/>
  <c r="S215" i="169"/>
  <c r="S203" i="169"/>
  <c r="S208" i="169"/>
  <c r="S213" i="169"/>
  <c r="S218" i="169"/>
  <c r="S211" i="169"/>
  <c r="S216" i="169"/>
  <c r="S209" i="169"/>
  <c r="S197" i="169"/>
  <c r="S214" i="169"/>
  <c r="S202" i="169"/>
  <c r="S190" i="169"/>
  <c r="S207" i="169"/>
  <c r="S212" i="169"/>
  <c r="S217" i="169"/>
  <c r="S210" i="169"/>
  <c r="S198" i="169"/>
  <c r="S186" i="169"/>
  <c r="S182" i="169"/>
  <c r="S170" i="169"/>
  <c r="S189" i="169"/>
  <c r="S199" i="169"/>
  <c r="S206" i="169"/>
  <c r="S188" i="169"/>
  <c r="S185" i="169"/>
  <c r="S200" i="169"/>
  <c r="S195" i="169"/>
  <c r="S194" i="169"/>
  <c r="S187" i="169"/>
  <c r="S196" i="169"/>
  <c r="S193" i="169"/>
  <c r="S176" i="169"/>
  <c r="S204" i="169"/>
  <c r="S201" i="169"/>
  <c r="S192" i="169"/>
  <c r="S191" i="169"/>
  <c r="S179" i="169"/>
  <c r="S205" i="169"/>
  <c r="S184" i="169"/>
  <c r="S158" i="169"/>
  <c r="S173" i="169"/>
  <c r="S172" i="169"/>
  <c r="S168" i="169"/>
  <c r="S180" i="169"/>
  <c r="S178" i="169"/>
  <c r="S171" i="169"/>
  <c r="S174" i="169"/>
  <c r="S164" i="169"/>
  <c r="S169" i="169"/>
  <c r="S157" i="169"/>
  <c r="S177" i="169"/>
  <c r="S175" i="169"/>
  <c r="S167" i="169"/>
  <c r="S183" i="169"/>
  <c r="S181" i="169"/>
  <c r="S165" i="169"/>
  <c r="S162" i="169"/>
  <c r="S155" i="169"/>
  <c r="S166" i="169"/>
  <c r="S163" i="169"/>
  <c r="S159" i="169"/>
  <c r="S156" i="169"/>
  <c r="S160" i="169"/>
  <c r="S161" i="169"/>
  <c r="T1" i="169"/>
  <c r="T25" i="166"/>
  <c r="T26" i="166"/>
  <c r="T24" i="166"/>
  <c r="T35" i="169" l="1"/>
  <c r="T41" i="169"/>
  <c r="T47" i="169"/>
  <c r="T53" i="169"/>
  <c r="T59" i="169"/>
  <c r="T65" i="169"/>
  <c r="T71" i="169"/>
  <c r="T77" i="169"/>
  <c r="T83" i="169"/>
  <c r="T89" i="169"/>
  <c r="T36" i="169"/>
  <c r="T42" i="169"/>
  <c r="T48" i="169"/>
  <c r="T54" i="169"/>
  <c r="T60" i="169"/>
  <c r="T37" i="169"/>
  <c r="T43" i="169"/>
  <c r="T49" i="169"/>
  <c r="T55" i="169"/>
  <c r="T61" i="169"/>
  <c r="T67" i="169"/>
  <c r="T73" i="169"/>
  <c r="T79" i="169"/>
  <c r="T85" i="169"/>
  <c r="T91" i="169"/>
  <c r="T97" i="169"/>
  <c r="T38" i="169"/>
  <c r="T44" i="169"/>
  <c r="T50" i="169"/>
  <c r="T56" i="169"/>
  <c r="T62" i="169"/>
  <c r="T68" i="169"/>
  <c r="T74" i="169"/>
  <c r="T80" i="169"/>
  <c r="T86" i="169"/>
  <c r="T92" i="169"/>
  <c r="T98" i="169"/>
  <c r="T33" i="169"/>
  <c r="T39" i="169"/>
  <c r="T45" i="169"/>
  <c r="T51" i="169"/>
  <c r="T57" i="169"/>
  <c r="T63" i="169"/>
  <c r="T69" i="169"/>
  <c r="T75" i="169"/>
  <c r="T81" i="169"/>
  <c r="T87" i="169"/>
  <c r="T93" i="169"/>
  <c r="T64" i="169"/>
  <c r="T34" i="169"/>
  <c r="T70" i="169"/>
  <c r="T88" i="169"/>
  <c r="T102" i="169"/>
  <c r="T108" i="169"/>
  <c r="T114" i="169"/>
  <c r="T120" i="169"/>
  <c r="T126" i="169"/>
  <c r="T132" i="169"/>
  <c r="T138" i="169"/>
  <c r="T144" i="169"/>
  <c r="T40" i="169"/>
  <c r="T46" i="169"/>
  <c r="T76" i="169"/>
  <c r="T104" i="169"/>
  <c r="T110" i="169"/>
  <c r="T116" i="169"/>
  <c r="T52" i="169"/>
  <c r="T72" i="169"/>
  <c r="T90" i="169"/>
  <c r="T94" i="169"/>
  <c r="T99" i="169"/>
  <c r="T105" i="169"/>
  <c r="T111" i="169"/>
  <c r="T117" i="169"/>
  <c r="T123" i="169"/>
  <c r="T129" i="169"/>
  <c r="T135" i="169"/>
  <c r="T141" i="169"/>
  <c r="T147" i="169"/>
  <c r="T58" i="169"/>
  <c r="T100" i="169"/>
  <c r="T112" i="169"/>
  <c r="T130" i="169"/>
  <c r="T139" i="169"/>
  <c r="T150" i="169"/>
  <c r="T5" i="169"/>
  <c r="T11" i="169"/>
  <c r="T17" i="169"/>
  <c r="T23" i="169"/>
  <c r="T78" i="169"/>
  <c r="T96" i="169"/>
  <c r="T107" i="169"/>
  <c r="T119" i="169"/>
  <c r="T128" i="169"/>
  <c r="T137" i="169"/>
  <c r="T146" i="169"/>
  <c r="T151" i="169"/>
  <c r="T6" i="169"/>
  <c r="T12" i="169"/>
  <c r="T18" i="169"/>
  <c r="T24" i="169"/>
  <c r="T84" i="169"/>
  <c r="T109" i="169"/>
  <c r="T121" i="169"/>
  <c r="T82" i="169"/>
  <c r="T106" i="169"/>
  <c r="T118" i="169"/>
  <c r="T122" i="169"/>
  <c r="T131" i="169"/>
  <c r="T140" i="169"/>
  <c r="T153" i="169"/>
  <c r="T8" i="169"/>
  <c r="T14" i="169"/>
  <c r="T20" i="169"/>
  <c r="T101" i="169"/>
  <c r="T127" i="169"/>
  <c r="T145" i="169"/>
  <c r="T148" i="169"/>
  <c r="T9" i="169"/>
  <c r="T21" i="169"/>
  <c r="T28" i="169"/>
  <c r="T7" i="169"/>
  <c r="T115" i="169"/>
  <c r="T134" i="169"/>
  <c r="T4" i="169"/>
  <c r="T16" i="169"/>
  <c r="T29" i="169"/>
  <c r="T19" i="169"/>
  <c r="T113" i="169"/>
  <c r="T133" i="169"/>
  <c r="T152" i="169"/>
  <c r="T13" i="169"/>
  <c r="T25" i="169"/>
  <c r="T30" i="169"/>
  <c r="T149" i="169"/>
  <c r="T10" i="169"/>
  <c r="T22" i="169"/>
  <c r="T26" i="169"/>
  <c r="T32" i="169"/>
  <c r="T3" i="169"/>
  <c r="T103" i="169"/>
  <c r="T142" i="169"/>
  <c r="T27" i="169"/>
  <c r="T95" i="169"/>
  <c r="T136" i="169"/>
  <c r="T154" i="169"/>
  <c r="T15" i="169"/>
  <c r="T31" i="169"/>
  <c r="T125" i="169"/>
  <c r="T143" i="169"/>
  <c r="T66" i="169"/>
  <c r="T124" i="169"/>
  <c r="T208" i="169"/>
  <c r="T213" i="169"/>
  <c r="T218" i="169"/>
  <c r="T211" i="169"/>
  <c r="T216" i="169"/>
  <c r="T209" i="169"/>
  <c r="T214" i="169"/>
  <c r="T202" i="169"/>
  <c r="T207" i="169"/>
  <c r="T195" i="169"/>
  <c r="T212" i="169"/>
  <c r="T217" i="169"/>
  <c r="T215" i="169"/>
  <c r="T203" i="169"/>
  <c r="T191" i="169"/>
  <c r="T189" i="169"/>
  <c r="T175" i="169"/>
  <c r="T199" i="169"/>
  <c r="T206" i="169"/>
  <c r="T188" i="169"/>
  <c r="T185" i="169"/>
  <c r="T200" i="169"/>
  <c r="T194" i="169"/>
  <c r="T187" i="169"/>
  <c r="T183" i="169"/>
  <c r="T210" i="169"/>
  <c r="T196" i="169"/>
  <c r="T193" i="169"/>
  <c r="T204" i="169"/>
  <c r="T181" i="169"/>
  <c r="T169" i="169"/>
  <c r="T201" i="169"/>
  <c r="T197" i="169"/>
  <c r="T192" i="169"/>
  <c r="T179" i="169"/>
  <c r="T205" i="169"/>
  <c r="T186" i="169"/>
  <c r="T184" i="169"/>
  <c r="T198" i="169"/>
  <c r="T177" i="169"/>
  <c r="T163" i="169"/>
  <c r="T173" i="169"/>
  <c r="T172" i="169"/>
  <c r="T168" i="169"/>
  <c r="T180" i="169"/>
  <c r="T178" i="169"/>
  <c r="T171" i="169"/>
  <c r="T176" i="169"/>
  <c r="T174" i="169"/>
  <c r="T170" i="169"/>
  <c r="T182" i="169"/>
  <c r="T157" i="169"/>
  <c r="T190" i="169"/>
  <c r="T162" i="169"/>
  <c r="T158" i="169"/>
  <c r="T165" i="169"/>
  <c r="T155" i="169"/>
  <c r="T166" i="169"/>
  <c r="T159" i="169"/>
  <c r="T156" i="169"/>
  <c r="T160" i="169"/>
  <c r="T164" i="169"/>
  <c r="T161" i="169"/>
  <c r="T167" i="169"/>
  <c r="U1" i="169"/>
  <c r="T23" i="166"/>
  <c r="U34" i="169" l="1"/>
  <c r="U40" i="169"/>
  <c r="U46" i="169"/>
  <c r="U52" i="169"/>
  <c r="U58" i="169"/>
  <c r="U64" i="169"/>
  <c r="U70" i="169"/>
  <c r="U76" i="169"/>
  <c r="U82" i="169"/>
  <c r="U88" i="169"/>
  <c r="U35" i="169"/>
  <c r="U41" i="169"/>
  <c r="U47" i="169"/>
  <c r="U53" i="169"/>
  <c r="U59" i="169"/>
  <c r="U65" i="169"/>
  <c r="U36" i="169"/>
  <c r="U42" i="169"/>
  <c r="U48" i="169"/>
  <c r="U54" i="169"/>
  <c r="U60" i="169"/>
  <c r="U66" i="169"/>
  <c r="U72" i="169"/>
  <c r="U78" i="169"/>
  <c r="U84" i="169"/>
  <c r="U90" i="169"/>
  <c r="U96" i="169"/>
  <c r="U37" i="169"/>
  <c r="U43" i="169"/>
  <c r="U49" i="169"/>
  <c r="U55" i="169"/>
  <c r="U61" i="169"/>
  <c r="U67" i="169"/>
  <c r="U73" i="169"/>
  <c r="U79" i="169"/>
  <c r="U85" i="169"/>
  <c r="U91" i="169"/>
  <c r="U97" i="169"/>
  <c r="U38" i="169"/>
  <c r="U44" i="169"/>
  <c r="U50" i="169"/>
  <c r="U56" i="169"/>
  <c r="U62" i="169"/>
  <c r="U68" i="169"/>
  <c r="U74" i="169"/>
  <c r="U80" i="169"/>
  <c r="U86" i="169"/>
  <c r="U92" i="169"/>
  <c r="U98" i="169"/>
  <c r="U57" i="169"/>
  <c r="U63" i="169"/>
  <c r="U81" i="169"/>
  <c r="U93" i="169"/>
  <c r="U101" i="169"/>
  <c r="U107" i="169"/>
  <c r="U113" i="169"/>
  <c r="U119" i="169"/>
  <c r="U125" i="169"/>
  <c r="U131" i="169"/>
  <c r="U137" i="169"/>
  <c r="U143" i="169"/>
  <c r="U33" i="169"/>
  <c r="U39" i="169"/>
  <c r="U69" i="169"/>
  <c r="U87" i="169"/>
  <c r="U95" i="169"/>
  <c r="U103" i="169"/>
  <c r="U109" i="169"/>
  <c r="U115" i="169"/>
  <c r="U121" i="169"/>
  <c r="U45" i="169"/>
  <c r="U83" i="169"/>
  <c r="U104" i="169"/>
  <c r="U110" i="169"/>
  <c r="U116" i="169"/>
  <c r="U122" i="169"/>
  <c r="U128" i="169"/>
  <c r="U134" i="169"/>
  <c r="U140" i="169"/>
  <c r="U146" i="169"/>
  <c r="U51" i="169"/>
  <c r="U105" i="169"/>
  <c r="U117" i="169"/>
  <c r="U123" i="169"/>
  <c r="U132" i="169"/>
  <c r="U141" i="169"/>
  <c r="U149" i="169"/>
  <c r="U4" i="169"/>
  <c r="U10" i="169"/>
  <c r="U16" i="169"/>
  <c r="U22" i="169"/>
  <c r="U71" i="169"/>
  <c r="U100" i="169"/>
  <c r="U112" i="169"/>
  <c r="U130" i="169"/>
  <c r="U139" i="169"/>
  <c r="U150" i="169"/>
  <c r="U5" i="169"/>
  <c r="U11" i="169"/>
  <c r="U17" i="169"/>
  <c r="U23" i="169"/>
  <c r="U77" i="169"/>
  <c r="U102" i="169"/>
  <c r="U114" i="169"/>
  <c r="U75" i="169"/>
  <c r="U94" i="169"/>
  <c r="U99" i="169"/>
  <c r="U111" i="169"/>
  <c r="U124" i="169"/>
  <c r="U133" i="169"/>
  <c r="U142" i="169"/>
  <c r="U152" i="169"/>
  <c r="U7" i="169"/>
  <c r="U13" i="169"/>
  <c r="U19" i="169"/>
  <c r="U25" i="169"/>
  <c r="U138" i="169"/>
  <c r="U153" i="169"/>
  <c r="U14" i="169"/>
  <c r="U27" i="169"/>
  <c r="U21" i="169"/>
  <c r="U28" i="169"/>
  <c r="U26" i="169"/>
  <c r="U108" i="169"/>
  <c r="U127" i="169"/>
  <c r="U145" i="169"/>
  <c r="U148" i="169"/>
  <c r="U9" i="169"/>
  <c r="U89" i="169"/>
  <c r="U106" i="169"/>
  <c r="U126" i="169"/>
  <c r="U144" i="169"/>
  <c r="U6" i="169"/>
  <c r="U18" i="169"/>
  <c r="U29" i="169"/>
  <c r="U136" i="169"/>
  <c r="U135" i="169"/>
  <c r="U120" i="169"/>
  <c r="U129" i="169"/>
  <c r="U147" i="169"/>
  <c r="U8" i="169"/>
  <c r="U20" i="169"/>
  <c r="U30" i="169"/>
  <c r="U118" i="169"/>
  <c r="U154" i="169"/>
  <c r="U15" i="169"/>
  <c r="U31" i="169"/>
  <c r="U151" i="169"/>
  <c r="U12" i="169"/>
  <c r="U24" i="169"/>
  <c r="U32" i="169"/>
  <c r="U3" i="169"/>
  <c r="U213" i="169"/>
  <c r="U201" i="169"/>
  <c r="U218" i="169"/>
  <c r="U211" i="169"/>
  <c r="U216" i="169"/>
  <c r="U209" i="169"/>
  <c r="U214" i="169"/>
  <c r="U207" i="169"/>
  <c r="U195" i="169"/>
  <c r="U212" i="169"/>
  <c r="U200" i="169"/>
  <c r="U188" i="169"/>
  <c r="U217" i="169"/>
  <c r="U210" i="169"/>
  <c r="U215" i="169"/>
  <c r="U208" i="169"/>
  <c r="U196" i="169"/>
  <c r="U199" i="169"/>
  <c r="U180" i="169"/>
  <c r="U206" i="169"/>
  <c r="U185" i="169"/>
  <c r="U203" i="169"/>
  <c r="U194" i="169"/>
  <c r="U187" i="169"/>
  <c r="U193" i="169"/>
  <c r="U204" i="169"/>
  <c r="U197" i="169"/>
  <c r="U192" i="169"/>
  <c r="U174" i="169"/>
  <c r="U205" i="169"/>
  <c r="U191" i="169"/>
  <c r="U186" i="169"/>
  <c r="U184" i="169"/>
  <c r="U198" i="169"/>
  <c r="U177" i="169"/>
  <c r="U190" i="169"/>
  <c r="U182" i="169"/>
  <c r="U173" i="169"/>
  <c r="U172" i="169"/>
  <c r="U168" i="169"/>
  <c r="U156" i="169"/>
  <c r="U178" i="169"/>
  <c r="U171" i="169"/>
  <c r="U176" i="169"/>
  <c r="U170" i="169"/>
  <c r="U169" i="169"/>
  <c r="U162" i="169"/>
  <c r="U167" i="169"/>
  <c r="U155" i="169"/>
  <c r="U202" i="169"/>
  <c r="U175" i="169"/>
  <c r="U189" i="169"/>
  <c r="U183" i="169"/>
  <c r="U181" i="169"/>
  <c r="U179" i="169"/>
  <c r="U163" i="169"/>
  <c r="U158" i="169"/>
  <c r="U166" i="169"/>
  <c r="U159" i="169"/>
  <c r="U160" i="169"/>
  <c r="U164" i="169"/>
  <c r="U161" i="169"/>
  <c r="U157" i="169"/>
  <c r="U165" i="169"/>
  <c r="V1" i="169"/>
  <c r="T13" i="166"/>
  <c r="T14" i="166"/>
  <c r="T15" i="166"/>
  <c r="T16" i="166"/>
  <c r="T17" i="166"/>
  <c r="T18" i="166"/>
  <c r="T19" i="166"/>
  <c r="T20" i="166"/>
  <c r="T21" i="166"/>
  <c r="T22" i="166"/>
  <c r="V33" i="169" l="1"/>
  <c r="V39" i="169"/>
  <c r="V45" i="169"/>
  <c r="V51" i="169"/>
  <c r="V57" i="169"/>
  <c r="V63" i="169"/>
  <c r="V69" i="169"/>
  <c r="V75" i="169"/>
  <c r="V81" i="169"/>
  <c r="V87" i="169"/>
  <c r="V34" i="169"/>
  <c r="V40" i="169"/>
  <c r="V46" i="169"/>
  <c r="V52" i="169"/>
  <c r="V58" i="169"/>
  <c r="V64" i="169"/>
  <c r="V35" i="169"/>
  <c r="V41" i="169"/>
  <c r="V47" i="169"/>
  <c r="V53" i="169"/>
  <c r="V59" i="169"/>
  <c r="V65" i="169"/>
  <c r="V71" i="169"/>
  <c r="V77" i="169"/>
  <c r="V83" i="169"/>
  <c r="V89" i="169"/>
  <c r="V95" i="169"/>
  <c r="V36" i="169"/>
  <c r="V42" i="169"/>
  <c r="V48" i="169"/>
  <c r="V54" i="169"/>
  <c r="V60" i="169"/>
  <c r="V66" i="169"/>
  <c r="V72" i="169"/>
  <c r="V78" i="169"/>
  <c r="V84" i="169"/>
  <c r="V90" i="169"/>
  <c r="V96" i="169"/>
  <c r="V37" i="169"/>
  <c r="V43" i="169"/>
  <c r="V49" i="169"/>
  <c r="V55" i="169"/>
  <c r="V61" i="169"/>
  <c r="V67" i="169"/>
  <c r="V73" i="169"/>
  <c r="V79" i="169"/>
  <c r="V85" i="169"/>
  <c r="V91" i="169"/>
  <c r="V97" i="169"/>
  <c r="V50" i="169"/>
  <c r="V56" i="169"/>
  <c r="V74" i="169"/>
  <c r="V92" i="169"/>
  <c r="V98" i="169"/>
  <c r="V100" i="169"/>
  <c r="V106" i="169"/>
  <c r="V112" i="169"/>
  <c r="V118" i="169"/>
  <c r="V124" i="169"/>
  <c r="V130" i="169"/>
  <c r="V136" i="169"/>
  <c r="V142" i="169"/>
  <c r="V80" i="169"/>
  <c r="V102" i="169"/>
  <c r="V108" i="169"/>
  <c r="V114" i="169"/>
  <c r="V120" i="169"/>
  <c r="V38" i="169"/>
  <c r="V76" i="169"/>
  <c r="V103" i="169"/>
  <c r="V109" i="169"/>
  <c r="V115" i="169"/>
  <c r="V121" i="169"/>
  <c r="V127" i="169"/>
  <c r="V133" i="169"/>
  <c r="V139" i="169"/>
  <c r="V145" i="169"/>
  <c r="V44" i="169"/>
  <c r="V86" i="169"/>
  <c r="V110" i="169"/>
  <c r="V125" i="169"/>
  <c r="V134" i="169"/>
  <c r="V143" i="169"/>
  <c r="V148" i="169"/>
  <c r="V154" i="169"/>
  <c r="V9" i="169"/>
  <c r="V15" i="169"/>
  <c r="V21" i="169"/>
  <c r="V62" i="169"/>
  <c r="V105" i="169"/>
  <c r="V117" i="169"/>
  <c r="V123" i="169"/>
  <c r="V132" i="169"/>
  <c r="V141" i="169"/>
  <c r="V149" i="169"/>
  <c r="V4" i="169"/>
  <c r="V10" i="169"/>
  <c r="V16" i="169"/>
  <c r="V22" i="169"/>
  <c r="V70" i="169"/>
  <c r="V93" i="169"/>
  <c r="V107" i="169"/>
  <c r="V119" i="169"/>
  <c r="V68" i="169"/>
  <c r="V104" i="169"/>
  <c r="V116" i="169"/>
  <c r="V126" i="169"/>
  <c r="V135" i="169"/>
  <c r="V144" i="169"/>
  <c r="V151" i="169"/>
  <c r="V6" i="169"/>
  <c r="V12" i="169"/>
  <c r="V18" i="169"/>
  <c r="V24" i="169"/>
  <c r="V94" i="169"/>
  <c r="V131" i="169"/>
  <c r="V7" i="169"/>
  <c r="V19" i="169"/>
  <c r="V26" i="169"/>
  <c r="V32" i="169"/>
  <c r="V3" i="169"/>
  <c r="V27" i="169"/>
  <c r="V5" i="169"/>
  <c r="V31" i="169"/>
  <c r="V88" i="169"/>
  <c r="V101" i="169"/>
  <c r="V138" i="169"/>
  <c r="V153" i="169"/>
  <c r="V14" i="169"/>
  <c r="V82" i="169"/>
  <c r="V99" i="169"/>
  <c r="V137" i="169"/>
  <c r="V150" i="169"/>
  <c r="V11" i="169"/>
  <c r="V23" i="169"/>
  <c r="V28" i="169"/>
  <c r="V129" i="169"/>
  <c r="V147" i="169"/>
  <c r="V8" i="169"/>
  <c r="V20" i="169"/>
  <c r="V146" i="169"/>
  <c r="V17" i="169"/>
  <c r="V113" i="169"/>
  <c r="V122" i="169"/>
  <c r="V140" i="169"/>
  <c r="V152" i="169"/>
  <c r="V13" i="169"/>
  <c r="V25" i="169"/>
  <c r="V29" i="169"/>
  <c r="V111" i="169"/>
  <c r="V30" i="169"/>
  <c r="V128" i="169"/>
  <c r="V218" i="169"/>
  <c r="V206" i="169"/>
  <c r="V211" i="169"/>
  <c r="V216" i="169"/>
  <c r="V209" i="169"/>
  <c r="V214" i="169"/>
  <c r="V207" i="169"/>
  <c r="V212" i="169"/>
  <c r="V200" i="169"/>
  <c r="V217" i="169"/>
  <c r="V205" i="169"/>
  <c r="V193" i="169"/>
  <c r="V210" i="169"/>
  <c r="V215" i="169"/>
  <c r="V213" i="169"/>
  <c r="V201" i="169"/>
  <c r="V189" i="169"/>
  <c r="V185" i="169"/>
  <c r="V173" i="169"/>
  <c r="V208" i="169"/>
  <c r="V203" i="169"/>
  <c r="V188" i="169"/>
  <c r="V194" i="169"/>
  <c r="V187" i="169"/>
  <c r="V183" i="169"/>
  <c r="V204" i="169"/>
  <c r="V196" i="169"/>
  <c r="V195" i="169"/>
  <c r="V197" i="169"/>
  <c r="V192" i="169"/>
  <c r="V179" i="169"/>
  <c r="V191" i="169"/>
  <c r="V186" i="169"/>
  <c r="V184" i="169"/>
  <c r="V198" i="169"/>
  <c r="V177" i="169"/>
  <c r="V190" i="169"/>
  <c r="V182" i="169"/>
  <c r="V202" i="169"/>
  <c r="V175" i="169"/>
  <c r="V161" i="169"/>
  <c r="V199" i="169"/>
  <c r="V180" i="169"/>
  <c r="V178" i="169"/>
  <c r="V171" i="169"/>
  <c r="V176" i="169"/>
  <c r="V170" i="169"/>
  <c r="V174" i="169"/>
  <c r="V169" i="169"/>
  <c r="V167" i="169"/>
  <c r="V155" i="169"/>
  <c r="V160" i="169"/>
  <c r="V181" i="169"/>
  <c r="V172" i="169"/>
  <c r="V168" i="169"/>
  <c r="V156" i="169"/>
  <c r="V166" i="169"/>
  <c r="V162" i="169"/>
  <c r="V159" i="169"/>
  <c r="V163" i="169"/>
  <c r="V164" i="169"/>
  <c r="V157" i="169"/>
  <c r="V165" i="169"/>
  <c r="V158" i="169"/>
  <c r="W1" i="169"/>
  <c r="T6" i="166"/>
  <c r="T7" i="166"/>
  <c r="T8" i="166"/>
  <c r="T9" i="166"/>
  <c r="T10" i="166"/>
  <c r="T12" i="166"/>
  <c r="T11" i="166"/>
  <c r="T27" i="166"/>
  <c r="T28" i="166"/>
  <c r="T29" i="166"/>
  <c r="T30" i="166"/>
  <c r="T31" i="166"/>
  <c r="T32" i="166"/>
  <c r="T33" i="166"/>
  <c r="T4" i="166"/>
  <c r="T5" i="166"/>
  <c r="W38" i="169" l="1"/>
  <c r="W44" i="169"/>
  <c r="W50" i="169"/>
  <c r="W56" i="169"/>
  <c r="W62" i="169"/>
  <c r="W68" i="169"/>
  <c r="W74" i="169"/>
  <c r="W80" i="169"/>
  <c r="W86" i="169"/>
  <c r="W92" i="169"/>
  <c r="W33" i="169"/>
  <c r="W39" i="169"/>
  <c r="W45" i="169"/>
  <c r="W51" i="169"/>
  <c r="W57" i="169"/>
  <c r="W63" i="169"/>
  <c r="W34" i="169"/>
  <c r="W40" i="169"/>
  <c r="W46" i="169"/>
  <c r="W52" i="169"/>
  <c r="W58" i="169"/>
  <c r="W64" i="169"/>
  <c r="W70" i="169"/>
  <c r="W76" i="169"/>
  <c r="W82" i="169"/>
  <c r="W88" i="169"/>
  <c r="W94" i="169"/>
  <c r="W35" i="169"/>
  <c r="W41" i="169"/>
  <c r="W47" i="169"/>
  <c r="W53" i="169"/>
  <c r="W59" i="169"/>
  <c r="W65" i="169"/>
  <c r="W71" i="169"/>
  <c r="W77" i="169"/>
  <c r="W83" i="169"/>
  <c r="W89" i="169"/>
  <c r="W95" i="169"/>
  <c r="W36" i="169"/>
  <c r="W42" i="169"/>
  <c r="W48" i="169"/>
  <c r="W54" i="169"/>
  <c r="W60" i="169"/>
  <c r="W66" i="169"/>
  <c r="W72" i="169"/>
  <c r="W78" i="169"/>
  <c r="W84" i="169"/>
  <c r="W90" i="169"/>
  <c r="W96" i="169"/>
  <c r="W43" i="169"/>
  <c r="W49" i="169"/>
  <c r="W67" i="169"/>
  <c r="W85" i="169"/>
  <c r="W99" i="169"/>
  <c r="W105" i="169"/>
  <c r="W111" i="169"/>
  <c r="W117" i="169"/>
  <c r="W123" i="169"/>
  <c r="W129" i="169"/>
  <c r="W135" i="169"/>
  <c r="W141" i="169"/>
  <c r="W61" i="169"/>
  <c r="W73" i="169"/>
  <c r="W91" i="169"/>
  <c r="W93" i="169"/>
  <c r="W101" i="169"/>
  <c r="W107" i="169"/>
  <c r="W113" i="169"/>
  <c r="W119" i="169"/>
  <c r="W69" i="169"/>
  <c r="W87" i="169"/>
  <c r="W97" i="169"/>
  <c r="W102" i="169"/>
  <c r="W108" i="169"/>
  <c r="W114" i="169"/>
  <c r="W120" i="169"/>
  <c r="W126" i="169"/>
  <c r="W132" i="169"/>
  <c r="W138" i="169"/>
  <c r="W144" i="169"/>
  <c r="W79" i="169"/>
  <c r="W103" i="169"/>
  <c r="W115" i="169"/>
  <c r="W127" i="169"/>
  <c r="W136" i="169"/>
  <c r="W145" i="169"/>
  <c r="W147" i="169"/>
  <c r="W153" i="169"/>
  <c r="W8" i="169"/>
  <c r="W14" i="169"/>
  <c r="W20" i="169"/>
  <c r="W55" i="169"/>
  <c r="W110" i="169"/>
  <c r="W125" i="169"/>
  <c r="W134" i="169"/>
  <c r="W143" i="169"/>
  <c r="W148" i="169"/>
  <c r="W154" i="169"/>
  <c r="W9" i="169"/>
  <c r="W15" i="169"/>
  <c r="W21" i="169"/>
  <c r="W100" i="169"/>
  <c r="W112" i="169"/>
  <c r="W37" i="169"/>
  <c r="W109" i="169"/>
  <c r="W121" i="169"/>
  <c r="W128" i="169"/>
  <c r="W137" i="169"/>
  <c r="W146" i="169"/>
  <c r="W150" i="169"/>
  <c r="W5" i="169"/>
  <c r="W11" i="169"/>
  <c r="W17" i="169"/>
  <c r="W23" i="169"/>
  <c r="W116" i="169"/>
  <c r="W124" i="169"/>
  <c r="W142" i="169"/>
  <c r="W151" i="169"/>
  <c r="W12" i="169"/>
  <c r="W24" i="169"/>
  <c r="W31" i="169"/>
  <c r="W26" i="169"/>
  <c r="W22" i="169"/>
  <c r="W81" i="169"/>
  <c r="W131" i="169"/>
  <c r="W7" i="169"/>
  <c r="W19" i="169"/>
  <c r="W32" i="169"/>
  <c r="W3" i="169"/>
  <c r="W118" i="169"/>
  <c r="W75" i="169"/>
  <c r="W130" i="169"/>
  <c r="W4" i="169"/>
  <c r="W16" i="169"/>
  <c r="W27" i="169"/>
  <c r="W104" i="169"/>
  <c r="W122" i="169"/>
  <c r="W140" i="169"/>
  <c r="W13" i="169"/>
  <c r="W29" i="169"/>
  <c r="W98" i="169"/>
  <c r="W149" i="169"/>
  <c r="W106" i="169"/>
  <c r="W133" i="169"/>
  <c r="W6" i="169"/>
  <c r="W18" i="169"/>
  <c r="W28" i="169"/>
  <c r="W152" i="169"/>
  <c r="W25" i="169"/>
  <c r="W139" i="169"/>
  <c r="W10" i="169"/>
  <c r="W30" i="169"/>
  <c r="W211" i="169"/>
  <c r="W199" i="169"/>
  <c r="W216" i="169"/>
  <c r="W209" i="169"/>
  <c r="W214" i="169"/>
  <c r="W207" i="169"/>
  <c r="W212" i="169"/>
  <c r="W217" i="169"/>
  <c r="W205" i="169"/>
  <c r="W210" i="169"/>
  <c r="W198" i="169"/>
  <c r="W215" i="169"/>
  <c r="W213" i="169"/>
  <c r="W218" i="169"/>
  <c r="W206" i="169"/>
  <c r="W194" i="169"/>
  <c r="W208" i="169"/>
  <c r="W203" i="169"/>
  <c r="W188" i="169"/>
  <c r="W178" i="169"/>
  <c r="W187" i="169"/>
  <c r="W183" i="169"/>
  <c r="W204" i="169"/>
  <c r="W200" i="169"/>
  <c r="W196" i="169"/>
  <c r="W195" i="169"/>
  <c r="W193" i="169"/>
  <c r="W197" i="169"/>
  <c r="W192" i="169"/>
  <c r="W201" i="169"/>
  <c r="W191" i="169"/>
  <c r="W186" i="169"/>
  <c r="W184" i="169"/>
  <c r="W172" i="169"/>
  <c r="W190" i="169"/>
  <c r="W182" i="169"/>
  <c r="W202" i="169"/>
  <c r="W175" i="169"/>
  <c r="W189" i="169"/>
  <c r="W180" i="169"/>
  <c r="W171" i="169"/>
  <c r="W166" i="169"/>
  <c r="W176" i="169"/>
  <c r="W170" i="169"/>
  <c r="W174" i="169"/>
  <c r="W169" i="169"/>
  <c r="W185" i="169"/>
  <c r="W160" i="169"/>
  <c r="W181" i="169"/>
  <c r="W165" i="169"/>
  <c r="W179" i="169"/>
  <c r="W177" i="169"/>
  <c r="W173" i="169"/>
  <c r="W161" i="169"/>
  <c r="W162" i="169"/>
  <c r="W159" i="169"/>
  <c r="W155" i="169"/>
  <c r="W168" i="169"/>
  <c r="W163" i="169"/>
  <c r="W156" i="169"/>
  <c r="W164" i="169"/>
  <c r="W157" i="169"/>
  <c r="W167" i="169"/>
  <c r="W158" i="169"/>
  <c r="X1" i="169"/>
  <c r="D1" i="167"/>
  <c r="B107" i="166"/>
  <c r="B106" i="166"/>
  <c r="B108" i="166"/>
  <c r="B104" i="166"/>
  <c r="X37" i="169" l="1"/>
  <c r="X43" i="169"/>
  <c r="X49" i="169"/>
  <c r="X55" i="169"/>
  <c r="X61" i="169"/>
  <c r="X67" i="169"/>
  <c r="X73" i="169"/>
  <c r="X79" i="169"/>
  <c r="X85" i="169"/>
  <c r="X91" i="169"/>
  <c r="X38" i="169"/>
  <c r="X44" i="169"/>
  <c r="X50" i="169"/>
  <c r="X56" i="169"/>
  <c r="X62" i="169"/>
  <c r="X33" i="169"/>
  <c r="X39" i="169"/>
  <c r="X45" i="169"/>
  <c r="X51" i="169"/>
  <c r="X57" i="169"/>
  <c r="X63" i="169"/>
  <c r="X69" i="169"/>
  <c r="X75" i="169"/>
  <c r="X81" i="169"/>
  <c r="X87" i="169"/>
  <c r="X93" i="169"/>
  <c r="X34" i="169"/>
  <c r="X40" i="169"/>
  <c r="X46" i="169"/>
  <c r="X52" i="169"/>
  <c r="X58" i="169"/>
  <c r="X64" i="169"/>
  <c r="X70" i="169"/>
  <c r="X76" i="169"/>
  <c r="X82" i="169"/>
  <c r="X88" i="169"/>
  <c r="X94" i="169"/>
  <c r="X35" i="169"/>
  <c r="X41" i="169"/>
  <c r="X47" i="169"/>
  <c r="X53" i="169"/>
  <c r="X59" i="169"/>
  <c r="X65" i="169"/>
  <c r="X71" i="169"/>
  <c r="X77" i="169"/>
  <c r="X83" i="169"/>
  <c r="X89" i="169"/>
  <c r="X95" i="169"/>
  <c r="X36" i="169"/>
  <c r="X42" i="169"/>
  <c r="X78" i="169"/>
  <c r="X96" i="169"/>
  <c r="X104" i="169"/>
  <c r="X110" i="169"/>
  <c r="X116" i="169"/>
  <c r="X122" i="169"/>
  <c r="X128" i="169"/>
  <c r="X134" i="169"/>
  <c r="X140" i="169"/>
  <c r="X146" i="169"/>
  <c r="X54" i="169"/>
  <c r="X66" i="169"/>
  <c r="X84" i="169"/>
  <c r="X98" i="169"/>
  <c r="X100" i="169"/>
  <c r="X106" i="169"/>
  <c r="X112" i="169"/>
  <c r="X118" i="169"/>
  <c r="X60" i="169"/>
  <c r="X80" i="169"/>
  <c r="X101" i="169"/>
  <c r="X107" i="169"/>
  <c r="X113" i="169"/>
  <c r="X119" i="169"/>
  <c r="X125" i="169"/>
  <c r="X131" i="169"/>
  <c r="X137" i="169"/>
  <c r="X143" i="169"/>
  <c r="X72" i="169"/>
  <c r="X108" i="169"/>
  <c r="X120" i="169"/>
  <c r="X129" i="169"/>
  <c r="X138" i="169"/>
  <c r="X152" i="169"/>
  <c r="X7" i="169"/>
  <c r="X13" i="169"/>
  <c r="X19" i="169"/>
  <c r="X25" i="169"/>
  <c r="X48" i="169"/>
  <c r="X86" i="169"/>
  <c r="X103" i="169"/>
  <c r="X115" i="169"/>
  <c r="X127" i="169"/>
  <c r="X136" i="169"/>
  <c r="X145" i="169"/>
  <c r="X147" i="169"/>
  <c r="X153" i="169"/>
  <c r="X8" i="169"/>
  <c r="X14" i="169"/>
  <c r="X20" i="169"/>
  <c r="X92" i="169"/>
  <c r="X105" i="169"/>
  <c r="X117" i="169"/>
  <c r="X90" i="169"/>
  <c r="X97" i="169"/>
  <c r="X102" i="169"/>
  <c r="X114" i="169"/>
  <c r="X130" i="169"/>
  <c r="X139" i="169"/>
  <c r="X149" i="169"/>
  <c r="X4" i="169"/>
  <c r="X10" i="169"/>
  <c r="X16" i="169"/>
  <c r="X22" i="169"/>
  <c r="X109" i="169"/>
  <c r="X135" i="169"/>
  <c r="X5" i="169"/>
  <c r="X17" i="169"/>
  <c r="X30" i="169"/>
  <c r="X142" i="169"/>
  <c r="X154" i="169"/>
  <c r="X74" i="169"/>
  <c r="X124" i="169"/>
  <c r="X151" i="169"/>
  <c r="X12" i="169"/>
  <c r="X24" i="169"/>
  <c r="X31" i="169"/>
  <c r="X68" i="169"/>
  <c r="X121" i="169"/>
  <c r="X123" i="169"/>
  <c r="X141" i="169"/>
  <c r="X148" i="169"/>
  <c r="X9" i="169"/>
  <c r="X21" i="169"/>
  <c r="X26" i="169"/>
  <c r="X32" i="169"/>
  <c r="X3" i="169"/>
  <c r="X6" i="169"/>
  <c r="X29" i="169"/>
  <c r="X99" i="169"/>
  <c r="X126" i="169"/>
  <c r="X144" i="169"/>
  <c r="X150" i="169"/>
  <c r="X11" i="169"/>
  <c r="X23" i="169"/>
  <c r="X27" i="169"/>
  <c r="X133" i="169"/>
  <c r="X18" i="169"/>
  <c r="X28" i="169"/>
  <c r="X111" i="169"/>
  <c r="X132" i="169"/>
  <c r="X15" i="169"/>
  <c r="X216" i="169"/>
  <c r="X204" i="169"/>
  <c r="X209" i="169"/>
  <c r="X214" i="169"/>
  <c r="X207" i="169"/>
  <c r="X212" i="169"/>
  <c r="X217" i="169"/>
  <c r="X210" i="169"/>
  <c r="X198" i="169"/>
  <c r="X215" i="169"/>
  <c r="X203" i="169"/>
  <c r="X191" i="169"/>
  <c r="X208" i="169"/>
  <c r="X213" i="169"/>
  <c r="X218" i="169"/>
  <c r="X211" i="169"/>
  <c r="X199" i="169"/>
  <c r="X187" i="169"/>
  <c r="X206" i="169"/>
  <c r="X183" i="169"/>
  <c r="X171" i="169"/>
  <c r="X194" i="169"/>
  <c r="X200" i="169"/>
  <c r="X196" i="169"/>
  <c r="X195" i="169"/>
  <c r="X193" i="169"/>
  <c r="X197" i="169"/>
  <c r="X192" i="169"/>
  <c r="X201" i="169"/>
  <c r="X186" i="169"/>
  <c r="X177" i="169"/>
  <c r="X205" i="169"/>
  <c r="X190" i="169"/>
  <c r="X182" i="169"/>
  <c r="X202" i="169"/>
  <c r="X175" i="169"/>
  <c r="X189" i="169"/>
  <c r="X180" i="169"/>
  <c r="X185" i="169"/>
  <c r="X173" i="169"/>
  <c r="X178" i="169"/>
  <c r="X176" i="169"/>
  <c r="X159" i="169"/>
  <c r="X184" i="169"/>
  <c r="X170" i="169"/>
  <c r="X174" i="169"/>
  <c r="X169" i="169"/>
  <c r="X181" i="169"/>
  <c r="X165" i="169"/>
  <c r="X179" i="169"/>
  <c r="X158" i="169"/>
  <c r="X168" i="169"/>
  <c r="X172" i="169"/>
  <c r="X188" i="169"/>
  <c r="X166" i="169"/>
  <c r="X155" i="169"/>
  <c r="X163" i="169"/>
  <c r="X156" i="169"/>
  <c r="X164" i="169"/>
  <c r="X160" i="169"/>
  <c r="X157" i="169"/>
  <c r="X161" i="169"/>
  <c r="X167" i="169"/>
  <c r="X162" i="169"/>
  <c r="Y1" i="169"/>
  <c r="D132" i="167"/>
  <c r="D94" i="167"/>
  <c r="D151" i="167"/>
  <c r="D143" i="167"/>
  <c r="D135" i="167"/>
  <c r="D121" i="167"/>
  <c r="D147" i="167"/>
  <c r="D73" i="167"/>
  <c r="D142" i="167"/>
  <c r="D139" i="167"/>
  <c r="D149" i="167"/>
  <c r="D138" i="167"/>
  <c r="D136" i="167"/>
  <c r="D129" i="167"/>
  <c r="D81" i="167"/>
  <c r="D145" i="167"/>
  <c r="D133" i="167"/>
  <c r="D69" i="167"/>
  <c r="B105" i="166"/>
  <c r="B109" i="166" s="1"/>
  <c r="D150" i="167"/>
  <c r="D141" i="167"/>
  <c r="D148" i="167"/>
  <c r="D4" i="167"/>
  <c r="D16" i="167"/>
  <c r="D28" i="167"/>
  <c r="D11" i="167"/>
  <c r="D23" i="167"/>
  <c r="D35" i="167"/>
  <c r="D6" i="167"/>
  <c r="D18" i="167"/>
  <c r="D30" i="167"/>
  <c r="D13" i="167"/>
  <c r="D25" i="167"/>
  <c r="D8" i="167"/>
  <c r="D20" i="167"/>
  <c r="D32" i="167"/>
  <c r="D15" i="167"/>
  <c r="D27" i="167"/>
  <c r="D10" i="167"/>
  <c r="D22" i="167"/>
  <c r="D34" i="167"/>
  <c r="D5" i="167"/>
  <c r="D17" i="167"/>
  <c r="D29" i="167"/>
  <c r="D12" i="167"/>
  <c r="D24" i="167"/>
  <c r="D36" i="167"/>
  <c r="D43" i="167"/>
  <c r="D55" i="167"/>
  <c r="D26" i="167"/>
  <c r="D38" i="167"/>
  <c r="D50" i="167"/>
  <c r="D9" i="167"/>
  <c r="D45" i="167"/>
  <c r="D57" i="167"/>
  <c r="D31" i="167"/>
  <c r="D40" i="167"/>
  <c r="D52" i="167"/>
  <c r="D14" i="167"/>
  <c r="D47" i="167"/>
  <c r="D59" i="167"/>
  <c r="D19" i="167"/>
  <c r="D37" i="167"/>
  <c r="D49" i="167"/>
  <c r="D61" i="167"/>
  <c r="D42" i="167"/>
  <c r="D68" i="167"/>
  <c r="D56" i="167"/>
  <c r="D63" i="167"/>
  <c r="D75" i="167"/>
  <c r="D33" i="167"/>
  <c r="D39" i="167"/>
  <c r="D70" i="167"/>
  <c r="D46" i="167"/>
  <c r="D65" i="167"/>
  <c r="D77" i="167"/>
  <c r="D54" i="167"/>
  <c r="D62" i="167"/>
  <c r="D74" i="167"/>
  <c r="D51" i="167"/>
  <c r="D64" i="167"/>
  <c r="D76" i="167"/>
  <c r="D7" i="167"/>
  <c r="D58" i="167"/>
  <c r="D71" i="167"/>
  <c r="D83" i="167"/>
  <c r="D96" i="167"/>
  <c r="D44" i="167"/>
  <c r="D90" i="167"/>
  <c r="D21" i="167"/>
  <c r="D85" i="167"/>
  <c r="D98" i="167"/>
  <c r="D78" i="167"/>
  <c r="D80" i="167"/>
  <c r="D92" i="167"/>
  <c r="D41" i="167"/>
  <c r="D89" i="167"/>
  <c r="D79" i="167"/>
  <c r="D91" i="167"/>
  <c r="D60" i="167"/>
  <c r="D72" i="167"/>
  <c r="D86" i="167"/>
  <c r="D84" i="167"/>
  <c r="D108" i="167"/>
  <c r="D103" i="167"/>
  <c r="D115" i="167"/>
  <c r="D48" i="167"/>
  <c r="D66" i="167"/>
  <c r="D87" i="167"/>
  <c r="D110" i="167"/>
  <c r="D105" i="167"/>
  <c r="D117" i="167"/>
  <c r="D53" i="167"/>
  <c r="D88" i="167"/>
  <c r="D100" i="167"/>
  <c r="D112" i="167"/>
  <c r="D102" i="167"/>
  <c r="D114" i="167"/>
  <c r="D93" i="167"/>
  <c r="D116" i="167"/>
  <c r="D128" i="167"/>
  <c r="D140" i="167"/>
  <c r="D99" i="167"/>
  <c r="D123" i="167"/>
  <c r="D82" i="167"/>
  <c r="D106" i="167"/>
  <c r="D118" i="167"/>
  <c r="D130" i="167"/>
  <c r="D113" i="167"/>
  <c r="D125" i="167"/>
  <c r="D107" i="167"/>
  <c r="D120" i="167"/>
  <c r="D67" i="167"/>
  <c r="D104" i="167"/>
  <c r="D122" i="167"/>
  <c r="D134" i="167"/>
  <c r="D124" i="167"/>
  <c r="D97" i="167"/>
  <c r="D101" i="167"/>
  <c r="D119" i="167"/>
  <c r="D131" i="167"/>
  <c r="D109" i="167"/>
  <c r="D3" i="167"/>
  <c r="D146" i="167"/>
  <c r="D126" i="167"/>
  <c r="D111" i="167"/>
  <c r="D95" i="167"/>
  <c r="D144" i="167"/>
  <c r="D137" i="167"/>
  <c r="D127" i="167"/>
  <c r="D214" i="167"/>
  <c r="D202" i="167"/>
  <c r="D190" i="167"/>
  <c r="D212" i="167"/>
  <c r="D200" i="167"/>
  <c r="D188" i="167"/>
  <c r="D213" i="167"/>
  <c r="D211" i="167"/>
  <c r="D191" i="167"/>
  <c r="D185" i="167"/>
  <c r="D179" i="167"/>
  <c r="D209" i="167"/>
  <c r="D189" i="167"/>
  <c r="D216" i="167"/>
  <c r="D201" i="167"/>
  <c r="D196" i="167"/>
  <c r="D181" i="167"/>
  <c r="D177" i="167"/>
  <c r="D193" i="167"/>
  <c r="D173" i="167"/>
  <c r="D203" i="167"/>
  <c r="D195" i="167"/>
  <c r="D187" i="167"/>
  <c r="D208" i="167"/>
  <c r="D198" i="167"/>
  <c r="D194" i="167"/>
  <c r="D186" i="167"/>
  <c r="D176" i="167"/>
  <c r="D215" i="167"/>
  <c r="D210" i="167"/>
  <c r="D206" i="167"/>
  <c r="D204" i="167"/>
  <c r="D192" i="167"/>
  <c r="D180" i="167"/>
  <c r="D161" i="167"/>
  <c r="D169" i="167"/>
  <c r="D157" i="167"/>
  <c r="D152" i="167"/>
  <c r="D167" i="167"/>
  <c r="D183" i="167"/>
  <c r="D170" i="167"/>
  <c r="D168" i="167"/>
  <c r="D182" i="167"/>
  <c r="D207" i="167"/>
  <c r="D175" i="167"/>
  <c r="D178" i="167"/>
  <c r="D171" i="167"/>
  <c r="D174" i="167"/>
  <c r="D166" i="167"/>
  <c r="D163" i="167"/>
  <c r="D158" i="167"/>
  <c r="D205" i="167"/>
  <c r="D199" i="167"/>
  <c r="D184" i="167"/>
  <c r="D154" i="167"/>
  <c r="D197" i="167"/>
  <c r="D172" i="167"/>
  <c r="D165" i="167"/>
  <c r="D162" i="167"/>
  <c r="D164" i="167"/>
  <c r="D156" i="167"/>
  <c r="D159" i="167"/>
  <c r="D160" i="167"/>
  <c r="D155" i="167"/>
  <c r="D153" i="167"/>
  <c r="E1" i="167"/>
  <c r="T104" i="166"/>
  <c r="Y36" i="169" l="1"/>
  <c r="Y42" i="169"/>
  <c r="Y48" i="169"/>
  <c r="Y54" i="169"/>
  <c r="Y60" i="169"/>
  <c r="Y66" i="169"/>
  <c r="Y72" i="169"/>
  <c r="Y78" i="169"/>
  <c r="Y84" i="169"/>
  <c r="Y90" i="169"/>
  <c r="Y37" i="169"/>
  <c r="Y43" i="169"/>
  <c r="Y49" i="169"/>
  <c r="Y55" i="169"/>
  <c r="Y61" i="169"/>
  <c r="Y38" i="169"/>
  <c r="Y44" i="169"/>
  <c r="Y50" i="169"/>
  <c r="Y56" i="169"/>
  <c r="Y62" i="169"/>
  <c r="Y68" i="169"/>
  <c r="Y74" i="169"/>
  <c r="Y80" i="169"/>
  <c r="Y86" i="169"/>
  <c r="Y92" i="169"/>
  <c r="Y98" i="169"/>
  <c r="Y33" i="169"/>
  <c r="Y39" i="169"/>
  <c r="Y45" i="169"/>
  <c r="Y51" i="169"/>
  <c r="Y57" i="169"/>
  <c r="Y63" i="169"/>
  <c r="Y69" i="169"/>
  <c r="Y75" i="169"/>
  <c r="Y81" i="169"/>
  <c r="Y87" i="169"/>
  <c r="Y93" i="169"/>
  <c r="Y34" i="169"/>
  <c r="Y40" i="169"/>
  <c r="Y46" i="169"/>
  <c r="Y52" i="169"/>
  <c r="Y58" i="169"/>
  <c r="Y64" i="169"/>
  <c r="Y70" i="169"/>
  <c r="Y76" i="169"/>
  <c r="Y82" i="169"/>
  <c r="Y88" i="169"/>
  <c r="Y94" i="169"/>
  <c r="Y35" i="169"/>
  <c r="Y71" i="169"/>
  <c r="Y89" i="169"/>
  <c r="Y103" i="169"/>
  <c r="Y109" i="169"/>
  <c r="Y115" i="169"/>
  <c r="Y121" i="169"/>
  <c r="Y127" i="169"/>
  <c r="Y133" i="169"/>
  <c r="Y139" i="169"/>
  <c r="Y145" i="169"/>
  <c r="Y47" i="169"/>
  <c r="Y77" i="169"/>
  <c r="Y99" i="169"/>
  <c r="Y105" i="169"/>
  <c r="Y111" i="169"/>
  <c r="Y117" i="169"/>
  <c r="Y53" i="169"/>
  <c r="Y73" i="169"/>
  <c r="Y91" i="169"/>
  <c r="Y95" i="169"/>
  <c r="Y100" i="169"/>
  <c r="Y106" i="169"/>
  <c r="Y112" i="169"/>
  <c r="Y118" i="169"/>
  <c r="Y124" i="169"/>
  <c r="Y130" i="169"/>
  <c r="Y136" i="169"/>
  <c r="Y142" i="169"/>
  <c r="Y101" i="169"/>
  <c r="Y113" i="169"/>
  <c r="Y122" i="169"/>
  <c r="Y131" i="169"/>
  <c r="Y140" i="169"/>
  <c r="Y151" i="169"/>
  <c r="Y6" i="169"/>
  <c r="Y12" i="169"/>
  <c r="Y18" i="169"/>
  <c r="Y24" i="169"/>
  <c r="Y41" i="169"/>
  <c r="Y65" i="169"/>
  <c r="Y79" i="169"/>
  <c r="Y108" i="169"/>
  <c r="Y120" i="169"/>
  <c r="Y129" i="169"/>
  <c r="Y138" i="169"/>
  <c r="Y152" i="169"/>
  <c r="Y7" i="169"/>
  <c r="Y13" i="169"/>
  <c r="Y19" i="169"/>
  <c r="Y25" i="169"/>
  <c r="Y59" i="169"/>
  <c r="Y85" i="169"/>
  <c r="Y96" i="169"/>
  <c r="Y110" i="169"/>
  <c r="Y83" i="169"/>
  <c r="Y107" i="169"/>
  <c r="Y119" i="169"/>
  <c r="Y123" i="169"/>
  <c r="Y132" i="169"/>
  <c r="Y141" i="169"/>
  <c r="Y148" i="169"/>
  <c r="Y154" i="169"/>
  <c r="Y9" i="169"/>
  <c r="Y15" i="169"/>
  <c r="Y21" i="169"/>
  <c r="Y102" i="169"/>
  <c r="Y128" i="169"/>
  <c r="Y146" i="169"/>
  <c r="Y149" i="169"/>
  <c r="Y10" i="169"/>
  <c r="Y22" i="169"/>
  <c r="Y29" i="169"/>
  <c r="Y147" i="169"/>
  <c r="Y8" i="169"/>
  <c r="Y67" i="169"/>
  <c r="Y116" i="169"/>
  <c r="Y135" i="169"/>
  <c r="Y5" i="169"/>
  <c r="Y17" i="169"/>
  <c r="Y30" i="169"/>
  <c r="Y28" i="169"/>
  <c r="Y97" i="169"/>
  <c r="Y114" i="169"/>
  <c r="Y134" i="169"/>
  <c r="Y153" i="169"/>
  <c r="Y14" i="169"/>
  <c r="Y31" i="169"/>
  <c r="Y150" i="169"/>
  <c r="Y27" i="169"/>
  <c r="Y125" i="169"/>
  <c r="Y143" i="169"/>
  <c r="Y20" i="169"/>
  <c r="Y137" i="169"/>
  <c r="Y4" i="169"/>
  <c r="Y16" i="169"/>
  <c r="Y26" i="169"/>
  <c r="Y32" i="169"/>
  <c r="Y3" i="169"/>
  <c r="Y126" i="169"/>
  <c r="Y144" i="169"/>
  <c r="Y11" i="169"/>
  <c r="Y23" i="169"/>
  <c r="Y104" i="169"/>
  <c r="Y209" i="169"/>
  <c r="Y197" i="169"/>
  <c r="Y214" i="169"/>
  <c r="Y207" i="169"/>
  <c r="Y212" i="169"/>
  <c r="Y217" i="169"/>
  <c r="Y210" i="169"/>
  <c r="Y215" i="169"/>
  <c r="Y203" i="169"/>
  <c r="Y208" i="169"/>
  <c r="Y196" i="169"/>
  <c r="Y213" i="169"/>
  <c r="Y218" i="169"/>
  <c r="Y216" i="169"/>
  <c r="Y204" i="169"/>
  <c r="Y192" i="169"/>
  <c r="Y194" i="169"/>
  <c r="Y187" i="169"/>
  <c r="Y176" i="169"/>
  <c r="Y200" i="169"/>
  <c r="Y195" i="169"/>
  <c r="Y193" i="169"/>
  <c r="Y211" i="169"/>
  <c r="Y201" i="169"/>
  <c r="Y186" i="169"/>
  <c r="Y184" i="169"/>
  <c r="Y191" i="169"/>
  <c r="Y205" i="169"/>
  <c r="Y190" i="169"/>
  <c r="Y182" i="169"/>
  <c r="Y170" i="169"/>
  <c r="Y202" i="169"/>
  <c r="Y198" i="169"/>
  <c r="Y189" i="169"/>
  <c r="Y180" i="169"/>
  <c r="Y185" i="169"/>
  <c r="Y173" i="169"/>
  <c r="Y199" i="169"/>
  <c r="Y188" i="169"/>
  <c r="Y178" i="169"/>
  <c r="Y164" i="169"/>
  <c r="Y206" i="169"/>
  <c r="Y174" i="169"/>
  <c r="Y169" i="169"/>
  <c r="Y167" i="169"/>
  <c r="Y181" i="169"/>
  <c r="Y179" i="169"/>
  <c r="Y158" i="169"/>
  <c r="Y177" i="169"/>
  <c r="Y175" i="169"/>
  <c r="Y163" i="169"/>
  <c r="Y183" i="169"/>
  <c r="Y168" i="169"/>
  <c r="Y172" i="169"/>
  <c r="Y171" i="169"/>
  <c r="Y159" i="169"/>
  <c r="Y166" i="169"/>
  <c r="Y156" i="169"/>
  <c r="Y160" i="169"/>
  <c r="Y157" i="169"/>
  <c r="Y161" i="169"/>
  <c r="Y165" i="169"/>
  <c r="Y162" i="169"/>
  <c r="Y155" i="169"/>
  <c r="Z1" i="169"/>
  <c r="E94" i="167"/>
  <c r="E151" i="167"/>
  <c r="E9" i="167"/>
  <c r="E21" i="167"/>
  <c r="E33" i="167"/>
  <c r="E4" i="167"/>
  <c r="E16" i="167"/>
  <c r="E28" i="167"/>
  <c r="E11" i="167"/>
  <c r="E23" i="167"/>
  <c r="E35" i="167"/>
  <c r="E6" i="167"/>
  <c r="E18" i="167"/>
  <c r="E30" i="167"/>
  <c r="E13" i="167"/>
  <c r="E25" i="167"/>
  <c r="E8" i="167"/>
  <c r="E20" i="167"/>
  <c r="E32" i="167"/>
  <c r="E15" i="167"/>
  <c r="E27" i="167"/>
  <c r="E10" i="167"/>
  <c r="E22" i="167"/>
  <c r="E34" i="167"/>
  <c r="E5" i="167"/>
  <c r="E17" i="167"/>
  <c r="E29" i="167"/>
  <c r="E12" i="167"/>
  <c r="E48" i="167"/>
  <c r="E60" i="167"/>
  <c r="E43" i="167"/>
  <c r="E55" i="167"/>
  <c r="E26" i="167"/>
  <c r="E38" i="167"/>
  <c r="E50" i="167"/>
  <c r="E45" i="167"/>
  <c r="E57" i="167"/>
  <c r="E31" i="167"/>
  <c r="E40" i="167"/>
  <c r="E52" i="167"/>
  <c r="E36" i="167"/>
  <c r="E42" i="167"/>
  <c r="E54" i="167"/>
  <c r="E14" i="167"/>
  <c r="E59" i="167"/>
  <c r="E73" i="167"/>
  <c r="E49" i="167"/>
  <c r="E68" i="167"/>
  <c r="E56" i="167"/>
  <c r="E63" i="167"/>
  <c r="E75" i="167"/>
  <c r="E24" i="167"/>
  <c r="E39" i="167"/>
  <c r="E70" i="167"/>
  <c r="E47" i="167"/>
  <c r="E67" i="167"/>
  <c r="E44" i="167"/>
  <c r="E69" i="167"/>
  <c r="E51" i="167"/>
  <c r="E64" i="167"/>
  <c r="E76" i="167"/>
  <c r="E53" i="167"/>
  <c r="E74" i="167"/>
  <c r="E88" i="167"/>
  <c r="E62" i="167"/>
  <c r="E83" i="167"/>
  <c r="E96" i="167"/>
  <c r="E46" i="167"/>
  <c r="E77" i="167"/>
  <c r="E90" i="167"/>
  <c r="E7" i="167"/>
  <c r="E61" i="167"/>
  <c r="E65" i="167"/>
  <c r="E85" i="167"/>
  <c r="E98" i="167"/>
  <c r="E82" i="167"/>
  <c r="E95" i="167"/>
  <c r="E58" i="167"/>
  <c r="E84" i="167"/>
  <c r="E97" i="167"/>
  <c r="E71" i="167"/>
  <c r="E79" i="167"/>
  <c r="E91" i="167"/>
  <c r="E101" i="167"/>
  <c r="E113" i="167"/>
  <c r="E108" i="167"/>
  <c r="E86" i="167"/>
  <c r="E103" i="167"/>
  <c r="E115" i="167"/>
  <c r="E66" i="167"/>
  <c r="E87" i="167"/>
  <c r="E110" i="167"/>
  <c r="E105" i="167"/>
  <c r="E117" i="167"/>
  <c r="E107" i="167"/>
  <c r="E41" i="167"/>
  <c r="E80" i="167"/>
  <c r="E109" i="167"/>
  <c r="E121" i="167"/>
  <c r="E133" i="167"/>
  <c r="E19" i="167"/>
  <c r="E93" i="167"/>
  <c r="E116" i="167"/>
  <c r="E128" i="167"/>
  <c r="E99" i="167"/>
  <c r="E123" i="167"/>
  <c r="E135" i="167"/>
  <c r="E106" i="167"/>
  <c r="E118" i="167"/>
  <c r="E130" i="167"/>
  <c r="E100" i="167"/>
  <c r="E125" i="167"/>
  <c r="E37" i="167"/>
  <c r="E127" i="167"/>
  <c r="E81" i="167"/>
  <c r="E111" i="167"/>
  <c r="E129" i="167"/>
  <c r="E72" i="167"/>
  <c r="E124" i="167"/>
  <c r="E120" i="167"/>
  <c r="E136" i="167"/>
  <c r="E149" i="167"/>
  <c r="E104" i="167"/>
  <c r="E137" i="167"/>
  <c r="E144" i="167"/>
  <c r="E89" i="167"/>
  <c r="E119" i="167"/>
  <c r="E140" i="167"/>
  <c r="E78" i="167"/>
  <c r="E102" i="167"/>
  <c r="E126" i="167"/>
  <c r="E146" i="167"/>
  <c r="E114" i="167"/>
  <c r="E148" i="167"/>
  <c r="E132" i="167"/>
  <c r="E112" i="167"/>
  <c r="E131" i="167"/>
  <c r="E138" i="167"/>
  <c r="E143" i="167"/>
  <c r="E141" i="167"/>
  <c r="E150" i="167"/>
  <c r="E92" i="167"/>
  <c r="E145" i="167"/>
  <c r="E3" i="167"/>
  <c r="E122" i="167"/>
  <c r="E147" i="167"/>
  <c r="E134" i="167"/>
  <c r="E142" i="167"/>
  <c r="E139" i="167"/>
  <c r="E214" i="167"/>
  <c r="E207" i="167"/>
  <c r="E195" i="167"/>
  <c r="E205" i="167"/>
  <c r="E193" i="167"/>
  <c r="E215" i="167"/>
  <c r="E210" i="167"/>
  <c r="E204" i="167"/>
  <c r="E184" i="167"/>
  <c r="E208" i="167"/>
  <c r="E202" i="167"/>
  <c r="E180" i="167"/>
  <c r="E206" i="167"/>
  <c r="E212" i="167"/>
  <c r="E203" i="167"/>
  <c r="E198" i="167"/>
  <c r="E178" i="167"/>
  <c r="E201" i="167"/>
  <c r="E199" i="167"/>
  <c r="E197" i="167"/>
  <c r="E191" i="167"/>
  <c r="E185" i="167"/>
  <c r="E182" i="167"/>
  <c r="E200" i="167"/>
  <c r="E196" i="167"/>
  <c r="E192" i="167"/>
  <c r="E190" i="167"/>
  <c r="E175" i="167"/>
  <c r="E166" i="167"/>
  <c r="E154" i="167"/>
  <c r="E189" i="167"/>
  <c r="E187" i="167"/>
  <c r="E173" i="167"/>
  <c r="E162" i="167"/>
  <c r="E170" i="167"/>
  <c r="E213" i="167"/>
  <c r="E174" i="167"/>
  <c r="E163" i="167"/>
  <c r="E216" i="167"/>
  <c r="E181" i="167"/>
  <c r="E177" i="167"/>
  <c r="E167" i="167"/>
  <c r="E161" i="167"/>
  <c r="E156" i="167"/>
  <c r="E169" i="167"/>
  <c r="E186" i="167"/>
  <c r="E176" i="167"/>
  <c r="E171" i="167"/>
  <c r="E183" i="167"/>
  <c r="E211" i="167"/>
  <c r="E179" i="167"/>
  <c r="E168" i="167"/>
  <c r="E159" i="167"/>
  <c r="E172" i="167"/>
  <c r="E209" i="167"/>
  <c r="E194" i="167"/>
  <c r="E188" i="167"/>
  <c r="E160" i="167"/>
  <c r="E157" i="167"/>
  <c r="E152" i="167"/>
  <c r="E164" i="167"/>
  <c r="E165" i="167"/>
  <c r="E153" i="167"/>
  <c r="E155" i="167"/>
  <c r="E158" i="167"/>
  <c r="F1" i="167"/>
  <c r="Z35" i="169" l="1"/>
  <c r="Z41" i="169"/>
  <c r="Z47" i="169"/>
  <c r="Z53" i="169"/>
  <c r="Z59" i="169"/>
  <c r="Z65" i="169"/>
  <c r="Z71" i="169"/>
  <c r="Z77" i="169"/>
  <c r="Z83" i="169"/>
  <c r="Z89" i="169"/>
  <c r="Z36" i="169"/>
  <c r="Z42" i="169"/>
  <c r="Z48" i="169"/>
  <c r="Z54" i="169"/>
  <c r="Z60" i="169"/>
  <c r="Z37" i="169"/>
  <c r="Z43" i="169"/>
  <c r="Z49" i="169"/>
  <c r="Z55" i="169"/>
  <c r="Z61" i="169"/>
  <c r="Z67" i="169"/>
  <c r="Z73" i="169"/>
  <c r="Z79" i="169"/>
  <c r="Z85" i="169"/>
  <c r="Z91" i="169"/>
  <c r="Z97" i="169"/>
  <c r="Z38" i="169"/>
  <c r="Z44" i="169"/>
  <c r="Z50" i="169"/>
  <c r="Z56" i="169"/>
  <c r="Z62" i="169"/>
  <c r="Z68" i="169"/>
  <c r="Z74" i="169"/>
  <c r="Z80" i="169"/>
  <c r="Z86" i="169"/>
  <c r="Z92" i="169"/>
  <c r="Z98" i="169"/>
  <c r="Z33" i="169"/>
  <c r="Z39" i="169"/>
  <c r="Z45" i="169"/>
  <c r="Z51" i="169"/>
  <c r="Z57" i="169"/>
  <c r="Z63" i="169"/>
  <c r="Z69" i="169"/>
  <c r="Z75" i="169"/>
  <c r="Z81" i="169"/>
  <c r="Z87" i="169"/>
  <c r="Z93" i="169"/>
  <c r="Z58" i="169"/>
  <c r="Z64" i="169"/>
  <c r="Z82" i="169"/>
  <c r="Z94" i="169"/>
  <c r="Z102" i="169"/>
  <c r="Z108" i="169"/>
  <c r="Z114" i="169"/>
  <c r="Z120" i="169"/>
  <c r="Z126" i="169"/>
  <c r="Z132" i="169"/>
  <c r="Z138" i="169"/>
  <c r="Z144" i="169"/>
  <c r="Z34" i="169"/>
  <c r="Z40" i="169"/>
  <c r="Z70" i="169"/>
  <c r="Z88" i="169"/>
  <c r="Z96" i="169"/>
  <c r="Z104" i="169"/>
  <c r="Z110" i="169"/>
  <c r="Z116" i="169"/>
  <c r="Z46" i="169"/>
  <c r="Z66" i="169"/>
  <c r="Z84" i="169"/>
  <c r="Z99" i="169"/>
  <c r="Z105" i="169"/>
  <c r="Z111" i="169"/>
  <c r="Z117" i="169"/>
  <c r="Z123" i="169"/>
  <c r="Z129" i="169"/>
  <c r="Z135" i="169"/>
  <c r="Z141" i="169"/>
  <c r="Z95" i="169"/>
  <c r="Z106" i="169"/>
  <c r="Z118" i="169"/>
  <c r="Z124" i="169"/>
  <c r="Z133" i="169"/>
  <c r="Z142" i="169"/>
  <c r="Z150" i="169"/>
  <c r="Z5" i="169"/>
  <c r="Z11" i="169"/>
  <c r="Z17" i="169"/>
  <c r="Z23" i="169"/>
  <c r="Z72" i="169"/>
  <c r="Z101" i="169"/>
  <c r="Z113" i="169"/>
  <c r="Z122" i="169"/>
  <c r="Z131" i="169"/>
  <c r="Z140" i="169"/>
  <c r="Z151" i="169"/>
  <c r="Z6" i="169"/>
  <c r="Z12" i="169"/>
  <c r="Z18" i="169"/>
  <c r="Z24" i="169"/>
  <c r="Z52" i="169"/>
  <c r="Z78" i="169"/>
  <c r="Z103" i="169"/>
  <c r="Z115" i="169"/>
  <c r="Z76" i="169"/>
  <c r="Z100" i="169"/>
  <c r="Z112" i="169"/>
  <c r="Z125" i="169"/>
  <c r="Z134" i="169"/>
  <c r="Z143" i="169"/>
  <c r="Z147" i="169"/>
  <c r="Z153" i="169"/>
  <c r="Z8" i="169"/>
  <c r="Z14" i="169"/>
  <c r="Z20" i="169"/>
  <c r="Z139" i="169"/>
  <c r="Z154" i="169"/>
  <c r="Z15" i="169"/>
  <c r="Z28" i="169"/>
  <c r="Z29" i="169"/>
  <c r="Z152" i="169"/>
  <c r="Z27" i="169"/>
  <c r="Z109" i="169"/>
  <c r="Z128" i="169"/>
  <c r="Z146" i="169"/>
  <c r="Z149" i="169"/>
  <c r="Z10" i="169"/>
  <c r="Z22" i="169"/>
  <c r="Z107" i="169"/>
  <c r="Z127" i="169"/>
  <c r="Z145" i="169"/>
  <c r="Z7" i="169"/>
  <c r="Z19" i="169"/>
  <c r="Z30" i="169"/>
  <c r="Z119" i="169"/>
  <c r="Z137" i="169"/>
  <c r="Z4" i="169"/>
  <c r="Z16" i="169"/>
  <c r="Z32" i="169"/>
  <c r="Z3" i="169"/>
  <c r="Z136" i="169"/>
  <c r="Z13" i="169"/>
  <c r="Z25" i="169"/>
  <c r="Z121" i="169"/>
  <c r="Z130" i="169"/>
  <c r="Z148" i="169"/>
  <c r="Z9" i="169"/>
  <c r="Z21" i="169"/>
  <c r="Z31" i="169"/>
  <c r="Z90" i="169"/>
  <c r="Z26" i="169"/>
  <c r="Z214" i="169"/>
  <c r="Z202" i="169"/>
  <c r="Z207" i="169"/>
  <c r="Z212" i="169"/>
  <c r="Z217" i="169"/>
  <c r="Z210" i="169"/>
  <c r="Z215" i="169"/>
  <c r="Z208" i="169"/>
  <c r="Z196" i="169"/>
  <c r="Z213" i="169"/>
  <c r="Z201" i="169"/>
  <c r="Z189" i="169"/>
  <c r="Z218" i="169"/>
  <c r="Z206" i="169"/>
  <c r="Z211" i="169"/>
  <c r="Z216" i="169"/>
  <c r="Z209" i="169"/>
  <c r="Z197" i="169"/>
  <c r="Z200" i="169"/>
  <c r="Z195" i="169"/>
  <c r="Z193" i="169"/>
  <c r="Z181" i="169"/>
  <c r="Z169" i="169"/>
  <c r="Z204" i="169"/>
  <c r="Z192" i="169"/>
  <c r="Z186" i="169"/>
  <c r="Z191" i="169"/>
  <c r="Z205" i="169"/>
  <c r="Z190" i="169"/>
  <c r="Z198" i="169"/>
  <c r="Z175" i="169"/>
  <c r="Z185" i="169"/>
  <c r="Z199" i="169"/>
  <c r="Z188" i="169"/>
  <c r="Z178" i="169"/>
  <c r="Z183" i="169"/>
  <c r="Z184" i="169"/>
  <c r="Z180" i="169"/>
  <c r="Z174" i="169"/>
  <c r="Z170" i="169"/>
  <c r="Z157" i="169"/>
  <c r="Z187" i="169"/>
  <c r="Z167" i="169"/>
  <c r="Z182" i="169"/>
  <c r="Z179" i="169"/>
  <c r="Z203" i="169"/>
  <c r="Z177" i="169"/>
  <c r="Z163" i="169"/>
  <c r="Z168" i="169"/>
  <c r="Z156" i="169"/>
  <c r="Z172" i="169"/>
  <c r="Z166" i="169"/>
  <c r="Z194" i="169"/>
  <c r="Z173" i="169"/>
  <c r="Z171" i="169"/>
  <c r="Z176" i="169"/>
  <c r="Z164" i="169"/>
  <c r="Z159" i="169"/>
  <c r="Z160" i="169"/>
  <c r="Z161" i="169"/>
  <c r="Z165" i="169"/>
  <c r="Z162" i="169"/>
  <c r="Z158" i="169"/>
  <c r="Z155" i="169"/>
  <c r="AA1" i="169"/>
  <c r="F94" i="167"/>
  <c r="F151" i="167"/>
  <c r="F14" i="167"/>
  <c r="F26" i="167"/>
  <c r="F9" i="167"/>
  <c r="F21" i="167"/>
  <c r="F33" i="167"/>
  <c r="F4" i="167"/>
  <c r="F16" i="167"/>
  <c r="F28" i="167"/>
  <c r="F11" i="167"/>
  <c r="F23" i="167"/>
  <c r="F35" i="167"/>
  <c r="F6" i="167"/>
  <c r="F18" i="167"/>
  <c r="F30" i="167"/>
  <c r="F13" i="167"/>
  <c r="F25" i="167"/>
  <c r="F8" i="167"/>
  <c r="F20" i="167"/>
  <c r="F32" i="167"/>
  <c r="F15" i="167"/>
  <c r="F27" i="167"/>
  <c r="F10" i="167"/>
  <c r="F22" i="167"/>
  <c r="F34" i="167"/>
  <c r="F29" i="167"/>
  <c r="F41" i="167"/>
  <c r="F53" i="167"/>
  <c r="F12" i="167"/>
  <c r="F48" i="167"/>
  <c r="F60" i="167"/>
  <c r="F43" i="167"/>
  <c r="F55" i="167"/>
  <c r="F17" i="167"/>
  <c r="F38" i="167"/>
  <c r="F50" i="167"/>
  <c r="F45" i="167"/>
  <c r="F57" i="167"/>
  <c r="F5" i="167"/>
  <c r="F47" i="167"/>
  <c r="F59" i="167"/>
  <c r="F52" i="167"/>
  <c r="F66" i="167"/>
  <c r="F78" i="167"/>
  <c r="F36" i="167"/>
  <c r="F42" i="167"/>
  <c r="F73" i="167"/>
  <c r="F49" i="167"/>
  <c r="F68" i="167"/>
  <c r="F56" i="167"/>
  <c r="F63" i="167"/>
  <c r="F75" i="167"/>
  <c r="F31" i="167"/>
  <c r="F40" i="167"/>
  <c r="F72" i="167"/>
  <c r="F19" i="167"/>
  <c r="F37" i="167"/>
  <c r="F61" i="167"/>
  <c r="F62" i="167"/>
  <c r="F74" i="167"/>
  <c r="F44" i="167"/>
  <c r="F69" i="167"/>
  <c r="F81" i="167"/>
  <c r="F93" i="167"/>
  <c r="F88" i="167"/>
  <c r="F76" i="167"/>
  <c r="F83" i="167"/>
  <c r="F96" i="167"/>
  <c r="F46" i="167"/>
  <c r="F64" i="167"/>
  <c r="F77" i="167"/>
  <c r="F90" i="167"/>
  <c r="F24" i="167"/>
  <c r="F54" i="167"/>
  <c r="F67" i="167"/>
  <c r="F87" i="167"/>
  <c r="F70" i="167"/>
  <c r="F89" i="167"/>
  <c r="F58" i="167"/>
  <c r="F84" i="167"/>
  <c r="F97" i="167"/>
  <c r="F7" i="167"/>
  <c r="F98" i="167"/>
  <c r="F106" i="167"/>
  <c r="F85" i="167"/>
  <c r="F101" i="167"/>
  <c r="F113" i="167"/>
  <c r="F39" i="167"/>
  <c r="F108" i="167"/>
  <c r="F86" i="167"/>
  <c r="F103" i="167"/>
  <c r="F115" i="167"/>
  <c r="F110" i="167"/>
  <c r="F71" i="167"/>
  <c r="F100" i="167"/>
  <c r="F112" i="167"/>
  <c r="F102" i="167"/>
  <c r="F126" i="167"/>
  <c r="F138" i="167"/>
  <c r="F65" i="167"/>
  <c r="F80" i="167"/>
  <c r="F109" i="167"/>
  <c r="F121" i="167"/>
  <c r="F133" i="167"/>
  <c r="F116" i="167"/>
  <c r="F128" i="167"/>
  <c r="F51" i="167"/>
  <c r="F82" i="167"/>
  <c r="F99" i="167"/>
  <c r="F123" i="167"/>
  <c r="F118" i="167"/>
  <c r="F130" i="167"/>
  <c r="F79" i="167"/>
  <c r="F92" i="167"/>
  <c r="F114" i="167"/>
  <c r="F120" i="167"/>
  <c r="F132" i="167"/>
  <c r="F95" i="167"/>
  <c r="F104" i="167"/>
  <c r="F122" i="167"/>
  <c r="F111" i="167"/>
  <c r="F129" i="167"/>
  <c r="F142" i="167"/>
  <c r="F127" i="167"/>
  <c r="F136" i="167"/>
  <c r="F149" i="167"/>
  <c r="F137" i="167"/>
  <c r="F144" i="167"/>
  <c r="F119" i="167"/>
  <c r="F140" i="167"/>
  <c r="F107" i="167"/>
  <c r="F125" i="167"/>
  <c r="F146" i="167"/>
  <c r="F105" i="167"/>
  <c r="F124" i="167"/>
  <c r="F148" i="167"/>
  <c r="F91" i="167"/>
  <c r="F131" i="167"/>
  <c r="F143" i="167"/>
  <c r="F117" i="167"/>
  <c r="F141" i="167"/>
  <c r="F150" i="167"/>
  <c r="F134" i="167"/>
  <c r="F3" i="167"/>
  <c r="F135" i="167"/>
  <c r="F145" i="167"/>
  <c r="F139" i="167"/>
  <c r="F147" i="167"/>
  <c r="F212" i="167"/>
  <c r="F200" i="167"/>
  <c r="F188" i="167"/>
  <c r="F210" i="167"/>
  <c r="F198" i="167"/>
  <c r="F186" i="167"/>
  <c r="F214" i="167"/>
  <c r="F203" i="167"/>
  <c r="F197" i="167"/>
  <c r="F201" i="167"/>
  <c r="F195" i="167"/>
  <c r="F211" i="167"/>
  <c r="F187" i="167"/>
  <c r="F180" i="167"/>
  <c r="F175" i="167"/>
  <c r="F208" i="167"/>
  <c r="F209" i="167"/>
  <c r="F207" i="167"/>
  <c r="F205" i="167"/>
  <c r="F215" i="167"/>
  <c r="F206" i="167"/>
  <c r="F204" i="167"/>
  <c r="F202" i="167"/>
  <c r="F171" i="167"/>
  <c r="F159" i="167"/>
  <c r="F199" i="167"/>
  <c r="F193" i="167"/>
  <c r="F191" i="167"/>
  <c r="F185" i="167"/>
  <c r="F182" i="167"/>
  <c r="F167" i="167"/>
  <c r="F155" i="167"/>
  <c r="F213" i="167"/>
  <c r="F174" i="167"/>
  <c r="F169" i="167"/>
  <c r="F156" i="167"/>
  <c r="F160" i="167"/>
  <c r="F154" i="167"/>
  <c r="F161" i="167"/>
  <c r="F189" i="167"/>
  <c r="F176" i="167"/>
  <c r="F192" i="167"/>
  <c r="F183" i="167"/>
  <c r="F178" i="167"/>
  <c r="F177" i="167"/>
  <c r="F166" i="167"/>
  <c r="F163" i="167"/>
  <c r="F184" i="167"/>
  <c r="F179" i="167"/>
  <c r="F168" i="167"/>
  <c r="F216" i="167"/>
  <c r="F196" i="167"/>
  <c r="F190" i="167"/>
  <c r="F173" i="167"/>
  <c r="F164" i="167"/>
  <c r="F170" i="167"/>
  <c r="F194" i="167"/>
  <c r="F181" i="167"/>
  <c r="F153" i="167"/>
  <c r="F172" i="167"/>
  <c r="F165" i="167"/>
  <c r="F158" i="167"/>
  <c r="F157" i="167"/>
  <c r="F152" i="167"/>
  <c r="F162" i="167"/>
  <c r="G1" i="167"/>
  <c r="AA34" i="169" l="1"/>
  <c r="AA40" i="169"/>
  <c r="AA46" i="169"/>
  <c r="AA52" i="169"/>
  <c r="AA58" i="169"/>
  <c r="AA64" i="169"/>
  <c r="AA70" i="169"/>
  <c r="AA76" i="169"/>
  <c r="AA82" i="169"/>
  <c r="AA88" i="169"/>
  <c r="AA35" i="169"/>
  <c r="AA41" i="169"/>
  <c r="AA47" i="169"/>
  <c r="AA53" i="169"/>
  <c r="AA59" i="169"/>
  <c r="AA65" i="169"/>
  <c r="AA36" i="169"/>
  <c r="AA42" i="169"/>
  <c r="AA48" i="169"/>
  <c r="AA54" i="169"/>
  <c r="AA60" i="169"/>
  <c r="AA66" i="169"/>
  <c r="AA72" i="169"/>
  <c r="AA78" i="169"/>
  <c r="AA84" i="169"/>
  <c r="AA90" i="169"/>
  <c r="AA96" i="169"/>
  <c r="AA37" i="169"/>
  <c r="AA43" i="169"/>
  <c r="AA49" i="169"/>
  <c r="AA55" i="169"/>
  <c r="AA61" i="169"/>
  <c r="AA67" i="169"/>
  <c r="AA73" i="169"/>
  <c r="AA79" i="169"/>
  <c r="AA85" i="169"/>
  <c r="AA91" i="169"/>
  <c r="AA97" i="169"/>
  <c r="AA38" i="169"/>
  <c r="AA44" i="169"/>
  <c r="AA50" i="169"/>
  <c r="AA56" i="169"/>
  <c r="AA62" i="169"/>
  <c r="AA68" i="169"/>
  <c r="AA74" i="169"/>
  <c r="AA80" i="169"/>
  <c r="AA86" i="169"/>
  <c r="AA92" i="169"/>
  <c r="AA98" i="169"/>
  <c r="AA51" i="169"/>
  <c r="AA57" i="169"/>
  <c r="AA75" i="169"/>
  <c r="AA101" i="169"/>
  <c r="AA107" i="169"/>
  <c r="AA113" i="169"/>
  <c r="AA119" i="169"/>
  <c r="AA125" i="169"/>
  <c r="AA131" i="169"/>
  <c r="AA137" i="169"/>
  <c r="AA143" i="169"/>
  <c r="AA33" i="169"/>
  <c r="AA81" i="169"/>
  <c r="AA103" i="169"/>
  <c r="AA109" i="169"/>
  <c r="AA115" i="169"/>
  <c r="AA121" i="169"/>
  <c r="AA39" i="169"/>
  <c r="AA77" i="169"/>
  <c r="AA93" i="169"/>
  <c r="AA104" i="169"/>
  <c r="AA110" i="169"/>
  <c r="AA116" i="169"/>
  <c r="AA122" i="169"/>
  <c r="AA128" i="169"/>
  <c r="AA134" i="169"/>
  <c r="AA140" i="169"/>
  <c r="AA146" i="169"/>
  <c r="AA87" i="169"/>
  <c r="AA99" i="169"/>
  <c r="AA111" i="169"/>
  <c r="AA126" i="169"/>
  <c r="AA135" i="169"/>
  <c r="AA144" i="169"/>
  <c r="AA149" i="169"/>
  <c r="AA4" i="169"/>
  <c r="AA10" i="169"/>
  <c r="AA16" i="169"/>
  <c r="AA22" i="169"/>
  <c r="AA95" i="169"/>
  <c r="AA106" i="169"/>
  <c r="AA118" i="169"/>
  <c r="AA124" i="169"/>
  <c r="AA133" i="169"/>
  <c r="AA142" i="169"/>
  <c r="AA150" i="169"/>
  <c r="AA5" i="169"/>
  <c r="AA11" i="169"/>
  <c r="AA17" i="169"/>
  <c r="AA23" i="169"/>
  <c r="AA45" i="169"/>
  <c r="AA71" i="169"/>
  <c r="AA108" i="169"/>
  <c r="AA120" i="169"/>
  <c r="AA63" i="169"/>
  <c r="AA69" i="169"/>
  <c r="AA105" i="169"/>
  <c r="AA117" i="169"/>
  <c r="AA127" i="169"/>
  <c r="AA136" i="169"/>
  <c r="AA145" i="169"/>
  <c r="AA152" i="169"/>
  <c r="AA7" i="169"/>
  <c r="AA13" i="169"/>
  <c r="AA19" i="169"/>
  <c r="AA25" i="169"/>
  <c r="AA132" i="169"/>
  <c r="AA147" i="169"/>
  <c r="AA8" i="169"/>
  <c r="AA20" i="169"/>
  <c r="AA27" i="169"/>
  <c r="AA18" i="169"/>
  <c r="AA94" i="169"/>
  <c r="AA102" i="169"/>
  <c r="AA139" i="169"/>
  <c r="AA154" i="169"/>
  <c r="AA15" i="169"/>
  <c r="AA28" i="169"/>
  <c r="AA32" i="169"/>
  <c r="AA3" i="169"/>
  <c r="AA100" i="169"/>
  <c r="AA138" i="169"/>
  <c r="AA151" i="169"/>
  <c r="AA12" i="169"/>
  <c r="AA24" i="169"/>
  <c r="AA29" i="169"/>
  <c r="AA112" i="169"/>
  <c r="AA130" i="169"/>
  <c r="AA148" i="169"/>
  <c r="AA9" i="169"/>
  <c r="AA21" i="169"/>
  <c r="AA31" i="169"/>
  <c r="AA26" i="169"/>
  <c r="AA89" i="169"/>
  <c r="AA114" i="169"/>
  <c r="AA123" i="169"/>
  <c r="AA141" i="169"/>
  <c r="AA153" i="169"/>
  <c r="AA14" i="169"/>
  <c r="AA30" i="169"/>
  <c r="AA83" i="169"/>
  <c r="AA129" i="169"/>
  <c r="AA6" i="169"/>
  <c r="AA207" i="169"/>
  <c r="AA212" i="169"/>
  <c r="AA217" i="169"/>
  <c r="AA210" i="169"/>
  <c r="AA215" i="169"/>
  <c r="AA208" i="169"/>
  <c r="AA213" i="169"/>
  <c r="AA201" i="169"/>
  <c r="AA218" i="169"/>
  <c r="AA206" i="169"/>
  <c r="AA194" i="169"/>
  <c r="AA211" i="169"/>
  <c r="AA216" i="169"/>
  <c r="AA214" i="169"/>
  <c r="AA202" i="169"/>
  <c r="AA190" i="169"/>
  <c r="AA174" i="169"/>
  <c r="AA204" i="169"/>
  <c r="AA196" i="169"/>
  <c r="AA192" i="169"/>
  <c r="AA197" i="169"/>
  <c r="AA186" i="169"/>
  <c r="AA184" i="169"/>
  <c r="AA191" i="169"/>
  <c r="AA205" i="169"/>
  <c r="AA198" i="169"/>
  <c r="AA180" i="169"/>
  <c r="AA209" i="169"/>
  <c r="AA189" i="169"/>
  <c r="AA185" i="169"/>
  <c r="AA199" i="169"/>
  <c r="AA188" i="169"/>
  <c r="AA178" i="169"/>
  <c r="AA183" i="169"/>
  <c r="AA203" i="169"/>
  <c r="AA187" i="169"/>
  <c r="AA176" i="169"/>
  <c r="AA193" i="169"/>
  <c r="AA162" i="169"/>
  <c r="AA169" i="169"/>
  <c r="AA182" i="169"/>
  <c r="AA181" i="169"/>
  <c r="AA179" i="169"/>
  <c r="AA177" i="169"/>
  <c r="AA175" i="169"/>
  <c r="AA168" i="169"/>
  <c r="AA156" i="169"/>
  <c r="AA172" i="169"/>
  <c r="AA161" i="169"/>
  <c r="AA195" i="169"/>
  <c r="AA173" i="169"/>
  <c r="AA171" i="169"/>
  <c r="AA200" i="169"/>
  <c r="AA170" i="169"/>
  <c r="AA157" i="169"/>
  <c r="AA163" i="169"/>
  <c r="AA160" i="169"/>
  <c r="AA164" i="169"/>
  <c r="AA165" i="169"/>
  <c r="AA167" i="169"/>
  <c r="AA158" i="169"/>
  <c r="AA155" i="169"/>
  <c r="AA166" i="169"/>
  <c r="AA159" i="169"/>
  <c r="AB1" i="169"/>
  <c r="G151" i="167"/>
  <c r="G94" i="167"/>
  <c r="G7" i="167"/>
  <c r="G19" i="167"/>
  <c r="G31" i="167"/>
  <c r="G14" i="167"/>
  <c r="G26" i="167"/>
  <c r="G9" i="167"/>
  <c r="G21" i="167"/>
  <c r="G33" i="167"/>
  <c r="G4" i="167"/>
  <c r="G16" i="167"/>
  <c r="G28" i="167"/>
  <c r="G11" i="167"/>
  <c r="G23" i="167"/>
  <c r="G35" i="167"/>
  <c r="G6" i="167"/>
  <c r="G18" i="167"/>
  <c r="G30" i="167"/>
  <c r="G13" i="167"/>
  <c r="G25" i="167"/>
  <c r="G8" i="167"/>
  <c r="G20" i="167"/>
  <c r="G32" i="167"/>
  <c r="G15" i="167"/>
  <c r="G27" i="167"/>
  <c r="G46" i="167"/>
  <c r="G58" i="167"/>
  <c r="G29" i="167"/>
  <c r="G41" i="167"/>
  <c r="G53" i="167"/>
  <c r="G12" i="167"/>
  <c r="G48" i="167"/>
  <c r="G60" i="167"/>
  <c r="G34" i="167"/>
  <c r="G43" i="167"/>
  <c r="G55" i="167"/>
  <c r="G17" i="167"/>
  <c r="G38" i="167"/>
  <c r="G50" i="167"/>
  <c r="G22" i="167"/>
  <c r="G40" i="167"/>
  <c r="G52" i="167"/>
  <c r="G45" i="167"/>
  <c r="G71" i="167"/>
  <c r="G5" i="167"/>
  <c r="G59" i="167"/>
  <c r="G66" i="167"/>
  <c r="G36" i="167"/>
  <c r="G42" i="167"/>
  <c r="G73" i="167"/>
  <c r="G49" i="167"/>
  <c r="G68" i="167"/>
  <c r="G57" i="167"/>
  <c r="G65" i="167"/>
  <c r="G77" i="167"/>
  <c r="G54" i="167"/>
  <c r="G67" i="167"/>
  <c r="G10" i="167"/>
  <c r="G37" i="167"/>
  <c r="G61" i="167"/>
  <c r="G62" i="167"/>
  <c r="G74" i="167"/>
  <c r="G51" i="167"/>
  <c r="G86" i="167"/>
  <c r="G75" i="167"/>
  <c r="G81" i="167"/>
  <c r="G93" i="167"/>
  <c r="G44" i="167"/>
  <c r="G63" i="167"/>
  <c r="G88" i="167"/>
  <c r="G76" i="167"/>
  <c r="G83" i="167"/>
  <c r="G96" i="167"/>
  <c r="G39" i="167"/>
  <c r="G80" i="167"/>
  <c r="G92" i="167"/>
  <c r="G69" i="167"/>
  <c r="G82" i="167"/>
  <c r="G95" i="167"/>
  <c r="G47" i="167"/>
  <c r="G70" i="167"/>
  <c r="G89" i="167"/>
  <c r="G24" i="167"/>
  <c r="G56" i="167"/>
  <c r="G72" i="167"/>
  <c r="G97" i="167"/>
  <c r="G99" i="167"/>
  <c r="G111" i="167"/>
  <c r="G84" i="167"/>
  <c r="G98" i="167"/>
  <c r="G106" i="167"/>
  <c r="G85" i="167"/>
  <c r="G101" i="167"/>
  <c r="G113" i="167"/>
  <c r="G108" i="167"/>
  <c r="G64" i="167"/>
  <c r="G87" i="167"/>
  <c r="G103" i="167"/>
  <c r="G115" i="167"/>
  <c r="G90" i="167"/>
  <c r="G105" i="167"/>
  <c r="G78" i="167"/>
  <c r="G91" i="167"/>
  <c r="G119" i="167"/>
  <c r="G131" i="167"/>
  <c r="G102" i="167"/>
  <c r="G126" i="167"/>
  <c r="G109" i="167"/>
  <c r="G121" i="167"/>
  <c r="G133" i="167"/>
  <c r="G116" i="167"/>
  <c r="G128" i="167"/>
  <c r="G110" i="167"/>
  <c r="G123" i="167"/>
  <c r="G107" i="167"/>
  <c r="G117" i="167"/>
  <c r="G125" i="167"/>
  <c r="G127" i="167"/>
  <c r="G104" i="167"/>
  <c r="G122" i="167"/>
  <c r="G134" i="167"/>
  <c r="G139" i="167"/>
  <c r="G147" i="167"/>
  <c r="G120" i="167"/>
  <c r="G142" i="167"/>
  <c r="G146" i="167"/>
  <c r="G136" i="167"/>
  <c r="G149" i="167"/>
  <c r="G137" i="167"/>
  <c r="G144" i="167"/>
  <c r="G100" i="167"/>
  <c r="G118" i="167"/>
  <c r="G140" i="167"/>
  <c r="G79" i="167"/>
  <c r="G114" i="167"/>
  <c r="G132" i="167"/>
  <c r="G112" i="167"/>
  <c r="G124" i="167"/>
  <c r="G138" i="167"/>
  <c r="G148" i="167"/>
  <c r="G130" i="167"/>
  <c r="G143" i="167"/>
  <c r="G3" i="167"/>
  <c r="G145" i="167"/>
  <c r="G150" i="167"/>
  <c r="G135" i="167"/>
  <c r="G141" i="167"/>
  <c r="G129" i="167"/>
  <c r="G212" i="167"/>
  <c r="G205" i="167"/>
  <c r="G193" i="167"/>
  <c r="G215" i="167"/>
  <c r="G203" i="167"/>
  <c r="G191" i="167"/>
  <c r="G216" i="167"/>
  <c r="G196" i="167"/>
  <c r="G190" i="167"/>
  <c r="G182" i="167"/>
  <c r="G194" i="167"/>
  <c r="G188" i="167"/>
  <c r="G178" i="167"/>
  <c r="G192" i="167"/>
  <c r="G189" i="167"/>
  <c r="G184" i="167"/>
  <c r="G176" i="167"/>
  <c r="G211" i="167"/>
  <c r="G183" i="167"/>
  <c r="G210" i="167"/>
  <c r="G180" i="167"/>
  <c r="G174" i="167"/>
  <c r="G164" i="167"/>
  <c r="G214" i="167"/>
  <c r="G209" i="167"/>
  <c r="G207" i="167"/>
  <c r="G201" i="167"/>
  <c r="G197" i="167"/>
  <c r="G195" i="167"/>
  <c r="G160" i="167"/>
  <c r="G166" i="167"/>
  <c r="G169" i="167"/>
  <c r="G162" i="167"/>
  <c r="G153" i="167"/>
  <c r="G186" i="167"/>
  <c r="G177" i="167"/>
  <c r="G175" i="167"/>
  <c r="G204" i="167"/>
  <c r="G198" i="167"/>
  <c r="G213" i="167"/>
  <c r="G163" i="167"/>
  <c r="G179" i="167"/>
  <c r="G168" i="167"/>
  <c r="G199" i="167"/>
  <c r="G187" i="167"/>
  <c r="G173" i="167"/>
  <c r="G159" i="167"/>
  <c r="G154" i="167"/>
  <c r="G208" i="167"/>
  <c r="G202" i="167"/>
  <c r="G170" i="167"/>
  <c r="G172" i="167"/>
  <c r="G185" i="167"/>
  <c r="G181" i="167"/>
  <c r="G206" i="167"/>
  <c r="G200" i="167"/>
  <c r="G167" i="167"/>
  <c r="G161" i="167"/>
  <c r="G156" i="167"/>
  <c r="G158" i="167"/>
  <c r="G165" i="167"/>
  <c r="G155" i="167"/>
  <c r="G157" i="167"/>
  <c r="G152" i="167"/>
  <c r="G171" i="167"/>
  <c r="H1" i="167"/>
  <c r="AB33" i="169" l="1"/>
  <c r="AB39" i="169"/>
  <c r="AB45" i="169"/>
  <c r="AB51" i="169"/>
  <c r="AB57" i="169"/>
  <c r="AB63" i="169"/>
  <c r="AB69" i="169"/>
  <c r="AB75" i="169"/>
  <c r="AB81" i="169"/>
  <c r="AB87" i="169"/>
  <c r="AB34" i="169"/>
  <c r="AB40" i="169"/>
  <c r="AB46" i="169"/>
  <c r="AB52" i="169"/>
  <c r="AB58" i="169"/>
  <c r="AB64" i="169"/>
  <c r="AB35" i="169"/>
  <c r="AB41" i="169"/>
  <c r="AB47" i="169"/>
  <c r="AB53" i="169"/>
  <c r="AB59" i="169"/>
  <c r="AB65" i="169"/>
  <c r="AB71" i="169"/>
  <c r="AB77" i="169"/>
  <c r="AB83" i="169"/>
  <c r="AB89" i="169"/>
  <c r="AB95" i="169"/>
  <c r="AB36" i="169"/>
  <c r="AB42" i="169"/>
  <c r="AB48" i="169"/>
  <c r="AB54" i="169"/>
  <c r="AB60" i="169"/>
  <c r="AB66" i="169"/>
  <c r="AB72" i="169"/>
  <c r="AB78" i="169"/>
  <c r="AB84" i="169"/>
  <c r="AB90" i="169"/>
  <c r="AB96" i="169"/>
  <c r="AB37" i="169"/>
  <c r="AB43" i="169"/>
  <c r="AB49" i="169"/>
  <c r="AB55" i="169"/>
  <c r="AB61" i="169"/>
  <c r="AB67" i="169"/>
  <c r="AB73" i="169"/>
  <c r="AB79" i="169"/>
  <c r="AB85" i="169"/>
  <c r="AB91" i="169"/>
  <c r="AB97" i="169"/>
  <c r="AB44" i="169"/>
  <c r="AB50" i="169"/>
  <c r="AB68" i="169"/>
  <c r="AB86" i="169"/>
  <c r="AB100" i="169"/>
  <c r="AB106" i="169"/>
  <c r="AB112" i="169"/>
  <c r="AB118" i="169"/>
  <c r="AB124" i="169"/>
  <c r="AB130" i="169"/>
  <c r="AB136" i="169"/>
  <c r="AB142" i="169"/>
  <c r="AB62" i="169"/>
  <c r="AB74" i="169"/>
  <c r="AB92" i="169"/>
  <c r="AB94" i="169"/>
  <c r="AB102" i="169"/>
  <c r="AB108" i="169"/>
  <c r="AB114" i="169"/>
  <c r="AB120" i="169"/>
  <c r="AB70" i="169"/>
  <c r="AB88" i="169"/>
  <c r="AB98" i="169"/>
  <c r="AB103" i="169"/>
  <c r="AB109" i="169"/>
  <c r="AB115" i="169"/>
  <c r="AB121" i="169"/>
  <c r="AB127" i="169"/>
  <c r="AB133" i="169"/>
  <c r="AB139" i="169"/>
  <c r="AB145" i="169"/>
  <c r="AB80" i="169"/>
  <c r="AB104" i="169"/>
  <c r="AB116" i="169"/>
  <c r="AB128" i="169"/>
  <c r="AB137" i="169"/>
  <c r="AB146" i="169"/>
  <c r="AB148" i="169"/>
  <c r="AB154" i="169"/>
  <c r="AB9" i="169"/>
  <c r="AB15" i="169"/>
  <c r="AB21" i="169"/>
  <c r="AB99" i="169"/>
  <c r="AB111" i="169"/>
  <c r="AB126" i="169"/>
  <c r="AB135" i="169"/>
  <c r="AB144" i="169"/>
  <c r="AB149" i="169"/>
  <c r="AB4" i="169"/>
  <c r="AB10" i="169"/>
  <c r="AB16" i="169"/>
  <c r="AB22" i="169"/>
  <c r="AB101" i="169"/>
  <c r="AB113" i="169"/>
  <c r="AB56" i="169"/>
  <c r="AB93" i="169"/>
  <c r="AB110" i="169"/>
  <c r="AB129" i="169"/>
  <c r="AB138" i="169"/>
  <c r="AB151" i="169"/>
  <c r="AB6" i="169"/>
  <c r="AB12" i="169"/>
  <c r="AB18" i="169"/>
  <c r="AB24" i="169"/>
  <c r="AB38" i="169"/>
  <c r="AB117" i="169"/>
  <c r="AB125" i="169"/>
  <c r="AB143" i="169"/>
  <c r="AB152" i="169"/>
  <c r="AB13" i="169"/>
  <c r="AB25" i="169"/>
  <c r="AB26" i="169"/>
  <c r="AB32" i="169"/>
  <c r="AB3" i="169"/>
  <c r="AB11" i="169"/>
  <c r="AB23" i="169"/>
  <c r="AB132" i="169"/>
  <c r="AB147" i="169"/>
  <c r="AB8" i="169"/>
  <c r="AB20" i="169"/>
  <c r="AB27" i="169"/>
  <c r="AB150" i="169"/>
  <c r="AB31" i="169"/>
  <c r="AB131" i="169"/>
  <c r="AB5" i="169"/>
  <c r="AB17" i="169"/>
  <c r="AB28" i="169"/>
  <c r="AB123" i="169"/>
  <c r="AB141" i="169"/>
  <c r="AB30" i="169"/>
  <c r="AB119" i="169"/>
  <c r="AB82" i="169"/>
  <c r="AB107" i="169"/>
  <c r="AB134" i="169"/>
  <c r="AB7" i="169"/>
  <c r="AB19" i="169"/>
  <c r="AB29" i="169"/>
  <c r="AB76" i="169"/>
  <c r="AB105" i="169"/>
  <c r="AB153" i="169"/>
  <c r="AB14" i="169"/>
  <c r="AB122" i="169"/>
  <c r="AB140" i="169"/>
  <c r="AB212" i="169"/>
  <c r="AB200" i="169"/>
  <c r="AB217" i="169"/>
  <c r="AB210" i="169"/>
  <c r="AB215" i="169"/>
  <c r="AB208" i="169"/>
  <c r="AB213" i="169"/>
  <c r="AB218" i="169"/>
  <c r="AB206" i="169"/>
  <c r="AB194" i="169"/>
  <c r="AB211" i="169"/>
  <c r="AB199" i="169"/>
  <c r="AB187" i="169"/>
  <c r="AB216" i="169"/>
  <c r="AB209" i="169"/>
  <c r="AB214" i="169"/>
  <c r="AB207" i="169"/>
  <c r="AB195" i="169"/>
  <c r="AB204" i="169"/>
  <c r="AB196" i="169"/>
  <c r="AB192" i="169"/>
  <c r="AB179" i="169"/>
  <c r="AB197" i="169"/>
  <c r="AB186" i="169"/>
  <c r="AB184" i="169"/>
  <c r="AB191" i="169"/>
  <c r="AB205" i="169"/>
  <c r="AB201" i="169"/>
  <c r="AB198" i="169"/>
  <c r="AB190" i="169"/>
  <c r="AB202" i="169"/>
  <c r="AB189" i="169"/>
  <c r="AB185" i="169"/>
  <c r="AB173" i="169"/>
  <c r="AB188" i="169"/>
  <c r="AB183" i="169"/>
  <c r="AB203" i="169"/>
  <c r="AB176" i="169"/>
  <c r="AB193" i="169"/>
  <c r="AB181" i="169"/>
  <c r="AB169" i="169"/>
  <c r="AB167" i="169"/>
  <c r="AB155" i="169"/>
  <c r="AB182" i="169"/>
  <c r="AB177" i="169"/>
  <c r="AB175" i="169"/>
  <c r="AB168" i="169"/>
  <c r="AB172" i="169"/>
  <c r="AB161" i="169"/>
  <c r="AB166" i="169"/>
  <c r="AB171" i="169"/>
  <c r="AB170" i="169"/>
  <c r="AB180" i="169"/>
  <c r="AB178" i="169"/>
  <c r="AB174" i="169"/>
  <c r="AB162" i="169"/>
  <c r="AB163" i="169"/>
  <c r="AB160" i="169"/>
  <c r="AB156" i="169"/>
  <c r="AB164" i="169"/>
  <c r="AB157" i="169"/>
  <c r="AB165" i="169"/>
  <c r="AB158" i="169"/>
  <c r="AB159" i="169"/>
  <c r="AC1" i="169"/>
  <c r="H94" i="167"/>
  <c r="H151" i="167"/>
  <c r="H12" i="167"/>
  <c r="H24" i="167"/>
  <c r="H36" i="167"/>
  <c r="H7" i="167"/>
  <c r="H19" i="167"/>
  <c r="H31" i="167"/>
  <c r="H14" i="167"/>
  <c r="H26" i="167"/>
  <c r="H9" i="167"/>
  <c r="H21" i="167"/>
  <c r="H33" i="167"/>
  <c r="H4" i="167"/>
  <c r="H16" i="167"/>
  <c r="H28" i="167"/>
  <c r="H11" i="167"/>
  <c r="H23" i="167"/>
  <c r="H35" i="167"/>
  <c r="H6" i="167"/>
  <c r="H18" i="167"/>
  <c r="H30" i="167"/>
  <c r="H13" i="167"/>
  <c r="H25" i="167"/>
  <c r="H8" i="167"/>
  <c r="H20" i="167"/>
  <c r="H32" i="167"/>
  <c r="H15" i="167"/>
  <c r="H39" i="167"/>
  <c r="H51" i="167"/>
  <c r="H46" i="167"/>
  <c r="H58" i="167"/>
  <c r="H29" i="167"/>
  <c r="H41" i="167"/>
  <c r="H53" i="167"/>
  <c r="H48" i="167"/>
  <c r="H60" i="167"/>
  <c r="H34" i="167"/>
  <c r="H43" i="167"/>
  <c r="H55" i="167"/>
  <c r="H45" i="167"/>
  <c r="H57" i="167"/>
  <c r="H17" i="167"/>
  <c r="H38" i="167"/>
  <c r="H64" i="167"/>
  <c r="H76" i="167"/>
  <c r="H52" i="167"/>
  <c r="H71" i="167"/>
  <c r="H5" i="167"/>
  <c r="H59" i="167"/>
  <c r="H66" i="167"/>
  <c r="H78" i="167"/>
  <c r="H27" i="167"/>
  <c r="H42" i="167"/>
  <c r="H73" i="167"/>
  <c r="H50" i="167"/>
  <c r="H70" i="167"/>
  <c r="H47" i="167"/>
  <c r="H72" i="167"/>
  <c r="H54" i="167"/>
  <c r="H67" i="167"/>
  <c r="H40" i="167"/>
  <c r="H79" i="167"/>
  <c r="H91" i="167"/>
  <c r="H74" i="167"/>
  <c r="H86" i="167"/>
  <c r="H62" i="167"/>
  <c r="H75" i="167"/>
  <c r="H81" i="167"/>
  <c r="H93" i="167"/>
  <c r="H22" i="167"/>
  <c r="H44" i="167"/>
  <c r="H63" i="167"/>
  <c r="H88" i="167"/>
  <c r="H85" i="167"/>
  <c r="H98" i="167"/>
  <c r="H10" i="167"/>
  <c r="H56" i="167"/>
  <c r="H87" i="167"/>
  <c r="H69" i="167"/>
  <c r="H82" i="167"/>
  <c r="H95" i="167"/>
  <c r="H83" i="167"/>
  <c r="H104" i="167"/>
  <c r="H116" i="167"/>
  <c r="H61" i="167"/>
  <c r="H97" i="167"/>
  <c r="H99" i="167"/>
  <c r="H111" i="167"/>
  <c r="H68" i="167"/>
  <c r="H77" i="167"/>
  <c r="H84" i="167"/>
  <c r="H106" i="167"/>
  <c r="H101" i="167"/>
  <c r="H113" i="167"/>
  <c r="H108" i="167"/>
  <c r="H89" i="167"/>
  <c r="H110" i="167"/>
  <c r="H112" i="167"/>
  <c r="H124" i="167"/>
  <c r="H136" i="167"/>
  <c r="H119" i="167"/>
  <c r="H131" i="167"/>
  <c r="H65" i="167"/>
  <c r="H80" i="167"/>
  <c r="H102" i="167"/>
  <c r="H126" i="167"/>
  <c r="H96" i="167"/>
  <c r="H109" i="167"/>
  <c r="H121" i="167"/>
  <c r="H133" i="167"/>
  <c r="H103" i="167"/>
  <c r="H128" i="167"/>
  <c r="H100" i="167"/>
  <c r="H118" i="167"/>
  <c r="H130" i="167"/>
  <c r="H114" i="167"/>
  <c r="H120" i="167"/>
  <c r="H132" i="167"/>
  <c r="H127" i="167"/>
  <c r="H134" i="167"/>
  <c r="H135" i="167"/>
  <c r="H140" i="167"/>
  <c r="H37" i="167"/>
  <c r="H139" i="167"/>
  <c r="H147" i="167"/>
  <c r="H142" i="167"/>
  <c r="H149" i="167"/>
  <c r="H90" i="167"/>
  <c r="H137" i="167"/>
  <c r="H144" i="167"/>
  <c r="H107" i="167"/>
  <c r="H125" i="167"/>
  <c r="H49" i="167"/>
  <c r="H146" i="167"/>
  <c r="H105" i="167"/>
  <c r="H123" i="167"/>
  <c r="H138" i="167"/>
  <c r="H148" i="167"/>
  <c r="H117" i="167"/>
  <c r="H122" i="167"/>
  <c r="H115" i="167"/>
  <c r="H143" i="167"/>
  <c r="H150" i="167"/>
  <c r="H3" i="167"/>
  <c r="H145" i="167"/>
  <c r="H141" i="167"/>
  <c r="H129" i="167"/>
  <c r="H92" i="167"/>
  <c r="H210" i="167"/>
  <c r="H198" i="167"/>
  <c r="H186" i="167"/>
  <c r="H208" i="167"/>
  <c r="H196" i="167"/>
  <c r="H184" i="167"/>
  <c r="H209" i="167"/>
  <c r="H189" i="167"/>
  <c r="H207" i="167"/>
  <c r="H187" i="167"/>
  <c r="H183" i="167"/>
  <c r="H214" i="167"/>
  <c r="H202" i="167"/>
  <c r="H197" i="167"/>
  <c r="H179" i="167"/>
  <c r="H173" i="167"/>
  <c r="H215" i="167"/>
  <c r="H199" i="167"/>
  <c r="H194" i="167"/>
  <c r="H178" i="167"/>
  <c r="H212" i="167"/>
  <c r="H181" i="167"/>
  <c r="H169" i="167"/>
  <c r="H157" i="167"/>
  <c r="H152" i="167"/>
  <c r="H211" i="167"/>
  <c r="H205" i="167"/>
  <c r="H203" i="167"/>
  <c r="H172" i="167"/>
  <c r="H165" i="167"/>
  <c r="H153" i="167"/>
  <c r="H180" i="167"/>
  <c r="H182" i="167"/>
  <c r="H168" i="167"/>
  <c r="H155" i="167"/>
  <c r="H166" i="167"/>
  <c r="H177" i="167"/>
  <c r="H176" i="167"/>
  <c r="H175" i="167"/>
  <c r="H171" i="167"/>
  <c r="H204" i="167"/>
  <c r="H201" i="167"/>
  <c r="H195" i="167"/>
  <c r="H192" i="167"/>
  <c r="H213" i="167"/>
  <c r="H174" i="167"/>
  <c r="H159" i="167"/>
  <c r="H216" i="167"/>
  <c r="H193" i="167"/>
  <c r="H190" i="167"/>
  <c r="H170" i="167"/>
  <c r="H164" i="167"/>
  <c r="H206" i="167"/>
  <c r="H200" i="167"/>
  <c r="H191" i="167"/>
  <c r="H188" i="167"/>
  <c r="H167" i="167"/>
  <c r="H185" i="167"/>
  <c r="H163" i="167"/>
  <c r="H156" i="167"/>
  <c r="H160" i="167"/>
  <c r="H158" i="167"/>
  <c r="H154" i="167"/>
  <c r="H161" i="167"/>
  <c r="H162" i="167"/>
  <c r="I1" i="167"/>
  <c r="AC38" i="169" l="1"/>
  <c r="AC44" i="169"/>
  <c r="AC50" i="169"/>
  <c r="AC56" i="169"/>
  <c r="AC62" i="169"/>
  <c r="AC68" i="169"/>
  <c r="AC74" i="169"/>
  <c r="AC80" i="169"/>
  <c r="AC86" i="169"/>
  <c r="AC92" i="169"/>
  <c r="AC33" i="169"/>
  <c r="AC39" i="169"/>
  <c r="AC45" i="169"/>
  <c r="AC51" i="169"/>
  <c r="AC57" i="169"/>
  <c r="AC63" i="169"/>
  <c r="AC34" i="169"/>
  <c r="AC40" i="169"/>
  <c r="AC46" i="169"/>
  <c r="AC52" i="169"/>
  <c r="AC58" i="169"/>
  <c r="AC64" i="169"/>
  <c r="AC70" i="169"/>
  <c r="AC76" i="169"/>
  <c r="AC82" i="169"/>
  <c r="AC88" i="169"/>
  <c r="AC94" i="169"/>
  <c r="AC35" i="169"/>
  <c r="AC41" i="169"/>
  <c r="AC47" i="169"/>
  <c r="AC53" i="169"/>
  <c r="AC59" i="169"/>
  <c r="AC65" i="169"/>
  <c r="AC71" i="169"/>
  <c r="AC77" i="169"/>
  <c r="AC83" i="169"/>
  <c r="AC89" i="169"/>
  <c r="AC95" i="169"/>
  <c r="AC36" i="169"/>
  <c r="AC42" i="169"/>
  <c r="AC48" i="169"/>
  <c r="AC54" i="169"/>
  <c r="AC60" i="169"/>
  <c r="AC66" i="169"/>
  <c r="AC72" i="169"/>
  <c r="AC78" i="169"/>
  <c r="AC84" i="169"/>
  <c r="AC90" i="169"/>
  <c r="AC96" i="169"/>
  <c r="AC37" i="169"/>
  <c r="AC43" i="169"/>
  <c r="AC79" i="169"/>
  <c r="AC97" i="169"/>
  <c r="AC99" i="169"/>
  <c r="AC105" i="169"/>
  <c r="AC111" i="169"/>
  <c r="AC117" i="169"/>
  <c r="AC123" i="169"/>
  <c r="AC129" i="169"/>
  <c r="AC135" i="169"/>
  <c r="AC141" i="169"/>
  <c r="AC55" i="169"/>
  <c r="AC67" i="169"/>
  <c r="AC85" i="169"/>
  <c r="AC101" i="169"/>
  <c r="AC107" i="169"/>
  <c r="AC113" i="169"/>
  <c r="AC119" i="169"/>
  <c r="AC61" i="169"/>
  <c r="AC81" i="169"/>
  <c r="AC102" i="169"/>
  <c r="AC108" i="169"/>
  <c r="AC114" i="169"/>
  <c r="AC120" i="169"/>
  <c r="AC126" i="169"/>
  <c r="AC132" i="169"/>
  <c r="AC138" i="169"/>
  <c r="AC144" i="169"/>
  <c r="AC73" i="169"/>
  <c r="AC98" i="169"/>
  <c r="AC109" i="169"/>
  <c r="AC121" i="169"/>
  <c r="AC130" i="169"/>
  <c r="AC139" i="169"/>
  <c r="AC147" i="169"/>
  <c r="AC153" i="169"/>
  <c r="AC8" i="169"/>
  <c r="AC14" i="169"/>
  <c r="AC20" i="169"/>
  <c r="AC87" i="169"/>
  <c r="AC104" i="169"/>
  <c r="AC116" i="169"/>
  <c r="AC128" i="169"/>
  <c r="AC137" i="169"/>
  <c r="AC146" i="169"/>
  <c r="AC148" i="169"/>
  <c r="AC154" i="169"/>
  <c r="AC9" i="169"/>
  <c r="AC15" i="169"/>
  <c r="AC21" i="169"/>
  <c r="AC106" i="169"/>
  <c r="AC118" i="169"/>
  <c r="AC49" i="169"/>
  <c r="AC91" i="169"/>
  <c r="AC103" i="169"/>
  <c r="AC115" i="169"/>
  <c r="AC122" i="169"/>
  <c r="AC131" i="169"/>
  <c r="AC140" i="169"/>
  <c r="AC150" i="169"/>
  <c r="AC5" i="169"/>
  <c r="AC11" i="169"/>
  <c r="AC17" i="169"/>
  <c r="AC23" i="169"/>
  <c r="AC110" i="169"/>
  <c r="AC136" i="169"/>
  <c r="AC6" i="169"/>
  <c r="AC18" i="169"/>
  <c r="AC31" i="169"/>
  <c r="AC13" i="169"/>
  <c r="AC25" i="169"/>
  <c r="AC32" i="169"/>
  <c r="AC3" i="169"/>
  <c r="AC30" i="169"/>
  <c r="AC125" i="169"/>
  <c r="AC143" i="169"/>
  <c r="AC152" i="169"/>
  <c r="AC26" i="169"/>
  <c r="AC124" i="169"/>
  <c r="AC142" i="169"/>
  <c r="AC149" i="169"/>
  <c r="AC10" i="169"/>
  <c r="AC22" i="169"/>
  <c r="AC27" i="169"/>
  <c r="AC93" i="169"/>
  <c r="AC7" i="169"/>
  <c r="AC112" i="169"/>
  <c r="AC133" i="169"/>
  <c r="AC4" i="169"/>
  <c r="AC75" i="169"/>
  <c r="AC100" i="169"/>
  <c r="AC127" i="169"/>
  <c r="AC145" i="169"/>
  <c r="AC151" i="169"/>
  <c r="AC12" i="169"/>
  <c r="AC24" i="169"/>
  <c r="AC28" i="169"/>
  <c r="AC69" i="169"/>
  <c r="AC134" i="169"/>
  <c r="AC19" i="169"/>
  <c r="AC29" i="169"/>
  <c r="AC16" i="169"/>
  <c r="AC217" i="169"/>
  <c r="AC205" i="169"/>
  <c r="AC210" i="169"/>
  <c r="AC215" i="169"/>
  <c r="AC208" i="169"/>
  <c r="AC213" i="169"/>
  <c r="AC218" i="169"/>
  <c r="AC206" i="169"/>
  <c r="AC211" i="169"/>
  <c r="AC199" i="169"/>
  <c r="AC216" i="169"/>
  <c r="AC204" i="169"/>
  <c r="AC192" i="169"/>
  <c r="AC209" i="169"/>
  <c r="AC214" i="169"/>
  <c r="AC212" i="169"/>
  <c r="AC200" i="169"/>
  <c r="AC188" i="169"/>
  <c r="AC197" i="169"/>
  <c r="AC186" i="169"/>
  <c r="AC184" i="169"/>
  <c r="AC172" i="169"/>
  <c r="AC191" i="169"/>
  <c r="AC201" i="169"/>
  <c r="AC182" i="169"/>
  <c r="AC198" i="169"/>
  <c r="AC190" i="169"/>
  <c r="AC207" i="169"/>
  <c r="AC202" i="169"/>
  <c r="AC189" i="169"/>
  <c r="AC185" i="169"/>
  <c r="AC178" i="169"/>
  <c r="AC183" i="169"/>
  <c r="AC203" i="169"/>
  <c r="AC176" i="169"/>
  <c r="AC193" i="169"/>
  <c r="AC187" i="169"/>
  <c r="AC181" i="169"/>
  <c r="AC195" i="169"/>
  <c r="AC194" i="169"/>
  <c r="AC174" i="169"/>
  <c r="AC160" i="169"/>
  <c r="AC179" i="169"/>
  <c r="AC177" i="169"/>
  <c r="AC175" i="169"/>
  <c r="AC168" i="169"/>
  <c r="AC196" i="169"/>
  <c r="AC166" i="169"/>
  <c r="AC171" i="169"/>
  <c r="AC159" i="169"/>
  <c r="AC173" i="169"/>
  <c r="AC170" i="169"/>
  <c r="AC180" i="169"/>
  <c r="AC169" i="169"/>
  <c r="AC167" i="169"/>
  <c r="AC155" i="169"/>
  <c r="AC156" i="169"/>
  <c r="AC164" i="169"/>
  <c r="AC157" i="169"/>
  <c r="AC165" i="169"/>
  <c r="AC161" i="169"/>
  <c r="AC158" i="169"/>
  <c r="AC162" i="169"/>
  <c r="AC163" i="169"/>
  <c r="AD1" i="169"/>
  <c r="I151" i="167"/>
  <c r="I94" i="167"/>
  <c r="I5" i="167"/>
  <c r="I17" i="167"/>
  <c r="I29" i="167"/>
  <c r="I12" i="167"/>
  <c r="I24" i="167"/>
  <c r="I36" i="167"/>
  <c r="I7" i="167"/>
  <c r="I19" i="167"/>
  <c r="I31" i="167"/>
  <c r="I14" i="167"/>
  <c r="I26" i="167"/>
  <c r="I9" i="167"/>
  <c r="I21" i="167"/>
  <c r="I33" i="167"/>
  <c r="I4" i="167"/>
  <c r="I16" i="167"/>
  <c r="I28" i="167"/>
  <c r="I11" i="167"/>
  <c r="I23" i="167"/>
  <c r="I35" i="167"/>
  <c r="I6" i="167"/>
  <c r="I18" i="167"/>
  <c r="I30" i="167"/>
  <c r="I13" i="167"/>
  <c r="I25" i="167"/>
  <c r="I32" i="167"/>
  <c r="I44" i="167"/>
  <c r="I56" i="167"/>
  <c r="I15" i="167"/>
  <c r="I39" i="167"/>
  <c r="I51" i="167"/>
  <c r="I46" i="167"/>
  <c r="I58" i="167"/>
  <c r="I20" i="167"/>
  <c r="I41" i="167"/>
  <c r="I53" i="167"/>
  <c r="I48" i="167"/>
  <c r="I60" i="167"/>
  <c r="I8" i="167"/>
  <c r="I38" i="167"/>
  <c r="I50" i="167"/>
  <c r="I55" i="167"/>
  <c r="I69" i="167"/>
  <c r="I45" i="167"/>
  <c r="I64" i="167"/>
  <c r="I76" i="167"/>
  <c r="I52" i="167"/>
  <c r="I71" i="167"/>
  <c r="I59" i="167"/>
  <c r="I66" i="167"/>
  <c r="I34" i="167"/>
  <c r="I43" i="167"/>
  <c r="I63" i="167"/>
  <c r="I75" i="167"/>
  <c r="I22" i="167"/>
  <c r="I40" i="167"/>
  <c r="I65" i="167"/>
  <c r="I77" i="167"/>
  <c r="I47" i="167"/>
  <c r="I72" i="167"/>
  <c r="I73" i="167"/>
  <c r="I84" i="167"/>
  <c r="I97" i="167"/>
  <c r="I42" i="167"/>
  <c r="I79" i="167"/>
  <c r="I91" i="167"/>
  <c r="I57" i="167"/>
  <c r="I74" i="167"/>
  <c r="I86" i="167"/>
  <c r="I62" i="167"/>
  <c r="I81" i="167"/>
  <c r="I93" i="167"/>
  <c r="I37" i="167"/>
  <c r="I78" i="167"/>
  <c r="I90" i="167"/>
  <c r="I68" i="167"/>
  <c r="I80" i="167"/>
  <c r="I92" i="167"/>
  <c r="I10" i="167"/>
  <c r="I87" i="167"/>
  <c r="I82" i="167"/>
  <c r="I96" i="167"/>
  <c r="I109" i="167"/>
  <c r="I70" i="167"/>
  <c r="I83" i="167"/>
  <c r="I104" i="167"/>
  <c r="I116" i="167"/>
  <c r="I27" i="167"/>
  <c r="I61" i="167"/>
  <c r="I98" i="167"/>
  <c r="I99" i="167"/>
  <c r="I111" i="167"/>
  <c r="I85" i="167"/>
  <c r="I106" i="167"/>
  <c r="I101" i="167"/>
  <c r="I113" i="167"/>
  <c r="I49" i="167"/>
  <c r="I103" i="167"/>
  <c r="I115" i="167"/>
  <c r="I105" i="167"/>
  <c r="I129" i="167"/>
  <c r="I141" i="167"/>
  <c r="I112" i="167"/>
  <c r="I124" i="167"/>
  <c r="I119" i="167"/>
  <c r="I131" i="167"/>
  <c r="I102" i="167"/>
  <c r="I126" i="167"/>
  <c r="I88" i="167"/>
  <c r="I121" i="167"/>
  <c r="I123" i="167"/>
  <c r="I107" i="167"/>
  <c r="I117" i="167"/>
  <c r="I125" i="167"/>
  <c r="I95" i="167"/>
  <c r="I114" i="167"/>
  <c r="I120" i="167"/>
  <c r="I132" i="167"/>
  <c r="I128" i="167"/>
  <c r="I145" i="167"/>
  <c r="I3" i="167"/>
  <c r="I144" i="167"/>
  <c r="I134" i="167"/>
  <c r="I135" i="167"/>
  <c r="I127" i="167"/>
  <c r="I139" i="167"/>
  <c r="I147" i="167"/>
  <c r="I89" i="167"/>
  <c r="I136" i="167"/>
  <c r="I142" i="167"/>
  <c r="I137" i="167"/>
  <c r="I149" i="167"/>
  <c r="I67" i="167"/>
  <c r="I100" i="167"/>
  <c r="I118" i="167"/>
  <c r="I140" i="167"/>
  <c r="I146" i="167"/>
  <c r="I54" i="167"/>
  <c r="I110" i="167"/>
  <c r="I133" i="167"/>
  <c r="I108" i="167"/>
  <c r="I138" i="167"/>
  <c r="I122" i="167"/>
  <c r="I143" i="167"/>
  <c r="I150" i="167"/>
  <c r="I148" i="167"/>
  <c r="I130" i="167"/>
  <c r="I215" i="167"/>
  <c r="I203" i="167"/>
  <c r="I191" i="167"/>
  <c r="I213" i="167"/>
  <c r="I201" i="167"/>
  <c r="I189" i="167"/>
  <c r="I202" i="167"/>
  <c r="I180" i="167"/>
  <c r="I206" i="167"/>
  <c r="I200" i="167"/>
  <c r="I207" i="167"/>
  <c r="I204" i="167"/>
  <c r="I183" i="167"/>
  <c r="I174" i="167"/>
  <c r="I177" i="167"/>
  <c r="I212" i="167"/>
  <c r="I181" i="167"/>
  <c r="I162" i="167"/>
  <c r="I178" i="167"/>
  <c r="I170" i="167"/>
  <c r="I158" i="167"/>
  <c r="I172" i="167"/>
  <c r="I165" i="167"/>
  <c r="I182" i="167"/>
  <c r="I168" i="167"/>
  <c r="I214" i="167"/>
  <c r="I175" i="167"/>
  <c r="I161" i="167"/>
  <c r="I159" i="167"/>
  <c r="I176" i="167"/>
  <c r="I171" i="167"/>
  <c r="I169" i="167"/>
  <c r="I157" i="167"/>
  <c r="I152" i="167"/>
  <c r="I195" i="167"/>
  <c r="I192" i="167"/>
  <c r="I186" i="167"/>
  <c r="I198" i="167"/>
  <c r="I210" i="167"/>
  <c r="I166" i="167"/>
  <c r="I179" i="167"/>
  <c r="I216" i="167"/>
  <c r="I199" i="167"/>
  <c r="I193" i="167"/>
  <c r="I190" i="167"/>
  <c r="I187" i="167"/>
  <c r="I184" i="167"/>
  <c r="I173" i="167"/>
  <c r="I164" i="167"/>
  <c r="I211" i="167"/>
  <c r="I208" i="167"/>
  <c r="I205" i="167"/>
  <c r="I196" i="167"/>
  <c r="I160" i="167"/>
  <c r="I155" i="167"/>
  <c r="I185" i="167"/>
  <c r="I194" i="167"/>
  <c r="I209" i="167"/>
  <c r="I197" i="167"/>
  <c r="I156" i="167"/>
  <c r="I167" i="167"/>
  <c r="I153" i="167"/>
  <c r="I188" i="167"/>
  <c r="I154" i="167"/>
  <c r="I163" i="167"/>
  <c r="J1" i="167"/>
  <c r="AD37" i="169" l="1"/>
  <c r="AD43" i="169"/>
  <c r="AD49" i="169"/>
  <c r="AD55" i="169"/>
  <c r="AD61" i="169"/>
  <c r="AD67" i="169"/>
  <c r="AD73" i="169"/>
  <c r="AD79" i="169"/>
  <c r="AD85" i="169"/>
  <c r="AD91" i="169"/>
  <c r="AD38" i="169"/>
  <c r="AD44" i="169"/>
  <c r="AD50" i="169"/>
  <c r="AD56" i="169"/>
  <c r="AD62" i="169"/>
  <c r="AD33" i="169"/>
  <c r="AD39" i="169"/>
  <c r="AD45" i="169"/>
  <c r="AD51" i="169"/>
  <c r="AD57" i="169"/>
  <c r="AD63" i="169"/>
  <c r="AD69" i="169"/>
  <c r="AD75" i="169"/>
  <c r="AD81" i="169"/>
  <c r="AD87" i="169"/>
  <c r="AD93" i="169"/>
  <c r="AD34" i="169"/>
  <c r="AD40" i="169"/>
  <c r="AD46" i="169"/>
  <c r="AD52" i="169"/>
  <c r="AD58" i="169"/>
  <c r="AD64" i="169"/>
  <c r="AD70" i="169"/>
  <c r="AD76" i="169"/>
  <c r="AD82" i="169"/>
  <c r="AD88" i="169"/>
  <c r="AD94" i="169"/>
  <c r="AD35" i="169"/>
  <c r="AD41" i="169"/>
  <c r="AD47" i="169"/>
  <c r="AD53" i="169"/>
  <c r="AD59" i="169"/>
  <c r="AD65" i="169"/>
  <c r="AD71" i="169"/>
  <c r="AD77" i="169"/>
  <c r="AD83" i="169"/>
  <c r="AD89" i="169"/>
  <c r="AD95" i="169"/>
  <c r="AD36" i="169"/>
  <c r="AD72" i="169"/>
  <c r="AD90" i="169"/>
  <c r="AD104" i="169"/>
  <c r="AD110" i="169"/>
  <c r="AD116" i="169"/>
  <c r="AD122" i="169"/>
  <c r="AD128" i="169"/>
  <c r="AD134" i="169"/>
  <c r="AD140" i="169"/>
  <c r="AD146" i="169"/>
  <c r="AD48" i="169"/>
  <c r="AD78" i="169"/>
  <c r="AD100" i="169"/>
  <c r="AD106" i="169"/>
  <c r="AD112" i="169"/>
  <c r="AD118" i="169"/>
  <c r="AD54" i="169"/>
  <c r="AD74" i="169"/>
  <c r="AD92" i="169"/>
  <c r="AD96" i="169"/>
  <c r="AD101" i="169"/>
  <c r="AD107" i="169"/>
  <c r="AD113" i="169"/>
  <c r="AD119" i="169"/>
  <c r="AD125" i="169"/>
  <c r="AD131" i="169"/>
  <c r="AD137" i="169"/>
  <c r="AD143" i="169"/>
  <c r="AD66" i="169"/>
  <c r="AD102" i="169"/>
  <c r="AD114" i="169"/>
  <c r="AD123" i="169"/>
  <c r="AD132" i="169"/>
  <c r="AD141" i="169"/>
  <c r="AD152" i="169"/>
  <c r="AD7" i="169"/>
  <c r="AD13" i="169"/>
  <c r="AD19" i="169"/>
  <c r="AD25" i="169"/>
  <c r="AD80" i="169"/>
  <c r="AD98" i="169"/>
  <c r="AD109" i="169"/>
  <c r="AD121" i="169"/>
  <c r="AD130" i="169"/>
  <c r="AD139" i="169"/>
  <c r="AD147" i="169"/>
  <c r="AD153" i="169"/>
  <c r="AD8" i="169"/>
  <c r="AD14" i="169"/>
  <c r="AD20" i="169"/>
  <c r="AD86" i="169"/>
  <c r="AD99" i="169"/>
  <c r="AD111" i="169"/>
  <c r="AD42" i="169"/>
  <c r="AD84" i="169"/>
  <c r="AD108" i="169"/>
  <c r="AD120" i="169"/>
  <c r="AD124" i="169"/>
  <c r="AD133" i="169"/>
  <c r="AD142" i="169"/>
  <c r="AD149" i="169"/>
  <c r="AD4" i="169"/>
  <c r="AD10" i="169"/>
  <c r="AD16" i="169"/>
  <c r="AD22" i="169"/>
  <c r="AD60" i="169"/>
  <c r="AD103" i="169"/>
  <c r="AD129" i="169"/>
  <c r="AD150" i="169"/>
  <c r="AD11" i="169"/>
  <c r="AD23" i="169"/>
  <c r="AD30" i="169"/>
  <c r="AD18" i="169"/>
  <c r="AD31" i="169"/>
  <c r="AD21" i="169"/>
  <c r="AD117" i="169"/>
  <c r="AD136" i="169"/>
  <c r="AD6" i="169"/>
  <c r="AD115" i="169"/>
  <c r="AD135" i="169"/>
  <c r="AD154" i="169"/>
  <c r="AD15" i="169"/>
  <c r="AD26" i="169"/>
  <c r="AD32" i="169"/>
  <c r="AD3" i="169"/>
  <c r="AD151" i="169"/>
  <c r="AD12" i="169"/>
  <c r="AD105" i="169"/>
  <c r="AD126" i="169"/>
  <c r="AD144" i="169"/>
  <c r="AD148" i="169"/>
  <c r="AD9" i="169"/>
  <c r="AD68" i="169"/>
  <c r="AD97" i="169"/>
  <c r="AD138" i="169"/>
  <c r="AD5" i="169"/>
  <c r="AD17" i="169"/>
  <c r="AD27" i="169"/>
  <c r="AD127" i="169"/>
  <c r="AD145" i="169"/>
  <c r="AD24" i="169"/>
  <c r="AD28" i="169"/>
  <c r="AD29" i="169"/>
  <c r="AD210" i="169"/>
  <c r="AD198" i="169"/>
  <c r="AD215" i="169"/>
  <c r="AD208" i="169"/>
  <c r="AD213" i="169"/>
  <c r="AD218" i="169"/>
  <c r="AD206" i="169"/>
  <c r="AD211" i="169"/>
  <c r="AD216" i="169"/>
  <c r="AD204" i="169"/>
  <c r="AD209" i="169"/>
  <c r="AD197" i="169"/>
  <c r="AD214" i="169"/>
  <c r="AD212" i="169"/>
  <c r="AD217" i="169"/>
  <c r="AD205" i="169"/>
  <c r="AD193" i="169"/>
  <c r="AD191" i="169"/>
  <c r="AD177" i="169"/>
  <c r="AD201" i="169"/>
  <c r="AD182" i="169"/>
  <c r="AD190" i="169"/>
  <c r="AD207" i="169"/>
  <c r="AD202" i="169"/>
  <c r="AD189" i="169"/>
  <c r="AD185" i="169"/>
  <c r="AD188" i="169"/>
  <c r="AD183" i="169"/>
  <c r="AD171" i="169"/>
  <c r="AD203" i="169"/>
  <c r="AD199" i="169"/>
  <c r="AD187" i="169"/>
  <c r="AD181" i="169"/>
  <c r="AD195" i="169"/>
  <c r="AD194" i="169"/>
  <c r="AD174" i="169"/>
  <c r="AD200" i="169"/>
  <c r="AD196" i="169"/>
  <c r="AD179" i="169"/>
  <c r="AD165" i="169"/>
  <c r="AD192" i="169"/>
  <c r="AD186" i="169"/>
  <c r="AD175" i="169"/>
  <c r="AD168" i="169"/>
  <c r="AD172" i="169"/>
  <c r="AD159" i="169"/>
  <c r="AD173" i="169"/>
  <c r="AD164" i="169"/>
  <c r="AD170" i="169"/>
  <c r="AD180" i="169"/>
  <c r="AD178" i="169"/>
  <c r="AD176" i="169"/>
  <c r="AD169" i="169"/>
  <c r="AD184" i="169"/>
  <c r="AD160" i="169"/>
  <c r="AD157" i="169"/>
  <c r="AD161" i="169"/>
  <c r="AD158" i="169"/>
  <c r="AD167" i="169"/>
  <c r="AD162" i="169"/>
  <c r="AD155" i="169"/>
  <c r="AD166" i="169"/>
  <c r="AD163" i="169"/>
  <c r="AD156" i="169"/>
  <c r="AE1" i="169"/>
  <c r="J151" i="167"/>
  <c r="J94" i="167"/>
  <c r="J10" i="167"/>
  <c r="J22" i="167"/>
  <c r="J34" i="167"/>
  <c r="J5" i="167"/>
  <c r="J17" i="167"/>
  <c r="J29" i="167"/>
  <c r="J12" i="167"/>
  <c r="J24" i="167"/>
  <c r="J36" i="167"/>
  <c r="J7" i="167"/>
  <c r="J19" i="167"/>
  <c r="J31" i="167"/>
  <c r="J14" i="167"/>
  <c r="J26" i="167"/>
  <c r="J9" i="167"/>
  <c r="J21" i="167"/>
  <c r="J33" i="167"/>
  <c r="J4" i="167"/>
  <c r="J16" i="167"/>
  <c r="J28" i="167"/>
  <c r="J11" i="167"/>
  <c r="J23" i="167"/>
  <c r="J35" i="167"/>
  <c r="J6" i="167"/>
  <c r="J18" i="167"/>
  <c r="J30" i="167"/>
  <c r="J37" i="167"/>
  <c r="J49" i="167"/>
  <c r="J61" i="167"/>
  <c r="J32" i="167"/>
  <c r="J44" i="167"/>
  <c r="J56" i="167"/>
  <c r="J15" i="167"/>
  <c r="J39" i="167"/>
  <c r="J51" i="167"/>
  <c r="J46" i="167"/>
  <c r="J58" i="167"/>
  <c r="J20" i="167"/>
  <c r="J41" i="167"/>
  <c r="J53" i="167"/>
  <c r="J25" i="167"/>
  <c r="J43" i="167"/>
  <c r="J55" i="167"/>
  <c r="J48" i="167"/>
  <c r="J62" i="167"/>
  <c r="J74" i="167"/>
  <c r="J8" i="167"/>
  <c r="J38" i="167"/>
  <c r="J69" i="167"/>
  <c r="J45" i="167"/>
  <c r="J64" i="167"/>
  <c r="J76" i="167"/>
  <c r="J52" i="167"/>
  <c r="J71" i="167"/>
  <c r="J60" i="167"/>
  <c r="J68" i="167"/>
  <c r="J57" i="167"/>
  <c r="J70" i="167"/>
  <c r="J13" i="167"/>
  <c r="J40" i="167"/>
  <c r="J65" i="167"/>
  <c r="J77" i="167"/>
  <c r="J27" i="167"/>
  <c r="J72" i="167"/>
  <c r="J89" i="167"/>
  <c r="J73" i="167"/>
  <c r="J84" i="167"/>
  <c r="J97" i="167"/>
  <c r="J42" i="167"/>
  <c r="J79" i="167"/>
  <c r="J91" i="167"/>
  <c r="J59" i="167"/>
  <c r="J75" i="167"/>
  <c r="J86" i="167"/>
  <c r="J66" i="167"/>
  <c r="J83" i="167"/>
  <c r="J96" i="167"/>
  <c r="J54" i="167"/>
  <c r="J67" i="167"/>
  <c r="J85" i="167"/>
  <c r="J98" i="167"/>
  <c r="J80" i="167"/>
  <c r="J92" i="167"/>
  <c r="J47" i="167"/>
  <c r="J95" i="167"/>
  <c r="J102" i="167"/>
  <c r="J114" i="167"/>
  <c r="J82" i="167"/>
  <c r="J109" i="167"/>
  <c r="J104" i="167"/>
  <c r="J116" i="167"/>
  <c r="J99" i="167"/>
  <c r="J111" i="167"/>
  <c r="J106" i="167"/>
  <c r="J88" i="167"/>
  <c r="J108" i="167"/>
  <c r="J50" i="167"/>
  <c r="J122" i="167"/>
  <c r="J134" i="167"/>
  <c r="J78" i="167"/>
  <c r="J105" i="167"/>
  <c r="J129" i="167"/>
  <c r="J93" i="167"/>
  <c r="J112" i="167"/>
  <c r="J124" i="167"/>
  <c r="J136" i="167"/>
  <c r="J119" i="167"/>
  <c r="J131" i="167"/>
  <c r="J113" i="167"/>
  <c r="J126" i="167"/>
  <c r="J90" i="167"/>
  <c r="J110" i="167"/>
  <c r="J128" i="167"/>
  <c r="J100" i="167"/>
  <c r="J118" i="167"/>
  <c r="J130" i="167"/>
  <c r="J63" i="167"/>
  <c r="J81" i="167"/>
  <c r="J107" i="167"/>
  <c r="J117" i="167"/>
  <c r="J125" i="167"/>
  <c r="J121" i="167"/>
  <c r="J150" i="167"/>
  <c r="J149" i="167"/>
  <c r="J145" i="167"/>
  <c r="J3" i="167"/>
  <c r="J120" i="167"/>
  <c r="J135" i="167"/>
  <c r="J127" i="167"/>
  <c r="J139" i="167"/>
  <c r="J147" i="167"/>
  <c r="J142" i="167"/>
  <c r="J137" i="167"/>
  <c r="J144" i="167"/>
  <c r="J132" i="167"/>
  <c r="J140" i="167"/>
  <c r="J103" i="167"/>
  <c r="J146" i="167"/>
  <c r="J115" i="167"/>
  <c r="J141" i="167"/>
  <c r="J138" i="167"/>
  <c r="J123" i="167"/>
  <c r="J101" i="167"/>
  <c r="J143" i="167"/>
  <c r="J133" i="167"/>
  <c r="J148" i="167"/>
  <c r="J87" i="167"/>
  <c r="J215" i="167"/>
  <c r="J208" i="167"/>
  <c r="J196" i="167"/>
  <c r="J184" i="167"/>
  <c r="J206" i="167"/>
  <c r="J194" i="167"/>
  <c r="J195" i="167"/>
  <c r="J199" i="167"/>
  <c r="J193" i="167"/>
  <c r="J181" i="167"/>
  <c r="J188" i="167"/>
  <c r="J178" i="167"/>
  <c r="J209" i="167"/>
  <c r="J185" i="167"/>
  <c r="J216" i="167"/>
  <c r="J213" i="167"/>
  <c r="J173" i="167"/>
  <c r="J167" i="167"/>
  <c r="J155" i="167"/>
  <c r="J183" i="167"/>
  <c r="J177" i="167"/>
  <c r="J163" i="167"/>
  <c r="J179" i="167"/>
  <c r="J176" i="167"/>
  <c r="J171" i="167"/>
  <c r="J214" i="167"/>
  <c r="J175" i="167"/>
  <c r="J154" i="167"/>
  <c r="J180" i="167"/>
  <c r="J172" i="167"/>
  <c r="J165" i="167"/>
  <c r="J192" i="167"/>
  <c r="J186" i="167"/>
  <c r="J182" i="167"/>
  <c r="J162" i="167"/>
  <c r="J204" i="167"/>
  <c r="J201" i="167"/>
  <c r="J198" i="167"/>
  <c r="J189" i="167"/>
  <c r="J210" i="167"/>
  <c r="J207" i="167"/>
  <c r="J174" i="167"/>
  <c r="J190" i="167"/>
  <c r="J187" i="167"/>
  <c r="J168" i="167"/>
  <c r="J164" i="167"/>
  <c r="J159" i="167"/>
  <c r="J211" i="167"/>
  <c r="J205" i="167"/>
  <c r="J170" i="167"/>
  <c r="J202" i="167"/>
  <c r="J160" i="167"/>
  <c r="J200" i="167"/>
  <c r="J197" i="167"/>
  <c r="J203" i="167"/>
  <c r="J212" i="167"/>
  <c r="J169" i="167"/>
  <c r="J157" i="167"/>
  <c r="J152" i="167"/>
  <c r="J191" i="167"/>
  <c r="J161" i="167"/>
  <c r="J166" i="167"/>
  <c r="J158" i="167"/>
  <c r="J153" i="167"/>
  <c r="J156" i="167"/>
  <c r="K1" i="167"/>
  <c r="AE36" i="169" l="1"/>
  <c r="AE42" i="169"/>
  <c r="AE48" i="169"/>
  <c r="AE54" i="169"/>
  <c r="AE60" i="169"/>
  <c r="AE66" i="169"/>
  <c r="AE72" i="169"/>
  <c r="AE78" i="169"/>
  <c r="AE84" i="169"/>
  <c r="AE90" i="169"/>
  <c r="AE37" i="169"/>
  <c r="AE43" i="169"/>
  <c r="AE49" i="169"/>
  <c r="AE55" i="169"/>
  <c r="AE61" i="169"/>
  <c r="AE38" i="169"/>
  <c r="AE44" i="169"/>
  <c r="AE50" i="169"/>
  <c r="AE56" i="169"/>
  <c r="AE62" i="169"/>
  <c r="AE68" i="169"/>
  <c r="AE74" i="169"/>
  <c r="AE80" i="169"/>
  <c r="AE86" i="169"/>
  <c r="AE92" i="169"/>
  <c r="AE98" i="169"/>
  <c r="AE33" i="169"/>
  <c r="AE39" i="169"/>
  <c r="AE45" i="169"/>
  <c r="AE51" i="169"/>
  <c r="AE57" i="169"/>
  <c r="AE63" i="169"/>
  <c r="AE69" i="169"/>
  <c r="AE75" i="169"/>
  <c r="AE81" i="169"/>
  <c r="AE87" i="169"/>
  <c r="AE93" i="169"/>
  <c r="AE34" i="169"/>
  <c r="AE40" i="169"/>
  <c r="AE46" i="169"/>
  <c r="AE52" i="169"/>
  <c r="AE58" i="169"/>
  <c r="AE64" i="169"/>
  <c r="AE70" i="169"/>
  <c r="AE76" i="169"/>
  <c r="AE82" i="169"/>
  <c r="AE88" i="169"/>
  <c r="AE94" i="169"/>
  <c r="AE59" i="169"/>
  <c r="AE65" i="169"/>
  <c r="AE83" i="169"/>
  <c r="AE95" i="169"/>
  <c r="AE103" i="169"/>
  <c r="AE109" i="169"/>
  <c r="AE115" i="169"/>
  <c r="AE121" i="169"/>
  <c r="AE127" i="169"/>
  <c r="AE133" i="169"/>
  <c r="AE139" i="169"/>
  <c r="AE145" i="169"/>
  <c r="AE35" i="169"/>
  <c r="AE41" i="169"/>
  <c r="AE71" i="169"/>
  <c r="AE89" i="169"/>
  <c r="AE97" i="169"/>
  <c r="AE99" i="169"/>
  <c r="AE105" i="169"/>
  <c r="AE111" i="169"/>
  <c r="AE117" i="169"/>
  <c r="AE47" i="169"/>
  <c r="AE67" i="169"/>
  <c r="AE85" i="169"/>
  <c r="AE100" i="169"/>
  <c r="AE106" i="169"/>
  <c r="AE112" i="169"/>
  <c r="AE118" i="169"/>
  <c r="AE124" i="169"/>
  <c r="AE130" i="169"/>
  <c r="AE136" i="169"/>
  <c r="AE142" i="169"/>
  <c r="AE107" i="169"/>
  <c r="AE119" i="169"/>
  <c r="AE125" i="169"/>
  <c r="AE134" i="169"/>
  <c r="AE143" i="169"/>
  <c r="AE151" i="169"/>
  <c r="AE6" i="169"/>
  <c r="AE12" i="169"/>
  <c r="AE18" i="169"/>
  <c r="AE24" i="169"/>
  <c r="AE73" i="169"/>
  <c r="AE102" i="169"/>
  <c r="AE114" i="169"/>
  <c r="AE123" i="169"/>
  <c r="AE132" i="169"/>
  <c r="AE141" i="169"/>
  <c r="AE152" i="169"/>
  <c r="AE7" i="169"/>
  <c r="AE13" i="169"/>
  <c r="AE19" i="169"/>
  <c r="AE25" i="169"/>
  <c r="AE79" i="169"/>
  <c r="AE104" i="169"/>
  <c r="AE116" i="169"/>
  <c r="AE77" i="169"/>
  <c r="AE96" i="169"/>
  <c r="AE101" i="169"/>
  <c r="AE113" i="169"/>
  <c r="AE126" i="169"/>
  <c r="AE135" i="169"/>
  <c r="AE144" i="169"/>
  <c r="AE148" i="169"/>
  <c r="AE154" i="169"/>
  <c r="AE9" i="169"/>
  <c r="AE15" i="169"/>
  <c r="AE21" i="169"/>
  <c r="AE91" i="169"/>
  <c r="AE122" i="169"/>
  <c r="AE140" i="169"/>
  <c r="AE4" i="169"/>
  <c r="AE16" i="169"/>
  <c r="AE29" i="169"/>
  <c r="AE23" i="169"/>
  <c r="AE30" i="169"/>
  <c r="AE14" i="169"/>
  <c r="AE110" i="169"/>
  <c r="AE129" i="169"/>
  <c r="AE150" i="169"/>
  <c r="AE11" i="169"/>
  <c r="AE53" i="169"/>
  <c r="AE108" i="169"/>
  <c r="AE128" i="169"/>
  <c r="AE146" i="169"/>
  <c r="AE147" i="169"/>
  <c r="AE8" i="169"/>
  <c r="AE20" i="169"/>
  <c r="AE31" i="169"/>
  <c r="AE32" i="169"/>
  <c r="AE3" i="169"/>
  <c r="AE5" i="169"/>
  <c r="AE17" i="169"/>
  <c r="AE137" i="169"/>
  <c r="AE153" i="169"/>
  <c r="AE28" i="169"/>
  <c r="AE131" i="169"/>
  <c r="AE149" i="169"/>
  <c r="AE10" i="169"/>
  <c r="AE22" i="169"/>
  <c r="AE26" i="169"/>
  <c r="AE120" i="169"/>
  <c r="AE138" i="169"/>
  <c r="AE27" i="169"/>
  <c r="AE215" i="169"/>
  <c r="AE203" i="169"/>
  <c r="AE208" i="169"/>
  <c r="AE213" i="169"/>
  <c r="AE218" i="169"/>
  <c r="AE211" i="169"/>
  <c r="AE216" i="169"/>
  <c r="AE209" i="169"/>
  <c r="AE197" i="169"/>
  <c r="AE214" i="169"/>
  <c r="AE202" i="169"/>
  <c r="AE190" i="169"/>
  <c r="AE207" i="169"/>
  <c r="AE212" i="169"/>
  <c r="AE217" i="169"/>
  <c r="AE210" i="169"/>
  <c r="AE198" i="169"/>
  <c r="AE186" i="169"/>
  <c r="AE201" i="169"/>
  <c r="AE182" i="169"/>
  <c r="AE170" i="169"/>
  <c r="AE205" i="169"/>
  <c r="AE189" i="169"/>
  <c r="AE185" i="169"/>
  <c r="AE188" i="169"/>
  <c r="AE199" i="169"/>
  <c r="AE176" i="169"/>
  <c r="AE187" i="169"/>
  <c r="AE181" i="169"/>
  <c r="AE195" i="169"/>
  <c r="AE194" i="169"/>
  <c r="AE193" i="169"/>
  <c r="AE200" i="169"/>
  <c r="AE196" i="169"/>
  <c r="AE179" i="169"/>
  <c r="AE206" i="169"/>
  <c r="AE192" i="169"/>
  <c r="AE184" i="169"/>
  <c r="AE158" i="169"/>
  <c r="AE177" i="169"/>
  <c r="AE175" i="169"/>
  <c r="AE168" i="169"/>
  <c r="AE204" i="169"/>
  <c r="AE191" i="169"/>
  <c r="AE172" i="169"/>
  <c r="AE173" i="169"/>
  <c r="AE171" i="169"/>
  <c r="AE164" i="169"/>
  <c r="AE183" i="169"/>
  <c r="AE157" i="169"/>
  <c r="AE180" i="169"/>
  <c r="AE178" i="169"/>
  <c r="AE169" i="169"/>
  <c r="AE167" i="169"/>
  <c r="AE174" i="169"/>
  <c r="AE165" i="169"/>
  <c r="AE160" i="169"/>
  <c r="AE161" i="169"/>
  <c r="AE162" i="169"/>
  <c r="AE155" i="169"/>
  <c r="AE166" i="169"/>
  <c r="AE163" i="169"/>
  <c r="AE159" i="169"/>
  <c r="AE156" i="169"/>
  <c r="AF1" i="169"/>
  <c r="K94" i="167"/>
  <c r="K151" i="167"/>
  <c r="K15" i="167"/>
  <c r="K27" i="167"/>
  <c r="K10" i="167"/>
  <c r="K22" i="167"/>
  <c r="K34" i="167"/>
  <c r="K5" i="167"/>
  <c r="K17" i="167"/>
  <c r="K29" i="167"/>
  <c r="K12" i="167"/>
  <c r="K24" i="167"/>
  <c r="K36" i="167"/>
  <c r="K7" i="167"/>
  <c r="K19" i="167"/>
  <c r="K31" i="167"/>
  <c r="K14" i="167"/>
  <c r="K26" i="167"/>
  <c r="K9" i="167"/>
  <c r="K21" i="167"/>
  <c r="K33" i="167"/>
  <c r="K4" i="167"/>
  <c r="K16" i="167"/>
  <c r="K28" i="167"/>
  <c r="K11" i="167"/>
  <c r="K23" i="167"/>
  <c r="K35" i="167"/>
  <c r="K18" i="167"/>
  <c r="K42" i="167"/>
  <c r="K54" i="167"/>
  <c r="K37" i="167"/>
  <c r="K49" i="167"/>
  <c r="K61" i="167"/>
  <c r="K32" i="167"/>
  <c r="K44" i="167"/>
  <c r="K56" i="167"/>
  <c r="K6" i="167"/>
  <c r="K39" i="167"/>
  <c r="K51" i="167"/>
  <c r="K46" i="167"/>
  <c r="K58" i="167"/>
  <c r="K48" i="167"/>
  <c r="K60" i="167"/>
  <c r="K20" i="167"/>
  <c r="K41" i="167"/>
  <c r="K67" i="167"/>
  <c r="K55" i="167"/>
  <c r="K62" i="167"/>
  <c r="K74" i="167"/>
  <c r="K8" i="167"/>
  <c r="K38" i="167"/>
  <c r="K69" i="167"/>
  <c r="K30" i="167"/>
  <c r="K45" i="167"/>
  <c r="K64" i="167"/>
  <c r="K76" i="167"/>
  <c r="K53" i="167"/>
  <c r="K73" i="167"/>
  <c r="K50" i="167"/>
  <c r="K63" i="167"/>
  <c r="K75" i="167"/>
  <c r="K57" i="167"/>
  <c r="K70" i="167"/>
  <c r="K82" i="167"/>
  <c r="K95" i="167"/>
  <c r="K13" i="167"/>
  <c r="K40" i="167"/>
  <c r="K72" i="167"/>
  <c r="K89" i="167"/>
  <c r="K84" i="167"/>
  <c r="K97" i="167"/>
  <c r="K79" i="167"/>
  <c r="K91" i="167"/>
  <c r="K52" i="167"/>
  <c r="K65" i="167"/>
  <c r="K88" i="167"/>
  <c r="K25" i="167"/>
  <c r="K43" i="167"/>
  <c r="K78" i="167"/>
  <c r="K90" i="167"/>
  <c r="K68" i="167"/>
  <c r="K85" i="167"/>
  <c r="K98" i="167"/>
  <c r="K81" i="167"/>
  <c r="K107" i="167"/>
  <c r="K47" i="167"/>
  <c r="K96" i="167"/>
  <c r="K102" i="167"/>
  <c r="K114" i="167"/>
  <c r="K83" i="167"/>
  <c r="K109" i="167"/>
  <c r="K77" i="167"/>
  <c r="K104" i="167"/>
  <c r="K116" i="167"/>
  <c r="K66" i="167"/>
  <c r="K86" i="167"/>
  <c r="K99" i="167"/>
  <c r="K111" i="167"/>
  <c r="K87" i="167"/>
  <c r="K101" i="167"/>
  <c r="K113" i="167"/>
  <c r="K59" i="167"/>
  <c r="K115" i="167"/>
  <c r="K127" i="167"/>
  <c r="K139" i="167"/>
  <c r="K122" i="167"/>
  <c r="K134" i="167"/>
  <c r="K105" i="167"/>
  <c r="K129" i="167"/>
  <c r="K80" i="167"/>
  <c r="K93" i="167"/>
  <c r="K112" i="167"/>
  <c r="K124" i="167"/>
  <c r="K106" i="167"/>
  <c r="K119" i="167"/>
  <c r="K131" i="167"/>
  <c r="K103" i="167"/>
  <c r="K121" i="167"/>
  <c r="K133" i="167"/>
  <c r="K92" i="167"/>
  <c r="K123" i="167"/>
  <c r="K100" i="167"/>
  <c r="K118" i="167"/>
  <c r="K130" i="167"/>
  <c r="K141" i="167"/>
  <c r="K143" i="167"/>
  <c r="K142" i="167"/>
  <c r="K128" i="167"/>
  <c r="K150" i="167"/>
  <c r="K145" i="167"/>
  <c r="K3" i="167"/>
  <c r="K120" i="167"/>
  <c r="K135" i="167"/>
  <c r="K126" i="167"/>
  <c r="K136" i="167"/>
  <c r="K147" i="167"/>
  <c r="K125" i="167"/>
  <c r="K149" i="167"/>
  <c r="K137" i="167"/>
  <c r="K144" i="167"/>
  <c r="K71" i="167"/>
  <c r="K132" i="167"/>
  <c r="K140" i="167"/>
  <c r="K117" i="167"/>
  <c r="K108" i="167"/>
  <c r="K146" i="167"/>
  <c r="K138" i="167"/>
  <c r="K110" i="167"/>
  <c r="K148" i="167"/>
  <c r="K213" i="167"/>
  <c r="K201" i="167"/>
  <c r="K189" i="167"/>
  <c r="K211" i="167"/>
  <c r="K199" i="167"/>
  <c r="K187" i="167"/>
  <c r="K216" i="167"/>
  <c r="K208" i="167"/>
  <c r="K188" i="167"/>
  <c r="K178" i="167"/>
  <c r="K192" i="167"/>
  <c r="K186" i="167"/>
  <c r="K212" i="167"/>
  <c r="K198" i="167"/>
  <c r="K193" i="167"/>
  <c r="K176" i="167"/>
  <c r="K190" i="167"/>
  <c r="K182" i="167"/>
  <c r="K179" i="167"/>
  <c r="K185" i="167"/>
  <c r="K160" i="167"/>
  <c r="K168" i="167"/>
  <c r="K156" i="167"/>
  <c r="K177" i="167"/>
  <c r="K167" i="167"/>
  <c r="K171" i="167"/>
  <c r="K158" i="167"/>
  <c r="K152" i="167"/>
  <c r="K204" i="167"/>
  <c r="K195" i="167"/>
  <c r="K175" i="167"/>
  <c r="K153" i="167"/>
  <c r="K215" i="167"/>
  <c r="K210" i="167"/>
  <c r="K207" i="167"/>
  <c r="K166" i="167"/>
  <c r="K183" i="167"/>
  <c r="K174" i="167"/>
  <c r="K205" i="167"/>
  <c r="K184" i="167"/>
  <c r="K173" i="167"/>
  <c r="K170" i="167"/>
  <c r="K202" i="167"/>
  <c r="K196" i="167"/>
  <c r="K155" i="167"/>
  <c r="K180" i="167"/>
  <c r="K172" i="167"/>
  <c r="K165" i="167"/>
  <c r="K214" i="167"/>
  <c r="K200" i="167"/>
  <c r="K197" i="167"/>
  <c r="K194" i="167"/>
  <c r="K191" i="167"/>
  <c r="K209" i="167"/>
  <c r="K206" i="167"/>
  <c r="K203" i="167"/>
  <c r="K169" i="167"/>
  <c r="K162" i="167"/>
  <c r="K164" i="167"/>
  <c r="K181" i="167"/>
  <c r="K161" i="167"/>
  <c r="K159" i="167"/>
  <c r="K157" i="167"/>
  <c r="K163" i="167"/>
  <c r="K154" i="167"/>
  <c r="L1" i="167"/>
  <c r="AF35" i="169" l="1"/>
  <c r="AF41" i="169"/>
  <c r="AF47" i="169"/>
  <c r="AF53" i="169"/>
  <c r="AF59" i="169"/>
  <c r="AF65" i="169"/>
  <c r="AF71" i="169"/>
  <c r="AF77" i="169"/>
  <c r="AF83" i="169"/>
  <c r="AF89" i="169"/>
  <c r="AF36" i="169"/>
  <c r="AF42" i="169"/>
  <c r="AF48" i="169"/>
  <c r="AF54" i="169"/>
  <c r="AF60" i="169"/>
  <c r="AF37" i="169"/>
  <c r="AF43" i="169"/>
  <c r="AF49" i="169"/>
  <c r="AF55" i="169"/>
  <c r="AF61" i="169"/>
  <c r="AF67" i="169"/>
  <c r="AF73" i="169"/>
  <c r="AF79" i="169"/>
  <c r="AF85" i="169"/>
  <c r="AF91" i="169"/>
  <c r="AF97" i="169"/>
  <c r="AF38" i="169"/>
  <c r="AF44" i="169"/>
  <c r="AF50" i="169"/>
  <c r="AF56" i="169"/>
  <c r="AF62" i="169"/>
  <c r="AF68" i="169"/>
  <c r="AF74" i="169"/>
  <c r="AF80" i="169"/>
  <c r="AF86" i="169"/>
  <c r="AF92" i="169"/>
  <c r="AF98" i="169"/>
  <c r="AF33" i="169"/>
  <c r="AF39" i="169"/>
  <c r="AF45" i="169"/>
  <c r="AF51" i="169"/>
  <c r="AF57" i="169"/>
  <c r="AF63" i="169"/>
  <c r="AF69" i="169"/>
  <c r="AF75" i="169"/>
  <c r="AF81" i="169"/>
  <c r="AF87" i="169"/>
  <c r="AF93" i="169"/>
  <c r="AF52" i="169"/>
  <c r="AF58" i="169"/>
  <c r="AF76" i="169"/>
  <c r="AF102" i="169"/>
  <c r="AF108" i="169"/>
  <c r="AF114" i="169"/>
  <c r="AF120" i="169"/>
  <c r="AF126" i="169"/>
  <c r="AF132" i="169"/>
  <c r="AF138" i="169"/>
  <c r="AF144" i="169"/>
  <c r="AF34" i="169"/>
  <c r="AF82" i="169"/>
  <c r="AF104" i="169"/>
  <c r="AF110" i="169"/>
  <c r="AF116" i="169"/>
  <c r="AF40" i="169"/>
  <c r="AF78" i="169"/>
  <c r="AF94" i="169"/>
  <c r="AF99" i="169"/>
  <c r="AF105" i="169"/>
  <c r="AF111" i="169"/>
  <c r="AF117" i="169"/>
  <c r="AF123" i="169"/>
  <c r="AF129" i="169"/>
  <c r="AF135" i="169"/>
  <c r="AF141" i="169"/>
  <c r="AF88" i="169"/>
  <c r="AF100" i="169"/>
  <c r="AF112" i="169"/>
  <c r="AF127" i="169"/>
  <c r="AF136" i="169"/>
  <c r="AF145" i="169"/>
  <c r="AF150" i="169"/>
  <c r="AF5" i="169"/>
  <c r="AF11" i="169"/>
  <c r="AF17" i="169"/>
  <c r="AF23" i="169"/>
  <c r="AF66" i="169"/>
  <c r="AF107" i="169"/>
  <c r="AF119" i="169"/>
  <c r="AF125" i="169"/>
  <c r="AF134" i="169"/>
  <c r="AF143" i="169"/>
  <c r="AF151" i="169"/>
  <c r="AF6" i="169"/>
  <c r="AF12" i="169"/>
  <c r="AF18" i="169"/>
  <c r="AF24" i="169"/>
  <c r="AF72" i="169"/>
  <c r="AF95" i="169"/>
  <c r="AF109" i="169"/>
  <c r="AF121" i="169"/>
  <c r="AF70" i="169"/>
  <c r="AF106" i="169"/>
  <c r="AF118" i="169"/>
  <c r="AF128" i="169"/>
  <c r="AF137" i="169"/>
  <c r="AF146" i="169"/>
  <c r="AF147" i="169"/>
  <c r="AF153" i="169"/>
  <c r="AF8" i="169"/>
  <c r="AF14" i="169"/>
  <c r="AF20" i="169"/>
  <c r="AF84" i="169"/>
  <c r="AF96" i="169"/>
  <c r="AF133" i="169"/>
  <c r="AF148" i="169"/>
  <c r="AF9" i="169"/>
  <c r="AF21" i="169"/>
  <c r="AF28" i="169"/>
  <c r="AF29" i="169"/>
  <c r="AF103" i="169"/>
  <c r="AF122" i="169"/>
  <c r="AF140" i="169"/>
  <c r="AF4" i="169"/>
  <c r="AF16" i="169"/>
  <c r="AF27" i="169"/>
  <c r="AF101" i="169"/>
  <c r="AF139" i="169"/>
  <c r="AF152" i="169"/>
  <c r="AF13" i="169"/>
  <c r="AF25" i="169"/>
  <c r="AF30" i="169"/>
  <c r="AF31" i="169"/>
  <c r="AF46" i="169"/>
  <c r="AF149" i="169"/>
  <c r="AF26" i="169"/>
  <c r="AF7" i="169"/>
  <c r="AF64" i="169"/>
  <c r="AF115" i="169"/>
  <c r="AF124" i="169"/>
  <c r="AF142" i="169"/>
  <c r="AF154" i="169"/>
  <c r="AF15" i="169"/>
  <c r="AF113" i="169"/>
  <c r="AF131" i="169"/>
  <c r="AF10" i="169"/>
  <c r="AF22" i="169"/>
  <c r="AF32" i="169"/>
  <c r="AF3" i="169"/>
  <c r="AF90" i="169"/>
  <c r="AF130" i="169"/>
  <c r="AF19" i="169"/>
  <c r="AF208" i="169"/>
  <c r="AF213" i="169"/>
  <c r="AF218" i="169"/>
  <c r="AF206" i="169"/>
  <c r="AF211" i="169"/>
  <c r="AF216" i="169"/>
  <c r="AF209" i="169"/>
  <c r="AF214" i="169"/>
  <c r="AF202" i="169"/>
  <c r="AF207" i="169"/>
  <c r="AF195" i="169"/>
  <c r="AF212" i="169"/>
  <c r="AF217" i="169"/>
  <c r="AF215" i="169"/>
  <c r="AF203" i="169"/>
  <c r="AF191" i="169"/>
  <c r="AF175" i="169"/>
  <c r="AF205" i="169"/>
  <c r="AF190" i="169"/>
  <c r="AF198" i="169"/>
  <c r="AF189" i="169"/>
  <c r="AF185" i="169"/>
  <c r="AF210" i="169"/>
  <c r="AF188" i="169"/>
  <c r="AF183" i="169"/>
  <c r="AF199" i="169"/>
  <c r="AF187" i="169"/>
  <c r="AF181" i="169"/>
  <c r="AF169" i="169"/>
  <c r="AF194" i="169"/>
  <c r="AF193" i="169"/>
  <c r="AF200" i="169"/>
  <c r="AF196" i="169"/>
  <c r="AF179" i="169"/>
  <c r="AF192" i="169"/>
  <c r="AF184" i="169"/>
  <c r="AF204" i="169"/>
  <c r="AF186" i="169"/>
  <c r="AF177" i="169"/>
  <c r="AF163" i="169"/>
  <c r="AF168" i="169"/>
  <c r="AF182" i="169"/>
  <c r="AF172" i="169"/>
  <c r="AF197" i="169"/>
  <c r="AF173" i="169"/>
  <c r="AF171" i="169"/>
  <c r="AF157" i="169"/>
  <c r="AF180" i="169"/>
  <c r="AF170" i="169"/>
  <c r="AF162" i="169"/>
  <c r="AF178" i="169"/>
  <c r="AF167" i="169"/>
  <c r="AF201" i="169"/>
  <c r="AF176" i="169"/>
  <c r="AF174" i="169"/>
  <c r="AF158" i="169"/>
  <c r="AF164" i="169"/>
  <c r="AF161" i="169"/>
  <c r="AF165" i="169"/>
  <c r="AF155" i="169"/>
  <c r="AF166" i="169"/>
  <c r="AF159" i="169"/>
  <c r="AF156" i="169"/>
  <c r="AF160" i="169"/>
  <c r="AG1" i="169"/>
  <c r="L151" i="167"/>
  <c r="L94" i="167"/>
  <c r="L8" i="167"/>
  <c r="L20" i="167"/>
  <c r="L32" i="167"/>
  <c r="L15" i="167"/>
  <c r="L27" i="167"/>
  <c r="L10" i="167"/>
  <c r="L22" i="167"/>
  <c r="L34" i="167"/>
  <c r="L5" i="167"/>
  <c r="L17" i="167"/>
  <c r="L29" i="167"/>
  <c r="L12" i="167"/>
  <c r="L24" i="167"/>
  <c r="L36" i="167"/>
  <c r="L7" i="167"/>
  <c r="L19" i="167"/>
  <c r="L31" i="167"/>
  <c r="L14" i="167"/>
  <c r="L26" i="167"/>
  <c r="L9" i="167"/>
  <c r="L21" i="167"/>
  <c r="L33" i="167"/>
  <c r="L4" i="167"/>
  <c r="L16" i="167"/>
  <c r="L28" i="167"/>
  <c r="L35" i="167"/>
  <c r="L47" i="167"/>
  <c r="L59" i="167"/>
  <c r="L18" i="167"/>
  <c r="L42" i="167"/>
  <c r="L54" i="167"/>
  <c r="L37" i="167"/>
  <c r="L49" i="167"/>
  <c r="L61" i="167"/>
  <c r="L23" i="167"/>
  <c r="L44" i="167"/>
  <c r="L56" i="167"/>
  <c r="L6" i="167"/>
  <c r="L39" i="167"/>
  <c r="L51" i="167"/>
  <c r="L11" i="167"/>
  <c r="L41" i="167"/>
  <c r="L53" i="167"/>
  <c r="L58" i="167"/>
  <c r="L72" i="167"/>
  <c r="L48" i="167"/>
  <c r="L67" i="167"/>
  <c r="L55" i="167"/>
  <c r="L62" i="167"/>
  <c r="L74" i="167"/>
  <c r="L38" i="167"/>
  <c r="L69" i="167"/>
  <c r="L46" i="167"/>
  <c r="L66" i="167"/>
  <c r="L25" i="167"/>
  <c r="L43" i="167"/>
  <c r="L68" i="167"/>
  <c r="L50" i="167"/>
  <c r="L63" i="167"/>
  <c r="L75" i="167"/>
  <c r="L71" i="167"/>
  <c r="L87" i="167"/>
  <c r="L82" i="167"/>
  <c r="L95" i="167"/>
  <c r="L13" i="167"/>
  <c r="L40" i="167"/>
  <c r="L73" i="167"/>
  <c r="L89" i="167"/>
  <c r="L57" i="167"/>
  <c r="L84" i="167"/>
  <c r="L97" i="167"/>
  <c r="L77" i="167"/>
  <c r="L81" i="167"/>
  <c r="L93" i="167"/>
  <c r="L83" i="167"/>
  <c r="L96" i="167"/>
  <c r="L45" i="167"/>
  <c r="L78" i="167"/>
  <c r="L90" i="167"/>
  <c r="L80" i="167"/>
  <c r="L100" i="167"/>
  <c r="L112" i="167"/>
  <c r="L107" i="167"/>
  <c r="L52" i="167"/>
  <c r="L70" i="167"/>
  <c r="L102" i="167"/>
  <c r="L114" i="167"/>
  <c r="L30" i="167"/>
  <c r="L98" i="167"/>
  <c r="L109" i="167"/>
  <c r="L85" i="167"/>
  <c r="L104" i="167"/>
  <c r="L116" i="167"/>
  <c r="L106" i="167"/>
  <c r="L108" i="167"/>
  <c r="L120" i="167"/>
  <c r="L132" i="167"/>
  <c r="L91" i="167"/>
  <c r="L115" i="167"/>
  <c r="L127" i="167"/>
  <c r="L122" i="167"/>
  <c r="L134" i="167"/>
  <c r="L60" i="167"/>
  <c r="L65" i="167"/>
  <c r="L105" i="167"/>
  <c r="L129" i="167"/>
  <c r="L86" i="167"/>
  <c r="L99" i="167"/>
  <c r="L124" i="167"/>
  <c r="L126" i="167"/>
  <c r="L79" i="167"/>
  <c r="L110" i="167"/>
  <c r="L128" i="167"/>
  <c r="L92" i="167"/>
  <c r="L123" i="167"/>
  <c r="L88" i="167"/>
  <c r="L113" i="167"/>
  <c r="L138" i="167"/>
  <c r="L148" i="167"/>
  <c r="L76" i="167"/>
  <c r="L121" i="167"/>
  <c r="L141" i="167"/>
  <c r="L143" i="167"/>
  <c r="L64" i="167"/>
  <c r="L111" i="167"/>
  <c r="L150" i="167"/>
  <c r="L147" i="167"/>
  <c r="L145" i="167"/>
  <c r="L3" i="167"/>
  <c r="L119" i="167"/>
  <c r="L135" i="167"/>
  <c r="L139" i="167"/>
  <c r="L136" i="167"/>
  <c r="L118" i="167"/>
  <c r="L142" i="167"/>
  <c r="L125" i="167"/>
  <c r="L149" i="167"/>
  <c r="L131" i="167"/>
  <c r="L137" i="167"/>
  <c r="L144" i="167"/>
  <c r="L117" i="167"/>
  <c r="L146" i="167"/>
  <c r="L140" i="167"/>
  <c r="L101" i="167"/>
  <c r="L130" i="167"/>
  <c r="L103" i="167"/>
  <c r="L133" i="167"/>
  <c r="L213" i="167"/>
  <c r="L206" i="167"/>
  <c r="L194" i="167"/>
  <c r="L216" i="167"/>
  <c r="L204" i="167"/>
  <c r="L192" i="167"/>
  <c r="L207" i="167"/>
  <c r="L201" i="167"/>
  <c r="L183" i="167"/>
  <c r="L205" i="167"/>
  <c r="L185" i="167"/>
  <c r="L179" i="167"/>
  <c r="L203" i="167"/>
  <c r="L200" i="167"/>
  <c r="L195" i="167"/>
  <c r="L177" i="167"/>
  <c r="L176" i="167"/>
  <c r="L214" i="167"/>
  <c r="L197" i="167"/>
  <c r="L191" i="167"/>
  <c r="L187" i="167"/>
  <c r="L182" i="167"/>
  <c r="L172" i="167"/>
  <c r="L165" i="167"/>
  <c r="L153" i="167"/>
  <c r="L161" i="167"/>
  <c r="L190" i="167"/>
  <c r="L186" i="167"/>
  <c r="L184" i="167"/>
  <c r="L173" i="167"/>
  <c r="L170" i="167"/>
  <c r="L167" i="167"/>
  <c r="L215" i="167"/>
  <c r="L181" i="167"/>
  <c r="L166" i="167"/>
  <c r="L160" i="167"/>
  <c r="L164" i="167"/>
  <c r="L210" i="167"/>
  <c r="L198" i="167"/>
  <c r="L189" i="167"/>
  <c r="L163" i="167"/>
  <c r="L158" i="167"/>
  <c r="L174" i="167"/>
  <c r="L178" i="167"/>
  <c r="L168" i="167"/>
  <c r="L211" i="167"/>
  <c r="L202" i="167"/>
  <c r="L199" i="167"/>
  <c r="L196" i="167"/>
  <c r="L193" i="167"/>
  <c r="L208" i="167"/>
  <c r="L180" i="167"/>
  <c r="L156" i="167"/>
  <c r="L209" i="167"/>
  <c r="L188" i="167"/>
  <c r="L212" i="167"/>
  <c r="L175" i="167"/>
  <c r="L171" i="167"/>
  <c r="L157" i="167"/>
  <c r="L155" i="167"/>
  <c r="L154" i="167"/>
  <c r="L169" i="167"/>
  <c r="L162" i="167"/>
  <c r="L159" i="167"/>
  <c r="L152" i="167"/>
  <c r="M1" i="167"/>
  <c r="AG34" i="169" l="1"/>
  <c r="AG40" i="169"/>
  <c r="AG46" i="169"/>
  <c r="AG52" i="169"/>
  <c r="AG58" i="169"/>
  <c r="AG64" i="169"/>
  <c r="AG70" i="169"/>
  <c r="AG76" i="169"/>
  <c r="AG82" i="169"/>
  <c r="AG88" i="169"/>
  <c r="AG35" i="169"/>
  <c r="AG41" i="169"/>
  <c r="AG47" i="169"/>
  <c r="AG53" i="169"/>
  <c r="AG59" i="169"/>
  <c r="AG36" i="169"/>
  <c r="AG42" i="169"/>
  <c r="AG48" i="169"/>
  <c r="AG54" i="169"/>
  <c r="AG60" i="169"/>
  <c r="AG66" i="169"/>
  <c r="AG72" i="169"/>
  <c r="AG78" i="169"/>
  <c r="AG84" i="169"/>
  <c r="AG90" i="169"/>
  <c r="AG96" i="169"/>
  <c r="AG37" i="169"/>
  <c r="AG43" i="169"/>
  <c r="AG49" i="169"/>
  <c r="AG55" i="169"/>
  <c r="AG61" i="169"/>
  <c r="AG67" i="169"/>
  <c r="AG73" i="169"/>
  <c r="AG79" i="169"/>
  <c r="AG85" i="169"/>
  <c r="AG91" i="169"/>
  <c r="AG97" i="169"/>
  <c r="AG38" i="169"/>
  <c r="AG44" i="169"/>
  <c r="AG50" i="169"/>
  <c r="AG56" i="169"/>
  <c r="AG62" i="169"/>
  <c r="AG68" i="169"/>
  <c r="AG74" i="169"/>
  <c r="AG80" i="169"/>
  <c r="AG86" i="169"/>
  <c r="AG92" i="169"/>
  <c r="AG98" i="169"/>
  <c r="AG45" i="169"/>
  <c r="AG51" i="169"/>
  <c r="AG69" i="169"/>
  <c r="AG87" i="169"/>
  <c r="AG93" i="169"/>
  <c r="AG101" i="169"/>
  <c r="AG107" i="169"/>
  <c r="AG113" i="169"/>
  <c r="AG119" i="169"/>
  <c r="AG125" i="169"/>
  <c r="AG131" i="169"/>
  <c r="AG137" i="169"/>
  <c r="AG143" i="169"/>
  <c r="AG63" i="169"/>
  <c r="AG75" i="169"/>
  <c r="AG95" i="169"/>
  <c r="AG103" i="169"/>
  <c r="AG109" i="169"/>
  <c r="AG115" i="169"/>
  <c r="AG33" i="169"/>
  <c r="AG71" i="169"/>
  <c r="AG89" i="169"/>
  <c r="AG104" i="169"/>
  <c r="AG110" i="169"/>
  <c r="AG116" i="169"/>
  <c r="AG122" i="169"/>
  <c r="AG128" i="169"/>
  <c r="AG134" i="169"/>
  <c r="AG140" i="169"/>
  <c r="AG146" i="169"/>
  <c r="AG81" i="169"/>
  <c r="AG94" i="169"/>
  <c r="AG105" i="169"/>
  <c r="AG117" i="169"/>
  <c r="AG129" i="169"/>
  <c r="AG138" i="169"/>
  <c r="AG149" i="169"/>
  <c r="AG4" i="169"/>
  <c r="AG10" i="169"/>
  <c r="AG16" i="169"/>
  <c r="AG22" i="169"/>
  <c r="AG100" i="169"/>
  <c r="AG112" i="169"/>
  <c r="AG127" i="169"/>
  <c r="AG136" i="169"/>
  <c r="AG145" i="169"/>
  <c r="AG150" i="169"/>
  <c r="AG5" i="169"/>
  <c r="AG11" i="169"/>
  <c r="AG17" i="169"/>
  <c r="AG23" i="169"/>
  <c r="AG65" i="169"/>
  <c r="AG102" i="169"/>
  <c r="AG114" i="169"/>
  <c r="AG99" i="169"/>
  <c r="AG111" i="169"/>
  <c r="AG121" i="169"/>
  <c r="AG130" i="169"/>
  <c r="AG139" i="169"/>
  <c r="AG152" i="169"/>
  <c r="AG7" i="169"/>
  <c r="AG13" i="169"/>
  <c r="AG19" i="169"/>
  <c r="AG25" i="169"/>
  <c r="AG77" i="169"/>
  <c r="AG118" i="169"/>
  <c r="AG126" i="169"/>
  <c r="AG144" i="169"/>
  <c r="AG153" i="169"/>
  <c r="AG14" i="169"/>
  <c r="AG27" i="169"/>
  <c r="AG28" i="169"/>
  <c r="AG12" i="169"/>
  <c r="AG24" i="169"/>
  <c r="AG26" i="169"/>
  <c r="AG39" i="169"/>
  <c r="AG133" i="169"/>
  <c r="AG148" i="169"/>
  <c r="AG9" i="169"/>
  <c r="AG21" i="169"/>
  <c r="AG132" i="169"/>
  <c r="AG6" i="169"/>
  <c r="AG18" i="169"/>
  <c r="AG29" i="169"/>
  <c r="AG124" i="169"/>
  <c r="AG142" i="169"/>
  <c r="AG154" i="169"/>
  <c r="AG15" i="169"/>
  <c r="AG123" i="169"/>
  <c r="AG151" i="169"/>
  <c r="AG32" i="169"/>
  <c r="AG3" i="169"/>
  <c r="AG108" i="169"/>
  <c r="AG135" i="169"/>
  <c r="AG147" i="169"/>
  <c r="AG8" i="169"/>
  <c r="AG20" i="169"/>
  <c r="AG30" i="169"/>
  <c r="AG106" i="169"/>
  <c r="AG31" i="169"/>
  <c r="AG57" i="169"/>
  <c r="AG83" i="169"/>
  <c r="AG120" i="169"/>
  <c r="AG141" i="169"/>
  <c r="AG213" i="169"/>
  <c r="AG201" i="169"/>
  <c r="AG218" i="169"/>
  <c r="AG206" i="169"/>
  <c r="AG211" i="169"/>
  <c r="AG216" i="169"/>
  <c r="AG209" i="169"/>
  <c r="AG214" i="169"/>
  <c r="AG207" i="169"/>
  <c r="AG195" i="169"/>
  <c r="AG212" i="169"/>
  <c r="AG200" i="169"/>
  <c r="AG188" i="169"/>
  <c r="AG217" i="169"/>
  <c r="AG210" i="169"/>
  <c r="AG215" i="169"/>
  <c r="AG208" i="169"/>
  <c r="AG196" i="169"/>
  <c r="AG205" i="169"/>
  <c r="AG190" i="169"/>
  <c r="AG180" i="169"/>
  <c r="AG198" i="169"/>
  <c r="AG189" i="169"/>
  <c r="AG185" i="169"/>
  <c r="AG202" i="169"/>
  <c r="AG199" i="169"/>
  <c r="AG187" i="169"/>
  <c r="AG203" i="169"/>
  <c r="AG194" i="169"/>
  <c r="AG193" i="169"/>
  <c r="AG174" i="169"/>
  <c r="AG192" i="169"/>
  <c r="AG184" i="169"/>
  <c r="AG204" i="169"/>
  <c r="AG186" i="169"/>
  <c r="AG177" i="169"/>
  <c r="AG197" i="169"/>
  <c r="AG191" i="169"/>
  <c r="AG182" i="169"/>
  <c r="AG168" i="169"/>
  <c r="AG156" i="169"/>
  <c r="AG175" i="169"/>
  <c r="AG179" i="169"/>
  <c r="AG172" i="169"/>
  <c r="AG166" i="169"/>
  <c r="AG181" i="169"/>
  <c r="AG173" i="169"/>
  <c r="AG171" i="169"/>
  <c r="AG183" i="169"/>
  <c r="AG170" i="169"/>
  <c r="AG162" i="169"/>
  <c r="AG178" i="169"/>
  <c r="AG167" i="169"/>
  <c r="AG155" i="169"/>
  <c r="AG176" i="169"/>
  <c r="AG169" i="169"/>
  <c r="AG163" i="169"/>
  <c r="AG164" i="169"/>
  <c r="AG161" i="169"/>
  <c r="AG157" i="169"/>
  <c r="AG165" i="169"/>
  <c r="AG158" i="169"/>
  <c r="AG159" i="169"/>
  <c r="AG160" i="169"/>
  <c r="AH1" i="169"/>
  <c r="M151" i="167"/>
  <c r="M94" i="167"/>
  <c r="M13" i="167"/>
  <c r="M25" i="167"/>
  <c r="M8" i="167"/>
  <c r="M20" i="167"/>
  <c r="M32" i="167"/>
  <c r="M15" i="167"/>
  <c r="M27" i="167"/>
  <c r="M10" i="167"/>
  <c r="M22" i="167"/>
  <c r="M34" i="167"/>
  <c r="M5" i="167"/>
  <c r="M17" i="167"/>
  <c r="M29" i="167"/>
  <c r="M12" i="167"/>
  <c r="M24" i="167"/>
  <c r="M36" i="167"/>
  <c r="M7" i="167"/>
  <c r="M19" i="167"/>
  <c r="M31" i="167"/>
  <c r="M14" i="167"/>
  <c r="M26" i="167"/>
  <c r="M9" i="167"/>
  <c r="M21" i="167"/>
  <c r="M33" i="167"/>
  <c r="M4" i="167"/>
  <c r="M40" i="167"/>
  <c r="M52" i="167"/>
  <c r="M35" i="167"/>
  <c r="M47" i="167"/>
  <c r="M59" i="167"/>
  <c r="M18" i="167"/>
  <c r="M42" i="167"/>
  <c r="M54" i="167"/>
  <c r="M37" i="167"/>
  <c r="M49" i="167"/>
  <c r="M61" i="167"/>
  <c r="M23" i="167"/>
  <c r="M44" i="167"/>
  <c r="M56" i="167"/>
  <c r="M28" i="167"/>
  <c r="M46" i="167"/>
  <c r="M58" i="167"/>
  <c r="M51" i="167"/>
  <c r="M65" i="167"/>
  <c r="M77" i="167"/>
  <c r="M11" i="167"/>
  <c r="M41" i="167"/>
  <c r="M72" i="167"/>
  <c r="M48" i="167"/>
  <c r="M67" i="167"/>
  <c r="M55" i="167"/>
  <c r="M62" i="167"/>
  <c r="M74" i="167"/>
  <c r="M6" i="167"/>
  <c r="M39" i="167"/>
  <c r="M71" i="167"/>
  <c r="M60" i="167"/>
  <c r="M73" i="167"/>
  <c r="M16" i="167"/>
  <c r="M43" i="167"/>
  <c r="M68" i="167"/>
  <c r="M38" i="167"/>
  <c r="M70" i="167"/>
  <c r="M80" i="167"/>
  <c r="M92" i="167"/>
  <c r="M53" i="167"/>
  <c r="M87" i="167"/>
  <c r="M82" i="167"/>
  <c r="M95" i="167"/>
  <c r="M89" i="167"/>
  <c r="M50" i="167"/>
  <c r="M64" i="167"/>
  <c r="M86" i="167"/>
  <c r="M66" i="167"/>
  <c r="M88" i="167"/>
  <c r="M83" i="167"/>
  <c r="M96" i="167"/>
  <c r="M63" i="167"/>
  <c r="M93" i="167"/>
  <c r="M105" i="167"/>
  <c r="M117" i="167"/>
  <c r="M81" i="167"/>
  <c r="M100" i="167"/>
  <c r="M112" i="167"/>
  <c r="M97" i="167"/>
  <c r="M107" i="167"/>
  <c r="M57" i="167"/>
  <c r="M84" i="167"/>
  <c r="M102" i="167"/>
  <c r="M114" i="167"/>
  <c r="M30" i="167"/>
  <c r="M75" i="167"/>
  <c r="M98" i="167"/>
  <c r="M109" i="167"/>
  <c r="M99" i="167"/>
  <c r="M111" i="167"/>
  <c r="M69" i="167"/>
  <c r="M101" i="167"/>
  <c r="M125" i="167"/>
  <c r="M137" i="167"/>
  <c r="M108" i="167"/>
  <c r="M120" i="167"/>
  <c r="M132" i="167"/>
  <c r="M78" i="167"/>
  <c r="M91" i="167"/>
  <c r="M115" i="167"/>
  <c r="M127" i="167"/>
  <c r="M122" i="167"/>
  <c r="M116" i="167"/>
  <c r="M129" i="167"/>
  <c r="M113" i="167"/>
  <c r="M119" i="167"/>
  <c r="M131" i="167"/>
  <c r="M76" i="167"/>
  <c r="M103" i="167"/>
  <c r="M121" i="167"/>
  <c r="M79" i="167"/>
  <c r="M110" i="167"/>
  <c r="M128" i="167"/>
  <c r="M106" i="167"/>
  <c r="M138" i="167"/>
  <c r="M148" i="167"/>
  <c r="M104" i="167"/>
  <c r="M134" i="167"/>
  <c r="M141" i="167"/>
  <c r="M143" i="167"/>
  <c r="M139" i="167"/>
  <c r="M150" i="167"/>
  <c r="M45" i="167"/>
  <c r="M145" i="167"/>
  <c r="M3" i="167"/>
  <c r="M135" i="167"/>
  <c r="M90" i="167"/>
  <c r="M126" i="167"/>
  <c r="M85" i="167"/>
  <c r="M136" i="167"/>
  <c r="M147" i="167"/>
  <c r="M118" i="167"/>
  <c r="M142" i="167"/>
  <c r="M124" i="167"/>
  <c r="M149" i="167"/>
  <c r="M130" i="167"/>
  <c r="M144" i="167"/>
  <c r="M123" i="167"/>
  <c r="M146" i="167"/>
  <c r="M140" i="167"/>
  <c r="M133" i="167"/>
  <c r="M211" i="167"/>
  <c r="M199" i="167"/>
  <c r="M187" i="167"/>
  <c r="M209" i="167"/>
  <c r="M197" i="167"/>
  <c r="M185" i="167"/>
  <c r="M200" i="167"/>
  <c r="M194" i="167"/>
  <c r="M212" i="167"/>
  <c r="M198" i="167"/>
  <c r="M208" i="167"/>
  <c r="M184" i="167"/>
  <c r="M174" i="167"/>
  <c r="M213" i="167"/>
  <c r="M210" i="167"/>
  <c r="M205" i="167"/>
  <c r="M181" i="167"/>
  <c r="M190" i="167"/>
  <c r="M186" i="167"/>
  <c r="M175" i="167"/>
  <c r="M214" i="167"/>
  <c r="M191" i="167"/>
  <c r="M182" i="167"/>
  <c r="M195" i="167"/>
  <c r="M193" i="167"/>
  <c r="M189" i="167"/>
  <c r="M170" i="167"/>
  <c r="M158" i="167"/>
  <c r="M216" i="167"/>
  <c r="M179" i="167"/>
  <c r="M176" i="167"/>
  <c r="M166" i="167"/>
  <c r="M154" i="167"/>
  <c r="M204" i="167"/>
  <c r="M202" i="167"/>
  <c r="M196" i="167"/>
  <c r="M192" i="167"/>
  <c r="M188" i="167"/>
  <c r="M215" i="167"/>
  <c r="M177" i="167"/>
  <c r="M159" i="167"/>
  <c r="M153" i="167"/>
  <c r="M173" i="167"/>
  <c r="M157" i="167"/>
  <c r="M207" i="167"/>
  <c r="M201" i="167"/>
  <c r="M183" i="167"/>
  <c r="M178" i="167"/>
  <c r="M180" i="167"/>
  <c r="M160" i="167"/>
  <c r="M172" i="167"/>
  <c r="M165" i="167"/>
  <c r="M156" i="167"/>
  <c r="M161" i="167"/>
  <c r="M206" i="167"/>
  <c r="M203" i="167"/>
  <c r="M169" i="167"/>
  <c r="M167" i="167"/>
  <c r="M171" i="167"/>
  <c r="M163" i="167"/>
  <c r="M162" i="167"/>
  <c r="M152" i="167"/>
  <c r="M168" i="167"/>
  <c r="M155" i="167"/>
  <c r="M164" i="167"/>
  <c r="N1" i="167"/>
  <c r="AH33" i="169" l="1"/>
  <c r="AH39" i="169"/>
  <c r="AH45" i="169"/>
  <c r="AI45" i="169" s="1"/>
  <c r="AH51" i="169"/>
  <c r="AH57" i="169"/>
  <c r="AH63" i="169"/>
  <c r="AI63" i="169" s="1"/>
  <c r="AH69" i="169"/>
  <c r="AH75" i="169"/>
  <c r="AI75" i="169" s="1"/>
  <c r="AH81" i="169"/>
  <c r="AI81" i="169" s="1"/>
  <c r="AH87" i="169"/>
  <c r="AI87" i="169" s="1"/>
  <c r="AH34" i="169"/>
  <c r="AI34" i="169" s="1"/>
  <c r="AH40" i="169"/>
  <c r="AI40" i="169" s="1"/>
  <c r="AH46" i="169"/>
  <c r="AH52" i="169"/>
  <c r="AI52" i="169" s="1"/>
  <c r="AH58" i="169"/>
  <c r="AI58" i="169" s="1"/>
  <c r="AH64" i="169"/>
  <c r="AH35" i="169"/>
  <c r="AI35" i="169" s="1"/>
  <c r="AH41" i="169"/>
  <c r="AI41" i="169" s="1"/>
  <c r="AH47" i="169"/>
  <c r="AH53" i="169"/>
  <c r="AI53" i="169" s="1"/>
  <c r="AH59" i="169"/>
  <c r="AI59" i="169" s="1"/>
  <c r="AH65" i="169"/>
  <c r="AI65" i="169" s="1"/>
  <c r="AH71" i="169"/>
  <c r="AI71" i="169" s="1"/>
  <c r="AH77" i="169"/>
  <c r="AI77" i="169" s="1"/>
  <c r="AH83" i="169"/>
  <c r="AH89" i="169"/>
  <c r="AI89" i="169" s="1"/>
  <c r="AH95" i="169"/>
  <c r="AI95" i="169" s="1"/>
  <c r="AH36" i="169"/>
  <c r="AH42" i="169"/>
  <c r="AI42" i="169" s="1"/>
  <c r="AH48" i="169"/>
  <c r="AI48" i="169" s="1"/>
  <c r="AH54" i="169"/>
  <c r="AI54" i="169" s="1"/>
  <c r="AH60" i="169"/>
  <c r="AI60" i="169" s="1"/>
  <c r="AH66" i="169"/>
  <c r="AI66" i="169" s="1"/>
  <c r="AH72" i="169"/>
  <c r="AI72" i="169" s="1"/>
  <c r="AH78" i="169"/>
  <c r="AI78" i="169" s="1"/>
  <c r="AH84" i="169"/>
  <c r="AI84" i="169" s="1"/>
  <c r="AH90" i="169"/>
  <c r="AH96" i="169"/>
  <c r="AH37" i="169"/>
  <c r="AI37" i="169" s="1"/>
  <c r="AH43" i="169"/>
  <c r="AI43" i="169" s="1"/>
  <c r="AH49" i="169"/>
  <c r="AI49" i="169" s="1"/>
  <c r="AH55" i="169"/>
  <c r="AI55" i="169" s="1"/>
  <c r="AH61" i="169"/>
  <c r="AH67" i="169"/>
  <c r="AI67" i="169" s="1"/>
  <c r="AH73" i="169"/>
  <c r="AI73" i="169" s="1"/>
  <c r="AH79" i="169"/>
  <c r="AH85" i="169"/>
  <c r="AI85" i="169" s="1"/>
  <c r="AH91" i="169"/>
  <c r="AI91" i="169" s="1"/>
  <c r="AH97" i="169"/>
  <c r="AH38" i="169"/>
  <c r="AH44" i="169"/>
  <c r="AI44" i="169" s="1"/>
  <c r="AH80" i="169"/>
  <c r="AH98" i="169"/>
  <c r="AI98" i="169" s="1"/>
  <c r="AH100" i="169"/>
  <c r="AI100" i="169" s="1"/>
  <c r="AH106" i="169"/>
  <c r="AH112" i="169"/>
  <c r="AI112" i="169" s="1"/>
  <c r="AH118" i="169"/>
  <c r="AI118" i="169" s="1"/>
  <c r="AH124" i="169"/>
  <c r="AI124" i="169" s="1"/>
  <c r="AH130" i="169"/>
  <c r="AI130" i="169" s="1"/>
  <c r="AH136" i="169"/>
  <c r="AI136" i="169" s="1"/>
  <c r="AH142" i="169"/>
  <c r="AH56" i="169"/>
  <c r="AI56" i="169" s="1"/>
  <c r="AH68" i="169"/>
  <c r="AI68" i="169" s="1"/>
  <c r="AH86" i="169"/>
  <c r="AI86" i="169" s="1"/>
  <c r="AH102" i="169"/>
  <c r="AI102" i="169" s="1"/>
  <c r="AH108" i="169"/>
  <c r="AI108" i="169" s="1"/>
  <c r="AH114" i="169"/>
  <c r="AI114" i="169" s="1"/>
  <c r="AH120" i="169"/>
  <c r="AI120" i="169" s="1"/>
  <c r="AH62" i="169"/>
  <c r="AI62" i="169" s="1"/>
  <c r="AH82" i="169"/>
  <c r="AI82" i="169" s="1"/>
  <c r="AH103" i="169"/>
  <c r="AI103" i="169" s="1"/>
  <c r="AH109" i="169"/>
  <c r="AI109" i="169" s="1"/>
  <c r="AH115" i="169"/>
  <c r="AH121" i="169"/>
  <c r="AH127" i="169"/>
  <c r="AI127" i="169" s="1"/>
  <c r="AH133" i="169"/>
  <c r="AI133" i="169" s="1"/>
  <c r="AH139" i="169"/>
  <c r="AI139" i="169" s="1"/>
  <c r="AH145" i="169"/>
  <c r="AI145" i="169" s="1"/>
  <c r="AH74" i="169"/>
  <c r="AI74" i="169" s="1"/>
  <c r="AH110" i="169"/>
  <c r="AI110" i="169" s="1"/>
  <c r="AH122" i="169"/>
  <c r="AI122" i="169" s="1"/>
  <c r="AH131" i="169"/>
  <c r="AI131" i="169" s="1"/>
  <c r="AH140" i="169"/>
  <c r="AI140" i="169" s="1"/>
  <c r="AH148" i="169"/>
  <c r="AI148" i="169" s="1"/>
  <c r="AH154" i="169"/>
  <c r="AI154" i="169" s="1"/>
  <c r="AH9" i="169"/>
  <c r="AI9" i="169" s="1"/>
  <c r="AH15" i="169"/>
  <c r="AI15" i="169" s="1"/>
  <c r="AH21" i="169"/>
  <c r="AI21" i="169" s="1"/>
  <c r="AH88" i="169"/>
  <c r="AI88" i="169" s="1"/>
  <c r="AH94" i="169"/>
  <c r="AI94" i="169" s="1"/>
  <c r="AH105" i="169"/>
  <c r="AI105" i="169" s="1"/>
  <c r="AH117" i="169"/>
  <c r="AI117" i="169" s="1"/>
  <c r="AH129" i="169"/>
  <c r="AI129" i="169" s="1"/>
  <c r="AH138" i="169"/>
  <c r="AI138" i="169" s="1"/>
  <c r="AH149" i="169"/>
  <c r="AI149" i="169" s="1"/>
  <c r="AH4" i="169"/>
  <c r="AI4" i="169" s="1"/>
  <c r="AH10" i="169"/>
  <c r="AI10" i="169" s="1"/>
  <c r="AH16" i="169"/>
  <c r="AI16" i="169" s="1"/>
  <c r="AH22" i="169"/>
  <c r="AI22" i="169" s="1"/>
  <c r="AH107" i="169"/>
  <c r="AH119" i="169"/>
  <c r="AI119" i="169" s="1"/>
  <c r="AH92" i="169"/>
  <c r="AI92" i="169" s="1"/>
  <c r="AH104" i="169"/>
  <c r="AI104" i="169" s="1"/>
  <c r="AH116" i="169"/>
  <c r="AI116" i="169" s="1"/>
  <c r="AH123" i="169"/>
  <c r="AI123" i="169" s="1"/>
  <c r="AH132" i="169"/>
  <c r="AI132" i="169" s="1"/>
  <c r="AH141" i="169"/>
  <c r="AI141" i="169" s="1"/>
  <c r="AH151" i="169"/>
  <c r="AI151" i="169" s="1"/>
  <c r="AH6" i="169"/>
  <c r="AI6" i="169" s="1"/>
  <c r="AH12" i="169"/>
  <c r="AI12" i="169" s="1"/>
  <c r="AH18" i="169"/>
  <c r="AI18" i="169" s="1"/>
  <c r="AH24" i="169"/>
  <c r="AI24" i="169" s="1"/>
  <c r="AH70" i="169"/>
  <c r="AI70" i="169" s="1"/>
  <c r="AH111" i="169"/>
  <c r="AI111" i="169" s="1"/>
  <c r="AH137" i="169"/>
  <c r="AI137" i="169" s="1"/>
  <c r="AH7" i="169"/>
  <c r="AI7" i="169" s="1"/>
  <c r="AH19" i="169"/>
  <c r="AI19" i="169" s="1"/>
  <c r="AH26" i="169"/>
  <c r="AI26" i="169" s="1"/>
  <c r="AH32" i="169"/>
  <c r="AI32" i="169" s="1"/>
  <c r="AH3" i="169"/>
  <c r="AI3" i="169" s="1"/>
  <c r="AH27" i="169"/>
  <c r="AI27" i="169" s="1"/>
  <c r="AH50" i="169"/>
  <c r="AI50" i="169" s="1"/>
  <c r="AH126" i="169"/>
  <c r="AI126" i="169" s="1"/>
  <c r="AH144" i="169"/>
  <c r="AI144" i="169" s="1"/>
  <c r="AH153" i="169"/>
  <c r="AI153" i="169" s="1"/>
  <c r="AH14" i="169"/>
  <c r="AI14" i="169" s="1"/>
  <c r="AH5" i="169"/>
  <c r="AI5" i="169" s="1"/>
  <c r="AH17" i="169"/>
  <c r="AI17" i="169" s="1"/>
  <c r="AH125" i="169"/>
  <c r="AI125" i="169" s="1"/>
  <c r="AH143" i="169"/>
  <c r="AI143" i="169" s="1"/>
  <c r="AH150" i="169"/>
  <c r="AI150" i="169" s="1"/>
  <c r="AH11" i="169"/>
  <c r="AI11" i="169" s="1"/>
  <c r="AH23" i="169"/>
  <c r="AI23" i="169" s="1"/>
  <c r="AH28" i="169"/>
  <c r="AI28" i="169" s="1"/>
  <c r="AH147" i="169"/>
  <c r="AI147" i="169" s="1"/>
  <c r="AH30" i="169"/>
  <c r="AI30" i="169" s="1"/>
  <c r="AH76" i="169"/>
  <c r="AI76" i="169" s="1"/>
  <c r="AH93" i="169"/>
  <c r="AI93" i="169" s="1"/>
  <c r="AH134" i="169"/>
  <c r="AI134" i="169" s="1"/>
  <c r="AH31" i="169"/>
  <c r="AI31" i="169" s="1"/>
  <c r="AH101" i="169"/>
  <c r="AI101" i="169" s="1"/>
  <c r="AH128" i="169"/>
  <c r="AI128" i="169" s="1"/>
  <c r="AH146" i="169"/>
  <c r="AI146" i="169" s="1"/>
  <c r="AH152" i="169"/>
  <c r="AI152" i="169" s="1"/>
  <c r="AH13" i="169"/>
  <c r="AI13" i="169" s="1"/>
  <c r="AH25" i="169"/>
  <c r="AI25" i="169" s="1"/>
  <c r="AH29" i="169"/>
  <c r="AI29" i="169" s="1"/>
  <c r="AH99" i="169"/>
  <c r="AI99" i="169" s="1"/>
  <c r="AH135" i="169"/>
  <c r="AI135" i="169" s="1"/>
  <c r="AH8" i="169"/>
  <c r="AI8" i="169" s="1"/>
  <c r="AH20" i="169"/>
  <c r="AI20" i="169" s="1"/>
  <c r="AH113" i="169"/>
  <c r="AI113" i="169" s="1"/>
  <c r="AI33" i="169"/>
  <c r="AI61" i="169"/>
  <c r="AI46" i="169"/>
  <c r="AI36" i="169"/>
  <c r="AI38" i="169"/>
  <c r="AI69" i="169"/>
  <c r="AI57" i="169"/>
  <c r="AI64" i="169"/>
  <c r="AI107" i="169"/>
  <c r="AI90" i="169"/>
  <c r="AI47" i="169"/>
  <c r="AI79" i="169"/>
  <c r="AI106" i="169"/>
  <c r="AI115" i="169"/>
  <c r="AI80" i="169"/>
  <c r="AI97" i="169"/>
  <c r="AI96" i="169"/>
  <c r="AI142" i="169"/>
  <c r="AH218" i="169"/>
  <c r="AH206" i="169"/>
  <c r="AH211" i="169"/>
  <c r="AH216" i="169"/>
  <c r="AH209" i="169"/>
  <c r="AH214" i="169"/>
  <c r="AH207" i="169"/>
  <c r="AH212" i="169"/>
  <c r="AH200" i="169"/>
  <c r="AH217" i="169"/>
  <c r="AH205" i="169"/>
  <c r="AH193" i="169"/>
  <c r="AH210" i="169"/>
  <c r="AH215" i="169"/>
  <c r="AH213" i="169"/>
  <c r="AH201" i="169"/>
  <c r="AH189" i="169"/>
  <c r="AH198" i="169"/>
  <c r="AH185" i="169"/>
  <c r="AH173" i="169"/>
  <c r="AH202" i="169"/>
  <c r="AH183" i="169"/>
  <c r="AH199" i="169"/>
  <c r="AH188" i="169"/>
  <c r="AH187" i="169"/>
  <c r="AH203" i="169"/>
  <c r="AH194" i="169"/>
  <c r="AH179" i="169"/>
  <c r="AH196" i="169"/>
  <c r="AH195" i="169"/>
  <c r="AH192" i="169"/>
  <c r="AH184" i="169"/>
  <c r="AH204" i="169"/>
  <c r="AH186" i="169"/>
  <c r="AH177" i="169"/>
  <c r="AH197" i="169"/>
  <c r="AH191" i="169"/>
  <c r="AH182" i="169"/>
  <c r="AH175" i="169"/>
  <c r="AH208" i="169"/>
  <c r="AH161" i="169"/>
  <c r="AH172" i="169"/>
  <c r="AH181" i="169"/>
  <c r="AH171" i="169"/>
  <c r="AH170" i="169"/>
  <c r="AH190" i="169"/>
  <c r="AH180" i="169"/>
  <c r="AH178" i="169"/>
  <c r="AH167" i="169"/>
  <c r="AH155" i="169"/>
  <c r="AH176" i="169"/>
  <c r="AH169" i="169"/>
  <c r="AH160" i="169"/>
  <c r="AH174" i="169"/>
  <c r="AH168" i="169"/>
  <c r="AH156" i="169"/>
  <c r="AH157" i="169"/>
  <c r="AH165" i="169"/>
  <c r="AH158" i="169"/>
  <c r="AH162" i="169"/>
  <c r="AH159" i="169"/>
  <c r="AH166" i="169"/>
  <c r="AH163" i="169"/>
  <c r="AH164" i="169"/>
  <c r="AI83" i="169"/>
  <c r="AI51" i="169"/>
  <c r="AI39" i="169"/>
  <c r="N94" i="167"/>
  <c r="N151" i="167"/>
  <c r="N6" i="167"/>
  <c r="N18" i="167"/>
  <c r="N30" i="167"/>
  <c r="N13" i="167"/>
  <c r="N25" i="167"/>
  <c r="N8" i="167"/>
  <c r="N20" i="167"/>
  <c r="N32" i="167"/>
  <c r="N15" i="167"/>
  <c r="N27" i="167"/>
  <c r="N10" i="167"/>
  <c r="N22" i="167"/>
  <c r="N34" i="167"/>
  <c r="N5" i="167"/>
  <c r="N17" i="167"/>
  <c r="N29" i="167"/>
  <c r="N12" i="167"/>
  <c r="N24" i="167"/>
  <c r="N36" i="167"/>
  <c r="N7" i="167"/>
  <c r="N19" i="167"/>
  <c r="N31" i="167"/>
  <c r="N14" i="167"/>
  <c r="N26" i="167"/>
  <c r="N21" i="167"/>
  <c r="N45" i="167"/>
  <c r="N57" i="167"/>
  <c r="N4" i="167"/>
  <c r="N40" i="167"/>
  <c r="N52" i="167"/>
  <c r="N35" i="167"/>
  <c r="N47" i="167"/>
  <c r="N59" i="167"/>
  <c r="N9" i="167"/>
  <c r="N42" i="167"/>
  <c r="N54" i="167"/>
  <c r="N37" i="167"/>
  <c r="N49" i="167"/>
  <c r="N61" i="167"/>
  <c r="N39" i="167"/>
  <c r="N51" i="167"/>
  <c r="N23" i="167"/>
  <c r="N44" i="167"/>
  <c r="N70" i="167"/>
  <c r="N58" i="167"/>
  <c r="N65" i="167"/>
  <c r="N77" i="167"/>
  <c r="N11" i="167"/>
  <c r="N41" i="167"/>
  <c r="N72" i="167"/>
  <c r="N33" i="167"/>
  <c r="N48" i="167"/>
  <c r="N67" i="167"/>
  <c r="N56" i="167"/>
  <c r="N64" i="167"/>
  <c r="N76" i="167"/>
  <c r="N53" i="167"/>
  <c r="N66" i="167"/>
  <c r="N60" i="167"/>
  <c r="N73" i="167"/>
  <c r="N85" i="167"/>
  <c r="N98" i="167"/>
  <c r="N28" i="167"/>
  <c r="N38" i="167"/>
  <c r="N71" i="167"/>
  <c r="N80" i="167"/>
  <c r="N92" i="167"/>
  <c r="N55" i="167"/>
  <c r="N87" i="167"/>
  <c r="N74" i="167"/>
  <c r="N82" i="167"/>
  <c r="N95" i="167"/>
  <c r="N16" i="167"/>
  <c r="N63" i="167"/>
  <c r="N79" i="167"/>
  <c r="N91" i="167"/>
  <c r="N81" i="167"/>
  <c r="N93" i="167"/>
  <c r="N43" i="167"/>
  <c r="N88" i="167"/>
  <c r="N110" i="167"/>
  <c r="N105" i="167"/>
  <c r="N117" i="167"/>
  <c r="N96" i="167"/>
  <c r="N100" i="167"/>
  <c r="N112" i="167"/>
  <c r="N68" i="167"/>
  <c r="N83" i="167"/>
  <c r="N97" i="167"/>
  <c r="N107" i="167"/>
  <c r="N84" i="167"/>
  <c r="N102" i="167"/>
  <c r="N114" i="167"/>
  <c r="N62" i="167"/>
  <c r="N86" i="167"/>
  <c r="N104" i="167"/>
  <c r="N116" i="167"/>
  <c r="N89" i="167"/>
  <c r="N118" i="167"/>
  <c r="N130" i="167"/>
  <c r="N50" i="167"/>
  <c r="N69" i="167"/>
  <c r="N101" i="167"/>
  <c r="N125" i="167"/>
  <c r="N108" i="167"/>
  <c r="N120" i="167"/>
  <c r="N132" i="167"/>
  <c r="N78" i="167"/>
  <c r="N115" i="167"/>
  <c r="N127" i="167"/>
  <c r="N75" i="167"/>
  <c r="N109" i="167"/>
  <c r="N122" i="167"/>
  <c r="N106" i="167"/>
  <c r="N124" i="167"/>
  <c r="N90" i="167"/>
  <c r="N126" i="167"/>
  <c r="N103" i="167"/>
  <c r="N121" i="167"/>
  <c r="N133" i="167"/>
  <c r="N99" i="167"/>
  <c r="N129" i="167"/>
  <c r="N146" i="167"/>
  <c r="N113" i="167"/>
  <c r="N128" i="167"/>
  <c r="N138" i="167"/>
  <c r="N148" i="167"/>
  <c r="N111" i="167"/>
  <c r="N134" i="167"/>
  <c r="N141" i="167"/>
  <c r="N143" i="167"/>
  <c r="N150" i="167"/>
  <c r="N145" i="167"/>
  <c r="N46" i="167"/>
  <c r="N119" i="167"/>
  <c r="N135" i="167"/>
  <c r="N139" i="167"/>
  <c r="N136" i="167"/>
  <c r="N147" i="167"/>
  <c r="N142" i="167"/>
  <c r="N131" i="167"/>
  <c r="N144" i="167"/>
  <c r="N149" i="167"/>
  <c r="N137" i="167"/>
  <c r="N140" i="167"/>
  <c r="N3" i="167"/>
  <c r="N123" i="167"/>
  <c r="N216" i="167"/>
  <c r="N204" i="167"/>
  <c r="N192" i="167"/>
  <c r="N214" i="167"/>
  <c r="N202" i="167"/>
  <c r="N190" i="167"/>
  <c r="N193" i="167"/>
  <c r="N187" i="167"/>
  <c r="N181" i="167"/>
  <c r="N211" i="167"/>
  <c r="N191" i="167"/>
  <c r="N215" i="167"/>
  <c r="N189" i="167"/>
  <c r="N183" i="167"/>
  <c r="N186" i="167"/>
  <c r="N175" i="167"/>
  <c r="N196" i="167"/>
  <c r="N188" i="167"/>
  <c r="N184" i="167"/>
  <c r="N180" i="167"/>
  <c r="N197" i="167"/>
  <c r="N195" i="167"/>
  <c r="N185" i="167"/>
  <c r="N209" i="167"/>
  <c r="N207" i="167"/>
  <c r="N205" i="167"/>
  <c r="N203" i="167"/>
  <c r="N201" i="167"/>
  <c r="N199" i="167"/>
  <c r="N163" i="167"/>
  <c r="N213" i="167"/>
  <c r="N171" i="167"/>
  <c r="N159" i="167"/>
  <c r="N210" i="167"/>
  <c r="N206" i="167"/>
  <c r="N200" i="167"/>
  <c r="N198" i="167"/>
  <c r="N194" i="167"/>
  <c r="N169" i="167"/>
  <c r="N166" i="167"/>
  <c r="N179" i="167"/>
  <c r="N176" i="167"/>
  <c r="N170" i="167"/>
  <c r="N178" i="167"/>
  <c r="N177" i="167"/>
  <c r="N174" i="167"/>
  <c r="N168" i="167"/>
  <c r="N173" i="167"/>
  <c r="N208" i="167"/>
  <c r="N160" i="167"/>
  <c r="N172" i="167"/>
  <c r="N165" i="167"/>
  <c r="N161" i="167"/>
  <c r="N167" i="167"/>
  <c r="N212" i="167"/>
  <c r="N182" i="167"/>
  <c r="N158" i="167"/>
  <c r="N153" i="167"/>
  <c r="N155" i="167"/>
  <c r="N154" i="167"/>
  <c r="N162" i="167"/>
  <c r="N157" i="167"/>
  <c r="N152" i="167"/>
  <c r="N164" i="167"/>
  <c r="N156" i="167"/>
  <c r="O1" i="167"/>
  <c r="T67" i="164"/>
  <c r="T63" i="164"/>
  <c r="T64" i="164"/>
  <c r="T65" i="164"/>
  <c r="T66" i="164"/>
  <c r="O94" i="167" l="1"/>
  <c r="O151" i="167"/>
  <c r="O11" i="167"/>
  <c r="O23" i="167"/>
  <c r="O35" i="167"/>
  <c r="O6" i="167"/>
  <c r="O18" i="167"/>
  <c r="O30" i="167"/>
  <c r="O13" i="167"/>
  <c r="O25" i="167"/>
  <c r="O8" i="167"/>
  <c r="O20" i="167"/>
  <c r="O32" i="167"/>
  <c r="O15" i="167"/>
  <c r="O27" i="167"/>
  <c r="O10" i="167"/>
  <c r="O22" i="167"/>
  <c r="O34" i="167"/>
  <c r="O5" i="167"/>
  <c r="O17" i="167"/>
  <c r="O29" i="167"/>
  <c r="O12" i="167"/>
  <c r="O24" i="167"/>
  <c r="O36" i="167"/>
  <c r="O7" i="167"/>
  <c r="O19" i="167"/>
  <c r="O31" i="167"/>
  <c r="O38" i="167"/>
  <c r="O50" i="167"/>
  <c r="O21" i="167"/>
  <c r="O45" i="167"/>
  <c r="O57" i="167"/>
  <c r="O4" i="167"/>
  <c r="O40" i="167"/>
  <c r="O52" i="167"/>
  <c r="O26" i="167"/>
  <c r="O47" i="167"/>
  <c r="O59" i="167"/>
  <c r="O9" i="167"/>
  <c r="O42" i="167"/>
  <c r="O54" i="167"/>
  <c r="O14" i="167"/>
  <c r="O44" i="167"/>
  <c r="O56" i="167"/>
  <c r="O37" i="167"/>
  <c r="O61" i="167"/>
  <c r="O63" i="167"/>
  <c r="O75" i="167"/>
  <c r="O51" i="167"/>
  <c r="O70" i="167"/>
  <c r="O58" i="167"/>
  <c r="O65" i="167"/>
  <c r="O77" i="167"/>
  <c r="O41" i="167"/>
  <c r="O72" i="167"/>
  <c r="O49" i="167"/>
  <c r="O69" i="167"/>
  <c r="O28" i="167"/>
  <c r="O46" i="167"/>
  <c r="O71" i="167"/>
  <c r="O53" i="167"/>
  <c r="O66" i="167"/>
  <c r="O78" i="167"/>
  <c r="O90" i="167"/>
  <c r="O85" i="167"/>
  <c r="O98" i="167"/>
  <c r="O80" i="167"/>
  <c r="O92" i="167"/>
  <c r="O55" i="167"/>
  <c r="O73" i="167"/>
  <c r="O87" i="167"/>
  <c r="O76" i="167"/>
  <c r="O84" i="167"/>
  <c r="O97" i="167"/>
  <c r="O86" i="167"/>
  <c r="O33" i="167"/>
  <c r="O67" i="167"/>
  <c r="O81" i="167"/>
  <c r="O93" i="167"/>
  <c r="O60" i="167"/>
  <c r="O79" i="167"/>
  <c r="O103" i="167"/>
  <c r="O115" i="167"/>
  <c r="O95" i="167"/>
  <c r="O110" i="167"/>
  <c r="O43" i="167"/>
  <c r="O82" i="167"/>
  <c r="O105" i="167"/>
  <c r="O117" i="167"/>
  <c r="O39" i="167"/>
  <c r="O48" i="167"/>
  <c r="O96" i="167"/>
  <c r="O100" i="167"/>
  <c r="O112" i="167"/>
  <c r="O68" i="167"/>
  <c r="O83" i="167"/>
  <c r="O107" i="167"/>
  <c r="O64" i="167"/>
  <c r="O109" i="167"/>
  <c r="O16" i="167"/>
  <c r="O111" i="167"/>
  <c r="O123" i="167"/>
  <c r="O135" i="167"/>
  <c r="O89" i="167"/>
  <c r="O118" i="167"/>
  <c r="O130" i="167"/>
  <c r="O101" i="167"/>
  <c r="O125" i="167"/>
  <c r="O74" i="167"/>
  <c r="O91" i="167"/>
  <c r="O108" i="167"/>
  <c r="O120" i="167"/>
  <c r="O132" i="167"/>
  <c r="O102" i="167"/>
  <c r="O127" i="167"/>
  <c r="O88" i="167"/>
  <c r="O99" i="167"/>
  <c r="O129" i="167"/>
  <c r="O113" i="167"/>
  <c r="O119" i="167"/>
  <c r="O131" i="167"/>
  <c r="O126" i="167"/>
  <c r="O62" i="167"/>
  <c r="O122" i="167"/>
  <c r="O133" i="167"/>
  <c r="O140" i="167"/>
  <c r="O106" i="167"/>
  <c r="O146" i="167"/>
  <c r="O150" i="167"/>
  <c r="O121" i="167"/>
  <c r="O104" i="167"/>
  <c r="O128" i="167"/>
  <c r="O138" i="167"/>
  <c r="O148" i="167"/>
  <c r="O116" i="167"/>
  <c r="O134" i="167"/>
  <c r="O141" i="167"/>
  <c r="O143" i="167"/>
  <c r="O114" i="167"/>
  <c r="O145" i="167"/>
  <c r="O3" i="167"/>
  <c r="O139" i="167"/>
  <c r="O136" i="167"/>
  <c r="O147" i="167"/>
  <c r="O144" i="167"/>
  <c r="O149" i="167"/>
  <c r="O142" i="167"/>
  <c r="O124" i="167"/>
  <c r="O137" i="167"/>
  <c r="O216" i="167"/>
  <c r="O209" i="167"/>
  <c r="O197" i="167"/>
  <c r="O185" i="167"/>
  <c r="O207" i="167"/>
  <c r="O195" i="167"/>
  <c r="O206" i="167"/>
  <c r="O186" i="167"/>
  <c r="O214" i="167"/>
  <c r="O213" i="167"/>
  <c r="O210" i="167"/>
  <c r="O204" i="167"/>
  <c r="O184" i="167"/>
  <c r="O182" i="167"/>
  <c r="O199" i="167"/>
  <c r="O194" i="167"/>
  <c r="O172" i="167"/>
  <c r="O196" i="167"/>
  <c r="O191" i="167"/>
  <c r="O180" i="167"/>
  <c r="O202" i="167"/>
  <c r="O200" i="167"/>
  <c r="O198" i="167"/>
  <c r="O192" i="167"/>
  <c r="O205" i="167"/>
  <c r="O203" i="167"/>
  <c r="O201" i="167"/>
  <c r="O193" i="167"/>
  <c r="O189" i="167"/>
  <c r="O187" i="167"/>
  <c r="O211" i="167"/>
  <c r="O178" i="167"/>
  <c r="O177" i="167"/>
  <c r="O168" i="167"/>
  <c r="O156" i="167"/>
  <c r="O190" i="167"/>
  <c r="O188" i="167"/>
  <c r="O175" i="167"/>
  <c r="O164" i="167"/>
  <c r="O208" i="167"/>
  <c r="O174" i="167"/>
  <c r="O181" i="167"/>
  <c r="O165" i="167"/>
  <c r="O152" i="167"/>
  <c r="O169" i="167"/>
  <c r="O163" i="167"/>
  <c r="O215" i="167"/>
  <c r="O183" i="167"/>
  <c r="O166" i="167"/>
  <c r="O154" i="167"/>
  <c r="O173" i="167"/>
  <c r="O179" i="167"/>
  <c r="O170" i="167"/>
  <c r="O161" i="167"/>
  <c r="O167" i="167"/>
  <c r="O162" i="167"/>
  <c r="O157" i="167"/>
  <c r="O212" i="167"/>
  <c r="O176" i="167"/>
  <c r="O171" i="167"/>
  <c r="O160" i="167"/>
  <c r="O153" i="167"/>
  <c r="O155" i="167"/>
  <c r="O159" i="167"/>
  <c r="O158" i="167"/>
  <c r="P1" i="167"/>
  <c r="P94" i="167" l="1"/>
  <c r="P151" i="167"/>
  <c r="P4" i="167"/>
  <c r="P16" i="167"/>
  <c r="P28" i="167"/>
  <c r="P11" i="167"/>
  <c r="P23" i="167"/>
  <c r="P35" i="167"/>
  <c r="P6" i="167"/>
  <c r="P18" i="167"/>
  <c r="P30" i="167"/>
  <c r="P13" i="167"/>
  <c r="P25" i="167"/>
  <c r="P8" i="167"/>
  <c r="P20" i="167"/>
  <c r="P32" i="167"/>
  <c r="P15" i="167"/>
  <c r="P27" i="167"/>
  <c r="P10" i="167"/>
  <c r="P22" i="167"/>
  <c r="P34" i="167"/>
  <c r="P5" i="167"/>
  <c r="P17" i="167"/>
  <c r="P29" i="167"/>
  <c r="P12" i="167"/>
  <c r="P24" i="167"/>
  <c r="P36" i="167"/>
  <c r="P7" i="167"/>
  <c r="P43" i="167"/>
  <c r="P55" i="167"/>
  <c r="P38" i="167"/>
  <c r="P50" i="167"/>
  <c r="P21" i="167"/>
  <c r="P45" i="167"/>
  <c r="P57" i="167"/>
  <c r="P40" i="167"/>
  <c r="P52" i="167"/>
  <c r="P26" i="167"/>
  <c r="P47" i="167"/>
  <c r="P59" i="167"/>
  <c r="P31" i="167"/>
  <c r="P37" i="167"/>
  <c r="P49" i="167"/>
  <c r="P61" i="167"/>
  <c r="P54" i="167"/>
  <c r="P68" i="167"/>
  <c r="P14" i="167"/>
  <c r="P44" i="167"/>
  <c r="P63" i="167"/>
  <c r="P75" i="167"/>
  <c r="P51" i="167"/>
  <c r="P70" i="167"/>
  <c r="P58" i="167"/>
  <c r="P65" i="167"/>
  <c r="P77" i="167"/>
  <c r="P9" i="167"/>
  <c r="P42" i="167"/>
  <c r="P62" i="167"/>
  <c r="P74" i="167"/>
  <c r="P39" i="167"/>
  <c r="P64" i="167"/>
  <c r="P76" i="167"/>
  <c r="P19" i="167"/>
  <c r="P46" i="167"/>
  <c r="P71" i="167"/>
  <c r="P60" i="167"/>
  <c r="P69" i="167"/>
  <c r="P83" i="167"/>
  <c r="P96" i="167"/>
  <c r="P78" i="167"/>
  <c r="P90" i="167"/>
  <c r="P53" i="167"/>
  <c r="P72" i="167"/>
  <c r="P85" i="167"/>
  <c r="P98" i="167"/>
  <c r="P80" i="167"/>
  <c r="P92" i="167"/>
  <c r="P48" i="167"/>
  <c r="P89" i="167"/>
  <c r="P41" i="167"/>
  <c r="P79" i="167"/>
  <c r="P91" i="167"/>
  <c r="P56" i="167"/>
  <c r="P66" i="167"/>
  <c r="P86" i="167"/>
  <c r="P108" i="167"/>
  <c r="P93" i="167"/>
  <c r="P103" i="167"/>
  <c r="P115" i="167"/>
  <c r="P81" i="167"/>
  <c r="P95" i="167"/>
  <c r="P110" i="167"/>
  <c r="P82" i="167"/>
  <c r="P105" i="167"/>
  <c r="P117" i="167"/>
  <c r="P97" i="167"/>
  <c r="P100" i="167"/>
  <c r="P112" i="167"/>
  <c r="P33" i="167"/>
  <c r="P73" i="167"/>
  <c r="P102" i="167"/>
  <c r="P114" i="167"/>
  <c r="P104" i="167"/>
  <c r="P128" i="167"/>
  <c r="P140" i="167"/>
  <c r="P111" i="167"/>
  <c r="P123" i="167"/>
  <c r="P118" i="167"/>
  <c r="P130" i="167"/>
  <c r="P101" i="167"/>
  <c r="P125" i="167"/>
  <c r="P84" i="167"/>
  <c r="P120" i="167"/>
  <c r="P116" i="167"/>
  <c r="P122" i="167"/>
  <c r="P67" i="167"/>
  <c r="P106" i="167"/>
  <c r="P124" i="167"/>
  <c r="P113" i="167"/>
  <c r="P119" i="167"/>
  <c r="P131" i="167"/>
  <c r="P144" i="167"/>
  <c r="P134" i="167"/>
  <c r="P141" i="167"/>
  <c r="P88" i="167"/>
  <c r="P99" i="167"/>
  <c r="P129" i="167"/>
  <c r="P133" i="167"/>
  <c r="P143" i="167"/>
  <c r="P146" i="167"/>
  <c r="P121" i="167"/>
  <c r="P109" i="167"/>
  <c r="P127" i="167"/>
  <c r="P138" i="167"/>
  <c r="P148" i="167"/>
  <c r="P107" i="167"/>
  <c r="P126" i="167"/>
  <c r="P150" i="167"/>
  <c r="P135" i="167"/>
  <c r="P145" i="167"/>
  <c r="P3" i="167"/>
  <c r="P139" i="167"/>
  <c r="P136" i="167"/>
  <c r="P132" i="167"/>
  <c r="P149" i="167"/>
  <c r="P147" i="167"/>
  <c r="P87" i="167"/>
  <c r="P137" i="167"/>
  <c r="P142" i="167"/>
  <c r="P214" i="167"/>
  <c r="P202" i="167"/>
  <c r="P190" i="167"/>
  <c r="P212" i="167"/>
  <c r="P200" i="167"/>
  <c r="P188" i="167"/>
  <c r="P205" i="167"/>
  <c r="P199" i="167"/>
  <c r="P179" i="167"/>
  <c r="P215" i="167"/>
  <c r="P203" i="167"/>
  <c r="P197" i="167"/>
  <c r="P209" i="167"/>
  <c r="P204" i="167"/>
  <c r="P182" i="167"/>
  <c r="P177" i="167"/>
  <c r="P201" i="167"/>
  <c r="P173" i="167"/>
  <c r="P210" i="167"/>
  <c r="P208" i="167"/>
  <c r="P206" i="167"/>
  <c r="P194" i="167"/>
  <c r="P211" i="167"/>
  <c r="P207" i="167"/>
  <c r="P178" i="167"/>
  <c r="P183" i="167"/>
  <c r="P161" i="167"/>
  <c r="P198" i="167"/>
  <c r="P196" i="167"/>
  <c r="P192" i="167"/>
  <c r="P186" i="167"/>
  <c r="P184" i="167"/>
  <c r="P180" i="167"/>
  <c r="P169" i="167"/>
  <c r="P157" i="167"/>
  <c r="P152" i="167"/>
  <c r="P195" i="167"/>
  <c r="P193" i="167"/>
  <c r="P191" i="167"/>
  <c r="P189" i="167"/>
  <c r="P187" i="167"/>
  <c r="P185" i="167"/>
  <c r="P165" i="167"/>
  <c r="P216" i="167"/>
  <c r="P172" i="167"/>
  <c r="P171" i="167"/>
  <c r="P158" i="167"/>
  <c r="P174" i="167"/>
  <c r="P162" i="167"/>
  <c r="P156" i="167"/>
  <c r="P168" i="167"/>
  <c r="P164" i="167"/>
  <c r="P159" i="167"/>
  <c r="P213" i="167"/>
  <c r="P167" i="167"/>
  <c r="P181" i="167"/>
  <c r="P176" i="167"/>
  <c r="P175" i="167"/>
  <c r="P166" i="167"/>
  <c r="P154" i="167"/>
  <c r="P163" i="167"/>
  <c r="P155" i="167"/>
  <c r="P170" i="167"/>
  <c r="P153" i="167"/>
  <c r="P160" i="167"/>
  <c r="Q1" i="167"/>
  <c r="Q94" i="167" l="1"/>
  <c r="Q151" i="167"/>
  <c r="Q9" i="167"/>
  <c r="Q21" i="167"/>
  <c r="Q33" i="167"/>
  <c r="Q4" i="167"/>
  <c r="Q16" i="167"/>
  <c r="Q28" i="167"/>
  <c r="Q11" i="167"/>
  <c r="Q23" i="167"/>
  <c r="Q35" i="167"/>
  <c r="Q6" i="167"/>
  <c r="Q18" i="167"/>
  <c r="Q30" i="167"/>
  <c r="Q13" i="167"/>
  <c r="Q25" i="167"/>
  <c r="Q8" i="167"/>
  <c r="Q20" i="167"/>
  <c r="Q32" i="167"/>
  <c r="Q15" i="167"/>
  <c r="Q27" i="167"/>
  <c r="Q10" i="167"/>
  <c r="Q22" i="167"/>
  <c r="Q34" i="167"/>
  <c r="Q5" i="167"/>
  <c r="Q17" i="167"/>
  <c r="Q29" i="167"/>
  <c r="Q24" i="167"/>
  <c r="Q48" i="167"/>
  <c r="Q60" i="167"/>
  <c r="Q7" i="167"/>
  <c r="Q43" i="167"/>
  <c r="Q55" i="167"/>
  <c r="Q38" i="167"/>
  <c r="Q50" i="167"/>
  <c r="Q12" i="167"/>
  <c r="Q45" i="167"/>
  <c r="Q57" i="167"/>
  <c r="Q40" i="167"/>
  <c r="Q52" i="167"/>
  <c r="Q42" i="167"/>
  <c r="Q54" i="167"/>
  <c r="Q26" i="167"/>
  <c r="Q47" i="167"/>
  <c r="Q73" i="167"/>
  <c r="Q37" i="167"/>
  <c r="Q61" i="167"/>
  <c r="Q68" i="167"/>
  <c r="Q14" i="167"/>
  <c r="Q44" i="167"/>
  <c r="Q63" i="167"/>
  <c r="Q75" i="167"/>
  <c r="Q36" i="167"/>
  <c r="Q51" i="167"/>
  <c r="Q70" i="167"/>
  <c r="Q59" i="167"/>
  <c r="Q67" i="167"/>
  <c r="Q56" i="167"/>
  <c r="Q69" i="167"/>
  <c r="Q39" i="167"/>
  <c r="Q64" i="167"/>
  <c r="Q76" i="167"/>
  <c r="Q49" i="167"/>
  <c r="Q88" i="167"/>
  <c r="Q83" i="167"/>
  <c r="Q96" i="167"/>
  <c r="Q71" i="167"/>
  <c r="Q78" i="167"/>
  <c r="Q90" i="167"/>
  <c r="Q53" i="167"/>
  <c r="Q72" i="167"/>
  <c r="Q85" i="167"/>
  <c r="Q31" i="167"/>
  <c r="Q62" i="167"/>
  <c r="Q82" i="167"/>
  <c r="Q95" i="167"/>
  <c r="Q65" i="167"/>
  <c r="Q84" i="167"/>
  <c r="Q97" i="167"/>
  <c r="Q41" i="167"/>
  <c r="Q79" i="167"/>
  <c r="Q91" i="167"/>
  <c r="Q74" i="167"/>
  <c r="Q92" i="167"/>
  <c r="Q101" i="167"/>
  <c r="Q113" i="167"/>
  <c r="Q80" i="167"/>
  <c r="Q108" i="167"/>
  <c r="Q93" i="167"/>
  <c r="Q103" i="167"/>
  <c r="Q115" i="167"/>
  <c r="Q81" i="167"/>
  <c r="Q110" i="167"/>
  <c r="Q77" i="167"/>
  <c r="Q105" i="167"/>
  <c r="Q117" i="167"/>
  <c r="Q58" i="167"/>
  <c r="Q107" i="167"/>
  <c r="Q87" i="167"/>
  <c r="Q121" i="167"/>
  <c r="Q133" i="167"/>
  <c r="Q104" i="167"/>
  <c r="Q128" i="167"/>
  <c r="Q19" i="167"/>
  <c r="Q89" i="167"/>
  <c r="Q111" i="167"/>
  <c r="Q123" i="167"/>
  <c r="Q135" i="167"/>
  <c r="Q118" i="167"/>
  <c r="Q130" i="167"/>
  <c r="Q66" i="167"/>
  <c r="Q98" i="167"/>
  <c r="Q112" i="167"/>
  <c r="Q125" i="167"/>
  <c r="Q109" i="167"/>
  <c r="Q127" i="167"/>
  <c r="Q46" i="167"/>
  <c r="Q99" i="167"/>
  <c r="Q129" i="167"/>
  <c r="Q106" i="167"/>
  <c r="Q124" i="167"/>
  <c r="Q137" i="167"/>
  <c r="Q149" i="167"/>
  <c r="Q138" i="167"/>
  <c r="Q122" i="167"/>
  <c r="Q140" i="167"/>
  <c r="Q144" i="167"/>
  <c r="Q148" i="167"/>
  <c r="Q146" i="167"/>
  <c r="Q102" i="167"/>
  <c r="Q120" i="167"/>
  <c r="Q116" i="167"/>
  <c r="Q100" i="167"/>
  <c r="Q119" i="167"/>
  <c r="Q134" i="167"/>
  <c r="Q141" i="167"/>
  <c r="Q143" i="167"/>
  <c r="Q114" i="167"/>
  <c r="Q126" i="167"/>
  <c r="Q150" i="167"/>
  <c r="Q86" i="167"/>
  <c r="Q145" i="167"/>
  <c r="Q3" i="167"/>
  <c r="Q147" i="167"/>
  <c r="Q131" i="167"/>
  <c r="Q136" i="167"/>
  <c r="Q139" i="167"/>
  <c r="Q132" i="167"/>
  <c r="Q142" i="167"/>
  <c r="Q214" i="167"/>
  <c r="Q207" i="167"/>
  <c r="Q195" i="167"/>
  <c r="Q205" i="167"/>
  <c r="Q193" i="167"/>
  <c r="Q198" i="167"/>
  <c r="Q192" i="167"/>
  <c r="Q196" i="167"/>
  <c r="Q190" i="167"/>
  <c r="Q180" i="167"/>
  <c r="Q185" i="167"/>
  <c r="Q216" i="167"/>
  <c r="Q211" i="167"/>
  <c r="Q206" i="167"/>
  <c r="Q204" i="167"/>
  <c r="Q209" i="167"/>
  <c r="Q199" i="167"/>
  <c r="Q183" i="167"/>
  <c r="Q177" i="167"/>
  <c r="Q176" i="167"/>
  <c r="Q166" i="167"/>
  <c r="Q154" i="167"/>
  <c r="Q210" i="167"/>
  <c r="Q208" i="167"/>
  <c r="Q202" i="167"/>
  <c r="Q200" i="167"/>
  <c r="Q194" i="167"/>
  <c r="Q174" i="167"/>
  <c r="Q162" i="167"/>
  <c r="Q212" i="167"/>
  <c r="Q203" i="167"/>
  <c r="Q201" i="167"/>
  <c r="Q197" i="167"/>
  <c r="Q178" i="167"/>
  <c r="Q168" i="167"/>
  <c r="Q172" i="167"/>
  <c r="Q171" i="167"/>
  <c r="Q164" i="167"/>
  <c r="Q191" i="167"/>
  <c r="Q189" i="167"/>
  <c r="Q188" i="167"/>
  <c r="Q187" i="167"/>
  <c r="Q186" i="167"/>
  <c r="Q184" i="167"/>
  <c r="Q155" i="167"/>
  <c r="Q213" i="167"/>
  <c r="Q173" i="167"/>
  <c r="Q170" i="167"/>
  <c r="Q179" i="167"/>
  <c r="Q167" i="167"/>
  <c r="Q165" i="167"/>
  <c r="Q161" i="167"/>
  <c r="Q157" i="167"/>
  <c r="Q181" i="167"/>
  <c r="Q169" i="167"/>
  <c r="Q152" i="167"/>
  <c r="Q182" i="167"/>
  <c r="Q215" i="167"/>
  <c r="Q159" i="167"/>
  <c r="Q175" i="167"/>
  <c r="Q163" i="167"/>
  <c r="Q153" i="167"/>
  <c r="Q156" i="167"/>
  <c r="Q158" i="167"/>
  <c r="Q160" i="167"/>
  <c r="R1" i="167"/>
  <c r="T60" i="164"/>
  <c r="T59" i="164"/>
  <c r="R151" i="167" l="1"/>
  <c r="R94" i="167"/>
  <c r="R14" i="167"/>
  <c r="R26" i="167"/>
  <c r="R9" i="167"/>
  <c r="R21" i="167"/>
  <c r="R33" i="167"/>
  <c r="R4" i="167"/>
  <c r="R16" i="167"/>
  <c r="R28" i="167"/>
  <c r="R11" i="167"/>
  <c r="R23" i="167"/>
  <c r="R35" i="167"/>
  <c r="R6" i="167"/>
  <c r="R18" i="167"/>
  <c r="R30" i="167"/>
  <c r="R13" i="167"/>
  <c r="R25" i="167"/>
  <c r="R8" i="167"/>
  <c r="R20" i="167"/>
  <c r="R32" i="167"/>
  <c r="R15" i="167"/>
  <c r="R27" i="167"/>
  <c r="R10" i="167"/>
  <c r="R22" i="167"/>
  <c r="R34" i="167"/>
  <c r="R41" i="167"/>
  <c r="R53" i="167"/>
  <c r="R24" i="167"/>
  <c r="R48" i="167"/>
  <c r="R60" i="167"/>
  <c r="R7" i="167"/>
  <c r="R43" i="167"/>
  <c r="R55" i="167"/>
  <c r="R29" i="167"/>
  <c r="R38" i="167"/>
  <c r="R50" i="167"/>
  <c r="R12" i="167"/>
  <c r="R45" i="167"/>
  <c r="R57" i="167"/>
  <c r="R17" i="167"/>
  <c r="R47" i="167"/>
  <c r="R59" i="167"/>
  <c r="R40" i="167"/>
  <c r="R66" i="167"/>
  <c r="R54" i="167"/>
  <c r="R73" i="167"/>
  <c r="R37" i="167"/>
  <c r="R61" i="167"/>
  <c r="R68" i="167"/>
  <c r="R5" i="167"/>
  <c r="R44" i="167"/>
  <c r="R63" i="167"/>
  <c r="R75" i="167"/>
  <c r="R52" i="167"/>
  <c r="R72" i="167"/>
  <c r="R31" i="167"/>
  <c r="R49" i="167"/>
  <c r="R62" i="167"/>
  <c r="R74" i="167"/>
  <c r="R56" i="167"/>
  <c r="R69" i="167"/>
  <c r="R19" i="167"/>
  <c r="R81" i="167"/>
  <c r="R93" i="167"/>
  <c r="R51" i="167"/>
  <c r="R70" i="167"/>
  <c r="R88" i="167"/>
  <c r="R36" i="167"/>
  <c r="R83" i="167"/>
  <c r="R96" i="167"/>
  <c r="R42" i="167"/>
  <c r="R71" i="167"/>
  <c r="R78" i="167"/>
  <c r="R90" i="167"/>
  <c r="R46" i="167"/>
  <c r="R87" i="167"/>
  <c r="R39" i="167"/>
  <c r="R64" i="167"/>
  <c r="R77" i="167"/>
  <c r="R89" i="167"/>
  <c r="R65" i="167"/>
  <c r="R84" i="167"/>
  <c r="R97" i="167"/>
  <c r="R91" i="167"/>
  <c r="R106" i="167"/>
  <c r="R79" i="167"/>
  <c r="R92" i="167"/>
  <c r="R101" i="167"/>
  <c r="R113" i="167"/>
  <c r="R80" i="167"/>
  <c r="R108" i="167"/>
  <c r="R95" i="167"/>
  <c r="R103" i="167"/>
  <c r="R115" i="167"/>
  <c r="R82" i="167"/>
  <c r="R110" i="167"/>
  <c r="R85" i="167"/>
  <c r="R98" i="167"/>
  <c r="R100" i="167"/>
  <c r="R112" i="167"/>
  <c r="R114" i="167"/>
  <c r="R117" i="167"/>
  <c r="R126" i="167"/>
  <c r="R138" i="167"/>
  <c r="R121" i="167"/>
  <c r="R133" i="167"/>
  <c r="R104" i="167"/>
  <c r="R128" i="167"/>
  <c r="R111" i="167"/>
  <c r="R123" i="167"/>
  <c r="R105" i="167"/>
  <c r="R118" i="167"/>
  <c r="R130" i="167"/>
  <c r="R86" i="167"/>
  <c r="R102" i="167"/>
  <c r="R120" i="167"/>
  <c r="R132" i="167"/>
  <c r="R116" i="167"/>
  <c r="R122" i="167"/>
  <c r="R67" i="167"/>
  <c r="R76" i="167"/>
  <c r="R99" i="167"/>
  <c r="R129" i="167"/>
  <c r="R142" i="167"/>
  <c r="R137" i="167"/>
  <c r="R149" i="167"/>
  <c r="R140" i="167"/>
  <c r="R144" i="167"/>
  <c r="R146" i="167"/>
  <c r="R109" i="167"/>
  <c r="R127" i="167"/>
  <c r="R148" i="167"/>
  <c r="R107" i="167"/>
  <c r="R119" i="167"/>
  <c r="R134" i="167"/>
  <c r="R141" i="167"/>
  <c r="R143" i="167"/>
  <c r="R125" i="167"/>
  <c r="R135" i="167"/>
  <c r="R150" i="167"/>
  <c r="R139" i="167"/>
  <c r="R58" i="167"/>
  <c r="R147" i="167"/>
  <c r="R131" i="167"/>
  <c r="R136" i="167"/>
  <c r="R3" i="167"/>
  <c r="R124" i="167"/>
  <c r="R145" i="167"/>
  <c r="R212" i="167"/>
  <c r="R200" i="167"/>
  <c r="R188" i="167"/>
  <c r="R210" i="167"/>
  <c r="R198" i="167"/>
  <c r="R186" i="167"/>
  <c r="R211" i="167"/>
  <c r="R191" i="167"/>
  <c r="R185" i="167"/>
  <c r="R209" i="167"/>
  <c r="R189" i="167"/>
  <c r="R213" i="167"/>
  <c r="R195" i="167"/>
  <c r="R190" i="167"/>
  <c r="R181" i="167"/>
  <c r="R175" i="167"/>
  <c r="R187" i="167"/>
  <c r="R179" i="167"/>
  <c r="R215" i="167"/>
  <c r="R176" i="167"/>
  <c r="R171" i="167"/>
  <c r="R159" i="167"/>
  <c r="R206" i="167"/>
  <c r="R204" i="167"/>
  <c r="R167" i="167"/>
  <c r="R155" i="167"/>
  <c r="R207" i="167"/>
  <c r="R205" i="167"/>
  <c r="R199" i="167"/>
  <c r="R183" i="167"/>
  <c r="R216" i="167"/>
  <c r="R180" i="167"/>
  <c r="R173" i="167"/>
  <c r="R170" i="167"/>
  <c r="R157" i="167"/>
  <c r="R208" i="167"/>
  <c r="R203" i="167"/>
  <c r="R202" i="167"/>
  <c r="R201" i="167"/>
  <c r="R197" i="167"/>
  <c r="R196" i="167"/>
  <c r="R194" i="167"/>
  <c r="R193" i="167"/>
  <c r="R192" i="167"/>
  <c r="R178" i="167"/>
  <c r="R168" i="167"/>
  <c r="R160" i="167"/>
  <c r="R184" i="167"/>
  <c r="R172" i="167"/>
  <c r="R169" i="167"/>
  <c r="R162" i="167"/>
  <c r="R152" i="167"/>
  <c r="R214" i="167"/>
  <c r="R153" i="167"/>
  <c r="R177" i="167"/>
  <c r="R174" i="167"/>
  <c r="R164" i="167"/>
  <c r="R156" i="167"/>
  <c r="R165" i="167"/>
  <c r="R154" i="167"/>
  <c r="R182" i="167"/>
  <c r="R158" i="167"/>
  <c r="R163" i="167"/>
  <c r="R166" i="167"/>
  <c r="R161" i="167"/>
  <c r="S1" i="167"/>
  <c r="T49" i="164"/>
  <c r="T50" i="164"/>
  <c r="T51" i="164"/>
  <c r="T52" i="164"/>
  <c r="T53" i="164"/>
  <c r="T54" i="164"/>
  <c r="T61" i="164"/>
  <c r="T62" i="164"/>
  <c r="T55" i="164"/>
  <c r="T56" i="164"/>
  <c r="T57" i="164"/>
  <c r="T58" i="164"/>
  <c r="T68" i="164"/>
  <c r="T69" i="164"/>
  <c r="T70" i="164"/>
  <c r="S151" i="167" l="1"/>
  <c r="S94" i="167"/>
  <c r="S7" i="167"/>
  <c r="S19" i="167"/>
  <c r="S31" i="167"/>
  <c r="S14" i="167"/>
  <c r="S26" i="167"/>
  <c r="S9" i="167"/>
  <c r="S21" i="167"/>
  <c r="S33" i="167"/>
  <c r="S4" i="167"/>
  <c r="S16" i="167"/>
  <c r="S28" i="167"/>
  <c r="S11" i="167"/>
  <c r="S23" i="167"/>
  <c r="S35" i="167"/>
  <c r="S6" i="167"/>
  <c r="S18" i="167"/>
  <c r="S30" i="167"/>
  <c r="S13" i="167"/>
  <c r="S25" i="167"/>
  <c r="S8" i="167"/>
  <c r="S20" i="167"/>
  <c r="S32" i="167"/>
  <c r="S15" i="167"/>
  <c r="S27" i="167"/>
  <c r="S10" i="167"/>
  <c r="S46" i="167"/>
  <c r="S58" i="167"/>
  <c r="S41" i="167"/>
  <c r="S53" i="167"/>
  <c r="S24" i="167"/>
  <c r="S48" i="167"/>
  <c r="S60" i="167"/>
  <c r="S43" i="167"/>
  <c r="S55" i="167"/>
  <c r="S29" i="167"/>
  <c r="S38" i="167"/>
  <c r="S50" i="167"/>
  <c r="S34" i="167"/>
  <c r="S40" i="167"/>
  <c r="S52" i="167"/>
  <c r="S57" i="167"/>
  <c r="S71" i="167"/>
  <c r="S17" i="167"/>
  <c r="S47" i="167"/>
  <c r="S66" i="167"/>
  <c r="S54" i="167"/>
  <c r="S73" i="167"/>
  <c r="S37" i="167"/>
  <c r="S61" i="167"/>
  <c r="S68" i="167"/>
  <c r="S12" i="167"/>
  <c r="S45" i="167"/>
  <c r="S65" i="167"/>
  <c r="S77" i="167"/>
  <c r="S42" i="167"/>
  <c r="S67" i="167"/>
  <c r="S22" i="167"/>
  <c r="S49" i="167"/>
  <c r="S62" i="167"/>
  <c r="S74" i="167"/>
  <c r="S5" i="167"/>
  <c r="S86" i="167"/>
  <c r="S69" i="167"/>
  <c r="S81" i="167"/>
  <c r="S93" i="167"/>
  <c r="S51" i="167"/>
  <c r="S70" i="167"/>
  <c r="S88" i="167"/>
  <c r="S36" i="167"/>
  <c r="S83" i="167"/>
  <c r="S96" i="167"/>
  <c r="S75" i="167"/>
  <c r="S80" i="167"/>
  <c r="S92" i="167"/>
  <c r="S76" i="167"/>
  <c r="S82" i="167"/>
  <c r="S95" i="167"/>
  <c r="S39" i="167"/>
  <c r="S64" i="167"/>
  <c r="S89" i="167"/>
  <c r="S78" i="167"/>
  <c r="S99" i="167"/>
  <c r="S111" i="167"/>
  <c r="S56" i="167"/>
  <c r="S63" i="167"/>
  <c r="S72" i="167"/>
  <c r="S91" i="167"/>
  <c r="S106" i="167"/>
  <c r="S79" i="167"/>
  <c r="S101" i="167"/>
  <c r="S113" i="167"/>
  <c r="S108" i="167"/>
  <c r="S44" i="167"/>
  <c r="S103" i="167"/>
  <c r="S115" i="167"/>
  <c r="S84" i="167"/>
  <c r="S105" i="167"/>
  <c r="S107" i="167"/>
  <c r="S119" i="167"/>
  <c r="S131" i="167"/>
  <c r="S59" i="167"/>
  <c r="S87" i="167"/>
  <c r="S114" i="167"/>
  <c r="S117" i="167"/>
  <c r="S126" i="167"/>
  <c r="S121" i="167"/>
  <c r="S133" i="167"/>
  <c r="S104" i="167"/>
  <c r="S128" i="167"/>
  <c r="S123" i="167"/>
  <c r="S125" i="167"/>
  <c r="S109" i="167"/>
  <c r="S127" i="167"/>
  <c r="S90" i="167"/>
  <c r="S116" i="167"/>
  <c r="S122" i="167"/>
  <c r="S130" i="167"/>
  <c r="S136" i="167"/>
  <c r="S147" i="167"/>
  <c r="S142" i="167"/>
  <c r="S129" i="167"/>
  <c r="S137" i="167"/>
  <c r="S149" i="167"/>
  <c r="S146" i="167"/>
  <c r="S140" i="167"/>
  <c r="S144" i="167"/>
  <c r="S102" i="167"/>
  <c r="S120" i="167"/>
  <c r="S97" i="167"/>
  <c r="S138" i="167"/>
  <c r="S85" i="167"/>
  <c r="S100" i="167"/>
  <c r="S148" i="167"/>
  <c r="S98" i="167"/>
  <c r="S112" i="167"/>
  <c r="S118" i="167"/>
  <c r="S134" i="167"/>
  <c r="S141" i="167"/>
  <c r="S143" i="167"/>
  <c r="S139" i="167"/>
  <c r="S150" i="167"/>
  <c r="S110" i="167"/>
  <c r="S135" i="167"/>
  <c r="S3" i="167"/>
  <c r="S132" i="167"/>
  <c r="S145" i="167"/>
  <c r="S124" i="167"/>
  <c r="S212" i="167"/>
  <c r="S205" i="167"/>
  <c r="S193" i="167"/>
  <c r="S215" i="167"/>
  <c r="S203" i="167"/>
  <c r="S191" i="167"/>
  <c r="S213" i="167"/>
  <c r="S204" i="167"/>
  <c r="S184" i="167"/>
  <c r="S182" i="167"/>
  <c r="S216" i="167"/>
  <c r="S208" i="167"/>
  <c r="S202" i="167"/>
  <c r="S178" i="167"/>
  <c r="S210" i="167"/>
  <c r="S200" i="167"/>
  <c r="S197" i="167"/>
  <c r="S192" i="167"/>
  <c r="S176" i="167"/>
  <c r="S181" i="167"/>
  <c r="S179" i="167"/>
  <c r="S164" i="167"/>
  <c r="S173" i="167"/>
  <c r="S160" i="167"/>
  <c r="S211" i="167"/>
  <c r="S209" i="167"/>
  <c r="S167" i="167"/>
  <c r="S180" i="167"/>
  <c r="S170" i="167"/>
  <c r="S163" i="167"/>
  <c r="S207" i="167"/>
  <c r="S206" i="167"/>
  <c r="S199" i="167"/>
  <c r="S198" i="167"/>
  <c r="S195" i="167"/>
  <c r="S190" i="167"/>
  <c r="S185" i="167"/>
  <c r="S183" i="167"/>
  <c r="S161" i="167"/>
  <c r="S155" i="167"/>
  <c r="S196" i="167"/>
  <c r="S187" i="167"/>
  <c r="S172" i="167"/>
  <c r="S169" i="167"/>
  <c r="S162" i="167"/>
  <c r="S214" i="167"/>
  <c r="S153" i="167"/>
  <c r="S194" i="167"/>
  <c r="S188" i="167"/>
  <c r="S158" i="167"/>
  <c r="S175" i="167"/>
  <c r="S171" i="167"/>
  <c r="S177" i="167"/>
  <c r="S174" i="167"/>
  <c r="S201" i="167"/>
  <c r="S189" i="167"/>
  <c r="S186" i="167"/>
  <c r="S168" i="167"/>
  <c r="S154" i="167"/>
  <c r="S159" i="167"/>
  <c r="S156" i="167"/>
  <c r="S166" i="167"/>
  <c r="S157" i="167"/>
  <c r="S152" i="167"/>
  <c r="S165" i="167"/>
  <c r="T1" i="167"/>
  <c r="T44" i="164"/>
  <c r="T43" i="164"/>
  <c r="T42" i="164"/>
  <c r="Q46" i="164"/>
  <c r="Q47" i="164"/>
  <c r="Q48" i="164"/>
  <c r="Q45" i="164"/>
  <c r="T151" i="167" l="1"/>
  <c r="T94" i="167"/>
  <c r="T12" i="167"/>
  <c r="T24" i="167"/>
  <c r="T36" i="167"/>
  <c r="T7" i="167"/>
  <c r="T19" i="167"/>
  <c r="T31" i="167"/>
  <c r="T14" i="167"/>
  <c r="T26" i="167"/>
  <c r="T9" i="167"/>
  <c r="T21" i="167"/>
  <c r="T33" i="167"/>
  <c r="T4" i="167"/>
  <c r="T16" i="167"/>
  <c r="T28" i="167"/>
  <c r="T11" i="167"/>
  <c r="T23" i="167"/>
  <c r="T35" i="167"/>
  <c r="T6" i="167"/>
  <c r="T18" i="167"/>
  <c r="T30" i="167"/>
  <c r="T13" i="167"/>
  <c r="T25" i="167"/>
  <c r="T8" i="167"/>
  <c r="T20" i="167"/>
  <c r="T32" i="167"/>
  <c r="T27" i="167"/>
  <c r="T39" i="167"/>
  <c r="T51" i="167"/>
  <c r="T10" i="167"/>
  <c r="T46" i="167"/>
  <c r="T58" i="167"/>
  <c r="T41" i="167"/>
  <c r="T53" i="167"/>
  <c r="T15" i="167"/>
  <c r="T48" i="167"/>
  <c r="T60" i="167"/>
  <c r="T43" i="167"/>
  <c r="T55" i="167"/>
  <c r="T45" i="167"/>
  <c r="T57" i="167"/>
  <c r="T29" i="167"/>
  <c r="T50" i="167"/>
  <c r="T64" i="167"/>
  <c r="T76" i="167"/>
  <c r="T40" i="167"/>
  <c r="T71" i="167"/>
  <c r="T17" i="167"/>
  <c r="T47" i="167"/>
  <c r="T66" i="167"/>
  <c r="T54" i="167"/>
  <c r="T73" i="167"/>
  <c r="T38" i="167"/>
  <c r="T70" i="167"/>
  <c r="T59" i="167"/>
  <c r="T72" i="167"/>
  <c r="T42" i="167"/>
  <c r="T67" i="167"/>
  <c r="T68" i="167"/>
  <c r="T79" i="167"/>
  <c r="T91" i="167"/>
  <c r="T5" i="167"/>
  <c r="T49" i="167"/>
  <c r="T86" i="167"/>
  <c r="T69" i="167"/>
  <c r="T81" i="167"/>
  <c r="T93" i="167"/>
  <c r="T88" i="167"/>
  <c r="T61" i="167"/>
  <c r="T74" i="167"/>
  <c r="T85" i="167"/>
  <c r="T98" i="167"/>
  <c r="T52" i="167"/>
  <c r="T63" i="167"/>
  <c r="T87" i="167"/>
  <c r="T77" i="167"/>
  <c r="T82" i="167"/>
  <c r="T95" i="167"/>
  <c r="T65" i="167"/>
  <c r="T90" i="167"/>
  <c r="T104" i="167"/>
  <c r="T116" i="167"/>
  <c r="T78" i="167"/>
  <c r="T99" i="167"/>
  <c r="T111" i="167"/>
  <c r="T56" i="167"/>
  <c r="T92" i="167"/>
  <c r="T106" i="167"/>
  <c r="T80" i="167"/>
  <c r="T101" i="167"/>
  <c r="T113" i="167"/>
  <c r="T96" i="167"/>
  <c r="T108" i="167"/>
  <c r="T75" i="167"/>
  <c r="T97" i="167"/>
  <c r="T110" i="167"/>
  <c r="T34" i="167"/>
  <c r="T100" i="167"/>
  <c r="T124" i="167"/>
  <c r="T136" i="167"/>
  <c r="T107" i="167"/>
  <c r="T119" i="167"/>
  <c r="T131" i="167"/>
  <c r="T114" i="167"/>
  <c r="T117" i="167"/>
  <c r="T126" i="167"/>
  <c r="T22" i="167"/>
  <c r="T89" i="167"/>
  <c r="T121" i="167"/>
  <c r="T133" i="167"/>
  <c r="T44" i="167"/>
  <c r="T115" i="167"/>
  <c r="T128" i="167"/>
  <c r="T62" i="167"/>
  <c r="T112" i="167"/>
  <c r="T118" i="167"/>
  <c r="T130" i="167"/>
  <c r="T37" i="167"/>
  <c r="T102" i="167"/>
  <c r="T120" i="167"/>
  <c r="T132" i="167"/>
  <c r="T109" i="167"/>
  <c r="T127" i="167"/>
  <c r="T123" i="167"/>
  <c r="T139" i="167"/>
  <c r="T147" i="167"/>
  <c r="T83" i="167"/>
  <c r="T122" i="167"/>
  <c r="T142" i="167"/>
  <c r="T129" i="167"/>
  <c r="T137" i="167"/>
  <c r="T149" i="167"/>
  <c r="T84" i="167"/>
  <c r="T140" i="167"/>
  <c r="T144" i="167"/>
  <c r="T146" i="167"/>
  <c r="T138" i="167"/>
  <c r="T105" i="167"/>
  <c r="T148" i="167"/>
  <c r="T134" i="167"/>
  <c r="T150" i="167"/>
  <c r="T141" i="167"/>
  <c r="T145" i="167"/>
  <c r="T143" i="167"/>
  <c r="T125" i="167"/>
  <c r="T3" i="167"/>
  <c r="T103" i="167"/>
  <c r="T135" i="167"/>
  <c r="T210" i="167"/>
  <c r="T198" i="167"/>
  <c r="T186" i="167"/>
  <c r="T208" i="167"/>
  <c r="T196" i="167"/>
  <c r="T184" i="167"/>
  <c r="T212" i="167"/>
  <c r="T197" i="167"/>
  <c r="T201" i="167"/>
  <c r="T195" i="167"/>
  <c r="T183" i="167"/>
  <c r="T205" i="167"/>
  <c r="T180" i="167"/>
  <c r="T173" i="167"/>
  <c r="T214" i="167"/>
  <c r="T207" i="167"/>
  <c r="T202" i="167"/>
  <c r="T178" i="167"/>
  <c r="T179" i="167"/>
  <c r="T175" i="167"/>
  <c r="T169" i="167"/>
  <c r="T157" i="167"/>
  <c r="T152" i="167"/>
  <c r="T215" i="167"/>
  <c r="T181" i="167"/>
  <c r="T165" i="167"/>
  <c r="T153" i="167"/>
  <c r="T156" i="167"/>
  <c r="T211" i="167"/>
  <c r="T209" i="167"/>
  <c r="T204" i="167"/>
  <c r="T200" i="167"/>
  <c r="T167" i="167"/>
  <c r="T154" i="167"/>
  <c r="T213" i="167"/>
  <c r="T170" i="167"/>
  <c r="T187" i="167"/>
  <c r="T199" i="167"/>
  <c r="T193" i="167"/>
  <c r="T190" i="167"/>
  <c r="T216" i="167"/>
  <c r="T162" i="167"/>
  <c r="T194" i="167"/>
  <c r="T188" i="167"/>
  <c r="T158" i="167"/>
  <c r="T206" i="167"/>
  <c r="T203" i="167"/>
  <c r="T191" i="167"/>
  <c r="T185" i="167"/>
  <c r="T171" i="167"/>
  <c r="T163" i="167"/>
  <c r="T182" i="167"/>
  <c r="T166" i="167"/>
  <c r="T189" i="167"/>
  <c r="T168" i="167"/>
  <c r="T192" i="167"/>
  <c r="T160" i="167"/>
  <c r="T155" i="167"/>
  <c r="T172" i="167"/>
  <c r="T159" i="167"/>
  <c r="T176" i="167"/>
  <c r="T164" i="167"/>
  <c r="T161" i="167"/>
  <c r="T177" i="167"/>
  <c r="T174" i="167"/>
  <c r="U1" i="167"/>
  <c r="G54" i="164"/>
  <c r="G53" i="164"/>
  <c r="G51" i="164"/>
  <c r="U151" i="167" l="1"/>
  <c r="U94" i="167"/>
  <c r="U5" i="167"/>
  <c r="U17" i="167"/>
  <c r="U29" i="167"/>
  <c r="U12" i="167"/>
  <c r="U24" i="167"/>
  <c r="U36" i="167"/>
  <c r="U7" i="167"/>
  <c r="U19" i="167"/>
  <c r="U31" i="167"/>
  <c r="U14" i="167"/>
  <c r="U26" i="167"/>
  <c r="U9" i="167"/>
  <c r="U21" i="167"/>
  <c r="U33" i="167"/>
  <c r="U4" i="167"/>
  <c r="U16" i="167"/>
  <c r="U28" i="167"/>
  <c r="U11" i="167"/>
  <c r="U23" i="167"/>
  <c r="U35" i="167"/>
  <c r="U6" i="167"/>
  <c r="U18" i="167"/>
  <c r="U30" i="167"/>
  <c r="U13" i="167"/>
  <c r="U25" i="167"/>
  <c r="U44" i="167"/>
  <c r="U56" i="167"/>
  <c r="U27" i="167"/>
  <c r="U39" i="167"/>
  <c r="U51" i="167"/>
  <c r="U10" i="167"/>
  <c r="U46" i="167"/>
  <c r="U58" i="167"/>
  <c r="U32" i="167"/>
  <c r="U41" i="167"/>
  <c r="U53" i="167"/>
  <c r="U15" i="167"/>
  <c r="U48" i="167"/>
  <c r="U60" i="167"/>
  <c r="U20" i="167"/>
  <c r="U38" i="167"/>
  <c r="U50" i="167"/>
  <c r="U43" i="167"/>
  <c r="U69" i="167"/>
  <c r="U57" i="167"/>
  <c r="U64" i="167"/>
  <c r="U76" i="167"/>
  <c r="U40" i="167"/>
  <c r="U71" i="167"/>
  <c r="U8" i="167"/>
  <c r="U47" i="167"/>
  <c r="U66" i="167"/>
  <c r="U55" i="167"/>
  <c r="U63" i="167"/>
  <c r="U75" i="167"/>
  <c r="U34" i="167"/>
  <c r="U52" i="167"/>
  <c r="U65" i="167"/>
  <c r="U77" i="167"/>
  <c r="U59" i="167"/>
  <c r="U72" i="167"/>
  <c r="U67" i="167"/>
  <c r="U84" i="167"/>
  <c r="U97" i="167"/>
  <c r="U68" i="167"/>
  <c r="U79" i="167"/>
  <c r="U91" i="167"/>
  <c r="U49" i="167"/>
  <c r="U86" i="167"/>
  <c r="U70" i="167"/>
  <c r="U81" i="167"/>
  <c r="U93" i="167"/>
  <c r="U78" i="167"/>
  <c r="U90" i="167"/>
  <c r="U37" i="167"/>
  <c r="U62" i="167"/>
  <c r="U80" i="167"/>
  <c r="U92" i="167"/>
  <c r="U54" i="167"/>
  <c r="U87" i="167"/>
  <c r="U89" i="167"/>
  <c r="U109" i="167"/>
  <c r="U74" i="167"/>
  <c r="U104" i="167"/>
  <c r="U116" i="167"/>
  <c r="U99" i="167"/>
  <c r="U111" i="167"/>
  <c r="U61" i="167"/>
  <c r="U106" i="167"/>
  <c r="U95" i="167"/>
  <c r="U101" i="167"/>
  <c r="U113" i="167"/>
  <c r="U83" i="167"/>
  <c r="U103" i="167"/>
  <c r="U115" i="167"/>
  <c r="U85" i="167"/>
  <c r="U129" i="167"/>
  <c r="U141" i="167"/>
  <c r="U100" i="167"/>
  <c r="U124" i="167"/>
  <c r="U107" i="167"/>
  <c r="U119" i="167"/>
  <c r="U131" i="167"/>
  <c r="U42" i="167"/>
  <c r="U114" i="167"/>
  <c r="U117" i="167"/>
  <c r="U126" i="167"/>
  <c r="U22" i="167"/>
  <c r="U82" i="167"/>
  <c r="U96" i="167"/>
  <c r="U108" i="167"/>
  <c r="U121" i="167"/>
  <c r="U45" i="167"/>
  <c r="U98" i="167"/>
  <c r="U105" i="167"/>
  <c r="U123" i="167"/>
  <c r="U88" i="167"/>
  <c r="U125" i="167"/>
  <c r="U102" i="167"/>
  <c r="U120" i="167"/>
  <c r="U132" i="167"/>
  <c r="U145" i="167"/>
  <c r="U3" i="167"/>
  <c r="U130" i="167"/>
  <c r="U136" i="167"/>
  <c r="U139" i="167"/>
  <c r="U133" i="167"/>
  <c r="U147" i="167"/>
  <c r="U122" i="167"/>
  <c r="U142" i="167"/>
  <c r="U128" i="167"/>
  <c r="U137" i="167"/>
  <c r="U149" i="167"/>
  <c r="U140" i="167"/>
  <c r="U144" i="167"/>
  <c r="U127" i="167"/>
  <c r="U146" i="167"/>
  <c r="U138" i="167"/>
  <c r="U134" i="167"/>
  <c r="U150" i="167"/>
  <c r="U73" i="167"/>
  <c r="U118" i="167"/>
  <c r="U143" i="167"/>
  <c r="U110" i="167"/>
  <c r="U148" i="167"/>
  <c r="U112" i="167"/>
  <c r="U135" i="167"/>
  <c r="U215" i="167"/>
  <c r="U203" i="167"/>
  <c r="U191" i="167"/>
  <c r="U213" i="167"/>
  <c r="U201" i="167"/>
  <c r="U189" i="167"/>
  <c r="U214" i="167"/>
  <c r="U210" i="167"/>
  <c r="U190" i="167"/>
  <c r="U180" i="167"/>
  <c r="U194" i="167"/>
  <c r="U188" i="167"/>
  <c r="U206" i="167"/>
  <c r="U196" i="167"/>
  <c r="U186" i="167"/>
  <c r="U174" i="167"/>
  <c r="U212" i="167"/>
  <c r="U175" i="167"/>
  <c r="U216" i="167"/>
  <c r="U162" i="167"/>
  <c r="U172" i="167"/>
  <c r="U170" i="167"/>
  <c r="U158" i="167"/>
  <c r="U182" i="167"/>
  <c r="U166" i="167"/>
  <c r="U173" i="167"/>
  <c r="U176" i="167"/>
  <c r="U169" i="167"/>
  <c r="U205" i="167"/>
  <c r="U160" i="167"/>
  <c r="U187" i="167"/>
  <c r="U179" i="167"/>
  <c r="U199" i="167"/>
  <c r="U193" i="167"/>
  <c r="U184" i="167"/>
  <c r="U211" i="167"/>
  <c r="U208" i="167"/>
  <c r="U202" i="167"/>
  <c r="U167" i="167"/>
  <c r="U185" i="167"/>
  <c r="U181" i="167"/>
  <c r="U171" i="167"/>
  <c r="U163" i="167"/>
  <c r="U209" i="167"/>
  <c r="U200" i="167"/>
  <c r="U197" i="167"/>
  <c r="U177" i="167"/>
  <c r="U192" i="167"/>
  <c r="U207" i="167"/>
  <c r="U204" i="167"/>
  <c r="U198" i="167"/>
  <c r="U195" i="167"/>
  <c r="U183" i="167"/>
  <c r="U178" i="167"/>
  <c r="U164" i="167"/>
  <c r="U159" i="167"/>
  <c r="U153" i="167"/>
  <c r="U157" i="167"/>
  <c r="U152" i="167"/>
  <c r="U155" i="167"/>
  <c r="U165" i="167"/>
  <c r="U156" i="167"/>
  <c r="U168" i="167"/>
  <c r="U161" i="167"/>
  <c r="U154" i="167"/>
  <c r="V1" i="167"/>
  <c r="T48" i="164"/>
  <c r="T47" i="164"/>
  <c r="V151" i="167" l="1"/>
  <c r="V94" i="167"/>
  <c r="V10" i="167"/>
  <c r="V22" i="167"/>
  <c r="V34" i="167"/>
  <c r="V5" i="167"/>
  <c r="V17" i="167"/>
  <c r="V29" i="167"/>
  <c r="V12" i="167"/>
  <c r="V24" i="167"/>
  <c r="V36" i="167"/>
  <c r="V7" i="167"/>
  <c r="V19" i="167"/>
  <c r="V31" i="167"/>
  <c r="V14" i="167"/>
  <c r="V26" i="167"/>
  <c r="V9" i="167"/>
  <c r="V21" i="167"/>
  <c r="V33" i="167"/>
  <c r="V4" i="167"/>
  <c r="V16" i="167"/>
  <c r="V28" i="167"/>
  <c r="V11" i="167"/>
  <c r="V23" i="167"/>
  <c r="V35" i="167"/>
  <c r="V6" i="167"/>
  <c r="V18" i="167"/>
  <c r="V30" i="167"/>
  <c r="V13" i="167"/>
  <c r="V37" i="167"/>
  <c r="V49" i="167"/>
  <c r="V61" i="167"/>
  <c r="V44" i="167"/>
  <c r="V56" i="167"/>
  <c r="V27" i="167"/>
  <c r="V39" i="167"/>
  <c r="V51" i="167"/>
  <c r="V46" i="167"/>
  <c r="V58" i="167"/>
  <c r="V32" i="167"/>
  <c r="V41" i="167"/>
  <c r="V53" i="167"/>
  <c r="V43" i="167"/>
  <c r="V55" i="167"/>
  <c r="V60" i="167"/>
  <c r="V62" i="167"/>
  <c r="V74" i="167"/>
  <c r="V20" i="167"/>
  <c r="V50" i="167"/>
  <c r="V69" i="167"/>
  <c r="V57" i="167"/>
  <c r="V64" i="167"/>
  <c r="V76" i="167"/>
  <c r="V40" i="167"/>
  <c r="V71" i="167"/>
  <c r="V15" i="167"/>
  <c r="V48" i="167"/>
  <c r="V68" i="167"/>
  <c r="V45" i="167"/>
  <c r="V70" i="167"/>
  <c r="V25" i="167"/>
  <c r="V52" i="167"/>
  <c r="V65" i="167"/>
  <c r="V77" i="167"/>
  <c r="V47" i="167"/>
  <c r="V89" i="167"/>
  <c r="V67" i="167"/>
  <c r="V84" i="167"/>
  <c r="V97" i="167"/>
  <c r="V38" i="167"/>
  <c r="V79" i="167"/>
  <c r="V91" i="167"/>
  <c r="V86" i="167"/>
  <c r="V59" i="167"/>
  <c r="V73" i="167"/>
  <c r="V83" i="167"/>
  <c r="V96" i="167"/>
  <c r="V75" i="167"/>
  <c r="V85" i="167"/>
  <c r="V63" i="167"/>
  <c r="V80" i="167"/>
  <c r="V92" i="167"/>
  <c r="V42" i="167"/>
  <c r="V102" i="167"/>
  <c r="V114" i="167"/>
  <c r="V8" i="167"/>
  <c r="V90" i="167"/>
  <c r="V109" i="167"/>
  <c r="V72" i="167"/>
  <c r="V78" i="167"/>
  <c r="V104" i="167"/>
  <c r="V116" i="167"/>
  <c r="V93" i="167"/>
  <c r="V99" i="167"/>
  <c r="V111" i="167"/>
  <c r="V81" i="167"/>
  <c r="V106" i="167"/>
  <c r="V66" i="167"/>
  <c r="V82" i="167"/>
  <c r="V108" i="167"/>
  <c r="V110" i="167"/>
  <c r="V122" i="167"/>
  <c r="V134" i="167"/>
  <c r="V129" i="167"/>
  <c r="V87" i="167"/>
  <c r="V100" i="167"/>
  <c r="V124" i="167"/>
  <c r="V136" i="167"/>
  <c r="V107" i="167"/>
  <c r="V119" i="167"/>
  <c r="V131" i="167"/>
  <c r="V101" i="167"/>
  <c r="V117" i="167"/>
  <c r="V126" i="167"/>
  <c r="V54" i="167"/>
  <c r="V128" i="167"/>
  <c r="V112" i="167"/>
  <c r="V118" i="167"/>
  <c r="V130" i="167"/>
  <c r="V88" i="167"/>
  <c r="V125" i="167"/>
  <c r="V115" i="167"/>
  <c r="V132" i="167"/>
  <c r="V135" i="167"/>
  <c r="V150" i="167"/>
  <c r="V123" i="167"/>
  <c r="V145" i="167"/>
  <c r="V3" i="167"/>
  <c r="V95" i="167"/>
  <c r="V113" i="167"/>
  <c r="V139" i="167"/>
  <c r="V133" i="167"/>
  <c r="V147" i="167"/>
  <c r="V121" i="167"/>
  <c r="V142" i="167"/>
  <c r="V149" i="167"/>
  <c r="V137" i="167"/>
  <c r="V120" i="167"/>
  <c r="V140" i="167"/>
  <c r="V144" i="167"/>
  <c r="V127" i="167"/>
  <c r="V146" i="167"/>
  <c r="V98" i="167"/>
  <c r="V141" i="167"/>
  <c r="V138" i="167"/>
  <c r="V143" i="167"/>
  <c r="V105" i="167"/>
  <c r="V148" i="167"/>
  <c r="V103" i="167"/>
  <c r="V215" i="167"/>
  <c r="V208" i="167"/>
  <c r="V196" i="167"/>
  <c r="V184" i="167"/>
  <c r="V206" i="167"/>
  <c r="V194" i="167"/>
  <c r="V209" i="167"/>
  <c r="V203" i="167"/>
  <c r="V207" i="167"/>
  <c r="V187" i="167"/>
  <c r="V181" i="167"/>
  <c r="V216" i="167"/>
  <c r="V211" i="167"/>
  <c r="V201" i="167"/>
  <c r="V191" i="167"/>
  <c r="V179" i="167"/>
  <c r="V193" i="167"/>
  <c r="V188" i="167"/>
  <c r="V182" i="167"/>
  <c r="V213" i="167"/>
  <c r="V192" i="167"/>
  <c r="V174" i="167"/>
  <c r="V167" i="167"/>
  <c r="V155" i="167"/>
  <c r="V212" i="167"/>
  <c r="V163" i="167"/>
  <c r="V177" i="167"/>
  <c r="V175" i="167"/>
  <c r="V176" i="167"/>
  <c r="V169" i="167"/>
  <c r="V168" i="167"/>
  <c r="V162" i="167"/>
  <c r="V210" i="167"/>
  <c r="V166" i="167"/>
  <c r="V153" i="167"/>
  <c r="V173" i="167"/>
  <c r="V165" i="167"/>
  <c r="V161" i="167"/>
  <c r="V156" i="167"/>
  <c r="V199" i="167"/>
  <c r="V172" i="167"/>
  <c r="V202" i="167"/>
  <c r="V190" i="167"/>
  <c r="V205" i="167"/>
  <c r="V180" i="167"/>
  <c r="V214" i="167"/>
  <c r="V185" i="167"/>
  <c r="V171" i="167"/>
  <c r="V200" i="167"/>
  <c r="V197" i="167"/>
  <c r="V159" i="167"/>
  <c r="V154" i="167"/>
  <c r="V204" i="167"/>
  <c r="V198" i="167"/>
  <c r="V195" i="167"/>
  <c r="V186" i="167"/>
  <c r="V183" i="167"/>
  <c r="V178" i="167"/>
  <c r="V170" i="167"/>
  <c r="V158" i="167"/>
  <c r="V160" i="167"/>
  <c r="V164" i="167"/>
  <c r="V189" i="167"/>
  <c r="V157" i="167"/>
  <c r="V152" i="167"/>
  <c r="W1" i="167"/>
  <c r="F41" i="164"/>
  <c r="T41" i="164" s="1"/>
  <c r="F40" i="164"/>
  <c r="T40" i="164" s="1"/>
  <c r="F39" i="164"/>
  <c r="T39" i="164" s="1"/>
  <c r="W151" i="167" l="1"/>
  <c r="W94" i="167"/>
  <c r="W15" i="167"/>
  <c r="W27" i="167"/>
  <c r="W10" i="167"/>
  <c r="W22" i="167"/>
  <c r="W34" i="167"/>
  <c r="W5" i="167"/>
  <c r="W17" i="167"/>
  <c r="W29" i="167"/>
  <c r="W12" i="167"/>
  <c r="W24" i="167"/>
  <c r="W36" i="167"/>
  <c r="W7" i="167"/>
  <c r="W19" i="167"/>
  <c r="W31" i="167"/>
  <c r="W14" i="167"/>
  <c r="W26" i="167"/>
  <c r="W9" i="167"/>
  <c r="W21" i="167"/>
  <c r="W33" i="167"/>
  <c r="W4" i="167"/>
  <c r="W16" i="167"/>
  <c r="W28" i="167"/>
  <c r="W11" i="167"/>
  <c r="W23" i="167"/>
  <c r="W35" i="167"/>
  <c r="W30" i="167"/>
  <c r="W42" i="167"/>
  <c r="W54" i="167"/>
  <c r="W13" i="167"/>
  <c r="W37" i="167"/>
  <c r="W49" i="167"/>
  <c r="W44" i="167"/>
  <c r="W56" i="167"/>
  <c r="W18" i="167"/>
  <c r="W39" i="167"/>
  <c r="W51" i="167"/>
  <c r="W46" i="167"/>
  <c r="W58" i="167"/>
  <c r="W6" i="167"/>
  <c r="W48" i="167"/>
  <c r="W60" i="167"/>
  <c r="W32" i="167"/>
  <c r="W53" i="167"/>
  <c r="W67" i="167"/>
  <c r="W43" i="167"/>
  <c r="W62" i="167"/>
  <c r="W74" i="167"/>
  <c r="W20" i="167"/>
  <c r="W50" i="167"/>
  <c r="W69" i="167"/>
  <c r="W57" i="167"/>
  <c r="W64" i="167"/>
  <c r="W76" i="167"/>
  <c r="W41" i="167"/>
  <c r="W61" i="167"/>
  <c r="W73" i="167"/>
  <c r="W38" i="167"/>
  <c r="W63" i="167"/>
  <c r="W75" i="167"/>
  <c r="W45" i="167"/>
  <c r="W70" i="167"/>
  <c r="W66" i="167"/>
  <c r="W82" i="167"/>
  <c r="W95" i="167"/>
  <c r="W47" i="167"/>
  <c r="W89" i="167"/>
  <c r="W68" i="167"/>
  <c r="W84" i="167"/>
  <c r="W97" i="167"/>
  <c r="W40" i="167"/>
  <c r="W79" i="167"/>
  <c r="W91" i="167"/>
  <c r="W8" i="167"/>
  <c r="W72" i="167"/>
  <c r="W88" i="167"/>
  <c r="W78" i="167"/>
  <c r="W90" i="167"/>
  <c r="W25" i="167"/>
  <c r="W52" i="167"/>
  <c r="W85" i="167"/>
  <c r="W107" i="167"/>
  <c r="W65" i="167"/>
  <c r="W102" i="167"/>
  <c r="W114" i="167"/>
  <c r="W109" i="167"/>
  <c r="W92" i="167"/>
  <c r="W104" i="167"/>
  <c r="W116" i="167"/>
  <c r="W80" i="167"/>
  <c r="W93" i="167"/>
  <c r="W99" i="167"/>
  <c r="W111" i="167"/>
  <c r="W96" i="167"/>
  <c r="W101" i="167"/>
  <c r="W113" i="167"/>
  <c r="W103" i="167"/>
  <c r="W127" i="167"/>
  <c r="W139" i="167"/>
  <c r="W110" i="167"/>
  <c r="W122" i="167"/>
  <c r="W59" i="167"/>
  <c r="W129" i="167"/>
  <c r="W87" i="167"/>
  <c r="W100" i="167"/>
  <c r="W124" i="167"/>
  <c r="W119" i="167"/>
  <c r="W131" i="167"/>
  <c r="W71" i="167"/>
  <c r="W115" i="167"/>
  <c r="W121" i="167"/>
  <c r="W133" i="167"/>
  <c r="W55" i="167"/>
  <c r="W98" i="167"/>
  <c r="W105" i="167"/>
  <c r="W123" i="167"/>
  <c r="W112" i="167"/>
  <c r="W118" i="167"/>
  <c r="W130" i="167"/>
  <c r="W108" i="167"/>
  <c r="W117" i="167"/>
  <c r="W143" i="167"/>
  <c r="W132" i="167"/>
  <c r="W135" i="167"/>
  <c r="W150" i="167"/>
  <c r="W77" i="167"/>
  <c r="W106" i="167"/>
  <c r="W136" i="167"/>
  <c r="W145" i="167"/>
  <c r="W3" i="167"/>
  <c r="W83" i="167"/>
  <c r="W147" i="167"/>
  <c r="W142" i="167"/>
  <c r="W128" i="167"/>
  <c r="W137" i="167"/>
  <c r="W149" i="167"/>
  <c r="W120" i="167"/>
  <c r="W140" i="167"/>
  <c r="W144" i="167"/>
  <c r="W126" i="167"/>
  <c r="W134" i="167"/>
  <c r="W141" i="167"/>
  <c r="W81" i="167"/>
  <c r="W146" i="167"/>
  <c r="W125" i="167"/>
  <c r="W148" i="167"/>
  <c r="W138" i="167"/>
  <c r="W86" i="167"/>
  <c r="W213" i="167"/>
  <c r="W201" i="167"/>
  <c r="W189" i="167"/>
  <c r="W211" i="167"/>
  <c r="W199" i="167"/>
  <c r="W187" i="167"/>
  <c r="W216" i="167"/>
  <c r="W215" i="167"/>
  <c r="W202" i="167"/>
  <c r="W196" i="167"/>
  <c r="W178" i="167"/>
  <c r="W200" i="167"/>
  <c r="W192" i="167"/>
  <c r="W176" i="167"/>
  <c r="W198" i="167"/>
  <c r="W183" i="167"/>
  <c r="W172" i="167"/>
  <c r="W185" i="167"/>
  <c r="W177" i="167"/>
  <c r="W204" i="167"/>
  <c r="W194" i="167"/>
  <c r="W190" i="167"/>
  <c r="W188" i="167"/>
  <c r="W186" i="167"/>
  <c r="W184" i="167"/>
  <c r="W180" i="167"/>
  <c r="W160" i="167"/>
  <c r="W182" i="167"/>
  <c r="W168" i="167"/>
  <c r="W156" i="167"/>
  <c r="W165" i="167"/>
  <c r="W179" i="167"/>
  <c r="W174" i="167"/>
  <c r="W161" i="167"/>
  <c r="W155" i="167"/>
  <c r="W212" i="167"/>
  <c r="W175" i="167"/>
  <c r="W159" i="167"/>
  <c r="W193" i="167"/>
  <c r="W208" i="167"/>
  <c r="W205" i="167"/>
  <c r="W214" i="167"/>
  <c r="W171" i="167"/>
  <c r="W169" i="167"/>
  <c r="W197" i="167"/>
  <c r="W181" i="167"/>
  <c r="W163" i="167"/>
  <c r="W209" i="167"/>
  <c r="W206" i="167"/>
  <c r="W203" i="167"/>
  <c r="W191" i="167"/>
  <c r="W154" i="167"/>
  <c r="W166" i="167"/>
  <c r="W164" i="167"/>
  <c r="W195" i="167"/>
  <c r="W207" i="167"/>
  <c r="W170" i="167"/>
  <c r="W210" i="167"/>
  <c r="W173" i="167"/>
  <c r="W158" i="167"/>
  <c r="W153" i="167"/>
  <c r="W167" i="167"/>
  <c r="W157" i="167"/>
  <c r="W152" i="167"/>
  <c r="W162" i="167"/>
  <c r="X1" i="167"/>
  <c r="F33" i="164"/>
  <c r="F34" i="164"/>
  <c r="T34" i="164" s="1"/>
  <c r="F32" i="164"/>
  <c r="X94" i="167" l="1"/>
  <c r="X151" i="167"/>
  <c r="X8" i="167"/>
  <c r="X20" i="167"/>
  <c r="X32" i="167"/>
  <c r="X15" i="167"/>
  <c r="X27" i="167"/>
  <c r="X10" i="167"/>
  <c r="X22" i="167"/>
  <c r="X34" i="167"/>
  <c r="X5" i="167"/>
  <c r="X17" i="167"/>
  <c r="X29" i="167"/>
  <c r="X12" i="167"/>
  <c r="X24" i="167"/>
  <c r="X36" i="167"/>
  <c r="X7" i="167"/>
  <c r="X19" i="167"/>
  <c r="X31" i="167"/>
  <c r="X14" i="167"/>
  <c r="X26" i="167"/>
  <c r="X9" i="167"/>
  <c r="X21" i="167"/>
  <c r="X33" i="167"/>
  <c r="X4" i="167"/>
  <c r="X16" i="167"/>
  <c r="X28" i="167"/>
  <c r="X47" i="167"/>
  <c r="X59" i="167"/>
  <c r="X30" i="167"/>
  <c r="X42" i="167"/>
  <c r="X54" i="167"/>
  <c r="X13" i="167"/>
  <c r="X37" i="167"/>
  <c r="X49" i="167"/>
  <c r="X35" i="167"/>
  <c r="X44" i="167"/>
  <c r="X56" i="167"/>
  <c r="X18" i="167"/>
  <c r="X39" i="167"/>
  <c r="X51" i="167"/>
  <c r="X23" i="167"/>
  <c r="X41" i="167"/>
  <c r="X53" i="167"/>
  <c r="X46" i="167"/>
  <c r="X72" i="167"/>
  <c r="X60" i="167"/>
  <c r="X67" i="167"/>
  <c r="X43" i="167"/>
  <c r="X62" i="167"/>
  <c r="X74" i="167"/>
  <c r="X11" i="167"/>
  <c r="X50" i="167"/>
  <c r="X69" i="167"/>
  <c r="X58" i="167"/>
  <c r="X66" i="167"/>
  <c r="X55" i="167"/>
  <c r="X68" i="167"/>
  <c r="X38" i="167"/>
  <c r="X63" i="167"/>
  <c r="X75" i="167"/>
  <c r="X45" i="167"/>
  <c r="X65" i="167"/>
  <c r="X87" i="167"/>
  <c r="X82" i="167"/>
  <c r="X95" i="167"/>
  <c r="X6" i="167"/>
  <c r="X89" i="167"/>
  <c r="X84" i="167"/>
  <c r="X97" i="167"/>
  <c r="X81" i="167"/>
  <c r="X93" i="167"/>
  <c r="X61" i="167"/>
  <c r="X83" i="167"/>
  <c r="X96" i="167"/>
  <c r="X76" i="167"/>
  <c r="X78" i="167"/>
  <c r="X90" i="167"/>
  <c r="X88" i="167"/>
  <c r="X100" i="167"/>
  <c r="X112" i="167"/>
  <c r="X25" i="167"/>
  <c r="X107" i="167"/>
  <c r="X91" i="167"/>
  <c r="X102" i="167"/>
  <c r="X114" i="167"/>
  <c r="X52" i="167"/>
  <c r="X70" i="167"/>
  <c r="X79" i="167"/>
  <c r="X109" i="167"/>
  <c r="X48" i="167"/>
  <c r="X57" i="167"/>
  <c r="X92" i="167"/>
  <c r="X104" i="167"/>
  <c r="X116" i="167"/>
  <c r="X40" i="167"/>
  <c r="X77" i="167"/>
  <c r="X106" i="167"/>
  <c r="X73" i="167"/>
  <c r="X120" i="167"/>
  <c r="X132" i="167"/>
  <c r="X85" i="167"/>
  <c r="X103" i="167"/>
  <c r="X127" i="167"/>
  <c r="X110" i="167"/>
  <c r="X122" i="167"/>
  <c r="X134" i="167"/>
  <c r="X129" i="167"/>
  <c r="X80" i="167"/>
  <c r="X111" i="167"/>
  <c r="X124" i="167"/>
  <c r="X108" i="167"/>
  <c r="X117" i="167"/>
  <c r="X126" i="167"/>
  <c r="X86" i="167"/>
  <c r="X128" i="167"/>
  <c r="X98" i="167"/>
  <c r="X105" i="167"/>
  <c r="X123" i="167"/>
  <c r="X101" i="167"/>
  <c r="X131" i="167"/>
  <c r="X141" i="167"/>
  <c r="X148" i="167"/>
  <c r="X147" i="167"/>
  <c r="X115" i="167"/>
  <c r="X143" i="167"/>
  <c r="X99" i="167"/>
  <c r="X130" i="167"/>
  <c r="X135" i="167"/>
  <c r="X150" i="167"/>
  <c r="X64" i="167"/>
  <c r="X113" i="167"/>
  <c r="X136" i="167"/>
  <c r="X139" i="167"/>
  <c r="X145" i="167"/>
  <c r="X3" i="167"/>
  <c r="X133" i="167"/>
  <c r="X121" i="167"/>
  <c r="X142" i="167"/>
  <c r="X137" i="167"/>
  <c r="X149" i="167"/>
  <c r="X71" i="167"/>
  <c r="X119" i="167"/>
  <c r="X140" i="167"/>
  <c r="X144" i="167"/>
  <c r="X125" i="167"/>
  <c r="X118" i="167"/>
  <c r="X138" i="167"/>
  <c r="X146" i="167"/>
  <c r="X213" i="167"/>
  <c r="X206" i="167"/>
  <c r="X194" i="167"/>
  <c r="X216" i="167"/>
  <c r="X204" i="167"/>
  <c r="X192" i="167"/>
  <c r="X195" i="167"/>
  <c r="X189" i="167"/>
  <c r="X183" i="167"/>
  <c r="X193" i="167"/>
  <c r="X179" i="167"/>
  <c r="X197" i="167"/>
  <c r="X187" i="167"/>
  <c r="X212" i="167"/>
  <c r="X208" i="167"/>
  <c r="X203" i="167"/>
  <c r="X177" i="167"/>
  <c r="X199" i="167"/>
  <c r="X190" i="167"/>
  <c r="X188" i="167"/>
  <c r="X186" i="167"/>
  <c r="X184" i="167"/>
  <c r="X180" i="167"/>
  <c r="X202" i="167"/>
  <c r="X200" i="167"/>
  <c r="X198" i="167"/>
  <c r="X173" i="167"/>
  <c r="X165" i="167"/>
  <c r="X153" i="167"/>
  <c r="X185" i="167"/>
  <c r="X161" i="167"/>
  <c r="X214" i="167"/>
  <c r="X171" i="167"/>
  <c r="X174" i="167"/>
  <c r="X168" i="167"/>
  <c r="X154" i="167"/>
  <c r="X182" i="167"/>
  <c r="X172" i="167"/>
  <c r="X205" i="167"/>
  <c r="X167" i="167"/>
  <c r="X211" i="167"/>
  <c r="X196" i="167"/>
  <c r="X169" i="167"/>
  <c r="X181" i="167"/>
  <c r="X163" i="167"/>
  <c r="X209" i="167"/>
  <c r="X191" i="167"/>
  <c r="X166" i="167"/>
  <c r="X164" i="167"/>
  <c r="X159" i="167"/>
  <c r="X175" i="167"/>
  <c r="X176" i="167"/>
  <c r="X207" i="167"/>
  <c r="X215" i="167"/>
  <c r="X210" i="167"/>
  <c r="X201" i="167"/>
  <c r="X156" i="167"/>
  <c r="X155" i="167"/>
  <c r="X158" i="167"/>
  <c r="X160" i="167"/>
  <c r="X157" i="167"/>
  <c r="X152" i="167"/>
  <c r="X178" i="167"/>
  <c r="X170" i="167"/>
  <c r="X162" i="167"/>
  <c r="Y1" i="167"/>
  <c r="T37" i="164"/>
  <c r="T36" i="164"/>
  <c r="T35" i="164"/>
  <c r="T38" i="164"/>
  <c r="T27" i="164"/>
  <c r="T26" i="164"/>
  <c r="Y94" i="167" l="1"/>
  <c r="Y151" i="167"/>
  <c r="Y13" i="167"/>
  <c r="Y25" i="167"/>
  <c r="Y8" i="167"/>
  <c r="Y20" i="167"/>
  <c r="Y32" i="167"/>
  <c r="Y15" i="167"/>
  <c r="Y27" i="167"/>
  <c r="Y10" i="167"/>
  <c r="Y22" i="167"/>
  <c r="Y34" i="167"/>
  <c r="Y5" i="167"/>
  <c r="Y17" i="167"/>
  <c r="Y29" i="167"/>
  <c r="Y12" i="167"/>
  <c r="Y24" i="167"/>
  <c r="Y36" i="167"/>
  <c r="Y7" i="167"/>
  <c r="Y19" i="167"/>
  <c r="Y31" i="167"/>
  <c r="Y14" i="167"/>
  <c r="Y26" i="167"/>
  <c r="Y9" i="167"/>
  <c r="Y21" i="167"/>
  <c r="Y33" i="167"/>
  <c r="Y16" i="167"/>
  <c r="Y40" i="167"/>
  <c r="Y52" i="167"/>
  <c r="Y47" i="167"/>
  <c r="Y59" i="167"/>
  <c r="Y30" i="167"/>
  <c r="Y42" i="167"/>
  <c r="Y54" i="167"/>
  <c r="Y4" i="167"/>
  <c r="Y37" i="167"/>
  <c r="Y49" i="167"/>
  <c r="Y35" i="167"/>
  <c r="Y44" i="167"/>
  <c r="Y56" i="167"/>
  <c r="Y46" i="167"/>
  <c r="Y58" i="167"/>
  <c r="Y39" i="167"/>
  <c r="Y65" i="167"/>
  <c r="Y77" i="167"/>
  <c r="Y23" i="167"/>
  <c r="Y53" i="167"/>
  <c r="Y72" i="167"/>
  <c r="Y60" i="167"/>
  <c r="Y67" i="167"/>
  <c r="Y43" i="167"/>
  <c r="Y62" i="167"/>
  <c r="Y74" i="167"/>
  <c r="Y18" i="167"/>
  <c r="Y51" i="167"/>
  <c r="Y71" i="167"/>
  <c r="Y6" i="167"/>
  <c r="Y48" i="167"/>
  <c r="Y61" i="167"/>
  <c r="Y73" i="167"/>
  <c r="Y28" i="167"/>
  <c r="Y55" i="167"/>
  <c r="Y68" i="167"/>
  <c r="Y80" i="167"/>
  <c r="Y92" i="167"/>
  <c r="Y45" i="167"/>
  <c r="Y66" i="167"/>
  <c r="Y87" i="167"/>
  <c r="Y82" i="167"/>
  <c r="Y95" i="167"/>
  <c r="Y38" i="167"/>
  <c r="Y69" i="167"/>
  <c r="Y89" i="167"/>
  <c r="Y57" i="167"/>
  <c r="Y86" i="167"/>
  <c r="Y50" i="167"/>
  <c r="Y88" i="167"/>
  <c r="Y75" i="167"/>
  <c r="Y83" i="167"/>
  <c r="Y96" i="167"/>
  <c r="Y76" i="167"/>
  <c r="Y98" i="167"/>
  <c r="Y105" i="167"/>
  <c r="Y117" i="167"/>
  <c r="Y100" i="167"/>
  <c r="Y112" i="167"/>
  <c r="Y63" i="167"/>
  <c r="Y90" i="167"/>
  <c r="Y107" i="167"/>
  <c r="Y11" i="167"/>
  <c r="Y78" i="167"/>
  <c r="Y91" i="167"/>
  <c r="Y102" i="167"/>
  <c r="Y114" i="167"/>
  <c r="Y70" i="167"/>
  <c r="Y79" i="167"/>
  <c r="Y109" i="167"/>
  <c r="Y81" i="167"/>
  <c r="Y99" i="167"/>
  <c r="Y111" i="167"/>
  <c r="Y64" i="167"/>
  <c r="Y113" i="167"/>
  <c r="Y125" i="167"/>
  <c r="Y137" i="167"/>
  <c r="Y41" i="167"/>
  <c r="Y120" i="167"/>
  <c r="Y132" i="167"/>
  <c r="Y85" i="167"/>
  <c r="Y103" i="167"/>
  <c r="Y127" i="167"/>
  <c r="Y110" i="167"/>
  <c r="Y122" i="167"/>
  <c r="Y93" i="167"/>
  <c r="Y104" i="167"/>
  <c r="Y129" i="167"/>
  <c r="Y84" i="167"/>
  <c r="Y101" i="167"/>
  <c r="Y119" i="167"/>
  <c r="Y131" i="167"/>
  <c r="Y115" i="167"/>
  <c r="Y121" i="167"/>
  <c r="Y128" i="167"/>
  <c r="Y124" i="167"/>
  <c r="Y134" i="167"/>
  <c r="Y138" i="167"/>
  <c r="Y108" i="167"/>
  <c r="Y141" i="167"/>
  <c r="Y148" i="167"/>
  <c r="Y123" i="167"/>
  <c r="Y143" i="167"/>
  <c r="Y133" i="167"/>
  <c r="Y106" i="167"/>
  <c r="Y130" i="167"/>
  <c r="Y135" i="167"/>
  <c r="Y150" i="167"/>
  <c r="Y136" i="167"/>
  <c r="Y139" i="167"/>
  <c r="Y145" i="167"/>
  <c r="Y3" i="167"/>
  <c r="Y116" i="167"/>
  <c r="Y147" i="167"/>
  <c r="Y97" i="167"/>
  <c r="Y142" i="167"/>
  <c r="Y149" i="167"/>
  <c r="Y126" i="167"/>
  <c r="Y144" i="167"/>
  <c r="Y140" i="167"/>
  <c r="Y118" i="167"/>
  <c r="Y146" i="167"/>
  <c r="Y211" i="167"/>
  <c r="Y199" i="167"/>
  <c r="Y187" i="167"/>
  <c r="Y209" i="167"/>
  <c r="Y197" i="167"/>
  <c r="Y185" i="167"/>
  <c r="Y216" i="167"/>
  <c r="Y208" i="167"/>
  <c r="Y188" i="167"/>
  <c r="Y206" i="167"/>
  <c r="Y186" i="167"/>
  <c r="Y214" i="167"/>
  <c r="Y207" i="167"/>
  <c r="Y202" i="167"/>
  <c r="Y178" i="167"/>
  <c r="Y174" i="167"/>
  <c r="Y184" i="167"/>
  <c r="Y182" i="167"/>
  <c r="Y205" i="167"/>
  <c r="Y195" i="167"/>
  <c r="Y193" i="167"/>
  <c r="Y191" i="167"/>
  <c r="Y189" i="167"/>
  <c r="Y213" i="167"/>
  <c r="Y204" i="167"/>
  <c r="Y200" i="167"/>
  <c r="Y198" i="167"/>
  <c r="Y194" i="167"/>
  <c r="Y192" i="167"/>
  <c r="Y210" i="167"/>
  <c r="Y196" i="167"/>
  <c r="Y181" i="167"/>
  <c r="Y170" i="167"/>
  <c r="Y158" i="167"/>
  <c r="Y177" i="167"/>
  <c r="Y166" i="167"/>
  <c r="Y154" i="167"/>
  <c r="Y172" i="167"/>
  <c r="Y179" i="167"/>
  <c r="Y167" i="167"/>
  <c r="Y171" i="167"/>
  <c r="Y165" i="167"/>
  <c r="Y152" i="167"/>
  <c r="Y157" i="167"/>
  <c r="Y190" i="167"/>
  <c r="Y180" i="167"/>
  <c r="Y203" i="167"/>
  <c r="Y164" i="167"/>
  <c r="Y159" i="167"/>
  <c r="Y175" i="167"/>
  <c r="Y212" i="167"/>
  <c r="Y176" i="167"/>
  <c r="Y168" i="167"/>
  <c r="Y215" i="167"/>
  <c r="Y201" i="167"/>
  <c r="Y173" i="167"/>
  <c r="Y161" i="167"/>
  <c r="Y169" i="167"/>
  <c r="Y153" i="167"/>
  <c r="Y183" i="167"/>
  <c r="Y160" i="167"/>
  <c r="Y155" i="167"/>
  <c r="Y163" i="167"/>
  <c r="Y162" i="167"/>
  <c r="Y156" i="167"/>
  <c r="Z1" i="167"/>
  <c r="T32" i="164"/>
  <c r="T33" i="164"/>
  <c r="T28" i="164"/>
  <c r="T29" i="164"/>
  <c r="T30" i="164"/>
  <c r="T31" i="164"/>
  <c r="T45" i="164"/>
  <c r="T46" i="164"/>
  <c r="Z94" i="167" l="1"/>
  <c r="Z151" i="167"/>
  <c r="Z6" i="167"/>
  <c r="Z18" i="167"/>
  <c r="Z30" i="167"/>
  <c r="Z13" i="167"/>
  <c r="Z25" i="167"/>
  <c r="Z8" i="167"/>
  <c r="Z20" i="167"/>
  <c r="Z32" i="167"/>
  <c r="Z15" i="167"/>
  <c r="Z27" i="167"/>
  <c r="Z10" i="167"/>
  <c r="Z22" i="167"/>
  <c r="Z34" i="167"/>
  <c r="Z5" i="167"/>
  <c r="Z17" i="167"/>
  <c r="Z29" i="167"/>
  <c r="Z12" i="167"/>
  <c r="Z24" i="167"/>
  <c r="Z36" i="167"/>
  <c r="Z7" i="167"/>
  <c r="Z19" i="167"/>
  <c r="Z31" i="167"/>
  <c r="Z14" i="167"/>
  <c r="Z26" i="167"/>
  <c r="Z33" i="167"/>
  <c r="Z45" i="167"/>
  <c r="Z57" i="167"/>
  <c r="Z16" i="167"/>
  <c r="Z40" i="167"/>
  <c r="Z52" i="167"/>
  <c r="Z47" i="167"/>
  <c r="Z59" i="167"/>
  <c r="Z21" i="167"/>
  <c r="Z42" i="167"/>
  <c r="Z54" i="167"/>
  <c r="Z4" i="167"/>
  <c r="Z37" i="167"/>
  <c r="Z49" i="167"/>
  <c r="Z9" i="167"/>
  <c r="Z39" i="167"/>
  <c r="Z51" i="167"/>
  <c r="Z35" i="167"/>
  <c r="Z56" i="167"/>
  <c r="Z70" i="167"/>
  <c r="Z46" i="167"/>
  <c r="Z65" i="167"/>
  <c r="Z77" i="167"/>
  <c r="Z23" i="167"/>
  <c r="Z53" i="167"/>
  <c r="Z72" i="167"/>
  <c r="Z60" i="167"/>
  <c r="Z67" i="167"/>
  <c r="Z44" i="167"/>
  <c r="Z64" i="167"/>
  <c r="Z76" i="167"/>
  <c r="Z41" i="167"/>
  <c r="Z66" i="167"/>
  <c r="Z48" i="167"/>
  <c r="Z61" i="167"/>
  <c r="Z73" i="167"/>
  <c r="Z58" i="167"/>
  <c r="Z85" i="167"/>
  <c r="Z80" i="167"/>
  <c r="Z92" i="167"/>
  <c r="Z28" i="167"/>
  <c r="Z87" i="167"/>
  <c r="Z68" i="167"/>
  <c r="Z82" i="167"/>
  <c r="Z95" i="167"/>
  <c r="Z71" i="167"/>
  <c r="Z79" i="167"/>
  <c r="Z91" i="167"/>
  <c r="Z74" i="167"/>
  <c r="Z81" i="167"/>
  <c r="Z93" i="167"/>
  <c r="Z50" i="167"/>
  <c r="Z62" i="167"/>
  <c r="Z88" i="167"/>
  <c r="Z110" i="167"/>
  <c r="Z38" i="167"/>
  <c r="Z89" i="167"/>
  <c r="Z98" i="167"/>
  <c r="Z105" i="167"/>
  <c r="Z117" i="167"/>
  <c r="Z100" i="167"/>
  <c r="Z112" i="167"/>
  <c r="Z43" i="167"/>
  <c r="Z63" i="167"/>
  <c r="Z90" i="167"/>
  <c r="Z107" i="167"/>
  <c r="Z11" i="167"/>
  <c r="Z78" i="167"/>
  <c r="Z102" i="167"/>
  <c r="Z114" i="167"/>
  <c r="Z104" i="167"/>
  <c r="Z83" i="167"/>
  <c r="Z97" i="167"/>
  <c r="Z106" i="167"/>
  <c r="Z118" i="167"/>
  <c r="Z130" i="167"/>
  <c r="Z113" i="167"/>
  <c r="Z125" i="167"/>
  <c r="Z69" i="167"/>
  <c r="Z120" i="167"/>
  <c r="Z132" i="167"/>
  <c r="Z103" i="167"/>
  <c r="Z127" i="167"/>
  <c r="Z122" i="167"/>
  <c r="Z124" i="167"/>
  <c r="Z108" i="167"/>
  <c r="Z126" i="167"/>
  <c r="Z55" i="167"/>
  <c r="Z86" i="167"/>
  <c r="Z115" i="167"/>
  <c r="Z121" i="167"/>
  <c r="Z133" i="167"/>
  <c r="Z75" i="167"/>
  <c r="Z146" i="167"/>
  <c r="Z145" i="167"/>
  <c r="Z101" i="167"/>
  <c r="Z131" i="167"/>
  <c r="Z134" i="167"/>
  <c r="Z138" i="167"/>
  <c r="Z139" i="167"/>
  <c r="Z141" i="167"/>
  <c r="Z148" i="167"/>
  <c r="Z99" i="167"/>
  <c r="Z123" i="167"/>
  <c r="Z143" i="167"/>
  <c r="Z96" i="167"/>
  <c r="Z111" i="167"/>
  <c r="Z129" i="167"/>
  <c r="Z135" i="167"/>
  <c r="Z150" i="167"/>
  <c r="Z84" i="167"/>
  <c r="Z136" i="167"/>
  <c r="Z109" i="167"/>
  <c r="Z128" i="167"/>
  <c r="Z116" i="167"/>
  <c r="Z147" i="167"/>
  <c r="Z137" i="167"/>
  <c r="Z142" i="167"/>
  <c r="Z144" i="167"/>
  <c r="Z149" i="167"/>
  <c r="Z3" i="167"/>
  <c r="Z119" i="167"/>
  <c r="Z140" i="167"/>
  <c r="Z211" i="167"/>
  <c r="Z216" i="167"/>
  <c r="Z204" i="167"/>
  <c r="Z192" i="167"/>
  <c r="Z214" i="167"/>
  <c r="Z202" i="167"/>
  <c r="Z190" i="167"/>
  <c r="Z207" i="167"/>
  <c r="Z201" i="167"/>
  <c r="Z181" i="167"/>
  <c r="Z205" i="167"/>
  <c r="Z199" i="167"/>
  <c r="Z194" i="167"/>
  <c r="Z189" i="167"/>
  <c r="Z175" i="167"/>
  <c r="Z209" i="167"/>
  <c r="Z203" i="167"/>
  <c r="Z197" i="167"/>
  <c r="Z187" i="167"/>
  <c r="Z183" i="167"/>
  <c r="Z178" i="167"/>
  <c r="Z176" i="167"/>
  <c r="Z210" i="167"/>
  <c r="Z196" i="167"/>
  <c r="Z208" i="167"/>
  <c r="Z206" i="167"/>
  <c r="Z172" i="167"/>
  <c r="Z163" i="167"/>
  <c r="Z195" i="167"/>
  <c r="Z193" i="167"/>
  <c r="Z191" i="167"/>
  <c r="Z171" i="167"/>
  <c r="Z159" i="167"/>
  <c r="Z213" i="167"/>
  <c r="Z167" i="167"/>
  <c r="Z185" i="167"/>
  <c r="Z160" i="167"/>
  <c r="Z177" i="167"/>
  <c r="Z164" i="167"/>
  <c r="Z158" i="167"/>
  <c r="Z179" i="167"/>
  <c r="Z162" i="167"/>
  <c r="Z152" i="167"/>
  <c r="Z184" i="167"/>
  <c r="Z169" i="167"/>
  <c r="Z180" i="167"/>
  <c r="Z200" i="167"/>
  <c r="Z188" i="167"/>
  <c r="Z166" i="167"/>
  <c r="Z212" i="167"/>
  <c r="Z182" i="167"/>
  <c r="Z168" i="167"/>
  <c r="Z155" i="167"/>
  <c r="Z215" i="167"/>
  <c r="Z174" i="167"/>
  <c r="Z170" i="167"/>
  <c r="Z198" i="167"/>
  <c r="Z165" i="167"/>
  <c r="Z157" i="167"/>
  <c r="Z161" i="167"/>
  <c r="Z173" i="167"/>
  <c r="Z186" i="167"/>
  <c r="Z153" i="167"/>
  <c r="Z156" i="167"/>
  <c r="Z154" i="167"/>
  <c r="AA1" i="167"/>
  <c r="T25" i="164"/>
  <c r="T24" i="164"/>
  <c r="AA94" i="167" l="1"/>
  <c r="AA151" i="167"/>
  <c r="AA11" i="167"/>
  <c r="AA23" i="167"/>
  <c r="AA35" i="167"/>
  <c r="AA6" i="167"/>
  <c r="AA18" i="167"/>
  <c r="AA30" i="167"/>
  <c r="AA13" i="167"/>
  <c r="AA25" i="167"/>
  <c r="AA8" i="167"/>
  <c r="AA20" i="167"/>
  <c r="AA32" i="167"/>
  <c r="AA15" i="167"/>
  <c r="AA27" i="167"/>
  <c r="AA10" i="167"/>
  <c r="AA22" i="167"/>
  <c r="AA34" i="167"/>
  <c r="AA5" i="167"/>
  <c r="AA17" i="167"/>
  <c r="AA29" i="167"/>
  <c r="AA12" i="167"/>
  <c r="AA24" i="167"/>
  <c r="AA36" i="167"/>
  <c r="AA7" i="167"/>
  <c r="AA19" i="167"/>
  <c r="AA31" i="167"/>
  <c r="AA38" i="167"/>
  <c r="AA50" i="167"/>
  <c r="AA33" i="167"/>
  <c r="AA45" i="167"/>
  <c r="AA57" i="167"/>
  <c r="AA16" i="167"/>
  <c r="AA40" i="167"/>
  <c r="AA52" i="167"/>
  <c r="AA47" i="167"/>
  <c r="AA59" i="167"/>
  <c r="AA21" i="167"/>
  <c r="AA42" i="167"/>
  <c r="AA54" i="167"/>
  <c r="AA26" i="167"/>
  <c r="AA44" i="167"/>
  <c r="AA56" i="167"/>
  <c r="AA4" i="167"/>
  <c r="AA49" i="167"/>
  <c r="AA63" i="167"/>
  <c r="AA75" i="167"/>
  <c r="AA39" i="167"/>
  <c r="AA70" i="167"/>
  <c r="AA46" i="167"/>
  <c r="AA65" i="167"/>
  <c r="AA77" i="167"/>
  <c r="AA14" i="167"/>
  <c r="AA53" i="167"/>
  <c r="AA72" i="167"/>
  <c r="AA37" i="167"/>
  <c r="AA69" i="167"/>
  <c r="AA58" i="167"/>
  <c r="AA71" i="167"/>
  <c r="AA41" i="167"/>
  <c r="AA66" i="167"/>
  <c r="AA43" i="167"/>
  <c r="AA64" i="167"/>
  <c r="AA78" i="167"/>
  <c r="AA90" i="167"/>
  <c r="AA60" i="167"/>
  <c r="AA85" i="167"/>
  <c r="AA98" i="167"/>
  <c r="AA67" i="167"/>
  <c r="AA80" i="167"/>
  <c r="AA92" i="167"/>
  <c r="AA28" i="167"/>
  <c r="AA51" i="167"/>
  <c r="AA87" i="167"/>
  <c r="AA55" i="167"/>
  <c r="AA84" i="167"/>
  <c r="AA97" i="167"/>
  <c r="AA48" i="167"/>
  <c r="AA73" i="167"/>
  <c r="AA86" i="167"/>
  <c r="AA61" i="167"/>
  <c r="AA74" i="167"/>
  <c r="AA81" i="167"/>
  <c r="AA93" i="167"/>
  <c r="AA103" i="167"/>
  <c r="AA115" i="167"/>
  <c r="AA76" i="167"/>
  <c r="AA88" i="167"/>
  <c r="AA110" i="167"/>
  <c r="AA9" i="167"/>
  <c r="AA89" i="167"/>
  <c r="AA105" i="167"/>
  <c r="AA117" i="167"/>
  <c r="AA100" i="167"/>
  <c r="AA112" i="167"/>
  <c r="AA91" i="167"/>
  <c r="AA107" i="167"/>
  <c r="AA95" i="167"/>
  <c r="AA109" i="167"/>
  <c r="AA99" i="167"/>
  <c r="AA116" i="167"/>
  <c r="AA123" i="167"/>
  <c r="AA135" i="167"/>
  <c r="AA83" i="167"/>
  <c r="AA106" i="167"/>
  <c r="AA118" i="167"/>
  <c r="AA130" i="167"/>
  <c r="AA113" i="167"/>
  <c r="AA125" i="167"/>
  <c r="AA120" i="167"/>
  <c r="AA132" i="167"/>
  <c r="AA114" i="167"/>
  <c r="AA127" i="167"/>
  <c r="AA96" i="167"/>
  <c r="AA111" i="167"/>
  <c r="AA129" i="167"/>
  <c r="AA101" i="167"/>
  <c r="AA119" i="167"/>
  <c r="AA131" i="167"/>
  <c r="AA108" i="167"/>
  <c r="AA126" i="167"/>
  <c r="AA82" i="167"/>
  <c r="AA62" i="167"/>
  <c r="AA124" i="167"/>
  <c r="AA146" i="167"/>
  <c r="AA134" i="167"/>
  <c r="AA138" i="167"/>
  <c r="AA141" i="167"/>
  <c r="AA148" i="167"/>
  <c r="AA104" i="167"/>
  <c r="AA122" i="167"/>
  <c r="AA143" i="167"/>
  <c r="AA68" i="167"/>
  <c r="AA79" i="167"/>
  <c r="AA102" i="167"/>
  <c r="AA121" i="167"/>
  <c r="AA133" i="167"/>
  <c r="AA136" i="167"/>
  <c r="AA139" i="167"/>
  <c r="AA145" i="167"/>
  <c r="AA3" i="167"/>
  <c r="AA128" i="167"/>
  <c r="AA147" i="167"/>
  <c r="AA150" i="167"/>
  <c r="AA144" i="167"/>
  <c r="AA149" i="167"/>
  <c r="AA137" i="167"/>
  <c r="AA142" i="167"/>
  <c r="AA140" i="167"/>
  <c r="AA216" i="167"/>
  <c r="AA209" i="167"/>
  <c r="AA197" i="167"/>
  <c r="AA185" i="167"/>
  <c r="AA207" i="167"/>
  <c r="AA195" i="167"/>
  <c r="AA200" i="167"/>
  <c r="AA194" i="167"/>
  <c r="AA198" i="167"/>
  <c r="AA192" i="167"/>
  <c r="AA182" i="167"/>
  <c r="AA193" i="167"/>
  <c r="AA188" i="167"/>
  <c r="AA172" i="167"/>
  <c r="AA215" i="167"/>
  <c r="AA204" i="167"/>
  <c r="AA199" i="167"/>
  <c r="AA214" i="167"/>
  <c r="AA201" i="167"/>
  <c r="AA208" i="167"/>
  <c r="AA206" i="167"/>
  <c r="AA202" i="167"/>
  <c r="AA181" i="167"/>
  <c r="AA212" i="167"/>
  <c r="AA168" i="167"/>
  <c r="AA156" i="167"/>
  <c r="AA205" i="167"/>
  <c r="AA203" i="167"/>
  <c r="AA189" i="167"/>
  <c r="AA187" i="167"/>
  <c r="AA183" i="167"/>
  <c r="AA178" i="167"/>
  <c r="AA176" i="167"/>
  <c r="AA164" i="167"/>
  <c r="AA170" i="167"/>
  <c r="AA191" i="167"/>
  <c r="AA190" i="167"/>
  <c r="AA186" i="167"/>
  <c r="AA184" i="167"/>
  <c r="AA166" i="167"/>
  <c r="AA153" i="167"/>
  <c r="AA213" i="167"/>
  <c r="AA157" i="167"/>
  <c r="AA169" i="167"/>
  <c r="AA167" i="167"/>
  <c r="AA211" i="167"/>
  <c r="AA196" i="167"/>
  <c r="AA180" i="167"/>
  <c r="AA171" i="167"/>
  <c r="AA159" i="167"/>
  <c r="AA175" i="167"/>
  <c r="AA155" i="167"/>
  <c r="AA177" i="167"/>
  <c r="AA174" i="167"/>
  <c r="AA160" i="167"/>
  <c r="AA173" i="167"/>
  <c r="AA210" i="167"/>
  <c r="AA179" i="167"/>
  <c r="AA162" i="167"/>
  <c r="AA152" i="167"/>
  <c r="AA161" i="167"/>
  <c r="AA154" i="167"/>
  <c r="AA163" i="167"/>
  <c r="AA165" i="167"/>
  <c r="AA158" i="167"/>
  <c r="AB1" i="167"/>
  <c r="T20" i="164"/>
  <c r="AB94" i="167" l="1"/>
  <c r="AB151" i="167"/>
  <c r="AB4" i="167"/>
  <c r="AB16" i="167"/>
  <c r="AB28" i="167"/>
  <c r="AB11" i="167"/>
  <c r="AB23" i="167"/>
  <c r="AB35" i="167"/>
  <c r="AB6" i="167"/>
  <c r="AB18" i="167"/>
  <c r="AB30" i="167"/>
  <c r="AB13" i="167"/>
  <c r="AB25" i="167"/>
  <c r="AB8" i="167"/>
  <c r="AB20" i="167"/>
  <c r="AB32" i="167"/>
  <c r="AB15" i="167"/>
  <c r="AB27" i="167"/>
  <c r="AB10" i="167"/>
  <c r="AB22" i="167"/>
  <c r="AB34" i="167"/>
  <c r="AB5" i="167"/>
  <c r="AB17" i="167"/>
  <c r="AB29" i="167"/>
  <c r="AB12" i="167"/>
  <c r="AB24" i="167"/>
  <c r="AB36" i="167"/>
  <c r="AB19" i="167"/>
  <c r="AB43" i="167"/>
  <c r="AB55" i="167"/>
  <c r="AB38" i="167"/>
  <c r="AB50" i="167"/>
  <c r="AB33" i="167"/>
  <c r="AB45" i="167"/>
  <c r="AB57" i="167"/>
  <c r="AB7" i="167"/>
  <c r="AB40" i="167"/>
  <c r="AB52" i="167"/>
  <c r="AB47" i="167"/>
  <c r="AB59" i="167"/>
  <c r="AB37" i="167"/>
  <c r="AB49" i="167"/>
  <c r="AB42" i="167"/>
  <c r="AB68" i="167"/>
  <c r="AB26" i="167"/>
  <c r="AB56" i="167"/>
  <c r="AB63" i="167"/>
  <c r="AB75" i="167"/>
  <c r="AB39" i="167"/>
  <c r="AB70" i="167"/>
  <c r="AB46" i="167"/>
  <c r="AB65" i="167"/>
  <c r="AB77" i="167"/>
  <c r="AB21" i="167"/>
  <c r="AB54" i="167"/>
  <c r="AB62" i="167"/>
  <c r="AB74" i="167"/>
  <c r="AB9" i="167"/>
  <c r="AB51" i="167"/>
  <c r="AB64" i="167"/>
  <c r="AB76" i="167"/>
  <c r="AB31" i="167"/>
  <c r="AB58" i="167"/>
  <c r="AB71" i="167"/>
  <c r="AB83" i="167"/>
  <c r="AB96" i="167"/>
  <c r="AB78" i="167"/>
  <c r="AB90" i="167"/>
  <c r="AB60" i="167"/>
  <c r="AB66" i="167"/>
  <c r="AB85" i="167"/>
  <c r="AB14" i="167"/>
  <c r="AB67" i="167"/>
  <c r="AB80" i="167"/>
  <c r="AB92" i="167"/>
  <c r="AB44" i="167"/>
  <c r="AB89" i="167"/>
  <c r="AB79" i="167"/>
  <c r="AB91" i="167"/>
  <c r="AB48" i="167"/>
  <c r="AB73" i="167"/>
  <c r="AB86" i="167"/>
  <c r="AB87" i="167"/>
  <c r="AB108" i="167"/>
  <c r="AB103" i="167"/>
  <c r="AB115" i="167"/>
  <c r="AB88" i="167"/>
  <c r="AB98" i="167"/>
  <c r="AB110" i="167"/>
  <c r="AB72" i="167"/>
  <c r="AB105" i="167"/>
  <c r="AB61" i="167"/>
  <c r="AB100" i="167"/>
  <c r="AB112" i="167"/>
  <c r="AB93" i="167"/>
  <c r="AB102" i="167"/>
  <c r="AB114" i="167"/>
  <c r="AB128" i="167"/>
  <c r="AB140" i="167"/>
  <c r="AB97" i="167"/>
  <c r="AB99" i="167"/>
  <c r="AB116" i="167"/>
  <c r="AB123" i="167"/>
  <c r="AB41" i="167"/>
  <c r="AB106" i="167"/>
  <c r="AB118" i="167"/>
  <c r="AB130" i="167"/>
  <c r="AB69" i="167"/>
  <c r="AB113" i="167"/>
  <c r="AB125" i="167"/>
  <c r="AB53" i="167"/>
  <c r="AB107" i="167"/>
  <c r="AB120" i="167"/>
  <c r="AB82" i="167"/>
  <c r="AB104" i="167"/>
  <c r="AB122" i="167"/>
  <c r="AB84" i="167"/>
  <c r="AB124" i="167"/>
  <c r="AB101" i="167"/>
  <c r="AB119" i="167"/>
  <c r="AB131" i="167"/>
  <c r="AB144" i="167"/>
  <c r="AB117" i="167"/>
  <c r="AB132" i="167"/>
  <c r="AB146" i="167"/>
  <c r="AB143" i="167"/>
  <c r="AB95" i="167"/>
  <c r="AB134" i="167"/>
  <c r="AB138" i="167"/>
  <c r="AB141" i="167"/>
  <c r="AB148" i="167"/>
  <c r="AB111" i="167"/>
  <c r="AB129" i="167"/>
  <c r="AB135" i="167"/>
  <c r="AB150" i="167"/>
  <c r="AB109" i="167"/>
  <c r="AB121" i="167"/>
  <c r="AB133" i="167"/>
  <c r="AB136" i="167"/>
  <c r="AB139" i="167"/>
  <c r="AB145" i="167"/>
  <c r="AB3" i="167"/>
  <c r="AB127" i="167"/>
  <c r="AB126" i="167"/>
  <c r="AB147" i="167"/>
  <c r="AB149" i="167"/>
  <c r="AB81" i="167"/>
  <c r="AB137" i="167"/>
  <c r="AB142" i="167"/>
  <c r="AB214" i="167"/>
  <c r="AB202" i="167"/>
  <c r="AB190" i="167"/>
  <c r="AB212" i="167"/>
  <c r="AB200" i="167"/>
  <c r="AB188" i="167"/>
  <c r="AB193" i="167"/>
  <c r="AB187" i="167"/>
  <c r="AB179" i="167"/>
  <c r="AB191" i="167"/>
  <c r="AB185" i="167"/>
  <c r="AB203" i="167"/>
  <c r="AB198" i="167"/>
  <c r="AB183" i="167"/>
  <c r="AB177" i="167"/>
  <c r="AB209" i="167"/>
  <c r="AB181" i="167"/>
  <c r="AB173" i="167"/>
  <c r="AB211" i="167"/>
  <c r="AB207" i="167"/>
  <c r="AB175" i="167"/>
  <c r="AB216" i="167"/>
  <c r="AB215" i="167"/>
  <c r="AB161" i="167"/>
  <c r="AB201" i="167"/>
  <c r="AB199" i="167"/>
  <c r="AB197" i="167"/>
  <c r="AB169" i="167"/>
  <c r="AB157" i="167"/>
  <c r="AB152" i="167"/>
  <c r="AB186" i="167"/>
  <c r="AB184" i="167"/>
  <c r="AB166" i="167"/>
  <c r="AB210" i="167"/>
  <c r="AB205" i="167"/>
  <c r="AB196" i="167"/>
  <c r="AB195" i="167"/>
  <c r="AB189" i="167"/>
  <c r="AB178" i="167"/>
  <c r="AB159" i="167"/>
  <c r="AB172" i="167"/>
  <c r="AB170" i="167"/>
  <c r="AB180" i="167"/>
  <c r="AB208" i="167"/>
  <c r="AB164" i="167"/>
  <c r="AB206" i="167"/>
  <c r="AB194" i="167"/>
  <c r="AB182" i="167"/>
  <c r="AB176" i="167"/>
  <c r="AB174" i="167"/>
  <c r="AB168" i="167"/>
  <c r="AB160" i="167"/>
  <c r="AB204" i="167"/>
  <c r="AB192" i="167"/>
  <c r="AB213" i="167"/>
  <c r="AB167" i="167"/>
  <c r="AB165" i="167"/>
  <c r="AB154" i="167"/>
  <c r="AB171" i="167"/>
  <c r="AB162" i="167"/>
  <c r="AB156" i="167"/>
  <c r="AB155" i="167"/>
  <c r="AB158" i="167"/>
  <c r="AB153" i="167"/>
  <c r="AB163" i="167"/>
  <c r="AC1" i="167"/>
  <c r="T16" i="164"/>
  <c r="AC151" i="167" l="1"/>
  <c r="AC94" i="167"/>
  <c r="AC9" i="167"/>
  <c r="AC21" i="167"/>
  <c r="AC33" i="167"/>
  <c r="AC4" i="167"/>
  <c r="AC16" i="167"/>
  <c r="AC28" i="167"/>
  <c r="AC11" i="167"/>
  <c r="AC23" i="167"/>
  <c r="AC35" i="167"/>
  <c r="AC6" i="167"/>
  <c r="AC18" i="167"/>
  <c r="AC30" i="167"/>
  <c r="AC13" i="167"/>
  <c r="AC25" i="167"/>
  <c r="AC8" i="167"/>
  <c r="AC20" i="167"/>
  <c r="AC32" i="167"/>
  <c r="AC15" i="167"/>
  <c r="AC27" i="167"/>
  <c r="AC10" i="167"/>
  <c r="AC22" i="167"/>
  <c r="AC34" i="167"/>
  <c r="AC5" i="167"/>
  <c r="AC17" i="167"/>
  <c r="AC29" i="167"/>
  <c r="AC36" i="167"/>
  <c r="AC48" i="167"/>
  <c r="AC60" i="167"/>
  <c r="AC19" i="167"/>
  <c r="AC43" i="167"/>
  <c r="AC55" i="167"/>
  <c r="AC38" i="167"/>
  <c r="AC50" i="167"/>
  <c r="AC24" i="167"/>
  <c r="AC45" i="167"/>
  <c r="AC57" i="167"/>
  <c r="AC7" i="167"/>
  <c r="AC40" i="167"/>
  <c r="AC52" i="167"/>
  <c r="AC12" i="167"/>
  <c r="AC42" i="167"/>
  <c r="AC54" i="167"/>
  <c r="AC59" i="167"/>
  <c r="AC61" i="167"/>
  <c r="AC73" i="167"/>
  <c r="AC49" i="167"/>
  <c r="AC68" i="167"/>
  <c r="AC26" i="167"/>
  <c r="AC56" i="167"/>
  <c r="AC63" i="167"/>
  <c r="AC75" i="167"/>
  <c r="AC39" i="167"/>
  <c r="AC70" i="167"/>
  <c r="AC47" i="167"/>
  <c r="AC67" i="167"/>
  <c r="AC44" i="167"/>
  <c r="AC69" i="167"/>
  <c r="AC51" i="167"/>
  <c r="AC64" i="167"/>
  <c r="AC76" i="167"/>
  <c r="AC41" i="167"/>
  <c r="AC77" i="167"/>
  <c r="AC88" i="167"/>
  <c r="AC58" i="167"/>
  <c r="AC65" i="167"/>
  <c r="AC83" i="167"/>
  <c r="AC96" i="167"/>
  <c r="AC78" i="167"/>
  <c r="AC90" i="167"/>
  <c r="AC66" i="167"/>
  <c r="AC85" i="167"/>
  <c r="AC82" i="167"/>
  <c r="AC95" i="167"/>
  <c r="AC72" i="167"/>
  <c r="AC84" i="167"/>
  <c r="AC97" i="167"/>
  <c r="AC37" i="167"/>
  <c r="AC79" i="167"/>
  <c r="AC91" i="167"/>
  <c r="AC86" i="167"/>
  <c r="AC101" i="167"/>
  <c r="AC113" i="167"/>
  <c r="AC87" i="167"/>
  <c r="AC108" i="167"/>
  <c r="AC74" i="167"/>
  <c r="AC103" i="167"/>
  <c r="AC115" i="167"/>
  <c r="AC89" i="167"/>
  <c r="AC98" i="167"/>
  <c r="AC110" i="167"/>
  <c r="AC105" i="167"/>
  <c r="AC53" i="167"/>
  <c r="AC80" i="167"/>
  <c r="AC107" i="167"/>
  <c r="AC14" i="167"/>
  <c r="AC81" i="167"/>
  <c r="AC109" i="167"/>
  <c r="AC121" i="167"/>
  <c r="AC133" i="167"/>
  <c r="AC128" i="167"/>
  <c r="AC99" i="167"/>
  <c r="AC116" i="167"/>
  <c r="AC123" i="167"/>
  <c r="AC135" i="167"/>
  <c r="AC106" i="167"/>
  <c r="AC118" i="167"/>
  <c r="AC130" i="167"/>
  <c r="AC100" i="167"/>
  <c r="AC125" i="167"/>
  <c r="AC127" i="167"/>
  <c r="AC62" i="167"/>
  <c r="AC71" i="167"/>
  <c r="AC111" i="167"/>
  <c r="AC117" i="167"/>
  <c r="AC129" i="167"/>
  <c r="AC46" i="167"/>
  <c r="AC124" i="167"/>
  <c r="AC31" i="167"/>
  <c r="AC93" i="167"/>
  <c r="AC140" i="167"/>
  <c r="AC149" i="167"/>
  <c r="AC144" i="167"/>
  <c r="AC131" i="167"/>
  <c r="AC141" i="167"/>
  <c r="AC148" i="167"/>
  <c r="AC132" i="167"/>
  <c r="AC146" i="167"/>
  <c r="AC134" i="167"/>
  <c r="AC138" i="167"/>
  <c r="AC104" i="167"/>
  <c r="AC122" i="167"/>
  <c r="AC143" i="167"/>
  <c r="AC102" i="167"/>
  <c r="AC150" i="167"/>
  <c r="AC114" i="167"/>
  <c r="AC120" i="167"/>
  <c r="AC136" i="167"/>
  <c r="AC139" i="167"/>
  <c r="AC145" i="167"/>
  <c r="AC3" i="167"/>
  <c r="AC137" i="167"/>
  <c r="AC142" i="167"/>
  <c r="AC147" i="167"/>
  <c r="AC126" i="167"/>
  <c r="AC92" i="167"/>
  <c r="AC112" i="167"/>
  <c r="AC119" i="167"/>
  <c r="AC214" i="167"/>
  <c r="AC207" i="167"/>
  <c r="AC195" i="167"/>
  <c r="AC205" i="167"/>
  <c r="AC193" i="167"/>
  <c r="AC206" i="167"/>
  <c r="AC186" i="167"/>
  <c r="AC212" i="167"/>
  <c r="AC211" i="167"/>
  <c r="AC210" i="167"/>
  <c r="AC204" i="167"/>
  <c r="AC184" i="167"/>
  <c r="AC180" i="167"/>
  <c r="AC208" i="167"/>
  <c r="AC190" i="167"/>
  <c r="AC185" i="167"/>
  <c r="AC179" i="167"/>
  <c r="AC215" i="167"/>
  <c r="AC182" i="167"/>
  <c r="AC166" i="167"/>
  <c r="AC154" i="167"/>
  <c r="AC209" i="167"/>
  <c r="AC175" i="167"/>
  <c r="AC162" i="167"/>
  <c r="AC181" i="167"/>
  <c r="AC173" i="167"/>
  <c r="AC169" i="167"/>
  <c r="AC196" i="167"/>
  <c r="AC191" i="167"/>
  <c r="AC189" i="167"/>
  <c r="AC178" i="167"/>
  <c r="AC203" i="167"/>
  <c r="AC201" i="167"/>
  <c r="AC200" i="167"/>
  <c r="AC199" i="167"/>
  <c r="AC198" i="167"/>
  <c r="AC197" i="167"/>
  <c r="AC194" i="167"/>
  <c r="AC192" i="167"/>
  <c r="AC188" i="167"/>
  <c r="AC187" i="167"/>
  <c r="AC183" i="167"/>
  <c r="AC165" i="167"/>
  <c r="AC163" i="167"/>
  <c r="AC158" i="167"/>
  <c r="AC153" i="167"/>
  <c r="AC202" i="167"/>
  <c r="AC171" i="167"/>
  <c r="AC216" i="167"/>
  <c r="AC176" i="167"/>
  <c r="AC174" i="167"/>
  <c r="AC168" i="167"/>
  <c r="AC160" i="167"/>
  <c r="AC177" i="167"/>
  <c r="AC170" i="167"/>
  <c r="AC156" i="167"/>
  <c r="AC213" i="167"/>
  <c r="AC167" i="167"/>
  <c r="AC172" i="167"/>
  <c r="AC159" i="167"/>
  <c r="AC161" i="167"/>
  <c r="AC157" i="167"/>
  <c r="AC152" i="167"/>
  <c r="AC155" i="167"/>
  <c r="AC164" i="167"/>
  <c r="AD1" i="167"/>
  <c r="T15" i="164"/>
  <c r="AD94" i="167" l="1"/>
  <c r="AD151" i="167"/>
  <c r="AD14" i="167"/>
  <c r="AD26" i="167"/>
  <c r="AD9" i="167"/>
  <c r="AD21" i="167"/>
  <c r="AD33" i="167"/>
  <c r="AD4" i="167"/>
  <c r="AD16" i="167"/>
  <c r="AD28" i="167"/>
  <c r="AD11" i="167"/>
  <c r="AD23" i="167"/>
  <c r="AD35" i="167"/>
  <c r="AD6" i="167"/>
  <c r="AD18" i="167"/>
  <c r="AD30" i="167"/>
  <c r="AD13" i="167"/>
  <c r="AD25" i="167"/>
  <c r="AD8" i="167"/>
  <c r="AD20" i="167"/>
  <c r="AD32" i="167"/>
  <c r="AD15" i="167"/>
  <c r="AD27" i="167"/>
  <c r="AD10" i="167"/>
  <c r="AD22" i="167"/>
  <c r="AD34" i="167"/>
  <c r="AD5" i="167"/>
  <c r="AD41" i="167"/>
  <c r="AD53" i="167"/>
  <c r="AD36" i="167"/>
  <c r="AD48" i="167"/>
  <c r="AD60" i="167"/>
  <c r="AD19" i="167"/>
  <c r="AD43" i="167"/>
  <c r="AD55" i="167"/>
  <c r="AD38" i="167"/>
  <c r="AD50" i="167"/>
  <c r="AD24" i="167"/>
  <c r="AD45" i="167"/>
  <c r="AD57" i="167"/>
  <c r="AD29" i="167"/>
  <c r="AD47" i="167"/>
  <c r="AD59" i="167"/>
  <c r="AD7" i="167"/>
  <c r="AD52" i="167"/>
  <c r="AD66" i="167"/>
  <c r="AD42" i="167"/>
  <c r="AD61" i="167"/>
  <c r="AD73" i="167"/>
  <c r="AD49" i="167"/>
  <c r="AD68" i="167"/>
  <c r="AD17" i="167"/>
  <c r="AD56" i="167"/>
  <c r="AD63" i="167"/>
  <c r="AD75" i="167"/>
  <c r="AD40" i="167"/>
  <c r="AD72" i="167"/>
  <c r="AD37" i="167"/>
  <c r="AD62" i="167"/>
  <c r="AD74" i="167"/>
  <c r="AD44" i="167"/>
  <c r="AD69" i="167"/>
  <c r="AD12" i="167"/>
  <c r="AD76" i="167"/>
  <c r="AD81" i="167"/>
  <c r="AD93" i="167"/>
  <c r="AD64" i="167"/>
  <c r="AD77" i="167"/>
  <c r="AD88" i="167"/>
  <c r="AD58" i="167"/>
  <c r="AD65" i="167"/>
  <c r="AD83" i="167"/>
  <c r="AD96" i="167"/>
  <c r="AD78" i="167"/>
  <c r="AD90" i="167"/>
  <c r="AD70" i="167"/>
  <c r="AD87" i="167"/>
  <c r="AD31" i="167"/>
  <c r="AD46" i="167"/>
  <c r="AD71" i="167"/>
  <c r="AD89" i="167"/>
  <c r="AD84" i="167"/>
  <c r="AD97" i="167"/>
  <c r="AD51" i="167"/>
  <c r="AD67" i="167"/>
  <c r="AD106" i="167"/>
  <c r="AD86" i="167"/>
  <c r="AD101" i="167"/>
  <c r="AD113" i="167"/>
  <c r="AD108" i="167"/>
  <c r="AD103" i="167"/>
  <c r="AD115" i="167"/>
  <c r="AD39" i="167"/>
  <c r="AD98" i="167"/>
  <c r="AD110" i="167"/>
  <c r="AD79" i="167"/>
  <c r="AD92" i="167"/>
  <c r="AD100" i="167"/>
  <c r="AD112" i="167"/>
  <c r="AD95" i="167"/>
  <c r="AD102" i="167"/>
  <c r="AD126" i="167"/>
  <c r="AD138" i="167"/>
  <c r="AD109" i="167"/>
  <c r="AD121" i="167"/>
  <c r="AD133" i="167"/>
  <c r="AD128" i="167"/>
  <c r="AD85" i="167"/>
  <c r="AD99" i="167"/>
  <c r="AD116" i="167"/>
  <c r="AD123" i="167"/>
  <c r="AD91" i="167"/>
  <c r="AD118" i="167"/>
  <c r="AD130" i="167"/>
  <c r="AD114" i="167"/>
  <c r="AD120" i="167"/>
  <c r="AD132" i="167"/>
  <c r="AD104" i="167"/>
  <c r="AD122" i="167"/>
  <c r="AD111" i="167"/>
  <c r="AD117" i="167"/>
  <c r="AD129" i="167"/>
  <c r="AD125" i="167"/>
  <c r="AD137" i="167"/>
  <c r="AD142" i="167"/>
  <c r="AD82" i="167"/>
  <c r="AD140" i="167"/>
  <c r="AD149" i="167"/>
  <c r="AD124" i="167"/>
  <c r="AD144" i="167"/>
  <c r="AD131" i="167"/>
  <c r="AD146" i="167"/>
  <c r="AD134" i="167"/>
  <c r="AD135" i="167"/>
  <c r="AD141" i="167"/>
  <c r="AD148" i="167"/>
  <c r="AD143" i="167"/>
  <c r="AD80" i="167"/>
  <c r="AD107" i="167"/>
  <c r="AD150" i="167"/>
  <c r="AD54" i="167"/>
  <c r="AD139" i="167"/>
  <c r="AD136" i="167"/>
  <c r="AD3" i="167"/>
  <c r="AD127" i="167"/>
  <c r="AD147" i="167"/>
  <c r="AD105" i="167"/>
  <c r="AD145" i="167"/>
  <c r="AD119" i="167"/>
  <c r="AD212" i="167"/>
  <c r="AD200" i="167"/>
  <c r="AD188" i="167"/>
  <c r="AD210" i="167"/>
  <c r="AD198" i="167"/>
  <c r="AD186" i="167"/>
  <c r="AD199" i="167"/>
  <c r="AD213" i="167"/>
  <c r="AD203" i="167"/>
  <c r="AD197" i="167"/>
  <c r="AD189" i="167"/>
  <c r="AD184" i="167"/>
  <c r="AD182" i="167"/>
  <c r="AD175" i="167"/>
  <c r="AD205" i="167"/>
  <c r="AD195" i="167"/>
  <c r="AD180" i="167"/>
  <c r="AD177" i="167"/>
  <c r="AD171" i="167"/>
  <c r="AD159" i="167"/>
  <c r="AD214" i="167"/>
  <c r="AD211" i="167"/>
  <c r="AD207" i="167"/>
  <c r="AD179" i="167"/>
  <c r="AD167" i="167"/>
  <c r="AD155" i="167"/>
  <c r="AD215" i="167"/>
  <c r="AD201" i="167"/>
  <c r="AD194" i="167"/>
  <c r="AD192" i="167"/>
  <c r="AD190" i="167"/>
  <c r="AD187" i="167"/>
  <c r="AD185" i="167"/>
  <c r="AD183" i="167"/>
  <c r="AD165" i="167"/>
  <c r="AD209" i="167"/>
  <c r="AD208" i="167"/>
  <c r="AD206" i="167"/>
  <c r="AD204" i="167"/>
  <c r="AD202" i="167"/>
  <c r="AD193" i="167"/>
  <c r="AD158" i="167"/>
  <c r="AD152" i="167"/>
  <c r="AD181" i="167"/>
  <c r="AD173" i="167"/>
  <c r="AD169" i="167"/>
  <c r="AD156" i="167"/>
  <c r="AD196" i="167"/>
  <c r="AD163" i="167"/>
  <c r="AD216" i="167"/>
  <c r="AD191" i="167"/>
  <c r="AD176" i="167"/>
  <c r="AD174" i="167"/>
  <c r="AD168" i="167"/>
  <c r="AD166" i="167"/>
  <c r="AD160" i="167"/>
  <c r="AD170" i="167"/>
  <c r="AD161" i="167"/>
  <c r="AD178" i="167"/>
  <c r="AD172" i="167"/>
  <c r="AD153" i="167"/>
  <c r="AD157" i="167"/>
  <c r="AD162" i="167"/>
  <c r="AD154" i="167"/>
  <c r="AD164" i="167"/>
  <c r="AE1" i="167"/>
  <c r="T14" i="164"/>
  <c r="T13" i="164"/>
  <c r="T21" i="164"/>
  <c r="AE151" i="167" l="1"/>
  <c r="AE94" i="167"/>
  <c r="AE7" i="167"/>
  <c r="AE19" i="167"/>
  <c r="AE31" i="167"/>
  <c r="AE14" i="167"/>
  <c r="AE26" i="167"/>
  <c r="AE9" i="167"/>
  <c r="AE21" i="167"/>
  <c r="AE33" i="167"/>
  <c r="AE4" i="167"/>
  <c r="AE16" i="167"/>
  <c r="AE28" i="167"/>
  <c r="AE11" i="167"/>
  <c r="AE23" i="167"/>
  <c r="AE35" i="167"/>
  <c r="AE6" i="167"/>
  <c r="AE18" i="167"/>
  <c r="AE30" i="167"/>
  <c r="AE13" i="167"/>
  <c r="AE25" i="167"/>
  <c r="AE8" i="167"/>
  <c r="AE20" i="167"/>
  <c r="AE32" i="167"/>
  <c r="AE15" i="167"/>
  <c r="AE27" i="167"/>
  <c r="AE22" i="167"/>
  <c r="AE46" i="167"/>
  <c r="AE58" i="167"/>
  <c r="AE5" i="167"/>
  <c r="AE41" i="167"/>
  <c r="AE53" i="167"/>
  <c r="AE36" i="167"/>
  <c r="AE48" i="167"/>
  <c r="AE60" i="167"/>
  <c r="AE10" i="167"/>
  <c r="AE43" i="167"/>
  <c r="AE55" i="167"/>
  <c r="AE38" i="167"/>
  <c r="AE50" i="167"/>
  <c r="AE40" i="167"/>
  <c r="AE52" i="167"/>
  <c r="AE45" i="167"/>
  <c r="AE71" i="167"/>
  <c r="AE29" i="167"/>
  <c r="AE59" i="167"/>
  <c r="AE66" i="167"/>
  <c r="AE42" i="167"/>
  <c r="AE61" i="167"/>
  <c r="AE73" i="167"/>
  <c r="AE49" i="167"/>
  <c r="AE68" i="167"/>
  <c r="AE24" i="167"/>
  <c r="AE57" i="167"/>
  <c r="AE65" i="167"/>
  <c r="AE77" i="167"/>
  <c r="AE12" i="167"/>
  <c r="AE54" i="167"/>
  <c r="AE67" i="167"/>
  <c r="AE34" i="167"/>
  <c r="AE37" i="167"/>
  <c r="AE62" i="167"/>
  <c r="AE74" i="167"/>
  <c r="AE56" i="167"/>
  <c r="AE63" i="167"/>
  <c r="AE86" i="167"/>
  <c r="AE76" i="167"/>
  <c r="AE81" i="167"/>
  <c r="AE93" i="167"/>
  <c r="AE47" i="167"/>
  <c r="AE64" i="167"/>
  <c r="AE88" i="167"/>
  <c r="AE83" i="167"/>
  <c r="AE96" i="167"/>
  <c r="AE69" i="167"/>
  <c r="AE80" i="167"/>
  <c r="AE92" i="167"/>
  <c r="AE17" i="167"/>
  <c r="AE82" i="167"/>
  <c r="AE95" i="167"/>
  <c r="AE72" i="167"/>
  <c r="AE89" i="167"/>
  <c r="AE85" i="167"/>
  <c r="AE99" i="167"/>
  <c r="AE111" i="167"/>
  <c r="AE51" i="167"/>
  <c r="AE106" i="167"/>
  <c r="AE87" i="167"/>
  <c r="AE101" i="167"/>
  <c r="AE113" i="167"/>
  <c r="AE108" i="167"/>
  <c r="AE90" i="167"/>
  <c r="AE103" i="167"/>
  <c r="AE115" i="167"/>
  <c r="AE44" i="167"/>
  <c r="AE91" i="167"/>
  <c r="AE105" i="167"/>
  <c r="AE119" i="167"/>
  <c r="AE131" i="167"/>
  <c r="AE102" i="167"/>
  <c r="AE126" i="167"/>
  <c r="AE97" i="167"/>
  <c r="AE109" i="167"/>
  <c r="AE121" i="167"/>
  <c r="AE133" i="167"/>
  <c r="AE128" i="167"/>
  <c r="AE70" i="167"/>
  <c r="AE78" i="167"/>
  <c r="AE110" i="167"/>
  <c r="AE116" i="167"/>
  <c r="AE123" i="167"/>
  <c r="AE75" i="167"/>
  <c r="AE107" i="167"/>
  <c r="AE125" i="167"/>
  <c r="AE127" i="167"/>
  <c r="AE84" i="167"/>
  <c r="AE104" i="167"/>
  <c r="AE122" i="167"/>
  <c r="AE118" i="167"/>
  <c r="AE147" i="167"/>
  <c r="AE137" i="167"/>
  <c r="AE142" i="167"/>
  <c r="AE39" i="167"/>
  <c r="AE117" i="167"/>
  <c r="AE140" i="167"/>
  <c r="AE149" i="167"/>
  <c r="AE124" i="167"/>
  <c r="AE144" i="167"/>
  <c r="AE130" i="167"/>
  <c r="AE132" i="167"/>
  <c r="AE138" i="167"/>
  <c r="AE146" i="167"/>
  <c r="AE129" i="167"/>
  <c r="AE134" i="167"/>
  <c r="AE79" i="167"/>
  <c r="AE135" i="167"/>
  <c r="AE141" i="167"/>
  <c r="AE148" i="167"/>
  <c r="AE100" i="167"/>
  <c r="AE143" i="167"/>
  <c r="AE145" i="167"/>
  <c r="AE3" i="167"/>
  <c r="AE98" i="167"/>
  <c r="AE139" i="167"/>
  <c r="AE150" i="167"/>
  <c r="AE136" i="167"/>
  <c r="AE114" i="167"/>
  <c r="AE120" i="167"/>
  <c r="AE112" i="167"/>
  <c r="AE212" i="167"/>
  <c r="AE205" i="167"/>
  <c r="AE193" i="167"/>
  <c r="AE215" i="167"/>
  <c r="AE203" i="167"/>
  <c r="AE191" i="167"/>
  <c r="AE192" i="167"/>
  <c r="AE182" i="167"/>
  <c r="AE196" i="167"/>
  <c r="AE190" i="167"/>
  <c r="AE178" i="167"/>
  <c r="AE194" i="167"/>
  <c r="AE213" i="167"/>
  <c r="AE210" i="167"/>
  <c r="AE200" i="167"/>
  <c r="AE176" i="167"/>
  <c r="AE177" i="167"/>
  <c r="AE164" i="167"/>
  <c r="AE174" i="167"/>
  <c r="AE160" i="167"/>
  <c r="AE180" i="167"/>
  <c r="AE168" i="167"/>
  <c r="AE209" i="167"/>
  <c r="AE208" i="167"/>
  <c r="AE206" i="167"/>
  <c r="AE204" i="167"/>
  <c r="AE202" i="167"/>
  <c r="AE199" i="167"/>
  <c r="AE198" i="167"/>
  <c r="AE197" i="167"/>
  <c r="AE195" i="167"/>
  <c r="AE188" i="167"/>
  <c r="AE211" i="167"/>
  <c r="AE207" i="167"/>
  <c r="AE175" i="167"/>
  <c r="AE171" i="167"/>
  <c r="AE214" i="167"/>
  <c r="AE162" i="167"/>
  <c r="AE187" i="167"/>
  <c r="AE184" i="167"/>
  <c r="AE216" i="167"/>
  <c r="AE181" i="167"/>
  <c r="AE166" i="167"/>
  <c r="AE185" i="167"/>
  <c r="AE170" i="167"/>
  <c r="AE161" i="167"/>
  <c r="AE156" i="167"/>
  <c r="AE173" i="167"/>
  <c r="AE201" i="167"/>
  <c r="AE189" i="167"/>
  <c r="AE186" i="167"/>
  <c r="AE183" i="167"/>
  <c r="AE165" i="167"/>
  <c r="AE179" i="167"/>
  <c r="AE169" i="167"/>
  <c r="AE163" i="167"/>
  <c r="AE158" i="167"/>
  <c r="AE152" i="167"/>
  <c r="AE167" i="167"/>
  <c r="AE153" i="167"/>
  <c r="AE172" i="167"/>
  <c r="AE154" i="167"/>
  <c r="AE157" i="167"/>
  <c r="AE155" i="167"/>
  <c r="AE159" i="167"/>
  <c r="AF1" i="167"/>
  <c r="T19" i="164"/>
  <c r="T18" i="164"/>
  <c r="AF151" i="167" l="1"/>
  <c r="AF94" i="167"/>
  <c r="AF12" i="167"/>
  <c r="AF24" i="167"/>
  <c r="AF7" i="167"/>
  <c r="AF19" i="167"/>
  <c r="AF31" i="167"/>
  <c r="AF14" i="167"/>
  <c r="AF26" i="167"/>
  <c r="AF9" i="167"/>
  <c r="AF21" i="167"/>
  <c r="AF33" i="167"/>
  <c r="AF4" i="167"/>
  <c r="AF16" i="167"/>
  <c r="AF28" i="167"/>
  <c r="AF11" i="167"/>
  <c r="AF23" i="167"/>
  <c r="AF35" i="167"/>
  <c r="AF6" i="167"/>
  <c r="AF18" i="167"/>
  <c r="AF30" i="167"/>
  <c r="AF13" i="167"/>
  <c r="AF25" i="167"/>
  <c r="AF8" i="167"/>
  <c r="AF20" i="167"/>
  <c r="AF32" i="167"/>
  <c r="AF39" i="167"/>
  <c r="AF51" i="167"/>
  <c r="AF22" i="167"/>
  <c r="AF46" i="167"/>
  <c r="AF58" i="167"/>
  <c r="AF5" i="167"/>
  <c r="AF41" i="167"/>
  <c r="AF53" i="167"/>
  <c r="AF27" i="167"/>
  <c r="AF36" i="167"/>
  <c r="AF48" i="167"/>
  <c r="AF60" i="167"/>
  <c r="AF10" i="167"/>
  <c r="AF43" i="167"/>
  <c r="AF55" i="167"/>
  <c r="AF15" i="167"/>
  <c r="AF45" i="167"/>
  <c r="AF57" i="167"/>
  <c r="AF38" i="167"/>
  <c r="AF64" i="167"/>
  <c r="AF76" i="167"/>
  <c r="AF52" i="167"/>
  <c r="AF71" i="167"/>
  <c r="AF29" i="167"/>
  <c r="AF59" i="167"/>
  <c r="AF66" i="167"/>
  <c r="AF42" i="167"/>
  <c r="AF61" i="167"/>
  <c r="AF73" i="167"/>
  <c r="AF50" i="167"/>
  <c r="AF70" i="167"/>
  <c r="AF47" i="167"/>
  <c r="AF72" i="167"/>
  <c r="AF54" i="167"/>
  <c r="AF67" i="167"/>
  <c r="AF34" i="167"/>
  <c r="AF62" i="167"/>
  <c r="AF75" i="167"/>
  <c r="AF79" i="167"/>
  <c r="AF91" i="167"/>
  <c r="AF56" i="167"/>
  <c r="AF63" i="167"/>
  <c r="AF86" i="167"/>
  <c r="AF77" i="167"/>
  <c r="AF81" i="167"/>
  <c r="AF93" i="167"/>
  <c r="AF49" i="167"/>
  <c r="AF65" i="167"/>
  <c r="AF88" i="167"/>
  <c r="AF85" i="167"/>
  <c r="AF44" i="167"/>
  <c r="AF87" i="167"/>
  <c r="AF17" i="167"/>
  <c r="AF82" i="167"/>
  <c r="AF95" i="167"/>
  <c r="AF69" i="167"/>
  <c r="AF84" i="167"/>
  <c r="AF104" i="167"/>
  <c r="AF116" i="167"/>
  <c r="AF99" i="167"/>
  <c r="AF111" i="167"/>
  <c r="AF106" i="167"/>
  <c r="AF74" i="167"/>
  <c r="AF101" i="167"/>
  <c r="AF113" i="167"/>
  <c r="AF89" i="167"/>
  <c r="AF108" i="167"/>
  <c r="AF68" i="167"/>
  <c r="AF78" i="167"/>
  <c r="AF98" i="167"/>
  <c r="AF110" i="167"/>
  <c r="AF112" i="167"/>
  <c r="AF124" i="167"/>
  <c r="AF136" i="167"/>
  <c r="AF119" i="167"/>
  <c r="AF131" i="167"/>
  <c r="AF83" i="167"/>
  <c r="AF102" i="167"/>
  <c r="AF126" i="167"/>
  <c r="AF97" i="167"/>
  <c r="AF109" i="167"/>
  <c r="AF121" i="167"/>
  <c r="AF133" i="167"/>
  <c r="AF103" i="167"/>
  <c r="AF128" i="167"/>
  <c r="AF80" i="167"/>
  <c r="AF100" i="167"/>
  <c r="AF118" i="167"/>
  <c r="AF130" i="167"/>
  <c r="AF114" i="167"/>
  <c r="AF120" i="167"/>
  <c r="AF37" i="167"/>
  <c r="AF127" i="167"/>
  <c r="AF125" i="167"/>
  <c r="AF147" i="167"/>
  <c r="AF115" i="167"/>
  <c r="AF137" i="167"/>
  <c r="AF142" i="167"/>
  <c r="AF40" i="167"/>
  <c r="AF117" i="167"/>
  <c r="AF140" i="167"/>
  <c r="AF149" i="167"/>
  <c r="AF123" i="167"/>
  <c r="AF144" i="167"/>
  <c r="AF96" i="167"/>
  <c r="AF132" i="167"/>
  <c r="AF90" i="167"/>
  <c r="AF122" i="167"/>
  <c r="AF138" i="167"/>
  <c r="AF146" i="167"/>
  <c r="AF129" i="167"/>
  <c r="AF134" i="167"/>
  <c r="AF135" i="167"/>
  <c r="AF141" i="167"/>
  <c r="AF148" i="167"/>
  <c r="AF92" i="167"/>
  <c r="AF105" i="167"/>
  <c r="AF107" i="167"/>
  <c r="AF145" i="167"/>
  <c r="AF3" i="167"/>
  <c r="AF139" i="167"/>
  <c r="AF150" i="167"/>
  <c r="AF143" i="167"/>
  <c r="AF210" i="167"/>
  <c r="AF198" i="167"/>
  <c r="AF186" i="167"/>
  <c r="AF208" i="167"/>
  <c r="AF196" i="167"/>
  <c r="AF184" i="167"/>
  <c r="AF205" i="167"/>
  <c r="AF185" i="167"/>
  <c r="AF215" i="167"/>
  <c r="AF214" i="167"/>
  <c r="AF209" i="167"/>
  <c r="AF189" i="167"/>
  <c r="AF183" i="167"/>
  <c r="AF212" i="167"/>
  <c r="AF204" i="167"/>
  <c r="AF199" i="167"/>
  <c r="AF181" i="167"/>
  <c r="AF173" i="167"/>
  <c r="AF201" i="167"/>
  <c r="AF191" i="167"/>
  <c r="AF179" i="167"/>
  <c r="AF180" i="167"/>
  <c r="AF182" i="167"/>
  <c r="AF187" i="167"/>
  <c r="AF178" i="167"/>
  <c r="AF176" i="167"/>
  <c r="AF169" i="167"/>
  <c r="AF157" i="167"/>
  <c r="AF152" i="167"/>
  <c r="AF165" i="167"/>
  <c r="AF153" i="167"/>
  <c r="AF174" i="167"/>
  <c r="AF211" i="167"/>
  <c r="AF207" i="167"/>
  <c r="AF203" i="167"/>
  <c r="AF200" i="167"/>
  <c r="AF193" i="167"/>
  <c r="AF175" i="167"/>
  <c r="AF171" i="167"/>
  <c r="AF172" i="167"/>
  <c r="AF170" i="167"/>
  <c r="AF164" i="167"/>
  <c r="AF168" i="167"/>
  <c r="AF155" i="167"/>
  <c r="AF216" i="167"/>
  <c r="AF202" i="167"/>
  <c r="AF190" i="167"/>
  <c r="AF154" i="167"/>
  <c r="AF206" i="167"/>
  <c r="AF197" i="167"/>
  <c r="AF194" i="167"/>
  <c r="AF188" i="167"/>
  <c r="AF177" i="167"/>
  <c r="AF161" i="167"/>
  <c r="AF195" i="167"/>
  <c r="AF192" i="167"/>
  <c r="AF167" i="167"/>
  <c r="AF213" i="167"/>
  <c r="AF160" i="167"/>
  <c r="AF162" i="167"/>
  <c r="AF156" i="167"/>
  <c r="AF163" i="167"/>
  <c r="AF158" i="167"/>
  <c r="AF166" i="167"/>
  <c r="AF159" i="167"/>
  <c r="AG1" i="167"/>
  <c r="T4" i="164"/>
  <c r="T5" i="164"/>
  <c r="T6" i="164"/>
  <c r="T7" i="164"/>
  <c r="T8" i="164"/>
  <c r="T9" i="164"/>
  <c r="T10" i="164"/>
  <c r="T22" i="164"/>
  <c r="T23" i="164"/>
  <c r="T11" i="164"/>
  <c r="T12" i="164"/>
  <c r="T17" i="164"/>
  <c r="AG151" i="167" l="1"/>
  <c r="AG94" i="167"/>
  <c r="AG5" i="167"/>
  <c r="AG17" i="167"/>
  <c r="AG29" i="167"/>
  <c r="AG12" i="167"/>
  <c r="AG24" i="167"/>
  <c r="AG7" i="167"/>
  <c r="AG19" i="167"/>
  <c r="AG31" i="167"/>
  <c r="AG14" i="167"/>
  <c r="AG26" i="167"/>
  <c r="AG9" i="167"/>
  <c r="AG21" i="167"/>
  <c r="AG33" i="167"/>
  <c r="AG4" i="167"/>
  <c r="AG16" i="167"/>
  <c r="AG28" i="167"/>
  <c r="AG11" i="167"/>
  <c r="AG23" i="167"/>
  <c r="AG35" i="167"/>
  <c r="AG6" i="167"/>
  <c r="AG18" i="167"/>
  <c r="AG30" i="167"/>
  <c r="AG13" i="167"/>
  <c r="AG25" i="167"/>
  <c r="AG8" i="167"/>
  <c r="AG44" i="167"/>
  <c r="AG56" i="167"/>
  <c r="AG39" i="167"/>
  <c r="AG51" i="167"/>
  <c r="AG22" i="167"/>
  <c r="AG46" i="167"/>
  <c r="AG58" i="167"/>
  <c r="AG41" i="167"/>
  <c r="AG53" i="167"/>
  <c r="AG27" i="167"/>
  <c r="AG36" i="167"/>
  <c r="AG48" i="167"/>
  <c r="AG60" i="167"/>
  <c r="AG32" i="167"/>
  <c r="AG38" i="167"/>
  <c r="AG50" i="167"/>
  <c r="AG10" i="167"/>
  <c r="AG55" i="167"/>
  <c r="AG69" i="167"/>
  <c r="AG45" i="167"/>
  <c r="AG64" i="167"/>
  <c r="AG76" i="167"/>
  <c r="AG52" i="167"/>
  <c r="AG71" i="167"/>
  <c r="AG20" i="167"/>
  <c r="AG59" i="167"/>
  <c r="AG66" i="167"/>
  <c r="AG43" i="167"/>
  <c r="AG63" i="167"/>
  <c r="AG75" i="167"/>
  <c r="AG40" i="167"/>
  <c r="AG65" i="167"/>
  <c r="AG77" i="167"/>
  <c r="AG47" i="167"/>
  <c r="AG72" i="167"/>
  <c r="AG54" i="167"/>
  <c r="AG74" i="167"/>
  <c r="AG84" i="167"/>
  <c r="AG97" i="167"/>
  <c r="AG34" i="167"/>
  <c r="AG62" i="167"/>
  <c r="AG79" i="167"/>
  <c r="AG91" i="167"/>
  <c r="AG86" i="167"/>
  <c r="AG81" i="167"/>
  <c r="AG93" i="167"/>
  <c r="AG42" i="167"/>
  <c r="AG68" i="167"/>
  <c r="AG78" i="167"/>
  <c r="AG90" i="167"/>
  <c r="AG70" i="167"/>
  <c r="AG80" i="167"/>
  <c r="AG92" i="167"/>
  <c r="AG87" i="167"/>
  <c r="AG37" i="167"/>
  <c r="AG109" i="167"/>
  <c r="AG67" i="167"/>
  <c r="AG85" i="167"/>
  <c r="AG104" i="167"/>
  <c r="AG116" i="167"/>
  <c r="AG99" i="167"/>
  <c r="AG111" i="167"/>
  <c r="AG88" i="167"/>
  <c r="AG106" i="167"/>
  <c r="AG101" i="167"/>
  <c r="AG113" i="167"/>
  <c r="AG15" i="167"/>
  <c r="AG103" i="167"/>
  <c r="AG115" i="167"/>
  <c r="AG105" i="167"/>
  <c r="AG117" i="167"/>
  <c r="AG129" i="167"/>
  <c r="AG141" i="167"/>
  <c r="AG73" i="167"/>
  <c r="AG95" i="167"/>
  <c r="AG112" i="167"/>
  <c r="AG124" i="167"/>
  <c r="AG119" i="167"/>
  <c r="AG131" i="167"/>
  <c r="AG83" i="167"/>
  <c r="AG102" i="167"/>
  <c r="AG126" i="167"/>
  <c r="AG61" i="167"/>
  <c r="AG89" i="167"/>
  <c r="AG121" i="167"/>
  <c r="AG123" i="167"/>
  <c r="AG82" i="167"/>
  <c r="AG96" i="167"/>
  <c r="AG107" i="167"/>
  <c r="AG125" i="167"/>
  <c r="AG114" i="167"/>
  <c r="AG120" i="167"/>
  <c r="AG132" i="167"/>
  <c r="AG110" i="167"/>
  <c r="AG139" i="167"/>
  <c r="AG145" i="167"/>
  <c r="AG3" i="167"/>
  <c r="AG118" i="167"/>
  <c r="AG130" i="167"/>
  <c r="AG108" i="167"/>
  <c r="AG147" i="167"/>
  <c r="AG144" i="167"/>
  <c r="AG137" i="167"/>
  <c r="AG142" i="167"/>
  <c r="AG140" i="167"/>
  <c r="AG149" i="167"/>
  <c r="AG49" i="167"/>
  <c r="AG122" i="167"/>
  <c r="AG138" i="167"/>
  <c r="AG146" i="167"/>
  <c r="AG128" i="167"/>
  <c r="AG133" i="167"/>
  <c r="AG134" i="167"/>
  <c r="AG57" i="167"/>
  <c r="AG98" i="167"/>
  <c r="AG100" i="167"/>
  <c r="AG148" i="167"/>
  <c r="AG127" i="167"/>
  <c r="AG150" i="167"/>
  <c r="AG135" i="167"/>
  <c r="AG143" i="167"/>
  <c r="AG136" i="167"/>
  <c r="AG215" i="167"/>
  <c r="AG203" i="167"/>
  <c r="AG191" i="167"/>
  <c r="AG213" i="167"/>
  <c r="AG201" i="167"/>
  <c r="AG189" i="167"/>
  <c r="AG211" i="167"/>
  <c r="AG204" i="167"/>
  <c r="AG198" i="167"/>
  <c r="AG180" i="167"/>
  <c r="AG202" i="167"/>
  <c r="AG209" i="167"/>
  <c r="AG206" i="167"/>
  <c r="AG196" i="167"/>
  <c r="AG186" i="167"/>
  <c r="AG174" i="167"/>
  <c r="AG212" i="167"/>
  <c r="AG187" i="167"/>
  <c r="AG178" i="167"/>
  <c r="AG176" i="167"/>
  <c r="AG197" i="167"/>
  <c r="AG195" i="167"/>
  <c r="AG185" i="167"/>
  <c r="AG183" i="167"/>
  <c r="AG162" i="167"/>
  <c r="AG170" i="167"/>
  <c r="AG158" i="167"/>
  <c r="AG216" i="167"/>
  <c r="AG167" i="167"/>
  <c r="AG210" i="167"/>
  <c r="AG205" i="167"/>
  <c r="AG172" i="167"/>
  <c r="AG177" i="167"/>
  <c r="AG163" i="167"/>
  <c r="AG157" i="167"/>
  <c r="AG161" i="167"/>
  <c r="AG208" i="167"/>
  <c r="AG199" i="167"/>
  <c r="AG193" i="167"/>
  <c r="AG171" i="167"/>
  <c r="AG159" i="167"/>
  <c r="AG166" i="167"/>
  <c r="AG181" i="167"/>
  <c r="AG214" i="167"/>
  <c r="AG194" i="167"/>
  <c r="AG188" i="167"/>
  <c r="AG168" i="167"/>
  <c r="AG200" i="167"/>
  <c r="AG175" i="167"/>
  <c r="AG182" i="167"/>
  <c r="AG173" i="167"/>
  <c r="AG192" i="167"/>
  <c r="AG165" i="167"/>
  <c r="AG207" i="167"/>
  <c r="AG169" i="167"/>
  <c r="AG190" i="167"/>
  <c r="AG184" i="167"/>
  <c r="AG154" i="167"/>
  <c r="AG153" i="167"/>
  <c r="AG156" i="167"/>
  <c r="AG155" i="167"/>
  <c r="AG179" i="167"/>
  <c r="AG160" i="167"/>
  <c r="AG164" i="167"/>
  <c r="AG152" i="167"/>
  <c r="AH1" i="167"/>
  <c r="B76" i="162"/>
  <c r="AH151" i="167" l="1"/>
  <c r="AI151" i="167" s="1"/>
  <c r="AH94" i="167"/>
  <c r="AI94" i="167" s="1"/>
  <c r="AH10" i="167"/>
  <c r="AI10" i="167" s="1"/>
  <c r="AH22" i="167"/>
  <c r="AI22" i="167" s="1"/>
  <c r="AH34" i="167"/>
  <c r="AI34" i="167" s="1"/>
  <c r="AH5" i="167"/>
  <c r="AI5" i="167" s="1"/>
  <c r="AH17" i="167"/>
  <c r="AI17" i="167" s="1"/>
  <c r="AH29" i="167"/>
  <c r="AI29" i="167" s="1"/>
  <c r="AH12" i="167"/>
  <c r="AI12" i="167" s="1"/>
  <c r="AH24" i="167"/>
  <c r="AI24" i="167" s="1"/>
  <c r="AH7" i="167"/>
  <c r="AI7" i="167" s="1"/>
  <c r="AH19" i="167"/>
  <c r="AI19" i="167" s="1"/>
  <c r="AH31" i="167"/>
  <c r="AI31" i="167" s="1"/>
  <c r="AH14" i="167"/>
  <c r="AI14" i="167" s="1"/>
  <c r="AH26" i="167"/>
  <c r="AI26" i="167" s="1"/>
  <c r="AH9" i="167"/>
  <c r="AI9" i="167" s="1"/>
  <c r="AH21" i="167"/>
  <c r="AI21" i="167" s="1"/>
  <c r="AH33" i="167"/>
  <c r="AI33" i="167" s="1"/>
  <c r="AH4" i="167"/>
  <c r="AH16" i="167"/>
  <c r="AI16" i="167" s="1"/>
  <c r="AH28" i="167"/>
  <c r="AI28" i="167" s="1"/>
  <c r="AH11" i="167"/>
  <c r="AI11" i="167" s="1"/>
  <c r="AH23" i="167"/>
  <c r="AI23" i="167" s="1"/>
  <c r="AH35" i="167"/>
  <c r="AI35" i="167" s="1"/>
  <c r="AH6" i="167"/>
  <c r="AI6" i="167" s="1"/>
  <c r="AH18" i="167"/>
  <c r="AI18" i="167" s="1"/>
  <c r="AH30" i="167"/>
  <c r="AI30" i="167" s="1"/>
  <c r="AH25" i="167"/>
  <c r="AI25" i="167" s="1"/>
  <c r="AH37" i="167"/>
  <c r="AI37" i="167" s="1"/>
  <c r="AH49" i="167"/>
  <c r="AI49" i="167" s="1"/>
  <c r="AH8" i="167"/>
  <c r="AI8" i="167" s="1"/>
  <c r="AH44" i="167"/>
  <c r="AI44" i="167" s="1"/>
  <c r="AH56" i="167"/>
  <c r="AI56" i="167" s="1"/>
  <c r="AH39" i="167"/>
  <c r="AI39" i="167" s="1"/>
  <c r="AH51" i="167"/>
  <c r="AI51" i="167" s="1"/>
  <c r="AH13" i="167"/>
  <c r="AI13" i="167" s="1"/>
  <c r="AH46" i="167"/>
  <c r="AI46" i="167" s="1"/>
  <c r="AH58" i="167"/>
  <c r="AI58" i="167" s="1"/>
  <c r="AH41" i="167"/>
  <c r="AI41" i="167" s="1"/>
  <c r="AH53" i="167"/>
  <c r="AI53" i="167" s="1"/>
  <c r="AH43" i="167"/>
  <c r="AI43" i="167" s="1"/>
  <c r="AH55" i="167"/>
  <c r="AI55" i="167" s="1"/>
  <c r="AH48" i="167"/>
  <c r="AI48" i="167" s="1"/>
  <c r="AH62" i="167"/>
  <c r="AI62" i="167" s="1"/>
  <c r="AH74" i="167"/>
  <c r="AI74" i="167" s="1"/>
  <c r="AH32" i="167"/>
  <c r="AI32" i="167" s="1"/>
  <c r="AH38" i="167"/>
  <c r="AI38" i="167" s="1"/>
  <c r="AH69" i="167"/>
  <c r="AI69" i="167" s="1"/>
  <c r="AH45" i="167"/>
  <c r="AI45" i="167" s="1"/>
  <c r="AH64" i="167"/>
  <c r="AI64" i="167" s="1"/>
  <c r="AH76" i="167"/>
  <c r="AI76" i="167" s="1"/>
  <c r="AH52" i="167"/>
  <c r="AI52" i="167" s="1"/>
  <c r="AH71" i="167"/>
  <c r="AI71" i="167" s="1"/>
  <c r="AH27" i="167"/>
  <c r="AI27" i="167" s="1"/>
  <c r="AH36" i="167"/>
  <c r="AI36" i="167" s="1"/>
  <c r="AH60" i="167"/>
  <c r="AI60" i="167" s="1"/>
  <c r="AH68" i="167"/>
  <c r="AI68" i="167" s="1"/>
  <c r="AH15" i="167"/>
  <c r="AI15" i="167" s="1"/>
  <c r="AH57" i="167"/>
  <c r="AI57" i="167" s="1"/>
  <c r="AH70" i="167"/>
  <c r="AI70" i="167" s="1"/>
  <c r="AH40" i="167"/>
  <c r="AI40" i="167" s="1"/>
  <c r="AH65" i="167"/>
  <c r="AI65" i="167" s="1"/>
  <c r="AH77" i="167"/>
  <c r="AI77" i="167" s="1"/>
  <c r="AH61" i="167"/>
  <c r="AI61" i="167" s="1"/>
  <c r="AH89" i="167"/>
  <c r="AI89" i="167" s="1"/>
  <c r="AH20" i="167"/>
  <c r="AI20" i="167" s="1"/>
  <c r="AH54" i="167"/>
  <c r="AI54" i="167" s="1"/>
  <c r="AH75" i="167"/>
  <c r="AI75" i="167" s="1"/>
  <c r="AH84" i="167"/>
  <c r="AI84" i="167" s="1"/>
  <c r="AH97" i="167"/>
  <c r="AI97" i="167" s="1"/>
  <c r="AH63" i="167"/>
  <c r="AI63" i="167" s="1"/>
  <c r="AH79" i="167"/>
  <c r="AI79" i="167" s="1"/>
  <c r="AH91" i="167"/>
  <c r="AI91" i="167" s="1"/>
  <c r="AH47" i="167"/>
  <c r="AI47" i="167" s="1"/>
  <c r="AH86" i="167"/>
  <c r="AI86" i="167" s="1"/>
  <c r="AH67" i="167"/>
  <c r="AI67" i="167" s="1"/>
  <c r="AH83" i="167"/>
  <c r="AI83" i="167" s="1"/>
  <c r="AH96" i="167"/>
  <c r="AI96" i="167" s="1"/>
  <c r="AH59" i="167"/>
  <c r="AI59" i="167" s="1"/>
  <c r="AH85" i="167"/>
  <c r="AI85" i="167" s="1"/>
  <c r="AH80" i="167"/>
  <c r="AI80" i="167" s="1"/>
  <c r="AH92" i="167"/>
  <c r="AI92" i="167" s="1"/>
  <c r="AH102" i="167"/>
  <c r="AI102" i="167" s="1"/>
  <c r="AH114" i="167"/>
  <c r="AI114" i="167" s="1"/>
  <c r="AH42" i="167"/>
  <c r="AI42" i="167" s="1"/>
  <c r="AH109" i="167"/>
  <c r="AI109" i="167" s="1"/>
  <c r="AH104" i="167"/>
  <c r="AI104" i="167" s="1"/>
  <c r="AH116" i="167"/>
  <c r="AI116" i="167" s="1"/>
  <c r="AH87" i="167"/>
  <c r="AI87" i="167" s="1"/>
  <c r="AH99" i="167"/>
  <c r="AI99" i="167" s="1"/>
  <c r="AH111" i="167"/>
  <c r="AI111" i="167" s="1"/>
  <c r="AH72" i="167"/>
  <c r="AI72" i="167" s="1"/>
  <c r="AH88" i="167"/>
  <c r="AI88" i="167" s="1"/>
  <c r="AH106" i="167"/>
  <c r="AI106" i="167" s="1"/>
  <c r="AH90" i="167"/>
  <c r="AI90" i="167" s="1"/>
  <c r="AH108" i="167"/>
  <c r="AI108" i="167" s="1"/>
  <c r="AH98" i="167"/>
  <c r="AI98" i="167" s="1"/>
  <c r="AH122" i="167"/>
  <c r="AI122" i="167" s="1"/>
  <c r="AH134" i="167"/>
  <c r="AI134" i="167" s="1"/>
  <c r="AH81" i="167"/>
  <c r="AI81" i="167" s="1"/>
  <c r="AH105" i="167"/>
  <c r="AI105" i="167" s="1"/>
  <c r="AH117" i="167"/>
  <c r="AI117" i="167" s="1"/>
  <c r="AH129" i="167"/>
  <c r="AI129" i="167" s="1"/>
  <c r="AH50" i="167"/>
  <c r="AI50" i="167" s="1"/>
  <c r="AH73" i="167"/>
  <c r="AI73" i="167" s="1"/>
  <c r="AH95" i="167"/>
  <c r="AI95" i="167" s="1"/>
  <c r="AH112" i="167"/>
  <c r="AI112" i="167" s="1"/>
  <c r="AH124" i="167"/>
  <c r="AI124" i="167" s="1"/>
  <c r="AH136" i="167"/>
  <c r="AI136" i="167" s="1"/>
  <c r="AH119" i="167"/>
  <c r="AI119" i="167" s="1"/>
  <c r="AH131" i="167"/>
  <c r="AI131" i="167" s="1"/>
  <c r="AH113" i="167"/>
  <c r="AI113" i="167" s="1"/>
  <c r="AH126" i="167"/>
  <c r="AI126" i="167" s="1"/>
  <c r="AH93" i="167"/>
  <c r="AI93" i="167" s="1"/>
  <c r="AH110" i="167"/>
  <c r="AI110" i="167" s="1"/>
  <c r="AH128" i="167"/>
  <c r="AI128" i="167" s="1"/>
  <c r="AH100" i="167"/>
  <c r="AI100" i="167" s="1"/>
  <c r="AH118" i="167"/>
  <c r="AI118" i="167" s="1"/>
  <c r="AH130" i="167"/>
  <c r="AI130" i="167" s="1"/>
  <c r="AH82" i="167"/>
  <c r="AI82" i="167" s="1"/>
  <c r="AH107" i="167"/>
  <c r="AI107" i="167" s="1"/>
  <c r="AH125" i="167"/>
  <c r="AI125" i="167" s="1"/>
  <c r="AH103" i="167"/>
  <c r="AI103" i="167" s="1"/>
  <c r="AH150" i="167"/>
  <c r="AI150" i="167" s="1"/>
  <c r="AH139" i="167"/>
  <c r="AI139" i="167" s="1"/>
  <c r="AH145" i="167"/>
  <c r="AI145" i="167" s="1"/>
  <c r="AH3" i="167"/>
  <c r="AI3" i="167" s="1"/>
  <c r="AH101" i="167"/>
  <c r="AI101" i="167" s="1"/>
  <c r="AH149" i="167"/>
  <c r="AI149" i="167" s="1"/>
  <c r="AH115" i="167"/>
  <c r="AI115" i="167" s="1"/>
  <c r="AH147" i="167"/>
  <c r="AI147" i="167" s="1"/>
  <c r="AH66" i="167"/>
  <c r="AI66" i="167" s="1"/>
  <c r="AH78" i="167"/>
  <c r="AI78" i="167" s="1"/>
  <c r="AH137" i="167"/>
  <c r="AI137" i="167" s="1"/>
  <c r="AH142" i="167"/>
  <c r="AI142" i="167" s="1"/>
  <c r="AH140" i="167"/>
  <c r="AI140" i="167" s="1"/>
  <c r="AH123" i="167"/>
  <c r="AI123" i="167" s="1"/>
  <c r="AH132" i="167"/>
  <c r="AI132" i="167" s="1"/>
  <c r="AH144" i="167"/>
  <c r="AI144" i="167" s="1"/>
  <c r="AH121" i="167"/>
  <c r="AI121" i="167" s="1"/>
  <c r="AH138" i="167"/>
  <c r="AI138" i="167" s="1"/>
  <c r="AH146" i="167"/>
  <c r="AI146" i="167" s="1"/>
  <c r="AH148" i="167"/>
  <c r="AI148" i="167" s="1"/>
  <c r="AH143" i="167"/>
  <c r="AI143" i="167" s="1"/>
  <c r="AH120" i="167"/>
  <c r="AH141" i="167"/>
  <c r="AI141" i="167" s="1"/>
  <c r="AH133" i="167"/>
  <c r="AI133" i="167" s="1"/>
  <c r="AH135" i="167"/>
  <c r="AI135" i="167" s="1"/>
  <c r="AH127" i="167"/>
  <c r="AI127" i="167" s="1"/>
  <c r="AH215" i="167"/>
  <c r="AH208" i="167"/>
  <c r="AH196" i="167"/>
  <c r="AH184" i="167"/>
  <c r="AH206" i="167"/>
  <c r="AH194" i="167"/>
  <c r="AH197" i="167"/>
  <c r="AH191" i="167"/>
  <c r="AH195" i="167"/>
  <c r="AH181" i="167"/>
  <c r="AH190" i="167"/>
  <c r="AH185" i="167"/>
  <c r="AH171" i="167"/>
  <c r="AH187" i="167"/>
  <c r="AH178" i="167"/>
  <c r="AH216" i="167"/>
  <c r="AH213" i="167"/>
  <c r="AH192" i="167"/>
  <c r="AH188" i="167"/>
  <c r="AH183" i="167"/>
  <c r="AH207" i="167"/>
  <c r="AH201" i="167"/>
  <c r="AH199" i="167"/>
  <c r="AH193" i="167"/>
  <c r="AH189" i="167"/>
  <c r="AH175" i="167"/>
  <c r="AH167" i="167"/>
  <c r="AH155" i="167"/>
  <c r="AH180" i="167"/>
  <c r="AH173" i="167"/>
  <c r="AH163" i="167"/>
  <c r="AH176" i="167"/>
  <c r="AH177" i="167"/>
  <c r="AH170" i="167"/>
  <c r="AH182" i="167"/>
  <c r="AH156" i="167"/>
  <c r="AH174" i="167"/>
  <c r="AH154" i="167"/>
  <c r="AH211" i="167"/>
  <c r="AH205" i="167"/>
  <c r="AH166" i="167"/>
  <c r="AH164" i="167"/>
  <c r="AH214" i="167"/>
  <c r="AH200" i="167"/>
  <c r="AH209" i="167"/>
  <c r="AH203" i="167"/>
  <c r="AH161" i="167"/>
  <c r="AH212" i="167"/>
  <c r="AH165" i="167"/>
  <c r="AH186" i="167"/>
  <c r="AH162" i="167"/>
  <c r="AH157" i="167"/>
  <c r="AH152" i="167"/>
  <c r="AI152" i="167" s="1"/>
  <c r="AH210" i="167"/>
  <c r="AH204" i="167"/>
  <c r="AH198" i="167"/>
  <c r="AH179" i="167"/>
  <c r="AH172" i="167"/>
  <c r="AH202" i="167"/>
  <c r="AH159" i="167"/>
  <c r="AH158" i="167"/>
  <c r="AH169" i="167"/>
  <c r="AH153" i="167"/>
  <c r="AH168" i="167"/>
  <c r="AH160" i="167"/>
  <c r="AI4" i="167"/>
  <c r="T73" i="162"/>
  <c r="T72" i="162" l="1"/>
  <c r="T71" i="162"/>
  <c r="D1" i="165" l="1"/>
  <c r="B75" i="164"/>
  <c r="B74" i="164"/>
  <c r="B73" i="164"/>
  <c r="B71" i="164"/>
  <c r="D139" i="165" l="1"/>
  <c r="D78" i="165"/>
  <c r="D4" i="165"/>
  <c r="D16" i="165"/>
  <c r="D28" i="165"/>
  <c r="D11" i="165"/>
  <c r="D23" i="165"/>
  <c r="D35" i="165"/>
  <c r="D6" i="165"/>
  <c r="D18" i="165"/>
  <c r="D30" i="165"/>
  <c r="D13" i="165"/>
  <c r="D25" i="165"/>
  <c r="D8" i="165"/>
  <c r="D20" i="165"/>
  <c r="D32" i="165"/>
  <c r="D15" i="165"/>
  <c r="D27" i="165"/>
  <c r="D10" i="165"/>
  <c r="D22" i="165"/>
  <c r="D34" i="165"/>
  <c r="D5" i="165"/>
  <c r="D17" i="165"/>
  <c r="D29" i="165"/>
  <c r="D14" i="165"/>
  <c r="D26" i="165"/>
  <c r="D12" i="165"/>
  <c r="D43" i="165"/>
  <c r="D55" i="165"/>
  <c r="D38" i="165"/>
  <c r="D50" i="165"/>
  <c r="D9" i="165"/>
  <c r="D45" i="165"/>
  <c r="D57" i="165"/>
  <c r="D40" i="165"/>
  <c r="D52" i="165"/>
  <c r="D31" i="165"/>
  <c r="D47" i="165"/>
  <c r="D59" i="165"/>
  <c r="D42" i="165"/>
  <c r="D54" i="165"/>
  <c r="D36" i="165"/>
  <c r="D37" i="165"/>
  <c r="D49" i="165"/>
  <c r="D61" i="165"/>
  <c r="D19" i="165"/>
  <c r="D44" i="165"/>
  <c r="D56" i="165"/>
  <c r="D33" i="165"/>
  <c r="D39" i="165"/>
  <c r="D51" i="165"/>
  <c r="D7" i="165"/>
  <c r="D41" i="165"/>
  <c r="D53" i="165"/>
  <c r="D24" i="165"/>
  <c r="D72" i="165"/>
  <c r="D85" i="165"/>
  <c r="D67" i="165"/>
  <c r="D80" i="165"/>
  <c r="D62" i="165"/>
  <c r="D74" i="165"/>
  <c r="D87" i="165"/>
  <c r="D48" i="165"/>
  <c r="D69" i="165"/>
  <c r="D82" i="165"/>
  <c r="D46" i="165"/>
  <c r="D64" i="165"/>
  <c r="D76" i="165"/>
  <c r="D89" i="165"/>
  <c r="D60" i="165"/>
  <c r="D71" i="165"/>
  <c r="D84" i="165"/>
  <c r="D58" i="165"/>
  <c r="D66" i="165"/>
  <c r="D79" i="165"/>
  <c r="D73" i="165"/>
  <c r="D86" i="165"/>
  <c r="D68" i="165"/>
  <c r="D81" i="165"/>
  <c r="D75" i="165"/>
  <c r="D100" i="165"/>
  <c r="D112" i="165"/>
  <c r="D95" i="165"/>
  <c r="D107" i="165"/>
  <c r="D102" i="165"/>
  <c r="D114" i="165"/>
  <c r="D21" i="165"/>
  <c r="D63" i="165"/>
  <c r="D90" i="165"/>
  <c r="D97" i="165"/>
  <c r="D109" i="165"/>
  <c r="D92" i="165"/>
  <c r="D104" i="165"/>
  <c r="D77" i="165"/>
  <c r="D99" i="165"/>
  <c r="D111" i="165"/>
  <c r="D94" i="165"/>
  <c r="D106" i="165"/>
  <c r="D83" i="165"/>
  <c r="D101" i="165"/>
  <c r="D113" i="165"/>
  <c r="D65" i="165"/>
  <c r="D96" i="165"/>
  <c r="D108" i="165"/>
  <c r="D119" i="165"/>
  <c r="D131" i="165"/>
  <c r="D70" i="165"/>
  <c r="D110" i="165"/>
  <c r="D126" i="165"/>
  <c r="D138" i="165"/>
  <c r="D93" i="165"/>
  <c r="D121" i="165"/>
  <c r="D133" i="165"/>
  <c r="D116" i="165"/>
  <c r="D128" i="165"/>
  <c r="D98" i="165"/>
  <c r="D123" i="165"/>
  <c r="D135" i="165"/>
  <c r="D118" i="165"/>
  <c r="D130" i="165"/>
  <c r="D103" i="165"/>
  <c r="D125" i="165"/>
  <c r="D137" i="165"/>
  <c r="D120" i="165"/>
  <c r="D132" i="165"/>
  <c r="D115" i="165"/>
  <c r="D127" i="165"/>
  <c r="D88" i="165"/>
  <c r="D122" i="165"/>
  <c r="D146" i="165"/>
  <c r="D141" i="165"/>
  <c r="D136" i="165"/>
  <c r="D148" i="165"/>
  <c r="D91" i="165"/>
  <c r="D143" i="165"/>
  <c r="D150" i="165"/>
  <c r="D124" i="165"/>
  <c r="D145" i="165"/>
  <c r="D3" i="165"/>
  <c r="D129" i="165"/>
  <c r="D147" i="165"/>
  <c r="D105" i="165"/>
  <c r="D142" i="165"/>
  <c r="D149" i="165"/>
  <c r="D134" i="165"/>
  <c r="D140" i="165"/>
  <c r="D117" i="165"/>
  <c r="D144" i="165"/>
  <c r="B72" i="164"/>
  <c r="B76" i="164" s="1"/>
  <c r="E1" i="165"/>
  <c r="E78" i="165" s="1"/>
  <c r="D208" i="165"/>
  <c r="D196" i="165"/>
  <c r="D184" i="165"/>
  <c r="D204" i="165"/>
  <c r="D192" i="165"/>
  <c r="D209" i="165"/>
  <c r="D203" i="165"/>
  <c r="D215" i="165"/>
  <c r="D195" i="165"/>
  <c r="D206" i="165"/>
  <c r="D193" i="165"/>
  <c r="D182" i="165"/>
  <c r="D212" i="165"/>
  <c r="D199" i="165"/>
  <c r="D211" i="165"/>
  <c r="D210" i="165"/>
  <c r="D190" i="165"/>
  <c r="D189" i="165"/>
  <c r="D172" i="165"/>
  <c r="D198" i="165"/>
  <c r="D194" i="165"/>
  <c r="D185" i="165"/>
  <c r="D183" i="165"/>
  <c r="D170" i="165"/>
  <c r="D188" i="165"/>
  <c r="D178" i="165"/>
  <c r="D180" i="165"/>
  <c r="D214" i="165"/>
  <c r="D202" i="165"/>
  <c r="D174" i="165"/>
  <c r="D164" i="165"/>
  <c r="D205" i="165"/>
  <c r="D162" i="165"/>
  <c r="D169" i="165"/>
  <c r="D167" i="165"/>
  <c r="D158" i="165"/>
  <c r="D213" i="165"/>
  <c r="D176" i="165"/>
  <c r="D171" i="165"/>
  <c r="D163" i="165"/>
  <c r="D173" i="165"/>
  <c r="D161" i="165"/>
  <c r="D207" i="165"/>
  <c r="D187" i="165"/>
  <c r="D191" i="165"/>
  <c r="D186" i="165"/>
  <c r="D155" i="165"/>
  <c r="D154" i="165"/>
  <c r="D197" i="165"/>
  <c r="D175" i="165"/>
  <c r="D156" i="165"/>
  <c r="D165" i="165"/>
  <c r="D152" i="165"/>
  <c r="D177" i="165"/>
  <c r="D160" i="165"/>
  <c r="D181" i="165"/>
  <c r="D201" i="165"/>
  <c r="D168" i="165"/>
  <c r="D179" i="165"/>
  <c r="D166" i="165"/>
  <c r="D153" i="165"/>
  <c r="D159" i="165"/>
  <c r="D151" i="165"/>
  <c r="D200" i="165"/>
  <c r="D157" i="165"/>
  <c r="T71" i="164"/>
  <c r="T63" i="162"/>
  <c r="E168" i="165" l="1"/>
  <c r="E139" i="165"/>
  <c r="E160" i="165"/>
  <c r="E214" i="165"/>
  <c r="E167" i="165"/>
  <c r="E164" i="165"/>
  <c r="E9" i="165"/>
  <c r="E21" i="165"/>
  <c r="E33" i="165"/>
  <c r="E4" i="165"/>
  <c r="E16" i="165"/>
  <c r="E28" i="165"/>
  <c r="E11" i="165"/>
  <c r="E23" i="165"/>
  <c r="E35" i="165"/>
  <c r="E6" i="165"/>
  <c r="E18" i="165"/>
  <c r="E30" i="165"/>
  <c r="E13" i="165"/>
  <c r="E25" i="165"/>
  <c r="E8" i="165"/>
  <c r="E20" i="165"/>
  <c r="E32" i="165"/>
  <c r="E15" i="165"/>
  <c r="E27" i="165"/>
  <c r="E10" i="165"/>
  <c r="E22" i="165"/>
  <c r="E34" i="165"/>
  <c r="E7" i="165"/>
  <c r="E19" i="165"/>
  <c r="E31" i="165"/>
  <c r="E29" i="165"/>
  <c r="E48" i="165"/>
  <c r="E60" i="165"/>
  <c r="E12" i="165"/>
  <c r="E43" i="165"/>
  <c r="E55" i="165"/>
  <c r="E26" i="165"/>
  <c r="E38" i="165"/>
  <c r="E50" i="165"/>
  <c r="E17" i="165"/>
  <c r="E45" i="165"/>
  <c r="E57" i="165"/>
  <c r="E40" i="165"/>
  <c r="E52" i="165"/>
  <c r="E14" i="165"/>
  <c r="E47" i="165"/>
  <c r="E59" i="165"/>
  <c r="E5" i="165"/>
  <c r="E42" i="165"/>
  <c r="E54" i="165"/>
  <c r="E36" i="165"/>
  <c r="E37" i="165"/>
  <c r="E49" i="165"/>
  <c r="E61" i="165"/>
  <c r="E44" i="165"/>
  <c r="E56" i="165"/>
  <c r="E24" i="165"/>
  <c r="E46" i="165"/>
  <c r="E58" i="165"/>
  <c r="E65" i="165"/>
  <c r="E77" i="165"/>
  <c r="E72" i="165"/>
  <c r="E85" i="165"/>
  <c r="E67" i="165"/>
  <c r="E80" i="165"/>
  <c r="E41" i="165"/>
  <c r="E62" i="165"/>
  <c r="E74" i="165"/>
  <c r="E87" i="165"/>
  <c r="E39" i="165"/>
  <c r="E69" i="165"/>
  <c r="E82" i="165"/>
  <c r="E53" i="165"/>
  <c r="E64" i="165"/>
  <c r="E76" i="165"/>
  <c r="E89" i="165"/>
  <c r="E51" i="165"/>
  <c r="E71" i="165"/>
  <c r="E84" i="165"/>
  <c r="E66" i="165"/>
  <c r="E79" i="165"/>
  <c r="E73" i="165"/>
  <c r="E86" i="165"/>
  <c r="E93" i="165"/>
  <c r="E105" i="165"/>
  <c r="E75" i="165"/>
  <c r="E100" i="165"/>
  <c r="E112" i="165"/>
  <c r="E95" i="165"/>
  <c r="E107" i="165"/>
  <c r="E81" i="165"/>
  <c r="E102" i="165"/>
  <c r="E114" i="165"/>
  <c r="E63" i="165"/>
  <c r="E90" i="165"/>
  <c r="E97" i="165"/>
  <c r="E109" i="165"/>
  <c r="E92" i="165"/>
  <c r="E104" i="165"/>
  <c r="E68" i="165"/>
  <c r="E99" i="165"/>
  <c r="E111" i="165"/>
  <c r="E94" i="165"/>
  <c r="E106" i="165"/>
  <c r="E83" i="165"/>
  <c r="E101" i="165"/>
  <c r="E113" i="165"/>
  <c r="E96" i="165"/>
  <c r="E124" i="165"/>
  <c r="E136" i="165"/>
  <c r="E119" i="165"/>
  <c r="E131" i="165"/>
  <c r="E70" i="165"/>
  <c r="E110" i="165"/>
  <c r="E126" i="165"/>
  <c r="E138" i="165"/>
  <c r="E121" i="165"/>
  <c r="E133" i="165"/>
  <c r="E116" i="165"/>
  <c r="E128" i="165"/>
  <c r="E98" i="165"/>
  <c r="E123" i="165"/>
  <c r="E135" i="165"/>
  <c r="E118" i="165"/>
  <c r="E130" i="165"/>
  <c r="E103" i="165"/>
  <c r="E125" i="165"/>
  <c r="E137" i="165"/>
  <c r="E120" i="165"/>
  <c r="E132" i="165"/>
  <c r="E108" i="165"/>
  <c r="E88" i="165"/>
  <c r="E122" i="165"/>
  <c r="E146" i="165"/>
  <c r="E141" i="165"/>
  <c r="E127" i="165"/>
  <c r="E148" i="165"/>
  <c r="E91" i="165"/>
  <c r="E143" i="165"/>
  <c r="E150" i="165"/>
  <c r="E115" i="165"/>
  <c r="E145" i="165"/>
  <c r="E129" i="165"/>
  <c r="E147" i="165"/>
  <c r="E149" i="165"/>
  <c r="E134" i="165"/>
  <c r="E140" i="165"/>
  <c r="E3" i="165"/>
  <c r="E142" i="165"/>
  <c r="E117" i="165"/>
  <c r="E144" i="165"/>
  <c r="E161" i="165"/>
  <c r="E157" i="165"/>
  <c r="E183" i="165"/>
  <c r="E187" i="165"/>
  <c r="E181" i="165"/>
  <c r="E185" i="165"/>
  <c r="E191" i="165"/>
  <c r="E177" i="165"/>
  <c r="E154" i="165"/>
  <c r="E196" i="165"/>
  <c r="F1" i="165"/>
  <c r="F78" i="165" s="1"/>
  <c r="E151" i="165"/>
  <c r="E166" i="165"/>
  <c r="E194" i="165"/>
  <c r="E179" i="165"/>
  <c r="E202" i="165"/>
  <c r="E153" i="165"/>
  <c r="E173" i="165"/>
  <c r="E193" i="165"/>
  <c r="E174" i="165"/>
  <c r="E215" i="165"/>
  <c r="E197" i="165"/>
  <c r="E172" i="165"/>
  <c r="E178" i="165"/>
  <c r="E163" i="165"/>
  <c r="E207" i="165"/>
  <c r="E203" i="165"/>
  <c r="E209" i="165"/>
  <c r="E165" i="165"/>
  <c r="E159" i="165"/>
  <c r="E170" i="165"/>
  <c r="E190" i="165"/>
  <c r="E192" i="165"/>
  <c r="E189" i="165"/>
  <c r="E169" i="165"/>
  <c r="E188" i="165"/>
  <c r="E176" i="165"/>
  <c r="E200" i="165"/>
  <c r="E205" i="165"/>
  <c r="E201" i="165"/>
  <c r="E195" i="165"/>
  <c r="E210" i="165"/>
  <c r="E180" i="165"/>
  <c r="E204" i="165"/>
  <c r="E184" i="165"/>
  <c r="E213" i="165"/>
  <c r="E152" i="165"/>
  <c r="E156" i="165"/>
  <c r="E198" i="165"/>
  <c r="E171" i="165"/>
  <c r="E199" i="165"/>
  <c r="E158" i="165"/>
  <c r="E162" i="165"/>
  <c r="E206" i="165"/>
  <c r="E175" i="165"/>
  <c r="E212" i="165"/>
  <c r="E211" i="165"/>
  <c r="E182" i="165"/>
  <c r="E155" i="165"/>
  <c r="E186" i="165"/>
  <c r="E208" i="165"/>
  <c r="F201" i="165"/>
  <c r="F205" i="165"/>
  <c r="F183" i="165"/>
  <c r="F208" i="165"/>
  <c r="F186" i="165"/>
  <c r="F184" i="165"/>
  <c r="F172" i="165"/>
  <c r="F177" i="165"/>
  <c r="F174" i="165"/>
  <c r="F164" i="165"/>
  <c r="F163" i="165"/>
  <c r="F153" i="165"/>
  <c r="T62" i="162"/>
  <c r="F195" i="165" l="1"/>
  <c r="F139" i="165"/>
  <c r="F180" i="165"/>
  <c r="F181" i="165"/>
  <c r="F168" i="165"/>
  <c r="F207" i="165"/>
  <c r="F169" i="165"/>
  <c r="F188" i="165"/>
  <c r="F182" i="165"/>
  <c r="F189" i="165"/>
  <c r="F155" i="165"/>
  <c r="F212" i="165"/>
  <c r="F197" i="165"/>
  <c r="F170" i="165"/>
  <c r="F202" i="165"/>
  <c r="F14" i="165"/>
  <c r="F26" i="165"/>
  <c r="F9" i="165"/>
  <c r="F21" i="165"/>
  <c r="F33" i="165"/>
  <c r="F4" i="165"/>
  <c r="F16" i="165"/>
  <c r="F28" i="165"/>
  <c r="F11" i="165"/>
  <c r="F23" i="165"/>
  <c r="F35" i="165"/>
  <c r="F6" i="165"/>
  <c r="F18" i="165"/>
  <c r="F30" i="165"/>
  <c r="F13" i="165"/>
  <c r="F25" i="165"/>
  <c r="F8" i="165"/>
  <c r="F20" i="165"/>
  <c r="F32" i="165"/>
  <c r="F15" i="165"/>
  <c r="F27" i="165"/>
  <c r="F12" i="165"/>
  <c r="F24" i="165"/>
  <c r="F36" i="165"/>
  <c r="F41" i="165"/>
  <c r="F53" i="165"/>
  <c r="F29" i="165"/>
  <c r="F48" i="165"/>
  <c r="F60" i="165"/>
  <c r="F43" i="165"/>
  <c r="F55" i="165"/>
  <c r="F34" i="165"/>
  <c r="F38" i="165"/>
  <c r="F50" i="165"/>
  <c r="F17" i="165"/>
  <c r="F45" i="165"/>
  <c r="F57" i="165"/>
  <c r="F31" i="165"/>
  <c r="F40" i="165"/>
  <c r="F52" i="165"/>
  <c r="F22" i="165"/>
  <c r="F47" i="165"/>
  <c r="F59" i="165"/>
  <c r="F5" i="165"/>
  <c r="F42" i="165"/>
  <c r="F54" i="165"/>
  <c r="F19" i="165"/>
  <c r="F37" i="165"/>
  <c r="F49" i="165"/>
  <c r="F61" i="165"/>
  <c r="F39" i="165"/>
  <c r="F51" i="165"/>
  <c r="F70" i="165"/>
  <c r="F83" i="165"/>
  <c r="F65" i="165"/>
  <c r="F77" i="165"/>
  <c r="F90" i="165"/>
  <c r="F72" i="165"/>
  <c r="F85" i="165"/>
  <c r="F7" i="165"/>
  <c r="F67" i="165"/>
  <c r="F80" i="165"/>
  <c r="F62" i="165"/>
  <c r="F74" i="165"/>
  <c r="F87" i="165"/>
  <c r="F46" i="165"/>
  <c r="F69" i="165"/>
  <c r="F82" i="165"/>
  <c r="F10" i="165"/>
  <c r="F44" i="165"/>
  <c r="F64" i="165"/>
  <c r="F76" i="165"/>
  <c r="F89" i="165"/>
  <c r="F58" i="165"/>
  <c r="F71" i="165"/>
  <c r="F84" i="165"/>
  <c r="F56" i="165"/>
  <c r="F66" i="165"/>
  <c r="F79" i="165"/>
  <c r="F98" i="165"/>
  <c r="F110" i="165"/>
  <c r="F93" i="165"/>
  <c r="F105" i="165"/>
  <c r="F75" i="165"/>
  <c r="F100" i="165"/>
  <c r="F112" i="165"/>
  <c r="F95" i="165"/>
  <c r="F107" i="165"/>
  <c r="F81" i="165"/>
  <c r="F102" i="165"/>
  <c r="F63" i="165"/>
  <c r="F97" i="165"/>
  <c r="F109" i="165"/>
  <c r="F86" i="165"/>
  <c r="F92" i="165"/>
  <c r="F104" i="165"/>
  <c r="F68" i="165"/>
  <c r="F99" i="165"/>
  <c r="F111" i="165"/>
  <c r="F94" i="165"/>
  <c r="F106" i="165"/>
  <c r="F113" i="165"/>
  <c r="F114" i="165"/>
  <c r="F117" i="165"/>
  <c r="F129" i="165"/>
  <c r="F96" i="165"/>
  <c r="F124" i="165"/>
  <c r="F136" i="165"/>
  <c r="F119" i="165"/>
  <c r="F131" i="165"/>
  <c r="F101" i="165"/>
  <c r="F126" i="165"/>
  <c r="F138" i="165"/>
  <c r="F121" i="165"/>
  <c r="F133" i="165"/>
  <c r="F116" i="165"/>
  <c r="F128" i="165"/>
  <c r="F73" i="165"/>
  <c r="F123" i="165"/>
  <c r="F135" i="165"/>
  <c r="F118" i="165"/>
  <c r="F130" i="165"/>
  <c r="F103" i="165"/>
  <c r="F125" i="165"/>
  <c r="F137" i="165"/>
  <c r="F140" i="165"/>
  <c r="F144" i="165"/>
  <c r="F3" i="165"/>
  <c r="F108" i="165"/>
  <c r="F88" i="165"/>
  <c r="F122" i="165"/>
  <c r="F146" i="165"/>
  <c r="F141" i="165"/>
  <c r="F127" i="165"/>
  <c r="F148" i="165"/>
  <c r="F91" i="165"/>
  <c r="F143" i="165"/>
  <c r="F132" i="165"/>
  <c r="F150" i="165"/>
  <c r="F115" i="165"/>
  <c r="F145" i="165"/>
  <c r="F120" i="165"/>
  <c r="F149" i="165"/>
  <c r="F134" i="165"/>
  <c r="F142" i="165"/>
  <c r="F147" i="165"/>
  <c r="F154" i="165"/>
  <c r="F158" i="165"/>
  <c r="F160" i="165"/>
  <c r="F176" i="165"/>
  <c r="F198" i="165"/>
  <c r="F214" i="165"/>
  <c r="F166" i="165"/>
  <c r="F165" i="165"/>
  <c r="F175" i="165"/>
  <c r="F200" i="165"/>
  <c r="F211" i="165"/>
  <c r="F194" i="165"/>
  <c r="F151" i="165"/>
  <c r="F167" i="165"/>
  <c r="F178" i="165"/>
  <c r="F204" i="165"/>
  <c r="F192" i="165"/>
  <c r="F206" i="165"/>
  <c r="F161" i="165"/>
  <c r="F199" i="165"/>
  <c r="F162" i="165"/>
  <c r="F213" i="165"/>
  <c r="F185" i="165"/>
  <c r="G1" i="165"/>
  <c r="G78" i="165" s="1"/>
  <c r="F203" i="165"/>
  <c r="F173" i="165"/>
  <c r="F187" i="165"/>
  <c r="F196" i="165"/>
  <c r="F215" i="165"/>
  <c r="F159" i="165"/>
  <c r="F152" i="165"/>
  <c r="F156" i="165"/>
  <c r="F191" i="165"/>
  <c r="F209" i="165"/>
  <c r="F190" i="165"/>
  <c r="F193" i="165"/>
  <c r="F157" i="165"/>
  <c r="F171" i="165"/>
  <c r="F179" i="165"/>
  <c r="F210" i="165"/>
  <c r="T69" i="162"/>
  <c r="T68" i="162"/>
  <c r="T67" i="162"/>
  <c r="T66" i="162"/>
  <c r="T70" i="162"/>
  <c r="G166" i="165" l="1"/>
  <c r="G139" i="165"/>
  <c r="G193" i="165"/>
  <c r="G171" i="165"/>
  <c r="G157" i="165"/>
  <c r="G158" i="165"/>
  <c r="G177" i="165"/>
  <c r="G203" i="165"/>
  <c r="G7" i="165"/>
  <c r="G19" i="165"/>
  <c r="G31" i="165"/>
  <c r="G14" i="165"/>
  <c r="G26" i="165"/>
  <c r="G9" i="165"/>
  <c r="G21" i="165"/>
  <c r="G33" i="165"/>
  <c r="G4" i="165"/>
  <c r="G16" i="165"/>
  <c r="G28" i="165"/>
  <c r="G11" i="165"/>
  <c r="G23" i="165"/>
  <c r="G35" i="165"/>
  <c r="G6" i="165"/>
  <c r="G18" i="165"/>
  <c r="G30" i="165"/>
  <c r="G13" i="165"/>
  <c r="G25" i="165"/>
  <c r="G8" i="165"/>
  <c r="G20" i="165"/>
  <c r="G32" i="165"/>
  <c r="G5" i="165"/>
  <c r="G17" i="165"/>
  <c r="G29" i="165"/>
  <c r="G15" i="165"/>
  <c r="G46" i="165"/>
  <c r="G58" i="165"/>
  <c r="G41" i="165"/>
  <c r="G53" i="165"/>
  <c r="G12" i="165"/>
  <c r="G48" i="165"/>
  <c r="G60" i="165"/>
  <c r="G43" i="165"/>
  <c r="G55" i="165"/>
  <c r="G34" i="165"/>
  <c r="G38" i="165"/>
  <c r="G50" i="165"/>
  <c r="G45" i="165"/>
  <c r="G57" i="165"/>
  <c r="G40" i="165"/>
  <c r="G52" i="165"/>
  <c r="G22" i="165"/>
  <c r="G47" i="165"/>
  <c r="G59" i="165"/>
  <c r="G36" i="165"/>
  <c r="G42" i="165"/>
  <c r="G54" i="165"/>
  <c r="G10" i="165"/>
  <c r="G44" i="165"/>
  <c r="G56" i="165"/>
  <c r="G63" i="165"/>
  <c r="G75" i="165"/>
  <c r="G88" i="165"/>
  <c r="G24" i="165"/>
  <c r="G70" i="165"/>
  <c r="G83" i="165"/>
  <c r="G65" i="165"/>
  <c r="G77" i="165"/>
  <c r="G72" i="165"/>
  <c r="G85" i="165"/>
  <c r="G27" i="165"/>
  <c r="G67" i="165"/>
  <c r="G80" i="165"/>
  <c r="G39" i="165"/>
  <c r="G62" i="165"/>
  <c r="G74" i="165"/>
  <c r="G87" i="165"/>
  <c r="G37" i="165"/>
  <c r="G69" i="165"/>
  <c r="G82" i="165"/>
  <c r="G51" i="165"/>
  <c r="G64" i="165"/>
  <c r="G76" i="165"/>
  <c r="G89" i="165"/>
  <c r="G49" i="165"/>
  <c r="G71" i="165"/>
  <c r="G84" i="165"/>
  <c r="G79" i="165"/>
  <c r="G91" i="165"/>
  <c r="G103" i="165"/>
  <c r="G98" i="165"/>
  <c r="G110" i="165"/>
  <c r="G93" i="165"/>
  <c r="G105" i="165"/>
  <c r="G66" i="165"/>
  <c r="G100" i="165"/>
  <c r="G112" i="165"/>
  <c r="G61" i="165"/>
  <c r="G95" i="165"/>
  <c r="G107" i="165"/>
  <c r="G81" i="165"/>
  <c r="G90" i="165"/>
  <c r="G102" i="165"/>
  <c r="G114" i="165"/>
  <c r="G97" i="165"/>
  <c r="G109" i="165"/>
  <c r="G86" i="165"/>
  <c r="G92" i="165"/>
  <c r="G104" i="165"/>
  <c r="G68" i="165"/>
  <c r="G99" i="165"/>
  <c r="G111" i="165"/>
  <c r="G122" i="165"/>
  <c r="G134" i="165"/>
  <c r="G113" i="165"/>
  <c r="G117" i="165"/>
  <c r="G129" i="165"/>
  <c r="G96" i="165"/>
  <c r="G124" i="165"/>
  <c r="G136" i="165"/>
  <c r="G119" i="165"/>
  <c r="G131" i="165"/>
  <c r="G101" i="165"/>
  <c r="G126" i="165"/>
  <c r="G121" i="165"/>
  <c r="G133" i="165"/>
  <c r="G106" i="165"/>
  <c r="G116" i="165"/>
  <c r="G128" i="165"/>
  <c r="G73" i="165"/>
  <c r="G123" i="165"/>
  <c r="G135" i="165"/>
  <c r="G118" i="165"/>
  <c r="G130" i="165"/>
  <c r="G125" i="165"/>
  <c r="G149" i="165"/>
  <c r="G140" i="165"/>
  <c r="G144" i="165"/>
  <c r="G3" i="165"/>
  <c r="G108" i="165"/>
  <c r="G146" i="165"/>
  <c r="G141" i="165"/>
  <c r="G127" i="165"/>
  <c r="G148" i="165"/>
  <c r="G143" i="165"/>
  <c r="G132" i="165"/>
  <c r="G150" i="165"/>
  <c r="G115" i="165"/>
  <c r="G145" i="165"/>
  <c r="G120" i="165"/>
  <c r="G138" i="165"/>
  <c r="G94" i="165"/>
  <c r="G142" i="165"/>
  <c r="G137" i="165"/>
  <c r="G147" i="165"/>
  <c r="G214" i="165"/>
  <c r="G196" i="165"/>
  <c r="G189" i="165"/>
  <c r="G195" i="165"/>
  <c r="G207" i="165"/>
  <c r="G156" i="165"/>
  <c r="G197" i="165"/>
  <c r="G201" i="165"/>
  <c r="G169" i="165"/>
  <c r="G202" i="165"/>
  <c r="G187" i="165"/>
  <c r="G172" i="165"/>
  <c r="G170" i="165"/>
  <c r="G174" i="165"/>
  <c r="G161" i="165"/>
  <c r="G180" i="165"/>
  <c r="G215" i="165"/>
  <c r="G199" i="165"/>
  <c r="G154" i="165"/>
  <c r="G163" i="165"/>
  <c r="G190" i="165"/>
  <c r="G191" i="165"/>
  <c r="G211" i="165"/>
  <c r="G192" i="165"/>
  <c r="G213" i="165"/>
  <c r="G173" i="165"/>
  <c r="G204" i="165"/>
  <c r="G168" i="165"/>
  <c r="G178" i="165"/>
  <c r="G153" i="165"/>
  <c r="G212" i="165"/>
  <c r="G198" i="165"/>
  <c r="G151" i="165"/>
  <c r="G167" i="165"/>
  <c r="G160" i="165"/>
  <c r="G205" i="165"/>
  <c r="G210" i="165"/>
  <c r="G184" i="165"/>
  <c r="G200" i="165"/>
  <c r="G181" i="165"/>
  <c r="G165" i="165"/>
  <c r="G175" i="165"/>
  <c r="G194" i="165"/>
  <c r="G162" i="165"/>
  <c r="G176" i="165"/>
  <c r="G155" i="165"/>
  <c r="G185" i="165"/>
  <c r="G179" i="165"/>
  <c r="G159" i="165"/>
  <c r="G164" i="165"/>
  <c r="G182" i="165"/>
  <c r="G186" i="165"/>
  <c r="G188" i="165"/>
  <c r="H1" i="165"/>
  <c r="H211" i="165" s="1"/>
  <c r="G152" i="165"/>
  <c r="G209" i="165"/>
  <c r="G183" i="165"/>
  <c r="G206" i="165"/>
  <c r="G208" i="165"/>
  <c r="T64" i="162"/>
  <c r="H170" i="165" l="1"/>
  <c r="H154" i="165"/>
  <c r="H184" i="165"/>
  <c r="H185" i="165"/>
  <c r="H215" i="165"/>
  <c r="H177" i="165"/>
  <c r="H151" i="165"/>
  <c r="H202" i="165"/>
  <c r="H175" i="165"/>
  <c r="H195" i="165"/>
  <c r="H180" i="165"/>
  <c r="H194" i="165"/>
  <c r="H163" i="165"/>
  <c r="H198" i="165"/>
  <c r="H153" i="165"/>
  <c r="H209" i="165"/>
  <c r="H203" i="165"/>
  <c r="H174" i="165"/>
  <c r="H171" i="165"/>
  <c r="H210" i="165"/>
  <c r="H173" i="165"/>
  <c r="H186" i="165"/>
  <c r="H164" i="165"/>
  <c r="H189" i="165"/>
  <c r="H191" i="165"/>
  <c r="H157" i="165"/>
  <c r="H206" i="165"/>
  <c r="H201" i="165"/>
  <c r="H155" i="165"/>
  <c r="H161" i="165"/>
  <c r="H196" i="165"/>
  <c r="H214" i="165"/>
  <c r="H207" i="165"/>
  <c r="H183" i="165"/>
  <c r="H181" i="165"/>
  <c r="H188" i="165"/>
  <c r="H156" i="165"/>
  <c r="H179" i="165"/>
  <c r="H205" i="165"/>
  <c r="H152" i="165"/>
  <c r="H166" i="165"/>
  <c r="H187" i="165"/>
  <c r="H200" i="165"/>
  <c r="H139" i="165"/>
  <c r="H78" i="165"/>
  <c r="I1" i="165"/>
  <c r="I19" i="165" s="1"/>
  <c r="H169" i="165"/>
  <c r="H167" i="165"/>
  <c r="H168" i="165"/>
  <c r="H193" i="165"/>
  <c r="H176" i="165"/>
  <c r="H159" i="165"/>
  <c r="H160" i="165"/>
  <c r="H182" i="165"/>
  <c r="H213" i="165"/>
  <c r="H172" i="165"/>
  <c r="H190" i="165"/>
  <c r="H199" i="165"/>
  <c r="H208" i="165"/>
  <c r="H212" i="165"/>
  <c r="H162" i="165"/>
  <c r="H165" i="165"/>
  <c r="H158" i="165"/>
  <c r="H178" i="165"/>
  <c r="H197" i="165"/>
  <c r="H192" i="165"/>
  <c r="H12" i="165"/>
  <c r="H24" i="165"/>
  <c r="H36" i="165"/>
  <c r="H7" i="165"/>
  <c r="H19" i="165"/>
  <c r="H31" i="165"/>
  <c r="H14" i="165"/>
  <c r="H26" i="165"/>
  <c r="H9" i="165"/>
  <c r="H21" i="165"/>
  <c r="H33" i="165"/>
  <c r="H4" i="165"/>
  <c r="H16" i="165"/>
  <c r="H28" i="165"/>
  <c r="H11" i="165"/>
  <c r="H23" i="165"/>
  <c r="H35" i="165"/>
  <c r="H6" i="165"/>
  <c r="H18" i="165"/>
  <c r="H30" i="165"/>
  <c r="H13" i="165"/>
  <c r="H25" i="165"/>
  <c r="H10" i="165"/>
  <c r="H22" i="165"/>
  <c r="H34" i="165"/>
  <c r="H32" i="165"/>
  <c r="H39" i="165"/>
  <c r="H51" i="165"/>
  <c r="H15" i="165"/>
  <c r="H46" i="165"/>
  <c r="H58" i="165"/>
  <c r="H29" i="165"/>
  <c r="H41" i="165"/>
  <c r="H53" i="165"/>
  <c r="H20" i="165"/>
  <c r="H48" i="165"/>
  <c r="H60" i="165"/>
  <c r="H43" i="165"/>
  <c r="H55" i="165"/>
  <c r="H17" i="165"/>
  <c r="H38" i="165"/>
  <c r="H50" i="165"/>
  <c r="H8" i="165"/>
  <c r="H45" i="165"/>
  <c r="H57" i="165"/>
  <c r="H40" i="165"/>
  <c r="H52" i="165"/>
  <c r="H5" i="165"/>
  <c r="H47" i="165"/>
  <c r="H59" i="165"/>
  <c r="H27" i="165"/>
  <c r="H37" i="165"/>
  <c r="H49" i="165"/>
  <c r="H61" i="165"/>
  <c r="H68" i="165"/>
  <c r="H81" i="165"/>
  <c r="H63" i="165"/>
  <c r="H75" i="165"/>
  <c r="H88" i="165"/>
  <c r="H70" i="165"/>
  <c r="H83" i="165"/>
  <c r="H65" i="165"/>
  <c r="H77" i="165"/>
  <c r="H72" i="165"/>
  <c r="H85" i="165"/>
  <c r="H67" i="165"/>
  <c r="H80" i="165"/>
  <c r="H62" i="165"/>
  <c r="H74" i="165"/>
  <c r="H87" i="165"/>
  <c r="H44" i="165"/>
  <c r="H69" i="165"/>
  <c r="H82" i="165"/>
  <c r="H42" i="165"/>
  <c r="H64" i="165"/>
  <c r="H76" i="165"/>
  <c r="H89" i="165"/>
  <c r="H96" i="165"/>
  <c r="H108" i="165"/>
  <c r="H79" i="165"/>
  <c r="H91" i="165"/>
  <c r="H103" i="165"/>
  <c r="H98" i="165"/>
  <c r="H110" i="165"/>
  <c r="H84" i="165"/>
  <c r="H93" i="165"/>
  <c r="H105" i="165"/>
  <c r="H66" i="165"/>
  <c r="H100" i="165"/>
  <c r="H112" i="165"/>
  <c r="H95" i="165"/>
  <c r="H107" i="165"/>
  <c r="H71" i="165"/>
  <c r="H90" i="165"/>
  <c r="H102" i="165"/>
  <c r="H114" i="165"/>
  <c r="H54" i="165"/>
  <c r="H97" i="165"/>
  <c r="H109" i="165"/>
  <c r="H86" i="165"/>
  <c r="H92" i="165"/>
  <c r="H104" i="165"/>
  <c r="H99" i="165"/>
  <c r="H115" i="165"/>
  <c r="H127" i="165"/>
  <c r="H140" i="165"/>
  <c r="H122" i="165"/>
  <c r="H134" i="165"/>
  <c r="H113" i="165"/>
  <c r="H117" i="165"/>
  <c r="H129" i="165"/>
  <c r="H124" i="165"/>
  <c r="H136" i="165"/>
  <c r="H119" i="165"/>
  <c r="H131" i="165"/>
  <c r="H101" i="165"/>
  <c r="H126" i="165"/>
  <c r="H138" i="165"/>
  <c r="H56" i="165"/>
  <c r="H121" i="165"/>
  <c r="H133" i="165"/>
  <c r="H106" i="165"/>
  <c r="H116" i="165"/>
  <c r="H128" i="165"/>
  <c r="H73" i="165"/>
  <c r="H123" i="165"/>
  <c r="H135" i="165"/>
  <c r="H142" i="165"/>
  <c r="H125" i="165"/>
  <c r="H149" i="165"/>
  <c r="H144" i="165"/>
  <c r="H3" i="165"/>
  <c r="H130" i="165"/>
  <c r="H146" i="165"/>
  <c r="H141" i="165"/>
  <c r="H111" i="165"/>
  <c r="H118" i="165"/>
  <c r="H148" i="165"/>
  <c r="H143" i="165"/>
  <c r="H132" i="165"/>
  <c r="H150" i="165"/>
  <c r="H120" i="165"/>
  <c r="H94" i="165"/>
  <c r="H145" i="165"/>
  <c r="H137" i="165"/>
  <c r="H147" i="165"/>
  <c r="I29" i="165"/>
  <c r="I24" i="165"/>
  <c r="I36" i="165"/>
  <c r="I7" i="165"/>
  <c r="I31" i="165"/>
  <c r="I14" i="165"/>
  <c r="I26" i="165"/>
  <c r="I9" i="165"/>
  <c r="I33" i="165"/>
  <c r="I28" i="165"/>
  <c r="I23" i="165"/>
  <c r="I6" i="165"/>
  <c r="I18" i="165"/>
  <c r="I30" i="165"/>
  <c r="I15" i="165"/>
  <c r="I44" i="165"/>
  <c r="I56" i="165"/>
  <c r="I32" i="165"/>
  <c r="I46" i="165"/>
  <c r="I53" i="165"/>
  <c r="I20" i="165"/>
  <c r="I48" i="165"/>
  <c r="I34" i="165"/>
  <c r="I43" i="165"/>
  <c r="I55" i="165"/>
  <c r="I25" i="165"/>
  <c r="I38" i="165"/>
  <c r="I57" i="165"/>
  <c r="I40" i="165"/>
  <c r="I42" i="165"/>
  <c r="I54" i="165"/>
  <c r="I59" i="165"/>
  <c r="I73" i="165"/>
  <c r="I86" i="165"/>
  <c r="I68" i="165"/>
  <c r="I63" i="165"/>
  <c r="I70" i="165"/>
  <c r="I77" i="165"/>
  <c r="I72" i="165"/>
  <c r="I85" i="165"/>
  <c r="I67" i="165"/>
  <c r="I80" i="165"/>
  <c r="I37" i="165"/>
  <c r="I62" i="165"/>
  <c r="I74" i="165"/>
  <c r="I49" i="165"/>
  <c r="I101" i="165"/>
  <c r="I113" i="165"/>
  <c r="I13" i="165"/>
  <c r="I108" i="165"/>
  <c r="I79" i="165"/>
  <c r="I91" i="165"/>
  <c r="I103" i="165"/>
  <c r="I110" i="165"/>
  <c r="I105" i="165"/>
  <c r="I66" i="165"/>
  <c r="I112" i="165"/>
  <c r="I89" i="165"/>
  <c r="I95" i="165"/>
  <c r="I107" i="165"/>
  <c r="I90" i="165"/>
  <c r="I102" i="165"/>
  <c r="I97" i="165"/>
  <c r="I120" i="165"/>
  <c r="I114" i="165"/>
  <c r="I115" i="165"/>
  <c r="I127" i="165"/>
  <c r="I122" i="165"/>
  <c r="I134" i="165"/>
  <c r="I104" i="165"/>
  <c r="I117" i="165"/>
  <c r="I129" i="165"/>
  <c r="I119" i="165"/>
  <c r="I92" i="165"/>
  <c r="I138" i="165"/>
  <c r="I121" i="165"/>
  <c r="I133" i="165"/>
  <c r="I106" i="165"/>
  <c r="I116" i="165"/>
  <c r="I128" i="165"/>
  <c r="I142" i="165"/>
  <c r="I144" i="165"/>
  <c r="I146" i="165"/>
  <c r="I135" i="165"/>
  <c r="I141" i="165"/>
  <c r="I111" i="165"/>
  <c r="I118" i="165"/>
  <c r="I143" i="165"/>
  <c r="I94" i="165"/>
  <c r="I123" i="165"/>
  <c r="H204" i="165"/>
  <c r="I197" i="165"/>
  <c r="I185" i="165"/>
  <c r="I205" i="165"/>
  <c r="I207" i="165"/>
  <c r="I194" i="165"/>
  <c r="I206" i="165"/>
  <c r="I210" i="165"/>
  <c r="I183" i="165"/>
  <c r="I215" i="165"/>
  <c r="I201" i="165"/>
  <c r="I213" i="165"/>
  <c r="I191" i="165"/>
  <c r="I173" i="165"/>
  <c r="I171" i="165"/>
  <c r="I195" i="165"/>
  <c r="I179" i="165"/>
  <c r="I202" i="165"/>
  <c r="I186" i="165"/>
  <c r="I181" i="165"/>
  <c r="I178" i="165"/>
  <c r="I175" i="165"/>
  <c r="I153" i="165"/>
  <c r="I169" i="165"/>
  <c r="I168" i="165"/>
  <c r="I163" i="165"/>
  <c r="I159" i="165"/>
  <c r="I196" i="165"/>
  <c r="I162" i="165"/>
  <c r="I167" i="165"/>
  <c r="I151" i="165"/>
  <c r="I172" i="165"/>
  <c r="I154" i="165"/>
  <c r="I200" i="165"/>
  <c r="I180" i="165"/>
  <c r="I199" i="165"/>
  <c r="I170" i="165"/>
  <c r="I155" i="165"/>
  <c r="I158" i="165"/>
  <c r="I189" i="165"/>
  <c r="I152" i="165"/>
  <c r="I160" i="165"/>
  <c r="J1" i="165"/>
  <c r="T56" i="162"/>
  <c r="I156" i="165" l="1"/>
  <c r="I174" i="165"/>
  <c r="I212" i="165"/>
  <c r="I214" i="165"/>
  <c r="I209" i="165"/>
  <c r="I130" i="165"/>
  <c r="I131" i="165"/>
  <c r="I99" i="165"/>
  <c r="I61" i="165"/>
  <c r="I64" i="165"/>
  <c r="I65" i="165"/>
  <c r="I22" i="165"/>
  <c r="I41" i="165"/>
  <c r="I11" i="165"/>
  <c r="I12" i="165"/>
  <c r="I208" i="165"/>
  <c r="I164" i="165"/>
  <c r="I187" i="165"/>
  <c r="I190" i="165"/>
  <c r="I150" i="165"/>
  <c r="I149" i="165"/>
  <c r="I136" i="165"/>
  <c r="I76" i="165"/>
  <c r="I93" i="165"/>
  <c r="I82" i="165"/>
  <c r="I88" i="165"/>
  <c r="I45" i="165"/>
  <c r="I51" i="165"/>
  <c r="I16" i="165"/>
  <c r="I17" i="165"/>
  <c r="I161" i="165"/>
  <c r="I211" i="165"/>
  <c r="I198" i="165"/>
  <c r="I203" i="165"/>
  <c r="I145" i="165"/>
  <c r="I125" i="165"/>
  <c r="I47" i="165"/>
  <c r="I109" i="165"/>
  <c r="I84" i="165"/>
  <c r="I87" i="165"/>
  <c r="I75" i="165"/>
  <c r="I50" i="165"/>
  <c r="I39" i="165"/>
  <c r="I4" i="165"/>
  <c r="I166" i="165"/>
  <c r="I184" i="165"/>
  <c r="I165" i="165"/>
  <c r="I192" i="165"/>
  <c r="I204" i="165"/>
  <c r="I137" i="165"/>
  <c r="I3" i="165"/>
  <c r="I126" i="165"/>
  <c r="I140" i="165"/>
  <c r="I71" i="165"/>
  <c r="I98" i="165"/>
  <c r="I69" i="165"/>
  <c r="I83" i="165"/>
  <c r="I52" i="165"/>
  <c r="I60" i="165"/>
  <c r="I27" i="165"/>
  <c r="I21" i="165"/>
  <c r="I5" i="165"/>
  <c r="I157" i="165"/>
  <c r="I176" i="165"/>
  <c r="I177" i="165"/>
  <c r="I182" i="165"/>
  <c r="I188" i="165"/>
  <c r="I193" i="165"/>
  <c r="I148" i="165"/>
  <c r="I147" i="165"/>
  <c r="I124" i="165"/>
  <c r="I132" i="165"/>
  <c r="I100" i="165"/>
  <c r="I96" i="165"/>
  <c r="I10" i="165"/>
  <c r="I81" i="165"/>
  <c r="I8" i="165"/>
  <c r="I58" i="165"/>
  <c r="I35" i="165"/>
  <c r="J139" i="165"/>
  <c r="J78" i="165"/>
  <c r="I139" i="165"/>
  <c r="I78" i="165"/>
  <c r="J10" i="165"/>
  <c r="J22" i="165"/>
  <c r="J34" i="165"/>
  <c r="J5" i="165"/>
  <c r="J17" i="165"/>
  <c r="J29" i="165"/>
  <c r="J12" i="165"/>
  <c r="J24" i="165"/>
  <c r="J36" i="165"/>
  <c r="J7" i="165"/>
  <c r="J19" i="165"/>
  <c r="J31" i="165"/>
  <c r="J14" i="165"/>
  <c r="J26" i="165"/>
  <c r="J9" i="165"/>
  <c r="J21" i="165"/>
  <c r="J33" i="165"/>
  <c r="J4" i="165"/>
  <c r="J16" i="165"/>
  <c r="J28" i="165"/>
  <c r="J11" i="165"/>
  <c r="J23" i="165"/>
  <c r="J35" i="165"/>
  <c r="J8" i="165"/>
  <c r="J20" i="165"/>
  <c r="J32" i="165"/>
  <c r="J18" i="165"/>
  <c r="J37" i="165"/>
  <c r="J49" i="165"/>
  <c r="J61" i="165"/>
  <c r="J44" i="165"/>
  <c r="J56" i="165"/>
  <c r="J15" i="165"/>
  <c r="J39" i="165"/>
  <c r="J51" i="165"/>
  <c r="J6" i="165"/>
  <c r="J46" i="165"/>
  <c r="J58" i="165"/>
  <c r="J41" i="165"/>
  <c r="J53" i="165"/>
  <c r="J48" i="165"/>
  <c r="J60" i="165"/>
  <c r="J43" i="165"/>
  <c r="J55" i="165"/>
  <c r="J25" i="165"/>
  <c r="J38" i="165"/>
  <c r="J50" i="165"/>
  <c r="J45" i="165"/>
  <c r="J57" i="165"/>
  <c r="J13" i="165"/>
  <c r="J47" i="165"/>
  <c r="J59" i="165"/>
  <c r="J52" i="165"/>
  <c r="J66" i="165"/>
  <c r="J79" i="165"/>
  <c r="J73" i="165"/>
  <c r="J86" i="165"/>
  <c r="J68" i="165"/>
  <c r="J81" i="165"/>
  <c r="J63" i="165"/>
  <c r="J75" i="165"/>
  <c r="J88" i="165"/>
  <c r="J70" i="165"/>
  <c r="J83" i="165"/>
  <c r="J27" i="165"/>
  <c r="J65" i="165"/>
  <c r="J77" i="165"/>
  <c r="J72" i="165"/>
  <c r="J85" i="165"/>
  <c r="J67" i="165"/>
  <c r="J80" i="165"/>
  <c r="J30" i="165"/>
  <c r="J62" i="165"/>
  <c r="J74" i="165"/>
  <c r="J87" i="165"/>
  <c r="J82" i="165"/>
  <c r="J94" i="165"/>
  <c r="J106" i="165"/>
  <c r="J40" i="165"/>
  <c r="J64" i="165"/>
  <c r="J101" i="165"/>
  <c r="J113" i="165"/>
  <c r="J96" i="165"/>
  <c r="J108" i="165"/>
  <c r="J42" i="165"/>
  <c r="J69" i="165"/>
  <c r="J91" i="165"/>
  <c r="J103" i="165"/>
  <c r="J98" i="165"/>
  <c r="J110" i="165"/>
  <c r="J84" i="165"/>
  <c r="J93" i="165"/>
  <c r="J105" i="165"/>
  <c r="J100" i="165"/>
  <c r="J112" i="165"/>
  <c r="J89" i="165"/>
  <c r="J95" i="165"/>
  <c r="J107" i="165"/>
  <c r="J54" i="165"/>
  <c r="J71" i="165"/>
  <c r="J90" i="165"/>
  <c r="J102" i="165"/>
  <c r="J114" i="165"/>
  <c r="J125" i="165"/>
  <c r="J137" i="165"/>
  <c r="J76" i="165"/>
  <c r="J120" i="165"/>
  <c r="J132" i="165"/>
  <c r="J99" i="165"/>
  <c r="J115" i="165"/>
  <c r="J127" i="165"/>
  <c r="J140" i="165"/>
  <c r="J122" i="165"/>
  <c r="J134" i="165"/>
  <c r="J104" i="165"/>
  <c r="J117" i="165"/>
  <c r="J129" i="165"/>
  <c r="J124" i="165"/>
  <c r="J136" i="165"/>
  <c r="J109" i="165"/>
  <c r="J119" i="165"/>
  <c r="J131" i="165"/>
  <c r="J92" i="165"/>
  <c r="J126" i="165"/>
  <c r="J121" i="165"/>
  <c r="J133" i="165"/>
  <c r="J128" i="165"/>
  <c r="J147" i="165"/>
  <c r="J142" i="165"/>
  <c r="J97" i="165"/>
  <c r="J116" i="165"/>
  <c r="J149" i="165"/>
  <c r="J144" i="165"/>
  <c r="J3" i="165"/>
  <c r="J130" i="165"/>
  <c r="J146" i="165"/>
  <c r="J135" i="165"/>
  <c r="J141" i="165"/>
  <c r="J111" i="165"/>
  <c r="J118" i="165"/>
  <c r="J148" i="165"/>
  <c r="J138" i="165"/>
  <c r="J143" i="165"/>
  <c r="J123" i="165"/>
  <c r="J145" i="165"/>
  <c r="J150" i="165"/>
  <c r="J214" i="165"/>
  <c r="J202" i="165"/>
  <c r="J190" i="165"/>
  <c r="J210" i="165"/>
  <c r="J198" i="165"/>
  <c r="J213" i="165"/>
  <c r="J200" i="165"/>
  <c r="J187" i="165"/>
  <c r="J182" i="165"/>
  <c r="J212" i="165"/>
  <c r="J199" i="165"/>
  <c r="J203" i="165"/>
  <c r="J197" i="165"/>
  <c r="J196" i="165"/>
  <c r="J208" i="165"/>
  <c r="J207" i="165"/>
  <c r="J194" i="165"/>
  <c r="J181" i="165"/>
  <c r="J178" i="165"/>
  <c r="J211" i="165"/>
  <c r="J201" i="165"/>
  <c r="J193" i="165"/>
  <c r="J176" i="165"/>
  <c r="J192" i="165"/>
  <c r="J172" i="165"/>
  <c r="J189" i="165"/>
  <c r="J184" i="165"/>
  <c r="J183" i="165"/>
  <c r="J175" i="165"/>
  <c r="J191" i="165"/>
  <c r="J205" i="165"/>
  <c r="J167" i="165"/>
  <c r="J158" i="165"/>
  <c r="J180" i="165"/>
  <c r="J170" i="165"/>
  <c r="J156" i="165"/>
  <c r="J177" i="165"/>
  <c r="J164" i="165"/>
  <c r="J204" i="165"/>
  <c r="J186" i="165"/>
  <c r="J185" i="165"/>
  <c r="J165" i="165"/>
  <c r="J169" i="165"/>
  <c r="J168" i="165"/>
  <c r="J163" i="165"/>
  <c r="J195" i="165"/>
  <c r="J166" i="165"/>
  <c r="J155" i="165"/>
  <c r="J188" i="165"/>
  <c r="J160" i="165"/>
  <c r="J206" i="165"/>
  <c r="J151" i="165"/>
  <c r="J171" i="165"/>
  <c r="J162" i="165"/>
  <c r="J154" i="165"/>
  <c r="J153" i="165"/>
  <c r="J157" i="165"/>
  <c r="J152" i="165"/>
  <c r="J159" i="165"/>
  <c r="J209" i="165"/>
  <c r="J161" i="165"/>
  <c r="J215" i="165"/>
  <c r="J179" i="165"/>
  <c r="J174" i="165"/>
  <c r="J173" i="165"/>
  <c r="K1" i="165"/>
  <c r="T44" i="162"/>
  <c r="T43" i="162"/>
  <c r="T42" i="162"/>
  <c r="K139" i="165" l="1"/>
  <c r="K78" i="165"/>
  <c r="K15" i="165"/>
  <c r="K27" i="165"/>
  <c r="K10" i="165"/>
  <c r="K22" i="165"/>
  <c r="K34" i="165"/>
  <c r="K5" i="165"/>
  <c r="K17" i="165"/>
  <c r="K29" i="165"/>
  <c r="K12" i="165"/>
  <c r="K24" i="165"/>
  <c r="K36" i="165"/>
  <c r="K7" i="165"/>
  <c r="K19" i="165"/>
  <c r="K31" i="165"/>
  <c r="K14" i="165"/>
  <c r="K26" i="165"/>
  <c r="K9" i="165"/>
  <c r="K21" i="165"/>
  <c r="K33" i="165"/>
  <c r="K4" i="165"/>
  <c r="K16" i="165"/>
  <c r="K28" i="165"/>
  <c r="K13" i="165"/>
  <c r="K25" i="165"/>
  <c r="K35" i="165"/>
  <c r="K42" i="165"/>
  <c r="K54" i="165"/>
  <c r="K18" i="165"/>
  <c r="K37" i="165"/>
  <c r="K49" i="165"/>
  <c r="K61" i="165"/>
  <c r="K32" i="165"/>
  <c r="K44" i="165"/>
  <c r="K56" i="165"/>
  <c r="K23" i="165"/>
  <c r="K39" i="165"/>
  <c r="K51" i="165"/>
  <c r="K6" i="165"/>
  <c r="K46" i="165"/>
  <c r="K58" i="165"/>
  <c r="K20" i="165"/>
  <c r="K41" i="165"/>
  <c r="K53" i="165"/>
  <c r="K11" i="165"/>
  <c r="K48" i="165"/>
  <c r="K60" i="165"/>
  <c r="K43" i="165"/>
  <c r="K55" i="165"/>
  <c r="K8" i="165"/>
  <c r="K38" i="165"/>
  <c r="K50" i="165"/>
  <c r="K30" i="165"/>
  <c r="K40" i="165"/>
  <c r="K52" i="165"/>
  <c r="K45" i="165"/>
  <c r="K71" i="165"/>
  <c r="K84" i="165"/>
  <c r="K59" i="165"/>
  <c r="K66" i="165"/>
  <c r="K79" i="165"/>
  <c r="K57" i="165"/>
  <c r="K73" i="165"/>
  <c r="K86" i="165"/>
  <c r="K68" i="165"/>
  <c r="K81" i="165"/>
  <c r="K63" i="165"/>
  <c r="K75" i="165"/>
  <c r="K88" i="165"/>
  <c r="K70" i="165"/>
  <c r="K83" i="165"/>
  <c r="K65" i="165"/>
  <c r="K77" i="165"/>
  <c r="K72" i="165"/>
  <c r="K85" i="165"/>
  <c r="K67" i="165"/>
  <c r="K80" i="165"/>
  <c r="K99" i="165"/>
  <c r="K111" i="165"/>
  <c r="K82" i="165"/>
  <c r="K94" i="165"/>
  <c r="K106" i="165"/>
  <c r="K64" i="165"/>
  <c r="K101" i="165"/>
  <c r="K113" i="165"/>
  <c r="K87" i="165"/>
  <c r="K96" i="165"/>
  <c r="K108" i="165"/>
  <c r="K69" i="165"/>
  <c r="K91" i="165"/>
  <c r="K103" i="165"/>
  <c r="K98" i="165"/>
  <c r="K110" i="165"/>
  <c r="K74" i="165"/>
  <c r="K93" i="165"/>
  <c r="K105" i="165"/>
  <c r="K100" i="165"/>
  <c r="K112" i="165"/>
  <c r="K89" i="165"/>
  <c r="K95" i="165"/>
  <c r="K107" i="165"/>
  <c r="K102" i="165"/>
  <c r="K118" i="165"/>
  <c r="K130" i="165"/>
  <c r="K125" i="165"/>
  <c r="K137" i="165"/>
  <c r="K76" i="165"/>
  <c r="K114" i="165"/>
  <c r="K120" i="165"/>
  <c r="K132" i="165"/>
  <c r="K90" i="165"/>
  <c r="K115" i="165"/>
  <c r="K127" i="165"/>
  <c r="K122" i="165"/>
  <c r="K134" i="165"/>
  <c r="K47" i="165"/>
  <c r="K104" i="165"/>
  <c r="K117" i="165"/>
  <c r="K129" i="165"/>
  <c r="K124" i="165"/>
  <c r="K136" i="165"/>
  <c r="K109" i="165"/>
  <c r="K119" i="165"/>
  <c r="K131" i="165"/>
  <c r="K92" i="165"/>
  <c r="K126" i="165"/>
  <c r="K138" i="165"/>
  <c r="K62" i="165"/>
  <c r="K145" i="165"/>
  <c r="K128" i="165"/>
  <c r="K140" i="165"/>
  <c r="K147" i="165"/>
  <c r="K133" i="165"/>
  <c r="K142" i="165"/>
  <c r="K97" i="165"/>
  <c r="K116" i="165"/>
  <c r="K149" i="165"/>
  <c r="K144" i="165"/>
  <c r="K3" i="165"/>
  <c r="K121" i="165"/>
  <c r="K146" i="165"/>
  <c r="K135" i="165"/>
  <c r="K141" i="165"/>
  <c r="K143" i="165"/>
  <c r="K148" i="165"/>
  <c r="K123" i="165"/>
  <c r="K150" i="165"/>
  <c r="K207" i="165"/>
  <c r="K195" i="165"/>
  <c r="K183" i="165"/>
  <c r="K215" i="165"/>
  <c r="K203" i="165"/>
  <c r="K191" i="165"/>
  <c r="K206" i="165"/>
  <c r="K193" i="165"/>
  <c r="K184" i="165"/>
  <c r="K205" i="165"/>
  <c r="K196" i="165"/>
  <c r="K190" i="165"/>
  <c r="K181" i="165"/>
  <c r="K209" i="165"/>
  <c r="K189" i="165"/>
  <c r="K213" i="165"/>
  <c r="K200" i="165"/>
  <c r="K212" i="165"/>
  <c r="K171" i="165"/>
  <c r="K197" i="165"/>
  <c r="K188" i="165"/>
  <c r="K180" i="165"/>
  <c r="K169" i="165"/>
  <c r="K177" i="165"/>
  <c r="K199" i="165"/>
  <c r="K186" i="165"/>
  <c r="K185" i="165"/>
  <c r="K214" i="165"/>
  <c r="K194" i="165"/>
  <c r="K178" i="165"/>
  <c r="K168" i="165"/>
  <c r="K163" i="165"/>
  <c r="K208" i="165"/>
  <c r="K176" i="165"/>
  <c r="K161" i="165"/>
  <c r="K211" i="165"/>
  <c r="K201" i="165"/>
  <c r="K157" i="165"/>
  <c r="K179" i="165"/>
  <c r="K174" i="165"/>
  <c r="K162" i="165"/>
  <c r="K160" i="165"/>
  <c r="K202" i="165"/>
  <c r="K187" i="165"/>
  <c r="K182" i="165"/>
  <c r="K175" i="165"/>
  <c r="K167" i="165"/>
  <c r="K170" i="165"/>
  <c r="K154" i="165"/>
  <c r="K153" i="165"/>
  <c r="K173" i="165"/>
  <c r="K156" i="165"/>
  <c r="K152" i="165"/>
  <c r="K210" i="165"/>
  <c r="K164" i="165"/>
  <c r="K192" i="165"/>
  <c r="K172" i="165"/>
  <c r="K166" i="165"/>
  <c r="K155" i="165"/>
  <c r="K198" i="165"/>
  <c r="K151" i="165"/>
  <c r="K158" i="165"/>
  <c r="K165" i="165"/>
  <c r="K204" i="165"/>
  <c r="K159" i="165"/>
  <c r="L1" i="165"/>
  <c r="T53" i="162"/>
  <c r="T52" i="162"/>
  <c r="T51" i="162"/>
  <c r="T50" i="162"/>
  <c r="T49" i="162"/>
  <c r="L139" i="165" l="1"/>
  <c r="L78" i="165"/>
  <c r="L8" i="165"/>
  <c r="L20" i="165"/>
  <c r="L32" i="165"/>
  <c r="L15" i="165"/>
  <c r="L27" i="165"/>
  <c r="L10" i="165"/>
  <c r="L22" i="165"/>
  <c r="L34" i="165"/>
  <c r="L5" i="165"/>
  <c r="L17" i="165"/>
  <c r="L29" i="165"/>
  <c r="L12" i="165"/>
  <c r="L24" i="165"/>
  <c r="L36" i="165"/>
  <c r="L7" i="165"/>
  <c r="L19" i="165"/>
  <c r="L31" i="165"/>
  <c r="L14" i="165"/>
  <c r="L26" i="165"/>
  <c r="L9" i="165"/>
  <c r="L21" i="165"/>
  <c r="L33" i="165"/>
  <c r="L6" i="165"/>
  <c r="L18" i="165"/>
  <c r="L30" i="165"/>
  <c r="L4" i="165"/>
  <c r="L47" i="165"/>
  <c r="L59" i="165"/>
  <c r="L35" i="165"/>
  <c r="L42" i="165"/>
  <c r="L54" i="165"/>
  <c r="L37" i="165"/>
  <c r="L49" i="165"/>
  <c r="L61" i="165"/>
  <c r="L44" i="165"/>
  <c r="L56" i="165"/>
  <c r="L23" i="165"/>
  <c r="L39" i="165"/>
  <c r="L51" i="165"/>
  <c r="L46" i="165"/>
  <c r="L58" i="165"/>
  <c r="L28" i="165"/>
  <c r="L41" i="165"/>
  <c r="L53" i="165"/>
  <c r="L11" i="165"/>
  <c r="L48" i="165"/>
  <c r="L60" i="165"/>
  <c r="L25" i="165"/>
  <c r="L43" i="165"/>
  <c r="L55" i="165"/>
  <c r="L45" i="165"/>
  <c r="L57" i="165"/>
  <c r="L38" i="165"/>
  <c r="L64" i="165"/>
  <c r="L76" i="165"/>
  <c r="L89" i="165"/>
  <c r="L52" i="165"/>
  <c r="L71" i="165"/>
  <c r="L84" i="165"/>
  <c r="L16" i="165"/>
  <c r="L50" i="165"/>
  <c r="L66" i="165"/>
  <c r="L79" i="165"/>
  <c r="L73" i="165"/>
  <c r="L86" i="165"/>
  <c r="L68" i="165"/>
  <c r="L81" i="165"/>
  <c r="L63" i="165"/>
  <c r="L75" i="165"/>
  <c r="L88" i="165"/>
  <c r="L70" i="165"/>
  <c r="L83" i="165"/>
  <c r="L65" i="165"/>
  <c r="L77" i="165"/>
  <c r="L72" i="165"/>
  <c r="L85" i="165"/>
  <c r="L67" i="165"/>
  <c r="L92" i="165"/>
  <c r="L104" i="165"/>
  <c r="L99" i="165"/>
  <c r="L111" i="165"/>
  <c r="L13" i="165"/>
  <c r="L40" i="165"/>
  <c r="L82" i="165"/>
  <c r="L94" i="165"/>
  <c r="L106" i="165"/>
  <c r="L101" i="165"/>
  <c r="L113" i="165"/>
  <c r="L87" i="165"/>
  <c r="L96" i="165"/>
  <c r="L108" i="165"/>
  <c r="L69" i="165"/>
  <c r="L91" i="165"/>
  <c r="L103" i="165"/>
  <c r="L98" i="165"/>
  <c r="L110" i="165"/>
  <c r="L74" i="165"/>
  <c r="L93" i="165"/>
  <c r="L105" i="165"/>
  <c r="L100" i="165"/>
  <c r="L112" i="165"/>
  <c r="L123" i="165"/>
  <c r="L135" i="165"/>
  <c r="L102" i="165"/>
  <c r="L118" i="165"/>
  <c r="L130" i="165"/>
  <c r="L125" i="165"/>
  <c r="L137" i="165"/>
  <c r="L107" i="165"/>
  <c r="L114" i="165"/>
  <c r="L120" i="165"/>
  <c r="L132" i="165"/>
  <c r="L90" i="165"/>
  <c r="L115" i="165"/>
  <c r="L127" i="165"/>
  <c r="L122" i="165"/>
  <c r="L134" i="165"/>
  <c r="L80" i="165"/>
  <c r="L95" i="165"/>
  <c r="L117" i="165"/>
  <c r="L129" i="165"/>
  <c r="L124" i="165"/>
  <c r="L136" i="165"/>
  <c r="L109" i="165"/>
  <c r="L119" i="165"/>
  <c r="L131" i="165"/>
  <c r="L138" i="165"/>
  <c r="L150" i="165"/>
  <c r="L62" i="165"/>
  <c r="L145" i="165"/>
  <c r="L128" i="165"/>
  <c r="L140" i="165"/>
  <c r="L147" i="165"/>
  <c r="L133" i="165"/>
  <c r="L142" i="165"/>
  <c r="L97" i="165"/>
  <c r="L116" i="165"/>
  <c r="L149" i="165"/>
  <c r="L144" i="165"/>
  <c r="L3" i="165"/>
  <c r="L121" i="165"/>
  <c r="L146" i="165"/>
  <c r="L126" i="165"/>
  <c r="L141" i="165"/>
  <c r="L143" i="165"/>
  <c r="L148" i="165"/>
  <c r="L212" i="165"/>
  <c r="L200" i="165"/>
  <c r="L188" i="165"/>
  <c r="L208" i="165"/>
  <c r="L196" i="165"/>
  <c r="L199" i="165"/>
  <c r="L180" i="165"/>
  <c r="L211" i="165"/>
  <c r="L198" i="165"/>
  <c r="L209" i="165"/>
  <c r="L189" i="165"/>
  <c r="L215" i="165"/>
  <c r="L202" i="165"/>
  <c r="L214" i="165"/>
  <c r="L206" i="165"/>
  <c r="L193" i="165"/>
  <c r="L205" i="165"/>
  <c r="L201" i="165"/>
  <c r="L176" i="165"/>
  <c r="L210" i="165"/>
  <c r="L174" i="165"/>
  <c r="L179" i="165"/>
  <c r="L170" i="165"/>
  <c r="L207" i="165"/>
  <c r="L203" i="165"/>
  <c r="L195" i="165"/>
  <c r="L187" i="165"/>
  <c r="L182" i="165"/>
  <c r="L173" i="165"/>
  <c r="L213" i="165"/>
  <c r="L181" i="165"/>
  <c r="L197" i="165"/>
  <c r="L169" i="165"/>
  <c r="L156" i="165"/>
  <c r="L192" i="165"/>
  <c r="L172" i="165"/>
  <c r="L171" i="165"/>
  <c r="L166" i="165"/>
  <c r="L154" i="165"/>
  <c r="L162" i="165"/>
  <c r="L204" i="165"/>
  <c r="L165" i="165"/>
  <c r="L194" i="165"/>
  <c r="L191" i="165"/>
  <c r="L178" i="165"/>
  <c r="L168" i="165"/>
  <c r="L163" i="165"/>
  <c r="L155" i="165"/>
  <c r="L157" i="165"/>
  <c r="L160" i="165"/>
  <c r="L177" i="165"/>
  <c r="L161" i="165"/>
  <c r="L151" i="165"/>
  <c r="L185" i="165"/>
  <c r="L183" i="165"/>
  <c r="L167" i="165"/>
  <c r="L153" i="165"/>
  <c r="L152" i="165"/>
  <c r="L159" i="165"/>
  <c r="L158" i="165"/>
  <c r="L186" i="165"/>
  <c r="L190" i="165"/>
  <c r="L175" i="165"/>
  <c r="L184" i="165"/>
  <c r="L164" i="165"/>
  <c r="M1" i="165"/>
  <c r="T61" i="162"/>
  <c r="T60" i="162"/>
  <c r="T59" i="162"/>
  <c r="T58" i="162"/>
  <c r="M139" i="165" l="1"/>
  <c r="M78" i="165"/>
  <c r="M13" i="165"/>
  <c r="M25" i="165"/>
  <c r="M8" i="165"/>
  <c r="M20" i="165"/>
  <c r="M32" i="165"/>
  <c r="M15" i="165"/>
  <c r="M27" i="165"/>
  <c r="M10" i="165"/>
  <c r="M22" i="165"/>
  <c r="M34" i="165"/>
  <c r="M5" i="165"/>
  <c r="M17" i="165"/>
  <c r="M29" i="165"/>
  <c r="M12" i="165"/>
  <c r="M24" i="165"/>
  <c r="M36" i="165"/>
  <c r="M7" i="165"/>
  <c r="M19" i="165"/>
  <c r="M31" i="165"/>
  <c r="M14" i="165"/>
  <c r="M26" i="165"/>
  <c r="M11" i="165"/>
  <c r="M23" i="165"/>
  <c r="M35" i="165"/>
  <c r="M21" i="165"/>
  <c r="M40" i="165"/>
  <c r="M52" i="165"/>
  <c r="M4" i="165"/>
  <c r="M47" i="165"/>
  <c r="M59" i="165"/>
  <c r="M18" i="165"/>
  <c r="M42" i="165"/>
  <c r="M54" i="165"/>
  <c r="M9" i="165"/>
  <c r="M37" i="165"/>
  <c r="M49" i="165"/>
  <c r="M61" i="165"/>
  <c r="M44" i="165"/>
  <c r="M56" i="165"/>
  <c r="M6" i="165"/>
  <c r="M39" i="165"/>
  <c r="M51" i="165"/>
  <c r="M46" i="165"/>
  <c r="M58" i="165"/>
  <c r="M28" i="165"/>
  <c r="M41" i="165"/>
  <c r="M53" i="165"/>
  <c r="M48" i="165"/>
  <c r="M60" i="165"/>
  <c r="M16" i="165"/>
  <c r="M38" i="165"/>
  <c r="M50" i="165"/>
  <c r="M33" i="165"/>
  <c r="M69" i="165"/>
  <c r="M82" i="165"/>
  <c r="M45" i="165"/>
  <c r="M64" i="165"/>
  <c r="M76" i="165"/>
  <c r="M89" i="165"/>
  <c r="M43" i="165"/>
  <c r="M71" i="165"/>
  <c r="M84" i="165"/>
  <c r="M57" i="165"/>
  <c r="M66" i="165"/>
  <c r="M79" i="165"/>
  <c r="M55" i="165"/>
  <c r="M73" i="165"/>
  <c r="M86" i="165"/>
  <c r="M68" i="165"/>
  <c r="M81" i="165"/>
  <c r="M63" i="165"/>
  <c r="M75" i="165"/>
  <c r="M88" i="165"/>
  <c r="M70" i="165"/>
  <c r="M83" i="165"/>
  <c r="M65" i="165"/>
  <c r="M77" i="165"/>
  <c r="M85" i="165"/>
  <c r="M97" i="165"/>
  <c r="M109" i="165"/>
  <c r="M67" i="165"/>
  <c r="M92" i="165"/>
  <c r="M104" i="165"/>
  <c r="M99" i="165"/>
  <c r="M111" i="165"/>
  <c r="M72" i="165"/>
  <c r="M94" i="165"/>
  <c r="M106" i="165"/>
  <c r="M101" i="165"/>
  <c r="M87" i="165"/>
  <c r="M96" i="165"/>
  <c r="M108" i="165"/>
  <c r="M30" i="165"/>
  <c r="M91" i="165"/>
  <c r="M103" i="165"/>
  <c r="M98" i="165"/>
  <c r="M110" i="165"/>
  <c r="M74" i="165"/>
  <c r="M93" i="165"/>
  <c r="M105" i="165"/>
  <c r="M116" i="165"/>
  <c r="M128" i="165"/>
  <c r="M123" i="165"/>
  <c r="M135" i="165"/>
  <c r="M102" i="165"/>
  <c r="M118" i="165"/>
  <c r="M130" i="165"/>
  <c r="M113" i="165"/>
  <c r="M125" i="165"/>
  <c r="M137" i="165"/>
  <c r="M107" i="165"/>
  <c r="M114" i="165"/>
  <c r="M120" i="165"/>
  <c r="M132" i="165"/>
  <c r="M90" i="165"/>
  <c r="M115" i="165"/>
  <c r="M127" i="165"/>
  <c r="M112" i="165"/>
  <c r="M122" i="165"/>
  <c r="M134" i="165"/>
  <c r="M80" i="165"/>
  <c r="M95" i="165"/>
  <c r="M117" i="165"/>
  <c r="M129" i="165"/>
  <c r="M124" i="165"/>
  <c r="M136" i="165"/>
  <c r="M131" i="165"/>
  <c r="M143" i="165"/>
  <c r="M138" i="165"/>
  <c r="M150" i="165"/>
  <c r="M62" i="165"/>
  <c r="M145" i="165"/>
  <c r="M119" i="165"/>
  <c r="M140" i="165"/>
  <c r="M147" i="165"/>
  <c r="M133" i="165"/>
  <c r="M142" i="165"/>
  <c r="M149" i="165"/>
  <c r="M144" i="165"/>
  <c r="M3" i="165"/>
  <c r="M121" i="165"/>
  <c r="M126" i="165"/>
  <c r="M141" i="165"/>
  <c r="M146" i="165"/>
  <c r="M100" i="165"/>
  <c r="M148" i="165"/>
  <c r="M205" i="165"/>
  <c r="M193" i="165"/>
  <c r="M213" i="165"/>
  <c r="M201" i="165"/>
  <c r="M189" i="165"/>
  <c r="M212" i="165"/>
  <c r="M192" i="165"/>
  <c r="M204" i="165"/>
  <c r="M215" i="165"/>
  <c r="M202" i="165"/>
  <c r="M185" i="165"/>
  <c r="M208" i="165"/>
  <c r="M195" i="165"/>
  <c r="M199" i="165"/>
  <c r="M211" i="165"/>
  <c r="M197" i="165"/>
  <c r="M169" i="165"/>
  <c r="M167" i="165"/>
  <c r="M207" i="165"/>
  <c r="M203" i="165"/>
  <c r="M175" i="165"/>
  <c r="M186" i="165"/>
  <c r="M184" i="165"/>
  <c r="M183" i="165"/>
  <c r="M206" i="165"/>
  <c r="M198" i="165"/>
  <c r="M194" i="165"/>
  <c r="M191" i="165"/>
  <c r="M178" i="165"/>
  <c r="M210" i="165"/>
  <c r="M188" i="165"/>
  <c r="M170" i="165"/>
  <c r="M161" i="165"/>
  <c r="M200" i="165"/>
  <c r="M159" i="165"/>
  <c r="M179" i="165"/>
  <c r="M174" i="165"/>
  <c r="M155" i="165"/>
  <c r="M209" i="165"/>
  <c r="M190" i="165"/>
  <c r="M214" i="165"/>
  <c r="M181" i="165"/>
  <c r="M172" i="165"/>
  <c r="M171" i="165"/>
  <c r="M166" i="165"/>
  <c r="M152" i="165"/>
  <c r="M158" i="165"/>
  <c r="M180" i="165"/>
  <c r="M176" i="165"/>
  <c r="M164" i="165"/>
  <c r="M187" i="165"/>
  <c r="M168" i="165"/>
  <c r="M163" i="165"/>
  <c r="M154" i="165"/>
  <c r="M173" i="165"/>
  <c r="M165" i="165"/>
  <c r="M157" i="165"/>
  <c r="M156" i="165"/>
  <c r="M182" i="165"/>
  <c r="M160" i="165"/>
  <c r="M196" i="165"/>
  <c r="M162" i="165"/>
  <c r="M177" i="165"/>
  <c r="M153" i="165"/>
  <c r="M151" i="165"/>
  <c r="N1" i="165"/>
  <c r="N139" i="165" l="1"/>
  <c r="N78" i="165"/>
  <c r="N6" i="165"/>
  <c r="N18" i="165"/>
  <c r="N30" i="165"/>
  <c r="N13" i="165"/>
  <c r="N25" i="165"/>
  <c r="N8" i="165"/>
  <c r="N20" i="165"/>
  <c r="N32" i="165"/>
  <c r="N15" i="165"/>
  <c r="N27" i="165"/>
  <c r="N10" i="165"/>
  <c r="N22" i="165"/>
  <c r="N34" i="165"/>
  <c r="N5" i="165"/>
  <c r="N17" i="165"/>
  <c r="N29" i="165"/>
  <c r="N12" i="165"/>
  <c r="N24" i="165"/>
  <c r="N36" i="165"/>
  <c r="N7" i="165"/>
  <c r="N19" i="165"/>
  <c r="N31" i="165"/>
  <c r="N4" i="165"/>
  <c r="N16" i="165"/>
  <c r="N28" i="165"/>
  <c r="N45" i="165"/>
  <c r="N57" i="165"/>
  <c r="N21" i="165"/>
  <c r="N40" i="165"/>
  <c r="N52" i="165"/>
  <c r="N35" i="165"/>
  <c r="N47" i="165"/>
  <c r="N59" i="165"/>
  <c r="N26" i="165"/>
  <c r="N42" i="165"/>
  <c r="N54" i="165"/>
  <c r="N9" i="165"/>
  <c r="N37" i="165"/>
  <c r="N49" i="165"/>
  <c r="N61" i="165"/>
  <c r="N23" i="165"/>
  <c r="N44" i="165"/>
  <c r="N56" i="165"/>
  <c r="N14" i="165"/>
  <c r="N39" i="165"/>
  <c r="N51" i="165"/>
  <c r="N46" i="165"/>
  <c r="N58" i="165"/>
  <c r="N11" i="165"/>
  <c r="N41" i="165"/>
  <c r="N53" i="165"/>
  <c r="N33" i="165"/>
  <c r="N43" i="165"/>
  <c r="N55" i="165"/>
  <c r="N62" i="165"/>
  <c r="N74" i="165"/>
  <c r="N87" i="165"/>
  <c r="N38" i="165"/>
  <c r="N69" i="165"/>
  <c r="N82" i="165"/>
  <c r="N64" i="165"/>
  <c r="N76" i="165"/>
  <c r="N89" i="165"/>
  <c r="N50" i="165"/>
  <c r="N71" i="165"/>
  <c r="N84" i="165"/>
  <c r="N48" i="165"/>
  <c r="N66" i="165"/>
  <c r="N79" i="165"/>
  <c r="N73" i="165"/>
  <c r="N86" i="165"/>
  <c r="N60" i="165"/>
  <c r="N68" i="165"/>
  <c r="N81" i="165"/>
  <c r="N63" i="165"/>
  <c r="N75" i="165"/>
  <c r="N88" i="165"/>
  <c r="N70" i="165"/>
  <c r="N83" i="165"/>
  <c r="N90" i="165"/>
  <c r="N102" i="165"/>
  <c r="N114" i="165"/>
  <c r="N85" i="165"/>
  <c r="N97" i="165"/>
  <c r="N109" i="165"/>
  <c r="N67" i="165"/>
  <c r="N92" i="165"/>
  <c r="N104" i="165"/>
  <c r="N99" i="165"/>
  <c r="N111" i="165"/>
  <c r="N72" i="165"/>
  <c r="N94" i="165"/>
  <c r="N106" i="165"/>
  <c r="N101" i="165"/>
  <c r="N113" i="165"/>
  <c r="N77" i="165"/>
  <c r="N96" i="165"/>
  <c r="N108" i="165"/>
  <c r="N91" i="165"/>
  <c r="N103" i="165"/>
  <c r="N98" i="165"/>
  <c r="N110" i="165"/>
  <c r="N105" i="165"/>
  <c r="N121" i="165"/>
  <c r="N133" i="165"/>
  <c r="N116" i="165"/>
  <c r="N128" i="165"/>
  <c r="N123" i="165"/>
  <c r="N135" i="165"/>
  <c r="N65" i="165"/>
  <c r="N93" i="165"/>
  <c r="N118" i="165"/>
  <c r="N130" i="165"/>
  <c r="N125" i="165"/>
  <c r="N107" i="165"/>
  <c r="N120" i="165"/>
  <c r="N132" i="165"/>
  <c r="N115" i="165"/>
  <c r="N127" i="165"/>
  <c r="N140" i="165"/>
  <c r="N112" i="165"/>
  <c r="N122" i="165"/>
  <c r="N134" i="165"/>
  <c r="N80" i="165"/>
  <c r="N95" i="165"/>
  <c r="N117" i="165"/>
  <c r="N129" i="165"/>
  <c r="N137" i="165"/>
  <c r="N148" i="165"/>
  <c r="N131" i="165"/>
  <c r="N143" i="165"/>
  <c r="N138" i="165"/>
  <c r="N150" i="165"/>
  <c r="N136" i="165"/>
  <c r="N145" i="165"/>
  <c r="N119" i="165"/>
  <c r="N147" i="165"/>
  <c r="N124" i="165"/>
  <c r="N142" i="165"/>
  <c r="N149" i="165"/>
  <c r="N144" i="165"/>
  <c r="N3" i="165"/>
  <c r="N126" i="165"/>
  <c r="N141" i="165"/>
  <c r="N146" i="165"/>
  <c r="N100" i="165"/>
  <c r="N210" i="165"/>
  <c r="N198" i="165"/>
  <c r="N186" i="165"/>
  <c r="N206" i="165"/>
  <c r="N194" i="165"/>
  <c r="N211" i="165"/>
  <c r="N205" i="165"/>
  <c r="N178" i="165"/>
  <c r="N197" i="165"/>
  <c r="N208" i="165"/>
  <c r="N195" i="165"/>
  <c r="N214" i="165"/>
  <c r="N201" i="165"/>
  <c r="N188" i="165"/>
  <c r="N213" i="165"/>
  <c r="N212" i="165"/>
  <c r="N192" i="165"/>
  <c r="N180" i="165"/>
  <c r="N174" i="165"/>
  <c r="N209" i="165"/>
  <c r="N204" i="165"/>
  <c r="N190" i="165"/>
  <c r="N172" i="165"/>
  <c r="N199" i="165"/>
  <c r="N184" i="165"/>
  <c r="N183" i="165"/>
  <c r="N168" i="165"/>
  <c r="N187" i="165"/>
  <c r="N185" i="165"/>
  <c r="N182" i="165"/>
  <c r="N215" i="165"/>
  <c r="N202" i="165"/>
  <c r="N181" i="165"/>
  <c r="N176" i="165"/>
  <c r="N171" i="165"/>
  <c r="N166" i="165"/>
  <c r="N154" i="165"/>
  <c r="N173" i="165"/>
  <c r="N164" i="165"/>
  <c r="N193" i="165"/>
  <c r="N160" i="165"/>
  <c r="N196" i="165"/>
  <c r="N165" i="165"/>
  <c r="N207" i="165"/>
  <c r="N175" i="165"/>
  <c r="N167" i="165"/>
  <c r="N163" i="165"/>
  <c r="N170" i="165"/>
  <c r="N169" i="165"/>
  <c r="N157" i="165"/>
  <c r="N156" i="165"/>
  <c r="N189" i="165"/>
  <c r="N162" i="165"/>
  <c r="N159" i="165"/>
  <c r="N200" i="165"/>
  <c r="N203" i="165"/>
  <c r="N177" i="165"/>
  <c r="N151" i="165"/>
  <c r="N153" i="165"/>
  <c r="N155" i="165"/>
  <c r="N152" i="165"/>
  <c r="N158" i="165"/>
  <c r="N179" i="165"/>
  <c r="N191" i="165"/>
  <c r="N161" i="165"/>
  <c r="O1" i="165"/>
  <c r="T55" i="162"/>
  <c r="O139" i="165" l="1"/>
  <c r="O78" i="165"/>
  <c r="O11" i="165"/>
  <c r="O23" i="165"/>
  <c r="O35" i="165"/>
  <c r="O6" i="165"/>
  <c r="O18" i="165"/>
  <c r="O30" i="165"/>
  <c r="O13" i="165"/>
  <c r="O25" i="165"/>
  <c r="O8" i="165"/>
  <c r="O20" i="165"/>
  <c r="O32" i="165"/>
  <c r="O15" i="165"/>
  <c r="O27" i="165"/>
  <c r="O10" i="165"/>
  <c r="O22" i="165"/>
  <c r="O34" i="165"/>
  <c r="O5" i="165"/>
  <c r="O17" i="165"/>
  <c r="O29" i="165"/>
  <c r="O12" i="165"/>
  <c r="O24" i="165"/>
  <c r="O36" i="165"/>
  <c r="O9" i="165"/>
  <c r="O21" i="165"/>
  <c r="O33" i="165"/>
  <c r="O7" i="165"/>
  <c r="O38" i="165"/>
  <c r="O50" i="165"/>
  <c r="O45" i="165"/>
  <c r="O57" i="165"/>
  <c r="O4" i="165"/>
  <c r="O40" i="165"/>
  <c r="O52" i="165"/>
  <c r="O47" i="165"/>
  <c r="O59" i="165"/>
  <c r="O26" i="165"/>
  <c r="O42" i="165"/>
  <c r="O54" i="165"/>
  <c r="O37" i="165"/>
  <c r="O49" i="165"/>
  <c r="O61" i="165"/>
  <c r="O31" i="165"/>
  <c r="O44" i="165"/>
  <c r="O56" i="165"/>
  <c r="O14" i="165"/>
  <c r="O39" i="165"/>
  <c r="O51" i="165"/>
  <c r="O28" i="165"/>
  <c r="O46" i="165"/>
  <c r="O58" i="165"/>
  <c r="O48" i="165"/>
  <c r="O60" i="165"/>
  <c r="O67" i="165"/>
  <c r="O80" i="165"/>
  <c r="O62" i="165"/>
  <c r="O74" i="165"/>
  <c r="O87" i="165"/>
  <c r="O69" i="165"/>
  <c r="O82" i="165"/>
  <c r="O16" i="165"/>
  <c r="O43" i="165"/>
  <c r="O64" i="165"/>
  <c r="O76" i="165"/>
  <c r="O89" i="165"/>
  <c r="O41" i="165"/>
  <c r="O71" i="165"/>
  <c r="O84" i="165"/>
  <c r="O55" i="165"/>
  <c r="O66" i="165"/>
  <c r="O79" i="165"/>
  <c r="O19" i="165"/>
  <c r="O53" i="165"/>
  <c r="O73" i="165"/>
  <c r="O86" i="165"/>
  <c r="O68" i="165"/>
  <c r="O81" i="165"/>
  <c r="O63" i="165"/>
  <c r="O75" i="165"/>
  <c r="O88" i="165"/>
  <c r="O70" i="165"/>
  <c r="O95" i="165"/>
  <c r="O107" i="165"/>
  <c r="O90" i="165"/>
  <c r="O102" i="165"/>
  <c r="O114" i="165"/>
  <c r="O85" i="165"/>
  <c r="O97" i="165"/>
  <c r="O109" i="165"/>
  <c r="O92" i="165"/>
  <c r="O104" i="165"/>
  <c r="O99" i="165"/>
  <c r="O111" i="165"/>
  <c r="O72" i="165"/>
  <c r="O94" i="165"/>
  <c r="O106" i="165"/>
  <c r="O101" i="165"/>
  <c r="O113" i="165"/>
  <c r="O77" i="165"/>
  <c r="O96" i="165"/>
  <c r="O108" i="165"/>
  <c r="O91" i="165"/>
  <c r="O103" i="165"/>
  <c r="O83" i="165"/>
  <c r="O126" i="165"/>
  <c r="O138" i="165"/>
  <c r="O105" i="165"/>
  <c r="O121" i="165"/>
  <c r="O133" i="165"/>
  <c r="O116" i="165"/>
  <c r="O128" i="165"/>
  <c r="O110" i="165"/>
  <c r="O123" i="165"/>
  <c r="O135" i="165"/>
  <c r="O65" i="165"/>
  <c r="O93" i="165"/>
  <c r="O118" i="165"/>
  <c r="O130" i="165"/>
  <c r="O125" i="165"/>
  <c r="O137" i="165"/>
  <c r="O98" i="165"/>
  <c r="O120" i="165"/>
  <c r="O132" i="165"/>
  <c r="O115" i="165"/>
  <c r="O127" i="165"/>
  <c r="O112" i="165"/>
  <c r="O122" i="165"/>
  <c r="O134" i="165"/>
  <c r="O117" i="165"/>
  <c r="O141" i="165"/>
  <c r="O148" i="165"/>
  <c r="O131" i="165"/>
  <c r="O143" i="165"/>
  <c r="O150" i="165"/>
  <c r="O136" i="165"/>
  <c r="O145" i="165"/>
  <c r="O119" i="165"/>
  <c r="O140" i="165"/>
  <c r="O147" i="165"/>
  <c r="O124" i="165"/>
  <c r="O142" i="165"/>
  <c r="O149" i="165"/>
  <c r="O144" i="165"/>
  <c r="O146" i="165"/>
  <c r="O129" i="165"/>
  <c r="O3" i="165"/>
  <c r="O100" i="165"/>
  <c r="O215" i="165"/>
  <c r="O203" i="165"/>
  <c r="O191" i="165"/>
  <c r="O211" i="165"/>
  <c r="O199" i="165"/>
  <c r="O187" i="165"/>
  <c r="O204" i="165"/>
  <c r="O198" i="165"/>
  <c r="O186" i="165"/>
  <c r="O210" i="165"/>
  <c r="O214" i="165"/>
  <c r="O201" i="165"/>
  <c r="O188" i="165"/>
  <c r="O207" i="165"/>
  <c r="O194" i="165"/>
  <c r="O205" i="165"/>
  <c r="O193" i="165"/>
  <c r="O167" i="165"/>
  <c r="O200" i="165"/>
  <c r="O196" i="165"/>
  <c r="O177" i="165"/>
  <c r="O195" i="165"/>
  <c r="O185" i="165"/>
  <c r="O182" i="165"/>
  <c r="O173" i="165"/>
  <c r="O189" i="165"/>
  <c r="O176" i="165"/>
  <c r="O212" i="165"/>
  <c r="O197" i="165"/>
  <c r="O180" i="165"/>
  <c r="O172" i="165"/>
  <c r="O159" i="165"/>
  <c r="O157" i="165"/>
  <c r="O209" i="165"/>
  <c r="O190" i="165"/>
  <c r="O165" i="165"/>
  <c r="O153" i="165"/>
  <c r="O184" i="165"/>
  <c r="O183" i="165"/>
  <c r="O168" i="165"/>
  <c r="O171" i="165"/>
  <c r="O166" i="165"/>
  <c r="O208" i="165"/>
  <c r="O192" i="165"/>
  <c r="O158" i="165"/>
  <c r="O179" i="165"/>
  <c r="O164" i="165"/>
  <c r="O151" i="165"/>
  <c r="O161" i="165"/>
  <c r="O213" i="165"/>
  <c r="O202" i="165"/>
  <c r="O181" i="165"/>
  <c r="O178" i="165"/>
  <c r="O170" i="165"/>
  <c r="O169" i="165"/>
  <c r="O156" i="165"/>
  <c r="O162" i="165"/>
  <c r="O175" i="165"/>
  <c r="O174" i="165"/>
  <c r="O163" i="165"/>
  <c r="O154" i="165"/>
  <c r="O152" i="165"/>
  <c r="O160" i="165"/>
  <c r="O206" i="165"/>
  <c r="O155" i="165"/>
  <c r="P1" i="165"/>
  <c r="T47" i="162"/>
  <c r="T54" i="162"/>
  <c r="T35" i="162"/>
  <c r="P139" i="165" l="1"/>
  <c r="P78" i="165"/>
  <c r="P4" i="165"/>
  <c r="P16" i="165"/>
  <c r="P28" i="165"/>
  <c r="P11" i="165"/>
  <c r="P23" i="165"/>
  <c r="P35" i="165"/>
  <c r="P6" i="165"/>
  <c r="P18" i="165"/>
  <c r="P30" i="165"/>
  <c r="P13" i="165"/>
  <c r="P25" i="165"/>
  <c r="P8" i="165"/>
  <c r="P20" i="165"/>
  <c r="P32" i="165"/>
  <c r="P15" i="165"/>
  <c r="P27" i="165"/>
  <c r="P10" i="165"/>
  <c r="P22" i="165"/>
  <c r="P34" i="165"/>
  <c r="P5" i="165"/>
  <c r="P17" i="165"/>
  <c r="P29" i="165"/>
  <c r="P14" i="165"/>
  <c r="P26" i="165"/>
  <c r="P24" i="165"/>
  <c r="P43" i="165"/>
  <c r="P55" i="165"/>
  <c r="P7" i="165"/>
  <c r="P38" i="165"/>
  <c r="P50" i="165"/>
  <c r="P21" i="165"/>
  <c r="P45" i="165"/>
  <c r="P57" i="165"/>
  <c r="P12" i="165"/>
  <c r="P40" i="165"/>
  <c r="P52" i="165"/>
  <c r="P47" i="165"/>
  <c r="P59" i="165"/>
  <c r="P9" i="165"/>
  <c r="P42" i="165"/>
  <c r="P54" i="165"/>
  <c r="P37" i="165"/>
  <c r="P49" i="165"/>
  <c r="P61" i="165"/>
  <c r="P31" i="165"/>
  <c r="P44" i="165"/>
  <c r="P56" i="165"/>
  <c r="P39" i="165"/>
  <c r="P51" i="165"/>
  <c r="P19" i="165"/>
  <c r="P41" i="165"/>
  <c r="P53" i="165"/>
  <c r="P72" i="165"/>
  <c r="P85" i="165"/>
  <c r="P33" i="165"/>
  <c r="P67" i="165"/>
  <c r="P80" i="165"/>
  <c r="P62" i="165"/>
  <c r="P74" i="165"/>
  <c r="P87" i="165"/>
  <c r="P69" i="165"/>
  <c r="P82" i="165"/>
  <c r="P36" i="165"/>
  <c r="P64" i="165"/>
  <c r="P76" i="165"/>
  <c r="P89" i="165"/>
  <c r="P48" i="165"/>
  <c r="P71" i="165"/>
  <c r="P84" i="165"/>
  <c r="P46" i="165"/>
  <c r="P66" i="165"/>
  <c r="P79" i="165"/>
  <c r="P60" i="165"/>
  <c r="P73" i="165"/>
  <c r="P86" i="165"/>
  <c r="P58" i="165"/>
  <c r="P68" i="165"/>
  <c r="P81" i="165"/>
  <c r="P88" i="165"/>
  <c r="P100" i="165"/>
  <c r="P112" i="165"/>
  <c r="P70" i="165"/>
  <c r="P95" i="165"/>
  <c r="P107" i="165"/>
  <c r="P90" i="165"/>
  <c r="P102" i="165"/>
  <c r="P114" i="165"/>
  <c r="P75" i="165"/>
  <c r="P97" i="165"/>
  <c r="P109" i="165"/>
  <c r="P92" i="165"/>
  <c r="P104" i="165"/>
  <c r="P99" i="165"/>
  <c r="P111" i="165"/>
  <c r="P63" i="165"/>
  <c r="P94" i="165"/>
  <c r="P106" i="165"/>
  <c r="P101" i="165"/>
  <c r="P113" i="165"/>
  <c r="P77" i="165"/>
  <c r="P96" i="165"/>
  <c r="P108" i="165"/>
  <c r="P91" i="165"/>
  <c r="P119" i="165"/>
  <c r="P131" i="165"/>
  <c r="P83" i="165"/>
  <c r="P126" i="165"/>
  <c r="P138" i="165"/>
  <c r="P105" i="165"/>
  <c r="P121" i="165"/>
  <c r="P133" i="165"/>
  <c r="P116" i="165"/>
  <c r="P128" i="165"/>
  <c r="P110" i="165"/>
  <c r="P123" i="165"/>
  <c r="P135" i="165"/>
  <c r="P65" i="165"/>
  <c r="P93" i="165"/>
  <c r="P118" i="165"/>
  <c r="P130" i="165"/>
  <c r="P125" i="165"/>
  <c r="P137" i="165"/>
  <c r="P98" i="165"/>
  <c r="P120" i="165"/>
  <c r="P132" i="165"/>
  <c r="P115" i="165"/>
  <c r="P127" i="165"/>
  <c r="P134" i="165"/>
  <c r="P146" i="165"/>
  <c r="P117" i="165"/>
  <c r="P141" i="165"/>
  <c r="P148" i="165"/>
  <c r="P103" i="165"/>
  <c r="P122" i="165"/>
  <c r="P143" i="165"/>
  <c r="P150" i="165"/>
  <c r="P136" i="165"/>
  <c r="P145" i="165"/>
  <c r="P140" i="165"/>
  <c r="P147" i="165"/>
  <c r="P124" i="165"/>
  <c r="P142" i="165"/>
  <c r="P144" i="165"/>
  <c r="P149" i="165"/>
  <c r="P129" i="165"/>
  <c r="P3" i="165"/>
  <c r="P208" i="165"/>
  <c r="P196" i="165"/>
  <c r="P184" i="165"/>
  <c r="P204" i="165"/>
  <c r="P192" i="165"/>
  <c r="P197" i="165"/>
  <c r="P191" i="165"/>
  <c r="P183" i="165"/>
  <c r="P209" i="165"/>
  <c r="P203" i="165"/>
  <c r="P207" i="165"/>
  <c r="P194" i="165"/>
  <c r="P182" i="165"/>
  <c r="P213" i="165"/>
  <c r="P200" i="165"/>
  <c r="P212" i="165"/>
  <c r="P211" i="165"/>
  <c r="P198" i="165"/>
  <c r="P210" i="165"/>
  <c r="P190" i="165"/>
  <c r="P188" i="165"/>
  <c r="P172" i="165"/>
  <c r="P179" i="165"/>
  <c r="P170" i="165"/>
  <c r="P189" i="165"/>
  <c r="P187" i="165"/>
  <c r="P186" i="165"/>
  <c r="P206" i="165"/>
  <c r="P202" i="165"/>
  <c r="P181" i="165"/>
  <c r="P214" i="165"/>
  <c r="P205" i="165"/>
  <c r="P201" i="165"/>
  <c r="P193" i="165"/>
  <c r="P180" i="165"/>
  <c r="P164" i="165"/>
  <c r="P152" i="165"/>
  <c r="P177" i="165"/>
  <c r="P162" i="165"/>
  <c r="P158" i="165"/>
  <c r="P175" i="165"/>
  <c r="P163" i="165"/>
  <c r="P199" i="165"/>
  <c r="P185" i="165"/>
  <c r="P178" i="165"/>
  <c r="P169" i="165"/>
  <c r="P161" i="165"/>
  <c r="P176" i="165"/>
  <c r="P173" i="165"/>
  <c r="P215" i="165"/>
  <c r="P174" i="165"/>
  <c r="P155" i="165"/>
  <c r="P154" i="165"/>
  <c r="P171" i="165"/>
  <c r="P166" i="165"/>
  <c r="P157" i="165"/>
  <c r="P195" i="165"/>
  <c r="P159" i="165"/>
  <c r="P160" i="165"/>
  <c r="P151" i="165"/>
  <c r="P167" i="165"/>
  <c r="P156" i="165"/>
  <c r="P165" i="165"/>
  <c r="P153" i="165"/>
  <c r="P168" i="165"/>
  <c r="Q1" i="165"/>
  <c r="T41" i="162"/>
  <c r="T40" i="162"/>
  <c r="T34" i="162"/>
  <c r="T46" i="162"/>
  <c r="Q139" i="165" l="1"/>
  <c r="Q78" i="165"/>
  <c r="Q9" i="165"/>
  <c r="Q21" i="165"/>
  <c r="Q33" i="165"/>
  <c r="Q4" i="165"/>
  <c r="Q16" i="165"/>
  <c r="Q28" i="165"/>
  <c r="Q11" i="165"/>
  <c r="Q23" i="165"/>
  <c r="Q35" i="165"/>
  <c r="Q6" i="165"/>
  <c r="Q18" i="165"/>
  <c r="Q30" i="165"/>
  <c r="Q13" i="165"/>
  <c r="Q25" i="165"/>
  <c r="Q8" i="165"/>
  <c r="Q20" i="165"/>
  <c r="Q32" i="165"/>
  <c r="Q15" i="165"/>
  <c r="Q27" i="165"/>
  <c r="Q10" i="165"/>
  <c r="Q22" i="165"/>
  <c r="Q34" i="165"/>
  <c r="Q7" i="165"/>
  <c r="Q19" i="165"/>
  <c r="Q31" i="165"/>
  <c r="Q48" i="165"/>
  <c r="Q60" i="165"/>
  <c r="Q24" i="165"/>
  <c r="Q43" i="165"/>
  <c r="Q55" i="165"/>
  <c r="Q38" i="165"/>
  <c r="Q50" i="165"/>
  <c r="Q29" i="165"/>
  <c r="Q45" i="165"/>
  <c r="Q57" i="165"/>
  <c r="Q12" i="165"/>
  <c r="Q40" i="165"/>
  <c r="Q52" i="165"/>
  <c r="Q26" i="165"/>
  <c r="Q47" i="165"/>
  <c r="Q59" i="165"/>
  <c r="Q17" i="165"/>
  <c r="Q42" i="165"/>
  <c r="Q54" i="165"/>
  <c r="Q37" i="165"/>
  <c r="Q49" i="165"/>
  <c r="Q61" i="165"/>
  <c r="Q14" i="165"/>
  <c r="Q44" i="165"/>
  <c r="Q56" i="165"/>
  <c r="Q36" i="165"/>
  <c r="Q46" i="165"/>
  <c r="Q58" i="165"/>
  <c r="Q5" i="165"/>
  <c r="Q65" i="165"/>
  <c r="Q77" i="165"/>
  <c r="Q72" i="165"/>
  <c r="Q85" i="165"/>
  <c r="Q67" i="165"/>
  <c r="Q80" i="165"/>
  <c r="Q62" i="165"/>
  <c r="Q74" i="165"/>
  <c r="Q87" i="165"/>
  <c r="Q69" i="165"/>
  <c r="Q82" i="165"/>
  <c r="Q41" i="165"/>
  <c r="Q64" i="165"/>
  <c r="Q76" i="165"/>
  <c r="Q89" i="165"/>
  <c r="Q39" i="165"/>
  <c r="Q71" i="165"/>
  <c r="Q84" i="165"/>
  <c r="Q53" i="165"/>
  <c r="Q66" i="165"/>
  <c r="Q79" i="165"/>
  <c r="Q51" i="165"/>
  <c r="Q73" i="165"/>
  <c r="Q86" i="165"/>
  <c r="Q93" i="165"/>
  <c r="Q105" i="165"/>
  <c r="Q88" i="165"/>
  <c r="Q100" i="165"/>
  <c r="Q112" i="165"/>
  <c r="Q70" i="165"/>
  <c r="Q95" i="165"/>
  <c r="Q107" i="165"/>
  <c r="Q90" i="165"/>
  <c r="Q102" i="165"/>
  <c r="Q114" i="165"/>
  <c r="Q75" i="165"/>
  <c r="Q97" i="165"/>
  <c r="Q109" i="165"/>
  <c r="Q92" i="165"/>
  <c r="Q104" i="165"/>
  <c r="Q81" i="165"/>
  <c r="Q99" i="165"/>
  <c r="Q111" i="165"/>
  <c r="Q63" i="165"/>
  <c r="Q94" i="165"/>
  <c r="Q106" i="165"/>
  <c r="Q101" i="165"/>
  <c r="Q113" i="165"/>
  <c r="Q108" i="165"/>
  <c r="Q124" i="165"/>
  <c r="Q136" i="165"/>
  <c r="Q91" i="165"/>
  <c r="Q119" i="165"/>
  <c r="Q131" i="165"/>
  <c r="Q83" i="165"/>
  <c r="Q126" i="165"/>
  <c r="Q138" i="165"/>
  <c r="Q96" i="165"/>
  <c r="Q121" i="165"/>
  <c r="Q133" i="165"/>
  <c r="Q116" i="165"/>
  <c r="Q128" i="165"/>
  <c r="Q110" i="165"/>
  <c r="Q123" i="165"/>
  <c r="Q135" i="165"/>
  <c r="Q118" i="165"/>
  <c r="Q130" i="165"/>
  <c r="Q125" i="165"/>
  <c r="Q98" i="165"/>
  <c r="Q120" i="165"/>
  <c r="Q132" i="165"/>
  <c r="Q134" i="165"/>
  <c r="Q137" i="165"/>
  <c r="Q146" i="165"/>
  <c r="Q117" i="165"/>
  <c r="Q141" i="165"/>
  <c r="Q68" i="165"/>
  <c r="Q148" i="165"/>
  <c r="Q103" i="165"/>
  <c r="Q122" i="165"/>
  <c r="Q143" i="165"/>
  <c r="Q150" i="165"/>
  <c r="Q127" i="165"/>
  <c r="Q145" i="165"/>
  <c r="Q140" i="165"/>
  <c r="Q147" i="165"/>
  <c r="Q144" i="165"/>
  <c r="Q115" i="165"/>
  <c r="Q149" i="165"/>
  <c r="Q129" i="165"/>
  <c r="Q3" i="165"/>
  <c r="Q142" i="165"/>
  <c r="Q213" i="165"/>
  <c r="Q201" i="165"/>
  <c r="Q189" i="165"/>
  <c r="Q209" i="165"/>
  <c r="Q197" i="165"/>
  <c r="Q210" i="165"/>
  <c r="Q190" i="165"/>
  <c r="Q181" i="165"/>
  <c r="Q202" i="165"/>
  <c r="Q196" i="165"/>
  <c r="Q200" i="165"/>
  <c r="Q187" i="165"/>
  <c r="Q206" i="165"/>
  <c r="Q193" i="165"/>
  <c r="Q204" i="165"/>
  <c r="Q191" i="165"/>
  <c r="Q177" i="165"/>
  <c r="Q208" i="165"/>
  <c r="Q192" i="165"/>
  <c r="Q175" i="165"/>
  <c r="Q178" i="165"/>
  <c r="Q171" i="165"/>
  <c r="Q215" i="165"/>
  <c r="Q180" i="165"/>
  <c r="Q174" i="165"/>
  <c r="Q211" i="165"/>
  <c r="Q188" i="165"/>
  <c r="Q173" i="165"/>
  <c r="Q157" i="165"/>
  <c r="Q203" i="165"/>
  <c r="Q195" i="165"/>
  <c r="Q155" i="165"/>
  <c r="Q163" i="165"/>
  <c r="Q168" i="165"/>
  <c r="Q167" i="165"/>
  <c r="Q186" i="165"/>
  <c r="Q182" i="165"/>
  <c r="Q170" i="165"/>
  <c r="Q166" i="165"/>
  <c r="Q212" i="165"/>
  <c r="Q205" i="165"/>
  <c r="Q172" i="165"/>
  <c r="Q164" i="165"/>
  <c r="Q162" i="165"/>
  <c r="Q159" i="165"/>
  <c r="Q198" i="165"/>
  <c r="Q165" i="165"/>
  <c r="Q160" i="165"/>
  <c r="Q161" i="165"/>
  <c r="Q153" i="165"/>
  <c r="Q156" i="165"/>
  <c r="Q152" i="165"/>
  <c r="Q158" i="165"/>
  <c r="Q207" i="165"/>
  <c r="Q184" i="165"/>
  <c r="Q179" i="165"/>
  <c r="Q176" i="165"/>
  <c r="Q185" i="165"/>
  <c r="Q169" i="165"/>
  <c r="Q214" i="165"/>
  <c r="Q154" i="165"/>
  <c r="Q199" i="165"/>
  <c r="Q194" i="165"/>
  <c r="Q183" i="165"/>
  <c r="Q151" i="165"/>
  <c r="R1" i="165"/>
  <c r="T39" i="162"/>
  <c r="T45" i="162"/>
  <c r="R139" i="165" l="1"/>
  <c r="R78" i="165"/>
  <c r="R14" i="165"/>
  <c r="R26" i="165"/>
  <c r="R9" i="165"/>
  <c r="R21" i="165"/>
  <c r="R33" i="165"/>
  <c r="R4" i="165"/>
  <c r="R16" i="165"/>
  <c r="R28" i="165"/>
  <c r="R11" i="165"/>
  <c r="R23" i="165"/>
  <c r="R35" i="165"/>
  <c r="R6" i="165"/>
  <c r="R18" i="165"/>
  <c r="R30" i="165"/>
  <c r="R13" i="165"/>
  <c r="R25" i="165"/>
  <c r="R8" i="165"/>
  <c r="R20" i="165"/>
  <c r="R32" i="165"/>
  <c r="R15" i="165"/>
  <c r="R27" i="165"/>
  <c r="R12" i="165"/>
  <c r="R24" i="165"/>
  <c r="R36" i="165"/>
  <c r="R10" i="165"/>
  <c r="R41" i="165"/>
  <c r="R53" i="165"/>
  <c r="R48" i="165"/>
  <c r="R60" i="165"/>
  <c r="R7" i="165"/>
  <c r="R43" i="165"/>
  <c r="R55" i="165"/>
  <c r="R38" i="165"/>
  <c r="R50" i="165"/>
  <c r="R29" i="165"/>
  <c r="R45" i="165"/>
  <c r="R57" i="165"/>
  <c r="R40" i="165"/>
  <c r="R52" i="165"/>
  <c r="R34" i="165"/>
  <c r="R47" i="165"/>
  <c r="R59" i="165"/>
  <c r="R17" i="165"/>
  <c r="R42" i="165"/>
  <c r="R54" i="165"/>
  <c r="R31" i="165"/>
  <c r="R37" i="165"/>
  <c r="R49" i="165"/>
  <c r="R61" i="165"/>
  <c r="R5" i="165"/>
  <c r="R39" i="165"/>
  <c r="R51" i="165"/>
  <c r="R70" i="165"/>
  <c r="R83" i="165"/>
  <c r="R65" i="165"/>
  <c r="R77" i="165"/>
  <c r="R72" i="165"/>
  <c r="R85" i="165"/>
  <c r="R67" i="165"/>
  <c r="R80" i="165"/>
  <c r="R62" i="165"/>
  <c r="R74" i="165"/>
  <c r="R87" i="165"/>
  <c r="R69" i="165"/>
  <c r="R82" i="165"/>
  <c r="R64" i="165"/>
  <c r="R76" i="165"/>
  <c r="R89" i="165"/>
  <c r="R19" i="165"/>
  <c r="R46" i="165"/>
  <c r="R71" i="165"/>
  <c r="R84" i="165"/>
  <c r="R44" i="165"/>
  <c r="R66" i="165"/>
  <c r="R79" i="165"/>
  <c r="R58" i="165"/>
  <c r="R73" i="165"/>
  <c r="R98" i="165"/>
  <c r="R110" i="165"/>
  <c r="R93" i="165"/>
  <c r="R105" i="165"/>
  <c r="R88" i="165"/>
  <c r="R100" i="165"/>
  <c r="R112" i="165"/>
  <c r="R95" i="165"/>
  <c r="R107" i="165"/>
  <c r="R22" i="165"/>
  <c r="R90" i="165"/>
  <c r="R102" i="165"/>
  <c r="R75" i="165"/>
  <c r="R97" i="165"/>
  <c r="R109" i="165"/>
  <c r="R92" i="165"/>
  <c r="R104" i="165"/>
  <c r="R81" i="165"/>
  <c r="R99" i="165"/>
  <c r="R111" i="165"/>
  <c r="R63" i="165"/>
  <c r="R94" i="165"/>
  <c r="R106" i="165"/>
  <c r="R117" i="165"/>
  <c r="R129" i="165"/>
  <c r="R108" i="165"/>
  <c r="R124" i="165"/>
  <c r="R136" i="165"/>
  <c r="R91" i="165"/>
  <c r="R119" i="165"/>
  <c r="R131" i="165"/>
  <c r="R126" i="165"/>
  <c r="R138" i="165"/>
  <c r="R96" i="165"/>
  <c r="R113" i="165"/>
  <c r="R121" i="165"/>
  <c r="R133" i="165"/>
  <c r="R114" i="165"/>
  <c r="R116" i="165"/>
  <c r="R128" i="165"/>
  <c r="R86" i="165"/>
  <c r="R101" i="165"/>
  <c r="R123" i="165"/>
  <c r="R135" i="165"/>
  <c r="R56" i="165"/>
  <c r="R118" i="165"/>
  <c r="R130" i="165"/>
  <c r="R125" i="165"/>
  <c r="R137" i="165"/>
  <c r="R120" i="165"/>
  <c r="R144" i="165"/>
  <c r="R3" i="165"/>
  <c r="R134" i="165"/>
  <c r="R146" i="165"/>
  <c r="R141" i="165"/>
  <c r="R68" i="165"/>
  <c r="R148" i="165"/>
  <c r="R103" i="165"/>
  <c r="R122" i="165"/>
  <c r="R143" i="165"/>
  <c r="R150" i="165"/>
  <c r="R127" i="165"/>
  <c r="R145" i="165"/>
  <c r="R140" i="165"/>
  <c r="R132" i="165"/>
  <c r="R147" i="165"/>
  <c r="R115" i="165"/>
  <c r="R149" i="165"/>
  <c r="R142" i="165"/>
  <c r="R206" i="165"/>
  <c r="R194" i="165"/>
  <c r="R214" i="165"/>
  <c r="R202" i="165"/>
  <c r="R190" i="165"/>
  <c r="R203" i="165"/>
  <c r="R215" i="165"/>
  <c r="R195" i="165"/>
  <c r="R213" i="165"/>
  <c r="R193" i="165"/>
  <c r="R184" i="165"/>
  <c r="R212" i="165"/>
  <c r="R199" i="165"/>
  <c r="R211" i="165"/>
  <c r="R210" i="165"/>
  <c r="R197" i="165"/>
  <c r="R209" i="165"/>
  <c r="R179" i="165"/>
  <c r="R170" i="165"/>
  <c r="R168" i="165"/>
  <c r="R181" i="165"/>
  <c r="R176" i="165"/>
  <c r="R198" i="165"/>
  <c r="R191" i="165"/>
  <c r="R205" i="165"/>
  <c r="R177" i="165"/>
  <c r="R208" i="165"/>
  <c r="R200" i="165"/>
  <c r="R192" i="165"/>
  <c r="R162" i="165"/>
  <c r="R160" i="165"/>
  <c r="R204" i="165"/>
  <c r="R196" i="165"/>
  <c r="R175" i="165"/>
  <c r="R167" i="165"/>
  <c r="R156" i="165"/>
  <c r="R207" i="165"/>
  <c r="R185" i="165"/>
  <c r="R183" i="165"/>
  <c r="R169" i="165"/>
  <c r="R187" i="165"/>
  <c r="R171" i="165"/>
  <c r="R188" i="165"/>
  <c r="R180" i="165"/>
  <c r="R173" i="165"/>
  <c r="R153" i="165"/>
  <c r="R154" i="165"/>
  <c r="R163" i="165"/>
  <c r="R172" i="165"/>
  <c r="R159" i="165"/>
  <c r="R189" i="165"/>
  <c r="R165" i="165"/>
  <c r="R174" i="165"/>
  <c r="R151" i="165"/>
  <c r="R164" i="165"/>
  <c r="R161" i="165"/>
  <c r="R178" i="165"/>
  <c r="R201" i="165"/>
  <c r="R152" i="165"/>
  <c r="R166" i="165"/>
  <c r="R158" i="165"/>
  <c r="R186" i="165"/>
  <c r="R155" i="165"/>
  <c r="R157" i="165"/>
  <c r="R182" i="165"/>
  <c r="S1" i="165"/>
  <c r="S139" i="165" l="1"/>
  <c r="S78" i="165"/>
  <c r="S7" i="165"/>
  <c r="S19" i="165"/>
  <c r="S31" i="165"/>
  <c r="S14" i="165"/>
  <c r="S26" i="165"/>
  <c r="S9" i="165"/>
  <c r="S21" i="165"/>
  <c r="S33" i="165"/>
  <c r="S4" i="165"/>
  <c r="S16" i="165"/>
  <c r="S28" i="165"/>
  <c r="S11" i="165"/>
  <c r="S23" i="165"/>
  <c r="S35" i="165"/>
  <c r="S6" i="165"/>
  <c r="S18" i="165"/>
  <c r="S30" i="165"/>
  <c r="S13" i="165"/>
  <c r="S25" i="165"/>
  <c r="S8" i="165"/>
  <c r="S20" i="165"/>
  <c r="S32" i="165"/>
  <c r="S5" i="165"/>
  <c r="S17" i="165"/>
  <c r="S29" i="165"/>
  <c r="S27" i="165"/>
  <c r="S46" i="165"/>
  <c r="S58" i="165"/>
  <c r="S10" i="165"/>
  <c r="S41" i="165"/>
  <c r="S53" i="165"/>
  <c r="S24" i="165"/>
  <c r="S48" i="165"/>
  <c r="S60" i="165"/>
  <c r="S15" i="165"/>
  <c r="S43" i="165"/>
  <c r="S55" i="165"/>
  <c r="S38" i="165"/>
  <c r="S50" i="165"/>
  <c r="S12" i="165"/>
  <c r="S45" i="165"/>
  <c r="S57" i="165"/>
  <c r="S40" i="165"/>
  <c r="S52" i="165"/>
  <c r="S34" i="165"/>
  <c r="S47" i="165"/>
  <c r="S59" i="165"/>
  <c r="S42" i="165"/>
  <c r="S54" i="165"/>
  <c r="S22" i="165"/>
  <c r="S44" i="165"/>
  <c r="S56" i="165"/>
  <c r="S61" i="165"/>
  <c r="S63" i="165"/>
  <c r="S75" i="165"/>
  <c r="S88" i="165"/>
  <c r="S70" i="165"/>
  <c r="S83" i="165"/>
  <c r="S65" i="165"/>
  <c r="S77" i="165"/>
  <c r="S72" i="165"/>
  <c r="S85" i="165"/>
  <c r="S67" i="165"/>
  <c r="S80" i="165"/>
  <c r="S36" i="165"/>
  <c r="S62" i="165"/>
  <c r="S74" i="165"/>
  <c r="S87" i="165"/>
  <c r="S69" i="165"/>
  <c r="S82" i="165"/>
  <c r="S39" i="165"/>
  <c r="S64" i="165"/>
  <c r="S76" i="165"/>
  <c r="S89" i="165"/>
  <c r="S37" i="165"/>
  <c r="S71" i="165"/>
  <c r="S84" i="165"/>
  <c r="S91" i="165"/>
  <c r="S103" i="165"/>
  <c r="S49" i="165"/>
  <c r="S73" i="165"/>
  <c r="S98" i="165"/>
  <c r="S110" i="165"/>
  <c r="S93" i="165"/>
  <c r="S105" i="165"/>
  <c r="S51" i="165"/>
  <c r="S79" i="165"/>
  <c r="S100" i="165"/>
  <c r="S112" i="165"/>
  <c r="S95" i="165"/>
  <c r="S107" i="165"/>
  <c r="S90" i="165"/>
  <c r="S102" i="165"/>
  <c r="S114" i="165"/>
  <c r="S66" i="165"/>
  <c r="S97" i="165"/>
  <c r="S109" i="165"/>
  <c r="S92" i="165"/>
  <c r="S104" i="165"/>
  <c r="S81" i="165"/>
  <c r="S99" i="165"/>
  <c r="S111" i="165"/>
  <c r="S94" i="165"/>
  <c r="S122" i="165"/>
  <c r="S134" i="165"/>
  <c r="S117" i="165"/>
  <c r="S129" i="165"/>
  <c r="S108" i="165"/>
  <c r="S124" i="165"/>
  <c r="S136" i="165"/>
  <c r="S119" i="165"/>
  <c r="S131" i="165"/>
  <c r="S126" i="165"/>
  <c r="S96" i="165"/>
  <c r="S113" i="165"/>
  <c r="S121" i="165"/>
  <c r="S133" i="165"/>
  <c r="S116" i="165"/>
  <c r="S128" i="165"/>
  <c r="S86" i="165"/>
  <c r="S101" i="165"/>
  <c r="S123" i="165"/>
  <c r="S135" i="165"/>
  <c r="S118" i="165"/>
  <c r="S130" i="165"/>
  <c r="S149" i="165"/>
  <c r="S120" i="165"/>
  <c r="S144" i="165"/>
  <c r="S3" i="165"/>
  <c r="S137" i="165"/>
  <c r="S125" i="165"/>
  <c r="S138" i="165"/>
  <c r="S146" i="165"/>
  <c r="S141" i="165"/>
  <c r="S68" i="165"/>
  <c r="S148" i="165"/>
  <c r="S143" i="165"/>
  <c r="S150" i="165"/>
  <c r="S127" i="165"/>
  <c r="S145" i="165"/>
  <c r="S132" i="165"/>
  <c r="S147" i="165"/>
  <c r="S115" i="165"/>
  <c r="S140" i="165"/>
  <c r="S106" i="165"/>
  <c r="S142" i="165"/>
  <c r="S211" i="165"/>
  <c r="S199" i="165"/>
  <c r="S187" i="165"/>
  <c r="S207" i="165"/>
  <c r="S195" i="165"/>
  <c r="S209" i="165"/>
  <c r="S196" i="165"/>
  <c r="S185" i="165"/>
  <c r="S179" i="165"/>
  <c r="S208" i="165"/>
  <c r="S212" i="165"/>
  <c r="S206" i="165"/>
  <c r="S205" i="165"/>
  <c r="S192" i="165"/>
  <c r="S203" i="165"/>
  <c r="S190" i="165"/>
  <c r="S204" i="165"/>
  <c r="S200" i="165"/>
  <c r="S175" i="165"/>
  <c r="S183" i="165"/>
  <c r="S173" i="165"/>
  <c r="S215" i="165"/>
  <c r="S202" i="165"/>
  <c r="S198" i="165"/>
  <c r="S191" i="165"/>
  <c r="S169" i="165"/>
  <c r="S214" i="165"/>
  <c r="S194" i="165"/>
  <c r="S213" i="165"/>
  <c r="S201" i="165"/>
  <c r="S188" i="165"/>
  <c r="S210" i="165"/>
  <c r="S155" i="165"/>
  <c r="S189" i="165"/>
  <c r="S174" i="165"/>
  <c r="S165" i="165"/>
  <c r="S153" i="165"/>
  <c r="S168" i="165"/>
  <c r="S161" i="165"/>
  <c r="S186" i="165"/>
  <c r="S184" i="165"/>
  <c r="S182" i="165"/>
  <c r="S178" i="165"/>
  <c r="S166" i="165"/>
  <c r="S181" i="165"/>
  <c r="S176" i="165"/>
  <c r="S172" i="165"/>
  <c r="S164" i="165"/>
  <c r="S197" i="165"/>
  <c r="S162" i="165"/>
  <c r="S151" i="165"/>
  <c r="S177" i="165"/>
  <c r="S154" i="165"/>
  <c r="S152" i="165"/>
  <c r="S193" i="165"/>
  <c r="S167" i="165"/>
  <c r="S158" i="165"/>
  <c r="S157" i="165"/>
  <c r="S160" i="165"/>
  <c r="S171" i="165"/>
  <c r="S180" i="165"/>
  <c r="S163" i="165"/>
  <c r="S156" i="165"/>
  <c r="S170" i="165"/>
  <c r="S159" i="165"/>
  <c r="T1" i="165"/>
  <c r="T38" i="162"/>
  <c r="T37" i="162"/>
  <c r="T33" i="162"/>
  <c r="T139" i="165" l="1"/>
  <c r="T78" i="165"/>
  <c r="T12" i="165"/>
  <c r="T24" i="165"/>
  <c r="T36" i="165"/>
  <c r="T7" i="165"/>
  <c r="T19" i="165"/>
  <c r="T31" i="165"/>
  <c r="T14" i="165"/>
  <c r="T26" i="165"/>
  <c r="T9" i="165"/>
  <c r="T21" i="165"/>
  <c r="T33" i="165"/>
  <c r="T4" i="165"/>
  <c r="T16" i="165"/>
  <c r="T28" i="165"/>
  <c r="T11" i="165"/>
  <c r="T23" i="165"/>
  <c r="T35" i="165"/>
  <c r="T6" i="165"/>
  <c r="T18" i="165"/>
  <c r="T30" i="165"/>
  <c r="T13" i="165"/>
  <c r="T25" i="165"/>
  <c r="T10" i="165"/>
  <c r="T22" i="165"/>
  <c r="T34" i="165"/>
  <c r="T39" i="165"/>
  <c r="T51" i="165"/>
  <c r="T27" i="165"/>
  <c r="T46" i="165"/>
  <c r="T58" i="165"/>
  <c r="T41" i="165"/>
  <c r="T53" i="165"/>
  <c r="T32" i="165"/>
  <c r="T48" i="165"/>
  <c r="T60" i="165"/>
  <c r="T15" i="165"/>
  <c r="T43" i="165"/>
  <c r="T55" i="165"/>
  <c r="T29" i="165"/>
  <c r="T38" i="165"/>
  <c r="T50" i="165"/>
  <c r="T20" i="165"/>
  <c r="T45" i="165"/>
  <c r="T57" i="165"/>
  <c r="T40" i="165"/>
  <c r="T52" i="165"/>
  <c r="T17" i="165"/>
  <c r="T47" i="165"/>
  <c r="T59" i="165"/>
  <c r="T37" i="165"/>
  <c r="T49" i="165"/>
  <c r="T61" i="165"/>
  <c r="T54" i="165"/>
  <c r="T68" i="165"/>
  <c r="T81" i="165"/>
  <c r="T5" i="165"/>
  <c r="T63" i="165"/>
  <c r="T75" i="165"/>
  <c r="T88" i="165"/>
  <c r="T70" i="165"/>
  <c r="T83" i="165"/>
  <c r="T65" i="165"/>
  <c r="T77" i="165"/>
  <c r="T8" i="165"/>
  <c r="T72" i="165"/>
  <c r="T85" i="165"/>
  <c r="T67" i="165"/>
  <c r="T80" i="165"/>
  <c r="T62" i="165"/>
  <c r="T74" i="165"/>
  <c r="T87" i="165"/>
  <c r="T69" i="165"/>
  <c r="T82" i="165"/>
  <c r="T64" i="165"/>
  <c r="T76" i="165"/>
  <c r="T89" i="165"/>
  <c r="T96" i="165"/>
  <c r="T108" i="165"/>
  <c r="T91" i="165"/>
  <c r="T103" i="165"/>
  <c r="T73" i="165"/>
  <c r="T98" i="165"/>
  <c r="T110" i="165"/>
  <c r="T93" i="165"/>
  <c r="T105" i="165"/>
  <c r="T42" i="165"/>
  <c r="T79" i="165"/>
  <c r="T100" i="165"/>
  <c r="T112" i="165"/>
  <c r="T95" i="165"/>
  <c r="T107" i="165"/>
  <c r="T44" i="165"/>
  <c r="T84" i="165"/>
  <c r="T90" i="165"/>
  <c r="T102" i="165"/>
  <c r="T114" i="165"/>
  <c r="T66" i="165"/>
  <c r="T97" i="165"/>
  <c r="T109" i="165"/>
  <c r="T92" i="165"/>
  <c r="T104" i="165"/>
  <c r="T111" i="165"/>
  <c r="T115" i="165"/>
  <c r="T127" i="165"/>
  <c r="T94" i="165"/>
  <c r="T122" i="165"/>
  <c r="T134" i="165"/>
  <c r="T117" i="165"/>
  <c r="T129" i="165"/>
  <c r="T71" i="165"/>
  <c r="T99" i="165"/>
  <c r="T124" i="165"/>
  <c r="T136" i="165"/>
  <c r="T119" i="165"/>
  <c r="T131" i="165"/>
  <c r="T126" i="165"/>
  <c r="T138" i="165"/>
  <c r="T113" i="165"/>
  <c r="T121" i="165"/>
  <c r="T133" i="165"/>
  <c r="T116" i="165"/>
  <c r="T128" i="165"/>
  <c r="T56" i="165"/>
  <c r="T86" i="165"/>
  <c r="T101" i="165"/>
  <c r="T123" i="165"/>
  <c r="T135" i="165"/>
  <c r="T142" i="165"/>
  <c r="T149" i="165"/>
  <c r="T120" i="165"/>
  <c r="T144" i="165"/>
  <c r="T3" i="165"/>
  <c r="T137" i="165"/>
  <c r="T125" i="165"/>
  <c r="T146" i="165"/>
  <c r="T141" i="165"/>
  <c r="T130" i="165"/>
  <c r="T148" i="165"/>
  <c r="T143" i="165"/>
  <c r="T150" i="165"/>
  <c r="T132" i="165"/>
  <c r="T147" i="165"/>
  <c r="T140" i="165"/>
  <c r="T145" i="165"/>
  <c r="T106" i="165"/>
  <c r="T118" i="165"/>
  <c r="T204" i="165"/>
  <c r="T192" i="165"/>
  <c r="T212" i="165"/>
  <c r="T200" i="165"/>
  <c r="T188" i="165"/>
  <c r="T215" i="165"/>
  <c r="T202" i="165"/>
  <c r="T189" i="165"/>
  <c r="T214" i="165"/>
  <c r="T201" i="165"/>
  <c r="T205" i="165"/>
  <c r="T199" i="165"/>
  <c r="T198" i="165"/>
  <c r="T210" i="165"/>
  <c r="T209" i="165"/>
  <c r="T196" i="165"/>
  <c r="T208" i="165"/>
  <c r="T168" i="165"/>
  <c r="T207" i="165"/>
  <c r="T186" i="165"/>
  <c r="T185" i="165"/>
  <c r="T184" i="165"/>
  <c r="T182" i="165"/>
  <c r="T206" i="165"/>
  <c r="T194" i="165"/>
  <c r="T180" i="165"/>
  <c r="T174" i="165"/>
  <c r="T197" i="165"/>
  <c r="T193" i="165"/>
  <c r="T177" i="165"/>
  <c r="T190" i="165"/>
  <c r="T179" i="165"/>
  <c r="T160" i="165"/>
  <c r="T158" i="165"/>
  <c r="T183" i="165"/>
  <c r="T178" i="165"/>
  <c r="T169" i="165"/>
  <c r="T166" i="165"/>
  <c r="T154" i="165"/>
  <c r="T171" i="165"/>
  <c r="T170" i="165"/>
  <c r="T191" i="165"/>
  <c r="T195" i="165"/>
  <c r="T165" i="165"/>
  <c r="T203" i="165"/>
  <c r="T152" i="165"/>
  <c r="T163" i="165"/>
  <c r="T156" i="165"/>
  <c r="T155" i="165"/>
  <c r="T159" i="165"/>
  <c r="T173" i="165"/>
  <c r="T162" i="165"/>
  <c r="T151" i="165"/>
  <c r="T211" i="165"/>
  <c r="T181" i="165"/>
  <c r="T175" i="165"/>
  <c r="T213" i="165"/>
  <c r="T187" i="165"/>
  <c r="T153" i="165"/>
  <c r="T157" i="165"/>
  <c r="T172" i="165"/>
  <c r="T176" i="165"/>
  <c r="T164" i="165"/>
  <c r="T161" i="165"/>
  <c r="T167" i="165"/>
  <c r="U1" i="165"/>
  <c r="T31" i="162"/>
  <c r="T30" i="162"/>
  <c r="U139" i="165" l="1"/>
  <c r="U78" i="165"/>
  <c r="U5" i="165"/>
  <c r="U17" i="165"/>
  <c r="U29" i="165"/>
  <c r="U12" i="165"/>
  <c r="U24" i="165"/>
  <c r="U36" i="165"/>
  <c r="U7" i="165"/>
  <c r="U19" i="165"/>
  <c r="U31" i="165"/>
  <c r="U14" i="165"/>
  <c r="U26" i="165"/>
  <c r="U9" i="165"/>
  <c r="U21" i="165"/>
  <c r="U33" i="165"/>
  <c r="U4" i="165"/>
  <c r="U16" i="165"/>
  <c r="U28" i="165"/>
  <c r="U11" i="165"/>
  <c r="U23" i="165"/>
  <c r="U35" i="165"/>
  <c r="U6" i="165"/>
  <c r="U18" i="165"/>
  <c r="U30" i="165"/>
  <c r="U15" i="165"/>
  <c r="U27" i="165"/>
  <c r="U13" i="165"/>
  <c r="U44" i="165"/>
  <c r="U56" i="165"/>
  <c r="U39" i="165"/>
  <c r="U51" i="165"/>
  <c r="U10" i="165"/>
  <c r="U46" i="165"/>
  <c r="U58" i="165"/>
  <c r="U41" i="165"/>
  <c r="U53" i="165"/>
  <c r="U32" i="165"/>
  <c r="U48" i="165"/>
  <c r="U60" i="165"/>
  <c r="U43" i="165"/>
  <c r="U55" i="165"/>
  <c r="U38" i="165"/>
  <c r="U50" i="165"/>
  <c r="U20" i="165"/>
  <c r="U45" i="165"/>
  <c r="U57" i="165"/>
  <c r="U34" i="165"/>
  <c r="U40" i="165"/>
  <c r="U52" i="165"/>
  <c r="U8" i="165"/>
  <c r="U42" i="165"/>
  <c r="U54" i="165"/>
  <c r="U47" i="165"/>
  <c r="U73" i="165"/>
  <c r="U86" i="165"/>
  <c r="U61" i="165"/>
  <c r="U68" i="165"/>
  <c r="U81" i="165"/>
  <c r="U25" i="165"/>
  <c r="U59" i="165"/>
  <c r="U63" i="165"/>
  <c r="U75" i="165"/>
  <c r="U88" i="165"/>
  <c r="U70" i="165"/>
  <c r="U83" i="165"/>
  <c r="U65" i="165"/>
  <c r="U77" i="165"/>
  <c r="U72" i="165"/>
  <c r="U85" i="165"/>
  <c r="U67" i="165"/>
  <c r="U80" i="165"/>
  <c r="U62" i="165"/>
  <c r="U74" i="165"/>
  <c r="U87" i="165"/>
  <c r="U69" i="165"/>
  <c r="U82" i="165"/>
  <c r="U76" i="165"/>
  <c r="U101" i="165"/>
  <c r="U113" i="165"/>
  <c r="U96" i="165"/>
  <c r="U108" i="165"/>
  <c r="U49" i="165"/>
  <c r="U91" i="165"/>
  <c r="U103" i="165"/>
  <c r="U64" i="165"/>
  <c r="U98" i="165"/>
  <c r="U110" i="165"/>
  <c r="U93" i="165"/>
  <c r="U105" i="165"/>
  <c r="U22" i="165"/>
  <c r="U79" i="165"/>
  <c r="U100" i="165"/>
  <c r="U112" i="165"/>
  <c r="U95" i="165"/>
  <c r="U107" i="165"/>
  <c r="U84" i="165"/>
  <c r="U90" i="165"/>
  <c r="U102" i="165"/>
  <c r="U66" i="165"/>
  <c r="U97" i="165"/>
  <c r="U109" i="165"/>
  <c r="U37" i="165"/>
  <c r="U89" i="165"/>
  <c r="U120" i="165"/>
  <c r="U132" i="165"/>
  <c r="U111" i="165"/>
  <c r="U115" i="165"/>
  <c r="U127" i="165"/>
  <c r="U94" i="165"/>
  <c r="U122" i="165"/>
  <c r="U134" i="165"/>
  <c r="U117" i="165"/>
  <c r="U129" i="165"/>
  <c r="U71" i="165"/>
  <c r="U99" i="165"/>
  <c r="U124" i="165"/>
  <c r="U136" i="165"/>
  <c r="U119" i="165"/>
  <c r="U131" i="165"/>
  <c r="U104" i="165"/>
  <c r="U114" i="165"/>
  <c r="U126" i="165"/>
  <c r="U138" i="165"/>
  <c r="U121" i="165"/>
  <c r="U133" i="165"/>
  <c r="U116" i="165"/>
  <c r="U128" i="165"/>
  <c r="U123" i="165"/>
  <c r="U147" i="165"/>
  <c r="U142" i="165"/>
  <c r="U149" i="165"/>
  <c r="U144" i="165"/>
  <c r="U3" i="165"/>
  <c r="U137" i="165"/>
  <c r="U125" i="165"/>
  <c r="U146" i="165"/>
  <c r="U92" i="165"/>
  <c r="U141" i="165"/>
  <c r="U130" i="165"/>
  <c r="U148" i="165"/>
  <c r="U143" i="165"/>
  <c r="U150" i="165"/>
  <c r="U135" i="165"/>
  <c r="U140" i="165"/>
  <c r="U145" i="165"/>
  <c r="U106" i="165"/>
  <c r="U118" i="165"/>
  <c r="U209" i="165"/>
  <c r="U197" i="165"/>
  <c r="U185" i="165"/>
  <c r="U205" i="165"/>
  <c r="U193" i="165"/>
  <c r="U208" i="165"/>
  <c r="U195" i="165"/>
  <c r="U207" i="165"/>
  <c r="U194" i="165"/>
  <c r="U198" i="165"/>
  <c r="U192" i="165"/>
  <c r="U186" i="165"/>
  <c r="U211" i="165"/>
  <c r="U191" i="165"/>
  <c r="U215" i="165"/>
  <c r="U202" i="165"/>
  <c r="U189" i="165"/>
  <c r="U196" i="165"/>
  <c r="U183" i="165"/>
  <c r="U173" i="165"/>
  <c r="U203" i="165"/>
  <c r="U178" i="165"/>
  <c r="U171" i="165"/>
  <c r="U214" i="165"/>
  <c r="U167" i="165"/>
  <c r="U213" i="165"/>
  <c r="U212" i="165"/>
  <c r="U204" i="165"/>
  <c r="U200" i="165"/>
  <c r="U177" i="165"/>
  <c r="U165" i="165"/>
  <c r="U153" i="165"/>
  <c r="U179" i="165"/>
  <c r="U163" i="165"/>
  <c r="U184" i="165"/>
  <c r="U182" i="165"/>
  <c r="U170" i="165"/>
  <c r="U159" i="165"/>
  <c r="U199" i="165"/>
  <c r="U187" i="165"/>
  <c r="U181" i="165"/>
  <c r="U176" i="165"/>
  <c r="U172" i="165"/>
  <c r="U164" i="165"/>
  <c r="U180" i="165"/>
  <c r="U162" i="165"/>
  <c r="U210" i="165"/>
  <c r="U174" i="165"/>
  <c r="U160" i="165"/>
  <c r="U151" i="165"/>
  <c r="U201" i="165"/>
  <c r="U175" i="165"/>
  <c r="U156" i="165"/>
  <c r="U155" i="165"/>
  <c r="U206" i="165"/>
  <c r="U157" i="165"/>
  <c r="U190" i="165"/>
  <c r="U169" i="165"/>
  <c r="U168" i="165"/>
  <c r="U166" i="165"/>
  <c r="U161" i="165"/>
  <c r="U188" i="165"/>
  <c r="U154" i="165"/>
  <c r="U152" i="165"/>
  <c r="U158" i="165"/>
  <c r="V1" i="165"/>
  <c r="T21" i="162"/>
  <c r="T20" i="162"/>
  <c r="V139" i="165" l="1"/>
  <c r="V78" i="165"/>
  <c r="V10" i="165"/>
  <c r="V22" i="165"/>
  <c r="V34" i="165"/>
  <c r="V5" i="165"/>
  <c r="V17" i="165"/>
  <c r="V29" i="165"/>
  <c r="V12" i="165"/>
  <c r="V24" i="165"/>
  <c r="V36" i="165"/>
  <c r="V7" i="165"/>
  <c r="V19" i="165"/>
  <c r="V31" i="165"/>
  <c r="V14" i="165"/>
  <c r="V26" i="165"/>
  <c r="V9" i="165"/>
  <c r="V21" i="165"/>
  <c r="V33" i="165"/>
  <c r="V4" i="165"/>
  <c r="V16" i="165"/>
  <c r="V28" i="165"/>
  <c r="V11" i="165"/>
  <c r="V23" i="165"/>
  <c r="V35" i="165"/>
  <c r="V8" i="165"/>
  <c r="V20" i="165"/>
  <c r="V32" i="165"/>
  <c r="V30" i="165"/>
  <c r="V37" i="165"/>
  <c r="V49" i="165"/>
  <c r="V13" i="165"/>
  <c r="V44" i="165"/>
  <c r="V56" i="165"/>
  <c r="V27" i="165"/>
  <c r="V39" i="165"/>
  <c r="V51" i="165"/>
  <c r="V18" i="165"/>
  <c r="V46" i="165"/>
  <c r="V58" i="165"/>
  <c r="V41" i="165"/>
  <c r="V53" i="165"/>
  <c r="V15" i="165"/>
  <c r="V48" i="165"/>
  <c r="V60" i="165"/>
  <c r="V6" i="165"/>
  <c r="V43" i="165"/>
  <c r="V55" i="165"/>
  <c r="V38" i="165"/>
  <c r="V50" i="165"/>
  <c r="V45" i="165"/>
  <c r="V57" i="165"/>
  <c r="V25" i="165"/>
  <c r="V47" i="165"/>
  <c r="V59" i="165"/>
  <c r="V40" i="165"/>
  <c r="V66" i="165"/>
  <c r="V79" i="165"/>
  <c r="V54" i="165"/>
  <c r="V73" i="165"/>
  <c r="V86" i="165"/>
  <c r="V52" i="165"/>
  <c r="V61" i="165"/>
  <c r="V68" i="165"/>
  <c r="V81" i="165"/>
  <c r="V63" i="165"/>
  <c r="V75" i="165"/>
  <c r="V88" i="165"/>
  <c r="V70" i="165"/>
  <c r="V83" i="165"/>
  <c r="V65" i="165"/>
  <c r="V77" i="165"/>
  <c r="V72" i="165"/>
  <c r="V85" i="165"/>
  <c r="V67" i="165"/>
  <c r="V80" i="165"/>
  <c r="V62" i="165"/>
  <c r="V74" i="165"/>
  <c r="V87" i="165"/>
  <c r="V94" i="165"/>
  <c r="V106" i="165"/>
  <c r="V76" i="165"/>
  <c r="V101" i="165"/>
  <c r="V113" i="165"/>
  <c r="V96" i="165"/>
  <c r="V108" i="165"/>
  <c r="V82" i="165"/>
  <c r="V91" i="165"/>
  <c r="V103" i="165"/>
  <c r="V64" i="165"/>
  <c r="V98" i="165"/>
  <c r="V110" i="165"/>
  <c r="V42" i="165"/>
  <c r="V93" i="165"/>
  <c r="V105" i="165"/>
  <c r="V69" i="165"/>
  <c r="V100" i="165"/>
  <c r="V112" i="165"/>
  <c r="V95" i="165"/>
  <c r="V107" i="165"/>
  <c r="V84" i="165"/>
  <c r="V90" i="165"/>
  <c r="V102" i="165"/>
  <c r="V97" i="165"/>
  <c r="V125" i="165"/>
  <c r="V137" i="165"/>
  <c r="V89" i="165"/>
  <c r="V120" i="165"/>
  <c r="V132" i="165"/>
  <c r="V111" i="165"/>
  <c r="V115" i="165"/>
  <c r="V127" i="165"/>
  <c r="V122" i="165"/>
  <c r="V134" i="165"/>
  <c r="V117" i="165"/>
  <c r="V129" i="165"/>
  <c r="V71" i="165"/>
  <c r="V99" i="165"/>
  <c r="V124" i="165"/>
  <c r="V136" i="165"/>
  <c r="V119" i="165"/>
  <c r="V131" i="165"/>
  <c r="V104" i="165"/>
  <c r="V114" i="165"/>
  <c r="V126" i="165"/>
  <c r="V121" i="165"/>
  <c r="V133" i="165"/>
  <c r="V140" i="165"/>
  <c r="V123" i="165"/>
  <c r="V147" i="165"/>
  <c r="V142" i="165"/>
  <c r="V109" i="165"/>
  <c r="V128" i="165"/>
  <c r="V149" i="165"/>
  <c r="V138" i="165"/>
  <c r="V144" i="165"/>
  <c r="V3" i="165"/>
  <c r="V116" i="165"/>
  <c r="V146" i="165"/>
  <c r="V92" i="165"/>
  <c r="V141" i="165"/>
  <c r="V130" i="165"/>
  <c r="V148" i="165"/>
  <c r="V150" i="165"/>
  <c r="V143" i="165"/>
  <c r="V135" i="165"/>
  <c r="V145" i="165"/>
  <c r="V118" i="165"/>
  <c r="V214" i="165"/>
  <c r="V202" i="165"/>
  <c r="V190" i="165"/>
  <c r="V210" i="165"/>
  <c r="V198" i="165"/>
  <c r="V201" i="165"/>
  <c r="V188" i="165"/>
  <c r="V182" i="165"/>
  <c r="V213" i="165"/>
  <c r="V200" i="165"/>
  <c r="V211" i="165"/>
  <c r="V191" i="165"/>
  <c r="V183" i="165"/>
  <c r="V204" i="165"/>
  <c r="V208" i="165"/>
  <c r="V195" i="165"/>
  <c r="V192" i="165"/>
  <c r="V184" i="165"/>
  <c r="V166" i="165"/>
  <c r="V199" i="165"/>
  <c r="V187" i="165"/>
  <c r="V181" i="165"/>
  <c r="V176" i="165"/>
  <c r="V172" i="165"/>
  <c r="V179" i="165"/>
  <c r="V175" i="165"/>
  <c r="V209" i="165"/>
  <c r="V196" i="165"/>
  <c r="V203" i="165"/>
  <c r="V174" i="165"/>
  <c r="V158" i="165"/>
  <c r="V206" i="165"/>
  <c r="V156" i="165"/>
  <c r="V207" i="165"/>
  <c r="V186" i="165"/>
  <c r="V185" i="165"/>
  <c r="V171" i="165"/>
  <c r="V164" i="165"/>
  <c r="V194" i="165"/>
  <c r="V173" i="165"/>
  <c r="V177" i="165"/>
  <c r="V165" i="165"/>
  <c r="V189" i="165"/>
  <c r="V161" i="165"/>
  <c r="V163" i="165"/>
  <c r="V157" i="165"/>
  <c r="V167" i="165"/>
  <c r="V178" i="165"/>
  <c r="V170" i="165"/>
  <c r="V212" i="165"/>
  <c r="V205" i="165"/>
  <c r="V160" i="165"/>
  <c r="V151" i="165"/>
  <c r="V215" i="165"/>
  <c r="V180" i="165"/>
  <c r="V154" i="165"/>
  <c r="V153" i="165"/>
  <c r="V152" i="165"/>
  <c r="V197" i="165"/>
  <c r="V162" i="165"/>
  <c r="V169" i="165"/>
  <c r="V155" i="165"/>
  <c r="V193" i="165"/>
  <c r="V168" i="165"/>
  <c r="V159" i="165"/>
  <c r="W1" i="165"/>
  <c r="T64" i="160"/>
  <c r="W139" i="165" l="1"/>
  <c r="W78" i="165"/>
  <c r="W15" i="165"/>
  <c r="W27" i="165"/>
  <c r="W10" i="165"/>
  <c r="W22" i="165"/>
  <c r="W34" i="165"/>
  <c r="W5" i="165"/>
  <c r="W17" i="165"/>
  <c r="W29" i="165"/>
  <c r="W12" i="165"/>
  <c r="W24" i="165"/>
  <c r="W36" i="165"/>
  <c r="W7" i="165"/>
  <c r="W19" i="165"/>
  <c r="W31" i="165"/>
  <c r="W14" i="165"/>
  <c r="W26" i="165"/>
  <c r="W9" i="165"/>
  <c r="W21" i="165"/>
  <c r="W33" i="165"/>
  <c r="W4" i="165"/>
  <c r="W16" i="165"/>
  <c r="W28" i="165"/>
  <c r="W13" i="165"/>
  <c r="W25" i="165"/>
  <c r="W42" i="165"/>
  <c r="W54" i="165"/>
  <c r="W30" i="165"/>
  <c r="W37" i="165"/>
  <c r="W49" i="165"/>
  <c r="W61" i="165"/>
  <c r="W44" i="165"/>
  <c r="W56" i="165"/>
  <c r="W35" i="165"/>
  <c r="W39" i="165"/>
  <c r="W51" i="165"/>
  <c r="W18" i="165"/>
  <c r="W46" i="165"/>
  <c r="W58" i="165"/>
  <c r="W32" i="165"/>
  <c r="W41" i="165"/>
  <c r="W53" i="165"/>
  <c r="W23" i="165"/>
  <c r="W48" i="165"/>
  <c r="W60" i="165"/>
  <c r="W6" i="165"/>
  <c r="W43" i="165"/>
  <c r="W55" i="165"/>
  <c r="W20" i="165"/>
  <c r="W38" i="165"/>
  <c r="W50" i="165"/>
  <c r="W40" i="165"/>
  <c r="W52" i="165"/>
  <c r="W71" i="165"/>
  <c r="W84" i="165"/>
  <c r="W47" i="165"/>
  <c r="W66" i="165"/>
  <c r="W79" i="165"/>
  <c r="W45" i="165"/>
  <c r="W73" i="165"/>
  <c r="W86" i="165"/>
  <c r="W59" i="165"/>
  <c r="W68" i="165"/>
  <c r="W81" i="165"/>
  <c r="W57" i="165"/>
  <c r="W63" i="165"/>
  <c r="W75" i="165"/>
  <c r="W88" i="165"/>
  <c r="W8" i="165"/>
  <c r="W70" i="165"/>
  <c r="W83" i="165"/>
  <c r="W65" i="165"/>
  <c r="W77" i="165"/>
  <c r="W72" i="165"/>
  <c r="W85" i="165"/>
  <c r="W11" i="165"/>
  <c r="W67" i="165"/>
  <c r="W80" i="165"/>
  <c r="W62" i="165"/>
  <c r="W99" i="165"/>
  <c r="W111" i="165"/>
  <c r="W94" i="165"/>
  <c r="W106" i="165"/>
  <c r="W76" i="165"/>
  <c r="W101" i="165"/>
  <c r="W113" i="165"/>
  <c r="W96" i="165"/>
  <c r="W108" i="165"/>
  <c r="W82" i="165"/>
  <c r="W91" i="165"/>
  <c r="W103" i="165"/>
  <c r="W64" i="165"/>
  <c r="W98" i="165"/>
  <c r="W110" i="165"/>
  <c r="W87" i="165"/>
  <c r="W93" i="165"/>
  <c r="W105" i="165"/>
  <c r="W69" i="165"/>
  <c r="W100" i="165"/>
  <c r="W112" i="165"/>
  <c r="W95" i="165"/>
  <c r="W107" i="165"/>
  <c r="W118" i="165"/>
  <c r="W130" i="165"/>
  <c r="W97" i="165"/>
  <c r="W125" i="165"/>
  <c r="W137" i="165"/>
  <c r="W89" i="165"/>
  <c r="W120" i="165"/>
  <c r="W132" i="165"/>
  <c r="W102" i="165"/>
  <c r="W115" i="165"/>
  <c r="W127" i="165"/>
  <c r="W122" i="165"/>
  <c r="W134" i="165"/>
  <c r="W117" i="165"/>
  <c r="W129" i="165"/>
  <c r="W90" i="165"/>
  <c r="W124" i="165"/>
  <c r="W136" i="165"/>
  <c r="W119" i="165"/>
  <c r="W131" i="165"/>
  <c r="W104" i="165"/>
  <c r="W114" i="165"/>
  <c r="W126" i="165"/>
  <c r="W138" i="165"/>
  <c r="W145" i="165"/>
  <c r="W140" i="165"/>
  <c r="W123" i="165"/>
  <c r="W147" i="165"/>
  <c r="W142" i="165"/>
  <c r="W109" i="165"/>
  <c r="W128" i="165"/>
  <c r="W149" i="165"/>
  <c r="W144" i="165"/>
  <c r="W3" i="165"/>
  <c r="W74" i="165"/>
  <c r="W133" i="165"/>
  <c r="W116" i="165"/>
  <c r="W146" i="165"/>
  <c r="W92" i="165"/>
  <c r="W141" i="165"/>
  <c r="W150" i="165"/>
  <c r="W121" i="165"/>
  <c r="W143" i="165"/>
  <c r="W135" i="165"/>
  <c r="W148" i="165"/>
  <c r="W207" i="165"/>
  <c r="W195" i="165"/>
  <c r="W183" i="165"/>
  <c r="W215" i="165"/>
  <c r="W203" i="165"/>
  <c r="W191" i="165"/>
  <c r="W214" i="165"/>
  <c r="W194" i="165"/>
  <c r="W206" i="165"/>
  <c r="W193" i="165"/>
  <c r="W204" i="165"/>
  <c r="W181" i="165"/>
  <c r="W210" i="165"/>
  <c r="W197" i="165"/>
  <c r="W209" i="165"/>
  <c r="W201" i="165"/>
  <c r="W188" i="165"/>
  <c r="W186" i="165"/>
  <c r="W185" i="165"/>
  <c r="W182" i="165"/>
  <c r="W178" i="165"/>
  <c r="W171" i="165"/>
  <c r="W189" i="165"/>
  <c r="W169" i="165"/>
  <c r="W213" i="165"/>
  <c r="W177" i="165"/>
  <c r="W212" i="165"/>
  <c r="W205" i="165"/>
  <c r="W211" i="165"/>
  <c r="W190" i="165"/>
  <c r="W208" i="165"/>
  <c r="W192" i="165"/>
  <c r="W184" i="165"/>
  <c r="W163" i="165"/>
  <c r="W167" i="165"/>
  <c r="W161" i="165"/>
  <c r="W199" i="165"/>
  <c r="W187" i="165"/>
  <c r="W176" i="165"/>
  <c r="W172" i="165"/>
  <c r="W157" i="165"/>
  <c r="W180" i="165"/>
  <c r="W162" i="165"/>
  <c r="W202" i="165"/>
  <c r="W160" i="165"/>
  <c r="W200" i="165"/>
  <c r="W174" i="165"/>
  <c r="W179" i="165"/>
  <c r="W168" i="165"/>
  <c r="W159" i="165"/>
  <c r="W158" i="165"/>
  <c r="W196" i="165"/>
  <c r="W165" i="165"/>
  <c r="W175" i="165"/>
  <c r="W155" i="165"/>
  <c r="W198" i="165"/>
  <c r="W164" i="165"/>
  <c r="W173" i="165"/>
  <c r="W154" i="165"/>
  <c r="W152" i="165"/>
  <c r="W156" i="165"/>
  <c r="W170" i="165"/>
  <c r="W166" i="165"/>
  <c r="W153" i="165"/>
  <c r="W151" i="165"/>
  <c r="X1" i="165"/>
  <c r="T48" i="162"/>
  <c r="T19" i="162"/>
  <c r="X139" i="165" l="1"/>
  <c r="X78" i="165"/>
  <c r="X8" i="165"/>
  <c r="X20" i="165"/>
  <c r="X32" i="165"/>
  <c r="X15" i="165"/>
  <c r="X27" i="165"/>
  <c r="X10" i="165"/>
  <c r="X22" i="165"/>
  <c r="X34" i="165"/>
  <c r="X5" i="165"/>
  <c r="X17" i="165"/>
  <c r="X29" i="165"/>
  <c r="X12" i="165"/>
  <c r="X24" i="165"/>
  <c r="X36" i="165"/>
  <c r="X7" i="165"/>
  <c r="X19" i="165"/>
  <c r="X31" i="165"/>
  <c r="X14" i="165"/>
  <c r="X26" i="165"/>
  <c r="X9" i="165"/>
  <c r="X21" i="165"/>
  <c r="X33" i="165"/>
  <c r="X6" i="165"/>
  <c r="X18" i="165"/>
  <c r="X30" i="165"/>
  <c r="X16" i="165"/>
  <c r="X47" i="165"/>
  <c r="X59" i="165"/>
  <c r="X42" i="165"/>
  <c r="X54" i="165"/>
  <c r="X13" i="165"/>
  <c r="X37" i="165"/>
  <c r="X49" i="165"/>
  <c r="X4" i="165"/>
  <c r="X44" i="165"/>
  <c r="X56" i="165"/>
  <c r="X35" i="165"/>
  <c r="X39" i="165"/>
  <c r="X51" i="165"/>
  <c r="X46" i="165"/>
  <c r="X58" i="165"/>
  <c r="X41" i="165"/>
  <c r="X53" i="165"/>
  <c r="X23" i="165"/>
  <c r="X48" i="165"/>
  <c r="X60" i="165"/>
  <c r="X43" i="165"/>
  <c r="X55" i="165"/>
  <c r="X11" i="165"/>
  <c r="X45" i="165"/>
  <c r="X57" i="165"/>
  <c r="X64" i="165"/>
  <c r="X76" i="165"/>
  <c r="X89" i="165"/>
  <c r="X40" i="165"/>
  <c r="X71" i="165"/>
  <c r="X84" i="165"/>
  <c r="X38" i="165"/>
  <c r="X66" i="165"/>
  <c r="X79" i="165"/>
  <c r="X25" i="165"/>
  <c r="X52" i="165"/>
  <c r="X61" i="165"/>
  <c r="X73" i="165"/>
  <c r="X86" i="165"/>
  <c r="X50" i="165"/>
  <c r="X68" i="165"/>
  <c r="X81" i="165"/>
  <c r="X63" i="165"/>
  <c r="X75" i="165"/>
  <c r="X88" i="165"/>
  <c r="X28" i="165"/>
  <c r="X70" i="165"/>
  <c r="X83" i="165"/>
  <c r="X65" i="165"/>
  <c r="X77" i="165"/>
  <c r="X72" i="165"/>
  <c r="X85" i="165"/>
  <c r="X80" i="165"/>
  <c r="X92" i="165"/>
  <c r="X104" i="165"/>
  <c r="X62" i="165"/>
  <c r="X99" i="165"/>
  <c r="X111" i="165"/>
  <c r="X94" i="165"/>
  <c r="X106" i="165"/>
  <c r="X67" i="165"/>
  <c r="X101" i="165"/>
  <c r="X113" i="165"/>
  <c r="X96" i="165"/>
  <c r="X108" i="165"/>
  <c r="X82" i="165"/>
  <c r="X91" i="165"/>
  <c r="X103" i="165"/>
  <c r="X98" i="165"/>
  <c r="X110" i="165"/>
  <c r="X87" i="165"/>
  <c r="X93" i="165"/>
  <c r="X105" i="165"/>
  <c r="X69" i="165"/>
  <c r="X100" i="165"/>
  <c r="X112" i="165"/>
  <c r="X123" i="165"/>
  <c r="X135" i="165"/>
  <c r="X118" i="165"/>
  <c r="X130" i="165"/>
  <c r="X97" i="165"/>
  <c r="X125" i="165"/>
  <c r="X137" i="165"/>
  <c r="X120" i="165"/>
  <c r="X132" i="165"/>
  <c r="X102" i="165"/>
  <c r="X115" i="165"/>
  <c r="X127" i="165"/>
  <c r="X122" i="165"/>
  <c r="X134" i="165"/>
  <c r="X107" i="165"/>
  <c r="X117" i="165"/>
  <c r="X129" i="165"/>
  <c r="X90" i="165"/>
  <c r="X124" i="165"/>
  <c r="X136" i="165"/>
  <c r="X119" i="165"/>
  <c r="X131" i="165"/>
  <c r="X95" i="165"/>
  <c r="X126" i="165"/>
  <c r="X150" i="165"/>
  <c r="X145" i="165"/>
  <c r="X140" i="165"/>
  <c r="X114" i="165"/>
  <c r="X147" i="165"/>
  <c r="X142" i="165"/>
  <c r="X109" i="165"/>
  <c r="X128" i="165"/>
  <c r="X138" i="165"/>
  <c r="X149" i="165"/>
  <c r="X144" i="165"/>
  <c r="X3" i="165"/>
  <c r="X74" i="165"/>
  <c r="X133" i="165"/>
  <c r="X116" i="165"/>
  <c r="X146" i="165"/>
  <c r="X141" i="165"/>
  <c r="X121" i="165"/>
  <c r="X143" i="165"/>
  <c r="X148" i="165"/>
  <c r="X212" i="165"/>
  <c r="X200" i="165"/>
  <c r="X188" i="165"/>
  <c r="X208" i="165"/>
  <c r="X196" i="165"/>
  <c r="X213" i="165"/>
  <c r="X207" i="165"/>
  <c r="X187" i="165"/>
  <c r="X184" i="165"/>
  <c r="X180" i="165"/>
  <c r="X199" i="165"/>
  <c r="X210" i="165"/>
  <c r="X197" i="165"/>
  <c r="X203" i="165"/>
  <c r="X190" i="165"/>
  <c r="X215" i="165"/>
  <c r="X214" i="165"/>
  <c r="X194" i="165"/>
  <c r="X176" i="165"/>
  <c r="X195" i="165"/>
  <c r="X174" i="165"/>
  <c r="X205" i="165"/>
  <c r="X170" i="165"/>
  <c r="X201" i="165"/>
  <c r="X193" i="165"/>
  <c r="X173" i="165"/>
  <c r="X186" i="165"/>
  <c r="X185" i="165"/>
  <c r="X183" i="165"/>
  <c r="X182" i="165"/>
  <c r="X178" i="165"/>
  <c r="X189" i="165"/>
  <c r="X179" i="165"/>
  <c r="X156" i="165"/>
  <c r="X198" i="165"/>
  <c r="X175" i="165"/>
  <c r="X168" i="165"/>
  <c r="X154" i="165"/>
  <c r="X181" i="165"/>
  <c r="X162" i="165"/>
  <c r="X165" i="165"/>
  <c r="X192" i="165"/>
  <c r="X163" i="165"/>
  <c r="X211" i="165"/>
  <c r="X164" i="165"/>
  <c r="X153" i="165"/>
  <c r="X152" i="165"/>
  <c r="X206" i="165"/>
  <c r="X167" i="165"/>
  <c r="X159" i="165"/>
  <c r="X158" i="165"/>
  <c r="X169" i="165"/>
  <c r="X166" i="165"/>
  <c r="X209" i="165"/>
  <c r="X172" i="165"/>
  <c r="X171" i="165"/>
  <c r="X151" i="165"/>
  <c r="X161" i="165"/>
  <c r="X204" i="165"/>
  <c r="X202" i="165"/>
  <c r="X160" i="165"/>
  <c r="X155" i="165"/>
  <c r="X177" i="165"/>
  <c r="X157" i="165"/>
  <c r="X191" i="165"/>
  <c r="Y1" i="165"/>
  <c r="T22" i="162"/>
  <c r="T11" i="162"/>
  <c r="T36" i="162"/>
  <c r="T23" i="162"/>
  <c r="Y139" i="165" l="1"/>
  <c r="Y78" i="165"/>
  <c r="Y13" i="165"/>
  <c r="Y25" i="165"/>
  <c r="Y8" i="165"/>
  <c r="Y20" i="165"/>
  <c r="Y32" i="165"/>
  <c r="Y15" i="165"/>
  <c r="Y27" i="165"/>
  <c r="Y10" i="165"/>
  <c r="Y22" i="165"/>
  <c r="Y34" i="165"/>
  <c r="Y5" i="165"/>
  <c r="Y17" i="165"/>
  <c r="Y29" i="165"/>
  <c r="Y12" i="165"/>
  <c r="Y24" i="165"/>
  <c r="Y36" i="165"/>
  <c r="Y7" i="165"/>
  <c r="Y19" i="165"/>
  <c r="Y31" i="165"/>
  <c r="Y14" i="165"/>
  <c r="Y26" i="165"/>
  <c r="Y11" i="165"/>
  <c r="Y23" i="165"/>
  <c r="Y35" i="165"/>
  <c r="Y33" i="165"/>
  <c r="Y40" i="165"/>
  <c r="Y52" i="165"/>
  <c r="Y16" i="165"/>
  <c r="Y47" i="165"/>
  <c r="Y59" i="165"/>
  <c r="Y30" i="165"/>
  <c r="Y42" i="165"/>
  <c r="Y54" i="165"/>
  <c r="Y21" i="165"/>
  <c r="Y37" i="165"/>
  <c r="Y49" i="165"/>
  <c r="Y4" i="165"/>
  <c r="Y44" i="165"/>
  <c r="Y56" i="165"/>
  <c r="Y18" i="165"/>
  <c r="Y39" i="165"/>
  <c r="Y51" i="165"/>
  <c r="Y9" i="165"/>
  <c r="Y46" i="165"/>
  <c r="Y58" i="165"/>
  <c r="Y41" i="165"/>
  <c r="Y53" i="165"/>
  <c r="Y6" i="165"/>
  <c r="Y48" i="165"/>
  <c r="Y60" i="165"/>
  <c r="Y28" i="165"/>
  <c r="Y38" i="165"/>
  <c r="Y50" i="165"/>
  <c r="Y69" i="165"/>
  <c r="Y82" i="165"/>
  <c r="Y64" i="165"/>
  <c r="Y76" i="165"/>
  <c r="Y89" i="165"/>
  <c r="Y71" i="165"/>
  <c r="Y84" i="165"/>
  <c r="Y45" i="165"/>
  <c r="Y66" i="165"/>
  <c r="Y79" i="165"/>
  <c r="Y43" i="165"/>
  <c r="Y61" i="165"/>
  <c r="Y73" i="165"/>
  <c r="Y86" i="165"/>
  <c r="Y57" i="165"/>
  <c r="Y68" i="165"/>
  <c r="Y81" i="165"/>
  <c r="Y55" i="165"/>
  <c r="Y63" i="165"/>
  <c r="Y75" i="165"/>
  <c r="Y88" i="165"/>
  <c r="Y70" i="165"/>
  <c r="Y83" i="165"/>
  <c r="Y65" i="165"/>
  <c r="Y77" i="165"/>
  <c r="Y97" i="165"/>
  <c r="Y109" i="165"/>
  <c r="Y80" i="165"/>
  <c r="Y92" i="165"/>
  <c r="Y104" i="165"/>
  <c r="Y62" i="165"/>
  <c r="Y99" i="165"/>
  <c r="Y111" i="165"/>
  <c r="Y85" i="165"/>
  <c r="Y94" i="165"/>
  <c r="Y106" i="165"/>
  <c r="Y67" i="165"/>
  <c r="Y101" i="165"/>
  <c r="Y96" i="165"/>
  <c r="Y108" i="165"/>
  <c r="Y72" i="165"/>
  <c r="Y91" i="165"/>
  <c r="Y103" i="165"/>
  <c r="Y98" i="165"/>
  <c r="Y110" i="165"/>
  <c r="Y87" i="165"/>
  <c r="Y93" i="165"/>
  <c r="Y105" i="165"/>
  <c r="Y100" i="165"/>
  <c r="Y116" i="165"/>
  <c r="Y128" i="165"/>
  <c r="Y123" i="165"/>
  <c r="Y135" i="165"/>
  <c r="Y118" i="165"/>
  <c r="Y130" i="165"/>
  <c r="Y125" i="165"/>
  <c r="Y137" i="165"/>
  <c r="Y120" i="165"/>
  <c r="Y132" i="165"/>
  <c r="Y102" i="165"/>
  <c r="Y115" i="165"/>
  <c r="Y127" i="165"/>
  <c r="Y122" i="165"/>
  <c r="Y134" i="165"/>
  <c r="Y107" i="165"/>
  <c r="Y113" i="165"/>
  <c r="Y117" i="165"/>
  <c r="Y129" i="165"/>
  <c r="Y90" i="165"/>
  <c r="Y124" i="165"/>
  <c r="Y136" i="165"/>
  <c r="Y143" i="165"/>
  <c r="Y95" i="165"/>
  <c r="Y126" i="165"/>
  <c r="Y150" i="165"/>
  <c r="Y145" i="165"/>
  <c r="Y131" i="165"/>
  <c r="Y140" i="165"/>
  <c r="Y114" i="165"/>
  <c r="Y147" i="165"/>
  <c r="Y142" i="165"/>
  <c r="Y119" i="165"/>
  <c r="Y138" i="165"/>
  <c r="Y149" i="165"/>
  <c r="Y144" i="165"/>
  <c r="Y3" i="165"/>
  <c r="Y74" i="165"/>
  <c r="Y133" i="165"/>
  <c r="Y112" i="165"/>
  <c r="Y141" i="165"/>
  <c r="Y121" i="165"/>
  <c r="Y146" i="165"/>
  <c r="Y148" i="165"/>
  <c r="Y205" i="165"/>
  <c r="Y193" i="165"/>
  <c r="Y213" i="165"/>
  <c r="Y201" i="165"/>
  <c r="Y189" i="165"/>
  <c r="Y206" i="165"/>
  <c r="Y200" i="165"/>
  <c r="Y212" i="165"/>
  <c r="Y192" i="165"/>
  <c r="Y203" i="165"/>
  <c r="Y190" i="165"/>
  <c r="Y209" i="165"/>
  <c r="Y196" i="165"/>
  <c r="Y208" i="165"/>
  <c r="Y207" i="165"/>
  <c r="Y187" i="165"/>
  <c r="Y199" i="165"/>
  <c r="Y181" i="165"/>
  <c r="Y169" i="165"/>
  <c r="Y180" i="165"/>
  <c r="Y167" i="165"/>
  <c r="Y179" i="165"/>
  <c r="Y175" i="165"/>
  <c r="Y211" i="165"/>
  <c r="Y197" i="165"/>
  <c r="Y188" i="165"/>
  <c r="Y210" i="165"/>
  <c r="Y204" i="165"/>
  <c r="Y195" i="165"/>
  <c r="Y161" i="165"/>
  <c r="Y215" i="165"/>
  <c r="Y166" i="165"/>
  <c r="Y159" i="165"/>
  <c r="Y155" i="165"/>
  <c r="Y202" i="165"/>
  <c r="Y191" i="165"/>
  <c r="Y173" i="165"/>
  <c r="Y214" i="165"/>
  <c r="Y177" i="165"/>
  <c r="Y198" i="165"/>
  <c r="Y154" i="165"/>
  <c r="Y168" i="165"/>
  <c r="Y170" i="165"/>
  <c r="Y185" i="165"/>
  <c r="Y183" i="165"/>
  <c r="Y162" i="165"/>
  <c r="Y160" i="165"/>
  <c r="Y174" i="165"/>
  <c r="Y153" i="165"/>
  <c r="Y152" i="165"/>
  <c r="Y194" i="165"/>
  <c r="Y157" i="165"/>
  <c r="Y156" i="165"/>
  <c r="Y164" i="165"/>
  <c r="Y186" i="165"/>
  <c r="Y182" i="165"/>
  <c r="Y176" i="165"/>
  <c r="Y165" i="165"/>
  <c r="Y163" i="165"/>
  <c r="Y158" i="165"/>
  <c r="Y178" i="165"/>
  <c r="Y184" i="165"/>
  <c r="Y172" i="165"/>
  <c r="Y151" i="165"/>
  <c r="Y171" i="165"/>
  <c r="Z1" i="165"/>
  <c r="B78" i="160"/>
  <c r="Z139" i="165" l="1"/>
  <c r="Z78" i="165"/>
  <c r="Z6" i="165"/>
  <c r="Z18" i="165"/>
  <c r="Z30" i="165"/>
  <c r="Z13" i="165"/>
  <c r="Z25" i="165"/>
  <c r="Z8" i="165"/>
  <c r="Z20" i="165"/>
  <c r="Z32" i="165"/>
  <c r="Z15" i="165"/>
  <c r="Z27" i="165"/>
  <c r="Z10" i="165"/>
  <c r="Z22" i="165"/>
  <c r="Z34" i="165"/>
  <c r="Z5" i="165"/>
  <c r="Z17" i="165"/>
  <c r="Z29" i="165"/>
  <c r="Z12" i="165"/>
  <c r="Z24" i="165"/>
  <c r="Z36" i="165"/>
  <c r="Z7" i="165"/>
  <c r="Z19" i="165"/>
  <c r="Z31" i="165"/>
  <c r="Z4" i="165"/>
  <c r="Z16" i="165"/>
  <c r="Z28" i="165"/>
  <c r="Z45" i="165"/>
  <c r="Z57" i="165"/>
  <c r="Z33" i="165"/>
  <c r="Z40" i="165"/>
  <c r="Z52" i="165"/>
  <c r="Z47" i="165"/>
  <c r="Z59" i="165"/>
  <c r="Z42" i="165"/>
  <c r="Z54" i="165"/>
  <c r="Z21" i="165"/>
  <c r="Z37" i="165"/>
  <c r="Z49" i="165"/>
  <c r="Z35" i="165"/>
  <c r="Z44" i="165"/>
  <c r="Z56" i="165"/>
  <c r="Z26" i="165"/>
  <c r="Z39" i="165"/>
  <c r="Z51" i="165"/>
  <c r="Z9" i="165"/>
  <c r="Z46" i="165"/>
  <c r="Z58" i="165"/>
  <c r="Z23" i="165"/>
  <c r="Z41" i="165"/>
  <c r="Z53" i="165"/>
  <c r="Z43" i="165"/>
  <c r="Z55" i="165"/>
  <c r="Z14" i="165"/>
  <c r="Z62" i="165"/>
  <c r="Z74" i="165"/>
  <c r="Z87" i="165"/>
  <c r="Z69" i="165"/>
  <c r="Z82" i="165"/>
  <c r="Z64" i="165"/>
  <c r="Z76" i="165"/>
  <c r="Z89" i="165"/>
  <c r="Z38" i="165"/>
  <c r="Z71" i="165"/>
  <c r="Z84" i="165"/>
  <c r="Z66" i="165"/>
  <c r="Z79" i="165"/>
  <c r="Z50" i="165"/>
  <c r="Z61" i="165"/>
  <c r="Z73" i="165"/>
  <c r="Z86" i="165"/>
  <c r="Z48" i="165"/>
  <c r="Z68" i="165"/>
  <c r="Z81" i="165"/>
  <c r="Z63" i="165"/>
  <c r="Z75" i="165"/>
  <c r="Z88" i="165"/>
  <c r="Z60" i="165"/>
  <c r="Z70" i="165"/>
  <c r="Z83" i="165"/>
  <c r="Z11" i="165"/>
  <c r="Z65" i="165"/>
  <c r="Z90" i="165"/>
  <c r="Z102" i="165"/>
  <c r="Z97" i="165"/>
  <c r="Z109" i="165"/>
  <c r="Z80" i="165"/>
  <c r="Z92" i="165"/>
  <c r="Z104" i="165"/>
  <c r="Z99" i="165"/>
  <c r="Z111" i="165"/>
  <c r="Z85" i="165"/>
  <c r="Z94" i="165"/>
  <c r="Z106" i="165"/>
  <c r="Z67" i="165"/>
  <c r="Z101" i="165"/>
  <c r="Z113" i="165"/>
  <c r="Z96" i="165"/>
  <c r="Z108" i="165"/>
  <c r="Z72" i="165"/>
  <c r="Z91" i="165"/>
  <c r="Z103" i="165"/>
  <c r="Z98" i="165"/>
  <c r="Z110" i="165"/>
  <c r="Z121" i="165"/>
  <c r="Z133" i="165"/>
  <c r="Z100" i="165"/>
  <c r="Z116" i="165"/>
  <c r="Z128" i="165"/>
  <c r="Z123" i="165"/>
  <c r="Z135" i="165"/>
  <c r="Z77" i="165"/>
  <c r="Z105" i="165"/>
  <c r="Z118" i="165"/>
  <c r="Z130" i="165"/>
  <c r="Z125" i="165"/>
  <c r="Z120" i="165"/>
  <c r="Z132" i="165"/>
  <c r="Z93" i="165"/>
  <c r="Z115" i="165"/>
  <c r="Z127" i="165"/>
  <c r="Z122" i="165"/>
  <c r="Z134" i="165"/>
  <c r="Z107" i="165"/>
  <c r="Z117" i="165"/>
  <c r="Z129" i="165"/>
  <c r="Z148" i="165"/>
  <c r="Z143" i="165"/>
  <c r="Z95" i="165"/>
  <c r="Z126" i="165"/>
  <c r="Z150" i="165"/>
  <c r="Z145" i="165"/>
  <c r="Z131" i="165"/>
  <c r="Z140" i="165"/>
  <c r="Z114" i="165"/>
  <c r="Z137" i="165"/>
  <c r="Z147" i="165"/>
  <c r="Z136" i="165"/>
  <c r="Z142" i="165"/>
  <c r="Z119" i="165"/>
  <c r="Z138" i="165"/>
  <c r="Z149" i="165"/>
  <c r="Z144" i="165"/>
  <c r="Z3" i="165"/>
  <c r="Z112" i="165"/>
  <c r="Z141" i="165"/>
  <c r="Z146" i="165"/>
  <c r="Z124" i="165"/>
  <c r="Z210" i="165"/>
  <c r="Z198" i="165"/>
  <c r="Z186" i="165"/>
  <c r="Z206" i="165"/>
  <c r="Z194" i="165"/>
  <c r="Z199" i="165"/>
  <c r="Z193" i="165"/>
  <c r="Z178" i="165"/>
  <c r="Z211" i="165"/>
  <c r="Z205" i="165"/>
  <c r="Z209" i="165"/>
  <c r="Z196" i="165"/>
  <c r="Z185" i="165"/>
  <c r="Z215" i="165"/>
  <c r="Z202" i="165"/>
  <c r="Z189" i="165"/>
  <c r="Z214" i="165"/>
  <c r="Z213" i="165"/>
  <c r="Z200" i="165"/>
  <c r="Z207" i="165"/>
  <c r="Z203" i="165"/>
  <c r="Z195" i="165"/>
  <c r="Z187" i="165"/>
  <c r="Z174" i="165"/>
  <c r="Z191" i="165"/>
  <c r="Z172" i="165"/>
  <c r="Z212" i="165"/>
  <c r="Z201" i="165"/>
  <c r="Z197" i="165"/>
  <c r="Z188" i="165"/>
  <c r="Z168" i="165"/>
  <c r="Z192" i="165"/>
  <c r="Z184" i="165"/>
  <c r="Z183" i="165"/>
  <c r="Z182" i="165"/>
  <c r="Z181" i="165"/>
  <c r="Z167" i="165"/>
  <c r="Z154" i="165"/>
  <c r="Z170" i="165"/>
  <c r="Z169" i="165"/>
  <c r="Z164" i="165"/>
  <c r="Z180" i="165"/>
  <c r="Z173" i="165"/>
  <c r="Z160" i="165"/>
  <c r="Z165" i="165"/>
  <c r="Z163" i="165"/>
  <c r="Z208" i="165"/>
  <c r="Z179" i="165"/>
  <c r="Z161" i="165"/>
  <c r="Z175" i="165"/>
  <c r="Z153" i="165"/>
  <c r="Z152" i="165"/>
  <c r="Z204" i="165"/>
  <c r="Z176" i="165"/>
  <c r="Z155" i="165"/>
  <c r="Z166" i="165"/>
  <c r="Z171" i="165"/>
  <c r="Z151" i="165"/>
  <c r="Z177" i="165"/>
  <c r="Z158" i="165"/>
  <c r="Z156" i="165"/>
  <c r="Z162" i="165"/>
  <c r="Z157" i="165"/>
  <c r="Z159" i="165"/>
  <c r="Z190" i="165"/>
  <c r="AA1" i="165"/>
  <c r="T65" i="162"/>
  <c r="T57" i="162"/>
  <c r="T32" i="162"/>
  <c r="T25" i="162"/>
  <c r="T24" i="162"/>
  <c r="T29" i="162"/>
  <c r="T28" i="162"/>
  <c r="T27" i="162"/>
  <c r="T26" i="162"/>
  <c r="T15" i="162"/>
  <c r="T14" i="162"/>
  <c r="T13" i="162"/>
  <c r="T12" i="162"/>
  <c r="T7" i="162"/>
  <c r="T6" i="162"/>
  <c r="T5" i="162"/>
  <c r="T4" i="162"/>
  <c r="T18" i="162"/>
  <c r="T17" i="162"/>
  <c r="T16" i="162"/>
  <c r="T9" i="162"/>
  <c r="T8" i="162"/>
  <c r="T10" i="162"/>
  <c r="AA139" i="165" l="1"/>
  <c r="AA78" i="165"/>
  <c r="AA11" i="165"/>
  <c r="AA23" i="165"/>
  <c r="AA35" i="165"/>
  <c r="AA6" i="165"/>
  <c r="AA18" i="165"/>
  <c r="AA30" i="165"/>
  <c r="AA13" i="165"/>
  <c r="AA25" i="165"/>
  <c r="AA8" i="165"/>
  <c r="AA20" i="165"/>
  <c r="AA32" i="165"/>
  <c r="AA15" i="165"/>
  <c r="AA27" i="165"/>
  <c r="AA10" i="165"/>
  <c r="AA22" i="165"/>
  <c r="AA34" i="165"/>
  <c r="AA5" i="165"/>
  <c r="AA17" i="165"/>
  <c r="AA29" i="165"/>
  <c r="AA12" i="165"/>
  <c r="AA24" i="165"/>
  <c r="AA36" i="165"/>
  <c r="AA9" i="165"/>
  <c r="AA21" i="165"/>
  <c r="AA33" i="165"/>
  <c r="AA19" i="165"/>
  <c r="AA38" i="165"/>
  <c r="AA50" i="165"/>
  <c r="AA45" i="165"/>
  <c r="AA57" i="165"/>
  <c r="AA16" i="165"/>
  <c r="AA40" i="165"/>
  <c r="AA52" i="165"/>
  <c r="AA7" i="165"/>
  <c r="AA47" i="165"/>
  <c r="AA59" i="165"/>
  <c r="AA42" i="165"/>
  <c r="AA54" i="165"/>
  <c r="AA4" i="165"/>
  <c r="AA37" i="165"/>
  <c r="AA49" i="165"/>
  <c r="AA44" i="165"/>
  <c r="AA56" i="165"/>
  <c r="AA26" i="165"/>
  <c r="AA39" i="165"/>
  <c r="AA51" i="165"/>
  <c r="AA46" i="165"/>
  <c r="AA58" i="165"/>
  <c r="AA14" i="165"/>
  <c r="AA48" i="165"/>
  <c r="AA60" i="165"/>
  <c r="AA67" i="165"/>
  <c r="AA80" i="165"/>
  <c r="AA62" i="165"/>
  <c r="AA74" i="165"/>
  <c r="AA87" i="165"/>
  <c r="AA69" i="165"/>
  <c r="AA82" i="165"/>
  <c r="AA64" i="165"/>
  <c r="AA76" i="165"/>
  <c r="AA89" i="165"/>
  <c r="AA71" i="165"/>
  <c r="AA84" i="165"/>
  <c r="AA43" i="165"/>
  <c r="AA66" i="165"/>
  <c r="AA79" i="165"/>
  <c r="AA41" i="165"/>
  <c r="AA61" i="165"/>
  <c r="AA73" i="165"/>
  <c r="AA86" i="165"/>
  <c r="AA28" i="165"/>
  <c r="AA55" i="165"/>
  <c r="AA68" i="165"/>
  <c r="AA81" i="165"/>
  <c r="AA53" i="165"/>
  <c r="AA63" i="165"/>
  <c r="AA75" i="165"/>
  <c r="AA88" i="165"/>
  <c r="AA83" i="165"/>
  <c r="AA95" i="165"/>
  <c r="AA107" i="165"/>
  <c r="AA65" i="165"/>
  <c r="AA90" i="165"/>
  <c r="AA102" i="165"/>
  <c r="AA97" i="165"/>
  <c r="AA109" i="165"/>
  <c r="AA70" i="165"/>
  <c r="AA92" i="165"/>
  <c r="AA104" i="165"/>
  <c r="AA99" i="165"/>
  <c r="AA111" i="165"/>
  <c r="AA85" i="165"/>
  <c r="AA94" i="165"/>
  <c r="AA106" i="165"/>
  <c r="AA101" i="165"/>
  <c r="AA113" i="165"/>
  <c r="AA31" i="165"/>
  <c r="AA96" i="165"/>
  <c r="AA108" i="165"/>
  <c r="AA72" i="165"/>
  <c r="AA91" i="165"/>
  <c r="AA103" i="165"/>
  <c r="AA114" i="165"/>
  <c r="AA126" i="165"/>
  <c r="AA138" i="165"/>
  <c r="AA121" i="165"/>
  <c r="AA133" i="165"/>
  <c r="AA100" i="165"/>
  <c r="AA116" i="165"/>
  <c r="AA128" i="165"/>
  <c r="AA123" i="165"/>
  <c r="AA135" i="165"/>
  <c r="AA77" i="165"/>
  <c r="AA105" i="165"/>
  <c r="AA118" i="165"/>
  <c r="AA130" i="165"/>
  <c r="AA125" i="165"/>
  <c r="AA137" i="165"/>
  <c r="AA110" i="165"/>
  <c r="AA120" i="165"/>
  <c r="AA132" i="165"/>
  <c r="AA93" i="165"/>
  <c r="AA115" i="165"/>
  <c r="AA127" i="165"/>
  <c r="AA122" i="165"/>
  <c r="AA134" i="165"/>
  <c r="AA129" i="165"/>
  <c r="AA141" i="165"/>
  <c r="AA148" i="165"/>
  <c r="AA143" i="165"/>
  <c r="AA117" i="165"/>
  <c r="AA150" i="165"/>
  <c r="AA145" i="165"/>
  <c r="AA131" i="165"/>
  <c r="AA140" i="165"/>
  <c r="AA98" i="165"/>
  <c r="AA147" i="165"/>
  <c r="AA136" i="165"/>
  <c r="AA142" i="165"/>
  <c r="AA119" i="165"/>
  <c r="AA149" i="165"/>
  <c r="AA112" i="165"/>
  <c r="AA144" i="165"/>
  <c r="AA146" i="165"/>
  <c r="AA3" i="165"/>
  <c r="AA124" i="165"/>
  <c r="T74" i="162"/>
  <c r="AA215" i="165"/>
  <c r="AA203" i="165"/>
  <c r="AA191" i="165"/>
  <c r="AA211" i="165"/>
  <c r="AA199" i="165"/>
  <c r="AA187" i="165"/>
  <c r="AA212" i="165"/>
  <c r="AA192" i="165"/>
  <c r="AA204" i="165"/>
  <c r="AA198" i="165"/>
  <c r="AA202" i="165"/>
  <c r="AA189" i="165"/>
  <c r="AA208" i="165"/>
  <c r="AA195" i="165"/>
  <c r="AA206" i="165"/>
  <c r="AA193" i="165"/>
  <c r="AA180" i="165"/>
  <c r="AA167" i="165"/>
  <c r="AA177" i="165"/>
  <c r="AA173" i="165"/>
  <c r="AA190" i="165"/>
  <c r="AA209" i="165"/>
  <c r="AA200" i="165"/>
  <c r="AA196" i="165"/>
  <c r="AA186" i="165"/>
  <c r="AA185" i="165"/>
  <c r="AA178" i="165"/>
  <c r="AA176" i="165"/>
  <c r="AA207" i="165"/>
  <c r="AA175" i="165"/>
  <c r="AA168" i="165"/>
  <c r="AA166" i="165"/>
  <c r="AA159" i="165"/>
  <c r="AA171" i="165"/>
  <c r="AA157" i="165"/>
  <c r="AA165" i="165"/>
  <c r="AA153" i="165"/>
  <c r="AA194" i="165"/>
  <c r="AA205" i="165"/>
  <c r="AA197" i="165"/>
  <c r="AA188" i="165"/>
  <c r="AA174" i="165"/>
  <c r="AA164" i="165"/>
  <c r="AA161" i="165"/>
  <c r="AA184" i="165"/>
  <c r="AA182" i="165"/>
  <c r="AA156" i="165"/>
  <c r="AA170" i="165"/>
  <c r="AA169" i="165"/>
  <c r="AA151" i="165"/>
  <c r="AA213" i="165"/>
  <c r="AA172" i="165"/>
  <c r="AA162" i="165"/>
  <c r="AA181" i="165"/>
  <c r="AA179" i="165"/>
  <c r="AA152" i="165"/>
  <c r="AA201" i="165"/>
  <c r="AA155" i="165"/>
  <c r="AA154" i="165"/>
  <c r="AA214" i="165"/>
  <c r="AA163" i="165"/>
  <c r="AA210" i="165"/>
  <c r="AA158" i="165"/>
  <c r="AA160" i="165"/>
  <c r="AA183" i="165"/>
  <c r="AB1" i="165"/>
  <c r="T75" i="160"/>
  <c r="AB139" i="165" l="1"/>
  <c r="AB78" i="165"/>
  <c r="AB4" i="165"/>
  <c r="AB16" i="165"/>
  <c r="AB28" i="165"/>
  <c r="AB11" i="165"/>
  <c r="AB23" i="165"/>
  <c r="AB35" i="165"/>
  <c r="AB6" i="165"/>
  <c r="AB18" i="165"/>
  <c r="AB30" i="165"/>
  <c r="AB13" i="165"/>
  <c r="AB25" i="165"/>
  <c r="AB8" i="165"/>
  <c r="AB20" i="165"/>
  <c r="AB32" i="165"/>
  <c r="AB15" i="165"/>
  <c r="AB27" i="165"/>
  <c r="AB10" i="165"/>
  <c r="AB22" i="165"/>
  <c r="AB34" i="165"/>
  <c r="AB5" i="165"/>
  <c r="AB17" i="165"/>
  <c r="AB29" i="165"/>
  <c r="AB14" i="165"/>
  <c r="AB26" i="165"/>
  <c r="AB36" i="165"/>
  <c r="AB43" i="165"/>
  <c r="AB55" i="165"/>
  <c r="AB19" i="165"/>
  <c r="AB38" i="165"/>
  <c r="AB50" i="165"/>
  <c r="AB33" i="165"/>
  <c r="AB45" i="165"/>
  <c r="AB57" i="165"/>
  <c r="AB24" i="165"/>
  <c r="AB40" i="165"/>
  <c r="AB52" i="165"/>
  <c r="AB7" i="165"/>
  <c r="AB47" i="165"/>
  <c r="AB59" i="165"/>
  <c r="AB21" i="165"/>
  <c r="AB42" i="165"/>
  <c r="AB54" i="165"/>
  <c r="AB12" i="165"/>
  <c r="AB37" i="165"/>
  <c r="AB49" i="165"/>
  <c r="AB44" i="165"/>
  <c r="AB56" i="165"/>
  <c r="AB9" i="165"/>
  <c r="AB39" i="165"/>
  <c r="AB51" i="165"/>
  <c r="AB31" i="165"/>
  <c r="AB41" i="165"/>
  <c r="AB53" i="165"/>
  <c r="AB72" i="165"/>
  <c r="AB85" i="165"/>
  <c r="AB67" i="165"/>
  <c r="AB80" i="165"/>
  <c r="AB62" i="165"/>
  <c r="AB74" i="165"/>
  <c r="AB87" i="165"/>
  <c r="AB69" i="165"/>
  <c r="AB82" i="165"/>
  <c r="AB64" i="165"/>
  <c r="AB76" i="165"/>
  <c r="AB89" i="165"/>
  <c r="AB71" i="165"/>
  <c r="AB84" i="165"/>
  <c r="AB66" i="165"/>
  <c r="AB79" i="165"/>
  <c r="AB48" i="165"/>
  <c r="AB61" i="165"/>
  <c r="AB73" i="165"/>
  <c r="AB86" i="165"/>
  <c r="AB46" i="165"/>
  <c r="AB68" i="165"/>
  <c r="AB81" i="165"/>
  <c r="AB100" i="165"/>
  <c r="AB112" i="165"/>
  <c r="AB58" i="165"/>
  <c r="AB83" i="165"/>
  <c r="AB95" i="165"/>
  <c r="AB107" i="165"/>
  <c r="AB65" i="165"/>
  <c r="AB90" i="165"/>
  <c r="AB102" i="165"/>
  <c r="AB60" i="165"/>
  <c r="AB88" i="165"/>
  <c r="AB97" i="165"/>
  <c r="AB109" i="165"/>
  <c r="AB70" i="165"/>
  <c r="AB92" i="165"/>
  <c r="AB104" i="165"/>
  <c r="AB99" i="165"/>
  <c r="AB111" i="165"/>
  <c r="AB75" i="165"/>
  <c r="AB94" i="165"/>
  <c r="AB106" i="165"/>
  <c r="AB101" i="165"/>
  <c r="AB96" i="165"/>
  <c r="AB108" i="165"/>
  <c r="AB63" i="165"/>
  <c r="AB103" i="165"/>
  <c r="AB119" i="165"/>
  <c r="AB131" i="165"/>
  <c r="AB114" i="165"/>
  <c r="AB126" i="165"/>
  <c r="AB138" i="165"/>
  <c r="AB121" i="165"/>
  <c r="AB133" i="165"/>
  <c r="AB91" i="165"/>
  <c r="AB116" i="165"/>
  <c r="AB128" i="165"/>
  <c r="AB123" i="165"/>
  <c r="AB135" i="165"/>
  <c r="AB77" i="165"/>
  <c r="AB105" i="165"/>
  <c r="AB118" i="165"/>
  <c r="AB130" i="165"/>
  <c r="AB125" i="165"/>
  <c r="AB137" i="165"/>
  <c r="AB110" i="165"/>
  <c r="AB120" i="165"/>
  <c r="AB132" i="165"/>
  <c r="AB93" i="165"/>
  <c r="AB113" i="165"/>
  <c r="AB115" i="165"/>
  <c r="AB127" i="165"/>
  <c r="AB146" i="165"/>
  <c r="AB129" i="165"/>
  <c r="AB141" i="165"/>
  <c r="AB148" i="165"/>
  <c r="AB134" i="165"/>
  <c r="AB143" i="165"/>
  <c r="AB117" i="165"/>
  <c r="AB150" i="165"/>
  <c r="AB145" i="165"/>
  <c r="AB122" i="165"/>
  <c r="AB140" i="165"/>
  <c r="AB98" i="165"/>
  <c r="AB147" i="165"/>
  <c r="AB136" i="165"/>
  <c r="AB142" i="165"/>
  <c r="AB144" i="165"/>
  <c r="AB149" i="165"/>
  <c r="AB3" i="165"/>
  <c r="AB124" i="165"/>
  <c r="AB208" i="165"/>
  <c r="AB196" i="165"/>
  <c r="AB184" i="165"/>
  <c r="AB204" i="165"/>
  <c r="AB192" i="165"/>
  <c r="AB205" i="165"/>
  <c r="AB186" i="165"/>
  <c r="AB197" i="165"/>
  <c r="AB215" i="165"/>
  <c r="AB195" i="165"/>
  <c r="AB182" i="165"/>
  <c r="AB214" i="165"/>
  <c r="AB201" i="165"/>
  <c r="AB188" i="165"/>
  <c r="AB213" i="165"/>
  <c r="AB212" i="165"/>
  <c r="AB199" i="165"/>
  <c r="AB189" i="165"/>
  <c r="AB172" i="165"/>
  <c r="AB206" i="165"/>
  <c r="AB202" i="165"/>
  <c r="AB198" i="165"/>
  <c r="AB194" i="165"/>
  <c r="AB170" i="165"/>
  <c r="AB211" i="165"/>
  <c r="AB193" i="165"/>
  <c r="AB190" i="165"/>
  <c r="AB210" i="165"/>
  <c r="AB183" i="165"/>
  <c r="AB181" i="165"/>
  <c r="AB203" i="165"/>
  <c r="AB187" i="165"/>
  <c r="AB180" i="165"/>
  <c r="AB169" i="165"/>
  <c r="AB164" i="165"/>
  <c r="AB152" i="165"/>
  <c r="AB162" i="165"/>
  <c r="AB191" i="165"/>
  <c r="AB158" i="165"/>
  <c r="AB177" i="165"/>
  <c r="AB163" i="165"/>
  <c r="AB179" i="165"/>
  <c r="AB161" i="165"/>
  <c r="AB175" i="165"/>
  <c r="AB168" i="165"/>
  <c r="AB167" i="165"/>
  <c r="AB166" i="165"/>
  <c r="AB155" i="165"/>
  <c r="AB154" i="165"/>
  <c r="AB157" i="165"/>
  <c r="AB171" i="165"/>
  <c r="AB178" i="165"/>
  <c r="AB160" i="165"/>
  <c r="AB173" i="165"/>
  <c r="AB165" i="165"/>
  <c r="AB153" i="165"/>
  <c r="AB156" i="165"/>
  <c r="AB159" i="165"/>
  <c r="AB176" i="165"/>
  <c r="AB200" i="165"/>
  <c r="AB174" i="165"/>
  <c r="AB209" i="165"/>
  <c r="AB185" i="165"/>
  <c r="AB207" i="165"/>
  <c r="AB151" i="165"/>
  <c r="AC1" i="165"/>
  <c r="T70" i="160"/>
  <c r="T69" i="160"/>
  <c r="AC139" i="165" l="1"/>
  <c r="AC78" i="165"/>
  <c r="AC9" i="165"/>
  <c r="AC21" i="165"/>
  <c r="AC33" i="165"/>
  <c r="AC4" i="165"/>
  <c r="AC16" i="165"/>
  <c r="AC28" i="165"/>
  <c r="AC11" i="165"/>
  <c r="AC23" i="165"/>
  <c r="AC35" i="165"/>
  <c r="AC6" i="165"/>
  <c r="AC18" i="165"/>
  <c r="AC30" i="165"/>
  <c r="AC13" i="165"/>
  <c r="AC25" i="165"/>
  <c r="AC8" i="165"/>
  <c r="AC20" i="165"/>
  <c r="AC32" i="165"/>
  <c r="AC15" i="165"/>
  <c r="AC27" i="165"/>
  <c r="AC10" i="165"/>
  <c r="AC22" i="165"/>
  <c r="AC34" i="165"/>
  <c r="AC7" i="165"/>
  <c r="AC19" i="165"/>
  <c r="AC31" i="165"/>
  <c r="AC5" i="165"/>
  <c r="AC48" i="165"/>
  <c r="AC60" i="165"/>
  <c r="AC36" i="165"/>
  <c r="AC43" i="165"/>
  <c r="AC55" i="165"/>
  <c r="AC38" i="165"/>
  <c r="AC50" i="165"/>
  <c r="AC45" i="165"/>
  <c r="AC57" i="165"/>
  <c r="AC24" i="165"/>
  <c r="AC40" i="165"/>
  <c r="AC52" i="165"/>
  <c r="AC47" i="165"/>
  <c r="AC59" i="165"/>
  <c r="AC29" i="165"/>
  <c r="AC42" i="165"/>
  <c r="AC54" i="165"/>
  <c r="AC12" i="165"/>
  <c r="AC37" i="165"/>
  <c r="AC49" i="165"/>
  <c r="AC26" i="165"/>
  <c r="AC44" i="165"/>
  <c r="AC56" i="165"/>
  <c r="AC46" i="165"/>
  <c r="AC58" i="165"/>
  <c r="AC65" i="165"/>
  <c r="AC77" i="165"/>
  <c r="AC14" i="165"/>
  <c r="AC72" i="165"/>
  <c r="AC85" i="165"/>
  <c r="AC67" i="165"/>
  <c r="AC80" i="165"/>
  <c r="AC62" i="165"/>
  <c r="AC74" i="165"/>
  <c r="AC87" i="165"/>
  <c r="AC17" i="165"/>
  <c r="AC69" i="165"/>
  <c r="AC82" i="165"/>
  <c r="AC64" i="165"/>
  <c r="AC76" i="165"/>
  <c r="AC89" i="165"/>
  <c r="AC71" i="165"/>
  <c r="AC84" i="165"/>
  <c r="AC41" i="165"/>
  <c r="AC66" i="165"/>
  <c r="AC79" i="165"/>
  <c r="AC39" i="165"/>
  <c r="AC61" i="165"/>
  <c r="AC73" i="165"/>
  <c r="AC86" i="165"/>
  <c r="AC68" i="165"/>
  <c r="AC93" i="165"/>
  <c r="AC105" i="165"/>
  <c r="AC100" i="165"/>
  <c r="AC112" i="165"/>
  <c r="AC83" i="165"/>
  <c r="AC95" i="165"/>
  <c r="AC107" i="165"/>
  <c r="AC90" i="165"/>
  <c r="AC102" i="165"/>
  <c r="AC51" i="165"/>
  <c r="AC88" i="165"/>
  <c r="AC97" i="165"/>
  <c r="AC109" i="165"/>
  <c r="AC70" i="165"/>
  <c r="AC92" i="165"/>
  <c r="AC104" i="165"/>
  <c r="AC53" i="165"/>
  <c r="AC99" i="165"/>
  <c r="AC111" i="165"/>
  <c r="AC75" i="165"/>
  <c r="AC94" i="165"/>
  <c r="AC106" i="165"/>
  <c r="AC101" i="165"/>
  <c r="AC113" i="165"/>
  <c r="AC124" i="165"/>
  <c r="AC136" i="165"/>
  <c r="AC63" i="165"/>
  <c r="AC103" i="165"/>
  <c r="AC119" i="165"/>
  <c r="AC131" i="165"/>
  <c r="AC114" i="165"/>
  <c r="AC126" i="165"/>
  <c r="AC138" i="165"/>
  <c r="AC108" i="165"/>
  <c r="AC121" i="165"/>
  <c r="AC133" i="165"/>
  <c r="AC91" i="165"/>
  <c r="AC116" i="165"/>
  <c r="AC128" i="165"/>
  <c r="AC123" i="165"/>
  <c r="AC135" i="165"/>
  <c r="AC96" i="165"/>
  <c r="AC118" i="165"/>
  <c r="AC130" i="165"/>
  <c r="AC125" i="165"/>
  <c r="AC110" i="165"/>
  <c r="AC120" i="165"/>
  <c r="AC132" i="165"/>
  <c r="AC115" i="165"/>
  <c r="AC146" i="165"/>
  <c r="AC129" i="165"/>
  <c r="AC141" i="165"/>
  <c r="AC148" i="165"/>
  <c r="AC134" i="165"/>
  <c r="AC143" i="165"/>
  <c r="AC117" i="165"/>
  <c r="AC150" i="165"/>
  <c r="AC137" i="165"/>
  <c r="AC145" i="165"/>
  <c r="AC122" i="165"/>
  <c r="AC140" i="165"/>
  <c r="AC98" i="165"/>
  <c r="AC147" i="165"/>
  <c r="AC81" i="165"/>
  <c r="AC142" i="165"/>
  <c r="AC127" i="165"/>
  <c r="AC144" i="165"/>
  <c r="AC149" i="165"/>
  <c r="AC3" i="165"/>
  <c r="AC213" i="165"/>
  <c r="AC201" i="165"/>
  <c r="AC189" i="165"/>
  <c r="AC209" i="165"/>
  <c r="AC197" i="165"/>
  <c r="AC211" i="165"/>
  <c r="AC198" i="165"/>
  <c r="AC183" i="165"/>
  <c r="AC181" i="165"/>
  <c r="AC210" i="165"/>
  <c r="AC214" i="165"/>
  <c r="AC208" i="165"/>
  <c r="AC188" i="165"/>
  <c r="AC207" i="165"/>
  <c r="AC194" i="165"/>
  <c r="AC205" i="165"/>
  <c r="AC192" i="165"/>
  <c r="AC191" i="165"/>
  <c r="AC177" i="165"/>
  <c r="AC179" i="165"/>
  <c r="AC175" i="165"/>
  <c r="AC171" i="165"/>
  <c r="AC204" i="165"/>
  <c r="AC200" i="165"/>
  <c r="AC185" i="165"/>
  <c r="AC184" i="165"/>
  <c r="AC182" i="165"/>
  <c r="AC174" i="165"/>
  <c r="AC199" i="165"/>
  <c r="AC195" i="165"/>
  <c r="AC206" i="165"/>
  <c r="AC170" i="165"/>
  <c r="AC157" i="165"/>
  <c r="AC178" i="165"/>
  <c r="AC176" i="165"/>
  <c r="AC172" i="165"/>
  <c r="AC155" i="165"/>
  <c r="AC202" i="165"/>
  <c r="AC163" i="165"/>
  <c r="AC212" i="165"/>
  <c r="AC203" i="165"/>
  <c r="AC169" i="165"/>
  <c r="AC164" i="165"/>
  <c r="AC215" i="165"/>
  <c r="AC156" i="165"/>
  <c r="AC186" i="165"/>
  <c r="AC158" i="165"/>
  <c r="AC162" i="165"/>
  <c r="AC160" i="165"/>
  <c r="AC193" i="165"/>
  <c r="AC190" i="165"/>
  <c r="AC187" i="165"/>
  <c r="AC161" i="165"/>
  <c r="AC154" i="165"/>
  <c r="AC151" i="165"/>
  <c r="AC167" i="165"/>
  <c r="AC153" i="165"/>
  <c r="AC152" i="165"/>
  <c r="AC180" i="165"/>
  <c r="AC166" i="165"/>
  <c r="AC196" i="165"/>
  <c r="AC173" i="165"/>
  <c r="AC165" i="165"/>
  <c r="AC159" i="165"/>
  <c r="AC168" i="165"/>
  <c r="AD1" i="165"/>
  <c r="T59" i="160"/>
  <c r="T58" i="160"/>
  <c r="AD139" i="165" l="1"/>
  <c r="AD78" i="165"/>
  <c r="AD14" i="165"/>
  <c r="AD26" i="165"/>
  <c r="AD9" i="165"/>
  <c r="AD21" i="165"/>
  <c r="AD33" i="165"/>
  <c r="AD4" i="165"/>
  <c r="AD16" i="165"/>
  <c r="AD28" i="165"/>
  <c r="AD11" i="165"/>
  <c r="AD23" i="165"/>
  <c r="AD35" i="165"/>
  <c r="AD6" i="165"/>
  <c r="AD18" i="165"/>
  <c r="AD30" i="165"/>
  <c r="AD13" i="165"/>
  <c r="AD25" i="165"/>
  <c r="AD8" i="165"/>
  <c r="AD20" i="165"/>
  <c r="AD32" i="165"/>
  <c r="AD15" i="165"/>
  <c r="AD27" i="165"/>
  <c r="AD12" i="165"/>
  <c r="AD24" i="165"/>
  <c r="AD36" i="165"/>
  <c r="AD22" i="165"/>
  <c r="AD41" i="165"/>
  <c r="AD53" i="165"/>
  <c r="AD5" i="165"/>
  <c r="AD48" i="165"/>
  <c r="AD60" i="165"/>
  <c r="AD19" i="165"/>
  <c r="AD43" i="165"/>
  <c r="AD55" i="165"/>
  <c r="AD10" i="165"/>
  <c r="AD38" i="165"/>
  <c r="AD50" i="165"/>
  <c r="AD45" i="165"/>
  <c r="AD57" i="165"/>
  <c r="AD7" i="165"/>
  <c r="AD40" i="165"/>
  <c r="AD52" i="165"/>
  <c r="AD47" i="165"/>
  <c r="AD59" i="165"/>
  <c r="AD29" i="165"/>
  <c r="AD42" i="165"/>
  <c r="AD54" i="165"/>
  <c r="AD37" i="165"/>
  <c r="AD49" i="165"/>
  <c r="AD17" i="165"/>
  <c r="AD39" i="165"/>
  <c r="AD51" i="165"/>
  <c r="AD56" i="165"/>
  <c r="AD70" i="165"/>
  <c r="AD83" i="165"/>
  <c r="AD65" i="165"/>
  <c r="AD77" i="165"/>
  <c r="AD34" i="165"/>
  <c r="AD72" i="165"/>
  <c r="AD85" i="165"/>
  <c r="AD67" i="165"/>
  <c r="AD80" i="165"/>
  <c r="AD62" i="165"/>
  <c r="AD74" i="165"/>
  <c r="AD87" i="165"/>
  <c r="AD69" i="165"/>
  <c r="AD82" i="165"/>
  <c r="AD64" i="165"/>
  <c r="AD76" i="165"/>
  <c r="AD89" i="165"/>
  <c r="AD71" i="165"/>
  <c r="AD84" i="165"/>
  <c r="AD66" i="165"/>
  <c r="AD79" i="165"/>
  <c r="AD86" i="165"/>
  <c r="AD98" i="165"/>
  <c r="AD110" i="165"/>
  <c r="AD68" i="165"/>
  <c r="AD93" i="165"/>
  <c r="AD105" i="165"/>
  <c r="AD58" i="165"/>
  <c r="AD100" i="165"/>
  <c r="AD112" i="165"/>
  <c r="AD73" i="165"/>
  <c r="AD95" i="165"/>
  <c r="AD107" i="165"/>
  <c r="AD90" i="165"/>
  <c r="AD102" i="165"/>
  <c r="AD88" i="165"/>
  <c r="AD97" i="165"/>
  <c r="AD109" i="165"/>
  <c r="AD61" i="165"/>
  <c r="AD92" i="165"/>
  <c r="AD104" i="165"/>
  <c r="AD44" i="165"/>
  <c r="AD99" i="165"/>
  <c r="AD111" i="165"/>
  <c r="AD31" i="165"/>
  <c r="AD75" i="165"/>
  <c r="AD94" i="165"/>
  <c r="AD106" i="165"/>
  <c r="AD117" i="165"/>
  <c r="AD129" i="165"/>
  <c r="AD124" i="165"/>
  <c r="AD136" i="165"/>
  <c r="AD63" i="165"/>
  <c r="AD103" i="165"/>
  <c r="AD119" i="165"/>
  <c r="AD131" i="165"/>
  <c r="AD46" i="165"/>
  <c r="AD114" i="165"/>
  <c r="AD126" i="165"/>
  <c r="AD138" i="165"/>
  <c r="AD108" i="165"/>
  <c r="AD121" i="165"/>
  <c r="AD133" i="165"/>
  <c r="AD91" i="165"/>
  <c r="AD116" i="165"/>
  <c r="AD128" i="165"/>
  <c r="AD123" i="165"/>
  <c r="AD135" i="165"/>
  <c r="AD96" i="165"/>
  <c r="AD118" i="165"/>
  <c r="AD130" i="165"/>
  <c r="AD125" i="165"/>
  <c r="AD137" i="165"/>
  <c r="AD101" i="165"/>
  <c r="AD113" i="165"/>
  <c r="AD132" i="165"/>
  <c r="AD144" i="165"/>
  <c r="AD3" i="165"/>
  <c r="AD115" i="165"/>
  <c r="AD146" i="165"/>
  <c r="AD120" i="165"/>
  <c r="AD141" i="165"/>
  <c r="AD148" i="165"/>
  <c r="AD134" i="165"/>
  <c r="AD143" i="165"/>
  <c r="AD150" i="165"/>
  <c r="AD145" i="165"/>
  <c r="AD122" i="165"/>
  <c r="AD140" i="165"/>
  <c r="AD81" i="165"/>
  <c r="AD142" i="165"/>
  <c r="AD147" i="165"/>
  <c r="AD127" i="165"/>
  <c r="AD149" i="165"/>
  <c r="AD206" i="165"/>
  <c r="AD194" i="165"/>
  <c r="AD214" i="165"/>
  <c r="AD202" i="165"/>
  <c r="AD190" i="165"/>
  <c r="AD204" i="165"/>
  <c r="AD191" i="165"/>
  <c r="AD203" i="165"/>
  <c r="AD207" i="165"/>
  <c r="AD201" i="165"/>
  <c r="AD180" i="165"/>
  <c r="AD200" i="165"/>
  <c r="AD212" i="165"/>
  <c r="AD211" i="165"/>
  <c r="AD198" i="165"/>
  <c r="AD170" i="165"/>
  <c r="AD215" i="165"/>
  <c r="AD168" i="165"/>
  <c r="AD210" i="165"/>
  <c r="AD185" i="165"/>
  <c r="AD184" i="165"/>
  <c r="AD183" i="165"/>
  <c r="AD182" i="165"/>
  <c r="AD178" i="165"/>
  <c r="AD176" i="165"/>
  <c r="AD209" i="165"/>
  <c r="AD196" i="165"/>
  <c r="AD186" i="165"/>
  <c r="AD208" i="165"/>
  <c r="AD187" i="165"/>
  <c r="AD189" i="165"/>
  <c r="AD177" i="165"/>
  <c r="AD171" i="165"/>
  <c r="AD162" i="165"/>
  <c r="AD213" i="165"/>
  <c r="AD193" i="165"/>
  <c r="AD160" i="165"/>
  <c r="AD156" i="165"/>
  <c r="AD174" i="165"/>
  <c r="AD167" i="165"/>
  <c r="AD166" i="165"/>
  <c r="AD159" i="165"/>
  <c r="AD195" i="165"/>
  <c r="AD172" i="165"/>
  <c r="AD173" i="165"/>
  <c r="AD165" i="165"/>
  <c r="AD199" i="165"/>
  <c r="AD153" i="165"/>
  <c r="AD152" i="165"/>
  <c r="AD192" i="165"/>
  <c r="AD175" i="165"/>
  <c r="AD164" i="165"/>
  <c r="AD155" i="165"/>
  <c r="AD158" i="165"/>
  <c r="AD157" i="165"/>
  <c r="AD188" i="165"/>
  <c r="AD169" i="165"/>
  <c r="AD154" i="165"/>
  <c r="AD163" i="165"/>
  <c r="AD179" i="165"/>
  <c r="AD197" i="165"/>
  <c r="AD151" i="165"/>
  <c r="AD205" i="165"/>
  <c r="AD161" i="165"/>
  <c r="AD181" i="165"/>
  <c r="AE1" i="165"/>
  <c r="D1" i="163"/>
  <c r="B78" i="162"/>
  <c r="B77" i="162"/>
  <c r="B74" i="162"/>
  <c r="AE139" i="165" l="1"/>
  <c r="AE78" i="165"/>
  <c r="AE7" i="165"/>
  <c r="AE19" i="165"/>
  <c r="AE31" i="165"/>
  <c r="AE14" i="165"/>
  <c r="AE26" i="165"/>
  <c r="AE9" i="165"/>
  <c r="AE21" i="165"/>
  <c r="AE33" i="165"/>
  <c r="AE4" i="165"/>
  <c r="AE16" i="165"/>
  <c r="AE28" i="165"/>
  <c r="AE11" i="165"/>
  <c r="AE23" i="165"/>
  <c r="AE35" i="165"/>
  <c r="AE6" i="165"/>
  <c r="AE18" i="165"/>
  <c r="AE30" i="165"/>
  <c r="AE13" i="165"/>
  <c r="AE25" i="165"/>
  <c r="AE8" i="165"/>
  <c r="AE20" i="165"/>
  <c r="AE32" i="165"/>
  <c r="AE5" i="165"/>
  <c r="AE17" i="165"/>
  <c r="AE29" i="165"/>
  <c r="AE46" i="165"/>
  <c r="AE58" i="165"/>
  <c r="AE22" i="165"/>
  <c r="AE41" i="165"/>
  <c r="AE53" i="165"/>
  <c r="AE36" i="165"/>
  <c r="AE48" i="165"/>
  <c r="AE60" i="165"/>
  <c r="AE27" i="165"/>
  <c r="AE43" i="165"/>
  <c r="AE55" i="165"/>
  <c r="AE10" i="165"/>
  <c r="AE38" i="165"/>
  <c r="AE50" i="165"/>
  <c r="AE24" i="165"/>
  <c r="AE45" i="165"/>
  <c r="AE57" i="165"/>
  <c r="AE15" i="165"/>
  <c r="AE40" i="165"/>
  <c r="AE52" i="165"/>
  <c r="AE47" i="165"/>
  <c r="AE59" i="165"/>
  <c r="AE12" i="165"/>
  <c r="AE42" i="165"/>
  <c r="AE54" i="165"/>
  <c r="AE34" i="165"/>
  <c r="AE44" i="165"/>
  <c r="AE56" i="165"/>
  <c r="AE49" i="165"/>
  <c r="AE63" i="165"/>
  <c r="AE75" i="165"/>
  <c r="AE88" i="165"/>
  <c r="AE70" i="165"/>
  <c r="AE83" i="165"/>
  <c r="AE65" i="165"/>
  <c r="AE77" i="165"/>
  <c r="AE72" i="165"/>
  <c r="AE85" i="165"/>
  <c r="AE67" i="165"/>
  <c r="AE80" i="165"/>
  <c r="AE62" i="165"/>
  <c r="AE74" i="165"/>
  <c r="AE87" i="165"/>
  <c r="AE69" i="165"/>
  <c r="AE82" i="165"/>
  <c r="AE64" i="165"/>
  <c r="AE76" i="165"/>
  <c r="AE71" i="165"/>
  <c r="AE84" i="165"/>
  <c r="AE39" i="165"/>
  <c r="AE89" i="165"/>
  <c r="AE91" i="165"/>
  <c r="AE103" i="165"/>
  <c r="AE86" i="165"/>
  <c r="AE98" i="165"/>
  <c r="AE110" i="165"/>
  <c r="AE68" i="165"/>
  <c r="AE93" i="165"/>
  <c r="AE105" i="165"/>
  <c r="AE100" i="165"/>
  <c r="AE112" i="165"/>
  <c r="AE73" i="165"/>
  <c r="AE95" i="165"/>
  <c r="AE107" i="165"/>
  <c r="AE51" i="165"/>
  <c r="AE90" i="165"/>
  <c r="AE102" i="165"/>
  <c r="AE79" i="165"/>
  <c r="AE97" i="165"/>
  <c r="AE109" i="165"/>
  <c r="AE61" i="165"/>
  <c r="AE92" i="165"/>
  <c r="AE104" i="165"/>
  <c r="AE99" i="165"/>
  <c r="AE111" i="165"/>
  <c r="AE106" i="165"/>
  <c r="AE122" i="165"/>
  <c r="AE134" i="165"/>
  <c r="AE37" i="165"/>
  <c r="AE117" i="165"/>
  <c r="AE129" i="165"/>
  <c r="AE124" i="165"/>
  <c r="AE136" i="165"/>
  <c r="AE94" i="165"/>
  <c r="AE119" i="165"/>
  <c r="AE131" i="165"/>
  <c r="AE114" i="165"/>
  <c r="AE126" i="165"/>
  <c r="AE108" i="165"/>
  <c r="AE121" i="165"/>
  <c r="AE133" i="165"/>
  <c r="AE66" i="165"/>
  <c r="AE116" i="165"/>
  <c r="AE128" i="165"/>
  <c r="AE123" i="165"/>
  <c r="AE135" i="165"/>
  <c r="AE96" i="165"/>
  <c r="AE118" i="165"/>
  <c r="AE130" i="165"/>
  <c r="AE149" i="165"/>
  <c r="AE101" i="165"/>
  <c r="AE113" i="165"/>
  <c r="AE132" i="165"/>
  <c r="AE144" i="165"/>
  <c r="AE3" i="165"/>
  <c r="AE115" i="165"/>
  <c r="AE146" i="165"/>
  <c r="AE120" i="165"/>
  <c r="AE141" i="165"/>
  <c r="AE148" i="165"/>
  <c r="AE125" i="165"/>
  <c r="AE143" i="165"/>
  <c r="AE137" i="165"/>
  <c r="AE150" i="165"/>
  <c r="AE138" i="165"/>
  <c r="AE145" i="165"/>
  <c r="AE81" i="165"/>
  <c r="AE142" i="165"/>
  <c r="AE147" i="165"/>
  <c r="AE127" i="165"/>
  <c r="AE140" i="165"/>
  <c r="D34" i="163"/>
  <c r="D29" i="163"/>
  <c r="D36" i="163"/>
  <c r="D31" i="163"/>
  <c r="D38" i="163"/>
  <c r="D33" i="163"/>
  <c r="D28" i="163"/>
  <c r="D40" i="163"/>
  <c r="D35" i="163"/>
  <c r="D30" i="163"/>
  <c r="D46" i="163"/>
  <c r="D58" i="163"/>
  <c r="D41" i="163"/>
  <c r="D53" i="163"/>
  <c r="D65" i="163"/>
  <c r="D39" i="163"/>
  <c r="D48" i="163"/>
  <c r="D60" i="163"/>
  <c r="D43" i="163"/>
  <c r="D55" i="163"/>
  <c r="D50" i="163"/>
  <c r="D62" i="163"/>
  <c r="D45" i="163"/>
  <c r="D57" i="163"/>
  <c r="D52" i="163"/>
  <c r="D64" i="163"/>
  <c r="D32" i="163"/>
  <c r="D47" i="163"/>
  <c r="D59" i="163"/>
  <c r="D42" i="163"/>
  <c r="D54" i="163"/>
  <c r="D70" i="163"/>
  <c r="D82" i="163"/>
  <c r="D56" i="163"/>
  <c r="D77" i="163"/>
  <c r="D89" i="163"/>
  <c r="D72" i="163"/>
  <c r="D84" i="163"/>
  <c r="D61" i="163"/>
  <c r="D67" i="163"/>
  <c r="D79" i="163"/>
  <c r="D44" i="163"/>
  <c r="D74" i="163"/>
  <c r="D86" i="163"/>
  <c r="D69" i="163"/>
  <c r="D81" i="163"/>
  <c r="D37" i="163"/>
  <c r="D49" i="163"/>
  <c r="D76" i="163"/>
  <c r="D88" i="163"/>
  <c r="D71" i="163"/>
  <c r="D83" i="163"/>
  <c r="D66" i="163"/>
  <c r="D78" i="163"/>
  <c r="D85" i="163"/>
  <c r="D91" i="163"/>
  <c r="D103" i="163"/>
  <c r="D115" i="163"/>
  <c r="D68" i="163"/>
  <c r="D98" i="163"/>
  <c r="D110" i="163"/>
  <c r="D93" i="163"/>
  <c r="D105" i="163"/>
  <c r="D73" i="163"/>
  <c r="D100" i="163"/>
  <c r="D112" i="163"/>
  <c r="D95" i="163"/>
  <c r="D107" i="163"/>
  <c r="D87" i="163"/>
  <c r="D90" i="163"/>
  <c r="D102" i="163"/>
  <c r="D114" i="163"/>
  <c r="D97" i="163"/>
  <c r="D109" i="163"/>
  <c r="D92" i="163"/>
  <c r="D104" i="163"/>
  <c r="D75" i="163"/>
  <c r="D99" i="163"/>
  <c r="D111" i="163"/>
  <c r="D63" i="163"/>
  <c r="D94" i="163"/>
  <c r="D117" i="163"/>
  <c r="D129" i="163"/>
  <c r="D141" i="163"/>
  <c r="D8" i="163"/>
  <c r="D20" i="163"/>
  <c r="D124" i="163"/>
  <c r="D136" i="163"/>
  <c r="D148" i="163"/>
  <c r="D15" i="163"/>
  <c r="D27" i="163"/>
  <c r="D108" i="163"/>
  <c r="D119" i="163"/>
  <c r="D131" i="163"/>
  <c r="D143" i="163"/>
  <c r="D10" i="163"/>
  <c r="D22" i="163"/>
  <c r="D126" i="163"/>
  <c r="D138" i="163"/>
  <c r="D5" i="163"/>
  <c r="D17" i="163"/>
  <c r="D113" i="163"/>
  <c r="D121" i="163"/>
  <c r="D133" i="163"/>
  <c r="D145" i="163"/>
  <c r="D12" i="163"/>
  <c r="D24" i="163"/>
  <c r="D96" i="163"/>
  <c r="D128" i="163"/>
  <c r="D140" i="163"/>
  <c r="D7" i="163"/>
  <c r="D19" i="163"/>
  <c r="D123" i="163"/>
  <c r="D135" i="163"/>
  <c r="D147" i="163"/>
  <c r="D14" i="163"/>
  <c r="D26" i="163"/>
  <c r="D80" i="163"/>
  <c r="D101" i="163"/>
  <c r="D118" i="163"/>
  <c r="D130" i="163"/>
  <c r="D142" i="163"/>
  <c r="D9" i="163"/>
  <c r="D21" i="163"/>
  <c r="D51" i="163"/>
  <c r="D125" i="163"/>
  <c r="D137" i="163"/>
  <c r="D4" i="163"/>
  <c r="D16" i="163"/>
  <c r="D132" i="163"/>
  <c r="D106" i="163"/>
  <c r="D18" i="163"/>
  <c r="D146" i="163"/>
  <c r="D144" i="163"/>
  <c r="D3" i="163"/>
  <c r="D120" i="163"/>
  <c r="D23" i="163"/>
  <c r="D6" i="163"/>
  <c r="D134" i="163"/>
  <c r="D25" i="163"/>
  <c r="D11" i="163"/>
  <c r="D116" i="163"/>
  <c r="D127" i="163"/>
  <c r="D139" i="163"/>
  <c r="D13" i="163"/>
  <c r="D122" i="163"/>
  <c r="AE211" i="165"/>
  <c r="AE199" i="165"/>
  <c r="AE187" i="165"/>
  <c r="AE207" i="165"/>
  <c r="AE195" i="165"/>
  <c r="AE210" i="165"/>
  <c r="AE197" i="165"/>
  <c r="AE179" i="165"/>
  <c r="AE209" i="165"/>
  <c r="AE196" i="165"/>
  <c r="AE200" i="165"/>
  <c r="AE194" i="165"/>
  <c r="AE184" i="165"/>
  <c r="AE213" i="165"/>
  <c r="AE193" i="165"/>
  <c r="AE204" i="165"/>
  <c r="AE191" i="165"/>
  <c r="AE206" i="165"/>
  <c r="AE202" i="165"/>
  <c r="AE175" i="165"/>
  <c r="AE173" i="165"/>
  <c r="AE186" i="165"/>
  <c r="AE169" i="165"/>
  <c r="AE192" i="165"/>
  <c r="AE181" i="165"/>
  <c r="AE203" i="165"/>
  <c r="AE180" i="165"/>
  <c r="AE215" i="165"/>
  <c r="AE198" i="165"/>
  <c r="AE172" i="165"/>
  <c r="AE155" i="165"/>
  <c r="AE201" i="165"/>
  <c r="AE190" i="165"/>
  <c r="AE165" i="165"/>
  <c r="AE153" i="165"/>
  <c r="AE177" i="165"/>
  <c r="AE174" i="165"/>
  <c r="AE161" i="165"/>
  <c r="AE214" i="165"/>
  <c r="AE205" i="165"/>
  <c r="AE188" i="165"/>
  <c r="AE168" i="165"/>
  <c r="AE164" i="165"/>
  <c r="AE189" i="165"/>
  <c r="AE171" i="165"/>
  <c r="AE170" i="165"/>
  <c r="AE162" i="165"/>
  <c r="AE176" i="165"/>
  <c r="AE158" i="165"/>
  <c r="AE157" i="165"/>
  <c r="AE163" i="165"/>
  <c r="AE159" i="165"/>
  <c r="AE151" i="165"/>
  <c r="AE178" i="165"/>
  <c r="AE185" i="165"/>
  <c r="AE183" i="165"/>
  <c r="AE154" i="165"/>
  <c r="AE208" i="165"/>
  <c r="AE156" i="165"/>
  <c r="AE166" i="165"/>
  <c r="AE182" i="165"/>
  <c r="AE160" i="165"/>
  <c r="AE212" i="165"/>
  <c r="AE167" i="165"/>
  <c r="AE152" i="165"/>
  <c r="AF1" i="165"/>
  <c r="B75" i="162"/>
  <c r="B79" i="162" s="1"/>
  <c r="E1" i="163"/>
  <c r="E206" i="163" s="1"/>
  <c r="D213" i="163"/>
  <c r="D209" i="163"/>
  <c r="D205" i="163"/>
  <c r="D210" i="163"/>
  <c r="D206" i="163"/>
  <c r="D207" i="163"/>
  <c r="D201" i="163"/>
  <c r="D211" i="163"/>
  <c r="D203" i="163"/>
  <c r="D199" i="163"/>
  <c r="D195" i="163"/>
  <c r="D212" i="163"/>
  <c r="D204" i="163"/>
  <c r="D200" i="163"/>
  <c r="D196" i="163"/>
  <c r="D194" i="163"/>
  <c r="D190" i="163"/>
  <c r="D186" i="163"/>
  <c r="D182" i="163"/>
  <c r="D198" i="163"/>
  <c r="D197" i="163"/>
  <c r="D191" i="163"/>
  <c r="D202" i="163"/>
  <c r="D192" i="163"/>
  <c r="D188" i="163"/>
  <c r="D184" i="163"/>
  <c r="D180" i="163"/>
  <c r="D176" i="163"/>
  <c r="D208" i="163"/>
  <c r="D193" i="163"/>
  <c r="D189" i="163"/>
  <c r="D185" i="163"/>
  <c r="D181" i="163"/>
  <c r="D177" i="163"/>
  <c r="D179" i="163"/>
  <c r="D175" i="163"/>
  <c r="D171" i="163"/>
  <c r="D183" i="163"/>
  <c r="D178" i="163"/>
  <c r="D172" i="163"/>
  <c r="D168" i="163"/>
  <c r="D164" i="163"/>
  <c r="D187" i="163"/>
  <c r="D173" i="163"/>
  <c r="D169" i="163"/>
  <c r="D165" i="163"/>
  <c r="D174" i="163"/>
  <c r="D167" i="163"/>
  <c r="D162" i="163"/>
  <c r="D163" i="163"/>
  <c r="D160" i="163"/>
  <c r="D156" i="163"/>
  <c r="D152" i="163"/>
  <c r="D161" i="163"/>
  <c r="D157" i="163"/>
  <c r="D153" i="163"/>
  <c r="D170" i="163"/>
  <c r="D166" i="163"/>
  <c r="D158" i="163"/>
  <c r="D154" i="163"/>
  <c r="D150" i="163"/>
  <c r="D149" i="163"/>
  <c r="D151" i="163"/>
  <c r="D155" i="163"/>
  <c r="D159" i="163"/>
  <c r="E210" i="163"/>
  <c r="E202" i="163"/>
  <c r="E213" i="163"/>
  <c r="E191" i="163"/>
  <c r="E189" i="163"/>
  <c r="E190" i="163"/>
  <c r="E172" i="163"/>
  <c r="E174" i="163"/>
  <c r="E160" i="163"/>
  <c r="E154" i="163"/>
  <c r="E159" i="163"/>
  <c r="T61" i="160"/>
  <c r="AF139" i="165" l="1"/>
  <c r="AF78" i="165"/>
  <c r="F1" i="163"/>
  <c r="E162" i="163"/>
  <c r="E158" i="163"/>
  <c r="E163" i="163"/>
  <c r="E188" i="163"/>
  <c r="E176" i="163"/>
  <c r="E194" i="163"/>
  <c r="E192" i="163"/>
  <c r="E195" i="163"/>
  <c r="E196" i="163"/>
  <c r="E208" i="163"/>
  <c r="E156" i="163"/>
  <c r="E167" i="163"/>
  <c r="E153" i="163"/>
  <c r="E168" i="163"/>
  <c r="E165" i="163"/>
  <c r="E180" i="163"/>
  <c r="E209" i="163"/>
  <c r="E199" i="163"/>
  <c r="E193" i="163"/>
  <c r="E200" i="163"/>
  <c r="E203" i="163"/>
  <c r="E151" i="163"/>
  <c r="E149" i="163"/>
  <c r="E161" i="163"/>
  <c r="E166" i="163"/>
  <c r="E173" i="163"/>
  <c r="E182" i="163"/>
  <c r="E181" i="163"/>
  <c r="E183" i="163"/>
  <c r="E201" i="163"/>
  <c r="E212" i="163"/>
  <c r="E211" i="163"/>
  <c r="E152" i="163"/>
  <c r="E171" i="163"/>
  <c r="E157" i="163"/>
  <c r="E175" i="163"/>
  <c r="E169" i="163"/>
  <c r="E178" i="163"/>
  <c r="E177" i="163"/>
  <c r="E179" i="163"/>
  <c r="E197" i="163"/>
  <c r="E204" i="163"/>
  <c r="E207" i="163"/>
  <c r="E155" i="163"/>
  <c r="E150" i="163"/>
  <c r="E164" i="163"/>
  <c r="E170" i="163"/>
  <c r="E184" i="163"/>
  <c r="E186" i="163"/>
  <c r="E185" i="163"/>
  <c r="E187" i="163"/>
  <c r="E205" i="163"/>
  <c r="E198" i="163"/>
  <c r="E39" i="163"/>
  <c r="E34" i="163"/>
  <c r="E29" i="163"/>
  <c r="E36" i="163"/>
  <c r="E31" i="163"/>
  <c r="E38" i="163"/>
  <c r="E33" i="163"/>
  <c r="E28" i="163"/>
  <c r="E40" i="163"/>
  <c r="E35" i="163"/>
  <c r="E51" i="163"/>
  <c r="E63" i="163"/>
  <c r="E46" i="163"/>
  <c r="E58" i="163"/>
  <c r="E41" i="163"/>
  <c r="E53" i="163"/>
  <c r="E65" i="163"/>
  <c r="E30" i="163"/>
  <c r="E48" i="163"/>
  <c r="E60" i="163"/>
  <c r="E43" i="163"/>
  <c r="E55" i="163"/>
  <c r="E50" i="163"/>
  <c r="E62" i="163"/>
  <c r="E45" i="163"/>
  <c r="E57" i="163"/>
  <c r="E52" i="163"/>
  <c r="E32" i="163"/>
  <c r="E47" i="163"/>
  <c r="E59" i="163"/>
  <c r="E42" i="163"/>
  <c r="E75" i="163"/>
  <c r="E87" i="163"/>
  <c r="E70" i="163"/>
  <c r="E82" i="163"/>
  <c r="E56" i="163"/>
  <c r="E77" i="163"/>
  <c r="E89" i="163"/>
  <c r="E72" i="163"/>
  <c r="E84" i="163"/>
  <c r="E61" i="163"/>
  <c r="E67" i="163"/>
  <c r="E79" i="163"/>
  <c r="E44" i="163"/>
  <c r="E74" i="163"/>
  <c r="E86" i="163"/>
  <c r="E69" i="163"/>
  <c r="E81" i="163"/>
  <c r="E37" i="163"/>
  <c r="E49" i="163"/>
  <c r="E76" i="163"/>
  <c r="E71" i="163"/>
  <c r="E83" i="163"/>
  <c r="E64" i="163"/>
  <c r="E88" i="163"/>
  <c r="E96" i="163"/>
  <c r="E108" i="163"/>
  <c r="E85" i="163"/>
  <c r="E91" i="163"/>
  <c r="E103" i="163"/>
  <c r="E115" i="163"/>
  <c r="E68" i="163"/>
  <c r="E98" i="163"/>
  <c r="E110" i="163"/>
  <c r="E54" i="163"/>
  <c r="E93" i="163"/>
  <c r="E105" i="163"/>
  <c r="E73" i="163"/>
  <c r="E100" i="163"/>
  <c r="E112" i="163"/>
  <c r="E95" i="163"/>
  <c r="E107" i="163"/>
  <c r="E78" i="163"/>
  <c r="E90" i="163"/>
  <c r="E102" i="163"/>
  <c r="E114" i="163"/>
  <c r="E97" i="163"/>
  <c r="E109" i="163"/>
  <c r="E92" i="163"/>
  <c r="E104" i="163"/>
  <c r="E111" i="163"/>
  <c r="E122" i="163"/>
  <c r="E134" i="163"/>
  <c r="E146" i="163"/>
  <c r="E13" i="163"/>
  <c r="E25" i="163"/>
  <c r="E94" i="163"/>
  <c r="E117" i="163"/>
  <c r="E129" i="163"/>
  <c r="E141" i="163"/>
  <c r="E8" i="163"/>
  <c r="E20" i="163"/>
  <c r="E124" i="163"/>
  <c r="E136" i="163"/>
  <c r="E148" i="163"/>
  <c r="E15" i="163"/>
  <c r="E27" i="163"/>
  <c r="E66" i="163"/>
  <c r="E99" i="163"/>
  <c r="E119" i="163"/>
  <c r="E131" i="163"/>
  <c r="E143" i="163"/>
  <c r="E10" i="163"/>
  <c r="E22" i="163"/>
  <c r="E126" i="163"/>
  <c r="E138" i="163"/>
  <c r="E5" i="163"/>
  <c r="E17" i="163"/>
  <c r="E113" i="163"/>
  <c r="E121" i="163"/>
  <c r="E133" i="163"/>
  <c r="E145" i="163"/>
  <c r="E12" i="163"/>
  <c r="E24" i="163"/>
  <c r="E128" i="163"/>
  <c r="E140" i="163"/>
  <c r="E7" i="163"/>
  <c r="E19" i="163"/>
  <c r="E123" i="163"/>
  <c r="E135" i="163"/>
  <c r="E147" i="163"/>
  <c r="E14" i="163"/>
  <c r="E26" i="163"/>
  <c r="E80" i="163"/>
  <c r="E101" i="163"/>
  <c r="E118" i="163"/>
  <c r="E130" i="163"/>
  <c r="E142" i="163"/>
  <c r="E9" i="163"/>
  <c r="E21" i="163"/>
  <c r="E4" i="163"/>
  <c r="E132" i="163"/>
  <c r="E23" i="163"/>
  <c r="E18" i="163"/>
  <c r="E16" i="163"/>
  <c r="E144" i="163"/>
  <c r="E127" i="163"/>
  <c r="E137" i="163"/>
  <c r="E3" i="163"/>
  <c r="E106" i="163"/>
  <c r="E116" i="163"/>
  <c r="E120" i="163"/>
  <c r="E6" i="163"/>
  <c r="E125" i="163"/>
  <c r="E11" i="163"/>
  <c r="E139" i="163"/>
  <c r="F32" i="163"/>
  <c r="F39" i="163"/>
  <c r="F34" i="163"/>
  <c r="F29" i="163"/>
  <c r="F36" i="163"/>
  <c r="F31" i="163"/>
  <c r="F38" i="163"/>
  <c r="F33" i="163"/>
  <c r="F28" i="163"/>
  <c r="F40" i="163"/>
  <c r="F44" i="163"/>
  <c r="F56" i="163"/>
  <c r="F51" i="163"/>
  <c r="F63" i="163"/>
  <c r="F46" i="163"/>
  <c r="F58" i="163"/>
  <c r="F41" i="163"/>
  <c r="F53" i="163"/>
  <c r="F65" i="163"/>
  <c r="F30" i="163"/>
  <c r="F48" i="163"/>
  <c r="F60" i="163"/>
  <c r="F43" i="163"/>
  <c r="F55" i="163"/>
  <c r="F35" i="163"/>
  <c r="F50" i="163"/>
  <c r="F62" i="163"/>
  <c r="F45" i="163"/>
  <c r="F57" i="163"/>
  <c r="F52" i="163"/>
  <c r="F64" i="163"/>
  <c r="F59" i="163"/>
  <c r="F68" i="163"/>
  <c r="F80" i="163"/>
  <c r="F42" i="163"/>
  <c r="F75" i="163"/>
  <c r="F87" i="163"/>
  <c r="F70" i="163"/>
  <c r="F82" i="163"/>
  <c r="F47" i="163"/>
  <c r="F77" i="163"/>
  <c r="F89" i="163"/>
  <c r="F72" i="163"/>
  <c r="F84" i="163"/>
  <c r="F61" i="163"/>
  <c r="F67" i="163"/>
  <c r="F79" i="163"/>
  <c r="F74" i="163"/>
  <c r="F86" i="163"/>
  <c r="F69" i="163"/>
  <c r="F81" i="163"/>
  <c r="F37" i="163"/>
  <c r="F49" i="163"/>
  <c r="F76" i="163"/>
  <c r="F88" i="163"/>
  <c r="F71" i="163"/>
  <c r="F101" i="163"/>
  <c r="F113" i="163"/>
  <c r="F96" i="163"/>
  <c r="F108" i="163"/>
  <c r="F85" i="163"/>
  <c r="F91" i="163"/>
  <c r="F103" i="163"/>
  <c r="F115" i="163"/>
  <c r="F98" i="163"/>
  <c r="F110" i="163"/>
  <c r="F54" i="163"/>
  <c r="F93" i="163"/>
  <c r="F105" i="163"/>
  <c r="F73" i="163"/>
  <c r="F100" i="163"/>
  <c r="F112" i="163"/>
  <c r="F95" i="163"/>
  <c r="F107" i="163"/>
  <c r="F78" i="163"/>
  <c r="F90" i="163"/>
  <c r="F102" i="163"/>
  <c r="F114" i="163"/>
  <c r="F97" i="163"/>
  <c r="F109" i="163"/>
  <c r="F83" i="163"/>
  <c r="F116" i="163"/>
  <c r="F127" i="163"/>
  <c r="F139" i="163"/>
  <c r="F6" i="163"/>
  <c r="F18" i="163"/>
  <c r="F111" i="163"/>
  <c r="F122" i="163"/>
  <c r="F134" i="163"/>
  <c r="F146" i="163"/>
  <c r="F13" i="163"/>
  <c r="F25" i="163"/>
  <c r="F94" i="163"/>
  <c r="F117" i="163"/>
  <c r="F129" i="163"/>
  <c r="F141" i="163"/>
  <c r="F8" i="163"/>
  <c r="F20" i="163"/>
  <c r="F124" i="163"/>
  <c r="F136" i="163"/>
  <c r="F148" i="163"/>
  <c r="F15" i="163"/>
  <c r="F27" i="163"/>
  <c r="F66" i="163"/>
  <c r="F99" i="163"/>
  <c r="F119" i="163"/>
  <c r="F131" i="163"/>
  <c r="F143" i="163"/>
  <c r="F10" i="163"/>
  <c r="F22" i="163"/>
  <c r="F126" i="163"/>
  <c r="F138" i="163"/>
  <c r="F5" i="163"/>
  <c r="F17" i="163"/>
  <c r="F104" i="163"/>
  <c r="F121" i="163"/>
  <c r="F133" i="163"/>
  <c r="F145" i="163"/>
  <c r="F12" i="163"/>
  <c r="F24" i="163"/>
  <c r="F128" i="163"/>
  <c r="F140" i="163"/>
  <c r="F7" i="163"/>
  <c r="F19" i="163"/>
  <c r="F123" i="163"/>
  <c r="F135" i="163"/>
  <c r="F147" i="163"/>
  <c r="F14" i="163"/>
  <c r="F26" i="163"/>
  <c r="F118" i="163"/>
  <c r="F21" i="163"/>
  <c r="F4" i="163"/>
  <c r="F132" i="163"/>
  <c r="F3" i="163"/>
  <c r="F144" i="163"/>
  <c r="F9" i="163"/>
  <c r="F23" i="163"/>
  <c r="F137" i="163"/>
  <c r="F120" i="163"/>
  <c r="F16" i="163"/>
  <c r="F92" i="163"/>
  <c r="F142" i="163"/>
  <c r="F106" i="163"/>
  <c r="F125" i="163"/>
  <c r="F11" i="163"/>
  <c r="F130" i="163"/>
  <c r="AF12" i="165"/>
  <c r="AF24" i="165"/>
  <c r="AF7" i="165"/>
  <c r="AF19" i="165"/>
  <c r="AF31" i="165"/>
  <c r="AF14" i="165"/>
  <c r="AF26" i="165"/>
  <c r="AF9" i="165"/>
  <c r="AF21" i="165"/>
  <c r="AF33" i="165"/>
  <c r="AF4" i="165"/>
  <c r="AF16" i="165"/>
  <c r="AF28" i="165"/>
  <c r="AF11" i="165"/>
  <c r="AF23" i="165"/>
  <c r="AF35" i="165"/>
  <c r="AF6" i="165"/>
  <c r="AF18" i="165"/>
  <c r="AF30" i="165"/>
  <c r="AF13" i="165"/>
  <c r="AF25" i="165"/>
  <c r="AF10" i="165"/>
  <c r="AF22" i="165"/>
  <c r="AF34" i="165"/>
  <c r="AF8" i="165"/>
  <c r="AF39" i="165"/>
  <c r="AF51" i="165"/>
  <c r="AF46" i="165"/>
  <c r="AF58" i="165"/>
  <c r="AF5" i="165"/>
  <c r="AF41" i="165"/>
  <c r="AF53" i="165"/>
  <c r="AF36" i="165"/>
  <c r="AF48" i="165"/>
  <c r="AF60" i="165"/>
  <c r="AF27" i="165"/>
  <c r="AF43" i="165"/>
  <c r="AF55" i="165"/>
  <c r="AF38" i="165"/>
  <c r="AF50" i="165"/>
  <c r="AF32" i="165"/>
  <c r="AF45" i="165"/>
  <c r="AF57" i="165"/>
  <c r="AF15" i="165"/>
  <c r="AF40" i="165"/>
  <c r="AF52" i="165"/>
  <c r="AF29" i="165"/>
  <c r="AF47" i="165"/>
  <c r="AF59" i="165"/>
  <c r="AF37" i="165"/>
  <c r="AF49" i="165"/>
  <c r="AF42" i="165"/>
  <c r="AF68" i="165"/>
  <c r="AF81" i="165"/>
  <c r="AF56" i="165"/>
  <c r="AF63" i="165"/>
  <c r="AF75" i="165"/>
  <c r="AF88" i="165"/>
  <c r="AF54" i="165"/>
  <c r="AF70" i="165"/>
  <c r="AF83" i="165"/>
  <c r="AF65" i="165"/>
  <c r="AF77" i="165"/>
  <c r="AF72" i="165"/>
  <c r="AF85" i="165"/>
  <c r="AF17" i="165"/>
  <c r="AF67" i="165"/>
  <c r="AF80" i="165"/>
  <c r="AF62" i="165"/>
  <c r="AF74" i="165"/>
  <c r="AF87" i="165"/>
  <c r="AF69" i="165"/>
  <c r="AF82" i="165"/>
  <c r="AF20" i="165"/>
  <c r="AF64" i="165"/>
  <c r="AF76" i="165"/>
  <c r="AF89" i="165"/>
  <c r="AF71" i="165"/>
  <c r="AF96" i="165"/>
  <c r="AF108" i="165"/>
  <c r="AF91" i="165"/>
  <c r="AF103" i="165"/>
  <c r="AF86" i="165"/>
  <c r="AF98" i="165"/>
  <c r="AF110" i="165"/>
  <c r="AF93" i="165"/>
  <c r="AF105" i="165"/>
  <c r="AF100" i="165"/>
  <c r="AF112" i="165"/>
  <c r="AF73" i="165"/>
  <c r="AF95" i="165"/>
  <c r="AF107" i="165"/>
  <c r="AF90" i="165"/>
  <c r="AF102" i="165"/>
  <c r="AF79" i="165"/>
  <c r="AF97" i="165"/>
  <c r="AF109" i="165"/>
  <c r="AF44" i="165"/>
  <c r="AF61" i="165"/>
  <c r="AF92" i="165"/>
  <c r="AF104" i="165"/>
  <c r="AF115" i="165"/>
  <c r="AF127" i="165"/>
  <c r="AF106" i="165"/>
  <c r="AF122" i="165"/>
  <c r="AF134" i="165"/>
  <c r="AF117" i="165"/>
  <c r="AF129" i="165"/>
  <c r="AF84" i="165"/>
  <c r="AF111" i="165"/>
  <c r="AF124" i="165"/>
  <c r="AF136" i="165"/>
  <c r="AF94" i="165"/>
  <c r="AF119" i="165"/>
  <c r="AF131" i="165"/>
  <c r="AF114" i="165"/>
  <c r="AF126" i="165"/>
  <c r="AF138" i="165"/>
  <c r="AF99" i="165"/>
  <c r="AF121" i="165"/>
  <c r="AF133" i="165"/>
  <c r="AF66" i="165"/>
  <c r="AF116" i="165"/>
  <c r="AF128" i="165"/>
  <c r="AF123" i="165"/>
  <c r="AF135" i="165"/>
  <c r="AF118" i="165"/>
  <c r="AF142" i="165"/>
  <c r="AF149" i="165"/>
  <c r="AF101" i="165"/>
  <c r="AF113" i="165"/>
  <c r="AF132" i="165"/>
  <c r="AF144" i="165"/>
  <c r="AF3" i="165"/>
  <c r="AF146" i="165"/>
  <c r="AF120" i="165"/>
  <c r="AF141" i="165"/>
  <c r="AF148" i="165"/>
  <c r="AF125" i="165"/>
  <c r="AF143" i="165"/>
  <c r="AF137" i="165"/>
  <c r="AF150" i="165"/>
  <c r="AF145" i="165"/>
  <c r="AF147" i="165"/>
  <c r="AF140" i="165"/>
  <c r="AF130" i="165"/>
  <c r="AF204" i="165"/>
  <c r="AF192" i="165"/>
  <c r="AF212" i="165"/>
  <c r="AF200" i="165"/>
  <c r="AF188" i="165"/>
  <c r="AF203" i="165"/>
  <c r="AF190" i="165"/>
  <c r="AF185" i="165"/>
  <c r="AF215" i="165"/>
  <c r="AF202" i="165"/>
  <c r="AF213" i="165"/>
  <c r="AF193" i="165"/>
  <c r="AF187" i="165"/>
  <c r="AF206" i="165"/>
  <c r="AF210" i="165"/>
  <c r="AF197" i="165"/>
  <c r="AF198" i="165"/>
  <c r="AF179" i="165"/>
  <c r="AF168" i="165"/>
  <c r="AF214" i="165"/>
  <c r="AF205" i="165"/>
  <c r="AF166" i="165"/>
  <c r="AF209" i="165"/>
  <c r="AF196" i="165"/>
  <c r="AF181" i="165"/>
  <c r="AF174" i="165"/>
  <c r="AF208" i="165"/>
  <c r="AF207" i="165"/>
  <c r="AF199" i="165"/>
  <c r="AF195" i="165"/>
  <c r="AF189" i="165"/>
  <c r="AF177" i="165"/>
  <c r="AF191" i="165"/>
  <c r="AF178" i="165"/>
  <c r="AF176" i="165"/>
  <c r="AF160" i="165"/>
  <c r="AF183" i="165"/>
  <c r="AF182" i="165"/>
  <c r="AF173" i="165"/>
  <c r="AF158" i="165"/>
  <c r="AF194" i="165"/>
  <c r="AF154" i="165"/>
  <c r="AF167" i="165"/>
  <c r="AF175" i="165"/>
  <c r="AF169" i="165"/>
  <c r="AF172" i="165"/>
  <c r="AF201" i="165"/>
  <c r="AF180" i="165"/>
  <c r="AF165" i="165"/>
  <c r="AF152" i="165"/>
  <c r="AF161" i="165"/>
  <c r="AF157" i="165"/>
  <c r="AF184" i="165"/>
  <c r="AF163" i="165"/>
  <c r="AF159" i="165"/>
  <c r="AF151" i="165"/>
  <c r="AF211" i="165"/>
  <c r="AF186" i="165"/>
  <c r="AF171" i="165"/>
  <c r="AF162" i="165"/>
  <c r="AF156" i="165"/>
  <c r="AF155" i="165"/>
  <c r="AF170" i="165"/>
  <c r="AF153" i="165"/>
  <c r="AF164" i="165"/>
  <c r="AG1" i="165"/>
  <c r="F211" i="163"/>
  <c r="F207" i="163"/>
  <c r="F203" i="163"/>
  <c r="F212" i="163"/>
  <c r="F208" i="163"/>
  <c r="F204" i="163"/>
  <c r="F209" i="163"/>
  <c r="F199" i="163"/>
  <c r="F213" i="163"/>
  <c r="F205" i="163"/>
  <c r="F201" i="163"/>
  <c r="F197" i="163"/>
  <c r="F193" i="163"/>
  <c r="F206" i="163"/>
  <c r="F202" i="163"/>
  <c r="F198" i="163"/>
  <c r="F194" i="163"/>
  <c r="F196" i="163"/>
  <c r="F192" i="163"/>
  <c r="F188" i="163"/>
  <c r="F184" i="163"/>
  <c r="F180" i="163"/>
  <c r="F200" i="163"/>
  <c r="F189" i="163"/>
  <c r="F190" i="163"/>
  <c r="F186" i="163"/>
  <c r="F182" i="163"/>
  <c r="F178" i="163"/>
  <c r="F210" i="163"/>
  <c r="F195" i="163"/>
  <c r="F191" i="163"/>
  <c r="F187" i="163"/>
  <c r="F183" i="163"/>
  <c r="F179" i="163"/>
  <c r="F181" i="163"/>
  <c r="F177" i="163"/>
  <c r="F173" i="163"/>
  <c r="F169" i="163"/>
  <c r="F185" i="163"/>
  <c r="F174" i="163"/>
  <c r="F170" i="163"/>
  <c r="F166" i="163"/>
  <c r="F162" i="163"/>
  <c r="F175" i="163"/>
  <c r="F171" i="163"/>
  <c r="F167" i="163"/>
  <c r="F164" i="163"/>
  <c r="F161" i="163"/>
  <c r="F176" i="163"/>
  <c r="F158" i="163"/>
  <c r="F154" i="163"/>
  <c r="F165" i="163"/>
  <c r="F159" i="163"/>
  <c r="F155" i="163"/>
  <c r="F151" i="163"/>
  <c r="F172" i="163"/>
  <c r="F168" i="163"/>
  <c r="F163" i="163"/>
  <c r="F160" i="163"/>
  <c r="F156" i="163"/>
  <c r="F152" i="163"/>
  <c r="F153" i="163"/>
  <c r="F150" i="163"/>
  <c r="F149" i="163"/>
  <c r="F157" i="163"/>
  <c r="G1" i="163"/>
  <c r="AG139" i="165" l="1"/>
  <c r="AG78" i="165"/>
  <c r="AG5" i="165"/>
  <c r="AG17" i="165"/>
  <c r="AG29" i="165"/>
  <c r="AG12" i="165"/>
  <c r="AG24" i="165"/>
  <c r="AG7" i="165"/>
  <c r="AG19" i="165"/>
  <c r="AG31" i="165"/>
  <c r="AG14" i="165"/>
  <c r="AG26" i="165"/>
  <c r="AG9" i="165"/>
  <c r="AG21" i="165"/>
  <c r="AG33" i="165"/>
  <c r="AG4" i="165"/>
  <c r="AG16" i="165"/>
  <c r="AG28" i="165"/>
  <c r="AG11" i="165"/>
  <c r="AG23" i="165"/>
  <c r="AG35" i="165"/>
  <c r="AG6" i="165"/>
  <c r="AG18" i="165"/>
  <c r="AG30" i="165"/>
  <c r="AG15" i="165"/>
  <c r="AG27" i="165"/>
  <c r="AG25" i="165"/>
  <c r="AG44" i="165"/>
  <c r="AG56" i="165"/>
  <c r="AG8" i="165"/>
  <c r="AG39" i="165"/>
  <c r="AG51" i="165"/>
  <c r="AG22" i="165"/>
  <c r="AG46" i="165"/>
  <c r="AG58" i="165"/>
  <c r="AG13" i="165"/>
  <c r="AG41" i="165"/>
  <c r="AG53" i="165"/>
  <c r="AG36" i="165"/>
  <c r="AG48" i="165"/>
  <c r="AG60" i="165"/>
  <c r="AG10" i="165"/>
  <c r="AG43" i="165"/>
  <c r="AG55" i="165"/>
  <c r="AG38" i="165"/>
  <c r="AG50" i="165"/>
  <c r="AG32" i="165"/>
  <c r="AG45" i="165"/>
  <c r="AG57" i="165"/>
  <c r="AG40" i="165"/>
  <c r="AG52" i="165"/>
  <c r="AG20" i="165"/>
  <c r="AG42" i="165"/>
  <c r="AG54" i="165"/>
  <c r="AG61" i="165"/>
  <c r="AG73" i="165"/>
  <c r="AG86" i="165"/>
  <c r="AG49" i="165"/>
  <c r="AG68" i="165"/>
  <c r="AG81" i="165"/>
  <c r="AG47" i="165"/>
  <c r="AG63" i="165"/>
  <c r="AG75" i="165"/>
  <c r="AG88" i="165"/>
  <c r="AG34" i="165"/>
  <c r="AG70" i="165"/>
  <c r="AG83" i="165"/>
  <c r="AG59" i="165"/>
  <c r="AG65" i="165"/>
  <c r="AG77" i="165"/>
  <c r="AG72" i="165"/>
  <c r="AG85" i="165"/>
  <c r="AG67" i="165"/>
  <c r="AG80" i="165"/>
  <c r="AG62" i="165"/>
  <c r="AG74" i="165"/>
  <c r="AG87" i="165"/>
  <c r="AG69" i="165"/>
  <c r="AG82" i="165"/>
  <c r="AG101" i="165"/>
  <c r="AG113" i="165"/>
  <c r="AG71" i="165"/>
  <c r="AG89" i="165"/>
  <c r="AG96" i="165"/>
  <c r="AG108" i="165"/>
  <c r="AG91" i="165"/>
  <c r="AG103" i="165"/>
  <c r="AG76" i="165"/>
  <c r="AG98" i="165"/>
  <c r="AG110" i="165"/>
  <c r="AG93" i="165"/>
  <c r="AG105" i="165"/>
  <c r="AG100" i="165"/>
  <c r="AG112" i="165"/>
  <c r="AG64" i="165"/>
  <c r="AG95" i="165"/>
  <c r="AG107" i="165"/>
  <c r="AG90" i="165"/>
  <c r="AG102" i="165"/>
  <c r="AG79" i="165"/>
  <c r="AG97" i="165"/>
  <c r="AG109" i="165"/>
  <c r="AG92" i="165"/>
  <c r="AG120" i="165"/>
  <c r="AG132" i="165"/>
  <c r="AG115" i="165"/>
  <c r="AG127" i="165"/>
  <c r="AG37" i="165"/>
  <c r="AG106" i="165"/>
  <c r="AG122" i="165"/>
  <c r="AG134" i="165"/>
  <c r="AG117" i="165"/>
  <c r="AG129" i="165"/>
  <c r="AG84" i="165"/>
  <c r="AG111" i="165"/>
  <c r="AG124" i="165"/>
  <c r="AG136" i="165"/>
  <c r="AG94" i="165"/>
  <c r="AG119" i="165"/>
  <c r="AG131" i="165"/>
  <c r="AG114" i="165"/>
  <c r="AG126" i="165"/>
  <c r="AG138" i="165"/>
  <c r="AG99" i="165"/>
  <c r="AG121" i="165"/>
  <c r="AG133" i="165"/>
  <c r="AG66" i="165"/>
  <c r="AG116" i="165"/>
  <c r="AG128" i="165"/>
  <c r="AG135" i="165"/>
  <c r="AG147" i="165"/>
  <c r="AG118" i="165"/>
  <c r="AG142" i="165"/>
  <c r="AG149" i="165"/>
  <c r="AG123" i="165"/>
  <c r="AG144" i="165"/>
  <c r="AG3" i="165"/>
  <c r="AG146" i="165"/>
  <c r="AG104" i="165"/>
  <c r="AG141" i="165"/>
  <c r="AG148" i="165"/>
  <c r="AG125" i="165"/>
  <c r="AG143" i="165"/>
  <c r="AG137" i="165"/>
  <c r="AG145" i="165"/>
  <c r="AG150" i="165"/>
  <c r="AG140" i="165"/>
  <c r="AG130" i="165"/>
  <c r="G37" i="163"/>
  <c r="G32" i="163"/>
  <c r="G39" i="163"/>
  <c r="G34" i="163"/>
  <c r="G29" i="163"/>
  <c r="G36" i="163"/>
  <c r="G31" i="163"/>
  <c r="G38" i="163"/>
  <c r="G33" i="163"/>
  <c r="G28" i="163"/>
  <c r="G49" i="163"/>
  <c r="G61" i="163"/>
  <c r="G44" i="163"/>
  <c r="G56" i="163"/>
  <c r="G51" i="163"/>
  <c r="G63" i="163"/>
  <c r="G46" i="163"/>
  <c r="G58" i="163"/>
  <c r="G41" i="163"/>
  <c r="G53" i="163"/>
  <c r="G30" i="163"/>
  <c r="G48" i="163"/>
  <c r="G60" i="163"/>
  <c r="G43" i="163"/>
  <c r="G55" i="163"/>
  <c r="G35" i="163"/>
  <c r="G50" i="163"/>
  <c r="G62" i="163"/>
  <c r="G45" i="163"/>
  <c r="G57" i="163"/>
  <c r="G40" i="163"/>
  <c r="G73" i="163"/>
  <c r="G85" i="163"/>
  <c r="G59" i="163"/>
  <c r="G68" i="163"/>
  <c r="G80" i="163"/>
  <c r="G42" i="163"/>
  <c r="G75" i="163"/>
  <c r="G87" i="163"/>
  <c r="G70" i="163"/>
  <c r="G82" i="163"/>
  <c r="G47" i="163"/>
  <c r="G77" i="163"/>
  <c r="G89" i="163"/>
  <c r="G72" i="163"/>
  <c r="G84" i="163"/>
  <c r="G52" i="163"/>
  <c r="G67" i="163"/>
  <c r="G79" i="163"/>
  <c r="G74" i="163"/>
  <c r="G86" i="163"/>
  <c r="G69" i="163"/>
  <c r="G81" i="163"/>
  <c r="G94" i="163"/>
  <c r="G106" i="163"/>
  <c r="G64" i="163"/>
  <c r="G71" i="163"/>
  <c r="G88" i="163"/>
  <c r="G101" i="163"/>
  <c r="G113" i="163"/>
  <c r="G96" i="163"/>
  <c r="G108" i="163"/>
  <c r="G76" i="163"/>
  <c r="G91" i="163"/>
  <c r="G103" i="163"/>
  <c r="G115" i="163"/>
  <c r="G98" i="163"/>
  <c r="G110" i="163"/>
  <c r="G54" i="163"/>
  <c r="G65" i="163"/>
  <c r="G93" i="163"/>
  <c r="G105" i="163"/>
  <c r="G100" i="163"/>
  <c r="G112" i="163"/>
  <c r="G95" i="163"/>
  <c r="G107" i="163"/>
  <c r="G78" i="163"/>
  <c r="G90" i="163"/>
  <c r="G102" i="163"/>
  <c r="G114" i="163"/>
  <c r="G97" i="163"/>
  <c r="G120" i="163"/>
  <c r="G132" i="163"/>
  <c r="G144" i="163"/>
  <c r="G11" i="163"/>
  <c r="G23" i="163"/>
  <c r="G83" i="163"/>
  <c r="G116" i="163"/>
  <c r="G127" i="163"/>
  <c r="G139" i="163"/>
  <c r="G6" i="163"/>
  <c r="G18" i="163"/>
  <c r="G111" i="163"/>
  <c r="G122" i="163"/>
  <c r="G134" i="163"/>
  <c r="G146" i="163"/>
  <c r="G13" i="163"/>
  <c r="G25" i="163"/>
  <c r="G117" i="163"/>
  <c r="G129" i="163"/>
  <c r="G141" i="163"/>
  <c r="G8" i="163"/>
  <c r="G20" i="163"/>
  <c r="G124" i="163"/>
  <c r="G136" i="163"/>
  <c r="G148" i="163"/>
  <c r="G15" i="163"/>
  <c r="G27" i="163"/>
  <c r="G66" i="163"/>
  <c r="G99" i="163"/>
  <c r="G119" i="163"/>
  <c r="G131" i="163"/>
  <c r="G143" i="163"/>
  <c r="G10" i="163"/>
  <c r="G22" i="163"/>
  <c r="G126" i="163"/>
  <c r="G138" i="163"/>
  <c r="G5" i="163"/>
  <c r="G17" i="163"/>
  <c r="G104" i="163"/>
  <c r="G121" i="163"/>
  <c r="G133" i="163"/>
  <c r="G145" i="163"/>
  <c r="G12" i="163"/>
  <c r="G24" i="163"/>
  <c r="G128" i="163"/>
  <c r="G140" i="163"/>
  <c r="G7" i="163"/>
  <c r="G19" i="163"/>
  <c r="G135" i="163"/>
  <c r="G118" i="163"/>
  <c r="G21" i="163"/>
  <c r="G4" i="163"/>
  <c r="G147" i="163"/>
  <c r="G109" i="163"/>
  <c r="G123" i="163"/>
  <c r="G26" i="163"/>
  <c r="G3" i="163"/>
  <c r="G9" i="163"/>
  <c r="G137" i="163"/>
  <c r="G14" i="163"/>
  <c r="G16" i="163"/>
  <c r="G92" i="163"/>
  <c r="G142" i="163"/>
  <c r="G125" i="163"/>
  <c r="G130" i="163"/>
  <c r="AG209" i="165"/>
  <c r="AG197" i="165"/>
  <c r="AG185" i="165"/>
  <c r="AG205" i="165"/>
  <c r="AG193" i="165"/>
  <c r="AG196" i="165"/>
  <c r="AG208" i="165"/>
  <c r="AG195" i="165"/>
  <c r="AG206" i="165"/>
  <c r="AG212" i="165"/>
  <c r="AG199" i="165"/>
  <c r="AG211" i="165"/>
  <c r="AG203" i="165"/>
  <c r="AG190" i="165"/>
  <c r="AG215" i="165"/>
  <c r="AG194" i="165"/>
  <c r="AG173" i="165"/>
  <c r="AG201" i="165"/>
  <c r="AG188" i="165"/>
  <c r="AG171" i="165"/>
  <c r="AG204" i="165"/>
  <c r="AG200" i="165"/>
  <c r="AG192" i="165"/>
  <c r="AG167" i="165"/>
  <c r="AG180" i="165"/>
  <c r="AG202" i="165"/>
  <c r="AG198" i="165"/>
  <c r="AG179" i="165"/>
  <c r="AG165" i="165"/>
  <c r="AG153" i="165"/>
  <c r="AG186" i="165"/>
  <c r="AG184" i="165"/>
  <c r="AG163" i="165"/>
  <c r="AG214" i="165"/>
  <c r="AG159" i="165"/>
  <c r="AG166" i="165"/>
  <c r="AG164" i="165"/>
  <c r="AG210" i="165"/>
  <c r="AG170" i="165"/>
  <c r="AG162" i="165"/>
  <c r="AG178" i="165"/>
  <c r="AG176" i="165"/>
  <c r="AG182" i="165"/>
  <c r="AG151" i="165"/>
  <c r="AG207" i="165"/>
  <c r="AG213" i="165"/>
  <c r="AG183" i="165"/>
  <c r="AG152" i="165"/>
  <c r="AG181" i="165"/>
  <c r="AG174" i="165"/>
  <c r="AG156" i="165"/>
  <c r="AG155" i="165"/>
  <c r="AG189" i="165"/>
  <c r="AG158" i="165"/>
  <c r="AG168" i="165"/>
  <c r="AG160" i="165"/>
  <c r="AG191" i="165"/>
  <c r="AG175" i="165"/>
  <c r="AG157" i="165"/>
  <c r="AG187" i="165"/>
  <c r="AG169" i="165"/>
  <c r="AG177" i="165"/>
  <c r="AG172" i="165"/>
  <c r="AG161" i="165"/>
  <c r="AG154" i="165"/>
  <c r="AH1" i="165"/>
  <c r="G212" i="163"/>
  <c r="G208" i="163"/>
  <c r="G204" i="163"/>
  <c r="G213" i="163"/>
  <c r="G209" i="163"/>
  <c r="G205" i="163"/>
  <c r="G210" i="163"/>
  <c r="G200" i="163"/>
  <c r="G206" i="163"/>
  <c r="G202" i="163"/>
  <c r="G198" i="163"/>
  <c r="G194" i="163"/>
  <c r="G207" i="163"/>
  <c r="G199" i="163"/>
  <c r="G195" i="163"/>
  <c r="G197" i="163"/>
  <c r="G189" i="163"/>
  <c r="G185" i="163"/>
  <c r="G181" i="163"/>
  <c r="G201" i="163"/>
  <c r="G190" i="163"/>
  <c r="G203" i="163"/>
  <c r="G193" i="163"/>
  <c r="G191" i="163"/>
  <c r="G187" i="163"/>
  <c r="G183" i="163"/>
  <c r="G179" i="163"/>
  <c r="G211" i="163"/>
  <c r="G196" i="163"/>
  <c r="G192" i="163"/>
  <c r="G188" i="163"/>
  <c r="G184" i="163"/>
  <c r="G180" i="163"/>
  <c r="G176" i="163"/>
  <c r="G182" i="163"/>
  <c r="G178" i="163"/>
  <c r="G174" i="163"/>
  <c r="G170" i="163"/>
  <c r="G186" i="163"/>
  <c r="G175" i="163"/>
  <c r="G171" i="163"/>
  <c r="G167" i="163"/>
  <c r="G163" i="163"/>
  <c r="G172" i="163"/>
  <c r="G168" i="163"/>
  <c r="G177" i="163"/>
  <c r="G165" i="163"/>
  <c r="G159" i="163"/>
  <c r="G155" i="163"/>
  <c r="G151" i="163"/>
  <c r="G169" i="163"/>
  <c r="G166" i="163"/>
  <c r="G162" i="163"/>
  <c r="G160" i="163"/>
  <c r="G156" i="163"/>
  <c r="G152" i="163"/>
  <c r="G173" i="163"/>
  <c r="G164" i="163"/>
  <c r="G161" i="163"/>
  <c r="G157" i="163"/>
  <c r="G153" i="163"/>
  <c r="G150" i="163"/>
  <c r="G149" i="163"/>
  <c r="G154" i="163"/>
  <c r="G158" i="163"/>
  <c r="H1" i="163"/>
  <c r="T60" i="160"/>
  <c r="AH139" i="165" l="1"/>
  <c r="AI139" i="165" s="1"/>
  <c r="AH78" i="165"/>
  <c r="AI78" i="165" s="1"/>
  <c r="AH10" i="165"/>
  <c r="AH22" i="165"/>
  <c r="AI22" i="165" s="1"/>
  <c r="AH34" i="165"/>
  <c r="AI34" i="165" s="1"/>
  <c r="AH5" i="165"/>
  <c r="AI5" i="165" s="1"/>
  <c r="AH17" i="165"/>
  <c r="AI17" i="165" s="1"/>
  <c r="AH29" i="165"/>
  <c r="AI29" i="165" s="1"/>
  <c r="AH12" i="165"/>
  <c r="AI12" i="165" s="1"/>
  <c r="AH24" i="165"/>
  <c r="AI24" i="165" s="1"/>
  <c r="AH7" i="165"/>
  <c r="AI7" i="165" s="1"/>
  <c r="AH19" i="165"/>
  <c r="AI19" i="165" s="1"/>
  <c r="AH31" i="165"/>
  <c r="AI31" i="165" s="1"/>
  <c r="AH14" i="165"/>
  <c r="AI14" i="165" s="1"/>
  <c r="AH26" i="165"/>
  <c r="AH9" i="165"/>
  <c r="AI9" i="165" s="1"/>
  <c r="AH21" i="165"/>
  <c r="AI21" i="165" s="1"/>
  <c r="AH33" i="165"/>
  <c r="AI33" i="165" s="1"/>
  <c r="AH4" i="165"/>
  <c r="AI4" i="165" s="1"/>
  <c r="AH16" i="165"/>
  <c r="AI16" i="165" s="1"/>
  <c r="AH28" i="165"/>
  <c r="AI28" i="165" s="1"/>
  <c r="AH11" i="165"/>
  <c r="AI11" i="165" s="1"/>
  <c r="AH23" i="165"/>
  <c r="AI23" i="165" s="1"/>
  <c r="AH35" i="165"/>
  <c r="AI35" i="165" s="1"/>
  <c r="AH8" i="165"/>
  <c r="AI8" i="165" s="1"/>
  <c r="AH20" i="165"/>
  <c r="AI20" i="165" s="1"/>
  <c r="AH32" i="165"/>
  <c r="AI32" i="165" s="1"/>
  <c r="AH37" i="165"/>
  <c r="AI37" i="165" s="1"/>
  <c r="AH49" i="165"/>
  <c r="AI49" i="165" s="1"/>
  <c r="AH25" i="165"/>
  <c r="AI25" i="165" s="1"/>
  <c r="AH44" i="165"/>
  <c r="AI44" i="165" s="1"/>
  <c r="AH56" i="165"/>
  <c r="AI56" i="165" s="1"/>
  <c r="AH39" i="165"/>
  <c r="AI39" i="165" s="1"/>
  <c r="AH51" i="165"/>
  <c r="AI51" i="165" s="1"/>
  <c r="AH30" i="165"/>
  <c r="AI30" i="165" s="1"/>
  <c r="AH46" i="165"/>
  <c r="AI46" i="165" s="1"/>
  <c r="AH58" i="165"/>
  <c r="AI58" i="165" s="1"/>
  <c r="AH13" i="165"/>
  <c r="AI13" i="165" s="1"/>
  <c r="AH41" i="165"/>
  <c r="AI41" i="165" s="1"/>
  <c r="AH53" i="165"/>
  <c r="AI53" i="165" s="1"/>
  <c r="AH27" i="165"/>
  <c r="AI27" i="165" s="1"/>
  <c r="AH36" i="165"/>
  <c r="AI36" i="165" s="1"/>
  <c r="AH48" i="165"/>
  <c r="AI48" i="165" s="1"/>
  <c r="AH60" i="165"/>
  <c r="AI60" i="165" s="1"/>
  <c r="AH18" i="165"/>
  <c r="AI18" i="165" s="1"/>
  <c r="AH43" i="165"/>
  <c r="AI43" i="165" s="1"/>
  <c r="AH55" i="165"/>
  <c r="AI55" i="165" s="1"/>
  <c r="AH38" i="165"/>
  <c r="AI38" i="165" s="1"/>
  <c r="AH50" i="165"/>
  <c r="AI50" i="165" s="1"/>
  <c r="AH15" i="165"/>
  <c r="AI15" i="165" s="1"/>
  <c r="AH45" i="165"/>
  <c r="AI45" i="165" s="1"/>
  <c r="AH57" i="165"/>
  <c r="AI57" i="165" s="1"/>
  <c r="AH47" i="165"/>
  <c r="AI47" i="165" s="1"/>
  <c r="AH59" i="165"/>
  <c r="AI59" i="165" s="1"/>
  <c r="AH66" i="165"/>
  <c r="AI66" i="165" s="1"/>
  <c r="AH79" i="165"/>
  <c r="AI79" i="165" s="1"/>
  <c r="AH42" i="165"/>
  <c r="AI42" i="165" s="1"/>
  <c r="AH61" i="165"/>
  <c r="AI61" i="165" s="1"/>
  <c r="AH73" i="165"/>
  <c r="AI73" i="165" s="1"/>
  <c r="AH86" i="165"/>
  <c r="AI86" i="165" s="1"/>
  <c r="AH6" i="165"/>
  <c r="AI6" i="165" s="1"/>
  <c r="AH40" i="165"/>
  <c r="AI40" i="165" s="1"/>
  <c r="AH68" i="165"/>
  <c r="AI68" i="165" s="1"/>
  <c r="AH81" i="165"/>
  <c r="AI81" i="165" s="1"/>
  <c r="AH54" i="165"/>
  <c r="AI54" i="165" s="1"/>
  <c r="AH63" i="165"/>
  <c r="AI63" i="165" s="1"/>
  <c r="AH75" i="165"/>
  <c r="AI75" i="165" s="1"/>
  <c r="AH88" i="165"/>
  <c r="AI88" i="165" s="1"/>
  <c r="AH52" i="165"/>
  <c r="AI52" i="165" s="1"/>
  <c r="AH70" i="165"/>
  <c r="AI70" i="165" s="1"/>
  <c r="AH83" i="165"/>
  <c r="AI83" i="165" s="1"/>
  <c r="AH65" i="165"/>
  <c r="AI65" i="165" s="1"/>
  <c r="AH77" i="165"/>
  <c r="AI77" i="165" s="1"/>
  <c r="AH72" i="165"/>
  <c r="AI72" i="165" s="1"/>
  <c r="AH85" i="165"/>
  <c r="AI85" i="165" s="1"/>
  <c r="AH67" i="165"/>
  <c r="AI67" i="165" s="1"/>
  <c r="AH80" i="165"/>
  <c r="AI80" i="165" s="1"/>
  <c r="AH62" i="165"/>
  <c r="AI62" i="165" s="1"/>
  <c r="AH74" i="165"/>
  <c r="AI74" i="165" s="1"/>
  <c r="AH87" i="165"/>
  <c r="AI87" i="165" s="1"/>
  <c r="AH94" i="165"/>
  <c r="AI94" i="165" s="1"/>
  <c r="AH106" i="165"/>
  <c r="AI106" i="165" s="1"/>
  <c r="AH101" i="165"/>
  <c r="AI101" i="165" s="1"/>
  <c r="AH113" i="165"/>
  <c r="AI113" i="165" s="1"/>
  <c r="AH71" i="165"/>
  <c r="AI71" i="165" s="1"/>
  <c r="AH89" i="165"/>
  <c r="AI89" i="165" s="1"/>
  <c r="AH96" i="165"/>
  <c r="AI96" i="165" s="1"/>
  <c r="AH108" i="165"/>
  <c r="AI108" i="165" s="1"/>
  <c r="AH91" i="165"/>
  <c r="AI91" i="165" s="1"/>
  <c r="AH103" i="165"/>
  <c r="AI103" i="165" s="1"/>
  <c r="AH76" i="165"/>
  <c r="AI76" i="165" s="1"/>
  <c r="AH98" i="165"/>
  <c r="AI98" i="165" s="1"/>
  <c r="AH110" i="165"/>
  <c r="AI110" i="165" s="1"/>
  <c r="AH93" i="165"/>
  <c r="AI93" i="165" s="1"/>
  <c r="AH105" i="165"/>
  <c r="AI105" i="165" s="1"/>
  <c r="AH82" i="165"/>
  <c r="AI82" i="165" s="1"/>
  <c r="AH100" i="165"/>
  <c r="AI100" i="165" s="1"/>
  <c r="AH112" i="165"/>
  <c r="AI112" i="165" s="1"/>
  <c r="AH64" i="165"/>
  <c r="AI64" i="165" s="1"/>
  <c r="AH95" i="165"/>
  <c r="AI95" i="165" s="1"/>
  <c r="AH107" i="165"/>
  <c r="AI107" i="165" s="1"/>
  <c r="AH90" i="165"/>
  <c r="AI90" i="165" s="1"/>
  <c r="AH102" i="165"/>
  <c r="AI102" i="165" s="1"/>
  <c r="AH69" i="165"/>
  <c r="AI69" i="165" s="1"/>
  <c r="AH109" i="165"/>
  <c r="AI109" i="165" s="1"/>
  <c r="AH125" i="165"/>
  <c r="AI125" i="165" s="1"/>
  <c r="AH137" i="165"/>
  <c r="AI137" i="165" s="1"/>
  <c r="AH92" i="165"/>
  <c r="AI92" i="165" s="1"/>
  <c r="AH120" i="165"/>
  <c r="AI120" i="165" s="1"/>
  <c r="AH132" i="165"/>
  <c r="AI132" i="165" s="1"/>
  <c r="AH115" i="165"/>
  <c r="AI115" i="165" s="1"/>
  <c r="AH127" i="165"/>
  <c r="AI127" i="165" s="1"/>
  <c r="AH97" i="165"/>
  <c r="AI97" i="165" s="1"/>
  <c r="AH122" i="165"/>
  <c r="AI122" i="165" s="1"/>
  <c r="AH134" i="165"/>
  <c r="AI134" i="165" s="1"/>
  <c r="AH117" i="165"/>
  <c r="AI117" i="165" s="1"/>
  <c r="AH129" i="165"/>
  <c r="AI129" i="165" s="1"/>
  <c r="AH84" i="165"/>
  <c r="AI84" i="165" s="1"/>
  <c r="AH111" i="165"/>
  <c r="AI111" i="165" s="1"/>
  <c r="AH124" i="165"/>
  <c r="AI124" i="165" s="1"/>
  <c r="AH136" i="165"/>
  <c r="AI136" i="165" s="1"/>
  <c r="AH119" i="165"/>
  <c r="AH131" i="165"/>
  <c r="AI131" i="165" s="1"/>
  <c r="AH114" i="165"/>
  <c r="AI114" i="165" s="1"/>
  <c r="AH126" i="165"/>
  <c r="AI126" i="165" s="1"/>
  <c r="AH99" i="165"/>
  <c r="AI99" i="165" s="1"/>
  <c r="AH121" i="165"/>
  <c r="AI121" i="165" s="1"/>
  <c r="AH133" i="165"/>
  <c r="AI133" i="165" s="1"/>
  <c r="AH140" i="165"/>
  <c r="AI140" i="165" s="1"/>
  <c r="AH135" i="165"/>
  <c r="AI135" i="165" s="1"/>
  <c r="AH147" i="165"/>
  <c r="AI147" i="165" s="1"/>
  <c r="AH118" i="165"/>
  <c r="AI118" i="165" s="1"/>
  <c r="AH142" i="165"/>
  <c r="AI142" i="165" s="1"/>
  <c r="AH149" i="165"/>
  <c r="AI149" i="165" s="1"/>
  <c r="AH123" i="165"/>
  <c r="AI123" i="165" s="1"/>
  <c r="AH144" i="165"/>
  <c r="AI144" i="165" s="1"/>
  <c r="AH3" i="165"/>
  <c r="AI3" i="165" s="1"/>
  <c r="AH128" i="165"/>
  <c r="AI128" i="165" s="1"/>
  <c r="AH146" i="165"/>
  <c r="AI146" i="165" s="1"/>
  <c r="AH104" i="165"/>
  <c r="AI104" i="165" s="1"/>
  <c r="AH141" i="165"/>
  <c r="AI141" i="165" s="1"/>
  <c r="AH148" i="165"/>
  <c r="AI148" i="165" s="1"/>
  <c r="AH145" i="165"/>
  <c r="AI145" i="165" s="1"/>
  <c r="AH138" i="165"/>
  <c r="AI138" i="165" s="1"/>
  <c r="AH150" i="165"/>
  <c r="AI150" i="165" s="1"/>
  <c r="AH116" i="165"/>
  <c r="AI116" i="165" s="1"/>
  <c r="AH130" i="165"/>
  <c r="AI130" i="165" s="1"/>
  <c r="AH143" i="165"/>
  <c r="AI143" i="165" s="1"/>
  <c r="H30" i="163"/>
  <c r="H37" i="163"/>
  <c r="H32" i="163"/>
  <c r="H39" i="163"/>
  <c r="H34" i="163"/>
  <c r="H29" i="163"/>
  <c r="H36" i="163"/>
  <c r="H31" i="163"/>
  <c r="H38" i="163"/>
  <c r="H42" i="163"/>
  <c r="H54" i="163"/>
  <c r="H28" i="163"/>
  <c r="H49" i="163"/>
  <c r="H61" i="163"/>
  <c r="H44" i="163"/>
  <c r="H56" i="163"/>
  <c r="H33" i="163"/>
  <c r="H51" i="163"/>
  <c r="H63" i="163"/>
  <c r="H46" i="163"/>
  <c r="H58" i="163"/>
  <c r="H41" i="163"/>
  <c r="H53" i="163"/>
  <c r="H65" i="163"/>
  <c r="H48" i="163"/>
  <c r="H60" i="163"/>
  <c r="H43" i="163"/>
  <c r="H55" i="163"/>
  <c r="H35" i="163"/>
  <c r="H50" i="163"/>
  <c r="H62" i="163"/>
  <c r="H45" i="163"/>
  <c r="H66" i="163"/>
  <c r="H78" i="163"/>
  <c r="H40" i="163"/>
  <c r="H73" i="163"/>
  <c r="H85" i="163"/>
  <c r="H59" i="163"/>
  <c r="H68" i="163"/>
  <c r="H80" i="163"/>
  <c r="H75" i="163"/>
  <c r="H87" i="163"/>
  <c r="H70" i="163"/>
  <c r="H82" i="163"/>
  <c r="H47" i="163"/>
  <c r="H77" i="163"/>
  <c r="H72" i="163"/>
  <c r="H84" i="163"/>
  <c r="H52" i="163"/>
  <c r="H67" i="163"/>
  <c r="H79" i="163"/>
  <c r="H74" i="163"/>
  <c r="H86" i="163"/>
  <c r="H99" i="163"/>
  <c r="H111" i="163"/>
  <c r="H94" i="163"/>
  <c r="H106" i="163"/>
  <c r="H64" i="163"/>
  <c r="H71" i="163"/>
  <c r="H88" i="163"/>
  <c r="H89" i="163"/>
  <c r="H101" i="163"/>
  <c r="H113" i="163"/>
  <c r="H96" i="163"/>
  <c r="H108" i="163"/>
  <c r="H76" i="163"/>
  <c r="H91" i="163"/>
  <c r="H103" i="163"/>
  <c r="H98" i="163"/>
  <c r="H110" i="163"/>
  <c r="H81" i="163"/>
  <c r="H93" i="163"/>
  <c r="H105" i="163"/>
  <c r="H100" i="163"/>
  <c r="H112" i="163"/>
  <c r="H95" i="163"/>
  <c r="H107" i="163"/>
  <c r="H125" i="163"/>
  <c r="H137" i="163"/>
  <c r="H4" i="163"/>
  <c r="H16" i="163"/>
  <c r="H97" i="163"/>
  <c r="H114" i="163"/>
  <c r="H120" i="163"/>
  <c r="H132" i="163"/>
  <c r="H144" i="163"/>
  <c r="H11" i="163"/>
  <c r="H23" i="163"/>
  <c r="H83" i="163"/>
  <c r="H116" i="163"/>
  <c r="H127" i="163"/>
  <c r="H139" i="163"/>
  <c r="H6" i="163"/>
  <c r="H18" i="163"/>
  <c r="H102" i="163"/>
  <c r="H122" i="163"/>
  <c r="H134" i="163"/>
  <c r="H146" i="163"/>
  <c r="H13" i="163"/>
  <c r="H25" i="163"/>
  <c r="H117" i="163"/>
  <c r="H129" i="163"/>
  <c r="H141" i="163"/>
  <c r="H8" i="163"/>
  <c r="H20" i="163"/>
  <c r="H124" i="163"/>
  <c r="H136" i="163"/>
  <c r="H148" i="163"/>
  <c r="H15" i="163"/>
  <c r="H27" i="163"/>
  <c r="H90" i="163"/>
  <c r="H115" i="163"/>
  <c r="H119" i="163"/>
  <c r="H131" i="163"/>
  <c r="H143" i="163"/>
  <c r="H10" i="163"/>
  <c r="H22" i="163"/>
  <c r="H126" i="163"/>
  <c r="H138" i="163"/>
  <c r="H5" i="163"/>
  <c r="H17" i="163"/>
  <c r="H104" i="163"/>
  <c r="H121" i="163"/>
  <c r="H133" i="163"/>
  <c r="H145" i="163"/>
  <c r="H12" i="163"/>
  <c r="H24" i="163"/>
  <c r="H57" i="163"/>
  <c r="H7" i="163"/>
  <c r="H135" i="163"/>
  <c r="H130" i="163"/>
  <c r="H118" i="163"/>
  <c r="H21" i="163"/>
  <c r="H69" i="163"/>
  <c r="H140" i="163"/>
  <c r="H109" i="163"/>
  <c r="H123" i="163"/>
  <c r="H26" i="163"/>
  <c r="H9" i="163"/>
  <c r="H147" i="163"/>
  <c r="H128" i="163"/>
  <c r="H3" i="163"/>
  <c r="H14" i="163"/>
  <c r="H92" i="163"/>
  <c r="H142" i="163"/>
  <c r="H19" i="163"/>
  <c r="AH214" i="165"/>
  <c r="AH202" i="165"/>
  <c r="AH190" i="165"/>
  <c r="AH210" i="165"/>
  <c r="AH198" i="165"/>
  <c r="AH215" i="165"/>
  <c r="AH209" i="165"/>
  <c r="AH189" i="165"/>
  <c r="AH182" i="165"/>
  <c r="AH201" i="165"/>
  <c r="AH212" i="165"/>
  <c r="AH199" i="165"/>
  <c r="AH186" i="165"/>
  <c r="AH205" i="165"/>
  <c r="AH192" i="165"/>
  <c r="AH196" i="165"/>
  <c r="AH166" i="165"/>
  <c r="AH213" i="165"/>
  <c r="AH183" i="165"/>
  <c r="AH178" i="165"/>
  <c r="AH176" i="165"/>
  <c r="AH208" i="165"/>
  <c r="AH180" i="165"/>
  <c r="AH172" i="165"/>
  <c r="AH207" i="165"/>
  <c r="AH187" i="165"/>
  <c r="AH191" i="165"/>
  <c r="AH175" i="165"/>
  <c r="AH206" i="165"/>
  <c r="AH194" i="165"/>
  <c r="AH158" i="165"/>
  <c r="AH211" i="165"/>
  <c r="AH185" i="165"/>
  <c r="AH181" i="165"/>
  <c r="AH156" i="165"/>
  <c r="AH188" i="165"/>
  <c r="AH167" i="165"/>
  <c r="AH164" i="165"/>
  <c r="AH152" i="165"/>
  <c r="AH197" i="165"/>
  <c r="AH179" i="165"/>
  <c r="AH169" i="165"/>
  <c r="AH168" i="165"/>
  <c r="AH200" i="165"/>
  <c r="AH171" i="165"/>
  <c r="AH165" i="165"/>
  <c r="AH184" i="165"/>
  <c r="AH163" i="165"/>
  <c r="AH159" i="165"/>
  <c r="AH177" i="165"/>
  <c r="AH193" i="165"/>
  <c r="AH173" i="165"/>
  <c r="AH161" i="165"/>
  <c r="AH154" i="165"/>
  <c r="AH153" i="165"/>
  <c r="AH157" i="165"/>
  <c r="AH195" i="165"/>
  <c r="AH151" i="165"/>
  <c r="AI151" i="165" s="1"/>
  <c r="AH170" i="165"/>
  <c r="AH204" i="165"/>
  <c r="AH203" i="165"/>
  <c r="AH160" i="165"/>
  <c r="AH174" i="165"/>
  <c r="AH162" i="165"/>
  <c r="AH155" i="165"/>
  <c r="AI26" i="165"/>
  <c r="AI10" i="165"/>
  <c r="H213" i="163"/>
  <c r="H209" i="163"/>
  <c r="H205" i="163"/>
  <c r="H210" i="163"/>
  <c r="H206" i="163"/>
  <c r="H211" i="163"/>
  <c r="H203" i="163"/>
  <c r="H201" i="163"/>
  <c r="H207" i="163"/>
  <c r="H199" i="163"/>
  <c r="H195" i="163"/>
  <c r="H208" i="163"/>
  <c r="H200" i="163"/>
  <c r="H196" i="163"/>
  <c r="H198" i="163"/>
  <c r="H190" i="163"/>
  <c r="H186" i="163"/>
  <c r="H182" i="163"/>
  <c r="H202" i="163"/>
  <c r="H193" i="163"/>
  <c r="H191" i="163"/>
  <c r="H204" i="163"/>
  <c r="H194" i="163"/>
  <c r="H192" i="163"/>
  <c r="H188" i="163"/>
  <c r="H184" i="163"/>
  <c r="H180" i="163"/>
  <c r="H176" i="163"/>
  <c r="H212" i="163"/>
  <c r="H197" i="163"/>
  <c r="H189" i="163"/>
  <c r="H185" i="163"/>
  <c r="H181" i="163"/>
  <c r="H177" i="163"/>
  <c r="H183" i="163"/>
  <c r="H175" i="163"/>
  <c r="H171" i="163"/>
  <c r="H187" i="163"/>
  <c r="H172" i="163"/>
  <c r="H168" i="163"/>
  <c r="H164" i="163"/>
  <c r="H173" i="163"/>
  <c r="H169" i="163"/>
  <c r="H165" i="163"/>
  <c r="H178" i="163"/>
  <c r="H166" i="163"/>
  <c r="H162" i="163"/>
  <c r="H160" i="163"/>
  <c r="H156" i="163"/>
  <c r="H152" i="163"/>
  <c r="H179" i="163"/>
  <c r="H170" i="163"/>
  <c r="H167" i="163"/>
  <c r="H163" i="163"/>
  <c r="H161" i="163"/>
  <c r="H157" i="163"/>
  <c r="H153" i="163"/>
  <c r="H174" i="163"/>
  <c r="H158" i="163"/>
  <c r="H154" i="163"/>
  <c r="H150" i="163"/>
  <c r="H149" i="163"/>
  <c r="H151" i="163"/>
  <c r="H155" i="163"/>
  <c r="H159" i="163"/>
  <c r="I1" i="163"/>
  <c r="I35" i="163" l="1"/>
  <c r="I30" i="163"/>
  <c r="I37" i="163"/>
  <c r="I32" i="163"/>
  <c r="I39" i="163"/>
  <c r="I34" i="163"/>
  <c r="I29" i="163"/>
  <c r="I36" i="163"/>
  <c r="I31" i="163"/>
  <c r="I47" i="163"/>
  <c r="I59" i="163"/>
  <c r="I42" i="163"/>
  <c r="I54" i="163"/>
  <c r="I28" i="163"/>
  <c r="I49" i="163"/>
  <c r="I61" i="163"/>
  <c r="I44" i="163"/>
  <c r="I56" i="163"/>
  <c r="I33" i="163"/>
  <c r="I51" i="163"/>
  <c r="I46" i="163"/>
  <c r="I58" i="163"/>
  <c r="I38" i="163"/>
  <c r="I41" i="163"/>
  <c r="I53" i="163"/>
  <c r="I65" i="163"/>
  <c r="I48" i="163"/>
  <c r="I60" i="163"/>
  <c r="I43" i="163"/>
  <c r="I55" i="163"/>
  <c r="I62" i="163"/>
  <c r="I64" i="163"/>
  <c r="I71" i="163"/>
  <c r="I83" i="163"/>
  <c r="I45" i="163"/>
  <c r="I66" i="163"/>
  <c r="I78" i="163"/>
  <c r="I40" i="163"/>
  <c r="I73" i="163"/>
  <c r="I85" i="163"/>
  <c r="I50" i="163"/>
  <c r="I68" i="163"/>
  <c r="I80" i="163"/>
  <c r="I75" i="163"/>
  <c r="I87" i="163"/>
  <c r="I70" i="163"/>
  <c r="I82" i="163"/>
  <c r="I77" i="163"/>
  <c r="I89" i="163"/>
  <c r="I72" i="163"/>
  <c r="I84" i="163"/>
  <c r="I52" i="163"/>
  <c r="I67" i="163"/>
  <c r="I79" i="163"/>
  <c r="I74" i="163"/>
  <c r="I92" i="163"/>
  <c r="I104" i="163"/>
  <c r="I116" i="163"/>
  <c r="I99" i="163"/>
  <c r="I111" i="163"/>
  <c r="I94" i="163"/>
  <c r="I106" i="163"/>
  <c r="I88" i="163"/>
  <c r="I101" i="163"/>
  <c r="I113" i="163"/>
  <c r="I96" i="163"/>
  <c r="I108" i="163"/>
  <c r="I76" i="163"/>
  <c r="I91" i="163"/>
  <c r="I103" i="163"/>
  <c r="I98" i="163"/>
  <c r="I110" i="163"/>
  <c r="I81" i="163"/>
  <c r="I93" i="163"/>
  <c r="I105" i="163"/>
  <c r="I100" i="163"/>
  <c r="I112" i="163"/>
  <c r="I118" i="163"/>
  <c r="I130" i="163"/>
  <c r="I142" i="163"/>
  <c r="I9" i="163"/>
  <c r="I21" i="163"/>
  <c r="I63" i="163"/>
  <c r="I125" i="163"/>
  <c r="I137" i="163"/>
  <c r="I4" i="163"/>
  <c r="I16" i="163"/>
  <c r="I97" i="163"/>
  <c r="I114" i="163"/>
  <c r="I120" i="163"/>
  <c r="I132" i="163"/>
  <c r="I144" i="163"/>
  <c r="I11" i="163"/>
  <c r="I23" i="163"/>
  <c r="I127" i="163"/>
  <c r="I139" i="163"/>
  <c r="I6" i="163"/>
  <c r="I18" i="163"/>
  <c r="I102" i="163"/>
  <c r="I122" i="163"/>
  <c r="I134" i="163"/>
  <c r="I146" i="163"/>
  <c r="I13" i="163"/>
  <c r="I25" i="163"/>
  <c r="I117" i="163"/>
  <c r="I129" i="163"/>
  <c r="I141" i="163"/>
  <c r="I8" i="163"/>
  <c r="I20" i="163"/>
  <c r="I86" i="163"/>
  <c r="I107" i="163"/>
  <c r="I124" i="163"/>
  <c r="I136" i="163"/>
  <c r="I148" i="163"/>
  <c r="I15" i="163"/>
  <c r="I27" i="163"/>
  <c r="I90" i="163"/>
  <c r="I115" i="163"/>
  <c r="I119" i="163"/>
  <c r="I131" i="163"/>
  <c r="I143" i="163"/>
  <c r="I10" i="163"/>
  <c r="I22" i="163"/>
  <c r="I126" i="163"/>
  <c r="I138" i="163"/>
  <c r="I5" i="163"/>
  <c r="I17" i="163"/>
  <c r="I95" i="163"/>
  <c r="I121" i="163"/>
  <c r="I24" i="163"/>
  <c r="I57" i="163"/>
  <c r="I7" i="163"/>
  <c r="I135" i="163"/>
  <c r="I26" i="163"/>
  <c r="I12" i="163"/>
  <c r="I69" i="163"/>
  <c r="I140" i="163"/>
  <c r="I109" i="163"/>
  <c r="I123" i="163"/>
  <c r="I145" i="163"/>
  <c r="I3" i="163"/>
  <c r="I128" i="163"/>
  <c r="I19" i="163"/>
  <c r="I14" i="163"/>
  <c r="I133" i="163"/>
  <c r="I147" i="163"/>
  <c r="I210" i="163"/>
  <c r="I206" i="163"/>
  <c r="I211" i="163"/>
  <c r="I207" i="163"/>
  <c r="I203" i="163"/>
  <c r="I212" i="163"/>
  <c r="I204" i="163"/>
  <c r="I202" i="163"/>
  <c r="I198" i="163"/>
  <c r="I208" i="163"/>
  <c r="I200" i="163"/>
  <c r="I196" i="163"/>
  <c r="I209" i="163"/>
  <c r="I201" i="163"/>
  <c r="I197" i="163"/>
  <c r="I193" i="163"/>
  <c r="I199" i="163"/>
  <c r="I191" i="163"/>
  <c r="I187" i="163"/>
  <c r="I183" i="163"/>
  <c r="I179" i="163"/>
  <c r="I194" i="163"/>
  <c r="I192" i="163"/>
  <c r="I205" i="163"/>
  <c r="I195" i="163"/>
  <c r="I189" i="163"/>
  <c r="I185" i="163"/>
  <c r="I181" i="163"/>
  <c r="I177" i="163"/>
  <c r="I213" i="163"/>
  <c r="I190" i="163"/>
  <c r="I186" i="163"/>
  <c r="I182" i="163"/>
  <c r="I178" i="163"/>
  <c r="I184" i="163"/>
  <c r="I172" i="163"/>
  <c r="I188" i="163"/>
  <c r="I173" i="163"/>
  <c r="I169" i="163"/>
  <c r="I165" i="163"/>
  <c r="I176" i="163"/>
  <c r="I174" i="163"/>
  <c r="I170" i="163"/>
  <c r="I166" i="163"/>
  <c r="I180" i="163"/>
  <c r="I162" i="163"/>
  <c r="I160" i="163"/>
  <c r="I167" i="163"/>
  <c r="I163" i="163"/>
  <c r="I161" i="163"/>
  <c r="I157" i="163"/>
  <c r="I153" i="163"/>
  <c r="I171" i="163"/>
  <c r="I168" i="163"/>
  <c r="I164" i="163"/>
  <c r="I158" i="163"/>
  <c r="I154" i="163"/>
  <c r="I150" i="163"/>
  <c r="I149" i="163"/>
  <c r="I175" i="163"/>
  <c r="I159" i="163"/>
  <c r="I155" i="163"/>
  <c r="I151" i="163"/>
  <c r="I152" i="163"/>
  <c r="I156" i="163"/>
  <c r="J1" i="163"/>
  <c r="J28" i="163" l="1"/>
  <c r="J40" i="163"/>
  <c r="J35" i="163"/>
  <c r="J30" i="163"/>
  <c r="J37" i="163"/>
  <c r="J32" i="163"/>
  <c r="J39" i="163"/>
  <c r="J34" i="163"/>
  <c r="J29" i="163"/>
  <c r="J36" i="163"/>
  <c r="J31" i="163"/>
  <c r="J52" i="163"/>
  <c r="J64" i="163"/>
  <c r="J47" i="163"/>
  <c r="J59" i="163"/>
  <c r="J42" i="163"/>
  <c r="J54" i="163"/>
  <c r="J49" i="163"/>
  <c r="J61" i="163"/>
  <c r="J44" i="163"/>
  <c r="J56" i="163"/>
  <c r="J33" i="163"/>
  <c r="J51" i="163"/>
  <c r="J63" i="163"/>
  <c r="J46" i="163"/>
  <c r="J58" i="163"/>
  <c r="J38" i="163"/>
  <c r="J41" i="163"/>
  <c r="J53" i="163"/>
  <c r="J48" i="163"/>
  <c r="J60" i="163"/>
  <c r="J65" i="163"/>
  <c r="J76" i="163"/>
  <c r="J88" i="163"/>
  <c r="J62" i="163"/>
  <c r="J71" i="163"/>
  <c r="J83" i="163"/>
  <c r="J45" i="163"/>
  <c r="J66" i="163"/>
  <c r="J78" i="163"/>
  <c r="J73" i="163"/>
  <c r="J85" i="163"/>
  <c r="J50" i="163"/>
  <c r="J68" i="163"/>
  <c r="J80" i="163"/>
  <c r="J75" i="163"/>
  <c r="J87" i="163"/>
  <c r="J55" i="163"/>
  <c r="J70" i="163"/>
  <c r="J82" i="163"/>
  <c r="J77" i="163"/>
  <c r="J72" i="163"/>
  <c r="J84" i="163"/>
  <c r="J97" i="163"/>
  <c r="J109" i="163"/>
  <c r="J74" i="163"/>
  <c r="J92" i="163"/>
  <c r="J104" i="163"/>
  <c r="J116" i="163"/>
  <c r="J99" i="163"/>
  <c r="J111" i="163"/>
  <c r="J79" i="163"/>
  <c r="J89" i="163"/>
  <c r="J94" i="163"/>
  <c r="J106" i="163"/>
  <c r="J101" i="163"/>
  <c r="J113" i="163"/>
  <c r="J96" i="163"/>
  <c r="J108" i="163"/>
  <c r="J43" i="163"/>
  <c r="J67" i="163"/>
  <c r="J91" i="163"/>
  <c r="J103" i="163"/>
  <c r="J115" i="163"/>
  <c r="J98" i="163"/>
  <c r="J110" i="163"/>
  <c r="J81" i="163"/>
  <c r="J93" i="163"/>
  <c r="J105" i="163"/>
  <c r="J100" i="163"/>
  <c r="J123" i="163"/>
  <c r="J135" i="163"/>
  <c r="J147" i="163"/>
  <c r="J14" i="163"/>
  <c r="J26" i="163"/>
  <c r="J118" i="163"/>
  <c r="J130" i="163"/>
  <c r="J142" i="163"/>
  <c r="J9" i="163"/>
  <c r="J21" i="163"/>
  <c r="J125" i="163"/>
  <c r="J137" i="163"/>
  <c r="J4" i="163"/>
  <c r="J16" i="163"/>
  <c r="J114" i="163"/>
  <c r="J120" i="163"/>
  <c r="J132" i="163"/>
  <c r="J144" i="163"/>
  <c r="J11" i="163"/>
  <c r="J23" i="163"/>
  <c r="J127" i="163"/>
  <c r="J139" i="163"/>
  <c r="J6" i="163"/>
  <c r="J18" i="163"/>
  <c r="J102" i="163"/>
  <c r="J122" i="163"/>
  <c r="J134" i="163"/>
  <c r="J146" i="163"/>
  <c r="J13" i="163"/>
  <c r="J25" i="163"/>
  <c r="J117" i="163"/>
  <c r="J129" i="163"/>
  <c r="J141" i="163"/>
  <c r="J8" i="163"/>
  <c r="J20" i="163"/>
  <c r="J86" i="163"/>
  <c r="J107" i="163"/>
  <c r="J124" i="163"/>
  <c r="J136" i="163"/>
  <c r="J148" i="163"/>
  <c r="J15" i="163"/>
  <c r="J27" i="163"/>
  <c r="J90" i="163"/>
  <c r="J119" i="163"/>
  <c r="J131" i="163"/>
  <c r="J143" i="163"/>
  <c r="J10" i="163"/>
  <c r="J22" i="163"/>
  <c r="J138" i="163"/>
  <c r="J95" i="163"/>
  <c r="J121" i="163"/>
  <c r="J24" i="163"/>
  <c r="J57" i="163"/>
  <c r="J7" i="163"/>
  <c r="J133" i="163"/>
  <c r="J126" i="163"/>
  <c r="J12" i="163"/>
  <c r="J69" i="163"/>
  <c r="J140" i="163"/>
  <c r="J112" i="163"/>
  <c r="J17" i="163"/>
  <c r="J3" i="163"/>
  <c r="J145" i="163"/>
  <c r="J128" i="163"/>
  <c r="J5" i="163"/>
  <c r="J19" i="163"/>
  <c r="J211" i="163"/>
  <c r="J207" i="163"/>
  <c r="J203" i="163"/>
  <c r="J212" i="163"/>
  <c r="J208" i="163"/>
  <c r="J204" i="163"/>
  <c r="J213" i="163"/>
  <c r="J205" i="163"/>
  <c r="J199" i="163"/>
  <c r="J209" i="163"/>
  <c r="J201" i="163"/>
  <c r="J197" i="163"/>
  <c r="J193" i="163"/>
  <c r="J210" i="163"/>
  <c r="J202" i="163"/>
  <c r="J198" i="163"/>
  <c r="J194" i="163"/>
  <c r="J200" i="163"/>
  <c r="J192" i="163"/>
  <c r="J188" i="163"/>
  <c r="J184" i="163"/>
  <c r="J180" i="163"/>
  <c r="J195" i="163"/>
  <c r="J189" i="163"/>
  <c r="J206" i="163"/>
  <c r="J196" i="163"/>
  <c r="J190" i="163"/>
  <c r="J186" i="163"/>
  <c r="J182" i="163"/>
  <c r="J178" i="163"/>
  <c r="J191" i="163"/>
  <c r="J187" i="163"/>
  <c r="J183" i="163"/>
  <c r="J179" i="163"/>
  <c r="J185" i="163"/>
  <c r="J173" i="163"/>
  <c r="J169" i="163"/>
  <c r="J176" i="163"/>
  <c r="J174" i="163"/>
  <c r="J170" i="163"/>
  <c r="J166" i="163"/>
  <c r="J162" i="163"/>
  <c r="J177" i="163"/>
  <c r="J175" i="163"/>
  <c r="J171" i="163"/>
  <c r="J167" i="163"/>
  <c r="J165" i="163"/>
  <c r="J163" i="163"/>
  <c r="J161" i="163"/>
  <c r="J168" i="163"/>
  <c r="J164" i="163"/>
  <c r="J158" i="163"/>
  <c r="J154" i="163"/>
  <c r="J181" i="163"/>
  <c r="J172" i="163"/>
  <c r="J159" i="163"/>
  <c r="J155" i="163"/>
  <c r="J151" i="163"/>
  <c r="J160" i="163"/>
  <c r="J156" i="163"/>
  <c r="J152" i="163"/>
  <c r="J153" i="163"/>
  <c r="J157" i="163"/>
  <c r="J150" i="163"/>
  <c r="J149" i="163"/>
  <c r="K1" i="163"/>
  <c r="T50" i="160"/>
  <c r="K33" i="163" l="1"/>
  <c r="K28" i="163"/>
  <c r="K40" i="163"/>
  <c r="K35" i="163"/>
  <c r="K30" i="163"/>
  <c r="K37" i="163"/>
  <c r="K32" i="163"/>
  <c r="K39" i="163"/>
  <c r="K34" i="163"/>
  <c r="K29" i="163"/>
  <c r="K45" i="163"/>
  <c r="K57" i="163"/>
  <c r="K31" i="163"/>
  <c r="K52" i="163"/>
  <c r="K64" i="163"/>
  <c r="K47" i="163"/>
  <c r="K59" i="163"/>
  <c r="K36" i="163"/>
  <c r="K42" i="163"/>
  <c r="K54" i="163"/>
  <c r="K49" i="163"/>
  <c r="K61" i="163"/>
  <c r="K44" i="163"/>
  <c r="K56" i="163"/>
  <c r="K51" i="163"/>
  <c r="K63" i="163"/>
  <c r="K46" i="163"/>
  <c r="K58" i="163"/>
  <c r="K38" i="163"/>
  <c r="K41" i="163"/>
  <c r="K53" i="163"/>
  <c r="K48" i="163"/>
  <c r="K69" i="163"/>
  <c r="K81" i="163"/>
  <c r="K65" i="163"/>
  <c r="K76" i="163"/>
  <c r="K88" i="163"/>
  <c r="K62" i="163"/>
  <c r="K71" i="163"/>
  <c r="K83" i="163"/>
  <c r="K66" i="163"/>
  <c r="K78" i="163"/>
  <c r="K73" i="163"/>
  <c r="K85" i="163"/>
  <c r="K50" i="163"/>
  <c r="K68" i="163"/>
  <c r="K80" i="163"/>
  <c r="K75" i="163"/>
  <c r="K87" i="163"/>
  <c r="K55" i="163"/>
  <c r="K70" i="163"/>
  <c r="K82" i="163"/>
  <c r="K77" i="163"/>
  <c r="K89" i="163"/>
  <c r="K90" i="163"/>
  <c r="K102" i="163"/>
  <c r="K114" i="163"/>
  <c r="K97" i="163"/>
  <c r="K109" i="163"/>
  <c r="K74" i="163"/>
  <c r="K92" i="163"/>
  <c r="K104" i="163"/>
  <c r="K116" i="163"/>
  <c r="K60" i="163"/>
  <c r="K99" i="163"/>
  <c r="K111" i="163"/>
  <c r="K79" i="163"/>
  <c r="K94" i="163"/>
  <c r="K106" i="163"/>
  <c r="K101" i="163"/>
  <c r="K113" i="163"/>
  <c r="K84" i="163"/>
  <c r="K96" i="163"/>
  <c r="K108" i="163"/>
  <c r="K43" i="163"/>
  <c r="K67" i="163"/>
  <c r="K91" i="163"/>
  <c r="K103" i="163"/>
  <c r="K98" i="163"/>
  <c r="K110" i="163"/>
  <c r="K128" i="163"/>
  <c r="K140" i="163"/>
  <c r="K7" i="163"/>
  <c r="K19" i="163"/>
  <c r="K100" i="163"/>
  <c r="K123" i="163"/>
  <c r="K135" i="163"/>
  <c r="K147" i="163"/>
  <c r="K14" i="163"/>
  <c r="K26" i="163"/>
  <c r="K118" i="163"/>
  <c r="K130" i="163"/>
  <c r="K142" i="163"/>
  <c r="K9" i="163"/>
  <c r="K21" i="163"/>
  <c r="K72" i="163"/>
  <c r="K105" i="163"/>
  <c r="K125" i="163"/>
  <c r="K137" i="163"/>
  <c r="K4" i="163"/>
  <c r="K16" i="163"/>
  <c r="K120" i="163"/>
  <c r="K132" i="163"/>
  <c r="K144" i="163"/>
  <c r="K11" i="163"/>
  <c r="K23" i="163"/>
  <c r="K127" i="163"/>
  <c r="K139" i="163"/>
  <c r="K6" i="163"/>
  <c r="K18" i="163"/>
  <c r="K93" i="163"/>
  <c r="K122" i="163"/>
  <c r="K134" i="163"/>
  <c r="K146" i="163"/>
  <c r="K13" i="163"/>
  <c r="K25" i="163"/>
  <c r="K117" i="163"/>
  <c r="K129" i="163"/>
  <c r="K141" i="163"/>
  <c r="K8" i="163"/>
  <c r="K20" i="163"/>
  <c r="K86" i="163"/>
  <c r="K107" i="163"/>
  <c r="K115" i="163"/>
  <c r="K124" i="163"/>
  <c r="K136" i="163"/>
  <c r="K148" i="163"/>
  <c r="K15" i="163"/>
  <c r="K27" i="163"/>
  <c r="K10" i="163"/>
  <c r="K112" i="163"/>
  <c r="K138" i="163"/>
  <c r="K119" i="163"/>
  <c r="K95" i="163"/>
  <c r="K121" i="163"/>
  <c r="K24" i="163"/>
  <c r="K22" i="163"/>
  <c r="K5" i="163"/>
  <c r="K143" i="163"/>
  <c r="K3" i="163"/>
  <c r="K126" i="163"/>
  <c r="K12" i="163"/>
  <c r="K131" i="163"/>
  <c r="K133" i="163"/>
  <c r="K17" i="163"/>
  <c r="K145" i="163"/>
  <c r="K212" i="163"/>
  <c r="K208" i="163"/>
  <c r="K204" i="163"/>
  <c r="K213" i="163"/>
  <c r="K209" i="163"/>
  <c r="K205" i="163"/>
  <c r="K206" i="163"/>
  <c r="K200" i="163"/>
  <c r="K210" i="163"/>
  <c r="K202" i="163"/>
  <c r="K198" i="163"/>
  <c r="K194" i="163"/>
  <c r="K211" i="163"/>
  <c r="K203" i="163"/>
  <c r="K199" i="163"/>
  <c r="K195" i="163"/>
  <c r="K201" i="163"/>
  <c r="K193" i="163"/>
  <c r="K189" i="163"/>
  <c r="K185" i="163"/>
  <c r="K181" i="163"/>
  <c r="K196" i="163"/>
  <c r="K190" i="163"/>
  <c r="K207" i="163"/>
  <c r="K197" i="163"/>
  <c r="K191" i="163"/>
  <c r="K187" i="163"/>
  <c r="K183" i="163"/>
  <c r="K179" i="163"/>
  <c r="K192" i="163"/>
  <c r="K188" i="163"/>
  <c r="K184" i="163"/>
  <c r="K180" i="163"/>
  <c r="K176" i="163"/>
  <c r="K186" i="163"/>
  <c r="K174" i="163"/>
  <c r="K170" i="163"/>
  <c r="K177" i="163"/>
  <c r="K175" i="163"/>
  <c r="K171" i="163"/>
  <c r="K167" i="163"/>
  <c r="K163" i="163"/>
  <c r="K178" i="163"/>
  <c r="K172" i="163"/>
  <c r="K168" i="163"/>
  <c r="K182" i="163"/>
  <c r="K166" i="163"/>
  <c r="K164" i="163"/>
  <c r="K169" i="163"/>
  <c r="K159" i="163"/>
  <c r="K155" i="163"/>
  <c r="K151" i="163"/>
  <c r="K173" i="163"/>
  <c r="K160" i="163"/>
  <c r="K156" i="163"/>
  <c r="K152" i="163"/>
  <c r="K165" i="163"/>
  <c r="K162" i="163"/>
  <c r="K161" i="163"/>
  <c r="K157" i="163"/>
  <c r="K153" i="163"/>
  <c r="K154" i="163"/>
  <c r="K158" i="163"/>
  <c r="K150" i="163"/>
  <c r="K149" i="163"/>
  <c r="L1" i="163"/>
  <c r="T57" i="160"/>
  <c r="T63" i="160"/>
  <c r="L38" i="163" l="1"/>
  <c r="L33" i="163"/>
  <c r="L28" i="163"/>
  <c r="L40" i="163"/>
  <c r="L35" i="163"/>
  <c r="L30" i="163"/>
  <c r="L37" i="163"/>
  <c r="L32" i="163"/>
  <c r="L39" i="163"/>
  <c r="L34" i="163"/>
  <c r="L50" i="163"/>
  <c r="L62" i="163"/>
  <c r="L45" i="163"/>
  <c r="L57" i="163"/>
  <c r="L31" i="163"/>
  <c r="L52" i="163"/>
  <c r="L64" i="163"/>
  <c r="L47" i="163"/>
  <c r="L59" i="163"/>
  <c r="L36" i="163"/>
  <c r="L42" i="163"/>
  <c r="L54" i="163"/>
  <c r="L49" i="163"/>
  <c r="L61" i="163"/>
  <c r="L44" i="163"/>
  <c r="L56" i="163"/>
  <c r="L51" i="163"/>
  <c r="L46" i="163"/>
  <c r="L58" i="163"/>
  <c r="L74" i="163"/>
  <c r="L86" i="163"/>
  <c r="L48" i="163"/>
  <c r="L69" i="163"/>
  <c r="L81" i="163"/>
  <c r="L65" i="163"/>
  <c r="L76" i="163"/>
  <c r="L88" i="163"/>
  <c r="L29" i="163"/>
  <c r="L53" i="163"/>
  <c r="L71" i="163"/>
  <c r="L83" i="163"/>
  <c r="L66" i="163"/>
  <c r="L78" i="163"/>
  <c r="L73" i="163"/>
  <c r="L85" i="163"/>
  <c r="L41" i="163"/>
  <c r="L68" i="163"/>
  <c r="L80" i="163"/>
  <c r="L75" i="163"/>
  <c r="L87" i="163"/>
  <c r="L55" i="163"/>
  <c r="L70" i="163"/>
  <c r="L82" i="163"/>
  <c r="L77" i="163"/>
  <c r="L95" i="163"/>
  <c r="L107" i="163"/>
  <c r="L90" i="163"/>
  <c r="L102" i="163"/>
  <c r="L114" i="163"/>
  <c r="L97" i="163"/>
  <c r="L109" i="163"/>
  <c r="L92" i="163"/>
  <c r="L104" i="163"/>
  <c r="L116" i="163"/>
  <c r="L60" i="163"/>
  <c r="L89" i="163"/>
  <c r="L99" i="163"/>
  <c r="L111" i="163"/>
  <c r="L79" i="163"/>
  <c r="L94" i="163"/>
  <c r="L106" i="163"/>
  <c r="L101" i="163"/>
  <c r="L113" i="163"/>
  <c r="L84" i="163"/>
  <c r="L96" i="163"/>
  <c r="L108" i="163"/>
  <c r="L43" i="163"/>
  <c r="L67" i="163"/>
  <c r="L91" i="163"/>
  <c r="L103" i="163"/>
  <c r="L121" i="163"/>
  <c r="L133" i="163"/>
  <c r="L145" i="163"/>
  <c r="L12" i="163"/>
  <c r="L24" i="163"/>
  <c r="L128" i="163"/>
  <c r="L140" i="163"/>
  <c r="L7" i="163"/>
  <c r="L19" i="163"/>
  <c r="L63" i="163"/>
  <c r="L100" i="163"/>
  <c r="L123" i="163"/>
  <c r="L135" i="163"/>
  <c r="L147" i="163"/>
  <c r="L14" i="163"/>
  <c r="L26" i="163"/>
  <c r="L118" i="163"/>
  <c r="L130" i="163"/>
  <c r="L142" i="163"/>
  <c r="L9" i="163"/>
  <c r="L21" i="163"/>
  <c r="L72" i="163"/>
  <c r="L105" i="163"/>
  <c r="L125" i="163"/>
  <c r="L137" i="163"/>
  <c r="L4" i="163"/>
  <c r="L16" i="163"/>
  <c r="L120" i="163"/>
  <c r="L132" i="163"/>
  <c r="L144" i="163"/>
  <c r="L11" i="163"/>
  <c r="L23" i="163"/>
  <c r="L110" i="163"/>
  <c r="L127" i="163"/>
  <c r="L139" i="163"/>
  <c r="L6" i="163"/>
  <c r="L18" i="163"/>
  <c r="L93" i="163"/>
  <c r="L122" i="163"/>
  <c r="L134" i="163"/>
  <c r="L146" i="163"/>
  <c r="L13" i="163"/>
  <c r="L25" i="163"/>
  <c r="L117" i="163"/>
  <c r="L129" i="163"/>
  <c r="L141" i="163"/>
  <c r="L8" i="163"/>
  <c r="L20" i="163"/>
  <c r="L124" i="163"/>
  <c r="L27" i="163"/>
  <c r="L10" i="163"/>
  <c r="L22" i="163"/>
  <c r="L112" i="163"/>
  <c r="L138" i="163"/>
  <c r="L15" i="163"/>
  <c r="L143" i="163"/>
  <c r="L126" i="163"/>
  <c r="L119" i="163"/>
  <c r="L3" i="163"/>
  <c r="L5" i="163"/>
  <c r="L98" i="163"/>
  <c r="L115" i="163"/>
  <c r="L148" i="163"/>
  <c r="L131" i="163"/>
  <c r="L17" i="163"/>
  <c r="L136" i="163"/>
  <c r="L213" i="163"/>
  <c r="L209" i="163"/>
  <c r="L205" i="163"/>
  <c r="L210" i="163"/>
  <c r="L206" i="163"/>
  <c r="L207" i="163"/>
  <c r="L201" i="163"/>
  <c r="L211" i="163"/>
  <c r="L203" i="163"/>
  <c r="L199" i="163"/>
  <c r="L195" i="163"/>
  <c r="L212" i="163"/>
  <c r="L204" i="163"/>
  <c r="L200" i="163"/>
  <c r="L196" i="163"/>
  <c r="L202" i="163"/>
  <c r="L194" i="163"/>
  <c r="L190" i="163"/>
  <c r="L186" i="163"/>
  <c r="L182" i="163"/>
  <c r="L197" i="163"/>
  <c r="L191" i="163"/>
  <c r="L208" i="163"/>
  <c r="L192" i="163"/>
  <c r="L188" i="163"/>
  <c r="L184" i="163"/>
  <c r="L180" i="163"/>
  <c r="L176" i="163"/>
  <c r="L198" i="163"/>
  <c r="L193" i="163"/>
  <c r="L189" i="163"/>
  <c r="L185" i="163"/>
  <c r="L181" i="163"/>
  <c r="L177" i="163"/>
  <c r="L187" i="163"/>
  <c r="L175" i="163"/>
  <c r="L171" i="163"/>
  <c r="L178" i="163"/>
  <c r="L172" i="163"/>
  <c r="L168" i="163"/>
  <c r="L164" i="163"/>
  <c r="L179" i="163"/>
  <c r="L173" i="163"/>
  <c r="L169" i="163"/>
  <c r="L165" i="163"/>
  <c r="L167" i="163"/>
  <c r="L170" i="163"/>
  <c r="L160" i="163"/>
  <c r="L156" i="163"/>
  <c r="L152" i="163"/>
  <c r="L183" i="163"/>
  <c r="L174" i="163"/>
  <c r="L162" i="163"/>
  <c r="L161" i="163"/>
  <c r="L157" i="163"/>
  <c r="L153" i="163"/>
  <c r="L166" i="163"/>
  <c r="L163" i="163"/>
  <c r="L158" i="163"/>
  <c r="L154" i="163"/>
  <c r="L150" i="163"/>
  <c r="L149" i="163"/>
  <c r="L155" i="163"/>
  <c r="L159" i="163"/>
  <c r="L151" i="163"/>
  <c r="M1" i="163"/>
  <c r="T74" i="160"/>
  <c r="T62" i="160"/>
  <c r="T55" i="160"/>
  <c r="T56" i="160"/>
  <c r="T45" i="160"/>
  <c r="M31" i="163" l="1"/>
  <c r="M38" i="163"/>
  <c r="M33" i="163"/>
  <c r="M28" i="163"/>
  <c r="M40" i="163"/>
  <c r="M35" i="163"/>
  <c r="M30" i="163"/>
  <c r="M37" i="163"/>
  <c r="M32" i="163"/>
  <c r="M39" i="163"/>
  <c r="M34" i="163"/>
  <c r="M43" i="163"/>
  <c r="M55" i="163"/>
  <c r="M50" i="163"/>
  <c r="M62" i="163"/>
  <c r="M45" i="163"/>
  <c r="M57" i="163"/>
  <c r="M52" i="163"/>
  <c r="M64" i="163"/>
  <c r="M47" i="163"/>
  <c r="M59" i="163"/>
  <c r="M36" i="163"/>
  <c r="M42" i="163"/>
  <c r="M54" i="163"/>
  <c r="M49" i="163"/>
  <c r="M61" i="163"/>
  <c r="M44" i="163"/>
  <c r="M56" i="163"/>
  <c r="M51" i="163"/>
  <c r="M63" i="163"/>
  <c r="M67" i="163"/>
  <c r="M79" i="163"/>
  <c r="M74" i="163"/>
  <c r="M86" i="163"/>
  <c r="M48" i="163"/>
  <c r="M69" i="163"/>
  <c r="M81" i="163"/>
  <c r="M65" i="163"/>
  <c r="M76" i="163"/>
  <c r="M88" i="163"/>
  <c r="M29" i="163"/>
  <c r="M53" i="163"/>
  <c r="M71" i="163"/>
  <c r="M83" i="163"/>
  <c r="M66" i="163"/>
  <c r="M78" i="163"/>
  <c r="M58" i="163"/>
  <c r="M73" i="163"/>
  <c r="M85" i="163"/>
  <c r="M41" i="163"/>
  <c r="M68" i="163"/>
  <c r="M80" i="163"/>
  <c r="M75" i="163"/>
  <c r="M87" i="163"/>
  <c r="M46" i="163"/>
  <c r="M100" i="163"/>
  <c r="M112" i="163"/>
  <c r="M77" i="163"/>
  <c r="M95" i="163"/>
  <c r="M107" i="163"/>
  <c r="M90" i="163"/>
  <c r="M102" i="163"/>
  <c r="M114" i="163"/>
  <c r="M82" i="163"/>
  <c r="M97" i="163"/>
  <c r="M109" i="163"/>
  <c r="M92" i="163"/>
  <c r="M104" i="163"/>
  <c r="M60" i="163"/>
  <c r="M89" i="163"/>
  <c r="M99" i="163"/>
  <c r="M111" i="163"/>
  <c r="M70" i="163"/>
  <c r="M94" i="163"/>
  <c r="M106" i="163"/>
  <c r="M101" i="163"/>
  <c r="M113" i="163"/>
  <c r="M84" i="163"/>
  <c r="M96" i="163"/>
  <c r="M108" i="163"/>
  <c r="M103" i="163"/>
  <c r="M126" i="163"/>
  <c r="M138" i="163"/>
  <c r="M5" i="163"/>
  <c r="M17" i="163"/>
  <c r="M121" i="163"/>
  <c r="M133" i="163"/>
  <c r="M145" i="163"/>
  <c r="M12" i="163"/>
  <c r="M24" i="163"/>
  <c r="M128" i="163"/>
  <c r="M140" i="163"/>
  <c r="M7" i="163"/>
  <c r="M19" i="163"/>
  <c r="M91" i="163"/>
  <c r="M116" i="163"/>
  <c r="M123" i="163"/>
  <c r="M135" i="163"/>
  <c r="M147" i="163"/>
  <c r="M14" i="163"/>
  <c r="M26" i="163"/>
  <c r="M118" i="163"/>
  <c r="M130" i="163"/>
  <c r="M142" i="163"/>
  <c r="M9" i="163"/>
  <c r="M21" i="163"/>
  <c r="M72" i="163"/>
  <c r="M105" i="163"/>
  <c r="M125" i="163"/>
  <c r="M137" i="163"/>
  <c r="M4" i="163"/>
  <c r="M16" i="163"/>
  <c r="M120" i="163"/>
  <c r="M132" i="163"/>
  <c r="M144" i="163"/>
  <c r="M11" i="163"/>
  <c r="M23" i="163"/>
  <c r="M110" i="163"/>
  <c r="M127" i="163"/>
  <c r="M139" i="163"/>
  <c r="M6" i="163"/>
  <c r="M18" i="163"/>
  <c r="M93" i="163"/>
  <c r="M122" i="163"/>
  <c r="M134" i="163"/>
  <c r="M146" i="163"/>
  <c r="M13" i="163"/>
  <c r="M25" i="163"/>
  <c r="M141" i="163"/>
  <c r="M15" i="163"/>
  <c r="M124" i="163"/>
  <c r="M27" i="163"/>
  <c r="M136" i="163"/>
  <c r="M10" i="163"/>
  <c r="M8" i="163"/>
  <c r="M3" i="163"/>
  <c r="M129" i="163"/>
  <c r="M119" i="163"/>
  <c r="M143" i="163"/>
  <c r="M22" i="163"/>
  <c r="M117" i="163"/>
  <c r="M20" i="163"/>
  <c r="M98" i="163"/>
  <c r="M115" i="163"/>
  <c r="M148" i="163"/>
  <c r="M131" i="163"/>
  <c r="M210" i="163"/>
  <c r="M206" i="163"/>
  <c r="M211" i="163"/>
  <c r="M207" i="163"/>
  <c r="M203" i="163"/>
  <c r="M208" i="163"/>
  <c r="M202" i="163"/>
  <c r="M198" i="163"/>
  <c r="M212" i="163"/>
  <c r="M204" i="163"/>
  <c r="M200" i="163"/>
  <c r="M196" i="163"/>
  <c r="M213" i="163"/>
  <c r="M205" i="163"/>
  <c r="M201" i="163"/>
  <c r="M197" i="163"/>
  <c r="M193" i="163"/>
  <c r="M195" i="163"/>
  <c r="M191" i="163"/>
  <c r="M187" i="163"/>
  <c r="M183" i="163"/>
  <c r="M179" i="163"/>
  <c r="M192" i="163"/>
  <c r="M209" i="163"/>
  <c r="M189" i="163"/>
  <c r="M185" i="163"/>
  <c r="M181" i="163"/>
  <c r="M177" i="163"/>
  <c r="M199" i="163"/>
  <c r="M194" i="163"/>
  <c r="M190" i="163"/>
  <c r="M186" i="163"/>
  <c r="M182" i="163"/>
  <c r="M178" i="163"/>
  <c r="M188" i="163"/>
  <c r="M176" i="163"/>
  <c r="M172" i="163"/>
  <c r="M173" i="163"/>
  <c r="M169" i="163"/>
  <c r="M165" i="163"/>
  <c r="M180" i="163"/>
  <c r="M174" i="163"/>
  <c r="M170" i="163"/>
  <c r="M166" i="163"/>
  <c r="M184" i="163"/>
  <c r="M168" i="163"/>
  <c r="M160" i="163"/>
  <c r="M171" i="163"/>
  <c r="M162" i="163"/>
  <c r="M161" i="163"/>
  <c r="M157" i="163"/>
  <c r="M153" i="163"/>
  <c r="M175" i="163"/>
  <c r="M163" i="163"/>
  <c r="M158" i="163"/>
  <c r="M154" i="163"/>
  <c r="M150" i="163"/>
  <c r="M149" i="163"/>
  <c r="M167" i="163"/>
  <c r="M164" i="163"/>
  <c r="M159" i="163"/>
  <c r="M155" i="163"/>
  <c r="M151" i="163"/>
  <c r="M156" i="163"/>
  <c r="M152" i="163"/>
  <c r="N1" i="163"/>
  <c r="B80" i="160"/>
  <c r="B79" i="160"/>
  <c r="B72" i="158"/>
  <c r="N36" i="163" l="1"/>
  <c r="N31" i="163"/>
  <c r="N38" i="163"/>
  <c r="N33" i="163"/>
  <c r="N28" i="163"/>
  <c r="N35" i="163"/>
  <c r="N30" i="163"/>
  <c r="N37" i="163"/>
  <c r="N32" i="163"/>
  <c r="N40" i="163"/>
  <c r="N48" i="163"/>
  <c r="N60" i="163"/>
  <c r="N34" i="163"/>
  <c r="N43" i="163"/>
  <c r="N55" i="163"/>
  <c r="N50" i="163"/>
  <c r="N62" i="163"/>
  <c r="N39" i="163"/>
  <c r="N45" i="163"/>
  <c r="N57" i="163"/>
  <c r="N52" i="163"/>
  <c r="N47" i="163"/>
  <c r="N59" i="163"/>
  <c r="N42" i="163"/>
  <c r="N54" i="163"/>
  <c r="N49" i="163"/>
  <c r="N61" i="163"/>
  <c r="N44" i="163"/>
  <c r="N56" i="163"/>
  <c r="N51" i="163"/>
  <c r="N63" i="163"/>
  <c r="N72" i="163"/>
  <c r="N84" i="163"/>
  <c r="N64" i="163"/>
  <c r="N67" i="163"/>
  <c r="N79" i="163"/>
  <c r="N74" i="163"/>
  <c r="N86" i="163"/>
  <c r="N69" i="163"/>
  <c r="N81" i="163"/>
  <c r="N65" i="163"/>
  <c r="N76" i="163"/>
  <c r="N88" i="163"/>
  <c r="N29" i="163"/>
  <c r="N53" i="163"/>
  <c r="N71" i="163"/>
  <c r="N83" i="163"/>
  <c r="N66" i="163"/>
  <c r="N78" i="163"/>
  <c r="N58" i="163"/>
  <c r="N73" i="163"/>
  <c r="N85" i="163"/>
  <c r="N41" i="163"/>
  <c r="N68" i="163"/>
  <c r="N80" i="163"/>
  <c r="N93" i="163"/>
  <c r="N105" i="163"/>
  <c r="N46" i="163"/>
  <c r="N100" i="163"/>
  <c r="N112" i="163"/>
  <c r="N77" i="163"/>
  <c r="N95" i="163"/>
  <c r="N107" i="163"/>
  <c r="N90" i="163"/>
  <c r="N102" i="163"/>
  <c r="N114" i="163"/>
  <c r="N82" i="163"/>
  <c r="N97" i="163"/>
  <c r="N109" i="163"/>
  <c r="N92" i="163"/>
  <c r="N104" i="163"/>
  <c r="N87" i="163"/>
  <c r="N89" i="163"/>
  <c r="N99" i="163"/>
  <c r="N111" i="163"/>
  <c r="N70" i="163"/>
  <c r="N94" i="163"/>
  <c r="N106" i="163"/>
  <c r="N101" i="163"/>
  <c r="N113" i="163"/>
  <c r="N119" i="163"/>
  <c r="N131" i="163"/>
  <c r="N143" i="163"/>
  <c r="N10" i="163"/>
  <c r="N22" i="163"/>
  <c r="N103" i="163"/>
  <c r="N126" i="163"/>
  <c r="N138" i="163"/>
  <c r="N5" i="163"/>
  <c r="N17" i="163"/>
  <c r="N121" i="163"/>
  <c r="N133" i="163"/>
  <c r="N145" i="163"/>
  <c r="N12" i="163"/>
  <c r="N24" i="163"/>
  <c r="N108" i="163"/>
  <c r="N128" i="163"/>
  <c r="N140" i="163"/>
  <c r="N7" i="163"/>
  <c r="N19" i="163"/>
  <c r="N91" i="163"/>
  <c r="N116" i="163"/>
  <c r="N123" i="163"/>
  <c r="N135" i="163"/>
  <c r="N147" i="163"/>
  <c r="N14" i="163"/>
  <c r="N26" i="163"/>
  <c r="N118" i="163"/>
  <c r="N130" i="163"/>
  <c r="N142" i="163"/>
  <c r="N9" i="163"/>
  <c r="N21" i="163"/>
  <c r="N96" i="163"/>
  <c r="N125" i="163"/>
  <c r="N137" i="163"/>
  <c r="N4" i="163"/>
  <c r="N16" i="163"/>
  <c r="N120" i="163"/>
  <c r="N132" i="163"/>
  <c r="N144" i="163"/>
  <c r="N11" i="163"/>
  <c r="N23" i="163"/>
  <c r="N110" i="163"/>
  <c r="N127" i="163"/>
  <c r="N139" i="163"/>
  <c r="N6" i="163"/>
  <c r="N18" i="163"/>
  <c r="N13" i="163"/>
  <c r="N3" i="163"/>
  <c r="N141" i="163"/>
  <c r="N25" i="163"/>
  <c r="N124" i="163"/>
  <c r="N27" i="163"/>
  <c r="N146" i="163"/>
  <c r="N8" i="163"/>
  <c r="N129" i="163"/>
  <c r="N15" i="163"/>
  <c r="N136" i="163"/>
  <c r="N75" i="163"/>
  <c r="N134" i="163"/>
  <c r="N117" i="163"/>
  <c r="N20" i="163"/>
  <c r="N98" i="163"/>
  <c r="N115" i="163"/>
  <c r="N148" i="163"/>
  <c r="N122" i="163"/>
  <c r="B77" i="160"/>
  <c r="N211" i="163"/>
  <c r="N207" i="163"/>
  <c r="N203" i="163"/>
  <c r="N212" i="163"/>
  <c r="N208" i="163"/>
  <c r="N204" i="163"/>
  <c r="N209" i="163"/>
  <c r="N199" i="163"/>
  <c r="N213" i="163"/>
  <c r="N205" i="163"/>
  <c r="N201" i="163"/>
  <c r="N197" i="163"/>
  <c r="N193" i="163"/>
  <c r="N206" i="163"/>
  <c r="N202" i="163"/>
  <c r="N198" i="163"/>
  <c r="N194" i="163"/>
  <c r="N196" i="163"/>
  <c r="N192" i="163"/>
  <c r="N188" i="163"/>
  <c r="N184" i="163"/>
  <c r="N180" i="163"/>
  <c r="N189" i="163"/>
  <c r="N210" i="163"/>
  <c r="N190" i="163"/>
  <c r="N186" i="163"/>
  <c r="N182" i="163"/>
  <c r="N178" i="163"/>
  <c r="N200" i="163"/>
  <c r="N195" i="163"/>
  <c r="N191" i="163"/>
  <c r="N187" i="163"/>
  <c r="N183" i="163"/>
  <c r="N179" i="163"/>
  <c r="N177" i="163"/>
  <c r="N173" i="163"/>
  <c r="N169" i="163"/>
  <c r="N174" i="163"/>
  <c r="N170" i="163"/>
  <c r="N166" i="163"/>
  <c r="N162" i="163"/>
  <c r="N181" i="163"/>
  <c r="N175" i="163"/>
  <c r="N171" i="163"/>
  <c r="N167" i="163"/>
  <c r="N176" i="163"/>
  <c r="N161" i="163"/>
  <c r="N172" i="163"/>
  <c r="N163" i="163"/>
  <c r="N158" i="163"/>
  <c r="N154" i="163"/>
  <c r="N185" i="163"/>
  <c r="N165" i="163"/>
  <c r="N164" i="163"/>
  <c r="N159" i="163"/>
  <c r="N155" i="163"/>
  <c r="N151" i="163"/>
  <c r="N168" i="163"/>
  <c r="N160" i="163"/>
  <c r="N156" i="163"/>
  <c r="N152" i="163"/>
  <c r="N157" i="163"/>
  <c r="N150" i="163"/>
  <c r="N149" i="163"/>
  <c r="N153" i="163"/>
  <c r="O1" i="163"/>
  <c r="T73" i="160"/>
  <c r="T72" i="160"/>
  <c r="O29" i="163" l="1"/>
  <c r="O36" i="163"/>
  <c r="O31" i="163"/>
  <c r="O38" i="163"/>
  <c r="O33" i="163"/>
  <c r="O28" i="163"/>
  <c r="O40" i="163"/>
  <c r="O35" i="163"/>
  <c r="O30" i="163"/>
  <c r="O37" i="163"/>
  <c r="O41" i="163"/>
  <c r="O53" i="163"/>
  <c r="O65" i="163"/>
  <c r="O48" i="163"/>
  <c r="O60" i="163"/>
  <c r="O34" i="163"/>
  <c r="O43" i="163"/>
  <c r="O55" i="163"/>
  <c r="O50" i="163"/>
  <c r="O62" i="163"/>
  <c r="O39" i="163"/>
  <c r="O45" i="163"/>
  <c r="O57" i="163"/>
  <c r="O52" i="163"/>
  <c r="O64" i="163"/>
  <c r="O47" i="163"/>
  <c r="O59" i="163"/>
  <c r="O42" i="163"/>
  <c r="O54" i="163"/>
  <c r="O49" i="163"/>
  <c r="O61" i="163"/>
  <c r="O77" i="163"/>
  <c r="O89" i="163"/>
  <c r="O51" i="163"/>
  <c r="O63" i="163"/>
  <c r="O72" i="163"/>
  <c r="O84" i="163"/>
  <c r="O67" i="163"/>
  <c r="O79" i="163"/>
  <c r="O56" i="163"/>
  <c r="O74" i="163"/>
  <c r="O86" i="163"/>
  <c r="O69" i="163"/>
  <c r="O81" i="163"/>
  <c r="O76" i="163"/>
  <c r="O44" i="163"/>
  <c r="O71" i="163"/>
  <c r="O83" i="163"/>
  <c r="O66" i="163"/>
  <c r="O78" i="163"/>
  <c r="O58" i="163"/>
  <c r="O73" i="163"/>
  <c r="O85" i="163"/>
  <c r="O80" i="163"/>
  <c r="O98" i="163"/>
  <c r="O110" i="163"/>
  <c r="O93" i="163"/>
  <c r="O105" i="163"/>
  <c r="O46" i="163"/>
  <c r="O100" i="163"/>
  <c r="O112" i="163"/>
  <c r="O68" i="163"/>
  <c r="O95" i="163"/>
  <c r="O107" i="163"/>
  <c r="O88" i="163"/>
  <c r="O90" i="163"/>
  <c r="O102" i="163"/>
  <c r="O82" i="163"/>
  <c r="O97" i="163"/>
  <c r="O109" i="163"/>
  <c r="O92" i="163"/>
  <c r="O104" i="163"/>
  <c r="O116" i="163"/>
  <c r="O87" i="163"/>
  <c r="O99" i="163"/>
  <c r="O111" i="163"/>
  <c r="O70" i="163"/>
  <c r="O94" i="163"/>
  <c r="O106" i="163"/>
  <c r="O32" i="163"/>
  <c r="O115" i="163"/>
  <c r="O124" i="163"/>
  <c r="O136" i="163"/>
  <c r="O148" i="163"/>
  <c r="O15" i="163"/>
  <c r="O27" i="163"/>
  <c r="O119" i="163"/>
  <c r="O131" i="163"/>
  <c r="O143" i="163"/>
  <c r="O10" i="163"/>
  <c r="O22" i="163"/>
  <c r="O103" i="163"/>
  <c r="O126" i="163"/>
  <c r="O138" i="163"/>
  <c r="O5" i="163"/>
  <c r="O17" i="163"/>
  <c r="O121" i="163"/>
  <c r="O133" i="163"/>
  <c r="O145" i="163"/>
  <c r="O12" i="163"/>
  <c r="O24" i="163"/>
  <c r="O108" i="163"/>
  <c r="O114" i="163"/>
  <c r="O128" i="163"/>
  <c r="O140" i="163"/>
  <c r="O7" i="163"/>
  <c r="O19" i="163"/>
  <c r="O91" i="163"/>
  <c r="O123" i="163"/>
  <c r="O135" i="163"/>
  <c r="O147" i="163"/>
  <c r="O14" i="163"/>
  <c r="O26" i="163"/>
  <c r="O113" i="163"/>
  <c r="O118" i="163"/>
  <c r="O130" i="163"/>
  <c r="O142" i="163"/>
  <c r="O9" i="163"/>
  <c r="O21" i="163"/>
  <c r="O96" i="163"/>
  <c r="O125" i="163"/>
  <c r="O137" i="163"/>
  <c r="O4" i="163"/>
  <c r="O16" i="163"/>
  <c r="O120" i="163"/>
  <c r="O132" i="163"/>
  <c r="O144" i="163"/>
  <c r="O11" i="163"/>
  <c r="O23" i="163"/>
  <c r="O101" i="163"/>
  <c r="O127" i="163"/>
  <c r="O25" i="163"/>
  <c r="O8" i="163"/>
  <c r="O13" i="163"/>
  <c r="O3" i="163"/>
  <c r="O141" i="163"/>
  <c r="O122" i="163"/>
  <c r="O18" i="163"/>
  <c r="O146" i="163"/>
  <c r="O20" i="163"/>
  <c r="O129" i="163"/>
  <c r="O6" i="163"/>
  <c r="O75" i="163"/>
  <c r="O134" i="163"/>
  <c r="O117" i="163"/>
  <c r="O139" i="163"/>
  <c r="O212" i="163"/>
  <c r="O208" i="163"/>
  <c r="O204" i="163"/>
  <c r="O213" i="163"/>
  <c r="O209" i="163"/>
  <c r="O205" i="163"/>
  <c r="O210" i="163"/>
  <c r="O200" i="163"/>
  <c r="O206" i="163"/>
  <c r="O202" i="163"/>
  <c r="O198" i="163"/>
  <c r="O194" i="163"/>
  <c r="O207" i="163"/>
  <c r="O199" i="163"/>
  <c r="O195" i="163"/>
  <c r="O197" i="163"/>
  <c r="O189" i="163"/>
  <c r="O185" i="163"/>
  <c r="O181" i="163"/>
  <c r="O203" i="163"/>
  <c r="O190" i="163"/>
  <c r="O211" i="163"/>
  <c r="O193" i="163"/>
  <c r="O191" i="163"/>
  <c r="O187" i="163"/>
  <c r="O183" i="163"/>
  <c r="O179" i="163"/>
  <c r="O201" i="163"/>
  <c r="O196" i="163"/>
  <c r="O192" i="163"/>
  <c r="O188" i="163"/>
  <c r="O184" i="163"/>
  <c r="O180" i="163"/>
  <c r="O176" i="163"/>
  <c r="O178" i="163"/>
  <c r="O174" i="163"/>
  <c r="O170" i="163"/>
  <c r="O175" i="163"/>
  <c r="O171" i="163"/>
  <c r="O167" i="163"/>
  <c r="O163" i="163"/>
  <c r="O182" i="163"/>
  <c r="O172" i="163"/>
  <c r="O168" i="163"/>
  <c r="O186" i="163"/>
  <c r="O177" i="163"/>
  <c r="O169" i="163"/>
  <c r="O162" i="163"/>
  <c r="O173" i="163"/>
  <c r="O165" i="163"/>
  <c r="O164" i="163"/>
  <c r="O159" i="163"/>
  <c r="O155" i="163"/>
  <c r="O151" i="163"/>
  <c r="O166" i="163"/>
  <c r="O160" i="163"/>
  <c r="O156" i="163"/>
  <c r="O152" i="163"/>
  <c r="O161" i="163"/>
  <c r="O157" i="163"/>
  <c r="O153" i="163"/>
  <c r="O158" i="163"/>
  <c r="O150" i="163"/>
  <c r="O149" i="163"/>
  <c r="O154" i="163"/>
  <c r="P1" i="163"/>
  <c r="T49" i="160"/>
  <c r="P34" i="163" l="1"/>
  <c r="P29" i="163"/>
  <c r="P36" i="163"/>
  <c r="P31" i="163"/>
  <c r="P38" i="163"/>
  <c r="P33" i="163"/>
  <c r="P28" i="163"/>
  <c r="P40" i="163"/>
  <c r="P35" i="163"/>
  <c r="P30" i="163"/>
  <c r="P37" i="163"/>
  <c r="P46" i="163"/>
  <c r="P58" i="163"/>
  <c r="P41" i="163"/>
  <c r="P53" i="163"/>
  <c r="P65" i="163"/>
  <c r="P48" i="163"/>
  <c r="P60" i="163"/>
  <c r="P43" i="163"/>
  <c r="P55" i="163"/>
  <c r="P50" i="163"/>
  <c r="P62" i="163"/>
  <c r="P39" i="163"/>
  <c r="P45" i="163"/>
  <c r="P57" i="163"/>
  <c r="P52" i="163"/>
  <c r="P64" i="163"/>
  <c r="P47" i="163"/>
  <c r="P59" i="163"/>
  <c r="P42" i="163"/>
  <c r="P54" i="163"/>
  <c r="P70" i="163"/>
  <c r="P82" i="163"/>
  <c r="P77" i="163"/>
  <c r="P89" i="163"/>
  <c r="P51" i="163"/>
  <c r="P63" i="163"/>
  <c r="P72" i="163"/>
  <c r="P84" i="163"/>
  <c r="P67" i="163"/>
  <c r="P79" i="163"/>
  <c r="P56" i="163"/>
  <c r="P74" i="163"/>
  <c r="P86" i="163"/>
  <c r="P69" i="163"/>
  <c r="P81" i="163"/>
  <c r="P61" i="163"/>
  <c r="P76" i="163"/>
  <c r="P88" i="163"/>
  <c r="P44" i="163"/>
  <c r="P71" i="163"/>
  <c r="P83" i="163"/>
  <c r="P66" i="163"/>
  <c r="P78" i="163"/>
  <c r="P91" i="163"/>
  <c r="P103" i="163"/>
  <c r="P115" i="163"/>
  <c r="P80" i="163"/>
  <c r="P98" i="163"/>
  <c r="P110" i="163"/>
  <c r="P93" i="163"/>
  <c r="P105" i="163"/>
  <c r="P85" i="163"/>
  <c r="P100" i="163"/>
  <c r="P112" i="163"/>
  <c r="P68" i="163"/>
  <c r="P95" i="163"/>
  <c r="P107" i="163"/>
  <c r="P90" i="163"/>
  <c r="P102" i="163"/>
  <c r="P49" i="163"/>
  <c r="P73" i="163"/>
  <c r="P97" i="163"/>
  <c r="P109" i="163"/>
  <c r="P92" i="163"/>
  <c r="P104" i="163"/>
  <c r="P87" i="163"/>
  <c r="P99" i="163"/>
  <c r="P111" i="163"/>
  <c r="P106" i="163"/>
  <c r="P117" i="163"/>
  <c r="P129" i="163"/>
  <c r="P141" i="163"/>
  <c r="P8" i="163"/>
  <c r="P20" i="163"/>
  <c r="P32" i="163"/>
  <c r="P124" i="163"/>
  <c r="P136" i="163"/>
  <c r="P148" i="163"/>
  <c r="P15" i="163"/>
  <c r="P27" i="163"/>
  <c r="P119" i="163"/>
  <c r="P131" i="163"/>
  <c r="P143" i="163"/>
  <c r="P10" i="163"/>
  <c r="P22" i="163"/>
  <c r="P94" i="163"/>
  <c r="P126" i="163"/>
  <c r="P138" i="163"/>
  <c r="P5" i="163"/>
  <c r="P17" i="163"/>
  <c r="P121" i="163"/>
  <c r="P133" i="163"/>
  <c r="P145" i="163"/>
  <c r="P12" i="163"/>
  <c r="P24" i="163"/>
  <c r="P108" i="163"/>
  <c r="P114" i="163"/>
  <c r="P116" i="163"/>
  <c r="P128" i="163"/>
  <c r="P140" i="163"/>
  <c r="P7" i="163"/>
  <c r="P19" i="163"/>
  <c r="P123" i="163"/>
  <c r="P135" i="163"/>
  <c r="P147" i="163"/>
  <c r="P14" i="163"/>
  <c r="P26" i="163"/>
  <c r="P113" i="163"/>
  <c r="P118" i="163"/>
  <c r="P130" i="163"/>
  <c r="P142" i="163"/>
  <c r="P9" i="163"/>
  <c r="P21" i="163"/>
  <c r="P96" i="163"/>
  <c r="P125" i="163"/>
  <c r="P137" i="163"/>
  <c r="P4" i="163"/>
  <c r="P16" i="163"/>
  <c r="P144" i="163"/>
  <c r="P101" i="163"/>
  <c r="P127" i="163"/>
  <c r="P13" i="163"/>
  <c r="P3" i="163"/>
  <c r="P132" i="163"/>
  <c r="P18" i="163"/>
  <c r="P25" i="163"/>
  <c r="P146" i="163"/>
  <c r="P120" i="163"/>
  <c r="P23" i="163"/>
  <c r="P139" i="163"/>
  <c r="P122" i="163"/>
  <c r="P6" i="163"/>
  <c r="P75" i="163"/>
  <c r="P134" i="163"/>
  <c r="P11" i="163"/>
  <c r="P213" i="163"/>
  <c r="P209" i="163"/>
  <c r="P205" i="163"/>
  <c r="P210" i="163"/>
  <c r="P206" i="163"/>
  <c r="P211" i="163"/>
  <c r="P203" i="163"/>
  <c r="P201" i="163"/>
  <c r="P207" i="163"/>
  <c r="P199" i="163"/>
  <c r="P195" i="163"/>
  <c r="P208" i="163"/>
  <c r="P200" i="163"/>
  <c r="P196" i="163"/>
  <c r="P190" i="163"/>
  <c r="P186" i="163"/>
  <c r="P182" i="163"/>
  <c r="P204" i="163"/>
  <c r="P193" i="163"/>
  <c r="P191" i="163"/>
  <c r="P212" i="163"/>
  <c r="P198" i="163"/>
  <c r="P194" i="163"/>
  <c r="P192" i="163"/>
  <c r="P188" i="163"/>
  <c r="P184" i="163"/>
  <c r="P180" i="163"/>
  <c r="P176" i="163"/>
  <c r="P202" i="163"/>
  <c r="P197" i="163"/>
  <c r="P189" i="163"/>
  <c r="P185" i="163"/>
  <c r="P181" i="163"/>
  <c r="P177" i="163"/>
  <c r="P175" i="163"/>
  <c r="P171" i="163"/>
  <c r="P179" i="163"/>
  <c r="P172" i="163"/>
  <c r="P168" i="163"/>
  <c r="P164" i="163"/>
  <c r="P183" i="163"/>
  <c r="P173" i="163"/>
  <c r="P169" i="163"/>
  <c r="P165" i="163"/>
  <c r="P178" i="163"/>
  <c r="P170" i="163"/>
  <c r="P163" i="163"/>
  <c r="P174" i="163"/>
  <c r="P166" i="163"/>
  <c r="P160" i="163"/>
  <c r="P156" i="163"/>
  <c r="P152" i="163"/>
  <c r="P187" i="163"/>
  <c r="P167" i="163"/>
  <c r="P161" i="163"/>
  <c r="P157" i="163"/>
  <c r="P153" i="163"/>
  <c r="P162" i="163"/>
  <c r="P158" i="163"/>
  <c r="P154" i="163"/>
  <c r="P150" i="163"/>
  <c r="P149" i="163"/>
  <c r="P159" i="163"/>
  <c r="P151" i="163"/>
  <c r="P155" i="163"/>
  <c r="Q1" i="163"/>
  <c r="Q39" i="163" l="1"/>
  <c r="Q34" i="163"/>
  <c r="Q29" i="163"/>
  <c r="Q36" i="163"/>
  <c r="Q31" i="163"/>
  <c r="Q38" i="163"/>
  <c r="Q33" i="163"/>
  <c r="Q28" i="163"/>
  <c r="Q40" i="163"/>
  <c r="Q35" i="163"/>
  <c r="Q51" i="163"/>
  <c r="Q63" i="163"/>
  <c r="Q37" i="163"/>
  <c r="Q46" i="163"/>
  <c r="Q58" i="163"/>
  <c r="Q41" i="163"/>
  <c r="Q53" i="163"/>
  <c r="Q65" i="163"/>
  <c r="Q48" i="163"/>
  <c r="Q60" i="163"/>
  <c r="Q43" i="163"/>
  <c r="Q55" i="163"/>
  <c r="Q50" i="163"/>
  <c r="Q62" i="163"/>
  <c r="Q30" i="163"/>
  <c r="Q45" i="163"/>
  <c r="Q57" i="163"/>
  <c r="Q52" i="163"/>
  <c r="Q47" i="163"/>
  <c r="Q59" i="163"/>
  <c r="Q54" i="163"/>
  <c r="Q75" i="163"/>
  <c r="Q87" i="163"/>
  <c r="Q70" i="163"/>
  <c r="Q82" i="163"/>
  <c r="Q64" i="163"/>
  <c r="Q77" i="163"/>
  <c r="Q89" i="163"/>
  <c r="Q42" i="163"/>
  <c r="Q72" i="163"/>
  <c r="Q84" i="163"/>
  <c r="Q67" i="163"/>
  <c r="Q79" i="163"/>
  <c r="Q56" i="163"/>
  <c r="Q74" i="163"/>
  <c r="Q86" i="163"/>
  <c r="Q69" i="163"/>
  <c r="Q81" i="163"/>
  <c r="Q61" i="163"/>
  <c r="Q76" i="163"/>
  <c r="Q44" i="163"/>
  <c r="Q71" i="163"/>
  <c r="Q83" i="163"/>
  <c r="Q66" i="163"/>
  <c r="Q96" i="163"/>
  <c r="Q108" i="163"/>
  <c r="Q91" i="163"/>
  <c r="Q103" i="163"/>
  <c r="Q115" i="163"/>
  <c r="Q80" i="163"/>
  <c r="Q98" i="163"/>
  <c r="Q110" i="163"/>
  <c r="Q93" i="163"/>
  <c r="Q105" i="163"/>
  <c r="Q85" i="163"/>
  <c r="Q100" i="163"/>
  <c r="Q112" i="163"/>
  <c r="Q68" i="163"/>
  <c r="Q88" i="163"/>
  <c r="Q95" i="163"/>
  <c r="Q107" i="163"/>
  <c r="Q90" i="163"/>
  <c r="Q102" i="163"/>
  <c r="Q114" i="163"/>
  <c r="Q49" i="163"/>
  <c r="Q73" i="163"/>
  <c r="Q97" i="163"/>
  <c r="Q109" i="163"/>
  <c r="Q92" i="163"/>
  <c r="Q104" i="163"/>
  <c r="Q122" i="163"/>
  <c r="Q134" i="163"/>
  <c r="Q146" i="163"/>
  <c r="Q13" i="163"/>
  <c r="Q25" i="163"/>
  <c r="Q106" i="163"/>
  <c r="Q117" i="163"/>
  <c r="Q129" i="163"/>
  <c r="Q141" i="163"/>
  <c r="Q8" i="163"/>
  <c r="Q20" i="163"/>
  <c r="Q32" i="163"/>
  <c r="Q124" i="163"/>
  <c r="Q136" i="163"/>
  <c r="Q148" i="163"/>
  <c r="Q15" i="163"/>
  <c r="Q27" i="163"/>
  <c r="Q78" i="163"/>
  <c r="Q111" i="163"/>
  <c r="Q119" i="163"/>
  <c r="Q131" i="163"/>
  <c r="Q143" i="163"/>
  <c r="Q10" i="163"/>
  <c r="Q22" i="163"/>
  <c r="Q94" i="163"/>
  <c r="Q126" i="163"/>
  <c r="Q138" i="163"/>
  <c r="Q5" i="163"/>
  <c r="Q17" i="163"/>
  <c r="Q121" i="163"/>
  <c r="Q133" i="163"/>
  <c r="Q145" i="163"/>
  <c r="Q12" i="163"/>
  <c r="Q24" i="163"/>
  <c r="Q99" i="163"/>
  <c r="Q116" i="163"/>
  <c r="Q128" i="163"/>
  <c r="Q140" i="163"/>
  <c r="Q7" i="163"/>
  <c r="Q19" i="163"/>
  <c r="Q123" i="163"/>
  <c r="Q135" i="163"/>
  <c r="Q147" i="163"/>
  <c r="Q14" i="163"/>
  <c r="Q26" i="163"/>
  <c r="Q113" i="163"/>
  <c r="Q118" i="163"/>
  <c r="Q130" i="163"/>
  <c r="Q142" i="163"/>
  <c r="Q9" i="163"/>
  <c r="Q21" i="163"/>
  <c r="Q16" i="163"/>
  <c r="Q11" i="163"/>
  <c r="Q144" i="163"/>
  <c r="Q101" i="163"/>
  <c r="Q127" i="163"/>
  <c r="Q125" i="163"/>
  <c r="Q4" i="163"/>
  <c r="Q3" i="163"/>
  <c r="Q132" i="163"/>
  <c r="Q18" i="163"/>
  <c r="Q137" i="163"/>
  <c r="Q139" i="163"/>
  <c r="Q120" i="163"/>
  <c r="Q23" i="163"/>
  <c r="Q6" i="163"/>
  <c r="Q210" i="163"/>
  <c r="Q206" i="163"/>
  <c r="Q211" i="163"/>
  <c r="Q207" i="163"/>
  <c r="Q203" i="163"/>
  <c r="Q212" i="163"/>
  <c r="Q204" i="163"/>
  <c r="Q202" i="163"/>
  <c r="Q198" i="163"/>
  <c r="Q208" i="163"/>
  <c r="Q200" i="163"/>
  <c r="Q196" i="163"/>
  <c r="Q209" i="163"/>
  <c r="Q201" i="163"/>
  <c r="Q197" i="163"/>
  <c r="Q193" i="163"/>
  <c r="Q191" i="163"/>
  <c r="Q187" i="163"/>
  <c r="Q183" i="163"/>
  <c r="Q179" i="163"/>
  <c r="Q205" i="163"/>
  <c r="Q194" i="163"/>
  <c r="Q192" i="163"/>
  <c r="Q213" i="163"/>
  <c r="Q199" i="163"/>
  <c r="Q195" i="163"/>
  <c r="Q189" i="163"/>
  <c r="Q185" i="163"/>
  <c r="Q181" i="163"/>
  <c r="Q177" i="163"/>
  <c r="Q190" i="163"/>
  <c r="Q186" i="163"/>
  <c r="Q182" i="163"/>
  <c r="Q178" i="163"/>
  <c r="Q172" i="163"/>
  <c r="Q180" i="163"/>
  <c r="Q173" i="163"/>
  <c r="Q169" i="163"/>
  <c r="Q165" i="163"/>
  <c r="Q184" i="163"/>
  <c r="Q176" i="163"/>
  <c r="Q174" i="163"/>
  <c r="Q170" i="163"/>
  <c r="Q166" i="163"/>
  <c r="Q188" i="163"/>
  <c r="Q171" i="163"/>
  <c r="Q164" i="163"/>
  <c r="Q160" i="163"/>
  <c r="Q175" i="163"/>
  <c r="Q167" i="163"/>
  <c r="Q161" i="163"/>
  <c r="Q157" i="163"/>
  <c r="Q153" i="163"/>
  <c r="Q168" i="163"/>
  <c r="Q162" i="163"/>
  <c r="Q158" i="163"/>
  <c r="Q154" i="163"/>
  <c r="Q150" i="163"/>
  <c r="Q149" i="163"/>
  <c r="Q163" i="163"/>
  <c r="Q159" i="163"/>
  <c r="Q155" i="163"/>
  <c r="Q151" i="163"/>
  <c r="Q152" i="163"/>
  <c r="Q156" i="163"/>
  <c r="R1" i="163"/>
  <c r="T32" i="160"/>
  <c r="R32" i="163" l="1"/>
  <c r="R39" i="163"/>
  <c r="R34" i="163"/>
  <c r="R29" i="163"/>
  <c r="R36" i="163"/>
  <c r="R31" i="163"/>
  <c r="R38" i="163"/>
  <c r="R33" i="163"/>
  <c r="R28" i="163"/>
  <c r="R40" i="163"/>
  <c r="R44" i="163"/>
  <c r="R56" i="163"/>
  <c r="R51" i="163"/>
  <c r="R63" i="163"/>
  <c r="R37" i="163"/>
  <c r="R46" i="163"/>
  <c r="R58" i="163"/>
  <c r="R41" i="163"/>
  <c r="R53" i="163"/>
  <c r="R65" i="163"/>
  <c r="R48" i="163"/>
  <c r="R60" i="163"/>
  <c r="R43" i="163"/>
  <c r="R55" i="163"/>
  <c r="R50" i="163"/>
  <c r="R62" i="163"/>
  <c r="R30" i="163"/>
  <c r="R45" i="163"/>
  <c r="R57" i="163"/>
  <c r="R52" i="163"/>
  <c r="R64" i="163"/>
  <c r="R68" i="163"/>
  <c r="R80" i="163"/>
  <c r="R54" i="163"/>
  <c r="R75" i="163"/>
  <c r="R87" i="163"/>
  <c r="R70" i="163"/>
  <c r="R82" i="163"/>
  <c r="R35" i="163"/>
  <c r="R59" i="163"/>
  <c r="R77" i="163"/>
  <c r="R89" i="163"/>
  <c r="R42" i="163"/>
  <c r="R72" i="163"/>
  <c r="R84" i="163"/>
  <c r="R67" i="163"/>
  <c r="R79" i="163"/>
  <c r="R47" i="163"/>
  <c r="R74" i="163"/>
  <c r="R86" i="163"/>
  <c r="R69" i="163"/>
  <c r="R81" i="163"/>
  <c r="R61" i="163"/>
  <c r="R76" i="163"/>
  <c r="R88" i="163"/>
  <c r="R83" i="163"/>
  <c r="R101" i="163"/>
  <c r="R113" i="163"/>
  <c r="R66" i="163"/>
  <c r="R96" i="163"/>
  <c r="R108" i="163"/>
  <c r="R91" i="163"/>
  <c r="R103" i="163"/>
  <c r="R115" i="163"/>
  <c r="R71" i="163"/>
  <c r="R98" i="163"/>
  <c r="R110" i="163"/>
  <c r="R93" i="163"/>
  <c r="R105" i="163"/>
  <c r="R85" i="163"/>
  <c r="R100" i="163"/>
  <c r="R112" i="163"/>
  <c r="R95" i="163"/>
  <c r="R107" i="163"/>
  <c r="R90" i="163"/>
  <c r="R102" i="163"/>
  <c r="R49" i="163"/>
  <c r="R73" i="163"/>
  <c r="R97" i="163"/>
  <c r="R109" i="163"/>
  <c r="R92" i="163"/>
  <c r="R127" i="163"/>
  <c r="R139" i="163"/>
  <c r="R6" i="163"/>
  <c r="R18" i="163"/>
  <c r="R122" i="163"/>
  <c r="R134" i="163"/>
  <c r="R146" i="163"/>
  <c r="R13" i="163"/>
  <c r="R25" i="163"/>
  <c r="R106" i="163"/>
  <c r="R117" i="163"/>
  <c r="R129" i="163"/>
  <c r="R141" i="163"/>
  <c r="R8" i="163"/>
  <c r="R20" i="163"/>
  <c r="R124" i="163"/>
  <c r="R136" i="163"/>
  <c r="R148" i="163"/>
  <c r="R15" i="163"/>
  <c r="R27" i="163"/>
  <c r="R78" i="163"/>
  <c r="R111" i="163"/>
  <c r="R119" i="163"/>
  <c r="R131" i="163"/>
  <c r="R143" i="163"/>
  <c r="R10" i="163"/>
  <c r="R22" i="163"/>
  <c r="R94" i="163"/>
  <c r="R126" i="163"/>
  <c r="R138" i="163"/>
  <c r="R5" i="163"/>
  <c r="R17" i="163"/>
  <c r="R114" i="163"/>
  <c r="R121" i="163"/>
  <c r="R133" i="163"/>
  <c r="R145" i="163"/>
  <c r="R12" i="163"/>
  <c r="R24" i="163"/>
  <c r="R99" i="163"/>
  <c r="R116" i="163"/>
  <c r="R128" i="163"/>
  <c r="R140" i="163"/>
  <c r="R7" i="163"/>
  <c r="R19" i="163"/>
  <c r="R123" i="163"/>
  <c r="R135" i="163"/>
  <c r="R147" i="163"/>
  <c r="R14" i="163"/>
  <c r="R26" i="163"/>
  <c r="R130" i="163"/>
  <c r="R3" i="163"/>
  <c r="R23" i="163"/>
  <c r="R16" i="163"/>
  <c r="R144" i="163"/>
  <c r="R125" i="163"/>
  <c r="R118" i="163"/>
  <c r="R21" i="163"/>
  <c r="R11" i="163"/>
  <c r="R4" i="163"/>
  <c r="R132" i="163"/>
  <c r="R104" i="163"/>
  <c r="R9" i="163"/>
  <c r="R137" i="163"/>
  <c r="R120" i="163"/>
  <c r="R142" i="163"/>
  <c r="R211" i="163"/>
  <c r="R207" i="163"/>
  <c r="R203" i="163"/>
  <c r="R212" i="163"/>
  <c r="R208" i="163"/>
  <c r="R204" i="163"/>
  <c r="R213" i="163"/>
  <c r="R205" i="163"/>
  <c r="R199" i="163"/>
  <c r="R209" i="163"/>
  <c r="R201" i="163"/>
  <c r="R197" i="163"/>
  <c r="R193" i="163"/>
  <c r="R210" i="163"/>
  <c r="R202" i="163"/>
  <c r="R198" i="163"/>
  <c r="R194" i="163"/>
  <c r="R192" i="163"/>
  <c r="R188" i="163"/>
  <c r="R184" i="163"/>
  <c r="R180" i="163"/>
  <c r="R206" i="163"/>
  <c r="R195" i="163"/>
  <c r="R189" i="163"/>
  <c r="R200" i="163"/>
  <c r="R196" i="163"/>
  <c r="R190" i="163"/>
  <c r="R186" i="163"/>
  <c r="R182" i="163"/>
  <c r="R178" i="163"/>
  <c r="R191" i="163"/>
  <c r="R187" i="163"/>
  <c r="R183" i="163"/>
  <c r="R179" i="163"/>
  <c r="R173" i="163"/>
  <c r="R169" i="163"/>
  <c r="R181" i="163"/>
  <c r="R176" i="163"/>
  <c r="R174" i="163"/>
  <c r="R170" i="163"/>
  <c r="R166" i="163"/>
  <c r="R162" i="163"/>
  <c r="R185" i="163"/>
  <c r="R177" i="163"/>
  <c r="R175" i="163"/>
  <c r="R171" i="163"/>
  <c r="R167" i="163"/>
  <c r="R172" i="163"/>
  <c r="R165" i="163"/>
  <c r="R161" i="163"/>
  <c r="R168" i="163"/>
  <c r="R158" i="163"/>
  <c r="R154" i="163"/>
  <c r="R163" i="163"/>
  <c r="R159" i="163"/>
  <c r="R155" i="163"/>
  <c r="R151" i="163"/>
  <c r="R164" i="163"/>
  <c r="R160" i="163"/>
  <c r="R156" i="163"/>
  <c r="R152" i="163"/>
  <c r="R153" i="163"/>
  <c r="R157" i="163"/>
  <c r="R150" i="163"/>
  <c r="R149" i="163"/>
  <c r="S1" i="163"/>
  <c r="T71" i="160"/>
  <c r="T68" i="160"/>
  <c r="T67" i="160"/>
  <c r="T37" i="160"/>
  <c r="T39" i="160"/>
  <c r="T38" i="160"/>
  <c r="T35" i="160"/>
  <c r="T66" i="160"/>
  <c r="T54" i="160"/>
  <c r="T36" i="160"/>
  <c r="S37" i="163" l="1"/>
  <c r="S32" i="163"/>
  <c r="S39" i="163"/>
  <c r="S34" i="163"/>
  <c r="S29" i="163"/>
  <c r="S36" i="163"/>
  <c r="S31" i="163"/>
  <c r="S38" i="163"/>
  <c r="S33" i="163"/>
  <c r="S49" i="163"/>
  <c r="S61" i="163"/>
  <c r="S40" i="163"/>
  <c r="S44" i="163"/>
  <c r="S56" i="163"/>
  <c r="S51" i="163"/>
  <c r="S63" i="163"/>
  <c r="S28" i="163"/>
  <c r="S46" i="163"/>
  <c r="S58" i="163"/>
  <c r="S41" i="163"/>
  <c r="S53" i="163"/>
  <c r="S48" i="163"/>
  <c r="S60" i="163"/>
  <c r="S43" i="163"/>
  <c r="S55" i="163"/>
  <c r="S50" i="163"/>
  <c r="S62" i="163"/>
  <c r="S30" i="163"/>
  <c r="S45" i="163"/>
  <c r="S57" i="163"/>
  <c r="S73" i="163"/>
  <c r="S85" i="163"/>
  <c r="S68" i="163"/>
  <c r="S80" i="163"/>
  <c r="S54" i="163"/>
  <c r="S75" i="163"/>
  <c r="S87" i="163"/>
  <c r="S64" i="163"/>
  <c r="S70" i="163"/>
  <c r="S82" i="163"/>
  <c r="S35" i="163"/>
  <c r="S59" i="163"/>
  <c r="S77" i="163"/>
  <c r="S89" i="163"/>
  <c r="S42" i="163"/>
  <c r="S65" i="163"/>
  <c r="S72" i="163"/>
  <c r="S84" i="163"/>
  <c r="S67" i="163"/>
  <c r="S79" i="163"/>
  <c r="S47" i="163"/>
  <c r="S74" i="163"/>
  <c r="S86" i="163"/>
  <c r="S69" i="163"/>
  <c r="S81" i="163"/>
  <c r="S52" i="163"/>
  <c r="S94" i="163"/>
  <c r="S106" i="163"/>
  <c r="S83" i="163"/>
  <c r="S101" i="163"/>
  <c r="S113" i="163"/>
  <c r="S66" i="163"/>
  <c r="S96" i="163"/>
  <c r="S108" i="163"/>
  <c r="S91" i="163"/>
  <c r="S103" i="163"/>
  <c r="S115" i="163"/>
  <c r="S71" i="163"/>
  <c r="S98" i="163"/>
  <c r="S110" i="163"/>
  <c r="S93" i="163"/>
  <c r="S105" i="163"/>
  <c r="S76" i="163"/>
  <c r="S88" i="163"/>
  <c r="S100" i="163"/>
  <c r="S112" i="163"/>
  <c r="S95" i="163"/>
  <c r="S107" i="163"/>
  <c r="S90" i="163"/>
  <c r="S102" i="163"/>
  <c r="S109" i="163"/>
  <c r="S120" i="163"/>
  <c r="S132" i="163"/>
  <c r="S144" i="163"/>
  <c r="S11" i="163"/>
  <c r="S23" i="163"/>
  <c r="S92" i="163"/>
  <c r="S127" i="163"/>
  <c r="S139" i="163"/>
  <c r="S6" i="163"/>
  <c r="S18" i="163"/>
  <c r="S122" i="163"/>
  <c r="S134" i="163"/>
  <c r="S146" i="163"/>
  <c r="S13" i="163"/>
  <c r="S25" i="163"/>
  <c r="S97" i="163"/>
  <c r="S117" i="163"/>
  <c r="S129" i="163"/>
  <c r="S141" i="163"/>
  <c r="S8" i="163"/>
  <c r="S20" i="163"/>
  <c r="S124" i="163"/>
  <c r="S136" i="163"/>
  <c r="S148" i="163"/>
  <c r="S15" i="163"/>
  <c r="S27" i="163"/>
  <c r="S78" i="163"/>
  <c r="S111" i="163"/>
  <c r="S119" i="163"/>
  <c r="S131" i="163"/>
  <c r="S143" i="163"/>
  <c r="S10" i="163"/>
  <c r="S22" i="163"/>
  <c r="S126" i="163"/>
  <c r="S138" i="163"/>
  <c r="S5" i="163"/>
  <c r="S17" i="163"/>
  <c r="S114" i="163"/>
  <c r="S121" i="163"/>
  <c r="S133" i="163"/>
  <c r="S145" i="163"/>
  <c r="S12" i="163"/>
  <c r="S24" i="163"/>
  <c r="S99" i="163"/>
  <c r="S116" i="163"/>
  <c r="S128" i="163"/>
  <c r="S140" i="163"/>
  <c r="S7" i="163"/>
  <c r="S19" i="163"/>
  <c r="S147" i="163"/>
  <c r="S3" i="163"/>
  <c r="S14" i="163"/>
  <c r="S142" i="163"/>
  <c r="S130" i="163"/>
  <c r="S16" i="163"/>
  <c r="S135" i="163"/>
  <c r="S21" i="163"/>
  <c r="S118" i="163"/>
  <c r="S4" i="163"/>
  <c r="S123" i="163"/>
  <c r="S26" i="163"/>
  <c r="S104" i="163"/>
  <c r="S9" i="163"/>
  <c r="S137" i="163"/>
  <c r="S125" i="163"/>
  <c r="S212" i="163"/>
  <c r="S208" i="163"/>
  <c r="S204" i="163"/>
  <c r="S213" i="163"/>
  <c r="S209" i="163"/>
  <c r="S205" i="163"/>
  <c r="S206" i="163"/>
  <c r="S200" i="163"/>
  <c r="S210" i="163"/>
  <c r="S202" i="163"/>
  <c r="S198" i="163"/>
  <c r="S194" i="163"/>
  <c r="S211" i="163"/>
  <c r="S203" i="163"/>
  <c r="S199" i="163"/>
  <c r="S195" i="163"/>
  <c r="S193" i="163"/>
  <c r="S189" i="163"/>
  <c r="S185" i="163"/>
  <c r="S181" i="163"/>
  <c r="S207" i="163"/>
  <c r="S196" i="163"/>
  <c r="S190" i="163"/>
  <c r="S201" i="163"/>
  <c r="S197" i="163"/>
  <c r="S191" i="163"/>
  <c r="S187" i="163"/>
  <c r="S183" i="163"/>
  <c r="S179" i="163"/>
  <c r="S192" i="163"/>
  <c r="S188" i="163"/>
  <c r="S184" i="163"/>
  <c r="S180" i="163"/>
  <c r="S176" i="163"/>
  <c r="S174" i="163"/>
  <c r="S170" i="163"/>
  <c r="S182" i="163"/>
  <c r="S177" i="163"/>
  <c r="S175" i="163"/>
  <c r="S171" i="163"/>
  <c r="S167" i="163"/>
  <c r="S163" i="163"/>
  <c r="S186" i="163"/>
  <c r="S178" i="163"/>
  <c r="S172" i="163"/>
  <c r="S168" i="163"/>
  <c r="S164" i="163"/>
  <c r="S173" i="163"/>
  <c r="S166" i="163"/>
  <c r="S162" i="163"/>
  <c r="S159" i="163"/>
  <c r="S155" i="163"/>
  <c r="S151" i="163"/>
  <c r="S160" i="163"/>
  <c r="S156" i="163"/>
  <c r="S152" i="163"/>
  <c r="S169" i="163"/>
  <c r="S165" i="163"/>
  <c r="S161" i="163"/>
  <c r="S157" i="163"/>
  <c r="S153" i="163"/>
  <c r="S154" i="163"/>
  <c r="S150" i="163"/>
  <c r="S149" i="163"/>
  <c r="S158" i="163"/>
  <c r="T1" i="163"/>
  <c r="T30" i="163" l="1"/>
  <c r="T37" i="163"/>
  <c r="T32" i="163"/>
  <c r="T39" i="163"/>
  <c r="T34" i="163"/>
  <c r="T29" i="163"/>
  <c r="T36" i="163"/>
  <c r="T31" i="163"/>
  <c r="T38" i="163"/>
  <c r="T42" i="163"/>
  <c r="T54" i="163"/>
  <c r="T49" i="163"/>
  <c r="T61" i="163"/>
  <c r="T40" i="163"/>
  <c r="T44" i="163"/>
  <c r="T56" i="163"/>
  <c r="T51" i="163"/>
  <c r="T63" i="163"/>
  <c r="T28" i="163"/>
  <c r="T46" i="163"/>
  <c r="T58" i="163"/>
  <c r="T41" i="163"/>
  <c r="T53" i="163"/>
  <c r="T33" i="163"/>
  <c r="T48" i="163"/>
  <c r="T60" i="163"/>
  <c r="T43" i="163"/>
  <c r="T55" i="163"/>
  <c r="T50" i="163"/>
  <c r="T62" i="163"/>
  <c r="T57" i="163"/>
  <c r="T66" i="163"/>
  <c r="T78" i="163"/>
  <c r="T73" i="163"/>
  <c r="T85" i="163"/>
  <c r="T68" i="163"/>
  <c r="T80" i="163"/>
  <c r="T45" i="163"/>
  <c r="T75" i="163"/>
  <c r="T87" i="163"/>
  <c r="T64" i="163"/>
  <c r="T70" i="163"/>
  <c r="T82" i="163"/>
  <c r="T35" i="163"/>
  <c r="T59" i="163"/>
  <c r="T77" i="163"/>
  <c r="T65" i="163"/>
  <c r="T72" i="163"/>
  <c r="T84" i="163"/>
  <c r="T67" i="163"/>
  <c r="T79" i="163"/>
  <c r="T47" i="163"/>
  <c r="T74" i="163"/>
  <c r="T86" i="163"/>
  <c r="T69" i="163"/>
  <c r="T99" i="163"/>
  <c r="T111" i="163"/>
  <c r="T52" i="163"/>
  <c r="T94" i="163"/>
  <c r="T106" i="163"/>
  <c r="T83" i="163"/>
  <c r="T101" i="163"/>
  <c r="T113" i="163"/>
  <c r="T96" i="163"/>
  <c r="T108" i="163"/>
  <c r="T91" i="163"/>
  <c r="T103" i="163"/>
  <c r="T71" i="163"/>
  <c r="T98" i="163"/>
  <c r="T110" i="163"/>
  <c r="T93" i="163"/>
  <c r="T105" i="163"/>
  <c r="T76" i="163"/>
  <c r="T88" i="163"/>
  <c r="T89" i="163"/>
  <c r="T100" i="163"/>
  <c r="T112" i="163"/>
  <c r="T95" i="163"/>
  <c r="T107" i="163"/>
  <c r="T125" i="163"/>
  <c r="T137" i="163"/>
  <c r="T4" i="163"/>
  <c r="T16" i="163"/>
  <c r="T109" i="163"/>
  <c r="T115" i="163"/>
  <c r="T120" i="163"/>
  <c r="T132" i="163"/>
  <c r="T144" i="163"/>
  <c r="T11" i="163"/>
  <c r="T23" i="163"/>
  <c r="T92" i="163"/>
  <c r="T127" i="163"/>
  <c r="T139" i="163"/>
  <c r="T6" i="163"/>
  <c r="T18" i="163"/>
  <c r="T122" i="163"/>
  <c r="T134" i="163"/>
  <c r="T146" i="163"/>
  <c r="T13" i="163"/>
  <c r="T25" i="163"/>
  <c r="T97" i="163"/>
  <c r="T117" i="163"/>
  <c r="T129" i="163"/>
  <c r="T141" i="163"/>
  <c r="T8" i="163"/>
  <c r="T20" i="163"/>
  <c r="T124" i="163"/>
  <c r="T136" i="163"/>
  <c r="T148" i="163"/>
  <c r="T15" i="163"/>
  <c r="T27" i="163"/>
  <c r="T102" i="163"/>
  <c r="T119" i="163"/>
  <c r="T131" i="163"/>
  <c r="T143" i="163"/>
  <c r="T10" i="163"/>
  <c r="T22" i="163"/>
  <c r="T126" i="163"/>
  <c r="T138" i="163"/>
  <c r="T5" i="163"/>
  <c r="T17" i="163"/>
  <c r="T114" i="163"/>
  <c r="T121" i="163"/>
  <c r="T133" i="163"/>
  <c r="T145" i="163"/>
  <c r="T12" i="163"/>
  <c r="T24" i="163"/>
  <c r="T116" i="163"/>
  <c r="T19" i="163"/>
  <c r="T147" i="163"/>
  <c r="T21" i="163"/>
  <c r="T142" i="163"/>
  <c r="T130" i="163"/>
  <c r="T128" i="163"/>
  <c r="T14" i="163"/>
  <c r="T90" i="163"/>
  <c r="T7" i="163"/>
  <c r="T26" i="163"/>
  <c r="T135" i="163"/>
  <c r="T118" i="163"/>
  <c r="T140" i="163"/>
  <c r="T3" i="163"/>
  <c r="T81" i="163"/>
  <c r="T123" i="163"/>
  <c r="T104" i="163"/>
  <c r="T9" i="163"/>
  <c r="T213" i="163"/>
  <c r="T209" i="163"/>
  <c r="T205" i="163"/>
  <c r="T210" i="163"/>
  <c r="T206" i="163"/>
  <c r="T207" i="163"/>
  <c r="T201" i="163"/>
  <c r="T211" i="163"/>
  <c r="T203" i="163"/>
  <c r="T199" i="163"/>
  <c r="T195" i="163"/>
  <c r="T212" i="163"/>
  <c r="T204" i="163"/>
  <c r="T200" i="163"/>
  <c r="T196" i="163"/>
  <c r="T192" i="163"/>
  <c r="T194" i="163"/>
  <c r="T190" i="163"/>
  <c r="T186" i="163"/>
  <c r="T182" i="163"/>
  <c r="T208" i="163"/>
  <c r="T198" i="163"/>
  <c r="T197" i="163"/>
  <c r="T191" i="163"/>
  <c r="T202" i="163"/>
  <c r="T188" i="163"/>
  <c r="T184" i="163"/>
  <c r="T180" i="163"/>
  <c r="T176" i="163"/>
  <c r="T193" i="163"/>
  <c r="T189" i="163"/>
  <c r="T185" i="163"/>
  <c r="T181" i="163"/>
  <c r="T177" i="163"/>
  <c r="T179" i="163"/>
  <c r="T175" i="163"/>
  <c r="T171" i="163"/>
  <c r="T183" i="163"/>
  <c r="T178" i="163"/>
  <c r="T172" i="163"/>
  <c r="T168" i="163"/>
  <c r="T164" i="163"/>
  <c r="T187" i="163"/>
  <c r="T173" i="163"/>
  <c r="T169" i="163"/>
  <c r="T165" i="163"/>
  <c r="T174" i="163"/>
  <c r="T167" i="163"/>
  <c r="T162" i="163"/>
  <c r="T163" i="163"/>
  <c r="T160" i="163"/>
  <c r="T156" i="163"/>
  <c r="T152" i="163"/>
  <c r="T161" i="163"/>
  <c r="T157" i="163"/>
  <c r="T153" i="163"/>
  <c r="T170" i="163"/>
  <c r="T166" i="163"/>
  <c r="T158" i="163"/>
  <c r="T154" i="163"/>
  <c r="T150" i="163"/>
  <c r="T149" i="163"/>
  <c r="T151" i="163"/>
  <c r="T155" i="163"/>
  <c r="T159" i="163"/>
  <c r="U1" i="163"/>
  <c r="T24" i="160"/>
  <c r="U35" i="163" l="1"/>
  <c r="U30" i="163"/>
  <c r="U37" i="163"/>
  <c r="U32" i="163"/>
  <c r="U39" i="163"/>
  <c r="U34" i="163"/>
  <c r="U29" i="163"/>
  <c r="U36" i="163"/>
  <c r="U31" i="163"/>
  <c r="U47" i="163"/>
  <c r="U59" i="163"/>
  <c r="U42" i="163"/>
  <c r="U54" i="163"/>
  <c r="U49" i="163"/>
  <c r="U61" i="163"/>
  <c r="U40" i="163"/>
  <c r="U44" i="163"/>
  <c r="U56" i="163"/>
  <c r="U51" i="163"/>
  <c r="U28" i="163"/>
  <c r="U46" i="163"/>
  <c r="U58" i="163"/>
  <c r="U41" i="163"/>
  <c r="U53" i="163"/>
  <c r="U65" i="163"/>
  <c r="U33" i="163"/>
  <c r="U48" i="163"/>
  <c r="U60" i="163"/>
  <c r="U43" i="163"/>
  <c r="U55" i="163"/>
  <c r="U71" i="163"/>
  <c r="U83" i="163"/>
  <c r="U57" i="163"/>
  <c r="U66" i="163"/>
  <c r="U78" i="163"/>
  <c r="U73" i="163"/>
  <c r="U85" i="163"/>
  <c r="U62" i="163"/>
  <c r="U63" i="163"/>
  <c r="U68" i="163"/>
  <c r="U80" i="163"/>
  <c r="U45" i="163"/>
  <c r="U75" i="163"/>
  <c r="U87" i="163"/>
  <c r="U64" i="163"/>
  <c r="U70" i="163"/>
  <c r="U82" i="163"/>
  <c r="U50" i="163"/>
  <c r="U77" i="163"/>
  <c r="U89" i="163"/>
  <c r="U72" i="163"/>
  <c r="U84" i="163"/>
  <c r="U67" i="163"/>
  <c r="U79" i="163"/>
  <c r="U38" i="163"/>
  <c r="U86" i="163"/>
  <c r="U92" i="163"/>
  <c r="U104" i="163"/>
  <c r="U69" i="163"/>
  <c r="U99" i="163"/>
  <c r="U111" i="163"/>
  <c r="U52" i="163"/>
  <c r="U94" i="163"/>
  <c r="U106" i="163"/>
  <c r="U74" i="163"/>
  <c r="U101" i="163"/>
  <c r="U113" i="163"/>
  <c r="U96" i="163"/>
  <c r="U108" i="163"/>
  <c r="U91" i="163"/>
  <c r="U103" i="163"/>
  <c r="U98" i="163"/>
  <c r="U110" i="163"/>
  <c r="U93" i="163"/>
  <c r="U105" i="163"/>
  <c r="U76" i="163"/>
  <c r="U88" i="163"/>
  <c r="U100" i="163"/>
  <c r="U112" i="163"/>
  <c r="U95" i="163"/>
  <c r="U118" i="163"/>
  <c r="U130" i="163"/>
  <c r="U142" i="163"/>
  <c r="U9" i="163"/>
  <c r="U21" i="163"/>
  <c r="U125" i="163"/>
  <c r="U137" i="163"/>
  <c r="U4" i="163"/>
  <c r="U16" i="163"/>
  <c r="U109" i="163"/>
  <c r="U115" i="163"/>
  <c r="U120" i="163"/>
  <c r="U132" i="163"/>
  <c r="U144" i="163"/>
  <c r="U11" i="163"/>
  <c r="U23" i="163"/>
  <c r="U127" i="163"/>
  <c r="U139" i="163"/>
  <c r="U6" i="163"/>
  <c r="U18" i="163"/>
  <c r="U122" i="163"/>
  <c r="U134" i="163"/>
  <c r="U146" i="163"/>
  <c r="U13" i="163"/>
  <c r="U25" i="163"/>
  <c r="U97" i="163"/>
  <c r="U117" i="163"/>
  <c r="U129" i="163"/>
  <c r="U141" i="163"/>
  <c r="U8" i="163"/>
  <c r="U20" i="163"/>
  <c r="U124" i="163"/>
  <c r="U136" i="163"/>
  <c r="U148" i="163"/>
  <c r="U15" i="163"/>
  <c r="U27" i="163"/>
  <c r="U102" i="163"/>
  <c r="U119" i="163"/>
  <c r="U131" i="163"/>
  <c r="U143" i="163"/>
  <c r="U10" i="163"/>
  <c r="U22" i="163"/>
  <c r="U126" i="163"/>
  <c r="U138" i="163"/>
  <c r="U5" i="163"/>
  <c r="U17" i="163"/>
  <c r="U107" i="163"/>
  <c r="U133" i="163"/>
  <c r="U3" i="163"/>
  <c r="U128" i="163"/>
  <c r="U116" i="163"/>
  <c r="U19" i="163"/>
  <c r="U147" i="163"/>
  <c r="U14" i="163"/>
  <c r="U114" i="163"/>
  <c r="U121" i="163"/>
  <c r="U24" i="163"/>
  <c r="U7" i="163"/>
  <c r="U90" i="163"/>
  <c r="U135" i="163"/>
  <c r="U12" i="163"/>
  <c r="U140" i="163"/>
  <c r="U123" i="163"/>
  <c r="U26" i="163"/>
  <c r="U145" i="163"/>
  <c r="U81" i="163"/>
  <c r="U210" i="163"/>
  <c r="U206" i="163"/>
  <c r="U211" i="163"/>
  <c r="U207" i="163"/>
  <c r="U203" i="163"/>
  <c r="U208" i="163"/>
  <c r="U202" i="163"/>
  <c r="U198" i="163"/>
  <c r="U212" i="163"/>
  <c r="U204" i="163"/>
  <c r="U200" i="163"/>
  <c r="U196" i="163"/>
  <c r="U192" i="163"/>
  <c r="U213" i="163"/>
  <c r="U205" i="163"/>
  <c r="U201" i="163"/>
  <c r="U197" i="163"/>
  <c r="U193" i="163"/>
  <c r="U195" i="163"/>
  <c r="U191" i="163"/>
  <c r="U187" i="163"/>
  <c r="U183" i="163"/>
  <c r="U179" i="163"/>
  <c r="U209" i="163"/>
  <c r="U199" i="163"/>
  <c r="U188" i="163"/>
  <c r="U189" i="163"/>
  <c r="U185" i="163"/>
  <c r="U181" i="163"/>
  <c r="U177" i="163"/>
  <c r="U194" i="163"/>
  <c r="U190" i="163"/>
  <c r="U186" i="163"/>
  <c r="U182" i="163"/>
  <c r="U178" i="163"/>
  <c r="U180" i="163"/>
  <c r="U176" i="163"/>
  <c r="U172" i="163"/>
  <c r="U184" i="163"/>
  <c r="U173" i="163"/>
  <c r="U169" i="163"/>
  <c r="U165" i="163"/>
  <c r="U174" i="163"/>
  <c r="U170" i="163"/>
  <c r="U166" i="163"/>
  <c r="U175" i="163"/>
  <c r="U168" i="163"/>
  <c r="U163" i="163"/>
  <c r="U160" i="163"/>
  <c r="U161" i="163"/>
  <c r="U157" i="163"/>
  <c r="U153" i="163"/>
  <c r="U164" i="163"/>
  <c r="U158" i="163"/>
  <c r="U154" i="163"/>
  <c r="U150" i="163"/>
  <c r="U149" i="163"/>
  <c r="U171" i="163"/>
  <c r="U167" i="163"/>
  <c r="U162" i="163"/>
  <c r="U159" i="163"/>
  <c r="U155" i="163"/>
  <c r="U151" i="163"/>
  <c r="U152" i="163"/>
  <c r="U156" i="163"/>
  <c r="V1" i="163"/>
  <c r="T53" i="160"/>
  <c r="T52" i="160"/>
  <c r="T51" i="160"/>
  <c r="V28" i="163" l="1"/>
  <c r="V40" i="163"/>
  <c r="V35" i="163"/>
  <c r="V30" i="163"/>
  <c r="V37" i="163"/>
  <c r="V32" i="163"/>
  <c r="V39" i="163"/>
  <c r="V34" i="163"/>
  <c r="V29" i="163"/>
  <c r="V36" i="163"/>
  <c r="V52" i="163"/>
  <c r="V64" i="163"/>
  <c r="V47" i="163"/>
  <c r="V59" i="163"/>
  <c r="V42" i="163"/>
  <c r="V54" i="163"/>
  <c r="V31" i="163"/>
  <c r="V49" i="163"/>
  <c r="V61" i="163"/>
  <c r="V44" i="163"/>
  <c r="V56" i="163"/>
  <c r="V51" i="163"/>
  <c r="V63" i="163"/>
  <c r="V46" i="163"/>
  <c r="V58" i="163"/>
  <c r="V41" i="163"/>
  <c r="V53" i="163"/>
  <c r="V33" i="163"/>
  <c r="V48" i="163"/>
  <c r="V60" i="163"/>
  <c r="V43" i="163"/>
  <c r="V76" i="163"/>
  <c r="V88" i="163"/>
  <c r="V71" i="163"/>
  <c r="V83" i="163"/>
  <c r="V57" i="163"/>
  <c r="V66" i="163"/>
  <c r="V78" i="163"/>
  <c r="V73" i="163"/>
  <c r="V85" i="163"/>
  <c r="V62" i="163"/>
  <c r="V68" i="163"/>
  <c r="V80" i="163"/>
  <c r="V45" i="163"/>
  <c r="V75" i="163"/>
  <c r="V87" i="163"/>
  <c r="V70" i="163"/>
  <c r="V82" i="163"/>
  <c r="V50" i="163"/>
  <c r="V65" i="163"/>
  <c r="V77" i="163"/>
  <c r="V72" i="163"/>
  <c r="V84" i="163"/>
  <c r="V97" i="163"/>
  <c r="V109" i="163"/>
  <c r="V38" i="163"/>
  <c r="V86" i="163"/>
  <c r="V92" i="163"/>
  <c r="V104" i="163"/>
  <c r="V69" i="163"/>
  <c r="V99" i="163"/>
  <c r="V111" i="163"/>
  <c r="V94" i="163"/>
  <c r="V106" i="163"/>
  <c r="V74" i="163"/>
  <c r="V101" i="163"/>
  <c r="V113" i="163"/>
  <c r="V96" i="163"/>
  <c r="V108" i="163"/>
  <c r="V55" i="163"/>
  <c r="V79" i="163"/>
  <c r="V91" i="163"/>
  <c r="V103" i="163"/>
  <c r="V115" i="163"/>
  <c r="V98" i="163"/>
  <c r="V110" i="163"/>
  <c r="V89" i="163"/>
  <c r="V93" i="163"/>
  <c r="V105" i="163"/>
  <c r="V112" i="163"/>
  <c r="V123" i="163"/>
  <c r="V135" i="163"/>
  <c r="V147" i="163"/>
  <c r="V14" i="163"/>
  <c r="V26" i="163"/>
  <c r="V95" i="163"/>
  <c r="V118" i="163"/>
  <c r="V130" i="163"/>
  <c r="V142" i="163"/>
  <c r="V9" i="163"/>
  <c r="V21" i="163"/>
  <c r="V125" i="163"/>
  <c r="V137" i="163"/>
  <c r="V4" i="163"/>
  <c r="V16" i="163"/>
  <c r="V100" i="163"/>
  <c r="V120" i="163"/>
  <c r="V132" i="163"/>
  <c r="V144" i="163"/>
  <c r="V11" i="163"/>
  <c r="V23" i="163"/>
  <c r="V127" i="163"/>
  <c r="V139" i="163"/>
  <c r="V6" i="163"/>
  <c r="V18" i="163"/>
  <c r="V122" i="163"/>
  <c r="V134" i="163"/>
  <c r="V146" i="163"/>
  <c r="V13" i="163"/>
  <c r="V25" i="163"/>
  <c r="V67" i="163"/>
  <c r="V117" i="163"/>
  <c r="V129" i="163"/>
  <c r="V141" i="163"/>
  <c r="V8" i="163"/>
  <c r="V20" i="163"/>
  <c r="V124" i="163"/>
  <c r="V136" i="163"/>
  <c r="V148" i="163"/>
  <c r="V15" i="163"/>
  <c r="V27" i="163"/>
  <c r="V102" i="163"/>
  <c r="V119" i="163"/>
  <c r="V131" i="163"/>
  <c r="V143" i="163"/>
  <c r="V10" i="163"/>
  <c r="V22" i="163"/>
  <c r="V5" i="163"/>
  <c r="V24" i="163"/>
  <c r="V107" i="163"/>
  <c r="V133" i="163"/>
  <c r="V116" i="163"/>
  <c r="V19" i="163"/>
  <c r="V81" i="163"/>
  <c r="V138" i="163"/>
  <c r="V128" i="163"/>
  <c r="V114" i="163"/>
  <c r="V121" i="163"/>
  <c r="V90" i="163"/>
  <c r="V7" i="163"/>
  <c r="V126" i="163"/>
  <c r="V12" i="163"/>
  <c r="V3" i="163"/>
  <c r="V17" i="163"/>
  <c r="V145" i="163"/>
  <c r="V140" i="163"/>
  <c r="V211" i="163"/>
  <c r="V207" i="163"/>
  <c r="V203" i="163"/>
  <c r="V212" i="163"/>
  <c r="V208" i="163"/>
  <c r="V204" i="163"/>
  <c r="V209" i="163"/>
  <c r="V199" i="163"/>
  <c r="V213" i="163"/>
  <c r="V205" i="163"/>
  <c r="V201" i="163"/>
  <c r="V197" i="163"/>
  <c r="V193" i="163"/>
  <c r="V206" i="163"/>
  <c r="V202" i="163"/>
  <c r="V198" i="163"/>
  <c r="V194" i="163"/>
  <c r="V196" i="163"/>
  <c r="V188" i="163"/>
  <c r="V184" i="163"/>
  <c r="V180" i="163"/>
  <c r="V210" i="163"/>
  <c r="V200" i="163"/>
  <c r="V189" i="163"/>
  <c r="V192" i="163"/>
  <c r="V190" i="163"/>
  <c r="V186" i="163"/>
  <c r="V182" i="163"/>
  <c r="V178" i="163"/>
  <c r="V195" i="163"/>
  <c r="V191" i="163"/>
  <c r="V187" i="163"/>
  <c r="V183" i="163"/>
  <c r="V179" i="163"/>
  <c r="V181" i="163"/>
  <c r="V177" i="163"/>
  <c r="V173" i="163"/>
  <c r="V169" i="163"/>
  <c r="V185" i="163"/>
  <c r="V174" i="163"/>
  <c r="V170" i="163"/>
  <c r="V166" i="163"/>
  <c r="V162" i="163"/>
  <c r="V175" i="163"/>
  <c r="V171" i="163"/>
  <c r="V167" i="163"/>
  <c r="V161" i="163"/>
  <c r="V164" i="163"/>
  <c r="V158" i="163"/>
  <c r="V154" i="163"/>
  <c r="V165" i="163"/>
  <c r="V159" i="163"/>
  <c r="V155" i="163"/>
  <c r="V151" i="163"/>
  <c r="V176" i="163"/>
  <c r="V172" i="163"/>
  <c r="V168" i="163"/>
  <c r="V163" i="163"/>
  <c r="V160" i="163"/>
  <c r="V156" i="163"/>
  <c r="V152" i="163"/>
  <c r="V153" i="163"/>
  <c r="V150" i="163"/>
  <c r="V149" i="163"/>
  <c r="V157" i="163"/>
  <c r="W1" i="163"/>
  <c r="T29" i="160"/>
  <c r="T23" i="160"/>
  <c r="W33" i="163" l="1"/>
  <c r="W28" i="163"/>
  <c r="W40" i="163"/>
  <c r="W35" i="163"/>
  <c r="W30" i="163"/>
  <c r="W37" i="163"/>
  <c r="W32" i="163"/>
  <c r="W39" i="163"/>
  <c r="W34" i="163"/>
  <c r="W29" i="163"/>
  <c r="W45" i="163"/>
  <c r="W57" i="163"/>
  <c r="W52" i="163"/>
  <c r="W64" i="163"/>
  <c r="W47" i="163"/>
  <c r="W59" i="163"/>
  <c r="W42" i="163"/>
  <c r="W54" i="163"/>
  <c r="W31" i="163"/>
  <c r="W49" i="163"/>
  <c r="W61" i="163"/>
  <c r="W44" i="163"/>
  <c r="W56" i="163"/>
  <c r="W36" i="163"/>
  <c r="W51" i="163"/>
  <c r="W63" i="163"/>
  <c r="W46" i="163"/>
  <c r="W58" i="163"/>
  <c r="W41" i="163"/>
  <c r="W53" i="163"/>
  <c r="W60" i="163"/>
  <c r="W69" i="163"/>
  <c r="W81" i="163"/>
  <c r="W43" i="163"/>
  <c r="W76" i="163"/>
  <c r="W88" i="163"/>
  <c r="W71" i="163"/>
  <c r="W83" i="163"/>
  <c r="W48" i="163"/>
  <c r="W66" i="163"/>
  <c r="W78" i="163"/>
  <c r="W73" i="163"/>
  <c r="W85" i="163"/>
  <c r="W62" i="163"/>
  <c r="W68" i="163"/>
  <c r="W80" i="163"/>
  <c r="W75" i="163"/>
  <c r="W87" i="163"/>
  <c r="W70" i="163"/>
  <c r="W82" i="163"/>
  <c r="W50" i="163"/>
  <c r="W65" i="163"/>
  <c r="W77" i="163"/>
  <c r="W89" i="163"/>
  <c r="W72" i="163"/>
  <c r="W90" i="163"/>
  <c r="W102" i="163"/>
  <c r="W114" i="163"/>
  <c r="W97" i="163"/>
  <c r="W109" i="163"/>
  <c r="W38" i="163"/>
  <c r="W86" i="163"/>
  <c r="W92" i="163"/>
  <c r="W104" i="163"/>
  <c r="W99" i="163"/>
  <c r="W111" i="163"/>
  <c r="W94" i="163"/>
  <c r="W106" i="163"/>
  <c r="W74" i="163"/>
  <c r="W101" i="163"/>
  <c r="W113" i="163"/>
  <c r="W96" i="163"/>
  <c r="W108" i="163"/>
  <c r="W55" i="163"/>
  <c r="W79" i="163"/>
  <c r="W91" i="163"/>
  <c r="W103" i="163"/>
  <c r="W98" i="163"/>
  <c r="W110" i="163"/>
  <c r="W116" i="163"/>
  <c r="W128" i="163"/>
  <c r="W140" i="163"/>
  <c r="W7" i="163"/>
  <c r="W19" i="163"/>
  <c r="W112" i="163"/>
  <c r="W123" i="163"/>
  <c r="W135" i="163"/>
  <c r="W147" i="163"/>
  <c r="W14" i="163"/>
  <c r="W26" i="163"/>
  <c r="W95" i="163"/>
  <c r="W118" i="163"/>
  <c r="W130" i="163"/>
  <c r="W142" i="163"/>
  <c r="W9" i="163"/>
  <c r="W21" i="163"/>
  <c r="W84" i="163"/>
  <c r="W115" i="163"/>
  <c r="W125" i="163"/>
  <c r="W137" i="163"/>
  <c r="W4" i="163"/>
  <c r="W16" i="163"/>
  <c r="W100" i="163"/>
  <c r="W120" i="163"/>
  <c r="W132" i="163"/>
  <c r="W144" i="163"/>
  <c r="W11" i="163"/>
  <c r="W23" i="163"/>
  <c r="W127" i="163"/>
  <c r="W139" i="163"/>
  <c r="W6" i="163"/>
  <c r="W18" i="163"/>
  <c r="W105" i="163"/>
  <c r="W122" i="163"/>
  <c r="W134" i="163"/>
  <c r="W146" i="163"/>
  <c r="W13" i="163"/>
  <c r="W25" i="163"/>
  <c r="W67" i="163"/>
  <c r="W117" i="163"/>
  <c r="W129" i="163"/>
  <c r="W141" i="163"/>
  <c r="W8" i="163"/>
  <c r="W20" i="163"/>
  <c r="W124" i="163"/>
  <c r="W136" i="163"/>
  <c r="W148" i="163"/>
  <c r="W15" i="163"/>
  <c r="W119" i="163"/>
  <c r="W22" i="163"/>
  <c r="W5" i="163"/>
  <c r="W107" i="163"/>
  <c r="W133" i="163"/>
  <c r="W131" i="163"/>
  <c r="W10" i="163"/>
  <c r="W27" i="163"/>
  <c r="W138" i="163"/>
  <c r="W17" i="163"/>
  <c r="W121" i="163"/>
  <c r="W24" i="163"/>
  <c r="W143" i="163"/>
  <c r="W126" i="163"/>
  <c r="W93" i="163"/>
  <c r="W145" i="163"/>
  <c r="W12" i="163"/>
  <c r="W3" i="163"/>
  <c r="W212" i="163"/>
  <c r="W208" i="163"/>
  <c r="W204" i="163"/>
  <c r="W213" i="163"/>
  <c r="W209" i="163"/>
  <c r="W205" i="163"/>
  <c r="W210" i="163"/>
  <c r="W200" i="163"/>
  <c r="W206" i="163"/>
  <c r="W202" i="163"/>
  <c r="W198" i="163"/>
  <c r="W194" i="163"/>
  <c r="W207" i="163"/>
  <c r="W199" i="163"/>
  <c r="W195" i="163"/>
  <c r="W203" i="163"/>
  <c r="W197" i="163"/>
  <c r="W189" i="163"/>
  <c r="W185" i="163"/>
  <c r="W181" i="163"/>
  <c r="W211" i="163"/>
  <c r="W201" i="163"/>
  <c r="W192" i="163"/>
  <c r="W190" i="163"/>
  <c r="W193" i="163"/>
  <c r="W191" i="163"/>
  <c r="W187" i="163"/>
  <c r="W183" i="163"/>
  <c r="W179" i="163"/>
  <c r="W196" i="163"/>
  <c r="W188" i="163"/>
  <c r="W184" i="163"/>
  <c r="W180" i="163"/>
  <c r="W176" i="163"/>
  <c r="W182" i="163"/>
  <c r="W178" i="163"/>
  <c r="W174" i="163"/>
  <c r="W170" i="163"/>
  <c r="W186" i="163"/>
  <c r="W175" i="163"/>
  <c r="W171" i="163"/>
  <c r="W167" i="163"/>
  <c r="W163" i="163"/>
  <c r="W172" i="163"/>
  <c r="W168" i="163"/>
  <c r="W164" i="163"/>
  <c r="W165" i="163"/>
  <c r="W159" i="163"/>
  <c r="W155" i="163"/>
  <c r="W151" i="163"/>
  <c r="W169" i="163"/>
  <c r="W166" i="163"/>
  <c r="W162" i="163"/>
  <c r="W160" i="163"/>
  <c r="W156" i="163"/>
  <c r="W152" i="163"/>
  <c r="W177" i="163"/>
  <c r="W173" i="163"/>
  <c r="W161" i="163"/>
  <c r="W157" i="163"/>
  <c r="W153" i="163"/>
  <c r="W150" i="163"/>
  <c r="W149" i="163"/>
  <c r="W154" i="163"/>
  <c r="W158" i="163"/>
  <c r="X1" i="163"/>
  <c r="T48" i="160"/>
  <c r="T31" i="160"/>
  <c r="X38" i="163" l="1"/>
  <c r="X33" i="163"/>
  <c r="X28" i="163"/>
  <c r="X40" i="163"/>
  <c r="X35" i="163"/>
  <c r="X30" i="163"/>
  <c r="X37" i="163"/>
  <c r="X32" i="163"/>
  <c r="X39" i="163"/>
  <c r="X34" i="163"/>
  <c r="X29" i="163"/>
  <c r="X50" i="163"/>
  <c r="X62" i="163"/>
  <c r="X45" i="163"/>
  <c r="X57" i="163"/>
  <c r="X52" i="163"/>
  <c r="X64" i="163"/>
  <c r="X47" i="163"/>
  <c r="X59" i="163"/>
  <c r="X42" i="163"/>
  <c r="X54" i="163"/>
  <c r="X31" i="163"/>
  <c r="X49" i="163"/>
  <c r="X61" i="163"/>
  <c r="X44" i="163"/>
  <c r="X56" i="163"/>
  <c r="X36" i="163"/>
  <c r="X51" i="163"/>
  <c r="X46" i="163"/>
  <c r="X58" i="163"/>
  <c r="X74" i="163"/>
  <c r="X86" i="163"/>
  <c r="X60" i="163"/>
  <c r="X69" i="163"/>
  <c r="X81" i="163"/>
  <c r="X43" i="163"/>
  <c r="X76" i="163"/>
  <c r="X88" i="163"/>
  <c r="X71" i="163"/>
  <c r="X83" i="163"/>
  <c r="X48" i="163"/>
  <c r="X63" i="163"/>
  <c r="X66" i="163"/>
  <c r="X78" i="163"/>
  <c r="X73" i="163"/>
  <c r="X85" i="163"/>
  <c r="X53" i="163"/>
  <c r="X68" i="163"/>
  <c r="X80" i="163"/>
  <c r="X75" i="163"/>
  <c r="X87" i="163"/>
  <c r="X70" i="163"/>
  <c r="X82" i="163"/>
  <c r="X95" i="163"/>
  <c r="X107" i="163"/>
  <c r="X72" i="163"/>
  <c r="X90" i="163"/>
  <c r="X102" i="163"/>
  <c r="X114" i="163"/>
  <c r="X97" i="163"/>
  <c r="X109" i="163"/>
  <c r="X41" i="163"/>
  <c r="X77" i="163"/>
  <c r="X92" i="163"/>
  <c r="X104" i="163"/>
  <c r="X99" i="163"/>
  <c r="X111" i="163"/>
  <c r="X94" i="163"/>
  <c r="X106" i="163"/>
  <c r="X65" i="163"/>
  <c r="X101" i="163"/>
  <c r="X113" i="163"/>
  <c r="X96" i="163"/>
  <c r="X108" i="163"/>
  <c r="X55" i="163"/>
  <c r="X79" i="163"/>
  <c r="X91" i="163"/>
  <c r="X103" i="163"/>
  <c r="X98" i="163"/>
  <c r="X121" i="163"/>
  <c r="X133" i="163"/>
  <c r="X145" i="163"/>
  <c r="X12" i="163"/>
  <c r="X24" i="163"/>
  <c r="X116" i="163"/>
  <c r="X128" i="163"/>
  <c r="X140" i="163"/>
  <c r="X7" i="163"/>
  <c r="X19" i="163"/>
  <c r="X112" i="163"/>
  <c r="X123" i="163"/>
  <c r="X135" i="163"/>
  <c r="X147" i="163"/>
  <c r="X14" i="163"/>
  <c r="X26" i="163"/>
  <c r="X89" i="163"/>
  <c r="X118" i="163"/>
  <c r="X130" i="163"/>
  <c r="X142" i="163"/>
  <c r="X9" i="163"/>
  <c r="X21" i="163"/>
  <c r="X84" i="163"/>
  <c r="X115" i="163"/>
  <c r="X125" i="163"/>
  <c r="X137" i="163"/>
  <c r="X4" i="163"/>
  <c r="X16" i="163"/>
  <c r="X100" i="163"/>
  <c r="X120" i="163"/>
  <c r="X132" i="163"/>
  <c r="X144" i="163"/>
  <c r="X11" i="163"/>
  <c r="X23" i="163"/>
  <c r="X127" i="163"/>
  <c r="X139" i="163"/>
  <c r="X6" i="163"/>
  <c r="X18" i="163"/>
  <c r="X105" i="163"/>
  <c r="X122" i="163"/>
  <c r="X134" i="163"/>
  <c r="X146" i="163"/>
  <c r="X13" i="163"/>
  <c r="X25" i="163"/>
  <c r="X67" i="163"/>
  <c r="X117" i="163"/>
  <c r="X129" i="163"/>
  <c r="X141" i="163"/>
  <c r="X8" i="163"/>
  <c r="X20" i="163"/>
  <c r="X136" i="163"/>
  <c r="X119" i="163"/>
  <c r="X22" i="163"/>
  <c r="X27" i="163"/>
  <c r="X5" i="163"/>
  <c r="X93" i="163"/>
  <c r="X124" i="163"/>
  <c r="X10" i="163"/>
  <c r="X148" i="163"/>
  <c r="X138" i="163"/>
  <c r="X131" i="163"/>
  <c r="X110" i="163"/>
  <c r="X15" i="163"/>
  <c r="X3" i="163"/>
  <c r="X143" i="163"/>
  <c r="X126" i="163"/>
  <c r="X17" i="163"/>
  <c r="X213" i="163"/>
  <c r="X209" i="163"/>
  <c r="X205" i="163"/>
  <c r="X210" i="163"/>
  <c r="X206" i="163"/>
  <c r="X211" i="163"/>
  <c r="X203" i="163"/>
  <c r="X201" i="163"/>
  <c r="X197" i="163"/>
  <c r="X207" i="163"/>
  <c r="X199" i="163"/>
  <c r="X195" i="163"/>
  <c r="X208" i="163"/>
  <c r="X200" i="163"/>
  <c r="X196" i="163"/>
  <c r="X192" i="163"/>
  <c r="X204" i="163"/>
  <c r="X198" i="163"/>
  <c r="X190" i="163"/>
  <c r="X186" i="163"/>
  <c r="X182" i="163"/>
  <c r="X212" i="163"/>
  <c r="X202" i="163"/>
  <c r="X193" i="163"/>
  <c r="X191" i="163"/>
  <c r="X194" i="163"/>
  <c r="X188" i="163"/>
  <c r="X184" i="163"/>
  <c r="X180" i="163"/>
  <c r="X176" i="163"/>
  <c r="X189" i="163"/>
  <c r="X185" i="163"/>
  <c r="X181" i="163"/>
  <c r="X177" i="163"/>
  <c r="X183" i="163"/>
  <c r="X175" i="163"/>
  <c r="X171" i="163"/>
  <c r="X187" i="163"/>
  <c r="X172" i="163"/>
  <c r="X168" i="163"/>
  <c r="X164" i="163"/>
  <c r="X173" i="163"/>
  <c r="X169" i="163"/>
  <c r="X165" i="163"/>
  <c r="X179" i="163"/>
  <c r="X166" i="163"/>
  <c r="X162" i="163"/>
  <c r="X160" i="163"/>
  <c r="X156" i="163"/>
  <c r="X152" i="163"/>
  <c r="X170" i="163"/>
  <c r="X167" i="163"/>
  <c r="X163" i="163"/>
  <c r="X161" i="163"/>
  <c r="X157" i="163"/>
  <c r="X153" i="163"/>
  <c r="X178" i="163"/>
  <c r="X174" i="163"/>
  <c r="X158" i="163"/>
  <c r="X154" i="163"/>
  <c r="X150" i="163"/>
  <c r="X149" i="163"/>
  <c r="X151" i="163"/>
  <c r="X155" i="163"/>
  <c r="X159" i="163"/>
  <c r="Y1" i="163"/>
  <c r="T47" i="160"/>
  <c r="Y31" i="163" l="1"/>
  <c r="Y38" i="163"/>
  <c r="Y33" i="163"/>
  <c r="Y28" i="163"/>
  <c r="Y35" i="163"/>
  <c r="Y30" i="163"/>
  <c r="Y37" i="163"/>
  <c r="Y32" i="163"/>
  <c r="Y39" i="163"/>
  <c r="Y43" i="163"/>
  <c r="Y55" i="163"/>
  <c r="Y29" i="163"/>
  <c r="Y50" i="163"/>
  <c r="Y62" i="163"/>
  <c r="Y45" i="163"/>
  <c r="Y57" i="163"/>
  <c r="Y34" i="163"/>
  <c r="Y52" i="163"/>
  <c r="Y64" i="163"/>
  <c r="Y40" i="163"/>
  <c r="Y47" i="163"/>
  <c r="Y59" i="163"/>
  <c r="Y42" i="163"/>
  <c r="Y54" i="163"/>
  <c r="Y49" i="163"/>
  <c r="Y61" i="163"/>
  <c r="Y44" i="163"/>
  <c r="Y56" i="163"/>
  <c r="Y36" i="163"/>
  <c r="Y51" i="163"/>
  <c r="Y63" i="163"/>
  <c r="Y46" i="163"/>
  <c r="Y67" i="163"/>
  <c r="Y79" i="163"/>
  <c r="Y74" i="163"/>
  <c r="Y86" i="163"/>
  <c r="Y60" i="163"/>
  <c r="Y69" i="163"/>
  <c r="Y81" i="163"/>
  <c r="Y76" i="163"/>
  <c r="Y88" i="163"/>
  <c r="Y71" i="163"/>
  <c r="Y83" i="163"/>
  <c r="Y48" i="163"/>
  <c r="Y66" i="163"/>
  <c r="Y78" i="163"/>
  <c r="Y73" i="163"/>
  <c r="Y85" i="163"/>
  <c r="Y53" i="163"/>
  <c r="Y68" i="163"/>
  <c r="Y80" i="163"/>
  <c r="Y75" i="163"/>
  <c r="Y87" i="163"/>
  <c r="Y58" i="163"/>
  <c r="Y100" i="163"/>
  <c r="Y112" i="163"/>
  <c r="Y95" i="163"/>
  <c r="Y107" i="163"/>
  <c r="Y72" i="163"/>
  <c r="Y90" i="163"/>
  <c r="Y102" i="163"/>
  <c r="Y114" i="163"/>
  <c r="Y97" i="163"/>
  <c r="Y109" i="163"/>
  <c r="Y41" i="163"/>
  <c r="Y77" i="163"/>
  <c r="Y92" i="163"/>
  <c r="Y104" i="163"/>
  <c r="Y99" i="163"/>
  <c r="Y111" i="163"/>
  <c r="Y82" i="163"/>
  <c r="Y94" i="163"/>
  <c r="Y106" i="163"/>
  <c r="Y65" i="163"/>
  <c r="Y101" i="163"/>
  <c r="Y113" i="163"/>
  <c r="Y96" i="163"/>
  <c r="Y108" i="163"/>
  <c r="Y70" i="163"/>
  <c r="Y126" i="163"/>
  <c r="Y138" i="163"/>
  <c r="Y5" i="163"/>
  <c r="Y17" i="163"/>
  <c r="Y98" i="163"/>
  <c r="Y121" i="163"/>
  <c r="Y133" i="163"/>
  <c r="Y145" i="163"/>
  <c r="Y12" i="163"/>
  <c r="Y24" i="163"/>
  <c r="Y116" i="163"/>
  <c r="Y128" i="163"/>
  <c r="Y140" i="163"/>
  <c r="Y7" i="163"/>
  <c r="Y19" i="163"/>
  <c r="Y103" i="163"/>
  <c r="Y123" i="163"/>
  <c r="Y135" i="163"/>
  <c r="Y147" i="163"/>
  <c r="Y14" i="163"/>
  <c r="Y26" i="163"/>
  <c r="Y89" i="163"/>
  <c r="Y118" i="163"/>
  <c r="Y130" i="163"/>
  <c r="Y142" i="163"/>
  <c r="Y9" i="163"/>
  <c r="Y21" i="163"/>
  <c r="Y84" i="163"/>
  <c r="Y115" i="163"/>
  <c r="Y125" i="163"/>
  <c r="Y137" i="163"/>
  <c r="Y4" i="163"/>
  <c r="Y16" i="163"/>
  <c r="Y91" i="163"/>
  <c r="Y120" i="163"/>
  <c r="Y132" i="163"/>
  <c r="Y144" i="163"/>
  <c r="Y11" i="163"/>
  <c r="Y23" i="163"/>
  <c r="Y127" i="163"/>
  <c r="Y139" i="163"/>
  <c r="Y6" i="163"/>
  <c r="Y18" i="163"/>
  <c r="Y105" i="163"/>
  <c r="Y122" i="163"/>
  <c r="Y134" i="163"/>
  <c r="Y146" i="163"/>
  <c r="Y13" i="163"/>
  <c r="Y25" i="163"/>
  <c r="Y8" i="163"/>
  <c r="Y136" i="163"/>
  <c r="Y119" i="163"/>
  <c r="Y22" i="163"/>
  <c r="Y141" i="163"/>
  <c r="Y124" i="163"/>
  <c r="Y27" i="163"/>
  <c r="Y10" i="163"/>
  <c r="Y129" i="163"/>
  <c r="Y20" i="163"/>
  <c r="Y110" i="163"/>
  <c r="Y15" i="163"/>
  <c r="Y131" i="163"/>
  <c r="Y3" i="163"/>
  <c r="Y143" i="163"/>
  <c r="Y117" i="163"/>
  <c r="Y148" i="163"/>
  <c r="Y93" i="163"/>
  <c r="Y210" i="163"/>
  <c r="Y206" i="163"/>
  <c r="Y211" i="163"/>
  <c r="Y207" i="163"/>
  <c r="Y203" i="163"/>
  <c r="Y212" i="163"/>
  <c r="Y204" i="163"/>
  <c r="Y202" i="163"/>
  <c r="Y198" i="163"/>
  <c r="Y208" i="163"/>
  <c r="Y200" i="163"/>
  <c r="Y196" i="163"/>
  <c r="Y192" i="163"/>
  <c r="Y209" i="163"/>
  <c r="Y201" i="163"/>
  <c r="Y197" i="163"/>
  <c r="Y193" i="163"/>
  <c r="Y205" i="163"/>
  <c r="Y199" i="163"/>
  <c r="Y191" i="163"/>
  <c r="Y187" i="163"/>
  <c r="Y183" i="163"/>
  <c r="Y179" i="163"/>
  <c r="Y213" i="163"/>
  <c r="Y194" i="163"/>
  <c r="Y188" i="163"/>
  <c r="Y195" i="163"/>
  <c r="Y189" i="163"/>
  <c r="Y185" i="163"/>
  <c r="Y181" i="163"/>
  <c r="Y177" i="163"/>
  <c r="Y190" i="163"/>
  <c r="Y186" i="163"/>
  <c r="Y182" i="163"/>
  <c r="Y178" i="163"/>
  <c r="Y184" i="163"/>
  <c r="Y172" i="163"/>
  <c r="Y173" i="163"/>
  <c r="Y169" i="163"/>
  <c r="Y165" i="163"/>
  <c r="Y176" i="163"/>
  <c r="Y174" i="163"/>
  <c r="Y170" i="163"/>
  <c r="Y166" i="163"/>
  <c r="Y164" i="163"/>
  <c r="Y162" i="163"/>
  <c r="Y160" i="163"/>
  <c r="Y167" i="163"/>
  <c r="Y163" i="163"/>
  <c r="Y161" i="163"/>
  <c r="Y157" i="163"/>
  <c r="Y153" i="163"/>
  <c r="Y171" i="163"/>
  <c r="Y168" i="163"/>
  <c r="Y158" i="163"/>
  <c r="Y154" i="163"/>
  <c r="Y150" i="163"/>
  <c r="Y149" i="163"/>
  <c r="Y180" i="163"/>
  <c r="Y175" i="163"/>
  <c r="Y159" i="163"/>
  <c r="Y155" i="163"/>
  <c r="Y151" i="163"/>
  <c r="Y152" i="163"/>
  <c r="Y156" i="163"/>
  <c r="Z1" i="163"/>
  <c r="T22" i="160"/>
  <c r="Z36" i="163" l="1"/>
  <c r="Z31" i="163"/>
  <c r="Z38" i="163"/>
  <c r="Z33" i="163"/>
  <c r="Z28" i="163"/>
  <c r="Z35" i="163"/>
  <c r="Z30" i="163"/>
  <c r="Z37" i="163"/>
  <c r="Z32" i="163"/>
  <c r="Z48" i="163"/>
  <c r="Z60" i="163"/>
  <c r="Z43" i="163"/>
  <c r="Z55" i="163"/>
  <c r="Z29" i="163"/>
  <c r="Z50" i="163"/>
  <c r="Z62" i="163"/>
  <c r="Z45" i="163"/>
  <c r="Z57" i="163"/>
  <c r="Z34" i="163"/>
  <c r="Z52" i="163"/>
  <c r="Z40" i="163"/>
  <c r="Z47" i="163"/>
  <c r="Z59" i="163"/>
  <c r="Z39" i="163"/>
  <c r="Z42" i="163"/>
  <c r="Z54" i="163"/>
  <c r="Z49" i="163"/>
  <c r="Z61" i="163"/>
  <c r="Z44" i="163"/>
  <c r="Z56" i="163"/>
  <c r="Z72" i="163"/>
  <c r="Z84" i="163"/>
  <c r="Z46" i="163"/>
  <c r="Z67" i="163"/>
  <c r="Z79" i="163"/>
  <c r="Z74" i="163"/>
  <c r="Z86" i="163"/>
  <c r="Z51" i="163"/>
  <c r="Z69" i="163"/>
  <c r="Z81" i="163"/>
  <c r="Z76" i="163"/>
  <c r="Z88" i="163"/>
  <c r="Z63" i="163"/>
  <c r="Z71" i="163"/>
  <c r="Z83" i="163"/>
  <c r="Z64" i="163"/>
  <c r="Z66" i="163"/>
  <c r="Z78" i="163"/>
  <c r="Z73" i="163"/>
  <c r="Z85" i="163"/>
  <c r="Z53" i="163"/>
  <c r="Z68" i="163"/>
  <c r="Z80" i="163"/>
  <c r="Z75" i="163"/>
  <c r="Z93" i="163"/>
  <c r="Z105" i="163"/>
  <c r="Z58" i="163"/>
  <c r="Z100" i="163"/>
  <c r="Z112" i="163"/>
  <c r="Z95" i="163"/>
  <c r="Z107" i="163"/>
  <c r="Z90" i="163"/>
  <c r="Z102" i="163"/>
  <c r="Z114" i="163"/>
  <c r="Z97" i="163"/>
  <c r="Z109" i="163"/>
  <c r="Z41" i="163"/>
  <c r="Z77" i="163"/>
  <c r="Z92" i="163"/>
  <c r="Z104" i="163"/>
  <c r="Z99" i="163"/>
  <c r="Z111" i="163"/>
  <c r="Z82" i="163"/>
  <c r="Z94" i="163"/>
  <c r="Z106" i="163"/>
  <c r="Z65" i="163"/>
  <c r="Z101" i="163"/>
  <c r="Z113" i="163"/>
  <c r="Z119" i="163"/>
  <c r="Z131" i="163"/>
  <c r="Z143" i="163"/>
  <c r="Z10" i="163"/>
  <c r="Z22" i="163"/>
  <c r="Z70" i="163"/>
  <c r="Z126" i="163"/>
  <c r="Z138" i="163"/>
  <c r="Z5" i="163"/>
  <c r="Z17" i="163"/>
  <c r="Z98" i="163"/>
  <c r="Z121" i="163"/>
  <c r="Z133" i="163"/>
  <c r="Z145" i="163"/>
  <c r="Z12" i="163"/>
  <c r="Z24" i="163"/>
  <c r="Z116" i="163"/>
  <c r="Z128" i="163"/>
  <c r="Z140" i="163"/>
  <c r="Z7" i="163"/>
  <c r="Z19" i="163"/>
  <c r="Z103" i="163"/>
  <c r="Z123" i="163"/>
  <c r="Z135" i="163"/>
  <c r="Z147" i="163"/>
  <c r="Z14" i="163"/>
  <c r="Z26" i="163"/>
  <c r="Z89" i="163"/>
  <c r="Z118" i="163"/>
  <c r="Z130" i="163"/>
  <c r="Z142" i="163"/>
  <c r="Z9" i="163"/>
  <c r="Z21" i="163"/>
  <c r="Z108" i="163"/>
  <c r="Z115" i="163"/>
  <c r="Z125" i="163"/>
  <c r="Z137" i="163"/>
  <c r="Z4" i="163"/>
  <c r="Z16" i="163"/>
  <c r="Z91" i="163"/>
  <c r="Z120" i="163"/>
  <c r="Z132" i="163"/>
  <c r="Z144" i="163"/>
  <c r="Z11" i="163"/>
  <c r="Z23" i="163"/>
  <c r="Z127" i="163"/>
  <c r="Z139" i="163"/>
  <c r="Z6" i="163"/>
  <c r="Z18" i="163"/>
  <c r="Z87" i="163"/>
  <c r="Z122" i="163"/>
  <c r="Z25" i="163"/>
  <c r="Z3" i="163"/>
  <c r="Z8" i="163"/>
  <c r="Z136" i="163"/>
  <c r="Z134" i="163"/>
  <c r="Z96" i="163"/>
  <c r="Z13" i="163"/>
  <c r="Z141" i="163"/>
  <c r="Z117" i="163"/>
  <c r="Z124" i="163"/>
  <c r="Z146" i="163"/>
  <c r="Z27" i="163"/>
  <c r="Z20" i="163"/>
  <c r="Z148" i="163"/>
  <c r="Z129" i="163"/>
  <c r="Z110" i="163"/>
  <c r="Z15" i="163"/>
  <c r="Z211" i="163"/>
  <c r="Z207" i="163"/>
  <c r="Z203" i="163"/>
  <c r="Z212" i="163"/>
  <c r="Z208" i="163"/>
  <c r="Z204" i="163"/>
  <c r="Z213" i="163"/>
  <c r="Z205" i="163"/>
  <c r="Z199" i="163"/>
  <c r="Z209" i="163"/>
  <c r="Z201" i="163"/>
  <c r="Z197" i="163"/>
  <c r="Z193" i="163"/>
  <c r="Z210" i="163"/>
  <c r="Z202" i="163"/>
  <c r="Z198" i="163"/>
  <c r="Z194" i="163"/>
  <c r="Z206" i="163"/>
  <c r="Z200" i="163"/>
  <c r="Z192" i="163"/>
  <c r="Z188" i="163"/>
  <c r="Z184" i="163"/>
  <c r="Z180" i="163"/>
  <c r="Z195" i="163"/>
  <c r="Z189" i="163"/>
  <c r="Z196" i="163"/>
  <c r="Z190" i="163"/>
  <c r="Z186" i="163"/>
  <c r="Z182" i="163"/>
  <c r="Z178" i="163"/>
  <c r="Z191" i="163"/>
  <c r="Z187" i="163"/>
  <c r="Z183" i="163"/>
  <c r="Z179" i="163"/>
  <c r="Z185" i="163"/>
  <c r="Z173" i="163"/>
  <c r="Z169" i="163"/>
  <c r="Z176" i="163"/>
  <c r="Z174" i="163"/>
  <c r="Z170" i="163"/>
  <c r="Z166" i="163"/>
  <c r="Z162" i="163"/>
  <c r="Z177" i="163"/>
  <c r="Z175" i="163"/>
  <c r="Z171" i="163"/>
  <c r="Z167" i="163"/>
  <c r="Z165" i="163"/>
  <c r="Z163" i="163"/>
  <c r="Z161" i="163"/>
  <c r="Z181" i="163"/>
  <c r="Z168" i="163"/>
  <c r="Z158" i="163"/>
  <c r="Z154" i="163"/>
  <c r="Z150" i="163"/>
  <c r="Z172" i="163"/>
  <c r="Z159" i="163"/>
  <c r="Z155" i="163"/>
  <c r="Z151" i="163"/>
  <c r="Z164" i="163"/>
  <c r="Z160" i="163"/>
  <c r="Z156" i="163"/>
  <c r="Z152" i="163"/>
  <c r="Z153" i="163"/>
  <c r="Z157" i="163"/>
  <c r="Z149" i="163"/>
  <c r="AA1" i="163"/>
  <c r="T18" i="160"/>
  <c r="AA29" i="163" l="1"/>
  <c r="AA36" i="163"/>
  <c r="AA31" i="163"/>
  <c r="AA38" i="163"/>
  <c r="AA33" i="163"/>
  <c r="AA28" i="163"/>
  <c r="AA35" i="163"/>
  <c r="AA30" i="163"/>
  <c r="AA37" i="163"/>
  <c r="AA32" i="163"/>
  <c r="AA41" i="163"/>
  <c r="AA53" i="163"/>
  <c r="AA48" i="163"/>
  <c r="AA60" i="163"/>
  <c r="AA43" i="163"/>
  <c r="AA55" i="163"/>
  <c r="AA50" i="163"/>
  <c r="AA62" i="163"/>
  <c r="AA45" i="163"/>
  <c r="AA57" i="163"/>
  <c r="AA34" i="163"/>
  <c r="AA52" i="163"/>
  <c r="AA64" i="163"/>
  <c r="AA40" i="163"/>
  <c r="AA47" i="163"/>
  <c r="AA59" i="163"/>
  <c r="AA39" i="163"/>
  <c r="AA42" i="163"/>
  <c r="AA54" i="163"/>
  <c r="AA49" i="163"/>
  <c r="AA61" i="163"/>
  <c r="AA65" i="163"/>
  <c r="AA77" i="163"/>
  <c r="AA72" i="163"/>
  <c r="AA84" i="163"/>
  <c r="AA46" i="163"/>
  <c r="AA67" i="163"/>
  <c r="AA79" i="163"/>
  <c r="AA74" i="163"/>
  <c r="AA86" i="163"/>
  <c r="AA51" i="163"/>
  <c r="AA69" i="163"/>
  <c r="AA81" i="163"/>
  <c r="AA76" i="163"/>
  <c r="AA56" i="163"/>
  <c r="AA63" i="163"/>
  <c r="AA71" i="163"/>
  <c r="AA83" i="163"/>
  <c r="AA66" i="163"/>
  <c r="AA78" i="163"/>
  <c r="AA73" i="163"/>
  <c r="AA85" i="163"/>
  <c r="AA89" i="163"/>
  <c r="AA98" i="163"/>
  <c r="AA110" i="163"/>
  <c r="AA75" i="163"/>
  <c r="AA93" i="163"/>
  <c r="AA105" i="163"/>
  <c r="AA58" i="163"/>
  <c r="AA100" i="163"/>
  <c r="AA112" i="163"/>
  <c r="AA80" i="163"/>
  <c r="AA95" i="163"/>
  <c r="AA107" i="163"/>
  <c r="AA90" i="163"/>
  <c r="AA102" i="163"/>
  <c r="AA97" i="163"/>
  <c r="AA109" i="163"/>
  <c r="AA68" i="163"/>
  <c r="AA92" i="163"/>
  <c r="AA104" i="163"/>
  <c r="AA99" i="163"/>
  <c r="AA111" i="163"/>
  <c r="AA82" i="163"/>
  <c r="AA94" i="163"/>
  <c r="AA106" i="163"/>
  <c r="AA88" i="163"/>
  <c r="AA101" i="163"/>
  <c r="AA124" i="163"/>
  <c r="AA136" i="163"/>
  <c r="AA148" i="163"/>
  <c r="AA15" i="163"/>
  <c r="AA119" i="163"/>
  <c r="AA131" i="163"/>
  <c r="AA143" i="163"/>
  <c r="AA10" i="163"/>
  <c r="AA22" i="163"/>
  <c r="AA70" i="163"/>
  <c r="AA126" i="163"/>
  <c r="AA138" i="163"/>
  <c r="AA5" i="163"/>
  <c r="AA17" i="163"/>
  <c r="AA44" i="163"/>
  <c r="AA121" i="163"/>
  <c r="AA133" i="163"/>
  <c r="AA145" i="163"/>
  <c r="AA12" i="163"/>
  <c r="AA24" i="163"/>
  <c r="AA116" i="163"/>
  <c r="AA128" i="163"/>
  <c r="AA140" i="163"/>
  <c r="AA7" i="163"/>
  <c r="AA19" i="163"/>
  <c r="AA103" i="163"/>
  <c r="AA123" i="163"/>
  <c r="AA135" i="163"/>
  <c r="AA147" i="163"/>
  <c r="AA14" i="163"/>
  <c r="AA26" i="163"/>
  <c r="AA118" i="163"/>
  <c r="AA130" i="163"/>
  <c r="AA142" i="163"/>
  <c r="AA9" i="163"/>
  <c r="AA21" i="163"/>
  <c r="AA108" i="163"/>
  <c r="AA115" i="163"/>
  <c r="AA125" i="163"/>
  <c r="AA137" i="163"/>
  <c r="AA4" i="163"/>
  <c r="AA16" i="163"/>
  <c r="AA91" i="163"/>
  <c r="AA120" i="163"/>
  <c r="AA132" i="163"/>
  <c r="AA144" i="163"/>
  <c r="AA11" i="163"/>
  <c r="AA23" i="163"/>
  <c r="AA113" i="163"/>
  <c r="AA139" i="163"/>
  <c r="AA20" i="163"/>
  <c r="AA87" i="163"/>
  <c r="AA122" i="163"/>
  <c r="AA25" i="163"/>
  <c r="AA3" i="163"/>
  <c r="AA13" i="163"/>
  <c r="AA6" i="163"/>
  <c r="AA8" i="163"/>
  <c r="AA127" i="163"/>
  <c r="AA134" i="163"/>
  <c r="AA96" i="163"/>
  <c r="AA27" i="163"/>
  <c r="AA114" i="163"/>
  <c r="AA141" i="163"/>
  <c r="AA18" i="163"/>
  <c r="AA146" i="163"/>
  <c r="AA117" i="163"/>
  <c r="AA129" i="163"/>
  <c r="AA212" i="163"/>
  <c r="AA208" i="163"/>
  <c r="AA204" i="163"/>
  <c r="AA213" i="163"/>
  <c r="AA209" i="163"/>
  <c r="AA205" i="163"/>
  <c r="AA206" i="163"/>
  <c r="AA200" i="163"/>
  <c r="AA210" i="163"/>
  <c r="AA202" i="163"/>
  <c r="AA198" i="163"/>
  <c r="AA194" i="163"/>
  <c r="AA211" i="163"/>
  <c r="AA203" i="163"/>
  <c r="AA199" i="163"/>
  <c r="AA195" i="163"/>
  <c r="AA207" i="163"/>
  <c r="AA201" i="163"/>
  <c r="AA193" i="163"/>
  <c r="AA189" i="163"/>
  <c r="AA185" i="163"/>
  <c r="AA181" i="163"/>
  <c r="AA196" i="163"/>
  <c r="AA190" i="163"/>
  <c r="AA191" i="163"/>
  <c r="AA187" i="163"/>
  <c r="AA183" i="163"/>
  <c r="AA179" i="163"/>
  <c r="AA197" i="163"/>
  <c r="AA192" i="163"/>
  <c r="AA188" i="163"/>
  <c r="AA184" i="163"/>
  <c r="AA180" i="163"/>
  <c r="AA176" i="163"/>
  <c r="AA186" i="163"/>
  <c r="AA174" i="163"/>
  <c r="AA170" i="163"/>
  <c r="AA177" i="163"/>
  <c r="AA175" i="163"/>
  <c r="AA171" i="163"/>
  <c r="AA167" i="163"/>
  <c r="AA163" i="163"/>
  <c r="AA178" i="163"/>
  <c r="AA172" i="163"/>
  <c r="AA168" i="163"/>
  <c r="AA164" i="163"/>
  <c r="AA166" i="163"/>
  <c r="AA169" i="163"/>
  <c r="AA159" i="163"/>
  <c r="AA155" i="163"/>
  <c r="AA151" i="163"/>
  <c r="AA173" i="163"/>
  <c r="AA160" i="163"/>
  <c r="AA156" i="163"/>
  <c r="AA152" i="163"/>
  <c r="AA182" i="163"/>
  <c r="AA165" i="163"/>
  <c r="AA162" i="163"/>
  <c r="AA161" i="163"/>
  <c r="AA157" i="163"/>
  <c r="AA153" i="163"/>
  <c r="AA154" i="163"/>
  <c r="AA158" i="163"/>
  <c r="AA149" i="163"/>
  <c r="AA150" i="163"/>
  <c r="AB1" i="163"/>
  <c r="B73" i="158"/>
  <c r="B74" i="158"/>
  <c r="B70" i="158"/>
  <c r="AB34" i="163" l="1"/>
  <c r="AB29" i="163"/>
  <c r="AB36" i="163"/>
  <c r="AB31" i="163"/>
  <c r="AB38" i="163"/>
  <c r="AB33" i="163"/>
  <c r="AB28" i="163"/>
  <c r="AB40" i="163"/>
  <c r="AB35" i="163"/>
  <c r="AB30" i="163"/>
  <c r="AB46" i="163"/>
  <c r="AB58" i="163"/>
  <c r="AB32" i="163"/>
  <c r="AB41" i="163"/>
  <c r="AB53" i="163"/>
  <c r="AB48" i="163"/>
  <c r="AB60" i="163"/>
  <c r="AB37" i="163"/>
  <c r="AB43" i="163"/>
  <c r="AB55" i="163"/>
  <c r="AB50" i="163"/>
  <c r="AB45" i="163"/>
  <c r="AB57" i="163"/>
  <c r="AB52" i="163"/>
  <c r="AB64" i="163"/>
  <c r="AB47" i="163"/>
  <c r="AB59" i="163"/>
  <c r="AB39" i="163"/>
  <c r="AB42" i="163"/>
  <c r="AB54" i="163"/>
  <c r="AB49" i="163"/>
  <c r="AB70" i="163"/>
  <c r="AB82" i="163"/>
  <c r="AB65" i="163"/>
  <c r="AB77" i="163"/>
  <c r="AB89" i="163"/>
  <c r="AB72" i="163"/>
  <c r="AB84" i="163"/>
  <c r="AB67" i="163"/>
  <c r="AB79" i="163"/>
  <c r="AB74" i="163"/>
  <c r="AB86" i="163"/>
  <c r="AB51" i="163"/>
  <c r="AB69" i="163"/>
  <c r="AB81" i="163"/>
  <c r="AB62" i="163"/>
  <c r="AB76" i="163"/>
  <c r="AB88" i="163"/>
  <c r="AB56" i="163"/>
  <c r="AB63" i="163"/>
  <c r="AB71" i="163"/>
  <c r="AB83" i="163"/>
  <c r="AB66" i="163"/>
  <c r="AB78" i="163"/>
  <c r="AB91" i="163"/>
  <c r="AB103" i="163"/>
  <c r="AB115" i="163"/>
  <c r="AB98" i="163"/>
  <c r="AB110" i="163"/>
  <c r="AB75" i="163"/>
  <c r="AB93" i="163"/>
  <c r="AB105" i="163"/>
  <c r="AB100" i="163"/>
  <c r="AB112" i="163"/>
  <c r="AB80" i="163"/>
  <c r="AB95" i="163"/>
  <c r="AB107" i="163"/>
  <c r="AB90" i="163"/>
  <c r="AB102" i="163"/>
  <c r="AB61" i="163"/>
  <c r="AB85" i="163"/>
  <c r="AB97" i="163"/>
  <c r="AB109" i="163"/>
  <c r="AB68" i="163"/>
  <c r="AB92" i="163"/>
  <c r="AB104" i="163"/>
  <c r="AB99" i="163"/>
  <c r="AB111" i="163"/>
  <c r="AB114" i="163"/>
  <c r="AB117" i="163"/>
  <c r="AB129" i="163"/>
  <c r="AB141" i="163"/>
  <c r="AB8" i="163"/>
  <c r="AB20" i="163"/>
  <c r="AB101" i="163"/>
  <c r="AB124" i="163"/>
  <c r="AB136" i="163"/>
  <c r="AB148" i="163"/>
  <c r="AB15" i="163"/>
  <c r="AB119" i="163"/>
  <c r="AB131" i="163"/>
  <c r="AB143" i="163"/>
  <c r="AB10" i="163"/>
  <c r="AB22" i="163"/>
  <c r="AB106" i="163"/>
  <c r="AB126" i="163"/>
  <c r="AB138" i="163"/>
  <c r="AB5" i="163"/>
  <c r="AB17" i="163"/>
  <c r="AB44" i="163"/>
  <c r="AB121" i="163"/>
  <c r="AB133" i="163"/>
  <c r="AB145" i="163"/>
  <c r="AB12" i="163"/>
  <c r="AB24" i="163"/>
  <c r="AB116" i="163"/>
  <c r="AB128" i="163"/>
  <c r="AB140" i="163"/>
  <c r="AB7" i="163"/>
  <c r="AB19" i="163"/>
  <c r="AB73" i="163"/>
  <c r="AB94" i="163"/>
  <c r="AB123" i="163"/>
  <c r="AB135" i="163"/>
  <c r="AB147" i="163"/>
  <c r="AB14" i="163"/>
  <c r="AB26" i="163"/>
  <c r="AB118" i="163"/>
  <c r="AB130" i="163"/>
  <c r="AB142" i="163"/>
  <c r="AB9" i="163"/>
  <c r="AB21" i="163"/>
  <c r="AB108" i="163"/>
  <c r="AB125" i="163"/>
  <c r="AB137" i="163"/>
  <c r="AB4" i="163"/>
  <c r="AB16" i="163"/>
  <c r="AB11" i="163"/>
  <c r="AB3" i="163"/>
  <c r="AB113" i="163"/>
  <c r="AB139" i="163"/>
  <c r="AB25" i="163"/>
  <c r="AB6" i="163"/>
  <c r="AB87" i="163"/>
  <c r="AB122" i="163"/>
  <c r="AB27" i="163"/>
  <c r="AB144" i="163"/>
  <c r="AB127" i="163"/>
  <c r="AB120" i="163"/>
  <c r="AB134" i="163"/>
  <c r="AB96" i="163"/>
  <c r="AB13" i="163"/>
  <c r="AB132" i="163"/>
  <c r="AB18" i="163"/>
  <c r="AB146" i="163"/>
  <c r="AB23" i="163"/>
  <c r="AB213" i="163"/>
  <c r="AB209" i="163"/>
  <c r="AB205" i="163"/>
  <c r="AB210" i="163"/>
  <c r="AB206" i="163"/>
  <c r="AB207" i="163"/>
  <c r="AB201" i="163"/>
  <c r="AB197" i="163"/>
  <c r="AB211" i="163"/>
  <c r="AB203" i="163"/>
  <c r="AB199" i="163"/>
  <c r="AB195" i="163"/>
  <c r="AB212" i="163"/>
  <c r="AB204" i="163"/>
  <c r="AB200" i="163"/>
  <c r="AB196" i="163"/>
  <c r="AB192" i="163"/>
  <c r="AB208" i="163"/>
  <c r="AB202" i="163"/>
  <c r="AB194" i="163"/>
  <c r="AB190" i="163"/>
  <c r="AB186" i="163"/>
  <c r="AB182" i="163"/>
  <c r="AB178" i="163"/>
  <c r="AB191" i="163"/>
  <c r="AB188" i="163"/>
  <c r="AB184" i="163"/>
  <c r="AB180" i="163"/>
  <c r="AB176" i="163"/>
  <c r="AB198" i="163"/>
  <c r="AB193" i="163"/>
  <c r="AB189" i="163"/>
  <c r="AB185" i="163"/>
  <c r="AB181" i="163"/>
  <c r="AB177" i="163"/>
  <c r="AB187" i="163"/>
  <c r="AB175" i="163"/>
  <c r="AB171" i="163"/>
  <c r="AB172" i="163"/>
  <c r="AB168" i="163"/>
  <c r="AB164" i="163"/>
  <c r="AB179" i="163"/>
  <c r="AB173" i="163"/>
  <c r="AB169" i="163"/>
  <c r="AB165" i="163"/>
  <c r="AB167" i="163"/>
  <c r="AB183" i="163"/>
  <c r="AB170" i="163"/>
  <c r="AB160" i="163"/>
  <c r="AB156" i="163"/>
  <c r="AB152" i="163"/>
  <c r="AB174" i="163"/>
  <c r="AB162" i="163"/>
  <c r="AB161" i="163"/>
  <c r="AB157" i="163"/>
  <c r="AB153" i="163"/>
  <c r="AB166" i="163"/>
  <c r="AB163" i="163"/>
  <c r="AB158" i="163"/>
  <c r="AB154" i="163"/>
  <c r="AB150" i="163"/>
  <c r="AB149" i="163"/>
  <c r="AB155" i="163"/>
  <c r="AB159" i="163"/>
  <c r="AB151" i="163"/>
  <c r="AC1" i="163"/>
  <c r="T14" i="160"/>
  <c r="T15" i="160"/>
  <c r="AC39" i="163" l="1"/>
  <c r="AC34" i="163"/>
  <c r="AC29" i="163"/>
  <c r="AC36" i="163"/>
  <c r="AC31" i="163"/>
  <c r="AC38" i="163"/>
  <c r="AC33" i="163"/>
  <c r="AC28" i="163"/>
  <c r="AC35" i="163"/>
  <c r="AC51" i="163"/>
  <c r="AC63" i="163"/>
  <c r="AC46" i="163"/>
  <c r="AC58" i="163"/>
  <c r="AC32" i="163"/>
  <c r="AC41" i="163"/>
  <c r="AC53" i="163"/>
  <c r="AC48" i="163"/>
  <c r="AC60" i="163"/>
  <c r="AC37" i="163"/>
  <c r="AC43" i="163"/>
  <c r="AC55" i="163"/>
  <c r="AC50" i="163"/>
  <c r="AC62" i="163"/>
  <c r="AC45" i="163"/>
  <c r="AC57" i="163"/>
  <c r="AC40" i="163"/>
  <c r="AC52" i="163"/>
  <c r="AC47" i="163"/>
  <c r="AC59" i="163"/>
  <c r="AC75" i="163"/>
  <c r="AC87" i="163"/>
  <c r="AC49" i="163"/>
  <c r="AC70" i="163"/>
  <c r="AC82" i="163"/>
  <c r="AC65" i="163"/>
  <c r="AC77" i="163"/>
  <c r="AC89" i="163"/>
  <c r="AC54" i="163"/>
  <c r="AC72" i="163"/>
  <c r="AC84" i="163"/>
  <c r="AC67" i="163"/>
  <c r="AC79" i="163"/>
  <c r="AC74" i="163"/>
  <c r="AC86" i="163"/>
  <c r="AC30" i="163"/>
  <c r="AC42" i="163"/>
  <c r="AC69" i="163"/>
  <c r="AC81" i="163"/>
  <c r="AC64" i="163"/>
  <c r="AC76" i="163"/>
  <c r="AC56" i="163"/>
  <c r="AC71" i="163"/>
  <c r="AC83" i="163"/>
  <c r="AC78" i="163"/>
  <c r="AC96" i="163"/>
  <c r="AC108" i="163"/>
  <c r="AC91" i="163"/>
  <c r="AC103" i="163"/>
  <c r="AC115" i="163"/>
  <c r="AC98" i="163"/>
  <c r="AC110" i="163"/>
  <c r="AC66" i="163"/>
  <c r="AC93" i="163"/>
  <c r="AC105" i="163"/>
  <c r="AC100" i="163"/>
  <c r="AC112" i="163"/>
  <c r="AC80" i="163"/>
  <c r="AC95" i="163"/>
  <c r="AC107" i="163"/>
  <c r="AC90" i="163"/>
  <c r="AC102" i="163"/>
  <c r="AC114" i="163"/>
  <c r="AC61" i="163"/>
  <c r="AC85" i="163"/>
  <c r="AC97" i="163"/>
  <c r="AC109" i="163"/>
  <c r="AC68" i="163"/>
  <c r="AC92" i="163"/>
  <c r="AC104" i="163"/>
  <c r="AC122" i="163"/>
  <c r="AC134" i="163"/>
  <c r="AC146" i="163"/>
  <c r="AC13" i="163"/>
  <c r="AC25" i="163"/>
  <c r="AC88" i="163"/>
  <c r="AC117" i="163"/>
  <c r="AC129" i="163"/>
  <c r="AC141" i="163"/>
  <c r="AC8" i="163"/>
  <c r="AC20" i="163"/>
  <c r="AC101" i="163"/>
  <c r="AC124" i="163"/>
  <c r="AC136" i="163"/>
  <c r="AC148" i="163"/>
  <c r="AC15" i="163"/>
  <c r="AC119" i="163"/>
  <c r="AC131" i="163"/>
  <c r="AC143" i="163"/>
  <c r="AC10" i="163"/>
  <c r="AC22" i="163"/>
  <c r="AC106" i="163"/>
  <c r="AC126" i="163"/>
  <c r="AC138" i="163"/>
  <c r="AC5" i="163"/>
  <c r="AC17" i="163"/>
  <c r="AC44" i="163"/>
  <c r="AC121" i="163"/>
  <c r="AC133" i="163"/>
  <c r="AC145" i="163"/>
  <c r="AC12" i="163"/>
  <c r="AC24" i="163"/>
  <c r="AC111" i="163"/>
  <c r="AC116" i="163"/>
  <c r="AC128" i="163"/>
  <c r="AC140" i="163"/>
  <c r="AC7" i="163"/>
  <c r="AC19" i="163"/>
  <c r="AC73" i="163"/>
  <c r="AC94" i="163"/>
  <c r="AC123" i="163"/>
  <c r="AC135" i="163"/>
  <c r="AC147" i="163"/>
  <c r="AC14" i="163"/>
  <c r="AC26" i="163"/>
  <c r="AC118" i="163"/>
  <c r="AC130" i="163"/>
  <c r="AC142" i="163"/>
  <c r="AC9" i="163"/>
  <c r="AC21" i="163"/>
  <c r="AC125" i="163"/>
  <c r="AC11" i="163"/>
  <c r="AC113" i="163"/>
  <c r="AC139" i="163"/>
  <c r="AC99" i="163"/>
  <c r="AC137" i="163"/>
  <c r="AC27" i="163"/>
  <c r="AC16" i="163"/>
  <c r="AC3" i="163"/>
  <c r="AC18" i="163"/>
  <c r="AC23" i="163"/>
  <c r="AC144" i="163"/>
  <c r="AC6" i="163"/>
  <c r="AC127" i="163"/>
  <c r="AC4" i="163"/>
  <c r="AC132" i="163"/>
  <c r="AC120" i="163"/>
  <c r="AC210" i="163"/>
  <c r="AC206" i="163"/>
  <c r="AC211" i="163"/>
  <c r="AC207" i="163"/>
  <c r="AC203" i="163"/>
  <c r="AC208" i="163"/>
  <c r="AC202" i="163"/>
  <c r="AC198" i="163"/>
  <c r="AC212" i="163"/>
  <c r="AC204" i="163"/>
  <c r="AC200" i="163"/>
  <c r="AC196" i="163"/>
  <c r="AC192" i="163"/>
  <c r="AC213" i="163"/>
  <c r="AC205" i="163"/>
  <c r="AC201" i="163"/>
  <c r="AC197" i="163"/>
  <c r="AC193" i="163"/>
  <c r="AC209" i="163"/>
  <c r="AC195" i="163"/>
  <c r="AC191" i="163"/>
  <c r="AC187" i="163"/>
  <c r="AC183" i="163"/>
  <c r="AC179" i="163"/>
  <c r="AC188" i="163"/>
  <c r="AC189" i="163"/>
  <c r="AC185" i="163"/>
  <c r="AC181" i="163"/>
  <c r="AC177" i="163"/>
  <c r="AC199" i="163"/>
  <c r="AC194" i="163"/>
  <c r="AC190" i="163"/>
  <c r="AC186" i="163"/>
  <c r="AC182" i="163"/>
  <c r="AC178" i="163"/>
  <c r="AC176" i="163"/>
  <c r="AC172" i="163"/>
  <c r="AC168" i="163"/>
  <c r="AC173" i="163"/>
  <c r="AC169" i="163"/>
  <c r="AC165" i="163"/>
  <c r="AC180" i="163"/>
  <c r="AC174" i="163"/>
  <c r="AC170" i="163"/>
  <c r="AC166" i="163"/>
  <c r="AC160" i="163"/>
  <c r="AC171" i="163"/>
  <c r="AC162" i="163"/>
  <c r="AC161" i="163"/>
  <c r="AC157" i="163"/>
  <c r="AC153" i="163"/>
  <c r="AC175" i="163"/>
  <c r="AC164" i="163"/>
  <c r="AC163" i="163"/>
  <c r="AC158" i="163"/>
  <c r="AC154" i="163"/>
  <c r="AC150" i="163"/>
  <c r="AC149" i="163"/>
  <c r="AC184" i="163"/>
  <c r="AC167" i="163"/>
  <c r="AC159" i="163"/>
  <c r="AC155" i="163"/>
  <c r="AC151" i="163"/>
  <c r="AC156" i="163"/>
  <c r="AC152" i="163"/>
  <c r="AD1" i="163"/>
  <c r="B76" i="160"/>
  <c r="T11" i="160"/>
  <c r="T10" i="160"/>
  <c r="T28" i="160"/>
  <c r="T27" i="160"/>
  <c r="T26" i="160"/>
  <c r="T25" i="160"/>
  <c r="T17" i="160"/>
  <c r="T16" i="160"/>
  <c r="T13" i="160"/>
  <c r="T12" i="160"/>
  <c r="T30" i="160"/>
  <c r="T9" i="160"/>
  <c r="T8" i="160"/>
  <c r="T7" i="160"/>
  <c r="T34" i="160"/>
  <c r="T33" i="160"/>
  <c r="T65" i="160"/>
  <c r="T44" i="160"/>
  <c r="T43" i="160"/>
  <c r="T46" i="160"/>
  <c r="T42" i="160"/>
  <c r="T41" i="160"/>
  <c r="T40" i="160"/>
  <c r="T6" i="160"/>
  <c r="T5" i="160"/>
  <c r="T4" i="160"/>
  <c r="AD32" i="163" l="1"/>
  <c r="AD39" i="163"/>
  <c r="AD34" i="163"/>
  <c r="AD29" i="163"/>
  <c r="AD36" i="163"/>
  <c r="AD31" i="163"/>
  <c r="AD38" i="163"/>
  <c r="AD33" i="163"/>
  <c r="AD28" i="163"/>
  <c r="AD35" i="163"/>
  <c r="AD44" i="163"/>
  <c r="AD56" i="163"/>
  <c r="AD51" i="163"/>
  <c r="AD63" i="163"/>
  <c r="AD46" i="163"/>
  <c r="AD58" i="163"/>
  <c r="AD41" i="163"/>
  <c r="AD53" i="163"/>
  <c r="AD48" i="163"/>
  <c r="AD60" i="163"/>
  <c r="AD37" i="163"/>
  <c r="AD43" i="163"/>
  <c r="AD55" i="163"/>
  <c r="AD50" i="163"/>
  <c r="AD62" i="163"/>
  <c r="AD45" i="163"/>
  <c r="AD57" i="163"/>
  <c r="AD40" i="163"/>
  <c r="AD52" i="163"/>
  <c r="AD64" i="163"/>
  <c r="AD68" i="163"/>
  <c r="AD80" i="163"/>
  <c r="AD75" i="163"/>
  <c r="AD87" i="163"/>
  <c r="AD49" i="163"/>
  <c r="AD70" i="163"/>
  <c r="AD82" i="163"/>
  <c r="AD65" i="163"/>
  <c r="AD77" i="163"/>
  <c r="AD89" i="163"/>
  <c r="AD54" i="163"/>
  <c r="AD72" i="163"/>
  <c r="AD84" i="163"/>
  <c r="AD67" i="163"/>
  <c r="AD79" i="163"/>
  <c r="AD59" i="163"/>
  <c r="AD74" i="163"/>
  <c r="AD86" i="163"/>
  <c r="AD30" i="163"/>
  <c r="AD42" i="163"/>
  <c r="AD69" i="163"/>
  <c r="AD81" i="163"/>
  <c r="AD76" i="163"/>
  <c r="AD88" i="163"/>
  <c r="AD101" i="163"/>
  <c r="AD113" i="163"/>
  <c r="AD78" i="163"/>
  <c r="AD96" i="163"/>
  <c r="AD108" i="163"/>
  <c r="AD91" i="163"/>
  <c r="AD103" i="163"/>
  <c r="AD115" i="163"/>
  <c r="AD47" i="163"/>
  <c r="AD83" i="163"/>
  <c r="AD98" i="163"/>
  <c r="AD110" i="163"/>
  <c r="AD66" i="163"/>
  <c r="AD93" i="163"/>
  <c r="AD105" i="163"/>
  <c r="AD100" i="163"/>
  <c r="AD112" i="163"/>
  <c r="AD71" i="163"/>
  <c r="AD95" i="163"/>
  <c r="AD107" i="163"/>
  <c r="AD90" i="163"/>
  <c r="AD102" i="163"/>
  <c r="AD61" i="163"/>
  <c r="AD85" i="163"/>
  <c r="AD97" i="163"/>
  <c r="AD109" i="163"/>
  <c r="AD104" i="163"/>
  <c r="AD127" i="163"/>
  <c r="AD139" i="163"/>
  <c r="AD6" i="163"/>
  <c r="AD18" i="163"/>
  <c r="AD114" i="163"/>
  <c r="AD122" i="163"/>
  <c r="AD134" i="163"/>
  <c r="AD146" i="163"/>
  <c r="AD13" i="163"/>
  <c r="AD25" i="163"/>
  <c r="AD117" i="163"/>
  <c r="AD129" i="163"/>
  <c r="AD141" i="163"/>
  <c r="AD8" i="163"/>
  <c r="AD20" i="163"/>
  <c r="AD92" i="163"/>
  <c r="AD124" i="163"/>
  <c r="AD136" i="163"/>
  <c r="AD148" i="163"/>
  <c r="AD15" i="163"/>
  <c r="AD119" i="163"/>
  <c r="AD131" i="163"/>
  <c r="AD143" i="163"/>
  <c r="AD10" i="163"/>
  <c r="AD22" i="163"/>
  <c r="AD106" i="163"/>
  <c r="AD126" i="163"/>
  <c r="AD138" i="163"/>
  <c r="AD5" i="163"/>
  <c r="AD17" i="163"/>
  <c r="AD121" i="163"/>
  <c r="AD133" i="163"/>
  <c r="AD145" i="163"/>
  <c r="AD12" i="163"/>
  <c r="AD24" i="163"/>
  <c r="AD111" i="163"/>
  <c r="AD116" i="163"/>
  <c r="AD128" i="163"/>
  <c r="AD140" i="163"/>
  <c r="AD7" i="163"/>
  <c r="AD19" i="163"/>
  <c r="AD73" i="163"/>
  <c r="AD94" i="163"/>
  <c r="AD123" i="163"/>
  <c r="AD135" i="163"/>
  <c r="AD147" i="163"/>
  <c r="AD14" i="163"/>
  <c r="AD26" i="163"/>
  <c r="AD142" i="163"/>
  <c r="AD125" i="163"/>
  <c r="AD99" i="163"/>
  <c r="AD23" i="163"/>
  <c r="AD11" i="163"/>
  <c r="AD16" i="163"/>
  <c r="AD27" i="163"/>
  <c r="AD130" i="163"/>
  <c r="AD3" i="163"/>
  <c r="AD9" i="163"/>
  <c r="AD144" i="163"/>
  <c r="AD120" i="163"/>
  <c r="AD118" i="163"/>
  <c r="AD21" i="163"/>
  <c r="AD4" i="163"/>
  <c r="AD132" i="163"/>
  <c r="AD137" i="163"/>
  <c r="AD211" i="163"/>
  <c r="AD207" i="163"/>
  <c r="AD203" i="163"/>
  <c r="AD212" i="163"/>
  <c r="AD208" i="163"/>
  <c r="AD204" i="163"/>
  <c r="AD209" i="163"/>
  <c r="AD199" i="163"/>
  <c r="AD213" i="163"/>
  <c r="AD205" i="163"/>
  <c r="AD201" i="163"/>
  <c r="AD197" i="163"/>
  <c r="AD193" i="163"/>
  <c r="AD206" i="163"/>
  <c r="AD202" i="163"/>
  <c r="AD198" i="163"/>
  <c r="AD194" i="163"/>
  <c r="AD210" i="163"/>
  <c r="AD196" i="163"/>
  <c r="AD188" i="163"/>
  <c r="AD184" i="163"/>
  <c r="AD180" i="163"/>
  <c r="AD189" i="163"/>
  <c r="AD192" i="163"/>
  <c r="AD190" i="163"/>
  <c r="AD186" i="163"/>
  <c r="AD182" i="163"/>
  <c r="AD178" i="163"/>
  <c r="AD200" i="163"/>
  <c r="AD195" i="163"/>
  <c r="AD191" i="163"/>
  <c r="AD187" i="163"/>
  <c r="AD183" i="163"/>
  <c r="AD179" i="163"/>
  <c r="AD175" i="163"/>
  <c r="AD177" i="163"/>
  <c r="AD173" i="163"/>
  <c r="AD169" i="163"/>
  <c r="AD174" i="163"/>
  <c r="AD170" i="163"/>
  <c r="AD166" i="163"/>
  <c r="AD162" i="163"/>
  <c r="AD181" i="163"/>
  <c r="AD171" i="163"/>
  <c r="AD167" i="163"/>
  <c r="AD168" i="163"/>
  <c r="AD161" i="163"/>
  <c r="AD185" i="163"/>
  <c r="AD172" i="163"/>
  <c r="AD164" i="163"/>
  <c r="AD163" i="163"/>
  <c r="AD158" i="163"/>
  <c r="AD154" i="163"/>
  <c r="AD150" i="163"/>
  <c r="AD176" i="163"/>
  <c r="AD165" i="163"/>
  <c r="AD159" i="163"/>
  <c r="AD155" i="163"/>
  <c r="AD151" i="163"/>
  <c r="AD160" i="163"/>
  <c r="AD156" i="163"/>
  <c r="AD152" i="163"/>
  <c r="AD157" i="163"/>
  <c r="AD149" i="163"/>
  <c r="AD153" i="163"/>
  <c r="AE1" i="163"/>
  <c r="B81" i="160"/>
  <c r="T19" i="160"/>
  <c r="T20" i="160"/>
  <c r="T21" i="160"/>
  <c r="AE37" i="163" l="1"/>
  <c r="AE32" i="163"/>
  <c r="AE39" i="163"/>
  <c r="AE34" i="163"/>
  <c r="AE29" i="163"/>
  <c r="AE36" i="163"/>
  <c r="AE31" i="163"/>
  <c r="AE38" i="163"/>
  <c r="AE33" i="163"/>
  <c r="AE49" i="163"/>
  <c r="AE61" i="163"/>
  <c r="AE35" i="163"/>
  <c r="AE44" i="163"/>
  <c r="AE56" i="163"/>
  <c r="AE51" i="163"/>
  <c r="AE63" i="163"/>
  <c r="AE46" i="163"/>
  <c r="AE58" i="163"/>
  <c r="AE41" i="163"/>
  <c r="AE53" i="163"/>
  <c r="AE48" i="163"/>
  <c r="AE60" i="163"/>
  <c r="AE28" i="163"/>
  <c r="AE43" i="163"/>
  <c r="AE55" i="163"/>
  <c r="AE50" i="163"/>
  <c r="AE62" i="163"/>
  <c r="AE45" i="163"/>
  <c r="AE57" i="163"/>
  <c r="AE52" i="163"/>
  <c r="AE73" i="163"/>
  <c r="AE85" i="163"/>
  <c r="AE68" i="163"/>
  <c r="AE80" i="163"/>
  <c r="AE75" i="163"/>
  <c r="AE87" i="163"/>
  <c r="AE40" i="163"/>
  <c r="AE70" i="163"/>
  <c r="AE82" i="163"/>
  <c r="AE65" i="163"/>
  <c r="AE77" i="163"/>
  <c r="AE54" i="163"/>
  <c r="AE72" i="163"/>
  <c r="AE84" i="163"/>
  <c r="AE67" i="163"/>
  <c r="AE79" i="163"/>
  <c r="AE59" i="163"/>
  <c r="AE74" i="163"/>
  <c r="AE86" i="163"/>
  <c r="AE30" i="163"/>
  <c r="AE42" i="163"/>
  <c r="AE64" i="163"/>
  <c r="AE69" i="163"/>
  <c r="AE81" i="163"/>
  <c r="AE94" i="163"/>
  <c r="AE106" i="163"/>
  <c r="AE89" i="163"/>
  <c r="AE101" i="163"/>
  <c r="AE113" i="163"/>
  <c r="AE78" i="163"/>
  <c r="AE96" i="163"/>
  <c r="AE108" i="163"/>
  <c r="AE91" i="163"/>
  <c r="AE103" i="163"/>
  <c r="AE115" i="163"/>
  <c r="AE47" i="163"/>
  <c r="AE83" i="163"/>
  <c r="AE98" i="163"/>
  <c r="AE110" i="163"/>
  <c r="AE66" i="163"/>
  <c r="AE93" i="163"/>
  <c r="AE105" i="163"/>
  <c r="AE100" i="163"/>
  <c r="AE112" i="163"/>
  <c r="AE71" i="163"/>
  <c r="AE95" i="163"/>
  <c r="AE107" i="163"/>
  <c r="AE90" i="163"/>
  <c r="AE102" i="163"/>
  <c r="AE76" i="163"/>
  <c r="AE120" i="163"/>
  <c r="AE132" i="163"/>
  <c r="AE144" i="163"/>
  <c r="AE11" i="163"/>
  <c r="AE23" i="163"/>
  <c r="AE104" i="163"/>
  <c r="AE127" i="163"/>
  <c r="AE139" i="163"/>
  <c r="AE6" i="163"/>
  <c r="AE18" i="163"/>
  <c r="AE88" i="163"/>
  <c r="AE114" i="163"/>
  <c r="AE122" i="163"/>
  <c r="AE134" i="163"/>
  <c r="AE146" i="163"/>
  <c r="AE13" i="163"/>
  <c r="AE25" i="163"/>
  <c r="AE109" i="163"/>
  <c r="AE117" i="163"/>
  <c r="AE129" i="163"/>
  <c r="AE141" i="163"/>
  <c r="AE8" i="163"/>
  <c r="AE20" i="163"/>
  <c r="AE92" i="163"/>
  <c r="AE124" i="163"/>
  <c r="AE136" i="163"/>
  <c r="AE148" i="163"/>
  <c r="AE15" i="163"/>
  <c r="AE119" i="163"/>
  <c r="AE131" i="163"/>
  <c r="AE143" i="163"/>
  <c r="AE10" i="163"/>
  <c r="AE22" i="163"/>
  <c r="AE97" i="163"/>
  <c r="AE126" i="163"/>
  <c r="AE138" i="163"/>
  <c r="AE5" i="163"/>
  <c r="AE17" i="163"/>
  <c r="AE121" i="163"/>
  <c r="AE133" i="163"/>
  <c r="AE145" i="163"/>
  <c r="AE12" i="163"/>
  <c r="AE24" i="163"/>
  <c r="AE111" i="163"/>
  <c r="AE116" i="163"/>
  <c r="AE128" i="163"/>
  <c r="AE140" i="163"/>
  <c r="AE7" i="163"/>
  <c r="AE19" i="163"/>
  <c r="AE14" i="163"/>
  <c r="AE99" i="163"/>
  <c r="AE137" i="163"/>
  <c r="AE142" i="163"/>
  <c r="AE3" i="163"/>
  <c r="AE125" i="163"/>
  <c r="AE147" i="163"/>
  <c r="AE130" i="163"/>
  <c r="AE26" i="163"/>
  <c r="AE16" i="163"/>
  <c r="AE135" i="163"/>
  <c r="AE21" i="163"/>
  <c r="AE9" i="163"/>
  <c r="AE27" i="163"/>
  <c r="AE118" i="163"/>
  <c r="AE4" i="163"/>
  <c r="AE123" i="163"/>
  <c r="AE212" i="163"/>
  <c r="AE208" i="163"/>
  <c r="AE204" i="163"/>
  <c r="AE213" i="163"/>
  <c r="AE209" i="163"/>
  <c r="AE205" i="163"/>
  <c r="AE210" i="163"/>
  <c r="AE200" i="163"/>
  <c r="AE206" i="163"/>
  <c r="AE202" i="163"/>
  <c r="AE198" i="163"/>
  <c r="AE194" i="163"/>
  <c r="AE207" i="163"/>
  <c r="AE199" i="163"/>
  <c r="AE195" i="163"/>
  <c r="AE211" i="163"/>
  <c r="AE189" i="163"/>
  <c r="AE185" i="163"/>
  <c r="AE181" i="163"/>
  <c r="AE192" i="163"/>
  <c r="AE190" i="163"/>
  <c r="AE197" i="163"/>
  <c r="AE193" i="163"/>
  <c r="AE191" i="163"/>
  <c r="AE187" i="163"/>
  <c r="AE183" i="163"/>
  <c r="AE179" i="163"/>
  <c r="AE175" i="163"/>
  <c r="AE203" i="163"/>
  <c r="AE201" i="163"/>
  <c r="AE196" i="163"/>
  <c r="AE188" i="163"/>
  <c r="AE184" i="163"/>
  <c r="AE180" i="163"/>
  <c r="AE176" i="163"/>
  <c r="AE174" i="163"/>
  <c r="AE170" i="163"/>
  <c r="AE178" i="163"/>
  <c r="AE171" i="163"/>
  <c r="AE167" i="163"/>
  <c r="AE163" i="163"/>
  <c r="AE182" i="163"/>
  <c r="AE172" i="163"/>
  <c r="AE168" i="163"/>
  <c r="AE164" i="163"/>
  <c r="AE169" i="163"/>
  <c r="AE162" i="163"/>
  <c r="AE173" i="163"/>
  <c r="AE165" i="163"/>
  <c r="AE159" i="163"/>
  <c r="AE155" i="163"/>
  <c r="AE151" i="163"/>
  <c r="AE177" i="163"/>
  <c r="AE166" i="163"/>
  <c r="AE160" i="163"/>
  <c r="AE156" i="163"/>
  <c r="AE152" i="163"/>
  <c r="AE186" i="163"/>
  <c r="AE161" i="163"/>
  <c r="AE157" i="163"/>
  <c r="AE153" i="163"/>
  <c r="AE158" i="163"/>
  <c r="AE149" i="163"/>
  <c r="AE150" i="163"/>
  <c r="AE154" i="163"/>
  <c r="AF1" i="163"/>
  <c r="T76" i="160"/>
  <c r="D1" i="161"/>
  <c r="AF30" i="163" l="1"/>
  <c r="AF37" i="163"/>
  <c r="AF32" i="163"/>
  <c r="AF39" i="163"/>
  <c r="AF34" i="163"/>
  <c r="AF29" i="163"/>
  <c r="AF36" i="163"/>
  <c r="AF31" i="163"/>
  <c r="AF38" i="163"/>
  <c r="AF42" i="163"/>
  <c r="AF54" i="163"/>
  <c r="AF49" i="163"/>
  <c r="AF61" i="163"/>
  <c r="AF35" i="163"/>
  <c r="AF44" i="163"/>
  <c r="AF56" i="163"/>
  <c r="AF51" i="163"/>
  <c r="AF63" i="163"/>
  <c r="AF46" i="163"/>
  <c r="AF58" i="163"/>
  <c r="AF41" i="163"/>
  <c r="AF53" i="163"/>
  <c r="AF48" i="163"/>
  <c r="AF60" i="163"/>
  <c r="AF28" i="163"/>
  <c r="AF43" i="163"/>
  <c r="AF55" i="163"/>
  <c r="AF50" i="163"/>
  <c r="AF62" i="163"/>
  <c r="AF33" i="163"/>
  <c r="AF66" i="163"/>
  <c r="AF78" i="163"/>
  <c r="AF52" i="163"/>
  <c r="AF73" i="163"/>
  <c r="AF85" i="163"/>
  <c r="AF68" i="163"/>
  <c r="AF80" i="163"/>
  <c r="AF57" i="163"/>
  <c r="AF75" i="163"/>
  <c r="AF87" i="163"/>
  <c r="AF40" i="163"/>
  <c r="AF70" i="163"/>
  <c r="AF82" i="163"/>
  <c r="AF65" i="163"/>
  <c r="AF77" i="163"/>
  <c r="AF45" i="163"/>
  <c r="AF72" i="163"/>
  <c r="AF84" i="163"/>
  <c r="AF67" i="163"/>
  <c r="AF79" i="163"/>
  <c r="AF59" i="163"/>
  <c r="AF74" i="163"/>
  <c r="AF86" i="163"/>
  <c r="AF81" i="163"/>
  <c r="AF88" i="163"/>
  <c r="AF99" i="163"/>
  <c r="AF111" i="163"/>
  <c r="AF94" i="163"/>
  <c r="AF106" i="163"/>
  <c r="AF89" i="163"/>
  <c r="AF101" i="163"/>
  <c r="AF113" i="163"/>
  <c r="AF64" i="163"/>
  <c r="AF69" i="163"/>
  <c r="AF96" i="163"/>
  <c r="AF108" i="163"/>
  <c r="AF91" i="163"/>
  <c r="AF103" i="163"/>
  <c r="AF47" i="163"/>
  <c r="AF83" i="163"/>
  <c r="AF98" i="163"/>
  <c r="AF110" i="163"/>
  <c r="AF93" i="163"/>
  <c r="AF105" i="163"/>
  <c r="AF100" i="163"/>
  <c r="AF112" i="163"/>
  <c r="AF71" i="163"/>
  <c r="AF95" i="163"/>
  <c r="AF107" i="163"/>
  <c r="AF90" i="163"/>
  <c r="AF125" i="163"/>
  <c r="AF137" i="163"/>
  <c r="AF4" i="163"/>
  <c r="AF16" i="163"/>
  <c r="AF76" i="163"/>
  <c r="AF120" i="163"/>
  <c r="AF132" i="163"/>
  <c r="AF144" i="163"/>
  <c r="AF11" i="163"/>
  <c r="AF23" i="163"/>
  <c r="AF104" i="163"/>
  <c r="AF127" i="163"/>
  <c r="AF139" i="163"/>
  <c r="AF6" i="163"/>
  <c r="AF18" i="163"/>
  <c r="AF114" i="163"/>
  <c r="AF122" i="163"/>
  <c r="AF134" i="163"/>
  <c r="AF146" i="163"/>
  <c r="AF13" i="163"/>
  <c r="AF25" i="163"/>
  <c r="AF109" i="163"/>
  <c r="AF117" i="163"/>
  <c r="AF129" i="163"/>
  <c r="AF141" i="163"/>
  <c r="AF8" i="163"/>
  <c r="AF20" i="163"/>
  <c r="AF92" i="163"/>
  <c r="AF124" i="163"/>
  <c r="AF136" i="163"/>
  <c r="AF148" i="163"/>
  <c r="AF15" i="163"/>
  <c r="AF119" i="163"/>
  <c r="AF131" i="163"/>
  <c r="AF143" i="163"/>
  <c r="AF10" i="163"/>
  <c r="AF22" i="163"/>
  <c r="AF97" i="163"/>
  <c r="AF126" i="163"/>
  <c r="AF138" i="163"/>
  <c r="AF5" i="163"/>
  <c r="AF17" i="163"/>
  <c r="AF115" i="163"/>
  <c r="AF121" i="163"/>
  <c r="AF133" i="163"/>
  <c r="AF145" i="163"/>
  <c r="AF12" i="163"/>
  <c r="AF24" i="163"/>
  <c r="AF128" i="163"/>
  <c r="AF27" i="163"/>
  <c r="AF14" i="163"/>
  <c r="AF21" i="163"/>
  <c r="AF9" i="163"/>
  <c r="AF142" i="163"/>
  <c r="AF140" i="163"/>
  <c r="AF102" i="163"/>
  <c r="AF116" i="163"/>
  <c r="AF19" i="163"/>
  <c r="AF147" i="163"/>
  <c r="AF130" i="163"/>
  <c r="AF7" i="163"/>
  <c r="AF3" i="163"/>
  <c r="AF135" i="163"/>
  <c r="AF118" i="163"/>
  <c r="AF123" i="163"/>
  <c r="AF26" i="163"/>
  <c r="D144" i="161"/>
  <c r="D115" i="161"/>
  <c r="AF213" i="163"/>
  <c r="AF209" i="163"/>
  <c r="AF205" i="163"/>
  <c r="AF210" i="163"/>
  <c r="AF206" i="163"/>
  <c r="AF211" i="163"/>
  <c r="AF203" i="163"/>
  <c r="AF201" i="163"/>
  <c r="AF197" i="163"/>
  <c r="AF207" i="163"/>
  <c r="AF199" i="163"/>
  <c r="AF195" i="163"/>
  <c r="AF208" i="163"/>
  <c r="AF200" i="163"/>
  <c r="AF196" i="163"/>
  <c r="AF192" i="163"/>
  <c r="AF212" i="163"/>
  <c r="AF190" i="163"/>
  <c r="AF186" i="163"/>
  <c r="AF182" i="163"/>
  <c r="AF178" i="163"/>
  <c r="AF193" i="163"/>
  <c r="AF191" i="163"/>
  <c r="AF198" i="163"/>
  <c r="AF194" i="163"/>
  <c r="AF188" i="163"/>
  <c r="AF184" i="163"/>
  <c r="AF180" i="163"/>
  <c r="AF176" i="163"/>
  <c r="AF204" i="163"/>
  <c r="AF202" i="163"/>
  <c r="AF189" i="163"/>
  <c r="AF185" i="163"/>
  <c r="AF181" i="163"/>
  <c r="AF177" i="163"/>
  <c r="AF171" i="163"/>
  <c r="AF179" i="163"/>
  <c r="AF172" i="163"/>
  <c r="AF168" i="163"/>
  <c r="AF164" i="163"/>
  <c r="AF183" i="163"/>
  <c r="AF175" i="163"/>
  <c r="AF173" i="163"/>
  <c r="AF169" i="163"/>
  <c r="AF165" i="163"/>
  <c r="AF170" i="163"/>
  <c r="AF163" i="163"/>
  <c r="AF187" i="163"/>
  <c r="AF174" i="163"/>
  <c r="AF166" i="163"/>
  <c r="AF160" i="163"/>
  <c r="AF156" i="163"/>
  <c r="AF152" i="163"/>
  <c r="AF167" i="163"/>
  <c r="AF161" i="163"/>
  <c r="AF157" i="163"/>
  <c r="AF153" i="163"/>
  <c r="AF162" i="163"/>
  <c r="AF158" i="163"/>
  <c r="AF154" i="163"/>
  <c r="AF150" i="163"/>
  <c r="AF149" i="163"/>
  <c r="AF159" i="163"/>
  <c r="AF151" i="163"/>
  <c r="AF155" i="163"/>
  <c r="AG1" i="163"/>
  <c r="D136" i="161"/>
  <c r="D14" i="161"/>
  <c r="D3" i="161"/>
  <c r="D102" i="161"/>
  <c r="D119" i="161"/>
  <c r="D141" i="161"/>
  <c r="D133" i="161"/>
  <c r="D113" i="161"/>
  <c r="D143" i="161"/>
  <c r="D131" i="161"/>
  <c r="D139" i="161"/>
  <c r="D107" i="161"/>
  <c r="D9" i="161"/>
  <c r="D22" i="161"/>
  <c r="D34" i="161"/>
  <c r="D4" i="161"/>
  <c r="D17" i="161"/>
  <c r="D29" i="161"/>
  <c r="D11" i="161"/>
  <c r="D24" i="161"/>
  <c r="D36" i="161"/>
  <c r="D6" i="161"/>
  <c r="D19" i="161"/>
  <c r="D31" i="161"/>
  <c r="D13" i="161"/>
  <c r="D26" i="161"/>
  <c r="D8" i="161"/>
  <c r="D21" i="161"/>
  <c r="D33" i="161"/>
  <c r="D16" i="161"/>
  <c r="D28" i="161"/>
  <c r="D5" i="161"/>
  <c r="D18" i="161"/>
  <c r="D30" i="161"/>
  <c r="D7" i="161"/>
  <c r="D20" i="161"/>
  <c r="D32" i="161"/>
  <c r="D49" i="161"/>
  <c r="D61" i="161"/>
  <c r="D12" i="161"/>
  <c r="D44" i="161"/>
  <c r="D56" i="161"/>
  <c r="D27" i="161"/>
  <c r="D39" i="161"/>
  <c r="D51" i="161"/>
  <c r="D35" i="161"/>
  <c r="D46" i="161"/>
  <c r="D58" i="161"/>
  <c r="D41" i="161"/>
  <c r="D53" i="161"/>
  <c r="D15" i="161"/>
  <c r="D48" i="161"/>
  <c r="D23" i="161"/>
  <c r="D43" i="161"/>
  <c r="D55" i="161"/>
  <c r="D37" i="161"/>
  <c r="D38" i="161"/>
  <c r="D50" i="161"/>
  <c r="D62" i="161"/>
  <c r="D45" i="161"/>
  <c r="D57" i="161"/>
  <c r="D70" i="161"/>
  <c r="D82" i="161"/>
  <c r="D25" i="161"/>
  <c r="D47" i="161"/>
  <c r="D65" i="161"/>
  <c r="D77" i="161"/>
  <c r="D72" i="161"/>
  <c r="D84" i="161"/>
  <c r="D52" i="161"/>
  <c r="D67" i="161"/>
  <c r="D79" i="161"/>
  <c r="D74" i="161"/>
  <c r="D86" i="161"/>
  <c r="D59" i="161"/>
  <c r="D60" i="161"/>
  <c r="D69" i="161"/>
  <c r="D81" i="161"/>
  <c r="D40" i="161"/>
  <c r="D64" i="161"/>
  <c r="D76" i="161"/>
  <c r="D71" i="161"/>
  <c r="D83" i="161"/>
  <c r="D54" i="161"/>
  <c r="D66" i="161"/>
  <c r="D78" i="161"/>
  <c r="D10" i="161"/>
  <c r="D85" i="161"/>
  <c r="D92" i="161"/>
  <c r="D104" i="161"/>
  <c r="D80" i="161"/>
  <c r="D87" i="161"/>
  <c r="D99" i="161"/>
  <c r="D63" i="161"/>
  <c r="D94" i="161"/>
  <c r="D106" i="161"/>
  <c r="D89" i="161"/>
  <c r="D101" i="161"/>
  <c r="D68" i="161"/>
  <c r="D96" i="161"/>
  <c r="D109" i="161"/>
  <c r="D91" i="161"/>
  <c r="D103" i="161"/>
  <c r="D73" i="161"/>
  <c r="D98" i="161"/>
  <c r="D111" i="161"/>
  <c r="D93" i="161"/>
  <c r="D105" i="161"/>
  <c r="D88" i="161"/>
  <c r="D100" i="161"/>
  <c r="D108" i="161"/>
  <c r="D116" i="161"/>
  <c r="D128" i="161"/>
  <c r="D90" i="161"/>
  <c r="D123" i="161"/>
  <c r="D135" i="161"/>
  <c r="D118" i="161"/>
  <c r="D130" i="161"/>
  <c r="D95" i="161"/>
  <c r="D112" i="161"/>
  <c r="D125" i="161"/>
  <c r="D120" i="161"/>
  <c r="D132" i="161"/>
  <c r="D42" i="161"/>
  <c r="D75" i="161"/>
  <c r="D114" i="161"/>
  <c r="D127" i="161"/>
  <c r="D122" i="161"/>
  <c r="D134" i="161"/>
  <c r="D117" i="161"/>
  <c r="D129" i="161"/>
  <c r="D97" i="161"/>
  <c r="D110" i="161"/>
  <c r="D124" i="161"/>
  <c r="D138" i="161"/>
  <c r="D126" i="161"/>
  <c r="D137" i="161"/>
  <c r="D142" i="161"/>
  <c r="D121" i="161"/>
  <c r="D140" i="161"/>
  <c r="D209" i="161"/>
  <c r="D197" i="161"/>
  <c r="D185" i="161"/>
  <c r="D203" i="161"/>
  <c r="D191" i="161"/>
  <c r="D208" i="161"/>
  <c r="D196" i="161"/>
  <c r="D184" i="161"/>
  <c r="D206" i="161"/>
  <c r="D194" i="161"/>
  <c r="D195" i="161"/>
  <c r="D176" i="161"/>
  <c r="D164" i="161"/>
  <c r="D210" i="161"/>
  <c r="D204" i="161"/>
  <c r="D193" i="161"/>
  <c r="D170" i="161"/>
  <c r="D190" i="161"/>
  <c r="D186" i="161"/>
  <c r="D175" i="161"/>
  <c r="D205" i="161"/>
  <c r="D181" i="161"/>
  <c r="D178" i="161"/>
  <c r="D188" i="161"/>
  <c r="D180" i="161"/>
  <c r="D177" i="161"/>
  <c r="D161" i="161"/>
  <c r="D148" i="161"/>
  <c r="D168" i="161"/>
  <c r="D165" i="161"/>
  <c r="D198" i="161"/>
  <c r="D172" i="161"/>
  <c r="D162" i="161"/>
  <c r="D173" i="161"/>
  <c r="D199" i="161"/>
  <c r="D182" i="161"/>
  <c r="D146" i="161"/>
  <c r="D163" i="161"/>
  <c r="D150" i="161"/>
  <c r="D202" i="161"/>
  <c r="D189" i="161"/>
  <c r="D147" i="161"/>
  <c r="D145" i="161"/>
  <c r="D207" i="161"/>
  <c r="D159" i="161"/>
  <c r="D149" i="161"/>
  <c r="D187" i="161"/>
  <c r="D158" i="161"/>
  <c r="D154" i="161"/>
  <c r="D200" i="161"/>
  <c r="D171" i="161"/>
  <c r="D192" i="161"/>
  <c r="D179" i="161"/>
  <c r="D167" i="161"/>
  <c r="D183" i="161"/>
  <c r="D166" i="161"/>
  <c r="D155" i="161"/>
  <c r="D153" i="161"/>
  <c r="D201" i="161"/>
  <c r="D169" i="161"/>
  <c r="D174" i="161"/>
  <c r="D160" i="161"/>
  <c r="D157" i="161"/>
  <c r="D151" i="161"/>
  <c r="D152" i="161"/>
  <c r="D156" i="161"/>
  <c r="E1" i="161"/>
  <c r="E115" i="161" s="1"/>
  <c r="AG35" i="163" l="1"/>
  <c r="AG30" i="163"/>
  <c r="AG37" i="163"/>
  <c r="AG32" i="163"/>
  <c r="AG39" i="163"/>
  <c r="AG34" i="163"/>
  <c r="AG29" i="163"/>
  <c r="AG36" i="163"/>
  <c r="AG31" i="163"/>
  <c r="AG38" i="163"/>
  <c r="AG47" i="163"/>
  <c r="AG59" i="163"/>
  <c r="AG42" i="163"/>
  <c r="AG54" i="163"/>
  <c r="AG49" i="163"/>
  <c r="AG61" i="163"/>
  <c r="AG44" i="163"/>
  <c r="AG56" i="163"/>
  <c r="AG51" i="163"/>
  <c r="AG46" i="163"/>
  <c r="AG58" i="163"/>
  <c r="AG41" i="163"/>
  <c r="AG53" i="163"/>
  <c r="AG48" i="163"/>
  <c r="AG60" i="163"/>
  <c r="AG28" i="163"/>
  <c r="AG43" i="163"/>
  <c r="AG55" i="163"/>
  <c r="AG71" i="163"/>
  <c r="AG83" i="163"/>
  <c r="AG33" i="163"/>
  <c r="AG66" i="163"/>
  <c r="AG78" i="163"/>
  <c r="AG52" i="163"/>
  <c r="AG73" i="163"/>
  <c r="AG85" i="163"/>
  <c r="AG68" i="163"/>
  <c r="AG80" i="163"/>
  <c r="AG57" i="163"/>
  <c r="AG75" i="163"/>
  <c r="AG87" i="163"/>
  <c r="AG40" i="163"/>
  <c r="AG70" i="163"/>
  <c r="AG82" i="163"/>
  <c r="AG65" i="163"/>
  <c r="AG77" i="163"/>
  <c r="AG45" i="163"/>
  <c r="AG62" i="163"/>
  <c r="AG72" i="163"/>
  <c r="AG84" i="163"/>
  <c r="AG63" i="163"/>
  <c r="AG67" i="163"/>
  <c r="AG79" i="163"/>
  <c r="AG92" i="163"/>
  <c r="AG104" i="163"/>
  <c r="AG81" i="163"/>
  <c r="AG88" i="163"/>
  <c r="AG99" i="163"/>
  <c r="AG111" i="163"/>
  <c r="AG94" i="163"/>
  <c r="AG106" i="163"/>
  <c r="AG86" i="163"/>
  <c r="AG89" i="163"/>
  <c r="AG101" i="163"/>
  <c r="AG113" i="163"/>
  <c r="AG64" i="163"/>
  <c r="AG69" i="163"/>
  <c r="AG96" i="163"/>
  <c r="AG108" i="163"/>
  <c r="AG91" i="163"/>
  <c r="AG103" i="163"/>
  <c r="AG74" i="163"/>
  <c r="AG98" i="163"/>
  <c r="AG110" i="163"/>
  <c r="AG93" i="163"/>
  <c r="AG105" i="163"/>
  <c r="AG100" i="163"/>
  <c r="AG112" i="163"/>
  <c r="AG107" i="163"/>
  <c r="AG118" i="163"/>
  <c r="AG130" i="163"/>
  <c r="AG142" i="163"/>
  <c r="AG9" i="163"/>
  <c r="AG21" i="163"/>
  <c r="AG90" i="163"/>
  <c r="AG125" i="163"/>
  <c r="AG137" i="163"/>
  <c r="AG4" i="163"/>
  <c r="AG16" i="163"/>
  <c r="AG76" i="163"/>
  <c r="AG120" i="163"/>
  <c r="AG132" i="163"/>
  <c r="AG144" i="163"/>
  <c r="AG11" i="163"/>
  <c r="AG23" i="163"/>
  <c r="AG95" i="163"/>
  <c r="AG127" i="163"/>
  <c r="AG139" i="163"/>
  <c r="AG6" i="163"/>
  <c r="AG18" i="163"/>
  <c r="AG114" i="163"/>
  <c r="AG122" i="163"/>
  <c r="AG134" i="163"/>
  <c r="AG146" i="163"/>
  <c r="AG13" i="163"/>
  <c r="AG25" i="163"/>
  <c r="AG109" i="163"/>
  <c r="AG117" i="163"/>
  <c r="AG129" i="163"/>
  <c r="AG141" i="163"/>
  <c r="AG8" i="163"/>
  <c r="AG20" i="163"/>
  <c r="AG50" i="163"/>
  <c r="AG124" i="163"/>
  <c r="AG136" i="163"/>
  <c r="AG148" i="163"/>
  <c r="AG15" i="163"/>
  <c r="AG119" i="163"/>
  <c r="AG131" i="163"/>
  <c r="AG143" i="163"/>
  <c r="AG10" i="163"/>
  <c r="AG22" i="163"/>
  <c r="AG97" i="163"/>
  <c r="AG126" i="163"/>
  <c r="AG138" i="163"/>
  <c r="AG5" i="163"/>
  <c r="AG17" i="163"/>
  <c r="AG145" i="163"/>
  <c r="AG123" i="163"/>
  <c r="AG128" i="163"/>
  <c r="AG27" i="163"/>
  <c r="AG19" i="163"/>
  <c r="AG3" i="163"/>
  <c r="AG14" i="163"/>
  <c r="AG133" i="163"/>
  <c r="AG115" i="163"/>
  <c r="AG26" i="163"/>
  <c r="AG102" i="163"/>
  <c r="AG116" i="163"/>
  <c r="AG140" i="163"/>
  <c r="AG147" i="163"/>
  <c r="AG12" i="163"/>
  <c r="AG121" i="163"/>
  <c r="AG24" i="163"/>
  <c r="AG7" i="163"/>
  <c r="AG135" i="163"/>
  <c r="AG210" i="163"/>
  <c r="AG206" i="163"/>
  <c r="AG211" i="163"/>
  <c r="AG207" i="163"/>
  <c r="AG203" i="163"/>
  <c r="AG212" i="163"/>
  <c r="AG204" i="163"/>
  <c r="AG202" i="163"/>
  <c r="AG198" i="163"/>
  <c r="AG208" i="163"/>
  <c r="AG200" i="163"/>
  <c r="AG196" i="163"/>
  <c r="AG192" i="163"/>
  <c r="AG209" i="163"/>
  <c r="AG201" i="163"/>
  <c r="AG197" i="163"/>
  <c r="AG193" i="163"/>
  <c r="AG213" i="163"/>
  <c r="AG191" i="163"/>
  <c r="AG187" i="163"/>
  <c r="AG183" i="163"/>
  <c r="AG179" i="163"/>
  <c r="AG194" i="163"/>
  <c r="AG188" i="163"/>
  <c r="AG199" i="163"/>
  <c r="AG195" i="163"/>
  <c r="AG189" i="163"/>
  <c r="AG185" i="163"/>
  <c r="AG181" i="163"/>
  <c r="AG177" i="163"/>
  <c r="AG205" i="163"/>
  <c r="AG190" i="163"/>
  <c r="AG186" i="163"/>
  <c r="AG182" i="163"/>
  <c r="AG178" i="163"/>
  <c r="AG172" i="163"/>
  <c r="AG168" i="163"/>
  <c r="AG180" i="163"/>
  <c r="AG175" i="163"/>
  <c r="AG173" i="163"/>
  <c r="AG169" i="163"/>
  <c r="AG165" i="163"/>
  <c r="AG161" i="163"/>
  <c r="AG184" i="163"/>
  <c r="AG176" i="163"/>
  <c r="AG174" i="163"/>
  <c r="AG170" i="163"/>
  <c r="AG166" i="163"/>
  <c r="AG171" i="163"/>
  <c r="AG164" i="163"/>
  <c r="AG160" i="163"/>
  <c r="AG167" i="163"/>
  <c r="AG157" i="163"/>
  <c r="AG153" i="163"/>
  <c r="AG162" i="163"/>
  <c r="AG158" i="163"/>
  <c r="AG154" i="163"/>
  <c r="AG150" i="163"/>
  <c r="AG149" i="163"/>
  <c r="AG163" i="163"/>
  <c r="AG159" i="163"/>
  <c r="AG155" i="163"/>
  <c r="AG151" i="163"/>
  <c r="AG152" i="163"/>
  <c r="AG156" i="163"/>
  <c r="AH1" i="163"/>
  <c r="E14" i="161"/>
  <c r="E144" i="161"/>
  <c r="E107" i="161"/>
  <c r="E15" i="161"/>
  <c r="E27" i="161"/>
  <c r="E9" i="161"/>
  <c r="E22" i="161"/>
  <c r="E34" i="161"/>
  <c r="E4" i="161"/>
  <c r="E17" i="161"/>
  <c r="E29" i="161"/>
  <c r="E11" i="161"/>
  <c r="E24" i="161"/>
  <c r="E36" i="161"/>
  <c r="E6" i="161"/>
  <c r="E19" i="161"/>
  <c r="E31" i="161"/>
  <c r="E13" i="161"/>
  <c r="E26" i="161"/>
  <c r="E8" i="161"/>
  <c r="E21" i="161"/>
  <c r="E33" i="161"/>
  <c r="E10" i="161"/>
  <c r="E23" i="161"/>
  <c r="E35" i="161"/>
  <c r="E12" i="161"/>
  <c r="E25" i="161"/>
  <c r="E37" i="161"/>
  <c r="E16" i="161"/>
  <c r="E42" i="161"/>
  <c r="E54" i="161"/>
  <c r="E30" i="161"/>
  <c r="E49" i="161"/>
  <c r="E61" i="161"/>
  <c r="E44" i="161"/>
  <c r="E56" i="161"/>
  <c r="E39" i="161"/>
  <c r="E51" i="161"/>
  <c r="E18" i="161"/>
  <c r="E46" i="161"/>
  <c r="E58" i="161"/>
  <c r="E32" i="161"/>
  <c r="E41" i="161"/>
  <c r="E53" i="161"/>
  <c r="E48" i="161"/>
  <c r="E60" i="161"/>
  <c r="E5" i="161"/>
  <c r="E43" i="161"/>
  <c r="E55" i="161"/>
  <c r="E20" i="161"/>
  <c r="E38" i="161"/>
  <c r="E50" i="161"/>
  <c r="E63" i="161"/>
  <c r="E75" i="161"/>
  <c r="E70" i="161"/>
  <c r="E82" i="161"/>
  <c r="E47" i="161"/>
  <c r="E65" i="161"/>
  <c r="E77" i="161"/>
  <c r="E72" i="161"/>
  <c r="E84" i="161"/>
  <c r="E52" i="161"/>
  <c r="E67" i="161"/>
  <c r="E79" i="161"/>
  <c r="E7" i="161"/>
  <c r="E74" i="161"/>
  <c r="E28" i="161"/>
  <c r="E59" i="161"/>
  <c r="E69" i="161"/>
  <c r="E81" i="161"/>
  <c r="E40" i="161"/>
  <c r="E57" i="161"/>
  <c r="E64" i="161"/>
  <c r="E76" i="161"/>
  <c r="E62" i="161"/>
  <c r="E71" i="161"/>
  <c r="E66" i="161"/>
  <c r="E97" i="161"/>
  <c r="E110" i="161"/>
  <c r="E85" i="161"/>
  <c r="E92" i="161"/>
  <c r="E104" i="161"/>
  <c r="E80" i="161"/>
  <c r="E83" i="161"/>
  <c r="E87" i="161"/>
  <c r="E99" i="161"/>
  <c r="E45" i="161"/>
  <c r="E94" i="161"/>
  <c r="E106" i="161"/>
  <c r="E89" i="161"/>
  <c r="E101" i="161"/>
  <c r="E68" i="161"/>
  <c r="E96" i="161"/>
  <c r="E91" i="161"/>
  <c r="E103" i="161"/>
  <c r="E73" i="161"/>
  <c r="E98" i="161"/>
  <c r="E93" i="161"/>
  <c r="E105" i="161"/>
  <c r="E121" i="161"/>
  <c r="E133" i="161"/>
  <c r="E108" i="161"/>
  <c r="E116" i="161"/>
  <c r="E128" i="161"/>
  <c r="E90" i="161"/>
  <c r="E123" i="161"/>
  <c r="E135" i="161"/>
  <c r="E118" i="161"/>
  <c r="E130" i="161"/>
  <c r="E95" i="161"/>
  <c r="E112" i="161"/>
  <c r="E125" i="161"/>
  <c r="E120" i="161"/>
  <c r="E132" i="161"/>
  <c r="E86" i="161"/>
  <c r="E100" i="161"/>
  <c r="E114" i="161"/>
  <c r="E127" i="161"/>
  <c r="E122" i="161"/>
  <c r="E134" i="161"/>
  <c r="E117" i="161"/>
  <c r="E129" i="161"/>
  <c r="E124" i="161"/>
  <c r="E109" i="161"/>
  <c r="E131" i="161"/>
  <c r="E140" i="161"/>
  <c r="E119" i="161"/>
  <c r="E111" i="161"/>
  <c r="E142" i="161"/>
  <c r="E137" i="161"/>
  <c r="E3" i="161"/>
  <c r="E126" i="161"/>
  <c r="E88" i="161"/>
  <c r="E136" i="161"/>
  <c r="E139" i="161"/>
  <c r="E143" i="161"/>
  <c r="E78" i="161"/>
  <c r="E138" i="161"/>
  <c r="E113" i="161"/>
  <c r="E141" i="161"/>
  <c r="E102" i="161"/>
  <c r="E202" i="161"/>
  <c r="E190" i="161"/>
  <c r="E208" i="161"/>
  <c r="E196" i="161"/>
  <c r="E184" i="161"/>
  <c r="E201" i="161"/>
  <c r="E189" i="161"/>
  <c r="E199" i="161"/>
  <c r="E187" i="161"/>
  <c r="E206" i="161"/>
  <c r="E188" i="161"/>
  <c r="E180" i="161"/>
  <c r="E169" i="161"/>
  <c r="E197" i="161"/>
  <c r="E186" i="161"/>
  <c r="E175" i="161"/>
  <c r="E183" i="161"/>
  <c r="E182" i="161"/>
  <c r="E168" i="161"/>
  <c r="E209" i="161"/>
  <c r="E198" i="161"/>
  <c r="E171" i="161"/>
  <c r="E210" i="161"/>
  <c r="E174" i="161"/>
  <c r="E170" i="161"/>
  <c r="E153" i="161"/>
  <c r="E205" i="161"/>
  <c r="E181" i="161"/>
  <c r="E172" i="161"/>
  <c r="E162" i="161"/>
  <c r="E191" i="161"/>
  <c r="E179" i="161"/>
  <c r="E176" i="161"/>
  <c r="E203" i="161"/>
  <c r="E164" i="161"/>
  <c r="E195" i="161"/>
  <c r="E154" i="161"/>
  <c r="E151" i="161"/>
  <c r="E147" i="161"/>
  <c r="E145" i="161"/>
  <c r="E193" i="161"/>
  <c r="E161" i="161"/>
  <c r="E173" i="161"/>
  <c r="E156" i="161"/>
  <c r="E155" i="161"/>
  <c r="E178" i="161"/>
  <c r="E158" i="161"/>
  <c r="E200" i="161"/>
  <c r="E157" i="161"/>
  <c r="E192" i="161"/>
  <c r="E194" i="161"/>
  <c r="E204" i="161"/>
  <c r="E166" i="161"/>
  <c r="E148" i="161"/>
  <c r="E177" i="161"/>
  <c r="E165" i="161"/>
  <c r="E146" i="161"/>
  <c r="E163" i="161"/>
  <c r="E185" i="161"/>
  <c r="E159" i="161"/>
  <c r="E149" i="161"/>
  <c r="E207" i="161"/>
  <c r="E167" i="161"/>
  <c r="E160" i="161"/>
  <c r="E152" i="161"/>
  <c r="E150" i="161"/>
  <c r="F1" i="161"/>
  <c r="F115" i="161" s="1"/>
  <c r="AH28" i="163" l="1"/>
  <c r="AH35" i="163"/>
  <c r="AH30" i="163"/>
  <c r="AI30" i="163" s="1"/>
  <c r="AH37" i="163"/>
  <c r="AH32" i="163"/>
  <c r="AI32" i="163" s="1"/>
  <c r="AH39" i="163"/>
  <c r="AI39" i="163" s="1"/>
  <c r="AH34" i="163"/>
  <c r="AH29" i="163"/>
  <c r="AH36" i="163"/>
  <c r="AI36" i="163" s="1"/>
  <c r="AH40" i="163"/>
  <c r="AI40" i="163" s="1"/>
  <c r="AH52" i="163"/>
  <c r="AI52" i="163" s="1"/>
  <c r="AH64" i="163"/>
  <c r="AI64" i="163" s="1"/>
  <c r="AH38" i="163"/>
  <c r="AI38" i="163" s="1"/>
  <c r="AH47" i="163"/>
  <c r="AH59" i="163"/>
  <c r="AI59" i="163" s="1"/>
  <c r="AH42" i="163"/>
  <c r="AH54" i="163"/>
  <c r="AH49" i="163"/>
  <c r="AI49" i="163" s="1"/>
  <c r="AH61" i="163"/>
  <c r="AH44" i="163"/>
  <c r="AH56" i="163"/>
  <c r="AI56" i="163" s="1"/>
  <c r="AH51" i="163"/>
  <c r="AH63" i="163"/>
  <c r="AI63" i="163" s="1"/>
  <c r="AH31" i="163"/>
  <c r="AI31" i="163" s="1"/>
  <c r="AH46" i="163"/>
  <c r="AI46" i="163" s="1"/>
  <c r="AH58" i="163"/>
  <c r="AI58" i="163" s="1"/>
  <c r="AH41" i="163"/>
  <c r="AI41" i="163" s="1"/>
  <c r="AH53" i="163"/>
  <c r="AH48" i="163"/>
  <c r="AI48" i="163" s="1"/>
  <c r="AH60" i="163"/>
  <c r="AI60" i="163" s="1"/>
  <c r="AH55" i="163"/>
  <c r="AH76" i="163"/>
  <c r="AI76" i="163" s="1"/>
  <c r="AH88" i="163"/>
  <c r="AI88" i="163" s="1"/>
  <c r="AH71" i="163"/>
  <c r="AI71" i="163" s="1"/>
  <c r="AH83" i="163"/>
  <c r="AI83" i="163" s="1"/>
  <c r="AH33" i="163"/>
  <c r="AI33" i="163" s="1"/>
  <c r="AH66" i="163"/>
  <c r="AI66" i="163" s="1"/>
  <c r="AH78" i="163"/>
  <c r="AI78" i="163" s="1"/>
  <c r="AH43" i="163"/>
  <c r="AI43" i="163" s="1"/>
  <c r="AH73" i="163"/>
  <c r="AH85" i="163"/>
  <c r="AI85" i="163" s="1"/>
  <c r="AH68" i="163"/>
  <c r="AI68" i="163" s="1"/>
  <c r="AH80" i="163"/>
  <c r="AH57" i="163"/>
  <c r="AI57" i="163" s="1"/>
  <c r="AH75" i="163"/>
  <c r="AI75" i="163" s="1"/>
  <c r="AH87" i="163"/>
  <c r="AI87" i="163" s="1"/>
  <c r="AH70" i="163"/>
  <c r="AI70" i="163" s="1"/>
  <c r="AH82" i="163"/>
  <c r="AI82" i="163" s="1"/>
  <c r="AH65" i="163"/>
  <c r="AI65" i="163" s="1"/>
  <c r="AH77" i="163"/>
  <c r="AI77" i="163" s="1"/>
  <c r="AH45" i="163"/>
  <c r="AI45" i="163" s="1"/>
  <c r="AH62" i="163"/>
  <c r="AH72" i="163"/>
  <c r="AI72" i="163" s="1"/>
  <c r="AH84" i="163"/>
  <c r="AI84" i="163" s="1"/>
  <c r="AH67" i="163"/>
  <c r="AH97" i="163"/>
  <c r="AI97" i="163" s="1"/>
  <c r="AH109" i="163"/>
  <c r="AI109" i="163" s="1"/>
  <c r="AH92" i="163"/>
  <c r="AI92" i="163" s="1"/>
  <c r="AH104" i="163"/>
  <c r="AI104" i="163" s="1"/>
  <c r="AH81" i="163"/>
  <c r="AI81" i="163" s="1"/>
  <c r="AH99" i="163"/>
  <c r="AI99" i="163" s="1"/>
  <c r="AH111" i="163"/>
  <c r="AI111" i="163" s="1"/>
  <c r="AH94" i="163"/>
  <c r="AI94" i="163" s="1"/>
  <c r="AH106" i="163"/>
  <c r="AH86" i="163"/>
  <c r="AI86" i="163" s="1"/>
  <c r="AH89" i="163"/>
  <c r="AI89" i="163" s="1"/>
  <c r="AH101" i="163"/>
  <c r="AH69" i="163"/>
  <c r="AI69" i="163" s="1"/>
  <c r="AH96" i="163"/>
  <c r="AI96" i="163" s="1"/>
  <c r="AH108" i="163"/>
  <c r="AI108" i="163" s="1"/>
  <c r="AH91" i="163"/>
  <c r="AI91" i="163" s="1"/>
  <c r="AH103" i="163"/>
  <c r="AI103" i="163" s="1"/>
  <c r="AH115" i="163"/>
  <c r="AI115" i="163" s="1"/>
  <c r="AH74" i="163"/>
  <c r="AI74" i="163" s="1"/>
  <c r="AH98" i="163"/>
  <c r="AI98" i="163" s="1"/>
  <c r="AH110" i="163"/>
  <c r="AH93" i="163"/>
  <c r="AI93" i="163" s="1"/>
  <c r="AH105" i="163"/>
  <c r="AI105" i="163" s="1"/>
  <c r="AH113" i="163"/>
  <c r="AI113" i="163" s="1"/>
  <c r="AH123" i="163"/>
  <c r="AI123" i="163" s="1"/>
  <c r="AH135" i="163"/>
  <c r="AI135" i="163" s="1"/>
  <c r="AH147" i="163"/>
  <c r="AI147" i="163" s="1"/>
  <c r="AH14" i="163"/>
  <c r="AI14" i="163" s="1"/>
  <c r="AH26" i="163"/>
  <c r="AI26" i="163" s="1"/>
  <c r="AH107" i="163"/>
  <c r="AI107" i="163" s="1"/>
  <c r="AH118" i="163"/>
  <c r="AH130" i="163"/>
  <c r="AI130" i="163" s="1"/>
  <c r="AH142" i="163"/>
  <c r="AH9" i="163"/>
  <c r="AI9" i="163" s="1"/>
  <c r="AH21" i="163"/>
  <c r="AI21" i="163" s="1"/>
  <c r="AH90" i="163"/>
  <c r="AI90" i="163" s="1"/>
  <c r="AH125" i="163"/>
  <c r="AI125" i="163" s="1"/>
  <c r="AH137" i="163"/>
  <c r="AI137" i="163" s="1"/>
  <c r="AH4" i="163"/>
  <c r="AI4" i="163" s="1"/>
  <c r="AH16" i="163"/>
  <c r="AI16" i="163" s="1"/>
  <c r="AH112" i="163"/>
  <c r="AI112" i="163" s="1"/>
  <c r="AH120" i="163"/>
  <c r="AI120" i="163" s="1"/>
  <c r="AH132" i="163"/>
  <c r="AI132" i="163" s="1"/>
  <c r="AH144" i="163"/>
  <c r="AI144" i="163" s="1"/>
  <c r="AH11" i="163"/>
  <c r="AH23" i="163"/>
  <c r="AI23" i="163" s="1"/>
  <c r="AH95" i="163"/>
  <c r="AI95" i="163" s="1"/>
  <c r="AH127" i="163"/>
  <c r="AH139" i="163"/>
  <c r="AI139" i="163" s="1"/>
  <c r="AH6" i="163"/>
  <c r="AI6" i="163" s="1"/>
  <c r="AH18" i="163"/>
  <c r="AI18" i="163" s="1"/>
  <c r="AH114" i="163"/>
  <c r="AI114" i="163" s="1"/>
  <c r="AH122" i="163"/>
  <c r="AI122" i="163" s="1"/>
  <c r="AH134" i="163"/>
  <c r="AI134" i="163" s="1"/>
  <c r="AH146" i="163"/>
  <c r="AI146" i="163" s="1"/>
  <c r="AH13" i="163"/>
  <c r="AI13" i="163" s="1"/>
  <c r="AH25" i="163"/>
  <c r="AH79" i="163"/>
  <c r="AI79" i="163" s="1"/>
  <c r="AH100" i="163"/>
  <c r="AI100" i="163" s="1"/>
  <c r="AH117" i="163"/>
  <c r="AI117" i="163" s="1"/>
  <c r="AH129" i="163"/>
  <c r="AI129" i="163" s="1"/>
  <c r="AH141" i="163"/>
  <c r="AI141" i="163" s="1"/>
  <c r="AH8" i="163"/>
  <c r="AI8" i="163" s="1"/>
  <c r="AH20" i="163"/>
  <c r="AI20" i="163" s="1"/>
  <c r="AH50" i="163"/>
  <c r="AI50" i="163" s="1"/>
  <c r="AH124" i="163"/>
  <c r="AI124" i="163" s="1"/>
  <c r="AH136" i="163"/>
  <c r="AI136" i="163" s="1"/>
  <c r="AH148" i="163"/>
  <c r="AI148" i="163" s="1"/>
  <c r="AH15" i="163"/>
  <c r="AH119" i="163"/>
  <c r="AI119" i="163" s="1"/>
  <c r="AH131" i="163"/>
  <c r="AI131" i="163" s="1"/>
  <c r="AH143" i="163"/>
  <c r="AI143" i="163" s="1"/>
  <c r="AH10" i="163"/>
  <c r="AI10" i="163" s="1"/>
  <c r="AH22" i="163"/>
  <c r="AI22" i="163" s="1"/>
  <c r="AH17" i="163"/>
  <c r="AI17" i="163" s="1"/>
  <c r="AH19" i="163"/>
  <c r="AI19" i="163" s="1"/>
  <c r="AH145" i="163"/>
  <c r="AI145" i="163" s="1"/>
  <c r="AH27" i="163"/>
  <c r="AI27" i="163" s="1"/>
  <c r="AH128" i="163"/>
  <c r="AI128" i="163" s="1"/>
  <c r="AH24" i="163"/>
  <c r="AI24" i="163" s="1"/>
  <c r="AH3" i="163"/>
  <c r="AH5" i="163"/>
  <c r="AI5" i="163" s="1"/>
  <c r="AH140" i="163"/>
  <c r="AI140" i="163" s="1"/>
  <c r="AH133" i="163"/>
  <c r="AI133" i="163" s="1"/>
  <c r="AH102" i="163"/>
  <c r="AI102" i="163" s="1"/>
  <c r="AH116" i="163"/>
  <c r="AI116" i="163" s="1"/>
  <c r="AH138" i="163"/>
  <c r="AI138" i="163" s="1"/>
  <c r="AH121" i="163"/>
  <c r="AI121" i="163" s="1"/>
  <c r="AH7" i="163"/>
  <c r="AI7" i="163" s="1"/>
  <c r="AH126" i="163"/>
  <c r="AI126" i="163" s="1"/>
  <c r="AH12" i="163"/>
  <c r="AI12" i="163" s="1"/>
  <c r="AI110" i="163"/>
  <c r="AI11" i="163"/>
  <c r="AI25" i="163"/>
  <c r="AI15" i="163"/>
  <c r="AI34" i="163"/>
  <c r="AI29" i="163"/>
  <c r="AI53" i="163"/>
  <c r="AI55" i="163"/>
  <c r="AI28" i="163"/>
  <c r="AI35" i="163"/>
  <c r="AI47" i="163"/>
  <c r="AI37" i="163"/>
  <c r="AI44" i="163"/>
  <c r="AI61" i="163"/>
  <c r="AI73" i="163"/>
  <c r="AI80" i="163"/>
  <c r="AI101" i="163"/>
  <c r="AI42" i="163"/>
  <c r="AI62" i="163"/>
  <c r="AI54" i="163"/>
  <c r="AI67" i="163"/>
  <c r="AI106" i="163"/>
  <c r="AI127" i="163"/>
  <c r="AI142" i="163"/>
  <c r="AI3" i="163"/>
  <c r="AH211" i="163"/>
  <c r="AH207" i="163"/>
  <c r="AH203" i="163"/>
  <c r="AH212" i="163"/>
  <c r="AH208" i="163"/>
  <c r="AH204" i="163"/>
  <c r="AH213" i="163"/>
  <c r="AH205" i="163"/>
  <c r="AH199" i="163"/>
  <c r="AH209" i="163"/>
  <c r="AH201" i="163"/>
  <c r="AH197" i="163"/>
  <c r="AH193" i="163"/>
  <c r="AH210" i="163"/>
  <c r="AH202" i="163"/>
  <c r="AH198" i="163"/>
  <c r="AH194" i="163"/>
  <c r="AH192" i="163"/>
  <c r="AH188" i="163"/>
  <c r="AH184" i="163"/>
  <c r="AH180" i="163"/>
  <c r="AH195" i="163"/>
  <c r="AH189" i="163"/>
  <c r="AH200" i="163"/>
  <c r="AH196" i="163"/>
  <c r="AH190" i="163"/>
  <c r="AH186" i="163"/>
  <c r="AH182" i="163"/>
  <c r="AH178" i="163"/>
  <c r="AH206" i="163"/>
  <c r="AH191" i="163"/>
  <c r="AH187" i="163"/>
  <c r="AH183" i="163"/>
  <c r="AH179" i="163"/>
  <c r="AH175" i="163"/>
  <c r="AH173" i="163"/>
  <c r="AH169" i="163"/>
  <c r="AH181" i="163"/>
  <c r="AH176" i="163"/>
  <c r="AH174" i="163"/>
  <c r="AH170" i="163"/>
  <c r="AH166" i="163"/>
  <c r="AH162" i="163"/>
  <c r="AH185" i="163"/>
  <c r="AH177" i="163"/>
  <c r="AH171" i="163"/>
  <c r="AH167" i="163"/>
  <c r="AH172" i="163"/>
  <c r="AH165" i="163"/>
  <c r="AH161" i="163"/>
  <c r="AH158" i="163"/>
  <c r="AH154" i="163"/>
  <c r="AH150" i="163"/>
  <c r="AH163" i="163"/>
  <c r="AH159" i="163"/>
  <c r="AH155" i="163"/>
  <c r="AH151" i="163"/>
  <c r="AH168" i="163"/>
  <c r="AH164" i="163"/>
  <c r="AH160" i="163"/>
  <c r="AH156" i="163"/>
  <c r="AH152" i="163"/>
  <c r="AH153" i="163"/>
  <c r="AH157" i="163"/>
  <c r="AH149" i="163"/>
  <c r="AI149" i="163" s="1"/>
  <c r="AI51" i="163"/>
  <c r="F14" i="161"/>
  <c r="F144" i="161"/>
  <c r="F107" i="161"/>
  <c r="F7" i="161"/>
  <c r="F20" i="161"/>
  <c r="F32" i="161"/>
  <c r="F15" i="161"/>
  <c r="F27" i="161"/>
  <c r="F9" i="161"/>
  <c r="F22" i="161"/>
  <c r="F34" i="161"/>
  <c r="F4" i="161"/>
  <c r="F17" i="161"/>
  <c r="F29" i="161"/>
  <c r="F11" i="161"/>
  <c r="F24" i="161"/>
  <c r="F36" i="161"/>
  <c r="F6" i="161"/>
  <c r="F19" i="161"/>
  <c r="F31" i="161"/>
  <c r="F13" i="161"/>
  <c r="F26" i="161"/>
  <c r="F16" i="161"/>
  <c r="F28" i="161"/>
  <c r="F5" i="161"/>
  <c r="F18" i="161"/>
  <c r="F30" i="161"/>
  <c r="F33" i="161"/>
  <c r="F47" i="161"/>
  <c r="F59" i="161"/>
  <c r="F42" i="161"/>
  <c r="F54" i="161"/>
  <c r="F12" i="161"/>
  <c r="F49" i="161"/>
  <c r="F61" i="161"/>
  <c r="F21" i="161"/>
  <c r="F44" i="161"/>
  <c r="F56" i="161"/>
  <c r="F35" i="161"/>
  <c r="F39" i="161"/>
  <c r="F51" i="161"/>
  <c r="F46" i="161"/>
  <c r="F8" i="161"/>
  <c r="F41" i="161"/>
  <c r="F53" i="161"/>
  <c r="F23" i="161"/>
  <c r="F48" i="161"/>
  <c r="F60" i="161"/>
  <c r="F37" i="161"/>
  <c r="F43" i="161"/>
  <c r="F55" i="161"/>
  <c r="F50" i="161"/>
  <c r="F68" i="161"/>
  <c r="F80" i="161"/>
  <c r="F63" i="161"/>
  <c r="F75" i="161"/>
  <c r="F25" i="161"/>
  <c r="F70" i="161"/>
  <c r="F82" i="161"/>
  <c r="F38" i="161"/>
  <c r="F65" i="161"/>
  <c r="F77" i="161"/>
  <c r="F72" i="161"/>
  <c r="F84" i="161"/>
  <c r="F52" i="161"/>
  <c r="F67" i="161"/>
  <c r="F79" i="161"/>
  <c r="F58" i="161"/>
  <c r="F74" i="161"/>
  <c r="F86" i="161"/>
  <c r="F69" i="161"/>
  <c r="F81" i="161"/>
  <c r="F40" i="161"/>
  <c r="F57" i="161"/>
  <c r="F64" i="161"/>
  <c r="F76" i="161"/>
  <c r="F90" i="161"/>
  <c r="F102" i="161"/>
  <c r="F10" i="161"/>
  <c r="F66" i="161"/>
  <c r="F97" i="161"/>
  <c r="F110" i="161"/>
  <c r="F85" i="161"/>
  <c r="F92" i="161"/>
  <c r="F104" i="161"/>
  <c r="F71" i="161"/>
  <c r="F83" i="161"/>
  <c r="F87" i="161"/>
  <c r="F99" i="161"/>
  <c r="F45" i="161"/>
  <c r="F94" i="161"/>
  <c r="F106" i="161"/>
  <c r="F89" i="161"/>
  <c r="F101" i="161"/>
  <c r="F62" i="161"/>
  <c r="F96" i="161"/>
  <c r="F109" i="161"/>
  <c r="F91" i="161"/>
  <c r="F103" i="161"/>
  <c r="F73" i="161"/>
  <c r="F98" i="161"/>
  <c r="F93" i="161"/>
  <c r="F113" i="161"/>
  <c r="F126" i="161"/>
  <c r="F121" i="161"/>
  <c r="F133" i="161"/>
  <c r="F108" i="161"/>
  <c r="F116" i="161"/>
  <c r="F128" i="161"/>
  <c r="F123" i="161"/>
  <c r="F135" i="161"/>
  <c r="F118" i="161"/>
  <c r="F130" i="161"/>
  <c r="F95" i="161"/>
  <c r="F112" i="161"/>
  <c r="F125" i="161"/>
  <c r="F120" i="161"/>
  <c r="F132" i="161"/>
  <c r="F100" i="161"/>
  <c r="F114" i="161"/>
  <c r="F127" i="161"/>
  <c r="F122" i="161"/>
  <c r="F138" i="161"/>
  <c r="F124" i="161"/>
  <c r="F140" i="161"/>
  <c r="F105" i="161"/>
  <c r="F129" i="161"/>
  <c r="F141" i="161"/>
  <c r="F143" i="161"/>
  <c r="F111" i="161"/>
  <c r="F134" i="161"/>
  <c r="F142" i="161"/>
  <c r="F137" i="161"/>
  <c r="F3" i="161"/>
  <c r="F117" i="161"/>
  <c r="F78" i="161"/>
  <c r="F131" i="161"/>
  <c r="F88" i="161"/>
  <c r="F136" i="161"/>
  <c r="F139" i="161"/>
  <c r="F119" i="161"/>
  <c r="F207" i="161"/>
  <c r="F195" i="161"/>
  <c r="F183" i="161"/>
  <c r="F201" i="161"/>
  <c r="F189" i="161"/>
  <c r="F206" i="161"/>
  <c r="F194" i="161"/>
  <c r="F182" i="161"/>
  <c r="F204" i="161"/>
  <c r="F192" i="161"/>
  <c r="F199" i="161"/>
  <c r="F174" i="161"/>
  <c r="F162" i="161"/>
  <c r="F190" i="161"/>
  <c r="F208" i="161"/>
  <c r="F173" i="161"/>
  <c r="F202" i="161"/>
  <c r="F191" i="161"/>
  <c r="F176" i="161"/>
  <c r="F166" i="161"/>
  <c r="F158" i="161"/>
  <c r="F198" i="161"/>
  <c r="F179" i="161"/>
  <c r="F184" i="161"/>
  <c r="F169" i="161"/>
  <c r="F167" i="161"/>
  <c r="F159" i="161"/>
  <c r="F157" i="161"/>
  <c r="F209" i="161"/>
  <c r="F196" i="161"/>
  <c r="F177" i="161"/>
  <c r="F161" i="161"/>
  <c r="F186" i="161"/>
  <c r="F180" i="161"/>
  <c r="F187" i="161"/>
  <c r="F181" i="161"/>
  <c r="F178" i="161"/>
  <c r="F172" i="161"/>
  <c r="F197" i="161"/>
  <c r="F193" i="161"/>
  <c r="F210" i="161"/>
  <c r="F185" i="161"/>
  <c r="F175" i="161"/>
  <c r="F152" i="161"/>
  <c r="F203" i="161"/>
  <c r="F164" i="161"/>
  <c r="F146" i="161"/>
  <c r="F200" i="161"/>
  <c r="F154" i="161"/>
  <c r="F171" i="161"/>
  <c r="F147" i="161"/>
  <c r="F205" i="161"/>
  <c r="F168" i="161"/>
  <c r="F165" i="161"/>
  <c r="F155" i="161"/>
  <c r="F153" i="161"/>
  <c r="F188" i="161"/>
  <c r="F163" i="161"/>
  <c r="F151" i="161"/>
  <c r="F170" i="161"/>
  <c r="F149" i="161"/>
  <c r="F160" i="161"/>
  <c r="F156" i="161"/>
  <c r="F148" i="161"/>
  <c r="F150" i="161"/>
  <c r="F145" i="161"/>
  <c r="G1" i="161"/>
  <c r="G115" i="161" s="1"/>
  <c r="G14" i="161" l="1"/>
  <c r="G144" i="161"/>
  <c r="G107" i="161"/>
  <c r="G12" i="161"/>
  <c r="G25" i="161"/>
  <c r="G37" i="161"/>
  <c r="G7" i="161"/>
  <c r="G20" i="161"/>
  <c r="G32" i="161"/>
  <c r="G15" i="161"/>
  <c r="G27" i="161"/>
  <c r="G9" i="161"/>
  <c r="G22" i="161"/>
  <c r="G34" i="161"/>
  <c r="G4" i="161"/>
  <c r="G17" i="161"/>
  <c r="G29" i="161"/>
  <c r="G11" i="161"/>
  <c r="G24" i="161"/>
  <c r="G36" i="161"/>
  <c r="G6" i="161"/>
  <c r="G19" i="161"/>
  <c r="G31" i="161"/>
  <c r="G8" i="161"/>
  <c r="G21" i="161"/>
  <c r="G33" i="161"/>
  <c r="G10" i="161"/>
  <c r="G23" i="161"/>
  <c r="G35" i="161"/>
  <c r="G40" i="161"/>
  <c r="G52" i="161"/>
  <c r="G16" i="161"/>
  <c r="G47" i="161"/>
  <c r="G59" i="161"/>
  <c r="G30" i="161"/>
  <c r="G42" i="161"/>
  <c r="G54" i="161"/>
  <c r="G49" i="161"/>
  <c r="G61" i="161"/>
  <c r="G44" i="161"/>
  <c r="G56" i="161"/>
  <c r="G18" i="161"/>
  <c r="G39" i="161"/>
  <c r="G51" i="161"/>
  <c r="G26" i="161"/>
  <c r="G46" i="161"/>
  <c r="G58" i="161"/>
  <c r="G41" i="161"/>
  <c r="G53" i="161"/>
  <c r="G5" i="161"/>
  <c r="G48" i="161"/>
  <c r="G73" i="161"/>
  <c r="G85" i="161"/>
  <c r="G50" i="161"/>
  <c r="G68" i="161"/>
  <c r="G80" i="161"/>
  <c r="G63" i="161"/>
  <c r="G75" i="161"/>
  <c r="G13" i="161"/>
  <c r="G55" i="161"/>
  <c r="G70" i="161"/>
  <c r="G82" i="161"/>
  <c r="G38" i="161"/>
  <c r="G65" i="161"/>
  <c r="G77" i="161"/>
  <c r="G72" i="161"/>
  <c r="G84" i="161"/>
  <c r="G43" i="161"/>
  <c r="G60" i="161"/>
  <c r="G67" i="161"/>
  <c r="G79" i="161"/>
  <c r="G28" i="161"/>
  <c r="G74" i="161"/>
  <c r="G69" i="161"/>
  <c r="G81" i="161"/>
  <c r="G95" i="161"/>
  <c r="G108" i="161"/>
  <c r="G90" i="161"/>
  <c r="G102" i="161"/>
  <c r="G66" i="161"/>
  <c r="G97" i="161"/>
  <c r="G110" i="161"/>
  <c r="G57" i="161"/>
  <c r="G92" i="161"/>
  <c r="G104" i="161"/>
  <c r="G71" i="161"/>
  <c r="G83" i="161"/>
  <c r="G87" i="161"/>
  <c r="G99" i="161"/>
  <c r="G45" i="161"/>
  <c r="G94" i="161"/>
  <c r="G106" i="161"/>
  <c r="G76" i="161"/>
  <c r="G89" i="161"/>
  <c r="G101" i="161"/>
  <c r="G62" i="161"/>
  <c r="G96" i="161"/>
  <c r="G109" i="161"/>
  <c r="G91" i="161"/>
  <c r="G103" i="161"/>
  <c r="G119" i="161"/>
  <c r="G131" i="161"/>
  <c r="G93" i="161"/>
  <c r="G113" i="161"/>
  <c r="G126" i="161"/>
  <c r="G121" i="161"/>
  <c r="G133" i="161"/>
  <c r="G98" i="161"/>
  <c r="G116" i="161"/>
  <c r="G128" i="161"/>
  <c r="G123" i="161"/>
  <c r="G135" i="161"/>
  <c r="G118" i="161"/>
  <c r="G130" i="161"/>
  <c r="G64" i="161"/>
  <c r="G112" i="161"/>
  <c r="G125" i="161"/>
  <c r="G86" i="161"/>
  <c r="G120" i="161"/>
  <c r="G132" i="161"/>
  <c r="G100" i="161"/>
  <c r="G114" i="161"/>
  <c r="G127" i="161"/>
  <c r="G143" i="161"/>
  <c r="G138" i="161"/>
  <c r="G141" i="161"/>
  <c r="G124" i="161"/>
  <c r="G140" i="161"/>
  <c r="G105" i="161"/>
  <c r="G129" i="161"/>
  <c r="G111" i="161"/>
  <c r="G134" i="161"/>
  <c r="G142" i="161"/>
  <c r="G122" i="161"/>
  <c r="G137" i="161"/>
  <c r="G3" i="161"/>
  <c r="G78" i="161"/>
  <c r="G117" i="161"/>
  <c r="G88" i="161"/>
  <c r="G136" i="161"/>
  <c r="G139" i="161"/>
  <c r="G200" i="161"/>
  <c r="G188" i="161"/>
  <c r="G206" i="161"/>
  <c r="G194" i="161"/>
  <c r="G199" i="161"/>
  <c r="G187" i="161"/>
  <c r="G209" i="161"/>
  <c r="G197" i="161"/>
  <c r="G185" i="161"/>
  <c r="G192" i="161"/>
  <c r="G167" i="161"/>
  <c r="G208" i="161"/>
  <c r="G183" i="161"/>
  <c r="G182" i="161"/>
  <c r="G173" i="161"/>
  <c r="G205" i="161"/>
  <c r="G201" i="161"/>
  <c r="G181" i="161"/>
  <c r="G178" i="161"/>
  <c r="G195" i="161"/>
  <c r="G184" i="161"/>
  <c r="G180" i="161"/>
  <c r="G169" i="161"/>
  <c r="G163" i="161"/>
  <c r="G151" i="161"/>
  <c r="G146" i="161"/>
  <c r="G191" i="161"/>
  <c r="G176" i="161"/>
  <c r="G159" i="161"/>
  <c r="G157" i="161"/>
  <c r="G204" i="161"/>
  <c r="G210" i="161"/>
  <c r="G202" i="161"/>
  <c r="G189" i="161"/>
  <c r="G170" i="161"/>
  <c r="G179" i="161"/>
  <c r="G171" i="161"/>
  <c r="G162" i="161"/>
  <c r="G160" i="161"/>
  <c r="G148" i="161"/>
  <c r="G193" i="161"/>
  <c r="G175" i="161"/>
  <c r="G161" i="161"/>
  <c r="G152" i="161"/>
  <c r="G174" i="161"/>
  <c r="G168" i="161"/>
  <c r="G166" i="161"/>
  <c r="G149" i="161"/>
  <c r="G186" i="161"/>
  <c r="G154" i="161"/>
  <c r="G147" i="161"/>
  <c r="G207" i="161"/>
  <c r="G165" i="161"/>
  <c r="G155" i="161"/>
  <c r="G153" i="161"/>
  <c r="G196" i="161"/>
  <c r="G177" i="161"/>
  <c r="G164" i="161"/>
  <c r="G198" i="161"/>
  <c r="G203" i="161"/>
  <c r="G190" i="161"/>
  <c r="G158" i="161"/>
  <c r="G172" i="161"/>
  <c r="G156" i="161"/>
  <c r="G145" i="161"/>
  <c r="G150" i="161"/>
  <c r="H1" i="161"/>
  <c r="H115" i="161" s="1"/>
  <c r="T69" i="158"/>
  <c r="H14" i="161" l="1"/>
  <c r="H144" i="161"/>
  <c r="H107" i="161"/>
  <c r="H5" i="161"/>
  <c r="H18" i="161"/>
  <c r="H30" i="161"/>
  <c r="H12" i="161"/>
  <c r="H25" i="161"/>
  <c r="H37" i="161"/>
  <c r="H7" i="161"/>
  <c r="H20" i="161"/>
  <c r="H32" i="161"/>
  <c r="H15" i="161"/>
  <c r="H27" i="161"/>
  <c r="H9" i="161"/>
  <c r="H22" i="161"/>
  <c r="H34" i="161"/>
  <c r="H4" i="161"/>
  <c r="H17" i="161"/>
  <c r="H29" i="161"/>
  <c r="H11" i="161"/>
  <c r="H24" i="161"/>
  <c r="H36" i="161"/>
  <c r="H13" i="161"/>
  <c r="H26" i="161"/>
  <c r="H16" i="161"/>
  <c r="H28" i="161"/>
  <c r="H19" i="161"/>
  <c r="H45" i="161"/>
  <c r="H57" i="161"/>
  <c r="H33" i="161"/>
  <c r="H40" i="161"/>
  <c r="H52" i="161"/>
  <c r="H47" i="161"/>
  <c r="H59" i="161"/>
  <c r="H6" i="161"/>
  <c r="H42" i="161"/>
  <c r="H54" i="161"/>
  <c r="H21" i="161"/>
  <c r="H49" i="161"/>
  <c r="H61" i="161"/>
  <c r="H35" i="161"/>
  <c r="H44" i="161"/>
  <c r="H56" i="161"/>
  <c r="H39" i="161"/>
  <c r="H51" i="161"/>
  <c r="H8" i="161"/>
  <c r="H46" i="161"/>
  <c r="H58" i="161"/>
  <c r="H23" i="161"/>
  <c r="H41" i="161"/>
  <c r="H53" i="161"/>
  <c r="H31" i="161"/>
  <c r="H66" i="161"/>
  <c r="H78" i="161"/>
  <c r="H73" i="161"/>
  <c r="H50" i="161"/>
  <c r="H68" i="161"/>
  <c r="H80" i="161"/>
  <c r="H63" i="161"/>
  <c r="H75" i="161"/>
  <c r="H55" i="161"/>
  <c r="H70" i="161"/>
  <c r="H82" i="161"/>
  <c r="H38" i="161"/>
  <c r="H65" i="161"/>
  <c r="H77" i="161"/>
  <c r="H72" i="161"/>
  <c r="H84" i="161"/>
  <c r="H43" i="161"/>
  <c r="H60" i="161"/>
  <c r="H67" i="161"/>
  <c r="H79" i="161"/>
  <c r="H74" i="161"/>
  <c r="H69" i="161"/>
  <c r="H88" i="161"/>
  <c r="H100" i="161"/>
  <c r="H95" i="161"/>
  <c r="H108" i="161"/>
  <c r="H10" i="161"/>
  <c r="H90" i="161"/>
  <c r="H102" i="161"/>
  <c r="H85" i="161"/>
  <c r="H97" i="161"/>
  <c r="H110" i="161"/>
  <c r="H92" i="161"/>
  <c r="H104" i="161"/>
  <c r="H71" i="161"/>
  <c r="H83" i="161"/>
  <c r="H87" i="161"/>
  <c r="H99" i="161"/>
  <c r="H94" i="161"/>
  <c r="H106" i="161"/>
  <c r="H76" i="161"/>
  <c r="H89" i="161"/>
  <c r="H101" i="161"/>
  <c r="H62" i="161"/>
  <c r="H96" i="161"/>
  <c r="H109" i="161"/>
  <c r="H111" i="161"/>
  <c r="H124" i="161"/>
  <c r="H136" i="161"/>
  <c r="H119" i="161"/>
  <c r="H131" i="161"/>
  <c r="H93" i="161"/>
  <c r="H113" i="161"/>
  <c r="H126" i="161"/>
  <c r="H81" i="161"/>
  <c r="H121" i="161"/>
  <c r="H133" i="161"/>
  <c r="H98" i="161"/>
  <c r="H116" i="161"/>
  <c r="H128" i="161"/>
  <c r="H123" i="161"/>
  <c r="H48" i="161"/>
  <c r="H103" i="161"/>
  <c r="H118" i="161"/>
  <c r="H130" i="161"/>
  <c r="H64" i="161"/>
  <c r="H112" i="161"/>
  <c r="H125" i="161"/>
  <c r="H86" i="161"/>
  <c r="H120" i="161"/>
  <c r="H91" i="161"/>
  <c r="H127" i="161"/>
  <c r="H143" i="161"/>
  <c r="H138" i="161"/>
  <c r="H114" i="161"/>
  <c r="H140" i="161"/>
  <c r="H105" i="161"/>
  <c r="H129" i="161"/>
  <c r="H134" i="161"/>
  <c r="H135" i="161"/>
  <c r="H142" i="161"/>
  <c r="H139" i="161"/>
  <c r="H137" i="161"/>
  <c r="H3" i="161"/>
  <c r="H117" i="161"/>
  <c r="H132" i="161"/>
  <c r="H122" i="161"/>
  <c r="H141" i="161"/>
  <c r="H205" i="161"/>
  <c r="H193" i="161"/>
  <c r="H181" i="161"/>
  <c r="H199" i="161"/>
  <c r="H187" i="161"/>
  <c r="H204" i="161"/>
  <c r="H192" i="161"/>
  <c r="H209" i="161"/>
  <c r="H202" i="161"/>
  <c r="H190" i="161"/>
  <c r="H203" i="161"/>
  <c r="H185" i="161"/>
  <c r="H172" i="161"/>
  <c r="H160" i="161"/>
  <c r="H201" i="161"/>
  <c r="H178" i="161"/>
  <c r="H198" i="161"/>
  <c r="H194" i="161"/>
  <c r="H171" i="161"/>
  <c r="H188" i="161"/>
  <c r="H174" i="161"/>
  <c r="H208" i="161"/>
  <c r="H207" i="161"/>
  <c r="H182" i="161"/>
  <c r="H156" i="161"/>
  <c r="H184" i="161"/>
  <c r="H169" i="161"/>
  <c r="H167" i="161"/>
  <c r="H197" i="161"/>
  <c r="H164" i="161"/>
  <c r="H155" i="161"/>
  <c r="H195" i="161"/>
  <c r="H180" i="161"/>
  <c r="H166" i="161"/>
  <c r="H158" i="161"/>
  <c r="H179" i="161"/>
  <c r="H200" i="161"/>
  <c r="H191" i="161"/>
  <c r="H157" i="161"/>
  <c r="H210" i="161"/>
  <c r="H206" i="161"/>
  <c r="H189" i="161"/>
  <c r="H168" i="161"/>
  <c r="H149" i="161"/>
  <c r="H151" i="161"/>
  <c r="H175" i="161"/>
  <c r="H152" i="161"/>
  <c r="H176" i="161"/>
  <c r="H196" i="161"/>
  <c r="H183" i="161"/>
  <c r="H177" i="161"/>
  <c r="H173" i="161"/>
  <c r="H163" i="161"/>
  <c r="H146" i="161"/>
  <c r="H162" i="161"/>
  <c r="H161" i="161"/>
  <c r="H170" i="161"/>
  <c r="H154" i="161"/>
  <c r="H147" i="161"/>
  <c r="H159" i="161"/>
  <c r="H150" i="161"/>
  <c r="H186" i="161"/>
  <c r="H165" i="161"/>
  <c r="H153" i="161"/>
  <c r="H145" i="161"/>
  <c r="H148" i="161"/>
  <c r="I1" i="161"/>
  <c r="I115" i="161" s="1"/>
  <c r="I14" i="161" l="1"/>
  <c r="I144" i="161"/>
  <c r="I107" i="161"/>
  <c r="I10" i="161"/>
  <c r="I23" i="161"/>
  <c r="I35" i="161"/>
  <c r="I5" i="161"/>
  <c r="I18" i="161"/>
  <c r="I30" i="161"/>
  <c r="I12" i="161"/>
  <c r="I25" i="161"/>
  <c r="I37" i="161"/>
  <c r="I7" i="161"/>
  <c r="I20" i="161"/>
  <c r="I32" i="161"/>
  <c r="I15" i="161"/>
  <c r="I27" i="161"/>
  <c r="I9" i="161"/>
  <c r="I22" i="161"/>
  <c r="I34" i="161"/>
  <c r="I4" i="161"/>
  <c r="I17" i="161"/>
  <c r="I29" i="161"/>
  <c r="I6" i="161"/>
  <c r="I19" i="161"/>
  <c r="I31" i="161"/>
  <c r="I8" i="161"/>
  <c r="I21" i="161"/>
  <c r="I33" i="161"/>
  <c r="I36" i="161"/>
  <c r="I38" i="161"/>
  <c r="I50" i="161"/>
  <c r="I62" i="161"/>
  <c r="I45" i="161"/>
  <c r="I57" i="161"/>
  <c r="I16" i="161"/>
  <c r="I40" i="161"/>
  <c r="I52" i="161"/>
  <c r="I24" i="161"/>
  <c r="I47" i="161"/>
  <c r="I59" i="161"/>
  <c r="I42" i="161"/>
  <c r="I54" i="161"/>
  <c r="I49" i="161"/>
  <c r="I11" i="161"/>
  <c r="I44" i="161"/>
  <c r="I56" i="161"/>
  <c r="I26" i="161"/>
  <c r="I39" i="161"/>
  <c r="I51" i="161"/>
  <c r="I46" i="161"/>
  <c r="I58" i="161"/>
  <c r="I53" i="161"/>
  <c r="I71" i="161"/>
  <c r="I83" i="161"/>
  <c r="I66" i="161"/>
  <c r="I78" i="161"/>
  <c r="I73" i="161"/>
  <c r="I85" i="161"/>
  <c r="I41" i="161"/>
  <c r="I68" i="161"/>
  <c r="I80" i="161"/>
  <c r="I13" i="161"/>
  <c r="I63" i="161"/>
  <c r="I75" i="161"/>
  <c r="I55" i="161"/>
  <c r="I70" i="161"/>
  <c r="I82" i="161"/>
  <c r="I65" i="161"/>
  <c r="I77" i="161"/>
  <c r="I72" i="161"/>
  <c r="I84" i="161"/>
  <c r="I28" i="161"/>
  <c r="I43" i="161"/>
  <c r="I60" i="161"/>
  <c r="I61" i="161"/>
  <c r="I67" i="161"/>
  <c r="I79" i="161"/>
  <c r="I86" i="161"/>
  <c r="I93" i="161"/>
  <c r="I105" i="161"/>
  <c r="I69" i="161"/>
  <c r="I88" i="161"/>
  <c r="I100" i="161"/>
  <c r="I95" i="161"/>
  <c r="I108" i="161"/>
  <c r="I74" i="161"/>
  <c r="I90" i="161"/>
  <c r="I102" i="161"/>
  <c r="I97" i="161"/>
  <c r="I110" i="161"/>
  <c r="I92" i="161"/>
  <c r="I104" i="161"/>
  <c r="I87" i="161"/>
  <c r="I99" i="161"/>
  <c r="I94" i="161"/>
  <c r="I106" i="161"/>
  <c r="I76" i="161"/>
  <c r="I89" i="161"/>
  <c r="I101" i="161"/>
  <c r="I96" i="161"/>
  <c r="I117" i="161"/>
  <c r="I129" i="161"/>
  <c r="I111" i="161"/>
  <c r="I124" i="161"/>
  <c r="I136" i="161"/>
  <c r="I119" i="161"/>
  <c r="I131" i="161"/>
  <c r="I113" i="161"/>
  <c r="I126" i="161"/>
  <c r="I81" i="161"/>
  <c r="I121" i="161"/>
  <c r="I133" i="161"/>
  <c r="I98" i="161"/>
  <c r="I116" i="161"/>
  <c r="I128" i="161"/>
  <c r="I123" i="161"/>
  <c r="I135" i="161"/>
  <c r="I48" i="161"/>
  <c r="I103" i="161"/>
  <c r="I118" i="161"/>
  <c r="I130" i="161"/>
  <c r="I64" i="161"/>
  <c r="I112" i="161"/>
  <c r="I125" i="161"/>
  <c r="I141" i="161"/>
  <c r="I132" i="161"/>
  <c r="I109" i="161"/>
  <c r="I91" i="161"/>
  <c r="I127" i="161"/>
  <c r="I143" i="161"/>
  <c r="I138" i="161"/>
  <c r="I114" i="161"/>
  <c r="I140" i="161"/>
  <c r="I139" i="161"/>
  <c r="I120" i="161"/>
  <c r="I134" i="161"/>
  <c r="I142" i="161"/>
  <c r="I137" i="161"/>
  <c r="I3" i="161"/>
  <c r="I122" i="161"/>
  <c r="I210" i="161"/>
  <c r="I198" i="161"/>
  <c r="I186" i="161"/>
  <c r="I204" i="161"/>
  <c r="I192" i="161"/>
  <c r="I209" i="161"/>
  <c r="I197" i="161"/>
  <c r="I185" i="161"/>
  <c r="I207" i="161"/>
  <c r="I195" i="161"/>
  <c r="I183" i="161"/>
  <c r="I196" i="161"/>
  <c r="I179" i="161"/>
  <c r="I177" i="161"/>
  <c r="I165" i="161"/>
  <c r="I205" i="161"/>
  <c r="I194" i="161"/>
  <c r="I181" i="161"/>
  <c r="I171" i="161"/>
  <c r="I191" i="161"/>
  <c r="I187" i="161"/>
  <c r="I176" i="161"/>
  <c r="I206" i="161"/>
  <c r="I201" i="161"/>
  <c r="I200" i="161"/>
  <c r="I178" i="161"/>
  <c r="I160" i="161"/>
  <c r="I149" i="161"/>
  <c r="I164" i="161"/>
  <c r="I203" i="161"/>
  <c r="I190" i="161"/>
  <c r="I173" i="161"/>
  <c r="I161" i="161"/>
  <c r="I188" i="161"/>
  <c r="I174" i="161"/>
  <c r="I163" i="161"/>
  <c r="I208" i="161"/>
  <c r="I182" i="161"/>
  <c r="I167" i="161"/>
  <c r="I153" i="161"/>
  <c r="I189" i="161"/>
  <c r="I202" i="161"/>
  <c r="I166" i="161"/>
  <c r="I159" i="161"/>
  <c r="I156" i="161"/>
  <c r="I155" i="161"/>
  <c r="I199" i="161"/>
  <c r="I180" i="161"/>
  <c r="I172" i="161"/>
  <c r="I162" i="161"/>
  <c r="I148" i="161"/>
  <c r="I175" i="161"/>
  <c r="I157" i="161"/>
  <c r="I152" i="161"/>
  <c r="I150" i="161"/>
  <c r="I184" i="161"/>
  <c r="I146" i="161"/>
  <c r="I151" i="161"/>
  <c r="I169" i="161"/>
  <c r="I193" i="161"/>
  <c r="I170" i="161"/>
  <c r="I168" i="161"/>
  <c r="I154" i="161"/>
  <c r="I158" i="161"/>
  <c r="I147" i="161"/>
  <c r="I145" i="161"/>
  <c r="J1" i="161"/>
  <c r="J115" i="161" s="1"/>
  <c r="J14" i="161" l="1"/>
  <c r="J144" i="161"/>
  <c r="J107" i="161"/>
  <c r="J16" i="161"/>
  <c r="J28" i="161"/>
  <c r="J10" i="161"/>
  <c r="J23" i="161"/>
  <c r="J35" i="161"/>
  <c r="J5" i="161"/>
  <c r="J18" i="161"/>
  <c r="J30" i="161"/>
  <c r="J12" i="161"/>
  <c r="J25" i="161"/>
  <c r="J37" i="161"/>
  <c r="J7" i="161"/>
  <c r="J20" i="161"/>
  <c r="J32" i="161"/>
  <c r="J15" i="161"/>
  <c r="J27" i="161"/>
  <c r="J9" i="161"/>
  <c r="J22" i="161"/>
  <c r="J34" i="161"/>
  <c r="J11" i="161"/>
  <c r="J24" i="161"/>
  <c r="J36" i="161"/>
  <c r="J13" i="161"/>
  <c r="J26" i="161"/>
  <c r="J4" i="161"/>
  <c r="J43" i="161"/>
  <c r="J55" i="161"/>
  <c r="J19" i="161"/>
  <c r="J38" i="161"/>
  <c r="J50" i="161"/>
  <c r="J62" i="161"/>
  <c r="J33" i="161"/>
  <c r="J45" i="161"/>
  <c r="J57" i="161"/>
  <c r="J40" i="161"/>
  <c r="J52" i="161"/>
  <c r="J6" i="161"/>
  <c r="J47" i="161"/>
  <c r="J59" i="161"/>
  <c r="J21" i="161"/>
  <c r="J42" i="161"/>
  <c r="J54" i="161"/>
  <c r="J29" i="161"/>
  <c r="J49" i="161"/>
  <c r="J61" i="161"/>
  <c r="J44" i="161"/>
  <c r="J56" i="161"/>
  <c r="J8" i="161"/>
  <c r="J39" i="161"/>
  <c r="J51" i="161"/>
  <c r="J64" i="161"/>
  <c r="J76" i="161"/>
  <c r="J31" i="161"/>
  <c r="J53" i="161"/>
  <c r="J71" i="161"/>
  <c r="J83" i="161"/>
  <c r="J66" i="161"/>
  <c r="J78" i="161"/>
  <c r="J73" i="161"/>
  <c r="J41" i="161"/>
  <c r="J68" i="161"/>
  <c r="J80" i="161"/>
  <c r="J63" i="161"/>
  <c r="J75" i="161"/>
  <c r="J46" i="161"/>
  <c r="J70" i="161"/>
  <c r="J82" i="161"/>
  <c r="J58" i="161"/>
  <c r="J65" i="161"/>
  <c r="J77" i="161"/>
  <c r="J72" i="161"/>
  <c r="J60" i="161"/>
  <c r="J98" i="161"/>
  <c r="J86" i="161"/>
  <c r="J93" i="161"/>
  <c r="J105" i="161"/>
  <c r="J69" i="161"/>
  <c r="J84" i="161"/>
  <c r="J88" i="161"/>
  <c r="J100" i="161"/>
  <c r="J17" i="161"/>
  <c r="J95" i="161"/>
  <c r="J108" i="161"/>
  <c r="J74" i="161"/>
  <c r="J85" i="161"/>
  <c r="J90" i="161"/>
  <c r="J102" i="161"/>
  <c r="J97" i="161"/>
  <c r="J79" i="161"/>
  <c r="J92" i="161"/>
  <c r="J104" i="161"/>
  <c r="J87" i="161"/>
  <c r="J99" i="161"/>
  <c r="J94" i="161"/>
  <c r="J106" i="161"/>
  <c r="J67" i="161"/>
  <c r="J122" i="161"/>
  <c r="J134" i="161"/>
  <c r="J96" i="161"/>
  <c r="J117" i="161"/>
  <c r="J129" i="161"/>
  <c r="J111" i="161"/>
  <c r="J124" i="161"/>
  <c r="J136" i="161"/>
  <c r="J101" i="161"/>
  <c r="J119" i="161"/>
  <c r="J131" i="161"/>
  <c r="J113" i="161"/>
  <c r="J126" i="161"/>
  <c r="J81" i="161"/>
  <c r="J121" i="161"/>
  <c r="J133" i="161"/>
  <c r="J89" i="161"/>
  <c r="J116" i="161"/>
  <c r="J128" i="161"/>
  <c r="J123" i="161"/>
  <c r="J135" i="161"/>
  <c r="J48" i="161"/>
  <c r="J103" i="161"/>
  <c r="J118" i="161"/>
  <c r="J110" i="161"/>
  <c r="J112" i="161"/>
  <c r="J130" i="161"/>
  <c r="J141" i="161"/>
  <c r="J109" i="161"/>
  <c r="J91" i="161"/>
  <c r="J127" i="161"/>
  <c r="J143" i="161"/>
  <c r="J138" i="161"/>
  <c r="J114" i="161"/>
  <c r="J137" i="161"/>
  <c r="J132" i="161"/>
  <c r="J140" i="161"/>
  <c r="J120" i="161"/>
  <c r="J3" i="161"/>
  <c r="J142" i="161"/>
  <c r="J125" i="161"/>
  <c r="J139" i="161"/>
  <c r="J203" i="161"/>
  <c r="J191" i="161"/>
  <c r="J179" i="161"/>
  <c r="J209" i="161"/>
  <c r="J197" i="161"/>
  <c r="J185" i="161"/>
  <c r="J202" i="161"/>
  <c r="J190" i="161"/>
  <c r="J200" i="161"/>
  <c r="J188" i="161"/>
  <c r="J207" i="161"/>
  <c r="J189" i="161"/>
  <c r="J170" i="161"/>
  <c r="J198" i="161"/>
  <c r="J187" i="161"/>
  <c r="J176" i="161"/>
  <c r="J184" i="161"/>
  <c r="J180" i="161"/>
  <c r="J169" i="161"/>
  <c r="J199" i="161"/>
  <c r="J172" i="161"/>
  <c r="J194" i="161"/>
  <c r="J193" i="161"/>
  <c r="J175" i="161"/>
  <c r="J171" i="161"/>
  <c r="J154" i="161"/>
  <c r="J204" i="161"/>
  <c r="J173" i="161"/>
  <c r="J161" i="161"/>
  <c r="J196" i="161"/>
  <c r="J183" i="161"/>
  <c r="J177" i="161"/>
  <c r="J208" i="161"/>
  <c r="J182" i="161"/>
  <c r="J156" i="161"/>
  <c r="J181" i="161"/>
  <c r="J178" i="161"/>
  <c r="J165" i="161"/>
  <c r="J150" i="161"/>
  <c r="J210" i="161"/>
  <c r="J206" i="161"/>
  <c r="J174" i="161"/>
  <c r="J159" i="161"/>
  <c r="J155" i="161"/>
  <c r="J146" i="161"/>
  <c r="J195" i="161"/>
  <c r="J157" i="161"/>
  <c r="J192" i="161"/>
  <c r="J145" i="161"/>
  <c r="J205" i="161"/>
  <c r="J186" i="161"/>
  <c r="J164" i="161"/>
  <c r="J163" i="161"/>
  <c r="J151" i="161"/>
  <c r="J162" i="161"/>
  <c r="J201" i="161"/>
  <c r="J160" i="161"/>
  <c r="J152" i="161"/>
  <c r="J149" i="161"/>
  <c r="J167" i="161"/>
  <c r="J166" i="161"/>
  <c r="J158" i="161"/>
  <c r="J147" i="161"/>
  <c r="J148" i="161"/>
  <c r="J168" i="161"/>
  <c r="J153" i="161"/>
  <c r="K1" i="161"/>
  <c r="K115" i="161" s="1"/>
  <c r="K14" i="161" l="1"/>
  <c r="K144" i="161"/>
  <c r="K107" i="161"/>
  <c r="K8" i="161"/>
  <c r="K21" i="161"/>
  <c r="K33" i="161"/>
  <c r="K16" i="161"/>
  <c r="K28" i="161"/>
  <c r="K10" i="161"/>
  <c r="K23" i="161"/>
  <c r="K35" i="161"/>
  <c r="K5" i="161"/>
  <c r="K18" i="161"/>
  <c r="K30" i="161"/>
  <c r="K12" i="161"/>
  <c r="K25" i="161"/>
  <c r="K37" i="161"/>
  <c r="K7" i="161"/>
  <c r="K20" i="161"/>
  <c r="K32" i="161"/>
  <c r="K15" i="161"/>
  <c r="K27" i="161"/>
  <c r="K4" i="161"/>
  <c r="K17" i="161"/>
  <c r="K29" i="161"/>
  <c r="K6" i="161"/>
  <c r="K19" i="161"/>
  <c r="K31" i="161"/>
  <c r="K22" i="161"/>
  <c r="K48" i="161"/>
  <c r="K60" i="161"/>
  <c r="K36" i="161"/>
  <c r="K43" i="161"/>
  <c r="K55" i="161"/>
  <c r="K38" i="161"/>
  <c r="K50" i="161"/>
  <c r="K9" i="161"/>
  <c r="K45" i="161"/>
  <c r="K57" i="161"/>
  <c r="K24" i="161"/>
  <c r="K40" i="161"/>
  <c r="K52" i="161"/>
  <c r="K47" i="161"/>
  <c r="K42" i="161"/>
  <c r="K54" i="161"/>
  <c r="K11" i="161"/>
  <c r="K49" i="161"/>
  <c r="K61" i="161"/>
  <c r="K26" i="161"/>
  <c r="K44" i="161"/>
  <c r="K56" i="161"/>
  <c r="K39" i="161"/>
  <c r="K62" i="161"/>
  <c r="K69" i="161"/>
  <c r="K81" i="161"/>
  <c r="K64" i="161"/>
  <c r="K76" i="161"/>
  <c r="K53" i="161"/>
  <c r="K71" i="161"/>
  <c r="K83" i="161"/>
  <c r="K66" i="161"/>
  <c r="K78" i="161"/>
  <c r="K73" i="161"/>
  <c r="K85" i="161"/>
  <c r="K13" i="161"/>
  <c r="K41" i="161"/>
  <c r="K68" i="161"/>
  <c r="K80" i="161"/>
  <c r="K34" i="161"/>
  <c r="K63" i="161"/>
  <c r="K75" i="161"/>
  <c r="K46" i="161"/>
  <c r="K59" i="161"/>
  <c r="K70" i="161"/>
  <c r="K82" i="161"/>
  <c r="K58" i="161"/>
  <c r="K65" i="161"/>
  <c r="K77" i="161"/>
  <c r="K72" i="161"/>
  <c r="K91" i="161"/>
  <c r="K103" i="161"/>
  <c r="K98" i="161"/>
  <c r="K86" i="161"/>
  <c r="K93" i="161"/>
  <c r="K105" i="161"/>
  <c r="K51" i="161"/>
  <c r="K84" i="161"/>
  <c r="K88" i="161"/>
  <c r="K100" i="161"/>
  <c r="K95" i="161"/>
  <c r="K108" i="161"/>
  <c r="K74" i="161"/>
  <c r="K90" i="161"/>
  <c r="K102" i="161"/>
  <c r="K97" i="161"/>
  <c r="K110" i="161"/>
  <c r="K79" i="161"/>
  <c r="K92" i="161"/>
  <c r="K104" i="161"/>
  <c r="K87" i="161"/>
  <c r="K99" i="161"/>
  <c r="K109" i="161"/>
  <c r="K114" i="161"/>
  <c r="K127" i="161"/>
  <c r="K67" i="161"/>
  <c r="K122" i="161"/>
  <c r="K134" i="161"/>
  <c r="K96" i="161"/>
  <c r="K117" i="161"/>
  <c r="K129" i="161"/>
  <c r="K111" i="161"/>
  <c r="K124" i="161"/>
  <c r="K101" i="161"/>
  <c r="K119" i="161"/>
  <c r="K131" i="161"/>
  <c r="K113" i="161"/>
  <c r="K126" i="161"/>
  <c r="K106" i="161"/>
  <c r="K121" i="161"/>
  <c r="K133" i="161"/>
  <c r="K89" i="161"/>
  <c r="K116" i="161"/>
  <c r="K128" i="161"/>
  <c r="K123" i="161"/>
  <c r="K139" i="161"/>
  <c r="K112" i="161"/>
  <c r="K130" i="161"/>
  <c r="K141" i="161"/>
  <c r="K142" i="161"/>
  <c r="K118" i="161"/>
  <c r="K132" i="161"/>
  <c r="K143" i="161"/>
  <c r="K3" i="161"/>
  <c r="K138" i="161"/>
  <c r="K94" i="161"/>
  <c r="K135" i="161"/>
  <c r="K140" i="161"/>
  <c r="K136" i="161"/>
  <c r="K125" i="161"/>
  <c r="K137" i="161"/>
  <c r="K120" i="161"/>
  <c r="K208" i="161"/>
  <c r="K196" i="161"/>
  <c r="K184" i="161"/>
  <c r="K202" i="161"/>
  <c r="K190" i="161"/>
  <c r="K207" i="161"/>
  <c r="K195" i="161"/>
  <c r="K183" i="161"/>
  <c r="K205" i="161"/>
  <c r="K193" i="161"/>
  <c r="K210" i="161"/>
  <c r="K200" i="161"/>
  <c r="K175" i="161"/>
  <c r="K163" i="161"/>
  <c r="K191" i="161"/>
  <c r="K180" i="161"/>
  <c r="K169" i="161"/>
  <c r="K174" i="161"/>
  <c r="K203" i="161"/>
  <c r="K192" i="161"/>
  <c r="K177" i="161"/>
  <c r="K187" i="161"/>
  <c r="K186" i="161"/>
  <c r="K168" i="161"/>
  <c r="K165" i="161"/>
  <c r="K147" i="161"/>
  <c r="K197" i="161"/>
  <c r="K189" i="161"/>
  <c r="K170" i="161"/>
  <c r="K166" i="161"/>
  <c r="K158" i="161"/>
  <c r="K201" i="161"/>
  <c r="K178" i="161"/>
  <c r="K160" i="161"/>
  <c r="K204" i="161"/>
  <c r="K145" i="161"/>
  <c r="K185" i="161"/>
  <c r="K156" i="161"/>
  <c r="K146" i="161"/>
  <c r="K198" i="161"/>
  <c r="K194" i="161"/>
  <c r="K164" i="161"/>
  <c r="K154" i="161"/>
  <c r="K151" i="161"/>
  <c r="K182" i="161"/>
  <c r="K181" i="161"/>
  <c r="K179" i="161"/>
  <c r="K167" i="161"/>
  <c r="K153" i="161"/>
  <c r="K171" i="161"/>
  <c r="K150" i="161"/>
  <c r="K176" i="161"/>
  <c r="K172" i="161"/>
  <c r="K173" i="161"/>
  <c r="K162" i="161"/>
  <c r="K209" i="161"/>
  <c r="K188" i="161"/>
  <c r="K161" i="161"/>
  <c r="K149" i="161"/>
  <c r="K206" i="161"/>
  <c r="K157" i="161"/>
  <c r="K159" i="161"/>
  <c r="K199" i="161"/>
  <c r="K155" i="161"/>
  <c r="K152" i="161"/>
  <c r="K148" i="161"/>
  <c r="L1" i="161"/>
  <c r="L115" i="161" s="1"/>
  <c r="T66" i="158"/>
  <c r="T65" i="158"/>
  <c r="T64" i="158"/>
  <c r="T63" i="158"/>
  <c r="L14" i="161" l="1"/>
  <c r="L144" i="161"/>
  <c r="L107" i="161"/>
  <c r="L13" i="161"/>
  <c r="L26" i="161"/>
  <c r="L8" i="161"/>
  <c r="L21" i="161"/>
  <c r="L33" i="161"/>
  <c r="L16" i="161"/>
  <c r="L28" i="161"/>
  <c r="L10" i="161"/>
  <c r="L23" i="161"/>
  <c r="L35" i="161"/>
  <c r="L5" i="161"/>
  <c r="L18" i="161"/>
  <c r="L30" i="161"/>
  <c r="L12" i="161"/>
  <c r="L25" i="161"/>
  <c r="L37" i="161"/>
  <c r="L7" i="161"/>
  <c r="L20" i="161"/>
  <c r="L32" i="161"/>
  <c r="L9" i="161"/>
  <c r="L22" i="161"/>
  <c r="L34" i="161"/>
  <c r="L11" i="161"/>
  <c r="L24" i="161"/>
  <c r="L36" i="161"/>
  <c r="L41" i="161"/>
  <c r="L53" i="161"/>
  <c r="L4" i="161"/>
  <c r="L48" i="161"/>
  <c r="L60" i="161"/>
  <c r="L19" i="161"/>
  <c r="L43" i="161"/>
  <c r="L55" i="161"/>
  <c r="L27" i="161"/>
  <c r="L38" i="161"/>
  <c r="L50" i="161"/>
  <c r="L45" i="161"/>
  <c r="L57" i="161"/>
  <c r="L6" i="161"/>
  <c r="L40" i="161"/>
  <c r="L52" i="161"/>
  <c r="L15" i="161"/>
  <c r="L47" i="161"/>
  <c r="L59" i="161"/>
  <c r="L29" i="161"/>
  <c r="L42" i="161"/>
  <c r="L54" i="161"/>
  <c r="L49" i="161"/>
  <c r="L56" i="161"/>
  <c r="L74" i="161"/>
  <c r="L39" i="161"/>
  <c r="L62" i="161"/>
  <c r="L69" i="161"/>
  <c r="L81" i="161"/>
  <c r="L31" i="161"/>
  <c r="L64" i="161"/>
  <c r="L76" i="161"/>
  <c r="L44" i="161"/>
  <c r="L71" i="161"/>
  <c r="L83" i="161"/>
  <c r="L66" i="161"/>
  <c r="L78" i="161"/>
  <c r="L73" i="161"/>
  <c r="L68" i="161"/>
  <c r="L80" i="161"/>
  <c r="L63" i="161"/>
  <c r="L75" i="161"/>
  <c r="L46" i="161"/>
  <c r="L70" i="161"/>
  <c r="L96" i="161"/>
  <c r="L109" i="161"/>
  <c r="L72" i="161"/>
  <c r="L91" i="161"/>
  <c r="L103" i="161"/>
  <c r="L98" i="161"/>
  <c r="L61" i="161"/>
  <c r="L77" i="161"/>
  <c r="L86" i="161"/>
  <c r="L93" i="161"/>
  <c r="L105" i="161"/>
  <c r="L17" i="161"/>
  <c r="L51" i="161"/>
  <c r="L84" i="161"/>
  <c r="L88" i="161"/>
  <c r="L100" i="161"/>
  <c r="L85" i="161"/>
  <c r="L95" i="161"/>
  <c r="L108" i="161"/>
  <c r="L58" i="161"/>
  <c r="L65" i="161"/>
  <c r="L82" i="161"/>
  <c r="L90" i="161"/>
  <c r="L102" i="161"/>
  <c r="L97" i="161"/>
  <c r="L79" i="161"/>
  <c r="L92" i="161"/>
  <c r="L104" i="161"/>
  <c r="L99" i="161"/>
  <c r="L120" i="161"/>
  <c r="L132" i="161"/>
  <c r="L114" i="161"/>
  <c r="L127" i="161"/>
  <c r="L67" i="161"/>
  <c r="L122" i="161"/>
  <c r="L134" i="161"/>
  <c r="L87" i="161"/>
  <c r="L117" i="161"/>
  <c r="L129" i="161"/>
  <c r="L111" i="161"/>
  <c r="L124" i="161"/>
  <c r="L136" i="161"/>
  <c r="L101" i="161"/>
  <c r="L119" i="161"/>
  <c r="L131" i="161"/>
  <c r="L113" i="161"/>
  <c r="L126" i="161"/>
  <c r="L106" i="161"/>
  <c r="L121" i="161"/>
  <c r="L133" i="161"/>
  <c r="L89" i="161"/>
  <c r="L116" i="161"/>
  <c r="L128" i="161"/>
  <c r="L110" i="161"/>
  <c r="L139" i="161"/>
  <c r="L112" i="161"/>
  <c r="L130" i="161"/>
  <c r="L125" i="161"/>
  <c r="L141" i="161"/>
  <c r="L118" i="161"/>
  <c r="L143" i="161"/>
  <c r="L142" i="161"/>
  <c r="L123" i="161"/>
  <c r="L138" i="161"/>
  <c r="L94" i="161"/>
  <c r="L135" i="161"/>
  <c r="L140" i="161"/>
  <c r="L137" i="161"/>
  <c r="L3" i="161"/>
  <c r="L201" i="161"/>
  <c r="L189" i="161"/>
  <c r="L207" i="161"/>
  <c r="L195" i="161"/>
  <c r="L183" i="161"/>
  <c r="L200" i="161"/>
  <c r="L188" i="161"/>
  <c r="L210" i="161"/>
  <c r="L198" i="161"/>
  <c r="L186" i="161"/>
  <c r="L193" i="161"/>
  <c r="L168" i="161"/>
  <c r="L184" i="161"/>
  <c r="L174" i="161"/>
  <c r="L209" i="161"/>
  <c r="L206" i="161"/>
  <c r="L202" i="161"/>
  <c r="L196" i="161"/>
  <c r="L185" i="161"/>
  <c r="L179" i="161"/>
  <c r="L170" i="161"/>
  <c r="L162" i="161"/>
  <c r="L152" i="161"/>
  <c r="L203" i="161"/>
  <c r="L190" i="161"/>
  <c r="L177" i="161"/>
  <c r="L166" i="161"/>
  <c r="L158" i="161"/>
  <c r="L194" i="161"/>
  <c r="L171" i="161"/>
  <c r="L204" i="161"/>
  <c r="L191" i="161"/>
  <c r="L187" i="161"/>
  <c r="L147" i="161"/>
  <c r="L164" i="161"/>
  <c r="L154" i="161"/>
  <c r="L151" i="161"/>
  <c r="L173" i="161"/>
  <c r="L148" i="161"/>
  <c r="L208" i="161"/>
  <c r="L178" i="161"/>
  <c r="L160" i="161"/>
  <c r="L150" i="161"/>
  <c r="L192" i="161"/>
  <c r="L145" i="161"/>
  <c r="L205" i="161"/>
  <c r="L156" i="161"/>
  <c r="L176" i="161"/>
  <c r="L172" i="161"/>
  <c r="L197" i="161"/>
  <c r="L167" i="161"/>
  <c r="L199" i="161"/>
  <c r="L169" i="161"/>
  <c r="L161" i="161"/>
  <c r="L149" i="161"/>
  <c r="L159" i="161"/>
  <c r="L182" i="161"/>
  <c r="L180" i="161"/>
  <c r="L175" i="161"/>
  <c r="L157" i="161"/>
  <c r="L163" i="161"/>
  <c r="L155" i="161"/>
  <c r="L165" i="161"/>
  <c r="L153" i="161"/>
  <c r="L181" i="161"/>
  <c r="L146" i="161"/>
  <c r="M1" i="161"/>
  <c r="M115" i="161" s="1"/>
  <c r="M14" i="161" l="1"/>
  <c r="M144" i="161"/>
  <c r="M107" i="161"/>
  <c r="M6" i="161"/>
  <c r="M19" i="161"/>
  <c r="M31" i="161"/>
  <c r="M13" i="161"/>
  <c r="M26" i="161"/>
  <c r="M8" i="161"/>
  <c r="M21" i="161"/>
  <c r="M33" i="161"/>
  <c r="M16" i="161"/>
  <c r="M28" i="161"/>
  <c r="M10" i="161"/>
  <c r="M23" i="161"/>
  <c r="M35" i="161"/>
  <c r="M5" i="161"/>
  <c r="M18" i="161"/>
  <c r="M30" i="161"/>
  <c r="M12" i="161"/>
  <c r="M25" i="161"/>
  <c r="M37" i="161"/>
  <c r="M15" i="161"/>
  <c r="M27" i="161"/>
  <c r="M4" i="161"/>
  <c r="M17" i="161"/>
  <c r="M29" i="161"/>
  <c r="M7" i="161"/>
  <c r="M46" i="161"/>
  <c r="M58" i="161"/>
  <c r="M22" i="161"/>
  <c r="M41" i="161"/>
  <c r="M53" i="161"/>
  <c r="M36" i="161"/>
  <c r="M48" i="161"/>
  <c r="M60" i="161"/>
  <c r="M43" i="161"/>
  <c r="M55" i="161"/>
  <c r="M9" i="161"/>
  <c r="M38" i="161"/>
  <c r="M50" i="161"/>
  <c r="M24" i="161"/>
  <c r="M45" i="161"/>
  <c r="M32" i="161"/>
  <c r="M40" i="161"/>
  <c r="M52" i="161"/>
  <c r="M47" i="161"/>
  <c r="M59" i="161"/>
  <c r="M11" i="161"/>
  <c r="M42" i="161"/>
  <c r="M54" i="161"/>
  <c r="M67" i="161"/>
  <c r="M79" i="161"/>
  <c r="M56" i="161"/>
  <c r="M74" i="161"/>
  <c r="M39" i="161"/>
  <c r="M62" i="161"/>
  <c r="M69" i="161"/>
  <c r="M81" i="161"/>
  <c r="M20" i="161"/>
  <c r="M64" i="161"/>
  <c r="M76" i="161"/>
  <c r="M44" i="161"/>
  <c r="M71" i="161"/>
  <c r="M83" i="161"/>
  <c r="M66" i="161"/>
  <c r="M78" i="161"/>
  <c r="M49" i="161"/>
  <c r="M73" i="161"/>
  <c r="M85" i="161"/>
  <c r="M34" i="161"/>
  <c r="M68" i="161"/>
  <c r="M80" i="161"/>
  <c r="M63" i="161"/>
  <c r="M75" i="161"/>
  <c r="M89" i="161"/>
  <c r="M101" i="161"/>
  <c r="M96" i="161"/>
  <c r="M109" i="161"/>
  <c r="M72" i="161"/>
  <c r="M91" i="161"/>
  <c r="M103" i="161"/>
  <c r="M98" i="161"/>
  <c r="M57" i="161"/>
  <c r="M61" i="161"/>
  <c r="M77" i="161"/>
  <c r="M86" i="161"/>
  <c r="M93" i="161"/>
  <c r="M105" i="161"/>
  <c r="M51" i="161"/>
  <c r="M84" i="161"/>
  <c r="M88" i="161"/>
  <c r="M100" i="161"/>
  <c r="M95" i="161"/>
  <c r="M108" i="161"/>
  <c r="M65" i="161"/>
  <c r="M82" i="161"/>
  <c r="M90" i="161"/>
  <c r="M102" i="161"/>
  <c r="M97" i="161"/>
  <c r="M110" i="161"/>
  <c r="M112" i="161"/>
  <c r="M125" i="161"/>
  <c r="M99" i="161"/>
  <c r="M120" i="161"/>
  <c r="M132" i="161"/>
  <c r="M114" i="161"/>
  <c r="M127" i="161"/>
  <c r="M104" i="161"/>
  <c r="M122" i="161"/>
  <c r="M134" i="161"/>
  <c r="M87" i="161"/>
  <c r="M117" i="161"/>
  <c r="M129" i="161"/>
  <c r="M111" i="161"/>
  <c r="M124" i="161"/>
  <c r="M70" i="161"/>
  <c r="M92" i="161"/>
  <c r="M119" i="161"/>
  <c r="M131" i="161"/>
  <c r="M113" i="161"/>
  <c r="M126" i="161"/>
  <c r="M106" i="161"/>
  <c r="M121" i="161"/>
  <c r="M116" i="161"/>
  <c r="M137" i="161"/>
  <c r="M3" i="161"/>
  <c r="M136" i="161"/>
  <c r="M135" i="161"/>
  <c r="M142" i="161"/>
  <c r="M139" i="161"/>
  <c r="M130" i="161"/>
  <c r="M141" i="161"/>
  <c r="M118" i="161"/>
  <c r="M140" i="161"/>
  <c r="M143" i="161"/>
  <c r="M128" i="161"/>
  <c r="M123" i="161"/>
  <c r="M138" i="161"/>
  <c r="M94" i="161"/>
  <c r="M133" i="161"/>
  <c r="M206" i="161"/>
  <c r="M194" i="161"/>
  <c r="M182" i="161"/>
  <c r="M200" i="161"/>
  <c r="M188" i="161"/>
  <c r="M205" i="161"/>
  <c r="M193" i="161"/>
  <c r="M181" i="161"/>
  <c r="M210" i="161"/>
  <c r="M203" i="161"/>
  <c r="M191" i="161"/>
  <c r="M204" i="161"/>
  <c r="M186" i="161"/>
  <c r="M173" i="161"/>
  <c r="M161" i="161"/>
  <c r="M209" i="161"/>
  <c r="M202" i="161"/>
  <c r="M199" i="161"/>
  <c r="M195" i="161"/>
  <c r="M172" i="161"/>
  <c r="M189" i="161"/>
  <c r="M175" i="161"/>
  <c r="M159" i="161"/>
  <c r="M157" i="161"/>
  <c r="M196" i="161"/>
  <c r="M183" i="161"/>
  <c r="M170" i="161"/>
  <c r="M180" i="161"/>
  <c r="M163" i="161"/>
  <c r="M156" i="161"/>
  <c r="M187" i="161"/>
  <c r="M165" i="161"/>
  <c r="M192" i="161"/>
  <c r="M177" i="161"/>
  <c r="M158" i="161"/>
  <c r="M185" i="161"/>
  <c r="M198" i="161"/>
  <c r="M148" i="161"/>
  <c r="M207" i="161"/>
  <c r="M162" i="161"/>
  <c r="M171" i="161"/>
  <c r="M145" i="161"/>
  <c r="M176" i="161"/>
  <c r="M197" i="161"/>
  <c r="M184" i="161"/>
  <c r="M167" i="161"/>
  <c r="M168" i="161"/>
  <c r="M169" i="161"/>
  <c r="M149" i="161"/>
  <c r="M201" i="161"/>
  <c r="M160" i="161"/>
  <c r="M147" i="161"/>
  <c r="M174" i="161"/>
  <c r="M190" i="161"/>
  <c r="M208" i="161"/>
  <c r="M178" i="161"/>
  <c r="M150" i="161"/>
  <c r="M164" i="161"/>
  <c r="M154" i="161"/>
  <c r="M166" i="161"/>
  <c r="M155" i="161"/>
  <c r="M152" i="161"/>
  <c r="M153" i="161"/>
  <c r="M179" i="161"/>
  <c r="M146" i="161"/>
  <c r="M151" i="161"/>
  <c r="N1" i="161"/>
  <c r="N115" i="161" s="1"/>
  <c r="T68" i="158"/>
  <c r="T67" i="158"/>
  <c r="N14" i="161" l="1"/>
  <c r="N144" i="161"/>
  <c r="N107" i="161"/>
  <c r="N11" i="161"/>
  <c r="N24" i="161"/>
  <c r="N36" i="161"/>
  <c r="N6" i="161"/>
  <c r="N19" i="161"/>
  <c r="N31" i="161"/>
  <c r="N13" i="161"/>
  <c r="N26" i="161"/>
  <c r="N8" i="161"/>
  <c r="N21" i="161"/>
  <c r="N33" i="161"/>
  <c r="N16" i="161"/>
  <c r="N28" i="161"/>
  <c r="N10" i="161"/>
  <c r="N23" i="161"/>
  <c r="N35" i="161"/>
  <c r="N5" i="161"/>
  <c r="N18" i="161"/>
  <c r="N30" i="161"/>
  <c r="N7" i="161"/>
  <c r="N20" i="161"/>
  <c r="N32" i="161"/>
  <c r="N9" i="161"/>
  <c r="N22" i="161"/>
  <c r="N34" i="161"/>
  <c r="N25" i="161"/>
  <c r="N39" i="161"/>
  <c r="N51" i="161"/>
  <c r="N46" i="161"/>
  <c r="N58" i="161"/>
  <c r="N4" i="161"/>
  <c r="N41" i="161"/>
  <c r="N53" i="161"/>
  <c r="N12" i="161"/>
  <c r="N48" i="161"/>
  <c r="N60" i="161"/>
  <c r="N27" i="161"/>
  <c r="N43" i="161"/>
  <c r="N55" i="161"/>
  <c r="N38" i="161"/>
  <c r="N50" i="161"/>
  <c r="N45" i="161"/>
  <c r="N57" i="161"/>
  <c r="N15" i="161"/>
  <c r="N40" i="161"/>
  <c r="N52" i="161"/>
  <c r="N29" i="161"/>
  <c r="N47" i="161"/>
  <c r="N37" i="161"/>
  <c r="N42" i="161"/>
  <c r="N72" i="161"/>
  <c r="N84" i="161"/>
  <c r="N67" i="161"/>
  <c r="N79" i="161"/>
  <c r="N56" i="161"/>
  <c r="N74" i="161"/>
  <c r="N86" i="161"/>
  <c r="N62" i="161"/>
  <c r="N69" i="161"/>
  <c r="N81" i="161"/>
  <c r="N64" i="161"/>
  <c r="N76" i="161"/>
  <c r="N44" i="161"/>
  <c r="N71" i="161"/>
  <c r="N83" i="161"/>
  <c r="N66" i="161"/>
  <c r="N78" i="161"/>
  <c r="N49" i="161"/>
  <c r="N73" i="161"/>
  <c r="N59" i="161"/>
  <c r="N68" i="161"/>
  <c r="N80" i="161"/>
  <c r="N75" i="161"/>
  <c r="N94" i="161"/>
  <c r="N106" i="161"/>
  <c r="N89" i="161"/>
  <c r="N101" i="161"/>
  <c r="N96" i="161"/>
  <c r="N109" i="161"/>
  <c r="N63" i="161"/>
  <c r="N91" i="161"/>
  <c r="N103" i="161"/>
  <c r="N98" i="161"/>
  <c r="N17" i="161"/>
  <c r="N61" i="161"/>
  <c r="N77" i="161"/>
  <c r="N93" i="161"/>
  <c r="N105" i="161"/>
  <c r="N85" i="161"/>
  <c r="N88" i="161"/>
  <c r="N100" i="161"/>
  <c r="N95" i="161"/>
  <c r="N108" i="161"/>
  <c r="N65" i="161"/>
  <c r="N82" i="161"/>
  <c r="N90" i="161"/>
  <c r="N102" i="161"/>
  <c r="N118" i="161"/>
  <c r="N130" i="161"/>
  <c r="N112" i="161"/>
  <c r="N125" i="161"/>
  <c r="N99" i="161"/>
  <c r="N120" i="161"/>
  <c r="N132" i="161"/>
  <c r="N114" i="161"/>
  <c r="N127" i="161"/>
  <c r="N104" i="161"/>
  <c r="N122" i="161"/>
  <c r="N134" i="161"/>
  <c r="N87" i="161"/>
  <c r="N117" i="161"/>
  <c r="N129" i="161"/>
  <c r="N111" i="161"/>
  <c r="N124" i="161"/>
  <c r="N136" i="161"/>
  <c r="N70" i="161"/>
  <c r="N92" i="161"/>
  <c r="N119" i="161"/>
  <c r="N131" i="161"/>
  <c r="N113" i="161"/>
  <c r="N126" i="161"/>
  <c r="N54" i="161"/>
  <c r="N97" i="161"/>
  <c r="N142" i="161"/>
  <c r="N116" i="161"/>
  <c r="N137" i="161"/>
  <c r="N3" i="161"/>
  <c r="N110" i="161"/>
  <c r="N135" i="161"/>
  <c r="N121" i="161"/>
  <c r="N139" i="161"/>
  <c r="N141" i="161"/>
  <c r="N133" i="161"/>
  <c r="N128" i="161"/>
  <c r="N143" i="161"/>
  <c r="N140" i="161"/>
  <c r="N123" i="161"/>
  <c r="N138" i="161"/>
  <c r="N199" i="161"/>
  <c r="N187" i="161"/>
  <c r="N205" i="161"/>
  <c r="N193" i="161"/>
  <c r="N210" i="161"/>
  <c r="N198" i="161"/>
  <c r="N186" i="161"/>
  <c r="N208" i="161"/>
  <c r="N196" i="161"/>
  <c r="N184" i="161"/>
  <c r="N197" i="161"/>
  <c r="N182" i="161"/>
  <c r="N178" i="161"/>
  <c r="N166" i="161"/>
  <c r="N206" i="161"/>
  <c r="N195" i="161"/>
  <c r="N172" i="161"/>
  <c r="N192" i="161"/>
  <c r="N188" i="161"/>
  <c r="N177" i="161"/>
  <c r="N207" i="161"/>
  <c r="N168" i="161"/>
  <c r="N167" i="161"/>
  <c r="N150" i="161"/>
  <c r="N189" i="161"/>
  <c r="N180" i="161"/>
  <c r="N163" i="161"/>
  <c r="N156" i="161"/>
  <c r="N174" i="161"/>
  <c r="N160" i="161"/>
  <c r="N175" i="161"/>
  <c r="N162" i="161"/>
  <c r="N200" i="161"/>
  <c r="N183" i="161"/>
  <c r="N176" i="161"/>
  <c r="N170" i="161"/>
  <c r="N152" i="161"/>
  <c r="N202" i="161"/>
  <c r="N194" i="161"/>
  <c r="N173" i="161"/>
  <c r="N190" i="161"/>
  <c r="N157" i="161"/>
  <c r="N153" i="161"/>
  <c r="N204" i="161"/>
  <c r="N191" i="161"/>
  <c r="N165" i="161"/>
  <c r="N147" i="161"/>
  <c r="N148" i="161"/>
  <c r="N181" i="161"/>
  <c r="N179" i="161"/>
  <c r="N209" i="161"/>
  <c r="N201" i="161"/>
  <c r="N161" i="161"/>
  <c r="N159" i="161"/>
  <c r="N158" i="161"/>
  <c r="N154" i="161"/>
  <c r="N185" i="161"/>
  <c r="N203" i="161"/>
  <c r="N171" i="161"/>
  <c r="N145" i="161"/>
  <c r="N155" i="161"/>
  <c r="N169" i="161"/>
  <c r="N164" i="161"/>
  <c r="N149" i="161"/>
  <c r="N151" i="161"/>
  <c r="N146" i="161"/>
  <c r="O1" i="161"/>
  <c r="O115" i="161" s="1"/>
  <c r="T62" i="158"/>
  <c r="T58" i="158"/>
  <c r="T57" i="158"/>
  <c r="T61" i="158"/>
  <c r="O14" i="161" l="1"/>
  <c r="O144" i="161"/>
  <c r="O107" i="161"/>
  <c r="O4" i="161"/>
  <c r="O17" i="161"/>
  <c r="O29" i="161"/>
  <c r="O11" i="161"/>
  <c r="O24" i="161"/>
  <c r="O36" i="161"/>
  <c r="O6" i="161"/>
  <c r="O19" i="161"/>
  <c r="O31" i="161"/>
  <c r="O13" i="161"/>
  <c r="O26" i="161"/>
  <c r="O8" i="161"/>
  <c r="O21" i="161"/>
  <c r="O33" i="161"/>
  <c r="O16" i="161"/>
  <c r="O28" i="161"/>
  <c r="O10" i="161"/>
  <c r="O23" i="161"/>
  <c r="O35" i="161"/>
  <c r="O12" i="161"/>
  <c r="O25" i="161"/>
  <c r="O37" i="161"/>
  <c r="O15" i="161"/>
  <c r="O27" i="161"/>
  <c r="O44" i="161"/>
  <c r="O56" i="161"/>
  <c r="O7" i="161"/>
  <c r="O39" i="161"/>
  <c r="O51" i="161"/>
  <c r="O22" i="161"/>
  <c r="O46" i="161"/>
  <c r="O58" i="161"/>
  <c r="O30" i="161"/>
  <c r="O41" i="161"/>
  <c r="O53" i="161"/>
  <c r="O48" i="161"/>
  <c r="O60" i="161"/>
  <c r="O9" i="161"/>
  <c r="O43" i="161"/>
  <c r="O55" i="161"/>
  <c r="O18" i="161"/>
  <c r="O38" i="161"/>
  <c r="O50" i="161"/>
  <c r="O62" i="161"/>
  <c r="O32" i="161"/>
  <c r="O45" i="161"/>
  <c r="O57" i="161"/>
  <c r="O40" i="161"/>
  <c r="O52" i="161"/>
  <c r="O5" i="161"/>
  <c r="O61" i="161"/>
  <c r="O65" i="161"/>
  <c r="O77" i="161"/>
  <c r="O42" i="161"/>
  <c r="O72" i="161"/>
  <c r="O84" i="161"/>
  <c r="O67" i="161"/>
  <c r="O79" i="161"/>
  <c r="O47" i="161"/>
  <c r="O74" i="161"/>
  <c r="O20" i="161"/>
  <c r="O69" i="161"/>
  <c r="O81" i="161"/>
  <c r="O64" i="161"/>
  <c r="O76" i="161"/>
  <c r="O71" i="161"/>
  <c r="O83" i="161"/>
  <c r="O66" i="161"/>
  <c r="O78" i="161"/>
  <c r="O34" i="161"/>
  <c r="O49" i="161"/>
  <c r="O73" i="161"/>
  <c r="O87" i="161"/>
  <c r="O99" i="161"/>
  <c r="O75" i="161"/>
  <c r="O94" i="161"/>
  <c r="O106" i="161"/>
  <c r="O89" i="161"/>
  <c r="O101" i="161"/>
  <c r="O80" i="161"/>
  <c r="O96" i="161"/>
  <c r="O109" i="161"/>
  <c r="O63" i="161"/>
  <c r="O91" i="161"/>
  <c r="O103" i="161"/>
  <c r="O86" i="161"/>
  <c r="O98" i="161"/>
  <c r="O68" i="161"/>
  <c r="O93" i="161"/>
  <c r="O105" i="161"/>
  <c r="O85" i="161"/>
  <c r="O88" i="161"/>
  <c r="O100" i="161"/>
  <c r="O95" i="161"/>
  <c r="O108" i="161"/>
  <c r="O59" i="161"/>
  <c r="O102" i="161"/>
  <c r="O110" i="161"/>
  <c r="O123" i="161"/>
  <c r="O135" i="161"/>
  <c r="O118" i="161"/>
  <c r="O130" i="161"/>
  <c r="O112" i="161"/>
  <c r="O125" i="161"/>
  <c r="O90" i="161"/>
  <c r="O120" i="161"/>
  <c r="O132" i="161"/>
  <c r="O114" i="161"/>
  <c r="O127" i="161"/>
  <c r="O104" i="161"/>
  <c r="O122" i="161"/>
  <c r="O82" i="161"/>
  <c r="O117" i="161"/>
  <c r="O129" i="161"/>
  <c r="O111" i="161"/>
  <c r="O124" i="161"/>
  <c r="O136" i="161"/>
  <c r="O70" i="161"/>
  <c r="O92" i="161"/>
  <c r="O119" i="161"/>
  <c r="O131" i="161"/>
  <c r="O140" i="161"/>
  <c r="O54" i="161"/>
  <c r="O97" i="161"/>
  <c r="O142" i="161"/>
  <c r="O116" i="161"/>
  <c r="O137" i="161"/>
  <c r="O3" i="161"/>
  <c r="O113" i="161"/>
  <c r="O138" i="161"/>
  <c r="O121" i="161"/>
  <c r="O139" i="161"/>
  <c r="O126" i="161"/>
  <c r="O141" i="161"/>
  <c r="O128" i="161"/>
  <c r="O134" i="161"/>
  <c r="O143" i="161"/>
  <c r="O133" i="161"/>
  <c r="O204" i="161"/>
  <c r="O192" i="161"/>
  <c r="O180" i="161"/>
  <c r="O210" i="161"/>
  <c r="O198" i="161"/>
  <c r="O186" i="161"/>
  <c r="O203" i="161"/>
  <c r="O191" i="161"/>
  <c r="O201" i="161"/>
  <c r="O189" i="161"/>
  <c r="O208" i="161"/>
  <c r="O190" i="161"/>
  <c r="O171" i="161"/>
  <c r="O159" i="161"/>
  <c r="O199" i="161"/>
  <c r="O188" i="161"/>
  <c r="O177" i="161"/>
  <c r="O185" i="161"/>
  <c r="O179" i="161"/>
  <c r="O170" i="161"/>
  <c r="O200" i="161"/>
  <c r="O173" i="161"/>
  <c r="O206" i="161"/>
  <c r="O181" i="161"/>
  <c r="O176" i="161"/>
  <c r="O172" i="161"/>
  <c r="O164" i="161"/>
  <c r="O155" i="161"/>
  <c r="O174" i="161"/>
  <c r="O160" i="161"/>
  <c r="O209" i="161"/>
  <c r="O202" i="161"/>
  <c r="O182" i="161"/>
  <c r="O178" i="161"/>
  <c r="O154" i="161"/>
  <c r="O207" i="161"/>
  <c r="O168" i="161"/>
  <c r="O157" i="161"/>
  <c r="O183" i="161"/>
  <c r="O196" i="161"/>
  <c r="O169" i="161"/>
  <c r="O163" i="161"/>
  <c r="O149" i="161"/>
  <c r="O194" i="161"/>
  <c r="O162" i="161"/>
  <c r="O153" i="161"/>
  <c r="O167" i="161"/>
  <c r="O187" i="161"/>
  <c r="O158" i="161"/>
  <c r="O205" i="161"/>
  <c r="O156" i="161"/>
  <c r="O148" i="161"/>
  <c r="O197" i="161"/>
  <c r="O184" i="161"/>
  <c r="O166" i="161"/>
  <c r="O147" i="161"/>
  <c r="O193" i="161"/>
  <c r="O152" i="161"/>
  <c r="O175" i="161"/>
  <c r="O195" i="161"/>
  <c r="O161" i="161"/>
  <c r="O150" i="161"/>
  <c r="O145" i="161"/>
  <c r="O146" i="161"/>
  <c r="O165" i="161"/>
  <c r="O151" i="161"/>
  <c r="P1" i="161"/>
  <c r="P115" i="161" s="1"/>
  <c r="T56" i="158"/>
  <c r="T59" i="158"/>
  <c r="T60" i="158"/>
  <c r="P14" i="161" l="1"/>
  <c r="P144" i="161"/>
  <c r="P107" i="161"/>
  <c r="P9" i="161"/>
  <c r="P22" i="161"/>
  <c r="P34" i="161"/>
  <c r="P4" i="161"/>
  <c r="P17" i="161"/>
  <c r="P29" i="161"/>
  <c r="P11" i="161"/>
  <c r="P24" i="161"/>
  <c r="P36" i="161"/>
  <c r="P6" i="161"/>
  <c r="P19" i="161"/>
  <c r="P31" i="161"/>
  <c r="P13" i="161"/>
  <c r="P26" i="161"/>
  <c r="P8" i="161"/>
  <c r="P21" i="161"/>
  <c r="P33" i="161"/>
  <c r="P16" i="161"/>
  <c r="P28" i="161"/>
  <c r="P5" i="161"/>
  <c r="P18" i="161"/>
  <c r="P30" i="161"/>
  <c r="P7" i="161"/>
  <c r="P20" i="161"/>
  <c r="P32" i="161"/>
  <c r="P10" i="161"/>
  <c r="P49" i="161"/>
  <c r="P61" i="161"/>
  <c r="P25" i="161"/>
  <c r="P44" i="161"/>
  <c r="P56" i="161"/>
  <c r="P39" i="161"/>
  <c r="P51" i="161"/>
  <c r="P46" i="161"/>
  <c r="P58" i="161"/>
  <c r="P12" i="161"/>
  <c r="P41" i="161"/>
  <c r="P53" i="161"/>
  <c r="P27" i="161"/>
  <c r="P48" i="161"/>
  <c r="P35" i="161"/>
  <c r="P43" i="161"/>
  <c r="P55" i="161"/>
  <c r="P38" i="161"/>
  <c r="P50" i="161"/>
  <c r="P15" i="161"/>
  <c r="P45" i="161"/>
  <c r="P57" i="161"/>
  <c r="P70" i="161"/>
  <c r="P82" i="161"/>
  <c r="P37" i="161"/>
  <c r="P65" i="161"/>
  <c r="P77" i="161"/>
  <c r="P42" i="161"/>
  <c r="P72" i="161"/>
  <c r="P84" i="161"/>
  <c r="P67" i="161"/>
  <c r="P79" i="161"/>
  <c r="P47" i="161"/>
  <c r="P62" i="161"/>
  <c r="P74" i="161"/>
  <c r="P69" i="161"/>
  <c r="P81" i="161"/>
  <c r="P52" i="161"/>
  <c r="P64" i="161"/>
  <c r="P76" i="161"/>
  <c r="P71" i="161"/>
  <c r="P83" i="161"/>
  <c r="P66" i="161"/>
  <c r="P78" i="161"/>
  <c r="P92" i="161"/>
  <c r="P104" i="161"/>
  <c r="P60" i="161"/>
  <c r="P87" i="161"/>
  <c r="P99" i="161"/>
  <c r="P75" i="161"/>
  <c r="P94" i="161"/>
  <c r="P106" i="161"/>
  <c r="P89" i="161"/>
  <c r="P101" i="161"/>
  <c r="P80" i="161"/>
  <c r="P96" i="161"/>
  <c r="P109" i="161"/>
  <c r="P63" i="161"/>
  <c r="P91" i="161"/>
  <c r="P103" i="161"/>
  <c r="P23" i="161"/>
  <c r="P40" i="161"/>
  <c r="P86" i="161"/>
  <c r="P98" i="161"/>
  <c r="P68" i="161"/>
  <c r="P93" i="161"/>
  <c r="P105" i="161"/>
  <c r="P85" i="161"/>
  <c r="P88" i="161"/>
  <c r="P100" i="161"/>
  <c r="P73" i="161"/>
  <c r="P116" i="161"/>
  <c r="P128" i="161"/>
  <c r="P59" i="161"/>
  <c r="P102" i="161"/>
  <c r="P110" i="161"/>
  <c r="P123" i="161"/>
  <c r="P135" i="161"/>
  <c r="P118" i="161"/>
  <c r="P130" i="161"/>
  <c r="P108" i="161"/>
  <c r="P112" i="161"/>
  <c r="P125" i="161"/>
  <c r="P90" i="161"/>
  <c r="P120" i="161"/>
  <c r="P132" i="161"/>
  <c r="P114" i="161"/>
  <c r="P127" i="161"/>
  <c r="P95" i="161"/>
  <c r="P122" i="161"/>
  <c r="P134" i="161"/>
  <c r="P117" i="161"/>
  <c r="P129" i="161"/>
  <c r="P111" i="161"/>
  <c r="P124" i="161"/>
  <c r="P119" i="161"/>
  <c r="P140" i="161"/>
  <c r="P136" i="161"/>
  <c r="P131" i="161"/>
  <c r="P113" i="161"/>
  <c r="P54" i="161"/>
  <c r="P97" i="161"/>
  <c r="P142" i="161"/>
  <c r="P137" i="161"/>
  <c r="P3" i="161"/>
  <c r="P133" i="161"/>
  <c r="P121" i="161"/>
  <c r="P139" i="161"/>
  <c r="P126" i="161"/>
  <c r="P141" i="161"/>
  <c r="P143" i="161"/>
  <c r="P138" i="161"/>
  <c r="P209" i="161"/>
  <c r="P197" i="161"/>
  <c r="P185" i="161"/>
  <c r="P203" i="161"/>
  <c r="P191" i="161"/>
  <c r="P208" i="161"/>
  <c r="P196" i="161"/>
  <c r="P184" i="161"/>
  <c r="P206" i="161"/>
  <c r="P194" i="161"/>
  <c r="P201" i="161"/>
  <c r="P183" i="161"/>
  <c r="P181" i="161"/>
  <c r="P176" i="161"/>
  <c r="P164" i="161"/>
  <c r="P192" i="161"/>
  <c r="P179" i="161"/>
  <c r="P170" i="161"/>
  <c r="P175" i="161"/>
  <c r="P204" i="161"/>
  <c r="P193" i="161"/>
  <c r="P182" i="161"/>
  <c r="P178" i="161"/>
  <c r="P199" i="161"/>
  <c r="P169" i="161"/>
  <c r="P148" i="161"/>
  <c r="P202" i="161"/>
  <c r="P210" i="161"/>
  <c r="P195" i="161"/>
  <c r="P171" i="161"/>
  <c r="P165" i="161"/>
  <c r="P200" i="161"/>
  <c r="P167" i="161"/>
  <c r="P159" i="161"/>
  <c r="P177" i="161"/>
  <c r="P205" i="161"/>
  <c r="P161" i="161"/>
  <c r="P198" i="161"/>
  <c r="P207" i="161"/>
  <c r="P190" i="161"/>
  <c r="P157" i="161"/>
  <c r="P186" i="161"/>
  <c r="P172" i="161"/>
  <c r="P150" i="161"/>
  <c r="P145" i="161"/>
  <c r="P152" i="161"/>
  <c r="P155" i="161"/>
  <c r="P153" i="161"/>
  <c r="P146" i="161"/>
  <c r="P168" i="161"/>
  <c r="P166" i="161"/>
  <c r="P189" i="161"/>
  <c r="P188" i="161"/>
  <c r="P160" i="161"/>
  <c r="P147" i="161"/>
  <c r="P158" i="161"/>
  <c r="P154" i="161"/>
  <c r="P174" i="161"/>
  <c r="P180" i="161"/>
  <c r="P187" i="161"/>
  <c r="P156" i="161"/>
  <c r="P151" i="161"/>
  <c r="P163" i="161"/>
  <c r="P173" i="161"/>
  <c r="P162" i="161"/>
  <c r="P149" i="161"/>
  <c r="Q1" i="161"/>
  <c r="Q115" i="161" s="1"/>
  <c r="T48" i="158"/>
  <c r="T47" i="158"/>
  <c r="T50" i="158"/>
  <c r="T51" i="158"/>
  <c r="T24" i="158"/>
  <c r="Q14" i="161" l="1"/>
  <c r="Q144" i="161"/>
  <c r="Q107" i="161"/>
  <c r="Q15" i="161"/>
  <c r="Q27" i="161"/>
  <c r="Q9" i="161"/>
  <c r="Q22" i="161"/>
  <c r="Q34" i="161"/>
  <c r="Q4" i="161"/>
  <c r="Q17" i="161"/>
  <c r="Q29" i="161"/>
  <c r="Q11" i="161"/>
  <c r="Q24" i="161"/>
  <c r="Q36" i="161"/>
  <c r="Q6" i="161"/>
  <c r="Q19" i="161"/>
  <c r="Q31" i="161"/>
  <c r="Q13" i="161"/>
  <c r="Q26" i="161"/>
  <c r="Q8" i="161"/>
  <c r="Q21" i="161"/>
  <c r="Q33" i="161"/>
  <c r="Q10" i="161"/>
  <c r="Q23" i="161"/>
  <c r="Q35" i="161"/>
  <c r="Q12" i="161"/>
  <c r="Q25" i="161"/>
  <c r="Q37" i="161"/>
  <c r="Q28" i="161"/>
  <c r="Q42" i="161"/>
  <c r="Q54" i="161"/>
  <c r="Q49" i="161"/>
  <c r="Q61" i="161"/>
  <c r="Q7" i="161"/>
  <c r="Q44" i="161"/>
  <c r="Q56" i="161"/>
  <c r="Q16" i="161"/>
  <c r="Q39" i="161"/>
  <c r="Q51" i="161"/>
  <c r="Q30" i="161"/>
  <c r="Q46" i="161"/>
  <c r="Q58" i="161"/>
  <c r="Q41" i="161"/>
  <c r="Q53" i="161"/>
  <c r="Q48" i="161"/>
  <c r="Q60" i="161"/>
  <c r="Q18" i="161"/>
  <c r="Q43" i="161"/>
  <c r="Q55" i="161"/>
  <c r="Q32" i="161"/>
  <c r="Q38" i="161"/>
  <c r="Q50" i="161"/>
  <c r="Q45" i="161"/>
  <c r="Q63" i="161"/>
  <c r="Q75" i="161"/>
  <c r="Q5" i="161"/>
  <c r="Q70" i="161"/>
  <c r="Q82" i="161"/>
  <c r="Q65" i="161"/>
  <c r="Q77" i="161"/>
  <c r="Q72" i="161"/>
  <c r="Q84" i="161"/>
  <c r="Q67" i="161"/>
  <c r="Q79" i="161"/>
  <c r="Q20" i="161"/>
  <c r="Q47" i="161"/>
  <c r="Q62" i="161"/>
  <c r="Q74" i="161"/>
  <c r="Q69" i="161"/>
  <c r="Q81" i="161"/>
  <c r="Q52" i="161"/>
  <c r="Q64" i="161"/>
  <c r="Q76" i="161"/>
  <c r="Q71" i="161"/>
  <c r="Q78" i="161"/>
  <c r="Q97" i="161"/>
  <c r="Q110" i="161"/>
  <c r="Q92" i="161"/>
  <c r="Q104" i="161"/>
  <c r="Q87" i="161"/>
  <c r="Q99" i="161"/>
  <c r="Q66" i="161"/>
  <c r="Q94" i="161"/>
  <c r="Q106" i="161"/>
  <c r="Q89" i="161"/>
  <c r="Q101" i="161"/>
  <c r="Q57" i="161"/>
  <c r="Q80" i="161"/>
  <c r="Q96" i="161"/>
  <c r="Q83" i="161"/>
  <c r="Q91" i="161"/>
  <c r="Q103" i="161"/>
  <c r="Q40" i="161"/>
  <c r="Q86" i="161"/>
  <c r="Q98" i="161"/>
  <c r="Q68" i="161"/>
  <c r="Q93" i="161"/>
  <c r="Q105" i="161"/>
  <c r="Q88" i="161"/>
  <c r="Q121" i="161"/>
  <c r="Q133" i="161"/>
  <c r="Q73" i="161"/>
  <c r="Q109" i="161"/>
  <c r="Q116" i="161"/>
  <c r="Q128" i="161"/>
  <c r="Q59" i="161"/>
  <c r="Q102" i="161"/>
  <c r="Q123" i="161"/>
  <c r="Q135" i="161"/>
  <c r="Q85" i="161"/>
  <c r="Q118" i="161"/>
  <c r="Q130" i="161"/>
  <c r="Q108" i="161"/>
  <c r="Q112" i="161"/>
  <c r="Q125" i="161"/>
  <c r="Q90" i="161"/>
  <c r="Q120" i="161"/>
  <c r="Q132" i="161"/>
  <c r="Q114" i="161"/>
  <c r="Q127" i="161"/>
  <c r="Q95" i="161"/>
  <c r="Q122" i="161"/>
  <c r="Q134" i="161"/>
  <c r="Q117" i="161"/>
  <c r="Q129" i="161"/>
  <c r="Q136" i="161"/>
  <c r="Q143" i="161"/>
  <c r="Q113" i="161"/>
  <c r="Q119" i="161"/>
  <c r="Q140" i="161"/>
  <c r="Q131" i="161"/>
  <c r="Q124" i="161"/>
  <c r="Q142" i="161"/>
  <c r="Q138" i="161"/>
  <c r="Q137" i="161"/>
  <c r="Q3" i="161"/>
  <c r="Q100" i="161"/>
  <c r="Q111" i="161"/>
  <c r="Q139" i="161"/>
  <c r="Q126" i="161"/>
  <c r="Q141" i="161"/>
  <c r="Q202" i="161"/>
  <c r="Q190" i="161"/>
  <c r="Q178" i="161"/>
  <c r="Q208" i="161"/>
  <c r="Q196" i="161"/>
  <c r="Q184" i="161"/>
  <c r="Q201" i="161"/>
  <c r="Q189" i="161"/>
  <c r="Q199" i="161"/>
  <c r="Q187" i="161"/>
  <c r="Q194" i="161"/>
  <c r="Q169" i="161"/>
  <c r="Q185" i="161"/>
  <c r="Q175" i="161"/>
  <c r="Q207" i="161"/>
  <c r="Q203" i="161"/>
  <c r="Q168" i="161"/>
  <c r="Q210" i="161"/>
  <c r="Q197" i="161"/>
  <c r="Q186" i="161"/>
  <c r="Q171" i="161"/>
  <c r="Q205" i="161"/>
  <c r="Q192" i="161"/>
  <c r="Q179" i="161"/>
  <c r="Q161" i="161"/>
  <c r="Q153" i="161"/>
  <c r="Q209" i="161"/>
  <c r="Q195" i="161"/>
  <c r="Q182" i="161"/>
  <c r="Q165" i="161"/>
  <c r="Q188" i="161"/>
  <c r="Q162" i="161"/>
  <c r="Q193" i="161"/>
  <c r="Q172" i="161"/>
  <c r="Q155" i="161"/>
  <c r="Q146" i="161"/>
  <c r="Q167" i="161"/>
  <c r="Q150" i="161"/>
  <c r="Q145" i="161"/>
  <c r="Q181" i="161"/>
  <c r="Q180" i="161"/>
  <c r="Q160" i="161"/>
  <c r="Q147" i="161"/>
  <c r="Q200" i="161"/>
  <c r="Q183" i="161"/>
  <c r="Q177" i="161"/>
  <c r="Q163" i="161"/>
  <c r="Q149" i="161"/>
  <c r="Q176" i="161"/>
  <c r="Q166" i="161"/>
  <c r="Q151" i="161"/>
  <c r="Q159" i="161"/>
  <c r="Q158" i="161"/>
  <c r="Q154" i="161"/>
  <c r="Q174" i="161"/>
  <c r="Q152" i="161"/>
  <c r="Q206" i="161"/>
  <c r="Q170" i="161"/>
  <c r="Q198" i="161"/>
  <c r="Q148" i="161"/>
  <c r="Q157" i="161"/>
  <c r="Q204" i="161"/>
  <c r="Q173" i="161"/>
  <c r="Q191" i="161"/>
  <c r="Q156" i="161"/>
  <c r="Q164" i="161"/>
  <c r="R1" i="161"/>
  <c r="R115" i="161" s="1"/>
  <c r="T53" i="158"/>
  <c r="R14" i="161" l="1"/>
  <c r="R144" i="161"/>
  <c r="R107" i="161"/>
  <c r="R7" i="161"/>
  <c r="R20" i="161"/>
  <c r="R32" i="161"/>
  <c r="R15" i="161"/>
  <c r="R27" i="161"/>
  <c r="R9" i="161"/>
  <c r="R22" i="161"/>
  <c r="R34" i="161"/>
  <c r="R4" i="161"/>
  <c r="R17" i="161"/>
  <c r="R29" i="161"/>
  <c r="R11" i="161"/>
  <c r="R24" i="161"/>
  <c r="R36" i="161"/>
  <c r="R6" i="161"/>
  <c r="R19" i="161"/>
  <c r="R31" i="161"/>
  <c r="R13" i="161"/>
  <c r="R26" i="161"/>
  <c r="R16" i="161"/>
  <c r="R28" i="161"/>
  <c r="R5" i="161"/>
  <c r="R18" i="161"/>
  <c r="R30" i="161"/>
  <c r="R47" i="161"/>
  <c r="R59" i="161"/>
  <c r="R10" i="161"/>
  <c r="R42" i="161"/>
  <c r="R54" i="161"/>
  <c r="R25" i="161"/>
  <c r="R49" i="161"/>
  <c r="R61" i="161"/>
  <c r="R33" i="161"/>
  <c r="R44" i="161"/>
  <c r="R56" i="161"/>
  <c r="R39" i="161"/>
  <c r="R51" i="161"/>
  <c r="R12" i="161"/>
  <c r="R46" i="161"/>
  <c r="R21" i="161"/>
  <c r="R41" i="161"/>
  <c r="R53" i="161"/>
  <c r="R35" i="161"/>
  <c r="R48" i="161"/>
  <c r="R60" i="161"/>
  <c r="R43" i="161"/>
  <c r="R55" i="161"/>
  <c r="R57" i="161"/>
  <c r="R68" i="161"/>
  <c r="R80" i="161"/>
  <c r="R45" i="161"/>
  <c r="R63" i="161"/>
  <c r="R75" i="161"/>
  <c r="R37" i="161"/>
  <c r="R70" i="161"/>
  <c r="R82" i="161"/>
  <c r="R50" i="161"/>
  <c r="R65" i="161"/>
  <c r="R77" i="161"/>
  <c r="R72" i="161"/>
  <c r="R84" i="161"/>
  <c r="R67" i="161"/>
  <c r="R79" i="161"/>
  <c r="R8" i="161"/>
  <c r="R38" i="161"/>
  <c r="R62" i="161"/>
  <c r="R74" i="161"/>
  <c r="R69" i="161"/>
  <c r="R81" i="161"/>
  <c r="R52" i="161"/>
  <c r="R64" i="161"/>
  <c r="R76" i="161"/>
  <c r="R90" i="161"/>
  <c r="R102" i="161"/>
  <c r="R78" i="161"/>
  <c r="R97" i="161"/>
  <c r="R110" i="161"/>
  <c r="R92" i="161"/>
  <c r="R104" i="161"/>
  <c r="R87" i="161"/>
  <c r="R99" i="161"/>
  <c r="R66" i="161"/>
  <c r="R94" i="161"/>
  <c r="R106" i="161"/>
  <c r="R89" i="161"/>
  <c r="R101" i="161"/>
  <c r="R71" i="161"/>
  <c r="R96" i="161"/>
  <c r="R109" i="161"/>
  <c r="R23" i="161"/>
  <c r="R58" i="161"/>
  <c r="R83" i="161"/>
  <c r="R91" i="161"/>
  <c r="R103" i="161"/>
  <c r="R40" i="161"/>
  <c r="R86" i="161"/>
  <c r="R98" i="161"/>
  <c r="R105" i="161"/>
  <c r="R113" i="161"/>
  <c r="R126" i="161"/>
  <c r="R88" i="161"/>
  <c r="R121" i="161"/>
  <c r="R133" i="161"/>
  <c r="R73" i="161"/>
  <c r="R116" i="161"/>
  <c r="R128" i="161"/>
  <c r="R93" i="161"/>
  <c r="R123" i="161"/>
  <c r="R135" i="161"/>
  <c r="R85" i="161"/>
  <c r="R118" i="161"/>
  <c r="R130" i="161"/>
  <c r="R108" i="161"/>
  <c r="R112" i="161"/>
  <c r="R125" i="161"/>
  <c r="R120" i="161"/>
  <c r="R132" i="161"/>
  <c r="R114" i="161"/>
  <c r="R127" i="161"/>
  <c r="R95" i="161"/>
  <c r="R122" i="161"/>
  <c r="R138" i="161"/>
  <c r="R136" i="161"/>
  <c r="R119" i="161"/>
  <c r="R140" i="161"/>
  <c r="R143" i="161"/>
  <c r="R131" i="161"/>
  <c r="R124" i="161"/>
  <c r="R142" i="161"/>
  <c r="R137" i="161"/>
  <c r="R3" i="161"/>
  <c r="R129" i="161"/>
  <c r="R117" i="161"/>
  <c r="R141" i="161"/>
  <c r="R100" i="161"/>
  <c r="R111" i="161"/>
  <c r="R139" i="161"/>
  <c r="R134" i="161"/>
  <c r="R207" i="161"/>
  <c r="R195" i="161"/>
  <c r="R183" i="161"/>
  <c r="R201" i="161"/>
  <c r="R189" i="161"/>
  <c r="R206" i="161"/>
  <c r="R194" i="161"/>
  <c r="R182" i="161"/>
  <c r="R204" i="161"/>
  <c r="R192" i="161"/>
  <c r="R205" i="161"/>
  <c r="R187" i="161"/>
  <c r="R180" i="161"/>
  <c r="R174" i="161"/>
  <c r="R162" i="161"/>
  <c r="R203" i="161"/>
  <c r="R168" i="161"/>
  <c r="R200" i="161"/>
  <c r="R196" i="161"/>
  <c r="R173" i="161"/>
  <c r="R190" i="161"/>
  <c r="R181" i="161"/>
  <c r="R176" i="161"/>
  <c r="R198" i="161"/>
  <c r="R185" i="161"/>
  <c r="R158" i="161"/>
  <c r="R210" i="161"/>
  <c r="R188" i="161"/>
  <c r="R178" i="161"/>
  <c r="R171" i="161"/>
  <c r="R208" i="161"/>
  <c r="R157" i="161"/>
  <c r="R186" i="161"/>
  <c r="R164" i="161"/>
  <c r="R209" i="161"/>
  <c r="R166" i="161"/>
  <c r="R155" i="161"/>
  <c r="R151" i="161"/>
  <c r="R172" i="161"/>
  <c r="R160" i="161"/>
  <c r="R147" i="161"/>
  <c r="R199" i="161"/>
  <c r="R179" i="161"/>
  <c r="R170" i="161"/>
  <c r="R197" i="161"/>
  <c r="R184" i="161"/>
  <c r="R153" i="161"/>
  <c r="R146" i="161"/>
  <c r="R167" i="161"/>
  <c r="R165" i="161"/>
  <c r="R202" i="161"/>
  <c r="R191" i="161"/>
  <c r="R152" i="161"/>
  <c r="R193" i="161"/>
  <c r="R175" i="161"/>
  <c r="R177" i="161"/>
  <c r="R150" i="161"/>
  <c r="R145" i="161"/>
  <c r="R163" i="161"/>
  <c r="R156" i="161"/>
  <c r="R148" i="161"/>
  <c r="R169" i="161"/>
  <c r="R149" i="161"/>
  <c r="R161" i="161"/>
  <c r="R159" i="161"/>
  <c r="R154" i="161"/>
  <c r="S1" i="161"/>
  <c r="S115" i="161" s="1"/>
  <c r="T37" i="158"/>
  <c r="S14" i="161" l="1"/>
  <c r="S144" i="161"/>
  <c r="S107" i="161"/>
  <c r="S12" i="161"/>
  <c r="S25" i="161"/>
  <c r="S37" i="161"/>
  <c r="S7" i="161"/>
  <c r="S20" i="161"/>
  <c r="S32" i="161"/>
  <c r="S15" i="161"/>
  <c r="S27" i="161"/>
  <c r="S9" i="161"/>
  <c r="S22" i="161"/>
  <c r="S34" i="161"/>
  <c r="S4" i="161"/>
  <c r="S17" i="161"/>
  <c r="S29" i="161"/>
  <c r="S11" i="161"/>
  <c r="S24" i="161"/>
  <c r="S36" i="161"/>
  <c r="S6" i="161"/>
  <c r="S19" i="161"/>
  <c r="S31" i="161"/>
  <c r="S8" i="161"/>
  <c r="S21" i="161"/>
  <c r="S33" i="161"/>
  <c r="S10" i="161"/>
  <c r="S23" i="161"/>
  <c r="S35" i="161"/>
  <c r="S13" i="161"/>
  <c r="S40" i="161"/>
  <c r="S52" i="161"/>
  <c r="S28" i="161"/>
  <c r="S47" i="161"/>
  <c r="S59" i="161"/>
  <c r="S42" i="161"/>
  <c r="S54" i="161"/>
  <c r="S49" i="161"/>
  <c r="S61" i="161"/>
  <c r="S16" i="161"/>
  <c r="S44" i="161"/>
  <c r="S56" i="161"/>
  <c r="S30" i="161"/>
  <c r="S39" i="161"/>
  <c r="S51" i="161"/>
  <c r="S46" i="161"/>
  <c r="S58" i="161"/>
  <c r="S41" i="161"/>
  <c r="S53" i="161"/>
  <c r="S18" i="161"/>
  <c r="S48" i="161"/>
  <c r="S73" i="161"/>
  <c r="S85" i="161"/>
  <c r="S57" i="161"/>
  <c r="S68" i="161"/>
  <c r="S80" i="161"/>
  <c r="S5" i="161"/>
  <c r="S45" i="161"/>
  <c r="S63" i="161"/>
  <c r="S75" i="161"/>
  <c r="S26" i="161"/>
  <c r="S70" i="161"/>
  <c r="S82" i="161"/>
  <c r="S50" i="161"/>
  <c r="S65" i="161"/>
  <c r="S77" i="161"/>
  <c r="S72" i="161"/>
  <c r="S84" i="161"/>
  <c r="S55" i="161"/>
  <c r="S67" i="161"/>
  <c r="S79" i="161"/>
  <c r="S38" i="161"/>
  <c r="S62" i="161"/>
  <c r="S74" i="161"/>
  <c r="S69" i="161"/>
  <c r="S81" i="161"/>
  <c r="S43" i="161"/>
  <c r="S64" i="161"/>
  <c r="S95" i="161"/>
  <c r="S108" i="161"/>
  <c r="S90" i="161"/>
  <c r="S102" i="161"/>
  <c r="S60" i="161"/>
  <c r="S78" i="161"/>
  <c r="S97" i="161"/>
  <c r="S110" i="161"/>
  <c r="S92" i="161"/>
  <c r="S104" i="161"/>
  <c r="S87" i="161"/>
  <c r="S99" i="161"/>
  <c r="S66" i="161"/>
  <c r="S94" i="161"/>
  <c r="S106" i="161"/>
  <c r="S89" i="161"/>
  <c r="S101" i="161"/>
  <c r="S71" i="161"/>
  <c r="S96" i="161"/>
  <c r="S109" i="161"/>
  <c r="S83" i="161"/>
  <c r="S91" i="161"/>
  <c r="S103" i="161"/>
  <c r="S119" i="161"/>
  <c r="S131" i="161"/>
  <c r="S105" i="161"/>
  <c r="S113" i="161"/>
  <c r="S126" i="161"/>
  <c r="S88" i="161"/>
  <c r="S121" i="161"/>
  <c r="S133" i="161"/>
  <c r="S116" i="161"/>
  <c r="S128" i="161"/>
  <c r="S93" i="161"/>
  <c r="S123" i="161"/>
  <c r="S135" i="161"/>
  <c r="S118" i="161"/>
  <c r="S130" i="161"/>
  <c r="S76" i="161"/>
  <c r="S98" i="161"/>
  <c r="S112" i="161"/>
  <c r="S125" i="161"/>
  <c r="S120" i="161"/>
  <c r="S132" i="161"/>
  <c r="S114" i="161"/>
  <c r="S127" i="161"/>
  <c r="S122" i="161"/>
  <c r="S143" i="161"/>
  <c r="S138" i="161"/>
  <c r="S134" i="161"/>
  <c r="S136" i="161"/>
  <c r="S86" i="161"/>
  <c r="S140" i="161"/>
  <c r="S117" i="161"/>
  <c r="S124" i="161"/>
  <c r="S142" i="161"/>
  <c r="S137" i="161"/>
  <c r="S3" i="161"/>
  <c r="S129" i="161"/>
  <c r="S100" i="161"/>
  <c r="S111" i="161"/>
  <c r="S139" i="161"/>
  <c r="S141" i="161"/>
  <c r="S200" i="161"/>
  <c r="S188" i="161"/>
  <c r="S206" i="161"/>
  <c r="S194" i="161"/>
  <c r="S199" i="161"/>
  <c r="S187" i="161"/>
  <c r="S209" i="161"/>
  <c r="S197" i="161"/>
  <c r="S185" i="161"/>
  <c r="S198" i="161"/>
  <c r="S167" i="161"/>
  <c r="S207" i="161"/>
  <c r="S196" i="161"/>
  <c r="S173" i="161"/>
  <c r="S193" i="161"/>
  <c r="S189" i="161"/>
  <c r="S208" i="161"/>
  <c r="S183" i="161"/>
  <c r="S169" i="161"/>
  <c r="S191" i="161"/>
  <c r="S166" i="161"/>
  <c r="S151" i="161"/>
  <c r="S146" i="161"/>
  <c r="S162" i="161"/>
  <c r="S157" i="161"/>
  <c r="S201" i="161"/>
  <c r="S175" i="161"/>
  <c r="S159" i="161"/>
  <c r="S181" i="161"/>
  <c r="S179" i="161"/>
  <c r="S176" i="161"/>
  <c r="S161" i="161"/>
  <c r="S205" i="161"/>
  <c r="S192" i="161"/>
  <c r="S184" i="161"/>
  <c r="S156" i="161"/>
  <c r="S154" i="161"/>
  <c r="S190" i="161"/>
  <c r="S186" i="161"/>
  <c r="S180" i="161"/>
  <c r="S203" i="161"/>
  <c r="S165" i="161"/>
  <c r="S158" i="161"/>
  <c r="S152" i="161"/>
  <c r="S155" i="161"/>
  <c r="S172" i="161"/>
  <c r="S168" i="161"/>
  <c r="S202" i="161"/>
  <c r="S164" i="161"/>
  <c r="S163" i="161"/>
  <c r="S210" i="161"/>
  <c r="S204" i="161"/>
  <c r="S177" i="161"/>
  <c r="S174" i="161"/>
  <c r="S170" i="161"/>
  <c r="S150" i="161"/>
  <c r="S145" i="161"/>
  <c r="S195" i="161"/>
  <c r="S182" i="161"/>
  <c r="S178" i="161"/>
  <c r="S171" i="161"/>
  <c r="S153" i="161"/>
  <c r="S160" i="161"/>
  <c r="S148" i="161"/>
  <c r="S149" i="161"/>
  <c r="S147" i="161"/>
  <c r="T1" i="161"/>
  <c r="T115" i="161" s="1"/>
  <c r="T38" i="158"/>
  <c r="T14" i="161" l="1"/>
  <c r="T144" i="161"/>
  <c r="T107" i="161"/>
  <c r="T5" i="161"/>
  <c r="T18" i="161"/>
  <c r="T30" i="161"/>
  <c r="T12" i="161"/>
  <c r="T25" i="161"/>
  <c r="T37" i="161"/>
  <c r="T7" i="161"/>
  <c r="T20" i="161"/>
  <c r="T32" i="161"/>
  <c r="T15" i="161"/>
  <c r="T27" i="161"/>
  <c r="T9" i="161"/>
  <c r="T22" i="161"/>
  <c r="T34" i="161"/>
  <c r="T4" i="161"/>
  <c r="T17" i="161"/>
  <c r="T29" i="161"/>
  <c r="T11" i="161"/>
  <c r="T24" i="161"/>
  <c r="T36" i="161"/>
  <c r="T13" i="161"/>
  <c r="T26" i="161"/>
  <c r="T16" i="161"/>
  <c r="T28" i="161"/>
  <c r="T31" i="161"/>
  <c r="T45" i="161"/>
  <c r="T57" i="161"/>
  <c r="T40" i="161"/>
  <c r="T52" i="161"/>
  <c r="T10" i="161"/>
  <c r="T47" i="161"/>
  <c r="T59" i="161"/>
  <c r="T19" i="161"/>
  <c r="T42" i="161"/>
  <c r="T54" i="161"/>
  <c r="T33" i="161"/>
  <c r="T49" i="161"/>
  <c r="T61" i="161"/>
  <c r="T44" i="161"/>
  <c r="T56" i="161"/>
  <c r="T6" i="161"/>
  <c r="T39" i="161"/>
  <c r="T51" i="161"/>
  <c r="T21" i="161"/>
  <c r="T46" i="161"/>
  <c r="T58" i="161"/>
  <c r="T35" i="161"/>
  <c r="T41" i="161"/>
  <c r="T53" i="161"/>
  <c r="T48" i="161"/>
  <c r="T60" i="161"/>
  <c r="T66" i="161"/>
  <c r="T78" i="161"/>
  <c r="T73" i="161"/>
  <c r="T68" i="161"/>
  <c r="T80" i="161"/>
  <c r="T63" i="161"/>
  <c r="T75" i="161"/>
  <c r="T70" i="161"/>
  <c r="T82" i="161"/>
  <c r="T50" i="161"/>
  <c r="T65" i="161"/>
  <c r="T77" i="161"/>
  <c r="T72" i="161"/>
  <c r="T84" i="161"/>
  <c r="T8" i="161"/>
  <c r="T55" i="161"/>
  <c r="T67" i="161"/>
  <c r="T79" i="161"/>
  <c r="T38" i="161"/>
  <c r="T62" i="161"/>
  <c r="T74" i="161"/>
  <c r="T81" i="161"/>
  <c r="T88" i="161"/>
  <c r="T100" i="161"/>
  <c r="T43" i="161"/>
  <c r="T64" i="161"/>
  <c r="T95" i="161"/>
  <c r="T108" i="161"/>
  <c r="T90" i="161"/>
  <c r="T102" i="161"/>
  <c r="T69" i="161"/>
  <c r="T97" i="161"/>
  <c r="T110" i="161"/>
  <c r="T92" i="161"/>
  <c r="T104" i="161"/>
  <c r="T87" i="161"/>
  <c r="T99" i="161"/>
  <c r="T94" i="161"/>
  <c r="T106" i="161"/>
  <c r="T89" i="161"/>
  <c r="T101" i="161"/>
  <c r="T23" i="161"/>
  <c r="T71" i="161"/>
  <c r="T96" i="161"/>
  <c r="T109" i="161"/>
  <c r="T91" i="161"/>
  <c r="T111" i="161"/>
  <c r="T124" i="161"/>
  <c r="T136" i="161"/>
  <c r="T119" i="161"/>
  <c r="T131" i="161"/>
  <c r="T105" i="161"/>
  <c r="T113" i="161"/>
  <c r="T126" i="161"/>
  <c r="T121" i="161"/>
  <c r="T133" i="161"/>
  <c r="T116" i="161"/>
  <c r="T128" i="161"/>
  <c r="T85" i="161"/>
  <c r="T93" i="161"/>
  <c r="T123" i="161"/>
  <c r="T118" i="161"/>
  <c r="T130" i="161"/>
  <c r="T76" i="161"/>
  <c r="T98" i="161"/>
  <c r="T112" i="161"/>
  <c r="T125" i="161"/>
  <c r="T120" i="161"/>
  <c r="T83" i="161"/>
  <c r="T103" i="161"/>
  <c r="T132" i="161"/>
  <c r="T122" i="161"/>
  <c r="T143" i="161"/>
  <c r="T138" i="161"/>
  <c r="T135" i="161"/>
  <c r="T127" i="161"/>
  <c r="T117" i="161"/>
  <c r="T86" i="161"/>
  <c r="T140" i="161"/>
  <c r="T134" i="161"/>
  <c r="T141" i="161"/>
  <c r="T114" i="161"/>
  <c r="T142" i="161"/>
  <c r="T137" i="161"/>
  <c r="T3" i="161"/>
  <c r="T139" i="161"/>
  <c r="T129" i="161"/>
  <c r="T205" i="161"/>
  <c r="T193" i="161"/>
  <c r="T181" i="161"/>
  <c r="T199" i="161"/>
  <c r="T187" i="161"/>
  <c r="T204" i="161"/>
  <c r="T192" i="161"/>
  <c r="T180" i="161"/>
  <c r="T209" i="161"/>
  <c r="T202" i="161"/>
  <c r="T190" i="161"/>
  <c r="T191" i="161"/>
  <c r="T172" i="161"/>
  <c r="T160" i="161"/>
  <c r="T200" i="161"/>
  <c r="T189" i="161"/>
  <c r="T210" i="161"/>
  <c r="T186" i="161"/>
  <c r="T182" i="161"/>
  <c r="T178" i="161"/>
  <c r="T171" i="161"/>
  <c r="T201" i="161"/>
  <c r="T174" i="161"/>
  <c r="T184" i="161"/>
  <c r="T177" i="161"/>
  <c r="T173" i="161"/>
  <c r="T163" i="161"/>
  <c r="T156" i="161"/>
  <c r="T208" i="161"/>
  <c r="T175" i="161"/>
  <c r="T159" i="161"/>
  <c r="T194" i="161"/>
  <c r="T168" i="161"/>
  <c r="T167" i="161"/>
  <c r="T155" i="161"/>
  <c r="T206" i="161"/>
  <c r="T169" i="161"/>
  <c r="T158" i="161"/>
  <c r="T196" i="161"/>
  <c r="T197" i="161"/>
  <c r="T188" i="161"/>
  <c r="T148" i="161"/>
  <c r="T207" i="161"/>
  <c r="T203" i="161"/>
  <c r="T179" i="161"/>
  <c r="T165" i="161"/>
  <c r="T152" i="161"/>
  <c r="T195" i="161"/>
  <c r="T149" i="161"/>
  <c r="T176" i="161"/>
  <c r="T161" i="161"/>
  <c r="T146" i="161"/>
  <c r="T166" i="161"/>
  <c r="T151" i="161"/>
  <c r="T164" i="161"/>
  <c r="T170" i="161"/>
  <c r="T150" i="161"/>
  <c r="T145" i="161"/>
  <c r="T198" i="161"/>
  <c r="T185" i="161"/>
  <c r="T157" i="161"/>
  <c r="T162" i="161"/>
  <c r="T153" i="161"/>
  <c r="T183" i="161"/>
  <c r="T154" i="161"/>
  <c r="T147" i="161"/>
  <c r="U1" i="161"/>
  <c r="U115" i="161" s="1"/>
  <c r="T31" i="158"/>
  <c r="T39" i="158"/>
  <c r="U14" i="161" l="1"/>
  <c r="U144" i="161"/>
  <c r="U107" i="161"/>
  <c r="U10" i="161"/>
  <c r="U23" i="161"/>
  <c r="U35" i="161"/>
  <c r="U5" i="161"/>
  <c r="U18" i="161"/>
  <c r="U30" i="161"/>
  <c r="U12" i="161"/>
  <c r="U25" i="161"/>
  <c r="U37" i="161"/>
  <c r="U7" i="161"/>
  <c r="U20" i="161"/>
  <c r="U32" i="161"/>
  <c r="U15" i="161"/>
  <c r="U27" i="161"/>
  <c r="U9" i="161"/>
  <c r="U22" i="161"/>
  <c r="U34" i="161"/>
  <c r="U4" i="161"/>
  <c r="U17" i="161"/>
  <c r="U29" i="161"/>
  <c r="U6" i="161"/>
  <c r="U19" i="161"/>
  <c r="U31" i="161"/>
  <c r="U8" i="161"/>
  <c r="U21" i="161"/>
  <c r="U33" i="161"/>
  <c r="U38" i="161"/>
  <c r="U50" i="161"/>
  <c r="U13" i="161"/>
  <c r="U45" i="161"/>
  <c r="U57" i="161"/>
  <c r="U28" i="161"/>
  <c r="U40" i="161"/>
  <c r="U52" i="161"/>
  <c r="U36" i="161"/>
  <c r="U47" i="161"/>
  <c r="U59" i="161"/>
  <c r="U42" i="161"/>
  <c r="U54" i="161"/>
  <c r="U16" i="161"/>
  <c r="U49" i="161"/>
  <c r="U24" i="161"/>
  <c r="U44" i="161"/>
  <c r="U56" i="161"/>
  <c r="U39" i="161"/>
  <c r="U51" i="161"/>
  <c r="U46" i="161"/>
  <c r="U58" i="161"/>
  <c r="U11" i="161"/>
  <c r="U71" i="161"/>
  <c r="U83" i="161"/>
  <c r="U48" i="161"/>
  <c r="U60" i="161"/>
  <c r="U61" i="161"/>
  <c r="U66" i="161"/>
  <c r="U78" i="161"/>
  <c r="U73" i="161"/>
  <c r="U85" i="161"/>
  <c r="U53" i="161"/>
  <c r="U68" i="161"/>
  <c r="U80" i="161"/>
  <c r="U26" i="161"/>
  <c r="U63" i="161"/>
  <c r="U75" i="161"/>
  <c r="U70" i="161"/>
  <c r="U82" i="161"/>
  <c r="U41" i="161"/>
  <c r="U65" i="161"/>
  <c r="U77" i="161"/>
  <c r="U72" i="161"/>
  <c r="U84" i="161"/>
  <c r="U55" i="161"/>
  <c r="U67" i="161"/>
  <c r="U79" i="161"/>
  <c r="U93" i="161"/>
  <c r="U105" i="161"/>
  <c r="U81" i="161"/>
  <c r="U88" i="161"/>
  <c r="U100" i="161"/>
  <c r="U43" i="161"/>
  <c r="U64" i="161"/>
  <c r="U95" i="161"/>
  <c r="U108" i="161"/>
  <c r="U90" i="161"/>
  <c r="U102" i="161"/>
  <c r="U69" i="161"/>
  <c r="U97" i="161"/>
  <c r="U110" i="161"/>
  <c r="U92" i="161"/>
  <c r="U104" i="161"/>
  <c r="U74" i="161"/>
  <c r="U87" i="161"/>
  <c r="U99" i="161"/>
  <c r="U94" i="161"/>
  <c r="U106" i="161"/>
  <c r="U89" i="161"/>
  <c r="U101" i="161"/>
  <c r="U117" i="161"/>
  <c r="U129" i="161"/>
  <c r="U91" i="161"/>
  <c r="U111" i="161"/>
  <c r="U124" i="161"/>
  <c r="U109" i="161"/>
  <c r="U119" i="161"/>
  <c r="U131" i="161"/>
  <c r="U62" i="161"/>
  <c r="U96" i="161"/>
  <c r="U113" i="161"/>
  <c r="U126" i="161"/>
  <c r="U121" i="161"/>
  <c r="U133" i="161"/>
  <c r="U116" i="161"/>
  <c r="U128" i="161"/>
  <c r="U123" i="161"/>
  <c r="U135" i="161"/>
  <c r="U118" i="161"/>
  <c r="U130" i="161"/>
  <c r="U76" i="161"/>
  <c r="U98" i="161"/>
  <c r="U112" i="161"/>
  <c r="U125" i="161"/>
  <c r="U134" i="161"/>
  <c r="U141" i="161"/>
  <c r="U139" i="161"/>
  <c r="U103" i="161"/>
  <c r="U132" i="161"/>
  <c r="U122" i="161"/>
  <c r="U143" i="161"/>
  <c r="U136" i="161"/>
  <c r="U138" i="161"/>
  <c r="U127" i="161"/>
  <c r="U86" i="161"/>
  <c r="U140" i="161"/>
  <c r="U120" i="161"/>
  <c r="U114" i="161"/>
  <c r="U142" i="161"/>
  <c r="U137" i="161"/>
  <c r="U3" i="161"/>
  <c r="U210" i="161"/>
  <c r="U198" i="161"/>
  <c r="U186" i="161"/>
  <c r="U204" i="161"/>
  <c r="U192" i="161"/>
  <c r="U209" i="161"/>
  <c r="U197" i="161"/>
  <c r="U185" i="161"/>
  <c r="U207" i="161"/>
  <c r="U195" i="161"/>
  <c r="U183" i="161"/>
  <c r="U202" i="161"/>
  <c r="U184" i="161"/>
  <c r="U177" i="161"/>
  <c r="U165" i="161"/>
  <c r="U193" i="161"/>
  <c r="U182" i="161"/>
  <c r="U178" i="161"/>
  <c r="U171" i="161"/>
  <c r="U176" i="161"/>
  <c r="U205" i="161"/>
  <c r="U194" i="161"/>
  <c r="U180" i="161"/>
  <c r="U170" i="161"/>
  <c r="U149" i="161"/>
  <c r="U201" i="161"/>
  <c r="U168" i="161"/>
  <c r="U167" i="161"/>
  <c r="U187" i="161"/>
  <c r="U172" i="161"/>
  <c r="U164" i="161"/>
  <c r="U199" i="161"/>
  <c r="U166" i="161"/>
  <c r="U188" i="161"/>
  <c r="U175" i="161"/>
  <c r="U159" i="161"/>
  <c r="U203" i="161"/>
  <c r="U179" i="161"/>
  <c r="U181" i="161"/>
  <c r="U158" i="161"/>
  <c r="U191" i="161"/>
  <c r="U163" i="161"/>
  <c r="U196" i="161"/>
  <c r="U169" i="161"/>
  <c r="U155" i="161"/>
  <c r="U154" i="161"/>
  <c r="U151" i="161"/>
  <c r="U189" i="161"/>
  <c r="U173" i="161"/>
  <c r="U150" i="161"/>
  <c r="U145" i="161"/>
  <c r="U206" i="161"/>
  <c r="U157" i="161"/>
  <c r="U156" i="161"/>
  <c r="U148" i="161"/>
  <c r="U190" i="161"/>
  <c r="U208" i="161"/>
  <c r="U200" i="161"/>
  <c r="U146" i="161"/>
  <c r="U174" i="161"/>
  <c r="U160" i="161"/>
  <c r="U162" i="161"/>
  <c r="U153" i="161"/>
  <c r="U161" i="161"/>
  <c r="U152" i="161"/>
  <c r="U147" i="161"/>
  <c r="V1" i="161"/>
  <c r="V115" i="161" s="1"/>
  <c r="T52" i="158"/>
  <c r="V14" i="161" l="1"/>
  <c r="V144" i="161"/>
  <c r="V107" i="161"/>
  <c r="V16" i="161"/>
  <c r="V28" i="161"/>
  <c r="V10" i="161"/>
  <c r="V23" i="161"/>
  <c r="V35" i="161"/>
  <c r="V5" i="161"/>
  <c r="V18" i="161"/>
  <c r="V30" i="161"/>
  <c r="V12" i="161"/>
  <c r="V25" i="161"/>
  <c r="V37" i="161"/>
  <c r="V7" i="161"/>
  <c r="V20" i="161"/>
  <c r="V32" i="161"/>
  <c r="V15" i="161"/>
  <c r="V27" i="161"/>
  <c r="V9" i="161"/>
  <c r="V22" i="161"/>
  <c r="V34" i="161"/>
  <c r="V11" i="161"/>
  <c r="V24" i="161"/>
  <c r="V36" i="161"/>
  <c r="V13" i="161"/>
  <c r="V26" i="161"/>
  <c r="V17" i="161"/>
  <c r="V43" i="161"/>
  <c r="V55" i="161"/>
  <c r="V31" i="161"/>
  <c r="V38" i="161"/>
  <c r="V50" i="161"/>
  <c r="V45" i="161"/>
  <c r="V57" i="161"/>
  <c r="V4" i="161"/>
  <c r="V40" i="161"/>
  <c r="V52" i="161"/>
  <c r="V19" i="161"/>
  <c r="V47" i="161"/>
  <c r="V59" i="161"/>
  <c r="V33" i="161"/>
  <c r="V42" i="161"/>
  <c r="V54" i="161"/>
  <c r="V49" i="161"/>
  <c r="V61" i="161"/>
  <c r="V6" i="161"/>
  <c r="V44" i="161"/>
  <c r="V56" i="161"/>
  <c r="V21" i="161"/>
  <c r="V39" i="161"/>
  <c r="V51" i="161"/>
  <c r="V64" i="161"/>
  <c r="V76" i="161"/>
  <c r="V71" i="161"/>
  <c r="V83" i="161"/>
  <c r="V48" i="161"/>
  <c r="V60" i="161"/>
  <c r="V66" i="161"/>
  <c r="V78" i="161"/>
  <c r="V73" i="161"/>
  <c r="V53" i="161"/>
  <c r="V68" i="161"/>
  <c r="V80" i="161"/>
  <c r="V63" i="161"/>
  <c r="V75" i="161"/>
  <c r="V70" i="161"/>
  <c r="V82" i="161"/>
  <c r="V41" i="161"/>
  <c r="V65" i="161"/>
  <c r="V77" i="161"/>
  <c r="V8" i="161"/>
  <c r="V72" i="161"/>
  <c r="V67" i="161"/>
  <c r="V85" i="161"/>
  <c r="V86" i="161"/>
  <c r="V98" i="161"/>
  <c r="V93" i="161"/>
  <c r="V105" i="161"/>
  <c r="V81" i="161"/>
  <c r="V88" i="161"/>
  <c r="V100" i="161"/>
  <c r="V95" i="161"/>
  <c r="V108" i="161"/>
  <c r="V90" i="161"/>
  <c r="V102" i="161"/>
  <c r="V69" i="161"/>
  <c r="V97" i="161"/>
  <c r="V46" i="161"/>
  <c r="V84" i="161"/>
  <c r="V92" i="161"/>
  <c r="V104" i="161"/>
  <c r="V74" i="161"/>
  <c r="V87" i="161"/>
  <c r="V99" i="161"/>
  <c r="V58" i="161"/>
  <c r="V94" i="161"/>
  <c r="V106" i="161"/>
  <c r="V29" i="161"/>
  <c r="V79" i="161"/>
  <c r="V122" i="161"/>
  <c r="V134" i="161"/>
  <c r="V117" i="161"/>
  <c r="V129" i="161"/>
  <c r="V91" i="161"/>
  <c r="V110" i="161"/>
  <c r="V111" i="161"/>
  <c r="V124" i="161"/>
  <c r="V136" i="161"/>
  <c r="V109" i="161"/>
  <c r="V119" i="161"/>
  <c r="V131" i="161"/>
  <c r="V62" i="161"/>
  <c r="V96" i="161"/>
  <c r="V113" i="161"/>
  <c r="V126" i="161"/>
  <c r="V121" i="161"/>
  <c r="V133" i="161"/>
  <c r="V101" i="161"/>
  <c r="V116" i="161"/>
  <c r="V128" i="161"/>
  <c r="V123" i="161"/>
  <c r="V135" i="161"/>
  <c r="V118" i="161"/>
  <c r="V125" i="161"/>
  <c r="V120" i="161"/>
  <c r="V141" i="161"/>
  <c r="V3" i="161"/>
  <c r="V103" i="161"/>
  <c r="V132" i="161"/>
  <c r="V112" i="161"/>
  <c r="V143" i="161"/>
  <c r="V130" i="161"/>
  <c r="V138" i="161"/>
  <c r="V127" i="161"/>
  <c r="V139" i="161"/>
  <c r="V140" i="161"/>
  <c r="V89" i="161"/>
  <c r="V114" i="161"/>
  <c r="V142" i="161"/>
  <c r="V137" i="161"/>
  <c r="V203" i="161"/>
  <c r="V191" i="161"/>
  <c r="V179" i="161"/>
  <c r="V209" i="161"/>
  <c r="V197" i="161"/>
  <c r="V185" i="161"/>
  <c r="V202" i="161"/>
  <c r="V190" i="161"/>
  <c r="V200" i="161"/>
  <c r="V188" i="161"/>
  <c r="V195" i="161"/>
  <c r="V170" i="161"/>
  <c r="V158" i="161"/>
  <c r="V210" i="161"/>
  <c r="V186" i="161"/>
  <c r="V176" i="161"/>
  <c r="V208" i="161"/>
  <c r="V204" i="161"/>
  <c r="V181" i="161"/>
  <c r="V169" i="161"/>
  <c r="V198" i="161"/>
  <c r="V187" i="161"/>
  <c r="V172" i="161"/>
  <c r="V160" i="161"/>
  <c r="V154" i="161"/>
  <c r="V194" i="161"/>
  <c r="V164" i="161"/>
  <c r="V207" i="161"/>
  <c r="V161" i="161"/>
  <c r="V205" i="161"/>
  <c r="V192" i="161"/>
  <c r="V173" i="161"/>
  <c r="V163" i="161"/>
  <c r="V156" i="161"/>
  <c r="V184" i="161"/>
  <c r="V201" i="161"/>
  <c r="V174" i="161"/>
  <c r="V168" i="161"/>
  <c r="V153" i="161"/>
  <c r="V180" i="161"/>
  <c r="V199" i="161"/>
  <c r="V149" i="161"/>
  <c r="V182" i="161"/>
  <c r="V178" i="161"/>
  <c r="V177" i="161"/>
  <c r="V171" i="161"/>
  <c r="V166" i="161"/>
  <c r="V148" i="161"/>
  <c r="V167" i="161"/>
  <c r="V189" i="161"/>
  <c r="V165" i="161"/>
  <c r="V162" i="161"/>
  <c r="V183" i="161"/>
  <c r="V206" i="161"/>
  <c r="V193" i="161"/>
  <c r="V157" i="161"/>
  <c r="V175" i="161"/>
  <c r="V155" i="161"/>
  <c r="V151" i="161"/>
  <c r="V146" i="161"/>
  <c r="V147" i="161"/>
  <c r="V196" i="161"/>
  <c r="V159" i="161"/>
  <c r="V150" i="161"/>
  <c r="V145" i="161"/>
  <c r="V152" i="161"/>
  <c r="W1" i="161"/>
  <c r="W115" i="161" s="1"/>
  <c r="T46" i="158"/>
  <c r="W14" i="161" l="1"/>
  <c r="W144" i="161"/>
  <c r="W107" i="161"/>
  <c r="W8" i="161"/>
  <c r="W21" i="161"/>
  <c r="W33" i="161"/>
  <c r="W16" i="161"/>
  <c r="W28" i="161"/>
  <c r="W10" i="161"/>
  <c r="W23" i="161"/>
  <c r="W35" i="161"/>
  <c r="W5" i="161"/>
  <c r="W18" i="161"/>
  <c r="W30" i="161"/>
  <c r="W12" i="161"/>
  <c r="W25" i="161"/>
  <c r="W37" i="161"/>
  <c r="W7" i="161"/>
  <c r="W20" i="161"/>
  <c r="W32" i="161"/>
  <c r="W15" i="161"/>
  <c r="W27" i="161"/>
  <c r="W4" i="161"/>
  <c r="W17" i="161"/>
  <c r="W29" i="161"/>
  <c r="W6" i="161"/>
  <c r="W19" i="161"/>
  <c r="W31" i="161"/>
  <c r="W34" i="161"/>
  <c r="W48" i="161"/>
  <c r="W60" i="161"/>
  <c r="W43" i="161"/>
  <c r="W55" i="161"/>
  <c r="W13" i="161"/>
  <c r="W38" i="161"/>
  <c r="W50" i="161"/>
  <c r="W22" i="161"/>
  <c r="W45" i="161"/>
  <c r="W57" i="161"/>
  <c r="W36" i="161"/>
  <c r="W40" i="161"/>
  <c r="W52" i="161"/>
  <c r="W47" i="161"/>
  <c r="W9" i="161"/>
  <c r="W42" i="161"/>
  <c r="W54" i="161"/>
  <c r="W24" i="161"/>
  <c r="W49" i="161"/>
  <c r="W61" i="161"/>
  <c r="W44" i="161"/>
  <c r="W56" i="161"/>
  <c r="W51" i="161"/>
  <c r="W58" i="161"/>
  <c r="W59" i="161"/>
  <c r="W69" i="161"/>
  <c r="W81" i="161"/>
  <c r="W11" i="161"/>
  <c r="W64" i="161"/>
  <c r="W76" i="161"/>
  <c r="W71" i="161"/>
  <c r="W83" i="161"/>
  <c r="W39" i="161"/>
  <c r="W66" i="161"/>
  <c r="W78" i="161"/>
  <c r="W73" i="161"/>
  <c r="W85" i="161"/>
  <c r="W26" i="161"/>
  <c r="W53" i="161"/>
  <c r="W68" i="161"/>
  <c r="W80" i="161"/>
  <c r="W63" i="161"/>
  <c r="W75" i="161"/>
  <c r="W70" i="161"/>
  <c r="W82" i="161"/>
  <c r="W41" i="161"/>
  <c r="W65" i="161"/>
  <c r="W77" i="161"/>
  <c r="W91" i="161"/>
  <c r="W103" i="161"/>
  <c r="W67" i="161"/>
  <c r="W86" i="161"/>
  <c r="W98" i="161"/>
  <c r="W93" i="161"/>
  <c r="W105" i="161"/>
  <c r="W72" i="161"/>
  <c r="W88" i="161"/>
  <c r="W100" i="161"/>
  <c r="W95" i="161"/>
  <c r="W108" i="161"/>
  <c r="W90" i="161"/>
  <c r="W102" i="161"/>
  <c r="W97" i="161"/>
  <c r="W110" i="161"/>
  <c r="W46" i="161"/>
  <c r="W84" i="161"/>
  <c r="W92" i="161"/>
  <c r="W104" i="161"/>
  <c r="W74" i="161"/>
  <c r="W87" i="161"/>
  <c r="W99" i="161"/>
  <c r="W94" i="161"/>
  <c r="W114" i="161"/>
  <c r="W127" i="161"/>
  <c r="W79" i="161"/>
  <c r="W122" i="161"/>
  <c r="W134" i="161"/>
  <c r="W117" i="161"/>
  <c r="W129" i="161"/>
  <c r="W111" i="161"/>
  <c r="W124" i="161"/>
  <c r="W109" i="161"/>
  <c r="W119" i="161"/>
  <c r="W131" i="161"/>
  <c r="W62" i="161"/>
  <c r="W96" i="161"/>
  <c r="W113" i="161"/>
  <c r="W126" i="161"/>
  <c r="W121" i="161"/>
  <c r="W133" i="161"/>
  <c r="W101" i="161"/>
  <c r="W116" i="161"/>
  <c r="W128" i="161"/>
  <c r="W123" i="161"/>
  <c r="W135" i="161"/>
  <c r="W139" i="161"/>
  <c r="W142" i="161"/>
  <c r="W125" i="161"/>
  <c r="W3" i="161"/>
  <c r="W141" i="161"/>
  <c r="W132" i="161"/>
  <c r="W112" i="161"/>
  <c r="W136" i="161"/>
  <c r="W143" i="161"/>
  <c r="W130" i="161"/>
  <c r="W138" i="161"/>
  <c r="W120" i="161"/>
  <c r="W106" i="161"/>
  <c r="W118" i="161"/>
  <c r="W137" i="161"/>
  <c r="W140" i="161"/>
  <c r="W89" i="161"/>
  <c r="W208" i="161"/>
  <c r="W196" i="161"/>
  <c r="W184" i="161"/>
  <c r="W202" i="161"/>
  <c r="W190" i="161"/>
  <c r="W207" i="161"/>
  <c r="W195" i="161"/>
  <c r="W183" i="161"/>
  <c r="W205" i="161"/>
  <c r="W193" i="161"/>
  <c r="W206" i="161"/>
  <c r="W188" i="161"/>
  <c r="W179" i="161"/>
  <c r="W175" i="161"/>
  <c r="W163" i="161"/>
  <c r="W204" i="161"/>
  <c r="W181" i="161"/>
  <c r="W169" i="161"/>
  <c r="W201" i="161"/>
  <c r="W197" i="161"/>
  <c r="W174" i="161"/>
  <c r="W191" i="161"/>
  <c r="W177" i="161"/>
  <c r="W147" i="161"/>
  <c r="W187" i="161"/>
  <c r="W172" i="161"/>
  <c r="W161" i="161"/>
  <c r="W200" i="161"/>
  <c r="W198" i="161"/>
  <c r="W185" i="161"/>
  <c r="W209" i="161"/>
  <c r="W164" i="161"/>
  <c r="W150" i="161"/>
  <c r="W145" i="161"/>
  <c r="W199" i="161"/>
  <c r="W186" i="161"/>
  <c r="W182" i="161"/>
  <c r="W178" i="161"/>
  <c r="W171" i="161"/>
  <c r="W170" i="161"/>
  <c r="W146" i="161"/>
  <c r="W192" i="161"/>
  <c r="W159" i="161"/>
  <c r="W156" i="161"/>
  <c r="W189" i="161"/>
  <c r="W168" i="161"/>
  <c r="W165" i="161"/>
  <c r="W162" i="161"/>
  <c r="W149" i="161"/>
  <c r="W210" i="161"/>
  <c r="W173" i="161"/>
  <c r="W194" i="161"/>
  <c r="W148" i="161"/>
  <c r="W153" i="161"/>
  <c r="W203" i="161"/>
  <c r="W180" i="161"/>
  <c r="W176" i="161"/>
  <c r="W167" i="161"/>
  <c r="W166" i="161"/>
  <c r="W155" i="161"/>
  <c r="W151" i="161"/>
  <c r="W160" i="161"/>
  <c r="W158" i="161"/>
  <c r="W154" i="161"/>
  <c r="W157" i="161"/>
  <c r="W152" i="161"/>
  <c r="X1" i="161"/>
  <c r="X115" i="161" s="1"/>
  <c r="T49" i="158"/>
  <c r="X14" i="161" l="1"/>
  <c r="X144" i="161"/>
  <c r="X107" i="161"/>
  <c r="X13" i="161"/>
  <c r="X26" i="161"/>
  <c r="X8" i="161"/>
  <c r="X21" i="161"/>
  <c r="X33" i="161"/>
  <c r="X16" i="161"/>
  <c r="X28" i="161"/>
  <c r="X10" i="161"/>
  <c r="X23" i="161"/>
  <c r="X35" i="161"/>
  <c r="X5" i="161"/>
  <c r="X18" i="161"/>
  <c r="X30" i="161"/>
  <c r="X12" i="161"/>
  <c r="X25" i="161"/>
  <c r="X37" i="161"/>
  <c r="X7" i="161"/>
  <c r="X20" i="161"/>
  <c r="X32" i="161"/>
  <c r="X9" i="161"/>
  <c r="X22" i="161"/>
  <c r="X34" i="161"/>
  <c r="X11" i="161"/>
  <c r="X24" i="161"/>
  <c r="X36" i="161"/>
  <c r="X41" i="161"/>
  <c r="X53" i="161"/>
  <c r="X17" i="161"/>
  <c r="X48" i="161"/>
  <c r="X60" i="161"/>
  <c r="X31" i="161"/>
  <c r="X43" i="161"/>
  <c r="X55" i="161"/>
  <c r="X38" i="161"/>
  <c r="X50" i="161"/>
  <c r="X4" i="161"/>
  <c r="X45" i="161"/>
  <c r="X57" i="161"/>
  <c r="X19" i="161"/>
  <c r="X40" i="161"/>
  <c r="X52" i="161"/>
  <c r="X27" i="161"/>
  <c r="X47" i="161"/>
  <c r="X59" i="161"/>
  <c r="X42" i="161"/>
  <c r="X54" i="161"/>
  <c r="X6" i="161"/>
  <c r="X49" i="161"/>
  <c r="X62" i="161"/>
  <c r="X74" i="161"/>
  <c r="X51" i="161"/>
  <c r="X58" i="161"/>
  <c r="X69" i="161"/>
  <c r="X81" i="161"/>
  <c r="X61" i="161"/>
  <c r="X64" i="161"/>
  <c r="X76" i="161"/>
  <c r="X56" i="161"/>
  <c r="X71" i="161"/>
  <c r="X83" i="161"/>
  <c r="X39" i="161"/>
  <c r="X66" i="161"/>
  <c r="X78" i="161"/>
  <c r="X73" i="161"/>
  <c r="X15" i="161"/>
  <c r="X44" i="161"/>
  <c r="X68" i="161"/>
  <c r="X80" i="161"/>
  <c r="X63" i="161"/>
  <c r="X75" i="161"/>
  <c r="X70" i="161"/>
  <c r="X96" i="161"/>
  <c r="X109" i="161"/>
  <c r="X85" i="161"/>
  <c r="X91" i="161"/>
  <c r="X103" i="161"/>
  <c r="X67" i="161"/>
  <c r="X86" i="161"/>
  <c r="X98" i="161"/>
  <c r="X93" i="161"/>
  <c r="X105" i="161"/>
  <c r="X72" i="161"/>
  <c r="X88" i="161"/>
  <c r="X100" i="161"/>
  <c r="X95" i="161"/>
  <c r="X108" i="161"/>
  <c r="X77" i="161"/>
  <c r="X90" i="161"/>
  <c r="X102" i="161"/>
  <c r="X97" i="161"/>
  <c r="X46" i="161"/>
  <c r="X84" i="161"/>
  <c r="X92" i="161"/>
  <c r="X104" i="161"/>
  <c r="X120" i="161"/>
  <c r="X132" i="161"/>
  <c r="X29" i="161"/>
  <c r="X94" i="161"/>
  <c r="X114" i="161"/>
  <c r="X127" i="161"/>
  <c r="X79" i="161"/>
  <c r="X122" i="161"/>
  <c r="X134" i="161"/>
  <c r="X99" i="161"/>
  <c r="X110" i="161"/>
  <c r="X117" i="161"/>
  <c r="X129" i="161"/>
  <c r="X111" i="161"/>
  <c r="X124" i="161"/>
  <c r="X136" i="161"/>
  <c r="X119" i="161"/>
  <c r="X131" i="161"/>
  <c r="X87" i="161"/>
  <c r="X113" i="161"/>
  <c r="X126" i="161"/>
  <c r="X82" i="161"/>
  <c r="X121" i="161"/>
  <c r="X133" i="161"/>
  <c r="X101" i="161"/>
  <c r="X116" i="161"/>
  <c r="X128" i="161"/>
  <c r="X3" i="161"/>
  <c r="X135" i="161"/>
  <c r="X139" i="161"/>
  <c r="X125" i="161"/>
  <c r="X65" i="161"/>
  <c r="X141" i="161"/>
  <c r="X112" i="161"/>
  <c r="X143" i="161"/>
  <c r="X137" i="161"/>
  <c r="X130" i="161"/>
  <c r="X138" i="161"/>
  <c r="X123" i="161"/>
  <c r="X106" i="161"/>
  <c r="X118" i="161"/>
  <c r="X142" i="161"/>
  <c r="X89" i="161"/>
  <c r="X140" i="161"/>
  <c r="X201" i="161"/>
  <c r="X189" i="161"/>
  <c r="X207" i="161"/>
  <c r="X195" i="161"/>
  <c r="X183" i="161"/>
  <c r="X200" i="161"/>
  <c r="X188" i="161"/>
  <c r="X210" i="161"/>
  <c r="X198" i="161"/>
  <c r="X186" i="161"/>
  <c r="X209" i="161"/>
  <c r="X199" i="161"/>
  <c r="X168" i="161"/>
  <c r="X208" i="161"/>
  <c r="X197" i="161"/>
  <c r="X174" i="161"/>
  <c r="X194" i="161"/>
  <c r="X190" i="161"/>
  <c r="X180" i="161"/>
  <c r="X184" i="161"/>
  <c r="X170" i="161"/>
  <c r="X204" i="161"/>
  <c r="X203" i="161"/>
  <c r="X165" i="161"/>
  <c r="X152" i="161"/>
  <c r="X206" i="161"/>
  <c r="X193" i="161"/>
  <c r="X179" i="161"/>
  <c r="X176" i="161"/>
  <c r="X166" i="161"/>
  <c r="X158" i="161"/>
  <c r="X191" i="161"/>
  <c r="X177" i="161"/>
  <c r="X160" i="161"/>
  <c r="X162" i="161"/>
  <c r="X157" i="161"/>
  <c r="X182" i="161"/>
  <c r="X181" i="161"/>
  <c r="X178" i="161"/>
  <c r="X163" i="161"/>
  <c r="X146" i="161"/>
  <c r="X155" i="161"/>
  <c r="X151" i="161"/>
  <c r="X205" i="161"/>
  <c r="X175" i="161"/>
  <c r="X153" i="161"/>
  <c r="X172" i="161"/>
  <c r="X164" i="161"/>
  <c r="X149" i="161"/>
  <c r="X202" i="161"/>
  <c r="X173" i="161"/>
  <c r="X147" i="161"/>
  <c r="X161" i="161"/>
  <c r="X169" i="161"/>
  <c r="X196" i="161"/>
  <c r="X148" i="161"/>
  <c r="X185" i="161"/>
  <c r="X156" i="161"/>
  <c r="X171" i="161"/>
  <c r="X187" i="161"/>
  <c r="X167" i="161"/>
  <c r="X192" i="161"/>
  <c r="X154" i="161"/>
  <c r="X159" i="161"/>
  <c r="X145" i="161"/>
  <c r="X150" i="161"/>
  <c r="Y1" i="161"/>
  <c r="Y115" i="161" s="1"/>
  <c r="T43" i="158"/>
  <c r="T36" i="158"/>
  <c r="T33" i="158"/>
  <c r="T40" i="158"/>
  <c r="Y14" i="161" l="1"/>
  <c r="Y144" i="161"/>
  <c r="Y107" i="161"/>
  <c r="Y6" i="161"/>
  <c r="Y19" i="161"/>
  <c r="Y31" i="161"/>
  <c r="Y13" i="161"/>
  <c r="Y26" i="161"/>
  <c r="Y8" i="161"/>
  <c r="Y21" i="161"/>
  <c r="Y33" i="161"/>
  <c r="Y16" i="161"/>
  <c r="Y28" i="161"/>
  <c r="Y10" i="161"/>
  <c r="Y23" i="161"/>
  <c r="Y35" i="161"/>
  <c r="Y5" i="161"/>
  <c r="Y18" i="161"/>
  <c r="Y30" i="161"/>
  <c r="Y12" i="161"/>
  <c r="Y25" i="161"/>
  <c r="Y37" i="161"/>
  <c r="Y15" i="161"/>
  <c r="Y27" i="161"/>
  <c r="Y4" i="161"/>
  <c r="Y17" i="161"/>
  <c r="Y29" i="161"/>
  <c r="Y20" i="161"/>
  <c r="Y46" i="161"/>
  <c r="Y58" i="161"/>
  <c r="Y34" i="161"/>
  <c r="Y41" i="161"/>
  <c r="Y53" i="161"/>
  <c r="Y48" i="161"/>
  <c r="Y60" i="161"/>
  <c r="Y7" i="161"/>
  <c r="Y43" i="161"/>
  <c r="Y55" i="161"/>
  <c r="Y22" i="161"/>
  <c r="Y38" i="161"/>
  <c r="Y50" i="161"/>
  <c r="Y36" i="161"/>
  <c r="Y45" i="161"/>
  <c r="Y40" i="161"/>
  <c r="Y52" i="161"/>
  <c r="Y9" i="161"/>
  <c r="Y47" i="161"/>
  <c r="Y59" i="161"/>
  <c r="Y24" i="161"/>
  <c r="Y42" i="161"/>
  <c r="Y54" i="161"/>
  <c r="Y67" i="161"/>
  <c r="Y79" i="161"/>
  <c r="Y62" i="161"/>
  <c r="Y74" i="161"/>
  <c r="Y11" i="161"/>
  <c r="Y51" i="161"/>
  <c r="Y57" i="161"/>
  <c r="Y69" i="161"/>
  <c r="Y81" i="161"/>
  <c r="Y32" i="161"/>
  <c r="Y61" i="161"/>
  <c r="Y64" i="161"/>
  <c r="Y76" i="161"/>
  <c r="Y56" i="161"/>
  <c r="Y71" i="161"/>
  <c r="Y83" i="161"/>
  <c r="Y39" i="161"/>
  <c r="Y66" i="161"/>
  <c r="Y78" i="161"/>
  <c r="Y73" i="161"/>
  <c r="Y85" i="161"/>
  <c r="Y44" i="161"/>
  <c r="Y68" i="161"/>
  <c r="Y80" i="161"/>
  <c r="Y63" i="161"/>
  <c r="Y75" i="161"/>
  <c r="Y49" i="161"/>
  <c r="Y70" i="161"/>
  <c r="Y89" i="161"/>
  <c r="Y101" i="161"/>
  <c r="Y96" i="161"/>
  <c r="Y109" i="161"/>
  <c r="Y91" i="161"/>
  <c r="Y103" i="161"/>
  <c r="Y86" i="161"/>
  <c r="Y98" i="161"/>
  <c r="Y93" i="161"/>
  <c r="Y105" i="161"/>
  <c r="Y72" i="161"/>
  <c r="Y88" i="161"/>
  <c r="Y100" i="161"/>
  <c r="Y95" i="161"/>
  <c r="Y108" i="161"/>
  <c r="Y77" i="161"/>
  <c r="Y90" i="161"/>
  <c r="Y102" i="161"/>
  <c r="Y97" i="161"/>
  <c r="Y84" i="161"/>
  <c r="Y112" i="161"/>
  <c r="Y125" i="161"/>
  <c r="Y120" i="161"/>
  <c r="Y132" i="161"/>
  <c r="Y94" i="161"/>
  <c r="Y114" i="161"/>
  <c r="Y127" i="161"/>
  <c r="Y122" i="161"/>
  <c r="Y134" i="161"/>
  <c r="Y99" i="161"/>
  <c r="Y110" i="161"/>
  <c r="Y117" i="161"/>
  <c r="Y129" i="161"/>
  <c r="Y111" i="161"/>
  <c r="Y124" i="161"/>
  <c r="Y104" i="161"/>
  <c r="Y119" i="161"/>
  <c r="Y131" i="161"/>
  <c r="Y87" i="161"/>
  <c r="Y113" i="161"/>
  <c r="Y126" i="161"/>
  <c r="Y82" i="161"/>
  <c r="Y121" i="161"/>
  <c r="Y128" i="161"/>
  <c r="Y133" i="161"/>
  <c r="Y137" i="161"/>
  <c r="Y3" i="161"/>
  <c r="Y140" i="161"/>
  <c r="Y135" i="161"/>
  <c r="Y139" i="161"/>
  <c r="Y92" i="161"/>
  <c r="Y116" i="161"/>
  <c r="Y65" i="161"/>
  <c r="Y141" i="161"/>
  <c r="Y136" i="161"/>
  <c r="Y123" i="161"/>
  <c r="Y143" i="161"/>
  <c r="Y142" i="161"/>
  <c r="Y130" i="161"/>
  <c r="Y138" i="161"/>
  <c r="Y106" i="161"/>
  <c r="Y118" i="161"/>
  <c r="Y206" i="161"/>
  <c r="Y194" i="161"/>
  <c r="Y182" i="161"/>
  <c r="Y200" i="161"/>
  <c r="Y188" i="161"/>
  <c r="Y205" i="161"/>
  <c r="Y193" i="161"/>
  <c r="Y181" i="161"/>
  <c r="Y210" i="161"/>
  <c r="Y203" i="161"/>
  <c r="Y191" i="161"/>
  <c r="Y192" i="161"/>
  <c r="Y173" i="161"/>
  <c r="Y161" i="161"/>
  <c r="Y201" i="161"/>
  <c r="Y190" i="161"/>
  <c r="Y180" i="161"/>
  <c r="Y187" i="161"/>
  <c r="Y183" i="161"/>
  <c r="Y172" i="161"/>
  <c r="Y202" i="161"/>
  <c r="Y179" i="161"/>
  <c r="Y175" i="161"/>
  <c r="Y197" i="161"/>
  <c r="Y196" i="161"/>
  <c r="Y174" i="161"/>
  <c r="Y162" i="161"/>
  <c r="Y157" i="161"/>
  <c r="Y207" i="161"/>
  <c r="Y176" i="161"/>
  <c r="Y166" i="161"/>
  <c r="Y158" i="161"/>
  <c r="Y199" i="161"/>
  <c r="Y186" i="161"/>
  <c r="Y169" i="161"/>
  <c r="Y156" i="161"/>
  <c r="Y184" i="161"/>
  <c r="Y170" i="161"/>
  <c r="Y189" i="161"/>
  <c r="Y147" i="161"/>
  <c r="Y195" i="161"/>
  <c r="Y177" i="161"/>
  <c r="Y155" i="161"/>
  <c r="Y151" i="161"/>
  <c r="Y208" i="161"/>
  <c r="Y204" i="161"/>
  <c r="Y154" i="161"/>
  <c r="Y148" i="161"/>
  <c r="Y209" i="161"/>
  <c r="Y168" i="161"/>
  <c r="Y164" i="161"/>
  <c r="Y150" i="161"/>
  <c r="Y145" i="161"/>
  <c r="Y163" i="161"/>
  <c r="Y185" i="161"/>
  <c r="Y198" i="161"/>
  <c r="Y153" i="161"/>
  <c r="Y171" i="161"/>
  <c r="Y178" i="161"/>
  <c r="Y167" i="161"/>
  <c r="Y165" i="161"/>
  <c r="Y149" i="161"/>
  <c r="Y146" i="161"/>
  <c r="Y160" i="161"/>
  <c r="Y152" i="161"/>
  <c r="Y159" i="161"/>
  <c r="Z1" i="161"/>
  <c r="Z115" i="161" s="1"/>
  <c r="T45" i="158"/>
  <c r="Z14" i="161" l="1"/>
  <c r="Z144" i="161"/>
  <c r="Z107" i="161"/>
  <c r="Z11" i="161"/>
  <c r="Z24" i="161"/>
  <c r="Z36" i="161"/>
  <c r="Z6" i="161"/>
  <c r="Z19" i="161"/>
  <c r="Z31" i="161"/>
  <c r="Z13" i="161"/>
  <c r="Z26" i="161"/>
  <c r="Z8" i="161"/>
  <c r="Z21" i="161"/>
  <c r="Z33" i="161"/>
  <c r="Z16" i="161"/>
  <c r="Z28" i="161"/>
  <c r="Z10" i="161"/>
  <c r="Z23" i="161"/>
  <c r="Z35" i="161"/>
  <c r="Z5" i="161"/>
  <c r="Z18" i="161"/>
  <c r="Z30" i="161"/>
  <c r="Z7" i="161"/>
  <c r="Z20" i="161"/>
  <c r="Z32" i="161"/>
  <c r="Z9" i="161"/>
  <c r="Z22" i="161"/>
  <c r="Z34" i="161"/>
  <c r="Z37" i="161"/>
  <c r="Z39" i="161"/>
  <c r="Z51" i="161"/>
  <c r="Z46" i="161"/>
  <c r="Z58" i="161"/>
  <c r="Z17" i="161"/>
  <c r="Z41" i="161"/>
  <c r="Z53" i="161"/>
  <c r="Z25" i="161"/>
  <c r="Z48" i="161"/>
  <c r="Z60" i="161"/>
  <c r="Z43" i="161"/>
  <c r="Z55" i="161"/>
  <c r="Z4" i="161"/>
  <c r="Z38" i="161"/>
  <c r="Z50" i="161"/>
  <c r="Z12" i="161"/>
  <c r="Z45" i="161"/>
  <c r="Z57" i="161"/>
  <c r="Z27" i="161"/>
  <c r="Z40" i="161"/>
  <c r="Z52" i="161"/>
  <c r="Z47" i="161"/>
  <c r="Z54" i="161"/>
  <c r="Z72" i="161"/>
  <c r="Z84" i="161"/>
  <c r="Z59" i="161"/>
  <c r="Z67" i="161"/>
  <c r="Z79" i="161"/>
  <c r="Z62" i="161"/>
  <c r="Z74" i="161"/>
  <c r="Z42" i="161"/>
  <c r="Z69" i="161"/>
  <c r="Z81" i="161"/>
  <c r="Z61" i="161"/>
  <c r="Z64" i="161"/>
  <c r="Z76" i="161"/>
  <c r="Z56" i="161"/>
  <c r="Z71" i="161"/>
  <c r="Z83" i="161"/>
  <c r="Z66" i="161"/>
  <c r="Z78" i="161"/>
  <c r="Z15" i="161"/>
  <c r="Z73" i="161"/>
  <c r="Z44" i="161"/>
  <c r="Z68" i="161"/>
  <c r="Z80" i="161"/>
  <c r="Z82" i="161"/>
  <c r="Z94" i="161"/>
  <c r="Z106" i="161"/>
  <c r="Z49" i="161"/>
  <c r="Z70" i="161"/>
  <c r="Z89" i="161"/>
  <c r="Z101" i="161"/>
  <c r="Z85" i="161"/>
  <c r="Z96" i="161"/>
  <c r="Z109" i="161"/>
  <c r="Z75" i="161"/>
  <c r="Z91" i="161"/>
  <c r="Z103" i="161"/>
  <c r="Z86" i="161"/>
  <c r="Z98" i="161"/>
  <c r="Z93" i="161"/>
  <c r="Z105" i="161"/>
  <c r="Z63" i="161"/>
  <c r="Z88" i="161"/>
  <c r="Z100" i="161"/>
  <c r="Z95" i="161"/>
  <c r="Z108" i="161"/>
  <c r="Z77" i="161"/>
  <c r="Z90" i="161"/>
  <c r="Z102" i="161"/>
  <c r="Z97" i="161"/>
  <c r="Z118" i="161"/>
  <c r="Z130" i="161"/>
  <c r="Z112" i="161"/>
  <c r="Z125" i="161"/>
  <c r="Z29" i="161"/>
  <c r="Z120" i="161"/>
  <c r="Z132" i="161"/>
  <c r="Z114" i="161"/>
  <c r="Z127" i="161"/>
  <c r="Z122" i="161"/>
  <c r="Z134" i="161"/>
  <c r="Z99" i="161"/>
  <c r="Z110" i="161"/>
  <c r="Z117" i="161"/>
  <c r="Z129" i="161"/>
  <c r="Z111" i="161"/>
  <c r="Z124" i="161"/>
  <c r="Z104" i="161"/>
  <c r="Z119" i="161"/>
  <c r="Z131" i="161"/>
  <c r="Z87" i="161"/>
  <c r="Z113" i="161"/>
  <c r="Z126" i="161"/>
  <c r="Z142" i="161"/>
  <c r="Z123" i="161"/>
  <c r="Z128" i="161"/>
  <c r="Z133" i="161"/>
  <c r="Z137" i="161"/>
  <c r="Z3" i="161"/>
  <c r="Z135" i="161"/>
  <c r="Z139" i="161"/>
  <c r="Z92" i="161"/>
  <c r="Z116" i="161"/>
  <c r="Z65" i="161"/>
  <c r="Z141" i="161"/>
  <c r="Z121" i="161"/>
  <c r="Z136" i="161"/>
  <c r="Z140" i="161"/>
  <c r="Z143" i="161"/>
  <c r="Z138" i="161"/>
  <c r="Z199" i="161"/>
  <c r="Z187" i="161"/>
  <c r="Z205" i="161"/>
  <c r="Z193" i="161"/>
  <c r="Z210" i="161"/>
  <c r="Z198" i="161"/>
  <c r="Z186" i="161"/>
  <c r="Z208" i="161"/>
  <c r="Z196" i="161"/>
  <c r="Z184" i="161"/>
  <c r="Z203" i="161"/>
  <c r="Z185" i="161"/>
  <c r="Z166" i="161"/>
  <c r="Z194" i="161"/>
  <c r="Z183" i="161"/>
  <c r="Z172" i="161"/>
  <c r="Z177" i="161"/>
  <c r="Z209" i="161"/>
  <c r="Z206" i="161"/>
  <c r="Z195" i="161"/>
  <c r="Z168" i="161"/>
  <c r="Z190" i="161"/>
  <c r="Z189" i="161"/>
  <c r="Z180" i="161"/>
  <c r="Z178" i="161"/>
  <c r="Z171" i="161"/>
  <c r="Z159" i="161"/>
  <c r="Z150" i="161"/>
  <c r="Z200" i="161"/>
  <c r="Z179" i="161"/>
  <c r="Z169" i="161"/>
  <c r="Z156" i="161"/>
  <c r="Z192" i="161"/>
  <c r="Z181" i="161"/>
  <c r="Z173" i="161"/>
  <c r="Z163" i="161"/>
  <c r="Z204" i="161"/>
  <c r="Z165" i="161"/>
  <c r="Z201" i="161"/>
  <c r="Z197" i="161"/>
  <c r="Z167" i="161"/>
  <c r="Z191" i="161"/>
  <c r="Z170" i="161"/>
  <c r="Z154" i="161"/>
  <c r="Z148" i="161"/>
  <c r="Z161" i="161"/>
  <c r="Z188" i="161"/>
  <c r="Z202" i="161"/>
  <c r="Z162" i="161"/>
  <c r="Z147" i="161"/>
  <c r="Z160" i="161"/>
  <c r="Z152" i="161"/>
  <c r="Z207" i="161"/>
  <c r="Z174" i="161"/>
  <c r="Z153" i="161"/>
  <c r="Z175" i="161"/>
  <c r="Z146" i="161"/>
  <c r="Z182" i="161"/>
  <c r="Z176" i="161"/>
  <c r="Z164" i="161"/>
  <c r="Z155" i="161"/>
  <c r="Z151" i="161"/>
  <c r="Z158" i="161"/>
  <c r="Z149" i="161"/>
  <c r="Z157" i="161"/>
  <c r="Z145" i="161"/>
  <c r="AA1" i="161"/>
  <c r="AA115" i="161" s="1"/>
  <c r="T30" i="158"/>
  <c r="AA14" i="161" l="1"/>
  <c r="AA144" i="161"/>
  <c r="AA107" i="161"/>
  <c r="AA4" i="161"/>
  <c r="AA17" i="161"/>
  <c r="AA29" i="161"/>
  <c r="AA11" i="161"/>
  <c r="AA24" i="161"/>
  <c r="AA36" i="161"/>
  <c r="AA6" i="161"/>
  <c r="AA19" i="161"/>
  <c r="AA31" i="161"/>
  <c r="AA13" i="161"/>
  <c r="AA26" i="161"/>
  <c r="AA8" i="161"/>
  <c r="AA21" i="161"/>
  <c r="AA33" i="161"/>
  <c r="AA16" i="161"/>
  <c r="AA28" i="161"/>
  <c r="AA10" i="161"/>
  <c r="AA23" i="161"/>
  <c r="AA35" i="161"/>
  <c r="AA12" i="161"/>
  <c r="AA25" i="161"/>
  <c r="AA37" i="161"/>
  <c r="AA15" i="161"/>
  <c r="AA27" i="161"/>
  <c r="AA5" i="161"/>
  <c r="AA44" i="161"/>
  <c r="AA56" i="161"/>
  <c r="AA20" i="161"/>
  <c r="AA39" i="161"/>
  <c r="AA51" i="161"/>
  <c r="AA34" i="161"/>
  <c r="AA46" i="161"/>
  <c r="AA58" i="161"/>
  <c r="AA41" i="161"/>
  <c r="AA53" i="161"/>
  <c r="AA7" i="161"/>
  <c r="AA48" i="161"/>
  <c r="AA60" i="161"/>
  <c r="AA22" i="161"/>
  <c r="AA43" i="161"/>
  <c r="AA55" i="161"/>
  <c r="AA30" i="161"/>
  <c r="AA38" i="161"/>
  <c r="AA50" i="161"/>
  <c r="AA45" i="161"/>
  <c r="AA57" i="161"/>
  <c r="AA9" i="161"/>
  <c r="AA40" i="161"/>
  <c r="AA52" i="161"/>
  <c r="AA18" i="161"/>
  <c r="AA65" i="161"/>
  <c r="AA77" i="161"/>
  <c r="AA54" i="161"/>
  <c r="AA72" i="161"/>
  <c r="AA84" i="161"/>
  <c r="AA59" i="161"/>
  <c r="AA67" i="161"/>
  <c r="AA79" i="161"/>
  <c r="AA62" i="161"/>
  <c r="AA74" i="161"/>
  <c r="AA32" i="161"/>
  <c r="AA42" i="161"/>
  <c r="AA69" i="161"/>
  <c r="AA81" i="161"/>
  <c r="AA61" i="161"/>
  <c r="AA64" i="161"/>
  <c r="AA76" i="161"/>
  <c r="AA47" i="161"/>
  <c r="AA71" i="161"/>
  <c r="AA83" i="161"/>
  <c r="AA66" i="161"/>
  <c r="AA78" i="161"/>
  <c r="AA73" i="161"/>
  <c r="AA87" i="161"/>
  <c r="AA99" i="161"/>
  <c r="AA82" i="161"/>
  <c r="AA94" i="161"/>
  <c r="AA106" i="161"/>
  <c r="AA49" i="161"/>
  <c r="AA70" i="161"/>
  <c r="AA89" i="161"/>
  <c r="AA101" i="161"/>
  <c r="AA85" i="161"/>
  <c r="AA96" i="161"/>
  <c r="AA109" i="161"/>
  <c r="AA75" i="161"/>
  <c r="AA91" i="161"/>
  <c r="AA103" i="161"/>
  <c r="AA86" i="161"/>
  <c r="AA98" i="161"/>
  <c r="AA80" i="161"/>
  <c r="AA93" i="161"/>
  <c r="AA105" i="161"/>
  <c r="AA63" i="161"/>
  <c r="AA88" i="161"/>
  <c r="AA100" i="161"/>
  <c r="AA95" i="161"/>
  <c r="AA108" i="161"/>
  <c r="AA123" i="161"/>
  <c r="AA135" i="161"/>
  <c r="AA97" i="161"/>
  <c r="AA118" i="161"/>
  <c r="AA130" i="161"/>
  <c r="AA112" i="161"/>
  <c r="AA125" i="161"/>
  <c r="AA68" i="161"/>
  <c r="AA102" i="161"/>
  <c r="AA120" i="161"/>
  <c r="AA132" i="161"/>
  <c r="AA114" i="161"/>
  <c r="AA127" i="161"/>
  <c r="AA122" i="161"/>
  <c r="AA90" i="161"/>
  <c r="AA110" i="161"/>
  <c r="AA117" i="161"/>
  <c r="AA129" i="161"/>
  <c r="AA111" i="161"/>
  <c r="AA124" i="161"/>
  <c r="AA104" i="161"/>
  <c r="AA119" i="161"/>
  <c r="AA113" i="161"/>
  <c r="AA134" i="161"/>
  <c r="AA142" i="161"/>
  <c r="AA128" i="161"/>
  <c r="AA133" i="161"/>
  <c r="AA137" i="161"/>
  <c r="AA3" i="161"/>
  <c r="AA131" i="161"/>
  <c r="AA139" i="161"/>
  <c r="AA138" i="161"/>
  <c r="AA140" i="161"/>
  <c r="AA92" i="161"/>
  <c r="AA116" i="161"/>
  <c r="AA141" i="161"/>
  <c r="AA121" i="161"/>
  <c r="AA136" i="161"/>
  <c r="AA126" i="161"/>
  <c r="AA143" i="161"/>
  <c r="AA204" i="161"/>
  <c r="AA192" i="161"/>
  <c r="AA180" i="161"/>
  <c r="AA210" i="161"/>
  <c r="AA198" i="161"/>
  <c r="AA186" i="161"/>
  <c r="AA203" i="161"/>
  <c r="AA191" i="161"/>
  <c r="AA201" i="161"/>
  <c r="AA189" i="161"/>
  <c r="AA196" i="161"/>
  <c r="AA178" i="161"/>
  <c r="AA171" i="161"/>
  <c r="AA159" i="161"/>
  <c r="AA187" i="161"/>
  <c r="AA177" i="161"/>
  <c r="AA205" i="161"/>
  <c r="AA170" i="161"/>
  <c r="AA199" i="161"/>
  <c r="AA188" i="161"/>
  <c r="AA173" i="161"/>
  <c r="AA183" i="161"/>
  <c r="AA182" i="161"/>
  <c r="AA167" i="161"/>
  <c r="AA155" i="161"/>
  <c r="AA145" i="161"/>
  <c r="AA206" i="161"/>
  <c r="AA193" i="161"/>
  <c r="AA181" i="161"/>
  <c r="AA163" i="161"/>
  <c r="AA185" i="161"/>
  <c r="AA160" i="161"/>
  <c r="AA154" i="161"/>
  <c r="AA197" i="161"/>
  <c r="AA174" i="161"/>
  <c r="AA162" i="161"/>
  <c r="AA157" i="161"/>
  <c r="AA202" i="161"/>
  <c r="AA152" i="161"/>
  <c r="AA195" i="161"/>
  <c r="AA208" i="161"/>
  <c r="AA161" i="161"/>
  <c r="AA176" i="161"/>
  <c r="AA153" i="161"/>
  <c r="AA184" i="161"/>
  <c r="AA147" i="161"/>
  <c r="AA207" i="161"/>
  <c r="AA194" i="161"/>
  <c r="AA169" i="161"/>
  <c r="AA179" i="161"/>
  <c r="AA209" i="161"/>
  <c r="AA175" i="161"/>
  <c r="AA156" i="161"/>
  <c r="AA146" i="161"/>
  <c r="AA190" i="161"/>
  <c r="AA151" i="161"/>
  <c r="AA200" i="161"/>
  <c r="AA166" i="161"/>
  <c r="AA172" i="161"/>
  <c r="AA168" i="161"/>
  <c r="AA158" i="161"/>
  <c r="AA165" i="161"/>
  <c r="AA149" i="161"/>
  <c r="AA164" i="161"/>
  <c r="AA150" i="161"/>
  <c r="AA148" i="161"/>
  <c r="AB1" i="161"/>
  <c r="AB115" i="161" s="1"/>
  <c r="T29" i="158"/>
  <c r="T28" i="158"/>
  <c r="T27" i="158"/>
  <c r="AB14" i="161" l="1"/>
  <c r="AB144" i="161"/>
  <c r="AB107" i="161"/>
  <c r="AB9" i="161"/>
  <c r="AB22" i="161"/>
  <c r="AB34" i="161"/>
  <c r="AB4" i="161"/>
  <c r="AB17" i="161"/>
  <c r="AB29" i="161"/>
  <c r="AB11" i="161"/>
  <c r="AB24" i="161"/>
  <c r="AB36" i="161"/>
  <c r="AB6" i="161"/>
  <c r="AB19" i="161"/>
  <c r="AB31" i="161"/>
  <c r="AB13" i="161"/>
  <c r="AB26" i="161"/>
  <c r="AB8" i="161"/>
  <c r="AB21" i="161"/>
  <c r="AB33" i="161"/>
  <c r="AB16" i="161"/>
  <c r="AB28" i="161"/>
  <c r="AB5" i="161"/>
  <c r="AB18" i="161"/>
  <c r="AB30" i="161"/>
  <c r="AB7" i="161"/>
  <c r="AB20" i="161"/>
  <c r="AB32" i="161"/>
  <c r="AB23" i="161"/>
  <c r="AB49" i="161"/>
  <c r="AB61" i="161"/>
  <c r="AB37" i="161"/>
  <c r="AB44" i="161"/>
  <c r="AB56" i="161"/>
  <c r="AB39" i="161"/>
  <c r="AB51" i="161"/>
  <c r="AB10" i="161"/>
  <c r="AB46" i="161"/>
  <c r="AB58" i="161"/>
  <c r="AB25" i="161"/>
  <c r="AB41" i="161"/>
  <c r="AB53" i="161"/>
  <c r="AB48" i="161"/>
  <c r="AB43" i="161"/>
  <c r="AB55" i="161"/>
  <c r="AB12" i="161"/>
  <c r="AB38" i="161"/>
  <c r="AB50" i="161"/>
  <c r="AB27" i="161"/>
  <c r="AB45" i="161"/>
  <c r="AB57" i="161"/>
  <c r="AB40" i="161"/>
  <c r="AB70" i="161"/>
  <c r="AB82" i="161"/>
  <c r="AB65" i="161"/>
  <c r="AB77" i="161"/>
  <c r="AB54" i="161"/>
  <c r="AB72" i="161"/>
  <c r="AB84" i="161"/>
  <c r="AB59" i="161"/>
  <c r="AB60" i="161"/>
  <c r="AB67" i="161"/>
  <c r="AB79" i="161"/>
  <c r="AB62" i="161"/>
  <c r="AB74" i="161"/>
  <c r="AB42" i="161"/>
  <c r="AB69" i="161"/>
  <c r="AB81" i="161"/>
  <c r="AB64" i="161"/>
  <c r="AB76" i="161"/>
  <c r="AB47" i="161"/>
  <c r="AB71" i="161"/>
  <c r="AB83" i="161"/>
  <c r="AB15" i="161"/>
  <c r="AB66" i="161"/>
  <c r="AB78" i="161"/>
  <c r="AB35" i="161"/>
  <c r="AB73" i="161"/>
  <c r="AB92" i="161"/>
  <c r="AB104" i="161"/>
  <c r="AB87" i="161"/>
  <c r="AB99" i="161"/>
  <c r="AB94" i="161"/>
  <c r="AB106" i="161"/>
  <c r="AB89" i="161"/>
  <c r="AB101" i="161"/>
  <c r="AB85" i="161"/>
  <c r="AB96" i="161"/>
  <c r="AB109" i="161"/>
  <c r="AB75" i="161"/>
  <c r="AB91" i="161"/>
  <c r="AB103" i="161"/>
  <c r="AB52" i="161"/>
  <c r="AB86" i="161"/>
  <c r="AB98" i="161"/>
  <c r="AB80" i="161"/>
  <c r="AB93" i="161"/>
  <c r="AB105" i="161"/>
  <c r="AB63" i="161"/>
  <c r="AB88" i="161"/>
  <c r="AB100" i="161"/>
  <c r="AB116" i="161"/>
  <c r="AB128" i="161"/>
  <c r="AB123" i="161"/>
  <c r="AB135" i="161"/>
  <c r="AB97" i="161"/>
  <c r="AB118" i="161"/>
  <c r="AB130" i="161"/>
  <c r="AB112" i="161"/>
  <c r="AB125" i="161"/>
  <c r="AB68" i="161"/>
  <c r="AB102" i="161"/>
  <c r="AB120" i="161"/>
  <c r="AB132" i="161"/>
  <c r="AB114" i="161"/>
  <c r="AB127" i="161"/>
  <c r="AB108" i="161"/>
  <c r="AB122" i="161"/>
  <c r="AB134" i="161"/>
  <c r="AB90" i="161"/>
  <c r="AB110" i="161"/>
  <c r="AB117" i="161"/>
  <c r="AB129" i="161"/>
  <c r="AB111" i="161"/>
  <c r="AB124" i="161"/>
  <c r="AB140" i="161"/>
  <c r="AB113" i="161"/>
  <c r="AB126" i="161"/>
  <c r="AB138" i="161"/>
  <c r="AB142" i="161"/>
  <c r="AB119" i="161"/>
  <c r="AB133" i="161"/>
  <c r="AB137" i="161"/>
  <c r="AB3" i="161"/>
  <c r="AB131" i="161"/>
  <c r="AB139" i="161"/>
  <c r="AB143" i="161"/>
  <c r="AB141" i="161"/>
  <c r="AB121" i="161"/>
  <c r="AB136" i="161"/>
  <c r="AB95" i="161"/>
  <c r="AB209" i="161"/>
  <c r="AB197" i="161"/>
  <c r="AB185" i="161"/>
  <c r="AB203" i="161"/>
  <c r="AB191" i="161"/>
  <c r="AB208" i="161"/>
  <c r="AB196" i="161"/>
  <c r="AB184" i="161"/>
  <c r="AB206" i="161"/>
  <c r="AB194" i="161"/>
  <c r="AB182" i="161"/>
  <c r="AB207" i="161"/>
  <c r="AB189" i="161"/>
  <c r="AB176" i="161"/>
  <c r="AB164" i="161"/>
  <c r="AB205" i="161"/>
  <c r="AB170" i="161"/>
  <c r="AB202" i="161"/>
  <c r="AB198" i="161"/>
  <c r="AB179" i="161"/>
  <c r="AB175" i="161"/>
  <c r="AB192" i="161"/>
  <c r="AB148" i="161"/>
  <c r="AB199" i="161"/>
  <c r="AB186" i="161"/>
  <c r="AB173" i="161"/>
  <c r="AB160" i="161"/>
  <c r="AB190" i="161"/>
  <c r="AB193" i="161"/>
  <c r="AB149" i="161"/>
  <c r="AB177" i="161"/>
  <c r="AB204" i="161"/>
  <c r="AB153" i="161"/>
  <c r="AB200" i="161"/>
  <c r="AB187" i="161"/>
  <c r="AB183" i="161"/>
  <c r="AB169" i="161"/>
  <c r="AB166" i="161"/>
  <c r="AB159" i="161"/>
  <c r="AB156" i="161"/>
  <c r="AB201" i="161"/>
  <c r="AB174" i="161"/>
  <c r="AB162" i="161"/>
  <c r="AB157" i="161"/>
  <c r="AB163" i="161"/>
  <c r="AB152" i="161"/>
  <c r="AB210" i="161"/>
  <c r="AB161" i="161"/>
  <c r="AB154" i="161"/>
  <c r="AB181" i="161"/>
  <c r="AB146" i="161"/>
  <c r="AB171" i="161"/>
  <c r="AB151" i="161"/>
  <c r="AB180" i="161"/>
  <c r="AB178" i="161"/>
  <c r="AB167" i="161"/>
  <c r="AB155" i="161"/>
  <c r="AB195" i="161"/>
  <c r="AB165" i="161"/>
  <c r="AB172" i="161"/>
  <c r="AB168" i="161"/>
  <c r="AB147" i="161"/>
  <c r="AB158" i="161"/>
  <c r="AB188" i="161"/>
  <c r="AB150" i="161"/>
  <c r="AB145" i="161"/>
  <c r="AC1" i="161"/>
  <c r="AC115" i="161" s="1"/>
  <c r="T44" i="158"/>
  <c r="T42" i="158"/>
  <c r="T41" i="158"/>
  <c r="AC14" i="161" l="1"/>
  <c r="AC144" i="161"/>
  <c r="AC107" i="161"/>
  <c r="AC15" i="161"/>
  <c r="AC27" i="161"/>
  <c r="AC9" i="161"/>
  <c r="AC22" i="161"/>
  <c r="AC34" i="161"/>
  <c r="AC4" i="161"/>
  <c r="AC17" i="161"/>
  <c r="AC29" i="161"/>
  <c r="AC11" i="161"/>
  <c r="AC24" i="161"/>
  <c r="AC36" i="161"/>
  <c r="AC6" i="161"/>
  <c r="AC19" i="161"/>
  <c r="AC31" i="161"/>
  <c r="AC13" i="161"/>
  <c r="AC26" i="161"/>
  <c r="AC8" i="161"/>
  <c r="AC21" i="161"/>
  <c r="AC33" i="161"/>
  <c r="AC10" i="161"/>
  <c r="AC23" i="161"/>
  <c r="AC35" i="161"/>
  <c r="AC12" i="161"/>
  <c r="AC25" i="161"/>
  <c r="AC37" i="161"/>
  <c r="AC42" i="161"/>
  <c r="AC54" i="161"/>
  <c r="AC5" i="161"/>
  <c r="AC49" i="161"/>
  <c r="AC61" i="161"/>
  <c r="AC20" i="161"/>
  <c r="AC44" i="161"/>
  <c r="AC56" i="161"/>
  <c r="AC28" i="161"/>
  <c r="AC39" i="161"/>
  <c r="AC51" i="161"/>
  <c r="AC46" i="161"/>
  <c r="AC58" i="161"/>
  <c r="AC7" i="161"/>
  <c r="AC41" i="161"/>
  <c r="AC53" i="161"/>
  <c r="AC16" i="161"/>
  <c r="AC48" i="161"/>
  <c r="AC60" i="161"/>
  <c r="AC30" i="161"/>
  <c r="AC43" i="161"/>
  <c r="AC55" i="161"/>
  <c r="AC38" i="161"/>
  <c r="AC50" i="161"/>
  <c r="AC63" i="161"/>
  <c r="AC75" i="161"/>
  <c r="AC18" i="161"/>
  <c r="AC40" i="161"/>
  <c r="AC70" i="161"/>
  <c r="AC82" i="161"/>
  <c r="AC65" i="161"/>
  <c r="AC77" i="161"/>
  <c r="AC45" i="161"/>
  <c r="AC57" i="161"/>
  <c r="AC72" i="161"/>
  <c r="AC84" i="161"/>
  <c r="AC59" i="161"/>
  <c r="AC67" i="161"/>
  <c r="AC79" i="161"/>
  <c r="AC32" i="161"/>
  <c r="AC62" i="161"/>
  <c r="AC74" i="161"/>
  <c r="AC69" i="161"/>
  <c r="AC81" i="161"/>
  <c r="AC64" i="161"/>
  <c r="AC76" i="161"/>
  <c r="AC47" i="161"/>
  <c r="AC71" i="161"/>
  <c r="AC97" i="161"/>
  <c r="AC110" i="161"/>
  <c r="AC73" i="161"/>
  <c r="AC92" i="161"/>
  <c r="AC104" i="161"/>
  <c r="AC87" i="161"/>
  <c r="AC99" i="161"/>
  <c r="AC78" i="161"/>
  <c r="AC94" i="161"/>
  <c r="AC106" i="161"/>
  <c r="AC89" i="161"/>
  <c r="AC101" i="161"/>
  <c r="AC85" i="161"/>
  <c r="AC96" i="161"/>
  <c r="AC66" i="161"/>
  <c r="AC91" i="161"/>
  <c r="AC103" i="161"/>
  <c r="AC52" i="161"/>
  <c r="AC86" i="161"/>
  <c r="AC98" i="161"/>
  <c r="AC80" i="161"/>
  <c r="AC93" i="161"/>
  <c r="AC105" i="161"/>
  <c r="AC100" i="161"/>
  <c r="AC121" i="161"/>
  <c r="AC133" i="161"/>
  <c r="AC116" i="161"/>
  <c r="AC128" i="161"/>
  <c r="AC123" i="161"/>
  <c r="AC135" i="161"/>
  <c r="AC88" i="161"/>
  <c r="AC118" i="161"/>
  <c r="AC130" i="161"/>
  <c r="AC112" i="161"/>
  <c r="AC125" i="161"/>
  <c r="AC68" i="161"/>
  <c r="AC102" i="161"/>
  <c r="AC109" i="161"/>
  <c r="AC120" i="161"/>
  <c r="AC132" i="161"/>
  <c r="AC114" i="161"/>
  <c r="AC127" i="161"/>
  <c r="AC108" i="161"/>
  <c r="AC122" i="161"/>
  <c r="AC134" i="161"/>
  <c r="AC90" i="161"/>
  <c r="AC117" i="161"/>
  <c r="AC129" i="161"/>
  <c r="AC83" i="161"/>
  <c r="AC140" i="161"/>
  <c r="AC111" i="161"/>
  <c r="AC113" i="161"/>
  <c r="AC143" i="161"/>
  <c r="AC142" i="161"/>
  <c r="AC119" i="161"/>
  <c r="AC137" i="161"/>
  <c r="AC3" i="161"/>
  <c r="AC95" i="161"/>
  <c r="AC126" i="161"/>
  <c r="AC124" i="161"/>
  <c r="AC131" i="161"/>
  <c r="AC139" i="161"/>
  <c r="AC136" i="161"/>
  <c r="AC138" i="161"/>
  <c r="AC141" i="161"/>
  <c r="AC202" i="161"/>
  <c r="AC190" i="161"/>
  <c r="AC178" i="161"/>
  <c r="AC208" i="161"/>
  <c r="AC196" i="161"/>
  <c r="AC184" i="161"/>
  <c r="AC201" i="161"/>
  <c r="AC189" i="161"/>
  <c r="AC199" i="161"/>
  <c r="AC187" i="161"/>
  <c r="AC200" i="161"/>
  <c r="AC182" i="161"/>
  <c r="AC169" i="161"/>
  <c r="AC198" i="161"/>
  <c r="AC179" i="161"/>
  <c r="AC175" i="161"/>
  <c r="AC195" i="161"/>
  <c r="AC191" i="161"/>
  <c r="AC168" i="161"/>
  <c r="AC185" i="161"/>
  <c r="AC171" i="161"/>
  <c r="AC164" i="161"/>
  <c r="AC153" i="161"/>
  <c r="AC192" i="161"/>
  <c r="AC177" i="161"/>
  <c r="AC165" i="161"/>
  <c r="AC183" i="161"/>
  <c r="AC180" i="161"/>
  <c r="AC167" i="161"/>
  <c r="AC159" i="161"/>
  <c r="AC155" i="161"/>
  <c r="AC193" i="161"/>
  <c r="AC206" i="161"/>
  <c r="AC173" i="161"/>
  <c r="AC160" i="161"/>
  <c r="AC204" i="161"/>
  <c r="AC176" i="161"/>
  <c r="AC166" i="161"/>
  <c r="AC156" i="161"/>
  <c r="AC150" i="161"/>
  <c r="AC145" i="161"/>
  <c r="AC197" i="161"/>
  <c r="AC152" i="161"/>
  <c r="AC210" i="161"/>
  <c r="AC161" i="161"/>
  <c r="AC154" i="161"/>
  <c r="AC207" i="161"/>
  <c r="AC194" i="161"/>
  <c r="AC158" i="161"/>
  <c r="AC181" i="161"/>
  <c r="AC186" i="161"/>
  <c r="AC174" i="161"/>
  <c r="AC209" i="161"/>
  <c r="AC188" i="161"/>
  <c r="AC151" i="161"/>
  <c r="AC203" i="161"/>
  <c r="AC149" i="161"/>
  <c r="AC172" i="161"/>
  <c r="AC205" i="161"/>
  <c r="AC163" i="161"/>
  <c r="AC162" i="161"/>
  <c r="AC147" i="161"/>
  <c r="AC170" i="161"/>
  <c r="AC157" i="161"/>
  <c r="AC146" i="161"/>
  <c r="AC148" i="161"/>
  <c r="AD1" i="161"/>
  <c r="AD115" i="161" s="1"/>
  <c r="T32" i="158"/>
  <c r="T35" i="158"/>
  <c r="T34" i="158"/>
  <c r="AD14" i="161" l="1"/>
  <c r="AD144" i="161"/>
  <c r="AD107" i="161"/>
  <c r="AD7" i="161"/>
  <c r="AD20" i="161"/>
  <c r="AD32" i="161"/>
  <c r="AD15" i="161"/>
  <c r="AD27" i="161"/>
  <c r="AD9" i="161"/>
  <c r="AD22" i="161"/>
  <c r="AD34" i="161"/>
  <c r="AD4" i="161"/>
  <c r="AD17" i="161"/>
  <c r="AD29" i="161"/>
  <c r="AD11" i="161"/>
  <c r="AD24" i="161"/>
  <c r="AD36" i="161"/>
  <c r="AD6" i="161"/>
  <c r="AD19" i="161"/>
  <c r="AD31" i="161"/>
  <c r="AD13" i="161"/>
  <c r="AD26" i="161"/>
  <c r="AD16" i="161"/>
  <c r="AD28" i="161"/>
  <c r="AD5" i="161"/>
  <c r="AD18" i="161"/>
  <c r="AD30" i="161"/>
  <c r="AD8" i="161"/>
  <c r="AD47" i="161"/>
  <c r="AD59" i="161"/>
  <c r="AD23" i="161"/>
  <c r="AD42" i="161"/>
  <c r="AD54" i="161"/>
  <c r="AD37" i="161"/>
  <c r="AD49" i="161"/>
  <c r="AD61" i="161"/>
  <c r="AD44" i="161"/>
  <c r="AD56" i="161"/>
  <c r="AD10" i="161"/>
  <c r="AD39" i="161"/>
  <c r="AD51" i="161"/>
  <c r="AD25" i="161"/>
  <c r="AD46" i="161"/>
  <c r="AD33" i="161"/>
  <c r="AD41" i="161"/>
  <c r="AD53" i="161"/>
  <c r="AD48" i="161"/>
  <c r="AD60" i="161"/>
  <c r="AD12" i="161"/>
  <c r="AD43" i="161"/>
  <c r="AD55" i="161"/>
  <c r="AD68" i="161"/>
  <c r="AD80" i="161"/>
  <c r="AD63" i="161"/>
  <c r="AD75" i="161"/>
  <c r="AD40" i="161"/>
  <c r="AD58" i="161"/>
  <c r="AD70" i="161"/>
  <c r="AD82" i="161"/>
  <c r="AD65" i="161"/>
  <c r="AD77" i="161"/>
  <c r="AD45" i="161"/>
  <c r="AD57" i="161"/>
  <c r="AD72" i="161"/>
  <c r="AD84" i="161"/>
  <c r="AD67" i="161"/>
  <c r="AD79" i="161"/>
  <c r="AD21" i="161"/>
  <c r="AD50" i="161"/>
  <c r="AD62" i="161"/>
  <c r="AD74" i="161"/>
  <c r="AD69" i="161"/>
  <c r="AD81" i="161"/>
  <c r="AD64" i="161"/>
  <c r="AD76" i="161"/>
  <c r="AD90" i="161"/>
  <c r="AD102" i="161"/>
  <c r="AD35" i="161"/>
  <c r="AD97" i="161"/>
  <c r="AD110" i="161"/>
  <c r="AD73" i="161"/>
  <c r="AD92" i="161"/>
  <c r="AD104" i="161"/>
  <c r="AD38" i="161"/>
  <c r="AD87" i="161"/>
  <c r="AD99" i="161"/>
  <c r="AD78" i="161"/>
  <c r="AD94" i="161"/>
  <c r="AD106" i="161"/>
  <c r="AD89" i="161"/>
  <c r="AD101" i="161"/>
  <c r="AD85" i="161"/>
  <c r="AD96" i="161"/>
  <c r="AD109" i="161"/>
  <c r="AD66" i="161"/>
  <c r="AD91" i="161"/>
  <c r="AD103" i="161"/>
  <c r="AD52" i="161"/>
  <c r="AD86" i="161"/>
  <c r="AD98" i="161"/>
  <c r="AD113" i="161"/>
  <c r="AD126" i="161"/>
  <c r="AD100" i="161"/>
  <c r="AD121" i="161"/>
  <c r="AD133" i="161"/>
  <c r="AD116" i="161"/>
  <c r="AD128" i="161"/>
  <c r="AD105" i="161"/>
  <c r="AD123" i="161"/>
  <c r="AD135" i="161"/>
  <c r="AD88" i="161"/>
  <c r="AD118" i="161"/>
  <c r="AD130" i="161"/>
  <c r="AD112" i="161"/>
  <c r="AD125" i="161"/>
  <c r="AD93" i="161"/>
  <c r="AD120" i="161"/>
  <c r="AD132" i="161"/>
  <c r="AD114" i="161"/>
  <c r="AD127" i="161"/>
  <c r="AD108" i="161"/>
  <c r="AD122" i="161"/>
  <c r="AD117" i="161"/>
  <c r="AD138" i="161"/>
  <c r="AD83" i="161"/>
  <c r="AD134" i="161"/>
  <c r="AD140" i="161"/>
  <c r="AD129" i="161"/>
  <c r="AD111" i="161"/>
  <c r="AD136" i="161"/>
  <c r="AD142" i="161"/>
  <c r="AD119" i="161"/>
  <c r="AD137" i="161"/>
  <c r="AD3" i="161"/>
  <c r="AD95" i="161"/>
  <c r="AD143" i="161"/>
  <c r="AD71" i="161"/>
  <c r="AD124" i="161"/>
  <c r="AD131" i="161"/>
  <c r="AD139" i="161"/>
  <c r="AD141" i="161"/>
  <c r="AD207" i="161"/>
  <c r="AD195" i="161"/>
  <c r="AD183" i="161"/>
  <c r="AD201" i="161"/>
  <c r="AD189" i="161"/>
  <c r="AD206" i="161"/>
  <c r="AD194" i="161"/>
  <c r="AD182" i="161"/>
  <c r="AD204" i="161"/>
  <c r="AD192" i="161"/>
  <c r="AD193" i="161"/>
  <c r="AD181" i="161"/>
  <c r="AD174" i="161"/>
  <c r="AD162" i="161"/>
  <c r="AD202" i="161"/>
  <c r="AD191" i="161"/>
  <c r="AD168" i="161"/>
  <c r="AD209" i="161"/>
  <c r="AD188" i="161"/>
  <c r="AD184" i="161"/>
  <c r="AD173" i="161"/>
  <c r="AD203" i="161"/>
  <c r="AD178" i="161"/>
  <c r="AD176" i="161"/>
  <c r="AD175" i="161"/>
  <c r="AD161" i="161"/>
  <c r="AD185" i="161"/>
  <c r="AD177" i="161"/>
  <c r="AD165" i="161"/>
  <c r="AD205" i="161"/>
  <c r="AD170" i="161"/>
  <c r="AD157" i="161"/>
  <c r="AD171" i="161"/>
  <c r="AD210" i="161"/>
  <c r="AD172" i="161"/>
  <c r="AD158" i="161"/>
  <c r="AD146" i="161"/>
  <c r="AD208" i="161"/>
  <c r="AD200" i="161"/>
  <c r="AD187" i="161"/>
  <c r="AD169" i="161"/>
  <c r="AD159" i="161"/>
  <c r="AD150" i="161"/>
  <c r="AD145" i="161"/>
  <c r="AD196" i="161"/>
  <c r="AD164" i="161"/>
  <c r="AD147" i="161"/>
  <c r="AD167" i="161"/>
  <c r="AD149" i="161"/>
  <c r="AD160" i="161"/>
  <c r="AD186" i="161"/>
  <c r="AD179" i="161"/>
  <c r="AD199" i="161"/>
  <c r="AD198" i="161"/>
  <c r="AD190" i="161"/>
  <c r="AD180" i="161"/>
  <c r="AD155" i="161"/>
  <c r="AD166" i="161"/>
  <c r="AD197" i="161"/>
  <c r="AD154" i="161"/>
  <c r="AD152" i="161"/>
  <c r="AD163" i="161"/>
  <c r="AD156" i="161"/>
  <c r="AD151" i="161"/>
  <c r="AD153" i="161"/>
  <c r="AD148" i="161"/>
  <c r="AE1" i="161"/>
  <c r="AE115" i="161" s="1"/>
  <c r="T26" i="158"/>
  <c r="AE14" i="161" l="1"/>
  <c r="AE144" i="161"/>
  <c r="AE107" i="161"/>
  <c r="AE12" i="161"/>
  <c r="AE25" i="161"/>
  <c r="AE7" i="161"/>
  <c r="AE20" i="161"/>
  <c r="AE32" i="161"/>
  <c r="AE15" i="161"/>
  <c r="AE27" i="161"/>
  <c r="AE9" i="161"/>
  <c r="AE22" i="161"/>
  <c r="AE34" i="161"/>
  <c r="AE4" i="161"/>
  <c r="AE17" i="161"/>
  <c r="AE29" i="161"/>
  <c r="AE11" i="161"/>
  <c r="AE24" i="161"/>
  <c r="AE36" i="161"/>
  <c r="AE6" i="161"/>
  <c r="AE19" i="161"/>
  <c r="AE31" i="161"/>
  <c r="AE8" i="161"/>
  <c r="AE21" i="161"/>
  <c r="AE33" i="161"/>
  <c r="AE10" i="161"/>
  <c r="AE23" i="161"/>
  <c r="AE35" i="161"/>
  <c r="AE26" i="161"/>
  <c r="AE40" i="161"/>
  <c r="AE52" i="161"/>
  <c r="AE47" i="161"/>
  <c r="AE59" i="161"/>
  <c r="AE5" i="161"/>
  <c r="AE42" i="161"/>
  <c r="AE54" i="161"/>
  <c r="AE13" i="161"/>
  <c r="AE37" i="161"/>
  <c r="AE49" i="161"/>
  <c r="AE28" i="161"/>
  <c r="AE44" i="161"/>
  <c r="AE56" i="161"/>
  <c r="AE39" i="161"/>
  <c r="AE51" i="161"/>
  <c r="AE46" i="161"/>
  <c r="AE58" i="161"/>
  <c r="AE16" i="161"/>
  <c r="AE41" i="161"/>
  <c r="AE53" i="161"/>
  <c r="AE30" i="161"/>
  <c r="AE48" i="161"/>
  <c r="AE43" i="161"/>
  <c r="AE73" i="161"/>
  <c r="AE85" i="161"/>
  <c r="AE68" i="161"/>
  <c r="AE80" i="161"/>
  <c r="AE18" i="161"/>
  <c r="AE63" i="161"/>
  <c r="AE75" i="161"/>
  <c r="AE70" i="161"/>
  <c r="AE82" i="161"/>
  <c r="AE60" i="161"/>
  <c r="AE65" i="161"/>
  <c r="AE77" i="161"/>
  <c r="AE45" i="161"/>
  <c r="AE57" i="161"/>
  <c r="AE72" i="161"/>
  <c r="AE84" i="161"/>
  <c r="AE61" i="161"/>
  <c r="AE67" i="161"/>
  <c r="AE79" i="161"/>
  <c r="AE50" i="161"/>
  <c r="AE62" i="161"/>
  <c r="AE74" i="161"/>
  <c r="AE69" i="161"/>
  <c r="AE81" i="161"/>
  <c r="AE55" i="161"/>
  <c r="AE76" i="161"/>
  <c r="AE83" i="161"/>
  <c r="AE95" i="161"/>
  <c r="AE108" i="161"/>
  <c r="AE90" i="161"/>
  <c r="AE102" i="161"/>
  <c r="AE97" i="161"/>
  <c r="AE110" i="161"/>
  <c r="AE64" i="161"/>
  <c r="AE92" i="161"/>
  <c r="AE104" i="161"/>
  <c r="AE38" i="161"/>
  <c r="AE87" i="161"/>
  <c r="AE99" i="161"/>
  <c r="AE78" i="161"/>
  <c r="AE94" i="161"/>
  <c r="AE106" i="161"/>
  <c r="AE89" i="161"/>
  <c r="AE101" i="161"/>
  <c r="AE96" i="161"/>
  <c r="AE109" i="161"/>
  <c r="AE66" i="161"/>
  <c r="AE91" i="161"/>
  <c r="AE103" i="161"/>
  <c r="AE86" i="161"/>
  <c r="AE119" i="161"/>
  <c r="AE131" i="161"/>
  <c r="AE113" i="161"/>
  <c r="AE126" i="161"/>
  <c r="AE100" i="161"/>
  <c r="AE121" i="161"/>
  <c r="AE133" i="161"/>
  <c r="AE116" i="161"/>
  <c r="AE128" i="161"/>
  <c r="AE105" i="161"/>
  <c r="AE123" i="161"/>
  <c r="AE135" i="161"/>
  <c r="AE88" i="161"/>
  <c r="AE118" i="161"/>
  <c r="AE130" i="161"/>
  <c r="AE112" i="161"/>
  <c r="AE125" i="161"/>
  <c r="AE93" i="161"/>
  <c r="AE120" i="161"/>
  <c r="AE132" i="161"/>
  <c r="AE114" i="161"/>
  <c r="AE127" i="161"/>
  <c r="AE143" i="161"/>
  <c r="AE117" i="161"/>
  <c r="AE138" i="161"/>
  <c r="AE136" i="161"/>
  <c r="AE129" i="161"/>
  <c r="AE111" i="161"/>
  <c r="AE98" i="161"/>
  <c r="AE122" i="161"/>
  <c r="AE134" i="161"/>
  <c r="AE140" i="161"/>
  <c r="AE141" i="161"/>
  <c r="AE142" i="161"/>
  <c r="AE137" i="161"/>
  <c r="AE3" i="161"/>
  <c r="AE71" i="161"/>
  <c r="AE124" i="161"/>
  <c r="AE139" i="161"/>
  <c r="AE200" i="161"/>
  <c r="AE188" i="161"/>
  <c r="AE206" i="161"/>
  <c r="AE194" i="161"/>
  <c r="AE182" i="161"/>
  <c r="AE199" i="161"/>
  <c r="AE187" i="161"/>
  <c r="AE209" i="161"/>
  <c r="AE197" i="161"/>
  <c r="AE185" i="161"/>
  <c r="AE204" i="161"/>
  <c r="AE186" i="161"/>
  <c r="AE167" i="161"/>
  <c r="AE195" i="161"/>
  <c r="AE184" i="161"/>
  <c r="AE173" i="161"/>
  <c r="AE207" i="161"/>
  <c r="AE196" i="161"/>
  <c r="AE169" i="161"/>
  <c r="AE210" i="161"/>
  <c r="AE202" i="161"/>
  <c r="AE172" i="161"/>
  <c r="AE168" i="161"/>
  <c r="AE158" i="161"/>
  <c r="AE151" i="161"/>
  <c r="AE146" i="161"/>
  <c r="AE205" i="161"/>
  <c r="AE170" i="161"/>
  <c r="AE157" i="161"/>
  <c r="AE198" i="161"/>
  <c r="AE174" i="161"/>
  <c r="AE162" i="161"/>
  <c r="AE203" i="161"/>
  <c r="AE178" i="161"/>
  <c r="AE164" i="161"/>
  <c r="AE189" i="161"/>
  <c r="AE165" i="161"/>
  <c r="AE191" i="161"/>
  <c r="AE176" i="161"/>
  <c r="AE183" i="161"/>
  <c r="AE147" i="161"/>
  <c r="AE175" i="161"/>
  <c r="AE193" i="161"/>
  <c r="AE160" i="161"/>
  <c r="AE181" i="161"/>
  <c r="AE179" i="161"/>
  <c r="AE159" i="161"/>
  <c r="AE150" i="161"/>
  <c r="AE145" i="161"/>
  <c r="AE177" i="161"/>
  <c r="AE190" i="161"/>
  <c r="AE180" i="161"/>
  <c r="AE171" i="161"/>
  <c r="AE155" i="161"/>
  <c r="AE149" i="161"/>
  <c r="AE166" i="161"/>
  <c r="AE208" i="161"/>
  <c r="AE163" i="161"/>
  <c r="AE192" i="161"/>
  <c r="AE161" i="161"/>
  <c r="AE152" i="161"/>
  <c r="AE201" i="161"/>
  <c r="AE148" i="161"/>
  <c r="AE156" i="161"/>
  <c r="AE154" i="161"/>
  <c r="AE153" i="161"/>
  <c r="AF1" i="161"/>
  <c r="AF115" i="161" s="1"/>
  <c r="T22" i="158"/>
  <c r="AF14" i="161" l="1"/>
  <c r="AF144" i="161"/>
  <c r="AF107" i="161"/>
  <c r="AF5" i="161"/>
  <c r="AF18" i="161"/>
  <c r="AF30" i="161"/>
  <c r="AF12" i="161"/>
  <c r="AF25" i="161"/>
  <c r="AF7" i="161"/>
  <c r="AF20" i="161"/>
  <c r="AF32" i="161"/>
  <c r="AF15" i="161"/>
  <c r="AF27" i="161"/>
  <c r="AF9" i="161"/>
  <c r="AF22" i="161"/>
  <c r="AF34" i="161"/>
  <c r="AF4" i="161"/>
  <c r="AF17" i="161"/>
  <c r="AF29" i="161"/>
  <c r="AF11" i="161"/>
  <c r="AF24" i="161"/>
  <c r="AF36" i="161"/>
  <c r="AF13" i="161"/>
  <c r="AF26" i="161"/>
  <c r="AF16" i="161"/>
  <c r="AF28" i="161"/>
  <c r="AF45" i="161"/>
  <c r="AF57" i="161"/>
  <c r="AF8" i="161"/>
  <c r="AF40" i="161"/>
  <c r="AF52" i="161"/>
  <c r="AF23" i="161"/>
  <c r="AF47" i="161"/>
  <c r="AF59" i="161"/>
  <c r="AF31" i="161"/>
  <c r="AF42" i="161"/>
  <c r="AF54" i="161"/>
  <c r="AF37" i="161"/>
  <c r="AF49" i="161"/>
  <c r="AF61" i="161"/>
  <c r="AF10" i="161"/>
  <c r="AF44" i="161"/>
  <c r="AF19" i="161"/>
  <c r="AF39" i="161"/>
  <c r="AF51" i="161"/>
  <c r="AF33" i="161"/>
  <c r="AF46" i="161"/>
  <c r="AF58" i="161"/>
  <c r="AF41" i="161"/>
  <c r="AF53" i="161"/>
  <c r="AF66" i="161"/>
  <c r="AF78" i="161"/>
  <c r="AF43" i="161"/>
  <c r="AF73" i="161"/>
  <c r="AF68" i="161"/>
  <c r="AF80" i="161"/>
  <c r="AF6" i="161"/>
  <c r="AF48" i="161"/>
  <c r="AF63" i="161"/>
  <c r="AF75" i="161"/>
  <c r="AF70" i="161"/>
  <c r="AF82" i="161"/>
  <c r="AF60" i="161"/>
  <c r="AF65" i="161"/>
  <c r="AF77" i="161"/>
  <c r="AF56" i="161"/>
  <c r="AF72" i="161"/>
  <c r="AF84" i="161"/>
  <c r="AF21" i="161"/>
  <c r="AF67" i="161"/>
  <c r="AF79" i="161"/>
  <c r="AF50" i="161"/>
  <c r="AF62" i="161"/>
  <c r="AF74" i="161"/>
  <c r="AF88" i="161"/>
  <c r="AF100" i="161"/>
  <c r="AF55" i="161"/>
  <c r="AF76" i="161"/>
  <c r="AF83" i="161"/>
  <c r="AF95" i="161"/>
  <c r="AF108" i="161"/>
  <c r="AF35" i="161"/>
  <c r="AF90" i="161"/>
  <c r="AF102" i="161"/>
  <c r="AF81" i="161"/>
  <c r="AF97" i="161"/>
  <c r="AF110" i="161"/>
  <c r="AF64" i="161"/>
  <c r="AF92" i="161"/>
  <c r="AF104" i="161"/>
  <c r="AF38" i="161"/>
  <c r="AF87" i="161"/>
  <c r="AF99" i="161"/>
  <c r="AF69" i="161"/>
  <c r="AF94" i="161"/>
  <c r="AF106" i="161"/>
  <c r="AF85" i="161"/>
  <c r="AF89" i="161"/>
  <c r="AF101" i="161"/>
  <c r="AF96" i="161"/>
  <c r="AF109" i="161"/>
  <c r="AF103" i="161"/>
  <c r="AF111" i="161"/>
  <c r="AF124" i="161"/>
  <c r="AF86" i="161"/>
  <c r="AF119" i="161"/>
  <c r="AF131" i="161"/>
  <c r="AF113" i="161"/>
  <c r="AF126" i="161"/>
  <c r="AF91" i="161"/>
  <c r="AF121" i="161"/>
  <c r="AF133" i="161"/>
  <c r="AF116" i="161"/>
  <c r="AF128" i="161"/>
  <c r="AF105" i="161"/>
  <c r="AF123" i="161"/>
  <c r="AF118" i="161"/>
  <c r="AF130" i="161"/>
  <c r="AF112" i="161"/>
  <c r="AF125" i="161"/>
  <c r="AF93" i="161"/>
  <c r="AF120" i="161"/>
  <c r="AF136" i="161"/>
  <c r="AF143" i="161"/>
  <c r="AF117" i="161"/>
  <c r="AF138" i="161"/>
  <c r="AF114" i="161"/>
  <c r="AF98" i="161"/>
  <c r="AF122" i="161"/>
  <c r="AF132" i="161"/>
  <c r="AF134" i="161"/>
  <c r="AF135" i="161"/>
  <c r="AF140" i="161"/>
  <c r="AF127" i="161"/>
  <c r="AF142" i="161"/>
  <c r="AF137" i="161"/>
  <c r="AF3" i="161"/>
  <c r="AF141" i="161"/>
  <c r="AF71" i="161"/>
  <c r="AF139" i="161"/>
  <c r="AF129" i="161"/>
  <c r="AF205" i="161"/>
  <c r="AF193" i="161"/>
  <c r="AF181" i="161"/>
  <c r="AF199" i="161"/>
  <c r="AF187" i="161"/>
  <c r="AF204" i="161"/>
  <c r="AF192" i="161"/>
  <c r="AF180" i="161"/>
  <c r="AF209" i="161"/>
  <c r="AF202" i="161"/>
  <c r="AF190" i="161"/>
  <c r="AF210" i="161"/>
  <c r="AF197" i="161"/>
  <c r="AF172" i="161"/>
  <c r="AF160" i="161"/>
  <c r="AF188" i="161"/>
  <c r="AF206" i="161"/>
  <c r="AF171" i="161"/>
  <c r="AF200" i="161"/>
  <c r="AF189" i="161"/>
  <c r="AF174" i="161"/>
  <c r="AF208" i="161"/>
  <c r="AF195" i="161"/>
  <c r="AF166" i="161"/>
  <c r="AF156" i="161"/>
  <c r="AF198" i="161"/>
  <c r="AF162" i="161"/>
  <c r="AF191" i="161"/>
  <c r="AF159" i="161"/>
  <c r="AF155" i="161"/>
  <c r="AF196" i="161"/>
  <c r="AF175" i="161"/>
  <c r="AF161" i="161"/>
  <c r="AF185" i="161"/>
  <c r="AF163" i="161"/>
  <c r="AF151" i="161"/>
  <c r="AF183" i="161"/>
  <c r="AF164" i="161"/>
  <c r="AF168" i="161"/>
  <c r="AF152" i="161"/>
  <c r="AF207" i="161"/>
  <c r="AF194" i="161"/>
  <c r="AF179" i="161"/>
  <c r="AF173" i="161"/>
  <c r="AF158" i="161"/>
  <c r="AF150" i="161"/>
  <c r="AF145" i="161"/>
  <c r="AF186" i="161"/>
  <c r="AF169" i="161"/>
  <c r="AF148" i="161"/>
  <c r="AF177" i="161"/>
  <c r="AF201" i="161"/>
  <c r="AF149" i="161"/>
  <c r="AF203" i="161"/>
  <c r="AF178" i="161"/>
  <c r="AF167" i="161"/>
  <c r="AF182" i="161"/>
  <c r="AF165" i="161"/>
  <c r="AF176" i="161"/>
  <c r="AF184" i="161"/>
  <c r="AF147" i="161"/>
  <c r="AF153" i="161"/>
  <c r="AF154" i="161"/>
  <c r="AF170" i="161"/>
  <c r="AF157" i="161"/>
  <c r="AF146" i="161"/>
  <c r="AG1" i="161"/>
  <c r="AG115" i="161" s="1"/>
  <c r="T21" i="158"/>
  <c r="AG14" i="161" l="1"/>
  <c r="AG144" i="161"/>
  <c r="AG107" i="161"/>
  <c r="AG10" i="161"/>
  <c r="AG23" i="161"/>
  <c r="AG35" i="161"/>
  <c r="AG5" i="161"/>
  <c r="AG18" i="161"/>
  <c r="AG30" i="161"/>
  <c r="AG12" i="161"/>
  <c r="AG25" i="161"/>
  <c r="AG7" i="161"/>
  <c r="AG20" i="161"/>
  <c r="AG32" i="161"/>
  <c r="AG15" i="161"/>
  <c r="AG27" i="161"/>
  <c r="AG9" i="161"/>
  <c r="AG22" i="161"/>
  <c r="AG34" i="161"/>
  <c r="AG4" i="161"/>
  <c r="AG17" i="161"/>
  <c r="AG29" i="161"/>
  <c r="AG6" i="161"/>
  <c r="AG19" i="161"/>
  <c r="AG31" i="161"/>
  <c r="AG8" i="161"/>
  <c r="AG21" i="161"/>
  <c r="AG33" i="161"/>
  <c r="AG11" i="161"/>
  <c r="AG38" i="161"/>
  <c r="AG50" i="161"/>
  <c r="AG26" i="161"/>
  <c r="AG45" i="161"/>
  <c r="AG57" i="161"/>
  <c r="AG40" i="161"/>
  <c r="AG52" i="161"/>
  <c r="AG47" i="161"/>
  <c r="AG59" i="161"/>
  <c r="AG13" i="161"/>
  <c r="AG42" i="161"/>
  <c r="AG54" i="161"/>
  <c r="AG28" i="161"/>
  <c r="AG37" i="161"/>
  <c r="AG49" i="161"/>
  <c r="AG36" i="161"/>
  <c r="AG44" i="161"/>
  <c r="AG56" i="161"/>
  <c r="AG39" i="161"/>
  <c r="AG51" i="161"/>
  <c r="AG16" i="161"/>
  <c r="AG46" i="161"/>
  <c r="AG24" i="161"/>
  <c r="AG71" i="161"/>
  <c r="AG83" i="161"/>
  <c r="AG66" i="161"/>
  <c r="AG78" i="161"/>
  <c r="AG43" i="161"/>
  <c r="AG73" i="161"/>
  <c r="AG85" i="161"/>
  <c r="AG58" i="161"/>
  <c r="AG68" i="161"/>
  <c r="AG80" i="161"/>
  <c r="AG48" i="161"/>
  <c r="AG63" i="161"/>
  <c r="AG75" i="161"/>
  <c r="AG70" i="161"/>
  <c r="AG82" i="161"/>
  <c r="AG53" i="161"/>
  <c r="AG60" i="161"/>
  <c r="AG65" i="161"/>
  <c r="AG77" i="161"/>
  <c r="AG61" i="161"/>
  <c r="AG72" i="161"/>
  <c r="AG67" i="161"/>
  <c r="AG79" i="161"/>
  <c r="AG62" i="161"/>
  <c r="AG93" i="161"/>
  <c r="AG105" i="161"/>
  <c r="AG88" i="161"/>
  <c r="AG100" i="161"/>
  <c r="AG55" i="161"/>
  <c r="AG76" i="161"/>
  <c r="AG95" i="161"/>
  <c r="AG108" i="161"/>
  <c r="AG90" i="161"/>
  <c r="AG102" i="161"/>
  <c r="AG81" i="161"/>
  <c r="AG97" i="161"/>
  <c r="AG110" i="161"/>
  <c r="AG64" i="161"/>
  <c r="AG92" i="161"/>
  <c r="AG104" i="161"/>
  <c r="AG87" i="161"/>
  <c r="AG99" i="161"/>
  <c r="AG69" i="161"/>
  <c r="AG94" i="161"/>
  <c r="AG106" i="161"/>
  <c r="AG89" i="161"/>
  <c r="AG101" i="161"/>
  <c r="AG117" i="161"/>
  <c r="AG129" i="161"/>
  <c r="AG84" i="161"/>
  <c r="AG103" i="161"/>
  <c r="AG111" i="161"/>
  <c r="AG124" i="161"/>
  <c r="AG86" i="161"/>
  <c r="AG119" i="161"/>
  <c r="AG131" i="161"/>
  <c r="AG41" i="161"/>
  <c r="AG74" i="161"/>
  <c r="AG113" i="161"/>
  <c r="AG126" i="161"/>
  <c r="AG91" i="161"/>
  <c r="AG121" i="161"/>
  <c r="AG133" i="161"/>
  <c r="AG116" i="161"/>
  <c r="AG128" i="161"/>
  <c r="AG96" i="161"/>
  <c r="AG109" i="161"/>
  <c r="AG123" i="161"/>
  <c r="AG135" i="161"/>
  <c r="AG118" i="161"/>
  <c r="AG130" i="161"/>
  <c r="AG112" i="161"/>
  <c r="AG125" i="161"/>
  <c r="AG120" i="161"/>
  <c r="AG141" i="161"/>
  <c r="AG136" i="161"/>
  <c r="AG143" i="161"/>
  <c r="AG139" i="161"/>
  <c r="AG138" i="161"/>
  <c r="AG114" i="161"/>
  <c r="AG98" i="161"/>
  <c r="AG122" i="161"/>
  <c r="AG132" i="161"/>
  <c r="AG134" i="161"/>
  <c r="AG140" i="161"/>
  <c r="AG127" i="161"/>
  <c r="AG142" i="161"/>
  <c r="AG137" i="161"/>
  <c r="AG3" i="161"/>
  <c r="AG210" i="161"/>
  <c r="AG198" i="161"/>
  <c r="AG186" i="161"/>
  <c r="AG204" i="161"/>
  <c r="AG192" i="161"/>
  <c r="AG209" i="161"/>
  <c r="AG197" i="161"/>
  <c r="AG185" i="161"/>
  <c r="AG207" i="161"/>
  <c r="AG195" i="161"/>
  <c r="AG183" i="161"/>
  <c r="AG208" i="161"/>
  <c r="AG190" i="161"/>
  <c r="AG180" i="161"/>
  <c r="AG177" i="161"/>
  <c r="AG165" i="161"/>
  <c r="AG206" i="161"/>
  <c r="AG171" i="161"/>
  <c r="AG203" i="161"/>
  <c r="AG199" i="161"/>
  <c r="AG178" i="161"/>
  <c r="AG176" i="161"/>
  <c r="AG193" i="161"/>
  <c r="AG182" i="161"/>
  <c r="AG181" i="161"/>
  <c r="AG167" i="161"/>
  <c r="AG201" i="161"/>
  <c r="AG188" i="161"/>
  <c r="AG163" i="161"/>
  <c r="AG149" i="161"/>
  <c r="AG191" i="161"/>
  <c r="AG174" i="161"/>
  <c r="AG159" i="161"/>
  <c r="AG184" i="161"/>
  <c r="AG189" i="161"/>
  <c r="AG168" i="161"/>
  <c r="AG158" i="161"/>
  <c r="AG202" i="161"/>
  <c r="AG194" i="161"/>
  <c r="AG179" i="161"/>
  <c r="AG154" i="161"/>
  <c r="AG148" i="161"/>
  <c r="AG200" i="161"/>
  <c r="AG187" i="161"/>
  <c r="AG196" i="161"/>
  <c r="AG175" i="161"/>
  <c r="AG152" i="161"/>
  <c r="AG157" i="161"/>
  <c r="AG173" i="161"/>
  <c r="AG146" i="161"/>
  <c r="AG169" i="161"/>
  <c r="AG170" i="161"/>
  <c r="AG166" i="161"/>
  <c r="AG172" i="161"/>
  <c r="AG147" i="161"/>
  <c r="AG164" i="161"/>
  <c r="AG205" i="161"/>
  <c r="AG160" i="161"/>
  <c r="AG150" i="161"/>
  <c r="AG145" i="161"/>
  <c r="AG153" i="161"/>
  <c r="AG156" i="161"/>
  <c r="AG162" i="161"/>
  <c r="AG161" i="161"/>
  <c r="AG155" i="161"/>
  <c r="AG151" i="161"/>
  <c r="AH1" i="161"/>
  <c r="AH115" i="161" s="1"/>
  <c r="AI115" i="161" s="1"/>
  <c r="T25" i="158"/>
  <c r="AH14" i="161" l="1"/>
  <c r="AI14" i="161" s="1"/>
  <c r="AH144" i="161"/>
  <c r="AI144" i="161" s="1"/>
  <c r="AH107" i="161"/>
  <c r="AH16" i="161"/>
  <c r="AH28" i="161"/>
  <c r="AI28" i="161" s="1"/>
  <c r="AH10" i="161"/>
  <c r="AI10" i="161" s="1"/>
  <c r="AH23" i="161"/>
  <c r="AH35" i="161"/>
  <c r="AI35" i="161" s="1"/>
  <c r="AH5" i="161"/>
  <c r="AH18" i="161"/>
  <c r="AI18" i="161" s="1"/>
  <c r="AH30" i="161"/>
  <c r="AI30" i="161" s="1"/>
  <c r="AH12" i="161"/>
  <c r="AH25" i="161"/>
  <c r="AH7" i="161"/>
  <c r="AH20" i="161"/>
  <c r="AI20" i="161" s="1"/>
  <c r="AH32" i="161"/>
  <c r="AI32" i="161" s="1"/>
  <c r="AH15" i="161"/>
  <c r="AH27" i="161"/>
  <c r="AI27" i="161" s="1"/>
  <c r="AH9" i="161"/>
  <c r="AI9" i="161" s="1"/>
  <c r="AH22" i="161"/>
  <c r="AI22" i="161" s="1"/>
  <c r="AH34" i="161"/>
  <c r="AI34" i="161" s="1"/>
  <c r="AH11" i="161"/>
  <c r="AI11" i="161" s="1"/>
  <c r="AH24" i="161"/>
  <c r="AI24" i="161" s="1"/>
  <c r="AH36" i="161"/>
  <c r="AH13" i="161"/>
  <c r="AI13" i="161" s="1"/>
  <c r="AH26" i="161"/>
  <c r="AH29" i="161"/>
  <c r="AI29" i="161" s="1"/>
  <c r="AH43" i="161"/>
  <c r="AH55" i="161"/>
  <c r="AH38" i="161"/>
  <c r="AI38" i="161" s="1"/>
  <c r="AH50" i="161"/>
  <c r="AI50" i="161" s="1"/>
  <c r="AH8" i="161"/>
  <c r="AI8" i="161" s="1"/>
  <c r="AH45" i="161"/>
  <c r="AH57" i="161"/>
  <c r="AI57" i="161" s="1"/>
  <c r="AH17" i="161"/>
  <c r="AH40" i="161"/>
  <c r="AH52" i="161"/>
  <c r="AH31" i="161"/>
  <c r="AI31" i="161" s="1"/>
  <c r="AH47" i="161"/>
  <c r="AI47" i="161" s="1"/>
  <c r="AH59" i="161"/>
  <c r="AI59" i="161" s="1"/>
  <c r="AH42" i="161"/>
  <c r="AH54" i="161"/>
  <c r="AI54" i="161" s="1"/>
  <c r="AH4" i="161"/>
  <c r="AI4" i="161" s="1"/>
  <c r="AH37" i="161"/>
  <c r="AI37" i="161" s="1"/>
  <c r="AH49" i="161"/>
  <c r="AH61" i="161"/>
  <c r="AH19" i="161"/>
  <c r="AH44" i="161"/>
  <c r="AH56" i="161"/>
  <c r="AI56" i="161" s="1"/>
  <c r="AH33" i="161"/>
  <c r="AH39" i="161"/>
  <c r="AH51" i="161"/>
  <c r="AH46" i="161"/>
  <c r="AH64" i="161"/>
  <c r="AI64" i="161" s="1"/>
  <c r="AH76" i="161"/>
  <c r="AI76" i="161" s="1"/>
  <c r="AH71" i="161"/>
  <c r="AI71" i="161" s="1"/>
  <c r="AH83" i="161"/>
  <c r="AH66" i="161"/>
  <c r="AH78" i="161"/>
  <c r="AH73" i="161"/>
  <c r="AI73" i="161" s="1"/>
  <c r="AH6" i="161"/>
  <c r="AH58" i="161"/>
  <c r="AI58" i="161" s="1"/>
  <c r="AH68" i="161"/>
  <c r="AH80" i="161"/>
  <c r="AH48" i="161"/>
  <c r="AH63" i="161"/>
  <c r="AH75" i="161"/>
  <c r="AI75" i="161" s="1"/>
  <c r="AH70" i="161"/>
  <c r="AI70" i="161" s="1"/>
  <c r="AH82" i="161"/>
  <c r="AH53" i="161"/>
  <c r="AH60" i="161"/>
  <c r="AI60" i="161" s="1"/>
  <c r="AH65" i="161"/>
  <c r="AH77" i="161"/>
  <c r="AH21" i="161"/>
  <c r="AH72" i="161"/>
  <c r="AH79" i="161"/>
  <c r="AH86" i="161"/>
  <c r="AH98" i="161"/>
  <c r="AH62" i="161"/>
  <c r="AI62" i="161" s="1"/>
  <c r="AH93" i="161"/>
  <c r="AI93" i="161" s="1"/>
  <c r="AH105" i="161"/>
  <c r="AH88" i="161"/>
  <c r="AH100" i="161"/>
  <c r="AH67" i="161"/>
  <c r="AH95" i="161"/>
  <c r="AH108" i="161"/>
  <c r="AH90" i="161"/>
  <c r="AH102" i="161"/>
  <c r="AH81" i="161"/>
  <c r="AH97" i="161"/>
  <c r="AH92" i="161"/>
  <c r="AI92" i="161" s="1"/>
  <c r="AH104" i="161"/>
  <c r="AH87" i="161"/>
  <c r="AH99" i="161"/>
  <c r="AH69" i="161"/>
  <c r="AH85" i="161"/>
  <c r="AH94" i="161"/>
  <c r="AH106" i="161"/>
  <c r="AH89" i="161"/>
  <c r="AH122" i="161"/>
  <c r="AH134" i="161"/>
  <c r="AH117" i="161"/>
  <c r="AH129" i="161"/>
  <c r="AH84" i="161"/>
  <c r="AH103" i="161"/>
  <c r="AH111" i="161"/>
  <c r="AH124" i="161"/>
  <c r="AH119" i="161"/>
  <c r="AI119" i="161" s="1"/>
  <c r="AH131" i="161"/>
  <c r="AH41" i="161"/>
  <c r="AH74" i="161"/>
  <c r="AH113" i="161"/>
  <c r="AH126" i="161"/>
  <c r="AH91" i="161"/>
  <c r="AH121" i="161"/>
  <c r="AH133" i="161"/>
  <c r="AH116" i="161"/>
  <c r="AH128" i="161"/>
  <c r="AH96" i="161"/>
  <c r="AH109" i="161"/>
  <c r="AH123" i="161"/>
  <c r="AH135" i="161"/>
  <c r="AH110" i="161"/>
  <c r="AH118" i="161"/>
  <c r="AH137" i="161"/>
  <c r="AH120" i="161"/>
  <c r="AH141" i="161"/>
  <c r="AH136" i="161"/>
  <c r="AH139" i="161"/>
  <c r="AH125" i="161"/>
  <c r="AH143" i="161"/>
  <c r="AH138" i="161"/>
  <c r="AH3" i="161"/>
  <c r="AH114" i="161"/>
  <c r="AH101" i="161"/>
  <c r="AH112" i="161"/>
  <c r="AH132" i="161"/>
  <c r="AH140" i="161"/>
  <c r="AH127" i="161"/>
  <c r="AH130" i="161"/>
  <c r="AH142" i="161"/>
  <c r="AH203" i="161"/>
  <c r="AH191" i="161"/>
  <c r="AH179" i="161"/>
  <c r="AH209" i="161"/>
  <c r="AH197" i="161"/>
  <c r="AH185" i="161"/>
  <c r="AH202" i="161"/>
  <c r="AH190" i="161"/>
  <c r="AH200" i="161"/>
  <c r="AH188" i="161"/>
  <c r="AH201" i="161"/>
  <c r="AH183" i="161"/>
  <c r="AH170" i="161"/>
  <c r="AH158" i="161"/>
  <c r="AH199" i="161"/>
  <c r="AH178" i="161"/>
  <c r="AH176" i="161"/>
  <c r="AH196" i="161"/>
  <c r="AH192" i="161"/>
  <c r="AH169" i="161"/>
  <c r="AH186" i="161"/>
  <c r="AH172" i="161"/>
  <c r="AH194" i="161"/>
  <c r="AH154" i="161"/>
  <c r="AH184" i="161"/>
  <c r="AH204" i="161"/>
  <c r="AH180" i="161"/>
  <c r="AH167" i="161"/>
  <c r="AH164" i="161"/>
  <c r="AH153" i="161"/>
  <c r="AH182" i="161"/>
  <c r="AH166" i="161"/>
  <c r="AH156" i="161"/>
  <c r="AH210" i="161"/>
  <c r="AH206" i="161"/>
  <c r="AH207" i="161"/>
  <c r="AH198" i="161"/>
  <c r="AH155" i="161"/>
  <c r="AH168" i="161"/>
  <c r="AH157" i="161"/>
  <c r="AH205" i="161"/>
  <c r="AH162" i="161"/>
  <c r="AH149" i="161"/>
  <c r="AH189" i="161"/>
  <c r="AH165" i="161"/>
  <c r="AH151" i="161"/>
  <c r="AH181" i="161"/>
  <c r="AH159" i="161"/>
  <c r="AH148" i="161"/>
  <c r="AH177" i="161"/>
  <c r="AH174" i="161"/>
  <c r="AH147" i="161"/>
  <c r="AH208" i="161"/>
  <c r="AH195" i="161"/>
  <c r="AH163" i="161"/>
  <c r="AH187" i="161"/>
  <c r="AH161" i="161"/>
  <c r="AH173" i="161"/>
  <c r="AH152" i="161"/>
  <c r="AH175" i="161"/>
  <c r="AH160" i="161"/>
  <c r="AH193" i="161"/>
  <c r="AH171" i="161"/>
  <c r="AH150" i="161"/>
  <c r="AH145" i="161"/>
  <c r="AI145" i="161" s="1"/>
  <c r="AH146" i="161"/>
  <c r="AI146" i="161" s="1"/>
  <c r="AI25" i="161"/>
  <c r="AI52" i="161"/>
  <c r="AI23" i="161"/>
  <c r="T20" i="158"/>
  <c r="AI140" i="161" l="1"/>
  <c r="AI114" i="161"/>
  <c r="AI125" i="161"/>
  <c r="AI120" i="161"/>
  <c r="AI135" i="161"/>
  <c r="AI128" i="161"/>
  <c r="AI91" i="161"/>
  <c r="AI41" i="161"/>
  <c r="AI111" i="161"/>
  <c r="AI117" i="161"/>
  <c r="AI106" i="161"/>
  <c r="AI99" i="161"/>
  <c r="AI97" i="161"/>
  <c r="AI108" i="161"/>
  <c r="AI88" i="161"/>
  <c r="AI98" i="161"/>
  <c r="AI21" i="161"/>
  <c r="AI53" i="161"/>
  <c r="AI63" i="161"/>
  <c r="AI66" i="161"/>
  <c r="AI33" i="161"/>
  <c r="AI61" i="161"/>
  <c r="AI26" i="161"/>
  <c r="AI7" i="161"/>
  <c r="AI142" i="161"/>
  <c r="AI132" i="161"/>
  <c r="AI3" i="161"/>
  <c r="AI139" i="161"/>
  <c r="AI137" i="161"/>
  <c r="AI123" i="161"/>
  <c r="AI116" i="161"/>
  <c r="AI126" i="161"/>
  <c r="AI131" i="161"/>
  <c r="AI103" i="161"/>
  <c r="AI134" i="161"/>
  <c r="AI94" i="161"/>
  <c r="AI87" i="161"/>
  <c r="AI81" i="161"/>
  <c r="AI95" i="161"/>
  <c r="AI105" i="161"/>
  <c r="AI86" i="161"/>
  <c r="AI77" i="161"/>
  <c r="AI82" i="161"/>
  <c r="AI48" i="161"/>
  <c r="AI6" i="161"/>
  <c r="AI83" i="161"/>
  <c r="AI46" i="161"/>
  <c r="AI49" i="161"/>
  <c r="AI42" i="161"/>
  <c r="AI45" i="161"/>
  <c r="AI55" i="161"/>
  <c r="AI15" i="161"/>
  <c r="AI5" i="161"/>
  <c r="AI130" i="161"/>
  <c r="AI112" i="161"/>
  <c r="AI138" i="161"/>
  <c r="AI136" i="161"/>
  <c r="AI118" i="161"/>
  <c r="AI109" i="161"/>
  <c r="AI133" i="161"/>
  <c r="AI113" i="161"/>
  <c r="AI84" i="161"/>
  <c r="AI122" i="161"/>
  <c r="AI85" i="161"/>
  <c r="AI104" i="161"/>
  <c r="AI102" i="161"/>
  <c r="AI67" i="161"/>
  <c r="AI79" i="161"/>
  <c r="AI65" i="161"/>
  <c r="AI80" i="161"/>
  <c r="AI51" i="161"/>
  <c r="AI44" i="161"/>
  <c r="AI40" i="161"/>
  <c r="AI43" i="161"/>
  <c r="AI36" i="161"/>
  <c r="AI12" i="161"/>
  <c r="AI16" i="161"/>
  <c r="AI127" i="161"/>
  <c r="AI101" i="161"/>
  <c r="AI143" i="161"/>
  <c r="AI141" i="161"/>
  <c r="AI110" i="161"/>
  <c r="AI96" i="161"/>
  <c r="AI121" i="161"/>
  <c r="AI74" i="161"/>
  <c r="AI124" i="161"/>
  <c r="AI129" i="161"/>
  <c r="AI89" i="161"/>
  <c r="AI69" i="161"/>
  <c r="AI90" i="161"/>
  <c r="AI100" i="161"/>
  <c r="AI72" i="161"/>
  <c r="AI68" i="161"/>
  <c r="AI78" i="161"/>
  <c r="AI39" i="161"/>
  <c r="AI19" i="161"/>
  <c r="AI17" i="161"/>
  <c r="AI107" i="161"/>
  <c r="T55" i="158"/>
  <c r="T54" i="158"/>
  <c r="T19" i="158" l="1"/>
  <c r="T4" i="158" l="1"/>
  <c r="T5" i="158"/>
  <c r="T6" i="158"/>
  <c r="T7" i="158"/>
  <c r="T8" i="158"/>
  <c r="T9" i="158"/>
  <c r="T10" i="158"/>
  <c r="T11" i="158"/>
  <c r="T12" i="158"/>
  <c r="T13" i="158"/>
  <c r="T14" i="158"/>
  <c r="T15" i="158"/>
  <c r="T16" i="158"/>
  <c r="T17" i="158"/>
  <c r="T18" i="158"/>
  <c r="T23" i="158"/>
  <c r="T70" i="158" l="1"/>
  <c r="T71" i="156"/>
  <c r="T44" i="156" l="1"/>
  <c r="T68" i="156" l="1"/>
  <c r="T69" i="156" l="1"/>
  <c r="T54" i="156" l="1"/>
  <c r="T55" i="156"/>
  <c r="T56" i="156"/>
  <c r="T48" i="156"/>
  <c r="T49" i="156"/>
  <c r="T50" i="156"/>
  <c r="T51" i="156"/>
  <c r="D1" i="159" l="1"/>
  <c r="B71" i="158"/>
  <c r="D13" i="159" l="1"/>
  <c r="D113" i="159"/>
  <c r="D103" i="159"/>
  <c r="D141" i="159"/>
  <c r="D135" i="159"/>
  <c r="D130" i="159"/>
  <c r="D96" i="159"/>
  <c r="D122" i="159"/>
  <c r="D3" i="159"/>
  <c r="D138" i="159"/>
  <c r="D124" i="159"/>
  <c r="D4" i="159"/>
  <c r="D17" i="159"/>
  <c r="D29" i="159"/>
  <c r="D6" i="159"/>
  <c r="D19" i="159"/>
  <c r="D31" i="159"/>
  <c r="D8" i="159"/>
  <c r="D21" i="159"/>
  <c r="D33" i="159"/>
  <c r="D10" i="159"/>
  <c r="D23" i="159"/>
  <c r="D35" i="159"/>
  <c r="D5" i="159"/>
  <c r="D18" i="159"/>
  <c r="D30" i="159"/>
  <c r="D12" i="159"/>
  <c r="D25" i="159"/>
  <c r="D37" i="159"/>
  <c r="D7" i="159"/>
  <c r="D20" i="159"/>
  <c r="D32" i="159"/>
  <c r="D15" i="159"/>
  <c r="D27" i="159"/>
  <c r="D9" i="159"/>
  <c r="D22" i="159"/>
  <c r="D34" i="159"/>
  <c r="D24" i="159"/>
  <c r="D49" i="159"/>
  <c r="D61" i="159"/>
  <c r="D26" i="159"/>
  <c r="D39" i="159"/>
  <c r="D51" i="159"/>
  <c r="D41" i="159"/>
  <c r="D53" i="159"/>
  <c r="D14" i="159"/>
  <c r="D48" i="159"/>
  <c r="D60" i="159"/>
  <c r="D50" i="159"/>
  <c r="D54" i="159"/>
  <c r="D65" i="159"/>
  <c r="D28" i="159"/>
  <c r="D57" i="159"/>
  <c r="D40" i="159"/>
  <c r="D46" i="159"/>
  <c r="D67" i="159"/>
  <c r="D74" i="159"/>
  <c r="D44" i="159"/>
  <c r="D56" i="159"/>
  <c r="D62" i="159"/>
  <c r="D64" i="159"/>
  <c r="D36" i="159"/>
  <c r="D38" i="159"/>
  <c r="D52" i="159"/>
  <c r="D71" i="159"/>
  <c r="D45" i="159"/>
  <c r="D55" i="159"/>
  <c r="D59" i="159"/>
  <c r="D66" i="159"/>
  <c r="D73" i="159"/>
  <c r="D68" i="159"/>
  <c r="D79" i="159"/>
  <c r="D11" i="159"/>
  <c r="D47" i="159"/>
  <c r="D69" i="159"/>
  <c r="D81" i="159"/>
  <c r="D93" i="159"/>
  <c r="D42" i="159"/>
  <c r="D70" i="159"/>
  <c r="D16" i="159"/>
  <c r="D72" i="159"/>
  <c r="D78" i="159"/>
  <c r="D90" i="159"/>
  <c r="D85" i="159"/>
  <c r="D97" i="159"/>
  <c r="D80" i="159"/>
  <c r="D92" i="159"/>
  <c r="D43" i="159"/>
  <c r="D63" i="159"/>
  <c r="D87" i="159"/>
  <c r="D82" i="159"/>
  <c r="D75" i="159"/>
  <c r="D83" i="159"/>
  <c r="D99" i="159"/>
  <c r="D107" i="159"/>
  <c r="D120" i="159"/>
  <c r="D84" i="159"/>
  <c r="D89" i="159"/>
  <c r="D86" i="159"/>
  <c r="D95" i="159"/>
  <c r="D104" i="159"/>
  <c r="D117" i="159"/>
  <c r="D100" i="159"/>
  <c r="D111" i="159"/>
  <c r="D106" i="159"/>
  <c r="D114" i="159"/>
  <c r="D77" i="159"/>
  <c r="D88" i="159"/>
  <c r="D101" i="159"/>
  <c r="D128" i="159"/>
  <c r="D102" i="159"/>
  <c r="D110" i="159"/>
  <c r="D118" i="159"/>
  <c r="D125" i="159"/>
  <c r="D112" i="159"/>
  <c r="D115" i="159"/>
  <c r="D121" i="159"/>
  <c r="D132" i="159"/>
  <c r="D127" i="159"/>
  <c r="D76" i="159"/>
  <c r="D94" i="159"/>
  <c r="D134" i="159"/>
  <c r="D140" i="159"/>
  <c r="D119" i="159"/>
  <c r="D98" i="159"/>
  <c r="D131" i="159"/>
  <c r="D105" i="159"/>
  <c r="D91" i="159"/>
  <c r="D126" i="159"/>
  <c r="D58" i="159"/>
  <c r="D137" i="159"/>
  <c r="D123" i="159"/>
  <c r="D116" i="159"/>
  <c r="D129" i="159"/>
  <c r="D108" i="159"/>
  <c r="D136" i="159"/>
  <c r="D109" i="159"/>
  <c r="D139" i="159"/>
  <c r="D133" i="159"/>
  <c r="D201" i="159"/>
  <c r="D189" i="159"/>
  <c r="D177" i="159"/>
  <c r="D197" i="159"/>
  <c r="D185" i="159"/>
  <c r="D205" i="159"/>
  <c r="D192" i="159"/>
  <c r="D179" i="159"/>
  <c r="D175" i="159"/>
  <c r="D203" i="159"/>
  <c r="D183" i="159"/>
  <c r="D171" i="159"/>
  <c r="D204" i="159"/>
  <c r="D199" i="159"/>
  <c r="D167" i="159"/>
  <c r="D202" i="159"/>
  <c r="D187" i="159"/>
  <c r="D174" i="159"/>
  <c r="D207" i="159"/>
  <c r="D178" i="159"/>
  <c r="D194" i="159"/>
  <c r="D184" i="159"/>
  <c r="D169" i="159"/>
  <c r="D161" i="159"/>
  <c r="D188" i="159"/>
  <c r="D198" i="159"/>
  <c r="D193" i="159"/>
  <c r="D208" i="159"/>
  <c r="D181" i="159"/>
  <c r="D172" i="159"/>
  <c r="D196" i="159"/>
  <c r="D191" i="159"/>
  <c r="D186" i="159"/>
  <c r="D160" i="159"/>
  <c r="D148" i="159"/>
  <c r="D206" i="159"/>
  <c r="D200" i="159"/>
  <c r="D156" i="159"/>
  <c r="D190" i="159"/>
  <c r="D158" i="159"/>
  <c r="D150" i="159"/>
  <c r="D182" i="159"/>
  <c r="D149" i="159"/>
  <c r="D195" i="159"/>
  <c r="D162" i="159"/>
  <c r="D143" i="159"/>
  <c r="D180" i="159"/>
  <c r="D159" i="159"/>
  <c r="D155" i="159"/>
  <c r="D154" i="159"/>
  <c r="D173" i="159"/>
  <c r="D163" i="159"/>
  <c r="D147" i="159"/>
  <c r="D142" i="159"/>
  <c r="D176" i="159"/>
  <c r="D166" i="159"/>
  <c r="D153" i="159"/>
  <c r="D168" i="159"/>
  <c r="D146" i="159"/>
  <c r="D164" i="159"/>
  <c r="D152" i="159"/>
  <c r="D170" i="159"/>
  <c r="D157" i="159"/>
  <c r="D145" i="159"/>
  <c r="D151" i="159"/>
  <c r="D165" i="159"/>
  <c r="D144" i="159"/>
  <c r="E1" i="159"/>
  <c r="E113" i="159" s="1"/>
  <c r="B75" i="158"/>
  <c r="E141" i="159" l="1"/>
  <c r="E13" i="159"/>
  <c r="E9" i="159"/>
  <c r="E22" i="159"/>
  <c r="E34" i="159"/>
  <c r="E4" i="159"/>
  <c r="E11" i="159"/>
  <c r="E24" i="159"/>
  <c r="E36" i="159"/>
  <c r="E14" i="159"/>
  <c r="E26" i="159"/>
  <c r="E16" i="159"/>
  <c r="E28" i="159"/>
  <c r="E10" i="159"/>
  <c r="E23" i="159"/>
  <c r="E35" i="159"/>
  <c r="E5" i="159"/>
  <c r="E18" i="159"/>
  <c r="E30" i="159"/>
  <c r="E12" i="159"/>
  <c r="E25" i="159"/>
  <c r="E37" i="159"/>
  <c r="E7" i="159"/>
  <c r="E20" i="159"/>
  <c r="E32" i="159"/>
  <c r="E15" i="159"/>
  <c r="E27" i="159"/>
  <c r="E40" i="159"/>
  <c r="E21" i="159"/>
  <c r="E42" i="159"/>
  <c r="E54" i="159"/>
  <c r="E44" i="159"/>
  <c r="E56" i="159"/>
  <c r="E39" i="159"/>
  <c r="E17" i="159"/>
  <c r="E46" i="159"/>
  <c r="E58" i="159"/>
  <c r="E8" i="159"/>
  <c r="E31" i="159"/>
  <c r="E41" i="159"/>
  <c r="E53" i="159"/>
  <c r="E19" i="159"/>
  <c r="E6" i="159"/>
  <c r="E43" i="159"/>
  <c r="E47" i="159"/>
  <c r="E70" i="159"/>
  <c r="E50" i="159"/>
  <c r="E57" i="159"/>
  <c r="E72" i="159"/>
  <c r="E67" i="159"/>
  <c r="E60" i="159"/>
  <c r="E61" i="159"/>
  <c r="E29" i="159"/>
  <c r="E49" i="159"/>
  <c r="E69" i="159"/>
  <c r="E62" i="159"/>
  <c r="E64" i="159"/>
  <c r="E38" i="159"/>
  <c r="E48" i="159"/>
  <c r="E52" i="159"/>
  <c r="E71" i="159"/>
  <c r="E33" i="159"/>
  <c r="E45" i="159"/>
  <c r="E55" i="159"/>
  <c r="E59" i="159"/>
  <c r="E66" i="159"/>
  <c r="E76" i="159"/>
  <c r="E84" i="159"/>
  <c r="E75" i="159"/>
  <c r="E77" i="159"/>
  <c r="E86" i="159"/>
  <c r="E98" i="159"/>
  <c r="E81" i="159"/>
  <c r="E73" i="159"/>
  <c r="E83" i="159"/>
  <c r="E95" i="159"/>
  <c r="E78" i="159"/>
  <c r="E90" i="159"/>
  <c r="E74" i="159"/>
  <c r="E85" i="159"/>
  <c r="E97" i="159"/>
  <c r="E80" i="159"/>
  <c r="E92" i="159"/>
  <c r="E63" i="159"/>
  <c r="E112" i="159"/>
  <c r="E87" i="159"/>
  <c r="E91" i="159"/>
  <c r="E93" i="159"/>
  <c r="E109" i="159"/>
  <c r="E104" i="159"/>
  <c r="E51" i="159"/>
  <c r="E100" i="159"/>
  <c r="E111" i="159"/>
  <c r="E65" i="159"/>
  <c r="E106" i="159"/>
  <c r="E96" i="159"/>
  <c r="E120" i="159"/>
  <c r="E133" i="159"/>
  <c r="E82" i="159"/>
  <c r="E108" i="159"/>
  <c r="E130" i="159"/>
  <c r="E102" i="159"/>
  <c r="E110" i="159"/>
  <c r="E118" i="159"/>
  <c r="E125" i="159"/>
  <c r="E115" i="159"/>
  <c r="E121" i="159"/>
  <c r="E89" i="159"/>
  <c r="E127" i="159"/>
  <c r="E79" i="159"/>
  <c r="E135" i="159"/>
  <c r="E139" i="159"/>
  <c r="E126" i="159"/>
  <c r="E94" i="159"/>
  <c r="E99" i="159"/>
  <c r="E136" i="159"/>
  <c r="E3" i="159"/>
  <c r="E117" i="159"/>
  <c r="E129" i="159"/>
  <c r="E132" i="159"/>
  <c r="E101" i="159"/>
  <c r="E107" i="159"/>
  <c r="E116" i="159"/>
  <c r="E123" i="159"/>
  <c r="E137" i="159"/>
  <c r="E88" i="159"/>
  <c r="E103" i="159"/>
  <c r="E124" i="159"/>
  <c r="E138" i="159"/>
  <c r="E114" i="159"/>
  <c r="E122" i="159"/>
  <c r="E105" i="159"/>
  <c r="E131" i="159"/>
  <c r="E119" i="159"/>
  <c r="E140" i="159"/>
  <c r="E68" i="159"/>
  <c r="E128" i="159"/>
  <c r="E134" i="159"/>
  <c r="E206" i="159"/>
  <c r="E194" i="159"/>
  <c r="E182" i="159"/>
  <c r="E202" i="159"/>
  <c r="E190" i="159"/>
  <c r="E178" i="159"/>
  <c r="E198" i="159"/>
  <c r="E185" i="159"/>
  <c r="E196" i="159"/>
  <c r="E176" i="159"/>
  <c r="E195" i="159"/>
  <c r="E180" i="159"/>
  <c r="E207" i="159"/>
  <c r="E197" i="159"/>
  <c r="E192" i="159"/>
  <c r="E166" i="159"/>
  <c r="E188" i="159"/>
  <c r="E183" i="159"/>
  <c r="E204" i="159"/>
  <c r="E199" i="159"/>
  <c r="E171" i="159"/>
  <c r="E193" i="159"/>
  <c r="E208" i="159"/>
  <c r="E203" i="159"/>
  <c r="E187" i="159"/>
  <c r="E191" i="159"/>
  <c r="E186" i="159"/>
  <c r="E160" i="159"/>
  <c r="E201" i="159"/>
  <c r="E165" i="159"/>
  <c r="E153" i="159"/>
  <c r="E143" i="159"/>
  <c r="E200" i="159"/>
  <c r="E205" i="159"/>
  <c r="E189" i="159"/>
  <c r="E184" i="159"/>
  <c r="E179" i="159"/>
  <c r="E175" i="159"/>
  <c r="E169" i="159"/>
  <c r="E161" i="159"/>
  <c r="E149" i="159"/>
  <c r="E144" i="159"/>
  <c r="E167" i="159"/>
  <c r="E162" i="159"/>
  <c r="E159" i="159"/>
  <c r="E155" i="159"/>
  <c r="E154" i="159"/>
  <c r="E148" i="159"/>
  <c r="E173" i="159"/>
  <c r="E163" i="159"/>
  <c r="E147" i="159"/>
  <c r="E142" i="159"/>
  <c r="E174" i="159"/>
  <c r="E156" i="159"/>
  <c r="E172" i="159"/>
  <c r="E168" i="159"/>
  <c r="E146" i="159"/>
  <c r="E164" i="159"/>
  <c r="E152" i="159"/>
  <c r="E181" i="159"/>
  <c r="E170" i="159"/>
  <c r="E157" i="159"/>
  <c r="E145" i="159"/>
  <c r="E177" i="159"/>
  <c r="E151" i="159"/>
  <c r="E158" i="159"/>
  <c r="E150" i="159"/>
  <c r="F1" i="159"/>
  <c r="F113" i="159" s="1"/>
  <c r="T107" i="156"/>
  <c r="T108" i="156"/>
  <c r="T109" i="156"/>
  <c r="T110" i="156"/>
  <c r="T111" i="156"/>
  <c r="T112" i="156"/>
  <c r="T113" i="156"/>
  <c r="T114" i="156"/>
  <c r="T115" i="156"/>
  <c r="T119" i="156"/>
  <c r="T120" i="156"/>
  <c r="T121" i="156"/>
  <c r="T122" i="156"/>
  <c r="F141" i="159" l="1"/>
  <c r="F13" i="159"/>
  <c r="F15" i="159"/>
  <c r="F27" i="159"/>
  <c r="F4" i="159"/>
  <c r="F17" i="159"/>
  <c r="F29" i="159"/>
  <c r="F6" i="159"/>
  <c r="F19" i="159"/>
  <c r="F31" i="159"/>
  <c r="F8" i="159"/>
  <c r="F21" i="159"/>
  <c r="F33" i="159"/>
  <c r="F16" i="159"/>
  <c r="F28" i="159"/>
  <c r="F10" i="159"/>
  <c r="F23" i="159"/>
  <c r="F35" i="159"/>
  <c r="F5" i="159"/>
  <c r="F18" i="159"/>
  <c r="F30" i="159"/>
  <c r="F12" i="159"/>
  <c r="F25" i="159"/>
  <c r="F37" i="159"/>
  <c r="F7" i="159"/>
  <c r="F20" i="159"/>
  <c r="F32" i="159"/>
  <c r="F9" i="159"/>
  <c r="F45" i="159"/>
  <c r="F47" i="159"/>
  <c r="F59" i="159"/>
  <c r="F11" i="159"/>
  <c r="F49" i="159"/>
  <c r="F26" i="159"/>
  <c r="F44" i="159"/>
  <c r="F34" i="159"/>
  <c r="F39" i="159"/>
  <c r="F51" i="159"/>
  <c r="F46" i="159"/>
  <c r="F58" i="159"/>
  <c r="F63" i="159"/>
  <c r="F75" i="159"/>
  <c r="F24" i="159"/>
  <c r="F43" i="159"/>
  <c r="F54" i="159"/>
  <c r="F50" i="159"/>
  <c r="F65" i="159"/>
  <c r="F77" i="159"/>
  <c r="F40" i="159"/>
  <c r="F53" i="159"/>
  <c r="F57" i="159"/>
  <c r="F72" i="159"/>
  <c r="F14" i="159"/>
  <c r="F41" i="159"/>
  <c r="F60" i="159"/>
  <c r="F61" i="159"/>
  <c r="F74" i="159"/>
  <c r="F22" i="159"/>
  <c r="F56" i="159"/>
  <c r="F69" i="159"/>
  <c r="F36" i="159"/>
  <c r="F62" i="159"/>
  <c r="F64" i="159"/>
  <c r="F38" i="159"/>
  <c r="F48" i="159"/>
  <c r="F52" i="159"/>
  <c r="F71" i="159"/>
  <c r="F68" i="159"/>
  <c r="F79" i="159"/>
  <c r="F91" i="159"/>
  <c r="F86" i="159"/>
  <c r="F42" i="159"/>
  <c r="F88" i="159"/>
  <c r="F55" i="159"/>
  <c r="F73" i="159"/>
  <c r="F83" i="159"/>
  <c r="F95" i="159"/>
  <c r="F78" i="159"/>
  <c r="F90" i="159"/>
  <c r="F85" i="159"/>
  <c r="F97" i="159"/>
  <c r="F76" i="159"/>
  <c r="F82" i="159"/>
  <c r="F105" i="159"/>
  <c r="F118" i="159"/>
  <c r="F67" i="159"/>
  <c r="F89" i="159"/>
  <c r="F102" i="159"/>
  <c r="F115" i="159"/>
  <c r="F87" i="159"/>
  <c r="F93" i="159"/>
  <c r="F109" i="159"/>
  <c r="F104" i="159"/>
  <c r="F117" i="159"/>
  <c r="F100" i="159"/>
  <c r="F111" i="159"/>
  <c r="F98" i="159"/>
  <c r="F84" i="159"/>
  <c r="F101" i="159"/>
  <c r="F126" i="159"/>
  <c r="F138" i="159"/>
  <c r="F70" i="159"/>
  <c r="F96" i="159"/>
  <c r="F99" i="159"/>
  <c r="F106" i="159"/>
  <c r="F123" i="159"/>
  <c r="F92" i="159"/>
  <c r="F108" i="159"/>
  <c r="F130" i="159"/>
  <c r="F66" i="159"/>
  <c r="F110" i="159"/>
  <c r="F112" i="159"/>
  <c r="F125" i="159"/>
  <c r="F121" i="159"/>
  <c r="F132" i="159"/>
  <c r="F133" i="159"/>
  <c r="F135" i="159"/>
  <c r="F80" i="159"/>
  <c r="F120" i="159"/>
  <c r="F139" i="159"/>
  <c r="F140" i="159"/>
  <c r="F94" i="159"/>
  <c r="F127" i="159"/>
  <c r="F136" i="159"/>
  <c r="F3" i="159"/>
  <c r="F81" i="159"/>
  <c r="F129" i="159"/>
  <c r="F107" i="159"/>
  <c r="F116" i="159"/>
  <c r="F137" i="159"/>
  <c r="F119" i="159"/>
  <c r="F114" i="159"/>
  <c r="F131" i="159"/>
  <c r="F103" i="159"/>
  <c r="F124" i="159"/>
  <c r="F128" i="159"/>
  <c r="F122" i="159"/>
  <c r="F134" i="159"/>
  <c r="F199" i="159"/>
  <c r="F187" i="159"/>
  <c r="F207" i="159"/>
  <c r="F195" i="159"/>
  <c r="F183" i="159"/>
  <c r="F204" i="159"/>
  <c r="F191" i="159"/>
  <c r="F178" i="159"/>
  <c r="F173" i="159"/>
  <c r="F202" i="159"/>
  <c r="F189" i="159"/>
  <c r="F200" i="159"/>
  <c r="F190" i="159"/>
  <c r="F185" i="159"/>
  <c r="F188" i="159"/>
  <c r="F193" i="159"/>
  <c r="F180" i="159"/>
  <c r="F171" i="159"/>
  <c r="F168" i="159"/>
  <c r="F159" i="159"/>
  <c r="F208" i="159"/>
  <c r="F203" i="159"/>
  <c r="F198" i="159"/>
  <c r="F182" i="159"/>
  <c r="F197" i="159"/>
  <c r="F192" i="159"/>
  <c r="F186" i="159"/>
  <c r="F201" i="159"/>
  <c r="F196" i="159"/>
  <c r="F165" i="159"/>
  <c r="F206" i="159"/>
  <c r="F158" i="159"/>
  <c r="F146" i="159"/>
  <c r="F205" i="159"/>
  <c r="F184" i="159"/>
  <c r="F194" i="159"/>
  <c r="F154" i="159"/>
  <c r="F162" i="159"/>
  <c r="F149" i="159"/>
  <c r="F179" i="159"/>
  <c r="F169" i="159"/>
  <c r="F155" i="159"/>
  <c r="F143" i="159"/>
  <c r="F148" i="159"/>
  <c r="F163" i="159"/>
  <c r="F147" i="159"/>
  <c r="F142" i="159"/>
  <c r="F174" i="159"/>
  <c r="F156" i="159"/>
  <c r="F176" i="159"/>
  <c r="F175" i="159"/>
  <c r="F172" i="159"/>
  <c r="F166" i="159"/>
  <c r="F153" i="159"/>
  <c r="F164" i="159"/>
  <c r="F160" i="159"/>
  <c r="F152" i="159"/>
  <c r="F181" i="159"/>
  <c r="F170" i="159"/>
  <c r="F157" i="159"/>
  <c r="F145" i="159"/>
  <c r="F177" i="159"/>
  <c r="F151" i="159"/>
  <c r="F161" i="159"/>
  <c r="F150" i="159"/>
  <c r="F144" i="159"/>
  <c r="F167" i="159"/>
  <c r="G1" i="159"/>
  <c r="G113" i="159" s="1"/>
  <c r="T72" i="156"/>
  <c r="G141" i="159" l="1"/>
  <c r="G13" i="159"/>
  <c r="G7" i="159"/>
  <c r="G20" i="159"/>
  <c r="G32" i="159"/>
  <c r="G9" i="159"/>
  <c r="G22" i="159"/>
  <c r="G34" i="159"/>
  <c r="G4" i="159"/>
  <c r="G11" i="159"/>
  <c r="G24" i="159"/>
  <c r="G36" i="159"/>
  <c r="G14" i="159"/>
  <c r="G26" i="159"/>
  <c r="G8" i="159"/>
  <c r="G21" i="159"/>
  <c r="G33" i="159"/>
  <c r="G16" i="159"/>
  <c r="G28" i="159"/>
  <c r="G10" i="159"/>
  <c r="G23" i="159"/>
  <c r="G35" i="159"/>
  <c r="G5" i="159"/>
  <c r="G18" i="159"/>
  <c r="G30" i="159"/>
  <c r="G12" i="159"/>
  <c r="G25" i="159"/>
  <c r="G37" i="159"/>
  <c r="G27" i="159"/>
  <c r="G38" i="159"/>
  <c r="G40" i="159"/>
  <c r="G52" i="159"/>
  <c r="G29" i="159"/>
  <c r="G42" i="159"/>
  <c r="G54" i="159"/>
  <c r="G44" i="159"/>
  <c r="G56" i="159"/>
  <c r="G17" i="159"/>
  <c r="G39" i="159"/>
  <c r="G51" i="159"/>
  <c r="G68" i="159"/>
  <c r="G6" i="159"/>
  <c r="G47" i="159"/>
  <c r="G43" i="159"/>
  <c r="G70" i="159"/>
  <c r="G46" i="159"/>
  <c r="G50" i="159"/>
  <c r="G65" i="159"/>
  <c r="G53" i="159"/>
  <c r="G57" i="159"/>
  <c r="G67" i="159"/>
  <c r="G41" i="159"/>
  <c r="G49" i="159"/>
  <c r="G60" i="159"/>
  <c r="G61" i="159"/>
  <c r="G74" i="159"/>
  <c r="G69" i="159"/>
  <c r="G15" i="159"/>
  <c r="G62" i="159"/>
  <c r="G64" i="159"/>
  <c r="G66" i="159"/>
  <c r="G82" i="159"/>
  <c r="G76" i="159"/>
  <c r="G84" i="159"/>
  <c r="G96" i="159"/>
  <c r="G45" i="159"/>
  <c r="G59" i="159"/>
  <c r="G75" i="159"/>
  <c r="G77" i="159"/>
  <c r="G79" i="159"/>
  <c r="G31" i="159"/>
  <c r="G81" i="159"/>
  <c r="G93" i="159"/>
  <c r="G19" i="159"/>
  <c r="G48" i="159"/>
  <c r="G72" i="159"/>
  <c r="G88" i="159"/>
  <c r="G55" i="159"/>
  <c r="G73" i="159"/>
  <c r="G83" i="159"/>
  <c r="G95" i="159"/>
  <c r="G78" i="159"/>
  <c r="G90" i="159"/>
  <c r="G80" i="159"/>
  <c r="G94" i="159"/>
  <c r="G71" i="159"/>
  <c r="G101" i="159"/>
  <c r="G110" i="159"/>
  <c r="G58" i="159"/>
  <c r="G97" i="159"/>
  <c r="G99" i="159"/>
  <c r="G107" i="159"/>
  <c r="G86" i="159"/>
  <c r="G89" i="159"/>
  <c r="G91" i="159"/>
  <c r="G102" i="159"/>
  <c r="G115" i="159"/>
  <c r="G87" i="159"/>
  <c r="G109" i="159"/>
  <c r="G104" i="159"/>
  <c r="G117" i="159"/>
  <c r="G116" i="159"/>
  <c r="G131" i="159"/>
  <c r="G63" i="159"/>
  <c r="G128" i="159"/>
  <c r="G106" i="159"/>
  <c r="G123" i="159"/>
  <c r="G85" i="159"/>
  <c r="G92" i="159"/>
  <c r="G108" i="159"/>
  <c r="G118" i="159"/>
  <c r="G100" i="159"/>
  <c r="G112" i="159"/>
  <c r="G125" i="159"/>
  <c r="G122" i="159"/>
  <c r="G134" i="159"/>
  <c r="G133" i="159"/>
  <c r="G135" i="159"/>
  <c r="G139" i="159"/>
  <c r="G120" i="159"/>
  <c r="G127" i="159"/>
  <c r="G132" i="159"/>
  <c r="G136" i="159"/>
  <c r="G3" i="159"/>
  <c r="G111" i="159"/>
  <c r="G129" i="159"/>
  <c r="G121" i="159"/>
  <c r="G137" i="159"/>
  <c r="G98" i="159"/>
  <c r="G105" i="159"/>
  <c r="G114" i="159"/>
  <c r="G119" i="159"/>
  <c r="G140" i="159"/>
  <c r="G138" i="159"/>
  <c r="G124" i="159"/>
  <c r="G130" i="159"/>
  <c r="G103" i="159"/>
  <c r="G126" i="159"/>
  <c r="G204" i="159"/>
  <c r="G192" i="159"/>
  <c r="G180" i="159"/>
  <c r="G200" i="159"/>
  <c r="G188" i="159"/>
  <c r="G176" i="159"/>
  <c r="G197" i="159"/>
  <c r="G184" i="159"/>
  <c r="G208" i="159"/>
  <c r="G195" i="159"/>
  <c r="G182" i="159"/>
  <c r="G174" i="159"/>
  <c r="G205" i="159"/>
  <c r="G181" i="159"/>
  <c r="G170" i="159"/>
  <c r="G193" i="159"/>
  <c r="G183" i="159"/>
  <c r="G178" i="159"/>
  <c r="G173" i="159"/>
  <c r="G203" i="159"/>
  <c r="G198" i="159"/>
  <c r="G190" i="159"/>
  <c r="G185" i="159"/>
  <c r="G164" i="159"/>
  <c r="G187" i="159"/>
  <c r="G207" i="159"/>
  <c r="G202" i="159"/>
  <c r="G186" i="159"/>
  <c r="G201" i="159"/>
  <c r="G196" i="159"/>
  <c r="G191" i="159"/>
  <c r="G206" i="159"/>
  <c r="G158" i="159"/>
  <c r="G163" i="159"/>
  <c r="G151" i="159"/>
  <c r="G194" i="159"/>
  <c r="G189" i="159"/>
  <c r="G199" i="159"/>
  <c r="G171" i="159"/>
  <c r="G168" i="159"/>
  <c r="G159" i="159"/>
  <c r="G147" i="159"/>
  <c r="G179" i="159"/>
  <c r="G169" i="159"/>
  <c r="G155" i="159"/>
  <c r="G143" i="159"/>
  <c r="G148" i="159"/>
  <c r="G154" i="159"/>
  <c r="G142" i="159"/>
  <c r="G156" i="159"/>
  <c r="G175" i="159"/>
  <c r="G172" i="159"/>
  <c r="G166" i="159"/>
  <c r="G153" i="159"/>
  <c r="G160" i="159"/>
  <c r="G152" i="159"/>
  <c r="G146" i="159"/>
  <c r="G157" i="159"/>
  <c r="G145" i="159"/>
  <c r="G177" i="159"/>
  <c r="G161" i="159"/>
  <c r="G150" i="159"/>
  <c r="G144" i="159"/>
  <c r="G167" i="159"/>
  <c r="G165" i="159"/>
  <c r="G162" i="159"/>
  <c r="G149" i="159"/>
  <c r="H1" i="159"/>
  <c r="H113" i="159" s="1"/>
  <c r="T61" i="156"/>
  <c r="T62" i="156"/>
  <c r="T73" i="156"/>
  <c r="T74" i="156"/>
  <c r="T75" i="156"/>
  <c r="T70" i="156"/>
  <c r="H141" i="159" l="1"/>
  <c r="H13" i="159"/>
  <c r="H12" i="159"/>
  <c r="H25" i="159"/>
  <c r="H37" i="159"/>
  <c r="H7" i="159"/>
  <c r="H15" i="159"/>
  <c r="H27" i="159"/>
  <c r="H4" i="159"/>
  <c r="H17" i="159"/>
  <c r="H29" i="159"/>
  <c r="H6" i="159"/>
  <c r="H19" i="159"/>
  <c r="H31" i="159"/>
  <c r="H14" i="159"/>
  <c r="H26" i="159"/>
  <c r="H8" i="159"/>
  <c r="H21" i="159"/>
  <c r="H33" i="159"/>
  <c r="H16" i="159"/>
  <c r="H28" i="159"/>
  <c r="H10" i="159"/>
  <c r="H23" i="159"/>
  <c r="H35" i="159"/>
  <c r="H5" i="159"/>
  <c r="H18" i="159"/>
  <c r="H30" i="159"/>
  <c r="H43" i="159"/>
  <c r="H9" i="159"/>
  <c r="H24" i="159"/>
  <c r="H45" i="159"/>
  <c r="H57" i="159"/>
  <c r="H47" i="159"/>
  <c r="H59" i="159"/>
  <c r="H11" i="159"/>
  <c r="H42" i="159"/>
  <c r="H20" i="159"/>
  <c r="H49" i="159"/>
  <c r="H61" i="159"/>
  <c r="H34" i="159"/>
  <c r="H44" i="159"/>
  <c r="H56" i="159"/>
  <c r="H22" i="159"/>
  <c r="H58" i="159"/>
  <c r="H73" i="159"/>
  <c r="H54" i="159"/>
  <c r="H63" i="159"/>
  <c r="H75" i="159"/>
  <c r="H70" i="159"/>
  <c r="H32" i="159"/>
  <c r="H40" i="159"/>
  <c r="H46" i="159"/>
  <c r="H50" i="159"/>
  <c r="H53" i="159"/>
  <c r="H72" i="159"/>
  <c r="H67" i="159"/>
  <c r="H41" i="159"/>
  <c r="H60" i="159"/>
  <c r="H74" i="159"/>
  <c r="H36" i="159"/>
  <c r="H69" i="159"/>
  <c r="H38" i="159"/>
  <c r="H65" i="159"/>
  <c r="H87" i="159"/>
  <c r="H89" i="159"/>
  <c r="H101" i="159"/>
  <c r="H52" i="159"/>
  <c r="H68" i="159"/>
  <c r="H76" i="159"/>
  <c r="H84" i="159"/>
  <c r="H39" i="159"/>
  <c r="H71" i="159"/>
  <c r="H86" i="159"/>
  <c r="H81" i="159"/>
  <c r="H93" i="159"/>
  <c r="H48" i="159"/>
  <c r="H88" i="159"/>
  <c r="H55" i="159"/>
  <c r="H83" i="159"/>
  <c r="H95" i="159"/>
  <c r="H66" i="159"/>
  <c r="H79" i="159"/>
  <c r="H92" i="159"/>
  <c r="H98" i="159"/>
  <c r="H103" i="159"/>
  <c r="H116" i="159"/>
  <c r="H82" i="159"/>
  <c r="H85" i="159"/>
  <c r="H112" i="159"/>
  <c r="H97" i="159"/>
  <c r="H99" i="159"/>
  <c r="H107" i="159"/>
  <c r="H91" i="159"/>
  <c r="H102" i="159"/>
  <c r="H115" i="159"/>
  <c r="H51" i="159"/>
  <c r="H109" i="159"/>
  <c r="H62" i="159"/>
  <c r="H105" i="159"/>
  <c r="H114" i="159"/>
  <c r="H122" i="159"/>
  <c r="H124" i="159"/>
  <c r="H136" i="159"/>
  <c r="H78" i="159"/>
  <c r="H80" i="159"/>
  <c r="H120" i="159"/>
  <c r="H133" i="159"/>
  <c r="H104" i="159"/>
  <c r="H128" i="159"/>
  <c r="H106" i="159"/>
  <c r="H123" i="159"/>
  <c r="H108" i="159"/>
  <c r="H110" i="159"/>
  <c r="H118" i="159"/>
  <c r="H130" i="159"/>
  <c r="H126" i="159"/>
  <c r="H134" i="159"/>
  <c r="H90" i="159"/>
  <c r="H135" i="159"/>
  <c r="H94" i="159"/>
  <c r="H117" i="159"/>
  <c r="H125" i="159"/>
  <c r="H139" i="159"/>
  <c r="H127" i="159"/>
  <c r="H132" i="159"/>
  <c r="H3" i="159"/>
  <c r="H64" i="159"/>
  <c r="H129" i="159"/>
  <c r="H121" i="159"/>
  <c r="H137" i="159"/>
  <c r="H77" i="159"/>
  <c r="H100" i="159"/>
  <c r="H131" i="159"/>
  <c r="H119" i="159"/>
  <c r="H140" i="159"/>
  <c r="H138" i="159"/>
  <c r="H111" i="159"/>
  <c r="H96" i="159"/>
  <c r="H197" i="159"/>
  <c r="H185" i="159"/>
  <c r="H205" i="159"/>
  <c r="H193" i="159"/>
  <c r="H181" i="159"/>
  <c r="H203" i="159"/>
  <c r="H190" i="159"/>
  <c r="H177" i="159"/>
  <c r="H171" i="159"/>
  <c r="H201" i="159"/>
  <c r="H188" i="159"/>
  <c r="H186" i="159"/>
  <c r="H176" i="159"/>
  <c r="H198" i="159"/>
  <c r="H172" i="159"/>
  <c r="H169" i="159"/>
  <c r="H208" i="159"/>
  <c r="H179" i="159"/>
  <c r="H200" i="159"/>
  <c r="H195" i="159"/>
  <c r="H183" i="159"/>
  <c r="H178" i="159"/>
  <c r="H167" i="159"/>
  <c r="H157" i="159"/>
  <c r="H187" i="159"/>
  <c r="H207" i="159"/>
  <c r="H202" i="159"/>
  <c r="H192" i="159"/>
  <c r="H196" i="159"/>
  <c r="H191" i="159"/>
  <c r="H206" i="159"/>
  <c r="H163" i="159"/>
  <c r="H180" i="159"/>
  <c r="H170" i="159"/>
  <c r="H156" i="159"/>
  <c r="H194" i="159"/>
  <c r="H199" i="159"/>
  <c r="H204" i="159"/>
  <c r="H164" i="159"/>
  <c r="H152" i="159"/>
  <c r="H182" i="159"/>
  <c r="H148" i="159"/>
  <c r="H159" i="159"/>
  <c r="H154" i="159"/>
  <c r="H142" i="159"/>
  <c r="H147" i="159"/>
  <c r="H189" i="159"/>
  <c r="H175" i="159"/>
  <c r="H174" i="159"/>
  <c r="H173" i="159"/>
  <c r="H166" i="159"/>
  <c r="H153" i="159"/>
  <c r="H160" i="159"/>
  <c r="H146" i="159"/>
  <c r="H168" i="159"/>
  <c r="H145" i="159"/>
  <c r="H161" i="159"/>
  <c r="H151" i="159"/>
  <c r="H150" i="159"/>
  <c r="H144" i="159"/>
  <c r="H165" i="159"/>
  <c r="H184" i="159"/>
  <c r="H162" i="159"/>
  <c r="H158" i="159"/>
  <c r="H149" i="159"/>
  <c r="H155" i="159"/>
  <c r="H143" i="159"/>
  <c r="I1" i="159"/>
  <c r="I113" i="159" s="1"/>
  <c r="T66" i="156"/>
  <c r="I141" i="159" l="1"/>
  <c r="I13" i="159"/>
  <c r="I5" i="159"/>
  <c r="I18" i="159"/>
  <c r="I30" i="159"/>
  <c r="I7" i="159"/>
  <c r="I20" i="159"/>
  <c r="I32" i="159"/>
  <c r="I9" i="159"/>
  <c r="I22" i="159"/>
  <c r="I34" i="159"/>
  <c r="I4" i="159"/>
  <c r="I11" i="159"/>
  <c r="I24" i="159"/>
  <c r="I36" i="159"/>
  <c r="I6" i="159"/>
  <c r="I19" i="159"/>
  <c r="I31" i="159"/>
  <c r="I14" i="159"/>
  <c r="I26" i="159"/>
  <c r="I8" i="159"/>
  <c r="I21" i="159"/>
  <c r="I33" i="159"/>
  <c r="I16" i="159"/>
  <c r="I28" i="159"/>
  <c r="I10" i="159"/>
  <c r="I23" i="159"/>
  <c r="I35" i="159"/>
  <c r="I12" i="159"/>
  <c r="I38" i="159"/>
  <c r="I50" i="159"/>
  <c r="I62" i="159"/>
  <c r="I15" i="159"/>
  <c r="I40" i="159"/>
  <c r="I52" i="159"/>
  <c r="I29" i="159"/>
  <c r="I37" i="159"/>
  <c r="I42" i="159"/>
  <c r="I54" i="159"/>
  <c r="I49" i="159"/>
  <c r="I61" i="159"/>
  <c r="I39" i="159"/>
  <c r="I51" i="159"/>
  <c r="I55" i="159"/>
  <c r="I66" i="159"/>
  <c r="I58" i="159"/>
  <c r="I17" i="159"/>
  <c r="I47" i="159"/>
  <c r="I68" i="159"/>
  <c r="I43" i="159"/>
  <c r="I63" i="159"/>
  <c r="I75" i="159"/>
  <c r="I25" i="159"/>
  <c r="I44" i="159"/>
  <c r="I46" i="159"/>
  <c r="I57" i="159"/>
  <c r="I65" i="159"/>
  <c r="I53" i="159"/>
  <c r="I72" i="159"/>
  <c r="I56" i="159"/>
  <c r="I67" i="159"/>
  <c r="I41" i="159"/>
  <c r="I60" i="159"/>
  <c r="I74" i="159"/>
  <c r="I80" i="159"/>
  <c r="I27" i="159"/>
  <c r="I82" i="159"/>
  <c r="I94" i="159"/>
  <c r="I69" i="159"/>
  <c r="I45" i="159"/>
  <c r="I59" i="159"/>
  <c r="I70" i="159"/>
  <c r="I77" i="159"/>
  <c r="I79" i="159"/>
  <c r="I91" i="159"/>
  <c r="I71" i="159"/>
  <c r="I86" i="159"/>
  <c r="I81" i="159"/>
  <c r="I93" i="159"/>
  <c r="I48" i="159"/>
  <c r="I73" i="159"/>
  <c r="I88" i="159"/>
  <c r="I90" i="159"/>
  <c r="I96" i="159"/>
  <c r="I108" i="159"/>
  <c r="I121" i="159"/>
  <c r="I83" i="159"/>
  <c r="I64" i="159"/>
  <c r="I84" i="159"/>
  <c r="I105" i="159"/>
  <c r="I85" i="159"/>
  <c r="I95" i="159"/>
  <c r="I112" i="159"/>
  <c r="I89" i="159"/>
  <c r="I97" i="159"/>
  <c r="I99" i="159"/>
  <c r="I107" i="159"/>
  <c r="I87" i="159"/>
  <c r="I102" i="159"/>
  <c r="I115" i="159"/>
  <c r="I98" i="159"/>
  <c r="I103" i="159"/>
  <c r="I111" i="159"/>
  <c r="I119" i="159"/>
  <c r="I129" i="159"/>
  <c r="I101" i="159"/>
  <c r="I126" i="159"/>
  <c r="I78" i="159"/>
  <c r="I120" i="159"/>
  <c r="I133" i="159"/>
  <c r="I104" i="159"/>
  <c r="I128" i="159"/>
  <c r="I92" i="159"/>
  <c r="I106" i="159"/>
  <c r="I123" i="159"/>
  <c r="I135" i="159"/>
  <c r="I110" i="159"/>
  <c r="I124" i="159"/>
  <c r="I130" i="159"/>
  <c r="I138" i="159"/>
  <c r="I140" i="159"/>
  <c r="I122" i="159"/>
  <c r="I109" i="159"/>
  <c r="I134" i="159"/>
  <c r="I76" i="159"/>
  <c r="I117" i="159"/>
  <c r="I118" i="159"/>
  <c r="I125" i="159"/>
  <c r="I136" i="159"/>
  <c r="I139" i="159"/>
  <c r="I114" i="159"/>
  <c r="I116" i="159"/>
  <c r="I127" i="159"/>
  <c r="I132" i="159"/>
  <c r="I3" i="159"/>
  <c r="I100" i="159"/>
  <c r="I137" i="159"/>
  <c r="I131" i="159"/>
  <c r="I202" i="159"/>
  <c r="I190" i="159"/>
  <c r="I178" i="159"/>
  <c r="I198" i="159"/>
  <c r="I186" i="159"/>
  <c r="I196" i="159"/>
  <c r="I183" i="159"/>
  <c r="I207" i="159"/>
  <c r="I194" i="159"/>
  <c r="I181" i="159"/>
  <c r="I172" i="159"/>
  <c r="I191" i="159"/>
  <c r="I175" i="159"/>
  <c r="I168" i="159"/>
  <c r="I208" i="159"/>
  <c r="I203" i="159"/>
  <c r="I179" i="159"/>
  <c r="I189" i="159"/>
  <c r="I184" i="159"/>
  <c r="I205" i="159"/>
  <c r="I176" i="159"/>
  <c r="I193" i="159"/>
  <c r="I188" i="159"/>
  <c r="I162" i="159"/>
  <c r="I192" i="159"/>
  <c r="I197" i="159"/>
  <c r="I206" i="159"/>
  <c r="I201" i="159"/>
  <c r="I180" i="159"/>
  <c r="I170" i="159"/>
  <c r="I156" i="159"/>
  <c r="I200" i="159"/>
  <c r="I195" i="159"/>
  <c r="I185" i="159"/>
  <c r="I173" i="159"/>
  <c r="I161" i="159"/>
  <c r="I149" i="159"/>
  <c r="I144" i="159"/>
  <c r="I199" i="159"/>
  <c r="I204" i="159"/>
  <c r="I167" i="159"/>
  <c r="I157" i="159"/>
  <c r="I145" i="159"/>
  <c r="I142" i="159"/>
  <c r="I159" i="159"/>
  <c r="I154" i="159"/>
  <c r="I147" i="159"/>
  <c r="I174" i="159"/>
  <c r="I166" i="159"/>
  <c r="I163" i="159"/>
  <c r="I153" i="159"/>
  <c r="I160" i="159"/>
  <c r="I146" i="159"/>
  <c r="I152" i="159"/>
  <c r="I171" i="159"/>
  <c r="I164" i="159"/>
  <c r="I177" i="159"/>
  <c r="I151" i="159"/>
  <c r="I150" i="159"/>
  <c r="I187" i="159"/>
  <c r="I165" i="159"/>
  <c r="I158" i="159"/>
  <c r="I155" i="159"/>
  <c r="I143" i="159"/>
  <c r="I182" i="159"/>
  <c r="I169" i="159"/>
  <c r="I148" i="159"/>
  <c r="J1" i="159"/>
  <c r="J113" i="159" s="1"/>
  <c r="T153" i="156"/>
  <c r="T152" i="156"/>
  <c r="J141" i="159" l="1"/>
  <c r="J13" i="159"/>
  <c r="J10" i="159"/>
  <c r="J23" i="159"/>
  <c r="J35" i="159"/>
  <c r="J5" i="159"/>
  <c r="J12" i="159"/>
  <c r="J25" i="159"/>
  <c r="J37" i="159"/>
  <c r="J15" i="159"/>
  <c r="J27" i="159"/>
  <c r="J4" i="159"/>
  <c r="J17" i="159"/>
  <c r="J29" i="159"/>
  <c r="J11" i="159"/>
  <c r="J24" i="159"/>
  <c r="J36" i="159"/>
  <c r="J6" i="159"/>
  <c r="J19" i="159"/>
  <c r="J31" i="159"/>
  <c r="J14" i="159"/>
  <c r="J26" i="159"/>
  <c r="J8" i="159"/>
  <c r="J21" i="159"/>
  <c r="J33" i="159"/>
  <c r="J16" i="159"/>
  <c r="J28" i="159"/>
  <c r="J30" i="159"/>
  <c r="J41" i="159"/>
  <c r="J7" i="159"/>
  <c r="J9" i="159"/>
  <c r="J43" i="159"/>
  <c r="J55" i="159"/>
  <c r="J32" i="159"/>
  <c r="J45" i="159"/>
  <c r="J57" i="159"/>
  <c r="J40" i="159"/>
  <c r="J47" i="159"/>
  <c r="J59" i="159"/>
  <c r="J20" i="159"/>
  <c r="J42" i="159"/>
  <c r="J54" i="159"/>
  <c r="J48" i="159"/>
  <c r="J71" i="159"/>
  <c r="J39" i="159"/>
  <c r="J51" i="159"/>
  <c r="J58" i="159"/>
  <c r="J73" i="159"/>
  <c r="J68" i="159"/>
  <c r="J50" i="159"/>
  <c r="J70" i="159"/>
  <c r="J18" i="159"/>
  <c r="J44" i="159"/>
  <c r="J46" i="159"/>
  <c r="J65" i="159"/>
  <c r="J22" i="159"/>
  <c r="J49" i="159"/>
  <c r="J53" i="159"/>
  <c r="J61" i="159"/>
  <c r="J72" i="159"/>
  <c r="J56" i="159"/>
  <c r="J67" i="159"/>
  <c r="J64" i="159"/>
  <c r="J85" i="159"/>
  <c r="J38" i="159"/>
  <c r="J66" i="159"/>
  <c r="J87" i="159"/>
  <c r="J99" i="159"/>
  <c r="J82" i="159"/>
  <c r="J52" i="159"/>
  <c r="J76" i="159"/>
  <c r="J84" i="159"/>
  <c r="J96" i="159"/>
  <c r="J77" i="159"/>
  <c r="J79" i="159"/>
  <c r="J91" i="159"/>
  <c r="J86" i="159"/>
  <c r="J34" i="159"/>
  <c r="J74" i="159"/>
  <c r="J81" i="159"/>
  <c r="J93" i="159"/>
  <c r="J78" i="159"/>
  <c r="J88" i="159"/>
  <c r="J63" i="159"/>
  <c r="J80" i="159"/>
  <c r="J92" i="159"/>
  <c r="J94" i="159"/>
  <c r="J114" i="159"/>
  <c r="J75" i="159"/>
  <c r="J110" i="159"/>
  <c r="J60" i="159"/>
  <c r="J105" i="159"/>
  <c r="J95" i="159"/>
  <c r="J112" i="159"/>
  <c r="J89" i="159"/>
  <c r="J97" i="159"/>
  <c r="J107" i="159"/>
  <c r="J69" i="159"/>
  <c r="J109" i="159"/>
  <c r="J134" i="159"/>
  <c r="J98" i="159"/>
  <c r="J90" i="159"/>
  <c r="J131" i="159"/>
  <c r="J126" i="159"/>
  <c r="J102" i="159"/>
  <c r="J120" i="159"/>
  <c r="J104" i="159"/>
  <c r="J115" i="159"/>
  <c r="J128" i="159"/>
  <c r="J103" i="159"/>
  <c r="J111" i="159"/>
  <c r="J119" i="159"/>
  <c r="J124" i="159"/>
  <c r="J130" i="159"/>
  <c r="J138" i="159"/>
  <c r="J140" i="159"/>
  <c r="J122" i="159"/>
  <c r="J133" i="159"/>
  <c r="J108" i="159"/>
  <c r="J135" i="159"/>
  <c r="J62" i="159"/>
  <c r="J101" i="159"/>
  <c r="J123" i="159"/>
  <c r="J137" i="159"/>
  <c r="J106" i="159"/>
  <c r="J117" i="159"/>
  <c r="J118" i="159"/>
  <c r="J125" i="159"/>
  <c r="J136" i="159"/>
  <c r="J139" i="159"/>
  <c r="J100" i="159"/>
  <c r="J116" i="159"/>
  <c r="J127" i="159"/>
  <c r="J129" i="159"/>
  <c r="J132" i="159"/>
  <c r="J3" i="159"/>
  <c r="J83" i="159"/>
  <c r="J121" i="159"/>
  <c r="J207" i="159"/>
  <c r="J195" i="159"/>
  <c r="J183" i="159"/>
  <c r="J203" i="159"/>
  <c r="J191" i="159"/>
  <c r="J179" i="159"/>
  <c r="J189" i="159"/>
  <c r="J176" i="159"/>
  <c r="J200" i="159"/>
  <c r="J187" i="159"/>
  <c r="J206" i="159"/>
  <c r="J201" i="159"/>
  <c r="J196" i="159"/>
  <c r="J184" i="159"/>
  <c r="J167" i="159"/>
  <c r="J199" i="159"/>
  <c r="J194" i="159"/>
  <c r="J186" i="159"/>
  <c r="J181" i="159"/>
  <c r="J175" i="159"/>
  <c r="J208" i="159"/>
  <c r="J198" i="159"/>
  <c r="J182" i="159"/>
  <c r="J177" i="159"/>
  <c r="J174" i="159"/>
  <c r="J166" i="159"/>
  <c r="J155" i="159"/>
  <c r="J192" i="159"/>
  <c r="J202" i="159"/>
  <c r="J197" i="159"/>
  <c r="J185" i="159"/>
  <c r="J173" i="159"/>
  <c r="J161" i="159"/>
  <c r="J205" i="159"/>
  <c r="J190" i="159"/>
  <c r="J169" i="159"/>
  <c r="J154" i="159"/>
  <c r="J204" i="159"/>
  <c r="J193" i="159"/>
  <c r="J188" i="159"/>
  <c r="J178" i="159"/>
  <c r="J162" i="159"/>
  <c r="J150" i="159"/>
  <c r="J147" i="159"/>
  <c r="J142" i="159"/>
  <c r="J163" i="159"/>
  <c r="J153" i="159"/>
  <c r="J180" i="159"/>
  <c r="J160" i="159"/>
  <c r="J156" i="159"/>
  <c r="J146" i="159"/>
  <c r="J172" i="159"/>
  <c r="J152" i="159"/>
  <c r="J171" i="159"/>
  <c r="J168" i="159"/>
  <c r="J164" i="159"/>
  <c r="J145" i="159"/>
  <c r="J157" i="159"/>
  <c r="J151" i="159"/>
  <c r="J170" i="159"/>
  <c r="J165" i="159"/>
  <c r="J144" i="159"/>
  <c r="J158" i="159"/>
  <c r="J149" i="159"/>
  <c r="J143" i="159"/>
  <c r="J148" i="159"/>
  <c r="J159" i="159"/>
  <c r="K1" i="159"/>
  <c r="K113" i="159" s="1"/>
  <c r="T154" i="156"/>
  <c r="K141" i="159" l="1"/>
  <c r="K13" i="159"/>
  <c r="K16" i="159"/>
  <c r="K28" i="159"/>
  <c r="K5" i="159"/>
  <c r="K18" i="159"/>
  <c r="K30" i="159"/>
  <c r="K7" i="159"/>
  <c r="K20" i="159"/>
  <c r="K32" i="159"/>
  <c r="K9" i="159"/>
  <c r="K22" i="159"/>
  <c r="K34" i="159"/>
  <c r="K4" i="159"/>
  <c r="K17" i="159"/>
  <c r="K29" i="159"/>
  <c r="K11" i="159"/>
  <c r="K24" i="159"/>
  <c r="K36" i="159"/>
  <c r="K6" i="159"/>
  <c r="K19" i="159"/>
  <c r="K31" i="159"/>
  <c r="K14" i="159"/>
  <c r="K26" i="159"/>
  <c r="K8" i="159"/>
  <c r="K21" i="159"/>
  <c r="K33" i="159"/>
  <c r="K27" i="159"/>
  <c r="K48" i="159"/>
  <c r="K60" i="159"/>
  <c r="K38" i="159"/>
  <c r="K50" i="159"/>
  <c r="K15" i="159"/>
  <c r="K45" i="159"/>
  <c r="K23" i="159"/>
  <c r="K40" i="159"/>
  <c r="K52" i="159"/>
  <c r="K37" i="159"/>
  <c r="K47" i="159"/>
  <c r="K59" i="159"/>
  <c r="K25" i="159"/>
  <c r="K64" i="159"/>
  <c r="K76" i="159"/>
  <c r="K55" i="159"/>
  <c r="K12" i="159"/>
  <c r="K39" i="159"/>
  <c r="K51" i="159"/>
  <c r="K66" i="159"/>
  <c r="K54" i="159"/>
  <c r="K58" i="159"/>
  <c r="K73" i="159"/>
  <c r="K35" i="159"/>
  <c r="K43" i="159"/>
  <c r="K63" i="159"/>
  <c r="K57" i="159"/>
  <c r="K70" i="159"/>
  <c r="K10" i="159"/>
  <c r="K44" i="159"/>
  <c r="K46" i="159"/>
  <c r="K65" i="159"/>
  <c r="K49" i="159"/>
  <c r="K53" i="159"/>
  <c r="K61" i="159"/>
  <c r="K72" i="159"/>
  <c r="K41" i="159"/>
  <c r="K56" i="159"/>
  <c r="K78" i="159"/>
  <c r="K67" i="159"/>
  <c r="K80" i="159"/>
  <c r="K92" i="159"/>
  <c r="K87" i="159"/>
  <c r="K42" i="159"/>
  <c r="K69" i="159"/>
  <c r="K75" i="159"/>
  <c r="K89" i="159"/>
  <c r="K84" i="159"/>
  <c r="K96" i="159"/>
  <c r="K71" i="159"/>
  <c r="K77" i="159"/>
  <c r="K79" i="159"/>
  <c r="K91" i="159"/>
  <c r="K86" i="159"/>
  <c r="K98" i="159"/>
  <c r="K81" i="159"/>
  <c r="K90" i="159"/>
  <c r="K106" i="159"/>
  <c r="K119" i="159"/>
  <c r="K94" i="159"/>
  <c r="K83" i="159"/>
  <c r="K101" i="159"/>
  <c r="K103" i="159"/>
  <c r="K116" i="159"/>
  <c r="K74" i="159"/>
  <c r="K110" i="159"/>
  <c r="K85" i="159"/>
  <c r="K93" i="159"/>
  <c r="K105" i="159"/>
  <c r="K95" i="159"/>
  <c r="K99" i="159"/>
  <c r="K112" i="159"/>
  <c r="K68" i="159"/>
  <c r="K100" i="159"/>
  <c r="K62" i="159"/>
  <c r="K88" i="159"/>
  <c r="K97" i="159"/>
  <c r="K107" i="159"/>
  <c r="K127" i="159"/>
  <c r="K122" i="159"/>
  <c r="K124" i="159"/>
  <c r="K131" i="159"/>
  <c r="K126" i="159"/>
  <c r="K102" i="159"/>
  <c r="K120" i="159"/>
  <c r="K133" i="159"/>
  <c r="K128" i="159"/>
  <c r="K111" i="159"/>
  <c r="K130" i="159"/>
  <c r="K138" i="159"/>
  <c r="K140" i="159"/>
  <c r="K109" i="159"/>
  <c r="K134" i="159"/>
  <c r="K108" i="159"/>
  <c r="K135" i="159"/>
  <c r="K104" i="159"/>
  <c r="K115" i="159"/>
  <c r="K123" i="159"/>
  <c r="K121" i="159"/>
  <c r="K82" i="159"/>
  <c r="K117" i="159"/>
  <c r="K118" i="159"/>
  <c r="K125" i="159"/>
  <c r="K136" i="159"/>
  <c r="K139" i="159"/>
  <c r="K114" i="159"/>
  <c r="K129" i="159"/>
  <c r="K132" i="159"/>
  <c r="K3" i="159"/>
  <c r="K137" i="159"/>
  <c r="K200" i="159"/>
  <c r="K188" i="159"/>
  <c r="K176" i="159"/>
  <c r="K208" i="159"/>
  <c r="K196" i="159"/>
  <c r="K184" i="159"/>
  <c r="K202" i="159"/>
  <c r="K182" i="159"/>
  <c r="K174" i="159"/>
  <c r="K206" i="159"/>
  <c r="K193" i="159"/>
  <c r="K180" i="159"/>
  <c r="K177" i="159"/>
  <c r="K166" i="159"/>
  <c r="K199" i="159"/>
  <c r="K194" i="159"/>
  <c r="K189" i="159"/>
  <c r="K171" i="159"/>
  <c r="K204" i="159"/>
  <c r="K201" i="159"/>
  <c r="K191" i="159"/>
  <c r="K203" i="159"/>
  <c r="K192" i="159"/>
  <c r="K187" i="159"/>
  <c r="K160" i="159"/>
  <c r="K197" i="159"/>
  <c r="K207" i="159"/>
  <c r="K186" i="159"/>
  <c r="K181" i="159"/>
  <c r="K185" i="159"/>
  <c r="K205" i="159"/>
  <c r="K195" i="159"/>
  <c r="K190" i="159"/>
  <c r="K169" i="159"/>
  <c r="K175" i="159"/>
  <c r="K159" i="159"/>
  <c r="K147" i="159"/>
  <c r="K198" i="159"/>
  <c r="K183" i="159"/>
  <c r="K155" i="159"/>
  <c r="K163" i="159"/>
  <c r="K153" i="159"/>
  <c r="K156" i="159"/>
  <c r="K146" i="159"/>
  <c r="K173" i="159"/>
  <c r="K172" i="159"/>
  <c r="K152" i="159"/>
  <c r="K168" i="159"/>
  <c r="K164" i="159"/>
  <c r="K145" i="159"/>
  <c r="K157" i="159"/>
  <c r="K151" i="159"/>
  <c r="K170" i="159"/>
  <c r="K165" i="159"/>
  <c r="K161" i="159"/>
  <c r="K150" i="159"/>
  <c r="K144" i="159"/>
  <c r="K158" i="159"/>
  <c r="K149" i="159"/>
  <c r="K143" i="159"/>
  <c r="K178" i="159"/>
  <c r="K167" i="159"/>
  <c r="K162" i="159"/>
  <c r="K148" i="159"/>
  <c r="K179" i="159"/>
  <c r="K154" i="159"/>
  <c r="K142" i="159"/>
  <c r="L1" i="159"/>
  <c r="L113" i="159" s="1"/>
  <c r="T147" i="156"/>
  <c r="T143" i="156"/>
  <c r="T137" i="156"/>
  <c r="T105" i="156"/>
  <c r="T104" i="156"/>
  <c r="T103" i="156"/>
  <c r="T102" i="156"/>
  <c r="T101" i="156"/>
  <c r="T100" i="156"/>
  <c r="L141" i="159" l="1"/>
  <c r="L13" i="159"/>
  <c r="L8" i="159"/>
  <c r="L21" i="159"/>
  <c r="L33" i="159"/>
  <c r="L10" i="159"/>
  <c r="L23" i="159"/>
  <c r="L35" i="159"/>
  <c r="L12" i="159"/>
  <c r="L25" i="159"/>
  <c r="L37" i="159"/>
  <c r="L15" i="159"/>
  <c r="L27" i="159"/>
  <c r="L9" i="159"/>
  <c r="L22" i="159"/>
  <c r="L34" i="159"/>
  <c r="L4" i="159"/>
  <c r="L17" i="159"/>
  <c r="L29" i="159"/>
  <c r="L11" i="159"/>
  <c r="L24" i="159"/>
  <c r="L36" i="159"/>
  <c r="L6" i="159"/>
  <c r="L19" i="159"/>
  <c r="L31" i="159"/>
  <c r="L14" i="159"/>
  <c r="L26" i="159"/>
  <c r="L16" i="159"/>
  <c r="L39" i="159"/>
  <c r="L41" i="159"/>
  <c r="L53" i="159"/>
  <c r="L7" i="159"/>
  <c r="L5" i="159"/>
  <c r="L18" i="159"/>
  <c r="L43" i="159"/>
  <c r="L55" i="159"/>
  <c r="L32" i="159"/>
  <c r="L38" i="159"/>
  <c r="L45" i="159"/>
  <c r="L57" i="159"/>
  <c r="L40" i="159"/>
  <c r="L52" i="159"/>
  <c r="L20" i="159"/>
  <c r="L42" i="159"/>
  <c r="L62" i="159"/>
  <c r="L69" i="159"/>
  <c r="L48" i="159"/>
  <c r="L28" i="159"/>
  <c r="L71" i="159"/>
  <c r="L47" i="159"/>
  <c r="L51" i="159"/>
  <c r="L66" i="159"/>
  <c r="L54" i="159"/>
  <c r="L58" i="159"/>
  <c r="L68" i="159"/>
  <c r="L50" i="159"/>
  <c r="L63" i="159"/>
  <c r="L70" i="159"/>
  <c r="L44" i="159"/>
  <c r="L46" i="159"/>
  <c r="L65" i="159"/>
  <c r="L49" i="159"/>
  <c r="L83" i="159"/>
  <c r="L56" i="159"/>
  <c r="L64" i="159"/>
  <c r="L85" i="159"/>
  <c r="L97" i="159"/>
  <c r="L30" i="159"/>
  <c r="L61" i="159"/>
  <c r="L67" i="159"/>
  <c r="L80" i="159"/>
  <c r="L59" i="159"/>
  <c r="L82" i="159"/>
  <c r="L94" i="159"/>
  <c r="L75" i="159"/>
  <c r="L76" i="159"/>
  <c r="L89" i="159"/>
  <c r="L72" i="159"/>
  <c r="L84" i="159"/>
  <c r="L96" i="159"/>
  <c r="L77" i="159"/>
  <c r="L79" i="159"/>
  <c r="L91" i="159"/>
  <c r="L88" i="159"/>
  <c r="L100" i="159"/>
  <c r="L111" i="159"/>
  <c r="L81" i="159"/>
  <c r="L90" i="159"/>
  <c r="L92" i="159"/>
  <c r="L98" i="159"/>
  <c r="L108" i="159"/>
  <c r="L101" i="159"/>
  <c r="L103" i="159"/>
  <c r="L60" i="159"/>
  <c r="L74" i="159"/>
  <c r="L86" i="159"/>
  <c r="L110" i="159"/>
  <c r="L93" i="159"/>
  <c r="L105" i="159"/>
  <c r="L117" i="159"/>
  <c r="L132" i="159"/>
  <c r="L114" i="159"/>
  <c r="L116" i="159"/>
  <c r="L129" i="159"/>
  <c r="L87" i="159"/>
  <c r="L95" i="159"/>
  <c r="L99" i="159"/>
  <c r="L122" i="159"/>
  <c r="L124" i="159"/>
  <c r="L78" i="159"/>
  <c r="L126" i="159"/>
  <c r="L102" i="159"/>
  <c r="L119" i="159"/>
  <c r="L128" i="159"/>
  <c r="L121" i="159"/>
  <c r="L73" i="159"/>
  <c r="L138" i="159"/>
  <c r="L140" i="159"/>
  <c r="L104" i="159"/>
  <c r="L130" i="159"/>
  <c r="L109" i="159"/>
  <c r="L120" i="159"/>
  <c r="L133" i="159"/>
  <c r="L134" i="159"/>
  <c r="L3" i="159"/>
  <c r="L107" i="159"/>
  <c r="L135" i="159"/>
  <c r="L106" i="159"/>
  <c r="L115" i="159"/>
  <c r="L123" i="159"/>
  <c r="L118" i="159"/>
  <c r="L125" i="159"/>
  <c r="L127" i="159"/>
  <c r="L136" i="159"/>
  <c r="L139" i="159"/>
  <c r="L112" i="159"/>
  <c r="L131" i="159"/>
  <c r="L137" i="159"/>
  <c r="L205" i="159"/>
  <c r="L193" i="159"/>
  <c r="L181" i="159"/>
  <c r="L201" i="159"/>
  <c r="L189" i="159"/>
  <c r="L177" i="159"/>
  <c r="L208" i="159"/>
  <c r="L195" i="159"/>
  <c r="L199" i="159"/>
  <c r="L186" i="159"/>
  <c r="L175" i="159"/>
  <c r="L192" i="159"/>
  <c r="L187" i="159"/>
  <c r="L182" i="159"/>
  <c r="L174" i="159"/>
  <c r="L204" i="159"/>
  <c r="L165" i="159"/>
  <c r="L185" i="159"/>
  <c r="L180" i="159"/>
  <c r="L206" i="159"/>
  <c r="L196" i="159"/>
  <c r="L197" i="159"/>
  <c r="L172" i="159"/>
  <c r="L207" i="159"/>
  <c r="L202" i="159"/>
  <c r="L191" i="159"/>
  <c r="L190" i="159"/>
  <c r="L200" i="159"/>
  <c r="L159" i="159"/>
  <c r="L179" i="159"/>
  <c r="L168" i="159"/>
  <c r="L164" i="159"/>
  <c r="L152" i="159"/>
  <c r="L198" i="159"/>
  <c r="L188" i="159"/>
  <c r="L183" i="159"/>
  <c r="L203" i="159"/>
  <c r="L166" i="159"/>
  <c r="L160" i="159"/>
  <c r="L148" i="159"/>
  <c r="L156" i="159"/>
  <c r="L146" i="159"/>
  <c r="L173" i="159"/>
  <c r="L145" i="159"/>
  <c r="L194" i="159"/>
  <c r="L171" i="159"/>
  <c r="L157" i="159"/>
  <c r="L151" i="159"/>
  <c r="L176" i="159"/>
  <c r="L170" i="159"/>
  <c r="L161" i="159"/>
  <c r="L150" i="159"/>
  <c r="L144" i="159"/>
  <c r="L158" i="159"/>
  <c r="L149" i="159"/>
  <c r="L143" i="159"/>
  <c r="L178" i="159"/>
  <c r="L167" i="159"/>
  <c r="L162" i="159"/>
  <c r="L184" i="159"/>
  <c r="L155" i="159"/>
  <c r="L169" i="159"/>
  <c r="L154" i="159"/>
  <c r="L142" i="159"/>
  <c r="L163" i="159"/>
  <c r="L153" i="159"/>
  <c r="L147" i="159"/>
  <c r="M1" i="159"/>
  <c r="M113" i="159" s="1"/>
  <c r="T45" i="156"/>
  <c r="T43" i="156"/>
  <c r="M141" i="159" l="1"/>
  <c r="M13" i="159"/>
  <c r="M14" i="159"/>
  <c r="M26" i="159"/>
  <c r="M8" i="159"/>
  <c r="M16" i="159"/>
  <c r="M28" i="159"/>
  <c r="M5" i="159"/>
  <c r="M18" i="159"/>
  <c r="M30" i="159"/>
  <c r="M7" i="159"/>
  <c r="M20" i="159"/>
  <c r="M32" i="159"/>
  <c r="M15" i="159"/>
  <c r="M27" i="159"/>
  <c r="M9" i="159"/>
  <c r="M22" i="159"/>
  <c r="M34" i="159"/>
  <c r="M4" i="159"/>
  <c r="M17" i="159"/>
  <c r="M29" i="159"/>
  <c r="M11" i="159"/>
  <c r="M24" i="159"/>
  <c r="M36" i="159"/>
  <c r="M6" i="159"/>
  <c r="M19" i="159"/>
  <c r="M31" i="159"/>
  <c r="M33" i="159"/>
  <c r="M44" i="159"/>
  <c r="M12" i="159"/>
  <c r="M46" i="159"/>
  <c r="M58" i="159"/>
  <c r="M35" i="159"/>
  <c r="M48" i="159"/>
  <c r="M43" i="159"/>
  <c r="M38" i="159"/>
  <c r="M50" i="159"/>
  <c r="M23" i="159"/>
  <c r="M45" i="159"/>
  <c r="M57" i="159"/>
  <c r="M10" i="159"/>
  <c r="M59" i="159"/>
  <c r="M74" i="159"/>
  <c r="M42" i="159"/>
  <c r="M55" i="159"/>
  <c r="M64" i="159"/>
  <c r="M76" i="159"/>
  <c r="M39" i="159"/>
  <c r="M71" i="159"/>
  <c r="M21" i="159"/>
  <c r="M47" i="159"/>
  <c r="M51" i="159"/>
  <c r="M25" i="159"/>
  <c r="M40" i="159"/>
  <c r="M54" i="159"/>
  <c r="M73" i="159"/>
  <c r="M68" i="159"/>
  <c r="M63" i="159"/>
  <c r="M70" i="159"/>
  <c r="M62" i="159"/>
  <c r="M41" i="159"/>
  <c r="M49" i="159"/>
  <c r="M65" i="159"/>
  <c r="M56" i="159"/>
  <c r="M78" i="159"/>
  <c r="M90" i="159"/>
  <c r="M66" i="159"/>
  <c r="M85" i="159"/>
  <c r="M61" i="159"/>
  <c r="M52" i="159"/>
  <c r="M87" i="159"/>
  <c r="M69" i="159"/>
  <c r="M82" i="159"/>
  <c r="M94" i="159"/>
  <c r="M75" i="159"/>
  <c r="M89" i="159"/>
  <c r="M72" i="159"/>
  <c r="M84" i="159"/>
  <c r="M96" i="159"/>
  <c r="M77" i="159"/>
  <c r="M104" i="159"/>
  <c r="M117" i="159"/>
  <c r="M80" i="159"/>
  <c r="M88" i="159"/>
  <c r="M37" i="159"/>
  <c r="M114" i="159"/>
  <c r="M67" i="159"/>
  <c r="M83" i="159"/>
  <c r="M98" i="159"/>
  <c r="M108" i="159"/>
  <c r="M101" i="159"/>
  <c r="M103" i="159"/>
  <c r="M116" i="159"/>
  <c r="M60" i="159"/>
  <c r="M86" i="159"/>
  <c r="M91" i="159"/>
  <c r="M110" i="159"/>
  <c r="M79" i="159"/>
  <c r="M121" i="159"/>
  <c r="M125" i="159"/>
  <c r="M137" i="159"/>
  <c r="M93" i="159"/>
  <c r="M97" i="159"/>
  <c r="M109" i="159"/>
  <c r="M111" i="159"/>
  <c r="M119" i="159"/>
  <c r="M129" i="159"/>
  <c r="M53" i="159"/>
  <c r="M95" i="159"/>
  <c r="M99" i="159"/>
  <c r="M122" i="159"/>
  <c r="M124" i="159"/>
  <c r="M131" i="159"/>
  <c r="M102" i="159"/>
  <c r="M126" i="159"/>
  <c r="M128" i="159"/>
  <c r="M112" i="159"/>
  <c r="M130" i="159"/>
  <c r="M138" i="159"/>
  <c r="M140" i="159"/>
  <c r="M81" i="159"/>
  <c r="M120" i="159"/>
  <c r="M133" i="159"/>
  <c r="M134" i="159"/>
  <c r="M139" i="159"/>
  <c r="M92" i="159"/>
  <c r="M105" i="159"/>
  <c r="M127" i="159"/>
  <c r="M132" i="159"/>
  <c r="M107" i="159"/>
  <c r="M135" i="159"/>
  <c r="M136" i="159"/>
  <c r="M106" i="159"/>
  <c r="M115" i="159"/>
  <c r="M123" i="159"/>
  <c r="M118" i="159"/>
  <c r="M3" i="159"/>
  <c r="M100" i="159"/>
  <c r="M198" i="159"/>
  <c r="M186" i="159"/>
  <c r="M206" i="159"/>
  <c r="M194" i="159"/>
  <c r="M182" i="159"/>
  <c r="M201" i="159"/>
  <c r="M188" i="159"/>
  <c r="M172" i="159"/>
  <c r="M192" i="159"/>
  <c r="M179" i="159"/>
  <c r="M197" i="159"/>
  <c r="M173" i="159"/>
  <c r="M185" i="159"/>
  <c r="M180" i="159"/>
  <c r="M170" i="159"/>
  <c r="M190" i="159"/>
  <c r="M187" i="159"/>
  <c r="M177" i="159"/>
  <c r="M174" i="159"/>
  <c r="M207" i="159"/>
  <c r="M202" i="159"/>
  <c r="M165" i="159"/>
  <c r="M158" i="159"/>
  <c r="M191" i="159"/>
  <c r="M196" i="159"/>
  <c r="M205" i="159"/>
  <c r="M200" i="159"/>
  <c r="M195" i="159"/>
  <c r="M175" i="159"/>
  <c r="M168" i="159"/>
  <c r="M164" i="159"/>
  <c r="M184" i="159"/>
  <c r="M171" i="159"/>
  <c r="M157" i="159"/>
  <c r="M145" i="159"/>
  <c r="M142" i="159"/>
  <c r="M204" i="159"/>
  <c r="M199" i="159"/>
  <c r="M203" i="159"/>
  <c r="M193" i="159"/>
  <c r="M208" i="159"/>
  <c r="M153" i="159"/>
  <c r="M143" i="159"/>
  <c r="M166" i="159"/>
  <c r="M160" i="159"/>
  <c r="M152" i="159"/>
  <c r="M189" i="159"/>
  <c r="M151" i="159"/>
  <c r="M176" i="159"/>
  <c r="M183" i="159"/>
  <c r="M161" i="159"/>
  <c r="M150" i="159"/>
  <c r="M144" i="159"/>
  <c r="M181" i="159"/>
  <c r="M149" i="159"/>
  <c r="M178" i="159"/>
  <c r="M167" i="159"/>
  <c r="M162" i="159"/>
  <c r="M155" i="159"/>
  <c r="M148" i="159"/>
  <c r="M169" i="159"/>
  <c r="M154" i="159"/>
  <c r="M163" i="159"/>
  <c r="M159" i="159"/>
  <c r="M147" i="159"/>
  <c r="M156" i="159"/>
  <c r="M146" i="159"/>
  <c r="N1" i="159"/>
  <c r="N113" i="159" s="1"/>
  <c r="T39" i="156"/>
  <c r="T40" i="156"/>
  <c r="T41" i="156"/>
  <c r="T42" i="156"/>
  <c r="T38" i="156"/>
  <c r="N141" i="159" l="1"/>
  <c r="N13" i="159"/>
  <c r="N6" i="159"/>
  <c r="N19" i="159"/>
  <c r="N31" i="159"/>
  <c r="N8" i="159"/>
  <c r="N21" i="159"/>
  <c r="N33" i="159"/>
  <c r="N10" i="159"/>
  <c r="N23" i="159"/>
  <c r="N35" i="159"/>
  <c r="N12" i="159"/>
  <c r="N25" i="159"/>
  <c r="N37" i="159"/>
  <c r="N7" i="159"/>
  <c r="N20" i="159"/>
  <c r="N32" i="159"/>
  <c r="N15" i="159"/>
  <c r="N27" i="159"/>
  <c r="N9" i="159"/>
  <c r="N22" i="159"/>
  <c r="N34" i="159"/>
  <c r="N4" i="159"/>
  <c r="N17" i="159"/>
  <c r="N29" i="159"/>
  <c r="N11" i="159"/>
  <c r="N24" i="159"/>
  <c r="N36" i="159"/>
  <c r="N30" i="159"/>
  <c r="N39" i="159"/>
  <c r="N51" i="159"/>
  <c r="N41" i="159"/>
  <c r="N53" i="159"/>
  <c r="N5" i="159"/>
  <c r="N18" i="159"/>
  <c r="N26" i="159"/>
  <c r="N43" i="159"/>
  <c r="N55" i="159"/>
  <c r="N38" i="159"/>
  <c r="N50" i="159"/>
  <c r="N28" i="159"/>
  <c r="N16" i="159"/>
  <c r="N52" i="159"/>
  <c r="N56" i="159"/>
  <c r="N60" i="159"/>
  <c r="N67" i="159"/>
  <c r="N59" i="159"/>
  <c r="N42" i="159"/>
  <c r="N48" i="159"/>
  <c r="N62" i="159"/>
  <c r="N69" i="159"/>
  <c r="N64" i="159"/>
  <c r="N76" i="159"/>
  <c r="N14" i="159"/>
  <c r="N47" i="159"/>
  <c r="N58" i="159"/>
  <c r="N66" i="159"/>
  <c r="N40" i="159"/>
  <c r="N54" i="159"/>
  <c r="N73" i="159"/>
  <c r="N57" i="159"/>
  <c r="N68" i="159"/>
  <c r="N63" i="159"/>
  <c r="N44" i="159"/>
  <c r="N81" i="159"/>
  <c r="N49" i="159"/>
  <c r="N65" i="159"/>
  <c r="N83" i="159"/>
  <c r="N95" i="159"/>
  <c r="N78" i="159"/>
  <c r="N45" i="159"/>
  <c r="N61" i="159"/>
  <c r="N80" i="159"/>
  <c r="N92" i="159"/>
  <c r="N70" i="159"/>
  <c r="N87" i="159"/>
  <c r="N82" i="159"/>
  <c r="N94" i="159"/>
  <c r="N71" i="159"/>
  <c r="N75" i="159"/>
  <c r="N89" i="159"/>
  <c r="N46" i="159"/>
  <c r="N79" i="159"/>
  <c r="N109" i="159"/>
  <c r="N122" i="159"/>
  <c r="N106" i="159"/>
  <c r="N84" i="159"/>
  <c r="N114" i="159"/>
  <c r="N98" i="159"/>
  <c r="N108" i="159"/>
  <c r="N72" i="159"/>
  <c r="N74" i="159"/>
  <c r="N85" i="159"/>
  <c r="N101" i="159"/>
  <c r="N103" i="159"/>
  <c r="N116" i="159"/>
  <c r="N91" i="159"/>
  <c r="N77" i="159"/>
  <c r="N100" i="159"/>
  <c r="N118" i="159"/>
  <c r="N130" i="159"/>
  <c r="N88" i="159"/>
  <c r="N96" i="159"/>
  <c r="N107" i="159"/>
  <c r="N127" i="159"/>
  <c r="N90" i="159"/>
  <c r="N111" i="159"/>
  <c r="N119" i="159"/>
  <c r="N129" i="159"/>
  <c r="N99" i="159"/>
  <c r="N124" i="159"/>
  <c r="N136" i="159"/>
  <c r="N131" i="159"/>
  <c r="N137" i="159"/>
  <c r="N93" i="159"/>
  <c r="N110" i="159"/>
  <c r="N105" i="159"/>
  <c r="N102" i="159"/>
  <c r="N126" i="159"/>
  <c r="N128" i="159"/>
  <c r="N86" i="159"/>
  <c r="N97" i="159"/>
  <c r="N138" i="159"/>
  <c r="N140" i="159"/>
  <c r="N120" i="159"/>
  <c r="N133" i="159"/>
  <c r="N134" i="159"/>
  <c r="N115" i="159"/>
  <c r="N123" i="159"/>
  <c r="N117" i="159"/>
  <c r="N135" i="159"/>
  <c r="N125" i="159"/>
  <c r="N132" i="159"/>
  <c r="N3" i="159"/>
  <c r="N121" i="159"/>
  <c r="N112" i="159"/>
  <c r="N104" i="159"/>
  <c r="N139" i="159"/>
  <c r="N203" i="159"/>
  <c r="N191" i="159"/>
  <c r="N179" i="159"/>
  <c r="N199" i="159"/>
  <c r="N187" i="159"/>
  <c r="N207" i="159"/>
  <c r="N194" i="159"/>
  <c r="N181" i="159"/>
  <c r="N205" i="159"/>
  <c r="N185" i="159"/>
  <c r="N173" i="159"/>
  <c r="N202" i="159"/>
  <c r="N178" i="159"/>
  <c r="N169" i="159"/>
  <c r="N190" i="159"/>
  <c r="N200" i="159"/>
  <c r="N195" i="159"/>
  <c r="N197" i="159"/>
  <c r="N192" i="159"/>
  <c r="N182" i="159"/>
  <c r="N163" i="159"/>
  <c r="N196" i="159"/>
  <c r="N206" i="159"/>
  <c r="N201" i="159"/>
  <c r="N184" i="159"/>
  <c r="N171" i="159"/>
  <c r="N157" i="159"/>
  <c r="N204" i="159"/>
  <c r="N189" i="159"/>
  <c r="N167" i="159"/>
  <c r="N162" i="159"/>
  <c r="N150" i="159"/>
  <c r="N198" i="159"/>
  <c r="N208" i="159"/>
  <c r="N177" i="159"/>
  <c r="N174" i="159"/>
  <c r="N172" i="159"/>
  <c r="N165" i="159"/>
  <c r="N158" i="159"/>
  <c r="N146" i="159"/>
  <c r="N186" i="159"/>
  <c r="N166" i="159"/>
  <c r="N160" i="159"/>
  <c r="N152" i="159"/>
  <c r="N180" i="159"/>
  <c r="N151" i="159"/>
  <c r="N145" i="159"/>
  <c r="N176" i="159"/>
  <c r="N175" i="159"/>
  <c r="N168" i="159"/>
  <c r="N164" i="159"/>
  <c r="N183" i="159"/>
  <c r="N170" i="159"/>
  <c r="N161" i="159"/>
  <c r="N144" i="159"/>
  <c r="N193" i="159"/>
  <c r="N188" i="159"/>
  <c r="N149" i="159"/>
  <c r="N143" i="159"/>
  <c r="N155" i="159"/>
  <c r="N148" i="159"/>
  <c r="N154" i="159"/>
  <c r="N159" i="159"/>
  <c r="N147" i="159"/>
  <c r="N142" i="159"/>
  <c r="N156" i="159"/>
  <c r="N153" i="159"/>
  <c r="O1" i="159"/>
  <c r="O113" i="159" s="1"/>
  <c r="T53" i="156"/>
  <c r="O141" i="159" l="1"/>
  <c r="O13" i="159"/>
  <c r="O11" i="159"/>
  <c r="O24" i="159"/>
  <c r="O36" i="159"/>
  <c r="O6" i="159"/>
  <c r="O14" i="159"/>
  <c r="O26" i="159"/>
  <c r="O16" i="159"/>
  <c r="O28" i="159"/>
  <c r="O5" i="159"/>
  <c r="O18" i="159"/>
  <c r="O30" i="159"/>
  <c r="O12" i="159"/>
  <c r="O25" i="159"/>
  <c r="O37" i="159"/>
  <c r="O7" i="159"/>
  <c r="O20" i="159"/>
  <c r="O32" i="159"/>
  <c r="O15" i="159"/>
  <c r="O27" i="159"/>
  <c r="O9" i="159"/>
  <c r="O22" i="159"/>
  <c r="O34" i="159"/>
  <c r="O4" i="159"/>
  <c r="O17" i="159"/>
  <c r="O29" i="159"/>
  <c r="O19" i="159"/>
  <c r="O42" i="159"/>
  <c r="O44" i="159"/>
  <c r="O56" i="159"/>
  <c r="O21" i="159"/>
  <c r="O46" i="159"/>
  <c r="O58" i="159"/>
  <c r="O35" i="159"/>
  <c r="O41" i="159"/>
  <c r="O48" i="159"/>
  <c r="O60" i="159"/>
  <c r="O43" i="159"/>
  <c r="O55" i="159"/>
  <c r="O31" i="159"/>
  <c r="O45" i="159"/>
  <c r="O49" i="159"/>
  <c r="O61" i="159"/>
  <c r="O72" i="159"/>
  <c r="O52" i="159"/>
  <c r="O59" i="159"/>
  <c r="O74" i="159"/>
  <c r="O8" i="159"/>
  <c r="O62" i="159"/>
  <c r="O69" i="159"/>
  <c r="O39" i="159"/>
  <c r="O51" i="159"/>
  <c r="O71" i="159"/>
  <c r="O47" i="159"/>
  <c r="O66" i="159"/>
  <c r="O40" i="159"/>
  <c r="O50" i="159"/>
  <c r="O54" i="159"/>
  <c r="O73" i="159"/>
  <c r="O10" i="159"/>
  <c r="O57" i="159"/>
  <c r="O68" i="159"/>
  <c r="O63" i="159"/>
  <c r="O86" i="159"/>
  <c r="O38" i="159"/>
  <c r="O64" i="159"/>
  <c r="O88" i="159"/>
  <c r="O100" i="159"/>
  <c r="O65" i="159"/>
  <c r="O83" i="159"/>
  <c r="O67" i="159"/>
  <c r="O85" i="159"/>
  <c r="O97" i="159"/>
  <c r="O33" i="159"/>
  <c r="O80" i="159"/>
  <c r="O92" i="159"/>
  <c r="O70" i="159"/>
  <c r="O76" i="159"/>
  <c r="O87" i="159"/>
  <c r="O82" i="159"/>
  <c r="O94" i="159"/>
  <c r="O77" i="159"/>
  <c r="O78" i="159"/>
  <c r="O102" i="159"/>
  <c r="O115" i="159"/>
  <c r="O79" i="159"/>
  <c r="O81" i="159"/>
  <c r="O90" i="159"/>
  <c r="O111" i="159"/>
  <c r="O106" i="159"/>
  <c r="O84" i="159"/>
  <c r="O114" i="159"/>
  <c r="O98" i="159"/>
  <c r="O108" i="159"/>
  <c r="O23" i="159"/>
  <c r="O123" i="159"/>
  <c r="O135" i="159"/>
  <c r="O75" i="159"/>
  <c r="O93" i="159"/>
  <c r="O101" i="159"/>
  <c r="O105" i="159"/>
  <c r="O132" i="159"/>
  <c r="O96" i="159"/>
  <c r="O107" i="159"/>
  <c r="O109" i="159"/>
  <c r="O116" i="159"/>
  <c r="O127" i="159"/>
  <c r="O119" i="159"/>
  <c r="O53" i="159"/>
  <c r="O95" i="159"/>
  <c r="O122" i="159"/>
  <c r="O129" i="159"/>
  <c r="O104" i="159"/>
  <c r="O112" i="159"/>
  <c r="O121" i="159"/>
  <c r="O3" i="159"/>
  <c r="O103" i="159"/>
  <c r="O131" i="159"/>
  <c r="O137" i="159"/>
  <c r="O110" i="159"/>
  <c r="O124" i="159"/>
  <c r="O118" i="159"/>
  <c r="O99" i="159"/>
  <c r="O126" i="159"/>
  <c r="O128" i="159"/>
  <c r="O125" i="159"/>
  <c r="O130" i="159"/>
  <c r="O117" i="159"/>
  <c r="O138" i="159"/>
  <c r="O140" i="159"/>
  <c r="O91" i="159"/>
  <c r="O120" i="159"/>
  <c r="O133" i="159"/>
  <c r="O134" i="159"/>
  <c r="O89" i="159"/>
  <c r="O136" i="159"/>
  <c r="O139" i="159"/>
  <c r="O208" i="159"/>
  <c r="O196" i="159"/>
  <c r="O184" i="159"/>
  <c r="O204" i="159"/>
  <c r="O192" i="159"/>
  <c r="O180" i="159"/>
  <c r="O200" i="159"/>
  <c r="O187" i="159"/>
  <c r="O170" i="159"/>
  <c r="O198" i="159"/>
  <c r="O178" i="159"/>
  <c r="O207" i="159"/>
  <c r="O183" i="159"/>
  <c r="O195" i="159"/>
  <c r="O168" i="159"/>
  <c r="O205" i="159"/>
  <c r="O176" i="159"/>
  <c r="O175" i="159"/>
  <c r="O202" i="159"/>
  <c r="O173" i="159"/>
  <c r="O156" i="159"/>
  <c r="O191" i="159"/>
  <c r="O206" i="159"/>
  <c r="O201" i="159"/>
  <c r="O190" i="159"/>
  <c r="O185" i="159"/>
  <c r="O189" i="159"/>
  <c r="O179" i="159"/>
  <c r="O167" i="159"/>
  <c r="O162" i="159"/>
  <c r="O199" i="159"/>
  <c r="O194" i="159"/>
  <c r="O155" i="159"/>
  <c r="O203" i="159"/>
  <c r="O197" i="159"/>
  <c r="O182" i="159"/>
  <c r="O163" i="159"/>
  <c r="O151" i="159"/>
  <c r="O145" i="159"/>
  <c r="O174" i="159"/>
  <c r="O172" i="159"/>
  <c r="O164" i="159"/>
  <c r="O171" i="159"/>
  <c r="O161" i="159"/>
  <c r="O157" i="159"/>
  <c r="O144" i="159"/>
  <c r="O150" i="159"/>
  <c r="O193" i="159"/>
  <c r="O188" i="159"/>
  <c r="O149" i="159"/>
  <c r="O181" i="159"/>
  <c r="O177" i="159"/>
  <c r="O165" i="159"/>
  <c r="O158" i="159"/>
  <c r="O143" i="159"/>
  <c r="O148" i="159"/>
  <c r="O154" i="159"/>
  <c r="O169" i="159"/>
  <c r="O159" i="159"/>
  <c r="O147" i="159"/>
  <c r="O142" i="159"/>
  <c r="O153" i="159"/>
  <c r="O146" i="159"/>
  <c r="O186" i="159"/>
  <c r="O166" i="159"/>
  <c r="O160" i="159"/>
  <c r="O152" i="159"/>
  <c r="P1" i="159"/>
  <c r="P113" i="159" s="1"/>
  <c r="T47" i="156"/>
  <c r="T52" i="156"/>
  <c r="P141" i="159" l="1"/>
  <c r="P13" i="159"/>
  <c r="P4" i="159"/>
  <c r="P17" i="159"/>
  <c r="P29" i="159"/>
  <c r="P6" i="159"/>
  <c r="P19" i="159"/>
  <c r="P31" i="159"/>
  <c r="P8" i="159"/>
  <c r="P21" i="159"/>
  <c r="P33" i="159"/>
  <c r="P10" i="159"/>
  <c r="P23" i="159"/>
  <c r="P35" i="159"/>
  <c r="P5" i="159"/>
  <c r="P18" i="159"/>
  <c r="P30" i="159"/>
  <c r="P12" i="159"/>
  <c r="P25" i="159"/>
  <c r="P37" i="159"/>
  <c r="P7" i="159"/>
  <c r="P20" i="159"/>
  <c r="P32" i="159"/>
  <c r="P15" i="159"/>
  <c r="P27" i="159"/>
  <c r="P9" i="159"/>
  <c r="P22" i="159"/>
  <c r="P34" i="159"/>
  <c r="P36" i="159"/>
  <c r="P16" i="159"/>
  <c r="P49" i="159"/>
  <c r="P61" i="159"/>
  <c r="P39" i="159"/>
  <c r="P51" i="159"/>
  <c r="P11" i="159"/>
  <c r="P41" i="159"/>
  <c r="P53" i="159"/>
  <c r="P26" i="159"/>
  <c r="P48" i="159"/>
  <c r="P60" i="159"/>
  <c r="P14" i="159"/>
  <c r="P38" i="159"/>
  <c r="P65" i="159"/>
  <c r="P45" i="159"/>
  <c r="P56" i="159"/>
  <c r="P24" i="159"/>
  <c r="P52" i="159"/>
  <c r="P67" i="159"/>
  <c r="P28" i="159"/>
  <c r="P42" i="159"/>
  <c r="P55" i="159"/>
  <c r="P59" i="159"/>
  <c r="P74" i="159"/>
  <c r="P43" i="159"/>
  <c r="P64" i="159"/>
  <c r="P58" i="159"/>
  <c r="P71" i="159"/>
  <c r="P47" i="159"/>
  <c r="P66" i="159"/>
  <c r="P40" i="159"/>
  <c r="P50" i="159"/>
  <c r="P54" i="159"/>
  <c r="P73" i="159"/>
  <c r="P77" i="159"/>
  <c r="P79" i="159"/>
  <c r="P44" i="159"/>
  <c r="P62" i="159"/>
  <c r="P63" i="159"/>
  <c r="P81" i="159"/>
  <c r="P93" i="159"/>
  <c r="P68" i="159"/>
  <c r="P78" i="159"/>
  <c r="P90" i="159"/>
  <c r="P57" i="159"/>
  <c r="P85" i="159"/>
  <c r="P97" i="159"/>
  <c r="P69" i="159"/>
  <c r="P80" i="159"/>
  <c r="P92" i="159"/>
  <c r="P70" i="159"/>
  <c r="P76" i="159"/>
  <c r="P87" i="159"/>
  <c r="P95" i="159"/>
  <c r="P107" i="159"/>
  <c r="P120" i="159"/>
  <c r="P75" i="159"/>
  <c r="P82" i="159"/>
  <c r="P88" i="159"/>
  <c r="P96" i="159"/>
  <c r="P100" i="159"/>
  <c r="P104" i="159"/>
  <c r="P117" i="159"/>
  <c r="P111" i="159"/>
  <c r="P83" i="159"/>
  <c r="P106" i="159"/>
  <c r="P84" i="159"/>
  <c r="P114" i="159"/>
  <c r="P94" i="159"/>
  <c r="P86" i="159"/>
  <c r="P91" i="159"/>
  <c r="P128" i="159"/>
  <c r="P46" i="159"/>
  <c r="P103" i="159"/>
  <c r="P121" i="159"/>
  <c r="P125" i="159"/>
  <c r="P101" i="159"/>
  <c r="P105" i="159"/>
  <c r="P132" i="159"/>
  <c r="P109" i="159"/>
  <c r="P116" i="159"/>
  <c r="P127" i="159"/>
  <c r="P72" i="159"/>
  <c r="P119" i="159"/>
  <c r="P134" i="159"/>
  <c r="P89" i="159"/>
  <c r="P139" i="159"/>
  <c r="P112" i="159"/>
  <c r="P3" i="159"/>
  <c r="P115" i="159"/>
  <c r="P131" i="159"/>
  <c r="P137" i="159"/>
  <c r="P102" i="159"/>
  <c r="P110" i="159"/>
  <c r="P122" i="159"/>
  <c r="P124" i="159"/>
  <c r="P99" i="159"/>
  <c r="P126" i="159"/>
  <c r="P108" i="159"/>
  <c r="P130" i="159"/>
  <c r="P138" i="159"/>
  <c r="P140" i="159"/>
  <c r="P129" i="159"/>
  <c r="P123" i="159"/>
  <c r="P133" i="159"/>
  <c r="P98" i="159"/>
  <c r="P135" i="159"/>
  <c r="P118" i="159"/>
  <c r="P136" i="159"/>
  <c r="P201" i="159"/>
  <c r="P189" i="159"/>
  <c r="P177" i="159"/>
  <c r="P197" i="159"/>
  <c r="P185" i="159"/>
  <c r="P206" i="159"/>
  <c r="P193" i="159"/>
  <c r="P180" i="159"/>
  <c r="P175" i="159"/>
  <c r="P204" i="159"/>
  <c r="P191" i="159"/>
  <c r="P171" i="159"/>
  <c r="P188" i="159"/>
  <c r="P172" i="159"/>
  <c r="P167" i="159"/>
  <c r="P205" i="159"/>
  <c r="P200" i="159"/>
  <c r="P176" i="159"/>
  <c r="P186" i="159"/>
  <c r="P181" i="159"/>
  <c r="P207" i="159"/>
  <c r="P183" i="159"/>
  <c r="P178" i="159"/>
  <c r="P161" i="159"/>
  <c r="P196" i="159"/>
  <c r="P190" i="159"/>
  <c r="P195" i="159"/>
  <c r="P184" i="159"/>
  <c r="P199" i="159"/>
  <c r="P194" i="159"/>
  <c r="P155" i="159"/>
  <c r="P166" i="159"/>
  <c r="P160" i="159"/>
  <c r="P148" i="159"/>
  <c r="P203" i="159"/>
  <c r="P198" i="159"/>
  <c r="P208" i="159"/>
  <c r="P182" i="159"/>
  <c r="P202" i="159"/>
  <c r="P192" i="159"/>
  <c r="P187" i="159"/>
  <c r="P156" i="159"/>
  <c r="P174" i="159"/>
  <c r="P173" i="159"/>
  <c r="P164" i="159"/>
  <c r="P151" i="159"/>
  <c r="P168" i="159"/>
  <c r="P157" i="159"/>
  <c r="P144" i="159"/>
  <c r="P170" i="159"/>
  <c r="P150" i="159"/>
  <c r="P149" i="159"/>
  <c r="P165" i="159"/>
  <c r="P158" i="159"/>
  <c r="P143" i="159"/>
  <c r="P162" i="159"/>
  <c r="P154" i="159"/>
  <c r="P169" i="159"/>
  <c r="P159" i="159"/>
  <c r="P147" i="159"/>
  <c r="P142" i="159"/>
  <c r="P153" i="159"/>
  <c r="P163" i="159"/>
  <c r="P146" i="159"/>
  <c r="P179" i="159"/>
  <c r="P152" i="159"/>
  <c r="P145" i="159"/>
  <c r="Q1" i="159"/>
  <c r="Q113" i="159" s="1"/>
  <c r="T65" i="156"/>
  <c r="T63" i="156"/>
  <c r="T35" i="156"/>
  <c r="T34" i="156"/>
  <c r="Q141" i="159" l="1"/>
  <c r="Q13" i="159"/>
  <c r="Q9" i="159"/>
  <c r="Q22" i="159"/>
  <c r="Q34" i="159"/>
  <c r="Q4" i="159"/>
  <c r="Q11" i="159"/>
  <c r="Q24" i="159"/>
  <c r="Q36" i="159"/>
  <c r="Q14" i="159"/>
  <c r="Q26" i="159"/>
  <c r="Q16" i="159"/>
  <c r="Q28" i="159"/>
  <c r="Q10" i="159"/>
  <c r="Q23" i="159"/>
  <c r="Q35" i="159"/>
  <c r="Q5" i="159"/>
  <c r="Q18" i="159"/>
  <c r="Q30" i="159"/>
  <c r="Q12" i="159"/>
  <c r="Q25" i="159"/>
  <c r="Q37" i="159"/>
  <c r="Q7" i="159"/>
  <c r="Q20" i="159"/>
  <c r="Q32" i="159"/>
  <c r="Q15" i="159"/>
  <c r="Q27" i="159"/>
  <c r="Q40" i="159"/>
  <c r="Q33" i="159"/>
  <c r="Q42" i="159"/>
  <c r="Q54" i="159"/>
  <c r="Q44" i="159"/>
  <c r="Q56" i="159"/>
  <c r="Q21" i="159"/>
  <c r="Q39" i="159"/>
  <c r="Q29" i="159"/>
  <c r="Q46" i="159"/>
  <c r="Q58" i="159"/>
  <c r="Q41" i="159"/>
  <c r="Q53" i="159"/>
  <c r="Q6" i="159"/>
  <c r="Q70" i="159"/>
  <c r="Q31" i="159"/>
  <c r="Q38" i="159"/>
  <c r="Q49" i="159"/>
  <c r="Q60" i="159"/>
  <c r="Q61" i="159"/>
  <c r="Q45" i="159"/>
  <c r="Q72" i="159"/>
  <c r="Q17" i="159"/>
  <c r="Q48" i="159"/>
  <c r="Q52" i="159"/>
  <c r="Q67" i="159"/>
  <c r="Q8" i="159"/>
  <c r="Q55" i="159"/>
  <c r="Q59" i="159"/>
  <c r="Q62" i="159"/>
  <c r="Q69" i="159"/>
  <c r="Q43" i="159"/>
  <c r="Q51" i="159"/>
  <c r="Q64" i="159"/>
  <c r="Q71" i="159"/>
  <c r="Q47" i="159"/>
  <c r="Q66" i="159"/>
  <c r="Q74" i="159"/>
  <c r="Q84" i="159"/>
  <c r="Q63" i="159"/>
  <c r="Q86" i="159"/>
  <c r="Q98" i="159"/>
  <c r="Q81" i="159"/>
  <c r="Q65" i="159"/>
  <c r="Q83" i="159"/>
  <c r="Q95" i="159"/>
  <c r="Q50" i="159"/>
  <c r="Q68" i="159"/>
  <c r="Q78" i="159"/>
  <c r="Q90" i="159"/>
  <c r="Q19" i="159"/>
  <c r="Q57" i="159"/>
  <c r="Q85" i="159"/>
  <c r="Q97" i="159"/>
  <c r="Q80" i="159"/>
  <c r="Q92" i="159"/>
  <c r="Q91" i="159"/>
  <c r="Q93" i="159"/>
  <c r="Q73" i="159"/>
  <c r="Q76" i="159"/>
  <c r="Q99" i="159"/>
  <c r="Q112" i="159"/>
  <c r="Q77" i="159"/>
  <c r="Q94" i="159"/>
  <c r="Q109" i="159"/>
  <c r="Q75" i="159"/>
  <c r="Q82" i="159"/>
  <c r="Q88" i="159"/>
  <c r="Q96" i="159"/>
  <c r="Q100" i="159"/>
  <c r="Q104" i="159"/>
  <c r="Q111" i="159"/>
  <c r="Q106" i="159"/>
  <c r="Q115" i="159"/>
  <c r="Q133" i="159"/>
  <c r="Q117" i="159"/>
  <c r="Q118" i="159"/>
  <c r="Q130" i="159"/>
  <c r="Q103" i="159"/>
  <c r="Q114" i="159"/>
  <c r="Q121" i="159"/>
  <c r="Q125" i="159"/>
  <c r="Q87" i="159"/>
  <c r="Q101" i="159"/>
  <c r="Q105" i="159"/>
  <c r="Q107" i="159"/>
  <c r="Q116" i="159"/>
  <c r="Q127" i="159"/>
  <c r="Q136" i="159"/>
  <c r="Q79" i="159"/>
  <c r="Q89" i="159"/>
  <c r="Q139" i="159"/>
  <c r="Q119" i="159"/>
  <c r="Q3" i="159"/>
  <c r="Q131" i="159"/>
  <c r="Q137" i="159"/>
  <c r="Q102" i="159"/>
  <c r="Q110" i="159"/>
  <c r="Q122" i="159"/>
  <c r="Q124" i="159"/>
  <c r="Q126" i="159"/>
  <c r="Q128" i="159"/>
  <c r="Q108" i="159"/>
  <c r="Q120" i="159"/>
  <c r="Q134" i="159"/>
  <c r="Q138" i="159"/>
  <c r="Q140" i="159"/>
  <c r="Q135" i="159"/>
  <c r="Q132" i="159"/>
  <c r="Q129" i="159"/>
  <c r="Q123" i="159"/>
  <c r="Q206" i="159"/>
  <c r="Q194" i="159"/>
  <c r="Q182" i="159"/>
  <c r="Q202" i="159"/>
  <c r="Q190" i="159"/>
  <c r="Q178" i="159"/>
  <c r="Q199" i="159"/>
  <c r="Q186" i="159"/>
  <c r="Q197" i="159"/>
  <c r="Q184" i="159"/>
  <c r="Q203" i="159"/>
  <c r="Q198" i="159"/>
  <c r="Q193" i="159"/>
  <c r="Q181" i="159"/>
  <c r="Q175" i="159"/>
  <c r="Q166" i="159"/>
  <c r="Q196" i="159"/>
  <c r="Q191" i="159"/>
  <c r="Q174" i="159"/>
  <c r="Q188" i="159"/>
  <c r="Q172" i="159"/>
  <c r="Q176" i="159"/>
  <c r="Q170" i="159"/>
  <c r="Q201" i="159"/>
  <c r="Q195" i="159"/>
  <c r="Q185" i="159"/>
  <c r="Q180" i="159"/>
  <c r="Q205" i="159"/>
  <c r="Q200" i="159"/>
  <c r="Q189" i="159"/>
  <c r="Q204" i="159"/>
  <c r="Q160" i="159"/>
  <c r="Q183" i="159"/>
  <c r="Q153" i="159"/>
  <c r="Q143" i="159"/>
  <c r="Q208" i="159"/>
  <c r="Q192" i="159"/>
  <c r="Q187" i="159"/>
  <c r="Q207" i="159"/>
  <c r="Q161" i="159"/>
  <c r="Q149" i="159"/>
  <c r="Q144" i="159"/>
  <c r="Q168" i="159"/>
  <c r="Q157" i="159"/>
  <c r="Q171" i="159"/>
  <c r="Q150" i="159"/>
  <c r="Q165" i="159"/>
  <c r="Q158" i="159"/>
  <c r="Q177" i="159"/>
  <c r="Q162" i="159"/>
  <c r="Q154" i="159"/>
  <c r="Q148" i="159"/>
  <c r="Q169" i="159"/>
  <c r="Q167" i="159"/>
  <c r="Q159" i="159"/>
  <c r="Q155" i="159"/>
  <c r="Q147" i="159"/>
  <c r="Q142" i="159"/>
  <c r="Q163" i="159"/>
  <c r="Q146" i="159"/>
  <c r="Q179" i="159"/>
  <c r="Q156" i="159"/>
  <c r="Q152" i="159"/>
  <c r="Q145" i="159"/>
  <c r="Q173" i="159"/>
  <c r="Q164" i="159"/>
  <c r="Q151" i="159"/>
  <c r="R1" i="159"/>
  <c r="R113" i="159" s="1"/>
  <c r="T33" i="156"/>
  <c r="T32" i="156"/>
  <c r="T37" i="156"/>
  <c r="R141" i="159" l="1"/>
  <c r="R13" i="159"/>
  <c r="R15" i="159"/>
  <c r="R27" i="159"/>
  <c r="R4" i="159"/>
  <c r="R17" i="159"/>
  <c r="R29" i="159"/>
  <c r="R6" i="159"/>
  <c r="R19" i="159"/>
  <c r="R31" i="159"/>
  <c r="R8" i="159"/>
  <c r="R21" i="159"/>
  <c r="R33" i="159"/>
  <c r="R16" i="159"/>
  <c r="R28" i="159"/>
  <c r="R10" i="159"/>
  <c r="R23" i="159"/>
  <c r="R35" i="159"/>
  <c r="R5" i="159"/>
  <c r="R18" i="159"/>
  <c r="R30" i="159"/>
  <c r="R12" i="159"/>
  <c r="R25" i="159"/>
  <c r="R37" i="159"/>
  <c r="R7" i="159"/>
  <c r="R20" i="159"/>
  <c r="R32" i="159"/>
  <c r="R22" i="159"/>
  <c r="R47" i="159"/>
  <c r="R59" i="159"/>
  <c r="R9" i="159"/>
  <c r="R24" i="159"/>
  <c r="R49" i="159"/>
  <c r="R44" i="159"/>
  <c r="R39" i="159"/>
  <c r="R51" i="159"/>
  <c r="R11" i="159"/>
  <c r="R46" i="159"/>
  <c r="R58" i="159"/>
  <c r="R34" i="159"/>
  <c r="R63" i="159"/>
  <c r="R75" i="159"/>
  <c r="R38" i="159"/>
  <c r="R56" i="159"/>
  <c r="R60" i="159"/>
  <c r="R61" i="159"/>
  <c r="R65" i="159"/>
  <c r="R77" i="159"/>
  <c r="R45" i="159"/>
  <c r="R72" i="159"/>
  <c r="R42" i="159"/>
  <c r="R48" i="159"/>
  <c r="R52" i="159"/>
  <c r="R55" i="159"/>
  <c r="R74" i="159"/>
  <c r="R14" i="159"/>
  <c r="R62" i="159"/>
  <c r="R69" i="159"/>
  <c r="R43" i="159"/>
  <c r="R64" i="159"/>
  <c r="R26" i="159"/>
  <c r="R71" i="159"/>
  <c r="R41" i="159"/>
  <c r="R79" i="159"/>
  <c r="R91" i="159"/>
  <c r="R54" i="159"/>
  <c r="R86" i="159"/>
  <c r="R88" i="159"/>
  <c r="R67" i="159"/>
  <c r="R83" i="159"/>
  <c r="R95" i="159"/>
  <c r="R50" i="159"/>
  <c r="R68" i="159"/>
  <c r="R78" i="159"/>
  <c r="R90" i="159"/>
  <c r="R57" i="159"/>
  <c r="R85" i="159"/>
  <c r="R97" i="159"/>
  <c r="R89" i="159"/>
  <c r="R105" i="159"/>
  <c r="R118" i="159"/>
  <c r="R36" i="159"/>
  <c r="R73" i="159"/>
  <c r="R76" i="159"/>
  <c r="R92" i="159"/>
  <c r="R102" i="159"/>
  <c r="R115" i="159"/>
  <c r="R40" i="159"/>
  <c r="R81" i="159"/>
  <c r="R94" i="159"/>
  <c r="R109" i="159"/>
  <c r="R82" i="159"/>
  <c r="R96" i="159"/>
  <c r="R100" i="159"/>
  <c r="R104" i="159"/>
  <c r="R117" i="159"/>
  <c r="R111" i="159"/>
  <c r="R110" i="159"/>
  <c r="R112" i="159"/>
  <c r="R120" i="159"/>
  <c r="R126" i="159"/>
  <c r="R138" i="159"/>
  <c r="R84" i="159"/>
  <c r="R98" i="159"/>
  <c r="R123" i="159"/>
  <c r="R80" i="159"/>
  <c r="R93" i="159"/>
  <c r="R130" i="159"/>
  <c r="R103" i="159"/>
  <c r="R114" i="159"/>
  <c r="R121" i="159"/>
  <c r="R125" i="159"/>
  <c r="R66" i="159"/>
  <c r="R87" i="159"/>
  <c r="R101" i="159"/>
  <c r="R107" i="159"/>
  <c r="R132" i="159"/>
  <c r="R136" i="159"/>
  <c r="R53" i="159"/>
  <c r="R139" i="159"/>
  <c r="R3" i="159"/>
  <c r="R119" i="159"/>
  <c r="R131" i="159"/>
  <c r="R137" i="159"/>
  <c r="R99" i="159"/>
  <c r="R122" i="159"/>
  <c r="R124" i="159"/>
  <c r="R128" i="159"/>
  <c r="R134" i="159"/>
  <c r="R108" i="159"/>
  <c r="R140" i="159"/>
  <c r="R116" i="159"/>
  <c r="R106" i="159"/>
  <c r="R133" i="159"/>
  <c r="R70" i="159"/>
  <c r="R127" i="159"/>
  <c r="R135" i="159"/>
  <c r="R129" i="159"/>
  <c r="R199" i="159"/>
  <c r="R187" i="159"/>
  <c r="R207" i="159"/>
  <c r="R195" i="159"/>
  <c r="R183" i="159"/>
  <c r="R205" i="159"/>
  <c r="R192" i="159"/>
  <c r="R179" i="159"/>
  <c r="R173" i="159"/>
  <c r="R203" i="159"/>
  <c r="R190" i="159"/>
  <c r="R177" i="159"/>
  <c r="R208" i="159"/>
  <c r="R171" i="159"/>
  <c r="R165" i="159"/>
  <c r="R196" i="159"/>
  <c r="R191" i="159"/>
  <c r="R186" i="159"/>
  <c r="R174" i="159"/>
  <c r="R201" i="159"/>
  <c r="R198" i="159"/>
  <c r="R193" i="159"/>
  <c r="R181" i="159"/>
  <c r="R169" i="159"/>
  <c r="R159" i="159"/>
  <c r="R206" i="159"/>
  <c r="R200" i="159"/>
  <c r="R189" i="159"/>
  <c r="R184" i="159"/>
  <c r="R204" i="159"/>
  <c r="R194" i="159"/>
  <c r="R166" i="159"/>
  <c r="R188" i="159"/>
  <c r="R178" i="159"/>
  <c r="R158" i="159"/>
  <c r="R146" i="159"/>
  <c r="R202" i="159"/>
  <c r="R197" i="159"/>
  <c r="R176" i="159"/>
  <c r="R170" i="159"/>
  <c r="R154" i="159"/>
  <c r="R180" i="159"/>
  <c r="R172" i="159"/>
  <c r="R150" i="159"/>
  <c r="R144" i="159"/>
  <c r="R175" i="159"/>
  <c r="R161" i="159"/>
  <c r="R149" i="159"/>
  <c r="R143" i="159"/>
  <c r="R185" i="159"/>
  <c r="R162" i="159"/>
  <c r="R148" i="159"/>
  <c r="R167" i="159"/>
  <c r="R155" i="159"/>
  <c r="R147" i="159"/>
  <c r="R142" i="159"/>
  <c r="R163" i="159"/>
  <c r="R153" i="159"/>
  <c r="R156" i="159"/>
  <c r="R152" i="159"/>
  <c r="R145" i="159"/>
  <c r="R182" i="159"/>
  <c r="R164" i="159"/>
  <c r="R160" i="159"/>
  <c r="R151" i="159"/>
  <c r="R168" i="159"/>
  <c r="R157" i="159"/>
  <c r="S1" i="159"/>
  <c r="S113" i="159" s="1"/>
  <c r="T31" i="156"/>
  <c r="T29" i="156"/>
  <c r="T28" i="156"/>
  <c r="S141" i="159" l="1"/>
  <c r="S13" i="159"/>
  <c r="S7" i="159"/>
  <c r="S20" i="159"/>
  <c r="S32" i="159"/>
  <c r="S9" i="159"/>
  <c r="S22" i="159"/>
  <c r="S34" i="159"/>
  <c r="S11" i="159"/>
  <c r="S24" i="159"/>
  <c r="S36" i="159"/>
  <c r="S14" i="159"/>
  <c r="S26" i="159"/>
  <c r="S8" i="159"/>
  <c r="S21" i="159"/>
  <c r="S33" i="159"/>
  <c r="S16" i="159"/>
  <c r="S28" i="159"/>
  <c r="S10" i="159"/>
  <c r="S23" i="159"/>
  <c r="S35" i="159"/>
  <c r="S5" i="159"/>
  <c r="S18" i="159"/>
  <c r="S30" i="159"/>
  <c r="S12" i="159"/>
  <c r="S25" i="159"/>
  <c r="S4" i="159"/>
  <c r="S38" i="159"/>
  <c r="S19" i="159"/>
  <c r="S40" i="159"/>
  <c r="S52" i="159"/>
  <c r="S42" i="159"/>
  <c r="S54" i="159"/>
  <c r="S15" i="159"/>
  <c r="S44" i="159"/>
  <c r="S56" i="159"/>
  <c r="S29" i="159"/>
  <c r="S39" i="159"/>
  <c r="S51" i="159"/>
  <c r="S17" i="159"/>
  <c r="S27" i="159"/>
  <c r="S37" i="159"/>
  <c r="S41" i="159"/>
  <c r="S53" i="159"/>
  <c r="S57" i="159"/>
  <c r="S68" i="159"/>
  <c r="S6" i="159"/>
  <c r="S31" i="159"/>
  <c r="S49" i="159"/>
  <c r="S70" i="159"/>
  <c r="S60" i="159"/>
  <c r="S61" i="159"/>
  <c r="S65" i="159"/>
  <c r="S45" i="159"/>
  <c r="S48" i="159"/>
  <c r="S59" i="159"/>
  <c r="S67" i="159"/>
  <c r="S55" i="159"/>
  <c r="S58" i="159"/>
  <c r="S62" i="159"/>
  <c r="S69" i="159"/>
  <c r="S43" i="159"/>
  <c r="S64" i="159"/>
  <c r="S73" i="159"/>
  <c r="S75" i="159"/>
  <c r="S82" i="159"/>
  <c r="S77" i="159"/>
  <c r="S84" i="159"/>
  <c r="S96" i="159"/>
  <c r="S47" i="159"/>
  <c r="S63" i="159"/>
  <c r="S79" i="159"/>
  <c r="S66" i="159"/>
  <c r="S81" i="159"/>
  <c r="S93" i="159"/>
  <c r="S88" i="159"/>
  <c r="S83" i="159"/>
  <c r="S95" i="159"/>
  <c r="S50" i="159"/>
  <c r="S78" i="159"/>
  <c r="S90" i="159"/>
  <c r="S87" i="159"/>
  <c r="S46" i="159"/>
  <c r="S110" i="159"/>
  <c r="S71" i="159"/>
  <c r="S80" i="159"/>
  <c r="S107" i="159"/>
  <c r="S92" i="159"/>
  <c r="S102" i="159"/>
  <c r="S115" i="159"/>
  <c r="S94" i="159"/>
  <c r="S109" i="159"/>
  <c r="S100" i="159"/>
  <c r="S104" i="159"/>
  <c r="S117" i="159"/>
  <c r="S89" i="159"/>
  <c r="S99" i="159"/>
  <c r="S108" i="159"/>
  <c r="S131" i="159"/>
  <c r="S86" i="159"/>
  <c r="S91" i="159"/>
  <c r="S97" i="159"/>
  <c r="S128" i="159"/>
  <c r="S98" i="159"/>
  <c r="S118" i="159"/>
  <c r="S123" i="159"/>
  <c r="S111" i="159"/>
  <c r="S85" i="159"/>
  <c r="S103" i="159"/>
  <c r="S105" i="159"/>
  <c r="S114" i="159"/>
  <c r="S121" i="159"/>
  <c r="S125" i="159"/>
  <c r="S72" i="159"/>
  <c r="S129" i="159"/>
  <c r="S132" i="159"/>
  <c r="S135" i="159"/>
  <c r="S112" i="159"/>
  <c r="S136" i="159"/>
  <c r="S139" i="159"/>
  <c r="S74" i="159"/>
  <c r="S119" i="159"/>
  <c r="S3" i="159"/>
  <c r="S137" i="159"/>
  <c r="S120" i="159"/>
  <c r="S76" i="159"/>
  <c r="S101" i="159"/>
  <c r="S122" i="159"/>
  <c r="S124" i="159"/>
  <c r="S126" i="159"/>
  <c r="S116" i="159"/>
  <c r="S130" i="159"/>
  <c r="S138" i="159"/>
  <c r="S106" i="159"/>
  <c r="S127" i="159"/>
  <c r="S140" i="159"/>
  <c r="S133" i="159"/>
  <c r="S134" i="159"/>
  <c r="S204" i="159"/>
  <c r="S192" i="159"/>
  <c r="S180" i="159"/>
  <c r="S200" i="159"/>
  <c r="S188" i="159"/>
  <c r="S176" i="159"/>
  <c r="S198" i="159"/>
  <c r="S185" i="159"/>
  <c r="S196" i="159"/>
  <c r="S183" i="159"/>
  <c r="S174" i="159"/>
  <c r="S189" i="159"/>
  <c r="S184" i="159"/>
  <c r="S179" i="159"/>
  <c r="S201" i="159"/>
  <c r="S206" i="159"/>
  <c r="S182" i="159"/>
  <c r="S177" i="159"/>
  <c r="S208" i="159"/>
  <c r="S203" i="159"/>
  <c r="S171" i="159"/>
  <c r="S191" i="159"/>
  <c r="S186" i="159"/>
  <c r="S164" i="159"/>
  <c r="S195" i="159"/>
  <c r="S190" i="159"/>
  <c r="S205" i="159"/>
  <c r="S194" i="159"/>
  <c r="S199" i="159"/>
  <c r="S178" i="159"/>
  <c r="S158" i="159"/>
  <c r="S193" i="159"/>
  <c r="S165" i="159"/>
  <c r="S163" i="159"/>
  <c r="S151" i="159"/>
  <c r="S202" i="159"/>
  <c r="S197" i="159"/>
  <c r="S207" i="159"/>
  <c r="S181" i="159"/>
  <c r="S169" i="159"/>
  <c r="S159" i="159"/>
  <c r="S147" i="159"/>
  <c r="S175" i="159"/>
  <c r="S161" i="159"/>
  <c r="S170" i="159"/>
  <c r="S149" i="159"/>
  <c r="S143" i="159"/>
  <c r="S162" i="159"/>
  <c r="S148" i="159"/>
  <c r="S167" i="159"/>
  <c r="S155" i="159"/>
  <c r="S154" i="159"/>
  <c r="S142" i="159"/>
  <c r="S153" i="159"/>
  <c r="S187" i="159"/>
  <c r="S156" i="159"/>
  <c r="S152" i="159"/>
  <c r="S146" i="159"/>
  <c r="S145" i="159"/>
  <c r="S160" i="159"/>
  <c r="S173" i="159"/>
  <c r="S168" i="159"/>
  <c r="S166" i="159"/>
  <c r="S157" i="159"/>
  <c r="S172" i="159"/>
  <c r="S150" i="159"/>
  <c r="S144" i="159"/>
  <c r="T1" i="159"/>
  <c r="T113" i="159" s="1"/>
  <c r="T22" i="156"/>
  <c r="T141" i="159" l="1"/>
  <c r="T13" i="159"/>
  <c r="T12" i="159"/>
  <c r="T25" i="159"/>
  <c r="T37" i="159"/>
  <c r="T7" i="159"/>
  <c r="T15" i="159"/>
  <c r="T27" i="159"/>
  <c r="T4" i="159"/>
  <c r="T17" i="159"/>
  <c r="T29" i="159"/>
  <c r="T6" i="159"/>
  <c r="T19" i="159"/>
  <c r="T31" i="159"/>
  <c r="T14" i="159"/>
  <c r="T26" i="159"/>
  <c r="T8" i="159"/>
  <c r="T21" i="159"/>
  <c r="T33" i="159"/>
  <c r="T16" i="159"/>
  <c r="T28" i="159"/>
  <c r="T10" i="159"/>
  <c r="T23" i="159"/>
  <c r="T35" i="159"/>
  <c r="T5" i="159"/>
  <c r="T18" i="159"/>
  <c r="T30" i="159"/>
  <c r="T43" i="159"/>
  <c r="T36" i="159"/>
  <c r="T45" i="159"/>
  <c r="T57" i="159"/>
  <c r="T9" i="159"/>
  <c r="T47" i="159"/>
  <c r="T59" i="159"/>
  <c r="T24" i="159"/>
  <c r="T42" i="159"/>
  <c r="T32" i="159"/>
  <c r="T49" i="159"/>
  <c r="T61" i="159"/>
  <c r="T44" i="159"/>
  <c r="T56" i="159"/>
  <c r="T46" i="159"/>
  <c r="T50" i="159"/>
  <c r="T73" i="159"/>
  <c r="T20" i="159"/>
  <c r="T34" i="159"/>
  <c r="T41" i="159"/>
  <c r="T53" i="159"/>
  <c r="T63" i="159"/>
  <c r="T75" i="159"/>
  <c r="T38" i="159"/>
  <c r="T70" i="159"/>
  <c r="T60" i="159"/>
  <c r="T39" i="159"/>
  <c r="T52" i="159"/>
  <c r="T72" i="159"/>
  <c r="T48" i="159"/>
  <c r="T67" i="159"/>
  <c r="T51" i="159"/>
  <c r="T55" i="159"/>
  <c r="T22" i="159"/>
  <c r="T58" i="159"/>
  <c r="T62" i="159"/>
  <c r="T69" i="159"/>
  <c r="T76" i="159"/>
  <c r="T11" i="159"/>
  <c r="T74" i="159"/>
  <c r="T89" i="159"/>
  <c r="T101" i="159"/>
  <c r="T64" i="159"/>
  <c r="T77" i="159"/>
  <c r="T84" i="159"/>
  <c r="T54" i="159"/>
  <c r="T65" i="159"/>
  <c r="T86" i="159"/>
  <c r="T66" i="159"/>
  <c r="T81" i="159"/>
  <c r="T93" i="159"/>
  <c r="T88" i="159"/>
  <c r="T68" i="159"/>
  <c r="T83" i="159"/>
  <c r="T95" i="159"/>
  <c r="T91" i="159"/>
  <c r="T103" i="159"/>
  <c r="T116" i="159"/>
  <c r="T78" i="159"/>
  <c r="T79" i="159"/>
  <c r="T99" i="159"/>
  <c r="T112" i="159"/>
  <c r="T80" i="159"/>
  <c r="T90" i="159"/>
  <c r="T107" i="159"/>
  <c r="T40" i="159"/>
  <c r="T92" i="159"/>
  <c r="T102" i="159"/>
  <c r="T115" i="159"/>
  <c r="T82" i="159"/>
  <c r="T94" i="159"/>
  <c r="T96" i="159"/>
  <c r="T109" i="159"/>
  <c r="T106" i="159"/>
  <c r="T124" i="159"/>
  <c r="T136" i="159"/>
  <c r="T100" i="159"/>
  <c r="T133" i="159"/>
  <c r="T97" i="159"/>
  <c r="T117" i="159"/>
  <c r="T128" i="159"/>
  <c r="T71" i="159"/>
  <c r="T98" i="159"/>
  <c r="T118" i="159"/>
  <c r="T123" i="159"/>
  <c r="T111" i="159"/>
  <c r="T130" i="159"/>
  <c r="T127" i="159"/>
  <c r="T85" i="159"/>
  <c r="T104" i="159"/>
  <c r="T121" i="159"/>
  <c r="T129" i="159"/>
  <c r="T132" i="159"/>
  <c r="T135" i="159"/>
  <c r="T139" i="159"/>
  <c r="T120" i="159"/>
  <c r="T110" i="159"/>
  <c r="T119" i="159"/>
  <c r="T131" i="159"/>
  <c r="T3" i="159"/>
  <c r="T87" i="159"/>
  <c r="T137" i="159"/>
  <c r="T122" i="159"/>
  <c r="T126" i="159"/>
  <c r="T108" i="159"/>
  <c r="T105" i="159"/>
  <c r="T125" i="159"/>
  <c r="T140" i="159"/>
  <c r="T134" i="159"/>
  <c r="T138" i="159"/>
  <c r="T114" i="159"/>
  <c r="T197" i="159"/>
  <c r="T185" i="159"/>
  <c r="T205" i="159"/>
  <c r="T193" i="159"/>
  <c r="T181" i="159"/>
  <c r="T191" i="159"/>
  <c r="T178" i="159"/>
  <c r="T171" i="159"/>
  <c r="T202" i="159"/>
  <c r="T189" i="159"/>
  <c r="T176" i="159"/>
  <c r="T194" i="159"/>
  <c r="T170" i="159"/>
  <c r="T206" i="159"/>
  <c r="T182" i="159"/>
  <c r="T177" i="159"/>
  <c r="T169" i="159"/>
  <c r="T187" i="159"/>
  <c r="T173" i="159"/>
  <c r="T184" i="159"/>
  <c r="T179" i="159"/>
  <c r="T201" i="159"/>
  <c r="T196" i="159"/>
  <c r="T168" i="159"/>
  <c r="T157" i="159"/>
  <c r="T195" i="159"/>
  <c r="T190" i="159"/>
  <c r="T200" i="159"/>
  <c r="T204" i="159"/>
  <c r="T199" i="159"/>
  <c r="T188" i="159"/>
  <c r="T183" i="159"/>
  <c r="T165" i="159"/>
  <c r="T163" i="159"/>
  <c r="T208" i="159"/>
  <c r="T203" i="159"/>
  <c r="T198" i="159"/>
  <c r="T172" i="159"/>
  <c r="T156" i="159"/>
  <c r="T207" i="159"/>
  <c r="T186" i="159"/>
  <c r="T164" i="159"/>
  <c r="T152" i="159"/>
  <c r="T149" i="159"/>
  <c r="T143" i="159"/>
  <c r="T162" i="159"/>
  <c r="T158" i="159"/>
  <c r="T148" i="159"/>
  <c r="T167" i="159"/>
  <c r="T155" i="159"/>
  <c r="T154" i="159"/>
  <c r="T142" i="159"/>
  <c r="T147" i="159"/>
  <c r="T159" i="159"/>
  <c r="T153" i="159"/>
  <c r="T146" i="159"/>
  <c r="T192" i="159"/>
  <c r="T145" i="159"/>
  <c r="T160" i="159"/>
  <c r="T166" i="159"/>
  <c r="T151" i="159"/>
  <c r="T150" i="159"/>
  <c r="T144" i="159"/>
  <c r="T180" i="159"/>
  <c r="T175" i="159"/>
  <c r="T174" i="159"/>
  <c r="T161" i="159"/>
  <c r="U1" i="159"/>
  <c r="U113" i="159" s="1"/>
  <c r="T14" i="156"/>
  <c r="U141" i="159" l="1"/>
  <c r="U13" i="159"/>
  <c r="U5" i="159"/>
  <c r="U18" i="159"/>
  <c r="U30" i="159"/>
  <c r="U7" i="159"/>
  <c r="U20" i="159"/>
  <c r="U32" i="159"/>
  <c r="U9" i="159"/>
  <c r="U22" i="159"/>
  <c r="U34" i="159"/>
  <c r="U11" i="159"/>
  <c r="U24" i="159"/>
  <c r="U36" i="159"/>
  <c r="U6" i="159"/>
  <c r="U19" i="159"/>
  <c r="U31" i="159"/>
  <c r="U14" i="159"/>
  <c r="U26" i="159"/>
  <c r="U8" i="159"/>
  <c r="U21" i="159"/>
  <c r="U33" i="159"/>
  <c r="U16" i="159"/>
  <c r="U28" i="159"/>
  <c r="U10" i="159"/>
  <c r="U23" i="159"/>
  <c r="U35" i="159"/>
  <c r="U25" i="159"/>
  <c r="U4" i="159"/>
  <c r="U38" i="159"/>
  <c r="U50" i="159"/>
  <c r="U62" i="159"/>
  <c r="U27" i="159"/>
  <c r="U40" i="159"/>
  <c r="U52" i="159"/>
  <c r="U42" i="159"/>
  <c r="U54" i="159"/>
  <c r="U15" i="159"/>
  <c r="U49" i="159"/>
  <c r="U66" i="159"/>
  <c r="U37" i="159"/>
  <c r="U46" i="159"/>
  <c r="U57" i="159"/>
  <c r="U41" i="159"/>
  <c r="U53" i="159"/>
  <c r="U68" i="159"/>
  <c r="U12" i="159"/>
  <c r="U56" i="159"/>
  <c r="U63" i="159"/>
  <c r="U75" i="159"/>
  <c r="U17" i="159"/>
  <c r="U61" i="159"/>
  <c r="U45" i="159"/>
  <c r="U60" i="159"/>
  <c r="U65" i="159"/>
  <c r="U29" i="159"/>
  <c r="U39" i="159"/>
  <c r="U59" i="159"/>
  <c r="U72" i="159"/>
  <c r="U48" i="159"/>
  <c r="U67" i="159"/>
  <c r="U51" i="159"/>
  <c r="U55" i="159"/>
  <c r="U74" i="159"/>
  <c r="U58" i="159"/>
  <c r="U80" i="159"/>
  <c r="U44" i="159"/>
  <c r="U82" i="159"/>
  <c r="U94" i="159"/>
  <c r="U47" i="159"/>
  <c r="U64" i="159"/>
  <c r="U79" i="159"/>
  <c r="U91" i="159"/>
  <c r="U86" i="159"/>
  <c r="U81" i="159"/>
  <c r="U93" i="159"/>
  <c r="U69" i="159"/>
  <c r="U88" i="159"/>
  <c r="U87" i="159"/>
  <c r="U89" i="159"/>
  <c r="U97" i="159"/>
  <c r="U101" i="159"/>
  <c r="U108" i="159"/>
  <c r="U121" i="159"/>
  <c r="U71" i="159"/>
  <c r="U76" i="159"/>
  <c r="U105" i="159"/>
  <c r="U99" i="159"/>
  <c r="U112" i="159"/>
  <c r="U90" i="159"/>
  <c r="U107" i="159"/>
  <c r="U83" i="159"/>
  <c r="U92" i="159"/>
  <c r="U102" i="159"/>
  <c r="U115" i="159"/>
  <c r="U73" i="159"/>
  <c r="U43" i="159"/>
  <c r="U104" i="159"/>
  <c r="U122" i="159"/>
  <c r="U129" i="159"/>
  <c r="U77" i="159"/>
  <c r="U70" i="159"/>
  <c r="U120" i="159"/>
  <c r="U126" i="159"/>
  <c r="U96" i="159"/>
  <c r="U117" i="159"/>
  <c r="U128" i="159"/>
  <c r="U78" i="159"/>
  <c r="U98" i="159"/>
  <c r="U109" i="159"/>
  <c r="U118" i="159"/>
  <c r="U123" i="159"/>
  <c r="U135" i="159"/>
  <c r="U84" i="159"/>
  <c r="U100" i="159"/>
  <c r="U114" i="159"/>
  <c r="U125" i="159"/>
  <c r="U134" i="159"/>
  <c r="U140" i="159"/>
  <c r="U127" i="159"/>
  <c r="U85" i="159"/>
  <c r="U103" i="159"/>
  <c r="U111" i="159"/>
  <c r="U132" i="159"/>
  <c r="U136" i="159"/>
  <c r="U139" i="159"/>
  <c r="U110" i="159"/>
  <c r="U119" i="159"/>
  <c r="U131" i="159"/>
  <c r="U3" i="159"/>
  <c r="U116" i="159"/>
  <c r="U95" i="159"/>
  <c r="U124" i="159"/>
  <c r="U137" i="159"/>
  <c r="U130" i="159"/>
  <c r="U106" i="159"/>
  <c r="U138" i="159"/>
  <c r="U133" i="159"/>
  <c r="U202" i="159"/>
  <c r="U190" i="159"/>
  <c r="U178" i="159"/>
  <c r="U198" i="159"/>
  <c r="U186" i="159"/>
  <c r="U204" i="159"/>
  <c r="U184" i="159"/>
  <c r="U208" i="159"/>
  <c r="U195" i="159"/>
  <c r="U182" i="159"/>
  <c r="U172" i="159"/>
  <c r="U199" i="159"/>
  <c r="U168" i="159"/>
  <c r="U187" i="159"/>
  <c r="U173" i="159"/>
  <c r="U207" i="159"/>
  <c r="U197" i="159"/>
  <c r="U192" i="159"/>
  <c r="U194" i="159"/>
  <c r="U189" i="159"/>
  <c r="U170" i="159"/>
  <c r="U206" i="159"/>
  <c r="U180" i="159"/>
  <c r="U162" i="159"/>
  <c r="U200" i="159"/>
  <c r="U205" i="159"/>
  <c r="U188" i="159"/>
  <c r="U203" i="159"/>
  <c r="U193" i="159"/>
  <c r="U156" i="159"/>
  <c r="U174" i="159"/>
  <c r="U161" i="159"/>
  <c r="U149" i="159"/>
  <c r="U144" i="159"/>
  <c r="U181" i="159"/>
  <c r="U201" i="159"/>
  <c r="U196" i="159"/>
  <c r="U191" i="159"/>
  <c r="U157" i="159"/>
  <c r="U145" i="159"/>
  <c r="U142" i="159"/>
  <c r="U171" i="159"/>
  <c r="U143" i="159"/>
  <c r="U176" i="159"/>
  <c r="U158" i="159"/>
  <c r="U148" i="159"/>
  <c r="U183" i="159"/>
  <c r="U167" i="159"/>
  <c r="U165" i="159"/>
  <c r="U155" i="159"/>
  <c r="U154" i="159"/>
  <c r="U185" i="159"/>
  <c r="U177" i="159"/>
  <c r="U147" i="159"/>
  <c r="U159" i="159"/>
  <c r="U153" i="159"/>
  <c r="U169" i="159"/>
  <c r="U146" i="159"/>
  <c r="U163" i="159"/>
  <c r="U152" i="159"/>
  <c r="U160" i="159"/>
  <c r="U179" i="159"/>
  <c r="U166" i="159"/>
  <c r="U151" i="159"/>
  <c r="U164" i="159"/>
  <c r="U150" i="159"/>
  <c r="U175" i="159"/>
  <c r="V1" i="159"/>
  <c r="V113" i="159" s="1"/>
  <c r="T92" i="156"/>
  <c r="T91" i="156"/>
  <c r="T98" i="156"/>
  <c r="T97" i="156"/>
  <c r="T84" i="156"/>
  <c r="T89" i="156"/>
  <c r="T88" i="156"/>
  <c r="T90" i="156"/>
  <c r="T96" i="156"/>
  <c r="T95" i="156"/>
  <c r="T86" i="156"/>
  <c r="T85" i="156"/>
  <c r="T83" i="156"/>
  <c r="T82" i="156"/>
  <c r="V141" i="159" l="1"/>
  <c r="V13" i="159"/>
  <c r="V10" i="159"/>
  <c r="V23" i="159"/>
  <c r="V35" i="159"/>
  <c r="V5" i="159"/>
  <c r="V12" i="159"/>
  <c r="V25" i="159"/>
  <c r="V37" i="159"/>
  <c r="V15" i="159"/>
  <c r="V27" i="159"/>
  <c r="V4" i="159"/>
  <c r="V17" i="159"/>
  <c r="V29" i="159"/>
  <c r="V11" i="159"/>
  <c r="V24" i="159"/>
  <c r="V36" i="159"/>
  <c r="V6" i="159"/>
  <c r="V19" i="159"/>
  <c r="V31" i="159"/>
  <c r="V14" i="159"/>
  <c r="V26" i="159"/>
  <c r="V8" i="159"/>
  <c r="V21" i="159"/>
  <c r="V33" i="159"/>
  <c r="V16" i="159"/>
  <c r="V28" i="159"/>
  <c r="V41" i="159"/>
  <c r="V22" i="159"/>
  <c r="V43" i="159"/>
  <c r="V55" i="159"/>
  <c r="V7" i="159"/>
  <c r="V45" i="159"/>
  <c r="V57" i="159"/>
  <c r="V9" i="159"/>
  <c r="V40" i="159"/>
  <c r="V18" i="159"/>
  <c r="V47" i="159"/>
  <c r="V59" i="159"/>
  <c r="V32" i="159"/>
  <c r="V42" i="159"/>
  <c r="V54" i="159"/>
  <c r="V20" i="159"/>
  <c r="V44" i="159"/>
  <c r="V71" i="159"/>
  <c r="V50" i="159"/>
  <c r="V34" i="159"/>
  <c r="V46" i="159"/>
  <c r="V73" i="159"/>
  <c r="V49" i="159"/>
  <c r="V53" i="159"/>
  <c r="V68" i="159"/>
  <c r="V38" i="159"/>
  <c r="V56" i="159"/>
  <c r="V61" i="159"/>
  <c r="V70" i="159"/>
  <c r="V52" i="159"/>
  <c r="V60" i="159"/>
  <c r="V65" i="159"/>
  <c r="V39" i="159"/>
  <c r="V72" i="159"/>
  <c r="V48" i="159"/>
  <c r="V67" i="159"/>
  <c r="V51" i="159"/>
  <c r="V85" i="159"/>
  <c r="V58" i="159"/>
  <c r="V62" i="159"/>
  <c r="V76" i="159"/>
  <c r="V87" i="159"/>
  <c r="V99" i="159"/>
  <c r="V74" i="159"/>
  <c r="V82" i="159"/>
  <c r="V30" i="159"/>
  <c r="V63" i="159"/>
  <c r="V64" i="159"/>
  <c r="V77" i="159"/>
  <c r="V84" i="159"/>
  <c r="V96" i="159"/>
  <c r="V79" i="159"/>
  <c r="V91" i="159"/>
  <c r="V66" i="159"/>
  <c r="V86" i="159"/>
  <c r="V81" i="159"/>
  <c r="V93" i="159"/>
  <c r="V95" i="159"/>
  <c r="V98" i="159"/>
  <c r="V114" i="159"/>
  <c r="V89" i="159"/>
  <c r="V69" i="159"/>
  <c r="V78" i="159"/>
  <c r="V110" i="159"/>
  <c r="V105" i="159"/>
  <c r="V75" i="159"/>
  <c r="V80" i="159"/>
  <c r="V88" i="159"/>
  <c r="V112" i="159"/>
  <c r="V90" i="159"/>
  <c r="V107" i="159"/>
  <c r="V102" i="159"/>
  <c r="V119" i="159"/>
  <c r="V134" i="159"/>
  <c r="V100" i="159"/>
  <c r="V131" i="159"/>
  <c r="V120" i="159"/>
  <c r="V126" i="159"/>
  <c r="V97" i="159"/>
  <c r="V117" i="159"/>
  <c r="V128" i="159"/>
  <c r="V106" i="159"/>
  <c r="V118" i="159"/>
  <c r="V123" i="159"/>
  <c r="V133" i="159"/>
  <c r="V138" i="159"/>
  <c r="V125" i="159"/>
  <c r="V140" i="159"/>
  <c r="V104" i="159"/>
  <c r="V121" i="159"/>
  <c r="V127" i="159"/>
  <c r="V129" i="159"/>
  <c r="V135" i="159"/>
  <c r="V103" i="159"/>
  <c r="V111" i="159"/>
  <c r="V132" i="159"/>
  <c r="V136" i="159"/>
  <c r="V94" i="159"/>
  <c r="V109" i="159"/>
  <c r="V130" i="159"/>
  <c r="V139" i="159"/>
  <c r="V83" i="159"/>
  <c r="V101" i="159"/>
  <c r="V3" i="159"/>
  <c r="V108" i="159"/>
  <c r="V92" i="159"/>
  <c r="V122" i="159"/>
  <c r="V124" i="159"/>
  <c r="V137" i="159"/>
  <c r="V116" i="159"/>
  <c r="V115" i="159"/>
  <c r="V207" i="159"/>
  <c r="V195" i="159"/>
  <c r="V183" i="159"/>
  <c r="V203" i="159"/>
  <c r="V191" i="159"/>
  <c r="V179" i="159"/>
  <c r="V197" i="159"/>
  <c r="V177" i="159"/>
  <c r="V201" i="159"/>
  <c r="V188" i="159"/>
  <c r="V204" i="159"/>
  <c r="V180" i="159"/>
  <c r="V192" i="159"/>
  <c r="V167" i="159"/>
  <c r="V202" i="159"/>
  <c r="V199" i="159"/>
  <c r="V200" i="159"/>
  <c r="V190" i="159"/>
  <c r="V185" i="159"/>
  <c r="V175" i="159"/>
  <c r="V173" i="159"/>
  <c r="V155" i="159"/>
  <c r="V205" i="159"/>
  <c r="V194" i="159"/>
  <c r="V189" i="159"/>
  <c r="V184" i="159"/>
  <c r="V193" i="159"/>
  <c r="V208" i="159"/>
  <c r="V198" i="159"/>
  <c r="V174" i="159"/>
  <c r="V172" i="159"/>
  <c r="V161" i="159"/>
  <c r="V154" i="159"/>
  <c r="V196" i="159"/>
  <c r="V186" i="159"/>
  <c r="V206" i="159"/>
  <c r="V168" i="159"/>
  <c r="V162" i="159"/>
  <c r="V150" i="159"/>
  <c r="V176" i="159"/>
  <c r="V170" i="159"/>
  <c r="V158" i="159"/>
  <c r="V148" i="159"/>
  <c r="V165" i="159"/>
  <c r="V147" i="159"/>
  <c r="V142" i="159"/>
  <c r="V159" i="159"/>
  <c r="V153" i="159"/>
  <c r="V181" i="159"/>
  <c r="V169" i="159"/>
  <c r="V146" i="159"/>
  <c r="V163" i="159"/>
  <c r="V152" i="159"/>
  <c r="V187" i="159"/>
  <c r="V178" i="159"/>
  <c r="V160" i="159"/>
  <c r="V156" i="159"/>
  <c r="V145" i="159"/>
  <c r="V166" i="159"/>
  <c r="V151" i="159"/>
  <c r="V164" i="159"/>
  <c r="V182" i="159"/>
  <c r="V157" i="159"/>
  <c r="V144" i="159"/>
  <c r="V171" i="159"/>
  <c r="V149" i="159"/>
  <c r="V143" i="159"/>
  <c r="W1" i="159"/>
  <c r="W113" i="159" s="1"/>
  <c r="T36" i="156"/>
  <c r="T21" i="156"/>
  <c r="W141" i="159" l="1"/>
  <c r="W13" i="159"/>
  <c r="W16" i="159"/>
  <c r="W28" i="159"/>
  <c r="W5" i="159"/>
  <c r="W18" i="159"/>
  <c r="W30" i="159"/>
  <c r="W7" i="159"/>
  <c r="W20" i="159"/>
  <c r="W32" i="159"/>
  <c r="W9" i="159"/>
  <c r="W22" i="159"/>
  <c r="W34" i="159"/>
  <c r="W4" i="159"/>
  <c r="W17" i="159"/>
  <c r="W29" i="159"/>
  <c r="W11" i="159"/>
  <c r="W24" i="159"/>
  <c r="W36" i="159"/>
  <c r="W6" i="159"/>
  <c r="W19" i="159"/>
  <c r="W31" i="159"/>
  <c r="W14" i="159"/>
  <c r="W26" i="159"/>
  <c r="W8" i="159"/>
  <c r="W21" i="159"/>
  <c r="W33" i="159"/>
  <c r="W10" i="159"/>
  <c r="W48" i="159"/>
  <c r="W60" i="159"/>
  <c r="W12" i="159"/>
  <c r="W38" i="159"/>
  <c r="W50" i="159"/>
  <c r="W27" i="159"/>
  <c r="W35" i="159"/>
  <c r="W40" i="159"/>
  <c r="W52" i="159"/>
  <c r="W47" i="159"/>
  <c r="W59" i="159"/>
  <c r="W64" i="159"/>
  <c r="W76" i="159"/>
  <c r="W44" i="159"/>
  <c r="W37" i="159"/>
  <c r="W57" i="159"/>
  <c r="W66" i="159"/>
  <c r="W41" i="159"/>
  <c r="W46" i="159"/>
  <c r="W73" i="159"/>
  <c r="W49" i="159"/>
  <c r="W53" i="159"/>
  <c r="W42" i="159"/>
  <c r="W56" i="159"/>
  <c r="W63" i="159"/>
  <c r="W25" i="159"/>
  <c r="W45" i="159"/>
  <c r="W61" i="159"/>
  <c r="W70" i="159"/>
  <c r="W65" i="159"/>
  <c r="W39" i="159"/>
  <c r="W72" i="159"/>
  <c r="W71" i="159"/>
  <c r="W78" i="159"/>
  <c r="W51" i="159"/>
  <c r="W58" i="159"/>
  <c r="W75" i="159"/>
  <c r="W80" i="159"/>
  <c r="W92" i="159"/>
  <c r="W15" i="159"/>
  <c r="W62" i="159"/>
  <c r="W54" i="159"/>
  <c r="W89" i="159"/>
  <c r="W77" i="159"/>
  <c r="W84" i="159"/>
  <c r="W96" i="159"/>
  <c r="W67" i="159"/>
  <c r="W79" i="159"/>
  <c r="W91" i="159"/>
  <c r="W86" i="159"/>
  <c r="W55" i="159"/>
  <c r="W68" i="159"/>
  <c r="W85" i="159"/>
  <c r="W23" i="159"/>
  <c r="W93" i="159"/>
  <c r="W106" i="159"/>
  <c r="W119" i="159"/>
  <c r="W87" i="159"/>
  <c r="W103" i="159"/>
  <c r="W116" i="159"/>
  <c r="W69" i="159"/>
  <c r="W110" i="159"/>
  <c r="W81" i="159"/>
  <c r="W99" i="159"/>
  <c r="W105" i="159"/>
  <c r="W88" i="159"/>
  <c r="W112" i="159"/>
  <c r="W74" i="159"/>
  <c r="W94" i="159"/>
  <c r="W127" i="159"/>
  <c r="W43" i="159"/>
  <c r="W82" i="159"/>
  <c r="W108" i="159"/>
  <c r="W124" i="159"/>
  <c r="W100" i="159"/>
  <c r="W131" i="159"/>
  <c r="W90" i="159"/>
  <c r="W120" i="159"/>
  <c r="W126" i="159"/>
  <c r="W97" i="159"/>
  <c r="W133" i="159"/>
  <c r="W115" i="159"/>
  <c r="W114" i="159"/>
  <c r="W118" i="159"/>
  <c r="W123" i="159"/>
  <c r="W134" i="159"/>
  <c r="W138" i="159"/>
  <c r="W98" i="159"/>
  <c r="W125" i="159"/>
  <c r="W140" i="159"/>
  <c r="W129" i="159"/>
  <c r="W135" i="159"/>
  <c r="W104" i="159"/>
  <c r="W121" i="159"/>
  <c r="W111" i="159"/>
  <c r="W132" i="159"/>
  <c r="W102" i="159"/>
  <c r="W136" i="159"/>
  <c r="W122" i="159"/>
  <c r="W109" i="159"/>
  <c r="W128" i="159"/>
  <c r="W139" i="159"/>
  <c r="W117" i="159"/>
  <c r="W95" i="159"/>
  <c r="W101" i="159"/>
  <c r="W107" i="159"/>
  <c r="W3" i="159"/>
  <c r="W137" i="159"/>
  <c r="W83" i="159"/>
  <c r="W130" i="159"/>
  <c r="W200" i="159"/>
  <c r="W188" i="159"/>
  <c r="W176" i="159"/>
  <c r="W208" i="159"/>
  <c r="W196" i="159"/>
  <c r="W184" i="159"/>
  <c r="W203" i="159"/>
  <c r="W190" i="159"/>
  <c r="W174" i="159"/>
  <c r="W194" i="159"/>
  <c r="W181" i="159"/>
  <c r="W170" i="159"/>
  <c r="W185" i="159"/>
  <c r="W175" i="159"/>
  <c r="W166" i="159"/>
  <c r="W207" i="159"/>
  <c r="W202" i="159"/>
  <c r="W197" i="159"/>
  <c r="W172" i="159"/>
  <c r="W193" i="159"/>
  <c r="W183" i="159"/>
  <c r="W178" i="159"/>
  <c r="W204" i="159"/>
  <c r="W180" i="159"/>
  <c r="W205" i="159"/>
  <c r="W195" i="159"/>
  <c r="W167" i="159"/>
  <c r="W160" i="159"/>
  <c r="W189" i="159"/>
  <c r="W199" i="159"/>
  <c r="W198" i="159"/>
  <c r="W187" i="159"/>
  <c r="W182" i="159"/>
  <c r="W177" i="159"/>
  <c r="W159" i="159"/>
  <c r="W147" i="159"/>
  <c r="W206" i="159"/>
  <c r="W201" i="159"/>
  <c r="W191" i="159"/>
  <c r="W173" i="159"/>
  <c r="W155" i="159"/>
  <c r="W165" i="159"/>
  <c r="W162" i="159"/>
  <c r="W154" i="159"/>
  <c r="W142" i="159"/>
  <c r="W153" i="159"/>
  <c r="W169" i="159"/>
  <c r="W146" i="159"/>
  <c r="W163" i="159"/>
  <c r="W152" i="159"/>
  <c r="W156" i="159"/>
  <c r="W145" i="159"/>
  <c r="W192" i="159"/>
  <c r="W151" i="159"/>
  <c r="W179" i="159"/>
  <c r="W164" i="159"/>
  <c r="W157" i="159"/>
  <c r="W150" i="159"/>
  <c r="W144" i="159"/>
  <c r="W168" i="159"/>
  <c r="W186" i="159"/>
  <c r="W171" i="159"/>
  <c r="W161" i="159"/>
  <c r="W149" i="159"/>
  <c r="W143" i="159"/>
  <c r="W158" i="159"/>
  <c r="W148" i="159"/>
  <c r="X1" i="159"/>
  <c r="X113" i="159" s="1"/>
  <c r="T24" i="156"/>
  <c r="T23" i="156"/>
  <c r="X141" i="159" l="1"/>
  <c r="X13" i="159"/>
  <c r="X8" i="159"/>
  <c r="X21" i="159"/>
  <c r="X33" i="159"/>
  <c r="X10" i="159"/>
  <c r="X23" i="159"/>
  <c r="X35" i="159"/>
  <c r="X12" i="159"/>
  <c r="X25" i="159"/>
  <c r="X15" i="159"/>
  <c r="X27" i="159"/>
  <c r="X9" i="159"/>
  <c r="X22" i="159"/>
  <c r="X34" i="159"/>
  <c r="X4" i="159"/>
  <c r="X17" i="159"/>
  <c r="X29" i="159"/>
  <c r="X11" i="159"/>
  <c r="X24" i="159"/>
  <c r="X36" i="159"/>
  <c r="X6" i="159"/>
  <c r="X19" i="159"/>
  <c r="X31" i="159"/>
  <c r="X14" i="159"/>
  <c r="X26" i="159"/>
  <c r="X28" i="159"/>
  <c r="X37" i="159"/>
  <c r="X39" i="159"/>
  <c r="X41" i="159"/>
  <c r="X53" i="159"/>
  <c r="X30" i="159"/>
  <c r="X43" i="159"/>
  <c r="X55" i="159"/>
  <c r="X7" i="159"/>
  <c r="X38" i="159"/>
  <c r="X5" i="159"/>
  <c r="X45" i="159"/>
  <c r="X57" i="159"/>
  <c r="X18" i="159"/>
  <c r="X40" i="159"/>
  <c r="X52" i="159"/>
  <c r="X54" i="159"/>
  <c r="X58" i="159"/>
  <c r="X69" i="159"/>
  <c r="X16" i="159"/>
  <c r="X20" i="159"/>
  <c r="X44" i="159"/>
  <c r="X50" i="159"/>
  <c r="X71" i="159"/>
  <c r="X66" i="159"/>
  <c r="X46" i="159"/>
  <c r="X32" i="159"/>
  <c r="X49" i="159"/>
  <c r="X68" i="159"/>
  <c r="X42" i="159"/>
  <c r="X56" i="159"/>
  <c r="X63" i="159"/>
  <c r="X59" i="159"/>
  <c r="X60" i="159"/>
  <c r="X61" i="159"/>
  <c r="X70" i="159"/>
  <c r="X65" i="159"/>
  <c r="X72" i="159"/>
  <c r="X83" i="159"/>
  <c r="X51" i="159"/>
  <c r="X73" i="159"/>
  <c r="X85" i="159"/>
  <c r="X97" i="159"/>
  <c r="X75" i="159"/>
  <c r="X76" i="159"/>
  <c r="X80" i="159"/>
  <c r="X62" i="159"/>
  <c r="X47" i="159"/>
  <c r="X74" i="159"/>
  <c r="X82" i="159"/>
  <c r="X94" i="159"/>
  <c r="X64" i="159"/>
  <c r="X89" i="159"/>
  <c r="X77" i="159"/>
  <c r="X84" i="159"/>
  <c r="X96" i="159"/>
  <c r="X67" i="159"/>
  <c r="X79" i="159"/>
  <c r="X91" i="159"/>
  <c r="X86" i="159"/>
  <c r="X111" i="159"/>
  <c r="X48" i="159"/>
  <c r="X93" i="159"/>
  <c r="X101" i="159"/>
  <c r="X108" i="159"/>
  <c r="X78" i="159"/>
  <c r="X103" i="159"/>
  <c r="X110" i="159"/>
  <c r="X81" i="159"/>
  <c r="X99" i="159"/>
  <c r="X105" i="159"/>
  <c r="X132" i="159"/>
  <c r="X104" i="159"/>
  <c r="X106" i="159"/>
  <c r="X115" i="159"/>
  <c r="X122" i="159"/>
  <c r="X129" i="159"/>
  <c r="X124" i="159"/>
  <c r="X100" i="159"/>
  <c r="X90" i="159"/>
  <c r="X120" i="159"/>
  <c r="X126" i="159"/>
  <c r="X116" i="159"/>
  <c r="X133" i="159"/>
  <c r="X114" i="159"/>
  <c r="X118" i="159"/>
  <c r="X123" i="159"/>
  <c r="X134" i="159"/>
  <c r="X138" i="159"/>
  <c r="X140" i="159"/>
  <c r="X88" i="159"/>
  <c r="X112" i="159"/>
  <c r="X125" i="159"/>
  <c r="X127" i="159"/>
  <c r="X3" i="159"/>
  <c r="X121" i="159"/>
  <c r="X135" i="159"/>
  <c r="X95" i="159"/>
  <c r="X107" i="159"/>
  <c r="X102" i="159"/>
  <c r="X136" i="159"/>
  <c r="X87" i="159"/>
  <c r="X109" i="159"/>
  <c r="X119" i="159"/>
  <c r="X131" i="159"/>
  <c r="X128" i="159"/>
  <c r="X139" i="159"/>
  <c r="X137" i="159"/>
  <c r="X92" i="159"/>
  <c r="X98" i="159"/>
  <c r="X130" i="159"/>
  <c r="X117" i="159"/>
  <c r="X205" i="159"/>
  <c r="X193" i="159"/>
  <c r="X181" i="159"/>
  <c r="X201" i="159"/>
  <c r="X189" i="159"/>
  <c r="X177" i="159"/>
  <c r="X196" i="159"/>
  <c r="X183" i="159"/>
  <c r="X207" i="159"/>
  <c r="X187" i="159"/>
  <c r="X175" i="159"/>
  <c r="X200" i="159"/>
  <c r="X195" i="159"/>
  <c r="X190" i="159"/>
  <c r="X178" i="159"/>
  <c r="X165" i="159"/>
  <c r="X198" i="159"/>
  <c r="X188" i="159"/>
  <c r="X185" i="159"/>
  <c r="X171" i="159"/>
  <c r="X199" i="159"/>
  <c r="X194" i="159"/>
  <c r="X204" i="159"/>
  <c r="X208" i="159"/>
  <c r="X203" i="159"/>
  <c r="X182" i="159"/>
  <c r="X159" i="159"/>
  <c r="X192" i="159"/>
  <c r="X169" i="159"/>
  <c r="X164" i="159"/>
  <c r="X152" i="159"/>
  <c r="X202" i="159"/>
  <c r="X197" i="159"/>
  <c r="X206" i="159"/>
  <c r="X180" i="159"/>
  <c r="X167" i="159"/>
  <c r="X160" i="159"/>
  <c r="X148" i="159"/>
  <c r="X162" i="159"/>
  <c r="X154" i="159"/>
  <c r="X142" i="159"/>
  <c r="X155" i="159"/>
  <c r="X153" i="159"/>
  <c r="X147" i="159"/>
  <c r="X146" i="159"/>
  <c r="X163" i="159"/>
  <c r="X156" i="159"/>
  <c r="X145" i="159"/>
  <c r="X151" i="159"/>
  <c r="X179" i="159"/>
  <c r="X166" i="159"/>
  <c r="X157" i="159"/>
  <c r="X150" i="159"/>
  <c r="X144" i="159"/>
  <c r="X184" i="159"/>
  <c r="X168" i="159"/>
  <c r="X191" i="159"/>
  <c r="X186" i="159"/>
  <c r="X173" i="159"/>
  <c r="X161" i="159"/>
  <c r="X149" i="159"/>
  <c r="X143" i="159"/>
  <c r="X174" i="159"/>
  <c r="X172" i="159"/>
  <c r="X158" i="159"/>
  <c r="X176" i="159"/>
  <c r="X170" i="159"/>
  <c r="Y1" i="159"/>
  <c r="Y113" i="159" s="1"/>
  <c r="T146" i="156"/>
  <c r="T145" i="156"/>
  <c r="Y141" i="159" l="1"/>
  <c r="Y13" i="159"/>
  <c r="Y14" i="159"/>
  <c r="Y26" i="159"/>
  <c r="Y8" i="159"/>
  <c r="Y16" i="159"/>
  <c r="Y28" i="159"/>
  <c r="Y5" i="159"/>
  <c r="Y18" i="159"/>
  <c r="Y30" i="159"/>
  <c r="Y7" i="159"/>
  <c r="Y20" i="159"/>
  <c r="Y32" i="159"/>
  <c r="Y15" i="159"/>
  <c r="Y27" i="159"/>
  <c r="Y9" i="159"/>
  <c r="Y22" i="159"/>
  <c r="Y34" i="159"/>
  <c r="Y4" i="159"/>
  <c r="Y17" i="159"/>
  <c r="Y29" i="159"/>
  <c r="Y11" i="159"/>
  <c r="Y24" i="159"/>
  <c r="Y36" i="159"/>
  <c r="Y6" i="159"/>
  <c r="Y19" i="159"/>
  <c r="Y31" i="159"/>
  <c r="Y44" i="159"/>
  <c r="Y25" i="159"/>
  <c r="Y46" i="159"/>
  <c r="Y58" i="159"/>
  <c r="Y48" i="159"/>
  <c r="Y12" i="159"/>
  <c r="Y43" i="159"/>
  <c r="Y21" i="159"/>
  <c r="Y38" i="159"/>
  <c r="Y50" i="159"/>
  <c r="Y35" i="159"/>
  <c r="Y45" i="159"/>
  <c r="Y57" i="159"/>
  <c r="Y23" i="159"/>
  <c r="Y47" i="159"/>
  <c r="Y51" i="159"/>
  <c r="Y62" i="159"/>
  <c r="Y74" i="159"/>
  <c r="Y54" i="159"/>
  <c r="Y64" i="159"/>
  <c r="Y76" i="159"/>
  <c r="Y37" i="159"/>
  <c r="Y71" i="159"/>
  <c r="Y41" i="159"/>
  <c r="Y53" i="159"/>
  <c r="Y73" i="159"/>
  <c r="Y49" i="159"/>
  <c r="Y68" i="159"/>
  <c r="Y42" i="159"/>
  <c r="Y52" i="159"/>
  <c r="Y56" i="159"/>
  <c r="Y63" i="159"/>
  <c r="Y59" i="159"/>
  <c r="Y60" i="159"/>
  <c r="Y61" i="159"/>
  <c r="Y70" i="159"/>
  <c r="Y10" i="159"/>
  <c r="Y78" i="159"/>
  <c r="Y90" i="159"/>
  <c r="Y85" i="159"/>
  <c r="Y87" i="159"/>
  <c r="Y39" i="159"/>
  <c r="Y65" i="159"/>
  <c r="Y82" i="159"/>
  <c r="Y94" i="159"/>
  <c r="Y33" i="159"/>
  <c r="Y89" i="159"/>
  <c r="Y66" i="159"/>
  <c r="Y77" i="159"/>
  <c r="Y84" i="159"/>
  <c r="Y96" i="159"/>
  <c r="Y100" i="159"/>
  <c r="Y104" i="159"/>
  <c r="Y117" i="159"/>
  <c r="Y91" i="159"/>
  <c r="Y95" i="159"/>
  <c r="Y97" i="159"/>
  <c r="Y98" i="159"/>
  <c r="Y114" i="159"/>
  <c r="Y79" i="159"/>
  <c r="Y101" i="159"/>
  <c r="Y108" i="159"/>
  <c r="Y67" i="159"/>
  <c r="Y69" i="159"/>
  <c r="Y103" i="159"/>
  <c r="Y116" i="159"/>
  <c r="Y40" i="159"/>
  <c r="Y75" i="159"/>
  <c r="Y80" i="159"/>
  <c r="Y110" i="159"/>
  <c r="Y81" i="159"/>
  <c r="Y83" i="159"/>
  <c r="Y92" i="159"/>
  <c r="Y125" i="159"/>
  <c r="Y137" i="159"/>
  <c r="Y88" i="159"/>
  <c r="Y102" i="159"/>
  <c r="Y112" i="159"/>
  <c r="Y106" i="159"/>
  <c r="Y115" i="159"/>
  <c r="Y122" i="159"/>
  <c r="Y129" i="159"/>
  <c r="Y93" i="159"/>
  <c r="Y124" i="159"/>
  <c r="Y131" i="159"/>
  <c r="Y105" i="159"/>
  <c r="Y130" i="159"/>
  <c r="Y72" i="159"/>
  <c r="Y133" i="159"/>
  <c r="Y134" i="159"/>
  <c r="Y140" i="159"/>
  <c r="Y55" i="159"/>
  <c r="Y118" i="159"/>
  <c r="Y123" i="159"/>
  <c r="Y138" i="159"/>
  <c r="Y127" i="159"/>
  <c r="Y86" i="159"/>
  <c r="Y111" i="159"/>
  <c r="Y121" i="159"/>
  <c r="Y132" i="159"/>
  <c r="Y135" i="159"/>
  <c r="Y107" i="159"/>
  <c r="Y99" i="159"/>
  <c r="Y136" i="159"/>
  <c r="Y109" i="159"/>
  <c r="Y119" i="159"/>
  <c r="Y126" i="159"/>
  <c r="Y128" i="159"/>
  <c r="Y139" i="159"/>
  <c r="Y120" i="159"/>
  <c r="Y3" i="159"/>
  <c r="Y198" i="159"/>
  <c r="Y186" i="159"/>
  <c r="Y206" i="159"/>
  <c r="Y194" i="159"/>
  <c r="Y182" i="159"/>
  <c r="Y202" i="159"/>
  <c r="Y189" i="159"/>
  <c r="Y176" i="159"/>
  <c r="Y172" i="159"/>
  <c r="Y200" i="159"/>
  <c r="Y180" i="159"/>
  <c r="Y205" i="159"/>
  <c r="Y193" i="159"/>
  <c r="Y188" i="159"/>
  <c r="Y183" i="159"/>
  <c r="Y171" i="159"/>
  <c r="Y208" i="159"/>
  <c r="Y203" i="159"/>
  <c r="Y179" i="159"/>
  <c r="Y195" i="159"/>
  <c r="Y190" i="159"/>
  <c r="Y175" i="159"/>
  <c r="Y166" i="159"/>
  <c r="Y158" i="159"/>
  <c r="Y199" i="159"/>
  <c r="Y204" i="159"/>
  <c r="Y192" i="159"/>
  <c r="Y187" i="159"/>
  <c r="Y177" i="159"/>
  <c r="Y169" i="159"/>
  <c r="Y164" i="159"/>
  <c r="Y197" i="159"/>
  <c r="Y170" i="159"/>
  <c r="Y157" i="159"/>
  <c r="Y145" i="159"/>
  <c r="Y142" i="159"/>
  <c r="Y207" i="159"/>
  <c r="Y201" i="159"/>
  <c r="Y196" i="159"/>
  <c r="Y185" i="159"/>
  <c r="Y153" i="159"/>
  <c r="Y143" i="159"/>
  <c r="Y155" i="159"/>
  <c r="Y147" i="159"/>
  <c r="Y167" i="159"/>
  <c r="Y146" i="159"/>
  <c r="Y163" i="159"/>
  <c r="Y159" i="159"/>
  <c r="Y181" i="159"/>
  <c r="Y156" i="159"/>
  <c r="Y152" i="159"/>
  <c r="Y151" i="159"/>
  <c r="Y178" i="159"/>
  <c r="Y160" i="159"/>
  <c r="Y150" i="159"/>
  <c r="Y144" i="159"/>
  <c r="Y184" i="159"/>
  <c r="Y168" i="159"/>
  <c r="Y191" i="159"/>
  <c r="Y173" i="159"/>
  <c r="Y161" i="159"/>
  <c r="Y149" i="159"/>
  <c r="Y174" i="159"/>
  <c r="Y148" i="159"/>
  <c r="Y165" i="159"/>
  <c r="Y162" i="159"/>
  <c r="Y154" i="159"/>
  <c r="Z1" i="159"/>
  <c r="Z113" i="159" s="1"/>
  <c r="T25" i="156"/>
  <c r="T20" i="156"/>
  <c r="Z141" i="159" l="1"/>
  <c r="Z13" i="159"/>
  <c r="Z6" i="159"/>
  <c r="Z19" i="159"/>
  <c r="Z31" i="159"/>
  <c r="Z8" i="159"/>
  <c r="Z21" i="159"/>
  <c r="Z33" i="159"/>
  <c r="Z10" i="159"/>
  <c r="Z23" i="159"/>
  <c r="Z35" i="159"/>
  <c r="Z12" i="159"/>
  <c r="Z25" i="159"/>
  <c r="Z7" i="159"/>
  <c r="Z20" i="159"/>
  <c r="Z32" i="159"/>
  <c r="Z15" i="159"/>
  <c r="Z27" i="159"/>
  <c r="Z9" i="159"/>
  <c r="Z22" i="159"/>
  <c r="Z34" i="159"/>
  <c r="Z4" i="159"/>
  <c r="Z17" i="159"/>
  <c r="Z29" i="159"/>
  <c r="Z11" i="159"/>
  <c r="Z24" i="159"/>
  <c r="Z36" i="159"/>
  <c r="Z14" i="159"/>
  <c r="Z37" i="159"/>
  <c r="Z39" i="159"/>
  <c r="Z51" i="159"/>
  <c r="Z16" i="159"/>
  <c r="Z41" i="159"/>
  <c r="Z53" i="159"/>
  <c r="Z30" i="159"/>
  <c r="Z43" i="159"/>
  <c r="Z55" i="159"/>
  <c r="Z5" i="159"/>
  <c r="Z38" i="159"/>
  <c r="Z50" i="159"/>
  <c r="Z40" i="159"/>
  <c r="Z67" i="159"/>
  <c r="Z47" i="159"/>
  <c r="Z58" i="159"/>
  <c r="Z54" i="159"/>
  <c r="Z69" i="159"/>
  <c r="Z44" i="159"/>
  <c r="Z57" i="159"/>
  <c r="Z64" i="159"/>
  <c r="Z28" i="159"/>
  <c r="Z46" i="159"/>
  <c r="Z66" i="159"/>
  <c r="Z73" i="159"/>
  <c r="Z18" i="159"/>
  <c r="Z45" i="159"/>
  <c r="Z49" i="159"/>
  <c r="Z68" i="159"/>
  <c r="Z42" i="159"/>
  <c r="Z52" i="159"/>
  <c r="Z56" i="159"/>
  <c r="Z63" i="159"/>
  <c r="Z26" i="159"/>
  <c r="Z60" i="159"/>
  <c r="Z81" i="159"/>
  <c r="Z72" i="159"/>
  <c r="Z83" i="159"/>
  <c r="Z95" i="159"/>
  <c r="Z78" i="159"/>
  <c r="Z62" i="159"/>
  <c r="Z75" i="159"/>
  <c r="Z80" i="159"/>
  <c r="Z92" i="159"/>
  <c r="Z59" i="159"/>
  <c r="Z61" i="159"/>
  <c r="Z74" i="159"/>
  <c r="Z87" i="159"/>
  <c r="Z65" i="159"/>
  <c r="Z82" i="159"/>
  <c r="Z94" i="159"/>
  <c r="Z89" i="159"/>
  <c r="Z70" i="159"/>
  <c r="Z86" i="159"/>
  <c r="Z109" i="159"/>
  <c r="Z122" i="159"/>
  <c r="Z77" i="159"/>
  <c r="Z93" i="159"/>
  <c r="Z106" i="159"/>
  <c r="Z71" i="159"/>
  <c r="Z76" i="159"/>
  <c r="Z97" i="159"/>
  <c r="Z98" i="159"/>
  <c r="Z114" i="159"/>
  <c r="Z79" i="159"/>
  <c r="Z101" i="159"/>
  <c r="Z108" i="159"/>
  <c r="Z103" i="159"/>
  <c r="Z116" i="159"/>
  <c r="Z99" i="159"/>
  <c r="Z121" i="159"/>
  <c r="Z130" i="159"/>
  <c r="Z84" i="159"/>
  <c r="Z110" i="159"/>
  <c r="Z119" i="159"/>
  <c r="Z127" i="159"/>
  <c r="Z48" i="159"/>
  <c r="Z88" i="159"/>
  <c r="Z102" i="159"/>
  <c r="Z104" i="159"/>
  <c r="Z112" i="159"/>
  <c r="Z115" i="159"/>
  <c r="Z129" i="159"/>
  <c r="Z96" i="159"/>
  <c r="Z100" i="159"/>
  <c r="Z124" i="159"/>
  <c r="Z136" i="159"/>
  <c r="Z117" i="159"/>
  <c r="Z120" i="159"/>
  <c r="Z105" i="159"/>
  <c r="Z128" i="159"/>
  <c r="Z85" i="159"/>
  <c r="Z133" i="159"/>
  <c r="Z90" i="159"/>
  <c r="Z118" i="159"/>
  <c r="Z123" i="159"/>
  <c r="Z125" i="159"/>
  <c r="Z134" i="159"/>
  <c r="Z138" i="159"/>
  <c r="Z140" i="159"/>
  <c r="Z111" i="159"/>
  <c r="Z132" i="159"/>
  <c r="Z135" i="159"/>
  <c r="Z126" i="159"/>
  <c r="Z91" i="159"/>
  <c r="Z131" i="159"/>
  <c r="Z137" i="159"/>
  <c r="Z107" i="159"/>
  <c r="Z3" i="159"/>
  <c r="Z139" i="159"/>
  <c r="Z203" i="159"/>
  <c r="Z191" i="159"/>
  <c r="Z179" i="159"/>
  <c r="Z199" i="159"/>
  <c r="Z187" i="159"/>
  <c r="Z208" i="159"/>
  <c r="Z195" i="159"/>
  <c r="Z182" i="159"/>
  <c r="Z206" i="159"/>
  <c r="Z193" i="159"/>
  <c r="Z173" i="159"/>
  <c r="Z186" i="159"/>
  <c r="Z181" i="159"/>
  <c r="Z176" i="159"/>
  <c r="Z174" i="159"/>
  <c r="Z169" i="159"/>
  <c r="Z198" i="159"/>
  <c r="Z184" i="159"/>
  <c r="Z205" i="159"/>
  <c r="Z200" i="159"/>
  <c r="Z163" i="159"/>
  <c r="Z204" i="159"/>
  <c r="Z194" i="159"/>
  <c r="Z189" i="159"/>
  <c r="Z188" i="159"/>
  <c r="Z192" i="159"/>
  <c r="Z197" i="159"/>
  <c r="Z170" i="159"/>
  <c r="Z157" i="159"/>
  <c r="Z207" i="159"/>
  <c r="Z202" i="159"/>
  <c r="Z168" i="159"/>
  <c r="Z162" i="159"/>
  <c r="Z150" i="159"/>
  <c r="Z201" i="159"/>
  <c r="Z185" i="159"/>
  <c r="Z180" i="159"/>
  <c r="Z190" i="159"/>
  <c r="Z175" i="159"/>
  <c r="Z171" i="159"/>
  <c r="Z166" i="159"/>
  <c r="Z158" i="159"/>
  <c r="Z146" i="159"/>
  <c r="Z196" i="159"/>
  <c r="Z167" i="159"/>
  <c r="Z153" i="159"/>
  <c r="Z183" i="159"/>
  <c r="Z159" i="159"/>
  <c r="Z177" i="159"/>
  <c r="Z156" i="159"/>
  <c r="Z152" i="159"/>
  <c r="Z151" i="159"/>
  <c r="Z145" i="159"/>
  <c r="Z178" i="159"/>
  <c r="Z160" i="159"/>
  <c r="Z144" i="159"/>
  <c r="Z164" i="159"/>
  <c r="Z161" i="159"/>
  <c r="Z149" i="159"/>
  <c r="Z143" i="159"/>
  <c r="Z172" i="159"/>
  <c r="Z148" i="159"/>
  <c r="Z165" i="159"/>
  <c r="Z154" i="159"/>
  <c r="Z155" i="159"/>
  <c r="Z147" i="159"/>
  <c r="Z142" i="159"/>
  <c r="AA1" i="159"/>
  <c r="AA113" i="159" s="1"/>
  <c r="T19" i="156"/>
  <c r="AA141" i="159" l="1"/>
  <c r="AA13" i="159"/>
  <c r="AA11" i="159"/>
  <c r="AA24" i="159"/>
  <c r="AA36" i="159"/>
  <c r="AA6" i="159"/>
  <c r="AA14" i="159"/>
  <c r="AA26" i="159"/>
  <c r="AA16" i="159"/>
  <c r="AA28" i="159"/>
  <c r="AA5" i="159"/>
  <c r="AA18" i="159"/>
  <c r="AA30" i="159"/>
  <c r="AA12" i="159"/>
  <c r="AA25" i="159"/>
  <c r="AA7" i="159"/>
  <c r="AA20" i="159"/>
  <c r="AA32" i="159"/>
  <c r="AA15" i="159"/>
  <c r="AA27" i="159"/>
  <c r="AA9" i="159"/>
  <c r="AA22" i="159"/>
  <c r="AA34" i="159"/>
  <c r="AA4" i="159"/>
  <c r="AA17" i="159"/>
  <c r="AA29" i="159"/>
  <c r="AA31" i="159"/>
  <c r="AA42" i="159"/>
  <c r="AA10" i="159"/>
  <c r="AA44" i="159"/>
  <c r="AA56" i="159"/>
  <c r="AA33" i="159"/>
  <c r="AA46" i="159"/>
  <c r="AA58" i="159"/>
  <c r="AA41" i="159"/>
  <c r="AA48" i="159"/>
  <c r="AA60" i="159"/>
  <c r="AA21" i="159"/>
  <c r="AA43" i="159"/>
  <c r="AA55" i="159"/>
  <c r="AA8" i="159"/>
  <c r="AA23" i="159"/>
  <c r="AA72" i="159"/>
  <c r="AA40" i="159"/>
  <c r="AA51" i="159"/>
  <c r="AA47" i="159"/>
  <c r="AA62" i="159"/>
  <c r="AA74" i="159"/>
  <c r="AA50" i="159"/>
  <c r="AA54" i="159"/>
  <c r="AA69" i="159"/>
  <c r="AA37" i="159"/>
  <c r="AA57" i="159"/>
  <c r="AA35" i="159"/>
  <c r="AA38" i="159"/>
  <c r="AA71" i="159"/>
  <c r="AA53" i="159"/>
  <c r="AA66" i="159"/>
  <c r="AA73" i="159"/>
  <c r="AA45" i="159"/>
  <c r="AA49" i="159"/>
  <c r="AA68" i="159"/>
  <c r="AA70" i="159"/>
  <c r="AA86" i="159"/>
  <c r="AA88" i="159"/>
  <c r="AA100" i="159"/>
  <c r="AA83" i="159"/>
  <c r="AA63" i="159"/>
  <c r="AA76" i="159"/>
  <c r="AA85" i="159"/>
  <c r="AA97" i="159"/>
  <c r="AA52" i="159"/>
  <c r="AA75" i="159"/>
  <c r="AA80" i="159"/>
  <c r="AA92" i="159"/>
  <c r="AA39" i="159"/>
  <c r="AA59" i="159"/>
  <c r="AA61" i="159"/>
  <c r="AA64" i="159"/>
  <c r="AA87" i="159"/>
  <c r="AA19" i="159"/>
  <c r="AA65" i="159"/>
  <c r="AA82" i="159"/>
  <c r="AA94" i="159"/>
  <c r="AA84" i="159"/>
  <c r="AA90" i="159"/>
  <c r="AA102" i="159"/>
  <c r="AA115" i="159"/>
  <c r="AA91" i="159"/>
  <c r="AA111" i="159"/>
  <c r="AA77" i="159"/>
  <c r="AA93" i="159"/>
  <c r="AA95" i="159"/>
  <c r="AA106" i="159"/>
  <c r="AA78" i="159"/>
  <c r="AA98" i="159"/>
  <c r="AA114" i="159"/>
  <c r="AA67" i="159"/>
  <c r="AA79" i="159"/>
  <c r="AA101" i="159"/>
  <c r="AA108" i="159"/>
  <c r="AA116" i="159"/>
  <c r="AA118" i="159"/>
  <c r="AA123" i="159"/>
  <c r="AA135" i="159"/>
  <c r="AA99" i="159"/>
  <c r="AA132" i="159"/>
  <c r="AA110" i="159"/>
  <c r="AA119" i="159"/>
  <c r="AA127" i="159"/>
  <c r="AA104" i="159"/>
  <c r="AA112" i="159"/>
  <c r="AA122" i="159"/>
  <c r="AA129" i="159"/>
  <c r="AA96" i="159"/>
  <c r="AA107" i="159"/>
  <c r="AA137" i="159"/>
  <c r="AA3" i="159"/>
  <c r="AA117" i="159"/>
  <c r="AA120" i="159"/>
  <c r="AA130" i="159"/>
  <c r="AA89" i="159"/>
  <c r="AA105" i="159"/>
  <c r="AA103" i="159"/>
  <c r="AA133" i="159"/>
  <c r="AA125" i="159"/>
  <c r="AA134" i="159"/>
  <c r="AA138" i="159"/>
  <c r="AA126" i="159"/>
  <c r="AA81" i="159"/>
  <c r="AA121" i="159"/>
  <c r="AA140" i="159"/>
  <c r="AA109" i="159"/>
  <c r="AA124" i="159"/>
  <c r="AA131" i="159"/>
  <c r="AA136" i="159"/>
  <c r="AA128" i="159"/>
  <c r="AA139" i="159"/>
  <c r="AA208" i="159"/>
  <c r="AA196" i="159"/>
  <c r="AA184" i="159"/>
  <c r="AA204" i="159"/>
  <c r="AA192" i="159"/>
  <c r="AA180" i="159"/>
  <c r="AA201" i="159"/>
  <c r="AA188" i="159"/>
  <c r="AA170" i="159"/>
  <c r="AA199" i="159"/>
  <c r="AA186" i="159"/>
  <c r="AA191" i="159"/>
  <c r="AA203" i="159"/>
  <c r="AA179" i="159"/>
  <c r="AA168" i="159"/>
  <c r="AA194" i="159"/>
  <c r="AA189" i="159"/>
  <c r="AA181" i="159"/>
  <c r="AA176" i="159"/>
  <c r="AA174" i="159"/>
  <c r="AA165" i="159"/>
  <c r="AA156" i="159"/>
  <c r="AA183" i="159"/>
  <c r="AA198" i="159"/>
  <c r="AA193" i="159"/>
  <c r="AA197" i="159"/>
  <c r="AA187" i="159"/>
  <c r="AA207" i="159"/>
  <c r="AA202" i="159"/>
  <c r="AA162" i="159"/>
  <c r="AA155" i="159"/>
  <c r="AA206" i="159"/>
  <c r="AA190" i="159"/>
  <c r="AA205" i="159"/>
  <c r="AA200" i="159"/>
  <c r="AA195" i="159"/>
  <c r="AA163" i="159"/>
  <c r="AA151" i="159"/>
  <c r="AA159" i="159"/>
  <c r="AA146" i="159"/>
  <c r="AA177" i="159"/>
  <c r="AA152" i="159"/>
  <c r="AA185" i="159"/>
  <c r="AA169" i="159"/>
  <c r="AA145" i="159"/>
  <c r="AA178" i="159"/>
  <c r="AA160" i="159"/>
  <c r="AA144" i="159"/>
  <c r="AA166" i="159"/>
  <c r="AA164" i="159"/>
  <c r="AA150" i="159"/>
  <c r="AA161" i="159"/>
  <c r="AA157" i="159"/>
  <c r="AA149" i="159"/>
  <c r="AA173" i="159"/>
  <c r="AA143" i="159"/>
  <c r="AA182" i="159"/>
  <c r="AA172" i="159"/>
  <c r="AA148" i="159"/>
  <c r="AA175" i="159"/>
  <c r="AA171" i="159"/>
  <c r="AA158" i="159"/>
  <c r="AA154" i="159"/>
  <c r="AA147" i="159"/>
  <c r="AA142" i="159"/>
  <c r="AA167" i="159"/>
  <c r="AA153" i="159"/>
  <c r="AB1" i="159"/>
  <c r="AB113" i="159" s="1"/>
  <c r="T144" i="156"/>
  <c r="T26" i="156"/>
  <c r="AB141" i="159" l="1"/>
  <c r="AB13" i="159"/>
  <c r="AB4" i="159"/>
  <c r="AB17" i="159"/>
  <c r="AB29" i="159"/>
  <c r="AB6" i="159"/>
  <c r="AB19" i="159"/>
  <c r="AB31" i="159"/>
  <c r="AB8" i="159"/>
  <c r="AB21" i="159"/>
  <c r="AB33" i="159"/>
  <c r="AB10" i="159"/>
  <c r="AB23" i="159"/>
  <c r="AB35" i="159"/>
  <c r="AB5" i="159"/>
  <c r="AB18" i="159"/>
  <c r="AB30" i="159"/>
  <c r="AB12" i="159"/>
  <c r="AB25" i="159"/>
  <c r="AB37" i="159"/>
  <c r="AB7" i="159"/>
  <c r="AB20" i="159"/>
  <c r="AB32" i="159"/>
  <c r="AB15" i="159"/>
  <c r="AB27" i="159"/>
  <c r="AB9" i="159"/>
  <c r="AB22" i="159"/>
  <c r="AB34" i="159"/>
  <c r="AB28" i="159"/>
  <c r="AB49" i="159"/>
  <c r="AB61" i="159"/>
  <c r="AB39" i="159"/>
  <c r="AB51" i="159"/>
  <c r="AB16" i="159"/>
  <c r="AB24" i="159"/>
  <c r="AB41" i="159"/>
  <c r="AB53" i="159"/>
  <c r="AB48" i="159"/>
  <c r="AB60" i="159"/>
  <c r="AB26" i="159"/>
  <c r="AB11" i="159"/>
  <c r="AB65" i="159"/>
  <c r="AB40" i="159"/>
  <c r="AB58" i="159"/>
  <c r="AB67" i="159"/>
  <c r="AB47" i="159"/>
  <c r="AB62" i="159"/>
  <c r="AB74" i="159"/>
  <c r="AB44" i="159"/>
  <c r="AB50" i="159"/>
  <c r="AB54" i="159"/>
  <c r="AB57" i="159"/>
  <c r="AB64" i="159"/>
  <c r="AB38" i="159"/>
  <c r="AB46" i="159"/>
  <c r="AB71" i="159"/>
  <c r="AB14" i="159"/>
  <c r="AB66" i="159"/>
  <c r="AB73" i="159"/>
  <c r="AB69" i="159"/>
  <c r="AB79" i="159"/>
  <c r="AB81" i="159"/>
  <c r="AB93" i="159"/>
  <c r="AB56" i="159"/>
  <c r="AB72" i="159"/>
  <c r="AB78" i="159"/>
  <c r="AB90" i="159"/>
  <c r="AB42" i="159"/>
  <c r="AB45" i="159"/>
  <c r="AB63" i="159"/>
  <c r="AB76" i="159"/>
  <c r="AB85" i="159"/>
  <c r="AB97" i="159"/>
  <c r="AB52" i="159"/>
  <c r="AB75" i="159"/>
  <c r="AB80" i="159"/>
  <c r="AB92" i="159"/>
  <c r="AB59" i="159"/>
  <c r="AB87" i="159"/>
  <c r="AB83" i="159"/>
  <c r="AB88" i="159"/>
  <c r="AB55" i="159"/>
  <c r="AB107" i="159"/>
  <c r="AB120" i="159"/>
  <c r="AB86" i="159"/>
  <c r="AB89" i="159"/>
  <c r="AB104" i="159"/>
  <c r="AB117" i="159"/>
  <c r="AB91" i="159"/>
  <c r="AB111" i="159"/>
  <c r="AB77" i="159"/>
  <c r="AB95" i="159"/>
  <c r="AB106" i="159"/>
  <c r="AB98" i="159"/>
  <c r="AB114" i="159"/>
  <c r="AB101" i="159"/>
  <c r="AB109" i="159"/>
  <c r="AB128" i="159"/>
  <c r="AB94" i="159"/>
  <c r="AB125" i="159"/>
  <c r="AB70" i="159"/>
  <c r="AB82" i="159"/>
  <c r="AB84" i="159"/>
  <c r="AB108" i="159"/>
  <c r="AB132" i="159"/>
  <c r="AB102" i="159"/>
  <c r="AB110" i="159"/>
  <c r="AB119" i="159"/>
  <c r="AB127" i="159"/>
  <c r="AB112" i="159"/>
  <c r="AB115" i="159"/>
  <c r="AB122" i="159"/>
  <c r="AB134" i="159"/>
  <c r="AB36" i="159"/>
  <c r="AB139" i="159"/>
  <c r="AB43" i="159"/>
  <c r="AB96" i="159"/>
  <c r="AB100" i="159"/>
  <c r="AB116" i="159"/>
  <c r="AB137" i="159"/>
  <c r="AB3" i="159"/>
  <c r="AB130" i="159"/>
  <c r="AB124" i="159"/>
  <c r="AB105" i="159"/>
  <c r="AB129" i="159"/>
  <c r="AB103" i="159"/>
  <c r="AB118" i="159"/>
  <c r="AB123" i="159"/>
  <c r="AB133" i="159"/>
  <c r="AB68" i="159"/>
  <c r="AB138" i="159"/>
  <c r="AB136" i="159"/>
  <c r="AB99" i="159"/>
  <c r="AB121" i="159"/>
  <c r="AB135" i="159"/>
  <c r="AB140" i="159"/>
  <c r="AB131" i="159"/>
  <c r="AB126" i="159"/>
  <c r="AB201" i="159"/>
  <c r="AB189" i="159"/>
  <c r="AB177" i="159"/>
  <c r="AB197" i="159"/>
  <c r="AB185" i="159"/>
  <c r="AB207" i="159"/>
  <c r="AB194" i="159"/>
  <c r="AB181" i="159"/>
  <c r="AB175" i="159"/>
  <c r="AB205" i="159"/>
  <c r="AB192" i="159"/>
  <c r="AB179" i="159"/>
  <c r="AB171" i="159"/>
  <c r="AB206" i="159"/>
  <c r="AB196" i="159"/>
  <c r="AB173" i="159"/>
  <c r="AB167" i="159"/>
  <c r="AB208" i="159"/>
  <c r="AB184" i="159"/>
  <c r="AB170" i="159"/>
  <c r="AB204" i="159"/>
  <c r="AB199" i="159"/>
  <c r="AB191" i="159"/>
  <c r="AB186" i="159"/>
  <c r="AB161" i="159"/>
  <c r="AB198" i="159"/>
  <c r="AB193" i="159"/>
  <c r="AB188" i="159"/>
  <c r="AB203" i="159"/>
  <c r="AB187" i="159"/>
  <c r="AB202" i="159"/>
  <c r="AB168" i="159"/>
  <c r="AB155" i="159"/>
  <c r="AB176" i="159"/>
  <c r="AB160" i="159"/>
  <c r="AB148" i="159"/>
  <c r="AB200" i="159"/>
  <c r="AB195" i="159"/>
  <c r="AB165" i="159"/>
  <c r="AB156" i="159"/>
  <c r="AB183" i="159"/>
  <c r="AB152" i="159"/>
  <c r="AB169" i="159"/>
  <c r="AB163" i="159"/>
  <c r="AB145" i="159"/>
  <c r="AB178" i="159"/>
  <c r="AB151" i="159"/>
  <c r="AB144" i="159"/>
  <c r="AB166" i="159"/>
  <c r="AB164" i="159"/>
  <c r="AB150" i="159"/>
  <c r="AB157" i="159"/>
  <c r="AB149" i="159"/>
  <c r="AB143" i="159"/>
  <c r="AB182" i="159"/>
  <c r="AB172" i="159"/>
  <c r="AB174" i="159"/>
  <c r="AB158" i="159"/>
  <c r="AB154" i="159"/>
  <c r="AB147" i="159"/>
  <c r="AB142" i="159"/>
  <c r="AB180" i="159"/>
  <c r="AB162" i="159"/>
  <c r="AB153" i="159"/>
  <c r="AB190" i="159"/>
  <c r="AB159" i="159"/>
  <c r="AB146" i="159"/>
  <c r="AC1" i="159"/>
  <c r="AC113" i="159" s="1"/>
  <c r="T16" i="156"/>
  <c r="T13" i="156"/>
  <c r="AC141" i="159" l="1"/>
  <c r="AC13" i="159"/>
  <c r="AC9" i="159"/>
  <c r="AC22" i="159"/>
  <c r="AC34" i="159"/>
  <c r="AC4" i="159"/>
  <c r="AC11" i="159"/>
  <c r="AC24" i="159"/>
  <c r="AC36" i="159"/>
  <c r="AC14" i="159"/>
  <c r="AC26" i="159"/>
  <c r="AC16" i="159"/>
  <c r="AC28" i="159"/>
  <c r="AC10" i="159"/>
  <c r="AC23" i="159"/>
  <c r="AC35" i="159"/>
  <c r="AC5" i="159"/>
  <c r="AC18" i="159"/>
  <c r="AC30" i="159"/>
  <c r="AC12" i="159"/>
  <c r="AC25" i="159"/>
  <c r="AC37" i="159"/>
  <c r="AC7" i="159"/>
  <c r="AC20" i="159"/>
  <c r="AC32" i="159"/>
  <c r="AC15" i="159"/>
  <c r="AC27" i="159"/>
  <c r="AC6" i="159"/>
  <c r="AC17" i="159"/>
  <c r="AC40" i="159"/>
  <c r="AC42" i="159"/>
  <c r="AC54" i="159"/>
  <c r="AC19" i="159"/>
  <c r="AC44" i="159"/>
  <c r="AC56" i="159"/>
  <c r="AC33" i="159"/>
  <c r="AC39" i="159"/>
  <c r="AC46" i="159"/>
  <c r="AC58" i="159"/>
  <c r="AC41" i="159"/>
  <c r="AC53" i="159"/>
  <c r="AC43" i="159"/>
  <c r="AC55" i="159"/>
  <c r="AC59" i="159"/>
  <c r="AC70" i="159"/>
  <c r="AC51" i="159"/>
  <c r="AC72" i="159"/>
  <c r="AC31" i="159"/>
  <c r="AC67" i="159"/>
  <c r="AC47" i="159"/>
  <c r="AC8" i="159"/>
  <c r="AC21" i="159"/>
  <c r="AC50" i="159"/>
  <c r="AC69" i="159"/>
  <c r="AC57" i="159"/>
  <c r="AC64" i="159"/>
  <c r="AC29" i="159"/>
  <c r="AC38" i="159"/>
  <c r="AC71" i="159"/>
  <c r="AC66" i="159"/>
  <c r="AC77" i="159"/>
  <c r="AC84" i="159"/>
  <c r="AC60" i="159"/>
  <c r="AC86" i="159"/>
  <c r="AC98" i="159"/>
  <c r="AC49" i="159"/>
  <c r="AC73" i="159"/>
  <c r="AC81" i="159"/>
  <c r="AC83" i="159"/>
  <c r="AC95" i="159"/>
  <c r="AC62" i="159"/>
  <c r="AC78" i="159"/>
  <c r="AC90" i="159"/>
  <c r="AC45" i="159"/>
  <c r="AC63" i="159"/>
  <c r="AC74" i="159"/>
  <c r="AC76" i="159"/>
  <c r="AC85" i="159"/>
  <c r="AC97" i="159"/>
  <c r="AC52" i="159"/>
  <c r="AC61" i="159"/>
  <c r="AC75" i="159"/>
  <c r="AC80" i="159"/>
  <c r="AC92" i="159"/>
  <c r="AC94" i="159"/>
  <c r="AC68" i="159"/>
  <c r="AC112" i="159"/>
  <c r="AC48" i="159"/>
  <c r="AC87" i="159"/>
  <c r="AC100" i="159"/>
  <c r="AC109" i="159"/>
  <c r="AC89" i="159"/>
  <c r="AC104" i="159"/>
  <c r="AC91" i="159"/>
  <c r="AC93" i="159"/>
  <c r="AC111" i="159"/>
  <c r="AC106" i="159"/>
  <c r="AC79" i="159"/>
  <c r="AC105" i="159"/>
  <c r="AC107" i="159"/>
  <c r="AC133" i="159"/>
  <c r="AC65" i="159"/>
  <c r="AC99" i="159"/>
  <c r="AC121" i="159"/>
  <c r="AC130" i="159"/>
  <c r="AC125" i="159"/>
  <c r="AC82" i="159"/>
  <c r="AC88" i="159"/>
  <c r="AC108" i="159"/>
  <c r="AC102" i="159"/>
  <c r="AC110" i="159"/>
  <c r="AC119" i="159"/>
  <c r="AC127" i="159"/>
  <c r="AC126" i="159"/>
  <c r="AC128" i="159"/>
  <c r="AC122" i="159"/>
  <c r="AC115" i="159"/>
  <c r="AC139" i="159"/>
  <c r="AC96" i="159"/>
  <c r="AC116" i="159"/>
  <c r="AC117" i="159"/>
  <c r="AC120" i="159"/>
  <c r="AC137" i="159"/>
  <c r="AC3" i="159"/>
  <c r="AC114" i="159"/>
  <c r="AC129" i="159"/>
  <c r="AC103" i="159"/>
  <c r="AC118" i="159"/>
  <c r="AC123" i="159"/>
  <c r="AC134" i="159"/>
  <c r="AC132" i="159"/>
  <c r="AC138" i="159"/>
  <c r="AC101" i="159"/>
  <c r="AC135" i="159"/>
  <c r="AC140" i="159"/>
  <c r="AC131" i="159"/>
  <c r="AC124" i="159"/>
  <c r="AC136" i="159"/>
  <c r="AC206" i="159"/>
  <c r="AC194" i="159"/>
  <c r="AC182" i="159"/>
  <c r="AC202" i="159"/>
  <c r="AC190" i="159"/>
  <c r="AC178" i="159"/>
  <c r="AC200" i="159"/>
  <c r="AC187" i="159"/>
  <c r="AC198" i="159"/>
  <c r="AC185" i="159"/>
  <c r="AC201" i="159"/>
  <c r="AC177" i="159"/>
  <c r="AC204" i="159"/>
  <c r="AC199" i="159"/>
  <c r="AC189" i="159"/>
  <c r="AC166" i="159"/>
  <c r="AC180" i="159"/>
  <c r="AC196" i="159"/>
  <c r="AC173" i="159"/>
  <c r="AC184" i="159"/>
  <c r="AC179" i="159"/>
  <c r="AC193" i="159"/>
  <c r="AC188" i="159"/>
  <c r="AC203" i="159"/>
  <c r="AC208" i="159"/>
  <c r="AC197" i="159"/>
  <c r="AC192" i="159"/>
  <c r="AC207" i="159"/>
  <c r="AC176" i="159"/>
  <c r="AC160" i="159"/>
  <c r="AC191" i="159"/>
  <c r="AC186" i="159"/>
  <c r="AC181" i="159"/>
  <c r="AC167" i="159"/>
  <c r="AC153" i="159"/>
  <c r="AC143" i="159"/>
  <c r="AC195" i="159"/>
  <c r="AC205" i="159"/>
  <c r="AC161" i="159"/>
  <c r="AC149" i="159"/>
  <c r="AC144" i="159"/>
  <c r="AC169" i="159"/>
  <c r="AC163" i="159"/>
  <c r="AC145" i="159"/>
  <c r="AC156" i="159"/>
  <c r="AC151" i="159"/>
  <c r="AC164" i="159"/>
  <c r="AC150" i="159"/>
  <c r="AC157" i="159"/>
  <c r="AC172" i="159"/>
  <c r="AC168" i="159"/>
  <c r="AC174" i="159"/>
  <c r="AC158" i="159"/>
  <c r="AC154" i="159"/>
  <c r="AC148" i="159"/>
  <c r="AC175" i="159"/>
  <c r="AC171" i="159"/>
  <c r="AC147" i="159"/>
  <c r="AC142" i="159"/>
  <c r="AC165" i="159"/>
  <c r="AC162" i="159"/>
  <c r="AC170" i="159"/>
  <c r="AC159" i="159"/>
  <c r="AC155" i="159"/>
  <c r="AC146" i="159"/>
  <c r="AC183" i="159"/>
  <c r="AC152" i="159"/>
  <c r="AD1" i="159"/>
  <c r="AD113" i="159" s="1"/>
  <c r="T27" i="156"/>
  <c r="T18" i="156"/>
  <c r="T12" i="156"/>
  <c r="AD141" i="159" l="1"/>
  <c r="AD13" i="159"/>
  <c r="AD15" i="159"/>
  <c r="AD27" i="159"/>
  <c r="AD4" i="159"/>
  <c r="AD17" i="159"/>
  <c r="AD29" i="159"/>
  <c r="AD6" i="159"/>
  <c r="AD19" i="159"/>
  <c r="AD31" i="159"/>
  <c r="AD8" i="159"/>
  <c r="AD21" i="159"/>
  <c r="AD33" i="159"/>
  <c r="AD16" i="159"/>
  <c r="AD28" i="159"/>
  <c r="AD10" i="159"/>
  <c r="AD23" i="159"/>
  <c r="AD35" i="159"/>
  <c r="AD5" i="159"/>
  <c r="AD18" i="159"/>
  <c r="AD30" i="159"/>
  <c r="AD12" i="159"/>
  <c r="AD25" i="159"/>
  <c r="AD7" i="159"/>
  <c r="AD20" i="159"/>
  <c r="AD32" i="159"/>
  <c r="AD34" i="159"/>
  <c r="AD14" i="159"/>
  <c r="AD47" i="159"/>
  <c r="AD59" i="159"/>
  <c r="AD36" i="159"/>
  <c r="AD37" i="159"/>
  <c r="AD49" i="159"/>
  <c r="AD44" i="159"/>
  <c r="AD9" i="159"/>
  <c r="AD39" i="159"/>
  <c r="AD51" i="159"/>
  <c r="AD24" i="159"/>
  <c r="AD46" i="159"/>
  <c r="AD58" i="159"/>
  <c r="AD11" i="159"/>
  <c r="AD48" i="159"/>
  <c r="AD52" i="159"/>
  <c r="AD61" i="159"/>
  <c r="AD63" i="159"/>
  <c r="AD75" i="159"/>
  <c r="AD43" i="159"/>
  <c r="AD55" i="159"/>
  <c r="AD65" i="159"/>
  <c r="AD77" i="159"/>
  <c r="AD40" i="159"/>
  <c r="AD72" i="159"/>
  <c r="AD41" i="159"/>
  <c r="AD54" i="159"/>
  <c r="AD62" i="159"/>
  <c r="AD50" i="159"/>
  <c r="AD69" i="159"/>
  <c r="AD53" i="159"/>
  <c r="AD57" i="159"/>
  <c r="AD64" i="159"/>
  <c r="AD38" i="159"/>
  <c r="AD71" i="159"/>
  <c r="AD68" i="159"/>
  <c r="AD26" i="159"/>
  <c r="AD60" i="159"/>
  <c r="AD70" i="159"/>
  <c r="AD79" i="159"/>
  <c r="AD91" i="159"/>
  <c r="AD86" i="159"/>
  <c r="AD56" i="159"/>
  <c r="AD88" i="159"/>
  <c r="AD83" i="159"/>
  <c r="AD95" i="159"/>
  <c r="AD42" i="159"/>
  <c r="AD78" i="159"/>
  <c r="AD90" i="159"/>
  <c r="AD45" i="159"/>
  <c r="AD74" i="159"/>
  <c r="AD76" i="159"/>
  <c r="AD85" i="159"/>
  <c r="AD97" i="159"/>
  <c r="AD22" i="159"/>
  <c r="AD82" i="159"/>
  <c r="AD92" i="159"/>
  <c r="AD66" i="159"/>
  <c r="AD84" i="159"/>
  <c r="AD96" i="159"/>
  <c r="AD99" i="159"/>
  <c r="AD105" i="159"/>
  <c r="AD118" i="159"/>
  <c r="AD73" i="159"/>
  <c r="AD102" i="159"/>
  <c r="AD115" i="159"/>
  <c r="AD87" i="159"/>
  <c r="AD100" i="159"/>
  <c r="AD109" i="159"/>
  <c r="AD89" i="159"/>
  <c r="AD104" i="159"/>
  <c r="AD117" i="159"/>
  <c r="AD93" i="159"/>
  <c r="AD111" i="159"/>
  <c r="AD81" i="159"/>
  <c r="AD101" i="159"/>
  <c r="AD103" i="159"/>
  <c r="AD114" i="159"/>
  <c r="AD126" i="159"/>
  <c r="AD138" i="159"/>
  <c r="AD116" i="159"/>
  <c r="AD123" i="159"/>
  <c r="AD121" i="159"/>
  <c r="AD130" i="159"/>
  <c r="AD80" i="159"/>
  <c r="AD106" i="159"/>
  <c r="AD125" i="159"/>
  <c r="AD108" i="159"/>
  <c r="AD132" i="159"/>
  <c r="AD98" i="159"/>
  <c r="AD124" i="159"/>
  <c r="AD131" i="159"/>
  <c r="AD107" i="159"/>
  <c r="AD128" i="159"/>
  <c r="AD139" i="159"/>
  <c r="AD120" i="159"/>
  <c r="AD137" i="159"/>
  <c r="AD3" i="159"/>
  <c r="AD112" i="159"/>
  <c r="AD127" i="159"/>
  <c r="AD135" i="159"/>
  <c r="AD94" i="159"/>
  <c r="AD129" i="159"/>
  <c r="AD133" i="159"/>
  <c r="AD140" i="159"/>
  <c r="AD110" i="159"/>
  <c r="AD134" i="159"/>
  <c r="AD119" i="159"/>
  <c r="AD67" i="159"/>
  <c r="AD122" i="159"/>
  <c r="AD136" i="159"/>
  <c r="AD199" i="159"/>
  <c r="AD187" i="159"/>
  <c r="AD207" i="159"/>
  <c r="AD195" i="159"/>
  <c r="AD183" i="159"/>
  <c r="AD193" i="159"/>
  <c r="AD180" i="159"/>
  <c r="AD173" i="159"/>
  <c r="AD204" i="159"/>
  <c r="AD191" i="159"/>
  <c r="AD178" i="159"/>
  <c r="AD197" i="159"/>
  <c r="AD192" i="159"/>
  <c r="AD182" i="159"/>
  <c r="AD172" i="159"/>
  <c r="AD165" i="159"/>
  <c r="AD194" i="159"/>
  <c r="AD190" i="159"/>
  <c r="AD185" i="159"/>
  <c r="AD175" i="159"/>
  <c r="AD206" i="159"/>
  <c r="AD201" i="159"/>
  <c r="AD177" i="159"/>
  <c r="AD189" i="159"/>
  <c r="AD159" i="159"/>
  <c r="AD188" i="159"/>
  <c r="AD203" i="159"/>
  <c r="AD198" i="159"/>
  <c r="AD208" i="159"/>
  <c r="AD202" i="159"/>
  <c r="AD186" i="159"/>
  <c r="AD181" i="159"/>
  <c r="AD167" i="159"/>
  <c r="AD196" i="159"/>
  <c r="AD158" i="159"/>
  <c r="AD146" i="159"/>
  <c r="AD205" i="159"/>
  <c r="AD200" i="159"/>
  <c r="AD184" i="159"/>
  <c r="AD179" i="159"/>
  <c r="AD154" i="159"/>
  <c r="AD156" i="159"/>
  <c r="AD151" i="159"/>
  <c r="AD164" i="159"/>
  <c r="AD160" i="159"/>
  <c r="AD150" i="159"/>
  <c r="AD144" i="159"/>
  <c r="AD166" i="159"/>
  <c r="AD157" i="159"/>
  <c r="AD149" i="159"/>
  <c r="AD168" i="159"/>
  <c r="AD161" i="159"/>
  <c r="AD143" i="159"/>
  <c r="AD174" i="159"/>
  <c r="AD148" i="159"/>
  <c r="AD171" i="159"/>
  <c r="AD147" i="159"/>
  <c r="AD142" i="159"/>
  <c r="AD162" i="159"/>
  <c r="AD170" i="159"/>
  <c r="AD155" i="159"/>
  <c r="AD153" i="159"/>
  <c r="AD176" i="159"/>
  <c r="AD152" i="159"/>
  <c r="AD169" i="159"/>
  <c r="AD163" i="159"/>
  <c r="AD145" i="159"/>
  <c r="AE1" i="159"/>
  <c r="AE113" i="159" s="1"/>
  <c r="T46" i="156"/>
  <c r="AE141" i="159" l="1"/>
  <c r="AE13" i="159"/>
  <c r="AE7" i="159"/>
  <c r="AE20" i="159"/>
  <c r="AE32" i="159"/>
  <c r="AE9" i="159"/>
  <c r="AE22" i="159"/>
  <c r="AE34" i="159"/>
  <c r="AE11" i="159"/>
  <c r="AE24" i="159"/>
  <c r="AE36" i="159"/>
  <c r="AE14" i="159"/>
  <c r="AE26" i="159"/>
  <c r="AE8" i="159"/>
  <c r="AE21" i="159"/>
  <c r="AE33" i="159"/>
  <c r="AE16" i="159"/>
  <c r="AE28" i="159"/>
  <c r="AE10" i="159"/>
  <c r="AE23" i="159"/>
  <c r="AE35" i="159"/>
  <c r="AE5" i="159"/>
  <c r="AE18" i="159"/>
  <c r="AE30" i="159"/>
  <c r="AE12" i="159"/>
  <c r="AE25" i="159"/>
  <c r="AE38" i="159"/>
  <c r="AE6" i="159"/>
  <c r="AE4" i="159"/>
  <c r="AE31" i="159"/>
  <c r="AE40" i="159"/>
  <c r="AE52" i="159"/>
  <c r="AE42" i="159"/>
  <c r="AE54" i="159"/>
  <c r="AE19" i="159"/>
  <c r="AE37" i="159"/>
  <c r="AE27" i="159"/>
  <c r="AE44" i="159"/>
  <c r="AE56" i="159"/>
  <c r="AE39" i="159"/>
  <c r="AE51" i="159"/>
  <c r="AE29" i="159"/>
  <c r="AE45" i="159"/>
  <c r="AE60" i="159"/>
  <c r="AE68" i="159"/>
  <c r="AE48" i="159"/>
  <c r="AE59" i="159"/>
  <c r="AE61" i="159"/>
  <c r="AE43" i="159"/>
  <c r="AE55" i="159"/>
  <c r="AE70" i="159"/>
  <c r="AE58" i="159"/>
  <c r="AE65" i="159"/>
  <c r="AE17" i="159"/>
  <c r="AE47" i="159"/>
  <c r="AE67" i="159"/>
  <c r="AE41" i="159"/>
  <c r="AE62" i="159"/>
  <c r="AE46" i="159"/>
  <c r="AE50" i="159"/>
  <c r="AE69" i="159"/>
  <c r="AE53" i="159"/>
  <c r="AE57" i="159"/>
  <c r="AE64" i="159"/>
  <c r="AE82" i="159"/>
  <c r="AE71" i="159"/>
  <c r="AE84" i="159"/>
  <c r="AE96" i="159"/>
  <c r="AE79" i="159"/>
  <c r="AE15" i="159"/>
  <c r="AE49" i="159"/>
  <c r="AE73" i="159"/>
  <c r="AE81" i="159"/>
  <c r="AE93" i="159"/>
  <c r="AE88" i="159"/>
  <c r="AE83" i="159"/>
  <c r="AE95" i="159"/>
  <c r="AE63" i="159"/>
  <c r="AE78" i="159"/>
  <c r="AE90" i="159"/>
  <c r="AE72" i="159"/>
  <c r="AE85" i="159"/>
  <c r="AE94" i="159"/>
  <c r="AE110" i="159"/>
  <c r="AE66" i="159"/>
  <c r="AE107" i="159"/>
  <c r="AE102" i="159"/>
  <c r="AE115" i="159"/>
  <c r="AE76" i="159"/>
  <c r="AE87" i="159"/>
  <c r="AE97" i="159"/>
  <c r="AE100" i="159"/>
  <c r="AE109" i="159"/>
  <c r="AE77" i="159"/>
  <c r="AE89" i="159"/>
  <c r="AE91" i="159"/>
  <c r="AE104" i="159"/>
  <c r="AE117" i="159"/>
  <c r="AE98" i="159"/>
  <c r="AE111" i="159"/>
  <c r="AE120" i="159"/>
  <c r="AE131" i="159"/>
  <c r="AE74" i="159"/>
  <c r="AE86" i="159"/>
  <c r="AE118" i="159"/>
  <c r="AE128" i="159"/>
  <c r="AE75" i="159"/>
  <c r="AE99" i="159"/>
  <c r="AE116" i="159"/>
  <c r="AE123" i="159"/>
  <c r="AE121" i="159"/>
  <c r="AE80" i="159"/>
  <c r="AE106" i="159"/>
  <c r="AE125" i="159"/>
  <c r="AE92" i="159"/>
  <c r="AE122" i="159"/>
  <c r="AE136" i="159"/>
  <c r="AE101" i="159"/>
  <c r="AE124" i="159"/>
  <c r="AE126" i="159"/>
  <c r="AE108" i="159"/>
  <c r="AE3" i="159"/>
  <c r="AE130" i="159"/>
  <c r="AE139" i="159"/>
  <c r="AE105" i="159"/>
  <c r="AE114" i="159"/>
  <c r="AE137" i="159"/>
  <c r="AE112" i="159"/>
  <c r="AE119" i="159"/>
  <c r="AE127" i="159"/>
  <c r="AE103" i="159"/>
  <c r="AE129" i="159"/>
  <c r="AE133" i="159"/>
  <c r="AE132" i="159"/>
  <c r="AE134" i="159"/>
  <c r="AE138" i="159"/>
  <c r="AE135" i="159"/>
  <c r="AE140" i="159"/>
  <c r="AE204" i="159"/>
  <c r="AE192" i="159"/>
  <c r="AE180" i="159"/>
  <c r="AE200" i="159"/>
  <c r="AE188" i="159"/>
  <c r="AE176" i="159"/>
  <c r="AE206" i="159"/>
  <c r="AE186" i="159"/>
  <c r="AE197" i="159"/>
  <c r="AE184" i="159"/>
  <c r="AE174" i="159"/>
  <c r="AE202" i="159"/>
  <c r="AE187" i="159"/>
  <c r="AE190" i="159"/>
  <c r="AE185" i="159"/>
  <c r="AE175" i="159"/>
  <c r="AE205" i="159"/>
  <c r="AE195" i="159"/>
  <c r="AE182" i="159"/>
  <c r="AE172" i="159"/>
  <c r="AE199" i="159"/>
  <c r="AE194" i="159"/>
  <c r="AE183" i="159"/>
  <c r="AE178" i="159"/>
  <c r="AE164" i="159"/>
  <c r="AE203" i="159"/>
  <c r="AE198" i="159"/>
  <c r="AE193" i="159"/>
  <c r="AE208" i="159"/>
  <c r="AE207" i="159"/>
  <c r="AE196" i="159"/>
  <c r="AE191" i="159"/>
  <c r="AE158" i="159"/>
  <c r="AE201" i="159"/>
  <c r="AE173" i="159"/>
  <c r="AE171" i="159"/>
  <c r="AE166" i="159"/>
  <c r="AE163" i="159"/>
  <c r="AE151" i="159"/>
  <c r="AE189" i="159"/>
  <c r="AE159" i="159"/>
  <c r="AE147" i="159"/>
  <c r="AE177" i="159"/>
  <c r="AE160" i="159"/>
  <c r="AE150" i="159"/>
  <c r="AE144" i="159"/>
  <c r="AE181" i="159"/>
  <c r="AE157" i="159"/>
  <c r="AE149" i="159"/>
  <c r="AE168" i="159"/>
  <c r="AE161" i="159"/>
  <c r="AE143" i="159"/>
  <c r="AE179" i="159"/>
  <c r="AE148" i="159"/>
  <c r="AE154" i="159"/>
  <c r="AE142" i="159"/>
  <c r="AE162" i="159"/>
  <c r="AE170" i="159"/>
  <c r="AE165" i="159"/>
  <c r="AE155" i="159"/>
  <c r="AE153" i="159"/>
  <c r="AE152" i="159"/>
  <c r="AE146" i="159"/>
  <c r="AE169" i="159"/>
  <c r="AE167" i="159"/>
  <c r="AE145" i="159"/>
  <c r="AE156" i="159"/>
  <c r="AF1" i="159"/>
  <c r="AF113" i="159" s="1"/>
  <c r="T9" i="156"/>
  <c r="T17" i="156"/>
  <c r="AF141" i="159" l="1"/>
  <c r="AF13" i="159"/>
  <c r="AF12" i="159"/>
  <c r="AF25" i="159"/>
  <c r="AF7" i="159"/>
  <c r="AF15" i="159"/>
  <c r="AF27" i="159"/>
  <c r="AF4" i="159"/>
  <c r="AF17" i="159"/>
  <c r="AF29" i="159"/>
  <c r="AF6" i="159"/>
  <c r="AF19" i="159"/>
  <c r="AF31" i="159"/>
  <c r="AF14" i="159"/>
  <c r="AF26" i="159"/>
  <c r="AF8" i="159"/>
  <c r="AF21" i="159"/>
  <c r="AF33" i="159"/>
  <c r="AF16" i="159"/>
  <c r="AF28" i="159"/>
  <c r="AF10" i="159"/>
  <c r="AF23" i="159"/>
  <c r="AF35" i="159"/>
  <c r="AF5" i="159"/>
  <c r="AF18" i="159"/>
  <c r="AF30" i="159"/>
  <c r="AF20" i="159"/>
  <c r="AF43" i="159"/>
  <c r="AF45" i="159"/>
  <c r="AF57" i="159"/>
  <c r="AF22" i="159"/>
  <c r="AF47" i="159"/>
  <c r="AF36" i="159"/>
  <c r="AF42" i="159"/>
  <c r="AF37" i="159"/>
  <c r="AF49" i="159"/>
  <c r="AF9" i="159"/>
  <c r="AF44" i="159"/>
  <c r="AF56" i="159"/>
  <c r="AF73" i="159"/>
  <c r="AF11" i="159"/>
  <c r="AF52" i="159"/>
  <c r="AF60" i="159"/>
  <c r="AF48" i="159"/>
  <c r="AF59" i="159"/>
  <c r="AF61" i="159"/>
  <c r="AF63" i="159"/>
  <c r="AF75" i="159"/>
  <c r="AF24" i="159"/>
  <c r="AF34" i="159"/>
  <c r="AF51" i="159"/>
  <c r="AF55" i="159"/>
  <c r="AF70" i="159"/>
  <c r="AF40" i="159"/>
  <c r="AF58" i="159"/>
  <c r="AF72" i="159"/>
  <c r="AF32" i="159"/>
  <c r="AF54" i="159"/>
  <c r="AF67" i="159"/>
  <c r="AF41" i="159"/>
  <c r="AF62" i="159"/>
  <c r="AF46" i="159"/>
  <c r="AF50" i="159"/>
  <c r="AF69" i="159"/>
  <c r="AF53" i="159"/>
  <c r="AF77" i="159"/>
  <c r="AF89" i="159"/>
  <c r="AF101" i="159"/>
  <c r="AF38" i="159"/>
  <c r="AF71" i="159"/>
  <c r="AF84" i="159"/>
  <c r="AF86" i="159"/>
  <c r="AF81" i="159"/>
  <c r="AF93" i="159"/>
  <c r="AF88" i="159"/>
  <c r="AF39" i="159"/>
  <c r="AF64" i="159"/>
  <c r="AF83" i="159"/>
  <c r="AF95" i="159"/>
  <c r="AF74" i="159"/>
  <c r="AF92" i="159"/>
  <c r="AF103" i="159"/>
  <c r="AF116" i="159"/>
  <c r="AF68" i="159"/>
  <c r="AF85" i="159"/>
  <c r="AF94" i="159"/>
  <c r="AF112" i="159"/>
  <c r="AF107" i="159"/>
  <c r="AF102" i="159"/>
  <c r="AF115" i="159"/>
  <c r="AF76" i="159"/>
  <c r="AF78" i="159"/>
  <c r="AF87" i="159"/>
  <c r="AF97" i="159"/>
  <c r="AF100" i="159"/>
  <c r="AF109" i="159"/>
  <c r="AF96" i="159"/>
  <c r="AF117" i="159"/>
  <c r="AF124" i="159"/>
  <c r="AF136" i="159"/>
  <c r="AF79" i="159"/>
  <c r="AF91" i="159"/>
  <c r="AF133" i="159"/>
  <c r="AF65" i="159"/>
  <c r="AF118" i="159"/>
  <c r="AF128" i="159"/>
  <c r="AF99" i="159"/>
  <c r="AF123" i="159"/>
  <c r="AF82" i="159"/>
  <c r="AF104" i="159"/>
  <c r="AF121" i="159"/>
  <c r="AF130" i="159"/>
  <c r="AF98" i="159"/>
  <c r="AF106" i="159"/>
  <c r="AF122" i="159"/>
  <c r="AF131" i="159"/>
  <c r="AF126" i="159"/>
  <c r="AF80" i="159"/>
  <c r="AF120" i="159"/>
  <c r="AF139" i="159"/>
  <c r="AF90" i="159"/>
  <c r="AF105" i="159"/>
  <c r="AF114" i="159"/>
  <c r="AF137" i="159"/>
  <c r="AF3" i="159"/>
  <c r="AF132" i="159"/>
  <c r="AF134" i="159"/>
  <c r="AF125" i="159"/>
  <c r="AF138" i="159"/>
  <c r="AF66" i="159"/>
  <c r="AF111" i="159"/>
  <c r="AF127" i="159"/>
  <c r="AF110" i="159"/>
  <c r="AF129" i="159"/>
  <c r="AF119" i="159"/>
  <c r="AF140" i="159"/>
  <c r="AF108" i="159"/>
  <c r="AF135" i="159"/>
  <c r="AF197" i="159"/>
  <c r="AF185" i="159"/>
  <c r="AF205" i="159"/>
  <c r="AF193" i="159"/>
  <c r="AF181" i="159"/>
  <c r="AF199" i="159"/>
  <c r="AF179" i="159"/>
  <c r="AF171" i="159"/>
  <c r="AF203" i="159"/>
  <c r="AF190" i="159"/>
  <c r="AF177" i="159"/>
  <c r="AF207" i="159"/>
  <c r="AF183" i="159"/>
  <c r="AF178" i="159"/>
  <c r="AF195" i="159"/>
  <c r="AF180" i="159"/>
  <c r="AF169" i="159"/>
  <c r="AF200" i="159"/>
  <c r="AF176" i="159"/>
  <c r="AF174" i="159"/>
  <c r="AF202" i="159"/>
  <c r="AF192" i="159"/>
  <c r="AF187" i="159"/>
  <c r="AF204" i="159"/>
  <c r="AF198" i="159"/>
  <c r="AF188" i="159"/>
  <c r="AF172" i="159"/>
  <c r="AF157" i="159"/>
  <c r="AF208" i="159"/>
  <c r="AF182" i="159"/>
  <c r="AF196" i="159"/>
  <c r="AF191" i="159"/>
  <c r="AF186" i="159"/>
  <c r="AF201" i="159"/>
  <c r="AF173" i="159"/>
  <c r="AF166" i="159"/>
  <c r="AF163" i="159"/>
  <c r="AF206" i="159"/>
  <c r="AF156" i="159"/>
  <c r="AF189" i="159"/>
  <c r="AF184" i="159"/>
  <c r="AF194" i="159"/>
  <c r="AF164" i="159"/>
  <c r="AF152" i="159"/>
  <c r="AF160" i="159"/>
  <c r="AF150" i="159"/>
  <c r="AF144" i="159"/>
  <c r="AF149" i="159"/>
  <c r="AF168" i="159"/>
  <c r="AF161" i="159"/>
  <c r="AF143" i="159"/>
  <c r="AF148" i="159"/>
  <c r="AF154" i="159"/>
  <c r="AF142" i="159"/>
  <c r="AF162" i="159"/>
  <c r="AF158" i="159"/>
  <c r="AF147" i="159"/>
  <c r="AF175" i="159"/>
  <c r="AF170" i="159"/>
  <c r="AF165" i="159"/>
  <c r="AF155" i="159"/>
  <c r="AF153" i="159"/>
  <c r="AF146" i="159"/>
  <c r="AF167" i="159"/>
  <c r="AF159" i="159"/>
  <c r="AF145" i="159"/>
  <c r="AF151" i="159"/>
  <c r="AG1" i="159"/>
  <c r="AG113" i="159" s="1"/>
  <c r="T10" i="156"/>
  <c r="T11" i="156"/>
  <c r="AG141" i="159" l="1"/>
  <c r="AG13" i="159"/>
  <c r="AG5" i="159"/>
  <c r="AG18" i="159"/>
  <c r="AG30" i="159"/>
  <c r="AG7" i="159"/>
  <c r="AG20" i="159"/>
  <c r="AG32" i="159"/>
  <c r="AG9" i="159"/>
  <c r="AG22" i="159"/>
  <c r="AG34" i="159"/>
  <c r="AG11" i="159"/>
  <c r="AG24" i="159"/>
  <c r="AG36" i="159"/>
  <c r="AG6" i="159"/>
  <c r="AG19" i="159"/>
  <c r="AG31" i="159"/>
  <c r="AG14" i="159"/>
  <c r="AG26" i="159"/>
  <c r="AG8" i="159"/>
  <c r="AG21" i="159"/>
  <c r="AG33" i="159"/>
  <c r="AG16" i="159"/>
  <c r="AG28" i="159"/>
  <c r="AG10" i="159"/>
  <c r="AG23" i="159"/>
  <c r="AG35" i="159"/>
  <c r="AG17" i="159"/>
  <c r="AG38" i="159"/>
  <c r="AG50" i="159"/>
  <c r="AG4" i="159"/>
  <c r="AG40" i="159"/>
  <c r="AG52" i="159"/>
  <c r="AG12" i="159"/>
  <c r="AG42" i="159"/>
  <c r="AG54" i="159"/>
  <c r="AG27" i="159"/>
  <c r="AG37" i="159"/>
  <c r="AG49" i="159"/>
  <c r="AG15" i="159"/>
  <c r="AG39" i="159"/>
  <c r="AG66" i="159"/>
  <c r="AG45" i="159"/>
  <c r="AG60" i="159"/>
  <c r="AG68" i="159"/>
  <c r="AG43" i="159"/>
  <c r="AG48" i="159"/>
  <c r="AG59" i="159"/>
  <c r="AG61" i="159"/>
  <c r="AG63" i="159"/>
  <c r="AG75" i="159"/>
  <c r="AG51" i="159"/>
  <c r="AG55" i="159"/>
  <c r="AG44" i="159"/>
  <c r="AG58" i="159"/>
  <c r="AG65" i="159"/>
  <c r="AG47" i="159"/>
  <c r="AG72" i="159"/>
  <c r="AG25" i="159"/>
  <c r="AG67" i="159"/>
  <c r="AG29" i="159"/>
  <c r="AG41" i="159"/>
  <c r="AG62" i="159"/>
  <c r="AG46" i="159"/>
  <c r="AG80" i="159"/>
  <c r="AG53" i="159"/>
  <c r="AG82" i="159"/>
  <c r="AG94" i="159"/>
  <c r="AG70" i="159"/>
  <c r="AG77" i="159"/>
  <c r="AG56" i="159"/>
  <c r="AG79" i="159"/>
  <c r="AG91" i="159"/>
  <c r="AG73" i="159"/>
  <c r="AG86" i="159"/>
  <c r="AG81" i="159"/>
  <c r="AG93" i="159"/>
  <c r="AG88" i="159"/>
  <c r="AG90" i="159"/>
  <c r="AG108" i="159"/>
  <c r="AG121" i="159"/>
  <c r="AG57" i="159"/>
  <c r="AG84" i="159"/>
  <c r="AG92" i="159"/>
  <c r="AG99" i="159"/>
  <c r="AG105" i="159"/>
  <c r="AG64" i="159"/>
  <c r="AG112" i="159"/>
  <c r="AG71" i="159"/>
  <c r="AG107" i="159"/>
  <c r="AG69" i="159"/>
  <c r="AG95" i="159"/>
  <c r="AG102" i="159"/>
  <c r="AG115" i="159"/>
  <c r="AG85" i="159"/>
  <c r="AG89" i="159"/>
  <c r="AG98" i="159"/>
  <c r="AG129" i="159"/>
  <c r="AG114" i="159"/>
  <c r="AG126" i="159"/>
  <c r="AG116" i="159"/>
  <c r="AG118" i="159"/>
  <c r="AG128" i="159"/>
  <c r="AG123" i="159"/>
  <c r="AG135" i="159"/>
  <c r="AG119" i="159"/>
  <c r="AG140" i="159"/>
  <c r="AG136" i="159"/>
  <c r="AG100" i="159"/>
  <c r="AG106" i="159"/>
  <c r="AG122" i="159"/>
  <c r="AG124" i="159"/>
  <c r="AG131" i="159"/>
  <c r="AG96" i="159"/>
  <c r="AG117" i="159"/>
  <c r="AG74" i="159"/>
  <c r="AG104" i="159"/>
  <c r="AG130" i="159"/>
  <c r="AG78" i="159"/>
  <c r="AG97" i="159"/>
  <c r="AG120" i="159"/>
  <c r="AG139" i="159"/>
  <c r="AG110" i="159"/>
  <c r="AG137" i="159"/>
  <c r="AG3" i="159"/>
  <c r="AG76" i="159"/>
  <c r="AG125" i="159"/>
  <c r="AG87" i="159"/>
  <c r="AG103" i="159"/>
  <c r="AG111" i="159"/>
  <c r="AG127" i="159"/>
  <c r="AG133" i="159"/>
  <c r="AG109" i="159"/>
  <c r="AG134" i="159"/>
  <c r="AG83" i="159"/>
  <c r="AG101" i="159"/>
  <c r="AG132" i="159"/>
  <c r="AG138" i="159"/>
  <c r="AG202" i="159"/>
  <c r="AG190" i="159"/>
  <c r="AG178" i="159"/>
  <c r="AG198" i="159"/>
  <c r="AG186" i="159"/>
  <c r="AG205" i="159"/>
  <c r="AG192" i="159"/>
  <c r="AG196" i="159"/>
  <c r="AG183" i="159"/>
  <c r="AG172" i="159"/>
  <c r="AG188" i="159"/>
  <c r="AG171" i="159"/>
  <c r="AG168" i="159"/>
  <c r="AG200" i="159"/>
  <c r="AG176" i="159"/>
  <c r="AG174" i="159"/>
  <c r="AG191" i="159"/>
  <c r="AG181" i="159"/>
  <c r="AG207" i="159"/>
  <c r="AG197" i="159"/>
  <c r="AG208" i="159"/>
  <c r="AG203" i="159"/>
  <c r="AG193" i="159"/>
  <c r="AG169" i="159"/>
  <c r="AG162" i="159"/>
  <c r="AG187" i="159"/>
  <c r="AG201" i="159"/>
  <c r="AG206" i="159"/>
  <c r="AG156" i="159"/>
  <c r="AG175" i="159"/>
  <c r="AG165" i="159"/>
  <c r="AG161" i="159"/>
  <c r="AG149" i="159"/>
  <c r="AG144" i="159"/>
  <c r="AG194" i="159"/>
  <c r="AG204" i="159"/>
  <c r="AG199" i="159"/>
  <c r="AG157" i="159"/>
  <c r="AG145" i="159"/>
  <c r="AG142" i="159"/>
  <c r="AG195" i="159"/>
  <c r="AG189" i="159"/>
  <c r="AG185" i="159"/>
  <c r="AG164" i="159"/>
  <c r="AG166" i="159"/>
  <c r="AG143" i="159"/>
  <c r="AG148" i="159"/>
  <c r="AG179" i="159"/>
  <c r="AG154" i="159"/>
  <c r="AG158" i="159"/>
  <c r="AG147" i="159"/>
  <c r="AG184" i="159"/>
  <c r="AG182" i="159"/>
  <c r="AG173" i="159"/>
  <c r="AG170" i="159"/>
  <c r="AG155" i="159"/>
  <c r="AG153" i="159"/>
  <c r="AG146" i="159"/>
  <c r="AG167" i="159"/>
  <c r="AG159" i="159"/>
  <c r="AG152" i="159"/>
  <c r="AG180" i="159"/>
  <c r="AG163" i="159"/>
  <c r="AG151" i="159"/>
  <c r="AG177" i="159"/>
  <c r="AG160" i="159"/>
  <c r="AG150" i="159"/>
  <c r="AH1" i="159"/>
  <c r="AH113" i="159" s="1"/>
  <c r="AI113" i="159" s="1"/>
  <c r="T87" i="156"/>
  <c r="AH141" i="159" l="1"/>
  <c r="AI141" i="159" s="1"/>
  <c r="AH13" i="159"/>
  <c r="AI13" i="159" s="1"/>
  <c r="AH10" i="159"/>
  <c r="AI10" i="159" s="1"/>
  <c r="AH23" i="159"/>
  <c r="AH35" i="159"/>
  <c r="AH5" i="159"/>
  <c r="AI5" i="159" s="1"/>
  <c r="AH12" i="159"/>
  <c r="AH25" i="159"/>
  <c r="AH15" i="159"/>
  <c r="AI15" i="159" s="1"/>
  <c r="AH27" i="159"/>
  <c r="AI27" i="159" s="1"/>
  <c r="AH4" i="159"/>
  <c r="AI4" i="159" s="1"/>
  <c r="AH17" i="159"/>
  <c r="AI17" i="159" s="1"/>
  <c r="AH29" i="159"/>
  <c r="AI29" i="159" s="1"/>
  <c r="AH11" i="159"/>
  <c r="AI11" i="159" s="1"/>
  <c r="AH24" i="159"/>
  <c r="AI24" i="159" s="1"/>
  <c r="AH36" i="159"/>
  <c r="AH6" i="159"/>
  <c r="AH19" i="159"/>
  <c r="AI19" i="159" s="1"/>
  <c r="AH31" i="159"/>
  <c r="AI31" i="159" s="1"/>
  <c r="AH14" i="159"/>
  <c r="AI14" i="159" s="1"/>
  <c r="AH26" i="159"/>
  <c r="AI26" i="159" s="1"/>
  <c r="AH8" i="159"/>
  <c r="AI8" i="159" s="1"/>
  <c r="AH21" i="159"/>
  <c r="AI21" i="159" s="1"/>
  <c r="AH33" i="159"/>
  <c r="AI33" i="159" s="1"/>
  <c r="AH16" i="159"/>
  <c r="AI16" i="159" s="1"/>
  <c r="AH28" i="159"/>
  <c r="AI28" i="159" s="1"/>
  <c r="AH41" i="159"/>
  <c r="AI41" i="159" s="1"/>
  <c r="AH34" i="159"/>
  <c r="AI34" i="159" s="1"/>
  <c r="AH43" i="159"/>
  <c r="AI43" i="159" s="1"/>
  <c r="AH55" i="159"/>
  <c r="AI55" i="159" s="1"/>
  <c r="AH45" i="159"/>
  <c r="AI45" i="159" s="1"/>
  <c r="AH57" i="159"/>
  <c r="AI57" i="159" s="1"/>
  <c r="AH22" i="159"/>
  <c r="AI22" i="159" s="1"/>
  <c r="AH40" i="159"/>
  <c r="AI40" i="159" s="1"/>
  <c r="AH7" i="159"/>
  <c r="AI7" i="159" s="1"/>
  <c r="AH30" i="159"/>
  <c r="AI30" i="159" s="1"/>
  <c r="AH47" i="159"/>
  <c r="AI47" i="159" s="1"/>
  <c r="AH59" i="159"/>
  <c r="AI59" i="159" s="1"/>
  <c r="AH42" i="159"/>
  <c r="AI42" i="159" s="1"/>
  <c r="AH54" i="159"/>
  <c r="AI54" i="159" s="1"/>
  <c r="AH56" i="159"/>
  <c r="AI56" i="159" s="1"/>
  <c r="AH71" i="159"/>
  <c r="AI71" i="159" s="1"/>
  <c r="AH39" i="159"/>
  <c r="AI39" i="159" s="1"/>
  <c r="AH52" i="159"/>
  <c r="AI52" i="159" s="1"/>
  <c r="AH73" i="159"/>
  <c r="AI73" i="159" s="1"/>
  <c r="AH20" i="159"/>
  <c r="AI20" i="159" s="1"/>
  <c r="AH60" i="159"/>
  <c r="AI60" i="159" s="1"/>
  <c r="AH68" i="159"/>
  <c r="AI68" i="159" s="1"/>
  <c r="AH48" i="159"/>
  <c r="AI48" i="159" s="1"/>
  <c r="AH61" i="159"/>
  <c r="AI61" i="159" s="1"/>
  <c r="AH37" i="159"/>
  <c r="AI37" i="159" s="1"/>
  <c r="AH51" i="159"/>
  <c r="AI51" i="159" s="1"/>
  <c r="AH70" i="159"/>
  <c r="AI70" i="159" s="1"/>
  <c r="AH9" i="159"/>
  <c r="AI9" i="159" s="1"/>
  <c r="AH44" i="159"/>
  <c r="AI44" i="159" s="1"/>
  <c r="AH58" i="159"/>
  <c r="AI58" i="159" s="1"/>
  <c r="AH65" i="159"/>
  <c r="AI65" i="159" s="1"/>
  <c r="AH32" i="159"/>
  <c r="AI32" i="159" s="1"/>
  <c r="AH72" i="159"/>
  <c r="AI72" i="159" s="1"/>
  <c r="AH18" i="159"/>
  <c r="AI18" i="159" s="1"/>
  <c r="AH67" i="159"/>
  <c r="AI67" i="159" s="1"/>
  <c r="AH66" i="159"/>
  <c r="AI66" i="159" s="1"/>
  <c r="AH74" i="159"/>
  <c r="AI74" i="159" s="1"/>
  <c r="AH76" i="159"/>
  <c r="AI76" i="159" s="1"/>
  <c r="AH85" i="159"/>
  <c r="AI85" i="159" s="1"/>
  <c r="AH46" i="159"/>
  <c r="AI46" i="159" s="1"/>
  <c r="AH53" i="159"/>
  <c r="AI53" i="159" s="1"/>
  <c r="AH69" i="159"/>
  <c r="AI69" i="159" s="1"/>
  <c r="AH87" i="159"/>
  <c r="AI87" i="159" s="1"/>
  <c r="AH99" i="159"/>
  <c r="AI99" i="159" s="1"/>
  <c r="AH82" i="159"/>
  <c r="AI82" i="159" s="1"/>
  <c r="AH38" i="159"/>
  <c r="AI38" i="159" s="1"/>
  <c r="AH49" i="159"/>
  <c r="AI49" i="159" s="1"/>
  <c r="AH84" i="159"/>
  <c r="AI84" i="159" s="1"/>
  <c r="AH96" i="159"/>
  <c r="AI96" i="159" s="1"/>
  <c r="AH79" i="159"/>
  <c r="AI79" i="159" s="1"/>
  <c r="AH91" i="159"/>
  <c r="AI91" i="159" s="1"/>
  <c r="AH62" i="159"/>
  <c r="AI62" i="159" s="1"/>
  <c r="AH86" i="159"/>
  <c r="AI86" i="159" s="1"/>
  <c r="AH81" i="159"/>
  <c r="AI81" i="159" s="1"/>
  <c r="AH93" i="159"/>
  <c r="AI93" i="159" s="1"/>
  <c r="AH80" i="159"/>
  <c r="AI80" i="159" s="1"/>
  <c r="AH83" i="159"/>
  <c r="AI83" i="159" s="1"/>
  <c r="AH88" i="159"/>
  <c r="AI88" i="159" s="1"/>
  <c r="AH101" i="159"/>
  <c r="AI101" i="159" s="1"/>
  <c r="AH114" i="159"/>
  <c r="AI114" i="159" s="1"/>
  <c r="AH63" i="159"/>
  <c r="AI63" i="159" s="1"/>
  <c r="AH90" i="159"/>
  <c r="AI90" i="159" s="1"/>
  <c r="AH110" i="159"/>
  <c r="AI110" i="159" s="1"/>
  <c r="AH50" i="159"/>
  <c r="AI50" i="159" s="1"/>
  <c r="AH105" i="159"/>
  <c r="AI105" i="159" s="1"/>
  <c r="AH64" i="159"/>
  <c r="AI64" i="159" s="1"/>
  <c r="AH112" i="159"/>
  <c r="AI112" i="159" s="1"/>
  <c r="AH107" i="159"/>
  <c r="AI107" i="159" s="1"/>
  <c r="AH95" i="159"/>
  <c r="AI95" i="159" s="1"/>
  <c r="AH92" i="159"/>
  <c r="AI92" i="159" s="1"/>
  <c r="AH122" i="159"/>
  <c r="AI122" i="159" s="1"/>
  <c r="AH134" i="159"/>
  <c r="AI134" i="159" s="1"/>
  <c r="AH89" i="159"/>
  <c r="AI89" i="159" s="1"/>
  <c r="AH98" i="159"/>
  <c r="AI98" i="159" s="1"/>
  <c r="AH94" i="159"/>
  <c r="AI94" i="159" s="1"/>
  <c r="AH103" i="159"/>
  <c r="AI103" i="159" s="1"/>
  <c r="AH111" i="159"/>
  <c r="AI111" i="159" s="1"/>
  <c r="AH120" i="159"/>
  <c r="AI120" i="159" s="1"/>
  <c r="AH131" i="159"/>
  <c r="AI131" i="159" s="1"/>
  <c r="AH126" i="159"/>
  <c r="AI126" i="159" s="1"/>
  <c r="AH75" i="159"/>
  <c r="AI75" i="159" s="1"/>
  <c r="AH116" i="159"/>
  <c r="AI116" i="159" s="1"/>
  <c r="AH118" i="159"/>
  <c r="AI118" i="159" s="1"/>
  <c r="AH128" i="159"/>
  <c r="AI128" i="159" s="1"/>
  <c r="AH108" i="159"/>
  <c r="AI108" i="159" s="1"/>
  <c r="AH135" i="159"/>
  <c r="AI135" i="159" s="1"/>
  <c r="AH119" i="159"/>
  <c r="AI119" i="159" s="1"/>
  <c r="AH140" i="159"/>
  <c r="AI140" i="159" s="1"/>
  <c r="AH115" i="159"/>
  <c r="AI115" i="159" s="1"/>
  <c r="AH136" i="159"/>
  <c r="AI136" i="159" s="1"/>
  <c r="AH124" i="159"/>
  <c r="AI124" i="159" s="1"/>
  <c r="AH100" i="159"/>
  <c r="AI100" i="159" s="1"/>
  <c r="AH106" i="159"/>
  <c r="AI106" i="159" s="1"/>
  <c r="AH117" i="159"/>
  <c r="AI117" i="159" s="1"/>
  <c r="AH104" i="159"/>
  <c r="AI104" i="159" s="1"/>
  <c r="AH130" i="159"/>
  <c r="AI130" i="159" s="1"/>
  <c r="AH127" i="159"/>
  <c r="AI127" i="159" s="1"/>
  <c r="AH97" i="159"/>
  <c r="AI97" i="159" s="1"/>
  <c r="AH139" i="159"/>
  <c r="AI139" i="159" s="1"/>
  <c r="AH129" i="159"/>
  <c r="AI129" i="159" s="1"/>
  <c r="AH102" i="159"/>
  <c r="AI102" i="159" s="1"/>
  <c r="AH123" i="159"/>
  <c r="AI123" i="159" s="1"/>
  <c r="AH137" i="159"/>
  <c r="AI137" i="159" s="1"/>
  <c r="AH3" i="159"/>
  <c r="AI3" i="159" s="1"/>
  <c r="AH77" i="159"/>
  <c r="AI77" i="159" s="1"/>
  <c r="AH133" i="159"/>
  <c r="AI133" i="159" s="1"/>
  <c r="AH121" i="159"/>
  <c r="AI121" i="159" s="1"/>
  <c r="AH125" i="159"/>
  <c r="AI125" i="159" s="1"/>
  <c r="AH78" i="159"/>
  <c r="AI78" i="159" s="1"/>
  <c r="AH109" i="159"/>
  <c r="AI109" i="159" s="1"/>
  <c r="AH132" i="159"/>
  <c r="AI132" i="159" s="1"/>
  <c r="AH138" i="159"/>
  <c r="AI138" i="159" s="1"/>
  <c r="AH207" i="159"/>
  <c r="AH195" i="159"/>
  <c r="AH183" i="159"/>
  <c r="AH203" i="159"/>
  <c r="AH191" i="159"/>
  <c r="AH179" i="159"/>
  <c r="AH198" i="159"/>
  <c r="AH185" i="159"/>
  <c r="AH189" i="159"/>
  <c r="AH176" i="159"/>
  <c r="AH208" i="159"/>
  <c r="AH193" i="159"/>
  <c r="AH170" i="159"/>
  <c r="AH205" i="159"/>
  <c r="AH181" i="159"/>
  <c r="AH167" i="159"/>
  <c r="AH201" i="159"/>
  <c r="AH196" i="159"/>
  <c r="AH186" i="159"/>
  <c r="AH173" i="159"/>
  <c r="AH188" i="159"/>
  <c r="AH178" i="159"/>
  <c r="AH171" i="159"/>
  <c r="AH174" i="159"/>
  <c r="AH155" i="159"/>
  <c r="AH187" i="159"/>
  <c r="AH202" i="159"/>
  <c r="AH197" i="159"/>
  <c r="AH192" i="159"/>
  <c r="AH206" i="159"/>
  <c r="AH175" i="159"/>
  <c r="AH165" i="159"/>
  <c r="AH161" i="159"/>
  <c r="AH180" i="159"/>
  <c r="AH154" i="159"/>
  <c r="AH200" i="159"/>
  <c r="AH194" i="159"/>
  <c r="AH204" i="159"/>
  <c r="AH199" i="159"/>
  <c r="AH172" i="159"/>
  <c r="AH169" i="159"/>
  <c r="AH162" i="159"/>
  <c r="AH150" i="159"/>
  <c r="AH164" i="159"/>
  <c r="AH166" i="159"/>
  <c r="AH157" i="159"/>
  <c r="AH149" i="159"/>
  <c r="AH143" i="159"/>
  <c r="AI143" i="159" s="1"/>
  <c r="AH168" i="159"/>
  <c r="AH148" i="159"/>
  <c r="AH158" i="159"/>
  <c r="AH147" i="159"/>
  <c r="AH142" i="159"/>
  <c r="AI142" i="159" s="1"/>
  <c r="AH184" i="159"/>
  <c r="AH182" i="159"/>
  <c r="AH153" i="159"/>
  <c r="AH146" i="159"/>
  <c r="AH159" i="159"/>
  <c r="AH152" i="159"/>
  <c r="AH145" i="159"/>
  <c r="AH163" i="159"/>
  <c r="AH151" i="159"/>
  <c r="AH190" i="159"/>
  <c r="AH177" i="159"/>
  <c r="AH160" i="159"/>
  <c r="AH156" i="159"/>
  <c r="AH144" i="159"/>
  <c r="AI144" i="159" s="1"/>
  <c r="AI35" i="159"/>
  <c r="AI36" i="159"/>
  <c r="AI23" i="159"/>
  <c r="AI25" i="159"/>
  <c r="AI6" i="159"/>
  <c r="AI12" i="159"/>
  <c r="T57" i="156"/>
  <c r="T58" i="156"/>
  <c r="T59" i="156"/>
  <c r="B142" i="154" l="1"/>
  <c r="B140" i="154"/>
  <c r="T142" i="156" l="1"/>
  <c r="T141" i="156"/>
  <c r="T15" i="156"/>
  <c r="T148" i="156" l="1"/>
  <c r="T126" i="156" l="1"/>
  <c r="T125" i="156"/>
  <c r="T30" i="156" l="1"/>
  <c r="T81" i="156"/>
  <c r="T64" i="156"/>
  <c r="T150" i="156"/>
  <c r="T149" i="156"/>
  <c r="T80" i="156"/>
  <c r="T140" i="156"/>
  <c r="T106" i="156"/>
  <c r="T139" i="156"/>
  <c r="T138" i="156"/>
  <c r="T99" i="156"/>
  <c r="T151" i="156"/>
  <c r="T94" i="156"/>
  <c r="T93" i="156"/>
  <c r="T124" i="156"/>
  <c r="T123" i="156"/>
  <c r="T136" i="156"/>
  <c r="T135" i="156"/>
  <c r="T134" i="156"/>
  <c r="T118" i="156"/>
  <c r="T117" i="156"/>
  <c r="T116" i="156"/>
  <c r="T133" i="156"/>
  <c r="T132" i="156"/>
  <c r="T131" i="156"/>
  <c r="T130" i="156"/>
  <c r="T129" i="156"/>
  <c r="T128" i="156"/>
  <c r="T127" i="156"/>
  <c r="T79" i="156"/>
  <c r="T78" i="156"/>
  <c r="T77" i="156"/>
  <c r="T76" i="156"/>
  <c r="T8" i="156"/>
  <c r="T60" i="156"/>
  <c r="T6" i="156"/>
  <c r="T7" i="156"/>
  <c r="T5" i="156"/>
  <c r="B155" i="156"/>
  <c r="B157" i="156"/>
  <c r="B158" i="156"/>
  <c r="B159" i="156"/>
  <c r="T155" i="156" l="1"/>
  <c r="B156" i="156"/>
  <c r="B160" i="156" s="1"/>
  <c r="T91" i="154" l="1"/>
  <c r="T92" i="154"/>
  <c r="T93" i="154"/>
  <c r="T94" i="154"/>
  <c r="T95" i="154"/>
  <c r="T96" i="154"/>
  <c r="T97" i="154"/>
  <c r="T101" i="154"/>
  <c r="T102" i="154"/>
  <c r="T103" i="154"/>
  <c r="T98" i="154"/>
  <c r="T99" i="154"/>
  <c r="T100" i="154"/>
  <c r="T104" i="154"/>
  <c r="T105" i="154"/>
  <c r="T106" i="154"/>
  <c r="T107" i="154"/>
  <c r="T108" i="154"/>
  <c r="T109" i="154"/>
  <c r="T110" i="154"/>
  <c r="T111" i="154"/>
  <c r="T112" i="154"/>
  <c r="T113" i="154"/>
  <c r="T114" i="154"/>
  <c r="T115" i="154"/>
  <c r="T116" i="154"/>
  <c r="T117" i="154"/>
  <c r="T118" i="154"/>
  <c r="T119" i="154"/>
  <c r="T120" i="154"/>
  <c r="T121" i="154"/>
  <c r="T122" i="154"/>
  <c r="T123" i="154"/>
  <c r="T124" i="154"/>
  <c r="T125" i="154"/>
  <c r="T126" i="154"/>
  <c r="T127" i="154"/>
  <c r="T128" i="154"/>
  <c r="T129" i="154"/>
  <c r="T130" i="154"/>
  <c r="T131" i="154"/>
  <c r="T132" i="154"/>
  <c r="T133" i="154"/>
  <c r="T134" i="154"/>
  <c r="T135" i="154"/>
  <c r="T136" i="154"/>
  <c r="T137" i="154"/>
  <c r="T138" i="154"/>
  <c r="T139" i="154"/>
  <c r="T84" i="154" l="1"/>
  <c r="T83" i="154"/>
  <c r="T82" i="154"/>
  <c r="T90" i="154" l="1"/>
  <c r="T89" i="154"/>
  <c r="T80" i="154" l="1"/>
  <c r="D1" i="157" l="1"/>
  <c r="D118" i="157" l="1"/>
  <c r="D66" i="157"/>
  <c r="D10" i="157"/>
  <c r="D5" i="157"/>
  <c r="D17" i="157"/>
  <c r="D12" i="157"/>
  <c r="D7" i="157"/>
  <c r="D14" i="157"/>
  <c r="D9" i="157"/>
  <c r="D4" i="157"/>
  <c r="D16" i="157"/>
  <c r="D11" i="157"/>
  <c r="D6" i="157"/>
  <c r="D18" i="157"/>
  <c r="D20" i="157"/>
  <c r="D32" i="157"/>
  <c r="D27" i="157"/>
  <c r="D39" i="157"/>
  <c r="D15" i="157"/>
  <c r="D22" i="157"/>
  <c r="D34" i="157"/>
  <c r="D29" i="157"/>
  <c r="D41" i="157"/>
  <c r="D24" i="157"/>
  <c r="D36" i="157"/>
  <c r="D19" i="157"/>
  <c r="D31" i="157"/>
  <c r="D43" i="157"/>
  <c r="D26" i="157"/>
  <c r="D38" i="157"/>
  <c r="D28" i="157"/>
  <c r="D40" i="157"/>
  <c r="D30" i="157"/>
  <c r="D55" i="157"/>
  <c r="D37" i="157"/>
  <c r="D50" i="157"/>
  <c r="D62" i="157"/>
  <c r="D21" i="157"/>
  <c r="D45" i="157"/>
  <c r="D57" i="157"/>
  <c r="D35" i="157"/>
  <c r="D52" i="157"/>
  <c r="D64" i="157"/>
  <c r="D42" i="157"/>
  <c r="D47" i="157"/>
  <c r="D59" i="157"/>
  <c r="D54" i="157"/>
  <c r="D8" i="157"/>
  <c r="D33" i="157"/>
  <c r="D49" i="157"/>
  <c r="D61" i="157"/>
  <c r="D51" i="157"/>
  <c r="D63" i="157"/>
  <c r="D25" i="157"/>
  <c r="D46" i="157"/>
  <c r="D58" i="157"/>
  <c r="D70" i="157"/>
  <c r="D82" i="157"/>
  <c r="D94" i="157"/>
  <c r="D106" i="157"/>
  <c r="D119" i="157"/>
  <c r="D65" i="157"/>
  <c r="D77" i="157"/>
  <c r="D89" i="157"/>
  <c r="D101" i="157"/>
  <c r="D113" i="157"/>
  <c r="D48" i="157"/>
  <c r="D72" i="157"/>
  <c r="D84" i="157"/>
  <c r="D96" i="157"/>
  <c r="D108" i="157"/>
  <c r="D121" i="157"/>
  <c r="D13" i="157"/>
  <c r="D56" i="157"/>
  <c r="D67" i="157"/>
  <c r="D79" i="157"/>
  <c r="D91" i="157"/>
  <c r="D103" i="157"/>
  <c r="D115" i="157"/>
  <c r="D53" i="157"/>
  <c r="D74" i="157"/>
  <c r="D86" i="157"/>
  <c r="D98" i="157"/>
  <c r="D110" i="157"/>
  <c r="D123" i="157"/>
  <c r="D69" i="157"/>
  <c r="D81" i="157"/>
  <c r="D93" i="157"/>
  <c r="D105" i="157"/>
  <c r="D117" i="157"/>
  <c r="D44" i="157"/>
  <c r="D76" i="157"/>
  <c r="D88" i="157"/>
  <c r="D100" i="157"/>
  <c r="D112" i="157"/>
  <c r="D23" i="157"/>
  <c r="D78" i="157"/>
  <c r="D90" i="157"/>
  <c r="D102" i="157"/>
  <c r="D114" i="157"/>
  <c r="D73" i="157"/>
  <c r="D85" i="157"/>
  <c r="D97" i="157"/>
  <c r="D109" i="157"/>
  <c r="D122" i="157"/>
  <c r="D83" i="157"/>
  <c r="D125" i="157"/>
  <c r="D137" i="157"/>
  <c r="D138" i="157"/>
  <c r="D80" i="157"/>
  <c r="D132" i="157"/>
  <c r="D60" i="157"/>
  <c r="D136" i="157"/>
  <c r="D111" i="157"/>
  <c r="D127" i="157"/>
  <c r="D130" i="157"/>
  <c r="D71" i="157"/>
  <c r="D120" i="157"/>
  <c r="D134" i="157"/>
  <c r="D68" i="157"/>
  <c r="D116" i="157"/>
  <c r="D129" i="157"/>
  <c r="D99" i="157"/>
  <c r="D107" i="157"/>
  <c r="D131" i="157"/>
  <c r="D104" i="157"/>
  <c r="D126" i="157"/>
  <c r="D124" i="157"/>
  <c r="D87" i="157"/>
  <c r="D133" i="157"/>
  <c r="D3" i="157"/>
  <c r="D92" i="157"/>
  <c r="D75" i="157"/>
  <c r="D95" i="157"/>
  <c r="D128" i="157"/>
  <c r="D135" i="157"/>
  <c r="D141" i="157"/>
  <c r="D139" i="157"/>
  <c r="D142" i="157"/>
  <c r="D140" i="157"/>
  <c r="D200" i="157"/>
  <c r="D188" i="157"/>
  <c r="D205" i="157"/>
  <c r="D198" i="157"/>
  <c r="D203" i="157"/>
  <c r="D196" i="157"/>
  <c r="D201" i="157"/>
  <c r="D206" i="157"/>
  <c r="D194" i="157"/>
  <c r="D182" i="157"/>
  <c r="D199" i="157"/>
  <c r="D187" i="157"/>
  <c r="D204" i="157"/>
  <c r="D202" i="157"/>
  <c r="D195" i="157"/>
  <c r="D183" i="157"/>
  <c r="D193" i="157"/>
  <c r="D190" i="157"/>
  <c r="D169" i="157"/>
  <c r="D192" i="157"/>
  <c r="D180" i="157"/>
  <c r="D184" i="157"/>
  <c r="D179" i="157"/>
  <c r="D197" i="157"/>
  <c r="D181" i="157"/>
  <c r="D178" i="157"/>
  <c r="D185" i="157"/>
  <c r="D168" i="157"/>
  <c r="D191" i="157"/>
  <c r="D177" i="157"/>
  <c r="D173" i="157"/>
  <c r="D189" i="157"/>
  <c r="D176" i="157"/>
  <c r="D186" i="157"/>
  <c r="D171" i="157"/>
  <c r="D159" i="157"/>
  <c r="D161" i="157"/>
  <c r="D167" i="157"/>
  <c r="D166" i="157"/>
  <c r="D152" i="157"/>
  <c r="D175" i="157"/>
  <c r="D165" i="157"/>
  <c r="D174" i="157"/>
  <c r="D164" i="157"/>
  <c r="D158" i="157"/>
  <c r="D150" i="157"/>
  <c r="D172" i="157"/>
  <c r="D170" i="157"/>
  <c r="D157" i="157"/>
  <c r="D148" i="157"/>
  <c r="D163" i="157"/>
  <c r="D162" i="157"/>
  <c r="D146" i="157"/>
  <c r="D144" i="157"/>
  <c r="D143" i="157"/>
  <c r="D145" i="157"/>
  <c r="D155" i="157"/>
  <c r="D153" i="157"/>
  <c r="D151" i="157"/>
  <c r="D149" i="157"/>
  <c r="D147" i="157"/>
  <c r="D160" i="157"/>
  <c r="D156" i="157"/>
  <c r="D154" i="157"/>
  <c r="E1" i="157"/>
  <c r="E118" i="157" l="1"/>
  <c r="E66" i="157"/>
  <c r="E15" i="157"/>
  <c r="E10" i="157"/>
  <c r="E5" i="157"/>
  <c r="E17" i="157"/>
  <c r="E12" i="157"/>
  <c r="E7" i="157"/>
  <c r="E14" i="157"/>
  <c r="E9" i="157"/>
  <c r="E4" i="157"/>
  <c r="E16" i="157"/>
  <c r="E11" i="157"/>
  <c r="E18" i="157"/>
  <c r="E25" i="157"/>
  <c r="E37" i="157"/>
  <c r="E20" i="157"/>
  <c r="E32" i="157"/>
  <c r="E27" i="157"/>
  <c r="E39" i="157"/>
  <c r="E6" i="157"/>
  <c r="E22" i="157"/>
  <c r="E34" i="157"/>
  <c r="E29" i="157"/>
  <c r="E41" i="157"/>
  <c r="E24" i="157"/>
  <c r="E36" i="157"/>
  <c r="E19" i="157"/>
  <c r="E31" i="157"/>
  <c r="E43" i="157"/>
  <c r="E8" i="157"/>
  <c r="E21" i="157"/>
  <c r="E33" i="157"/>
  <c r="E23" i="157"/>
  <c r="E48" i="157"/>
  <c r="E60" i="157"/>
  <c r="E30" i="157"/>
  <c r="E55" i="157"/>
  <c r="E50" i="157"/>
  <c r="E62" i="157"/>
  <c r="E28" i="157"/>
  <c r="E45" i="157"/>
  <c r="E57" i="157"/>
  <c r="E35" i="157"/>
  <c r="E52" i="157"/>
  <c r="E64" i="157"/>
  <c r="E42" i="157"/>
  <c r="E47" i="157"/>
  <c r="E59" i="157"/>
  <c r="E26" i="157"/>
  <c r="E54" i="157"/>
  <c r="E13" i="157"/>
  <c r="E44" i="157"/>
  <c r="E56" i="157"/>
  <c r="E51" i="157"/>
  <c r="E63" i="157"/>
  <c r="E75" i="157"/>
  <c r="E87" i="157"/>
  <c r="E99" i="157"/>
  <c r="E111" i="157"/>
  <c r="E124" i="157"/>
  <c r="E70" i="157"/>
  <c r="E82" i="157"/>
  <c r="E94" i="157"/>
  <c r="E106" i="157"/>
  <c r="E119" i="157"/>
  <c r="E65" i="157"/>
  <c r="E77" i="157"/>
  <c r="E89" i="157"/>
  <c r="E101" i="157"/>
  <c r="E113" i="157"/>
  <c r="E40" i="157"/>
  <c r="E72" i="157"/>
  <c r="E84" i="157"/>
  <c r="E96" i="157"/>
  <c r="E108" i="157"/>
  <c r="E121" i="157"/>
  <c r="E67" i="157"/>
  <c r="E79" i="157"/>
  <c r="E91" i="157"/>
  <c r="E103" i="157"/>
  <c r="E115" i="157"/>
  <c r="E53" i="157"/>
  <c r="E74" i="157"/>
  <c r="E86" i="157"/>
  <c r="E98" i="157"/>
  <c r="E110" i="157"/>
  <c r="E123" i="157"/>
  <c r="E61" i="157"/>
  <c r="E69" i="157"/>
  <c r="E81" i="157"/>
  <c r="E93" i="157"/>
  <c r="E105" i="157"/>
  <c r="E117" i="157"/>
  <c r="E71" i="157"/>
  <c r="E83" i="157"/>
  <c r="E95" i="157"/>
  <c r="E107" i="157"/>
  <c r="E120" i="157"/>
  <c r="E49" i="157"/>
  <c r="E78" i="157"/>
  <c r="E90" i="157"/>
  <c r="E102" i="157"/>
  <c r="E114" i="157"/>
  <c r="E58" i="157"/>
  <c r="E100" i="157"/>
  <c r="E130" i="157"/>
  <c r="E46" i="157"/>
  <c r="E97" i="157"/>
  <c r="E125" i="157"/>
  <c r="E137" i="157"/>
  <c r="E80" i="157"/>
  <c r="E132" i="157"/>
  <c r="E3" i="157"/>
  <c r="E68" i="157"/>
  <c r="E88" i="157"/>
  <c r="E127" i="157"/>
  <c r="E116" i="157"/>
  <c r="E131" i="157"/>
  <c r="E92" i="157"/>
  <c r="E38" i="157"/>
  <c r="E85" i="157"/>
  <c r="E134" i="157"/>
  <c r="E129" i="157"/>
  <c r="E76" i="157"/>
  <c r="E136" i="157"/>
  <c r="E73" i="157"/>
  <c r="E122" i="157"/>
  <c r="E104" i="157"/>
  <c r="E126" i="157"/>
  <c r="E138" i="157"/>
  <c r="E109" i="157"/>
  <c r="E128" i="157"/>
  <c r="E112" i="157"/>
  <c r="E133" i="157"/>
  <c r="E135" i="157"/>
  <c r="E140" i="157"/>
  <c r="E142" i="157"/>
  <c r="E139" i="157"/>
  <c r="E141" i="157"/>
  <c r="E205" i="157"/>
  <c r="E193" i="157"/>
  <c r="E181" i="157"/>
  <c r="E198" i="157"/>
  <c r="E203" i="157"/>
  <c r="E196" i="157"/>
  <c r="E201" i="157"/>
  <c r="E206" i="157"/>
  <c r="E194" i="157"/>
  <c r="E199" i="157"/>
  <c r="E187" i="157"/>
  <c r="E175" i="157"/>
  <c r="E204" i="157"/>
  <c r="E192" i="157"/>
  <c r="E197" i="157"/>
  <c r="E202" i="157"/>
  <c r="E200" i="157"/>
  <c r="E188" i="157"/>
  <c r="E176" i="157"/>
  <c r="E183" i="157"/>
  <c r="E174" i="157"/>
  <c r="E180" i="157"/>
  <c r="E184" i="157"/>
  <c r="E179" i="157"/>
  <c r="E178" i="157"/>
  <c r="E185" i="157"/>
  <c r="E168" i="157"/>
  <c r="E191" i="157"/>
  <c r="E177" i="157"/>
  <c r="E173" i="157"/>
  <c r="E161" i="157"/>
  <c r="E189" i="157"/>
  <c r="E195" i="157"/>
  <c r="E186" i="157"/>
  <c r="E182" i="157"/>
  <c r="E164" i="157"/>
  <c r="E171" i="157"/>
  <c r="E169" i="157"/>
  <c r="E167" i="157"/>
  <c r="E156" i="157"/>
  <c r="E149" i="157"/>
  <c r="E166" i="157"/>
  <c r="E165" i="157"/>
  <c r="E145" i="157"/>
  <c r="E172" i="157"/>
  <c r="E155" i="157"/>
  <c r="E190" i="157"/>
  <c r="E170" i="157"/>
  <c r="E163" i="157"/>
  <c r="E153" i="157"/>
  <c r="E162" i="157"/>
  <c r="E151" i="157"/>
  <c r="E159" i="157"/>
  <c r="E144" i="157"/>
  <c r="E143" i="157"/>
  <c r="E158" i="157"/>
  <c r="E146" i="157"/>
  <c r="E147" i="157"/>
  <c r="E157" i="157"/>
  <c r="E160" i="157"/>
  <c r="E154" i="157"/>
  <c r="E152" i="157"/>
  <c r="E150" i="157"/>
  <c r="E148" i="157"/>
  <c r="F1" i="157"/>
  <c r="F118" i="157" l="1"/>
  <c r="F66" i="157"/>
  <c r="F8" i="157"/>
  <c r="F15" i="157"/>
  <c r="F10" i="157"/>
  <c r="F5" i="157"/>
  <c r="F17" i="157"/>
  <c r="F12" i="157"/>
  <c r="F7" i="157"/>
  <c r="F14" i="157"/>
  <c r="F9" i="157"/>
  <c r="F4" i="157"/>
  <c r="F16" i="157"/>
  <c r="F30" i="157"/>
  <c r="F42" i="157"/>
  <c r="F18" i="157"/>
  <c r="F25" i="157"/>
  <c r="F37" i="157"/>
  <c r="F20" i="157"/>
  <c r="F32" i="157"/>
  <c r="F27" i="157"/>
  <c r="F39" i="157"/>
  <c r="F6" i="157"/>
  <c r="F22" i="157"/>
  <c r="F34" i="157"/>
  <c r="F29" i="157"/>
  <c r="F41" i="157"/>
  <c r="F11" i="157"/>
  <c r="F24" i="157"/>
  <c r="F36" i="157"/>
  <c r="F26" i="157"/>
  <c r="F38" i="157"/>
  <c r="F53" i="157"/>
  <c r="F65" i="157"/>
  <c r="F23" i="157"/>
  <c r="F48" i="157"/>
  <c r="F60" i="157"/>
  <c r="F43" i="157"/>
  <c r="F55" i="157"/>
  <c r="F21" i="157"/>
  <c r="F50" i="157"/>
  <c r="F62" i="157"/>
  <c r="F28" i="157"/>
  <c r="F45" i="157"/>
  <c r="F57" i="157"/>
  <c r="F35" i="157"/>
  <c r="F52" i="157"/>
  <c r="F64" i="157"/>
  <c r="F19" i="157"/>
  <c r="F47" i="157"/>
  <c r="F59" i="157"/>
  <c r="F40" i="157"/>
  <c r="F49" i="157"/>
  <c r="F61" i="157"/>
  <c r="F13" i="157"/>
  <c r="F44" i="157"/>
  <c r="F56" i="157"/>
  <c r="F54" i="157"/>
  <c r="F68" i="157"/>
  <c r="F80" i="157"/>
  <c r="F92" i="157"/>
  <c r="F104" i="157"/>
  <c r="F116" i="157"/>
  <c r="F51" i="157"/>
  <c r="F75" i="157"/>
  <c r="F87" i="157"/>
  <c r="F99" i="157"/>
  <c r="F111" i="157"/>
  <c r="F124" i="157"/>
  <c r="F70" i="157"/>
  <c r="F82" i="157"/>
  <c r="F94" i="157"/>
  <c r="F106" i="157"/>
  <c r="F119" i="157"/>
  <c r="F77" i="157"/>
  <c r="F89" i="157"/>
  <c r="F101" i="157"/>
  <c r="F113" i="157"/>
  <c r="F31" i="157"/>
  <c r="F72" i="157"/>
  <c r="F84" i="157"/>
  <c r="F96" i="157"/>
  <c r="F108" i="157"/>
  <c r="F121" i="157"/>
  <c r="F67" i="157"/>
  <c r="F79" i="157"/>
  <c r="F91" i="157"/>
  <c r="F103" i="157"/>
  <c r="F115" i="157"/>
  <c r="F74" i="157"/>
  <c r="F86" i="157"/>
  <c r="F98" i="157"/>
  <c r="F110" i="157"/>
  <c r="F123" i="157"/>
  <c r="F58" i="157"/>
  <c r="F76" i="157"/>
  <c r="F88" i="157"/>
  <c r="F100" i="157"/>
  <c r="F112" i="157"/>
  <c r="F33" i="157"/>
  <c r="F71" i="157"/>
  <c r="F83" i="157"/>
  <c r="F95" i="157"/>
  <c r="F107" i="157"/>
  <c r="F120" i="157"/>
  <c r="F69" i="157"/>
  <c r="F117" i="157"/>
  <c r="F135" i="157"/>
  <c r="F136" i="157"/>
  <c r="F114" i="157"/>
  <c r="F130" i="157"/>
  <c r="F46" i="157"/>
  <c r="F97" i="157"/>
  <c r="F125" i="157"/>
  <c r="F137" i="157"/>
  <c r="F134" i="157"/>
  <c r="F105" i="157"/>
  <c r="F132" i="157"/>
  <c r="F3" i="157"/>
  <c r="F85" i="157"/>
  <c r="F102" i="157"/>
  <c r="F127" i="157"/>
  <c r="F109" i="157"/>
  <c r="F93" i="157"/>
  <c r="F129" i="157"/>
  <c r="F90" i="157"/>
  <c r="F73" i="157"/>
  <c r="F122" i="157"/>
  <c r="F131" i="157"/>
  <c r="F128" i="157"/>
  <c r="F81" i="157"/>
  <c r="F126" i="157"/>
  <c r="F138" i="157"/>
  <c r="F63" i="157"/>
  <c r="F78" i="157"/>
  <c r="F133" i="157"/>
  <c r="F140" i="157"/>
  <c r="F142" i="157"/>
  <c r="F139" i="157"/>
  <c r="F141" i="157"/>
  <c r="F198" i="157"/>
  <c r="F186" i="157"/>
  <c r="F203" i="157"/>
  <c r="F196" i="157"/>
  <c r="F201" i="157"/>
  <c r="F206" i="157"/>
  <c r="F194" i="157"/>
  <c r="F199" i="157"/>
  <c r="F204" i="157"/>
  <c r="F192" i="157"/>
  <c r="F180" i="157"/>
  <c r="F197" i="157"/>
  <c r="F185" i="157"/>
  <c r="F202" i="157"/>
  <c r="F200" i="157"/>
  <c r="F205" i="157"/>
  <c r="F193" i="157"/>
  <c r="F181" i="157"/>
  <c r="F167" i="157"/>
  <c r="F187" i="157"/>
  <c r="F184" i="157"/>
  <c r="F179" i="157"/>
  <c r="F188" i="157"/>
  <c r="F178" i="157"/>
  <c r="F191" i="157"/>
  <c r="F177" i="157"/>
  <c r="F173" i="157"/>
  <c r="F189" i="157"/>
  <c r="F166" i="157"/>
  <c r="F195" i="157"/>
  <c r="F182" i="157"/>
  <c r="F176" i="157"/>
  <c r="F171" i="157"/>
  <c r="F190" i="157"/>
  <c r="F175" i="157"/>
  <c r="F169" i="157"/>
  <c r="F157" i="157"/>
  <c r="F160" i="157"/>
  <c r="F154" i="157"/>
  <c r="F165" i="157"/>
  <c r="F158" i="157"/>
  <c r="F150" i="157"/>
  <c r="F174" i="157"/>
  <c r="F172" i="157"/>
  <c r="F164" i="157"/>
  <c r="F170" i="157"/>
  <c r="F148" i="157"/>
  <c r="F183" i="157"/>
  <c r="F168" i="157"/>
  <c r="F163" i="157"/>
  <c r="F162" i="157"/>
  <c r="F146" i="157"/>
  <c r="F144" i="157"/>
  <c r="F143" i="157"/>
  <c r="F145" i="157"/>
  <c r="F161" i="157"/>
  <c r="F155" i="157"/>
  <c r="F153" i="157"/>
  <c r="F151" i="157"/>
  <c r="F149" i="157"/>
  <c r="F147" i="157"/>
  <c r="F156" i="157"/>
  <c r="F152" i="157"/>
  <c r="F159" i="157"/>
  <c r="G1" i="157"/>
  <c r="T79" i="154"/>
  <c r="G118" i="157" l="1"/>
  <c r="G66" i="157"/>
  <c r="G13" i="157"/>
  <c r="G8" i="157"/>
  <c r="G15" i="157"/>
  <c r="G10" i="157"/>
  <c r="G5" i="157"/>
  <c r="G17" i="157"/>
  <c r="G12" i="157"/>
  <c r="G7" i="157"/>
  <c r="G14" i="157"/>
  <c r="G9" i="157"/>
  <c r="G4" i="157"/>
  <c r="G23" i="157"/>
  <c r="G35" i="157"/>
  <c r="G30" i="157"/>
  <c r="G42" i="157"/>
  <c r="G18" i="157"/>
  <c r="G25" i="157"/>
  <c r="G37" i="157"/>
  <c r="G20" i="157"/>
  <c r="G32" i="157"/>
  <c r="G27" i="157"/>
  <c r="G39" i="157"/>
  <c r="G6" i="157"/>
  <c r="G22" i="157"/>
  <c r="G34" i="157"/>
  <c r="G29" i="157"/>
  <c r="G41" i="157"/>
  <c r="G19" i="157"/>
  <c r="G31" i="157"/>
  <c r="G46" i="157"/>
  <c r="G58" i="157"/>
  <c r="G53" i="157"/>
  <c r="G65" i="157"/>
  <c r="G11" i="157"/>
  <c r="G36" i="157"/>
  <c r="G48" i="157"/>
  <c r="G60" i="157"/>
  <c r="G16" i="157"/>
  <c r="G43" i="157"/>
  <c r="G55" i="157"/>
  <c r="G21" i="157"/>
  <c r="G50" i="157"/>
  <c r="G62" i="157"/>
  <c r="G28" i="157"/>
  <c r="G45" i="157"/>
  <c r="G57" i="157"/>
  <c r="G52" i="157"/>
  <c r="G64" i="157"/>
  <c r="G33" i="157"/>
  <c r="G54" i="157"/>
  <c r="G40" i="157"/>
  <c r="G49" i="157"/>
  <c r="G61" i="157"/>
  <c r="G73" i="157"/>
  <c r="G85" i="157"/>
  <c r="G97" i="157"/>
  <c r="G109" i="157"/>
  <c r="G122" i="157"/>
  <c r="G68" i="157"/>
  <c r="G80" i="157"/>
  <c r="G92" i="157"/>
  <c r="G104" i="157"/>
  <c r="G116" i="157"/>
  <c r="G51" i="157"/>
  <c r="G75" i="157"/>
  <c r="G87" i="157"/>
  <c r="G99" i="157"/>
  <c r="G111" i="157"/>
  <c r="G124" i="157"/>
  <c r="G26" i="157"/>
  <c r="G59" i="157"/>
  <c r="G70" i="157"/>
  <c r="G82" i="157"/>
  <c r="G94" i="157"/>
  <c r="G106" i="157"/>
  <c r="G119" i="157"/>
  <c r="G56" i="157"/>
  <c r="G77" i="157"/>
  <c r="G89" i="157"/>
  <c r="G101" i="157"/>
  <c r="G113" i="157"/>
  <c r="G72" i="157"/>
  <c r="G84" i="157"/>
  <c r="G96" i="157"/>
  <c r="G108" i="157"/>
  <c r="G121" i="157"/>
  <c r="G47" i="157"/>
  <c r="G67" i="157"/>
  <c r="G79" i="157"/>
  <c r="G91" i="157"/>
  <c r="G103" i="157"/>
  <c r="G115" i="157"/>
  <c r="G69" i="157"/>
  <c r="G81" i="157"/>
  <c r="G93" i="157"/>
  <c r="G105" i="157"/>
  <c r="G117" i="157"/>
  <c r="G76" i="157"/>
  <c r="G88" i="157"/>
  <c r="G100" i="157"/>
  <c r="G112" i="157"/>
  <c r="G86" i="157"/>
  <c r="G128" i="157"/>
  <c r="G102" i="157"/>
  <c r="G127" i="157"/>
  <c r="G83" i="157"/>
  <c r="G135" i="157"/>
  <c r="G107" i="157"/>
  <c r="G114" i="157"/>
  <c r="G130" i="157"/>
  <c r="G74" i="157"/>
  <c r="G123" i="157"/>
  <c r="G125" i="157"/>
  <c r="G137" i="157"/>
  <c r="G38" i="157"/>
  <c r="G71" i="157"/>
  <c r="G120" i="157"/>
  <c r="G132" i="157"/>
  <c r="G3" i="157"/>
  <c r="G129" i="157"/>
  <c r="G63" i="157"/>
  <c r="G110" i="157"/>
  <c r="G134" i="157"/>
  <c r="G24" i="157"/>
  <c r="G90" i="157"/>
  <c r="G136" i="157"/>
  <c r="G95" i="157"/>
  <c r="G126" i="157"/>
  <c r="G138" i="157"/>
  <c r="G133" i="157"/>
  <c r="G44" i="157"/>
  <c r="G98" i="157"/>
  <c r="G131" i="157"/>
  <c r="G78" i="157"/>
  <c r="G141" i="157"/>
  <c r="G142" i="157"/>
  <c r="G140" i="157"/>
  <c r="G139" i="157"/>
  <c r="G203" i="157"/>
  <c r="G191" i="157"/>
  <c r="G196" i="157"/>
  <c r="G201" i="157"/>
  <c r="G206" i="157"/>
  <c r="G199" i="157"/>
  <c r="G204" i="157"/>
  <c r="G192" i="157"/>
  <c r="G197" i="157"/>
  <c r="G185" i="157"/>
  <c r="G202" i="157"/>
  <c r="G190" i="157"/>
  <c r="G200" i="157"/>
  <c r="G205" i="157"/>
  <c r="G198" i="157"/>
  <c r="G186" i="157"/>
  <c r="G174" i="157"/>
  <c r="G187" i="157"/>
  <c r="G172" i="157"/>
  <c r="G184" i="157"/>
  <c r="G180" i="157"/>
  <c r="G179" i="157"/>
  <c r="G188" i="157"/>
  <c r="G178" i="157"/>
  <c r="G181" i="157"/>
  <c r="G177" i="157"/>
  <c r="G189" i="157"/>
  <c r="G195" i="157"/>
  <c r="G182" i="157"/>
  <c r="G176" i="157"/>
  <c r="G171" i="157"/>
  <c r="G159" i="157"/>
  <c r="G194" i="157"/>
  <c r="G175" i="157"/>
  <c r="G183" i="157"/>
  <c r="G162" i="157"/>
  <c r="G173" i="157"/>
  <c r="G147" i="157"/>
  <c r="G166" i="157"/>
  <c r="G165" i="157"/>
  <c r="G193" i="157"/>
  <c r="G164" i="157"/>
  <c r="G155" i="157"/>
  <c r="G143" i="157"/>
  <c r="G170" i="157"/>
  <c r="G168" i="157"/>
  <c r="G163" i="157"/>
  <c r="G157" i="157"/>
  <c r="G153" i="157"/>
  <c r="G151" i="157"/>
  <c r="G161" i="157"/>
  <c r="G156" i="157"/>
  <c r="G149" i="157"/>
  <c r="G144" i="157"/>
  <c r="G145" i="157"/>
  <c r="G167" i="157"/>
  <c r="G158" i="157"/>
  <c r="G146" i="157"/>
  <c r="G160" i="157"/>
  <c r="G154" i="157"/>
  <c r="G152" i="157"/>
  <c r="G150" i="157"/>
  <c r="G148" i="157"/>
  <c r="G169" i="157"/>
  <c r="H1" i="157"/>
  <c r="T76" i="154"/>
  <c r="H118" i="157" l="1"/>
  <c r="H66" i="157"/>
  <c r="H6" i="157"/>
  <c r="H18" i="157"/>
  <c r="H13" i="157"/>
  <c r="H8" i="157"/>
  <c r="H15" i="157"/>
  <c r="H10" i="157"/>
  <c r="H5" i="157"/>
  <c r="H17" i="157"/>
  <c r="H12" i="157"/>
  <c r="H7" i="157"/>
  <c r="H14" i="157"/>
  <c r="H28" i="157"/>
  <c r="H40" i="157"/>
  <c r="H4" i="157"/>
  <c r="H23" i="157"/>
  <c r="H35" i="157"/>
  <c r="H30" i="157"/>
  <c r="H42" i="157"/>
  <c r="H9" i="157"/>
  <c r="H25" i="157"/>
  <c r="H37" i="157"/>
  <c r="H20" i="157"/>
  <c r="H32" i="157"/>
  <c r="H27" i="157"/>
  <c r="H39" i="157"/>
  <c r="H22" i="157"/>
  <c r="H34" i="157"/>
  <c r="H11" i="157"/>
  <c r="H24" i="157"/>
  <c r="H36" i="157"/>
  <c r="H38" i="157"/>
  <c r="H51" i="157"/>
  <c r="H63" i="157"/>
  <c r="H46" i="157"/>
  <c r="H58" i="157"/>
  <c r="H29" i="157"/>
  <c r="H53" i="157"/>
  <c r="H65" i="157"/>
  <c r="H48" i="157"/>
  <c r="H60" i="157"/>
  <c r="H16" i="157"/>
  <c r="H43" i="157"/>
  <c r="H55" i="157"/>
  <c r="H21" i="157"/>
  <c r="H50" i="157"/>
  <c r="H62" i="157"/>
  <c r="H41" i="157"/>
  <c r="H45" i="157"/>
  <c r="H57" i="157"/>
  <c r="H26" i="157"/>
  <c r="H47" i="157"/>
  <c r="H59" i="157"/>
  <c r="H33" i="157"/>
  <c r="H54" i="157"/>
  <c r="H78" i="157"/>
  <c r="H90" i="157"/>
  <c r="H102" i="157"/>
  <c r="H114" i="157"/>
  <c r="H73" i="157"/>
  <c r="H85" i="157"/>
  <c r="H97" i="157"/>
  <c r="H109" i="157"/>
  <c r="H122" i="157"/>
  <c r="H68" i="157"/>
  <c r="H80" i="157"/>
  <c r="H92" i="157"/>
  <c r="H104" i="157"/>
  <c r="H116" i="157"/>
  <c r="H75" i="157"/>
  <c r="H87" i="157"/>
  <c r="H99" i="157"/>
  <c r="H111" i="157"/>
  <c r="H124" i="157"/>
  <c r="H70" i="157"/>
  <c r="H82" i="157"/>
  <c r="H94" i="157"/>
  <c r="H106" i="157"/>
  <c r="H119" i="157"/>
  <c r="H31" i="157"/>
  <c r="H56" i="157"/>
  <c r="H77" i="157"/>
  <c r="H89" i="157"/>
  <c r="H101" i="157"/>
  <c r="H113" i="157"/>
  <c r="H64" i="157"/>
  <c r="H72" i="157"/>
  <c r="H84" i="157"/>
  <c r="H96" i="157"/>
  <c r="H108" i="157"/>
  <c r="H121" i="157"/>
  <c r="H44" i="157"/>
  <c r="H74" i="157"/>
  <c r="H86" i="157"/>
  <c r="H98" i="157"/>
  <c r="H110" i="157"/>
  <c r="H123" i="157"/>
  <c r="H19" i="157"/>
  <c r="H52" i="157"/>
  <c r="H69" i="157"/>
  <c r="H81" i="157"/>
  <c r="H93" i="157"/>
  <c r="H105" i="157"/>
  <c r="H117" i="157"/>
  <c r="H103" i="157"/>
  <c r="H133" i="157"/>
  <c r="H71" i="157"/>
  <c r="H126" i="157"/>
  <c r="H138" i="157"/>
  <c r="H100" i="157"/>
  <c r="H128" i="157"/>
  <c r="H132" i="157"/>
  <c r="H83" i="157"/>
  <c r="H135" i="157"/>
  <c r="H91" i="157"/>
  <c r="H130" i="157"/>
  <c r="H134" i="157"/>
  <c r="H88" i="157"/>
  <c r="H125" i="157"/>
  <c r="H137" i="157"/>
  <c r="H120" i="157"/>
  <c r="H3" i="157"/>
  <c r="H61" i="157"/>
  <c r="H79" i="157"/>
  <c r="H127" i="157"/>
  <c r="H49" i="157"/>
  <c r="H76" i="157"/>
  <c r="H107" i="157"/>
  <c r="H129" i="157"/>
  <c r="H112" i="157"/>
  <c r="H131" i="157"/>
  <c r="H67" i="157"/>
  <c r="H115" i="157"/>
  <c r="H136" i="157"/>
  <c r="H95" i="157"/>
  <c r="H141" i="157"/>
  <c r="H140" i="157"/>
  <c r="H142" i="157"/>
  <c r="H139" i="157"/>
  <c r="H196" i="157"/>
  <c r="H184" i="157"/>
  <c r="H201" i="157"/>
  <c r="H206" i="157"/>
  <c r="H199" i="157"/>
  <c r="H204" i="157"/>
  <c r="H192" i="157"/>
  <c r="H197" i="157"/>
  <c r="H202" i="157"/>
  <c r="H190" i="157"/>
  <c r="H178" i="157"/>
  <c r="H195" i="157"/>
  <c r="H183" i="157"/>
  <c r="H200" i="157"/>
  <c r="H205" i="157"/>
  <c r="H203" i="157"/>
  <c r="H191" i="157"/>
  <c r="H179" i="157"/>
  <c r="H180" i="157"/>
  <c r="H198" i="157"/>
  <c r="H188" i="157"/>
  <c r="H181" i="157"/>
  <c r="H177" i="157"/>
  <c r="H189" i="157"/>
  <c r="H185" i="157"/>
  <c r="H182" i="157"/>
  <c r="H176" i="157"/>
  <c r="H171" i="157"/>
  <c r="H194" i="157"/>
  <c r="H164" i="157"/>
  <c r="H186" i="157"/>
  <c r="H175" i="157"/>
  <c r="H169" i="157"/>
  <c r="H193" i="157"/>
  <c r="H174" i="157"/>
  <c r="H167" i="157"/>
  <c r="H187" i="157"/>
  <c r="H166" i="157"/>
  <c r="H152" i="157"/>
  <c r="H165" i="157"/>
  <c r="H172" i="157"/>
  <c r="H170" i="157"/>
  <c r="H148" i="157"/>
  <c r="H168" i="157"/>
  <c r="H163" i="157"/>
  <c r="H162" i="157"/>
  <c r="H144" i="157"/>
  <c r="H161" i="157"/>
  <c r="H160" i="157"/>
  <c r="H154" i="157"/>
  <c r="H145" i="157"/>
  <c r="H158" i="157"/>
  <c r="H146" i="157"/>
  <c r="H155" i="157"/>
  <c r="H153" i="157"/>
  <c r="H151" i="157"/>
  <c r="H149" i="157"/>
  <c r="H147" i="157"/>
  <c r="H173" i="157"/>
  <c r="H157" i="157"/>
  <c r="H156" i="157"/>
  <c r="H150" i="157"/>
  <c r="H159" i="157"/>
  <c r="H143" i="157"/>
  <c r="I1" i="157"/>
  <c r="T77" i="154"/>
  <c r="I118" i="157" l="1"/>
  <c r="I66" i="157"/>
  <c r="I11" i="157"/>
  <c r="I6" i="157"/>
  <c r="I13" i="157"/>
  <c r="I8" i="157"/>
  <c r="I15" i="157"/>
  <c r="I10" i="157"/>
  <c r="I5" i="157"/>
  <c r="I17" i="157"/>
  <c r="I12" i="157"/>
  <c r="I7" i="157"/>
  <c r="I21" i="157"/>
  <c r="I33" i="157"/>
  <c r="I28" i="157"/>
  <c r="I40" i="157"/>
  <c r="I4" i="157"/>
  <c r="I23" i="157"/>
  <c r="I35" i="157"/>
  <c r="I18" i="157"/>
  <c r="I30" i="157"/>
  <c r="I42" i="157"/>
  <c r="I9" i="157"/>
  <c r="I25" i="157"/>
  <c r="I37" i="157"/>
  <c r="I20" i="157"/>
  <c r="I32" i="157"/>
  <c r="I14" i="157"/>
  <c r="I27" i="157"/>
  <c r="I39" i="157"/>
  <c r="I29" i="157"/>
  <c r="I41" i="157"/>
  <c r="I31" i="157"/>
  <c r="I44" i="157"/>
  <c r="I56" i="157"/>
  <c r="I38" i="157"/>
  <c r="I51" i="157"/>
  <c r="I63" i="157"/>
  <c r="I22" i="157"/>
  <c r="I46" i="157"/>
  <c r="I58" i="157"/>
  <c r="I36" i="157"/>
  <c r="I53" i="157"/>
  <c r="I65" i="157"/>
  <c r="I48" i="157"/>
  <c r="I60" i="157"/>
  <c r="I16" i="157"/>
  <c r="I43" i="157"/>
  <c r="I55" i="157"/>
  <c r="I34" i="157"/>
  <c r="I50" i="157"/>
  <c r="I62" i="157"/>
  <c r="I19" i="157"/>
  <c r="I52" i="157"/>
  <c r="I64" i="157"/>
  <c r="I26" i="157"/>
  <c r="I47" i="157"/>
  <c r="I59" i="157"/>
  <c r="I57" i="157"/>
  <c r="I71" i="157"/>
  <c r="I83" i="157"/>
  <c r="I95" i="157"/>
  <c r="I107" i="157"/>
  <c r="I120" i="157"/>
  <c r="I54" i="157"/>
  <c r="I78" i="157"/>
  <c r="I90" i="157"/>
  <c r="I102" i="157"/>
  <c r="I114" i="157"/>
  <c r="I73" i="157"/>
  <c r="I85" i="157"/>
  <c r="I97" i="157"/>
  <c r="I109" i="157"/>
  <c r="I122" i="157"/>
  <c r="I45" i="157"/>
  <c r="I68" i="157"/>
  <c r="I80" i="157"/>
  <c r="I92" i="157"/>
  <c r="I104" i="157"/>
  <c r="I116" i="157"/>
  <c r="I75" i="157"/>
  <c r="I87" i="157"/>
  <c r="I99" i="157"/>
  <c r="I111" i="157"/>
  <c r="I124" i="157"/>
  <c r="I70" i="157"/>
  <c r="I82" i="157"/>
  <c r="I94" i="157"/>
  <c r="I106" i="157"/>
  <c r="I119" i="157"/>
  <c r="I77" i="157"/>
  <c r="I89" i="157"/>
  <c r="I101" i="157"/>
  <c r="I113" i="157"/>
  <c r="I61" i="157"/>
  <c r="I67" i="157"/>
  <c r="I79" i="157"/>
  <c r="I91" i="157"/>
  <c r="I103" i="157"/>
  <c r="I115" i="157"/>
  <c r="I74" i="157"/>
  <c r="I86" i="157"/>
  <c r="I98" i="157"/>
  <c r="I110" i="157"/>
  <c r="I123" i="157"/>
  <c r="I72" i="157"/>
  <c r="I121" i="157"/>
  <c r="I126" i="157"/>
  <c r="I138" i="157"/>
  <c r="I69" i="157"/>
  <c r="I117" i="157"/>
  <c r="I133" i="157"/>
  <c r="I88" i="157"/>
  <c r="I127" i="157"/>
  <c r="I100" i="157"/>
  <c r="I128" i="157"/>
  <c r="I108" i="157"/>
  <c r="I135" i="157"/>
  <c r="I125" i="157"/>
  <c r="I105" i="157"/>
  <c r="I130" i="157"/>
  <c r="I137" i="157"/>
  <c r="I96" i="157"/>
  <c r="I132" i="157"/>
  <c r="I3" i="157"/>
  <c r="I93" i="157"/>
  <c r="I112" i="157"/>
  <c r="I131" i="157"/>
  <c r="I24" i="157"/>
  <c r="I49" i="157"/>
  <c r="I76" i="157"/>
  <c r="I134" i="157"/>
  <c r="I84" i="157"/>
  <c r="I129" i="157"/>
  <c r="I81" i="157"/>
  <c r="I136" i="157"/>
  <c r="I139" i="157"/>
  <c r="I141" i="157"/>
  <c r="I140" i="157"/>
  <c r="I142" i="157"/>
  <c r="I201" i="157"/>
  <c r="I189" i="157"/>
  <c r="I206" i="157"/>
  <c r="I199" i="157"/>
  <c r="I204" i="157"/>
  <c r="I197" i="157"/>
  <c r="I202" i="157"/>
  <c r="I190" i="157"/>
  <c r="I195" i="157"/>
  <c r="I183" i="157"/>
  <c r="I200" i="157"/>
  <c r="I188" i="157"/>
  <c r="I205" i="157"/>
  <c r="I198" i="157"/>
  <c r="I203" i="157"/>
  <c r="I196" i="157"/>
  <c r="I184" i="157"/>
  <c r="I179" i="157"/>
  <c r="I170" i="157"/>
  <c r="I192" i="157"/>
  <c r="I181" i="157"/>
  <c r="I178" i="157"/>
  <c r="I177" i="157"/>
  <c r="I185" i="157"/>
  <c r="I191" i="157"/>
  <c r="I182" i="157"/>
  <c r="I176" i="157"/>
  <c r="I194" i="157"/>
  <c r="I186" i="157"/>
  <c r="I175" i="157"/>
  <c r="I169" i="157"/>
  <c r="I193" i="157"/>
  <c r="I187" i="157"/>
  <c r="I172" i="157"/>
  <c r="I160" i="157"/>
  <c r="I180" i="157"/>
  <c r="I165" i="157"/>
  <c r="I159" i="157"/>
  <c r="I164" i="157"/>
  <c r="I174" i="157"/>
  <c r="I168" i="157"/>
  <c r="I163" i="157"/>
  <c r="I157" i="157"/>
  <c r="I153" i="157"/>
  <c r="I162" i="157"/>
  <c r="I151" i="157"/>
  <c r="I161" i="157"/>
  <c r="I156" i="157"/>
  <c r="I149" i="157"/>
  <c r="I173" i="157"/>
  <c r="I167" i="157"/>
  <c r="I147" i="157"/>
  <c r="I158" i="157"/>
  <c r="I146" i="157"/>
  <c r="I155" i="157"/>
  <c r="I166" i="157"/>
  <c r="I171" i="157"/>
  <c r="I154" i="157"/>
  <c r="I152" i="157"/>
  <c r="I150" i="157"/>
  <c r="I148" i="157"/>
  <c r="I143" i="157"/>
  <c r="I145" i="157"/>
  <c r="I144" i="157"/>
  <c r="J1" i="157"/>
  <c r="T74" i="154"/>
  <c r="J118" i="157" l="1"/>
  <c r="J66" i="157"/>
  <c r="J4" i="157"/>
  <c r="J16" i="157"/>
  <c r="J11" i="157"/>
  <c r="J6" i="157"/>
  <c r="J13" i="157"/>
  <c r="J8" i="157"/>
  <c r="J15" i="157"/>
  <c r="J10" i="157"/>
  <c r="J5" i="157"/>
  <c r="J17" i="157"/>
  <c r="J12" i="157"/>
  <c r="J7" i="157"/>
  <c r="J26" i="157"/>
  <c r="J38" i="157"/>
  <c r="J21" i="157"/>
  <c r="J33" i="157"/>
  <c r="J28" i="157"/>
  <c r="J40" i="157"/>
  <c r="J23" i="157"/>
  <c r="J35" i="157"/>
  <c r="J18" i="157"/>
  <c r="J30" i="157"/>
  <c r="J42" i="157"/>
  <c r="J9" i="157"/>
  <c r="J25" i="157"/>
  <c r="J37" i="157"/>
  <c r="J20" i="157"/>
  <c r="J32" i="157"/>
  <c r="J22" i="157"/>
  <c r="J34" i="157"/>
  <c r="J24" i="157"/>
  <c r="J49" i="157"/>
  <c r="J61" i="157"/>
  <c r="J31" i="157"/>
  <c r="J44" i="157"/>
  <c r="J56" i="157"/>
  <c r="J51" i="157"/>
  <c r="J63" i="157"/>
  <c r="J29" i="157"/>
  <c r="J46" i="157"/>
  <c r="J58" i="157"/>
  <c r="J36" i="157"/>
  <c r="J53" i="157"/>
  <c r="J65" i="157"/>
  <c r="J48" i="157"/>
  <c r="J60" i="157"/>
  <c r="J27" i="157"/>
  <c r="J43" i="157"/>
  <c r="J55" i="157"/>
  <c r="J45" i="157"/>
  <c r="J57" i="157"/>
  <c r="J19" i="157"/>
  <c r="J52" i="157"/>
  <c r="J64" i="157"/>
  <c r="J76" i="157"/>
  <c r="J88" i="157"/>
  <c r="J100" i="157"/>
  <c r="J112" i="157"/>
  <c r="J39" i="157"/>
  <c r="J71" i="157"/>
  <c r="J83" i="157"/>
  <c r="J95" i="157"/>
  <c r="J107" i="157"/>
  <c r="J120" i="157"/>
  <c r="J54" i="157"/>
  <c r="J78" i="157"/>
  <c r="J90" i="157"/>
  <c r="J102" i="157"/>
  <c r="J114" i="157"/>
  <c r="J62" i="157"/>
  <c r="J73" i="157"/>
  <c r="J85" i="157"/>
  <c r="J97" i="157"/>
  <c r="J109" i="157"/>
  <c r="J122" i="157"/>
  <c r="J14" i="157"/>
  <c r="J59" i="157"/>
  <c r="J68" i="157"/>
  <c r="J80" i="157"/>
  <c r="J92" i="157"/>
  <c r="J104" i="157"/>
  <c r="J116" i="157"/>
  <c r="J75" i="157"/>
  <c r="J87" i="157"/>
  <c r="J99" i="157"/>
  <c r="J111" i="157"/>
  <c r="J124" i="157"/>
  <c r="J41" i="157"/>
  <c r="J50" i="157"/>
  <c r="J70" i="157"/>
  <c r="J82" i="157"/>
  <c r="J94" i="157"/>
  <c r="J106" i="157"/>
  <c r="J119" i="157"/>
  <c r="J72" i="157"/>
  <c r="J84" i="157"/>
  <c r="J96" i="157"/>
  <c r="J108" i="157"/>
  <c r="J121" i="157"/>
  <c r="J67" i="157"/>
  <c r="J79" i="157"/>
  <c r="J91" i="157"/>
  <c r="J103" i="157"/>
  <c r="J115" i="157"/>
  <c r="J89" i="157"/>
  <c r="J131" i="157"/>
  <c r="J86" i="157"/>
  <c r="J126" i="157"/>
  <c r="J138" i="157"/>
  <c r="J69" i="157"/>
  <c r="J117" i="157"/>
  <c r="J133" i="157"/>
  <c r="J81" i="157"/>
  <c r="J47" i="157"/>
  <c r="J77" i="157"/>
  <c r="J128" i="157"/>
  <c r="J105" i="157"/>
  <c r="J74" i="157"/>
  <c r="J123" i="157"/>
  <c r="J135" i="157"/>
  <c r="J130" i="157"/>
  <c r="J110" i="157"/>
  <c r="J132" i="157"/>
  <c r="J113" i="157"/>
  <c r="J125" i="157"/>
  <c r="J137" i="157"/>
  <c r="J3" i="157"/>
  <c r="J136" i="157"/>
  <c r="J93" i="157"/>
  <c r="J127" i="157"/>
  <c r="J101" i="157"/>
  <c r="J134" i="157"/>
  <c r="J98" i="157"/>
  <c r="J129" i="157"/>
  <c r="J139" i="157"/>
  <c r="J141" i="157"/>
  <c r="J140" i="157"/>
  <c r="J142" i="157"/>
  <c r="J206" i="157"/>
  <c r="J194" i="157"/>
  <c r="J182" i="157"/>
  <c r="J199" i="157"/>
  <c r="J204" i="157"/>
  <c r="J197" i="157"/>
  <c r="J202" i="157"/>
  <c r="J195" i="157"/>
  <c r="J200" i="157"/>
  <c r="J188" i="157"/>
  <c r="J176" i="157"/>
  <c r="J205" i="157"/>
  <c r="J193" i="157"/>
  <c r="J181" i="157"/>
  <c r="J198" i="157"/>
  <c r="J203" i="157"/>
  <c r="J201" i="157"/>
  <c r="J189" i="157"/>
  <c r="J177" i="157"/>
  <c r="J196" i="157"/>
  <c r="J184" i="157"/>
  <c r="J192" i="157"/>
  <c r="J178" i="157"/>
  <c r="J185" i="157"/>
  <c r="J191" i="157"/>
  <c r="J186" i="157"/>
  <c r="J175" i="157"/>
  <c r="J169" i="157"/>
  <c r="J162" i="157"/>
  <c r="J174" i="157"/>
  <c r="J167" i="157"/>
  <c r="J190" i="157"/>
  <c r="J187" i="157"/>
  <c r="J183" i="157"/>
  <c r="J180" i="157"/>
  <c r="J165" i="157"/>
  <c r="J158" i="157"/>
  <c r="J150" i="157"/>
  <c r="J179" i="157"/>
  <c r="J164" i="157"/>
  <c r="J172" i="157"/>
  <c r="J170" i="157"/>
  <c r="J168" i="157"/>
  <c r="J163" i="157"/>
  <c r="J146" i="157"/>
  <c r="J161" i="157"/>
  <c r="J154" i="157"/>
  <c r="J173" i="157"/>
  <c r="J160" i="157"/>
  <c r="J171" i="157"/>
  <c r="J166" i="157"/>
  <c r="J152" i="157"/>
  <c r="J155" i="157"/>
  <c r="J153" i="157"/>
  <c r="J151" i="157"/>
  <c r="J149" i="157"/>
  <c r="J147" i="157"/>
  <c r="J157" i="157"/>
  <c r="J156" i="157"/>
  <c r="J148" i="157"/>
  <c r="J159" i="157"/>
  <c r="J143" i="157"/>
  <c r="J145" i="157"/>
  <c r="J144" i="157"/>
  <c r="K1" i="157"/>
  <c r="T73" i="154"/>
  <c r="T72" i="154"/>
  <c r="T70" i="154"/>
  <c r="K118" i="157" l="1"/>
  <c r="K66" i="157"/>
  <c r="K9" i="157"/>
  <c r="K4" i="157"/>
  <c r="K16" i="157"/>
  <c r="K11" i="157"/>
  <c r="K6" i="157"/>
  <c r="K13" i="157"/>
  <c r="K8" i="157"/>
  <c r="K15" i="157"/>
  <c r="K10" i="157"/>
  <c r="K5" i="157"/>
  <c r="K17" i="157"/>
  <c r="K19" i="157"/>
  <c r="K31" i="157"/>
  <c r="K7" i="157"/>
  <c r="K26" i="157"/>
  <c r="K38" i="157"/>
  <c r="K21" i="157"/>
  <c r="K33" i="157"/>
  <c r="K12" i="157"/>
  <c r="K28" i="157"/>
  <c r="K40" i="157"/>
  <c r="K23" i="157"/>
  <c r="K35" i="157"/>
  <c r="K18" i="157"/>
  <c r="K30" i="157"/>
  <c r="K42" i="157"/>
  <c r="K25" i="157"/>
  <c r="K37" i="157"/>
  <c r="K14" i="157"/>
  <c r="K27" i="157"/>
  <c r="K39" i="157"/>
  <c r="K54" i="157"/>
  <c r="K24" i="157"/>
  <c r="K49" i="157"/>
  <c r="K61" i="157"/>
  <c r="K44" i="157"/>
  <c r="K56" i="157"/>
  <c r="K22" i="157"/>
  <c r="K51" i="157"/>
  <c r="K63" i="157"/>
  <c r="K29" i="157"/>
  <c r="K46" i="157"/>
  <c r="K58" i="157"/>
  <c r="K36" i="157"/>
  <c r="K53" i="157"/>
  <c r="K20" i="157"/>
  <c r="K48" i="157"/>
  <c r="K60" i="157"/>
  <c r="K41" i="157"/>
  <c r="K50" i="157"/>
  <c r="K62" i="157"/>
  <c r="K45" i="157"/>
  <c r="K57" i="157"/>
  <c r="K34" i="157"/>
  <c r="K43" i="157"/>
  <c r="K69" i="157"/>
  <c r="K81" i="157"/>
  <c r="K93" i="157"/>
  <c r="K105" i="157"/>
  <c r="K117" i="157"/>
  <c r="K76" i="157"/>
  <c r="K88" i="157"/>
  <c r="K100" i="157"/>
  <c r="K112" i="157"/>
  <c r="K71" i="157"/>
  <c r="K83" i="157"/>
  <c r="K95" i="157"/>
  <c r="K107" i="157"/>
  <c r="K120" i="157"/>
  <c r="K65" i="157"/>
  <c r="K78" i="157"/>
  <c r="K90" i="157"/>
  <c r="K102" i="157"/>
  <c r="K114" i="157"/>
  <c r="K73" i="157"/>
  <c r="K85" i="157"/>
  <c r="K97" i="157"/>
  <c r="K109" i="157"/>
  <c r="K122" i="157"/>
  <c r="K59" i="157"/>
  <c r="K68" i="157"/>
  <c r="K80" i="157"/>
  <c r="K92" i="157"/>
  <c r="K104" i="157"/>
  <c r="K116" i="157"/>
  <c r="K75" i="157"/>
  <c r="K87" i="157"/>
  <c r="K99" i="157"/>
  <c r="K111" i="157"/>
  <c r="K124" i="157"/>
  <c r="K47" i="157"/>
  <c r="K77" i="157"/>
  <c r="K89" i="157"/>
  <c r="K101" i="157"/>
  <c r="K113" i="157"/>
  <c r="K55" i="157"/>
  <c r="K72" i="157"/>
  <c r="K84" i="157"/>
  <c r="K96" i="157"/>
  <c r="K108" i="157"/>
  <c r="K121" i="157"/>
  <c r="K32" i="157"/>
  <c r="K64" i="157"/>
  <c r="K106" i="157"/>
  <c r="K136" i="157"/>
  <c r="K123" i="157"/>
  <c r="K52" i="157"/>
  <c r="K103" i="157"/>
  <c r="K131" i="157"/>
  <c r="K86" i="157"/>
  <c r="K126" i="157"/>
  <c r="K138" i="157"/>
  <c r="K135" i="157"/>
  <c r="K98" i="157"/>
  <c r="K129" i="157"/>
  <c r="K94" i="157"/>
  <c r="K133" i="157"/>
  <c r="K74" i="157"/>
  <c r="K125" i="157"/>
  <c r="K91" i="157"/>
  <c r="K128" i="157"/>
  <c r="K137" i="157"/>
  <c r="K82" i="157"/>
  <c r="K130" i="157"/>
  <c r="K79" i="157"/>
  <c r="K110" i="157"/>
  <c r="K132" i="157"/>
  <c r="K3" i="157"/>
  <c r="K70" i="157"/>
  <c r="K119" i="157"/>
  <c r="K127" i="157"/>
  <c r="K67" i="157"/>
  <c r="K115" i="157"/>
  <c r="K134" i="157"/>
  <c r="K139" i="157"/>
  <c r="K141" i="157"/>
  <c r="K142" i="157"/>
  <c r="K140" i="157"/>
  <c r="K199" i="157"/>
  <c r="K187" i="157"/>
  <c r="K204" i="157"/>
  <c r="K197" i="157"/>
  <c r="K202" i="157"/>
  <c r="K195" i="157"/>
  <c r="K200" i="157"/>
  <c r="K205" i="157"/>
  <c r="K193" i="157"/>
  <c r="K181" i="157"/>
  <c r="K198" i="157"/>
  <c r="K186" i="157"/>
  <c r="K203" i="157"/>
  <c r="K201" i="157"/>
  <c r="K206" i="157"/>
  <c r="K194" i="157"/>
  <c r="K182" i="157"/>
  <c r="K192" i="157"/>
  <c r="K178" i="157"/>
  <c r="K168" i="157"/>
  <c r="K188" i="157"/>
  <c r="K185" i="157"/>
  <c r="K177" i="157"/>
  <c r="K191" i="157"/>
  <c r="K189" i="157"/>
  <c r="K176" i="157"/>
  <c r="K174" i="157"/>
  <c r="K167" i="157"/>
  <c r="K190" i="157"/>
  <c r="K183" i="157"/>
  <c r="K172" i="157"/>
  <c r="K180" i="157"/>
  <c r="K179" i="157"/>
  <c r="K170" i="157"/>
  <c r="K158" i="157"/>
  <c r="K196" i="157"/>
  <c r="K155" i="157"/>
  <c r="K164" i="157"/>
  <c r="K163" i="157"/>
  <c r="K175" i="157"/>
  <c r="K151" i="157"/>
  <c r="K184" i="157"/>
  <c r="K162" i="157"/>
  <c r="K161" i="157"/>
  <c r="K156" i="157"/>
  <c r="K149" i="157"/>
  <c r="K173" i="157"/>
  <c r="K160" i="157"/>
  <c r="K147" i="157"/>
  <c r="K171" i="157"/>
  <c r="K166" i="157"/>
  <c r="K169" i="157"/>
  <c r="K159" i="157"/>
  <c r="K145" i="157"/>
  <c r="K153" i="157"/>
  <c r="K157" i="157"/>
  <c r="K165" i="157"/>
  <c r="K154" i="157"/>
  <c r="K152" i="157"/>
  <c r="K150" i="157"/>
  <c r="K148" i="157"/>
  <c r="K143" i="157"/>
  <c r="K144" i="157"/>
  <c r="K146" i="157"/>
  <c r="L1" i="157"/>
  <c r="T81" i="154"/>
  <c r="L118" i="157" l="1"/>
  <c r="L66" i="157"/>
  <c r="L14" i="157"/>
  <c r="L9" i="157"/>
  <c r="L4" i="157"/>
  <c r="L16" i="157"/>
  <c r="L11" i="157"/>
  <c r="L6" i="157"/>
  <c r="L13" i="157"/>
  <c r="L8" i="157"/>
  <c r="L15" i="157"/>
  <c r="L10" i="157"/>
  <c r="L24" i="157"/>
  <c r="L36" i="157"/>
  <c r="L19" i="157"/>
  <c r="L31" i="157"/>
  <c r="L7" i="157"/>
  <c r="L26" i="157"/>
  <c r="L38" i="157"/>
  <c r="L21" i="157"/>
  <c r="L33" i="157"/>
  <c r="L12" i="157"/>
  <c r="L28" i="157"/>
  <c r="L40" i="157"/>
  <c r="L23" i="157"/>
  <c r="L35" i="157"/>
  <c r="L17" i="157"/>
  <c r="L18" i="157"/>
  <c r="L30" i="157"/>
  <c r="L42" i="157"/>
  <c r="L20" i="157"/>
  <c r="L32" i="157"/>
  <c r="L47" i="157"/>
  <c r="L59" i="157"/>
  <c r="L54" i="157"/>
  <c r="L37" i="157"/>
  <c r="L49" i="157"/>
  <c r="L61" i="157"/>
  <c r="L44" i="157"/>
  <c r="L56" i="157"/>
  <c r="L22" i="157"/>
  <c r="L51" i="157"/>
  <c r="L63" i="157"/>
  <c r="L29" i="157"/>
  <c r="L46" i="157"/>
  <c r="L58" i="157"/>
  <c r="L53" i="157"/>
  <c r="L34" i="157"/>
  <c r="L43" i="157"/>
  <c r="L55" i="157"/>
  <c r="L41" i="157"/>
  <c r="L50" i="157"/>
  <c r="L62" i="157"/>
  <c r="L60" i="157"/>
  <c r="L74" i="157"/>
  <c r="L86" i="157"/>
  <c r="L98" i="157"/>
  <c r="L110" i="157"/>
  <c r="L123" i="157"/>
  <c r="L25" i="157"/>
  <c r="L57" i="157"/>
  <c r="L69" i="157"/>
  <c r="L81" i="157"/>
  <c r="L93" i="157"/>
  <c r="L105" i="157"/>
  <c r="L117" i="157"/>
  <c r="L39" i="157"/>
  <c r="L76" i="157"/>
  <c r="L88" i="157"/>
  <c r="L100" i="157"/>
  <c r="L112" i="157"/>
  <c r="L48" i="157"/>
  <c r="L71" i="157"/>
  <c r="L83" i="157"/>
  <c r="L95" i="157"/>
  <c r="L107" i="157"/>
  <c r="L120" i="157"/>
  <c r="L45" i="157"/>
  <c r="L65" i="157"/>
  <c r="L78" i="157"/>
  <c r="L90" i="157"/>
  <c r="L102" i="157"/>
  <c r="L114" i="157"/>
  <c r="L73" i="157"/>
  <c r="L85" i="157"/>
  <c r="L97" i="157"/>
  <c r="L109" i="157"/>
  <c r="L122" i="157"/>
  <c r="L27" i="157"/>
  <c r="L68" i="157"/>
  <c r="L80" i="157"/>
  <c r="L92" i="157"/>
  <c r="L104" i="157"/>
  <c r="L116" i="157"/>
  <c r="L64" i="157"/>
  <c r="L70" i="157"/>
  <c r="L82" i="157"/>
  <c r="L94" i="157"/>
  <c r="L106" i="157"/>
  <c r="L119" i="157"/>
  <c r="L77" i="157"/>
  <c r="L89" i="157"/>
  <c r="L101" i="157"/>
  <c r="L113" i="157"/>
  <c r="L75" i="157"/>
  <c r="L124" i="157"/>
  <c r="L129" i="157"/>
  <c r="L67" i="157"/>
  <c r="L72" i="157"/>
  <c r="L121" i="157"/>
  <c r="L136" i="157"/>
  <c r="L5" i="157"/>
  <c r="L52" i="157"/>
  <c r="L103" i="157"/>
  <c r="L131" i="157"/>
  <c r="L91" i="157"/>
  <c r="L115" i="157"/>
  <c r="L134" i="157"/>
  <c r="L111" i="157"/>
  <c r="L126" i="157"/>
  <c r="L138" i="157"/>
  <c r="L128" i="157"/>
  <c r="L108" i="157"/>
  <c r="L133" i="157"/>
  <c r="L99" i="157"/>
  <c r="L135" i="157"/>
  <c r="L96" i="157"/>
  <c r="L130" i="157"/>
  <c r="L79" i="157"/>
  <c r="L125" i="157"/>
  <c r="L137" i="157"/>
  <c r="L87" i="157"/>
  <c r="L132" i="157"/>
  <c r="L3" i="157"/>
  <c r="L84" i="157"/>
  <c r="L127" i="157"/>
  <c r="L142" i="157"/>
  <c r="L139" i="157"/>
  <c r="L141" i="157"/>
  <c r="L140" i="157"/>
  <c r="L204" i="157"/>
  <c r="L192" i="157"/>
  <c r="L180" i="157"/>
  <c r="L197" i="157"/>
  <c r="L202" i="157"/>
  <c r="L195" i="157"/>
  <c r="L200" i="157"/>
  <c r="L205" i="157"/>
  <c r="L193" i="157"/>
  <c r="L198" i="157"/>
  <c r="L186" i="157"/>
  <c r="L174" i="157"/>
  <c r="L203" i="157"/>
  <c r="L191" i="157"/>
  <c r="L201" i="157"/>
  <c r="L206" i="157"/>
  <c r="L199" i="157"/>
  <c r="L187" i="157"/>
  <c r="L175" i="157"/>
  <c r="L188" i="157"/>
  <c r="L173" i="157"/>
  <c r="L185" i="157"/>
  <c r="L181" i="157"/>
  <c r="L177" i="157"/>
  <c r="L189" i="157"/>
  <c r="L176" i="157"/>
  <c r="L182" i="157"/>
  <c r="L194" i="157"/>
  <c r="L167" i="157"/>
  <c r="L190" i="157"/>
  <c r="L183" i="157"/>
  <c r="L172" i="157"/>
  <c r="L160" i="157"/>
  <c r="L179" i="157"/>
  <c r="L196" i="157"/>
  <c r="L184" i="157"/>
  <c r="L163" i="157"/>
  <c r="L164" i="157"/>
  <c r="L148" i="157"/>
  <c r="L170" i="157"/>
  <c r="L168" i="157"/>
  <c r="L178" i="157"/>
  <c r="L162" i="157"/>
  <c r="L144" i="157"/>
  <c r="L161" i="157"/>
  <c r="L154" i="157"/>
  <c r="L171" i="157"/>
  <c r="L166" i="157"/>
  <c r="L152" i="157"/>
  <c r="L169" i="157"/>
  <c r="L165" i="157"/>
  <c r="L150" i="157"/>
  <c r="L155" i="157"/>
  <c r="L153" i="157"/>
  <c r="L151" i="157"/>
  <c r="L149" i="157"/>
  <c r="L147" i="157"/>
  <c r="L157" i="157"/>
  <c r="L156" i="157"/>
  <c r="L143" i="157"/>
  <c r="L159" i="157"/>
  <c r="L145" i="157"/>
  <c r="L146" i="157"/>
  <c r="L158" i="157"/>
  <c r="M1" i="157"/>
  <c r="T69" i="154"/>
  <c r="T68" i="154"/>
  <c r="T71" i="154"/>
  <c r="M118" i="157" l="1"/>
  <c r="M66" i="157"/>
  <c r="M7" i="157"/>
  <c r="M14" i="157"/>
  <c r="M9" i="157"/>
  <c r="M4" i="157"/>
  <c r="M16" i="157"/>
  <c r="M11" i="157"/>
  <c r="M6" i="157"/>
  <c r="M13" i="157"/>
  <c r="M8" i="157"/>
  <c r="M15" i="157"/>
  <c r="M10" i="157"/>
  <c r="M29" i="157"/>
  <c r="M41" i="157"/>
  <c r="M24" i="157"/>
  <c r="M36" i="157"/>
  <c r="M19" i="157"/>
  <c r="M31" i="157"/>
  <c r="M26" i="157"/>
  <c r="M38" i="157"/>
  <c r="M21" i="157"/>
  <c r="M33" i="157"/>
  <c r="M12" i="157"/>
  <c r="M28" i="157"/>
  <c r="M40" i="157"/>
  <c r="M23" i="157"/>
  <c r="M35" i="157"/>
  <c r="M25" i="157"/>
  <c r="M37" i="157"/>
  <c r="M5" i="157"/>
  <c r="M39" i="157"/>
  <c r="M52" i="157"/>
  <c r="M64" i="157"/>
  <c r="M47" i="157"/>
  <c r="M59" i="157"/>
  <c r="M30" i="157"/>
  <c r="M54" i="157"/>
  <c r="M49" i="157"/>
  <c r="M61" i="157"/>
  <c r="M44" i="157"/>
  <c r="M56" i="157"/>
  <c r="M22" i="157"/>
  <c r="M51" i="157"/>
  <c r="M63" i="157"/>
  <c r="M17" i="157"/>
  <c r="M42" i="157"/>
  <c r="M46" i="157"/>
  <c r="M58" i="157"/>
  <c r="M27" i="157"/>
  <c r="M48" i="157"/>
  <c r="M60" i="157"/>
  <c r="M34" i="157"/>
  <c r="M43" i="157"/>
  <c r="M55" i="157"/>
  <c r="M20" i="157"/>
  <c r="M67" i="157"/>
  <c r="M79" i="157"/>
  <c r="M91" i="157"/>
  <c r="M103" i="157"/>
  <c r="M115" i="157"/>
  <c r="M74" i="157"/>
  <c r="M86" i="157"/>
  <c r="M98" i="157"/>
  <c r="M110" i="157"/>
  <c r="M123" i="157"/>
  <c r="M57" i="157"/>
  <c r="M69" i="157"/>
  <c r="M81" i="157"/>
  <c r="M93" i="157"/>
  <c r="M105" i="157"/>
  <c r="M117" i="157"/>
  <c r="M76" i="157"/>
  <c r="M88" i="157"/>
  <c r="M100" i="157"/>
  <c r="M112" i="157"/>
  <c r="M62" i="157"/>
  <c r="M71" i="157"/>
  <c r="M83" i="157"/>
  <c r="M95" i="157"/>
  <c r="M107" i="157"/>
  <c r="M120" i="157"/>
  <c r="M45" i="157"/>
  <c r="M65" i="157"/>
  <c r="M78" i="157"/>
  <c r="M90" i="157"/>
  <c r="M102" i="157"/>
  <c r="M114" i="157"/>
  <c r="M53" i="157"/>
  <c r="M73" i="157"/>
  <c r="M85" i="157"/>
  <c r="M97" i="157"/>
  <c r="M109" i="157"/>
  <c r="M122" i="157"/>
  <c r="M32" i="157"/>
  <c r="M75" i="157"/>
  <c r="M87" i="157"/>
  <c r="M99" i="157"/>
  <c r="M111" i="157"/>
  <c r="M124" i="157"/>
  <c r="M70" i="157"/>
  <c r="M82" i="157"/>
  <c r="M94" i="157"/>
  <c r="M106" i="157"/>
  <c r="M119" i="157"/>
  <c r="M92" i="157"/>
  <c r="M134" i="157"/>
  <c r="M108" i="157"/>
  <c r="M89" i="157"/>
  <c r="M129" i="157"/>
  <c r="M135" i="157"/>
  <c r="M72" i="157"/>
  <c r="M121" i="157"/>
  <c r="M136" i="157"/>
  <c r="M18" i="157"/>
  <c r="M80" i="157"/>
  <c r="M131" i="157"/>
  <c r="M113" i="157"/>
  <c r="M84" i="157"/>
  <c r="M77" i="157"/>
  <c r="M126" i="157"/>
  <c r="M138" i="157"/>
  <c r="M133" i="157"/>
  <c r="M127" i="157"/>
  <c r="M68" i="157"/>
  <c r="M116" i="157"/>
  <c r="M128" i="157"/>
  <c r="M96" i="157"/>
  <c r="M130" i="157"/>
  <c r="M101" i="157"/>
  <c r="M3" i="157"/>
  <c r="M50" i="157"/>
  <c r="M104" i="157"/>
  <c r="M125" i="157"/>
  <c r="M137" i="157"/>
  <c r="M132" i="157"/>
  <c r="M140" i="157"/>
  <c r="M142" i="157"/>
  <c r="M139" i="157"/>
  <c r="M141" i="157"/>
  <c r="M197" i="157"/>
  <c r="M185" i="157"/>
  <c r="M202" i="157"/>
  <c r="M195" i="157"/>
  <c r="M200" i="157"/>
  <c r="M205" i="157"/>
  <c r="M193" i="157"/>
  <c r="M198" i="157"/>
  <c r="M203" i="157"/>
  <c r="M191" i="157"/>
  <c r="M179" i="157"/>
  <c r="M196" i="157"/>
  <c r="M184" i="157"/>
  <c r="M201" i="157"/>
  <c r="M206" i="157"/>
  <c r="M199" i="157"/>
  <c r="M204" i="157"/>
  <c r="M192" i="157"/>
  <c r="M180" i="157"/>
  <c r="M181" i="157"/>
  <c r="M177" i="157"/>
  <c r="M189" i="157"/>
  <c r="M176" i="157"/>
  <c r="M182" i="157"/>
  <c r="M194" i="157"/>
  <c r="M186" i="157"/>
  <c r="M190" i="157"/>
  <c r="M183" i="157"/>
  <c r="M174" i="157"/>
  <c r="M172" i="157"/>
  <c r="M165" i="157"/>
  <c r="M187" i="157"/>
  <c r="M170" i="157"/>
  <c r="M178" i="157"/>
  <c r="M168" i="157"/>
  <c r="M156" i="157"/>
  <c r="M157" i="157"/>
  <c r="M153" i="157"/>
  <c r="M163" i="157"/>
  <c r="M175" i="157"/>
  <c r="M162" i="157"/>
  <c r="M161" i="157"/>
  <c r="M149" i="157"/>
  <c r="M147" i="157"/>
  <c r="M173" i="157"/>
  <c r="M171" i="157"/>
  <c r="M166" i="157"/>
  <c r="M169" i="157"/>
  <c r="M159" i="157"/>
  <c r="M145" i="157"/>
  <c r="M167" i="157"/>
  <c r="M188" i="157"/>
  <c r="M158" i="157"/>
  <c r="M155" i="157"/>
  <c r="M143" i="157"/>
  <c r="M151" i="157"/>
  <c r="M154" i="157"/>
  <c r="M152" i="157"/>
  <c r="M150" i="157"/>
  <c r="M148" i="157"/>
  <c r="M160" i="157"/>
  <c r="M164" i="157"/>
  <c r="M144" i="157"/>
  <c r="M146" i="157"/>
  <c r="N1" i="157"/>
  <c r="T65" i="154"/>
  <c r="T75" i="154"/>
  <c r="T64" i="154"/>
  <c r="N118" i="157" l="1"/>
  <c r="N66" i="157"/>
  <c r="N12" i="157"/>
  <c r="N7" i="157"/>
  <c r="N14" i="157"/>
  <c r="N9" i="157"/>
  <c r="N4" i="157"/>
  <c r="N16" i="157"/>
  <c r="N11" i="157"/>
  <c r="N6" i="157"/>
  <c r="N13" i="157"/>
  <c r="N8" i="157"/>
  <c r="N22" i="157"/>
  <c r="N34" i="157"/>
  <c r="N10" i="157"/>
  <c r="N29" i="157"/>
  <c r="N41" i="157"/>
  <c r="N24" i="157"/>
  <c r="N36" i="157"/>
  <c r="N15" i="157"/>
  <c r="N19" i="157"/>
  <c r="N31" i="157"/>
  <c r="N26" i="157"/>
  <c r="N38" i="157"/>
  <c r="N21" i="157"/>
  <c r="N33" i="157"/>
  <c r="N28" i="157"/>
  <c r="N40" i="157"/>
  <c r="N17" i="157"/>
  <c r="N18" i="157"/>
  <c r="N30" i="157"/>
  <c r="N42" i="157"/>
  <c r="N32" i="157"/>
  <c r="N45" i="157"/>
  <c r="N57" i="157"/>
  <c r="N5" i="157"/>
  <c r="N39" i="157"/>
  <c r="N52" i="157"/>
  <c r="N64" i="157"/>
  <c r="N23" i="157"/>
  <c r="N47" i="157"/>
  <c r="N59" i="157"/>
  <c r="N37" i="157"/>
  <c r="N54" i="157"/>
  <c r="N49" i="157"/>
  <c r="N61" i="157"/>
  <c r="N44" i="157"/>
  <c r="N56" i="157"/>
  <c r="N35" i="157"/>
  <c r="N51" i="157"/>
  <c r="N63" i="157"/>
  <c r="N20" i="157"/>
  <c r="N53" i="157"/>
  <c r="N27" i="157"/>
  <c r="N48" i="157"/>
  <c r="N60" i="157"/>
  <c r="N46" i="157"/>
  <c r="N72" i="157"/>
  <c r="N84" i="157"/>
  <c r="N96" i="157"/>
  <c r="N108" i="157"/>
  <c r="N121" i="157"/>
  <c r="N43" i="157"/>
  <c r="N67" i="157"/>
  <c r="N79" i="157"/>
  <c r="N91" i="157"/>
  <c r="N103" i="157"/>
  <c r="N115" i="157"/>
  <c r="N25" i="157"/>
  <c r="N74" i="157"/>
  <c r="N86" i="157"/>
  <c r="N98" i="157"/>
  <c r="N110" i="157"/>
  <c r="N123" i="157"/>
  <c r="N69" i="157"/>
  <c r="N81" i="157"/>
  <c r="N93" i="157"/>
  <c r="N105" i="157"/>
  <c r="N117" i="157"/>
  <c r="N76" i="157"/>
  <c r="N88" i="157"/>
  <c r="N100" i="157"/>
  <c r="N112" i="157"/>
  <c r="N62" i="157"/>
  <c r="N71" i="157"/>
  <c r="N83" i="157"/>
  <c r="N95" i="157"/>
  <c r="N107" i="157"/>
  <c r="N120" i="157"/>
  <c r="N65" i="157"/>
  <c r="N78" i="157"/>
  <c r="N90" i="157"/>
  <c r="N102" i="157"/>
  <c r="N114" i="157"/>
  <c r="N50" i="157"/>
  <c r="N68" i="157"/>
  <c r="N80" i="157"/>
  <c r="N92" i="157"/>
  <c r="N104" i="157"/>
  <c r="N116" i="157"/>
  <c r="N58" i="157"/>
  <c r="N75" i="157"/>
  <c r="N87" i="157"/>
  <c r="N99" i="157"/>
  <c r="N111" i="157"/>
  <c r="N124" i="157"/>
  <c r="N109" i="157"/>
  <c r="N127" i="157"/>
  <c r="N106" i="157"/>
  <c r="N134" i="157"/>
  <c r="N89" i="157"/>
  <c r="N129" i="157"/>
  <c r="N138" i="157"/>
  <c r="N97" i="157"/>
  <c r="N136" i="157"/>
  <c r="N128" i="157"/>
  <c r="N94" i="157"/>
  <c r="N131" i="157"/>
  <c r="N77" i="157"/>
  <c r="N126" i="157"/>
  <c r="N132" i="157"/>
  <c r="N85" i="157"/>
  <c r="N133" i="157"/>
  <c r="N55" i="157"/>
  <c r="N82" i="157"/>
  <c r="N113" i="157"/>
  <c r="N135" i="157"/>
  <c r="N125" i="157"/>
  <c r="N137" i="157"/>
  <c r="N101" i="157"/>
  <c r="N3" i="157"/>
  <c r="N73" i="157"/>
  <c r="N122" i="157"/>
  <c r="N130" i="157"/>
  <c r="N70" i="157"/>
  <c r="N119" i="157"/>
  <c r="N140" i="157"/>
  <c r="N142" i="157"/>
  <c r="N141" i="157"/>
  <c r="N139" i="157"/>
  <c r="N202" i="157"/>
  <c r="N190" i="157"/>
  <c r="N195" i="157"/>
  <c r="N200" i="157"/>
  <c r="N205" i="157"/>
  <c r="N198" i="157"/>
  <c r="N203" i="157"/>
  <c r="N191" i="157"/>
  <c r="N196" i="157"/>
  <c r="N184" i="157"/>
  <c r="N201" i="157"/>
  <c r="N189" i="157"/>
  <c r="N206" i="157"/>
  <c r="N199" i="157"/>
  <c r="N204" i="157"/>
  <c r="N197" i="157"/>
  <c r="N185" i="157"/>
  <c r="N171" i="157"/>
  <c r="N176" i="157"/>
  <c r="N182" i="157"/>
  <c r="N194" i="157"/>
  <c r="N186" i="157"/>
  <c r="N183" i="157"/>
  <c r="N187" i="157"/>
  <c r="N170" i="157"/>
  <c r="N158" i="157"/>
  <c r="N193" i="157"/>
  <c r="N180" i="157"/>
  <c r="N179" i="157"/>
  <c r="N178" i="157"/>
  <c r="N188" i="157"/>
  <c r="N173" i="157"/>
  <c r="N161" i="157"/>
  <c r="N163" i="157"/>
  <c r="N168" i="157"/>
  <c r="N175" i="157"/>
  <c r="N172" i="157"/>
  <c r="N162" i="157"/>
  <c r="N174" i="157"/>
  <c r="N192" i="157"/>
  <c r="N156" i="157"/>
  <c r="N154" i="157"/>
  <c r="N177" i="157"/>
  <c r="N166" i="157"/>
  <c r="N160" i="157"/>
  <c r="N152" i="157"/>
  <c r="N169" i="157"/>
  <c r="N167" i="157"/>
  <c r="N150" i="157"/>
  <c r="N165" i="157"/>
  <c r="N181" i="157"/>
  <c r="N164" i="157"/>
  <c r="N148" i="157"/>
  <c r="N149" i="157"/>
  <c r="N147" i="157"/>
  <c r="N157" i="157"/>
  <c r="N143" i="157"/>
  <c r="N159" i="157"/>
  <c r="N144" i="157"/>
  <c r="N146" i="157"/>
  <c r="N145" i="157"/>
  <c r="N151" i="157"/>
  <c r="N155" i="157"/>
  <c r="N153" i="157"/>
  <c r="O1" i="157"/>
  <c r="T58" i="154"/>
  <c r="T56" i="154"/>
  <c r="T55" i="154"/>
  <c r="T54" i="154"/>
  <c r="T60" i="154"/>
  <c r="T61" i="154"/>
  <c r="T62" i="154"/>
  <c r="T63" i="154"/>
  <c r="O118" i="157" l="1"/>
  <c r="O66" i="157"/>
  <c r="O5" i="157"/>
  <c r="O17" i="157"/>
  <c r="O12" i="157"/>
  <c r="O7" i="157"/>
  <c r="O14" i="157"/>
  <c r="O9" i="157"/>
  <c r="O4" i="157"/>
  <c r="O16" i="157"/>
  <c r="O11" i="157"/>
  <c r="O6" i="157"/>
  <c r="O13" i="157"/>
  <c r="O27" i="157"/>
  <c r="O39" i="157"/>
  <c r="O22" i="157"/>
  <c r="O34" i="157"/>
  <c r="O10" i="157"/>
  <c r="O29" i="157"/>
  <c r="O41" i="157"/>
  <c r="O24" i="157"/>
  <c r="O36" i="157"/>
  <c r="O15" i="157"/>
  <c r="O19" i="157"/>
  <c r="O31" i="157"/>
  <c r="O26" i="157"/>
  <c r="O38" i="157"/>
  <c r="O21" i="157"/>
  <c r="O33" i="157"/>
  <c r="O23" i="157"/>
  <c r="O35" i="157"/>
  <c r="O25" i="157"/>
  <c r="O50" i="157"/>
  <c r="O62" i="157"/>
  <c r="O32" i="157"/>
  <c r="O45" i="157"/>
  <c r="O57" i="157"/>
  <c r="O52" i="157"/>
  <c r="O64" i="157"/>
  <c r="O30" i="157"/>
  <c r="O47" i="157"/>
  <c r="O59" i="157"/>
  <c r="O37" i="157"/>
  <c r="O54" i="157"/>
  <c r="O49" i="157"/>
  <c r="O61" i="157"/>
  <c r="O28" i="157"/>
  <c r="O44" i="157"/>
  <c r="O56" i="157"/>
  <c r="O46" i="157"/>
  <c r="O58" i="157"/>
  <c r="O20" i="157"/>
  <c r="O53" i="157"/>
  <c r="O8" i="157"/>
  <c r="O63" i="157"/>
  <c r="O77" i="157"/>
  <c r="O89" i="157"/>
  <c r="O101" i="157"/>
  <c r="O113" i="157"/>
  <c r="O60" i="157"/>
  <c r="O72" i="157"/>
  <c r="O84" i="157"/>
  <c r="O96" i="157"/>
  <c r="O108" i="157"/>
  <c r="O121" i="157"/>
  <c r="O43" i="157"/>
  <c r="O67" i="157"/>
  <c r="O79" i="157"/>
  <c r="O91" i="157"/>
  <c r="O103" i="157"/>
  <c r="O115" i="157"/>
  <c r="O51" i="157"/>
  <c r="O74" i="157"/>
  <c r="O86" i="157"/>
  <c r="O98" i="157"/>
  <c r="O110" i="157"/>
  <c r="O123" i="157"/>
  <c r="O40" i="157"/>
  <c r="O48" i="157"/>
  <c r="O69" i="157"/>
  <c r="O81" i="157"/>
  <c r="O93" i="157"/>
  <c r="O105" i="157"/>
  <c r="O117" i="157"/>
  <c r="O76" i="157"/>
  <c r="O88" i="157"/>
  <c r="O100" i="157"/>
  <c r="O112" i="157"/>
  <c r="O71" i="157"/>
  <c r="O83" i="157"/>
  <c r="O95" i="157"/>
  <c r="O107" i="157"/>
  <c r="O120" i="157"/>
  <c r="O18" i="157"/>
  <c r="O73" i="157"/>
  <c r="O85" i="157"/>
  <c r="O97" i="157"/>
  <c r="O109" i="157"/>
  <c r="O122" i="157"/>
  <c r="O42" i="157"/>
  <c r="O68" i="157"/>
  <c r="O80" i="157"/>
  <c r="O92" i="157"/>
  <c r="O104" i="157"/>
  <c r="O116" i="157"/>
  <c r="O78" i="157"/>
  <c r="O132" i="157"/>
  <c r="O3" i="157"/>
  <c r="O75" i="157"/>
  <c r="O124" i="157"/>
  <c r="O127" i="157"/>
  <c r="O70" i="157"/>
  <c r="O125" i="157"/>
  <c r="O137" i="157"/>
  <c r="O106" i="157"/>
  <c r="O134" i="157"/>
  <c r="O133" i="157"/>
  <c r="O65" i="157"/>
  <c r="O114" i="157"/>
  <c r="O129" i="157"/>
  <c r="O111" i="157"/>
  <c r="O136" i="157"/>
  <c r="O94" i="157"/>
  <c r="O131" i="157"/>
  <c r="O102" i="157"/>
  <c r="O126" i="157"/>
  <c r="O138" i="157"/>
  <c r="O99" i="157"/>
  <c r="O55" i="157"/>
  <c r="O82" i="157"/>
  <c r="O128" i="157"/>
  <c r="O87" i="157"/>
  <c r="O130" i="157"/>
  <c r="O90" i="157"/>
  <c r="O135" i="157"/>
  <c r="O119" i="157"/>
  <c r="O140" i="157"/>
  <c r="O142" i="157"/>
  <c r="O139" i="157"/>
  <c r="O141" i="157"/>
  <c r="O195" i="157"/>
  <c r="O183" i="157"/>
  <c r="O200" i="157"/>
  <c r="O205" i="157"/>
  <c r="O198" i="157"/>
  <c r="O203" i="157"/>
  <c r="O191" i="157"/>
  <c r="O196" i="157"/>
  <c r="O201" i="157"/>
  <c r="O189" i="157"/>
  <c r="O177" i="157"/>
  <c r="O206" i="157"/>
  <c r="O194" i="157"/>
  <c r="O182" i="157"/>
  <c r="O199" i="157"/>
  <c r="O204" i="157"/>
  <c r="O202" i="157"/>
  <c r="O190" i="157"/>
  <c r="O178" i="157"/>
  <c r="O185" i="157"/>
  <c r="O176" i="157"/>
  <c r="O186" i="157"/>
  <c r="O197" i="157"/>
  <c r="O187" i="157"/>
  <c r="O170" i="157"/>
  <c r="O193" i="157"/>
  <c r="O180" i="157"/>
  <c r="O179" i="157"/>
  <c r="O163" i="157"/>
  <c r="O168" i="157"/>
  <c r="O188" i="157"/>
  <c r="O184" i="157"/>
  <c r="O192" i="157"/>
  <c r="O181" i="157"/>
  <c r="O166" i="157"/>
  <c r="O151" i="157"/>
  <c r="O175" i="157"/>
  <c r="O172" i="157"/>
  <c r="O162" i="157"/>
  <c r="O174" i="157"/>
  <c r="O161" i="157"/>
  <c r="O147" i="157"/>
  <c r="O173" i="157"/>
  <c r="O171" i="157"/>
  <c r="O169" i="157"/>
  <c r="O159" i="157"/>
  <c r="O167" i="157"/>
  <c r="O165" i="157"/>
  <c r="O155" i="157"/>
  <c r="O143" i="157"/>
  <c r="O164" i="157"/>
  <c r="O157" i="157"/>
  <c r="O153" i="157"/>
  <c r="O154" i="157"/>
  <c r="O152" i="157"/>
  <c r="O150" i="157"/>
  <c r="O148" i="157"/>
  <c r="O160" i="157"/>
  <c r="O156" i="157"/>
  <c r="O144" i="157"/>
  <c r="O146" i="157"/>
  <c r="O145" i="157"/>
  <c r="O158" i="157"/>
  <c r="O149" i="157"/>
  <c r="P1" i="157"/>
  <c r="T59" i="154"/>
  <c r="T9" i="154"/>
  <c r="T6" i="154"/>
  <c r="P118" i="157" l="1"/>
  <c r="P66" i="157"/>
  <c r="P10" i="157"/>
  <c r="P5" i="157"/>
  <c r="P17" i="157"/>
  <c r="P12" i="157"/>
  <c r="P7" i="157"/>
  <c r="P14" i="157"/>
  <c r="P9" i="157"/>
  <c r="P4" i="157"/>
  <c r="P16" i="157"/>
  <c r="P11" i="157"/>
  <c r="P6" i="157"/>
  <c r="P13" i="157"/>
  <c r="P20" i="157"/>
  <c r="P32" i="157"/>
  <c r="P27" i="157"/>
  <c r="P39" i="157"/>
  <c r="P22" i="157"/>
  <c r="P34" i="157"/>
  <c r="P29" i="157"/>
  <c r="P41" i="157"/>
  <c r="P24" i="157"/>
  <c r="P36" i="157"/>
  <c r="P15" i="157"/>
  <c r="P19" i="157"/>
  <c r="P31" i="157"/>
  <c r="P26" i="157"/>
  <c r="P38" i="157"/>
  <c r="P28" i="157"/>
  <c r="P40" i="157"/>
  <c r="P18" i="157"/>
  <c r="P43" i="157"/>
  <c r="P55" i="157"/>
  <c r="P25" i="157"/>
  <c r="P50" i="157"/>
  <c r="P62" i="157"/>
  <c r="P45" i="157"/>
  <c r="P57" i="157"/>
  <c r="P23" i="157"/>
  <c r="P52" i="157"/>
  <c r="P64" i="157"/>
  <c r="P30" i="157"/>
  <c r="P47" i="157"/>
  <c r="P59" i="157"/>
  <c r="P37" i="157"/>
  <c r="P54" i="157"/>
  <c r="P21" i="157"/>
  <c r="P49" i="157"/>
  <c r="P61" i="157"/>
  <c r="P8" i="157"/>
  <c r="P42" i="157"/>
  <c r="P51" i="157"/>
  <c r="P63" i="157"/>
  <c r="P46" i="157"/>
  <c r="P58" i="157"/>
  <c r="P70" i="157"/>
  <c r="P82" i="157"/>
  <c r="P94" i="157"/>
  <c r="P106" i="157"/>
  <c r="P119" i="157"/>
  <c r="P77" i="157"/>
  <c r="P89" i="157"/>
  <c r="P101" i="157"/>
  <c r="P113" i="157"/>
  <c r="P60" i="157"/>
  <c r="P72" i="157"/>
  <c r="P84" i="157"/>
  <c r="P96" i="157"/>
  <c r="P108" i="157"/>
  <c r="P121" i="157"/>
  <c r="P35" i="157"/>
  <c r="P67" i="157"/>
  <c r="P79" i="157"/>
  <c r="P91" i="157"/>
  <c r="P103" i="157"/>
  <c r="P115" i="157"/>
  <c r="P74" i="157"/>
  <c r="P86" i="157"/>
  <c r="P98" i="157"/>
  <c r="P110" i="157"/>
  <c r="P123" i="157"/>
  <c r="P48" i="157"/>
  <c r="P69" i="157"/>
  <c r="P81" i="157"/>
  <c r="P93" i="157"/>
  <c r="P105" i="157"/>
  <c r="P117" i="157"/>
  <c r="P56" i="157"/>
  <c r="P76" i="157"/>
  <c r="P88" i="157"/>
  <c r="P100" i="157"/>
  <c r="P112" i="157"/>
  <c r="P65" i="157"/>
  <c r="P78" i="157"/>
  <c r="P90" i="157"/>
  <c r="P102" i="157"/>
  <c r="P114" i="157"/>
  <c r="P44" i="157"/>
  <c r="P73" i="157"/>
  <c r="P85" i="157"/>
  <c r="P97" i="157"/>
  <c r="P109" i="157"/>
  <c r="P122" i="157"/>
  <c r="P95" i="157"/>
  <c r="P125" i="157"/>
  <c r="P137" i="157"/>
  <c r="P126" i="157"/>
  <c r="P33" i="157"/>
  <c r="P92" i="157"/>
  <c r="P132" i="157"/>
  <c r="P3" i="157"/>
  <c r="P75" i="157"/>
  <c r="P124" i="157"/>
  <c r="P127" i="157"/>
  <c r="P111" i="157"/>
  <c r="P87" i="157"/>
  <c r="P53" i="157"/>
  <c r="P83" i="157"/>
  <c r="P134" i="157"/>
  <c r="P136" i="157"/>
  <c r="P138" i="157"/>
  <c r="P80" i="157"/>
  <c r="P129" i="157"/>
  <c r="P71" i="157"/>
  <c r="P120" i="157"/>
  <c r="P131" i="157"/>
  <c r="P68" i="157"/>
  <c r="P116" i="157"/>
  <c r="P99" i="157"/>
  <c r="P133" i="157"/>
  <c r="P104" i="157"/>
  <c r="P130" i="157"/>
  <c r="P107" i="157"/>
  <c r="P128" i="157"/>
  <c r="P135" i="157"/>
  <c r="P139" i="157"/>
  <c r="P140" i="157"/>
  <c r="P142" i="157"/>
  <c r="P141" i="157"/>
  <c r="P200" i="157"/>
  <c r="P188" i="157"/>
  <c r="P205" i="157"/>
  <c r="P198" i="157"/>
  <c r="P203" i="157"/>
  <c r="P196" i="157"/>
  <c r="P201" i="157"/>
  <c r="P206" i="157"/>
  <c r="P194" i="157"/>
  <c r="P182" i="157"/>
  <c r="P199" i="157"/>
  <c r="P187" i="157"/>
  <c r="P204" i="157"/>
  <c r="P202" i="157"/>
  <c r="P195" i="157"/>
  <c r="P183" i="157"/>
  <c r="P169" i="157"/>
  <c r="P189" i="157"/>
  <c r="P175" i="157"/>
  <c r="P191" i="157"/>
  <c r="P186" i="157"/>
  <c r="P197" i="157"/>
  <c r="P190" i="157"/>
  <c r="P193" i="157"/>
  <c r="P180" i="157"/>
  <c r="P179" i="157"/>
  <c r="P168" i="157"/>
  <c r="P184" i="157"/>
  <c r="P178" i="157"/>
  <c r="P173" i="157"/>
  <c r="P192" i="157"/>
  <c r="P181" i="157"/>
  <c r="P177" i="157"/>
  <c r="P171" i="157"/>
  <c r="P159" i="157"/>
  <c r="P172" i="157"/>
  <c r="P162" i="157"/>
  <c r="P174" i="157"/>
  <c r="P170" i="157"/>
  <c r="P161" i="157"/>
  <c r="P185" i="157"/>
  <c r="P160" i="157"/>
  <c r="P152" i="157"/>
  <c r="P166" i="157"/>
  <c r="P167" i="157"/>
  <c r="P150" i="157"/>
  <c r="P165" i="157"/>
  <c r="P176" i="157"/>
  <c r="P164" i="157"/>
  <c r="P158" i="157"/>
  <c r="P148" i="157"/>
  <c r="P146" i="157"/>
  <c r="P157" i="157"/>
  <c r="P154" i="157"/>
  <c r="P156" i="157"/>
  <c r="P144" i="157"/>
  <c r="P143" i="157"/>
  <c r="P145" i="157"/>
  <c r="P163" i="157"/>
  <c r="P155" i="157"/>
  <c r="P153" i="157"/>
  <c r="P151" i="157"/>
  <c r="P149" i="157"/>
  <c r="P147" i="157"/>
  <c r="Q1" i="157"/>
  <c r="T88" i="154"/>
  <c r="Q118" i="157" l="1"/>
  <c r="Q66" i="157"/>
  <c r="Q15" i="157"/>
  <c r="Q10" i="157"/>
  <c r="Q5" i="157"/>
  <c r="Q17" i="157"/>
  <c r="Q12" i="157"/>
  <c r="Q7" i="157"/>
  <c r="Q14" i="157"/>
  <c r="Q9" i="157"/>
  <c r="Q4" i="157"/>
  <c r="Q16" i="157"/>
  <c r="Q11" i="157"/>
  <c r="Q25" i="157"/>
  <c r="Q37" i="157"/>
  <c r="Q13" i="157"/>
  <c r="Q20" i="157"/>
  <c r="Q32" i="157"/>
  <c r="Q27" i="157"/>
  <c r="Q39" i="157"/>
  <c r="Q22" i="157"/>
  <c r="Q34" i="157"/>
  <c r="Q29" i="157"/>
  <c r="Q41" i="157"/>
  <c r="Q24" i="157"/>
  <c r="Q36" i="157"/>
  <c r="Q6" i="157"/>
  <c r="Q19" i="157"/>
  <c r="Q31" i="157"/>
  <c r="Q21" i="157"/>
  <c r="Q33" i="157"/>
  <c r="Q48" i="157"/>
  <c r="Q60" i="157"/>
  <c r="Q18" i="157"/>
  <c r="Q43" i="157"/>
  <c r="Q55" i="157"/>
  <c r="Q38" i="157"/>
  <c r="Q50" i="157"/>
  <c r="Q62" i="157"/>
  <c r="Q45" i="157"/>
  <c r="Q57" i="157"/>
  <c r="Q23" i="157"/>
  <c r="Q52" i="157"/>
  <c r="Q64" i="157"/>
  <c r="Q30" i="157"/>
  <c r="Q47" i="157"/>
  <c r="Q59" i="157"/>
  <c r="Q54" i="157"/>
  <c r="Q35" i="157"/>
  <c r="Q44" i="157"/>
  <c r="Q56" i="157"/>
  <c r="Q8" i="157"/>
  <c r="Q42" i="157"/>
  <c r="Q51" i="157"/>
  <c r="Q63" i="157"/>
  <c r="Q49" i="157"/>
  <c r="Q75" i="157"/>
  <c r="Q87" i="157"/>
  <c r="Q99" i="157"/>
  <c r="Q111" i="157"/>
  <c r="Q124" i="157"/>
  <c r="Q46" i="157"/>
  <c r="Q70" i="157"/>
  <c r="Q82" i="157"/>
  <c r="Q94" i="157"/>
  <c r="Q106" i="157"/>
  <c r="Q119" i="157"/>
  <c r="Q77" i="157"/>
  <c r="Q89" i="157"/>
  <c r="Q101" i="157"/>
  <c r="Q113" i="157"/>
  <c r="Q72" i="157"/>
  <c r="Q84" i="157"/>
  <c r="Q96" i="157"/>
  <c r="Q108" i="157"/>
  <c r="Q121" i="157"/>
  <c r="Q26" i="157"/>
  <c r="Q67" i="157"/>
  <c r="Q79" i="157"/>
  <c r="Q91" i="157"/>
  <c r="Q103" i="157"/>
  <c r="Q115" i="157"/>
  <c r="Q40" i="157"/>
  <c r="Q74" i="157"/>
  <c r="Q86" i="157"/>
  <c r="Q98" i="157"/>
  <c r="Q110" i="157"/>
  <c r="Q123" i="157"/>
  <c r="Q69" i="157"/>
  <c r="Q81" i="157"/>
  <c r="Q93" i="157"/>
  <c r="Q105" i="157"/>
  <c r="Q117" i="157"/>
  <c r="Q53" i="157"/>
  <c r="Q71" i="157"/>
  <c r="Q83" i="157"/>
  <c r="Q95" i="157"/>
  <c r="Q107" i="157"/>
  <c r="Q120" i="157"/>
  <c r="Q28" i="157"/>
  <c r="Q61" i="157"/>
  <c r="Q65" i="157"/>
  <c r="Q78" i="157"/>
  <c r="Q90" i="157"/>
  <c r="Q102" i="157"/>
  <c r="Q114" i="157"/>
  <c r="Q112" i="157"/>
  <c r="Q130" i="157"/>
  <c r="Q80" i="157"/>
  <c r="Q104" i="157"/>
  <c r="Q135" i="157"/>
  <c r="Q58" i="157"/>
  <c r="Q109" i="157"/>
  <c r="Q125" i="157"/>
  <c r="Q137" i="157"/>
  <c r="Q92" i="157"/>
  <c r="Q132" i="157"/>
  <c r="Q3" i="157"/>
  <c r="Q129" i="157"/>
  <c r="Q100" i="157"/>
  <c r="Q127" i="157"/>
  <c r="Q97" i="157"/>
  <c r="Q134" i="157"/>
  <c r="Q88" i="157"/>
  <c r="Q136" i="157"/>
  <c r="Q85" i="157"/>
  <c r="Q131" i="157"/>
  <c r="Q68" i="157"/>
  <c r="Q116" i="157"/>
  <c r="Q126" i="157"/>
  <c r="Q138" i="157"/>
  <c r="Q73" i="157"/>
  <c r="Q122" i="157"/>
  <c r="Q76" i="157"/>
  <c r="Q133" i="157"/>
  <c r="Q128" i="157"/>
  <c r="Q140" i="157"/>
  <c r="Q142" i="157"/>
  <c r="Q139" i="157"/>
  <c r="Q141" i="157"/>
  <c r="Q205" i="157"/>
  <c r="Q193" i="157"/>
  <c r="Q181" i="157"/>
  <c r="Q198" i="157"/>
  <c r="Q203" i="157"/>
  <c r="Q196" i="157"/>
  <c r="Q201" i="157"/>
  <c r="Q206" i="157"/>
  <c r="Q194" i="157"/>
  <c r="Q199" i="157"/>
  <c r="Q187" i="157"/>
  <c r="Q175" i="157"/>
  <c r="Q204" i="157"/>
  <c r="Q192" i="157"/>
  <c r="Q180" i="157"/>
  <c r="Q197" i="157"/>
  <c r="Q202" i="157"/>
  <c r="Q200" i="157"/>
  <c r="Q188" i="157"/>
  <c r="Q176" i="157"/>
  <c r="Q189" i="157"/>
  <c r="Q191" i="157"/>
  <c r="Q186" i="157"/>
  <c r="Q182" i="157"/>
  <c r="Q190" i="157"/>
  <c r="Q183" i="157"/>
  <c r="Q179" i="157"/>
  <c r="Q195" i="157"/>
  <c r="Q168" i="157"/>
  <c r="Q184" i="157"/>
  <c r="Q178" i="157"/>
  <c r="Q173" i="157"/>
  <c r="Q161" i="157"/>
  <c r="Q177" i="157"/>
  <c r="Q185" i="157"/>
  <c r="Q164" i="157"/>
  <c r="Q174" i="157"/>
  <c r="Q170" i="157"/>
  <c r="Q149" i="157"/>
  <c r="Q166" i="157"/>
  <c r="Q145" i="157"/>
  <c r="Q171" i="157"/>
  <c r="Q169" i="157"/>
  <c r="Q167" i="157"/>
  <c r="Q165" i="157"/>
  <c r="Q155" i="157"/>
  <c r="Q157" i="157"/>
  <c r="Q153" i="157"/>
  <c r="Q163" i="157"/>
  <c r="Q151" i="157"/>
  <c r="Q162" i="157"/>
  <c r="Q154" i="157"/>
  <c r="Q156" i="157"/>
  <c r="Q152" i="157"/>
  <c r="Q150" i="157"/>
  <c r="Q148" i="157"/>
  <c r="Q144" i="157"/>
  <c r="Q143" i="157"/>
  <c r="Q160" i="157"/>
  <c r="Q172" i="157"/>
  <c r="Q159" i="157"/>
  <c r="Q146" i="157"/>
  <c r="Q158" i="157"/>
  <c r="Q147" i="157"/>
  <c r="R1" i="157"/>
  <c r="T57" i="154"/>
  <c r="T78" i="154"/>
  <c r="R118" i="157" l="1"/>
  <c r="R66" i="157"/>
  <c r="R8" i="157"/>
  <c r="R15" i="157"/>
  <c r="R10" i="157"/>
  <c r="R5" i="157"/>
  <c r="R17" i="157"/>
  <c r="R12" i="157"/>
  <c r="R7" i="157"/>
  <c r="R14" i="157"/>
  <c r="R9" i="157"/>
  <c r="R4" i="157"/>
  <c r="R16" i="157"/>
  <c r="R18" i="157"/>
  <c r="R30" i="157"/>
  <c r="R42" i="157"/>
  <c r="R25" i="157"/>
  <c r="R37" i="157"/>
  <c r="R13" i="157"/>
  <c r="R20" i="157"/>
  <c r="R32" i="157"/>
  <c r="R27" i="157"/>
  <c r="R39" i="157"/>
  <c r="R22" i="157"/>
  <c r="R34" i="157"/>
  <c r="R29" i="157"/>
  <c r="R41" i="157"/>
  <c r="R24" i="157"/>
  <c r="R36" i="157"/>
  <c r="R26" i="157"/>
  <c r="R38" i="157"/>
  <c r="R40" i="157"/>
  <c r="R53" i="157"/>
  <c r="R48" i="157"/>
  <c r="R60" i="157"/>
  <c r="R6" i="157"/>
  <c r="R31" i="157"/>
  <c r="R43" i="157"/>
  <c r="R55" i="157"/>
  <c r="R11" i="157"/>
  <c r="R50" i="157"/>
  <c r="R62" i="157"/>
  <c r="R45" i="157"/>
  <c r="R57" i="157"/>
  <c r="R23" i="157"/>
  <c r="R52" i="157"/>
  <c r="R64" i="157"/>
  <c r="R47" i="157"/>
  <c r="R59" i="157"/>
  <c r="R28" i="157"/>
  <c r="R49" i="157"/>
  <c r="R61" i="157"/>
  <c r="R35" i="157"/>
  <c r="R44" i="157"/>
  <c r="R56" i="157"/>
  <c r="R68" i="157"/>
  <c r="R80" i="157"/>
  <c r="R92" i="157"/>
  <c r="R104" i="157"/>
  <c r="R116" i="157"/>
  <c r="R63" i="157"/>
  <c r="R75" i="157"/>
  <c r="R87" i="157"/>
  <c r="R99" i="157"/>
  <c r="R111" i="157"/>
  <c r="R124" i="157"/>
  <c r="R46" i="157"/>
  <c r="R70" i="157"/>
  <c r="R82" i="157"/>
  <c r="R94" i="157"/>
  <c r="R106" i="157"/>
  <c r="R119" i="157"/>
  <c r="R21" i="157"/>
  <c r="R54" i="157"/>
  <c r="R77" i="157"/>
  <c r="R89" i="157"/>
  <c r="R101" i="157"/>
  <c r="R113" i="157"/>
  <c r="R51" i="157"/>
  <c r="R72" i="157"/>
  <c r="R84" i="157"/>
  <c r="R96" i="157"/>
  <c r="R108" i="157"/>
  <c r="R121" i="157"/>
  <c r="R67" i="157"/>
  <c r="R79" i="157"/>
  <c r="R91" i="157"/>
  <c r="R103" i="157"/>
  <c r="R115" i="157"/>
  <c r="R74" i="157"/>
  <c r="R86" i="157"/>
  <c r="R98" i="157"/>
  <c r="R110" i="157"/>
  <c r="R123" i="157"/>
  <c r="R76" i="157"/>
  <c r="R88" i="157"/>
  <c r="R100" i="157"/>
  <c r="R112" i="157"/>
  <c r="R71" i="157"/>
  <c r="R83" i="157"/>
  <c r="R95" i="157"/>
  <c r="R107" i="157"/>
  <c r="R120" i="157"/>
  <c r="R81" i="157"/>
  <c r="R135" i="157"/>
  <c r="R97" i="157"/>
  <c r="R78" i="157"/>
  <c r="R130" i="157"/>
  <c r="R33" i="157"/>
  <c r="R58" i="157"/>
  <c r="R109" i="157"/>
  <c r="R125" i="157"/>
  <c r="R137" i="157"/>
  <c r="R69" i="157"/>
  <c r="R117" i="157"/>
  <c r="R132" i="157"/>
  <c r="R3" i="157"/>
  <c r="R134" i="157"/>
  <c r="R136" i="157"/>
  <c r="R19" i="157"/>
  <c r="R65" i="157"/>
  <c r="R114" i="157"/>
  <c r="R127" i="157"/>
  <c r="R105" i="157"/>
  <c r="R129" i="157"/>
  <c r="R102" i="157"/>
  <c r="R128" i="157"/>
  <c r="R85" i="157"/>
  <c r="R131" i="157"/>
  <c r="R90" i="157"/>
  <c r="R133" i="157"/>
  <c r="R122" i="157"/>
  <c r="R93" i="157"/>
  <c r="R126" i="157"/>
  <c r="R138" i="157"/>
  <c r="R73" i="157"/>
  <c r="R140" i="157"/>
  <c r="R141" i="157"/>
  <c r="R142" i="157"/>
  <c r="R139" i="157"/>
  <c r="R198" i="157"/>
  <c r="R186" i="157"/>
  <c r="R203" i="157"/>
  <c r="R196" i="157"/>
  <c r="R201" i="157"/>
  <c r="R206" i="157"/>
  <c r="R194" i="157"/>
  <c r="R199" i="157"/>
  <c r="R204" i="157"/>
  <c r="R192" i="157"/>
  <c r="R180" i="157"/>
  <c r="R197" i="157"/>
  <c r="R185" i="157"/>
  <c r="R202" i="157"/>
  <c r="R200" i="157"/>
  <c r="R205" i="157"/>
  <c r="R193" i="157"/>
  <c r="R181" i="157"/>
  <c r="R191" i="157"/>
  <c r="R182" i="157"/>
  <c r="R175" i="157"/>
  <c r="R167" i="157"/>
  <c r="R190" i="157"/>
  <c r="R183" i="157"/>
  <c r="R179" i="157"/>
  <c r="R195" i="157"/>
  <c r="R187" i="157"/>
  <c r="R184" i="157"/>
  <c r="R178" i="157"/>
  <c r="R173" i="157"/>
  <c r="R166" i="157"/>
  <c r="R188" i="157"/>
  <c r="R177" i="157"/>
  <c r="R171" i="157"/>
  <c r="R176" i="157"/>
  <c r="R169" i="157"/>
  <c r="R157" i="157"/>
  <c r="R168" i="157"/>
  <c r="R156" i="157"/>
  <c r="R154" i="157"/>
  <c r="R161" i="157"/>
  <c r="R160" i="157"/>
  <c r="R159" i="157"/>
  <c r="R150" i="157"/>
  <c r="R165" i="157"/>
  <c r="R158" i="157"/>
  <c r="R148" i="157"/>
  <c r="R164" i="157"/>
  <c r="R189" i="157"/>
  <c r="R146" i="157"/>
  <c r="R163" i="157"/>
  <c r="R172" i="157"/>
  <c r="R162" i="157"/>
  <c r="R144" i="157"/>
  <c r="R174" i="157"/>
  <c r="R152" i="157"/>
  <c r="R143" i="157"/>
  <c r="R145" i="157"/>
  <c r="R170" i="157"/>
  <c r="R155" i="157"/>
  <c r="R153" i="157"/>
  <c r="R151" i="157"/>
  <c r="R149" i="157"/>
  <c r="R147" i="157"/>
  <c r="S1" i="157"/>
  <c r="T33" i="154"/>
  <c r="T50" i="154"/>
  <c r="S118" i="157" l="1"/>
  <c r="S66" i="157"/>
  <c r="S13" i="157"/>
  <c r="S8" i="157"/>
  <c r="S15" i="157"/>
  <c r="S10" i="157"/>
  <c r="S5" i="157"/>
  <c r="S17" i="157"/>
  <c r="S12" i="157"/>
  <c r="S7" i="157"/>
  <c r="S14" i="157"/>
  <c r="S9" i="157"/>
  <c r="S16" i="157"/>
  <c r="S23" i="157"/>
  <c r="S35" i="157"/>
  <c r="S18" i="157"/>
  <c r="S30" i="157"/>
  <c r="S42" i="157"/>
  <c r="S25" i="157"/>
  <c r="S37" i="157"/>
  <c r="S4" i="157"/>
  <c r="S20" i="157"/>
  <c r="S32" i="157"/>
  <c r="S27" i="157"/>
  <c r="S39" i="157"/>
  <c r="S22" i="157"/>
  <c r="S34" i="157"/>
  <c r="S29" i="157"/>
  <c r="S41" i="157"/>
  <c r="S6" i="157"/>
  <c r="S19" i="157"/>
  <c r="S31" i="157"/>
  <c r="S33" i="157"/>
  <c r="S46" i="157"/>
  <c r="S58" i="157"/>
  <c r="S40" i="157"/>
  <c r="S53" i="157"/>
  <c r="S24" i="157"/>
  <c r="S48" i="157"/>
  <c r="S60" i="157"/>
  <c r="S38" i="157"/>
  <c r="S43" i="157"/>
  <c r="S55" i="157"/>
  <c r="S11" i="157"/>
  <c r="S50" i="157"/>
  <c r="S62" i="157"/>
  <c r="S45" i="157"/>
  <c r="S57" i="157"/>
  <c r="S36" i="157"/>
  <c r="S52" i="157"/>
  <c r="S64" i="157"/>
  <c r="S21" i="157"/>
  <c r="S54" i="157"/>
  <c r="S28" i="157"/>
  <c r="S49" i="157"/>
  <c r="S61" i="157"/>
  <c r="S73" i="157"/>
  <c r="S85" i="157"/>
  <c r="S97" i="157"/>
  <c r="S109" i="157"/>
  <c r="S122" i="157"/>
  <c r="S68" i="157"/>
  <c r="S80" i="157"/>
  <c r="S92" i="157"/>
  <c r="S104" i="157"/>
  <c r="S116" i="157"/>
  <c r="S63" i="157"/>
  <c r="S75" i="157"/>
  <c r="S87" i="157"/>
  <c r="S99" i="157"/>
  <c r="S111" i="157"/>
  <c r="S124" i="157"/>
  <c r="S70" i="157"/>
  <c r="S82" i="157"/>
  <c r="S94" i="157"/>
  <c r="S106" i="157"/>
  <c r="S119" i="157"/>
  <c r="S77" i="157"/>
  <c r="S89" i="157"/>
  <c r="S101" i="157"/>
  <c r="S113" i="157"/>
  <c r="S26" i="157"/>
  <c r="S51" i="157"/>
  <c r="S72" i="157"/>
  <c r="S84" i="157"/>
  <c r="S96" i="157"/>
  <c r="S108" i="157"/>
  <c r="S121" i="157"/>
  <c r="S59" i="157"/>
  <c r="S67" i="157"/>
  <c r="S79" i="157"/>
  <c r="S91" i="157"/>
  <c r="S103" i="157"/>
  <c r="S115" i="157"/>
  <c r="S69" i="157"/>
  <c r="S81" i="157"/>
  <c r="S93" i="157"/>
  <c r="S105" i="157"/>
  <c r="S117" i="157"/>
  <c r="S47" i="157"/>
  <c r="S76" i="157"/>
  <c r="S88" i="157"/>
  <c r="S100" i="157"/>
  <c r="S112" i="157"/>
  <c r="S98" i="157"/>
  <c r="S128" i="157"/>
  <c r="S65" i="157"/>
  <c r="S129" i="157"/>
  <c r="S95" i="157"/>
  <c r="S135" i="157"/>
  <c r="S78" i="157"/>
  <c r="S130" i="157"/>
  <c r="S86" i="157"/>
  <c r="S125" i="157"/>
  <c r="S137" i="157"/>
  <c r="S83" i="157"/>
  <c r="S132" i="157"/>
  <c r="S3" i="157"/>
  <c r="S114" i="157"/>
  <c r="S127" i="157"/>
  <c r="S74" i="157"/>
  <c r="S123" i="157"/>
  <c r="S134" i="157"/>
  <c r="S71" i="157"/>
  <c r="S120" i="157"/>
  <c r="S90" i="157"/>
  <c r="S133" i="157"/>
  <c r="S102" i="157"/>
  <c r="S136" i="157"/>
  <c r="S138" i="157"/>
  <c r="S56" i="157"/>
  <c r="S110" i="157"/>
  <c r="S131" i="157"/>
  <c r="S44" i="157"/>
  <c r="S107" i="157"/>
  <c r="S126" i="157"/>
  <c r="S141" i="157"/>
  <c r="S140" i="157"/>
  <c r="S142" i="157"/>
  <c r="S139" i="157"/>
  <c r="S203" i="157"/>
  <c r="S191" i="157"/>
  <c r="S196" i="157"/>
  <c r="S201" i="157"/>
  <c r="S206" i="157"/>
  <c r="S194" i="157"/>
  <c r="S199" i="157"/>
  <c r="S204" i="157"/>
  <c r="S192" i="157"/>
  <c r="S197" i="157"/>
  <c r="S185" i="157"/>
  <c r="S202" i="157"/>
  <c r="S190" i="157"/>
  <c r="S200" i="157"/>
  <c r="S205" i="157"/>
  <c r="S198" i="157"/>
  <c r="S186" i="157"/>
  <c r="S174" i="157"/>
  <c r="S172" i="157"/>
  <c r="S183" i="157"/>
  <c r="S179" i="157"/>
  <c r="S195" i="157"/>
  <c r="S187" i="157"/>
  <c r="S193" i="157"/>
  <c r="S184" i="157"/>
  <c r="S180" i="157"/>
  <c r="S178" i="157"/>
  <c r="S188" i="157"/>
  <c r="S177" i="157"/>
  <c r="S171" i="157"/>
  <c r="S159" i="157"/>
  <c r="S181" i="157"/>
  <c r="S176" i="157"/>
  <c r="S189" i="157"/>
  <c r="S162" i="157"/>
  <c r="S175" i="157"/>
  <c r="S161" i="157"/>
  <c r="S147" i="157"/>
  <c r="S160" i="157"/>
  <c r="S166" i="157"/>
  <c r="S169" i="157"/>
  <c r="S167" i="157"/>
  <c r="S165" i="157"/>
  <c r="S155" i="157"/>
  <c r="S143" i="157"/>
  <c r="S173" i="157"/>
  <c r="S164" i="157"/>
  <c r="S153" i="157"/>
  <c r="S182" i="157"/>
  <c r="S163" i="157"/>
  <c r="S151" i="157"/>
  <c r="S170" i="157"/>
  <c r="S149" i="157"/>
  <c r="S168" i="157"/>
  <c r="S154" i="157"/>
  <c r="S152" i="157"/>
  <c r="S156" i="157"/>
  <c r="S150" i="157"/>
  <c r="S148" i="157"/>
  <c r="S144" i="157"/>
  <c r="S145" i="157"/>
  <c r="S146" i="157"/>
  <c r="S158" i="157"/>
  <c r="S157" i="157"/>
  <c r="T1" i="157"/>
  <c r="T87" i="154"/>
  <c r="T86" i="154"/>
  <c r="T118" i="157" l="1"/>
  <c r="T66" i="157"/>
  <c r="T6" i="157"/>
  <c r="T13" i="157"/>
  <c r="T8" i="157"/>
  <c r="T15" i="157"/>
  <c r="T10" i="157"/>
  <c r="T5" i="157"/>
  <c r="T17" i="157"/>
  <c r="T12" i="157"/>
  <c r="T7" i="157"/>
  <c r="T14" i="157"/>
  <c r="T28" i="157"/>
  <c r="T40" i="157"/>
  <c r="T16" i="157"/>
  <c r="T23" i="157"/>
  <c r="T35" i="157"/>
  <c r="T18" i="157"/>
  <c r="T30" i="157"/>
  <c r="T42" i="157"/>
  <c r="T25" i="157"/>
  <c r="T37" i="157"/>
  <c r="T4" i="157"/>
  <c r="T20" i="157"/>
  <c r="T32" i="157"/>
  <c r="T27" i="157"/>
  <c r="T39" i="157"/>
  <c r="T9" i="157"/>
  <c r="T22" i="157"/>
  <c r="T34" i="157"/>
  <c r="T24" i="157"/>
  <c r="T36" i="157"/>
  <c r="T26" i="157"/>
  <c r="T51" i="157"/>
  <c r="T63" i="157"/>
  <c r="T33" i="157"/>
  <c r="T46" i="157"/>
  <c r="T58" i="157"/>
  <c r="T53" i="157"/>
  <c r="T31" i="157"/>
  <c r="T48" i="157"/>
  <c r="T60" i="157"/>
  <c r="T38" i="157"/>
  <c r="T43" i="157"/>
  <c r="T55" i="157"/>
  <c r="T11" i="157"/>
  <c r="T50" i="157"/>
  <c r="T62" i="157"/>
  <c r="T29" i="157"/>
  <c r="T45" i="157"/>
  <c r="T57" i="157"/>
  <c r="T47" i="157"/>
  <c r="T59" i="157"/>
  <c r="T21" i="157"/>
  <c r="T54" i="157"/>
  <c r="T52" i="157"/>
  <c r="T65" i="157"/>
  <c r="T78" i="157"/>
  <c r="T90" i="157"/>
  <c r="T102" i="157"/>
  <c r="T114" i="157"/>
  <c r="T49" i="157"/>
  <c r="T73" i="157"/>
  <c r="T85" i="157"/>
  <c r="T97" i="157"/>
  <c r="T109" i="157"/>
  <c r="T122" i="157"/>
  <c r="T68" i="157"/>
  <c r="T80" i="157"/>
  <c r="T92" i="157"/>
  <c r="T104" i="157"/>
  <c r="T116" i="157"/>
  <c r="T75" i="157"/>
  <c r="T87" i="157"/>
  <c r="T99" i="157"/>
  <c r="T111" i="157"/>
  <c r="T124" i="157"/>
  <c r="T70" i="157"/>
  <c r="T82" i="157"/>
  <c r="T94" i="157"/>
  <c r="T106" i="157"/>
  <c r="T119" i="157"/>
  <c r="T77" i="157"/>
  <c r="T89" i="157"/>
  <c r="T101" i="157"/>
  <c r="T113" i="157"/>
  <c r="T72" i="157"/>
  <c r="T84" i="157"/>
  <c r="T96" i="157"/>
  <c r="T108" i="157"/>
  <c r="T121" i="157"/>
  <c r="T56" i="157"/>
  <c r="T74" i="157"/>
  <c r="T86" i="157"/>
  <c r="T98" i="157"/>
  <c r="T110" i="157"/>
  <c r="T123" i="157"/>
  <c r="T64" i="157"/>
  <c r="T69" i="157"/>
  <c r="T81" i="157"/>
  <c r="T93" i="157"/>
  <c r="T105" i="157"/>
  <c r="T117" i="157"/>
  <c r="T67" i="157"/>
  <c r="T115" i="157"/>
  <c r="T133" i="157"/>
  <c r="T132" i="157"/>
  <c r="T112" i="157"/>
  <c r="T128" i="157"/>
  <c r="T3" i="157"/>
  <c r="T95" i="157"/>
  <c r="T135" i="157"/>
  <c r="T83" i="157"/>
  <c r="T103" i="157"/>
  <c r="T130" i="157"/>
  <c r="T100" i="157"/>
  <c r="T125" i="157"/>
  <c r="T137" i="157"/>
  <c r="T19" i="157"/>
  <c r="T138" i="157"/>
  <c r="T41" i="157"/>
  <c r="T91" i="157"/>
  <c r="T127" i="157"/>
  <c r="T61" i="157"/>
  <c r="T88" i="157"/>
  <c r="T134" i="157"/>
  <c r="T71" i="157"/>
  <c r="T120" i="157"/>
  <c r="T129" i="157"/>
  <c r="T76" i="157"/>
  <c r="T126" i="157"/>
  <c r="T79" i="157"/>
  <c r="T136" i="157"/>
  <c r="T131" i="157"/>
  <c r="T44" i="157"/>
  <c r="T107" i="157"/>
  <c r="T141" i="157"/>
  <c r="T139" i="157"/>
  <c r="T140" i="157"/>
  <c r="T142" i="157"/>
  <c r="T196" i="157"/>
  <c r="T184" i="157"/>
  <c r="T201" i="157"/>
  <c r="T206" i="157"/>
  <c r="T199" i="157"/>
  <c r="T204" i="157"/>
  <c r="T192" i="157"/>
  <c r="T197" i="157"/>
  <c r="T202" i="157"/>
  <c r="T190" i="157"/>
  <c r="T178" i="157"/>
  <c r="T195" i="157"/>
  <c r="T183" i="157"/>
  <c r="T200" i="157"/>
  <c r="T205" i="157"/>
  <c r="T203" i="157"/>
  <c r="T191" i="157"/>
  <c r="T179" i="157"/>
  <c r="T198" i="157"/>
  <c r="T186" i="157"/>
  <c r="T174" i="157"/>
  <c r="T194" i="157"/>
  <c r="T187" i="157"/>
  <c r="T193" i="157"/>
  <c r="T180" i="157"/>
  <c r="T188" i="157"/>
  <c r="T177" i="157"/>
  <c r="T171" i="157"/>
  <c r="T181" i="157"/>
  <c r="T164" i="157"/>
  <c r="T176" i="157"/>
  <c r="T169" i="157"/>
  <c r="T189" i="157"/>
  <c r="T185" i="157"/>
  <c r="T182" i="157"/>
  <c r="T175" i="157"/>
  <c r="T167" i="157"/>
  <c r="T160" i="157"/>
  <c r="T152" i="157"/>
  <c r="T166" i="157"/>
  <c r="T165" i="157"/>
  <c r="T173" i="157"/>
  <c r="T158" i="157"/>
  <c r="T148" i="157"/>
  <c r="T157" i="157"/>
  <c r="T163" i="157"/>
  <c r="T144" i="157"/>
  <c r="T172" i="157"/>
  <c r="T170" i="157"/>
  <c r="T162" i="157"/>
  <c r="T168" i="157"/>
  <c r="T156" i="157"/>
  <c r="T154" i="157"/>
  <c r="T161" i="157"/>
  <c r="T150" i="157"/>
  <c r="T143" i="157"/>
  <c r="T145" i="157"/>
  <c r="T146" i="157"/>
  <c r="T159" i="157"/>
  <c r="T155" i="157"/>
  <c r="T153" i="157"/>
  <c r="T151" i="157"/>
  <c r="T149" i="157"/>
  <c r="T147" i="157"/>
  <c r="U1" i="157"/>
  <c r="T45" i="154"/>
  <c r="T44" i="154"/>
  <c r="T46" i="154"/>
  <c r="U118" i="157" l="1"/>
  <c r="U66" i="157"/>
  <c r="U11" i="157"/>
  <c r="U6" i="157"/>
  <c r="U13" i="157"/>
  <c r="U8" i="157"/>
  <c r="U15" i="157"/>
  <c r="U10" i="157"/>
  <c r="U5" i="157"/>
  <c r="U17" i="157"/>
  <c r="U12" i="157"/>
  <c r="U7" i="157"/>
  <c r="U21" i="157"/>
  <c r="U33" i="157"/>
  <c r="U28" i="157"/>
  <c r="U40" i="157"/>
  <c r="U16" i="157"/>
  <c r="U23" i="157"/>
  <c r="U35" i="157"/>
  <c r="U18" i="157"/>
  <c r="U30" i="157"/>
  <c r="U42" i="157"/>
  <c r="U25" i="157"/>
  <c r="U37" i="157"/>
  <c r="U4" i="157"/>
  <c r="U20" i="157"/>
  <c r="U32" i="157"/>
  <c r="U27" i="157"/>
  <c r="U39" i="157"/>
  <c r="U29" i="157"/>
  <c r="U41" i="157"/>
  <c r="U19" i="157"/>
  <c r="U44" i="157"/>
  <c r="U56" i="157"/>
  <c r="U26" i="157"/>
  <c r="U51" i="157"/>
  <c r="U63" i="157"/>
  <c r="U46" i="157"/>
  <c r="U58" i="157"/>
  <c r="U24" i="157"/>
  <c r="U53" i="157"/>
  <c r="U31" i="157"/>
  <c r="U48" i="157"/>
  <c r="U60" i="157"/>
  <c r="U38" i="157"/>
  <c r="U43" i="157"/>
  <c r="U55" i="157"/>
  <c r="U22" i="157"/>
  <c r="U50" i="157"/>
  <c r="U62" i="157"/>
  <c r="U52" i="157"/>
  <c r="U64" i="157"/>
  <c r="U47" i="157"/>
  <c r="U59" i="157"/>
  <c r="U71" i="157"/>
  <c r="U83" i="157"/>
  <c r="U95" i="157"/>
  <c r="U107" i="157"/>
  <c r="U120" i="157"/>
  <c r="U9" i="157"/>
  <c r="U34" i="157"/>
  <c r="U65" i="157"/>
  <c r="U78" i="157"/>
  <c r="U90" i="157"/>
  <c r="U102" i="157"/>
  <c r="U114" i="157"/>
  <c r="U49" i="157"/>
  <c r="U73" i="157"/>
  <c r="U85" i="157"/>
  <c r="U97" i="157"/>
  <c r="U109" i="157"/>
  <c r="U122" i="157"/>
  <c r="U57" i="157"/>
  <c r="U68" i="157"/>
  <c r="U80" i="157"/>
  <c r="U92" i="157"/>
  <c r="U104" i="157"/>
  <c r="U116" i="157"/>
  <c r="U54" i="157"/>
  <c r="U75" i="157"/>
  <c r="U87" i="157"/>
  <c r="U99" i="157"/>
  <c r="U111" i="157"/>
  <c r="U124" i="157"/>
  <c r="U14" i="157"/>
  <c r="U70" i="157"/>
  <c r="U82" i="157"/>
  <c r="U94" i="157"/>
  <c r="U106" i="157"/>
  <c r="U119" i="157"/>
  <c r="U36" i="157"/>
  <c r="U45" i="157"/>
  <c r="U77" i="157"/>
  <c r="U89" i="157"/>
  <c r="U101" i="157"/>
  <c r="U113" i="157"/>
  <c r="U67" i="157"/>
  <c r="U79" i="157"/>
  <c r="U91" i="157"/>
  <c r="U103" i="157"/>
  <c r="U115" i="157"/>
  <c r="U74" i="157"/>
  <c r="U86" i="157"/>
  <c r="U98" i="157"/>
  <c r="U110" i="157"/>
  <c r="U123" i="157"/>
  <c r="U84" i="157"/>
  <c r="U126" i="157"/>
  <c r="U138" i="157"/>
  <c r="U137" i="157"/>
  <c r="U81" i="157"/>
  <c r="U133" i="157"/>
  <c r="U125" i="157"/>
  <c r="U112" i="157"/>
  <c r="U128" i="157"/>
  <c r="U100" i="157"/>
  <c r="U76" i="157"/>
  <c r="U72" i="157"/>
  <c r="U121" i="157"/>
  <c r="U135" i="157"/>
  <c r="U127" i="157"/>
  <c r="U131" i="157"/>
  <c r="U69" i="157"/>
  <c r="U117" i="157"/>
  <c r="U130" i="157"/>
  <c r="U108" i="157"/>
  <c r="U132" i="157"/>
  <c r="U3" i="157"/>
  <c r="U105" i="157"/>
  <c r="U61" i="157"/>
  <c r="U88" i="157"/>
  <c r="U134" i="157"/>
  <c r="U136" i="157"/>
  <c r="U96" i="157"/>
  <c r="U129" i="157"/>
  <c r="U93" i="157"/>
  <c r="U139" i="157"/>
  <c r="U140" i="157"/>
  <c r="U141" i="157"/>
  <c r="U142" i="157"/>
  <c r="U201" i="157"/>
  <c r="U189" i="157"/>
  <c r="U206" i="157"/>
  <c r="U199" i="157"/>
  <c r="U204" i="157"/>
  <c r="U197" i="157"/>
  <c r="U202" i="157"/>
  <c r="U190" i="157"/>
  <c r="U195" i="157"/>
  <c r="U183" i="157"/>
  <c r="U200" i="157"/>
  <c r="U188" i="157"/>
  <c r="U205" i="157"/>
  <c r="U198" i="157"/>
  <c r="U203" i="157"/>
  <c r="U196" i="157"/>
  <c r="U184" i="157"/>
  <c r="U170" i="157"/>
  <c r="U194" i="157"/>
  <c r="U187" i="157"/>
  <c r="U179" i="157"/>
  <c r="U193" i="157"/>
  <c r="U180" i="157"/>
  <c r="U178" i="157"/>
  <c r="U177" i="157"/>
  <c r="U181" i="157"/>
  <c r="U176" i="157"/>
  <c r="U169" i="157"/>
  <c r="U157" i="157"/>
  <c r="U192" i="157"/>
  <c r="U185" i="157"/>
  <c r="U182" i="157"/>
  <c r="U175" i="157"/>
  <c r="U172" i="157"/>
  <c r="U160" i="157"/>
  <c r="U186" i="157"/>
  <c r="U166" i="157"/>
  <c r="U165" i="157"/>
  <c r="U173" i="157"/>
  <c r="U167" i="157"/>
  <c r="U171" i="157"/>
  <c r="U153" i="157"/>
  <c r="U191" i="157"/>
  <c r="U164" i="157"/>
  <c r="U163" i="157"/>
  <c r="U151" i="157"/>
  <c r="U162" i="157"/>
  <c r="U149" i="157"/>
  <c r="U168" i="157"/>
  <c r="U174" i="157"/>
  <c r="U161" i="157"/>
  <c r="U147" i="157"/>
  <c r="U154" i="157"/>
  <c r="U152" i="157"/>
  <c r="U150" i="157"/>
  <c r="U143" i="157"/>
  <c r="U156" i="157"/>
  <c r="U148" i="157"/>
  <c r="U145" i="157"/>
  <c r="U144" i="157"/>
  <c r="U146" i="157"/>
  <c r="U159" i="157"/>
  <c r="U158" i="157"/>
  <c r="U155" i="157"/>
  <c r="V1" i="157"/>
  <c r="T5" i="154"/>
  <c r="V118" i="157" l="1"/>
  <c r="V66" i="157"/>
  <c r="V4" i="157"/>
  <c r="V16" i="157"/>
  <c r="V11" i="157"/>
  <c r="V6" i="157"/>
  <c r="V13" i="157"/>
  <c r="V8" i="157"/>
  <c r="V15" i="157"/>
  <c r="V10" i="157"/>
  <c r="V5" i="157"/>
  <c r="V17" i="157"/>
  <c r="V12" i="157"/>
  <c r="V26" i="157"/>
  <c r="V38" i="157"/>
  <c r="V21" i="157"/>
  <c r="V33" i="157"/>
  <c r="V28" i="157"/>
  <c r="V40" i="157"/>
  <c r="V7" i="157"/>
  <c r="V23" i="157"/>
  <c r="V35" i="157"/>
  <c r="V18" i="157"/>
  <c r="V30" i="157"/>
  <c r="V42" i="157"/>
  <c r="V25" i="157"/>
  <c r="V37" i="157"/>
  <c r="V20" i="157"/>
  <c r="V32" i="157"/>
  <c r="V9" i="157"/>
  <c r="V22" i="157"/>
  <c r="V34" i="157"/>
  <c r="V14" i="157"/>
  <c r="V49" i="157"/>
  <c r="V61" i="157"/>
  <c r="V19" i="157"/>
  <c r="V44" i="157"/>
  <c r="V56" i="157"/>
  <c r="V39" i="157"/>
  <c r="V51" i="157"/>
  <c r="V63" i="157"/>
  <c r="V46" i="157"/>
  <c r="V58" i="157"/>
  <c r="V24" i="157"/>
  <c r="V53" i="157"/>
  <c r="V31" i="157"/>
  <c r="V48" i="157"/>
  <c r="V60" i="157"/>
  <c r="V43" i="157"/>
  <c r="V55" i="157"/>
  <c r="V36" i="157"/>
  <c r="V45" i="157"/>
  <c r="V57" i="157"/>
  <c r="V52" i="157"/>
  <c r="V64" i="157"/>
  <c r="V29" i="157"/>
  <c r="V76" i="157"/>
  <c r="V88" i="157"/>
  <c r="V100" i="157"/>
  <c r="V112" i="157"/>
  <c r="V71" i="157"/>
  <c r="V83" i="157"/>
  <c r="V95" i="157"/>
  <c r="V107" i="157"/>
  <c r="V120" i="157"/>
  <c r="V65" i="157"/>
  <c r="V78" i="157"/>
  <c r="V90" i="157"/>
  <c r="V102" i="157"/>
  <c r="V114" i="157"/>
  <c r="V73" i="157"/>
  <c r="V85" i="157"/>
  <c r="V97" i="157"/>
  <c r="V109" i="157"/>
  <c r="V122" i="157"/>
  <c r="V68" i="157"/>
  <c r="V80" i="157"/>
  <c r="V92" i="157"/>
  <c r="V104" i="157"/>
  <c r="V116" i="157"/>
  <c r="V54" i="157"/>
  <c r="V75" i="157"/>
  <c r="V87" i="157"/>
  <c r="V99" i="157"/>
  <c r="V111" i="157"/>
  <c r="V124" i="157"/>
  <c r="V62" i="157"/>
  <c r="V70" i="157"/>
  <c r="V82" i="157"/>
  <c r="V94" i="157"/>
  <c r="V106" i="157"/>
  <c r="V119" i="157"/>
  <c r="V41" i="157"/>
  <c r="V72" i="157"/>
  <c r="V84" i="157"/>
  <c r="V96" i="157"/>
  <c r="V108" i="157"/>
  <c r="V121" i="157"/>
  <c r="V50" i="157"/>
  <c r="V67" i="157"/>
  <c r="V79" i="157"/>
  <c r="V91" i="157"/>
  <c r="V103" i="157"/>
  <c r="V115" i="157"/>
  <c r="V101" i="157"/>
  <c r="V131" i="157"/>
  <c r="V117" i="157"/>
  <c r="V98" i="157"/>
  <c r="V126" i="157"/>
  <c r="V138" i="157"/>
  <c r="V81" i="157"/>
  <c r="V133" i="157"/>
  <c r="V93" i="157"/>
  <c r="V59" i="157"/>
  <c r="V89" i="157"/>
  <c r="V128" i="157"/>
  <c r="V130" i="157"/>
  <c r="V136" i="157"/>
  <c r="V47" i="157"/>
  <c r="V86" i="157"/>
  <c r="V135" i="157"/>
  <c r="V69" i="157"/>
  <c r="V3" i="157"/>
  <c r="V77" i="157"/>
  <c r="V125" i="157"/>
  <c r="V137" i="157"/>
  <c r="V74" i="157"/>
  <c r="V123" i="157"/>
  <c r="V132" i="157"/>
  <c r="V105" i="157"/>
  <c r="V127" i="157"/>
  <c r="V129" i="157"/>
  <c r="V27" i="157"/>
  <c r="V113" i="157"/>
  <c r="V134" i="157"/>
  <c r="V110" i="157"/>
  <c r="V139" i="157"/>
  <c r="V141" i="157"/>
  <c r="V140" i="157"/>
  <c r="V142" i="157"/>
  <c r="V206" i="157"/>
  <c r="V194" i="157"/>
  <c r="V182" i="157"/>
  <c r="V199" i="157"/>
  <c r="V204" i="157"/>
  <c r="V197" i="157"/>
  <c r="V202" i="157"/>
  <c r="V190" i="157"/>
  <c r="V195" i="157"/>
  <c r="V200" i="157"/>
  <c r="V188" i="157"/>
  <c r="V176" i="157"/>
  <c r="V205" i="157"/>
  <c r="V193" i="157"/>
  <c r="V181" i="157"/>
  <c r="V198" i="157"/>
  <c r="V203" i="157"/>
  <c r="V201" i="157"/>
  <c r="V189" i="157"/>
  <c r="V177" i="157"/>
  <c r="V187" i="157"/>
  <c r="V183" i="157"/>
  <c r="V179" i="157"/>
  <c r="V180" i="157"/>
  <c r="V178" i="157"/>
  <c r="V184" i="157"/>
  <c r="V169" i="157"/>
  <c r="V192" i="157"/>
  <c r="V185" i="157"/>
  <c r="V162" i="157"/>
  <c r="V175" i="157"/>
  <c r="V167" i="157"/>
  <c r="V196" i="157"/>
  <c r="V191" i="157"/>
  <c r="V186" i="157"/>
  <c r="V174" i="157"/>
  <c r="V165" i="157"/>
  <c r="V166" i="157"/>
  <c r="V150" i="157"/>
  <c r="V173" i="157"/>
  <c r="V171" i="157"/>
  <c r="V164" i="157"/>
  <c r="V146" i="157"/>
  <c r="V163" i="157"/>
  <c r="V172" i="157"/>
  <c r="V170" i="157"/>
  <c r="V168" i="157"/>
  <c r="V156" i="157"/>
  <c r="V154" i="157"/>
  <c r="V161" i="157"/>
  <c r="V152" i="157"/>
  <c r="V143" i="157"/>
  <c r="V148" i="157"/>
  <c r="V145" i="157"/>
  <c r="V144" i="157"/>
  <c r="V159" i="157"/>
  <c r="V160" i="157"/>
  <c r="V158" i="157"/>
  <c r="V155" i="157"/>
  <c r="V153" i="157"/>
  <c r="V151" i="157"/>
  <c r="V149" i="157"/>
  <c r="V147" i="157"/>
  <c r="V157" i="157"/>
  <c r="W1" i="157"/>
  <c r="W118" i="157" l="1"/>
  <c r="W66" i="157"/>
  <c r="W9" i="157"/>
  <c r="W4" i="157"/>
  <c r="W16" i="157"/>
  <c r="W11" i="157"/>
  <c r="W6" i="157"/>
  <c r="W13" i="157"/>
  <c r="W8" i="157"/>
  <c r="W15" i="157"/>
  <c r="W10" i="157"/>
  <c r="W5" i="157"/>
  <c r="W17" i="157"/>
  <c r="W19" i="157"/>
  <c r="W31" i="157"/>
  <c r="W26" i="157"/>
  <c r="W38" i="157"/>
  <c r="W21" i="157"/>
  <c r="W33" i="157"/>
  <c r="W28" i="157"/>
  <c r="W40" i="157"/>
  <c r="W7" i="157"/>
  <c r="W23" i="157"/>
  <c r="W35" i="157"/>
  <c r="W18" i="157"/>
  <c r="W30" i="157"/>
  <c r="W42" i="157"/>
  <c r="W12" i="157"/>
  <c r="W25" i="157"/>
  <c r="W37" i="157"/>
  <c r="W27" i="157"/>
  <c r="W39" i="157"/>
  <c r="W41" i="157"/>
  <c r="W54" i="157"/>
  <c r="W14" i="157"/>
  <c r="W49" i="157"/>
  <c r="W61" i="157"/>
  <c r="W32" i="157"/>
  <c r="W44" i="157"/>
  <c r="W56" i="157"/>
  <c r="W51" i="157"/>
  <c r="W63" i="157"/>
  <c r="W46" i="157"/>
  <c r="W58" i="157"/>
  <c r="W24" i="157"/>
  <c r="W53" i="157"/>
  <c r="W48" i="157"/>
  <c r="W60" i="157"/>
  <c r="W29" i="157"/>
  <c r="W50" i="157"/>
  <c r="W62" i="157"/>
  <c r="W36" i="157"/>
  <c r="W45" i="157"/>
  <c r="W57" i="157"/>
  <c r="W55" i="157"/>
  <c r="W69" i="157"/>
  <c r="W81" i="157"/>
  <c r="W93" i="157"/>
  <c r="W105" i="157"/>
  <c r="W117" i="157"/>
  <c r="W20" i="157"/>
  <c r="W52" i="157"/>
  <c r="W76" i="157"/>
  <c r="W88" i="157"/>
  <c r="W100" i="157"/>
  <c r="W112" i="157"/>
  <c r="W34" i="157"/>
  <c r="W71" i="157"/>
  <c r="W83" i="157"/>
  <c r="W95" i="157"/>
  <c r="W107" i="157"/>
  <c r="W120" i="157"/>
  <c r="W43" i="157"/>
  <c r="W65" i="157"/>
  <c r="W78" i="157"/>
  <c r="W90" i="157"/>
  <c r="W102" i="157"/>
  <c r="W114" i="157"/>
  <c r="W73" i="157"/>
  <c r="W85" i="157"/>
  <c r="W97" i="157"/>
  <c r="W109" i="157"/>
  <c r="W122" i="157"/>
  <c r="W68" i="157"/>
  <c r="W80" i="157"/>
  <c r="W92" i="157"/>
  <c r="W104" i="157"/>
  <c r="W116" i="157"/>
  <c r="W22" i="157"/>
  <c r="W75" i="157"/>
  <c r="W87" i="157"/>
  <c r="W99" i="157"/>
  <c r="W111" i="157"/>
  <c r="W124" i="157"/>
  <c r="W59" i="157"/>
  <c r="W77" i="157"/>
  <c r="W89" i="157"/>
  <c r="W101" i="157"/>
  <c r="W113" i="157"/>
  <c r="W72" i="157"/>
  <c r="W84" i="157"/>
  <c r="W96" i="157"/>
  <c r="W108" i="157"/>
  <c r="W121" i="157"/>
  <c r="W70" i="157"/>
  <c r="W119" i="157"/>
  <c r="W136" i="157"/>
  <c r="W86" i="157"/>
  <c r="W135" i="157"/>
  <c r="W64" i="157"/>
  <c r="W67" i="157"/>
  <c r="W115" i="157"/>
  <c r="W131" i="157"/>
  <c r="W98" i="157"/>
  <c r="W126" i="157"/>
  <c r="W138" i="157"/>
  <c r="W47" i="157"/>
  <c r="W137" i="157"/>
  <c r="W106" i="157"/>
  <c r="W133" i="157"/>
  <c r="W103" i="157"/>
  <c r="W128" i="157"/>
  <c r="W125" i="157"/>
  <c r="W94" i="157"/>
  <c r="W130" i="157"/>
  <c r="W91" i="157"/>
  <c r="W74" i="157"/>
  <c r="W123" i="157"/>
  <c r="W132" i="157"/>
  <c r="W3" i="157"/>
  <c r="W79" i="157"/>
  <c r="W134" i="157"/>
  <c r="W110" i="157"/>
  <c r="W129" i="157"/>
  <c r="W82" i="157"/>
  <c r="W127" i="157"/>
  <c r="W142" i="157"/>
  <c r="W139" i="157"/>
  <c r="W141" i="157"/>
  <c r="W140" i="157"/>
  <c r="W199" i="157"/>
  <c r="W187" i="157"/>
  <c r="W204" i="157"/>
  <c r="W197" i="157"/>
  <c r="W202" i="157"/>
  <c r="W195" i="157"/>
  <c r="W200" i="157"/>
  <c r="W205" i="157"/>
  <c r="W193" i="157"/>
  <c r="W181" i="157"/>
  <c r="W198" i="157"/>
  <c r="W186" i="157"/>
  <c r="W203" i="157"/>
  <c r="W201" i="157"/>
  <c r="W206" i="157"/>
  <c r="W194" i="157"/>
  <c r="W182" i="157"/>
  <c r="W183" i="157"/>
  <c r="W179" i="157"/>
  <c r="W168" i="157"/>
  <c r="W180" i="157"/>
  <c r="W190" i="157"/>
  <c r="W178" i="157"/>
  <c r="W184" i="157"/>
  <c r="W177" i="157"/>
  <c r="W188" i="157"/>
  <c r="W192" i="157"/>
  <c r="W185" i="157"/>
  <c r="W176" i="157"/>
  <c r="W175" i="157"/>
  <c r="W167" i="157"/>
  <c r="W196" i="157"/>
  <c r="W189" i="157"/>
  <c r="W172" i="157"/>
  <c r="W191" i="157"/>
  <c r="W174" i="157"/>
  <c r="W170" i="157"/>
  <c r="W158" i="157"/>
  <c r="W159" i="157"/>
  <c r="W155" i="157"/>
  <c r="W173" i="157"/>
  <c r="W165" i="157"/>
  <c r="W171" i="157"/>
  <c r="W169" i="157"/>
  <c r="W164" i="157"/>
  <c r="W163" i="157"/>
  <c r="W157" i="157"/>
  <c r="W151" i="157"/>
  <c r="W149" i="157"/>
  <c r="W162" i="157"/>
  <c r="W161" i="157"/>
  <c r="W147" i="157"/>
  <c r="W160" i="157"/>
  <c r="W145" i="157"/>
  <c r="W154" i="157"/>
  <c r="W152" i="157"/>
  <c r="W150" i="157"/>
  <c r="W148" i="157"/>
  <c r="W144" i="157"/>
  <c r="W156" i="157"/>
  <c r="W146" i="157"/>
  <c r="W166" i="157"/>
  <c r="W153" i="157"/>
  <c r="W143" i="157"/>
  <c r="X1" i="157"/>
  <c r="T49" i="154"/>
  <c r="X118" i="157" l="1"/>
  <c r="X66" i="157"/>
  <c r="X14" i="157"/>
  <c r="X9" i="157"/>
  <c r="X4" i="157"/>
  <c r="X16" i="157"/>
  <c r="X11" i="157"/>
  <c r="X6" i="157"/>
  <c r="X13" i="157"/>
  <c r="X8" i="157"/>
  <c r="X15" i="157"/>
  <c r="X10" i="157"/>
  <c r="X5" i="157"/>
  <c r="X24" i="157"/>
  <c r="X36" i="157"/>
  <c r="X19" i="157"/>
  <c r="X31" i="157"/>
  <c r="X26" i="157"/>
  <c r="X38" i="157"/>
  <c r="X21" i="157"/>
  <c r="X33" i="157"/>
  <c r="X28" i="157"/>
  <c r="X40" i="157"/>
  <c r="X7" i="157"/>
  <c r="X23" i="157"/>
  <c r="X35" i="157"/>
  <c r="X18" i="157"/>
  <c r="X30" i="157"/>
  <c r="X42" i="157"/>
  <c r="X20" i="157"/>
  <c r="X32" i="157"/>
  <c r="X34" i="157"/>
  <c r="X47" i="157"/>
  <c r="X59" i="157"/>
  <c r="X41" i="157"/>
  <c r="X54" i="157"/>
  <c r="X25" i="157"/>
  <c r="X49" i="157"/>
  <c r="X61" i="157"/>
  <c r="X39" i="157"/>
  <c r="X44" i="157"/>
  <c r="X56" i="157"/>
  <c r="X51" i="157"/>
  <c r="X63" i="157"/>
  <c r="X46" i="157"/>
  <c r="X58" i="157"/>
  <c r="X12" i="157"/>
  <c r="X37" i="157"/>
  <c r="X53" i="157"/>
  <c r="X22" i="157"/>
  <c r="X43" i="157"/>
  <c r="X55" i="157"/>
  <c r="X29" i="157"/>
  <c r="X50" i="157"/>
  <c r="X62" i="157"/>
  <c r="X74" i="157"/>
  <c r="X86" i="157"/>
  <c r="X98" i="157"/>
  <c r="X110" i="157"/>
  <c r="X123" i="157"/>
  <c r="X69" i="157"/>
  <c r="X81" i="157"/>
  <c r="X93" i="157"/>
  <c r="X105" i="157"/>
  <c r="X117" i="157"/>
  <c r="X52" i="157"/>
  <c r="X76" i="157"/>
  <c r="X88" i="157"/>
  <c r="X100" i="157"/>
  <c r="X112" i="157"/>
  <c r="X60" i="157"/>
  <c r="X71" i="157"/>
  <c r="X83" i="157"/>
  <c r="X95" i="157"/>
  <c r="X107" i="157"/>
  <c r="X120" i="157"/>
  <c r="X57" i="157"/>
  <c r="X65" i="157"/>
  <c r="X78" i="157"/>
  <c r="X90" i="157"/>
  <c r="X102" i="157"/>
  <c r="X114" i="157"/>
  <c r="X73" i="157"/>
  <c r="X85" i="157"/>
  <c r="X97" i="157"/>
  <c r="X109" i="157"/>
  <c r="X122" i="157"/>
  <c r="X17" i="157"/>
  <c r="X48" i="157"/>
  <c r="X68" i="157"/>
  <c r="X80" i="157"/>
  <c r="X92" i="157"/>
  <c r="X104" i="157"/>
  <c r="X116" i="157"/>
  <c r="X27" i="157"/>
  <c r="X70" i="157"/>
  <c r="X82" i="157"/>
  <c r="X94" i="157"/>
  <c r="X106" i="157"/>
  <c r="X119" i="157"/>
  <c r="X77" i="157"/>
  <c r="X89" i="157"/>
  <c r="X101" i="157"/>
  <c r="X113" i="157"/>
  <c r="X45" i="157"/>
  <c r="X87" i="157"/>
  <c r="X129" i="157"/>
  <c r="X128" i="157"/>
  <c r="X108" i="157"/>
  <c r="X84" i="157"/>
  <c r="X136" i="157"/>
  <c r="X64" i="157"/>
  <c r="X67" i="157"/>
  <c r="X115" i="157"/>
  <c r="X131" i="157"/>
  <c r="X130" i="157"/>
  <c r="X75" i="157"/>
  <c r="X124" i="157"/>
  <c r="X126" i="157"/>
  <c r="X138" i="157"/>
  <c r="X72" i="157"/>
  <c r="X121" i="157"/>
  <c r="X133" i="157"/>
  <c r="X103" i="157"/>
  <c r="X111" i="157"/>
  <c r="X135" i="157"/>
  <c r="X91" i="157"/>
  <c r="X125" i="157"/>
  <c r="X137" i="157"/>
  <c r="X96" i="157"/>
  <c r="X127" i="157"/>
  <c r="X79" i="157"/>
  <c r="X134" i="157"/>
  <c r="X99" i="157"/>
  <c r="X132" i="157"/>
  <c r="X3" i="157"/>
  <c r="X142" i="157"/>
  <c r="X139" i="157"/>
  <c r="X141" i="157"/>
  <c r="X140" i="157"/>
  <c r="X204" i="157"/>
  <c r="X192" i="157"/>
  <c r="X180" i="157"/>
  <c r="X197" i="157"/>
  <c r="X202" i="157"/>
  <c r="X195" i="157"/>
  <c r="X200" i="157"/>
  <c r="X205" i="157"/>
  <c r="X193" i="157"/>
  <c r="X198" i="157"/>
  <c r="X186" i="157"/>
  <c r="X174" i="157"/>
  <c r="X203" i="157"/>
  <c r="X191" i="157"/>
  <c r="X201" i="157"/>
  <c r="X206" i="157"/>
  <c r="X199" i="157"/>
  <c r="X187" i="157"/>
  <c r="X175" i="157"/>
  <c r="X194" i="157"/>
  <c r="X173" i="157"/>
  <c r="X190" i="157"/>
  <c r="X178" i="157"/>
  <c r="X184" i="157"/>
  <c r="X177" i="157"/>
  <c r="X188" i="157"/>
  <c r="X185" i="157"/>
  <c r="X181" i="157"/>
  <c r="X176" i="157"/>
  <c r="X167" i="157"/>
  <c r="X196" i="157"/>
  <c r="X189" i="157"/>
  <c r="X172" i="157"/>
  <c r="X160" i="157"/>
  <c r="X182" i="157"/>
  <c r="X163" i="157"/>
  <c r="X165" i="157"/>
  <c r="X148" i="157"/>
  <c r="X179" i="157"/>
  <c r="X171" i="157"/>
  <c r="X169" i="157"/>
  <c r="X164" i="157"/>
  <c r="X144" i="157"/>
  <c r="X183" i="157"/>
  <c r="X162" i="157"/>
  <c r="X156" i="157"/>
  <c r="X154" i="157"/>
  <c r="X170" i="157"/>
  <c r="X168" i="157"/>
  <c r="X161" i="157"/>
  <c r="X152" i="157"/>
  <c r="X166" i="157"/>
  <c r="X150" i="157"/>
  <c r="X145" i="157"/>
  <c r="X146" i="157"/>
  <c r="X159" i="157"/>
  <c r="X158" i="157"/>
  <c r="X155" i="157"/>
  <c r="X153" i="157"/>
  <c r="X151" i="157"/>
  <c r="X149" i="157"/>
  <c r="X147" i="157"/>
  <c r="X157" i="157"/>
  <c r="X143" i="157"/>
  <c r="Y1" i="157"/>
  <c r="T67" i="154"/>
  <c r="T66" i="154"/>
  <c r="Y118" i="157" l="1"/>
  <c r="Y66" i="157"/>
  <c r="Y7" i="157"/>
  <c r="Y14" i="157"/>
  <c r="Y9" i="157"/>
  <c r="Y4" i="157"/>
  <c r="Y16" i="157"/>
  <c r="Y11" i="157"/>
  <c r="Y6" i="157"/>
  <c r="Y13" i="157"/>
  <c r="Y8" i="157"/>
  <c r="Y15" i="157"/>
  <c r="Y29" i="157"/>
  <c r="Y41" i="157"/>
  <c r="Y5" i="157"/>
  <c r="Y24" i="157"/>
  <c r="Y36" i="157"/>
  <c r="Y19" i="157"/>
  <c r="Y31" i="157"/>
  <c r="Y10" i="157"/>
  <c r="Y26" i="157"/>
  <c r="Y38" i="157"/>
  <c r="Y21" i="157"/>
  <c r="Y33" i="157"/>
  <c r="Y28" i="157"/>
  <c r="Y40" i="157"/>
  <c r="Y23" i="157"/>
  <c r="Y35" i="157"/>
  <c r="Y12" i="157"/>
  <c r="Y25" i="157"/>
  <c r="Y37" i="157"/>
  <c r="Y27" i="157"/>
  <c r="Y52" i="157"/>
  <c r="Y64" i="157"/>
  <c r="Y34" i="157"/>
  <c r="Y47" i="157"/>
  <c r="Y59" i="157"/>
  <c r="Y18" i="157"/>
  <c r="Y54" i="157"/>
  <c r="Y32" i="157"/>
  <c r="Y49" i="157"/>
  <c r="Y61" i="157"/>
  <c r="Y39" i="157"/>
  <c r="Y44" i="157"/>
  <c r="Y56" i="157"/>
  <c r="Y51" i="157"/>
  <c r="Y63" i="157"/>
  <c r="Y30" i="157"/>
  <c r="Y46" i="157"/>
  <c r="Y58" i="157"/>
  <c r="Y17" i="157"/>
  <c r="Y48" i="157"/>
  <c r="Y60" i="157"/>
  <c r="Y22" i="157"/>
  <c r="Y43" i="157"/>
  <c r="Y55" i="157"/>
  <c r="Y67" i="157"/>
  <c r="Y79" i="157"/>
  <c r="Y91" i="157"/>
  <c r="Y103" i="157"/>
  <c r="Y115" i="157"/>
  <c r="Y74" i="157"/>
  <c r="Y86" i="157"/>
  <c r="Y98" i="157"/>
  <c r="Y110" i="157"/>
  <c r="Y123" i="157"/>
  <c r="Y20" i="157"/>
  <c r="Y69" i="157"/>
  <c r="Y81" i="157"/>
  <c r="Y93" i="157"/>
  <c r="Y105" i="157"/>
  <c r="Y117" i="157"/>
  <c r="Y76" i="157"/>
  <c r="Y88" i="157"/>
  <c r="Y100" i="157"/>
  <c r="Y112" i="157"/>
  <c r="Y71" i="157"/>
  <c r="Y83" i="157"/>
  <c r="Y95" i="157"/>
  <c r="Y107" i="157"/>
  <c r="Y120" i="157"/>
  <c r="Y57" i="157"/>
  <c r="Y65" i="157"/>
  <c r="Y78" i="157"/>
  <c r="Y90" i="157"/>
  <c r="Y102" i="157"/>
  <c r="Y114" i="157"/>
  <c r="Y73" i="157"/>
  <c r="Y85" i="157"/>
  <c r="Y97" i="157"/>
  <c r="Y109" i="157"/>
  <c r="Y122" i="157"/>
  <c r="Y45" i="157"/>
  <c r="Y75" i="157"/>
  <c r="Y87" i="157"/>
  <c r="Y99" i="157"/>
  <c r="Y111" i="157"/>
  <c r="Y124" i="157"/>
  <c r="Y53" i="157"/>
  <c r="Y70" i="157"/>
  <c r="Y82" i="157"/>
  <c r="Y94" i="157"/>
  <c r="Y106" i="157"/>
  <c r="Y119" i="157"/>
  <c r="Y104" i="157"/>
  <c r="Y134" i="157"/>
  <c r="Y133" i="157"/>
  <c r="Y101" i="157"/>
  <c r="Y129" i="157"/>
  <c r="Y84" i="157"/>
  <c r="Y136" i="157"/>
  <c r="Y72" i="157"/>
  <c r="Y121" i="157"/>
  <c r="Y135" i="157"/>
  <c r="Y127" i="157"/>
  <c r="Y92" i="157"/>
  <c r="Y131" i="157"/>
  <c r="Y89" i="157"/>
  <c r="Y126" i="157"/>
  <c r="Y138" i="157"/>
  <c r="Y80" i="157"/>
  <c r="Y128" i="157"/>
  <c r="Y42" i="157"/>
  <c r="Y77" i="157"/>
  <c r="Y108" i="157"/>
  <c r="Y130" i="157"/>
  <c r="Y113" i="157"/>
  <c r="Y132" i="157"/>
  <c r="Y96" i="157"/>
  <c r="Y62" i="157"/>
  <c r="Y68" i="157"/>
  <c r="Y116" i="157"/>
  <c r="Y125" i="157"/>
  <c r="Y137" i="157"/>
  <c r="Y50" i="157"/>
  <c r="Y3" i="157"/>
  <c r="Y142" i="157"/>
  <c r="Y140" i="157"/>
  <c r="Y139" i="157"/>
  <c r="Y141" i="157"/>
  <c r="Y197" i="157"/>
  <c r="Y185" i="157"/>
  <c r="Y202" i="157"/>
  <c r="Y195" i="157"/>
  <c r="Y200" i="157"/>
  <c r="Y205" i="157"/>
  <c r="Y193" i="157"/>
  <c r="Y198" i="157"/>
  <c r="Y203" i="157"/>
  <c r="Y191" i="157"/>
  <c r="Y179" i="157"/>
  <c r="Y196" i="157"/>
  <c r="Y184" i="157"/>
  <c r="Y201" i="157"/>
  <c r="Y206" i="157"/>
  <c r="Y199" i="157"/>
  <c r="Y204" i="157"/>
  <c r="Y192" i="157"/>
  <c r="Y180" i="157"/>
  <c r="Y190" i="157"/>
  <c r="Y187" i="157"/>
  <c r="Y178" i="157"/>
  <c r="Y177" i="157"/>
  <c r="Y188" i="157"/>
  <c r="Y181" i="157"/>
  <c r="Y176" i="157"/>
  <c r="Y189" i="157"/>
  <c r="Y175" i="157"/>
  <c r="Y172" i="157"/>
  <c r="Y182" i="157"/>
  <c r="Y165" i="157"/>
  <c r="Y174" i="157"/>
  <c r="Y170" i="157"/>
  <c r="Y186" i="157"/>
  <c r="Y183" i="157"/>
  <c r="Y168" i="157"/>
  <c r="Y156" i="157"/>
  <c r="Y173" i="157"/>
  <c r="Y171" i="157"/>
  <c r="Y158" i="157"/>
  <c r="Y153" i="157"/>
  <c r="Y194" i="157"/>
  <c r="Y169" i="157"/>
  <c r="Y164" i="157"/>
  <c r="Y167" i="157"/>
  <c r="Y163" i="157"/>
  <c r="Y149" i="157"/>
  <c r="Y162" i="157"/>
  <c r="Y161" i="157"/>
  <c r="Y147" i="157"/>
  <c r="Y145" i="157"/>
  <c r="Y166" i="157"/>
  <c r="Y160" i="157"/>
  <c r="Y159" i="157"/>
  <c r="Y155" i="157"/>
  <c r="Y143" i="157"/>
  <c r="Y146" i="157"/>
  <c r="Y151" i="157"/>
  <c r="Y157" i="157"/>
  <c r="Y152" i="157"/>
  <c r="Y144" i="157"/>
  <c r="Y150" i="157"/>
  <c r="Y148" i="157"/>
  <c r="Y154" i="157"/>
  <c r="Z1" i="157"/>
  <c r="T48" i="154"/>
  <c r="Z118" i="157" l="1"/>
  <c r="Z66" i="157"/>
  <c r="Z12" i="157"/>
  <c r="Z7" i="157"/>
  <c r="Z14" i="157"/>
  <c r="Z9" i="157"/>
  <c r="Z4" i="157"/>
  <c r="Z16" i="157"/>
  <c r="Z11" i="157"/>
  <c r="Z6" i="157"/>
  <c r="Z13" i="157"/>
  <c r="Z8" i="157"/>
  <c r="Z22" i="157"/>
  <c r="Z34" i="157"/>
  <c r="Z29" i="157"/>
  <c r="Z41" i="157"/>
  <c r="Z5" i="157"/>
  <c r="Z24" i="157"/>
  <c r="Z36" i="157"/>
  <c r="Z19" i="157"/>
  <c r="Z31" i="157"/>
  <c r="Z10" i="157"/>
  <c r="Z26" i="157"/>
  <c r="Z38" i="157"/>
  <c r="Z21" i="157"/>
  <c r="Z33" i="157"/>
  <c r="Z15" i="157"/>
  <c r="Z28" i="157"/>
  <c r="Z40" i="157"/>
  <c r="Z18" i="157"/>
  <c r="Z30" i="157"/>
  <c r="Z42" i="157"/>
  <c r="Z20" i="157"/>
  <c r="Z45" i="157"/>
  <c r="Z57" i="157"/>
  <c r="Z27" i="157"/>
  <c r="Z52" i="157"/>
  <c r="Z64" i="157"/>
  <c r="Z47" i="157"/>
  <c r="Z59" i="157"/>
  <c r="Z25" i="157"/>
  <c r="Z54" i="157"/>
  <c r="Z32" i="157"/>
  <c r="Z49" i="157"/>
  <c r="Z61" i="157"/>
  <c r="Z39" i="157"/>
  <c r="Z44" i="157"/>
  <c r="Z56" i="157"/>
  <c r="Z23" i="157"/>
  <c r="Z51" i="157"/>
  <c r="Z63" i="157"/>
  <c r="Z53" i="157"/>
  <c r="Z17" i="157"/>
  <c r="Z48" i="157"/>
  <c r="Z60" i="157"/>
  <c r="Z58" i="157"/>
  <c r="Z72" i="157"/>
  <c r="Z84" i="157"/>
  <c r="Z96" i="157"/>
  <c r="Z108" i="157"/>
  <c r="Z121" i="157"/>
  <c r="Z55" i="157"/>
  <c r="Z67" i="157"/>
  <c r="Z79" i="157"/>
  <c r="Z91" i="157"/>
  <c r="Z103" i="157"/>
  <c r="Z115" i="157"/>
  <c r="Z74" i="157"/>
  <c r="Z86" i="157"/>
  <c r="Z98" i="157"/>
  <c r="Z110" i="157"/>
  <c r="Z123" i="157"/>
  <c r="Z46" i="157"/>
  <c r="Z69" i="157"/>
  <c r="Z81" i="157"/>
  <c r="Z93" i="157"/>
  <c r="Z105" i="157"/>
  <c r="Z117" i="157"/>
  <c r="Z35" i="157"/>
  <c r="Z43" i="157"/>
  <c r="Z76" i="157"/>
  <c r="Z88" i="157"/>
  <c r="Z100" i="157"/>
  <c r="Z112" i="157"/>
  <c r="Z71" i="157"/>
  <c r="Z83" i="157"/>
  <c r="Z95" i="157"/>
  <c r="Z107" i="157"/>
  <c r="Z120" i="157"/>
  <c r="Z65" i="157"/>
  <c r="Z78" i="157"/>
  <c r="Z90" i="157"/>
  <c r="Z102" i="157"/>
  <c r="Z114" i="157"/>
  <c r="Z62" i="157"/>
  <c r="Z68" i="157"/>
  <c r="Z80" i="157"/>
  <c r="Z92" i="157"/>
  <c r="Z104" i="157"/>
  <c r="Z116" i="157"/>
  <c r="Z37" i="157"/>
  <c r="Z75" i="157"/>
  <c r="Z87" i="157"/>
  <c r="Z99" i="157"/>
  <c r="Z111" i="157"/>
  <c r="Z124" i="157"/>
  <c r="Z73" i="157"/>
  <c r="Z122" i="157"/>
  <c r="Z127" i="157"/>
  <c r="Z138" i="157"/>
  <c r="Z70" i="157"/>
  <c r="Z119" i="157"/>
  <c r="Z134" i="157"/>
  <c r="Z101" i="157"/>
  <c r="Z129" i="157"/>
  <c r="Z126" i="157"/>
  <c r="Z50" i="157"/>
  <c r="Z132" i="157"/>
  <c r="Z109" i="157"/>
  <c r="Z136" i="157"/>
  <c r="Z113" i="157"/>
  <c r="Z106" i="157"/>
  <c r="Z131" i="157"/>
  <c r="Z89" i="157"/>
  <c r="Z97" i="157"/>
  <c r="Z133" i="157"/>
  <c r="Z94" i="157"/>
  <c r="Z128" i="157"/>
  <c r="Z3" i="157"/>
  <c r="Z77" i="157"/>
  <c r="Z135" i="157"/>
  <c r="Z82" i="157"/>
  <c r="Z85" i="157"/>
  <c r="Z130" i="157"/>
  <c r="Z125" i="157"/>
  <c r="Z137" i="157"/>
  <c r="Z140" i="157"/>
  <c r="Z142" i="157"/>
  <c r="Z141" i="157"/>
  <c r="Z139" i="157"/>
  <c r="Z202" i="157"/>
  <c r="Z190" i="157"/>
  <c r="Z195" i="157"/>
  <c r="Z200" i="157"/>
  <c r="Z205" i="157"/>
  <c r="Z198" i="157"/>
  <c r="Z203" i="157"/>
  <c r="Z191" i="157"/>
  <c r="Z196" i="157"/>
  <c r="Z184" i="157"/>
  <c r="Z201" i="157"/>
  <c r="Z189" i="157"/>
  <c r="Z206" i="157"/>
  <c r="Z199" i="157"/>
  <c r="Z204" i="157"/>
  <c r="Z197" i="157"/>
  <c r="Z185" i="157"/>
  <c r="Z180" i="157"/>
  <c r="Z171" i="157"/>
  <c r="Z177" i="157"/>
  <c r="Z193" i="157"/>
  <c r="Z188" i="157"/>
  <c r="Z181" i="157"/>
  <c r="Z176" i="157"/>
  <c r="Z192" i="157"/>
  <c r="Z182" i="157"/>
  <c r="Z174" i="157"/>
  <c r="Z170" i="157"/>
  <c r="Z158" i="157"/>
  <c r="Z186" i="157"/>
  <c r="Z183" i="157"/>
  <c r="Z194" i="157"/>
  <c r="Z179" i="157"/>
  <c r="Z173" i="157"/>
  <c r="Z161" i="157"/>
  <c r="Z169" i="157"/>
  <c r="Z164" i="157"/>
  <c r="Z167" i="157"/>
  <c r="Z163" i="157"/>
  <c r="Z178" i="157"/>
  <c r="Z162" i="157"/>
  <c r="Z154" i="157"/>
  <c r="Z168" i="157"/>
  <c r="Z152" i="157"/>
  <c r="Z172" i="157"/>
  <c r="Z166" i="157"/>
  <c r="Z160" i="157"/>
  <c r="Z150" i="157"/>
  <c r="Z159" i="157"/>
  <c r="Z148" i="157"/>
  <c r="Z187" i="157"/>
  <c r="Z156" i="157"/>
  <c r="Z175" i="157"/>
  <c r="Z155" i="157"/>
  <c r="Z153" i="157"/>
  <c r="Z151" i="157"/>
  <c r="Z165" i="157"/>
  <c r="Z149" i="157"/>
  <c r="Z147" i="157"/>
  <c r="Z157" i="157"/>
  <c r="Z143" i="157"/>
  <c r="Z144" i="157"/>
  <c r="Z146" i="157"/>
  <c r="Z145" i="157"/>
  <c r="AA1" i="157"/>
  <c r="T52" i="154"/>
  <c r="T51" i="154"/>
  <c r="AA118" i="157" l="1"/>
  <c r="AA66" i="157"/>
  <c r="AA5" i="157"/>
  <c r="AA17" i="157"/>
  <c r="AA12" i="157"/>
  <c r="AA7" i="157"/>
  <c r="AA14" i="157"/>
  <c r="AA9" i="157"/>
  <c r="AA4" i="157"/>
  <c r="AA16" i="157"/>
  <c r="AA11" i="157"/>
  <c r="AA6" i="157"/>
  <c r="AA13" i="157"/>
  <c r="AA8" i="157"/>
  <c r="AA27" i="157"/>
  <c r="AA39" i="157"/>
  <c r="AA22" i="157"/>
  <c r="AA34" i="157"/>
  <c r="AA29" i="157"/>
  <c r="AA41" i="157"/>
  <c r="AA24" i="157"/>
  <c r="AA36" i="157"/>
  <c r="AA19" i="157"/>
  <c r="AA31" i="157"/>
  <c r="AA10" i="157"/>
  <c r="AA26" i="157"/>
  <c r="AA38" i="157"/>
  <c r="AA21" i="157"/>
  <c r="AA33" i="157"/>
  <c r="AA23" i="157"/>
  <c r="AA35" i="157"/>
  <c r="AA50" i="157"/>
  <c r="AA62" i="157"/>
  <c r="AA20" i="157"/>
  <c r="AA45" i="157"/>
  <c r="AA57" i="157"/>
  <c r="AA15" i="157"/>
  <c r="AA40" i="157"/>
  <c r="AA52" i="157"/>
  <c r="AA64" i="157"/>
  <c r="AA18" i="157"/>
  <c r="AA47" i="157"/>
  <c r="AA59" i="157"/>
  <c r="AA25" i="157"/>
  <c r="AA54" i="157"/>
  <c r="AA32" i="157"/>
  <c r="AA49" i="157"/>
  <c r="AA61" i="157"/>
  <c r="AA44" i="157"/>
  <c r="AA56" i="157"/>
  <c r="AA37" i="157"/>
  <c r="AA46" i="157"/>
  <c r="AA58" i="157"/>
  <c r="AA53" i="157"/>
  <c r="AA77" i="157"/>
  <c r="AA89" i="157"/>
  <c r="AA101" i="157"/>
  <c r="AA113" i="157"/>
  <c r="AA72" i="157"/>
  <c r="AA84" i="157"/>
  <c r="AA96" i="157"/>
  <c r="AA108" i="157"/>
  <c r="AA121" i="157"/>
  <c r="AA55" i="157"/>
  <c r="AA67" i="157"/>
  <c r="AA79" i="157"/>
  <c r="AA91" i="157"/>
  <c r="AA103" i="157"/>
  <c r="AA115" i="157"/>
  <c r="AA30" i="157"/>
  <c r="AA63" i="157"/>
  <c r="AA74" i="157"/>
  <c r="AA86" i="157"/>
  <c r="AA98" i="157"/>
  <c r="AA110" i="157"/>
  <c r="AA123" i="157"/>
  <c r="AA60" i="157"/>
  <c r="AA69" i="157"/>
  <c r="AA81" i="157"/>
  <c r="AA93" i="157"/>
  <c r="AA105" i="157"/>
  <c r="AA117" i="157"/>
  <c r="AA43" i="157"/>
  <c r="AA76" i="157"/>
  <c r="AA88" i="157"/>
  <c r="AA100" i="157"/>
  <c r="AA112" i="157"/>
  <c r="AA51" i="157"/>
  <c r="AA71" i="157"/>
  <c r="AA83" i="157"/>
  <c r="AA95" i="157"/>
  <c r="AA107" i="157"/>
  <c r="AA120" i="157"/>
  <c r="AA73" i="157"/>
  <c r="AA85" i="157"/>
  <c r="AA97" i="157"/>
  <c r="AA109" i="157"/>
  <c r="AA122" i="157"/>
  <c r="AA68" i="157"/>
  <c r="AA80" i="157"/>
  <c r="AA92" i="157"/>
  <c r="AA104" i="157"/>
  <c r="AA116" i="157"/>
  <c r="AA90" i="157"/>
  <c r="AA132" i="157"/>
  <c r="AA3" i="157"/>
  <c r="AA133" i="157"/>
  <c r="AA87" i="157"/>
  <c r="AA127" i="157"/>
  <c r="AA106" i="157"/>
  <c r="AA70" i="157"/>
  <c r="AA119" i="157"/>
  <c r="AA134" i="157"/>
  <c r="AA131" i="157"/>
  <c r="AA111" i="157"/>
  <c r="AA125" i="157"/>
  <c r="AA137" i="157"/>
  <c r="AA78" i="157"/>
  <c r="AA129" i="157"/>
  <c r="AA75" i="157"/>
  <c r="AA124" i="157"/>
  <c r="AA136" i="157"/>
  <c r="AA48" i="157"/>
  <c r="AA65" i="157"/>
  <c r="AA114" i="157"/>
  <c r="AA126" i="157"/>
  <c r="AA138" i="157"/>
  <c r="AA82" i="157"/>
  <c r="AA42" i="157"/>
  <c r="AA94" i="157"/>
  <c r="AA128" i="157"/>
  <c r="AA28" i="157"/>
  <c r="AA99" i="157"/>
  <c r="AA102" i="157"/>
  <c r="AA135" i="157"/>
  <c r="AA130" i="157"/>
  <c r="AA140" i="157"/>
  <c r="AA142" i="157"/>
  <c r="AA139" i="157"/>
  <c r="AA141" i="157"/>
  <c r="AA195" i="157"/>
  <c r="AA183" i="157"/>
  <c r="AA200" i="157"/>
  <c r="AA205" i="157"/>
  <c r="AA198" i="157"/>
  <c r="AA203" i="157"/>
  <c r="AA191" i="157"/>
  <c r="AA196" i="157"/>
  <c r="AA201" i="157"/>
  <c r="AA189" i="157"/>
  <c r="AA177" i="157"/>
  <c r="AA206" i="157"/>
  <c r="AA194" i="157"/>
  <c r="AA182" i="157"/>
  <c r="AA199" i="157"/>
  <c r="AA204" i="157"/>
  <c r="AA202" i="157"/>
  <c r="AA190" i="157"/>
  <c r="AA178" i="157"/>
  <c r="AA193" i="157"/>
  <c r="AA188" i="157"/>
  <c r="AA184" i="157"/>
  <c r="AA197" i="157"/>
  <c r="AA181" i="157"/>
  <c r="AA176" i="157"/>
  <c r="AA192" i="157"/>
  <c r="AA185" i="157"/>
  <c r="AA175" i="157"/>
  <c r="AA174" i="157"/>
  <c r="AA170" i="157"/>
  <c r="AA186" i="157"/>
  <c r="AA163" i="157"/>
  <c r="AA168" i="157"/>
  <c r="AA179" i="157"/>
  <c r="AA187" i="157"/>
  <c r="AA166" i="157"/>
  <c r="AA167" i="157"/>
  <c r="AA157" i="157"/>
  <c r="AA151" i="157"/>
  <c r="AA162" i="157"/>
  <c r="AA156" i="157"/>
  <c r="AA147" i="157"/>
  <c r="AA161" i="157"/>
  <c r="AA172" i="157"/>
  <c r="AA160" i="157"/>
  <c r="AA159" i="157"/>
  <c r="AA155" i="157"/>
  <c r="AA143" i="157"/>
  <c r="AA165" i="157"/>
  <c r="AA153" i="157"/>
  <c r="AA180" i="157"/>
  <c r="AA173" i="157"/>
  <c r="AA158" i="157"/>
  <c r="AA149" i="157"/>
  <c r="AA171" i="157"/>
  <c r="AA164" i="157"/>
  <c r="AA144" i="157"/>
  <c r="AA169" i="157"/>
  <c r="AA154" i="157"/>
  <c r="AA152" i="157"/>
  <c r="AA150" i="157"/>
  <c r="AA148" i="157"/>
  <c r="AA146" i="157"/>
  <c r="AA145" i="157"/>
  <c r="AB1" i="157"/>
  <c r="T47" i="154"/>
  <c r="AB118" i="157" l="1"/>
  <c r="AB66" i="157"/>
  <c r="AB10" i="157"/>
  <c r="AB5" i="157"/>
  <c r="AB17" i="157"/>
  <c r="AB12" i="157"/>
  <c r="AB7" i="157"/>
  <c r="AB14" i="157"/>
  <c r="AB9" i="157"/>
  <c r="AB4" i="157"/>
  <c r="AB16" i="157"/>
  <c r="AB11" i="157"/>
  <c r="AB6" i="157"/>
  <c r="AB20" i="157"/>
  <c r="AB32" i="157"/>
  <c r="AB8" i="157"/>
  <c r="AB27" i="157"/>
  <c r="AB39" i="157"/>
  <c r="AB22" i="157"/>
  <c r="AB34" i="157"/>
  <c r="AB13" i="157"/>
  <c r="AB29" i="157"/>
  <c r="AB41" i="157"/>
  <c r="AB24" i="157"/>
  <c r="AB36" i="157"/>
  <c r="AB19" i="157"/>
  <c r="AB31" i="157"/>
  <c r="AB26" i="157"/>
  <c r="AB38" i="157"/>
  <c r="AB15" i="157"/>
  <c r="AB28" i="157"/>
  <c r="AB40" i="157"/>
  <c r="AB42" i="157"/>
  <c r="AB43" i="157"/>
  <c r="AB55" i="157"/>
  <c r="AB50" i="157"/>
  <c r="AB62" i="157"/>
  <c r="AB33" i="157"/>
  <c r="AB45" i="157"/>
  <c r="AB57" i="157"/>
  <c r="AB52" i="157"/>
  <c r="AB64" i="157"/>
  <c r="AB18" i="157"/>
  <c r="AB47" i="157"/>
  <c r="AB59" i="157"/>
  <c r="AB25" i="157"/>
  <c r="AB54" i="157"/>
  <c r="AB49" i="157"/>
  <c r="AB61" i="157"/>
  <c r="AB30" i="157"/>
  <c r="AB51" i="157"/>
  <c r="AB63" i="157"/>
  <c r="AB37" i="157"/>
  <c r="AB46" i="157"/>
  <c r="AB58" i="157"/>
  <c r="AB44" i="157"/>
  <c r="AB70" i="157"/>
  <c r="AB82" i="157"/>
  <c r="AB94" i="157"/>
  <c r="AB106" i="157"/>
  <c r="AB119" i="157"/>
  <c r="AB77" i="157"/>
  <c r="AB89" i="157"/>
  <c r="AB101" i="157"/>
  <c r="AB113" i="157"/>
  <c r="AB72" i="157"/>
  <c r="AB84" i="157"/>
  <c r="AB96" i="157"/>
  <c r="AB108" i="157"/>
  <c r="AB121" i="157"/>
  <c r="AB67" i="157"/>
  <c r="AB79" i="157"/>
  <c r="AB91" i="157"/>
  <c r="AB103" i="157"/>
  <c r="AB115" i="157"/>
  <c r="AB21" i="157"/>
  <c r="AB74" i="157"/>
  <c r="AB86" i="157"/>
  <c r="AB98" i="157"/>
  <c r="AB110" i="157"/>
  <c r="AB123" i="157"/>
  <c r="AB35" i="157"/>
  <c r="AB60" i="157"/>
  <c r="AB69" i="157"/>
  <c r="AB81" i="157"/>
  <c r="AB93" i="157"/>
  <c r="AB105" i="157"/>
  <c r="AB117" i="157"/>
  <c r="AB76" i="157"/>
  <c r="AB88" i="157"/>
  <c r="AB100" i="157"/>
  <c r="AB112" i="157"/>
  <c r="AB48" i="157"/>
  <c r="AB65" i="157"/>
  <c r="AB78" i="157"/>
  <c r="AB90" i="157"/>
  <c r="AB102" i="157"/>
  <c r="AB114" i="157"/>
  <c r="AB23" i="157"/>
  <c r="AB56" i="157"/>
  <c r="AB73" i="157"/>
  <c r="AB85" i="157"/>
  <c r="AB97" i="157"/>
  <c r="AB109" i="157"/>
  <c r="AB122" i="157"/>
  <c r="AB107" i="157"/>
  <c r="AB125" i="157"/>
  <c r="AB137" i="157"/>
  <c r="AB75" i="157"/>
  <c r="AB104" i="157"/>
  <c r="AB132" i="157"/>
  <c r="AB3" i="157"/>
  <c r="AB138" i="157"/>
  <c r="AB87" i="157"/>
  <c r="AB127" i="157"/>
  <c r="AB136" i="157"/>
  <c r="AB126" i="157"/>
  <c r="AB95" i="157"/>
  <c r="AB134" i="157"/>
  <c r="AB53" i="157"/>
  <c r="AB92" i="157"/>
  <c r="AB129" i="157"/>
  <c r="AB124" i="157"/>
  <c r="AB83" i="157"/>
  <c r="AB131" i="157"/>
  <c r="AB80" i="157"/>
  <c r="AB99" i="157"/>
  <c r="AB111" i="157"/>
  <c r="AB133" i="157"/>
  <c r="AB68" i="157"/>
  <c r="AB116" i="157"/>
  <c r="AB135" i="157"/>
  <c r="AB71" i="157"/>
  <c r="AB120" i="157"/>
  <c r="AB128" i="157"/>
  <c r="AB130" i="157"/>
  <c r="AB140" i="157"/>
  <c r="AB139" i="157"/>
  <c r="AB142" i="157"/>
  <c r="AB141" i="157"/>
  <c r="AB200" i="157"/>
  <c r="AB188" i="157"/>
  <c r="AB205" i="157"/>
  <c r="AB198" i="157"/>
  <c r="AB203" i="157"/>
  <c r="AB196" i="157"/>
  <c r="AB201" i="157"/>
  <c r="AB206" i="157"/>
  <c r="AB194" i="157"/>
  <c r="AB182" i="157"/>
  <c r="AB199" i="157"/>
  <c r="AB187" i="157"/>
  <c r="AB204" i="157"/>
  <c r="AB197" i="157"/>
  <c r="AB202" i="157"/>
  <c r="AB195" i="157"/>
  <c r="AB183" i="157"/>
  <c r="AB193" i="157"/>
  <c r="AB184" i="157"/>
  <c r="AB177" i="157"/>
  <c r="AB169" i="157"/>
  <c r="AB181" i="157"/>
  <c r="AB176" i="157"/>
  <c r="AB192" i="157"/>
  <c r="AB185" i="157"/>
  <c r="AB189" i="157"/>
  <c r="AB186" i="157"/>
  <c r="AB168" i="157"/>
  <c r="AB191" i="157"/>
  <c r="AB179" i="157"/>
  <c r="AB173" i="157"/>
  <c r="AB180" i="157"/>
  <c r="AB178" i="157"/>
  <c r="AB171" i="157"/>
  <c r="AB159" i="157"/>
  <c r="AB163" i="157"/>
  <c r="AB162" i="157"/>
  <c r="AB161" i="157"/>
  <c r="AB152" i="157"/>
  <c r="AB172" i="157"/>
  <c r="AB190" i="157"/>
  <c r="AB170" i="157"/>
  <c r="AB160" i="157"/>
  <c r="AB150" i="157"/>
  <c r="AB166" i="157"/>
  <c r="AB148" i="157"/>
  <c r="AB174" i="157"/>
  <c r="AB165" i="157"/>
  <c r="AB175" i="157"/>
  <c r="AB164" i="157"/>
  <c r="AB158" i="157"/>
  <c r="AB146" i="157"/>
  <c r="AB167" i="157"/>
  <c r="AB155" i="157"/>
  <c r="AB153" i="157"/>
  <c r="AB151" i="157"/>
  <c r="AB149" i="157"/>
  <c r="AB147" i="157"/>
  <c r="AB157" i="157"/>
  <c r="AB144" i="157"/>
  <c r="AB143" i="157"/>
  <c r="AB154" i="157"/>
  <c r="AB145" i="157"/>
  <c r="AB156" i="157"/>
  <c r="AC1" i="157"/>
  <c r="T85" i="154"/>
  <c r="T35" i="154"/>
  <c r="T34" i="154"/>
  <c r="AC118" i="157" l="1"/>
  <c r="AC66" i="157"/>
  <c r="AC15" i="157"/>
  <c r="AC10" i="157"/>
  <c r="AC5" i="157"/>
  <c r="AC17" i="157"/>
  <c r="AC12" i="157"/>
  <c r="AC7" i="157"/>
  <c r="AC14" i="157"/>
  <c r="AC9" i="157"/>
  <c r="AC4" i="157"/>
  <c r="AC16" i="157"/>
  <c r="AC11" i="157"/>
  <c r="AC25" i="157"/>
  <c r="AC37" i="157"/>
  <c r="AC20" i="157"/>
  <c r="AC32" i="157"/>
  <c r="AC8" i="157"/>
  <c r="AC27" i="157"/>
  <c r="AC39" i="157"/>
  <c r="AC22" i="157"/>
  <c r="AC34" i="157"/>
  <c r="AC13" i="157"/>
  <c r="AC29" i="157"/>
  <c r="AC41" i="157"/>
  <c r="AC24" i="157"/>
  <c r="AC36" i="157"/>
  <c r="AC19" i="157"/>
  <c r="AC31" i="157"/>
  <c r="AC21" i="157"/>
  <c r="AC33" i="157"/>
  <c r="AC35" i="157"/>
  <c r="AC48" i="157"/>
  <c r="AC60" i="157"/>
  <c r="AC42" i="157"/>
  <c r="AC43" i="157"/>
  <c r="AC55" i="157"/>
  <c r="AC26" i="157"/>
  <c r="AC50" i="157"/>
  <c r="AC62" i="157"/>
  <c r="AC6" i="157"/>
  <c r="AC40" i="157"/>
  <c r="AC45" i="157"/>
  <c r="AC57" i="157"/>
  <c r="AC52" i="157"/>
  <c r="AC64" i="157"/>
  <c r="AC18" i="157"/>
  <c r="AC47" i="157"/>
  <c r="AC59" i="157"/>
  <c r="AC38" i="157"/>
  <c r="AC54" i="157"/>
  <c r="AC23" i="157"/>
  <c r="AC44" i="157"/>
  <c r="AC56" i="157"/>
  <c r="AC30" i="157"/>
  <c r="AC51" i="157"/>
  <c r="AC63" i="157"/>
  <c r="AC61" i="157"/>
  <c r="AC75" i="157"/>
  <c r="AC87" i="157"/>
  <c r="AC99" i="157"/>
  <c r="AC111" i="157"/>
  <c r="AC58" i="157"/>
  <c r="AC70" i="157"/>
  <c r="AC82" i="157"/>
  <c r="AC94" i="157"/>
  <c r="AC106" i="157"/>
  <c r="AC119" i="157"/>
  <c r="AC77" i="157"/>
  <c r="AC89" i="157"/>
  <c r="AC101" i="157"/>
  <c r="AC113" i="157"/>
  <c r="AC49" i="157"/>
  <c r="AC72" i="157"/>
  <c r="AC84" i="157"/>
  <c r="AC96" i="157"/>
  <c r="AC108" i="157"/>
  <c r="AC121" i="157"/>
  <c r="AC46" i="157"/>
  <c r="AC67" i="157"/>
  <c r="AC79" i="157"/>
  <c r="AC91" i="157"/>
  <c r="AC103" i="157"/>
  <c r="AC115" i="157"/>
  <c r="AC74" i="157"/>
  <c r="AC86" i="157"/>
  <c r="AC98" i="157"/>
  <c r="AC110" i="157"/>
  <c r="AC123" i="157"/>
  <c r="AC69" i="157"/>
  <c r="AC81" i="157"/>
  <c r="AC93" i="157"/>
  <c r="AC105" i="157"/>
  <c r="AC117" i="157"/>
  <c r="AC71" i="157"/>
  <c r="AC83" i="157"/>
  <c r="AC95" i="157"/>
  <c r="AC107" i="157"/>
  <c r="AC120" i="157"/>
  <c r="AC65" i="157"/>
  <c r="AC78" i="157"/>
  <c r="AC90" i="157"/>
  <c r="AC102" i="157"/>
  <c r="AC114" i="157"/>
  <c r="AC76" i="157"/>
  <c r="AC130" i="157"/>
  <c r="AC53" i="157"/>
  <c r="AC92" i="157"/>
  <c r="AC129" i="157"/>
  <c r="AC73" i="157"/>
  <c r="AC122" i="157"/>
  <c r="AC125" i="157"/>
  <c r="AC137" i="157"/>
  <c r="AC131" i="157"/>
  <c r="AC104" i="157"/>
  <c r="AC132" i="157"/>
  <c r="AC3" i="157"/>
  <c r="AC112" i="157"/>
  <c r="AC127" i="157"/>
  <c r="AC109" i="157"/>
  <c r="AC134" i="157"/>
  <c r="AC135" i="157"/>
  <c r="AC100" i="157"/>
  <c r="AC124" i="157"/>
  <c r="AC136" i="157"/>
  <c r="AC97" i="157"/>
  <c r="AC68" i="157"/>
  <c r="AC80" i="157"/>
  <c r="AC126" i="157"/>
  <c r="AC138" i="157"/>
  <c r="AC85" i="157"/>
  <c r="AC128" i="157"/>
  <c r="AC28" i="157"/>
  <c r="AC116" i="157"/>
  <c r="AC88" i="157"/>
  <c r="AC133" i="157"/>
  <c r="AC140" i="157"/>
  <c r="AC142" i="157"/>
  <c r="AC139" i="157"/>
  <c r="AC141" i="157"/>
  <c r="AC205" i="157"/>
  <c r="AC193" i="157"/>
  <c r="AC181" i="157"/>
  <c r="AC198" i="157"/>
  <c r="AC203" i="157"/>
  <c r="AC196" i="157"/>
  <c r="AC201" i="157"/>
  <c r="AC206" i="157"/>
  <c r="AC194" i="157"/>
  <c r="AC199" i="157"/>
  <c r="AC187" i="157"/>
  <c r="AC175" i="157"/>
  <c r="AC204" i="157"/>
  <c r="AC192" i="157"/>
  <c r="AC180" i="157"/>
  <c r="AC197" i="157"/>
  <c r="AC202" i="157"/>
  <c r="AC200" i="157"/>
  <c r="AC188" i="157"/>
  <c r="AC176" i="157"/>
  <c r="AC185" i="157"/>
  <c r="AC195" i="157"/>
  <c r="AC189" i="157"/>
  <c r="AC186" i="157"/>
  <c r="AC182" i="157"/>
  <c r="AC168" i="157"/>
  <c r="AC191" i="157"/>
  <c r="AC179" i="157"/>
  <c r="AC173" i="157"/>
  <c r="AC161" i="157"/>
  <c r="AC183" i="157"/>
  <c r="AC178" i="157"/>
  <c r="AC190" i="157"/>
  <c r="AC164" i="157"/>
  <c r="AC163" i="157"/>
  <c r="AC149" i="157"/>
  <c r="AC162" i="157"/>
  <c r="AC184" i="157"/>
  <c r="AC172" i="157"/>
  <c r="AC145" i="157"/>
  <c r="AC177" i="157"/>
  <c r="AC170" i="157"/>
  <c r="AC160" i="157"/>
  <c r="AC166" i="157"/>
  <c r="AC155" i="157"/>
  <c r="AC174" i="157"/>
  <c r="AC165" i="157"/>
  <c r="AC153" i="157"/>
  <c r="AC171" i="157"/>
  <c r="AC169" i="157"/>
  <c r="AC167" i="157"/>
  <c r="AC157" i="157"/>
  <c r="AC151" i="157"/>
  <c r="AC159" i="157"/>
  <c r="AC158" i="157"/>
  <c r="AC147" i="157"/>
  <c r="AC144" i="157"/>
  <c r="AC143" i="157"/>
  <c r="AC154" i="157"/>
  <c r="AC152" i="157"/>
  <c r="AC150" i="157"/>
  <c r="AC148" i="157"/>
  <c r="AC146" i="157"/>
  <c r="AC156" i="157"/>
  <c r="AD1" i="157"/>
  <c r="T30" i="154"/>
  <c r="T28" i="154"/>
  <c r="T29" i="154"/>
  <c r="T31" i="154"/>
  <c r="T41" i="154"/>
  <c r="T42" i="154"/>
  <c r="T43" i="154"/>
  <c r="AD118" i="157" l="1"/>
  <c r="AD66" i="157"/>
  <c r="AD8" i="157"/>
  <c r="AD15" i="157"/>
  <c r="AD10" i="157"/>
  <c r="AD5" i="157"/>
  <c r="AD17" i="157"/>
  <c r="AD12" i="157"/>
  <c r="AD7" i="157"/>
  <c r="AD14" i="157"/>
  <c r="AD9" i="157"/>
  <c r="AD4" i="157"/>
  <c r="AD16" i="157"/>
  <c r="AD11" i="157"/>
  <c r="AD18" i="157"/>
  <c r="AD30" i="157"/>
  <c r="AD42" i="157"/>
  <c r="AD25" i="157"/>
  <c r="AD37" i="157"/>
  <c r="AD20" i="157"/>
  <c r="AD32" i="157"/>
  <c r="AD27" i="157"/>
  <c r="AD39" i="157"/>
  <c r="AD22" i="157"/>
  <c r="AD34" i="157"/>
  <c r="AD13" i="157"/>
  <c r="AD29" i="157"/>
  <c r="AD41" i="157"/>
  <c r="AD24" i="157"/>
  <c r="AD36" i="157"/>
  <c r="AD26" i="157"/>
  <c r="AD38" i="157"/>
  <c r="AD28" i="157"/>
  <c r="AD53" i="157"/>
  <c r="AD35" i="157"/>
  <c r="AD48" i="157"/>
  <c r="AD60" i="157"/>
  <c r="AD19" i="157"/>
  <c r="AD43" i="157"/>
  <c r="AD55" i="157"/>
  <c r="AD33" i="157"/>
  <c r="AD50" i="157"/>
  <c r="AD62" i="157"/>
  <c r="AD6" i="157"/>
  <c r="AD40" i="157"/>
  <c r="AD45" i="157"/>
  <c r="AD57" i="157"/>
  <c r="AD52" i="157"/>
  <c r="AD64" i="157"/>
  <c r="AD31" i="157"/>
  <c r="AD47" i="157"/>
  <c r="AD59" i="157"/>
  <c r="AD49" i="157"/>
  <c r="AD61" i="157"/>
  <c r="AD23" i="157"/>
  <c r="AD44" i="157"/>
  <c r="AD56" i="157"/>
  <c r="AD68" i="157"/>
  <c r="AD80" i="157"/>
  <c r="AD92" i="157"/>
  <c r="AD104" i="157"/>
  <c r="AD116" i="157"/>
  <c r="AD75" i="157"/>
  <c r="AD87" i="157"/>
  <c r="AD99" i="157"/>
  <c r="AD111" i="157"/>
  <c r="AD58" i="157"/>
  <c r="AD70" i="157"/>
  <c r="AD82" i="157"/>
  <c r="AD94" i="157"/>
  <c r="AD106" i="157"/>
  <c r="AD119" i="157"/>
  <c r="AD77" i="157"/>
  <c r="AD89" i="157"/>
  <c r="AD101" i="157"/>
  <c r="AD113" i="157"/>
  <c r="AD63" i="157"/>
  <c r="AD72" i="157"/>
  <c r="AD84" i="157"/>
  <c r="AD96" i="157"/>
  <c r="AD108" i="157"/>
  <c r="AD121" i="157"/>
  <c r="AD21" i="157"/>
  <c r="AD46" i="157"/>
  <c r="AD67" i="157"/>
  <c r="AD79" i="157"/>
  <c r="AD91" i="157"/>
  <c r="AD103" i="157"/>
  <c r="AD115" i="157"/>
  <c r="AD54" i="157"/>
  <c r="AD74" i="157"/>
  <c r="AD86" i="157"/>
  <c r="AD98" i="157"/>
  <c r="AD110" i="157"/>
  <c r="AD123" i="157"/>
  <c r="AD76" i="157"/>
  <c r="AD88" i="157"/>
  <c r="AD100" i="157"/>
  <c r="AD112" i="157"/>
  <c r="AD71" i="157"/>
  <c r="AD83" i="157"/>
  <c r="AD95" i="157"/>
  <c r="AD107" i="157"/>
  <c r="AD120" i="157"/>
  <c r="AD51" i="157"/>
  <c r="AD93" i="157"/>
  <c r="AD135" i="157"/>
  <c r="AD90" i="157"/>
  <c r="AD130" i="157"/>
  <c r="AD73" i="157"/>
  <c r="AD122" i="157"/>
  <c r="AD125" i="157"/>
  <c r="AD137" i="157"/>
  <c r="AD81" i="157"/>
  <c r="AD132" i="157"/>
  <c r="AD3" i="157"/>
  <c r="AD128" i="157"/>
  <c r="AD78" i="157"/>
  <c r="AD127" i="157"/>
  <c r="AD109" i="157"/>
  <c r="AD134" i="157"/>
  <c r="AD69" i="157"/>
  <c r="AD117" i="157"/>
  <c r="AD129" i="157"/>
  <c r="AD65" i="157"/>
  <c r="AD114" i="157"/>
  <c r="AD124" i="157"/>
  <c r="AD136" i="157"/>
  <c r="AD97" i="157"/>
  <c r="AD131" i="157"/>
  <c r="AD133" i="157"/>
  <c r="AD105" i="157"/>
  <c r="AD126" i="157"/>
  <c r="AD138" i="157"/>
  <c r="AD102" i="157"/>
  <c r="AD85" i="157"/>
  <c r="AD140" i="157"/>
  <c r="AD142" i="157"/>
  <c r="AD139" i="157"/>
  <c r="AD141" i="157"/>
  <c r="AD198" i="157"/>
  <c r="AD186" i="157"/>
  <c r="AD203" i="157"/>
  <c r="AD196" i="157"/>
  <c r="AD201" i="157"/>
  <c r="AD206" i="157"/>
  <c r="AD194" i="157"/>
  <c r="AD199" i="157"/>
  <c r="AD204" i="157"/>
  <c r="AD192" i="157"/>
  <c r="AD180" i="157"/>
  <c r="AD197" i="157"/>
  <c r="AD185" i="157"/>
  <c r="AD202" i="157"/>
  <c r="AD200" i="157"/>
  <c r="AD205" i="157"/>
  <c r="AD193" i="157"/>
  <c r="AD181" i="157"/>
  <c r="AD188" i="157"/>
  <c r="AD176" i="157"/>
  <c r="AD167" i="157"/>
  <c r="AD195" i="157"/>
  <c r="AD175" i="157"/>
  <c r="AD189" i="157"/>
  <c r="AD182" i="157"/>
  <c r="AD191" i="157"/>
  <c r="AD179" i="157"/>
  <c r="AD173" i="157"/>
  <c r="AD183" i="157"/>
  <c r="AD166" i="157"/>
  <c r="AD178" i="157"/>
  <c r="AD171" i="157"/>
  <c r="AD190" i="157"/>
  <c r="AD187" i="157"/>
  <c r="AD184" i="157"/>
  <c r="AD177" i="157"/>
  <c r="AD169" i="157"/>
  <c r="AD157" i="157"/>
  <c r="AD162" i="157"/>
  <c r="AD154" i="157"/>
  <c r="AD172" i="157"/>
  <c r="AD161" i="157"/>
  <c r="AD170" i="157"/>
  <c r="AD160" i="157"/>
  <c r="AD150" i="157"/>
  <c r="AD168" i="157"/>
  <c r="AD159" i="157"/>
  <c r="AD148" i="157"/>
  <c r="AD174" i="157"/>
  <c r="AD165" i="157"/>
  <c r="AD158" i="157"/>
  <c r="AD146" i="157"/>
  <c r="AD164" i="157"/>
  <c r="AD144" i="157"/>
  <c r="AD155" i="157"/>
  <c r="AD153" i="157"/>
  <c r="AD151" i="157"/>
  <c r="AD149" i="157"/>
  <c r="AD147" i="157"/>
  <c r="AD143" i="157"/>
  <c r="AD152" i="157"/>
  <c r="AD145" i="157"/>
  <c r="AD163" i="157"/>
  <c r="AD156" i="157"/>
  <c r="AE1" i="157"/>
  <c r="T37" i="154"/>
  <c r="T38" i="154"/>
  <c r="T39" i="154"/>
  <c r="T40" i="154"/>
  <c r="T27" i="154"/>
  <c r="AE118" i="157" l="1"/>
  <c r="AE66" i="157"/>
  <c r="AE13" i="157"/>
  <c r="AE8" i="157"/>
  <c r="AE15" i="157"/>
  <c r="AE10" i="157"/>
  <c r="AE5" i="157"/>
  <c r="AE17" i="157"/>
  <c r="AE12" i="157"/>
  <c r="AE7" i="157"/>
  <c r="AE14" i="157"/>
  <c r="AE9" i="157"/>
  <c r="AE23" i="157"/>
  <c r="AE35" i="157"/>
  <c r="AE11" i="157"/>
  <c r="AE18" i="157"/>
  <c r="AE30" i="157"/>
  <c r="AE42" i="157"/>
  <c r="AE25" i="157"/>
  <c r="AE37" i="157"/>
  <c r="AE16" i="157"/>
  <c r="AE20" i="157"/>
  <c r="AE32" i="157"/>
  <c r="AE27" i="157"/>
  <c r="AE39" i="157"/>
  <c r="AE22" i="157"/>
  <c r="AE34" i="157"/>
  <c r="AE4" i="157"/>
  <c r="AE29" i="157"/>
  <c r="AE41" i="157"/>
  <c r="AE19" i="157"/>
  <c r="AE31" i="157"/>
  <c r="AE21" i="157"/>
  <c r="AE46" i="157"/>
  <c r="AE58" i="157"/>
  <c r="AE28" i="157"/>
  <c r="AE53" i="157"/>
  <c r="AE48" i="157"/>
  <c r="AE60" i="157"/>
  <c r="AE26" i="157"/>
  <c r="AE43" i="157"/>
  <c r="AE55" i="157"/>
  <c r="AE33" i="157"/>
  <c r="AE50" i="157"/>
  <c r="AE62" i="157"/>
  <c r="AE6" i="157"/>
  <c r="AE40" i="157"/>
  <c r="AE45" i="157"/>
  <c r="AE57" i="157"/>
  <c r="AE24" i="157"/>
  <c r="AE52" i="157"/>
  <c r="AE64" i="157"/>
  <c r="AE54" i="157"/>
  <c r="AE49" i="157"/>
  <c r="AE61" i="157"/>
  <c r="AE38" i="157"/>
  <c r="AE47" i="157"/>
  <c r="AE73" i="157"/>
  <c r="AE85" i="157"/>
  <c r="AE97" i="157"/>
  <c r="AE109" i="157"/>
  <c r="AE122" i="157"/>
  <c r="AE44" i="157"/>
  <c r="AE68" i="157"/>
  <c r="AE80" i="157"/>
  <c r="AE92" i="157"/>
  <c r="AE104" i="157"/>
  <c r="AE116" i="157"/>
  <c r="AE75" i="157"/>
  <c r="AE87" i="157"/>
  <c r="AE99" i="157"/>
  <c r="AE111" i="157"/>
  <c r="AE70" i="157"/>
  <c r="AE82" i="157"/>
  <c r="AE94" i="157"/>
  <c r="AE106" i="157"/>
  <c r="AE119" i="157"/>
  <c r="AE77" i="157"/>
  <c r="AE89" i="157"/>
  <c r="AE101" i="157"/>
  <c r="AE113" i="157"/>
  <c r="AE63" i="157"/>
  <c r="AE72" i="157"/>
  <c r="AE84" i="157"/>
  <c r="AE96" i="157"/>
  <c r="AE108" i="157"/>
  <c r="AE121" i="157"/>
  <c r="AE67" i="157"/>
  <c r="AE79" i="157"/>
  <c r="AE91" i="157"/>
  <c r="AE103" i="157"/>
  <c r="AE115" i="157"/>
  <c r="AE51" i="157"/>
  <c r="AE69" i="157"/>
  <c r="AE81" i="157"/>
  <c r="AE93" i="157"/>
  <c r="AE105" i="157"/>
  <c r="AE117" i="157"/>
  <c r="AE59" i="157"/>
  <c r="AE76" i="157"/>
  <c r="AE88" i="157"/>
  <c r="AE100" i="157"/>
  <c r="AE112" i="157"/>
  <c r="AE110" i="157"/>
  <c r="AE128" i="157"/>
  <c r="AE127" i="157"/>
  <c r="AE107" i="157"/>
  <c r="AE135" i="157"/>
  <c r="AE90" i="157"/>
  <c r="AE130" i="157"/>
  <c r="AE78" i="157"/>
  <c r="AE36" i="157"/>
  <c r="AE98" i="157"/>
  <c r="AE125" i="157"/>
  <c r="AE137" i="157"/>
  <c r="AE129" i="157"/>
  <c r="AE102" i="157"/>
  <c r="AE133" i="157"/>
  <c r="AE95" i="157"/>
  <c r="AE132" i="157"/>
  <c r="AE3" i="157"/>
  <c r="AE86" i="157"/>
  <c r="AE134" i="157"/>
  <c r="AE83" i="157"/>
  <c r="AE65" i="157"/>
  <c r="AE114" i="157"/>
  <c r="AE124" i="157"/>
  <c r="AE136" i="157"/>
  <c r="AE120" i="157"/>
  <c r="AE126" i="157"/>
  <c r="AE74" i="157"/>
  <c r="AE123" i="157"/>
  <c r="AE131" i="157"/>
  <c r="AE56" i="157"/>
  <c r="AE71" i="157"/>
  <c r="AE138" i="157"/>
  <c r="AE141" i="157"/>
  <c r="AE142" i="157"/>
  <c r="AE140" i="157"/>
  <c r="AE139" i="157"/>
  <c r="AE203" i="157"/>
  <c r="AE191" i="157"/>
  <c r="AE179" i="157"/>
  <c r="AE196" i="157"/>
  <c r="AE201" i="157"/>
  <c r="AE206" i="157"/>
  <c r="AE194" i="157"/>
  <c r="AE199" i="157"/>
  <c r="AE204" i="157"/>
  <c r="AE192" i="157"/>
  <c r="AE197" i="157"/>
  <c r="AE185" i="157"/>
  <c r="AE202" i="157"/>
  <c r="AE190" i="157"/>
  <c r="AE200" i="157"/>
  <c r="AE205" i="157"/>
  <c r="AE198" i="157"/>
  <c r="AE186" i="157"/>
  <c r="AE174" i="157"/>
  <c r="AE181" i="157"/>
  <c r="AE172" i="157"/>
  <c r="AE195" i="157"/>
  <c r="AE175" i="157"/>
  <c r="AE189" i="157"/>
  <c r="AE182" i="157"/>
  <c r="AE183" i="157"/>
  <c r="AE178" i="157"/>
  <c r="AE171" i="157"/>
  <c r="AE159" i="157"/>
  <c r="AE187" i="157"/>
  <c r="AE184" i="157"/>
  <c r="AE180" i="157"/>
  <c r="AE177" i="157"/>
  <c r="AE162" i="157"/>
  <c r="AE156" i="157"/>
  <c r="AE147" i="157"/>
  <c r="AE193" i="157"/>
  <c r="AE161" i="157"/>
  <c r="AE170" i="157"/>
  <c r="AE160" i="157"/>
  <c r="AE168" i="157"/>
  <c r="AE155" i="157"/>
  <c r="AE143" i="157"/>
  <c r="AE166" i="157"/>
  <c r="AE165" i="157"/>
  <c r="AE153" i="157"/>
  <c r="AE176" i="157"/>
  <c r="AE164" i="157"/>
  <c r="AE151" i="157"/>
  <c r="AE188" i="157"/>
  <c r="AE169" i="157"/>
  <c r="AE167" i="157"/>
  <c r="AE173" i="157"/>
  <c r="AE163" i="157"/>
  <c r="AE149" i="157"/>
  <c r="AE158" i="157"/>
  <c r="AE157" i="157"/>
  <c r="AE144" i="157"/>
  <c r="AE154" i="157"/>
  <c r="AE152" i="157"/>
  <c r="AE145" i="157"/>
  <c r="AE150" i="157"/>
  <c r="AE148" i="157"/>
  <c r="AE146" i="157"/>
  <c r="AF1" i="157"/>
  <c r="T22" i="154"/>
  <c r="AF118" i="157" l="1"/>
  <c r="AF66" i="157"/>
  <c r="AF6" i="157"/>
  <c r="AF13" i="157"/>
  <c r="AF8" i="157"/>
  <c r="AF15" i="157"/>
  <c r="AF10" i="157"/>
  <c r="AF5" i="157"/>
  <c r="AF17" i="157"/>
  <c r="AF12" i="157"/>
  <c r="AF7" i="157"/>
  <c r="AF14" i="157"/>
  <c r="AF28" i="157"/>
  <c r="AF40" i="157"/>
  <c r="AF23" i="157"/>
  <c r="AF35" i="157"/>
  <c r="AF11" i="157"/>
  <c r="AF18" i="157"/>
  <c r="AF30" i="157"/>
  <c r="AF42" i="157"/>
  <c r="AF25" i="157"/>
  <c r="AF37" i="157"/>
  <c r="AF16" i="157"/>
  <c r="AF20" i="157"/>
  <c r="AF32" i="157"/>
  <c r="AF27" i="157"/>
  <c r="AF39" i="157"/>
  <c r="AF22" i="157"/>
  <c r="AF34" i="157"/>
  <c r="AF24" i="157"/>
  <c r="AF36" i="157"/>
  <c r="AF51" i="157"/>
  <c r="AF63" i="157"/>
  <c r="AF21" i="157"/>
  <c r="AF46" i="157"/>
  <c r="AF58" i="157"/>
  <c r="AF41" i="157"/>
  <c r="AF53" i="157"/>
  <c r="AF19" i="157"/>
  <c r="AF48" i="157"/>
  <c r="AF60" i="157"/>
  <c r="AF26" i="157"/>
  <c r="AF43" i="157"/>
  <c r="AF55" i="157"/>
  <c r="AF33" i="157"/>
  <c r="AF50" i="157"/>
  <c r="AF62" i="157"/>
  <c r="AF45" i="157"/>
  <c r="AF57" i="157"/>
  <c r="AF38" i="157"/>
  <c r="AF47" i="157"/>
  <c r="AF59" i="157"/>
  <c r="AF54" i="157"/>
  <c r="AF64" i="157"/>
  <c r="AF65" i="157"/>
  <c r="AF78" i="157"/>
  <c r="AF90" i="157"/>
  <c r="AF102" i="157"/>
  <c r="AF114" i="157"/>
  <c r="AF29" i="157"/>
  <c r="AF61" i="157"/>
  <c r="AF73" i="157"/>
  <c r="AF85" i="157"/>
  <c r="AF97" i="157"/>
  <c r="AF109" i="157"/>
  <c r="AF122" i="157"/>
  <c r="AF9" i="157"/>
  <c r="AF44" i="157"/>
  <c r="AF68" i="157"/>
  <c r="AF80" i="157"/>
  <c r="AF92" i="157"/>
  <c r="AF104" i="157"/>
  <c r="AF116" i="157"/>
  <c r="AF52" i="157"/>
  <c r="AF75" i="157"/>
  <c r="AF87" i="157"/>
  <c r="AF99" i="157"/>
  <c r="AF111" i="157"/>
  <c r="AF49" i="157"/>
  <c r="AF70" i="157"/>
  <c r="AF82" i="157"/>
  <c r="AF94" i="157"/>
  <c r="AF106" i="157"/>
  <c r="AF119" i="157"/>
  <c r="AF77" i="157"/>
  <c r="AF89" i="157"/>
  <c r="AF101" i="157"/>
  <c r="AF113" i="157"/>
  <c r="AF31" i="157"/>
  <c r="AF72" i="157"/>
  <c r="AF84" i="157"/>
  <c r="AF96" i="157"/>
  <c r="AF108" i="157"/>
  <c r="AF121" i="157"/>
  <c r="AF74" i="157"/>
  <c r="AF86" i="157"/>
  <c r="AF98" i="157"/>
  <c r="AF110" i="157"/>
  <c r="AF123" i="157"/>
  <c r="AF69" i="157"/>
  <c r="AF81" i="157"/>
  <c r="AF93" i="157"/>
  <c r="AF105" i="157"/>
  <c r="AF117" i="157"/>
  <c r="AF79" i="157"/>
  <c r="AF133" i="157"/>
  <c r="AF4" i="157"/>
  <c r="AF76" i="157"/>
  <c r="AF128" i="157"/>
  <c r="AF107" i="157"/>
  <c r="AF135" i="157"/>
  <c r="AF3" i="157"/>
  <c r="AF71" i="157"/>
  <c r="AF120" i="157"/>
  <c r="AF67" i="157"/>
  <c r="AF115" i="157"/>
  <c r="AF130" i="157"/>
  <c r="AF95" i="157"/>
  <c r="AF132" i="157"/>
  <c r="AF56" i="157"/>
  <c r="AF112" i="157"/>
  <c r="AF125" i="157"/>
  <c r="AF137" i="157"/>
  <c r="AF134" i="157"/>
  <c r="AF103" i="157"/>
  <c r="AF127" i="157"/>
  <c r="AF100" i="157"/>
  <c r="AF83" i="157"/>
  <c r="AF129" i="157"/>
  <c r="AF131" i="157"/>
  <c r="AF91" i="157"/>
  <c r="AF124" i="157"/>
  <c r="AF136" i="157"/>
  <c r="AF88" i="157"/>
  <c r="AF126" i="157"/>
  <c r="AF138" i="157"/>
  <c r="AF141" i="157"/>
  <c r="AF139" i="157"/>
  <c r="AF140" i="157"/>
  <c r="AF142" i="157"/>
  <c r="AF196" i="157"/>
  <c r="AF184" i="157"/>
  <c r="AF201" i="157"/>
  <c r="AF206" i="157"/>
  <c r="AF194" i="157"/>
  <c r="AF199" i="157"/>
  <c r="AF204" i="157"/>
  <c r="AF192" i="157"/>
  <c r="AF197" i="157"/>
  <c r="AF202" i="157"/>
  <c r="AF190" i="157"/>
  <c r="AF178" i="157"/>
  <c r="AF195" i="157"/>
  <c r="AF183" i="157"/>
  <c r="AF200" i="157"/>
  <c r="AF205" i="157"/>
  <c r="AF198" i="157"/>
  <c r="AF203" i="157"/>
  <c r="AF191" i="157"/>
  <c r="AF179" i="157"/>
  <c r="AF175" i="157"/>
  <c r="AF189" i="157"/>
  <c r="AF185" i="157"/>
  <c r="AF182" i="157"/>
  <c r="AF186" i="157"/>
  <c r="AF171" i="157"/>
  <c r="AF187" i="157"/>
  <c r="AF164" i="157"/>
  <c r="AF180" i="157"/>
  <c r="AF177" i="157"/>
  <c r="AF169" i="157"/>
  <c r="AF193" i="157"/>
  <c r="AF188" i="157"/>
  <c r="AF176" i="157"/>
  <c r="AF167" i="157"/>
  <c r="AF155" i="157"/>
  <c r="AF152" i="157"/>
  <c r="AF161" i="157"/>
  <c r="AF172" i="157"/>
  <c r="AF170" i="157"/>
  <c r="AF160" i="157"/>
  <c r="AF168" i="157"/>
  <c r="AF166" i="157"/>
  <c r="AF148" i="157"/>
  <c r="AF165" i="157"/>
  <c r="AF174" i="157"/>
  <c r="AF158" i="157"/>
  <c r="AF146" i="157"/>
  <c r="AF157" i="157"/>
  <c r="AF144" i="157"/>
  <c r="AF181" i="157"/>
  <c r="AF173" i="157"/>
  <c r="AF163" i="157"/>
  <c r="AF154" i="157"/>
  <c r="AF159" i="157"/>
  <c r="AF153" i="157"/>
  <c r="AF151" i="157"/>
  <c r="AF149" i="157"/>
  <c r="AF147" i="157"/>
  <c r="AF143" i="157"/>
  <c r="AF145" i="157"/>
  <c r="AF150" i="157"/>
  <c r="AF156" i="157"/>
  <c r="AF162" i="157"/>
  <c r="AG1" i="157"/>
  <c r="T36" i="154"/>
  <c r="AG118" i="157" l="1"/>
  <c r="AG66" i="157"/>
  <c r="AG11" i="157"/>
  <c r="AG6" i="157"/>
  <c r="AG13" i="157"/>
  <c r="AG8" i="157"/>
  <c r="AG15" i="157"/>
  <c r="AG10" i="157"/>
  <c r="AG5" i="157"/>
  <c r="AG17" i="157"/>
  <c r="AG12" i="157"/>
  <c r="AG7" i="157"/>
  <c r="AG14" i="157"/>
  <c r="AG21" i="157"/>
  <c r="AG33" i="157"/>
  <c r="AG28" i="157"/>
  <c r="AG40" i="157"/>
  <c r="AG23" i="157"/>
  <c r="AG35" i="157"/>
  <c r="AG18" i="157"/>
  <c r="AG30" i="157"/>
  <c r="AG42" i="157"/>
  <c r="AG25" i="157"/>
  <c r="AG37" i="157"/>
  <c r="AG16" i="157"/>
  <c r="AG20" i="157"/>
  <c r="AG32" i="157"/>
  <c r="AG27" i="157"/>
  <c r="AG39" i="157"/>
  <c r="AG4" i="157"/>
  <c r="AG29" i="157"/>
  <c r="AG41" i="157"/>
  <c r="AG9" i="157"/>
  <c r="AG44" i="157"/>
  <c r="AG56" i="157"/>
  <c r="AG51" i="157"/>
  <c r="AG63" i="157"/>
  <c r="AG34" i="157"/>
  <c r="AG46" i="157"/>
  <c r="AG58" i="157"/>
  <c r="AG53" i="157"/>
  <c r="AG19" i="157"/>
  <c r="AG48" i="157"/>
  <c r="AG60" i="157"/>
  <c r="AG26" i="157"/>
  <c r="AG43" i="157"/>
  <c r="AG55" i="157"/>
  <c r="AG50" i="157"/>
  <c r="AG62" i="157"/>
  <c r="AG31" i="157"/>
  <c r="AG52" i="157"/>
  <c r="AG64" i="157"/>
  <c r="AG38" i="157"/>
  <c r="AG47" i="157"/>
  <c r="AG59" i="157"/>
  <c r="AG24" i="157"/>
  <c r="AG71" i="157"/>
  <c r="AG83" i="157"/>
  <c r="AG95" i="157"/>
  <c r="AG107" i="157"/>
  <c r="AG120" i="157"/>
  <c r="AG65" i="157"/>
  <c r="AG78" i="157"/>
  <c r="AG90" i="157"/>
  <c r="AG102" i="157"/>
  <c r="AG114" i="157"/>
  <c r="AG61" i="157"/>
  <c r="AG73" i="157"/>
  <c r="AG85" i="157"/>
  <c r="AG97" i="157"/>
  <c r="AG109" i="157"/>
  <c r="AG122" i="157"/>
  <c r="AG68" i="157"/>
  <c r="AG80" i="157"/>
  <c r="AG92" i="157"/>
  <c r="AG104" i="157"/>
  <c r="AG116" i="157"/>
  <c r="AG75" i="157"/>
  <c r="AG87" i="157"/>
  <c r="AG99" i="157"/>
  <c r="AG111" i="157"/>
  <c r="AG49" i="157"/>
  <c r="AG70" i="157"/>
  <c r="AG82" i="157"/>
  <c r="AG94" i="157"/>
  <c r="AG106" i="157"/>
  <c r="AG119" i="157"/>
  <c r="AG57" i="157"/>
  <c r="AG77" i="157"/>
  <c r="AG89" i="157"/>
  <c r="AG101" i="157"/>
  <c r="AG113" i="157"/>
  <c r="AG36" i="157"/>
  <c r="AG67" i="157"/>
  <c r="AG79" i="157"/>
  <c r="AG91" i="157"/>
  <c r="AG103" i="157"/>
  <c r="AG115" i="157"/>
  <c r="AG45" i="157"/>
  <c r="AG74" i="157"/>
  <c r="AG86" i="157"/>
  <c r="AG98" i="157"/>
  <c r="AG110" i="157"/>
  <c r="AG123" i="157"/>
  <c r="AG96" i="157"/>
  <c r="AG126" i="157"/>
  <c r="AG138" i="157"/>
  <c r="AG112" i="157"/>
  <c r="AG125" i="157"/>
  <c r="AG131" i="157"/>
  <c r="AG93" i="157"/>
  <c r="AG133" i="157"/>
  <c r="AG137" i="157"/>
  <c r="AG76" i="157"/>
  <c r="AG128" i="157"/>
  <c r="AG84" i="157"/>
  <c r="AG135" i="157"/>
  <c r="AG81" i="157"/>
  <c r="AG130" i="157"/>
  <c r="AG22" i="157"/>
  <c r="AG54" i="157"/>
  <c r="AG72" i="157"/>
  <c r="AG121" i="157"/>
  <c r="AG132" i="157"/>
  <c r="AG3" i="157"/>
  <c r="AG69" i="157"/>
  <c r="AG117" i="157"/>
  <c r="AG127" i="157"/>
  <c r="AG100" i="157"/>
  <c r="AG134" i="157"/>
  <c r="AG105" i="157"/>
  <c r="AG124" i="157"/>
  <c r="AG88" i="157"/>
  <c r="AG108" i="157"/>
  <c r="AG129" i="157"/>
  <c r="AG136" i="157"/>
  <c r="AG139" i="157"/>
  <c r="AG141" i="157"/>
  <c r="AG140" i="157"/>
  <c r="AG142" i="157"/>
  <c r="AG201" i="157"/>
  <c r="AG189" i="157"/>
  <c r="AG206" i="157"/>
  <c r="AG194" i="157"/>
  <c r="AG199" i="157"/>
  <c r="AG204" i="157"/>
  <c r="AG197" i="157"/>
  <c r="AG202" i="157"/>
  <c r="AG190" i="157"/>
  <c r="AG195" i="157"/>
  <c r="AG183" i="157"/>
  <c r="AG200" i="157"/>
  <c r="AG188" i="157"/>
  <c r="AG205" i="157"/>
  <c r="AG198" i="157"/>
  <c r="AG203" i="157"/>
  <c r="AG196" i="157"/>
  <c r="AG184" i="157"/>
  <c r="AG185" i="157"/>
  <c r="AG170" i="157"/>
  <c r="AG182" i="157"/>
  <c r="AG174" i="157"/>
  <c r="AG192" i="157"/>
  <c r="AG186" i="157"/>
  <c r="AG191" i="157"/>
  <c r="AG179" i="157"/>
  <c r="AG187" i="157"/>
  <c r="AG178" i="157"/>
  <c r="AG180" i="157"/>
  <c r="AG177" i="157"/>
  <c r="AG169" i="157"/>
  <c r="AG157" i="157"/>
  <c r="AG193" i="157"/>
  <c r="AG176" i="157"/>
  <c r="AG181" i="157"/>
  <c r="AG172" i="157"/>
  <c r="AG160" i="157"/>
  <c r="AG161" i="157"/>
  <c r="AG168" i="157"/>
  <c r="AG166" i="157"/>
  <c r="AG165" i="157"/>
  <c r="AG159" i="157"/>
  <c r="AG153" i="157"/>
  <c r="AG151" i="157"/>
  <c r="AG164" i="157"/>
  <c r="AG173" i="157"/>
  <c r="AG167" i="157"/>
  <c r="AG163" i="157"/>
  <c r="AG149" i="157"/>
  <c r="AG175" i="157"/>
  <c r="AG171" i="157"/>
  <c r="AG162" i="157"/>
  <c r="AG156" i="157"/>
  <c r="AG147" i="157"/>
  <c r="AG158" i="157"/>
  <c r="AG155" i="157"/>
  <c r="AG143" i="157"/>
  <c r="AG145" i="157"/>
  <c r="AG144" i="157"/>
  <c r="AG154" i="157"/>
  <c r="AG152" i="157"/>
  <c r="AG150" i="157"/>
  <c r="AG148" i="157"/>
  <c r="AG146" i="157"/>
  <c r="AH1" i="157"/>
  <c r="T23" i="154"/>
  <c r="AH118" i="157" l="1"/>
  <c r="AI118" i="157" s="1"/>
  <c r="AH66" i="157"/>
  <c r="AI66" i="157" s="1"/>
  <c r="AH4" i="157"/>
  <c r="AH16" i="157"/>
  <c r="AI16" i="157" s="1"/>
  <c r="AH11" i="157"/>
  <c r="AI11" i="157" s="1"/>
  <c r="AH6" i="157"/>
  <c r="AI6" i="157" s="1"/>
  <c r="AH13" i="157"/>
  <c r="AI13" i="157" s="1"/>
  <c r="AH8" i="157"/>
  <c r="AH15" i="157"/>
  <c r="AI15" i="157" s="1"/>
  <c r="AH10" i="157"/>
  <c r="AI10" i="157" s="1"/>
  <c r="AH5" i="157"/>
  <c r="AI5" i="157" s="1"/>
  <c r="AH17" i="157"/>
  <c r="AI17" i="157" s="1"/>
  <c r="AH12" i="157"/>
  <c r="AI12" i="157" s="1"/>
  <c r="AH26" i="157"/>
  <c r="AI26" i="157" s="1"/>
  <c r="AH38" i="157"/>
  <c r="AH14" i="157"/>
  <c r="AI14" i="157" s="1"/>
  <c r="AH21" i="157"/>
  <c r="AH33" i="157"/>
  <c r="AI33" i="157" s="1"/>
  <c r="AH28" i="157"/>
  <c r="AI28" i="157" s="1"/>
  <c r="AH40" i="157"/>
  <c r="AI40" i="157" s="1"/>
  <c r="AH23" i="157"/>
  <c r="AI23" i="157" s="1"/>
  <c r="AH35" i="157"/>
  <c r="AI35" i="157" s="1"/>
  <c r="AH18" i="157"/>
  <c r="AI18" i="157" s="1"/>
  <c r="AH30" i="157"/>
  <c r="AI30" i="157" s="1"/>
  <c r="AH42" i="157"/>
  <c r="AI42" i="157" s="1"/>
  <c r="AH25" i="157"/>
  <c r="AI25" i="157" s="1"/>
  <c r="AH37" i="157"/>
  <c r="AH7" i="157"/>
  <c r="AI7" i="157" s="1"/>
  <c r="AH20" i="157"/>
  <c r="AH32" i="157"/>
  <c r="AI32" i="157" s="1"/>
  <c r="AH22" i="157"/>
  <c r="AI22" i="157" s="1"/>
  <c r="AH34" i="157"/>
  <c r="AI34" i="157" s="1"/>
  <c r="AH36" i="157"/>
  <c r="AI36" i="157" s="1"/>
  <c r="AH49" i="157"/>
  <c r="AI49" i="157" s="1"/>
  <c r="AH61" i="157"/>
  <c r="AI61" i="157" s="1"/>
  <c r="AH9" i="157"/>
  <c r="AI9" i="157" s="1"/>
  <c r="AH44" i="157"/>
  <c r="AI44" i="157" s="1"/>
  <c r="AH56" i="157"/>
  <c r="AI56" i="157" s="1"/>
  <c r="AH27" i="157"/>
  <c r="AI27" i="157" s="1"/>
  <c r="AH51" i="157"/>
  <c r="AI51" i="157" s="1"/>
  <c r="AH63" i="157"/>
  <c r="AH41" i="157"/>
  <c r="AI41" i="157" s="1"/>
  <c r="AH46" i="157"/>
  <c r="AI46" i="157" s="1"/>
  <c r="AH58" i="157"/>
  <c r="AI58" i="157" s="1"/>
  <c r="AH53" i="157"/>
  <c r="AI53" i="157" s="1"/>
  <c r="AH19" i="157"/>
  <c r="AI19" i="157" s="1"/>
  <c r="AH48" i="157"/>
  <c r="AH60" i="157"/>
  <c r="AI60" i="157" s="1"/>
  <c r="AH39" i="157"/>
  <c r="AI39" i="157" s="1"/>
  <c r="AH43" i="157"/>
  <c r="AI43" i="157" s="1"/>
  <c r="AH55" i="157"/>
  <c r="AI55" i="157" s="1"/>
  <c r="AH24" i="157"/>
  <c r="AI24" i="157" s="1"/>
  <c r="AH45" i="157"/>
  <c r="AH57" i="157"/>
  <c r="AI57" i="157" s="1"/>
  <c r="AH31" i="157"/>
  <c r="AI31" i="157" s="1"/>
  <c r="AH52" i="157"/>
  <c r="AI52" i="157" s="1"/>
  <c r="AH64" i="157"/>
  <c r="AI64" i="157" s="1"/>
  <c r="AH50" i="157"/>
  <c r="AI50" i="157" s="1"/>
  <c r="AH76" i="157"/>
  <c r="AI76" i="157" s="1"/>
  <c r="AH88" i="157"/>
  <c r="AI88" i="157" s="1"/>
  <c r="AH100" i="157"/>
  <c r="AI100" i="157" s="1"/>
  <c r="AH112" i="157"/>
  <c r="AI112" i="157" s="1"/>
  <c r="AH47" i="157"/>
  <c r="AI47" i="157" s="1"/>
  <c r="AH71" i="157"/>
  <c r="AI71" i="157" s="1"/>
  <c r="AH83" i="157"/>
  <c r="AH95" i="157"/>
  <c r="AI95" i="157" s="1"/>
  <c r="AH107" i="157"/>
  <c r="AI107" i="157" s="1"/>
  <c r="AH120" i="157"/>
  <c r="AI120" i="157" s="1"/>
  <c r="AH29" i="157"/>
  <c r="AI29" i="157" s="1"/>
  <c r="AH65" i="157"/>
  <c r="AI65" i="157" s="1"/>
  <c r="AH78" i="157"/>
  <c r="AI78" i="157" s="1"/>
  <c r="AH90" i="157"/>
  <c r="AI90" i="157" s="1"/>
  <c r="AH102" i="157"/>
  <c r="AI102" i="157" s="1"/>
  <c r="AH114" i="157"/>
  <c r="AI114" i="157" s="1"/>
  <c r="AH73" i="157"/>
  <c r="AI73" i="157" s="1"/>
  <c r="AH85" i="157"/>
  <c r="AI85" i="157" s="1"/>
  <c r="AH97" i="157"/>
  <c r="AH109" i="157"/>
  <c r="AI109" i="157" s="1"/>
  <c r="AH122" i="157"/>
  <c r="AI122" i="157" s="1"/>
  <c r="AH68" i="157"/>
  <c r="AI68" i="157" s="1"/>
  <c r="AH80" i="157"/>
  <c r="AI80" i="157" s="1"/>
  <c r="AH92" i="157"/>
  <c r="AI92" i="157" s="1"/>
  <c r="AH104" i="157"/>
  <c r="AI104" i="157" s="1"/>
  <c r="AH116" i="157"/>
  <c r="AI116" i="157" s="1"/>
  <c r="AH75" i="157"/>
  <c r="AI75" i="157" s="1"/>
  <c r="AH87" i="157"/>
  <c r="AI87" i="157" s="1"/>
  <c r="AH99" i="157"/>
  <c r="AI99" i="157" s="1"/>
  <c r="AH111" i="157"/>
  <c r="AI111" i="157" s="1"/>
  <c r="AH70" i="157"/>
  <c r="AI70" i="157" s="1"/>
  <c r="AH82" i="157"/>
  <c r="AI82" i="157" s="1"/>
  <c r="AH94" i="157"/>
  <c r="AI94" i="157" s="1"/>
  <c r="AH106" i="157"/>
  <c r="AI106" i="157" s="1"/>
  <c r="AH119" i="157"/>
  <c r="AI119" i="157" s="1"/>
  <c r="AH54" i="157"/>
  <c r="AI54" i="157" s="1"/>
  <c r="AH72" i="157"/>
  <c r="AI72" i="157" s="1"/>
  <c r="AH84" i="157"/>
  <c r="AI84" i="157" s="1"/>
  <c r="AH96" i="157"/>
  <c r="AI96" i="157" s="1"/>
  <c r="AH108" i="157"/>
  <c r="AI108" i="157" s="1"/>
  <c r="AH121" i="157"/>
  <c r="AI121" i="157" s="1"/>
  <c r="AH62" i="157"/>
  <c r="AI62" i="157" s="1"/>
  <c r="AH67" i="157"/>
  <c r="AI67" i="157" s="1"/>
  <c r="AH79" i="157"/>
  <c r="AI79" i="157" s="1"/>
  <c r="AH91" i="157"/>
  <c r="AI91" i="157" s="1"/>
  <c r="AH103" i="157"/>
  <c r="AI103" i="157" s="1"/>
  <c r="AH115" i="157"/>
  <c r="AI115" i="157" s="1"/>
  <c r="AH113" i="157"/>
  <c r="AI113" i="157" s="1"/>
  <c r="AH131" i="157"/>
  <c r="AI131" i="157" s="1"/>
  <c r="AH130" i="157"/>
  <c r="AI130" i="157" s="1"/>
  <c r="AH3" i="157"/>
  <c r="AI3" i="157" s="1"/>
  <c r="AH110" i="157"/>
  <c r="AI110" i="157" s="1"/>
  <c r="AH126" i="157"/>
  <c r="AI126" i="157" s="1"/>
  <c r="AH138" i="157"/>
  <c r="AI138" i="157" s="1"/>
  <c r="AH93" i="157"/>
  <c r="AI93" i="157" s="1"/>
  <c r="AH133" i="157"/>
  <c r="AI133" i="157" s="1"/>
  <c r="AH105" i="157"/>
  <c r="AI105" i="157" s="1"/>
  <c r="AH101" i="157"/>
  <c r="AI101" i="157" s="1"/>
  <c r="AH128" i="157"/>
  <c r="AI128" i="157" s="1"/>
  <c r="AH132" i="157"/>
  <c r="AI132" i="157" s="1"/>
  <c r="AH124" i="157"/>
  <c r="AI124" i="157" s="1"/>
  <c r="AH59" i="157"/>
  <c r="AI59" i="157" s="1"/>
  <c r="AH98" i="157"/>
  <c r="AI98" i="157" s="1"/>
  <c r="AH135" i="157"/>
  <c r="AI135" i="157" s="1"/>
  <c r="AH81" i="157"/>
  <c r="AI81" i="157" s="1"/>
  <c r="AH89" i="157"/>
  <c r="AI89" i="157" s="1"/>
  <c r="AH125" i="157"/>
  <c r="AI125" i="157" s="1"/>
  <c r="AH137" i="157"/>
  <c r="AI137" i="157" s="1"/>
  <c r="AH86" i="157"/>
  <c r="AI86" i="157" s="1"/>
  <c r="AH69" i="157"/>
  <c r="AI69" i="157" s="1"/>
  <c r="AH117" i="157"/>
  <c r="AI117" i="157" s="1"/>
  <c r="AH127" i="157"/>
  <c r="AI127" i="157" s="1"/>
  <c r="AH136" i="157"/>
  <c r="AI136" i="157" s="1"/>
  <c r="AH77" i="157"/>
  <c r="AI77" i="157" s="1"/>
  <c r="AH134" i="157"/>
  <c r="AI134" i="157" s="1"/>
  <c r="AH74" i="157"/>
  <c r="AI74" i="157" s="1"/>
  <c r="AH123" i="157"/>
  <c r="AI123" i="157" s="1"/>
  <c r="AH129" i="157"/>
  <c r="AI129" i="157" s="1"/>
  <c r="AI4" i="157"/>
  <c r="AI38" i="157"/>
  <c r="AI97" i="157"/>
  <c r="AI83" i="157"/>
  <c r="AH139" i="157"/>
  <c r="AI139" i="157" s="1"/>
  <c r="AH141" i="157"/>
  <c r="AI141" i="157" s="1"/>
  <c r="AH140" i="157"/>
  <c r="AI140" i="157" s="1"/>
  <c r="AH142" i="157"/>
  <c r="AI142" i="157" s="1"/>
  <c r="AH206" i="157"/>
  <c r="AH194" i="157"/>
  <c r="AH182" i="157"/>
  <c r="AH199" i="157"/>
  <c r="AH204" i="157"/>
  <c r="AH197" i="157"/>
  <c r="AH202" i="157"/>
  <c r="AH190" i="157"/>
  <c r="AH195" i="157"/>
  <c r="AH200" i="157"/>
  <c r="AH188" i="157"/>
  <c r="AH176" i="157"/>
  <c r="AH205" i="157"/>
  <c r="AH193" i="157"/>
  <c r="AH181" i="157"/>
  <c r="AH198" i="157"/>
  <c r="AH203" i="157"/>
  <c r="AH201" i="157"/>
  <c r="AH189" i="157"/>
  <c r="AH177" i="157"/>
  <c r="AH174" i="157"/>
  <c r="AH192" i="157"/>
  <c r="AH186" i="157"/>
  <c r="AH191" i="157"/>
  <c r="AH179" i="157"/>
  <c r="AH187" i="157"/>
  <c r="AH183" i="157"/>
  <c r="AH178" i="157"/>
  <c r="AH196" i="157"/>
  <c r="AH180" i="157"/>
  <c r="AH169" i="157"/>
  <c r="AH162" i="157"/>
  <c r="AH184" i="157"/>
  <c r="AH167" i="157"/>
  <c r="AH175" i="157"/>
  <c r="AH165" i="157"/>
  <c r="AH150" i="157"/>
  <c r="AH172" i="157"/>
  <c r="AH170" i="157"/>
  <c r="AH168" i="157"/>
  <c r="AH160" i="157"/>
  <c r="AH185" i="157"/>
  <c r="AH166" i="157"/>
  <c r="AH158" i="157"/>
  <c r="AH146" i="157"/>
  <c r="AH164" i="157"/>
  <c r="AH173" i="157"/>
  <c r="AH163" i="157"/>
  <c r="AH171" i="157"/>
  <c r="AH154" i="157"/>
  <c r="AH152" i="157"/>
  <c r="AH155" i="157"/>
  <c r="AH153" i="157"/>
  <c r="AH151" i="157"/>
  <c r="AH149" i="157"/>
  <c r="AH147" i="157"/>
  <c r="AH161" i="157"/>
  <c r="AH143" i="157"/>
  <c r="AH157" i="157"/>
  <c r="AH145" i="157"/>
  <c r="AH144" i="157"/>
  <c r="AH148" i="157"/>
  <c r="AH156" i="157"/>
  <c r="AH159" i="157"/>
  <c r="AI63" i="157"/>
  <c r="AI37" i="157"/>
  <c r="AI45" i="157"/>
  <c r="AI21" i="157"/>
  <c r="AI48" i="157"/>
  <c r="AI20" i="157"/>
  <c r="AI8" i="157"/>
  <c r="T25" i="154"/>
  <c r="T21" i="154" l="1"/>
  <c r="T18" i="154" l="1"/>
  <c r="T20" i="154" l="1"/>
  <c r="T79" i="153" l="1"/>
  <c r="B99" i="153"/>
  <c r="T7" i="154" l="1"/>
  <c r="T8" i="154"/>
  <c r="T17" i="154" l="1"/>
  <c r="T53" i="154" l="1"/>
  <c r="T24" i="154"/>
  <c r="T32" i="154"/>
  <c r="T19" i="154"/>
  <c r="T26" i="154"/>
  <c r="T16" i="154"/>
  <c r="T15" i="154"/>
  <c r="T14" i="154"/>
  <c r="T13" i="154"/>
  <c r="T12" i="154"/>
  <c r="T11" i="154"/>
  <c r="T10" i="154"/>
  <c r="T78" i="153" l="1"/>
  <c r="T77" i="153"/>
  <c r="T74" i="153"/>
  <c r="D1" i="155" l="1"/>
  <c r="B144" i="154"/>
  <c r="B143" i="154"/>
  <c r="D51" i="155" l="1"/>
  <c r="D63" i="155"/>
  <c r="D75" i="155"/>
  <c r="D58" i="155"/>
  <c r="D70" i="155"/>
  <c r="D82" i="155"/>
  <c r="D53" i="155"/>
  <c r="D65" i="155"/>
  <c r="D77" i="155"/>
  <c r="D60" i="155"/>
  <c r="D72" i="155"/>
  <c r="D55" i="155"/>
  <c r="D67" i="155"/>
  <c r="D79" i="155"/>
  <c r="D62" i="155"/>
  <c r="D74" i="155"/>
  <c r="D57" i="155"/>
  <c r="D69" i="155"/>
  <c r="D81" i="155"/>
  <c r="D52" i="155"/>
  <c r="D64" i="155"/>
  <c r="D76" i="155"/>
  <c r="D59" i="155"/>
  <c r="D71" i="155"/>
  <c r="D83" i="155"/>
  <c r="D90" i="155"/>
  <c r="D102" i="155"/>
  <c r="D73" i="155"/>
  <c r="D85" i="155"/>
  <c r="D97" i="155"/>
  <c r="D56" i="155"/>
  <c r="D92" i="155"/>
  <c r="D104" i="155"/>
  <c r="D78" i="155"/>
  <c r="D87" i="155"/>
  <c r="D99" i="155"/>
  <c r="D61" i="155"/>
  <c r="D94" i="155"/>
  <c r="D106" i="155"/>
  <c r="D89" i="155"/>
  <c r="D101" i="155"/>
  <c r="D66" i="155"/>
  <c r="D84" i="155"/>
  <c r="D96" i="155"/>
  <c r="D108" i="155"/>
  <c r="D91" i="155"/>
  <c r="D103" i="155"/>
  <c r="D80" i="155"/>
  <c r="D86" i="155"/>
  <c r="D98" i="155"/>
  <c r="D93" i="155"/>
  <c r="D119" i="155"/>
  <c r="D131" i="155"/>
  <c r="D114" i="155"/>
  <c r="D126" i="155"/>
  <c r="D107" i="155"/>
  <c r="D109" i="155"/>
  <c r="D121" i="155"/>
  <c r="D54" i="155"/>
  <c r="D116" i="155"/>
  <c r="D128" i="155"/>
  <c r="D111" i="155"/>
  <c r="D123" i="155"/>
  <c r="D95" i="155"/>
  <c r="D118" i="155"/>
  <c r="D130" i="155"/>
  <c r="D113" i="155"/>
  <c r="D125" i="155"/>
  <c r="D100" i="155"/>
  <c r="D120" i="155"/>
  <c r="D132" i="155"/>
  <c r="D68" i="155"/>
  <c r="D115" i="155"/>
  <c r="D127" i="155"/>
  <c r="D110" i="155"/>
  <c r="D134" i="155"/>
  <c r="D12" i="155"/>
  <c r="D24" i="155"/>
  <c r="D133" i="155"/>
  <c r="D7" i="155"/>
  <c r="D19" i="155"/>
  <c r="D124" i="155"/>
  <c r="D136" i="155"/>
  <c r="D14" i="155"/>
  <c r="D9" i="155"/>
  <c r="D129" i="155"/>
  <c r="D105" i="155"/>
  <c r="D6" i="155"/>
  <c r="D18" i="155"/>
  <c r="D117" i="155"/>
  <c r="D135" i="155"/>
  <c r="D13" i="155"/>
  <c r="D8" i="155"/>
  <c r="D20" i="155"/>
  <c r="D5" i="155"/>
  <c r="D21" i="155"/>
  <c r="D33" i="155"/>
  <c r="D28" i="155"/>
  <c r="D40" i="155"/>
  <c r="D35" i="155"/>
  <c r="D15" i="155"/>
  <c r="D30" i="155"/>
  <c r="D42" i="155"/>
  <c r="D112" i="155"/>
  <c r="D10" i="155"/>
  <c r="D22" i="155"/>
  <c r="D25" i="155"/>
  <c r="D37" i="155"/>
  <c r="D88" i="155"/>
  <c r="D27" i="155"/>
  <c r="D39" i="155"/>
  <c r="D16" i="155"/>
  <c r="D34" i="155"/>
  <c r="D23" i="155"/>
  <c r="D29" i="155"/>
  <c r="D41" i="155"/>
  <c r="D36" i="155"/>
  <c r="D43" i="155"/>
  <c r="D45" i="155"/>
  <c r="D122" i="155"/>
  <c r="D11" i="155"/>
  <c r="D47" i="155"/>
  <c r="D3" i="155"/>
  <c r="D49" i="155"/>
  <c r="D26" i="155"/>
  <c r="D44" i="155"/>
  <c r="D32" i="155"/>
  <c r="D46" i="155"/>
  <c r="D17" i="155"/>
  <c r="D48" i="155"/>
  <c r="D31" i="155"/>
  <c r="D4" i="155"/>
  <c r="D38" i="155"/>
  <c r="D50" i="155"/>
  <c r="B141" i="154"/>
  <c r="B145" i="154" s="1"/>
  <c r="D197" i="155"/>
  <c r="D202" i="155"/>
  <c r="D203" i="155"/>
  <c r="T140" i="154"/>
  <c r="D200" i="155"/>
  <c r="D194" i="155"/>
  <c r="D204" i="155"/>
  <c r="D193" i="155"/>
  <c r="D188" i="155"/>
  <c r="D184" i="155"/>
  <c r="D199" i="155"/>
  <c r="D186" i="155"/>
  <c r="D155" i="155"/>
  <c r="D143" i="155"/>
  <c r="D138" i="155"/>
  <c r="D145" i="155"/>
  <c r="D140" i="155"/>
  <c r="D142" i="155"/>
  <c r="D144" i="155"/>
  <c r="D139" i="155"/>
  <c r="D151" i="155"/>
  <c r="D146" i="155"/>
  <c r="D162" i="155"/>
  <c r="D174" i="155"/>
  <c r="D157" i="155"/>
  <c r="D149" i="155"/>
  <c r="D164" i="155"/>
  <c r="D176" i="155"/>
  <c r="D159" i="155"/>
  <c r="D171" i="155"/>
  <c r="D161" i="155"/>
  <c r="D173" i="155"/>
  <c r="D152" i="155"/>
  <c r="D156" i="155"/>
  <c r="D168" i="155"/>
  <c r="D180" i="155"/>
  <c r="D141" i="155"/>
  <c r="D153" i="155"/>
  <c r="D163" i="155"/>
  <c r="D158" i="155"/>
  <c r="D170" i="155"/>
  <c r="D147" i="155"/>
  <c r="D165" i="155"/>
  <c r="D177" i="155"/>
  <c r="D169" i="155"/>
  <c r="D160" i="155"/>
  <c r="D150" i="155"/>
  <c r="D175" i="155"/>
  <c r="D179" i="155"/>
  <c r="D183" i="155"/>
  <c r="D192" i="155"/>
  <c r="D167" i="155"/>
  <c r="D137" i="155"/>
  <c r="D154" i="155"/>
  <c r="D166" i="155"/>
  <c r="D178" i="155"/>
  <c r="D181" i="155"/>
  <c r="D189" i="155"/>
  <c r="D172" i="155"/>
  <c r="D148" i="155"/>
  <c r="D191" i="155"/>
  <c r="D187" i="155"/>
  <c r="D198" i="155"/>
  <c r="D196" i="155"/>
  <c r="D185" i="155"/>
  <c r="D195" i="155"/>
  <c r="D190" i="155"/>
  <c r="D182" i="155"/>
  <c r="D201" i="155"/>
  <c r="E1" i="155"/>
  <c r="T89" i="153"/>
  <c r="E56" i="155" l="1"/>
  <c r="E68" i="155"/>
  <c r="E80" i="155"/>
  <c r="E51" i="155"/>
  <c r="E63" i="155"/>
  <c r="E75" i="155"/>
  <c r="E58" i="155"/>
  <c r="E70" i="155"/>
  <c r="E82" i="155"/>
  <c r="E53" i="155"/>
  <c r="E65" i="155"/>
  <c r="E77" i="155"/>
  <c r="E60" i="155"/>
  <c r="E72" i="155"/>
  <c r="E55" i="155"/>
  <c r="E67" i="155"/>
  <c r="E79" i="155"/>
  <c r="E62" i="155"/>
  <c r="E74" i="155"/>
  <c r="E57" i="155"/>
  <c r="E69" i="155"/>
  <c r="E81" i="155"/>
  <c r="E52" i="155"/>
  <c r="E64" i="155"/>
  <c r="E76" i="155"/>
  <c r="E59" i="155"/>
  <c r="E95" i="155"/>
  <c r="E107" i="155"/>
  <c r="E90" i="155"/>
  <c r="E102" i="155"/>
  <c r="E73" i="155"/>
  <c r="E85" i="155"/>
  <c r="E97" i="155"/>
  <c r="E92" i="155"/>
  <c r="E104" i="155"/>
  <c r="E78" i="155"/>
  <c r="E87" i="155"/>
  <c r="E99" i="155"/>
  <c r="E61" i="155"/>
  <c r="E94" i="155"/>
  <c r="E106" i="155"/>
  <c r="E83" i="155"/>
  <c r="E89" i="155"/>
  <c r="E101" i="155"/>
  <c r="E66" i="155"/>
  <c r="E84" i="155"/>
  <c r="E96" i="155"/>
  <c r="E108" i="155"/>
  <c r="E91" i="155"/>
  <c r="E103" i="155"/>
  <c r="E71" i="155"/>
  <c r="E112" i="155"/>
  <c r="E124" i="155"/>
  <c r="E93" i="155"/>
  <c r="E119" i="155"/>
  <c r="E131" i="155"/>
  <c r="E114" i="155"/>
  <c r="E126" i="155"/>
  <c r="E98" i="155"/>
  <c r="E109" i="155"/>
  <c r="E121" i="155"/>
  <c r="E133" i="155"/>
  <c r="E54" i="155"/>
  <c r="E116" i="155"/>
  <c r="E128" i="155"/>
  <c r="E111" i="155"/>
  <c r="E123" i="155"/>
  <c r="E86" i="155"/>
  <c r="E118" i="155"/>
  <c r="E130" i="155"/>
  <c r="E113" i="155"/>
  <c r="E125" i="155"/>
  <c r="E100" i="155"/>
  <c r="E120" i="155"/>
  <c r="E132" i="155"/>
  <c r="E127" i="155"/>
  <c r="E5" i="155"/>
  <c r="E17" i="155"/>
  <c r="E110" i="155"/>
  <c r="E134" i="155"/>
  <c r="E12" i="155"/>
  <c r="E24" i="155"/>
  <c r="E7" i="155"/>
  <c r="E19" i="155"/>
  <c r="E115" i="155"/>
  <c r="E136" i="155"/>
  <c r="E11" i="155"/>
  <c r="E23" i="155"/>
  <c r="E105" i="155"/>
  <c r="E6" i="155"/>
  <c r="E18" i="155"/>
  <c r="E117" i="155"/>
  <c r="E135" i="155"/>
  <c r="E13" i="155"/>
  <c r="E129" i="155"/>
  <c r="E14" i="155"/>
  <c r="E26" i="155"/>
  <c r="E38" i="155"/>
  <c r="E21" i="155"/>
  <c r="E33" i="155"/>
  <c r="E8" i="155"/>
  <c r="E28" i="155"/>
  <c r="E40" i="155"/>
  <c r="E9" i="155"/>
  <c r="E35" i="155"/>
  <c r="E15" i="155"/>
  <c r="E30" i="155"/>
  <c r="E42" i="155"/>
  <c r="E122" i="155"/>
  <c r="E32" i="155"/>
  <c r="E88" i="155"/>
  <c r="E27" i="155"/>
  <c r="E39" i="155"/>
  <c r="E16" i="155"/>
  <c r="E34" i="155"/>
  <c r="E20" i="155"/>
  <c r="E29" i="155"/>
  <c r="E50" i="155"/>
  <c r="E36" i="155"/>
  <c r="E43" i="155"/>
  <c r="E45" i="155"/>
  <c r="E41" i="155"/>
  <c r="E47" i="155"/>
  <c r="E3" i="155"/>
  <c r="E49" i="155"/>
  <c r="E25" i="155"/>
  <c r="E44" i="155"/>
  <c r="E48" i="155"/>
  <c r="E31" i="155"/>
  <c r="E10" i="155"/>
  <c r="E22" i="155"/>
  <c r="E37" i="155"/>
  <c r="E4" i="155"/>
  <c r="E46" i="155"/>
  <c r="E141" i="155"/>
  <c r="E148" i="155"/>
  <c r="E143" i="155"/>
  <c r="E138" i="155"/>
  <c r="E150" i="155"/>
  <c r="E145" i="155"/>
  <c r="E140" i="155"/>
  <c r="E147" i="155"/>
  <c r="E137" i="155"/>
  <c r="E149" i="155"/>
  <c r="E144" i="155"/>
  <c r="E139" i="155"/>
  <c r="E142" i="155"/>
  <c r="E155" i="155"/>
  <c r="E167" i="155"/>
  <c r="E157" i="155"/>
  <c r="E169" i="155"/>
  <c r="E164" i="155"/>
  <c r="E159" i="155"/>
  <c r="E166" i="155"/>
  <c r="E161" i="155"/>
  <c r="E173" i="155"/>
  <c r="E151" i="155"/>
  <c r="E152" i="155"/>
  <c r="E156" i="155"/>
  <c r="E168" i="155"/>
  <c r="E146" i="155"/>
  <c r="E153" i="155"/>
  <c r="E163" i="155"/>
  <c r="E175" i="155"/>
  <c r="E158" i="155"/>
  <c r="E170" i="155"/>
  <c r="E182" i="155"/>
  <c r="E185" i="155"/>
  <c r="E160" i="155"/>
  <c r="E197" i="155"/>
  <c r="E179" i="155"/>
  <c r="E174" i="155"/>
  <c r="E176" i="155"/>
  <c r="E154" i="155"/>
  <c r="E162" i="155"/>
  <c r="E165" i="155"/>
  <c r="E172" i="155"/>
  <c r="E184" i="155"/>
  <c r="E191" i="155"/>
  <c r="E203" i="155"/>
  <c r="E194" i="155"/>
  <c r="E177" i="155"/>
  <c r="E201" i="155"/>
  <c r="E187" i="155"/>
  <c r="E190" i="155"/>
  <c r="E195" i="155"/>
  <c r="E202" i="155"/>
  <c r="E171" i="155"/>
  <c r="E196" i="155"/>
  <c r="E200" i="155"/>
  <c r="E183" i="155"/>
  <c r="E189" i="155"/>
  <c r="E198" i="155"/>
  <c r="E186" i="155"/>
  <c r="E204" i="155"/>
  <c r="E178" i="155"/>
  <c r="E181" i="155"/>
  <c r="E192" i="155"/>
  <c r="E199" i="155"/>
  <c r="E180" i="155"/>
  <c r="E188" i="155"/>
  <c r="E193" i="155"/>
  <c r="F1" i="155"/>
  <c r="T76" i="153"/>
  <c r="F61" i="155" l="1"/>
  <c r="F73" i="155"/>
  <c r="F56" i="155"/>
  <c r="F68" i="155"/>
  <c r="F80" i="155"/>
  <c r="F51" i="155"/>
  <c r="F63" i="155"/>
  <c r="F75" i="155"/>
  <c r="F58" i="155"/>
  <c r="F70" i="155"/>
  <c r="F82" i="155"/>
  <c r="F53" i="155"/>
  <c r="F65" i="155"/>
  <c r="F77" i="155"/>
  <c r="F60" i="155"/>
  <c r="F72" i="155"/>
  <c r="F55" i="155"/>
  <c r="F67" i="155"/>
  <c r="F79" i="155"/>
  <c r="F62" i="155"/>
  <c r="F74" i="155"/>
  <c r="F57" i="155"/>
  <c r="F69" i="155"/>
  <c r="F81" i="155"/>
  <c r="F76" i="155"/>
  <c r="F88" i="155"/>
  <c r="F100" i="155"/>
  <c r="F59" i="155"/>
  <c r="F95" i="155"/>
  <c r="F107" i="155"/>
  <c r="F90" i="155"/>
  <c r="F102" i="155"/>
  <c r="F64" i="155"/>
  <c r="F85" i="155"/>
  <c r="F97" i="155"/>
  <c r="F92" i="155"/>
  <c r="F104" i="155"/>
  <c r="F78" i="155"/>
  <c r="F87" i="155"/>
  <c r="F99" i="155"/>
  <c r="F52" i="155"/>
  <c r="F94" i="155"/>
  <c r="F106" i="155"/>
  <c r="F83" i="155"/>
  <c r="F89" i="155"/>
  <c r="F101" i="155"/>
  <c r="F66" i="155"/>
  <c r="F84" i="155"/>
  <c r="F96" i="155"/>
  <c r="F108" i="155"/>
  <c r="F117" i="155"/>
  <c r="F129" i="155"/>
  <c r="F71" i="155"/>
  <c r="F112" i="155"/>
  <c r="F124" i="155"/>
  <c r="F93" i="155"/>
  <c r="F119" i="155"/>
  <c r="F131" i="155"/>
  <c r="F114" i="155"/>
  <c r="F126" i="155"/>
  <c r="F98" i="155"/>
  <c r="F109" i="155"/>
  <c r="F121" i="155"/>
  <c r="F133" i="155"/>
  <c r="F54" i="155"/>
  <c r="F116" i="155"/>
  <c r="F128" i="155"/>
  <c r="F103" i="155"/>
  <c r="F111" i="155"/>
  <c r="F123" i="155"/>
  <c r="F86" i="155"/>
  <c r="F118" i="155"/>
  <c r="F130" i="155"/>
  <c r="F113" i="155"/>
  <c r="F125" i="155"/>
  <c r="F10" i="155"/>
  <c r="F22" i="155"/>
  <c r="F127" i="155"/>
  <c r="F5" i="155"/>
  <c r="F17" i="155"/>
  <c r="F110" i="155"/>
  <c r="F134" i="155"/>
  <c r="F12" i="155"/>
  <c r="F24" i="155"/>
  <c r="F91" i="155"/>
  <c r="F132" i="155"/>
  <c r="F7" i="155"/>
  <c r="F115" i="155"/>
  <c r="F120" i="155"/>
  <c r="F4" i="155"/>
  <c r="F16" i="155"/>
  <c r="F11" i="155"/>
  <c r="F23" i="155"/>
  <c r="F105" i="155"/>
  <c r="F6" i="155"/>
  <c r="F18" i="155"/>
  <c r="F31" i="155"/>
  <c r="F43" i="155"/>
  <c r="F14" i="155"/>
  <c r="F26" i="155"/>
  <c r="F38" i="155"/>
  <c r="F21" i="155"/>
  <c r="F33" i="155"/>
  <c r="F8" i="155"/>
  <c r="F28" i="155"/>
  <c r="F40" i="155"/>
  <c r="F9" i="155"/>
  <c r="F35" i="155"/>
  <c r="F19" i="155"/>
  <c r="F25" i="155"/>
  <c r="F37" i="155"/>
  <c r="F122" i="155"/>
  <c r="F32" i="155"/>
  <c r="F135" i="155"/>
  <c r="F27" i="155"/>
  <c r="F39" i="155"/>
  <c r="F136" i="155"/>
  <c r="F13" i="155"/>
  <c r="F48" i="155"/>
  <c r="F20" i="155"/>
  <c r="F29" i="155"/>
  <c r="F50" i="155"/>
  <c r="F36" i="155"/>
  <c r="F42" i="155"/>
  <c r="F45" i="155"/>
  <c r="F34" i="155"/>
  <c r="F41" i="155"/>
  <c r="F47" i="155"/>
  <c r="F3" i="155"/>
  <c r="F49" i="155"/>
  <c r="F44" i="155"/>
  <c r="F30" i="155"/>
  <c r="F15" i="155"/>
  <c r="F46" i="155"/>
  <c r="F141" i="155"/>
  <c r="F143" i="155"/>
  <c r="F138" i="155"/>
  <c r="F140" i="155"/>
  <c r="F142" i="155"/>
  <c r="F154" i="155"/>
  <c r="F137" i="155"/>
  <c r="F149" i="155"/>
  <c r="F144" i="155"/>
  <c r="F150" i="155"/>
  <c r="F160" i="155"/>
  <c r="F172" i="155"/>
  <c r="F155" i="155"/>
  <c r="F162" i="155"/>
  <c r="F174" i="155"/>
  <c r="F157" i="155"/>
  <c r="F169" i="155"/>
  <c r="F164" i="155"/>
  <c r="F159" i="155"/>
  <c r="F171" i="155"/>
  <c r="F166" i="155"/>
  <c r="F178" i="155"/>
  <c r="F161" i="155"/>
  <c r="F173" i="155"/>
  <c r="F151" i="155"/>
  <c r="F152" i="155"/>
  <c r="F156" i="155"/>
  <c r="F168" i="155"/>
  <c r="F139" i="155"/>
  <c r="F145" i="155"/>
  <c r="F146" i="155"/>
  <c r="F153" i="155"/>
  <c r="F163" i="155"/>
  <c r="F175" i="155"/>
  <c r="F187" i="155"/>
  <c r="F158" i="155"/>
  <c r="F188" i="155"/>
  <c r="F190" i="155"/>
  <c r="F202" i="155"/>
  <c r="F167" i="155"/>
  <c r="F147" i="155"/>
  <c r="F180" i="155"/>
  <c r="F186" i="155"/>
  <c r="F165" i="155"/>
  <c r="F181" i="155"/>
  <c r="F189" i="155"/>
  <c r="F148" i="155"/>
  <c r="F184" i="155"/>
  <c r="F196" i="155"/>
  <c r="F200" i="155"/>
  <c r="F194" i="155"/>
  <c r="F177" i="155"/>
  <c r="F182" i="155"/>
  <c r="F201" i="155"/>
  <c r="F170" i="155"/>
  <c r="F185" i="155"/>
  <c r="F195" i="155"/>
  <c r="F203" i="155"/>
  <c r="F176" i="155"/>
  <c r="F183" i="155"/>
  <c r="F197" i="155"/>
  <c r="F198" i="155"/>
  <c r="F204" i="155"/>
  <c r="F179" i="155"/>
  <c r="F191" i="155"/>
  <c r="F192" i="155"/>
  <c r="F199" i="155"/>
  <c r="F193" i="155"/>
  <c r="G1" i="155"/>
  <c r="G54" i="155" l="1"/>
  <c r="G66" i="155"/>
  <c r="G78" i="155"/>
  <c r="G61" i="155"/>
  <c r="G73" i="155"/>
  <c r="G56" i="155"/>
  <c r="G68" i="155"/>
  <c r="G80" i="155"/>
  <c r="G51" i="155"/>
  <c r="G63" i="155"/>
  <c r="G75" i="155"/>
  <c r="G58" i="155"/>
  <c r="G70" i="155"/>
  <c r="G82" i="155"/>
  <c r="G53" i="155"/>
  <c r="G65" i="155"/>
  <c r="G77" i="155"/>
  <c r="G60" i="155"/>
  <c r="G72" i="155"/>
  <c r="G55" i="155"/>
  <c r="G67" i="155"/>
  <c r="G79" i="155"/>
  <c r="G62" i="155"/>
  <c r="G74" i="155"/>
  <c r="G93" i="155"/>
  <c r="G105" i="155"/>
  <c r="G76" i="155"/>
  <c r="G88" i="155"/>
  <c r="G100" i="155"/>
  <c r="G59" i="155"/>
  <c r="G95" i="155"/>
  <c r="G107" i="155"/>
  <c r="G81" i="155"/>
  <c r="G90" i="155"/>
  <c r="G102" i="155"/>
  <c r="G64" i="155"/>
  <c r="G85" i="155"/>
  <c r="G97" i="155"/>
  <c r="G92" i="155"/>
  <c r="G104" i="155"/>
  <c r="G69" i="155"/>
  <c r="G87" i="155"/>
  <c r="G99" i="155"/>
  <c r="G52" i="155"/>
  <c r="G94" i="155"/>
  <c r="G106" i="155"/>
  <c r="G83" i="155"/>
  <c r="G89" i="155"/>
  <c r="G101" i="155"/>
  <c r="G96" i="155"/>
  <c r="G110" i="155"/>
  <c r="G122" i="155"/>
  <c r="G117" i="155"/>
  <c r="G129" i="155"/>
  <c r="G71" i="155"/>
  <c r="G112" i="155"/>
  <c r="G124" i="155"/>
  <c r="G84" i="155"/>
  <c r="G119" i="155"/>
  <c r="G131" i="155"/>
  <c r="G114" i="155"/>
  <c r="G126" i="155"/>
  <c r="G98" i="155"/>
  <c r="G109" i="155"/>
  <c r="G121" i="155"/>
  <c r="G133" i="155"/>
  <c r="G116" i="155"/>
  <c r="G128" i="155"/>
  <c r="G103" i="155"/>
  <c r="G111" i="155"/>
  <c r="G123" i="155"/>
  <c r="G86" i="155"/>
  <c r="G118" i="155"/>
  <c r="G130" i="155"/>
  <c r="G57" i="155"/>
  <c r="G108" i="155"/>
  <c r="G113" i="155"/>
  <c r="G3" i="155"/>
  <c r="G15" i="155"/>
  <c r="G10" i="155"/>
  <c r="G22" i="155"/>
  <c r="G127" i="155"/>
  <c r="G5" i="155"/>
  <c r="G17" i="155"/>
  <c r="G134" i="155"/>
  <c r="G12" i="155"/>
  <c r="G91" i="155"/>
  <c r="G132" i="155"/>
  <c r="G9" i="155"/>
  <c r="G21" i="155"/>
  <c r="G120" i="155"/>
  <c r="G4" i="155"/>
  <c r="G16" i="155"/>
  <c r="G11" i="155"/>
  <c r="G23" i="155"/>
  <c r="G115" i="155"/>
  <c r="G24" i="155"/>
  <c r="G36" i="155"/>
  <c r="G125" i="155"/>
  <c r="G6" i="155"/>
  <c r="G31" i="155"/>
  <c r="G43" i="155"/>
  <c r="G7" i="155"/>
  <c r="G14" i="155"/>
  <c r="G26" i="155"/>
  <c r="G38" i="155"/>
  <c r="G18" i="155"/>
  <c r="G33" i="155"/>
  <c r="G8" i="155"/>
  <c r="G28" i="155"/>
  <c r="G40" i="155"/>
  <c r="G30" i="155"/>
  <c r="G42" i="155"/>
  <c r="G19" i="155"/>
  <c r="G25" i="155"/>
  <c r="G37" i="155"/>
  <c r="G32" i="155"/>
  <c r="G136" i="155"/>
  <c r="G13" i="155"/>
  <c r="G48" i="155"/>
  <c r="G20" i="155"/>
  <c r="G29" i="155"/>
  <c r="G50" i="155"/>
  <c r="G35" i="155"/>
  <c r="G27" i="155"/>
  <c r="G45" i="155"/>
  <c r="G34" i="155"/>
  <c r="G41" i="155"/>
  <c r="G47" i="155"/>
  <c r="G135" i="155"/>
  <c r="G39" i="155"/>
  <c r="G49" i="155"/>
  <c r="G44" i="155"/>
  <c r="G46" i="155"/>
  <c r="G139" i="155"/>
  <c r="G146" i="155"/>
  <c r="G141" i="155"/>
  <c r="G148" i="155"/>
  <c r="G143" i="155"/>
  <c r="G138" i="155"/>
  <c r="G145" i="155"/>
  <c r="G147" i="155"/>
  <c r="G142" i="155"/>
  <c r="G154" i="155"/>
  <c r="G137" i="155"/>
  <c r="G165" i="155"/>
  <c r="G177" i="155"/>
  <c r="G150" i="155"/>
  <c r="G140" i="155"/>
  <c r="G155" i="155"/>
  <c r="G167" i="155"/>
  <c r="G149" i="155"/>
  <c r="G162" i="155"/>
  <c r="G174" i="155"/>
  <c r="G157" i="155"/>
  <c r="G164" i="155"/>
  <c r="G176" i="155"/>
  <c r="G159" i="155"/>
  <c r="G171" i="155"/>
  <c r="G166" i="155"/>
  <c r="G161" i="155"/>
  <c r="G173" i="155"/>
  <c r="G151" i="155"/>
  <c r="G152" i="155"/>
  <c r="G156" i="155"/>
  <c r="G168" i="155"/>
  <c r="G180" i="155"/>
  <c r="G170" i="155"/>
  <c r="G144" i="155"/>
  <c r="G182" i="155"/>
  <c r="G153" i="155"/>
  <c r="G163" i="155"/>
  <c r="G169" i="155"/>
  <c r="G158" i="155"/>
  <c r="G185" i="155"/>
  <c r="G195" i="155"/>
  <c r="G160" i="155"/>
  <c r="G175" i="155"/>
  <c r="G179" i="155"/>
  <c r="G183" i="155"/>
  <c r="G192" i="155"/>
  <c r="G178" i="155"/>
  <c r="G172" i="155"/>
  <c r="G181" i="155"/>
  <c r="G189" i="155"/>
  <c r="G201" i="155"/>
  <c r="G193" i="155"/>
  <c r="G200" i="155"/>
  <c r="G194" i="155"/>
  <c r="G187" i="155"/>
  <c r="G190" i="155"/>
  <c r="G202" i="155"/>
  <c r="G199" i="155"/>
  <c r="G196" i="155"/>
  <c r="G203" i="155"/>
  <c r="G197" i="155"/>
  <c r="G188" i="155"/>
  <c r="G186" i="155"/>
  <c r="G198" i="155"/>
  <c r="G184" i="155"/>
  <c r="G204" i="155"/>
  <c r="G191" i="155"/>
  <c r="H1" i="155"/>
  <c r="T97" i="153"/>
  <c r="T98" i="153"/>
  <c r="H59" i="155" l="1"/>
  <c r="H71" i="155"/>
  <c r="H83" i="155"/>
  <c r="H54" i="155"/>
  <c r="H66" i="155"/>
  <c r="H78" i="155"/>
  <c r="H61" i="155"/>
  <c r="H73" i="155"/>
  <c r="H56" i="155"/>
  <c r="H68" i="155"/>
  <c r="H80" i="155"/>
  <c r="H51" i="155"/>
  <c r="H63" i="155"/>
  <c r="H75" i="155"/>
  <c r="H58" i="155"/>
  <c r="H70" i="155"/>
  <c r="H82" i="155"/>
  <c r="H53" i="155"/>
  <c r="H65" i="155"/>
  <c r="H77" i="155"/>
  <c r="H60" i="155"/>
  <c r="H72" i="155"/>
  <c r="H55" i="155"/>
  <c r="H67" i="155"/>
  <c r="H79" i="155"/>
  <c r="H62" i="155"/>
  <c r="H86" i="155"/>
  <c r="H98" i="155"/>
  <c r="H93" i="155"/>
  <c r="H105" i="155"/>
  <c r="H76" i="155"/>
  <c r="H88" i="155"/>
  <c r="H100" i="155"/>
  <c r="H95" i="155"/>
  <c r="H107" i="155"/>
  <c r="H81" i="155"/>
  <c r="H90" i="155"/>
  <c r="H102" i="155"/>
  <c r="H64" i="155"/>
  <c r="H85" i="155"/>
  <c r="H97" i="155"/>
  <c r="H92" i="155"/>
  <c r="H104" i="155"/>
  <c r="H69" i="155"/>
  <c r="H87" i="155"/>
  <c r="H99" i="155"/>
  <c r="H52" i="155"/>
  <c r="H94" i="155"/>
  <c r="H106" i="155"/>
  <c r="H115" i="155"/>
  <c r="H127" i="155"/>
  <c r="H96" i="155"/>
  <c r="H110" i="155"/>
  <c r="H122" i="155"/>
  <c r="H117" i="155"/>
  <c r="H129" i="155"/>
  <c r="H101" i="155"/>
  <c r="H112" i="155"/>
  <c r="H124" i="155"/>
  <c r="H84" i="155"/>
  <c r="H119" i="155"/>
  <c r="H131" i="155"/>
  <c r="H114" i="155"/>
  <c r="H126" i="155"/>
  <c r="H74" i="155"/>
  <c r="H89" i="155"/>
  <c r="H109" i="155"/>
  <c r="H121" i="155"/>
  <c r="H133" i="155"/>
  <c r="H116" i="155"/>
  <c r="H128" i="155"/>
  <c r="H103" i="155"/>
  <c r="H111" i="155"/>
  <c r="H123" i="155"/>
  <c r="H130" i="155"/>
  <c r="H8" i="155"/>
  <c r="H20" i="155"/>
  <c r="H57" i="155"/>
  <c r="H108" i="155"/>
  <c r="H113" i="155"/>
  <c r="H3" i="155"/>
  <c r="H15" i="155"/>
  <c r="H10" i="155"/>
  <c r="H22" i="155"/>
  <c r="H118" i="155"/>
  <c r="H5" i="155"/>
  <c r="H136" i="155"/>
  <c r="H14" i="155"/>
  <c r="H9" i="155"/>
  <c r="H21" i="155"/>
  <c r="H120" i="155"/>
  <c r="H4" i="155"/>
  <c r="H16" i="155"/>
  <c r="H17" i="155"/>
  <c r="H29" i="155"/>
  <c r="H41" i="155"/>
  <c r="H24" i="155"/>
  <c r="H36" i="155"/>
  <c r="H125" i="155"/>
  <c r="H6" i="155"/>
  <c r="H31" i="155"/>
  <c r="H7" i="155"/>
  <c r="H26" i="155"/>
  <c r="H38" i="155"/>
  <c r="H18" i="155"/>
  <c r="H33" i="155"/>
  <c r="H11" i="155"/>
  <c r="H35" i="155"/>
  <c r="H12" i="155"/>
  <c r="H30" i="155"/>
  <c r="H42" i="155"/>
  <c r="H91" i="155"/>
  <c r="H132" i="155"/>
  <c r="H134" i="155"/>
  <c r="H19" i="155"/>
  <c r="H25" i="155"/>
  <c r="H37" i="155"/>
  <c r="H46" i="155"/>
  <c r="H13" i="155"/>
  <c r="H48" i="155"/>
  <c r="H28" i="155"/>
  <c r="H43" i="155"/>
  <c r="H50" i="155"/>
  <c r="H23" i="155"/>
  <c r="H27" i="155"/>
  <c r="H45" i="155"/>
  <c r="H34" i="155"/>
  <c r="H40" i="155"/>
  <c r="H47" i="155"/>
  <c r="H32" i="155"/>
  <c r="H39" i="155"/>
  <c r="H135" i="155"/>
  <c r="H44" i="155"/>
  <c r="H49" i="155"/>
  <c r="H144" i="155"/>
  <c r="H139" i="155"/>
  <c r="H141" i="155"/>
  <c r="H148" i="155"/>
  <c r="H143" i="155"/>
  <c r="H138" i="155"/>
  <c r="H150" i="155"/>
  <c r="H140" i="155"/>
  <c r="H152" i="155"/>
  <c r="H147" i="155"/>
  <c r="H142" i="155"/>
  <c r="H154" i="155"/>
  <c r="H158" i="155"/>
  <c r="H170" i="155"/>
  <c r="H160" i="155"/>
  <c r="H172" i="155"/>
  <c r="H155" i="155"/>
  <c r="H167" i="155"/>
  <c r="H149" i="155"/>
  <c r="H162" i="155"/>
  <c r="H157" i="155"/>
  <c r="H169" i="155"/>
  <c r="H164" i="155"/>
  <c r="H176" i="155"/>
  <c r="H159" i="155"/>
  <c r="H171" i="155"/>
  <c r="H166" i="155"/>
  <c r="H178" i="155"/>
  <c r="H161" i="155"/>
  <c r="H173" i="155"/>
  <c r="H185" i="155"/>
  <c r="H177" i="155"/>
  <c r="H145" i="155"/>
  <c r="H153" i="155"/>
  <c r="H163" i="155"/>
  <c r="H168" i="155"/>
  <c r="H200" i="155"/>
  <c r="H146" i="155"/>
  <c r="H156" i="155"/>
  <c r="H175" i="155"/>
  <c r="H151" i="155"/>
  <c r="H174" i="155"/>
  <c r="H137" i="155"/>
  <c r="H186" i="155"/>
  <c r="H165" i="155"/>
  <c r="H194" i="155"/>
  <c r="H181" i="155"/>
  <c r="H188" i="155"/>
  <c r="H191" i="155"/>
  <c r="H199" i="155"/>
  <c r="H193" i="155"/>
  <c r="H182" i="155"/>
  <c r="H201" i="155"/>
  <c r="H187" i="155"/>
  <c r="H190" i="155"/>
  <c r="H195" i="155"/>
  <c r="H180" i="155"/>
  <c r="H202" i="155"/>
  <c r="H198" i="155"/>
  <c r="H204" i="155"/>
  <c r="H189" i="155"/>
  <c r="H196" i="155"/>
  <c r="H192" i="155"/>
  <c r="H183" i="155"/>
  <c r="H203" i="155"/>
  <c r="H197" i="155"/>
  <c r="H179" i="155"/>
  <c r="H184" i="155"/>
  <c r="I1" i="155"/>
  <c r="T82" i="153"/>
  <c r="I52" i="155" l="1"/>
  <c r="I64" i="155"/>
  <c r="I76" i="155"/>
  <c r="I59" i="155"/>
  <c r="I71" i="155"/>
  <c r="I83" i="155"/>
  <c r="I54" i="155"/>
  <c r="I66" i="155"/>
  <c r="I78" i="155"/>
  <c r="I61" i="155"/>
  <c r="I73" i="155"/>
  <c r="I56" i="155"/>
  <c r="I68" i="155"/>
  <c r="I80" i="155"/>
  <c r="I51" i="155"/>
  <c r="I63" i="155"/>
  <c r="I75" i="155"/>
  <c r="I58" i="155"/>
  <c r="I70" i="155"/>
  <c r="I82" i="155"/>
  <c r="I53" i="155"/>
  <c r="I65" i="155"/>
  <c r="I77" i="155"/>
  <c r="I60" i="155"/>
  <c r="I72" i="155"/>
  <c r="I79" i="155"/>
  <c r="I91" i="155"/>
  <c r="I103" i="155"/>
  <c r="I62" i="155"/>
  <c r="I86" i="155"/>
  <c r="I98" i="155"/>
  <c r="I93" i="155"/>
  <c r="I105" i="155"/>
  <c r="I67" i="155"/>
  <c r="I88" i="155"/>
  <c r="I100" i="155"/>
  <c r="I95" i="155"/>
  <c r="I107" i="155"/>
  <c r="I81" i="155"/>
  <c r="I90" i="155"/>
  <c r="I102" i="155"/>
  <c r="I55" i="155"/>
  <c r="I85" i="155"/>
  <c r="I97" i="155"/>
  <c r="I92" i="155"/>
  <c r="I104" i="155"/>
  <c r="I69" i="155"/>
  <c r="I87" i="155"/>
  <c r="I99" i="155"/>
  <c r="I120" i="155"/>
  <c r="I132" i="155"/>
  <c r="I115" i="155"/>
  <c r="I127" i="155"/>
  <c r="I96" i="155"/>
  <c r="I110" i="155"/>
  <c r="I122" i="155"/>
  <c r="I117" i="155"/>
  <c r="I129" i="155"/>
  <c r="I101" i="155"/>
  <c r="I112" i="155"/>
  <c r="I124" i="155"/>
  <c r="I84" i="155"/>
  <c r="I119" i="155"/>
  <c r="I131" i="155"/>
  <c r="I106" i="155"/>
  <c r="I114" i="155"/>
  <c r="I126" i="155"/>
  <c r="I74" i="155"/>
  <c r="I89" i="155"/>
  <c r="I109" i="155"/>
  <c r="I121" i="155"/>
  <c r="I133" i="155"/>
  <c r="I116" i="155"/>
  <c r="I128" i="155"/>
  <c r="I135" i="155"/>
  <c r="I13" i="155"/>
  <c r="I130" i="155"/>
  <c r="I8" i="155"/>
  <c r="I20" i="155"/>
  <c r="I57" i="155"/>
  <c r="I108" i="155"/>
  <c r="I113" i="155"/>
  <c r="I3" i="155"/>
  <c r="I15" i="155"/>
  <c r="I10" i="155"/>
  <c r="I118" i="155"/>
  <c r="I123" i="155"/>
  <c r="I7" i="155"/>
  <c r="I19" i="155"/>
  <c r="I136" i="155"/>
  <c r="I14" i="155"/>
  <c r="I9" i="155"/>
  <c r="I21" i="155"/>
  <c r="I4" i="155"/>
  <c r="I34" i="155"/>
  <c r="I111" i="155"/>
  <c r="I5" i="155"/>
  <c r="I17" i="155"/>
  <c r="I29" i="155"/>
  <c r="I41" i="155"/>
  <c r="I24" i="155"/>
  <c r="I36" i="155"/>
  <c r="I125" i="155"/>
  <c r="I6" i="155"/>
  <c r="I31" i="155"/>
  <c r="I26" i="155"/>
  <c r="I38" i="155"/>
  <c r="I22" i="155"/>
  <c r="I28" i="155"/>
  <c r="I40" i="155"/>
  <c r="I11" i="155"/>
  <c r="I35" i="155"/>
  <c r="I12" i="155"/>
  <c r="I30" i="155"/>
  <c r="I42" i="155"/>
  <c r="I94" i="155"/>
  <c r="I37" i="155"/>
  <c r="I46" i="155"/>
  <c r="I18" i="155"/>
  <c r="I48" i="155"/>
  <c r="I134" i="155"/>
  <c r="I16" i="155"/>
  <c r="I43" i="155"/>
  <c r="I50" i="155"/>
  <c r="I23" i="155"/>
  <c r="I27" i="155"/>
  <c r="I45" i="155"/>
  <c r="I33" i="155"/>
  <c r="I25" i="155"/>
  <c r="I47" i="155"/>
  <c r="I39" i="155"/>
  <c r="I32" i="155"/>
  <c r="I44" i="155"/>
  <c r="I49" i="155"/>
  <c r="I137" i="155"/>
  <c r="I144" i="155"/>
  <c r="I139" i="155"/>
  <c r="I146" i="155"/>
  <c r="I141" i="155"/>
  <c r="I143" i="155"/>
  <c r="I145" i="155"/>
  <c r="I140" i="155"/>
  <c r="I152" i="155"/>
  <c r="I147" i="155"/>
  <c r="I148" i="155"/>
  <c r="I153" i="155"/>
  <c r="I163" i="155"/>
  <c r="I175" i="155"/>
  <c r="I142" i="155"/>
  <c r="I154" i="155"/>
  <c r="I158" i="155"/>
  <c r="I150" i="155"/>
  <c r="I165" i="155"/>
  <c r="I177" i="155"/>
  <c r="I160" i="155"/>
  <c r="I172" i="155"/>
  <c r="I138" i="155"/>
  <c r="I155" i="155"/>
  <c r="I149" i="155"/>
  <c r="I162" i="155"/>
  <c r="I174" i="155"/>
  <c r="I157" i="155"/>
  <c r="I169" i="155"/>
  <c r="I164" i="155"/>
  <c r="I159" i="155"/>
  <c r="I171" i="155"/>
  <c r="I166" i="155"/>
  <c r="I178" i="155"/>
  <c r="I170" i="155"/>
  <c r="I182" i="155"/>
  <c r="I193" i="155"/>
  <c r="I168" i="155"/>
  <c r="I156" i="155"/>
  <c r="I167" i="155"/>
  <c r="I188" i="155"/>
  <c r="I190" i="155"/>
  <c r="I151" i="155"/>
  <c r="I173" i="155"/>
  <c r="I176" i="155"/>
  <c r="I179" i="155"/>
  <c r="I180" i="155"/>
  <c r="I183" i="155"/>
  <c r="I186" i="155"/>
  <c r="I199" i="155"/>
  <c r="I184" i="155"/>
  <c r="I192" i="155"/>
  <c r="I204" i="155"/>
  <c r="I161" i="155"/>
  <c r="I181" i="155"/>
  <c r="I191" i="155"/>
  <c r="I200" i="155"/>
  <c r="I194" i="155"/>
  <c r="I201" i="155"/>
  <c r="I185" i="155"/>
  <c r="I187" i="155"/>
  <c r="I195" i="155"/>
  <c r="I202" i="155"/>
  <c r="I189" i="155"/>
  <c r="I196" i="155"/>
  <c r="I203" i="155"/>
  <c r="I197" i="155"/>
  <c r="I198" i="155"/>
  <c r="J1" i="155"/>
  <c r="T62" i="153"/>
  <c r="T80" i="153"/>
  <c r="T61" i="153"/>
  <c r="J57" i="155" l="1"/>
  <c r="J69" i="155"/>
  <c r="J81" i="155"/>
  <c r="J52" i="155"/>
  <c r="J64" i="155"/>
  <c r="J76" i="155"/>
  <c r="J59" i="155"/>
  <c r="J71" i="155"/>
  <c r="J83" i="155"/>
  <c r="J54" i="155"/>
  <c r="J66" i="155"/>
  <c r="J78" i="155"/>
  <c r="J61" i="155"/>
  <c r="J73" i="155"/>
  <c r="J56" i="155"/>
  <c r="J68" i="155"/>
  <c r="J80" i="155"/>
  <c r="J51" i="155"/>
  <c r="J63" i="155"/>
  <c r="J75" i="155"/>
  <c r="J58" i="155"/>
  <c r="J70" i="155"/>
  <c r="J82" i="155"/>
  <c r="J53" i="155"/>
  <c r="J65" i="155"/>
  <c r="J77" i="155"/>
  <c r="J84" i="155"/>
  <c r="J96" i="155"/>
  <c r="J108" i="155"/>
  <c r="J79" i="155"/>
  <c r="J91" i="155"/>
  <c r="J103" i="155"/>
  <c r="J62" i="155"/>
  <c r="J86" i="155"/>
  <c r="J98" i="155"/>
  <c r="J93" i="155"/>
  <c r="J105" i="155"/>
  <c r="J67" i="155"/>
  <c r="J88" i="155"/>
  <c r="J100" i="155"/>
  <c r="J95" i="155"/>
  <c r="J107" i="155"/>
  <c r="J72" i="155"/>
  <c r="J90" i="155"/>
  <c r="J102" i="155"/>
  <c r="J55" i="155"/>
  <c r="J85" i="155"/>
  <c r="J97" i="155"/>
  <c r="J92" i="155"/>
  <c r="J104" i="155"/>
  <c r="J99" i="155"/>
  <c r="J113" i="155"/>
  <c r="J125" i="155"/>
  <c r="J120" i="155"/>
  <c r="J132" i="155"/>
  <c r="J115" i="155"/>
  <c r="J127" i="155"/>
  <c r="J60" i="155"/>
  <c r="J87" i="155"/>
  <c r="J110" i="155"/>
  <c r="J122" i="155"/>
  <c r="J117" i="155"/>
  <c r="J129" i="155"/>
  <c r="J101" i="155"/>
  <c r="J112" i="155"/>
  <c r="J124" i="155"/>
  <c r="J119" i="155"/>
  <c r="J131" i="155"/>
  <c r="J106" i="155"/>
  <c r="J114" i="155"/>
  <c r="J126" i="155"/>
  <c r="J74" i="155"/>
  <c r="J89" i="155"/>
  <c r="J109" i="155"/>
  <c r="J121" i="155"/>
  <c r="J133" i="155"/>
  <c r="J116" i="155"/>
  <c r="J6" i="155"/>
  <c r="J18" i="155"/>
  <c r="J135" i="155"/>
  <c r="J13" i="155"/>
  <c r="J130" i="155"/>
  <c r="J8" i="155"/>
  <c r="J20" i="155"/>
  <c r="J3" i="155"/>
  <c r="J134" i="155"/>
  <c r="J12" i="155"/>
  <c r="J123" i="155"/>
  <c r="J7" i="155"/>
  <c r="J19" i="155"/>
  <c r="J136" i="155"/>
  <c r="J14" i="155"/>
  <c r="J27" i="155"/>
  <c r="J39" i="155"/>
  <c r="J4" i="155"/>
  <c r="J34" i="155"/>
  <c r="J111" i="155"/>
  <c r="J5" i="155"/>
  <c r="J17" i="155"/>
  <c r="J29" i="155"/>
  <c r="J41" i="155"/>
  <c r="J21" i="155"/>
  <c r="J24" i="155"/>
  <c r="J36" i="155"/>
  <c r="J31" i="155"/>
  <c r="J10" i="155"/>
  <c r="J15" i="155"/>
  <c r="J33" i="155"/>
  <c r="J22" i="155"/>
  <c r="J28" i="155"/>
  <c r="J40" i="155"/>
  <c r="J118" i="155"/>
  <c r="J11" i="155"/>
  <c r="J35" i="155"/>
  <c r="J30" i="155"/>
  <c r="J44" i="155"/>
  <c r="J94" i="155"/>
  <c r="J37" i="155"/>
  <c r="J46" i="155"/>
  <c r="J42" i="155"/>
  <c r="J48" i="155"/>
  <c r="J16" i="155"/>
  <c r="J43" i="155"/>
  <c r="J50" i="155"/>
  <c r="J23" i="155"/>
  <c r="J9" i="155"/>
  <c r="J26" i="155"/>
  <c r="J45" i="155"/>
  <c r="J128" i="155"/>
  <c r="J25" i="155"/>
  <c r="J47" i="155"/>
  <c r="J32" i="155"/>
  <c r="J49" i="155"/>
  <c r="J38" i="155"/>
  <c r="J142" i="155"/>
  <c r="J137" i="155"/>
  <c r="J139" i="155"/>
  <c r="J151" i="155"/>
  <c r="J146" i="155"/>
  <c r="J141" i="155"/>
  <c r="J148" i="155"/>
  <c r="J138" i="155"/>
  <c r="J150" i="155"/>
  <c r="J145" i="155"/>
  <c r="J140" i="155"/>
  <c r="J144" i="155"/>
  <c r="J156" i="155"/>
  <c r="J168" i="155"/>
  <c r="J153" i="155"/>
  <c r="J154" i="155"/>
  <c r="J158" i="155"/>
  <c r="J170" i="155"/>
  <c r="J165" i="155"/>
  <c r="J160" i="155"/>
  <c r="J155" i="155"/>
  <c r="J167" i="155"/>
  <c r="J143" i="155"/>
  <c r="J149" i="155"/>
  <c r="J162" i="155"/>
  <c r="J174" i="155"/>
  <c r="J157" i="155"/>
  <c r="J169" i="155"/>
  <c r="J164" i="155"/>
  <c r="J176" i="155"/>
  <c r="J159" i="155"/>
  <c r="J171" i="155"/>
  <c r="J183" i="155"/>
  <c r="J161" i="155"/>
  <c r="J184" i="155"/>
  <c r="J198" i="155"/>
  <c r="J163" i="155"/>
  <c r="J182" i="155"/>
  <c r="J175" i="155"/>
  <c r="J147" i="155"/>
  <c r="J166" i="155"/>
  <c r="J173" i="155"/>
  <c r="J178" i="155"/>
  <c r="J179" i="155"/>
  <c r="J180" i="155"/>
  <c r="J192" i="155"/>
  <c r="J204" i="155"/>
  <c r="J188" i="155"/>
  <c r="J199" i="155"/>
  <c r="J181" i="155"/>
  <c r="J191" i="155"/>
  <c r="J193" i="155"/>
  <c r="J177" i="155"/>
  <c r="J200" i="155"/>
  <c r="J152" i="155"/>
  <c r="J194" i="155"/>
  <c r="J185" i="155"/>
  <c r="J190" i="155"/>
  <c r="J201" i="155"/>
  <c r="J172" i="155"/>
  <c r="J187" i="155"/>
  <c r="J195" i="155"/>
  <c r="J202" i="155"/>
  <c r="J189" i="155"/>
  <c r="J196" i="155"/>
  <c r="J203" i="155"/>
  <c r="J186" i="155"/>
  <c r="J197" i="155"/>
  <c r="K1" i="155"/>
  <c r="T64" i="153"/>
  <c r="T65" i="153"/>
  <c r="T66" i="153"/>
  <c r="T67" i="153"/>
  <c r="T68" i="153"/>
  <c r="T69" i="153"/>
  <c r="T70" i="153"/>
  <c r="T71" i="153"/>
  <c r="T95" i="153"/>
  <c r="T94" i="153"/>
  <c r="T93" i="153"/>
  <c r="T92" i="153"/>
  <c r="K62" i="155" l="1"/>
  <c r="K74" i="155"/>
  <c r="K57" i="155"/>
  <c r="K69" i="155"/>
  <c r="K81" i="155"/>
  <c r="K52" i="155"/>
  <c r="K64" i="155"/>
  <c r="K76" i="155"/>
  <c r="K59" i="155"/>
  <c r="K71" i="155"/>
  <c r="K83" i="155"/>
  <c r="K54" i="155"/>
  <c r="K66" i="155"/>
  <c r="K78" i="155"/>
  <c r="K61" i="155"/>
  <c r="K73" i="155"/>
  <c r="K56" i="155"/>
  <c r="K68" i="155"/>
  <c r="K80" i="155"/>
  <c r="K51" i="155"/>
  <c r="K63" i="155"/>
  <c r="K75" i="155"/>
  <c r="K58" i="155"/>
  <c r="K70" i="155"/>
  <c r="K82" i="155"/>
  <c r="K65" i="155"/>
  <c r="K89" i="155"/>
  <c r="K101" i="155"/>
  <c r="K84" i="155"/>
  <c r="K96" i="155"/>
  <c r="K108" i="155"/>
  <c r="K79" i="155"/>
  <c r="K91" i="155"/>
  <c r="K103" i="155"/>
  <c r="K53" i="155"/>
  <c r="K86" i="155"/>
  <c r="K98" i="155"/>
  <c r="K93" i="155"/>
  <c r="K105" i="155"/>
  <c r="K67" i="155"/>
  <c r="K88" i="155"/>
  <c r="K100" i="155"/>
  <c r="K95" i="155"/>
  <c r="K107" i="155"/>
  <c r="K72" i="155"/>
  <c r="K90" i="155"/>
  <c r="K102" i="155"/>
  <c r="K55" i="155"/>
  <c r="K85" i="155"/>
  <c r="K97" i="155"/>
  <c r="K77" i="155"/>
  <c r="K118" i="155"/>
  <c r="K130" i="155"/>
  <c r="K99" i="155"/>
  <c r="K113" i="155"/>
  <c r="K125" i="155"/>
  <c r="K120" i="155"/>
  <c r="K132" i="155"/>
  <c r="K104" i="155"/>
  <c r="K115" i="155"/>
  <c r="K127" i="155"/>
  <c r="K60" i="155"/>
  <c r="K87" i="155"/>
  <c r="K110" i="155"/>
  <c r="K122" i="155"/>
  <c r="K117" i="155"/>
  <c r="K129" i="155"/>
  <c r="K92" i="155"/>
  <c r="K112" i="155"/>
  <c r="K124" i="155"/>
  <c r="K119" i="155"/>
  <c r="K131" i="155"/>
  <c r="K106" i="155"/>
  <c r="K114" i="155"/>
  <c r="K126" i="155"/>
  <c r="K11" i="155"/>
  <c r="K23" i="155"/>
  <c r="K116" i="155"/>
  <c r="K6" i="155"/>
  <c r="K18" i="155"/>
  <c r="K133" i="155"/>
  <c r="K135" i="155"/>
  <c r="K13" i="155"/>
  <c r="K121" i="155"/>
  <c r="K8" i="155"/>
  <c r="K109" i="155"/>
  <c r="K5" i="155"/>
  <c r="K17" i="155"/>
  <c r="K134" i="155"/>
  <c r="K12" i="155"/>
  <c r="K123" i="155"/>
  <c r="K7" i="155"/>
  <c r="K19" i="155"/>
  <c r="K3" i="155"/>
  <c r="K20" i="155"/>
  <c r="K32" i="155"/>
  <c r="K27" i="155"/>
  <c r="K39" i="155"/>
  <c r="K4" i="155"/>
  <c r="K34" i="155"/>
  <c r="K111" i="155"/>
  <c r="K14" i="155"/>
  <c r="K29" i="155"/>
  <c r="K41" i="155"/>
  <c r="K21" i="155"/>
  <c r="K24" i="155"/>
  <c r="K36" i="155"/>
  <c r="K9" i="155"/>
  <c r="K26" i="155"/>
  <c r="K38" i="155"/>
  <c r="K10" i="155"/>
  <c r="K15" i="155"/>
  <c r="K33" i="155"/>
  <c r="K22" i="155"/>
  <c r="K28" i="155"/>
  <c r="K40" i="155"/>
  <c r="K49" i="155"/>
  <c r="K30" i="155"/>
  <c r="K44" i="155"/>
  <c r="K94" i="155"/>
  <c r="K136" i="155"/>
  <c r="K37" i="155"/>
  <c r="K46" i="155"/>
  <c r="K35" i="155"/>
  <c r="K42" i="155"/>
  <c r="K48" i="155"/>
  <c r="K16" i="155"/>
  <c r="K43" i="155"/>
  <c r="K50" i="155"/>
  <c r="K45" i="155"/>
  <c r="K25" i="155"/>
  <c r="K128" i="155"/>
  <c r="K31" i="155"/>
  <c r="K47" i="155"/>
  <c r="K142" i="155"/>
  <c r="K137" i="155"/>
  <c r="K144" i="155"/>
  <c r="K139" i="155"/>
  <c r="K141" i="155"/>
  <c r="K143" i="155"/>
  <c r="K138" i="155"/>
  <c r="K150" i="155"/>
  <c r="K145" i="155"/>
  <c r="K147" i="155"/>
  <c r="K151" i="155"/>
  <c r="K161" i="155"/>
  <c r="K173" i="155"/>
  <c r="K148" i="155"/>
  <c r="K156" i="155"/>
  <c r="K153" i="155"/>
  <c r="K163" i="155"/>
  <c r="K175" i="155"/>
  <c r="K140" i="155"/>
  <c r="K154" i="155"/>
  <c r="K158" i="155"/>
  <c r="K170" i="155"/>
  <c r="K160" i="155"/>
  <c r="K172" i="155"/>
  <c r="K155" i="155"/>
  <c r="K167" i="155"/>
  <c r="K179" i="155"/>
  <c r="K149" i="155"/>
  <c r="K162" i="155"/>
  <c r="K174" i="155"/>
  <c r="K157" i="155"/>
  <c r="K169" i="155"/>
  <c r="K164" i="155"/>
  <c r="K176" i="155"/>
  <c r="K188" i="155"/>
  <c r="K181" i="155"/>
  <c r="K177" i="155"/>
  <c r="K187" i="155"/>
  <c r="K191" i="155"/>
  <c r="K203" i="155"/>
  <c r="K146" i="155"/>
  <c r="K168" i="155"/>
  <c r="K185" i="155"/>
  <c r="K159" i="155"/>
  <c r="K166" i="155"/>
  <c r="K190" i="155"/>
  <c r="K183" i="155"/>
  <c r="K197" i="155"/>
  <c r="K178" i="155"/>
  <c r="K180" i="155"/>
  <c r="K198" i="155"/>
  <c r="K184" i="155"/>
  <c r="K192" i="155"/>
  <c r="K204" i="155"/>
  <c r="K199" i="155"/>
  <c r="K193" i="155"/>
  <c r="K200" i="155"/>
  <c r="K182" i="155"/>
  <c r="K152" i="155"/>
  <c r="K171" i="155"/>
  <c r="K194" i="155"/>
  <c r="K165" i="155"/>
  <c r="K201" i="155"/>
  <c r="K195" i="155"/>
  <c r="K202" i="155"/>
  <c r="K186" i="155"/>
  <c r="K189" i="155"/>
  <c r="K196" i="155"/>
  <c r="L1" i="155"/>
  <c r="T75" i="153"/>
  <c r="T84" i="153"/>
  <c r="L55" i="155" l="1"/>
  <c r="L67" i="155"/>
  <c r="L79" i="155"/>
  <c r="L62" i="155"/>
  <c r="L74" i="155"/>
  <c r="L57" i="155"/>
  <c r="L69" i="155"/>
  <c r="L81" i="155"/>
  <c r="L52" i="155"/>
  <c r="L64" i="155"/>
  <c r="L76" i="155"/>
  <c r="L59" i="155"/>
  <c r="L71" i="155"/>
  <c r="L83" i="155"/>
  <c r="L54" i="155"/>
  <c r="L66" i="155"/>
  <c r="L78" i="155"/>
  <c r="L61" i="155"/>
  <c r="L73" i="155"/>
  <c r="L56" i="155"/>
  <c r="L68" i="155"/>
  <c r="L80" i="155"/>
  <c r="L51" i="155"/>
  <c r="L63" i="155"/>
  <c r="L75" i="155"/>
  <c r="L82" i="155"/>
  <c r="L94" i="155"/>
  <c r="L106" i="155"/>
  <c r="L65" i="155"/>
  <c r="L89" i="155"/>
  <c r="L101" i="155"/>
  <c r="L84" i="155"/>
  <c r="L96" i="155"/>
  <c r="L108" i="155"/>
  <c r="L70" i="155"/>
  <c r="L91" i="155"/>
  <c r="L103" i="155"/>
  <c r="L53" i="155"/>
  <c r="L86" i="155"/>
  <c r="L98" i="155"/>
  <c r="L93" i="155"/>
  <c r="L105" i="155"/>
  <c r="L58" i="155"/>
  <c r="L88" i="155"/>
  <c r="L100" i="155"/>
  <c r="L95" i="155"/>
  <c r="L107" i="155"/>
  <c r="L72" i="155"/>
  <c r="L90" i="155"/>
  <c r="L102" i="155"/>
  <c r="L85" i="155"/>
  <c r="L111" i="155"/>
  <c r="L123" i="155"/>
  <c r="L77" i="155"/>
  <c r="L118" i="155"/>
  <c r="L130" i="155"/>
  <c r="L99" i="155"/>
  <c r="L113" i="155"/>
  <c r="L125" i="155"/>
  <c r="L120" i="155"/>
  <c r="L132" i="155"/>
  <c r="L104" i="155"/>
  <c r="L115" i="155"/>
  <c r="L127" i="155"/>
  <c r="L60" i="155"/>
  <c r="L87" i="155"/>
  <c r="L110" i="155"/>
  <c r="L122" i="155"/>
  <c r="L117" i="155"/>
  <c r="L129" i="155"/>
  <c r="L92" i="155"/>
  <c r="L112" i="155"/>
  <c r="L124" i="155"/>
  <c r="L119" i="155"/>
  <c r="L131" i="155"/>
  <c r="L4" i="155"/>
  <c r="L16" i="155"/>
  <c r="L11" i="155"/>
  <c r="L23" i="155"/>
  <c r="L116" i="155"/>
  <c r="L6" i="155"/>
  <c r="L18" i="155"/>
  <c r="L97" i="155"/>
  <c r="L133" i="155"/>
  <c r="L135" i="155"/>
  <c r="L121" i="155"/>
  <c r="L126" i="155"/>
  <c r="L10" i="155"/>
  <c r="L22" i="155"/>
  <c r="L109" i="155"/>
  <c r="L5" i="155"/>
  <c r="L17" i="155"/>
  <c r="L134" i="155"/>
  <c r="L12" i="155"/>
  <c r="L136" i="155"/>
  <c r="L13" i="155"/>
  <c r="L25" i="155"/>
  <c r="L37" i="155"/>
  <c r="L3" i="155"/>
  <c r="L20" i="155"/>
  <c r="L32" i="155"/>
  <c r="L27" i="155"/>
  <c r="L39" i="155"/>
  <c r="L34" i="155"/>
  <c r="L7" i="155"/>
  <c r="L14" i="155"/>
  <c r="L29" i="155"/>
  <c r="L41" i="155"/>
  <c r="L31" i="155"/>
  <c r="L9" i="155"/>
  <c r="L26" i="155"/>
  <c r="L38" i="155"/>
  <c r="L15" i="155"/>
  <c r="L33" i="155"/>
  <c r="L49" i="155"/>
  <c r="L30" i="155"/>
  <c r="L44" i="155"/>
  <c r="L8" i="155"/>
  <c r="L36" i="155"/>
  <c r="L28" i="155"/>
  <c r="L46" i="155"/>
  <c r="L35" i="155"/>
  <c r="L42" i="155"/>
  <c r="L48" i="155"/>
  <c r="L21" i="155"/>
  <c r="L43" i="155"/>
  <c r="L50" i="155"/>
  <c r="L114" i="155"/>
  <c r="L19" i="155"/>
  <c r="L40" i="155"/>
  <c r="L45" i="155"/>
  <c r="L128" i="155"/>
  <c r="L47" i="155"/>
  <c r="L24" i="155"/>
  <c r="L140" i="155"/>
  <c r="L147" i="155"/>
  <c r="L142" i="155"/>
  <c r="L137" i="155"/>
  <c r="L149" i="155"/>
  <c r="L144" i="155"/>
  <c r="L139" i="155"/>
  <c r="L146" i="155"/>
  <c r="L148" i="155"/>
  <c r="L143" i="155"/>
  <c r="L138" i="155"/>
  <c r="L152" i="155"/>
  <c r="L166" i="155"/>
  <c r="L151" i="155"/>
  <c r="L156" i="155"/>
  <c r="L168" i="155"/>
  <c r="L150" i="155"/>
  <c r="L153" i="155"/>
  <c r="L163" i="155"/>
  <c r="L175" i="155"/>
  <c r="L154" i="155"/>
  <c r="L158" i="155"/>
  <c r="L165" i="155"/>
  <c r="L160" i="155"/>
  <c r="L172" i="155"/>
  <c r="L155" i="155"/>
  <c r="L167" i="155"/>
  <c r="L141" i="155"/>
  <c r="L162" i="155"/>
  <c r="L174" i="155"/>
  <c r="L157" i="155"/>
  <c r="L169" i="155"/>
  <c r="L181" i="155"/>
  <c r="L171" i="155"/>
  <c r="L161" i="155"/>
  <c r="L170" i="155"/>
  <c r="L145" i="155"/>
  <c r="L184" i="155"/>
  <c r="L196" i="155"/>
  <c r="L177" i="155"/>
  <c r="L182" i="155"/>
  <c r="L188" i="155"/>
  <c r="L159" i="155"/>
  <c r="L173" i="155"/>
  <c r="L176" i="155"/>
  <c r="L190" i="155"/>
  <c r="L202" i="155"/>
  <c r="L179" i="155"/>
  <c r="L186" i="155"/>
  <c r="L178" i="155"/>
  <c r="L180" i="155"/>
  <c r="L198" i="155"/>
  <c r="L204" i="155"/>
  <c r="L192" i="155"/>
  <c r="L191" i="155"/>
  <c r="L199" i="155"/>
  <c r="L193" i="155"/>
  <c r="L203" i="155"/>
  <c r="L164" i="155"/>
  <c r="L200" i="155"/>
  <c r="L185" i="155"/>
  <c r="L194" i="155"/>
  <c r="L187" i="155"/>
  <c r="L201" i="155"/>
  <c r="L183" i="155"/>
  <c r="L195" i="155"/>
  <c r="L189" i="155"/>
  <c r="L197" i="155"/>
  <c r="M1" i="155"/>
  <c r="T81" i="153"/>
  <c r="T60" i="153"/>
  <c r="T96" i="153"/>
  <c r="T91" i="153"/>
  <c r="M60" i="155" l="1"/>
  <c r="M72" i="155"/>
  <c r="M55" i="155"/>
  <c r="M67" i="155"/>
  <c r="M79" i="155"/>
  <c r="M62" i="155"/>
  <c r="M74" i="155"/>
  <c r="M57" i="155"/>
  <c r="M69" i="155"/>
  <c r="M81" i="155"/>
  <c r="M52" i="155"/>
  <c r="M64" i="155"/>
  <c r="M76" i="155"/>
  <c r="M59" i="155"/>
  <c r="M71" i="155"/>
  <c r="M83" i="155"/>
  <c r="M54" i="155"/>
  <c r="M66" i="155"/>
  <c r="M78" i="155"/>
  <c r="M61" i="155"/>
  <c r="M73" i="155"/>
  <c r="M56" i="155"/>
  <c r="M68" i="155"/>
  <c r="M80" i="155"/>
  <c r="M51" i="155"/>
  <c r="M87" i="155"/>
  <c r="M99" i="155"/>
  <c r="M82" i="155"/>
  <c r="M94" i="155"/>
  <c r="M106" i="155"/>
  <c r="M65" i="155"/>
  <c r="M89" i="155"/>
  <c r="M101" i="155"/>
  <c r="M84" i="155"/>
  <c r="M96" i="155"/>
  <c r="M108" i="155"/>
  <c r="M70" i="155"/>
  <c r="M91" i="155"/>
  <c r="M103" i="155"/>
  <c r="M53" i="155"/>
  <c r="M86" i="155"/>
  <c r="M98" i="155"/>
  <c r="M75" i="155"/>
  <c r="M93" i="155"/>
  <c r="M105" i="155"/>
  <c r="M58" i="155"/>
  <c r="M88" i="155"/>
  <c r="M100" i="155"/>
  <c r="M95" i="155"/>
  <c r="M107" i="155"/>
  <c r="M102" i="155"/>
  <c r="M116" i="155"/>
  <c r="M128" i="155"/>
  <c r="M85" i="155"/>
  <c r="M111" i="155"/>
  <c r="M123" i="155"/>
  <c r="M77" i="155"/>
  <c r="M118" i="155"/>
  <c r="M130" i="155"/>
  <c r="M90" i="155"/>
  <c r="M113" i="155"/>
  <c r="M125" i="155"/>
  <c r="M120" i="155"/>
  <c r="M132" i="155"/>
  <c r="M104" i="155"/>
  <c r="M115" i="155"/>
  <c r="M127" i="155"/>
  <c r="M110" i="155"/>
  <c r="M122" i="155"/>
  <c r="M117" i="155"/>
  <c r="M129" i="155"/>
  <c r="M92" i="155"/>
  <c r="M112" i="155"/>
  <c r="M124" i="155"/>
  <c r="M119" i="155"/>
  <c r="M9" i="155"/>
  <c r="M21" i="155"/>
  <c r="M4" i="155"/>
  <c r="M16" i="155"/>
  <c r="M11" i="155"/>
  <c r="M23" i="155"/>
  <c r="M63" i="155"/>
  <c r="M6" i="155"/>
  <c r="M97" i="155"/>
  <c r="M133" i="155"/>
  <c r="M3" i="155"/>
  <c r="M15" i="155"/>
  <c r="M126" i="155"/>
  <c r="M10" i="155"/>
  <c r="M22" i="155"/>
  <c r="M109" i="155"/>
  <c r="M5" i="155"/>
  <c r="M17" i="155"/>
  <c r="M30" i="155"/>
  <c r="M42" i="155"/>
  <c r="M136" i="155"/>
  <c r="M13" i="155"/>
  <c r="M25" i="155"/>
  <c r="M37" i="155"/>
  <c r="M20" i="155"/>
  <c r="M32" i="155"/>
  <c r="M27" i="155"/>
  <c r="M39" i="155"/>
  <c r="M121" i="155"/>
  <c r="M34" i="155"/>
  <c r="M8" i="155"/>
  <c r="M18" i="155"/>
  <c r="M24" i="155"/>
  <c r="M36" i="155"/>
  <c r="M31" i="155"/>
  <c r="M26" i="155"/>
  <c r="M38" i="155"/>
  <c r="M47" i="155"/>
  <c r="M49" i="155"/>
  <c r="M29" i="155"/>
  <c r="M44" i="155"/>
  <c r="M134" i="155"/>
  <c r="M28" i="155"/>
  <c r="M46" i="155"/>
  <c r="M35" i="155"/>
  <c r="M14" i="155"/>
  <c r="M41" i="155"/>
  <c r="M48" i="155"/>
  <c r="M12" i="155"/>
  <c r="M33" i="155"/>
  <c r="M43" i="155"/>
  <c r="M50" i="155"/>
  <c r="M114" i="155"/>
  <c r="M7" i="155"/>
  <c r="M19" i="155"/>
  <c r="M40" i="155"/>
  <c r="M45" i="155"/>
  <c r="M131" i="155"/>
  <c r="M135" i="155"/>
  <c r="M145" i="155"/>
  <c r="M140" i="155"/>
  <c r="M142" i="155"/>
  <c r="M137" i="155"/>
  <c r="M139" i="155"/>
  <c r="M151" i="155"/>
  <c r="M141" i="155"/>
  <c r="M153" i="155"/>
  <c r="M148" i="155"/>
  <c r="M143" i="155"/>
  <c r="M146" i="155"/>
  <c r="M159" i="155"/>
  <c r="M171" i="155"/>
  <c r="M144" i="155"/>
  <c r="M147" i="155"/>
  <c r="M152" i="155"/>
  <c r="M161" i="155"/>
  <c r="M173" i="155"/>
  <c r="M156" i="155"/>
  <c r="M168" i="155"/>
  <c r="M150" i="155"/>
  <c r="M163" i="155"/>
  <c r="M138" i="155"/>
  <c r="M154" i="155"/>
  <c r="M158" i="155"/>
  <c r="M170" i="155"/>
  <c r="M165" i="155"/>
  <c r="M177" i="155"/>
  <c r="M160" i="155"/>
  <c r="M172" i="155"/>
  <c r="M149" i="155"/>
  <c r="M155" i="155"/>
  <c r="M167" i="155"/>
  <c r="M179" i="155"/>
  <c r="M162" i="155"/>
  <c r="M174" i="155"/>
  <c r="M186" i="155"/>
  <c r="M164" i="155"/>
  <c r="M169" i="155"/>
  <c r="M189" i="155"/>
  <c r="M201" i="155"/>
  <c r="M185" i="155"/>
  <c r="M166" i="155"/>
  <c r="M188" i="155"/>
  <c r="M195" i="155"/>
  <c r="M197" i="155"/>
  <c r="M175" i="155"/>
  <c r="M178" i="155"/>
  <c r="M180" i="155"/>
  <c r="M184" i="155"/>
  <c r="M198" i="155"/>
  <c r="M181" i="155"/>
  <c r="M192" i="155"/>
  <c r="M204" i="155"/>
  <c r="M199" i="155"/>
  <c r="M191" i="155"/>
  <c r="M182" i="155"/>
  <c r="M193" i="155"/>
  <c r="M190" i="155"/>
  <c r="M200" i="155"/>
  <c r="M176" i="155"/>
  <c r="M194" i="155"/>
  <c r="M157" i="155"/>
  <c r="M187" i="155"/>
  <c r="M183" i="155"/>
  <c r="M202" i="155"/>
  <c r="M196" i="155"/>
  <c r="M203" i="155"/>
  <c r="N1" i="155"/>
  <c r="N53" i="155" l="1"/>
  <c r="N65" i="155"/>
  <c r="N77" i="155"/>
  <c r="N60" i="155"/>
  <c r="N72" i="155"/>
  <c r="N55" i="155"/>
  <c r="N67" i="155"/>
  <c r="N79" i="155"/>
  <c r="N62" i="155"/>
  <c r="N74" i="155"/>
  <c r="N57" i="155"/>
  <c r="N69" i="155"/>
  <c r="N81" i="155"/>
  <c r="N52" i="155"/>
  <c r="N64" i="155"/>
  <c r="N76" i="155"/>
  <c r="N59" i="155"/>
  <c r="N71" i="155"/>
  <c r="N83" i="155"/>
  <c r="N54" i="155"/>
  <c r="N66" i="155"/>
  <c r="N78" i="155"/>
  <c r="N61" i="155"/>
  <c r="N73" i="155"/>
  <c r="N68" i="155"/>
  <c r="N92" i="155"/>
  <c r="N104" i="155"/>
  <c r="N51" i="155"/>
  <c r="N87" i="155"/>
  <c r="N99" i="155"/>
  <c r="N82" i="155"/>
  <c r="N94" i="155"/>
  <c r="N106" i="155"/>
  <c r="N56" i="155"/>
  <c r="N89" i="155"/>
  <c r="N101" i="155"/>
  <c r="N84" i="155"/>
  <c r="N96" i="155"/>
  <c r="N108" i="155"/>
  <c r="N70" i="155"/>
  <c r="N91" i="155"/>
  <c r="N103" i="155"/>
  <c r="N86" i="155"/>
  <c r="N98" i="155"/>
  <c r="N75" i="155"/>
  <c r="N93" i="155"/>
  <c r="N105" i="155"/>
  <c r="N58" i="155"/>
  <c r="N88" i="155"/>
  <c r="N100" i="155"/>
  <c r="N109" i="155"/>
  <c r="N121" i="155"/>
  <c r="N133" i="155"/>
  <c r="N102" i="155"/>
  <c r="N116" i="155"/>
  <c r="N128" i="155"/>
  <c r="N85" i="155"/>
  <c r="N111" i="155"/>
  <c r="N123" i="155"/>
  <c r="N107" i="155"/>
  <c r="N118" i="155"/>
  <c r="N130" i="155"/>
  <c r="N90" i="155"/>
  <c r="N113" i="155"/>
  <c r="N125" i="155"/>
  <c r="N120" i="155"/>
  <c r="N132" i="155"/>
  <c r="N80" i="155"/>
  <c r="N95" i="155"/>
  <c r="N115" i="155"/>
  <c r="N127" i="155"/>
  <c r="N110" i="155"/>
  <c r="N122" i="155"/>
  <c r="N117" i="155"/>
  <c r="N129" i="155"/>
  <c r="N136" i="155"/>
  <c r="N14" i="155"/>
  <c r="N119" i="155"/>
  <c r="N9" i="155"/>
  <c r="N21" i="155"/>
  <c r="N4" i="155"/>
  <c r="N16" i="155"/>
  <c r="N124" i="155"/>
  <c r="N11" i="155"/>
  <c r="N63" i="155"/>
  <c r="N112" i="155"/>
  <c r="N8" i="155"/>
  <c r="N20" i="155"/>
  <c r="N3" i="155"/>
  <c r="N15" i="155"/>
  <c r="N126" i="155"/>
  <c r="N10" i="155"/>
  <c r="N22" i="155"/>
  <c r="N97" i="155"/>
  <c r="N135" i="155"/>
  <c r="N23" i="155"/>
  <c r="N35" i="155"/>
  <c r="N30" i="155"/>
  <c r="N42" i="155"/>
  <c r="N13" i="155"/>
  <c r="N25" i="155"/>
  <c r="N37" i="155"/>
  <c r="N5" i="155"/>
  <c r="N17" i="155"/>
  <c r="N32" i="155"/>
  <c r="N6" i="155"/>
  <c r="N27" i="155"/>
  <c r="N39" i="155"/>
  <c r="N131" i="155"/>
  <c r="N7" i="155"/>
  <c r="N29" i="155"/>
  <c r="N41" i="155"/>
  <c r="N18" i="155"/>
  <c r="N24" i="155"/>
  <c r="N36" i="155"/>
  <c r="N31" i="155"/>
  <c r="N38" i="155"/>
  <c r="N47" i="155"/>
  <c r="N49" i="155"/>
  <c r="N44" i="155"/>
  <c r="N134" i="155"/>
  <c r="N28" i="155"/>
  <c r="N46" i="155"/>
  <c r="N34" i="155"/>
  <c r="N26" i="155"/>
  <c r="N48" i="155"/>
  <c r="N43" i="155"/>
  <c r="N114" i="155"/>
  <c r="N19" i="155"/>
  <c r="N40" i="155"/>
  <c r="N45" i="155"/>
  <c r="N12" i="155"/>
  <c r="N50" i="155"/>
  <c r="N33" i="155"/>
  <c r="N138" i="155"/>
  <c r="N145" i="155"/>
  <c r="N140" i="155"/>
  <c r="N147" i="155"/>
  <c r="N142" i="155"/>
  <c r="N137" i="155"/>
  <c r="N144" i="155"/>
  <c r="N146" i="155"/>
  <c r="N141" i="155"/>
  <c r="N153" i="155"/>
  <c r="N148" i="155"/>
  <c r="N164" i="155"/>
  <c r="N176" i="155"/>
  <c r="N151" i="155"/>
  <c r="N152" i="155"/>
  <c r="N166" i="155"/>
  <c r="N178" i="155"/>
  <c r="N161" i="155"/>
  <c r="N173" i="155"/>
  <c r="N156" i="155"/>
  <c r="N150" i="155"/>
  <c r="N163" i="155"/>
  <c r="N175" i="155"/>
  <c r="N154" i="155"/>
  <c r="N158" i="155"/>
  <c r="N170" i="155"/>
  <c r="N143" i="155"/>
  <c r="N165" i="155"/>
  <c r="N160" i="155"/>
  <c r="N172" i="155"/>
  <c r="N149" i="155"/>
  <c r="N155" i="155"/>
  <c r="N167" i="155"/>
  <c r="N179" i="155"/>
  <c r="N171" i="155"/>
  <c r="N180" i="155"/>
  <c r="N181" i="155"/>
  <c r="N194" i="155"/>
  <c r="N169" i="155"/>
  <c r="N168" i="155"/>
  <c r="N187" i="155"/>
  <c r="N191" i="155"/>
  <c r="N139" i="155"/>
  <c r="N162" i="155"/>
  <c r="N182" i="155"/>
  <c r="N185" i="155"/>
  <c r="N200" i="155"/>
  <c r="N203" i="155"/>
  <c r="N186" i="155"/>
  <c r="N197" i="155"/>
  <c r="N188" i="155"/>
  <c r="N184" i="155"/>
  <c r="N198" i="155"/>
  <c r="N177" i="155"/>
  <c r="N192" i="155"/>
  <c r="N204" i="155"/>
  <c r="N196" i="155"/>
  <c r="N199" i="155"/>
  <c r="N193" i="155"/>
  <c r="N189" i="155"/>
  <c r="N190" i="155"/>
  <c r="N201" i="155"/>
  <c r="N202" i="155"/>
  <c r="N157" i="155"/>
  <c r="N195" i="155"/>
  <c r="N159" i="155"/>
  <c r="N174" i="155"/>
  <c r="N183" i="155"/>
  <c r="O1" i="155"/>
  <c r="T49" i="153"/>
  <c r="T48" i="153"/>
  <c r="O58" i="155" l="1"/>
  <c r="O70" i="155"/>
  <c r="O82" i="155"/>
  <c r="O53" i="155"/>
  <c r="O65" i="155"/>
  <c r="O77" i="155"/>
  <c r="O60" i="155"/>
  <c r="O72" i="155"/>
  <c r="O55" i="155"/>
  <c r="O67" i="155"/>
  <c r="O79" i="155"/>
  <c r="O62" i="155"/>
  <c r="O74" i="155"/>
  <c r="O57" i="155"/>
  <c r="O69" i="155"/>
  <c r="O81" i="155"/>
  <c r="O52" i="155"/>
  <c r="O64" i="155"/>
  <c r="O76" i="155"/>
  <c r="O59" i="155"/>
  <c r="O71" i="155"/>
  <c r="O83" i="155"/>
  <c r="O54" i="155"/>
  <c r="O66" i="155"/>
  <c r="O78" i="155"/>
  <c r="O85" i="155"/>
  <c r="O97" i="155"/>
  <c r="O68" i="155"/>
  <c r="O92" i="155"/>
  <c r="O104" i="155"/>
  <c r="O51" i="155"/>
  <c r="O87" i="155"/>
  <c r="O99" i="155"/>
  <c r="O73" i="155"/>
  <c r="O94" i="155"/>
  <c r="O106" i="155"/>
  <c r="O56" i="155"/>
  <c r="O89" i="155"/>
  <c r="O101" i="155"/>
  <c r="O84" i="155"/>
  <c r="O96" i="155"/>
  <c r="O108" i="155"/>
  <c r="O61" i="155"/>
  <c r="O91" i="155"/>
  <c r="O103" i="155"/>
  <c r="O86" i="155"/>
  <c r="O98" i="155"/>
  <c r="O75" i="155"/>
  <c r="O93" i="155"/>
  <c r="O105" i="155"/>
  <c r="O88" i="155"/>
  <c r="O114" i="155"/>
  <c r="O126" i="155"/>
  <c r="O109" i="155"/>
  <c r="O121" i="155"/>
  <c r="O133" i="155"/>
  <c r="O102" i="155"/>
  <c r="O116" i="155"/>
  <c r="O128" i="155"/>
  <c r="O111" i="155"/>
  <c r="O123" i="155"/>
  <c r="O107" i="155"/>
  <c r="O118" i="155"/>
  <c r="O130" i="155"/>
  <c r="O90" i="155"/>
  <c r="O113" i="155"/>
  <c r="O125" i="155"/>
  <c r="O120" i="155"/>
  <c r="O132" i="155"/>
  <c r="O80" i="155"/>
  <c r="O95" i="155"/>
  <c r="O115" i="155"/>
  <c r="O127" i="155"/>
  <c r="O110" i="155"/>
  <c r="O122" i="155"/>
  <c r="O7" i="155"/>
  <c r="O19" i="155"/>
  <c r="O136" i="155"/>
  <c r="O14" i="155"/>
  <c r="O119" i="155"/>
  <c r="O9" i="155"/>
  <c r="O21" i="155"/>
  <c r="O4" i="155"/>
  <c r="O124" i="155"/>
  <c r="O129" i="155"/>
  <c r="O135" i="155"/>
  <c r="O13" i="155"/>
  <c r="O112" i="155"/>
  <c r="O8" i="155"/>
  <c r="O20" i="155"/>
  <c r="O3" i="155"/>
  <c r="O15" i="155"/>
  <c r="O63" i="155"/>
  <c r="O134" i="155"/>
  <c r="O16" i="155"/>
  <c r="O28" i="155"/>
  <c r="O40" i="155"/>
  <c r="O100" i="155"/>
  <c r="O23" i="155"/>
  <c r="O35" i="155"/>
  <c r="O30" i="155"/>
  <c r="O42" i="155"/>
  <c r="O25" i="155"/>
  <c r="O37" i="155"/>
  <c r="O5" i="155"/>
  <c r="O17" i="155"/>
  <c r="O32" i="155"/>
  <c r="O34" i="155"/>
  <c r="O131" i="155"/>
  <c r="O29" i="155"/>
  <c r="O41" i="155"/>
  <c r="O10" i="155"/>
  <c r="O18" i="155"/>
  <c r="O24" i="155"/>
  <c r="O36" i="155"/>
  <c r="O22" i="155"/>
  <c r="O31" i="155"/>
  <c r="O45" i="155"/>
  <c r="O38" i="155"/>
  <c r="O47" i="155"/>
  <c r="O11" i="155"/>
  <c r="O49" i="155"/>
  <c r="O44" i="155"/>
  <c r="O6" i="155"/>
  <c r="O27" i="155"/>
  <c r="O46" i="155"/>
  <c r="O43" i="155"/>
  <c r="O117" i="155"/>
  <c r="O39" i="155"/>
  <c r="O26" i="155"/>
  <c r="O48" i="155"/>
  <c r="O12" i="155"/>
  <c r="O33" i="155"/>
  <c r="O50" i="155"/>
  <c r="O143" i="155"/>
  <c r="O138" i="155"/>
  <c r="O140" i="155"/>
  <c r="O147" i="155"/>
  <c r="O142" i="155"/>
  <c r="O137" i="155"/>
  <c r="O149" i="155"/>
  <c r="O139" i="155"/>
  <c r="O151" i="155"/>
  <c r="O146" i="155"/>
  <c r="O141" i="155"/>
  <c r="O145" i="155"/>
  <c r="O157" i="155"/>
  <c r="O169" i="155"/>
  <c r="O144" i="155"/>
  <c r="O148" i="155"/>
  <c r="O159" i="155"/>
  <c r="O171" i="155"/>
  <c r="O152" i="155"/>
  <c r="O166" i="155"/>
  <c r="O153" i="155"/>
  <c r="O161" i="155"/>
  <c r="O156" i="155"/>
  <c r="O168" i="155"/>
  <c r="O150" i="155"/>
  <c r="O163" i="155"/>
  <c r="O175" i="155"/>
  <c r="O154" i="155"/>
  <c r="O158" i="155"/>
  <c r="O170" i="155"/>
  <c r="O165" i="155"/>
  <c r="O177" i="155"/>
  <c r="O160" i="155"/>
  <c r="O172" i="155"/>
  <c r="O184" i="155"/>
  <c r="O155" i="155"/>
  <c r="O164" i="155"/>
  <c r="O178" i="155"/>
  <c r="O183" i="155"/>
  <c r="O199" i="155"/>
  <c r="O181" i="155"/>
  <c r="O167" i="155"/>
  <c r="O174" i="155"/>
  <c r="O162" i="155"/>
  <c r="O182" i="155"/>
  <c r="O193" i="155"/>
  <c r="O189" i="155"/>
  <c r="O196" i="155"/>
  <c r="O203" i="155"/>
  <c r="O179" i="155"/>
  <c r="O186" i="155"/>
  <c r="O197" i="155"/>
  <c r="O202" i="155"/>
  <c r="O180" i="155"/>
  <c r="O188" i="155"/>
  <c r="O198" i="155"/>
  <c r="O191" i="155"/>
  <c r="O192" i="155"/>
  <c r="O204" i="155"/>
  <c r="O195" i="155"/>
  <c r="O185" i="155"/>
  <c r="O200" i="155"/>
  <c r="O173" i="155"/>
  <c r="O176" i="155"/>
  <c r="O190" i="155"/>
  <c r="O194" i="155"/>
  <c r="O187" i="155"/>
  <c r="O201" i="155"/>
  <c r="P1" i="155"/>
  <c r="T59" i="153"/>
  <c r="T87" i="153"/>
  <c r="P51" i="155" l="1"/>
  <c r="P63" i="155"/>
  <c r="P75" i="155"/>
  <c r="P58" i="155"/>
  <c r="P70" i="155"/>
  <c r="P82" i="155"/>
  <c r="P53" i="155"/>
  <c r="P65" i="155"/>
  <c r="P77" i="155"/>
  <c r="P60" i="155"/>
  <c r="P72" i="155"/>
  <c r="P55" i="155"/>
  <c r="P67" i="155"/>
  <c r="P79" i="155"/>
  <c r="P62" i="155"/>
  <c r="P74" i="155"/>
  <c r="P57" i="155"/>
  <c r="P69" i="155"/>
  <c r="P81" i="155"/>
  <c r="P52" i="155"/>
  <c r="P64" i="155"/>
  <c r="P76" i="155"/>
  <c r="P59" i="155"/>
  <c r="P71" i="155"/>
  <c r="P83" i="155"/>
  <c r="P54" i="155"/>
  <c r="P90" i="155"/>
  <c r="P102" i="155"/>
  <c r="P85" i="155"/>
  <c r="P97" i="155"/>
  <c r="P68" i="155"/>
  <c r="P92" i="155"/>
  <c r="P104" i="155"/>
  <c r="P87" i="155"/>
  <c r="P99" i="155"/>
  <c r="P73" i="155"/>
  <c r="P94" i="155"/>
  <c r="P106" i="155"/>
  <c r="P56" i="155"/>
  <c r="P89" i="155"/>
  <c r="P101" i="155"/>
  <c r="P78" i="155"/>
  <c r="P84" i="155"/>
  <c r="P96" i="155"/>
  <c r="P108" i="155"/>
  <c r="P61" i="155"/>
  <c r="P91" i="155"/>
  <c r="P103" i="155"/>
  <c r="P86" i="155"/>
  <c r="P98" i="155"/>
  <c r="P105" i="155"/>
  <c r="P119" i="155"/>
  <c r="P131" i="155"/>
  <c r="P88" i="155"/>
  <c r="P114" i="155"/>
  <c r="P126" i="155"/>
  <c r="P109" i="155"/>
  <c r="P121" i="155"/>
  <c r="P66" i="155"/>
  <c r="P93" i="155"/>
  <c r="P116" i="155"/>
  <c r="P128" i="155"/>
  <c r="P111" i="155"/>
  <c r="P123" i="155"/>
  <c r="P107" i="155"/>
  <c r="P118" i="155"/>
  <c r="P130" i="155"/>
  <c r="P113" i="155"/>
  <c r="P125" i="155"/>
  <c r="P120" i="155"/>
  <c r="P132" i="155"/>
  <c r="P80" i="155"/>
  <c r="P95" i="155"/>
  <c r="P115" i="155"/>
  <c r="P127" i="155"/>
  <c r="P122" i="155"/>
  <c r="P134" i="155"/>
  <c r="P12" i="155"/>
  <c r="P7" i="155"/>
  <c r="P19" i="155"/>
  <c r="P136" i="155"/>
  <c r="P14" i="155"/>
  <c r="P110" i="155"/>
  <c r="P9" i="155"/>
  <c r="P6" i="155"/>
  <c r="P18" i="155"/>
  <c r="P129" i="155"/>
  <c r="P135" i="155"/>
  <c r="P13" i="155"/>
  <c r="P112" i="155"/>
  <c r="P8" i="155"/>
  <c r="P20" i="155"/>
  <c r="P124" i="155"/>
  <c r="P133" i="155"/>
  <c r="P33" i="155"/>
  <c r="P16" i="155"/>
  <c r="P28" i="155"/>
  <c r="P40" i="155"/>
  <c r="P100" i="155"/>
  <c r="P3" i="155"/>
  <c r="P23" i="155"/>
  <c r="P35" i="155"/>
  <c r="P4" i="155"/>
  <c r="P30" i="155"/>
  <c r="P42" i="155"/>
  <c r="P25" i="155"/>
  <c r="P37" i="155"/>
  <c r="P117" i="155"/>
  <c r="P21" i="155"/>
  <c r="P27" i="155"/>
  <c r="P39" i="155"/>
  <c r="P34" i="155"/>
  <c r="P29" i="155"/>
  <c r="P41" i="155"/>
  <c r="P10" i="155"/>
  <c r="P15" i="155"/>
  <c r="P24" i="155"/>
  <c r="P22" i="155"/>
  <c r="P31" i="155"/>
  <c r="P45" i="155"/>
  <c r="P38" i="155"/>
  <c r="P5" i="155"/>
  <c r="P47" i="155"/>
  <c r="P36" i="155"/>
  <c r="P11" i="155"/>
  <c r="P49" i="155"/>
  <c r="P44" i="155"/>
  <c r="P46" i="155"/>
  <c r="P17" i="155"/>
  <c r="P43" i="155"/>
  <c r="P26" i="155"/>
  <c r="P48" i="155"/>
  <c r="P32" i="155"/>
  <c r="P50" i="155"/>
  <c r="P143" i="155"/>
  <c r="P138" i="155"/>
  <c r="P145" i="155"/>
  <c r="P140" i="155"/>
  <c r="P142" i="155"/>
  <c r="P144" i="155"/>
  <c r="P139" i="155"/>
  <c r="P151" i="155"/>
  <c r="P146" i="155"/>
  <c r="P137" i="155"/>
  <c r="P162" i="155"/>
  <c r="P174" i="155"/>
  <c r="P157" i="155"/>
  <c r="P147" i="155"/>
  <c r="P164" i="155"/>
  <c r="P176" i="155"/>
  <c r="P148" i="155"/>
  <c r="P159" i="155"/>
  <c r="P171" i="155"/>
  <c r="P152" i="155"/>
  <c r="P153" i="155"/>
  <c r="P161" i="155"/>
  <c r="P173" i="155"/>
  <c r="P156" i="155"/>
  <c r="P168" i="155"/>
  <c r="P180" i="155"/>
  <c r="P150" i="155"/>
  <c r="P163" i="155"/>
  <c r="P154" i="155"/>
  <c r="P158" i="155"/>
  <c r="P170" i="155"/>
  <c r="P141" i="155"/>
  <c r="P165" i="155"/>
  <c r="P177" i="155"/>
  <c r="P149" i="155"/>
  <c r="P155" i="155"/>
  <c r="P186" i="155"/>
  <c r="P192" i="155"/>
  <c r="P160" i="155"/>
  <c r="P169" i="155"/>
  <c r="P184" i="155"/>
  <c r="P189" i="155"/>
  <c r="P167" i="155"/>
  <c r="P175" i="155"/>
  <c r="P187" i="155"/>
  <c r="P198" i="155"/>
  <c r="P202" i="155"/>
  <c r="P196" i="155"/>
  <c r="P203" i="155"/>
  <c r="P179" i="155"/>
  <c r="P178" i="155"/>
  <c r="P197" i="155"/>
  <c r="P181" i="155"/>
  <c r="P188" i="155"/>
  <c r="P201" i="155"/>
  <c r="P195" i="155"/>
  <c r="P182" i="155"/>
  <c r="P191" i="155"/>
  <c r="P199" i="155"/>
  <c r="P204" i="155"/>
  <c r="P172" i="155"/>
  <c r="P193" i="155"/>
  <c r="P166" i="155"/>
  <c r="P185" i="155"/>
  <c r="P200" i="155"/>
  <c r="P183" i="155"/>
  <c r="P190" i="155"/>
  <c r="P194" i="155"/>
  <c r="Q1" i="155"/>
  <c r="T73" i="153"/>
  <c r="Q56" i="155" l="1"/>
  <c r="Q68" i="155"/>
  <c r="Q80" i="155"/>
  <c r="Q51" i="155"/>
  <c r="Q63" i="155"/>
  <c r="Q75" i="155"/>
  <c r="Q58" i="155"/>
  <c r="Q70" i="155"/>
  <c r="Q82" i="155"/>
  <c r="Q53" i="155"/>
  <c r="Q65" i="155"/>
  <c r="Q77" i="155"/>
  <c r="Q60" i="155"/>
  <c r="Q72" i="155"/>
  <c r="Q55" i="155"/>
  <c r="Q67" i="155"/>
  <c r="Q79" i="155"/>
  <c r="Q62" i="155"/>
  <c r="Q74" i="155"/>
  <c r="Q57" i="155"/>
  <c r="Q69" i="155"/>
  <c r="Q81" i="155"/>
  <c r="Q52" i="155"/>
  <c r="Q64" i="155"/>
  <c r="Q76" i="155"/>
  <c r="Q71" i="155"/>
  <c r="Q95" i="155"/>
  <c r="Q107" i="155"/>
  <c r="Q54" i="155"/>
  <c r="Q90" i="155"/>
  <c r="Q102" i="155"/>
  <c r="Q85" i="155"/>
  <c r="Q97" i="155"/>
  <c r="Q59" i="155"/>
  <c r="Q92" i="155"/>
  <c r="Q104" i="155"/>
  <c r="Q87" i="155"/>
  <c r="Q99" i="155"/>
  <c r="Q73" i="155"/>
  <c r="Q94" i="155"/>
  <c r="Q106" i="155"/>
  <c r="Q89" i="155"/>
  <c r="Q101" i="155"/>
  <c r="Q78" i="155"/>
  <c r="Q84" i="155"/>
  <c r="Q96" i="155"/>
  <c r="Q108" i="155"/>
  <c r="Q61" i="155"/>
  <c r="Q91" i="155"/>
  <c r="Q103" i="155"/>
  <c r="Q83" i="155"/>
  <c r="Q112" i="155"/>
  <c r="Q124" i="155"/>
  <c r="Q105" i="155"/>
  <c r="Q119" i="155"/>
  <c r="Q131" i="155"/>
  <c r="Q88" i="155"/>
  <c r="Q114" i="155"/>
  <c r="Q126" i="155"/>
  <c r="Q109" i="155"/>
  <c r="Q121" i="155"/>
  <c r="Q66" i="155"/>
  <c r="Q93" i="155"/>
  <c r="Q116" i="155"/>
  <c r="Q128" i="155"/>
  <c r="Q111" i="155"/>
  <c r="Q123" i="155"/>
  <c r="Q98" i="155"/>
  <c r="Q118" i="155"/>
  <c r="Q130" i="155"/>
  <c r="Q113" i="155"/>
  <c r="Q125" i="155"/>
  <c r="Q120" i="155"/>
  <c r="Q132" i="155"/>
  <c r="Q5" i="155"/>
  <c r="Q17" i="155"/>
  <c r="Q122" i="155"/>
  <c r="Q134" i="155"/>
  <c r="Q12" i="155"/>
  <c r="Q7" i="155"/>
  <c r="Q19" i="155"/>
  <c r="Q127" i="155"/>
  <c r="Q136" i="155"/>
  <c r="Q110" i="155"/>
  <c r="Q86" i="155"/>
  <c r="Q115" i="155"/>
  <c r="Q133" i="155"/>
  <c r="Q11" i="155"/>
  <c r="Q23" i="155"/>
  <c r="Q6" i="155"/>
  <c r="Q18" i="155"/>
  <c r="Q129" i="155"/>
  <c r="Q135" i="155"/>
  <c r="Q13" i="155"/>
  <c r="Q26" i="155"/>
  <c r="Q38" i="155"/>
  <c r="Q33" i="155"/>
  <c r="Q16" i="155"/>
  <c r="Q28" i="155"/>
  <c r="Q40" i="155"/>
  <c r="Q100" i="155"/>
  <c r="Q3" i="155"/>
  <c r="Q20" i="155"/>
  <c r="Q35" i="155"/>
  <c r="Q4" i="155"/>
  <c r="Q30" i="155"/>
  <c r="Q42" i="155"/>
  <c r="Q14" i="155"/>
  <c r="Q32" i="155"/>
  <c r="Q117" i="155"/>
  <c r="Q8" i="155"/>
  <c r="Q21" i="155"/>
  <c r="Q27" i="155"/>
  <c r="Q39" i="155"/>
  <c r="Q9" i="155"/>
  <c r="Q34" i="155"/>
  <c r="Q43" i="155"/>
  <c r="Q50" i="155"/>
  <c r="Q10" i="155"/>
  <c r="Q15" i="155"/>
  <c r="Q24" i="155"/>
  <c r="Q22" i="155"/>
  <c r="Q31" i="155"/>
  <c r="Q45" i="155"/>
  <c r="Q37" i="155"/>
  <c r="Q29" i="155"/>
  <c r="Q47" i="155"/>
  <c r="Q36" i="155"/>
  <c r="Q49" i="155"/>
  <c r="Q44" i="155"/>
  <c r="Q41" i="155"/>
  <c r="Q46" i="155"/>
  <c r="Q25" i="155"/>
  <c r="Q48" i="155"/>
  <c r="Q141" i="155"/>
  <c r="Q148" i="155"/>
  <c r="Q143" i="155"/>
  <c r="Q138" i="155"/>
  <c r="Q150" i="155"/>
  <c r="Q145" i="155"/>
  <c r="Q140" i="155"/>
  <c r="Q147" i="155"/>
  <c r="Q137" i="155"/>
  <c r="Q149" i="155"/>
  <c r="Q144" i="155"/>
  <c r="Q139" i="155"/>
  <c r="Q155" i="155"/>
  <c r="Q167" i="155"/>
  <c r="Q146" i="155"/>
  <c r="Q142" i="155"/>
  <c r="Q157" i="155"/>
  <c r="Q169" i="155"/>
  <c r="Q151" i="155"/>
  <c r="Q164" i="155"/>
  <c r="Q159" i="155"/>
  <c r="Q152" i="155"/>
  <c r="Q166" i="155"/>
  <c r="Q153" i="155"/>
  <c r="Q161" i="155"/>
  <c r="Q173" i="155"/>
  <c r="Q156" i="155"/>
  <c r="Q168" i="155"/>
  <c r="Q163" i="155"/>
  <c r="Q175" i="155"/>
  <c r="Q154" i="155"/>
  <c r="Q158" i="155"/>
  <c r="Q170" i="155"/>
  <c r="Q182" i="155"/>
  <c r="Q172" i="155"/>
  <c r="Q176" i="155"/>
  <c r="Q179" i="155"/>
  <c r="Q171" i="155"/>
  <c r="Q178" i="155"/>
  <c r="Q180" i="155"/>
  <c r="Q183" i="155"/>
  <c r="Q197" i="155"/>
  <c r="Q160" i="155"/>
  <c r="Q177" i="155"/>
  <c r="Q181" i="155"/>
  <c r="Q174" i="155"/>
  <c r="Q187" i="155"/>
  <c r="Q191" i="155"/>
  <c r="Q203" i="155"/>
  <c r="Q195" i="155"/>
  <c r="Q189" i="155"/>
  <c r="Q202" i="155"/>
  <c r="Q162" i="155"/>
  <c r="Q196" i="155"/>
  <c r="Q186" i="155"/>
  <c r="Q184" i="155"/>
  <c r="Q188" i="155"/>
  <c r="Q198" i="155"/>
  <c r="Q192" i="155"/>
  <c r="Q204" i="155"/>
  <c r="Q194" i="155"/>
  <c r="Q165" i="155"/>
  <c r="Q199" i="155"/>
  <c r="Q193" i="155"/>
  <c r="Q185" i="155"/>
  <c r="Q200" i="155"/>
  <c r="Q190" i="155"/>
  <c r="Q201" i="155"/>
  <c r="R1" i="155"/>
  <c r="T57" i="153"/>
  <c r="R61" i="155" l="1"/>
  <c r="R73" i="155"/>
  <c r="R56" i="155"/>
  <c r="R68" i="155"/>
  <c r="R80" i="155"/>
  <c r="R51" i="155"/>
  <c r="R63" i="155"/>
  <c r="R75" i="155"/>
  <c r="R58" i="155"/>
  <c r="R70" i="155"/>
  <c r="R82" i="155"/>
  <c r="R53" i="155"/>
  <c r="R65" i="155"/>
  <c r="R77" i="155"/>
  <c r="R60" i="155"/>
  <c r="R72" i="155"/>
  <c r="R55" i="155"/>
  <c r="R67" i="155"/>
  <c r="R79" i="155"/>
  <c r="R62" i="155"/>
  <c r="R74" i="155"/>
  <c r="R57" i="155"/>
  <c r="R69" i="155"/>
  <c r="R81" i="155"/>
  <c r="R88" i="155"/>
  <c r="R100" i="155"/>
  <c r="R71" i="155"/>
  <c r="R95" i="155"/>
  <c r="R107" i="155"/>
  <c r="R54" i="155"/>
  <c r="R90" i="155"/>
  <c r="R102" i="155"/>
  <c r="R76" i="155"/>
  <c r="R85" i="155"/>
  <c r="R97" i="155"/>
  <c r="R59" i="155"/>
  <c r="R92" i="155"/>
  <c r="R104" i="155"/>
  <c r="R87" i="155"/>
  <c r="R99" i="155"/>
  <c r="R64" i="155"/>
  <c r="R94" i="155"/>
  <c r="R106" i="155"/>
  <c r="R89" i="155"/>
  <c r="R101" i="155"/>
  <c r="R78" i="155"/>
  <c r="R84" i="155"/>
  <c r="R96" i="155"/>
  <c r="R108" i="155"/>
  <c r="R52" i="155"/>
  <c r="R91" i="155"/>
  <c r="R117" i="155"/>
  <c r="R129" i="155"/>
  <c r="R83" i="155"/>
  <c r="R112" i="155"/>
  <c r="R124" i="155"/>
  <c r="R105" i="155"/>
  <c r="R119" i="155"/>
  <c r="R131" i="155"/>
  <c r="R114" i="155"/>
  <c r="R126" i="155"/>
  <c r="R109" i="155"/>
  <c r="R121" i="155"/>
  <c r="R66" i="155"/>
  <c r="R93" i="155"/>
  <c r="R116" i="155"/>
  <c r="R128" i="155"/>
  <c r="R111" i="155"/>
  <c r="R123" i="155"/>
  <c r="R98" i="155"/>
  <c r="R118" i="155"/>
  <c r="R130" i="155"/>
  <c r="R113" i="155"/>
  <c r="R125" i="155"/>
  <c r="R10" i="155"/>
  <c r="R22" i="155"/>
  <c r="R5" i="155"/>
  <c r="R17" i="155"/>
  <c r="R122" i="155"/>
  <c r="R134" i="155"/>
  <c r="R12" i="155"/>
  <c r="R103" i="155"/>
  <c r="R7" i="155"/>
  <c r="R127" i="155"/>
  <c r="R132" i="155"/>
  <c r="R4" i="155"/>
  <c r="R16" i="155"/>
  <c r="R86" i="155"/>
  <c r="R115" i="155"/>
  <c r="R133" i="155"/>
  <c r="R11" i="155"/>
  <c r="R23" i="155"/>
  <c r="R6" i="155"/>
  <c r="R18" i="155"/>
  <c r="R110" i="155"/>
  <c r="R19" i="155"/>
  <c r="R31" i="155"/>
  <c r="R120" i="155"/>
  <c r="R135" i="155"/>
  <c r="R26" i="155"/>
  <c r="R38" i="155"/>
  <c r="R136" i="155"/>
  <c r="R33" i="155"/>
  <c r="R13" i="155"/>
  <c r="R28" i="155"/>
  <c r="R40" i="155"/>
  <c r="R3" i="155"/>
  <c r="R20" i="155"/>
  <c r="R35" i="155"/>
  <c r="R25" i="155"/>
  <c r="R37" i="155"/>
  <c r="R14" i="155"/>
  <c r="R32" i="155"/>
  <c r="R8" i="155"/>
  <c r="R21" i="155"/>
  <c r="R27" i="155"/>
  <c r="R39" i="155"/>
  <c r="R48" i="155"/>
  <c r="R43" i="155"/>
  <c r="R50" i="155"/>
  <c r="R15" i="155"/>
  <c r="R24" i="155"/>
  <c r="R30" i="155"/>
  <c r="R45" i="155"/>
  <c r="R29" i="155"/>
  <c r="R47" i="155"/>
  <c r="R36" i="155"/>
  <c r="R42" i="155"/>
  <c r="R49" i="155"/>
  <c r="R9" i="155"/>
  <c r="R34" i="155"/>
  <c r="R44" i="155"/>
  <c r="R46" i="155"/>
  <c r="R41" i="155"/>
  <c r="R141" i="155"/>
  <c r="R143" i="155"/>
  <c r="R138" i="155"/>
  <c r="R140" i="155"/>
  <c r="R142" i="155"/>
  <c r="R154" i="155"/>
  <c r="R137" i="155"/>
  <c r="R149" i="155"/>
  <c r="R144" i="155"/>
  <c r="R160" i="155"/>
  <c r="R172" i="155"/>
  <c r="R145" i="155"/>
  <c r="R155" i="155"/>
  <c r="R146" i="155"/>
  <c r="R162" i="155"/>
  <c r="R174" i="155"/>
  <c r="R147" i="155"/>
  <c r="R157" i="155"/>
  <c r="R169" i="155"/>
  <c r="R148" i="155"/>
  <c r="R151" i="155"/>
  <c r="R159" i="155"/>
  <c r="R171" i="155"/>
  <c r="R152" i="155"/>
  <c r="R166" i="155"/>
  <c r="R178" i="155"/>
  <c r="R153" i="155"/>
  <c r="R161" i="155"/>
  <c r="R173" i="155"/>
  <c r="R150" i="155"/>
  <c r="R156" i="155"/>
  <c r="R168" i="155"/>
  <c r="R163" i="155"/>
  <c r="R175" i="155"/>
  <c r="R187" i="155"/>
  <c r="R165" i="155"/>
  <c r="R176" i="155"/>
  <c r="R185" i="155"/>
  <c r="R164" i="155"/>
  <c r="R170" i="155"/>
  <c r="R190" i="155"/>
  <c r="R202" i="155"/>
  <c r="R158" i="155"/>
  <c r="R180" i="155"/>
  <c r="R184" i="155"/>
  <c r="R189" i="155"/>
  <c r="R139" i="155"/>
  <c r="R167" i="155"/>
  <c r="R196" i="155"/>
  <c r="R183" i="155"/>
  <c r="R201" i="155"/>
  <c r="R195" i="155"/>
  <c r="R179" i="155"/>
  <c r="R203" i="155"/>
  <c r="R186" i="155"/>
  <c r="R197" i="155"/>
  <c r="R177" i="155"/>
  <c r="R181" i="155"/>
  <c r="R188" i="155"/>
  <c r="R198" i="155"/>
  <c r="R182" i="155"/>
  <c r="R191" i="155"/>
  <c r="R192" i="155"/>
  <c r="R199" i="155"/>
  <c r="R204" i="155"/>
  <c r="R193" i="155"/>
  <c r="R200" i="155"/>
  <c r="R194" i="155"/>
  <c r="S1" i="155"/>
  <c r="T55" i="153"/>
  <c r="S54" i="155" l="1"/>
  <c r="S66" i="155"/>
  <c r="S78" i="155"/>
  <c r="S61" i="155"/>
  <c r="S73" i="155"/>
  <c r="S56" i="155"/>
  <c r="S68" i="155"/>
  <c r="S80" i="155"/>
  <c r="S51" i="155"/>
  <c r="S63" i="155"/>
  <c r="S75" i="155"/>
  <c r="S58" i="155"/>
  <c r="S70" i="155"/>
  <c r="S82" i="155"/>
  <c r="S53" i="155"/>
  <c r="S65" i="155"/>
  <c r="S77" i="155"/>
  <c r="S60" i="155"/>
  <c r="S72" i="155"/>
  <c r="S55" i="155"/>
  <c r="S67" i="155"/>
  <c r="S79" i="155"/>
  <c r="S62" i="155"/>
  <c r="S74" i="155"/>
  <c r="S57" i="155"/>
  <c r="S93" i="155"/>
  <c r="S105" i="155"/>
  <c r="S88" i="155"/>
  <c r="S100" i="155"/>
  <c r="S71" i="155"/>
  <c r="S95" i="155"/>
  <c r="S107" i="155"/>
  <c r="S90" i="155"/>
  <c r="S102" i="155"/>
  <c r="S76" i="155"/>
  <c r="S85" i="155"/>
  <c r="S97" i="155"/>
  <c r="S59" i="155"/>
  <c r="S92" i="155"/>
  <c r="S104" i="155"/>
  <c r="S81" i="155"/>
  <c r="S87" i="155"/>
  <c r="S99" i="155"/>
  <c r="S64" i="155"/>
  <c r="S94" i="155"/>
  <c r="S106" i="155"/>
  <c r="S89" i="155"/>
  <c r="S101" i="155"/>
  <c r="S108" i="155"/>
  <c r="S110" i="155"/>
  <c r="S122" i="155"/>
  <c r="S52" i="155"/>
  <c r="S91" i="155"/>
  <c r="S117" i="155"/>
  <c r="S129" i="155"/>
  <c r="S83" i="155"/>
  <c r="S112" i="155"/>
  <c r="S124" i="155"/>
  <c r="S96" i="155"/>
  <c r="S119" i="155"/>
  <c r="S131" i="155"/>
  <c r="S114" i="155"/>
  <c r="S126" i="155"/>
  <c r="S109" i="155"/>
  <c r="S121" i="155"/>
  <c r="S84" i="155"/>
  <c r="S116" i="155"/>
  <c r="S128" i="155"/>
  <c r="S111" i="155"/>
  <c r="S123" i="155"/>
  <c r="S98" i="155"/>
  <c r="S118" i="155"/>
  <c r="S130" i="155"/>
  <c r="S125" i="155"/>
  <c r="S3" i="155"/>
  <c r="S15" i="155"/>
  <c r="S10" i="155"/>
  <c r="S22" i="155"/>
  <c r="S5" i="155"/>
  <c r="S17" i="155"/>
  <c r="S113" i="155"/>
  <c r="S134" i="155"/>
  <c r="S103" i="155"/>
  <c r="S69" i="155"/>
  <c r="S9" i="155"/>
  <c r="S21" i="155"/>
  <c r="S132" i="155"/>
  <c r="S4" i="155"/>
  <c r="S16" i="155"/>
  <c r="S86" i="155"/>
  <c r="S115" i="155"/>
  <c r="S133" i="155"/>
  <c r="S11" i="155"/>
  <c r="S23" i="155"/>
  <c r="S12" i="155"/>
  <c r="S24" i="155"/>
  <c r="S36" i="155"/>
  <c r="S19" i="155"/>
  <c r="S31" i="155"/>
  <c r="S120" i="155"/>
  <c r="S135" i="155"/>
  <c r="S26" i="155"/>
  <c r="S38" i="155"/>
  <c r="S136" i="155"/>
  <c r="S33" i="155"/>
  <c r="S13" i="155"/>
  <c r="S28" i="155"/>
  <c r="S40" i="155"/>
  <c r="S6" i="155"/>
  <c r="S30" i="155"/>
  <c r="S42" i="155"/>
  <c r="S7" i="155"/>
  <c r="S25" i="155"/>
  <c r="S37" i="155"/>
  <c r="S127" i="155"/>
  <c r="S14" i="155"/>
  <c r="S32" i="155"/>
  <c r="S39" i="155"/>
  <c r="S48" i="155"/>
  <c r="S43" i="155"/>
  <c r="S50" i="155"/>
  <c r="S20" i="155"/>
  <c r="S8" i="155"/>
  <c r="S18" i="155"/>
  <c r="S45" i="155"/>
  <c r="S29" i="155"/>
  <c r="S47" i="155"/>
  <c r="S35" i="155"/>
  <c r="S27" i="155"/>
  <c r="S49" i="155"/>
  <c r="S34" i="155"/>
  <c r="S46" i="155"/>
  <c r="S44" i="155"/>
  <c r="S41" i="155"/>
  <c r="S139" i="155"/>
  <c r="S146" i="155"/>
  <c r="S141" i="155"/>
  <c r="S148" i="155"/>
  <c r="S143" i="155"/>
  <c r="S138" i="155"/>
  <c r="S145" i="155"/>
  <c r="S147" i="155"/>
  <c r="S142" i="155"/>
  <c r="S154" i="155"/>
  <c r="S137" i="155"/>
  <c r="S165" i="155"/>
  <c r="S177" i="155"/>
  <c r="S155" i="155"/>
  <c r="S167" i="155"/>
  <c r="S144" i="155"/>
  <c r="S162" i="155"/>
  <c r="S174" i="155"/>
  <c r="S140" i="155"/>
  <c r="S157" i="155"/>
  <c r="S151" i="155"/>
  <c r="S164" i="155"/>
  <c r="S159" i="155"/>
  <c r="S171" i="155"/>
  <c r="S152" i="155"/>
  <c r="S166" i="155"/>
  <c r="S153" i="155"/>
  <c r="S161" i="155"/>
  <c r="S173" i="155"/>
  <c r="S150" i="155"/>
  <c r="S156" i="155"/>
  <c r="S168" i="155"/>
  <c r="S180" i="155"/>
  <c r="S149" i="155"/>
  <c r="S172" i="155"/>
  <c r="S179" i="155"/>
  <c r="S188" i="155"/>
  <c r="S195" i="155"/>
  <c r="S170" i="155"/>
  <c r="S178" i="155"/>
  <c r="S158" i="155"/>
  <c r="S163" i="155"/>
  <c r="S169" i="155"/>
  <c r="S186" i="155"/>
  <c r="S160" i="155"/>
  <c r="S181" i="155"/>
  <c r="S175" i="155"/>
  <c r="S184" i="155"/>
  <c r="S189" i="155"/>
  <c r="S201" i="155"/>
  <c r="S194" i="155"/>
  <c r="S183" i="155"/>
  <c r="S202" i="155"/>
  <c r="S196" i="155"/>
  <c r="S203" i="155"/>
  <c r="S197" i="155"/>
  <c r="S200" i="155"/>
  <c r="S198" i="155"/>
  <c r="S182" i="155"/>
  <c r="S191" i="155"/>
  <c r="S192" i="155"/>
  <c r="S190" i="155"/>
  <c r="S176" i="155"/>
  <c r="S199" i="155"/>
  <c r="S204" i="155"/>
  <c r="S185" i="155"/>
  <c r="S187" i="155"/>
  <c r="S193" i="155"/>
  <c r="T1" i="155"/>
  <c r="T45" i="153"/>
  <c r="T44" i="153"/>
  <c r="T43" i="153"/>
  <c r="T59" i="155" l="1"/>
  <c r="T71" i="155"/>
  <c r="T83" i="155"/>
  <c r="T54" i="155"/>
  <c r="T66" i="155"/>
  <c r="T78" i="155"/>
  <c r="T61" i="155"/>
  <c r="T73" i="155"/>
  <c r="T56" i="155"/>
  <c r="T68" i="155"/>
  <c r="T80" i="155"/>
  <c r="T51" i="155"/>
  <c r="T63" i="155"/>
  <c r="T75" i="155"/>
  <c r="T58" i="155"/>
  <c r="T70" i="155"/>
  <c r="T82" i="155"/>
  <c r="T53" i="155"/>
  <c r="T65" i="155"/>
  <c r="T77" i="155"/>
  <c r="T60" i="155"/>
  <c r="T72" i="155"/>
  <c r="T55" i="155"/>
  <c r="T67" i="155"/>
  <c r="T79" i="155"/>
  <c r="T74" i="155"/>
  <c r="T86" i="155"/>
  <c r="T98" i="155"/>
  <c r="T57" i="155"/>
  <c r="T93" i="155"/>
  <c r="T105" i="155"/>
  <c r="T88" i="155"/>
  <c r="T100" i="155"/>
  <c r="T62" i="155"/>
  <c r="T95" i="155"/>
  <c r="T107" i="155"/>
  <c r="T90" i="155"/>
  <c r="T102" i="155"/>
  <c r="T76" i="155"/>
  <c r="T85" i="155"/>
  <c r="T97" i="155"/>
  <c r="T92" i="155"/>
  <c r="T104" i="155"/>
  <c r="T81" i="155"/>
  <c r="T87" i="155"/>
  <c r="T99" i="155"/>
  <c r="T64" i="155"/>
  <c r="T94" i="155"/>
  <c r="T106" i="155"/>
  <c r="T115" i="155"/>
  <c r="T127" i="155"/>
  <c r="T108" i="155"/>
  <c r="T110" i="155"/>
  <c r="T122" i="155"/>
  <c r="T52" i="155"/>
  <c r="T91" i="155"/>
  <c r="T117" i="155"/>
  <c r="T129" i="155"/>
  <c r="T112" i="155"/>
  <c r="T124" i="155"/>
  <c r="T96" i="155"/>
  <c r="T119" i="155"/>
  <c r="T131" i="155"/>
  <c r="T114" i="155"/>
  <c r="T126" i="155"/>
  <c r="T101" i="155"/>
  <c r="T109" i="155"/>
  <c r="T121" i="155"/>
  <c r="T84" i="155"/>
  <c r="T116" i="155"/>
  <c r="T128" i="155"/>
  <c r="T111" i="155"/>
  <c r="T123" i="155"/>
  <c r="T89" i="155"/>
  <c r="T8" i="155"/>
  <c r="T20" i="155"/>
  <c r="T125" i="155"/>
  <c r="T3" i="155"/>
  <c r="T15" i="155"/>
  <c r="T10" i="155"/>
  <c r="T22" i="155"/>
  <c r="T130" i="155"/>
  <c r="T5" i="155"/>
  <c r="T113" i="155"/>
  <c r="T118" i="155"/>
  <c r="T136" i="155"/>
  <c r="T14" i="155"/>
  <c r="T69" i="155"/>
  <c r="T9" i="155"/>
  <c r="T21" i="155"/>
  <c r="T132" i="155"/>
  <c r="T4" i="155"/>
  <c r="T16" i="155"/>
  <c r="T29" i="155"/>
  <c r="T41" i="155"/>
  <c r="T133" i="155"/>
  <c r="T134" i="155"/>
  <c r="T12" i="155"/>
  <c r="T24" i="155"/>
  <c r="T36" i="155"/>
  <c r="T19" i="155"/>
  <c r="T31" i="155"/>
  <c r="T120" i="155"/>
  <c r="T135" i="155"/>
  <c r="T23" i="155"/>
  <c r="T26" i="155"/>
  <c r="T38" i="155"/>
  <c r="T103" i="155"/>
  <c r="T33" i="155"/>
  <c r="T17" i="155"/>
  <c r="T35" i="155"/>
  <c r="T6" i="155"/>
  <c r="T30" i="155"/>
  <c r="T42" i="155"/>
  <c r="T7" i="155"/>
  <c r="T25" i="155"/>
  <c r="T37" i="155"/>
  <c r="T32" i="155"/>
  <c r="T46" i="155"/>
  <c r="T39" i="155"/>
  <c r="T48" i="155"/>
  <c r="T13" i="155"/>
  <c r="T43" i="155"/>
  <c r="T50" i="155"/>
  <c r="T18" i="155"/>
  <c r="T45" i="155"/>
  <c r="T11" i="155"/>
  <c r="T28" i="155"/>
  <c r="T47" i="155"/>
  <c r="T49" i="155"/>
  <c r="T34" i="155"/>
  <c r="T40" i="155"/>
  <c r="T27" i="155"/>
  <c r="T44" i="155"/>
  <c r="T144" i="155"/>
  <c r="T139" i="155"/>
  <c r="T141" i="155"/>
  <c r="T143" i="155"/>
  <c r="T138" i="155"/>
  <c r="T150" i="155"/>
  <c r="T140" i="155"/>
  <c r="T152" i="155"/>
  <c r="T147" i="155"/>
  <c r="T142" i="155"/>
  <c r="T149" i="155"/>
  <c r="T158" i="155"/>
  <c r="T170" i="155"/>
  <c r="T137" i="155"/>
  <c r="T145" i="155"/>
  <c r="T160" i="155"/>
  <c r="T172" i="155"/>
  <c r="T146" i="155"/>
  <c r="T155" i="155"/>
  <c r="T167" i="155"/>
  <c r="T162" i="155"/>
  <c r="T148" i="155"/>
  <c r="T157" i="155"/>
  <c r="T169" i="155"/>
  <c r="T151" i="155"/>
  <c r="T164" i="155"/>
  <c r="T176" i="155"/>
  <c r="T159" i="155"/>
  <c r="T171" i="155"/>
  <c r="T166" i="155"/>
  <c r="T178" i="155"/>
  <c r="T153" i="155"/>
  <c r="T161" i="155"/>
  <c r="T173" i="155"/>
  <c r="T185" i="155"/>
  <c r="T165" i="155"/>
  <c r="T182" i="155"/>
  <c r="T200" i="155"/>
  <c r="T179" i="155"/>
  <c r="T156" i="155"/>
  <c r="T163" i="155"/>
  <c r="T183" i="155"/>
  <c r="T168" i="155"/>
  <c r="T154" i="155"/>
  <c r="T177" i="155"/>
  <c r="T181" i="155"/>
  <c r="T194" i="155"/>
  <c r="T190" i="155"/>
  <c r="T201" i="155"/>
  <c r="T175" i="155"/>
  <c r="T189" i="155"/>
  <c r="T195" i="155"/>
  <c r="T202" i="155"/>
  <c r="T180" i="155"/>
  <c r="T196" i="155"/>
  <c r="T174" i="155"/>
  <c r="T187" i="155"/>
  <c r="T193" i="155"/>
  <c r="T184" i="155"/>
  <c r="T186" i="155"/>
  <c r="T203" i="155"/>
  <c r="T197" i="155"/>
  <c r="T204" i="155"/>
  <c r="T188" i="155"/>
  <c r="T198" i="155"/>
  <c r="T199" i="155"/>
  <c r="T191" i="155"/>
  <c r="T192" i="155"/>
  <c r="U1" i="155"/>
  <c r="T83" i="153"/>
  <c r="U52" i="155" l="1"/>
  <c r="U64" i="155"/>
  <c r="U76" i="155"/>
  <c r="U59" i="155"/>
  <c r="U71" i="155"/>
  <c r="U83" i="155"/>
  <c r="U54" i="155"/>
  <c r="U66" i="155"/>
  <c r="U78" i="155"/>
  <c r="U61" i="155"/>
  <c r="U73" i="155"/>
  <c r="U56" i="155"/>
  <c r="U68" i="155"/>
  <c r="U80" i="155"/>
  <c r="U51" i="155"/>
  <c r="U63" i="155"/>
  <c r="U75" i="155"/>
  <c r="U58" i="155"/>
  <c r="U70" i="155"/>
  <c r="U82" i="155"/>
  <c r="U53" i="155"/>
  <c r="U65" i="155"/>
  <c r="U77" i="155"/>
  <c r="U60" i="155"/>
  <c r="U72" i="155"/>
  <c r="U91" i="155"/>
  <c r="U103" i="155"/>
  <c r="U74" i="155"/>
  <c r="U86" i="155"/>
  <c r="U98" i="155"/>
  <c r="U57" i="155"/>
  <c r="U93" i="155"/>
  <c r="U105" i="155"/>
  <c r="U79" i="155"/>
  <c r="U88" i="155"/>
  <c r="U100" i="155"/>
  <c r="U62" i="155"/>
  <c r="U95" i="155"/>
  <c r="U107" i="155"/>
  <c r="U90" i="155"/>
  <c r="U102" i="155"/>
  <c r="U67" i="155"/>
  <c r="U85" i="155"/>
  <c r="U97" i="155"/>
  <c r="U92" i="155"/>
  <c r="U104" i="155"/>
  <c r="U81" i="155"/>
  <c r="U87" i="155"/>
  <c r="U99" i="155"/>
  <c r="U94" i="155"/>
  <c r="U120" i="155"/>
  <c r="U132" i="155"/>
  <c r="U115" i="155"/>
  <c r="U127" i="155"/>
  <c r="U108" i="155"/>
  <c r="U110" i="155"/>
  <c r="U122" i="155"/>
  <c r="U117" i="155"/>
  <c r="U129" i="155"/>
  <c r="U112" i="155"/>
  <c r="U124" i="155"/>
  <c r="U96" i="155"/>
  <c r="U119" i="155"/>
  <c r="U131" i="155"/>
  <c r="U55" i="155"/>
  <c r="U114" i="155"/>
  <c r="U126" i="155"/>
  <c r="U101" i="155"/>
  <c r="U109" i="155"/>
  <c r="U121" i="155"/>
  <c r="U84" i="155"/>
  <c r="U116" i="155"/>
  <c r="U128" i="155"/>
  <c r="U111" i="155"/>
  <c r="U135" i="155"/>
  <c r="U13" i="155"/>
  <c r="U89" i="155"/>
  <c r="U8" i="155"/>
  <c r="U20" i="155"/>
  <c r="U125" i="155"/>
  <c r="U3" i="155"/>
  <c r="U15" i="155"/>
  <c r="U10" i="155"/>
  <c r="U130" i="155"/>
  <c r="U7" i="155"/>
  <c r="U19" i="155"/>
  <c r="U118" i="155"/>
  <c r="U136" i="155"/>
  <c r="U14" i="155"/>
  <c r="U69" i="155"/>
  <c r="U9" i="155"/>
  <c r="U21" i="155"/>
  <c r="U11" i="155"/>
  <c r="U22" i="155"/>
  <c r="U34" i="155"/>
  <c r="U29" i="155"/>
  <c r="U41" i="155"/>
  <c r="U133" i="155"/>
  <c r="U134" i="155"/>
  <c r="U12" i="155"/>
  <c r="U24" i="155"/>
  <c r="U36" i="155"/>
  <c r="U16" i="155"/>
  <c r="U31" i="155"/>
  <c r="U23" i="155"/>
  <c r="U26" i="155"/>
  <c r="U38" i="155"/>
  <c r="U5" i="155"/>
  <c r="U28" i="155"/>
  <c r="U40" i="155"/>
  <c r="U17" i="155"/>
  <c r="U35" i="155"/>
  <c r="U113" i="155"/>
  <c r="U6" i="155"/>
  <c r="U30" i="155"/>
  <c r="U42" i="155"/>
  <c r="U25" i="155"/>
  <c r="U32" i="155"/>
  <c r="U46" i="155"/>
  <c r="U39" i="155"/>
  <c r="U106" i="155"/>
  <c r="U48" i="155"/>
  <c r="U123" i="155"/>
  <c r="U37" i="155"/>
  <c r="U43" i="155"/>
  <c r="U50" i="155"/>
  <c r="U18" i="155"/>
  <c r="U45" i="155"/>
  <c r="U47" i="155"/>
  <c r="U49" i="155"/>
  <c r="U4" i="155"/>
  <c r="U33" i="155"/>
  <c r="U44" i="155"/>
  <c r="U27" i="155"/>
  <c r="U137" i="155"/>
  <c r="U144" i="155"/>
  <c r="U139" i="155"/>
  <c r="U146" i="155"/>
  <c r="U141" i="155"/>
  <c r="U143" i="155"/>
  <c r="U145" i="155"/>
  <c r="U140" i="155"/>
  <c r="U152" i="155"/>
  <c r="U147" i="155"/>
  <c r="U163" i="155"/>
  <c r="U175" i="155"/>
  <c r="U149" i="155"/>
  <c r="U158" i="155"/>
  <c r="U165" i="155"/>
  <c r="U177" i="155"/>
  <c r="U142" i="155"/>
  <c r="U160" i="155"/>
  <c r="U172" i="155"/>
  <c r="U155" i="155"/>
  <c r="U162" i="155"/>
  <c r="U174" i="155"/>
  <c r="U138" i="155"/>
  <c r="U148" i="155"/>
  <c r="U157" i="155"/>
  <c r="U169" i="155"/>
  <c r="U151" i="155"/>
  <c r="U164" i="155"/>
  <c r="U159" i="155"/>
  <c r="U171" i="155"/>
  <c r="U166" i="155"/>
  <c r="U178" i="155"/>
  <c r="U161" i="155"/>
  <c r="U176" i="155"/>
  <c r="U185" i="155"/>
  <c r="U193" i="155"/>
  <c r="U150" i="155"/>
  <c r="U153" i="155"/>
  <c r="U170" i="155"/>
  <c r="U180" i="155"/>
  <c r="U190" i="155"/>
  <c r="U156" i="155"/>
  <c r="U168" i="155"/>
  <c r="U186" i="155"/>
  <c r="U154" i="155"/>
  <c r="U199" i="155"/>
  <c r="U187" i="155"/>
  <c r="U200" i="155"/>
  <c r="U194" i="155"/>
  <c r="U183" i="155"/>
  <c r="U201" i="155"/>
  <c r="U189" i="155"/>
  <c r="U195" i="155"/>
  <c r="U179" i="155"/>
  <c r="U202" i="155"/>
  <c r="U196" i="155"/>
  <c r="U181" i="155"/>
  <c r="U184" i="155"/>
  <c r="U203" i="155"/>
  <c r="U197" i="155"/>
  <c r="U204" i="155"/>
  <c r="U188" i="155"/>
  <c r="U173" i="155"/>
  <c r="U182" i="155"/>
  <c r="U198" i="155"/>
  <c r="U167" i="155"/>
  <c r="U191" i="155"/>
  <c r="U192" i="155"/>
  <c r="V1" i="155"/>
  <c r="T31" i="153"/>
  <c r="T32" i="153"/>
  <c r="T33" i="153"/>
  <c r="T34" i="153"/>
  <c r="T35" i="153"/>
  <c r="T36" i="153"/>
  <c r="T37" i="153"/>
  <c r="T38" i="153"/>
  <c r="T39" i="153"/>
  <c r="V57" i="155" l="1"/>
  <c r="V69" i="155"/>
  <c r="V81" i="155"/>
  <c r="V52" i="155"/>
  <c r="V64" i="155"/>
  <c r="V76" i="155"/>
  <c r="V59" i="155"/>
  <c r="V71" i="155"/>
  <c r="V83" i="155"/>
  <c r="V54" i="155"/>
  <c r="V66" i="155"/>
  <c r="V78" i="155"/>
  <c r="V61" i="155"/>
  <c r="V73" i="155"/>
  <c r="V56" i="155"/>
  <c r="V68" i="155"/>
  <c r="V80" i="155"/>
  <c r="V51" i="155"/>
  <c r="V63" i="155"/>
  <c r="V75" i="155"/>
  <c r="V58" i="155"/>
  <c r="V70" i="155"/>
  <c r="V82" i="155"/>
  <c r="V53" i="155"/>
  <c r="V65" i="155"/>
  <c r="V77" i="155"/>
  <c r="V60" i="155"/>
  <c r="V84" i="155"/>
  <c r="V96" i="155"/>
  <c r="V91" i="155"/>
  <c r="V103" i="155"/>
  <c r="V74" i="155"/>
  <c r="V86" i="155"/>
  <c r="V98" i="155"/>
  <c r="V93" i="155"/>
  <c r="V105" i="155"/>
  <c r="V79" i="155"/>
  <c r="V88" i="155"/>
  <c r="V100" i="155"/>
  <c r="V62" i="155"/>
  <c r="V95" i="155"/>
  <c r="V107" i="155"/>
  <c r="V90" i="155"/>
  <c r="V102" i="155"/>
  <c r="V67" i="155"/>
  <c r="V85" i="155"/>
  <c r="V97" i="155"/>
  <c r="V92" i="155"/>
  <c r="V104" i="155"/>
  <c r="V113" i="155"/>
  <c r="V125" i="155"/>
  <c r="V94" i="155"/>
  <c r="V120" i="155"/>
  <c r="V132" i="155"/>
  <c r="V115" i="155"/>
  <c r="V127" i="155"/>
  <c r="V72" i="155"/>
  <c r="V99" i="155"/>
  <c r="V108" i="155"/>
  <c r="V110" i="155"/>
  <c r="V122" i="155"/>
  <c r="V117" i="155"/>
  <c r="V129" i="155"/>
  <c r="V112" i="155"/>
  <c r="V124" i="155"/>
  <c r="V87" i="155"/>
  <c r="V119" i="155"/>
  <c r="V131" i="155"/>
  <c r="V55" i="155"/>
  <c r="V114" i="155"/>
  <c r="V126" i="155"/>
  <c r="V101" i="155"/>
  <c r="V109" i="155"/>
  <c r="V121" i="155"/>
  <c r="V128" i="155"/>
  <c r="V6" i="155"/>
  <c r="V18" i="155"/>
  <c r="V111" i="155"/>
  <c r="V135" i="155"/>
  <c r="V13" i="155"/>
  <c r="V89" i="155"/>
  <c r="V8" i="155"/>
  <c r="V20" i="155"/>
  <c r="V116" i="155"/>
  <c r="V3" i="155"/>
  <c r="V134" i="155"/>
  <c r="V12" i="155"/>
  <c r="V7" i="155"/>
  <c r="V19" i="155"/>
  <c r="V118" i="155"/>
  <c r="V136" i="155"/>
  <c r="V14" i="155"/>
  <c r="V15" i="155"/>
  <c r="V27" i="155"/>
  <c r="V39" i="155"/>
  <c r="V11" i="155"/>
  <c r="V22" i="155"/>
  <c r="V34" i="155"/>
  <c r="V29" i="155"/>
  <c r="V41" i="155"/>
  <c r="V133" i="155"/>
  <c r="V24" i="155"/>
  <c r="V36" i="155"/>
  <c r="V130" i="155"/>
  <c r="V16" i="155"/>
  <c r="V31" i="155"/>
  <c r="V106" i="155"/>
  <c r="V4" i="155"/>
  <c r="V33" i="155"/>
  <c r="V5" i="155"/>
  <c r="V28" i="155"/>
  <c r="V40" i="155"/>
  <c r="V17" i="155"/>
  <c r="V35" i="155"/>
  <c r="V44" i="155"/>
  <c r="V25" i="155"/>
  <c r="V10" i="155"/>
  <c r="V32" i="155"/>
  <c r="V46" i="155"/>
  <c r="V38" i="155"/>
  <c r="V30" i="155"/>
  <c r="V48" i="155"/>
  <c r="V123" i="155"/>
  <c r="V37" i="155"/>
  <c r="V43" i="155"/>
  <c r="V50" i="155"/>
  <c r="V23" i="155"/>
  <c r="V45" i="155"/>
  <c r="V21" i="155"/>
  <c r="V42" i="155"/>
  <c r="V49" i="155"/>
  <c r="V9" i="155"/>
  <c r="V26" i="155"/>
  <c r="V47" i="155"/>
  <c r="V142" i="155"/>
  <c r="V137" i="155"/>
  <c r="V139" i="155"/>
  <c r="V146" i="155"/>
  <c r="V141" i="155"/>
  <c r="V148" i="155"/>
  <c r="V138" i="155"/>
  <c r="V150" i="155"/>
  <c r="V145" i="155"/>
  <c r="V140" i="155"/>
  <c r="V154" i="155"/>
  <c r="V156" i="155"/>
  <c r="V168" i="155"/>
  <c r="V149" i="155"/>
  <c r="V158" i="155"/>
  <c r="V170" i="155"/>
  <c r="V165" i="155"/>
  <c r="V144" i="155"/>
  <c r="V147" i="155"/>
  <c r="V160" i="155"/>
  <c r="V155" i="155"/>
  <c r="V167" i="155"/>
  <c r="V162" i="155"/>
  <c r="V174" i="155"/>
  <c r="V157" i="155"/>
  <c r="V169" i="155"/>
  <c r="V143" i="155"/>
  <c r="V151" i="155"/>
  <c r="V152" i="155"/>
  <c r="V164" i="155"/>
  <c r="V176" i="155"/>
  <c r="V159" i="155"/>
  <c r="V171" i="155"/>
  <c r="V183" i="155"/>
  <c r="V173" i="155"/>
  <c r="V172" i="155"/>
  <c r="V161" i="155"/>
  <c r="V182" i="155"/>
  <c r="V198" i="155"/>
  <c r="V153" i="155"/>
  <c r="V179" i="155"/>
  <c r="V188" i="155"/>
  <c r="V163" i="155"/>
  <c r="V177" i="155"/>
  <c r="V186" i="155"/>
  <c r="V192" i="155"/>
  <c r="V193" i="155"/>
  <c r="V204" i="155"/>
  <c r="V187" i="155"/>
  <c r="V190" i="155"/>
  <c r="V200" i="155"/>
  <c r="V194" i="155"/>
  <c r="V175" i="155"/>
  <c r="V201" i="155"/>
  <c r="V178" i="155"/>
  <c r="V189" i="155"/>
  <c r="V195" i="155"/>
  <c r="V191" i="155"/>
  <c r="V180" i="155"/>
  <c r="V202" i="155"/>
  <c r="V196" i="155"/>
  <c r="V203" i="155"/>
  <c r="V185" i="155"/>
  <c r="V181" i="155"/>
  <c r="V184" i="155"/>
  <c r="V197" i="155"/>
  <c r="V166" i="155"/>
  <c r="V199" i="155"/>
  <c r="W1" i="155"/>
  <c r="T41" i="153"/>
  <c r="W62" i="155" l="1"/>
  <c r="W74" i="155"/>
  <c r="W57" i="155"/>
  <c r="W69" i="155"/>
  <c r="W81" i="155"/>
  <c r="W52" i="155"/>
  <c r="W64" i="155"/>
  <c r="W76" i="155"/>
  <c r="W59" i="155"/>
  <c r="W71" i="155"/>
  <c r="W83" i="155"/>
  <c r="W54" i="155"/>
  <c r="W66" i="155"/>
  <c r="W78" i="155"/>
  <c r="W61" i="155"/>
  <c r="W73" i="155"/>
  <c r="W56" i="155"/>
  <c r="W68" i="155"/>
  <c r="W80" i="155"/>
  <c r="W51" i="155"/>
  <c r="W63" i="155"/>
  <c r="W75" i="155"/>
  <c r="W58" i="155"/>
  <c r="W70" i="155"/>
  <c r="W82" i="155"/>
  <c r="W77" i="155"/>
  <c r="W89" i="155"/>
  <c r="W101" i="155"/>
  <c r="W60" i="155"/>
  <c r="W84" i="155"/>
  <c r="W96" i="155"/>
  <c r="W108" i="155"/>
  <c r="W91" i="155"/>
  <c r="W103" i="155"/>
  <c r="W65" i="155"/>
  <c r="W86" i="155"/>
  <c r="W98" i="155"/>
  <c r="W93" i="155"/>
  <c r="W105" i="155"/>
  <c r="W79" i="155"/>
  <c r="W88" i="155"/>
  <c r="W100" i="155"/>
  <c r="W53" i="155"/>
  <c r="W95" i="155"/>
  <c r="W107" i="155"/>
  <c r="W90" i="155"/>
  <c r="W102" i="155"/>
  <c r="W67" i="155"/>
  <c r="W85" i="155"/>
  <c r="W97" i="155"/>
  <c r="W118" i="155"/>
  <c r="W130" i="155"/>
  <c r="W113" i="155"/>
  <c r="W125" i="155"/>
  <c r="W94" i="155"/>
  <c r="W120" i="155"/>
  <c r="W115" i="155"/>
  <c r="W127" i="155"/>
  <c r="W72" i="155"/>
  <c r="W99" i="155"/>
  <c r="W110" i="155"/>
  <c r="W122" i="155"/>
  <c r="W117" i="155"/>
  <c r="W129" i="155"/>
  <c r="W104" i="155"/>
  <c r="W112" i="155"/>
  <c r="W124" i="155"/>
  <c r="W87" i="155"/>
  <c r="W119" i="155"/>
  <c r="W131" i="155"/>
  <c r="W55" i="155"/>
  <c r="W114" i="155"/>
  <c r="W126" i="155"/>
  <c r="W133" i="155"/>
  <c r="W11" i="155"/>
  <c r="W23" i="155"/>
  <c r="W128" i="155"/>
  <c r="W6" i="155"/>
  <c r="W18" i="155"/>
  <c r="W111" i="155"/>
  <c r="W135" i="155"/>
  <c r="W13" i="155"/>
  <c r="W8" i="155"/>
  <c r="W116" i="155"/>
  <c r="W92" i="155"/>
  <c r="W121" i="155"/>
  <c r="W5" i="155"/>
  <c r="W17" i="155"/>
  <c r="W134" i="155"/>
  <c r="W12" i="155"/>
  <c r="W7" i="155"/>
  <c r="W19" i="155"/>
  <c r="W10" i="155"/>
  <c r="W32" i="155"/>
  <c r="W15" i="155"/>
  <c r="W27" i="155"/>
  <c r="W39" i="155"/>
  <c r="W22" i="155"/>
  <c r="W34" i="155"/>
  <c r="W29" i="155"/>
  <c r="W41" i="155"/>
  <c r="W136" i="155"/>
  <c r="W24" i="155"/>
  <c r="W36" i="155"/>
  <c r="W20" i="155"/>
  <c r="W26" i="155"/>
  <c r="W38" i="155"/>
  <c r="W106" i="155"/>
  <c r="W4" i="155"/>
  <c r="W33" i="155"/>
  <c r="W28" i="155"/>
  <c r="W40" i="155"/>
  <c r="W132" i="155"/>
  <c r="W49" i="155"/>
  <c r="W44" i="155"/>
  <c r="W25" i="155"/>
  <c r="W31" i="155"/>
  <c r="W46" i="155"/>
  <c r="W109" i="155"/>
  <c r="W30" i="155"/>
  <c r="W48" i="155"/>
  <c r="W123" i="155"/>
  <c r="W37" i="155"/>
  <c r="W43" i="155"/>
  <c r="W50" i="155"/>
  <c r="W3" i="155"/>
  <c r="W16" i="155"/>
  <c r="W14" i="155"/>
  <c r="W35" i="155"/>
  <c r="W45" i="155"/>
  <c r="W9" i="155"/>
  <c r="W21" i="155"/>
  <c r="W47" i="155"/>
  <c r="W42" i="155"/>
  <c r="W142" i="155"/>
  <c r="W137" i="155"/>
  <c r="W144" i="155"/>
  <c r="W139" i="155"/>
  <c r="W141" i="155"/>
  <c r="W143" i="155"/>
  <c r="W138" i="155"/>
  <c r="W150" i="155"/>
  <c r="W145" i="155"/>
  <c r="W153" i="155"/>
  <c r="W161" i="155"/>
  <c r="W173" i="155"/>
  <c r="W154" i="155"/>
  <c r="W156" i="155"/>
  <c r="W163" i="155"/>
  <c r="W175" i="155"/>
  <c r="W149" i="155"/>
  <c r="W158" i="155"/>
  <c r="W170" i="155"/>
  <c r="W146" i="155"/>
  <c r="W140" i="155"/>
  <c r="W147" i="155"/>
  <c r="W160" i="155"/>
  <c r="W172" i="155"/>
  <c r="W155" i="155"/>
  <c r="W167" i="155"/>
  <c r="W179" i="155"/>
  <c r="W148" i="155"/>
  <c r="W162" i="155"/>
  <c r="W174" i="155"/>
  <c r="W157" i="155"/>
  <c r="W169" i="155"/>
  <c r="W151" i="155"/>
  <c r="W152" i="155"/>
  <c r="W164" i="155"/>
  <c r="W176" i="155"/>
  <c r="W188" i="155"/>
  <c r="W166" i="155"/>
  <c r="W184" i="155"/>
  <c r="W165" i="155"/>
  <c r="W171" i="155"/>
  <c r="W191" i="155"/>
  <c r="W178" i="155"/>
  <c r="W180" i="155"/>
  <c r="W183" i="155"/>
  <c r="W190" i="155"/>
  <c r="W168" i="155"/>
  <c r="W197" i="155"/>
  <c r="W185" i="155"/>
  <c r="W199" i="155"/>
  <c r="W204" i="155"/>
  <c r="W193" i="155"/>
  <c r="W187" i="155"/>
  <c r="W200" i="155"/>
  <c r="W194" i="155"/>
  <c r="W201" i="155"/>
  <c r="W189" i="155"/>
  <c r="W195" i="155"/>
  <c r="W177" i="155"/>
  <c r="W186" i="155"/>
  <c r="W202" i="155"/>
  <c r="W198" i="155"/>
  <c r="W196" i="155"/>
  <c r="W181" i="155"/>
  <c r="W203" i="155"/>
  <c r="W159" i="155"/>
  <c r="W192" i="155"/>
  <c r="W182" i="155"/>
  <c r="X1" i="155"/>
  <c r="T51" i="153"/>
  <c r="X55" i="155" l="1"/>
  <c r="X67" i="155"/>
  <c r="X79" i="155"/>
  <c r="X62" i="155"/>
  <c r="X74" i="155"/>
  <c r="X57" i="155"/>
  <c r="X69" i="155"/>
  <c r="X81" i="155"/>
  <c r="X52" i="155"/>
  <c r="X64" i="155"/>
  <c r="X76" i="155"/>
  <c r="X59" i="155"/>
  <c r="X71" i="155"/>
  <c r="X83" i="155"/>
  <c r="X54" i="155"/>
  <c r="X66" i="155"/>
  <c r="X78" i="155"/>
  <c r="X61" i="155"/>
  <c r="X73" i="155"/>
  <c r="X56" i="155"/>
  <c r="X68" i="155"/>
  <c r="X80" i="155"/>
  <c r="X51" i="155"/>
  <c r="X63" i="155"/>
  <c r="X75" i="155"/>
  <c r="X94" i="155"/>
  <c r="X106" i="155"/>
  <c r="X77" i="155"/>
  <c r="X89" i="155"/>
  <c r="X101" i="155"/>
  <c r="X60" i="155"/>
  <c r="X84" i="155"/>
  <c r="X96" i="155"/>
  <c r="X108" i="155"/>
  <c r="X82" i="155"/>
  <c r="X91" i="155"/>
  <c r="X103" i="155"/>
  <c r="X65" i="155"/>
  <c r="X86" i="155"/>
  <c r="X98" i="155"/>
  <c r="X93" i="155"/>
  <c r="X105" i="155"/>
  <c r="X70" i="155"/>
  <c r="X88" i="155"/>
  <c r="X100" i="155"/>
  <c r="X53" i="155"/>
  <c r="X95" i="155"/>
  <c r="X107" i="155"/>
  <c r="X90" i="155"/>
  <c r="X102" i="155"/>
  <c r="X58" i="155"/>
  <c r="X97" i="155"/>
  <c r="X111" i="155"/>
  <c r="X123" i="155"/>
  <c r="X118" i="155"/>
  <c r="X130" i="155"/>
  <c r="X113" i="155"/>
  <c r="X125" i="155"/>
  <c r="X85" i="155"/>
  <c r="X120" i="155"/>
  <c r="X132" i="155"/>
  <c r="X115" i="155"/>
  <c r="X127" i="155"/>
  <c r="X72" i="155"/>
  <c r="X99" i="155"/>
  <c r="X110" i="155"/>
  <c r="X122" i="155"/>
  <c r="X117" i="155"/>
  <c r="X129" i="155"/>
  <c r="X104" i="155"/>
  <c r="X112" i="155"/>
  <c r="X124" i="155"/>
  <c r="X87" i="155"/>
  <c r="X119" i="155"/>
  <c r="X131" i="155"/>
  <c r="X114" i="155"/>
  <c r="X4" i="155"/>
  <c r="X16" i="155"/>
  <c r="X133" i="155"/>
  <c r="X11" i="155"/>
  <c r="X23" i="155"/>
  <c r="X128" i="155"/>
  <c r="X6" i="155"/>
  <c r="X18" i="155"/>
  <c r="X135" i="155"/>
  <c r="X10" i="155"/>
  <c r="X22" i="155"/>
  <c r="X92" i="155"/>
  <c r="X121" i="155"/>
  <c r="X5" i="155"/>
  <c r="X17" i="155"/>
  <c r="X134" i="155"/>
  <c r="X12" i="155"/>
  <c r="X9" i="155"/>
  <c r="X25" i="155"/>
  <c r="X37" i="155"/>
  <c r="X32" i="155"/>
  <c r="X15" i="155"/>
  <c r="X27" i="155"/>
  <c r="X39" i="155"/>
  <c r="X19" i="155"/>
  <c r="X34" i="155"/>
  <c r="X116" i="155"/>
  <c r="X29" i="155"/>
  <c r="X41" i="155"/>
  <c r="X3" i="155"/>
  <c r="X13" i="155"/>
  <c r="X31" i="155"/>
  <c r="X20" i="155"/>
  <c r="X26" i="155"/>
  <c r="X38" i="155"/>
  <c r="X33" i="155"/>
  <c r="X7" i="155"/>
  <c r="X40" i="155"/>
  <c r="X49" i="155"/>
  <c r="X44" i="155"/>
  <c r="X136" i="155"/>
  <c r="X24" i="155"/>
  <c r="X46" i="155"/>
  <c r="X109" i="155"/>
  <c r="X8" i="155"/>
  <c r="X30" i="155"/>
  <c r="X48" i="155"/>
  <c r="X126" i="155"/>
  <c r="X36" i="155"/>
  <c r="X43" i="155"/>
  <c r="X50" i="155"/>
  <c r="X28" i="155"/>
  <c r="X35" i="155"/>
  <c r="X45" i="155"/>
  <c r="X42" i="155"/>
  <c r="X47" i="155"/>
  <c r="X14" i="155"/>
  <c r="X21" i="155"/>
  <c r="X140" i="155"/>
  <c r="X147" i="155"/>
  <c r="X142" i="155"/>
  <c r="X137" i="155"/>
  <c r="X149" i="155"/>
  <c r="X144" i="155"/>
  <c r="X139" i="155"/>
  <c r="X146" i="155"/>
  <c r="X148" i="155"/>
  <c r="X143" i="155"/>
  <c r="X138" i="155"/>
  <c r="X166" i="155"/>
  <c r="X153" i="155"/>
  <c r="X154" i="155"/>
  <c r="X156" i="155"/>
  <c r="X168" i="155"/>
  <c r="X145" i="155"/>
  <c r="X163" i="155"/>
  <c r="X158" i="155"/>
  <c r="X165" i="155"/>
  <c r="X160" i="155"/>
  <c r="X172" i="155"/>
  <c r="X155" i="155"/>
  <c r="X167" i="155"/>
  <c r="X162" i="155"/>
  <c r="X174" i="155"/>
  <c r="X157" i="155"/>
  <c r="X169" i="155"/>
  <c r="X181" i="155"/>
  <c r="X152" i="155"/>
  <c r="X159" i="155"/>
  <c r="X175" i="155"/>
  <c r="X173" i="155"/>
  <c r="X164" i="155"/>
  <c r="X187" i="155"/>
  <c r="X196" i="155"/>
  <c r="X161" i="155"/>
  <c r="X171" i="155"/>
  <c r="X176" i="155"/>
  <c r="X150" i="155"/>
  <c r="X170" i="155"/>
  <c r="X185" i="155"/>
  <c r="X151" i="155"/>
  <c r="X180" i="155"/>
  <c r="X183" i="155"/>
  <c r="X190" i="155"/>
  <c r="X202" i="155"/>
  <c r="X141" i="155"/>
  <c r="X191" i="155"/>
  <c r="X192" i="155"/>
  <c r="X199" i="155"/>
  <c r="X204" i="155"/>
  <c r="X193" i="155"/>
  <c r="X200" i="155"/>
  <c r="X194" i="155"/>
  <c r="X182" i="155"/>
  <c r="X178" i="155"/>
  <c r="X179" i="155"/>
  <c r="X201" i="155"/>
  <c r="X189" i="155"/>
  <c r="X195" i="155"/>
  <c r="X198" i="155"/>
  <c r="X177" i="155"/>
  <c r="X186" i="155"/>
  <c r="X184" i="155"/>
  <c r="X188" i="155"/>
  <c r="X197" i="155"/>
  <c r="X203" i="155"/>
  <c r="Y1" i="155"/>
  <c r="T30" i="153"/>
  <c r="T26" i="153"/>
  <c r="Y60" i="155" l="1"/>
  <c r="Y72" i="155"/>
  <c r="Y55" i="155"/>
  <c r="Y67" i="155"/>
  <c r="Y79" i="155"/>
  <c r="Y62" i="155"/>
  <c r="Y74" i="155"/>
  <c r="Y57" i="155"/>
  <c r="Y69" i="155"/>
  <c r="Y81" i="155"/>
  <c r="Y52" i="155"/>
  <c r="Y64" i="155"/>
  <c r="Y76" i="155"/>
  <c r="Y59" i="155"/>
  <c r="Y71" i="155"/>
  <c r="Y83" i="155"/>
  <c r="Y54" i="155"/>
  <c r="Y66" i="155"/>
  <c r="Y78" i="155"/>
  <c r="Y61" i="155"/>
  <c r="Y73" i="155"/>
  <c r="Y56" i="155"/>
  <c r="Y68" i="155"/>
  <c r="Y80" i="155"/>
  <c r="Y63" i="155"/>
  <c r="Y87" i="155"/>
  <c r="Y99" i="155"/>
  <c r="Y94" i="155"/>
  <c r="Y106" i="155"/>
  <c r="Y77" i="155"/>
  <c r="Y89" i="155"/>
  <c r="Y101" i="155"/>
  <c r="Y51" i="155"/>
  <c r="Y84" i="155"/>
  <c r="Y96" i="155"/>
  <c r="Y82" i="155"/>
  <c r="Y91" i="155"/>
  <c r="Y103" i="155"/>
  <c r="Y65" i="155"/>
  <c r="Y86" i="155"/>
  <c r="Y98" i="155"/>
  <c r="Y93" i="155"/>
  <c r="Y105" i="155"/>
  <c r="Y70" i="155"/>
  <c r="Y88" i="155"/>
  <c r="Y100" i="155"/>
  <c r="Y53" i="155"/>
  <c r="Y95" i="155"/>
  <c r="Y107" i="155"/>
  <c r="Y116" i="155"/>
  <c r="Y128" i="155"/>
  <c r="Y58" i="155"/>
  <c r="Y97" i="155"/>
  <c r="Y111" i="155"/>
  <c r="Y123" i="155"/>
  <c r="Y118" i="155"/>
  <c r="Y130" i="155"/>
  <c r="Y102" i="155"/>
  <c r="Y113" i="155"/>
  <c r="Y125" i="155"/>
  <c r="Y85" i="155"/>
  <c r="Y108" i="155"/>
  <c r="Y120" i="155"/>
  <c r="Y132" i="155"/>
  <c r="Y115" i="155"/>
  <c r="Y127" i="155"/>
  <c r="Y90" i="155"/>
  <c r="Y110" i="155"/>
  <c r="Y122" i="155"/>
  <c r="Y117" i="155"/>
  <c r="Y129" i="155"/>
  <c r="Y104" i="155"/>
  <c r="Y112" i="155"/>
  <c r="Y124" i="155"/>
  <c r="Y131" i="155"/>
  <c r="Y9" i="155"/>
  <c r="Y21" i="155"/>
  <c r="Y114" i="155"/>
  <c r="Y4" i="155"/>
  <c r="Y16" i="155"/>
  <c r="Y133" i="155"/>
  <c r="Y11" i="155"/>
  <c r="Y23" i="155"/>
  <c r="Y119" i="155"/>
  <c r="Y6" i="155"/>
  <c r="Y3" i="155"/>
  <c r="Y15" i="155"/>
  <c r="Y10" i="155"/>
  <c r="Y22" i="155"/>
  <c r="Y92" i="155"/>
  <c r="Y121" i="155"/>
  <c r="Y5" i="155"/>
  <c r="Y17" i="155"/>
  <c r="Y18" i="155"/>
  <c r="Y30" i="155"/>
  <c r="Y42" i="155"/>
  <c r="Y75" i="155"/>
  <c r="Y25" i="155"/>
  <c r="Y37" i="155"/>
  <c r="Y32" i="155"/>
  <c r="Y134" i="155"/>
  <c r="Y12" i="155"/>
  <c r="Y27" i="155"/>
  <c r="Y39" i="155"/>
  <c r="Y135" i="155"/>
  <c r="Y19" i="155"/>
  <c r="Y34" i="155"/>
  <c r="Y126" i="155"/>
  <c r="Y136" i="155"/>
  <c r="Y24" i="155"/>
  <c r="Y36" i="155"/>
  <c r="Y13" i="155"/>
  <c r="Y31" i="155"/>
  <c r="Y20" i="155"/>
  <c r="Y26" i="155"/>
  <c r="Y38" i="155"/>
  <c r="Y33" i="155"/>
  <c r="Y47" i="155"/>
  <c r="Y7" i="155"/>
  <c r="Y40" i="155"/>
  <c r="Y49" i="155"/>
  <c r="Y44" i="155"/>
  <c r="Y46" i="155"/>
  <c r="Y109" i="155"/>
  <c r="Y8" i="155"/>
  <c r="Y29" i="155"/>
  <c r="Y48" i="155"/>
  <c r="Y43" i="155"/>
  <c r="Y50" i="155"/>
  <c r="Y35" i="155"/>
  <c r="Y41" i="155"/>
  <c r="Y14" i="155"/>
  <c r="Y45" i="155"/>
  <c r="Y28" i="155"/>
  <c r="Y140" i="155"/>
  <c r="Y142" i="155"/>
  <c r="Y137" i="155"/>
  <c r="Y139" i="155"/>
  <c r="Y151" i="155"/>
  <c r="Y141" i="155"/>
  <c r="Y153" i="155"/>
  <c r="Y148" i="155"/>
  <c r="Y143" i="155"/>
  <c r="Y150" i="155"/>
  <c r="Y159" i="155"/>
  <c r="Y171" i="155"/>
  <c r="Y161" i="155"/>
  <c r="Y173" i="155"/>
  <c r="Y154" i="155"/>
  <c r="Y156" i="155"/>
  <c r="Y168" i="155"/>
  <c r="Y145" i="155"/>
  <c r="Y149" i="155"/>
  <c r="Y163" i="155"/>
  <c r="Y144" i="155"/>
  <c r="Y146" i="155"/>
  <c r="Y158" i="155"/>
  <c r="Y170" i="155"/>
  <c r="Y147" i="155"/>
  <c r="Y165" i="155"/>
  <c r="Y177" i="155"/>
  <c r="Y138" i="155"/>
  <c r="Y160" i="155"/>
  <c r="Y172" i="155"/>
  <c r="Y155" i="155"/>
  <c r="Y167" i="155"/>
  <c r="Y162" i="155"/>
  <c r="Y174" i="155"/>
  <c r="Y186" i="155"/>
  <c r="Y157" i="155"/>
  <c r="Y152" i="155"/>
  <c r="Y166" i="155"/>
  <c r="Y175" i="155"/>
  <c r="Y181" i="155"/>
  <c r="Y184" i="155"/>
  <c r="Y189" i="155"/>
  <c r="Y201" i="155"/>
  <c r="Y164" i="155"/>
  <c r="Y182" i="155"/>
  <c r="Y169" i="155"/>
  <c r="Y178" i="155"/>
  <c r="Y179" i="155"/>
  <c r="Y188" i="155"/>
  <c r="Y195" i="155"/>
  <c r="Y198" i="155"/>
  <c r="Y185" i="155"/>
  <c r="Y191" i="155"/>
  <c r="Y192" i="155"/>
  <c r="Y190" i="155"/>
  <c r="Y199" i="155"/>
  <c r="Y183" i="155"/>
  <c r="Y187" i="155"/>
  <c r="Y193" i="155"/>
  <c r="Y204" i="155"/>
  <c r="Y200" i="155"/>
  <c r="Y197" i="155"/>
  <c r="Y194" i="155"/>
  <c r="Y180" i="155"/>
  <c r="Y202" i="155"/>
  <c r="Y196" i="155"/>
  <c r="Y203" i="155"/>
  <c r="Y176" i="155"/>
  <c r="Z1" i="155"/>
  <c r="T4" i="153"/>
  <c r="Z53" i="155" l="1"/>
  <c r="Z65" i="155"/>
  <c r="Z77" i="155"/>
  <c r="Z60" i="155"/>
  <c r="Z72" i="155"/>
  <c r="Z55" i="155"/>
  <c r="Z67" i="155"/>
  <c r="Z79" i="155"/>
  <c r="Z62" i="155"/>
  <c r="Z74" i="155"/>
  <c r="Z57" i="155"/>
  <c r="Z69" i="155"/>
  <c r="Z81" i="155"/>
  <c r="Z52" i="155"/>
  <c r="Z64" i="155"/>
  <c r="Z76" i="155"/>
  <c r="Z59" i="155"/>
  <c r="Z71" i="155"/>
  <c r="Z83" i="155"/>
  <c r="Z54" i="155"/>
  <c r="Z66" i="155"/>
  <c r="Z78" i="155"/>
  <c r="Z61" i="155"/>
  <c r="Z73" i="155"/>
  <c r="Z80" i="155"/>
  <c r="Z92" i="155"/>
  <c r="Z104" i="155"/>
  <c r="Z63" i="155"/>
  <c r="Z87" i="155"/>
  <c r="Z99" i="155"/>
  <c r="Z94" i="155"/>
  <c r="Z106" i="155"/>
  <c r="Z68" i="155"/>
  <c r="Z89" i="155"/>
  <c r="Z101" i="155"/>
  <c r="Z51" i="155"/>
  <c r="Z84" i="155"/>
  <c r="Z96" i="155"/>
  <c r="Z82" i="155"/>
  <c r="Z91" i="155"/>
  <c r="Z103" i="155"/>
  <c r="Z56" i="155"/>
  <c r="Z86" i="155"/>
  <c r="Z98" i="155"/>
  <c r="Z93" i="155"/>
  <c r="Z105" i="155"/>
  <c r="Z70" i="155"/>
  <c r="Z88" i="155"/>
  <c r="Z100" i="155"/>
  <c r="Z109" i="155"/>
  <c r="Z121" i="155"/>
  <c r="Z116" i="155"/>
  <c r="Z128" i="155"/>
  <c r="Z58" i="155"/>
  <c r="Z97" i="155"/>
  <c r="Z111" i="155"/>
  <c r="Z123" i="155"/>
  <c r="Z118" i="155"/>
  <c r="Z130" i="155"/>
  <c r="Z102" i="155"/>
  <c r="Z113" i="155"/>
  <c r="Z125" i="155"/>
  <c r="Z85" i="155"/>
  <c r="Z108" i="155"/>
  <c r="Z120" i="155"/>
  <c r="Z132" i="155"/>
  <c r="Z107" i="155"/>
  <c r="Z115" i="155"/>
  <c r="Z127" i="155"/>
  <c r="Z90" i="155"/>
  <c r="Z110" i="155"/>
  <c r="Z122" i="155"/>
  <c r="Z117" i="155"/>
  <c r="Z129" i="155"/>
  <c r="Z95" i="155"/>
  <c r="Z136" i="155"/>
  <c r="Z14" i="155"/>
  <c r="Z131" i="155"/>
  <c r="Z9" i="155"/>
  <c r="Z21" i="155"/>
  <c r="Z114" i="155"/>
  <c r="Z4" i="155"/>
  <c r="Z16" i="155"/>
  <c r="Z133" i="155"/>
  <c r="Z11" i="155"/>
  <c r="Z119" i="155"/>
  <c r="Z124" i="155"/>
  <c r="Z8" i="155"/>
  <c r="Z20" i="155"/>
  <c r="Z3" i="155"/>
  <c r="Z15" i="155"/>
  <c r="Z10" i="155"/>
  <c r="Z22" i="155"/>
  <c r="Z35" i="155"/>
  <c r="Z18" i="155"/>
  <c r="Z30" i="155"/>
  <c r="Z42" i="155"/>
  <c r="Z75" i="155"/>
  <c r="Z25" i="155"/>
  <c r="Z37" i="155"/>
  <c r="Z32" i="155"/>
  <c r="Z134" i="155"/>
  <c r="Z12" i="155"/>
  <c r="Z27" i="155"/>
  <c r="Z39" i="155"/>
  <c r="Z23" i="155"/>
  <c r="Z29" i="155"/>
  <c r="Z41" i="155"/>
  <c r="Z126" i="155"/>
  <c r="Z24" i="155"/>
  <c r="Z36" i="155"/>
  <c r="Z5" i="155"/>
  <c r="Z13" i="155"/>
  <c r="Z31" i="155"/>
  <c r="Z17" i="155"/>
  <c r="Z26" i="155"/>
  <c r="Z33" i="155"/>
  <c r="Z47" i="155"/>
  <c r="Z7" i="155"/>
  <c r="Z40" i="155"/>
  <c r="Z49" i="155"/>
  <c r="Z38" i="155"/>
  <c r="Z44" i="155"/>
  <c r="Z46" i="155"/>
  <c r="Z112" i="155"/>
  <c r="Z6" i="155"/>
  <c r="Z48" i="155"/>
  <c r="Z34" i="155"/>
  <c r="Z43" i="155"/>
  <c r="Z19" i="155"/>
  <c r="Z135" i="155"/>
  <c r="Z45" i="155"/>
  <c r="Z28" i="155"/>
  <c r="Z50" i="155"/>
  <c r="Z138" i="155"/>
  <c r="Z145" i="155"/>
  <c r="Z140" i="155"/>
  <c r="Z147" i="155"/>
  <c r="Z142" i="155"/>
  <c r="Z137" i="155"/>
  <c r="Z144" i="155"/>
  <c r="Z146" i="155"/>
  <c r="Z141" i="155"/>
  <c r="Z153" i="155"/>
  <c r="Z139" i="155"/>
  <c r="Z152" i="155"/>
  <c r="Z164" i="155"/>
  <c r="Z176" i="155"/>
  <c r="Z150" i="155"/>
  <c r="Z166" i="155"/>
  <c r="Z161" i="155"/>
  <c r="Z173" i="155"/>
  <c r="Z154" i="155"/>
  <c r="Z156" i="155"/>
  <c r="Z149" i="155"/>
  <c r="Z163" i="155"/>
  <c r="Z175" i="155"/>
  <c r="Z158" i="155"/>
  <c r="Z170" i="155"/>
  <c r="Z165" i="155"/>
  <c r="Z148" i="155"/>
  <c r="Z160" i="155"/>
  <c r="Z172" i="155"/>
  <c r="Z143" i="155"/>
  <c r="Z155" i="155"/>
  <c r="Z167" i="155"/>
  <c r="Z179" i="155"/>
  <c r="Z157" i="155"/>
  <c r="Z159" i="155"/>
  <c r="Z194" i="155"/>
  <c r="Z171" i="155"/>
  <c r="Z191" i="155"/>
  <c r="Z169" i="155"/>
  <c r="Z185" i="155"/>
  <c r="Z151" i="155"/>
  <c r="Z178" i="155"/>
  <c r="Z188" i="155"/>
  <c r="Z200" i="155"/>
  <c r="Z168" i="155"/>
  <c r="Z174" i="155"/>
  <c r="Z182" i="155"/>
  <c r="Z198" i="155"/>
  <c r="Z192" i="155"/>
  <c r="Z162" i="155"/>
  <c r="Z190" i="155"/>
  <c r="Z199" i="155"/>
  <c r="Z183" i="155"/>
  <c r="Z187" i="155"/>
  <c r="Z193" i="155"/>
  <c r="Z204" i="155"/>
  <c r="Z197" i="155"/>
  <c r="Z201" i="155"/>
  <c r="Z203" i="155"/>
  <c r="Z180" i="155"/>
  <c r="Z189" i="155"/>
  <c r="Z195" i="155"/>
  <c r="Z177" i="155"/>
  <c r="Z186" i="155"/>
  <c r="Z202" i="155"/>
  <c r="Z181" i="155"/>
  <c r="Z184" i="155"/>
  <c r="Z196" i="155"/>
  <c r="AA1" i="155"/>
  <c r="T46" i="153"/>
  <c r="T29" i="153"/>
  <c r="T23" i="153"/>
  <c r="T28" i="153"/>
  <c r="AA58" i="155" l="1"/>
  <c r="AA70" i="155"/>
  <c r="AA82" i="155"/>
  <c r="AA53" i="155"/>
  <c r="AA65" i="155"/>
  <c r="AA77" i="155"/>
  <c r="AA60" i="155"/>
  <c r="AA72" i="155"/>
  <c r="AA55" i="155"/>
  <c r="AA67" i="155"/>
  <c r="AA79" i="155"/>
  <c r="AA62" i="155"/>
  <c r="AA74" i="155"/>
  <c r="AA57" i="155"/>
  <c r="AA69" i="155"/>
  <c r="AA81" i="155"/>
  <c r="AA52" i="155"/>
  <c r="AA64" i="155"/>
  <c r="AA76" i="155"/>
  <c r="AA59" i="155"/>
  <c r="AA71" i="155"/>
  <c r="AA83" i="155"/>
  <c r="AA54" i="155"/>
  <c r="AA66" i="155"/>
  <c r="AA78" i="155"/>
  <c r="AA85" i="155"/>
  <c r="AA97" i="155"/>
  <c r="AA80" i="155"/>
  <c r="AA92" i="155"/>
  <c r="AA104" i="155"/>
  <c r="AA63" i="155"/>
  <c r="AA87" i="155"/>
  <c r="AA99" i="155"/>
  <c r="AA94" i="155"/>
  <c r="AA106" i="155"/>
  <c r="AA68" i="155"/>
  <c r="AA89" i="155"/>
  <c r="AA101" i="155"/>
  <c r="AA51" i="155"/>
  <c r="AA84" i="155"/>
  <c r="AA96" i="155"/>
  <c r="AA73" i="155"/>
  <c r="AA91" i="155"/>
  <c r="AA103" i="155"/>
  <c r="AA56" i="155"/>
  <c r="AA86" i="155"/>
  <c r="AA98" i="155"/>
  <c r="AA93" i="155"/>
  <c r="AA105" i="155"/>
  <c r="AA100" i="155"/>
  <c r="AA114" i="155"/>
  <c r="AA126" i="155"/>
  <c r="AA109" i="155"/>
  <c r="AA121" i="155"/>
  <c r="AA116" i="155"/>
  <c r="AA128" i="155"/>
  <c r="AA88" i="155"/>
  <c r="AA111" i="155"/>
  <c r="AA123" i="155"/>
  <c r="AA118" i="155"/>
  <c r="AA130" i="155"/>
  <c r="AA102" i="155"/>
  <c r="AA113" i="155"/>
  <c r="AA125" i="155"/>
  <c r="AA61" i="155"/>
  <c r="AA108" i="155"/>
  <c r="AA120" i="155"/>
  <c r="AA132" i="155"/>
  <c r="AA107" i="155"/>
  <c r="AA115" i="155"/>
  <c r="AA127" i="155"/>
  <c r="AA90" i="155"/>
  <c r="AA110" i="155"/>
  <c r="AA122" i="155"/>
  <c r="AA117" i="155"/>
  <c r="AA7" i="155"/>
  <c r="AA19" i="155"/>
  <c r="AA95" i="155"/>
  <c r="AA136" i="155"/>
  <c r="AA14" i="155"/>
  <c r="AA131" i="155"/>
  <c r="AA9" i="155"/>
  <c r="AA21" i="155"/>
  <c r="AA4" i="155"/>
  <c r="AA133" i="155"/>
  <c r="AA135" i="155"/>
  <c r="AA13" i="155"/>
  <c r="AA124" i="155"/>
  <c r="AA8" i="155"/>
  <c r="AA20" i="155"/>
  <c r="AA3" i="155"/>
  <c r="AA15" i="155"/>
  <c r="AA119" i="155"/>
  <c r="AA28" i="155"/>
  <c r="AA40" i="155"/>
  <c r="AA129" i="155"/>
  <c r="AA10" i="155"/>
  <c r="AA35" i="155"/>
  <c r="AA11" i="155"/>
  <c r="AA18" i="155"/>
  <c r="AA30" i="155"/>
  <c r="AA42" i="155"/>
  <c r="AA75" i="155"/>
  <c r="AA22" i="155"/>
  <c r="AA25" i="155"/>
  <c r="AA37" i="155"/>
  <c r="AA32" i="155"/>
  <c r="AA112" i="155"/>
  <c r="AA16" i="155"/>
  <c r="AA34" i="155"/>
  <c r="AA23" i="155"/>
  <c r="AA29" i="155"/>
  <c r="AA41" i="155"/>
  <c r="AA24" i="155"/>
  <c r="AA36" i="155"/>
  <c r="AA45" i="155"/>
  <c r="AA17" i="155"/>
  <c r="AA26" i="155"/>
  <c r="AA33" i="155"/>
  <c r="AA47" i="155"/>
  <c r="AA39" i="155"/>
  <c r="AA5" i="155"/>
  <c r="AA31" i="155"/>
  <c r="AA49" i="155"/>
  <c r="AA38" i="155"/>
  <c r="AA44" i="155"/>
  <c r="AA134" i="155"/>
  <c r="AA46" i="155"/>
  <c r="AA6" i="155"/>
  <c r="AA43" i="155"/>
  <c r="AA48" i="155"/>
  <c r="AA12" i="155"/>
  <c r="AA27" i="155"/>
  <c r="AA50" i="155"/>
  <c r="AA143" i="155"/>
  <c r="AA138" i="155"/>
  <c r="AA140" i="155"/>
  <c r="AA147" i="155"/>
  <c r="AA142" i="155"/>
  <c r="AA137" i="155"/>
  <c r="AA149" i="155"/>
  <c r="AA139" i="155"/>
  <c r="AA151" i="155"/>
  <c r="AA146" i="155"/>
  <c r="AA141" i="155"/>
  <c r="AA157" i="155"/>
  <c r="AA169" i="155"/>
  <c r="AA152" i="155"/>
  <c r="AA150" i="155"/>
  <c r="AA153" i="155"/>
  <c r="AA159" i="155"/>
  <c r="AA171" i="155"/>
  <c r="AA166" i="155"/>
  <c r="AA161" i="155"/>
  <c r="AA145" i="155"/>
  <c r="AA154" i="155"/>
  <c r="AA156" i="155"/>
  <c r="AA168" i="155"/>
  <c r="AA144" i="155"/>
  <c r="AA163" i="155"/>
  <c r="AA175" i="155"/>
  <c r="AA158" i="155"/>
  <c r="AA170" i="155"/>
  <c r="AA165" i="155"/>
  <c r="AA177" i="155"/>
  <c r="AA148" i="155"/>
  <c r="AA160" i="155"/>
  <c r="AA172" i="155"/>
  <c r="AA184" i="155"/>
  <c r="AA162" i="155"/>
  <c r="AA174" i="155"/>
  <c r="AA155" i="155"/>
  <c r="AA173" i="155"/>
  <c r="AA181" i="155"/>
  <c r="AA199" i="155"/>
  <c r="AA164" i="155"/>
  <c r="AA176" i="155"/>
  <c r="AA187" i="155"/>
  <c r="AA182" i="155"/>
  <c r="AA179" i="155"/>
  <c r="AA185" i="155"/>
  <c r="AA193" i="155"/>
  <c r="AA197" i="155"/>
  <c r="AA203" i="155"/>
  <c r="AA191" i="155"/>
  <c r="AA198" i="155"/>
  <c r="AA192" i="155"/>
  <c r="AA190" i="155"/>
  <c r="AA183" i="155"/>
  <c r="AA200" i="155"/>
  <c r="AA204" i="155"/>
  <c r="AA178" i="155"/>
  <c r="AA194" i="155"/>
  <c r="AA201" i="155"/>
  <c r="AA180" i="155"/>
  <c r="AA189" i="155"/>
  <c r="AA195" i="155"/>
  <c r="AA196" i="155"/>
  <c r="AA186" i="155"/>
  <c r="AA202" i="155"/>
  <c r="AA188" i="155"/>
  <c r="AA167" i="155"/>
  <c r="AB1" i="155"/>
  <c r="T5" i="153"/>
  <c r="AB51" i="155" l="1"/>
  <c r="AB63" i="155"/>
  <c r="AB75" i="155"/>
  <c r="AB58" i="155"/>
  <c r="AB70" i="155"/>
  <c r="AB82" i="155"/>
  <c r="AB53" i="155"/>
  <c r="AB65" i="155"/>
  <c r="AB77" i="155"/>
  <c r="AB60" i="155"/>
  <c r="AB72" i="155"/>
  <c r="AB55" i="155"/>
  <c r="AB67" i="155"/>
  <c r="AB79" i="155"/>
  <c r="AB62" i="155"/>
  <c r="AB74" i="155"/>
  <c r="AB57" i="155"/>
  <c r="AB69" i="155"/>
  <c r="AB81" i="155"/>
  <c r="AB52" i="155"/>
  <c r="AB64" i="155"/>
  <c r="AB76" i="155"/>
  <c r="AB59" i="155"/>
  <c r="AB71" i="155"/>
  <c r="AB83" i="155"/>
  <c r="AB66" i="155"/>
  <c r="AB90" i="155"/>
  <c r="AB102" i="155"/>
  <c r="AB85" i="155"/>
  <c r="AB97" i="155"/>
  <c r="AB80" i="155"/>
  <c r="AB92" i="155"/>
  <c r="AB104" i="155"/>
  <c r="AB54" i="155"/>
  <c r="AB87" i="155"/>
  <c r="AB99" i="155"/>
  <c r="AB94" i="155"/>
  <c r="AB106" i="155"/>
  <c r="AB68" i="155"/>
  <c r="AB89" i="155"/>
  <c r="AB101" i="155"/>
  <c r="AB84" i="155"/>
  <c r="AB96" i="155"/>
  <c r="AB73" i="155"/>
  <c r="AB91" i="155"/>
  <c r="AB103" i="155"/>
  <c r="AB56" i="155"/>
  <c r="AB86" i="155"/>
  <c r="AB98" i="155"/>
  <c r="AB119" i="155"/>
  <c r="AB131" i="155"/>
  <c r="AB100" i="155"/>
  <c r="AB114" i="155"/>
  <c r="AB126" i="155"/>
  <c r="AB109" i="155"/>
  <c r="AB121" i="155"/>
  <c r="AB78" i="155"/>
  <c r="AB105" i="155"/>
  <c r="AB116" i="155"/>
  <c r="AB128" i="155"/>
  <c r="AB88" i="155"/>
  <c r="AB111" i="155"/>
  <c r="AB123" i="155"/>
  <c r="AB118" i="155"/>
  <c r="AB130" i="155"/>
  <c r="AB93" i="155"/>
  <c r="AB113" i="155"/>
  <c r="AB125" i="155"/>
  <c r="AB61" i="155"/>
  <c r="AB108" i="155"/>
  <c r="AB120" i="155"/>
  <c r="AB132" i="155"/>
  <c r="AB107" i="155"/>
  <c r="AB115" i="155"/>
  <c r="AB127" i="155"/>
  <c r="AB134" i="155"/>
  <c r="AB12" i="155"/>
  <c r="AB117" i="155"/>
  <c r="AB7" i="155"/>
  <c r="AB19" i="155"/>
  <c r="AB95" i="155"/>
  <c r="AB136" i="155"/>
  <c r="AB14" i="155"/>
  <c r="AB122" i="155"/>
  <c r="AB9" i="155"/>
  <c r="AB110" i="155"/>
  <c r="AB6" i="155"/>
  <c r="AB18" i="155"/>
  <c r="AB135" i="155"/>
  <c r="AB13" i="155"/>
  <c r="AB124" i="155"/>
  <c r="AB8" i="155"/>
  <c r="AB20" i="155"/>
  <c r="AB21" i="155"/>
  <c r="AB33" i="155"/>
  <c r="AB28" i="155"/>
  <c r="AB40" i="155"/>
  <c r="AB129" i="155"/>
  <c r="AB10" i="155"/>
  <c r="AB35" i="155"/>
  <c r="AB11" i="155"/>
  <c r="AB15" i="155"/>
  <c r="AB30" i="155"/>
  <c r="AB42" i="155"/>
  <c r="AB133" i="155"/>
  <c r="AB22" i="155"/>
  <c r="AB25" i="155"/>
  <c r="AB37" i="155"/>
  <c r="AB27" i="155"/>
  <c r="AB39" i="155"/>
  <c r="AB112" i="155"/>
  <c r="AB3" i="155"/>
  <c r="AB16" i="155"/>
  <c r="AB34" i="155"/>
  <c r="AB4" i="155"/>
  <c r="AB23" i="155"/>
  <c r="AB29" i="155"/>
  <c r="AB41" i="155"/>
  <c r="AB45" i="155"/>
  <c r="AB17" i="155"/>
  <c r="AB26" i="155"/>
  <c r="AB32" i="155"/>
  <c r="AB47" i="155"/>
  <c r="AB24" i="155"/>
  <c r="AB5" i="155"/>
  <c r="AB31" i="155"/>
  <c r="AB49" i="155"/>
  <c r="AB38" i="155"/>
  <c r="AB44" i="155"/>
  <c r="AB36" i="155"/>
  <c r="AB46" i="155"/>
  <c r="AB43" i="155"/>
  <c r="AB48" i="155"/>
  <c r="AB50" i="155"/>
  <c r="AB143" i="155"/>
  <c r="AB138" i="155"/>
  <c r="AB145" i="155"/>
  <c r="AB140" i="155"/>
  <c r="AB142" i="155"/>
  <c r="AB144" i="155"/>
  <c r="AB139" i="155"/>
  <c r="AB151" i="155"/>
  <c r="AB146" i="155"/>
  <c r="AB162" i="155"/>
  <c r="AB174" i="155"/>
  <c r="AB157" i="155"/>
  <c r="AB137" i="155"/>
  <c r="AB152" i="155"/>
  <c r="AB164" i="155"/>
  <c r="AB176" i="155"/>
  <c r="AB150" i="155"/>
  <c r="AB153" i="155"/>
  <c r="AB159" i="155"/>
  <c r="AB171" i="155"/>
  <c r="AB161" i="155"/>
  <c r="AB173" i="155"/>
  <c r="AB149" i="155"/>
  <c r="AB154" i="155"/>
  <c r="AB156" i="155"/>
  <c r="AB168" i="155"/>
  <c r="AB180" i="155"/>
  <c r="AB147" i="155"/>
  <c r="AB163" i="155"/>
  <c r="AB158" i="155"/>
  <c r="AB170" i="155"/>
  <c r="AB165" i="155"/>
  <c r="AB177" i="155"/>
  <c r="AB167" i="155"/>
  <c r="AB183" i="155"/>
  <c r="AB166" i="155"/>
  <c r="AB155" i="155"/>
  <c r="AB172" i="155"/>
  <c r="AB192" i="155"/>
  <c r="AB181" i="155"/>
  <c r="AB189" i="155"/>
  <c r="AB160" i="155"/>
  <c r="AB169" i="155"/>
  <c r="AB182" i="155"/>
  <c r="AB198" i="155"/>
  <c r="AB141" i="155"/>
  <c r="AB197" i="155"/>
  <c r="AB203" i="155"/>
  <c r="AB148" i="155"/>
  <c r="AB185" i="155"/>
  <c r="AB191" i="155"/>
  <c r="AB175" i="155"/>
  <c r="AB199" i="155"/>
  <c r="AB187" i="155"/>
  <c r="AB190" i="155"/>
  <c r="AB193" i="155"/>
  <c r="AB179" i="155"/>
  <c r="AB200" i="155"/>
  <c r="AB204" i="155"/>
  <c r="AB196" i="155"/>
  <c r="AB178" i="155"/>
  <c r="AB194" i="155"/>
  <c r="AB201" i="155"/>
  <c r="AB195" i="155"/>
  <c r="AB184" i="155"/>
  <c r="AB186" i="155"/>
  <c r="AB202" i="155"/>
  <c r="AB188" i="155"/>
  <c r="AC1" i="155"/>
  <c r="T24" i="153"/>
  <c r="T25" i="153"/>
  <c r="T27" i="153"/>
  <c r="AC56" i="155" l="1"/>
  <c r="AC68" i="155"/>
  <c r="AC80" i="155"/>
  <c r="AC51" i="155"/>
  <c r="AC63" i="155"/>
  <c r="AC75" i="155"/>
  <c r="AC58" i="155"/>
  <c r="AC70" i="155"/>
  <c r="AC82" i="155"/>
  <c r="AC53" i="155"/>
  <c r="AC65" i="155"/>
  <c r="AC77" i="155"/>
  <c r="AC60" i="155"/>
  <c r="AC72" i="155"/>
  <c r="AC55" i="155"/>
  <c r="AC67" i="155"/>
  <c r="AC79" i="155"/>
  <c r="AC62" i="155"/>
  <c r="AC74" i="155"/>
  <c r="AC57" i="155"/>
  <c r="AC69" i="155"/>
  <c r="AC81" i="155"/>
  <c r="AC52" i="155"/>
  <c r="AC64" i="155"/>
  <c r="AC76" i="155"/>
  <c r="AC83" i="155"/>
  <c r="AC95" i="155"/>
  <c r="AC107" i="155"/>
  <c r="AC66" i="155"/>
  <c r="AC90" i="155"/>
  <c r="AC102" i="155"/>
  <c r="AC85" i="155"/>
  <c r="AC97" i="155"/>
  <c r="AC71" i="155"/>
  <c r="AC92" i="155"/>
  <c r="AC104" i="155"/>
  <c r="AC54" i="155"/>
  <c r="AC87" i="155"/>
  <c r="AC99" i="155"/>
  <c r="AC94" i="155"/>
  <c r="AC106" i="155"/>
  <c r="AC59" i="155"/>
  <c r="AC89" i="155"/>
  <c r="AC101" i="155"/>
  <c r="AC84" i="155"/>
  <c r="AC96" i="155"/>
  <c r="AC73" i="155"/>
  <c r="AC91" i="155"/>
  <c r="AC103" i="155"/>
  <c r="AC86" i="155"/>
  <c r="AC112" i="155"/>
  <c r="AC124" i="155"/>
  <c r="AC119" i="155"/>
  <c r="AC131" i="155"/>
  <c r="AC100" i="155"/>
  <c r="AC114" i="155"/>
  <c r="AC126" i="155"/>
  <c r="AC109" i="155"/>
  <c r="AC121" i="155"/>
  <c r="AC78" i="155"/>
  <c r="AC105" i="155"/>
  <c r="AC116" i="155"/>
  <c r="AC128" i="155"/>
  <c r="AC88" i="155"/>
  <c r="AC111" i="155"/>
  <c r="AC123" i="155"/>
  <c r="AC118" i="155"/>
  <c r="AC130" i="155"/>
  <c r="AC93" i="155"/>
  <c r="AC113" i="155"/>
  <c r="AC125" i="155"/>
  <c r="AC61" i="155"/>
  <c r="AC108" i="155"/>
  <c r="AC120" i="155"/>
  <c r="AC132" i="155"/>
  <c r="AC5" i="155"/>
  <c r="AC17" i="155"/>
  <c r="AC134" i="155"/>
  <c r="AC12" i="155"/>
  <c r="AC117" i="155"/>
  <c r="AC7" i="155"/>
  <c r="AC19" i="155"/>
  <c r="AC136" i="155"/>
  <c r="AC122" i="155"/>
  <c r="AC98" i="155"/>
  <c r="AC127" i="155"/>
  <c r="AC133" i="155"/>
  <c r="AC11" i="155"/>
  <c r="AC23" i="155"/>
  <c r="AC110" i="155"/>
  <c r="AC6" i="155"/>
  <c r="AC18" i="155"/>
  <c r="AC135" i="155"/>
  <c r="AC13" i="155"/>
  <c r="AC8" i="155"/>
  <c r="AC14" i="155"/>
  <c r="AC26" i="155"/>
  <c r="AC38" i="155"/>
  <c r="AC115" i="155"/>
  <c r="AC9" i="155"/>
  <c r="AC21" i="155"/>
  <c r="AC33" i="155"/>
  <c r="AC28" i="155"/>
  <c r="AC40" i="155"/>
  <c r="AC129" i="155"/>
  <c r="AC10" i="155"/>
  <c r="AC35" i="155"/>
  <c r="AC15" i="155"/>
  <c r="AC30" i="155"/>
  <c r="AC42" i="155"/>
  <c r="AC32" i="155"/>
  <c r="AC27" i="155"/>
  <c r="AC39" i="155"/>
  <c r="AC3" i="155"/>
  <c r="AC16" i="155"/>
  <c r="AC34" i="155"/>
  <c r="AC4" i="155"/>
  <c r="AC41" i="155"/>
  <c r="AC43" i="155"/>
  <c r="AC50" i="155"/>
  <c r="AC45" i="155"/>
  <c r="AC22" i="155"/>
  <c r="AC25" i="155"/>
  <c r="AC20" i="155"/>
  <c r="AC47" i="155"/>
  <c r="AC24" i="155"/>
  <c r="AC31" i="155"/>
  <c r="AC49" i="155"/>
  <c r="AC37" i="155"/>
  <c r="AC44" i="155"/>
  <c r="AC29" i="155"/>
  <c r="AC46" i="155"/>
  <c r="AC36" i="155"/>
  <c r="AC48" i="155"/>
  <c r="AC141" i="155"/>
  <c r="AC148" i="155"/>
  <c r="AC143" i="155"/>
  <c r="AC138" i="155"/>
  <c r="AC150" i="155"/>
  <c r="AC145" i="155"/>
  <c r="AC140" i="155"/>
  <c r="AC147" i="155"/>
  <c r="AC137" i="155"/>
  <c r="AC149" i="155"/>
  <c r="AC144" i="155"/>
  <c r="AC139" i="155"/>
  <c r="AC151" i="155"/>
  <c r="AC155" i="155"/>
  <c r="AC167" i="155"/>
  <c r="AC157" i="155"/>
  <c r="AC169" i="155"/>
  <c r="AC152" i="155"/>
  <c r="AC164" i="155"/>
  <c r="AC142" i="155"/>
  <c r="AC153" i="155"/>
  <c r="AC159" i="155"/>
  <c r="AC166" i="155"/>
  <c r="AC146" i="155"/>
  <c r="AC161" i="155"/>
  <c r="AC173" i="155"/>
  <c r="AC154" i="155"/>
  <c r="AC156" i="155"/>
  <c r="AC168" i="155"/>
  <c r="AC163" i="155"/>
  <c r="AC175" i="155"/>
  <c r="AC158" i="155"/>
  <c r="AC170" i="155"/>
  <c r="AC182" i="155"/>
  <c r="AC162" i="155"/>
  <c r="AC174" i="155"/>
  <c r="AC177" i="155"/>
  <c r="AC180" i="155"/>
  <c r="AC165" i="155"/>
  <c r="AC186" i="155"/>
  <c r="AC197" i="155"/>
  <c r="AC172" i="155"/>
  <c r="AC171" i="155"/>
  <c r="AC184" i="155"/>
  <c r="AC187" i="155"/>
  <c r="AC160" i="155"/>
  <c r="AC191" i="155"/>
  <c r="AC203" i="155"/>
  <c r="AC188" i="155"/>
  <c r="AC196" i="155"/>
  <c r="AC185" i="155"/>
  <c r="AC198" i="155"/>
  <c r="AC192" i="155"/>
  <c r="AC202" i="155"/>
  <c r="AC199" i="155"/>
  <c r="AC204" i="155"/>
  <c r="AC183" i="155"/>
  <c r="AC190" i="155"/>
  <c r="AC193" i="155"/>
  <c r="AC176" i="155"/>
  <c r="AC179" i="155"/>
  <c r="AC200" i="155"/>
  <c r="AC178" i="155"/>
  <c r="AC194" i="155"/>
  <c r="AC189" i="155"/>
  <c r="AC201" i="155"/>
  <c r="AC181" i="155"/>
  <c r="AC195" i="155"/>
  <c r="AD1" i="155"/>
  <c r="T40" i="153"/>
  <c r="T56" i="153"/>
  <c r="T90" i="153"/>
  <c r="T88" i="153"/>
  <c r="T47" i="153"/>
  <c r="T50" i="153"/>
  <c r="T42" i="153"/>
  <c r="T16" i="153"/>
  <c r="AD61" i="155" l="1"/>
  <c r="AD73" i="155"/>
  <c r="AD56" i="155"/>
  <c r="AD68" i="155"/>
  <c r="AD80" i="155"/>
  <c r="AD51" i="155"/>
  <c r="AD63" i="155"/>
  <c r="AD75" i="155"/>
  <c r="AD58" i="155"/>
  <c r="AD70" i="155"/>
  <c r="AD82" i="155"/>
  <c r="AD53" i="155"/>
  <c r="AD65" i="155"/>
  <c r="AD77" i="155"/>
  <c r="AD60" i="155"/>
  <c r="AD72" i="155"/>
  <c r="AD55" i="155"/>
  <c r="AD67" i="155"/>
  <c r="AD79" i="155"/>
  <c r="AD62" i="155"/>
  <c r="AD74" i="155"/>
  <c r="AD57" i="155"/>
  <c r="AD69" i="155"/>
  <c r="AD81" i="155"/>
  <c r="AD52" i="155"/>
  <c r="AD88" i="155"/>
  <c r="AD100" i="155"/>
  <c r="AD83" i="155"/>
  <c r="AD95" i="155"/>
  <c r="AD107" i="155"/>
  <c r="AD66" i="155"/>
  <c r="AD90" i="155"/>
  <c r="AD102" i="155"/>
  <c r="AD85" i="155"/>
  <c r="AD97" i="155"/>
  <c r="AD71" i="155"/>
  <c r="AD92" i="155"/>
  <c r="AD104" i="155"/>
  <c r="AD54" i="155"/>
  <c r="AD87" i="155"/>
  <c r="AD99" i="155"/>
  <c r="AD76" i="155"/>
  <c r="AD94" i="155"/>
  <c r="AD106" i="155"/>
  <c r="AD59" i="155"/>
  <c r="AD89" i="155"/>
  <c r="AD101" i="155"/>
  <c r="AD84" i="155"/>
  <c r="AD96" i="155"/>
  <c r="AD64" i="155"/>
  <c r="AD103" i="155"/>
  <c r="AD117" i="155"/>
  <c r="AD129" i="155"/>
  <c r="AD86" i="155"/>
  <c r="AD112" i="155"/>
  <c r="AD124" i="155"/>
  <c r="AD119" i="155"/>
  <c r="AD131" i="155"/>
  <c r="AD91" i="155"/>
  <c r="AD114" i="155"/>
  <c r="AD126" i="155"/>
  <c r="AD109" i="155"/>
  <c r="AD121" i="155"/>
  <c r="AD78" i="155"/>
  <c r="AD105" i="155"/>
  <c r="AD116" i="155"/>
  <c r="AD128" i="155"/>
  <c r="AD111" i="155"/>
  <c r="AD123" i="155"/>
  <c r="AD118" i="155"/>
  <c r="AD130" i="155"/>
  <c r="AD93" i="155"/>
  <c r="AD113" i="155"/>
  <c r="AD125" i="155"/>
  <c r="AD120" i="155"/>
  <c r="AD10" i="155"/>
  <c r="AD22" i="155"/>
  <c r="AD5" i="155"/>
  <c r="AD17" i="155"/>
  <c r="AD134" i="155"/>
  <c r="AD12" i="155"/>
  <c r="AD108" i="155"/>
  <c r="AD7" i="155"/>
  <c r="AD4" i="155"/>
  <c r="AD16" i="155"/>
  <c r="AD98" i="155"/>
  <c r="AD127" i="155"/>
  <c r="AD133" i="155"/>
  <c r="AD11" i="155"/>
  <c r="AD23" i="155"/>
  <c r="AD110" i="155"/>
  <c r="AD6" i="155"/>
  <c r="AD18" i="155"/>
  <c r="AD31" i="155"/>
  <c r="AD8" i="155"/>
  <c r="AD14" i="155"/>
  <c r="AD26" i="155"/>
  <c r="AD38" i="155"/>
  <c r="AD115" i="155"/>
  <c r="AD9" i="155"/>
  <c r="AD21" i="155"/>
  <c r="AD33" i="155"/>
  <c r="AD28" i="155"/>
  <c r="AD40" i="155"/>
  <c r="AD35" i="155"/>
  <c r="AD135" i="155"/>
  <c r="AD19" i="155"/>
  <c r="AD25" i="155"/>
  <c r="AD37" i="155"/>
  <c r="AD136" i="155"/>
  <c r="AD32" i="155"/>
  <c r="AD122" i="155"/>
  <c r="AD27" i="155"/>
  <c r="AD39" i="155"/>
  <c r="AD34" i="155"/>
  <c r="AD48" i="155"/>
  <c r="AD132" i="155"/>
  <c r="AD41" i="155"/>
  <c r="AD43" i="155"/>
  <c r="AD50" i="155"/>
  <c r="AD15" i="155"/>
  <c r="AD45" i="155"/>
  <c r="AD13" i="155"/>
  <c r="AD20" i="155"/>
  <c r="AD47" i="155"/>
  <c r="AD24" i="155"/>
  <c r="AD30" i="155"/>
  <c r="AD49" i="155"/>
  <c r="AD3" i="155"/>
  <c r="AD44" i="155"/>
  <c r="AD29" i="155"/>
  <c r="AD46" i="155"/>
  <c r="AD42" i="155"/>
  <c r="AD36" i="155"/>
  <c r="AD141" i="155"/>
  <c r="AD143" i="155"/>
  <c r="AD138" i="155"/>
  <c r="AD140" i="155"/>
  <c r="AD142" i="155"/>
  <c r="AD154" i="155"/>
  <c r="AD137" i="155"/>
  <c r="AD149" i="155"/>
  <c r="AD144" i="155"/>
  <c r="AD160" i="155"/>
  <c r="AD172" i="155"/>
  <c r="AD139" i="155"/>
  <c r="AD151" i="155"/>
  <c r="AD155" i="155"/>
  <c r="AD162" i="155"/>
  <c r="AD174" i="155"/>
  <c r="AD157" i="155"/>
  <c r="AD169" i="155"/>
  <c r="AD150" i="155"/>
  <c r="AD152" i="155"/>
  <c r="AD153" i="155"/>
  <c r="AD159" i="155"/>
  <c r="AD171" i="155"/>
  <c r="AD145" i="155"/>
  <c r="AD166" i="155"/>
  <c r="AD178" i="155"/>
  <c r="AD146" i="155"/>
  <c r="AD161" i="155"/>
  <c r="AD173" i="155"/>
  <c r="AD147" i="155"/>
  <c r="AD156" i="155"/>
  <c r="AD168" i="155"/>
  <c r="AD163" i="155"/>
  <c r="AD175" i="155"/>
  <c r="AD187" i="155"/>
  <c r="AD167" i="155"/>
  <c r="AD183" i="155"/>
  <c r="AD190" i="155"/>
  <c r="AD202" i="155"/>
  <c r="AD165" i="155"/>
  <c r="AD158" i="155"/>
  <c r="AD164" i="155"/>
  <c r="AD181" i="155"/>
  <c r="AD170" i="155"/>
  <c r="AD176" i="155"/>
  <c r="AD189" i="155"/>
  <c r="AD196" i="155"/>
  <c r="AD182" i="155"/>
  <c r="AD188" i="155"/>
  <c r="AD203" i="155"/>
  <c r="AD197" i="155"/>
  <c r="AD148" i="155"/>
  <c r="AD185" i="155"/>
  <c r="AD191" i="155"/>
  <c r="AD198" i="155"/>
  <c r="AD184" i="155"/>
  <c r="AD192" i="155"/>
  <c r="AD199" i="155"/>
  <c r="AD201" i="155"/>
  <c r="AD193" i="155"/>
  <c r="AD179" i="155"/>
  <c r="AD200" i="155"/>
  <c r="AD204" i="155"/>
  <c r="AD177" i="155"/>
  <c r="AD180" i="155"/>
  <c r="AD194" i="155"/>
  <c r="AD186" i="155"/>
  <c r="AD195" i="155"/>
  <c r="AE1" i="155"/>
  <c r="B103" i="153"/>
  <c r="B102" i="153"/>
  <c r="B101" i="153"/>
  <c r="T72" i="153"/>
  <c r="T52" i="153"/>
  <c r="T86" i="153"/>
  <c r="T85" i="153"/>
  <c r="T63" i="153"/>
  <c r="T53" i="153"/>
  <c r="T54" i="153"/>
  <c r="T58" i="153"/>
  <c r="T22" i="153"/>
  <c r="T21" i="153"/>
  <c r="T20" i="153"/>
  <c r="T19" i="153"/>
  <c r="T18" i="153"/>
  <c r="T17" i="153"/>
  <c r="T15" i="153"/>
  <c r="T14" i="153"/>
  <c r="T13" i="153"/>
  <c r="T12" i="153"/>
  <c r="T11" i="153"/>
  <c r="T10" i="153"/>
  <c r="T9" i="153"/>
  <c r="T8" i="153"/>
  <c r="T7" i="153"/>
  <c r="T6" i="153"/>
  <c r="AE54" i="155" l="1"/>
  <c r="AE66" i="155"/>
  <c r="AE78" i="155"/>
  <c r="AE61" i="155"/>
  <c r="AE73" i="155"/>
  <c r="AE56" i="155"/>
  <c r="AE68" i="155"/>
  <c r="AE80" i="155"/>
  <c r="AE51" i="155"/>
  <c r="AE63" i="155"/>
  <c r="AE75" i="155"/>
  <c r="AE58" i="155"/>
  <c r="AE70" i="155"/>
  <c r="AE82" i="155"/>
  <c r="AE53" i="155"/>
  <c r="AE65" i="155"/>
  <c r="AE77" i="155"/>
  <c r="AE60" i="155"/>
  <c r="AE72" i="155"/>
  <c r="AE55" i="155"/>
  <c r="AE67" i="155"/>
  <c r="AE79" i="155"/>
  <c r="AE62" i="155"/>
  <c r="AE74" i="155"/>
  <c r="AE69" i="155"/>
  <c r="AE93" i="155"/>
  <c r="AE105" i="155"/>
  <c r="AE52" i="155"/>
  <c r="AE88" i="155"/>
  <c r="AE100" i="155"/>
  <c r="AE83" i="155"/>
  <c r="AE95" i="155"/>
  <c r="AE107" i="155"/>
  <c r="AE57" i="155"/>
  <c r="AE90" i="155"/>
  <c r="AE102" i="155"/>
  <c r="AE85" i="155"/>
  <c r="AE97" i="155"/>
  <c r="AE71" i="155"/>
  <c r="AE92" i="155"/>
  <c r="AE104" i="155"/>
  <c r="AE87" i="155"/>
  <c r="AE99" i="155"/>
  <c r="AE76" i="155"/>
  <c r="AE94" i="155"/>
  <c r="AE106" i="155"/>
  <c r="AE59" i="155"/>
  <c r="AE89" i="155"/>
  <c r="AE101" i="155"/>
  <c r="AE110" i="155"/>
  <c r="AE122" i="155"/>
  <c r="AE64" i="155"/>
  <c r="AE103" i="155"/>
  <c r="AE117" i="155"/>
  <c r="AE129" i="155"/>
  <c r="AE86" i="155"/>
  <c r="AE112" i="155"/>
  <c r="AE124" i="155"/>
  <c r="AE119" i="155"/>
  <c r="AE131" i="155"/>
  <c r="AE91" i="155"/>
  <c r="AE114" i="155"/>
  <c r="AE126" i="155"/>
  <c r="AE109" i="155"/>
  <c r="AE121" i="155"/>
  <c r="AE96" i="155"/>
  <c r="AE116" i="155"/>
  <c r="AE128" i="155"/>
  <c r="AE111" i="155"/>
  <c r="AE123" i="155"/>
  <c r="AE118" i="155"/>
  <c r="AE130" i="155"/>
  <c r="AE81" i="155"/>
  <c r="AE3" i="155"/>
  <c r="AE15" i="155"/>
  <c r="AE120" i="155"/>
  <c r="AE10" i="155"/>
  <c r="AE22" i="155"/>
  <c r="AE5" i="155"/>
  <c r="AE17" i="155"/>
  <c r="AE84" i="155"/>
  <c r="AE125" i="155"/>
  <c r="AE134" i="155"/>
  <c r="AE108" i="155"/>
  <c r="AE113" i="155"/>
  <c r="AE9" i="155"/>
  <c r="AE21" i="155"/>
  <c r="AE4" i="155"/>
  <c r="AE16" i="155"/>
  <c r="AE98" i="155"/>
  <c r="AE127" i="155"/>
  <c r="AE133" i="155"/>
  <c r="AE11" i="155"/>
  <c r="AE23" i="155"/>
  <c r="AE7" i="155"/>
  <c r="AE24" i="155"/>
  <c r="AE36" i="155"/>
  <c r="AE31" i="155"/>
  <c r="AE8" i="155"/>
  <c r="AE14" i="155"/>
  <c r="AE26" i="155"/>
  <c r="AE38" i="155"/>
  <c r="AE115" i="155"/>
  <c r="AE18" i="155"/>
  <c r="AE33" i="155"/>
  <c r="AE28" i="155"/>
  <c r="AE40" i="155"/>
  <c r="AE12" i="155"/>
  <c r="AE30" i="155"/>
  <c r="AE42" i="155"/>
  <c r="AE135" i="155"/>
  <c r="AE19" i="155"/>
  <c r="AE25" i="155"/>
  <c r="AE37" i="155"/>
  <c r="AE136" i="155"/>
  <c r="AE32" i="155"/>
  <c r="AE27" i="155"/>
  <c r="AE34" i="155"/>
  <c r="AE48" i="155"/>
  <c r="AE132" i="155"/>
  <c r="AE41" i="155"/>
  <c r="AE43" i="155"/>
  <c r="AE50" i="155"/>
  <c r="AE39" i="155"/>
  <c r="AE45" i="155"/>
  <c r="AE13" i="155"/>
  <c r="AE20" i="155"/>
  <c r="AE47" i="155"/>
  <c r="AE49" i="155"/>
  <c r="AE44" i="155"/>
  <c r="AE6" i="155"/>
  <c r="AE29" i="155"/>
  <c r="AE35" i="155"/>
  <c r="AE46" i="155"/>
  <c r="B100" i="153"/>
  <c r="B104" i="153" s="1"/>
  <c r="AE139" i="155"/>
  <c r="AE146" i="155"/>
  <c r="AE141" i="155"/>
  <c r="AE148" i="155"/>
  <c r="AE143" i="155"/>
  <c r="AE138" i="155"/>
  <c r="AE145" i="155"/>
  <c r="AE147" i="155"/>
  <c r="AE142" i="155"/>
  <c r="AE154" i="155"/>
  <c r="AE137" i="155"/>
  <c r="AE165" i="155"/>
  <c r="AE151" i="155"/>
  <c r="AE155" i="155"/>
  <c r="AE167" i="155"/>
  <c r="AE162" i="155"/>
  <c r="AE174" i="155"/>
  <c r="AE157" i="155"/>
  <c r="AE150" i="155"/>
  <c r="AE152" i="155"/>
  <c r="AE164" i="155"/>
  <c r="AE140" i="155"/>
  <c r="AE153" i="155"/>
  <c r="AE159" i="155"/>
  <c r="AE171" i="155"/>
  <c r="AE144" i="155"/>
  <c r="AE149" i="155"/>
  <c r="AE166" i="155"/>
  <c r="AE161" i="155"/>
  <c r="AE173" i="155"/>
  <c r="AE156" i="155"/>
  <c r="AE168" i="155"/>
  <c r="AE180" i="155"/>
  <c r="AE178" i="155"/>
  <c r="AE179" i="155"/>
  <c r="AE175" i="155"/>
  <c r="AE177" i="155"/>
  <c r="AE195" i="155"/>
  <c r="AE172" i="155"/>
  <c r="AE158" i="155"/>
  <c r="AE163" i="155"/>
  <c r="AE170" i="155"/>
  <c r="AE184" i="155"/>
  <c r="AE176" i="155"/>
  <c r="AE187" i="155"/>
  <c r="AE189" i="155"/>
  <c r="AE201" i="155"/>
  <c r="AE160" i="155"/>
  <c r="AE186" i="155"/>
  <c r="AE202" i="155"/>
  <c r="AE196" i="155"/>
  <c r="AE169" i="155"/>
  <c r="AE182" i="155"/>
  <c r="AE188" i="155"/>
  <c r="AE197" i="155"/>
  <c r="AE203" i="155"/>
  <c r="AE185" i="155"/>
  <c r="AE191" i="155"/>
  <c r="AE198" i="155"/>
  <c r="AE192" i="155"/>
  <c r="AE183" i="155"/>
  <c r="AE190" i="155"/>
  <c r="AE199" i="155"/>
  <c r="AE193" i="155"/>
  <c r="AE194" i="155"/>
  <c r="AE200" i="155"/>
  <c r="AE204" i="155"/>
  <c r="AE181" i="155"/>
  <c r="AF1" i="155"/>
  <c r="T99" i="153"/>
  <c r="AF59" i="155" l="1"/>
  <c r="AF71" i="155"/>
  <c r="AF54" i="155"/>
  <c r="AF66" i="155"/>
  <c r="AF78" i="155"/>
  <c r="AF61" i="155"/>
  <c r="AF73" i="155"/>
  <c r="AF56" i="155"/>
  <c r="AF68" i="155"/>
  <c r="AF80" i="155"/>
  <c r="AF51" i="155"/>
  <c r="AF63" i="155"/>
  <c r="AF75" i="155"/>
  <c r="AF58" i="155"/>
  <c r="AF70" i="155"/>
  <c r="AF82" i="155"/>
  <c r="AF53" i="155"/>
  <c r="AF65" i="155"/>
  <c r="AF77" i="155"/>
  <c r="AF60" i="155"/>
  <c r="AF72" i="155"/>
  <c r="AF55" i="155"/>
  <c r="AF67" i="155"/>
  <c r="AF79" i="155"/>
  <c r="AF86" i="155"/>
  <c r="AF98" i="155"/>
  <c r="AF69" i="155"/>
  <c r="AF93" i="155"/>
  <c r="AF105" i="155"/>
  <c r="AF52" i="155"/>
  <c r="AF88" i="155"/>
  <c r="AF100" i="155"/>
  <c r="AF74" i="155"/>
  <c r="AF83" i="155"/>
  <c r="AF95" i="155"/>
  <c r="AF107" i="155"/>
  <c r="AF57" i="155"/>
  <c r="AF90" i="155"/>
  <c r="AF102" i="155"/>
  <c r="AF85" i="155"/>
  <c r="AF97" i="155"/>
  <c r="AF62" i="155"/>
  <c r="AF92" i="155"/>
  <c r="AF104" i="155"/>
  <c r="AF87" i="155"/>
  <c r="AF99" i="155"/>
  <c r="AF76" i="155"/>
  <c r="AF94" i="155"/>
  <c r="AF106" i="155"/>
  <c r="AF89" i="155"/>
  <c r="AF115" i="155"/>
  <c r="AF127" i="155"/>
  <c r="AF110" i="155"/>
  <c r="AF122" i="155"/>
  <c r="AF64" i="155"/>
  <c r="AF103" i="155"/>
  <c r="AF117" i="155"/>
  <c r="AF129" i="155"/>
  <c r="AF112" i="155"/>
  <c r="AF124" i="155"/>
  <c r="AF119" i="155"/>
  <c r="AF131" i="155"/>
  <c r="AF91" i="155"/>
  <c r="AF114" i="155"/>
  <c r="AF126" i="155"/>
  <c r="AF109" i="155"/>
  <c r="AF121" i="155"/>
  <c r="AF96" i="155"/>
  <c r="AF116" i="155"/>
  <c r="AF128" i="155"/>
  <c r="AF111" i="155"/>
  <c r="AF123" i="155"/>
  <c r="AF101" i="155"/>
  <c r="AF132" i="155"/>
  <c r="AF8" i="155"/>
  <c r="AF20" i="155"/>
  <c r="AF81" i="155"/>
  <c r="AF3" i="155"/>
  <c r="AF15" i="155"/>
  <c r="AF120" i="155"/>
  <c r="AF10" i="155"/>
  <c r="AF22" i="155"/>
  <c r="AF5" i="155"/>
  <c r="AF84" i="155"/>
  <c r="AF125" i="155"/>
  <c r="AF130" i="155"/>
  <c r="AF136" i="155"/>
  <c r="AF14" i="155"/>
  <c r="AF113" i="155"/>
  <c r="AF9" i="155"/>
  <c r="AF21" i="155"/>
  <c r="AF4" i="155"/>
  <c r="AF16" i="155"/>
  <c r="AF6" i="155"/>
  <c r="AF17" i="155"/>
  <c r="AF29" i="155"/>
  <c r="AF41" i="155"/>
  <c r="AF7" i="155"/>
  <c r="AF24" i="155"/>
  <c r="AF36" i="155"/>
  <c r="AF31" i="155"/>
  <c r="AF26" i="155"/>
  <c r="AF38" i="155"/>
  <c r="AF11" i="155"/>
  <c r="AF18" i="155"/>
  <c r="AF33" i="155"/>
  <c r="AF134" i="155"/>
  <c r="AF35" i="155"/>
  <c r="AF12" i="155"/>
  <c r="AF30" i="155"/>
  <c r="AF42" i="155"/>
  <c r="AF108" i="155"/>
  <c r="AF135" i="155"/>
  <c r="AF19" i="155"/>
  <c r="AF25" i="155"/>
  <c r="AF37" i="155"/>
  <c r="AF118" i="155"/>
  <c r="AF46" i="155"/>
  <c r="AF27" i="155"/>
  <c r="AF34" i="155"/>
  <c r="AF48" i="155"/>
  <c r="AF133" i="155"/>
  <c r="AF40" i="155"/>
  <c r="AF43" i="155"/>
  <c r="AF50" i="155"/>
  <c r="AF32" i="155"/>
  <c r="AF39" i="155"/>
  <c r="AF45" i="155"/>
  <c r="AF13" i="155"/>
  <c r="AF47" i="155"/>
  <c r="AF23" i="155"/>
  <c r="AF44" i="155"/>
  <c r="AF49" i="155"/>
  <c r="AF28" i="155"/>
  <c r="AF144" i="155"/>
  <c r="AF139" i="155"/>
  <c r="AF141" i="155"/>
  <c r="AF143" i="155"/>
  <c r="AF138" i="155"/>
  <c r="AF150" i="155"/>
  <c r="AF140" i="155"/>
  <c r="AF152" i="155"/>
  <c r="AF147" i="155"/>
  <c r="AF142" i="155"/>
  <c r="AF148" i="155"/>
  <c r="AF158" i="155"/>
  <c r="AF170" i="155"/>
  <c r="AF160" i="155"/>
  <c r="AF172" i="155"/>
  <c r="AF137" i="155"/>
  <c r="AF151" i="155"/>
  <c r="AF155" i="155"/>
  <c r="AF167" i="155"/>
  <c r="AF162" i="155"/>
  <c r="AF157" i="155"/>
  <c r="AF169" i="155"/>
  <c r="AF164" i="155"/>
  <c r="AF176" i="155"/>
  <c r="AF145" i="155"/>
  <c r="AF153" i="155"/>
  <c r="AF159" i="155"/>
  <c r="AF171" i="155"/>
  <c r="AF146" i="155"/>
  <c r="AF149" i="155"/>
  <c r="AF154" i="155"/>
  <c r="AF166" i="155"/>
  <c r="AF178" i="155"/>
  <c r="AF161" i="155"/>
  <c r="AF173" i="155"/>
  <c r="AF185" i="155"/>
  <c r="AF174" i="155"/>
  <c r="AF180" i="155"/>
  <c r="AF188" i="155"/>
  <c r="AF200" i="155"/>
  <c r="AF175" i="155"/>
  <c r="AF177" i="155"/>
  <c r="AF165" i="155"/>
  <c r="AF186" i="155"/>
  <c r="AF156" i="155"/>
  <c r="AF181" i="155"/>
  <c r="AF163" i="155"/>
  <c r="AF184" i="155"/>
  <c r="AF194" i="155"/>
  <c r="AF195" i="155"/>
  <c r="AF168" i="155"/>
  <c r="AF202" i="155"/>
  <c r="AF196" i="155"/>
  <c r="AF182" i="155"/>
  <c r="AF197" i="155"/>
  <c r="AF203" i="155"/>
  <c r="AF187" i="155"/>
  <c r="AF191" i="155"/>
  <c r="AF198" i="155"/>
  <c r="AF192" i="155"/>
  <c r="AF201" i="155"/>
  <c r="AF183" i="155"/>
  <c r="AF190" i="155"/>
  <c r="AF199" i="155"/>
  <c r="AF204" i="155"/>
  <c r="AF179" i="155"/>
  <c r="AF193" i="155"/>
  <c r="AF189" i="155"/>
  <c r="AG1" i="155"/>
  <c r="D1" i="152"/>
  <c r="D84" i="152" s="1"/>
  <c r="AG52" i="155" l="1"/>
  <c r="AG64" i="155"/>
  <c r="AG76" i="155"/>
  <c r="AG59" i="155"/>
  <c r="AG71" i="155"/>
  <c r="AG54" i="155"/>
  <c r="AG66" i="155"/>
  <c r="AG78" i="155"/>
  <c r="AG61" i="155"/>
  <c r="AG73" i="155"/>
  <c r="AG56" i="155"/>
  <c r="AG68" i="155"/>
  <c r="AG80" i="155"/>
  <c r="AG51" i="155"/>
  <c r="AG63" i="155"/>
  <c r="AG75" i="155"/>
  <c r="AG58" i="155"/>
  <c r="AG70" i="155"/>
  <c r="AG82" i="155"/>
  <c r="AG53" i="155"/>
  <c r="AG65" i="155"/>
  <c r="AG77" i="155"/>
  <c r="AG60" i="155"/>
  <c r="AG72" i="155"/>
  <c r="AG55" i="155"/>
  <c r="AG91" i="155"/>
  <c r="AG103" i="155"/>
  <c r="AG86" i="155"/>
  <c r="AG98" i="155"/>
  <c r="AG69" i="155"/>
  <c r="AG93" i="155"/>
  <c r="AG105" i="155"/>
  <c r="AG88" i="155"/>
  <c r="AG100" i="155"/>
  <c r="AG74" i="155"/>
  <c r="AG83" i="155"/>
  <c r="AG95" i="155"/>
  <c r="AG107" i="155"/>
  <c r="AG57" i="155"/>
  <c r="AG90" i="155"/>
  <c r="AG102" i="155"/>
  <c r="AG79" i="155"/>
  <c r="AG85" i="155"/>
  <c r="AG97" i="155"/>
  <c r="AG62" i="155"/>
  <c r="AG92" i="155"/>
  <c r="AG104" i="155"/>
  <c r="AG87" i="155"/>
  <c r="AG99" i="155"/>
  <c r="AG106" i="155"/>
  <c r="AG108" i="155"/>
  <c r="AG120" i="155"/>
  <c r="AG132" i="155"/>
  <c r="AG89" i="155"/>
  <c r="AG115" i="155"/>
  <c r="AG127" i="155"/>
  <c r="AG110" i="155"/>
  <c r="AG122" i="155"/>
  <c r="AG94" i="155"/>
  <c r="AG117" i="155"/>
  <c r="AG129" i="155"/>
  <c r="AG112" i="155"/>
  <c r="AG124" i="155"/>
  <c r="AG119" i="155"/>
  <c r="AG131" i="155"/>
  <c r="AG67" i="155"/>
  <c r="AG114" i="155"/>
  <c r="AG126" i="155"/>
  <c r="AG109" i="155"/>
  <c r="AG121" i="155"/>
  <c r="AG96" i="155"/>
  <c r="AG116" i="155"/>
  <c r="AG128" i="155"/>
  <c r="AG123" i="155"/>
  <c r="AG135" i="155"/>
  <c r="AG13" i="155"/>
  <c r="AG101" i="155"/>
  <c r="AG8" i="155"/>
  <c r="AG20" i="155"/>
  <c r="AG81" i="155"/>
  <c r="AG3" i="155"/>
  <c r="AG15" i="155"/>
  <c r="AG111" i="155"/>
  <c r="AG10" i="155"/>
  <c r="AG7" i="155"/>
  <c r="AG19" i="155"/>
  <c r="AG130" i="155"/>
  <c r="AG136" i="155"/>
  <c r="AG14" i="155"/>
  <c r="AG113" i="155"/>
  <c r="AG9" i="155"/>
  <c r="AG21" i="155"/>
  <c r="AG34" i="155"/>
  <c r="AG6" i="155"/>
  <c r="AG17" i="155"/>
  <c r="AG29" i="155"/>
  <c r="AG41" i="155"/>
  <c r="AG24" i="155"/>
  <c r="AG36" i="155"/>
  <c r="AG31" i="155"/>
  <c r="AG84" i="155"/>
  <c r="AG125" i="155"/>
  <c r="AG26" i="155"/>
  <c r="AG38" i="155"/>
  <c r="AG133" i="155"/>
  <c r="AG22" i="155"/>
  <c r="AG28" i="155"/>
  <c r="AG40" i="155"/>
  <c r="AG134" i="155"/>
  <c r="AG35" i="155"/>
  <c r="AG12" i="155"/>
  <c r="AG30" i="155"/>
  <c r="AG42" i="155"/>
  <c r="AG118" i="155"/>
  <c r="AG4" i="155"/>
  <c r="AG46" i="155"/>
  <c r="AG27" i="155"/>
  <c r="AG33" i="155"/>
  <c r="AG48" i="155"/>
  <c r="AG25" i="155"/>
  <c r="AG43" i="155"/>
  <c r="AG50" i="155"/>
  <c r="AG32" i="155"/>
  <c r="AG5" i="155"/>
  <c r="AG39" i="155"/>
  <c r="AG45" i="155"/>
  <c r="AG11" i="155"/>
  <c r="AG18" i="155"/>
  <c r="AG16" i="155"/>
  <c r="AG37" i="155"/>
  <c r="AG47" i="155"/>
  <c r="AG44" i="155"/>
  <c r="AG49" i="155"/>
  <c r="AG23" i="155"/>
  <c r="D104" i="152"/>
  <c r="D41" i="152"/>
  <c r="AG137" i="155"/>
  <c r="AG144" i="155"/>
  <c r="AG139" i="155"/>
  <c r="AG146" i="155"/>
  <c r="AG141" i="155"/>
  <c r="AG143" i="155"/>
  <c r="AG145" i="155"/>
  <c r="AG140" i="155"/>
  <c r="AG152" i="155"/>
  <c r="AG147" i="155"/>
  <c r="AG163" i="155"/>
  <c r="AG175" i="155"/>
  <c r="AG148" i="155"/>
  <c r="AG158" i="155"/>
  <c r="AG165" i="155"/>
  <c r="AG177" i="155"/>
  <c r="AG160" i="155"/>
  <c r="AG172" i="155"/>
  <c r="AG151" i="155"/>
  <c r="AG155" i="155"/>
  <c r="AG142" i="155"/>
  <c r="AG162" i="155"/>
  <c r="AG174" i="155"/>
  <c r="AG150" i="155"/>
  <c r="AG157" i="155"/>
  <c r="AG169" i="155"/>
  <c r="AG164" i="155"/>
  <c r="AG138" i="155"/>
  <c r="AG153" i="155"/>
  <c r="AG159" i="155"/>
  <c r="AG171" i="155"/>
  <c r="AG149" i="155"/>
  <c r="AG154" i="155"/>
  <c r="AG166" i="155"/>
  <c r="AG178" i="155"/>
  <c r="AG168" i="155"/>
  <c r="AG182" i="155"/>
  <c r="AG167" i="155"/>
  <c r="AG173" i="155"/>
  <c r="AG179" i="155"/>
  <c r="AG193" i="155"/>
  <c r="AG180" i="155"/>
  <c r="AG161" i="155"/>
  <c r="AG183" i="155"/>
  <c r="AG190" i="155"/>
  <c r="AG156" i="155"/>
  <c r="AG170" i="155"/>
  <c r="AG181" i="155"/>
  <c r="AG199" i="155"/>
  <c r="AG176" i="155"/>
  <c r="AG184" i="155"/>
  <c r="AG201" i="155"/>
  <c r="AG186" i="155"/>
  <c r="AG195" i="155"/>
  <c r="AG202" i="155"/>
  <c r="AG188" i="155"/>
  <c r="AG196" i="155"/>
  <c r="AG189" i="155"/>
  <c r="AG197" i="155"/>
  <c r="AG203" i="155"/>
  <c r="AG185" i="155"/>
  <c r="AG194" i="155"/>
  <c r="AG187" i="155"/>
  <c r="AG191" i="155"/>
  <c r="AG198" i="155"/>
  <c r="AG192" i="155"/>
  <c r="AG200" i="155"/>
  <c r="AG204" i="155"/>
  <c r="AH1" i="155"/>
  <c r="D113" i="152"/>
  <c r="D116" i="152"/>
  <c r="D115" i="152"/>
  <c r="D114" i="152"/>
  <c r="D120" i="152"/>
  <c r="D122" i="152"/>
  <c r="D124" i="152"/>
  <c r="D123" i="152"/>
  <c r="D125" i="152"/>
  <c r="D121" i="152"/>
  <c r="D31" i="152"/>
  <c r="D44" i="152"/>
  <c r="D56" i="152"/>
  <c r="D38" i="152"/>
  <c r="D51" i="152"/>
  <c r="D33" i="152"/>
  <c r="D46" i="152"/>
  <c r="D58" i="152"/>
  <c r="D40" i="152"/>
  <c r="D53" i="152"/>
  <c r="D35" i="152"/>
  <c r="D48" i="152"/>
  <c r="D43" i="152"/>
  <c r="D55" i="152"/>
  <c r="D37" i="152"/>
  <c r="D50" i="152"/>
  <c r="D32" i="152"/>
  <c r="D45" i="152"/>
  <c r="D39" i="152"/>
  <c r="D52" i="152"/>
  <c r="D34" i="152"/>
  <c r="D47" i="152"/>
  <c r="D59" i="152"/>
  <c r="D42" i="152"/>
  <c r="D36" i="152"/>
  <c r="D49" i="152"/>
  <c r="D68" i="152"/>
  <c r="D80" i="152"/>
  <c r="D93" i="152"/>
  <c r="D75" i="152"/>
  <c r="D70" i="152"/>
  <c r="D82" i="152"/>
  <c r="D65" i="152"/>
  <c r="D77" i="152"/>
  <c r="D90" i="152"/>
  <c r="D54" i="152"/>
  <c r="D61" i="152"/>
  <c r="D72" i="152"/>
  <c r="D60" i="152"/>
  <c r="D62" i="152"/>
  <c r="D67" i="152"/>
  <c r="D79" i="152"/>
  <c r="D74" i="152"/>
  <c r="D87" i="152"/>
  <c r="D63" i="152"/>
  <c r="D69" i="152"/>
  <c r="D81" i="152"/>
  <c r="D76" i="152"/>
  <c r="D71" i="152"/>
  <c r="D57" i="152"/>
  <c r="D64" i="152"/>
  <c r="D66" i="152"/>
  <c r="D73" i="152"/>
  <c r="D91" i="152"/>
  <c r="D106" i="152"/>
  <c r="D92" i="152"/>
  <c r="D100" i="152"/>
  <c r="D89" i="152"/>
  <c r="D95" i="152"/>
  <c r="D108" i="152"/>
  <c r="D102" i="152"/>
  <c r="D117" i="152"/>
  <c r="D78" i="152"/>
  <c r="D97" i="152"/>
  <c r="D110" i="152"/>
  <c r="D105" i="152"/>
  <c r="D119" i="152"/>
  <c r="D85" i="152"/>
  <c r="D88" i="152"/>
  <c r="D99" i="152"/>
  <c r="D112" i="152"/>
  <c r="D83" i="152"/>
  <c r="D107" i="152"/>
  <c r="D101" i="152"/>
  <c r="D86" i="152"/>
  <c r="D96" i="152"/>
  <c r="D109" i="152"/>
  <c r="D94" i="152"/>
  <c r="D103" i="152"/>
  <c r="D98" i="152"/>
  <c r="D111" i="152"/>
  <c r="D9" i="152"/>
  <c r="D21" i="152"/>
  <c r="D4" i="152"/>
  <c r="D16" i="152"/>
  <c r="D127" i="152"/>
  <c r="D11" i="152"/>
  <c r="D23" i="152"/>
  <c r="D6" i="152"/>
  <c r="D18" i="152"/>
  <c r="D126" i="152"/>
  <c r="D130" i="152"/>
  <c r="D13" i="152"/>
  <c r="D8" i="152"/>
  <c r="D20" i="152"/>
  <c r="D128" i="152"/>
  <c r="D132" i="152"/>
  <c r="D15" i="152"/>
  <c r="D118" i="152"/>
  <c r="D10" i="152"/>
  <c r="D5" i="152"/>
  <c r="D17" i="152"/>
  <c r="D12" i="152"/>
  <c r="D24" i="152"/>
  <c r="D7" i="152"/>
  <c r="D129" i="152"/>
  <c r="D30" i="152"/>
  <c r="D3" i="152"/>
  <c r="D14" i="152"/>
  <c r="D27" i="152"/>
  <c r="D131" i="152"/>
  <c r="D19" i="152"/>
  <c r="D25" i="152"/>
  <c r="D26" i="152"/>
  <c r="D29" i="152"/>
  <c r="D22" i="152"/>
  <c r="D28" i="152"/>
  <c r="E1" i="152"/>
  <c r="E84" i="152" s="1"/>
  <c r="AH57" i="155" l="1"/>
  <c r="AI57" i="155" s="1"/>
  <c r="AH69" i="155"/>
  <c r="AH81" i="155"/>
  <c r="AH52" i="155"/>
  <c r="AH64" i="155"/>
  <c r="AH76" i="155"/>
  <c r="AH59" i="155"/>
  <c r="AH71" i="155"/>
  <c r="AH54" i="155"/>
  <c r="AI54" i="155" s="1"/>
  <c r="AH66" i="155"/>
  <c r="AH78" i="155"/>
  <c r="AH61" i="155"/>
  <c r="AH73" i="155"/>
  <c r="AH56" i="155"/>
  <c r="AI56" i="155" s="1"/>
  <c r="AH68" i="155"/>
  <c r="AH80" i="155"/>
  <c r="AH51" i="155"/>
  <c r="AH63" i="155"/>
  <c r="AH75" i="155"/>
  <c r="AH58" i="155"/>
  <c r="AI58" i="155" s="1"/>
  <c r="AH70" i="155"/>
  <c r="AH82" i="155"/>
  <c r="AH53" i="155"/>
  <c r="AH65" i="155"/>
  <c r="AH77" i="155"/>
  <c r="AH72" i="155"/>
  <c r="AH84" i="155"/>
  <c r="AH96" i="155"/>
  <c r="AH55" i="155"/>
  <c r="AI55" i="155" s="1"/>
  <c r="AH91" i="155"/>
  <c r="AH103" i="155"/>
  <c r="AH86" i="155"/>
  <c r="AH98" i="155"/>
  <c r="AH60" i="155"/>
  <c r="AH93" i="155"/>
  <c r="AH105" i="155"/>
  <c r="AH88" i="155"/>
  <c r="AH100" i="155"/>
  <c r="AH74" i="155"/>
  <c r="AH83" i="155"/>
  <c r="AH95" i="155"/>
  <c r="AH107" i="155"/>
  <c r="AH90" i="155"/>
  <c r="AH102" i="155"/>
  <c r="AH79" i="155"/>
  <c r="AH85" i="155"/>
  <c r="AH97" i="155"/>
  <c r="AH62" i="155"/>
  <c r="AH92" i="155"/>
  <c r="AH104" i="155"/>
  <c r="AH113" i="155"/>
  <c r="AH125" i="155"/>
  <c r="AH106" i="155"/>
  <c r="AH108" i="155"/>
  <c r="AH120" i="155"/>
  <c r="AH132" i="155"/>
  <c r="AH89" i="155"/>
  <c r="AH115" i="155"/>
  <c r="AH127" i="155"/>
  <c r="AH110" i="155"/>
  <c r="AH122" i="155"/>
  <c r="AH94" i="155"/>
  <c r="AH117" i="155"/>
  <c r="AH129" i="155"/>
  <c r="AH112" i="155"/>
  <c r="AH124" i="155"/>
  <c r="AH99" i="155"/>
  <c r="AH119" i="155"/>
  <c r="AH131" i="155"/>
  <c r="AH67" i="155"/>
  <c r="AH114" i="155"/>
  <c r="AH126" i="155"/>
  <c r="AH109" i="155"/>
  <c r="AH121" i="155"/>
  <c r="AH6" i="155"/>
  <c r="AH18" i="155"/>
  <c r="AH123" i="155"/>
  <c r="AH135" i="155"/>
  <c r="AH13" i="155"/>
  <c r="AH101" i="155"/>
  <c r="AH8" i="155"/>
  <c r="AH20" i="155"/>
  <c r="AH128" i="155"/>
  <c r="AH3" i="155"/>
  <c r="AH111" i="155"/>
  <c r="AH116" i="155"/>
  <c r="AH134" i="155"/>
  <c r="AH12" i="155"/>
  <c r="AH7" i="155"/>
  <c r="AH19" i="155"/>
  <c r="AH130" i="155"/>
  <c r="AH136" i="155"/>
  <c r="AH14" i="155"/>
  <c r="AH5" i="155"/>
  <c r="AI5" i="155" s="1"/>
  <c r="AH27" i="155"/>
  <c r="AI27" i="155" s="1"/>
  <c r="AH39" i="155"/>
  <c r="AH34" i="155"/>
  <c r="AH17" i="155"/>
  <c r="AH29" i="155"/>
  <c r="AI29" i="155" s="1"/>
  <c r="AH41" i="155"/>
  <c r="AH9" i="155"/>
  <c r="AH21" i="155"/>
  <c r="AH24" i="155"/>
  <c r="AH36" i="155"/>
  <c r="AH10" i="155"/>
  <c r="AH31" i="155"/>
  <c r="AH11" i="155"/>
  <c r="AH15" i="155"/>
  <c r="AH33" i="155"/>
  <c r="AH133" i="155"/>
  <c r="AH22" i="155"/>
  <c r="AH28" i="155"/>
  <c r="AI28" i="155" s="1"/>
  <c r="AH40" i="155"/>
  <c r="AH35" i="155"/>
  <c r="AH87" i="155"/>
  <c r="AH42" i="155"/>
  <c r="AH44" i="155"/>
  <c r="AH118" i="155"/>
  <c r="AH4" i="155"/>
  <c r="AH46" i="155"/>
  <c r="AH26" i="155"/>
  <c r="AI26" i="155" s="1"/>
  <c r="AH48" i="155"/>
  <c r="AH25" i="155"/>
  <c r="AH43" i="155"/>
  <c r="AH50" i="155"/>
  <c r="AH32" i="155"/>
  <c r="AH38" i="155"/>
  <c r="AH45" i="155"/>
  <c r="AH30" i="155"/>
  <c r="AI30" i="155" s="1"/>
  <c r="AH16" i="155"/>
  <c r="AH47" i="155"/>
  <c r="AH49" i="155"/>
  <c r="AH23" i="155"/>
  <c r="AH37" i="155"/>
  <c r="AI84" i="155"/>
  <c r="E104" i="152"/>
  <c r="E41" i="152"/>
  <c r="AH142" i="155"/>
  <c r="AH137" i="155"/>
  <c r="AI137" i="155" s="1"/>
  <c r="AH139" i="155"/>
  <c r="AI139" i="155" s="1"/>
  <c r="AH146" i="155"/>
  <c r="AH141" i="155"/>
  <c r="AH148" i="155"/>
  <c r="AH138" i="155"/>
  <c r="AI138" i="155" s="1"/>
  <c r="AH150" i="155"/>
  <c r="AH145" i="155"/>
  <c r="AH140" i="155"/>
  <c r="AI140" i="155" s="1"/>
  <c r="AH156" i="155"/>
  <c r="AH168" i="155"/>
  <c r="AH158" i="155"/>
  <c r="AH170" i="155"/>
  <c r="AH165" i="155"/>
  <c r="AH160" i="155"/>
  <c r="AH151" i="155"/>
  <c r="AH155" i="155"/>
  <c r="AH167" i="155"/>
  <c r="AH152" i="155"/>
  <c r="AH162" i="155"/>
  <c r="AH174" i="155"/>
  <c r="AH157" i="155"/>
  <c r="AH169" i="155"/>
  <c r="AH144" i="155"/>
  <c r="AH164" i="155"/>
  <c r="AH176" i="155"/>
  <c r="AH147" i="155"/>
  <c r="AH153" i="155"/>
  <c r="AH159" i="155"/>
  <c r="AH171" i="155"/>
  <c r="AH183" i="155"/>
  <c r="AH143" i="155"/>
  <c r="AH149" i="155"/>
  <c r="AH166" i="155"/>
  <c r="AH185" i="155"/>
  <c r="AH198" i="155"/>
  <c r="AH173" i="155"/>
  <c r="AH179" i="155"/>
  <c r="AH161" i="155"/>
  <c r="AH172" i="155"/>
  <c r="AH186" i="155"/>
  <c r="AH192" i="155"/>
  <c r="AH181" i="155"/>
  <c r="AH189" i="155"/>
  <c r="AH194" i="155"/>
  <c r="AH204" i="155"/>
  <c r="AH184" i="155"/>
  <c r="AH201" i="155"/>
  <c r="AH195" i="155"/>
  <c r="AH202" i="155"/>
  <c r="AH163" i="155"/>
  <c r="AH182" i="155"/>
  <c r="AH188" i="155"/>
  <c r="AH196" i="155"/>
  <c r="AH175" i="155"/>
  <c r="AH154" i="155"/>
  <c r="AH197" i="155"/>
  <c r="AH203" i="155"/>
  <c r="AH200" i="155"/>
  <c r="AH187" i="155"/>
  <c r="AH191" i="155"/>
  <c r="AH178" i="155"/>
  <c r="AH190" i="155"/>
  <c r="AH199" i="155"/>
  <c r="AH177" i="155"/>
  <c r="AH180" i="155"/>
  <c r="AH193" i="155"/>
  <c r="AI18" i="155"/>
  <c r="AI12" i="155"/>
  <c r="AI6" i="155"/>
  <c r="E113" i="152"/>
  <c r="E115" i="152"/>
  <c r="E116" i="152"/>
  <c r="E114" i="152"/>
  <c r="E125" i="152"/>
  <c r="E120" i="152"/>
  <c r="E122" i="152"/>
  <c r="E121" i="152"/>
  <c r="E124" i="152"/>
  <c r="E123" i="152"/>
  <c r="E36" i="152"/>
  <c r="E49" i="152"/>
  <c r="E61" i="152"/>
  <c r="E31" i="152"/>
  <c r="E44" i="152"/>
  <c r="E56" i="152"/>
  <c r="E38" i="152"/>
  <c r="E51" i="152"/>
  <c r="E33" i="152"/>
  <c r="E46" i="152"/>
  <c r="E58" i="152"/>
  <c r="E40" i="152"/>
  <c r="E53" i="152"/>
  <c r="E35" i="152"/>
  <c r="E48" i="152"/>
  <c r="E43" i="152"/>
  <c r="E55" i="152"/>
  <c r="E37" i="152"/>
  <c r="E50" i="152"/>
  <c r="E32" i="152"/>
  <c r="E45" i="152"/>
  <c r="E57" i="152"/>
  <c r="E39" i="152"/>
  <c r="E52" i="152"/>
  <c r="E34" i="152"/>
  <c r="E47" i="152"/>
  <c r="E42" i="152"/>
  <c r="E54" i="152"/>
  <c r="E73" i="152"/>
  <c r="E86" i="152"/>
  <c r="E59" i="152"/>
  <c r="E68" i="152"/>
  <c r="E80" i="152"/>
  <c r="E75" i="152"/>
  <c r="E88" i="152"/>
  <c r="E70" i="152"/>
  <c r="E82" i="152"/>
  <c r="E65" i="152"/>
  <c r="E77" i="152"/>
  <c r="E72" i="152"/>
  <c r="E85" i="152"/>
  <c r="E60" i="152"/>
  <c r="E62" i="152"/>
  <c r="E67" i="152"/>
  <c r="E79" i="152"/>
  <c r="E74" i="152"/>
  <c r="E63" i="152"/>
  <c r="E69" i="152"/>
  <c r="E81" i="152"/>
  <c r="E76" i="152"/>
  <c r="E71" i="152"/>
  <c r="E64" i="152"/>
  <c r="E66" i="152"/>
  <c r="E78" i="152"/>
  <c r="E98" i="152"/>
  <c r="E111" i="152"/>
  <c r="E126" i="152"/>
  <c r="E91" i="152"/>
  <c r="E106" i="152"/>
  <c r="E92" i="152"/>
  <c r="E100" i="152"/>
  <c r="E89" i="152"/>
  <c r="E95" i="152"/>
  <c r="E108" i="152"/>
  <c r="E102" i="152"/>
  <c r="E117" i="152"/>
  <c r="E97" i="152"/>
  <c r="E110" i="152"/>
  <c r="E93" i="152"/>
  <c r="E105" i="152"/>
  <c r="E119" i="152"/>
  <c r="E99" i="152"/>
  <c r="E112" i="152"/>
  <c r="E83" i="152"/>
  <c r="E107" i="152"/>
  <c r="E101" i="152"/>
  <c r="E96" i="152"/>
  <c r="E87" i="152"/>
  <c r="E90" i="152"/>
  <c r="E94" i="152"/>
  <c r="E103" i="152"/>
  <c r="E129" i="152"/>
  <c r="E131" i="152"/>
  <c r="E14" i="152"/>
  <c r="E9" i="152"/>
  <c r="E21" i="152"/>
  <c r="E4" i="152"/>
  <c r="E16" i="152"/>
  <c r="E127" i="152"/>
  <c r="E11" i="152"/>
  <c r="E109" i="152"/>
  <c r="E6" i="152"/>
  <c r="E18" i="152"/>
  <c r="E130" i="152"/>
  <c r="E13" i="152"/>
  <c r="E8" i="152"/>
  <c r="E20" i="152"/>
  <c r="E128" i="152"/>
  <c r="E132" i="152"/>
  <c r="E15" i="152"/>
  <c r="E118" i="152"/>
  <c r="E10" i="152"/>
  <c r="E22" i="152"/>
  <c r="E5" i="152"/>
  <c r="E17" i="152"/>
  <c r="E28" i="152"/>
  <c r="E3" i="152"/>
  <c r="E23" i="152"/>
  <c r="E30" i="152"/>
  <c r="E29" i="152"/>
  <c r="E12" i="152"/>
  <c r="E24" i="152"/>
  <c r="E27" i="152"/>
  <c r="E7" i="152"/>
  <c r="E19" i="152"/>
  <c r="E25" i="152"/>
  <c r="E26" i="152"/>
  <c r="F1" i="152"/>
  <c r="F84" i="152" s="1"/>
  <c r="AI3" i="155" l="1"/>
  <c r="AI4" i="155"/>
  <c r="AI135" i="155"/>
  <c r="AI123" i="155"/>
  <c r="AI112" i="155"/>
  <c r="AI133" i="155"/>
  <c r="AI130" i="155"/>
  <c r="AI108" i="155"/>
  <c r="AI129" i="155"/>
  <c r="AI125" i="155"/>
  <c r="AI114" i="155"/>
  <c r="AI136" i="155"/>
  <c r="AI121" i="155"/>
  <c r="AI127" i="155"/>
  <c r="AI126" i="155"/>
  <c r="AI134" i="155"/>
  <c r="AI128" i="155"/>
  <c r="AI131" i="155"/>
  <c r="AI122" i="155"/>
  <c r="AI117" i="155"/>
  <c r="AI109" i="155"/>
  <c r="AI115" i="155"/>
  <c r="AI113" i="155"/>
  <c r="AI98" i="155"/>
  <c r="AI118" i="155"/>
  <c r="AI106" i="155"/>
  <c r="AI101" i="155"/>
  <c r="AI124" i="155"/>
  <c r="AI111" i="155"/>
  <c r="AI104" i="155"/>
  <c r="AI116" i="155"/>
  <c r="AI100" i="155"/>
  <c r="AI119" i="155"/>
  <c r="AI107" i="155"/>
  <c r="AI105" i="155"/>
  <c r="AI110" i="155"/>
  <c r="AI95" i="155"/>
  <c r="AI78" i="155"/>
  <c r="AI103" i="155"/>
  <c r="AI91" i="155"/>
  <c r="AI66" i="155"/>
  <c r="AI96" i="155"/>
  <c r="AI89" i="155"/>
  <c r="AI83" i="155"/>
  <c r="AI94" i="155"/>
  <c r="AI80" i="155"/>
  <c r="AI68" i="155"/>
  <c r="AI45" i="155"/>
  <c r="AI99" i="155"/>
  <c r="AI86" i="155"/>
  <c r="AI74" i="155"/>
  <c r="AI92" i="155"/>
  <c r="AI97" i="155"/>
  <c r="AI82" i="155"/>
  <c r="AI102" i="155"/>
  <c r="AI90" i="155"/>
  <c r="AI79" i="155"/>
  <c r="AI75" i="155"/>
  <c r="AI87" i="155"/>
  <c r="AI85" i="155"/>
  <c r="AI71" i="155"/>
  <c r="AI93" i="155"/>
  <c r="AI81" i="155"/>
  <c r="AI77" i="155"/>
  <c r="AI76" i="155"/>
  <c r="AI64" i="155"/>
  <c r="AI48" i="155"/>
  <c r="AI69" i="155"/>
  <c r="AI39" i="155"/>
  <c r="AI62" i="155"/>
  <c r="AI60" i="155"/>
  <c r="AI67" i="155"/>
  <c r="AI72" i="155"/>
  <c r="AI53" i="155"/>
  <c r="AI65" i="155"/>
  <c r="AI59" i="155"/>
  <c r="AI70" i="155"/>
  <c r="AI52" i="155"/>
  <c r="AI63" i="155"/>
  <c r="AI46" i="155"/>
  <c r="AI51" i="155"/>
  <c r="AI35" i="155"/>
  <c r="AI32" i="155"/>
  <c r="AI73" i="155"/>
  <c r="AI61" i="155"/>
  <c r="AI44" i="155"/>
  <c r="AI49" i="155"/>
  <c r="AI37" i="155"/>
  <c r="AI34" i="155"/>
  <c r="AI42" i="155"/>
  <c r="AI47" i="155"/>
  <c r="AI16" i="155"/>
  <c r="AI40" i="155"/>
  <c r="AI36" i="155"/>
  <c r="AI50" i="155"/>
  <c r="AI38" i="155"/>
  <c r="AI31" i="155"/>
  <c r="AI43" i="155"/>
  <c r="AI41" i="155"/>
  <c r="AI33" i="155"/>
  <c r="AI21" i="155"/>
  <c r="AI9" i="155"/>
  <c r="AI14" i="155"/>
  <c r="AI19" i="155"/>
  <c r="AI7" i="155"/>
  <c r="AI24" i="155"/>
  <c r="AI17" i="155"/>
  <c r="AI22" i="155"/>
  <c r="AI10" i="155"/>
  <c r="AI15" i="155"/>
  <c r="AI20" i="155"/>
  <c r="AI8" i="155"/>
  <c r="AI25" i="155"/>
  <c r="AI13" i="155"/>
  <c r="AI23" i="155"/>
  <c r="AI11" i="155"/>
  <c r="AI132" i="155"/>
  <c r="AI88" i="155"/>
  <c r="AI120" i="155"/>
  <c r="F104" i="152"/>
  <c r="F41" i="152"/>
  <c r="F113" i="152"/>
  <c r="F116" i="152"/>
  <c r="F115" i="152"/>
  <c r="F114" i="152"/>
  <c r="F125" i="152"/>
  <c r="F120" i="152"/>
  <c r="F123" i="152"/>
  <c r="F122" i="152"/>
  <c r="F124" i="152"/>
  <c r="F121" i="152"/>
  <c r="F42" i="152"/>
  <c r="F54" i="152"/>
  <c r="F36" i="152"/>
  <c r="F49" i="152"/>
  <c r="F31" i="152"/>
  <c r="F44" i="152"/>
  <c r="F56" i="152"/>
  <c r="F38" i="152"/>
  <c r="F51" i="152"/>
  <c r="F63" i="152"/>
  <c r="F33" i="152"/>
  <c r="F46" i="152"/>
  <c r="F40" i="152"/>
  <c r="F53" i="152"/>
  <c r="F35" i="152"/>
  <c r="F48" i="152"/>
  <c r="F60" i="152"/>
  <c r="F43" i="152"/>
  <c r="F37" i="152"/>
  <c r="F50" i="152"/>
  <c r="F32" i="152"/>
  <c r="F45" i="152"/>
  <c r="F57" i="152"/>
  <c r="F39" i="152"/>
  <c r="F34" i="152"/>
  <c r="F47" i="152"/>
  <c r="F64" i="152"/>
  <c r="F66" i="152"/>
  <c r="F78" i="152"/>
  <c r="F91" i="152"/>
  <c r="F73" i="152"/>
  <c r="F86" i="152"/>
  <c r="F59" i="152"/>
  <c r="F68" i="152"/>
  <c r="F80" i="152"/>
  <c r="F75" i="152"/>
  <c r="F88" i="152"/>
  <c r="F70" i="152"/>
  <c r="F82" i="152"/>
  <c r="F61" i="152"/>
  <c r="F65" i="152"/>
  <c r="F77" i="152"/>
  <c r="F52" i="152"/>
  <c r="F72" i="152"/>
  <c r="F85" i="152"/>
  <c r="F62" i="152"/>
  <c r="F67" i="152"/>
  <c r="F79" i="152"/>
  <c r="F74" i="152"/>
  <c r="F55" i="152"/>
  <c r="F69" i="152"/>
  <c r="F81" i="152"/>
  <c r="F76" i="152"/>
  <c r="F58" i="152"/>
  <c r="F71" i="152"/>
  <c r="F87" i="152"/>
  <c r="F90" i="152"/>
  <c r="F94" i="152"/>
  <c r="F103" i="152"/>
  <c r="F118" i="152"/>
  <c r="F98" i="152"/>
  <c r="F111" i="152"/>
  <c r="F106" i="152"/>
  <c r="F92" i="152"/>
  <c r="F100" i="152"/>
  <c r="F89" i="152"/>
  <c r="F95" i="152"/>
  <c r="F108" i="152"/>
  <c r="F102" i="152"/>
  <c r="F117" i="152"/>
  <c r="F97" i="152"/>
  <c r="F110" i="152"/>
  <c r="F93" i="152"/>
  <c r="F105" i="152"/>
  <c r="F99" i="152"/>
  <c r="F112" i="152"/>
  <c r="F83" i="152"/>
  <c r="F107" i="152"/>
  <c r="F101" i="152"/>
  <c r="F96" i="152"/>
  <c r="F109" i="152"/>
  <c r="F7" i="152"/>
  <c r="F19" i="152"/>
  <c r="F129" i="152"/>
  <c r="F131" i="152"/>
  <c r="F14" i="152"/>
  <c r="F9" i="152"/>
  <c r="F21" i="152"/>
  <c r="F4" i="152"/>
  <c r="F16" i="152"/>
  <c r="F127" i="152"/>
  <c r="F11" i="152"/>
  <c r="F119" i="152"/>
  <c r="F126" i="152"/>
  <c r="F6" i="152"/>
  <c r="F18" i="152"/>
  <c r="F130" i="152"/>
  <c r="F13" i="152"/>
  <c r="F25" i="152"/>
  <c r="F8" i="152"/>
  <c r="F128" i="152"/>
  <c r="F132" i="152"/>
  <c r="F15" i="152"/>
  <c r="F10" i="152"/>
  <c r="F22" i="152"/>
  <c r="F5" i="152"/>
  <c r="F20" i="152"/>
  <c r="F28" i="152"/>
  <c r="F23" i="152"/>
  <c r="F3" i="152"/>
  <c r="F30" i="152"/>
  <c r="F12" i="152"/>
  <c r="F24" i="152"/>
  <c r="F27" i="152"/>
  <c r="F17" i="152"/>
  <c r="F29" i="152"/>
  <c r="F26" i="152"/>
  <c r="G1" i="152"/>
  <c r="G84" i="152" s="1"/>
  <c r="G104" i="152" l="1"/>
  <c r="G41" i="152"/>
  <c r="G116" i="152"/>
  <c r="G114" i="152"/>
  <c r="G113" i="152"/>
  <c r="G115" i="152"/>
  <c r="G123" i="152"/>
  <c r="G124" i="152"/>
  <c r="G121" i="152"/>
  <c r="G125" i="152"/>
  <c r="G120" i="152"/>
  <c r="G122" i="152"/>
  <c r="G34" i="152"/>
  <c r="G47" i="152"/>
  <c r="G59" i="152"/>
  <c r="G42" i="152"/>
  <c r="G54" i="152"/>
  <c r="G36" i="152"/>
  <c r="G49" i="152"/>
  <c r="G31" i="152"/>
  <c r="G44" i="152"/>
  <c r="G56" i="152"/>
  <c r="G38" i="152"/>
  <c r="G51" i="152"/>
  <c r="G33" i="152"/>
  <c r="G46" i="152"/>
  <c r="G58" i="152"/>
  <c r="G40" i="152"/>
  <c r="G53" i="152"/>
  <c r="G35" i="152"/>
  <c r="G48" i="152"/>
  <c r="G43" i="152"/>
  <c r="G55" i="152"/>
  <c r="G37" i="152"/>
  <c r="G50" i="152"/>
  <c r="G32" i="152"/>
  <c r="G45" i="152"/>
  <c r="G39" i="152"/>
  <c r="G52" i="152"/>
  <c r="G71" i="152"/>
  <c r="G83" i="152"/>
  <c r="G64" i="152"/>
  <c r="G66" i="152"/>
  <c r="G78" i="152"/>
  <c r="G73" i="152"/>
  <c r="G86" i="152"/>
  <c r="G68" i="152"/>
  <c r="G80" i="152"/>
  <c r="G75" i="152"/>
  <c r="G70" i="152"/>
  <c r="G82" i="152"/>
  <c r="G61" i="152"/>
  <c r="G65" i="152"/>
  <c r="G77" i="152"/>
  <c r="G60" i="152"/>
  <c r="G72" i="152"/>
  <c r="G62" i="152"/>
  <c r="G67" i="152"/>
  <c r="G79" i="152"/>
  <c r="G63" i="152"/>
  <c r="G74" i="152"/>
  <c r="G69" i="152"/>
  <c r="G57" i="152"/>
  <c r="G76" i="152"/>
  <c r="G81" i="152"/>
  <c r="G96" i="152"/>
  <c r="G109" i="152"/>
  <c r="G87" i="152"/>
  <c r="G90" i="152"/>
  <c r="G94" i="152"/>
  <c r="G103" i="152"/>
  <c r="G118" i="152"/>
  <c r="G91" i="152"/>
  <c r="G98" i="152"/>
  <c r="G111" i="152"/>
  <c r="G126" i="152"/>
  <c r="G106" i="152"/>
  <c r="G92" i="152"/>
  <c r="G100" i="152"/>
  <c r="G89" i="152"/>
  <c r="G95" i="152"/>
  <c r="G108" i="152"/>
  <c r="G102" i="152"/>
  <c r="G117" i="152"/>
  <c r="G85" i="152"/>
  <c r="G88" i="152"/>
  <c r="G97" i="152"/>
  <c r="G110" i="152"/>
  <c r="G93" i="152"/>
  <c r="G105" i="152"/>
  <c r="G99" i="152"/>
  <c r="G112" i="152"/>
  <c r="G107" i="152"/>
  <c r="G101" i="152"/>
  <c r="G12" i="152"/>
  <c r="G24" i="152"/>
  <c r="G7" i="152"/>
  <c r="G19" i="152"/>
  <c r="G129" i="152"/>
  <c r="G131" i="152"/>
  <c r="G14" i="152"/>
  <c r="G9" i="152"/>
  <c r="G21" i="152"/>
  <c r="G4" i="152"/>
  <c r="G16" i="152"/>
  <c r="G127" i="152"/>
  <c r="G11" i="152"/>
  <c r="G23" i="152"/>
  <c r="G119" i="152"/>
  <c r="G6" i="152"/>
  <c r="G18" i="152"/>
  <c r="G130" i="152"/>
  <c r="G13" i="152"/>
  <c r="G8" i="152"/>
  <c r="G20" i="152"/>
  <c r="G128" i="152"/>
  <c r="G132" i="152"/>
  <c r="G15" i="152"/>
  <c r="G26" i="152"/>
  <c r="G27" i="152"/>
  <c r="G3" i="152"/>
  <c r="G5" i="152"/>
  <c r="G28" i="152"/>
  <c r="G30" i="152"/>
  <c r="G10" i="152"/>
  <c r="G25" i="152"/>
  <c r="G17" i="152"/>
  <c r="G29" i="152"/>
  <c r="G22" i="152"/>
  <c r="H1" i="152"/>
  <c r="H84" i="152" s="1"/>
  <c r="H104" i="152" l="1"/>
  <c r="H41" i="152"/>
  <c r="H116" i="152"/>
  <c r="H114" i="152"/>
  <c r="H113" i="152"/>
  <c r="H115" i="152"/>
  <c r="H121" i="152"/>
  <c r="H123" i="152"/>
  <c r="H125" i="152"/>
  <c r="H120" i="152"/>
  <c r="H122" i="152"/>
  <c r="H124" i="152"/>
  <c r="H39" i="152"/>
  <c r="H52" i="152"/>
  <c r="H34" i="152"/>
  <c r="H47" i="152"/>
  <c r="H42" i="152"/>
  <c r="H54" i="152"/>
  <c r="H36" i="152"/>
  <c r="H49" i="152"/>
  <c r="H61" i="152"/>
  <c r="H31" i="152"/>
  <c r="H44" i="152"/>
  <c r="H56" i="152"/>
  <c r="H38" i="152"/>
  <c r="H51" i="152"/>
  <c r="H33" i="152"/>
  <c r="H46" i="152"/>
  <c r="H58" i="152"/>
  <c r="H40" i="152"/>
  <c r="H35" i="152"/>
  <c r="H48" i="152"/>
  <c r="H43" i="152"/>
  <c r="H55" i="152"/>
  <c r="H37" i="152"/>
  <c r="H32" i="152"/>
  <c r="H45" i="152"/>
  <c r="H57" i="152"/>
  <c r="H76" i="152"/>
  <c r="H89" i="152"/>
  <c r="H50" i="152"/>
  <c r="H71" i="152"/>
  <c r="H83" i="152"/>
  <c r="H64" i="152"/>
  <c r="H66" i="152"/>
  <c r="H78" i="152"/>
  <c r="H91" i="152"/>
  <c r="H59" i="152"/>
  <c r="H73" i="152"/>
  <c r="H86" i="152"/>
  <c r="H68" i="152"/>
  <c r="H80" i="152"/>
  <c r="H75" i="152"/>
  <c r="H70" i="152"/>
  <c r="H82" i="152"/>
  <c r="H65" i="152"/>
  <c r="H77" i="152"/>
  <c r="H60" i="152"/>
  <c r="H72" i="152"/>
  <c r="H85" i="152"/>
  <c r="H62" i="152"/>
  <c r="H67" i="152"/>
  <c r="H79" i="152"/>
  <c r="H63" i="152"/>
  <c r="H74" i="152"/>
  <c r="H53" i="152"/>
  <c r="H69" i="152"/>
  <c r="H101" i="152"/>
  <c r="H129" i="152"/>
  <c r="H81" i="152"/>
  <c r="H96" i="152"/>
  <c r="H109" i="152"/>
  <c r="H87" i="152"/>
  <c r="H90" i="152"/>
  <c r="H94" i="152"/>
  <c r="H103" i="152"/>
  <c r="H118" i="152"/>
  <c r="H98" i="152"/>
  <c r="H111" i="152"/>
  <c r="H126" i="152"/>
  <c r="H106" i="152"/>
  <c r="H92" i="152"/>
  <c r="H100" i="152"/>
  <c r="H95" i="152"/>
  <c r="H108" i="152"/>
  <c r="H102" i="152"/>
  <c r="H88" i="152"/>
  <c r="H97" i="152"/>
  <c r="H110" i="152"/>
  <c r="H93" i="152"/>
  <c r="H105" i="152"/>
  <c r="H119" i="152"/>
  <c r="H99" i="152"/>
  <c r="H107" i="152"/>
  <c r="H112" i="152"/>
  <c r="H5" i="152"/>
  <c r="H17" i="152"/>
  <c r="H117" i="152"/>
  <c r="H12" i="152"/>
  <c r="H7" i="152"/>
  <c r="H19" i="152"/>
  <c r="H131" i="152"/>
  <c r="H14" i="152"/>
  <c r="H9" i="152"/>
  <c r="H4" i="152"/>
  <c r="H16" i="152"/>
  <c r="H127" i="152"/>
  <c r="H11" i="152"/>
  <c r="H23" i="152"/>
  <c r="H6" i="152"/>
  <c r="H18" i="152"/>
  <c r="H130" i="152"/>
  <c r="H13" i="152"/>
  <c r="H8" i="152"/>
  <c r="H20" i="152"/>
  <c r="H128" i="152"/>
  <c r="H132" i="152"/>
  <c r="H21" i="152"/>
  <c r="H26" i="152"/>
  <c r="H28" i="152"/>
  <c r="H29" i="152"/>
  <c r="H30" i="152"/>
  <c r="H3" i="152"/>
  <c r="H24" i="152"/>
  <c r="H10" i="152"/>
  <c r="H25" i="152"/>
  <c r="H27" i="152"/>
  <c r="H15" i="152"/>
  <c r="H22" i="152"/>
  <c r="I1" i="152"/>
  <c r="I84" i="152" s="1"/>
  <c r="I104" i="152" l="1"/>
  <c r="I41" i="152"/>
  <c r="I114" i="152"/>
  <c r="I116" i="152"/>
  <c r="I113" i="152"/>
  <c r="I115" i="152"/>
  <c r="I121" i="152"/>
  <c r="I123" i="152"/>
  <c r="I125" i="152"/>
  <c r="I120" i="152"/>
  <c r="I122" i="152"/>
  <c r="I124" i="152"/>
  <c r="I32" i="152"/>
  <c r="I45" i="152"/>
  <c r="I57" i="152"/>
  <c r="I39" i="152"/>
  <c r="I52" i="152"/>
  <c r="I34" i="152"/>
  <c r="I47" i="152"/>
  <c r="I59" i="152"/>
  <c r="I42" i="152"/>
  <c r="I54" i="152"/>
  <c r="I36" i="152"/>
  <c r="I49" i="152"/>
  <c r="I31" i="152"/>
  <c r="I44" i="152"/>
  <c r="I56" i="152"/>
  <c r="I38" i="152"/>
  <c r="I51" i="152"/>
  <c r="I33" i="152"/>
  <c r="I46" i="152"/>
  <c r="I40" i="152"/>
  <c r="I53" i="152"/>
  <c r="I35" i="152"/>
  <c r="I48" i="152"/>
  <c r="I43" i="152"/>
  <c r="I37" i="152"/>
  <c r="I50" i="152"/>
  <c r="I58" i="152"/>
  <c r="I69" i="152"/>
  <c r="I81" i="152"/>
  <c r="I94" i="152"/>
  <c r="I76" i="152"/>
  <c r="I71" i="152"/>
  <c r="I83" i="152"/>
  <c r="I64" i="152"/>
  <c r="I66" i="152"/>
  <c r="I78" i="152"/>
  <c r="I73" i="152"/>
  <c r="I68" i="152"/>
  <c r="I80" i="152"/>
  <c r="I75" i="152"/>
  <c r="I88" i="152"/>
  <c r="I61" i="152"/>
  <c r="I70" i="152"/>
  <c r="I65" i="152"/>
  <c r="I77" i="152"/>
  <c r="I60" i="152"/>
  <c r="I72" i="152"/>
  <c r="I55" i="152"/>
  <c r="I62" i="152"/>
  <c r="I67" i="152"/>
  <c r="I63" i="152"/>
  <c r="I74" i="152"/>
  <c r="I107" i="152"/>
  <c r="I101" i="152"/>
  <c r="I96" i="152"/>
  <c r="I109" i="152"/>
  <c r="I87" i="152"/>
  <c r="I90" i="152"/>
  <c r="I91" i="152"/>
  <c r="I103" i="152"/>
  <c r="I118" i="152"/>
  <c r="I98" i="152"/>
  <c r="I111" i="152"/>
  <c r="I106" i="152"/>
  <c r="I89" i="152"/>
  <c r="I92" i="152"/>
  <c r="I100" i="152"/>
  <c r="I79" i="152"/>
  <c r="I95" i="152"/>
  <c r="I108" i="152"/>
  <c r="I85" i="152"/>
  <c r="I102" i="152"/>
  <c r="I117" i="152"/>
  <c r="I97" i="152"/>
  <c r="I110" i="152"/>
  <c r="I82" i="152"/>
  <c r="I86" i="152"/>
  <c r="I93" i="152"/>
  <c r="I105" i="152"/>
  <c r="I99" i="152"/>
  <c r="I112" i="152"/>
  <c r="I10" i="152"/>
  <c r="I22" i="152"/>
  <c r="I5" i="152"/>
  <c r="I17" i="152"/>
  <c r="I12" i="152"/>
  <c r="I129" i="152"/>
  <c r="I7" i="152"/>
  <c r="I19" i="152"/>
  <c r="I131" i="152"/>
  <c r="I14" i="152"/>
  <c r="I9" i="152"/>
  <c r="I21" i="152"/>
  <c r="I126" i="152"/>
  <c r="I4" i="152"/>
  <c r="I16" i="152"/>
  <c r="I119" i="152"/>
  <c r="I127" i="152"/>
  <c r="I11" i="152"/>
  <c r="I6" i="152"/>
  <c r="I18" i="152"/>
  <c r="I130" i="152"/>
  <c r="I13" i="152"/>
  <c r="I25" i="152"/>
  <c r="I128" i="152"/>
  <c r="I3" i="152"/>
  <c r="I20" i="152"/>
  <c r="I26" i="152"/>
  <c r="I23" i="152"/>
  <c r="I28" i="152"/>
  <c r="I30" i="152"/>
  <c r="I132" i="152"/>
  <c r="I24" i="152"/>
  <c r="I8" i="152"/>
  <c r="I27" i="152"/>
  <c r="I15" i="152"/>
  <c r="I29" i="152"/>
  <c r="J1" i="152"/>
  <c r="J84" i="152" s="1"/>
  <c r="J104" i="152" l="1"/>
  <c r="J41" i="152"/>
  <c r="J114" i="152"/>
  <c r="J116" i="152"/>
  <c r="J113" i="152"/>
  <c r="J115" i="152"/>
  <c r="J121" i="152"/>
  <c r="J123" i="152"/>
  <c r="J124" i="152"/>
  <c r="J125" i="152"/>
  <c r="J120" i="152"/>
  <c r="J122" i="152"/>
  <c r="J37" i="152"/>
  <c r="J50" i="152"/>
  <c r="J62" i="152"/>
  <c r="J32" i="152"/>
  <c r="J45" i="152"/>
  <c r="J39" i="152"/>
  <c r="J52" i="152"/>
  <c r="J34" i="152"/>
  <c r="J47" i="152"/>
  <c r="J59" i="152"/>
  <c r="J42" i="152"/>
  <c r="J54" i="152"/>
  <c r="J36" i="152"/>
  <c r="J49" i="152"/>
  <c r="J31" i="152"/>
  <c r="J44" i="152"/>
  <c r="J56" i="152"/>
  <c r="J38" i="152"/>
  <c r="J51" i="152"/>
  <c r="J33" i="152"/>
  <c r="J46" i="152"/>
  <c r="J58" i="152"/>
  <c r="J40" i="152"/>
  <c r="J53" i="152"/>
  <c r="J35" i="152"/>
  <c r="J48" i="152"/>
  <c r="J43" i="152"/>
  <c r="J55" i="152"/>
  <c r="J63" i="152"/>
  <c r="J74" i="152"/>
  <c r="J87" i="152"/>
  <c r="J57" i="152"/>
  <c r="J69" i="152"/>
  <c r="J81" i="152"/>
  <c r="J76" i="152"/>
  <c r="J89" i="152"/>
  <c r="J71" i="152"/>
  <c r="J83" i="152"/>
  <c r="J64" i="152"/>
  <c r="J66" i="152"/>
  <c r="J78" i="152"/>
  <c r="J73" i="152"/>
  <c r="J86" i="152"/>
  <c r="J68" i="152"/>
  <c r="J80" i="152"/>
  <c r="J75" i="152"/>
  <c r="J61" i="152"/>
  <c r="J70" i="152"/>
  <c r="J82" i="152"/>
  <c r="J65" i="152"/>
  <c r="J77" i="152"/>
  <c r="J60" i="152"/>
  <c r="J72" i="152"/>
  <c r="J67" i="152"/>
  <c r="J79" i="152"/>
  <c r="J99" i="152"/>
  <c r="J112" i="152"/>
  <c r="J127" i="152"/>
  <c r="J107" i="152"/>
  <c r="J101" i="152"/>
  <c r="J94" i="152"/>
  <c r="J96" i="152"/>
  <c r="J109" i="152"/>
  <c r="J90" i="152"/>
  <c r="J91" i="152"/>
  <c r="J103" i="152"/>
  <c r="J118" i="152"/>
  <c r="J98" i="152"/>
  <c r="J111" i="152"/>
  <c r="J106" i="152"/>
  <c r="J92" i="152"/>
  <c r="J100" i="152"/>
  <c r="J95" i="152"/>
  <c r="J108" i="152"/>
  <c r="J85" i="152"/>
  <c r="J88" i="152"/>
  <c r="J102" i="152"/>
  <c r="J117" i="152"/>
  <c r="J97" i="152"/>
  <c r="J93" i="152"/>
  <c r="J105" i="152"/>
  <c r="J128" i="152"/>
  <c r="J132" i="152"/>
  <c r="J15" i="152"/>
  <c r="J10" i="152"/>
  <c r="J5" i="152"/>
  <c r="J17" i="152"/>
  <c r="J12" i="152"/>
  <c r="J129" i="152"/>
  <c r="J7" i="152"/>
  <c r="J19" i="152"/>
  <c r="J131" i="152"/>
  <c r="J14" i="152"/>
  <c r="J9" i="152"/>
  <c r="J21" i="152"/>
  <c r="J110" i="152"/>
  <c r="J126" i="152"/>
  <c r="J4" i="152"/>
  <c r="J16" i="152"/>
  <c r="J119" i="152"/>
  <c r="J11" i="152"/>
  <c r="J23" i="152"/>
  <c r="J6" i="152"/>
  <c r="J18" i="152"/>
  <c r="J130" i="152"/>
  <c r="J22" i="152"/>
  <c r="J29" i="152"/>
  <c r="J3" i="152"/>
  <c r="J30" i="152"/>
  <c r="J20" i="152"/>
  <c r="J26" i="152"/>
  <c r="J28" i="152"/>
  <c r="J24" i="152"/>
  <c r="J25" i="152"/>
  <c r="J8" i="152"/>
  <c r="J27" i="152"/>
  <c r="J13" i="152"/>
  <c r="K1" i="152"/>
  <c r="K84" i="152" s="1"/>
  <c r="K104" i="152" l="1"/>
  <c r="K41" i="152"/>
  <c r="K114" i="152"/>
  <c r="K115" i="152"/>
  <c r="K116" i="152"/>
  <c r="K113" i="152"/>
  <c r="K124" i="152"/>
  <c r="K121" i="152"/>
  <c r="K122" i="152"/>
  <c r="K123" i="152"/>
  <c r="K125" i="152"/>
  <c r="K120" i="152"/>
  <c r="K43" i="152"/>
  <c r="K55" i="152"/>
  <c r="K37" i="152"/>
  <c r="K50" i="152"/>
  <c r="K32" i="152"/>
  <c r="K45" i="152"/>
  <c r="K57" i="152"/>
  <c r="K39" i="152"/>
  <c r="K52" i="152"/>
  <c r="K64" i="152"/>
  <c r="K34" i="152"/>
  <c r="K47" i="152"/>
  <c r="K42" i="152"/>
  <c r="K54" i="152"/>
  <c r="K36" i="152"/>
  <c r="K49" i="152"/>
  <c r="K31" i="152"/>
  <c r="K44" i="152"/>
  <c r="K38" i="152"/>
  <c r="K51" i="152"/>
  <c r="K33" i="152"/>
  <c r="K46" i="152"/>
  <c r="K58" i="152"/>
  <c r="K40" i="152"/>
  <c r="K35" i="152"/>
  <c r="K48" i="152"/>
  <c r="K53" i="152"/>
  <c r="K67" i="152"/>
  <c r="K79" i="152"/>
  <c r="K92" i="152"/>
  <c r="K63" i="152"/>
  <c r="K74" i="152"/>
  <c r="K87" i="152"/>
  <c r="K69" i="152"/>
  <c r="K81" i="152"/>
  <c r="K56" i="152"/>
  <c r="K76" i="152"/>
  <c r="K89" i="152"/>
  <c r="K59" i="152"/>
  <c r="K71" i="152"/>
  <c r="K83" i="152"/>
  <c r="K66" i="152"/>
  <c r="K78" i="152"/>
  <c r="K73" i="152"/>
  <c r="K86" i="152"/>
  <c r="K68" i="152"/>
  <c r="K80" i="152"/>
  <c r="K75" i="152"/>
  <c r="K61" i="152"/>
  <c r="K70" i="152"/>
  <c r="K65" i="152"/>
  <c r="K60" i="152"/>
  <c r="K62" i="152"/>
  <c r="K72" i="152"/>
  <c r="K93" i="152"/>
  <c r="K105" i="152"/>
  <c r="K119" i="152"/>
  <c r="K99" i="152"/>
  <c r="K112" i="152"/>
  <c r="K77" i="152"/>
  <c r="K107" i="152"/>
  <c r="K101" i="152"/>
  <c r="K94" i="152"/>
  <c r="K96" i="152"/>
  <c r="K109" i="152"/>
  <c r="K90" i="152"/>
  <c r="K91" i="152"/>
  <c r="K103" i="152"/>
  <c r="K118" i="152"/>
  <c r="K98" i="152"/>
  <c r="K111" i="152"/>
  <c r="K106" i="152"/>
  <c r="K100" i="152"/>
  <c r="K95" i="152"/>
  <c r="K108" i="152"/>
  <c r="K85" i="152"/>
  <c r="K88" i="152"/>
  <c r="K102" i="152"/>
  <c r="K82" i="152"/>
  <c r="K97" i="152"/>
  <c r="K110" i="152"/>
  <c r="K8" i="152"/>
  <c r="K20" i="152"/>
  <c r="K128" i="152"/>
  <c r="K132" i="152"/>
  <c r="K15" i="152"/>
  <c r="K117" i="152"/>
  <c r="K10" i="152"/>
  <c r="K22" i="152"/>
  <c r="K5" i="152"/>
  <c r="K17" i="152"/>
  <c r="K12" i="152"/>
  <c r="K129" i="152"/>
  <c r="K7" i="152"/>
  <c r="K19" i="152"/>
  <c r="K131" i="152"/>
  <c r="K14" i="152"/>
  <c r="K9" i="152"/>
  <c r="K126" i="152"/>
  <c r="K127" i="152"/>
  <c r="K4" i="152"/>
  <c r="K16" i="152"/>
  <c r="K11" i="152"/>
  <c r="K23" i="152"/>
  <c r="K6" i="152"/>
  <c r="K13" i="152"/>
  <c r="K18" i="152"/>
  <c r="K21" i="152"/>
  <c r="K29" i="152"/>
  <c r="K3" i="152"/>
  <c r="K130" i="152"/>
  <c r="K26" i="152"/>
  <c r="K28" i="152"/>
  <c r="K30" i="152"/>
  <c r="K24" i="152"/>
  <c r="K25" i="152"/>
  <c r="K27" i="152"/>
  <c r="L1" i="152"/>
  <c r="L84" i="152" s="1"/>
  <c r="L104" i="152" l="1"/>
  <c r="L41" i="152"/>
  <c r="L114" i="152"/>
  <c r="L116" i="152"/>
  <c r="L115" i="152"/>
  <c r="L113" i="152"/>
  <c r="L124" i="152"/>
  <c r="L122" i="152"/>
  <c r="L121" i="152"/>
  <c r="L123" i="152"/>
  <c r="L125" i="152"/>
  <c r="L120" i="152"/>
  <c r="L35" i="152"/>
  <c r="L48" i="152"/>
  <c r="L60" i="152"/>
  <c r="L43" i="152"/>
  <c r="L55" i="152"/>
  <c r="L37" i="152"/>
  <c r="L50" i="152"/>
  <c r="L32" i="152"/>
  <c r="L45" i="152"/>
  <c r="L57" i="152"/>
  <c r="L39" i="152"/>
  <c r="L52" i="152"/>
  <c r="L34" i="152"/>
  <c r="L47" i="152"/>
  <c r="L59" i="152"/>
  <c r="L42" i="152"/>
  <c r="L54" i="152"/>
  <c r="L36" i="152"/>
  <c r="L49" i="152"/>
  <c r="L31" i="152"/>
  <c r="L44" i="152"/>
  <c r="L56" i="152"/>
  <c r="L38" i="152"/>
  <c r="L51" i="152"/>
  <c r="L33" i="152"/>
  <c r="L46" i="152"/>
  <c r="L40" i="152"/>
  <c r="L53" i="152"/>
  <c r="L62" i="152"/>
  <c r="L72" i="152"/>
  <c r="L85" i="152"/>
  <c r="L58" i="152"/>
  <c r="L67" i="152"/>
  <c r="L79" i="152"/>
  <c r="L63" i="152"/>
  <c r="L74" i="152"/>
  <c r="L87" i="152"/>
  <c r="L69" i="152"/>
  <c r="L81" i="152"/>
  <c r="L76" i="152"/>
  <c r="L64" i="152"/>
  <c r="L71" i="152"/>
  <c r="L83" i="152"/>
  <c r="L66" i="152"/>
  <c r="L78" i="152"/>
  <c r="L73" i="152"/>
  <c r="L68" i="152"/>
  <c r="L80" i="152"/>
  <c r="L75" i="152"/>
  <c r="L61" i="152"/>
  <c r="L70" i="152"/>
  <c r="L65" i="152"/>
  <c r="L77" i="152"/>
  <c r="L82" i="152"/>
  <c r="L97" i="152"/>
  <c r="L110" i="152"/>
  <c r="L93" i="152"/>
  <c r="L105" i="152"/>
  <c r="L119" i="152"/>
  <c r="L99" i="152"/>
  <c r="L112" i="152"/>
  <c r="L107" i="152"/>
  <c r="L101" i="152"/>
  <c r="L94" i="152"/>
  <c r="L96" i="152"/>
  <c r="L109" i="152"/>
  <c r="L90" i="152"/>
  <c r="L91" i="152"/>
  <c r="L103" i="152"/>
  <c r="L118" i="152"/>
  <c r="L89" i="152"/>
  <c r="L98" i="152"/>
  <c r="L111" i="152"/>
  <c r="L92" i="152"/>
  <c r="L106" i="152"/>
  <c r="L100" i="152"/>
  <c r="L95" i="152"/>
  <c r="L86" i="152"/>
  <c r="L88" i="152"/>
  <c r="L102" i="152"/>
  <c r="L117" i="152"/>
  <c r="L130" i="152"/>
  <c r="L13" i="152"/>
  <c r="L8" i="152"/>
  <c r="L20" i="152"/>
  <c r="L108" i="152"/>
  <c r="L128" i="152"/>
  <c r="L132" i="152"/>
  <c r="L15" i="152"/>
  <c r="L10" i="152"/>
  <c r="L5" i="152"/>
  <c r="L17" i="152"/>
  <c r="L12" i="152"/>
  <c r="L129" i="152"/>
  <c r="L7" i="152"/>
  <c r="L19" i="152"/>
  <c r="L131" i="152"/>
  <c r="L14" i="152"/>
  <c r="L9" i="152"/>
  <c r="L21" i="152"/>
  <c r="L126" i="152"/>
  <c r="L127" i="152"/>
  <c r="L4" i="152"/>
  <c r="L16" i="152"/>
  <c r="L27" i="152"/>
  <c r="L11" i="152"/>
  <c r="L22" i="152"/>
  <c r="L18" i="152"/>
  <c r="L29" i="152"/>
  <c r="L3" i="152"/>
  <c r="L6" i="152"/>
  <c r="L23" i="152"/>
  <c r="L26" i="152"/>
  <c r="L30" i="152"/>
  <c r="L28" i="152"/>
  <c r="L24" i="152"/>
  <c r="L25" i="152"/>
  <c r="M1" i="152"/>
  <c r="M84" i="152" s="1"/>
  <c r="M104" i="152" l="1"/>
  <c r="M41" i="152"/>
  <c r="M114" i="152"/>
  <c r="M116" i="152"/>
  <c r="M115" i="152"/>
  <c r="M113" i="152"/>
  <c r="M124" i="152"/>
  <c r="M120" i="152"/>
  <c r="M121" i="152"/>
  <c r="M125" i="152"/>
  <c r="M122" i="152"/>
  <c r="M123" i="152"/>
  <c r="M40" i="152"/>
  <c r="M53" i="152"/>
  <c r="M35" i="152"/>
  <c r="M48" i="152"/>
  <c r="M43" i="152"/>
  <c r="M55" i="152"/>
  <c r="M37" i="152"/>
  <c r="M50" i="152"/>
  <c r="M62" i="152"/>
  <c r="M32" i="152"/>
  <c r="M45" i="152"/>
  <c r="M57" i="152"/>
  <c r="M39" i="152"/>
  <c r="M52" i="152"/>
  <c r="M34" i="152"/>
  <c r="M47" i="152"/>
  <c r="M59" i="152"/>
  <c r="M42" i="152"/>
  <c r="M36" i="152"/>
  <c r="M49" i="152"/>
  <c r="M31" i="152"/>
  <c r="M44" i="152"/>
  <c r="M56" i="152"/>
  <c r="M38" i="152"/>
  <c r="M33" i="152"/>
  <c r="M46" i="152"/>
  <c r="M60" i="152"/>
  <c r="M65" i="152"/>
  <c r="M77" i="152"/>
  <c r="M90" i="152"/>
  <c r="M72" i="152"/>
  <c r="M85" i="152"/>
  <c r="M58" i="152"/>
  <c r="M67" i="152"/>
  <c r="M79" i="152"/>
  <c r="M63" i="152"/>
  <c r="M74" i="152"/>
  <c r="M87" i="152"/>
  <c r="M51" i="152"/>
  <c r="M69" i="152"/>
  <c r="M81" i="152"/>
  <c r="M54" i="152"/>
  <c r="M76" i="152"/>
  <c r="M64" i="152"/>
  <c r="M71" i="152"/>
  <c r="M83" i="152"/>
  <c r="M66" i="152"/>
  <c r="M78" i="152"/>
  <c r="M73" i="152"/>
  <c r="M68" i="152"/>
  <c r="M80" i="152"/>
  <c r="M75" i="152"/>
  <c r="M61" i="152"/>
  <c r="M70" i="152"/>
  <c r="M86" i="152"/>
  <c r="M88" i="152"/>
  <c r="M102" i="152"/>
  <c r="M117" i="152"/>
  <c r="M82" i="152"/>
  <c r="M97" i="152"/>
  <c r="M110" i="152"/>
  <c r="M93" i="152"/>
  <c r="M105" i="152"/>
  <c r="M119" i="152"/>
  <c r="M99" i="152"/>
  <c r="M112" i="152"/>
  <c r="M107" i="152"/>
  <c r="M101" i="152"/>
  <c r="M94" i="152"/>
  <c r="M96" i="152"/>
  <c r="M109" i="152"/>
  <c r="M91" i="152"/>
  <c r="M103" i="152"/>
  <c r="M89" i="152"/>
  <c r="M98" i="152"/>
  <c r="M111" i="152"/>
  <c r="M92" i="152"/>
  <c r="M106" i="152"/>
  <c r="M100" i="152"/>
  <c r="M95" i="152"/>
  <c r="M108" i="152"/>
  <c r="M6" i="152"/>
  <c r="M18" i="152"/>
  <c r="M130" i="152"/>
  <c r="M13" i="152"/>
  <c r="M8" i="152"/>
  <c r="M20" i="152"/>
  <c r="M128" i="152"/>
  <c r="M132" i="152"/>
  <c r="M15" i="152"/>
  <c r="M10" i="152"/>
  <c r="M5" i="152"/>
  <c r="M17" i="152"/>
  <c r="M12" i="152"/>
  <c r="M24" i="152"/>
  <c r="M129" i="152"/>
  <c r="M7" i="152"/>
  <c r="M19" i="152"/>
  <c r="M131" i="152"/>
  <c r="M14" i="152"/>
  <c r="M118" i="152"/>
  <c r="M9" i="152"/>
  <c r="M21" i="152"/>
  <c r="M126" i="152"/>
  <c r="M127" i="152"/>
  <c r="M4" i="152"/>
  <c r="M25" i="152"/>
  <c r="M27" i="152"/>
  <c r="M11" i="152"/>
  <c r="M22" i="152"/>
  <c r="M16" i="152"/>
  <c r="M29" i="152"/>
  <c r="M3" i="152"/>
  <c r="M23" i="152"/>
  <c r="M30" i="152"/>
  <c r="M26" i="152"/>
  <c r="M28" i="152"/>
  <c r="N1" i="152"/>
  <c r="N84" i="152" s="1"/>
  <c r="N104" i="152" l="1"/>
  <c r="N41" i="152"/>
  <c r="N115" i="152"/>
  <c r="N113" i="152"/>
  <c r="N114" i="152"/>
  <c r="N116" i="152"/>
  <c r="N122" i="152"/>
  <c r="N124" i="152"/>
  <c r="N125" i="152"/>
  <c r="N121" i="152"/>
  <c r="N123" i="152"/>
  <c r="N120" i="152"/>
  <c r="N33" i="152"/>
  <c r="N46" i="152"/>
  <c r="N58" i="152"/>
  <c r="N40" i="152"/>
  <c r="N53" i="152"/>
  <c r="N35" i="152"/>
  <c r="N48" i="152"/>
  <c r="N60" i="152"/>
  <c r="N43" i="152"/>
  <c r="N55" i="152"/>
  <c r="N37" i="152"/>
  <c r="N50" i="152"/>
  <c r="N32" i="152"/>
  <c r="N45" i="152"/>
  <c r="N57" i="152"/>
  <c r="N39" i="152"/>
  <c r="N52" i="152"/>
  <c r="N34" i="152"/>
  <c r="N47" i="152"/>
  <c r="N42" i="152"/>
  <c r="N54" i="152"/>
  <c r="N36" i="152"/>
  <c r="N49" i="152"/>
  <c r="N31" i="152"/>
  <c r="N44" i="152"/>
  <c r="N38" i="152"/>
  <c r="N51" i="152"/>
  <c r="N61" i="152"/>
  <c r="N70" i="152"/>
  <c r="N82" i="152"/>
  <c r="N62" i="152"/>
  <c r="N65" i="152"/>
  <c r="N77" i="152"/>
  <c r="N72" i="152"/>
  <c r="N85" i="152"/>
  <c r="N67" i="152"/>
  <c r="N79" i="152"/>
  <c r="N56" i="152"/>
  <c r="N63" i="152"/>
  <c r="N74" i="152"/>
  <c r="N59" i="152"/>
  <c r="N69" i="152"/>
  <c r="N81" i="152"/>
  <c r="N76" i="152"/>
  <c r="N89" i="152"/>
  <c r="N64" i="152"/>
  <c r="N71" i="152"/>
  <c r="N66" i="152"/>
  <c r="N78" i="152"/>
  <c r="N73" i="152"/>
  <c r="N68" i="152"/>
  <c r="N75" i="152"/>
  <c r="N95" i="152"/>
  <c r="N108" i="152"/>
  <c r="N86" i="152"/>
  <c r="N88" i="152"/>
  <c r="N102" i="152"/>
  <c r="N117" i="152"/>
  <c r="N97" i="152"/>
  <c r="N110" i="152"/>
  <c r="N93" i="152"/>
  <c r="N105" i="152"/>
  <c r="N119" i="152"/>
  <c r="N87" i="152"/>
  <c r="N99" i="152"/>
  <c r="N112" i="152"/>
  <c r="N107" i="152"/>
  <c r="N101" i="152"/>
  <c r="N90" i="152"/>
  <c r="N94" i="152"/>
  <c r="N96" i="152"/>
  <c r="N109" i="152"/>
  <c r="N91" i="152"/>
  <c r="N103" i="152"/>
  <c r="N98" i="152"/>
  <c r="N111" i="152"/>
  <c r="N80" i="152"/>
  <c r="N83" i="152"/>
  <c r="N92" i="152"/>
  <c r="N106" i="152"/>
  <c r="N100" i="152"/>
  <c r="N11" i="152"/>
  <c r="N23" i="152"/>
  <c r="N6" i="152"/>
  <c r="N18" i="152"/>
  <c r="N130" i="152"/>
  <c r="N13" i="152"/>
  <c r="N8" i="152"/>
  <c r="N20" i="152"/>
  <c r="N128" i="152"/>
  <c r="N132" i="152"/>
  <c r="N15" i="152"/>
  <c r="N10" i="152"/>
  <c r="N22" i="152"/>
  <c r="N5" i="152"/>
  <c r="N17" i="152"/>
  <c r="N12" i="152"/>
  <c r="N129" i="152"/>
  <c r="N7" i="152"/>
  <c r="N19" i="152"/>
  <c r="N131" i="152"/>
  <c r="N14" i="152"/>
  <c r="N118" i="152"/>
  <c r="N126" i="152"/>
  <c r="N127" i="152"/>
  <c r="N24" i="152"/>
  <c r="N28" i="152"/>
  <c r="N25" i="152"/>
  <c r="N21" i="152"/>
  <c r="N27" i="152"/>
  <c r="N9" i="152"/>
  <c r="N16" i="152"/>
  <c r="N29" i="152"/>
  <c r="N3" i="152"/>
  <c r="N26" i="152"/>
  <c r="N30" i="152"/>
  <c r="N4" i="152"/>
  <c r="O1" i="152"/>
  <c r="O84" i="152" s="1"/>
  <c r="O104" i="152" l="1"/>
  <c r="O41" i="152"/>
  <c r="O115" i="152"/>
  <c r="O113" i="152"/>
  <c r="O114" i="152"/>
  <c r="O116" i="152"/>
  <c r="O122" i="152"/>
  <c r="O124" i="152"/>
  <c r="O123" i="152"/>
  <c r="O125" i="152"/>
  <c r="O120" i="152"/>
  <c r="O121" i="152"/>
  <c r="O38" i="152"/>
  <c r="O51" i="152"/>
  <c r="O63" i="152"/>
  <c r="O33" i="152"/>
  <c r="O46" i="152"/>
  <c r="O40" i="152"/>
  <c r="O53" i="152"/>
  <c r="O35" i="152"/>
  <c r="O48" i="152"/>
  <c r="O60" i="152"/>
  <c r="O43" i="152"/>
  <c r="O55" i="152"/>
  <c r="O37" i="152"/>
  <c r="O50" i="152"/>
  <c r="O32" i="152"/>
  <c r="O45" i="152"/>
  <c r="O57" i="152"/>
  <c r="O39" i="152"/>
  <c r="O34" i="152"/>
  <c r="O47" i="152"/>
  <c r="O42" i="152"/>
  <c r="O54" i="152"/>
  <c r="O36" i="152"/>
  <c r="O49" i="152"/>
  <c r="O31" i="152"/>
  <c r="O44" i="152"/>
  <c r="O56" i="152"/>
  <c r="O75" i="152"/>
  <c r="O88" i="152"/>
  <c r="O61" i="152"/>
  <c r="O70" i="152"/>
  <c r="O82" i="152"/>
  <c r="O62" i="152"/>
  <c r="O65" i="152"/>
  <c r="O77" i="152"/>
  <c r="O90" i="152"/>
  <c r="O58" i="152"/>
  <c r="O72" i="152"/>
  <c r="O85" i="152"/>
  <c r="O67" i="152"/>
  <c r="O79" i="152"/>
  <c r="O74" i="152"/>
  <c r="O87" i="152"/>
  <c r="O59" i="152"/>
  <c r="O69" i="152"/>
  <c r="O81" i="152"/>
  <c r="O52" i="152"/>
  <c r="O76" i="152"/>
  <c r="O64" i="152"/>
  <c r="O71" i="152"/>
  <c r="O83" i="152"/>
  <c r="O66" i="152"/>
  <c r="O78" i="152"/>
  <c r="O73" i="152"/>
  <c r="O68" i="152"/>
  <c r="O80" i="152"/>
  <c r="O100" i="152"/>
  <c r="O128" i="152"/>
  <c r="O95" i="152"/>
  <c r="O108" i="152"/>
  <c r="O86" i="152"/>
  <c r="O102" i="152"/>
  <c r="O117" i="152"/>
  <c r="O97" i="152"/>
  <c r="O110" i="152"/>
  <c r="O93" i="152"/>
  <c r="O105" i="152"/>
  <c r="O119" i="152"/>
  <c r="O99" i="152"/>
  <c r="O112" i="152"/>
  <c r="O107" i="152"/>
  <c r="O101" i="152"/>
  <c r="O94" i="152"/>
  <c r="O96" i="152"/>
  <c r="O109" i="152"/>
  <c r="O89" i="152"/>
  <c r="O91" i="152"/>
  <c r="O103" i="152"/>
  <c r="O118" i="152"/>
  <c r="O98" i="152"/>
  <c r="O92" i="152"/>
  <c r="O106" i="152"/>
  <c r="O126" i="152"/>
  <c r="O127" i="152"/>
  <c r="O4" i="152"/>
  <c r="O16" i="152"/>
  <c r="O11" i="152"/>
  <c r="O6" i="152"/>
  <c r="O18" i="152"/>
  <c r="O130" i="152"/>
  <c r="O13" i="152"/>
  <c r="O8" i="152"/>
  <c r="O132" i="152"/>
  <c r="O15" i="152"/>
  <c r="O10" i="152"/>
  <c r="O22" i="152"/>
  <c r="O5" i="152"/>
  <c r="O17" i="152"/>
  <c r="O12" i="152"/>
  <c r="O129" i="152"/>
  <c r="O7" i="152"/>
  <c r="O19" i="152"/>
  <c r="O111" i="152"/>
  <c r="O131" i="152"/>
  <c r="O30" i="152"/>
  <c r="O24" i="152"/>
  <c r="O25" i="152"/>
  <c r="O21" i="152"/>
  <c r="O27" i="152"/>
  <c r="O9" i="152"/>
  <c r="O20" i="152"/>
  <c r="O14" i="152"/>
  <c r="O29" i="152"/>
  <c r="O23" i="152"/>
  <c r="O3" i="152"/>
  <c r="O28" i="152"/>
  <c r="O26" i="152"/>
  <c r="P1" i="152"/>
  <c r="P84" i="152" s="1"/>
  <c r="P104" i="152" l="1"/>
  <c r="P41" i="152"/>
  <c r="P113" i="152"/>
  <c r="P116" i="152"/>
  <c r="P115" i="152"/>
  <c r="P114" i="152"/>
  <c r="P120" i="152"/>
  <c r="P122" i="152"/>
  <c r="P124" i="152"/>
  <c r="P123" i="152"/>
  <c r="P125" i="152"/>
  <c r="P121" i="152"/>
  <c r="P31" i="152"/>
  <c r="P44" i="152"/>
  <c r="P56" i="152"/>
  <c r="P38" i="152"/>
  <c r="P51" i="152"/>
  <c r="P33" i="152"/>
  <c r="P46" i="152"/>
  <c r="P58" i="152"/>
  <c r="P40" i="152"/>
  <c r="P53" i="152"/>
  <c r="P35" i="152"/>
  <c r="P48" i="152"/>
  <c r="P43" i="152"/>
  <c r="P55" i="152"/>
  <c r="P37" i="152"/>
  <c r="P50" i="152"/>
  <c r="P32" i="152"/>
  <c r="P45" i="152"/>
  <c r="P39" i="152"/>
  <c r="P52" i="152"/>
  <c r="P34" i="152"/>
  <c r="P47" i="152"/>
  <c r="P59" i="152"/>
  <c r="P42" i="152"/>
  <c r="P36" i="152"/>
  <c r="P49" i="152"/>
  <c r="P68" i="152"/>
  <c r="P80" i="152"/>
  <c r="P93" i="152"/>
  <c r="P60" i="152"/>
  <c r="P75" i="152"/>
  <c r="P57" i="152"/>
  <c r="P61" i="152"/>
  <c r="P70" i="152"/>
  <c r="P82" i="152"/>
  <c r="P62" i="152"/>
  <c r="P65" i="152"/>
  <c r="P77" i="152"/>
  <c r="P90" i="152"/>
  <c r="P72" i="152"/>
  <c r="P63" i="152"/>
  <c r="P67" i="152"/>
  <c r="P79" i="152"/>
  <c r="P54" i="152"/>
  <c r="P74" i="152"/>
  <c r="P87" i="152"/>
  <c r="P69" i="152"/>
  <c r="P76" i="152"/>
  <c r="P64" i="152"/>
  <c r="P71" i="152"/>
  <c r="P66" i="152"/>
  <c r="P73" i="152"/>
  <c r="P92" i="152"/>
  <c r="P106" i="152"/>
  <c r="P100" i="152"/>
  <c r="P81" i="152"/>
  <c r="P88" i="152"/>
  <c r="P95" i="152"/>
  <c r="P108" i="152"/>
  <c r="P86" i="152"/>
  <c r="P102" i="152"/>
  <c r="P117" i="152"/>
  <c r="P97" i="152"/>
  <c r="P110" i="152"/>
  <c r="P78" i="152"/>
  <c r="P105" i="152"/>
  <c r="P119" i="152"/>
  <c r="P99" i="152"/>
  <c r="P112" i="152"/>
  <c r="P107" i="152"/>
  <c r="P101" i="152"/>
  <c r="P94" i="152"/>
  <c r="P96" i="152"/>
  <c r="P109" i="152"/>
  <c r="P89" i="152"/>
  <c r="P91" i="152"/>
  <c r="P103" i="152"/>
  <c r="P83" i="152"/>
  <c r="P85" i="152"/>
  <c r="P98" i="152"/>
  <c r="P111" i="152"/>
  <c r="P9" i="152"/>
  <c r="P21" i="152"/>
  <c r="P126" i="152"/>
  <c r="P127" i="152"/>
  <c r="P4" i="152"/>
  <c r="P16" i="152"/>
  <c r="P11" i="152"/>
  <c r="P23" i="152"/>
  <c r="P6" i="152"/>
  <c r="P18" i="152"/>
  <c r="P130" i="152"/>
  <c r="P13" i="152"/>
  <c r="P128" i="152"/>
  <c r="P8" i="152"/>
  <c r="P20" i="152"/>
  <c r="P132" i="152"/>
  <c r="P15" i="152"/>
  <c r="P10" i="152"/>
  <c r="P5" i="152"/>
  <c r="P17" i="152"/>
  <c r="P12" i="152"/>
  <c r="P24" i="152"/>
  <c r="P129" i="152"/>
  <c r="P7" i="152"/>
  <c r="P118" i="152"/>
  <c r="P30" i="152"/>
  <c r="P3" i="152"/>
  <c r="P22" i="152"/>
  <c r="P25" i="152"/>
  <c r="P27" i="152"/>
  <c r="P26" i="152"/>
  <c r="P131" i="152"/>
  <c r="P14" i="152"/>
  <c r="P29" i="152"/>
  <c r="P19" i="152"/>
  <c r="P28" i="152"/>
  <c r="Q1" i="152"/>
  <c r="Q84" i="152" s="1"/>
  <c r="Q104" i="152" l="1"/>
  <c r="Q41" i="152"/>
  <c r="Q113" i="152"/>
  <c r="Q115" i="152"/>
  <c r="Q116" i="152"/>
  <c r="Q114" i="152"/>
  <c r="Q125" i="152"/>
  <c r="Q120" i="152"/>
  <c r="Q121" i="152"/>
  <c r="Q122" i="152"/>
  <c r="Q124" i="152"/>
  <c r="Q123" i="152"/>
  <c r="Q36" i="152"/>
  <c r="Q49" i="152"/>
  <c r="Q61" i="152"/>
  <c r="Q31" i="152"/>
  <c r="Q44" i="152"/>
  <c r="Q38" i="152"/>
  <c r="Q51" i="152"/>
  <c r="Q33" i="152"/>
  <c r="Q46" i="152"/>
  <c r="Q58" i="152"/>
  <c r="Q40" i="152"/>
  <c r="Q53" i="152"/>
  <c r="Q35" i="152"/>
  <c r="Q48" i="152"/>
  <c r="Q43" i="152"/>
  <c r="Q55" i="152"/>
  <c r="Q37" i="152"/>
  <c r="Q50" i="152"/>
  <c r="Q32" i="152"/>
  <c r="Q45" i="152"/>
  <c r="Q57" i="152"/>
  <c r="Q39" i="152"/>
  <c r="Q52" i="152"/>
  <c r="Q34" i="152"/>
  <c r="Q47" i="152"/>
  <c r="Q42" i="152"/>
  <c r="Q54" i="152"/>
  <c r="Q73" i="152"/>
  <c r="Q86" i="152"/>
  <c r="Q68" i="152"/>
  <c r="Q80" i="152"/>
  <c r="Q60" i="152"/>
  <c r="Q75" i="152"/>
  <c r="Q88" i="152"/>
  <c r="Q70" i="152"/>
  <c r="Q82" i="152"/>
  <c r="Q62" i="152"/>
  <c r="Q65" i="152"/>
  <c r="Q77" i="152"/>
  <c r="Q56" i="152"/>
  <c r="Q72" i="152"/>
  <c r="Q85" i="152"/>
  <c r="Q63" i="152"/>
  <c r="Q67" i="152"/>
  <c r="Q79" i="152"/>
  <c r="Q59" i="152"/>
  <c r="Q74" i="152"/>
  <c r="Q69" i="152"/>
  <c r="Q81" i="152"/>
  <c r="Q76" i="152"/>
  <c r="Q64" i="152"/>
  <c r="Q71" i="152"/>
  <c r="Q66" i="152"/>
  <c r="Q78" i="152"/>
  <c r="Q83" i="152"/>
  <c r="Q98" i="152"/>
  <c r="Q111" i="152"/>
  <c r="Q126" i="152"/>
  <c r="Q92" i="152"/>
  <c r="Q106" i="152"/>
  <c r="Q100" i="152"/>
  <c r="Q95" i="152"/>
  <c r="Q108" i="152"/>
  <c r="Q102" i="152"/>
  <c r="Q117" i="152"/>
  <c r="Q87" i="152"/>
  <c r="Q93" i="152"/>
  <c r="Q97" i="152"/>
  <c r="Q110" i="152"/>
  <c r="Q105" i="152"/>
  <c r="Q119" i="152"/>
  <c r="Q99" i="152"/>
  <c r="Q112" i="152"/>
  <c r="Q90" i="152"/>
  <c r="Q107" i="152"/>
  <c r="Q101" i="152"/>
  <c r="Q94" i="152"/>
  <c r="Q96" i="152"/>
  <c r="Q89" i="152"/>
  <c r="Q91" i="152"/>
  <c r="Q103" i="152"/>
  <c r="Q118" i="152"/>
  <c r="Q131" i="152"/>
  <c r="Q14" i="152"/>
  <c r="Q9" i="152"/>
  <c r="Q21" i="152"/>
  <c r="Q127" i="152"/>
  <c r="Q4" i="152"/>
  <c r="Q16" i="152"/>
  <c r="Q11" i="152"/>
  <c r="Q6" i="152"/>
  <c r="Q18" i="152"/>
  <c r="Q109" i="152"/>
  <c r="Q130" i="152"/>
  <c r="Q13" i="152"/>
  <c r="Q128" i="152"/>
  <c r="Q8" i="152"/>
  <c r="Q20" i="152"/>
  <c r="Q132" i="152"/>
  <c r="Q15" i="152"/>
  <c r="Q10" i="152"/>
  <c r="Q22" i="152"/>
  <c r="Q5" i="152"/>
  <c r="Q17" i="152"/>
  <c r="Q28" i="152"/>
  <c r="Q26" i="152"/>
  <c r="Q129" i="152"/>
  <c r="Q24" i="152"/>
  <c r="Q30" i="152"/>
  <c r="Q25" i="152"/>
  <c r="Q27" i="152"/>
  <c r="Q29" i="152"/>
  <c r="Q7" i="152"/>
  <c r="Q12" i="152"/>
  <c r="Q23" i="152"/>
  <c r="Q19" i="152"/>
  <c r="Q3" i="152"/>
  <c r="R1" i="152"/>
  <c r="R84" i="152" s="1"/>
  <c r="R104" i="152" l="1"/>
  <c r="R41" i="152"/>
  <c r="R116" i="152"/>
  <c r="R113" i="152"/>
  <c r="R115" i="152"/>
  <c r="R114" i="152"/>
  <c r="R121" i="152"/>
  <c r="R125" i="152"/>
  <c r="R120" i="152"/>
  <c r="R122" i="152"/>
  <c r="R124" i="152"/>
  <c r="R123" i="152"/>
  <c r="R42" i="152"/>
  <c r="R54" i="152"/>
  <c r="R36" i="152"/>
  <c r="R49" i="152"/>
  <c r="R31" i="152"/>
  <c r="R44" i="152"/>
  <c r="R56" i="152"/>
  <c r="R38" i="152"/>
  <c r="R51" i="152"/>
  <c r="R63" i="152"/>
  <c r="R33" i="152"/>
  <c r="R46" i="152"/>
  <c r="R40" i="152"/>
  <c r="R53" i="152"/>
  <c r="R35" i="152"/>
  <c r="R48" i="152"/>
  <c r="R60" i="152"/>
  <c r="R43" i="152"/>
  <c r="R37" i="152"/>
  <c r="R50" i="152"/>
  <c r="R32" i="152"/>
  <c r="R45" i="152"/>
  <c r="R57" i="152"/>
  <c r="R39" i="152"/>
  <c r="R34" i="152"/>
  <c r="R47" i="152"/>
  <c r="R66" i="152"/>
  <c r="R78" i="152"/>
  <c r="R91" i="152"/>
  <c r="R73" i="152"/>
  <c r="R86" i="152"/>
  <c r="R68" i="152"/>
  <c r="R80" i="152"/>
  <c r="R61" i="152"/>
  <c r="R75" i="152"/>
  <c r="R88" i="152"/>
  <c r="R58" i="152"/>
  <c r="R70" i="152"/>
  <c r="R82" i="152"/>
  <c r="R62" i="152"/>
  <c r="R65" i="152"/>
  <c r="R77" i="152"/>
  <c r="R72" i="152"/>
  <c r="R85" i="152"/>
  <c r="R67" i="152"/>
  <c r="R79" i="152"/>
  <c r="R52" i="152"/>
  <c r="R59" i="152"/>
  <c r="R74" i="152"/>
  <c r="R69" i="152"/>
  <c r="R55" i="152"/>
  <c r="R64" i="152"/>
  <c r="R71" i="152"/>
  <c r="R76" i="152"/>
  <c r="R89" i="152"/>
  <c r="R103" i="152"/>
  <c r="R118" i="152"/>
  <c r="R83" i="152"/>
  <c r="R98" i="152"/>
  <c r="R111" i="152"/>
  <c r="R92" i="152"/>
  <c r="R106" i="152"/>
  <c r="R81" i="152"/>
  <c r="R100" i="152"/>
  <c r="R95" i="152"/>
  <c r="R108" i="152"/>
  <c r="R102" i="152"/>
  <c r="R117" i="152"/>
  <c r="R87" i="152"/>
  <c r="R93" i="152"/>
  <c r="R97" i="152"/>
  <c r="R110" i="152"/>
  <c r="R105" i="152"/>
  <c r="R99" i="152"/>
  <c r="R112" i="152"/>
  <c r="R90" i="152"/>
  <c r="R107" i="152"/>
  <c r="R101" i="152"/>
  <c r="R94" i="152"/>
  <c r="R96" i="152"/>
  <c r="R109" i="152"/>
  <c r="R129" i="152"/>
  <c r="R7" i="152"/>
  <c r="R19" i="152"/>
  <c r="R131" i="152"/>
  <c r="R14" i="152"/>
  <c r="R126" i="152"/>
  <c r="R9" i="152"/>
  <c r="R21" i="152"/>
  <c r="R127" i="152"/>
  <c r="R4" i="152"/>
  <c r="R16" i="152"/>
  <c r="R11" i="152"/>
  <c r="R6" i="152"/>
  <c r="R18" i="152"/>
  <c r="R130" i="152"/>
  <c r="R13" i="152"/>
  <c r="R128" i="152"/>
  <c r="R8" i="152"/>
  <c r="R132" i="152"/>
  <c r="R15" i="152"/>
  <c r="R119" i="152"/>
  <c r="R10" i="152"/>
  <c r="R22" i="152"/>
  <c r="R5" i="152"/>
  <c r="R28" i="152"/>
  <c r="R24" i="152"/>
  <c r="R30" i="152"/>
  <c r="R3" i="152"/>
  <c r="R20" i="152"/>
  <c r="R25" i="152"/>
  <c r="R27" i="152"/>
  <c r="R12" i="152"/>
  <c r="R23" i="152"/>
  <c r="R29" i="152"/>
  <c r="R17" i="152"/>
  <c r="R26" i="152"/>
  <c r="S1" i="152"/>
  <c r="S84" i="152" s="1"/>
  <c r="S104" i="152" l="1"/>
  <c r="S41" i="152"/>
  <c r="S116" i="152"/>
  <c r="S113" i="152"/>
  <c r="S115" i="152"/>
  <c r="S114" i="152"/>
  <c r="S123" i="152"/>
  <c r="S124" i="152"/>
  <c r="S125" i="152"/>
  <c r="S121" i="152"/>
  <c r="S120" i="152"/>
  <c r="S122" i="152"/>
  <c r="S34" i="152"/>
  <c r="S47" i="152"/>
  <c r="S59" i="152"/>
  <c r="S42" i="152"/>
  <c r="S54" i="152"/>
  <c r="S36" i="152"/>
  <c r="S49" i="152"/>
  <c r="S31" i="152"/>
  <c r="S44" i="152"/>
  <c r="S56" i="152"/>
  <c r="S38" i="152"/>
  <c r="S51" i="152"/>
  <c r="S33" i="152"/>
  <c r="S46" i="152"/>
  <c r="S58" i="152"/>
  <c r="S40" i="152"/>
  <c r="S53" i="152"/>
  <c r="S35" i="152"/>
  <c r="S48" i="152"/>
  <c r="S43" i="152"/>
  <c r="S55" i="152"/>
  <c r="S37" i="152"/>
  <c r="S50" i="152"/>
  <c r="S32" i="152"/>
  <c r="S45" i="152"/>
  <c r="S39" i="152"/>
  <c r="S52" i="152"/>
  <c r="S64" i="152"/>
  <c r="S71" i="152"/>
  <c r="S83" i="152"/>
  <c r="S66" i="152"/>
  <c r="S78" i="152"/>
  <c r="S73" i="152"/>
  <c r="S86" i="152"/>
  <c r="S57" i="152"/>
  <c r="S60" i="152"/>
  <c r="S68" i="152"/>
  <c r="S80" i="152"/>
  <c r="S61" i="152"/>
  <c r="S75" i="152"/>
  <c r="S70" i="152"/>
  <c r="S82" i="152"/>
  <c r="S62" i="152"/>
  <c r="S65" i="152"/>
  <c r="S77" i="152"/>
  <c r="S63" i="152"/>
  <c r="S72" i="152"/>
  <c r="S67" i="152"/>
  <c r="S79" i="152"/>
  <c r="S74" i="152"/>
  <c r="S69" i="152"/>
  <c r="S76" i="152"/>
  <c r="S85" i="152"/>
  <c r="S91" i="152"/>
  <c r="S94" i="152"/>
  <c r="S96" i="152"/>
  <c r="S109" i="152"/>
  <c r="S89" i="152"/>
  <c r="S103" i="152"/>
  <c r="S118" i="152"/>
  <c r="S98" i="152"/>
  <c r="S111" i="152"/>
  <c r="S126" i="152"/>
  <c r="S88" i="152"/>
  <c r="S92" i="152"/>
  <c r="S106" i="152"/>
  <c r="S81" i="152"/>
  <c r="S100" i="152"/>
  <c r="S95" i="152"/>
  <c r="S108" i="152"/>
  <c r="S102" i="152"/>
  <c r="S117" i="152"/>
  <c r="S87" i="152"/>
  <c r="S93" i="152"/>
  <c r="S97" i="152"/>
  <c r="S110" i="152"/>
  <c r="S105" i="152"/>
  <c r="S99" i="152"/>
  <c r="S112" i="152"/>
  <c r="S90" i="152"/>
  <c r="S101" i="152"/>
  <c r="S107" i="152"/>
  <c r="S12" i="152"/>
  <c r="S24" i="152"/>
  <c r="S129" i="152"/>
  <c r="S7" i="152"/>
  <c r="S19" i="152"/>
  <c r="S131" i="152"/>
  <c r="S14" i="152"/>
  <c r="S9" i="152"/>
  <c r="S21" i="152"/>
  <c r="S127" i="152"/>
  <c r="S4" i="152"/>
  <c r="S16" i="152"/>
  <c r="S11" i="152"/>
  <c r="S23" i="152"/>
  <c r="S6" i="152"/>
  <c r="S18" i="152"/>
  <c r="S130" i="152"/>
  <c r="S13" i="152"/>
  <c r="S128" i="152"/>
  <c r="S8" i="152"/>
  <c r="S20" i="152"/>
  <c r="S132" i="152"/>
  <c r="S15" i="152"/>
  <c r="S119" i="152"/>
  <c r="S26" i="152"/>
  <c r="S30" i="152"/>
  <c r="S5" i="152"/>
  <c r="S28" i="152"/>
  <c r="S22" i="152"/>
  <c r="S27" i="152"/>
  <c r="S25" i="152"/>
  <c r="S29" i="152"/>
  <c r="S10" i="152"/>
  <c r="S17" i="152"/>
  <c r="S3" i="152"/>
  <c r="T1" i="152"/>
  <c r="T84" i="152" s="1"/>
  <c r="T104" i="152" l="1"/>
  <c r="T41" i="152"/>
  <c r="T116" i="152"/>
  <c r="T113" i="152"/>
  <c r="T114" i="152"/>
  <c r="T115" i="152"/>
  <c r="T123" i="152"/>
  <c r="T125" i="152"/>
  <c r="T120" i="152"/>
  <c r="T124" i="152"/>
  <c r="T122" i="152"/>
  <c r="T121" i="152"/>
  <c r="T39" i="152"/>
  <c r="T52" i="152"/>
  <c r="T34" i="152"/>
  <c r="T47" i="152"/>
  <c r="T42" i="152"/>
  <c r="T54" i="152"/>
  <c r="T36" i="152"/>
  <c r="T49" i="152"/>
  <c r="T61" i="152"/>
  <c r="T31" i="152"/>
  <c r="T44" i="152"/>
  <c r="T56" i="152"/>
  <c r="T38" i="152"/>
  <c r="T51" i="152"/>
  <c r="T33" i="152"/>
  <c r="T46" i="152"/>
  <c r="T58" i="152"/>
  <c r="T40" i="152"/>
  <c r="T35" i="152"/>
  <c r="T48" i="152"/>
  <c r="T43" i="152"/>
  <c r="T55" i="152"/>
  <c r="T37" i="152"/>
  <c r="T32" i="152"/>
  <c r="T45" i="152"/>
  <c r="T76" i="152"/>
  <c r="T89" i="152"/>
  <c r="T53" i="152"/>
  <c r="T64" i="152"/>
  <c r="T71" i="152"/>
  <c r="T83" i="152"/>
  <c r="T50" i="152"/>
  <c r="T66" i="152"/>
  <c r="T78" i="152"/>
  <c r="T91" i="152"/>
  <c r="T73" i="152"/>
  <c r="T86" i="152"/>
  <c r="T57" i="152"/>
  <c r="T60" i="152"/>
  <c r="T68" i="152"/>
  <c r="T80" i="152"/>
  <c r="T75" i="152"/>
  <c r="T70" i="152"/>
  <c r="T82" i="152"/>
  <c r="T62" i="152"/>
  <c r="T65" i="152"/>
  <c r="T77" i="152"/>
  <c r="T63" i="152"/>
  <c r="T72" i="152"/>
  <c r="T85" i="152"/>
  <c r="T59" i="152"/>
  <c r="T67" i="152"/>
  <c r="T79" i="152"/>
  <c r="T74" i="152"/>
  <c r="T69" i="152"/>
  <c r="T101" i="152"/>
  <c r="T129" i="152"/>
  <c r="T94" i="152"/>
  <c r="T96" i="152"/>
  <c r="T109" i="152"/>
  <c r="T103" i="152"/>
  <c r="T118" i="152"/>
  <c r="T98" i="152"/>
  <c r="T111" i="152"/>
  <c r="T126" i="152"/>
  <c r="T88" i="152"/>
  <c r="T92" i="152"/>
  <c r="T106" i="152"/>
  <c r="T81" i="152"/>
  <c r="T100" i="152"/>
  <c r="T95" i="152"/>
  <c r="T108" i="152"/>
  <c r="T102" i="152"/>
  <c r="T87" i="152"/>
  <c r="T93" i="152"/>
  <c r="T97" i="152"/>
  <c r="T110" i="152"/>
  <c r="T105" i="152"/>
  <c r="T119" i="152"/>
  <c r="T99" i="152"/>
  <c r="T90" i="152"/>
  <c r="T107" i="152"/>
  <c r="T5" i="152"/>
  <c r="T17" i="152"/>
  <c r="T112" i="152"/>
  <c r="T12" i="152"/>
  <c r="T7" i="152"/>
  <c r="T19" i="152"/>
  <c r="T117" i="152"/>
  <c r="T131" i="152"/>
  <c r="T14" i="152"/>
  <c r="T9" i="152"/>
  <c r="T127" i="152"/>
  <c r="T4" i="152"/>
  <c r="T16" i="152"/>
  <c r="T11" i="152"/>
  <c r="T23" i="152"/>
  <c r="T6" i="152"/>
  <c r="T18" i="152"/>
  <c r="T130" i="152"/>
  <c r="T13" i="152"/>
  <c r="T128" i="152"/>
  <c r="T8" i="152"/>
  <c r="T20" i="152"/>
  <c r="T132" i="152"/>
  <c r="T26" i="152"/>
  <c r="T29" i="152"/>
  <c r="T28" i="152"/>
  <c r="T30" i="152"/>
  <c r="T21" i="152"/>
  <c r="T24" i="152"/>
  <c r="T22" i="152"/>
  <c r="T3" i="152"/>
  <c r="T25" i="152"/>
  <c r="T27" i="152"/>
  <c r="T10" i="152"/>
  <c r="T15" i="152"/>
  <c r="U1" i="152"/>
  <c r="U84" i="152" s="1"/>
  <c r="U104" i="152" l="1"/>
  <c r="U41" i="152"/>
  <c r="U114" i="152"/>
  <c r="U116" i="152"/>
  <c r="U113" i="152"/>
  <c r="U115" i="152"/>
  <c r="U121" i="152"/>
  <c r="U125" i="152"/>
  <c r="U124" i="152"/>
  <c r="U123" i="152"/>
  <c r="U122" i="152"/>
  <c r="U120" i="152"/>
  <c r="U32" i="152"/>
  <c r="U45" i="152"/>
  <c r="U57" i="152"/>
  <c r="U39" i="152"/>
  <c r="U52" i="152"/>
  <c r="U34" i="152"/>
  <c r="U47" i="152"/>
  <c r="U59" i="152"/>
  <c r="U42" i="152"/>
  <c r="U54" i="152"/>
  <c r="U36" i="152"/>
  <c r="U49" i="152"/>
  <c r="U31" i="152"/>
  <c r="U44" i="152"/>
  <c r="U56" i="152"/>
  <c r="U38" i="152"/>
  <c r="U51" i="152"/>
  <c r="U33" i="152"/>
  <c r="U46" i="152"/>
  <c r="U40" i="152"/>
  <c r="U53" i="152"/>
  <c r="U35" i="152"/>
  <c r="U48" i="152"/>
  <c r="U43" i="152"/>
  <c r="U37" i="152"/>
  <c r="U50" i="152"/>
  <c r="U55" i="152"/>
  <c r="U69" i="152"/>
  <c r="U81" i="152"/>
  <c r="U94" i="152"/>
  <c r="U76" i="152"/>
  <c r="U64" i="152"/>
  <c r="U71" i="152"/>
  <c r="U83" i="152"/>
  <c r="U66" i="152"/>
  <c r="U78" i="152"/>
  <c r="U73" i="152"/>
  <c r="U58" i="152"/>
  <c r="U60" i="152"/>
  <c r="U61" i="152"/>
  <c r="U68" i="152"/>
  <c r="U80" i="152"/>
  <c r="U75" i="152"/>
  <c r="U88" i="152"/>
  <c r="U70" i="152"/>
  <c r="U62" i="152"/>
  <c r="U65" i="152"/>
  <c r="U77" i="152"/>
  <c r="U63" i="152"/>
  <c r="U72" i="152"/>
  <c r="U67" i="152"/>
  <c r="U74" i="152"/>
  <c r="U90" i="152"/>
  <c r="U107" i="152"/>
  <c r="U85" i="152"/>
  <c r="U91" i="152"/>
  <c r="U101" i="152"/>
  <c r="U82" i="152"/>
  <c r="U89" i="152"/>
  <c r="U96" i="152"/>
  <c r="U109" i="152"/>
  <c r="U103" i="152"/>
  <c r="U118" i="152"/>
  <c r="U86" i="152"/>
  <c r="U98" i="152"/>
  <c r="U111" i="152"/>
  <c r="U92" i="152"/>
  <c r="U106" i="152"/>
  <c r="U100" i="152"/>
  <c r="U95" i="152"/>
  <c r="U108" i="152"/>
  <c r="U79" i="152"/>
  <c r="U102" i="152"/>
  <c r="U117" i="152"/>
  <c r="U87" i="152"/>
  <c r="U93" i="152"/>
  <c r="U97" i="152"/>
  <c r="U110" i="152"/>
  <c r="U105" i="152"/>
  <c r="U99" i="152"/>
  <c r="U112" i="152"/>
  <c r="U10" i="152"/>
  <c r="U22" i="152"/>
  <c r="U5" i="152"/>
  <c r="U17" i="152"/>
  <c r="U129" i="152"/>
  <c r="U12" i="152"/>
  <c r="U126" i="152"/>
  <c r="U7" i="152"/>
  <c r="U19" i="152"/>
  <c r="U131" i="152"/>
  <c r="U14" i="152"/>
  <c r="U9" i="152"/>
  <c r="U21" i="152"/>
  <c r="U127" i="152"/>
  <c r="U4" i="152"/>
  <c r="U16" i="152"/>
  <c r="U11" i="152"/>
  <c r="U6" i="152"/>
  <c r="U18" i="152"/>
  <c r="U130" i="152"/>
  <c r="U13" i="152"/>
  <c r="U25" i="152"/>
  <c r="U128" i="152"/>
  <c r="U119" i="152"/>
  <c r="U15" i="152"/>
  <c r="U3" i="152"/>
  <c r="U26" i="152"/>
  <c r="U28" i="152"/>
  <c r="U24" i="152"/>
  <c r="U20" i="152"/>
  <c r="U30" i="152"/>
  <c r="U27" i="152"/>
  <c r="U132" i="152"/>
  <c r="U23" i="152"/>
  <c r="U8" i="152"/>
  <c r="U29" i="152"/>
  <c r="V1" i="152"/>
  <c r="V84" i="152" s="1"/>
  <c r="V104" i="152" l="1"/>
  <c r="V41" i="152"/>
  <c r="V114" i="152"/>
  <c r="V116" i="152"/>
  <c r="V113" i="152"/>
  <c r="V115" i="152"/>
  <c r="V121" i="152"/>
  <c r="V124" i="152"/>
  <c r="V123" i="152"/>
  <c r="V125" i="152"/>
  <c r="V122" i="152"/>
  <c r="V120" i="152"/>
  <c r="V37" i="152"/>
  <c r="V50" i="152"/>
  <c r="V62" i="152"/>
  <c r="V32" i="152"/>
  <c r="V45" i="152"/>
  <c r="V39" i="152"/>
  <c r="V52" i="152"/>
  <c r="V34" i="152"/>
  <c r="V47" i="152"/>
  <c r="V59" i="152"/>
  <c r="V42" i="152"/>
  <c r="V54" i="152"/>
  <c r="V36" i="152"/>
  <c r="V49" i="152"/>
  <c r="V31" i="152"/>
  <c r="V44" i="152"/>
  <c r="V56" i="152"/>
  <c r="V38" i="152"/>
  <c r="V51" i="152"/>
  <c r="V33" i="152"/>
  <c r="V46" i="152"/>
  <c r="V40" i="152"/>
  <c r="V53" i="152"/>
  <c r="V35" i="152"/>
  <c r="V48" i="152"/>
  <c r="V43" i="152"/>
  <c r="V55" i="152"/>
  <c r="V74" i="152"/>
  <c r="V87" i="152"/>
  <c r="V69" i="152"/>
  <c r="V81" i="152"/>
  <c r="V76" i="152"/>
  <c r="V89" i="152"/>
  <c r="V64" i="152"/>
  <c r="V71" i="152"/>
  <c r="V83" i="152"/>
  <c r="V66" i="152"/>
  <c r="V78" i="152"/>
  <c r="V57" i="152"/>
  <c r="V73" i="152"/>
  <c r="V86" i="152"/>
  <c r="V58" i="152"/>
  <c r="V60" i="152"/>
  <c r="V61" i="152"/>
  <c r="V68" i="152"/>
  <c r="V80" i="152"/>
  <c r="V75" i="152"/>
  <c r="V70" i="152"/>
  <c r="V82" i="152"/>
  <c r="V65" i="152"/>
  <c r="V77" i="152"/>
  <c r="V63" i="152"/>
  <c r="V72" i="152"/>
  <c r="V67" i="152"/>
  <c r="V79" i="152"/>
  <c r="V99" i="152"/>
  <c r="V112" i="152"/>
  <c r="V127" i="152"/>
  <c r="V90" i="152"/>
  <c r="V107" i="152"/>
  <c r="V85" i="152"/>
  <c r="V91" i="152"/>
  <c r="V94" i="152"/>
  <c r="V101" i="152"/>
  <c r="V96" i="152"/>
  <c r="V109" i="152"/>
  <c r="V103" i="152"/>
  <c r="V118" i="152"/>
  <c r="V88" i="152"/>
  <c r="V98" i="152"/>
  <c r="V111" i="152"/>
  <c r="V92" i="152"/>
  <c r="V106" i="152"/>
  <c r="V100" i="152"/>
  <c r="V95" i="152"/>
  <c r="V108" i="152"/>
  <c r="V102" i="152"/>
  <c r="V117" i="152"/>
  <c r="V93" i="152"/>
  <c r="V97" i="152"/>
  <c r="V105" i="152"/>
  <c r="V119" i="152"/>
  <c r="V132" i="152"/>
  <c r="V15" i="152"/>
  <c r="V10" i="152"/>
  <c r="V5" i="152"/>
  <c r="V17" i="152"/>
  <c r="V129" i="152"/>
  <c r="V12" i="152"/>
  <c r="V126" i="152"/>
  <c r="V7" i="152"/>
  <c r="V131" i="152"/>
  <c r="V14" i="152"/>
  <c r="V9" i="152"/>
  <c r="V21" i="152"/>
  <c r="V4" i="152"/>
  <c r="V16" i="152"/>
  <c r="V110" i="152"/>
  <c r="V11" i="152"/>
  <c r="V23" i="152"/>
  <c r="V6" i="152"/>
  <c r="V18" i="152"/>
  <c r="V130" i="152"/>
  <c r="V128" i="152"/>
  <c r="V8" i="152"/>
  <c r="V29" i="152"/>
  <c r="V3" i="152"/>
  <c r="V13" i="152"/>
  <c r="V27" i="152"/>
  <c r="V26" i="152"/>
  <c r="V28" i="152"/>
  <c r="V30" i="152"/>
  <c r="V22" i="152"/>
  <c r="V24" i="152"/>
  <c r="V20" i="152"/>
  <c r="V25" i="152"/>
  <c r="V19" i="152"/>
  <c r="W1" i="152"/>
  <c r="W84" i="152" s="1"/>
  <c r="W104" i="152" l="1"/>
  <c r="W41" i="152"/>
  <c r="W114" i="152"/>
  <c r="W115" i="152"/>
  <c r="W116" i="152"/>
  <c r="W113" i="152"/>
  <c r="W125" i="152"/>
  <c r="W122" i="152"/>
  <c r="W121" i="152"/>
  <c r="W123" i="152"/>
  <c r="W124" i="152"/>
  <c r="W120" i="152"/>
  <c r="W43" i="152"/>
  <c r="W55" i="152"/>
  <c r="W37" i="152"/>
  <c r="W50" i="152"/>
  <c r="W32" i="152"/>
  <c r="W45" i="152"/>
  <c r="W57" i="152"/>
  <c r="W39" i="152"/>
  <c r="W52" i="152"/>
  <c r="W64" i="152"/>
  <c r="W34" i="152"/>
  <c r="W47" i="152"/>
  <c r="W42" i="152"/>
  <c r="W54" i="152"/>
  <c r="W36" i="152"/>
  <c r="W49" i="152"/>
  <c r="W31" i="152"/>
  <c r="W44" i="152"/>
  <c r="W38" i="152"/>
  <c r="W51" i="152"/>
  <c r="W33" i="152"/>
  <c r="W46" i="152"/>
  <c r="W58" i="152"/>
  <c r="W40" i="152"/>
  <c r="W35" i="152"/>
  <c r="W48" i="152"/>
  <c r="W67" i="152"/>
  <c r="W79" i="152"/>
  <c r="W92" i="152"/>
  <c r="W74" i="152"/>
  <c r="W53" i="152"/>
  <c r="W69" i="152"/>
  <c r="W81" i="152"/>
  <c r="W76" i="152"/>
  <c r="W89" i="152"/>
  <c r="W71" i="152"/>
  <c r="W83" i="152"/>
  <c r="W66" i="152"/>
  <c r="W78" i="152"/>
  <c r="W56" i="152"/>
  <c r="W73" i="152"/>
  <c r="W86" i="152"/>
  <c r="W60" i="152"/>
  <c r="W61" i="152"/>
  <c r="W68" i="152"/>
  <c r="W80" i="152"/>
  <c r="W75" i="152"/>
  <c r="W62" i="152"/>
  <c r="W70" i="152"/>
  <c r="W59" i="152"/>
  <c r="W65" i="152"/>
  <c r="W63" i="152"/>
  <c r="W72" i="152"/>
  <c r="W105" i="152"/>
  <c r="W119" i="152"/>
  <c r="W99" i="152"/>
  <c r="W112" i="152"/>
  <c r="W90" i="152"/>
  <c r="W107" i="152"/>
  <c r="W77" i="152"/>
  <c r="W82" i="152"/>
  <c r="W85" i="152"/>
  <c r="W91" i="152"/>
  <c r="W94" i="152"/>
  <c r="W101" i="152"/>
  <c r="W96" i="152"/>
  <c r="W109" i="152"/>
  <c r="W103" i="152"/>
  <c r="W118" i="152"/>
  <c r="W88" i="152"/>
  <c r="W98" i="152"/>
  <c r="W111" i="152"/>
  <c r="W106" i="152"/>
  <c r="W100" i="152"/>
  <c r="W95" i="152"/>
  <c r="W108" i="152"/>
  <c r="W87" i="152"/>
  <c r="W102" i="152"/>
  <c r="W93" i="152"/>
  <c r="W97" i="152"/>
  <c r="W110" i="152"/>
  <c r="W128" i="152"/>
  <c r="W8" i="152"/>
  <c r="W20" i="152"/>
  <c r="W132" i="152"/>
  <c r="W15" i="152"/>
  <c r="W10" i="152"/>
  <c r="W22" i="152"/>
  <c r="W5" i="152"/>
  <c r="W17" i="152"/>
  <c r="W117" i="152"/>
  <c r="W129" i="152"/>
  <c r="W12" i="152"/>
  <c r="W126" i="152"/>
  <c r="W7" i="152"/>
  <c r="W19" i="152"/>
  <c r="W131" i="152"/>
  <c r="W14" i="152"/>
  <c r="W127" i="152"/>
  <c r="W9" i="152"/>
  <c r="W4" i="152"/>
  <c r="W16" i="152"/>
  <c r="W11" i="152"/>
  <c r="W23" i="152"/>
  <c r="W6" i="152"/>
  <c r="W29" i="152"/>
  <c r="W13" i="152"/>
  <c r="W3" i="152"/>
  <c r="W18" i="152"/>
  <c r="W30" i="152"/>
  <c r="W130" i="152"/>
  <c r="W26" i="152"/>
  <c r="W21" i="152"/>
  <c r="W28" i="152"/>
  <c r="W24" i="152"/>
  <c r="W25" i="152"/>
  <c r="W27" i="152"/>
  <c r="X1" i="152"/>
  <c r="X84" i="152" s="1"/>
  <c r="X104" i="152" l="1"/>
  <c r="X41" i="152"/>
  <c r="X114" i="152"/>
  <c r="X116" i="152"/>
  <c r="X115" i="152"/>
  <c r="X113" i="152"/>
  <c r="X124" i="152"/>
  <c r="X120" i="152"/>
  <c r="X121" i="152"/>
  <c r="X123" i="152"/>
  <c r="X125" i="152"/>
  <c r="X122" i="152"/>
  <c r="X35" i="152"/>
  <c r="X48" i="152"/>
  <c r="X60" i="152"/>
  <c r="X43" i="152"/>
  <c r="X55" i="152"/>
  <c r="X37" i="152"/>
  <c r="X50" i="152"/>
  <c r="X32" i="152"/>
  <c r="X45" i="152"/>
  <c r="X57" i="152"/>
  <c r="X39" i="152"/>
  <c r="X52" i="152"/>
  <c r="X34" i="152"/>
  <c r="X47" i="152"/>
  <c r="X42" i="152"/>
  <c r="X54" i="152"/>
  <c r="X36" i="152"/>
  <c r="X49" i="152"/>
  <c r="X31" i="152"/>
  <c r="X44" i="152"/>
  <c r="X56" i="152"/>
  <c r="X38" i="152"/>
  <c r="X51" i="152"/>
  <c r="X33" i="152"/>
  <c r="X46" i="152"/>
  <c r="X40" i="152"/>
  <c r="X53" i="152"/>
  <c r="X63" i="152"/>
  <c r="X72" i="152"/>
  <c r="X85" i="152"/>
  <c r="X67" i="152"/>
  <c r="X79" i="152"/>
  <c r="X74" i="152"/>
  <c r="X87" i="152"/>
  <c r="X69" i="152"/>
  <c r="X81" i="152"/>
  <c r="X64" i="152"/>
  <c r="X76" i="152"/>
  <c r="X71" i="152"/>
  <c r="X83" i="152"/>
  <c r="X66" i="152"/>
  <c r="X78" i="152"/>
  <c r="X58" i="152"/>
  <c r="X73" i="152"/>
  <c r="X61" i="152"/>
  <c r="X68" i="152"/>
  <c r="X80" i="152"/>
  <c r="X75" i="152"/>
  <c r="X62" i="152"/>
  <c r="X70" i="152"/>
  <c r="X59" i="152"/>
  <c r="X65" i="152"/>
  <c r="X77" i="152"/>
  <c r="X93" i="152"/>
  <c r="X97" i="152"/>
  <c r="X110" i="152"/>
  <c r="X105" i="152"/>
  <c r="X119" i="152"/>
  <c r="X99" i="152"/>
  <c r="X112" i="152"/>
  <c r="X89" i="152"/>
  <c r="X90" i="152"/>
  <c r="X107" i="152"/>
  <c r="X82" i="152"/>
  <c r="X91" i="152"/>
  <c r="X94" i="152"/>
  <c r="X101" i="152"/>
  <c r="X86" i="152"/>
  <c r="X96" i="152"/>
  <c r="X109" i="152"/>
  <c r="X103" i="152"/>
  <c r="X118" i="152"/>
  <c r="X88" i="152"/>
  <c r="X92" i="152"/>
  <c r="X98" i="152"/>
  <c r="X111" i="152"/>
  <c r="X106" i="152"/>
  <c r="X100" i="152"/>
  <c r="X95" i="152"/>
  <c r="X102" i="152"/>
  <c r="X130" i="152"/>
  <c r="X13" i="152"/>
  <c r="X128" i="152"/>
  <c r="X8" i="152"/>
  <c r="X20" i="152"/>
  <c r="X132" i="152"/>
  <c r="X15" i="152"/>
  <c r="X108" i="152"/>
  <c r="X10" i="152"/>
  <c r="X5" i="152"/>
  <c r="X17" i="152"/>
  <c r="X117" i="152"/>
  <c r="X129" i="152"/>
  <c r="X12" i="152"/>
  <c r="X126" i="152"/>
  <c r="X7" i="152"/>
  <c r="X19" i="152"/>
  <c r="X131" i="152"/>
  <c r="X14" i="152"/>
  <c r="X127" i="152"/>
  <c r="X9" i="152"/>
  <c r="X21" i="152"/>
  <c r="X4" i="152"/>
  <c r="X16" i="152"/>
  <c r="X27" i="152"/>
  <c r="X29" i="152"/>
  <c r="X28" i="152"/>
  <c r="X11" i="152"/>
  <c r="X3" i="152"/>
  <c r="X18" i="152"/>
  <c r="X6" i="152"/>
  <c r="X26" i="152"/>
  <c r="X30" i="152"/>
  <c r="X22" i="152"/>
  <c r="X24" i="152"/>
  <c r="X23" i="152"/>
  <c r="X25" i="152"/>
  <c r="Y1" i="152"/>
  <c r="Y84" i="152" s="1"/>
  <c r="Y104" i="152" l="1"/>
  <c r="Y41" i="152"/>
  <c r="Y115" i="152"/>
  <c r="Y114" i="152"/>
  <c r="Y116" i="152"/>
  <c r="Y113" i="152"/>
  <c r="Y124" i="152"/>
  <c r="Y122" i="152"/>
  <c r="Y121" i="152"/>
  <c r="Y120" i="152"/>
  <c r="Y123" i="152"/>
  <c r="Y125" i="152"/>
  <c r="Y40" i="152"/>
  <c r="Y53" i="152"/>
  <c r="Y35" i="152"/>
  <c r="Y48" i="152"/>
  <c r="Y43" i="152"/>
  <c r="Y55" i="152"/>
  <c r="Y37" i="152"/>
  <c r="Y50" i="152"/>
  <c r="Y62" i="152"/>
  <c r="Y32" i="152"/>
  <c r="Y45" i="152"/>
  <c r="Y39" i="152"/>
  <c r="Y52" i="152"/>
  <c r="Y34" i="152"/>
  <c r="Y47" i="152"/>
  <c r="Y59" i="152"/>
  <c r="Y42" i="152"/>
  <c r="Y36" i="152"/>
  <c r="Y49" i="152"/>
  <c r="Y31" i="152"/>
  <c r="Y44" i="152"/>
  <c r="Y56" i="152"/>
  <c r="Y38" i="152"/>
  <c r="Y33" i="152"/>
  <c r="Y46" i="152"/>
  <c r="Y65" i="152"/>
  <c r="Y77" i="152"/>
  <c r="Y90" i="152"/>
  <c r="Y63" i="152"/>
  <c r="Y72" i="152"/>
  <c r="Y85" i="152"/>
  <c r="Y67" i="152"/>
  <c r="Y79" i="152"/>
  <c r="Y74" i="152"/>
  <c r="Y87" i="152"/>
  <c r="Y69" i="152"/>
  <c r="Y81" i="152"/>
  <c r="Y51" i="152"/>
  <c r="Y64" i="152"/>
  <c r="Y76" i="152"/>
  <c r="Y57" i="152"/>
  <c r="Y71" i="152"/>
  <c r="Y83" i="152"/>
  <c r="Y54" i="152"/>
  <c r="Y66" i="152"/>
  <c r="Y78" i="152"/>
  <c r="Y58" i="152"/>
  <c r="Y60" i="152"/>
  <c r="Y73" i="152"/>
  <c r="Y61" i="152"/>
  <c r="Y68" i="152"/>
  <c r="Y80" i="152"/>
  <c r="Y75" i="152"/>
  <c r="Y70" i="152"/>
  <c r="Y102" i="152"/>
  <c r="Y117" i="152"/>
  <c r="Y93" i="152"/>
  <c r="Y97" i="152"/>
  <c r="Y110" i="152"/>
  <c r="Y105" i="152"/>
  <c r="Y119" i="152"/>
  <c r="Y99" i="152"/>
  <c r="Y112" i="152"/>
  <c r="Y89" i="152"/>
  <c r="Y107" i="152"/>
  <c r="Y82" i="152"/>
  <c r="Y91" i="152"/>
  <c r="Y94" i="152"/>
  <c r="Y101" i="152"/>
  <c r="Y86" i="152"/>
  <c r="Y96" i="152"/>
  <c r="Y109" i="152"/>
  <c r="Y103" i="152"/>
  <c r="Y88" i="152"/>
  <c r="Y92" i="152"/>
  <c r="Y98" i="152"/>
  <c r="Y111" i="152"/>
  <c r="Y106" i="152"/>
  <c r="Y100" i="152"/>
  <c r="Y95" i="152"/>
  <c r="Y108" i="152"/>
  <c r="Y6" i="152"/>
  <c r="Y18" i="152"/>
  <c r="Y118" i="152"/>
  <c r="Y130" i="152"/>
  <c r="Y13" i="152"/>
  <c r="Y128" i="152"/>
  <c r="Y8" i="152"/>
  <c r="Y20" i="152"/>
  <c r="Y132" i="152"/>
  <c r="Y15" i="152"/>
  <c r="Y10" i="152"/>
  <c r="Y5" i="152"/>
  <c r="Y17" i="152"/>
  <c r="Y129" i="152"/>
  <c r="Y12" i="152"/>
  <c r="Y24" i="152"/>
  <c r="Y126" i="152"/>
  <c r="Y7" i="152"/>
  <c r="Y19" i="152"/>
  <c r="Y131" i="152"/>
  <c r="Y14" i="152"/>
  <c r="Y127" i="152"/>
  <c r="Y9" i="152"/>
  <c r="Y21" i="152"/>
  <c r="Y4" i="152"/>
  <c r="Y27" i="152"/>
  <c r="Y3" i="152"/>
  <c r="Y29" i="152"/>
  <c r="Y11" i="152"/>
  <c r="Y16" i="152"/>
  <c r="Y26" i="152"/>
  <c r="Y22" i="152"/>
  <c r="Y28" i="152"/>
  <c r="Y30" i="152"/>
  <c r="Y23" i="152"/>
  <c r="Y25" i="152"/>
  <c r="Z1" i="152"/>
  <c r="Z84" i="152" s="1"/>
  <c r="Z104" i="152" l="1"/>
  <c r="Z41" i="152"/>
  <c r="Z115" i="152"/>
  <c r="Z113" i="152"/>
  <c r="Z114" i="152"/>
  <c r="Z116" i="152"/>
  <c r="Z122" i="152"/>
  <c r="Z124" i="152"/>
  <c r="Z120" i="152"/>
  <c r="Z121" i="152"/>
  <c r="Z125" i="152"/>
  <c r="Z123" i="152"/>
  <c r="Z33" i="152"/>
  <c r="Z46" i="152"/>
  <c r="Z58" i="152"/>
  <c r="Z40" i="152"/>
  <c r="Z53" i="152"/>
  <c r="Z35" i="152"/>
  <c r="Z48" i="152"/>
  <c r="Z43" i="152"/>
  <c r="Z55" i="152"/>
  <c r="Z37" i="152"/>
  <c r="Z50" i="152"/>
  <c r="Z32" i="152"/>
  <c r="Z45" i="152"/>
  <c r="Z57" i="152"/>
  <c r="Z39" i="152"/>
  <c r="Z52" i="152"/>
  <c r="Z34" i="152"/>
  <c r="Z47" i="152"/>
  <c r="Z42" i="152"/>
  <c r="Z54" i="152"/>
  <c r="Z36" i="152"/>
  <c r="Z49" i="152"/>
  <c r="Z31" i="152"/>
  <c r="Z44" i="152"/>
  <c r="Z38" i="152"/>
  <c r="Z51" i="152"/>
  <c r="Z59" i="152"/>
  <c r="Z70" i="152"/>
  <c r="Z82" i="152"/>
  <c r="Z65" i="152"/>
  <c r="Z77" i="152"/>
  <c r="Z63" i="152"/>
  <c r="Z72" i="152"/>
  <c r="Z85" i="152"/>
  <c r="Z67" i="152"/>
  <c r="Z79" i="152"/>
  <c r="Z74" i="152"/>
  <c r="Z69" i="152"/>
  <c r="Z81" i="152"/>
  <c r="Z64" i="152"/>
  <c r="Z76" i="152"/>
  <c r="Z89" i="152"/>
  <c r="Z56" i="152"/>
  <c r="Z71" i="152"/>
  <c r="Z66" i="152"/>
  <c r="Z78" i="152"/>
  <c r="Z60" i="152"/>
  <c r="Z73" i="152"/>
  <c r="Z61" i="152"/>
  <c r="Z68" i="152"/>
  <c r="Z62" i="152"/>
  <c r="Z75" i="152"/>
  <c r="Z95" i="152"/>
  <c r="Z108" i="152"/>
  <c r="Z102" i="152"/>
  <c r="Z117" i="152"/>
  <c r="Z83" i="152"/>
  <c r="Z93" i="152"/>
  <c r="Z97" i="152"/>
  <c r="Z110" i="152"/>
  <c r="Z105" i="152"/>
  <c r="Z119" i="152"/>
  <c r="Z90" i="152"/>
  <c r="Z99" i="152"/>
  <c r="Z112" i="152"/>
  <c r="Z107" i="152"/>
  <c r="Z91" i="152"/>
  <c r="Z94" i="152"/>
  <c r="Z101" i="152"/>
  <c r="Z86" i="152"/>
  <c r="Z96" i="152"/>
  <c r="Z109" i="152"/>
  <c r="Z103" i="152"/>
  <c r="Z88" i="152"/>
  <c r="Z92" i="152"/>
  <c r="Z98" i="152"/>
  <c r="Z111" i="152"/>
  <c r="Z106" i="152"/>
  <c r="Z80" i="152"/>
  <c r="Z87" i="152"/>
  <c r="Z100" i="152"/>
  <c r="Z11" i="152"/>
  <c r="Z23" i="152"/>
  <c r="Z6" i="152"/>
  <c r="Z18" i="152"/>
  <c r="Z118" i="152"/>
  <c r="Z130" i="152"/>
  <c r="Z13" i="152"/>
  <c r="Z128" i="152"/>
  <c r="Z8" i="152"/>
  <c r="Z20" i="152"/>
  <c r="Z132" i="152"/>
  <c r="Z15" i="152"/>
  <c r="Z10" i="152"/>
  <c r="Z22" i="152"/>
  <c r="Z5" i="152"/>
  <c r="Z17" i="152"/>
  <c r="Z129" i="152"/>
  <c r="Z12" i="152"/>
  <c r="Z126" i="152"/>
  <c r="Z7" i="152"/>
  <c r="Z19" i="152"/>
  <c r="Z131" i="152"/>
  <c r="Z14" i="152"/>
  <c r="Z127" i="152"/>
  <c r="Z4" i="152"/>
  <c r="Z25" i="152"/>
  <c r="Z3" i="152"/>
  <c r="Z28" i="152"/>
  <c r="Z27" i="152"/>
  <c r="Z29" i="152"/>
  <c r="Z26" i="152"/>
  <c r="Z9" i="152"/>
  <c r="Z16" i="152"/>
  <c r="Z21" i="152"/>
  <c r="Z24" i="152"/>
  <c r="Z30" i="152"/>
  <c r="AA1" i="152"/>
  <c r="AA84" i="152" s="1"/>
  <c r="AA104" i="152" l="1"/>
  <c r="AA41" i="152"/>
  <c r="AA115" i="152"/>
  <c r="AA114" i="152"/>
  <c r="AA116" i="152"/>
  <c r="AA113" i="152"/>
  <c r="AA123" i="152"/>
  <c r="AA122" i="152"/>
  <c r="AA125" i="152"/>
  <c r="AA124" i="152"/>
  <c r="AA121" i="152"/>
  <c r="AA120" i="152"/>
  <c r="AA38" i="152"/>
  <c r="AA51" i="152"/>
  <c r="AA33" i="152"/>
  <c r="AA46" i="152"/>
  <c r="AA40" i="152"/>
  <c r="AA53" i="152"/>
  <c r="AA35" i="152"/>
  <c r="AA48" i="152"/>
  <c r="AA60" i="152"/>
  <c r="AA43" i="152"/>
  <c r="AA55" i="152"/>
  <c r="AA37" i="152"/>
  <c r="AA50" i="152"/>
  <c r="AA32" i="152"/>
  <c r="AA45" i="152"/>
  <c r="AA57" i="152"/>
  <c r="AA39" i="152"/>
  <c r="AA34" i="152"/>
  <c r="AA47" i="152"/>
  <c r="AA42" i="152"/>
  <c r="AA54" i="152"/>
  <c r="AA36" i="152"/>
  <c r="AA31" i="152"/>
  <c r="AA44" i="152"/>
  <c r="AA49" i="152"/>
  <c r="AA62" i="152"/>
  <c r="AA75" i="152"/>
  <c r="AA88" i="152"/>
  <c r="AA59" i="152"/>
  <c r="AA70" i="152"/>
  <c r="AA82" i="152"/>
  <c r="AA65" i="152"/>
  <c r="AA77" i="152"/>
  <c r="AA90" i="152"/>
  <c r="AA63" i="152"/>
  <c r="AA72" i="152"/>
  <c r="AA85" i="152"/>
  <c r="AA67" i="152"/>
  <c r="AA79" i="152"/>
  <c r="AA74" i="152"/>
  <c r="AA69" i="152"/>
  <c r="AA81" i="152"/>
  <c r="AA64" i="152"/>
  <c r="AA76" i="152"/>
  <c r="AA56" i="152"/>
  <c r="AA71" i="152"/>
  <c r="AA83" i="152"/>
  <c r="AA52" i="152"/>
  <c r="AA58" i="152"/>
  <c r="AA66" i="152"/>
  <c r="AA78" i="152"/>
  <c r="AA73" i="152"/>
  <c r="AA61" i="152"/>
  <c r="AA68" i="152"/>
  <c r="AA80" i="152"/>
  <c r="AA87" i="152"/>
  <c r="AA100" i="152"/>
  <c r="AA128" i="152"/>
  <c r="AA95" i="152"/>
  <c r="AA108" i="152"/>
  <c r="AA102" i="152"/>
  <c r="AA117" i="152"/>
  <c r="AA93" i="152"/>
  <c r="AA97" i="152"/>
  <c r="AA110" i="152"/>
  <c r="AA105" i="152"/>
  <c r="AA119" i="152"/>
  <c r="AA89" i="152"/>
  <c r="AA99" i="152"/>
  <c r="AA112" i="152"/>
  <c r="AA107" i="152"/>
  <c r="AA91" i="152"/>
  <c r="AA94" i="152"/>
  <c r="AA101" i="152"/>
  <c r="AA86" i="152"/>
  <c r="AA96" i="152"/>
  <c r="AA109" i="152"/>
  <c r="AA103" i="152"/>
  <c r="AA118" i="152"/>
  <c r="AA92" i="152"/>
  <c r="AA98" i="152"/>
  <c r="AA106" i="152"/>
  <c r="AA4" i="152"/>
  <c r="AA16" i="152"/>
  <c r="AA11" i="152"/>
  <c r="AA6" i="152"/>
  <c r="AA18" i="152"/>
  <c r="AA130" i="152"/>
  <c r="AA13" i="152"/>
  <c r="AA8" i="152"/>
  <c r="AA132" i="152"/>
  <c r="AA15" i="152"/>
  <c r="AA10" i="152"/>
  <c r="AA22" i="152"/>
  <c r="AA5" i="152"/>
  <c r="AA17" i="152"/>
  <c r="AA129" i="152"/>
  <c r="AA12" i="152"/>
  <c r="AA126" i="152"/>
  <c r="AA7" i="152"/>
  <c r="AA19" i="152"/>
  <c r="AA131" i="152"/>
  <c r="AA111" i="152"/>
  <c r="AA127" i="152"/>
  <c r="AA23" i="152"/>
  <c r="AA30" i="152"/>
  <c r="AA25" i="152"/>
  <c r="AA27" i="152"/>
  <c r="AA3" i="152"/>
  <c r="AA28" i="152"/>
  <c r="AA29" i="152"/>
  <c r="AA9" i="152"/>
  <c r="AA14" i="152"/>
  <c r="AA21" i="152"/>
  <c r="AA20" i="152"/>
  <c r="AA26" i="152"/>
  <c r="AA24" i="152"/>
  <c r="AB1" i="152"/>
  <c r="AB84" i="152" s="1"/>
  <c r="AB104" i="152" l="1"/>
  <c r="AB41" i="152"/>
  <c r="AB113" i="152"/>
  <c r="AB115" i="152"/>
  <c r="AB114" i="152"/>
  <c r="AB116" i="152"/>
  <c r="AB120" i="152"/>
  <c r="AB122" i="152"/>
  <c r="AB125" i="152"/>
  <c r="AB123" i="152"/>
  <c r="AB124" i="152"/>
  <c r="AB121" i="152"/>
  <c r="AB31" i="152"/>
  <c r="AB44" i="152"/>
  <c r="AB56" i="152"/>
  <c r="AB38" i="152"/>
  <c r="AB51" i="152"/>
  <c r="AB33" i="152"/>
  <c r="AB46" i="152"/>
  <c r="AB58" i="152"/>
  <c r="AB40" i="152"/>
  <c r="AB53" i="152"/>
  <c r="AB35" i="152"/>
  <c r="AB48" i="152"/>
  <c r="AB43" i="152"/>
  <c r="AB55" i="152"/>
  <c r="AB37" i="152"/>
  <c r="AB50" i="152"/>
  <c r="AB32" i="152"/>
  <c r="AB45" i="152"/>
  <c r="AB39" i="152"/>
  <c r="AB52" i="152"/>
  <c r="AB34" i="152"/>
  <c r="AB47" i="152"/>
  <c r="AB59" i="152"/>
  <c r="AB42" i="152"/>
  <c r="AB36" i="152"/>
  <c r="AB49" i="152"/>
  <c r="AB61" i="152"/>
  <c r="AB68" i="152"/>
  <c r="AB80" i="152"/>
  <c r="AB93" i="152"/>
  <c r="AB62" i="152"/>
  <c r="AB75" i="152"/>
  <c r="AB70" i="152"/>
  <c r="AB82" i="152"/>
  <c r="AB65" i="152"/>
  <c r="AB77" i="152"/>
  <c r="AB63" i="152"/>
  <c r="AB72" i="152"/>
  <c r="AB67" i="152"/>
  <c r="AB79" i="152"/>
  <c r="AB74" i="152"/>
  <c r="AB87" i="152"/>
  <c r="AB57" i="152"/>
  <c r="AB69" i="152"/>
  <c r="AB54" i="152"/>
  <c r="AB64" i="152"/>
  <c r="AB76" i="152"/>
  <c r="AB71" i="152"/>
  <c r="AB60" i="152"/>
  <c r="AB66" i="152"/>
  <c r="AB73" i="152"/>
  <c r="AB106" i="152"/>
  <c r="AB100" i="152"/>
  <c r="AB95" i="152"/>
  <c r="AB108" i="152"/>
  <c r="AB83" i="152"/>
  <c r="AB102" i="152"/>
  <c r="AB117" i="152"/>
  <c r="AB85" i="152"/>
  <c r="AB97" i="152"/>
  <c r="AB110" i="152"/>
  <c r="AB90" i="152"/>
  <c r="AB105" i="152"/>
  <c r="AB119" i="152"/>
  <c r="AB78" i="152"/>
  <c r="AB81" i="152"/>
  <c r="AB89" i="152"/>
  <c r="AB99" i="152"/>
  <c r="AB112" i="152"/>
  <c r="AB107" i="152"/>
  <c r="AB91" i="152"/>
  <c r="AB94" i="152"/>
  <c r="AB101" i="152"/>
  <c r="AB86" i="152"/>
  <c r="AB96" i="152"/>
  <c r="AB109" i="152"/>
  <c r="AB88" i="152"/>
  <c r="AB103" i="152"/>
  <c r="AB92" i="152"/>
  <c r="AB98" i="152"/>
  <c r="AB111" i="152"/>
  <c r="AB127" i="152"/>
  <c r="AB9" i="152"/>
  <c r="AB21" i="152"/>
  <c r="AB4" i="152"/>
  <c r="AB16" i="152"/>
  <c r="AB11" i="152"/>
  <c r="AB23" i="152"/>
  <c r="AB118" i="152"/>
  <c r="AB6" i="152"/>
  <c r="AB18" i="152"/>
  <c r="AB128" i="152"/>
  <c r="AB130" i="152"/>
  <c r="AB13" i="152"/>
  <c r="AB8" i="152"/>
  <c r="AB20" i="152"/>
  <c r="AB132" i="152"/>
  <c r="AB15" i="152"/>
  <c r="AB10" i="152"/>
  <c r="AB5" i="152"/>
  <c r="AB17" i="152"/>
  <c r="AB129" i="152"/>
  <c r="AB12" i="152"/>
  <c r="AB24" i="152"/>
  <c r="AB126" i="152"/>
  <c r="AB7" i="152"/>
  <c r="AB30" i="152"/>
  <c r="AB3" i="152"/>
  <c r="AB25" i="152"/>
  <c r="AB26" i="152"/>
  <c r="AB27" i="152"/>
  <c r="AB29" i="152"/>
  <c r="AB131" i="152"/>
  <c r="AB14" i="152"/>
  <c r="AB22" i="152"/>
  <c r="AB19" i="152"/>
  <c r="AB28" i="152"/>
  <c r="AC1" i="152"/>
  <c r="AC84" i="152" s="1"/>
  <c r="AC104" i="152" l="1"/>
  <c r="AC41" i="152"/>
  <c r="AC113" i="152"/>
  <c r="AC116" i="152"/>
  <c r="AC115" i="152"/>
  <c r="AC114" i="152"/>
  <c r="AC125" i="152"/>
  <c r="AC120" i="152"/>
  <c r="AC121" i="152"/>
  <c r="AC122" i="152"/>
  <c r="AC124" i="152"/>
  <c r="AC123" i="152"/>
  <c r="AC36" i="152"/>
  <c r="AC49" i="152"/>
  <c r="AC61" i="152"/>
  <c r="AC31" i="152"/>
  <c r="AC44" i="152"/>
  <c r="AC38" i="152"/>
  <c r="AC51" i="152"/>
  <c r="AC33" i="152"/>
  <c r="AC46" i="152"/>
  <c r="AC58" i="152"/>
  <c r="AC40" i="152"/>
  <c r="AC53" i="152"/>
  <c r="AC35" i="152"/>
  <c r="AC48" i="152"/>
  <c r="AC43" i="152"/>
  <c r="AC55" i="152"/>
  <c r="AC37" i="152"/>
  <c r="AC50" i="152"/>
  <c r="AC32" i="152"/>
  <c r="AC45" i="152"/>
  <c r="AC57" i="152"/>
  <c r="AC39" i="152"/>
  <c r="AC52" i="152"/>
  <c r="AC34" i="152"/>
  <c r="AC47" i="152"/>
  <c r="AC42" i="152"/>
  <c r="AC54" i="152"/>
  <c r="AC73" i="152"/>
  <c r="AC86" i="152"/>
  <c r="AC68" i="152"/>
  <c r="AC80" i="152"/>
  <c r="AC59" i="152"/>
  <c r="AC62" i="152"/>
  <c r="AC75" i="152"/>
  <c r="AC88" i="152"/>
  <c r="AC70" i="152"/>
  <c r="AC82" i="152"/>
  <c r="AC65" i="152"/>
  <c r="AC77" i="152"/>
  <c r="AC63" i="152"/>
  <c r="AC72" i="152"/>
  <c r="AC85" i="152"/>
  <c r="AC67" i="152"/>
  <c r="AC79" i="152"/>
  <c r="AC74" i="152"/>
  <c r="AC69" i="152"/>
  <c r="AC81" i="152"/>
  <c r="AC56" i="152"/>
  <c r="AC64" i="152"/>
  <c r="AC76" i="152"/>
  <c r="AC71" i="152"/>
  <c r="AC60" i="152"/>
  <c r="AC66" i="152"/>
  <c r="AC78" i="152"/>
  <c r="AC92" i="152"/>
  <c r="AC98" i="152"/>
  <c r="AC111" i="152"/>
  <c r="AC126" i="152"/>
  <c r="AC87" i="152"/>
  <c r="AC106" i="152"/>
  <c r="AC100" i="152"/>
  <c r="AC95" i="152"/>
  <c r="AC108" i="152"/>
  <c r="AC83" i="152"/>
  <c r="AC93" i="152"/>
  <c r="AC102" i="152"/>
  <c r="AC117" i="152"/>
  <c r="AC97" i="152"/>
  <c r="AC110" i="152"/>
  <c r="AC90" i="152"/>
  <c r="AC105" i="152"/>
  <c r="AC119" i="152"/>
  <c r="AC89" i="152"/>
  <c r="AC99" i="152"/>
  <c r="AC112" i="152"/>
  <c r="AC107" i="152"/>
  <c r="AC91" i="152"/>
  <c r="AC94" i="152"/>
  <c r="AC101" i="152"/>
  <c r="AC96" i="152"/>
  <c r="AC103" i="152"/>
  <c r="AC131" i="152"/>
  <c r="AC14" i="152"/>
  <c r="AC127" i="152"/>
  <c r="AC9" i="152"/>
  <c r="AC21" i="152"/>
  <c r="AC4" i="152"/>
  <c r="AC16" i="152"/>
  <c r="AC11" i="152"/>
  <c r="AC118" i="152"/>
  <c r="AC6" i="152"/>
  <c r="AC18" i="152"/>
  <c r="AC128" i="152"/>
  <c r="AC130" i="152"/>
  <c r="AC13" i="152"/>
  <c r="AC109" i="152"/>
  <c r="AC8" i="152"/>
  <c r="AC20" i="152"/>
  <c r="AC132" i="152"/>
  <c r="AC15" i="152"/>
  <c r="AC10" i="152"/>
  <c r="AC22" i="152"/>
  <c r="AC5" i="152"/>
  <c r="AC17" i="152"/>
  <c r="AC129" i="152"/>
  <c r="AC28" i="152"/>
  <c r="AC23" i="152"/>
  <c r="AC30" i="152"/>
  <c r="AC25" i="152"/>
  <c r="AC29" i="152"/>
  <c r="AC27" i="152"/>
  <c r="AC3" i="152"/>
  <c r="AC7" i="152"/>
  <c r="AC26" i="152"/>
  <c r="AC12" i="152"/>
  <c r="AC19" i="152"/>
  <c r="AC24" i="152"/>
  <c r="AD1" i="152"/>
  <c r="AD84" i="152" s="1"/>
  <c r="AD104" i="152" l="1"/>
  <c r="AD41" i="152"/>
  <c r="AD113" i="152"/>
  <c r="AD115" i="152"/>
  <c r="AD114" i="152"/>
  <c r="AD116" i="152"/>
  <c r="AD125" i="152"/>
  <c r="AD124" i="152"/>
  <c r="AD120" i="152"/>
  <c r="AD121" i="152"/>
  <c r="AD123" i="152"/>
  <c r="AD122" i="152"/>
  <c r="AD42" i="152"/>
  <c r="AD54" i="152"/>
  <c r="AD36" i="152"/>
  <c r="AD49" i="152"/>
  <c r="AD31" i="152"/>
  <c r="AD44" i="152"/>
  <c r="AD56" i="152"/>
  <c r="AD38" i="152"/>
  <c r="AD51" i="152"/>
  <c r="AD63" i="152"/>
  <c r="AD33" i="152"/>
  <c r="AD46" i="152"/>
  <c r="AD40" i="152"/>
  <c r="AD53" i="152"/>
  <c r="AD35" i="152"/>
  <c r="AD48" i="152"/>
  <c r="AD60" i="152"/>
  <c r="AD43" i="152"/>
  <c r="AD37" i="152"/>
  <c r="AD50" i="152"/>
  <c r="AD32" i="152"/>
  <c r="AD45" i="152"/>
  <c r="AD57" i="152"/>
  <c r="AD39" i="152"/>
  <c r="AD34" i="152"/>
  <c r="AD47" i="152"/>
  <c r="AD66" i="152"/>
  <c r="AD78" i="152"/>
  <c r="AD91" i="152"/>
  <c r="AD55" i="152"/>
  <c r="AD61" i="152"/>
  <c r="AD73" i="152"/>
  <c r="AD86" i="152"/>
  <c r="AD68" i="152"/>
  <c r="AD80" i="152"/>
  <c r="AD59" i="152"/>
  <c r="AD62" i="152"/>
  <c r="AD75" i="152"/>
  <c r="AD88" i="152"/>
  <c r="AD70" i="152"/>
  <c r="AD82" i="152"/>
  <c r="AD65" i="152"/>
  <c r="AD77" i="152"/>
  <c r="AD72" i="152"/>
  <c r="AD85" i="152"/>
  <c r="AD67" i="152"/>
  <c r="AD79" i="152"/>
  <c r="AD74" i="152"/>
  <c r="AD69" i="152"/>
  <c r="AD52" i="152"/>
  <c r="AD58" i="152"/>
  <c r="AD64" i="152"/>
  <c r="AD71" i="152"/>
  <c r="AD103" i="152"/>
  <c r="AD118" i="152"/>
  <c r="AD76" i="152"/>
  <c r="AD92" i="152"/>
  <c r="AD98" i="152"/>
  <c r="AD111" i="152"/>
  <c r="AD87" i="152"/>
  <c r="AD106" i="152"/>
  <c r="AD100" i="152"/>
  <c r="AD95" i="152"/>
  <c r="AD108" i="152"/>
  <c r="AD83" i="152"/>
  <c r="AD93" i="152"/>
  <c r="AD102" i="152"/>
  <c r="AD117" i="152"/>
  <c r="AD97" i="152"/>
  <c r="AD110" i="152"/>
  <c r="AD81" i="152"/>
  <c r="AD90" i="152"/>
  <c r="AD105" i="152"/>
  <c r="AD89" i="152"/>
  <c r="AD99" i="152"/>
  <c r="AD112" i="152"/>
  <c r="AD107" i="152"/>
  <c r="AD94" i="152"/>
  <c r="AD101" i="152"/>
  <c r="AD96" i="152"/>
  <c r="AD109" i="152"/>
  <c r="AD7" i="152"/>
  <c r="AD19" i="152"/>
  <c r="AD119" i="152"/>
  <c r="AD131" i="152"/>
  <c r="AD14" i="152"/>
  <c r="AD127" i="152"/>
  <c r="AD9" i="152"/>
  <c r="AD21" i="152"/>
  <c r="AD4" i="152"/>
  <c r="AD16" i="152"/>
  <c r="AD11" i="152"/>
  <c r="AD6" i="152"/>
  <c r="AD18" i="152"/>
  <c r="AD128" i="152"/>
  <c r="AD130" i="152"/>
  <c r="AD13" i="152"/>
  <c r="AD8" i="152"/>
  <c r="AD132" i="152"/>
  <c r="AD15" i="152"/>
  <c r="AD10" i="152"/>
  <c r="AD22" i="152"/>
  <c r="AD5" i="152"/>
  <c r="AD126" i="152"/>
  <c r="AD24" i="152"/>
  <c r="AD28" i="152"/>
  <c r="AD129" i="152"/>
  <c r="AD23" i="152"/>
  <c r="AD30" i="152"/>
  <c r="AD25" i="152"/>
  <c r="AD27" i="152"/>
  <c r="AD29" i="152"/>
  <c r="AD20" i="152"/>
  <c r="AD3" i="152"/>
  <c r="AD12" i="152"/>
  <c r="AD17" i="152"/>
  <c r="AD26" i="152"/>
  <c r="AE1" i="152"/>
  <c r="AE84" i="152" s="1"/>
  <c r="AE104" i="152" l="1"/>
  <c r="AE41" i="152"/>
  <c r="AE116" i="152"/>
  <c r="AE113" i="152"/>
  <c r="AE114" i="152"/>
  <c r="AE115" i="152"/>
  <c r="AE123" i="152"/>
  <c r="AE125" i="152"/>
  <c r="AE120" i="152"/>
  <c r="AE124" i="152"/>
  <c r="AE121" i="152"/>
  <c r="AE122" i="152"/>
  <c r="AE34" i="152"/>
  <c r="AE47" i="152"/>
  <c r="AE59" i="152"/>
  <c r="AE42" i="152"/>
  <c r="AE54" i="152"/>
  <c r="AE36" i="152"/>
  <c r="AE49" i="152"/>
  <c r="AE31" i="152"/>
  <c r="AE44" i="152"/>
  <c r="AE56" i="152"/>
  <c r="AE38" i="152"/>
  <c r="AE51" i="152"/>
  <c r="AE33" i="152"/>
  <c r="AE46" i="152"/>
  <c r="AE58" i="152"/>
  <c r="AE40" i="152"/>
  <c r="AE53" i="152"/>
  <c r="AE35" i="152"/>
  <c r="AE48" i="152"/>
  <c r="AE43" i="152"/>
  <c r="AE55" i="152"/>
  <c r="AE37" i="152"/>
  <c r="AE50" i="152"/>
  <c r="AE32" i="152"/>
  <c r="AE45" i="152"/>
  <c r="AE39" i="152"/>
  <c r="AE52" i="152"/>
  <c r="AE60" i="152"/>
  <c r="AE71" i="152"/>
  <c r="AE83" i="152"/>
  <c r="AE66" i="152"/>
  <c r="AE78" i="152"/>
  <c r="AE61" i="152"/>
  <c r="AE73" i="152"/>
  <c r="AE86" i="152"/>
  <c r="AE68" i="152"/>
  <c r="AE80" i="152"/>
  <c r="AE62" i="152"/>
  <c r="AE75" i="152"/>
  <c r="AE70" i="152"/>
  <c r="AE82" i="152"/>
  <c r="AE63" i="152"/>
  <c r="AE65" i="152"/>
  <c r="AE77" i="152"/>
  <c r="AE72" i="152"/>
  <c r="AE57" i="152"/>
  <c r="AE67" i="152"/>
  <c r="AE79" i="152"/>
  <c r="AE74" i="152"/>
  <c r="AE69" i="152"/>
  <c r="AE64" i="152"/>
  <c r="AE76" i="152"/>
  <c r="AE96" i="152"/>
  <c r="AE109" i="152"/>
  <c r="AE103" i="152"/>
  <c r="AE118" i="152"/>
  <c r="AE92" i="152"/>
  <c r="AE98" i="152"/>
  <c r="AE111" i="152"/>
  <c r="AE126" i="152"/>
  <c r="AE87" i="152"/>
  <c r="AE106" i="152"/>
  <c r="AE100" i="152"/>
  <c r="AE85" i="152"/>
  <c r="AE95" i="152"/>
  <c r="AE108" i="152"/>
  <c r="AE93" i="152"/>
  <c r="AE102" i="152"/>
  <c r="AE117" i="152"/>
  <c r="AE97" i="152"/>
  <c r="AE110" i="152"/>
  <c r="AE81" i="152"/>
  <c r="AE90" i="152"/>
  <c r="AE105" i="152"/>
  <c r="AE89" i="152"/>
  <c r="AE99" i="152"/>
  <c r="AE112" i="152"/>
  <c r="AE91" i="152"/>
  <c r="AE88" i="152"/>
  <c r="AE94" i="152"/>
  <c r="AE101" i="152"/>
  <c r="AE129" i="152"/>
  <c r="AE12" i="152"/>
  <c r="AE107" i="152"/>
  <c r="AE7" i="152"/>
  <c r="AE19" i="152"/>
  <c r="AE119" i="152"/>
  <c r="AE131" i="152"/>
  <c r="AE14" i="152"/>
  <c r="AE127" i="152"/>
  <c r="AE9" i="152"/>
  <c r="AE21" i="152"/>
  <c r="AE4" i="152"/>
  <c r="AE16" i="152"/>
  <c r="AE11" i="152"/>
  <c r="AE23" i="152"/>
  <c r="AE6" i="152"/>
  <c r="AE18" i="152"/>
  <c r="AE128" i="152"/>
  <c r="AE130" i="152"/>
  <c r="AE13" i="152"/>
  <c r="AE8" i="152"/>
  <c r="AE20" i="152"/>
  <c r="AE132" i="152"/>
  <c r="AE15" i="152"/>
  <c r="AE17" i="152"/>
  <c r="AE26" i="152"/>
  <c r="AE24" i="152"/>
  <c r="AE30" i="152"/>
  <c r="AE27" i="152"/>
  <c r="AE3" i="152"/>
  <c r="AE28" i="152"/>
  <c r="AE5" i="152"/>
  <c r="AE29" i="152"/>
  <c r="AE25" i="152"/>
  <c r="AE22" i="152"/>
  <c r="AE10" i="152"/>
  <c r="AF1" i="152"/>
  <c r="AF84" i="152" s="1"/>
  <c r="AF104" i="152" l="1"/>
  <c r="AF41" i="152"/>
  <c r="AF116" i="152"/>
  <c r="AF113" i="152"/>
  <c r="AF115" i="152"/>
  <c r="AF114" i="152"/>
  <c r="AF125" i="152"/>
  <c r="AF123" i="152"/>
  <c r="AF124" i="152"/>
  <c r="AF121" i="152"/>
  <c r="AF120" i="152"/>
  <c r="AF122" i="152"/>
  <c r="AF39" i="152"/>
  <c r="AF52" i="152"/>
  <c r="AF34" i="152"/>
  <c r="AF47" i="152"/>
  <c r="AF42" i="152"/>
  <c r="AF54" i="152"/>
  <c r="AF36" i="152"/>
  <c r="AF49" i="152"/>
  <c r="AF61" i="152"/>
  <c r="AF31" i="152"/>
  <c r="AF44" i="152"/>
  <c r="AF56" i="152"/>
  <c r="AF38" i="152"/>
  <c r="AF51" i="152"/>
  <c r="AF33" i="152"/>
  <c r="AF46" i="152"/>
  <c r="AF58" i="152"/>
  <c r="AF40" i="152"/>
  <c r="AF35" i="152"/>
  <c r="AF48" i="152"/>
  <c r="AF43" i="152"/>
  <c r="AF55" i="152"/>
  <c r="AF37" i="152"/>
  <c r="AF32" i="152"/>
  <c r="AF45" i="152"/>
  <c r="AF64" i="152"/>
  <c r="AF76" i="152"/>
  <c r="AF89" i="152"/>
  <c r="AF60" i="152"/>
  <c r="AF71" i="152"/>
  <c r="AF83" i="152"/>
  <c r="AF66" i="152"/>
  <c r="AF78" i="152"/>
  <c r="AF91" i="152"/>
  <c r="AF50" i="152"/>
  <c r="AF53" i="152"/>
  <c r="AF73" i="152"/>
  <c r="AF86" i="152"/>
  <c r="AF59" i="152"/>
  <c r="AF68" i="152"/>
  <c r="AF80" i="152"/>
  <c r="AF62" i="152"/>
  <c r="AF75" i="152"/>
  <c r="AF70" i="152"/>
  <c r="AF82" i="152"/>
  <c r="AF63" i="152"/>
  <c r="AF65" i="152"/>
  <c r="AF77" i="152"/>
  <c r="AF72" i="152"/>
  <c r="AF57" i="152"/>
  <c r="AF67" i="152"/>
  <c r="AF79" i="152"/>
  <c r="AF74" i="152"/>
  <c r="AF69" i="152"/>
  <c r="AF88" i="152"/>
  <c r="AF94" i="152"/>
  <c r="AF101" i="152"/>
  <c r="AF96" i="152"/>
  <c r="AF109" i="152"/>
  <c r="AF103" i="152"/>
  <c r="AF118" i="152"/>
  <c r="AF92" i="152"/>
  <c r="AF98" i="152"/>
  <c r="AF111" i="152"/>
  <c r="AF126" i="152"/>
  <c r="AF87" i="152"/>
  <c r="AF106" i="152"/>
  <c r="AF100" i="152"/>
  <c r="AF85" i="152"/>
  <c r="AF95" i="152"/>
  <c r="AF108" i="152"/>
  <c r="AF93" i="152"/>
  <c r="AF102" i="152"/>
  <c r="AF97" i="152"/>
  <c r="AF110" i="152"/>
  <c r="AF81" i="152"/>
  <c r="AF90" i="152"/>
  <c r="AF105" i="152"/>
  <c r="AF119" i="152"/>
  <c r="AF99" i="152"/>
  <c r="AF107" i="152"/>
  <c r="AF5" i="152"/>
  <c r="AF17" i="152"/>
  <c r="AF129" i="152"/>
  <c r="AF12" i="152"/>
  <c r="AF112" i="152"/>
  <c r="AF7" i="152"/>
  <c r="AF19" i="152"/>
  <c r="AF131" i="152"/>
  <c r="AF14" i="152"/>
  <c r="AF127" i="152"/>
  <c r="AF9" i="152"/>
  <c r="AF4" i="152"/>
  <c r="AF16" i="152"/>
  <c r="AF117" i="152"/>
  <c r="AF11" i="152"/>
  <c r="AF23" i="152"/>
  <c r="AF6" i="152"/>
  <c r="AF18" i="152"/>
  <c r="AF128" i="152"/>
  <c r="AF130" i="152"/>
  <c r="AF13" i="152"/>
  <c r="AF8" i="152"/>
  <c r="AF20" i="152"/>
  <c r="AF132" i="152"/>
  <c r="AF10" i="152"/>
  <c r="AF30" i="152"/>
  <c r="AF15" i="152"/>
  <c r="AF26" i="152"/>
  <c r="AF24" i="152"/>
  <c r="AF28" i="152"/>
  <c r="AF3" i="152"/>
  <c r="AF25" i="152"/>
  <c r="AF21" i="152"/>
  <c r="AF27" i="152"/>
  <c r="AF29" i="152"/>
  <c r="AF22" i="152"/>
  <c r="AG1" i="152"/>
  <c r="AG84" i="152" s="1"/>
  <c r="AG104" i="152" l="1"/>
  <c r="AG41" i="152"/>
  <c r="AG114" i="152"/>
  <c r="AG116" i="152"/>
  <c r="AG113" i="152"/>
  <c r="AG115" i="152"/>
  <c r="AG121" i="152"/>
  <c r="AG123" i="152"/>
  <c r="AG122" i="152"/>
  <c r="AG125" i="152"/>
  <c r="AG120" i="152"/>
  <c r="AG124" i="152"/>
  <c r="AG32" i="152"/>
  <c r="AG45" i="152"/>
  <c r="AG57" i="152"/>
  <c r="AG39" i="152"/>
  <c r="AG52" i="152"/>
  <c r="AG34" i="152"/>
  <c r="AG47" i="152"/>
  <c r="AG59" i="152"/>
  <c r="AG42" i="152"/>
  <c r="AG54" i="152"/>
  <c r="AG36" i="152"/>
  <c r="AG49" i="152"/>
  <c r="AG31" i="152"/>
  <c r="AG44" i="152"/>
  <c r="AG56" i="152"/>
  <c r="AG38" i="152"/>
  <c r="AG51" i="152"/>
  <c r="AG33" i="152"/>
  <c r="AG46" i="152"/>
  <c r="AG40" i="152"/>
  <c r="AG53" i="152"/>
  <c r="AG35" i="152"/>
  <c r="AG48" i="152"/>
  <c r="AG43" i="152"/>
  <c r="AG37" i="152"/>
  <c r="AG50" i="152"/>
  <c r="AG69" i="152"/>
  <c r="AG81" i="152"/>
  <c r="AG94" i="152"/>
  <c r="AG64" i="152"/>
  <c r="AG76" i="152"/>
  <c r="AG55" i="152"/>
  <c r="AG60" i="152"/>
  <c r="AG71" i="152"/>
  <c r="AG83" i="152"/>
  <c r="AG61" i="152"/>
  <c r="AG66" i="152"/>
  <c r="AG78" i="152"/>
  <c r="AG73" i="152"/>
  <c r="AG68" i="152"/>
  <c r="AG80" i="152"/>
  <c r="AG62" i="152"/>
  <c r="AG75" i="152"/>
  <c r="AG88" i="152"/>
  <c r="AG70" i="152"/>
  <c r="AG63" i="152"/>
  <c r="AG65" i="152"/>
  <c r="AG77" i="152"/>
  <c r="AG72" i="152"/>
  <c r="AG67" i="152"/>
  <c r="AG58" i="152"/>
  <c r="AG74" i="152"/>
  <c r="AG107" i="152"/>
  <c r="AG101" i="152"/>
  <c r="AG96" i="152"/>
  <c r="AG109" i="152"/>
  <c r="AG103" i="152"/>
  <c r="AG118" i="152"/>
  <c r="AG92" i="152"/>
  <c r="AG98" i="152"/>
  <c r="AG111" i="152"/>
  <c r="AG87" i="152"/>
  <c r="AG106" i="152"/>
  <c r="AG82" i="152"/>
  <c r="AG100" i="152"/>
  <c r="AG85" i="152"/>
  <c r="AG95" i="152"/>
  <c r="AG108" i="152"/>
  <c r="AG93" i="152"/>
  <c r="AG102" i="152"/>
  <c r="AG117" i="152"/>
  <c r="AG79" i="152"/>
  <c r="AG97" i="152"/>
  <c r="AG110" i="152"/>
  <c r="AG86" i="152"/>
  <c r="AG89" i="152"/>
  <c r="AG90" i="152"/>
  <c r="AG105" i="152"/>
  <c r="AG91" i="152"/>
  <c r="AG99" i="152"/>
  <c r="AG112" i="152"/>
  <c r="AG126" i="152"/>
  <c r="AG10" i="152"/>
  <c r="AG22" i="152"/>
  <c r="AG5" i="152"/>
  <c r="AG17" i="152"/>
  <c r="AG129" i="152"/>
  <c r="AG12" i="152"/>
  <c r="AG119" i="152"/>
  <c r="AG7" i="152"/>
  <c r="AG19" i="152"/>
  <c r="AG131" i="152"/>
  <c r="AG14" i="152"/>
  <c r="AG127" i="152"/>
  <c r="AG9" i="152"/>
  <c r="AG21" i="152"/>
  <c r="AG4" i="152"/>
  <c r="AG16" i="152"/>
  <c r="AG11" i="152"/>
  <c r="AG6" i="152"/>
  <c r="AG18" i="152"/>
  <c r="AG128" i="152"/>
  <c r="AG130" i="152"/>
  <c r="AG13" i="152"/>
  <c r="AG3" i="152"/>
  <c r="AG8" i="152"/>
  <c r="AG15" i="152"/>
  <c r="AG26" i="152"/>
  <c r="AG30" i="152"/>
  <c r="AG23" i="152"/>
  <c r="AG24" i="152"/>
  <c r="AG28" i="152"/>
  <c r="AG27" i="152"/>
  <c r="AG25" i="152"/>
  <c r="AG132" i="152"/>
  <c r="AG20" i="152"/>
  <c r="AG29" i="152"/>
  <c r="AH1" i="152"/>
  <c r="AH84" i="152" s="1"/>
  <c r="AI84" i="152" s="1"/>
  <c r="AH104" i="152" l="1"/>
  <c r="AI104" i="152" s="1"/>
  <c r="AH41" i="152"/>
  <c r="AI41" i="152" s="1"/>
  <c r="AH114" i="152"/>
  <c r="AI114" i="152" s="1"/>
  <c r="AH116" i="152"/>
  <c r="AI116" i="152" s="1"/>
  <c r="AH113" i="152"/>
  <c r="AI113" i="152" s="1"/>
  <c r="AH115" i="152"/>
  <c r="AI115" i="152" s="1"/>
  <c r="AH124" i="152"/>
  <c r="AH121" i="152"/>
  <c r="AI121" i="152" s="1"/>
  <c r="AH123" i="152"/>
  <c r="AH125" i="152"/>
  <c r="AH122" i="152"/>
  <c r="AH120" i="152"/>
  <c r="AH37" i="152"/>
  <c r="AH50" i="152"/>
  <c r="AH62" i="152"/>
  <c r="AH32" i="152"/>
  <c r="AH45" i="152"/>
  <c r="AH39" i="152"/>
  <c r="AH52" i="152"/>
  <c r="AH34" i="152"/>
  <c r="AH47" i="152"/>
  <c r="AH59" i="152"/>
  <c r="AH42" i="152"/>
  <c r="AH54" i="152"/>
  <c r="AH36" i="152"/>
  <c r="AH49" i="152"/>
  <c r="AH31" i="152"/>
  <c r="AH44" i="152"/>
  <c r="AH56" i="152"/>
  <c r="AH38" i="152"/>
  <c r="AH51" i="152"/>
  <c r="AH33" i="152"/>
  <c r="AH46" i="152"/>
  <c r="AH40" i="152"/>
  <c r="AH53" i="152"/>
  <c r="AH35" i="152"/>
  <c r="AH48" i="152"/>
  <c r="AH43" i="152"/>
  <c r="AH55" i="152"/>
  <c r="AH58" i="152"/>
  <c r="AH74" i="152"/>
  <c r="AH87" i="152"/>
  <c r="AH69" i="152"/>
  <c r="AH81" i="152"/>
  <c r="AH64" i="152"/>
  <c r="AH76" i="152"/>
  <c r="AH89" i="152"/>
  <c r="AH60" i="152"/>
  <c r="AH71" i="152"/>
  <c r="AH83" i="152"/>
  <c r="AH61" i="152"/>
  <c r="AH66" i="152"/>
  <c r="AH78" i="152"/>
  <c r="AH73" i="152"/>
  <c r="AH86" i="152"/>
  <c r="AH68" i="152"/>
  <c r="AH80" i="152"/>
  <c r="AH75" i="152"/>
  <c r="AH70" i="152"/>
  <c r="AH82" i="152"/>
  <c r="AH63" i="152"/>
  <c r="AI63" i="152" s="1"/>
  <c r="AH65" i="152"/>
  <c r="AH77" i="152"/>
  <c r="AH57" i="152"/>
  <c r="AH72" i="152"/>
  <c r="AH67" i="152"/>
  <c r="AH79" i="152"/>
  <c r="AH91" i="152"/>
  <c r="AH99" i="152"/>
  <c r="AH112" i="152"/>
  <c r="AH127" i="152"/>
  <c r="AI127" i="152" s="1"/>
  <c r="AH88" i="152"/>
  <c r="AH94" i="152"/>
  <c r="AH107" i="152"/>
  <c r="AH101" i="152"/>
  <c r="AH96" i="152"/>
  <c r="AH109" i="152"/>
  <c r="AH103" i="152"/>
  <c r="AH118" i="152"/>
  <c r="AH92" i="152"/>
  <c r="AH98" i="152"/>
  <c r="AH111" i="152"/>
  <c r="AH106" i="152"/>
  <c r="AH100" i="152"/>
  <c r="AH85" i="152"/>
  <c r="AH95" i="152"/>
  <c r="AH108" i="152"/>
  <c r="AH93" i="152"/>
  <c r="AH102" i="152"/>
  <c r="AH117" i="152"/>
  <c r="AH97" i="152"/>
  <c r="AH90" i="152"/>
  <c r="AH105" i="152"/>
  <c r="AH132" i="152"/>
  <c r="AI132" i="152" s="1"/>
  <c r="AH15" i="152"/>
  <c r="AH126" i="152"/>
  <c r="AH10" i="152"/>
  <c r="AH5" i="152"/>
  <c r="AH17" i="152"/>
  <c r="AH129" i="152"/>
  <c r="AI129" i="152" s="1"/>
  <c r="AH12" i="152"/>
  <c r="AH119" i="152"/>
  <c r="AH7" i="152"/>
  <c r="AH131" i="152"/>
  <c r="AI131" i="152" s="1"/>
  <c r="AH14" i="152"/>
  <c r="AH9" i="152"/>
  <c r="AH21" i="152"/>
  <c r="AH4" i="152"/>
  <c r="AH16" i="152"/>
  <c r="AH11" i="152"/>
  <c r="AH110" i="152"/>
  <c r="AH6" i="152"/>
  <c r="AH18" i="152"/>
  <c r="AH128" i="152"/>
  <c r="AH130" i="152"/>
  <c r="AH19" i="152"/>
  <c r="AH22" i="152"/>
  <c r="AI22" i="152" s="1"/>
  <c r="AH29" i="152"/>
  <c r="AH3" i="152"/>
  <c r="AH8" i="152"/>
  <c r="AH13" i="152"/>
  <c r="AH26" i="152"/>
  <c r="AH23" i="152"/>
  <c r="AH24" i="152"/>
  <c r="AI24" i="152" s="1"/>
  <c r="AH30" i="152"/>
  <c r="AH28" i="152"/>
  <c r="AH27" i="152"/>
  <c r="AH25" i="152"/>
  <c r="AH20" i="152"/>
  <c r="AI25" i="152" l="1"/>
  <c r="AI130" i="152"/>
  <c r="AI128" i="152"/>
  <c r="AI23" i="152"/>
  <c r="AI126" i="152"/>
  <c r="AI100" i="152"/>
  <c r="AI117" i="152"/>
  <c r="AI55" i="152"/>
  <c r="AI103" i="152"/>
  <c r="AI35" i="152"/>
  <c r="AI89" i="152"/>
  <c r="AI64" i="152"/>
  <c r="AI94" i="152"/>
  <c r="AI119" i="152"/>
  <c r="AI78" i="152"/>
  <c r="AI88" i="152"/>
  <c r="AI72" i="152"/>
  <c r="AI58" i="152"/>
  <c r="AI50" i="152"/>
  <c r="AI12" i="152"/>
  <c r="AI11" i="152"/>
  <c r="AI123" i="152"/>
  <c r="AI68" i="152"/>
  <c r="AI110" i="152"/>
  <c r="AI109" i="152"/>
  <c r="AI108" i="152"/>
  <c r="AI91" i="152"/>
  <c r="AI79" i="152"/>
  <c r="AI21" i="152"/>
  <c r="AI51" i="152"/>
  <c r="AI81" i="152"/>
  <c r="AI60" i="152"/>
  <c r="AI52" i="152"/>
  <c r="AI44" i="152"/>
  <c r="AI15" i="152"/>
  <c r="AI8" i="152"/>
  <c r="AI111" i="152"/>
  <c r="AI97" i="152"/>
  <c r="AI101" i="152"/>
  <c r="AI47" i="152"/>
  <c r="AI75" i="152"/>
  <c r="AI40" i="152"/>
  <c r="AI42" i="152"/>
  <c r="AI49" i="152"/>
  <c r="AI37" i="152"/>
  <c r="AI17" i="152"/>
  <c r="AI76" i="152"/>
  <c r="AI82" i="152"/>
  <c r="AI106" i="152"/>
  <c r="AI71" i="152"/>
  <c r="AI39" i="152"/>
  <c r="AI43" i="152"/>
  <c r="AI31" i="152"/>
  <c r="AI14" i="152"/>
  <c r="AI3" i="152"/>
  <c r="AI54" i="152"/>
  <c r="AI66" i="152"/>
  <c r="AI98" i="152"/>
  <c r="AI57" i="152"/>
  <c r="AI65" i="152"/>
  <c r="AI73" i="152"/>
  <c r="AI38" i="152"/>
  <c r="AI4" i="152"/>
  <c r="AI124" i="152"/>
  <c r="AI83" i="152"/>
  <c r="AI87" i="152"/>
  <c r="AI59" i="152"/>
  <c r="AI67" i="152"/>
  <c r="AI5" i="152"/>
  <c r="AI36" i="152"/>
  <c r="AI105" i="152"/>
  <c r="AI80" i="152"/>
  <c r="AI53" i="152"/>
  <c r="AI61" i="152"/>
  <c r="AI34" i="152"/>
  <c r="AI16" i="152"/>
  <c r="AI6" i="152"/>
  <c r="AI77" i="152"/>
  <c r="AI74" i="152"/>
  <c r="AI62" i="152"/>
  <c r="AI48" i="152"/>
  <c r="AI20" i="152"/>
  <c r="AI19" i="152"/>
  <c r="AI120" i="152"/>
  <c r="AI56" i="152"/>
  <c r="AI118" i="152"/>
  <c r="AI45" i="152"/>
  <c r="AI18" i="152"/>
  <c r="AI10" i="152"/>
  <c r="AI13" i="152"/>
  <c r="AI102" i="152"/>
  <c r="AI112" i="152"/>
  <c r="AI46" i="152"/>
  <c r="AI107" i="152"/>
  <c r="AI95" i="152"/>
  <c r="AI99" i="152"/>
  <c r="AI96" i="152"/>
  <c r="AI92" i="152"/>
  <c r="AI125" i="152"/>
  <c r="AI90" i="152"/>
  <c r="AI93" i="152"/>
  <c r="AI85" i="152"/>
  <c r="AI86" i="152"/>
  <c r="AI70" i="152"/>
  <c r="AI32" i="152"/>
  <c r="AI33" i="152"/>
  <c r="AI9" i="152"/>
  <c r="AI7" i="152"/>
  <c r="AH26" i="36" l="1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AI25" i="36" l="1"/>
  <c r="AI4" i="36"/>
  <c r="AI8" i="36"/>
  <c r="AI13" i="36"/>
  <c r="AI21" i="36"/>
  <c r="AI17" i="36"/>
  <c r="AI3" i="36"/>
  <c r="AI6" i="36"/>
  <c r="AI10" i="36"/>
  <c r="AI15" i="36"/>
  <c r="AI19" i="36"/>
  <c r="AI23" i="36"/>
  <c r="AI5" i="36"/>
  <c r="AI9" i="36"/>
  <c r="AI14" i="36"/>
  <c r="AI18" i="36"/>
  <c r="AI22" i="36"/>
  <c r="AI26" i="36"/>
  <c r="AI7" i="36"/>
  <c r="AI12" i="36"/>
  <c r="AI16" i="36"/>
  <c r="AI20" i="36"/>
  <c r="AI24" i="36"/>
  <c r="D14" i="34" l="1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E15" i="34"/>
  <c r="AF15" i="34"/>
  <c r="AG15" i="34"/>
  <c r="AH15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E18" i="34"/>
  <c r="AF18" i="34"/>
  <c r="AG18" i="34"/>
  <c r="AH18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E19" i="34"/>
  <c r="AF19" i="34"/>
  <c r="AG19" i="34"/>
  <c r="AH19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E20" i="34"/>
  <c r="AF20" i="34"/>
  <c r="AG20" i="34"/>
  <c r="AH20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E21" i="34"/>
  <c r="AF21" i="34"/>
  <c r="AG21" i="34"/>
  <c r="AH21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E22" i="34"/>
  <c r="AF22" i="34"/>
  <c r="AG22" i="34"/>
  <c r="AH22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E24" i="34"/>
  <c r="AF24" i="34"/>
  <c r="AG24" i="34"/>
  <c r="AH24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E25" i="34"/>
  <c r="AF25" i="34"/>
  <c r="AG25" i="34"/>
  <c r="AH25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E26" i="34"/>
  <c r="AF26" i="34"/>
  <c r="AG26" i="34"/>
  <c r="AH26" i="34"/>
  <c r="D3" i="34" l="1"/>
  <c r="D4" i="34"/>
  <c r="D5" i="34"/>
  <c r="D6" i="34"/>
  <c r="D7" i="34"/>
  <c r="D8" i="34"/>
  <c r="D9" i="34"/>
  <c r="D10" i="34"/>
  <c r="AH13" i="34"/>
  <c r="AG13" i="34"/>
  <c r="AF13" i="34"/>
  <c r="AE13" i="34"/>
  <c r="AD13" i="34"/>
  <c r="AC13" i="34"/>
  <c r="AB13" i="34"/>
  <c r="AA13" i="34"/>
  <c r="Z13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AH12" i="34"/>
  <c r="AG12" i="34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AI26" i="34"/>
  <c r="AI25" i="34"/>
  <c r="AI24" i="34"/>
  <c r="AI23" i="34"/>
  <c r="AI22" i="34"/>
  <c r="AI21" i="34"/>
  <c r="AI20" i="34"/>
  <c r="AI19" i="34"/>
  <c r="AI18" i="34"/>
  <c r="AI17" i="34"/>
  <c r="AI16" i="34"/>
  <c r="AI15" i="34"/>
  <c r="AI14" i="34"/>
  <c r="AH10" i="34"/>
  <c r="AG10" i="34"/>
  <c r="AF10" i="34"/>
  <c r="AE10" i="34"/>
  <c r="AD10" i="34"/>
  <c r="AC10" i="34"/>
  <c r="AB10" i="34"/>
  <c r="AA10" i="34"/>
  <c r="Z10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AH9" i="34"/>
  <c r="AG9" i="34"/>
  <c r="AF9" i="34"/>
  <c r="AE9" i="34"/>
  <c r="AD9" i="34"/>
  <c r="AC9" i="34"/>
  <c r="AB9" i="34"/>
  <c r="AA9" i="34"/>
  <c r="Z9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AH8" i="34"/>
  <c r="AG8" i="34"/>
  <c r="AF8" i="34"/>
  <c r="AE8" i="34"/>
  <c r="AD8" i="34"/>
  <c r="AC8" i="34"/>
  <c r="AB8" i="34"/>
  <c r="AA8" i="34"/>
  <c r="Z8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AH7" i="34"/>
  <c r="AG7" i="34"/>
  <c r="AF7" i="34"/>
  <c r="AE7" i="34"/>
  <c r="AD7" i="34"/>
  <c r="AC7" i="34"/>
  <c r="AB7" i="34"/>
  <c r="AA7" i="34"/>
  <c r="Z7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AH6" i="34"/>
  <c r="AG6" i="34"/>
  <c r="AF6" i="34"/>
  <c r="AE6" i="34"/>
  <c r="AD6" i="34"/>
  <c r="AC6" i="34"/>
  <c r="AB6" i="34"/>
  <c r="AA6" i="34"/>
  <c r="Z6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AH5" i="34"/>
  <c r="AG5" i="34"/>
  <c r="AF5" i="34"/>
  <c r="AE5" i="34"/>
  <c r="AD5" i="34"/>
  <c r="AC5" i="34"/>
  <c r="AB5" i="34"/>
  <c r="AA5" i="34"/>
  <c r="Z5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G5" i="34"/>
  <c r="F5" i="34"/>
  <c r="E5" i="34"/>
  <c r="AH4" i="34"/>
  <c r="AG4" i="34"/>
  <c r="AF4" i="34"/>
  <c r="AE4" i="34"/>
  <c r="AD4" i="34"/>
  <c r="AC4" i="34"/>
  <c r="AB4" i="34"/>
  <c r="AA4" i="34"/>
  <c r="Z4" i="34"/>
  <c r="Y4" i="34"/>
  <c r="X4" i="34"/>
  <c r="W4" i="34"/>
  <c r="V4" i="34"/>
  <c r="U4" i="34"/>
  <c r="T4" i="34"/>
  <c r="S4" i="34"/>
  <c r="R4" i="34"/>
  <c r="Q4" i="34"/>
  <c r="P4" i="34"/>
  <c r="O4" i="34"/>
  <c r="N4" i="34"/>
  <c r="M4" i="34"/>
  <c r="L4" i="34"/>
  <c r="K4" i="34"/>
  <c r="J4" i="34"/>
  <c r="I4" i="34"/>
  <c r="H4" i="34"/>
  <c r="G4" i="34"/>
  <c r="F4" i="34"/>
  <c r="E4" i="34"/>
  <c r="AH3" i="34"/>
  <c r="AG3" i="34"/>
  <c r="AF3" i="34"/>
  <c r="AE3" i="34"/>
  <c r="AD3" i="34"/>
  <c r="AC3" i="34"/>
  <c r="AB3" i="34"/>
  <c r="AA3" i="34"/>
  <c r="Z3" i="34"/>
  <c r="Y3" i="34"/>
  <c r="X3" i="34"/>
  <c r="W3" i="34"/>
  <c r="V3" i="34"/>
  <c r="U3" i="34"/>
  <c r="T3" i="34"/>
  <c r="S3" i="34"/>
  <c r="R3" i="34"/>
  <c r="Q3" i="34"/>
  <c r="P3" i="34"/>
  <c r="O3" i="34"/>
  <c r="N3" i="34"/>
  <c r="M3" i="34"/>
  <c r="L3" i="34"/>
  <c r="K3" i="34"/>
  <c r="J3" i="34"/>
  <c r="I3" i="34"/>
  <c r="H3" i="34"/>
  <c r="G3" i="34"/>
  <c r="F3" i="34"/>
  <c r="E3" i="34"/>
  <c r="AI12" i="34" l="1"/>
  <c r="AI13" i="34"/>
  <c r="AI6" i="34"/>
  <c r="AI10" i="34"/>
  <c r="AI7" i="34"/>
  <c r="AI5" i="34"/>
  <c r="AI9" i="34"/>
  <c r="AI3" i="34"/>
  <c r="AI4" i="34"/>
  <c r="AI8" i="34"/>
</calcChain>
</file>

<file path=xl/sharedStrings.xml><?xml version="1.0" encoding="utf-8"?>
<sst xmlns="http://schemas.openxmlformats.org/spreadsheetml/2006/main" count="11516" uniqueCount="2151">
  <si>
    <t>КОЛИЧЕСТВО</t>
  </si>
  <si>
    <t>КГ</t>
  </si>
  <si>
    <t>ПУНКТ НАЗНАЧЕНИЯ</t>
  </si>
  <si>
    <t>СТАТУС</t>
  </si>
  <si>
    <t>ПРОДУКТ</t>
  </si>
  <si>
    <t>ПАРТИЯ</t>
  </si>
  <si>
    <t>ДАТА ОТГРУЗКИ</t>
  </si>
  <si>
    <t>АВТОДОСТАВКА</t>
  </si>
  <si>
    <t>№ АВТО</t>
  </si>
  <si>
    <t>ЖД ДОСТАВКА</t>
  </si>
  <si>
    <t>ВОДИТЕЛЬ</t>
  </si>
  <si>
    <t>№ КОНТЕЙНЕРА</t>
  </si>
  <si>
    <t>ИТОГО ОТГРУЖЕНО</t>
  </si>
  <si>
    <t>ЧП</t>
  </si>
  <si>
    <t>т</t>
  </si>
  <si>
    <t>Итого заказов на:</t>
  </si>
  <si>
    <t>Итого отгружено:</t>
  </si>
  <si>
    <t>из них ЧП:</t>
  </si>
  <si>
    <t>НОМЕР ЗАКАЗА</t>
  </si>
  <si>
    <t>Реасолт</t>
  </si>
  <si>
    <t>Осталось отгрузить</t>
  </si>
  <si>
    <t>ТЕЛ. ВОДИТЕЛЯ</t>
  </si>
  <si>
    <t>R2D2</t>
  </si>
  <si>
    <t>Жидкий</t>
  </si>
  <si>
    <t>из них на жидкий:</t>
  </si>
  <si>
    <t>В837УУ159</t>
  </si>
  <si>
    <t xml:space="preserve">Бобыкин </t>
  </si>
  <si>
    <t>КЛСП</t>
  </si>
  <si>
    <t>М774НА159</t>
  </si>
  <si>
    <t>Костицын</t>
  </si>
  <si>
    <t>Реутов</t>
  </si>
  <si>
    <t>Рубцов</t>
  </si>
  <si>
    <t>Степанов</t>
  </si>
  <si>
    <t>К108ОО159</t>
  </si>
  <si>
    <t>Прудников</t>
  </si>
  <si>
    <t>Мясников</t>
  </si>
  <si>
    <t>Х851МО96</t>
  </si>
  <si>
    <t>Воронин </t>
  </si>
  <si>
    <t>Мезин</t>
  </si>
  <si>
    <t>Нуртдинов </t>
  </si>
  <si>
    <t>Болотов</t>
  </si>
  <si>
    <t xml:space="preserve">Пантелеев  </t>
  </si>
  <si>
    <t>Бачинин</t>
  </si>
  <si>
    <t>Корнильев</t>
  </si>
  <si>
    <t>Асташов С</t>
  </si>
  <si>
    <t>Баранов В</t>
  </si>
  <si>
    <t>Бедарев</t>
  </si>
  <si>
    <t>Иванов В</t>
  </si>
  <si>
    <t>Чайка А</t>
  </si>
  <si>
    <t>Гришкин</t>
  </si>
  <si>
    <t>Маркеев</t>
  </si>
  <si>
    <t>Рахматуллин </t>
  </si>
  <si>
    <t>Верещагин</t>
  </si>
  <si>
    <t>Бабкин</t>
  </si>
  <si>
    <t>Иванов</t>
  </si>
  <si>
    <t>Т975УК96</t>
  </si>
  <si>
    <t>Полосин</t>
  </si>
  <si>
    <t>Петров</t>
  </si>
  <si>
    <t> 89600381060</t>
  </si>
  <si>
    <t xml:space="preserve">Бахтияров Фарит </t>
  </si>
  <si>
    <t>Унукович Михаил</t>
  </si>
  <si>
    <t>Смердов</t>
  </si>
  <si>
    <t>Гришкин </t>
  </si>
  <si>
    <t>М883ТС96</t>
  </si>
  <si>
    <t>Русинов</t>
  </si>
  <si>
    <t>Буртовой</t>
  </si>
  <si>
    <t>Е885УР196</t>
  </si>
  <si>
    <t>Лашутин</t>
  </si>
  <si>
    <t>Напалков</t>
  </si>
  <si>
    <t>Е833УС 35</t>
  </si>
  <si>
    <t>Бусыгин</t>
  </si>
  <si>
    <t>Кравцов</t>
  </si>
  <si>
    <t>М773ОВ</t>
  </si>
  <si>
    <t>Маркин</t>
  </si>
  <si>
    <t xml:space="preserve">Айдаркин </t>
  </si>
  <si>
    <t>Марусов</t>
  </si>
  <si>
    <t>Суслов</t>
  </si>
  <si>
    <t>Бушмелев </t>
  </si>
  <si>
    <t>Тройников</t>
  </si>
  <si>
    <t>Крюков</t>
  </si>
  <si>
    <t>Номер авто</t>
  </si>
  <si>
    <t>ФИО водителя</t>
  </si>
  <si>
    <t>Телефон</t>
  </si>
  <si>
    <t>Р442РЕ43 </t>
  </si>
  <si>
    <t>В919МР67</t>
  </si>
  <si>
    <t>Х833ЕС116</t>
  </si>
  <si>
    <t>А404УХ716</t>
  </si>
  <si>
    <t>К458МК777</t>
  </si>
  <si>
    <t>К227АУ136</t>
  </si>
  <si>
    <t>Х644ЕС116RUS </t>
  </si>
  <si>
    <t>А763ХВ174</t>
  </si>
  <si>
    <t>3844 НР/HD120</t>
  </si>
  <si>
    <t> 89061161335</t>
  </si>
  <si>
    <t>М232ЕВ159</t>
  </si>
  <si>
    <t>С738ХВ96</t>
  </si>
  <si>
    <t>Т298ХН96</t>
  </si>
  <si>
    <t>Р863А076</t>
  </si>
  <si>
    <t>К300КХ67 </t>
  </si>
  <si>
    <t>А698ТЕ37</t>
  </si>
  <si>
    <t>Е135ТО35</t>
  </si>
  <si>
    <t>С458НМ116</t>
  </si>
  <si>
    <t>Бабушкин</t>
  </si>
  <si>
    <t>Е868ХК73</t>
  </si>
  <si>
    <t>А212МА37</t>
  </si>
  <si>
    <t> Р419МЕ152</t>
  </si>
  <si>
    <t>A448ET716</t>
  </si>
  <si>
    <t>О282КА45</t>
  </si>
  <si>
    <t> Р774ТС96</t>
  </si>
  <si>
    <t>  К800ЕК67    </t>
  </si>
  <si>
    <t> В252РР73</t>
  </si>
  <si>
    <t>АН486473</t>
  </si>
  <si>
    <t> В192МЕ196</t>
  </si>
  <si>
    <t>У745РВ43</t>
  </si>
  <si>
    <t>О518УА43</t>
  </si>
  <si>
    <t>Р900НО18</t>
  </si>
  <si>
    <t>Х064ЕС116  </t>
  </si>
  <si>
    <t>Х293ЕС116   </t>
  </si>
  <si>
    <t>Савганов</t>
  </si>
  <si>
    <t> 89122514901</t>
  </si>
  <si>
    <t>89107115070 </t>
  </si>
  <si>
    <t>89502092020  </t>
  </si>
  <si>
    <t>89965296119 </t>
  </si>
  <si>
    <t>М960ВА159</t>
  </si>
  <si>
    <t>О262ЕМ73</t>
  </si>
  <si>
    <t>Н555КМ67</t>
  </si>
  <si>
    <t>Н252ТУ31</t>
  </si>
  <si>
    <t> Р768ТР18</t>
  </si>
  <si>
    <t>АВ1548/67   </t>
  </si>
  <si>
    <t>Успехов Вячеслав  </t>
  </si>
  <si>
    <t xml:space="preserve"> Е836ХХ73</t>
  </si>
  <si>
    <t>Семенов</t>
  </si>
  <si>
    <t>BaraFLC</t>
  </si>
  <si>
    <t>Стабилайт II п/проп 25 кг</t>
  </si>
  <si>
    <t>Стабилайт II марк 25 кг</t>
  </si>
  <si>
    <t>Стабилайт II п/проп 22,7 кг</t>
  </si>
  <si>
    <t>Стабилайт II  марк 22,7 кг</t>
  </si>
  <si>
    <t>UNITROL</t>
  </si>
  <si>
    <t>MEX-ASR</t>
  </si>
  <si>
    <t>Оптитрол Порошок 20 кг</t>
  </si>
  <si>
    <t>Оптитрол (УЩР 30%)</t>
  </si>
  <si>
    <t>Оптитрол Ж (бочка обруч 50 кг)</t>
  </si>
  <si>
    <t>Оптитрол Ж (бочка 200 кг)</t>
  </si>
  <si>
    <t>Оптитрол Ж для СХТ (бочка обруч 200 кг)</t>
  </si>
  <si>
    <t>Оптитрол Ж КАЗАХ (ДТ 20%) 96 л</t>
  </si>
  <si>
    <t>Оптитрол Ж КАЗАХ (ДТ 20%) 200 л</t>
  </si>
  <si>
    <t>Оптитрол Ж КАЗАХ (пеногас 3%) 90 л</t>
  </si>
  <si>
    <t>КЛОТОНЕКС 25 кг</t>
  </si>
  <si>
    <t>BLACKTROL</t>
  </si>
  <si>
    <t>ВЕЛЛТРИТ</t>
  </si>
  <si>
    <t>ЛИКВИТРОЛ</t>
  </si>
  <si>
    <t>КЛСП без КМЦ на переработку</t>
  </si>
  <si>
    <t>31.06.2019</t>
  </si>
  <si>
    <t>АКТЫ</t>
  </si>
  <si>
    <t>ОТГРУЗКИ ПРОДУКЦИИ</t>
  </si>
  <si>
    <t>из них ИНАЯ:</t>
  </si>
  <si>
    <t>ИНАЯ</t>
  </si>
  <si>
    <t>мешков/бочек</t>
  </si>
  <si>
    <t>КЛИЕНТ</t>
  </si>
  <si>
    <t>Оптитрол Ж - 200 кг п/эт</t>
  </si>
  <si>
    <t>Оптитрол Ж - 200 кг мет</t>
  </si>
  <si>
    <t>заметки</t>
  </si>
  <si>
    <t>ТЕРРАПАН ж - 200 кг мет</t>
  </si>
  <si>
    <t>Цена со склада за 1 тонну</t>
  </si>
  <si>
    <t>Итого</t>
  </si>
  <si>
    <t>ВЕЛЛТРИТ - 950 кг еврокуб</t>
  </si>
  <si>
    <t>БурСервис</t>
  </si>
  <si>
    <t>самовывоз</t>
  </si>
  <si>
    <t>ТКШ</t>
  </si>
  <si>
    <t>СБМ</t>
  </si>
  <si>
    <t>Пыть-Ях</t>
  </si>
  <si>
    <t>Новый Уренгой</t>
  </si>
  <si>
    <t>ERIELL</t>
  </si>
  <si>
    <t>Пурпе</t>
  </si>
  <si>
    <t>BLACKTROL ж - 200 кг мет</t>
  </si>
  <si>
    <t>BLACKTROL ж - 200 кг п/эт</t>
  </si>
  <si>
    <t>MEX GL-LUBE (СС Голд) - 180 кг мет</t>
  </si>
  <si>
    <t>MEX GL-LUBE (СС Голд) - 200 кг п/эт</t>
  </si>
  <si>
    <t>ВЕЛЛТРИТ - 200 кг мет</t>
  </si>
  <si>
    <t>ВЕЛЛТРИТ - 200 кг п/эт</t>
  </si>
  <si>
    <t>EWO MUL (Экстрамул-2000) - 190 кг п/эт</t>
  </si>
  <si>
    <t>EWO WET (Веллтрит) - 200 кг п/эт</t>
  </si>
  <si>
    <t>DAF О 922 КМ 29</t>
  </si>
  <si>
    <t>Буринтех</t>
  </si>
  <si>
    <t>Спец№10</t>
  </si>
  <si>
    <t>ADAPTA II (Ликвитрол) - 25 кг канистра</t>
  </si>
  <si>
    <t>ADAPTA LE (Адванта ж) - 25 кг канистра</t>
  </si>
  <si>
    <t>CLAY GRABBER - 25 кг канистра</t>
  </si>
  <si>
    <t>Усинск</t>
  </si>
  <si>
    <t>BLACKTROL ж - 50 кг п/эт</t>
  </si>
  <si>
    <t>Оптитрол Ж - 50 кг п/эт</t>
  </si>
  <si>
    <t>СУПЕРСЛАЙДЕР СИЛЬВЕР - 200 кг п/эт</t>
  </si>
  <si>
    <t>BUR-RMOD L (Реомод ж) - 190 кг п/эт</t>
  </si>
  <si>
    <t>THINNER (Экстрамул-2000) - 180 кг мет</t>
  </si>
  <si>
    <t>ВЕЛЛТРИТ - 180 кг мет</t>
  </si>
  <si>
    <t>WET AGENT (Веллтрит) - 180 кг мет</t>
  </si>
  <si>
    <t>СБМЛУБ ПЛЮС (СС Платинум) - 180 кг мет</t>
  </si>
  <si>
    <t>EZ MUL NTR (Экстрамул-2000) - 190 кг мет</t>
  </si>
  <si>
    <t>ЛИКВИТРОЛ - 200 кг п/эт</t>
  </si>
  <si>
    <t>ЛИКВИТРОЛ - 200 кг мет</t>
  </si>
  <si>
    <t>ЭКСТРАМУЛ-2000 - 180 кг мет</t>
  </si>
  <si>
    <t>ЭКСТРАМУЛ-2000 - 190 кг п/эт</t>
  </si>
  <si>
    <t>ЭКСТРАМУЛ-2000 - 190 кг мет</t>
  </si>
  <si>
    <t>ЭКСТРАМУЛ-2000 - 900 кг еврокуб</t>
  </si>
  <si>
    <t>СУПЕРСЛАЙДЕР ГОЛД - 180 кг мет</t>
  </si>
  <si>
    <t>СУПЕРСЛАЙДЕР ГОЛД - 200 кг п/эт</t>
  </si>
  <si>
    <t>TORQ TRIM II PLUS (СС Голд) - 185 кг п/эт</t>
  </si>
  <si>
    <t>TORQ TRIM II PLUS (СС Голд) - 185 кг мет</t>
  </si>
  <si>
    <t>СБМОЙЛРЕО В (Реомод ж) - 180 кг мет</t>
  </si>
  <si>
    <t>Реагент В - 50 кг п/эт</t>
  </si>
  <si>
    <t>Реагент В - 200 кг п/эт</t>
  </si>
  <si>
    <t>EWO MUL2 - 200 кг п/эт</t>
  </si>
  <si>
    <t>ШЕЙЛ-ИКС ж - 200 кг п/эт</t>
  </si>
  <si>
    <t>АДВАНТА ж - 25 кг канистра</t>
  </si>
  <si>
    <t>ВЕЛЛБОНД - 200 кг п/эт</t>
  </si>
  <si>
    <t>СБМЛУБ ПЛЮС (СС Платинум) - 185 кг п/эт</t>
  </si>
  <si>
    <t>ПОЛИТРОЛ - 200 кг мет</t>
  </si>
  <si>
    <t>Спец№23</t>
  </si>
  <si>
    <t>EZ MUL NTR (Экстрамул-2000) - 190 кг п/эт</t>
  </si>
  <si>
    <t>010923</t>
  </si>
  <si>
    <t>Спец№70</t>
  </si>
  <si>
    <t>241023</t>
  </si>
  <si>
    <t>BLACKTROL ж - 25 кг канистра</t>
  </si>
  <si>
    <t>Оптитрол Ж - 25 кг канистра</t>
  </si>
  <si>
    <t>СУПЕРСЛАЙДЕР ПЛАТИНУМ - 25 кг канистра</t>
  </si>
  <si>
    <t>авто</t>
  </si>
  <si>
    <t>БС-43622</t>
  </si>
  <si>
    <t>БС-43490</t>
  </si>
  <si>
    <t>101123</t>
  </si>
  <si>
    <t>111123</t>
  </si>
  <si>
    <t>201123</t>
  </si>
  <si>
    <t>сборка</t>
  </si>
  <si>
    <t>221123</t>
  </si>
  <si>
    <t>221123/1</t>
  </si>
  <si>
    <t>261123</t>
  </si>
  <si>
    <t>241123</t>
  </si>
  <si>
    <t>Сборка</t>
  </si>
  <si>
    <t>251123</t>
  </si>
  <si>
    <t>8911-685-32-02</t>
  </si>
  <si>
    <t>021223</t>
  </si>
  <si>
    <t>БС-46225</t>
  </si>
  <si>
    <t>конт</t>
  </si>
  <si>
    <t>Бузулук</t>
  </si>
  <si>
    <t>021223/1</t>
  </si>
  <si>
    <t>031223/1</t>
  </si>
  <si>
    <t>041223</t>
  </si>
  <si>
    <t>051223</t>
  </si>
  <si>
    <t>061223</t>
  </si>
  <si>
    <t>071223</t>
  </si>
  <si>
    <t>081223</t>
  </si>
  <si>
    <t>091223</t>
  </si>
  <si>
    <t>101223</t>
  </si>
  <si>
    <t>111223</t>
  </si>
  <si>
    <t>121223</t>
  </si>
  <si>
    <t>131223</t>
  </si>
  <si>
    <t>141223</t>
  </si>
  <si>
    <t>151223</t>
  </si>
  <si>
    <t>161223</t>
  </si>
  <si>
    <t>171223</t>
  </si>
  <si>
    <t>181223</t>
  </si>
  <si>
    <t>211223</t>
  </si>
  <si>
    <t>221223</t>
  </si>
  <si>
    <t>231223</t>
  </si>
  <si>
    <t>241223</t>
  </si>
  <si>
    <t>251223</t>
  </si>
  <si>
    <t>Спец№21К</t>
  </si>
  <si>
    <t>Омас</t>
  </si>
  <si>
    <t>261223</t>
  </si>
  <si>
    <t>271223</t>
  </si>
  <si>
    <t>DAF М 910 РУ 29</t>
  </si>
  <si>
    <t>8-911-685-34-05</t>
  </si>
  <si>
    <t>VOLVO М 773 ОВ 29</t>
  </si>
  <si>
    <t>8-911-685-3272</t>
  </si>
  <si>
    <t>281223</t>
  </si>
  <si>
    <t>301223</t>
  </si>
  <si>
    <t xml:space="preserve">Продукция </t>
  </si>
  <si>
    <t>Стабилайт II - бум 25,0 кг</t>
  </si>
  <si>
    <t>КЛОТОНЕКС - бум 25,0 кг</t>
  </si>
  <si>
    <t>Стабилайт II - п/проп обезл 25,0 кг</t>
  </si>
  <si>
    <t>DURATONE - бум 25,0 кг</t>
  </si>
  <si>
    <t>Стабилайт II - п/проп марк 25,0 кг</t>
  </si>
  <si>
    <t>СТАБИЛАЙТ РУО - бум 25,0 кг</t>
  </si>
  <si>
    <t>Стабилайт II - п/проп обезл 22,7 кг</t>
  </si>
  <si>
    <t>СБМОЙЛБЛОК (Ст РУО) - бум 25,0 кг</t>
  </si>
  <si>
    <t>Стабилайт II - п/проп марк 22,7 кг</t>
  </si>
  <si>
    <t>VERSATROL M (Ст РУО) - бум 22,68 кг</t>
  </si>
  <si>
    <t>Сульф асф - п/проп обезл 25,0 кг</t>
  </si>
  <si>
    <t>ТЕРРАПАН - бум 25,0 кг</t>
  </si>
  <si>
    <t>Сульф асф - п/проп марк 25,0 кг</t>
  </si>
  <si>
    <t>ТЕРРАПАН - п/проп 25,0 кг</t>
  </si>
  <si>
    <t>Сульф асф - бум 25,0 кг</t>
  </si>
  <si>
    <t>POLYAC PLUS R - бум 22,68 кг</t>
  </si>
  <si>
    <t>BaraFLC - бум 22,68 кг</t>
  </si>
  <si>
    <t>Petro STAB - бум 25,0 кг</t>
  </si>
  <si>
    <t>BaraFLC(0) - бум 22,68 кг</t>
  </si>
  <si>
    <t>ПОЛИКАП - бум 25,0 кг</t>
  </si>
  <si>
    <t>Reasolt - п/проп 22,7 кг</t>
  </si>
  <si>
    <t>EZ-MUD DP (Поликап) - бум 25,0 кг</t>
  </si>
  <si>
    <t>Reasolt - бум 22,7 кг</t>
  </si>
  <si>
    <t>РЕОМОД п - бум 18,0 кг</t>
  </si>
  <si>
    <t>СУЛЬФОБИТ - бум 22,7 кг</t>
  </si>
  <si>
    <t>ТЕРМАВИС РУО - бум 20,0 кг</t>
  </si>
  <si>
    <t>СУЛЬФОБИТ - бум 25,0 кг</t>
  </si>
  <si>
    <t>EWO GEL (Термавис РУО) - бум 20,0 кг</t>
  </si>
  <si>
    <t>LG-DRILL - бум 25,0 кг</t>
  </si>
  <si>
    <t>ТАНАТИН - бум 20,0 кг</t>
  </si>
  <si>
    <t>LG-DRILL - п/проп 25,0 кг</t>
  </si>
  <si>
    <t>СБМТАН (Танатин) - бум 20,0 кг</t>
  </si>
  <si>
    <t>СБМСУЛЬФ - бум 25,0 кг</t>
  </si>
  <si>
    <t>АДВАНТА п - бум 14,0 кг</t>
  </si>
  <si>
    <t>АСФАСОЛ - бум 25,0 кг</t>
  </si>
  <si>
    <t>ШЕЙЛ-ИКС п - бум 25,0 кг</t>
  </si>
  <si>
    <t>Асфальтен SAS Bur - бум 25,0 кг</t>
  </si>
  <si>
    <t>Petro ASF - бум 25,0 кг</t>
  </si>
  <si>
    <t>Atren SL - бум 25,0 кг</t>
  </si>
  <si>
    <t>UNITROL - п/проп 25,0 кг</t>
  </si>
  <si>
    <t>MEX-ASR - п/проп 25,0 кг</t>
  </si>
  <si>
    <t>КЛСП - бум 20,0 кг</t>
  </si>
  <si>
    <t>R2D2 - бум 20,0 кг</t>
  </si>
  <si>
    <t>КЛСП РУО - бум 20,0 кг</t>
  </si>
  <si>
    <t>Оптитрол п - бум 20,0 кг</t>
  </si>
  <si>
    <t>СБМОЙЛФИЛЬТР (Ликвитрол) - 190 п/эт</t>
  </si>
  <si>
    <t>ЭКСТРАМУЛ-2000 - 190 кг (переработка)</t>
  </si>
  <si>
    <t>ЭКСТРАМУЛ ДИРЕКТ - 180 кг мет</t>
  </si>
  <si>
    <t>ЭКСТРАМУЛ ДИРЕКТ - 180 кг п/эт</t>
  </si>
  <si>
    <t>СБМЛУБ (СС Голд) - 180 кг мет</t>
  </si>
  <si>
    <t>СУПЕРСЛАЙДЕР СИЛЬВЕР - 200 кг мет</t>
  </si>
  <si>
    <t>СУПЕРСЛАЙДЕР ПЛАТИНУМ - 200 кг мет</t>
  </si>
  <si>
    <t>СУПЕРСЛАЙДЕР ПЛАТИНУМ - 200 кг п/эт</t>
  </si>
  <si>
    <t>СУПЕРСЛАЙДЕР ПЛАТИНУМ - 50 кг п/эт</t>
  </si>
  <si>
    <t>СУПЕРСЛАЙДЕР РУО - 180 п/эт</t>
  </si>
  <si>
    <t>Drilling Lube (СС РУО) - 180 кг мет</t>
  </si>
  <si>
    <t>Drilling Lube (СС РУО) - 200 кг п/эт</t>
  </si>
  <si>
    <t>РЕОМОД ж - 180 кг п/эт</t>
  </si>
  <si>
    <t>РЕОМОД ж - 200 кг п/эт</t>
  </si>
  <si>
    <t>UNIMOD (Реомод ж) - 190 кг мет</t>
  </si>
  <si>
    <t>ДЖИ-ДРИЛЛ - 200 кг мет</t>
  </si>
  <si>
    <t>КЛА-ФРИ - 200 кг мет</t>
  </si>
  <si>
    <t>МАКС-ФЛЕКС - 200 кг п/эт</t>
  </si>
  <si>
    <t>МАКС-ФЛЕКС - 200 кг мет</t>
  </si>
  <si>
    <t>ДРИЛАМИН - 200 кг мет</t>
  </si>
  <si>
    <t>ДЖИ-ДРИЛЛ - 200 кг п/эт</t>
  </si>
  <si>
    <t>КЛА-ФРИ - 200 кг п/эт</t>
  </si>
  <si>
    <t>РЕОМОД ж - 180 кг мет</t>
  </si>
  <si>
    <t>РЕОМОД ж - 200 кг мет</t>
  </si>
  <si>
    <t>TORQ TRIM 22 (СС РУО) - 185 кг мет</t>
  </si>
  <si>
    <t>БС-44520</t>
  </si>
  <si>
    <t>291223</t>
  </si>
  <si>
    <t>311223</t>
  </si>
  <si>
    <t>Спец№9</t>
  </si>
  <si>
    <t>КазПетроДриллинг</t>
  </si>
  <si>
    <t>020124</t>
  </si>
  <si>
    <t>030124</t>
  </si>
  <si>
    <t>Жанаозен</t>
  </si>
  <si>
    <t>Конт</t>
  </si>
  <si>
    <t>БС-47600</t>
  </si>
  <si>
    <t>Дмитров</t>
  </si>
  <si>
    <t>Авто</t>
  </si>
  <si>
    <t>отгружено</t>
  </si>
  <si>
    <t>RZDU0703682</t>
  </si>
  <si>
    <t>TKRU3557057</t>
  </si>
  <si>
    <t>БС-50018</t>
  </si>
  <si>
    <t>040124</t>
  </si>
  <si>
    <t>TKRU3081309</t>
  </si>
  <si>
    <t>TKRU3366678</t>
  </si>
  <si>
    <t>TKRU3036676</t>
  </si>
  <si>
    <t>050124</t>
  </si>
  <si>
    <t>060124</t>
  </si>
  <si>
    <t>070124</t>
  </si>
  <si>
    <t>080124</t>
  </si>
  <si>
    <t>TKRU3039567</t>
  </si>
  <si>
    <t>Вишняков Денис Гандвик</t>
  </si>
  <si>
    <t>Гужихин Сергей Гандвик</t>
  </si>
  <si>
    <t>Журавлёв Николай Гандвик</t>
  </si>
  <si>
    <t>ОМАС</t>
  </si>
  <si>
    <t>09/2023</t>
  </si>
  <si>
    <t>Спец№19К</t>
  </si>
  <si>
    <t>090124</t>
  </si>
  <si>
    <t>TKRU3095874</t>
  </si>
  <si>
    <t>TKRU3154067</t>
  </si>
  <si>
    <t>100124</t>
  </si>
  <si>
    <t>Спец№8</t>
  </si>
  <si>
    <t>МАД СЕРВИС</t>
  </si>
  <si>
    <t>Нижневартовск</t>
  </si>
  <si>
    <t>DAF Е 375 АМ</t>
  </si>
  <si>
    <t xml:space="preserve">8 927 090 86 60 </t>
  </si>
  <si>
    <t>Каражан Арман</t>
  </si>
  <si>
    <t>Volvo О917МХ 29</t>
  </si>
  <si>
    <t>+</t>
  </si>
  <si>
    <t>110124</t>
  </si>
  <si>
    <t>Спец№3</t>
  </si>
  <si>
    <t>СпецПетроСервис</t>
  </si>
  <si>
    <t>Самовывоз</t>
  </si>
  <si>
    <t>TKRU3072478</t>
  </si>
  <si>
    <t>TKRU3094409</t>
  </si>
  <si>
    <t>МАН Е 714 ХК 716</t>
  </si>
  <si>
    <t>8-927-776-43-01</t>
  </si>
  <si>
    <t>Ерошкин Дмитрий</t>
  </si>
  <si>
    <t>Volvo М552КК 29</t>
  </si>
  <si>
    <t>171224</t>
  </si>
  <si>
    <t>ЭКСТРАМУЛ ДИРЕКТ - 190 кг п/эт</t>
  </si>
  <si>
    <t>TORQ TRIM 22 (СС РУО) - 185 кг п/эт</t>
  </si>
  <si>
    <t>Химпром</t>
  </si>
  <si>
    <t>BJ0147-23</t>
  </si>
  <si>
    <t>Спец№7</t>
  </si>
  <si>
    <t>Петроинжиринг</t>
  </si>
  <si>
    <t>150124</t>
  </si>
  <si>
    <t>Коротчаево</t>
  </si>
  <si>
    <t>130124</t>
  </si>
  <si>
    <t>16</t>
  </si>
  <si>
    <t>120124</t>
  </si>
  <si>
    <t>БС-51046</t>
  </si>
  <si>
    <t>Спец№4</t>
  </si>
  <si>
    <t>Ситрак М709ЕН35</t>
  </si>
  <si>
    <t xml:space="preserve">Коптяев Василий </t>
  </si>
  <si>
    <t>TKRU3170010</t>
  </si>
  <si>
    <t>Любимков Алексей (Гандвик)</t>
  </si>
  <si>
    <t>Суров Сергей (Гандвик)</t>
  </si>
  <si>
    <t>Новоселов Виктор (Арсэн)</t>
  </si>
  <si>
    <t>MERCEDES-BENZ - С 094 УХ 72</t>
  </si>
  <si>
    <t>Спец№31</t>
  </si>
  <si>
    <t>RZDU0709546</t>
  </si>
  <si>
    <t>TKRU3029980</t>
  </si>
  <si>
    <t>TKRU3493100</t>
  </si>
  <si>
    <t>181023</t>
  </si>
  <si>
    <t>Самара</t>
  </si>
  <si>
    <t xml:space="preserve">Копытов Александр </t>
  </si>
  <si>
    <t>ФАВ С982ЕТ 196</t>
  </si>
  <si>
    <t>8 912 477 50 50</t>
  </si>
  <si>
    <t>TKRU3116395</t>
  </si>
  <si>
    <t>TKRU3060693</t>
  </si>
  <si>
    <t>190124</t>
  </si>
  <si>
    <t>Спец№57</t>
  </si>
  <si>
    <t>210124</t>
  </si>
  <si>
    <t>Спе№1</t>
  </si>
  <si>
    <t>200124</t>
  </si>
  <si>
    <t>Спец№137</t>
  </si>
  <si>
    <t>Акрос</t>
  </si>
  <si>
    <t>220124</t>
  </si>
  <si>
    <t>Мурманск</t>
  </si>
  <si>
    <t>Вишняков Денис</t>
  </si>
  <si>
    <t>8 911 685 34 05</t>
  </si>
  <si>
    <t>ДАФ М 910 РУ 29</t>
  </si>
  <si>
    <t>ДАФ М 910 РУ 30</t>
  </si>
  <si>
    <t>Спец№21781-04</t>
  </si>
  <si>
    <t>Спец.№17</t>
  </si>
  <si>
    <t>СтаркОйл</t>
  </si>
  <si>
    <t>230124</t>
  </si>
  <si>
    <t>ИГС №3</t>
  </si>
  <si>
    <t>ИГС №1</t>
  </si>
  <si>
    <t>ИГС №2</t>
  </si>
  <si>
    <t>Волков Алексей (Арсэн)</t>
  </si>
  <si>
    <t xml:space="preserve">Шестопалов Александр </t>
  </si>
  <si>
    <t>DAF Р 783 ОР 791</t>
  </si>
  <si>
    <t xml:space="preserve">8 996 342 77 01 </t>
  </si>
  <si>
    <t>110823</t>
  </si>
  <si>
    <t>030923</t>
  </si>
  <si>
    <t>040923</t>
  </si>
  <si>
    <t>МКО</t>
  </si>
  <si>
    <t>8 919 529-17-29</t>
  </si>
  <si>
    <t>191223</t>
  </si>
  <si>
    <t>Спец№14</t>
  </si>
  <si>
    <t>Спец№15</t>
  </si>
  <si>
    <t xml:space="preserve">Рено К210МВ 147 </t>
  </si>
  <si>
    <t>240124</t>
  </si>
  <si>
    <t>БС- 47628</t>
  </si>
  <si>
    <t>Карабула</t>
  </si>
  <si>
    <t>Спец№139</t>
  </si>
  <si>
    <t>Н.Уренгой</t>
  </si>
  <si>
    <t>ПОЛИКАП - п/проп 25,0 кг</t>
  </si>
  <si>
    <t>Спец№1</t>
  </si>
  <si>
    <t>250124</t>
  </si>
  <si>
    <t>ИГС №4</t>
  </si>
  <si>
    <t>ВОЛЬВО С931ЕМ 51</t>
  </si>
  <si>
    <t xml:space="preserve">Киреев Сергей </t>
  </si>
  <si>
    <t>8920 012-06-68</t>
  </si>
  <si>
    <t>Загадкин Алексей Рич Трак</t>
  </si>
  <si>
    <t>Вольво В 874 ТО 35</t>
  </si>
  <si>
    <t>Борисов Дмитрий</t>
  </si>
  <si>
    <t xml:space="preserve">8 953 939 90 73 </t>
  </si>
  <si>
    <t>Mercedes-Benz О 515 ОУ 29</t>
  </si>
  <si>
    <t xml:space="preserve">Белоцерковский Алексей </t>
  </si>
  <si>
    <t>Daf К 008 МА 29</t>
  </si>
  <si>
    <t>8 911 682 59 92</t>
  </si>
  <si>
    <t xml:space="preserve">Безматерных Александр </t>
  </si>
  <si>
    <t>Мясников Илья</t>
  </si>
  <si>
    <t xml:space="preserve">Вольво Х 918 ВТ 18 </t>
  </si>
  <si>
    <t>ИГС №5</t>
  </si>
  <si>
    <t>270124</t>
  </si>
  <si>
    <t>280124</t>
  </si>
  <si>
    <t>ИГС №6</t>
  </si>
  <si>
    <t>290124</t>
  </si>
  <si>
    <t>БС-51681</t>
  </si>
  <si>
    <t>Ситрак Н 791 ХК 159</t>
  </si>
  <si>
    <t>Мерседес М 936 КР 76</t>
  </si>
  <si>
    <t>Кашин Михаил</t>
  </si>
  <si>
    <t>Ситрак Н 813 УЕ 159</t>
  </si>
  <si>
    <t>Черепанов Александр</t>
  </si>
  <si>
    <t>Полицелл</t>
  </si>
  <si>
    <t>Самойлов Константин</t>
  </si>
  <si>
    <t>Мерседес</t>
  </si>
  <si>
    <t>отгружен</t>
  </si>
  <si>
    <t>TKRU3485208</t>
  </si>
  <si>
    <t>TKRU3183281</t>
  </si>
  <si>
    <t>Вольво О 618 СМ 29</t>
  </si>
  <si>
    <t>Вахтомин Иван</t>
  </si>
  <si>
    <t>280124/1</t>
  </si>
  <si>
    <t>310124</t>
  </si>
  <si>
    <t>010224</t>
  </si>
  <si>
    <t>ИГС №28</t>
  </si>
  <si>
    <t>020224</t>
  </si>
  <si>
    <t>TKRU3566491</t>
  </si>
  <si>
    <t>RZDU3023354</t>
  </si>
  <si>
    <t>TKRU3527880</t>
  </si>
  <si>
    <t>СУПЕРСЛАЙДЕР ГОЛД - 20 кг канистра</t>
  </si>
  <si>
    <t>020224/1</t>
  </si>
  <si>
    <t>030224</t>
  </si>
  <si>
    <t>040224</t>
  </si>
  <si>
    <t>Спец№24</t>
  </si>
  <si>
    <t>050224</t>
  </si>
  <si>
    <t xml:space="preserve">Михайлов Владимир </t>
  </si>
  <si>
    <t>Спец№25</t>
  </si>
  <si>
    <t xml:space="preserve">MAN TGX  90687CBA   </t>
  </si>
  <si>
    <t>+998 99 959 22 15</t>
  </si>
  <si>
    <t>Kodirov Kodirjon Maksud Ugli</t>
  </si>
  <si>
    <t>Спец№23К</t>
  </si>
  <si>
    <t>09-2023</t>
  </si>
  <si>
    <t>Голосков Алексей (Рич Трак)</t>
  </si>
  <si>
    <t>DAF Р 575 МС 45</t>
  </si>
  <si>
    <t>Спец№5</t>
  </si>
  <si>
    <t>СПС</t>
  </si>
  <si>
    <t>080224</t>
  </si>
  <si>
    <t>060224</t>
  </si>
  <si>
    <t>Спец№6</t>
  </si>
  <si>
    <t>ТМГ</t>
  </si>
  <si>
    <t>Daf М 547 НЕ 29</t>
  </si>
  <si>
    <t>Грязов Руслан (НПС)</t>
  </si>
  <si>
    <t>Павлов Руслан</t>
  </si>
  <si>
    <t>Газель Н 652 ВХ 136</t>
  </si>
  <si>
    <t>TKRU3051963</t>
  </si>
  <si>
    <t>TKRU3182834</t>
  </si>
  <si>
    <t>Химнефтесервис</t>
  </si>
  <si>
    <t>Актау</t>
  </si>
  <si>
    <t>TKRU3181273</t>
  </si>
  <si>
    <t>TKRU3087858</t>
  </si>
  <si>
    <t xml:space="preserve">89963427701/87772313238 </t>
  </si>
  <si>
    <t>DAF Р 783 ОР 790</t>
  </si>
  <si>
    <t>090224</t>
  </si>
  <si>
    <t>Спец№22К</t>
  </si>
  <si>
    <t>Феклин Николай</t>
  </si>
  <si>
    <t>JAC С 029 ХМ 73</t>
  </si>
  <si>
    <t>8-937-453-10-77</t>
  </si>
  <si>
    <t>100224</t>
  </si>
  <si>
    <t>110224</t>
  </si>
  <si>
    <t>в/у 9925 836239</t>
  </si>
  <si>
    <t>070224</t>
  </si>
  <si>
    <t>120224</t>
  </si>
  <si>
    <t xml:space="preserve">Гужихин Сергей </t>
  </si>
  <si>
    <t>Volvo М773ОВ 29</t>
  </si>
  <si>
    <t xml:space="preserve">Бобанев Юрий </t>
  </si>
  <si>
    <t>МЕРСЕДЕС</t>
  </si>
  <si>
    <t>БС-30377</t>
  </si>
  <si>
    <t>RZDU0724176/0709145</t>
  </si>
  <si>
    <t>Спец№2</t>
  </si>
  <si>
    <t>Усть-Кут</t>
  </si>
  <si>
    <t>130224</t>
  </si>
  <si>
    <t>ИГС №37</t>
  </si>
  <si>
    <t>Вахтомин Иван (Бакин)</t>
  </si>
  <si>
    <t>Volvo О 856 УЕ 29</t>
  </si>
  <si>
    <t>Ситрак С 495 МУ 196</t>
  </si>
  <si>
    <t>Бушков Александр</t>
  </si>
  <si>
    <t>Volvo Т 681 МР 67</t>
  </si>
  <si>
    <t>89811049534/87478866036</t>
  </si>
  <si>
    <t>TKRU3100353</t>
  </si>
  <si>
    <t>TKRU3513207</t>
  </si>
  <si>
    <t>БС- 51177</t>
  </si>
  <si>
    <t>140224</t>
  </si>
  <si>
    <t>150224</t>
  </si>
  <si>
    <t>Журавлев (Гандвик)</t>
  </si>
  <si>
    <t>Любимков (Гандвик)</t>
  </si>
  <si>
    <t>DAF М910РУ 29</t>
  </si>
  <si>
    <t>DAF М910РУ 30</t>
  </si>
  <si>
    <t>DAF М910РУ 31</t>
  </si>
  <si>
    <t>Вишняков (Гандвик)</t>
  </si>
  <si>
    <t>DAF О 922 КМ</t>
  </si>
  <si>
    <t>Volvo О 917 МХ</t>
  </si>
  <si>
    <t>ПОЛИТРОЛ - 200 кг п/эт</t>
  </si>
  <si>
    <t>КССБ-2М - п/проп 25,0 кг</t>
  </si>
  <si>
    <t xml:space="preserve">ИГС </t>
  </si>
  <si>
    <t>конт№1</t>
  </si>
  <si>
    <t>конт№2</t>
  </si>
  <si>
    <t>конт№3</t>
  </si>
  <si>
    <t>конт№4</t>
  </si>
  <si>
    <t>конт№5</t>
  </si>
  <si>
    <t>конт№6</t>
  </si>
  <si>
    <t>ИГС №06</t>
  </si>
  <si>
    <t>БС-55096</t>
  </si>
  <si>
    <t>160224</t>
  </si>
  <si>
    <t>конт№7</t>
  </si>
  <si>
    <t>Сульфит натрия - п/проп 25,0 кг</t>
  </si>
  <si>
    <t>Счёт 58</t>
  </si>
  <si>
    <t>Никель</t>
  </si>
  <si>
    <t>Санкт-Петербург</t>
  </si>
  <si>
    <t>Деловые Линии</t>
  </si>
  <si>
    <t>заказ К42200125</t>
  </si>
  <si>
    <t>конт№8</t>
  </si>
  <si>
    <t>конт№9</t>
  </si>
  <si>
    <t>170224</t>
  </si>
  <si>
    <t>180224</t>
  </si>
  <si>
    <t>ИГС №38</t>
  </si>
  <si>
    <t>140124</t>
  </si>
  <si>
    <t>ДАФ  К 383 КО 35/МАН К 940 РВ 35</t>
  </si>
  <si>
    <t>Залевский-Веселков</t>
  </si>
  <si>
    <t>Манкор</t>
  </si>
  <si>
    <t>Вольво К 817 СА 29</t>
  </si>
  <si>
    <t>Одерия Геннадий</t>
  </si>
  <si>
    <t xml:space="preserve">Сальников Андрей </t>
  </si>
  <si>
    <t xml:space="preserve">8 920 632 65 77 </t>
  </si>
  <si>
    <t xml:space="preserve">DAF У 594 ВА 790  </t>
  </si>
  <si>
    <t>Жевлаков Андрей</t>
  </si>
  <si>
    <t>Volvo Х 125 УМ 174</t>
  </si>
  <si>
    <t>конт№10</t>
  </si>
  <si>
    <t>СБМОЙЛРЕО В (Реомод ж) - 180 кг п/эт</t>
  </si>
  <si>
    <t>С Усть-Кута БС-30377</t>
  </si>
  <si>
    <t>TKRU3526523/3478908</t>
  </si>
  <si>
    <t>Дегтярев Андрей</t>
  </si>
  <si>
    <t>Mersedes О 119 КУ 790</t>
  </si>
  <si>
    <t>79608340879/77476119403</t>
  </si>
  <si>
    <t>190224</t>
  </si>
  <si>
    <t>Спец№27К</t>
  </si>
  <si>
    <t>11/2023</t>
  </si>
  <si>
    <t>Спец№26К</t>
  </si>
  <si>
    <t>Mersedes О 421 ВН 29</t>
  </si>
  <si>
    <t>Забурдаев Александр</t>
  </si>
  <si>
    <t>авто Ариал Транс</t>
  </si>
  <si>
    <t>авто Бакин ИП</t>
  </si>
  <si>
    <t>Вольво С 931 ЕМ 51</t>
  </si>
  <si>
    <t>Киреев Сергей</t>
  </si>
  <si>
    <t>авто Рич Трак</t>
  </si>
  <si>
    <t xml:space="preserve">Зуев Николай </t>
  </si>
  <si>
    <t>Скания  Р 784 ОО 750</t>
  </si>
  <si>
    <t>авто (ГК Урал)</t>
  </si>
  <si>
    <t>200224</t>
  </si>
  <si>
    <t>Копрянцев Олег</t>
  </si>
  <si>
    <t xml:space="preserve">DAF C 567 РХ 58 </t>
  </si>
  <si>
    <t>конт№11</t>
  </si>
  <si>
    <t>ИГС со склада</t>
  </si>
  <si>
    <t>конт№12</t>
  </si>
  <si>
    <t>210224</t>
  </si>
  <si>
    <t>Спец№140</t>
  </si>
  <si>
    <t>220224</t>
  </si>
  <si>
    <t>ЭКСТРАМУЛ СУПРИМ - 180 кг мет</t>
  </si>
  <si>
    <t>авто ГК Урал</t>
  </si>
  <si>
    <t>авто Гандвик</t>
  </si>
  <si>
    <t>авто Арсэн</t>
  </si>
  <si>
    <t>240224</t>
  </si>
  <si>
    <t>Волгоград</t>
  </si>
  <si>
    <t>Спец№18</t>
  </si>
  <si>
    <t>Инко-Сервис</t>
  </si>
  <si>
    <t>Алмазгеобур</t>
  </si>
  <si>
    <t>0056430124</t>
  </si>
  <si>
    <t>250224</t>
  </si>
  <si>
    <t>130723</t>
  </si>
  <si>
    <t xml:space="preserve">Бабанов Алексей 
Бабанов Алексей Анатольевич
Бабанов Алексей Анатольевич
Бабанов Алексей Анатольевич
</t>
  </si>
  <si>
    <t>Форд М 222 ОР 69</t>
  </si>
  <si>
    <t xml:space="preserve"> Бобылев Александр</t>
  </si>
  <si>
    <t>ДАФ К 743 ТК 35</t>
  </si>
  <si>
    <t>Путятин Сергей</t>
  </si>
  <si>
    <t>TKRU3375242</t>
  </si>
  <si>
    <t>FAW 0 797 РА 29</t>
  </si>
  <si>
    <t>Заказ 44174</t>
  </si>
  <si>
    <t xml:space="preserve">7 (912) 575-48-67 </t>
  </si>
  <si>
    <t>Анфалов Сергей</t>
  </si>
  <si>
    <t xml:space="preserve">DAF В 426 МХ 45 </t>
  </si>
  <si>
    <t xml:space="preserve">MAN Н294МВ 159 </t>
  </si>
  <si>
    <t xml:space="preserve">7 (912) 488-39-80 </t>
  </si>
  <si>
    <t>Конов Вадим</t>
  </si>
  <si>
    <t>ИГС №55</t>
  </si>
  <si>
    <t>260224</t>
  </si>
  <si>
    <t>ИГС №54</t>
  </si>
  <si>
    <t>280224</t>
  </si>
  <si>
    <t>БС-55154</t>
  </si>
  <si>
    <t>Нягань</t>
  </si>
  <si>
    <t>ИГС №52</t>
  </si>
  <si>
    <t>конт№ 1 Пелятка</t>
  </si>
  <si>
    <t>конт№ 2 Пелятка</t>
  </si>
  <si>
    <t>конт№ 3 Пелятка</t>
  </si>
  <si>
    <t>конт№ 4 Пелятка</t>
  </si>
  <si>
    <t>конт№ 5 Пелятка</t>
  </si>
  <si>
    <t>конт№ 6 Пелятка</t>
  </si>
  <si>
    <t>конт№ 7 Пелятка</t>
  </si>
  <si>
    <t>конт№ 8 Пелятка</t>
  </si>
  <si>
    <t>конт№ 9 Пелятка</t>
  </si>
  <si>
    <t>ИГС №4/50</t>
  </si>
  <si>
    <t>290224</t>
  </si>
  <si>
    <t>ИГС №51</t>
  </si>
  <si>
    <t>010324</t>
  </si>
  <si>
    <t>конт№ 10 Пелятка</t>
  </si>
  <si>
    <t xml:space="preserve">Агафонов Илья </t>
  </si>
  <si>
    <t>8-953-261-14-61</t>
  </si>
  <si>
    <t>МАН М 517 ОА 29</t>
  </si>
  <si>
    <t>TKRU3094116</t>
  </si>
  <si>
    <t>TKRU3205122</t>
  </si>
  <si>
    <t>TKRU3087462</t>
  </si>
  <si>
    <t>TKRU3079549</t>
  </si>
  <si>
    <t>RZDU3029624</t>
  </si>
  <si>
    <t>TKRU3006964</t>
  </si>
  <si>
    <t>020324</t>
  </si>
  <si>
    <t>ZIMU 1185612</t>
  </si>
  <si>
    <t>ZIMU 1056153</t>
  </si>
  <si>
    <t>Платформа 4246097220</t>
  </si>
  <si>
    <t>Платформа 4244026320</t>
  </si>
  <si>
    <t>Платформа 4374977920</t>
  </si>
  <si>
    <t>Платформа 4246091520</t>
  </si>
  <si>
    <t>Платформа 4246122820</t>
  </si>
  <si>
    <t>Платформа 4244050320</t>
  </si>
  <si>
    <t>CBHU 5882752</t>
  </si>
  <si>
    <t>PONU 0155590</t>
  </si>
  <si>
    <t>NIDU 2224356</t>
  </si>
  <si>
    <t>FCIU 3068935</t>
  </si>
  <si>
    <t>CBHU 5968080</t>
  </si>
  <si>
    <t>MOAU 0738862</t>
  </si>
  <si>
    <t>PONU 0474920</t>
  </si>
  <si>
    <t>FCIU 2209047</t>
  </si>
  <si>
    <t>SUDU 3918806</t>
  </si>
  <si>
    <t>Платформа 4422638920</t>
  </si>
  <si>
    <t>CAXU 6221656</t>
  </si>
  <si>
    <t>KKTU 7473482</t>
  </si>
  <si>
    <t>Платформа 4245323320</t>
  </si>
  <si>
    <t>PONU 0214950</t>
  </si>
  <si>
    <t>ZIMU 1185417</t>
  </si>
  <si>
    <t>Десятовский Илья</t>
  </si>
  <si>
    <t>Volvo О 465 УС 29</t>
  </si>
  <si>
    <t>7 (921)243-92–18</t>
  </si>
  <si>
    <t>ИГС №50</t>
  </si>
  <si>
    <t>020324/1</t>
  </si>
  <si>
    <t>030324</t>
  </si>
  <si>
    <t>Доставлено</t>
  </si>
  <si>
    <t>Голосков Алексей</t>
  </si>
  <si>
    <t>8 908 002-65-90</t>
  </si>
  <si>
    <t>ИГС №53</t>
  </si>
  <si>
    <t>040324</t>
  </si>
  <si>
    <t>авто (Бакин)</t>
  </si>
  <si>
    <t>Спец№24К</t>
  </si>
  <si>
    <t>Новоселов Виктор</t>
  </si>
  <si>
    <t>MERCEDES С 094 УХ 72</t>
  </si>
  <si>
    <t>7 (912) 995 - 38 - 89</t>
  </si>
  <si>
    <t>Белоцерковский Алексей</t>
  </si>
  <si>
    <t>PCIU 3165690</t>
  </si>
  <si>
    <t>авто (Арсэн)</t>
  </si>
  <si>
    <t>авто Делые линии</t>
  </si>
  <si>
    <t>Парм-Гинс</t>
  </si>
  <si>
    <t>Спец№25К</t>
  </si>
  <si>
    <t>080324</t>
  </si>
  <si>
    <t>Шмаков Николай</t>
  </si>
  <si>
    <t>Scania О 877 ВР 159</t>
  </si>
  <si>
    <t>Спец№16</t>
  </si>
  <si>
    <t>Бердников Дмитрий</t>
  </si>
  <si>
    <t>Жилин Андрей</t>
  </si>
  <si>
    <t>DAF О 841 ВК 29</t>
  </si>
  <si>
    <t xml:space="preserve">89600154401/89965025851 </t>
  </si>
  <si>
    <t>РЕОМОД ж - 190 кг п/эт</t>
  </si>
  <si>
    <t>Лубов Николай</t>
  </si>
  <si>
    <t>Болтушкин Александр</t>
  </si>
  <si>
    <t>VOLVO С 337 ХР 196</t>
  </si>
  <si>
    <t>VOLVO М 998 АУ 196</t>
  </si>
  <si>
    <t>VOLVO Т 954 ВВ 790</t>
  </si>
  <si>
    <t>8 (920) 627-81-26</t>
  </si>
  <si>
    <t>VOLVO О 951 РК 72</t>
  </si>
  <si>
    <t>89224888474/89966862434</t>
  </si>
  <si>
    <t>Добрыдин Станислав</t>
  </si>
  <si>
    <t>авто (Гандвик)</t>
  </si>
  <si>
    <t xml:space="preserve"> VOLVO М 441 ВК 96</t>
  </si>
  <si>
    <t>8-999-540-28-89</t>
  </si>
  <si>
    <t>Краснощеков Сергей</t>
  </si>
  <si>
    <t>Спец№11</t>
  </si>
  <si>
    <t>Технологии ОФС</t>
  </si>
  <si>
    <t xml:space="preserve">МАН М 514 НВ 29 </t>
  </si>
  <si>
    <t>8-902-198-45-02</t>
  </si>
  <si>
    <t xml:space="preserve">Бутвин Николай </t>
  </si>
  <si>
    <t>авто (Ариал)</t>
  </si>
  <si>
    <t>FAW О 797 РА 29</t>
  </si>
  <si>
    <t>8-911-570-85-58</t>
  </si>
  <si>
    <t xml:space="preserve">Путятин Сергей </t>
  </si>
  <si>
    <t>9826911157
89826911157</t>
  </si>
  <si>
    <t>090324</t>
  </si>
  <si>
    <t>100324</t>
  </si>
  <si>
    <t>110324</t>
  </si>
  <si>
    <t>Спец№28К</t>
  </si>
  <si>
    <t>ТКШ (ГК Урал)</t>
  </si>
  <si>
    <t>Фролово</t>
  </si>
  <si>
    <t>Деловые Линии №00250013583 от 11.03.2024</t>
  </si>
  <si>
    <t xml:space="preserve">авто </t>
  </si>
  <si>
    <t>конт№15 Тамбей</t>
  </si>
  <si>
    <t>конт№13 Тамбей</t>
  </si>
  <si>
    <t>конт№14 Тамбей</t>
  </si>
  <si>
    <t>MSKU 2917139</t>
  </si>
  <si>
    <t>CTXU 3152400</t>
  </si>
  <si>
    <t>ZIMU 1163093</t>
  </si>
  <si>
    <t>KKTU 7510204</t>
  </si>
  <si>
    <t>TEMU 2628331</t>
  </si>
  <si>
    <t>FCIU 2730292</t>
  </si>
  <si>
    <t>MSKU 2214007</t>
  </si>
  <si>
    <t>GLDU 5116144</t>
  </si>
  <si>
    <t>FCIU 3271433</t>
  </si>
  <si>
    <t>TCKU 1527759</t>
  </si>
  <si>
    <t>конт№16 Тамбей</t>
  </si>
  <si>
    <t>конт№17 Тамбей</t>
  </si>
  <si>
    <t>GESU 3674222</t>
  </si>
  <si>
    <t>CBHU 3997140</t>
  </si>
  <si>
    <t>конт№18 Тамбей</t>
  </si>
  <si>
    <t>140124/1</t>
  </si>
  <si>
    <t>конт№19 Тамбей</t>
  </si>
  <si>
    <t>ZIMU 1005705</t>
  </si>
  <si>
    <t>конт№20 Тамбей</t>
  </si>
  <si>
    <t>FCIU 2598118</t>
  </si>
  <si>
    <t>060324</t>
  </si>
  <si>
    <t>050324</t>
  </si>
  <si>
    <t>Погрузка на платформу 09.03.2024</t>
  </si>
  <si>
    <t xml:space="preserve">Омас </t>
  </si>
  <si>
    <t>120324</t>
  </si>
  <si>
    <t>Спец№19</t>
  </si>
  <si>
    <t>Спец№28</t>
  </si>
  <si>
    <t>Энергоресурс</t>
  </si>
  <si>
    <t>159</t>
  </si>
  <si>
    <t>Смирнов Сергей</t>
  </si>
  <si>
    <t>Scania М 274 СХ 69</t>
  </si>
  <si>
    <t>Scania О 070 КР 159</t>
  </si>
  <si>
    <t>Scania О 070 КР 158</t>
  </si>
  <si>
    <t>Шайдулин Камиль</t>
  </si>
  <si>
    <t xml:space="preserve">DAF XF О 033 ТС 159 </t>
  </si>
  <si>
    <t>8 911 685-34-05</t>
  </si>
  <si>
    <t>VOLVO О 856 УЕ 29</t>
  </si>
  <si>
    <t>авто (Рич Трак)</t>
  </si>
  <si>
    <t>8 912 575-48-67</t>
  </si>
  <si>
    <t>DAF В 426 МХ 45</t>
  </si>
  <si>
    <t>авто (Альянс)</t>
  </si>
  <si>
    <t>150324</t>
  </si>
  <si>
    <t>Презент</t>
  </si>
  <si>
    <t>160324</t>
  </si>
  <si>
    <t>170324</t>
  </si>
  <si>
    <t>Тихонов Андрей/Балуев Георгий</t>
  </si>
  <si>
    <t>89223455528/89082682581</t>
  </si>
  <si>
    <t>ТрансКонтейнер</t>
  </si>
  <si>
    <t>кнт</t>
  </si>
  <si>
    <t>8 (960) 015 - 44 - 01</t>
  </si>
  <si>
    <t>7 (996) 502 - 58 - 51</t>
  </si>
  <si>
    <t>Петров Константин</t>
  </si>
  <si>
    <t>Scania  О 836 ВР 159</t>
  </si>
  <si>
    <t>FAW 90V698QA</t>
  </si>
  <si>
    <t>FAW 90Y160PA</t>
  </si>
  <si>
    <t>Мадаминов Мадрахим Алишер угли</t>
  </si>
  <si>
    <t>Абдуллаев Алишер Камилжанович</t>
  </si>
  <si>
    <t>Спец№12</t>
  </si>
  <si>
    <t>конт№21 Тамбей</t>
  </si>
  <si>
    <t>MSKU 2954174</t>
  </si>
  <si>
    <t>конт№22 Тамбей</t>
  </si>
  <si>
    <t>PONU 0488924</t>
  </si>
  <si>
    <t>конт№23 Тамбей</t>
  </si>
  <si>
    <t>ZIMU 1192273</t>
  </si>
  <si>
    <t>конт№24 Тамбей</t>
  </si>
  <si>
    <t>FCIU 3187092</t>
  </si>
  <si>
    <t>190324</t>
  </si>
  <si>
    <t>180324</t>
  </si>
  <si>
    <t>Шубенкин Владимир</t>
  </si>
  <si>
    <t>DonFeng Р 961 ВС 159</t>
  </si>
  <si>
    <t>Камаз О 935 НР 46</t>
  </si>
  <si>
    <t>Емельянов Александр</t>
  </si>
  <si>
    <t xml:space="preserve"> 8 903 027 30 93</t>
  </si>
  <si>
    <t>МАЗ рег.ном.: У292ОС 96</t>
  </si>
  <si>
    <t xml:space="preserve">авто (ГК Урал) </t>
  </si>
  <si>
    <t>Толкачев Анатолий</t>
  </si>
  <si>
    <t>TKRU 3211336</t>
  </si>
  <si>
    <t>TKRU 3547845</t>
  </si>
  <si>
    <t>авто (Рич трак)</t>
  </si>
  <si>
    <t xml:space="preserve">Голосков Алексей </t>
  </si>
  <si>
    <t>200324</t>
  </si>
  <si>
    <t>ИГС №45</t>
  </si>
  <si>
    <t>200324/1</t>
  </si>
  <si>
    <t>конт№ 11 Пелятка</t>
  </si>
  <si>
    <t>MOAU 0777350</t>
  </si>
  <si>
    <t>конт№25 Тамбей</t>
  </si>
  <si>
    <t>MSKU 2943077</t>
  </si>
  <si>
    <t>конт№26 Тамбей</t>
  </si>
  <si>
    <t>ZIMU 1028573</t>
  </si>
  <si>
    <t>конт№ 12 Пелятка</t>
  </si>
  <si>
    <t>CRXU 3412268</t>
  </si>
  <si>
    <t>210324</t>
  </si>
  <si>
    <t>ЭКСТРАМУЛ СУПРИМ - 190 кг мет</t>
  </si>
  <si>
    <t>2000-200324</t>
  </si>
  <si>
    <t xml:space="preserve"> РЕНО Е 103 ХА 134</t>
  </si>
  <si>
    <t>Абраменко Валерий</t>
  </si>
  <si>
    <t xml:space="preserve">89608340879/87476119403  </t>
  </si>
  <si>
    <t xml:space="preserve">Mersedes О 119 КУ 790      </t>
  </si>
  <si>
    <t>Спец№29К</t>
  </si>
  <si>
    <t>220324</t>
  </si>
  <si>
    <t>251123 Парт. Заказчика</t>
  </si>
  <si>
    <t>270324</t>
  </si>
  <si>
    <t>OPTIBUR (Оптитрол ж) - 200 п/эт</t>
  </si>
  <si>
    <t>240324</t>
  </si>
  <si>
    <t>230324</t>
  </si>
  <si>
    <t>260324</t>
  </si>
  <si>
    <t>Шукаев Михаил</t>
  </si>
  <si>
    <t>8 912 979-31-83</t>
  </si>
  <si>
    <t>DAF У 377 МХ 45</t>
  </si>
  <si>
    <t>250324</t>
  </si>
  <si>
    <t>МАЗ С 334 ЕУ 96</t>
  </si>
  <si>
    <t>Шимолин Олег</t>
  </si>
  <si>
    <t>Шимолин Николай</t>
  </si>
  <si>
    <t>МАЗ С 039 ЕУ 96</t>
  </si>
  <si>
    <t>HONGYAN К 894 ТВ 134</t>
  </si>
  <si>
    <t>Никитин Роман</t>
  </si>
  <si>
    <t>MAN 80176NBA</t>
  </si>
  <si>
    <t>Раджабов Кодир Рахматович</t>
  </si>
  <si>
    <t>280324</t>
  </si>
  <si>
    <t>DAF 105 У 594 ВА 790</t>
  </si>
  <si>
    <t>89053041306/87767542964</t>
  </si>
  <si>
    <t>Кулаков Сергей</t>
  </si>
  <si>
    <t>Foton C 983 АУ 716</t>
  </si>
  <si>
    <t>Нурутдинов Рафик</t>
  </si>
  <si>
    <t>Блинов Александр</t>
  </si>
  <si>
    <t>DAF М 791 УВ 29</t>
  </si>
  <si>
    <t>DAF М 791 УВ 30</t>
  </si>
  <si>
    <t>Ивеко Р 810 КК 159</t>
  </si>
  <si>
    <t>Ивеко Р 810 КК 160</t>
  </si>
  <si>
    <t>Ивеко Р 810 КК 161</t>
  </si>
  <si>
    <t>Миненко Павел</t>
  </si>
  <si>
    <t>Дата погрузки на платформу</t>
  </si>
  <si>
    <t>авто (Самовывоз)</t>
  </si>
  <si>
    <t>011123</t>
  </si>
  <si>
    <t>БС- 59607</t>
  </si>
  <si>
    <t>310324</t>
  </si>
  <si>
    <t>Десятков Павел</t>
  </si>
  <si>
    <t>Вольво К 816 АН 196</t>
  </si>
  <si>
    <t>Портнов Дмитрий</t>
  </si>
  <si>
    <t>DAF У 690 РК 790</t>
  </si>
  <si>
    <t>89273817812/87773777323</t>
  </si>
  <si>
    <t>89270908660/87779998937</t>
  </si>
  <si>
    <t>DAF Е 375 АМ 198</t>
  </si>
  <si>
    <t>020424</t>
  </si>
  <si>
    <t>Спец№17</t>
  </si>
  <si>
    <t>290324</t>
  </si>
  <si>
    <t>авто (Дел. линии)</t>
  </si>
  <si>
    <t>ТН 232 от 26.03.24</t>
  </si>
  <si>
    <t>Уфимский НТЦ</t>
  </si>
  <si>
    <t>б/п</t>
  </si>
  <si>
    <t>Деловые Линии №00250017971 от 26.03.2024</t>
  </si>
  <si>
    <t>контейнер</t>
  </si>
  <si>
    <t>TKRU3345021</t>
  </si>
  <si>
    <t>030424</t>
  </si>
  <si>
    <t>Кузнецов Сергей</t>
  </si>
  <si>
    <t>Вольво О 725 АЕ 44</t>
  </si>
  <si>
    <t>ТК 89109543051</t>
  </si>
  <si>
    <t>СпецMRS301169A</t>
  </si>
  <si>
    <t>Холмск Сахалин</t>
  </si>
  <si>
    <t>Volvo М 441 ВК 96</t>
  </si>
  <si>
    <t>050424</t>
  </si>
  <si>
    <t>040424</t>
  </si>
  <si>
    <t>Спец№141</t>
  </si>
  <si>
    <t>060424</t>
  </si>
  <si>
    <t xml:space="preserve"> Камаз К 369 СН 35</t>
  </si>
  <si>
    <t>Шубин Николай</t>
  </si>
  <si>
    <t>БС-57359</t>
  </si>
  <si>
    <t>090424</t>
  </si>
  <si>
    <t>САМОВЫВОЗ</t>
  </si>
  <si>
    <t>БС-61145</t>
  </si>
  <si>
    <t>Спец№32К</t>
  </si>
  <si>
    <t>Любимков Алексей</t>
  </si>
  <si>
    <t>8 (911) 567-52-25</t>
  </si>
  <si>
    <t>VOLVO О 917 МХ 29</t>
  </si>
  <si>
    <t>БС-57356</t>
  </si>
  <si>
    <t>TKRU3237921</t>
  </si>
  <si>
    <t>Спец №4</t>
  </si>
  <si>
    <t>BioEnergy</t>
  </si>
  <si>
    <t>010424</t>
  </si>
  <si>
    <t>DAF Р167МС 178</t>
  </si>
  <si>
    <t>8921 493 97 04</t>
  </si>
  <si>
    <t>Соснин Иван</t>
  </si>
  <si>
    <t>110424</t>
  </si>
  <si>
    <t>080424</t>
  </si>
  <si>
    <t>120424</t>
  </si>
  <si>
    <t>130424</t>
  </si>
  <si>
    <t>140424</t>
  </si>
  <si>
    <t>Спец№30К</t>
  </si>
  <si>
    <t>Уфа</t>
  </si>
  <si>
    <t>Dongfeng М 058 ТК 702</t>
  </si>
  <si>
    <t>8 965 655-13-12</t>
  </si>
  <si>
    <t>Мустафин Руслан</t>
  </si>
  <si>
    <t>Спец№31К</t>
  </si>
  <si>
    <t xml:space="preserve">9 953 939 90 73 </t>
  </si>
  <si>
    <t>Mercedes О 515 ОУ 29/ п/п АК6351 29</t>
  </si>
  <si>
    <t>Дегтярев Евгений</t>
  </si>
  <si>
    <t>8 908-002-65-90</t>
  </si>
  <si>
    <t>Скания Р 009 КТ 56</t>
  </si>
  <si>
    <t>Вольво О 856 УЕ 29</t>
  </si>
  <si>
    <t>АДВАНТА ж - 200 кг п/эт</t>
  </si>
  <si>
    <t>150424</t>
  </si>
  <si>
    <t xml:space="preserve">FAW О 884РС 29 </t>
  </si>
  <si>
    <t>Спец№33К</t>
  </si>
  <si>
    <t>SCANIA Е 912 УУ 702</t>
  </si>
  <si>
    <t>Паюршин Вячеслав</t>
  </si>
  <si>
    <t>Счет-оферта №151 от 09.04.24</t>
  </si>
  <si>
    <t>БТМ</t>
  </si>
  <si>
    <t>200923</t>
  </si>
  <si>
    <t>Альметьевск</t>
  </si>
  <si>
    <t>180424</t>
  </si>
  <si>
    <t>160424</t>
  </si>
  <si>
    <t>Осокин Дмитрий</t>
  </si>
  <si>
    <t>SCANIA М870КУ 198</t>
  </si>
  <si>
    <t>Щербина Николай</t>
  </si>
  <si>
    <t xml:space="preserve">SHACMAN М 224 УН 126 </t>
  </si>
  <si>
    <t>авто (ТТТ)</t>
  </si>
  <si>
    <t>Счет №143</t>
  </si>
  <si>
    <t>Одуванчик</t>
  </si>
  <si>
    <t>RZDU3011461</t>
  </si>
  <si>
    <t>RZDU0715718</t>
  </si>
  <si>
    <t>RZDU0603261</t>
  </si>
  <si>
    <t>RZDU0627432</t>
  </si>
  <si>
    <t>авто Клото</t>
  </si>
  <si>
    <t>NOVATEC F (АДВАНТА ж) - 200 кг п/эт</t>
  </si>
  <si>
    <t>XRFO00216A</t>
  </si>
  <si>
    <t>Маймакса</t>
  </si>
  <si>
    <t>190424</t>
  </si>
  <si>
    <t>170424</t>
  </si>
  <si>
    <t>DAF В538КК 178</t>
  </si>
  <si>
    <t>Павлов Евгений</t>
  </si>
  <si>
    <t>Shacman Р542СН 198</t>
  </si>
  <si>
    <t>8921 679 05 75</t>
  </si>
  <si>
    <t>Палица Александр</t>
  </si>
  <si>
    <t>SHACMAN М 251 УН 126</t>
  </si>
  <si>
    <t>Рубачев Петр</t>
  </si>
  <si>
    <t>Иванов Александр</t>
  </si>
  <si>
    <t>Ивеко А862ХЕ702</t>
  </si>
  <si>
    <t xml:space="preserve">Бушков Александр </t>
  </si>
  <si>
    <t xml:space="preserve">Volvo Т 681 МР 67  </t>
  </si>
  <si>
    <t xml:space="preserve">89811049534/87478866036 </t>
  </si>
  <si>
    <t>300324</t>
  </si>
  <si>
    <t>310324/1</t>
  </si>
  <si>
    <t>220424</t>
  </si>
  <si>
    <t>БС-62498</t>
  </si>
  <si>
    <t>210424</t>
  </si>
  <si>
    <t>Спец№26</t>
  </si>
  <si>
    <t>БС-61958</t>
  </si>
  <si>
    <t>240424</t>
  </si>
  <si>
    <t>BaraFLC - бум 25,0 кг</t>
  </si>
  <si>
    <t>Спец№29</t>
  </si>
  <si>
    <t>авто (самовывоз)</t>
  </si>
  <si>
    <t xml:space="preserve">SITRAK P982KB159   </t>
  </si>
  <si>
    <t xml:space="preserve">Голдобин Сергей </t>
  </si>
  <si>
    <t>Журавлёв Николай</t>
  </si>
  <si>
    <t>DAF О922КМ 29</t>
  </si>
  <si>
    <t>250424</t>
  </si>
  <si>
    <t>290424</t>
  </si>
  <si>
    <t>260424</t>
  </si>
  <si>
    <t>Красноярск</t>
  </si>
  <si>
    <t>авто (Легион Авто)</t>
  </si>
  <si>
    <t>270424</t>
  </si>
  <si>
    <t>250424/1</t>
  </si>
  <si>
    <t>БС-62748</t>
  </si>
  <si>
    <t>ИВЕКО Р 714 ЕМ 159</t>
  </si>
  <si>
    <t>Осипов Олег</t>
  </si>
  <si>
    <t xml:space="preserve">FAW О884 РС 29 </t>
  </si>
  <si>
    <t xml:space="preserve">Портнов Дмитрий </t>
  </si>
  <si>
    <t xml:space="preserve">DAF У 690 РК 790  </t>
  </si>
  <si>
    <t>Сальников Андрей</t>
  </si>
  <si>
    <t>DAF У 594 ВА 790</t>
  </si>
  <si>
    <t>89206326577/87054498295</t>
  </si>
  <si>
    <t>конт (самовывоз)</t>
  </si>
  <si>
    <t>260424/1</t>
  </si>
  <si>
    <t>280424</t>
  </si>
  <si>
    <t>DRIL-N-SLIDE (СС Платинум) - 175 кг п/эт</t>
  </si>
  <si>
    <t>ВЕЛЛТРИТ - 180 кг п/эт</t>
  </si>
  <si>
    <t>БС-62976 (1-2)</t>
  </si>
  <si>
    <t>БС-62976 (2-2)</t>
  </si>
  <si>
    <t>БС-61958 (1-26)</t>
  </si>
  <si>
    <t>БС-61958 (2-26)</t>
  </si>
  <si>
    <t>БС-61958 (3-26)</t>
  </si>
  <si>
    <t>БС-61958 (4-26)</t>
  </si>
  <si>
    <t>БС-61958 (5-26)</t>
  </si>
  <si>
    <t>300424</t>
  </si>
  <si>
    <t>ИЛ отправлен</t>
  </si>
  <si>
    <t>Спец№20</t>
  </si>
  <si>
    <t>Спец№21</t>
  </si>
  <si>
    <t>20240411-01</t>
  </si>
  <si>
    <t>20240408</t>
  </si>
  <si>
    <t>20240415</t>
  </si>
  <si>
    <t xml:space="preserve">МАН М 517 ОА 29 </t>
  </si>
  <si>
    <t>МАН М 248 ТТ 62</t>
  </si>
  <si>
    <t>Костогруд Владимир</t>
  </si>
  <si>
    <t>010524</t>
  </si>
  <si>
    <t>БС-62686</t>
  </si>
  <si>
    <t>БС-61958 (6-26)</t>
  </si>
  <si>
    <t>БС-62246</t>
  </si>
  <si>
    <t>020524</t>
  </si>
  <si>
    <t>БС-61958 (7-26)</t>
  </si>
  <si>
    <t>030524</t>
  </si>
  <si>
    <t>00566430124</t>
  </si>
  <si>
    <t>Ежов Алексей</t>
  </si>
  <si>
    <t>BURFLC - бум 25,0 кг</t>
  </si>
  <si>
    <t>БС-61958 (8-26)</t>
  </si>
  <si>
    <t>БС-62621</t>
  </si>
  <si>
    <t>040524</t>
  </si>
  <si>
    <t>050524</t>
  </si>
  <si>
    <t>БС-61958 (9-26)</t>
  </si>
  <si>
    <t>БС-61958 (10-26)</t>
  </si>
  <si>
    <t>060524</t>
  </si>
  <si>
    <t>RZDU0638653</t>
  </si>
  <si>
    <t>RZDU0631200</t>
  </si>
  <si>
    <t>Спец№27</t>
  </si>
  <si>
    <t>Спец№143</t>
  </si>
  <si>
    <t>RZDU0465584</t>
  </si>
  <si>
    <t>RZDU0667780</t>
  </si>
  <si>
    <t>080524</t>
  </si>
  <si>
    <t>Ноябрьск</t>
  </si>
  <si>
    <t>Ситрак М 566 УЕ 716</t>
  </si>
  <si>
    <t>Шарифуллин Разим</t>
  </si>
  <si>
    <t>Цуран Александр</t>
  </si>
  <si>
    <t>МАН М 353 ОА 29</t>
  </si>
  <si>
    <t>VOLVO М 816 МО 67</t>
  </si>
  <si>
    <t>RADIAGREEN RA - 175 кг мет</t>
  </si>
  <si>
    <t>БС- 62175</t>
  </si>
  <si>
    <t>Холмск</t>
  </si>
  <si>
    <t>БС-63062</t>
  </si>
  <si>
    <t>070524</t>
  </si>
  <si>
    <t>БС-61958 (11-26)</t>
  </si>
  <si>
    <t>БС-61958 (12-26)</t>
  </si>
  <si>
    <t>04/2024</t>
  </si>
  <si>
    <t>Кызылорда</t>
  </si>
  <si>
    <t>ВОЛЬВО 625 BC 05</t>
  </si>
  <si>
    <t>Карчик Олег Викторович</t>
  </si>
  <si>
    <t>090524</t>
  </si>
  <si>
    <t>100524</t>
  </si>
  <si>
    <t>110524</t>
  </si>
  <si>
    <t>БС-61958 (13-26)</t>
  </si>
  <si>
    <t>БС-61958 (14-26)</t>
  </si>
  <si>
    <t>БС-61958 (15-26)</t>
  </si>
  <si>
    <t>120524</t>
  </si>
  <si>
    <t>130524</t>
  </si>
  <si>
    <t>140524</t>
  </si>
  <si>
    <t xml:space="preserve">Шарифуллин Разим </t>
  </si>
  <si>
    <t xml:space="preserve">Цуран Александр </t>
  </si>
  <si>
    <t>TKRU3083410</t>
  </si>
  <si>
    <t>TKRU3234687</t>
  </si>
  <si>
    <t>Спец№142</t>
  </si>
  <si>
    <t>Спец№13</t>
  </si>
  <si>
    <t>TKRU3418452</t>
  </si>
  <si>
    <t>TKRU3198980</t>
  </si>
  <si>
    <t>TKRU3081530</t>
  </si>
  <si>
    <t>БС-61958 (16-26)</t>
  </si>
  <si>
    <t>150524</t>
  </si>
  <si>
    <t>БС-61958 (17-26)</t>
  </si>
  <si>
    <t>160524</t>
  </si>
  <si>
    <t>Спец№35К</t>
  </si>
  <si>
    <t>01/2023</t>
  </si>
  <si>
    <t>Реагент В - 55 кг п/эт</t>
  </si>
  <si>
    <t>БС-61958 (18-26)</t>
  </si>
  <si>
    <t>170524</t>
  </si>
  <si>
    <t>авто (ГК-Урал)</t>
  </si>
  <si>
    <t>МК Сервис</t>
  </si>
  <si>
    <t>110521</t>
  </si>
  <si>
    <t>Сорочинск</t>
  </si>
  <si>
    <t>Шахман Е 625 ЕА 156</t>
  </si>
  <si>
    <t xml:space="preserve">Дусенов Гизат </t>
  </si>
  <si>
    <t>TKRU3431351</t>
  </si>
  <si>
    <t>TKRU3113849</t>
  </si>
  <si>
    <t>TKRU3429009</t>
  </si>
  <si>
    <t>TKRU3263849</t>
  </si>
  <si>
    <t>FAW О 884 РС 29</t>
  </si>
  <si>
    <t>TKRU3256639</t>
  </si>
  <si>
    <t>TKRU3252823</t>
  </si>
  <si>
    <t>TKRU3526082</t>
  </si>
  <si>
    <t>RZDU0421837</t>
  </si>
  <si>
    <t>VOLVO М773ОВ 29</t>
  </si>
  <si>
    <t>Гужихин Сергей</t>
  </si>
  <si>
    <t>Спец№34К</t>
  </si>
  <si>
    <t>RZDU0731386</t>
  </si>
  <si>
    <t>RZDU0609001</t>
  </si>
  <si>
    <t>RZDU0305760</t>
  </si>
  <si>
    <t>RZDU0900758</t>
  </si>
  <si>
    <t>180524</t>
  </si>
  <si>
    <t>БС-61958 (19-26)</t>
  </si>
  <si>
    <t>БС-61958 (20-26)</t>
  </si>
  <si>
    <t>190524</t>
  </si>
  <si>
    <t>БС-61958 (21-26)</t>
  </si>
  <si>
    <t>200524</t>
  </si>
  <si>
    <t>230524</t>
  </si>
  <si>
    <t>БС-61958 (22-26)</t>
  </si>
  <si>
    <t>210524</t>
  </si>
  <si>
    <t>БС-61958 (23-26)</t>
  </si>
  <si>
    <t>220524</t>
  </si>
  <si>
    <t>260524</t>
  </si>
  <si>
    <t>ЭКСТРАМУЛ-2000 - 200 кг п/эт</t>
  </si>
  <si>
    <t>240524</t>
  </si>
  <si>
    <t>250524</t>
  </si>
  <si>
    <t>270524</t>
  </si>
  <si>
    <t>БС-61958 (24-26)</t>
  </si>
  <si>
    <t>БС-61958 (25-26)</t>
  </si>
  <si>
    <t>БС-61958 (26-26)</t>
  </si>
  <si>
    <t>300524</t>
  </si>
  <si>
    <t>030624</t>
  </si>
  <si>
    <t>Спец№22</t>
  </si>
  <si>
    <t>ё</t>
  </si>
  <si>
    <t>Ситрак М 290 КА 21</t>
  </si>
  <si>
    <t>Павлов Николай</t>
  </si>
  <si>
    <t>Чепурнов Сергей</t>
  </si>
  <si>
    <t>Ситрак Н 383 ТУ 73</t>
  </si>
  <si>
    <t>Счет№185</t>
  </si>
  <si>
    <t>БГРП</t>
  </si>
  <si>
    <t>070424</t>
  </si>
  <si>
    <t>№00250030745</t>
  </si>
  <si>
    <t>вагон</t>
  </si>
  <si>
    <t xml:space="preserve">Пыть-Ях </t>
  </si>
  <si>
    <t>Шипов Александр</t>
  </si>
  <si>
    <t>Ситрак Р 639 АР 550</t>
  </si>
  <si>
    <t>Деловые линии</t>
  </si>
  <si>
    <t>Счет №192</t>
  </si>
  <si>
    <t>280524</t>
  </si>
  <si>
    <t>Санк-Петербург</t>
  </si>
  <si>
    <t xml:space="preserve">Накл.44999308 </t>
  </si>
  <si>
    <t>TKRU3184056</t>
  </si>
  <si>
    <t>RZDU0631617</t>
  </si>
  <si>
    <t>RZDU0459410</t>
  </si>
  <si>
    <t>RZDU0607729</t>
  </si>
  <si>
    <t xml:space="preserve">Ивченко Виктор </t>
  </si>
  <si>
    <t>Вольво Т 772 ТМ 196</t>
  </si>
  <si>
    <t>авто (ТрансЛайнек)</t>
  </si>
  <si>
    <t>БС-64845</t>
  </si>
  <si>
    <t>СУПЕРСЛАЙДЕР СОЛТ - 200 кг п/эт</t>
  </si>
  <si>
    <t>RZDU0633970</t>
  </si>
  <si>
    <t>TKRU3281708</t>
  </si>
  <si>
    <t>TKRU3136995</t>
  </si>
  <si>
    <t>KLKU0310074</t>
  </si>
  <si>
    <t>СКС-Технологии</t>
  </si>
  <si>
    <t>TKRU3429436</t>
  </si>
  <si>
    <t>TKRU3471740</t>
  </si>
  <si>
    <t>TKRU3150483</t>
  </si>
  <si>
    <t>TKRU3497960</t>
  </si>
  <si>
    <t>Смелов Алексей</t>
  </si>
  <si>
    <t>Скания О 701 ОВ 58</t>
  </si>
  <si>
    <t>Шарипов Арсен</t>
  </si>
  <si>
    <t>КАМАЗ О313ХН 159</t>
  </si>
  <si>
    <t>Отрадный</t>
  </si>
  <si>
    <t>Спец 11</t>
  </si>
  <si>
    <t>Eriell</t>
  </si>
  <si>
    <t>Карши</t>
  </si>
  <si>
    <t>040624</t>
  </si>
  <si>
    <t>Приобье</t>
  </si>
  <si>
    <t>100624</t>
  </si>
  <si>
    <t>070624</t>
  </si>
  <si>
    <t>TKRU3490919</t>
  </si>
  <si>
    <t>TKRU3524794</t>
  </si>
  <si>
    <t>TKRU3513681</t>
  </si>
  <si>
    <t>TKRU3352606</t>
  </si>
  <si>
    <t>ВОЛЬВО О 856 УЕ 29</t>
  </si>
  <si>
    <t>БС-65895</t>
  </si>
  <si>
    <t>Спец№39К</t>
  </si>
  <si>
    <t>Спец№38К</t>
  </si>
  <si>
    <t>050624</t>
  </si>
  <si>
    <t>TKRU3427855</t>
  </si>
  <si>
    <t>TKRU3199502</t>
  </si>
  <si>
    <t>06/2024</t>
  </si>
  <si>
    <t>Спец№36К</t>
  </si>
  <si>
    <t>Спец№37К</t>
  </si>
  <si>
    <t>MERCEDES-BENZ С 094 УХ 72</t>
  </si>
  <si>
    <t>TKRU3223126</t>
  </si>
  <si>
    <t>TKRU3192909</t>
  </si>
  <si>
    <t>MAN TGX 80213MBA</t>
  </si>
  <si>
    <t>Зайниев Рахмиддин</t>
  </si>
  <si>
    <t>авто (Легион)</t>
  </si>
  <si>
    <t>110624</t>
  </si>
  <si>
    <t>130624</t>
  </si>
  <si>
    <t>120624</t>
  </si>
  <si>
    <t>ИВЕКО Р 810 КК 159</t>
  </si>
  <si>
    <t>Поздин Александр</t>
  </si>
  <si>
    <t>Устинов Алексей</t>
  </si>
  <si>
    <t>СКАНИЯ Н 166 МН 159</t>
  </si>
  <si>
    <t>авто(Ариал)</t>
  </si>
  <si>
    <t>Спец№58</t>
  </si>
  <si>
    <t>TKRU3142174</t>
  </si>
  <si>
    <t>Кутейкин Вадим</t>
  </si>
  <si>
    <t>авто(Арсэн)</t>
  </si>
  <si>
    <t>ДАФ Т 189 КХ 64</t>
  </si>
  <si>
    <t>20240619</t>
  </si>
  <si>
    <t>20240610</t>
  </si>
  <si>
    <t>20240617</t>
  </si>
  <si>
    <t>20240614</t>
  </si>
  <si>
    <t>180624</t>
  </si>
  <si>
    <t>ЭКСТРАМУЛ СУПРИМ - 190 кг п/эт</t>
  </si>
  <si>
    <t>89608340879/87476119403</t>
  </si>
  <si>
    <t>Ергашов Шерали Толибович</t>
  </si>
  <si>
    <t>80Q305NA</t>
  </si>
  <si>
    <t>Камаз С 291 АВ 716</t>
  </si>
  <si>
    <t>Жолбунов Азамат</t>
  </si>
  <si>
    <t>Спец№30</t>
  </si>
  <si>
    <t>210624</t>
  </si>
  <si>
    <t>89511294378/ 89924017526</t>
  </si>
  <si>
    <t>DAF К 008 МА 29</t>
  </si>
  <si>
    <t>БС-67319</t>
  </si>
  <si>
    <t>190624</t>
  </si>
  <si>
    <t>авто(ГК Урал)</t>
  </si>
  <si>
    <t>авто(Альянс)</t>
  </si>
  <si>
    <t>Иванов Дмитрий</t>
  </si>
  <si>
    <t>Ситрак Р 574 СР 715</t>
  </si>
  <si>
    <t>БС-68450</t>
  </si>
  <si>
    <t>SITRAK М 457 АХ 35</t>
  </si>
  <si>
    <t>Курочкин Андрей</t>
  </si>
  <si>
    <t>Счет №225</t>
  </si>
  <si>
    <t>Спец№ 11</t>
  </si>
  <si>
    <t>200624</t>
  </si>
  <si>
    <t>070424/1</t>
  </si>
  <si>
    <t>250624</t>
  </si>
  <si>
    <t>№00250038350 от 25.06.24</t>
  </si>
  <si>
    <t>Вайгант Сергей</t>
  </si>
  <si>
    <t>Сальников Сергей</t>
  </si>
  <si>
    <t xml:space="preserve">89657771112
</t>
  </si>
  <si>
    <t>КАМАЗ  Х 775 НУ 193</t>
  </si>
  <si>
    <t>270624</t>
  </si>
  <si>
    <t>280624</t>
  </si>
  <si>
    <t xml:space="preserve"> Рено Н 511 ОА 45</t>
  </si>
  <si>
    <t>БС-68531</t>
  </si>
  <si>
    <t xml:space="preserve">Шаршавенков Сергей </t>
  </si>
  <si>
    <t>260624</t>
  </si>
  <si>
    <t>БС-68110 (2-18)</t>
  </si>
  <si>
    <t>БС-68110 (1-18)</t>
  </si>
  <si>
    <t>ЭКО ФЛУИДЗ</t>
  </si>
  <si>
    <t>TKRU3344046</t>
  </si>
  <si>
    <t>TKRU3092427</t>
  </si>
  <si>
    <t>TKRU3267124</t>
  </si>
  <si>
    <t>TKRU3267649</t>
  </si>
  <si>
    <t>20240703</t>
  </si>
  <si>
    <t>20240804</t>
  </si>
  <si>
    <t>МАН А690ОН164</t>
  </si>
  <si>
    <t>Бутенко Антон Иванович</t>
  </si>
  <si>
    <t>290624</t>
  </si>
  <si>
    <t>БС-68110 (3-18)</t>
  </si>
  <si>
    <t>БС-68110 (4-18)</t>
  </si>
  <si>
    <t>300624</t>
  </si>
  <si>
    <t>Спец№22425</t>
  </si>
  <si>
    <t>Петроинжиниринг</t>
  </si>
  <si>
    <t>080724</t>
  </si>
  <si>
    <t>Спец№22308</t>
  </si>
  <si>
    <t>010724</t>
  </si>
  <si>
    <t>Спец№22309</t>
  </si>
  <si>
    <t>030724</t>
  </si>
  <si>
    <t xml:space="preserve">авто (ГЛТМ) </t>
  </si>
  <si>
    <t xml:space="preserve">авто (Агротранс) </t>
  </si>
  <si>
    <t>020724</t>
  </si>
  <si>
    <t>авто(ЛегионАвто)</t>
  </si>
  <si>
    <t>ИВЕКО Р 855 ВН 159</t>
  </si>
  <si>
    <t>Головков Николай</t>
  </si>
  <si>
    <t>Логвинов Виталий</t>
  </si>
  <si>
    <t>VOLVO А 071 ЕС 67</t>
  </si>
  <si>
    <t>TKRU3089660</t>
  </si>
  <si>
    <t>TKRU3445484</t>
  </si>
  <si>
    <t>Соколов Михаил</t>
  </si>
  <si>
    <t>Вольво А 517 НО 147</t>
  </si>
  <si>
    <t>Спец№40К(1-2)</t>
  </si>
  <si>
    <t>БС-68110 (5-18)</t>
  </si>
  <si>
    <t>Спец№40К(2-2)</t>
  </si>
  <si>
    <t>100724</t>
  </si>
  <si>
    <t>150724</t>
  </si>
  <si>
    <t>БС-68110 (6-18)</t>
  </si>
  <si>
    <t>040724</t>
  </si>
  <si>
    <t>МАН В624ХК98</t>
  </si>
  <si>
    <t>Приходько Алексей Алексеевич</t>
  </si>
  <si>
    <t>авто (ГК УРАЛ)</t>
  </si>
  <si>
    <t>авто (АГРО-ТРАНС)</t>
  </si>
  <si>
    <t>авто (ГЛТ)</t>
  </si>
  <si>
    <t>МАН М312ТХ35</t>
  </si>
  <si>
    <t>Божий Сергей Алексадрович</t>
  </si>
  <si>
    <t>FAW М256ОК763</t>
  </si>
  <si>
    <t>Тарасиков Максим Алексадрович</t>
  </si>
  <si>
    <t>Foton X353YE72</t>
  </si>
  <si>
    <t>Бырка Алексадр Иванович</t>
  </si>
  <si>
    <t xml:space="preserve">Вайгант Сергей Иванович </t>
  </si>
  <si>
    <t>спец №41К</t>
  </si>
  <si>
    <t>Пыть Ях</t>
  </si>
  <si>
    <t>Sitrak Т894ХК152</t>
  </si>
  <si>
    <t>Ветюгов Александр Николаевич</t>
  </si>
  <si>
    <t>авто (НефтеПродуктСервис)</t>
  </si>
  <si>
    <t>спец №42К</t>
  </si>
  <si>
    <t>Sitrak Х548МР152</t>
  </si>
  <si>
    <t>Богатов Евгений Юрьевич</t>
  </si>
  <si>
    <t>220624</t>
  </si>
  <si>
    <t>DAF 90V042LA</t>
  </si>
  <si>
    <t>DAF 90B120TA</t>
  </si>
  <si>
    <t>090724</t>
  </si>
  <si>
    <t>БС-68110 (7-18)</t>
  </si>
  <si>
    <t>БС-68110 (8-18)</t>
  </si>
  <si>
    <t>Авто (ГК Урал)</t>
  </si>
  <si>
    <t>спец №43К</t>
  </si>
  <si>
    <t>БС- 69717</t>
  </si>
  <si>
    <t>FAWО484ОУ29</t>
  </si>
  <si>
    <t>Ежов Алексей Владимирович</t>
  </si>
  <si>
    <t>авто (АриалТранс)</t>
  </si>
  <si>
    <t>110724</t>
  </si>
  <si>
    <t>160724</t>
  </si>
  <si>
    <t>БС-68110 (9-18)</t>
  </si>
  <si>
    <t>TKRU3381116</t>
  </si>
  <si>
    <t>TKRU3496028</t>
  </si>
  <si>
    <t xml:space="preserve">БС-70642 </t>
  </si>
  <si>
    <t>120724</t>
  </si>
  <si>
    <t>150724/1</t>
  </si>
  <si>
    <t>OE20608R01</t>
  </si>
  <si>
    <t>MAN A551KM67</t>
  </si>
  <si>
    <t>7 (910) 1120271</t>
  </si>
  <si>
    <t>Козин Сергей Владимирович</t>
  </si>
  <si>
    <t>TKRU3245043</t>
  </si>
  <si>
    <t>TKRU3304613</t>
  </si>
  <si>
    <t>TKRU3125069</t>
  </si>
  <si>
    <t>TKRU3545483</t>
  </si>
  <si>
    <t>Спец№22542</t>
  </si>
  <si>
    <t>Демьянка</t>
  </si>
  <si>
    <t>Рено Н511ОА45</t>
  </si>
  <si>
    <t>Шаршавенков Сергей Анатольевич</t>
  </si>
  <si>
    <t>Авто (АГРО-ТРАНС)</t>
  </si>
  <si>
    <t>БС-68110 (10-18)</t>
  </si>
  <si>
    <t>БС-68110 (11-18)</t>
  </si>
  <si>
    <t>DAF Е074МЕ45</t>
  </si>
  <si>
    <t>Матаев Петр Владимирович</t>
  </si>
  <si>
    <t>Ситрак Х927ОХ152</t>
  </si>
  <si>
    <t>Сазонов Олег Викторович</t>
  </si>
  <si>
    <t>170724</t>
  </si>
  <si>
    <t>180724</t>
  </si>
  <si>
    <t>БС-68110 (12-18)</t>
  </si>
  <si>
    <t>190724</t>
  </si>
  <si>
    <t>200724</t>
  </si>
  <si>
    <t>спец№29</t>
  </si>
  <si>
    <t>ИНКО-Сервис</t>
  </si>
  <si>
    <t>спец№28</t>
  </si>
  <si>
    <t>Выручаев Михаил Андреевич</t>
  </si>
  <si>
    <t>МАН М517ОА29</t>
  </si>
  <si>
    <t>Рябов Алексей Иванович</t>
  </si>
  <si>
    <t>МАН М353АО29</t>
  </si>
  <si>
    <t>БС-68110 (13-18)</t>
  </si>
  <si>
    <t>БС-68110 (14-18)</t>
  </si>
  <si>
    <t>210724</t>
  </si>
  <si>
    <t>Счёт№264</t>
  </si>
  <si>
    <t>Октябрьское УБР</t>
  </si>
  <si>
    <t>220724</t>
  </si>
  <si>
    <t>П-Д Татнефть-Алабуга Стекловолокно</t>
  </si>
  <si>
    <t>Елабуга</t>
  </si>
  <si>
    <t>МАКС-ФЛЕКС - 1000 кг еврокуб</t>
  </si>
  <si>
    <t>авто(Пермский край)</t>
  </si>
  <si>
    <t>спец№784/5</t>
  </si>
  <si>
    <t>Татнефть им. Шашина</t>
  </si>
  <si>
    <t>Бугульма</t>
  </si>
  <si>
    <t>Федоров Александр</t>
  </si>
  <si>
    <t>89192590995, 89207353400</t>
  </si>
  <si>
    <t>СИТРАК Р 634 ОЕ 48</t>
  </si>
  <si>
    <t>TKRU3414375</t>
  </si>
  <si>
    <t>TKRU3548440</t>
  </si>
  <si>
    <t>БС-69322</t>
  </si>
  <si>
    <t>БС-68905</t>
  </si>
  <si>
    <t>БС-69083 (1/2)</t>
  </si>
  <si>
    <t>БС-69083 (2/2)</t>
  </si>
  <si>
    <t>БУРИНТЕХ</t>
  </si>
  <si>
    <t>230724</t>
  </si>
  <si>
    <t>240724</t>
  </si>
  <si>
    <t>ВАЛЬКИРИЯ (BLACKTROL ж) - 200 кг п/эт</t>
  </si>
  <si>
    <t>TKRU3307628</t>
  </si>
  <si>
    <t>TKRU3344025</t>
  </si>
  <si>
    <t>TKRU3215579</t>
  </si>
  <si>
    <t>TKRU3528980</t>
  </si>
  <si>
    <t>160724/1</t>
  </si>
  <si>
    <t>БС-69649(1-5)</t>
  </si>
  <si>
    <t>Газель Некст г/н У491ВС76</t>
  </si>
  <si>
    <t>Квакин Даниил Павлович</t>
  </si>
  <si>
    <t>Бибик Михаил Иванович</t>
  </si>
  <si>
    <t>8-920- 011-59-14</t>
  </si>
  <si>
    <t>МАЗ Х080 ВЕ 52</t>
  </si>
  <si>
    <t>Авто (Рич-Трак)</t>
  </si>
  <si>
    <t>спец №44К</t>
  </si>
  <si>
    <t>Плясовских Вячеслав</t>
  </si>
  <si>
    <t>SITRAK О 780 МХ 159</t>
  </si>
  <si>
    <t>TKRU3325426</t>
  </si>
  <si>
    <t>Мерседес К 820 СМ 73</t>
  </si>
  <si>
    <t>БС-69649(2-5)</t>
  </si>
  <si>
    <t>250724</t>
  </si>
  <si>
    <t>250724/1</t>
  </si>
  <si>
    <t>БС-68110 (15-18)</t>
  </si>
  <si>
    <t>БС-68110 (16-18)</t>
  </si>
  <si>
    <t>260724</t>
  </si>
  <si>
    <t>БС-69649(3-5)</t>
  </si>
  <si>
    <t>TKRU3529918</t>
  </si>
  <si>
    <t>TKRU3513362</t>
  </si>
  <si>
    <t>270724</t>
  </si>
  <si>
    <t>БС-68110 (17-18)</t>
  </si>
  <si>
    <t>БС-68110 (18-18)</t>
  </si>
  <si>
    <t>БС-69649(4-5)</t>
  </si>
  <si>
    <t>СУПЕРСЛАЙДЕР ГОЛД - 25 кг канистра</t>
  </si>
  <si>
    <t>TKRU3060754</t>
  </si>
  <si>
    <t>TKRU3533963</t>
  </si>
  <si>
    <t>TKRU3285724</t>
  </si>
  <si>
    <t>290724</t>
  </si>
  <si>
    <t>0046430624</t>
  </si>
  <si>
    <t>290524</t>
  </si>
  <si>
    <t>310724</t>
  </si>
  <si>
    <t>БС-71068</t>
  </si>
  <si>
    <t>БС-70706</t>
  </si>
  <si>
    <t xml:space="preserve">Петропавловский Олег </t>
  </si>
  <si>
    <t>МАН   С 340 ХК 102</t>
  </si>
  <si>
    <t>МАН   С 340 ХК 103</t>
  </si>
  <si>
    <t xml:space="preserve">89963427701/87772313238  </t>
  </si>
  <si>
    <t>Маханов Манарбек</t>
  </si>
  <si>
    <t>МАН  012 AAC 06</t>
  </si>
  <si>
    <t>05/2024</t>
  </si>
  <si>
    <t>Аманкосулы Ербол</t>
  </si>
  <si>
    <t xml:space="preserve">Mersedes 723 AAH 06 </t>
  </si>
  <si>
    <t>авто(Рич Трак)</t>
  </si>
  <si>
    <t>авто(Ванюхин)</t>
  </si>
  <si>
    <t>010824</t>
  </si>
  <si>
    <t>010824/1</t>
  </si>
  <si>
    <t>БС-71220(1-2)</t>
  </si>
  <si>
    <t>БС-71220(2-2)</t>
  </si>
  <si>
    <t>020824</t>
  </si>
  <si>
    <t>Вольво С 931 ЕМ 52</t>
  </si>
  <si>
    <t xml:space="preserve"> 29002094 20</t>
  </si>
  <si>
    <t>TKRU3418339</t>
  </si>
  <si>
    <t>TKRU3194460</t>
  </si>
  <si>
    <t>Мерседес В 525 ТО 716</t>
  </si>
  <si>
    <t>Сиделёв Игорь</t>
  </si>
  <si>
    <t>TKRU3320050</t>
  </si>
  <si>
    <t>TKRU3220240</t>
  </si>
  <si>
    <t>кнт (самовывоз)</t>
  </si>
  <si>
    <t>БС-69695 (1-2)</t>
  </si>
  <si>
    <t>050824</t>
  </si>
  <si>
    <t>БС-69695 (2-2)</t>
  </si>
  <si>
    <t>060824</t>
  </si>
  <si>
    <t>Счет№266 и №272</t>
  </si>
  <si>
    <t>Спец№144(1-6)</t>
  </si>
  <si>
    <t>Спец№144(2-6)</t>
  </si>
  <si>
    <t>050824/1</t>
  </si>
  <si>
    <t>авто(Агро)</t>
  </si>
  <si>
    <t>авто(Гандвик)</t>
  </si>
  <si>
    <t>Ситрак Р 850 АУ 159</t>
  </si>
  <si>
    <t>Петров Вячеслав</t>
  </si>
  <si>
    <t>Спец№144(3-6)</t>
  </si>
  <si>
    <t>070824</t>
  </si>
  <si>
    <t>Камаз О 421 СР 777</t>
  </si>
  <si>
    <t>Сизов Александр</t>
  </si>
  <si>
    <t xml:space="preserve">Скания Х 461 ОН 76 </t>
  </si>
  <si>
    <t>Львов Андрей Львович</t>
  </si>
  <si>
    <t>TKRU3243328</t>
  </si>
  <si>
    <t>GQRU3253922</t>
  </si>
  <si>
    <t>ЗАМЕНА БРАКА</t>
  </si>
  <si>
    <t>авто(самовывоз)</t>
  </si>
  <si>
    <t>Спец№144(4-6)</t>
  </si>
  <si>
    <t>БС-69649(5-5)</t>
  </si>
  <si>
    <t>090824</t>
  </si>
  <si>
    <t>БС-72452</t>
  </si>
  <si>
    <t>080824</t>
  </si>
  <si>
    <t>Спец№32</t>
  </si>
  <si>
    <t>TKRU3370739</t>
  </si>
  <si>
    <t>TKRU3352041</t>
  </si>
  <si>
    <t>TKRU3550129</t>
  </si>
  <si>
    <t>100824</t>
  </si>
  <si>
    <t>отправил ПК</t>
  </si>
  <si>
    <t>завел в отчет по отгрузкам</t>
  </si>
  <si>
    <t>TKRU3513444</t>
  </si>
  <si>
    <t>TKRU3543937</t>
  </si>
  <si>
    <t>TKRU3384239</t>
  </si>
  <si>
    <t>120824</t>
  </si>
  <si>
    <t>120824/1</t>
  </si>
  <si>
    <t>130824</t>
  </si>
  <si>
    <t>140824</t>
  </si>
  <si>
    <t>спец №47К</t>
  </si>
  <si>
    <t>020823</t>
  </si>
  <si>
    <t>авто(Борисов)</t>
  </si>
  <si>
    <t>Спец№23 обмен</t>
  </si>
  <si>
    <t>спец №45К</t>
  </si>
  <si>
    <t>авто(Бакин)</t>
  </si>
  <si>
    <t>TKRU3401260</t>
  </si>
  <si>
    <t>TKRU3556195</t>
  </si>
  <si>
    <t>спец №46К</t>
  </si>
  <si>
    <t>образцы заказаны</t>
  </si>
  <si>
    <t>Прокопович Александр</t>
  </si>
  <si>
    <t>Даф М 670 СЕ 67</t>
  </si>
  <si>
    <t>Спец№144(5-6)</t>
  </si>
  <si>
    <t>190824</t>
  </si>
  <si>
    <t>190824/1</t>
  </si>
  <si>
    <t>Кутейников Сергей</t>
  </si>
  <si>
    <t>Шапошниченко Виктор</t>
  </si>
  <si>
    <t>Камаз С 941 КЕ 198</t>
  </si>
  <si>
    <t>Коробков Александр</t>
  </si>
  <si>
    <t>Вольво А 026 ВС 252</t>
  </si>
  <si>
    <t>Вольво О 360 НО 29</t>
  </si>
  <si>
    <t>Бакин Александр</t>
  </si>
  <si>
    <t>ЭКСТРА-ДЕФ - 200 кг п/эт</t>
  </si>
  <si>
    <t>авто(гандвик)</t>
  </si>
  <si>
    <t>Кузнецов Дмитрий</t>
  </si>
  <si>
    <t>Камаз С 759 РМ 198</t>
  </si>
  <si>
    <t>TKRU3305841</t>
  </si>
  <si>
    <t>TKRU3524773</t>
  </si>
  <si>
    <t>Исаев Юрий</t>
  </si>
  <si>
    <t>Спец№14(1-5)</t>
  </si>
  <si>
    <t>200824</t>
  </si>
  <si>
    <t>спец№30</t>
  </si>
  <si>
    <t>20240814</t>
  </si>
  <si>
    <t>20240820</t>
  </si>
  <si>
    <t>спец№32</t>
  </si>
  <si>
    <t>20240819</t>
  </si>
  <si>
    <t>спец№33</t>
  </si>
  <si>
    <t>Самарская обл</t>
  </si>
  <si>
    <t xml:space="preserve">авто(Агро) </t>
  </si>
  <si>
    <t>авто (Агро)</t>
  </si>
  <si>
    <t>Хижников Николай</t>
  </si>
  <si>
    <t>Камаз К 878 ВК 126</t>
  </si>
  <si>
    <t>спец№31</t>
  </si>
  <si>
    <t>БС-71962</t>
  </si>
  <si>
    <t>210824</t>
  </si>
  <si>
    <t>DAF О 844 ОР 750</t>
  </si>
  <si>
    <t>Потапов Виктор</t>
  </si>
  <si>
    <t>220824</t>
  </si>
  <si>
    <t>БС-73575(1-2)</t>
  </si>
  <si>
    <t>БС-73575(2-2)</t>
  </si>
  <si>
    <t>230824</t>
  </si>
  <si>
    <t>Счет №304</t>
  </si>
  <si>
    <t>Азимут-Ойл</t>
  </si>
  <si>
    <t>Спец№33</t>
  </si>
  <si>
    <t>Краснокамск</t>
  </si>
  <si>
    <t>Вагон 29479292</t>
  </si>
  <si>
    <t>ЭВ767457</t>
  </si>
  <si>
    <t>20240816</t>
  </si>
  <si>
    <t>20240815</t>
  </si>
  <si>
    <t>20240822</t>
  </si>
  <si>
    <t>БС-74413</t>
  </si>
  <si>
    <t>240824</t>
  </si>
  <si>
    <t>Фредлайнер № В 732 РК 13</t>
  </si>
  <si>
    <t>Рагузин Эльдар</t>
  </si>
  <si>
    <t xml:space="preserve">Вишняков Денис </t>
  </si>
  <si>
    <t>MERCEDES Р 793 ЕС 159</t>
  </si>
  <si>
    <t>Петров Василий</t>
  </si>
  <si>
    <t>310524</t>
  </si>
  <si>
    <t xml:space="preserve">авто(Гандвик) </t>
  </si>
  <si>
    <t xml:space="preserve"> JAK М 798 РХ 763</t>
  </si>
  <si>
    <t>Селямин Александр</t>
  </si>
  <si>
    <t>89397070368    </t>
  </si>
  <si>
    <t>260824</t>
  </si>
  <si>
    <t>Счет №305</t>
  </si>
  <si>
    <t>МОРСКИЕ ПЛАТФОРМЫ</t>
  </si>
  <si>
    <t>Счет №297, 302</t>
  </si>
  <si>
    <t>0056430824</t>
  </si>
  <si>
    <t>270824</t>
  </si>
  <si>
    <t>БС-75446(1-8)</t>
  </si>
  <si>
    <t>БС-75446(2-8)</t>
  </si>
  <si>
    <t xml:space="preserve">Васильев Денис </t>
  </si>
  <si>
    <t>Ордин Сергей</t>
  </si>
  <si>
    <t>Вольво С 391 ТУ 196</t>
  </si>
  <si>
    <t>Возовоз</t>
  </si>
  <si>
    <t>280824</t>
  </si>
  <si>
    <t>НЕФТЕПРОДУКТСЕРВИС</t>
  </si>
  <si>
    <t>Чазов Андрей</t>
  </si>
  <si>
    <t>Форд М 015 ЕТ 159</t>
  </si>
  <si>
    <t>GQRU3493184</t>
  </si>
  <si>
    <t>TKRU3429631</t>
  </si>
  <si>
    <t>№ наклад. 00250053124</t>
  </si>
  <si>
    <t>№ наклад. 240713433</t>
  </si>
  <si>
    <t>290824</t>
  </si>
  <si>
    <t>БС-75446(3-8)</t>
  </si>
  <si>
    <t>Мерседес О 770 МА 29</t>
  </si>
  <si>
    <t>Майданников Вячеслав</t>
  </si>
  <si>
    <t>SHACMAN М 002 ЕА 702</t>
  </si>
  <si>
    <t>TKRU3455570</t>
  </si>
  <si>
    <t>TKRU3033018</t>
  </si>
  <si>
    <t>Спец№144(6-6)</t>
  </si>
  <si>
    <t>300824</t>
  </si>
  <si>
    <t>310824</t>
  </si>
  <si>
    <t>Спец№14(2-5)</t>
  </si>
  <si>
    <t>010924</t>
  </si>
  <si>
    <t>БС-75446(4-8)</t>
  </si>
  <si>
    <t>БС-75446(5-8)</t>
  </si>
  <si>
    <t>020924</t>
  </si>
  <si>
    <t>Тверитин Сергей</t>
  </si>
  <si>
    <t>Ситрак Р 309 ТТ 18</t>
  </si>
  <si>
    <t>БС-75446(6-8)</t>
  </si>
  <si>
    <t>Камаз М 995 АС 550</t>
  </si>
  <si>
    <t>Аксёнов Павел</t>
  </si>
  <si>
    <t>Суровцев Сергей</t>
  </si>
  <si>
    <t>Ситрак Р 309 ТТ 18 89501664888 Тверитин Сергей</t>
  </si>
  <si>
    <t>Гуревич Александр</t>
  </si>
  <si>
    <t>Газ Некст О 455 СТ 29</t>
  </si>
  <si>
    <t>БС-75446(7-8)</t>
  </si>
  <si>
    <t>030924</t>
  </si>
  <si>
    <t>БС-75446(8-8)</t>
  </si>
  <si>
    <t>040924</t>
  </si>
  <si>
    <t>Балдуев Александр</t>
  </si>
  <si>
    <t xml:space="preserve">MAN Р 461 СЕ 198 </t>
  </si>
  <si>
    <t>Вус Сергей</t>
  </si>
  <si>
    <t>Спец№14(3-5)</t>
  </si>
  <si>
    <t>050924</t>
  </si>
  <si>
    <t>060924</t>
  </si>
  <si>
    <t>070924</t>
  </si>
  <si>
    <t>Аверин Александр</t>
  </si>
  <si>
    <t>ГАЗ М 577 CX 790</t>
  </si>
  <si>
    <t>TKRU3300602</t>
  </si>
  <si>
    <t>TKRU3546535</t>
  </si>
  <si>
    <t>TKRU3546330</t>
  </si>
  <si>
    <t>GQRU3478220</t>
  </si>
  <si>
    <t>№ наклад. 240745049</t>
  </si>
  <si>
    <t>Счет №327</t>
  </si>
  <si>
    <t>БС- 69716</t>
  </si>
  <si>
    <t>OE40513S01</t>
  </si>
  <si>
    <t>БС- 67837</t>
  </si>
  <si>
    <t>OE40513S02</t>
  </si>
  <si>
    <t>БС- 67534</t>
  </si>
  <si>
    <t>RADIAGREEN RA - 950 кг еврокуб</t>
  </si>
  <si>
    <t>Гордеев Евгений</t>
  </si>
  <si>
    <t>FOTON К 157 АА 550</t>
  </si>
  <si>
    <t xml:space="preserve">БС-71813 </t>
  </si>
  <si>
    <t>БС-71922 (1-2)</t>
  </si>
  <si>
    <t>БС-71922 (2-2)</t>
  </si>
  <si>
    <t>Scania Н 099 АО 159</t>
  </si>
  <si>
    <t>SANY О 070 РК 29</t>
  </si>
  <si>
    <t>Mercedes О 515 ОУ 29</t>
  </si>
  <si>
    <t>спец№34</t>
  </si>
  <si>
    <t>090924</t>
  </si>
  <si>
    <t>080924</t>
  </si>
  <si>
    <t>89270908660/8779998937</t>
  </si>
  <si>
    <t>100924</t>
  </si>
  <si>
    <t xml:space="preserve">Бакин Александр </t>
  </si>
  <si>
    <t>110924</t>
  </si>
  <si>
    <t>TKRU3211280</t>
  </si>
  <si>
    <t>15082024</t>
  </si>
  <si>
    <t>TKRU3421944</t>
  </si>
  <si>
    <t>TKRU3220657</t>
  </si>
  <si>
    <t>120924</t>
  </si>
  <si>
    <t>130924</t>
  </si>
  <si>
    <t>TKRU3541488</t>
  </si>
  <si>
    <t>TKRU3340760</t>
  </si>
  <si>
    <t>Рангаев Алексей</t>
  </si>
  <si>
    <t>МАН К 741 АО 763</t>
  </si>
  <si>
    <t>Спец№48К</t>
  </si>
  <si>
    <t>Спец№50К</t>
  </si>
  <si>
    <t>140924</t>
  </si>
  <si>
    <t>150924</t>
  </si>
  <si>
    <t>Спец№51К</t>
  </si>
  <si>
    <t>спец №49К</t>
  </si>
  <si>
    <t>Спец№52К</t>
  </si>
  <si>
    <t>Талашев Николай</t>
  </si>
  <si>
    <t xml:space="preserve">МАН М 353 ОА 29 </t>
  </si>
  <si>
    <t>авто()</t>
  </si>
  <si>
    <t>Спец№34</t>
  </si>
  <si>
    <t>160924</t>
  </si>
  <si>
    <t>Спец№35</t>
  </si>
  <si>
    <t>Захаров Виталий</t>
  </si>
  <si>
    <t>Камаз О 970 УК 47</t>
  </si>
  <si>
    <t>100424</t>
  </si>
  <si>
    <t xml:space="preserve">БС-71813(1-2) </t>
  </si>
  <si>
    <t xml:space="preserve">БС-71813(2-2) </t>
  </si>
  <si>
    <t>авто(Легион)</t>
  </si>
  <si>
    <t>TKRU3208538</t>
  </si>
  <si>
    <t>TKRU3247004</t>
  </si>
  <si>
    <t>БС- 76482</t>
  </si>
  <si>
    <t>190924</t>
  </si>
  <si>
    <t>TKRU3216960</t>
  </si>
  <si>
    <t>TKRU3395402</t>
  </si>
  <si>
    <t>Скания О 265 ВО 159</t>
  </si>
  <si>
    <t>Бекленев Александр</t>
  </si>
  <si>
    <t>Скания М 503 СМ 159</t>
  </si>
  <si>
    <t>Ракшин Андрей</t>
  </si>
  <si>
    <t>Власов Сергей</t>
  </si>
  <si>
    <t>Рено Н 721 ХС 174</t>
  </si>
  <si>
    <t>БС- 75527</t>
  </si>
  <si>
    <t>БС- 76299(1-2)</t>
  </si>
  <si>
    <t>БС- 76299(2-2)</t>
  </si>
  <si>
    <t>БС-77383</t>
  </si>
  <si>
    <t>170924</t>
  </si>
  <si>
    <t>180924</t>
  </si>
  <si>
    <t>240924</t>
  </si>
  <si>
    <t>250924</t>
  </si>
  <si>
    <t>230924</t>
  </si>
  <si>
    <t>Скания Р 984 АН 59</t>
  </si>
  <si>
    <t>Савинов Денис</t>
  </si>
  <si>
    <t>Вольво Х 854 УЕ 174</t>
  </si>
  <si>
    <t>Коркин Сергей</t>
  </si>
  <si>
    <t xml:space="preserve">Надо заполнить </t>
  </si>
  <si>
    <t>260924</t>
  </si>
  <si>
    <t>БС-76527</t>
  </si>
  <si>
    <t>СУПЕРСЛАЙДЕР РУО - 200 кг п/эт</t>
  </si>
  <si>
    <t>290924</t>
  </si>
  <si>
    <t>Самововоз</t>
  </si>
  <si>
    <t>Газ В141ТВ73</t>
  </si>
  <si>
    <t>Позверов Евгений</t>
  </si>
  <si>
    <t>БС-78420</t>
  </si>
  <si>
    <t>270924</t>
  </si>
  <si>
    <t>Кузьмин Николай</t>
  </si>
  <si>
    <t>FAW О 199 ОЕ 29</t>
  </si>
  <si>
    <t>FAW О 199 ОЕ 30</t>
  </si>
  <si>
    <t>Губкинский</t>
  </si>
  <si>
    <t>КИРЕЕВ СЕРГЕЙ ВЛАДИМИРОВИЧ</t>
  </si>
  <si>
    <t>8-921-297-46-13</t>
  </si>
  <si>
    <t>ВОЛЬВО С 931 ЕМ 51</t>
  </si>
  <si>
    <t>авто (АрхГрузЛогистика)</t>
  </si>
  <si>
    <t>Романов Василий</t>
  </si>
  <si>
    <t>Шеншин Андрей</t>
  </si>
  <si>
    <t>8-983-603-12-30</t>
  </si>
  <si>
    <t>VOLVO Т351АО 154</t>
  </si>
  <si>
    <t>SHACMAN У084 ЕМ 31</t>
  </si>
  <si>
    <t>TKRU3445756</t>
  </si>
  <si>
    <t>TKRU3454402</t>
  </si>
  <si>
    <t>FAW O884РС29</t>
  </si>
  <si>
    <t>Бутвин Николай Александрович</t>
  </si>
  <si>
    <t>TKRU3352170</t>
  </si>
  <si>
    <t>TKRU3561289</t>
  </si>
  <si>
    <t>011024</t>
  </si>
  <si>
    <t>8(902)1980813</t>
  </si>
  <si>
    <t>Талашев Николай Александрович</t>
  </si>
  <si>
    <t>041024</t>
  </si>
  <si>
    <t>спец№35</t>
  </si>
  <si>
    <t>20241004</t>
  </si>
  <si>
    <t>20241002</t>
  </si>
  <si>
    <t>20241003</t>
  </si>
  <si>
    <t>Спец№53К</t>
  </si>
  <si>
    <t>спец№36</t>
  </si>
  <si>
    <t>TKRU3444180</t>
  </si>
  <si>
    <t>TKRU3096823</t>
  </si>
  <si>
    <t>DAF О226ЕУ 72</t>
  </si>
  <si>
    <t>Киршин Петр Олегович</t>
  </si>
  <si>
    <t>Соловьев Владимир Викторович</t>
  </si>
  <si>
    <t>FAW Т 319 ЕР 196</t>
  </si>
  <si>
    <t>7 902 878-79-67</t>
  </si>
  <si>
    <t>БС-078981</t>
  </si>
  <si>
    <t>Спец№36 (1/4)</t>
  </si>
  <si>
    <t>071024</t>
  </si>
  <si>
    <t>DAF Р575МС  45</t>
  </si>
  <si>
    <t>8-908-002-65-90</t>
  </si>
  <si>
    <t>Голосков Алексей Анатольевич</t>
  </si>
  <si>
    <t>SANY E332ВК156</t>
  </si>
  <si>
    <t>Свечников Павел Александрович</t>
  </si>
  <si>
    <t>Volvo М696УХ29</t>
  </si>
  <si>
    <t>081024</t>
  </si>
  <si>
    <t>К 298 МО 45</t>
  </si>
  <si>
    <t>7 (919) 569 - 78 - 88</t>
  </si>
  <si>
    <t>Шмаков Александр Николаевич</t>
  </si>
  <si>
    <t>111024</t>
  </si>
  <si>
    <t>Кульсары</t>
  </si>
  <si>
    <t>авто (Ванюхин)</t>
  </si>
  <si>
    <t>Колупаев Дмитрий Андреевич</t>
  </si>
  <si>
    <t>ДАФ С 277 МО 45</t>
  </si>
  <si>
    <t>89195886579        89954480239</t>
  </si>
  <si>
    <t>БС-078277 (1/3)</t>
  </si>
  <si>
    <t>БС-078277 (2/3)</t>
  </si>
  <si>
    <t>БС-078277 (3/3)</t>
  </si>
  <si>
    <t xml:space="preserve"> ООО СГЭС</t>
  </si>
  <si>
    <t>101024</t>
  </si>
  <si>
    <t>Спец№36 (2/4)</t>
  </si>
  <si>
    <t>Спец№36 (3/4)</t>
  </si>
  <si>
    <t>Спец№36 (4/4)</t>
  </si>
  <si>
    <t>авто (АРИАЛ)</t>
  </si>
  <si>
    <t>авто (АРИАЛ-ТРАНС)</t>
  </si>
  <si>
    <t xml:space="preserve">спец№36 </t>
  </si>
  <si>
    <t>DAF К 298 МО 45</t>
  </si>
  <si>
    <t>МАН М353ОА/29</t>
  </si>
  <si>
    <t xml:space="preserve">FAW О 884 РС 29 </t>
  </si>
  <si>
    <t>БС-079321 (1/2)</t>
  </si>
  <si>
    <t>БС-079321 (2/2)</t>
  </si>
  <si>
    <t>БС-079835</t>
  </si>
  <si>
    <t>151024</t>
  </si>
  <si>
    <t>Теляев Николай</t>
  </si>
  <si>
    <t>DAF Н 964 ТО 68</t>
  </si>
  <si>
    <t>Матаев Петр</t>
  </si>
  <si>
    <r>
      <t xml:space="preserve">ДАФ Е 074 </t>
    </r>
    <r>
      <rPr>
        <b/>
        <sz val="11"/>
        <color theme="1"/>
        <rFont val="Calibri"/>
        <family val="2"/>
        <charset val="204"/>
        <scheme val="minor"/>
      </rPr>
      <t>МЕ 45</t>
    </r>
  </si>
  <si>
    <t>БС- 67534 (20/74)</t>
  </si>
  <si>
    <t>ЕО40904007</t>
  </si>
  <si>
    <t>авто самовывоз</t>
  </si>
  <si>
    <t>Ифтодий Николай</t>
  </si>
  <si>
    <t>Вольво М 562 УВ 29</t>
  </si>
  <si>
    <t>OE20627010</t>
  </si>
  <si>
    <t>161024</t>
  </si>
  <si>
    <t>171024</t>
  </si>
  <si>
    <t>БС-079835 (1/2)</t>
  </si>
  <si>
    <t>БС-079835 (2/2)</t>
  </si>
  <si>
    <t>200924</t>
  </si>
  <si>
    <t>TKRU3212116</t>
  </si>
  <si>
    <t>Чернаков Константин</t>
  </si>
  <si>
    <t>авто(БАКИН)</t>
  </si>
  <si>
    <t>авто (АГРО)</t>
  </si>
  <si>
    <t>БС-079795</t>
  </si>
  <si>
    <t>БС- 67534 (34/74)</t>
  </si>
  <si>
    <t>181024</t>
  </si>
  <si>
    <t>BaraFLC(0) - бум 22,7 кг</t>
  </si>
  <si>
    <t>БС-79979</t>
  </si>
  <si>
    <t>280924</t>
  </si>
  <si>
    <t>РЕНО В 231 ЕЕ 60</t>
  </si>
  <si>
    <t>Мартынов Валерий</t>
  </si>
  <si>
    <t>Новосемейкино</t>
  </si>
  <si>
    <t>20241022</t>
  </si>
  <si>
    <t>спец№37</t>
  </si>
  <si>
    <t>211024</t>
  </si>
  <si>
    <t>TKRU3062510</t>
  </si>
  <si>
    <t>RZDU0601398</t>
  </si>
  <si>
    <t xml:space="preserve">Дружинин Александр </t>
  </si>
  <si>
    <t>221024</t>
  </si>
  <si>
    <t>231024</t>
  </si>
  <si>
    <t>Фокин Дмитрий</t>
  </si>
  <si>
    <t>Вольво О618СМ29</t>
  </si>
  <si>
    <t>Смирнов Александр</t>
  </si>
  <si>
    <t>Скания О250СУ44</t>
  </si>
  <si>
    <t>TKRU3213977</t>
  </si>
  <si>
    <t>Орлов Павел</t>
  </si>
  <si>
    <t>RZDU0275270</t>
  </si>
  <si>
    <t>Загвоздин Алексей</t>
  </si>
  <si>
    <t>241024</t>
  </si>
  <si>
    <t>ХимБурСервис</t>
  </si>
  <si>
    <t>Аюпов Ильдар</t>
  </si>
  <si>
    <t>Донфенг Т542ТС196</t>
  </si>
  <si>
    <t>RZDU0721963</t>
  </si>
  <si>
    <t>RZDU0726203</t>
  </si>
  <si>
    <t>Дикин Олег</t>
  </si>
  <si>
    <t>DAF 282 AEI 07</t>
  </si>
  <si>
    <t>291024</t>
  </si>
  <si>
    <t>БС-080783(1-3)</t>
  </si>
  <si>
    <t>БС-080783(2-3)</t>
  </si>
  <si>
    <t>БС-080783(3-3)</t>
  </si>
  <si>
    <t>89306846846/87760720220</t>
  </si>
  <si>
    <t>Спец.№1</t>
  </si>
  <si>
    <t>АВК</t>
  </si>
  <si>
    <t>Сода кальцинированная</t>
  </si>
  <si>
    <t>Архангельск</t>
  </si>
  <si>
    <t>Скания г/н н356хт29</t>
  </si>
  <si>
    <t>8-953-930-46-55</t>
  </si>
  <si>
    <t>Щипунов Александр Валентинович</t>
  </si>
  <si>
    <t>301024</t>
  </si>
  <si>
    <t>311024</t>
  </si>
  <si>
    <t>БС-080924(1-2)</t>
  </si>
  <si>
    <t>011124</t>
  </si>
  <si>
    <t>БС-080924(2-2)</t>
  </si>
  <si>
    <t>021124</t>
  </si>
  <si>
    <t>RZDU0682975</t>
  </si>
  <si>
    <t>ПЭК</t>
  </si>
  <si>
    <t>Накл. 299950446972</t>
  </si>
  <si>
    <t>счет №351</t>
  </si>
  <si>
    <t>конт (Клото)</t>
  </si>
  <si>
    <t>061124</t>
  </si>
  <si>
    <t>Шмаков Александр</t>
  </si>
  <si>
    <t>ДАФ А 032 НА 45</t>
  </si>
  <si>
    <t>RZDU0698544</t>
  </si>
  <si>
    <t>ТКRU3174628</t>
  </si>
  <si>
    <t>GQRU3132561</t>
  </si>
  <si>
    <t>Камаз Е 999 СА 29</t>
  </si>
  <si>
    <t>МАЗ М 326 ОХ 29</t>
  </si>
  <si>
    <t>Вольво Т 681 МР 67</t>
  </si>
  <si>
    <t>151124</t>
  </si>
  <si>
    <t>Спец№55К</t>
  </si>
  <si>
    <t>Спец№54К</t>
  </si>
  <si>
    <t>Счет 383</t>
  </si>
  <si>
    <t>СНК</t>
  </si>
  <si>
    <t>131124</t>
  </si>
  <si>
    <t>Буденновск</t>
  </si>
  <si>
    <t>Газ Т 557 КВ 136</t>
  </si>
  <si>
    <t>Коляда Анатолий</t>
  </si>
  <si>
    <t>Спец№56К</t>
  </si>
  <si>
    <t>141124</t>
  </si>
  <si>
    <t>БС-082211(1-3)</t>
  </si>
  <si>
    <t>БС-082211(2-3)</t>
  </si>
  <si>
    <t>БС-082211(3-3)</t>
  </si>
  <si>
    <t>161124</t>
  </si>
  <si>
    <t>171124</t>
  </si>
  <si>
    <t>Спец№14(4-5)</t>
  </si>
  <si>
    <t>Спец№14(5-5)</t>
  </si>
  <si>
    <t>Сандак Сергей</t>
  </si>
  <si>
    <t>SHACMAN Е 904 РО 156</t>
  </si>
  <si>
    <t xml:space="preserve">DAF  Р 783 ОР 790            </t>
  </si>
  <si>
    <t>89608185086/87777918885</t>
  </si>
  <si>
    <t>Ащегулов Семен</t>
  </si>
  <si>
    <t>Спец 5</t>
  </si>
  <si>
    <t>Осокин Дмитрий Владимирович</t>
  </si>
  <si>
    <t xml:space="preserve">SCANIA М 870 КУ 198 </t>
  </si>
  <si>
    <t>Спец№37 (1-5)</t>
  </si>
  <si>
    <t>329/1</t>
  </si>
  <si>
    <t>329/2</t>
  </si>
  <si>
    <t>329/3</t>
  </si>
  <si>
    <t>329/4</t>
  </si>
  <si>
    <t>231124</t>
  </si>
  <si>
    <t>261124</t>
  </si>
  <si>
    <t>Спец№37 (2-5)</t>
  </si>
  <si>
    <t>329/5</t>
  </si>
  <si>
    <t>БС-079976(1-2)</t>
  </si>
  <si>
    <t>221124</t>
  </si>
  <si>
    <t>Заяц Анатолий</t>
  </si>
  <si>
    <t>Вольво К 120 НК 196</t>
  </si>
  <si>
    <t xml:space="preserve">DAF  У 594 ВА 790            </t>
  </si>
  <si>
    <t>89674825560/87052627456</t>
  </si>
  <si>
    <t>Черненков Юрий</t>
  </si>
  <si>
    <t>329/6</t>
  </si>
  <si>
    <t>329/7</t>
  </si>
  <si>
    <t>329/8</t>
  </si>
  <si>
    <t xml:space="preserve">Талашев Александр </t>
  </si>
  <si>
    <t>5674, 5675, 5676, 5678</t>
  </si>
  <si>
    <t>полностью</t>
  </si>
  <si>
    <t>авто(Клото)</t>
  </si>
  <si>
    <t>Шкуратов Дмитрий</t>
  </si>
  <si>
    <t>Мерседес Е 987 ХН 174</t>
  </si>
  <si>
    <t xml:space="preserve">89194045061/89514348410
8-919-404-50-61, 8-951-434-84-10
</t>
  </si>
  <si>
    <t>5689, 5690, 5691,5692</t>
  </si>
  <si>
    <t>5680, 5683</t>
  </si>
  <si>
    <t>89194045061/89514348410</t>
  </si>
  <si>
    <t>Меньшенин Владимир</t>
  </si>
  <si>
    <t>Мерседес Н 324 ЕН 774</t>
  </si>
  <si>
    <t>огружено</t>
  </si>
  <si>
    <t>Донгфенг, О997РХ159</t>
  </si>
  <si>
    <t>Козлов Сергей Владимирович</t>
  </si>
  <si>
    <t>Золотой Денис Викторович</t>
  </si>
  <si>
    <t>Ситрак К175УЕ-33</t>
  </si>
  <si>
    <t>8(906)674-99-74</t>
  </si>
  <si>
    <t>329/22</t>
  </si>
  <si>
    <t>329/23</t>
  </si>
  <si>
    <t>329/9</t>
  </si>
  <si>
    <t>5909, 5710, 5713</t>
  </si>
  <si>
    <t>5714,5715,5716,5797</t>
  </si>
  <si>
    <t>5799,5800,5801,5802,5818</t>
  </si>
  <si>
    <t>5681, 5682</t>
  </si>
  <si>
    <t>5819, 5820, 5821, 5822, 5823</t>
  </si>
  <si>
    <t>Нижневартовсск</t>
  </si>
  <si>
    <t>329/10</t>
  </si>
  <si>
    <t>329/11</t>
  </si>
  <si>
    <t>329/12</t>
  </si>
  <si>
    <t>спец№38</t>
  </si>
  <si>
    <t>20241202</t>
  </si>
  <si>
    <t>спец№15</t>
  </si>
  <si>
    <t>Волжский</t>
  </si>
  <si>
    <t>Даф К 358 ВО 53</t>
  </si>
  <si>
    <t>Баринов Владимир</t>
  </si>
  <si>
    <t>041224</t>
  </si>
  <si>
    <t>НЖВ</t>
  </si>
  <si>
    <t>Спец№59К</t>
  </si>
  <si>
    <t>Спец№60К</t>
  </si>
  <si>
    <t>051224</t>
  </si>
  <si>
    <t>329/13</t>
  </si>
  <si>
    <t>автоАриал+Ванюхин)</t>
  </si>
  <si>
    <t>Баянов Николай</t>
  </si>
  <si>
    <t>РЕНО Р 085 ЕХ 154</t>
  </si>
  <si>
    <t>Спец№57К</t>
  </si>
  <si>
    <t>Клото-Пушкино</t>
  </si>
  <si>
    <t>Пушкино-Атырау</t>
  </si>
  <si>
    <t>Никитин Игорь</t>
  </si>
  <si>
    <t>Газель У 491 ВС 76</t>
  </si>
  <si>
    <t>79608340879/87476119403</t>
  </si>
  <si>
    <t>Mercedes-Benz О119 КУ 790</t>
  </si>
  <si>
    <t>329/14</t>
  </si>
  <si>
    <t>Хохряков Сергей</t>
  </si>
  <si>
    <t xml:space="preserve">89828269847
</t>
  </si>
  <si>
    <t>Daf М 467 НУ 18</t>
  </si>
  <si>
    <t>Добрынин Александр</t>
  </si>
  <si>
    <t>Камаз Н 212 ТВ 35</t>
  </si>
  <si>
    <t>5824,5825,5966,5967,5968</t>
  </si>
  <si>
    <t>5969,5970,5971,5972,5973</t>
  </si>
  <si>
    <t>5974,5975,5976,5977,5978</t>
  </si>
  <si>
    <t>329/25</t>
  </si>
  <si>
    <t>329/26</t>
  </si>
  <si>
    <t>5711, 5712</t>
  </si>
  <si>
    <t>329/27</t>
  </si>
  <si>
    <t>Ариал+Ванюхин</t>
  </si>
  <si>
    <t>МАН К 733 ТТ 29</t>
  </si>
  <si>
    <t xml:space="preserve">Спец№37 (3-5) </t>
  </si>
  <si>
    <t>БС-084886</t>
  </si>
  <si>
    <t>091224</t>
  </si>
  <si>
    <t>Спец№37 (4-5)</t>
  </si>
  <si>
    <t>329/15</t>
  </si>
  <si>
    <t>329/16</t>
  </si>
  <si>
    <t>авто(КЛОТО)</t>
  </si>
  <si>
    <t>071224</t>
  </si>
  <si>
    <t>БС-084812(1-2)</t>
  </si>
  <si>
    <t>БС-084812(2-2)</t>
  </si>
  <si>
    <t>TKRU3124118</t>
  </si>
  <si>
    <t>TKRU3050910</t>
  </si>
  <si>
    <t>TKRU3077340</t>
  </si>
  <si>
    <t>5980,5981,5982,5983</t>
  </si>
  <si>
    <t>6004,6005,6006,6007,6008</t>
  </si>
  <si>
    <t>6023,6024,6025,6026,6027</t>
  </si>
  <si>
    <t>6066,6067,6068,6069,6070</t>
  </si>
  <si>
    <t>329/17</t>
  </si>
  <si>
    <t>Трубецкой Юрий</t>
  </si>
  <si>
    <t>Шакман Р 313 ВО 154</t>
  </si>
  <si>
    <t>спец№16</t>
  </si>
  <si>
    <t>20241212</t>
  </si>
  <si>
    <t>спец№39</t>
  </si>
  <si>
    <t>101224</t>
  </si>
  <si>
    <t>Спец№37 (5-5)</t>
  </si>
  <si>
    <t>329/18</t>
  </si>
  <si>
    <t>Барус</t>
  </si>
  <si>
    <t>Челябинск</t>
  </si>
  <si>
    <t>БС-084595</t>
  </si>
  <si>
    <t>БС-087056</t>
  </si>
  <si>
    <t>Попов Вадим</t>
  </si>
  <si>
    <t xml:space="preserve">Кутовой Юрий </t>
  </si>
  <si>
    <t xml:space="preserve">Daf К 298 МО 45 </t>
  </si>
  <si>
    <t>Daf К 298 МО 46</t>
  </si>
  <si>
    <t>Пьячев Владимир</t>
  </si>
  <si>
    <t>Ивеко У 848 ЕВ 174</t>
  </si>
  <si>
    <t>111224</t>
  </si>
  <si>
    <t>329/19</t>
  </si>
  <si>
    <t>329/20</t>
  </si>
  <si>
    <t>6091,6092,6093,6094,6095</t>
  </si>
  <si>
    <t>6072,6073,6074,6075</t>
  </si>
  <si>
    <t>6111,6112,6113,6114,6115</t>
  </si>
  <si>
    <t>6126,6127,6128,6129,6130</t>
  </si>
  <si>
    <t>Емшанов Тимофей</t>
  </si>
  <si>
    <t>Скания М 753 РТ 116</t>
  </si>
  <si>
    <t>121224</t>
  </si>
  <si>
    <t>Спец№61К</t>
  </si>
  <si>
    <t>Спец№62К</t>
  </si>
  <si>
    <t>Спец№58К</t>
  </si>
  <si>
    <t>141224</t>
  </si>
  <si>
    <t>ВОЛЬВО О 025 СМ 29</t>
  </si>
  <si>
    <t>BLACKTROL ж - 210 кг п/эт</t>
  </si>
  <si>
    <t xml:space="preserve">Самойлов Вячеслав </t>
  </si>
  <si>
    <t>ИВЕКО О 666 ТР 44</t>
  </si>
  <si>
    <t>Смирнов Игорь</t>
  </si>
  <si>
    <t>161224</t>
  </si>
  <si>
    <t>Тарасов Илья</t>
  </si>
  <si>
    <t xml:space="preserve">ДАФ О 504 УО 44 </t>
  </si>
  <si>
    <t>TKRU3015499</t>
  </si>
  <si>
    <t>TKRU3007744</t>
  </si>
  <si>
    <t>БС-087597</t>
  </si>
  <si>
    <t>231224</t>
  </si>
  <si>
    <t>Закиев Назим</t>
  </si>
  <si>
    <t xml:space="preserve">MERCEDES  Н 264 КХ 716 </t>
  </si>
  <si>
    <t>251224</t>
  </si>
  <si>
    <t>MERCEDES Н 552 ТА 716</t>
  </si>
  <si>
    <t>Кульков Валерий</t>
  </si>
  <si>
    <t>ДАФ Х 719 ЕК 196</t>
  </si>
  <si>
    <t>Малков Сергей</t>
  </si>
  <si>
    <t>SITRAK У 262 АТ 152</t>
  </si>
  <si>
    <t xml:space="preserve"> Шемякин Анатолий</t>
  </si>
  <si>
    <t>авто(Дом Камня)</t>
  </si>
  <si>
    <t>Спец.24112</t>
  </si>
  <si>
    <t>221224</t>
  </si>
  <si>
    <t>Спец№63К</t>
  </si>
  <si>
    <t>Кутовой Юрий</t>
  </si>
  <si>
    <t>DAF К 298 МО 46</t>
  </si>
  <si>
    <t>DAF Е 074 МЕ 45</t>
  </si>
  <si>
    <t>Спец№145(1-2)</t>
  </si>
  <si>
    <t>ASPHO-SLIDE - бум 25,0 кг</t>
  </si>
  <si>
    <t>241224</t>
  </si>
  <si>
    <t>Спец№145(2-2)</t>
  </si>
  <si>
    <t>261224</t>
  </si>
  <si>
    <t>Голиков Николай</t>
  </si>
  <si>
    <t>Котеля Виталий</t>
  </si>
  <si>
    <t>СКАНИЯ К 538 КТ 147</t>
  </si>
  <si>
    <t>ВОЛЬВО Н 864 КА 198</t>
  </si>
  <si>
    <t>авто(Арбат)</t>
  </si>
  <si>
    <t xml:space="preserve">SHACMAN К 914 ОВ 702  </t>
  </si>
  <si>
    <t xml:space="preserve">КАРИМОВ АЙРАТ </t>
  </si>
  <si>
    <t>Ащегулов Семен 89608185086/87777918885 Вольво Т 681 МР 67</t>
  </si>
  <si>
    <t>BURTONE R - бум 25,0 кг</t>
  </si>
  <si>
    <t>СУПЕРСЛАЙДЕР ГОЛД - 28 кг канистра</t>
  </si>
  <si>
    <t>Татарский Николай</t>
  </si>
  <si>
    <t>TKRU3282962</t>
  </si>
  <si>
    <t>Спец№35(1-2)</t>
  </si>
  <si>
    <t>Спец№35(2-2)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</si>
</sst>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[$-419]mmmm\ yyyy;@"/>
    <numFmt numFmtId="166" formatCode="0.000"/>
    <numFmt numFmtId="167" formatCode="#,##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6"/>
      <color theme="1"/>
      <name val="Calibri"/>
      <family val="2"/>
      <scheme val="minor"/>
    </font>
    <font>
      <b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scheme val="minor"/>
    </font>
    <font>
      <sz val="6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1A1A1A"/>
      <name val="Arial"/>
      <family val="2"/>
      <charset val="204"/>
    </font>
    <font>
      <sz val="11"/>
      <name val="Calibri"/>
      <family val="2"/>
      <charset val="204"/>
    </font>
    <font>
      <sz val="11"/>
      <color rgb="FF1A1A1A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8E4EC"/>
        <bgColor indexed="64"/>
      </patternFill>
    </fill>
    <fill>
      <patternFill patternType="solid">
        <fgColor rgb="FFE89AD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04">
    <xf numFmtId="0" fontId="0" fillId="0" borderId="0" xfId="0"/>
    <xf numFmtId="0" fontId="12" fillId="9" borderId="7" xfId="0" applyFont="1" applyFill="1" applyBorder="1" applyAlignment="1">
      <alignment wrapText="1"/>
    </xf>
    <xf numFmtId="0" fontId="11" fillId="9" borderId="7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0" fillId="11" borderId="1" xfId="0" applyFill="1" applyBorder="1" applyAlignment="1">
      <alignment horizontal="center"/>
    </xf>
    <xf numFmtId="0" fontId="9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1" fontId="15" fillId="15" borderId="13" xfId="0" applyNumberFormat="1" applyFont="1" applyFill="1" applyBorder="1" applyAlignment="1">
      <alignment horizontal="center" shrinkToFit="1"/>
    </xf>
    <xf numFmtId="1" fontId="18" fillId="9" borderId="14" xfId="0" applyNumberFormat="1" applyFont="1" applyFill="1" applyBorder="1" applyAlignment="1">
      <alignment horizontal="center" shrinkToFit="1"/>
    </xf>
    <xf numFmtId="14" fontId="19" fillId="0" borderId="0" xfId="0" applyNumberFormat="1" applyFont="1"/>
    <xf numFmtId="0" fontId="19" fillId="0" borderId="0" xfId="0" applyFont="1"/>
    <xf numFmtId="164" fontId="20" fillId="15" borderId="12" xfId="0" applyNumberFormat="1" applyFont="1" applyFill="1" applyBorder="1" applyAlignment="1">
      <alignment horizontal="center"/>
    </xf>
    <xf numFmtId="164" fontId="20" fillId="15" borderId="16" xfId="0" applyNumberFormat="1" applyFont="1" applyFill="1" applyBorder="1" applyAlignment="1">
      <alignment horizontal="center"/>
    </xf>
    <xf numFmtId="1" fontId="14" fillId="9" borderId="16" xfId="0" applyNumberFormat="1" applyFont="1" applyFill="1" applyBorder="1" applyAlignment="1">
      <alignment horizontal="center" shrinkToFit="1"/>
    </xf>
    <xf numFmtId="1" fontId="14" fillId="9" borderId="21" xfId="0" applyNumberFormat="1" applyFont="1" applyFill="1" applyBorder="1" applyAlignment="1">
      <alignment horizontal="center" shrinkToFit="1"/>
    </xf>
    <xf numFmtId="0" fontId="21" fillId="16" borderId="17" xfId="0" applyFont="1" applyFill="1" applyBorder="1" applyAlignment="1">
      <alignment horizontal="center" vertical="center" wrapText="1"/>
    </xf>
    <xf numFmtId="164" fontId="21" fillId="16" borderId="16" xfId="0" applyNumberFormat="1" applyFont="1" applyFill="1" applyBorder="1" applyAlignment="1">
      <alignment horizontal="center"/>
    </xf>
    <xf numFmtId="0" fontId="21" fillId="16" borderId="15" xfId="0" applyFont="1" applyFill="1" applyBorder="1" applyAlignment="1">
      <alignment horizontal="center" vertical="center" wrapText="1"/>
    </xf>
    <xf numFmtId="0" fontId="22" fillId="16" borderId="15" xfId="0" applyFont="1" applyFill="1" applyBorder="1" applyAlignment="1">
      <alignment horizontal="center" vertical="center" wrapText="1"/>
    </xf>
    <xf numFmtId="164" fontId="21" fillId="16" borderId="19" xfId="0" applyNumberFormat="1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 vertical="center" wrapText="1"/>
    </xf>
    <xf numFmtId="0" fontId="21" fillId="16" borderId="20" xfId="0" applyFont="1" applyFill="1" applyBorder="1" applyAlignment="1">
      <alignment horizontal="center" vertical="center" wrapText="1"/>
    </xf>
    <xf numFmtId="0" fontId="22" fillId="15" borderId="12" xfId="0" applyFont="1" applyFill="1" applyBorder="1" applyAlignment="1">
      <alignment horizontal="center" vertical="center" wrapText="1"/>
    </xf>
    <xf numFmtId="0" fontId="22" fillId="15" borderId="15" xfId="0" applyFont="1" applyFill="1" applyBorder="1" applyAlignment="1">
      <alignment horizontal="center" vertical="center" wrapText="1"/>
    </xf>
    <xf numFmtId="0" fontId="22" fillId="15" borderId="16" xfId="0" applyFont="1" applyFill="1" applyBorder="1" applyAlignment="1">
      <alignment horizontal="center" vertical="center" wrapText="1"/>
    </xf>
    <xf numFmtId="1" fontId="0" fillId="0" borderId="0" xfId="0" applyNumberFormat="1"/>
    <xf numFmtId="0" fontId="21" fillId="16" borderId="22" xfId="0" applyFont="1" applyFill="1" applyBorder="1" applyAlignment="1">
      <alignment horizontal="center" vertical="center" wrapText="1"/>
    </xf>
    <xf numFmtId="164" fontId="21" fillId="16" borderId="12" xfId="0" applyNumberFormat="1" applyFont="1" applyFill="1" applyBorder="1" applyAlignment="1">
      <alignment horizontal="center"/>
    </xf>
    <xf numFmtId="1" fontId="15" fillId="15" borderId="23" xfId="0" applyNumberFormat="1" applyFont="1" applyFill="1" applyBorder="1" applyAlignment="1">
      <alignment horizontal="center" shrinkToFit="1"/>
    </xf>
    <xf numFmtId="1" fontId="14" fillId="9" borderId="12" xfId="0" applyNumberFormat="1" applyFont="1" applyFill="1" applyBorder="1" applyAlignment="1">
      <alignment horizontal="center" shrinkToFit="1"/>
    </xf>
    <xf numFmtId="0" fontId="21" fillId="16" borderId="24" xfId="0" applyFont="1" applyFill="1" applyBorder="1" applyAlignment="1">
      <alignment horizontal="center" vertical="center" wrapText="1"/>
    </xf>
    <xf numFmtId="164" fontId="21" fillId="16" borderId="21" xfId="0" applyNumberFormat="1" applyFont="1" applyFill="1" applyBorder="1" applyAlignment="1">
      <alignment horizontal="center"/>
    </xf>
    <xf numFmtId="0" fontId="17" fillId="9" borderId="25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center" vertical="center"/>
    </xf>
    <xf numFmtId="0" fontId="17" fillId="14" borderId="25" xfId="0" applyFont="1" applyFill="1" applyBorder="1" applyAlignment="1">
      <alignment horizontal="center" vertical="center"/>
    </xf>
    <xf numFmtId="1" fontId="18" fillId="9" borderId="12" xfId="0" applyNumberFormat="1" applyFont="1" applyFill="1" applyBorder="1" applyAlignment="1">
      <alignment horizontal="center" shrinkToFit="1"/>
    </xf>
    <xf numFmtId="0" fontId="22" fillId="15" borderId="24" xfId="0" applyFont="1" applyFill="1" applyBorder="1" applyAlignment="1">
      <alignment horizontal="center" vertical="center" wrapText="1"/>
    </xf>
    <xf numFmtId="164" fontId="20" fillId="15" borderId="21" xfId="0" applyNumberFormat="1" applyFont="1" applyFill="1" applyBorder="1" applyAlignment="1">
      <alignment horizontal="center"/>
    </xf>
    <xf numFmtId="1" fontId="15" fillId="15" borderId="26" xfId="0" applyNumberFormat="1" applyFont="1" applyFill="1" applyBorder="1" applyAlignment="1">
      <alignment horizontal="center" shrinkToFit="1"/>
    </xf>
    <xf numFmtId="1" fontId="18" fillId="9" borderId="27" xfId="0" applyNumberFormat="1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11" fillId="9" borderId="29" xfId="0" applyFont="1" applyFill="1" applyBorder="1" applyAlignment="1">
      <alignment wrapText="1"/>
    </xf>
    <xf numFmtId="14" fontId="0" fillId="11" borderId="1" xfId="0" applyNumberFormat="1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0" fillId="17" borderId="0" xfId="0" applyFont="1" applyFill="1" applyBorder="1" applyAlignment="1">
      <alignment horizontal="center"/>
    </xf>
    <xf numFmtId="0" fontId="0" fillId="17" borderId="0" xfId="0" applyFill="1"/>
    <xf numFmtId="0" fontId="10" fillId="17" borderId="0" xfId="0" applyFont="1" applyFill="1" applyBorder="1" applyAlignment="1"/>
    <xf numFmtId="49" fontId="24" fillId="11" borderId="1" xfId="0" applyNumberFormat="1" applyFont="1" applyFill="1" applyBorder="1" applyAlignment="1">
      <alignment horizontal="center"/>
    </xf>
    <xf numFmtId="3" fontId="0" fillId="11" borderId="1" xfId="0" applyNumberFormat="1" applyFill="1" applyBorder="1"/>
    <xf numFmtId="0" fontId="0" fillId="11" borderId="1" xfId="0" applyFill="1" applyBorder="1" applyAlignment="1">
      <alignment horizontal="left"/>
    </xf>
    <xf numFmtId="0" fontId="0" fillId="11" borderId="0" xfId="0" applyFill="1"/>
    <xf numFmtId="0" fontId="0" fillId="15" borderId="0" xfId="0" applyFill="1"/>
    <xf numFmtId="0" fontId="0" fillId="11" borderId="1" xfId="0" applyFill="1" applyBorder="1" applyAlignment="1">
      <alignment horizontal="center" vertical="center"/>
    </xf>
    <xf numFmtId="165" fontId="10" fillId="9" borderId="0" xfId="0" applyNumberFormat="1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0" applyFont="1"/>
    <xf numFmtId="14" fontId="25" fillId="0" borderId="0" xfId="0" applyNumberFormat="1" applyFont="1"/>
    <xf numFmtId="0" fontId="25" fillId="0" borderId="0" xfId="0" applyFont="1"/>
    <xf numFmtId="0" fontId="9" fillId="0" borderId="0" xfId="0" applyFont="1" applyAlignment="1">
      <alignment horizontal="center"/>
    </xf>
    <xf numFmtId="0" fontId="17" fillId="11" borderId="31" xfId="0" applyFont="1" applyFill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left" vertical="center" wrapText="1"/>
    </xf>
    <xf numFmtId="2" fontId="20" fillId="8" borderId="12" xfId="0" applyNumberFormat="1" applyFont="1" applyFill="1" applyBorder="1" applyAlignment="1">
      <alignment horizontal="center"/>
    </xf>
    <xf numFmtId="1" fontId="15" fillId="8" borderId="10" xfId="0" applyNumberFormat="1" applyFont="1" applyFill="1" applyBorder="1" applyAlignment="1">
      <alignment horizontal="center" shrinkToFit="1"/>
    </xf>
    <xf numFmtId="0" fontId="20" fillId="8" borderId="15" xfId="0" applyFont="1" applyFill="1" applyBorder="1" applyAlignment="1">
      <alignment horizontal="left" vertical="center" wrapText="1"/>
    </xf>
    <xf numFmtId="164" fontId="20" fillId="8" borderId="16" xfId="0" applyNumberFormat="1" applyFont="1" applyFill="1" applyBorder="1" applyAlignment="1">
      <alignment horizontal="center"/>
    </xf>
    <xf numFmtId="0" fontId="20" fillId="8" borderId="16" xfId="0" applyFont="1" applyFill="1" applyBorder="1" applyAlignment="1">
      <alignment horizontal="left" vertical="center" wrapText="1"/>
    </xf>
    <xf numFmtId="0" fontId="20" fillId="8" borderId="20" xfId="0" applyFont="1" applyFill="1" applyBorder="1" applyAlignment="1">
      <alignment horizontal="left" vertical="center" wrapText="1"/>
    </xf>
    <xf numFmtId="164" fontId="20" fillId="8" borderId="19" xfId="0" applyNumberFormat="1" applyFont="1" applyFill="1" applyBorder="1" applyAlignment="1">
      <alignment horizontal="center"/>
    </xf>
    <xf numFmtId="1" fontId="15" fillId="7" borderId="10" xfId="0" applyNumberFormat="1" applyFont="1" applyFill="1" applyBorder="1" applyAlignment="1">
      <alignment horizontal="center" shrinkToFit="1"/>
    </xf>
    <xf numFmtId="1" fontId="18" fillId="9" borderId="19" xfId="0" applyNumberFormat="1" applyFont="1" applyFill="1" applyBorder="1" applyAlignment="1">
      <alignment horizontal="center" shrinkToFit="1"/>
    </xf>
    <xf numFmtId="164" fontId="26" fillId="7" borderId="16" xfId="0" applyNumberFormat="1" applyFont="1" applyFill="1" applyBorder="1" applyAlignment="1">
      <alignment horizontal="center"/>
    </xf>
    <xf numFmtId="0" fontId="26" fillId="7" borderId="15" xfId="0" applyFont="1" applyFill="1" applyBorder="1" applyAlignment="1">
      <alignment horizontal="left" vertical="center" wrapText="1"/>
    </xf>
    <xf numFmtId="2" fontId="26" fillId="7" borderId="16" xfId="0" applyNumberFormat="1" applyFont="1" applyFill="1" applyBorder="1" applyAlignment="1">
      <alignment horizontal="center"/>
    </xf>
    <xf numFmtId="164" fontId="26" fillId="7" borderId="19" xfId="0" applyNumberFormat="1" applyFont="1" applyFill="1" applyBorder="1" applyAlignment="1">
      <alignment horizontal="center"/>
    </xf>
    <xf numFmtId="0" fontId="26" fillId="7" borderId="16" xfId="0" applyFont="1" applyFill="1" applyBorder="1" applyAlignment="1">
      <alignment horizontal="left" vertical="center" wrapText="1"/>
    </xf>
    <xf numFmtId="0" fontId="26" fillId="7" borderId="20" xfId="0" applyFont="1" applyFill="1" applyBorder="1" applyAlignment="1">
      <alignment horizontal="left" vertical="center" wrapText="1"/>
    </xf>
    <xf numFmtId="0" fontId="26" fillId="7" borderId="32" xfId="0" applyFont="1" applyFill="1" applyBorder="1" applyAlignment="1">
      <alignment horizontal="left" vertical="center" wrapText="1"/>
    </xf>
    <xf numFmtId="164" fontId="26" fillId="7" borderId="33" xfId="0" applyNumberFormat="1" applyFont="1" applyFill="1" applyBorder="1" applyAlignment="1">
      <alignment horizontal="center"/>
    </xf>
    <xf numFmtId="164" fontId="26" fillId="7" borderId="21" xfId="0" applyNumberFormat="1" applyFont="1" applyFill="1" applyBorder="1" applyAlignment="1">
      <alignment horizontal="center"/>
    </xf>
    <xf numFmtId="0" fontId="24" fillId="11" borderId="1" xfId="0" applyFont="1" applyFill="1" applyBorder="1" applyAlignment="1">
      <alignment horizontal="center"/>
    </xf>
    <xf numFmtId="0" fontId="24" fillId="11" borderId="1" xfId="0" applyFont="1" applyFill="1" applyBorder="1" applyAlignment="1">
      <alignment horizontal="center" vertical="center"/>
    </xf>
    <xf numFmtId="0" fontId="0" fillId="18" borderId="1" xfId="0" applyFill="1" applyBorder="1"/>
    <xf numFmtId="3" fontId="0" fillId="11" borderId="8" xfId="0" applyNumberFormat="1" applyFill="1" applyBorder="1"/>
    <xf numFmtId="0" fontId="0" fillId="0" borderId="1" xfId="0" applyBorder="1"/>
    <xf numFmtId="3" fontId="0" fillId="0" borderId="1" xfId="0" applyNumberFormat="1" applyBorder="1"/>
    <xf numFmtId="2" fontId="20" fillId="8" borderId="16" xfId="0" applyNumberFormat="1" applyFont="1" applyFill="1" applyBorder="1" applyAlignment="1">
      <alignment horizontal="center"/>
    </xf>
    <xf numFmtId="0" fontId="0" fillId="11" borderId="0" xfId="0" applyFill="1" applyBorder="1" applyAlignment="1">
      <alignment horizontal="center" vertical="center"/>
    </xf>
    <xf numFmtId="0" fontId="0" fillId="11" borderId="1" xfId="0" applyFill="1" applyBorder="1" applyAlignment="1"/>
    <xf numFmtId="0" fontId="0" fillId="11" borderId="1" xfId="0" applyFill="1" applyBorder="1" applyAlignment="1">
      <alignment horizontal="left" vertical="top"/>
    </xf>
    <xf numFmtId="14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66" fontId="11" fillId="9" borderId="1" xfId="0" applyNumberFormat="1" applyFont="1" applyFill="1" applyBorder="1" applyAlignment="1">
      <alignment wrapText="1"/>
    </xf>
    <xf numFmtId="166" fontId="11" fillId="9" borderId="2" xfId="0" applyNumberFormat="1" applyFont="1" applyFill="1" applyBorder="1" applyAlignment="1">
      <alignment wrapText="1"/>
    </xf>
    <xf numFmtId="166" fontId="12" fillId="9" borderId="1" xfId="0" applyNumberFormat="1" applyFont="1" applyFill="1" applyBorder="1" applyAlignment="1">
      <alignment wrapText="1"/>
    </xf>
    <xf numFmtId="166" fontId="11" fillId="9" borderId="1" xfId="0" applyNumberFormat="1" applyFont="1" applyFill="1" applyBorder="1"/>
    <xf numFmtId="166" fontId="11" fillId="9" borderId="4" xfId="0" applyNumberFormat="1" applyFont="1" applyFill="1" applyBorder="1" applyAlignment="1">
      <alignment wrapText="1"/>
    </xf>
    <xf numFmtId="0" fontId="0" fillId="11" borderId="1" xfId="0" applyNumberFormat="1" applyFill="1" applyBorder="1"/>
    <xf numFmtId="0" fontId="0" fillId="11" borderId="1" xfId="0" applyNumberFormat="1" applyFill="1" applyBorder="1" applyAlignment="1">
      <alignment horizontal="center" vertical="center"/>
    </xf>
    <xf numFmtId="4" fontId="0" fillId="11" borderId="1" xfId="0" applyNumberFormat="1" applyFill="1" applyBorder="1"/>
    <xf numFmtId="0" fontId="0" fillId="11" borderId="1" xfId="0" applyNumberFormat="1" applyFill="1" applyBorder="1" applyAlignment="1">
      <alignment horizontal="left"/>
    </xf>
    <xf numFmtId="3" fontId="0" fillId="11" borderId="1" xfId="0" applyNumberFormat="1" applyFill="1" applyBorder="1" applyAlignment="1">
      <alignment horizontal="left"/>
    </xf>
    <xf numFmtId="0" fontId="0" fillId="11" borderId="1" xfId="0" applyNumberForma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17" borderId="0" xfId="0" applyFont="1" applyFill="1" applyBorder="1" applyAlignment="1">
      <alignment horizontal="left"/>
    </xf>
    <xf numFmtId="0" fontId="9" fillId="5" borderId="8" xfId="0" applyFont="1" applyFill="1" applyBorder="1" applyAlignment="1">
      <alignment horizontal="left" vertical="center"/>
    </xf>
    <xf numFmtId="0" fontId="0" fillId="11" borderId="1" xfId="0" applyNumberFormat="1" applyFill="1" applyBorder="1" applyAlignment="1">
      <alignment horizontal="left" vertical="top"/>
    </xf>
    <xf numFmtId="0" fontId="9" fillId="13" borderId="1" xfId="0" applyFont="1" applyFill="1" applyBorder="1"/>
    <xf numFmtId="0" fontId="10" fillId="17" borderId="0" xfId="0" applyFont="1" applyFill="1" applyBorder="1" applyAlignment="1">
      <alignment horizontal="center" vertical="center"/>
    </xf>
    <xf numFmtId="0" fontId="0" fillId="9" borderId="28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0" fillId="9" borderId="6" xfId="0" applyFont="1" applyFill="1" applyBorder="1" applyAlignment="1">
      <alignment horizontal="center" vertical="center" wrapText="1"/>
    </xf>
    <xf numFmtId="0" fontId="0" fillId="9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horizontal="center"/>
    </xf>
    <xf numFmtId="0" fontId="23" fillId="0" borderId="0" xfId="0" applyFont="1"/>
    <xf numFmtId="0" fontId="23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left"/>
    </xf>
    <xf numFmtId="0" fontId="23" fillId="0" borderId="1" xfId="0" applyFont="1" applyBorder="1"/>
    <xf numFmtId="0" fontId="23" fillId="0" borderId="1" xfId="0" applyFont="1" applyFill="1" applyBorder="1"/>
    <xf numFmtId="0" fontId="23" fillId="0" borderId="1" xfId="0" applyFont="1" applyBorder="1" applyAlignment="1">
      <alignment vertical="top" wrapText="1"/>
    </xf>
    <xf numFmtId="0" fontId="14" fillId="0" borderId="0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top"/>
    </xf>
    <xf numFmtId="0" fontId="0" fillId="0" borderId="0" xfId="0" applyBorder="1" applyAlignment="1">
      <alignment horizontal="center"/>
    </xf>
    <xf numFmtId="0" fontId="23" fillId="0" borderId="1" xfId="0" applyFont="1" applyFill="1" applyBorder="1" applyAlignment="1">
      <alignment horizontal="left"/>
    </xf>
    <xf numFmtId="0" fontId="20" fillId="13" borderId="20" xfId="0" applyFont="1" applyFill="1" applyBorder="1" applyAlignment="1">
      <alignment horizontal="left" vertical="center" wrapText="1"/>
    </xf>
    <xf numFmtId="164" fontId="20" fillId="13" borderId="16" xfId="0" applyNumberFormat="1" applyFont="1" applyFill="1" applyBorder="1" applyAlignment="1">
      <alignment horizontal="center"/>
    </xf>
    <xf numFmtId="1" fontId="15" fillId="13" borderId="10" xfId="0" applyNumberFormat="1" applyFont="1" applyFill="1" applyBorder="1" applyAlignment="1">
      <alignment horizontal="center" shrinkToFit="1"/>
    </xf>
    <xf numFmtId="1" fontId="18" fillId="13" borderId="14" xfId="0" applyNumberFormat="1" applyFont="1" applyFill="1" applyBorder="1" applyAlignment="1">
      <alignment horizontal="center" shrinkToFit="1"/>
    </xf>
    <xf numFmtId="0" fontId="20" fillId="13" borderId="15" xfId="0" applyFont="1" applyFill="1" applyBorder="1" applyAlignment="1">
      <alignment horizontal="left" vertical="center" wrapText="1"/>
    </xf>
    <xf numFmtId="0" fontId="20" fillId="13" borderId="17" xfId="0" applyFont="1" applyFill="1" applyBorder="1" applyAlignment="1">
      <alignment horizontal="left" vertical="center" wrapText="1"/>
    </xf>
    <xf numFmtId="0" fontId="26" fillId="13" borderId="17" xfId="0" applyFont="1" applyFill="1" applyBorder="1" applyAlignment="1">
      <alignment horizontal="left" vertical="center" wrapText="1"/>
    </xf>
    <xf numFmtId="164" fontId="26" fillId="13" borderId="16" xfId="0" applyNumberFormat="1" applyFont="1" applyFill="1" applyBorder="1" applyAlignment="1">
      <alignment horizontal="center"/>
    </xf>
    <xf numFmtId="0" fontId="26" fillId="13" borderId="15" xfId="0" applyFont="1" applyFill="1" applyBorder="1" applyAlignment="1">
      <alignment horizontal="left" vertical="center" wrapText="1"/>
    </xf>
    <xf numFmtId="164" fontId="26" fillId="13" borderId="19" xfId="0" applyNumberFormat="1" applyFont="1" applyFill="1" applyBorder="1" applyAlignment="1">
      <alignment horizontal="center"/>
    </xf>
    <xf numFmtId="2" fontId="20" fillId="13" borderId="16" xfId="0" applyNumberFormat="1" applyFont="1" applyFill="1" applyBorder="1" applyAlignment="1">
      <alignment horizontal="center"/>
    </xf>
    <xf numFmtId="2" fontId="26" fillId="13" borderId="16" xfId="0" applyNumberFormat="1" applyFont="1" applyFill="1" applyBorder="1" applyAlignment="1">
      <alignment horizontal="center"/>
    </xf>
    <xf numFmtId="0" fontId="26" fillId="13" borderId="20" xfId="0" applyFont="1" applyFill="1" applyBorder="1" applyAlignment="1">
      <alignment horizontal="left" vertical="center" wrapText="1"/>
    </xf>
    <xf numFmtId="0" fontId="26" fillId="13" borderId="16" xfId="0" applyFont="1" applyFill="1" applyBorder="1" applyAlignment="1">
      <alignment horizontal="left" vertical="center" wrapText="1"/>
    </xf>
    <xf numFmtId="3" fontId="24" fillId="11" borderId="8" xfId="0" applyNumberFormat="1" applyFont="1" applyFill="1" applyBorder="1"/>
    <xf numFmtId="0" fontId="0" fillId="20" borderId="1" xfId="0" applyFill="1" applyBorder="1" applyAlignment="1">
      <alignment horizontal="center"/>
    </xf>
    <xf numFmtId="0" fontId="15" fillId="20" borderId="1" xfId="0" applyFont="1" applyFill="1" applyBorder="1" applyAlignment="1">
      <alignment horizontal="center"/>
    </xf>
    <xf numFmtId="0" fontId="15" fillId="20" borderId="1" xfId="0" applyFont="1" applyFill="1" applyBorder="1" applyAlignment="1">
      <alignment horizontal="center" vertical="center"/>
    </xf>
    <xf numFmtId="49" fontId="0" fillId="20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 vertical="center"/>
    </xf>
    <xf numFmtId="14" fontId="0" fillId="20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left" vertical="center"/>
    </xf>
    <xf numFmtId="0" fontId="0" fillId="20" borderId="1" xfId="0" applyFill="1" applyBorder="1"/>
    <xf numFmtId="3" fontId="0" fillId="20" borderId="8" xfId="0" applyNumberFormat="1" applyFill="1" applyBorder="1"/>
    <xf numFmtId="3" fontId="0" fillId="20" borderId="1" xfId="0" applyNumberFormat="1" applyFill="1" applyBorder="1"/>
    <xf numFmtId="0" fontId="0" fillId="20" borderId="0" xfId="0" applyFill="1"/>
    <xf numFmtId="14" fontId="0" fillId="11" borderId="1" xfId="0" applyNumberFormat="1" applyFill="1" applyBorder="1" applyAlignment="1">
      <alignment vertical="center"/>
    </xf>
    <xf numFmtId="14" fontId="0" fillId="11" borderId="9" xfId="0" applyNumberFormat="1" applyFill="1" applyBorder="1" applyAlignment="1">
      <alignment vertical="center"/>
    </xf>
    <xf numFmtId="2" fontId="26" fillId="13" borderId="19" xfId="0" applyNumberFormat="1" applyFon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4" borderId="0" xfId="0" applyFill="1"/>
    <xf numFmtId="0" fontId="0" fillId="11" borderId="2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horizontal="left"/>
    </xf>
    <xf numFmtId="167" fontId="0" fillId="0" borderId="1" xfId="0" applyNumberFormat="1" applyBorder="1"/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49" fontId="0" fillId="11" borderId="1" xfId="0" applyNumberFormat="1" applyFill="1" applyBorder="1" applyAlignment="1">
      <alignment horizontal="left"/>
    </xf>
    <xf numFmtId="0" fontId="0" fillId="11" borderId="2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15" fillId="21" borderId="1" xfId="0" applyFont="1" applyFill="1" applyBorder="1" applyAlignment="1">
      <alignment horizontal="center" vertical="center"/>
    </xf>
    <xf numFmtId="49" fontId="0" fillId="21" borderId="1" xfId="0" applyNumberFormat="1" applyFill="1" applyBorder="1" applyAlignment="1">
      <alignment horizontal="center"/>
    </xf>
    <xf numFmtId="14" fontId="0" fillId="21" borderId="1" xfId="0" applyNumberFormat="1" applyFill="1" applyBorder="1" applyAlignment="1">
      <alignment horizontal="center" vertical="center"/>
    </xf>
    <xf numFmtId="0" fontId="0" fillId="21" borderId="1" xfId="0" applyNumberFormat="1" applyFill="1" applyBorder="1" applyAlignment="1">
      <alignment horizontal="left"/>
    </xf>
    <xf numFmtId="0" fontId="0" fillId="21" borderId="1" xfId="0" applyFill="1" applyBorder="1" applyAlignment="1">
      <alignment horizontal="left"/>
    </xf>
    <xf numFmtId="14" fontId="0" fillId="21" borderId="1" xfId="0" applyNumberFormat="1" applyFill="1" applyBorder="1" applyAlignment="1">
      <alignment horizontal="left" vertical="center"/>
    </xf>
    <xf numFmtId="0" fontId="0" fillId="21" borderId="1" xfId="0" applyFill="1" applyBorder="1"/>
    <xf numFmtId="3" fontId="0" fillId="21" borderId="8" xfId="0" applyNumberFormat="1" applyFill="1" applyBorder="1"/>
    <xf numFmtId="3" fontId="0" fillId="21" borderId="1" xfId="0" applyNumberFormat="1" applyFill="1" applyBorder="1"/>
    <xf numFmtId="0" fontId="0" fillId="21" borderId="0" xfId="0" applyFill="1"/>
    <xf numFmtId="0" fontId="0" fillId="21" borderId="1" xfId="0" applyFill="1" applyBorder="1" applyAlignment="1">
      <alignment horizontal="left" vertical="center"/>
    </xf>
    <xf numFmtId="0" fontId="24" fillId="21" borderId="1" xfId="0" applyFont="1" applyFill="1" applyBorder="1" applyAlignment="1">
      <alignment horizontal="center" vertical="center"/>
    </xf>
    <xf numFmtId="3" fontId="0" fillId="21" borderId="1" xfId="0" applyNumberFormat="1" applyFill="1" applyBorder="1" applyAlignment="1">
      <alignment horizontal="left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29" fillId="11" borderId="13" xfId="0" applyFont="1" applyFill="1" applyBorder="1" applyAlignment="1">
      <alignment horizontal="center" vertical="center" wrapText="1"/>
    </xf>
    <xf numFmtId="14" fontId="29" fillId="11" borderId="1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/>
    </xf>
    <xf numFmtId="0" fontId="29" fillId="11" borderId="2" xfId="0" applyFont="1" applyFill="1" applyBorder="1" applyAlignment="1">
      <alignment horizontal="center" vertical="center" wrapText="1"/>
    </xf>
    <xf numFmtId="0" fontId="30" fillId="11" borderId="13" xfId="0" applyFont="1" applyFill="1" applyBorder="1" applyAlignment="1">
      <alignment horizontal="center" vertical="center" wrapText="1"/>
    </xf>
    <xf numFmtId="0" fontId="29" fillId="11" borderId="13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left"/>
    </xf>
    <xf numFmtId="0" fontId="0" fillId="11" borderId="1" xfId="0" applyFont="1" applyFill="1" applyBorder="1"/>
    <xf numFmtId="0" fontId="0" fillId="11" borderId="1" xfId="0" applyFont="1" applyFill="1" applyBorder="1" applyAlignment="1">
      <alignment horizontal="center"/>
    </xf>
    <xf numFmtId="3" fontId="0" fillId="11" borderId="8" xfId="0" applyNumberFormat="1" applyFont="1" applyFill="1" applyBorder="1"/>
    <xf numFmtId="4" fontId="0" fillId="11" borderId="1" xfId="0" applyNumberFormat="1" applyFont="1" applyFill="1" applyBorder="1"/>
    <xf numFmtId="0" fontId="0" fillId="11" borderId="0" xfId="0" applyFont="1" applyFill="1"/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15" fillId="22" borderId="1" xfId="0" applyFont="1" applyFill="1" applyBorder="1" applyAlignment="1">
      <alignment horizontal="center" vertical="center"/>
    </xf>
    <xf numFmtId="49" fontId="0" fillId="22" borderId="1" xfId="0" applyNumberFormat="1" applyFill="1" applyBorder="1" applyAlignment="1">
      <alignment horizontal="center"/>
    </xf>
    <xf numFmtId="0" fontId="0" fillId="22" borderId="1" xfId="0" applyFill="1" applyBorder="1" applyAlignment="1">
      <alignment horizontal="center" vertical="center"/>
    </xf>
    <xf numFmtId="14" fontId="0" fillId="22" borderId="1" xfId="0" applyNumberFormat="1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center"/>
    </xf>
    <xf numFmtId="0" fontId="0" fillId="22" borderId="1" xfId="0" applyNumberFormat="1" applyFill="1" applyBorder="1" applyAlignment="1">
      <alignment horizontal="left"/>
    </xf>
    <xf numFmtId="0" fontId="0" fillId="22" borderId="1" xfId="0" applyFill="1" applyBorder="1"/>
    <xf numFmtId="3" fontId="0" fillId="22" borderId="8" xfId="0" applyNumberFormat="1" applyFill="1" applyBorder="1"/>
    <xf numFmtId="3" fontId="0" fillId="22" borderId="1" xfId="0" applyNumberFormat="1" applyFill="1" applyBorder="1"/>
    <xf numFmtId="0" fontId="0" fillId="22" borderId="0" xfId="0" applyFill="1"/>
    <xf numFmtId="3" fontId="0" fillId="22" borderId="1" xfId="0" applyNumberFormat="1" applyFill="1" applyBorder="1" applyAlignment="1">
      <alignment horizontal="left"/>
    </xf>
    <xf numFmtId="49" fontId="24" fillId="22" borderId="1" xfId="0" applyNumberFormat="1" applyFont="1" applyFill="1" applyBorder="1" applyAlignment="1">
      <alignment horizontal="center"/>
    </xf>
    <xf numFmtId="0" fontId="9" fillId="22" borderId="1" xfId="0" applyFont="1" applyFill="1" applyBorder="1" applyAlignment="1">
      <alignment horizontal="center" vertical="center"/>
    </xf>
    <xf numFmtId="0" fontId="0" fillId="10" borderId="30" xfId="0" applyFill="1" applyBorder="1" applyAlignment="1">
      <alignment horizont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0" fillId="10" borderId="30" xfId="0" applyFill="1" applyBorder="1" applyAlignment="1">
      <alignment horizont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13" xfId="0" applyFont="1" applyFill="1" applyBorder="1" applyAlignment="1">
      <alignment horizontal="center" vertical="center" wrapText="1"/>
    </xf>
    <xf numFmtId="0" fontId="31" fillId="11" borderId="13" xfId="0" applyFont="1" applyFill="1" applyBorder="1" applyAlignment="1">
      <alignment horizontal="center" vertical="center" wrapText="1"/>
    </xf>
    <xf numFmtId="14" fontId="31" fillId="11" borderId="13" xfId="0" applyNumberFormat="1" applyFont="1" applyFill="1" applyBorder="1" applyAlignment="1">
      <alignment horizontal="center" vertical="center" wrapText="1"/>
    </xf>
    <xf numFmtId="0" fontId="31" fillId="11" borderId="13" xfId="0" applyFont="1" applyFill="1" applyBorder="1" applyAlignment="1">
      <alignment vertical="center" wrapText="1"/>
    </xf>
    <xf numFmtId="0" fontId="31" fillId="11" borderId="13" xfId="0" applyFont="1" applyFill="1" applyBorder="1" applyAlignment="1">
      <alignment horizontal="left" vertical="top" wrapText="1"/>
    </xf>
    <xf numFmtId="14" fontId="2" fillId="11" borderId="2" xfId="0" applyNumberFormat="1" applyFont="1" applyFill="1" applyBorder="1" applyAlignment="1">
      <alignment horizontal="center" vertical="center"/>
    </xf>
    <xf numFmtId="0" fontId="2" fillId="11" borderId="0" xfId="0" applyFont="1" applyFill="1"/>
    <xf numFmtId="0" fontId="15" fillId="11" borderId="1" xfId="0" applyFont="1" applyFill="1" applyBorder="1" applyAlignment="1">
      <alignment horizontal="center"/>
    </xf>
    <xf numFmtId="0" fontId="2" fillId="11" borderId="1" xfId="0" applyFont="1" applyFill="1" applyBorder="1"/>
    <xf numFmtId="3" fontId="2" fillId="11" borderId="8" xfId="0" applyNumberFormat="1" applyFont="1" applyFill="1" applyBorder="1"/>
    <xf numFmtId="4" fontId="2" fillId="11" borderId="1" xfId="0" applyNumberFormat="1" applyFont="1" applyFill="1" applyBorder="1"/>
    <xf numFmtId="0" fontId="9" fillId="21" borderId="1" xfId="0" applyFont="1" applyFill="1" applyBorder="1" applyAlignment="1">
      <alignment horizontal="center"/>
    </xf>
    <xf numFmtId="0" fontId="9" fillId="21" borderId="1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" xfId="0" applyFill="1" applyBorder="1" applyAlignment="1">
      <alignment wrapText="1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4" fontId="0" fillId="11" borderId="1" xfId="0" applyNumberFormat="1" applyFill="1" applyBorder="1" applyAlignment="1"/>
    <xf numFmtId="0" fontId="0" fillId="11" borderId="1" xfId="0" applyNumberFormat="1" applyFill="1" applyBorder="1" applyAlignment="1">
      <alignment wrapText="1"/>
    </xf>
    <xf numFmtId="49" fontId="24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vertical="center"/>
    </xf>
    <xf numFmtId="3" fontId="0" fillId="11" borderId="8" xfId="0" applyNumberFormat="1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11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24" fillId="21" borderId="1" xfId="0" applyFont="1" applyFill="1" applyBorder="1" applyAlignment="1">
      <alignment horizontal="center"/>
    </xf>
    <xf numFmtId="0" fontId="0" fillId="21" borderId="1" xfId="0" applyNumberFormat="1" applyFill="1" applyBorder="1"/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49" fontId="24" fillId="21" borderId="1" xfId="0" applyNumberFormat="1" applyFont="1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4" fontId="24" fillId="22" borderId="1" xfId="0" applyNumberFormat="1" applyFont="1" applyFill="1" applyBorder="1" applyAlignment="1">
      <alignment horizontal="center" vertical="center"/>
    </xf>
    <xf numFmtId="14" fontId="24" fillId="21" borderId="1" xfId="0" applyNumberFormat="1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/>
    <xf numFmtId="0" fontId="0" fillId="9" borderId="0" xfId="0" applyFill="1"/>
    <xf numFmtId="49" fontId="0" fillId="9" borderId="1" xfId="0" applyNumberFormat="1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23" borderId="1" xfId="0" applyFill="1" applyBorder="1"/>
    <xf numFmtId="0" fontId="0" fillId="23" borderId="0" xfId="0" applyFill="1"/>
    <xf numFmtId="0" fontId="32" fillId="11" borderId="1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3" fontId="0" fillId="9" borderId="8" xfId="0" applyNumberFormat="1" applyFill="1" applyBorder="1"/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4" fontId="0" fillId="11" borderId="1" xfId="0" applyNumberFormat="1" applyFill="1" applyBorder="1" applyAlignment="1">
      <alignment horizontal="right" vertical="center"/>
    </xf>
    <xf numFmtId="4" fontId="0" fillId="19" borderId="1" xfId="0" applyNumberFormat="1" applyFill="1" applyBorder="1"/>
    <xf numFmtId="0" fontId="0" fillId="11" borderId="9" xfId="0" applyFill="1" applyBorder="1" applyAlignment="1">
      <alignment horizontal="center" vertical="center"/>
    </xf>
    <xf numFmtId="0" fontId="0" fillId="9" borderId="1" xfId="0" applyFill="1" applyBorder="1" applyAlignment="1"/>
    <xf numFmtId="0" fontId="0" fillId="9" borderId="2" xfId="0" applyFill="1" applyBorder="1" applyAlignment="1">
      <alignment horizontal="center" vertical="center"/>
    </xf>
    <xf numFmtId="0" fontId="24" fillId="9" borderId="1" xfId="0" applyFont="1" applyFill="1" applyBorder="1" applyAlignment="1">
      <alignment horizontal="center"/>
    </xf>
    <xf numFmtId="0" fontId="24" fillId="9" borderId="1" xfId="0" applyFont="1" applyFill="1" applyBorder="1" applyAlignment="1">
      <alignment horizontal="center" vertical="center"/>
    </xf>
    <xf numFmtId="0" fontId="0" fillId="9" borderId="1" xfId="0" applyNumberFormat="1" applyFill="1" applyBorder="1" applyAlignment="1">
      <alignment horizontal="left" vertical="top"/>
    </xf>
    <xf numFmtId="4" fontId="0" fillId="9" borderId="1" xfId="0" applyNumberFormat="1" applyFill="1" applyBorder="1"/>
    <xf numFmtId="14" fontId="9" fillId="20" borderId="1" xfId="0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14" fontId="0" fillId="11" borderId="9" xfId="0" applyNumberFormat="1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49" fontId="24" fillId="11" borderId="2" xfId="0" applyNumberFormat="1" applyFont="1" applyFill="1" applyBorder="1" applyAlignment="1">
      <alignment horizontal="center"/>
    </xf>
    <xf numFmtId="0" fontId="24" fillId="11" borderId="2" xfId="0" applyFont="1" applyFill="1" applyBorder="1" applyAlignment="1">
      <alignment horizontal="center"/>
    </xf>
    <xf numFmtId="0" fontId="0" fillId="11" borderId="2" xfId="0" applyNumberForma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3" fontId="0" fillId="11" borderId="2" xfId="0" applyNumberFormat="1" applyFill="1" applyBorder="1"/>
    <xf numFmtId="0" fontId="0" fillId="11" borderId="9" xfId="0" applyFill="1" applyBorder="1" applyAlignment="1">
      <alignment horizontal="center"/>
    </xf>
    <xf numFmtId="49" fontId="24" fillId="11" borderId="9" xfId="0" applyNumberFormat="1" applyFont="1" applyFill="1" applyBorder="1" applyAlignment="1">
      <alignment horizontal="center"/>
    </xf>
    <xf numFmtId="0" fontId="24" fillId="11" borderId="9" xfId="0" applyFont="1" applyFill="1" applyBorder="1" applyAlignment="1">
      <alignment horizontal="center"/>
    </xf>
    <xf numFmtId="0" fontId="0" fillId="11" borderId="9" xfId="0" applyNumberFormat="1" applyFill="1" applyBorder="1" applyAlignment="1">
      <alignment horizontal="left"/>
    </xf>
    <xf numFmtId="0" fontId="0" fillId="11" borderId="9" xfId="0" applyFill="1" applyBorder="1" applyAlignment="1">
      <alignment horizontal="left"/>
    </xf>
    <xf numFmtId="0" fontId="0" fillId="11" borderId="9" xfId="0" applyFill="1" applyBorder="1"/>
    <xf numFmtId="3" fontId="0" fillId="11" borderId="9" xfId="0" applyNumberFormat="1" applyFill="1" applyBorder="1"/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24" fillId="11" borderId="9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0" fillId="19" borderId="0" xfId="0" applyFill="1"/>
    <xf numFmtId="0" fontId="0" fillId="11" borderId="9" xfId="0" applyFill="1" applyBorder="1" applyAlignment="1">
      <alignment horizontal="center" vertical="center"/>
    </xf>
    <xf numFmtId="0" fontId="0" fillId="16" borderId="0" xfId="0" applyFill="1"/>
    <xf numFmtId="14" fontId="9" fillId="11" borderId="1" xfId="0" applyNumberFormat="1" applyFont="1" applyFill="1" applyBorder="1" applyAlignment="1">
      <alignment horizontal="left" vertical="center"/>
    </xf>
    <xf numFmtId="14" fontId="9" fillId="11" borderId="1" xfId="0" applyNumberFormat="1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/>
    </xf>
    <xf numFmtId="0" fontId="10" fillId="14" borderId="0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9" fillId="11" borderId="0" xfId="0" applyFont="1" applyFill="1"/>
    <xf numFmtId="0" fontId="0" fillId="14" borderId="30" xfId="0" applyFill="1" applyBorder="1" applyAlignment="1">
      <alignment horizontal="center" wrapText="1"/>
    </xf>
    <xf numFmtId="14" fontId="1" fillId="11" borderId="1" xfId="0" applyNumberFormat="1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left" wrapText="1"/>
    </xf>
    <xf numFmtId="0" fontId="0" fillId="14" borderId="1" xfId="0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49" fontId="0" fillId="14" borderId="1" xfId="0" applyNumberFormat="1" applyFill="1" applyBorder="1" applyAlignment="1">
      <alignment horizontal="center"/>
    </xf>
    <xf numFmtId="0" fontId="24" fillId="14" borderId="1" xfId="0" applyFont="1" applyFill="1" applyBorder="1" applyAlignment="1">
      <alignment horizontal="center"/>
    </xf>
    <xf numFmtId="14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NumberFormat="1" applyFill="1" applyBorder="1" applyAlignment="1">
      <alignment horizontal="left" vertical="top"/>
    </xf>
    <xf numFmtId="14" fontId="9" fillId="11" borderId="9" xfId="0" applyNumberFormat="1" applyFont="1" applyFill="1" applyBorder="1" applyAlignment="1">
      <alignment vertical="center"/>
    </xf>
    <xf numFmtId="0" fontId="15" fillId="11" borderId="9" xfId="0" applyFont="1" applyFill="1" applyBorder="1" applyAlignment="1">
      <alignment horizontal="center" vertical="center"/>
    </xf>
    <xf numFmtId="49" fontId="0" fillId="11" borderId="9" xfId="0" applyNumberFormat="1" applyFill="1" applyBorder="1" applyAlignment="1">
      <alignment horizontal="center"/>
    </xf>
    <xf numFmtId="14" fontId="0" fillId="11" borderId="9" xfId="0" applyNumberForma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left"/>
    </xf>
    <xf numFmtId="3" fontId="0" fillId="11" borderId="34" xfId="0" applyNumberFormat="1" applyFill="1" applyBorder="1"/>
    <xf numFmtId="14" fontId="0" fillId="11" borderId="9" xfId="0" applyNumberFormat="1" applyFill="1" applyBorder="1" applyAlignment="1">
      <alignment horizontal="left" vertical="center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left" vertical="center"/>
    </xf>
    <xf numFmtId="49" fontId="0" fillId="9" borderId="2" xfId="0" applyNumberFormat="1" applyFill="1" applyBorder="1" applyAlignment="1">
      <alignment horizontal="center"/>
    </xf>
    <xf numFmtId="49" fontId="0" fillId="11" borderId="2" xfId="0" applyNumberFormat="1" applyFill="1" applyBorder="1" applyAlignment="1">
      <alignment horizontal="center"/>
    </xf>
    <xf numFmtId="0" fontId="15" fillId="11" borderId="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5" borderId="34" xfId="0" applyFont="1" applyFill="1" applyBorder="1" applyAlignment="1">
      <alignment horizontal="left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9" xfId="0" applyFont="1" applyFill="1" applyBorder="1"/>
    <xf numFmtId="0" fontId="0" fillId="18" borderId="9" xfId="0" applyFill="1" applyBorder="1"/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2" xfId="0" applyFill="1" applyBorder="1" applyAlignment="1">
      <alignment horizontal="left" vertical="center"/>
    </xf>
    <xf numFmtId="14" fontId="0" fillId="11" borderId="2" xfId="0" applyNumberForma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left"/>
    </xf>
    <xf numFmtId="3" fontId="0" fillId="11" borderId="35" xfId="0" applyNumberFormat="1" applyFill="1" applyBorder="1"/>
    <xf numFmtId="0" fontId="0" fillId="11" borderId="2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14" fontId="9" fillId="24" borderId="9" xfId="0" applyNumberFormat="1" applyFont="1" applyFill="1" applyBorder="1" applyAlignment="1">
      <alignment vertical="center"/>
    </xf>
    <xf numFmtId="0" fontId="9" fillId="24" borderId="1" xfId="0" applyFont="1" applyFill="1" applyBorder="1" applyAlignment="1">
      <alignment horizontal="left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left" vertical="center"/>
    </xf>
    <xf numFmtId="0" fontId="0" fillId="11" borderId="9" xfId="0" applyNumberFormat="1" applyFill="1" applyBorder="1" applyAlignment="1">
      <alignment horizontal="left" wrapText="1"/>
    </xf>
    <xf numFmtId="0" fontId="11" fillId="0" borderId="0" xfId="0" applyFont="1"/>
    <xf numFmtId="0" fontId="0" fillId="24" borderId="0" xfId="0" applyFill="1"/>
    <xf numFmtId="0" fontId="9" fillId="11" borderId="1" xfId="0" applyFont="1" applyFill="1" applyBorder="1" applyAlignment="1">
      <alignment horizontal="center" vertical="center"/>
    </xf>
    <xf numFmtId="0" fontId="0" fillId="24" borderId="1" xfId="0" applyFill="1" applyBorder="1"/>
    <xf numFmtId="1" fontId="0" fillId="11" borderId="1" xfId="0" applyNumberFormat="1" applyFill="1" applyBorder="1" applyAlignment="1">
      <alignment horizontal="left" vertical="top"/>
    </xf>
    <xf numFmtId="14" fontId="9" fillId="24" borderId="1" xfId="0" applyNumberFormat="1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33" fillId="11" borderId="1" xfId="0" applyFont="1" applyFill="1" applyBorder="1" applyAlignment="1">
      <alignment horizontal="left"/>
    </xf>
    <xf numFmtId="0" fontId="0" fillId="11" borderId="9" xfId="0" applyFill="1" applyBorder="1" applyAlignment="1"/>
    <xf numFmtId="0" fontId="0" fillId="11" borderId="9" xfId="0" applyNumberFormat="1" applyFill="1" applyBorder="1" applyAlignment="1">
      <alignment horizontal="left" vertical="top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25" borderId="0" xfId="0" applyFill="1"/>
    <xf numFmtId="0" fontId="0" fillId="11" borderId="9" xfId="0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4" fontId="9" fillId="11" borderId="9" xfId="0" applyNumberFormat="1" applyFont="1" applyFill="1" applyBorder="1" applyAlignment="1">
      <alignment horizontal="left" vertical="center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4" fontId="9" fillId="15" borderId="1" xfId="0" applyNumberFormat="1" applyFont="1" applyFill="1" applyBorder="1" applyAlignment="1">
      <alignment horizontal="left" vertical="center"/>
    </xf>
    <xf numFmtId="0" fontId="0" fillId="11" borderId="9" xfId="0" applyFill="1" applyBorder="1" applyAlignment="1">
      <alignment horizontal="center" vertical="center"/>
    </xf>
    <xf numFmtId="14" fontId="9" fillId="11" borderId="9" xfId="0" applyNumberFormat="1" applyFont="1" applyFill="1" applyBorder="1" applyAlignment="1">
      <alignment horizontal="left" vertical="center"/>
    </xf>
    <xf numFmtId="0" fontId="24" fillId="11" borderId="9" xfId="0" applyFont="1" applyFill="1" applyBorder="1" applyAlignment="1">
      <alignment horizontal="center" vertical="center"/>
    </xf>
    <xf numFmtId="0" fontId="9" fillId="14" borderId="34" xfId="0" applyFont="1" applyFill="1" applyBorder="1" applyAlignment="1">
      <alignment horizontal="left" vertical="center"/>
    </xf>
    <xf numFmtId="0" fontId="9" fillId="14" borderId="9" xfId="0" applyFont="1" applyFill="1" applyBorder="1" applyAlignment="1">
      <alignment horizontal="center" vertical="center"/>
    </xf>
    <xf numFmtId="0" fontId="9" fillId="14" borderId="9" xfId="0" applyFont="1" applyFill="1" applyBorder="1"/>
    <xf numFmtId="0" fontId="0" fillId="14" borderId="9" xfId="0" applyFill="1" applyBorder="1"/>
    <xf numFmtId="14" fontId="9" fillId="24" borderId="9" xfId="0" applyNumberFormat="1" applyFont="1" applyFill="1" applyBorder="1" applyAlignment="1">
      <alignment horizontal="left" vertical="center"/>
    </xf>
    <xf numFmtId="0" fontId="9" fillId="24" borderId="9" xfId="0" applyFont="1" applyFill="1" applyBorder="1" applyAlignment="1">
      <alignment horizontal="left"/>
    </xf>
    <xf numFmtId="0" fontId="0" fillId="9" borderId="2" xfId="0" applyFont="1" applyFill="1" applyBorder="1" applyAlignment="1">
      <alignment horizontal="center" vertical="center" wrapText="1"/>
    </xf>
    <xf numFmtId="3" fontId="0" fillId="0" borderId="2" xfId="0" applyNumberFormat="1" applyBorder="1"/>
    <xf numFmtId="0" fontId="9" fillId="2" borderId="9" xfId="0" applyFont="1" applyFill="1" applyBorder="1" applyAlignment="1">
      <alignment horizontal="center" vertical="center"/>
    </xf>
    <xf numFmtId="0" fontId="24" fillId="11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11" borderId="1" xfId="0" applyNumberFormat="1" applyFill="1" applyBorder="1" applyAlignment="1">
      <alignment horizontal="left" vertical="top" wrapText="1"/>
    </xf>
    <xf numFmtId="0" fontId="9" fillId="11" borderId="1" xfId="0" applyNumberFormat="1" applyFont="1" applyFill="1" applyBorder="1" applyAlignment="1">
      <alignment horizontal="left" vertical="center"/>
    </xf>
    <xf numFmtId="14" fontId="9" fillId="11" borderId="9" xfId="0" applyNumberFormat="1" applyFont="1" applyFill="1" applyBorder="1" applyAlignment="1">
      <alignment horizontal="left" vertical="center"/>
    </xf>
    <xf numFmtId="14" fontId="9" fillId="11" borderId="9" xfId="0" applyNumberFormat="1" applyFont="1" applyFill="1" applyBorder="1" applyAlignment="1">
      <alignment horizontal="left" vertical="center"/>
    </xf>
    <xf numFmtId="14" fontId="9" fillId="11" borderId="9" xfId="0" applyNumberFormat="1" applyFont="1" applyFill="1" applyBorder="1" applyAlignment="1">
      <alignment horizontal="left" vertical="center"/>
    </xf>
    <xf numFmtId="14" fontId="9" fillId="11" borderId="9" xfId="0" applyNumberFormat="1" applyFont="1" applyFill="1" applyBorder="1" applyAlignment="1">
      <alignment horizontal="left" vertical="center"/>
    </xf>
    <xf numFmtId="14" fontId="9" fillId="11" borderId="9" xfId="0" applyNumberFormat="1" applyFont="1" applyFill="1" applyBorder="1" applyAlignment="1">
      <alignment horizontal="left" vertical="center"/>
    </xf>
    <xf numFmtId="0" fontId="0" fillId="11" borderId="0" xfId="0" applyFill="1" applyAlignment="1">
      <alignment horizontal="center"/>
    </xf>
    <xf numFmtId="0" fontId="0" fillId="10" borderId="9" xfId="0" applyFill="1" applyBorder="1" applyAlignment="1">
      <alignment horizontal="center" wrapText="1"/>
    </xf>
    <xf numFmtId="0" fontId="0" fillId="10" borderId="30" xfId="0" applyFill="1" applyBorder="1" applyAlignment="1">
      <alignment horizont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13" borderId="8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center"/>
    </xf>
    <xf numFmtId="0" fontId="9" fillId="13" borderId="10" xfId="0" applyFont="1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4" fontId="9" fillId="11" borderId="9" xfId="0" applyNumberFormat="1" applyFont="1" applyFill="1" applyBorder="1" applyAlignment="1">
      <alignment horizontal="left" vertical="center"/>
    </xf>
    <xf numFmtId="14" fontId="9" fillId="11" borderId="30" xfId="0" applyNumberFormat="1" applyFont="1" applyFill="1" applyBorder="1" applyAlignment="1">
      <alignment horizontal="left" vertical="center"/>
    </xf>
    <xf numFmtId="14" fontId="9" fillId="11" borderId="2" xfId="0" applyNumberFormat="1" applyFont="1" applyFill="1" applyBorder="1" applyAlignment="1">
      <alignment horizontal="left" vertical="center"/>
    </xf>
    <xf numFmtId="0" fontId="0" fillId="11" borderId="30" xfId="0" applyFill="1" applyBorder="1" applyAlignment="1">
      <alignment horizontal="center" vertical="center"/>
    </xf>
    <xf numFmtId="0" fontId="9" fillId="22" borderId="9" xfId="0" applyFont="1" applyFill="1" applyBorder="1" applyAlignment="1">
      <alignment horizontal="center" vertical="center"/>
    </xf>
    <xf numFmtId="0" fontId="9" fillId="22" borderId="30" xfId="0" applyFont="1" applyFill="1" applyBorder="1" applyAlignment="1">
      <alignment horizontal="center" vertical="center"/>
    </xf>
    <xf numFmtId="0" fontId="9" fillId="22" borderId="2" xfId="0" applyFont="1" applyFill="1" applyBorder="1" applyAlignment="1">
      <alignment horizontal="center" vertical="center"/>
    </xf>
    <xf numFmtId="0" fontId="9" fillId="21" borderId="9" xfId="0" applyFont="1" applyFill="1" applyBorder="1" applyAlignment="1">
      <alignment horizontal="center" vertical="center"/>
    </xf>
    <xf numFmtId="0" fontId="9" fillId="21" borderId="30" xfId="0" applyFont="1" applyFill="1" applyBorder="1" applyAlignment="1">
      <alignment horizontal="center" vertical="center"/>
    </xf>
    <xf numFmtId="0" fontId="9" fillId="21" borderId="2" xfId="0" applyFont="1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22" borderId="30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 wrapText="1"/>
    </xf>
    <xf numFmtId="14" fontId="0" fillId="11" borderId="9" xfId="0" applyNumberFormat="1" applyFill="1" applyBorder="1" applyAlignment="1">
      <alignment horizontal="left" vertical="center"/>
    </xf>
    <xf numFmtId="14" fontId="0" fillId="11" borderId="2" xfId="0" applyNumberFormat="1" applyFill="1" applyBorder="1" applyAlignment="1">
      <alignment horizontal="left" vertical="center"/>
    </xf>
    <xf numFmtId="0" fontId="0" fillId="21" borderId="9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14" fontId="9" fillId="21" borderId="9" xfId="0" applyNumberFormat="1" applyFont="1" applyFill="1" applyBorder="1" applyAlignment="1">
      <alignment horizontal="center" vertical="center"/>
    </xf>
    <xf numFmtId="14" fontId="9" fillId="21" borderId="30" xfId="0" applyNumberFormat="1" applyFont="1" applyFill="1" applyBorder="1" applyAlignment="1">
      <alignment horizontal="center" vertical="center"/>
    </xf>
    <xf numFmtId="14" fontId="9" fillId="21" borderId="2" xfId="0" applyNumberFormat="1" applyFont="1" applyFill="1" applyBorder="1" applyAlignment="1">
      <alignment horizontal="center" vertical="center"/>
    </xf>
    <xf numFmtId="14" fontId="9" fillId="22" borderId="9" xfId="0" applyNumberFormat="1" applyFont="1" applyFill="1" applyBorder="1" applyAlignment="1">
      <alignment horizontal="center" vertical="center"/>
    </xf>
    <xf numFmtId="14" fontId="9" fillId="22" borderId="30" xfId="0" applyNumberFormat="1" applyFont="1" applyFill="1" applyBorder="1" applyAlignment="1">
      <alignment horizontal="center" vertical="center"/>
    </xf>
    <xf numFmtId="14" fontId="9" fillId="22" borderId="2" xfId="0" applyNumberFormat="1" applyFont="1" applyFill="1" applyBorder="1" applyAlignment="1">
      <alignment horizontal="center" vertical="center"/>
    </xf>
    <xf numFmtId="0" fontId="0" fillId="11" borderId="9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11" borderId="9" xfId="0" applyNumberFormat="1" applyFill="1" applyBorder="1" applyAlignment="1">
      <alignment horizontal="left" vertical="center"/>
    </xf>
    <xf numFmtId="0" fontId="0" fillId="11" borderId="2" xfId="0" applyNumberFormat="1" applyFill="1" applyBorder="1" applyAlignment="1">
      <alignment horizontal="left" vertical="center"/>
    </xf>
    <xf numFmtId="0" fontId="24" fillId="11" borderId="9" xfId="0" applyFont="1" applyFill="1" applyBorder="1" applyAlignment="1">
      <alignment horizontal="center" vertical="center"/>
    </xf>
    <xf numFmtId="0" fontId="24" fillId="11" borderId="30" xfId="0" applyFont="1" applyFill="1" applyBorder="1" applyAlignment="1">
      <alignment horizontal="center" vertical="center"/>
    </xf>
    <xf numFmtId="0" fontId="24" fillId="11" borderId="2" xfId="0" applyFont="1" applyFill="1" applyBorder="1" applyAlignment="1">
      <alignment horizontal="center" vertical="center"/>
    </xf>
    <xf numFmtId="0" fontId="0" fillId="11" borderId="9" xfId="0" applyNumberFormat="1" applyFill="1" applyBorder="1" applyAlignment="1">
      <alignment horizontal="center" vertical="center"/>
    </xf>
    <xf numFmtId="0" fontId="0" fillId="11" borderId="30" xfId="0" applyNumberFormat="1" applyFill="1" applyBorder="1" applyAlignment="1">
      <alignment horizontal="center" vertical="center"/>
    </xf>
    <xf numFmtId="0" fontId="0" fillId="11" borderId="2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EB7B6"/>
      <color rgb="FFA8E4EC"/>
      <color rgb="FFF0904E"/>
      <color rgb="FFA2D2F2"/>
      <color rgb="FFE89AD9"/>
      <color rgb="FFBDF7FF"/>
      <color rgb="FFA2FE9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YandexDisk\&#1047;&#1040;&#1050;&#1040;&#1047;&#1067;%20&#1086;&#1073;&#1097;&#1072;&#1103;\&#1047;&#1040;&#1050;&#1040;&#1047;&#1067;%202024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очник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3"/>
  <sheetViews>
    <sheetView tabSelected="1" zoomScale="65" zoomScaleNormal="65" zoomScaleSheetLayoutView="70" workbookViewId="0">
      <pane ySplit="3" topLeftCell="A22" activePane="bottomLeft" state="frozen"/>
      <selection pane="bottomLeft" activeCell="B66" sqref="B66"/>
    </sheetView>
  </sheetViews>
  <sheetFormatPr defaultRowHeight="15" x14ac:dyDescent="0.25"/>
  <cols>
    <col min="1" max="1" width="22" style="130" customWidth="1"/>
    <col min="2" max="2" width="22.28515625" customWidth="1"/>
    <col min="3" max="3" width="32.5703125" customWidth="1"/>
    <col min="4" max="4" width="45.140625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25.140625" bestFit="1" customWidth="1"/>
    <col min="10" max="10" width="18.5703125" bestFit="1" customWidth="1"/>
    <col min="11" max="11" width="27.5703125" customWidth="1"/>
    <col min="12" max="12" width="27.140625" bestFit="1" customWidth="1"/>
    <col min="13" max="13" width="26.5703125" customWidth="1"/>
    <col min="14" max="14" width="26.140625" style="343" customWidth="1"/>
    <col min="15" max="15" width="9.85546875" customWidth="1"/>
    <col min="16" max="16" width="10.42578125" customWidth="1"/>
    <col min="17" max="17" width="10.28515625" customWidth="1"/>
    <col min="18" max="18" width="12.42578125" customWidth="1"/>
    <col min="19" max="19" width="25.425781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45627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374" t="s">
        <v>1</v>
      </c>
      <c r="G3" s="374" t="s">
        <v>156</v>
      </c>
      <c r="H3" s="453"/>
      <c r="I3" s="455"/>
      <c r="J3" s="457"/>
      <c r="K3" s="429" t="s">
        <v>8</v>
      </c>
      <c r="L3" s="429" t="s">
        <v>21</v>
      </c>
      <c r="M3" s="429" t="s">
        <v>10</v>
      </c>
      <c r="N3" s="375" t="s">
        <v>11</v>
      </c>
      <c r="O3" s="376" t="s">
        <v>13</v>
      </c>
      <c r="P3" s="376" t="s">
        <v>155</v>
      </c>
      <c r="Q3" s="377" t="s">
        <v>23</v>
      </c>
      <c r="R3" s="439"/>
      <c r="S3" s="68" t="s">
        <v>162</v>
      </c>
      <c r="T3" s="378" t="s">
        <v>163</v>
      </c>
    </row>
    <row r="4" spans="1:20" s="175" customFormat="1" x14ac:dyDescent="0.25">
      <c r="A4" s="353"/>
      <c r="B4" s="356"/>
      <c r="C4" s="356"/>
      <c r="D4" s="354"/>
      <c r="E4" s="355"/>
      <c r="F4" s="356"/>
      <c r="G4" s="353"/>
      <c r="H4" s="353"/>
      <c r="I4" s="353"/>
      <c r="J4" s="357"/>
      <c r="K4" s="358"/>
      <c r="L4" s="359"/>
      <c r="M4" s="358"/>
      <c r="N4" s="419"/>
      <c r="O4" s="420"/>
      <c r="P4" s="420"/>
      <c r="Q4" s="421"/>
      <c r="R4" s="348"/>
      <c r="T4" s="422"/>
    </row>
    <row r="5" spans="1:20" s="67" customFormat="1" ht="13.5" customHeight="1" x14ac:dyDescent="0.25">
      <c r="A5" s="69" t="s">
        <v>1532</v>
      </c>
      <c r="B5" s="97" t="s">
        <v>1741</v>
      </c>
      <c r="C5" s="97" t="s">
        <v>182</v>
      </c>
      <c r="D5" s="98" t="s">
        <v>301</v>
      </c>
      <c r="E5" s="59" t="s">
        <v>1974</v>
      </c>
      <c r="F5" s="97">
        <v>20000</v>
      </c>
      <c r="G5" s="69">
        <v>800</v>
      </c>
      <c r="H5" s="69" t="s">
        <v>1210</v>
      </c>
      <c r="I5" s="69" t="s">
        <v>357</v>
      </c>
      <c r="J5" s="58">
        <v>45631</v>
      </c>
      <c r="K5" s="105" t="s">
        <v>2021</v>
      </c>
      <c r="L5" s="123">
        <v>89116036602</v>
      </c>
      <c r="M5" s="105" t="s">
        <v>2022</v>
      </c>
      <c r="N5" s="339"/>
      <c r="O5" s="97">
        <v>20000</v>
      </c>
      <c r="P5" s="60"/>
      <c r="Q5" s="56"/>
      <c r="R5" s="56" t="s">
        <v>387</v>
      </c>
      <c r="S5" s="100">
        <v>41500</v>
      </c>
      <c r="T5" s="65">
        <f t="shared" ref="T5:T19" si="0" xml:space="preserve"> S5*(F5/1000)</f>
        <v>830000</v>
      </c>
    </row>
    <row r="6" spans="1:20" s="67" customFormat="1" x14ac:dyDescent="0.25">
      <c r="A6" s="69" t="s">
        <v>1570</v>
      </c>
      <c r="B6" s="60" t="s">
        <v>2017</v>
      </c>
      <c r="C6" s="60" t="s">
        <v>1427</v>
      </c>
      <c r="D6" s="98" t="s">
        <v>289</v>
      </c>
      <c r="E6" s="59" t="s">
        <v>2018</v>
      </c>
      <c r="F6" s="97">
        <v>9000</v>
      </c>
      <c r="G6" s="69">
        <v>360</v>
      </c>
      <c r="H6" s="69" t="s">
        <v>655</v>
      </c>
      <c r="I6" s="69" t="s">
        <v>357</v>
      </c>
      <c r="J6" s="58">
        <v>45632</v>
      </c>
      <c r="K6" s="105" t="s">
        <v>635</v>
      </c>
      <c r="L6" s="66">
        <v>89212974613</v>
      </c>
      <c r="M6" s="105" t="s">
        <v>473</v>
      </c>
      <c r="N6" s="169"/>
      <c r="O6" s="97">
        <v>9000</v>
      </c>
      <c r="P6" s="60"/>
      <c r="Q6" s="97"/>
      <c r="R6" s="56" t="s">
        <v>387</v>
      </c>
      <c r="S6" s="100">
        <v>41000</v>
      </c>
      <c r="T6" s="65">
        <f t="shared" si="0"/>
        <v>369000</v>
      </c>
    </row>
    <row r="7" spans="1:20" s="67" customFormat="1" ht="13.5" customHeight="1" x14ac:dyDescent="0.25">
      <c r="A7" s="69" t="s">
        <v>1570</v>
      </c>
      <c r="B7" s="60" t="s">
        <v>2019</v>
      </c>
      <c r="C7" s="97" t="s">
        <v>529</v>
      </c>
      <c r="D7" s="98" t="s">
        <v>338</v>
      </c>
      <c r="E7" s="59" t="s">
        <v>2023</v>
      </c>
      <c r="F7" s="97">
        <v>10400</v>
      </c>
      <c r="G7" s="69">
        <v>52</v>
      </c>
      <c r="H7" s="69" t="s">
        <v>2020</v>
      </c>
      <c r="I7" s="69" t="s">
        <v>357</v>
      </c>
      <c r="J7" s="58">
        <v>45632</v>
      </c>
      <c r="K7" s="105" t="s">
        <v>635</v>
      </c>
      <c r="L7" s="123">
        <v>89212974613</v>
      </c>
      <c r="M7" s="105" t="s">
        <v>473</v>
      </c>
      <c r="N7" s="432"/>
      <c r="O7" s="97"/>
      <c r="P7" s="97"/>
      <c r="Q7" s="97">
        <v>10400</v>
      </c>
      <c r="R7" s="56" t="s">
        <v>387</v>
      </c>
      <c r="S7" s="100">
        <v>197000</v>
      </c>
      <c r="T7" s="65">
        <f t="shared" si="0"/>
        <v>2048800</v>
      </c>
    </row>
    <row r="8" spans="1:20" s="67" customFormat="1" ht="13.5" customHeight="1" x14ac:dyDescent="0.25">
      <c r="A8" s="69" t="s">
        <v>2029</v>
      </c>
      <c r="B8" s="60" t="s">
        <v>461</v>
      </c>
      <c r="C8" s="60" t="s">
        <v>349</v>
      </c>
      <c r="D8" s="98" t="s">
        <v>204</v>
      </c>
      <c r="E8" s="64" t="s">
        <v>2027</v>
      </c>
      <c r="F8" s="97">
        <v>3200</v>
      </c>
      <c r="G8" s="69">
        <v>16</v>
      </c>
      <c r="H8" s="69" t="s">
        <v>2033</v>
      </c>
      <c r="I8" s="69" t="s">
        <v>357</v>
      </c>
      <c r="J8" s="58">
        <v>45632</v>
      </c>
      <c r="K8" s="105" t="s">
        <v>2036</v>
      </c>
      <c r="L8" s="123">
        <v>89676763153</v>
      </c>
      <c r="M8" s="105" t="s">
        <v>2035</v>
      </c>
      <c r="N8" s="107"/>
      <c r="O8" s="56"/>
      <c r="P8" s="60"/>
      <c r="Q8" s="97">
        <v>3200</v>
      </c>
      <c r="R8" s="56" t="s">
        <v>387</v>
      </c>
      <c r="S8" s="100">
        <v>130000</v>
      </c>
      <c r="T8" s="65">
        <f t="shared" si="0"/>
        <v>416000</v>
      </c>
    </row>
    <row r="9" spans="1:20" s="67" customFormat="1" ht="13.5" customHeight="1" x14ac:dyDescent="0.25">
      <c r="A9" s="69" t="s">
        <v>2029</v>
      </c>
      <c r="B9" s="60" t="s">
        <v>2052</v>
      </c>
      <c r="C9" s="60" t="s">
        <v>349</v>
      </c>
      <c r="D9" s="98" t="s">
        <v>204</v>
      </c>
      <c r="E9" s="64" t="s">
        <v>2027</v>
      </c>
      <c r="F9" s="97"/>
      <c r="G9" s="69"/>
      <c r="H9" s="69" t="s">
        <v>2034</v>
      </c>
      <c r="I9" s="69" t="s">
        <v>357</v>
      </c>
      <c r="J9" s="58">
        <v>45635</v>
      </c>
      <c r="K9" s="105" t="s">
        <v>2038</v>
      </c>
      <c r="L9" s="123" t="s">
        <v>2037</v>
      </c>
      <c r="M9" s="105" t="s">
        <v>624</v>
      </c>
      <c r="N9" s="107"/>
      <c r="O9" s="56">
        <v>0</v>
      </c>
      <c r="P9" s="60">
        <v>0</v>
      </c>
      <c r="Q9" s="97">
        <v>0</v>
      </c>
      <c r="R9" s="56" t="s">
        <v>387</v>
      </c>
      <c r="S9" s="100"/>
      <c r="T9" s="65">
        <f t="shared" si="0"/>
        <v>0</v>
      </c>
    </row>
    <row r="10" spans="1:20" s="67" customFormat="1" ht="13.5" customHeight="1" x14ac:dyDescent="0.25">
      <c r="A10" s="69" t="s">
        <v>1298</v>
      </c>
      <c r="B10" s="60" t="s">
        <v>520</v>
      </c>
      <c r="C10" s="97" t="s">
        <v>1323</v>
      </c>
      <c r="D10" s="98" t="s">
        <v>289</v>
      </c>
      <c r="E10" s="59" t="s">
        <v>955</v>
      </c>
      <c r="F10" s="97">
        <v>18000</v>
      </c>
      <c r="G10" s="69">
        <v>720</v>
      </c>
      <c r="H10" s="69" t="s">
        <v>2013</v>
      </c>
      <c r="I10" s="69" t="s">
        <v>357</v>
      </c>
      <c r="J10" s="58">
        <v>45632</v>
      </c>
      <c r="K10" s="105" t="s">
        <v>2031</v>
      </c>
      <c r="L10" s="123">
        <v>89132514085</v>
      </c>
      <c r="M10" s="105" t="s">
        <v>2030</v>
      </c>
      <c r="N10" s="339"/>
      <c r="O10" s="97">
        <v>18000</v>
      </c>
      <c r="P10" s="60"/>
      <c r="Q10" s="60"/>
      <c r="R10" s="56" t="s">
        <v>387</v>
      </c>
      <c r="S10" s="100">
        <v>43500</v>
      </c>
      <c r="T10" s="65">
        <f t="shared" si="0"/>
        <v>783000</v>
      </c>
    </row>
    <row r="11" spans="1:20" s="67" customFormat="1" ht="13.5" customHeight="1" x14ac:dyDescent="0.25">
      <c r="A11" s="69" t="s">
        <v>1298</v>
      </c>
      <c r="B11" s="60" t="s">
        <v>520</v>
      </c>
      <c r="C11" s="97" t="s">
        <v>1323</v>
      </c>
      <c r="D11" s="98" t="s">
        <v>204</v>
      </c>
      <c r="E11" s="59" t="s">
        <v>1004</v>
      </c>
      <c r="F11" s="97">
        <v>2400</v>
      </c>
      <c r="G11" s="69">
        <v>12</v>
      </c>
      <c r="H11" s="69" t="s">
        <v>2013</v>
      </c>
      <c r="I11" s="69" t="s">
        <v>357</v>
      </c>
      <c r="J11" s="58">
        <v>45632</v>
      </c>
      <c r="K11" s="105" t="s">
        <v>2031</v>
      </c>
      <c r="L11" s="123">
        <v>89132514085</v>
      </c>
      <c r="M11" s="105" t="s">
        <v>2030</v>
      </c>
      <c r="N11" s="339"/>
      <c r="O11" s="97"/>
      <c r="P11" s="60"/>
      <c r="Q11" s="97">
        <v>2400</v>
      </c>
      <c r="R11" s="56" t="s">
        <v>387</v>
      </c>
      <c r="S11" s="100">
        <v>105000</v>
      </c>
      <c r="T11" s="65">
        <f t="shared" si="0"/>
        <v>252000</v>
      </c>
    </row>
    <row r="12" spans="1:20" s="67" customFormat="1" ht="13.5" customHeight="1" x14ac:dyDescent="0.25">
      <c r="A12" s="69" t="s">
        <v>1298</v>
      </c>
      <c r="B12" s="97" t="s">
        <v>2054</v>
      </c>
      <c r="C12" s="97" t="s">
        <v>401</v>
      </c>
      <c r="D12" s="98" t="s">
        <v>286</v>
      </c>
      <c r="E12" s="59" t="s">
        <v>2014</v>
      </c>
      <c r="F12" s="97">
        <v>5000</v>
      </c>
      <c r="G12" s="69">
        <v>200</v>
      </c>
      <c r="H12" s="69" t="s">
        <v>1619</v>
      </c>
      <c r="I12" s="69" t="s">
        <v>357</v>
      </c>
      <c r="J12" s="58">
        <v>45632</v>
      </c>
      <c r="K12" s="105" t="s">
        <v>2044</v>
      </c>
      <c r="L12" s="430">
        <v>89115193078</v>
      </c>
      <c r="M12" s="105" t="s">
        <v>2043</v>
      </c>
      <c r="N12" s="105" t="s">
        <v>2045</v>
      </c>
      <c r="O12" s="97"/>
      <c r="P12" s="97">
        <v>5000</v>
      </c>
      <c r="Q12" s="60"/>
      <c r="R12" s="56" t="s">
        <v>387</v>
      </c>
      <c r="S12" s="100">
        <v>250000</v>
      </c>
      <c r="T12" s="65">
        <f t="shared" si="0"/>
        <v>1250000</v>
      </c>
    </row>
    <row r="13" spans="1:20" s="67" customFormat="1" ht="13.5" customHeight="1" x14ac:dyDescent="0.25">
      <c r="A13" s="69" t="s">
        <v>1298</v>
      </c>
      <c r="B13" s="97" t="s">
        <v>2054</v>
      </c>
      <c r="C13" s="97" t="s">
        <v>401</v>
      </c>
      <c r="D13" s="98" t="s">
        <v>286</v>
      </c>
      <c r="E13" s="59" t="s">
        <v>2015</v>
      </c>
      <c r="F13" s="97">
        <v>5000</v>
      </c>
      <c r="G13" s="69">
        <v>200</v>
      </c>
      <c r="H13" s="69" t="s">
        <v>1619</v>
      </c>
      <c r="I13" s="69" t="s">
        <v>357</v>
      </c>
      <c r="J13" s="58">
        <v>45632</v>
      </c>
      <c r="K13" s="105" t="s">
        <v>2044</v>
      </c>
      <c r="L13" s="430">
        <v>89115193078</v>
      </c>
      <c r="M13" s="105" t="s">
        <v>2043</v>
      </c>
      <c r="N13" s="105" t="s">
        <v>2046</v>
      </c>
      <c r="O13" s="97"/>
      <c r="P13" s="97">
        <v>5000</v>
      </c>
      <c r="Q13" s="60"/>
      <c r="R13" s="56" t="s">
        <v>387</v>
      </c>
      <c r="S13" s="100">
        <v>250000</v>
      </c>
      <c r="T13" s="65">
        <f t="shared" si="0"/>
        <v>1250000</v>
      </c>
    </row>
    <row r="14" spans="1:20" s="67" customFormat="1" ht="13.5" customHeight="1" x14ac:dyDescent="0.25">
      <c r="A14" s="69" t="s">
        <v>1298</v>
      </c>
      <c r="B14" s="97" t="s">
        <v>2054</v>
      </c>
      <c r="C14" s="97" t="s">
        <v>401</v>
      </c>
      <c r="D14" s="98" t="s">
        <v>286</v>
      </c>
      <c r="E14" s="59" t="s">
        <v>2016</v>
      </c>
      <c r="F14" s="97">
        <v>5000</v>
      </c>
      <c r="G14" s="69">
        <v>200</v>
      </c>
      <c r="H14" s="69" t="s">
        <v>1619</v>
      </c>
      <c r="I14" s="69" t="s">
        <v>357</v>
      </c>
      <c r="J14" s="58">
        <v>45632</v>
      </c>
      <c r="K14" s="105" t="s">
        <v>2044</v>
      </c>
      <c r="L14" s="430">
        <v>89115193078</v>
      </c>
      <c r="M14" s="105" t="s">
        <v>2043</v>
      </c>
      <c r="N14" s="105" t="s">
        <v>2047</v>
      </c>
      <c r="O14" s="97"/>
      <c r="P14" s="97">
        <v>5000</v>
      </c>
      <c r="Q14" s="60"/>
      <c r="R14" s="56" t="s">
        <v>387</v>
      </c>
      <c r="S14" s="100">
        <v>250000</v>
      </c>
      <c r="T14" s="65">
        <f t="shared" si="0"/>
        <v>1250000</v>
      </c>
    </row>
    <row r="15" spans="1:20" s="67" customFormat="1" ht="13.5" customHeight="1" x14ac:dyDescent="0.25">
      <c r="A15" s="69" t="s">
        <v>1298</v>
      </c>
      <c r="B15" s="97" t="s">
        <v>2054</v>
      </c>
      <c r="C15" s="97" t="s">
        <v>401</v>
      </c>
      <c r="D15" s="98" t="s">
        <v>286</v>
      </c>
      <c r="E15" s="59" t="s">
        <v>2028</v>
      </c>
      <c r="F15" s="97">
        <v>1000</v>
      </c>
      <c r="G15" s="69">
        <v>40</v>
      </c>
      <c r="H15" s="69" t="s">
        <v>1619</v>
      </c>
      <c r="I15" s="69" t="s">
        <v>357</v>
      </c>
      <c r="J15" s="58">
        <v>45632</v>
      </c>
      <c r="K15" s="105" t="s">
        <v>2044</v>
      </c>
      <c r="L15" s="430">
        <v>89115193078</v>
      </c>
      <c r="M15" s="105" t="s">
        <v>2043</v>
      </c>
      <c r="N15" s="66">
        <v>5979</v>
      </c>
      <c r="O15" s="97"/>
      <c r="P15" s="97">
        <v>1000</v>
      </c>
      <c r="Q15" s="60"/>
      <c r="R15" s="56" t="s">
        <v>387</v>
      </c>
      <c r="S15" s="100">
        <v>250000</v>
      </c>
      <c r="T15" s="65">
        <f t="shared" si="0"/>
        <v>250000</v>
      </c>
    </row>
    <row r="16" spans="1:20" s="67" customFormat="1" ht="13.5" customHeight="1" x14ac:dyDescent="0.25">
      <c r="A16" s="69" t="s">
        <v>1298</v>
      </c>
      <c r="B16" s="97" t="s">
        <v>2054</v>
      </c>
      <c r="C16" s="97" t="s">
        <v>401</v>
      </c>
      <c r="D16" s="98" t="s">
        <v>286</v>
      </c>
      <c r="E16" s="59" t="s">
        <v>2048</v>
      </c>
      <c r="F16" s="97">
        <v>1000</v>
      </c>
      <c r="G16" s="69">
        <v>40</v>
      </c>
      <c r="H16" s="69" t="s">
        <v>1619</v>
      </c>
      <c r="I16" s="69" t="s">
        <v>357</v>
      </c>
      <c r="J16" s="58">
        <v>45632</v>
      </c>
      <c r="K16" s="105" t="s">
        <v>2044</v>
      </c>
      <c r="L16" s="430">
        <v>89115193078</v>
      </c>
      <c r="M16" s="105" t="s">
        <v>2043</v>
      </c>
      <c r="N16" s="66">
        <v>5693</v>
      </c>
      <c r="O16" s="97"/>
      <c r="P16" s="97">
        <v>1000</v>
      </c>
      <c r="Q16" s="60"/>
      <c r="R16" s="56" t="s">
        <v>387</v>
      </c>
      <c r="S16" s="100">
        <v>250000</v>
      </c>
      <c r="T16" s="65">
        <f t="shared" si="0"/>
        <v>250000</v>
      </c>
    </row>
    <row r="17" spans="1:20" s="67" customFormat="1" ht="13.5" customHeight="1" x14ac:dyDescent="0.25">
      <c r="A17" s="69" t="s">
        <v>1298</v>
      </c>
      <c r="B17" s="97" t="s">
        <v>2054</v>
      </c>
      <c r="C17" s="97" t="s">
        <v>401</v>
      </c>
      <c r="D17" s="98" t="s">
        <v>286</v>
      </c>
      <c r="E17" s="59" t="s">
        <v>2049</v>
      </c>
      <c r="F17" s="97">
        <v>2000</v>
      </c>
      <c r="G17" s="69">
        <v>80</v>
      </c>
      <c r="H17" s="69" t="s">
        <v>1619</v>
      </c>
      <c r="I17" s="69" t="s">
        <v>357</v>
      </c>
      <c r="J17" s="58">
        <v>45632</v>
      </c>
      <c r="K17" s="105" t="s">
        <v>2044</v>
      </c>
      <c r="L17" s="430">
        <v>89115193078</v>
      </c>
      <c r="M17" s="105" t="s">
        <v>2043</v>
      </c>
      <c r="N17" s="66" t="s">
        <v>2050</v>
      </c>
      <c r="O17" s="97"/>
      <c r="P17" s="97">
        <v>2000</v>
      </c>
      <c r="Q17" s="60"/>
      <c r="R17" s="56" t="s">
        <v>387</v>
      </c>
      <c r="S17" s="100">
        <v>250000</v>
      </c>
      <c r="T17" s="65">
        <f t="shared" si="0"/>
        <v>500000</v>
      </c>
    </row>
    <row r="18" spans="1:20" s="67" customFormat="1" ht="13.5" customHeight="1" x14ac:dyDescent="0.25">
      <c r="A18" s="69" t="s">
        <v>1298</v>
      </c>
      <c r="B18" s="97" t="s">
        <v>2054</v>
      </c>
      <c r="C18" s="97" t="s">
        <v>401</v>
      </c>
      <c r="D18" s="98" t="s">
        <v>286</v>
      </c>
      <c r="E18" s="59" t="s">
        <v>2051</v>
      </c>
      <c r="F18" s="97">
        <v>1000</v>
      </c>
      <c r="G18" s="69">
        <v>40</v>
      </c>
      <c r="H18" s="69" t="s">
        <v>1619</v>
      </c>
      <c r="I18" s="69" t="s">
        <v>357</v>
      </c>
      <c r="J18" s="58">
        <v>45632</v>
      </c>
      <c r="K18" s="105" t="s">
        <v>2044</v>
      </c>
      <c r="L18" s="430">
        <v>89115193078</v>
      </c>
      <c r="M18" s="105" t="s">
        <v>2043</v>
      </c>
      <c r="N18" s="66">
        <v>5798</v>
      </c>
      <c r="O18" s="97"/>
      <c r="P18" s="97">
        <v>1000</v>
      </c>
      <c r="Q18" s="60"/>
      <c r="R18" s="56" t="s">
        <v>387</v>
      </c>
      <c r="S18" s="100">
        <v>250000</v>
      </c>
      <c r="T18" s="65">
        <f t="shared" si="0"/>
        <v>250000</v>
      </c>
    </row>
    <row r="19" spans="1:20" s="67" customFormat="1" ht="13.5" customHeight="1" x14ac:dyDescent="0.25">
      <c r="A19" s="69" t="s">
        <v>2060</v>
      </c>
      <c r="B19" s="97" t="s">
        <v>2032</v>
      </c>
      <c r="C19" s="97" t="s">
        <v>265</v>
      </c>
      <c r="D19" s="98" t="s">
        <v>285</v>
      </c>
      <c r="E19" s="59" t="s">
        <v>1125</v>
      </c>
      <c r="F19" s="97">
        <v>20000</v>
      </c>
      <c r="G19" s="69">
        <v>800</v>
      </c>
      <c r="H19" s="69" t="s">
        <v>241</v>
      </c>
      <c r="I19" s="69" t="s">
        <v>357</v>
      </c>
      <c r="J19" s="58">
        <v>45632</v>
      </c>
      <c r="K19" s="105" t="s">
        <v>479</v>
      </c>
      <c r="L19" s="105" t="s">
        <v>478</v>
      </c>
      <c r="M19" s="105" t="s">
        <v>477</v>
      </c>
      <c r="N19" s="58"/>
      <c r="O19" s="97">
        <v>20000</v>
      </c>
      <c r="P19" s="60"/>
      <c r="Q19" s="97"/>
      <c r="R19" s="56" t="s">
        <v>387</v>
      </c>
      <c r="S19" s="100">
        <v>43500</v>
      </c>
      <c r="T19" s="65">
        <f t="shared" si="0"/>
        <v>870000</v>
      </c>
    </row>
    <row r="20" spans="1:20" s="67" customFormat="1" ht="13.5" customHeight="1" x14ac:dyDescent="0.25">
      <c r="A20" s="69" t="s">
        <v>1066</v>
      </c>
      <c r="B20" s="60" t="s">
        <v>1953</v>
      </c>
      <c r="C20" s="60" t="s">
        <v>165</v>
      </c>
      <c r="D20" s="11" t="s">
        <v>1097</v>
      </c>
      <c r="E20" s="296" t="s">
        <v>1952</v>
      </c>
      <c r="F20" s="60">
        <v>17500</v>
      </c>
      <c r="G20" s="69">
        <v>700</v>
      </c>
      <c r="H20" s="69" t="s">
        <v>172</v>
      </c>
      <c r="I20" s="69" t="s">
        <v>357</v>
      </c>
      <c r="J20" s="58">
        <v>45635</v>
      </c>
      <c r="K20" s="108" t="s">
        <v>2053</v>
      </c>
      <c r="L20" s="117">
        <v>89815516137</v>
      </c>
      <c r="M20" s="66" t="s">
        <v>1874</v>
      </c>
      <c r="N20" s="364" t="s">
        <v>2064</v>
      </c>
      <c r="O20" s="60">
        <v>17500</v>
      </c>
      <c r="P20" s="56"/>
      <c r="Q20" s="56"/>
      <c r="R20" s="225" t="s">
        <v>387</v>
      </c>
      <c r="S20" s="100">
        <v>48500</v>
      </c>
      <c r="T20" s="65">
        <f xml:space="preserve"> S20*(F20/1000)</f>
        <v>848750</v>
      </c>
    </row>
    <row r="21" spans="1:20" s="67" customFormat="1" ht="13.5" customHeight="1" x14ac:dyDescent="0.25">
      <c r="A21" s="69" t="s">
        <v>1066</v>
      </c>
      <c r="B21" s="60" t="s">
        <v>1954</v>
      </c>
      <c r="C21" s="60" t="s">
        <v>165</v>
      </c>
      <c r="D21" s="11" t="s">
        <v>1097</v>
      </c>
      <c r="E21" s="296" t="s">
        <v>1956</v>
      </c>
      <c r="F21" s="60">
        <v>17500</v>
      </c>
      <c r="G21" s="69">
        <v>700</v>
      </c>
      <c r="H21" s="69" t="s">
        <v>172</v>
      </c>
      <c r="I21" s="69" t="s">
        <v>357</v>
      </c>
      <c r="J21" s="58">
        <v>45635</v>
      </c>
      <c r="K21" s="108" t="s">
        <v>2053</v>
      </c>
      <c r="L21" s="117">
        <v>89815516137</v>
      </c>
      <c r="M21" s="66" t="s">
        <v>1874</v>
      </c>
      <c r="N21" s="364" t="s">
        <v>2065</v>
      </c>
      <c r="O21" s="60">
        <v>17500</v>
      </c>
      <c r="P21" s="56"/>
      <c r="Q21" s="56"/>
      <c r="R21" s="225" t="s">
        <v>387</v>
      </c>
      <c r="S21" s="100">
        <v>48500</v>
      </c>
      <c r="T21" s="65">
        <f xml:space="preserve"> S21*(F21/1000)</f>
        <v>848750</v>
      </c>
    </row>
    <row r="22" spans="1:20" s="67" customFormat="1" ht="13.5" customHeight="1" x14ac:dyDescent="0.25">
      <c r="A22" s="69" t="s">
        <v>1066</v>
      </c>
      <c r="B22" s="60" t="s">
        <v>1955</v>
      </c>
      <c r="C22" s="60" t="s">
        <v>165</v>
      </c>
      <c r="D22" s="11" t="s">
        <v>1097</v>
      </c>
      <c r="E22" s="296" t="s">
        <v>1957</v>
      </c>
      <c r="F22" s="60">
        <v>17500</v>
      </c>
      <c r="G22" s="69">
        <v>700</v>
      </c>
      <c r="H22" s="69" t="s">
        <v>172</v>
      </c>
      <c r="I22" s="69" t="s">
        <v>357</v>
      </c>
      <c r="J22" s="58">
        <v>45635</v>
      </c>
      <c r="K22" s="108" t="s">
        <v>1939</v>
      </c>
      <c r="L22" s="117">
        <v>89115583359</v>
      </c>
      <c r="M22" s="66" t="s">
        <v>1311</v>
      </c>
      <c r="N22" s="364" t="s">
        <v>2066</v>
      </c>
      <c r="O22" s="60">
        <v>17500</v>
      </c>
      <c r="P22" s="56"/>
      <c r="Q22" s="56"/>
      <c r="R22" s="225" t="s">
        <v>387</v>
      </c>
      <c r="S22" s="100">
        <v>48500</v>
      </c>
      <c r="T22" s="65">
        <f xml:space="preserve"> S22*(F22/1000)</f>
        <v>848750</v>
      </c>
    </row>
    <row r="23" spans="1:20" s="67" customFormat="1" ht="13.5" customHeight="1" x14ac:dyDescent="0.25">
      <c r="A23" s="69" t="s">
        <v>1298</v>
      </c>
      <c r="B23" s="97" t="s">
        <v>2026</v>
      </c>
      <c r="C23" s="97" t="s">
        <v>265</v>
      </c>
      <c r="D23" s="98" t="s">
        <v>285</v>
      </c>
      <c r="E23" s="59" t="s">
        <v>977</v>
      </c>
      <c r="F23" s="97">
        <v>20000</v>
      </c>
      <c r="G23" s="69">
        <v>800</v>
      </c>
      <c r="H23" s="69" t="s">
        <v>2024</v>
      </c>
      <c r="I23" s="69" t="s">
        <v>357</v>
      </c>
      <c r="J23" s="58">
        <v>45635</v>
      </c>
      <c r="K23" s="105" t="s">
        <v>2042</v>
      </c>
      <c r="L23" s="430" t="s">
        <v>2041</v>
      </c>
      <c r="M23" s="105" t="s">
        <v>2040</v>
      </c>
      <c r="N23" s="58"/>
      <c r="O23" s="97">
        <v>20000</v>
      </c>
      <c r="P23" s="60"/>
      <c r="Q23" s="97"/>
      <c r="R23" s="56" t="s">
        <v>387</v>
      </c>
      <c r="S23" s="100">
        <v>43500</v>
      </c>
      <c r="T23" s="65">
        <f t="shared" ref="T23:T29" si="1" xml:space="preserve"> S23*(F23/1000)</f>
        <v>870000</v>
      </c>
    </row>
    <row r="24" spans="1:20" s="67" customFormat="1" ht="13.5" customHeight="1" x14ac:dyDescent="0.25">
      <c r="A24" s="69" t="s">
        <v>1275</v>
      </c>
      <c r="B24" s="97" t="s">
        <v>2025</v>
      </c>
      <c r="C24" s="97" t="s">
        <v>265</v>
      </c>
      <c r="D24" s="98" t="s">
        <v>285</v>
      </c>
      <c r="E24" s="59" t="s">
        <v>977</v>
      </c>
      <c r="F24" s="97">
        <v>14000</v>
      </c>
      <c r="G24" s="69">
        <v>560</v>
      </c>
      <c r="H24" s="69" t="s">
        <v>2024</v>
      </c>
      <c r="I24" s="69" t="s">
        <v>357</v>
      </c>
      <c r="J24" s="58">
        <v>45636</v>
      </c>
      <c r="K24" s="105" t="s">
        <v>1166</v>
      </c>
      <c r="L24" s="123">
        <v>89021984502</v>
      </c>
      <c r="M24" s="105" t="s">
        <v>778</v>
      </c>
      <c r="N24" s="58"/>
      <c r="O24" s="97">
        <v>14000</v>
      </c>
      <c r="P24" s="60"/>
      <c r="Q24" s="97"/>
      <c r="R24" s="56" t="s">
        <v>387</v>
      </c>
      <c r="S24" s="100">
        <v>43500</v>
      </c>
      <c r="T24" s="65">
        <f t="shared" si="1"/>
        <v>609000</v>
      </c>
    </row>
    <row r="25" spans="1:20" s="67" customFormat="1" ht="13.5" customHeight="1" x14ac:dyDescent="0.25">
      <c r="A25" s="69" t="s">
        <v>1275</v>
      </c>
      <c r="B25" s="97" t="s">
        <v>2025</v>
      </c>
      <c r="C25" s="97" t="s">
        <v>265</v>
      </c>
      <c r="D25" s="98" t="s">
        <v>204</v>
      </c>
      <c r="E25" s="59" t="s">
        <v>1021</v>
      </c>
      <c r="F25" s="97">
        <v>5600</v>
      </c>
      <c r="G25" s="69">
        <v>28</v>
      </c>
      <c r="H25" s="69" t="s">
        <v>2024</v>
      </c>
      <c r="I25" s="69" t="s">
        <v>357</v>
      </c>
      <c r="J25" s="58">
        <v>45636</v>
      </c>
      <c r="K25" s="105" t="s">
        <v>1166</v>
      </c>
      <c r="L25" s="123">
        <v>89021984502</v>
      </c>
      <c r="M25" s="105" t="s">
        <v>778</v>
      </c>
      <c r="N25" s="58"/>
      <c r="O25" s="97"/>
      <c r="P25" s="60"/>
      <c r="Q25" s="97">
        <v>5600</v>
      </c>
      <c r="R25" s="56" t="s">
        <v>387</v>
      </c>
      <c r="S25" s="100">
        <v>105000</v>
      </c>
      <c r="T25" s="65">
        <f t="shared" si="1"/>
        <v>588000</v>
      </c>
    </row>
    <row r="26" spans="1:20" s="67" customFormat="1" ht="13.5" customHeight="1" x14ac:dyDescent="0.25">
      <c r="A26" s="69" t="s">
        <v>1532</v>
      </c>
      <c r="B26" s="97" t="s">
        <v>2057</v>
      </c>
      <c r="C26" s="97" t="s">
        <v>401</v>
      </c>
      <c r="D26" s="98" t="s">
        <v>286</v>
      </c>
      <c r="E26" s="59" t="s">
        <v>2028</v>
      </c>
      <c r="F26" s="97">
        <v>4000</v>
      </c>
      <c r="G26" s="69">
        <v>160</v>
      </c>
      <c r="H26" s="69" t="s">
        <v>1619</v>
      </c>
      <c r="I26" s="69" t="s">
        <v>357</v>
      </c>
      <c r="J26" s="58">
        <v>45637</v>
      </c>
      <c r="K26" s="105" t="s">
        <v>2073</v>
      </c>
      <c r="L26" s="123">
        <v>89227142749</v>
      </c>
      <c r="M26" s="105" t="s">
        <v>2072</v>
      </c>
      <c r="N26" s="105" t="s">
        <v>2067</v>
      </c>
      <c r="O26" s="97"/>
      <c r="P26" s="97">
        <v>4000</v>
      </c>
      <c r="Q26" s="60"/>
      <c r="R26" s="56" t="s">
        <v>387</v>
      </c>
      <c r="S26" s="100">
        <v>250000</v>
      </c>
      <c r="T26" s="65">
        <f t="shared" ref="T26" si="2" xml:space="preserve"> S26*(F26/1000)</f>
        <v>1000000</v>
      </c>
    </row>
    <row r="27" spans="1:20" s="67" customFormat="1" ht="13.5" customHeight="1" x14ac:dyDescent="0.25">
      <c r="A27" s="69" t="s">
        <v>1532</v>
      </c>
      <c r="B27" s="97" t="s">
        <v>2057</v>
      </c>
      <c r="C27" s="97" t="s">
        <v>401</v>
      </c>
      <c r="D27" s="98" t="s">
        <v>286</v>
      </c>
      <c r="E27" s="59" t="s">
        <v>2039</v>
      </c>
      <c r="F27" s="97">
        <v>5000</v>
      </c>
      <c r="G27" s="69">
        <v>200</v>
      </c>
      <c r="H27" s="69" t="s">
        <v>1619</v>
      </c>
      <c r="I27" s="69" t="s">
        <v>357</v>
      </c>
      <c r="J27" s="58">
        <v>45637</v>
      </c>
      <c r="K27" s="105" t="s">
        <v>2073</v>
      </c>
      <c r="L27" s="123">
        <v>89227142749</v>
      </c>
      <c r="M27" s="105" t="s">
        <v>2072</v>
      </c>
      <c r="N27" s="105" t="s">
        <v>2068</v>
      </c>
      <c r="O27" s="97"/>
      <c r="P27" s="97">
        <v>5000</v>
      </c>
      <c r="Q27" s="60"/>
      <c r="R27" s="56" t="s">
        <v>387</v>
      </c>
      <c r="S27" s="100">
        <v>250000</v>
      </c>
      <c r="T27" s="65">
        <f t="shared" si="1"/>
        <v>1250000</v>
      </c>
    </row>
    <row r="28" spans="1:20" s="67" customFormat="1" ht="13.5" customHeight="1" x14ac:dyDescent="0.25">
      <c r="A28" s="69" t="s">
        <v>1532</v>
      </c>
      <c r="B28" s="97" t="s">
        <v>2057</v>
      </c>
      <c r="C28" s="97" t="s">
        <v>401</v>
      </c>
      <c r="D28" s="98" t="s">
        <v>286</v>
      </c>
      <c r="E28" s="59" t="s">
        <v>2058</v>
      </c>
      <c r="F28" s="97">
        <v>5000</v>
      </c>
      <c r="G28" s="69">
        <v>200</v>
      </c>
      <c r="H28" s="69" t="s">
        <v>1619</v>
      </c>
      <c r="I28" s="69" t="s">
        <v>357</v>
      </c>
      <c r="J28" s="58">
        <v>45637</v>
      </c>
      <c r="K28" s="105" t="s">
        <v>2073</v>
      </c>
      <c r="L28" s="123">
        <v>89227142749</v>
      </c>
      <c r="M28" s="105" t="s">
        <v>2072</v>
      </c>
      <c r="N28" s="105" t="s">
        <v>2069</v>
      </c>
      <c r="O28" s="97"/>
      <c r="P28" s="97">
        <v>5000</v>
      </c>
      <c r="Q28" s="60"/>
      <c r="R28" s="56" t="s">
        <v>387</v>
      </c>
      <c r="S28" s="100">
        <v>250000</v>
      </c>
      <c r="T28" s="65">
        <f t="shared" si="1"/>
        <v>1250000</v>
      </c>
    </row>
    <row r="29" spans="1:20" s="67" customFormat="1" ht="13.5" customHeight="1" x14ac:dyDescent="0.25">
      <c r="A29" s="69" t="s">
        <v>1532</v>
      </c>
      <c r="B29" s="97" t="s">
        <v>2057</v>
      </c>
      <c r="C29" s="97" t="s">
        <v>401</v>
      </c>
      <c r="D29" s="98" t="s">
        <v>286</v>
      </c>
      <c r="E29" s="59" t="s">
        <v>2059</v>
      </c>
      <c r="F29" s="97">
        <v>5000</v>
      </c>
      <c r="G29" s="69">
        <v>200</v>
      </c>
      <c r="H29" s="69" t="s">
        <v>1619</v>
      </c>
      <c r="I29" s="69" t="s">
        <v>357</v>
      </c>
      <c r="J29" s="58">
        <v>45637</v>
      </c>
      <c r="K29" s="105" t="s">
        <v>2073</v>
      </c>
      <c r="L29" s="123">
        <v>89227142749</v>
      </c>
      <c r="M29" s="105" t="s">
        <v>2072</v>
      </c>
      <c r="N29" s="105" t="s">
        <v>2070</v>
      </c>
      <c r="O29" s="97"/>
      <c r="P29" s="97">
        <v>5000</v>
      </c>
      <c r="Q29" s="60"/>
      <c r="R29" s="56" t="s">
        <v>387</v>
      </c>
      <c r="S29" s="100">
        <v>250000</v>
      </c>
      <c r="T29" s="65">
        <f t="shared" si="1"/>
        <v>1250000</v>
      </c>
    </row>
    <row r="30" spans="1:20" s="67" customFormat="1" ht="13.5" customHeight="1" x14ac:dyDescent="0.25">
      <c r="A30" s="69" t="s">
        <v>1532</v>
      </c>
      <c r="B30" s="97" t="s">
        <v>2057</v>
      </c>
      <c r="C30" s="97" t="s">
        <v>401</v>
      </c>
      <c r="D30" s="98" t="s">
        <v>286</v>
      </c>
      <c r="E30" s="59" t="s">
        <v>2071</v>
      </c>
      <c r="F30" s="97">
        <v>1000</v>
      </c>
      <c r="G30" s="69">
        <v>40</v>
      </c>
      <c r="H30" s="69" t="s">
        <v>1619</v>
      </c>
      <c r="I30" s="69" t="s">
        <v>357</v>
      </c>
      <c r="J30" s="58">
        <v>45637</v>
      </c>
      <c r="K30" s="105" t="s">
        <v>2073</v>
      </c>
      <c r="L30" s="123">
        <v>89227142749</v>
      </c>
      <c r="M30" s="105" t="s">
        <v>2072</v>
      </c>
      <c r="N30" s="66">
        <v>6071</v>
      </c>
      <c r="O30" s="97"/>
      <c r="P30" s="97">
        <v>1000</v>
      </c>
      <c r="Q30" s="60"/>
      <c r="R30" s="56" t="s">
        <v>387</v>
      </c>
      <c r="S30" s="100">
        <v>250000</v>
      </c>
      <c r="T30" s="65">
        <f t="shared" ref="T30:T44" si="3" xml:space="preserve"> S30*(F30/1000)</f>
        <v>250000</v>
      </c>
    </row>
    <row r="31" spans="1:20" s="67" customFormat="1" ht="13.5" customHeight="1" x14ac:dyDescent="0.25">
      <c r="A31" s="69" t="s">
        <v>1570</v>
      </c>
      <c r="B31" s="60" t="s">
        <v>2062</v>
      </c>
      <c r="C31" s="60" t="s">
        <v>165</v>
      </c>
      <c r="D31" s="11" t="s">
        <v>1097</v>
      </c>
      <c r="E31" s="296" t="s">
        <v>2061</v>
      </c>
      <c r="F31" s="60">
        <v>20125</v>
      </c>
      <c r="G31" s="69">
        <v>805</v>
      </c>
      <c r="H31" s="69" t="s">
        <v>169</v>
      </c>
      <c r="I31" s="69" t="s">
        <v>357</v>
      </c>
      <c r="J31" s="58">
        <v>45637</v>
      </c>
      <c r="K31" s="108" t="s">
        <v>993</v>
      </c>
      <c r="L31" s="117">
        <v>89600155752</v>
      </c>
      <c r="M31" s="66" t="s">
        <v>504</v>
      </c>
      <c r="N31" s="364"/>
      <c r="O31" s="60">
        <v>20125</v>
      </c>
      <c r="P31" s="56"/>
      <c r="Q31" s="56"/>
      <c r="R31" s="225" t="s">
        <v>387</v>
      </c>
      <c r="S31" s="100">
        <v>48500</v>
      </c>
      <c r="T31" s="65">
        <f t="shared" si="3"/>
        <v>976062.5</v>
      </c>
    </row>
    <row r="32" spans="1:20" s="67" customFormat="1" x14ac:dyDescent="0.25">
      <c r="A32" s="69" t="s">
        <v>1298</v>
      </c>
      <c r="B32" s="60" t="s">
        <v>2076</v>
      </c>
      <c r="C32" s="60" t="s">
        <v>1427</v>
      </c>
      <c r="D32" s="98" t="s">
        <v>1190</v>
      </c>
      <c r="E32" s="59" t="s">
        <v>2075</v>
      </c>
      <c r="F32" s="97">
        <v>7200</v>
      </c>
      <c r="G32" s="69">
        <v>36</v>
      </c>
      <c r="H32" s="69" t="s">
        <v>655</v>
      </c>
      <c r="I32" s="69" t="s">
        <v>357</v>
      </c>
      <c r="J32" s="58">
        <v>45639</v>
      </c>
      <c r="K32" s="105" t="s">
        <v>1585</v>
      </c>
      <c r="L32" s="66">
        <v>89214995787</v>
      </c>
      <c r="M32" s="105" t="s">
        <v>2084</v>
      </c>
      <c r="N32" s="169"/>
      <c r="O32" s="97"/>
      <c r="P32" s="60"/>
      <c r="Q32" s="97">
        <v>7200</v>
      </c>
      <c r="R32" s="56" t="s">
        <v>387</v>
      </c>
      <c r="S32" s="100">
        <v>125500</v>
      </c>
      <c r="T32" s="65">
        <f t="shared" si="3"/>
        <v>903600</v>
      </c>
    </row>
    <row r="33" spans="1:20" s="67" customFormat="1" ht="13.5" customHeight="1" x14ac:dyDescent="0.25">
      <c r="A33" s="69" t="s">
        <v>1298</v>
      </c>
      <c r="B33" s="60" t="s">
        <v>2074</v>
      </c>
      <c r="C33" s="97" t="s">
        <v>529</v>
      </c>
      <c r="D33" s="98" t="s">
        <v>338</v>
      </c>
      <c r="E33" s="59" t="s">
        <v>2023</v>
      </c>
      <c r="F33" s="97">
        <v>10400</v>
      </c>
      <c r="G33" s="69">
        <v>52</v>
      </c>
      <c r="H33" s="69" t="s">
        <v>2020</v>
      </c>
      <c r="I33" s="69" t="s">
        <v>357</v>
      </c>
      <c r="J33" s="58">
        <v>45639</v>
      </c>
      <c r="K33" s="105" t="s">
        <v>1585</v>
      </c>
      <c r="L33" s="123">
        <v>89214995787</v>
      </c>
      <c r="M33" s="105" t="s">
        <v>2084</v>
      </c>
      <c r="N33" s="433"/>
      <c r="O33" s="97"/>
      <c r="P33" s="97"/>
      <c r="Q33" s="97">
        <v>10400</v>
      </c>
      <c r="R33" s="56" t="s">
        <v>387</v>
      </c>
      <c r="S33" s="100">
        <v>197000</v>
      </c>
      <c r="T33" s="65">
        <f t="shared" si="3"/>
        <v>2048800</v>
      </c>
    </row>
    <row r="34" spans="1:20" s="67" customFormat="1" ht="13.5" customHeight="1" x14ac:dyDescent="0.25">
      <c r="A34" s="69" t="s">
        <v>224</v>
      </c>
      <c r="B34" s="97" t="s">
        <v>2078</v>
      </c>
      <c r="C34" s="97" t="s">
        <v>401</v>
      </c>
      <c r="D34" s="98" t="s">
        <v>286</v>
      </c>
      <c r="E34" s="59" t="s">
        <v>2071</v>
      </c>
      <c r="F34" s="97">
        <v>4000</v>
      </c>
      <c r="G34" s="69">
        <v>160</v>
      </c>
      <c r="H34" s="69" t="s">
        <v>1619</v>
      </c>
      <c r="I34" s="69" t="s">
        <v>357</v>
      </c>
      <c r="J34" s="58">
        <v>45639</v>
      </c>
      <c r="K34" s="105" t="s">
        <v>2098</v>
      </c>
      <c r="L34" s="123">
        <v>89225027401</v>
      </c>
      <c r="M34" s="105" t="s">
        <v>2097</v>
      </c>
      <c r="N34" s="66" t="s">
        <v>2094</v>
      </c>
      <c r="O34" s="97"/>
      <c r="P34" s="97">
        <v>4000</v>
      </c>
      <c r="Q34" s="60"/>
      <c r="R34" s="56" t="s">
        <v>387</v>
      </c>
      <c r="S34" s="100">
        <v>250000</v>
      </c>
      <c r="T34" s="65">
        <f xml:space="preserve"> S34*(F34/1000)</f>
        <v>1000000</v>
      </c>
    </row>
    <row r="35" spans="1:20" s="67" customFormat="1" ht="13.5" customHeight="1" x14ac:dyDescent="0.25">
      <c r="A35" s="69" t="s">
        <v>224</v>
      </c>
      <c r="B35" s="97" t="s">
        <v>2078</v>
      </c>
      <c r="C35" s="97" t="s">
        <v>401</v>
      </c>
      <c r="D35" s="98" t="s">
        <v>286</v>
      </c>
      <c r="E35" s="59" t="s">
        <v>2079</v>
      </c>
      <c r="F35" s="97">
        <v>5000</v>
      </c>
      <c r="G35" s="69">
        <v>200</v>
      </c>
      <c r="H35" s="69" t="s">
        <v>1619</v>
      </c>
      <c r="I35" s="69" t="s">
        <v>357</v>
      </c>
      <c r="J35" s="58">
        <v>45639</v>
      </c>
      <c r="K35" s="105" t="s">
        <v>2098</v>
      </c>
      <c r="L35" s="123">
        <v>89225027401</v>
      </c>
      <c r="M35" s="105" t="s">
        <v>2097</v>
      </c>
      <c r="N35" s="66" t="s">
        <v>2093</v>
      </c>
      <c r="O35" s="97"/>
      <c r="P35" s="97">
        <v>5000</v>
      </c>
      <c r="Q35" s="60"/>
      <c r="R35" s="56" t="s">
        <v>387</v>
      </c>
      <c r="S35" s="100">
        <v>250000</v>
      </c>
      <c r="T35" s="65">
        <f xml:space="preserve"> S35*(F35/1000)</f>
        <v>1250000</v>
      </c>
    </row>
    <row r="36" spans="1:20" s="67" customFormat="1" ht="13.5" customHeight="1" x14ac:dyDescent="0.25">
      <c r="A36" s="69" t="s">
        <v>224</v>
      </c>
      <c r="B36" s="97" t="s">
        <v>2078</v>
      </c>
      <c r="C36" s="97" t="s">
        <v>401</v>
      </c>
      <c r="D36" s="98" t="s">
        <v>286</v>
      </c>
      <c r="E36" s="59" t="s">
        <v>2091</v>
      </c>
      <c r="F36" s="97">
        <v>5000</v>
      </c>
      <c r="G36" s="69">
        <v>200</v>
      </c>
      <c r="H36" s="69" t="s">
        <v>1619</v>
      </c>
      <c r="I36" s="69" t="s">
        <v>357</v>
      </c>
      <c r="J36" s="58">
        <v>45639</v>
      </c>
      <c r="K36" s="105" t="s">
        <v>2098</v>
      </c>
      <c r="L36" s="123">
        <v>89225027401</v>
      </c>
      <c r="M36" s="105" t="s">
        <v>2097</v>
      </c>
      <c r="N36" s="66" t="s">
        <v>2095</v>
      </c>
      <c r="O36" s="97"/>
      <c r="P36" s="97">
        <v>5000</v>
      </c>
      <c r="Q36" s="60"/>
      <c r="R36" s="56" t="s">
        <v>387</v>
      </c>
      <c r="S36" s="100">
        <v>250000</v>
      </c>
      <c r="T36" s="65">
        <f xml:space="preserve"> S36*(F36/1000)</f>
        <v>1250000</v>
      </c>
    </row>
    <row r="37" spans="1:20" s="67" customFormat="1" ht="13.5" customHeight="1" x14ac:dyDescent="0.25">
      <c r="A37" s="69" t="s">
        <v>224</v>
      </c>
      <c r="B37" s="97" t="s">
        <v>2078</v>
      </c>
      <c r="C37" s="97" t="s">
        <v>401</v>
      </c>
      <c r="D37" s="98" t="s">
        <v>286</v>
      </c>
      <c r="E37" s="59" t="s">
        <v>2092</v>
      </c>
      <c r="F37" s="97">
        <v>5000</v>
      </c>
      <c r="G37" s="69">
        <v>200</v>
      </c>
      <c r="H37" s="69" t="s">
        <v>1619</v>
      </c>
      <c r="I37" s="69" t="s">
        <v>357</v>
      </c>
      <c r="J37" s="58">
        <v>45639</v>
      </c>
      <c r="K37" s="105" t="s">
        <v>2098</v>
      </c>
      <c r="L37" s="123">
        <v>89225027401</v>
      </c>
      <c r="M37" s="105" t="s">
        <v>2097</v>
      </c>
      <c r="N37" s="66" t="s">
        <v>2096</v>
      </c>
      <c r="O37" s="97"/>
      <c r="P37" s="97">
        <v>5000</v>
      </c>
      <c r="Q37" s="60"/>
      <c r="R37" s="56" t="s">
        <v>387</v>
      </c>
      <c r="S37" s="100">
        <v>250000</v>
      </c>
      <c r="T37" s="65">
        <f xml:space="preserve"> S37*(F37/1000)</f>
        <v>1250000</v>
      </c>
    </row>
    <row r="38" spans="1:20" s="67" customFormat="1" ht="13.5" customHeight="1" x14ac:dyDescent="0.25">
      <c r="A38" s="69" t="s">
        <v>224</v>
      </c>
      <c r="B38" s="97" t="s">
        <v>2078</v>
      </c>
      <c r="C38" s="97" t="s">
        <v>401</v>
      </c>
      <c r="D38" s="98" t="s">
        <v>286</v>
      </c>
      <c r="E38" s="59" t="s">
        <v>2006</v>
      </c>
      <c r="F38" s="97">
        <v>1000</v>
      </c>
      <c r="G38" s="69">
        <v>40</v>
      </c>
      <c r="H38" s="69" t="s">
        <v>1619</v>
      </c>
      <c r="I38" s="69" t="s">
        <v>357</v>
      </c>
      <c r="J38" s="58">
        <v>45639</v>
      </c>
      <c r="K38" s="105" t="s">
        <v>2098</v>
      </c>
      <c r="L38" s="123">
        <v>89225027401</v>
      </c>
      <c r="M38" s="105" t="s">
        <v>2097</v>
      </c>
      <c r="N38" s="66">
        <v>5679</v>
      </c>
      <c r="O38" s="97"/>
      <c r="P38" s="97">
        <v>1000</v>
      </c>
      <c r="Q38" s="60"/>
      <c r="R38" s="56" t="s">
        <v>387</v>
      </c>
      <c r="S38" s="100">
        <v>250000</v>
      </c>
      <c r="T38" s="65">
        <f xml:space="preserve"> S38*(F38/1000)</f>
        <v>250000</v>
      </c>
    </row>
    <row r="39" spans="1:20" s="67" customFormat="1" ht="13.5" customHeight="1" x14ac:dyDescent="0.25">
      <c r="A39" s="69" t="s">
        <v>1298</v>
      </c>
      <c r="B39" s="60" t="s">
        <v>2083</v>
      </c>
      <c r="C39" s="60" t="s">
        <v>165</v>
      </c>
      <c r="D39" s="11" t="s">
        <v>1097</v>
      </c>
      <c r="E39" s="296" t="s">
        <v>1902</v>
      </c>
      <c r="F39" s="60">
        <v>14875</v>
      </c>
      <c r="G39" s="69">
        <v>595</v>
      </c>
      <c r="H39" s="69" t="s">
        <v>169</v>
      </c>
      <c r="I39" s="69" t="s">
        <v>357</v>
      </c>
      <c r="J39" s="58">
        <v>45642</v>
      </c>
      <c r="K39" s="108" t="s">
        <v>2086</v>
      </c>
      <c r="L39" s="117">
        <v>89512771429</v>
      </c>
      <c r="M39" s="66" t="s">
        <v>2085</v>
      </c>
      <c r="N39" s="364"/>
      <c r="O39" s="60">
        <v>14875</v>
      </c>
      <c r="P39" s="56"/>
      <c r="Q39" s="56"/>
      <c r="R39" s="225" t="s">
        <v>387</v>
      </c>
      <c r="S39" s="100">
        <v>48500</v>
      </c>
      <c r="T39" s="65">
        <f t="shared" si="3"/>
        <v>721437.5</v>
      </c>
    </row>
    <row r="40" spans="1:20" s="67" customFormat="1" ht="13.5" customHeight="1" x14ac:dyDescent="0.25">
      <c r="A40" s="69" t="s">
        <v>1298</v>
      </c>
      <c r="B40" s="60" t="s">
        <v>2082</v>
      </c>
      <c r="C40" s="60" t="s">
        <v>165</v>
      </c>
      <c r="D40" s="98" t="s">
        <v>205</v>
      </c>
      <c r="E40" s="296" t="s">
        <v>1902</v>
      </c>
      <c r="F40" s="97">
        <v>4440</v>
      </c>
      <c r="G40" s="69">
        <v>24</v>
      </c>
      <c r="H40" s="69" t="s">
        <v>169</v>
      </c>
      <c r="I40" s="69" t="s">
        <v>357</v>
      </c>
      <c r="J40" s="58">
        <v>45642</v>
      </c>
      <c r="K40" s="108" t="s">
        <v>2087</v>
      </c>
      <c r="L40" s="117">
        <v>89512771429</v>
      </c>
      <c r="M40" s="66" t="s">
        <v>2085</v>
      </c>
      <c r="N40" s="339"/>
      <c r="O40" s="97"/>
      <c r="P40" s="60"/>
      <c r="Q40" s="97">
        <v>4440</v>
      </c>
      <c r="R40" s="225" t="s">
        <v>387</v>
      </c>
      <c r="S40" s="100">
        <v>125000</v>
      </c>
      <c r="T40" s="65">
        <f t="shared" si="3"/>
        <v>555000</v>
      </c>
    </row>
    <row r="41" spans="1:20" s="67" customFormat="1" ht="13.5" customHeight="1" x14ac:dyDescent="0.25">
      <c r="A41" s="69" t="s">
        <v>1298</v>
      </c>
      <c r="B41" s="97" t="s">
        <v>411</v>
      </c>
      <c r="C41" s="97" t="s">
        <v>2080</v>
      </c>
      <c r="D41" s="98" t="s">
        <v>275</v>
      </c>
      <c r="E41" s="59" t="s">
        <v>2056</v>
      </c>
      <c r="F41" s="97">
        <v>15000</v>
      </c>
      <c r="G41" s="69">
        <v>600</v>
      </c>
      <c r="H41" s="69" t="s">
        <v>2081</v>
      </c>
      <c r="I41" s="69" t="s">
        <v>357</v>
      </c>
      <c r="J41" s="58">
        <v>45642</v>
      </c>
      <c r="K41" s="105" t="s">
        <v>2089</v>
      </c>
      <c r="L41" s="123">
        <v>89068680005</v>
      </c>
      <c r="M41" s="105" t="s">
        <v>2088</v>
      </c>
      <c r="N41" s="433"/>
      <c r="O41" s="97">
        <v>15000</v>
      </c>
      <c r="P41" s="97"/>
      <c r="Q41" s="60"/>
      <c r="R41" s="56" t="s">
        <v>387</v>
      </c>
      <c r="S41" s="100">
        <v>45000</v>
      </c>
      <c r="T41" s="65">
        <f t="shared" si="3"/>
        <v>675000</v>
      </c>
    </row>
    <row r="42" spans="1:20" s="67" customFormat="1" ht="13.5" customHeight="1" x14ac:dyDescent="0.25">
      <c r="A42" s="69" t="s">
        <v>1298</v>
      </c>
      <c r="B42" s="97" t="s">
        <v>2102</v>
      </c>
      <c r="C42" s="97" t="s">
        <v>265</v>
      </c>
      <c r="D42" s="98" t="s">
        <v>286</v>
      </c>
      <c r="E42" s="59" t="s">
        <v>1259</v>
      </c>
      <c r="F42" s="97">
        <v>20000</v>
      </c>
      <c r="G42" s="69">
        <v>800</v>
      </c>
      <c r="H42" s="69" t="s">
        <v>382</v>
      </c>
      <c r="I42" s="69" t="s">
        <v>357</v>
      </c>
      <c r="J42" s="58">
        <v>45643</v>
      </c>
      <c r="K42" s="105" t="s">
        <v>2104</v>
      </c>
      <c r="L42" s="123">
        <v>89116704663</v>
      </c>
      <c r="M42" s="105" t="s">
        <v>2106</v>
      </c>
      <c r="N42" s="58"/>
      <c r="O42" s="97">
        <v>20000</v>
      </c>
      <c r="P42" s="60"/>
      <c r="Q42" s="97"/>
      <c r="R42" s="56" t="s">
        <v>387</v>
      </c>
      <c r="S42" s="100">
        <v>250000</v>
      </c>
      <c r="T42" s="65">
        <f t="shared" si="3"/>
        <v>5000000</v>
      </c>
    </row>
    <row r="43" spans="1:20" s="67" customFormat="1" ht="13.5" customHeight="1" x14ac:dyDescent="0.25">
      <c r="A43" s="69" t="s">
        <v>1275</v>
      </c>
      <c r="B43" s="97" t="s">
        <v>2101</v>
      </c>
      <c r="C43" s="97" t="s">
        <v>265</v>
      </c>
      <c r="D43" s="98" t="s">
        <v>285</v>
      </c>
      <c r="E43" s="59" t="s">
        <v>1125</v>
      </c>
      <c r="F43" s="97">
        <v>14000</v>
      </c>
      <c r="G43" s="69">
        <v>560</v>
      </c>
      <c r="H43" s="69" t="s">
        <v>169</v>
      </c>
      <c r="I43" s="69" t="s">
        <v>357</v>
      </c>
      <c r="J43" s="58">
        <v>45643</v>
      </c>
      <c r="K43" s="123" t="s">
        <v>699</v>
      </c>
      <c r="L43" s="123">
        <v>89009189331</v>
      </c>
      <c r="M43" s="105" t="s">
        <v>1901</v>
      </c>
      <c r="N43" s="58"/>
      <c r="O43" s="97">
        <v>14000</v>
      </c>
      <c r="P43" s="60"/>
      <c r="Q43" s="97"/>
      <c r="R43" s="56" t="s">
        <v>387</v>
      </c>
      <c r="S43" s="100">
        <v>43500</v>
      </c>
      <c r="T43" s="65">
        <f t="shared" si="3"/>
        <v>609000</v>
      </c>
    </row>
    <row r="44" spans="1:20" s="67" customFormat="1" ht="13.5" customHeight="1" x14ac:dyDescent="0.25">
      <c r="A44" s="69" t="s">
        <v>1275</v>
      </c>
      <c r="B44" s="97" t="s">
        <v>2101</v>
      </c>
      <c r="C44" s="97" t="s">
        <v>265</v>
      </c>
      <c r="D44" s="98" t="s">
        <v>286</v>
      </c>
      <c r="E44" s="59" t="s">
        <v>1259</v>
      </c>
      <c r="F44" s="97">
        <v>6000</v>
      </c>
      <c r="G44" s="69">
        <v>240</v>
      </c>
      <c r="H44" s="69" t="s">
        <v>169</v>
      </c>
      <c r="I44" s="69" t="s">
        <v>357</v>
      </c>
      <c r="J44" s="58">
        <v>45643</v>
      </c>
      <c r="K44" s="123" t="s">
        <v>699</v>
      </c>
      <c r="L44" s="123">
        <v>89009189331</v>
      </c>
      <c r="M44" s="105" t="s">
        <v>1901</v>
      </c>
      <c r="N44" s="58"/>
      <c r="O44" s="97"/>
      <c r="P44" s="97">
        <v>6000</v>
      </c>
      <c r="Q44" s="97"/>
      <c r="R44" s="56" t="s">
        <v>387</v>
      </c>
      <c r="S44" s="100">
        <v>250000</v>
      </c>
      <c r="T44" s="65">
        <f t="shared" si="3"/>
        <v>1500000</v>
      </c>
    </row>
    <row r="45" spans="1:20" s="67" customFormat="1" ht="13.5" customHeight="1" x14ac:dyDescent="0.25">
      <c r="A45" s="69" t="s">
        <v>1545</v>
      </c>
      <c r="B45" s="97" t="s">
        <v>1551</v>
      </c>
      <c r="C45" s="97" t="s">
        <v>822</v>
      </c>
      <c r="D45" s="98" t="s">
        <v>174</v>
      </c>
      <c r="E45" s="59" t="s">
        <v>2023</v>
      </c>
      <c r="F45" s="97">
        <v>8800</v>
      </c>
      <c r="G45" s="69">
        <v>44</v>
      </c>
      <c r="H45" s="69" t="s">
        <v>391</v>
      </c>
      <c r="I45" s="69" t="s">
        <v>357</v>
      </c>
      <c r="J45" s="58">
        <v>45643</v>
      </c>
      <c r="K45" s="105" t="s">
        <v>2107</v>
      </c>
      <c r="L45" s="123">
        <v>89109282933</v>
      </c>
      <c r="M45" s="105" t="s">
        <v>2108</v>
      </c>
      <c r="N45" s="339"/>
      <c r="O45" s="97"/>
      <c r="P45" s="60"/>
      <c r="Q45" s="97">
        <v>8800</v>
      </c>
      <c r="R45" s="56" t="s">
        <v>387</v>
      </c>
      <c r="S45" s="100">
        <v>89900</v>
      </c>
      <c r="T45" s="65">
        <f xml:space="preserve"> S45*(F45/1000)</f>
        <v>791120.00000000012</v>
      </c>
    </row>
    <row r="46" spans="1:20" s="67" customFormat="1" ht="13.5" customHeight="1" x14ac:dyDescent="0.25">
      <c r="A46" s="69" t="s">
        <v>1545</v>
      </c>
      <c r="B46" s="97" t="s">
        <v>1551</v>
      </c>
      <c r="C46" s="97" t="s">
        <v>822</v>
      </c>
      <c r="D46" s="98" t="s">
        <v>174</v>
      </c>
      <c r="E46" s="59" t="s">
        <v>2027</v>
      </c>
      <c r="F46" s="97">
        <v>8800</v>
      </c>
      <c r="G46" s="69">
        <v>44</v>
      </c>
      <c r="H46" s="69" t="s">
        <v>391</v>
      </c>
      <c r="I46" s="69" t="s">
        <v>357</v>
      </c>
      <c r="J46" s="58">
        <v>45643</v>
      </c>
      <c r="K46" s="105" t="s">
        <v>2107</v>
      </c>
      <c r="L46" s="123">
        <v>89109282933</v>
      </c>
      <c r="M46" s="105" t="s">
        <v>2108</v>
      </c>
      <c r="N46" s="339"/>
      <c r="O46" s="97"/>
      <c r="P46" s="60"/>
      <c r="Q46" s="97">
        <v>8800</v>
      </c>
      <c r="R46" s="56" t="s">
        <v>387</v>
      </c>
      <c r="S46" s="100">
        <v>89900</v>
      </c>
      <c r="T46" s="65">
        <f xml:space="preserve"> S46*(F46/1000)</f>
        <v>791120.00000000012</v>
      </c>
    </row>
    <row r="47" spans="1:20" s="67" customFormat="1" ht="13.5" customHeight="1" x14ac:dyDescent="0.25">
      <c r="A47" s="69" t="s">
        <v>1066</v>
      </c>
      <c r="B47" s="60" t="s">
        <v>1977</v>
      </c>
      <c r="C47" s="60" t="s">
        <v>165</v>
      </c>
      <c r="D47" s="11" t="s">
        <v>1043</v>
      </c>
      <c r="E47" s="296" t="s">
        <v>1978</v>
      </c>
      <c r="F47" s="60">
        <v>17500</v>
      </c>
      <c r="G47" s="69">
        <v>700</v>
      </c>
      <c r="H47" s="69" t="s">
        <v>172</v>
      </c>
      <c r="I47" s="69" t="s">
        <v>357</v>
      </c>
      <c r="J47" s="58">
        <v>45644</v>
      </c>
      <c r="K47" s="108" t="s">
        <v>1940</v>
      </c>
      <c r="L47" s="117">
        <v>89116806638</v>
      </c>
      <c r="M47" s="66" t="s">
        <v>1899</v>
      </c>
      <c r="N47" s="364" t="s">
        <v>2112</v>
      </c>
      <c r="O47" s="60">
        <v>17500</v>
      </c>
      <c r="P47" s="56"/>
      <c r="Q47" s="56"/>
      <c r="R47" s="225" t="s">
        <v>387</v>
      </c>
      <c r="S47" s="100">
        <v>48500</v>
      </c>
      <c r="T47" s="65">
        <f xml:space="preserve"> S47*(F47/1000)</f>
        <v>848750</v>
      </c>
    </row>
    <row r="48" spans="1:20" s="67" customFormat="1" ht="13.5" customHeight="1" x14ac:dyDescent="0.25">
      <c r="A48" s="69" t="s">
        <v>1066</v>
      </c>
      <c r="B48" s="60" t="s">
        <v>2055</v>
      </c>
      <c r="C48" s="60" t="s">
        <v>165</v>
      </c>
      <c r="D48" s="11" t="s">
        <v>1069</v>
      </c>
      <c r="E48" s="296" t="s">
        <v>2056</v>
      </c>
      <c r="F48" s="60">
        <v>14000</v>
      </c>
      <c r="G48" s="69">
        <v>80</v>
      </c>
      <c r="H48" s="69" t="s">
        <v>172</v>
      </c>
      <c r="I48" s="69" t="s">
        <v>357</v>
      </c>
      <c r="J48" s="58">
        <v>45644</v>
      </c>
      <c r="K48" s="108" t="s">
        <v>1939</v>
      </c>
      <c r="L48" s="117">
        <v>89115583359</v>
      </c>
      <c r="M48" s="105" t="s">
        <v>1311</v>
      </c>
      <c r="N48" s="364" t="s">
        <v>2113</v>
      </c>
      <c r="O48" s="60"/>
      <c r="P48" s="56"/>
      <c r="Q48" s="60">
        <v>14000</v>
      </c>
      <c r="R48" s="225" t="s">
        <v>387</v>
      </c>
      <c r="S48" s="100">
        <v>250000</v>
      </c>
      <c r="T48" s="65">
        <f t="shared" ref="T48:T50" si="4" xml:space="preserve"> S48*(F48/1000)</f>
        <v>3500000</v>
      </c>
    </row>
    <row r="49" spans="1:20" s="67" customFormat="1" ht="13.5" customHeight="1" x14ac:dyDescent="0.25">
      <c r="A49" s="69" t="s">
        <v>1279</v>
      </c>
      <c r="B49" s="97" t="s">
        <v>755</v>
      </c>
      <c r="C49" s="97" t="s">
        <v>381</v>
      </c>
      <c r="D49" s="98" t="s">
        <v>174</v>
      </c>
      <c r="E49" s="59" t="s">
        <v>786</v>
      </c>
      <c r="F49" s="97">
        <v>4800</v>
      </c>
      <c r="G49" s="69">
        <v>24</v>
      </c>
      <c r="H49" s="69" t="s">
        <v>424</v>
      </c>
      <c r="I49" s="69" t="s">
        <v>357</v>
      </c>
      <c r="J49" s="58">
        <v>45646</v>
      </c>
      <c r="K49" s="105" t="s">
        <v>2111</v>
      </c>
      <c r="L49" s="123">
        <v>89101958609</v>
      </c>
      <c r="M49" s="105" t="s">
        <v>2110</v>
      </c>
      <c r="N49" s="434"/>
      <c r="O49" s="97"/>
      <c r="P49" s="97"/>
      <c r="Q49" s="97">
        <v>4800</v>
      </c>
      <c r="R49" s="56" t="s">
        <v>387</v>
      </c>
      <c r="S49" s="100">
        <v>89000</v>
      </c>
      <c r="T49" s="65">
        <f t="shared" si="4"/>
        <v>427200</v>
      </c>
    </row>
    <row r="50" spans="1:20" s="67" customFormat="1" ht="13.5" customHeight="1" x14ac:dyDescent="0.25">
      <c r="A50" s="69" t="s">
        <v>1279</v>
      </c>
      <c r="B50" s="97" t="s">
        <v>755</v>
      </c>
      <c r="C50" s="97" t="s">
        <v>381</v>
      </c>
      <c r="D50" s="98" t="s">
        <v>289</v>
      </c>
      <c r="E50" s="59" t="s">
        <v>955</v>
      </c>
      <c r="F50" s="97">
        <v>15000</v>
      </c>
      <c r="G50" s="69">
        <v>600</v>
      </c>
      <c r="H50" s="69" t="s">
        <v>424</v>
      </c>
      <c r="I50" s="69" t="s">
        <v>357</v>
      </c>
      <c r="J50" s="58">
        <v>45646</v>
      </c>
      <c r="K50" s="105" t="s">
        <v>2111</v>
      </c>
      <c r="L50" s="123">
        <v>89101958609</v>
      </c>
      <c r="M50" s="105" t="s">
        <v>2110</v>
      </c>
      <c r="N50" s="434"/>
      <c r="O50" s="97">
        <v>15000</v>
      </c>
      <c r="P50" s="97"/>
      <c r="Q50" s="60"/>
      <c r="R50" s="56" t="s">
        <v>387</v>
      </c>
      <c r="S50" s="100">
        <v>43500</v>
      </c>
      <c r="T50" s="65">
        <f t="shared" si="4"/>
        <v>652500</v>
      </c>
    </row>
    <row r="51" spans="1:20" s="67" customFormat="1" ht="13.5" customHeight="1" x14ac:dyDescent="0.25">
      <c r="A51" s="69" t="s">
        <v>224</v>
      </c>
      <c r="B51" s="97" t="s">
        <v>517</v>
      </c>
      <c r="C51" s="97" t="s">
        <v>457</v>
      </c>
      <c r="D51" s="98" t="s">
        <v>174</v>
      </c>
      <c r="E51" s="59" t="s">
        <v>2090</v>
      </c>
      <c r="F51" s="97">
        <v>8800</v>
      </c>
      <c r="G51" s="69">
        <v>44</v>
      </c>
      <c r="H51" s="69" t="s">
        <v>391</v>
      </c>
      <c r="I51" s="69" t="s">
        <v>357</v>
      </c>
      <c r="J51" s="58">
        <v>45646</v>
      </c>
      <c r="K51" s="105" t="s">
        <v>2121</v>
      </c>
      <c r="L51" s="123">
        <v>89122266766</v>
      </c>
      <c r="M51" s="105" t="s">
        <v>2122</v>
      </c>
      <c r="N51" s="339"/>
      <c r="O51" s="97"/>
      <c r="P51" s="60"/>
      <c r="Q51" s="97">
        <v>8800</v>
      </c>
      <c r="R51" s="56" t="s">
        <v>387</v>
      </c>
      <c r="S51" s="100">
        <v>95000</v>
      </c>
      <c r="T51" s="65">
        <f xml:space="preserve"> S51*(F51/1000)</f>
        <v>836000.00000000012</v>
      </c>
    </row>
    <row r="52" spans="1:20" s="67" customFormat="1" ht="13.5" customHeight="1" x14ac:dyDescent="0.25">
      <c r="A52" s="69" t="s">
        <v>224</v>
      </c>
      <c r="B52" s="97" t="s">
        <v>517</v>
      </c>
      <c r="C52" s="97" t="s">
        <v>457</v>
      </c>
      <c r="D52" s="98" t="s">
        <v>174</v>
      </c>
      <c r="E52" s="59" t="s">
        <v>2099</v>
      </c>
      <c r="F52" s="97">
        <v>8800</v>
      </c>
      <c r="G52" s="69">
        <v>44</v>
      </c>
      <c r="H52" s="69" t="s">
        <v>391</v>
      </c>
      <c r="I52" s="69" t="s">
        <v>357</v>
      </c>
      <c r="J52" s="58">
        <v>45646</v>
      </c>
      <c r="K52" s="105" t="s">
        <v>2121</v>
      </c>
      <c r="L52" s="123">
        <v>89122266766</v>
      </c>
      <c r="M52" s="105" t="s">
        <v>2122</v>
      </c>
      <c r="N52" s="339"/>
      <c r="O52" s="97"/>
      <c r="P52" s="60"/>
      <c r="Q52" s="97">
        <v>8800</v>
      </c>
      <c r="R52" s="56" t="s">
        <v>387</v>
      </c>
      <c r="S52" s="100">
        <v>95000</v>
      </c>
      <c r="T52" s="65">
        <f xml:space="preserve"> S52*(F52/1000)</f>
        <v>836000.00000000012</v>
      </c>
    </row>
    <row r="53" spans="1:20" s="67" customFormat="1" ht="13.5" customHeight="1" x14ac:dyDescent="0.25">
      <c r="A53" s="69" t="s">
        <v>2125</v>
      </c>
      <c r="B53" s="97" t="s">
        <v>939</v>
      </c>
      <c r="C53" s="97" t="s">
        <v>381</v>
      </c>
      <c r="D53" s="98" t="s">
        <v>285</v>
      </c>
      <c r="E53" s="59" t="s">
        <v>977</v>
      </c>
      <c r="F53" s="97">
        <v>20000</v>
      </c>
      <c r="G53" s="69">
        <v>800</v>
      </c>
      <c r="H53" s="69" t="s">
        <v>424</v>
      </c>
      <c r="I53" s="69" t="s">
        <v>357</v>
      </c>
      <c r="J53" s="58">
        <v>45646</v>
      </c>
      <c r="K53" s="105" t="s">
        <v>2123</v>
      </c>
      <c r="L53" s="123">
        <v>89290425603</v>
      </c>
      <c r="M53" s="66" t="s">
        <v>2124</v>
      </c>
      <c r="N53" s="434"/>
      <c r="O53" s="97">
        <v>20000</v>
      </c>
      <c r="P53" s="97"/>
      <c r="Q53" s="60"/>
      <c r="R53" s="56" t="s">
        <v>387</v>
      </c>
      <c r="S53" s="100">
        <v>43500</v>
      </c>
      <c r="T53" s="65">
        <f t="shared" ref="T53:T59" si="5" xml:space="preserve"> S53*(F53/1000)</f>
        <v>870000</v>
      </c>
    </row>
    <row r="54" spans="1:20" s="67" customFormat="1" ht="13.5" customHeight="1" x14ac:dyDescent="0.25">
      <c r="A54" s="69" t="s">
        <v>1604</v>
      </c>
      <c r="B54" s="97" t="s">
        <v>2149</v>
      </c>
      <c r="C54" s="97" t="s">
        <v>182</v>
      </c>
      <c r="D54" s="98" t="s">
        <v>301</v>
      </c>
      <c r="E54" s="59" t="s">
        <v>2103</v>
      </c>
      <c r="F54" s="97">
        <v>20000</v>
      </c>
      <c r="G54" s="69">
        <v>800</v>
      </c>
      <c r="H54" s="69" t="s">
        <v>1210</v>
      </c>
      <c r="I54" s="69" t="s">
        <v>357</v>
      </c>
      <c r="J54" s="58">
        <v>45649</v>
      </c>
      <c r="K54" s="105" t="s">
        <v>527</v>
      </c>
      <c r="L54" s="123">
        <v>89080026590</v>
      </c>
      <c r="M54" s="105" t="s">
        <v>737</v>
      </c>
      <c r="N54" s="339"/>
      <c r="O54" s="97">
        <v>20000</v>
      </c>
      <c r="P54" s="60"/>
      <c r="Q54" s="56"/>
      <c r="R54" s="56" t="s">
        <v>387</v>
      </c>
      <c r="S54" s="100">
        <v>41500</v>
      </c>
      <c r="T54" s="65">
        <f t="shared" si="5"/>
        <v>830000</v>
      </c>
    </row>
    <row r="55" spans="1:20" s="67" customFormat="1" ht="13.5" customHeight="1" x14ac:dyDescent="0.25">
      <c r="A55" s="69" t="s">
        <v>1532</v>
      </c>
      <c r="B55" s="97" t="s">
        <v>2100</v>
      </c>
      <c r="C55" s="97" t="s">
        <v>265</v>
      </c>
      <c r="D55" s="98" t="s">
        <v>285</v>
      </c>
      <c r="E55" s="59" t="s">
        <v>1125</v>
      </c>
      <c r="F55" s="97">
        <v>10000</v>
      </c>
      <c r="G55" s="69">
        <v>400</v>
      </c>
      <c r="H55" s="69" t="s">
        <v>241</v>
      </c>
      <c r="I55" s="69" t="s">
        <v>357</v>
      </c>
      <c r="J55" s="58">
        <v>45649</v>
      </c>
      <c r="K55" s="105" t="s">
        <v>834</v>
      </c>
      <c r="L55" s="123">
        <v>89125754867</v>
      </c>
      <c r="M55" s="105" t="s">
        <v>671</v>
      </c>
      <c r="N55" s="58"/>
      <c r="O55" s="97">
        <v>10000</v>
      </c>
      <c r="P55" s="60"/>
      <c r="Q55" s="97"/>
      <c r="R55" s="56" t="s">
        <v>387</v>
      </c>
      <c r="S55" s="100">
        <v>43500</v>
      </c>
      <c r="T55" s="65">
        <f t="shared" si="5"/>
        <v>435000</v>
      </c>
    </row>
    <row r="56" spans="1:20" s="67" customFormat="1" ht="13.5" customHeight="1" x14ac:dyDescent="0.25">
      <c r="A56" s="69" t="s">
        <v>1532</v>
      </c>
      <c r="B56" s="97" t="s">
        <v>461</v>
      </c>
      <c r="C56" s="97" t="s">
        <v>381</v>
      </c>
      <c r="D56" s="98" t="s">
        <v>289</v>
      </c>
      <c r="E56" s="59" t="s">
        <v>955</v>
      </c>
      <c r="F56" s="97">
        <v>10000</v>
      </c>
      <c r="G56" s="69">
        <v>400</v>
      </c>
      <c r="H56" s="69" t="s">
        <v>424</v>
      </c>
      <c r="I56" s="69" t="s">
        <v>357</v>
      </c>
      <c r="J56" s="58">
        <v>45649</v>
      </c>
      <c r="K56" s="105" t="s">
        <v>834</v>
      </c>
      <c r="L56" s="123">
        <v>89125754867</v>
      </c>
      <c r="M56" s="105" t="s">
        <v>671</v>
      </c>
      <c r="N56" s="434"/>
      <c r="O56" s="97">
        <v>10000</v>
      </c>
      <c r="P56" s="97"/>
      <c r="Q56" s="60"/>
      <c r="R56" s="56" t="s">
        <v>387</v>
      </c>
      <c r="S56" s="100">
        <v>43500</v>
      </c>
      <c r="T56" s="65">
        <f t="shared" si="5"/>
        <v>435000</v>
      </c>
    </row>
    <row r="57" spans="1:20" s="67" customFormat="1" ht="13.5" customHeight="1" x14ac:dyDescent="0.25">
      <c r="A57" s="69" t="s">
        <v>1545</v>
      </c>
      <c r="B57" s="60" t="s">
        <v>2114</v>
      </c>
      <c r="C57" s="60" t="s">
        <v>165</v>
      </c>
      <c r="D57" s="11" t="s">
        <v>2145</v>
      </c>
      <c r="E57" s="296" t="s">
        <v>2115</v>
      </c>
      <c r="F57" s="60">
        <v>19250</v>
      </c>
      <c r="G57" s="69">
        <v>770</v>
      </c>
      <c r="H57" s="69" t="s">
        <v>1120</v>
      </c>
      <c r="I57" s="69" t="s">
        <v>357</v>
      </c>
      <c r="J57" s="58">
        <v>45649</v>
      </c>
      <c r="K57" s="108" t="s">
        <v>2117</v>
      </c>
      <c r="L57" s="117">
        <v>89870535153</v>
      </c>
      <c r="M57" s="66" t="s">
        <v>2116</v>
      </c>
      <c r="N57" s="364"/>
      <c r="O57" s="56"/>
      <c r="P57" s="60">
        <v>19250</v>
      </c>
      <c r="Q57" s="56"/>
      <c r="R57" s="225" t="s">
        <v>387</v>
      </c>
      <c r="S57" s="100">
        <v>59000</v>
      </c>
      <c r="T57" s="65">
        <f t="shared" si="5"/>
        <v>1135750</v>
      </c>
    </row>
    <row r="58" spans="1:20" s="67" customFormat="1" ht="13.5" customHeight="1" x14ac:dyDescent="0.25">
      <c r="A58" s="69" t="s">
        <v>640</v>
      </c>
      <c r="B58" s="97" t="s">
        <v>2150</v>
      </c>
      <c r="C58" s="97" t="s">
        <v>182</v>
      </c>
      <c r="D58" s="98" t="s">
        <v>301</v>
      </c>
      <c r="E58" s="59" t="s">
        <v>2109</v>
      </c>
      <c r="F58" s="97">
        <v>20000</v>
      </c>
      <c r="G58" s="69">
        <v>800</v>
      </c>
      <c r="H58" s="69" t="s">
        <v>1210</v>
      </c>
      <c r="I58" s="69" t="s">
        <v>357</v>
      </c>
      <c r="J58" s="58">
        <v>45650</v>
      </c>
      <c r="K58" s="105" t="s">
        <v>2131</v>
      </c>
      <c r="L58" s="123">
        <v>89048812556</v>
      </c>
      <c r="M58" s="105" t="s">
        <v>1860</v>
      </c>
      <c r="N58" s="339"/>
      <c r="O58" s="97">
        <v>20000</v>
      </c>
      <c r="P58" s="60"/>
      <c r="Q58" s="56"/>
      <c r="R58" s="56" t="s">
        <v>387</v>
      </c>
      <c r="S58" s="100">
        <v>41500</v>
      </c>
      <c r="T58" s="65">
        <f t="shared" si="5"/>
        <v>830000</v>
      </c>
    </row>
    <row r="59" spans="1:20" s="67" customFormat="1" ht="13.5" customHeight="1" x14ac:dyDescent="0.25">
      <c r="A59" s="69" t="s">
        <v>1545</v>
      </c>
      <c r="B59" s="60" t="s">
        <v>2114</v>
      </c>
      <c r="C59" s="60" t="s">
        <v>165</v>
      </c>
      <c r="D59" s="11" t="s">
        <v>2145</v>
      </c>
      <c r="E59" s="296" t="s">
        <v>2118</v>
      </c>
      <c r="F59" s="60">
        <v>19250</v>
      </c>
      <c r="G59" s="69">
        <v>770</v>
      </c>
      <c r="H59" s="69" t="s">
        <v>1120</v>
      </c>
      <c r="I59" s="69" t="s">
        <v>357</v>
      </c>
      <c r="J59" s="58">
        <v>45651</v>
      </c>
      <c r="K59" s="108" t="s">
        <v>2119</v>
      </c>
      <c r="L59" s="117">
        <v>89069866360</v>
      </c>
      <c r="M59" s="66" t="s">
        <v>2120</v>
      </c>
      <c r="N59" s="364"/>
      <c r="O59" s="56"/>
      <c r="P59" s="60">
        <v>19250</v>
      </c>
      <c r="Q59" s="56"/>
      <c r="R59" s="225" t="s">
        <v>387</v>
      </c>
      <c r="S59" s="100">
        <v>59000</v>
      </c>
      <c r="T59" s="65">
        <f t="shared" si="5"/>
        <v>1135750</v>
      </c>
    </row>
    <row r="60" spans="1:20" s="67" customFormat="1" ht="13.5" customHeight="1" x14ac:dyDescent="0.25">
      <c r="A60" s="69" t="s">
        <v>2141</v>
      </c>
      <c r="B60" s="97" t="s">
        <v>755</v>
      </c>
      <c r="C60" s="97" t="s">
        <v>1903</v>
      </c>
      <c r="D60" s="98" t="s">
        <v>286</v>
      </c>
      <c r="E60" s="59" t="s">
        <v>398</v>
      </c>
      <c r="F60" s="97">
        <v>5000</v>
      </c>
      <c r="G60" s="69">
        <v>200</v>
      </c>
      <c r="H60" s="69" t="s">
        <v>2024</v>
      </c>
      <c r="I60" s="69" t="s">
        <v>357</v>
      </c>
      <c r="J60" s="58">
        <v>45651</v>
      </c>
      <c r="K60" s="105" t="s">
        <v>2142</v>
      </c>
      <c r="L60" s="123">
        <v>89273316842</v>
      </c>
      <c r="M60" s="105" t="s">
        <v>2143</v>
      </c>
      <c r="N60" s="435"/>
      <c r="O60" s="97"/>
      <c r="P60" s="97">
        <v>5000</v>
      </c>
      <c r="Q60" s="97"/>
      <c r="R60" s="56" t="s">
        <v>387</v>
      </c>
      <c r="S60" s="100">
        <v>248000</v>
      </c>
      <c r="T60" s="65">
        <f xml:space="preserve"> S60*(F60/1000)</f>
        <v>1240000</v>
      </c>
    </row>
    <row r="61" spans="1:20" s="67" customFormat="1" ht="13.5" customHeight="1" x14ac:dyDescent="0.25">
      <c r="A61" s="69" t="s">
        <v>2141</v>
      </c>
      <c r="B61" s="97" t="s">
        <v>656</v>
      </c>
      <c r="C61" s="97" t="s">
        <v>381</v>
      </c>
      <c r="D61" s="98" t="s">
        <v>204</v>
      </c>
      <c r="E61" s="59" t="s">
        <v>1004</v>
      </c>
      <c r="F61" s="97">
        <v>6400</v>
      </c>
      <c r="G61" s="69">
        <v>32</v>
      </c>
      <c r="H61" s="69" t="s">
        <v>2024</v>
      </c>
      <c r="I61" s="69" t="s">
        <v>357</v>
      </c>
      <c r="J61" s="58">
        <v>45651</v>
      </c>
      <c r="K61" s="105" t="s">
        <v>2142</v>
      </c>
      <c r="L61" s="123">
        <v>89273316842</v>
      </c>
      <c r="M61" s="105" t="s">
        <v>2143</v>
      </c>
      <c r="N61" s="435"/>
      <c r="O61" s="97"/>
      <c r="P61" s="60"/>
      <c r="Q61" s="97">
        <v>6400</v>
      </c>
      <c r="R61" s="56" t="s">
        <v>387</v>
      </c>
      <c r="S61" s="100">
        <v>105000</v>
      </c>
      <c r="T61" s="65">
        <f xml:space="preserve"> S61*(F61/1000)</f>
        <v>672000</v>
      </c>
    </row>
    <row r="62" spans="1:20" s="67" customFormat="1" ht="13.5" customHeight="1" x14ac:dyDescent="0.25">
      <c r="A62" s="69" t="s">
        <v>2141</v>
      </c>
      <c r="B62" s="97" t="s">
        <v>2128</v>
      </c>
      <c r="C62" s="97" t="s">
        <v>265</v>
      </c>
      <c r="D62" s="98" t="s">
        <v>204</v>
      </c>
      <c r="E62" s="59" t="s">
        <v>1004</v>
      </c>
      <c r="F62" s="97">
        <v>7200</v>
      </c>
      <c r="G62" s="69">
        <v>36</v>
      </c>
      <c r="H62" s="69" t="s">
        <v>2024</v>
      </c>
      <c r="I62" s="69" t="s">
        <v>357</v>
      </c>
      <c r="J62" s="58">
        <v>45651</v>
      </c>
      <c r="K62" s="105" t="s">
        <v>2142</v>
      </c>
      <c r="L62" s="123">
        <v>89273316842</v>
      </c>
      <c r="M62" s="105" t="s">
        <v>2143</v>
      </c>
      <c r="N62" s="435"/>
      <c r="O62" s="97"/>
      <c r="P62" s="60"/>
      <c r="Q62" s="97">
        <v>7200</v>
      </c>
      <c r="R62" s="56" t="s">
        <v>387</v>
      </c>
      <c r="S62" s="100">
        <v>105000</v>
      </c>
      <c r="T62" s="65">
        <f xml:space="preserve"> S62*(F62/1000)</f>
        <v>756000</v>
      </c>
    </row>
    <row r="63" spans="1:20" s="67" customFormat="1" ht="13.5" customHeight="1" x14ac:dyDescent="0.25">
      <c r="A63" s="69" t="s">
        <v>1509</v>
      </c>
      <c r="B63" s="60" t="s">
        <v>755</v>
      </c>
      <c r="C63" s="60" t="s">
        <v>349</v>
      </c>
      <c r="D63" s="98" t="s">
        <v>275</v>
      </c>
      <c r="E63" s="64" t="s">
        <v>2077</v>
      </c>
      <c r="F63" s="97">
        <v>20000</v>
      </c>
      <c r="G63" s="69">
        <v>800</v>
      </c>
      <c r="H63" s="69" t="s">
        <v>352</v>
      </c>
      <c r="I63" s="69" t="s">
        <v>357</v>
      </c>
      <c r="J63" s="58">
        <v>45652</v>
      </c>
      <c r="K63" s="105" t="s">
        <v>1941</v>
      </c>
      <c r="L63" s="123" t="s">
        <v>1963</v>
      </c>
      <c r="M63" s="105" t="s">
        <v>1964</v>
      </c>
      <c r="N63" s="107"/>
      <c r="O63" s="56">
        <v>20000</v>
      </c>
      <c r="P63" s="60"/>
      <c r="Q63" s="97"/>
      <c r="R63" s="56" t="s">
        <v>387</v>
      </c>
      <c r="S63" s="100">
        <v>45000</v>
      </c>
      <c r="T63" s="65">
        <f xml:space="preserve"> S63*(F63/1000)</f>
        <v>900000</v>
      </c>
    </row>
    <row r="64" spans="1:20" s="67" customFormat="1" ht="13.5" customHeight="1" x14ac:dyDescent="0.25">
      <c r="A64" s="69" t="s">
        <v>843</v>
      </c>
      <c r="B64" s="437" t="s">
        <v>2126</v>
      </c>
      <c r="C64" s="97" t="s">
        <v>1337</v>
      </c>
      <c r="D64" s="98" t="s">
        <v>312</v>
      </c>
      <c r="E64" s="59" t="s">
        <v>2127</v>
      </c>
      <c r="F64" s="97">
        <v>17500</v>
      </c>
      <c r="G64" s="69">
        <v>700</v>
      </c>
      <c r="H64" s="69" t="s">
        <v>187</v>
      </c>
      <c r="I64" s="69" t="s">
        <v>357</v>
      </c>
      <c r="J64" s="58">
        <v>45652</v>
      </c>
      <c r="K64" s="105"/>
      <c r="L64" s="123"/>
      <c r="M64" s="105" t="s">
        <v>2147</v>
      </c>
      <c r="N64" s="436" t="s">
        <v>2148</v>
      </c>
      <c r="O64" s="97">
        <v>17500</v>
      </c>
      <c r="P64" s="60"/>
      <c r="Q64" s="97"/>
      <c r="R64" s="56" t="s">
        <v>387</v>
      </c>
      <c r="S64" s="100">
        <v>35000</v>
      </c>
      <c r="T64" s="65">
        <f t="shared" ref="T64:T67" si="6" xml:space="preserve"> S64*(F64/1000)</f>
        <v>612500</v>
      </c>
    </row>
    <row r="65" spans="1:20" s="67" customFormat="1" ht="13.5" customHeight="1" x14ac:dyDescent="0.25">
      <c r="A65" s="69" t="s">
        <v>1298</v>
      </c>
      <c r="B65" s="60" t="s">
        <v>2132</v>
      </c>
      <c r="C65" s="60" t="s">
        <v>436</v>
      </c>
      <c r="D65" s="11" t="s">
        <v>331</v>
      </c>
      <c r="E65" s="59" t="s">
        <v>2134</v>
      </c>
      <c r="F65" s="60">
        <v>17600</v>
      </c>
      <c r="G65" s="69">
        <v>88</v>
      </c>
      <c r="H65" s="69" t="s">
        <v>438</v>
      </c>
      <c r="I65" s="69" t="s">
        <v>357</v>
      </c>
      <c r="J65" s="58">
        <v>45653</v>
      </c>
      <c r="K65" s="66" t="s">
        <v>2140</v>
      </c>
      <c r="L65" s="352">
        <v>89697258551</v>
      </c>
      <c r="M65" s="108" t="s">
        <v>2137</v>
      </c>
      <c r="N65" s="341"/>
      <c r="O65" s="56"/>
      <c r="P65" s="56"/>
      <c r="Q65" s="60">
        <v>17600</v>
      </c>
      <c r="R65" s="56" t="s">
        <v>387</v>
      </c>
      <c r="S65" s="100">
        <v>369000</v>
      </c>
      <c r="T65" s="65">
        <f t="shared" si="6"/>
        <v>6494400.0000000009</v>
      </c>
    </row>
    <row r="66" spans="1:20" s="67" customFormat="1" ht="13.5" customHeight="1" x14ac:dyDescent="0.25">
      <c r="A66" s="69" t="s">
        <v>1298</v>
      </c>
      <c r="B66" s="60" t="s">
        <v>2135</v>
      </c>
      <c r="C66" s="60" t="s">
        <v>436</v>
      </c>
      <c r="D66" s="11" t="s">
        <v>331</v>
      </c>
      <c r="E66" s="59" t="s">
        <v>2136</v>
      </c>
      <c r="F66" s="60">
        <v>17600</v>
      </c>
      <c r="G66" s="69">
        <v>88</v>
      </c>
      <c r="H66" s="69" t="s">
        <v>438</v>
      </c>
      <c r="I66" s="69" t="s">
        <v>357</v>
      </c>
      <c r="J66" s="58">
        <v>45653</v>
      </c>
      <c r="K66" s="66" t="s">
        <v>2139</v>
      </c>
      <c r="L66" s="352">
        <v>89315798142</v>
      </c>
      <c r="M66" s="108" t="s">
        <v>2138</v>
      </c>
      <c r="N66" s="341"/>
      <c r="O66" s="56"/>
      <c r="P66" s="56"/>
      <c r="Q66" s="60">
        <v>17600</v>
      </c>
      <c r="R66" s="56" t="s">
        <v>387</v>
      </c>
      <c r="S66" s="100">
        <v>369000</v>
      </c>
      <c r="T66" s="65">
        <f t="shared" si="6"/>
        <v>6494400.0000000009</v>
      </c>
    </row>
    <row r="67" spans="1:20" s="67" customFormat="1" ht="13.5" customHeight="1" x14ac:dyDescent="0.25">
      <c r="A67" s="69" t="s">
        <v>1298</v>
      </c>
      <c r="B67" s="60" t="s">
        <v>2063</v>
      </c>
      <c r="C67" s="60" t="s">
        <v>165</v>
      </c>
      <c r="D67" s="11" t="s">
        <v>1097</v>
      </c>
      <c r="E67" s="296" t="s">
        <v>398</v>
      </c>
      <c r="F67" s="60">
        <v>20125</v>
      </c>
      <c r="G67" s="69">
        <v>805</v>
      </c>
      <c r="H67" s="69" t="s">
        <v>169</v>
      </c>
      <c r="I67" s="69" t="s">
        <v>357</v>
      </c>
      <c r="J67" s="58">
        <v>45654</v>
      </c>
      <c r="K67" s="108" t="s">
        <v>2130</v>
      </c>
      <c r="L67" s="117">
        <v>89512771429</v>
      </c>
      <c r="M67" s="66" t="s">
        <v>2129</v>
      </c>
      <c r="N67" s="364"/>
      <c r="O67" s="60">
        <v>20125</v>
      </c>
      <c r="P67" s="56"/>
      <c r="Q67" s="56"/>
      <c r="R67" s="225" t="s">
        <v>387</v>
      </c>
      <c r="S67" s="100">
        <v>48500</v>
      </c>
      <c r="T67" s="65">
        <f t="shared" si="6"/>
        <v>976062.5</v>
      </c>
    </row>
    <row r="68" spans="1:20" ht="18.75" x14ac:dyDescent="0.3">
      <c r="A68" s="425" t="s">
        <v>15</v>
      </c>
      <c r="B68" s="110">
        <f>SUM(F5:F67)/1000</f>
        <v>663.56500000000005</v>
      </c>
      <c r="C68" s="57" t="s">
        <v>14</v>
      </c>
      <c r="S68" s="426"/>
      <c r="T68" s="324">
        <f>SUM(T5:T67)</f>
        <v>70670502.5</v>
      </c>
    </row>
    <row r="69" spans="1:20" ht="18.75" x14ac:dyDescent="0.3">
      <c r="A69" s="127" t="s">
        <v>16</v>
      </c>
      <c r="B69" s="111">
        <f>B70+B71+B72</f>
        <v>663.56500000000005</v>
      </c>
      <c r="C69" s="1" t="s">
        <v>14</v>
      </c>
      <c r="E69" s="295"/>
      <c r="F69" s="394" t="s">
        <v>1574</v>
      </c>
      <c r="G69" s="394"/>
    </row>
    <row r="70" spans="1:20" ht="18.75" x14ac:dyDescent="0.3">
      <c r="A70" s="128" t="s">
        <v>17</v>
      </c>
      <c r="B70" s="109">
        <f>SUM(O5:O67)/1000</f>
        <v>407.625</v>
      </c>
      <c r="C70" s="2" t="s">
        <v>14</v>
      </c>
      <c r="E70" s="395"/>
      <c r="F70" s="394" t="s">
        <v>1557</v>
      </c>
      <c r="G70" s="394"/>
    </row>
    <row r="71" spans="1:20" ht="18.75" x14ac:dyDescent="0.3">
      <c r="A71" s="128" t="s">
        <v>154</v>
      </c>
      <c r="B71" s="109">
        <f>SUM(P5:P67)/1000</f>
        <v>109.5</v>
      </c>
      <c r="C71" s="2" t="s">
        <v>14</v>
      </c>
      <c r="E71" s="228"/>
      <c r="F71" s="394" t="s">
        <v>1556</v>
      </c>
      <c r="G71" s="394"/>
    </row>
    <row r="72" spans="1:20" ht="18.75" x14ac:dyDescent="0.3">
      <c r="A72" s="128" t="s">
        <v>24</v>
      </c>
      <c r="B72" s="112">
        <f>SUM(Q5:Q67)/1000</f>
        <v>146.44</v>
      </c>
      <c r="C72" s="2" t="s">
        <v>14</v>
      </c>
      <c r="E72" s="409"/>
      <c r="F72" s="394" t="s">
        <v>1775</v>
      </c>
    </row>
    <row r="73" spans="1:20" ht="19.5" thickBot="1" x14ac:dyDescent="0.35">
      <c r="A73" s="129" t="s">
        <v>20</v>
      </c>
      <c r="B73" s="113">
        <f>B68-B69</f>
        <v>0</v>
      </c>
      <c r="C73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73" xr:uid="{00000000-0009-0000-0000-000000000000}"/>
  <mergeCells count="12"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28" type="noConversion"/>
  <dataValidations count="1">
    <dataValidation type="list" allowBlank="1" showInputMessage="1" showErrorMessage="1" sqref="D68" xr:uid="{00000000-0002-0000-0000-000000000000}">
      <formula1>$E$68:$E$84</formula1>
    </dataValidation>
  </dataValidations>
  <pageMargins left="0.7" right="0.7" top="0.75" bottom="0.75" header="0.3" footer="0.3"/>
  <pageSetup paperSize="9" scale="33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справочник!$E$2:$E$156</xm:f>
          </x14:formula1>
          <xm:sqref>D54:D55 D51:D52 D40 D32 D23:D25 D19 D6 D42:D46 D48 D58 D60:D64 D67</xm:sqref>
        </x14:dataValidation>
        <x14:dataValidation type="list" allowBlank="1" showInputMessage="1" showErrorMessage="1" xr:uid="{00000000-0002-0000-0000-000002000000}">
          <x14:formula1>
            <xm:f>справочник!$E$2:$E$157</xm:f>
          </x14:formula1>
          <xm:sqref>D4:D59 D63 D65:D67</xm:sqref>
        </x14:dataValidation>
        <x14:dataValidation type="list" allowBlank="1" showInputMessage="1" showErrorMessage="1" xr:uid="{00000000-0002-0000-0000-000003000000}">
          <x14:formula1>
            <xm:f>справочник!$E$2:$E$162</xm:f>
          </x14:formula1>
          <xm:sqref>D19 D42:D44 D55 D23:D25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57"/>
  <sheetViews>
    <sheetView zoomScale="65" zoomScaleNormal="65" zoomScaleSheetLayoutView="70" workbookViewId="0">
      <pane ySplit="3" topLeftCell="A4" activePane="bottomLeft" state="frozen"/>
      <selection pane="bottomLeft" activeCell="M34" sqref="M34"/>
    </sheetView>
  </sheetViews>
  <sheetFormatPr defaultRowHeight="15" x14ac:dyDescent="0.25"/>
  <cols>
    <col min="1" max="1" width="19.5703125" style="130" customWidth="1"/>
    <col min="2" max="2" width="22.28515625" customWidth="1"/>
    <col min="3" max="3" width="32.5703125" customWidth="1"/>
    <col min="4" max="4" width="45.140625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25.140625" bestFit="1" customWidth="1"/>
    <col min="10" max="10" width="18.5703125" bestFit="1" customWidth="1"/>
    <col min="11" max="11" width="30.42578125" customWidth="1"/>
    <col min="12" max="12" width="27.140625" bestFit="1" customWidth="1"/>
    <col min="13" max="13" width="32.28515625" customWidth="1"/>
    <col min="14" max="14" width="28.7109375" style="343" bestFit="1" customWidth="1"/>
    <col min="18" max="18" width="12.42578125" customWidth="1"/>
    <col min="19" max="19" width="25.425781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45597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374" t="s">
        <v>1</v>
      </c>
      <c r="G3" s="374" t="s">
        <v>156</v>
      </c>
      <c r="H3" s="453"/>
      <c r="I3" s="455"/>
      <c r="J3" s="457"/>
      <c r="K3" s="427" t="s">
        <v>8</v>
      </c>
      <c r="L3" s="427" t="s">
        <v>21</v>
      </c>
      <c r="M3" s="427" t="s">
        <v>10</v>
      </c>
      <c r="N3" s="375" t="s">
        <v>11</v>
      </c>
      <c r="O3" s="376" t="s">
        <v>13</v>
      </c>
      <c r="P3" s="376" t="s">
        <v>155</v>
      </c>
      <c r="Q3" s="377" t="s">
        <v>23</v>
      </c>
      <c r="R3" s="439"/>
      <c r="S3" s="68" t="s">
        <v>162</v>
      </c>
      <c r="T3" s="378" t="s">
        <v>163</v>
      </c>
    </row>
    <row r="4" spans="1:20" s="175" customFormat="1" x14ac:dyDescent="0.25">
      <c r="A4" s="353"/>
      <c r="B4" s="356"/>
      <c r="C4" s="356"/>
      <c r="D4" s="354"/>
      <c r="E4" s="355"/>
      <c r="F4" s="356"/>
      <c r="G4" s="353"/>
      <c r="H4" s="353"/>
      <c r="I4" s="353"/>
      <c r="J4" s="357"/>
      <c r="K4" s="358"/>
      <c r="L4" s="358"/>
      <c r="M4" s="358"/>
      <c r="N4" s="419"/>
      <c r="O4" s="420"/>
      <c r="P4" s="420"/>
      <c r="Q4" s="421"/>
      <c r="R4" s="348"/>
      <c r="T4" s="422"/>
    </row>
    <row r="5" spans="1:20" s="67" customFormat="1" ht="13.5" customHeight="1" x14ac:dyDescent="0.25">
      <c r="A5" s="69" t="s">
        <v>1836</v>
      </c>
      <c r="B5" s="97" t="s">
        <v>562</v>
      </c>
      <c r="C5" s="325" t="s">
        <v>373</v>
      </c>
      <c r="D5" s="361" t="s">
        <v>341</v>
      </c>
      <c r="E5" s="59" t="s">
        <v>1834</v>
      </c>
      <c r="F5" s="97">
        <v>8800</v>
      </c>
      <c r="G5" s="69">
        <v>44</v>
      </c>
      <c r="H5" s="69" t="s">
        <v>1835</v>
      </c>
      <c r="I5" s="69" t="s">
        <v>357</v>
      </c>
      <c r="J5" s="58">
        <v>45597</v>
      </c>
      <c r="K5" s="105" t="s">
        <v>1941</v>
      </c>
      <c r="L5" s="123" t="s">
        <v>571</v>
      </c>
      <c r="M5" s="105" t="s">
        <v>569</v>
      </c>
      <c r="N5" s="339"/>
      <c r="O5" s="97"/>
      <c r="P5" s="60"/>
      <c r="Q5" s="97">
        <v>8800</v>
      </c>
      <c r="R5" s="56" t="s">
        <v>387</v>
      </c>
      <c r="S5" s="100">
        <v>164000</v>
      </c>
      <c r="T5" s="65">
        <f t="shared" ref="T5:T6" si="0" xml:space="preserve"> S5*(F5/1000)</f>
        <v>1443200.0000000002</v>
      </c>
    </row>
    <row r="6" spans="1:20" s="67" customFormat="1" ht="13.5" customHeight="1" x14ac:dyDescent="0.25">
      <c r="A6" s="69" t="s">
        <v>1836</v>
      </c>
      <c r="B6" s="97" t="s">
        <v>562</v>
      </c>
      <c r="C6" s="325" t="s">
        <v>373</v>
      </c>
      <c r="D6" s="361" t="s">
        <v>285</v>
      </c>
      <c r="E6" s="59" t="s">
        <v>1125</v>
      </c>
      <c r="F6" s="97">
        <v>11000</v>
      </c>
      <c r="G6" s="69">
        <v>440</v>
      </c>
      <c r="H6" s="69" t="s">
        <v>1835</v>
      </c>
      <c r="I6" s="69" t="s">
        <v>357</v>
      </c>
      <c r="J6" s="58">
        <v>45597</v>
      </c>
      <c r="K6" s="105" t="s">
        <v>1941</v>
      </c>
      <c r="L6" s="123" t="s">
        <v>571</v>
      </c>
      <c r="M6" s="105" t="s">
        <v>569</v>
      </c>
      <c r="N6" s="339"/>
      <c r="O6" s="97">
        <v>11000</v>
      </c>
      <c r="P6" s="60"/>
      <c r="Q6" s="56"/>
      <c r="R6" s="56" t="s">
        <v>387</v>
      </c>
      <c r="S6" s="100">
        <v>43500</v>
      </c>
      <c r="T6" s="65">
        <f t="shared" si="0"/>
        <v>478500</v>
      </c>
    </row>
    <row r="7" spans="1:20" s="67" customFormat="1" ht="13.5" customHeight="1" x14ac:dyDescent="0.25">
      <c r="A7" s="69" t="s">
        <v>1066</v>
      </c>
      <c r="B7" s="60" t="s">
        <v>1856</v>
      </c>
      <c r="C7" s="60" t="s">
        <v>165</v>
      </c>
      <c r="D7" s="11" t="s">
        <v>1097</v>
      </c>
      <c r="E7" s="296" t="s">
        <v>1893</v>
      </c>
      <c r="F7" s="60">
        <v>17500</v>
      </c>
      <c r="G7" s="69">
        <v>700</v>
      </c>
      <c r="H7" s="69" t="s">
        <v>172</v>
      </c>
      <c r="I7" s="69" t="s">
        <v>357</v>
      </c>
      <c r="J7" s="58">
        <v>45602</v>
      </c>
      <c r="K7" s="108" t="s">
        <v>1940</v>
      </c>
      <c r="L7" s="117">
        <v>89116806638</v>
      </c>
      <c r="M7" s="66" t="s">
        <v>1899</v>
      </c>
      <c r="N7" s="390" t="s">
        <v>1928</v>
      </c>
      <c r="O7" s="60">
        <v>17500</v>
      </c>
      <c r="P7" s="56"/>
      <c r="Q7" s="56"/>
      <c r="R7" s="225" t="s">
        <v>387</v>
      </c>
      <c r="S7" s="100">
        <v>48500</v>
      </c>
      <c r="T7" s="65">
        <f xml:space="preserve"> S7*(F7/1000)</f>
        <v>848750</v>
      </c>
    </row>
    <row r="8" spans="1:20" s="67" customFormat="1" ht="13.5" customHeight="1" x14ac:dyDescent="0.25">
      <c r="A8" s="69" t="s">
        <v>1570</v>
      </c>
      <c r="B8" s="60" t="s">
        <v>1924</v>
      </c>
      <c r="C8" s="60" t="s">
        <v>165</v>
      </c>
      <c r="D8" s="11" t="s">
        <v>1097</v>
      </c>
      <c r="E8" s="296" t="s">
        <v>1925</v>
      </c>
      <c r="F8" s="60">
        <v>20125</v>
      </c>
      <c r="G8" s="69">
        <v>805</v>
      </c>
      <c r="H8" s="69" t="s">
        <v>169</v>
      </c>
      <c r="I8" s="69" t="s">
        <v>357</v>
      </c>
      <c r="J8" s="58">
        <v>45603</v>
      </c>
      <c r="K8" s="108" t="s">
        <v>635</v>
      </c>
      <c r="L8" s="117">
        <v>89212974613</v>
      </c>
      <c r="M8" s="66" t="s">
        <v>636</v>
      </c>
      <c r="N8" s="397"/>
      <c r="O8" s="60">
        <v>20125</v>
      </c>
      <c r="P8" s="56"/>
      <c r="Q8" s="56"/>
      <c r="R8" s="225" t="s">
        <v>387</v>
      </c>
      <c r="S8" s="100">
        <v>48500</v>
      </c>
      <c r="T8" s="65">
        <f t="shared" ref="T8:T37" si="1" xml:space="preserve"> S8*(F8/1000)</f>
        <v>976062.5</v>
      </c>
    </row>
    <row r="9" spans="1:20" s="67" customFormat="1" ht="13.5" customHeight="1" x14ac:dyDescent="0.25">
      <c r="A9" s="69" t="s">
        <v>166</v>
      </c>
      <c r="B9" s="60" t="s">
        <v>1931</v>
      </c>
      <c r="C9" s="60" t="s">
        <v>1843</v>
      </c>
      <c r="D9" s="98" t="s">
        <v>298</v>
      </c>
      <c r="E9" s="59" t="s">
        <v>1809</v>
      </c>
      <c r="F9" s="97">
        <v>54</v>
      </c>
      <c r="G9" s="69">
        <v>3</v>
      </c>
      <c r="H9" s="69" t="s">
        <v>1929</v>
      </c>
      <c r="I9" s="69" t="s">
        <v>357</v>
      </c>
      <c r="J9" s="58">
        <v>45603</v>
      </c>
      <c r="K9" s="105" t="s">
        <v>1930</v>
      </c>
      <c r="L9" s="123"/>
      <c r="M9" s="105"/>
      <c r="N9" s="339"/>
      <c r="O9" s="97"/>
      <c r="P9" s="97">
        <v>54</v>
      </c>
      <c r="Q9" s="56"/>
      <c r="R9" s="56" t="s">
        <v>387</v>
      </c>
      <c r="S9" s="100">
        <v>210000</v>
      </c>
      <c r="T9" s="65">
        <f t="shared" si="1"/>
        <v>11340</v>
      </c>
    </row>
    <row r="10" spans="1:20" s="67" customFormat="1" ht="13.5" customHeight="1" x14ac:dyDescent="0.25">
      <c r="A10" s="69" t="s">
        <v>1932</v>
      </c>
      <c r="B10" s="60" t="s">
        <v>1911</v>
      </c>
      <c r="C10" s="60" t="s">
        <v>165</v>
      </c>
      <c r="D10" s="11" t="s">
        <v>1097</v>
      </c>
      <c r="E10" s="296" t="s">
        <v>1910</v>
      </c>
      <c r="F10" s="60">
        <v>17500</v>
      </c>
      <c r="G10" s="69">
        <v>700</v>
      </c>
      <c r="H10" s="69" t="s">
        <v>681</v>
      </c>
      <c r="I10" s="69" t="s">
        <v>357</v>
      </c>
      <c r="J10" s="58">
        <v>45604</v>
      </c>
      <c r="K10" s="108" t="s">
        <v>1939</v>
      </c>
      <c r="L10" s="117"/>
      <c r="M10" s="66" t="s">
        <v>1311</v>
      </c>
      <c r="N10" s="397" t="s">
        <v>1936</v>
      </c>
      <c r="O10" s="60">
        <v>17500</v>
      </c>
      <c r="P10" s="56"/>
      <c r="Q10" s="56"/>
      <c r="R10" s="225" t="s">
        <v>387</v>
      </c>
      <c r="S10" s="100">
        <v>48500</v>
      </c>
      <c r="T10" s="65">
        <f t="shared" si="1"/>
        <v>848750</v>
      </c>
    </row>
    <row r="11" spans="1:20" s="67" customFormat="1" ht="13.5" customHeight="1" x14ac:dyDescent="0.25">
      <c r="A11" s="69" t="s">
        <v>1932</v>
      </c>
      <c r="B11" s="60" t="s">
        <v>1912</v>
      </c>
      <c r="C11" s="60" t="s">
        <v>165</v>
      </c>
      <c r="D11" s="11" t="s">
        <v>1097</v>
      </c>
      <c r="E11" s="296" t="s">
        <v>1922</v>
      </c>
      <c r="F11" s="60">
        <v>17500</v>
      </c>
      <c r="G11" s="69">
        <v>700</v>
      </c>
      <c r="H11" s="69" t="s">
        <v>681</v>
      </c>
      <c r="I11" s="69" t="s">
        <v>357</v>
      </c>
      <c r="J11" s="58">
        <v>45604</v>
      </c>
      <c r="K11" s="108" t="s">
        <v>1940</v>
      </c>
      <c r="L11" s="117"/>
      <c r="M11" s="66" t="s">
        <v>1899</v>
      </c>
      <c r="N11" s="397" t="s">
        <v>1937</v>
      </c>
      <c r="O11" s="60">
        <v>17500</v>
      </c>
      <c r="P11" s="56"/>
      <c r="Q11" s="56"/>
      <c r="R11" s="225" t="s">
        <v>387</v>
      </c>
      <c r="S11" s="100">
        <v>48500</v>
      </c>
      <c r="T11" s="65">
        <f t="shared" si="1"/>
        <v>848750</v>
      </c>
    </row>
    <row r="12" spans="1:20" s="67" customFormat="1" ht="13.5" customHeight="1" x14ac:dyDescent="0.25">
      <c r="A12" s="69" t="s">
        <v>1932</v>
      </c>
      <c r="B12" s="60" t="s">
        <v>1913</v>
      </c>
      <c r="C12" s="60" t="s">
        <v>165</v>
      </c>
      <c r="D12" s="11" t="s">
        <v>1097</v>
      </c>
      <c r="E12" s="296" t="s">
        <v>1923</v>
      </c>
      <c r="F12" s="60">
        <v>17500</v>
      </c>
      <c r="G12" s="69">
        <v>700</v>
      </c>
      <c r="H12" s="69" t="s">
        <v>681</v>
      </c>
      <c r="I12" s="69" t="s">
        <v>357</v>
      </c>
      <c r="J12" s="58">
        <v>45604</v>
      </c>
      <c r="K12" s="108" t="s">
        <v>1939</v>
      </c>
      <c r="L12" s="117"/>
      <c r="M12" s="66" t="s">
        <v>1311</v>
      </c>
      <c r="N12" s="397" t="s">
        <v>1938</v>
      </c>
      <c r="O12" s="60">
        <v>17500</v>
      </c>
      <c r="P12" s="56"/>
      <c r="Q12" s="56"/>
      <c r="R12" s="225" t="s">
        <v>387</v>
      </c>
      <c r="S12" s="100">
        <v>48500</v>
      </c>
      <c r="T12" s="65">
        <f t="shared" si="1"/>
        <v>848750</v>
      </c>
    </row>
    <row r="13" spans="1:20" s="67" customFormat="1" ht="13.5" customHeight="1" x14ac:dyDescent="0.25">
      <c r="A13" s="69" t="s">
        <v>1275</v>
      </c>
      <c r="B13" s="60" t="s">
        <v>1926</v>
      </c>
      <c r="C13" s="60" t="s">
        <v>165</v>
      </c>
      <c r="D13" s="11" t="s">
        <v>1097</v>
      </c>
      <c r="E13" s="296" t="s">
        <v>1927</v>
      </c>
      <c r="F13" s="60">
        <v>20125</v>
      </c>
      <c r="G13" s="69">
        <v>805</v>
      </c>
      <c r="H13" s="69" t="s">
        <v>169</v>
      </c>
      <c r="I13" s="69" t="s">
        <v>357</v>
      </c>
      <c r="J13" s="58">
        <v>45604</v>
      </c>
      <c r="K13" s="108" t="s">
        <v>1935</v>
      </c>
      <c r="L13" s="117">
        <v>89195697888</v>
      </c>
      <c r="M13" s="66" t="s">
        <v>1934</v>
      </c>
      <c r="N13" s="397"/>
      <c r="O13" s="60">
        <v>20125</v>
      </c>
      <c r="P13" s="56"/>
      <c r="Q13" s="56"/>
      <c r="R13" s="225" t="s">
        <v>387</v>
      </c>
      <c r="S13" s="100">
        <v>48500</v>
      </c>
      <c r="T13" s="65">
        <f t="shared" si="1"/>
        <v>976062.5</v>
      </c>
    </row>
    <row r="14" spans="1:20" s="67" customFormat="1" ht="13.5" customHeight="1" x14ac:dyDescent="0.25">
      <c r="A14" s="69" t="s">
        <v>1532</v>
      </c>
      <c r="B14" s="60" t="s">
        <v>1945</v>
      </c>
      <c r="C14" s="60" t="s">
        <v>1946</v>
      </c>
      <c r="D14" s="98" t="s">
        <v>204</v>
      </c>
      <c r="E14" s="59" t="s">
        <v>1947</v>
      </c>
      <c r="F14" s="97">
        <v>1600</v>
      </c>
      <c r="G14" s="69">
        <v>8</v>
      </c>
      <c r="H14" s="69" t="s">
        <v>1948</v>
      </c>
      <c r="I14" s="69" t="s">
        <v>357</v>
      </c>
      <c r="J14" s="58">
        <v>45610</v>
      </c>
      <c r="K14" s="105" t="s">
        <v>1949</v>
      </c>
      <c r="L14" s="123">
        <v>89304133318</v>
      </c>
      <c r="M14" s="105" t="s">
        <v>1950</v>
      </c>
      <c r="N14" s="339"/>
      <c r="O14" s="97"/>
      <c r="P14" s="60"/>
      <c r="Q14" s="97">
        <v>1600</v>
      </c>
      <c r="R14" s="56" t="s">
        <v>387</v>
      </c>
      <c r="S14" s="100">
        <v>130000</v>
      </c>
      <c r="T14" s="65">
        <f t="shared" si="1"/>
        <v>208000</v>
      </c>
    </row>
    <row r="15" spans="1:20" s="67" customFormat="1" ht="13.5" customHeight="1" x14ac:dyDescent="0.25">
      <c r="A15" s="69" t="s">
        <v>1045</v>
      </c>
      <c r="B15" s="97" t="s">
        <v>517</v>
      </c>
      <c r="C15" s="97" t="s">
        <v>457</v>
      </c>
      <c r="D15" s="98" t="s">
        <v>174</v>
      </c>
      <c r="E15" s="59" t="s">
        <v>1689</v>
      </c>
      <c r="F15" s="97">
        <v>1600</v>
      </c>
      <c r="G15" s="69">
        <v>8</v>
      </c>
      <c r="H15" s="69" t="s">
        <v>391</v>
      </c>
      <c r="I15" s="69" t="s">
        <v>357</v>
      </c>
      <c r="J15" s="58">
        <v>45614</v>
      </c>
      <c r="K15" s="105" t="s">
        <v>1961</v>
      </c>
      <c r="L15" s="123">
        <v>89228819733</v>
      </c>
      <c r="M15" s="105" t="s">
        <v>1960</v>
      </c>
      <c r="N15" s="339"/>
      <c r="O15" s="97"/>
      <c r="P15" s="60"/>
      <c r="Q15" s="97">
        <v>1600</v>
      </c>
      <c r="R15" s="56" t="s">
        <v>387</v>
      </c>
      <c r="S15" s="100">
        <v>95000</v>
      </c>
      <c r="T15" s="65">
        <f t="shared" si="1"/>
        <v>152000</v>
      </c>
    </row>
    <row r="16" spans="1:20" s="67" customFormat="1" ht="13.5" customHeight="1" x14ac:dyDescent="0.25">
      <c r="A16" s="69" t="s">
        <v>1045</v>
      </c>
      <c r="B16" s="97" t="s">
        <v>517</v>
      </c>
      <c r="C16" s="97" t="s">
        <v>457</v>
      </c>
      <c r="D16" s="98" t="s">
        <v>174</v>
      </c>
      <c r="E16" s="59" t="s">
        <v>1637</v>
      </c>
      <c r="F16" s="97">
        <v>16000</v>
      </c>
      <c r="G16" s="69">
        <v>80</v>
      </c>
      <c r="H16" s="69" t="s">
        <v>391</v>
      </c>
      <c r="I16" s="69" t="s">
        <v>357</v>
      </c>
      <c r="J16" s="58">
        <v>45614</v>
      </c>
      <c r="K16" s="105" t="s">
        <v>1961</v>
      </c>
      <c r="L16" s="123">
        <v>89228819733</v>
      </c>
      <c r="M16" s="105" t="s">
        <v>1960</v>
      </c>
      <c r="N16" s="339"/>
      <c r="O16" s="97"/>
      <c r="P16" s="60"/>
      <c r="Q16" s="97">
        <v>16000</v>
      </c>
      <c r="R16" s="56" t="s">
        <v>387</v>
      </c>
      <c r="S16" s="100">
        <v>95000</v>
      </c>
      <c r="T16" s="65">
        <f t="shared" si="1"/>
        <v>1520000</v>
      </c>
    </row>
    <row r="17" spans="1:20" s="67" customFormat="1" ht="13.5" customHeight="1" x14ac:dyDescent="0.25">
      <c r="A17" s="69" t="s">
        <v>1045</v>
      </c>
      <c r="B17" s="60" t="s">
        <v>1965</v>
      </c>
      <c r="C17" s="60" t="s">
        <v>972</v>
      </c>
      <c r="D17" s="98" t="s">
        <v>201</v>
      </c>
      <c r="E17" s="59" t="s">
        <v>1933</v>
      </c>
      <c r="F17" s="97">
        <v>15200</v>
      </c>
      <c r="G17" s="69">
        <v>80</v>
      </c>
      <c r="H17" s="69" t="s">
        <v>391</v>
      </c>
      <c r="I17" s="69" t="s">
        <v>357</v>
      </c>
      <c r="J17" s="58">
        <v>45615</v>
      </c>
      <c r="K17" s="105" t="s">
        <v>1967</v>
      </c>
      <c r="L17" s="123"/>
      <c r="M17" s="105" t="s">
        <v>1966</v>
      </c>
      <c r="N17" s="339"/>
      <c r="O17" s="97"/>
      <c r="P17" s="60"/>
      <c r="Q17" s="60">
        <v>15200</v>
      </c>
      <c r="R17" s="56" t="s">
        <v>387</v>
      </c>
      <c r="S17" s="100">
        <v>125000</v>
      </c>
      <c r="T17" s="65">
        <f t="shared" si="1"/>
        <v>1900000</v>
      </c>
    </row>
    <row r="18" spans="1:20" s="67" customFormat="1" ht="13.5" customHeight="1" x14ac:dyDescent="0.25">
      <c r="A18" s="69" t="s">
        <v>224</v>
      </c>
      <c r="B18" s="60" t="s">
        <v>1688</v>
      </c>
      <c r="C18" s="60" t="s">
        <v>349</v>
      </c>
      <c r="D18" s="98" t="s">
        <v>158</v>
      </c>
      <c r="E18" s="64" t="s">
        <v>1657</v>
      </c>
      <c r="F18" s="97">
        <v>3200</v>
      </c>
      <c r="G18" s="69">
        <v>16</v>
      </c>
      <c r="H18" s="69" t="s">
        <v>352</v>
      </c>
      <c r="I18" s="69" t="s">
        <v>357</v>
      </c>
      <c r="J18" s="58">
        <v>45616</v>
      </c>
      <c r="K18" s="105" t="s">
        <v>1962</v>
      </c>
      <c r="L18" s="123" t="s">
        <v>1502</v>
      </c>
      <c r="M18" s="105" t="s">
        <v>451</v>
      </c>
      <c r="N18" s="107"/>
      <c r="O18" s="56"/>
      <c r="P18" s="60"/>
      <c r="Q18" s="97">
        <v>3200</v>
      </c>
      <c r="R18" s="56" t="s">
        <v>387</v>
      </c>
      <c r="S18" s="100">
        <v>69000</v>
      </c>
      <c r="T18" s="65">
        <f t="shared" si="1"/>
        <v>220800</v>
      </c>
    </row>
    <row r="19" spans="1:20" s="67" customFormat="1" ht="13.5" customHeight="1" x14ac:dyDescent="0.25">
      <c r="A19" s="69" t="s">
        <v>224</v>
      </c>
      <c r="B19" s="60" t="s">
        <v>1688</v>
      </c>
      <c r="C19" s="60" t="s">
        <v>349</v>
      </c>
      <c r="D19" s="98" t="s">
        <v>158</v>
      </c>
      <c r="E19" s="64" t="s">
        <v>1666</v>
      </c>
      <c r="F19" s="97">
        <v>7000</v>
      </c>
      <c r="G19" s="69">
        <v>35</v>
      </c>
      <c r="H19" s="69" t="s">
        <v>352</v>
      </c>
      <c r="I19" s="69" t="s">
        <v>357</v>
      </c>
      <c r="J19" s="58">
        <v>45616</v>
      </c>
      <c r="K19" s="105" t="s">
        <v>1962</v>
      </c>
      <c r="L19" s="123" t="s">
        <v>1502</v>
      </c>
      <c r="M19" s="105" t="s">
        <v>451</v>
      </c>
      <c r="N19" s="107"/>
      <c r="O19" s="56"/>
      <c r="P19" s="60"/>
      <c r="Q19" s="97">
        <v>7000</v>
      </c>
      <c r="R19" s="56" t="s">
        <v>387</v>
      </c>
      <c r="S19" s="100">
        <v>69000</v>
      </c>
      <c r="T19" s="65">
        <f t="shared" si="1"/>
        <v>483000</v>
      </c>
    </row>
    <row r="20" spans="1:20" s="67" customFormat="1" ht="13.5" customHeight="1" x14ac:dyDescent="0.25">
      <c r="A20" s="69" t="s">
        <v>224</v>
      </c>
      <c r="B20" s="60" t="s">
        <v>1688</v>
      </c>
      <c r="C20" s="60" t="s">
        <v>349</v>
      </c>
      <c r="D20" s="98" t="s">
        <v>158</v>
      </c>
      <c r="E20" s="64" t="s">
        <v>1668</v>
      </c>
      <c r="F20" s="97">
        <v>7200</v>
      </c>
      <c r="G20" s="69">
        <v>36</v>
      </c>
      <c r="H20" s="69" t="s">
        <v>352</v>
      </c>
      <c r="I20" s="69" t="s">
        <v>357</v>
      </c>
      <c r="J20" s="58">
        <v>45616</v>
      </c>
      <c r="K20" s="105" t="s">
        <v>1962</v>
      </c>
      <c r="L20" s="123" t="s">
        <v>1502</v>
      </c>
      <c r="M20" s="105" t="s">
        <v>451</v>
      </c>
      <c r="N20" s="107"/>
      <c r="O20" s="56"/>
      <c r="P20" s="60"/>
      <c r="Q20" s="97">
        <v>7200</v>
      </c>
      <c r="R20" s="56" t="s">
        <v>387</v>
      </c>
      <c r="S20" s="100">
        <v>69000</v>
      </c>
      <c r="T20" s="65">
        <f t="shared" si="1"/>
        <v>496800</v>
      </c>
    </row>
    <row r="21" spans="1:20" s="67" customFormat="1" ht="13.5" customHeight="1" x14ac:dyDescent="0.25">
      <c r="A21" s="69" t="s">
        <v>224</v>
      </c>
      <c r="B21" s="60" t="s">
        <v>1688</v>
      </c>
      <c r="C21" s="60" t="s">
        <v>349</v>
      </c>
      <c r="D21" s="98" t="s">
        <v>158</v>
      </c>
      <c r="E21" s="64" t="s">
        <v>1671</v>
      </c>
      <c r="F21" s="97">
        <v>200</v>
      </c>
      <c r="G21" s="69">
        <v>1</v>
      </c>
      <c r="H21" s="69" t="s">
        <v>352</v>
      </c>
      <c r="I21" s="69" t="s">
        <v>357</v>
      </c>
      <c r="J21" s="58">
        <v>45616</v>
      </c>
      <c r="K21" s="105" t="s">
        <v>1962</v>
      </c>
      <c r="L21" s="123" t="s">
        <v>1502</v>
      </c>
      <c r="M21" s="105" t="s">
        <v>451</v>
      </c>
      <c r="N21" s="107"/>
      <c r="O21" s="56"/>
      <c r="P21" s="60"/>
      <c r="Q21" s="97">
        <v>200</v>
      </c>
      <c r="R21" s="56" t="s">
        <v>387</v>
      </c>
      <c r="S21" s="100">
        <v>69000</v>
      </c>
      <c r="T21" s="65">
        <f t="shared" si="1"/>
        <v>13800</v>
      </c>
    </row>
    <row r="22" spans="1:20" s="67" customFormat="1" ht="13.5" customHeight="1" x14ac:dyDescent="0.25">
      <c r="A22" s="69" t="s">
        <v>224</v>
      </c>
      <c r="B22" s="60" t="s">
        <v>1958</v>
      </c>
      <c r="C22" s="60" t="s">
        <v>349</v>
      </c>
      <c r="D22" s="98" t="s">
        <v>158</v>
      </c>
      <c r="E22" s="64" t="s">
        <v>1657</v>
      </c>
      <c r="F22" s="97">
        <v>3200</v>
      </c>
      <c r="G22" s="69">
        <v>16</v>
      </c>
      <c r="H22" s="69" t="s">
        <v>352</v>
      </c>
      <c r="I22" s="69" t="s">
        <v>357</v>
      </c>
      <c r="J22" s="58">
        <v>45618</v>
      </c>
      <c r="K22" s="105" t="s">
        <v>1941</v>
      </c>
      <c r="L22" s="123" t="s">
        <v>1963</v>
      </c>
      <c r="M22" s="105" t="s">
        <v>1964</v>
      </c>
      <c r="N22" s="107"/>
      <c r="O22" s="56"/>
      <c r="P22" s="60"/>
      <c r="Q22" s="97">
        <v>3200</v>
      </c>
      <c r="R22" s="56" t="s">
        <v>387</v>
      </c>
      <c r="S22" s="100">
        <v>69000</v>
      </c>
      <c r="T22" s="65">
        <f t="shared" si="1"/>
        <v>220800</v>
      </c>
    </row>
    <row r="23" spans="1:20" s="67" customFormat="1" ht="13.5" customHeight="1" x14ac:dyDescent="0.25">
      <c r="A23" s="69" t="s">
        <v>224</v>
      </c>
      <c r="B23" s="60" t="s">
        <v>1958</v>
      </c>
      <c r="C23" s="60" t="s">
        <v>349</v>
      </c>
      <c r="D23" s="98" t="s">
        <v>158</v>
      </c>
      <c r="E23" s="64" t="s">
        <v>1671</v>
      </c>
      <c r="F23" s="97">
        <v>6600</v>
      </c>
      <c r="G23" s="69">
        <v>33</v>
      </c>
      <c r="H23" s="69" t="s">
        <v>352</v>
      </c>
      <c r="I23" s="69" t="s">
        <v>357</v>
      </c>
      <c r="J23" s="58">
        <v>45618</v>
      </c>
      <c r="K23" s="105" t="s">
        <v>1941</v>
      </c>
      <c r="L23" s="123" t="s">
        <v>1963</v>
      </c>
      <c r="M23" s="105" t="s">
        <v>2144</v>
      </c>
      <c r="N23" s="107"/>
      <c r="O23" s="56"/>
      <c r="P23" s="60"/>
      <c r="Q23" s="97">
        <v>6600</v>
      </c>
      <c r="R23" s="56" t="s">
        <v>387</v>
      </c>
      <c r="S23" s="100">
        <v>69000</v>
      </c>
      <c r="T23" s="65">
        <f xml:space="preserve"> S23*(F23/1000)</f>
        <v>455400</v>
      </c>
    </row>
    <row r="24" spans="1:20" s="67" customFormat="1" ht="13.5" customHeight="1" x14ac:dyDescent="0.25">
      <c r="A24" s="69" t="s">
        <v>224</v>
      </c>
      <c r="B24" s="60" t="s">
        <v>1958</v>
      </c>
      <c r="C24" s="60" t="s">
        <v>349</v>
      </c>
      <c r="D24" s="98" t="s">
        <v>158</v>
      </c>
      <c r="E24" s="64" t="s">
        <v>1682</v>
      </c>
      <c r="F24" s="97">
        <v>7000</v>
      </c>
      <c r="G24" s="69">
        <v>35</v>
      </c>
      <c r="H24" s="69" t="s">
        <v>352</v>
      </c>
      <c r="I24" s="69" t="s">
        <v>357</v>
      </c>
      <c r="J24" s="58">
        <v>45618</v>
      </c>
      <c r="K24" s="105" t="s">
        <v>1941</v>
      </c>
      <c r="L24" s="123" t="s">
        <v>1963</v>
      </c>
      <c r="M24" s="105" t="s">
        <v>1964</v>
      </c>
      <c r="N24" s="107"/>
      <c r="O24" s="56"/>
      <c r="P24" s="60"/>
      <c r="Q24" s="97">
        <v>7000</v>
      </c>
      <c r="R24" s="56" t="s">
        <v>387</v>
      </c>
      <c r="S24" s="100">
        <v>69000</v>
      </c>
      <c r="T24" s="65">
        <f xml:space="preserve"> S24*(F24/1000)</f>
        <v>483000</v>
      </c>
    </row>
    <row r="25" spans="1:20" s="67" customFormat="1" ht="13.5" customHeight="1" x14ac:dyDescent="0.25">
      <c r="A25" s="69" t="s">
        <v>224</v>
      </c>
      <c r="B25" s="60" t="s">
        <v>1958</v>
      </c>
      <c r="C25" s="60" t="s">
        <v>349</v>
      </c>
      <c r="D25" s="98" t="s">
        <v>158</v>
      </c>
      <c r="E25" s="64" t="s">
        <v>1684</v>
      </c>
      <c r="F25" s="97">
        <v>600</v>
      </c>
      <c r="G25" s="69">
        <v>3</v>
      </c>
      <c r="H25" s="69" t="s">
        <v>352</v>
      </c>
      <c r="I25" s="69" t="s">
        <v>357</v>
      </c>
      <c r="J25" s="58">
        <v>45618</v>
      </c>
      <c r="K25" s="105" t="s">
        <v>1941</v>
      </c>
      <c r="L25" s="123" t="s">
        <v>1963</v>
      </c>
      <c r="M25" s="105" t="s">
        <v>1964</v>
      </c>
      <c r="N25" s="107"/>
      <c r="O25" s="56"/>
      <c r="P25" s="60"/>
      <c r="Q25" s="97">
        <v>600</v>
      </c>
      <c r="R25" s="56" t="s">
        <v>387</v>
      </c>
      <c r="S25" s="100">
        <v>69000</v>
      </c>
      <c r="T25" s="65">
        <f t="shared" ref="T25:T26" si="2" xml:space="preserve"> S25*(F25/1000)</f>
        <v>41400</v>
      </c>
    </row>
    <row r="26" spans="1:20" s="67" customFormat="1" ht="13.5" customHeight="1" x14ac:dyDescent="0.25">
      <c r="A26" s="69" t="s">
        <v>224</v>
      </c>
      <c r="B26" s="60" t="s">
        <v>1958</v>
      </c>
      <c r="C26" s="60" t="s">
        <v>349</v>
      </c>
      <c r="D26" s="98" t="s">
        <v>158</v>
      </c>
      <c r="E26" s="64" t="s">
        <v>1689</v>
      </c>
      <c r="F26" s="97">
        <v>200</v>
      </c>
      <c r="G26" s="69">
        <v>1</v>
      </c>
      <c r="H26" s="69" t="s">
        <v>352</v>
      </c>
      <c r="I26" s="69" t="s">
        <v>357</v>
      </c>
      <c r="J26" s="58">
        <v>45618</v>
      </c>
      <c r="K26" s="105" t="s">
        <v>1941</v>
      </c>
      <c r="L26" s="123" t="s">
        <v>1963</v>
      </c>
      <c r="M26" s="105" t="s">
        <v>1964</v>
      </c>
      <c r="N26" s="107"/>
      <c r="O26" s="56"/>
      <c r="P26" s="60"/>
      <c r="Q26" s="97">
        <v>200</v>
      </c>
      <c r="R26" s="56" t="s">
        <v>387</v>
      </c>
      <c r="S26" s="100">
        <v>69000</v>
      </c>
      <c r="T26" s="65">
        <f t="shared" si="2"/>
        <v>13800</v>
      </c>
    </row>
    <row r="27" spans="1:20" s="67" customFormat="1" ht="13.5" customHeight="1" x14ac:dyDescent="0.25">
      <c r="A27" s="69" t="s">
        <v>1533</v>
      </c>
      <c r="B27" s="60" t="s">
        <v>517</v>
      </c>
      <c r="C27" s="97" t="s">
        <v>1323</v>
      </c>
      <c r="D27" s="98" t="s">
        <v>289</v>
      </c>
      <c r="E27" s="59" t="s">
        <v>955</v>
      </c>
      <c r="F27" s="97">
        <v>20000</v>
      </c>
      <c r="G27" s="69">
        <v>800</v>
      </c>
      <c r="H27" s="69" t="s">
        <v>424</v>
      </c>
      <c r="I27" s="69" t="s">
        <v>357</v>
      </c>
      <c r="J27" s="58">
        <v>45621</v>
      </c>
      <c r="K27" s="105" t="s">
        <v>968</v>
      </c>
      <c r="L27" s="123">
        <v>89115675225</v>
      </c>
      <c r="M27" s="105" t="s">
        <v>966</v>
      </c>
      <c r="N27" s="339"/>
      <c r="O27" s="97">
        <v>20000</v>
      </c>
      <c r="P27" s="60"/>
      <c r="Q27" s="60"/>
      <c r="R27" s="56" t="s">
        <v>387</v>
      </c>
      <c r="S27" s="100">
        <v>43500</v>
      </c>
      <c r="T27" s="65">
        <f t="shared" si="1"/>
        <v>870000</v>
      </c>
    </row>
    <row r="28" spans="1:20" s="67" customFormat="1" ht="13.5" customHeight="1" x14ac:dyDescent="0.25">
      <c r="A28" s="69" t="s">
        <v>1045</v>
      </c>
      <c r="B28" s="97" t="s">
        <v>517</v>
      </c>
      <c r="C28" s="97" t="s">
        <v>457</v>
      </c>
      <c r="D28" s="98" t="s">
        <v>174</v>
      </c>
      <c r="E28" s="59" t="s">
        <v>1684</v>
      </c>
      <c r="F28" s="97">
        <v>8800</v>
      </c>
      <c r="G28" s="69">
        <v>44</v>
      </c>
      <c r="H28" s="69" t="s">
        <v>391</v>
      </c>
      <c r="I28" s="69" t="s">
        <v>357</v>
      </c>
      <c r="J28" s="58">
        <v>45621</v>
      </c>
      <c r="K28" s="105" t="s">
        <v>1980</v>
      </c>
      <c r="L28" s="123">
        <v>89126356925</v>
      </c>
      <c r="M28" s="105" t="s">
        <v>1979</v>
      </c>
      <c r="N28" s="339"/>
      <c r="O28" s="97"/>
      <c r="P28" s="60"/>
      <c r="Q28" s="97">
        <v>8800</v>
      </c>
      <c r="R28" s="56" t="s">
        <v>387</v>
      </c>
      <c r="S28" s="100">
        <v>95000</v>
      </c>
      <c r="T28" s="65">
        <f t="shared" si="1"/>
        <v>836000.00000000012</v>
      </c>
    </row>
    <row r="29" spans="1:20" s="67" customFormat="1" ht="13.5" customHeight="1" x14ac:dyDescent="0.25">
      <c r="A29" s="69" t="s">
        <v>1045</v>
      </c>
      <c r="B29" s="97" t="s">
        <v>517</v>
      </c>
      <c r="C29" s="97" t="s">
        <v>457</v>
      </c>
      <c r="D29" s="98" t="s">
        <v>174</v>
      </c>
      <c r="E29" s="59" t="s">
        <v>1690</v>
      </c>
      <c r="F29" s="97">
        <v>8800</v>
      </c>
      <c r="G29" s="69">
        <v>44</v>
      </c>
      <c r="H29" s="69" t="s">
        <v>391</v>
      </c>
      <c r="I29" s="69" t="s">
        <v>357</v>
      </c>
      <c r="J29" s="58">
        <v>45621</v>
      </c>
      <c r="K29" s="105" t="s">
        <v>1980</v>
      </c>
      <c r="L29" s="123">
        <v>89126356925</v>
      </c>
      <c r="M29" s="105" t="s">
        <v>1979</v>
      </c>
      <c r="N29" s="339"/>
      <c r="O29" s="97"/>
      <c r="P29" s="60"/>
      <c r="Q29" s="97">
        <v>8800</v>
      </c>
      <c r="R29" s="56" t="s">
        <v>387</v>
      </c>
      <c r="S29" s="100">
        <v>95000</v>
      </c>
      <c r="T29" s="65">
        <f t="shared" si="1"/>
        <v>836000.00000000012</v>
      </c>
    </row>
    <row r="30" spans="1:20" s="67" customFormat="1" ht="13.5" customHeight="1" x14ac:dyDescent="0.25">
      <c r="A30" s="69" t="s">
        <v>1532</v>
      </c>
      <c r="B30" s="97" t="s">
        <v>1943</v>
      </c>
      <c r="C30" s="97" t="s">
        <v>265</v>
      </c>
      <c r="D30" s="98" t="s">
        <v>340</v>
      </c>
      <c r="E30" s="59" t="s">
        <v>1942</v>
      </c>
      <c r="F30" s="97">
        <v>8000</v>
      </c>
      <c r="G30" s="69">
        <v>40</v>
      </c>
      <c r="H30" s="69" t="s">
        <v>241</v>
      </c>
      <c r="I30" s="69" t="s">
        <v>357</v>
      </c>
      <c r="J30" s="58">
        <v>45623</v>
      </c>
      <c r="K30" s="105" t="s">
        <v>1992</v>
      </c>
      <c r="L30" s="430" t="s">
        <v>1996</v>
      </c>
      <c r="M30" s="105" t="s">
        <v>1991</v>
      </c>
      <c r="N30" s="58"/>
      <c r="O30" s="56"/>
      <c r="P30" s="60"/>
      <c r="Q30" s="97">
        <v>8000</v>
      </c>
      <c r="R30" s="56" t="s">
        <v>387</v>
      </c>
      <c r="S30" s="100">
        <v>99000</v>
      </c>
      <c r="T30" s="65">
        <f xml:space="preserve"> S30*(F30/1000)</f>
        <v>792000</v>
      </c>
    </row>
    <row r="31" spans="1:20" s="67" customFormat="1" ht="13.5" customHeight="1" x14ac:dyDescent="0.25">
      <c r="A31" s="69" t="s">
        <v>1532</v>
      </c>
      <c r="B31" s="97" t="s">
        <v>1943</v>
      </c>
      <c r="C31" s="97" t="s">
        <v>265</v>
      </c>
      <c r="D31" s="98" t="s">
        <v>285</v>
      </c>
      <c r="E31" s="59" t="s">
        <v>1125</v>
      </c>
      <c r="F31" s="97">
        <v>10000</v>
      </c>
      <c r="G31" s="69">
        <v>400</v>
      </c>
      <c r="H31" s="69" t="s">
        <v>241</v>
      </c>
      <c r="I31" s="69" t="s">
        <v>357</v>
      </c>
      <c r="J31" s="58">
        <v>45623</v>
      </c>
      <c r="K31" s="105" t="s">
        <v>1992</v>
      </c>
      <c r="L31" s="430" t="s">
        <v>1993</v>
      </c>
      <c r="M31" s="105" t="s">
        <v>1991</v>
      </c>
      <c r="N31" s="58"/>
      <c r="O31" s="97">
        <v>10000</v>
      </c>
      <c r="P31" s="60"/>
      <c r="Q31" s="97"/>
      <c r="R31" s="56" t="s">
        <v>387</v>
      </c>
      <c r="S31" s="100">
        <v>43500</v>
      </c>
      <c r="T31" s="65">
        <f xml:space="preserve"> S31*(F31/1000)</f>
        <v>435000</v>
      </c>
    </row>
    <row r="32" spans="1:20" s="67" customFormat="1" ht="13.5" customHeight="1" x14ac:dyDescent="0.25">
      <c r="A32" s="69" t="s">
        <v>779</v>
      </c>
      <c r="B32" s="97" t="s">
        <v>1741</v>
      </c>
      <c r="C32" s="97" t="s">
        <v>182</v>
      </c>
      <c r="D32" s="98" t="s">
        <v>301</v>
      </c>
      <c r="E32" s="59" t="s">
        <v>1973</v>
      </c>
      <c r="F32" s="97">
        <v>18000</v>
      </c>
      <c r="G32" s="69">
        <v>720</v>
      </c>
      <c r="H32" s="69" t="s">
        <v>1210</v>
      </c>
      <c r="I32" s="69" t="s">
        <v>1999</v>
      </c>
      <c r="J32" s="58">
        <v>45623</v>
      </c>
      <c r="K32" s="105" t="s">
        <v>1116</v>
      </c>
      <c r="L32" s="123">
        <v>89021980813</v>
      </c>
      <c r="M32" s="105" t="s">
        <v>1987</v>
      </c>
      <c r="N32" s="339"/>
      <c r="O32" s="97">
        <v>18000</v>
      </c>
      <c r="P32" s="60"/>
      <c r="Q32" s="56"/>
      <c r="R32" s="56" t="s">
        <v>387</v>
      </c>
      <c r="S32" s="100">
        <v>41500</v>
      </c>
      <c r="T32" s="65">
        <f xml:space="preserve"> S32*(F32/1000)</f>
        <v>747000</v>
      </c>
    </row>
    <row r="33" spans="1:20" s="67" customFormat="1" ht="13.5" customHeight="1" x14ac:dyDescent="0.25">
      <c r="A33" s="69" t="s">
        <v>779</v>
      </c>
      <c r="B33" s="97" t="s">
        <v>1741</v>
      </c>
      <c r="C33" s="97" t="s">
        <v>182</v>
      </c>
      <c r="D33" s="98" t="s">
        <v>301</v>
      </c>
      <c r="E33" s="59" t="s">
        <v>1974</v>
      </c>
      <c r="F33" s="97">
        <v>2000</v>
      </c>
      <c r="G33" s="69">
        <v>80</v>
      </c>
      <c r="H33" s="69" t="s">
        <v>1210</v>
      </c>
      <c r="I33" s="69" t="s">
        <v>1999</v>
      </c>
      <c r="J33" s="58">
        <v>45623</v>
      </c>
      <c r="K33" s="105" t="s">
        <v>1116</v>
      </c>
      <c r="L33" s="123">
        <v>89021980813</v>
      </c>
      <c r="M33" s="105" t="s">
        <v>1987</v>
      </c>
      <c r="N33" s="339"/>
      <c r="O33" s="97">
        <v>2000</v>
      </c>
      <c r="P33" s="60"/>
      <c r="Q33" s="56"/>
      <c r="R33" s="56" t="s">
        <v>387</v>
      </c>
      <c r="S33" s="100">
        <v>41500</v>
      </c>
      <c r="T33" s="65">
        <f t="shared" ref="T33" si="3" xml:space="preserve"> S33*(F33/1000)</f>
        <v>83000</v>
      </c>
    </row>
    <row r="34" spans="1:20" s="67" customFormat="1" ht="13.5" customHeight="1" x14ac:dyDescent="0.25">
      <c r="A34" s="69" t="s">
        <v>224</v>
      </c>
      <c r="B34" s="60" t="s">
        <v>1959</v>
      </c>
      <c r="C34" s="60" t="s">
        <v>349</v>
      </c>
      <c r="D34" s="98" t="s">
        <v>158</v>
      </c>
      <c r="E34" s="64" t="s">
        <v>1684</v>
      </c>
      <c r="F34" s="97">
        <v>6400</v>
      </c>
      <c r="G34" s="69">
        <v>32</v>
      </c>
      <c r="H34" s="69" t="s">
        <v>352</v>
      </c>
      <c r="I34" s="69" t="s">
        <v>357</v>
      </c>
      <c r="J34" s="58">
        <v>45623</v>
      </c>
      <c r="K34" s="105" t="s">
        <v>1981</v>
      </c>
      <c r="L34" s="123" t="s">
        <v>1982</v>
      </c>
      <c r="M34" s="105" t="s">
        <v>1983</v>
      </c>
      <c r="N34" s="107"/>
      <c r="O34" s="56"/>
      <c r="P34" s="60"/>
      <c r="Q34" s="97">
        <v>6400</v>
      </c>
      <c r="R34" s="56" t="s">
        <v>387</v>
      </c>
      <c r="S34" s="100">
        <v>69000</v>
      </c>
      <c r="T34" s="65">
        <f t="shared" si="1"/>
        <v>441600</v>
      </c>
    </row>
    <row r="35" spans="1:20" s="67" customFormat="1" ht="13.5" customHeight="1" x14ac:dyDescent="0.25">
      <c r="A35" s="69" t="s">
        <v>224</v>
      </c>
      <c r="B35" s="60" t="s">
        <v>1959</v>
      </c>
      <c r="C35" s="60" t="s">
        <v>349</v>
      </c>
      <c r="D35" s="98" t="s">
        <v>158</v>
      </c>
      <c r="E35" s="64" t="s">
        <v>1689</v>
      </c>
      <c r="F35" s="97">
        <v>7000</v>
      </c>
      <c r="G35" s="69">
        <v>35</v>
      </c>
      <c r="H35" s="69" t="s">
        <v>352</v>
      </c>
      <c r="I35" s="69" t="s">
        <v>357</v>
      </c>
      <c r="J35" s="58">
        <v>45623</v>
      </c>
      <c r="K35" s="105" t="s">
        <v>1981</v>
      </c>
      <c r="L35" s="123" t="s">
        <v>1982</v>
      </c>
      <c r="M35" s="105" t="s">
        <v>1983</v>
      </c>
      <c r="N35" s="107"/>
      <c r="O35" s="56"/>
      <c r="P35" s="60"/>
      <c r="Q35" s="97">
        <v>7000</v>
      </c>
      <c r="R35" s="56" t="s">
        <v>387</v>
      </c>
      <c r="S35" s="100">
        <v>69000</v>
      </c>
      <c r="T35" s="65">
        <f t="shared" si="1"/>
        <v>483000</v>
      </c>
    </row>
    <row r="36" spans="1:20" s="67" customFormat="1" ht="13.5" customHeight="1" x14ac:dyDescent="0.25">
      <c r="A36" s="69" t="s">
        <v>224</v>
      </c>
      <c r="B36" s="60" t="s">
        <v>1959</v>
      </c>
      <c r="C36" s="60" t="s">
        <v>349</v>
      </c>
      <c r="D36" s="98" t="s">
        <v>158</v>
      </c>
      <c r="E36" s="64" t="s">
        <v>1690</v>
      </c>
      <c r="F36" s="97">
        <v>200</v>
      </c>
      <c r="G36" s="69">
        <v>1</v>
      </c>
      <c r="H36" s="69" t="s">
        <v>352</v>
      </c>
      <c r="I36" s="69" t="s">
        <v>357</v>
      </c>
      <c r="J36" s="58">
        <v>45623</v>
      </c>
      <c r="K36" s="105" t="s">
        <v>1981</v>
      </c>
      <c r="L36" s="123" t="s">
        <v>1982</v>
      </c>
      <c r="M36" s="105" t="s">
        <v>1983</v>
      </c>
      <c r="N36" s="107"/>
      <c r="O36" s="56"/>
      <c r="P36" s="60"/>
      <c r="Q36" s="97">
        <v>200</v>
      </c>
      <c r="R36" s="56" t="s">
        <v>387</v>
      </c>
      <c r="S36" s="100">
        <v>69000</v>
      </c>
      <c r="T36" s="65">
        <f t="shared" si="1"/>
        <v>13800</v>
      </c>
    </row>
    <row r="37" spans="1:20" s="67" customFormat="1" x14ac:dyDescent="0.25">
      <c r="A37" s="69" t="s">
        <v>224</v>
      </c>
      <c r="B37" s="60" t="s">
        <v>1959</v>
      </c>
      <c r="C37" s="60" t="s">
        <v>349</v>
      </c>
      <c r="D37" s="98" t="s">
        <v>158</v>
      </c>
      <c r="E37" s="64" t="s">
        <v>1716</v>
      </c>
      <c r="F37" s="97">
        <v>4000</v>
      </c>
      <c r="G37" s="69">
        <v>20</v>
      </c>
      <c r="H37" s="69" t="s">
        <v>352</v>
      </c>
      <c r="I37" s="69" t="s">
        <v>357</v>
      </c>
      <c r="J37" s="58">
        <v>45623</v>
      </c>
      <c r="K37" s="105" t="s">
        <v>1981</v>
      </c>
      <c r="L37" s="123" t="s">
        <v>1982</v>
      </c>
      <c r="M37" s="105" t="s">
        <v>1983</v>
      </c>
      <c r="N37" s="107"/>
      <c r="O37" s="56"/>
      <c r="P37" s="60"/>
      <c r="Q37" s="97">
        <v>4000</v>
      </c>
      <c r="R37" s="56" t="s">
        <v>387</v>
      </c>
      <c r="S37" s="100">
        <v>69000</v>
      </c>
      <c r="T37" s="65">
        <f t="shared" si="1"/>
        <v>276000</v>
      </c>
    </row>
    <row r="38" spans="1:20" s="67" customFormat="1" ht="13.5" customHeight="1" x14ac:dyDescent="0.25">
      <c r="A38" s="69" t="s">
        <v>1532</v>
      </c>
      <c r="B38" s="97" t="s">
        <v>1944</v>
      </c>
      <c r="C38" s="97" t="s">
        <v>265</v>
      </c>
      <c r="D38" s="98" t="s">
        <v>285</v>
      </c>
      <c r="E38" s="59" t="s">
        <v>977</v>
      </c>
      <c r="F38" s="97">
        <v>10000</v>
      </c>
      <c r="G38" s="69">
        <v>400</v>
      </c>
      <c r="H38" s="69" t="s">
        <v>382</v>
      </c>
      <c r="I38" s="69" t="s">
        <v>1999</v>
      </c>
      <c r="J38" s="58">
        <v>45623</v>
      </c>
      <c r="K38" s="105" t="s">
        <v>1998</v>
      </c>
      <c r="L38" s="123">
        <v>89124779266</v>
      </c>
      <c r="M38" s="105" t="s">
        <v>1997</v>
      </c>
      <c r="N38" s="58"/>
      <c r="O38" s="97">
        <v>10000</v>
      </c>
      <c r="P38" s="60"/>
      <c r="Q38" s="97"/>
      <c r="R38" s="56" t="s">
        <v>387</v>
      </c>
      <c r="S38" s="100">
        <v>43500</v>
      </c>
      <c r="T38" s="65">
        <f xml:space="preserve"> S38*(F38/1000)</f>
        <v>435000</v>
      </c>
    </row>
    <row r="39" spans="1:20" s="67" customFormat="1" ht="13.5" customHeight="1" x14ac:dyDescent="0.25">
      <c r="A39" s="69" t="s">
        <v>1532</v>
      </c>
      <c r="B39" s="97" t="s">
        <v>1944</v>
      </c>
      <c r="C39" s="97" t="s">
        <v>265</v>
      </c>
      <c r="D39" s="98" t="s">
        <v>287</v>
      </c>
      <c r="E39" s="59" t="s">
        <v>977</v>
      </c>
      <c r="F39" s="97">
        <v>10000</v>
      </c>
      <c r="G39" s="69">
        <v>400</v>
      </c>
      <c r="H39" s="69" t="s">
        <v>382</v>
      </c>
      <c r="I39" s="69" t="s">
        <v>1999</v>
      </c>
      <c r="J39" s="58">
        <v>45623</v>
      </c>
      <c r="K39" s="105" t="s">
        <v>1998</v>
      </c>
      <c r="L39" s="123">
        <v>89124779266</v>
      </c>
      <c r="M39" s="105" t="s">
        <v>1997</v>
      </c>
      <c r="N39" s="58"/>
      <c r="O39" s="97">
        <v>10000</v>
      </c>
      <c r="P39" s="60"/>
      <c r="Q39" s="97"/>
      <c r="R39" s="56" t="s">
        <v>387</v>
      </c>
      <c r="S39" s="100">
        <v>43500</v>
      </c>
      <c r="T39" s="65">
        <f xml:space="preserve"> S39*(F39/1000)</f>
        <v>435000</v>
      </c>
    </row>
    <row r="40" spans="1:20" s="67" customFormat="1" ht="13.5" customHeight="1" x14ac:dyDescent="0.25">
      <c r="A40" s="69" t="s">
        <v>1990</v>
      </c>
      <c r="B40" s="97" t="s">
        <v>1951</v>
      </c>
      <c r="C40" s="97" t="s">
        <v>265</v>
      </c>
      <c r="D40" s="98" t="s">
        <v>285</v>
      </c>
      <c r="E40" s="59" t="s">
        <v>977</v>
      </c>
      <c r="F40" s="97">
        <v>20000</v>
      </c>
      <c r="G40" s="69">
        <v>800</v>
      </c>
      <c r="H40" s="69" t="s">
        <v>983</v>
      </c>
      <c r="I40" s="69" t="s">
        <v>1999</v>
      </c>
      <c r="J40" s="58">
        <v>45625</v>
      </c>
      <c r="K40" s="105" t="s">
        <v>479</v>
      </c>
      <c r="L40" s="105" t="s">
        <v>478</v>
      </c>
      <c r="M40" s="105" t="s">
        <v>477</v>
      </c>
      <c r="N40" s="58"/>
      <c r="O40" s="60">
        <v>20000</v>
      </c>
      <c r="P40" s="60"/>
      <c r="Q40" s="97"/>
      <c r="R40" s="56" t="s">
        <v>387</v>
      </c>
      <c r="S40" s="100">
        <v>43500</v>
      </c>
      <c r="T40" s="65">
        <f t="shared" ref="T40:T51" si="4" xml:space="preserve"> S40*(F40/1000)</f>
        <v>870000</v>
      </c>
    </row>
    <row r="41" spans="1:20" s="67" customFormat="1" ht="13.5" customHeight="1" x14ac:dyDescent="0.25">
      <c r="A41" s="69" t="s">
        <v>224</v>
      </c>
      <c r="B41" s="97" t="s">
        <v>1968</v>
      </c>
      <c r="C41" s="97" t="s">
        <v>401</v>
      </c>
      <c r="D41" s="98" t="s">
        <v>286</v>
      </c>
      <c r="E41" s="59" t="s">
        <v>1969</v>
      </c>
      <c r="F41" s="97">
        <v>5000</v>
      </c>
      <c r="G41" s="69">
        <v>200</v>
      </c>
      <c r="H41" s="69" t="s">
        <v>1619</v>
      </c>
      <c r="I41" s="69" t="s">
        <v>357</v>
      </c>
      <c r="J41" s="58">
        <v>45625</v>
      </c>
      <c r="K41" s="105" t="s">
        <v>2003</v>
      </c>
      <c r="L41" s="123" t="s">
        <v>2004</v>
      </c>
      <c r="M41" s="105" t="s">
        <v>2002</v>
      </c>
      <c r="N41" s="105" t="s">
        <v>1989</v>
      </c>
      <c r="O41" s="97"/>
      <c r="P41" s="56">
        <f>F41</f>
        <v>5000</v>
      </c>
      <c r="Q41" s="60"/>
      <c r="R41" s="56" t="s">
        <v>387</v>
      </c>
      <c r="S41" s="100">
        <v>250000</v>
      </c>
      <c r="T41" s="65">
        <f t="shared" si="4"/>
        <v>1250000</v>
      </c>
    </row>
    <row r="42" spans="1:20" s="67" customFormat="1" ht="13.5" customHeight="1" x14ac:dyDescent="0.25">
      <c r="A42" s="69" t="s">
        <v>224</v>
      </c>
      <c r="B42" s="97" t="s">
        <v>1968</v>
      </c>
      <c r="C42" s="97" t="s">
        <v>401</v>
      </c>
      <c r="D42" s="98" t="s">
        <v>286</v>
      </c>
      <c r="E42" s="59" t="s">
        <v>1970</v>
      </c>
      <c r="F42" s="97">
        <v>4000</v>
      </c>
      <c r="G42" s="69">
        <v>160</v>
      </c>
      <c r="H42" s="69" t="s">
        <v>1619</v>
      </c>
      <c r="I42" s="69" t="s">
        <v>357</v>
      </c>
      <c r="J42" s="58">
        <v>45625</v>
      </c>
      <c r="K42" s="105" t="s">
        <v>2003</v>
      </c>
      <c r="L42" s="123" t="s">
        <v>2004</v>
      </c>
      <c r="M42" s="105" t="s">
        <v>2002</v>
      </c>
      <c r="N42" s="105" t="s">
        <v>1988</v>
      </c>
      <c r="O42" s="97"/>
      <c r="P42" s="56">
        <f t="shared" ref="P42:P45" si="5">F42</f>
        <v>4000</v>
      </c>
      <c r="Q42" s="60"/>
      <c r="R42" s="56" t="s">
        <v>387</v>
      </c>
      <c r="S42" s="100">
        <v>250000</v>
      </c>
      <c r="T42" s="65">
        <f t="shared" si="4"/>
        <v>1000000</v>
      </c>
    </row>
    <row r="43" spans="1:20" s="67" customFormat="1" ht="13.5" customHeight="1" x14ac:dyDescent="0.25">
      <c r="A43" s="69" t="s">
        <v>224</v>
      </c>
      <c r="B43" s="97" t="s">
        <v>1968</v>
      </c>
      <c r="C43" s="97" t="s">
        <v>401</v>
      </c>
      <c r="D43" s="98" t="s">
        <v>286</v>
      </c>
      <c r="E43" s="59" t="s">
        <v>1971</v>
      </c>
      <c r="F43" s="97">
        <v>2000</v>
      </c>
      <c r="G43" s="69">
        <v>80</v>
      </c>
      <c r="H43" s="69" t="s">
        <v>1619</v>
      </c>
      <c r="I43" s="69" t="s">
        <v>357</v>
      </c>
      <c r="J43" s="58">
        <v>45625</v>
      </c>
      <c r="K43" s="105" t="s">
        <v>2003</v>
      </c>
      <c r="L43" s="123" t="s">
        <v>2004</v>
      </c>
      <c r="M43" s="105" t="s">
        <v>2002</v>
      </c>
      <c r="N43" s="105" t="s">
        <v>1995</v>
      </c>
      <c r="O43" s="97"/>
      <c r="P43" s="56">
        <f t="shared" si="5"/>
        <v>2000</v>
      </c>
      <c r="Q43" s="60"/>
      <c r="R43" s="56" t="s">
        <v>387</v>
      </c>
      <c r="S43" s="100">
        <v>250000</v>
      </c>
      <c r="T43" s="65">
        <f t="shared" si="4"/>
        <v>500000</v>
      </c>
    </row>
    <row r="44" spans="1:20" s="67" customFormat="1" ht="13.5" customHeight="1" x14ac:dyDescent="0.25">
      <c r="A44" s="69" t="s">
        <v>224</v>
      </c>
      <c r="B44" s="97" t="s">
        <v>1968</v>
      </c>
      <c r="C44" s="97" t="s">
        <v>401</v>
      </c>
      <c r="D44" s="98" t="s">
        <v>286</v>
      </c>
      <c r="E44" s="59" t="s">
        <v>1972</v>
      </c>
      <c r="F44" s="97">
        <v>5000</v>
      </c>
      <c r="G44" s="69">
        <v>200</v>
      </c>
      <c r="H44" s="69" t="s">
        <v>1619</v>
      </c>
      <c r="I44" s="69" t="s">
        <v>357</v>
      </c>
      <c r="J44" s="58">
        <v>45625</v>
      </c>
      <c r="K44" s="105" t="s">
        <v>2003</v>
      </c>
      <c r="L44" s="123" t="s">
        <v>2004</v>
      </c>
      <c r="M44" s="105" t="s">
        <v>2002</v>
      </c>
      <c r="N44" s="105" t="s">
        <v>1989</v>
      </c>
      <c r="O44" s="97"/>
      <c r="P44" s="56">
        <f t="shared" si="5"/>
        <v>5000</v>
      </c>
      <c r="Q44" s="60"/>
      <c r="R44" s="56" t="s">
        <v>387</v>
      </c>
      <c r="S44" s="100">
        <v>250000</v>
      </c>
      <c r="T44" s="65">
        <f t="shared" si="4"/>
        <v>1250000</v>
      </c>
    </row>
    <row r="45" spans="1:20" s="67" customFormat="1" ht="13.5" customHeight="1" x14ac:dyDescent="0.25">
      <c r="A45" s="69" t="s">
        <v>224</v>
      </c>
      <c r="B45" s="97" t="s">
        <v>1975</v>
      </c>
      <c r="C45" s="97" t="s">
        <v>401</v>
      </c>
      <c r="D45" s="98" t="s">
        <v>286</v>
      </c>
      <c r="E45" s="59" t="s">
        <v>1976</v>
      </c>
      <c r="F45" s="97">
        <v>4000</v>
      </c>
      <c r="G45" s="69">
        <v>160</v>
      </c>
      <c r="H45" s="69" t="s">
        <v>1619</v>
      </c>
      <c r="I45" s="69" t="s">
        <v>357</v>
      </c>
      <c r="J45" s="58">
        <v>45625</v>
      </c>
      <c r="K45" s="105" t="s">
        <v>2003</v>
      </c>
      <c r="L45" s="123" t="s">
        <v>2004</v>
      </c>
      <c r="M45" s="105" t="s">
        <v>2002</v>
      </c>
      <c r="N45" s="105" t="s">
        <v>1994</v>
      </c>
      <c r="O45" s="97"/>
      <c r="P45" s="56">
        <f t="shared" si="5"/>
        <v>4000</v>
      </c>
      <c r="Q45" s="60"/>
      <c r="R45" s="56" t="s">
        <v>387</v>
      </c>
      <c r="S45" s="100">
        <v>250000</v>
      </c>
      <c r="T45" s="65">
        <f t="shared" si="4"/>
        <v>1000000</v>
      </c>
    </row>
    <row r="46" spans="1:20" s="67" customFormat="1" ht="13.5" customHeight="1" x14ac:dyDescent="0.25">
      <c r="A46" s="69" t="s">
        <v>224</v>
      </c>
      <c r="B46" s="97" t="s">
        <v>1975</v>
      </c>
      <c r="C46" s="97" t="s">
        <v>401</v>
      </c>
      <c r="D46" s="98" t="s">
        <v>286</v>
      </c>
      <c r="E46" s="59" t="s">
        <v>2005</v>
      </c>
      <c r="F46" s="97">
        <v>1000</v>
      </c>
      <c r="G46" s="69">
        <v>40</v>
      </c>
      <c r="H46" s="69" t="s">
        <v>1619</v>
      </c>
      <c r="I46" s="69" t="s">
        <v>357</v>
      </c>
      <c r="J46" s="58">
        <v>45625</v>
      </c>
      <c r="K46" s="66" t="s">
        <v>2000</v>
      </c>
      <c r="L46" s="123">
        <v>79197167768</v>
      </c>
      <c r="M46" s="105" t="s">
        <v>2001</v>
      </c>
      <c r="N46" s="431">
        <v>5677</v>
      </c>
      <c r="O46" s="97"/>
      <c r="P46" s="56">
        <f>F46</f>
        <v>1000</v>
      </c>
      <c r="Q46" s="60"/>
      <c r="R46" s="56" t="s">
        <v>387</v>
      </c>
      <c r="S46" s="100">
        <v>250000</v>
      </c>
      <c r="T46" s="65">
        <f t="shared" si="4"/>
        <v>250000</v>
      </c>
    </row>
    <row r="47" spans="1:20" s="67" customFormat="1" ht="13.5" customHeight="1" x14ac:dyDescent="0.25">
      <c r="A47" s="69" t="s">
        <v>224</v>
      </c>
      <c r="B47" s="97" t="s">
        <v>1975</v>
      </c>
      <c r="C47" s="97" t="s">
        <v>401</v>
      </c>
      <c r="D47" s="98" t="s">
        <v>286</v>
      </c>
      <c r="E47" s="59" t="s">
        <v>1984</v>
      </c>
      <c r="F47" s="97">
        <v>3000</v>
      </c>
      <c r="G47" s="69">
        <v>120</v>
      </c>
      <c r="H47" s="69" t="s">
        <v>1619</v>
      </c>
      <c r="I47" s="69" t="s">
        <v>357</v>
      </c>
      <c r="J47" s="58">
        <v>45625</v>
      </c>
      <c r="K47" s="66" t="s">
        <v>2000</v>
      </c>
      <c r="L47" s="123">
        <v>79197167768</v>
      </c>
      <c r="M47" s="105" t="s">
        <v>2001</v>
      </c>
      <c r="N47" s="339" t="s">
        <v>2008</v>
      </c>
      <c r="O47" s="97"/>
      <c r="P47" s="56">
        <f t="shared" ref="P47:P51" si="6">F47</f>
        <v>3000</v>
      </c>
      <c r="Q47" s="60"/>
      <c r="R47" s="56" t="s">
        <v>387</v>
      </c>
      <c r="S47" s="100">
        <v>250000</v>
      </c>
      <c r="T47" s="65">
        <f t="shared" si="4"/>
        <v>750000</v>
      </c>
    </row>
    <row r="48" spans="1:20" s="67" customFormat="1" ht="13.5" customHeight="1" x14ac:dyDescent="0.25">
      <c r="A48" s="69" t="s">
        <v>224</v>
      </c>
      <c r="B48" s="97" t="s">
        <v>1975</v>
      </c>
      <c r="C48" s="97" t="s">
        <v>401</v>
      </c>
      <c r="D48" s="98" t="s">
        <v>286</v>
      </c>
      <c r="E48" s="59" t="s">
        <v>1985</v>
      </c>
      <c r="F48" s="97">
        <v>4000</v>
      </c>
      <c r="G48" s="69">
        <v>160</v>
      </c>
      <c r="H48" s="69" t="s">
        <v>1619</v>
      </c>
      <c r="I48" s="69" t="s">
        <v>357</v>
      </c>
      <c r="J48" s="58">
        <v>45625</v>
      </c>
      <c r="K48" s="66" t="s">
        <v>2000</v>
      </c>
      <c r="L48" s="123">
        <v>79197167768</v>
      </c>
      <c r="M48" s="105" t="s">
        <v>2001</v>
      </c>
      <c r="N48" s="339" t="s">
        <v>2009</v>
      </c>
      <c r="O48" s="97"/>
      <c r="P48" s="56">
        <f t="shared" si="6"/>
        <v>4000</v>
      </c>
      <c r="Q48" s="60"/>
      <c r="R48" s="56" t="s">
        <v>387</v>
      </c>
      <c r="S48" s="100">
        <v>250000</v>
      </c>
      <c r="T48" s="65">
        <f t="shared" si="4"/>
        <v>1000000</v>
      </c>
    </row>
    <row r="49" spans="1:20" s="67" customFormat="1" ht="13.5" customHeight="1" x14ac:dyDescent="0.25">
      <c r="A49" s="69" t="s">
        <v>224</v>
      </c>
      <c r="B49" s="97" t="s">
        <v>1975</v>
      </c>
      <c r="C49" s="97" t="s">
        <v>401</v>
      </c>
      <c r="D49" s="98" t="s">
        <v>286</v>
      </c>
      <c r="E49" s="59" t="s">
        <v>1986</v>
      </c>
      <c r="F49" s="97">
        <v>5000</v>
      </c>
      <c r="G49" s="69">
        <v>200</v>
      </c>
      <c r="H49" s="69" t="s">
        <v>1619</v>
      </c>
      <c r="I49" s="69" t="s">
        <v>357</v>
      </c>
      <c r="J49" s="58">
        <v>45625</v>
      </c>
      <c r="K49" s="66" t="s">
        <v>2000</v>
      </c>
      <c r="L49" s="123">
        <v>79197167768</v>
      </c>
      <c r="M49" s="105" t="s">
        <v>2001</v>
      </c>
      <c r="N49" s="339" t="s">
        <v>2010</v>
      </c>
      <c r="O49" s="97"/>
      <c r="P49" s="56">
        <f t="shared" si="6"/>
        <v>5000</v>
      </c>
      <c r="Q49" s="60"/>
      <c r="R49" s="56" t="s">
        <v>387</v>
      </c>
      <c r="S49" s="100">
        <v>250000</v>
      </c>
      <c r="T49" s="65">
        <f t="shared" si="4"/>
        <v>1250000</v>
      </c>
    </row>
    <row r="50" spans="1:20" s="67" customFormat="1" ht="13.5" customHeight="1" x14ac:dyDescent="0.25">
      <c r="A50" s="69" t="s">
        <v>224</v>
      </c>
      <c r="B50" s="97" t="s">
        <v>1975</v>
      </c>
      <c r="C50" s="97" t="s">
        <v>401</v>
      </c>
      <c r="D50" s="98" t="s">
        <v>286</v>
      </c>
      <c r="E50" s="59" t="s">
        <v>2006</v>
      </c>
      <c r="F50" s="97">
        <v>2000</v>
      </c>
      <c r="G50" s="69">
        <v>80</v>
      </c>
      <c r="H50" s="69" t="s">
        <v>1619</v>
      </c>
      <c r="I50" s="69" t="s">
        <v>357</v>
      </c>
      <c r="J50" s="58">
        <v>45625</v>
      </c>
      <c r="K50" s="66" t="s">
        <v>2000</v>
      </c>
      <c r="L50" s="123">
        <v>79197167768</v>
      </c>
      <c r="M50" s="105" t="s">
        <v>2001</v>
      </c>
      <c r="N50" s="339" t="s">
        <v>2011</v>
      </c>
      <c r="O50" s="97"/>
      <c r="P50" s="56">
        <f t="shared" si="6"/>
        <v>2000</v>
      </c>
      <c r="Q50" s="60"/>
      <c r="R50" s="56" t="s">
        <v>387</v>
      </c>
      <c r="S50" s="100">
        <v>250000</v>
      </c>
      <c r="T50" s="65">
        <f t="shared" si="4"/>
        <v>500000</v>
      </c>
    </row>
    <row r="51" spans="1:20" s="67" customFormat="1" ht="13.5" customHeight="1" x14ac:dyDescent="0.25">
      <c r="A51" s="69" t="s">
        <v>224</v>
      </c>
      <c r="B51" s="97" t="s">
        <v>1975</v>
      </c>
      <c r="C51" s="97" t="s">
        <v>401</v>
      </c>
      <c r="D51" s="98" t="s">
        <v>286</v>
      </c>
      <c r="E51" s="59" t="s">
        <v>2007</v>
      </c>
      <c r="F51" s="97">
        <v>5000</v>
      </c>
      <c r="G51" s="69">
        <v>200</v>
      </c>
      <c r="H51" s="69" t="s">
        <v>1619</v>
      </c>
      <c r="I51" s="69" t="s">
        <v>357</v>
      </c>
      <c r="J51" s="58">
        <v>45625</v>
      </c>
      <c r="K51" s="66" t="s">
        <v>2000</v>
      </c>
      <c r="L51" s="123">
        <v>79197167768</v>
      </c>
      <c r="M51" s="105" t="s">
        <v>2001</v>
      </c>
      <c r="N51" s="339" t="s">
        <v>2012</v>
      </c>
      <c r="O51" s="97"/>
      <c r="P51" s="56">
        <f t="shared" si="6"/>
        <v>5000</v>
      </c>
      <c r="Q51" s="60"/>
      <c r="R51" s="56" t="s">
        <v>387</v>
      </c>
      <c r="S51" s="100">
        <v>250000</v>
      </c>
      <c r="T51" s="65">
        <f t="shared" si="4"/>
        <v>1250000</v>
      </c>
    </row>
    <row r="52" spans="1:20" ht="18.75" x14ac:dyDescent="0.3">
      <c r="A52" s="425" t="s">
        <v>15</v>
      </c>
      <c r="B52" s="110">
        <f>SUM(F5:F51)/1000</f>
        <v>372.904</v>
      </c>
      <c r="C52" s="57" t="s">
        <v>14</v>
      </c>
      <c r="S52" s="426"/>
      <c r="T52" s="324">
        <f>SUM(T5:T51)</f>
        <v>31042365</v>
      </c>
    </row>
    <row r="53" spans="1:20" ht="18.75" x14ac:dyDescent="0.3">
      <c r="A53" s="127" t="s">
        <v>16</v>
      </c>
      <c r="B53" s="111">
        <f>B54+B55+B56</f>
        <v>372.904</v>
      </c>
      <c r="C53" s="1" t="s">
        <v>14</v>
      </c>
      <c r="E53" s="295"/>
      <c r="F53" s="394" t="s">
        <v>1574</v>
      </c>
      <c r="G53" s="394"/>
    </row>
    <row r="54" spans="1:20" ht="18.75" x14ac:dyDescent="0.3">
      <c r="A54" s="128" t="s">
        <v>17</v>
      </c>
      <c r="B54" s="109">
        <f>SUM(O5:O51)/1000</f>
        <v>211.25</v>
      </c>
      <c r="C54" s="2" t="s">
        <v>14</v>
      </c>
      <c r="E54" s="395"/>
      <c r="F54" s="394" t="s">
        <v>1557</v>
      </c>
      <c r="G54" s="394"/>
    </row>
    <row r="55" spans="1:20" ht="18.75" x14ac:dyDescent="0.3">
      <c r="A55" s="128" t="s">
        <v>154</v>
      </c>
      <c r="B55" s="109">
        <f>SUM(P5:P51)/1000</f>
        <v>40.054000000000002</v>
      </c>
      <c r="C55" s="2" t="s">
        <v>14</v>
      </c>
      <c r="E55" s="228"/>
      <c r="F55" s="394" t="s">
        <v>1556</v>
      </c>
      <c r="G55" s="394"/>
    </row>
    <row r="56" spans="1:20" ht="18.75" x14ac:dyDescent="0.3">
      <c r="A56" s="128" t="s">
        <v>24</v>
      </c>
      <c r="B56" s="112">
        <f>SUM(Q5:Q51)/1000</f>
        <v>121.6</v>
      </c>
      <c r="C56" s="2" t="s">
        <v>14</v>
      </c>
      <c r="E56" s="409"/>
      <c r="F56" s="394" t="s">
        <v>1775</v>
      </c>
    </row>
    <row r="57" spans="1:20" ht="19.5" thickBot="1" x14ac:dyDescent="0.35">
      <c r="A57" s="129" t="s">
        <v>20</v>
      </c>
      <c r="B57" s="113">
        <f>B52-B53</f>
        <v>0</v>
      </c>
      <c r="C57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57" xr:uid="{00000000-0009-0000-0000-000001000000}"/>
  <mergeCells count="12"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28" type="noConversion"/>
  <dataValidations count="1">
    <dataValidation type="list" allowBlank="1" showInputMessage="1" showErrorMessage="1" sqref="D52" xr:uid="{00000000-0002-0000-0100-000000000000}">
      <formula1>$E$52:$E$68</formula1>
    </dataValidation>
  </dataValidations>
  <pageMargins left="0.7" right="0.7" top="0.75" bottom="0.75" header="0.3" footer="0.3"/>
  <pageSetup paperSize="9" scale="31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справочник!$E$2:$E$157</xm:f>
          </x14:formula1>
          <xm:sqref>D6:D14 D30:D51 D4 D17:D27</xm:sqref>
        </x14:dataValidation>
        <x14:dataValidation type="list" allowBlank="1" showInputMessage="1" showErrorMessage="1" xr:uid="{00000000-0002-0000-0100-000002000000}">
          <x14:formula1>
            <xm:f>справочник!$E$2:$E$156</xm:f>
          </x14:formula1>
          <xm:sqref>D4:D17 D38:D40 D28:D35 D22:D24 D19:D20</xm:sqref>
        </x14:dataValidation>
        <x14:dataValidation type="list" allowBlank="1" showInputMessage="1" showErrorMessage="1" xr:uid="{00000000-0002-0000-0100-000003000000}">
          <x14:formula1>
            <xm:f>справочник!$E$2:$E$162</xm:f>
          </x14:formula1>
          <xm:sqref>D30:D31 D4 D38:D40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71"/>
  <sheetViews>
    <sheetView zoomScale="65" zoomScaleNormal="65" zoomScaleSheetLayoutView="70" workbookViewId="0">
      <pane ySplit="3" topLeftCell="A4" activePane="bottomLeft" state="frozen"/>
      <selection pane="bottomLeft" activeCell="A48" sqref="A48:XFD48"/>
    </sheetView>
  </sheetViews>
  <sheetFormatPr defaultRowHeight="15" x14ac:dyDescent="0.25"/>
  <cols>
    <col min="1" max="1" width="19.5703125" style="130" customWidth="1"/>
    <col min="2" max="2" width="22.28515625" customWidth="1"/>
    <col min="3" max="3" width="32.5703125" customWidth="1"/>
    <col min="4" max="4" width="45.140625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25.140625" bestFit="1" customWidth="1"/>
    <col min="10" max="10" width="18.5703125" bestFit="1" customWidth="1"/>
    <col min="11" max="11" width="30.42578125" customWidth="1"/>
    <col min="12" max="12" width="27.140625" bestFit="1" customWidth="1"/>
    <col min="13" max="13" width="32.28515625" customWidth="1"/>
    <col min="14" max="14" width="22.85546875" style="343" customWidth="1"/>
    <col min="18" max="18" width="12.42578125" customWidth="1"/>
    <col min="19" max="19" width="25.425781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45566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374" t="s">
        <v>1</v>
      </c>
      <c r="G3" s="374" t="s">
        <v>156</v>
      </c>
      <c r="H3" s="453"/>
      <c r="I3" s="455"/>
      <c r="J3" s="457"/>
      <c r="K3" s="411" t="s">
        <v>8</v>
      </c>
      <c r="L3" s="411" t="s">
        <v>21</v>
      </c>
      <c r="M3" s="411" t="s">
        <v>10</v>
      </c>
      <c r="N3" s="375" t="s">
        <v>11</v>
      </c>
      <c r="O3" s="376" t="s">
        <v>13</v>
      </c>
      <c r="P3" s="376" t="s">
        <v>155</v>
      </c>
      <c r="Q3" s="377" t="s">
        <v>23</v>
      </c>
      <c r="R3" s="439"/>
      <c r="S3" s="68" t="s">
        <v>162</v>
      </c>
      <c r="T3" s="378" t="s">
        <v>163</v>
      </c>
    </row>
    <row r="4" spans="1:20" s="175" customFormat="1" x14ac:dyDescent="0.25">
      <c r="A4" s="353"/>
      <c r="B4" s="356"/>
      <c r="C4" s="356"/>
      <c r="D4" s="354"/>
      <c r="E4" s="355"/>
      <c r="F4" s="356"/>
      <c r="G4" s="353"/>
      <c r="H4" s="353"/>
      <c r="I4" s="353"/>
      <c r="J4" s="357"/>
      <c r="K4" s="358"/>
      <c r="L4" s="359"/>
      <c r="M4" s="358"/>
      <c r="N4" s="419"/>
      <c r="O4" s="420"/>
      <c r="P4" s="420"/>
      <c r="Q4" s="421"/>
      <c r="R4" s="348"/>
      <c r="T4" s="422"/>
    </row>
    <row r="5" spans="1:20" s="67" customFormat="1" ht="13.5" customHeight="1" x14ac:dyDescent="0.25">
      <c r="A5" s="69" t="s">
        <v>224</v>
      </c>
      <c r="B5" s="60" t="s">
        <v>852</v>
      </c>
      <c r="C5" s="60" t="s">
        <v>171</v>
      </c>
      <c r="D5" s="11" t="s">
        <v>305</v>
      </c>
      <c r="E5" s="59" t="s">
        <v>913</v>
      </c>
      <c r="F5" s="60">
        <v>20000</v>
      </c>
      <c r="G5" s="69">
        <v>800</v>
      </c>
      <c r="H5" s="69" t="s">
        <v>1243</v>
      </c>
      <c r="I5" s="69" t="s">
        <v>500</v>
      </c>
      <c r="J5" s="58">
        <v>45566</v>
      </c>
      <c r="K5" s="107" t="s">
        <v>1796</v>
      </c>
      <c r="L5" s="406" t="s">
        <v>1795</v>
      </c>
      <c r="M5" s="405" t="s">
        <v>1793</v>
      </c>
      <c r="N5" s="412"/>
      <c r="O5" s="327">
        <v>20000</v>
      </c>
      <c r="P5" s="325"/>
      <c r="Q5" s="325"/>
      <c r="R5" s="330" t="s">
        <v>387</v>
      </c>
      <c r="S5" s="365">
        <v>38000</v>
      </c>
      <c r="T5" s="65">
        <f t="shared" ref="T5:T6" si="0" xml:space="preserve"> S5*(F5/1000)</f>
        <v>760000</v>
      </c>
    </row>
    <row r="6" spans="1:20" s="67" customFormat="1" ht="13.5" customHeight="1" x14ac:dyDescent="0.25">
      <c r="A6" s="69" t="s">
        <v>224</v>
      </c>
      <c r="B6" s="60" t="s">
        <v>852</v>
      </c>
      <c r="C6" s="60" t="s">
        <v>171</v>
      </c>
      <c r="D6" s="11" t="s">
        <v>305</v>
      </c>
      <c r="E6" s="59" t="s">
        <v>1561</v>
      </c>
      <c r="F6" s="60">
        <v>20000</v>
      </c>
      <c r="G6" s="69">
        <v>800</v>
      </c>
      <c r="H6" s="69" t="s">
        <v>1243</v>
      </c>
      <c r="I6" s="69" t="s">
        <v>500</v>
      </c>
      <c r="J6" s="58">
        <v>45566</v>
      </c>
      <c r="K6" s="405" t="s">
        <v>1797</v>
      </c>
      <c r="L6" s="406">
        <v>89515616862</v>
      </c>
      <c r="M6" s="405" t="s">
        <v>1794</v>
      </c>
      <c r="N6" s="412"/>
      <c r="O6" s="327">
        <v>20000</v>
      </c>
      <c r="P6" s="325"/>
      <c r="Q6" s="325"/>
      <c r="R6" s="330" t="s">
        <v>387</v>
      </c>
      <c r="S6" s="365">
        <v>38000</v>
      </c>
      <c r="T6" s="65">
        <f t="shared" si="0"/>
        <v>760000</v>
      </c>
    </row>
    <row r="7" spans="1:20" s="67" customFormat="1" ht="13.5" customHeight="1" x14ac:dyDescent="0.25">
      <c r="A7" s="69" t="s">
        <v>1792</v>
      </c>
      <c r="B7" s="60" t="s">
        <v>1783</v>
      </c>
      <c r="C7" s="60" t="s">
        <v>165</v>
      </c>
      <c r="D7" s="98" t="s">
        <v>205</v>
      </c>
      <c r="E7" s="296" t="s">
        <v>1776</v>
      </c>
      <c r="F7" s="97">
        <v>8140</v>
      </c>
      <c r="G7" s="69">
        <v>44</v>
      </c>
      <c r="H7" s="69" t="s">
        <v>1788</v>
      </c>
      <c r="I7" s="69" t="s">
        <v>500</v>
      </c>
      <c r="J7" s="58">
        <v>45566</v>
      </c>
      <c r="K7" s="105" t="s">
        <v>1791</v>
      </c>
      <c r="L7" s="123" t="s">
        <v>1790</v>
      </c>
      <c r="M7" s="105" t="s">
        <v>1789</v>
      </c>
      <c r="N7" s="399"/>
      <c r="O7" s="97"/>
      <c r="P7" s="60"/>
      <c r="Q7" s="97">
        <v>8140</v>
      </c>
      <c r="R7" s="225" t="s">
        <v>387</v>
      </c>
      <c r="S7" s="100">
        <v>125000</v>
      </c>
      <c r="T7" s="65">
        <f xml:space="preserve"> S7*(F7/1000)</f>
        <v>1017500.0000000001</v>
      </c>
    </row>
    <row r="8" spans="1:20" s="67" customFormat="1" ht="13.5" customHeight="1" x14ac:dyDescent="0.25">
      <c r="A8" s="69" t="s">
        <v>1792</v>
      </c>
      <c r="B8" s="60" t="s">
        <v>1783</v>
      </c>
      <c r="C8" s="60" t="s">
        <v>165</v>
      </c>
      <c r="D8" s="98" t="s">
        <v>205</v>
      </c>
      <c r="E8" s="296" t="s">
        <v>1784</v>
      </c>
      <c r="F8" s="97">
        <v>8140</v>
      </c>
      <c r="G8" s="69">
        <v>44</v>
      </c>
      <c r="H8" s="69" t="s">
        <v>1788</v>
      </c>
      <c r="I8" s="69" t="s">
        <v>500</v>
      </c>
      <c r="J8" s="58">
        <v>45566</v>
      </c>
      <c r="K8" s="105" t="s">
        <v>1791</v>
      </c>
      <c r="L8" s="123" t="s">
        <v>1790</v>
      </c>
      <c r="M8" s="105" t="s">
        <v>1789</v>
      </c>
      <c r="N8" s="399"/>
      <c r="O8" s="97"/>
      <c r="P8" s="60"/>
      <c r="Q8" s="97">
        <v>8140</v>
      </c>
      <c r="R8" s="225" t="s">
        <v>387</v>
      </c>
      <c r="S8" s="100">
        <v>125000</v>
      </c>
      <c r="T8" s="65">
        <f xml:space="preserve"> S8*(F8/1000)</f>
        <v>1017500.0000000001</v>
      </c>
    </row>
    <row r="9" spans="1:20" s="67" customFormat="1" ht="13.5" customHeight="1" x14ac:dyDescent="0.25">
      <c r="A9" s="69" t="s">
        <v>1066</v>
      </c>
      <c r="B9" s="60" t="s">
        <v>1763</v>
      </c>
      <c r="C9" s="60" t="s">
        <v>165</v>
      </c>
      <c r="D9" s="11" t="s">
        <v>1097</v>
      </c>
      <c r="E9" s="296" t="s">
        <v>1715</v>
      </c>
      <c r="F9" s="60">
        <v>17500</v>
      </c>
      <c r="G9" s="69">
        <v>700</v>
      </c>
      <c r="H9" s="69" t="s">
        <v>681</v>
      </c>
      <c r="I9" s="69" t="s">
        <v>500</v>
      </c>
      <c r="J9" s="58">
        <v>45566</v>
      </c>
      <c r="K9" s="105"/>
      <c r="L9" s="123"/>
      <c r="M9" s="105"/>
      <c r="N9" s="399" t="s">
        <v>1803</v>
      </c>
      <c r="O9" s="97">
        <v>17500</v>
      </c>
      <c r="P9" s="60"/>
      <c r="Q9" s="97"/>
      <c r="R9" s="225" t="s">
        <v>387</v>
      </c>
      <c r="S9" s="100">
        <v>48500</v>
      </c>
      <c r="T9" s="65">
        <f t="shared" ref="T9:T26" si="1" xml:space="preserve"> S9*(F9/1000)</f>
        <v>848750</v>
      </c>
    </row>
    <row r="10" spans="1:20" s="67" customFormat="1" ht="13.5" customHeight="1" x14ac:dyDescent="0.25">
      <c r="A10" s="69" t="s">
        <v>1066</v>
      </c>
      <c r="B10" s="60" t="s">
        <v>1764</v>
      </c>
      <c r="C10" s="60" t="s">
        <v>165</v>
      </c>
      <c r="D10" s="11" t="s">
        <v>1097</v>
      </c>
      <c r="E10" s="296" t="s">
        <v>1718</v>
      </c>
      <c r="F10" s="60">
        <v>17500</v>
      </c>
      <c r="G10" s="69">
        <v>700</v>
      </c>
      <c r="H10" s="69" t="s">
        <v>681</v>
      </c>
      <c r="I10" s="69" t="s">
        <v>500</v>
      </c>
      <c r="J10" s="58">
        <v>45566</v>
      </c>
      <c r="K10" s="105"/>
      <c r="L10" s="123"/>
      <c r="M10" s="105"/>
      <c r="N10" s="399" t="s">
        <v>1802</v>
      </c>
      <c r="O10" s="97">
        <v>17500</v>
      </c>
      <c r="P10" s="60"/>
      <c r="Q10" s="97"/>
      <c r="R10" s="225" t="s">
        <v>387</v>
      </c>
      <c r="S10" s="100">
        <v>48500</v>
      </c>
      <c r="T10" s="65">
        <f t="shared" si="1"/>
        <v>848750</v>
      </c>
    </row>
    <row r="11" spans="1:20" s="67" customFormat="1" ht="13.5" customHeight="1" x14ac:dyDescent="0.25">
      <c r="A11" s="69" t="s">
        <v>1066</v>
      </c>
      <c r="B11" s="60" t="s">
        <v>1765</v>
      </c>
      <c r="C11" s="60" t="s">
        <v>165</v>
      </c>
      <c r="D11" s="98" t="s">
        <v>897</v>
      </c>
      <c r="E11" s="296" t="s">
        <v>1753</v>
      </c>
      <c r="F11" s="97">
        <v>13600</v>
      </c>
      <c r="G11" s="97">
        <v>68</v>
      </c>
      <c r="H11" s="69" t="s">
        <v>172</v>
      </c>
      <c r="I11" s="69" t="s">
        <v>500</v>
      </c>
      <c r="J11" s="58">
        <v>45568</v>
      </c>
      <c r="K11" s="105"/>
      <c r="L11" s="123"/>
      <c r="M11" s="105"/>
      <c r="N11" s="389" t="s">
        <v>1814</v>
      </c>
      <c r="O11" s="60"/>
      <c r="P11" s="60"/>
      <c r="Q11" s="97">
        <v>13600</v>
      </c>
      <c r="R11" s="225" t="s">
        <v>387</v>
      </c>
      <c r="S11" s="100">
        <v>77400</v>
      </c>
      <c r="T11" s="65">
        <f t="shared" ref="T11:T17" si="2" xml:space="preserve"> S11*(F11/1000)</f>
        <v>1052640</v>
      </c>
    </row>
    <row r="12" spans="1:20" s="67" customFormat="1" ht="13.5" customHeight="1" x14ac:dyDescent="0.25">
      <c r="A12" s="69" t="s">
        <v>1066</v>
      </c>
      <c r="B12" s="60" t="s">
        <v>1765</v>
      </c>
      <c r="C12" s="60" t="s">
        <v>165</v>
      </c>
      <c r="D12" s="98" t="s">
        <v>897</v>
      </c>
      <c r="E12" s="296" t="s">
        <v>1734</v>
      </c>
      <c r="F12" s="60">
        <v>400</v>
      </c>
      <c r="G12" s="69">
        <v>2</v>
      </c>
      <c r="H12" s="69" t="s">
        <v>172</v>
      </c>
      <c r="I12" s="69" t="s">
        <v>500</v>
      </c>
      <c r="J12" s="58">
        <v>45568</v>
      </c>
      <c r="K12" s="108"/>
      <c r="L12" s="118"/>
      <c r="M12" s="66"/>
      <c r="N12" s="389" t="s">
        <v>1814</v>
      </c>
      <c r="O12" s="60"/>
      <c r="P12" s="60"/>
      <c r="Q12" s="60">
        <v>400</v>
      </c>
      <c r="R12" s="225" t="s">
        <v>387</v>
      </c>
      <c r="S12" s="100">
        <v>77400</v>
      </c>
      <c r="T12" s="65">
        <f t="shared" si="2"/>
        <v>30960</v>
      </c>
    </row>
    <row r="13" spans="1:20" s="67" customFormat="1" ht="13.5" customHeight="1" x14ac:dyDescent="0.25">
      <c r="A13" s="69" t="s">
        <v>1066</v>
      </c>
      <c r="B13" s="60" t="s">
        <v>1765</v>
      </c>
      <c r="C13" s="60" t="s">
        <v>165</v>
      </c>
      <c r="D13" s="98" t="s">
        <v>897</v>
      </c>
      <c r="E13" s="296" t="s">
        <v>1742</v>
      </c>
      <c r="F13" s="60">
        <v>800</v>
      </c>
      <c r="G13" s="69">
        <v>4</v>
      </c>
      <c r="H13" s="69" t="s">
        <v>172</v>
      </c>
      <c r="I13" s="69" t="s">
        <v>500</v>
      </c>
      <c r="J13" s="58">
        <v>45568</v>
      </c>
      <c r="K13" s="108"/>
      <c r="L13" s="118"/>
      <c r="M13" s="66"/>
      <c r="N13" s="389" t="s">
        <v>1814</v>
      </c>
      <c r="O13" s="60"/>
      <c r="P13" s="60"/>
      <c r="Q13" s="60">
        <v>800</v>
      </c>
      <c r="R13" s="225" t="s">
        <v>387</v>
      </c>
      <c r="S13" s="100">
        <v>77400</v>
      </c>
      <c r="T13" s="65">
        <f t="shared" si="2"/>
        <v>61920</v>
      </c>
    </row>
    <row r="14" spans="1:20" s="67" customFormat="1" ht="13.5" customHeight="1" x14ac:dyDescent="0.25">
      <c r="A14" s="69" t="s">
        <v>1066</v>
      </c>
      <c r="B14" s="60" t="s">
        <v>1765</v>
      </c>
      <c r="C14" s="60" t="s">
        <v>165</v>
      </c>
      <c r="D14" s="98" t="s">
        <v>897</v>
      </c>
      <c r="E14" s="296" t="s">
        <v>1766</v>
      </c>
      <c r="F14" s="60">
        <v>1000</v>
      </c>
      <c r="G14" s="69">
        <v>5</v>
      </c>
      <c r="H14" s="69" t="s">
        <v>172</v>
      </c>
      <c r="I14" s="69" t="s">
        <v>500</v>
      </c>
      <c r="J14" s="58">
        <v>45568</v>
      </c>
      <c r="K14" s="108"/>
      <c r="L14" s="118"/>
      <c r="M14" s="66"/>
      <c r="N14" s="389" t="s">
        <v>1814</v>
      </c>
      <c r="O14" s="60"/>
      <c r="P14" s="60"/>
      <c r="Q14" s="60">
        <v>1000</v>
      </c>
      <c r="R14" s="225" t="s">
        <v>387</v>
      </c>
      <c r="S14" s="100">
        <v>77400</v>
      </c>
      <c r="T14" s="65">
        <f t="shared" si="2"/>
        <v>77400</v>
      </c>
    </row>
    <row r="15" spans="1:20" s="67" customFormat="1" ht="13.5" customHeight="1" x14ac:dyDescent="0.25">
      <c r="A15" s="69" t="s">
        <v>1066</v>
      </c>
      <c r="B15" s="60" t="s">
        <v>1765</v>
      </c>
      <c r="C15" s="60" t="s">
        <v>165</v>
      </c>
      <c r="D15" s="98" t="s">
        <v>897</v>
      </c>
      <c r="E15" s="296" t="s">
        <v>1767</v>
      </c>
      <c r="F15" s="60">
        <v>200</v>
      </c>
      <c r="G15" s="69">
        <v>1</v>
      </c>
      <c r="H15" s="69" t="s">
        <v>172</v>
      </c>
      <c r="I15" s="69" t="s">
        <v>500</v>
      </c>
      <c r="J15" s="58">
        <v>45568</v>
      </c>
      <c r="K15" s="108"/>
      <c r="L15" s="118"/>
      <c r="M15" s="66"/>
      <c r="N15" s="389" t="s">
        <v>1814</v>
      </c>
      <c r="O15" s="60"/>
      <c r="P15" s="60"/>
      <c r="Q15" s="60">
        <v>200</v>
      </c>
      <c r="R15" s="225" t="s">
        <v>387</v>
      </c>
      <c r="S15" s="100">
        <v>77400</v>
      </c>
      <c r="T15" s="65">
        <f t="shared" si="2"/>
        <v>15480</v>
      </c>
    </row>
    <row r="16" spans="1:20" s="67" customFormat="1" ht="13.5" customHeight="1" x14ac:dyDescent="0.25">
      <c r="A16" s="69" t="s">
        <v>1066</v>
      </c>
      <c r="B16" s="60" t="s">
        <v>1765</v>
      </c>
      <c r="C16" s="60" t="s">
        <v>165</v>
      </c>
      <c r="D16" s="11" t="s">
        <v>1069</v>
      </c>
      <c r="E16" s="296" t="s">
        <v>1768</v>
      </c>
      <c r="F16" s="60">
        <v>7000</v>
      </c>
      <c r="G16" s="69">
        <v>40</v>
      </c>
      <c r="H16" s="69" t="s">
        <v>172</v>
      </c>
      <c r="I16" s="69" t="s">
        <v>500</v>
      </c>
      <c r="J16" s="58">
        <v>45568</v>
      </c>
      <c r="K16" s="108"/>
      <c r="L16" s="118"/>
      <c r="M16" s="66"/>
      <c r="N16" s="389" t="s">
        <v>1815</v>
      </c>
      <c r="O16" s="60"/>
      <c r="P16" s="60"/>
      <c r="Q16" s="60">
        <v>7000</v>
      </c>
      <c r="R16" s="225" t="s">
        <v>387</v>
      </c>
      <c r="S16" s="100">
        <v>250000</v>
      </c>
      <c r="T16" s="65">
        <f t="shared" si="2"/>
        <v>1750000</v>
      </c>
    </row>
    <row r="17" spans="1:20" s="67" customFormat="1" ht="13.5" customHeight="1" x14ac:dyDescent="0.25">
      <c r="A17" s="69" t="s">
        <v>1066</v>
      </c>
      <c r="B17" s="60" t="s">
        <v>1765</v>
      </c>
      <c r="C17" s="60" t="s">
        <v>165</v>
      </c>
      <c r="D17" s="11" t="s">
        <v>1069</v>
      </c>
      <c r="E17" s="296" t="s">
        <v>1769</v>
      </c>
      <c r="F17" s="60">
        <v>7000</v>
      </c>
      <c r="G17" s="69">
        <v>40</v>
      </c>
      <c r="H17" s="69" t="s">
        <v>172</v>
      </c>
      <c r="I17" s="69" t="s">
        <v>500</v>
      </c>
      <c r="J17" s="58">
        <v>45568</v>
      </c>
      <c r="K17" s="108"/>
      <c r="L17" s="118"/>
      <c r="M17" s="66"/>
      <c r="N17" s="389" t="s">
        <v>1815</v>
      </c>
      <c r="O17" s="60"/>
      <c r="P17" s="60"/>
      <c r="Q17" s="60">
        <v>7000</v>
      </c>
      <c r="R17" s="225" t="s">
        <v>387</v>
      </c>
      <c r="S17" s="100">
        <v>250000</v>
      </c>
      <c r="T17" s="65">
        <f t="shared" si="2"/>
        <v>1750000</v>
      </c>
    </row>
    <row r="18" spans="1:20" s="67" customFormat="1" ht="13.5" customHeight="1" x14ac:dyDescent="0.25">
      <c r="A18" s="69" t="s">
        <v>779</v>
      </c>
      <c r="B18" s="60" t="s">
        <v>216</v>
      </c>
      <c r="C18" s="97" t="s">
        <v>1323</v>
      </c>
      <c r="D18" s="98" t="s">
        <v>287</v>
      </c>
      <c r="E18" s="59" t="s">
        <v>955</v>
      </c>
      <c r="F18" s="97">
        <v>13000</v>
      </c>
      <c r="G18" s="69">
        <v>520</v>
      </c>
      <c r="H18" s="69" t="s">
        <v>382</v>
      </c>
      <c r="I18" s="69" t="s">
        <v>500</v>
      </c>
      <c r="J18" s="58">
        <v>45569</v>
      </c>
      <c r="K18" s="105" t="s">
        <v>1800</v>
      </c>
      <c r="L18" s="123">
        <v>89021984502</v>
      </c>
      <c r="M18" s="105" t="s">
        <v>1801</v>
      </c>
      <c r="N18" s="339"/>
      <c r="O18" s="97">
        <v>13000</v>
      </c>
      <c r="P18" s="60"/>
      <c r="Q18" s="60"/>
      <c r="R18" s="56" t="s">
        <v>387</v>
      </c>
      <c r="S18" s="100">
        <v>43500</v>
      </c>
      <c r="T18" s="65">
        <f xml:space="preserve"> S18*(F18/1000)</f>
        <v>565500</v>
      </c>
    </row>
    <row r="19" spans="1:20" s="67" customFormat="1" ht="13.5" customHeight="1" x14ac:dyDescent="0.25">
      <c r="A19" s="69" t="s">
        <v>779</v>
      </c>
      <c r="B19" s="60" t="s">
        <v>216</v>
      </c>
      <c r="C19" s="97" t="s">
        <v>1323</v>
      </c>
      <c r="D19" s="98" t="s">
        <v>204</v>
      </c>
      <c r="E19" s="59" t="s">
        <v>1004</v>
      </c>
      <c r="F19" s="97">
        <v>6400</v>
      </c>
      <c r="G19" s="69">
        <v>32</v>
      </c>
      <c r="H19" s="69" t="s">
        <v>382</v>
      </c>
      <c r="I19" s="69" t="s">
        <v>500</v>
      </c>
      <c r="J19" s="58">
        <v>45569</v>
      </c>
      <c r="K19" s="105" t="s">
        <v>1800</v>
      </c>
      <c r="L19" s="123">
        <v>89021984502</v>
      </c>
      <c r="M19" s="105" t="s">
        <v>1801</v>
      </c>
      <c r="N19" s="339"/>
      <c r="O19" s="97"/>
      <c r="P19" s="60"/>
      <c r="Q19" s="60">
        <v>6400</v>
      </c>
      <c r="R19" s="56" t="s">
        <v>387</v>
      </c>
      <c r="S19" s="100">
        <v>105000</v>
      </c>
      <c r="T19" s="65">
        <f t="shared" si="1"/>
        <v>672000</v>
      </c>
    </row>
    <row r="20" spans="1:20" s="67" customFormat="1" ht="13.5" customHeight="1" x14ac:dyDescent="0.25">
      <c r="A20" s="69" t="s">
        <v>1275</v>
      </c>
      <c r="B20" s="97" t="s">
        <v>1822</v>
      </c>
      <c r="C20" s="97" t="s">
        <v>401</v>
      </c>
      <c r="D20" s="98" t="s">
        <v>286</v>
      </c>
      <c r="E20" s="59" t="s">
        <v>1804</v>
      </c>
      <c r="F20" s="97">
        <v>20000</v>
      </c>
      <c r="G20" s="69">
        <v>800</v>
      </c>
      <c r="H20" s="69" t="s">
        <v>1619</v>
      </c>
      <c r="I20" s="69" t="s">
        <v>500</v>
      </c>
      <c r="J20" s="58">
        <v>45569</v>
      </c>
      <c r="K20" s="105" t="s">
        <v>1852</v>
      </c>
      <c r="L20" s="123" t="s">
        <v>1805</v>
      </c>
      <c r="M20" s="105" t="s">
        <v>1806</v>
      </c>
      <c r="N20" s="339"/>
      <c r="O20" s="97"/>
      <c r="P20" s="60">
        <v>20000</v>
      </c>
      <c r="Q20" s="60"/>
      <c r="R20" s="56" t="s">
        <v>387</v>
      </c>
      <c r="S20" s="100">
        <v>250000</v>
      </c>
      <c r="T20" s="65">
        <f t="shared" si="1"/>
        <v>5000000</v>
      </c>
    </row>
    <row r="21" spans="1:20" s="67" customFormat="1" ht="13.5" customHeight="1" x14ac:dyDescent="0.25">
      <c r="A21" s="69" t="s">
        <v>748</v>
      </c>
      <c r="B21" s="60" t="s">
        <v>1777</v>
      </c>
      <c r="C21" s="60" t="s">
        <v>165</v>
      </c>
      <c r="D21" s="11" t="s">
        <v>1097</v>
      </c>
      <c r="E21" s="296" t="s">
        <v>1720</v>
      </c>
      <c r="F21" s="60">
        <v>20000</v>
      </c>
      <c r="G21" s="69">
        <v>800</v>
      </c>
      <c r="H21" s="69" t="s">
        <v>169</v>
      </c>
      <c r="I21" s="69" t="s">
        <v>500</v>
      </c>
      <c r="J21" s="58">
        <v>45572</v>
      </c>
      <c r="K21" s="108" t="s">
        <v>1816</v>
      </c>
      <c r="L21" s="118">
        <v>79829883775</v>
      </c>
      <c r="M21" s="66" t="s">
        <v>1817</v>
      </c>
      <c r="N21" s="399"/>
      <c r="O21" s="60">
        <v>20000</v>
      </c>
      <c r="P21" s="60"/>
      <c r="Q21" s="60"/>
      <c r="R21" s="225" t="s">
        <v>387</v>
      </c>
      <c r="S21" s="100">
        <v>48500</v>
      </c>
      <c r="T21" s="65">
        <f xml:space="preserve"> S21*(F21/1000)</f>
        <v>970000</v>
      </c>
    </row>
    <row r="22" spans="1:20" s="67" customFormat="1" ht="13.5" customHeight="1" x14ac:dyDescent="0.25">
      <c r="A22" s="69" t="s">
        <v>748</v>
      </c>
      <c r="B22" s="60" t="s">
        <v>1777</v>
      </c>
      <c r="C22" s="60" t="s">
        <v>165</v>
      </c>
      <c r="D22" s="11" t="s">
        <v>1097</v>
      </c>
      <c r="E22" s="296" t="s">
        <v>1776</v>
      </c>
      <c r="F22" s="60">
        <v>20000</v>
      </c>
      <c r="G22" s="69">
        <v>800</v>
      </c>
      <c r="H22" s="69" t="s">
        <v>169</v>
      </c>
      <c r="I22" s="69" t="s">
        <v>500</v>
      </c>
      <c r="J22" s="58">
        <v>45572</v>
      </c>
      <c r="K22" s="108" t="s">
        <v>1819</v>
      </c>
      <c r="L22" s="118" t="s">
        <v>1820</v>
      </c>
      <c r="M22" s="66" t="s">
        <v>1818</v>
      </c>
      <c r="N22" s="423"/>
      <c r="O22" s="60">
        <v>20000</v>
      </c>
      <c r="P22" s="60"/>
      <c r="Q22" s="60"/>
      <c r="R22" s="225" t="s">
        <v>387</v>
      </c>
      <c r="S22" s="100">
        <v>48500</v>
      </c>
      <c r="T22" s="65">
        <f xml:space="preserve"> S22*(F22/1000)</f>
        <v>970000</v>
      </c>
    </row>
    <row r="23" spans="1:20" s="67" customFormat="1" ht="13.5" customHeight="1" x14ac:dyDescent="0.25">
      <c r="A23" s="69" t="s">
        <v>224</v>
      </c>
      <c r="B23" s="97" t="s">
        <v>774</v>
      </c>
      <c r="C23" s="60" t="s">
        <v>171</v>
      </c>
      <c r="D23" s="98" t="s">
        <v>286</v>
      </c>
      <c r="E23" s="59" t="s">
        <v>1807</v>
      </c>
      <c r="F23" s="97">
        <v>20000</v>
      </c>
      <c r="G23" s="69">
        <v>800</v>
      </c>
      <c r="H23" s="69" t="s">
        <v>1243</v>
      </c>
      <c r="I23" s="69" t="s">
        <v>500</v>
      </c>
      <c r="J23" s="58">
        <v>45574</v>
      </c>
      <c r="K23" s="105" t="s">
        <v>1829</v>
      </c>
      <c r="L23" s="123">
        <v>79991688231</v>
      </c>
      <c r="M23" s="105" t="s">
        <v>1891</v>
      </c>
      <c r="N23" s="339"/>
      <c r="O23" s="97"/>
      <c r="P23" s="60">
        <v>20000</v>
      </c>
      <c r="Q23" s="60"/>
      <c r="R23" s="56" t="s">
        <v>387</v>
      </c>
      <c r="S23" s="100">
        <v>245000</v>
      </c>
      <c r="T23" s="65">
        <f t="shared" si="1"/>
        <v>4900000</v>
      </c>
    </row>
    <row r="24" spans="1:20" s="67" customFormat="1" ht="13.5" customHeight="1" x14ac:dyDescent="0.25">
      <c r="A24" s="69" t="s">
        <v>1365</v>
      </c>
      <c r="B24" s="60" t="s">
        <v>1808</v>
      </c>
      <c r="C24" s="60" t="s">
        <v>1427</v>
      </c>
      <c r="D24" s="98" t="s">
        <v>1190</v>
      </c>
      <c r="E24" s="59" t="s">
        <v>1809</v>
      </c>
      <c r="F24" s="97">
        <v>12000</v>
      </c>
      <c r="G24" s="69">
        <v>60</v>
      </c>
      <c r="H24" s="69" t="s">
        <v>655</v>
      </c>
      <c r="I24" s="69" t="s">
        <v>500</v>
      </c>
      <c r="J24" s="58">
        <v>45574</v>
      </c>
      <c r="K24" s="105" t="s">
        <v>1824</v>
      </c>
      <c r="L24" s="123" t="s">
        <v>1825</v>
      </c>
      <c r="M24" s="105" t="s">
        <v>1826</v>
      </c>
      <c r="N24" s="339"/>
      <c r="O24" s="97"/>
      <c r="P24" s="60"/>
      <c r="Q24" s="60">
        <v>12000</v>
      </c>
      <c r="R24" s="56" t="s">
        <v>387</v>
      </c>
      <c r="S24" s="100">
        <v>123000</v>
      </c>
      <c r="T24" s="65">
        <f t="shared" si="1"/>
        <v>1476000</v>
      </c>
    </row>
    <row r="25" spans="1:20" s="67" customFormat="1" ht="13.5" customHeight="1" x14ac:dyDescent="0.25">
      <c r="A25" s="69" t="s">
        <v>1365</v>
      </c>
      <c r="B25" s="60" t="s">
        <v>1808</v>
      </c>
      <c r="C25" s="60" t="s">
        <v>1427</v>
      </c>
      <c r="D25" s="98" t="s">
        <v>298</v>
      </c>
      <c r="E25" s="59" t="s">
        <v>1811</v>
      </c>
      <c r="F25" s="97">
        <v>2160</v>
      </c>
      <c r="G25" s="69">
        <v>120</v>
      </c>
      <c r="H25" s="69" t="s">
        <v>655</v>
      </c>
      <c r="I25" s="69" t="s">
        <v>500</v>
      </c>
      <c r="J25" s="58">
        <v>45574</v>
      </c>
      <c r="K25" s="105" t="s">
        <v>1824</v>
      </c>
      <c r="L25" s="123" t="s">
        <v>1825</v>
      </c>
      <c r="M25" s="105" t="s">
        <v>1826</v>
      </c>
      <c r="N25" s="339"/>
      <c r="O25" s="97"/>
      <c r="P25" s="60">
        <v>2160</v>
      </c>
      <c r="Q25" s="60"/>
      <c r="R25" s="56" t="s">
        <v>387</v>
      </c>
      <c r="S25" s="100">
        <v>210000</v>
      </c>
      <c r="T25" s="65">
        <f t="shared" si="1"/>
        <v>453600.00000000006</v>
      </c>
    </row>
    <row r="26" spans="1:20" s="67" customFormat="1" x14ac:dyDescent="0.25">
      <c r="A26" s="69" t="s">
        <v>1365</v>
      </c>
      <c r="B26" s="60" t="s">
        <v>1808</v>
      </c>
      <c r="C26" s="60" t="s">
        <v>1427</v>
      </c>
      <c r="D26" s="98" t="s">
        <v>178</v>
      </c>
      <c r="E26" s="59" t="s">
        <v>1810</v>
      </c>
      <c r="F26" s="97">
        <v>3200</v>
      </c>
      <c r="G26" s="69">
        <v>16</v>
      </c>
      <c r="H26" s="69" t="s">
        <v>655</v>
      </c>
      <c r="I26" s="69" t="s">
        <v>500</v>
      </c>
      <c r="J26" s="58">
        <v>45574</v>
      </c>
      <c r="K26" s="105" t="s">
        <v>1824</v>
      </c>
      <c r="L26" s="123" t="s">
        <v>1825</v>
      </c>
      <c r="M26" s="105" t="s">
        <v>1826</v>
      </c>
      <c r="N26" s="339"/>
      <c r="O26" s="97"/>
      <c r="P26" s="60"/>
      <c r="Q26" s="60">
        <v>3200</v>
      </c>
      <c r="R26" s="56" t="s">
        <v>387</v>
      </c>
      <c r="S26" s="100">
        <v>165000</v>
      </c>
      <c r="T26" s="65">
        <f t="shared" si="1"/>
        <v>528000</v>
      </c>
    </row>
    <row r="27" spans="1:20" s="67" customFormat="1" ht="13.5" customHeight="1" x14ac:dyDescent="0.25">
      <c r="A27" s="69" t="s">
        <v>1365</v>
      </c>
      <c r="B27" s="97" t="s">
        <v>1845</v>
      </c>
      <c r="C27" s="97" t="s">
        <v>401</v>
      </c>
      <c r="D27" s="98" t="s">
        <v>286</v>
      </c>
      <c r="E27" s="59" t="s">
        <v>1823</v>
      </c>
      <c r="F27" s="97">
        <v>20000</v>
      </c>
      <c r="G27" s="69">
        <v>800</v>
      </c>
      <c r="H27" s="69" t="s">
        <v>1619</v>
      </c>
      <c r="I27" s="69" t="s">
        <v>500</v>
      </c>
      <c r="J27" s="58">
        <v>45576</v>
      </c>
      <c r="K27" s="105" t="s">
        <v>1827</v>
      </c>
      <c r="L27" s="123">
        <v>89058150959</v>
      </c>
      <c r="M27" s="105" t="s">
        <v>1828</v>
      </c>
      <c r="N27" s="339"/>
      <c r="O27" s="97"/>
      <c r="P27" s="60">
        <v>20000</v>
      </c>
      <c r="Q27" s="60"/>
      <c r="R27" s="56" t="s">
        <v>387</v>
      </c>
      <c r="S27" s="100">
        <v>250000</v>
      </c>
      <c r="T27" s="65">
        <f t="shared" ref="T27" si="3" xml:space="preserve"> S27*(F27/1000)</f>
        <v>5000000</v>
      </c>
    </row>
    <row r="28" spans="1:20" s="67" customFormat="1" ht="13.5" customHeight="1" x14ac:dyDescent="0.25">
      <c r="A28" s="69" t="s">
        <v>1364</v>
      </c>
      <c r="B28" s="60" t="s">
        <v>1840</v>
      </c>
      <c r="C28" s="60" t="s">
        <v>165</v>
      </c>
      <c r="D28" s="11" t="s">
        <v>1097</v>
      </c>
      <c r="E28" s="296" t="s">
        <v>1770</v>
      </c>
      <c r="F28" s="60">
        <f>G28*25</f>
        <v>17500</v>
      </c>
      <c r="G28" s="69">
        <v>700</v>
      </c>
      <c r="H28" s="69" t="s">
        <v>1375</v>
      </c>
      <c r="I28" s="69" t="s">
        <v>500</v>
      </c>
      <c r="J28" s="58">
        <v>45576</v>
      </c>
      <c r="K28" s="108" t="s">
        <v>1851</v>
      </c>
      <c r="L28" s="117" t="s">
        <v>1832</v>
      </c>
      <c r="M28" s="66" t="s">
        <v>1833</v>
      </c>
      <c r="N28" s="424"/>
      <c r="O28" s="60">
        <v>17500</v>
      </c>
      <c r="P28" s="60"/>
      <c r="Q28" s="60"/>
      <c r="R28" s="225" t="s">
        <v>387</v>
      </c>
      <c r="S28" s="100">
        <v>48500</v>
      </c>
      <c r="T28" s="65">
        <f xml:space="preserve"> S28*(F28/1000)</f>
        <v>848750</v>
      </c>
    </row>
    <row r="29" spans="1:20" s="67" customFormat="1" ht="13.5" customHeight="1" x14ac:dyDescent="0.25">
      <c r="A29" s="69" t="s">
        <v>1364</v>
      </c>
      <c r="B29" s="60" t="s">
        <v>1840</v>
      </c>
      <c r="C29" s="60" t="s">
        <v>165</v>
      </c>
      <c r="D29" s="11" t="s">
        <v>1097</v>
      </c>
      <c r="E29" s="296" t="s">
        <v>1823</v>
      </c>
      <c r="F29" s="60">
        <f t="shared" ref="F29" si="4">G29*25</f>
        <v>2625</v>
      </c>
      <c r="G29" s="69">
        <v>105</v>
      </c>
      <c r="H29" s="69" t="s">
        <v>1375</v>
      </c>
      <c r="I29" s="69" t="s">
        <v>500</v>
      </c>
      <c r="J29" s="58">
        <v>45576</v>
      </c>
      <c r="K29" s="108" t="s">
        <v>1831</v>
      </c>
      <c r="L29" s="117" t="s">
        <v>1832</v>
      </c>
      <c r="M29" s="66" t="s">
        <v>1833</v>
      </c>
      <c r="N29" s="424"/>
      <c r="O29" s="60">
        <v>2625</v>
      </c>
      <c r="P29" s="60"/>
      <c r="Q29" s="60"/>
      <c r="R29" s="225" t="s">
        <v>387</v>
      </c>
      <c r="S29" s="100">
        <v>48500</v>
      </c>
      <c r="T29" s="65">
        <f xml:space="preserve"> S29*(F29/1000)</f>
        <v>127312.5</v>
      </c>
    </row>
    <row r="30" spans="1:20" s="67" customFormat="1" ht="13.5" customHeight="1" x14ac:dyDescent="0.25">
      <c r="A30" s="69" t="s">
        <v>1365</v>
      </c>
      <c r="B30" s="97" t="s">
        <v>1846</v>
      </c>
      <c r="C30" s="97" t="s">
        <v>401</v>
      </c>
      <c r="D30" s="98" t="s">
        <v>286</v>
      </c>
      <c r="E30" s="59" t="s">
        <v>1830</v>
      </c>
      <c r="F30" s="97">
        <v>20000</v>
      </c>
      <c r="G30" s="69">
        <v>800</v>
      </c>
      <c r="H30" s="69" t="s">
        <v>1619</v>
      </c>
      <c r="I30" s="69" t="s">
        <v>500</v>
      </c>
      <c r="J30" s="58">
        <v>45580</v>
      </c>
      <c r="K30" s="105" t="s">
        <v>1838</v>
      </c>
      <c r="L30" s="123" t="s">
        <v>1839</v>
      </c>
      <c r="M30" s="105" t="s">
        <v>1837</v>
      </c>
      <c r="N30" s="339"/>
      <c r="O30" s="97"/>
      <c r="P30" s="97">
        <v>20000</v>
      </c>
      <c r="Q30" s="60"/>
      <c r="R30" s="56" t="s">
        <v>387</v>
      </c>
      <c r="S30" s="100">
        <v>250000</v>
      </c>
      <c r="T30" s="65">
        <f t="shared" ref="T30:T35" si="5" xml:space="preserve"> S30*(F30/1000)</f>
        <v>5000000</v>
      </c>
    </row>
    <row r="31" spans="1:20" s="67" customFormat="1" ht="13.5" customHeight="1" x14ac:dyDescent="0.25">
      <c r="A31" s="69" t="s">
        <v>1066</v>
      </c>
      <c r="B31" s="60" t="s">
        <v>1821</v>
      </c>
      <c r="C31" s="60" t="s">
        <v>165</v>
      </c>
      <c r="D31" s="11" t="s">
        <v>1097</v>
      </c>
      <c r="E31" s="296" t="s">
        <v>1823</v>
      </c>
      <c r="F31" s="60">
        <f>G31*25</f>
        <v>17500</v>
      </c>
      <c r="G31" s="69">
        <v>700</v>
      </c>
      <c r="H31" s="69" t="s">
        <v>681</v>
      </c>
      <c r="I31" s="69" t="s">
        <v>500</v>
      </c>
      <c r="J31" s="58">
        <v>45580</v>
      </c>
      <c r="K31" s="108"/>
      <c r="L31" s="117"/>
      <c r="M31" s="66" t="s">
        <v>1874</v>
      </c>
      <c r="N31" s="389" t="s">
        <v>1873</v>
      </c>
      <c r="O31" s="60">
        <v>17500</v>
      </c>
      <c r="P31" s="60"/>
      <c r="Q31" s="60"/>
      <c r="R31" s="225" t="s">
        <v>387</v>
      </c>
      <c r="S31" s="100">
        <v>48500</v>
      </c>
      <c r="T31" s="65">
        <f t="shared" si="5"/>
        <v>848750</v>
      </c>
    </row>
    <row r="32" spans="1:20" s="67" customFormat="1" ht="13.5" customHeight="1" x14ac:dyDescent="0.25">
      <c r="A32" s="69" t="s">
        <v>1849</v>
      </c>
      <c r="B32" s="97" t="s">
        <v>1847</v>
      </c>
      <c r="C32" s="97" t="s">
        <v>401</v>
      </c>
      <c r="D32" s="98" t="s">
        <v>286</v>
      </c>
      <c r="E32" s="59" t="s">
        <v>1844</v>
      </c>
      <c r="F32" s="97">
        <v>20000</v>
      </c>
      <c r="G32" s="69">
        <v>800</v>
      </c>
      <c r="H32" s="69" t="s">
        <v>1619</v>
      </c>
      <c r="I32" s="69" t="s">
        <v>500</v>
      </c>
      <c r="J32" s="58">
        <v>45581</v>
      </c>
      <c r="K32" s="105" t="s">
        <v>1853</v>
      </c>
      <c r="L32" s="123">
        <v>89021984502</v>
      </c>
      <c r="M32" s="105" t="s">
        <v>778</v>
      </c>
      <c r="N32" s="339"/>
      <c r="O32" s="97"/>
      <c r="P32" s="97">
        <v>20000</v>
      </c>
      <c r="Q32" s="60"/>
      <c r="R32" s="56" t="s">
        <v>387</v>
      </c>
      <c r="S32" s="100">
        <v>250000</v>
      </c>
      <c r="T32" s="65">
        <f t="shared" si="5"/>
        <v>5000000</v>
      </c>
    </row>
    <row r="33" spans="1:20" s="67" customFormat="1" x14ac:dyDescent="0.25">
      <c r="A33" s="69" t="s">
        <v>1864</v>
      </c>
      <c r="B33" s="60" t="s">
        <v>1862</v>
      </c>
      <c r="C33" s="60" t="s">
        <v>165</v>
      </c>
      <c r="D33" s="11" t="s">
        <v>1705</v>
      </c>
      <c r="E33" s="59" t="s">
        <v>1701</v>
      </c>
      <c r="F33" s="60">
        <f>G33*950</f>
        <v>15200</v>
      </c>
      <c r="G33" s="69">
        <v>16</v>
      </c>
      <c r="H33" s="69" t="s">
        <v>1120</v>
      </c>
      <c r="I33" s="69" t="s">
        <v>500</v>
      </c>
      <c r="J33" s="58">
        <v>45581</v>
      </c>
      <c r="K33" s="108" t="s">
        <v>1866</v>
      </c>
      <c r="L33" s="117">
        <v>89009148991</v>
      </c>
      <c r="M33" s="66" t="s">
        <v>1865</v>
      </c>
      <c r="N33" s="399"/>
      <c r="O33" s="60"/>
      <c r="P33" s="60"/>
      <c r="Q33" s="60">
        <v>15200</v>
      </c>
      <c r="R33" s="56" t="s">
        <v>387</v>
      </c>
      <c r="S33" s="100">
        <v>713900</v>
      </c>
      <c r="T33" s="65">
        <f xml:space="preserve"> S33*(F33/1000)</f>
        <v>10851280</v>
      </c>
    </row>
    <row r="34" spans="1:20" s="67" customFormat="1" x14ac:dyDescent="0.25">
      <c r="A34" s="69" t="s">
        <v>1864</v>
      </c>
      <c r="B34" s="60" t="s">
        <v>1862</v>
      </c>
      <c r="C34" s="60" t="s">
        <v>165</v>
      </c>
      <c r="D34" s="11" t="s">
        <v>1705</v>
      </c>
      <c r="E34" s="59" t="s">
        <v>1867</v>
      </c>
      <c r="F34" s="60">
        <f>G34*950</f>
        <v>1900</v>
      </c>
      <c r="G34" s="69">
        <v>2</v>
      </c>
      <c r="H34" s="69" t="s">
        <v>1120</v>
      </c>
      <c r="I34" s="69" t="s">
        <v>500</v>
      </c>
      <c r="J34" s="58">
        <v>45581</v>
      </c>
      <c r="K34" s="108" t="s">
        <v>1866</v>
      </c>
      <c r="L34" s="117">
        <v>89009148991</v>
      </c>
      <c r="M34" s="66" t="s">
        <v>1865</v>
      </c>
      <c r="N34" s="399"/>
      <c r="O34" s="60"/>
      <c r="P34" s="60"/>
      <c r="Q34" s="60">
        <v>1900</v>
      </c>
      <c r="R34" s="56" t="s">
        <v>387</v>
      </c>
      <c r="S34" s="100">
        <v>713900</v>
      </c>
      <c r="T34" s="65">
        <f t="shared" si="5"/>
        <v>1356410</v>
      </c>
    </row>
    <row r="35" spans="1:20" s="67" customFormat="1" x14ac:dyDescent="0.25">
      <c r="A35" s="69" t="s">
        <v>1864</v>
      </c>
      <c r="B35" s="60" t="s">
        <v>1862</v>
      </c>
      <c r="C35" s="60" t="s">
        <v>165</v>
      </c>
      <c r="D35" s="11" t="s">
        <v>1705</v>
      </c>
      <c r="E35" s="59" t="s">
        <v>1863</v>
      </c>
      <c r="F35" s="60">
        <f>G35*950</f>
        <v>1900</v>
      </c>
      <c r="G35" s="69">
        <v>2</v>
      </c>
      <c r="H35" s="69" t="s">
        <v>1120</v>
      </c>
      <c r="I35" s="69" t="s">
        <v>500</v>
      </c>
      <c r="J35" s="58">
        <v>45581</v>
      </c>
      <c r="K35" s="108" t="s">
        <v>1866</v>
      </c>
      <c r="L35" s="117">
        <v>89009148991</v>
      </c>
      <c r="M35" s="66" t="s">
        <v>1865</v>
      </c>
      <c r="N35" s="399"/>
      <c r="O35" s="60"/>
      <c r="P35" s="60"/>
      <c r="Q35" s="60">
        <v>1900</v>
      </c>
      <c r="R35" s="56" t="s">
        <v>387</v>
      </c>
      <c r="S35" s="100">
        <v>713900</v>
      </c>
      <c r="T35" s="65">
        <f t="shared" si="5"/>
        <v>1356410</v>
      </c>
    </row>
    <row r="36" spans="1:20" s="67" customFormat="1" x14ac:dyDescent="0.25">
      <c r="A36" s="69" t="s">
        <v>166</v>
      </c>
      <c r="B36" s="60" t="s">
        <v>1878</v>
      </c>
      <c r="C36" s="60" t="s">
        <v>165</v>
      </c>
      <c r="D36" s="11" t="s">
        <v>1705</v>
      </c>
      <c r="E36" s="59" t="s">
        <v>1863</v>
      </c>
      <c r="F36" s="60">
        <f>G36*950</f>
        <v>13300</v>
      </c>
      <c r="G36" s="69">
        <v>14</v>
      </c>
      <c r="H36" s="69" t="s">
        <v>1120</v>
      </c>
      <c r="I36" s="69" t="s">
        <v>500</v>
      </c>
      <c r="J36" s="58">
        <v>45582</v>
      </c>
      <c r="K36" s="117" t="s">
        <v>635</v>
      </c>
      <c r="L36" s="117">
        <v>89212974613</v>
      </c>
      <c r="M36" s="66" t="s">
        <v>473</v>
      </c>
      <c r="N36" s="399"/>
      <c r="O36" s="60"/>
      <c r="P36" s="60"/>
      <c r="Q36" s="60">
        <v>13300</v>
      </c>
      <c r="R36" s="56" t="s">
        <v>387</v>
      </c>
      <c r="S36" s="100">
        <v>713900</v>
      </c>
      <c r="T36" s="65">
        <f xml:space="preserve"> S36*(F36/1000)</f>
        <v>9494870</v>
      </c>
    </row>
    <row r="37" spans="1:20" s="67" customFormat="1" x14ac:dyDescent="0.25">
      <c r="A37" s="69" t="s">
        <v>166</v>
      </c>
      <c r="B37" s="60" t="s">
        <v>1700</v>
      </c>
      <c r="C37" s="60" t="s">
        <v>165</v>
      </c>
      <c r="D37" s="11" t="s">
        <v>1705</v>
      </c>
      <c r="E37" s="59" t="s">
        <v>1863</v>
      </c>
      <c r="F37" s="60">
        <f>G37*950</f>
        <v>6650</v>
      </c>
      <c r="G37" s="69">
        <v>7</v>
      </c>
      <c r="H37" s="69" t="s">
        <v>1120</v>
      </c>
      <c r="I37" s="69" t="s">
        <v>500</v>
      </c>
      <c r="J37" s="58">
        <v>45582</v>
      </c>
      <c r="K37" s="117" t="s">
        <v>635</v>
      </c>
      <c r="L37" s="117">
        <v>89212974613</v>
      </c>
      <c r="M37" s="66" t="s">
        <v>473</v>
      </c>
      <c r="N37" s="399"/>
      <c r="O37" s="60"/>
      <c r="P37" s="60"/>
      <c r="Q37" s="60">
        <v>6650</v>
      </c>
      <c r="R37" s="56" t="s">
        <v>387</v>
      </c>
      <c r="S37" s="100">
        <v>713900</v>
      </c>
      <c r="T37" s="65">
        <f xml:space="preserve"> S37*(F37/1000)</f>
        <v>4747435</v>
      </c>
    </row>
    <row r="38" spans="1:20" s="67" customFormat="1" ht="13.5" customHeight="1" x14ac:dyDescent="0.25">
      <c r="A38" s="69" t="s">
        <v>1876</v>
      </c>
      <c r="B38" s="60" t="s">
        <v>1850</v>
      </c>
      <c r="C38" s="60" t="s">
        <v>1427</v>
      </c>
      <c r="D38" s="98" t="s">
        <v>1190</v>
      </c>
      <c r="E38" s="59" t="s">
        <v>1809</v>
      </c>
      <c r="F38" s="97">
        <v>13600</v>
      </c>
      <c r="G38" s="69">
        <v>68</v>
      </c>
      <c r="H38" s="69" t="s">
        <v>655</v>
      </c>
      <c r="I38" s="69" t="s">
        <v>500</v>
      </c>
      <c r="J38" s="58">
        <v>45582</v>
      </c>
      <c r="K38" s="105" t="s">
        <v>1859</v>
      </c>
      <c r="L38" s="123">
        <v>89158742477</v>
      </c>
      <c r="M38" s="105" t="s">
        <v>1858</v>
      </c>
      <c r="N38" s="339"/>
      <c r="O38" s="97"/>
      <c r="P38" s="60"/>
      <c r="Q38" s="97">
        <v>13600</v>
      </c>
      <c r="R38" s="56" t="s">
        <v>387</v>
      </c>
      <c r="S38" s="100">
        <v>125500</v>
      </c>
      <c r="T38" s="65">
        <f xml:space="preserve"> S38*(F38/1000)</f>
        <v>1706800</v>
      </c>
    </row>
    <row r="39" spans="1:20" s="67" customFormat="1" ht="13.5" customHeight="1" x14ac:dyDescent="0.25">
      <c r="A39" s="69" t="s">
        <v>1876</v>
      </c>
      <c r="B39" s="60" t="s">
        <v>1813</v>
      </c>
      <c r="C39" s="60" t="s">
        <v>1427</v>
      </c>
      <c r="D39" s="98" t="s">
        <v>178</v>
      </c>
      <c r="E39" s="59" t="s">
        <v>1810</v>
      </c>
      <c r="F39" s="97">
        <v>4000</v>
      </c>
      <c r="G39" s="69">
        <v>20</v>
      </c>
      <c r="H39" s="69" t="s">
        <v>655</v>
      </c>
      <c r="I39" s="69" t="s">
        <v>500</v>
      </c>
      <c r="J39" s="58">
        <v>45582</v>
      </c>
      <c r="K39" s="105" t="s">
        <v>1859</v>
      </c>
      <c r="L39" s="123">
        <v>89158742477</v>
      </c>
      <c r="M39" s="105" t="s">
        <v>1858</v>
      </c>
      <c r="N39" s="339"/>
      <c r="O39" s="97"/>
      <c r="P39" s="60"/>
      <c r="Q39" s="97">
        <v>4000</v>
      </c>
      <c r="R39" s="56" t="s">
        <v>387</v>
      </c>
      <c r="S39" s="100">
        <v>167500</v>
      </c>
      <c r="T39" s="65">
        <f xml:space="preserve"> S39*(F39/1000)</f>
        <v>670000</v>
      </c>
    </row>
    <row r="40" spans="1:20" s="67" customFormat="1" ht="13.5" customHeight="1" x14ac:dyDescent="0.25">
      <c r="A40" s="69" t="s">
        <v>1876</v>
      </c>
      <c r="B40" s="97" t="s">
        <v>1812</v>
      </c>
      <c r="C40" s="325" t="s">
        <v>373</v>
      </c>
      <c r="D40" s="361" t="s">
        <v>287</v>
      </c>
      <c r="E40" s="59" t="s">
        <v>977</v>
      </c>
      <c r="F40" s="97">
        <v>20000</v>
      </c>
      <c r="G40" s="69">
        <v>800</v>
      </c>
      <c r="H40" s="69" t="s">
        <v>382</v>
      </c>
      <c r="I40" s="69" t="s">
        <v>500</v>
      </c>
      <c r="J40" s="58">
        <v>45583</v>
      </c>
      <c r="K40" s="105" t="s">
        <v>1861</v>
      </c>
      <c r="L40" s="123">
        <v>89048812556</v>
      </c>
      <c r="M40" s="105" t="s">
        <v>1860</v>
      </c>
      <c r="N40" s="339"/>
      <c r="O40" s="97">
        <v>20000</v>
      </c>
      <c r="P40" s="60"/>
      <c r="Q40" s="56"/>
      <c r="R40" s="56" t="s">
        <v>387</v>
      </c>
      <c r="S40" s="100">
        <v>43500</v>
      </c>
      <c r="T40" s="65">
        <f t="shared" ref="T40:T42" si="6" xml:space="preserve"> S40*(F40/1000)</f>
        <v>870000</v>
      </c>
    </row>
    <row r="41" spans="1:20" s="67" customFormat="1" ht="13.5" customHeight="1" x14ac:dyDescent="0.25">
      <c r="A41" s="69" t="s">
        <v>1848</v>
      </c>
      <c r="B41" s="60" t="s">
        <v>1841</v>
      </c>
      <c r="C41" s="60" t="s">
        <v>165</v>
      </c>
      <c r="D41" s="11" t="s">
        <v>1097</v>
      </c>
      <c r="E41" s="296" t="s">
        <v>1857</v>
      </c>
      <c r="F41" s="60">
        <f>G41*25</f>
        <v>20125</v>
      </c>
      <c r="G41" s="69">
        <v>805</v>
      </c>
      <c r="H41" s="69" t="s">
        <v>1375</v>
      </c>
      <c r="I41" s="69" t="s">
        <v>500</v>
      </c>
      <c r="J41" s="58">
        <v>45583</v>
      </c>
      <c r="K41" s="108" t="s">
        <v>1116</v>
      </c>
      <c r="L41" s="117">
        <v>89021980813</v>
      </c>
      <c r="M41" s="66" t="s">
        <v>1738</v>
      </c>
      <c r="N41" s="424"/>
      <c r="O41" s="56">
        <v>20125</v>
      </c>
      <c r="P41" s="56"/>
      <c r="Q41" s="56"/>
      <c r="R41" s="225" t="s">
        <v>387</v>
      </c>
      <c r="S41" s="100">
        <v>48500</v>
      </c>
      <c r="T41" s="65">
        <f t="shared" si="6"/>
        <v>976062.5</v>
      </c>
    </row>
    <row r="42" spans="1:20" s="67" customFormat="1" ht="13.5" customHeight="1" x14ac:dyDescent="0.25">
      <c r="A42" s="69" t="s">
        <v>1875</v>
      </c>
      <c r="B42" s="60" t="s">
        <v>1842</v>
      </c>
      <c r="C42" s="60" t="s">
        <v>165</v>
      </c>
      <c r="D42" s="11" t="s">
        <v>1097</v>
      </c>
      <c r="E42" s="296" t="s">
        <v>1868</v>
      </c>
      <c r="F42" s="60">
        <f t="shared" ref="F42" si="7">G42*25</f>
        <v>20125</v>
      </c>
      <c r="G42" s="69">
        <v>805</v>
      </c>
      <c r="H42" s="69" t="s">
        <v>1375</v>
      </c>
      <c r="I42" s="69" t="s">
        <v>500</v>
      </c>
      <c r="J42" s="58">
        <v>45586</v>
      </c>
      <c r="K42" s="108" t="s">
        <v>993</v>
      </c>
      <c r="L42" s="117">
        <v>89600155752</v>
      </c>
      <c r="M42" s="66" t="s">
        <v>504</v>
      </c>
      <c r="N42" s="424"/>
      <c r="O42" s="56">
        <v>20125</v>
      </c>
      <c r="P42" s="56"/>
      <c r="Q42" s="56"/>
      <c r="R42" s="225" t="s">
        <v>387</v>
      </c>
      <c r="S42" s="100">
        <v>48500</v>
      </c>
      <c r="T42" s="65">
        <f t="shared" si="6"/>
        <v>976062.5</v>
      </c>
    </row>
    <row r="43" spans="1:20" s="67" customFormat="1" x14ac:dyDescent="0.25">
      <c r="A43" s="69" t="s">
        <v>166</v>
      </c>
      <c r="B43" s="60" t="s">
        <v>1704</v>
      </c>
      <c r="C43" s="60" t="s">
        <v>165</v>
      </c>
      <c r="D43" s="11" t="s">
        <v>1705</v>
      </c>
      <c r="E43" s="59" t="s">
        <v>1863</v>
      </c>
      <c r="F43" s="60">
        <f>G43*950</f>
        <v>19000</v>
      </c>
      <c r="G43" s="69">
        <v>20</v>
      </c>
      <c r="H43" s="69" t="s">
        <v>1120</v>
      </c>
      <c r="I43" s="69" t="s">
        <v>500</v>
      </c>
      <c r="J43" s="58">
        <v>45587</v>
      </c>
      <c r="K43" s="108" t="s">
        <v>1883</v>
      </c>
      <c r="L43" s="117">
        <v>89116997693</v>
      </c>
      <c r="M43" s="66" t="s">
        <v>1884</v>
      </c>
      <c r="N43" s="399"/>
      <c r="O43" s="56"/>
      <c r="P43" s="56"/>
      <c r="Q43" s="60">
        <v>19000</v>
      </c>
      <c r="R43" s="56" t="s">
        <v>387</v>
      </c>
      <c r="S43" s="100">
        <v>713900</v>
      </c>
      <c r="T43" s="65">
        <f t="shared" ref="T43:T51" si="8" xml:space="preserve"> S43*(F43/1000)</f>
        <v>13564100</v>
      </c>
    </row>
    <row r="44" spans="1:20" s="67" customFormat="1" x14ac:dyDescent="0.25">
      <c r="A44" s="69" t="s">
        <v>166</v>
      </c>
      <c r="B44" s="60" t="s">
        <v>1704</v>
      </c>
      <c r="C44" s="60" t="s">
        <v>165</v>
      </c>
      <c r="D44" s="11" t="s">
        <v>1705</v>
      </c>
      <c r="E44" s="59" t="s">
        <v>1863</v>
      </c>
      <c r="F44" s="60">
        <f>G44*950</f>
        <v>19000</v>
      </c>
      <c r="G44" s="69">
        <v>20</v>
      </c>
      <c r="H44" s="69" t="s">
        <v>1120</v>
      </c>
      <c r="I44" s="69" t="s">
        <v>500</v>
      </c>
      <c r="J44" s="58">
        <v>45587</v>
      </c>
      <c r="K44" s="108" t="s">
        <v>1585</v>
      </c>
      <c r="L44" s="117">
        <v>89539337789</v>
      </c>
      <c r="M44" s="66" t="s">
        <v>1580</v>
      </c>
      <c r="N44" s="399"/>
      <c r="O44" s="56"/>
      <c r="P44" s="56"/>
      <c r="Q44" s="60">
        <v>19000</v>
      </c>
      <c r="R44" s="56" t="s">
        <v>387</v>
      </c>
      <c r="S44" s="100">
        <v>713900</v>
      </c>
      <c r="T44" s="65">
        <f t="shared" si="8"/>
        <v>13564100</v>
      </c>
    </row>
    <row r="45" spans="1:20" s="67" customFormat="1" ht="13.5" customHeight="1" x14ac:dyDescent="0.25">
      <c r="A45" s="69" t="s">
        <v>1066</v>
      </c>
      <c r="B45" s="60" t="s">
        <v>1877</v>
      </c>
      <c r="C45" s="60" t="s">
        <v>165</v>
      </c>
      <c r="D45" s="11" t="s">
        <v>1880</v>
      </c>
      <c r="E45" s="296" t="s">
        <v>1869</v>
      </c>
      <c r="F45" s="60">
        <v>15876</v>
      </c>
      <c r="G45" s="69">
        <v>700</v>
      </c>
      <c r="H45" s="69" t="s">
        <v>187</v>
      </c>
      <c r="I45" s="69" t="s">
        <v>500</v>
      </c>
      <c r="J45" s="58">
        <v>45588</v>
      </c>
      <c r="K45" s="108"/>
      <c r="L45" s="117"/>
      <c r="M45" s="66" t="s">
        <v>1311</v>
      </c>
      <c r="N45" s="424" t="s">
        <v>1889</v>
      </c>
      <c r="O45" s="60">
        <v>15876</v>
      </c>
      <c r="P45" s="56"/>
      <c r="Q45" s="56"/>
      <c r="R45" s="225" t="s">
        <v>387</v>
      </c>
      <c r="S45" s="100">
        <v>48500</v>
      </c>
      <c r="T45" s="65">
        <f t="shared" si="8"/>
        <v>769986</v>
      </c>
    </row>
    <row r="46" spans="1:20" s="67" customFormat="1" ht="13.5" customHeight="1" x14ac:dyDescent="0.25">
      <c r="A46" s="69" t="s">
        <v>1066</v>
      </c>
      <c r="B46" s="60" t="s">
        <v>1877</v>
      </c>
      <c r="C46" s="60" t="s">
        <v>165</v>
      </c>
      <c r="D46" s="11" t="s">
        <v>1097</v>
      </c>
      <c r="E46" s="296" t="s">
        <v>1879</v>
      </c>
      <c r="F46" s="60">
        <v>17500</v>
      </c>
      <c r="G46" s="69">
        <v>700</v>
      </c>
      <c r="H46" s="69" t="s">
        <v>187</v>
      </c>
      <c r="I46" s="69" t="s">
        <v>500</v>
      </c>
      <c r="J46" s="58">
        <v>45588</v>
      </c>
      <c r="K46" s="108"/>
      <c r="L46" s="117"/>
      <c r="M46" s="66" t="s">
        <v>1311</v>
      </c>
      <c r="N46" s="424" t="s">
        <v>1890</v>
      </c>
      <c r="O46" s="60">
        <v>17500</v>
      </c>
      <c r="P46" s="56"/>
      <c r="Q46" s="56"/>
      <c r="R46" s="225" t="s">
        <v>387</v>
      </c>
      <c r="S46" s="100">
        <v>48500</v>
      </c>
      <c r="T46" s="65">
        <f t="shared" si="8"/>
        <v>848750</v>
      </c>
    </row>
    <row r="47" spans="1:20" s="67" customFormat="1" ht="13.5" customHeight="1" x14ac:dyDescent="0.25">
      <c r="A47" s="69" t="s">
        <v>1066</v>
      </c>
      <c r="B47" s="60" t="s">
        <v>1856</v>
      </c>
      <c r="C47" s="60" t="s">
        <v>165</v>
      </c>
      <c r="D47" s="11" t="s">
        <v>1069</v>
      </c>
      <c r="E47" s="296" t="s">
        <v>1868</v>
      </c>
      <c r="F47" s="60">
        <f>G47*175</f>
        <v>7000</v>
      </c>
      <c r="G47" s="69">
        <v>40</v>
      </c>
      <c r="H47" s="69" t="s">
        <v>172</v>
      </c>
      <c r="I47" s="69" t="s">
        <v>500</v>
      </c>
      <c r="J47" s="58">
        <v>45589</v>
      </c>
      <c r="K47" s="108"/>
      <c r="L47" s="118"/>
      <c r="M47" s="105" t="s">
        <v>1899</v>
      </c>
      <c r="N47" s="389" t="s">
        <v>1900</v>
      </c>
      <c r="O47" s="60"/>
      <c r="P47" s="56"/>
      <c r="Q47" s="60">
        <v>7000</v>
      </c>
      <c r="R47" s="225" t="s">
        <v>387</v>
      </c>
      <c r="S47" s="100">
        <v>250000</v>
      </c>
      <c r="T47" s="65">
        <f t="shared" si="8"/>
        <v>1750000</v>
      </c>
    </row>
    <row r="48" spans="1:20" s="67" customFormat="1" ht="13.5" customHeight="1" x14ac:dyDescent="0.25">
      <c r="A48" s="69" t="s">
        <v>1066</v>
      </c>
      <c r="B48" s="60" t="s">
        <v>1856</v>
      </c>
      <c r="C48" s="60" t="s">
        <v>165</v>
      </c>
      <c r="D48" s="11" t="s">
        <v>1069</v>
      </c>
      <c r="E48" s="296" t="s">
        <v>1869</v>
      </c>
      <c r="F48" s="60">
        <f>G48*175</f>
        <v>7000</v>
      </c>
      <c r="G48" s="69">
        <v>40</v>
      </c>
      <c r="H48" s="69" t="s">
        <v>172</v>
      </c>
      <c r="I48" s="69" t="s">
        <v>500</v>
      </c>
      <c r="J48" s="58">
        <v>45589</v>
      </c>
      <c r="K48" s="108"/>
      <c r="L48" s="118"/>
      <c r="M48" s="105" t="s">
        <v>1899</v>
      </c>
      <c r="N48" s="389" t="s">
        <v>1900</v>
      </c>
      <c r="O48" s="60"/>
      <c r="P48" s="56"/>
      <c r="Q48" s="60">
        <v>7000</v>
      </c>
      <c r="R48" s="225" t="s">
        <v>387</v>
      </c>
      <c r="S48" s="100">
        <v>250000</v>
      </c>
      <c r="T48" s="65">
        <f t="shared" si="8"/>
        <v>1750000</v>
      </c>
    </row>
    <row r="49" spans="1:20" s="67" customFormat="1" ht="13.5" customHeight="1" x14ac:dyDescent="0.25">
      <c r="A49" s="69" t="s">
        <v>1066</v>
      </c>
      <c r="B49" s="60" t="s">
        <v>1870</v>
      </c>
      <c r="C49" s="60" t="s">
        <v>165</v>
      </c>
      <c r="D49" s="98" t="s">
        <v>897</v>
      </c>
      <c r="E49" s="296" t="s">
        <v>1734</v>
      </c>
      <c r="F49" s="97">
        <f>G49*200</f>
        <v>3200</v>
      </c>
      <c r="G49" s="69">
        <v>16</v>
      </c>
      <c r="H49" s="69" t="s">
        <v>172</v>
      </c>
      <c r="I49" s="69" t="s">
        <v>500</v>
      </c>
      <c r="J49" s="58">
        <v>45589</v>
      </c>
      <c r="K49" s="105"/>
      <c r="L49" s="123"/>
      <c r="M49" s="105" t="s">
        <v>1899</v>
      </c>
      <c r="N49" s="399" t="s">
        <v>1898</v>
      </c>
      <c r="O49" s="97"/>
      <c r="P49" s="60"/>
      <c r="Q49" s="60">
        <v>3200</v>
      </c>
      <c r="R49" s="225" t="s">
        <v>387</v>
      </c>
      <c r="S49" s="100">
        <v>77400</v>
      </c>
      <c r="T49" s="65">
        <f t="shared" si="8"/>
        <v>247680</v>
      </c>
    </row>
    <row r="50" spans="1:20" s="67" customFormat="1" ht="13.5" customHeight="1" x14ac:dyDescent="0.25">
      <c r="A50" s="69" t="s">
        <v>1066</v>
      </c>
      <c r="B50" s="60" t="s">
        <v>1870</v>
      </c>
      <c r="C50" s="60" t="s">
        <v>165</v>
      </c>
      <c r="D50" s="98" t="s">
        <v>897</v>
      </c>
      <c r="E50" s="296" t="s">
        <v>1742</v>
      </c>
      <c r="F50" s="97">
        <f>G50*200</f>
        <v>6400</v>
      </c>
      <c r="G50" s="69">
        <v>32</v>
      </c>
      <c r="H50" s="69" t="s">
        <v>172</v>
      </c>
      <c r="I50" s="69" t="s">
        <v>500</v>
      </c>
      <c r="J50" s="58">
        <v>45589</v>
      </c>
      <c r="K50" s="105"/>
      <c r="L50" s="123"/>
      <c r="M50" s="105" t="s">
        <v>1899</v>
      </c>
      <c r="N50" s="399" t="s">
        <v>1898</v>
      </c>
      <c r="O50" s="97"/>
      <c r="P50" s="60"/>
      <c r="Q50" s="60">
        <v>6400</v>
      </c>
      <c r="R50" s="225" t="s">
        <v>387</v>
      </c>
      <c r="S50" s="100">
        <v>77400</v>
      </c>
      <c r="T50" s="65">
        <f t="shared" si="8"/>
        <v>495360</v>
      </c>
    </row>
    <row r="51" spans="1:20" s="67" customFormat="1" ht="13.5" customHeight="1" x14ac:dyDescent="0.25">
      <c r="A51" s="69" t="s">
        <v>1066</v>
      </c>
      <c r="B51" s="60" t="s">
        <v>1870</v>
      </c>
      <c r="C51" s="60" t="s">
        <v>165</v>
      </c>
      <c r="D51" s="98" t="s">
        <v>897</v>
      </c>
      <c r="E51" s="296" t="s">
        <v>1767</v>
      </c>
      <c r="F51" s="97">
        <f>G51*200</f>
        <v>6400</v>
      </c>
      <c r="G51" s="69">
        <v>32</v>
      </c>
      <c r="H51" s="69" t="s">
        <v>172</v>
      </c>
      <c r="I51" s="69" t="s">
        <v>500</v>
      </c>
      <c r="J51" s="58">
        <v>45589</v>
      </c>
      <c r="K51" s="105"/>
      <c r="L51" s="123"/>
      <c r="M51" s="105" t="s">
        <v>1899</v>
      </c>
      <c r="N51" s="399" t="s">
        <v>1898</v>
      </c>
      <c r="O51" s="97"/>
      <c r="P51" s="60"/>
      <c r="Q51" s="60">
        <v>6400</v>
      </c>
      <c r="R51" s="225" t="s">
        <v>387</v>
      </c>
      <c r="S51" s="100">
        <v>77400</v>
      </c>
      <c r="T51" s="65">
        <f t="shared" si="8"/>
        <v>495360</v>
      </c>
    </row>
    <row r="52" spans="1:20" s="67" customFormat="1" ht="13.5" customHeight="1" x14ac:dyDescent="0.25">
      <c r="A52" s="69" t="s">
        <v>741</v>
      </c>
      <c r="B52" s="60" t="s">
        <v>1854</v>
      </c>
      <c r="C52" s="60" t="s">
        <v>165</v>
      </c>
      <c r="D52" s="11" t="s">
        <v>1097</v>
      </c>
      <c r="E52" s="296" t="s">
        <v>1888</v>
      </c>
      <c r="F52" s="60">
        <v>20125</v>
      </c>
      <c r="G52" s="69">
        <v>805</v>
      </c>
      <c r="H52" s="69" t="s">
        <v>1375</v>
      </c>
      <c r="I52" s="69" t="s">
        <v>500</v>
      </c>
      <c r="J52" s="58">
        <v>45590</v>
      </c>
      <c r="K52" s="108" t="s">
        <v>1895</v>
      </c>
      <c r="L52" s="117">
        <v>89115713730</v>
      </c>
      <c r="M52" s="66" t="s">
        <v>1894</v>
      </c>
      <c r="N52" s="399"/>
      <c r="O52" s="60">
        <v>20125</v>
      </c>
      <c r="P52" s="56"/>
      <c r="Q52" s="56"/>
      <c r="R52" s="225" t="s">
        <v>387</v>
      </c>
      <c r="S52" s="100">
        <v>48500</v>
      </c>
      <c r="T52" s="65">
        <f t="shared" ref="T52:T65" si="9" xml:space="preserve"> S52*(F52/1000)</f>
        <v>976062.5</v>
      </c>
    </row>
    <row r="53" spans="1:20" s="67" customFormat="1" x14ac:dyDescent="0.25">
      <c r="A53" s="69" t="s">
        <v>1279</v>
      </c>
      <c r="B53" s="60" t="s">
        <v>1887</v>
      </c>
      <c r="C53" s="60" t="s">
        <v>1427</v>
      </c>
      <c r="D53" s="98" t="s">
        <v>289</v>
      </c>
      <c r="E53" s="59" t="s">
        <v>1886</v>
      </c>
      <c r="F53" s="97">
        <v>20000</v>
      </c>
      <c r="G53" s="69">
        <v>800</v>
      </c>
      <c r="H53" s="69" t="s">
        <v>1885</v>
      </c>
      <c r="I53" s="69" t="s">
        <v>500</v>
      </c>
      <c r="J53" s="58">
        <v>45590</v>
      </c>
      <c r="K53" s="105" t="s">
        <v>1897</v>
      </c>
      <c r="L53" s="66">
        <v>89159071069</v>
      </c>
      <c r="M53" s="105" t="s">
        <v>1896</v>
      </c>
      <c r="N53" s="169"/>
      <c r="O53" s="97">
        <v>20000</v>
      </c>
      <c r="P53" s="60"/>
      <c r="Q53" s="97"/>
      <c r="R53" s="56" t="s">
        <v>387</v>
      </c>
      <c r="S53" s="100">
        <v>41000</v>
      </c>
      <c r="T53" s="65">
        <f t="shared" si="9"/>
        <v>820000</v>
      </c>
    </row>
    <row r="54" spans="1:20" s="67" customFormat="1" ht="13.5" customHeight="1" x14ac:dyDescent="0.25">
      <c r="A54" s="69" t="s">
        <v>1066</v>
      </c>
      <c r="B54" s="60" t="s">
        <v>1871</v>
      </c>
      <c r="C54" s="60" t="s">
        <v>165</v>
      </c>
      <c r="D54" s="98" t="s">
        <v>897</v>
      </c>
      <c r="E54" s="296" t="s">
        <v>1716</v>
      </c>
      <c r="F54" s="97">
        <f>G54*200</f>
        <v>2400</v>
      </c>
      <c r="G54" s="69">
        <v>12</v>
      </c>
      <c r="H54" s="69" t="s">
        <v>172</v>
      </c>
      <c r="I54" s="69" t="s">
        <v>500</v>
      </c>
      <c r="J54" s="58">
        <v>45590</v>
      </c>
      <c r="K54" s="105"/>
      <c r="L54" s="123">
        <v>89115583359</v>
      </c>
      <c r="M54" s="105" t="s">
        <v>1311</v>
      </c>
      <c r="N54" s="399" t="s">
        <v>1906</v>
      </c>
      <c r="O54" s="97"/>
      <c r="P54" s="60"/>
      <c r="Q54" s="56">
        <v>2400</v>
      </c>
      <c r="R54" s="225" t="s">
        <v>387</v>
      </c>
      <c r="S54" s="100">
        <v>77400</v>
      </c>
      <c r="T54" s="65">
        <f t="shared" si="9"/>
        <v>185760</v>
      </c>
    </row>
    <row r="55" spans="1:20" s="67" customFormat="1" ht="13.5" customHeight="1" x14ac:dyDescent="0.25">
      <c r="A55" s="69" t="s">
        <v>1066</v>
      </c>
      <c r="B55" s="60" t="s">
        <v>1871</v>
      </c>
      <c r="C55" s="60" t="s">
        <v>165</v>
      </c>
      <c r="D55" s="98" t="s">
        <v>897</v>
      </c>
      <c r="E55" s="296" t="s">
        <v>1872</v>
      </c>
      <c r="F55" s="97">
        <f>G55*200</f>
        <v>7000</v>
      </c>
      <c r="G55" s="69">
        <v>35</v>
      </c>
      <c r="H55" s="69" t="s">
        <v>172</v>
      </c>
      <c r="I55" s="69" t="s">
        <v>500</v>
      </c>
      <c r="J55" s="58">
        <v>45590</v>
      </c>
      <c r="K55" s="105"/>
      <c r="L55" s="123">
        <v>89115583359</v>
      </c>
      <c r="M55" s="105" t="s">
        <v>1311</v>
      </c>
      <c r="N55" s="399" t="s">
        <v>1906</v>
      </c>
      <c r="O55" s="97"/>
      <c r="P55" s="60"/>
      <c r="Q55" s="56">
        <v>7000</v>
      </c>
      <c r="R55" s="225" t="s">
        <v>387</v>
      </c>
      <c r="S55" s="100">
        <v>77400</v>
      </c>
      <c r="T55" s="65">
        <f t="shared" si="9"/>
        <v>541800</v>
      </c>
    </row>
    <row r="56" spans="1:20" s="67" customFormat="1" ht="13.5" customHeight="1" x14ac:dyDescent="0.25">
      <c r="A56" s="69" t="s">
        <v>1066</v>
      </c>
      <c r="B56" s="60" t="s">
        <v>1871</v>
      </c>
      <c r="C56" s="60" t="s">
        <v>165</v>
      </c>
      <c r="D56" s="98" t="s">
        <v>897</v>
      </c>
      <c r="E56" s="296" t="s">
        <v>1770</v>
      </c>
      <c r="F56" s="97">
        <f>G56*200</f>
        <v>6600</v>
      </c>
      <c r="G56" s="69">
        <v>33</v>
      </c>
      <c r="H56" s="69" t="s">
        <v>172</v>
      </c>
      <c r="I56" s="69" t="s">
        <v>500</v>
      </c>
      <c r="J56" s="58">
        <v>45590</v>
      </c>
      <c r="K56" s="105"/>
      <c r="L56" s="123">
        <v>89115583359</v>
      </c>
      <c r="M56" s="105" t="s">
        <v>1311</v>
      </c>
      <c r="N56" s="399" t="s">
        <v>1906</v>
      </c>
      <c r="O56" s="97"/>
      <c r="P56" s="60"/>
      <c r="Q56" s="56">
        <v>6600</v>
      </c>
      <c r="R56" s="225" t="s">
        <v>387</v>
      </c>
      <c r="S56" s="100">
        <v>77400</v>
      </c>
      <c r="T56" s="65">
        <f t="shared" si="9"/>
        <v>510840</v>
      </c>
    </row>
    <row r="57" spans="1:20" s="67" customFormat="1" ht="13.5" customHeight="1" x14ac:dyDescent="0.25">
      <c r="A57" s="69" t="s">
        <v>1066</v>
      </c>
      <c r="B57" s="60" t="s">
        <v>1881</v>
      </c>
      <c r="C57" s="60" t="s">
        <v>165</v>
      </c>
      <c r="D57" s="98" t="s">
        <v>205</v>
      </c>
      <c r="E57" s="296" t="s">
        <v>1882</v>
      </c>
      <c r="F57" s="97">
        <f>G57*185</f>
        <v>8325</v>
      </c>
      <c r="G57" s="69">
        <v>45</v>
      </c>
      <c r="H57" s="69" t="s">
        <v>172</v>
      </c>
      <c r="I57" s="69" t="s">
        <v>500</v>
      </c>
      <c r="J57" s="58">
        <v>45590</v>
      </c>
      <c r="K57" s="105"/>
      <c r="L57" s="123">
        <v>89115583359</v>
      </c>
      <c r="M57" s="105" t="s">
        <v>1311</v>
      </c>
      <c r="N57" s="399" t="s">
        <v>1907</v>
      </c>
      <c r="O57" s="97"/>
      <c r="P57" s="60"/>
      <c r="Q57" s="97">
        <v>8325</v>
      </c>
      <c r="R57" s="225" t="s">
        <v>387</v>
      </c>
      <c r="S57" s="100">
        <v>125000</v>
      </c>
      <c r="T57" s="65">
        <f t="shared" si="9"/>
        <v>1040624.9999999999</v>
      </c>
    </row>
    <row r="58" spans="1:20" s="67" customFormat="1" ht="13.5" customHeight="1" x14ac:dyDescent="0.25">
      <c r="A58" s="69" t="s">
        <v>1066</v>
      </c>
      <c r="B58" s="60" t="s">
        <v>1881</v>
      </c>
      <c r="C58" s="60" t="s">
        <v>165</v>
      </c>
      <c r="D58" s="98" t="s">
        <v>205</v>
      </c>
      <c r="E58" s="296" t="s">
        <v>1779</v>
      </c>
      <c r="F58" s="97">
        <f>G58*185</f>
        <v>6475</v>
      </c>
      <c r="G58" s="69">
        <v>35</v>
      </c>
      <c r="H58" s="69" t="s">
        <v>172</v>
      </c>
      <c r="I58" s="69" t="s">
        <v>500</v>
      </c>
      <c r="J58" s="58">
        <v>45590</v>
      </c>
      <c r="K58" s="105"/>
      <c r="L58" s="123">
        <v>89115583359</v>
      </c>
      <c r="M58" s="105" t="s">
        <v>1311</v>
      </c>
      <c r="N58" s="399" t="s">
        <v>1907</v>
      </c>
      <c r="O58" s="97"/>
      <c r="P58" s="60"/>
      <c r="Q58" s="97">
        <v>6475</v>
      </c>
      <c r="R58" s="225" t="s">
        <v>387</v>
      </c>
      <c r="S58" s="100">
        <v>125000</v>
      </c>
      <c r="T58" s="65">
        <f t="shared" si="9"/>
        <v>809375</v>
      </c>
    </row>
    <row r="59" spans="1:20" s="67" customFormat="1" ht="13.5" customHeight="1" x14ac:dyDescent="0.25">
      <c r="A59" s="69" t="s">
        <v>1604</v>
      </c>
      <c r="B59" s="97" t="s">
        <v>461</v>
      </c>
      <c r="C59" s="327" t="s">
        <v>1903</v>
      </c>
      <c r="D59" s="428" t="s">
        <v>174</v>
      </c>
      <c r="E59" s="59" t="s">
        <v>1671</v>
      </c>
      <c r="F59" s="97">
        <v>8600</v>
      </c>
      <c r="G59" s="69">
        <v>43</v>
      </c>
      <c r="H59" s="69" t="s">
        <v>1445</v>
      </c>
      <c r="I59" s="69" t="s">
        <v>500</v>
      </c>
      <c r="J59" s="58">
        <v>45593</v>
      </c>
      <c r="K59" s="105" t="s">
        <v>1905</v>
      </c>
      <c r="L59" s="123">
        <v>89222980008</v>
      </c>
      <c r="M59" s="105" t="s">
        <v>1904</v>
      </c>
      <c r="N59" s="339"/>
      <c r="O59" s="97"/>
      <c r="P59" s="60"/>
      <c r="Q59" s="97">
        <v>8600</v>
      </c>
      <c r="R59" s="56" t="s">
        <v>387</v>
      </c>
      <c r="S59" s="100">
        <v>88000</v>
      </c>
      <c r="T59" s="65">
        <f xml:space="preserve"> S59*(F59/1000)</f>
        <v>756800</v>
      </c>
    </row>
    <row r="60" spans="1:20" s="67" customFormat="1" ht="13.5" customHeight="1" x14ac:dyDescent="0.25">
      <c r="A60" s="69" t="s">
        <v>1604</v>
      </c>
      <c r="B60" s="97" t="s">
        <v>461</v>
      </c>
      <c r="C60" s="327" t="s">
        <v>1903</v>
      </c>
      <c r="D60" s="428" t="s">
        <v>174</v>
      </c>
      <c r="E60" s="59" t="s">
        <v>1689</v>
      </c>
      <c r="F60" s="97">
        <v>8000</v>
      </c>
      <c r="G60" s="69">
        <v>40</v>
      </c>
      <c r="H60" s="69" t="s">
        <v>1445</v>
      </c>
      <c r="I60" s="69" t="s">
        <v>500</v>
      </c>
      <c r="J60" s="58">
        <v>45593</v>
      </c>
      <c r="K60" s="105" t="s">
        <v>1905</v>
      </c>
      <c r="L60" s="123">
        <v>89222980008</v>
      </c>
      <c r="M60" s="105" t="s">
        <v>1904</v>
      </c>
      <c r="N60" s="339"/>
      <c r="O60" s="97"/>
      <c r="P60" s="60"/>
      <c r="Q60" s="97">
        <v>8000</v>
      </c>
      <c r="R60" s="56" t="s">
        <v>387</v>
      </c>
      <c r="S60" s="100">
        <v>88000</v>
      </c>
      <c r="T60" s="65">
        <f t="shared" ref="T60" si="10" xml:space="preserve"> S60*(F60/1000)</f>
        <v>704000</v>
      </c>
    </row>
    <row r="61" spans="1:20" s="67" customFormat="1" ht="13.5" customHeight="1" x14ac:dyDescent="0.25">
      <c r="A61" s="69" t="s">
        <v>1604</v>
      </c>
      <c r="B61" s="97" t="s">
        <v>461</v>
      </c>
      <c r="C61" s="327" t="s">
        <v>1903</v>
      </c>
      <c r="D61" s="428" t="s">
        <v>174</v>
      </c>
      <c r="E61" s="59" t="s">
        <v>1382</v>
      </c>
      <c r="F61" s="97">
        <v>800</v>
      </c>
      <c r="G61" s="69">
        <v>4</v>
      </c>
      <c r="H61" s="69" t="s">
        <v>1445</v>
      </c>
      <c r="I61" s="69" t="s">
        <v>500</v>
      </c>
      <c r="J61" s="58">
        <v>45593</v>
      </c>
      <c r="K61" s="105" t="s">
        <v>1905</v>
      </c>
      <c r="L61" s="123">
        <v>89222980008</v>
      </c>
      <c r="M61" s="105" t="s">
        <v>1904</v>
      </c>
      <c r="N61" s="339"/>
      <c r="O61" s="97"/>
      <c r="P61" s="60"/>
      <c r="Q61" s="97">
        <v>800</v>
      </c>
      <c r="R61" s="56" t="s">
        <v>387</v>
      </c>
      <c r="S61" s="100">
        <v>88000</v>
      </c>
      <c r="T61" s="65">
        <f t="shared" ref="T61" si="11" xml:space="preserve"> S61*(F61/1000)</f>
        <v>70400</v>
      </c>
    </row>
    <row r="62" spans="1:20" s="67" customFormat="1" ht="13.5" customHeight="1" x14ac:dyDescent="0.25">
      <c r="A62" s="69" t="s">
        <v>1604</v>
      </c>
      <c r="B62" s="97" t="s">
        <v>461</v>
      </c>
      <c r="C62" s="327" t="s">
        <v>1903</v>
      </c>
      <c r="D62" s="428" t="s">
        <v>174</v>
      </c>
      <c r="E62" s="59" t="s">
        <v>1684</v>
      </c>
      <c r="F62" s="97">
        <v>200</v>
      </c>
      <c r="G62" s="69">
        <v>1</v>
      </c>
      <c r="H62" s="69" t="s">
        <v>1445</v>
      </c>
      <c r="I62" s="69" t="s">
        <v>500</v>
      </c>
      <c r="J62" s="58">
        <v>45593</v>
      </c>
      <c r="K62" s="105" t="s">
        <v>1905</v>
      </c>
      <c r="L62" s="123">
        <v>89222980008</v>
      </c>
      <c r="M62" s="105" t="s">
        <v>1904</v>
      </c>
      <c r="N62" s="339"/>
      <c r="O62" s="97"/>
      <c r="P62" s="60"/>
      <c r="Q62" s="97">
        <v>200</v>
      </c>
      <c r="R62" s="56" t="s">
        <v>387</v>
      </c>
      <c r="S62" s="100">
        <v>88000</v>
      </c>
      <c r="T62" s="65">
        <f t="shared" ref="T62" si="12" xml:space="preserve"> S62*(F62/1000)</f>
        <v>17600</v>
      </c>
    </row>
    <row r="63" spans="1:20" s="67" customFormat="1" ht="13.5" customHeight="1" x14ac:dyDescent="0.25">
      <c r="A63" s="69" t="s">
        <v>779</v>
      </c>
      <c r="B63" s="60" t="s">
        <v>1855</v>
      </c>
      <c r="C63" s="60" t="s">
        <v>165</v>
      </c>
      <c r="D63" s="11" t="s">
        <v>1097</v>
      </c>
      <c r="E63" s="296" t="s">
        <v>1892</v>
      </c>
      <c r="F63" s="60">
        <v>20125</v>
      </c>
      <c r="G63" s="69">
        <v>805</v>
      </c>
      <c r="H63" s="69" t="s">
        <v>1375</v>
      </c>
      <c r="I63" s="69" t="s">
        <v>500</v>
      </c>
      <c r="J63" s="58">
        <v>45593</v>
      </c>
      <c r="K63" s="108" t="s">
        <v>1430</v>
      </c>
      <c r="L63" s="117">
        <v>89009189331</v>
      </c>
      <c r="M63" s="66" t="s">
        <v>1901</v>
      </c>
      <c r="N63" s="424"/>
      <c r="O63" s="60">
        <v>20125</v>
      </c>
      <c r="P63" s="56"/>
      <c r="Q63" s="56"/>
      <c r="R63" s="225" t="s">
        <v>387</v>
      </c>
      <c r="S63" s="100">
        <v>48500</v>
      </c>
      <c r="T63" s="65">
        <f t="shared" si="9"/>
        <v>976062.5</v>
      </c>
    </row>
    <row r="64" spans="1:20" s="67" customFormat="1" ht="13.5" customHeight="1" x14ac:dyDescent="0.25">
      <c r="A64" s="69" t="s">
        <v>1045</v>
      </c>
      <c r="B64" s="60" t="s">
        <v>1915</v>
      </c>
      <c r="C64" s="325" t="s">
        <v>1916</v>
      </c>
      <c r="D64" s="361" t="s">
        <v>1917</v>
      </c>
      <c r="E64" s="296"/>
      <c r="F64" s="60">
        <v>20000</v>
      </c>
      <c r="G64" s="69">
        <v>800</v>
      </c>
      <c r="H64" s="69" t="s">
        <v>1918</v>
      </c>
      <c r="I64" s="69" t="s">
        <v>500</v>
      </c>
      <c r="J64" s="58">
        <v>45594</v>
      </c>
      <c r="K64" s="108" t="s">
        <v>1919</v>
      </c>
      <c r="L64" s="117" t="s">
        <v>1920</v>
      </c>
      <c r="M64" s="66" t="s">
        <v>1921</v>
      </c>
      <c r="N64" s="424"/>
      <c r="O64" s="60"/>
      <c r="P64" s="56">
        <v>20000</v>
      </c>
      <c r="Q64" s="56"/>
      <c r="R64" s="225" t="s">
        <v>387</v>
      </c>
      <c r="S64" s="100">
        <v>32500</v>
      </c>
      <c r="T64" s="65">
        <f t="shared" si="9"/>
        <v>650000</v>
      </c>
    </row>
    <row r="65" spans="1:20" s="67" customFormat="1" ht="13.5" customHeight="1" x14ac:dyDescent="0.25">
      <c r="A65" s="69" t="s">
        <v>832</v>
      </c>
      <c r="B65" s="97" t="s">
        <v>562</v>
      </c>
      <c r="C65" s="325" t="s">
        <v>373</v>
      </c>
      <c r="D65" s="361" t="s">
        <v>336</v>
      </c>
      <c r="E65" s="59" t="s">
        <v>1834</v>
      </c>
      <c r="F65" s="97">
        <v>17600</v>
      </c>
      <c r="G65" s="69">
        <v>88</v>
      </c>
      <c r="H65" s="69" t="s">
        <v>1835</v>
      </c>
      <c r="I65" s="69" t="s">
        <v>500</v>
      </c>
      <c r="J65" s="58">
        <v>45595</v>
      </c>
      <c r="K65" s="105" t="s">
        <v>1909</v>
      </c>
      <c r="L65" s="123" t="s">
        <v>1914</v>
      </c>
      <c r="M65" s="105" t="s">
        <v>1908</v>
      </c>
      <c r="N65" s="339"/>
      <c r="O65" s="97"/>
      <c r="P65" s="60"/>
      <c r="Q65" s="97">
        <v>17600</v>
      </c>
      <c r="R65" s="56" t="s">
        <v>387</v>
      </c>
      <c r="S65" s="100">
        <v>164000</v>
      </c>
      <c r="T65" s="65">
        <f t="shared" si="9"/>
        <v>2886400.0000000005</v>
      </c>
    </row>
    <row r="66" spans="1:20" ht="18.75" x14ac:dyDescent="0.3">
      <c r="A66" s="425" t="s">
        <v>15</v>
      </c>
      <c r="B66" s="110">
        <f>SUM(F5:F65)/1000</f>
        <v>700.09100000000001</v>
      </c>
      <c r="C66" s="57" t="s">
        <v>14</v>
      </c>
      <c r="S66" s="426"/>
      <c r="T66" s="324">
        <f>SUM(T5:T65)</f>
        <v>119787203.5</v>
      </c>
    </row>
    <row r="67" spans="1:20" ht="18.75" x14ac:dyDescent="0.3">
      <c r="A67" s="127" t="s">
        <v>16</v>
      </c>
      <c r="B67" s="111">
        <f>B68+B69+B70</f>
        <v>700.09099999999989</v>
      </c>
      <c r="C67" s="1" t="s">
        <v>14</v>
      </c>
      <c r="E67" s="295"/>
      <c r="F67" s="394" t="s">
        <v>1574</v>
      </c>
      <c r="G67" s="394"/>
    </row>
    <row r="68" spans="1:20" ht="18.75" x14ac:dyDescent="0.3">
      <c r="A68" s="128" t="s">
        <v>17</v>
      </c>
      <c r="B68" s="109">
        <f>SUM(O5:O65)/1000</f>
        <v>319.50099999999998</v>
      </c>
      <c r="C68" s="2" t="s">
        <v>14</v>
      </c>
      <c r="E68" s="395"/>
      <c r="F68" s="394" t="s">
        <v>1557</v>
      </c>
      <c r="G68" s="394"/>
    </row>
    <row r="69" spans="1:20" ht="18.75" x14ac:dyDescent="0.3">
      <c r="A69" s="128" t="s">
        <v>154</v>
      </c>
      <c r="B69" s="109">
        <f>SUM(P5:P65)/1000</f>
        <v>122.16</v>
      </c>
      <c r="C69" s="2" t="s">
        <v>14</v>
      </c>
      <c r="E69" s="228"/>
      <c r="F69" s="394" t="s">
        <v>1556</v>
      </c>
      <c r="G69" s="394"/>
    </row>
    <row r="70" spans="1:20" ht="18.75" x14ac:dyDescent="0.3">
      <c r="A70" s="128" t="s">
        <v>24</v>
      </c>
      <c r="B70" s="112">
        <f>SUM(Q5:Q65)/1000</f>
        <v>258.43</v>
      </c>
      <c r="C70" s="2" t="s">
        <v>14</v>
      </c>
      <c r="E70" s="409"/>
      <c r="F70" s="394" t="s">
        <v>1775</v>
      </c>
    </row>
    <row r="71" spans="1:20" ht="19.5" thickBot="1" x14ac:dyDescent="0.35">
      <c r="A71" s="129" t="s">
        <v>20</v>
      </c>
      <c r="B71" s="113">
        <f>B66-B67</f>
        <v>0</v>
      </c>
      <c r="C71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71" xr:uid="{00000000-0009-0000-0000-000002000000}"/>
  <mergeCells count="12"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28" type="noConversion"/>
  <dataValidations count="1">
    <dataValidation type="list" allowBlank="1" showInputMessage="1" showErrorMessage="1" sqref="D66" xr:uid="{00000000-0002-0000-0200-000000000000}">
      <formula1>$E$66:$E$82</formula1>
    </dataValidation>
  </dataValidations>
  <pageMargins left="0.7" right="0.7" top="0.75" bottom="0.75" header="0.3" footer="0.3"/>
  <pageSetup paperSize="9" scale="33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справочник!$E$2:$E$152</xm:f>
          </x14:formula1>
          <xm:sqref>D5:D6</xm:sqref>
        </x14:dataValidation>
        <x14:dataValidation type="list" allowBlank="1" showInputMessage="1" showErrorMessage="1" xr:uid="{00000000-0002-0000-0200-000002000000}">
          <x14:formula1>
            <xm:f>справочник!$E$2:$E$157</xm:f>
          </x14:formula1>
          <xm:sqref>D4 D7:D65</xm:sqref>
        </x14:dataValidation>
        <x14:dataValidation type="list" allowBlank="1" showInputMessage="1" showErrorMessage="1" xr:uid="{00000000-0002-0000-0200-000003000000}">
          <x14:formula1>
            <xm:f>справочник!$E$2:$E$156</xm:f>
          </x14:formula1>
          <xm:sqref>D24:D26 D41:D65 D37:D39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69"/>
  <sheetViews>
    <sheetView zoomScale="70" zoomScaleNormal="70" zoomScaleSheetLayoutView="70" workbookViewId="0">
      <pane ySplit="3" topLeftCell="A22" activePane="bottomLeft" state="frozen"/>
      <selection pane="bottomLeft" activeCell="A14" sqref="A14:XFD14"/>
    </sheetView>
  </sheetViews>
  <sheetFormatPr defaultRowHeight="15" x14ac:dyDescent="0.25"/>
  <cols>
    <col min="1" max="1" width="19.5703125" style="130" customWidth="1"/>
    <col min="2" max="2" width="22.28515625" customWidth="1"/>
    <col min="3" max="3" width="32.5703125" customWidth="1"/>
    <col min="4" max="4" width="45.140625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25.140625" bestFit="1" customWidth="1"/>
    <col min="10" max="10" width="18.5703125" bestFit="1" customWidth="1"/>
    <col min="11" max="11" width="30.42578125" customWidth="1"/>
    <col min="12" max="12" width="27.140625" bestFit="1" customWidth="1"/>
    <col min="13" max="13" width="32.28515625" customWidth="1"/>
    <col min="14" max="14" width="22.85546875" style="343" customWidth="1"/>
    <col min="18" max="18" width="12.42578125" customWidth="1"/>
    <col min="19" max="19" width="25.425781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45536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374" t="s">
        <v>1</v>
      </c>
      <c r="G3" s="374" t="s">
        <v>156</v>
      </c>
      <c r="H3" s="453"/>
      <c r="I3" s="455"/>
      <c r="J3" s="457"/>
      <c r="K3" s="400" t="s">
        <v>8</v>
      </c>
      <c r="L3" s="400" t="s">
        <v>21</v>
      </c>
      <c r="M3" s="400" t="s">
        <v>10</v>
      </c>
      <c r="N3" s="375" t="s">
        <v>11</v>
      </c>
      <c r="O3" s="376" t="s">
        <v>13</v>
      </c>
      <c r="P3" s="376" t="s">
        <v>155</v>
      </c>
      <c r="Q3" s="377" t="s">
        <v>23</v>
      </c>
      <c r="R3" s="439"/>
      <c r="S3" s="68" t="s">
        <v>162</v>
      </c>
      <c r="T3" s="378" t="s">
        <v>163</v>
      </c>
    </row>
    <row r="4" spans="1:20" s="67" customFormat="1" ht="13.5" customHeight="1" x14ac:dyDescent="0.25">
      <c r="A4" s="69" t="s">
        <v>1298</v>
      </c>
      <c r="B4" s="60" t="s">
        <v>1644</v>
      </c>
      <c r="C4" s="60" t="s">
        <v>165</v>
      </c>
      <c r="D4" s="11" t="s">
        <v>1097</v>
      </c>
      <c r="E4" s="296" t="s">
        <v>1637</v>
      </c>
      <c r="F4" s="60">
        <v>750</v>
      </c>
      <c r="G4" s="69">
        <v>30</v>
      </c>
      <c r="H4" s="69" t="s">
        <v>1053</v>
      </c>
      <c r="I4" s="58" t="s">
        <v>357</v>
      </c>
      <c r="J4" s="58">
        <v>45537</v>
      </c>
      <c r="K4" s="108" t="s">
        <v>1673</v>
      </c>
      <c r="L4" s="117">
        <v>89501664888</v>
      </c>
      <c r="M4" s="66" t="s">
        <v>1672</v>
      </c>
      <c r="N4" s="390"/>
      <c r="O4" s="60">
        <v>750</v>
      </c>
      <c r="P4" s="56"/>
      <c r="Q4" s="56"/>
      <c r="R4" s="225" t="s">
        <v>387</v>
      </c>
      <c r="S4" s="100">
        <v>48500</v>
      </c>
      <c r="T4" s="65">
        <f t="shared" ref="T4:T35" si="0" xml:space="preserve"> S4*(F4/1000)</f>
        <v>36375</v>
      </c>
    </row>
    <row r="5" spans="1:20" s="67" customFormat="1" ht="13.5" customHeight="1" x14ac:dyDescent="0.25">
      <c r="A5" s="69" t="s">
        <v>1298</v>
      </c>
      <c r="B5" s="60" t="s">
        <v>1644</v>
      </c>
      <c r="C5" s="60" t="s">
        <v>165</v>
      </c>
      <c r="D5" s="11" t="s">
        <v>1097</v>
      </c>
      <c r="E5" s="296" t="s">
        <v>1642</v>
      </c>
      <c r="F5" s="60">
        <v>18250</v>
      </c>
      <c r="G5" s="69">
        <v>730</v>
      </c>
      <c r="H5" s="69" t="s">
        <v>1053</v>
      </c>
      <c r="I5" s="58" t="s">
        <v>357</v>
      </c>
      <c r="J5" s="58">
        <v>45537</v>
      </c>
      <c r="K5" s="108" t="s">
        <v>1673</v>
      </c>
      <c r="L5" s="117">
        <v>89501664888</v>
      </c>
      <c r="M5" s="66" t="s">
        <v>1672</v>
      </c>
      <c r="N5" s="390"/>
      <c r="O5" s="60">
        <v>18250</v>
      </c>
      <c r="P5" s="56"/>
      <c r="Q5" s="56"/>
      <c r="R5" s="225" t="s">
        <v>387</v>
      </c>
      <c r="S5" s="100">
        <v>48500</v>
      </c>
      <c r="T5" s="65">
        <f t="shared" si="0"/>
        <v>885125</v>
      </c>
    </row>
    <row r="6" spans="1:20" s="67" customFormat="1" ht="13.5" customHeight="1" x14ac:dyDescent="0.25">
      <c r="A6" s="69" t="s">
        <v>1298</v>
      </c>
      <c r="B6" s="60" t="s">
        <v>1644</v>
      </c>
      <c r="C6" s="60" t="s">
        <v>165</v>
      </c>
      <c r="D6" s="11" t="s">
        <v>1097</v>
      </c>
      <c r="E6" s="296" t="s">
        <v>1666</v>
      </c>
      <c r="F6" s="60">
        <v>1000</v>
      </c>
      <c r="G6" s="69">
        <v>40</v>
      </c>
      <c r="H6" s="69" t="s">
        <v>1053</v>
      </c>
      <c r="I6" s="58" t="s">
        <v>357</v>
      </c>
      <c r="J6" s="58">
        <v>45537</v>
      </c>
      <c r="K6" s="108" t="s">
        <v>1678</v>
      </c>
      <c r="L6" s="117">
        <v>89501664888</v>
      </c>
      <c r="M6" s="66" t="s">
        <v>1672</v>
      </c>
      <c r="N6" s="390"/>
      <c r="O6" s="60">
        <v>1000</v>
      </c>
      <c r="P6" s="56"/>
      <c r="Q6" s="56"/>
      <c r="R6" s="225" t="s">
        <v>387</v>
      </c>
      <c r="S6" s="100">
        <v>48500</v>
      </c>
      <c r="T6" s="65">
        <f t="shared" si="0"/>
        <v>48500</v>
      </c>
    </row>
    <row r="7" spans="1:20" s="67" customFormat="1" ht="13.5" customHeight="1" x14ac:dyDescent="0.25">
      <c r="A7" s="69" t="s">
        <v>1279</v>
      </c>
      <c r="B7" s="60" t="s">
        <v>1658</v>
      </c>
      <c r="C7" s="60" t="s">
        <v>165</v>
      </c>
      <c r="D7" s="11" t="s">
        <v>1097</v>
      </c>
      <c r="E7" s="296" t="s">
        <v>1657</v>
      </c>
      <c r="F7" s="60">
        <v>20000</v>
      </c>
      <c r="G7" s="69">
        <v>800</v>
      </c>
      <c r="H7" s="69" t="s">
        <v>1053</v>
      </c>
      <c r="I7" s="58" t="s">
        <v>357</v>
      </c>
      <c r="J7" s="58">
        <v>45538</v>
      </c>
      <c r="K7" s="108" t="s">
        <v>1675</v>
      </c>
      <c r="L7" s="117">
        <v>89532610749</v>
      </c>
      <c r="M7" s="66" t="s">
        <v>1676</v>
      </c>
      <c r="N7" s="390"/>
      <c r="O7" s="60">
        <v>20000</v>
      </c>
      <c r="P7" s="56"/>
      <c r="Q7" s="56"/>
      <c r="R7" s="225" t="s">
        <v>387</v>
      </c>
      <c r="S7" s="100">
        <v>48500</v>
      </c>
      <c r="T7" s="65">
        <f t="shared" si="0"/>
        <v>970000</v>
      </c>
    </row>
    <row r="8" spans="1:20" s="67" customFormat="1" ht="13.5" customHeight="1" x14ac:dyDescent="0.25">
      <c r="A8" s="69" t="s">
        <v>1279</v>
      </c>
      <c r="B8" s="60" t="s">
        <v>1658</v>
      </c>
      <c r="C8" s="60" t="s">
        <v>165</v>
      </c>
      <c r="D8" s="11" t="s">
        <v>1097</v>
      </c>
      <c r="E8" s="296" t="s">
        <v>1666</v>
      </c>
      <c r="F8" s="60">
        <v>1000</v>
      </c>
      <c r="G8" s="69">
        <v>40</v>
      </c>
      <c r="H8" s="69" t="s">
        <v>1053</v>
      </c>
      <c r="I8" s="58" t="s">
        <v>357</v>
      </c>
      <c r="J8" s="58">
        <v>45538</v>
      </c>
      <c r="K8" s="108" t="s">
        <v>1675</v>
      </c>
      <c r="L8" s="117">
        <v>89532610749</v>
      </c>
      <c r="M8" s="66" t="s">
        <v>1676</v>
      </c>
      <c r="N8" s="390"/>
      <c r="O8" s="60">
        <v>1000</v>
      </c>
      <c r="P8" s="56"/>
      <c r="Q8" s="56"/>
      <c r="R8" s="225" t="s">
        <v>387</v>
      </c>
      <c r="S8" s="100">
        <v>48500</v>
      </c>
      <c r="T8" s="65">
        <f t="shared" si="0"/>
        <v>48500</v>
      </c>
    </row>
    <row r="9" spans="1:20" s="67" customFormat="1" ht="13.5" customHeight="1" x14ac:dyDescent="0.25">
      <c r="A9" s="69" t="s">
        <v>1508</v>
      </c>
      <c r="B9" s="60" t="s">
        <v>1669</v>
      </c>
      <c r="C9" s="60" t="s">
        <v>165</v>
      </c>
      <c r="D9" s="11" t="s">
        <v>1097</v>
      </c>
      <c r="E9" s="296" t="s">
        <v>1665</v>
      </c>
      <c r="F9" s="60">
        <v>20000</v>
      </c>
      <c r="G9" s="69">
        <v>800</v>
      </c>
      <c r="H9" s="69" t="s">
        <v>1053</v>
      </c>
      <c r="I9" s="58" t="s">
        <v>357</v>
      </c>
      <c r="J9" s="58">
        <v>45538</v>
      </c>
      <c r="K9" s="108" t="s">
        <v>1712</v>
      </c>
      <c r="L9" s="117">
        <v>89116843391</v>
      </c>
      <c r="M9" s="66" t="s">
        <v>1677</v>
      </c>
      <c r="N9" s="390"/>
      <c r="O9" s="60">
        <v>20000</v>
      </c>
      <c r="P9" s="56"/>
      <c r="Q9" s="56"/>
      <c r="R9" s="225" t="s">
        <v>387</v>
      </c>
      <c r="S9" s="100">
        <v>48500</v>
      </c>
      <c r="T9" s="65">
        <f t="shared" si="0"/>
        <v>970000</v>
      </c>
    </row>
    <row r="10" spans="1:20" s="67" customFormat="1" ht="13.5" customHeight="1" x14ac:dyDescent="0.25">
      <c r="A10" s="414" t="s">
        <v>1545</v>
      </c>
      <c r="B10" s="97" t="s">
        <v>1638</v>
      </c>
      <c r="C10" s="97" t="s">
        <v>1639</v>
      </c>
      <c r="D10" s="98" t="s">
        <v>159</v>
      </c>
      <c r="E10" s="59" t="s">
        <v>1637</v>
      </c>
      <c r="F10" s="97">
        <v>800</v>
      </c>
      <c r="G10" s="69">
        <v>4</v>
      </c>
      <c r="H10" s="69" t="s">
        <v>391</v>
      </c>
      <c r="I10" s="69" t="s">
        <v>357</v>
      </c>
      <c r="J10" s="58">
        <v>45538</v>
      </c>
      <c r="K10" s="105" t="s">
        <v>1680</v>
      </c>
      <c r="L10" s="123">
        <v>89116873984</v>
      </c>
      <c r="M10" s="105" t="s">
        <v>1679</v>
      </c>
      <c r="N10" s="339"/>
      <c r="O10" s="97"/>
      <c r="P10" s="60"/>
      <c r="Q10" s="97">
        <v>800</v>
      </c>
      <c r="R10" s="56" t="s">
        <v>387</v>
      </c>
      <c r="S10" s="100">
        <v>80000</v>
      </c>
      <c r="T10" s="65">
        <f t="shared" si="0"/>
        <v>64000</v>
      </c>
    </row>
    <row r="11" spans="1:20" s="67" customFormat="1" ht="13.5" customHeight="1" x14ac:dyDescent="0.25">
      <c r="A11" s="414" t="s">
        <v>1545</v>
      </c>
      <c r="B11" s="97" t="s">
        <v>1638</v>
      </c>
      <c r="C11" s="97" t="s">
        <v>1639</v>
      </c>
      <c r="D11" s="98" t="s">
        <v>173</v>
      </c>
      <c r="E11" s="59" t="s">
        <v>1637</v>
      </c>
      <c r="F11" s="97">
        <v>800</v>
      </c>
      <c r="G11" s="69">
        <v>4</v>
      </c>
      <c r="H11" s="69" t="s">
        <v>391</v>
      </c>
      <c r="I11" s="69" t="s">
        <v>357</v>
      </c>
      <c r="J11" s="58">
        <v>45538</v>
      </c>
      <c r="K11" s="105" t="s">
        <v>1680</v>
      </c>
      <c r="L11" s="123">
        <v>89116873984</v>
      </c>
      <c r="M11" s="105" t="s">
        <v>1679</v>
      </c>
      <c r="N11" s="339"/>
      <c r="O11" s="97"/>
      <c r="P11" s="60"/>
      <c r="Q11" s="97">
        <v>800</v>
      </c>
      <c r="R11" s="56" t="s">
        <v>387</v>
      </c>
      <c r="S11" s="100">
        <v>90000</v>
      </c>
      <c r="T11" s="65">
        <f t="shared" si="0"/>
        <v>72000</v>
      </c>
    </row>
    <row r="12" spans="1:20" s="67" customFormat="1" ht="13.5" customHeight="1" x14ac:dyDescent="0.25">
      <c r="A12" s="69" t="s">
        <v>1570</v>
      </c>
      <c r="B12" s="60" t="s">
        <v>1670</v>
      </c>
      <c r="C12" s="60" t="s">
        <v>165</v>
      </c>
      <c r="D12" s="11" t="s">
        <v>1097</v>
      </c>
      <c r="E12" s="296" t="s">
        <v>1666</v>
      </c>
      <c r="F12" s="60">
        <v>20000</v>
      </c>
      <c r="G12" s="69">
        <v>800</v>
      </c>
      <c r="H12" s="69" t="s">
        <v>1053</v>
      </c>
      <c r="I12" s="69" t="s">
        <v>357</v>
      </c>
      <c r="J12" s="58">
        <v>45539</v>
      </c>
      <c r="K12" s="108" t="s">
        <v>993</v>
      </c>
      <c r="L12" s="117">
        <v>89600155752</v>
      </c>
      <c r="M12" s="66" t="s">
        <v>504</v>
      </c>
      <c r="N12" s="390"/>
      <c r="O12" s="60">
        <v>20000</v>
      </c>
      <c r="P12" s="56"/>
      <c r="Q12" s="56"/>
      <c r="R12" s="225" t="s">
        <v>387</v>
      </c>
      <c r="S12" s="100">
        <v>48500</v>
      </c>
      <c r="T12" s="65">
        <f t="shared" si="0"/>
        <v>970000</v>
      </c>
    </row>
    <row r="13" spans="1:20" s="67" customFormat="1" ht="13.5" customHeight="1" x14ac:dyDescent="0.25">
      <c r="A13" s="69" t="s">
        <v>1298</v>
      </c>
      <c r="B13" s="60" t="s">
        <v>1674</v>
      </c>
      <c r="C13" s="60" t="s">
        <v>165</v>
      </c>
      <c r="D13" s="11" t="s">
        <v>1097</v>
      </c>
      <c r="E13" s="296" t="s">
        <v>1671</v>
      </c>
      <c r="F13" s="60">
        <v>20000</v>
      </c>
      <c r="G13" s="69">
        <v>800</v>
      </c>
      <c r="H13" s="69" t="s">
        <v>1053</v>
      </c>
      <c r="I13" s="69" t="s">
        <v>357</v>
      </c>
      <c r="J13" s="58">
        <v>45539</v>
      </c>
      <c r="K13" s="108" t="s">
        <v>527</v>
      </c>
      <c r="L13" s="117">
        <v>89080026590</v>
      </c>
      <c r="M13" s="66" t="s">
        <v>737</v>
      </c>
      <c r="N13" s="390"/>
      <c r="O13" s="60">
        <v>20000</v>
      </c>
      <c r="P13" s="56"/>
      <c r="Q13" s="56"/>
      <c r="R13" s="225" t="s">
        <v>387</v>
      </c>
      <c r="S13" s="100">
        <v>48500</v>
      </c>
      <c r="T13" s="65">
        <f t="shared" si="0"/>
        <v>970000</v>
      </c>
    </row>
    <row r="14" spans="1:20" s="67" customFormat="1" ht="13.5" customHeight="1" x14ac:dyDescent="0.25">
      <c r="A14" s="69" t="s">
        <v>1279</v>
      </c>
      <c r="B14" s="60" t="s">
        <v>1664</v>
      </c>
      <c r="C14" s="60" t="s">
        <v>436</v>
      </c>
      <c r="D14" s="11" t="s">
        <v>331</v>
      </c>
      <c r="E14" s="59" t="s">
        <v>1665</v>
      </c>
      <c r="F14" s="60">
        <v>8400</v>
      </c>
      <c r="G14" s="69">
        <v>42</v>
      </c>
      <c r="H14" s="69" t="s">
        <v>438</v>
      </c>
      <c r="I14" s="69" t="s">
        <v>357</v>
      </c>
      <c r="J14" s="58">
        <v>45539</v>
      </c>
      <c r="K14" s="66" t="s">
        <v>1686</v>
      </c>
      <c r="L14" s="352">
        <v>89168805065</v>
      </c>
      <c r="M14" s="108" t="s">
        <v>1685</v>
      </c>
      <c r="N14" s="341"/>
      <c r="O14" s="56"/>
      <c r="P14" s="56"/>
      <c r="Q14" s="60">
        <v>8400</v>
      </c>
      <c r="R14" s="56" t="s">
        <v>387</v>
      </c>
      <c r="S14" s="100">
        <v>369000</v>
      </c>
      <c r="T14" s="65">
        <f t="shared" si="0"/>
        <v>3099600</v>
      </c>
    </row>
    <row r="15" spans="1:20" s="67" customFormat="1" ht="13.5" customHeight="1" x14ac:dyDescent="0.25">
      <c r="A15" s="69" t="s">
        <v>1279</v>
      </c>
      <c r="B15" s="60" t="s">
        <v>1664</v>
      </c>
      <c r="C15" s="60" t="s">
        <v>436</v>
      </c>
      <c r="D15" s="11" t="s">
        <v>331</v>
      </c>
      <c r="E15" s="59" t="s">
        <v>1666</v>
      </c>
      <c r="F15" s="60">
        <v>9200</v>
      </c>
      <c r="G15" s="69">
        <v>46</v>
      </c>
      <c r="H15" s="69" t="s">
        <v>438</v>
      </c>
      <c r="I15" s="69" t="s">
        <v>357</v>
      </c>
      <c r="J15" s="58">
        <v>45539</v>
      </c>
      <c r="K15" s="66" t="s">
        <v>1686</v>
      </c>
      <c r="L15" s="352">
        <v>89168805065</v>
      </c>
      <c r="M15" s="108" t="s">
        <v>1685</v>
      </c>
      <c r="N15" s="341"/>
      <c r="O15" s="56"/>
      <c r="P15" s="56"/>
      <c r="Q15" s="60">
        <v>9200</v>
      </c>
      <c r="R15" s="56" t="s">
        <v>387</v>
      </c>
      <c r="S15" s="100">
        <v>369000</v>
      </c>
      <c r="T15" s="65">
        <f t="shared" si="0"/>
        <v>3394799.9999999995</v>
      </c>
    </row>
    <row r="16" spans="1:20" s="67" customFormat="1" ht="13.5" customHeight="1" x14ac:dyDescent="0.25">
      <c r="A16" s="69" t="s">
        <v>1279</v>
      </c>
      <c r="B16" s="60" t="s">
        <v>1681</v>
      </c>
      <c r="C16" s="60" t="s">
        <v>165</v>
      </c>
      <c r="D16" s="11" t="s">
        <v>1097</v>
      </c>
      <c r="E16" s="296" t="s">
        <v>1682</v>
      </c>
      <c r="F16" s="60">
        <v>20000</v>
      </c>
      <c r="G16" s="69">
        <v>800</v>
      </c>
      <c r="H16" s="69" t="s">
        <v>1053</v>
      </c>
      <c r="I16" s="69" t="s">
        <v>357</v>
      </c>
      <c r="J16" s="58">
        <v>45540</v>
      </c>
      <c r="K16" s="108" t="s">
        <v>1711</v>
      </c>
      <c r="L16" s="117">
        <v>89082542474</v>
      </c>
      <c r="M16" s="66" t="s">
        <v>1687</v>
      </c>
      <c r="N16" s="390"/>
      <c r="O16" s="60">
        <v>20000</v>
      </c>
      <c r="P16" s="56"/>
      <c r="Q16" s="56"/>
      <c r="R16" s="225" t="s">
        <v>387</v>
      </c>
      <c r="S16" s="100">
        <v>48500</v>
      </c>
      <c r="T16" s="65">
        <f t="shared" si="0"/>
        <v>970000</v>
      </c>
    </row>
    <row r="17" spans="1:20" s="67" customFormat="1" ht="13.5" customHeight="1" x14ac:dyDescent="0.25">
      <c r="A17" s="69" t="s">
        <v>1567</v>
      </c>
      <c r="B17" s="97" t="s">
        <v>1568</v>
      </c>
      <c r="C17" s="60" t="s">
        <v>182</v>
      </c>
      <c r="D17" s="98" t="s">
        <v>337</v>
      </c>
      <c r="E17" s="59" t="s">
        <v>1722</v>
      </c>
      <c r="F17" s="97">
        <v>20000</v>
      </c>
      <c r="G17" s="69">
        <v>100</v>
      </c>
      <c r="H17" s="69" t="s">
        <v>172</v>
      </c>
      <c r="I17" s="69" t="s">
        <v>357</v>
      </c>
      <c r="J17" s="58">
        <v>45541</v>
      </c>
      <c r="K17" s="105" t="s">
        <v>1713</v>
      </c>
      <c r="L17" s="66">
        <v>89539399073</v>
      </c>
      <c r="M17" s="105" t="s">
        <v>477</v>
      </c>
      <c r="N17" s="339"/>
      <c r="O17" s="56"/>
      <c r="P17" s="60"/>
      <c r="Q17" s="97">
        <v>20000</v>
      </c>
      <c r="R17" s="56" t="s">
        <v>387</v>
      </c>
      <c r="S17" s="100"/>
      <c r="T17" s="65"/>
    </row>
    <row r="18" spans="1:20" s="67" customFormat="1" ht="13.5" customHeight="1" x14ac:dyDescent="0.25">
      <c r="A18" s="69" t="s">
        <v>240</v>
      </c>
      <c r="B18" s="97" t="s">
        <v>1551</v>
      </c>
      <c r="C18" s="97" t="s">
        <v>182</v>
      </c>
      <c r="D18" s="98" t="s">
        <v>301</v>
      </c>
      <c r="E18" s="59" t="s">
        <v>1548</v>
      </c>
      <c r="F18" s="97">
        <v>17500</v>
      </c>
      <c r="G18" s="69">
        <v>700</v>
      </c>
      <c r="H18" s="69" t="s">
        <v>1210</v>
      </c>
      <c r="I18" s="69" t="s">
        <v>357</v>
      </c>
      <c r="J18" s="58">
        <v>45541</v>
      </c>
      <c r="K18" s="105"/>
      <c r="L18" s="123"/>
      <c r="M18" s="105"/>
      <c r="N18" s="339" t="s">
        <v>1694</v>
      </c>
      <c r="O18" s="97">
        <v>17500</v>
      </c>
      <c r="P18" s="60"/>
      <c r="Q18" s="56"/>
      <c r="R18" s="56" t="s">
        <v>387</v>
      </c>
      <c r="S18" s="100">
        <v>41000</v>
      </c>
      <c r="T18" s="65">
        <f t="shared" si="0"/>
        <v>717500</v>
      </c>
    </row>
    <row r="19" spans="1:20" s="67" customFormat="1" ht="13.5" customHeight="1" x14ac:dyDescent="0.25">
      <c r="A19" s="69" t="s">
        <v>240</v>
      </c>
      <c r="B19" s="97" t="s">
        <v>1551</v>
      </c>
      <c r="C19" s="97" t="s">
        <v>182</v>
      </c>
      <c r="D19" s="98" t="s">
        <v>301</v>
      </c>
      <c r="E19" s="59" t="s">
        <v>1550</v>
      </c>
      <c r="F19" s="97">
        <v>17500</v>
      </c>
      <c r="G19" s="69">
        <v>700</v>
      </c>
      <c r="H19" s="69" t="s">
        <v>1210</v>
      </c>
      <c r="I19" s="69" t="s">
        <v>357</v>
      </c>
      <c r="J19" s="58">
        <v>45541</v>
      </c>
      <c r="K19" s="105"/>
      <c r="L19" s="123"/>
      <c r="M19" s="105"/>
      <c r="N19" s="339" t="s">
        <v>1695</v>
      </c>
      <c r="O19" s="97">
        <v>17500</v>
      </c>
      <c r="P19" s="60"/>
      <c r="Q19" s="56"/>
      <c r="R19" s="56" t="s">
        <v>387</v>
      </c>
      <c r="S19" s="100">
        <v>41000</v>
      </c>
      <c r="T19" s="65">
        <f t="shared" si="0"/>
        <v>717500</v>
      </c>
    </row>
    <row r="20" spans="1:20" s="67" customFormat="1" x14ac:dyDescent="0.25">
      <c r="A20" s="69" t="s">
        <v>1066</v>
      </c>
      <c r="B20" s="60" t="s">
        <v>1454</v>
      </c>
      <c r="C20" s="60" t="s">
        <v>165</v>
      </c>
      <c r="D20" s="11" t="s">
        <v>1097</v>
      </c>
      <c r="E20" s="296" t="s">
        <v>1422</v>
      </c>
      <c r="F20" s="60">
        <v>17500</v>
      </c>
      <c r="G20" s="69">
        <v>700</v>
      </c>
      <c r="H20" s="69" t="s">
        <v>172</v>
      </c>
      <c r="I20" s="69" t="s">
        <v>357</v>
      </c>
      <c r="J20" s="58">
        <v>45541</v>
      </c>
      <c r="K20" s="108"/>
      <c r="L20" s="117"/>
      <c r="M20" s="66"/>
      <c r="N20" s="390" t="s">
        <v>1696</v>
      </c>
      <c r="O20" s="60">
        <v>17500</v>
      </c>
      <c r="P20" s="56"/>
      <c r="Q20" s="56"/>
      <c r="R20" s="225" t="s">
        <v>387</v>
      </c>
      <c r="S20" s="100">
        <v>49500</v>
      </c>
      <c r="T20" s="65">
        <f t="shared" si="0"/>
        <v>866250</v>
      </c>
    </row>
    <row r="21" spans="1:20" s="67" customFormat="1" ht="13.5" customHeight="1" x14ac:dyDescent="0.25">
      <c r="A21" s="69" t="s">
        <v>1066</v>
      </c>
      <c r="B21" s="60" t="s">
        <v>1608</v>
      </c>
      <c r="C21" s="60" t="s">
        <v>165</v>
      </c>
      <c r="D21" s="11" t="s">
        <v>1097</v>
      </c>
      <c r="E21" s="296" t="s">
        <v>1609</v>
      </c>
      <c r="F21" s="60">
        <v>17500</v>
      </c>
      <c r="G21" s="69">
        <v>700</v>
      </c>
      <c r="H21" s="69" t="s">
        <v>172</v>
      </c>
      <c r="I21" s="69" t="s">
        <v>357</v>
      </c>
      <c r="J21" s="58">
        <v>45541</v>
      </c>
      <c r="K21" s="108"/>
      <c r="L21" s="118"/>
      <c r="M21" s="66"/>
      <c r="N21" s="390" t="s">
        <v>1697</v>
      </c>
      <c r="O21" s="60">
        <v>17500</v>
      </c>
      <c r="P21" s="56"/>
      <c r="Q21" s="56"/>
      <c r="R21" s="225" t="s">
        <v>387</v>
      </c>
      <c r="S21" s="100">
        <v>48500</v>
      </c>
      <c r="T21" s="65">
        <f t="shared" si="0"/>
        <v>848750</v>
      </c>
    </row>
    <row r="22" spans="1:20" s="67" customFormat="1" ht="13.5" customHeight="1" x14ac:dyDescent="0.25">
      <c r="A22" s="69" t="s">
        <v>1570</v>
      </c>
      <c r="B22" s="60" t="s">
        <v>1683</v>
      </c>
      <c r="C22" s="60" t="s">
        <v>165</v>
      </c>
      <c r="D22" s="11" t="s">
        <v>1097</v>
      </c>
      <c r="E22" s="296" t="s">
        <v>1684</v>
      </c>
      <c r="F22" s="60">
        <v>18000</v>
      </c>
      <c r="G22" s="69">
        <v>720</v>
      </c>
      <c r="H22" s="69" t="s">
        <v>1053</v>
      </c>
      <c r="I22" s="69" t="s">
        <v>357</v>
      </c>
      <c r="J22" s="58">
        <v>45541</v>
      </c>
      <c r="K22" s="108" t="s">
        <v>635</v>
      </c>
      <c r="L22" s="117">
        <v>89212974613</v>
      </c>
      <c r="M22" s="66" t="s">
        <v>636</v>
      </c>
      <c r="N22" s="390"/>
      <c r="O22" s="60">
        <v>18000</v>
      </c>
      <c r="P22" s="56"/>
      <c r="Q22" s="56"/>
      <c r="R22" s="225" t="s">
        <v>387</v>
      </c>
      <c r="S22" s="100">
        <v>48500</v>
      </c>
      <c r="T22" s="65">
        <f t="shared" si="0"/>
        <v>873000</v>
      </c>
    </row>
    <row r="23" spans="1:20" s="299" customFormat="1" ht="13.5" customHeight="1" x14ac:dyDescent="0.25">
      <c r="A23" s="69" t="s">
        <v>1045</v>
      </c>
      <c r="B23" s="60" t="s">
        <v>1390</v>
      </c>
      <c r="C23" s="60" t="s">
        <v>165</v>
      </c>
      <c r="D23" s="11" t="s">
        <v>1118</v>
      </c>
      <c r="E23" s="59" t="s">
        <v>1402</v>
      </c>
      <c r="F23" s="60">
        <v>2450</v>
      </c>
      <c r="G23" s="69">
        <v>14</v>
      </c>
      <c r="H23" s="69" t="s">
        <v>1120</v>
      </c>
      <c r="I23" s="69" t="s">
        <v>357</v>
      </c>
      <c r="J23" s="58">
        <v>45541</v>
      </c>
      <c r="K23" s="108" t="s">
        <v>1693</v>
      </c>
      <c r="L23" s="117">
        <v>89162274936</v>
      </c>
      <c r="M23" s="66" t="s">
        <v>1692</v>
      </c>
      <c r="N23" s="399"/>
      <c r="O23" s="56"/>
      <c r="P23" s="60"/>
      <c r="Q23" s="60">
        <v>2450</v>
      </c>
      <c r="R23" s="56" t="s">
        <v>387</v>
      </c>
      <c r="S23" s="100">
        <v>598000</v>
      </c>
      <c r="T23" s="65">
        <f t="shared" si="0"/>
        <v>1465100</v>
      </c>
    </row>
    <row r="24" spans="1:20" s="67" customFormat="1" ht="13.5" customHeight="1" x14ac:dyDescent="0.25">
      <c r="A24" s="69" t="s">
        <v>224</v>
      </c>
      <c r="B24" s="60" t="s">
        <v>1667</v>
      </c>
      <c r="C24" s="60" t="s">
        <v>349</v>
      </c>
      <c r="D24" s="98" t="s">
        <v>158</v>
      </c>
      <c r="E24" s="64" t="s">
        <v>962</v>
      </c>
      <c r="F24" s="97">
        <v>7200</v>
      </c>
      <c r="G24" s="69">
        <v>36</v>
      </c>
      <c r="H24" s="69" t="s">
        <v>352</v>
      </c>
      <c r="I24" s="69" t="s">
        <v>357</v>
      </c>
      <c r="J24" s="58">
        <v>45544</v>
      </c>
      <c r="K24" s="105" t="s">
        <v>937</v>
      </c>
      <c r="L24" s="123" t="s">
        <v>936</v>
      </c>
      <c r="M24" s="105" t="s">
        <v>385</v>
      </c>
      <c r="N24" s="107"/>
      <c r="O24" s="97"/>
      <c r="P24" s="60"/>
      <c r="Q24" s="97">
        <v>7200</v>
      </c>
      <c r="R24" s="56" t="s">
        <v>387</v>
      </c>
      <c r="S24" s="100">
        <v>69000</v>
      </c>
      <c r="T24" s="65">
        <f t="shared" si="0"/>
        <v>496800</v>
      </c>
    </row>
    <row r="25" spans="1:20" s="67" customFormat="1" ht="13.5" customHeight="1" x14ac:dyDescent="0.25">
      <c r="A25" s="69" t="s">
        <v>224</v>
      </c>
      <c r="B25" s="60" t="s">
        <v>1667</v>
      </c>
      <c r="C25" s="60" t="s">
        <v>349</v>
      </c>
      <c r="D25" s="98" t="s">
        <v>158</v>
      </c>
      <c r="E25" s="64" t="s">
        <v>1595</v>
      </c>
      <c r="F25" s="97">
        <v>6400</v>
      </c>
      <c r="G25" s="69">
        <v>32</v>
      </c>
      <c r="H25" s="69" t="s">
        <v>352</v>
      </c>
      <c r="I25" s="69" t="s">
        <v>357</v>
      </c>
      <c r="J25" s="58">
        <v>45544</v>
      </c>
      <c r="K25" s="105" t="s">
        <v>937</v>
      </c>
      <c r="L25" s="123" t="s">
        <v>936</v>
      </c>
      <c r="M25" s="105" t="s">
        <v>385</v>
      </c>
      <c r="N25" s="107"/>
      <c r="O25" s="97"/>
      <c r="P25" s="60"/>
      <c r="Q25" s="97">
        <v>6400</v>
      </c>
      <c r="R25" s="56" t="s">
        <v>387</v>
      </c>
      <c r="S25" s="100">
        <v>69000</v>
      </c>
      <c r="T25" s="65">
        <f t="shared" si="0"/>
        <v>441600</v>
      </c>
    </row>
    <row r="26" spans="1:20" s="67" customFormat="1" ht="13.5" customHeight="1" x14ac:dyDescent="0.25">
      <c r="A26" s="69" t="s">
        <v>224</v>
      </c>
      <c r="B26" s="60" t="s">
        <v>1667</v>
      </c>
      <c r="C26" s="60" t="s">
        <v>349</v>
      </c>
      <c r="D26" s="98" t="s">
        <v>158</v>
      </c>
      <c r="E26" s="64" t="s">
        <v>1649</v>
      </c>
      <c r="F26" s="97">
        <v>2800</v>
      </c>
      <c r="G26" s="69">
        <v>14</v>
      </c>
      <c r="H26" s="69" t="s">
        <v>352</v>
      </c>
      <c r="I26" s="69" t="s">
        <v>357</v>
      </c>
      <c r="J26" s="58">
        <v>45544</v>
      </c>
      <c r="K26" s="105" t="s">
        <v>937</v>
      </c>
      <c r="L26" s="123" t="s">
        <v>936</v>
      </c>
      <c r="M26" s="105" t="s">
        <v>385</v>
      </c>
      <c r="N26" s="107"/>
      <c r="O26" s="97"/>
      <c r="P26" s="60"/>
      <c r="Q26" s="97">
        <v>2800</v>
      </c>
      <c r="R26" s="56" t="s">
        <v>387</v>
      </c>
      <c r="S26" s="100">
        <v>69000</v>
      </c>
      <c r="T26" s="65">
        <f t="shared" si="0"/>
        <v>193200</v>
      </c>
    </row>
    <row r="27" spans="1:20" s="67" customFormat="1" ht="13.5" customHeight="1" x14ac:dyDescent="0.25">
      <c r="A27" s="69" t="s">
        <v>224</v>
      </c>
      <c r="B27" s="60" t="s">
        <v>1667</v>
      </c>
      <c r="C27" s="60" t="s">
        <v>349</v>
      </c>
      <c r="D27" s="98" t="s">
        <v>158</v>
      </c>
      <c r="E27" s="64" t="s">
        <v>1657</v>
      </c>
      <c r="F27" s="97">
        <v>600</v>
      </c>
      <c r="G27" s="69">
        <v>3</v>
      </c>
      <c r="H27" s="69" t="s">
        <v>352</v>
      </c>
      <c r="I27" s="69" t="s">
        <v>357</v>
      </c>
      <c r="J27" s="58">
        <v>45544</v>
      </c>
      <c r="K27" s="105" t="s">
        <v>937</v>
      </c>
      <c r="L27" s="123" t="s">
        <v>936</v>
      </c>
      <c r="M27" s="105" t="s">
        <v>385</v>
      </c>
      <c r="N27" s="107"/>
      <c r="O27" s="97"/>
      <c r="P27" s="60"/>
      <c r="Q27" s="97">
        <v>600</v>
      </c>
      <c r="R27" s="56" t="s">
        <v>387</v>
      </c>
      <c r="S27" s="100">
        <v>69000</v>
      </c>
      <c r="T27" s="65">
        <f t="shared" si="0"/>
        <v>41400</v>
      </c>
    </row>
    <row r="28" spans="1:20" s="67" customFormat="1" ht="13.5" customHeight="1" x14ac:dyDescent="0.25">
      <c r="A28" s="69" t="s">
        <v>224</v>
      </c>
      <c r="B28" s="60" t="s">
        <v>1667</v>
      </c>
      <c r="C28" s="60" t="s">
        <v>349</v>
      </c>
      <c r="D28" s="98" t="s">
        <v>158</v>
      </c>
      <c r="E28" s="64" t="s">
        <v>1666</v>
      </c>
      <c r="F28" s="97">
        <v>600</v>
      </c>
      <c r="G28" s="69">
        <v>3</v>
      </c>
      <c r="H28" s="69" t="s">
        <v>352</v>
      </c>
      <c r="I28" s="69" t="s">
        <v>357</v>
      </c>
      <c r="J28" s="58">
        <v>45544</v>
      </c>
      <c r="K28" s="105" t="s">
        <v>937</v>
      </c>
      <c r="L28" s="123" t="s">
        <v>1717</v>
      </c>
      <c r="M28" s="105" t="s">
        <v>385</v>
      </c>
      <c r="N28" s="107"/>
      <c r="O28" s="97"/>
      <c r="P28" s="60"/>
      <c r="Q28" s="97">
        <v>600</v>
      </c>
      <c r="R28" s="56" t="s">
        <v>387</v>
      </c>
      <c r="S28" s="100">
        <v>69000</v>
      </c>
      <c r="T28" s="65">
        <f t="shared" si="0"/>
        <v>41400</v>
      </c>
    </row>
    <row r="29" spans="1:20" s="67" customFormat="1" ht="13.5" customHeight="1" x14ac:dyDescent="0.25">
      <c r="A29" s="69" t="s">
        <v>927</v>
      </c>
      <c r="B29" s="60" t="s">
        <v>1699</v>
      </c>
      <c r="C29" s="60" t="s">
        <v>658</v>
      </c>
      <c r="D29" s="98" t="s">
        <v>513</v>
      </c>
      <c r="E29" s="64" t="s">
        <v>1641</v>
      </c>
      <c r="F29" s="97">
        <v>60</v>
      </c>
      <c r="G29" s="69">
        <v>3</v>
      </c>
      <c r="H29" s="69" t="s">
        <v>391</v>
      </c>
      <c r="I29" s="69" t="s">
        <v>357</v>
      </c>
      <c r="J29" s="58">
        <v>45544</v>
      </c>
      <c r="K29" s="108" t="s">
        <v>1648</v>
      </c>
      <c r="L29" s="119" t="s">
        <v>1698</v>
      </c>
      <c r="M29" s="56"/>
      <c r="N29" s="339"/>
      <c r="O29" s="56"/>
      <c r="P29" s="60"/>
      <c r="Q29" s="97">
        <v>60</v>
      </c>
      <c r="R29" s="56" t="s">
        <v>387</v>
      </c>
      <c r="S29" s="100">
        <v>105250</v>
      </c>
      <c r="T29" s="65">
        <f t="shared" si="0"/>
        <v>6315</v>
      </c>
    </row>
    <row r="30" spans="1:20" s="67" customFormat="1" x14ac:dyDescent="0.25">
      <c r="A30" s="69" t="s">
        <v>1532</v>
      </c>
      <c r="B30" s="60" t="s">
        <v>1081</v>
      </c>
      <c r="C30" s="60" t="s">
        <v>1323</v>
      </c>
      <c r="D30" s="11" t="s">
        <v>287</v>
      </c>
      <c r="E30" s="59" t="s">
        <v>955</v>
      </c>
      <c r="F30" s="60">
        <v>20000</v>
      </c>
      <c r="G30" s="69">
        <v>800</v>
      </c>
      <c r="H30" s="69" t="s">
        <v>424</v>
      </c>
      <c r="I30" s="69" t="s">
        <v>357</v>
      </c>
      <c r="J30" s="58">
        <v>45544</v>
      </c>
      <c r="K30" s="108" t="s">
        <v>1707</v>
      </c>
      <c r="L30" s="117">
        <v>89173626420</v>
      </c>
      <c r="M30" s="66" t="s">
        <v>1706</v>
      </c>
      <c r="N30" s="341"/>
      <c r="O30" s="60">
        <v>20000</v>
      </c>
      <c r="P30" s="56"/>
      <c r="Q30" s="60"/>
      <c r="R30" s="56" t="s">
        <v>387</v>
      </c>
      <c r="S30" s="100">
        <v>40700</v>
      </c>
      <c r="T30" s="65">
        <f t="shared" si="0"/>
        <v>814000</v>
      </c>
    </row>
    <row r="31" spans="1:20" s="67" customFormat="1" x14ac:dyDescent="0.25">
      <c r="A31" s="69" t="s">
        <v>1633</v>
      </c>
      <c r="B31" s="60" t="s">
        <v>1714</v>
      </c>
      <c r="C31" s="60" t="s">
        <v>1427</v>
      </c>
      <c r="D31" s="98" t="s">
        <v>1190</v>
      </c>
      <c r="E31" s="59" t="s">
        <v>1597</v>
      </c>
      <c r="F31" s="97">
        <v>17600</v>
      </c>
      <c r="G31" s="69">
        <v>88</v>
      </c>
      <c r="H31" s="69" t="s">
        <v>655</v>
      </c>
      <c r="I31" s="69" t="s">
        <v>357</v>
      </c>
      <c r="J31" s="58">
        <v>45545</v>
      </c>
      <c r="K31" s="105" t="s">
        <v>503</v>
      </c>
      <c r="L31" s="123">
        <v>89212414996</v>
      </c>
      <c r="M31" s="105" t="s">
        <v>1719</v>
      </c>
      <c r="N31" s="169"/>
      <c r="O31" s="56"/>
      <c r="P31" s="60"/>
      <c r="Q31" s="97">
        <v>17600</v>
      </c>
      <c r="R31" s="56" t="s">
        <v>387</v>
      </c>
      <c r="S31" s="100">
        <v>123000</v>
      </c>
      <c r="T31" s="65">
        <f t="shared" si="0"/>
        <v>2164800</v>
      </c>
    </row>
    <row r="32" spans="1:20" s="67" customFormat="1" x14ac:dyDescent="0.25">
      <c r="A32" s="69" t="s">
        <v>1066</v>
      </c>
      <c r="B32" s="60" t="s">
        <v>1747</v>
      </c>
      <c r="C32" s="60" t="s">
        <v>165</v>
      </c>
      <c r="D32" s="98" t="s">
        <v>205</v>
      </c>
      <c r="E32" s="296" t="s">
        <v>1715</v>
      </c>
      <c r="F32" s="97">
        <v>7400</v>
      </c>
      <c r="G32" s="69">
        <v>40</v>
      </c>
      <c r="H32" s="69" t="s">
        <v>172</v>
      </c>
      <c r="I32" s="69" t="s">
        <v>357</v>
      </c>
      <c r="J32" s="58">
        <v>45547</v>
      </c>
      <c r="K32" s="105"/>
      <c r="L32" s="123"/>
      <c r="M32" s="105"/>
      <c r="N32" s="399" t="s">
        <v>1724</v>
      </c>
      <c r="O32" s="97"/>
      <c r="P32" s="60"/>
      <c r="Q32" s="97">
        <v>7400</v>
      </c>
      <c r="R32" s="225" t="s">
        <v>387</v>
      </c>
      <c r="S32" s="100">
        <v>125000</v>
      </c>
      <c r="T32" s="65">
        <f t="shared" si="0"/>
        <v>925000</v>
      </c>
    </row>
    <row r="33" spans="1:20" s="67" customFormat="1" x14ac:dyDescent="0.25">
      <c r="A33" s="69" t="s">
        <v>1066</v>
      </c>
      <c r="B33" s="60" t="s">
        <v>1747</v>
      </c>
      <c r="C33" s="60" t="s">
        <v>165</v>
      </c>
      <c r="D33" s="98" t="s">
        <v>205</v>
      </c>
      <c r="E33" s="296" t="s">
        <v>1718</v>
      </c>
      <c r="F33" s="97">
        <v>7400</v>
      </c>
      <c r="G33" s="69">
        <v>40</v>
      </c>
      <c r="H33" s="69" t="s">
        <v>172</v>
      </c>
      <c r="I33" s="69" t="s">
        <v>357</v>
      </c>
      <c r="J33" s="58">
        <v>45547</v>
      </c>
      <c r="K33" s="105"/>
      <c r="L33" s="123"/>
      <c r="M33" s="105"/>
      <c r="N33" s="399" t="s">
        <v>1724</v>
      </c>
      <c r="O33" s="97"/>
      <c r="P33" s="60"/>
      <c r="Q33" s="97">
        <v>7400</v>
      </c>
      <c r="R33" s="225" t="s">
        <v>387</v>
      </c>
      <c r="S33" s="100">
        <v>125000</v>
      </c>
      <c r="T33" s="65">
        <f t="shared" si="0"/>
        <v>925000</v>
      </c>
    </row>
    <row r="34" spans="1:20" s="67" customFormat="1" ht="13.5" customHeight="1" x14ac:dyDescent="0.25">
      <c r="A34" s="69" t="s">
        <v>1066</v>
      </c>
      <c r="B34" s="60" t="s">
        <v>1625</v>
      </c>
      <c r="C34" s="60" t="s">
        <v>165</v>
      </c>
      <c r="D34" s="11" t="s">
        <v>1097</v>
      </c>
      <c r="E34" s="296" t="s">
        <v>1626</v>
      </c>
      <c r="F34" s="60">
        <v>17500</v>
      </c>
      <c r="G34" s="69">
        <v>700</v>
      </c>
      <c r="H34" s="69" t="s">
        <v>172</v>
      </c>
      <c r="I34" s="69" t="s">
        <v>357</v>
      </c>
      <c r="J34" s="58">
        <v>45547</v>
      </c>
      <c r="K34" s="108"/>
      <c r="L34" s="118"/>
      <c r="M34" s="66"/>
      <c r="N34" s="399" t="s">
        <v>1723</v>
      </c>
      <c r="O34" s="60">
        <v>17500</v>
      </c>
      <c r="P34" s="56"/>
      <c r="Q34" s="60"/>
      <c r="R34" s="225" t="s">
        <v>387</v>
      </c>
      <c r="S34" s="100">
        <v>48500</v>
      </c>
      <c r="T34" s="65">
        <f t="shared" si="0"/>
        <v>848750</v>
      </c>
    </row>
    <row r="35" spans="1:20" s="67" customFormat="1" ht="13.5" customHeight="1" x14ac:dyDescent="0.25">
      <c r="A35" s="69" t="s">
        <v>1066</v>
      </c>
      <c r="B35" s="60" t="s">
        <v>1709</v>
      </c>
      <c r="C35" s="60" t="s">
        <v>165</v>
      </c>
      <c r="D35" s="11" t="s">
        <v>1097</v>
      </c>
      <c r="E35" s="296" t="s">
        <v>1690</v>
      </c>
      <c r="F35" s="60">
        <v>17500</v>
      </c>
      <c r="G35" s="69">
        <v>700</v>
      </c>
      <c r="H35" s="69" t="s">
        <v>681</v>
      </c>
      <c r="I35" s="69" t="s">
        <v>357</v>
      </c>
      <c r="J35" s="58">
        <v>45548</v>
      </c>
      <c r="K35" s="108"/>
      <c r="L35" s="118"/>
      <c r="M35" s="66"/>
      <c r="N35" s="399" t="s">
        <v>1727</v>
      </c>
      <c r="O35" s="60">
        <v>17500</v>
      </c>
      <c r="P35" s="56"/>
      <c r="Q35" s="56"/>
      <c r="R35" s="225" t="s">
        <v>387</v>
      </c>
      <c r="S35" s="100">
        <v>48500</v>
      </c>
      <c r="T35" s="65">
        <f t="shared" si="0"/>
        <v>848750</v>
      </c>
    </row>
    <row r="36" spans="1:20" s="67" customFormat="1" ht="13.5" customHeight="1" x14ac:dyDescent="0.25">
      <c r="A36" s="69" t="s">
        <v>1066</v>
      </c>
      <c r="B36" s="60" t="s">
        <v>1710</v>
      </c>
      <c r="C36" s="60" t="s">
        <v>165</v>
      </c>
      <c r="D36" s="11" t="s">
        <v>1097</v>
      </c>
      <c r="E36" s="296" t="s">
        <v>1691</v>
      </c>
      <c r="F36" s="60">
        <v>17500</v>
      </c>
      <c r="G36" s="69">
        <v>700</v>
      </c>
      <c r="H36" s="69" t="s">
        <v>681</v>
      </c>
      <c r="I36" s="69" t="s">
        <v>357</v>
      </c>
      <c r="J36" s="58">
        <v>45548</v>
      </c>
      <c r="K36" s="108"/>
      <c r="L36" s="118"/>
      <c r="M36" s="66"/>
      <c r="N36" s="399" t="s">
        <v>1728</v>
      </c>
      <c r="O36" s="60">
        <v>17500</v>
      </c>
      <c r="P36" s="56"/>
      <c r="Q36" s="56"/>
      <c r="R36" s="225" t="s">
        <v>387</v>
      </c>
      <c r="S36" s="100">
        <v>48500</v>
      </c>
      <c r="T36" s="65">
        <f t="shared" ref="T36:T58" si="1" xml:space="preserve"> S36*(F36/1000)</f>
        <v>848750</v>
      </c>
    </row>
    <row r="37" spans="1:20" s="67" customFormat="1" x14ac:dyDescent="0.25">
      <c r="A37" s="69" t="s">
        <v>1532</v>
      </c>
      <c r="B37" s="60" t="s">
        <v>1199</v>
      </c>
      <c r="C37" s="60" t="s">
        <v>1323</v>
      </c>
      <c r="D37" s="11" t="s">
        <v>287</v>
      </c>
      <c r="E37" s="59" t="s">
        <v>955</v>
      </c>
      <c r="F37" s="60">
        <v>17000</v>
      </c>
      <c r="G37" s="69">
        <v>680</v>
      </c>
      <c r="H37" s="69" t="s">
        <v>424</v>
      </c>
      <c r="I37" s="69" t="s">
        <v>357</v>
      </c>
      <c r="J37" s="58">
        <v>45552</v>
      </c>
      <c r="K37" s="108" t="s">
        <v>1730</v>
      </c>
      <c r="L37" s="117">
        <v>89803786861</v>
      </c>
      <c r="M37" s="66" t="s">
        <v>1729</v>
      </c>
      <c r="N37" s="341"/>
      <c r="O37" s="60">
        <v>17000</v>
      </c>
      <c r="P37" s="56"/>
      <c r="Q37" s="60"/>
      <c r="R37" s="56" t="s">
        <v>387</v>
      </c>
      <c r="S37" s="100">
        <v>40700</v>
      </c>
      <c r="T37" s="65">
        <f t="shared" si="1"/>
        <v>691900</v>
      </c>
    </row>
    <row r="38" spans="1:20" s="67" customFormat="1" x14ac:dyDescent="0.25">
      <c r="A38" s="69" t="s">
        <v>1532</v>
      </c>
      <c r="B38" s="60" t="s">
        <v>1199</v>
      </c>
      <c r="C38" s="60" t="s">
        <v>1323</v>
      </c>
      <c r="D38" s="11" t="s">
        <v>204</v>
      </c>
      <c r="E38" s="59" t="s">
        <v>1051</v>
      </c>
      <c r="F38" s="60">
        <v>2400</v>
      </c>
      <c r="G38" s="69">
        <v>12</v>
      </c>
      <c r="H38" s="69" t="s">
        <v>424</v>
      </c>
      <c r="I38" s="69" t="s">
        <v>357</v>
      </c>
      <c r="J38" s="58">
        <v>45552</v>
      </c>
      <c r="K38" s="108" t="s">
        <v>1730</v>
      </c>
      <c r="L38" s="117">
        <v>89803786861</v>
      </c>
      <c r="M38" s="66" t="s">
        <v>1729</v>
      </c>
      <c r="N38" s="341"/>
      <c r="O38" s="56"/>
      <c r="P38" s="56"/>
      <c r="Q38" s="60">
        <v>2400</v>
      </c>
      <c r="R38" s="56" t="s">
        <v>387</v>
      </c>
      <c r="S38" s="100">
        <v>99800</v>
      </c>
      <c r="T38" s="65">
        <f t="shared" si="1"/>
        <v>239520</v>
      </c>
    </row>
    <row r="39" spans="1:20" s="67" customFormat="1" ht="13.5" customHeight="1" x14ac:dyDescent="0.25">
      <c r="A39" s="69" t="s">
        <v>1532</v>
      </c>
      <c r="B39" s="97" t="s">
        <v>1741</v>
      </c>
      <c r="C39" s="97" t="s">
        <v>401</v>
      </c>
      <c r="D39" s="98" t="s">
        <v>286</v>
      </c>
      <c r="E39" s="59" t="s">
        <v>1742</v>
      </c>
      <c r="F39" s="97">
        <v>20000</v>
      </c>
      <c r="G39" s="69">
        <v>800</v>
      </c>
      <c r="H39" s="69" t="s">
        <v>1619</v>
      </c>
      <c r="I39" s="69" t="s">
        <v>357</v>
      </c>
      <c r="J39" s="58">
        <v>45553</v>
      </c>
      <c r="K39" s="105" t="s">
        <v>1745</v>
      </c>
      <c r="L39" s="123">
        <v>89872508769</v>
      </c>
      <c r="M39" s="105" t="s">
        <v>1744</v>
      </c>
      <c r="N39" s="339"/>
      <c r="O39" s="97"/>
      <c r="P39" s="97">
        <v>20000</v>
      </c>
      <c r="Q39" s="56"/>
      <c r="R39" s="56" t="s">
        <v>387</v>
      </c>
      <c r="S39" s="100">
        <v>247000</v>
      </c>
      <c r="T39" s="65">
        <f t="shared" si="1"/>
        <v>4940000</v>
      </c>
    </row>
    <row r="40" spans="1:20" s="67" customFormat="1" x14ac:dyDescent="0.25">
      <c r="A40" s="413" t="s">
        <v>779</v>
      </c>
      <c r="B40" s="325" t="s">
        <v>1732</v>
      </c>
      <c r="C40" s="325" t="s">
        <v>373</v>
      </c>
      <c r="D40" s="361" t="s">
        <v>285</v>
      </c>
      <c r="E40" s="362" t="s">
        <v>1125</v>
      </c>
      <c r="F40" s="325">
        <v>20000</v>
      </c>
      <c r="G40" s="407">
        <v>800</v>
      </c>
      <c r="H40" s="407" t="s">
        <v>169</v>
      </c>
      <c r="I40" s="69" t="s">
        <v>357</v>
      </c>
      <c r="J40" s="363">
        <v>45554</v>
      </c>
      <c r="K40" s="328" t="s">
        <v>1739</v>
      </c>
      <c r="L40" s="328">
        <v>89021980813</v>
      </c>
      <c r="M40" s="329" t="s">
        <v>1738</v>
      </c>
      <c r="N40" s="364"/>
      <c r="O40" s="325">
        <v>20000</v>
      </c>
      <c r="P40" s="330"/>
      <c r="Q40" s="330"/>
      <c r="R40" s="330" t="s">
        <v>387</v>
      </c>
      <c r="S40" s="365">
        <v>40700</v>
      </c>
      <c r="T40" s="65">
        <f t="shared" si="1"/>
        <v>814000</v>
      </c>
    </row>
    <row r="41" spans="1:20" s="67" customFormat="1" ht="13.5" customHeight="1" x14ac:dyDescent="0.25">
      <c r="A41" s="69" t="s">
        <v>1066</v>
      </c>
      <c r="B41" s="60" t="s">
        <v>1708</v>
      </c>
      <c r="C41" s="60" t="s">
        <v>165</v>
      </c>
      <c r="D41" s="11" t="s">
        <v>1097</v>
      </c>
      <c r="E41" s="296" t="s">
        <v>1689</v>
      </c>
      <c r="F41" s="60">
        <v>17500</v>
      </c>
      <c r="G41" s="69">
        <v>700</v>
      </c>
      <c r="H41" s="69" t="s">
        <v>172</v>
      </c>
      <c r="I41" s="69" t="s">
        <v>357</v>
      </c>
      <c r="J41" s="58">
        <v>45554</v>
      </c>
      <c r="K41" s="108"/>
      <c r="L41" s="118"/>
      <c r="M41" s="66"/>
      <c r="N41" s="399" t="s">
        <v>1751</v>
      </c>
      <c r="O41" s="60">
        <v>17500</v>
      </c>
      <c r="P41" s="56"/>
      <c r="Q41" s="56"/>
      <c r="R41" s="225" t="s">
        <v>387</v>
      </c>
      <c r="S41" s="100">
        <v>48500</v>
      </c>
      <c r="T41" s="65">
        <f t="shared" si="1"/>
        <v>848750</v>
      </c>
    </row>
    <row r="42" spans="1:20" s="67" customFormat="1" x14ac:dyDescent="0.25">
      <c r="A42" s="69" t="s">
        <v>1066</v>
      </c>
      <c r="B42" s="60" t="s">
        <v>1748</v>
      </c>
      <c r="C42" s="60" t="s">
        <v>165</v>
      </c>
      <c r="D42" s="98" t="s">
        <v>205</v>
      </c>
      <c r="E42" s="296" t="s">
        <v>1720</v>
      </c>
      <c r="F42" s="97">
        <v>7400</v>
      </c>
      <c r="G42" s="69">
        <v>40</v>
      </c>
      <c r="H42" s="69" t="s">
        <v>172</v>
      </c>
      <c r="I42" s="69" t="s">
        <v>357</v>
      </c>
      <c r="J42" s="58">
        <v>45554</v>
      </c>
      <c r="K42" s="105"/>
      <c r="L42" s="123"/>
      <c r="M42" s="105"/>
      <c r="N42" s="389" t="s">
        <v>1750</v>
      </c>
      <c r="O42" s="56"/>
      <c r="P42" s="60"/>
      <c r="Q42" s="97">
        <v>7400</v>
      </c>
      <c r="R42" s="225" t="s">
        <v>387</v>
      </c>
      <c r="S42" s="100">
        <v>125000</v>
      </c>
      <c r="T42" s="65">
        <f t="shared" si="1"/>
        <v>925000</v>
      </c>
    </row>
    <row r="43" spans="1:20" s="67" customFormat="1" x14ac:dyDescent="0.25">
      <c r="A43" s="69" t="s">
        <v>1066</v>
      </c>
      <c r="B43" s="60" t="s">
        <v>1748</v>
      </c>
      <c r="C43" s="60" t="s">
        <v>165</v>
      </c>
      <c r="D43" s="98" t="s">
        <v>205</v>
      </c>
      <c r="E43" s="296" t="s">
        <v>1725</v>
      </c>
      <c r="F43" s="97">
        <v>7400</v>
      </c>
      <c r="G43" s="69">
        <v>40</v>
      </c>
      <c r="H43" s="69" t="s">
        <v>172</v>
      </c>
      <c r="I43" s="69" t="s">
        <v>357</v>
      </c>
      <c r="J43" s="58">
        <v>45554</v>
      </c>
      <c r="K43" s="105"/>
      <c r="L43" s="123"/>
      <c r="M43" s="105"/>
      <c r="N43" s="389" t="s">
        <v>1750</v>
      </c>
      <c r="O43" s="56"/>
      <c r="P43" s="60"/>
      <c r="Q43" s="97">
        <v>7400</v>
      </c>
      <c r="R43" s="225" t="s">
        <v>387</v>
      </c>
      <c r="S43" s="100">
        <v>125000</v>
      </c>
      <c r="T43" s="65">
        <f t="shared" si="1"/>
        <v>925000</v>
      </c>
    </row>
    <row r="44" spans="1:20" s="67" customFormat="1" x14ac:dyDescent="0.25">
      <c r="A44" s="69" t="s">
        <v>1066</v>
      </c>
      <c r="B44" s="60" t="s">
        <v>1747</v>
      </c>
      <c r="C44" s="60" t="s">
        <v>165</v>
      </c>
      <c r="D44" s="98" t="s">
        <v>897</v>
      </c>
      <c r="E44" s="296" t="s">
        <v>1564</v>
      </c>
      <c r="F44" s="97">
        <v>6400</v>
      </c>
      <c r="G44" s="69">
        <v>32</v>
      </c>
      <c r="H44" s="69" t="s">
        <v>172</v>
      </c>
      <c r="I44" s="69" t="s">
        <v>357</v>
      </c>
      <c r="J44" s="58">
        <v>45555</v>
      </c>
      <c r="K44" s="105"/>
      <c r="L44" s="123"/>
      <c r="M44" s="105"/>
      <c r="N44" s="389" t="s">
        <v>1754</v>
      </c>
      <c r="O44" s="56"/>
      <c r="P44" s="60"/>
      <c r="Q44" s="97">
        <v>6400</v>
      </c>
      <c r="R44" s="225" t="s">
        <v>387</v>
      </c>
      <c r="S44" s="100">
        <v>77400</v>
      </c>
      <c r="T44" s="65">
        <f t="shared" si="1"/>
        <v>495360</v>
      </c>
    </row>
    <row r="45" spans="1:20" s="67" customFormat="1" x14ac:dyDescent="0.25">
      <c r="A45" s="69" t="s">
        <v>1066</v>
      </c>
      <c r="B45" s="60" t="s">
        <v>1747</v>
      </c>
      <c r="C45" s="60" t="s">
        <v>165</v>
      </c>
      <c r="D45" s="98" t="s">
        <v>897</v>
      </c>
      <c r="E45" s="296" t="s">
        <v>1715</v>
      </c>
      <c r="F45" s="97">
        <v>7200</v>
      </c>
      <c r="G45" s="69">
        <v>36</v>
      </c>
      <c r="H45" s="69" t="s">
        <v>172</v>
      </c>
      <c r="I45" s="69" t="s">
        <v>357</v>
      </c>
      <c r="J45" s="58">
        <v>45555</v>
      </c>
      <c r="K45" s="105"/>
      <c r="L45" s="123"/>
      <c r="M45" s="105"/>
      <c r="N45" s="389" t="s">
        <v>1754</v>
      </c>
      <c r="O45" s="56"/>
      <c r="P45" s="60"/>
      <c r="Q45" s="97">
        <v>7200</v>
      </c>
      <c r="R45" s="225" t="s">
        <v>387</v>
      </c>
      <c r="S45" s="100">
        <v>77400</v>
      </c>
      <c r="T45" s="65">
        <f t="shared" si="1"/>
        <v>557280</v>
      </c>
    </row>
    <row r="46" spans="1:20" s="67" customFormat="1" x14ac:dyDescent="0.25">
      <c r="A46" s="69" t="s">
        <v>1066</v>
      </c>
      <c r="B46" s="60" t="s">
        <v>1747</v>
      </c>
      <c r="C46" s="60" t="s">
        <v>165</v>
      </c>
      <c r="D46" s="98" t="s">
        <v>897</v>
      </c>
      <c r="E46" s="296" t="s">
        <v>1726</v>
      </c>
      <c r="F46" s="97">
        <v>2400</v>
      </c>
      <c r="G46" s="97">
        <v>12</v>
      </c>
      <c r="H46" s="69" t="s">
        <v>172</v>
      </c>
      <c r="I46" s="69" t="s">
        <v>357</v>
      </c>
      <c r="J46" s="58">
        <v>45555</v>
      </c>
      <c r="K46" s="105"/>
      <c r="L46" s="123"/>
      <c r="M46" s="105"/>
      <c r="N46" s="389" t="s">
        <v>1754</v>
      </c>
      <c r="O46" s="56"/>
      <c r="P46" s="60"/>
      <c r="Q46" s="97">
        <v>2400</v>
      </c>
      <c r="R46" s="225" t="s">
        <v>387</v>
      </c>
      <c r="S46" s="100">
        <v>77400</v>
      </c>
      <c r="T46" s="65">
        <f t="shared" si="1"/>
        <v>185760</v>
      </c>
    </row>
    <row r="47" spans="1:20" s="67" customFormat="1" x14ac:dyDescent="0.25">
      <c r="A47" s="69" t="s">
        <v>1066</v>
      </c>
      <c r="B47" s="60" t="s">
        <v>1748</v>
      </c>
      <c r="C47" s="60" t="s">
        <v>165</v>
      </c>
      <c r="D47" s="98" t="s">
        <v>897</v>
      </c>
      <c r="E47" s="296" t="s">
        <v>1726</v>
      </c>
      <c r="F47" s="97">
        <v>4800</v>
      </c>
      <c r="G47" s="97">
        <v>24</v>
      </c>
      <c r="H47" s="69" t="s">
        <v>172</v>
      </c>
      <c r="I47" s="69" t="s">
        <v>357</v>
      </c>
      <c r="J47" s="58">
        <v>45555</v>
      </c>
      <c r="K47" s="105"/>
      <c r="L47" s="123"/>
      <c r="M47" s="105"/>
      <c r="N47" s="389" t="s">
        <v>1755</v>
      </c>
      <c r="O47" s="56"/>
      <c r="P47" s="60"/>
      <c r="Q47" s="97">
        <v>4800</v>
      </c>
      <c r="R47" s="225" t="s">
        <v>387</v>
      </c>
      <c r="S47" s="100">
        <v>77400</v>
      </c>
      <c r="T47" s="65">
        <f t="shared" si="1"/>
        <v>371520</v>
      </c>
    </row>
    <row r="48" spans="1:20" s="67" customFormat="1" x14ac:dyDescent="0.25">
      <c r="A48" s="69" t="s">
        <v>1066</v>
      </c>
      <c r="B48" s="60" t="s">
        <v>1748</v>
      </c>
      <c r="C48" s="60" t="s">
        <v>165</v>
      </c>
      <c r="D48" s="98" t="s">
        <v>897</v>
      </c>
      <c r="E48" s="296" t="s">
        <v>1733</v>
      </c>
      <c r="F48" s="97">
        <v>7800</v>
      </c>
      <c r="G48" s="97">
        <v>39</v>
      </c>
      <c r="H48" s="69" t="s">
        <v>172</v>
      </c>
      <c r="I48" s="69" t="s">
        <v>357</v>
      </c>
      <c r="J48" s="58">
        <v>45555</v>
      </c>
      <c r="K48" s="105"/>
      <c r="L48" s="123"/>
      <c r="M48" s="105"/>
      <c r="N48" s="389" t="s">
        <v>1755</v>
      </c>
      <c r="O48" s="56"/>
      <c r="P48" s="60"/>
      <c r="Q48" s="97">
        <v>7800</v>
      </c>
      <c r="R48" s="225" t="s">
        <v>387</v>
      </c>
      <c r="S48" s="100">
        <v>77400</v>
      </c>
      <c r="T48" s="65">
        <f t="shared" si="1"/>
        <v>603720</v>
      </c>
    </row>
    <row r="49" spans="1:20" s="67" customFormat="1" x14ac:dyDescent="0.25">
      <c r="A49" s="69" t="s">
        <v>1066</v>
      </c>
      <c r="B49" s="60" t="s">
        <v>1748</v>
      </c>
      <c r="C49" s="60" t="s">
        <v>165</v>
      </c>
      <c r="D49" s="98" t="s">
        <v>897</v>
      </c>
      <c r="E49" s="296" t="s">
        <v>1734</v>
      </c>
      <c r="F49" s="97">
        <v>3400</v>
      </c>
      <c r="G49" s="97">
        <v>17</v>
      </c>
      <c r="H49" s="69" t="s">
        <v>172</v>
      </c>
      <c r="I49" s="69" t="s">
        <v>357</v>
      </c>
      <c r="J49" s="58">
        <v>45555</v>
      </c>
      <c r="K49" s="105"/>
      <c r="L49" s="123"/>
      <c r="M49" s="105"/>
      <c r="N49" s="389" t="s">
        <v>1755</v>
      </c>
      <c r="O49" s="56"/>
      <c r="P49" s="60"/>
      <c r="Q49" s="97">
        <v>3400</v>
      </c>
      <c r="R49" s="225" t="s">
        <v>387</v>
      </c>
      <c r="S49" s="100">
        <v>77400</v>
      </c>
      <c r="T49" s="65">
        <f t="shared" si="1"/>
        <v>263160</v>
      </c>
    </row>
    <row r="50" spans="1:20" s="67" customFormat="1" x14ac:dyDescent="0.25">
      <c r="A50" s="413" t="s">
        <v>1749</v>
      </c>
      <c r="B50" s="325" t="s">
        <v>1731</v>
      </c>
      <c r="C50" s="325" t="s">
        <v>373</v>
      </c>
      <c r="D50" s="361" t="s">
        <v>287</v>
      </c>
      <c r="E50" s="362" t="s">
        <v>977</v>
      </c>
      <c r="F50" s="325">
        <v>20000</v>
      </c>
      <c r="G50" s="408">
        <v>800</v>
      </c>
      <c r="H50" s="408" t="s">
        <v>382</v>
      </c>
      <c r="I50" s="172" t="s">
        <v>357</v>
      </c>
      <c r="J50" s="363">
        <v>45558</v>
      </c>
      <c r="K50" s="328" t="s">
        <v>1756</v>
      </c>
      <c r="L50" s="328">
        <v>89960826975</v>
      </c>
      <c r="M50" s="329" t="s">
        <v>1757</v>
      </c>
      <c r="N50" s="364"/>
      <c r="O50" s="325">
        <v>20000</v>
      </c>
      <c r="P50" s="330"/>
      <c r="Q50" s="330"/>
      <c r="R50" s="330" t="s">
        <v>387</v>
      </c>
      <c r="S50" s="365">
        <v>40700</v>
      </c>
      <c r="T50" s="65">
        <f t="shared" si="1"/>
        <v>814000</v>
      </c>
    </row>
    <row r="51" spans="1:20" s="67" customFormat="1" x14ac:dyDescent="0.25">
      <c r="A51" s="413" t="s">
        <v>1749</v>
      </c>
      <c r="B51" s="325" t="s">
        <v>1735</v>
      </c>
      <c r="C51" s="325" t="s">
        <v>373</v>
      </c>
      <c r="D51" s="361" t="s">
        <v>285</v>
      </c>
      <c r="E51" s="362" t="s">
        <v>1125</v>
      </c>
      <c r="F51" s="325">
        <v>20000</v>
      </c>
      <c r="G51" s="410">
        <v>800</v>
      </c>
      <c r="H51" s="410" t="s">
        <v>169</v>
      </c>
      <c r="I51" s="172" t="s">
        <v>357</v>
      </c>
      <c r="J51" s="363">
        <v>45558</v>
      </c>
      <c r="K51" s="328" t="s">
        <v>1758</v>
      </c>
      <c r="L51" s="328">
        <v>89197101726</v>
      </c>
      <c r="M51" s="329" t="s">
        <v>1759</v>
      </c>
      <c r="N51" s="364"/>
      <c r="O51" s="325">
        <v>20000</v>
      </c>
      <c r="P51" s="330"/>
      <c r="Q51" s="330"/>
      <c r="R51" s="330" t="s">
        <v>387</v>
      </c>
      <c r="S51" s="365">
        <v>40700</v>
      </c>
      <c r="T51" s="65">
        <f t="shared" si="1"/>
        <v>814000</v>
      </c>
    </row>
    <row r="52" spans="1:20" s="167" customFormat="1" ht="13.5" customHeight="1" x14ac:dyDescent="0.25">
      <c r="A52" s="69" t="s">
        <v>224</v>
      </c>
      <c r="B52" s="60" t="s">
        <v>1737</v>
      </c>
      <c r="C52" s="60" t="s">
        <v>373</v>
      </c>
      <c r="D52" s="159" t="s">
        <v>204</v>
      </c>
      <c r="E52" s="160" t="s">
        <v>1004</v>
      </c>
      <c r="F52" s="158">
        <v>17600</v>
      </c>
      <c r="G52" s="161">
        <v>88</v>
      </c>
      <c r="H52" s="69" t="s">
        <v>382</v>
      </c>
      <c r="I52" s="172" t="s">
        <v>357</v>
      </c>
      <c r="J52" s="58">
        <v>45559</v>
      </c>
      <c r="K52" s="105" t="s">
        <v>744</v>
      </c>
      <c r="L52" s="117">
        <v>89129953889</v>
      </c>
      <c r="M52" s="105" t="s">
        <v>743</v>
      </c>
      <c r="N52" s="341"/>
      <c r="O52" s="56"/>
      <c r="P52" s="56"/>
      <c r="Q52" s="158">
        <v>17600</v>
      </c>
      <c r="R52" s="164" t="s">
        <v>387</v>
      </c>
      <c r="S52" s="165">
        <v>99800</v>
      </c>
      <c r="T52" s="65">
        <f t="shared" si="1"/>
        <v>1756480.0000000002</v>
      </c>
    </row>
    <row r="53" spans="1:20" s="67" customFormat="1" x14ac:dyDescent="0.25">
      <c r="A53" s="69" t="s">
        <v>224</v>
      </c>
      <c r="B53" s="60" t="s">
        <v>1736</v>
      </c>
      <c r="C53" s="60" t="s">
        <v>373</v>
      </c>
      <c r="D53" s="98" t="s">
        <v>286</v>
      </c>
      <c r="E53" s="59" t="s">
        <v>1566</v>
      </c>
      <c r="F53" s="97">
        <v>20000</v>
      </c>
      <c r="G53" s="69">
        <v>800</v>
      </c>
      <c r="H53" s="69" t="s">
        <v>382</v>
      </c>
      <c r="I53" s="172" t="s">
        <v>357</v>
      </c>
      <c r="J53" s="58">
        <v>45560</v>
      </c>
      <c r="K53" s="105" t="s">
        <v>1761</v>
      </c>
      <c r="L53" s="398">
        <v>89227248562</v>
      </c>
      <c r="M53" s="105" t="s">
        <v>1760</v>
      </c>
      <c r="N53" s="360"/>
      <c r="O53" s="56"/>
      <c r="P53" s="97">
        <v>20000</v>
      </c>
      <c r="Q53" s="97"/>
      <c r="R53" s="56" t="s">
        <v>387</v>
      </c>
      <c r="S53" s="100">
        <v>250000</v>
      </c>
      <c r="T53" s="65">
        <f t="shared" si="1"/>
        <v>5000000</v>
      </c>
    </row>
    <row r="54" spans="1:20" s="67" customFormat="1" ht="13.5" customHeight="1" x14ac:dyDescent="0.25">
      <c r="A54" s="69" t="s">
        <v>1740</v>
      </c>
      <c r="B54" s="97" t="s">
        <v>1743</v>
      </c>
      <c r="C54" s="97" t="s">
        <v>401</v>
      </c>
      <c r="D54" s="98" t="s">
        <v>286</v>
      </c>
      <c r="E54" s="97">
        <v>160924</v>
      </c>
      <c r="F54" s="97">
        <v>20000</v>
      </c>
      <c r="G54" s="69">
        <v>800</v>
      </c>
      <c r="H54" s="69" t="s">
        <v>1619</v>
      </c>
      <c r="I54" s="69" t="s">
        <v>357</v>
      </c>
      <c r="J54" s="58">
        <v>45561</v>
      </c>
      <c r="K54" s="105" t="s">
        <v>1771</v>
      </c>
      <c r="L54" s="123">
        <v>89028023091</v>
      </c>
      <c r="M54" s="105" t="s">
        <v>1772</v>
      </c>
      <c r="N54" s="339"/>
      <c r="O54" s="97"/>
      <c r="P54" s="97">
        <v>20000</v>
      </c>
      <c r="Q54" s="56"/>
      <c r="R54" s="56" t="s">
        <v>387</v>
      </c>
      <c r="S54" s="100">
        <v>250000</v>
      </c>
      <c r="T54" s="65">
        <f t="shared" si="1"/>
        <v>5000000</v>
      </c>
    </row>
    <row r="55" spans="1:20" s="67" customFormat="1" x14ac:dyDescent="0.25">
      <c r="A55" s="69" t="s">
        <v>391</v>
      </c>
      <c r="B55" s="60" t="s">
        <v>419</v>
      </c>
      <c r="C55" s="60" t="s">
        <v>822</v>
      </c>
      <c r="D55" s="11" t="s">
        <v>174</v>
      </c>
      <c r="E55" s="59" t="s">
        <v>1746</v>
      </c>
      <c r="F55" s="60">
        <v>8000</v>
      </c>
      <c r="G55" s="69">
        <v>40</v>
      </c>
      <c r="H55" s="69" t="s">
        <v>391</v>
      </c>
      <c r="I55" s="69" t="s">
        <v>357</v>
      </c>
      <c r="J55" s="58">
        <v>45561</v>
      </c>
      <c r="K55" s="108" t="s">
        <v>1773</v>
      </c>
      <c r="L55" s="117">
        <v>89226314214</v>
      </c>
      <c r="M55" s="66" t="s">
        <v>1774</v>
      </c>
      <c r="N55" s="341"/>
      <c r="O55" s="56"/>
      <c r="P55" s="60"/>
      <c r="Q55" s="60">
        <v>8000</v>
      </c>
      <c r="R55" s="56" t="s">
        <v>387</v>
      </c>
      <c r="S55" s="100">
        <v>89900</v>
      </c>
      <c r="T55" s="65">
        <f t="shared" si="1"/>
        <v>719200</v>
      </c>
    </row>
    <row r="56" spans="1:20" s="67" customFormat="1" x14ac:dyDescent="0.25">
      <c r="A56" s="69" t="s">
        <v>391</v>
      </c>
      <c r="B56" s="60" t="s">
        <v>419</v>
      </c>
      <c r="C56" s="60" t="s">
        <v>822</v>
      </c>
      <c r="D56" s="11" t="s">
        <v>174</v>
      </c>
      <c r="E56" s="59" t="s">
        <v>977</v>
      </c>
      <c r="F56" s="60">
        <v>8000</v>
      </c>
      <c r="G56" s="69">
        <v>40</v>
      </c>
      <c r="H56" s="69" t="s">
        <v>391</v>
      </c>
      <c r="I56" s="69" t="s">
        <v>357</v>
      </c>
      <c r="J56" s="58">
        <v>45561</v>
      </c>
      <c r="K56" s="108" t="s">
        <v>1773</v>
      </c>
      <c r="L56" s="117">
        <v>89226314214</v>
      </c>
      <c r="M56" s="66" t="s">
        <v>1774</v>
      </c>
      <c r="N56" s="341"/>
      <c r="O56" s="56"/>
      <c r="P56" s="60"/>
      <c r="Q56" s="60">
        <v>8000</v>
      </c>
      <c r="R56" s="56" t="s">
        <v>387</v>
      </c>
      <c r="S56" s="100">
        <v>89900</v>
      </c>
      <c r="T56" s="65">
        <f t="shared" si="1"/>
        <v>719200</v>
      </c>
    </row>
    <row r="57" spans="1:20" s="67" customFormat="1" x14ac:dyDescent="0.25">
      <c r="A57" s="69" t="s">
        <v>391</v>
      </c>
      <c r="B57" s="60" t="s">
        <v>419</v>
      </c>
      <c r="C57" s="60" t="s">
        <v>822</v>
      </c>
      <c r="D57" s="11" t="s">
        <v>174</v>
      </c>
      <c r="E57" s="59" t="s">
        <v>1382</v>
      </c>
      <c r="F57" s="60">
        <v>800</v>
      </c>
      <c r="G57" s="69">
        <v>4</v>
      </c>
      <c r="H57" s="69" t="s">
        <v>391</v>
      </c>
      <c r="I57" s="69" t="s">
        <v>357</v>
      </c>
      <c r="J57" s="58">
        <v>45561</v>
      </c>
      <c r="K57" s="108" t="s">
        <v>1773</v>
      </c>
      <c r="L57" s="117">
        <v>89226314214</v>
      </c>
      <c r="M57" s="66" t="s">
        <v>1774</v>
      </c>
      <c r="N57" s="341"/>
      <c r="O57" s="56"/>
      <c r="P57" s="60"/>
      <c r="Q57" s="60">
        <v>800</v>
      </c>
      <c r="R57" s="56" t="s">
        <v>387</v>
      </c>
      <c r="S57" s="100">
        <v>89900</v>
      </c>
      <c r="T57" s="65">
        <f t="shared" si="1"/>
        <v>71920</v>
      </c>
    </row>
    <row r="58" spans="1:20" s="67" customFormat="1" x14ac:dyDescent="0.25">
      <c r="A58" s="69" t="s">
        <v>391</v>
      </c>
      <c r="B58" s="60" t="s">
        <v>419</v>
      </c>
      <c r="C58" s="60" t="s">
        <v>822</v>
      </c>
      <c r="D58" s="11" t="s">
        <v>1778</v>
      </c>
      <c r="E58" s="59" t="s">
        <v>1776</v>
      </c>
      <c r="F58" s="60">
        <v>800</v>
      </c>
      <c r="G58" s="69">
        <v>4</v>
      </c>
      <c r="H58" s="69" t="s">
        <v>391</v>
      </c>
      <c r="I58" s="69" t="s">
        <v>357</v>
      </c>
      <c r="J58" s="58">
        <v>45561</v>
      </c>
      <c r="K58" s="108" t="s">
        <v>1773</v>
      </c>
      <c r="L58" s="117">
        <v>89226314214</v>
      </c>
      <c r="M58" s="66" t="s">
        <v>1774</v>
      </c>
      <c r="N58" s="341"/>
      <c r="O58" s="56"/>
      <c r="P58" s="60"/>
      <c r="Q58" s="60">
        <v>800</v>
      </c>
      <c r="R58" s="56" t="s">
        <v>387</v>
      </c>
      <c r="S58" s="100">
        <v>370000</v>
      </c>
      <c r="T58" s="65">
        <f t="shared" si="1"/>
        <v>296000</v>
      </c>
    </row>
    <row r="59" spans="1:20" s="67" customFormat="1" x14ac:dyDescent="0.25">
      <c r="A59" s="69" t="s">
        <v>391</v>
      </c>
      <c r="B59" s="327" t="s">
        <v>460</v>
      </c>
      <c r="C59" s="327" t="s">
        <v>390</v>
      </c>
      <c r="D59" s="418" t="s">
        <v>338</v>
      </c>
      <c r="E59" s="362" t="s">
        <v>1779</v>
      </c>
      <c r="F59" s="327">
        <v>2400</v>
      </c>
      <c r="G59" s="416">
        <v>12</v>
      </c>
      <c r="H59" s="416" t="s">
        <v>1780</v>
      </c>
      <c r="I59" s="69" t="s">
        <v>357</v>
      </c>
      <c r="J59" s="363">
        <v>45565</v>
      </c>
      <c r="K59" s="405" t="s">
        <v>1781</v>
      </c>
      <c r="L59" s="406">
        <v>79176302074</v>
      </c>
      <c r="M59" s="405" t="s">
        <v>1782</v>
      </c>
      <c r="N59" s="417"/>
      <c r="O59" s="327"/>
      <c r="P59" s="325"/>
      <c r="Q59" s="330">
        <v>2400</v>
      </c>
      <c r="R59" s="330" t="s">
        <v>387</v>
      </c>
      <c r="S59" s="365">
        <v>196000</v>
      </c>
      <c r="T59" s="65">
        <f xml:space="preserve"> S59*(F59/1000)</f>
        <v>470400</v>
      </c>
    </row>
    <row r="60" spans="1:20" s="67" customFormat="1" ht="13.5" customHeight="1" x14ac:dyDescent="0.25">
      <c r="A60" s="69" t="s">
        <v>166</v>
      </c>
      <c r="B60" s="60" t="s">
        <v>1702</v>
      </c>
      <c r="C60" s="60" t="s">
        <v>165</v>
      </c>
      <c r="D60" s="11" t="s">
        <v>1705</v>
      </c>
      <c r="E60" s="59" t="s">
        <v>1701</v>
      </c>
      <c r="F60" s="60">
        <v>7600</v>
      </c>
      <c r="G60" s="69">
        <v>8</v>
      </c>
      <c r="H60" s="69" t="s">
        <v>1120</v>
      </c>
      <c r="I60" s="69" t="s">
        <v>1079</v>
      </c>
      <c r="J60" s="58">
        <v>45565</v>
      </c>
      <c r="K60" s="108" t="s">
        <v>1786</v>
      </c>
      <c r="L60" s="117">
        <v>79539376802</v>
      </c>
      <c r="M60" s="66" t="s">
        <v>1785</v>
      </c>
      <c r="N60" s="415"/>
      <c r="O60" s="56"/>
      <c r="P60" s="56"/>
      <c r="Q60" s="60">
        <v>7600</v>
      </c>
      <c r="R60" s="225" t="s">
        <v>387</v>
      </c>
      <c r="S60" s="100">
        <v>713900</v>
      </c>
      <c r="T60" s="65">
        <f xml:space="preserve"> S60*(F60/1000)</f>
        <v>5425640</v>
      </c>
    </row>
    <row r="61" spans="1:20" s="67" customFormat="1" ht="13.5" customHeight="1" x14ac:dyDescent="0.25">
      <c r="A61" s="69" t="s">
        <v>166</v>
      </c>
      <c r="B61" s="60" t="s">
        <v>1702</v>
      </c>
      <c r="C61" s="60" t="s">
        <v>165</v>
      </c>
      <c r="D61" s="11" t="s">
        <v>1705</v>
      </c>
      <c r="E61" s="59" t="s">
        <v>1703</v>
      </c>
      <c r="F61" s="60">
        <v>11400</v>
      </c>
      <c r="G61" s="69">
        <v>12</v>
      </c>
      <c r="H61" s="69" t="s">
        <v>1120</v>
      </c>
      <c r="I61" s="69" t="s">
        <v>1079</v>
      </c>
      <c r="J61" s="58">
        <v>45565</v>
      </c>
      <c r="K61" s="108" t="s">
        <v>1787</v>
      </c>
      <c r="L61" s="117">
        <v>79539376802</v>
      </c>
      <c r="M61" s="66" t="s">
        <v>1785</v>
      </c>
      <c r="N61" s="415"/>
      <c r="O61" s="56"/>
      <c r="P61" s="56"/>
      <c r="Q61" s="60">
        <v>11400</v>
      </c>
      <c r="R61" s="225" t="s">
        <v>387</v>
      </c>
      <c r="S61" s="100">
        <v>713900</v>
      </c>
      <c r="T61" s="65">
        <f xml:space="preserve"> S61*(F61/1000)</f>
        <v>8138460</v>
      </c>
    </row>
    <row r="62" spans="1:20" s="67" customFormat="1" ht="13.5" customHeight="1" x14ac:dyDescent="0.25">
      <c r="A62" s="69" t="s">
        <v>1066</v>
      </c>
      <c r="B62" s="60" t="s">
        <v>1752</v>
      </c>
      <c r="C62" s="60" t="s">
        <v>165</v>
      </c>
      <c r="D62" s="11" t="s">
        <v>1097</v>
      </c>
      <c r="E62" s="296" t="s">
        <v>1753</v>
      </c>
      <c r="F62" s="60">
        <v>17500</v>
      </c>
      <c r="G62" s="69">
        <v>700</v>
      </c>
      <c r="H62" s="69" t="s">
        <v>681</v>
      </c>
      <c r="I62" s="69" t="s">
        <v>357</v>
      </c>
      <c r="J62" s="58">
        <v>45565</v>
      </c>
      <c r="K62" s="108"/>
      <c r="L62" s="118"/>
      <c r="M62" s="66"/>
      <c r="N62" s="415" t="s">
        <v>1798</v>
      </c>
      <c r="O62" s="56">
        <v>17500</v>
      </c>
      <c r="P62" s="56"/>
      <c r="Q62" s="56"/>
      <c r="R62" s="225" t="s">
        <v>387</v>
      </c>
      <c r="S62" s="100">
        <v>48500</v>
      </c>
      <c r="T62" s="65">
        <f xml:space="preserve"> S62*(F62/1000)</f>
        <v>848750</v>
      </c>
    </row>
    <row r="63" spans="1:20" s="67" customFormat="1" ht="13.5" customHeight="1" x14ac:dyDescent="0.25">
      <c r="A63" s="69" t="s">
        <v>1066</v>
      </c>
      <c r="B63" s="60" t="s">
        <v>1762</v>
      </c>
      <c r="C63" s="60" t="s">
        <v>165</v>
      </c>
      <c r="D63" s="11" t="s">
        <v>1097</v>
      </c>
      <c r="E63" s="296" t="s">
        <v>1716</v>
      </c>
      <c r="F63" s="60">
        <v>17500</v>
      </c>
      <c r="G63" s="69">
        <v>700</v>
      </c>
      <c r="H63" s="69" t="s">
        <v>681</v>
      </c>
      <c r="I63" s="69" t="s">
        <v>357</v>
      </c>
      <c r="J63" s="58">
        <v>45565</v>
      </c>
      <c r="K63" s="108"/>
      <c r="L63" s="118"/>
      <c r="M63" s="66"/>
      <c r="N63" s="415" t="s">
        <v>1799</v>
      </c>
      <c r="O63" s="56">
        <v>17500</v>
      </c>
      <c r="P63" s="56"/>
      <c r="Q63" s="56"/>
      <c r="R63" s="225" t="s">
        <v>387</v>
      </c>
      <c r="S63" s="100">
        <v>48500</v>
      </c>
      <c r="T63" s="65">
        <f xml:space="preserve"> S63*(F63/1000)</f>
        <v>848750</v>
      </c>
    </row>
    <row r="64" spans="1:20" ht="18.75" x14ac:dyDescent="0.3">
      <c r="A64" s="401" t="s">
        <v>15</v>
      </c>
      <c r="B64" s="110">
        <f>SUM(F4:F63)/1000</f>
        <v>668.51</v>
      </c>
      <c r="C64" s="57" t="s">
        <v>14</v>
      </c>
      <c r="S64" s="102"/>
      <c r="T64" s="65">
        <f>SUM(T4:T63)</f>
        <v>69366535</v>
      </c>
    </row>
    <row r="65" spans="1:7" ht="18.75" x14ac:dyDescent="0.3">
      <c r="A65" s="127" t="s">
        <v>16</v>
      </c>
      <c r="B65" s="111">
        <f>B66+B67+B68</f>
        <v>668.51</v>
      </c>
      <c r="C65" s="1" t="s">
        <v>14</v>
      </c>
      <c r="E65" s="295"/>
      <c r="F65" s="394" t="s">
        <v>1574</v>
      </c>
      <c r="G65" s="394"/>
    </row>
    <row r="66" spans="1:7" ht="18.75" x14ac:dyDescent="0.3">
      <c r="A66" s="128" t="s">
        <v>17</v>
      </c>
      <c r="B66" s="109">
        <f>SUM(O4:O63)/1000</f>
        <v>411</v>
      </c>
      <c r="C66" s="2" t="s">
        <v>14</v>
      </c>
      <c r="E66" s="395"/>
      <c r="F66" s="394" t="s">
        <v>1557</v>
      </c>
      <c r="G66" s="394"/>
    </row>
    <row r="67" spans="1:7" ht="18.75" x14ac:dyDescent="0.3">
      <c r="A67" s="128" t="s">
        <v>154</v>
      </c>
      <c r="B67" s="109">
        <f>SUM(P4:P63)/1000</f>
        <v>60</v>
      </c>
      <c r="C67" s="2" t="s">
        <v>14</v>
      </c>
      <c r="E67" s="228"/>
      <c r="F67" s="394" t="s">
        <v>1556</v>
      </c>
      <c r="G67" s="394"/>
    </row>
    <row r="68" spans="1:7" ht="18.75" x14ac:dyDescent="0.3">
      <c r="A68" s="128" t="s">
        <v>24</v>
      </c>
      <c r="B68" s="112">
        <f>SUM(Q4:Q63)/1000</f>
        <v>197.51</v>
      </c>
      <c r="C68" s="2" t="s">
        <v>14</v>
      </c>
      <c r="E68" s="409"/>
      <c r="F68" s="394" t="s">
        <v>1775</v>
      </c>
    </row>
    <row r="69" spans="1:7" ht="19.5" thickBot="1" x14ac:dyDescent="0.35">
      <c r="A69" s="129" t="s">
        <v>20</v>
      </c>
      <c r="B69" s="113">
        <f>B64-B65</f>
        <v>0</v>
      </c>
      <c r="C69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69" xr:uid="{00000000-0009-0000-0000-000003000000}"/>
  <mergeCells count="12"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28" type="noConversion"/>
  <dataValidations count="1">
    <dataValidation type="list" allowBlank="1" showInputMessage="1" showErrorMessage="1" sqref="D64" xr:uid="{00000000-0002-0000-0300-000000000000}">
      <formula1>$E$64:$E$80</formula1>
    </dataValidation>
  </dataValidations>
  <pageMargins left="0.7" right="0.7" top="0.75" bottom="0.75" header="0.3" footer="0.3"/>
  <pageSetup paperSize="9" scale="32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справочник!$E$2:$E$157</xm:f>
          </x14:formula1>
          <xm:sqref>D4:D63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09"/>
  <sheetViews>
    <sheetView zoomScale="70" zoomScaleNormal="70" zoomScaleSheetLayoutView="70" workbookViewId="0">
      <pane ySplit="3" topLeftCell="A46" activePane="bottomLeft" state="frozen"/>
      <selection pane="bottomLeft" activeCell="A67" sqref="A67:XFD67"/>
    </sheetView>
  </sheetViews>
  <sheetFormatPr defaultRowHeight="15" x14ac:dyDescent="0.25"/>
  <cols>
    <col min="1" max="1" width="19.5703125" style="130" customWidth="1"/>
    <col min="2" max="2" width="28.5703125" bestFit="1" customWidth="1"/>
    <col min="3" max="3" width="36.5703125" bestFit="1" customWidth="1"/>
    <col min="4" max="4" width="40.140625" bestFit="1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33.85546875" customWidth="1"/>
    <col min="10" max="10" width="18.5703125" bestFit="1" customWidth="1"/>
    <col min="11" max="11" width="30.42578125" customWidth="1"/>
    <col min="12" max="12" width="25.5703125" customWidth="1"/>
    <col min="13" max="13" width="32.28515625" customWidth="1"/>
    <col min="14" max="14" width="24.5703125" style="343" bestFit="1" customWidth="1"/>
    <col min="18" max="18" width="12.42578125" customWidth="1"/>
    <col min="19" max="19" width="25.1406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45505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374" t="s">
        <v>1</v>
      </c>
      <c r="G3" s="374" t="s">
        <v>156</v>
      </c>
      <c r="H3" s="453"/>
      <c r="I3" s="455"/>
      <c r="J3" s="457"/>
      <c r="K3" s="373" t="s">
        <v>8</v>
      </c>
      <c r="L3" s="373" t="s">
        <v>21</v>
      </c>
      <c r="M3" s="373" t="s">
        <v>10</v>
      </c>
      <c r="N3" s="375" t="s">
        <v>11</v>
      </c>
      <c r="O3" s="376" t="s">
        <v>13</v>
      </c>
      <c r="P3" s="376" t="s">
        <v>155</v>
      </c>
      <c r="Q3" s="377" t="s">
        <v>23</v>
      </c>
      <c r="R3" s="439"/>
      <c r="S3" s="68" t="s">
        <v>162</v>
      </c>
      <c r="T3" s="378" t="s">
        <v>163</v>
      </c>
    </row>
    <row r="4" spans="1:20" s="67" customFormat="1" ht="13.5" customHeight="1" x14ac:dyDescent="0.25">
      <c r="A4" s="381" t="s">
        <v>1209</v>
      </c>
      <c r="B4" s="315" t="s">
        <v>1081</v>
      </c>
      <c r="C4" s="315" t="s">
        <v>457</v>
      </c>
      <c r="D4" s="372" t="s">
        <v>313</v>
      </c>
      <c r="E4" s="371" t="s">
        <v>1191</v>
      </c>
      <c r="F4" s="315">
        <v>32000</v>
      </c>
      <c r="G4" s="380">
        <v>1280</v>
      </c>
      <c r="H4" s="380" t="s">
        <v>382</v>
      </c>
      <c r="I4" s="380" t="s">
        <v>357</v>
      </c>
      <c r="J4" s="383">
        <v>45506</v>
      </c>
      <c r="K4" s="382"/>
      <c r="L4" s="322"/>
      <c r="M4" s="323"/>
      <c r="N4" s="384" t="s">
        <v>1516</v>
      </c>
      <c r="O4" s="315">
        <v>32000</v>
      </c>
      <c r="P4" s="316"/>
      <c r="Q4" s="316"/>
      <c r="R4" s="316" t="s">
        <v>387</v>
      </c>
      <c r="S4" s="385">
        <v>37200</v>
      </c>
      <c r="T4" s="324">
        <f t="shared" ref="T4:T12" si="0" xml:space="preserve"> S4*(F4/1000)</f>
        <v>1190400</v>
      </c>
    </row>
    <row r="5" spans="1:20" s="67" customFormat="1" ht="13.5" customHeight="1" x14ac:dyDescent="0.25">
      <c r="A5" s="379" t="s">
        <v>1209</v>
      </c>
      <c r="B5" s="60" t="s">
        <v>1081</v>
      </c>
      <c r="C5" s="60" t="s">
        <v>457</v>
      </c>
      <c r="D5" s="11" t="s">
        <v>313</v>
      </c>
      <c r="E5" s="59" t="s">
        <v>1197</v>
      </c>
      <c r="F5" s="60">
        <v>32000</v>
      </c>
      <c r="G5" s="69">
        <v>1280</v>
      </c>
      <c r="H5" s="69" t="s">
        <v>382</v>
      </c>
      <c r="I5" s="69" t="s">
        <v>357</v>
      </c>
      <c r="J5" s="58">
        <v>45506</v>
      </c>
      <c r="K5" s="108"/>
      <c r="L5" s="117"/>
      <c r="M5" s="66"/>
      <c r="N5" s="341" t="s">
        <v>1516</v>
      </c>
      <c r="O5" s="60">
        <v>32000</v>
      </c>
      <c r="P5" s="56"/>
      <c r="Q5" s="56"/>
      <c r="R5" s="56" t="s">
        <v>387</v>
      </c>
      <c r="S5" s="100">
        <v>37200</v>
      </c>
      <c r="T5" s="65">
        <f t="shared" si="0"/>
        <v>1190400</v>
      </c>
    </row>
    <row r="6" spans="1:20" s="299" customFormat="1" x14ac:dyDescent="0.25">
      <c r="A6" s="69" t="s">
        <v>1045</v>
      </c>
      <c r="B6" s="60" t="s">
        <v>1451</v>
      </c>
      <c r="C6" s="60" t="s">
        <v>165</v>
      </c>
      <c r="D6" s="11" t="s">
        <v>1097</v>
      </c>
      <c r="E6" s="296" t="s">
        <v>1425</v>
      </c>
      <c r="F6" s="60">
        <v>17500</v>
      </c>
      <c r="G6" s="69">
        <v>700</v>
      </c>
      <c r="H6" s="69" t="s">
        <v>681</v>
      </c>
      <c r="I6" s="69" t="s">
        <v>357</v>
      </c>
      <c r="J6" s="58">
        <v>45506</v>
      </c>
      <c r="K6" s="108" t="s">
        <v>1500</v>
      </c>
      <c r="L6" s="117">
        <v>89174866053</v>
      </c>
      <c r="M6" s="66" t="s">
        <v>1499</v>
      </c>
      <c r="N6" s="341"/>
      <c r="O6" s="60">
        <v>17500</v>
      </c>
      <c r="P6" s="56"/>
      <c r="Q6" s="56"/>
      <c r="R6" s="225" t="s">
        <v>387</v>
      </c>
      <c r="S6" s="100">
        <v>49500</v>
      </c>
      <c r="T6" s="65">
        <f t="shared" si="0"/>
        <v>866250</v>
      </c>
    </row>
    <row r="7" spans="1:20" s="299" customFormat="1" x14ac:dyDescent="0.25">
      <c r="A7" s="69" t="s">
        <v>1045</v>
      </c>
      <c r="B7" s="60" t="s">
        <v>1451</v>
      </c>
      <c r="C7" s="60" t="s">
        <v>165</v>
      </c>
      <c r="D7" s="11" t="s">
        <v>1097</v>
      </c>
      <c r="E7" s="296" t="s">
        <v>1424</v>
      </c>
      <c r="F7" s="60">
        <v>2500</v>
      </c>
      <c r="G7" s="69">
        <v>100</v>
      </c>
      <c r="H7" s="69" t="s">
        <v>681</v>
      </c>
      <c r="I7" s="69" t="s">
        <v>357</v>
      </c>
      <c r="J7" s="58">
        <v>45506</v>
      </c>
      <c r="K7" s="108" t="s">
        <v>1501</v>
      </c>
      <c r="L7" s="117">
        <v>89174866053</v>
      </c>
      <c r="M7" s="66" t="s">
        <v>1499</v>
      </c>
      <c r="N7" s="341"/>
      <c r="O7" s="60">
        <v>2500</v>
      </c>
      <c r="P7" s="56"/>
      <c r="Q7" s="56"/>
      <c r="R7" s="225" t="s">
        <v>387</v>
      </c>
      <c r="S7" s="100">
        <v>49500</v>
      </c>
      <c r="T7" s="65">
        <f t="shared" si="0"/>
        <v>123750</v>
      </c>
    </row>
    <row r="8" spans="1:20" s="299" customFormat="1" x14ac:dyDescent="0.25">
      <c r="A8" s="69" t="s">
        <v>1066</v>
      </c>
      <c r="B8" s="60" t="s">
        <v>1434</v>
      </c>
      <c r="C8" s="60" t="s">
        <v>165</v>
      </c>
      <c r="D8" s="11" t="s">
        <v>1097</v>
      </c>
      <c r="E8" s="296" t="s">
        <v>1438</v>
      </c>
      <c r="F8" s="60">
        <v>17500</v>
      </c>
      <c r="G8" s="69">
        <v>700</v>
      </c>
      <c r="H8" s="59" t="s">
        <v>169</v>
      </c>
      <c r="I8" s="69" t="s">
        <v>357</v>
      </c>
      <c r="J8" s="58">
        <v>45509</v>
      </c>
      <c r="K8" s="108"/>
      <c r="L8" s="117"/>
      <c r="M8" s="67"/>
      <c r="N8" s="390" t="s">
        <v>1518</v>
      </c>
      <c r="O8" s="60">
        <v>17500</v>
      </c>
      <c r="P8" s="56"/>
      <c r="Q8" s="56"/>
      <c r="R8" s="225" t="s">
        <v>387</v>
      </c>
      <c r="S8" s="65">
        <v>49500</v>
      </c>
      <c r="T8" s="65">
        <f t="shared" si="0"/>
        <v>866250</v>
      </c>
    </row>
    <row r="9" spans="1:20" s="299" customFormat="1" x14ac:dyDescent="0.25">
      <c r="A9" s="69" t="s">
        <v>1066</v>
      </c>
      <c r="B9" s="60" t="s">
        <v>1479</v>
      </c>
      <c r="C9" s="60" t="s">
        <v>165</v>
      </c>
      <c r="D9" s="11" t="s">
        <v>1097</v>
      </c>
      <c r="E9" s="296" t="s">
        <v>1477</v>
      </c>
      <c r="F9" s="60">
        <v>17500</v>
      </c>
      <c r="G9" s="69">
        <v>700</v>
      </c>
      <c r="H9" s="59" t="s">
        <v>169</v>
      </c>
      <c r="I9" s="69" t="s">
        <v>357</v>
      </c>
      <c r="J9" s="58">
        <v>45509</v>
      </c>
      <c r="K9" s="108"/>
      <c r="L9" s="117"/>
      <c r="M9" s="66"/>
      <c r="N9" s="390" t="s">
        <v>1517</v>
      </c>
      <c r="O9" s="60">
        <v>17500</v>
      </c>
      <c r="P9" s="56"/>
      <c r="Q9" s="56"/>
      <c r="R9" s="225" t="s">
        <v>387</v>
      </c>
      <c r="S9" s="65">
        <v>49500</v>
      </c>
      <c r="T9" s="65">
        <f t="shared" si="0"/>
        <v>866250</v>
      </c>
    </row>
    <row r="10" spans="1:20" s="299" customFormat="1" x14ac:dyDescent="0.25">
      <c r="A10" s="69" t="s">
        <v>1066</v>
      </c>
      <c r="B10" s="60" t="s">
        <v>1480</v>
      </c>
      <c r="C10" s="60" t="s">
        <v>165</v>
      </c>
      <c r="D10" s="11" t="s">
        <v>1097</v>
      </c>
      <c r="E10" s="296" t="s">
        <v>1481</v>
      </c>
      <c r="F10" s="60">
        <v>17500</v>
      </c>
      <c r="G10" s="69">
        <v>700</v>
      </c>
      <c r="H10" s="59" t="s">
        <v>169</v>
      </c>
      <c r="I10" s="386" t="s">
        <v>357</v>
      </c>
      <c r="J10" s="58">
        <v>45509</v>
      </c>
      <c r="K10" s="108"/>
      <c r="L10" s="117"/>
      <c r="M10" s="66"/>
      <c r="N10" s="390" t="s">
        <v>1521</v>
      </c>
      <c r="O10" s="60">
        <v>17500</v>
      </c>
      <c r="P10" s="56"/>
      <c r="Q10" s="56"/>
      <c r="R10" s="225" t="s">
        <v>387</v>
      </c>
      <c r="S10" s="65">
        <v>49500</v>
      </c>
      <c r="T10" s="65">
        <f t="shared" si="0"/>
        <v>866250</v>
      </c>
    </row>
    <row r="11" spans="1:20" s="299" customFormat="1" x14ac:dyDescent="0.25">
      <c r="A11" s="69" t="s">
        <v>1066</v>
      </c>
      <c r="B11" s="60" t="s">
        <v>1486</v>
      </c>
      <c r="C11" s="60" t="s">
        <v>165</v>
      </c>
      <c r="D11" s="11" t="s">
        <v>1097</v>
      </c>
      <c r="E11" s="296" t="s">
        <v>1485</v>
      </c>
      <c r="F11" s="60">
        <v>17500</v>
      </c>
      <c r="G11" s="69">
        <v>700</v>
      </c>
      <c r="H11" s="59" t="s">
        <v>169</v>
      </c>
      <c r="I11" s="386" t="s">
        <v>357</v>
      </c>
      <c r="J11" s="58">
        <v>45509</v>
      </c>
      <c r="K11" s="108"/>
      <c r="L11" s="117"/>
      <c r="M11" s="66"/>
      <c r="N11" s="390" t="s">
        <v>1522</v>
      </c>
      <c r="O11" s="60">
        <v>17500</v>
      </c>
      <c r="P11" s="56"/>
      <c r="Q11" s="56"/>
      <c r="R11" s="225" t="s">
        <v>387</v>
      </c>
      <c r="S11" s="65">
        <v>49500</v>
      </c>
      <c r="T11" s="65">
        <f t="shared" si="0"/>
        <v>866250</v>
      </c>
    </row>
    <row r="12" spans="1:20" s="67" customFormat="1" ht="14.25" customHeight="1" x14ac:dyDescent="0.25">
      <c r="A12" s="69" t="s">
        <v>1509</v>
      </c>
      <c r="B12" s="97" t="s">
        <v>1143</v>
      </c>
      <c r="C12" s="97" t="s">
        <v>349</v>
      </c>
      <c r="D12" s="98" t="s">
        <v>279</v>
      </c>
      <c r="E12" s="59" t="s">
        <v>1207</v>
      </c>
      <c r="F12" s="97">
        <v>20000</v>
      </c>
      <c r="G12" s="69">
        <v>800</v>
      </c>
      <c r="H12" s="69" t="s">
        <v>352</v>
      </c>
      <c r="I12" s="69" t="s">
        <v>357</v>
      </c>
      <c r="J12" s="58">
        <v>45509</v>
      </c>
      <c r="K12" s="105" t="s">
        <v>545</v>
      </c>
      <c r="L12" s="123" t="s">
        <v>1502</v>
      </c>
      <c r="M12" s="105" t="s">
        <v>451</v>
      </c>
      <c r="N12" s="340"/>
      <c r="O12" s="97">
        <v>20000</v>
      </c>
      <c r="P12" s="60"/>
      <c r="Q12" s="56"/>
      <c r="R12" s="56" t="s">
        <v>387</v>
      </c>
      <c r="S12" s="100">
        <v>45000</v>
      </c>
      <c r="T12" s="65">
        <f t="shared" si="0"/>
        <v>900000</v>
      </c>
    </row>
    <row r="13" spans="1:20" s="67" customFormat="1" ht="13.5" customHeight="1" x14ac:dyDescent="0.25">
      <c r="A13" s="69" t="s">
        <v>741</v>
      </c>
      <c r="B13" s="60" t="s">
        <v>1529</v>
      </c>
      <c r="C13" s="60" t="s">
        <v>436</v>
      </c>
      <c r="D13" s="11" t="s">
        <v>331</v>
      </c>
      <c r="E13" s="59" t="s">
        <v>1493</v>
      </c>
      <c r="F13" s="60">
        <v>8400</v>
      </c>
      <c r="G13" s="69">
        <v>42</v>
      </c>
      <c r="H13" s="69" t="s">
        <v>438</v>
      </c>
      <c r="I13" s="69" t="s">
        <v>357</v>
      </c>
      <c r="J13" s="58">
        <v>45509</v>
      </c>
      <c r="K13" s="108" t="s">
        <v>635</v>
      </c>
      <c r="L13" s="352">
        <v>89212974613</v>
      </c>
      <c r="M13" s="66" t="s">
        <v>636</v>
      </c>
      <c r="N13" s="341"/>
      <c r="O13" s="56"/>
      <c r="P13" s="56"/>
      <c r="Q13" s="60">
        <v>8400</v>
      </c>
      <c r="R13" s="56" t="s">
        <v>387</v>
      </c>
      <c r="S13" s="100">
        <v>369000</v>
      </c>
      <c r="T13" s="65">
        <f t="shared" ref="T13:T22" si="1" xml:space="preserve"> S13*(F13/1000)</f>
        <v>3099600</v>
      </c>
    </row>
    <row r="14" spans="1:20" s="67" customFormat="1" ht="13.5" customHeight="1" x14ac:dyDescent="0.25">
      <c r="A14" s="69" t="s">
        <v>741</v>
      </c>
      <c r="B14" s="60" t="s">
        <v>1529</v>
      </c>
      <c r="C14" s="60" t="s">
        <v>436</v>
      </c>
      <c r="D14" s="11" t="s">
        <v>331</v>
      </c>
      <c r="E14" s="59" t="s">
        <v>1514</v>
      </c>
      <c r="F14" s="60">
        <v>9200</v>
      </c>
      <c r="G14" s="69">
        <v>46</v>
      </c>
      <c r="H14" s="69" t="s">
        <v>438</v>
      </c>
      <c r="I14" s="69" t="s">
        <v>357</v>
      </c>
      <c r="J14" s="58">
        <v>45509</v>
      </c>
      <c r="K14" s="108" t="s">
        <v>1515</v>
      </c>
      <c r="L14" s="352">
        <v>89212974613</v>
      </c>
      <c r="M14" s="66" t="s">
        <v>636</v>
      </c>
      <c r="N14" s="341"/>
      <c r="O14" s="56"/>
      <c r="P14" s="56"/>
      <c r="Q14" s="60">
        <v>9200</v>
      </c>
      <c r="R14" s="56" t="s">
        <v>387</v>
      </c>
      <c r="S14" s="100">
        <v>369000</v>
      </c>
      <c r="T14" s="65">
        <f t="shared" si="1"/>
        <v>3394799.9999999995</v>
      </c>
    </row>
    <row r="15" spans="1:20" s="338" customFormat="1" ht="13.5" customHeight="1" x14ac:dyDescent="0.25">
      <c r="A15" s="69" t="s">
        <v>1508</v>
      </c>
      <c r="B15" s="60" t="s">
        <v>852</v>
      </c>
      <c r="C15" s="60" t="s">
        <v>349</v>
      </c>
      <c r="D15" s="98" t="s">
        <v>158</v>
      </c>
      <c r="E15" s="64" t="s">
        <v>1215</v>
      </c>
      <c r="F15" s="97">
        <v>6800</v>
      </c>
      <c r="G15" s="69">
        <v>34</v>
      </c>
      <c r="H15" s="69" t="s">
        <v>352</v>
      </c>
      <c r="I15" s="69" t="s">
        <v>357</v>
      </c>
      <c r="J15" s="58">
        <v>45510</v>
      </c>
      <c r="K15" s="105" t="s">
        <v>1504</v>
      </c>
      <c r="L15" s="123">
        <v>87013440101</v>
      </c>
      <c r="M15" s="105" t="s">
        <v>1503</v>
      </c>
      <c r="N15" s="339"/>
      <c r="O15" s="56"/>
      <c r="P15" s="60"/>
      <c r="Q15" s="97">
        <v>6800</v>
      </c>
      <c r="R15" s="56" t="s">
        <v>387</v>
      </c>
      <c r="S15" s="100">
        <v>69000</v>
      </c>
      <c r="T15" s="65">
        <f t="shared" si="1"/>
        <v>469200</v>
      </c>
    </row>
    <row r="16" spans="1:20" s="338" customFormat="1" ht="13.5" customHeight="1" x14ac:dyDescent="0.25">
      <c r="A16" s="69" t="s">
        <v>1508</v>
      </c>
      <c r="B16" s="60" t="s">
        <v>852</v>
      </c>
      <c r="C16" s="60" t="s">
        <v>349</v>
      </c>
      <c r="D16" s="98" t="s">
        <v>158</v>
      </c>
      <c r="E16" s="64" t="s">
        <v>1495</v>
      </c>
      <c r="F16" s="97">
        <v>6800</v>
      </c>
      <c r="G16" s="69">
        <v>34</v>
      </c>
      <c r="H16" s="69" t="s">
        <v>352</v>
      </c>
      <c r="I16" s="69" t="s">
        <v>357</v>
      </c>
      <c r="J16" s="58">
        <v>45510</v>
      </c>
      <c r="K16" s="105" t="s">
        <v>1504</v>
      </c>
      <c r="L16" s="123">
        <v>87013440101</v>
      </c>
      <c r="M16" s="105" t="s">
        <v>1503</v>
      </c>
      <c r="N16" s="339"/>
      <c r="O16" s="56"/>
      <c r="P16" s="60"/>
      <c r="Q16" s="97">
        <v>6800</v>
      </c>
      <c r="R16" s="56" t="s">
        <v>387</v>
      </c>
      <c r="S16" s="100">
        <v>69000</v>
      </c>
      <c r="T16" s="65">
        <f t="shared" si="1"/>
        <v>469200</v>
      </c>
    </row>
    <row r="17" spans="1:20" s="338" customFormat="1" ht="13.5" customHeight="1" x14ac:dyDescent="0.25">
      <c r="A17" s="69" t="s">
        <v>1508</v>
      </c>
      <c r="B17" s="60" t="s">
        <v>852</v>
      </c>
      <c r="C17" s="60" t="s">
        <v>349</v>
      </c>
      <c r="D17" s="98" t="s">
        <v>158</v>
      </c>
      <c r="E17" s="64" t="s">
        <v>1197</v>
      </c>
      <c r="F17" s="97">
        <v>4000</v>
      </c>
      <c r="G17" s="69">
        <v>20</v>
      </c>
      <c r="H17" s="69" t="s">
        <v>352</v>
      </c>
      <c r="I17" s="69" t="s">
        <v>357</v>
      </c>
      <c r="J17" s="58">
        <v>45510</v>
      </c>
      <c r="K17" s="105" t="s">
        <v>1504</v>
      </c>
      <c r="L17" s="123">
        <v>87013440101</v>
      </c>
      <c r="M17" s="105" t="s">
        <v>1503</v>
      </c>
      <c r="N17" s="339"/>
      <c r="O17" s="56"/>
      <c r="P17" s="60"/>
      <c r="Q17" s="97">
        <v>4000</v>
      </c>
      <c r="R17" s="56" t="s">
        <v>387</v>
      </c>
      <c r="S17" s="100">
        <v>69000</v>
      </c>
      <c r="T17" s="65">
        <f t="shared" si="1"/>
        <v>276000</v>
      </c>
    </row>
    <row r="18" spans="1:20" s="67" customFormat="1" x14ac:dyDescent="0.25">
      <c r="A18" s="387" t="s">
        <v>1508</v>
      </c>
      <c r="B18" s="325" t="s">
        <v>469</v>
      </c>
      <c r="C18" s="325" t="s">
        <v>373</v>
      </c>
      <c r="D18" s="361" t="s">
        <v>341</v>
      </c>
      <c r="E18" s="362" t="s">
        <v>1505</v>
      </c>
      <c r="F18" s="325">
        <v>12800</v>
      </c>
      <c r="G18" s="387">
        <v>64</v>
      </c>
      <c r="H18" s="387" t="s">
        <v>1126</v>
      </c>
      <c r="I18" s="69" t="s">
        <v>357</v>
      </c>
      <c r="J18" s="363">
        <v>45510</v>
      </c>
      <c r="K18" s="328" t="s">
        <v>1507</v>
      </c>
      <c r="L18" s="328">
        <v>89966200600</v>
      </c>
      <c r="M18" s="329" t="s">
        <v>1506</v>
      </c>
      <c r="N18" s="364"/>
      <c r="O18" s="330"/>
      <c r="P18" s="330"/>
      <c r="Q18" s="325">
        <v>12800</v>
      </c>
      <c r="R18" s="330" t="s">
        <v>387</v>
      </c>
      <c r="S18" s="365">
        <v>145000</v>
      </c>
      <c r="T18" s="65">
        <f t="shared" si="1"/>
        <v>1856000</v>
      </c>
    </row>
    <row r="19" spans="1:20" s="67" customFormat="1" x14ac:dyDescent="0.25">
      <c r="A19" s="387" t="s">
        <v>1508</v>
      </c>
      <c r="B19" s="325" t="s">
        <v>469</v>
      </c>
      <c r="C19" s="325" t="s">
        <v>373</v>
      </c>
      <c r="D19" s="361" t="s">
        <v>285</v>
      </c>
      <c r="E19" s="362" t="s">
        <v>1125</v>
      </c>
      <c r="F19" s="325">
        <v>6000</v>
      </c>
      <c r="G19" s="387">
        <v>240</v>
      </c>
      <c r="H19" s="387" t="s">
        <v>1126</v>
      </c>
      <c r="I19" s="69" t="s">
        <v>357</v>
      </c>
      <c r="J19" s="363">
        <v>45510</v>
      </c>
      <c r="K19" s="328" t="s">
        <v>1507</v>
      </c>
      <c r="L19" s="328">
        <v>89966200600</v>
      </c>
      <c r="M19" s="329" t="s">
        <v>1506</v>
      </c>
      <c r="N19" s="364"/>
      <c r="O19" s="325">
        <v>6000</v>
      </c>
      <c r="P19" s="330"/>
      <c r="Q19" s="330"/>
      <c r="R19" s="330" t="s">
        <v>387</v>
      </c>
      <c r="S19" s="365">
        <v>40700</v>
      </c>
      <c r="T19" s="65">
        <f t="shared" si="1"/>
        <v>244200</v>
      </c>
    </row>
    <row r="20" spans="1:20" s="299" customFormat="1" ht="13.5" customHeight="1" x14ac:dyDescent="0.25">
      <c r="A20" s="69" t="s">
        <v>1066</v>
      </c>
      <c r="B20" s="60" t="s">
        <v>1119</v>
      </c>
      <c r="C20" s="60" t="s">
        <v>165</v>
      </c>
      <c r="D20" s="11" t="s">
        <v>1118</v>
      </c>
      <c r="E20" s="59" t="s">
        <v>1402</v>
      </c>
      <c r="F20" s="60">
        <v>6300</v>
      </c>
      <c r="G20" s="69">
        <v>36</v>
      </c>
      <c r="H20" s="69" t="s">
        <v>1120</v>
      </c>
      <c r="I20" s="69" t="s">
        <v>357</v>
      </c>
      <c r="J20" s="58">
        <v>45510</v>
      </c>
      <c r="K20" s="108" t="s">
        <v>1519</v>
      </c>
      <c r="L20" s="117">
        <v>89600390497</v>
      </c>
      <c r="M20" s="66" t="s">
        <v>1520</v>
      </c>
      <c r="N20" s="339"/>
      <c r="O20" s="56"/>
      <c r="P20" s="56"/>
      <c r="Q20" s="60">
        <v>6300</v>
      </c>
      <c r="R20" s="56" t="s">
        <v>387</v>
      </c>
      <c r="S20" s="100">
        <v>713900</v>
      </c>
      <c r="T20" s="65">
        <f t="shared" si="1"/>
        <v>4497570</v>
      </c>
    </row>
    <row r="21" spans="1:20" s="299" customFormat="1" ht="13.5" customHeight="1" x14ac:dyDescent="0.25">
      <c r="A21" s="69" t="s">
        <v>1066</v>
      </c>
      <c r="B21" s="60" t="s">
        <v>1119</v>
      </c>
      <c r="C21" s="60" t="s">
        <v>165</v>
      </c>
      <c r="D21" s="11" t="s">
        <v>1118</v>
      </c>
      <c r="E21" s="59" t="s">
        <v>1402</v>
      </c>
      <c r="F21" s="60">
        <v>7700</v>
      </c>
      <c r="G21" s="69">
        <v>44</v>
      </c>
      <c r="H21" s="69" t="s">
        <v>1120</v>
      </c>
      <c r="I21" s="69" t="s">
        <v>357</v>
      </c>
      <c r="J21" s="58">
        <v>45510</v>
      </c>
      <c r="K21" s="108" t="s">
        <v>1519</v>
      </c>
      <c r="L21" s="117">
        <v>89600390497</v>
      </c>
      <c r="M21" s="66" t="s">
        <v>1520</v>
      </c>
      <c r="N21" s="339"/>
      <c r="O21" s="56"/>
      <c r="P21" s="56"/>
      <c r="Q21" s="60">
        <v>7700</v>
      </c>
      <c r="R21" s="56" t="s">
        <v>387</v>
      </c>
      <c r="S21" s="100">
        <v>713900</v>
      </c>
      <c r="T21" s="65">
        <f t="shared" si="1"/>
        <v>5497030</v>
      </c>
    </row>
    <row r="22" spans="1:20" s="67" customFormat="1" ht="13.5" customHeight="1" x14ac:dyDescent="0.25">
      <c r="A22" s="69" t="s">
        <v>1532</v>
      </c>
      <c r="B22" s="60" t="s">
        <v>1530</v>
      </c>
      <c r="C22" s="60" t="s">
        <v>436</v>
      </c>
      <c r="D22" s="11" t="s">
        <v>331</v>
      </c>
      <c r="E22" s="59" t="s">
        <v>1525</v>
      </c>
      <c r="F22" s="60">
        <v>8400</v>
      </c>
      <c r="G22" s="69">
        <v>42</v>
      </c>
      <c r="H22" s="69" t="s">
        <v>438</v>
      </c>
      <c r="I22" s="69" t="s">
        <v>357</v>
      </c>
      <c r="J22" s="58">
        <v>45511</v>
      </c>
      <c r="K22" s="108" t="s">
        <v>1534</v>
      </c>
      <c r="L22" s="352">
        <v>89120590604</v>
      </c>
      <c r="M22" s="66" t="s">
        <v>1535</v>
      </c>
      <c r="N22" s="341"/>
      <c r="O22" s="56"/>
      <c r="P22" s="56"/>
      <c r="Q22" s="60">
        <v>8400</v>
      </c>
      <c r="R22" s="56" t="s">
        <v>387</v>
      </c>
      <c r="S22" s="100">
        <v>369000</v>
      </c>
      <c r="T22" s="65">
        <f t="shared" si="1"/>
        <v>3099600</v>
      </c>
    </row>
    <row r="23" spans="1:20" s="67" customFormat="1" ht="13.5" customHeight="1" x14ac:dyDescent="0.25">
      <c r="A23" s="69" t="s">
        <v>1532</v>
      </c>
      <c r="B23" s="60" t="s">
        <v>1530</v>
      </c>
      <c r="C23" s="60" t="s">
        <v>436</v>
      </c>
      <c r="D23" s="11" t="s">
        <v>331</v>
      </c>
      <c r="E23" s="59" t="s">
        <v>1531</v>
      </c>
      <c r="F23" s="60">
        <v>8600</v>
      </c>
      <c r="G23" s="69">
        <v>43</v>
      </c>
      <c r="H23" s="69" t="s">
        <v>438</v>
      </c>
      <c r="I23" s="69" t="s">
        <v>357</v>
      </c>
      <c r="J23" s="58">
        <v>45511</v>
      </c>
      <c r="K23" s="108" t="s">
        <v>1534</v>
      </c>
      <c r="L23" s="352">
        <v>89120590604</v>
      </c>
      <c r="M23" s="66" t="s">
        <v>1535</v>
      </c>
      <c r="N23" s="341"/>
      <c r="O23" s="56"/>
      <c r="P23" s="56"/>
      <c r="Q23" s="60">
        <v>8600</v>
      </c>
      <c r="R23" s="56" t="s">
        <v>387</v>
      </c>
      <c r="S23" s="100">
        <v>369000</v>
      </c>
      <c r="T23" s="65">
        <f xml:space="preserve"> S23*(F23/1000)</f>
        <v>3173400</v>
      </c>
    </row>
    <row r="24" spans="1:20" s="67" customFormat="1" ht="13.5" customHeight="1" x14ac:dyDescent="0.25">
      <c r="A24" s="69" t="s">
        <v>1532</v>
      </c>
      <c r="B24" s="60" t="s">
        <v>1530</v>
      </c>
      <c r="C24" s="60" t="s">
        <v>436</v>
      </c>
      <c r="D24" s="11" t="s">
        <v>331</v>
      </c>
      <c r="E24" s="59" t="s">
        <v>1527</v>
      </c>
      <c r="F24" s="60">
        <v>600</v>
      </c>
      <c r="G24" s="69">
        <v>3</v>
      </c>
      <c r="H24" s="69" t="s">
        <v>438</v>
      </c>
      <c r="I24" s="69" t="s">
        <v>357</v>
      </c>
      <c r="J24" s="58">
        <v>45511</v>
      </c>
      <c r="K24" s="108" t="s">
        <v>1534</v>
      </c>
      <c r="L24" s="352">
        <v>89120590604</v>
      </c>
      <c r="M24" s="66" t="s">
        <v>1535</v>
      </c>
      <c r="N24" s="341"/>
      <c r="O24" s="56"/>
      <c r="P24" s="56"/>
      <c r="Q24" s="60">
        <v>600</v>
      </c>
      <c r="R24" s="56" t="s">
        <v>387</v>
      </c>
      <c r="S24" s="100">
        <v>369000</v>
      </c>
      <c r="T24" s="65">
        <f t="shared" ref="T24:T50" si="2" xml:space="preserve"> S24*(F24/1000)</f>
        <v>221400</v>
      </c>
    </row>
    <row r="25" spans="1:20" s="67" customFormat="1" ht="13.5" customHeight="1" x14ac:dyDescent="0.25">
      <c r="A25" s="388" t="s">
        <v>1533</v>
      </c>
      <c r="B25" s="60" t="s">
        <v>774</v>
      </c>
      <c r="C25" s="60" t="s">
        <v>168</v>
      </c>
      <c r="D25" s="98" t="s">
        <v>621</v>
      </c>
      <c r="E25" s="64" t="s">
        <v>1481</v>
      </c>
      <c r="F25" s="97">
        <v>7920</v>
      </c>
      <c r="G25" s="69">
        <v>44</v>
      </c>
      <c r="H25" s="58" t="s">
        <v>169</v>
      </c>
      <c r="I25" s="58" t="s">
        <v>357</v>
      </c>
      <c r="J25" s="58">
        <v>45511</v>
      </c>
      <c r="K25" s="108" t="s">
        <v>270</v>
      </c>
      <c r="L25" s="117">
        <v>89116853272</v>
      </c>
      <c r="M25" s="56" t="s">
        <v>1172</v>
      </c>
      <c r="N25" s="339"/>
      <c r="O25" s="97"/>
      <c r="P25" s="60"/>
      <c r="Q25" s="97">
        <v>7920</v>
      </c>
      <c r="R25" s="56" t="s">
        <v>387</v>
      </c>
      <c r="S25" s="100">
        <v>359000</v>
      </c>
      <c r="T25" s="65">
        <f t="shared" si="2"/>
        <v>2843280</v>
      </c>
    </row>
    <row r="26" spans="1:20" s="67" customFormat="1" ht="13.5" customHeight="1" x14ac:dyDescent="0.25">
      <c r="A26" s="388" t="s">
        <v>1533</v>
      </c>
      <c r="B26" s="60" t="s">
        <v>774</v>
      </c>
      <c r="C26" s="60" t="s">
        <v>168</v>
      </c>
      <c r="D26" s="98" t="s">
        <v>621</v>
      </c>
      <c r="E26" s="64" t="s">
        <v>1496</v>
      </c>
      <c r="F26" s="97">
        <v>7920</v>
      </c>
      <c r="G26" s="69">
        <v>44</v>
      </c>
      <c r="H26" s="58" t="s">
        <v>169</v>
      </c>
      <c r="I26" s="58" t="s">
        <v>357</v>
      </c>
      <c r="J26" s="58">
        <v>45511</v>
      </c>
      <c r="K26" s="108" t="s">
        <v>270</v>
      </c>
      <c r="L26" s="117">
        <v>89116853272</v>
      </c>
      <c r="M26" s="56" t="s">
        <v>1172</v>
      </c>
      <c r="N26" s="339"/>
      <c r="O26" s="97"/>
      <c r="P26" s="60"/>
      <c r="Q26" s="97">
        <v>7920</v>
      </c>
      <c r="R26" s="56" t="s">
        <v>387</v>
      </c>
      <c r="S26" s="100">
        <v>359000</v>
      </c>
      <c r="T26" s="65">
        <f t="shared" si="2"/>
        <v>2843280</v>
      </c>
    </row>
    <row r="27" spans="1:20" s="67" customFormat="1" x14ac:dyDescent="0.25">
      <c r="A27" s="69" t="s">
        <v>1066</v>
      </c>
      <c r="B27" s="60" t="s">
        <v>1464</v>
      </c>
      <c r="C27" s="60" t="s">
        <v>165</v>
      </c>
      <c r="D27" s="98" t="s">
        <v>897</v>
      </c>
      <c r="E27" s="296" t="s">
        <v>1463</v>
      </c>
      <c r="F27" s="97">
        <v>7000</v>
      </c>
      <c r="G27" s="69">
        <v>35</v>
      </c>
      <c r="H27" s="69" t="s">
        <v>172</v>
      </c>
      <c r="I27" s="69" t="s">
        <v>357</v>
      </c>
      <c r="J27" s="58">
        <v>45512</v>
      </c>
      <c r="K27" s="105"/>
      <c r="L27" s="123"/>
      <c r="M27" s="105"/>
      <c r="N27" s="389" t="s">
        <v>1542</v>
      </c>
      <c r="O27" s="56"/>
      <c r="P27" s="60"/>
      <c r="Q27" s="97">
        <v>7000</v>
      </c>
      <c r="R27" s="225" t="s">
        <v>387</v>
      </c>
      <c r="S27" s="100">
        <v>79000</v>
      </c>
      <c r="T27" s="65">
        <f t="shared" ref="T27:T33" si="3" xml:space="preserve"> S27*(F27/1000)</f>
        <v>553000</v>
      </c>
    </row>
    <row r="28" spans="1:20" s="67" customFormat="1" x14ac:dyDescent="0.25">
      <c r="A28" s="69" t="s">
        <v>1066</v>
      </c>
      <c r="B28" s="60" t="s">
        <v>1464</v>
      </c>
      <c r="C28" s="60" t="s">
        <v>165</v>
      </c>
      <c r="D28" s="98" t="s">
        <v>897</v>
      </c>
      <c r="E28" s="296" t="s">
        <v>1395</v>
      </c>
      <c r="F28" s="97">
        <v>200</v>
      </c>
      <c r="G28" s="69">
        <v>1</v>
      </c>
      <c r="H28" s="69" t="s">
        <v>172</v>
      </c>
      <c r="I28" s="69" t="s">
        <v>357</v>
      </c>
      <c r="J28" s="58">
        <v>45512</v>
      </c>
      <c r="K28" s="105"/>
      <c r="L28" s="123"/>
      <c r="M28" s="105"/>
      <c r="N28" s="389" t="s">
        <v>1542</v>
      </c>
      <c r="O28" s="56"/>
      <c r="P28" s="60"/>
      <c r="Q28" s="97">
        <v>200</v>
      </c>
      <c r="R28" s="225" t="s">
        <v>387</v>
      </c>
      <c r="S28" s="100">
        <v>79000</v>
      </c>
      <c r="T28" s="65">
        <f t="shared" si="3"/>
        <v>15800</v>
      </c>
    </row>
    <row r="29" spans="1:20" s="67" customFormat="1" x14ac:dyDescent="0.25">
      <c r="A29" s="69" t="s">
        <v>1066</v>
      </c>
      <c r="B29" s="60" t="s">
        <v>1464</v>
      </c>
      <c r="C29" s="60" t="s">
        <v>165</v>
      </c>
      <c r="D29" s="98" t="s">
        <v>897</v>
      </c>
      <c r="E29" s="296" t="s">
        <v>1421</v>
      </c>
      <c r="F29" s="97">
        <v>6800</v>
      </c>
      <c r="G29" s="69">
        <v>34</v>
      </c>
      <c r="H29" s="69" t="s">
        <v>172</v>
      </c>
      <c r="I29" s="69" t="s">
        <v>357</v>
      </c>
      <c r="J29" s="58">
        <v>45512</v>
      </c>
      <c r="K29" s="105"/>
      <c r="L29" s="123"/>
      <c r="M29" s="105"/>
      <c r="N29" s="389" t="s">
        <v>1542</v>
      </c>
      <c r="O29" s="56"/>
      <c r="P29" s="60"/>
      <c r="Q29" s="97">
        <v>6800</v>
      </c>
      <c r="R29" s="225" t="s">
        <v>387</v>
      </c>
      <c r="S29" s="100">
        <v>79000</v>
      </c>
      <c r="T29" s="65">
        <f t="shared" si="3"/>
        <v>537200</v>
      </c>
    </row>
    <row r="30" spans="1:20" s="67" customFormat="1" x14ac:dyDescent="0.25">
      <c r="A30" s="69" t="s">
        <v>1066</v>
      </c>
      <c r="B30" s="60" t="s">
        <v>1464</v>
      </c>
      <c r="C30" s="60" t="s">
        <v>165</v>
      </c>
      <c r="D30" s="98" t="s">
        <v>897</v>
      </c>
      <c r="E30" s="296" t="s">
        <v>1422</v>
      </c>
      <c r="F30" s="97">
        <v>2000</v>
      </c>
      <c r="G30" s="69">
        <v>10</v>
      </c>
      <c r="H30" s="69" t="s">
        <v>172</v>
      </c>
      <c r="I30" s="69" t="s">
        <v>357</v>
      </c>
      <c r="J30" s="58">
        <v>45512</v>
      </c>
      <c r="K30" s="105"/>
      <c r="L30" s="123"/>
      <c r="M30" s="105"/>
      <c r="N30" s="389" t="s">
        <v>1542</v>
      </c>
      <c r="O30" s="56"/>
      <c r="P30" s="60"/>
      <c r="Q30" s="97">
        <v>2000</v>
      </c>
      <c r="R30" s="225" t="s">
        <v>387</v>
      </c>
      <c r="S30" s="100">
        <v>79000</v>
      </c>
      <c r="T30" s="65">
        <f t="shared" si="3"/>
        <v>158000</v>
      </c>
    </row>
    <row r="31" spans="1:20" s="67" customFormat="1" x14ac:dyDescent="0.25">
      <c r="A31" s="69" t="s">
        <v>1066</v>
      </c>
      <c r="B31" s="60" t="s">
        <v>1476</v>
      </c>
      <c r="C31" s="60" t="s">
        <v>165</v>
      </c>
      <c r="D31" s="98" t="s">
        <v>897</v>
      </c>
      <c r="E31" s="296" t="s">
        <v>1422</v>
      </c>
      <c r="F31" s="97">
        <v>4800</v>
      </c>
      <c r="G31" s="69">
        <v>24</v>
      </c>
      <c r="H31" s="69" t="s">
        <v>172</v>
      </c>
      <c r="I31" s="69" t="s">
        <v>357</v>
      </c>
      <c r="J31" s="58">
        <v>45512</v>
      </c>
      <c r="K31" s="105"/>
      <c r="L31" s="123"/>
      <c r="M31" s="105"/>
      <c r="N31" s="389" t="s">
        <v>1543</v>
      </c>
      <c r="O31" s="56"/>
      <c r="P31" s="60"/>
      <c r="Q31" s="69">
        <v>4800</v>
      </c>
      <c r="R31" s="225" t="s">
        <v>387</v>
      </c>
      <c r="S31" s="100">
        <v>79000</v>
      </c>
      <c r="T31" s="65">
        <f t="shared" si="3"/>
        <v>379200</v>
      </c>
    </row>
    <row r="32" spans="1:20" s="67" customFormat="1" x14ac:dyDescent="0.25">
      <c r="A32" s="69" t="s">
        <v>1066</v>
      </c>
      <c r="B32" s="60" t="s">
        <v>1476</v>
      </c>
      <c r="C32" s="60" t="s">
        <v>165</v>
      </c>
      <c r="D32" s="98" t="s">
        <v>897</v>
      </c>
      <c r="E32" s="296" t="s">
        <v>1457</v>
      </c>
      <c r="F32" s="97">
        <v>7200</v>
      </c>
      <c r="G32" s="69">
        <v>36</v>
      </c>
      <c r="H32" s="69" t="s">
        <v>172</v>
      </c>
      <c r="I32" s="69" t="s">
        <v>357</v>
      </c>
      <c r="J32" s="58">
        <v>45512</v>
      </c>
      <c r="K32" s="105"/>
      <c r="L32" s="123"/>
      <c r="M32" s="105"/>
      <c r="N32" s="389" t="s">
        <v>1543</v>
      </c>
      <c r="O32" s="56"/>
      <c r="P32" s="60"/>
      <c r="Q32" s="69">
        <v>7200</v>
      </c>
      <c r="R32" s="225" t="s">
        <v>387</v>
      </c>
      <c r="S32" s="100">
        <v>79000</v>
      </c>
      <c r="T32" s="65">
        <f t="shared" si="3"/>
        <v>568800</v>
      </c>
    </row>
    <row r="33" spans="1:20" s="67" customFormat="1" x14ac:dyDescent="0.25">
      <c r="A33" s="69" t="s">
        <v>1066</v>
      </c>
      <c r="B33" s="60" t="s">
        <v>1476</v>
      </c>
      <c r="C33" s="60" t="s">
        <v>165</v>
      </c>
      <c r="D33" s="98" t="s">
        <v>897</v>
      </c>
      <c r="E33" s="296" t="s">
        <v>1477</v>
      </c>
      <c r="F33" s="97">
        <v>4000</v>
      </c>
      <c r="G33" s="69">
        <v>20</v>
      </c>
      <c r="H33" s="69" t="s">
        <v>172</v>
      </c>
      <c r="I33" s="69" t="s">
        <v>357</v>
      </c>
      <c r="J33" s="58">
        <v>45512</v>
      </c>
      <c r="K33" s="105"/>
      <c r="L33" s="123"/>
      <c r="M33" s="105"/>
      <c r="N33" s="389" t="s">
        <v>1543</v>
      </c>
      <c r="O33" s="56"/>
      <c r="P33" s="60"/>
      <c r="Q33" s="69">
        <v>4000</v>
      </c>
      <c r="R33" s="225" t="s">
        <v>387</v>
      </c>
      <c r="S33" s="100">
        <v>79000</v>
      </c>
      <c r="T33" s="65">
        <f t="shared" si="3"/>
        <v>316000</v>
      </c>
    </row>
    <row r="34" spans="1:20" s="67" customFormat="1" ht="13.5" customHeight="1" x14ac:dyDescent="0.25">
      <c r="A34" s="69" t="s">
        <v>1545</v>
      </c>
      <c r="B34" s="60" t="s">
        <v>389</v>
      </c>
      <c r="C34" s="60" t="s">
        <v>658</v>
      </c>
      <c r="D34" s="98" t="s">
        <v>1489</v>
      </c>
      <c r="E34" s="64" t="s">
        <v>1494</v>
      </c>
      <c r="F34" s="97">
        <v>11400</v>
      </c>
      <c r="G34" s="69">
        <v>456</v>
      </c>
      <c r="H34" s="69" t="s">
        <v>391</v>
      </c>
      <c r="I34" s="69" t="s">
        <v>357</v>
      </c>
      <c r="J34" s="58">
        <v>45512</v>
      </c>
      <c r="K34" s="108" t="s">
        <v>1540</v>
      </c>
      <c r="L34" s="119">
        <v>89051342997</v>
      </c>
      <c r="M34" s="56" t="s">
        <v>1541</v>
      </c>
      <c r="N34" s="339"/>
      <c r="O34" s="56"/>
      <c r="P34" s="60"/>
      <c r="Q34" s="97">
        <v>11400</v>
      </c>
      <c r="R34" s="56" t="s">
        <v>387</v>
      </c>
      <c r="S34" s="100">
        <v>105250</v>
      </c>
      <c r="T34" s="65">
        <f t="shared" si="2"/>
        <v>1199850</v>
      </c>
    </row>
    <row r="35" spans="1:20" s="67" customFormat="1" ht="13.5" customHeight="1" x14ac:dyDescent="0.25">
      <c r="A35" s="69" t="s">
        <v>1545</v>
      </c>
      <c r="B35" s="60" t="s">
        <v>1528</v>
      </c>
      <c r="C35" s="60" t="s">
        <v>658</v>
      </c>
      <c r="D35" s="98" t="s">
        <v>1489</v>
      </c>
      <c r="E35" s="64" t="s">
        <v>1494</v>
      </c>
      <c r="F35" s="97">
        <v>1400</v>
      </c>
      <c r="G35" s="69">
        <v>56</v>
      </c>
      <c r="H35" s="69" t="s">
        <v>391</v>
      </c>
      <c r="I35" s="69" t="s">
        <v>357</v>
      </c>
      <c r="J35" s="58">
        <v>45512</v>
      </c>
      <c r="K35" s="108" t="s">
        <v>1540</v>
      </c>
      <c r="L35" s="119">
        <v>89051342997</v>
      </c>
      <c r="M35" s="56" t="s">
        <v>1541</v>
      </c>
      <c r="N35" s="339"/>
      <c r="O35" s="56"/>
      <c r="P35" s="60"/>
      <c r="Q35" s="97">
        <v>1400</v>
      </c>
      <c r="R35" s="56" t="s">
        <v>387</v>
      </c>
      <c r="S35" s="100">
        <v>105250</v>
      </c>
      <c r="T35" s="65">
        <f t="shared" si="2"/>
        <v>147350</v>
      </c>
    </row>
    <row r="36" spans="1:20" s="67" customFormat="1" ht="13.5" customHeight="1" x14ac:dyDescent="0.25">
      <c r="A36" s="69" t="s">
        <v>1545</v>
      </c>
      <c r="B36" s="69"/>
      <c r="C36" s="60" t="s">
        <v>658</v>
      </c>
      <c r="D36" s="98" t="s">
        <v>1489</v>
      </c>
      <c r="E36" s="69" t="s">
        <v>1544</v>
      </c>
      <c r="F36" s="69">
        <v>25</v>
      </c>
      <c r="G36" s="69">
        <v>1</v>
      </c>
      <c r="H36" s="69" t="s">
        <v>391</v>
      </c>
      <c r="I36" s="69" t="s">
        <v>357</v>
      </c>
      <c r="J36" s="58">
        <v>45512</v>
      </c>
      <c r="K36" s="108" t="s">
        <v>1540</v>
      </c>
      <c r="L36" s="119">
        <v>89051342997</v>
      </c>
      <c r="M36" s="56" t="s">
        <v>1541</v>
      </c>
      <c r="N36" s="396"/>
      <c r="O36" s="69"/>
      <c r="P36" s="69"/>
      <c r="Q36" s="69">
        <v>25</v>
      </c>
      <c r="R36" s="56" t="s">
        <v>387</v>
      </c>
      <c r="S36" s="69"/>
      <c r="T36" s="65">
        <f t="shared" si="2"/>
        <v>0</v>
      </c>
    </row>
    <row r="37" spans="1:20" s="67" customFormat="1" ht="13.5" customHeight="1" x14ac:dyDescent="0.25">
      <c r="A37" s="69" t="s">
        <v>1532</v>
      </c>
      <c r="B37" s="60" t="s">
        <v>1536</v>
      </c>
      <c r="C37" s="60" t="s">
        <v>436</v>
      </c>
      <c r="D37" s="11" t="s">
        <v>331</v>
      </c>
      <c r="E37" s="59" t="s">
        <v>1527</v>
      </c>
      <c r="F37" s="60">
        <v>8000</v>
      </c>
      <c r="G37" s="69">
        <v>40</v>
      </c>
      <c r="H37" s="69" t="s">
        <v>438</v>
      </c>
      <c r="I37" s="69" t="s">
        <v>357</v>
      </c>
      <c r="J37" s="58">
        <v>45513</v>
      </c>
      <c r="K37" s="108" t="s">
        <v>1538</v>
      </c>
      <c r="L37" s="352">
        <v>89815019839</v>
      </c>
      <c r="M37" s="66" t="s">
        <v>1539</v>
      </c>
      <c r="N37" s="341"/>
      <c r="O37" s="56"/>
      <c r="P37" s="56"/>
      <c r="Q37" s="60">
        <v>8000</v>
      </c>
      <c r="R37" s="56" t="s">
        <v>387</v>
      </c>
      <c r="S37" s="100">
        <v>369000</v>
      </c>
      <c r="T37" s="65">
        <f t="shared" si="2"/>
        <v>2952000</v>
      </c>
    </row>
    <row r="38" spans="1:20" s="67" customFormat="1" ht="13.5" customHeight="1" x14ac:dyDescent="0.25">
      <c r="A38" s="391" t="s">
        <v>1532</v>
      </c>
      <c r="B38" s="325" t="s">
        <v>1536</v>
      </c>
      <c r="C38" s="325" t="s">
        <v>436</v>
      </c>
      <c r="D38" s="361" t="s">
        <v>331</v>
      </c>
      <c r="E38" s="362" t="s">
        <v>1537</v>
      </c>
      <c r="F38" s="325">
        <v>9600</v>
      </c>
      <c r="G38" s="391">
        <v>48</v>
      </c>
      <c r="H38" s="391" t="s">
        <v>438</v>
      </c>
      <c r="I38" s="69" t="s">
        <v>357</v>
      </c>
      <c r="J38" s="58">
        <v>45513</v>
      </c>
      <c r="K38" s="392" t="s">
        <v>1538</v>
      </c>
      <c r="L38" s="393">
        <v>89815019839</v>
      </c>
      <c r="M38" s="329" t="s">
        <v>1539</v>
      </c>
      <c r="N38" s="364"/>
      <c r="O38" s="330"/>
      <c r="P38" s="330"/>
      <c r="Q38" s="325">
        <v>9600</v>
      </c>
      <c r="R38" s="330" t="s">
        <v>387</v>
      </c>
      <c r="S38" s="365">
        <v>369000</v>
      </c>
      <c r="T38" s="65">
        <f t="shared" si="2"/>
        <v>3542400</v>
      </c>
    </row>
    <row r="39" spans="1:20" s="67" customFormat="1" x14ac:dyDescent="0.25">
      <c r="A39" s="391" t="s">
        <v>1533</v>
      </c>
      <c r="B39" s="60" t="s">
        <v>1080</v>
      </c>
      <c r="C39" s="60" t="s">
        <v>1323</v>
      </c>
      <c r="D39" s="11" t="s">
        <v>287</v>
      </c>
      <c r="E39" s="59" t="s">
        <v>955</v>
      </c>
      <c r="F39" s="60">
        <v>20000</v>
      </c>
      <c r="G39" s="69">
        <v>800</v>
      </c>
      <c r="H39" s="69" t="s">
        <v>424</v>
      </c>
      <c r="I39" s="69" t="s">
        <v>357</v>
      </c>
      <c r="J39" s="58">
        <v>45513</v>
      </c>
      <c r="K39" s="108" t="s">
        <v>181</v>
      </c>
      <c r="L39" s="117">
        <v>89116853202</v>
      </c>
      <c r="M39" s="66" t="s">
        <v>1048</v>
      </c>
      <c r="N39" s="341"/>
      <c r="O39" s="60">
        <v>20000</v>
      </c>
      <c r="P39" s="56"/>
      <c r="Q39" s="60"/>
      <c r="R39" s="56" t="s">
        <v>387</v>
      </c>
      <c r="S39" s="100">
        <v>40700</v>
      </c>
      <c r="T39" s="65">
        <f t="shared" si="2"/>
        <v>814000</v>
      </c>
    </row>
    <row r="40" spans="1:20" s="299" customFormat="1" x14ac:dyDescent="0.25">
      <c r="A40" s="69" t="s">
        <v>1523</v>
      </c>
      <c r="B40" s="60" t="s">
        <v>1524</v>
      </c>
      <c r="C40" s="60" t="s">
        <v>165</v>
      </c>
      <c r="D40" s="11" t="s">
        <v>1097</v>
      </c>
      <c r="E40" s="296" t="s">
        <v>1525</v>
      </c>
      <c r="F40" s="60">
        <v>17500</v>
      </c>
      <c r="G40" s="69">
        <v>700</v>
      </c>
      <c r="H40" s="69" t="s">
        <v>681</v>
      </c>
      <c r="I40" s="69" t="s">
        <v>357</v>
      </c>
      <c r="J40" s="58">
        <v>45513</v>
      </c>
      <c r="K40" s="108"/>
      <c r="L40" s="117"/>
      <c r="M40" s="66"/>
      <c r="N40" s="390" t="s">
        <v>1553</v>
      </c>
      <c r="O40" s="60">
        <v>17500</v>
      </c>
      <c r="P40" s="56"/>
      <c r="Q40" s="56"/>
      <c r="R40" s="225" t="s">
        <v>387</v>
      </c>
      <c r="S40" s="100">
        <v>49500</v>
      </c>
      <c r="T40" s="65">
        <f t="shared" si="2"/>
        <v>866250</v>
      </c>
    </row>
    <row r="41" spans="1:20" s="299" customFormat="1" x14ac:dyDescent="0.25">
      <c r="A41" s="69" t="s">
        <v>1523</v>
      </c>
      <c r="B41" s="60" t="s">
        <v>1526</v>
      </c>
      <c r="C41" s="60" t="s">
        <v>165</v>
      </c>
      <c r="D41" s="11" t="s">
        <v>1097</v>
      </c>
      <c r="E41" s="296" t="s">
        <v>1527</v>
      </c>
      <c r="F41" s="60">
        <v>17500</v>
      </c>
      <c r="G41" s="69">
        <v>700</v>
      </c>
      <c r="H41" s="69" t="s">
        <v>681</v>
      </c>
      <c r="I41" s="69" t="s">
        <v>357</v>
      </c>
      <c r="J41" s="58">
        <v>45513</v>
      </c>
      <c r="K41" s="108"/>
      <c r="L41" s="117"/>
      <c r="M41" s="66"/>
      <c r="N41" s="390" t="s">
        <v>1552</v>
      </c>
      <c r="O41" s="60">
        <v>17500</v>
      </c>
      <c r="P41" s="56"/>
      <c r="Q41" s="56"/>
      <c r="R41" s="225" t="s">
        <v>387</v>
      </c>
      <c r="S41" s="100">
        <v>49500</v>
      </c>
      <c r="T41" s="65">
        <f t="shared" si="2"/>
        <v>866250</v>
      </c>
    </row>
    <row r="42" spans="1:20" s="299" customFormat="1" x14ac:dyDescent="0.25">
      <c r="A42" s="69" t="s">
        <v>1523</v>
      </c>
      <c r="B42" s="60" t="s">
        <v>1498</v>
      </c>
      <c r="C42" s="60" t="s">
        <v>165</v>
      </c>
      <c r="D42" s="11" t="s">
        <v>293</v>
      </c>
      <c r="E42" s="296" t="s">
        <v>1496</v>
      </c>
      <c r="F42" s="60">
        <v>15876</v>
      </c>
      <c r="G42" s="69">
        <v>700</v>
      </c>
      <c r="H42" s="69" t="s">
        <v>187</v>
      </c>
      <c r="I42" s="69" t="s">
        <v>357</v>
      </c>
      <c r="J42" s="58">
        <v>45513</v>
      </c>
      <c r="K42" s="108"/>
      <c r="L42" s="117"/>
      <c r="M42" s="66"/>
      <c r="N42" s="390" t="s">
        <v>1554</v>
      </c>
      <c r="O42" s="60">
        <v>15876</v>
      </c>
      <c r="P42" s="56"/>
      <c r="Q42" s="56"/>
      <c r="R42" s="225" t="s">
        <v>387</v>
      </c>
      <c r="S42" s="100">
        <v>49500</v>
      </c>
      <c r="T42" s="65">
        <f t="shared" si="2"/>
        <v>785862</v>
      </c>
    </row>
    <row r="43" spans="1:20" s="299" customFormat="1" x14ac:dyDescent="0.25">
      <c r="A43" s="69" t="s">
        <v>1066</v>
      </c>
      <c r="B43" s="60" t="s">
        <v>1512</v>
      </c>
      <c r="C43" s="60" t="s">
        <v>165</v>
      </c>
      <c r="D43" s="11" t="s">
        <v>1097</v>
      </c>
      <c r="E43" s="296" t="s">
        <v>1510</v>
      </c>
      <c r="F43" s="60">
        <v>17500</v>
      </c>
      <c r="G43" s="69">
        <v>700</v>
      </c>
      <c r="H43" s="69" t="s">
        <v>172</v>
      </c>
      <c r="I43" s="69" t="s">
        <v>357</v>
      </c>
      <c r="J43" s="58">
        <v>45516</v>
      </c>
      <c r="K43" s="108"/>
      <c r="L43" s="117"/>
      <c r="M43" s="66"/>
      <c r="N43" s="390" t="s">
        <v>1558</v>
      </c>
      <c r="O43" s="60">
        <v>17500</v>
      </c>
      <c r="P43" s="56"/>
      <c r="Q43" s="56"/>
      <c r="R43" s="225" t="s">
        <v>387</v>
      </c>
      <c r="S43" s="100">
        <v>49500</v>
      </c>
      <c r="T43" s="65">
        <f t="shared" si="2"/>
        <v>866250</v>
      </c>
    </row>
    <row r="44" spans="1:20" s="299" customFormat="1" x14ac:dyDescent="0.25">
      <c r="A44" s="69" t="s">
        <v>1066</v>
      </c>
      <c r="B44" s="60" t="s">
        <v>1513</v>
      </c>
      <c r="C44" s="60" t="s">
        <v>165</v>
      </c>
      <c r="D44" s="11" t="s">
        <v>1097</v>
      </c>
      <c r="E44" s="296" t="s">
        <v>1514</v>
      </c>
      <c r="F44" s="60">
        <v>17500</v>
      </c>
      <c r="G44" s="69">
        <v>700</v>
      </c>
      <c r="H44" s="69" t="s">
        <v>172</v>
      </c>
      <c r="I44" s="69" t="s">
        <v>357</v>
      </c>
      <c r="J44" s="58">
        <v>45516</v>
      </c>
      <c r="K44" s="108"/>
      <c r="L44" s="117"/>
      <c r="M44" s="66"/>
      <c r="N44" s="390" t="s">
        <v>1559</v>
      </c>
      <c r="O44" s="60">
        <v>17500</v>
      </c>
      <c r="P44" s="56"/>
      <c r="Q44" s="56"/>
      <c r="R44" s="225" t="s">
        <v>387</v>
      </c>
      <c r="S44" s="100">
        <v>49500</v>
      </c>
      <c r="T44" s="65">
        <f t="shared" si="2"/>
        <v>866250</v>
      </c>
    </row>
    <row r="45" spans="1:20" s="67" customFormat="1" x14ac:dyDescent="0.25">
      <c r="A45" s="69" t="s">
        <v>1066</v>
      </c>
      <c r="B45" s="60" t="s">
        <v>1482</v>
      </c>
      <c r="C45" s="60" t="s">
        <v>165</v>
      </c>
      <c r="D45" s="98" t="s">
        <v>897</v>
      </c>
      <c r="E45" s="296" t="s">
        <v>1477</v>
      </c>
      <c r="F45" s="97">
        <v>2800</v>
      </c>
      <c r="G45" s="69">
        <v>14</v>
      </c>
      <c r="H45" s="69" t="s">
        <v>172</v>
      </c>
      <c r="I45" s="69" t="s">
        <v>357</v>
      </c>
      <c r="J45" s="58">
        <v>45516</v>
      </c>
      <c r="K45" s="105"/>
      <c r="L45" s="123"/>
      <c r="M45" s="105"/>
      <c r="N45" s="390" t="s">
        <v>1560</v>
      </c>
      <c r="O45" s="56"/>
      <c r="P45" s="60"/>
      <c r="Q45" s="97">
        <v>2800</v>
      </c>
      <c r="R45" s="225" t="s">
        <v>387</v>
      </c>
      <c r="S45" s="100">
        <v>79000</v>
      </c>
      <c r="T45" s="65">
        <f t="shared" si="2"/>
        <v>221200</v>
      </c>
    </row>
    <row r="46" spans="1:20" s="67" customFormat="1" x14ac:dyDescent="0.25">
      <c r="A46" s="69" t="s">
        <v>1066</v>
      </c>
      <c r="B46" s="60" t="s">
        <v>1482</v>
      </c>
      <c r="C46" s="60" t="s">
        <v>165</v>
      </c>
      <c r="D46" s="98" t="s">
        <v>897</v>
      </c>
      <c r="E46" s="296" t="s">
        <v>1478</v>
      </c>
      <c r="F46" s="97">
        <v>7200</v>
      </c>
      <c r="G46" s="69">
        <v>36</v>
      </c>
      <c r="H46" s="69" t="s">
        <v>172</v>
      </c>
      <c r="I46" s="69" t="s">
        <v>357</v>
      </c>
      <c r="J46" s="58">
        <v>45516</v>
      </c>
      <c r="K46" s="105"/>
      <c r="L46" s="123"/>
      <c r="M46" s="105"/>
      <c r="N46" s="390" t="s">
        <v>1560</v>
      </c>
      <c r="O46" s="56"/>
      <c r="P46" s="60"/>
      <c r="Q46" s="97">
        <v>7200</v>
      </c>
      <c r="R46" s="225" t="s">
        <v>387</v>
      </c>
      <c r="S46" s="100">
        <v>79000</v>
      </c>
      <c r="T46" s="65">
        <f t="shared" si="2"/>
        <v>568800</v>
      </c>
    </row>
    <row r="47" spans="1:20" s="67" customFormat="1" x14ac:dyDescent="0.25">
      <c r="A47" s="69" t="s">
        <v>1066</v>
      </c>
      <c r="B47" s="60" t="s">
        <v>1482</v>
      </c>
      <c r="C47" s="60" t="s">
        <v>165</v>
      </c>
      <c r="D47" s="98" t="s">
        <v>897</v>
      </c>
      <c r="E47" s="296" t="s">
        <v>1457</v>
      </c>
      <c r="F47" s="97">
        <v>400</v>
      </c>
      <c r="G47" s="69">
        <v>2</v>
      </c>
      <c r="H47" s="69" t="s">
        <v>172</v>
      </c>
      <c r="I47" s="69" t="s">
        <v>357</v>
      </c>
      <c r="J47" s="58">
        <v>45516</v>
      </c>
      <c r="K47" s="105"/>
      <c r="L47" s="123"/>
      <c r="M47" s="105"/>
      <c r="N47" s="390" t="s">
        <v>1560</v>
      </c>
      <c r="O47" s="56"/>
      <c r="P47" s="60"/>
      <c r="Q47" s="97">
        <v>400</v>
      </c>
      <c r="R47" s="225" t="s">
        <v>387</v>
      </c>
      <c r="S47" s="100">
        <v>79000</v>
      </c>
      <c r="T47" s="65">
        <f t="shared" si="2"/>
        <v>31600</v>
      </c>
    </row>
    <row r="48" spans="1:20" s="67" customFormat="1" x14ac:dyDescent="0.25">
      <c r="A48" s="69" t="s">
        <v>1066</v>
      </c>
      <c r="B48" s="60" t="s">
        <v>1482</v>
      </c>
      <c r="C48" s="60" t="s">
        <v>165</v>
      </c>
      <c r="D48" s="98" t="s">
        <v>897</v>
      </c>
      <c r="E48" s="296" t="s">
        <v>1481</v>
      </c>
      <c r="F48" s="97">
        <v>5600</v>
      </c>
      <c r="G48" s="69">
        <v>28</v>
      </c>
      <c r="H48" s="69" t="s">
        <v>172</v>
      </c>
      <c r="I48" s="69" t="s">
        <v>357</v>
      </c>
      <c r="J48" s="58">
        <v>45516</v>
      </c>
      <c r="K48" s="105"/>
      <c r="L48" s="123"/>
      <c r="M48" s="105"/>
      <c r="N48" s="390" t="s">
        <v>1560</v>
      </c>
      <c r="O48" s="56"/>
      <c r="P48" s="60"/>
      <c r="Q48" s="97">
        <v>5600</v>
      </c>
      <c r="R48" s="225" t="s">
        <v>387</v>
      </c>
      <c r="S48" s="100">
        <v>79000</v>
      </c>
      <c r="T48" s="65">
        <f t="shared" si="2"/>
        <v>442400</v>
      </c>
    </row>
    <row r="49" spans="1:20" s="299" customFormat="1" x14ac:dyDescent="0.25">
      <c r="A49" s="69" t="s">
        <v>1066</v>
      </c>
      <c r="B49" s="60" t="s">
        <v>1487</v>
      </c>
      <c r="C49" s="60" t="s">
        <v>165</v>
      </c>
      <c r="D49" s="11" t="s">
        <v>1097</v>
      </c>
      <c r="E49" s="296" t="s">
        <v>1493</v>
      </c>
      <c r="F49" s="60">
        <v>17500</v>
      </c>
      <c r="G49" s="69">
        <v>700</v>
      </c>
      <c r="H49" s="59" t="s">
        <v>169</v>
      </c>
      <c r="I49" s="69" t="s">
        <v>357</v>
      </c>
      <c r="J49" s="58">
        <v>45518</v>
      </c>
      <c r="K49" s="108"/>
      <c r="L49" s="117"/>
      <c r="M49" s="66"/>
      <c r="N49" s="390" t="s">
        <v>1572</v>
      </c>
      <c r="O49" s="60">
        <v>17500</v>
      </c>
      <c r="P49" s="56"/>
      <c r="Q49" s="56"/>
      <c r="R49" s="225" t="s">
        <v>387</v>
      </c>
      <c r="S49" s="65">
        <v>49500</v>
      </c>
      <c r="T49" s="65">
        <f t="shared" si="2"/>
        <v>866250</v>
      </c>
    </row>
    <row r="50" spans="1:20" s="299" customFormat="1" x14ac:dyDescent="0.25">
      <c r="A50" s="69" t="s">
        <v>1523</v>
      </c>
      <c r="B50" s="60" t="s">
        <v>1497</v>
      </c>
      <c r="C50" s="60" t="s">
        <v>165</v>
      </c>
      <c r="D50" s="11" t="s">
        <v>1097</v>
      </c>
      <c r="E50" s="296" t="s">
        <v>1496</v>
      </c>
      <c r="F50" s="60">
        <v>17500</v>
      </c>
      <c r="G50" s="69">
        <v>700</v>
      </c>
      <c r="H50" s="69" t="s">
        <v>681</v>
      </c>
      <c r="I50" s="69" t="s">
        <v>357</v>
      </c>
      <c r="J50" s="58">
        <v>45518</v>
      </c>
      <c r="K50" s="108"/>
      <c r="L50" s="117"/>
      <c r="M50" s="66"/>
      <c r="N50" s="390" t="s">
        <v>1571</v>
      </c>
      <c r="O50" s="60">
        <v>17500</v>
      </c>
      <c r="P50" s="56"/>
      <c r="Q50" s="56"/>
      <c r="R50" s="225" t="s">
        <v>387</v>
      </c>
      <c r="S50" s="100">
        <v>49500</v>
      </c>
      <c r="T50" s="65">
        <f t="shared" si="2"/>
        <v>866250</v>
      </c>
    </row>
    <row r="51" spans="1:20" s="67" customFormat="1" x14ac:dyDescent="0.25">
      <c r="A51" s="69" t="s">
        <v>1570</v>
      </c>
      <c r="B51" s="60" t="s">
        <v>1569</v>
      </c>
      <c r="C51" s="60" t="s">
        <v>373</v>
      </c>
      <c r="D51" s="98" t="s">
        <v>286</v>
      </c>
      <c r="E51" s="59" t="s">
        <v>1259</v>
      </c>
      <c r="F51" s="97">
        <v>6000</v>
      </c>
      <c r="G51" s="69">
        <v>240</v>
      </c>
      <c r="H51" s="69" t="s">
        <v>169</v>
      </c>
      <c r="I51" s="69" t="s">
        <v>357</v>
      </c>
      <c r="J51" s="58">
        <v>45520</v>
      </c>
      <c r="K51" s="105" t="s">
        <v>993</v>
      </c>
      <c r="L51" s="398">
        <v>899600155752</v>
      </c>
      <c r="M51" s="105" t="s">
        <v>504</v>
      </c>
      <c r="N51" s="360"/>
      <c r="O51" s="56"/>
      <c r="P51" s="97">
        <v>6000</v>
      </c>
      <c r="Q51" s="97"/>
      <c r="R51" s="56" t="s">
        <v>387</v>
      </c>
      <c r="S51" s="100">
        <v>246500</v>
      </c>
      <c r="T51" s="65">
        <f t="shared" ref="T51" si="4" xml:space="preserve"> S51*(F51/1000)</f>
        <v>1479000</v>
      </c>
    </row>
    <row r="52" spans="1:20" s="67" customFormat="1" x14ac:dyDescent="0.25">
      <c r="A52" s="69" t="s">
        <v>1066</v>
      </c>
      <c r="B52" s="60" t="s">
        <v>1488</v>
      </c>
      <c r="C52" s="60" t="s">
        <v>165</v>
      </c>
      <c r="D52" s="98" t="s">
        <v>897</v>
      </c>
      <c r="E52" s="296" t="s">
        <v>1481</v>
      </c>
      <c r="F52" s="97">
        <v>1600</v>
      </c>
      <c r="G52" s="69">
        <v>8</v>
      </c>
      <c r="H52" s="69" t="s">
        <v>172</v>
      </c>
      <c r="I52" s="69" t="s">
        <v>357</v>
      </c>
      <c r="J52" s="58">
        <v>45524</v>
      </c>
      <c r="K52" s="105"/>
      <c r="L52" s="123"/>
      <c r="M52" s="105"/>
      <c r="N52" s="389" t="s">
        <v>1592</v>
      </c>
      <c r="O52" s="56"/>
      <c r="P52" s="60"/>
      <c r="Q52" s="97">
        <v>1600</v>
      </c>
      <c r="R52" s="225" t="s">
        <v>387</v>
      </c>
      <c r="S52" s="100">
        <v>79000</v>
      </c>
      <c r="T52" s="65">
        <f xml:space="preserve"> S52*(F52/1000)</f>
        <v>126400</v>
      </c>
    </row>
    <row r="53" spans="1:20" s="67" customFormat="1" x14ac:dyDescent="0.25">
      <c r="A53" s="69" t="s">
        <v>1066</v>
      </c>
      <c r="B53" s="60" t="s">
        <v>1488</v>
      </c>
      <c r="C53" s="60" t="s">
        <v>165</v>
      </c>
      <c r="D53" s="98" t="s">
        <v>897</v>
      </c>
      <c r="E53" s="296" t="s">
        <v>1496</v>
      </c>
      <c r="F53" s="97">
        <v>3200</v>
      </c>
      <c r="G53" s="69">
        <v>16</v>
      </c>
      <c r="H53" s="69" t="s">
        <v>172</v>
      </c>
      <c r="I53" s="69" t="s">
        <v>357</v>
      </c>
      <c r="J53" s="58">
        <v>45524</v>
      </c>
      <c r="K53" s="105"/>
      <c r="L53" s="123"/>
      <c r="M53" s="105"/>
      <c r="N53" s="389" t="s">
        <v>1592</v>
      </c>
      <c r="O53" s="56"/>
      <c r="P53" s="60"/>
      <c r="Q53" s="97">
        <v>3200</v>
      </c>
      <c r="R53" s="225" t="s">
        <v>387</v>
      </c>
      <c r="S53" s="100">
        <v>79000</v>
      </c>
      <c r="T53" s="65">
        <f xml:space="preserve"> S53*(F53/1000)</f>
        <v>252800</v>
      </c>
    </row>
    <row r="54" spans="1:20" s="67" customFormat="1" x14ac:dyDescent="0.25">
      <c r="A54" s="69" t="s">
        <v>1066</v>
      </c>
      <c r="B54" s="60" t="s">
        <v>1488</v>
      </c>
      <c r="C54" s="60" t="s">
        <v>165</v>
      </c>
      <c r="D54" s="98" t="s">
        <v>897</v>
      </c>
      <c r="E54" s="296" t="s">
        <v>1510</v>
      </c>
      <c r="F54" s="97">
        <v>7200</v>
      </c>
      <c r="G54" s="69">
        <v>36</v>
      </c>
      <c r="H54" s="69" t="s">
        <v>172</v>
      </c>
      <c r="I54" s="69" t="s">
        <v>357</v>
      </c>
      <c r="J54" s="58">
        <v>45524</v>
      </c>
      <c r="K54" s="105"/>
      <c r="L54" s="123"/>
      <c r="M54" s="105"/>
      <c r="N54" s="389" t="s">
        <v>1592</v>
      </c>
      <c r="O54" s="56"/>
      <c r="P54" s="60"/>
      <c r="Q54" s="97">
        <v>7200</v>
      </c>
      <c r="R54" s="225" t="s">
        <v>387</v>
      </c>
      <c r="S54" s="100">
        <v>79000</v>
      </c>
      <c r="T54" s="65">
        <f t="shared" ref="T54:T87" si="5" xml:space="preserve"> S54*(F54/1000)</f>
        <v>568800</v>
      </c>
    </row>
    <row r="55" spans="1:20" s="67" customFormat="1" x14ac:dyDescent="0.25">
      <c r="A55" s="69" t="s">
        <v>1066</v>
      </c>
      <c r="B55" s="60" t="s">
        <v>1488</v>
      </c>
      <c r="C55" s="60" t="s">
        <v>165</v>
      </c>
      <c r="D55" s="98" t="s">
        <v>897</v>
      </c>
      <c r="E55" s="296" t="s">
        <v>1511</v>
      </c>
      <c r="F55" s="97">
        <v>4000</v>
      </c>
      <c r="G55" s="69">
        <v>20</v>
      </c>
      <c r="H55" s="69" t="s">
        <v>172</v>
      </c>
      <c r="I55" s="69" t="s">
        <v>357</v>
      </c>
      <c r="J55" s="58">
        <v>45524</v>
      </c>
      <c r="K55" s="105"/>
      <c r="L55" s="123"/>
      <c r="M55" s="105"/>
      <c r="N55" s="389" t="s">
        <v>1592</v>
      </c>
      <c r="O55" s="56"/>
      <c r="P55" s="60"/>
      <c r="Q55" s="97">
        <v>4000</v>
      </c>
      <c r="R55" s="225" t="s">
        <v>387</v>
      </c>
      <c r="S55" s="100">
        <v>79000</v>
      </c>
      <c r="T55" s="65">
        <f t="shared" si="5"/>
        <v>316000</v>
      </c>
    </row>
    <row r="56" spans="1:20" s="67" customFormat="1" x14ac:dyDescent="0.25">
      <c r="A56" s="69" t="s">
        <v>1066</v>
      </c>
      <c r="B56" s="60" t="s">
        <v>1547</v>
      </c>
      <c r="C56" s="60" t="s">
        <v>165</v>
      </c>
      <c r="D56" s="98" t="s">
        <v>897</v>
      </c>
      <c r="E56" s="296" t="s">
        <v>1511</v>
      </c>
      <c r="F56" s="97">
        <v>2600</v>
      </c>
      <c r="G56" s="69">
        <v>13</v>
      </c>
      <c r="H56" s="69" t="s">
        <v>172</v>
      </c>
      <c r="I56" s="69" t="s">
        <v>357</v>
      </c>
      <c r="J56" s="58">
        <v>45524</v>
      </c>
      <c r="K56" s="105"/>
      <c r="L56" s="123"/>
      <c r="M56" s="105"/>
      <c r="N56" s="389" t="s">
        <v>1591</v>
      </c>
      <c r="O56" s="56"/>
      <c r="P56" s="60"/>
      <c r="Q56" s="97">
        <v>2600</v>
      </c>
      <c r="R56" s="225" t="s">
        <v>387</v>
      </c>
      <c r="S56" s="100">
        <v>79000</v>
      </c>
      <c r="T56" s="65">
        <f t="shared" si="5"/>
        <v>205400</v>
      </c>
    </row>
    <row r="57" spans="1:20" s="67" customFormat="1" x14ac:dyDescent="0.25">
      <c r="A57" s="69" t="s">
        <v>1066</v>
      </c>
      <c r="B57" s="60" t="s">
        <v>1547</v>
      </c>
      <c r="C57" s="60" t="s">
        <v>165</v>
      </c>
      <c r="D57" s="98" t="s">
        <v>897</v>
      </c>
      <c r="E57" s="296" t="s">
        <v>1537</v>
      </c>
      <c r="F57" s="97">
        <v>6000</v>
      </c>
      <c r="G57" s="69">
        <v>30</v>
      </c>
      <c r="H57" s="69" t="s">
        <v>172</v>
      </c>
      <c r="I57" s="69" t="s">
        <v>357</v>
      </c>
      <c r="J57" s="58">
        <v>45524</v>
      </c>
      <c r="K57" s="105"/>
      <c r="L57" s="123"/>
      <c r="M57" s="105"/>
      <c r="N57" s="389" t="s">
        <v>1591</v>
      </c>
      <c r="O57" s="56"/>
      <c r="P57" s="60"/>
      <c r="Q57" s="97">
        <v>6000</v>
      </c>
      <c r="R57" s="225" t="s">
        <v>387</v>
      </c>
      <c r="S57" s="100">
        <v>79000</v>
      </c>
      <c r="T57" s="65">
        <f t="shared" si="5"/>
        <v>474000</v>
      </c>
    </row>
    <row r="58" spans="1:20" s="67" customFormat="1" x14ac:dyDescent="0.25">
      <c r="A58" s="69" t="s">
        <v>1066</v>
      </c>
      <c r="B58" s="60" t="s">
        <v>1547</v>
      </c>
      <c r="C58" s="60" t="s">
        <v>165</v>
      </c>
      <c r="D58" s="98" t="s">
        <v>897</v>
      </c>
      <c r="E58" s="296" t="s">
        <v>1563</v>
      </c>
      <c r="F58" s="97">
        <v>7000</v>
      </c>
      <c r="G58" s="69">
        <v>35</v>
      </c>
      <c r="H58" s="69" t="s">
        <v>172</v>
      </c>
      <c r="I58" s="69" t="s">
        <v>357</v>
      </c>
      <c r="J58" s="58">
        <v>45524</v>
      </c>
      <c r="K58" s="105"/>
      <c r="L58" s="123"/>
      <c r="M58" s="105"/>
      <c r="N58" s="389" t="s">
        <v>1591</v>
      </c>
      <c r="O58" s="56"/>
      <c r="P58" s="60"/>
      <c r="Q58" s="97">
        <v>7000</v>
      </c>
      <c r="R58" s="225" t="s">
        <v>387</v>
      </c>
      <c r="S58" s="100">
        <v>79000</v>
      </c>
      <c r="T58" s="65">
        <f t="shared" si="5"/>
        <v>553000</v>
      </c>
    </row>
    <row r="59" spans="1:20" s="67" customFormat="1" x14ac:dyDescent="0.25">
      <c r="A59" s="69" t="s">
        <v>1066</v>
      </c>
      <c r="B59" s="60" t="s">
        <v>1547</v>
      </c>
      <c r="C59" s="60" t="s">
        <v>165</v>
      </c>
      <c r="D59" s="98" t="s">
        <v>897</v>
      </c>
      <c r="E59" s="296" t="s">
        <v>1564</v>
      </c>
      <c r="F59" s="97">
        <v>400</v>
      </c>
      <c r="G59" s="69">
        <v>2</v>
      </c>
      <c r="H59" s="69" t="s">
        <v>172</v>
      </c>
      <c r="I59" s="69" t="s">
        <v>357</v>
      </c>
      <c r="J59" s="58">
        <v>45524</v>
      </c>
      <c r="K59" s="105"/>
      <c r="L59" s="123"/>
      <c r="M59" s="105"/>
      <c r="N59" s="389" t="s">
        <v>1591</v>
      </c>
      <c r="O59" s="56"/>
      <c r="P59" s="60"/>
      <c r="Q59" s="97">
        <v>400</v>
      </c>
      <c r="R59" s="225" t="s">
        <v>387</v>
      </c>
      <c r="S59" s="100">
        <v>79000</v>
      </c>
      <c r="T59" s="65">
        <f t="shared" si="5"/>
        <v>31600</v>
      </c>
    </row>
    <row r="60" spans="1:20" s="67" customFormat="1" ht="13.5" customHeight="1" x14ac:dyDescent="0.25">
      <c r="A60" s="69" t="s">
        <v>1545</v>
      </c>
      <c r="B60" s="60" t="s">
        <v>852</v>
      </c>
      <c r="C60" s="60" t="s">
        <v>168</v>
      </c>
      <c r="D60" s="98" t="s">
        <v>621</v>
      </c>
      <c r="E60" s="64" t="s">
        <v>1563</v>
      </c>
      <c r="F60" s="97">
        <v>9360</v>
      </c>
      <c r="G60" s="69">
        <v>52</v>
      </c>
      <c r="H60" s="58" t="s">
        <v>391</v>
      </c>
      <c r="I60" s="58" t="s">
        <v>357</v>
      </c>
      <c r="J60" s="58">
        <v>45524</v>
      </c>
      <c r="K60" s="108" t="s">
        <v>1576</v>
      </c>
      <c r="L60" s="117">
        <v>89101181420</v>
      </c>
      <c r="M60" s="56" t="s">
        <v>1575</v>
      </c>
      <c r="N60" s="339"/>
      <c r="O60" s="97"/>
      <c r="P60" s="60"/>
      <c r="Q60" s="97">
        <v>9360</v>
      </c>
      <c r="R60" s="56" t="s">
        <v>387</v>
      </c>
      <c r="S60" s="100">
        <v>359000</v>
      </c>
      <c r="T60" s="65">
        <f t="shared" si="5"/>
        <v>3360240</v>
      </c>
    </row>
    <row r="61" spans="1:20" s="67" customFormat="1" x14ac:dyDescent="0.25">
      <c r="A61" s="69" t="s">
        <v>1532</v>
      </c>
      <c r="B61" s="60" t="s">
        <v>1549</v>
      </c>
      <c r="C61" s="60" t="s">
        <v>165</v>
      </c>
      <c r="D61" s="98" t="s">
        <v>205</v>
      </c>
      <c r="E61" s="296" t="s">
        <v>1537</v>
      </c>
      <c r="F61" s="97">
        <v>7400</v>
      </c>
      <c r="G61" s="69">
        <v>40</v>
      </c>
      <c r="H61" s="69" t="s">
        <v>1053</v>
      </c>
      <c r="I61" s="69" t="s">
        <v>357</v>
      </c>
      <c r="J61" s="58">
        <v>45524</v>
      </c>
      <c r="K61" s="105" t="s">
        <v>1582</v>
      </c>
      <c r="L61" s="123">
        <v>89932204236</v>
      </c>
      <c r="M61" s="105" t="s">
        <v>1581</v>
      </c>
      <c r="N61" s="389"/>
      <c r="O61" s="56"/>
      <c r="P61" s="60"/>
      <c r="Q61" s="97">
        <v>7400</v>
      </c>
      <c r="R61" s="225" t="s">
        <v>387</v>
      </c>
      <c r="S61" s="100">
        <v>125000</v>
      </c>
      <c r="T61" s="65">
        <f t="shared" ref="T61:T67" si="6" xml:space="preserve"> S61*(F61/1000)</f>
        <v>925000</v>
      </c>
    </row>
    <row r="62" spans="1:20" s="67" customFormat="1" x14ac:dyDescent="0.25">
      <c r="A62" s="69" t="s">
        <v>1532</v>
      </c>
      <c r="B62" s="60" t="s">
        <v>1549</v>
      </c>
      <c r="C62" s="60" t="s">
        <v>165</v>
      </c>
      <c r="D62" s="98" t="s">
        <v>205</v>
      </c>
      <c r="E62" s="296" t="s">
        <v>1550</v>
      </c>
      <c r="F62" s="97">
        <v>7400</v>
      </c>
      <c r="G62" s="69">
        <v>40</v>
      </c>
      <c r="H62" s="69" t="s">
        <v>1053</v>
      </c>
      <c r="I62" s="69" t="s">
        <v>357</v>
      </c>
      <c r="J62" s="58">
        <v>45524</v>
      </c>
      <c r="K62" s="105" t="s">
        <v>1582</v>
      </c>
      <c r="L62" s="123">
        <v>89932204236</v>
      </c>
      <c r="M62" s="105" t="s">
        <v>1581</v>
      </c>
      <c r="N62" s="389"/>
      <c r="O62" s="56"/>
      <c r="P62" s="60"/>
      <c r="Q62" s="97">
        <v>7400</v>
      </c>
      <c r="R62" s="225" t="s">
        <v>387</v>
      </c>
      <c r="S62" s="100">
        <v>125000</v>
      </c>
      <c r="T62" s="65">
        <f t="shared" si="6"/>
        <v>925000</v>
      </c>
    </row>
    <row r="63" spans="1:20" s="67" customFormat="1" ht="13.5" customHeight="1" x14ac:dyDescent="0.25">
      <c r="A63" s="69" t="s">
        <v>1570</v>
      </c>
      <c r="B63" s="60" t="s">
        <v>1546</v>
      </c>
      <c r="C63" s="60" t="s">
        <v>436</v>
      </c>
      <c r="D63" s="11" t="s">
        <v>331</v>
      </c>
      <c r="E63" s="59" t="s">
        <v>1561</v>
      </c>
      <c r="F63" s="60">
        <v>8800</v>
      </c>
      <c r="G63" s="69">
        <v>44</v>
      </c>
      <c r="H63" s="69" t="s">
        <v>438</v>
      </c>
      <c r="I63" s="69" t="s">
        <v>357</v>
      </c>
      <c r="J63" s="58">
        <v>45524</v>
      </c>
      <c r="K63" s="108" t="s">
        <v>1585</v>
      </c>
      <c r="L63" s="352">
        <v>89539337789</v>
      </c>
      <c r="M63" s="66" t="s">
        <v>1580</v>
      </c>
      <c r="N63" s="341"/>
      <c r="O63" s="56"/>
      <c r="P63" s="56"/>
      <c r="Q63" s="60">
        <v>8800</v>
      </c>
      <c r="R63" s="56" t="s">
        <v>387</v>
      </c>
      <c r="S63" s="100">
        <v>369000</v>
      </c>
      <c r="T63" s="65">
        <f t="shared" si="6"/>
        <v>3247200.0000000005</v>
      </c>
    </row>
    <row r="64" spans="1:20" s="67" customFormat="1" ht="13.5" customHeight="1" x14ac:dyDescent="0.25">
      <c r="A64" s="69" t="s">
        <v>1570</v>
      </c>
      <c r="B64" s="60" t="s">
        <v>1546</v>
      </c>
      <c r="C64" s="60" t="s">
        <v>436</v>
      </c>
      <c r="D64" s="11" t="s">
        <v>331</v>
      </c>
      <c r="E64" s="59" t="s">
        <v>1562</v>
      </c>
      <c r="F64" s="60">
        <v>8400</v>
      </c>
      <c r="G64" s="69">
        <v>42</v>
      </c>
      <c r="H64" s="69" t="s">
        <v>438</v>
      </c>
      <c r="I64" s="69" t="s">
        <v>357</v>
      </c>
      <c r="J64" s="58">
        <v>45524</v>
      </c>
      <c r="K64" s="108" t="s">
        <v>1585</v>
      </c>
      <c r="L64" s="352">
        <v>89539337789</v>
      </c>
      <c r="M64" s="66" t="s">
        <v>1580</v>
      </c>
      <c r="N64" s="341"/>
      <c r="O64" s="56"/>
      <c r="P64" s="56"/>
      <c r="Q64" s="60">
        <v>8400</v>
      </c>
      <c r="R64" s="56" t="s">
        <v>387</v>
      </c>
      <c r="S64" s="100">
        <v>369000</v>
      </c>
      <c r="T64" s="65">
        <f t="shared" si="6"/>
        <v>3099600</v>
      </c>
    </row>
    <row r="65" spans="1:20" s="67" customFormat="1" ht="13.5" customHeight="1" x14ac:dyDescent="0.25">
      <c r="A65" s="69" t="s">
        <v>1570</v>
      </c>
      <c r="B65" s="60" t="s">
        <v>1546</v>
      </c>
      <c r="C65" s="60" t="s">
        <v>436</v>
      </c>
      <c r="D65" s="11" t="s">
        <v>331</v>
      </c>
      <c r="E65" s="59" t="s">
        <v>1579</v>
      </c>
      <c r="F65" s="60">
        <v>400</v>
      </c>
      <c r="G65" s="69">
        <v>2</v>
      </c>
      <c r="H65" s="69" t="s">
        <v>438</v>
      </c>
      <c r="I65" s="69" t="s">
        <v>357</v>
      </c>
      <c r="J65" s="58">
        <v>45524</v>
      </c>
      <c r="K65" s="108" t="s">
        <v>1585</v>
      </c>
      <c r="L65" s="352">
        <v>89539337789</v>
      </c>
      <c r="M65" s="66" t="s">
        <v>1580</v>
      </c>
      <c r="N65" s="341"/>
      <c r="O65" s="56"/>
      <c r="P65" s="56"/>
      <c r="Q65" s="60">
        <v>400</v>
      </c>
      <c r="R65" s="56" t="s">
        <v>387</v>
      </c>
      <c r="S65" s="100">
        <v>369000</v>
      </c>
      <c r="T65" s="65">
        <f t="shared" si="6"/>
        <v>147600</v>
      </c>
    </row>
    <row r="66" spans="1:20" s="67" customFormat="1" ht="13.5" customHeight="1" x14ac:dyDescent="0.25">
      <c r="A66" s="69" t="s">
        <v>1570</v>
      </c>
      <c r="B66" s="60" t="s">
        <v>1577</v>
      </c>
      <c r="C66" s="60" t="s">
        <v>436</v>
      </c>
      <c r="D66" s="11" t="s">
        <v>331</v>
      </c>
      <c r="E66" s="59" t="s">
        <v>1578</v>
      </c>
      <c r="F66" s="60">
        <v>8800</v>
      </c>
      <c r="G66" s="69">
        <v>44</v>
      </c>
      <c r="H66" s="69" t="s">
        <v>438</v>
      </c>
      <c r="I66" s="69" t="s">
        <v>357</v>
      </c>
      <c r="J66" s="58">
        <v>45525</v>
      </c>
      <c r="K66" s="108" t="s">
        <v>503</v>
      </c>
      <c r="L66" s="352">
        <v>89212414996</v>
      </c>
      <c r="M66" s="66" t="s">
        <v>1586</v>
      </c>
      <c r="N66" s="341"/>
      <c r="O66" s="56"/>
      <c r="P66" s="56"/>
      <c r="Q66" s="60">
        <v>8800</v>
      </c>
      <c r="R66" s="56" t="s">
        <v>387</v>
      </c>
      <c r="S66" s="100">
        <v>369000</v>
      </c>
      <c r="T66" s="65">
        <f t="shared" si="6"/>
        <v>3247200.0000000005</v>
      </c>
    </row>
    <row r="67" spans="1:20" s="67" customFormat="1" ht="13.5" customHeight="1" x14ac:dyDescent="0.25">
      <c r="A67" s="69" t="s">
        <v>1570</v>
      </c>
      <c r="B67" s="60" t="s">
        <v>1577</v>
      </c>
      <c r="C67" s="60" t="s">
        <v>436</v>
      </c>
      <c r="D67" s="11" t="s">
        <v>331</v>
      </c>
      <c r="E67" s="59" t="s">
        <v>1579</v>
      </c>
      <c r="F67" s="60">
        <v>8800</v>
      </c>
      <c r="G67" s="69">
        <v>44</v>
      </c>
      <c r="H67" s="69" t="s">
        <v>438</v>
      </c>
      <c r="I67" s="69" t="s">
        <v>357</v>
      </c>
      <c r="J67" s="58">
        <v>45525</v>
      </c>
      <c r="K67" s="108" t="s">
        <v>503</v>
      </c>
      <c r="L67" s="352">
        <v>89212414996</v>
      </c>
      <c r="M67" s="66" t="s">
        <v>1586</v>
      </c>
      <c r="N67" s="341"/>
      <c r="O67" s="56"/>
      <c r="P67" s="56"/>
      <c r="Q67" s="60">
        <v>8800</v>
      </c>
      <c r="R67" s="56" t="s">
        <v>387</v>
      </c>
      <c r="S67" s="100">
        <v>369000</v>
      </c>
      <c r="T67" s="65">
        <f t="shared" si="6"/>
        <v>3247200.0000000005</v>
      </c>
    </row>
    <row r="68" spans="1:20" s="67" customFormat="1" x14ac:dyDescent="0.25">
      <c r="A68" s="69" t="s">
        <v>1532</v>
      </c>
      <c r="B68" s="60" t="s">
        <v>1549</v>
      </c>
      <c r="C68" s="60" t="s">
        <v>165</v>
      </c>
      <c r="D68" s="98" t="s">
        <v>205</v>
      </c>
      <c r="E68" s="296" t="s">
        <v>1548</v>
      </c>
      <c r="F68" s="97">
        <v>7770</v>
      </c>
      <c r="G68" s="69">
        <v>42</v>
      </c>
      <c r="H68" s="69" t="s">
        <v>1053</v>
      </c>
      <c r="I68" s="69" t="s">
        <v>357</v>
      </c>
      <c r="J68" s="58">
        <v>45525</v>
      </c>
      <c r="K68" s="105" t="s">
        <v>1590</v>
      </c>
      <c r="L68" s="123">
        <v>89992243836</v>
      </c>
      <c r="M68" s="105" t="s">
        <v>1589</v>
      </c>
      <c r="N68" s="389"/>
      <c r="O68" s="56"/>
      <c r="P68" s="60"/>
      <c r="Q68" s="97">
        <v>7770</v>
      </c>
      <c r="R68" s="225" t="s">
        <v>387</v>
      </c>
      <c r="S68" s="100">
        <v>125000</v>
      </c>
      <c r="T68" s="65">
        <f xml:space="preserve"> S68*(F68/1000)</f>
        <v>971250</v>
      </c>
    </row>
    <row r="69" spans="1:20" s="67" customFormat="1" x14ac:dyDescent="0.25">
      <c r="A69" s="69" t="s">
        <v>1532</v>
      </c>
      <c r="B69" s="60" t="s">
        <v>1549</v>
      </c>
      <c r="C69" s="60" t="s">
        <v>165</v>
      </c>
      <c r="D69" s="98" t="s">
        <v>205</v>
      </c>
      <c r="E69" s="296" t="s">
        <v>1555</v>
      </c>
      <c r="F69" s="97">
        <v>6660</v>
      </c>
      <c r="G69" s="69">
        <v>36</v>
      </c>
      <c r="H69" s="69" t="s">
        <v>1053</v>
      </c>
      <c r="I69" s="69" t="s">
        <v>357</v>
      </c>
      <c r="J69" s="58">
        <v>45525</v>
      </c>
      <c r="K69" s="105" t="s">
        <v>1590</v>
      </c>
      <c r="L69" s="123">
        <v>89992243836</v>
      </c>
      <c r="M69" s="105" t="s">
        <v>1589</v>
      </c>
      <c r="N69" s="389"/>
      <c r="O69" s="56"/>
      <c r="P69" s="60"/>
      <c r="Q69" s="97">
        <v>6660</v>
      </c>
      <c r="R69" s="225" t="s">
        <v>387</v>
      </c>
      <c r="S69" s="100">
        <v>125000</v>
      </c>
      <c r="T69" s="65">
        <f xml:space="preserve"> S69*(F69/1000)</f>
        <v>832500</v>
      </c>
    </row>
    <row r="70" spans="1:20" s="67" customFormat="1" x14ac:dyDescent="0.25">
      <c r="A70" s="69" t="s">
        <v>1532</v>
      </c>
      <c r="B70" s="60" t="s">
        <v>1549</v>
      </c>
      <c r="C70" s="60" t="s">
        <v>165</v>
      </c>
      <c r="D70" s="98" t="s">
        <v>205</v>
      </c>
      <c r="E70" s="296" t="s">
        <v>1550</v>
      </c>
      <c r="F70" s="97">
        <v>370</v>
      </c>
      <c r="G70" s="69">
        <v>2</v>
      </c>
      <c r="H70" s="69" t="s">
        <v>1053</v>
      </c>
      <c r="I70" s="69" t="s">
        <v>357</v>
      </c>
      <c r="J70" s="58">
        <v>45525</v>
      </c>
      <c r="K70" s="105" t="s">
        <v>1590</v>
      </c>
      <c r="L70" s="123">
        <v>89992243836</v>
      </c>
      <c r="M70" s="105" t="s">
        <v>1589</v>
      </c>
      <c r="N70" s="389"/>
      <c r="O70" s="56"/>
      <c r="P70" s="60"/>
      <c r="Q70" s="97">
        <v>370</v>
      </c>
      <c r="R70" s="225" t="s">
        <v>387</v>
      </c>
      <c r="S70" s="100">
        <v>125000</v>
      </c>
      <c r="T70" s="65">
        <f xml:space="preserve"> S70*(F70/1000)</f>
        <v>46250</v>
      </c>
    </row>
    <row r="71" spans="1:20" s="67" customFormat="1" x14ac:dyDescent="0.25">
      <c r="A71" s="69" t="s">
        <v>1532</v>
      </c>
      <c r="B71" s="60" t="s">
        <v>1573</v>
      </c>
      <c r="C71" s="60" t="s">
        <v>373</v>
      </c>
      <c r="D71" s="98" t="s">
        <v>285</v>
      </c>
      <c r="E71" s="59" t="s">
        <v>1125</v>
      </c>
      <c r="F71" s="97">
        <v>20000</v>
      </c>
      <c r="G71" s="69">
        <v>800</v>
      </c>
      <c r="H71" s="69" t="s">
        <v>241</v>
      </c>
      <c r="I71" s="69" t="s">
        <v>357</v>
      </c>
      <c r="J71" s="58">
        <v>45525</v>
      </c>
      <c r="K71" s="105" t="s">
        <v>1584</v>
      </c>
      <c r="L71" s="123">
        <v>89056694308</v>
      </c>
      <c r="M71" s="105" t="s">
        <v>1583</v>
      </c>
      <c r="N71" s="360"/>
      <c r="O71" s="97">
        <v>20000</v>
      </c>
      <c r="P71" s="60"/>
      <c r="Q71" s="97"/>
      <c r="R71" s="56" t="s">
        <v>387</v>
      </c>
      <c r="S71" s="100">
        <v>40700</v>
      </c>
      <c r="T71" s="65">
        <f t="shared" si="5"/>
        <v>814000</v>
      </c>
    </row>
    <row r="72" spans="1:20" s="67" customFormat="1" x14ac:dyDescent="0.25">
      <c r="A72" s="69" t="s">
        <v>1588</v>
      </c>
      <c r="B72" s="60" t="s">
        <v>1565</v>
      </c>
      <c r="C72" s="60" t="s">
        <v>373</v>
      </c>
      <c r="D72" s="98" t="s">
        <v>287</v>
      </c>
      <c r="E72" s="59" t="s">
        <v>977</v>
      </c>
      <c r="F72" s="97">
        <v>10000</v>
      </c>
      <c r="G72" s="69">
        <v>400</v>
      </c>
      <c r="H72" s="69" t="s">
        <v>382</v>
      </c>
      <c r="I72" s="69" t="s">
        <v>357</v>
      </c>
      <c r="J72" s="58">
        <v>45526</v>
      </c>
      <c r="K72" s="105" t="s">
        <v>1116</v>
      </c>
      <c r="L72" s="123">
        <v>89626644951</v>
      </c>
      <c r="M72" s="105" t="s">
        <v>1593</v>
      </c>
      <c r="N72" s="360"/>
      <c r="O72" s="97">
        <v>10000</v>
      </c>
      <c r="P72" s="60"/>
      <c r="Q72" s="97"/>
      <c r="R72" s="56" t="s">
        <v>387</v>
      </c>
      <c r="S72" s="100">
        <v>40700</v>
      </c>
      <c r="T72" s="65">
        <f t="shared" si="5"/>
        <v>407000</v>
      </c>
    </row>
    <row r="73" spans="1:20" s="67" customFormat="1" x14ac:dyDescent="0.25">
      <c r="A73" s="69" t="s">
        <v>1588</v>
      </c>
      <c r="B73" s="60" t="s">
        <v>1565</v>
      </c>
      <c r="C73" s="60" t="s">
        <v>373</v>
      </c>
      <c r="D73" s="98" t="s">
        <v>286</v>
      </c>
      <c r="E73" s="59" t="s">
        <v>1566</v>
      </c>
      <c r="F73" s="97">
        <v>10000</v>
      </c>
      <c r="G73" s="69">
        <v>400</v>
      </c>
      <c r="H73" s="69" t="s">
        <v>382</v>
      </c>
      <c r="I73" s="69" t="s">
        <v>357</v>
      </c>
      <c r="J73" s="58">
        <v>45526</v>
      </c>
      <c r="K73" s="105" t="s">
        <v>1116</v>
      </c>
      <c r="L73" s="123">
        <v>89626644951</v>
      </c>
      <c r="M73" s="105" t="s">
        <v>1593</v>
      </c>
      <c r="N73" s="360"/>
      <c r="O73" s="56"/>
      <c r="P73" s="97">
        <v>10000</v>
      </c>
      <c r="Q73" s="97"/>
      <c r="R73" s="56" t="s">
        <v>387</v>
      </c>
      <c r="S73" s="100">
        <v>246500</v>
      </c>
      <c r="T73" s="65">
        <f t="shared" si="5"/>
        <v>2465000</v>
      </c>
    </row>
    <row r="74" spans="1:20" s="67" customFormat="1" x14ac:dyDescent="0.25">
      <c r="A74" s="69" t="s">
        <v>1588</v>
      </c>
      <c r="B74" s="60" t="s">
        <v>1573</v>
      </c>
      <c r="C74" s="60" t="s">
        <v>373</v>
      </c>
      <c r="D74" s="98" t="s">
        <v>285</v>
      </c>
      <c r="E74" s="59" t="s">
        <v>1125</v>
      </c>
      <c r="F74" s="97">
        <v>20000</v>
      </c>
      <c r="G74" s="69">
        <v>800</v>
      </c>
      <c r="H74" s="69" t="s">
        <v>241</v>
      </c>
      <c r="I74" s="69" t="s">
        <v>357</v>
      </c>
      <c r="J74" s="58">
        <v>45526</v>
      </c>
      <c r="K74" s="105" t="s">
        <v>270</v>
      </c>
      <c r="L74" s="123">
        <v>89116853272</v>
      </c>
      <c r="M74" s="105" t="s">
        <v>1172</v>
      </c>
      <c r="N74" s="360"/>
      <c r="O74" s="97">
        <v>20000</v>
      </c>
      <c r="P74" s="60"/>
      <c r="Q74" s="97"/>
      <c r="R74" s="56" t="s">
        <v>387</v>
      </c>
      <c r="S74" s="100">
        <v>40700</v>
      </c>
      <c r="T74" s="65">
        <f t="shared" si="5"/>
        <v>814000</v>
      </c>
    </row>
    <row r="75" spans="1:20" s="67" customFormat="1" x14ac:dyDescent="0.25">
      <c r="A75" s="69" t="s">
        <v>1603</v>
      </c>
      <c r="B75" s="60" t="s">
        <v>1601</v>
      </c>
      <c r="C75" s="60" t="s">
        <v>1427</v>
      </c>
      <c r="D75" s="98" t="s">
        <v>289</v>
      </c>
      <c r="E75" s="59" t="s">
        <v>1600</v>
      </c>
      <c r="F75" s="97">
        <v>20000</v>
      </c>
      <c r="G75" s="69">
        <v>800</v>
      </c>
      <c r="H75" s="69" t="s">
        <v>1602</v>
      </c>
      <c r="I75" s="69" t="s">
        <v>357</v>
      </c>
      <c r="J75" s="58">
        <v>45526</v>
      </c>
      <c r="K75" s="105" t="s">
        <v>1606</v>
      </c>
      <c r="L75" s="123">
        <v>89614501205</v>
      </c>
      <c r="M75" s="105" t="s">
        <v>1605</v>
      </c>
      <c r="N75" s="169"/>
      <c r="O75" s="97">
        <v>20000</v>
      </c>
      <c r="P75" s="60"/>
      <c r="Q75" s="97"/>
      <c r="R75" s="56" t="s">
        <v>387</v>
      </c>
      <c r="S75" s="100">
        <v>39000</v>
      </c>
      <c r="T75" s="65">
        <f t="shared" si="5"/>
        <v>780000</v>
      </c>
    </row>
    <row r="76" spans="1:20" s="67" customFormat="1" x14ac:dyDescent="0.25">
      <c r="A76" s="69" t="s">
        <v>1604</v>
      </c>
      <c r="B76" s="60" t="s">
        <v>1599</v>
      </c>
      <c r="C76" s="60" t="s">
        <v>1427</v>
      </c>
      <c r="D76" s="98" t="s">
        <v>289</v>
      </c>
      <c r="E76" s="59" t="s">
        <v>1600</v>
      </c>
      <c r="F76" s="97">
        <v>20000</v>
      </c>
      <c r="G76" s="69">
        <v>800</v>
      </c>
      <c r="H76" s="69" t="s">
        <v>655</v>
      </c>
      <c r="I76" s="69" t="s">
        <v>357</v>
      </c>
      <c r="J76" s="58">
        <v>45527</v>
      </c>
      <c r="K76" s="105" t="s">
        <v>1610</v>
      </c>
      <c r="L76" s="123">
        <v>89916106649</v>
      </c>
      <c r="M76" s="105" t="s">
        <v>1611</v>
      </c>
      <c r="N76" s="169"/>
      <c r="O76" s="97">
        <v>20000</v>
      </c>
      <c r="P76" s="60"/>
      <c r="Q76" s="97"/>
      <c r="R76" s="56" t="s">
        <v>387</v>
      </c>
      <c r="S76" s="100">
        <v>39000</v>
      </c>
      <c r="T76" s="65">
        <f t="shared" si="5"/>
        <v>780000</v>
      </c>
    </row>
    <row r="77" spans="1:20" s="67" customFormat="1" x14ac:dyDescent="0.25">
      <c r="A77" s="69" t="s">
        <v>1533</v>
      </c>
      <c r="B77" s="60" t="s">
        <v>1410</v>
      </c>
      <c r="C77" s="60" t="s">
        <v>1337</v>
      </c>
      <c r="D77" s="11" t="s">
        <v>210</v>
      </c>
      <c r="E77" s="59" t="s">
        <v>1548</v>
      </c>
      <c r="F77" s="60">
        <v>17600</v>
      </c>
      <c r="G77" s="69">
        <v>88</v>
      </c>
      <c r="H77" s="69" t="s">
        <v>1411</v>
      </c>
      <c r="I77" s="69" t="s">
        <v>357</v>
      </c>
      <c r="J77" s="58">
        <v>45530</v>
      </c>
      <c r="K77" s="108" t="s">
        <v>765</v>
      </c>
      <c r="L77" s="117">
        <v>89206278126</v>
      </c>
      <c r="M77" s="66" t="s">
        <v>762</v>
      </c>
      <c r="N77" s="341"/>
      <c r="P77" s="56"/>
      <c r="Q77" s="60">
        <v>17600</v>
      </c>
      <c r="R77" s="56" t="s">
        <v>387</v>
      </c>
      <c r="S77" s="100">
        <v>175000</v>
      </c>
      <c r="T77" s="65">
        <f t="shared" si="5"/>
        <v>3080000.0000000005</v>
      </c>
    </row>
    <row r="78" spans="1:20" s="67" customFormat="1" ht="13.5" customHeight="1" x14ac:dyDescent="0.25">
      <c r="A78" s="403" t="s">
        <v>1209</v>
      </c>
      <c r="B78" s="60" t="s">
        <v>1199</v>
      </c>
      <c r="C78" s="60" t="s">
        <v>457</v>
      </c>
      <c r="D78" s="11" t="s">
        <v>313</v>
      </c>
      <c r="E78" s="59" t="s">
        <v>1525</v>
      </c>
      <c r="F78" s="60">
        <v>64000</v>
      </c>
      <c r="G78" s="69">
        <v>2560</v>
      </c>
      <c r="H78" s="69" t="s">
        <v>382</v>
      </c>
      <c r="I78" s="69" t="s">
        <v>357</v>
      </c>
      <c r="J78" s="58">
        <v>45530</v>
      </c>
      <c r="K78" s="108"/>
      <c r="L78" s="117"/>
      <c r="M78" s="404" t="s">
        <v>1621</v>
      </c>
      <c r="N78" s="404" t="s">
        <v>1620</v>
      </c>
      <c r="O78" s="60">
        <v>64000</v>
      </c>
      <c r="P78" s="56"/>
      <c r="Q78" s="56"/>
      <c r="R78" s="56" t="s">
        <v>387</v>
      </c>
      <c r="S78" s="100">
        <v>37200</v>
      </c>
      <c r="T78" s="65">
        <f t="shared" si="5"/>
        <v>2380800</v>
      </c>
    </row>
    <row r="79" spans="1:20" s="67" customFormat="1" x14ac:dyDescent="0.25">
      <c r="A79" s="69" t="s">
        <v>1545</v>
      </c>
      <c r="B79" s="60" t="s">
        <v>774</v>
      </c>
      <c r="C79" s="60" t="s">
        <v>390</v>
      </c>
      <c r="D79" s="11" t="s">
        <v>338</v>
      </c>
      <c r="E79" s="59" t="s">
        <v>1564</v>
      </c>
      <c r="F79" s="60">
        <v>3200</v>
      </c>
      <c r="G79" s="69">
        <v>16</v>
      </c>
      <c r="H79" s="69" t="s">
        <v>391</v>
      </c>
      <c r="I79" s="69" t="s">
        <v>357</v>
      </c>
      <c r="J79" s="58">
        <v>45533</v>
      </c>
      <c r="K79" s="108" t="s">
        <v>1634</v>
      </c>
      <c r="L79" s="117" t="s">
        <v>1636</v>
      </c>
      <c r="M79" s="66" t="s">
        <v>1635</v>
      </c>
      <c r="N79" s="341"/>
      <c r="O79" s="56"/>
      <c r="P79" s="60"/>
      <c r="Q79" s="60">
        <v>3200</v>
      </c>
      <c r="R79" s="56" t="s">
        <v>387</v>
      </c>
      <c r="S79" s="100">
        <v>196000</v>
      </c>
      <c r="T79" s="65">
        <f xml:space="preserve"> S79*(F79/1000)</f>
        <v>627200</v>
      </c>
    </row>
    <row r="80" spans="1:20" s="67" customFormat="1" x14ac:dyDescent="0.25">
      <c r="A80" s="69" t="s">
        <v>1545</v>
      </c>
      <c r="B80" s="60" t="s">
        <v>852</v>
      </c>
      <c r="C80" s="60" t="s">
        <v>390</v>
      </c>
      <c r="D80" s="11" t="s">
        <v>338</v>
      </c>
      <c r="E80" s="59" t="s">
        <v>1615</v>
      </c>
      <c r="F80" s="60">
        <v>5600</v>
      </c>
      <c r="G80" s="69">
        <v>28</v>
      </c>
      <c r="H80" s="69" t="s">
        <v>391</v>
      </c>
      <c r="I80" s="69" t="s">
        <v>357</v>
      </c>
      <c r="J80" s="58">
        <v>45533</v>
      </c>
      <c r="K80" s="108" t="s">
        <v>1634</v>
      </c>
      <c r="L80" s="117" t="s">
        <v>1636</v>
      </c>
      <c r="M80" s="66" t="s">
        <v>1635</v>
      </c>
      <c r="N80" s="341"/>
      <c r="O80" s="56"/>
      <c r="P80" s="60"/>
      <c r="Q80" s="60">
        <v>5600</v>
      </c>
      <c r="R80" s="56" t="s">
        <v>387</v>
      </c>
      <c r="S80" s="100">
        <v>196000</v>
      </c>
      <c r="T80" s="65">
        <f xml:space="preserve"> S80*(F80/1000)</f>
        <v>1097600</v>
      </c>
    </row>
    <row r="81" spans="1:20" s="67" customFormat="1" x14ac:dyDescent="0.25">
      <c r="A81" s="69" t="s">
        <v>1545</v>
      </c>
      <c r="B81" s="60" t="s">
        <v>1143</v>
      </c>
      <c r="C81" s="60" t="s">
        <v>390</v>
      </c>
      <c r="D81" s="11" t="s">
        <v>338</v>
      </c>
      <c r="E81" s="59" t="s">
        <v>1615</v>
      </c>
      <c r="F81" s="60">
        <v>2400</v>
      </c>
      <c r="G81" s="69">
        <v>12</v>
      </c>
      <c r="H81" s="69" t="s">
        <v>391</v>
      </c>
      <c r="I81" s="69" t="s">
        <v>357</v>
      </c>
      <c r="J81" s="58">
        <v>45533</v>
      </c>
      <c r="K81" s="108" t="s">
        <v>1634</v>
      </c>
      <c r="L81" s="117" t="s">
        <v>1636</v>
      </c>
      <c r="M81" s="66" t="s">
        <v>1635</v>
      </c>
      <c r="N81" s="341"/>
      <c r="O81" s="56"/>
      <c r="P81" s="60"/>
      <c r="Q81" s="60">
        <v>2400</v>
      </c>
      <c r="R81" s="56" t="s">
        <v>387</v>
      </c>
      <c r="S81" s="100">
        <v>196000</v>
      </c>
      <c r="T81" s="65">
        <f xml:space="preserve"> S81*(F81/1000)</f>
        <v>470400</v>
      </c>
    </row>
    <row r="82" spans="1:20" s="67" customFormat="1" x14ac:dyDescent="0.25">
      <c r="A82" s="69" t="s">
        <v>1604</v>
      </c>
      <c r="B82" s="60" t="s">
        <v>1596</v>
      </c>
      <c r="C82" s="60" t="s">
        <v>1427</v>
      </c>
      <c r="D82" s="98" t="s">
        <v>1190</v>
      </c>
      <c r="E82" s="59" t="s">
        <v>1597</v>
      </c>
      <c r="F82" s="97">
        <v>8800</v>
      </c>
      <c r="G82" s="69">
        <v>44</v>
      </c>
      <c r="H82" s="69" t="s">
        <v>655</v>
      </c>
      <c r="I82" s="69" t="s">
        <v>357</v>
      </c>
      <c r="J82" s="58">
        <v>45531</v>
      </c>
      <c r="K82" s="105" t="s">
        <v>1627</v>
      </c>
      <c r="L82" s="123">
        <v>89276432667</v>
      </c>
      <c r="M82" s="105" t="s">
        <v>1628</v>
      </c>
      <c r="N82" s="169"/>
      <c r="O82" s="56"/>
      <c r="P82" s="60"/>
      <c r="Q82" s="97">
        <v>8800</v>
      </c>
      <c r="R82" s="56" t="s">
        <v>387</v>
      </c>
      <c r="S82" s="100">
        <v>123000</v>
      </c>
      <c r="T82" s="65">
        <f t="shared" si="5"/>
        <v>1082400</v>
      </c>
    </row>
    <row r="83" spans="1:20" s="67" customFormat="1" x14ac:dyDescent="0.25">
      <c r="A83" s="69" t="s">
        <v>1604</v>
      </c>
      <c r="B83" s="60" t="s">
        <v>1596</v>
      </c>
      <c r="C83" s="60" t="s">
        <v>1427</v>
      </c>
      <c r="D83" s="98" t="s">
        <v>298</v>
      </c>
      <c r="E83" s="59" t="s">
        <v>1598</v>
      </c>
      <c r="F83" s="97">
        <v>5040</v>
      </c>
      <c r="G83" s="69">
        <v>280</v>
      </c>
      <c r="H83" s="69" t="s">
        <v>655</v>
      </c>
      <c r="I83" s="69" t="s">
        <v>357</v>
      </c>
      <c r="J83" s="58">
        <v>45531</v>
      </c>
      <c r="K83" s="105" t="s">
        <v>1627</v>
      </c>
      <c r="L83" s="123">
        <v>89276432667</v>
      </c>
      <c r="M83" s="105" t="s">
        <v>1628</v>
      </c>
      <c r="N83" s="169"/>
      <c r="O83" s="56"/>
      <c r="P83" s="97">
        <v>5040</v>
      </c>
      <c r="Q83" s="97"/>
      <c r="R83" s="56" t="s">
        <v>387</v>
      </c>
      <c r="S83" s="100">
        <v>210000</v>
      </c>
      <c r="T83" s="65">
        <f t="shared" si="5"/>
        <v>1058400</v>
      </c>
    </row>
    <row r="84" spans="1:20" s="67" customFormat="1" x14ac:dyDescent="0.25">
      <c r="A84" s="69" t="s">
        <v>1604</v>
      </c>
      <c r="B84" s="60" t="s">
        <v>1596</v>
      </c>
      <c r="C84" s="60" t="s">
        <v>1427</v>
      </c>
      <c r="D84" s="98" t="s">
        <v>178</v>
      </c>
      <c r="E84" s="59" t="s">
        <v>1623</v>
      </c>
      <c r="F84" s="97">
        <v>3200</v>
      </c>
      <c r="G84" s="69">
        <v>16</v>
      </c>
      <c r="H84" s="69" t="s">
        <v>655</v>
      </c>
      <c r="I84" s="69" t="s">
        <v>357</v>
      </c>
      <c r="J84" s="58">
        <v>45531</v>
      </c>
      <c r="K84" s="105" t="s">
        <v>1627</v>
      </c>
      <c r="L84" s="123">
        <v>89276432667</v>
      </c>
      <c r="M84" s="105" t="s">
        <v>1628</v>
      </c>
      <c r="N84" s="169"/>
      <c r="O84" s="97"/>
      <c r="P84" s="60"/>
      <c r="Q84" s="97">
        <v>3200</v>
      </c>
      <c r="R84" s="56" t="s">
        <v>387</v>
      </c>
      <c r="S84" s="100">
        <v>165000</v>
      </c>
      <c r="T84" s="65">
        <f t="shared" si="5"/>
        <v>528000</v>
      </c>
    </row>
    <row r="85" spans="1:20" s="67" customFormat="1" x14ac:dyDescent="0.25">
      <c r="A85" s="69" t="s">
        <v>1633</v>
      </c>
      <c r="B85" s="60" t="s">
        <v>1607</v>
      </c>
      <c r="C85" s="60" t="s">
        <v>1427</v>
      </c>
      <c r="D85" s="98" t="s">
        <v>1190</v>
      </c>
      <c r="E85" s="59" t="s">
        <v>1597</v>
      </c>
      <c r="F85" s="97">
        <v>10400</v>
      </c>
      <c r="G85" s="69">
        <v>52</v>
      </c>
      <c r="H85" s="69" t="s">
        <v>655</v>
      </c>
      <c r="I85" s="69" t="s">
        <v>357</v>
      </c>
      <c r="J85" s="58">
        <v>45531</v>
      </c>
      <c r="K85" s="105" t="s">
        <v>268</v>
      </c>
      <c r="L85" s="123">
        <v>89116853405</v>
      </c>
      <c r="M85" s="105" t="s">
        <v>1629</v>
      </c>
      <c r="N85" s="169"/>
      <c r="O85" s="56"/>
      <c r="P85" s="60"/>
      <c r="Q85" s="97">
        <v>10400</v>
      </c>
      <c r="R85" s="56" t="s">
        <v>387</v>
      </c>
      <c r="S85" s="100">
        <v>123000</v>
      </c>
      <c r="T85" s="65">
        <f t="shared" si="5"/>
        <v>1279200</v>
      </c>
    </row>
    <row r="86" spans="1:20" s="67" customFormat="1" ht="13.5" customHeight="1" x14ac:dyDescent="0.25">
      <c r="A86" s="69" t="s">
        <v>1633</v>
      </c>
      <c r="B86" s="60" t="s">
        <v>1607</v>
      </c>
      <c r="C86" s="60" t="s">
        <v>1427</v>
      </c>
      <c r="D86" s="98" t="s">
        <v>174</v>
      </c>
      <c r="E86" s="59" t="s">
        <v>1622</v>
      </c>
      <c r="F86" s="97">
        <v>4800</v>
      </c>
      <c r="G86" s="69">
        <v>24</v>
      </c>
      <c r="H86" s="69" t="s">
        <v>655</v>
      </c>
      <c r="I86" s="69" t="s">
        <v>357</v>
      </c>
      <c r="J86" s="58">
        <v>45531</v>
      </c>
      <c r="K86" s="105" t="s">
        <v>268</v>
      </c>
      <c r="L86" s="123">
        <v>89116853405</v>
      </c>
      <c r="M86" s="105" t="s">
        <v>1629</v>
      </c>
      <c r="N86" s="339"/>
      <c r="O86" s="56"/>
      <c r="P86" s="60"/>
      <c r="Q86" s="97">
        <v>4800</v>
      </c>
      <c r="R86" s="56" t="s">
        <v>387</v>
      </c>
      <c r="S86" s="100">
        <v>87500</v>
      </c>
      <c r="T86" s="65">
        <f t="shared" si="5"/>
        <v>420000</v>
      </c>
    </row>
    <row r="87" spans="1:20" s="67" customFormat="1" ht="13.5" customHeight="1" x14ac:dyDescent="0.25">
      <c r="A87" s="69" t="s">
        <v>1633</v>
      </c>
      <c r="B87" s="60" t="s">
        <v>1607</v>
      </c>
      <c r="C87" s="60" t="s">
        <v>1427</v>
      </c>
      <c r="D87" s="98" t="s">
        <v>1587</v>
      </c>
      <c r="E87" s="59" t="s">
        <v>1624</v>
      </c>
      <c r="F87" s="97">
        <v>2400</v>
      </c>
      <c r="G87" s="69">
        <v>12</v>
      </c>
      <c r="H87" s="69" t="s">
        <v>655</v>
      </c>
      <c r="I87" s="69" t="s">
        <v>357</v>
      </c>
      <c r="J87" s="58">
        <v>45531</v>
      </c>
      <c r="K87" s="105" t="s">
        <v>268</v>
      </c>
      <c r="L87" s="123">
        <v>89116853405</v>
      </c>
      <c r="M87" s="105" t="s">
        <v>1629</v>
      </c>
      <c r="N87" s="339"/>
      <c r="O87" s="56"/>
      <c r="P87" s="60"/>
      <c r="Q87" s="97">
        <v>2400</v>
      </c>
      <c r="R87" s="56" t="s">
        <v>387</v>
      </c>
      <c r="S87" s="100">
        <v>289000</v>
      </c>
      <c r="T87" s="65">
        <f t="shared" si="5"/>
        <v>693600</v>
      </c>
    </row>
    <row r="88" spans="1:20" s="67" customFormat="1" ht="13.5" customHeight="1" x14ac:dyDescent="0.25">
      <c r="A88" s="402" t="s">
        <v>1532</v>
      </c>
      <c r="B88" s="97" t="s">
        <v>1618</v>
      </c>
      <c r="C88" s="97" t="s">
        <v>401</v>
      </c>
      <c r="D88" s="98" t="s">
        <v>286</v>
      </c>
      <c r="E88" s="59" t="s">
        <v>1637</v>
      </c>
      <c r="F88" s="97">
        <v>20000</v>
      </c>
      <c r="G88" s="69">
        <v>800</v>
      </c>
      <c r="H88" s="69" t="s">
        <v>1619</v>
      </c>
      <c r="I88" s="69" t="s">
        <v>357</v>
      </c>
      <c r="J88" s="58">
        <v>45532</v>
      </c>
      <c r="K88" s="105" t="s">
        <v>1630</v>
      </c>
      <c r="L88" s="123">
        <v>89197063517</v>
      </c>
      <c r="M88" s="105" t="s">
        <v>1631</v>
      </c>
      <c r="N88" s="339"/>
      <c r="O88" s="97"/>
      <c r="P88" s="97">
        <v>20000</v>
      </c>
      <c r="Q88" s="56"/>
      <c r="R88" s="56" t="s">
        <v>387</v>
      </c>
      <c r="S88" s="100">
        <v>247000</v>
      </c>
      <c r="T88" s="65">
        <f xml:space="preserve"> S88*(F88/1000)</f>
        <v>4940000</v>
      </c>
    </row>
    <row r="89" spans="1:20" s="67" customFormat="1" ht="13.5" customHeight="1" x14ac:dyDescent="0.25">
      <c r="A89" s="69" t="s">
        <v>1045</v>
      </c>
      <c r="B89" s="97" t="s">
        <v>216</v>
      </c>
      <c r="C89" s="97" t="s">
        <v>457</v>
      </c>
      <c r="D89" s="98" t="s">
        <v>174</v>
      </c>
      <c r="E89" s="59" t="s">
        <v>1615</v>
      </c>
      <c r="F89" s="97">
        <v>17600</v>
      </c>
      <c r="G89" s="69">
        <v>88</v>
      </c>
      <c r="H89" s="69" t="s">
        <v>391</v>
      </c>
      <c r="I89" s="69" t="s">
        <v>357</v>
      </c>
      <c r="J89" s="58">
        <v>45533</v>
      </c>
      <c r="K89" s="105" t="s">
        <v>1647</v>
      </c>
      <c r="L89" s="123">
        <v>89122506616</v>
      </c>
      <c r="M89" s="105" t="s">
        <v>1646</v>
      </c>
      <c r="N89" s="339"/>
      <c r="O89" s="97"/>
      <c r="P89" s="60"/>
      <c r="Q89" s="97">
        <v>17600</v>
      </c>
      <c r="R89" s="56" t="s">
        <v>387</v>
      </c>
      <c r="S89" s="100">
        <v>95000</v>
      </c>
      <c r="T89" s="65">
        <f xml:space="preserve"> S89*(F89/1000)</f>
        <v>1672000.0000000002</v>
      </c>
    </row>
    <row r="90" spans="1:20" s="336" customFormat="1" ht="13.5" customHeight="1" x14ac:dyDescent="0.25">
      <c r="A90" s="69" t="s">
        <v>1066</v>
      </c>
      <c r="B90" s="60" t="s">
        <v>1613</v>
      </c>
      <c r="C90" s="60" t="s">
        <v>165</v>
      </c>
      <c r="D90" s="11" t="s">
        <v>1097</v>
      </c>
      <c r="E90" s="296" t="s">
        <v>1612</v>
      </c>
      <c r="F90" s="60">
        <v>17500</v>
      </c>
      <c r="G90" s="69">
        <v>700</v>
      </c>
      <c r="H90" s="69" t="s">
        <v>169</v>
      </c>
      <c r="I90" s="69" t="s">
        <v>357</v>
      </c>
      <c r="J90" s="58">
        <v>45533</v>
      </c>
      <c r="K90" s="108"/>
      <c r="L90" s="118"/>
      <c r="M90" s="66"/>
      <c r="N90" s="399" t="s">
        <v>1653</v>
      </c>
      <c r="O90" s="60">
        <v>17500</v>
      </c>
      <c r="P90" s="56"/>
      <c r="Q90" s="56"/>
      <c r="R90" s="225" t="s">
        <v>387</v>
      </c>
      <c r="S90" s="100">
        <v>48500</v>
      </c>
      <c r="T90" s="65">
        <f xml:space="preserve"> S90*(F90/1000)</f>
        <v>848750</v>
      </c>
    </row>
    <row r="91" spans="1:20" s="336" customFormat="1" ht="13.5" customHeight="1" x14ac:dyDescent="0.25">
      <c r="A91" s="69" t="s">
        <v>1066</v>
      </c>
      <c r="B91" s="60" t="s">
        <v>1614</v>
      </c>
      <c r="C91" s="60" t="s">
        <v>165</v>
      </c>
      <c r="D91" s="11" t="s">
        <v>1097</v>
      </c>
      <c r="E91" s="296" t="s">
        <v>1615</v>
      </c>
      <c r="F91" s="60">
        <v>17500</v>
      </c>
      <c r="G91" s="69">
        <v>700</v>
      </c>
      <c r="H91" s="69" t="s">
        <v>169</v>
      </c>
      <c r="I91" s="69" t="s">
        <v>357</v>
      </c>
      <c r="J91" s="58">
        <v>45533</v>
      </c>
      <c r="K91" s="108"/>
      <c r="L91" s="118"/>
      <c r="M91" s="66"/>
      <c r="N91" s="399" t="s">
        <v>1654</v>
      </c>
      <c r="O91" s="60">
        <v>17500</v>
      </c>
      <c r="P91" s="56"/>
      <c r="Q91" s="56"/>
      <c r="R91" s="225" t="s">
        <v>387</v>
      </c>
      <c r="S91" s="100">
        <v>48500</v>
      </c>
      <c r="T91" s="65">
        <f xml:space="preserve"> S91*(F91/1000)</f>
        <v>848750</v>
      </c>
    </row>
    <row r="92" spans="1:20" s="56" customFormat="1" x14ac:dyDescent="0.25">
      <c r="A92" s="69" t="s">
        <v>391</v>
      </c>
      <c r="B92" s="60" t="s">
        <v>1616</v>
      </c>
      <c r="C92" s="60" t="s">
        <v>1617</v>
      </c>
      <c r="D92" s="11" t="s">
        <v>1190</v>
      </c>
      <c r="E92" s="59" t="s">
        <v>1615</v>
      </c>
      <c r="F92" s="60">
        <v>200</v>
      </c>
      <c r="G92" s="69">
        <v>1</v>
      </c>
      <c r="H92" s="69" t="s">
        <v>391</v>
      </c>
      <c r="I92" s="69" t="s">
        <v>357</v>
      </c>
      <c r="J92" s="58">
        <v>45532</v>
      </c>
      <c r="K92" s="108" t="s">
        <v>602</v>
      </c>
      <c r="L92" s="117" t="s">
        <v>1655</v>
      </c>
      <c r="M92" s="66"/>
      <c r="N92" s="341"/>
      <c r="Q92" s="60">
        <v>200</v>
      </c>
      <c r="R92" s="56" t="s">
        <v>387</v>
      </c>
      <c r="S92" s="65">
        <v>135000</v>
      </c>
      <c r="T92" s="65">
        <f t="shared" ref="T92:T103" si="7" xml:space="preserve"> S92*(F92/1000)</f>
        <v>27000</v>
      </c>
    </row>
    <row r="93" spans="1:20" s="67" customFormat="1" ht="13.5" customHeight="1" x14ac:dyDescent="0.25">
      <c r="A93" s="69" t="s">
        <v>927</v>
      </c>
      <c r="B93" s="60" t="s">
        <v>1640</v>
      </c>
      <c r="C93" s="60" t="s">
        <v>658</v>
      </c>
      <c r="D93" s="98" t="s">
        <v>513</v>
      </c>
      <c r="E93" s="64" t="s">
        <v>1641</v>
      </c>
      <c r="F93" s="97">
        <v>1300</v>
      </c>
      <c r="G93" s="69">
        <v>65</v>
      </c>
      <c r="H93" s="69" t="s">
        <v>391</v>
      </c>
      <c r="I93" s="69" t="s">
        <v>357</v>
      </c>
      <c r="J93" s="58">
        <v>45533</v>
      </c>
      <c r="K93" s="69" t="s">
        <v>1648</v>
      </c>
      <c r="L93" s="119" t="s">
        <v>1656</v>
      </c>
      <c r="M93" s="56"/>
      <c r="N93" s="339"/>
      <c r="O93" s="56"/>
      <c r="P93" s="60"/>
      <c r="Q93" s="97">
        <v>1300</v>
      </c>
      <c r="R93" s="56" t="s">
        <v>387</v>
      </c>
      <c r="S93" s="100">
        <v>105250</v>
      </c>
      <c r="T93" s="65">
        <f xml:space="preserve"> S93*(F93/1000)</f>
        <v>136825</v>
      </c>
    </row>
    <row r="94" spans="1:20" s="299" customFormat="1" x14ac:dyDescent="0.25">
      <c r="A94" s="69" t="s">
        <v>1275</v>
      </c>
      <c r="B94" s="60" t="s">
        <v>1452</v>
      </c>
      <c r="C94" s="60" t="s">
        <v>165</v>
      </c>
      <c r="D94" s="11" t="s">
        <v>1097</v>
      </c>
      <c r="E94" s="296" t="s">
        <v>1424</v>
      </c>
      <c r="F94" s="60">
        <v>17500</v>
      </c>
      <c r="G94" s="69">
        <v>700</v>
      </c>
      <c r="H94" s="69" t="s">
        <v>1375</v>
      </c>
      <c r="I94" s="69" t="s">
        <v>357</v>
      </c>
      <c r="J94" s="58">
        <v>45533</v>
      </c>
      <c r="K94" s="108" t="s">
        <v>1659</v>
      </c>
      <c r="L94" s="117">
        <v>89116824216</v>
      </c>
      <c r="M94" s="66" t="s">
        <v>1645</v>
      </c>
      <c r="N94" s="390"/>
      <c r="O94" s="69">
        <v>17500</v>
      </c>
      <c r="P94" s="56"/>
      <c r="Q94" s="56"/>
      <c r="R94" s="225" t="s">
        <v>387</v>
      </c>
      <c r="S94" s="100">
        <v>49500</v>
      </c>
      <c r="T94" s="65">
        <f t="shared" si="7"/>
        <v>866250</v>
      </c>
    </row>
    <row r="95" spans="1:20" s="67" customFormat="1" x14ac:dyDescent="0.25">
      <c r="A95" s="69" t="s">
        <v>1545</v>
      </c>
      <c r="B95" s="60" t="s">
        <v>852</v>
      </c>
      <c r="C95" s="60" t="s">
        <v>390</v>
      </c>
      <c r="D95" s="11" t="s">
        <v>316</v>
      </c>
      <c r="E95" s="59" t="s">
        <v>1649</v>
      </c>
      <c r="F95" s="60">
        <v>3000</v>
      </c>
      <c r="G95" s="69">
        <v>150</v>
      </c>
      <c r="H95" s="69" t="s">
        <v>391</v>
      </c>
      <c r="I95" s="69" t="s">
        <v>357</v>
      </c>
      <c r="J95" s="58">
        <v>45534</v>
      </c>
      <c r="K95" s="108" t="s">
        <v>1652</v>
      </c>
      <c r="L95" s="117">
        <v>89082788186</v>
      </c>
      <c r="M95" s="66" t="s">
        <v>1651</v>
      </c>
      <c r="N95" s="341" t="s">
        <v>1650</v>
      </c>
      <c r="O95" s="56"/>
      <c r="P95" s="60">
        <v>3000</v>
      </c>
      <c r="Q95" s="56"/>
      <c r="R95" s="56" t="s">
        <v>387</v>
      </c>
      <c r="S95" s="100">
        <v>83000</v>
      </c>
      <c r="T95" s="65">
        <f t="shared" si="7"/>
        <v>249000</v>
      </c>
    </row>
    <row r="96" spans="1:20" s="67" customFormat="1" ht="13.5" customHeight="1" x14ac:dyDescent="0.25">
      <c r="A96" s="69" t="s">
        <v>224</v>
      </c>
      <c r="B96" s="60" t="s">
        <v>1594</v>
      </c>
      <c r="C96" s="60" t="s">
        <v>349</v>
      </c>
      <c r="D96" s="98" t="s">
        <v>158</v>
      </c>
      <c r="E96" s="64" t="s">
        <v>1632</v>
      </c>
      <c r="F96" s="97">
        <v>7200</v>
      </c>
      <c r="G96" s="69">
        <v>36</v>
      </c>
      <c r="H96" s="69" t="s">
        <v>352</v>
      </c>
      <c r="I96" s="69" t="s">
        <v>357</v>
      </c>
      <c r="J96" s="58">
        <v>45534</v>
      </c>
      <c r="K96" s="105" t="s">
        <v>625</v>
      </c>
      <c r="L96" s="123" t="s">
        <v>1287</v>
      </c>
      <c r="M96" s="105" t="s">
        <v>624</v>
      </c>
      <c r="N96" s="107"/>
      <c r="O96" s="56"/>
      <c r="P96" s="60"/>
      <c r="Q96" s="97">
        <v>7200</v>
      </c>
      <c r="R96" s="56" t="s">
        <v>387</v>
      </c>
      <c r="S96" s="100">
        <v>69000</v>
      </c>
      <c r="T96" s="65">
        <f t="shared" ref="T96:T101" si="8" xml:space="preserve"> S96*(F96/1000)</f>
        <v>496800</v>
      </c>
    </row>
    <row r="97" spans="1:20" s="67" customFormat="1" ht="13.5" customHeight="1" x14ac:dyDescent="0.25">
      <c r="A97" s="69" t="s">
        <v>224</v>
      </c>
      <c r="B97" s="60" t="s">
        <v>1594</v>
      </c>
      <c r="C97" s="60" t="s">
        <v>349</v>
      </c>
      <c r="D97" s="98" t="s">
        <v>158</v>
      </c>
      <c r="E97" s="64" t="s">
        <v>1642</v>
      </c>
      <c r="F97" s="97">
        <v>6200</v>
      </c>
      <c r="G97" s="69">
        <v>31</v>
      </c>
      <c r="H97" s="69" t="s">
        <v>352</v>
      </c>
      <c r="I97" s="69" t="s">
        <v>357</v>
      </c>
      <c r="J97" s="58">
        <v>45534</v>
      </c>
      <c r="K97" s="105" t="s">
        <v>625</v>
      </c>
      <c r="L97" s="123" t="s">
        <v>1287</v>
      </c>
      <c r="M97" s="105" t="s">
        <v>624</v>
      </c>
      <c r="N97" s="107"/>
      <c r="O97" s="56"/>
      <c r="P97" s="60"/>
      <c r="Q97" s="97">
        <v>6200</v>
      </c>
      <c r="R97" s="56" t="s">
        <v>387</v>
      </c>
      <c r="S97" s="100">
        <v>69000</v>
      </c>
      <c r="T97" s="65">
        <f t="shared" si="8"/>
        <v>427800</v>
      </c>
    </row>
    <row r="98" spans="1:20" s="67" customFormat="1" ht="13.5" customHeight="1" x14ac:dyDescent="0.25">
      <c r="A98" s="69" t="s">
        <v>224</v>
      </c>
      <c r="B98" s="60" t="s">
        <v>1594</v>
      </c>
      <c r="C98" s="60" t="s">
        <v>349</v>
      </c>
      <c r="D98" s="98" t="s">
        <v>158</v>
      </c>
      <c r="E98" s="64" t="s">
        <v>1649</v>
      </c>
      <c r="F98" s="97">
        <v>4200</v>
      </c>
      <c r="G98" s="69">
        <v>21</v>
      </c>
      <c r="H98" s="69" t="s">
        <v>352</v>
      </c>
      <c r="I98" s="69" t="s">
        <v>357</v>
      </c>
      <c r="J98" s="58">
        <v>45534</v>
      </c>
      <c r="K98" s="105" t="s">
        <v>625</v>
      </c>
      <c r="L98" s="123" t="s">
        <v>1287</v>
      </c>
      <c r="M98" s="105" t="s">
        <v>624</v>
      </c>
      <c r="N98" s="107"/>
      <c r="O98" s="56"/>
      <c r="P98" s="60"/>
      <c r="Q98" s="97">
        <v>4200</v>
      </c>
      <c r="R98" s="56" t="s">
        <v>387</v>
      </c>
      <c r="S98" s="100">
        <v>69000</v>
      </c>
      <c r="T98" s="65">
        <f t="shared" si="8"/>
        <v>289800</v>
      </c>
    </row>
    <row r="99" spans="1:20" s="299" customFormat="1" x14ac:dyDescent="0.25">
      <c r="A99" s="69" t="s">
        <v>1275</v>
      </c>
      <c r="B99" s="60" t="s">
        <v>1643</v>
      </c>
      <c r="C99" s="60" t="s">
        <v>165</v>
      </c>
      <c r="D99" s="11" t="s">
        <v>1097</v>
      </c>
      <c r="E99" s="296" t="s">
        <v>1637</v>
      </c>
      <c r="F99" s="60">
        <v>19250</v>
      </c>
      <c r="G99" s="69">
        <v>770</v>
      </c>
      <c r="H99" s="69" t="s">
        <v>1053</v>
      </c>
      <c r="I99" s="69" t="s">
        <v>357</v>
      </c>
      <c r="J99" s="58">
        <v>45534</v>
      </c>
      <c r="K99" s="108" t="s">
        <v>1661</v>
      </c>
      <c r="L99" s="117">
        <v>89964859856</v>
      </c>
      <c r="M99" s="66" t="s">
        <v>1660</v>
      </c>
      <c r="N99" s="390"/>
      <c r="O99" s="60">
        <v>19250</v>
      </c>
      <c r="P99" s="56"/>
      <c r="Q99" s="56"/>
      <c r="R99" s="225" t="s">
        <v>387</v>
      </c>
      <c r="S99" s="100">
        <v>48500</v>
      </c>
      <c r="T99" s="65">
        <f t="shared" si="8"/>
        <v>933625</v>
      </c>
    </row>
    <row r="100" spans="1:20" s="299" customFormat="1" x14ac:dyDescent="0.25">
      <c r="A100" s="69" t="s">
        <v>1275</v>
      </c>
      <c r="B100" s="60" t="s">
        <v>1643</v>
      </c>
      <c r="C100" s="60" t="s">
        <v>165</v>
      </c>
      <c r="D100" s="11" t="s">
        <v>1097</v>
      </c>
      <c r="E100" s="296" t="s">
        <v>1642</v>
      </c>
      <c r="F100" s="60">
        <v>1750</v>
      </c>
      <c r="G100" s="69">
        <v>70</v>
      </c>
      <c r="H100" s="69" t="s">
        <v>1053</v>
      </c>
      <c r="I100" s="69" t="s">
        <v>357</v>
      </c>
      <c r="J100" s="58">
        <v>45534</v>
      </c>
      <c r="K100" s="108" t="s">
        <v>1661</v>
      </c>
      <c r="L100" s="117">
        <v>89964859856</v>
      </c>
      <c r="M100" s="66" t="s">
        <v>1660</v>
      </c>
      <c r="N100" s="390"/>
      <c r="O100" s="60">
        <v>1750</v>
      </c>
      <c r="P100" s="56"/>
      <c r="Q100" s="56"/>
      <c r="R100" s="225" t="s">
        <v>387</v>
      </c>
      <c r="S100" s="100">
        <v>48500</v>
      </c>
      <c r="T100" s="65">
        <f t="shared" si="8"/>
        <v>84875</v>
      </c>
    </row>
    <row r="101" spans="1:20" s="336" customFormat="1" ht="13.5" customHeight="1" x14ac:dyDescent="0.25">
      <c r="A101" s="69" t="s">
        <v>1066</v>
      </c>
      <c r="B101" s="60" t="s">
        <v>1453</v>
      </c>
      <c r="C101" s="60" t="s">
        <v>165</v>
      </c>
      <c r="D101" s="11" t="s">
        <v>1097</v>
      </c>
      <c r="E101" s="296" t="s">
        <v>1421</v>
      </c>
      <c r="F101" s="60">
        <v>17500</v>
      </c>
      <c r="G101" s="69">
        <v>700</v>
      </c>
      <c r="H101" s="69" t="s">
        <v>172</v>
      </c>
      <c r="I101" s="69" t="s">
        <v>357</v>
      </c>
      <c r="J101" s="58">
        <v>45534</v>
      </c>
      <c r="K101" s="108"/>
      <c r="L101" s="118"/>
      <c r="M101" s="66"/>
      <c r="N101" s="399" t="s">
        <v>1662</v>
      </c>
      <c r="O101" s="60">
        <v>17500</v>
      </c>
      <c r="P101" s="56"/>
      <c r="Q101" s="56"/>
      <c r="R101" s="225" t="s">
        <v>387</v>
      </c>
      <c r="S101" s="100">
        <v>49500</v>
      </c>
      <c r="T101" s="65">
        <f t="shared" si="8"/>
        <v>866250</v>
      </c>
    </row>
    <row r="102" spans="1:20" s="336" customFormat="1" ht="13.5" customHeight="1" x14ac:dyDescent="0.25">
      <c r="A102" s="69" t="s">
        <v>1066</v>
      </c>
      <c r="B102" s="60" t="s">
        <v>1318</v>
      </c>
      <c r="C102" s="60" t="s">
        <v>165</v>
      </c>
      <c r="D102" s="11" t="s">
        <v>1069</v>
      </c>
      <c r="E102" s="296" t="s">
        <v>1316</v>
      </c>
      <c r="F102" s="60">
        <v>6125</v>
      </c>
      <c r="G102" s="69">
        <v>35</v>
      </c>
      <c r="H102" s="69" t="s">
        <v>172</v>
      </c>
      <c r="I102" s="69" t="s">
        <v>357</v>
      </c>
      <c r="J102" s="58">
        <v>45534</v>
      </c>
      <c r="K102" s="108"/>
      <c r="L102" s="118"/>
      <c r="M102" s="66"/>
      <c r="N102" s="399" t="s">
        <v>1663</v>
      </c>
      <c r="O102" s="56"/>
      <c r="P102" s="56"/>
      <c r="Q102" s="60">
        <v>6125</v>
      </c>
      <c r="R102" s="225" t="s">
        <v>387</v>
      </c>
      <c r="S102" s="100">
        <v>255000</v>
      </c>
      <c r="T102" s="65">
        <f t="shared" si="7"/>
        <v>1561875</v>
      </c>
    </row>
    <row r="103" spans="1:20" s="336" customFormat="1" ht="13.5" customHeight="1" x14ac:dyDescent="0.25">
      <c r="A103" s="69" t="s">
        <v>1066</v>
      </c>
      <c r="B103" s="60" t="s">
        <v>1318</v>
      </c>
      <c r="C103" s="60" t="s">
        <v>165</v>
      </c>
      <c r="D103" s="11" t="s">
        <v>1069</v>
      </c>
      <c r="E103" s="296" t="s">
        <v>1345</v>
      </c>
      <c r="F103" s="60">
        <v>7875</v>
      </c>
      <c r="G103" s="69">
        <v>45</v>
      </c>
      <c r="H103" s="69" t="s">
        <v>172</v>
      </c>
      <c r="I103" s="69" t="s">
        <v>357</v>
      </c>
      <c r="J103" s="58">
        <v>45534</v>
      </c>
      <c r="K103" s="108"/>
      <c r="L103" s="118"/>
      <c r="M103" s="66"/>
      <c r="N103" s="399" t="s">
        <v>1663</v>
      </c>
      <c r="O103" s="56"/>
      <c r="P103" s="56"/>
      <c r="Q103" s="60">
        <v>7875</v>
      </c>
      <c r="R103" s="225" t="s">
        <v>387</v>
      </c>
      <c r="S103" s="100">
        <v>255000</v>
      </c>
      <c r="T103" s="65">
        <f t="shared" si="7"/>
        <v>2008125</v>
      </c>
    </row>
    <row r="104" spans="1:20" ht="18.75" x14ac:dyDescent="0.3">
      <c r="A104" s="126" t="s">
        <v>15</v>
      </c>
      <c r="B104" s="110">
        <f>SUM(F4:F103)/1000</f>
        <v>999.04100000000005</v>
      </c>
      <c r="C104" s="57" t="s">
        <v>14</v>
      </c>
      <c r="S104" s="102"/>
      <c r="T104" s="102">
        <f>SUM(T4:T103)</f>
        <v>117242687</v>
      </c>
    </row>
    <row r="105" spans="1:20" ht="18.75" x14ac:dyDescent="0.3">
      <c r="A105" s="127" t="s">
        <v>16</v>
      </c>
      <c r="B105" s="111">
        <f>B106+B107+B108</f>
        <v>999.04099999999994</v>
      </c>
      <c r="C105" s="1" t="s">
        <v>14</v>
      </c>
      <c r="E105" s="295"/>
      <c r="F105" s="394" t="s">
        <v>1574</v>
      </c>
      <c r="G105" s="394"/>
    </row>
    <row r="106" spans="1:20" ht="18.75" x14ac:dyDescent="0.3">
      <c r="A106" s="128" t="s">
        <v>17</v>
      </c>
      <c r="B106" s="109">
        <f>SUM(O4:O103)/1000</f>
        <v>565.87599999999998</v>
      </c>
      <c r="C106" s="2" t="s">
        <v>14</v>
      </c>
      <c r="E106" s="395"/>
      <c r="F106" s="394" t="s">
        <v>1557</v>
      </c>
      <c r="G106" s="394"/>
    </row>
    <row r="107" spans="1:20" ht="18.75" x14ac:dyDescent="0.3">
      <c r="A107" s="128" t="s">
        <v>154</v>
      </c>
      <c r="B107" s="109">
        <f>SUM(P4:P103)/1000</f>
        <v>44.04</v>
      </c>
      <c r="C107" s="2" t="s">
        <v>14</v>
      </c>
      <c r="E107" s="228"/>
      <c r="F107" s="394" t="s">
        <v>1556</v>
      </c>
      <c r="G107" s="394"/>
    </row>
    <row r="108" spans="1:20" ht="18.75" x14ac:dyDescent="0.3">
      <c r="A108" s="128" t="s">
        <v>24</v>
      </c>
      <c r="B108" s="112">
        <f>SUM(Q4:Q103)/1000</f>
        <v>389.125</v>
      </c>
      <c r="C108" s="2" t="s">
        <v>14</v>
      </c>
    </row>
    <row r="109" spans="1:20" ht="19.5" thickBot="1" x14ac:dyDescent="0.35">
      <c r="A109" s="129" t="s">
        <v>20</v>
      </c>
      <c r="B109" s="113">
        <f>B104-B105</f>
        <v>0</v>
      </c>
      <c r="C109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A1:T109" xr:uid="{00000000-0009-0000-0000-000004000000}"/>
  <mergeCells count="12"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28" type="noConversion"/>
  <dataValidations count="2">
    <dataValidation type="list" allowBlank="1" showInputMessage="1" showErrorMessage="1" sqref="D104" xr:uid="{00000000-0002-0000-0400-000000000000}">
      <formula1>$E$104:$E$120</formula1>
    </dataValidation>
    <dataValidation type="list" allowBlank="1" showInputMessage="1" showErrorMessage="1" sqref="D93" xr:uid="{00000000-0002-0000-0400-000001000000}">
      <formula1>$E$2:$E$103</formula1>
    </dataValidation>
  </dataValidations>
  <pageMargins left="0.7" right="0.7" top="0.75" bottom="0.75" header="0.3" footer="0.3"/>
  <pageSetup paperSize="9" scale="21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справочник!$E$2:$E$156</xm:f>
          </x14:formula1>
          <xm:sqref>D4:D103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6"/>
  <sheetViews>
    <sheetView zoomScale="70" zoomScaleNormal="70" zoomScaleSheetLayoutView="70" workbookViewId="0">
      <pane ySplit="3" topLeftCell="A4" activePane="bottomLeft" state="frozen"/>
      <selection pane="bottomLeft" activeCell="C26" sqref="C26"/>
    </sheetView>
  </sheetViews>
  <sheetFormatPr defaultRowHeight="15" x14ac:dyDescent="0.25"/>
  <cols>
    <col min="1" max="1" width="19.5703125" style="130" customWidth="1"/>
    <col min="2" max="2" width="28.5703125" bestFit="1" customWidth="1"/>
    <col min="3" max="3" width="36.5703125" bestFit="1" customWidth="1"/>
    <col min="4" max="4" width="40.140625" bestFit="1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33.85546875" customWidth="1"/>
    <col min="10" max="10" width="16.42578125" customWidth="1"/>
    <col min="11" max="11" width="30.42578125" customWidth="1"/>
    <col min="12" max="12" width="25.5703125" customWidth="1"/>
    <col min="13" max="13" width="32.28515625" customWidth="1"/>
    <col min="14" max="14" width="21.42578125" style="343" customWidth="1"/>
    <col min="18" max="18" width="12.42578125" customWidth="1"/>
    <col min="19" max="19" width="25.1406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45474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55" t="s">
        <v>1</v>
      </c>
      <c r="G3" s="55" t="s">
        <v>156</v>
      </c>
      <c r="H3" s="453"/>
      <c r="I3" s="455"/>
      <c r="J3" s="457"/>
      <c r="K3" s="54" t="s">
        <v>8</v>
      </c>
      <c r="L3" s="54" t="s">
        <v>21</v>
      </c>
      <c r="M3" s="54" t="s">
        <v>10</v>
      </c>
      <c r="N3" s="122" t="s">
        <v>11</v>
      </c>
      <c r="O3" s="5" t="s">
        <v>13</v>
      </c>
      <c r="P3" s="5" t="s">
        <v>155</v>
      </c>
      <c r="Q3" s="124" t="s">
        <v>23</v>
      </c>
      <c r="R3" s="439"/>
      <c r="S3" s="68" t="s">
        <v>162</v>
      </c>
      <c r="T3" s="99" t="s">
        <v>163</v>
      </c>
    </row>
    <row r="4" spans="1:20" s="67" customFormat="1" ht="13.5" customHeight="1" x14ac:dyDescent="0.25">
      <c r="A4" s="69" t="s">
        <v>1343</v>
      </c>
      <c r="B4" s="60" t="s">
        <v>562</v>
      </c>
      <c r="C4" s="60" t="s">
        <v>540</v>
      </c>
      <c r="D4" s="11" t="s">
        <v>158</v>
      </c>
      <c r="E4" s="59" t="s">
        <v>1207</v>
      </c>
      <c r="F4" s="60">
        <v>6400</v>
      </c>
      <c r="G4" s="69">
        <v>32</v>
      </c>
      <c r="H4" s="69" t="s">
        <v>541</v>
      </c>
      <c r="I4" s="69" t="s">
        <v>357</v>
      </c>
      <c r="J4" s="58">
        <v>45474</v>
      </c>
      <c r="K4" s="108" t="s">
        <v>937</v>
      </c>
      <c r="L4" s="117" t="s">
        <v>936</v>
      </c>
      <c r="M4" s="66" t="s">
        <v>385</v>
      </c>
      <c r="N4" s="107"/>
      <c r="O4" s="56"/>
      <c r="P4" s="56"/>
      <c r="Q4" s="60">
        <v>6400</v>
      </c>
      <c r="R4" s="56" t="s">
        <v>387</v>
      </c>
      <c r="S4" s="100">
        <v>69000</v>
      </c>
      <c r="T4" s="65">
        <f t="shared" ref="T4:T14" si="0" xml:space="preserve"> S4*(F4/1000)</f>
        <v>441600</v>
      </c>
    </row>
    <row r="5" spans="1:20" s="67" customFormat="1" ht="13.5" customHeight="1" x14ac:dyDescent="0.25">
      <c r="A5" s="69" t="s">
        <v>1343</v>
      </c>
      <c r="B5" s="60" t="s">
        <v>562</v>
      </c>
      <c r="C5" s="60" t="s">
        <v>540</v>
      </c>
      <c r="D5" s="11" t="s">
        <v>158</v>
      </c>
      <c r="E5" s="59" t="s">
        <v>1308</v>
      </c>
      <c r="F5" s="60">
        <v>7200</v>
      </c>
      <c r="G5" s="69">
        <v>36</v>
      </c>
      <c r="H5" s="69" t="s">
        <v>541</v>
      </c>
      <c r="I5" s="69" t="s">
        <v>357</v>
      </c>
      <c r="J5" s="58">
        <v>45474</v>
      </c>
      <c r="K5" s="108" t="s">
        <v>937</v>
      </c>
      <c r="L5" s="117" t="s">
        <v>936</v>
      </c>
      <c r="M5" s="66" t="s">
        <v>385</v>
      </c>
      <c r="N5" s="107"/>
      <c r="O5" s="56"/>
      <c r="P5" s="56"/>
      <c r="Q5" s="60">
        <v>7200</v>
      </c>
      <c r="R5" s="56" t="s">
        <v>387</v>
      </c>
      <c r="S5" s="100">
        <v>69000</v>
      </c>
      <c r="T5" s="65">
        <f t="shared" si="0"/>
        <v>496800</v>
      </c>
    </row>
    <row r="6" spans="1:20" s="67" customFormat="1" ht="13.5" customHeight="1" x14ac:dyDescent="0.25">
      <c r="A6" s="69" t="s">
        <v>1343</v>
      </c>
      <c r="B6" s="60" t="s">
        <v>562</v>
      </c>
      <c r="C6" s="60" t="s">
        <v>540</v>
      </c>
      <c r="D6" s="11" t="s">
        <v>158</v>
      </c>
      <c r="E6" s="59" t="s">
        <v>1192</v>
      </c>
      <c r="F6" s="60">
        <v>2400</v>
      </c>
      <c r="G6" s="69">
        <v>12</v>
      </c>
      <c r="H6" s="69" t="s">
        <v>541</v>
      </c>
      <c r="I6" s="69" t="s">
        <v>357</v>
      </c>
      <c r="J6" s="58">
        <v>45474</v>
      </c>
      <c r="K6" s="108" t="s">
        <v>937</v>
      </c>
      <c r="L6" s="117" t="s">
        <v>936</v>
      </c>
      <c r="M6" s="66" t="s">
        <v>385</v>
      </c>
      <c r="N6" s="107"/>
      <c r="O6" s="56"/>
      <c r="P6" s="56"/>
      <c r="Q6" s="60">
        <v>2400</v>
      </c>
      <c r="R6" s="56" t="s">
        <v>387</v>
      </c>
      <c r="S6" s="100">
        <v>69000</v>
      </c>
      <c r="T6" s="65">
        <f t="shared" si="0"/>
        <v>165600</v>
      </c>
    </row>
    <row r="7" spans="1:20" s="67" customFormat="1" ht="13.5" customHeight="1" x14ac:dyDescent="0.25">
      <c r="A7" s="69" t="s">
        <v>1343</v>
      </c>
      <c r="B7" s="60" t="s">
        <v>562</v>
      </c>
      <c r="C7" s="60" t="s">
        <v>540</v>
      </c>
      <c r="D7" s="11" t="s">
        <v>294</v>
      </c>
      <c r="E7" s="59" t="s">
        <v>1293</v>
      </c>
      <c r="F7" s="60">
        <v>2000</v>
      </c>
      <c r="G7" s="69">
        <v>80</v>
      </c>
      <c r="H7" s="69" t="s">
        <v>541</v>
      </c>
      <c r="I7" s="69" t="s">
        <v>357</v>
      </c>
      <c r="J7" s="58">
        <v>45474</v>
      </c>
      <c r="K7" s="108" t="s">
        <v>937</v>
      </c>
      <c r="L7" s="117" t="s">
        <v>936</v>
      </c>
      <c r="M7" s="66" t="s">
        <v>385</v>
      </c>
      <c r="N7" s="107"/>
      <c r="O7" s="56"/>
      <c r="P7" s="60">
        <v>2000</v>
      </c>
      <c r="Q7" s="60"/>
      <c r="R7" s="56" t="s">
        <v>387</v>
      </c>
      <c r="S7" s="100">
        <v>255000</v>
      </c>
      <c r="T7" s="65">
        <f t="shared" si="0"/>
        <v>510000</v>
      </c>
    </row>
    <row r="8" spans="1:20" s="67" customFormat="1" ht="13.5" customHeight="1" x14ac:dyDescent="0.25">
      <c r="A8" s="69" t="s">
        <v>1344</v>
      </c>
      <c r="B8" s="60" t="s">
        <v>1107</v>
      </c>
      <c r="C8" s="60" t="s">
        <v>657</v>
      </c>
      <c r="D8" s="98" t="s">
        <v>285</v>
      </c>
      <c r="E8" s="64" t="s">
        <v>1328</v>
      </c>
      <c r="F8" s="97">
        <v>15000</v>
      </c>
      <c r="G8" s="69">
        <v>600</v>
      </c>
      <c r="H8" s="69" t="s">
        <v>655</v>
      </c>
      <c r="I8" s="69" t="s">
        <v>357</v>
      </c>
      <c r="J8" s="58">
        <v>45474</v>
      </c>
      <c r="K8" s="114" t="s">
        <v>1330</v>
      </c>
      <c r="L8" s="119">
        <v>79050305630</v>
      </c>
      <c r="M8" s="56" t="s">
        <v>1331</v>
      </c>
      <c r="N8" s="339"/>
      <c r="O8" s="97">
        <v>15000</v>
      </c>
      <c r="P8" s="60"/>
      <c r="Q8" s="97"/>
      <c r="R8" s="56" t="s">
        <v>387</v>
      </c>
      <c r="S8" s="100">
        <v>39000</v>
      </c>
      <c r="T8" s="65">
        <f t="shared" si="0"/>
        <v>585000</v>
      </c>
    </row>
    <row r="9" spans="1:20" s="67" customFormat="1" ht="13.5" customHeight="1" x14ac:dyDescent="0.25">
      <c r="A9" s="69" t="s">
        <v>1344</v>
      </c>
      <c r="B9" s="60" t="s">
        <v>1107</v>
      </c>
      <c r="C9" s="60" t="s">
        <v>657</v>
      </c>
      <c r="D9" s="98" t="s">
        <v>174</v>
      </c>
      <c r="E9" s="64" t="s">
        <v>1329</v>
      </c>
      <c r="F9" s="97">
        <v>4800</v>
      </c>
      <c r="G9" s="69">
        <v>24</v>
      </c>
      <c r="H9" s="69" t="s">
        <v>655</v>
      </c>
      <c r="I9" s="69" t="s">
        <v>357</v>
      </c>
      <c r="J9" s="58">
        <v>45474</v>
      </c>
      <c r="K9" s="114" t="s">
        <v>1330</v>
      </c>
      <c r="L9" s="119">
        <v>79050305630</v>
      </c>
      <c r="M9" s="56" t="s">
        <v>1331</v>
      </c>
      <c r="N9" s="339"/>
      <c r="O9" s="56"/>
      <c r="P9" s="60"/>
      <c r="Q9" s="97">
        <v>4800</v>
      </c>
      <c r="R9" s="56" t="s">
        <v>387</v>
      </c>
      <c r="S9" s="100">
        <v>87500</v>
      </c>
      <c r="T9" s="65">
        <f t="shared" si="0"/>
        <v>420000</v>
      </c>
    </row>
    <row r="10" spans="1:20" s="67" customFormat="1" ht="13.5" customHeight="1" x14ac:dyDescent="0.25">
      <c r="A10" s="69" t="s">
        <v>224</v>
      </c>
      <c r="B10" s="60" t="s">
        <v>520</v>
      </c>
      <c r="C10" s="60" t="s">
        <v>657</v>
      </c>
      <c r="D10" s="98" t="s">
        <v>287</v>
      </c>
      <c r="E10" s="64" t="s">
        <v>1315</v>
      </c>
      <c r="F10" s="97">
        <v>20000</v>
      </c>
      <c r="G10" s="69">
        <v>800</v>
      </c>
      <c r="H10" s="69" t="s">
        <v>424</v>
      </c>
      <c r="I10" s="69" t="s">
        <v>357</v>
      </c>
      <c r="J10" s="58">
        <v>45477</v>
      </c>
      <c r="K10" s="114" t="s">
        <v>1350</v>
      </c>
      <c r="L10" s="119">
        <v>89101120182</v>
      </c>
      <c r="M10" s="56" t="s">
        <v>1349</v>
      </c>
      <c r="N10" s="339"/>
      <c r="O10" s="97">
        <v>20000</v>
      </c>
      <c r="P10" s="60"/>
      <c r="Q10" s="97"/>
      <c r="R10" s="56" t="s">
        <v>387</v>
      </c>
      <c r="S10" s="100">
        <v>39000</v>
      </c>
      <c r="T10" s="65">
        <f t="shared" si="0"/>
        <v>780000</v>
      </c>
    </row>
    <row r="11" spans="1:20" s="67" customFormat="1" x14ac:dyDescent="0.25">
      <c r="A11" s="69" t="s">
        <v>1066</v>
      </c>
      <c r="B11" s="60" t="s">
        <v>1322</v>
      </c>
      <c r="C11" s="60" t="s">
        <v>165</v>
      </c>
      <c r="D11" s="11" t="s">
        <v>1097</v>
      </c>
      <c r="E11" s="59" t="s">
        <v>1309</v>
      </c>
      <c r="F11" s="60">
        <v>17500</v>
      </c>
      <c r="G11" s="69">
        <v>700</v>
      </c>
      <c r="H11" s="59" t="s">
        <v>169</v>
      </c>
      <c r="I11" s="69" t="s">
        <v>357</v>
      </c>
      <c r="J11" s="58">
        <v>45477</v>
      </c>
      <c r="K11" s="108"/>
      <c r="L11" s="117"/>
      <c r="M11" s="66"/>
      <c r="N11" s="341" t="s">
        <v>1351</v>
      </c>
      <c r="O11" s="60">
        <v>17500</v>
      </c>
      <c r="P11" s="56"/>
      <c r="Q11" s="60"/>
      <c r="R11" s="56" t="s">
        <v>387</v>
      </c>
      <c r="S11" s="100">
        <v>49500</v>
      </c>
      <c r="T11" s="65">
        <f t="shared" si="0"/>
        <v>866250</v>
      </c>
    </row>
    <row r="12" spans="1:20" s="67" customFormat="1" x14ac:dyDescent="0.25">
      <c r="A12" s="69" t="s">
        <v>1066</v>
      </c>
      <c r="B12" s="60" t="s">
        <v>1321</v>
      </c>
      <c r="C12" s="60" t="s">
        <v>165</v>
      </c>
      <c r="D12" s="11" t="s">
        <v>1097</v>
      </c>
      <c r="E12" s="59" t="s">
        <v>1320</v>
      </c>
      <c r="F12" s="60">
        <v>17500</v>
      </c>
      <c r="G12" s="69">
        <v>700</v>
      </c>
      <c r="H12" s="59" t="s">
        <v>169</v>
      </c>
      <c r="I12" s="69" t="s">
        <v>357</v>
      </c>
      <c r="J12" s="58">
        <v>45477</v>
      </c>
      <c r="K12" s="108"/>
      <c r="L12" s="117"/>
      <c r="M12" s="66"/>
      <c r="N12" s="341" t="s">
        <v>1352</v>
      </c>
      <c r="O12" s="60">
        <v>17500</v>
      </c>
      <c r="P12" s="56"/>
      <c r="Q12" s="60"/>
      <c r="R12" s="56" t="s">
        <v>387</v>
      </c>
      <c r="S12" s="100">
        <v>49500</v>
      </c>
      <c r="T12" s="65">
        <f t="shared" si="0"/>
        <v>866250</v>
      </c>
    </row>
    <row r="13" spans="1:20" s="67" customFormat="1" x14ac:dyDescent="0.25">
      <c r="A13" s="69" t="s">
        <v>391</v>
      </c>
      <c r="B13" s="60" t="s">
        <v>1292</v>
      </c>
      <c r="C13" s="60" t="s">
        <v>822</v>
      </c>
      <c r="D13" s="11" t="s">
        <v>174</v>
      </c>
      <c r="E13" s="59" t="s">
        <v>978</v>
      </c>
      <c r="F13" s="60">
        <v>8000</v>
      </c>
      <c r="G13" s="69">
        <v>40</v>
      </c>
      <c r="H13" s="69" t="s">
        <v>391</v>
      </c>
      <c r="I13" s="69" t="s">
        <v>357</v>
      </c>
      <c r="J13" s="58">
        <v>45478</v>
      </c>
      <c r="K13" s="108" t="s">
        <v>1354</v>
      </c>
      <c r="L13" s="117">
        <v>89893340135</v>
      </c>
      <c r="M13" s="66" t="s">
        <v>1353</v>
      </c>
      <c r="N13" s="341"/>
      <c r="O13" s="56"/>
      <c r="P13" s="60"/>
      <c r="Q13" s="60">
        <v>8000</v>
      </c>
      <c r="R13" s="56" t="s">
        <v>387</v>
      </c>
      <c r="S13" s="100">
        <v>89900</v>
      </c>
      <c r="T13" s="65">
        <f t="shared" si="0"/>
        <v>719200</v>
      </c>
    </row>
    <row r="14" spans="1:20" s="67" customFormat="1" x14ac:dyDescent="0.25">
      <c r="A14" s="69" t="s">
        <v>391</v>
      </c>
      <c r="B14" s="60" t="s">
        <v>1292</v>
      </c>
      <c r="C14" s="60" t="s">
        <v>822</v>
      </c>
      <c r="D14" s="11" t="s">
        <v>174</v>
      </c>
      <c r="E14" s="59" t="s">
        <v>962</v>
      </c>
      <c r="F14" s="60">
        <v>8000</v>
      </c>
      <c r="G14" s="69">
        <v>40</v>
      </c>
      <c r="H14" s="69" t="s">
        <v>391</v>
      </c>
      <c r="I14" s="69" t="s">
        <v>357</v>
      </c>
      <c r="J14" s="58">
        <v>45478</v>
      </c>
      <c r="K14" s="108" t="s">
        <v>1354</v>
      </c>
      <c r="L14" s="117">
        <v>89893340135</v>
      </c>
      <c r="M14" s="66" t="s">
        <v>1353</v>
      </c>
      <c r="N14" s="341"/>
      <c r="O14" s="56"/>
      <c r="P14" s="60"/>
      <c r="Q14" s="60">
        <v>8000</v>
      </c>
      <c r="R14" s="56" t="s">
        <v>387</v>
      </c>
      <c r="S14" s="100">
        <v>89900</v>
      </c>
      <c r="T14" s="65">
        <f t="shared" si="0"/>
        <v>719200</v>
      </c>
    </row>
    <row r="15" spans="1:20" s="67" customFormat="1" ht="13.5" customHeight="1" x14ac:dyDescent="0.25">
      <c r="A15" s="69" t="s">
        <v>1346</v>
      </c>
      <c r="B15" s="60" t="s">
        <v>1355</v>
      </c>
      <c r="C15" s="60" t="s">
        <v>373</v>
      </c>
      <c r="D15" s="159" t="s">
        <v>285</v>
      </c>
      <c r="E15" s="160" t="s">
        <v>1125</v>
      </c>
      <c r="F15" s="158">
        <v>20000</v>
      </c>
      <c r="G15" s="161">
        <v>800</v>
      </c>
      <c r="H15" s="69" t="s">
        <v>241</v>
      </c>
      <c r="I15" s="69" t="s">
        <v>357</v>
      </c>
      <c r="J15" s="58">
        <v>45481</v>
      </c>
      <c r="K15" s="105" t="s">
        <v>1347</v>
      </c>
      <c r="L15" s="66">
        <v>89824649114</v>
      </c>
      <c r="M15" s="105" t="s">
        <v>1348</v>
      </c>
      <c r="N15" s="314"/>
      <c r="O15" s="158">
        <v>20000</v>
      </c>
      <c r="P15" s="157"/>
      <c r="Q15" s="157"/>
      <c r="R15" s="164" t="s">
        <v>387</v>
      </c>
      <c r="S15" s="165">
        <v>40700</v>
      </c>
      <c r="T15" s="166">
        <f>S15*(F15/1000)</f>
        <v>814000</v>
      </c>
    </row>
    <row r="16" spans="1:20" s="67" customFormat="1" x14ac:dyDescent="0.25">
      <c r="A16" s="69" t="s">
        <v>1364</v>
      </c>
      <c r="B16" s="60" t="s">
        <v>1357</v>
      </c>
      <c r="C16" s="60" t="s">
        <v>373</v>
      </c>
      <c r="D16" s="159" t="s">
        <v>285</v>
      </c>
      <c r="E16" s="160" t="s">
        <v>1125</v>
      </c>
      <c r="F16" s="158">
        <v>20000</v>
      </c>
      <c r="G16" s="161">
        <v>800</v>
      </c>
      <c r="H16" s="69" t="s">
        <v>241</v>
      </c>
      <c r="I16" s="69" t="s">
        <v>357</v>
      </c>
      <c r="J16" s="58">
        <v>45483</v>
      </c>
      <c r="K16" s="105" t="s">
        <v>1362</v>
      </c>
      <c r="L16" s="66">
        <v>89312887268</v>
      </c>
      <c r="M16" s="105" t="s">
        <v>1363</v>
      </c>
      <c r="N16" s="314"/>
      <c r="O16" s="158">
        <v>20000</v>
      </c>
      <c r="P16" s="157"/>
      <c r="Q16" s="157"/>
      <c r="R16" s="164" t="s">
        <v>387</v>
      </c>
      <c r="S16" s="165">
        <v>40700</v>
      </c>
      <c r="T16" s="166">
        <f>S16*(F16/1000)</f>
        <v>814000</v>
      </c>
    </row>
    <row r="17" spans="1:20" s="67" customFormat="1" x14ac:dyDescent="0.25">
      <c r="A17" s="69" t="s">
        <v>1365</v>
      </c>
      <c r="B17" s="60" t="s">
        <v>1336</v>
      </c>
      <c r="C17" s="60" t="s">
        <v>1337</v>
      </c>
      <c r="D17" s="11" t="s">
        <v>158</v>
      </c>
      <c r="E17" s="59" t="s">
        <v>1338</v>
      </c>
      <c r="F17" s="60">
        <v>8800</v>
      </c>
      <c r="G17" s="69">
        <v>44</v>
      </c>
      <c r="H17" s="69" t="s">
        <v>406</v>
      </c>
      <c r="I17" s="69" t="s">
        <v>357</v>
      </c>
      <c r="J17" s="58">
        <v>45483</v>
      </c>
      <c r="K17" s="108" t="s">
        <v>1367</v>
      </c>
      <c r="L17" s="117">
        <v>89115138547</v>
      </c>
      <c r="M17" s="66" t="s">
        <v>1368</v>
      </c>
      <c r="N17" s="341"/>
      <c r="O17" s="56"/>
      <c r="P17" s="56"/>
      <c r="Q17" s="60">
        <v>8800</v>
      </c>
      <c r="R17" s="56" t="s">
        <v>387</v>
      </c>
      <c r="S17" s="100">
        <v>85000</v>
      </c>
      <c r="T17" s="65">
        <f t="shared" ref="T17:T48" si="1" xml:space="preserve"> S17*(F17/1000)</f>
        <v>748000.00000000012</v>
      </c>
    </row>
    <row r="18" spans="1:20" s="67" customFormat="1" x14ac:dyDescent="0.25">
      <c r="A18" s="69" t="s">
        <v>843</v>
      </c>
      <c r="B18" s="60" t="s">
        <v>1339</v>
      </c>
      <c r="C18" s="60" t="s">
        <v>1337</v>
      </c>
      <c r="D18" s="11" t="s">
        <v>180</v>
      </c>
      <c r="E18" s="59" t="s">
        <v>1340</v>
      </c>
      <c r="F18" s="60">
        <v>16000</v>
      </c>
      <c r="G18" s="69">
        <v>80</v>
      </c>
      <c r="H18" s="69" t="s">
        <v>1112</v>
      </c>
      <c r="I18" s="69" t="s">
        <v>357</v>
      </c>
      <c r="J18" s="58">
        <v>45483</v>
      </c>
      <c r="K18" s="108"/>
      <c r="L18" s="117"/>
      <c r="M18" s="66"/>
      <c r="N18" s="341" t="s">
        <v>1397</v>
      </c>
      <c r="O18" s="56"/>
      <c r="P18" s="56"/>
      <c r="Q18" s="60">
        <v>16000</v>
      </c>
      <c r="R18" s="56" t="s">
        <v>387</v>
      </c>
      <c r="S18" s="100">
        <v>168500</v>
      </c>
      <c r="T18" s="65">
        <f t="shared" si="1"/>
        <v>2696000</v>
      </c>
    </row>
    <row r="19" spans="1:20" s="67" customFormat="1" x14ac:dyDescent="0.25">
      <c r="A19" s="69" t="s">
        <v>843</v>
      </c>
      <c r="B19" s="60" t="s">
        <v>1341</v>
      </c>
      <c r="C19" s="60" t="s">
        <v>1337</v>
      </c>
      <c r="D19" s="11" t="s">
        <v>180</v>
      </c>
      <c r="E19" s="59" t="s">
        <v>1342</v>
      </c>
      <c r="F19" s="60">
        <v>16000</v>
      </c>
      <c r="G19" s="69">
        <v>80</v>
      </c>
      <c r="H19" s="69" t="s">
        <v>406</v>
      </c>
      <c r="I19" s="69" t="s">
        <v>357</v>
      </c>
      <c r="J19" s="58">
        <v>45483</v>
      </c>
      <c r="K19" s="108"/>
      <c r="L19" s="117"/>
      <c r="M19" s="66"/>
      <c r="N19" s="341" t="s">
        <v>1398</v>
      </c>
      <c r="O19" s="56"/>
      <c r="P19" s="56"/>
      <c r="Q19" s="60">
        <v>16000</v>
      </c>
      <c r="R19" s="56" t="s">
        <v>387</v>
      </c>
      <c r="S19" s="100">
        <v>168500</v>
      </c>
      <c r="T19" s="65">
        <f t="shared" si="1"/>
        <v>2696000</v>
      </c>
    </row>
    <row r="20" spans="1:20" s="67" customFormat="1" x14ac:dyDescent="0.25">
      <c r="A20" s="69" t="s">
        <v>1366</v>
      </c>
      <c r="B20" s="60" t="s">
        <v>1040</v>
      </c>
      <c r="C20" s="60" t="s">
        <v>657</v>
      </c>
      <c r="D20" s="98" t="s">
        <v>285</v>
      </c>
      <c r="E20" s="64" t="s">
        <v>1328</v>
      </c>
      <c r="F20" s="97">
        <v>20000</v>
      </c>
      <c r="G20" s="69">
        <v>800</v>
      </c>
      <c r="H20" s="69" t="s">
        <v>424</v>
      </c>
      <c r="I20" s="69" t="s">
        <v>357</v>
      </c>
      <c r="J20" s="58">
        <v>45483</v>
      </c>
      <c r="K20" s="108" t="s">
        <v>1369</v>
      </c>
      <c r="L20" s="117">
        <v>89272654545</v>
      </c>
      <c r="M20" s="66" t="s">
        <v>1370</v>
      </c>
      <c r="N20" s="341"/>
      <c r="O20" s="56">
        <v>20000</v>
      </c>
      <c r="P20" s="60"/>
      <c r="Q20" s="60"/>
      <c r="R20" s="56" t="s">
        <v>387</v>
      </c>
      <c r="S20" s="100">
        <v>39000</v>
      </c>
      <c r="T20" s="65">
        <f t="shared" si="1"/>
        <v>780000</v>
      </c>
    </row>
    <row r="21" spans="1:20" s="67" customFormat="1" x14ac:dyDescent="0.25">
      <c r="A21" s="69" t="s">
        <v>391</v>
      </c>
      <c r="B21" s="60" t="s">
        <v>348</v>
      </c>
      <c r="C21" s="60" t="s">
        <v>390</v>
      </c>
      <c r="D21" s="11" t="s">
        <v>204</v>
      </c>
      <c r="E21" s="59" t="s">
        <v>1342</v>
      </c>
      <c r="F21" s="60">
        <v>3200</v>
      </c>
      <c r="G21" s="69">
        <v>16</v>
      </c>
      <c r="H21" s="69" t="s">
        <v>391</v>
      </c>
      <c r="I21" s="69" t="s">
        <v>357</v>
      </c>
      <c r="J21" s="58">
        <v>45483</v>
      </c>
      <c r="K21" s="108" t="s">
        <v>1371</v>
      </c>
      <c r="L21" s="117"/>
      <c r="M21" s="66" t="s">
        <v>1372</v>
      </c>
      <c r="N21" s="341"/>
      <c r="O21" s="56"/>
      <c r="P21" s="60"/>
      <c r="Q21" s="60">
        <v>3200</v>
      </c>
      <c r="R21" s="56" t="s">
        <v>387</v>
      </c>
      <c r="S21" s="100">
        <v>120000</v>
      </c>
      <c r="T21" s="65">
        <f t="shared" si="1"/>
        <v>384000</v>
      </c>
    </row>
    <row r="22" spans="1:20" s="67" customFormat="1" x14ac:dyDescent="0.25">
      <c r="A22" s="69" t="s">
        <v>1066</v>
      </c>
      <c r="B22" s="60" t="s">
        <v>1296</v>
      </c>
      <c r="C22" s="60" t="s">
        <v>165</v>
      </c>
      <c r="D22" s="98" t="s">
        <v>206</v>
      </c>
      <c r="E22" s="59" t="s">
        <v>1309</v>
      </c>
      <c r="F22" s="97">
        <v>7400</v>
      </c>
      <c r="G22" s="69">
        <v>40</v>
      </c>
      <c r="H22" s="69" t="s">
        <v>172</v>
      </c>
      <c r="I22" s="69" t="s">
        <v>357</v>
      </c>
      <c r="J22" s="58">
        <v>45483</v>
      </c>
      <c r="K22" s="105"/>
      <c r="L22" s="123"/>
      <c r="M22" s="105" t="s">
        <v>1373</v>
      </c>
      <c r="N22" s="360" t="s">
        <v>1721</v>
      </c>
      <c r="O22" s="56"/>
      <c r="P22" s="60"/>
      <c r="Q22" s="97">
        <v>7400</v>
      </c>
      <c r="R22" s="56" t="s">
        <v>387</v>
      </c>
      <c r="S22" s="100">
        <v>110800</v>
      </c>
      <c r="T22" s="65">
        <f t="shared" si="1"/>
        <v>819920</v>
      </c>
    </row>
    <row r="23" spans="1:20" s="67" customFormat="1" x14ac:dyDescent="0.25">
      <c r="A23" s="69" t="s">
        <v>1066</v>
      </c>
      <c r="B23" s="60" t="s">
        <v>1296</v>
      </c>
      <c r="C23" s="60" t="s">
        <v>165</v>
      </c>
      <c r="D23" s="98" t="s">
        <v>206</v>
      </c>
      <c r="E23" s="59" t="s">
        <v>1320</v>
      </c>
      <c r="F23" s="97">
        <v>7400</v>
      </c>
      <c r="G23" s="69">
        <v>40</v>
      </c>
      <c r="H23" s="69" t="s">
        <v>172</v>
      </c>
      <c r="I23" s="69" t="s">
        <v>357</v>
      </c>
      <c r="J23" s="58">
        <v>45483</v>
      </c>
      <c r="K23" s="105"/>
      <c r="L23" s="123"/>
      <c r="M23" s="105" t="s">
        <v>1373</v>
      </c>
      <c r="N23" s="360" t="s">
        <v>1721</v>
      </c>
      <c r="O23" s="56"/>
      <c r="P23" s="60"/>
      <c r="Q23" s="97">
        <v>7400</v>
      </c>
      <c r="R23" s="56" t="s">
        <v>387</v>
      </c>
      <c r="S23" s="100">
        <v>110800</v>
      </c>
      <c r="T23" s="65">
        <f t="shared" si="1"/>
        <v>819920</v>
      </c>
    </row>
    <row r="24" spans="1:20" s="67" customFormat="1" x14ac:dyDescent="0.25">
      <c r="A24" s="69" t="s">
        <v>1378</v>
      </c>
      <c r="B24" s="60" t="s">
        <v>1374</v>
      </c>
      <c r="C24" s="60" t="s">
        <v>373</v>
      </c>
      <c r="D24" s="98" t="s">
        <v>287</v>
      </c>
      <c r="E24" s="59" t="s">
        <v>977</v>
      </c>
      <c r="F24" s="97">
        <v>20000</v>
      </c>
      <c r="G24" s="69">
        <v>800</v>
      </c>
      <c r="H24" s="69" t="s">
        <v>382</v>
      </c>
      <c r="I24" s="69" t="s">
        <v>357</v>
      </c>
      <c r="J24" s="58">
        <v>45485</v>
      </c>
      <c r="K24" s="105" t="s">
        <v>1380</v>
      </c>
      <c r="L24" s="123">
        <v>79212944049</v>
      </c>
      <c r="M24" s="105" t="s">
        <v>1381</v>
      </c>
      <c r="N24" s="169"/>
      <c r="O24" s="56">
        <v>20000</v>
      </c>
      <c r="P24" s="60"/>
      <c r="Q24" s="97"/>
      <c r="R24" s="56" t="s">
        <v>387</v>
      </c>
      <c r="S24" s="100">
        <v>40700</v>
      </c>
      <c r="T24" s="65">
        <f t="shared" si="1"/>
        <v>814000</v>
      </c>
    </row>
    <row r="25" spans="1:20" s="67" customFormat="1" x14ac:dyDescent="0.25">
      <c r="A25" s="69" t="s">
        <v>1378</v>
      </c>
      <c r="B25" s="60" t="s">
        <v>1379</v>
      </c>
      <c r="C25" s="60" t="s">
        <v>373</v>
      </c>
      <c r="D25" s="98" t="s">
        <v>285</v>
      </c>
      <c r="E25" s="59" t="s">
        <v>1125</v>
      </c>
      <c r="F25" s="97">
        <v>20000</v>
      </c>
      <c r="G25" s="69">
        <v>800</v>
      </c>
      <c r="H25" s="69" t="s">
        <v>1375</v>
      </c>
      <c r="I25" s="69" t="s">
        <v>357</v>
      </c>
      <c r="J25" s="58">
        <v>45485</v>
      </c>
      <c r="K25" s="105" t="s">
        <v>1376</v>
      </c>
      <c r="L25" s="123">
        <v>79527675162</v>
      </c>
      <c r="M25" s="105" t="s">
        <v>1377</v>
      </c>
      <c r="N25" s="169"/>
      <c r="O25" s="56">
        <v>20000</v>
      </c>
      <c r="P25" s="60"/>
      <c r="Q25" s="97"/>
      <c r="R25" s="56" t="s">
        <v>387</v>
      </c>
      <c r="S25" s="100">
        <v>40700</v>
      </c>
      <c r="T25" s="65">
        <f t="shared" si="1"/>
        <v>814000</v>
      </c>
    </row>
    <row r="26" spans="1:20" s="67" customFormat="1" x14ac:dyDescent="0.25">
      <c r="A26" s="69" t="s">
        <v>224</v>
      </c>
      <c r="B26" s="97" t="s">
        <v>1143</v>
      </c>
      <c r="C26" s="97" t="s">
        <v>1242</v>
      </c>
      <c r="D26" s="98" t="s">
        <v>174</v>
      </c>
      <c r="E26" s="59" t="s">
        <v>1307</v>
      </c>
      <c r="F26" s="97">
        <v>17600</v>
      </c>
      <c r="G26" s="69">
        <v>88</v>
      </c>
      <c r="H26" s="69" t="s">
        <v>166</v>
      </c>
      <c r="I26" s="69" t="s">
        <v>357</v>
      </c>
      <c r="J26" s="58">
        <v>45485</v>
      </c>
      <c r="K26" s="105" t="s">
        <v>1383</v>
      </c>
      <c r="L26" s="123"/>
      <c r="M26" s="105"/>
      <c r="N26" s="340"/>
      <c r="O26" s="97"/>
      <c r="P26" s="60"/>
      <c r="Q26" s="60">
        <v>17600</v>
      </c>
      <c r="R26" s="56" t="s">
        <v>387</v>
      </c>
      <c r="S26" s="100">
        <v>81900</v>
      </c>
      <c r="T26" s="65">
        <f t="shared" si="1"/>
        <v>1441440</v>
      </c>
    </row>
    <row r="27" spans="1:20" s="67" customFormat="1" x14ac:dyDescent="0.25">
      <c r="A27" s="69" t="s">
        <v>224</v>
      </c>
      <c r="B27" s="97" t="s">
        <v>1143</v>
      </c>
      <c r="C27" s="97" t="s">
        <v>1242</v>
      </c>
      <c r="D27" s="98" t="s">
        <v>174</v>
      </c>
      <c r="E27" s="59" t="s">
        <v>1382</v>
      </c>
      <c r="F27" s="97">
        <v>17600</v>
      </c>
      <c r="G27" s="69">
        <v>88</v>
      </c>
      <c r="H27" s="69" t="s">
        <v>166</v>
      </c>
      <c r="I27" s="69" t="s">
        <v>357</v>
      </c>
      <c r="J27" s="58">
        <v>45485</v>
      </c>
      <c r="K27" s="105" t="s">
        <v>1384</v>
      </c>
      <c r="L27" s="123"/>
      <c r="M27" s="105"/>
      <c r="N27" s="107"/>
      <c r="O27" s="56"/>
      <c r="P27" s="60"/>
      <c r="Q27" s="97">
        <v>17600</v>
      </c>
      <c r="R27" s="56" t="s">
        <v>387</v>
      </c>
      <c r="S27" s="100">
        <v>81900</v>
      </c>
      <c r="T27" s="65">
        <f t="shared" si="1"/>
        <v>1441440</v>
      </c>
    </row>
    <row r="28" spans="1:20" s="67" customFormat="1" x14ac:dyDescent="0.25">
      <c r="A28" s="69" t="s">
        <v>1066</v>
      </c>
      <c r="B28" s="60" t="s">
        <v>1253</v>
      </c>
      <c r="C28" s="60" t="s">
        <v>165</v>
      </c>
      <c r="D28" s="11" t="s">
        <v>184</v>
      </c>
      <c r="E28" s="59" t="s">
        <v>1198</v>
      </c>
      <c r="F28" s="60">
        <v>10000</v>
      </c>
      <c r="G28" s="69">
        <v>400</v>
      </c>
      <c r="H28" s="69" t="s">
        <v>172</v>
      </c>
      <c r="I28" s="69" t="s">
        <v>357</v>
      </c>
      <c r="J28" s="58">
        <v>45485</v>
      </c>
      <c r="K28" s="108"/>
      <c r="L28" s="117"/>
      <c r="M28" s="66"/>
      <c r="N28" s="341" t="s">
        <v>1408</v>
      </c>
      <c r="O28" s="60"/>
      <c r="P28" s="56"/>
      <c r="Q28" s="60">
        <v>10000</v>
      </c>
      <c r="R28" s="56" t="s">
        <v>387</v>
      </c>
      <c r="S28" s="100">
        <v>165000</v>
      </c>
      <c r="T28" s="65">
        <f t="shared" si="1"/>
        <v>1650000</v>
      </c>
    </row>
    <row r="29" spans="1:20" s="67" customFormat="1" x14ac:dyDescent="0.25">
      <c r="A29" s="69" t="s">
        <v>1066</v>
      </c>
      <c r="B29" s="60" t="s">
        <v>1318</v>
      </c>
      <c r="C29" s="60" t="s">
        <v>165</v>
      </c>
      <c r="D29" s="11" t="s">
        <v>1097</v>
      </c>
      <c r="E29" s="59" t="s">
        <v>1315</v>
      </c>
      <c r="F29" s="60">
        <v>2625</v>
      </c>
      <c r="G29" s="69">
        <v>105</v>
      </c>
      <c r="H29" s="69" t="s">
        <v>172</v>
      </c>
      <c r="I29" s="69" t="s">
        <v>357</v>
      </c>
      <c r="J29" s="58">
        <v>45485</v>
      </c>
      <c r="K29" s="108"/>
      <c r="L29" s="117"/>
      <c r="M29" s="66"/>
      <c r="N29" s="341" t="s">
        <v>1408</v>
      </c>
      <c r="O29" s="60">
        <v>2625</v>
      </c>
      <c r="P29" s="56"/>
      <c r="Q29" s="60"/>
      <c r="R29" s="56" t="s">
        <v>387</v>
      </c>
      <c r="S29" s="100">
        <v>49500</v>
      </c>
      <c r="T29" s="65">
        <f t="shared" si="1"/>
        <v>129937.5</v>
      </c>
    </row>
    <row r="30" spans="1:20" s="67" customFormat="1" x14ac:dyDescent="0.25">
      <c r="A30" s="69" t="s">
        <v>1066</v>
      </c>
      <c r="B30" s="60" t="s">
        <v>1333</v>
      </c>
      <c r="C30" s="60" t="s">
        <v>165</v>
      </c>
      <c r="D30" s="11" t="s">
        <v>1097</v>
      </c>
      <c r="E30" s="59" t="s">
        <v>1342</v>
      </c>
      <c r="F30" s="60">
        <v>17500</v>
      </c>
      <c r="G30" s="69">
        <v>700</v>
      </c>
      <c r="H30" s="59" t="s">
        <v>169</v>
      </c>
      <c r="I30" s="69" t="s">
        <v>357</v>
      </c>
      <c r="J30" s="58">
        <v>45485</v>
      </c>
      <c r="K30" s="108"/>
      <c r="L30" s="117"/>
      <c r="M30" s="66"/>
      <c r="N30" s="341" t="s">
        <v>1406</v>
      </c>
      <c r="O30" s="60">
        <v>17500</v>
      </c>
      <c r="P30" s="56"/>
      <c r="Q30" s="60"/>
      <c r="R30" s="56" t="s">
        <v>387</v>
      </c>
      <c r="S30" s="100">
        <v>49500</v>
      </c>
      <c r="T30" s="65">
        <f t="shared" si="1"/>
        <v>866250</v>
      </c>
    </row>
    <row r="31" spans="1:20" s="67" customFormat="1" x14ac:dyDescent="0.25">
      <c r="A31" s="69" t="s">
        <v>1066</v>
      </c>
      <c r="B31" s="60" t="s">
        <v>1334</v>
      </c>
      <c r="C31" s="60" t="s">
        <v>165</v>
      </c>
      <c r="D31" s="11" t="s">
        <v>1097</v>
      </c>
      <c r="E31" s="59" t="s">
        <v>1361</v>
      </c>
      <c r="F31" s="60">
        <v>17500</v>
      </c>
      <c r="G31" s="69">
        <v>700</v>
      </c>
      <c r="H31" s="59" t="s">
        <v>169</v>
      </c>
      <c r="I31" s="69" t="s">
        <v>357</v>
      </c>
      <c r="J31" s="58">
        <v>45485</v>
      </c>
      <c r="K31" s="108"/>
      <c r="L31" s="117"/>
      <c r="M31" s="66"/>
      <c r="N31" s="341" t="s">
        <v>1407</v>
      </c>
      <c r="O31" s="60">
        <v>17500</v>
      </c>
      <c r="P31" s="56"/>
      <c r="Q31" s="60"/>
      <c r="R31" s="56" t="s">
        <v>387</v>
      </c>
      <c r="S31" s="100">
        <v>49500</v>
      </c>
      <c r="T31" s="65">
        <f t="shared" si="1"/>
        <v>866250</v>
      </c>
    </row>
    <row r="32" spans="1:20" s="67" customFormat="1" x14ac:dyDescent="0.25">
      <c r="A32" s="69" t="s">
        <v>1066</v>
      </c>
      <c r="B32" s="60" t="s">
        <v>1302</v>
      </c>
      <c r="C32" s="60" t="s">
        <v>165</v>
      </c>
      <c r="D32" s="98" t="s">
        <v>897</v>
      </c>
      <c r="E32" s="64" t="s">
        <v>1315</v>
      </c>
      <c r="F32" s="97">
        <f>G32*200</f>
        <v>7400</v>
      </c>
      <c r="G32" s="69">
        <v>37</v>
      </c>
      <c r="H32" s="69" t="s">
        <v>172</v>
      </c>
      <c r="I32" s="69" t="s">
        <v>357</v>
      </c>
      <c r="J32" s="58">
        <v>45485</v>
      </c>
      <c r="K32" s="108"/>
      <c r="L32" s="117"/>
      <c r="M32" s="66"/>
      <c r="N32" s="341" t="s">
        <v>1409</v>
      </c>
      <c r="O32" s="56"/>
      <c r="P32" s="60"/>
      <c r="Q32" s="97">
        <v>7400</v>
      </c>
      <c r="R32" s="56" t="s">
        <v>387</v>
      </c>
      <c r="S32" s="65">
        <v>79000</v>
      </c>
      <c r="T32" s="65">
        <f t="shared" si="1"/>
        <v>584600</v>
      </c>
    </row>
    <row r="33" spans="1:20" s="67" customFormat="1" x14ac:dyDescent="0.25">
      <c r="A33" s="69" t="s">
        <v>1066</v>
      </c>
      <c r="B33" s="60" t="s">
        <v>1302</v>
      </c>
      <c r="C33" s="60" t="s">
        <v>165</v>
      </c>
      <c r="D33" s="98" t="s">
        <v>897</v>
      </c>
      <c r="E33" s="64" t="s">
        <v>1316</v>
      </c>
      <c r="F33" s="97">
        <f>G33*200</f>
        <v>5400</v>
      </c>
      <c r="G33" s="69">
        <v>27</v>
      </c>
      <c r="H33" s="69" t="s">
        <v>172</v>
      </c>
      <c r="I33" s="69" t="s">
        <v>357</v>
      </c>
      <c r="J33" s="58">
        <v>45485</v>
      </c>
      <c r="K33" s="108"/>
      <c r="L33" s="117"/>
      <c r="M33" s="66"/>
      <c r="N33" s="341" t="s">
        <v>1409</v>
      </c>
      <c r="O33" s="60"/>
      <c r="P33" s="56"/>
      <c r="Q33" s="60">
        <v>5400</v>
      </c>
      <c r="R33" s="56" t="s">
        <v>387</v>
      </c>
      <c r="S33" s="100">
        <v>79000</v>
      </c>
      <c r="T33" s="65">
        <f t="shared" si="1"/>
        <v>426600</v>
      </c>
    </row>
    <row r="34" spans="1:20" s="67" customFormat="1" x14ac:dyDescent="0.25">
      <c r="A34" s="69" t="s">
        <v>1066</v>
      </c>
      <c r="B34" s="60" t="s">
        <v>1302</v>
      </c>
      <c r="C34" s="60" t="s">
        <v>165</v>
      </c>
      <c r="D34" s="98" t="s">
        <v>897</v>
      </c>
      <c r="E34" s="64" t="s">
        <v>1385</v>
      </c>
      <c r="F34" s="97">
        <f>G34*200</f>
        <v>3200</v>
      </c>
      <c r="G34" s="69">
        <v>16</v>
      </c>
      <c r="H34" s="69" t="s">
        <v>172</v>
      </c>
      <c r="I34" s="69" t="s">
        <v>357</v>
      </c>
      <c r="J34" s="58">
        <v>45485</v>
      </c>
      <c r="K34" s="108"/>
      <c r="L34" s="117"/>
      <c r="M34" s="66"/>
      <c r="N34" s="341" t="s">
        <v>1409</v>
      </c>
      <c r="O34" s="60"/>
      <c r="P34" s="56"/>
      <c r="Q34" s="60">
        <v>3200</v>
      </c>
      <c r="R34" s="56" t="s">
        <v>387</v>
      </c>
      <c r="S34" s="100">
        <v>79000</v>
      </c>
      <c r="T34" s="65">
        <f t="shared" si="1"/>
        <v>252800</v>
      </c>
    </row>
    <row r="35" spans="1:20" s="67" customFormat="1" x14ac:dyDescent="0.25">
      <c r="A35" s="69" t="s">
        <v>1393</v>
      </c>
      <c r="B35" s="60" t="s">
        <v>460</v>
      </c>
      <c r="C35" s="60" t="s">
        <v>381</v>
      </c>
      <c r="D35" s="11" t="s">
        <v>204</v>
      </c>
      <c r="E35" s="59" t="s">
        <v>1307</v>
      </c>
      <c r="F35" s="60">
        <v>4800</v>
      </c>
      <c r="G35" s="69">
        <v>24</v>
      </c>
      <c r="H35" s="69" t="s">
        <v>382</v>
      </c>
      <c r="I35" s="69" t="s">
        <v>357</v>
      </c>
      <c r="J35" s="58">
        <v>45488</v>
      </c>
      <c r="K35" s="108" t="s">
        <v>1391</v>
      </c>
      <c r="L35" s="117">
        <v>79502587842</v>
      </c>
      <c r="M35" s="66" t="s">
        <v>1392</v>
      </c>
      <c r="N35" s="341"/>
      <c r="O35" s="56"/>
      <c r="P35" s="56"/>
      <c r="Q35" s="60">
        <v>4800</v>
      </c>
      <c r="R35" s="56" t="s">
        <v>387</v>
      </c>
      <c r="S35" s="100">
        <v>99800</v>
      </c>
      <c r="T35" s="65">
        <f t="shared" si="1"/>
        <v>479040</v>
      </c>
    </row>
    <row r="36" spans="1:20" s="67" customFormat="1" x14ac:dyDescent="0.25">
      <c r="A36" s="69" t="s">
        <v>1393</v>
      </c>
      <c r="B36" s="60" t="s">
        <v>460</v>
      </c>
      <c r="C36" s="60" t="s">
        <v>381</v>
      </c>
      <c r="D36" s="11" t="s">
        <v>204</v>
      </c>
      <c r="E36" s="59" t="s">
        <v>1293</v>
      </c>
      <c r="F36" s="60">
        <v>4800</v>
      </c>
      <c r="G36" s="69">
        <v>24</v>
      </c>
      <c r="H36" s="69" t="s">
        <v>382</v>
      </c>
      <c r="I36" s="69" t="s">
        <v>357</v>
      </c>
      <c r="J36" s="58">
        <v>45488</v>
      </c>
      <c r="K36" s="108" t="s">
        <v>1391</v>
      </c>
      <c r="L36" s="117">
        <v>79502587842</v>
      </c>
      <c r="M36" s="66" t="s">
        <v>1392</v>
      </c>
      <c r="N36" s="341"/>
      <c r="O36" s="56"/>
      <c r="P36" s="56"/>
      <c r="Q36" s="60">
        <v>4800</v>
      </c>
      <c r="R36" s="56" t="s">
        <v>387</v>
      </c>
      <c r="S36" s="100">
        <v>99800</v>
      </c>
      <c r="T36" s="65">
        <f t="shared" si="1"/>
        <v>479040</v>
      </c>
    </row>
    <row r="37" spans="1:20" s="67" customFormat="1" x14ac:dyDescent="0.25">
      <c r="A37" s="69" t="s">
        <v>1393</v>
      </c>
      <c r="B37" s="60" t="s">
        <v>460</v>
      </c>
      <c r="C37" s="60" t="s">
        <v>381</v>
      </c>
      <c r="D37" s="11" t="s">
        <v>287</v>
      </c>
      <c r="E37" s="59" t="s">
        <v>955</v>
      </c>
      <c r="F37" s="60">
        <v>10000</v>
      </c>
      <c r="G37" s="69">
        <v>400</v>
      </c>
      <c r="H37" s="69" t="s">
        <v>382</v>
      </c>
      <c r="I37" s="69" t="s">
        <v>357</v>
      </c>
      <c r="J37" s="58">
        <v>45488</v>
      </c>
      <c r="K37" s="108" t="s">
        <v>1391</v>
      </c>
      <c r="L37" s="117">
        <v>79502587842</v>
      </c>
      <c r="M37" s="66" t="s">
        <v>1392</v>
      </c>
      <c r="N37" s="341"/>
      <c r="O37" s="60">
        <v>10000</v>
      </c>
      <c r="P37" s="56"/>
      <c r="Q37" s="60"/>
      <c r="R37" s="56" t="s">
        <v>387</v>
      </c>
      <c r="S37" s="100">
        <v>40700</v>
      </c>
      <c r="T37" s="65">
        <f t="shared" si="1"/>
        <v>407000</v>
      </c>
    </row>
    <row r="38" spans="1:20" s="67" customFormat="1" x14ac:dyDescent="0.25">
      <c r="A38" s="69" t="s">
        <v>1366</v>
      </c>
      <c r="B38" s="60" t="s">
        <v>820</v>
      </c>
      <c r="C38" s="60" t="s">
        <v>1323</v>
      </c>
      <c r="D38" s="11" t="s">
        <v>287</v>
      </c>
      <c r="E38" s="59" t="s">
        <v>955</v>
      </c>
      <c r="F38" s="60">
        <v>20000</v>
      </c>
      <c r="G38" s="69">
        <v>800</v>
      </c>
      <c r="H38" s="69" t="s">
        <v>424</v>
      </c>
      <c r="I38" s="69" t="s">
        <v>357</v>
      </c>
      <c r="J38" s="58">
        <v>45489</v>
      </c>
      <c r="K38" s="108" t="s">
        <v>1403</v>
      </c>
      <c r="L38" s="117" t="s">
        <v>1404</v>
      </c>
      <c r="M38" s="66" t="s">
        <v>1405</v>
      </c>
      <c r="N38" s="341"/>
      <c r="O38" s="60">
        <v>20000</v>
      </c>
      <c r="P38" s="56"/>
      <c r="Q38" s="60"/>
      <c r="R38" s="56" t="s">
        <v>387</v>
      </c>
      <c r="S38" s="100">
        <v>40700</v>
      </c>
      <c r="T38" s="65">
        <f t="shared" si="1"/>
        <v>814000</v>
      </c>
    </row>
    <row r="39" spans="1:20" s="67" customFormat="1" x14ac:dyDescent="0.25">
      <c r="A39" s="69" t="s">
        <v>1010</v>
      </c>
      <c r="B39" s="60" t="s">
        <v>1399</v>
      </c>
      <c r="C39" s="60" t="s">
        <v>165</v>
      </c>
      <c r="D39" s="98" t="s">
        <v>897</v>
      </c>
      <c r="E39" s="64" t="s">
        <v>1385</v>
      </c>
      <c r="F39" s="97">
        <f>G39*200</f>
        <v>3600</v>
      </c>
      <c r="G39" s="69">
        <v>18</v>
      </c>
      <c r="H39" s="69" t="s">
        <v>681</v>
      </c>
      <c r="I39" s="69" t="s">
        <v>357</v>
      </c>
      <c r="J39" s="58">
        <v>45490</v>
      </c>
      <c r="K39" s="105" t="s">
        <v>1412</v>
      </c>
      <c r="L39" s="123">
        <v>79049490036</v>
      </c>
      <c r="M39" s="105" t="s">
        <v>1413</v>
      </c>
      <c r="N39" s="366"/>
      <c r="O39" s="56"/>
      <c r="P39" s="60"/>
      <c r="Q39" s="97">
        <v>3600</v>
      </c>
      <c r="R39" s="56" t="s">
        <v>387</v>
      </c>
      <c r="S39" s="100">
        <v>79000</v>
      </c>
      <c r="T39" s="65">
        <f t="shared" si="1"/>
        <v>284400</v>
      </c>
    </row>
    <row r="40" spans="1:20" s="67" customFormat="1" x14ac:dyDescent="0.25">
      <c r="A40" s="69" t="s">
        <v>1010</v>
      </c>
      <c r="B40" s="60" t="s">
        <v>1399</v>
      </c>
      <c r="C40" s="60" t="s">
        <v>165</v>
      </c>
      <c r="D40" s="98" t="s">
        <v>897</v>
      </c>
      <c r="E40" s="64" t="s">
        <v>1394</v>
      </c>
      <c r="F40" s="97">
        <f>G40*200</f>
        <v>6800</v>
      </c>
      <c r="G40" s="69">
        <v>34</v>
      </c>
      <c r="H40" s="69" t="s">
        <v>681</v>
      </c>
      <c r="I40" s="69" t="s">
        <v>357</v>
      </c>
      <c r="J40" s="58">
        <v>45490</v>
      </c>
      <c r="K40" s="105" t="s">
        <v>1412</v>
      </c>
      <c r="L40" s="123">
        <v>79049490036</v>
      </c>
      <c r="M40" s="105" t="s">
        <v>1413</v>
      </c>
      <c r="N40" s="366"/>
      <c r="O40" s="56"/>
      <c r="P40" s="60"/>
      <c r="Q40" s="97">
        <v>6800</v>
      </c>
      <c r="R40" s="56" t="s">
        <v>387</v>
      </c>
      <c r="S40" s="100">
        <v>79000</v>
      </c>
      <c r="T40" s="65">
        <f t="shared" si="1"/>
        <v>537200</v>
      </c>
    </row>
    <row r="41" spans="1:20" s="67" customFormat="1" x14ac:dyDescent="0.25">
      <c r="A41" s="69" t="s">
        <v>1010</v>
      </c>
      <c r="B41" s="60" t="s">
        <v>1399</v>
      </c>
      <c r="C41" s="60" t="s">
        <v>165</v>
      </c>
      <c r="D41" s="98" t="s">
        <v>897</v>
      </c>
      <c r="E41" s="64" t="s">
        <v>1395</v>
      </c>
      <c r="F41" s="97">
        <f>G41*200</f>
        <v>7200</v>
      </c>
      <c r="G41" s="69">
        <v>36</v>
      </c>
      <c r="H41" s="69" t="s">
        <v>681</v>
      </c>
      <c r="I41" s="69" t="s">
        <v>357</v>
      </c>
      <c r="J41" s="58">
        <v>45490</v>
      </c>
      <c r="K41" s="105" t="s">
        <v>1412</v>
      </c>
      <c r="L41" s="123">
        <v>79049490036</v>
      </c>
      <c r="M41" s="105" t="s">
        <v>1413</v>
      </c>
      <c r="N41" s="366"/>
      <c r="O41" s="56"/>
      <c r="P41" s="60"/>
      <c r="Q41" s="97">
        <v>7200</v>
      </c>
      <c r="R41" s="56" t="s">
        <v>387</v>
      </c>
      <c r="S41" s="100">
        <v>79000</v>
      </c>
      <c r="T41" s="65">
        <f t="shared" si="1"/>
        <v>568800</v>
      </c>
    </row>
    <row r="42" spans="1:20" s="67" customFormat="1" x14ac:dyDescent="0.25">
      <c r="A42" s="69" t="s">
        <v>1388</v>
      </c>
      <c r="B42" s="60" t="s">
        <v>1379</v>
      </c>
      <c r="C42" s="60" t="s">
        <v>373</v>
      </c>
      <c r="D42" s="98" t="s">
        <v>285</v>
      </c>
      <c r="E42" s="59" t="s">
        <v>1125</v>
      </c>
      <c r="F42" s="97">
        <v>7000</v>
      </c>
      <c r="G42" s="69">
        <v>280</v>
      </c>
      <c r="H42" s="69" t="s">
        <v>1375</v>
      </c>
      <c r="I42" s="69" t="s">
        <v>357</v>
      </c>
      <c r="J42" s="58">
        <v>45491</v>
      </c>
      <c r="K42" s="105" t="s">
        <v>1417</v>
      </c>
      <c r="L42" s="123">
        <v>89048812556</v>
      </c>
      <c r="M42" s="105" t="s">
        <v>1418</v>
      </c>
      <c r="N42" s="169"/>
      <c r="O42" s="56">
        <v>7000</v>
      </c>
      <c r="P42" s="60"/>
      <c r="Q42" s="97"/>
      <c r="R42" s="56" t="s">
        <v>387</v>
      </c>
      <c r="S42" s="100">
        <v>40700</v>
      </c>
      <c r="T42" s="65">
        <f t="shared" si="1"/>
        <v>284900</v>
      </c>
    </row>
    <row r="43" spans="1:20" s="67" customFormat="1" x14ac:dyDescent="0.25">
      <c r="A43" s="69" t="s">
        <v>1388</v>
      </c>
      <c r="B43" s="60" t="s">
        <v>1379</v>
      </c>
      <c r="C43" s="60" t="s">
        <v>373</v>
      </c>
      <c r="D43" s="98" t="s">
        <v>286</v>
      </c>
      <c r="E43" s="59" t="s">
        <v>1259</v>
      </c>
      <c r="F43" s="97">
        <v>13000</v>
      </c>
      <c r="G43" s="69">
        <v>520</v>
      </c>
      <c r="H43" s="69" t="s">
        <v>1375</v>
      </c>
      <c r="I43" s="69" t="s">
        <v>357</v>
      </c>
      <c r="J43" s="58">
        <v>45491</v>
      </c>
      <c r="K43" s="105" t="s">
        <v>1417</v>
      </c>
      <c r="L43" s="123">
        <v>89048812556</v>
      </c>
      <c r="M43" s="105" t="s">
        <v>1418</v>
      </c>
      <c r="N43" s="169"/>
      <c r="O43" s="56"/>
      <c r="P43" s="60">
        <v>13000</v>
      </c>
      <c r="Q43" s="97"/>
      <c r="R43" s="56" t="s">
        <v>387</v>
      </c>
      <c r="S43" s="100">
        <v>246500</v>
      </c>
      <c r="T43" s="65">
        <f t="shared" si="1"/>
        <v>3204500</v>
      </c>
    </row>
    <row r="44" spans="1:20" s="67" customFormat="1" x14ac:dyDescent="0.25">
      <c r="A44" s="69" t="s">
        <v>1414</v>
      </c>
      <c r="B44" s="60" t="s">
        <v>1389</v>
      </c>
      <c r="C44" s="60" t="s">
        <v>373</v>
      </c>
      <c r="D44" s="98" t="s">
        <v>287</v>
      </c>
      <c r="E44" s="59" t="s">
        <v>977</v>
      </c>
      <c r="F44" s="97">
        <v>20000</v>
      </c>
      <c r="G44" s="69">
        <v>800</v>
      </c>
      <c r="H44" s="69" t="s">
        <v>983</v>
      </c>
      <c r="I44" s="69" t="s">
        <v>357</v>
      </c>
      <c r="J44" s="58">
        <v>45491</v>
      </c>
      <c r="K44" s="105" t="s">
        <v>1419</v>
      </c>
      <c r="L44" s="123">
        <v>89200499576</v>
      </c>
      <c r="M44" s="105" t="s">
        <v>1420</v>
      </c>
      <c r="N44" s="169"/>
      <c r="O44" s="56">
        <v>20000</v>
      </c>
      <c r="P44" s="60"/>
      <c r="Q44" s="97"/>
      <c r="R44" s="56" t="s">
        <v>387</v>
      </c>
      <c r="S44" s="100">
        <v>40700</v>
      </c>
      <c r="T44" s="65">
        <f t="shared" si="1"/>
        <v>814000</v>
      </c>
    </row>
    <row r="45" spans="1:20" s="67" customFormat="1" x14ac:dyDescent="0.25">
      <c r="A45" s="69" t="s">
        <v>1066</v>
      </c>
      <c r="B45" s="60" t="s">
        <v>1318</v>
      </c>
      <c r="C45" s="60" t="s">
        <v>165</v>
      </c>
      <c r="D45" s="98" t="s">
        <v>206</v>
      </c>
      <c r="E45" s="59" t="s">
        <v>1358</v>
      </c>
      <c r="F45" s="97">
        <v>7400</v>
      </c>
      <c r="G45" s="69">
        <v>40</v>
      </c>
      <c r="H45" s="69" t="s">
        <v>172</v>
      </c>
      <c r="I45" s="69" t="s">
        <v>357</v>
      </c>
      <c r="J45" s="58">
        <v>45492</v>
      </c>
      <c r="K45" s="105"/>
      <c r="L45" s="123"/>
      <c r="M45" s="105"/>
      <c r="N45" s="360" t="s">
        <v>1449</v>
      </c>
      <c r="O45" s="56"/>
      <c r="P45" s="60"/>
      <c r="Q45" s="97">
        <f>F45</f>
        <v>7400</v>
      </c>
      <c r="R45" s="56" t="s">
        <v>387</v>
      </c>
      <c r="S45" s="100">
        <v>110800</v>
      </c>
      <c r="T45" s="65">
        <f t="shared" si="1"/>
        <v>819920</v>
      </c>
    </row>
    <row r="46" spans="1:20" s="67" customFormat="1" x14ac:dyDescent="0.25">
      <c r="A46" s="69" t="s">
        <v>1066</v>
      </c>
      <c r="B46" s="60" t="s">
        <v>1318</v>
      </c>
      <c r="C46" s="60" t="s">
        <v>165</v>
      </c>
      <c r="D46" s="98" t="s">
        <v>206</v>
      </c>
      <c r="E46" s="59" t="s">
        <v>1400</v>
      </c>
      <c r="F46" s="97">
        <v>7400</v>
      </c>
      <c r="G46" s="69">
        <v>40</v>
      </c>
      <c r="H46" s="69" t="s">
        <v>172</v>
      </c>
      <c r="I46" s="69" t="s">
        <v>357</v>
      </c>
      <c r="J46" s="58">
        <v>45492</v>
      </c>
      <c r="K46" s="105"/>
      <c r="L46" s="123"/>
      <c r="M46" s="105"/>
      <c r="N46" s="360" t="s">
        <v>1449</v>
      </c>
      <c r="O46" s="56"/>
      <c r="P46" s="60"/>
      <c r="Q46" s="97">
        <f>F46</f>
        <v>7400</v>
      </c>
      <c r="R46" s="56" t="s">
        <v>387</v>
      </c>
      <c r="S46" s="100">
        <v>110800</v>
      </c>
      <c r="T46" s="65">
        <f t="shared" si="1"/>
        <v>819920</v>
      </c>
    </row>
    <row r="47" spans="1:20" s="67" customFormat="1" x14ac:dyDescent="0.25">
      <c r="A47" s="69" t="s">
        <v>1066</v>
      </c>
      <c r="B47" s="60" t="s">
        <v>1318</v>
      </c>
      <c r="C47" s="60" t="s">
        <v>165</v>
      </c>
      <c r="D47" s="98" t="s">
        <v>206</v>
      </c>
      <c r="E47" s="59" t="s">
        <v>1359</v>
      </c>
      <c r="F47" s="97">
        <v>7400</v>
      </c>
      <c r="G47" s="69">
        <v>40</v>
      </c>
      <c r="H47" s="69" t="s">
        <v>172</v>
      </c>
      <c r="I47" s="69" t="s">
        <v>357</v>
      </c>
      <c r="J47" s="58">
        <v>45492</v>
      </c>
      <c r="K47" s="105"/>
      <c r="L47" s="123"/>
      <c r="M47" s="105"/>
      <c r="N47" s="360" t="s">
        <v>1450</v>
      </c>
      <c r="O47" s="56"/>
      <c r="P47" s="60"/>
      <c r="Q47" s="97">
        <f>F47</f>
        <v>7400</v>
      </c>
      <c r="R47" s="56" t="s">
        <v>387</v>
      </c>
      <c r="S47" s="100">
        <v>110800</v>
      </c>
      <c r="T47" s="65">
        <f t="shared" si="1"/>
        <v>819920</v>
      </c>
    </row>
    <row r="48" spans="1:20" s="67" customFormat="1" x14ac:dyDescent="0.25">
      <c r="A48" s="69" t="s">
        <v>1066</v>
      </c>
      <c r="B48" s="60" t="s">
        <v>1318</v>
      </c>
      <c r="C48" s="60" t="s">
        <v>165</v>
      </c>
      <c r="D48" s="98" t="s">
        <v>206</v>
      </c>
      <c r="E48" s="59" t="s">
        <v>1401</v>
      </c>
      <c r="F48" s="97">
        <v>7400</v>
      </c>
      <c r="G48" s="69">
        <v>40</v>
      </c>
      <c r="H48" s="69" t="s">
        <v>172</v>
      </c>
      <c r="I48" s="69" t="s">
        <v>357</v>
      </c>
      <c r="J48" s="58">
        <v>45492</v>
      </c>
      <c r="K48" s="105"/>
      <c r="L48" s="123"/>
      <c r="M48" s="105"/>
      <c r="N48" s="360" t="s">
        <v>1450</v>
      </c>
      <c r="O48" s="56"/>
      <c r="P48" s="60"/>
      <c r="Q48" s="97">
        <f>F48</f>
        <v>7400</v>
      </c>
      <c r="R48" s="56" t="s">
        <v>387</v>
      </c>
      <c r="S48" s="100">
        <v>110800</v>
      </c>
      <c r="T48" s="65">
        <f t="shared" si="1"/>
        <v>819920</v>
      </c>
    </row>
    <row r="49" spans="1:20" s="67" customFormat="1" x14ac:dyDescent="0.25">
      <c r="A49" s="69" t="s">
        <v>1442</v>
      </c>
      <c r="B49" s="60" t="s">
        <v>1443</v>
      </c>
      <c r="C49" s="60" t="s">
        <v>1444</v>
      </c>
      <c r="D49" s="98" t="s">
        <v>279</v>
      </c>
      <c r="E49" s="59" t="s">
        <v>978</v>
      </c>
      <c r="F49" s="97">
        <v>20000</v>
      </c>
      <c r="G49" s="69">
        <v>800</v>
      </c>
      <c r="H49" s="69" t="s">
        <v>1445</v>
      </c>
      <c r="I49" s="69" t="s">
        <v>357</v>
      </c>
      <c r="J49" s="58">
        <v>45495</v>
      </c>
      <c r="K49" s="105" t="s">
        <v>1448</v>
      </c>
      <c r="L49" s="123" t="s">
        <v>1447</v>
      </c>
      <c r="M49" s="105" t="s">
        <v>1446</v>
      </c>
      <c r="N49" s="169"/>
      <c r="O49" s="56">
        <v>20000</v>
      </c>
      <c r="P49" s="60"/>
      <c r="Q49" s="97"/>
      <c r="R49" s="56" t="s">
        <v>387</v>
      </c>
      <c r="S49" s="100">
        <v>45000</v>
      </c>
      <c r="T49" s="65">
        <f t="shared" ref="T49:T70" si="2" xml:space="preserve"> S49*(F49/1000)</f>
        <v>900000</v>
      </c>
    </row>
    <row r="50" spans="1:20" s="67" customFormat="1" x14ac:dyDescent="0.25">
      <c r="A50" s="69" t="s">
        <v>1393</v>
      </c>
      <c r="B50" s="60" t="s">
        <v>1426</v>
      </c>
      <c r="C50" s="60" t="s">
        <v>1427</v>
      </c>
      <c r="D50" s="98" t="s">
        <v>199</v>
      </c>
      <c r="E50" s="59" t="s">
        <v>1395</v>
      </c>
      <c r="F50" s="97">
        <v>10080</v>
      </c>
      <c r="G50" s="69">
        <v>56</v>
      </c>
      <c r="H50" s="69" t="s">
        <v>424</v>
      </c>
      <c r="I50" s="69" t="s">
        <v>357</v>
      </c>
      <c r="J50" s="58">
        <v>45496</v>
      </c>
      <c r="K50" s="105" t="s">
        <v>1432</v>
      </c>
      <c r="L50" s="123">
        <v>89115571770</v>
      </c>
      <c r="M50" s="105" t="s">
        <v>1431</v>
      </c>
      <c r="N50" s="169"/>
      <c r="O50" s="56"/>
      <c r="P50" s="60"/>
      <c r="Q50" s="97">
        <v>10080</v>
      </c>
      <c r="R50" s="56" t="s">
        <v>387</v>
      </c>
      <c r="S50" s="100">
        <v>123000</v>
      </c>
      <c r="T50" s="65">
        <f t="shared" si="2"/>
        <v>1239840</v>
      </c>
    </row>
    <row r="51" spans="1:20" s="67" customFormat="1" x14ac:dyDescent="0.25">
      <c r="A51" s="69" t="s">
        <v>1393</v>
      </c>
      <c r="B51" s="60" t="s">
        <v>1426</v>
      </c>
      <c r="C51" s="60" t="s">
        <v>1427</v>
      </c>
      <c r="D51" s="98" t="s">
        <v>193</v>
      </c>
      <c r="E51" s="59" t="s">
        <v>1424</v>
      </c>
      <c r="F51" s="97">
        <v>2880</v>
      </c>
      <c r="G51" s="69">
        <f>F51/180</f>
        <v>16</v>
      </c>
      <c r="H51" s="69" t="s">
        <v>424</v>
      </c>
      <c r="I51" s="69" t="s">
        <v>357</v>
      </c>
      <c r="J51" s="58">
        <v>45496</v>
      </c>
      <c r="K51" s="105" t="s">
        <v>1432</v>
      </c>
      <c r="L51" s="123">
        <v>89115571770</v>
      </c>
      <c r="M51" s="105" t="s">
        <v>1431</v>
      </c>
      <c r="N51" s="169"/>
      <c r="O51" s="56"/>
      <c r="P51" s="60"/>
      <c r="Q51" s="97">
        <v>2880</v>
      </c>
      <c r="R51" s="56" t="s">
        <v>387</v>
      </c>
      <c r="S51" s="100">
        <v>165000</v>
      </c>
      <c r="T51" s="65">
        <f t="shared" si="2"/>
        <v>475200</v>
      </c>
    </row>
    <row r="52" spans="1:20" s="67" customFormat="1" x14ac:dyDescent="0.25">
      <c r="A52" s="69" t="s">
        <v>1393</v>
      </c>
      <c r="B52" s="60" t="s">
        <v>1426</v>
      </c>
      <c r="C52" s="60" t="s">
        <v>1427</v>
      </c>
      <c r="D52" s="98" t="s">
        <v>298</v>
      </c>
      <c r="E52" s="59" t="s">
        <v>1359</v>
      </c>
      <c r="F52" s="97">
        <v>2880</v>
      </c>
      <c r="G52" s="69">
        <v>160</v>
      </c>
      <c r="H52" s="69" t="s">
        <v>424</v>
      </c>
      <c r="I52" s="69" t="s">
        <v>357</v>
      </c>
      <c r="J52" s="58">
        <v>45496</v>
      </c>
      <c r="K52" s="105" t="s">
        <v>1432</v>
      </c>
      <c r="L52" s="123">
        <v>89115571770</v>
      </c>
      <c r="M52" s="105" t="s">
        <v>1431</v>
      </c>
      <c r="N52" s="169"/>
      <c r="O52" s="56"/>
      <c r="P52" s="97">
        <v>2880</v>
      </c>
      <c r="Q52" s="97"/>
      <c r="R52" s="56" t="s">
        <v>387</v>
      </c>
      <c r="S52" s="100">
        <v>210000</v>
      </c>
      <c r="T52" s="65">
        <f t="shared" si="2"/>
        <v>604800</v>
      </c>
    </row>
    <row r="53" spans="1:20" s="67" customFormat="1" x14ac:dyDescent="0.25">
      <c r="A53" s="69" t="s">
        <v>1393</v>
      </c>
      <c r="B53" s="60" t="s">
        <v>1428</v>
      </c>
      <c r="C53" s="60" t="s">
        <v>1427</v>
      </c>
      <c r="D53" s="98" t="s">
        <v>199</v>
      </c>
      <c r="E53" s="59" t="s">
        <v>1395</v>
      </c>
      <c r="F53" s="97">
        <v>14040</v>
      </c>
      <c r="G53" s="69">
        <f>F53/180</f>
        <v>78</v>
      </c>
      <c r="H53" s="69" t="s">
        <v>655</v>
      </c>
      <c r="I53" s="69" t="s">
        <v>357</v>
      </c>
      <c r="J53" s="58">
        <v>45496</v>
      </c>
      <c r="K53" s="105" t="s">
        <v>1430</v>
      </c>
      <c r="L53" s="123">
        <v>89502598378</v>
      </c>
      <c r="M53" s="105" t="s">
        <v>1429</v>
      </c>
      <c r="N53" s="169"/>
      <c r="O53" s="56"/>
      <c r="P53" s="60"/>
      <c r="Q53" s="97">
        <v>14040</v>
      </c>
      <c r="R53" s="56" t="s">
        <v>387</v>
      </c>
      <c r="S53" s="100">
        <v>123000</v>
      </c>
      <c r="T53" s="65">
        <f t="shared" si="2"/>
        <v>1726920</v>
      </c>
    </row>
    <row r="54" spans="1:20" s="67" customFormat="1" x14ac:dyDescent="0.25">
      <c r="A54" s="69" t="s">
        <v>1393</v>
      </c>
      <c r="B54" s="60" t="s">
        <v>1428</v>
      </c>
      <c r="C54" s="60" t="s">
        <v>1427</v>
      </c>
      <c r="D54" s="98" t="s">
        <v>193</v>
      </c>
      <c r="E54" s="59" t="s">
        <v>1424</v>
      </c>
      <c r="F54" s="97">
        <v>1800</v>
      </c>
      <c r="G54" s="69">
        <f>F54/180</f>
        <v>10</v>
      </c>
      <c r="H54" s="69" t="s">
        <v>655</v>
      </c>
      <c r="I54" s="69" t="s">
        <v>357</v>
      </c>
      <c r="J54" s="58">
        <v>45496</v>
      </c>
      <c r="K54" s="105" t="s">
        <v>1430</v>
      </c>
      <c r="L54" s="123">
        <v>89502598378</v>
      </c>
      <c r="M54" s="105" t="s">
        <v>1429</v>
      </c>
      <c r="N54" s="169"/>
      <c r="O54" s="56"/>
      <c r="P54" s="60"/>
      <c r="Q54" s="97">
        <v>1800</v>
      </c>
      <c r="R54" s="56" t="s">
        <v>387</v>
      </c>
      <c r="S54" s="100">
        <v>165000</v>
      </c>
      <c r="T54" s="65">
        <f t="shared" si="2"/>
        <v>297000</v>
      </c>
    </row>
    <row r="55" spans="1:20" s="67" customFormat="1" x14ac:dyDescent="0.25">
      <c r="A55" s="69" t="s">
        <v>1066</v>
      </c>
      <c r="B55" s="60" t="s">
        <v>1356</v>
      </c>
      <c r="C55" s="60" t="s">
        <v>165</v>
      </c>
      <c r="D55" s="11" t="s">
        <v>1097</v>
      </c>
      <c r="E55" s="59" t="s">
        <v>1338</v>
      </c>
      <c r="F55" s="60">
        <v>17500</v>
      </c>
      <c r="G55" s="69">
        <v>700</v>
      </c>
      <c r="H55" s="59" t="s">
        <v>169</v>
      </c>
      <c r="I55" s="69" t="s">
        <v>357</v>
      </c>
      <c r="J55" s="58">
        <v>45496</v>
      </c>
      <c r="K55" s="108"/>
      <c r="L55" s="117"/>
      <c r="M55" s="66"/>
      <c r="N55" s="341" t="s">
        <v>1459</v>
      </c>
      <c r="O55" s="60">
        <v>17500</v>
      </c>
      <c r="P55" s="56"/>
      <c r="Q55" s="60"/>
      <c r="R55" s="56" t="s">
        <v>387</v>
      </c>
      <c r="S55" s="100">
        <v>49500</v>
      </c>
      <c r="T55" s="65">
        <f t="shared" si="2"/>
        <v>866250</v>
      </c>
    </row>
    <row r="56" spans="1:20" s="67" customFormat="1" x14ac:dyDescent="0.25">
      <c r="A56" s="69" t="s">
        <v>1066</v>
      </c>
      <c r="B56" s="60" t="s">
        <v>1360</v>
      </c>
      <c r="C56" s="60" t="s">
        <v>165</v>
      </c>
      <c r="D56" s="11" t="s">
        <v>1097</v>
      </c>
      <c r="E56" s="59" t="s">
        <v>1358</v>
      </c>
      <c r="F56" s="60">
        <v>17500</v>
      </c>
      <c r="G56" s="69">
        <v>700</v>
      </c>
      <c r="H56" s="59" t="s">
        <v>169</v>
      </c>
      <c r="I56" s="69" t="s">
        <v>357</v>
      </c>
      <c r="J56" s="58">
        <v>45496</v>
      </c>
      <c r="K56" s="108"/>
      <c r="L56" s="117"/>
      <c r="M56" s="66"/>
      <c r="N56" s="341" t="s">
        <v>1460</v>
      </c>
      <c r="O56" s="60">
        <v>17500</v>
      </c>
      <c r="P56" s="56"/>
      <c r="Q56" s="60"/>
      <c r="R56" s="56" t="s">
        <v>387</v>
      </c>
      <c r="S56" s="100">
        <v>49500</v>
      </c>
      <c r="T56" s="65">
        <f t="shared" si="2"/>
        <v>866250</v>
      </c>
    </row>
    <row r="57" spans="1:20" s="67" customFormat="1" x14ac:dyDescent="0.25">
      <c r="A57" s="69" t="s">
        <v>1066</v>
      </c>
      <c r="B57" s="60" t="s">
        <v>1386</v>
      </c>
      <c r="C57" s="60" t="s">
        <v>165</v>
      </c>
      <c r="D57" s="11" t="s">
        <v>1097</v>
      </c>
      <c r="E57" s="59" t="s">
        <v>1394</v>
      </c>
      <c r="F57" s="60">
        <v>17500</v>
      </c>
      <c r="G57" s="69">
        <v>700</v>
      </c>
      <c r="H57" s="59" t="s">
        <v>169</v>
      </c>
      <c r="I57" s="69" t="s">
        <v>357</v>
      </c>
      <c r="J57" s="58">
        <v>45496</v>
      </c>
      <c r="K57" s="108"/>
      <c r="L57" s="117"/>
      <c r="M57" s="66"/>
      <c r="N57" s="341" t="s">
        <v>1461</v>
      </c>
      <c r="O57" s="60">
        <v>17500</v>
      </c>
      <c r="P57" s="56"/>
      <c r="Q57" s="60"/>
      <c r="R57" s="56" t="s">
        <v>387</v>
      </c>
      <c r="S57" s="100">
        <v>49500</v>
      </c>
      <c r="T57" s="65">
        <f t="shared" si="2"/>
        <v>866250</v>
      </c>
    </row>
    <row r="58" spans="1:20" s="67" customFormat="1" x14ac:dyDescent="0.25">
      <c r="A58" s="69" t="s">
        <v>1066</v>
      </c>
      <c r="B58" s="60" t="s">
        <v>1387</v>
      </c>
      <c r="C58" s="60" t="s">
        <v>165</v>
      </c>
      <c r="D58" s="11" t="s">
        <v>1097</v>
      </c>
      <c r="E58" s="59" t="s">
        <v>1400</v>
      </c>
      <c r="F58" s="60">
        <v>17500</v>
      </c>
      <c r="G58" s="69">
        <v>700</v>
      </c>
      <c r="H58" s="59" t="s">
        <v>169</v>
      </c>
      <c r="I58" s="69" t="s">
        <v>357</v>
      </c>
      <c r="J58" s="58">
        <v>45496</v>
      </c>
      <c r="K58" s="108"/>
      <c r="L58" s="117"/>
      <c r="M58" s="66"/>
      <c r="N58" s="341" t="s">
        <v>1462</v>
      </c>
      <c r="O58" s="60">
        <v>17500</v>
      </c>
      <c r="P58" s="56"/>
      <c r="Q58" s="60"/>
      <c r="R58" s="56" t="s">
        <v>387</v>
      </c>
      <c r="S58" s="100">
        <v>49500</v>
      </c>
      <c r="T58" s="65">
        <f t="shared" si="2"/>
        <v>866250</v>
      </c>
    </row>
    <row r="59" spans="1:20" s="67" customFormat="1" x14ac:dyDescent="0.25">
      <c r="A59" s="69" t="s">
        <v>791</v>
      </c>
      <c r="B59" s="60" t="s">
        <v>469</v>
      </c>
      <c r="C59" s="60" t="s">
        <v>1439</v>
      </c>
      <c r="D59" s="11" t="s">
        <v>1441</v>
      </c>
      <c r="E59" s="59" t="s">
        <v>1422</v>
      </c>
      <c r="F59" s="97">
        <v>1000</v>
      </c>
      <c r="G59" s="69">
        <v>1</v>
      </c>
      <c r="H59" s="69" t="s">
        <v>1440</v>
      </c>
      <c r="I59" s="69" t="s">
        <v>357</v>
      </c>
      <c r="J59" s="58">
        <v>45497</v>
      </c>
      <c r="K59" s="105" t="s">
        <v>1469</v>
      </c>
      <c r="L59" s="123" t="s">
        <v>1468</v>
      </c>
      <c r="M59" s="105" t="s">
        <v>1467</v>
      </c>
      <c r="N59" s="169"/>
      <c r="O59" s="56"/>
      <c r="P59" s="60"/>
      <c r="Q59" s="97">
        <v>1000</v>
      </c>
      <c r="R59" s="56" t="s">
        <v>387</v>
      </c>
      <c r="S59" s="100">
        <v>199000</v>
      </c>
      <c r="T59" s="65">
        <f t="shared" si="2"/>
        <v>199000</v>
      </c>
    </row>
    <row r="60" spans="1:20" s="67" customFormat="1" x14ac:dyDescent="0.25">
      <c r="A60" s="69" t="s">
        <v>1045</v>
      </c>
      <c r="B60" s="60" t="s">
        <v>1436</v>
      </c>
      <c r="C60" s="60" t="s">
        <v>1437</v>
      </c>
      <c r="D60" s="98" t="s">
        <v>327</v>
      </c>
      <c r="E60" s="59" t="s">
        <v>1438</v>
      </c>
      <c r="F60" s="97">
        <v>1000</v>
      </c>
      <c r="G60" s="69">
        <v>5</v>
      </c>
      <c r="H60" s="69" t="s">
        <v>166</v>
      </c>
      <c r="I60" s="69" t="s">
        <v>357</v>
      </c>
      <c r="J60" s="58">
        <v>45497</v>
      </c>
      <c r="K60" s="105" t="s">
        <v>1465</v>
      </c>
      <c r="L60" s="123">
        <v>89024657056</v>
      </c>
      <c r="M60" s="105" t="s">
        <v>1466</v>
      </c>
      <c r="N60" s="169"/>
      <c r="O60" s="56"/>
      <c r="P60" s="60"/>
      <c r="Q60" s="97">
        <v>1000</v>
      </c>
      <c r="R60" s="56" t="s">
        <v>387</v>
      </c>
      <c r="S60" s="100">
        <v>235000</v>
      </c>
      <c r="T60" s="65">
        <f t="shared" si="2"/>
        <v>235000</v>
      </c>
    </row>
    <row r="61" spans="1:20" s="56" customFormat="1" x14ac:dyDescent="0.25">
      <c r="A61" s="69" t="s">
        <v>1066</v>
      </c>
      <c r="B61" s="60" t="s">
        <v>1396</v>
      </c>
      <c r="C61" s="60" t="s">
        <v>165</v>
      </c>
      <c r="D61" s="11" t="s">
        <v>1097</v>
      </c>
      <c r="E61" s="59" t="s">
        <v>1332</v>
      </c>
      <c r="F61" s="60">
        <v>17500</v>
      </c>
      <c r="G61" s="69">
        <v>700</v>
      </c>
      <c r="H61" s="59" t="s">
        <v>169</v>
      </c>
      <c r="I61" s="69" t="s">
        <v>357</v>
      </c>
      <c r="J61" s="58">
        <v>45499</v>
      </c>
      <c r="K61" s="108"/>
      <c r="L61" s="117"/>
      <c r="M61" s="66"/>
      <c r="N61" s="341" t="s">
        <v>1474</v>
      </c>
      <c r="O61" s="60">
        <v>17500</v>
      </c>
      <c r="R61" s="56" t="s">
        <v>387</v>
      </c>
      <c r="S61" s="65">
        <v>49500</v>
      </c>
      <c r="T61" s="65">
        <f t="shared" si="2"/>
        <v>866250</v>
      </c>
    </row>
    <row r="62" spans="1:20" s="56" customFormat="1" x14ac:dyDescent="0.25">
      <c r="A62" s="69" t="s">
        <v>1066</v>
      </c>
      <c r="B62" s="60" t="s">
        <v>1415</v>
      </c>
      <c r="C62" s="60" t="s">
        <v>165</v>
      </c>
      <c r="D62" s="11" t="s">
        <v>1097</v>
      </c>
      <c r="E62" s="59" t="s">
        <v>1335</v>
      </c>
      <c r="F62" s="60">
        <v>17500</v>
      </c>
      <c r="G62" s="69">
        <v>700</v>
      </c>
      <c r="H62" s="59" t="s">
        <v>169</v>
      </c>
      <c r="I62" s="69" t="s">
        <v>357</v>
      </c>
      <c r="J62" s="58">
        <v>45499</v>
      </c>
      <c r="K62" s="108"/>
      <c r="L62" s="117"/>
      <c r="M62" s="66"/>
      <c r="N62" s="341" t="s">
        <v>1483</v>
      </c>
      <c r="O62" s="60">
        <v>17500</v>
      </c>
      <c r="R62" s="56" t="s">
        <v>387</v>
      </c>
      <c r="S62" s="65">
        <v>49500</v>
      </c>
      <c r="T62" s="65">
        <f t="shared" si="2"/>
        <v>866250</v>
      </c>
    </row>
    <row r="63" spans="1:20" s="67" customFormat="1" x14ac:dyDescent="0.25">
      <c r="A63" s="367" t="s">
        <v>843</v>
      </c>
      <c r="B63" s="60" t="s">
        <v>419</v>
      </c>
      <c r="C63" s="60" t="s">
        <v>1455</v>
      </c>
      <c r="D63" s="98" t="s">
        <v>1458</v>
      </c>
      <c r="E63" s="59" t="s">
        <v>1456</v>
      </c>
      <c r="F63" s="97">
        <v>8800</v>
      </c>
      <c r="G63" s="69">
        <v>44</v>
      </c>
      <c r="H63" s="69" t="s">
        <v>172</v>
      </c>
      <c r="I63" s="69" t="s">
        <v>357</v>
      </c>
      <c r="J63" s="58">
        <v>45499</v>
      </c>
      <c r="K63" s="105"/>
      <c r="L63" s="123"/>
      <c r="M63" s="105"/>
      <c r="N63" s="360" t="s">
        <v>1484</v>
      </c>
      <c r="O63" s="56"/>
      <c r="P63" s="60"/>
      <c r="Q63" s="97">
        <v>8800</v>
      </c>
      <c r="R63" s="56" t="s">
        <v>387</v>
      </c>
      <c r="S63" s="100">
        <v>85000</v>
      </c>
      <c r="T63" s="65">
        <f t="shared" si="2"/>
        <v>748000.00000000012</v>
      </c>
    </row>
    <row r="64" spans="1:20" s="67" customFormat="1" x14ac:dyDescent="0.25">
      <c r="A64" s="367" t="s">
        <v>843</v>
      </c>
      <c r="B64" s="60" t="s">
        <v>419</v>
      </c>
      <c r="C64" s="60" t="s">
        <v>1455</v>
      </c>
      <c r="D64" s="98" t="s">
        <v>1458</v>
      </c>
      <c r="E64" s="59" t="s">
        <v>1457</v>
      </c>
      <c r="F64" s="97">
        <v>7200</v>
      </c>
      <c r="G64" s="69">
        <v>36</v>
      </c>
      <c r="H64" s="69" t="s">
        <v>172</v>
      </c>
      <c r="I64" s="69" t="s">
        <v>357</v>
      </c>
      <c r="J64" s="58">
        <v>45499</v>
      </c>
      <c r="K64" s="105"/>
      <c r="L64" s="123"/>
      <c r="M64" s="105"/>
      <c r="N64" s="360" t="s">
        <v>1484</v>
      </c>
      <c r="O64" s="56"/>
      <c r="P64" s="60"/>
      <c r="Q64" s="97">
        <v>7200</v>
      </c>
      <c r="R64" s="56" t="s">
        <v>387</v>
      </c>
      <c r="S64" s="100">
        <v>85000</v>
      </c>
      <c r="T64" s="65">
        <f t="shared" si="2"/>
        <v>612000</v>
      </c>
    </row>
    <row r="65" spans="1:20" s="67" customFormat="1" x14ac:dyDescent="0.25">
      <c r="A65" s="69" t="s">
        <v>224</v>
      </c>
      <c r="B65" s="60" t="s">
        <v>183</v>
      </c>
      <c r="C65" s="60" t="s">
        <v>390</v>
      </c>
      <c r="D65" s="11" t="s">
        <v>316</v>
      </c>
      <c r="E65" s="59" t="s">
        <v>1438</v>
      </c>
      <c r="F65" s="60">
        <v>10000</v>
      </c>
      <c r="G65" s="69">
        <v>500</v>
      </c>
      <c r="H65" s="69" t="s">
        <v>1245</v>
      </c>
      <c r="I65" s="69" t="s">
        <v>357</v>
      </c>
      <c r="J65" s="58">
        <v>45502</v>
      </c>
      <c r="K65" s="108" t="s">
        <v>1473</v>
      </c>
      <c r="L65" s="117">
        <v>89227129679</v>
      </c>
      <c r="M65" s="66" t="s">
        <v>1472</v>
      </c>
      <c r="N65" s="341"/>
      <c r="O65" s="56"/>
      <c r="P65" s="60">
        <v>10000</v>
      </c>
      <c r="Q65" s="56"/>
      <c r="R65" s="56" t="s">
        <v>387</v>
      </c>
      <c r="S65" s="100">
        <v>83000</v>
      </c>
      <c r="T65" s="65">
        <f t="shared" si="2"/>
        <v>830000</v>
      </c>
    </row>
    <row r="66" spans="1:20" s="67" customFormat="1" x14ac:dyDescent="0.25">
      <c r="A66" s="69" t="s">
        <v>224</v>
      </c>
      <c r="B66" s="60" t="s">
        <v>183</v>
      </c>
      <c r="C66" s="60" t="s">
        <v>390</v>
      </c>
      <c r="D66" s="11" t="s">
        <v>319</v>
      </c>
      <c r="E66" s="59" t="s">
        <v>1422</v>
      </c>
      <c r="F66" s="60">
        <v>10000</v>
      </c>
      <c r="G66" s="69">
        <v>500</v>
      </c>
      <c r="H66" s="69" t="s">
        <v>1245</v>
      </c>
      <c r="I66" s="69" t="s">
        <v>357</v>
      </c>
      <c r="J66" s="58">
        <v>45502</v>
      </c>
      <c r="K66" s="108" t="s">
        <v>1473</v>
      </c>
      <c r="L66" s="117">
        <v>89227129679</v>
      </c>
      <c r="M66" s="66" t="s">
        <v>1472</v>
      </c>
      <c r="N66" s="341"/>
      <c r="O66" s="56"/>
      <c r="P66" s="60">
        <v>10000</v>
      </c>
      <c r="Q66" s="56"/>
      <c r="R66" s="56" t="s">
        <v>387</v>
      </c>
      <c r="S66" s="100">
        <v>77000</v>
      </c>
      <c r="T66" s="65">
        <f t="shared" si="2"/>
        <v>770000</v>
      </c>
    </row>
    <row r="67" spans="1:20" s="67" customFormat="1" x14ac:dyDescent="0.25">
      <c r="A67" s="69" t="s">
        <v>1470</v>
      </c>
      <c r="B67" s="60" t="s">
        <v>1471</v>
      </c>
      <c r="C67" s="60" t="s">
        <v>373</v>
      </c>
      <c r="D67" s="98" t="s">
        <v>287</v>
      </c>
      <c r="E67" s="59" t="s">
        <v>977</v>
      </c>
      <c r="F67" s="97">
        <v>20000</v>
      </c>
      <c r="G67" s="69">
        <v>800</v>
      </c>
      <c r="H67" s="69" t="s">
        <v>983</v>
      </c>
      <c r="I67" s="69" t="s">
        <v>357</v>
      </c>
      <c r="J67" s="58">
        <v>45503</v>
      </c>
      <c r="K67" s="105" t="s">
        <v>1475</v>
      </c>
      <c r="L67" s="123">
        <v>89296798641</v>
      </c>
      <c r="M67" s="105" t="s">
        <v>1030</v>
      </c>
      <c r="N67" s="169"/>
      <c r="O67" s="97">
        <v>20000</v>
      </c>
      <c r="P67" s="60"/>
      <c r="Q67" s="97"/>
      <c r="R67" s="56" t="s">
        <v>387</v>
      </c>
      <c r="S67" s="100">
        <v>40700</v>
      </c>
      <c r="T67" s="65">
        <f t="shared" si="2"/>
        <v>814000</v>
      </c>
    </row>
    <row r="68" spans="1:20" s="298" customFormat="1" x14ac:dyDescent="0.25">
      <c r="A68" s="69" t="s">
        <v>1066</v>
      </c>
      <c r="B68" s="60" t="s">
        <v>1416</v>
      </c>
      <c r="C68" s="60" t="s">
        <v>165</v>
      </c>
      <c r="D68" s="11" t="s">
        <v>1097</v>
      </c>
      <c r="E68" s="296" t="s">
        <v>1359</v>
      </c>
      <c r="F68" s="60">
        <v>17500</v>
      </c>
      <c r="G68" s="69">
        <v>700</v>
      </c>
      <c r="H68" s="59" t="s">
        <v>169</v>
      </c>
      <c r="I68" s="69" t="s">
        <v>357</v>
      </c>
      <c r="J68" s="58">
        <v>45503</v>
      </c>
      <c r="K68" s="108"/>
      <c r="L68" s="117"/>
      <c r="M68" s="66"/>
      <c r="N68" s="341" t="s">
        <v>1491</v>
      </c>
      <c r="O68" s="56">
        <v>17500</v>
      </c>
      <c r="P68" s="56"/>
      <c r="Q68" s="56"/>
      <c r="R68" s="225" t="s">
        <v>387</v>
      </c>
      <c r="S68" s="65">
        <v>49500</v>
      </c>
      <c r="T68" s="65">
        <f t="shared" si="2"/>
        <v>866250</v>
      </c>
    </row>
    <row r="69" spans="1:20" s="299" customFormat="1" x14ac:dyDescent="0.25">
      <c r="A69" s="368" t="s">
        <v>1066</v>
      </c>
      <c r="B69" s="315" t="s">
        <v>1423</v>
      </c>
      <c r="C69" s="315" t="s">
        <v>165</v>
      </c>
      <c r="D69" s="372" t="s">
        <v>1097</v>
      </c>
      <c r="E69" s="370" t="s">
        <v>1395</v>
      </c>
      <c r="F69" s="315">
        <v>17500</v>
      </c>
      <c r="G69" s="368">
        <v>700</v>
      </c>
      <c r="H69" s="371" t="s">
        <v>169</v>
      </c>
      <c r="I69" s="69" t="s">
        <v>357</v>
      </c>
      <c r="J69" s="58">
        <v>45503</v>
      </c>
      <c r="K69" s="369"/>
      <c r="L69" s="322"/>
      <c r="M69" s="323"/>
      <c r="N69" s="341" t="s">
        <v>1492</v>
      </c>
      <c r="O69" s="316">
        <v>17500</v>
      </c>
      <c r="P69" s="316"/>
      <c r="Q69" s="316"/>
      <c r="R69" s="225" t="s">
        <v>387</v>
      </c>
      <c r="S69" s="65">
        <v>49500</v>
      </c>
      <c r="T69" s="324">
        <f t="shared" si="2"/>
        <v>866250</v>
      </c>
    </row>
    <row r="70" spans="1:20" s="299" customFormat="1" x14ac:dyDescent="0.25">
      <c r="A70" s="69" t="s">
        <v>1066</v>
      </c>
      <c r="B70" s="60" t="s">
        <v>1433</v>
      </c>
      <c r="C70" s="60" t="s">
        <v>165</v>
      </c>
      <c r="D70" s="11" t="s">
        <v>1097</v>
      </c>
      <c r="E70" s="296" t="s">
        <v>1435</v>
      </c>
      <c r="F70" s="60">
        <v>17500</v>
      </c>
      <c r="G70" s="69">
        <v>700</v>
      </c>
      <c r="H70" s="59" t="s">
        <v>169</v>
      </c>
      <c r="I70" s="69" t="s">
        <v>357</v>
      </c>
      <c r="J70" s="58">
        <v>45503</v>
      </c>
      <c r="K70" s="108"/>
      <c r="L70" s="117"/>
      <c r="M70" s="66"/>
      <c r="N70" s="341" t="s">
        <v>1490</v>
      </c>
      <c r="O70" s="56">
        <v>17500</v>
      </c>
      <c r="P70" s="56"/>
      <c r="Q70" s="56"/>
      <c r="R70" s="225" t="s">
        <v>387</v>
      </c>
      <c r="S70" s="65">
        <v>49500</v>
      </c>
      <c r="T70" s="65">
        <f t="shared" si="2"/>
        <v>866250</v>
      </c>
    </row>
    <row r="71" spans="1:20" ht="18.75" x14ac:dyDescent="0.3">
      <c r="A71" s="126" t="s">
        <v>15</v>
      </c>
      <c r="B71" s="110">
        <f>SUM(F4:F70)/1000</f>
        <v>760.40499999999997</v>
      </c>
      <c r="C71" s="57" t="s">
        <v>14</v>
      </c>
      <c r="S71" s="102"/>
      <c r="T71" s="102">
        <f>SUM(T4:T70)</f>
        <v>54829627.5</v>
      </c>
    </row>
    <row r="72" spans="1:20" ht="18.75" x14ac:dyDescent="0.3">
      <c r="A72" s="127" t="s">
        <v>16</v>
      </c>
      <c r="B72" s="111">
        <f>B73+B74+B75</f>
        <v>760.40499999999997</v>
      </c>
      <c r="C72" s="1" t="s">
        <v>14</v>
      </c>
    </row>
    <row r="73" spans="1:20" ht="18.75" x14ac:dyDescent="0.3">
      <c r="A73" s="128" t="s">
        <v>17</v>
      </c>
      <c r="B73" s="109">
        <f>SUM(O4:O70)/1000</f>
        <v>462.125</v>
      </c>
      <c r="C73" s="2" t="s">
        <v>14</v>
      </c>
    </row>
    <row r="74" spans="1:20" ht="18.75" x14ac:dyDescent="0.3">
      <c r="A74" s="128" t="s">
        <v>154</v>
      </c>
      <c r="B74" s="109">
        <f>SUM(P4:P70)/1000</f>
        <v>37.880000000000003</v>
      </c>
      <c r="C74" s="2" t="s">
        <v>14</v>
      </c>
    </row>
    <row r="75" spans="1:20" ht="18.75" x14ac:dyDescent="0.3">
      <c r="A75" s="128" t="s">
        <v>24</v>
      </c>
      <c r="B75" s="112">
        <f>SUM(Q4:Q70)/1000</f>
        <v>260.39999999999998</v>
      </c>
      <c r="C75" s="2" t="s">
        <v>14</v>
      </c>
    </row>
    <row r="76" spans="1:20" ht="19.5" thickBot="1" x14ac:dyDescent="0.35">
      <c r="A76" s="129" t="s">
        <v>20</v>
      </c>
      <c r="B76" s="113">
        <f>B71-B72</f>
        <v>0</v>
      </c>
      <c r="C76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76" xr:uid="{00000000-0009-0000-0000-000005000000}"/>
  <mergeCells count="12"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28" type="noConversion"/>
  <dataValidations count="2">
    <dataValidation type="list" allowBlank="1" showInputMessage="1" showErrorMessage="1" sqref="D71" xr:uid="{00000000-0002-0000-0500-000000000000}">
      <formula1>$E$71:$E$87</formula1>
    </dataValidation>
    <dataValidation type="list" allowBlank="1" showInputMessage="1" showErrorMessage="1" sqref="D67:D70" xr:uid="{00000000-0002-0000-0500-000001000000}">
      <formula1>$E$2:$E$147</formula1>
    </dataValidation>
  </dataValidations>
  <pageMargins left="0.7" right="0.7" top="0.75" bottom="0.75" header="0.3" footer="0.3"/>
  <pageSetup paperSize="9" scale="32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2000000}">
          <x14:formula1>
            <xm:f>справочник!$E$2:$E$155</xm:f>
          </x14:formula1>
          <xm:sqref>D65:D66</xm:sqref>
        </x14:dataValidation>
        <x14:dataValidation type="list" allowBlank="1" showInputMessage="1" showErrorMessage="1" xr:uid="{00000000-0002-0000-0500-000003000000}">
          <x14:formula1>
            <xm:f>справочник!$E$2:$E$152</xm:f>
          </x14:formula1>
          <xm:sqref>D4:D64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79"/>
  <sheetViews>
    <sheetView zoomScale="70" zoomScaleNormal="70" zoomScaleSheetLayoutView="70" workbookViewId="0">
      <pane ySplit="3" topLeftCell="A10" activePane="bottomLeft" state="frozen"/>
      <selection pane="bottomLeft" activeCell="E63" sqref="E63"/>
    </sheetView>
  </sheetViews>
  <sheetFormatPr defaultRowHeight="15" x14ac:dyDescent="0.25"/>
  <cols>
    <col min="1" max="1" width="19.5703125" style="130" customWidth="1"/>
    <col min="2" max="2" width="28.5703125" bestFit="1" customWidth="1"/>
    <col min="3" max="3" width="24.7109375" customWidth="1"/>
    <col min="4" max="4" width="40.140625" bestFit="1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33.85546875" customWidth="1"/>
    <col min="10" max="10" width="16.42578125" customWidth="1"/>
    <col min="11" max="11" width="30.42578125" customWidth="1"/>
    <col min="12" max="12" width="25.5703125" customWidth="1"/>
    <col min="13" max="13" width="29.5703125" customWidth="1"/>
    <col min="14" max="14" width="21.42578125" style="343" customWidth="1"/>
    <col min="18" max="18" width="12.42578125" customWidth="1"/>
    <col min="19" max="19" width="25.1406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45444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55" t="s">
        <v>1</v>
      </c>
      <c r="G3" s="55" t="s">
        <v>156</v>
      </c>
      <c r="H3" s="453"/>
      <c r="I3" s="455"/>
      <c r="J3" s="457"/>
      <c r="K3" s="54" t="s">
        <v>8</v>
      </c>
      <c r="L3" s="54" t="s">
        <v>21</v>
      </c>
      <c r="M3" s="54" t="s">
        <v>10</v>
      </c>
      <c r="N3" s="122" t="s">
        <v>11</v>
      </c>
      <c r="O3" s="5" t="s">
        <v>13</v>
      </c>
      <c r="P3" s="5" t="s">
        <v>155</v>
      </c>
      <c r="Q3" s="124" t="s">
        <v>23</v>
      </c>
      <c r="R3" s="439"/>
      <c r="S3" s="68" t="s">
        <v>162</v>
      </c>
      <c r="T3" s="99" t="s">
        <v>163</v>
      </c>
    </row>
    <row r="4" spans="1:20" s="67" customFormat="1" x14ac:dyDescent="0.25">
      <c r="A4" s="69" t="s">
        <v>1066</v>
      </c>
      <c r="B4" s="60" t="s">
        <v>1179</v>
      </c>
      <c r="C4" s="60" t="s">
        <v>165</v>
      </c>
      <c r="D4" s="11" t="s">
        <v>1043</v>
      </c>
      <c r="E4" s="59" t="s">
        <v>1178</v>
      </c>
      <c r="F4" s="60">
        <v>17500</v>
      </c>
      <c r="G4" s="69">
        <v>700</v>
      </c>
      <c r="H4" s="69" t="s">
        <v>169</v>
      </c>
      <c r="I4" s="69" t="s">
        <v>357</v>
      </c>
      <c r="J4" s="58">
        <v>45446</v>
      </c>
      <c r="K4" s="108"/>
      <c r="L4" s="117"/>
      <c r="M4" s="66"/>
      <c r="N4" s="341" t="s">
        <v>1232</v>
      </c>
      <c r="O4" s="60">
        <v>17500</v>
      </c>
      <c r="P4" s="56"/>
      <c r="Q4" s="56"/>
      <c r="R4" s="56" t="s">
        <v>387</v>
      </c>
      <c r="S4" s="100">
        <v>49500</v>
      </c>
      <c r="T4" s="65">
        <f t="shared" ref="T4:T9" si="0" xml:space="preserve"> S4*(F4/1000)</f>
        <v>866250</v>
      </c>
    </row>
    <row r="5" spans="1:20" s="67" customFormat="1" x14ac:dyDescent="0.25">
      <c r="A5" s="69" t="s">
        <v>1066</v>
      </c>
      <c r="B5" s="60" t="s">
        <v>1180</v>
      </c>
      <c r="C5" s="60" t="s">
        <v>165</v>
      </c>
      <c r="D5" s="11" t="s">
        <v>1043</v>
      </c>
      <c r="E5" s="59" t="s">
        <v>1181</v>
      </c>
      <c r="F5" s="60">
        <v>17500</v>
      </c>
      <c r="G5" s="69">
        <v>700</v>
      </c>
      <c r="H5" s="69" t="s">
        <v>169</v>
      </c>
      <c r="I5" s="69" t="s">
        <v>357</v>
      </c>
      <c r="J5" s="58">
        <v>45446</v>
      </c>
      <c r="K5" s="108"/>
      <c r="L5" s="117"/>
      <c r="M5" s="66"/>
      <c r="N5" s="341" t="s">
        <v>1233</v>
      </c>
      <c r="O5" s="60">
        <v>17500</v>
      </c>
      <c r="P5" s="56"/>
      <c r="Q5" s="56"/>
      <c r="R5" s="56" t="s">
        <v>387</v>
      </c>
      <c r="S5" s="100">
        <v>49500</v>
      </c>
      <c r="T5" s="65">
        <f t="shared" si="0"/>
        <v>866250</v>
      </c>
    </row>
    <row r="6" spans="1:20" s="67" customFormat="1" x14ac:dyDescent="0.25">
      <c r="A6" s="69" t="s">
        <v>1066</v>
      </c>
      <c r="B6" s="60" t="s">
        <v>1182</v>
      </c>
      <c r="C6" s="60" t="s">
        <v>165</v>
      </c>
      <c r="D6" s="11" t="s">
        <v>1043</v>
      </c>
      <c r="E6" s="59" t="s">
        <v>1183</v>
      </c>
      <c r="F6" s="60">
        <v>17500</v>
      </c>
      <c r="G6" s="69">
        <v>700</v>
      </c>
      <c r="H6" s="69" t="s">
        <v>169</v>
      </c>
      <c r="I6" s="69" t="s">
        <v>357</v>
      </c>
      <c r="J6" s="58">
        <v>45446</v>
      </c>
      <c r="K6" s="108"/>
      <c r="L6" s="117"/>
      <c r="M6" s="66"/>
      <c r="N6" s="341" t="s">
        <v>1234</v>
      </c>
      <c r="O6" s="60">
        <v>17500</v>
      </c>
      <c r="P6" s="56"/>
      <c r="Q6" s="56"/>
      <c r="R6" s="56" t="s">
        <v>387</v>
      </c>
      <c r="S6" s="100">
        <v>49500</v>
      </c>
      <c r="T6" s="65">
        <f t="shared" si="0"/>
        <v>866250</v>
      </c>
    </row>
    <row r="7" spans="1:20" s="67" customFormat="1" x14ac:dyDescent="0.25">
      <c r="A7" s="69" t="s">
        <v>1066</v>
      </c>
      <c r="B7" s="60" t="s">
        <v>1185</v>
      </c>
      <c r="C7" s="60" t="s">
        <v>165</v>
      </c>
      <c r="D7" s="11" t="s">
        <v>1043</v>
      </c>
      <c r="E7" s="59" t="s">
        <v>1186</v>
      </c>
      <c r="F7" s="60">
        <v>17500</v>
      </c>
      <c r="G7" s="69">
        <v>700</v>
      </c>
      <c r="H7" s="69" t="s">
        <v>169</v>
      </c>
      <c r="I7" s="69" t="s">
        <v>357</v>
      </c>
      <c r="J7" s="58">
        <v>45446</v>
      </c>
      <c r="K7" s="108"/>
      <c r="L7" s="117"/>
      <c r="M7" s="66"/>
      <c r="N7" s="341" t="s">
        <v>1235</v>
      </c>
      <c r="O7" s="60">
        <v>17500</v>
      </c>
      <c r="P7" s="56"/>
      <c r="Q7" s="56"/>
      <c r="R7" s="56" t="s">
        <v>387</v>
      </c>
      <c r="S7" s="100">
        <v>49500</v>
      </c>
      <c r="T7" s="65">
        <f t="shared" si="0"/>
        <v>866250</v>
      </c>
    </row>
    <row r="8" spans="1:20" s="67" customFormat="1" ht="13.5" customHeight="1" x14ac:dyDescent="0.25">
      <c r="A8" s="464" t="s">
        <v>1224</v>
      </c>
      <c r="B8" s="60" t="s">
        <v>1173</v>
      </c>
      <c r="C8" s="60" t="s">
        <v>265</v>
      </c>
      <c r="D8" s="11" t="s">
        <v>286</v>
      </c>
      <c r="E8" s="59" t="s">
        <v>819</v>
      </c>
      <c r="F8" s="60">
        <v>10000</v>
      </c>
      <c r="G8" s="69">
        <v>400</v>
      </c>
      <c r="H8" s="69" t="s">
        <v>382</v>
      </c>
      <c r="I8" s="69" t="s">
        <v>357</v>
      </c>
      <c r="J8" s="58">
        <v>45446</v>
      </c>
      <c r="K8" s="108" t="s">
        <v>1223</v>
      </c>
      <c r="L8" s="117">
        <v>89122506736</v>
      </c>
      <c r="M8" s="66" t="s">
        <v>1222</v>
      </c>
      <c r="N8" s="341"/>
      <c r="O8" s="56"/>
      <c r="P8" s="60">
        <v>10000</v>
      </c>
      <c r="Q8" s="56"/>
      <c r="R8" s="56" t="s">
        <v>387</v>
      </c>
      <c r="S8" s="100">
        <v>246500</v>
      </c>
      <c r="T8" s="65">
        <f t="shared" si="0"/>
        <v>2465000</v>
      </c>
    </row>
    <row r="9" spans="1:20" s="67" customFormat="1" ht="13.5" customHeight="1" x14ac:dyDescent="0.25">
      <c r="A9" s="465"/>
      <c r="B9" s="60" t="s">
        <v>1173</v>
      </c>
      <c r="C9" s="60" t="s">
        <v>265</v>
      </c>
      <c r="D9" s="11" t="s">
        <v>287</v>
      </c>
      <c r="E9" s="59" t="s">
        <v>977</v>
      </c>
      <c r="F9" s="60">
        <v>10000</v>
      </c>
      <c r="G9" s="69">
        <v>400</v>
      </c>
      <c r="H9" s="69" t="s">
        <v>382</v>
      </c>
      <c r="I9" s="69" t="s">
        <v>357</v>
      </c>
      <c r="J9" s="58">
        <v>45446</v>
      </c>
      <c r="K9" s="108" t="s">
        <v>1223</v>
      </c>
      <c r="L9" s="117">
        <v>89122506736</v>
      </c>
      <c r="M9" s="66" t="s">
        <v>1222</v>
      </c>
      <c r="N9" s="341"/>
      <c r="O9" s="60">
        <v>10000</v>
      </c>
      <c r="P9" s="56"/>
      <c r="Q9" s="56"/>
      <c r="R9" s="56" t="s">
        <v>387</v>
      </c>
      <c r="S9" s="100">
        <v>40700</v>
      </c>
      <c r="T9" s="65">
        <f t="shared" si="0"/>
        <v>407000</v>
      </c>
    </row>
    <row r="10" spans="1:20" s="67" customFormat="1" ht="13.5" customHeight="1" x14ac:dyDescent="0.25">
      <c r="A10" s="350" t="s">
        <v>1209</v>
      </c>
      <c r="B10" s="60" t="s">
        <v>656</v>
      </c>
      <c r="C10" s="60" t="s">
        <v>457</v>
      </c>
      <c r="D10" s="11" t="s">
        <v>313</v>
      </c>
      <c r="E10" s="59" t="s">
        <v>1191</v>
      </c>
      <c r="F10" s="60">
        <v>64000</v>
      </c>
      <c r="G10" s="69">
        <v>2560</v>
      </c>
      <c r="H10" s="69" t="s">
        <v>1210</v>
      </c>
      <c r="I10" s="69" t="s">
        <v>357</v>
      </c>
      <c r="J10" s="58">
        <v>45447</v>
      </c>
      <c r="K10" s="108"/>
      <c r="L10" s="117"/>
      <c r="M10" s="66"/>
      <c r="N10" s="341">
        <v>54470802</v>
      </c>
      <c r="O10" s="60">
        <v>64000</v>
      </c>
      <c r="P10" s="56"/>
      <c r="Q10" s="56"/>
      <c r="R10" s="56" t="s">
        <v>387</v>
      </c>
      <c r="S10" s="100">
        <v>37200</v>
      </c>
      <c r="T10" s="65">
        <f t="shared" ref="T10:T21" si="1" xml:space="preserve"> S10*(F10/1000)</f>
        <v>2380800</v>
      </c>
    </row>
    <row r="11" spans="1:20" s="67" customFormat="1" ht="13.5" customHeight="1" x14ac:dyDescent="0.25">
      <c r="A11" s="350" t="s">
        <v>224</v>
      </c>
      <c r="B11" s="60" t="s">
        <v>469</v>
      </c>
      <c r="C11" s="60" t="s">
        <v>1231</v>
      </c>
      <c r="D11" s="11" t="s">
        <v>1226</v>
      </c>
      <c r="E11" s="59" t="s">
        <v>1198</v>
      </c>
      <c r="F11" s="60">
        <v>1600</v>
      </c>
      <c r="G11" s="69">
        <v>8</v>
      </c>
      <c r="H11" s="69" t="s">
        <v>1240</v>
      </c>
      <c r="I11" s="69" t="s">
        <v>357</v>
      </c>
      <c r="J11" s="58">
        <v>45448</v>
      </c>
      <c r="K11" s="108" t="s">
        <v>1239</v>
      </c>
      <c r="L11" s="117">
        <v>89082488417</v>
      </c>
      <c r="M11" s="66" t="s">
        <v>1238</v>
      </c>
      <c r="N11" s="341"/>
      <c r="O11" s="56"/>
      <c r="P11" s="56"/>
      <c r="Q11" s="60">
        <v>1600</v>
      </c>
      <c r="R11" s="56" t="s">
        <v>387</v>
      </c>
      <c r="S11" s="100">
        <v>135000</v>
      </c>
      <c r="T11" s="65">
        <f t="shared" si="1"/>
        <v>216000</v>
      </c>
    </row>
    <row r="12" spans="1:20" s="67" customFormat="1" x14ac:dyDescent="0.25">
      <c r="A12" s="69" t="s">
        <v>1066</v>
      </c>
      <c r="B12" s="60" t="s">
        <v>1187</v>
      </c>
      <c r="C12" s="60" t="s">
        <v>165</v>
      </c>
      <c r="D12" s="11" t="s">
        <v>1043</v>
      </c>
      <c r="E12" s="59" t="s">
        <v>1188</v>
      </c>
      <c r="F12" s="60">
        <v>17500</v>
      </c>
      <c r="G12" s="69">
        <v>700</v>
      </c>
      <c r="H12" s="69" t="s">
        <v>169</v>
      </c>
      <c r="I12" s="69" t="s">
        <v>357</v>
      </c>
      <c r="J12" s="58">
        <v>45448</v>
      </c>
      <c r="K12" s="108"/>
      <c r="L12" s="117"/>
      <c r="M12" s="66"/>
      <c r="N12" s="347" t="s">
        <v>1251</v>
      </c>
      <c r="O12" s="60">
        <v>17500</v>
      </c>
      <c r="P12" s="56"/>
      <c r="Q12" s="56"/>
      <c r="R12" s="56" t="s">
        <v>387</v>
      </c>
      <c r="S12" s="100">
        <v>49500</v>
      </c>
      <c r="T12" s="65">
        <f t="shared" si="1"/>
        <v>866250</v>
      </c>
    </row>
    <row r="13" spans="1:20" s="67" customFormat="1" x14ac:dyDescent="0.25">
      <c r="A13" s="69" t="s">
        <v>1066</v>
      </c>
      <c r="B13" s="60" t="s">
        <v>1194</v>
      </c>
      <c r="C13" s="60" t="s">
        <v>165</v>
      </c>
      <c r="D13" s="11" t="s">
        <v>1043</v>
      </c>
      <c r="E13" s="59" t="s">
        <v>1184</v>
      </c>
      <c r="F13" s="60">
        <v>17500</v>
      </c>
      <c r="G13" s="69">
        <v>700</v>
      </c>
      <c r="H13" s="69" t="s">
        <v>169</v>
      </c>
      <c r="I13" s="69" t="s">
        <v>357</v>
      </c>
      <c r="J13" s="58">
        <v>45448</v>
      </c>
      <c r="K13" s="108"/>
      <c r="L13" s="117"/>
      <c r="M13" s="66"/>
      <c r="N13" s="341" t="s">
        <v>1250</v>
      </c>
      <c r="O13" s="60">
        <v>17500</v>
      </c>
      <c r="P13" s="56"/>
      <c r="Q13" s="56"/>
      <c r="R13" s="56" t="s">
        <v>387</v>
      </c>
      <c r="S13" s="100">
        <v>49500</v>
      </c>
      <c r="T13" s="65">
        <f t="shared" si="1"/>
        <v>866250</v>
      </c>
    </row>
    <row r="14" spans="1:20" s="67" customFormat="1" x14ac:dyDescent="0.25">
      <c r="A14" s="69" t="s">
        <v>1066</v>
      </c>
      <c r="B14" s="60" t="s">
        <v>1195</v>
      </c>
      <c r="C14" s="60" t="s">
        <v>165</v>
      </c>
      <c r="D14" s="11" t="s">
        <v>1043</v>
      </c>
      <c r="E14" s="59" t="s">
        <v>1191</v>
      </c>
      <c r="F14" s="60">
        <v>17500</v>
      </c>
      <c r="G14" s="69">
        <v>700</v>
      </c>
      <c r="H14" s="69" t="s">
        <v>169</v>
      </c>
      <c r="I14" s="69" t="s">
        <v>357</v>
      </c>
      <c r="J14" s="58">
        <v>45448</v>
      </c>
      <c r="K14" s="108"/>
      <c r="L14" s="117"/>
      <c r="M14" s="66"/>
      <c r="N14" s="341" t="s">
        <v>1249</v>
      </c>
      <c r="O14" s="60">
        <v>17500</v>
      </c>
      <c r="P14" s="56"/>
      <c r="Q14" s="56"/>
      <c r="R14" s="56" t="s">
        <v>387</v>
      </c>
      <c r="S14" s="100">
        <v>49500</v>
      </c>
      <c r="T14" s="65">
        <f t="shared" si="1"/>
        <v>866250</v>
      </c>
    </row>
    <row r="15" spans="1:20" s="67" customFormat="1" x14ac:dyDescent="0.25">
      <c r="A15" s="69" t="s">
        <v>1066</v>
      </c>
      <c r="B15" s="60" t="s">
        <v>1196</v>
      </c>
      <c r="C15" s="60" t="s">
        <v>165</v>
      </c>
      <c r="D15" s="11" t="s">
        <v>1043</v>
      </c>
      <c r="E15" s="59" t="s">
        <v>1192</v>
      </c>
      <c r="F15" s="60">
        <v>17500</v>
      </c>
      <c r="G15" s="69">
        <v>700</v>
      </c>
      <c r="H15" s="69" t="s">
        <v>169</v>
      </c>
      <c r="I15" s="69" t="s">
        <v>357</v>
      </c>
      <c r="J15" s="58">
        <v>45448</v>
      </c>
      <c r="K15" s="108"/>
      <c r="L15" s="117"/>
      <c r="M15" s="66"/>
      <c r="N15" s="341" t="s">
        <v>1248</v>
      </c>
      <c r="O15" s="60">
        <v>17500</v>
      </c>
      <c r="P15" s="56"/>
      <c r="Q15" s="56"/>
      <c r="R15" s="56" t="s">
        <v>387</v>
      </c>
      <c r="S15" s="100">
        <v>49500</v>
      </c>
      <c r="T15" s="65">
        <f t="shared" si="1"/>
        <v>866250</v>
      </c>
    </row>
    <row r="16" spans="1:20" s="67" customFormat="1" ht="13.5" customHeight="1" x14ac:dyDescent="0.25">
      <c r="A16" s="69" t="s">
        <v>1045</v>
      </c>
      <c r="B16" s="97" t="s">
        <v>820</v>
      </c>
      <c r="C16" s="97" t="s">
        <v>457</v>
      </c>
      <c r="D16" s="98" t="s">
        <v>174</v>
      </c>
      <c r="E16" s="59" t="s">
        <v>1189</v>
      </c>
      <c r="F16" s="97">
        <v>200</v>
      </c>
      <c r="G16" s="69">
        <v>1</v>
      </c>
      <c r="H16" s="69" t="s">
        <v>391</v>
      </c>
      <c r="I16" s="69" t="s">
        <v>357</v>
      </c>
      <c r="J16" s="58">
        <v>45448</v>
      </c>
      <c r="K16" s="105" t="s">
        <v>1237</v>
      </c>
      <c r="L16" s="123">
        <v>89374238474</v>
      </c>
      <c r="M16" s="105" t="s">
        <v>1236</v>
      </c>
      <c r="N16" s="339"/>
      <c r="O16" s="97"/>
      <c r="P16" s="60"/>
      <c r="Q16" s="97">
        <v>200</v>
      </c>
      <c r="R16" s="56" t="s">
        <v>387</v>
      </c>
      <c r="S16" s="100">
        <v>95000</v>
      </c>
      <c r="T16" s="65">
        <f t="shared" si="1"/>
        <v>19000</v>
      </c>
    </row>
    <row r="17" spans="1:20" s="67" customFormat="1" ht="13.5" customHeight="1" x14ac:dyDescent="0.25">
      <c r="A17" s="69" t="s">
        <v>1045</v>
      </c>
      <c r="B17" s="97" t="s">
        <v>820</v>
      </c>
      <c r="C17" s="97" t="s">
        <v>457</v>
      </c>
      <c r="D17" s="98" t="s">
        <v>174</v>
      </c>
      <c r="E17" s="59" t="s">
        <v>1193</v>
      </c>
      <c r="F17" s="97">
        <v>9000</v>
      </c>
      <c r="G17" s="69">
        <v>45</v>
      </c>
      <c r="H17" s="69" t="s">
        <v>391</v>
      </c>
      <c r="I17" s="69" t="s">
        <v>357</v>
      </c>
      <c r="J17" s="58">
        <v>45448</v>
      </c>
      <c r="K17" s="105" t="s">
        <v>1237</v>
      </c>
      <c r="L17" s="123">
        <v>89374238474</v>
      </c>
      <c r="M17" s="105" t="s">
        <v>1236</v>
      </c>
      <c r="N17" s="339"/>
      <c r="O17" s="97"/>
      <c r="P17" s="60"/>
      <c r="Q17" s="97">
        <v>9000</v>
      </c>
      <c r="R17" s="56" t="s">
        <v>387</v>
      </c>
      <c r="S17" s="100">
        <v>95000</v>
      </c>
      <c r="T17" s="65">
        <f t="shared" si="1"/>
        <v>855000</v>
      </c>
    </row>
    <row r="18" spans="1:20" s="67" customFormat="1" ht="13.5" customHeight="1" x14ac:dyDescent="0.25">
      <c r="A18" s="69" t="s">
        <v>1045</v>
      </c>
      <c r="B18" s="97" t="s">
        <v>820</v>
      </c>
      <c r="C18" s="97" t="s">
        <v>457</v>
      </c>
      <c r="D18" s="98" t="s">
        <v>174</v>
      </c>
      <c r="E18" s="59" t="s">
        <v>1215</v>
      </c>
      <c r="F18" s="97">
        <v>8400</v>
      </c>
      <c r="G18" s="69">
        <v>42</v>
      </c>
      <c r="H18" s="69" t="s">
        <v>391</v>
      </c>
      <c r="I18" s="69" t="s">
        <v>357</v>
      </c>
      <c r="J18" s="58">
        <v>45448</v>
      </c>
      <c r="K18" s="105" t="s">
        <v>1237</v>
      </c>
      <c r="L18" s="123">
        <v>89374238474</v>
      </c>
      <c r="M18" s="105" t="s">
        <v>1236</v>
      </c>
      <c r="N18" s="339"/>
      <c r="O18" s="97"/>
      <c r="P18" s="60"/>
      <c r="Q18" s="97">
        <v>8400</v>
      </c>
      <c r="R18" s="56" t="s">
        <v>387</v>
      </c>
      <c r="S18" s="100">
        <v>95000</v>
      </c>
      <c r="T18" s="65">
        <f t="shared" si="1"/>
        <v>798000</v>
      </c>
    </row>
    <row r="19" spans="1:20" s="67" customFormat="1" ht="13.5" customHeight="1" x14ac:dyDescent="0.25">
      <c r="A19" s="69" t="s">
        <v>224</v>
      </c>
      <c r="B19" s="60" t="s">
        <v>852</v>
      </c>
      <c r="C19" s="60" t="s">
        <v>349</v>
      </c>
      <c r="D19" s="98" t="s">
        <v>158</v>
      </c>
      <c r="E19" s="64" t="s">
        <v>930</v>
      </c>
      <c r="F19" s="97">
        <v>5600</v>
      </c>
      <c r="G19" s="69">
        <v>28</v>
      </c>
      <c r="H19" s="69" t="s">
        <v>352</v>
      </c>
      <c r="I19" s="69" t="s">
        <v>357</v>
      </c>
      <c r="J19" s="58">
        <v>45448</v>
      </c>
      <c r="K19" s="105" t="s">
        <v>1062</v>
      </c>
      <c r="L19" s="123" t="s">
        <v>935</v>
      </c>
      <c r="M19" s="105" t="s">
        <v>1061</v>
      </c>
      <c r="N19" s="107"/>
      <c r="O19" s="56"/>
      <c r="P19" s="60"/>
      <c r="Q19" s="97">
        <v>5600</v>
      </c>
      <c r="R19" s="56" t="s">
        <v>387</v>
      </c>
      <c r="S19" s="100">
        <v>69000</v>
      </c>
      <c r="T19" s="65">
        <f t="shared" si="1"/>
        <v>386400</v>
      </c>
    </row>
    <row r="20" spans="1:20" s="67" customFormat="1" ht="13.5" customHeight="1" x14ac:dyDescent="0.25">
      <c r="A20" s="69" t="s">
        <v>224</v>
      </c>
      <c r="B20" s="60" t="s">
        <v>852</v>
      </c>
      <c r="C20" s="60" t="s">
        <v>349</v>
      </c>
      <c r="D20" s="98" t="s">
        <v>158</v>
      </c>
      <c r="E20" s="64" t="s">
        <v>973</v>
      </c>
      <c r="F20" s="97">
        <v>5600</v>
      </c>
      <c r="G20" s="69">
        <v>28</v>
      </c>
      <c r="H20" s="69" t="s">
        <v>352</v>
      </c>
      <c r="I20" s="69" t="s">
        <v>357</v>
      </c>
      <c r="J20" s="58">
        <v>45448</v>
      </c>
      <c r="K20" s="105" t="s">
        <v>1062</v>
      </c>
      <c r="L20" s="123" t="s">
        <v>935</v>
      </c>
      <c r="M20" s="105" t="s">
        <v>1061</v>
      </c>
      <c r="N20" s="107"/>
      <c r="O20" s="56"/>
      <c r="P20" s="60"/>
      <c r="Q20" s="97">
        <v>5600</v>
      </c>
      <c r="R20" s="56" t="s">
        <v>387</v>
      </c>
      <c r="S20" s="100">
        <v>69000</v>
      </c>
      <c r="T20" s="65">
        <f t="shared" si="1"/>
        <v>386400</v>
      </c>
    </row>
    <row r="21" spans="1:20" s="67" customFormat="1" ht="13.5" customHeight="1" x14ac:dyDescent="0.25">
      <c r="A21" s="69" t="s">
        <v>224</v>
      </c>
      <c r="B21" s="60" t="s">
        <v>852</v>
      </c>
      <c r="C21" s="60" t="s">
        <v>349</v>
      </c>
      <c r="D21" s="98" t="s">
        <v>158</v>
      </c>
      <c r="E21" s="64" t="s">
        <v>958</v>
      </c>
      <c r="F21" s="97">
        <v>6400</v>
      </c>
      <c r="G21" s="69">
        <v>32</v>
      </c>
      <c r="H21" s="69" t="s">
        <v>352</v>
      </c>
      <c r="I21" s="69" t="s">
        <v>357</v>
      </c>
      <c r="J21" s="58">
        <v>45448</v>
      </c>
      <c r="K21" s="105" t="s">
        <v>1062</v>
      </c>
      <c r="L21" s="123" t="s">
        <v>935</v>
      </c>
      <c r="M21" s="105" t="s">
        <v>1061</v>
      </c>
      <c r="N21" s="107"/>
      <c r="O21" s="56"/>
      <c r="P21" s="60"/>
      <c r="Q21" s="97">
        <v>6400</v>
      </c>
      <c r="R21" s="56" t="s">
        <v>387</v>
      </c>
      <c r="S21" s="100">
        <v>69000</v>
      </c>
      <c r="T21" s="65">
        <f t="shared" si="1"/>
        <v>441600</v>
      </c>
    </row>
    <row r="22" spans="1:20" s="67" customFormat="1" ht="13.5" customHeight="1" x14ac:dyDescent="0.25">
      <c r="A22" s="350" t="s">
        <v>224</v>
      </c>
      <c r="B22" s="60" t="s">
        <v>1241</v>
      </c>
      <c r="C22" s="60" t="s">
        <v>1242</v>
      </c>
      <c r="D22" s="11" t="s">
        <v>286</v>
      </c>
      <c r="E22" s="59" t="s">
        <v>862</v>
      </c>
      <c r="F22" s="60">
        <v>20000</v>
      </c>
      <c r="G22" s="69">
        <v>800</v>
      </c>
      <c r="H22" s="69" t="s">
        <v>1243</v>
      </c>
      <c r="I22" s="69" t="s">
        <v>357</v>
      </c>
      <c r="J22" s="58">
        <v>45448</v>
      </c>
      <c r="K22" s="108" t="s">
        <v>1265</v>
      </c>
      <c r="L22" s="117"/>
      <c r="M22" s="66" t="s">
        <v>1266</v>
      </c>
      <c r="N22" s="341"/>
      <c r="O22" s="60"/>
      <c r="P22" s="56">
        <v>20000</v>
      </c>
      <c r="Q22" s="56"/>
      <c r="R22" s="56" t="s">
        <v>387</v>
      </c>
      <c r="S22" s="100">
        <v>245000</v>
      </c>
      <c r="T22" s="65">
        <f t="shared" ref="T22:T33" si="2" xml:space="preserve"> S22*(F22/1000)</f>
        <v>4900000</v>
      </c>
    </row>
    <row r="23" spans="1:20" s="67" customFormat="1" ht="13.5" customHeight="1" x14ac:dyDescent="0.25">
      <c r="A23" s="350" t="s">
        <v>1209</v>
      </c>
      <c r="B23" s="60" t="s">
        <v>656</v>
      </c>
      <c r="C23" s="60" t="s">
        <v>457</v>
      </c>
      <c r="D23" s="11" t="s">
        <v>313</v>
      </c>
      <c r="E23" s="59" t="s">
        <v>1197</v>
      </c>
      <c r="F23" s="60">
        <v>64000</v>
      </c>
      <c r="G23" s="69">
        <v>2560</v>
      </c>
      <c r="H23" s="69" t="s">
        <v>1210</v>
      </c>
      <c r="I23" s="69" t="s">
        <v>357</v>
      </c>
      <c r="J23" s="58">
        <v>45449</v>
      </c>
      <c r="K23" s="108"/>
      <c r="L23" s="117"/>
      <c r="M23" s="66"/>
      <c r="N23" s="341">
        <v>52499696</v>
      </c>
      <c r="O23" s="60">
        <v>64000</v>
      </c>
      <c r="P23" s="56"/>
      <c r="Q23" s="56"/>
      <c r="R23" s="56" t="s">
        <v>387</v>
      </c>
      <c r="S23" s="100">
        <v>37200</v>
      </c>
      <c r="T23" s="65">
        <f t="shared" si="2"/>
        <v>2380800</v>
      </c>
    </row>
    <row r="24" spans="1:20" s="67" customFormat="1" ht="13.5" customHeight="1" x14ac:dyDescent="0.25">
      <c r="A24" s="351" t="s">
        <v>240</v>
      </c>
      <c r="B24" s="97" t="s">
        <v>1040</v>
      </c>
      <c r="C24" s="97" t="s">
        <v>182</v>
      </c>
      <c r="D24" s="98" t="s">
        <v>301</v>
      </c>
      <c r="E24" s="59" t="s">
        <v>981</v>
      </c>
      <c r="F24" s="97">
        <v>17500</v>
      </c>
      <c r="G24" s="69">
        <v>700</v>
      </c>
      <c r="H24" s="69" t="s">
        <v>1210</v>
      </c>
      <c r="I24" s="69" t="s">
        <v>357</v>
      </c>
      <c r="J24" s="58">
        <v>45450</v>
      </c>
      <c r="K24" s="105"/>
      <c r="L24" s="123"/>
      <c r="M24" s="105"/>
      <c r="N24" s="339" t="s">
        <v>1257</v>
      </c>
      <c r="O24" s="97">
        <v>17500</v>
      </c>
      <c r="P24" s="60"/>
      <c r="Q24" s="56"/>
      <c r="R24" s="56" t="s">
        <v>387</v>
      </c>
      <c r="S24" s="100">
        <v>41000</v>
      </c>
      <c r="T24" s="116">
        <f t="shared" si="2"/>
        <v>717500</v>
      </c>
    </row>
    <row r="25" spans="1:20" s="67" customFormat="1" ht="13.5" customHeight="1" x14ac:dyDescent="0.25">
      <c r="A25" s="351" t="s">
        <v>240</v>
      </c>
      <c r="B25" s="97" t="s">
        <v>1040</v>
      </c>
      <c r="C25" s="97" t="s">
        <v>182</v>
      </c>
      <c r="D25" s="98" t="s">
        <v>301</v>
      </c>
      <c r="E25" s="59" t="s">
        <v>995</v>
      </c>
      <c r="F25" s="97">
        <v>17500</v>
      </c>
      <c r="G25" s="69">
        <v>700</v>
      </c>
      <c r="H25" s="69" t="s">
        <v>1210</v>
      </c>
      <c r="I25" s="69" t="s">
        <v>357</v>
      </c>
      <c r="J25" s="58">
        <v>45450</v>
      </c>
      <c r="K25" s="105"/>
      <c r="L25" s="123"/>
      <c r="M25" s="105"/>
      <c r="N25" s="339" t="s">
        <v>1258</v>
      </c>
      <c r="O25" s="97">
        <v>17500</v>
      </c>
      <c r="P25" s="60"/>
      <c r="Q25" s="56"/>
      <c r="R25" s="56" t="s">
        <v>387</v>
      </c>
      <c r="S25" s="100">
        <v>41000</v>
      </c>
      <c r="T25" s="116">
        <f t="shared" si="2"/>
        <v>717500</v>
      </c>
    </row>
    <row r="26" spans="1:20" s="67" customFormat="1" ht="14.25" customHeight="1" x14ac:dyDescent="0.25">
      <c r="A26" s="350" t="s">
        <v>770</v>
      </c>
      <c r="B26" s="60" t="s">
        <v>216</v>
      </c>
      <c r="C26" s="60" t="s">
        <v>657</v>
      </c>
      <c r="D26" s="11" t="s">
        <v>298</v>
      </c>
      <c r="E26" s="64" t="s">
        <v>1197</v>
      </c>
      <c r="F26" s="60">
        <v>2880</v>
      </c>
      <c r="G26" s="69">
        <v>160</v>
      </c>
      <c r="H26" s="69" t="s">
        <v>655</v>
      </c>
      <c r="I26" s="69" t="s">
        <v>357</v>
      </c>
      <c r="J26" s="58">
        <v>45450</v>
      </c>
      <c r="K26" s="107" t="s">
        <v>181</v>
      </c>
      <c r="L26" s="119">
        <v>89116853202</v>
      </c>
      <c r="M26" s="56" t="s">
        <v>1048</v>
      </c>
      <c r="N26" s="341"/>
      <c r="O26" s="56"/>
      <c r="P26" s="60">
        <v>2880</v>
      </c>
      <c r="Q26" s="56"/>
      <c r="R26" s="56" t="s">
        <v>387</v>
      </c>
      <c r="S26" s="100">
        <v>210000</v>
      </c>
      <c r="T26" s="65">
        <f t="shared" si="2"/>
        <v>604800</v>
      </c>
    </row>
    <row r="27" spans="1:20" s="67" customFormat="1" ht="14.25" customHeight="1" x14ac:dyDescent="0.25">
      <c r="A27" s="350" t="s">
        <v>770</v>
      </c>
      <c r="B27" s="60" t="s">
        <v>216</v>
      </c>
      <c r="C27" s="60" t="s">
        <v>657</v>
      </c>
      <c r="D27" s="11" t="s">
        <v>178</v>
      </c>
      <c r="E27" s="64" t="s">
        <v>1197</v>
      </c>
      <c r="F27" s="60">
        <v>8800</v>
      </c>
      <c r="G27" s="69">
        <v>44</v>
      </c>
      <c r="H27" s="69" t="s">
        <v>655</v>
      </c>
      <c r="I27" s="69" t="s">
        <v>357</v>
      </c>
      <c r="J27" s="58">
        <v>45450</v>
      </c>
      <c r="K27" s="107" t="s">
        <v>181</v>
      </c>
      <c r="L27" s="119">
        <v>89116853202</v>
      </c>
      <c r="M27" s="56" t="s">
        <v>1048</v>
      </c>
      <c r="N27" s="341"/>
      <c r="P27" s="60"/>
      <c r="Q27" s="60">
        <v>8800</v>
      </c>
      <c r="R27" s="56" t="s">
        <v>387</v>
      </c>
      <c r="S27" s="100">
        <v>165000</v>
      </c>
      <c r="T27" s="65">
        <f t="shared" si="2"/>
        <v>1452000.0000000002</v>
      </c>
    </row>
    <row r="28" spans="1:20" s="67" customFormat="1" ht="14.25" customHeight="1" x14ac:dyDescent="0.25">
      <c r="A28" s="350" t="s">
        <v>770</v>
      </c>
      <c r="B28" s="60" t="s">
        <v>216</v>
      </c>
      <c r="C28" s="60" t="s">
        <v>657</v>
      </c>
      <c r="D28" s="11" t="s">
        <v>1190</v>
      </c>
      <c r="E28" s="59" t="s">
        <v>1198</v>
      </c>
      <c r="F28" s="60">
        <v>5600</v>
      </c>
      <c r="G28" s="69">
        <v>28</v>
      </c>
      <c r="H28" s="69" t="s">
        <v>655</v>
      </c>
      <c r="I28" s="69" t="s">
        <v>357</v>
      </c>
      <c r="J28" s="58">
        <v>45450</v>
      </c>
      <c r="K28" s="107" t="s">
        <v>181</v>
      </c>
      <c r="L28" s="119">
        <v>89116853202</v>
      </c>
      <c r="M28" s="56" t="s">
        <v>1048</v>
      </c>
      <c r="N28" s="341"/>
      <c r="P28" s="60"/>
      <c r="Q28" s="60">
        <v>5600</v>
      </c>
      <c r="R28" s="56" t="s">
        <v>387</v>
      </c>
      <c r="S28" s="100">
        <v>123000</v>
      </c>
      <c r="T28" s="65">
        <f t="shared" si="2"/>
        <v>688800</v>
      </c>
    </row>
    <row r="29" spans="1:20" s="67" customFormat="1" ht="14.25" customHeight="1" x14ac:dyDescent="0.25">
      <c r="A29" s="350" t="s">
        <v>741</v>
      </c>
      <c r="B29" s="60" t="s">
        <v>1199</v>
      </c>
      <c r="C29" s="60" t="s">
        <v>657</v>
      </c>
      <c r="D29" s="11" t="s">
        <v>1190</v>
      </c>
      <c r="E29" s="59" t="s">
        <v>1198</v>
      </c>
      <c r="F29" s="60">
        <v>17600</v>
      </c>
      <c r="G29" s="69">
        <v>88</v>
      </c>
      <c r="H29" s="69" t="s">
        <v>655</v>
      </c>
      <c r="I29" s="69" t="s">
        <v>357</v>
      </c>
      <c r="J29" s="58">
        <v>45450</v>
      </c>
      <c r="K29" s="107" t="s">
        <v>1252</v>
      </c>
      <c r="L29" s="119">
        <v>89600155752</v>
      </c>
      <c r="M29" s="56" t="s">
        <v>504</v>
      </c>
      <c r="N29" s="341"/>
      <c r="P29" s="60"/>
      <c r="Q29" s="60">
        <v>17600</v>
      </c>
      <c r="R29" s="56" t="s">
        <v>387</v>
      </c>
      <c r="S29" s="100">
        <v>123000</v>
      </c>
      <c r="T29" s="65">
        <f t="shared" si="2"/>
        <v>2164800</v>
      </c>
    </row>
    <row r="30" spans="1:20" s="67" customFormat="1" x14ac:dyDescent="0.25">
      <c r="A30" s="69" t="s">
        <v>640</v>
      </c>
      <c r="B30" s="60" t="s">
        <v>532</v>
      </c>
      <c r="C30" s="60" t="s">
        <v>390</v>
      </c>
      <c r="D30" s="11" t="s">
        <v>316</v>
      </c>
      <c r="E30" s="59" t="s">
        <v>1244</v>
      </c>
      <c r="F30" s="60">
        <v>5000</v>
      </c>
      <c r="G30" s="69">
        <v>250</v>
      </c>
      <c r="H30" s="69" t="s">
        <v>382</v>
      </c>
      <c r="I30" s="69" t="s">
        <v>357</v>
      </c>
      <c r="J30" s="58">
        <v>45454</v>
      </c>
      <c r="K30" s="108" t="s">
        <v>905</v>
      </c>
      <c r="L30" s="117">
        <v>89227124785</v>
      </c>
      <c r="M30" s="66" t="s">
        <v>906</v>
      </c>
      <c r="N30" s="341"/>
      <c r="O30" s="56"/>
      <c r="P30" s="60">
        <v>5000</v>
      </c>
      <c r="Q30" s="56"/>
      <c r="R30" s="56" t="s">
        <v>387</v>
      </c>
      <c r="S30" s="100">
        <v>83000</v>
      </c>
      <c r="T30" s="65">
        <f t="shared" si="2"/>
        <v>415000</v>
      </c>
    </row>
    <row r="31" spans="1:20" s="67" customFormat="1" x14ac:dyDescent="0.25">
      <c r="A31" s="69" t="s">
        <v>640</v>
      </c>
      <c r="B31" s="60" t="s">
        <v>532</v>
      </c>
      <c r="C31" s="60" t="s">
        <v>390</v>
      </c>
      <c r="D31" s="11" t="s">
        <v>319</v>
      </c>
      <c r="E31" s="59" t="s">
        <v>1256</v>
      </c>
      <c r="F31" s="60">
        <v>5000</v>
      </c>
      <c r="G31" s="69">
        <v>250</v>
      </c>
      <c r="H31" s="69" t="s">
        <v>382</v>
      </c>
      <c r="I31" s="69" t="s">
        <v>357</v>
      </c>
      <c r="J31" s="58">
        <v>45454</v>
      </c>
      <c r="K31" s="108" t="s">
        <v>905</v>
      </c>
      <c r="L31" s="117">
        <v>89227124785</v>
      </c>
      <c r="M31" s="66" t="s">
        <v>906</v>
      </c>
      <c r="N31" s="341"/>
      <c r="O31" s="56"/>
      <c r="P31" s="60">
        <v>5000</v>
      </c>
      <c r="Q31" s="56"/>
      <c r="R31" s="56" t="s">
        <v>387</v>
      </c>
      <c r="S31" s="100">
        <v>77000</v>
      </c>
      <c r="T31" s="65">
        <f t="shared" si="2"/>
        <v>385000</v>
      </c>
    </row>
    <row r="32" spans="1:20" s="67" customFormat="1" ht="13.5" customHeight="1" x14ac:dyDescent="0.25">
      <c r="A32" s="351" t="s">
        <v>240</v>
      </c>
      <c r="B32" s="97" t="s">
        <v>1040</v>
      </c>
      <c r="C32" s="97" t="s">
        <v>182</v>
      </c>
      <c r="D32" s="98" t="s">
        <v>301</v>
      </c>
      <c r="E32" s="59" t="s">
        <v>1005</v>
      </c>
      <c r="F32" s="97">
        <v>17500</v>
      </c>
      <c r="G32" s="69">
        <v>700</v>
      </c>
      <c r="H32" s="69" t="s">
        <v>1210</v>
      </c>
      <c r="I32" s="69" t="s">
        <v>357</v>
      </c>
      <c r="J32" s="58">
        <v>45454</v>
      </c>
      <c r="K32" s="105"/>
      <c r="L32" s="123"/>
      <c r="M32" s="105"/>
      <c r="N32" s="339" t="s">
        <v>1263</v>
      </c>
      <c r="O32" s="97">
        <v>17500</v>
      </c>
      <c r="P32" s="60"/>
      <c r="Q32" s="56"/>
      <c r="R32" s="56" t="s">
        <v>387</v>
      </c>
      <c r="S32" s="100">
        <v>41000</v>
      </c>
      <c r="T32" s="116">
        <f t="shared" si="2"/>
        <v>717500</v>
      </c>
    </row>
    <row r="33" spans="1:20" s="67" customFormat="1" ht="13.5" customHeight="1" x14ac:dyDescent="0.25">
      <c r="A33" s="351" t="s">
        <v>240</v>
      </c>
      <c r="B33" s="97" t="s">
        <v>1040</v>
      </c>
      <c r="C33" s="97" t="s">
        <v>182</v>
      </c>
      <c r="D33" s="98" t="s">
        <v>301</v>
      </c>
      <c r="E33" s="59" t="s">
        <v>1022</v>
      </c>
      <c r="F33" s="97">
        <v>17500</v>
      </c>
      <c r="G33" s="69">
        <v>700</v>
      </c>
      <c r="H33" s="69" t="s">
        <v>1210</v>
      </c>
      <c r="I33" s="69" t="s">
        <v>357</v>
      </c>
      <c r="J33" s="58">
        <v>45454</v>
      </c>
      <c r="K33" s="105"/>
      <c r="L33" s="123"/>
      <c r="M33" s="105"/>
      <c r="N33" s="339" t="s">
        <v>1264</v>
      </c>
      <c r="O33" s="97">
        <v>17500</v>
      </c>
      <c r="P33" s="60"/>
      <c r="Q33" s="56"/>
      <c r="R33" s="56" t="s">
        <v>387</v>
      </c>
      <c r="S33" s="100">
        <v>41000</v>
      </c>
      <c r="T33" s="116">
        <f t="shared" si="2"/>
        <v>717500</v>
      </c>
    </row>
    <row r="34" spans="1:20" s="167" customFormat="1" x14ac:dyDescent="0.25">
      <c r="A34" s="69" t="s">
        <v>748</v>
      </c>
      <c r="B34" s="60" t="s">
        <v>1260</v>
      </c>
      <c r="C34" s="60" t="s">
        <v>373</v>
      </c>
      <c r="D34" s="159" t="s">
        <v>287</v>
      </c>
      <c r="E34" s="160" t="s">
        <v>977</v>
      </c>
      <c r="F34" s="158">
        <v>20000</v>
      </c>
      <c r="G34" s="161">
        <v>800</v>
      </c>
      <c r="H34" s="69" t="s">
        <v>983</v>
      </c>
      <c r="I34" s="69" t="s">
        <v>357</v>
      </c>
      <c r="J34" s="58">
        <v>45454</v>
      </c>
      <c r="K34" s="105" t="s">
        <v>1262</v>
      </c>
      <c r="L34" s="66">
        <v>89129953889</v>
      </c>
      <c r="M34" s="105" t="s">
        <v>743</v>
      </c>
      <c r="N34" s="314"/>
      <c r="O34" s="158">
        <v>20000</v>
      </c>
      <c r="P34" s="157"/>
      <c r="Q34" s="164"/>
      <c r="R34" s="164" t="s">
        <v>387</v>
      </c>
      <c r="S34" s="165">
        <v>40700</v>
      </c>
      <c r="T34" s="166">
        <f>S34*(F34/1000)</f>
        <v>814000</v>
      </c>
    </row>
    <row r="35" spans="1:20" s="67" customFormat="1" ht="13.5" customHeight="1" x14ac:dyDescent="0.25">
      <c r="A35" s="350" t="s">
        <v>1267</v>
      </c>
      <c r="B35" s="60" t="s">
        <v>1044</v>
      </c>
      <c r="C35" s="60" t="s">
        <v>182</v>
      </c>
      <c r="D35" s="11" t="s">
        <v>174</v>
      </c>
      <c r="E35" s="59" t="s">
        <v>1268</v>
      </c>
      <c r="F35" s="60">
        <v>17600</v>
      </c>
      <c r="G35" s="69">
        <v>88</v>
      </c>
      <c r="H35" s="69" t="s">
        <v>169</v>
      </c>
      <c r="I35" s="69" t="s">
        <v>357</v>
      </c>
      <c r="J35" s="58">
        <v>45457</v>
      </c>
      <c r="K35" s="108" t="s">
        <v>1271</v>
      </c>
      <c r="L35" s="117">
        <v>89822385566</v>
      </c>
      <c r="M35" s="66" t="s">
        <v>1272</v>
      </c>
      <c r="N35" s="107"/>
      <c r="O35" s="56"/>
      <c r="P35" s="56"/>
      <c r="Q35" s="60">
        <v>17600</v>
      </c>
      <c r="R35" s="56" t="s">
        <v>387</v>
      </c>
      <c r="S35" s="156">
        <v>85000</v>
      </c>
      <c r="T35" s="65">
        <f xml:space="preserve"> S35*(F35/1000)</f>
        <v>1496000.0000000002</v>
      </c>
    </row>
    <row r="36" spans="1:20" s="67" customFormat="1" x14ac:dyDescent="0.25">
      <c r="A36" s="69" t="s">
        <v>1066</v>
      </c>
      <c r="B36" s="60" t="s">
        <v>1225</v>
      </c>
      <c r="C36" s="60" t="s">
        <v>165</v>
      </c>
      <c r="D36" s="11" t="s">
        <v>1097</v>
      </c>
      <c r="E36" s="59" t="s">
        <v>1100</v>
      </c>
      <c r="F36" s="60">
        <v>17500</v>
      </c>
      <c r="G36" s="69">
        <v>700</v>
      </c>
      <c r="H36" s="69" t="s">
        <v>169</v>
      </c>
      <c r="I36" s="69" t="s">
        <v>357</v>
      </c>
      <c r="J36" s="58">
        <v>45457</v>
      </c>
      <c r="K36" s="108"/>
      <c r="L36" s="117"/>
      <c r="M36" s="66"/>
      <c r="N36" s="341" t="s">
        <v>1277</v>
      </c>
      <c r="O36" s="60">
        <v>17500</v>
      </c>
      <c r="P36" s="56"/>
      <c r="Q36" s="56"/>
      <c r="R36" s="56" t="s">
        <v>387</v>
      </c>
      <c r="S36" s="100">
        <v>49500</v>
      </c>
      <c r="T36" s="65">
        <f xml:space="preserve"> S36*(F36/1000)</f>
        <v>866250</v>
      </c>
    </row>
    <row r="37" spans="1:20" s="67" customFormat="1" x14ac:dyDescent="0.25">
      <c r="A37" s="69" t="s">
        <v>1267</v>
      </c>
      <c r="B37" s="60" t="s">
        <v>403</v>
      </c>
      <c r="C37" s="60" t="s">
        <v>390</v>
      </c>
      <c r="D37" s="11" t="s">
        <v>316</v>
      </c>
      <c r="E37" s="59" t="s">
        <v>1247</v>
      </c>
      <c r="F37" s="60">
        <v>10000</v>
      </c>
      <c r="G37" s="69">
        <v>500</v>
      </c>
      <c r="H37" s="69" t="s">
        <v>1245</v>
      </c>
      <c r="I37" s="69" t="s">
        <v>357</v>
      </c>
      <c r="J37" s="58">
        <v>45460</v>
      </c>
      <c r="K37" s="108" t="s">
        <v>1274</v>
      </c>
      <c r="L37" s="117">
        <v>89223743658</v>
      </c>
      <c r="M37" s="66" t="s">
        <v>1273</v>
      </c>
      <c r="N37" s="341"/>
      <c r="O37" s="56"/>
      <c r="P37" s="60">
        <v>10000</v>
      </c>
      <c r="Q37" s="56"/>
      <c r="R37" s="56" t="s">
        <v>387</v>
      </c>
      <c r="S37" s="100">
        <v>83000</v>
      </c>
      <c r="T37" s="65">
        <f xml:space="preserve"> S37*(F37/1000)</f>
        <v>830000</v>
      </c>
    </row>
    <row r="38" spans="1:20" s="67" customFormat="1" x14ac:dyDescent="0.25">
      <c r="A38" s="69" t="s">
        <v>1267</v>
      </c>
      <c r="B38" s="60" t="s">
        <v>403</v>
      </c>
      <c r="C38" s="60" t="s">
        <v>390</v>
      </c>
      <c r="D38" s="11" t="s">
        <v>319</v>
      </c>
      <c r="E38" s="59" t="s">
        <v>1246</v>
      </c>
      <c r="F38" s="60">
        <v>10000</v>
      </c>
      <c r="G38" s="69">
        <v>500</v>
      </c>
      <c r="H38" s="69" t="s">
        <v>1245</v>
      </c>
      <c r="I38" s="69" t="s">
        <v>357</v>
      </c>
      <c r="J38" s="58">
        <v>45460</v>
      </c>
      <c r="K38" s="108" t="s">
        <v>1274</v>
      </c>
      <c r="L38" s="117">
        <v>89223743658</v>
      </c>
      <c r="M38" s="66" t="s">
        <v>1273</v>
      </c>
      <c r="N38" s="341"/>
      <c r="O38" s="56"/>
      <c r="P38" s="60">
        <v>10000</v>
      </c>
      <c r="Q38" s="56"/>
      <c r="R38" s="56" t="s">
        <v>387</v>
      </c>
      <c r="S38" s="100">
        <v>77000</v>
      </c>
      <c r="T38" s="65">
        <f xml:space="preserve"> S38*(F38/1000)</f>
        <v>770000</v>
      </c>
    </row>
    <row r="39" spans="1:20" s="167" customFormat="1" x14ac:dyDescent="0.25">
      <c r="A39" s="69" t="s">
        <v>1275</v>
      </c>
      <c r="B39" s="60" t="s">
        <v>1255</v>
      </c>
      <c r="C39" s="60" t="s">
        <v>373</v>
      </c>
      <c r="D39" s="159" t="s">
        <v>287</v>
      </c>
      <c r="E39" s="160" t="s">
        <v>977</v>
      </c>
      <c r="F39" s="158">
        <v>20000</v>
      </c>
      <c r="G39" s="161">
        <v>800</v>
      </c>
      <c r="H39" s="69" t="s">
        <v>382</v>
      </c>
      <c r="I39" s="69" t="s">
        <v>357</v>
      </c>
      <c r="J39" s="58">
        <v>45460</v>
      </c>
      <c r="K39" s="105" t="s">
        <v>1166</v>
      </c>
      <c r="L39" s="66">
        <v>89021984502</v>
      </c>
      <c r="M39" s="105" t="s">
        <v>778</v>
      </c>
      <c r="N39" s="314"/>
      <c r="O39" s="158">
        <v>20000</v>
      </c>
      <c r="P39" s="157"/>
      <c r="Q39" s="164"/>
      <c r="R39" s="164" t="s">
        <v>387</v>
      </c>
      <c r="S39" s="165">
        <v>40700</v>
      </c>
      <c r="T39" s="166">
        <f>S39*(F39/1000)</f>
        <v>814000</v>
      </c>
    </row>
    <row r="40" spans="1:20" s="167" customFormat="1" x14ac:dyDescent="0.25">
      <c r="A40" s="69" t="s">
        <v>1279</v>
      </c>
      <c r="B40" s="60" t="s">
        <v>1261</v>
      </c>
      <c r="C40" s="60" t="s">
        <v>373</v>
      </c>
      <c r="D40" s="159" t="s">
        <v>289</v>
      </c>
      <c r="E40" s="160" t="s">
        <v>1125</v>
      </c>
      <c r="F40" s="158">
        <v>15000</v>
      </c>
      <c r="G40" s="161">
        <v>600</v>
      </c>
      <c r="H40" s="69" t="s">
        <v>241</v>
      </c>
      <c r="I40" s="69" t="s">
        <v>357</v>
      </c>
      <c r="J40" s="58">
        <v>45460</v>
      </c>
      <c r="K40" s="105" t="s">
        <v>1280</v>
      </c>
      <c r="L40" s="66">
        <v>89658867399</v>
      </c>
      <c r="M40" s="105" t="s">
        <v>1278</v>
      </c>
      <c r="N40" s="314"/>
      <c r="O40" s="158">
        <v>15000</v>
      </c>
      <c r="P40" s="157"/>
      <c r="Q40" s="164"/>
      <c r="R40" s="164" t="s">
        <v>387</v>
      </c>
      <c r="S40" s="165">
        <v>40700</v>
      </c>
      <c r="T40" s="166">
        <f>S40*(F40/1000)</f>
        <v>610500</v>
      </c>
    </row>
    <row r="41" spans="1:20" s="167" customFormat="1" ht="13.5" customHeight="1" x14ac:dyDescent="0.25">
      <c r="A41" s="69" t="s">
        <v>1279</v>
      </c>
      <c r="B41" s="60" t="s">
        <v>1261</v>
      </c>
      <c r="C41" s="60" t="s">
        <v>373</v>
      </c>
      <c r="D41" s="159" t="s">
        <v>204</v>
      </c>
      <c r="E41" s="160" t="s">
        <v>1021</v>
      </c>
      <c r="F41" s="158">
        <v>4800</v>
      </c>
      <c r="G41" s="161">
        <v>24</v>
      </c>
      <c r="H41" s="69" t="s">
        <v>241</v>
      </c>
      <c r="I41" s="69" t="s">
        <v>357</v>
      </c>
      <c r="J41" s="58">
        <v>45460</v>
      </c>
      <c r="K41" s="105" t="s">
        <v>1280</v>
      </c>
      <c r="L41" s="117">
        <v>89658867399</v>
      </c>
      <c r="M41" s="105" t="s">
        <v>1278</v>
      </c>
      <c r="N41" s="341"/>
      <c r="O41" s="56"/>
      <c r="P41" s="56"/>
      <c r="Q41" s="158">
        <v>4800</v>
      </c>
      <c r="R41" s="164" t="s">
        <v>387</v>
      </c>
      <c r="S41" s="165">
        <v>99800</v>
      </c>
      <c r="T41" s="166">
        <f>S41*(F41/1000)</f>
        <v>479040</v>
      </c>
    </row>
    <row r="42" spans="1:20" s="67" customFormat="1" ht="13.5" customHeight="1" x14ac:dyDescent="0.25">
      <c r="A42" s="350" t="s">
        <v>224</v>
      </c>
      <c r="B42" s="60" t="s">
        <v>1306</v>
      </c>
      <c r="C42" s="60" t="s">
        <v>171</v>
      </c>
      <c r="D42" s="11" t="s">
        <v>286</v>
      </c>
      <c r="E42" s="59" t="s">
        <v>875</v>
      </c>
      <c r="F42" s="60">
        <v>20000</v>
      </c>
      <c r="G42" s="69">
        <v>800</v>
      </c>
      <c r="H42" s="69" t="s">
        <v>1243</v>
      </c>
      <c r="I42" s="69" t="s">
        <v>357</v>
      </c>
      <c r="J42" s="58">
        <v>45460</v>
      </c>
      <c r="K42" s="108" t="s">
        <v>1289</v>
      </c>
      <c r="L42" s="117"/>
      <c r="M42" s="66" t="s">
        <v>1288</v>
      </c>
      <c r="N42" s="341"/>
      <c r="O42" s="60"/>
      <c r="P42" s="56">
        <v>20000</v>
      </c>
      <c r="Q42" s="56"/>
      <c r="R42" s="56" t="s">
        <v>387</v>
      </c>
      <c r="S42" s="100">
        <v>245000</v>
      </c>
      <c r="T42" s="65">
        <f xml:space="preserve"> S42*(F42/1000)</f>
        <v>4900000</v>
      </c>
    </row>
    <row r="43" spans="1:20" s="67" customFormat="1" x14ac:dyDescent="0.25">
      <c r="A43" s="69" t="s">
        <v>224</v>
      </c>
      <c r="B43" s="60" t="s">
        <v>852</v>
      </c>
      <c r="C43" s="60" t="s">
        <v>171</v>
      </c>
      <c r="D43" s="11" t="s">
        <v>305</v>
      </c>
      <c r="E43" s="59" t="s">
        <v>839</v>
      </c>
      <c r="F43" s="60">
        <v>20000</v>
      </c>
      <c r="G43" s="69">
        <v>800</v>
      </c>
      <c r="H43" s="69" t="s">
        <v>1243</v>
      </c>
      <c r="I43" s="69" t="s">
        <v>357</v>
      </c>
      <c r="J43" s="58">
        <v>45461</v>
      </c>
      <c r="K43" s="108"/>
      <c r="L43" s="117"/>
      <c r="M43" s="66"/>
      <c r="N43" s="66"/>
      <c r="O43" s="60">
        <v>20000</v>
      </c>
      <c r="P43" s="56"/>
      <c r="Q43" s="56"/>
      <c r="R43" s="56" t="s">
        <v>387</v>
      </c>
      <c r="S43" s="100">
        <v>38000</v>
      </c>
      <c r="T43" s="65">
        <f xml:space="preserve"> S43*(F43/1000)</f>
        <v>760000</v>
      </c>
    </row>
    <row r="44" spans="1:20" s="67" customFormat="1" x14ac:dyDescent="0.25">
      <c r="A44" s="69" t="s">
        <v>224</v>
      </c>
      <c r="B44" s="60" t="s">
        <v>852</v>
      </c>
      <c r="C44" s="60" t="s">
        <v>171</v>
      </c>
      <c r="D44" s="11" t="s">
        <v>305</v>
      </c>
      <c r="E44" s="59" t="s">
        <v>896</v>
      </c>
      <c r="F44" s="60">
        <v>20000</v>
      </c>
      <c r="G44" s="69">
        <v>800</v>
      </c>
      <c r="H44" s="69" t="s">
        <v>1243</v>
      </c>
      <c r="I44" s="69" t="s">
        <v>357</v>
      </c>
      <c r="J44" s="58">
        <v>45461</v>
      </c>
      <c r="K44" s="108"/>
      <c r="L44" s="117"/>
      <c r="M44" s="66"/>
      <c r="N44" s="66"/>
      <c r="O44" s="60">
        <v>20000</v>
      </c>
      <c r="P44" s="56"/>
      <c r="Q44" s="56"/>
      <c r="R44" s="56" t="s">
        <v>387</v>
      </c>
      <c r="S44" s="100">
        <v>38000</v>
      </c>
      <c r="T44" s="65">
        <f xml:space="preserve"> S44*(F44/1000)</f>
        <v>760000</v>
      </c>
    </row>
    <row r="45" spans="1:20" s="167" customFormat="1" x14ac:dyDescent="0.25">
      <c r="A45" s="69" t="s">
        <v>770</v>
      </c>
      <c r="B45" s="60" t="s">
        <v>1254</v>
      </c>
      <c r="C45" s="60" t="s">
        <v>373</v>
      </c>
      <c r="D45" s="159" t="s">
        <v>289</v>
      </c>
      <c r="E45" s="160" t="s">
        <v>1152</v>
      </c>
      <c r="F45" s="158">
        <v>15000</v>
      </c>
      <c r="G45" s="161">
        <v>600</v>
      </c>
      <c r="H45" s="69" t="s">
        <v>169</v>
      </c>
      <c r="I45" s="69" t="s">
        <v>357</v>
      </c>
      <c r="J45" s="58">
        <v>45462</v>
      </c>
      <c r="K45" s="105" t="s">
        <v>765</v>
      </c>
      <c r="L45" s="117">
        <v>89206278126</v>
      </c>
      <c r="M45" s="105" t="s">
        <v>762</v>
      </c>
      <c r="N45" s="314"/>
      <c r="O45" s="158">
        <v>15000</v>
      </c>
      <c r="P45" s="157"/>
      <c r="Q45" s="164"/>
      <c r="R45" s="164" t="s">
        <v>387</v>
      </c>
      <c r="S45" s="165">
        <v>40700</v>
      </c>
      <c r="T45" s="166">
        <f>S45*(F45/1000)</f>
        <v>610500</v>
      </c>
    </row>
    <row r="46" spans="1:20" s="67" customFormat="1" ht="13.5" customHeight="1" x14ac:dyDescent="0.25">
      <c r="A46" s="69" t="s">
        <v>770</v>
      </c>
      <c r="B46" s="60" t="s">
        <v>1254</v>
      </c>
      <c r="C46" s="60" t="s">
        <v>373</v>
      </c>
      <c r="D46" s="11" t="s">
        <v>286</v>
      </c>
      <c r="E46" s="59" t="s">
        <v>1259</v>
      </c>
      <c r="F46" s="60">
        <v>5000</v>
      </c>
      <c r="G46" s="69">
        <v>200</v>
      </c>
      <c r="H46" s="69" t="s">
        <v>169</v>
      </c>
      <c r="I46" s="69" t="s">
        <v>357</v>
      </c>
      <c r="J46" s="58">
        <v>45462</v>
      </c>
      <c r="K46" s="105" t="s">
        <v>765</v>
      </c>
      <c r="L46" s="117">
        <v>89206278126</v>
      </c>
      <c r="M46" s="105" t="s">
        <v>762</v>
      </c>
      <c r="N46" s="341"/>
      <c r="O46" s="56"/>
      <c r="P46" s="60">
        <v>5000</v>
      </c>
      <c r="Q46" s="56"/>
      <c r="R46" s="56" t="s">
        <v>387</v>
      </c>
      <c r="S46" s="100">
        <v>246500</v>
      </c>
      <c r="T46" s="65">
        <f xml:space="preserve"> S46*(F46/1000)</f>
        <v>1232500</v>
      </c>
    </row>
    <row r="47" spans="1:20" s="67" customFormat="1" ht="13.5" customHeight="1" x14ac:dyDescent="0.25">
      <c r="A47" s="69" t="s">
        <v>1045</v>
      </c>
      <c r="B47" s="97" t="s">
        <v>1080</v>
      </c>
      <c r="C47" s="97" t="s">
        <v>457</v>
      </c>
      <c r="D47" s="98" t="s">
        <v>174</v>
      </c>
      <c r="E47" s="59" t="s">
        <v>1270</v>
      </c>
      <c r="F47" s="97">
        <v>17600</v>
      </c>
      <c r="G47" s="69">
        <v>88</v>
      </c>
      <c r="H47" s="69" t="s">
        <v>391</v>
      </c>
      <c r="I47" s="69" t="s">
        <v>357</v>
      </c>
      <c r="J47" s="58">
        <v>45462</v>
      </c>
      <c r="K47" s="105" t="s">
        <v>1290</v>
      </c>
      <c r="L47" s="123"/>
      <c r="M47" s="105" t="s">
        <v>1291</v>
      </c>
      <c r="N47" s="107"/>
      <c r="O47" s="97"/>
      <c r="P47" s="60"/>
      <c r="Q47" s="97">
        <v>17600</v>
      </c>
      <c r="R47" s="56" t="s">
        <v>387</v>
      </c>
      <c r="S47" s="100">
        <v>95000</v>
      </c>
      <c r="T47" s="65">
        <f xml:space="preserve"> S47*(F47/1000)</f>
        <v>1672000.0000000002</v>
      </c>
    </row>
    <row r="48" spans="1:20" s="67" customFormat="1" ht="13.5" customHeight="1" x14ac:dyDescent="0.25">
      <c r="A48" s="69" t="s">
        <v>224</v>
      </c>
      <c r="B48" s="60" t="s">
        <v>852</v>
      </c>
      <c r="C48" s="60" t="s">
        <v>349</v>
      </c>
      <c r="D48" s="98" t="s">
        <v>158</v>
      </c>
      <c r="E48" s="64" t="s">
        <v>973</v>
      </c>
      <c r="F48" s="97">
        <v>1200</v>
      </c>
      <c r="G48" s="69">
        <v>6</v>
      </c>
      <c r="H48" s="69" t="s">
        <v>352</v>
      </c>
      <c r="I48" s="69" t="s">
        <v>357</v>
      </c>
      <c r="J48" s="349">
        <v>45462</v>
      </c>
      <c r="K48" s="105" t="s">
        <v>625</v>
      </c>
      <c r="L48" s="123" t="s">
        <v>1287</v>
      </c>
      <c r="M48" s="105" t="s">
        <v>624</v>
      </c>
      <c r="N48" s="107"/>
      <c r="O48" s="56"/>
      <c r="P48" s="60"/>
      <c r="Q48" s="97">
        <v>1200</v>
      </c>
      <c r="R48" s="56" t="s">
        <v>387</v>
      </c>
      <c r="S48" s="100">
        <v>69000</v>
      </c>
      <c r="T48" s="65">
        <f t="shared" ref="T48:T53" si="3" xml:space="preserve"> S48*(F48/1000)</f>
        <v>82800</v>
      </c>
    </row>
    <row r="49" spans="1:20" s="67" customFormat="1" ht="13.5" customHeight="1" x14ac:dyDescent="0.25">
      <c r="A49" s="69" t="s">
        <v>224</v>
      </c>
      <c r="B49" s="60" t="s">
        <v>852</v>
      </c>
      <c r="C49" s="60" t="s">
        <v>349</v>
      </c>
      <c r="D49" s="98" t="s">
        <v>158</v>
      </c>
      <c r="E49" s="64" t="s">
        <v>956</v>
      </c>
      <c r="F49" s="97">
        <v>6800</v>
      </c>
      <c r="G49" s="69">
        <v>34</v>
      </c>
      <c r="H49" s="69" t="s">
        <v>352</v>
      </c>
      <c r="I49" s="69" t="s">
        <v>357</v>
      </c>
      <c r="J49" s="349">
        <v>45462</v>
      </c>
      <c r="K49" s="105" t="s">
        <v>625</v>
      </c>
      <c r="L49" s="123" t="s">
        <v>1287</v>
      </c>
      <c r="M49" s="105" t="s">
        <v>624</v>
      </c>
      <c r="N49" s="107"/>
      <c r="O49" s="56"/>
      <c r="P49" s="60"/>
      <c r="Q49" s="97">
        <v>6800</v>
      </c>
      <c r="R49" s="56" t="s">
        <v>387</v>
      </c>
      <c r="S49" s="100">
        <v>69000</v>
      </c>
      <c r="T49" s="65">
        <f t="shared" si="3"/>
        <v>469200</v>
      </c>
    </row>
    <row r="50" spans="1:20" s="67" customFormat="1" ht="13.5" customHeight="1" x14ac:dyDescent="0.25">
      <c r="A50" s="69" t="s">
        <v>224</v>
      </c>
      <c r="B50" s="60" t="s">
        <v>852</v>
      </c>
      <c r="C50" s="60" t="s">
        <v>349</v>
      </c>
      <c r="D50" s="98" t="s">
        <v>158</v>
      </c>
      <c r="E50" s="64" t="s">
        <v>955</v>
      </c>
      <c r="F50" s="97">
        <v>6800</v>
      </c>
      <c r="G50" s="69">
        <v>34</v>
      </c>
      <c r="H50" s="69" t="s">
        <v>352</v>
      </c>
      <c r="I50" s="69" t="s">
        <v>357</v>
      </c>
      <c r="J50" s="349">
        <v>45462</v>
      </c>
      <c r="K50" s="105" t="s">
        <v>625</v>
      </c>
      <c r="L50" s="123" t="s">
        <v>1287</v>
      </c>
      <c r="M50" s="105" t="s">
        <v>624</v>
      </c>
      <c r="N50" s="107"/>
      <c r="O50" s="56"/>
      <c r="P50" s="60"/>
      <c r="Q50" s="97">
        <v>6800</v>
      </c>
      <c r="R50" s="56" t="s">
        <v>387</v>
      </c>
      <c r="S50" s="100">
        <v>69000</v>
      </c>
      <c r="T50" s="65">
        <f t="shared" si="3"/>
        <v>469200</v>
      </c>
    </row>
    <row r="51" spans="1:20" s="67" customFormat="1" ht="13.5" customHeight="1" x14ac:dyDescent="0.25">
      <c r="A51" s="69" t="s">
        <v>224</v>
      </c>
      <c r="B51" s="60" t="s">
        <v>852</v>
      </c>
      <c r="C51" s="60" t="s">
        <v>349</v>
      </c>
      <c r="D51" s="98" t="s">
        <v>158</v>
      </c>
      <c r="E51" s="64" t="s">
        <v>978</v>
      </c>
      <c r="F51" s="97">
        <v>1400</v>
      </c>
      <c r="G51" s="69">
        <v>7</v>
      </c>
      <c r="H51" s="69" t="s">
        <v>352</v>
      </c>
      <c r="I51" s="69" t="s">
        <v>357</v>
      </c>
      <c r="J51" s="349">
        <v>45462</v>
      </c>
      <c r="K51" s="105" t="s">
        <v>625</v>
      </c>
      <c r="L51" s="123" t="s">
        <v>1287</v>
      </c>
      <c r="M51" s="105" t="s">
        <v>624</v>
      </c>
      <c r="N51" s="107"/>
      <c r="O51" s="56"/>
      <c r="P51" s="60"/>
      <c r="Q51" s="97">
        <v>1400</v>
      </c>
      <c r="R51" s="56" t="s">
        <v>387</v>
      </c>
      <c r="S51" s="100">
        <v>69000</v>
      </c>
      <c r="T51" s="65">
        <f t="shared" si="3"/>
        <v>96600</v>
      </c>
    </row>
    <row r="52" spans="1:20" s="67" customFormat="1" ht="13.5" customHeight="1" x14ac:dyDescent="0.25">
      <c r="A52" s="69" t="s">
        <v>224</v>
      </c>
      <c r="B52" s="60" t="s">
        <v>852</v>
      </c>
      <c r="C52" s="60" t="s">
        <v>349</v>
      </c>
      <c r="D52" s="98" t="s">
        <v>158</v>
      </c>
      <c r="E52" s="64" t="s">
        <v>1192</v>
      </c>
      <c r="F52" s="97">
        <v>1000</v>
      </c>
      <c r="G52" s="69">
        <v>5</v>
      </c>
      <c r="H52" s="69" t="s">
        <v>352</v>
      </c>
      <c r="I52" s="69" t="s">
        <v>357</v>
      </c>
      <c r="J52" s="349">
        <v>45462</v>
      </c>
      <c r="K52" s="105" t="s">
        <v>625</v>
      </c>
      <c r="L52" s="123" t="s">
        <v>1287</v>
      </c>
      <c r="M52" s="105" t="s">
        <v>624</v>
      </c>
      <c r="N52" s="107"/>
      <c r="O52" s="56"/>
      <c r="P52" s="60"/>
      <c r="Q52" s="97">
        <v>1000</v>
      </c>
      <c r="R52" s="56" t="s">
        <v>387</v>
      </c>
      <c r="S52" s="100">
        <v>69000</v>
      </c>
      <c r="T52" s="65">
        <f t="shared" si="3"/>
        <v>69000</v>
      </c>
    </row>
    <row r="53" spans="1:20" s="67" customFormat="1" ht="13.5" customHeight="1" x14ac:dyDescent="0.25">
      <c r="A53" s="69" t="s">
        <v>224</v>
      </c>
      <c r="B53" s="60" t="s">
        <v>852</v>
      </c>
      <c r="C53" s="60" t="s">
        <v>349</v>
      </c>
      <c r="D53" s="98" t="s">
        <v>158</v>
      </c>
      <c r="E53" s="64" t="s">
        <v>958</v>
      </c>
      <c r="F53" s="97">
        <v>400</v>
      </c>
      <c r="G53" s="69">
        <v>2</v>
      </c>
      <c r="H53" s="69" t="s">
        <v>352</v>
      </c>
      <c r="I53" s="69" t="s">
        <v>357</v>
      </c>
      <c r="J53" s="349">
        <v>45462</v>
      </c>
      <c r="K53" s="105" t="s">
        <v>625</v>
      </c>
      <c r="L53" s="123" t="s">
        <v>1287</v>
      </c>
      <c r="M53" s="105" t="s">
        <v>624</v>
      </c>
      <c r="N53" s="107"/>
      <c r="O53" s="56"/>
      <c r="P53" s="60"/>
      <c r="Q53" s="97">
        <v>400</v>
      </c>
      <c r="R53" s="56" t="s">
        <v>387</v>
      </c>
      <c r="S53" s="100">
        <v>69000</v>
      </c>
      <c r="T53" s="65">
        <f t="shared" si="3"/>
        <v>27600</v>
      </c>
    </row>
    <row r="54" spans="1:20" s="67" customFormat="1" ht="13.5" customHeight="1" x14ac:dyDescent="0.25">
      <c r="A54" s="350" t="s">
        <v>770</v>
      </c>
      <c r="B54" s="60" t="s">
        <v>821</v>
      </c>
      <c r="C54" s="60" t="s">
        <v>182</v>
      </c>
      <c r="D54" s="11" t="s">
        <v>174</v>
      </c>
      <c r="E54" s="59" t="s">
        <v>1269</v>
      </c>
      <c r="F54" s="60">
        <v>17600</v>
      </c>
      <c r="G54" s="69">
        <v>88</v>
      </c>
      <c r="H54" s="69" t="s">
        <v>172</v>
      </c>
      <c r="I54" s="69" t="s">
        <v>357</v>
      </c>
      <c r="J54" s="58">
        <v>45464</v>
      </c>
      <c r="K54" s="108" t="s">
        <v>268</v>
      </c>
      <c r="L54" s="66">
        <v>89116853405</v>
      </c>
      <c r="M54" s="66" t="s">
        <v>439</v>
      </c>
      <c r="N54" s="107"/>
      <c r="O54" s="56"/>
      <c r="P54" s="56"/>
      <c r="Q54" s="60">
        <v>17600</v>
      </c>
      <c r="R54" s="56" t="s">
        <v>387</v>
      </c>
      <c r="S54" s="156">
        <v>85000</v>
      </c>
      <c r="T54" s="65">
        <f t="shared" ref="T54:T73" si="4" xml:space="preserve"> S54*(F54/1000)</f>
        <v>1496000.0000000002</v>
      </c>
    </row>
    <row r="55" spans="1:20" s="67" customFormat="1" x14ac:dyDescent="0.25">
      <c r="A55" s="69" t="s">
        <v>1045</v>
      </c>
      <c r="B55" s="60" t="s">
        <v>1276</v>
      </c>
      <c r="C55" s="60" t="s">
        <v>497</v>
      </c>
      <c r="D55" s="11" t="s">
        <v>319</v>
      </c>
      <c r="E55" s="59" t="s">
        <v>1285</v>
      </c>
      <c r="F55" s="60">
        <v>10000</v>
      </c>
      <c r="G55" s="69">
        <v>500</v>
      </c>
      <c r="H55" s="69" t="s">
        <v>391</v>
      </c>
      <c r="I55" s="69" t="s">
        <v>357</v>
      </c>
      <c r="J55" s="58">
        <v>45464</v>
      </c>
      <c r="K55" s="117" t="s">
        <v>1301</v>
      </c>
      <c r="L55" s="117">
        <v>89375802008</v>
      </c>
      <c r="M55" s="66" t="s">
        <v>1300</v>
      </c>
      <c r="N55" s="341"/>
      <c r="O55" s="56"/>
      <c r="P55" s="60">
        <v>10000</v>
      </c>
      <c r="Q55" s="56"/>
      <c r="R55" s="56" t="s">
        <v>387</v>
      </c>
      <c r="S55" s="100">
        <v>89000</v>
      </c>
      <c r="T55" s="65">
        <f t="shared" si="4"/>
        <v>890000</v>
      </c>
    </row>
    <row r="56" spans="1:20" s="67" customFormat="1" ht="13.5" customHeight="1" x14ac:dyDescent="0.25">
      <c r="A56" s="350" t="s">
        <v>1298</v>
      </c>
      <c r="B56" s="60" t="s">
        <v>1292</v>
      </c>
      <c r="C56" s="60" t="s">
        <v>182</v>
      </c>
      <c r="D56" s="11" t="s">
        <v>174</v>
      </c>
      <c r="E56" s="59" t="s">
        <v>1293</v>
      </c>
      <c r="F56" s="60">
        <v>17600</v>
      </c>
      <c r="G56" s="69">
        <v>88</v>
      </c>
      <c r="H56" s="69" t="s">
        <v>172</v>
      </c>
      <c r="I56" s="69" t="s">
        <v>357</v>
      </c>
      <c r="J56" s="58">
        <v>45467</v>
      </c>
      <c r="K56" s="108" t="s">
        <v>1295</v>
      </c>
      <c r="L56" s="117" t="s">
        <v>1294</v>
      </c>
      <c r="M56" s="66" t="s">
        <v>746</v>
      </c>
      <c r="N56" s="107"/>
      <c r="O56" s="56"/>
      <c r="P56" s="56"/>
      <c r="Q56" s="60">
        <v>17600</v>
      </c>
      <c r="R56" s="56" t="s">
        <v>387</v>
      </c>
      <c r="S56" s="156">
        <v>85000</v>
      </c>
      <c r="T56" s="65">
        <f t="shared" si="4"/>
        <v>1496000.0000000002</v>
      </c>
    </row>
    <row r="57" spans="1:20" s="67" customFormat="1" ht="13.5" customHeight="1" x14ac:dyDescent="0.25">
      <c r="A57" s="69" t="s">
        <v>1298</v>
      </c>
      <c r="B57" s="60" t="s">
        <v>1108</v>
      </c>
      <c r="C57" s="60" t="s">
        <v>436</v>
      </c>
      <c r="D57" s="11" t="s">
        <v>176</v>
      </c>
      <c r="E57" s="59" t="s">
        <v>1111</v>
      </c>
      <c r="F57" s="60">
        <v>800</v>
      </c>
      <c r="G57" s="69">
        <v>4</v>
      </c>
      <c r="H57" s="69" t="s">
        <v>1112</v>
      </c>
      <c r="I57" s="69" t="s">
        <v>357</v>
      </c>
      <c r="J57" s="58">
        <v>45467</v>
      </c>
      <c r="K57" s="108" t="s">
        <v>1295</v>
      </c>
      <c r="L57" s="117" t="s">
        <v>1294</v>
      </c>
      <c r="M57" s="66" t="s">
        <v>746</v>
      </c>
      <c r="N57" s="341"/>
      <c r="O57" s="56"/>
      <c r="P57" s="56"/>
      <c r="Q57" s="60">
        <v>800</v>
      </c>
      <c r="R57" s="56" t="s">
        <v>387</v>
      </c>
      <c r="S57" s="100">
        <v>125000</v>
      </c>
      <c r="T57" s="116">
        <f t="shared" si="4"/>
        <v>100000</v>
      </c>
    </row>
    <row r="58" spans="1:20" s="67" customFormat="1" ht="13.5" customHeight="1" x14ac:dyDescent="0.25">
      <c r="A58" s="350" t="s">
        <v>1299</v>
      </c>
      <c r="B58" s="60" t="s">
        <v>517</v>
      </c>
      <c r="C58" s="60" t="s">
        <v>657</v>
      </c>
      <c r="D58" s="11" t="s">
        <v>178</v>
      </c>
      <c r="E58" s="59" t="s">
        <v>1282</v>
      </c>
      <c r="F58" s="60">
        <v>2000</v>
      </c>
      <c r="G58" s="69">
        <v>10</v>
      </c>
      <c r="H58" s="69" t="s">
        <v>655</v>
      </c>
      <c r="I58" s="69" t="s">
        <v>357</v>
      </c>
      <c r="J58" s="58">
        <v>45467</v>
      </c>
      <c r="K58" s="108" t="s">
        <v>1303</v>
      </c>
      <c r="L58" s="117">
        <v>89215381990</v>
      </c>
      <c r="M58" s="66" t="s">
        <v>1304</v>
      </c>
      <c r="N58" s="341"/>
      <c r="O58" s="56"/>
      <c r="P58" s="56"/>
      <c r="Q58" s="60">
        <v>2000</v>
      </c>
      <c r="R58" s="56" t="s">
        <v>387</v>
      </c>
      <c r="S58" s="100">
        <v>165000</v>
      </c>
      <c r="T58" s="65">
        <f t="shared" si="4"/>
        <v>330000</v>
      </c>
    </row>
    <row r="59" spans="1:20" s="67" customFormat="1" ht="14.25" customHeight="1" x14ac:dyDescent="0.25">
      <c r="A59" s="350" t="s">
        <v>1299</v>
      </c>
      <c r="B59" s="60" t="s">
        <v>517</v>
      </c>
      <c r="C59" s="60" t="s">
        <v>657</v>
      </c>
      <c r="D59" s="11" t="s">
        <v>1190</v>
      </c>
      <c r="E59" s="59" t="s">
        <v>1284</v>
      </c>
      <c r="F59" s="60">
        <v>10000</v>
      </c>
      <c r="G59" s="69">
        <v>50</v>
      </c>
      <c r="H59" s="69" t="s">
        <v>655</v>
      </c>
      <c r="I59" s="69" t="s">
        <v>357</v>
      </c>
      <c r="J59" s="58">
        <v>45467</v>
      </c>
      <c r="K59" s="108" t="s">
        <v>1303</v>
      </c>
      <c r="L59" s="117">
        <v>89215381990</v>
      </c>
      <c r="M59" s="66" t="s">
        <v>1304</v>
      </c>
      <c r="N59" s="341"/>
      <c r="O59" s="56"/>
      <c r="P59" s="60"/>
      <c r="Q59" s="60">
        <v>10000</v>
      </c>
      <c r="R59" s="56" t="s">
        <v>387</v>
      </c>
      <c r="S59" s="100">
        <v>123000</v>
      </c>
      <c r="T59" s="65">
        <f t="shared" si="4"/>
        <v>1230000</v>
      </c>
    </row>
    <row r="60" spans="1:20" s="67" customFormat="1" ht="14.25" customHeight="1" x14ac:dyDescent="0.25">
      <c r="A60" s="350" t="s">
        <v>1299</v>
      </c>
      <c r="B60" s="60" t="s">
        <v>517</v>
      </c>
      <c r="C60" s="60" t="s">
        <v>657</v>
      </c>
      <c r="D60" s="11" t="s">
        <v>298</v>
      </c>
      <c r="E60" s="64" t="s">
        <v>1283</v>
      </c>
      <c r="F60" s="60">
        <v>2160</v>
      </c>
      <c r="G60" s="69">
        <v>120</v>
      </c>
      <c r="H60" s="69" t="s">
        <v>655</v>
      </c>
      <c r="I60" s="69" t="s">
        <v>357</v>
      </c>
      <c r="J60" s="58">
        <v>45467</v>
      </c>
      <c r="K60" s="108" t="s">
        <v>1303</v>
      </c>
      <c r="L60" s="117">
        <v>89215381990</v>
      </c>
      <c r="M60" s="66" t="s">
        <v>1304</v>
      </c>
      <c r="N60" s="341"/>
      <c r="O60" s="56"/>
      <c r="P60" s="60">
        <v>2160</v>
      </c>
      <c r="R60" s="56" t="s">
        <v>387</v>
      </c>
      <c r="S60" s="100">
        <v>210000</v>
      </c>
      <c r="T60" s="65">
        <f t="shared" si="4"/>
        <v>453600.00000000006</v>
      </c>
    </row>
    <row r="61" spans="1:20" s="67" customFormat="1" x14ac:dyDescent="0.25">
      <c r="A61" s="350" t="s">
        <v>1299</v>
      </c>
      <c r="B61" s="60" t="s">
        <v>517</v>
      </c>
      <c r="C61" s="60" t="s">
        <v>657</v>
      </c>
      <c r="D61" s="11" t="s">
        <v>1286</v>
      </c>
      <c r="E61" s="59" t="s">
        <v>1281</v>
      </c>
      <c r="F61" s="60">
        <v>3040</v>
      </c>
      <c r="G61" s="69">
        <v>16</v>
      </c>
      <c r="H61" s="69" t="s">
        <v>655</v>
      </c>
      <c r="I61" s="69" t="s">
        <v>357</v>
      </c>
      <c r="J61" s="58">
        <v>45467</v>
      </c>
      <c r="K61" s="108" t="s">
        <v>1303</v>
      </c>
      <c r="L61" s="117">
        <v>89215381990</v>
      </c>
      <c r="M61" s="66" t="s">
        <v>1304</v>
      </c>
      <c r="N61" s="341"/>
      <c r="O61" s="56"/>
      <c r="P61" s="56"/>
      <c r="Q61" s="60">
        <v>3040</v>
      </c>
      <c r="R61" s="56" t="s">
        <v>387</v>
      </c>
      <c r="S61" s="100">
        <v>148000</v>
      </c>
      <c r="T61" s="65">
        <f t="shared" si="4"/>
        <v>449920</v>
      </c>
    </row>
    <row r="62" spans="1:20" s="67" customFormat="1" ht="13.5" customHeight="1" x14ac:dyDescent="0.25">
      <c r="A62" s="69" t="s">
        <v>927</v>
      </c>
      <c r="B62" s="60" t="s">
        <v>1305</v>
      </c>
      <c r="C62" s="60" t="s">
        <v>658</v>
      </c>
      <c r="D62" s="98" t="s">
        <v>513</v>
      </c>
      <c r="E62" s="64" t="s">
        <v>1095</v>
      </c>
      <c r="F62" s="97">
        <v>100</v>
      </c>
      <c r="G62" s="69">
        <v>5</v>
      </c>
      <c r="H62" s="69" t="s">
        <v>602</v>
      </c>
      <c r="I62" s="69" t="s">
        <v>357</v>
      </c>
      <c r="J62" s="58">
        <v>45468</v>
      </c>
      <c r="K62" s="69" t="s">
        <v>602</v>
      </c>
      <c r="L62" s="119" t="s">
        <v>1310</v>
      </c>
      <c r="M62" s="56"/>
      <c r="N62" s="339"/>
      <c r="O62" s="56"/>
      <c r="P62" s="60"/>
      <c r="Q62" s="97">
        <v>100</v>
      </c>
      <c r="R62" s="56" t="s">
        <v>387</v>
      </c>
      <c r="S62" s="100">
        <v>105250</v>
      </c>
      <c r="T62" s="65">
        <f t="shared" si="4"/>
        <v>10525</v>
      </c>
    </row>
    <row r="63" spans="1:20" s="67" customFormat="1" x14ac:dyDescent="0.25">
      <c r="A63" s="69" t="s">
        <v>1066</v>
      </c>
      <c r="B63" s="60" t="s">
        <v>1296</v>
      </c>
      <c r="C63" s="60" t="s">
        <v>165</v>
      </c>
      <c r="D63" s="11" t="s">
        <v>296</v>
      </c>
      <c r="E63" s="59" t="s">
        <v>1307</v>
      </c>
      <c r="F63" s="60">
        <v>15000</v>
      </c>
      <c r="G63" s="69">
        <v>600</v>
      </c>
      <c r="H63" s="69" t="s">
        <v>172</v>
      </c>
      <c r="I63" s="69" t="s">
        <v>357</v>
      </c>
      <c r="J63" s="58">
        <v>45470</v>
      </c>
      <c r="K63" s="108"/>
      <c r="L63" s="117"/>
      <c r="M63" s="66" t="s">
        <v>1311</v>
      </c>
      <c r="N63" s="341" t="s">
        <v>1324</v>
      </c>
      <c r="O63" s="60"/>
      <c r="P63" s="60">
        <v>15000</v>
      </c>
      <c r="Q63" s="56"/>
      <c r="R63" s="56" t="s">
        <v>387</v>
      </c>
      <c r="S63" s="100">
        <v>275000</v>
      </c>
      <c r="T63" s="65">
        <f t="shared" si="4"/>
        <v>4125000</v>
      </c>
    </row>
    <row r="64" spans="1:20" s="67" customFormat="1" x14ac:dyDescent="0.25">
      <c r="A64" s="69" t="s">
        <v>1066</v>
      </c>
      <c r="B64" s="60" t="s">
        <v>1296</v>
      </c>
      <c r="C64" s="60" t="s">
        <v>165</v>
      </c>
      <c r="D64" s="11" t="s">
        <v>1097</v>
      </c>
      <c r="E64" s="59" t="s">
        <v>1297</v>
      </c>
      <c r="F64" s="60">
        <v>17500</v>
      </c>
      <c r="G64" s="69">
        <v>700</v>
      </c>
      <c r="H64" s="69" t="s">
        <v>172</v>
      </c>
      <c r="I64" s="69" t="s">
        <v>357</v>
      </c>
      <c r="J64" s="58">
        <v>45470</v>
      </c>
      <c r="K64" s="108"/>
      <c r="L64" s="117"/>
      <c r="M64" s="66" t="s">
        <v>1311</v>
      </c>
      <c r="N64" s="341" t="s">
        <v>1325</v>
      </c>
      <c r="O64" s="60">
        <v>17500</v>
      </c>
      <c r="P64" s="56"/>
      <c r="Q64" s="56"/>
      <c r="R64" s="56" t="s">
        <v>387</v>
      </c>
      <c r="S64" s="100">
        <v>49500</v>
      </c>
      <c r="T64" s="65">
        <f t="shared" si="4"/>
        <v>866250</v>
      </c>
    </row>
    <row r="65" spans="1:20" s="67" customFormat="1" ht="13.5" customHeight="1" x14ac:dyDescent="0.25">
      <c r="A65" s="69" t="s">
        <v>927</v>
      </c>
      <c r="B65" s="60" t="s">
        <v>1142</v>
      </c>
      <c r="C65" s="60" t="s">
        <v>436</v>
      </c>
      <c r="D65" s="11" t="s">
        <v>331</v>
      </c>
      <c r="E65" s="59" t="s">
        <v>1137</v>
      </c>
      <c r="F65" s="60">
        <v>4000</v>
      </c>
      <c r="G65" s="69">
        <v>20</v>
      </c>
      <c r="H65" s="69" t="s">
        <v>391</v>
      </c>
      <c r="I65" s="69" t="s">
        <v>357</v>
      </c>
      <c r="J65" s="58">
        <v>45471</v>
      </c>
      <c r="K65" s="108" t="s">
        <v>1314</v>
      </c>
      <c r="L65" s="352" t="s">
        <v>1313</v>
      </c>
      <c r="M65" s="66" t="s">
        <v>1312</v>
      </c>
      <c r="N65" s="341"/>
      <c r="O65" s="56"/>
      <c r="P65" s="56"/>
      <c r="Q65" s="60">
        <v>4000</v>
      </c>
      <c r="R65" s="56" t="s">
        <v>387</v>
      </c>
      <c r="S65" s="100">
        <v>369000</v>
      </c>
      <c r="T65" s="116">
        <f t="shared" si="4"/>
        <v>1476000</v>
      </c>
    </row>
    <row r="66" spans="1:20" s="56" customFormat="1" ht="13.5" customHeight="1" x14ac:dyDescent="0.25">
      <c r="A66" s="69" t="s">
        <v>1066</v>
      </c>
      <c r="B66" s="60" t="s">
        <v>1302</v>
      </c>
      <c r="C66" s="60" t="s">
        <v>165</v>
      </c>
      <c r="D66" s="98" t="s">
        <v>897</v>
      </c>
      <c r="E66" s="64" t="s">
        <v>1078</v>
      </c>
      <c r="F66" s="97">
        <v>6800</v>
      </c>
      <c r="G66" s="69">
        <v>34</v>
      </c>
      <c r="H66" s="69" t="s">
        <v>172</v>
      </c>
      <c r="I66" s="69" t="s">
        <v>357</v>
      </c>
      <c r="J66" s="58">
        <v>45471</v>
      </c>
      <c r="K66" s="108"/>
      <c r="L66" s="117"/>
      <c r="M66" s="66" t="s">
        <v>1311</v>
      </c>
      <c r="N66" s="341" t="s">
        <v>1326</v>
      </c>
      <c r="P66" s="60"/>
      <c r="Q66" s="97">
        <v>6800</v>
      </c>
      <c r="R66" s="56" t="s">
        <v>387</v>
      </c>
      <c r="S66" s="65">
        <v>79000</v>
      </c>
      <c r="T66" s="65">
        <f t="shared" si="4"/>
        <v>537200</v>
      </c>
    </row>
    <row r="67" spans="1:20" s="56" customFormat="1" ht="13.5" customHeight="1" x14ac:dyDescent="0.25">
      <c r="A67" s="69" t="s">
        <v>1066</v>
      </c>
      <c r="B67" s="60" t="s">
        <v>1302</v>
      </c>
      <c r="C67" s="60" t="s">
        <v>165</v>
      </c>
      <c r="D67" s="98" t="s">
        <v>897</v>
      </c>
      <c r="E67" s="64" t="s">
        <v>1051</v>
      </c>
      <c r="F67" s="97">
        <v>400</v>
      </c>
      <c r="G67" s="69">
        <v>2</v>
      </c>
      <c r="H67" s="69" t="s">
        <v>172</v>
      </c>
      <c r="I67" s="69" t="s">
        <v>357</v>
      </c>
      <c r="J67" s="58">
        <v>45471</v>
      </c>
      <c r="K67" s="108"/>
      <c r="L67" s="117"/>
      <c r="M67" s="66" t="s">
        <v>1311</v>
      </c>
      <c r="N67" s="341" t="s">
        <v>1326</v>
      </c>
      <c r="P67" s="60"/>
      <c r="Q67" s="97">
        <v>400</v>
      </c>
      <c r="R67" s="56" t="s">
        <v>387</v>
      </c>
      <c r="S67" s="65">
        <v>79000</v>
      </c>
      <c r="T67" s="65">
        <f t="shared" si="4"/>
        <v>31600</v>
      </c>
    </row>
    <row r="68" spans="1:20" s="56" customFormat="1" ht="13.5" customHeight="1" x14ac:dyDescent="0.25">
      <c r="A68" s="69" t="s">
        <v>1066</v>
      </c>
      <c r="B68" s="60" t="s">
        <v>1302</v>
      </c>
      <c r="C68" s="60" t="s">
        <v>165</v>
      </c>
      <c r="D68" s="98" t="s">
        <v>897</v>
      </c>
      <c r="E68" s="64" t="s">
        <v>1088</v>
      </c>
      <c r="F68" s="97">
        <v>6400</v>
      </c>
      <c r="G68" s="69">
        <v>32</v>
      </c>
      <c r="H68" s="69" t="s">
        <v>172</v>
      </c>
      <c r="I68" s="69" t="s">
        <v>357</v>
      </c>
      <c r="J68" s="58">
        <v>45471</v>
      </c>
      <c r="K68" s="108"/>
      <c r="L68" s="117"/>
      <c r="M68" s="66" t="s">
        <v>1311</v>
      </c>
      <c r="N68" s="341" t="s">
        <v>1326</v>
      </c>
      <c r="P68" s="60"/>
      <c r="Q68" s="97">
        <v>6400</v>
      </c>
      <c r="R68" s="56" t="s">
        <v>387</v>
      </c>
      <c r="S68" s="65">
        <v>79000</v>
      </c>
      <c r="T68" s="65">
        <f t="shared" si="4"/>
        <v>505600</v>
      </c>
    </row>
    <row r="69" spans="1:20" s="56" customFormat="1" ht="13.5" customHeight="1" x14ac:dyDescent="0.25">
      <c r="A69" s="69" t="s">
        <v>1066</v>
      </c>
      <c r="B69" s="60" t="s">
        <v>1302</v>
      </c>
      <c r="C69" s="60" t="s">
        <v>165</v>
      </c>
      <c r="D69" s="98" t="s">
        <v>897</v>
      </c>
      <c r="E69" s="64" t="s">
        <v>1181</v>
      </c>
      <c r="F69" s="97">
        <v>2400</v>
      </c>
      <c r="G69" s="69">
        <v>12</v>
      </c>
      <c r="H69" s="69" t="s">
        <v>172</v>
      </c>
      <c r="I69" s="69" t="s">
        <v>357</v>
      </c>
      <c r="J69" s="58">
        <v>45471</v>
      </c>
      <c r="K69" s="108"/>
      <c r="L69" s="117"/>
      <c r="M69" s="66" t="s">
        <v>1311</v>
      </c>
      <c r="N69" s="341" t="s">
        <v>1326</v>
      </c>
      <c r="P69" s="60"/>
      <c r="Q69" s="97">
        <v>2400</v>
      </c>
      <c r="R69" s="56" t="s">
        <v>387</v>
      </c>
      <c r="S69" s="65">
        <v>79000</v>
      </c>
      <c r="T69" s="65">
        <f t="shared" si="4"/>
        <v>189600</v>
      </c>
    </row>
    <row r="70" spans="1:20" s="67" customFormat="1" x14ac:dyDescent="0.25">
      <c r="A70" s="69" t="s">
        <v>1066</v>
      </c>
      <c r="B70" s="60" t="s">
        <v>1302</v>
      </c>
      <c r="C70" s="60" t="s">
        <v>165</v>
      </c>
      <c r="D70" s="11" t="s">
        <v>1097</v>
      </c>
      <c r="E70" s="59" t="s">
        <v>1297</v>
      </c>
      <c r="F70" s="60">
        <v>17500</v>
      </c>
      <c r="G70" s="69">
        <v>700</v>
      </c>
      <c r="H70" s="69" t="s">
        <v>172</v>
      </c>
      <c r="I70" s="69" t="s">
        <v>357</v>
      </c>
      <c r="J70" s="58">
        <v>45471</v>
      </c>
      <c r="K70" s="108"/>
      <c r="L70" s="117"/>
      <c r="M70" s="66" t="s">
        <v>1311</v>
      </c>
      <c r="N70" s="341" t="s">
        <v>1327</v>
      </c>
      <c r="O70" s="60">
        <v>17500</v>
      </c>
      <c r="P70" s="56"/>
      <c r="Q70" s="56"/>
      <c r="R70" s="56" t="s">
        <v>387</v>
      </c>
      <c r="S70" s="100">
        <v>49500</v>
      </c>
      <c r="T70" s="65">
        <f t="shared" si="4"/>
        <v>866250</v>
      </c>
    </row>
    <row r="71" spans="1:20" s="67" customFormat="1" ht="13.5" customHeight="1" x14ac:dyDescent="0.25">
      <c r="A71" s="69" t="s">
        <v>1298</v>
      </c>
      <c r="B71" s="60" t="s">
        <v>1089</v>
      </c>
      <c r="C71" s="60" t="s">
        <v>165</v>
      </c>
      <c r="D71" s="11" t="s">
        <v>1069</v>
      </c>
      <c r="E71" s="59" t="s">
        <v>1094</v>
      </c>
      <c r="F71" s="60">
        <v>5600</v>
      </c>
      <c r="G71" s="69">
        <v>32</v>
      </c>
      <c r="H71" s="69" t="s">
        <v>172</v>
      </c>
      <c r="I71" s="69" t="s">
        <v>357</v>
      </c>
      <c r="J71" s="58">
        <v>45471</v>
      </c>
      <c r="K71" s="108" t="s">
        <v>1317</v>
      </c>
      <c r="L71" s="117">
        <v>89097227196</v>
      </c>
      <c r="M71" s="66" t="s">
        <v>1319</v>
      </c>
      <c r="N71" s="339"/>
      <c r="O71" s="56"/>
      <c r="P71" s="56"/>
      <c r="Q71" s="60">
        <v>5600</v>
      </c>
      <c r="R71" s="56" t="s">
        <v>387</v>
      </c>
      <c r="S71" s="100">
        <v>255000</v>
      </c>
      <c r="T71" s="65">
        <f t="shared" si="4"/>
        <v>1428000</v>
      </c>
    </row>
    <row r="72" spans="1:20" s="67" customFormat="1" ht="13.5" customHeight="1" x14ac:dyDescent="0.25">
      <c r="A72" s="69" t="s">
        <v>1298</v>
      </c>
      <c r="B72" s="60" t="s">
        <v>1318</v>
      </c>
      <c r="C72" s="60" t="s">
        <v>165</v>
      </c>
      <c r="D72" s="11" t="s">
        <v>1069</v>
      </c>
      <c r="E72" s="59" t="s">
        <v>1315</v>
      </c>
      <c r="F72" s="60">
        <v>7875</v>
      </c>
      <c r="G72" s="69">
        <v>45</v>
      </c>
      <c r="H72" s="69" t="s">
        <v>172</v>
      </c>
      <c r="I72" s="69" t="s">
        <v>357</v>
      </c>
      <c r="J72" s="58">
        <v>45471</v>
      </c>
      <c r="K72" s="108" t="s">
        <v>1317</v>
      </c>
      <c r="L72" s="117">
        <v>89097227196</v>
      </c>
      <c r="M72" s="66" t="s">
        <v>1319</v>
      </c>
      <c r="N72" s="339"/>
      <c r="O72" s="56"/>
      <c r="P72" s="56"/>
      <c r="Q72" s="60">
        <v>7875</v>
      </c>
      <c r="R72" s="56" t="s">
        <v>387</v>
      </c>
      <c r="S72" s="100">
        <v>255000</v>
      </c>
      <c r="T72" s="65">
        <f t="shared" si="4"/>
        <v>2008125</v>
      </c>
    </row>
    <row r="73" spans="1:20" s="67" customFormat="1" ht="13.5" customHeight="1" x14ac:dyDescent="0.25">
      <c r="A73" s="69" t="s">
        <v>1298</v>
      </c>
      <c r="B73" s="60" t="s">
        <v>1318</v>
      </c>
      <c r="C73" s="60" t="s">
        <v>165</v>
      </c>
      <c r="D73" s="11" t="s">
        <v>1069</v>
      </c>
      <c r="E73" s="59" t="s">
        <v>1316</v>
      </c>
      <c r="F73" s="60">
        <v>1925</v>
      </c>
      <c r="G73" s="69">
        <v>11</v>
      </c>
      <c r="H73" s="69" t="s">
        <v>172</v>
      </c>
      <c r="I73" s="69" t="s">
        <v>357</v>
      </c>
      <c r="J73" s="58">
        <v>45471</v>
      </c>
      <c r="K73" s="108" t="s">
        <v>1317</v>
      </c>
      <c r="L73" s="117">
        <v>89097227196</v>
      </c>
      <c r="M73" s="66" t="s">
        <v>1319</v>
      </c>
      <c r="N73" s="339"/>
      <c r="O73" s="56"/>
      <c r="P73" s="56"/>
      <c r="Q73" s="60">
        <v>1925</v>
      </c>
      <c r="R73" s="56" t="s">
        <v>387</v>
      </c>
      <c r="S73" s="100">
        <v>255000</v>
      </c>
      <c r="T73" s="65">
        <f t="shared" si="4"/>
        <v>490875</v>
      </c>
    </row>
    <row r="74" spans="1:20" ht="18.75" x14ac:dyDescent="0.3">
      <c r="A74" s="126" t="s">
        <v>15</v>
      </c>
      <c r="B74" s="110">
        <f>SUM(F4:F73)/1000</f>
        <v>838.48</v>
      </c>
      <c r="C74" s="57" t="s">
        <v>14</v>
      </c>
      <c r="S74" s="102"/>
      <c r="T74" s="102">
        <f>SUM(T4:T73)</f>
        <v>67956135</v>
      </c>
    </row>
    <row r="75" spans="1:20" ht="18.75" x14ac:dyDescent="0.3">
      <c r="A75" s="127" t="s">
        <v>16</v>
      </c>
      <c r="B75" s="111">
        <f>B76+B77+B78</f>
        <v>838.48</v>
      </c>
      <c r="C75" s="1" t="s">
        <v>14</v>
      </c>
    </row>
    <row r="76" spans="1:20" ht="18.75" x14ac:dyDescent="0.3">
      <c r="A76" s="128" t="s">
        <v>17</v>
      </c>
      <c r="B76" s="109">
        <f>SUM(O4:O73)/1000</f>
        <v>510.5</v>
      </c>
      <c r="C76" s="2" t="s">
        <v>14</v>
      </c>
    </row>
    <row r="77" spans="1:20" ht="18.75" x14ac:dyDescent="0.3">
      <c r="A77" s="128" t="s">
        <v>154</v>
      </c>
      <c r="B77" s="109">
        <f>SUM(P4:P73)/1000</f>
        <v>115.04</v>
      </c>
      <c r="C77" s="2" t="s">
        <v>14</v>
      </c>
    </row>
    <row r="78" spans="1:20" ht="18.75" x14ac:dyDescent="0.3">
      <c r="A78" s="128" t="s">
        <v>24</v>
      </c>
      <c r="B78" s="112">
        <f>SUM(Q4:Q73)/1000</f>
        <v>212.94</v>
      </c>
      <c r="C78" s="2" t="s">
        <v>14</v>
      </c>
    </row>
    <row r="79" spans="1:20" ht="19.5" thickBot="1" x14ac:dyDescent="0.35">
      <c r="A79" s="129" t="s">
        <v>20</v>
      </c>
      <c r="B79" s="113">
        <f>B74-B75</f>
        <v>0</v>
      </c>
      <c r="C79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79" xr:uid="{00000000-0009-0000-0000-000006000000}"/>
  <mergeCells count="13">
    <mergeCell ref="A8:A9"/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28" type="noConversion"/>
  <dataValidations count="3">
    <dataValidation type="list" allowBlank="1" showInputMessage="1" showErrorMessage="1" sqref="D74" xr:uid="{00000000-0002-0000-0600-000000000000}">
      <formula1>$E$74:$E$90</formula1>
    </dataValidation>
    <dataValidation type="list" allowBlank="1" showInputMessage="1" showErrorMessage="1" sqref="D63 D45:D61 D65 D71:D73" xr:uid="{00000000-0002-0000-0600-000001000000}">
      <formula1>$E$2:$E$147</formula1>
    </dataValidation>
    <dataValidation type="list" allowBlank="1" showInputMessage="1" showErrorMessage="1" sqref="D62:D70" xr:uid="{00000000-0002-0000-0600-000002000000}">
      <formula1>$E$2:$E$145</formula1>
    </dataValidation>
  </dataValidations>
  <pageMargins left="0.7" right="0.7" top="0.75" bottom="0.75" header="0.3" footer="0.3"/>
  <pageSetup paperSize="9" scale="34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3000000}">
          <x14:formula1>
            <xm:f>справочник!$E$2:$E$155</xm:f>
          </x14:formula1>
          <xm:sqref>D4:D42</xm:sqref>
        </x14:dataValidation>
        <x14:dataValidation type="list" allowBlank="1" showInputMessage="1" showErrorMessage="1" xr:uid="{00000000-0002-0000-0600-000004000000}">
          <x14:formula1>
            <xm:f>справочник!$E$2:$E$152</xm:f>
          </x14:formula1>
          <xm:sqref>D43:D44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81"/>
  <sheetViews>
    <sheetView zoomScale="70" zoomScaleNormal="70" zoomScaleSheetLayoutView="70" workbookViewId="0">
      <pane ySplit="3" topLeftCell="A49" activePane="bottomLeft" state="frozen"/>
      <selection pane="bottomLeft" activeCell="C30" sqref="A30:XFD30"/>
    </sheetView>
  </sheetViews>
  <sheetFormatPr defaultRowHeight="15" x14ac:dyDescent="0.25"/>
  <cols>
    <col min="1" max="1" width="19.5703125" style="130" customWidth="1"/>
    <col min="2" max="2" width="28.5703125" bestFit="1" customWidth="1"/>
    <col min="3" max="3" width="24.7109375" customWidth="1"/>
    <col min="4" max="4" width="40.140625" bestFit="1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33.85546875" customWidth="1"/>
    <col min="10" max="10" width="16.42578125" customWidth="1"/>
    <col min="11" max="11" width="30.42578125" customWidth="1"/>
    <col min="12" max="12" width="25.5703125" customWidth="1"/>
    <col min="13" max="13" width="29.5703125" customWidth="1"/>
    <col min="14" max="14" width="21.42578125" style="120" customWidth="1"/>
    <col min="18" max="18" width="12.42578125" customWidth="1"/>
    <col min="19" max="19" width="25.1406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45413</v>
      </c>
      <c r="D1" s="342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55" t="s">
        <v>1</v>
      </c>
      <c r="G3" s="55" t="s">
        <v>156</v>
      </c>
      <c r="H3" s="453"/>
      <c r="I3" s="455"/>
      <c r="J3" s="457"/>
      <c r="K3" s="54" t="s">
        <v>8</v>
      </c>
      <c r="L3" s="54" t="s">
        <v>21</v>
      </c>
      <c r="M3" s="54" t="s">
        <v>10</v>
      </c>
      <c r="N3" s="122" t="s">
        <v>11</v>
      </c>
      <c r="O3" s="5" t="s">
        <v>13</v>
      </c>
      <c r="P3" s="5" t="s">
        <v>155</v>
      </c>
      <c r="Q3" s="124" t="s">
        <v>23</v>
      </c>
      <c r="R3" s="439"/>
      <c r="S3" s="68" t="s">
        <v>162</v>
      </c>
      <c r="T3" s="99" t="s">
        <v>163</v>
      </c>
    </row>
    <row r="4" spans="1:20" s="67" customFormat="1" ht="13.5" customHeight="1" x14ac:dyDescent="0.25">
      <c r="A4" s="344" t="s">
        <v>1045</v>
      </c>
      <c r="B4" s="60" t="s">
        <v>348</v>
      </c>
      <c r="C4" s="60" t="s">
        <v>168</v>
      </c>
      <c r="D4" s="98" t="s">
        <v>621</v>
      </c>
      <c r="E4" s="64" t="s">
        <v>1042</v>
      </c>
      <c r="F4" s="97">
        <v>7920</v>
      </c>
      <c r="G4" s="69">
        <v>44</v>
      </c>
      <c r="H4" s="69" t="s">
        <v>391</v>
      </c>
      <c r="I4" s="69" t="s">
        <v>357</v>
      </c>
      <c r="J4" s="58">
        <v>45414</v>
      </c>
      <c r="K4" s="108" t="s">
        <v>1086</v>
      </c>
      <c r="L4" s="117">
        <v>89105685587</v>
      </c>
      <c r="M4" s="56" t="s">
        <v>1087</v>
      </c>
      <c r="N4" s="339"/>
      <c r="O4" s="56"/>
      <c r="P4" s="60"/>
      <c r="Q4" s="97">
        <v>7920</v>
      </c>
      <c r="R4" s="56" t="s">
        <v>387</v>
      </c>
      <c r="S4" s="100">
        <v>359000</v>
      </c>
      <c r="T4" s="65">
        <f t="shared" ref="T4:T9" si="0" xml:space="preserve"> S4*(F4/1000)</f>
        <v>2843280</v>
      </c>
    </row>
    <row r="5" spans="1:20" s="67" customFormat="1" ht="13.5" customHeight="1" x14ac:dyDescent="0.25">
      <c r="A5" s="344" t="s">
        <v>1045</v>
      </c>
      <c r="B5" s="60" t="s">
        <v>380</v>
      </c>
      <c r="C5" s="60" t="s">
        <v>168</v>
      </c>
      <c r="D5" s="98" t="s">
        <v>316</v>
      </c>
      <c r="E5" s="64" t="s">
        <v>1037</v>
      </c>
      <c r="F5" s="97">
        <v>2000</v>
      </c>
      <c r="G5" s="69">
        <v>100</v>
      </c>
      <c r="H5" s="69" t="s">
        <v>391</v>
      </c>
      <c r="I5" s="69" t="s">
        <v>357</v>
      </c>
      <c r="J5" s="58">
        <v>45414</v>
      </c>
      <c r="K5" s="108" t="s">
        <v>1086</v>
      </c>
      <c r="L5" s="117">
        <v>89105685587</v>
      </c>
      <c r="M5" s="56" t="s">
        <v>1087</v>
      </c>
      <c r="N5" s="339"/>
      <c r="O5" s="56"/>
      <c r="P5" s="97">
        <v>2000</v>
      </c>
      <c r="Q5" s="56"/>
      <c r="R5" s="56" t="s">
        <v>387</v>
      </c>
      <c r="S5" s="100">
        <v>101000</v>
      </c>
      <c r="T5" s="65">
        <f t="shared" si="0"/>
        <v>202000</v>
      </c>
    </row>
    <row r="6" spans="1:20" s="67" customFormat="1" ht="13.5" customHeight="1" x14ac:dyDescent="0.25">
      <c r="A6" s="344" t="s">
        <v>1045</v>
      </c>
      <c r="B6" s="60" t="s">
        <v>380</v>
      </c>
      <c r="C6" s="60" t="s">
        <v>168</v>
      </c>
      <c r="D6" s="98" t="s">
        <v>307</v>
      </c>
      <c r="E6" s="64" t="s">
        <v>1051</v>
      </c>
      <c r="F6" s="97">
        <v>2000</v>
      </c>
      <c r="G6" s="69">
        <v>80</v>
      </c>
      <c r="H6" s="69" t="s">
        <v>391</v>
      </c>
      <c r="I6" s="69" t="s">
        <v>357</v>
      </c>
      <c r="J6" s="58">
        <v>45414</v>
      </c>
      <c r="K6" s="108" t="s">
        <v>1086</v>
      </c>
      <c r="L6" s="117">
        <v>89105685587</v>
      </c>
      <c r="M6" s="56" t="s">
        <v>1087</v>
      </c>
      <c r="N6" s="339"/>
      <c r="O6" s="97">
        <v>2000</v>
      </c>
      <c r="P6" s="97"/>
      <c r="Q6" s="56"/>
      <c r="R6" s="56" t="s">
        <v>387</v>
      </c>
      <c r="S6" s="100">
        <v>50000</v>
      </c>
      <c r="T6" s="65">
        <f t="shared" si="0"/>
        <v>100000</v>
      </c>
    </row>
    <row r="7" spans="1:20" s="67" customFormat="1" ht="14.25" customHeight="1" x14ac:dyDescent="0.25">
      <c r="A7" s="69" t="s">
        <v>224</v>
      </c>
      <c r="B7" s="97" t="s">
        <v>774</v>
      </c>
      <c r="C7" s="97" t="s">
        <v>349</v>
      </c>
      <c r="D7" s="98" t="s">
        <v>279</v>
      </c>
      <c r="E7" s="59" t="s">
        <v>904</v>
      </c>
      <c r="F7" s="97">
        <v>20000</v>
      </c>
      <c r="G7" s="69">
        <v>800</v>
      </c>
      <c r="H7" s="69" t="s">
        <v>352</v>
      </c>
      <c r="I7" s="69" t="s">
        <v>357</v>
      </c>
      <c r="J7" s="58">
        <v>45415</v>
      </c>
      <c r="K7" s="105" t="s">
        <v>1062</v>
      </c>
      <c r="L7" s="123" t="s">
        <v>935</v>
      </c>
      <c r="M7" s="105" t="s">
        <v>1061</v>
      </c>
      <c r="N7" s="340"/>
      <c r="O7" s="97">
        <v>20000</v>
      </c>
      <c r="P7" s="60"/>
      <c r="Q7" s="56"/>
      <c r="R7" s="56" t="s">
        <v>387</v>
      </c>
      <c r="S7" s="100">
        <v>45000</v>
      </c>
      <c r="T7" s="65">
        <f t="shared" si="0"/>
        <v>900000</v>
      </c>
    </row>
    <row r="8" spans="1:20" s="67" customFormat="1" ht="14.25" customHeight="1" x14ac:dyDescent="0.25">
      <c r="A8" s="69" t="s">
        <v>224</v>
      </c>
      <c r="B8" s="97" t="s">
        <v>774</v>
      </c>
      <c r="C8" s="97" t="s">
        <v>349</v>
      </c>
      <c r="D8" s="98" t="s">
        <v>279</v>
      </c>
      <c r="E8" s="59" t="s">
        <v>900</v>
      </c>
      <c r="F8" s="97">
        <v>20000</v>
      </c>
      <c r="G8" s="69">
        <v>800</v>
      </c>
      <c r="H8" s="69" t="s">
        <v>352</v>
      </c>
      <c r="I8" s="69" t="s">
        <v>357</v>
      </c>
      <c r="J8" s="58">
        <v>45415</v>
      </c>
      <c r="K8" s="105" t="s">
        <v>1064</v>
      </c>
      <c r="L8" s="123" t="s">
        <v>1065</v>
      </c>
      <c r="M8" s="105" t="s">
        <v>1063</v>
      </c>
      <c r="N8" s="340"/>
      <c r="O8" s="97">
        <v>20000</v>
      </c>
      <c r="P8" s="60"/>
      <c r="Q8" s="56"/>
      <c r="R8" s="56" t="s">
        <v>387</v>
      </c>
      <c r="S8" s="100">
        <v>45000</v>
      </c>
      <c r="T8" s="65">
        <f t="shared" si="0"/>
        <v>900000</v>
      </c>
    </row>
    <row r="9" spans="1:20" s="67" customFormat="1" x14ac:dyDescent="0.25">
      <c r="A9" s="69" t="s">
        <v>779</v>
      </c>
      <c r="B9" s="60" t="s">
        <v>1072</v>
      </c>
      <c r="C9" s="60" t="s">
        <v>165</v>
      </c>
      <c r="D9" s="11" t="s">
        <v>291</v>
      </c>
      <c r="E9" s="59" t="s">
        <v>1055</v>
      </c>
      <c r="F9" s="60">
        <v>19845</v>
      </c>
      <c r="G9" s="69">
        <v>875</v>
      </c>
      <c r="H9" s="69" t="s">
        <v>1053</v>
      </c>
      <c r="I9" s="69" t="s">
        <v>357</v>
      </c>
      <c r="J9" s="58">
        <v>45415</v>
      </c>
      <c r="K9" s="108" t="s">
        <v>1060</v>
      </c>
      <c r="L9" s="117">
        <v>89021984502</v>
      </c>
      <c r="M9" s="66" t="s">
        <v>778</v>
      </c>
      <c r="N9" s="341"/>
      <c r="O9" s="60">
        <v>19845</v>
      </c>
      <c r="P9" s="56"/>
      <c r="Q9" s="56"/>
      <c r="R9" s="56" t="s">
        <v>387</v>
      </c>
      <c r="S9" s="100">
        <v>49500</v>
      </c>
      <c r="T9" s="65">
        <f t="shared" si="0"/>
        <v>982327.5</v>
      </c>
    </row>
    <row r="10" spans="1:20" s="67" customFormat="1" ht="13.5" customHeight="1" x14ac:dyDescent="0.25">
      <c r="A10" s="345" t="s">
        <v>240</v>
      </c>
      <c r="B10" s="97" t="s">
        <v>1107</v>
      </c>
      <c r="C10" s="97" t="s">
        <v>182</v>
      </c>
      <c r="D10" s="98" t="s">
        <v>301</v>
      </c>
      <c r="E10" s="59" t="s">
        <v>979</v>
      </c>
      <c r="F10" s="97">
        <v>17500</v>
      </c>
      <c r="G10" s="69">
        <v>700</v>
      </c>
      <c r="H10" s="69" t="s">
        <v>169</v>
      </c>
      <c r="I10" s="69" t="s">
        <v>357</v>
      </c>
      <c r="J10" s="58">
        <v>45418</v>
      </c>
      <c r="K10" s="105"/>
      <c r="L10" s="123"/>
      <c r="M10" s="105"/>
      <c r="N10" s="339" t="s">
        <v>1105</v>
      </c>
      <c r="O10" s="97">
        <v>17500</v>
      </c>
      <c r="P10" s="60"/>
      <c r="Q10" s="56"/>
      <c r="R10" s="56" t="s">
        <v>387</v>
      </c>
      <c r="S10" s="100">
        <v>41000</v>
      </c>
      <c r="T10" s="116">
        <f t="shared" ref="T10:T18" si="1" xml:space="preserve"> S10*(F10/1000)</f>
        <v>717500</v>
      </c>
    </row>
    <row r="11" spans="1:20" s="67" customFormat="1" ht="13.5" customHeight="1" x14ac:dyDescent="0.25">
      <c r="A11" s="345" t="s">
        <v>240</v>
      </c>
      <c r="B11" s="97" t="s">
        <v>1107</v>
      </c>
      <c r="C11" s="97" t="s">
        <v>182</v>
      </c>
      <c r="D11" s="98" t="s">
        <v>301</v>
      </c>
      <c r="E11" s="59" t="s">
        <v>980</v>
      </c>
      <c r="F11" s="97">
        <v>17500</v>
      </c>
      <c r="G11" s="69">
        <v>700</v>
      </c>
      <c r="H11" s="69" t="s">
        <v>169</v>
      </c>
      <c r="I11" s="69" t="s">
        <v>357</v>
      </c>
      <c r="J11" s="58">
        <v>45418</v>
      </c>
      <c r="K11" s="105"/>
      <c r="L11" s="123"/>
      <c r="M11" s="105"/>
      <c r="N11" s="339" t="s">
        <v>1106</v>
      </c>
      <c r="O11" s="97">
        <v>17500</v>
      </c>
      <c r="P11" s="60"/>
      <c r="Q11" s="56"/>
      <c r="R11" s="56" t="s">
        <v>387</v>
      </c>
      <c r="S11" s="100">
        <v>41000</v>
      </c>
      <c r="T11" s="116">
        <f t="shared" si="1"/>
        <v>717500</v>
      </c>
    </row>
    <row r="12" spans="1:20" s="56" customFormat="1" ht="13.5" customHeight="1" x14ac:dyDescent="0.25">
      <c r="A12" s="464" t="s">
        <v>1066</v>
      </c>
      <c r="B12" s="60" t="s">
        <v>1038</v>
      </c>
      <c r="C12" s="60" t="s">
        <v>165</v>
      </c>
      <c r="D12" s="98" t="s">
        <v>897</v>
      </c>
      <c r="E12" s="64" t="s">
        <v>1039</v>
      </c>
      <c r="F12" s="97">
        <v>7400</v>
      </c>
      <c r="G12" s="69">
        <v>37</v>
      </c>
      <c r="H12" s="69" t="s">
        <v>172</v>
      </c>
      <c r="I12" s="69" t="s">
        <v>357</v>
      </c>
      <c r="J12" s="58">
        <v>45419</v>
      </c>
      <c r="K12" s="108"/>
      <c r="L12" s="117"/>
      <c r="M12" s="66"/>
      <c r="N12" s="466" t="s">
        <v>1109</v>
      </c>
      <c r="P12" s="60"/>
      <c r="Q12" s="97">
        <v>7400</v>
      </c>
      <c r="R12" s="56" t="s">
        <v>387</v>
      </c>
      <c r="S12" s="65">
        <v>79000</v>
      </c>
      <c r="T12" s="65">
        <f t="shared" si="1"/>
        <v>584600</v>
      </c>
    </row>
    <row r="13" spans="1:20" s="56" customFormat="1" ht="13.5" customHeight="1" x14ac:dyDescent="0.25">
      <c r="A13" s="469"/>
      <c r="B13" s="60" t="s">
        <v>1038</v>
      </c>
      <c r="C13" s="60" t="s">
        <v>165</v>
      </c>
      <c r="D13" s="98" t="s">
        <v>897</v>
      </c>
      <c r="E13" s="64" t="s">
        <v>1055</v>
      </c>
      <c r="F13" s="97">
        <v>7000</v>
      </c>
      <c r="G13" s="69">
        <v>35</v>
      </c>
      <c r="H13" s="69" t="s">
        <v>172</v>
      </c>
      <c r="I13" s="69" t="s">
        <v>357</v>
      </c>
      <c r="J13" s="58">
        <v>45419</v>
      </c>
      <c r="K13" s="108"/>
      <c r="L13" s="117"/>
      <c r="M13" s="66"/>
      <c r="N13" s="467"/>
      <c r="P13" s="60"/>
      <c r="Q13" s="97">
        <v>7000</v>
      </c>
      <c r="R13" s="56" t="s">
        <v>387</v>
      </c>
      <c r="S13" s="65">
        <v>79000</v>
      </c>
      <c r="T13" s="65">
        <f t="shared" si="1"/>
        <v>553000</v>
      </c>
    </row>
    <row r="14" spans="1:20" s="56" customFormat="1" ht="13.5" customHeight="1" x14ac:dyDescent="0.25">
      <c r="A14" s="469"/>
      <c r="B14" s="60" t="s">
        <v>1038</v>
      </c>
      <c r="C14" s="60" t="s">
        <v>165</v>
      </c>
      <c r="D14" s="98" t="s">
        <v>897</v>
      </c>
      <c r="E14" s="64" t="s">
        <v>1068</v>
      </c>
      <c r="F14" s="97">
        <v>1400</v>
      </c>
      <c r="G14" s="69">
        <v>7</v>
      </c>
      <c r="H14" s="69" t="s">
        <v>172</v>
      </c>
      <c r="I14" s="69" t="s">
        <v>357</v>
      </c>
      <c r="J14" s="58">
        <v>45419</v>
      </c>
      <c r="K14" s="108"/>
      <c r="L14" s="117"/>
      <c r="M14" s="66"/>
      <c r="N14" s="467"/>
      <c r="P14" s="60"/>
      <c r="Q14" s="97">
        <v>1400</v>
      </c>
      <c r="R14" s="56" t="s">
        <v>387</v>
      </c>
      <c r="S14" s="65">
        <v>79000</v>
      </c>
      <c r="T14" s="65">
        <f t="shared" si="1"/>
        <v>110600</v>
      </c>
    </row>
    <row r="15" spans="1:20" s="56" customFormat="1" ht="13.5" customHeight="1" x14ac:dyDescent="0.25">
      <c r="A15" s="465"/>
      <c r="B15" s="60" t="s">
        <v>1038</v>
      </c>
      <c r="C15" s="60" t="s">
        <v>165</v>
      </c>
      <c r="D15" s="98" t="s">
        <v>897</v>
      </c>
      <c r="E15" s="64" t="s">
        <v>1004</v>
      </c>
      <c r="F15" s="97">
        <v>200</v>
      </c>
      <c r="G15" s="69">
        <v>1</v>
      </c>
      <c r="H15" s="69" t="s">
        <v>172</v>
      </c>
      <c r="I15" s="69" t="s">
        <v>357</v>
      </c>
      <c r="J15" s="58">
        <v>45419</v>
      </c>
      <c r="K15" s="108"/>
      <c r="L15" s="117"/>
      <c r="M15" s="66"/>
      <c r="N15" s="468"/>
      <c r="P15" s="60"/>
      <c r="Q15" s="97">
        <v>200</v>
      </c>
      <c r="R15" s="56" t="s">
        <v>387</v>
      </c>
      <c r="S15" s="65">
        <v>79000</v>
      </c>
      <c r="T15" s="65">
        <f t="shared" si="1"/>
        <v>15800</v>
      </c>
    </row>
    <row r="16" spans="1:20" s="56" customFormat="1" ht="13.5" customHeight="1" x14ac:dyDescent="0.25">
      <c r="A16" s="464" t="s">
        <v>1066</v>
      </c>
      <c r="B16" s="60" t="s">
        <v>1038</v>
      </c>
      <c r="C16" s="60" t="s">
        <v>165</v>
      </c>
      <c r="D16" s="98" t="s">
        <v>897</v>
      </c>
      <c r="E16" s="64" t="s">
        <v>1068</v>
      </c>
      <c r="F16" s="97">
        <v>5600</v>
      </c>
      <c r="G16" s="69">
        <v>28</v>
      </c>
      <c r="H16" s="69" t="s">
        <v>172</v>
      </c>
      <c r="I16" s="69" t="s">
        <v>357</v>
      </c>
      <c r="J16" s="58">
        <v>45419</v>
      </c>
      <c r="K16" s="108"/>
      <c r="L16" s="117"/>
      <c r="M16" s="66"/>
      <c r="N16" s="466" t="s">
        <v>1110</v>
      </c>
      <c r="P16" s="60"/>
      <c r="Q16" s="97">
        <v>5600</v>
      </c>
      <c r="R16" s="56" t="s">
        <v>387</v>
      </c>
      <c r="S16" s="65">
        <v>79000</v>
      </c>
      <c r="T16" s="65">
        <f t="shared" si="1"/>
        <v>442400</v>
      </c>
    </row>
    <row r="17" spans="1:20" s="56" customFormat="1" ht="13.5" customHeight="1" x14ac:dyDescent="0.25">
      <c r="A17" s="469"/>
      <c r="B17" s="60" t="s">
        <v>1038</v>
      </c>
      <c r="C17" s="60" t="s">
        <v>165</v>
      </c>
      <c r="D17" s="98" t="s">
        <v>897</v>
      </c>
      <c r="E17" s="64" t="s">
        <v>1051</v>
      </c>
      <c r="F17" s="97">
        <v>6400</v>
      </c>
      <c r="G17" s="69">
        <v>32</v>
      </c>
      <c r="H17" s="69" t="s">
        <v>172</v>
      </c>
      <c r="I17" s="69" t="s">
        <v>357</v>
      </c>
      <c r="J17" s="58">
        <v>45419</v>
      </c>
      <c r="K17" s="108"/>
      <c r="L17" s="117"/>
      <c r="M17" s="66"/>
      <c r="N17" s="467"/>
      <c r="P17" s="60"/>
      <c r="Q17" s="97">
        <v>6400</v>
      </c>
      <c r="R17" s="56" t="s">
        <v>387</v>
      </c>
      <c r="S17" s="65">
        <v>79000</v>
      </c>
      <c r="T17" s="65">
        <f t="shared" si="1"/>
        <v>505600</v>
      </c>
    </row>
    <row r="18" spans="1:20" s="56" customFormat="1" ht="13.5" customHeight="1" x14ac:dyDescent="0.25">
      <c r="A18" s="465"/>
      <c r="B18" s="60" t="s">
        <v>1038</v>
      </c>
      <c r="C18" s="60" t="s">
        <v>165</v>
      </c>
      <c r="D18" s="98" t="s">
        <v>897</v>
      </c>
      <c r="E18" s="64" t="s">
        <v>1078</v>
      </c>
      <c r="F18" s="97">
        <v>4000</v>
      </c>
      <c r="G18" s="69">
        <v>20</v>
      </c>
      <c r="H18" s="69" t="s">
        <v>172</v>
      </c>
      <c r="I18" s="69" t="s">
        <v>357</v>
      </c>
      <c r="J18" s="58">
        <v>45419</v>
      </c>
      <c r="K18" s="108"/>
      <c r="L18" s="117"/>
      <c r="M18" s="66"/>
      <c r="N18" s="468"/>
      <c r="P18" s="60"/>
      <c r="Q18" s="97">
        <v>4000</v>
      </c>
      <c r="R18" s="56" t="s">
        <v>387</v>
      </c>
      <c r="S18" s="65">
        <v>79000</v>
      </c>
      <c r="T18" s="65">
        <f t="shared" si="1"/>
        <v>316000</v>
      </c>
    </row>
    <row r="19" spans="1:20" s="67" customFormat="1" ht="13.5" customHeight="1" x14ac:dyDescent="0.25">
      <c r="A19" s="344" t="s">
        <v>779</v>
      </c>
      <c r="B19" s="60" t="s">
        <v>1081</v>
      </c>
      <c r="C19" s="60" t="s">
        <v>657</v>
      </c>
      <c r="D19" s="11" t="s">
        <v>1070</v>
      </c>
      <c r="E19" s="59" t="s">
        <v>1082</v>
      </c>
      <c r="F19" s="60">
        <v>2880</v>
      </c>
      <c r="G19" s="69">
        <v>16</v>
      </c>
      <c r="H19" s="69" t="s">
        <v>655</v>
      </c>
      <c r="I19" s="69" t="s">
        <v>357</v>
      </c>
      <c r="J19" s="58">
        <v>45419</v>
      </c>
      <c r="K19" s="108" t="s">
        <v>1085</v>
      </c>
      <c r="L19" s="117">
        <v>89532611461</v>
      </c>
      <c r="M19" s="66" t="s">
        <v>697</v>
      </c>
      <c r="N19" s="341"/>
      <c r="O19" s="56"/>
      <c r="P19" s="56"/>
      <c r="Q19" s="60">
        <v>2880</v>
      </c>
      <c r="R19" s="56" t="s">
        <v>387</v>
      </c>
      <c r="S19" s="100">
        <v>165000</v>
      </c>
      <c r="T19" s="65">
        <f t="shared" ref="T19:T24" si="2" xml:space="preserve"> S19*(F19/1000)</f>
        <v>475200</v>
      </c>
    </row>
    <row r="20" spans="1:20" s="67" customFormat="1" ht="14.25" customHeight="1" x14ac:dyDescent="0.25">
      <c r="A20" s="344" t="s">
        <v>779</v>
      </c>
      <c r="B20" s="60" t="s">
        <v>1081</v>
      </c>
      <c r="C20" s="60" t="s">
        <v>657</v>
      </c>
      <c r="D20" s="11" t="s">
        <v>200</v>
      </c>
      <c r="E20" s="59" t="s">
        <v>1084</v>
      </c>
      <c r="F20" s="60">
        <v>9880</v>
      </c>
      <c r="G20" s="69">
        <v>52</v>
      </c>
      <c r="H20" s="69" t="s">
        <v>655</v>
      </c>
      <c r="I20" s="69" t="s">
        <v>357</v>
      </c>
      <c r="J20" s="58">
        <v>45419</v>
      </c>
      <c r="K20" s="108" t="s">
        <v>1085</v>
      </c>
      <c r="L20" s="117">
        <v>89532611461</v>
      </c>
      <c r="M20" s="66" t="s">
        <v>697</v>
      </c>
      <c r="N20" s="341"/>
      <c r="O20" s="56"/>
      <c r="P20" s="60"/>
      <c r="Q20" s="60">
        <v>9880</v>
      </c>
      <c r="R20" s="56" t="s">
        <v>387</v>
      </c>
      <c r="S20" s="100">
        <v>123000</v>
      </c>
      <c r="T20" s="65">
        <f t="shared" si="2"/>
        <v>1215240</v>
      </c>
    </row>
    <row r="21" spans="1:20" s="67" customFormat="1" ht="14.25" customHeight="1" x14ac:dyDescent="0.25">
      <c r="A21" s="344" t="s">
        <v>779</v>
      </c>
      <c r="B21" s="60" t="s">
        <v>1081</v>
      </c>
      <c r="C21" s="60" t="s">
        <v>657</v>
      </c>
      <c r="D21" s="11" t="s">
        <v>298</v>
      </c>
      <c r="E21" s="64" t="s">
        <v>1083</v>
      </c>
      <c r="F21" s="60">
        <v>3996</v>
      </c>
      <c r="G21" s="69">
        <v>222</v>
      </c>
      <c r="H21" s="69" t="s">
        <v>655</v>
      </c>
      <c r="I21" s="69" t="s">
        <v>357</v>
      </c>
      <c r="J21" s="58">
        <v>45419</v>
      </c>
      <c r="K21" s="108" t="s">
        <v>1085</v>
      </c>
      <c r="L21" s="117">
        <v>89532611461</v>
      </c>
      <c r="M21" s="66" t="s">
        <v>697</v>
      </c>
      <c r="N21" s="341"/>
      <c r="O21" s="56"/>
      <c r="P21" s="60">
        <v>3996</v>
      </c>
      <c r="Q21" s="56"/>
      <c r="R21" s="56" t="s">
        <v>387</v>
      </c>
      <c r="S21" s="100">
        <v>210000</v>
      </c>
      <c r="T21" s="65">
        <f t="shared" si="2"/>
        <v>839160</v>
      </c>
    </row>
    <row r="22" spans="1:20" s="67" customFormat="1" ht="13.5" customHeight="1" x14ac:dyDescent="0.25">
      <c r="A22" s="69" t="s">
        <v>927</v>
      </c>
      <c r="B22" s="60" t="s">
        <v>1089</v>
      </c>
      <c r="C22" s="60" t="s">
        <v>165</v>
      </c>
      <c r="D22" s="11" t="s">
        <v>1069</v>
      </c>
      <c r="E22" s="59" t="s">
        <v>1088</v>
      </c>
      <c r="F22" s="60">
        <v>7000</v>
      </c>
      <c r="G22" s="69">
        <v>40</v>
      </c>
      <c r="H22" s="69" t="s">
        <v>172</v>
      </c>
      <c r="I22" s="69" t="s">
        <v>357</v>
      </c>
      <c r="J22" s="58">
        <v>45420</v>
      </c>
      <c r="K22" s="108" t="s">
        <v>1113</v>
      </c>
      <c r="L22" s="118">
        <v>89173930716</v>
      </c>
      <c r="M22" s="66" t="s">
        <v>1114</v>
      </c>
      <c r="N22" s="339"/>
      <c r="O22" s="56"/>
      <c r="P22" s="56"/>
      <c r="Q22" s="60">
        <v>7000</v>
      </c>
      <c r="R22" s="56" t="s">
        <v>387</v>
      </c>
      <c r="S22" s="100">
        <v>255000</v>
      </c>
      <c r="T22" s="65">
        <f t="shared" si="2"/>
        <v>1785000</v>
      </c>
    </row>
    <row r="23" spans="1:20" s="67" customFormat="1" ht="13.5" customHeight="1" x14ac:dyDescent="0.25">
      <c r="A23" s="69" t="s">
        <v>927</v>
      </c>
      <c r="B23" s="60" t="s">
        <v>1089</v>
      </c>
      <c r="C23" s="60" t="s">
        <v>165</v>
      </c>
      <c r="D23" s="11" t="s">
        <v>1069</v>
      </c>
      <c r="E23" s="59" t="s">
        <v>1092</v>
      </c>
      <c r="F23" s="60">
        <v>7000</v>
      </c>
      <c r="G23" s="69">
        <v>40</v>
      </c>
      <c r="H23" s="69" t="s">
        <v>172</v>
      </c>
      <c r="I23" s="69" t="s">
        <v>357</v>
      </c>
      <c r="J23" s="58">
        <v>45420</v>
      </c>
      <c r="K23" s="108" t="s">
        <v>1113</v>
      </c>
      <c r="L23" s="118">
        <v>89173930716</v>
      </c>
      <c r="M23" s="66" t="s">
        <v>1138</v>
      </c>
      <c r="N23" s="339"/>
      <c r="O23" s="56"/>
      <c r="P23" s="56"/>
      <c r="Q23" s="60">
        <v>7000</v>
      </c>
      <c r="R23" s="56" t="s">
        <v>387</v>
      </c>
      <c r="S23" s="100">
        <v>255000</v>
      </c>
      <c r="T23" s="65">
        <f t="shared" si="2"/>
        <v>1785000</v>
      </c>
    </row>
    <row r="24" spans="1:20" s="67" customFormat="1" ht="13.5" customHeight="1" x14ac:dyDescent="0.25">
      <c r="A24" s="69" t="s">
        <v>927</v>
      </c>
      <c r="B24" s="60" t="s">
        <v>1089</v>
      </c>
      <c r="C24" s="60" t="s">
        <v>165</v>
      </c>
      <c r="D24" s="11" t="s">
        <v>1069</v>
      </c>
      <c r="E24" s="59" t="s">
        <v>1094</v>
      </c>
      <c r="F24" s="60">
        <v>1400</v>
      </c>
      <c r="G24" s="69">
        <v>8</v>
      </c>
      <c r="H24" s="69" t="s">
        <v>172</v>
      </c>
      <c r="I24" s="69" t="s">
        <v>357</v>
      </c>
      <c r="J24" s="58">
        <v>45420</v>
      </c>
      <c r="K24" s="108" t="s">
        <v>1113</v>
      </c>
      <c r="L24" s="118">
        <v>89173930716</v>
      </c>
      <c r="M24" s="66" t="s">
        <v>1114</v>
      </c>
      <c r="N24" s="339"/>
      <c r="O24" s="56"/>
      <c r="P24" s="56"/>
      <c r="Q24" s="60">
        <v>1400</v>
      </c>
      <c r="R24" s="56" t="s">
        <v>387</v>
      </c>
      <c r="S24" s="100">
        <v>255000</v>
      </c>
      <c r="T24" s="65">
        <f t="shared" si="2"/>
        <v>357000</v>
      </c>
    </row>
    <row r="25" spans="1:20" s="67" customFormat="1" ht="13.5" customHeight="1" x14ac:dyDescent="0.25">
      <c r="A25" s="344" t="s">
        <v>779</v>
      </c>
      <c r="B25" s="60" t="s">
        <v>380</v>
      </c>
      <c r="C25" s="60" t="s">
        <v>168</v>
      </c>
      <c r="D25" s="98" t="s">
        <v>621</v>
      </c>
      <c r="E25" s="64" t="s">
        <v>1042</v>
      </c>
      <c r="F25" s="97">
        <v>360</v>
      </c>
      <c r="G25" s="69">
        <v>2</v>
      </c>
      <c r="H25" s="69" t="s">
        <v>563</v>
      </c>
      <c r="I25" s="69" t="s">
        <v>357</v>
      </c>
      <c r="J25" s="58">
        <v>45420</v>
      </c>
      <c r="K25" s="108" t="s">
        <v>1116</v>
      </c>
      <c r="L25" s="117">
        <v>89502587842</v>
      </c>
      <c r="M25" s="56" t="s">
        <v>1096</v>
      </c>
      <c r="N25" s="339"/>
      <c r="O25" s="56"/>
      <c r="P25" s="60"/>
      <c r="Q25" s="97">
        <v>360</v>
      </c>
      <c r="R25" s="56" t="s">
        <v>387</v>
      </c>
      <c r="S25" s="100">
        <v>359000</v>
      </c>
      <c r="T25" s="65">
        <f t="shared" ref="T25:T31" si="3" xml:space="preserve"> S25*(F25/1000)</f>
        <v>129240</v>
      </c>
    </row>
    <row r="26" spans="1:20" s="67" customFormat="1" ht="13.5" customHeight="1" x14ac:dyDescent="0.25">
      <c r="A26" s="344" t="s">
        <v>779</v>
      </c>
      <c r="B26" s="60" t="s">
        <v>380</v>
      </c>
      <c r="C26" s="60" t="s">
        <v>168</v>
      </c>
      <c r="D26" s="98" t="s">
        <v>621</v>
      </c>
      <c r="E26" s="64" t="s">
        <v>1055</v>
      </c>
      <c r="F26" s="60">
        <v>6660</v>
      </c>
      <c r="G26" s="69">
        <v>37</v>
      </c>
      <c r="H26" s="69" t="s">
        <v>563</v>
      </c>
      <c r="I26" s="69" t="s">
        <v>357</v>
      </c>
      <c r="J26" s="58">
        <v>45420</v>
      </c>
      <c r="K26" s="108" t="s">
        <v>1116</v>
      </c>
      <c r="L26" s="117">
        <v>89502587842</v>
      </c>
      <c r="M26" s="56" t="s">
        <v>1096</v>
      </c>
      <c r="N26" s="339"/>
      <c r="O26" s="56"/>
      <c r="P26" s="56"/>
      <c r="Q26" s="60">
        <v>6660</v>
      </c>
      <c r="R26" s="56" t="s">
        <v>387</v>
      </c>
      <c r="S26" s="100">
        <v>359000</v>
      </c>
      <c r="T26" s="65">
        <f t="shared" si="3"/>
        <v>2390940</v>
      </c>
    </row>
    <row r="27" spans="1:20" s="67" customFormat="1" ht="13.5" customHeight="1" x14ac:dyDescent="0.25">
      <c r="A27" s="344" t="s">
        <v>779</v>
      </c>
      <c r="B27" s="60" t="s">
        <v>380</v>
      </c>
      <c r="C27" s="60" t="s">
        <v>168</v>
      </c>
      <c r="D27" s="98" t="s">
        <v>621</v>
      </c>
      <c r="E27" s="64" t="s">
        <v>1068</v>
      </c>
      <c r="F27" s="60">
        <v>5940</v>
      </c>
      <c r="G27" s="69">
        <v>33</v>
      </c>
      <c r="H27" s="69" t="s">
        <v>563</v>
      </c>
      <c r="I27" s="69" t="s">
        <v>357</v>
      </c>
      <c r="J27" s="58">
        <v>45420</v>
      </c>
      <c r="K27" s="108" t="s">
        <v>1116</v>
      </c>
      <c r="L27" s="117">
        <v>89502587842</v>
      </c>
      <c r="M27" s="56" t="s">
        <v>1096</v>
      </c>
      <c r="N27" s="339"/>
      <c r="O27" s="56"/>
      <c r="P27" s="56"/>
      <c r="Q27" s="60">
        <v>5940</v>
      </c>
      <c r="R27" s="56" t="s">
        <v>387</v>
      </c>
      <c r="S27" s="100">
        <v>359000</v>
      </c>
      <c r="T27" s="65">
        <f t="shared" si="3"/>
        <v>2132460</v>
      </c>
    </row>
    <row r="28" spans="1:20" s="67" customFormat="1" ht="13.5" customHeight="1" x14ac:dyDescent="0.25">
      <c r="A28" s="344" t="s">
        <v>779</v>
      </c>
      <c r="B28" s="60" t="s">
        <v>380</v>
      </c>
      <c r="C28" s="60" t="s">
        <v>168</v>
      </c>
      <c r="D28" s="98" t="s">
        <v>214</v>
      </c>
      <c r="E28" s="59" t="s">
        <v>1092</v>
      </c>
      <c r="F28" s="60">
        <v>2220</v>
      </c>
      <c r="G28" s="69">
        <v>12</v>
      </c>
      <c r="H28" s="69" t="s">
        <v>563</v>
      </c>
      <c r="I28" s="69" t="s">
        <v>357</v>
      </c>
      <c r="J28" s="58">
        <v>45420</v>
      </c>
      <c r="K28" s="108" t="s">
        <v>1116</v>
      </c>
      <c r="L28" s="117">
        <v>89502587842</v>
      </c>
      <c r="M28" s="56" t="s">
        <v>1096</v>
      </c>
      <c r="N28" s="339"/>
      <c r="O28" s="56"/>
      <c r="P28" s="56"/>
      <c r="Q28" s="60">
        <v>2220</v>
      </c>
      <c r="R28" s="56" t="s">
        <v>387</v>
      </c>
      <c r="S28" s="100">
        <v>240000</v>
      </c>
      <c r="T28" s="65">
        <f t="shared" si="3"/>
        <v>532800</v>
      </c>
    </row>
    <row r="29" spans="1:20" s="67" customFormat="1" ht="13.5" customHeight="1" x14ac:dyDescent="0.25">
      <c r="A29" s="69" t="s">
        <v>927</v>
      </c>
      <c r="B29" s="60" t="s">
        <v>562</v>
      </c>
      <c r="C29" s="60" t="s">
        <v>658</v>
      </c>
      <c r="D29" s="98" t="s">
        <v>513</v>
      </c>
      <c r="E29" s="64" t="s">
        <v>1095</v>
      </c>
      <c r="F29" s="97">
        <v>9500</v>
      </c>
      <c r="G29" s="69">
        <v>475</v>
      </c>
      <c r="H29" s="69" t="s">
        <v>391</v>
      </c>
      <c r="I29" s="69" t="s">
        <v>357</v>
      </c>
      <c r="J29" s="58">
        <v>45425</v>
      </c>
      <c r="K29" s="114" t="s">
        <v>758</v>
      </c>
      <c r="L29" s="119">
        <v>89600154401</v>
      </c>
      <c r="M29" s="56" t="s">
        <v>757</v>
      </c>
      <c r="N29" s="339"/>
      <c r="O29" s="56"/>
      <c r="P29" s="60"/>
      <c r="Q29" s="97">
        <v>9500</v>
      </c>
      <c r="R29" s="56" t="s">
        <v>387</v>
      </c>
      <c r="S29" s="100">
        <v>105250</v>
      </c>
      <c r="T29" s="65">
        <f t="shared" si="3"/>
        <v>999875</v>
      </c>
    </row>
    <row r="30" spans="1:20" s="67" customFormat="1" x14ac:dyDescent="0.25">
      <c r="A30" s="69" t="s">
        <v>224</v>
      </c>
      <c r="B30" s="60" t="s">
        <v>852</v>
      </c>
      <c r="C30" s="60" t="s">
        <v>381</v>
      </c>
      <c r="D30" s="11" t="s">
        <v>204</v>
      </c>
      <c r="E30" s="59" t="s">
        <v>1051</v>
      </c>
      <c r="F30" s="60">
        <v>7200</v>
      </c>
      <c r="G30" s="69">
        <v>36</v>
      </c>
      <c r="H30" s="69" t="s">
        <v>382</v>
      </c>
      <c r="I30" s="69" t="s">
        <v>357</v>
      </c>
      <c r="J30" s="58">
        <v>45425</v>
      </c>
      <c r="K30" s="108" t="s">
        <v>1117</v>
      </c>
      <c r="L30" s="117">
        <v>89203380816</v>
      </c>
      <c r="M30" s="66" t="s">
        <v>1115</v>
      </c>
      <c r="N30" s="341"/>
      <c r="O30" s="56"/>
      <c r="P30" s="56"/>
      <c r="Q30" s="60">
        <v>7200</v>
      </c>
      <c r="R30" s="56" t="s">
        <v>387</v>
      </c>
      <c r="S30" s="100">
        <v>99800</v>
      </c>
      <c r="T30" s="65">
        <f t="shared" si="3"/>
        <v>718560</v>
      </c>
    </row>
    <row r="31" spans="1:20" s="67" customFormat="1" x14ac:dyDescent="0.25">
      <c r="A31" s="69" t="s">
        <v>224</v>
      </c>
      <c r="B31" s="60" t="s">
        <v>1091</v>
      </c>
      <c r="C31" s="60" t="s">
        <v>165</v>
      </c>
      <c r="D31" s="11" t="s">
        <v>278</v>
      </c>
      <c r="E31" s="59" t="s">
        <v>1092</v>
      </c>
      <c r="F31" s="60">
        <v>10000</v>
      </c>
      <c r="G31" s="69">
        <v>400</v>
      </c>
      <c r="H31" s="69" t="s">
        <v>169</v>
      </c>
      <c r="I31" s="69" t="s">
        <v>357</v>
      </c>
      <c r="J31" s="58">
        <v>45425</v>
      </c>
      <c r="K31" s="108" t="s">
        <v>1117</v>
      </c>
      <c r="L31" s="117">
        <v>89203380816</v>
      </c>
      <c r="M31" s="66" t="s">
        <v>1139</v>
      </c>
      <c r="N31" s="341"/>
      <c r="O31" s="56"/>
      <c r="P31" s="60">
        <v>10000</v>
      </c>
      <c r="Q31" s="56"/>
      <c r="R31" s="56" t="s">
        <v>387</v>
      </c>
      <c r="S31" s="100">
        <v>99000</v>
      </c>
      <c r="T31" s="65">
        <f t="shared" si="3"/>
        <v>990000</v>
      </c>
    </row>
    <row r="32" spans="1:20" s="67" customFormat="1" x14ac:dyDescent="0.25">
      <c r="A32" s="69" t="s">
        <v>1066</v>
      </c>
      <c r="B32" s="60" t="s">
        <v>1099</v>
      </c>
      <c r="C32" s="60" t="s">
        <v>165</v>
      </c>
      <c r="D32" s="11" t="s">
        <v>1097</v>
      </c>
      <c r="E32" s="59" t="s">
        <v>1100</v>
      </c>
      <c r="F32" s="60">
        <v>17500</v>
      </c>
      <c r="G32" s="69">
        <v>700</v>
      </c>
      <c r="H32" s="69" t="s">
        <v>172</v>
      </c>
      <c r="I32" s="69" t="s">
        <v>357</v>
      </c>
      <c r="J32" s="58">
        <v>45426</v>
      </c>
      <c r="K32" s="108"/>
      <c r="L32" s="117"/>
      <c r="M32" s="66"/>
      <c r="N32" s="341" t="s">
        <v>1140</v>
      </c>
      <c r="O32" s="60">
        <v>17500</v>
      </c>
      <c r="P32" s="56"/>
      <c r="Q32" s="56"/>
      <c r="R32" s="56" t="s">
        <v>387</v>
      </c>
      <c r="S32" s="100">
        <v>49500</v>
      </c>
      <c r="T32" s="65">
        <f xml:space="preserve"> S32*(F32/1000)</f>
        <v>866250</v>
      </c>
    </row>
    <row r="33" spans="1:20" s="67" customFormat="1" x14ac:dyDescent="0.25">
      <c r="A33" s="464" t="s">
        <v>1066</v>
      </c>
      <c r="B33" s="60" t="s">
        <v>1038</v>
      </c>
      <c r="C33" s="60" t="s">
        <v>165</v>
      </c>
      <c r="D33" s="11" t="s">
        <v>205</v>
      </c>
      <c r="E33" s="59" t="s">
        <v>1052</v>
      </c>
      <c r="F33" s="60">
        <v>7400</v>
      </c>
      <c r="G33" s="69">
        <v>40</v>
      </c>
      <c r="H33" s="69" t="s">
        <v>172</v>
      </c>
      <c r="I33" s="69" t="s">
        <v>357</v>
      </c>
      <c r="J33" s="58">
        <v>45426</v>
      </c>
      <c r="K33" s="108"/>
      <c r="L33" s="117"/>
      <c r="M33" s="66"/>
      <c r="N33" s="341" t="s">
        <v>1141</v>
      </c>
      <c r="O33" s="60"/>
      <c r="P33" s="56"/>
      <c r="Q33" s="60">
        <v>7400</v>
      </c>
      <c r="R33" s="56" t="s">
        <v>387</v>
      </c>
      <c r="S33" s="100">
        <v>110800</v>
      </c>
      <c r="T33" s="65">
        <f xml:space="preserve"> S33*(F33/1000)</f>
        <v>819920</v>
      </c>
    </row>
    <row r="34" spans="1:20" s="67" customFormat="1" x14ac:dyDescent="0.25">
      <c r="A34" s="465"/>
      <c r="B34" s="60" t="s">
        <v>1038</v>
      </c>
      <c r="C34" s="60" t="s">
        <v>165</v>
      </c>
      <c r="D34" s="11" t="s">
        <v>205</v>
      </c>
      <c r="E34" s="59" t="s">
        <v>1067</v>
      </c>
      <c r="F34" s="60">
        <v>7400</v>
      </c>
      <c r="G34" s="69">
        <v>40</v>
      </c>
      <c r="H34" s="69" t="s">
        <v>172</v>
      </c>
      <c r="I34" s="69" t="s">
        <v>357</v>
      </c>
      <c r="J34" s="58">
        <v>45426</v>
      </c>
      <c r="K34" s="108"/>
      <c r="L34" s="117"/>
      <c r="M34" s="66"/>
      <c r="N34" s="341" t="s">
        <v>1141</v>
      </c>
      <c r="O34" s="60"/>
      <c r="P34" s="56"/>
      <c r="Q34" s="60">
        <v>7400</v>
      </c>
      <c r="R34" s="56" t="s">
        <v>387</v>
      </c>
      <c r="S34" s="100">
        <v>110800</v>
      </c>
      <c r="T34" s="65">
        <f xml:space="preserve"> S34*(F34/1000)</f>
        <v>819920</v>
      </c>
    </row>
    <row r="35" spans="1:20" s="167" customFormat="1" x14ac:dyDescent="0.25">
      <c r="A35" s="69" t="s">
        <v>832</v>
      </c>
      <c r="B35" s="60" t="s">
        <v>562</v>
      </c>
      <c r="C35" s="60" t="s">
        <v>373</v>
      </c>
      <c r="D35" s="159" t="s">
        <v>285</v>
      </c>
      <c r="E35" s="160" t="s">
        <v>1125</v>
      </c>
      <c r="F35" s="158">
        <v>20000</v>
      </c>
      <c r="G35" s="161">
        <v>800</v>
      </c>
      <c r="H35" s="69" t="s">
        <v>1126</v>
      </c>
      <c r="I35" s="69" t="s">
        <v>357</v>
      </c>
      <c r="J35" s="58">
        <v>45426</v>
      </c>
      <c r="K35" s="105" t="s">
        <v>1127</v>
      </c>
      <c r="L35" s="66">
        <v>87055635517</v>
      </c>
      <c r="M35" s="105" t="s">
        <v>1128</v>
      </c>
      <c r="N35" s="314"/>
      <c r="O35" s="158">
        <v>20000</v>
      </c>
      <c r="P35" s="157"/>
      <c r="Q35" s="164"/>
      <c r="R35" s="164" t="s">
        <v>387</v>
      </c>
      <c r="S35" s="165">
        <v>40700</v>
      </c>
      <c r="T35" s="166">
        <f>S35*(F35/1000)</f>
        <v>814000</v>
      </c>
    </row>
    <row r="36" spans="1:20" s="67" customFormat="1" ht="13.5" customHeight="1" x14ac:dyDescent="0.25">
      <c r="A36" s="69" t="s">
        <v>1066</v>
      </c>
      <c r="B36" s="60" t="s">
        <v>1121</v>
      </c>
      <c r="C36" s="60" t="s">
        <v>165</v>
      </c>
      <c r="D36" s="11" t="s">
        <v>296</v>
      </c>
      <c r="E36" s="59" t="s">
        <v>1122</v>
      </c>
      <c r="F36" s="60">
        <v>10500</v>
      </c>
      <c r="G36" s="69">
        <v>420</v>
      </c>
      <c r="H36" s="69" t="s">
        <v>172</v>
      </c>
      <c r="I36" s="69" t="s">
        <v>357</v>
      </c>
      <c r="J36" s="58">
        <v>45428</v>
      </c>
      <c r="K36" s="108"/>
      <c r="L36" s="118"/>
      <c r="M36" s="66"/>
      <c r="N36" s="466" t="s">
        <v>1144</v>
      </c>
      <c r="O36" s="56"/>
      <c r="P36" s="60">
        <v>10500</v>
      </c>
      <c r="Q36" s="56"/>
      <c r="R36" s="56" t="s">
        <v>387</v>
      </c>
      <c r="S36" s="100">
        <v>275000</v>
      </c>
      <c r="T36" s="65">
        <f xml:space="preserve"> S36*(F36/1000)</f>
        <v>2887500</v>
      </c>
    </row>
    <row r="37" spans="1:20" s="67" customFormat="1" x14ac:dyDescent="0.25">
      <c r="A37" s="69" t="s">
        <v>1066</v>
      </c>
      <c r="B37" s="60" t="s">
        <v>1121</v>
      </c>
      <c r="C37" s="60" t="s">
        <v>165</v>
      </c>
      <c r="D37" s="11" t="s">
        <v>1043</v>
      </c>
      <c r="E37" s="59" t="s">
        <v>1131</v>
      </c>
      <c r="F37" s="60">
        <v>7000</v>
      </c>
      <c r="G37" s="69">
        <v>280</v>
      </c>
      <c r="H37" s="69" t="s">
        <v>172</v>
      </c>
      <c r="I37" s="69" t="s">
        <v>357</v>
      </c>
      <c r="J37" s="58">
        <v>45428</v>
      </c>
      <c r="K37" s="108"/>
      <c r="L37" s="117"/>
      <c r="M37" s="66"/>
      <c r="N37" s="468"/>
      <c r="O37" s="60">
        <v>7000</v>
      </c>
      <c r="P37" s="56"/>
      <c r="Q37" s="56"/>
      <c r="R37" s="56" t="s">
        <v>387</v>
      </c>
      <c r="S37" s="100">
        <v>49500</v>
      </c>
      <c r="T37" s="65">
        <f t="shared" ref="T37:T44" si="4" xml:space="preserve"> S37*(F37/1000)</f>
        <v>346500</v>
      </c>
    </row>
    <row r="38" spans="1:20" s="67" customFormat="1" x14ac:dyDescent="0.25">
      <c r="A38" s="69" t="s">
        <v>1066</v>
      </c>
      <c r="B38" s="60" t="s">
        <v>1121</v>
      </c>
      <c r="C38" s="60" t="s">
        <v>165</v>
      </c>
      <c r="D38" s="11" t="s">
        <v>1043</v>
      </c>
      <c r="E38" s="59" t="s">
        <v>1129</v>
      </c>
      <c r="F38" s="60">
        <v>17500</v>
      </c>
      <c r="G38" s="69">
        <v>700</v>
      </c>
      <c r="H38" s="69" t="s">
        <v>172</v>
      </c>
      <c r="I38" s="69" t="s">
        <v>357</v>
      </c>
      <c r="J38" s="58">
        <v>45428</v>
      </c>
      <c r="K38" s="108"/>
      <c r="L38" s="117"/>
      <c r="M38" s="66"/>
      <c r="N38" s="339" t="s">
        <v>1145</v>
      </c>
      <c r="O38" s="60">
        <v>17500</v>
      </c>
      <c r="P38" s="56"/>
      <c r="Q38" s="56"/>
      <c r="R38" s="56" t="s">
        <v>387</v>
      </c>
      <c r="S38" s="100">
        <v>49500</v>
      </c>
      <c r="T38" s="65">
        <f t="shared" si="4"/>
        <v>866250</v>
      </c>
    </row>
    <row r="39" spans="1:20" s="67" customFormat="1" x14ac:dyDescent="0.25">
      <c r="A39" s="69" t="s">
        <v>1066</v>
      </c>
      <c r="B39" s="60" t="s">
        <v>1121</v>
      </c>
      <c r="C39" s="60" t="s">
        <v>165</v>
      </c>
      <c r="D39" s="11" t="s">
        <v>1043</v>
      </c>
      <c r="E39" s="59" t="s">
        <v>1130</v>
      </c>
      <c r="F39" s="60">
        <v>17500</v>
      </c>
      <c r="G39" s="69">
        <v>700</v>
      </c>
      <c r="H39" s="69" t="s">
        <v>172</v>
      </c>
      <c r="I39" s="69" t="s">
        <v>357</v>
      </c>
      <c r="J39" s="58">
        <v>45428</v>
      </c>
      <c r="K39" s="108"/>
      <c r="L39" s="117"/>
      <c r="M39" s="66"/>
      <c r="N39" s="339" t="s">
        <v>1146</v>
      </c>
      <c r="O39" s="60">
        <v>17500</v>
      </c>
      <c r="P39" s="56"/>
      <c r="Q39" s="56"/>
      <c r="R39" s="56" t="s">
        <v>387</v>
      </c>
      <c r="S39" s="100">
        <v>49500</v>
      </c>
      <c r="T39" s="65">
        <f t="shared" si="4"/>
        <v>866250</v>
      </c>
    </row>
    <row r="40" spans="1:20" s="67" customFormat="1" x14ac:dyDescent="0.25">
      <c r="A40" s="69" t="s">
        <v>1066</v>
      </c>
      <c r="B40" s="60" t="s">
        <v>1073</v>
      </c>
      <c r="C40" s="60" t="s">
        <v>165</v>
      </c>
      <c r="D40" s="11" t="s">
        <v>1043</v>
      </c>
      <c r="E40" s="59" t="s">
        <v>1042</v>
      </c>
      <c r="F40" s="60">
        <v>17500</v>
      </c>
      <c r="G40" s="69">
        <v>700</v>
      </c>
      <c r="H40" s="69" t="s">
        <v>169</v>
      </c>
      <c r="I40" s="69" t="s">
        <v>357</v>
      </c>
      <c r="J40" s="58">
        <v>45429</v>
      </c>
      <c r="K40" s="108"/>
      <c r="L40" s="117"/>
      <c r="M40" s="66"/>
      <c r="N40" s="339" t="s">
        <v>1162</v>
      </c>
      <c r="O40" s="60">
        <v>17500</v>
      </c>
      <c r="P40" s="56"/>
      <c r="Q40" s="56"/>
      <c r="R40" s="56" t="s">
        <v>387</v>
      </c>
      <c r="S40" s="100">
        <v>49500</v>
      </c>
      <c r="T40" s="65">
        <f t="shared" si="4"/>
        <v>866250</v>
      </c>
    </row>
    <row r="41" spans="1:20" s="67" customFormat="1" x14ac:dyDescent="0.25">
      <c r="A41" s="69" t="s">
        <v>1066</v>
      </c>
      <c r="B41" s="60" t="s">
        <v>1074</v>
      </c>
      <c r="C41" s="60" t="s">
        <v>165</v>
      </c>
      <c r="D41" s="11" t="s">
        <v>1043</v>
      </c>
      <c r="E41" s="59" t="s">
        <v>1050</v>
      </c>
      <c r="F41" s="60">
        <v>17500</v>
      </c>
      <c r="G41" s="69">
        <v>700</v>
      </c>
      <c r="H41" s="69" t="s">
        <v>169</v>
      </c>
      <c r="I41" s="69" t="s">
        <v>357</v>
      </c>
      <c r="J41" s="58">
        <v>45429</v>
      </c>
      <c r="K41" s="108"/>
      <c r="L41" s="117"/>
      <c r="M41" s="66"/>
      <c r="N41" s="339" t="s">
        <v>1163</v>
      </c>
      <c r="O41" s="60">
        <v>17500</v>
      </c>
      <c r="P41" s="56"/>
      <c r="Q41" s="56"/>
      <c r="R41" s="56" t="s">
        <v>387</v>
      </c>
      <c r="S41" s="100">
        <v>49500</v>
      </c>
      <c r="T41" s="65">
        <f t="shared" si="4"/>
        <v>866250</v>
      </c>
    </row>
    <row r="42" spans="1:20" s="67" customFormat="1" x14ac:dyDescent="0.25">
      <c r="A42" s="69" t="s">
        <v>1066</v>
      </c>
      <c r="B42" s="60" t="s">
        <v>1075</v>
      </c>
      <c r="C42" s="60" t="s">
        <v>165</v>
      </c>
      <c r="D42" s="11" t="s">
        <v>1043</v>
      </c>
      <c r="E42" s="59" t="s">
        <v>1068</v>
      </c>
      <c r="F42" s="60">
        <v>17500</v>
      </c>
      <c r="G42" s="69">
        <v>700</v>
      </c>
      <c r="H42" s="69" t="s">
        <v>169</v>
      </c>
      <c r="I42" s="69" t="s">
        <v>357</v>
      </c>
      <c r="J42" s="58">
        <v>45429</v>
      </c>
      <c r="K42" s="108"/>
      <c r="L42" s="117"/>
      <c r="M42" s="66"/>
      <c r="N42" s="339" t="s">
        <v>1164</v>
      </c>
      <c r="O42" s="60">
        <v>17500</v>
      </c>
      <c r="P42" s="56"/>
      <c r="Q42" s="56"/>
      <c r="R42" s="56" t="s">
        <v>387</v>
      </c>
      <c r="S42" s="100">
        <v>49500</v>
      </c>
      <c r="T42" s="65">
        <f t="shared" si="4"/>
        <v>866250</v>
      </c>
    </row>
    <row r="43" spans="1:20" s="67" customFormat="1" x14ac:dyDescent="0.25">
      <c r="A43" s="464" t="s">
        <v>1066</v>
      </c>
      <c r="B43" s="60" t="s">
        <v>1041</v>
      </c>
      <c r="C43" s="60" t="s">
        <v>165</v>
      </c>
      <c r="D43" s="11" t="s">
        <v>205</v>
      </c>
      <c r="E43" s="59" t="s">
        <v>1050</v>
      </c>
      <c r="F43" s="60">
        <v>7400</v>
      </c>
      <c r="G43" s="69">
        <v>40</v>
      </c>
      <c r="H43" s="69" t="s">
        <v>169</v>
      </c>
      <c r="I43" s="69" t="s">
        <v>357</v>
      </c>
      <c r="J43" s="58">
        <v>45429</v>
      </c>
      <c r="K43" s="108"/>
      <c r="L43" s="117"/>
      <c r="M43" s="66"/>
      <c r="N43" s="466" t="s">
        <v>1165</v>
      </c>
      <c r="O43" s="60"/>
      <c r="P43" s="56"/>
      <c r="Q43" s="60">
        <v>7400</v>
      </c>
      <c r="R43" s="56" t="s">
        <v>387</v>
      </c>
      <c r="S43" s="100">
        <v>110800</v>
      </c>
      <c r="T43" s="65">
        <f t="shared" si="4"/>
        <v>819920</v>
      </c>
    </row>
    <row r="44" spans="1:20" s="67" customFormat="1" x14ac:dyDescent="0.25">
      <c r="A44" s="465"/>
      <c r="B44" s="60" t="s">
        <v>1041</v>
      </c>
      <c r="C44" s="60" t="s">
        <v>165</v>
      </c>
      <c r="D44" s="11" t="s">
        <v>205</v>
      </c>
      <c r="E44" s="59" t="s">
        <v>1056</v>
      </c>
      <c r="F44" s="60">
        <v>7400</v>
      </c>
      <c r="G44" s="69">
        <v>40</v>
      </c>
      <c r="H44" s="69" t="s">
        <v>169</v>
      </c>
      <c r="I44" s="69" t="s">
        <v>357</v>
      </c>
      <c r="J44" s="58">
        <v>45429</v>
      </c>
      <c r="K44" s="108"/>
      <c r="L44" s="117"/>
      <c r="M44" s="66"/>
      <c r="N44" s="468"/>
      <c r="O44" s="60"/>
      <c r="P44" s="56"/>
      <c r="Q44" s="60">
        <v>7400</v>
      </c>
      <c r="R44" s="56" t="s">
        <v>387</v>
      </c>
      <c r="S44" s="100">
        <v>110800</v>
      </c>
      <c r="T44" s="65">
        <f t="shared" si="4"/>
        <v>819920</v>
      </c>
    </row>
    <row r="45" spans="1:20" s="67" customFormat="1" x14ac:dyDescent="0.25">
      <c r="A45" s="69" t="s">
        <v>1066</v>
      </c>
      <c r="B45" s="60" t="s">
        <v>1076</v>
      </c>
      <c r="C45" s="60" t="s">
        <v>165</v>
      </c>
      <c r="D45" s="11" t="s">
        <v>1043</v>
      </c>
      <c r="E45" s="59" t="s">
        <v>1051</v>
      </c>
      <c r="F45" s="60">
        <v>17500</v>
      </c>
      <c r="G45" s="69">
        <v>700</v>
      </c>
      <c r="H45" s="69" t="s">
        <v>169</v>
      </c>
      <c r="I45" s="69" t="s">
        <v>357</v>
      </c>
      <c r="J45" s="58">
        <v>45432</v>
      </c>
      <c r="K45" s="108"/>
      <c r="L45" s="117"/>
      <c r="M45" s="66"/>
      <c r="N45" s="341" t="s">
        <v>1167</v>
      </c>
      <c r="O45" s="60">
        <v>17500</v>
      </c>
      <c r="P45" s="56"/>
      <c r="Q45" s="56"/>
      <c r="R45" s="56" t="s">
        <v>387</v>
      </c>
      <c r="S45" s="100">
        <v>49500</v>
      </c>
      <c r="T45" s="65">
        <f t="shared" ref="T45:T56" si="5" xml:space="preserve"> S45*(F45/1000)</f>
        <v>866250</v>
      </c>
    </row>
    <row r="46" spans="1:20" s="67" customFormat="1" x14ac:dyDescent="0.25">
      <c r="A46" s="69" t="s">
        <v>1066</v>
      </c>
      <c r="B46" s="60" t="s">
        <v>1077</v>
      </c>
      <c r="C46" s="60" t="s">
        <v>165</v>
      </c>
      <c r="D46" s="11" t="s">
        <v>1043</v>
      </c>
      <c r="E46" s="59" t="s">
        <v>1078</v>
      </c>
      <c r="F46" s="60">
        <v>17500</v>
      </c>
      <c r="G46" s="69">
        <v>700</v>
      </c>
      <c r="H46" s="69" t="s">
        <v>169</v>
      </c>
      <c r="I46" s="69" t="s">
        <v>357</v>
      </c>
      <c r="J46" s="58">
        <v>45432</v>
      </c>
      <c r="K46" s="108"/>
      <c r="L46" s="117"/>
      <c r="M46" s="66"/>
      <c r="N46" s="341" t="s">
        <v>1168</v>
      </c>
      <c r="O46" s="60">
        <v>17500</v>
      </c>
      <c r="P46" s="56"/>
      <c r="Q46" s="56"/>
      <c r="R46" s="56" t="s">
        <v>387</v>
      </c>
      <c r="S46" s="100">
        <v>49500</v>
      </c>
      <c r="T46" s="65">
        <f t="shared" si="5"/>
        <v>866250</v>
      </c>
    </row>
    <row r="47" spans="1:20" s="67" customFormat="1" x14ac:dyDescent="0.25">
      <c r="A47" s="69" t="s">
        <v>1066</v>
      </c>
      <c r="B47" s="60" t="s">
        <v>1090</v>
      </c>
      <c r="C47" s="60" t="s">
        <v>165</v>
      </c>
      <c r="D47" s="11" t="s">
        <v>1043</v>
      </c>
      <c r="E47" s="59" t="s">
        <v>1088</v>
      </c>
      <c r="F47" s="60">
        <v>17500</v>
      </c>
      <c r="G47" s="69">
        <v>700</v>
      </c>
      <c r="H47" s="69" t="s">
        <v>169</v>
      </c>
      <c r="I47" s="69" t="s">
        <v>357</v>
      </c>
      <c r="J47" s="58">
        <v>45432</v>
      </c>
      <c r="K47" s="108"/>
      <c r="L47" s="117"/>
      <c r="M47" s="66"/>
      <c r="N47" s="341" t="s">
        <v>1169</v>
      </c>
      <c r="O47" s="60">
        <v>17500</v>
      </c>
      <c r="P47" s="56"/>
      <c r="Q47" s="56"/>
      <c r="R47" s="56" t="s">
        <v>387</v>
      </c>
      <c r="S47" s="100">
        <v>49500</v>
      </c>
      <c r="T47" s="65">
        <f t="shared" si="5"/>
        <v>866250</v>
      </c>
    </row>
    <row r="48" spans="1:20" s="67" customFormat="1" x14ac:dyDescent="0.25">
      <c r="A48" s="69" t="s">
        <v>1066</v>
      </c>
      <c r="B48" s="60" t="s">
        <v>1093</v>
      </c>
      <c r="C48" s="60" t="s">
        <v>165</v>
      </c>
      <c r="D48" s="11" t="s">
        <v>1043</v>
      </c>
      <c r="E48" s="59" t="s">
        <v>1092</v>
      </c>
      <c r="F48" s="60">
        <v>17500</v>
      </c>
      <c r="G48" s="69">
        <v>700</v>
      </c>
      <c r="H48" s="69" t="s">
        <v>169</v>
      </c>
      <c r="I48" s="69" t="s">
        <v>357</v>
      </c>
      <c r="J48" s="58">
        <v>45432</v>
      </c>
      <c r="K48" s="108"/>
      <c r="L48" s="117"/>
      <c r="M48" s="66"/>
      <c r="N48" s="341" t="s">
        <v>1170</v>
      </c>
      <c r="O48" s="60">
        <v>17500</v>
      </c>
      <c r="P48" s="56"/>
      <c r="Q48" s="56"/>
      <c r="R48" s="56" t="s">
        <v>387</v>
      </c>
      <c r="S48" s="100">
        <v>49500</v>
      </c>
      <c r="T48" s="65">
        <f t="shared" si="5"/>
        <v>866250</v>
      </c>
    </row>
    <row r="49" spans="1:20" s="67" customFormat="1" x14ac:dyDescent="0.25">
      <c r="A49" s="69" t="s">
        <v>770</v>
      </c>
      <c r="B49" s="60" t="s">
        <v>1143</v>
      </c>
      <c r="C49" s="60" t="s">
        <v>381</v>
      </c>
      <c r="D49" s="11" t="s">
        <v>287</v>
      </c>
      <c r="E49" s="59" t="s">
        <v>955</v>
      </c>
      <c r="F49" s="60">
        <v>20000</v>
      </c>
      <c r="G49" s="69">
        <v>800</v>
      </c>
      <c r="H49" s="69" t="s">
        <v>424</v>
      </c>
      <c r="I49" s="69" t="s">
        <v>357</v>
      </c>
      <c r="J49" s="58">
        <v>45433</v>
      </c>
      <c r="K49" s="108" t="s">
        <v>920</v>
      </c>
      <c r="L49" s="117">
        <v>89600078412</v>
      </c>
      <c r="M49" s="66" t="s">
        <v>919</v>
      </c>
      <c r="N49" s="341"/>
      <c r="O49" s="60">
        <v>20000</v>
      </c>
      <c r="P49" s="56"/>
      <c r="Q49" s="60"/>
      <c r="R49" s="56" t="s">
        <v>387</v>
      </c>
      <c r="S49" s="100">
        <v>40700</v>
      </c>
      <c r="T49" s="65">
        <f t="shared" si="5"/>
        <v>814000</v>
      </c>
    </row>
    <row r="50" spans="1:20" s="67" customFormat="1" ht="13.5" customHeight="1" x14ac:dyDescent="0.25">
      <c r="A50" s="69" t="s">
        <v>1156</v>
      </c>
      <c r="B50" s="60" t="s">
        <v>419</v>
      </c>
      <c r="C50" s="60" t="s">
        <v>1157</v>
      </c>
      <c r="D50" s="11" t="s">
        <v>1153</v>
      </c>
      <c r="E50" s="59" t="s">
        <v>1158</v>
      </c>
      <c r="F50" s="60">
        <v>19140</v>
      </c>
      <c r="G50" s="69">
        <v>348</v>
      </c>
      <c r="H50" s="69" t="s">
        <v>1159</v>
      </c>
      <c r="I50" s="69" t="s">
        <v>357</v>
      </c>
      <c r="J50" s="58">
        <v>45433</v>
      </c>
      <c r="K50" s="108" t="s">
        <v>1160</v>
      </c>
      <c r="L50" s="117">
        <v>89328415486</v>
      </c>
      <c r="M50" s="66" t="s">
        <v>1161</v>
      </c>
      <c r="N50" s="341"/>
      <c r="O50" s="56"/>
      <c r="P50" s="56"/>
      <c r="Q50" s="60">
        <v>19140</v>
      </c>
      <c r="R50" s="56" t="s">
        <v>387</v>
      </c>
      <c r="S50" s="100">
        <v>70580</v>
      </c>
      <c r="T50" s="65">
        <f t="shared" si="5"/>
        <v>1350901.2</v>
      </c>
    </row>
    <row r="51" spans="1:20" s="67" customFormat="1" x14ac:dyDescent="0.25">
      <c r="A51" s="69" t="s">
        <v>1066</v>
      </c>
      <c r="B51" s="60" t="s">
        <v>1098</v>
      </c>
      <c r="C51" s="60" t="s">
        <v>165</v>
      </c>
      <c r="D51" s="11" t="s">
        <v>1043</v>
      </c>
      <c r="E51" s="59" t="s">
        <v>1094</v>
      </c>
      <c r="F51" s="60">
        <v>17500</v>
      </c>
      <c r="G51" s="69">
        <v>700</v>
      </c>
      <c r="H51" s="69" t="s">
        <v>169</v>
      </c>
      <c r="I51" s="69" t="s">
        <v>357</v>
      </c>
      <c r="J51" s="58">
        <v>45433</v>
      </c>
      <c r="K51" s="108"/>
      <c r="L51" s="117"/>
      <c r="M51" s="66"/>
      <c r="N51" s="341" t="s">
        <v>1174</v>
      </c>
      <c r="O51" s="60">
        <v>17500</v>
      </c>
      <c r="P51" s="56"/>
      <c r="Q51" s="56"/>
      <c r="R51" s="56" t="s">
        <v>387</v>
      </c>
      <c r="S51" s="100">
        <v>49500</v>
      </c>
      <c r="T51" s="65">
        <f t="shared" si="5"/>
        <v>866250</v>
      </c>
    </row>
    <row r="52" spans="1:20" s="67" customFormat="1" x14ac:dyDescent="0.25">
      <c r="A52" s="69" t="s">
        <v>1066</v>
      </c>
      <c r="B52" s="60" t="s">
        <v>1102</v>
      </c>
      <c r="C52" s="60" t="s">
        <v>165</v>
      </c>
      <c r="D52" s="11" t="s">
        <v>1043</v>
      </c>
      <c r="E52" s="59" t="s">
        <v>1101</v>
      </c>
      <c r="F52" s="60">
        <v>17500</v>
      </c>
      <c r="G52" s="69">
        <v>700</v>
      </c>
      <c r="H52" s="69" t="s">
        <v>169</v>
      </c>
      <c r="I52" s="69" t="s">
        <v>357</v>
      </c>
      <c r="J52" s="58">
        <v>45433</v>
      </c>
      <c r="K52" s="108"/>
      <c r="L52" s="117"/>
      <c r="M52" s="66"/>
      <c r="N52" s="341" t="s">
        <v>1175</v>
      </c>
      <c r="O52" s="60">
        <v>17500</v>
      </c>
      <c r="P52" s="56"/>
      <c r="Q52" s="56"/>
      <c r="R52" s="56" t="s">
        <v>387</v>
      </c>
      <c r="S52" s="100">
        <v>49500</v>
      </c>
      <c r="T52" s="65">
        <f t="shared" si="5"/>
        <v>866250</v>
      </c>
    </row>
    <row r="53" spans="1:20" s="67" customFormat="1" x14ac:dyDescent="0.25">
      <c r="A53" s="69" t="s">
        <v>1066</v>
      </c>
      <c r="B53" s="60" t="s">
        <v>1103</v>
      </c>
      <c r="C53" s="60" t="s">
        <v>165</v>
      </c>
      <c r="D53" s="11" t="s">
        <v>1043</v>
      </c>
      <c r="E53" s="59" t="s">
        <v>1104</v>
      </c>
      <c r="F53" s="60">
        <v>17500</v>
      </c>
      <c r="G53" s="69">
        <v>700</v>
      </c>
      <c r="H53" s="69" t="s">
        <v>169</v>
      </c>
      <c r="I53" s="69" t="s">
        <v>357</v>
      </c>
      <c r="J53" s="58">
        <v>45433</v>
      </c>
      <c r="K53" s="108"/>
      <c r="L53" s="117"/>
      <c r="M53" s="66"/>
      <c r="N53" s="341" t="s">
        <v>1176</v>
      </c>
      <c r="O53" s="60">
        <v>17500</v>
      </c>
      <c r="P53" s="56"/>
      <c r="Q53" s="56"/>
      <c r="R53" s="56" t="s">
        <v>387</v>
      </c>
      <c r="S53" s="100">
        <v>49500</v>
      </c>
      <c r="T53" s="65">
        <f t="shared" si="5"/>
        <v>866250</v>
      </c>
    </row>
    <row r="54" spans="1:20" s="67" customFormat="1" x14ac:dyDescent="0.25">
      <c r="A54" s="69" t="s">
        <v>1066</v>
      </c>
      <c r="B54" s="60" t="s">
        <v>1123</v>
      </c>
      <c r="C54" s="60" t="s">
        <v>165</v>
      </c>
      <c r="D54" s="11" t="s">
        <v>1043</v>
      </c>
      <c r="E54" s="59" t="s">
        <v>1122</v>
      </c>
      <c r="F54" s="60">
        <v>17500</v>
      </c>
      <c r="G54" s="69">
        <v>700</v>
      </c>
      <c r="H54" s="69" t="s">
        <v>169</v>
      </c>
      <c r="I54" s="69" t="s">
        <v>357</v>
      </c>
      <c r="J54" s="58">
        <v>45433</v>
      </c>
      <c r="K54" s="108"/>
      <c r="L54" s="117"/>
      <c r="M54" s="66"/>
      <c r="N54" s="341" t="s">
        <v>1177</v>
      </c>
      <c r="O54" s="60">
        <v>17500</v>
      </c>
      <c r="P54" s="56"/>
      <c r="Q54" s="56"/>
      <c r="R54" s="56" t="s">
        <v>387</v>
      </c>
      <c r="S54" s="100">
        <v>49500</v>
      </c>
      <c r="T54" s="65">
        <f t="shared" si="5"/>
        <v>866250</v>
      </c>
    </row>
    <row r="55" spans="1:20" s="67" customFormat="1" ht="13.5" customHeight="1" x14ac:dyDescent="0.25">
      <c r="A55" s="69" t="s">
        <v>779</v>
      </c>
      <c r="B55" s="60" t="s">
        <v>1151</v>
      </c>
      <c r="C55" s="60" t="s">
        <v>265</v>
      </c>
      <c r="D55" s="11" t="s">
        <v>286</v>
      </c>
      <c r="E55" s="59" t="s">
        <v>629</v>
      </c>
      <c r="F55" s="60">
        <v>20000</v>
      </c>
      <c r="G55" s="69">
        <v>800</v>
      </c>
      <c r="H55" s="69" t="s">
        <v>169</v>
      </c>
      <c r="I55" s="69" t="s">
        <v>357</v>
      </c>
      <c r="J55" s="58">
        <v>45434</v>
      </c>
      <c r="K55" s="108" t="s">
        <v>1166</v>
      </c>
      <c r="L55" s="117">
        <v>89021984502</v>
      </c>
      <c r="M55" s="66" t="s">
        <v>778</v>
      </c>
      <c r="N55" s="341"/>
      <c r="O55" s="56"/>
      <c r="P55" s="60">
        <v>20000</v>
      </c>
      <c r="Q55" s="56"/>
      <c r="R55" s="56" t="s">
        <v>387</v>
      </c>
      <c r="S55" s="100">
        <v>246500</v>
      </c>
      <c r="T55" s="65">
        <f t="shared" si="5"/>
        <v>4930000</v>
      </c>
    </row>
    <row r="56" spans="1:20" s="67" customFormat="1" ht="13.5" customHeight="1" x14ac:dyDescent="0.25">
      <c r="A56" s="464" t="s">
        <v>770</v>
      </c>
      <c r="B56" s="60" t="s">
        <v>1151</v>
      </c>
      <c r="C56" s="60" t="s">
        <v>265</v>
      </c>
      <c r="D56" s="11" t="s">
        <v>289</v>
      </c>
      <c r="E56" s="59" t="s">
        <v>1152</v>
      </c>
      <c r="F56" s="60">
        <v>15000</v>
      </c>
      <c r="G56" s="69">
        <v>600</v>
      </c>
      <c r="H56" s="69" t="s">
        <v>169</v>
      </c>
      <c r="I56" s="69" t="s">
        <v>357</v>
      </c>
      <c r="J56" s="58">
        <v>45436</v>
      </c>
      <c r="K56" s="108" t="s">
        <v>1171</v>
      </c>
      <c r="L56" s="117">
        <v>89116853272</v>
      </c>
      <c r="M56" s="66" t="s">
        <v>1172</v>
      </c>
      <c r="N56" s="341"/>
      <c r="O56" s="60">
        <v>15000</v>
      </c>
      <c r="P56" s="56"/>
      <c r="Q56" s="56"/>
      <c r="R56" s="56" t="s">
        <v>387</v>
      </c>
      <c r="S56" s="100">
        <v>40700</v>
      </c>
      <c r="T56" s="65">
        <f t="shared" si="5"/>
        <v>610500</v>
      </c>
    </row>
    <row r="57" spans="1:20" s="167" customFormat="1" ht="13.5" customHeight="1" x14ac:dyDescent="0.25">
      <c r="A57" s="465"/>
      <c r="B57" s="60" t="s">
        <v>1151</v>
      </c>
      <c r="C57" s="60" t="s">
        <v>265</v>
      </c>
      <c r="D57" s="159" t="s">
        <v>204</v>
      </c>
      <c r="E57" s="160" t="s">
        <v>1021</v>
      </c>
      <c r="F57" s="158">
        <v>4800</v>
      </c>
      <c r="G57" s="161">
        <v>24</v>
      </c>
      <c r="H57" s="69" t="s">
        <v>169</v>
      </c>
      <c r="I57" s="69" t="s">
        <v>357</v>
      </c>
      <c r="J57" s="58">
        <v>45436</v>
      </c>
      <c r="K57" s="108" t="s">
        <v>1171</v>
      </c>
      <c r="L57" s="117">
        <v>89116853272</v>
      </c>
      <c r="M57" s="66" t="s">
        <v>1172</v>
      </c>
      <c r="N57" s="341"/>
      <c r="O57" s="56"/>
      <c r="P57" s="56"/>
      <c r="Q57" s="158">
        <v>4800</v>
      </c>
      <c r="R57" s="164" t="s">
        <v>387</v>
      </c>
      <c r="S57" s="165">
        <v>99800</v>
      </c>
      <c r="T57" s="166">
        <f>S57*(F57/1000)</f>
        <v>479040</v>
      </c>
    </row>
    <row r="58" spans="1:20" s="67" customFormat="1" ht="13.5" customHeight="1" x14ac:dyDescent="0.25">
      <c r="A58" s="69" t="s">
        <v>1045</v>
      </c>
      <c r="B58" s="60" t="s">
        <v>1205</v>
      </c>
      <c r="C58" s="60" t="s">
        <v>1206</v>
      </c>
      <c r="D58" s="11" t="s">
        <v>174</v>
      </c>
      <c r="E58" s="59" t="s">
        <v>977</v>
      </c>
      <c r="F58" s="60">
        <v>400</v>
      </c>
      <c r="G58" s="69">
        <v>2</v>
      </c>
      <c r="H58" s="69" t="s">
        <v>391</v>
      </c>
      <c r="I58" s="69" t="s">
        <v>357</v>
      </c>
      <c r="J58" s="58">
        <v>45436</v>
      </c>
      <c r="K58" s="108" t="s">
        <v>602</v>
      </c>
      <c r="L58" s="117" t="s">
        <v>1208</v>
      </c>
      <c r="M58" s="66"/>
      <c r="N58" s="341"/>
      <c r="O58" s="56"/>
      <c r="P58" s="56"/>
      <c r="Q58" s="60">
        <v>400</v>
      </c>
      <c r="R58" s="56" t="s">
        <v>387</v>
      </c>
      <c r="S58" s="100">
        <v>89000</v>
      </c>
      <c r="T58" s="65">
        <f>S58*(F58/1000)</f>
        <v>35600</v>
      </c>
    </row>
    <row r="59" spans="1:20" s="67" customFormat="1" ht="13.5" customHeight="1" x14ac:dyDescent="0.25">
      <c r="A59" s="69" t="s">
        <v>1045</v>
      </c>
      <c r="B59" s="60" t="s">
        <v>1205</v>
      </c>
      <c r="C59" s="60" t="s">
        <v>1206</v>
      </c>
      <c r="D59" s="11" t="s">
        <v>158</v>
      </c>
      <c r="E59" s="59" t="s">
        <v>1207</v>
      </c>
      <c r="F59" s="60">
        <v>600</v>
      </c>
      <c r="G59" s="69">
        <v>3</v>
      </c>
      <c r="H59" s="69" t="s">
        <v>391</v>
      </c>
      <c r="I59" s="69" t="s">
        <v>357</v>
      </c>
      <c r="J59" s="58">
        <v>45436</v>
      </c>
      <c r="K59" s="108" t="s">
        <v>602</v>
      </c>
      <c r="L59" s="117" t="s">
        <v>1208</v>
      </c>
      <c r="M59" s="66"/>
      <c r="N59" s="341"/>
      <c r="O59" s="56"/>
      <c r="P59" s="56"/>
      <c r="Q59" s="60">
        <v>600</v>
      </c>
      <c r="R59" s="56" t="s">
        <v>387</v>
      </c>
      <c r="S59" s="100">
        <v>69500</v>
      </c>
      <c r="T59" s="65">
        <f>S59*(F59/1000)</f>
        <v>41700</v>
      </c>
    </row>
    <row r="60" spans="1:20" s="67" customFormat="1" ht="13.5" customHeight="1" x14ac:dyDescent="0.25">
      <c r="A60" s="69" t="s">
        <v>1045</v>
      </c>
      <c r="B60" s="97" t="s">
        <v>820</v>
      </c>
      <c r="C60" s="97" t="s">
        <v>457</v>
      </c>
      <c r="D60" s="98" t="s">
        <v>174</v>
      </c>
      <c r="E60" s="59" t="s">
        <v>1184</v>
      </c>
      <c r="F60" s="97">
        <v>8800</v>
      </c>
      <c r="G60" s="69">
        <v>44</v>
      </c>
      <c r="H60" s="69" t="s">
        <v>391</v>
      </c>
      <c r="I60" s="69" t="s">
        <v>357</v>
      </c>
      <c r="J60" s="58">
        <v>45440</v>
      </c>
      <c r="K60" s="105" t="s">
        <v>1201</v>
      </c>
      <c r="L60" s="123">
        <v>89061364460</v>
      </c>
      <c r="M60" s="105" t="s">
        <v>1202</v>
      </c>
      <c r="N60" s="107"/>
      <c r="O60" s="97"/>
      <c r="P60" s="60"/>
      <c r="Q60" s="97">
        <v>8800</v>
      </c>
      <c r="R60" s="56" t="s">
        <v>387</v>
      </c>
      <c r="S60" s="100">
        <v>95000</v>
      </c>
      <c r="T60" s="65">
        <f t="shared" ref="T60:T75" si="6" xml:space="preserve"> S60*(F60/1000)</f>
        <v>836000.00000000012</v>
      </c>
    </row>
    <row r="61" spans="1:20" s="67" customFormat="1" ht="13.5" customHeight="1" x14ac:dyDescent="0.25">
      <c r="A61" s="69" t="s">
        <v>1045</v>
      </c>
      <c r="B61" s="97" t="s">
        <v>820</v>
      </c>
      <c r="C61" s="97" t="s">
        <v>457</v>
      </c>
      <c r="D61" s="98" t="s">
        <v>174</v>
      </c>
      <c r="E61" s="59" t="s">
        <v>1191</v>
      </c>
      <c r="F61" s="97">
        <v>8800</v>
      </c>
      <c r="G61" s="69">
        <v>44</v>
      </c>
      <c r="H61" s="69" t="s">
        <v>391</v>
      </c>
      <c r="I61" s="69" t="s">
        <v>357</v>
      </c>
      <c r="J61" s="58">
        <v>45440</v>
      </c>
      <c r="K61" s="105" t="s">
        <v>1201</v>
      </c>
      <c r="L61" s="123">
        <v>89061364460</v>
      </c>
      <c r="M61" s="105" t="s">
        <v>1202</v>
      </c>
      <c r="N61" s="107"/>
      <c r="O61" s="97"/>
      <c r="P61" s="60"/>
      <c r="Q61" s="97">
        <v>8800</v>
      </c>
      <c r="R61" s="56" t="s">
        <v>387</v>
      </c>
      <c r="S61" s="100">
        <v>95000</v>
      </c>
      <c r="T61" s="65">
        <f t="shared" si="6"/>
        <v>836000.00000000012</v>
      </c>
    </row>
    <row r="62" spans="1:20" s="67" customFormat="1" ht="13.5" customHeight="1" x14ac:dyDescent="0.25">
      <c r="A62" s="464" t="s">
        <v>1045</v>
      </c>
      <c r="B62" s="60" t="s">
        <v>183</v>
      </c>
      <c r="C62" s="60" t="s">
        <v>168</v>
      </c>
      <c r="D62" s="98" t="s">
        <v>307</v>
      </c>
      <c r="E62" s="64" t="s">
        <v>1088</v>
      </c>
      <c r="F62" s="97">
        <v>4000</v>
      </c>
      <c r="G62" s="69">
        <v>160</v>
      </c>
      <c r="H62" s="69" t="s">
        <v>391</v>
      </c>
      <c r="I62" s="69" t="s">
        <v>357</v>
      </c>
      <c r="J62" s="58">
        <v>45440</v>
      </c>
      <c r="K62" s="108" t="s">
        <v>1204</v>
      </c>
      <c r="L62" s="117">
        <v>89603770185</v>
      </c>
      <c r="M62" s="56" t="s">
        <v>1203</v>
      </c>
      <c r="N62" s="339"/>
      <c r="O62" s="97">
        <v>4000</v>
      </c>
      <c r="P62" s="97"/>
      <c r="Q62" s="56"/>
      <c r="R62" s="56" t="s">
        <v>387</v>
      </c>
      <c r="S62" s="100">
        <v>50000</v>
      </c>
      <c r="T62" s="65">
        <f t="shared" si="6"/>
        <v>200000</v>
      </c>
    </row>
    <row r="63" spans="1:20" s="67" customFormat="1" ht="13.5" customHeight="1" x14ac:dyDescent="0.25">
      <c r="A63" s="469"/>
      <c r="B63" s="60" t="s">
        <v>183</v>
      </c>
      <c r="C63" s="60" t="s">
        <v>168</v>
      </c>
      <c r="D63" s="98" t="s">
        <v>621</v>
      </c>
      <c r="E63" s="64" t="s">
        <v>1150</v>
      </c>
      <c r="F63" s="97">
        <v>4500</v>
      </c>
      <c r="G63" s="69">
        <v>25</v>
      </c>
      <c r="H63" s="69" t="s">
        <v>391</v>
      </c>
      <c r="I63" s="69" t="s">
        <v>357</v>
      </c>
      <c r="J63" s="58">
        <v>45440</v>
      </c>
      <c r="K63" s="108" t="s">
        <v>1204</v>
      </c>
      <c r="L63" s="117">
        <v>89603770185</v>
      </c>
      <c r="M63" s="56" t="s">
        <v>1203</v>
      </c>
      <c r="N63" s="339"/>
      <c r="O63" s="56"/>
      <c r="P63" s="60"/>
      <c r="Q63" s="97">
        <v>4500</v>
      </c>
      <c r="R63" s="56" t="s">
        <v>387</v>
      </c>
      <c r="S63" s="100">
        <v>359000</v>
      </c>
      <c r="T63" s="65">
        <f t="shared" si="6"/>
        <v>1615500</v>
      </c>
    </row>
    <row r="64" spans="1:20" s="67" customFormat="1" ht="13.5" customHeight="1" x14ac:dyDescent="0.25">
      <c r="A64" s="465"/>
      <c r="B64" s="60" t="s">
        <v>183</v>
      </c>
      <c r="C64" s="60" t="s">
        <v>168</v>
      </c>
      <c r="D64" s="98" t="s">
        <v>621</v>
      </c>
      <c r="E64" s="64" t="s">
        <v>1189</v>
      </c>
      <c r="F64" s="97">
        <v>6300</v>
      </c>
      <c r="G64" s="69">
        <v>35</v>
      </c>
      <c r="H64" s="69" t="s">
        <v>391</v>
      </c>
      <c r="I64" s="69" t="s">
        <v>357</v>
      </c>
      <c r="J64" s="58">
        <v>45440</v>
      </c>
      <c r="K64" s="108" t="s">
        <v>1204</v>
      </c>
      <c r="L64" s="117">
        <v>89603770185</v>
      </c>
      <c r="M64" s="56" t="s">
        <v>1203</v>
      </c>
      <c r="N64" s="339"/>
      <c r="O64" s="56"/>
      <c r="P64" s="60"/>
      <c r="Q64" s="97">
        <v>6300</v>
      </c>
      <c r="R64" s="56" t="s">
        <v>387</v>
      </c>
      <c r="S64" s="100">
        <v>359000</v>
      </c>
      <c r="T64" s="65">
        <f t="shared" si="6"/>
        <v>2261700</v>
      </c>
    </row>
    <row r="65" spans="1:20" s="67" customFormat="1" x14ac:dyDescent="0.25">
      <c r="A65" s="69" t="s">
        <v>1066</v>
      </c>
      <c r="B65" s="60" t="s">
        <v>1057</v>
      </c>
      <c r="C65" s="60" t="s">
        <v>165</v>
      </c>
      <c r="D65" s="11" t="s">
        <v>291</v>
      </c>
      <c r="E65" s="59" t="s">
        <v>962</v>
      </c>
      <c r="F65" s="60">
        <v>15876</v>
      </c>
      <c r="G65" s="69">
        <v>700</v>
      </c>
      <c r="H65" s="69" t="s">
        <v>563</v>
      </c>
      <c r="I65" s="69" t="s">
        <v>357</v>
      </c>
      <c r="J65" s="58">
        <v>45442</v>
      </c>
      <c r="K65" s="108"/>
      <c r="L65" s="117"/>
      <c r="M65" s="66"/>
      <c r="N65" s="341" t="s">
        <v>1218</v>
      </c>
      <c r="O65" s="60">
        <v>15876</v>
      </c>
      <c r="P65" s="56"/>
      <c r="Q65" s="56"/>
      <c r="R65" s="56" t="s">
        <v>387</v>
      </c>
      <c r="S65" s="100">
        <v>49500</v>
      </c>
      <c r="T65" s="65">
        <f t="shared" si="6"/>
        <v>785862</v>
      </c>
    </row>
    <row r="66" spans="1:20" s="67" customFormat="1" x14ac:dyDescent="0.25">
      <c r="A66" s="69" t="s">
        <v>1066</v>
      </c>
      <c r="B66" s="60" t="s">
        <v>1124</v>
      </c>
      <c r="C66" s="60" t="s">
        <v>165</v>
      </c>
      <c r="D66" s="11" t="s">
        <v>1043</v>
      </c>
      <c r="E66" s="59" t="s">
        <v>1111</v>
      </c>
      <c r="F66" s="60">
        <v>17500</v>
      </c>
      <c r="G66" s="69">
        <v>700</v>
      </c>
      <c r="H66" s="69" t="s">
        <v>169</v>
      </c>
      <c r="I66" s="69" t="s">
        <v>357</v>
      </c>
      <c r="J66" s="58">
        <v>45442</v>
      </c>
      <c r="K66" s="108"/>
      <c r="L66" s="117"/>
      <c r="M66" s="66"/>
      <c r="N66" s="341" t="s">
        <v>1219</v>
      </c>
      <c r="O66" s="60">
        <v>17500</v>
      </c>
      <c r="P66" s="56"/>
      <c r="Q66" s="56"/>
      <c r="R66" s="56" t="s">
        <v>387</v>
      </c>
      <c r="S66" s="100">
        <v>49500</v>
      </c>
      <c r="T66" s="65">
        <f t="shared" si="6"/>
        <v>866250</v>
      </c>
    </row>
    <row r="67" spans="1:20" s="67" customFormat="1" x14ac:dyDescent="0.25">
      <c r="A67" s="69" t="s">
        <v>1066</v>
      </c>
      <c r="B67" s="60" t="s">
        <v>1132</v>
      </c>
      <c r="C67" s="60" t="s">
        <v>165</v>
      </c>
      <c r="D67" s="11" t="s">
        <v>1043</v>
      </c>
      <c r="E67" s="59" t="s">
        <v>1135</v>
      </c>
      <c r="F67" s="60">
        <v>17500</v>
      </c>
      <c r="G67" s="69">
        <v>700</v>
      </c>
      <c r="H67" s="69" t="s">
        <v>169</v>
      </c>
      <c r="I67" s="69" t="s">
        <v>357</v>
      </c>
      <c r="J67" s="58">
        <v>45442</v>
      </c>
      <c r="K67" s="108"/>
      <c r="L67" s="117"/>
      <c r="M67" s="66"/>
      <c r="N67" s="341" t="s">
        <v>1220</v>
      </c>
      <c r="O67" s="60">
        <v>17500</v>
      </c>
      <c r="P67" s="56"/>
      <c r="Q67" s="56"/>
      <c r="R67" s="56" t="s">
        <v>387</v>
      </c>
      <c r="S67" s="100">
        <v>49500</v>
      </c>
      <c r="T67" s="65">
        <f t="shared" si="6"/>
        <v>866250</v>
      </c>
    </row>
    <row r="68" spans="1:20" s="67" customFormat="1" x14ac:dyDescent="0.25">
      <c r="A68" s="69" t="s">
        <v>1066</v>
      </c>
      <c r="B68" s="60" t="s">
        <v>1133</v>
      </c>
      <c r="C68" s="60" t="s">
        <v>165</v>
      </c>
      <c r="D68" s="11" t="s">
        <v>1043</v>
      </c>
      <c r="E68" s="59" t="s">
        <v>1136</v>
      </c>
      <c r="F68" s="60">
        <v>17500</v>
      </c>
      <c r="G68" s="69">
        <v>700</v>
      </c>
      <c r="H68" s="69" t="s">
        <v>169</v>
      </c>
      <c r="I68" s="69" t="s">
        <v>357</v>
      </c>
      <c r="J68" s="58">
        <v>45442</v>
      </c>
      <c r="K68" s="108"/>
      <c r="L68" s="117"/>
      <c r="M68" s="66"/>
      <c r="N68" s="341" t="s">
        <v>1221</v>
      </c>
      <c r="O68" s="60">
        <v>17500</v>
      </c>
      <c r="P68" s="56"/>
      <c r="Q68" s="56"/>
      <c r="R68" s="56" t="s">
        <v>387</v>
      </c>
      <c r="S68" s="100">
        <v>49500</v>
      </c>
      <c r="T68" s="65">
        <f t="shared" si="6"/>
        <v>866250</v>
      </c>
    </row>
    <row r="69" spans="1:20" s="67" customFormat="1" ht="13.5" customHeight="1" x14ac:dyDescent="0.25">
      <c r="A69" s="69" t="s">
        <v>1045</v>
      </c>
      <c r="B69" s="97" t="s">
        <v>820</v>
      </c>
      <c r="C69" s="97" t="s">
        <v>457</v>
      </c>
      <c r="D69" s="98" t="s">
        <v>174</v>
      </c>
      <c r="E69" s="59" t="s">
        <v>1192</v>
      </c>
      <c r="F69" s="97">
        <v>9000</v>
      </c>
      <c r="G69" s="69">
        <v>45</v>
      </c>
      <c r="H69" s="69" t="s">
        <v>391</v>
      </c>
      <c r="I69" s="69" t="s">
        <v>357</v>
      </c>
      <c r="J69" s="58">
        <v>45442</v>
      </c>
      <c r="K69" s="105" t="s">
        <v>1212</v>
      </c>
      <c r="L69" s="123">
        <v>79099804440</v>
      </c>
      <c r="M69" s="105" t="s">
        <v>1211</v>
      </c>
      <c r="N69" s="107"/>
      <c r="O69" s="97"/>
      <c r="P69" s="60"/>
      <c r="Q69" s="97">
        <v>9000</v>
      </c>
      <c r="R69" s="56" t="s">
        <v>387</v>
      </c>
      <c r="S69" s="100">
        <v>95000</v>
      </c>
      <c r="T69" s="65">
        <f t="shared" si="6"/>
        <v>855000</v>
      </c>
    </row>
    <row r="70" spans="1:20" s="67" customFormat="1" ht="13.5" customHeight="1" x14ac:dyDescent="0.25">
      <c r="A70" s="69" t="s">
        <v>1045</v>
      </c>
      <c r="B70" s="97" t="s">
        <v>820</v>
      </c>
      <c r="C70" s="97" t="s">
        <v>457</v>
      </c>
      <c r="D70" s="98" t="s">
        <v>174</v>
      </c>
      <c r="E70" s="59" t="s">
        <v>1189</v>
      </c>
      <c r="F70" s="97">
        <v>8600</v>
      </c>
      <c r="G70" s="69">
        <v>43</v>
      </c>
      <c r="H70" s="69" t="s">
        <v>391</v>
      </c>
      <c r="I70" s="69" t="s">
        <v>357</v>
      </c>
      <c r="J70" s="58">
        <v>45442</v>
      </c>
      <c r="K70" s="105" t="s">
        <v>1212</v>
      </c>
      <c r="L70" s="123">
        <v>79099804440</v>
      </c>
      <c r="M70" s="105" t="s">
        <v>1211</v>
      </c>
      <c r="N70" s="107"/>
      <c r="O70" s="97"/>
      <c r="P70" s="60"/>
      <c r="Q70" s="97">
        <v>8600</v>
      </c>
      <c r="R70" s="56" t="s">
        <v>387</v>
      </c>
      <c r="S70" s="100">
        <v>95000</v>
      </c>
      <c r="T70" s="65">
        <f t="shared" si="6"/>
        <v>817000</v>
      </c>
    </row>
    <row r="71" spans="1:20" s="67" customFormat="1" x14ac:dyDescent="0.25">
      <c r="A71" s="69" t="s">
        <v>1066</v>
      </c>
      <c r="B71" s="60" t="s">
        <v>1134</v>
      </c>
      <c r="C71" s="60" t="s">
        <v>165</v>
      </c>
      <c r="D71" s="11" t="s">
        <v>1043</v>
      </c>
      <c r="E71" s="59" t="s">
        <v>1137</v>
      </c>
      <c r="F71" s="60">
        <v>17500</v>
      </c>
      <c r="G71" s="69">
        <v>700</v>
      </c>
      <c r="H71" s="69" t="s">
        <v>169</v>
      </c>
      <c r="I71" s="69" t="s">
        <v>357</v>
      </c>
      <c r="J71" s="58">
        <v>45443</v>
      </c>
      <c r="K71" s="108"/>
      <c r="L71" s="117"/>
      <c r="M71" s="66"/>
      <c r="N71" s="341" t="s">
        <v>1230</v>
      </c>
      <c r="O71" s="60">
        <v>17500</v>
      </c>
      <c r="P71" s="56"/>
      <c r="Q71" s="56"/>
      <c r="R71" s="56" t="s">
        <v>387</v>
      </c>
      <c r="S71" s="100">
        <v>49500</v>
      </c>
      <c r="T71" s="65">
        <f t="shared" si="6"/>
        <v>866250</v>
      </c>
    </row>
    <row r="72" spans="1:20" s="67" customFormat="1" x14ac:dyDescent="0.25">
      <c r="A72" s="69" t="s">
        <v>1066</v>
      </c>
      <c r="B72" s="60" t="s">
        <v>1147</v>
      </c>
      <c r="C72" s="60" t="s">
        <v>165</v>
      </c>
      <c r="D72" s="11" t="s">
        <v>1043</v>
      </c>
      <c r="E72" s="59" t="s">
        <v>1148</v>
      </c>
      <c r="F72" s="60">
        <v>17500</v>
      </c>
      <c r="G72" s="69">
        <v>700</v>
      </c>
      <c r="H72" s="69" t="s">
        <v>169</v>
      </c>
      <c r="I72" s="69" t="s">
        <v>357</v>
      </c>
      <c r="J72" s="58">
        <v>45443</v>
      </c>
      <c r="K72" s="108"/>
      <c r="L72" s="117"/>
      <c r="M72" s="66"/>
      <c r="N72" s="341" t="s">
        <v>1228</v>
      </c>
      <c r="O72" s="60">
        <v>17500</v>
      </c>
      <c r="P72" s="56"/>
      <c r="Q72" s="56"/>
      <c r="R72" s="56" t="s">
        <v>387</v>
      </c>
      <c r="S72" s="100">
        <v>49500</v>
      </c>
      <c r="T72" s="65">
        <f t="shared" si="6"/>
        <v>866250</v>
      </c>
    </row>
    <row r="73" spans="1:20" s="67" customFormat="1" x14ac:dyDescent="0.25">
      <c r="A73" s="69" t="s">
        <v>1066</v>
      </c>
      <c r="B73" s="60" t="s">
        <v>1149</v>
      </c>
      <c r="C73" s="60" t="s">
        <v>165</v>
      </c>
      <c r="D73" s="11" t="s">
        <v>1043</v>
      </c>
      <c r="E73" s="59" t="s">
        <v>1150</v>
      </c>
      <c r="F73" s="60">
        <v>17500</v>
      </c>
      <c r="G73" s="69">
        <v>700</v>
      </c>
      <c r="H73" s="69" t="s">
        <v>169</v>
      </c>
      <c r="I73" s="69" t="s">
        <v>357</v>
      </c>
      <c r="J73" s="58">
        <v>45443</v>
      </c>
      <c r="K73" s="108"/>
      <c r="L73" s="117"/>
      <c r="M73" s="66"/>
      <c r="N73" s="341" t="s">
        <v>1229</v>
      </c>
      <c r="O73" s="60">
        <v>17500</v>
      </c>
      <c r="P73" s="56"/>
      <c r="Q73" s="56"/>
      <c r="R73" s="56" t="s">
        <v>387</v>
      </c>
      <c r="S73" s="100">
        <v>49500</v>
      </c>
      <c r="T73" s="65">
        <f t="shared" si="6"/>
        <v>866250</v>
      </c>
    </row>
    <row r="74" spans="1:20" s="67" customFormat="1" x14ac:dyDescent="0.25">
      <c r="A74" s="69" t="s">
        <v>1066</v>
      </c>
      <c r="B74" s="60" t="s">
        <v>1154</v>
      </c>
      <c r="C74" s="60" t="s">
        <v>165</v>
      </c>
      <c r="D74" s="11" t="s">
        <v>1043</v>
      </c>
      <c r="E74" s="59" t="s">
        <v>1155</v>
      </c>
      <c r="F74" s="60">
        <v>17500</v>
      </c>
      <c r="G74" s="69">
        <v>700</v>
      </c>
      <c r="H74" s="69" t="s">
        <v>169</v>
      </c>
      <c r="I74" s="69" t="s">
        <v>357</v>
      </c>
      <c r="J74" s="58">
        <v>45443</v>
      </c>
      <c r="K74" s="108"/>
      <c r="L74" s="117"/>
      <c r="M74" s="66"/>
      <c r="N74" s="341" t="s">
        <v>1227</v>
      </c>
      <c r="O74" s="60">
        <v>17500</v>
      </c>
      <c r="P74" s="56"/>
      <c r="Q74" s="56"/>
      <c r="R74" s="56" t="s">
        <v>387</v>
      </c>
      <c r="S74" s="100">
        <v>49500</v>
      </c>
      <c r="T74" s="65">
        <f t="shared" si="6"/>
        <v>866250</v>
      </c>
    </row>
    <row r="75" spans="1:20" s="67" customFormat="1" ht="13.5" customHeight="1" x14ac:dyDescent="0.25">
      <c r="A75" s="346" t="s">
        <v>1213</v>
      </c>
      <c r="B75" s="60" t="s">
        <v>1214</v>
      </c>
      <c r="C75" s="60" t="s">
        <v>600</v>
      </c>
      <c r="D75" s="11" t="s">
        <v>316</v>
      </c>
      <c r="E75" s="59" t="s">
        <v>1215</v>
      </c>
      <c r="F75" s="60">
        <v>20</v>
      </c>
      <c r="G75" s="69">
        <v>1</v>
      </c>
      <c r="H75" s="69" t="s">
        <v>1216</v>
      </c>
      <c r="I75" s="69" t="s">
        <v>357</v>
      </c>
      <c r="J75" s="58">
        <v>45443</v>
      </c>
      <c r="K75" s="108" t="s">
        <v>1213</v>
      </c>
      <c r="L75" s="117" t="s">
        <v>1217</v>
      </c>
      <c r="M75" s="66"/>
      <c r="N75" s="341"/>
      <c r="O75" s="56"/>
      <c r="P75" s="60">
        <v>20</v>
      </c>
      <c r="Q75" s="56"/>
      <c r="R75" s="56" t="s">
        <v>387</v>
      </c>
      <c r="S75" s="100">
        <v>100000</v>
      </c>
      <c r="T75" s="65">
        <f t="shared" si="6"/>
        <v>2000</v>
      </c>
    </row>
    <row r="76" spans="1:20" ht="18.75" x14ac:dyDescent="0.3">
      <c r="A76" s="126" t="s">
        <v>15</v>
      </c>
      <c r="B76" s="110">
        <f>SUM(F4:F75)/1000</f>
        <v>793.23699999999997</v>
      </c>
      <c r="C76" s="57" t="s">
        <v>14</v>
      </c>
      <c r="S76" s="102"/>
      <c r="T76" s="102">
        <f>SUM(T4:T75)</f>
        <v>66230815.700000003</v>
      </c>
    </row>
    <row r="77" spans="1:20" ht="18.75" x14ac:dyDescent="0.3">
      <c r="A77" s="127" t="s">
        <v>16</v>
      </c>
      <c r="B77" s="111">
        <f>B78+B79+B80</f>
        <v>793.23699999999997</v>
      </c>
      <c r="C77" s="1" t="s">
        <v>14</v>
      </c>
    </row>
    <row r="78" spans="1:20" ht="18.75" x14ac:dyDescent="0.3">
      <c r="A78" s="128" t="s">
        <v>17</v>
      </c>
      <c r="B78" s="109">
        <f>SUM(O4:O75)/1000</f>
        <v>546.221</v>
      </c>
      <c r="C78" s="2" t="s">
        <v>14</v>
      </c>
    </row>
    <row r="79" spans="1:20" ht="18.75" x14ac:dyDescent="0.3">
      <c r="A79" s="128" t="s">
        <v>154</v>
      </c>
      <c r="B79" s="109">
        <f>SUM(P4:P75)/1000</f>
        <v>46.515999999999998</v>
      </c>
      <c r="C79" s="2" t="s">
        <v>14</v>
      </c>
    </row>
    <row r="80" spans="1:20" ht="18.75" x14ac:dyDescent="0.3">
      <c r="A80" s="128" t="s">
        <v>24</v>
      </c>
      <c r="B80" s="112">
        <f>SUM(Q4:Q75)/1000</f>
        <v>200.5</v>
      </c>
      <c r="C80" s="2" t="s">
        <v>14</v>
      </c>
    </row>
    <row r="81" spans="1:3" ht="19.5" thickBot="1" x14ac:dyDescent="0.35">
      <c r="A81" s="129" t="s">
        <v>20</v>
      </c>
      <c r="B81" s="113">
        <f>B76-B77</f>
        <v>0</v>
      </c>
      <c r="C81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81" xr:uid="{00000000-0009-0000-0000-000007000000}"/>
  <mergeCells count="22">
    <mergeCell ref="A62:A64"/>
    <mergeCell ref="N16:N18"/>
    <mergeCell ref="N36:N37"/>
    <mergeCell ref="A16:A18"/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  <mergeCell ref="N12:N15"/>
    <mergeCell ref="A56:A57"/>
    <mergeCell ref="A12:A15"/>
    <mergeCell ref="A43:A44"/>
    <mergeCell ref="A33:A34"/>
    <mergeCell ref="N43:N44"/>
  </mergeCells>
  <phoneticPr fontId="28" type="noConversion"/>
  <dataValidations count="1">
    <dataValidation type="list" allowBlank="1" showInputMessage="1" showErrorMessage="1" sqref="D76" xr:uid="{00000000-0002-0000-0700-000000000000}">
      <formula1>$E$76:$E$92</formula1>
    </dataValidation>
  </dataValidations>
  <pageMargins left="0.7" right="0.7" top="0.75" bottom="0.75" header="0.3" footer="0.3"/>
  <pageSetup paperSize="9" scale="34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1000000}">
          <x14:formula1>
            <xm:f>справочник!$E$2:$E$152</xm:f>
          </x14:formula1>
          <xm:sqref>D4:D75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5"/>
  <sheetViews>
    <sheetView zoomScale="70" zoomScaleNormal="70" zoomScaleSheetLayoutView="70" workbookViewId="0">
      <pane ySplit="3" topLeftCell="A46" activePane="bottomLeft" state="frozen"/>
      <selection pane="bottomLeft" activeCell="C19" sqref="C19"/>
    </sheetView>
  </sheetViews>
  <sheetFormatPr defaultRowHeight="15" x14ac:dyDescent="0.25"/>
  <cols>
    <col min="1" max="1" width="19.5703125" style="130" customWidth="1"/>
    <col min="2" max="2" width="28.5703125" bestFit="1" customWidth="1"/>
    <col min="3" max="3" width="24.7109375" customWidth="1"/>
    <col min="4" max="4" width="40.140625" bestFit="1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33.85546875" customWidth="1"/>
    <col min="10" max="10" width="16.42578125" customWidth="1"/>
    <col min="11" max="11" width="30.42578125" customWidth="1"/>
    <col min="12" max="12" width="25.5703125" customWidth="1"/>
    <col min="13" max="13" width="29.5703125" customWidth="1"/>
    <col min="14" max="14" width="21.42578125" style="120" customWidth="1"/>
    <col min="18" max="18" width="12.42578125" customWidth="1"/>
    <col min="19" max="19" width="25.1406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45383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55" t="s">
        <v>1</v>
      </c>
      <c r="G3" s="55" t="s">
        <v>156</v>
      </c>
      <c r="H3" s="453"/>
      <c r="I3" s="455"/>
      <c r="J3" s="457"/>
      <c r="K3" s="54" t="s">
        <v>8</v>
      </c>
      <c r="L3" s="54" t="s">
        <v>21</v>
      </c>
      <c r="M3" s="54" t="s">
        <v>10</v>
      </c>
      <c r="N3" s="122" t="s">
        <v>11</v>
      </c>
      <c r="O3" s="5" t="s">
        <v>13</v>
      </c>
      <c r="P3" s="5" t="s">
        <v>155</v>
      </c>
      <c r="Q3" s="124" t="s">
        <v>23</v>
      </c>
      <c r="R3" s="439"/>
      <c r="S3" s="68" t="s">
        <v>162</v>
      </c>
      <c r="T3" s="99" t="s">
        <v>163</v>
      </c>
    </row>
    <row r="4" spans="1:20" s="67" customFormat="1" ht="13.5" customHeight="1" x14ac:dyDescent="0.25">
      <c r="A4" s="307" t="s">
        <v>640</v>
      </c>
      <c r="B4" s="60" t="s">
        <v>969</v>
      </c>
      <c r="C4" s="60" t="s">
        <v>165</v>
      </c>
      <c r="D4" s="98" t="s">
        <v>897</v>
      </c>
      <c r="E4" s="64" t="s">
        <v>886</v>
      </c>
      <c r="F4" s="97">
        <v>6400</v>
      </c>
      <c r="G4" s="69">
        <v>32</v>
      </c>
      <c r="H4" s="69" t="s">
        <v>406</v>
      </c>
      <c r="I4" s="69" t="s">
        <v>357</v>
      </c>
      <c r="J4" s="58">
        <v>45383</v>
      </c>
      <c r="K4" s="108" t="s">
        <v>922</v>
      </c>
      <c r="L4" s="66">
        <v>89519408262</v>
      </c>
      <c r="M4" s="117" t="s">
        <v>925</v>
      </c>
      <c r="N4" s="56"/>
      <c r="O4" s="56"/>
      <c r="P4" s="60"/>
      <c r="Q4" s="97">
        <v>6400</v>
      </c>
      <c r="R4" s="194" t="s">
        <v>387</v>
      </c>
      <c r="S4" s="65">
        <v>79000</v>
      </c>
      <c r="T4" s="65">
        <f t="shared" ref="T4:T25" si="0" xml:space="preserve"> S4*(F4/1000)</f>
        <v>505600</v>
      </c>
    </row>
    <row r="5" spans="1:20" s="67" customFormat="1" ht="13.5" customHeight="1" x14ac:dyDescent="0.25">
      <c r="A5" s="307" t="s">
        <v>640</v>
      </c>
      <c r="B5" s="60" t="s">
        <v>969</v>
      </c>
      <c r="C5" s="60" t="s">
        <v>165</v>
      </c>
      <c r="D5" s="98" t="s">
        <v>897</v>
      </c>
      <c r="E5" s="64" t="s">
        <v>894</v>
      </c>
      <c r="F5" s="97">
        <v>6400</v>
      </c>
      <c r="G5" s="69">
        <v>32</v>
      </c>
      <c r="H5" s="69" t="s">
        <v>406</v>
      </c>
      <c r="I5" s="69" t="s">
        <v>357</v>
      </c>
      <c r="J5" s="58">
        <v>45383</v>
      </c>
      <c r="K5" s="108" t="s">
        <v>923</v>
      </c>
      <c r="L5" s="66">
        <v>89519408262</v>
      </c>
      <c r="M5" s="117" t="s">
        <v>925</v>
      </c>
      <c r="N5" s="56"/>
      <c r="O5" s="56"/>
      <c r="P5" s="60"/>
      <c r="Q5" s="97">
        <v>6400</v>
      </c>
      <c r="R5" s="194" t="s">
        <v>387</v>
      </c>
      <c r="S5" s="65">
        <v>79000</v>
      </c>
      <c r="T5" s="65">
        <f t="shared" si="0"/>
        <v>505600</v>
      </c>
    </row>
    <row r="6" spans="1:20" s="67" customFormat="1" ht="13.5" customHeight="1" x14ac:dyDescent="0.25">
      <c r="A6" s="307" t="s">
        <v>640</v>
      </c>
      <c r="B6" s="60" t="s">
        <v>969</v>
      </c>
      <c r="C6" s="60" t="s">
        <v>165</v>
      </c>
      <c r="D6" s="98" t="s">
        <v>897</v>
      </c>
      <c r="E6" s="64" t="s">
        <v>899</v>
      </c>
      <c r="F6" s="97">
        <v>4800</v>
      </c>
      <c r="G6" s="69">
        <v>24</v>
      </c>
      <c r="H6" s="69" t="s">
        <v>406</v>
      </c>
      <c r="I6" s="69" t="s">
        <v>357</v>
      </c>
      <c r="J6" s="58">
        <v>45383</v>
      </c>
      <c r="K6" s="108" t="s">
        <v>924</v>
      </c>
      <c r="L6" s="66">
        <v>89519408262</v>
      </c>
      <c r="M6" s="117" t="s">
        <v>925</v>
      </c>
      <c r="N6" s="56"/>
      <c r="O6" s="56"/>
      <c r="P6" s="60"/>
      <c r="Q6" s="97">
        <v>4800</v>
      </c>
      <c r="R6" s="194" t="s">
        <v>387</v>
      </c>
      <c r="S6" s="65">
        <v>79000</v>
      </c>
      <c r="T6" s="65">
        <f t="shared" si="0"/>
        <v>379200</v>
      </c>
    </row>
    <row r="7" spans="1:20" s="67" customFormat="1" ht="13.5" customHeight="1" x14ac:dyDescent="0.25">
      <c r="A7" s="304" t="s">
        <v>770</v>
      </c>
      <c r="B7" s="60" t="s">
        <v>183</v>
      </c>
      <c r="C7" s="97" t="s">
        <v>381</v>
      </c>
      <c r="D7" s="98" t="s">
        <v>316</v>
      </c>
      <c r="E7" s="64" t="s">
        <v>913</v>
      </c>
      <c r="F7" s="97">
        <v>7000</v>
      </c>
      <c r="G7" s="69">
        <v>350</v>
      </c>
      <c r="H7" s="69" t="s">
        <v>424</v>
      </c>
      <c r="I7" s="69" t="s">
        <v>357</v>
      </c>
      <c r="J7" s="58">
        <v>45383</v>
      </c>
      <c r="K7" s="108" t="s">
        <v>920</v>
      </c>
      <c r="L7" s="117">
        <v>89600078412</v>
      </c>
      <c r="M7" s="56" t="s">
        <v>919</v>
      </c>
      <c r="N7" s="107"/>
      <c r="O7" s="56"/>
      <c r="P7" s="97">
        <v>7000</v>
      </c>
      <c r="Q7" s="56"/>
      <c r="R7" s="56" t="s">
        <v>387</v>
      </c>
      <c r="S7" s="65">
        <v>83000</v>
      </c>
      <c r="T7" s="65">
        <f t="shared" si="0"/>
        <v>581000</v>
      </c>
    </row>
    <row r="8" spans="1:20" s="67" customFormat="1" ht="13.5" customHeight="1" x14ac:dyDescent="0.25">
      <c r="A8" s="332" t="s">
        <v>770</v>
      </c>
      <c r="B8" s="60" t="s">
        <v>183</v>
      </c>
      <c r="C8" s="97" t="s">
        <v>381</v>
      </c>
      <c r="D8" s="98" t="s">
        <v>287</v>
      </c>
      <c r="E8" s="59" t="s">
        <v>900</v>
      </c>
      <c r="F8" s="97">
        <v>13000</v>
      </c>
      <c r="G8" s="69">
        <v>520</v>
      </c>
      <c r="H8" s="69" t="s">
        <v>424</v>
      </c>
      <c r="I8" s="69" t="s">
        <v>357</v>
      </c>
      <c r="J8" s="58">
        <v>45383</v>
      </c>
      <c r="K8" s="108" t="s">
        <v>921</v>
      </c>
      <c r="L8" s="117">
        <v>89600078412</v>
      </c>
      <c r="M8" s="56" t="s">
        <v>919</v>
      </c>
      <c r="N8" s="58"/>
      <c r="O8" s="97">
        <v>13000</v>
      </c>
      <c r="P8" s="60"/>
      <c r="Q8" s="56"/>
      <c r="R8" s="56" t="s">
        <v>387</v>
      </c>
      <c r="S8" s="65">
        <v>41000</v>
      </c>
      <c r="T8" s="65">
        <f t="shared" si="0"/>
        <v>533000</v>
      </c>
    </row>
    <row r="9" spans="1:20" s="67" customFormat="1" ht="13.5" customHeight="1" x14ac:dyDescent="0.25">
      <c r="A9" s="69" t="s">
        <v>927</v>
      </c>
      <c r="B9" s="60" t="s">
        <v>532</v>
      </c>
      <c r="C9" s="60" t="s">
        <v>168</v>
      </c>
      <c r="D9" s="98" t="s">
        <v>307</v>
      </c>
      <c r="E9" s="64" t="s">
        <v>928</v>
      </c>
      <c r="F9" s="97">
        <v>20000</v>
      </c>
      <c r="G9" s="69">
        <v>800</v>
      </c>
      <c r="H9" s="69" t="s">
        <v>391</v>
      </c>
      <c r="I9" s="69" t="s">
        <v>357</v>
      </c>
      <c r="J9" s="58">
        <v>45384</v>
      </c>
      <c r="K9" s="108" t="s">
        <v>932</v>
      </c>
      <c r="L9" s="117">
        <v>89122005356</v>
      </c>
      <c r="M9" s="66" t="s">
        <v>931</v>
      </c>
      <c r="N9" s="107"/>
      <c r="O9" s="97">
        <v>20000</v>
      </c>
      <c r="P9" s="60"/>
      <c r="Q9" s="56"/>
      <c r="R9" s="56" t="s">
        <v>387</v>
      </c>
      <c r="S9" s="65">
        <v>50000</v>
      </c>
      <c r="T9" s="65">
        <f t="shared" si="0"/>
        <v>1000000</v>
      </c>
    </row>
    <row r="10" spans="1:20" s="67" customFormat="1" ht="14.25" customHeight="1" x14ac:dyDescent="0.25">
      <c r="A10" s="69" t="s">
        <v>224</v>
      </c>
      <c r="B10" s="97" t="s">
        <v>774</v>
      </c>
      <c r="C10" s="97" t="s">
        <v>349</v>
      </c>
      <c r="D10" s="98" t="s">
        <v>279</v>
      </c>
      <c r="E10" s="59" t="s">
        <v>899</v>
      </c>
      <c r="F10" s="97">
        <v>20000</v>
      </c>
      <c r="G10" s="69">
        <v>800</v>
      </c>
      <c r="H10" s="69" t="s">
        <v>352</v>
      </c>
      <c r="I10" s="69" t="s">
        <v>357</v>
      </c>
      <c r="J10" s="58">
        <v>45385</v>
      </c>
      <c r="K10" s="105" t="s">
        <v>934</v>
      </c>
      <c r="L10" s="123" t="s">
        <v>935</v>
      </c>
      <c r="M10" s="105" t="s">
        <v>933</v>
      </c>
      <c r="N10" s="58"/>
      <c r="O10" s="97">
        <v>20000</v>
      </c>
      <c r="P10" s="60"/>
      <c r="Q10" s="56"/>
      <c r="R10" s="194" t="s">
        <v>387</v>
      </c>
      <c r="S10" s="100">
        <v>45000</v>
      </c>
      <c r="T10" s="65">
        <f t="shared" si="0"/>
        <v>900000</v>
      </c>
    </row>
    <row r="11" spans="1:20" s="67" customFormat="1" ht="13.5" customHeight="1" x14ac:dyDescent="0.25">
      <c r="A11" s="69" t="s">
        <v>240</v>
      </c>
      <c r="B11" s="60" t="s">
        <v>929</v>
      </c>
      <c r="C11" s="60" t="s">
        <v>165</v>
      </c>
      <c r="D11" s="11" t="s">
        <v>291</v>
      </c>
      <c r="E11" s="59" t="s">
        <v>930</v>
      </c>
      <c r="F11" s="60">
        <v>15876</v>
      </c>
      <c r="G11" s="69">
        <v>700</v>
      </c>
      <c r="H11" s="69" t="s">
        <v>681</v>
      </c>
      <c r="I11" s="69" t="s">
        <v>357</v>
      </c>
      <c r="J11" s="58">
        <v>45386</v>
      </c>
      <c r="K11" s="69" t="s">
        <v>946</v>
      </c>
      <c r="L11" s="117"/>
      <c r="M11" s="66"/>
      <c r="N11" s="107" t="s">
        <v>947</v>
      </c>
      <c r="O11" s="60">
        <v>15876</v>
      </c>
      <c r="P11" s="56"/>
      <c r="Q11" s="60"/>
      <c r="R11" s="56" t="s">
        <v>387</v>
      </c>
      <c r="S11" s="100">
        <v>49500</v>
      </c>
      <c r="T11" s="65">
        <f t="shared" si="0"/>
        <v>785862</v>
      </c>
    </row>
    <row r="12" spans="1:20" s="67" customFormat="1" ht="13.5" customHeight="1" x14ac:dyDescent="0.25">
      <c r="A12" s="69" t="s">
        <v>741</v>
      </c>
      <c r="B12" s="60" t="s">
        <v>403</v>
      </c>
      <c r="C12" s="60" t="s">
        <v>168</v>
      </c>
      <c r="D12" s="98" t="s">
        <v>307</v>
      </c>
      <c r="E12" s="64" t="s">
        <v>930</v>
      </c>
      <c r="F12" s="97">
        <v>20000</v>
      </c>
      <c r="G12" s="69">
        <v>800</v>
      </c>
      <c r="H12" s="69" t="s">
        <v>681</v>
      </c>
      <c r="I12" s="69" t="s">
        <v>357</v>
      </c>
      <c r="J12" s="58">
        <v>45386</v>
      </c>
      <c r="K12" s="105" t="s">
        <v>635</v>
      </c>
      <c r="L12" s="123">
        <v>89212974613</v>
      </c>
      <c r="M12" s="105" t="s">
        <v>636</v>
      </c>
      <c r="N12" s="107"/>
      <c r="O12" s="97">
        <v>20000</v>
      </c>
      <c r="P12" s="60"/>
      <c r="Q12" s="56"/>
      <c r="R12" s="56" t="s">
        <v>387</v>
      </c>
      <c r="S12" s="65">
        <v>50000</v>
      </c>
      <c r="T12" s="65">
        <f t="shared" si="0"/>
        <v>1000000</v>
      </c>
    </row>
    <row r="13" spans="1:20" s="67" customFormat="1" ht="13.5" customHeight="1" x14ac:dyDescent="0.25">
      <c r="A13" s="332" t="s">
        <v>224</v>
      </c>
      <c r="B13" s="60" t="s">
        <v>183</v>
      </c>
      <c r="C13" s="60" t="s">
        <v>349</v>
      </c>
      <c r="D13" s="98" t="s">
        <v>158</v>
      </c>
      <c r="E13" s="64" t="s">
        <v>894</v>
      </c>
      <c r="F13" s="97">
        <v>6400</v>
      </c>
      <c r="G13" s="69">
        <v>32</v>
      </c>
      <c r="H13" s="69" t="s">
        <v>352</v>
      </c>
      <c r="I13" s="69" t="s">
        <v>357</v>
      </c>
      <c r="J13" s="58">
        <v>45386</v>
      </c>
      <c r="K13" s="108" t="s">
        <v>937</v>
      </c>
      <c r="L13" s="117" t="s">
        <v>936</v>
      </c>
      <c r="M13" s="56" t="s">
        <v>385</v>
      </c>
      <c r="N13" s="107"/>
      <c r="O13" s="56"/>
      <c r="P13" s="60"/>
      <c r="Q13" s="97">
        <v>6400</v>
      </c>
      <c r="R13" s="56" t="s">
        <v>387</v>
      </c>
      <c r="S13" s="100">
        <v>69000</v>
      </c>
      <c r="T13" s="65">
        <f t="shared" si="0"/>
        <v>441600</v>
      </c>
    </row>
    <row r="14" spans="1:20" s="67" customFormat="1" ht="13.5" customHeight="1" x14ac:dyDescent="0.25">
      <c r="A14" s="332" t="s">
        <v>224</v>
      </c>
      <c r="B14" s="60" t="s">
        <v>183</v>
      </c>
      <c r="C14" s="60" t="s">
        <v>349</v>
      </c>
      <c r="D14" s="98" t="s">
        <v>158</v>
      </c>
      <c r="E14" s="64" t="s">
        <v>899</v>
      </c>
      <c r="F14" s="97">
        <v>4800</v>
      </c>
      <c r="G14" s="69">
        <v>24</v>
      </c>
      <c r="H14" s="69" t="s">
        <v>352</v>
      </c>
      <c r="I14" s="69" t="s">
        <v>357</v>
      </c>
      <c r="J14" s="58">
        <v>45386</v>
      </c>
      <c r="K14" s="108" t="s">
        <v>937</v>
      </c>
      <c r="L14" s="117" t="s">
        <v>936</v>
      </c>
      <c r="M14" s="56" t="s">
        <v>385</v>
      </c>
      <c r="N14" s="107"/>
      <c r="O14" s="56"/>
      <c r="P14" s="60"/>
      <c r="Q14" s="97">
        <v>4800</v>
      </c>
      <c r="R14" s="56" t="s">
        <v>387</v>
      </c>
      <c r="S14" s="100">
        <v>69000</v>
      </c>
      <c r="T14" s="65">
        <f t="shared" si="0"/>
        <v>331200</v>
      </c>
    </row>
    <row r="15" spans="1:20" s="67" customFormat="1" ht="13.5" customHeight="1" x14ac:dyDescent="0.25">
      <c r="A15" s="332" t="s">
        <v>224</v>
      </c>
      <c r="B15" s="60" t="s">
        <v>183</v>
      </c>
      <c r="C15" s="60" t="s">
        <v>349</v>
      </c>
      <c r="D15" s="98" t="s">
        <v>158</v>
      </c>
      <c r="E15" s="64" t="s">
        <v>940</v>
      </c>
      <c r="F15" s="97">
        <v>6400</v>
      </c>
      <c r="G15" s="69">
        <v>32</v>
      </c>
      <c r="H15" s="69" t="s">
        <v>352</v>
      </c>
      <c r="I15" s="69" t="s">
        <v>357</v>
      </c>
      <c r="J15" s="58">
        <v>45386</v>
      </c>
      <c r="K15" s="108" t="s">
        <v>937</v>
      </c>
      <c r="L15" s="117" t="s">
        <v>936</v>
      </c>
      <c r="M15" s="56" t="s">
        <v>385</v>
      </c>
      <c r="N15" s="107"/>
      <c r="O15" s="56"/>
      <c r="P15" s="60"/>
      <c r="Q15" s="97">
        <v>6400</v>
      </c>
      <c r="R15" s="56" t="s">
        <v>387</v>
      </c>
      <c r="S15" s="100">
        <v>69000</v>
      </c>
      <c r="T15" s="65">
        <f t="shared" si="0"/>
        <v>441600</v>
      </c>
    </row>
    <row r="16" spans="1:20" s="67" customFormat="1" ht="13.5" customHeight="1" x14ac:dyDescent="0.25">
      <c r="A16" s="69" t="s">
        <v>224</v>
      </c>
      <c r="B16" s="97" t="s">
        <v>939</v>
      </c>
      <c r="C16" s="97" t="s">
        <v>457</v>
      </c>
      <c r="D16" s="98" t="s">
        <v>174</v>
      </c>
      <c r="E16" s="59" t="s">
        <v>938</v>
      </c>
      <c r="F16" s="97">
        <v>8800</v>
      </c>
      <c r="G16" s="69">
        <v>44</v>
      </c>
      <c r="H16" s="69" t="s">
        <v>391</v>
      </c>
      <c r="I16" s="69" t="s">
        <v>357</v>
      </c>
      <c r="J16" s="58">
        <v>45387</v>
      </c>
      <c r="K16" s="105" t="s">
        <v>950</v>
      </c>
      <c r="L16" s="123" t="s">
        <v>951</v>
      </c>
      <c r="M16" s="105" t="s">
        <v>949</v>
      </c>
      <c r="N16" s="107" t="s">
        <v>391</v>
      </c>
      <c r="O16" s="97"/>
      <c r="P16" s="60"/>
      <c r="Q16" s="97">
        <v>8800</v>
      </c>
      <c r="R16" s="56" t="s">
        <v>387</v>
      </c>
      <c r="S16" s="100">
        <v>95000</v>
      </c>
      <c r="T16" s="65">
        <f t="shared" si="0"/>
        <v>836000.00000000012</v>
      </c>
    </row>
    <row r="17" spans="1:20" s="67" customFormat="1" ht="13.5" customHeight="1" x14ac:dyDescent="0.25">
      <c r="A17" s="69" t="s">
        <v>224</v>
      </c>
      <c r="B17" s="97" t="s">
        <v>939</v>
      </c>
      <c r="C17" s="97" t="s">
        <v>457</v>
      </c>
      <c r="D17" s="98" t="s">
        <v>174</v>
      </c>
      <c r="E17" s="59" t="s">
        <v>948</v>
      </c>
      <c r="F17" s="97">
        <v>8800</v>
      </c>
      <c r="G17" s="69">
        <v>44</v>
      </c>
      <c r="H17" s="69" t="s">
        <v>391</v>
      </c>
      <c r="I17" s="69" t="s">
        <v>357</v>
      </c>
      <c r="J17" s="58">
        <v>45387</v>
      </c>
      <c r="K17" s="105" t="s">
        <v>950</v>
      </c>
      <c r="L17" s="123" t="s">
        <v>951</v>
      </c>
      <c r="M17" s="105" t="s">
        <v>949</v>
      </c>
      <c r="N17" s="107" t="s">
        <v>391</v>
      </c>
      <c r="O17" s="97"/>
      <c r="P17" s="60"/>
      <c r="Q17" s="97">
        <v>8800</v>
      </c>
      <c r="R17" s="56" t="s">
        <v>387</v>
      </c>
      <c r="S17" s="100">
        <v>95000</v>
      </c>
      <c r="T17" s="65">
        <f t="shared" si="0"/>
        <v>836000.00000000012</v>
      </c>
    </row>
    <row r="18" spans="1:20" s="67" customFormat="1" ht="13.5" customHeight="1" x14ac:dyDescent="0.25">
      <c r="A18" s="69" t="s">
        <v>640</v>
      </c>
      <c r="B18" s="60" t="s">
        <v>411</v>
      </c>
      <c r="C18" s="60" t="s">
        <v>168</v>
      </c>
      <c r="D18" s="98" t="s">
        <v>621</v>
      </c>
      <c r="E18" s="64" t="s">
        <v>913</v>
      </c>
      <c r="F18" s="97">
        <v>15840</v>
      </c>
      <c r="G18" s="69">
        <v>88</v>
      </c>
      <c r="H18" s="69" t="s">
        <v>169</v>
      </c>
      <c r="I18" s="69" t="s">
        <v>357</v>
      </c>
      <c r="J18" s="58">
        <v>45390</v>
      </c>
      <c r="K18" s="108" t="s">
        <v>954</v>
      </c>
      <c r="L18" s="117" t="s">
        <v>772</v>
      </c>
      <c r="M18" s="56" t="s">
        <v>773</v>
      </c>
      <c r="N18" s="107"/>
      <c r="O18" s="56"/>
      <c r="P18" s="60"/>
      <c r="Q18" s="97">
        <v>15840</v>
      </c>
      <c r="R18" s="56" t="s">
        <v>387</v>
      </c>
      <c r="S18" s="100">
        <v>359000</v>
      </c>
      <c r="T18" s="65">
        <f t="shared" si="0"/>
        <v>5686560</v>
      </c>
    </row>
    <row r="19" spans="1:20" s="67" customFormat="1" ht="13.5" customHeight="1" x14ac:dyDescent="0.25">
      <c r="A19" s="332" t="s">
        <v>770</v>
      </c>
      <c r="B19" s="60" t="s">
        <v>183</v>
      </c>
      <c r="C19" s="97" t="s">
        <v>381</v>
      </c>
      <c r="D19" s="98" t="s">
        <v>287</v>
      </c>
      <c r="E19" s="59" t="s">
        <v>955</v>
      </c>
      <c r="F19" s="97">
        <v>20000</v>
      </c>
      <c r="G19" s="69">
        <v>800</v>
      </c>
      <c r="H19" s="69" t="s">
        <v>424</v>
      </c>
      <c r="I19" s="69" t="s">
        <v>357</v>
      </c>
      <c r="J19" s="58">
        <v>45391</v>
      </c>
      <c r="K19" s="108" t="s">
        <v>959</v>
      </c>
      <c r="L19" s="117">
        <v>89814438409</v>
      </c>
      <c r="M19" s="56" t="s">
        <v>960</v>
      </c>
      <c r="N19" s="58"/>
      <c r="O19" s="97">
        <v>20000</v>
      </c>
      <c r="P19" s="60"/>
      <c r="Q19" s="56"/>
      <c r="R19" s="56" t="s">
        <v>387</v>
      </c>
      <c r="S19" s="65">
        <v>41000</v>
      </c>
      <c r="T19" s="65">
        <f t="shared" si="0"/>
        <v>820000</v>
      </c>
    </row>
    <row r="20" spans="1:20" s="67" customFormat="1" ht="13.5" customHeight="1" x14ac:dyDescent="0.25">
      <c r="A20" s="69" t="s">
        <v>240</v>
      </c>
      <c r="B20" s="60" t="s">
        <v>964</v>
      </c>
      <c r="C20" s="60" t="s">
        <v>165</v>
      </c>
      <c r="D20" s="11" t="s">
        <v>291</v>
      </c>
      <c r="E20" s="59" t="s">
        <v>930</v>
      </c>
      <c r="F20" s="60">
        <v>3969</v>
      </c>
      <c r="G20" s="69">
        <v>175</v>
      </c>
      <c r="H20" s="69" t="s">
        <v>172</v>
      </c>
      <c r="I20" s="69" t="s">
        <v>357</v>
      </c>
      <c r="J20" s="58">
        <v>45393</v>
      </c>
      <c r="K20" s="108" t="s">
        <v>963</v>
      </c>
      <c r="L20" s="117"/>
      <c r="M20" s="66"/>
      <c r="N20" s="107" t="s">
        <v>970</v>
      </c>
      <c r="O20" s="60">
        <v>3969</v>
      </c>
      <c r="P20" s="56"/>
      <c r="Q20" s="60"/>
      <c r="R20" s="194" t="s">
        <v>387</v>
      </c>
      <c r="S20" s="100">
        <v>49500</v>
      </c>
      <c r="T20" s="65">
        <f t="shared" si="0"/>
        <v>196465.5</v>
      </c>
    </row>
    <row r="21" spans="1:20" s="67" customFormat="1" x14ac:dyDescent="0.25">
      <c r="A21" s="69" t="s">
        <v>240</v>
      </c>
      <c r="B21" s="60" t="s">
        <v>964</v>
      </c>
      <c r="C21" s="60" t="s">
        <v>165</v>
      </c>
      <c r="D21" s="11" t="s">
        <v>291</v>
      </c>
      <c r="E21" s="59" t="s">
        <v>938</v>
      </c>
      <c r="F21" s="60">
        <v>11907</v>
      </c>
      <c r="G21" s="69">
        <v>525</v>
      </c>
      <c r="H21" s="69" t="s">
        <v>172</v>
      </c>
      <c r="I21" s="69" t="s">
        <v>357</v>
      </c>
      <c r="J21" s="58">
        <v>45393</v>
      </c>
      <c r="K21" s="108" t="s">
        <v>963</v>
      </c>
      <c r="L21" s="117"/>
      <c r="M21" s="66"/>
      <c r="N21" s="107" t="s">
        <v>970</v>
      </c>
      <c r="O21" s="60">
        <v>11907</v>
      </c>
      <c r="P21" s="56"/>
      <c r="Q21" s="56"/>
      <c r="R21" s="194" t="s">
        <v>387</v>
      </c>
      <c r="S21" s="100">
        <v>49500</v>
      </c>
      <c r="T21" s="65">
        <f t="shared" si="0"/>
        <v>589396.5</v>
      </c>
    </row>
    <row r="22" spans="1:20" s="67" customFormat="1" ht="13.5" customHeight="1" x14ac:dyDescent="0.25">
      <c r="A22" s="69" t="s">
        <v>927</v>
      </c>
      <c r="B22" s="60" t="s">
        <v>971</v>
      </c>
      <c r="C22" s="60" t="s">
        <v>972</v>
      </c>
      <c r="D22" s="11" t="s">
        <v>193</v>
      </c>
      <c r="E22" s="59" t="s">
        <v>973</v>
      </c>
      <c r="F22" s="60">
        <v>14400</v>
      </c>
      <c r="G22" s="69">
        <v>80</v>
      </c>
      <c r="H22" s="69" t="s">
        <v>391</v>
      </c>
      <c r="I22" s="69" t="s">
        <v>357</v>
      </c>
      <c r="J22" s="58">
        <v>45394</v>
      </c>
      <c r="K22" s="108" t="s">
        <v>974</v>
      </c>
      <c r="L22" s="66" t="s">
        <v>975</v>
      </c>
      <c r="M22" s="56" t="s">
        <v>976</v>
      </c>
      <c r="N22" s="107"/>
      <c r="O22" s="56"/>
      <c r="P22" s="56"/>
      <c r="Q22" s="60">
        <v>14400</v>
      </c>
      <c r="R22" s="56" t="s">
        <v>387</v>
      </c>
      <c r="S22" s="100">
        <v>165000</v>
      </c>
      <c r="T22" s="116">
        <f t="shared" si="0"/>
        <v>2376000</v>
      </c>
    </row>
    <row r="23" spans="1:20" s="67" customFormat="1" x14ac:dyDescent="0.25">
      <c r="A23" s="69" t="s">
        <v>832</v>
      </c>
      <c r="B23" s="60" t="s">
        <v>952</v>
      </c>
      <c r="C23" s="60" t="s">
        <v>167</v>
      </c>
      <c r="D23" s="11" t="s">
        <v>308</v>
      </c>
      <c r="E23" s="59" t="s">
        <v>956</v>
      </c>
      <c r="F23" s="60">
        <v>14000</v>
      </c>
      <c r="G23" s="69">
        <v>1000</v>
      </c>
      <c r="H23" s="69" t="s">
        <v>953</v>
      </c>
      <c r="I23" s="69" t="s">
        <v>357</v>
      </c>
      <c r="J23" s="58">
        <v>45397</v>
      </c>
      <c r="K23" s="108" t="s">
        <v>968</v>
      </c>
      <c r="L23" s="66" t="s">
        <v>967</v>
      </c>
      <c r="M23" s="66" t="s">
        <v>966</v>
      </c>
      <c r="N23" s="66"/>
      <c r="O23" s="56"/>
      <c r="P23" s="60">
        <v>14000</v>
      </c>
      <c r="Q23" s="56"/>
      <c r="R23" s="56" t="s">
        <v>387</v>
      </c>
      <c r="S23" s="100">
        <v>275000</v>
      </c>
      <c r="T23" s="65">
        <f t="shared" si="0"/>
        <v>3850000</v>
      </c>
    </row>
    <row r="24" spans="1:20" s="67" customFormat="1" x14ac:dyDescent="0.25">
      <c r="A24" s="69" t="s">
        <v>927</v>
      </c>
      <c r="B24" s="60" t="s">
        <v>971</v>
      </c>
      <c r="C24" s="60" t="s">
        <v>972</v>
      </c>
      <c r="D24" s="11" t="s">
        <v>193</v>
      </c>
      <c r="E24" s="59" t="s">
        <v>948</v>
      </c>
      <c r="F24" s="60">
        <v>14400</v>
      </c>
      <c r="G24" s="69">
        <v>80</v>
      </c>
      <c r="H24" s="69" t="s">
        <v>391</v>
      </c>
      <c r="I24" s="69" t="s">
        <v>357</v>
      </c>
      <c r="J24" s="58">
        <v>45397</v>
      </c>
      <c r="K24" s="108" t="s">
        <v>1025</v>
      </c>
      <c r="L24" s="66" t="s">
        <v>1026</v>
      </c>
      <c r="M24" s="56" t="s">
        <v>1027</v>
      </c>
      <c r="N24" s="107"/>
      <c r="O24" s="56"/>
      <c r="P24" s="56"/>
      <c r="Q24" s="60">
        <v>14400</v>
      </c>
      <c r="R24" s="56" t="s">
        <v>387</v>
      </c>
      <c r="S24" s="100">
        <v>165000</v>
      </c>
      <c r="T24" s="116">
        <f t="shared" si="0"/>
        <v>2376000</v>
      </c>
    </row>
    <row r="25" spans="1:20" s="67" customFormat="1" x14ac:dyDescent="0.25">
      <c r="A25" s="69" t="s">
        <v>224</v>
      </c>
      <c r="B25" s="60" t="s">
        <v>965</v>
      </c>
      <c r="C25" s="60" t="s">
        <v>373</v>
      </c>
      <c r="D25" s="11" t="s">
        <v>286</v>
      </c>
      <c r="E25" s="59" t="s">
        <v>819</v>
      </c>
      <c r="F25" s="60">
        <v>10000</v>
      </c>
      <c r="G25" s="69">
        <v>400</v>
      </c>
      <c r="H25" s="69" t="s">
        <v>382</v>
      </c>
      <c r="I25" s="69" t="s">
        <v>357</v>
      </c>
      <c r="J25" s="58">
        <v>45398</v>
      </c>
      <c r="K25" s="105" t="s">
        <v>989</v>
      </c>
      <c r="L25" s="105" t="s">
        <v>988</v>
      </c>
      <c r="M25" s="105" t="s">
        <v>477</v>
      </c>
      <c r="N25" s="66"/>
      <c r="O25" s="60"/>
      <c r="P25" s="60">
        <v>10000</v>
      </c>
      <c r="Q25" s="56"/>
      <c r="R25" s="56" t="s">
        <v>387</v>
      </c>
      <c r="S25" s="100">
        <v>246500</v>
      </c>
      <c r="T25" s="65">
        <f t="shared" si="0"/>
        <v>2465000</v>
      </c>
    </row>
    <row r="26" spans="1:20" s="167" customFormat="1" x14ac:dyDescent="0.25">
      <c r="A26" s="69" t="s">
        <v>224</v>
      </c>
      <c r="B26" s="60" t="s">
        <v>965</v>
      </c>
      <c r="C26" s="60" t="s">
        <v>373</v>
      </c>
      <c r="D26" s="159" t="s">
        <v>287</v>
      </c>
      <c r="E26" s="160" t="s">
        <v>977</v>
      </c>
      <c r="F26" s="158">
        <v>10000</v>
      </c>
      <c r="G26" s="161">
        <v>400</v>
      </c>
      <c r="H26" s="69" t="s">
        <v>382</v>
      </c>
      <c r="I26" s="69" t="s">
        <v>357</v>
      </c>
      <c r="J26" s="58">
        <v>45398</v>
      </c>
      <c r="K26" s="105" t="s">
        <v>989</v>
      </c>
      <c r="L26" s="105" t="s">
        <v>988</v>
      </c>
      <c r="M26" s="105" t="s">
        <v>477</v>
      </c>
      <c r="N26" s="162"/>
      <c r="O26" s="158">
        <v>10000</v>
      </c>
      <c r="P26" s="157"/>
      <c r="Q26" s="164"/>
      <c r="R26" s="164" t="s">
        <v>387</v>
      </c>
      <c r="S26" s="165">
        <v>40700</v>
      </c>
      <c r="T26" s="166">
        <f t="shared" ref="T26:T31" si="1">S26*(F26/1000)</f>
        <v>407000</v>
      </c>
    </row>
    <row r="27" spans="1:20" s="167" customFormat="1" ht="13.5" customHeight="1" x14ac:dyDescent="0.25">
      <c r="A27" s="69" t="s">
        <v>640</v>
      </c>
      <c r="B27" s="60" t="s">
        <v>965</v>
      </c>
      <c r="C27" s="60" t="s">
        <v>373</v>
      </c>
      <c r="D27" s="159" t="s">
        <v>287</v>
      </c>
      <c r="E27" s="160" t="s">
        <v>977</v>
      </c>
      <c r="F27" s="158">
        <v>20000</v>
      </c>
      <c r="G27" s="161">
        <v>800</v>
      </c>
      <c r="H27" s="69" t="s">
        <v>382</v>
      </c>
      <c r="I27" s="69" t="s">
        <v>357</v>
      </c>
      <c r="J27" s="58">
        <v>45398</v>
      </c>
      <c r="K27" s="108" t="s">
        <v>992</v>
      </c>
      <c r="L27" s="117">
        <v>89198591833</v>
      </c>
      <c r="M27" s="66" t="s">
        <v>990</v>
      </c>
      <c r="N27" s="162"/>
      <c r="O27" s="158">
        <v>20000</v>
      </c>
      <c r="P27" s="157"/>
      <c r="Q27" s="164"/>
      <c r="R27" s="164" t="s">
        <v>387</v>
      </c>
      <c r="S27" s="165">
        <v>40700</v>
      </c>
      <c r="T27" s="166">
        <f t="shared" si="1"/>
        <v>814000</v>
      </c>
    </row>
    <row r="28" spans="1:20" s="167" customFormat="1" ht="13.5" customHeight="1" x14ac:dyDescent="0.25">
      <c r="A28" s="69" t="s">
        <v>640</v>
      </c>
      <c r="B28" s="60" t="s">
        <v>982</v>
      </c>
      <c r="C28" s="60" t="s">
        <v>373</v>
      </c>
      <c r="D28" s="159" t="s">
        <v>289</v>
      </c>
      <c r="E28" s="160" t="s">
        <v>374</v>
      </c>
      <c r="F28" s="158">
        <v>10000</v>
      </c>
      <c r="G28" s="161">
        <v>400</v>
      </c>
      <c r="H28" s="69" t="s">
        <v>983</v>
      </c>
      <c r="I28" s="69" t="s">
        <v>357</v>
      </c>
      <c r="J28" s="58">
        <v>45398</v>
      </c>
      <c r="K28" s="108" t="s">
        <v>984</v>
      </c>
      <c r="L28" s="117" t="s">
        <v>985</v>
      </c>
      <c r="M28" s="66" t="s">
        <v>986</v>
      </c>
      <c r="N28" s="162"/>
      <c r="O28" s="158">
        <v>10000</v>
      </c>
      <c r="P28" s="157"/>
      <c r="Q28" s="164"/>
      <c r="R28" s="164" t="s">
        <v>387</v>
      </c>
      <c r="S28" s="165">
        <v>40700</v>
      </c>
      <c r="T28" s="166">
        <f t="shared" si="1"/>
        <v>407000</v>
      </c>
    </row>
    <row r="29" spans="1:20" s="167" customFormat="1" ht="13.5" customHeight="1" x14ac:dyDescent="0.25">
      <c r="A29" s="69" t="s">
        <v>640</v>
      </c>
      <c r="B29" s="60" t="s">
        <v>987</v>
      </c>
      <c r="C29" s="60" t="s">
        <v>373</v>
      </c>
      <c r="D29" s="159" t="s">
        <v>289</v>
      </c>
      <c r="E29" s="160" t="s">
        <v>374</v>
      </c>
      <c r="F29" s="158">
        <v>20000</v>
      </c>
      <c r="G29" s="161">
        <v>800</v>
      </c>
      <c r="H29" s="69" t="s">
        <v>169</v>
      </c>
      <c r="I29" s="69" t="s">
        <v>357</v>
      </c>
      <c r="J29" s="58">
        <v>45398</v>
      </c>
      <c r="K29" s="108" t="s">
        <v>527</v>
      </c>
      <c r="L29" s="117" t="s">
        <v>991</v>
      </c>
      <c r="M29" s="66" t="s">
        <v>737</v>
      </c>
      <c r="N29" s="162"/>
      <c r="O29" s="158">
        <v>20000</v>
      </c>
      <c r="P29" s="157"/>
      <c r="Q29" s="164"/>
      <c r="R29" s="164" t="s">
        <v>387</v>
      </c>
      <c r="S29" s="165">
        <v>40700</v>
      </c>
      <c r="T29" s="166">
        <f t="shared" si="1"/>
        <v>814000</v>
      </c>
    </row>
    <row r="30" spans="1:20" s="167" customFormat="1" ht="13.5" customHeight="1" x14ac:dyDescent="0.25">
      <c r="A30" s="69" t="s">
        <v>741</v>
      </c>
      <c r="B30" s="60" t="s">
        <v>987</v>
      </c>
      <c r="C30" s="60" t="s">
        <v>373</v>
      </c>
      <c r="D30" s="159" t="s">
        <v>289</v>
      </c>
      <c r="E30" s="160" t="s">
        <v>374</v>
      </c>
      <c r="F30" s="158">
        <v>20000</v>
      </c>
      <c r="G30" s="161">
        <v>800</v>
      </c>
      <c r="H30" s="69" t="s">
        <v>169</v>
      </c>
      <c r="I30" s="69" t="s">
        <v>357</v>
      </c>
      <c r="J30" s="58">
        <v>45399</v>
      </c>
      <c r="K30" s="108" t="s">
        <v>993</v>
      </c>
      <c r="L30" s="117">
        <v>89600155752</v>
      </c>
      <c r="M30" s="66" t="s">
        <v>504</v>
      </c>
      <c r="N30" s="162"/>
      <c r="O30" s="158">
        <v>20000</v>
      </c>
      <c r="P30" s="157"/>
      <c r="Q30" s="164"/>
      <c r="R30" s="164" t="s">
        <v>387</v>
      </c>
      <c r="S30" s="165">
        <v>40700</v>
      </c>
      <c r="T30" s="166">
        <f t="shared" si="1"/>
        <v>814000</v>
      </c>
    </row>
    <row r="31" spans="1:20" s="167" customFormat="1" ht="13.5" customHeight="1" x14ac:dyDescent="0.25">
      <c r="A31" s="69" t="s">
        <v>779</v>
      </c>
      <c r="B31" s="60" t="s">
        <v>997</v>
      </c>
      <c r="C31" s="60" t="s">
        <v>373</v>
      </c>
      <c r="D31" s="159" t="s">
        <v>203</v>
      </c>
      <c r="E31" s="160" t="s">
        <v>437</v>
      </c>
      <c r="F31" s="158">
        <v>2160</v>
      </c>
      <c r="G31" s="161">
        <v>12</v>
      </c>
      <c r="H31" s="69" t="s">
        <v>983</v>
      </c>
      <c r="I31" s="69" t="s">
        <v>357</v>
      </c>
      <c r="J31" s="58">
        <v>45400</v>
      </c>
      <c r="K31" s="108" t="s">
        <v>998</v>
      </c>
      <c r="L31" s="117">
        <v>89174430519</v>
      </c>
      <c r="M31" s="66" t="s">
        <v>999</v>
      </c>
      <c r="N31" s="162"/>
      <c r="O31" s="158"/>
      <c r="P31" s="157"/>
      <c r="Q31" s="158">
        <v>2160</v>
      </c>
      <c r="R31" s="164" t="s">
        <v>387</v>
      </c>
      <c r="S31" s="165">
        <v>99800</v>
      </c>
      <c r="T31" s="166">
        <f t="shared" si="1"/>
        <v>215568</v>
      </c>
    </row>
    <row r="32" spans="1:20" s="67" customFormat="1" x14ac:dyDescent="0.25">
      <c r="A32" s="69" t="s">
        <v>240</v>
      </c>
      <c r="B32" s="60" t="s">
        <v>961</v>
      </c>
      <c r="C32" s="60" t="s">
        <v>165</v>
      </c>
      <c r="D32" s="11" t="s">
        <v>291</v>
      </c>
      <c r="E32" s="59" t="s">
        <v>938</v>
      </c>
      <c r="F32" s="60">
        <v>7938</v>
      </c>
      <c r="G32" s="69">
        <v>350</v>
      </c>
      <c r="H32" s="69" t="s">
        <v>172</v>
      </c>
      <c r="I32" s="69" t="s">
        <v>357</v>
      </c>
      <c r="J32" s="58">
        <v>45400</v>
      </c>
      <c r="K32" s="108" t="s">
        <v>963</v>
      </c>
      <c r="L32" s="117"/>
      <c r="M32" s="66"/>
      <c r="N32" s="66" t="s">
        <v>1014</v>
      </c>
      <c r="O32" s="60">
        <v>7938</v>
      </c>
      <c r="P32" s="56"/>
      <c r="Q32" s="56"/>
      <c r="R32" s="56" t="s">
        <v>387</v>
      </c>
      <c r="S32" s="100">
        <v>49500</v>
      </c>
      <c r="T32" s="65">
        <f t="shared" ref="T32:T39" si="2" xml:space="preserve"> S32*(F32/1000)</f>
        <v>392931</v>
      </c>
    </row>
    <row r="33" spans="1:20" s="67" customFormat="1" x14ac:dyDescent="0.25">
      <c r="A33" s="69" t="s">
        <v>240</v>
      </c>
      <c r="B33" s="60" t="s">
        <v>961</v>
      </c>
      <c r="C33" s="60" t="s">
        <v>165</v>
      </c>
      <c r="D33" s="11" t="s">
        <v>291</v>
      </c>
      <c r="E33" s="59" t="s">
        <v>977</v>
      </c>
      <c r="F33" s="60">
        <v>7938</v>
      </c>
      <c r="G33" s="69">
        <v>350</v>
      </c>
      <c r="H33" s="69" t="s">
        <v>172</v>
      </c>
      <c r="I33" s="69" t="s">
        <v>357</v>
      </c>
      <c r="J33" s="58">
        <v>45400</v>
      </c>
      <c r="K33" s="108" t="s">
        <v>963</v>
      </c>
      <c r="L33" s="117"/>
      <c r="M33" s="66"/>
      <c r="N33" s="66" t="s">
        <v>1014</v>
      </c>
      <c r="O33" s="60">
        <v>7938</v>
      </c>
      <c r="P33" s="56"/>
      <c r="Q33" s="56"/>
      <c r="R33" s="56" t="s">
        <v>387</v>
      </c>
      <c r="S33" s="100">
        <v>49500</v>
      </c>
      <c r="T33" s="65">
        <f t="shared" si="2"/>
        <v>392931</v>
      </c>
    </row>
    <row r="34" spans="1:20" s="67" customFormat="1" ht="13.5" customHeight="1" x14ac:dyDescent="0.25">
      <c r="A34" s="69" t="s">
        <v>240</v>
      </c>
      <c r="B34" s="60" t="s">
        <v>961</v>
      </c>
      <c r="C34" s="60" t="s">
        <v>165</v>
      </c>
      <c r="D34" s="98" t="s">
        <v>897</v>
      </c>
      <c r="E34" s="64" t="s">
        <v>978</v>
      </c>
      <c r="F34" s="97">
        <v>6600</v>
      </c>
      <c r="G34" s="69">
        <v>33</v>
      </c>
      <c r="H34" s="69" t="s">
        <v>172</v>
      </c>
      <c r="I34" s="69" t="s">
        <v>357</v>
      </c>
      <c r="J34" s="58">
        <v>45400</v>
      </c>
      <c r="K34" s="108" t="s">
        <v>963</v>
      </c>
      <c r="L34" s="117"/>
      <c r="M34" s="66"/>
      <c r="N34" s="107" t="s">
        <v>1013</v>
      </c>
      <c r="O34" s="56"/>
      <c r="P34" s="60"/>
      <c r="Q34" s="97">
        <v>6600</v>
      </c>
      <c r="R34" s="56" t="s">
        <v>387</v>
      </c>
      <c r="S34" s="65">
        <v>79000</v>
      </c>
      <c r="T34" s="65">
        <f t="shared" si="2"/>
        <v>521400</v>
      </c>
    </row>
    <row r="35" spans="1:20" s="67" customFormat="1" ht="13.5" customHeight="1" x14ac:dyDescent="0.25">
      <c r="A35" s="332" t="s">
        <v>240</v>
      </c>
      <c r="B35" s="325" t="s">
        <v>961</v>
      </c>
      <c r="C35" s="325" t="s">
        <v>165</v>
      </c>
      <c r="D35" s="334" t="s">
        <v>897</v>
      </c>
      <c r="E35" s="326" t="s">
        <v>962</v>
      </c>
      <c r="F35" s="327">
        <v>6800</v>
      </c>
      <c r="G35" s="332">
        <v>34</v>
      </c>
      <c r="H35" s="332" t="s">
        <v>172</v>
      </c>
      <c r="I35" s="69" t="s">
        <v>357</v>
      </c>
      <c r="J35" s="58">
        <v>45400</v>
      </c>
      <c r="K35" s="318" t="s">
        <v>963</v>
      </c>
      <c r="L35" s="328"/>
      <c r="M35" s="329"/>
      <c r="N35" s="317" t="s">
        <v>1013</v>
      </c>
      <c r="O35" s="330"/>
      <c r="P35" s="325"/>
      <c r="Q35" s="327">
        <v>6800</v>
      </c>
      <c r="R35" s="330" t="s">
        <v>387</v>
      </c>
      <c r="S35" s="331">
        <v>79000</v>
      </c>
      <c r="T35" s="331">
        <f t="shared" si="2"/>
        <v>537200</v>
      </c>
    </row>
    <row r="36" spans="1:20" s="56" customFormat="1" ht="13.5" customHeight="1" x14ac:dyDescent="0.25">
      <c r="A36" s="69" t="s">
        <v>240</v>
      </c>
      <c r="B36" s="60" t="s">
        <v>961</v>
      </c>
      <c r="C36" s="60" t="s">
        <v>165</v>
      </c>
      <c r="D36" s="98" t="s">
        <v>897</v>
      </c>
      <c r="E36" s="64" t="s">
        <v>979</v>
      </c>
      <c r="F36" s="97">
        <v>2600</v>
      </c>
      <c r="G36" s="69">
        <v>13</v>
      </c>
      <c r="H36" s="69" t="s">
        <v>172</v>
      </c>
      <c r="I36" s="69" t="s">
        <v>357</v>
      </c>
      <c r="J36" s="58">
        <v>45400</v>
      </c>
      <c r="K36" s="108" t="s">
        <v>963</v>
      </c>
      <c r="L36" s="117"/>
      <c r="M36" s="66"/>
      <c r="N36" s="107" t="s">
        <v>1013</v>
      </c>
      <c r="P36" s="60"/>
      <c r="Q36" s="97">
        <v>2600</v>
      </c>
      <c r="R36" s="56" t="s">
        <v>387</v>
      </c>
      <c r="S36" s="65">
        <v>79000</v>
      </c>
      <c r="T36" s="65">
        <f t="shared" si="2"/>
        <v>205400</v>
      </c>
    </row>
    <row r="37" spans="1:20" s="167" customFormat="1" ht="13.5" customHeight="1" x14ac:dyDescent="0.25">
      <c r="A37" s="69" t="s">
        <v>224</v>
      </c>
      <c r="B37" s="60" t="s">
        <v>1000</v>
      </c>
      <c r="C37" s="60" t="s">
        <v>1001</v>
      </c>
      <c r="D37" s="159" t="s">
        <v>298</v>
      </c>
      <c r="E37" s="160" t="s">
        <v>1002</v>
      </c>
      <c r="F37" s="158">
        <v>5040</v>
      </c>
      <c r="G37" s="161">
        <v>280</v>
      </c>
      <c r="H37" s="69" t="s">
        <v>1003</v>
      </c>
      <c r="I37" s="69" t="s">
        <v>357</v>
      </c>
      <c r="J37" s="58">
        <v>45400</v>
      </c>
      <c r="K37" s="108" t="s">
        <v>998</v>
      </c>
      <c r="L37" s="117">
        <v>89174430519</v>
      </c>
      <c r="M37" s="66" t="s">
        <v>999</v>
      </c>
      <c r="N37" s="314" t="s">
        <v>963</v>
      </c>
      <c r="O37" s="158"/>
      <c r="P37" s="158">
        <v>5040</v>
      </c>
      <c r="Q37" s="164"/>
      <c r="R37" s="164" t="s">
        <v>387</v>
      </c>
      <c r="S37" s="165">
        <v>210000</v>
      </c>
      <c r="T37" s="65">
        <f t="shared" si="2"/>
        <v>1058400</v>
      </c>
    </row>
    <row r="38" spans="1:20" s="67" customFormat="1" x14ac:dyDescent="0.25">
      <c r="A38" s="69" t="s">
        <v>1017</v>
      </c>
      <c r="B38" s="60" t="s">
        <v>1019</v>
      </c>
      <c r="C38" s="60" t="s">
        <v>167</v>
      </c>
      <c r="D38" s="11" t="s">
        <v>994</v>
      </c>
      <c r="E38" s="59" t="s">
        <v>1005</v>
      </c>
      <c r="F38" s="60">
        <v>16000</v>
      </c>
      <c r="G38" s="69">
        <v>80</v>
      </c>
      <c r="H38" s="69" t="s">
        <v>1020</v>
      </c>
      <c r="I38" s="69" t="s">
        <v>357</v>
      </c>
      <c r="J38" s="58">
        <v>45400</v>
      </c>
      <c r="K38" s="108"/>
      <c r="L38" s="117"/>
      <c r="M38" s="66"/>
      <c r="N38" s="66"/>
      <c r="O38" s="56"/>
      <c r="P38" s="56"/>
      <c r="Q38" s="56">
        <v>16000</v>
      </c>
      <c r="R38" s="56" t="s">
        <v>387</v>
      </c>
      <c r="S38" s="100">
        <v>211500</v>
      </c>
      <c r="T38" s="65">
        <f t="shared" si="2"/>
        <v>3384000</v>
      </c>
    </row>
    <row r="39" spans="1:20" s="67" customFormat="1" x14ac:dyDescent="0.25">
      <c r="A39" s="69" t="s">
        <v>166</v>
      </c>
      <c r="B39" s="60" t="s">
        <v>1011</v>
      </c>
      <c r="C39" s="60" t="s">
        <v>1012</v>
      </c>
      <c r="D39" s="11" t="s">
        <v>286</v>
      </c>
      <c r="E39" s="59" t="s">
        <v>786</v>
      </c>
      <c r="F39" s="60">
        <v>25</v>
      </c>
      <c r="G39" s="69">
        <v>1</v>
      </c>
      <c r="H39" s="69" t="s">
        <v>391</v>
      </c>
      <c r="I39" s="69" t="s">
        <v>357</v>
      </c>
      <c r="J39" s="58">
        <v>45401</v>
      </c>
      <c r="K39" s="108"/>
      <c r="L39" s="117"/>
      <c r="M39" s="66"/>
      <c r="N39" s="66"/>
      <c r="O39" s="56"/>
      <c r="P39" s="60">
        <v>25</v>
      </c>
      <c r="Q39" s="56"/>
      <c r="R39" s="56" t="s">
        <v>387</v>
      </c>
      <c r="S39" s="100">
        <v>300000</v>
      </c>
      <c r="T39" s="65">
        <f t="shared" si="2"/>
        <v>7500</v>
      </c>
    </row>
    <row r="40" spans="1:20" s="167" customFormat="1" ht="13.5" customHeight="1" x14ac:dyDescent="0.25">
      <c r="A40" s="69" t="s">
        <v>779</v>
      </c>
      <c r="B40" s="60" t="s">
        <v>987</v>
      </c>
      <c r="C40" s="60" t="s">
        <v>373</v>
      </c>
      <c r="D40" s="159" t="s">
        <v>289</v>
      </c>
      <c r="E40" s="160" t="s">
        <v>374</v>
      </c>
      <c r="F40" s="158">
        <v>20000</v>
      </c>
      <c r="G40" s="161">
        <v>800</v>
      </c>
      <c r="H40" s="69" t="s">
        <v>169</v>
      </c>
      <c r="I40" s="69" t="s">
        <v>357</v>
      </c>
      <c r="J40" s="58">
        <v>45401</v>
      </c>
      <c r="K40" s="108" t="s">
        <v>996</v>
      </c>
      <c r="L40" s="117" t="s">
        <v>777</v>
      </c>
      <c r="M40" s="66" t="s">
        <v>778</v>
      </c>
      <c r="N40" s="162"/>
      <c r="O40" s="158">
        <v>20000</v>
      </c>
      <c r="P40" s="157"/>
      <c r="Q40" s="164"/>
      <c r="R40" s="164" t="s">
        <v>387</v>
      </c>
      <c r="S40" s="165">
        <v>40700</v>
      </c>
      <c r="T40" s="166">
        <f>S40*(F40/1000)</f>
        <v>814000</v>
      </c>
    </row>
    <row r="41" spans="1:20" s="56" customFormat="1" ht="13.5" customHeight="1" x14ac:dyDescent="0.25">
      <c r="A41" s="69" t="s">
        <v>240</v>
      </c>
      <c r="B41" s="60" t="s">
        <v>961</v>
      </c>
      <c r="C41" s="60" t="s">
        <v>165</v>
      </c>
      <c r="D41" s="98" t="s">
        <v>897</v>
      </c>
      <c r="E41" s="64" t="s">
        <v>979</v>
      </c>
      <c r="F41" s="97">
        <v>4200</v>
      </c>
      <c r="G41" s="69">
        <v>21</v>
      </c>
      <c r="H41" s="69" t="s">
        <v>172</v>
      </c>
      <c r="I41" s="69" t="s">
        <v>357</v>
      </c>
      <c r="J41" s="58">
        <v>45401</v>
      </c>
      <c r="K41" s="108" t="s">
        <v>963</v>
      </c>
      <c r="L41" s="117"/>
      <c r="M41" s="66"/>
      <c r="N41" s="107" t="s">
        <v>1015</v>
      </c>
      <c r="P41" s="60"/>
      <c r="Q41" s="97">
        <v>4200</v>
      </c>
      <c r="R41" s="56" t="s">
        <v>387</v>
      </c>
      <c r="S41" s="65">
        <v>79000</v>
      </c>
      <c r="T41" s="65">
        <f t="shared" ref="T41:T48" si="3" xml:space="preserve"> S41*(F41/1000)</f>
        <v>331800</v>
      </c>
    </row>
    <row r="42" spans="1:20" s="56" customFormat="1" ht="13.5" customHeight="1" x14ac:dyDescent="0.25">
      <c r="A42" s="69" t="s">
        <v>240</v>
      </c>
      <c r="B42" s="60" t="s">
        <v>961</v>
      </c>
      <c r="C42" s="60" t="s">
        <v>165</v>
      </c>
      <c r="D42" s="98" t="s">
        <v>897</v>
      </c>
      <c r="E42" s="64" t="s">
        <v>980</v>
      </c>
      <c r="F42" s="97">
        <v>6800</v>
      </c>
      <c r="G42" s="69">
        <v>34</v>
      </c>
      <c r="H42" s="69" t="s">
        <v>172</v>
      </c>
      <c r="I42" s="69" t="s">
        <v>357</v>
      </c>
      <c r="J42" s="58">
        <v>45401</v>
      </c>
      <c r="K42" s="108" t="s">
        <v>963</v>
      </c>
      <c r="L42" s="117"/>
      <c r="M42" s="66"/>
      <c r="N42" s="107" t="s">
        <v>1015</v>
      </c>
      <c r="P42" s="60"/>
      <c r="Q42" s="97">
        <v>6800</v>
      </c>
      <c r="R42" s="56" t="s">
        <v>387</v>
      </c>
      <c r="S42" s="65">
        <v>79000</v>
      </c>
      <c r="T42" s="65">
        <f t="shared" si="3"/>
        <v>537200</v>
      </c>
    </row>
    <row r="43" spans="1:20" s="56" customFormat="1" ht="13.5" customHeight="1" x14ac:dyDescent="0.25">
      <c r="A43" s="69" t="s">
        <v>240</v>
      </c>
      <c r="B43" s="60" t="s">
        <v>961</v>
      </c>
      <c r="C43" s="60" t="s">
        <v>165</v>
      </c>
      <c r="D43" s="98" t="s">
        <v>897</v>
      </c>
      <c r="E43" s="64" t="s">
        <v>981</v>
      </c>
      <c r="F43" s="97">
        <v>5000</v>
      </c>
      <c r="G43" s="69">
        <v>25</v>
      </c>
      <c r="H43" s="69" t="s">
        <v>172</v>
      </c>
      <c r="I43" s="69" t="s">
        <v>357</v>
      </c>
      <c r="J43" s="58">
        <v>45401</v>
      </c>
      <c r="K43" s="108" t="s">
        <v>963</v>
      </c>
      <c r="L43" s="117"/>
      <c r="M43" s="66"/>
      <c r="N43" s="107" t="s">
        <v>1015</v>
      </c>
      <c r="P43" s="60"/>
      <c r="Q43" s="97">
        <v>5000</v>
      </c>
      <c r="R43" s="56" t="s">
        <v>387</v>
      </c>
      <c r="S43" s="65">
        <v>79000</v>
      </c>
      <c r="T43" s="65">
        <f t="shared" si="3"/>
        <v>395000</v>
      </c>
    </row>
    <row r="44" spans="1:20" s="56" customFormat="1" ht="13.5" customHeight="1" x14ac:dyDescent="0.25">
      <c r="A44" s="69" t="s">
        <v>240</v>
      </c>
      <c r="B44" s="60" t="s">
        <v>961</v>
      </c>
      <c r="C44" s="60" t="s">
        <v>165</v>
      </c>
      <c r="D44" s="98" t="s">
        <v>897</v>
      </c>
      <c r="E44" s="64" t="s">
        <v>981</v>
      </c>
      <c r="F44" s="97">
        <v>2000</v>
      </c>
      <c r="G44" s="69">
        <v>10</v>
      </c>
      <c r="H44" s="69" t="s">
        <v>172</v>
      </c>
      <c r="I44" s="69" t="s">
        <v>357</v>
      </c>
      <c r="J44" s="58">
        <v>45401</v>
      </c>
      <c r="K44" s="108" t="s">
        <v>963</v>
      </c>
      <c r="L44" s="117"/>
      <c r="M44" s="66"/>
      <c r="N44" s="107" t="s">
        <v>1016</v>
      </c>
      <c r="P44" s="60"/>
      <c r="Q44" s="97">
        <v>2000</v>
      </c>
      <c r="R44" s="56" t="s">
        <v>387</v>
      </c>
      <c r="S44" s="65">
        <v>79000</v>
      </c>
      <c r="T44" s="65">
        <f t="shared" si="3"/>
        <v>158000</v>
      </c>
    </row>
    <row r="45" spans="1:20" s="67" customFormat="1" ht="13.5" customHeight="1" x14ac:dyDescent="0.25">
      <c r="A45" s="333" t="s">
        <v>240</v>
      </c>
      <c r="B45" s="315" t="s">
        <v>961</v>
      </c>
      <c r="C45" s="315" t="s">
        <v>165</v>
      </c>
      <c r="D45" s="335" t="s">
        <v>897</v>
      </c>
      <c r="E45" s="320" t="s">
        <v>995</v>
      </c>
      <c r="F45" s="321">
        <v>7200</v>
      </c>
      <c r="G45" s="333">
        <v>36</v>
      </c>
      <c r="H45" s="333" t="s">
        <v>172</v>
      </c>
      <c r="I45" s="69" t="s">
        <v>357</v>
      </c>
      <c r="J45" s="58">
        <v>45401</v>
      </c>
      <c r="K45" s="319" t="s">
        <v>963</v>
      </c>
      <c r="L45" s="322"/>
      <c r="M45" s="323"/>
      <c r="N45" s="107" t="s">
        <v>1016</v>
      </c>
      <c r="O45" s="316"/>
      <c r="P45" s="315"/>
      <c r="Q45" s="321">
        <v>7200</v>
      </c>
      <c r="R45" s="316" t="s">
        <v>387</v>
      </c>
      <c r="S45" s="324">
        <v>79000</v>
      </c>
      <c r="T45" s="324">
        <f t="shared" si="3"/>
        <v>568800</v>
      </c>
    </row>
    <row r="46" spans="1:20" s="67" customFormat="1" ht="13.5" customHeight="1" x14ac:dyDescent="0.25">
      <c r="A46" s="333" t="s">
        <v>240</v>
      </c>
      <c r="B46" s="315" t="s">
        <v>961</v>
      </c>
      <c r="C46" s="315" t="s">
        <v>165</v>
      </c>
      <c r="D46" s="335" t="s">
        <v>897</v>
      </c>
      <c r="E46" s="320" t="s">
        <v>1004</v>
      </c>
      <c r="F46" s="321">
        <v>6800</v>
      </c>
      <c r="G46" s="333">
        <v>34</v>
      </c>
      <c r="H46" s="333" t="s">
        <v>172</v>
      </c>
      <c r="I46" s="69" t="s">
        <v>357</v>
      </c>
      <c r="J46" s="58">
        <v>45401</v>
      </c>
      <c r="K46" s="319" t="s">
        <v>963</v>
      </c>
      <c r="L46" s="322"/>
      <c r="M46" s="323"/>
      <c r="N46" s="107" t="s">
        <v>1016</v>
      </c>
      <c r="O46" s="316"/>
      <c r="P46" s="315"/>
      <c r="Q46" s="321">
        <v>6800</v>
      </c>
      <c r="R46" s="316" t="s">
        <v>387</v>
      </c>
      <c r="S46" s="324">
        <v>79000</v>
      </c>
      <c r="T46" s="324">
        <f t="shared" si="3"/>
        <v>537200</v>
      </c>
    </row>
    <row r="47" spans="1:20" s="67" customFormat="1" ht="13.5" customHeight="1" x14ac:dyDescent="0.25">
      <c r="A47" s="69" t="s">
        <v>927</v>
      </c>
      <c r="B47" s="60" t="s">
        <v>971</v>
      </c>
      <c r="C47" s="60" t="s">
        <v>972</v>
      </c>
      <c r="D47" s="11" t="s">
        <v>193</v>
      </c>
      <c r="E47" s="59" t="s">
        <v>995</v>
      </c>
      <c r="F47" s="60">
        <v>9720</v>
      </c>
      <c r="G47" s="69">
        <v>54</v>
      </c>
      <c r="H47" s="69" t="s">
        <v>391</v>
      </c>
      <c r="I47" s="69" t="s">
        <v>357</v>
      </c>
      <c r="J47" s="58">
        <v>45401</v>
      </c>
      <c r="K47" s="108" t="s">
        <v>1007</v>
      </c>
      <c r="L47" s="66">
        <v>89216747234</v>
      </c>
      <c r="M47" s="56" t="s">
        <v>1006</v>
      </c>
      <c r="N47" s="107"/>
      <c r="O47" s="316"/>
      <c r="P47" s="315"/>
      <c r="Q47" s="60">
        <v>9720</v>
      </c>
      <c r="R47" s="316" t="s">
        <v>387</v>
      </c>
      <c r="S47" s="100">
        <v>165000</v>
      </c>
      <c r="T47" s="116">
        <f t="shared" si="3"/>
        <v>1603800</v>
      </c>
    </row>
    <row r="48" spans="1:20" s="67" customFormat="1" ht="13.5" customHeight="1" x14ac:dyDescent="0.25">
      <c r="A48" s="69" t="s">
        <v>927</v>
      </c>
      <c r="B48" s="60" t="s">
        <v>971</v>
      </c>
      <c r="C48" s="60" t="s">
        <v>972</v>
      </c>
      <c r="D48" s="11" t="s">
        <v>193</v>
      </c>
      <c r="E48" s="59" t="s">
        <v>1005</v>
      </c>
      <c r="F48" s="60">
        <v>4680</v>
      </c>
      <c r="G48" s="69">
        <v>26</v>
      </c>
      <c r="H48" s="69" t="s">
        <v>391</v>
      </c>
      <c r="I48" s="69" t="s">
        <v>357</v>
      </c>
      <c r="J48" s="58">
        <v>45401</v>
      </c>
      <c r="K48" s="108" t="s">
        <v>1007</v>
      </c>
      <c r="L48" s="66">
        <v>89216747234</v>
      </c>
      <c r="M48" s="56" t="s">
        <v>1006</v>
      </c>
      <c r="N48" s="107"/>
      <c r="O48" s="316"/>
      <c r="P48" s="315"/>
      <c r="Q48" s="60">
        <v>4680</v>
      </c>
      <c r="R48" s="316" t="s">
        <v>387</v>
      </c>
      <c r="S48" s="100">
        <v>165000</v>
      </c>
      <c r="T48" s="116">
        <f t="shared" si="3"/>
        <v>772200</v>
      </c>
    </row>
    <row r="49" spans="1:20" s="167" customFormat="1" ht="13.5" customHeight="1" x14ac:dyDescent="0.25">
      <c r="A49" s="69" t="s">
        <v>1010</v>
      </c>
      <c r="B49" s="60" t="s">
        <v>987</v>
      </c>
      <c r="C49" s="60" t="s">
        <v>373</v>
      </c>
      <c r="D49" s="159" t="s">
        <v>289</v>
      </c>
      <c r="E49" s="160" t="s">
        <v>374</v>
      </c>
      <c r="F49" s="158">
        <v>20000</v>
      </c>
      <c r="G49" s="161">
        <v>800</v>
      </c>
      <c r="H49" s="69" t="s">
        <v>169</v>
      </c>
      <c r="I49" s="69" t="s">
        <v>357</v>
      </c>
      <c r="J49" s="58">
        <v>45404</v>
      </c>
      <c r="K49" s="108" t="s">
        <v>1009</v>
      </c>
      <c r="L49" s="117">
        <v>89614889685</v>
      </c>
      <c r="M49" s="66" t="s">
        <v>1008</v>
      </c>
      <c r="N49" s="162"/>
      <c r="O49" s="158">
        <v>20000</v>
      </c>
      <c r="P49" s="157"/>
      <c r="Q49" s="164"/>
      <c r="R49" s="164" t="s">
        <v>387</v>
      </c>
      <c r="S49" s="165">
        <v>40700</v>
      </c>
      <c r="T49" s="166">
        <f>S49*(F49/1000)</f>
        <v>814000</v>
      </c>
    </row>
    <row r="50" spans="1:20" s="67" customFormat="1" x14ac:dyDescent="0.25">
      <c r="A50" s="69" t="s">
        <v>927</v>
      </c>
      <c r="B50" s="60" t="s">
        <v>971</v>
      </c>
      <c r="C50" s="60" t="s">
        <v>972</v>
      </c>
      <c r="D50" s="11" t="s">
        <v>193</v>
      </c>
      <c r="E50" s="59" t="s">
        <v>1005</v>
      </c>
      <c r="F50" s="60">
        <v>5040</v>
      </c>
      <c r="G50" s="69">
        <v>28</v>
      </c>
      <c r="H50" s="69" t="s">
        <v>391</v>
      </c>
      <c r="I50" s="69" t="s">
        <v>357</v>
      </c>
      <c r="J50" s="58">
        <v>45404</v>
      </c>
      <c r="K50" s="108" t="s">
        <v>1023</v>
      </c>
      <c r="L50" s="66">
        <v>89214913745</v>
      </c>
      <c r="M50" s="56" t="s">
        <v>1024</v>
      </c>
      <c r="N50" s="107"/>
      <c r="O50" s="56"/>
      <c r="P50" s="60"/>
      <c r="Q50" s="60">
        <v>5040</v>
      </c>
      <c r="R50" s="100" t="s">
        <v>387</v>
      </c>
      <c r="S50" s="100">
        <v>165000</v>
      </c>
      <c r="T50" s="116">
        <f xml:space="preserve"> S50*(F50/1000)</f>
        <v>831600</v>
      </c>
    </row>
    <row r="51" spans="1:20" s="67" customFormat="1" x14ac:dyDescent="0.25">
      <c r="A51" s="69" t="s">
        <v>927</v>
      </c>
      <c r="B51" s="60" t="s">
        <v>971</v>
      </c>
      <c r="C51" s="60" t="s">
        <v>972</v>
      </c>
      <c r="D51" s="11" t="s">
        <v>193</v>
      </c>
      <c r="E51" s="59" t="s">
        <v>1022</v>
      </c>
      <c r="F51" s="60">
        <v>9360</v>
      </c>
      <c r="G51" s="69">
        <v>52</v>
      </c>
      <c r="H51" s="69" t="s">
        <v>391</v>
      </c>
      <c r="I51" s="69" t="s">
        <v>357</v>
      </c>
      <c r="J51" s="58">
        <v>45404</v>
      </c>
      <c r="K51" s="108" t="s">
        <v>1023</v>
      </c>
      <c r="L51" s="66">
        <v>89214913745</v>
      </c>
      <c r="M51" s="56" t="s">
        <v>1024</v>
      </c>
      <c r="N51" s="107"/>
      <c r="O51" s="56"/>
      <c r="P51" s="60"/>
      <c r="Q51" s="60">
        <v>9360</v>
      </c>
      <c r="R51" s="100" t="s">
        <v>387</v>
      </c>
      <c r="S51" s="100">
        <v>165000</v>
      </c>
      <c r="T51" s="116">
        <f xml:space="preserve"> S51*(F51/1000)</f>
        <v>1544400</v>
      </c>
    </row>
    <row r="52" spans="1:20" s="167" customFormat="1" ht="13.5" customHeight="1" x14ac:dyDescent="0.25">
      <c r="A52" s="69" t="s">
        <v>1010</v>
      </c>
      <c r="B52" s="60" t="s">
        <v>965</v>
      </c>
      <c r="C52" s="60" t="s">
        <v>373</v>
      </c>
      <c r="D52" s="159" t="s">
        <v>204</v>
      </c>
      <c r="E52" s="160" t="s">
        <v>1004</v>
      </c>
      <c r="F52" s="158">
        <v>8800</v>
      </c>
      <c r="G52" s="161">
        <v>44</v>
      </c>
      <c r="H52" s="69" t="s">
        <v>382</v>
      </c>
      <c r="I52" s="69" t="s">
        <v>357</v>
      </c>
      <c r="J52" s="58">
        <v>45404</v>
      </c>
      <c r="K52" s="105" t="s">
        <v>1028</v>
      </c>
      <c r="L52" s="66">
        <v>89286365923</v>
      </c>
      <c r="M52" s="105" t="s">
        <v>1029</v>
      </c>
      <c r="N52" s="162"/>
      <c r="O52" s="158"/>
      <c r="P52" s="157"/>
      <c r="Q52" s="158">
        <v>8800</v>
      </c>
      <c r="R52" s="164" t="s">
        <v>387</v>
      </c>
      <c r="S52" s="165">
        <v>99800</v>
      </c>
      <c r="T52" s="166">
        <f>S52*(F52/1000)</f>
        <v>878240.00000000012</v>
      </c>
    </row>
    <row r="53" spans="1:20" s="167" customFormat="1" ht="13.5" customHeight="1" x14ac:dyDescent="0.25">
      <c r="A53" s="69" t="s">
        <v>1010</v>
      </c>
      <c r="B53" s="60" t="s">
        <v>965</v>
      </c>
      <c r="C53" s="60" t="s">
        <v>373</v>
      </c>
      <c r="D53" s="159" t="s">
        <v>204</v>
      </c>
      <c r="E53" s="160" t="s">
        <v>1021</v>
      </c>
      <c r="F53" s="158">
        <v>8800</v>
      </c>
      <c r="G53" s="161">
        <v>44</v>
      </c>
      <c r="H53" s="69" t="s">
        <v>382</v>
      </c>
      <c r="I53" s="69" t="s">
        <v>357</v>
      </c>
      <c r="J53" s="58">
        <v>45404</v>
      </c>
      <c r="K53" s="105" t="s">
        <v>1028</v>
      </c>
      <c r="L53" s="66">
        <v>89286365923</v>
      </c>
      <c r="M53" s="105" t="s">
        <v>1029</v>
      </c>
      <c r="N53" s="162"/>
      <c r="O53" s="158"/>
      <c r="P53" s="157"/>
      <c r="Q53" s="158">
        <v>8800</v>
      </c>
      <c r="R53" s="164" t="s">
        <v>387</v>
      </c>
      <c r="S53" s="165">
        <v>99800</v>
      </c>
      <c r="T53" s="166">
        <f>S53*(F53/1000)</f>
        <v>878240.00000000012</v>
      </c>
    </row>
    <row r="54" spans="1:20" s="67" customFormat="1" ht="13.5" customHeight="1" x14ac:dyDescent="0.25">
      <c r="A54" s="69" t="s">
        <v>748</v>
      </c>
      <c r="B54" s="60" t="s">
        <v>957</v>
      </c>
      <c r="C54" s="60" t="s">
        <v>436</v>
      </c>
      <c r="D54" s="11" t="s">
        <v>331</v>
      </c>
      <c r="E54" s="59" t="s">
        <v>955</v>
      </c>
      <c r="F54" s="60">
        <v>8600</v>
      </c>
      <c r="G54" s="69">
        <v>43</v>
      </c>
      <c r="H54" s="69" t="s">
        <v>438</v>
      </c>
      <c r="I54" s="69" t="s">
        <v>357</v>
      </c>
      <c r="J54" s="58">
        <v>45405</v>
      </c>
      <c r="K54" s="108" t="s">
        <v>1031</v>
      </c>
      <c r="L54" s="117">
        <v>89874756307</v>
      </c>
      <c r="M54" s="56" t="s">
        <v>1030</v>
      </c>
      <c r="N54" s="107"/>
      <c r="O54" s="56"/>
      <c r="P54" s="56"/>
      <c r="Q54" s="60">
        <v>8600</v>
      </c>
      <c r="R54" s="56" t="s">
        <v>387</v>
      </c>
      <c r="S54" s="100">
        <v>369000</v>
      </c>
      <c r="T54" s="116">
        <f t="shared" ref="T54:T69" si="4" xml:space="preserve"> S54*(F54/1000)</f>
        <v>3173400</v>
      </c>
    </row>
    <row r="55" spans="1:20" s="67" customFormat="1" ht="13.5" customHeight="1" x14ac:dyDescent="0.25">
      <c r="A55" s="69" t="s">
        <v>748</v>
      </c>
      <c r="B55" s="60" t="s">
        <v>957</v>
      </c>
      <c r="C55" s="60" t="s">
        <v>436</v>
      </c>
      <c r="D55" s="11" t="s">
        <v>331</v>
      </c>
      <c r="E55" s="59" t="s">
        <v>958</v>
      </c>
      <c r="F55" s="60">
        <v>9000</v>
      </c>
      <c r="G55" s="69">
        <v>45</v>
      </c>
      <c r="H55" s="69" t="s">
        <v>438</v>
      </c>
      <c r="I55" s="69" t="s">
        <v>357</v>
      </c>
      <c r="J55" s="58">
        <v>45405</v>
      </c>
      <c r="K55" s="108" t="s">
        <v>1031</v>
      </c>
      <c r="L55" s="117">
        <v>89874756307</v>
      </c>
      <c r="M55" s="56" t="s">
        <v>1030</v>
      </c>
      <c r="N55" s="107"/>
      <c r="O55" s="56"/>
      <c r="P55" s="56"/>
      <c r="Q55" s="60">
        <v>9000</v>
      </c>
      <c r="R55" s="56" t="s">
        <v>387</v>
      </c>
      <c r="S55" s="100">
        <v>369000</v>
      </c>
      <c r="T55" s="116">
        <f t="shared" si="4"/>
        <v>3321000</v>
      </c>
    </row>
    <row r="56" spans="1:20" s="67" customFormat="1" ht="13.5" customHeight="1" x14ac:dyDescent="0.25">
      <c r="A56" s="69" t="s">
        <v>224</v>
      </c>
      <c r="B56" s="60" t="s">
        <v>183</v>
      </c>
      <c r="C56" s="60" t="s">
        <v>349</v>
      </c>
      <c r="D56" s="98" t="s">
        <v>158</v>
      </c>
      <c r="E56" s="64" t="s">
        <v>894</v>
      </c>
      <c r="F56" s="97">
        <v>400</v>
      </c>
      <c r="G56" s="69">
        <v>2</v>
      </c>
      <c r="H56" s="69" t="s">
        <v>352</v>
      </c>
      <c r="I56" s="69" t="s">
        <v>357</v>
      </c>
      <c r="J56" s="58">
        <v>45406</v>
      </c>
      <c r="K56" s="108" t="s">
        <v>1033</v>
      </c>
      <c r="L56" s="117" t="s">
        <v>1034</v>
      </c>
      <c r="M56" s="56" t="s">
        <v>1032</v>
      </c>
      <c r="N56" s="107"/>
      <c r="O56" s="56"/>
      <c r="P56" s="60"/>
      <c r="Q56" s="97">
        <v>400</v>
      </c>
      <c r="R56" s="56" t="s">
        <v>387</v>
      </c>
      <c r="S56" s="100">
        <v>69000</v>
      </c>
      <c r="T56" s="65">
        <f t="shared" si="4"/>
        <v>27600</v>
      </c>
    </row>
    <row r="57" spans="1:20" s="67" customFormat="1" ht="13.5" customHeight="1" x14ac:dyDescent="0.25">
      <c r="A57" s="69" t="s">
        <v>224</v>
      </c>
      <c r="B57" s="60" t="s">
        <v>183</v>
      </c>
      <c r="C57" s="60" t="s">
        <v>349</v>
      </c>
      <c r="D57" s="98" t="s">
        <v>158</v>
      </c>
      <c r="E57" s="64" t="s">
        <v>898</v>
      </c>
      <c r="F57" s="97">
        <v>1200</v>
      </c>
      <c r="G57" s="69">
        <v>6</v>
      </c>
      <c r="H57" s="69" t="s">
        <v>352</v>
      </c>
      <c r="I57" s="69" t="s">
        <v>357</v>
      </c>
      <c r="J57" s="58">
        <v>45406</v>
      </c>
      <c r="K57" s="108" t="s">
        <v>1033</v>
      </c>
      <c r="L57" s="117" t="s">
        <v>1034</v>
      </c>
      <c r="M57" s="56" t="s">
        <v>1032</v>
      </c>
      <c r="N57" s="107"/>
      <c r="O57" s="56"/>
      <c r="P57" s="60"/>
      <c r="Q57" s="97">
        <v>1200</v>
      </c>
      <c r="R57" s="56" t="s">
        <v>387</v>
      </c>
      <c r="S57" s="100">
        <v>69000</v>
      </c>
      <c r="T57" s="65">
        <f t="shared" si="4"/>
        <v>82800</v>
      </c>
    </row>
    <row r="58" spans="1:20" s="67" customFormat="1" ht="13.5" customHeight="1" x14ac:dyDescent="0.25">
      <c r="A58" s="69" t="s">
        <v>224</v>
      </c>
      <c r="B58" s="60" t="s">
        <v>183</v>
      </c>
      <c r="C58" s="60" t="s">
        <v>349</v>
      </c>
      <c r="D58" s="98" t="s">
        <v>158</v>
      </c>
      <c r="E58" s="64" t="s">
        <v>940</v>
      </c>
      <c r="F58" s="97">
        <v>600</v>
      </c>
      <c r="G58" s="69">
        <v>3</v>
      </c>
      <c r="H58" s="69" t="s">
        <v>352</v>
      </c>
      <c r="I58" s="69" t="s">
        <v>357</v>
      </c>
      <c r="J58" s="58">
        <v>45406</v>
      </c>
      <c r="K58" s="108" t="s">
        <v>1033</v>
      </c>
      <c r="L58" s="117" t="s">
        <v>1034</v>
      </c>
      <c r="M58" s="56" t="s">
        <v>1032</v>
      </c>
      <c r="N58" s="107"/>
      <c r="O58" s="56"/>
      <c r="P58" s="60"/>
      <c r="Q58" s="97">
        <v>600</v>
      </c>
      <c r="R58" s="56" t="s">
        <v>387</v>
      </c>
      <c r="S58" s="100">
        <v>69000</v>
      </c>
      <c r="T58" s="65">
        <f t="shared" si="4"/>
        <v>41400</v>
      </c>
    </row>
    <row r="59" spans="1:20" s="67" customFormat="1" ht="13.5" customHeight="1" x14ac:dyDescent="0.25">
      <c r="A59" s="69" t="s">
        <v>224</v>
      </c>
      <c r="B59" s="60" t="s">
        <v>183</v>
      </c>
      <c r="C59" s="60" t="s">
        <v>349</v>
      </c>
      <c r="D59" s="98" t="s">
        <v>158</v>
      </c>
      <c r="E59" s="64" t="s">
        <v>1035</v>
      </c>
      <c r="F59" s="97">
        <v>7600</v>
      </c>
      <c r="G59" s="69">
        <v>38</v>
      </c>
      <c r="H59" s="69" t="s">
        <v>352</v>
      </c>
      <c r="I59" s="69" t="s">
        <v>357</v>
      </c>
      <c r="J59" s="58">
        <v>45406</v>
      </c>
      <c r="K59" s="108" t="s">
        <v>1033</v>
      </c>
      <c r="L59" s="117" t="s">
        <v>1034</v>
      </c>
      <c r="M59" s="56" t="s">
        <v>1032</v>
      </c>
      <c r="N59" s="107"/>
      <c r="O59" s="56"/>
      <c r="P59" s="60"/>
      <c r="Q59" s="97">
        <v>7600</v>
      </c>
      <c r="R59" s="56" t="s">
        <v>387</v>
      </c>
      <c r="S59" s="100">
        <v>69000</v>
      </c>
      <c r="T59" s="65">
        <f t="shared" si="4"/>
        <v>524400</v>
      </c>
    </row>
    <row r="60" spans="1:20" s="67" customFormat="1" ht="13.5" customHeight="1" x14ac:dyDescent="0.25">
      <c r="A60" s="69" t="s">
        <v>224</v>
      </c>
      <c r="B60" s="60" t="s">
        <v>183</v>
      </c>
      <c r="C60" s="60" t="s">
        <v>349</v>
      </c>
      <c r="D60" s="98" t="s">
        <v>158</v>
      </c>
      <c r="E60" s="64" t="s">
        <v>1036</v>
      </c>
      <c r="F60" s="97">
        <v>6600</v>
      </c>
      <c r="G60" s="69">
        <v>33</v>
      </c>
      <c r="H60" s="69" t="s">
        <v>352</v>
      </c>
      <c r="I60" s="69" t="s">
        <v>357</v>
      </c>
      <c r="J60" s="58">
        <v>45406</v>
      </c>
      <c r="K60" s="108" t="s">
        <v>1033</v>
      </c>
      <c r="L60" s="117" t="s">
        <v>1034</v>
      </c>
      <c r="M60" s="56" t="s">
        <v>1032</v>
      </c>
      <c r="N60" s="107"/>
      <c r="O60" s="56"/>
      <c r="P60" s="60"/>
      <c r="Q60" s="97">
        <v>6600</v>
      </c>
      <c r="R60" s="56" t="s">
        <v>387</v>
      </c>
      <c r="S60" s="100">
        <v>69000</v>
      </c>
      <c r="T60" s="65">
        <f t="shared" si="4"/>
        <v>455400</v>
      </c>
    </row>
    <row r="61" spans="1:20" s="67" customFormat="1" ht="13.5" customHeight="1" x14ac:dyDescent="0.25">
      <c r="A61" s="69" t="s">
        <v>224</v>
      </c>
      <c r="B61" s="60" t="s">
        <v>183</v>
      </c>
      <c r="C61" s="60" t="s">
        <v>349</v>
      </c>
      <c r="D61" s="98" t="s">
        <v>158</v>
      </c>
      <c r="E61" s="64" t="s">
        <v>930</v>
      </c>
      <c r="F61" s="97">
        <v>1000</v>
      </c>
      <c r="G61" s="69">
        <v>5</v>
      </c>
      <c r="H61" s="69" t="s">
        <v>352</v>
      </c>
      <c r="I61" s="69" t="s">
        <v>357</v>
      </c>
      <c r="J61" s="58">
        <v>45406</v>
      </c>
      <c r="K61" s="108" t="s">
        <v>1033</v>
      </c>
      <c r="L61" s="117" t="s">
        <v>1034</v>
      </c>
      <c r="M61" s="56" t="s">
        <v>1032</v>
      </c>
      <c r="N61" s="107"/>
      <c r="O61" s="56"/>
      <c r="P61" s="60"/>
      <c r="Q61" s="97">
        <v>1000</v>
      </c>
      <c r="R61" s="56" t="s">
        <v>387</v>
      </c>
      <c r="S61" s="100">
        <v>69000</v>
      </c>
      <c r="T61" s="65">
        <f t="shared" si="4"/>
        <v>69000</v>
      </c>
    </row>
    <row r="62" spans="1:20" s="67" customFormat="1" ht="13.5" customHeight="1" x14ac:dyDescent="0.25">
      <c r="A62" s="69" t="s">
        <v>224</v>
      </c>
      <c r="B62" s="60" t="s">
        <v>183</v>
      </c>
      <c r="C62" s="60" t="s">
        <v>349</v>
      </c>
      <c r="D62" s="98" t="s">
        <v>158</v>
      </c>
      <c r="E62" s="64" t="s">
        <v>973</v>
      </c>
      <c r="F62" s="97">
        <v>200</v>
      </c>
      <c r="G62" s="69">
        <v>1</v>
      </c>
      <c r="H62" s="69" t="s">
        <v>352</v>
      </c>
      <c r="I62" s="69" t="s">
        <v>357</v>
      </c>
      <c r="J62" s="58">
        <v>45406</v>
      </c>
      <c r="K62" s="108" t="s">
        <v>1033</v>
      </c>
      <c r="L62" s="117" t="s">
        <v>1034</v>
      </c>
      <c r="M62" s="56" t="s">
        <v>1032</v>
      </c>
      <c r="N62" s="107"/>
      <c r="O62" s="56"/>
      <c r="P62" s="60"/>
      <c r="Q62" s="97">
        <v>200</v>
      </c>
      <c r="R62" s="56" t="s">
        <v>387</v>
      </c>
      <c r="S62" s="100">
        <v>69000</v>
      </c>
      <c r="T62" s="65">
        <f t="shared" si="4"/>
        <v>13800</v>
      </c>
    </row>
    <row r="63" spans="1:20" s="67" customFormat="1" ht="13.5" customHeight="1" x14ac:dyDescent="0.25">
      <c r="A63" s="337" t="s">
        <v>1045</v>
      </c>
      <c r="B63" s="60" t="s">
        <v>1044</v>
      </c>
      <c r="C63" s="60" t="s">
        <v>822</v>
      </c>
      <c r="D63" s="11" t="s">
        <v>173</v>
      </c>
      <c r="E63" s="59" t="s">
        <v>255</v>
      </c>
      <c r="F63" s="60">
        <v>800</v>
      </c>
      <c r="G63" s="69">
        <v>4</v>
      </c>
      <c r="H63" s="69" t="s">
        <v>391</v>
      </c>
      <c r="I63" s="69" t="s">
        <v>357</v>
      </c>
      <c r="J63" s="58">
        <v>45406</v>
      </c>
      <c r="K63" s="108" t="s">
        <v>1046</v>
      </c>
      <c r="L63" s="117"/>
      <c r="M63" s="56" t="s">
        <v>1047</v>
      </c>
      <c r="N63" s="107"/>
      <c r="O63" s="56"/>
      <c r="P63" s="56"/>
      <c r="Q63" s="60">
        <v>800</v>
      </c>
      <c r="R63" s="56" t="s">
        <v>387</v>
      </c>
      <c r="S63" s="156">
        <v>89900</v>
      </c>
      <c r="T63" s="116">
        <f t="shared" si="4"/>
        <v>71920</v>
      </c>
    </row>
    <row r="64" spans="1:20" s="67" customFormat="1" ht="13.5" customHeight="1" x14ac:dyDescent="0.25">
      <c r="A64" s="337" t="s">
        <v>1045</v>
      </c>
      <c r="B64" s="60" t="s">
        <v>1044</v>
      </c>
      <c r="C64" s="60" t="s">
        <v>822</v>
      </c>
      <c r="D64" s="11" t="s">
        <v>173</v>
      </c>
      <c r="E64" s="59" t="s">
        <v>266</v>
      </c>
      <c r="F64" s="60">
        <v>800</v>
      </c>
      <c r="G64" s="69">
        <v>4</v>
      </c>
      <c r="H64" s="69" t="s">
        <v>391</v>
      </c>
      <c r="I64" s="69" t="s">
        <v>357</v>
      </c>
      <c r="J64" s="58">
        <v>45406</v>
      </c>
      <c r="K64" s="108" t="s">
        <v>1046</v>
      </c>
      <c r="L64" s="117"/>
      <c r="M64" s="56" t="s">
        <v>1047</v>
      </c>
      <c r="N64" s="107"/>
      <c r="O64" s="56"/>
      <c r="P64" s="56"/>
      <c r="Q64" s="60">
        <v>800</v>
      </c>
      <c r="R64" s="56" t="s">
        <v>387</v>
      </c>
      <c r="S64" s="156">
        <v>89900</v>
      </c>
      <c r="T64" s="116">
        <f t="shared" si="4"/>
        <v>71920</v>
      </c>
    </row>
    <row r="65" spans="1:20" s="67" customFormat="1" ht="13.5" customHeight="1" x14ac:dyDescent="0.25">
      <c r="A65" s="337" t="s">
        <v>1045</v>
      </c>
      <c r="B65" s="60" t="s">
        <v>1044</v>
      </c>
      <c r="C65" s="60" t="s">
        <v>822</v>
      </c>
      <c r="D65" s="11" t="s">
        <v>173</v>
      </c>
      <c r="E65" s="59" t="s">
        <v>253</v>
      </c>
      <c r="F65" s="60">
        <v>8000</v>
      </c>
      <c r="G65" s="69">
        <v>40</v>
      </c>
      <c r="H65" s="69" t="s">
        <v>391</v>
      </c>
      <c r="I65" s="69" t="s">
        <v>357</v>
      </c>
      <c r="J65" s="58">
        <v>45406</v>
      </c>
      <c r="K65" s="108" t="s">
        <v>1046</v>
      </c>
      <c r="L65" s="117"/>
      <c r="M65" s="56" t="s">
        <v>1047</v>
      </c>
      <c r="N65" s="107"/>
      <c r="O65" s="56"/>
      <c r="P65" s="56"/>
      <c r="Q65" s="60">
        <v>8000</v>
      </c>
      <c r="R65" s="56" t="s">
        <v>387</v>
      </c>
      <c r="S65" s="156">
        <v>89900</v>
      </c>
      <c r="T65" s="116">
        <f t="shared" si="4"/>
        <v>719200</v>
      </c>
    </row>
    <row r="66" spans="1:20" s="67" customFormat="1" ht="13.5" customHeight="1" x14ac:dyDescent="0.25">
      <c r="A66" s="337" t="s">
        <v>1045</v>
      </c>
      <c r="B66" s="60" t="s">
        <v>1044</v>
      </c>
      <c r="C66" s="60" t="s">
        <v>822</v>
      </c>
      <c r="D66" s="11" t="s">
        <v>173</v>
      </c>
      <c r="E66" s="59" t="s">
        <v>258</v>
      </c>
      <c r="F66" s="60">
        <v>6400</v>
      </c>
      <c r="G66" s="69">
        <v>32</v>
      </c>
      <c r="H66" s="69" t="s">
        <v>391</v>
      </c>
      <c r="I66" s="69" t="s">
        <v>357</v>
      </c>
      <c r="J66" s="58">
        <v>45406</v>
      </c>
      <c r="K66" s="108" t="s">
        <v>1046</v>
      </c>
      <c r="L66" s="117"/>
      <c r="M66" s="56" t="s">
        <v>1047</v>
      </c>
      <c r="N66" s="107"/>
      <c r="O66" s="56"/>
      <c r="P66" s="56"/>
      <c r="Q66" s="60">
        <v>6400</v>
      </c>
      <c r="R66" s="56" t="s">
        <v>387</v>
      </c>
      <c r="S66" s="156">
        <v>89900</v>
      </c>
      <c r="T66" s="116">
        <f t="shared" si="4"/>
        <v>575360</v>
      </c>
    </row>
    <row r="67" spans="1:20" s="67" customFormat="1" ht="14.25" customHeight="1" x14ac:dyDescent="0.25">
      <c r="A67" s="337" t="s">
        <v>770</v>
      </c>
      <c r="B67" s="60" t="s">
        <v>1080</v>
      </c>
      <c r="C67" s="60" t="s">
        <v>657</v>
      </c>
      <c r="D67" s="11" t="s">
        <v>201</v>
      </c>
      <c r="E67" s="59" t="s">
        <v>888</v>
      </c>
      <c r="F67" s="60">
        <v>13680</v>
      </c>
      <c r="G67" s="69">
        <v>72</v>
      </c>
      <c r="H67" s="69" t="s">
        <v>655</v>
      </c>
      <c r="I67" s="69" t="s">
        <v>357</v>
      </c>
      <c r="J67" s="58">
        <v>45408</v>
      </c>
      <c r="K67" s="108" t="s">
        <v>1049</v>
      </c>
      <c r="L67" s="119">
        <v>89116853202</v>
      </c>
      <c r="M67" s="56" t="s">
        <v>1048</v>
      </c>
      <c r="N67" s="66"/>
      <c r="O67" s="56"/>
      <c r="P67" s="60"/>
      <c r="Q67" s="60">
        <v>13680</v>
      </c>
      <c r="R67" s="56" t="s">
        <v>387</v>
      </c>
      <c r="S67" s="100">
        <v>123000</v>
      </c>
      <c r="T67" s="65">
        <f t="shared" si="4"/>
        <v>1682640</v>
      </c>
    </row>
    <row r="68" spans="1:20" s="67" customFormat="1" x14ac:dyDescent="0.25">
      <c r="A68" s="337" t="s">
        <v>770</v>
      </c>
      <c r="B68" s="60" t="s">
        <v>1080</v>
      </c>
      <c r="C68" s="60" t="s">
        <v>657</v>
      </c>
      <c r="D68" s="11" t="s">
        <v>887</v>
      </c>
      <c r="E68" s="59" t="s">
        <v>888</v>
      </c>
      <c r="F68" s="60">
        <v>3040</v>
      </c>
      <c r="G68" s="69">
        <v>16</v>
      </c>
      <c r="H68" s="69" t="s">
        <v>655</v>
      </c>
      <c r="I68" s="69" t="s">
        <v>357</v>
      </c>
      <c r="J68" s="58">
        <v>45408</v>
      </c>
      <c r="K68" s="108" t="s">
        <v>1049</v>
      </c>
      <c r="L68" s="119">
        <v>89116853202</v>
      </c>
      <c r="M68" s="56" t="s">
        <v>1048</v>
      </c>
      <c r="N68" s="66"/>
      <c r="O68" s="56"/>
      <c r="P68" s="60"/>
      <c r="Q68" s="60">
        <v>3040</v>
      </c>
      <c r="R68" s="56" t="s">
        <v>387</v>
      </c>
      <c r="S68" s="100">
        <v>148000</v>
      </c>
      <c r="T68" s="65">
        <f t="shared" si="4"/>
        <v>449920</v>
      </c>
    </row>
    <row r="69" spans="1:20" s="67" customFormat="1" x14ac:dyDescent="0.25">
      <c r="A69" s="69" t="s">
        <v>1054</v>
      </c>
      <c r="B69" s="60" t="s">
        <v>1071</v>
      </c>
      <c r="C69" s="60" t="s">
        <v>165</v>
      </c>
      <c r="D69" s="11" t="s">
        <v>291</v>
      </c>
      <c r="E69" s="59" t="s">
        <v>1052</v>
      </c>
      <c r="F69" s="60">
        <v>19845</v>
      </c>
      <c r="G69" s="69">
        <v>875</v>
      </c>
      <c r="H69" s="69" t="s">
        <v>1053</v>
      </c>
      <c r="I69" s="69" t="s">
        <v>357</v>
      </c>
      <c r="J69" s="58">
        <v>45409</v>
      </c>
      <c r="K69" s="108" t="s">
        <v>1058</v>
      </c>
      <c r="L69" s="117">
        <v>89824607289</v>
      </c>
      <c r="M69" s="66" t="s">
        <v>1059</v>
      </c>
      <c r="N69" s="66"/>
      <c r="O69" s="60">
        <v>19845</v>
      </c>
      <c r="P69" s="56"/>
      <c r="Q69" s="56"/>
      <c r="R69" s="56" t="s">
        <v>387</v>
      </c>
      <c r="S69" s="100">
        <v>49500</v>
      </c>
      <c r="T69" s="65">
        <f t="shared" si="4"/>
        <v>982327.5</v>
      </c>
    </row>
    <row r="70" spans="1:20" ht="18.75" x14ac:dyDescent="0.3">
      <c r="A70" s="126" t="s">
        <v>15</v>
      </c>
      <c r="B70" s="110">
        <f>SUM(F4:F69)/1000</f>
        <v>594.45799999999997</v>
      </c>
      <c r="C70" s="57" t="s">
        <v>14</v>
      </c>
      <c r="S70" s="102"/>
      <c r="T70" s="102">
        <f>SUM(T4:T69)</f>
        <v>60333981.5</v>
      </c>
    </row>
    <row r="71" spans="1:20" ht="18.75" x14ac:dyDescent="0.3">
      <c r="A71" s="127" t="s">
        <v>16</v>
      </c>
      <c r="B71" s="111">
        <f>B72+B73+B74</f>
        <v>594.45800000000008</v>
      </c>
      <c r="C71" s="1" t="s">
        <v>14</v>
      </c>
    </row>
    <row r="72" spans="1:20" ht="18.75" x14ac:dyDescent="0.3">
      <c r="A72" s="128" t="s">
        <v>17</v>
      </c>
      <c r="B72" s="109">
        <f>SUM(O4:O69)/1000</f>
        <v>280.47300000000001</v>
      </c>
      <c r="C72" s="2" t="s">
        <v>14</v>
      </c>
    </row>
    <row r="73" spans="1:20" ht="18.75" x14ac:dyDescent="0.3">
      <c r="A73" s="128" t="s">
        <v>154</v>
      </c>
      <c r="B73" s="109">
        <f>SUM(P4:P69)/1000</f>
        <v>36.064999999999998</v>
      </c>
      <c r="C73" s="2" t="s">
        <v>14</v>
      </c>
    </row>
    <row r="74" spans="1:20" ht="18.75" x14ac:dyDescent="0.3">
      <c r="A74" s="128" t="s">
        <v>24</v>
      </c>
      <c r="B74" s="112">
        <f>SUM(Q4:Q69)/1000</f>
        <v>277.92</v>
      </c>
      <c r="C74" s="2" t="s">
        <v>14</v>
      </c>
    </row>
    <row r="75" spans="1:20" ht="19.5" thickBot="1" x14ac:dyDescent="0.35">
      <c r="A75" s="129" t="s">
        <v>20</v>
      </c>
      <c r="B75" s="113">
        <f>B70-B71</f>
        <v>0</v>
      </c>
      <c r="C75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75" xr:uid="{00000000-0009-0000-0000-000008000000}"/>
  <mergeCells count="12"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</mergeCells>
  <phoneticPr fontId="28" type="noConversion"/>
  <dataValidations count="1">
    <dataValidation type="list" allowBlank="1" showInputMessage="1" showErrorMessage="1" sqref="D70" xr:uid="{00000000-0002-0000-0800-000000000000}">
      <formula1>$E$70:$E$86</formula1>
    </dataValidation>
  </dataValidations>
  <pageMargins left="0.7" right="0.7" top="0.75" bottom="0.75" header="0.3" footer="0.3"/>
  <pageSetup paperSize="9" scale="34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1000000}">
          <x14:formula1>
            <xm:f>'D:\Users\user\YandexDisk\ЗАКАЗЫ общая\[ЗАКАЗЫ 2024 (2).xlsx]справочник'!#REF!</xm:f>
          </x14:formula1>
          <xm:sqref>D22 D47:D48 D24 D50:D51</xm:sqref>
        </x14:dataValidation>
        <x14:dataValidation type="list" allowBlank="1" showInputMessage="1" showErrorMessage="1" xr:uid="{00000000-0002-0000-0800-000002000000}">
          <x14:formula1>
            <xm:f>справочник!$E$2:$E$152</xm:f>
          </x14:formula1>
          <xm:sqref>D4:D69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160"/>
  <sheetViews>
    <sheetView zoomScale="70" zoomScaleNormal="70" zoomScaleSheetLayoutView="70" workbookViewId="0">
      <pane ySplit="3" topLeftCell="A124" activePane="bottomLeft" state="frozen"/>
      <selection pane="bottomLeft" activeCell="C5" sqref="C5"/>
    </sheetView>
  </sheetViews>
  <sheetFormatPr defaultRowHeight="15" x14ac:dyDescent="0.25"/>
  <cols>
    <col min="1" max="1" width="22.42578125" style="130" customWidth="1"/>
    <col min="2" max="2" width="23.7109375" customWidth="1"/>
    <col min="3" max="3" width="24.7109375" customWidth="1"/>
    <col min="4" max="4" width="36.42578125" customWidth="1"/>
    <col min="5" max="5" width="22" customWidth="1"/>
    <col min="6" max="6" width="13" bestFit="1" customWidth="1"/>
    <col min="7" max="7" width="16.7109375" customWidth="1"/>
    <col min="8" max="8" width="20.7109375" customWidth="1"/>
    <col min="9" max="9" width="33.85546875" customWidth="1"/>
    <col min="10" max="10" width="16.42578125" customWidth="1"/>
    <col min="11" max="11" width="30.42578125" customWidth="1"/>
    <col min="12" max="12" width="25.5703125" customWidth="1"/>
    <col min="13" max="13" width="29.5703125" customWidth="1"/>
    <col min="14" max="14" width="21.42578125" style="120" customWidth="1"/>
    <col min="18" max="18" width="12.42578125" customWidth="1"/>
    <col min="19" max="19" width="25.1406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45352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55" t="s">
        <v>1</v>
      </c>
      <c r="G3" s="55" t="s">
        <v>156</v>
      </c>
      <c r="H3" s="453"/>
      <c r="I3" s="455"/>
      <c r="J3" s="457"/>
      <c r="K3" s="54" t="s">
        <v>8</v>
      </c>
      <c r="L3" s="54" t="s">
        <v>21</v>
      </c>
      <c r="M3" s="54" t="s">
        <v>10</v>
      </c>
      <c r="N3" s="122" t="s">
        <v>11</v>
      </c>
      <c r="O3" s="5" t="s">
        <v>13</v>
      </c>
      <c r="P3" s="5" t="s">
        <v>155</v>
      </c>
      <c r="Q3" s="124" t="s">
        <v>23</v>
      </c>
      <c r="R3" s="439"/>
      <c r="S3" s="68" t="s">
        <v>162</v>
      </c>
      <c r="T3" s="99" t="s">
        <v>163</v>
      </c>
    </row>
    <row r="4" spans="1:20" x14ac:dyDescent="0.25">
      <c r="A4" s="233"/>
      <c r="B4" s="234"/>
      <c r="C4" s="235"/>
      <c r="D4" s="236"/>
      <c r="E4" s="237"/>
      <c r="F4" s="55"/>
      <c r="G4" s="55"/>
      <c r="H4" s="238"/>
      <c r="I4" s="239"/>
      <c r="J4" s="240"/>
      <c r="K4" s="54"/>
      <c r="L4" s="54"/>
      <c r="M4" s="54"/>
      <c r="N4" s="122"/>
      <c r="O4" s="5"/>
      <c r="P4" s="5"/>
      <c r="Q4" s="124"/>
      <c r="R4" s="232"/>
      <c r="S4" s="68"/>
      <c r="T4" s="99"/>
    </row>
    <row r="5" spans="1:20" s="67" customFormat="1" ht="13.5" customHeight="1" x14ac:dyDescent="0.25">
      <c r="A5" s="69" t="s">
        <v>240</v>
      </c>
      <c r="B5" s="97" t="s">
        <v>680</v>
      </c>
      <c r="C5" s="97" t="s">
        <v>165</v>
      </c>
      <c r="D5" s="98" t="s">
        <v>291</v>
      </c>
      <c r="E5" s="59" t="s">
        <v>677</v>
      </c>
      <c r="F5" s="97">
        <v>15876</v>
      </c>
      <c r="G5" s="69">
        <v>700</v>
      </c>
      <c r="H5" s="69" t="s">
        <v>681</v>
      </c>
      <c r="I5" s="69" t="s">
        <v>357</v>
      </c>
      <c r="J5" s="58">
        <v>45352</v>
      </c>
      <c r="K5" s="105"/>
      <c r="L5" s="123"/>
      <c r="M5" s="105"/>
      <c r="N5" s="107" t="s">
        <v>705</v>
      </c>
      <c r="O5" s="97">
        <v>15876</v>
      </c>
      <c r="P5" s="60"/>
      <c r="Q5" s="56"/>
      <c r="R5" s="56" t="s">
        <v>387</v>
      </c>
      <c r="S5" s="100">
        <v>49500</v>
      </c>
      <c r="T5" s="116">
        <f xml:space="preserve"> S5*(F5/1000)</f>
        <v>785862</v>
      </c>
    </row>
    <row r="6" spans="1:20" s="67" customFormat="1" ht="13.5" customHeight="1" x14ac:dyDescent="0.25">
      <c r="A6" s="273" t="s">
        <v>224</v>
      </c>
      <c r="B6" s="97" t="s">
        <v>466</v>
      </c>
      <c r="C6" s="97" t="s">
        <v>436</v>
      </c>
      <c r="D6" s="98" t="s">
        <v>316</v>
      </c>
      <c r="E6" s="59" t="s">
        <v>551</v>
      </c>
      <c r="F6" s="97">
        <v>20000</v>
      </c>
      <c r="G6" s="69">
        <v>1000</v>
      </c>
      <c r="H6" s="69" t="s">
        <v>467</v>
      </c>
      <c r="I6" s="69" t="s">
        <v>357</v>
      </c>
      <c r="J6" s="58">
        <v>45355</v>
      </c>
      <c r="K6" s="105" t="s">
        <v>699</v>
      </c>
      <c r="L6" s="123" t="s">
        <v>698</v>
      </c>
      <c r="M6" s="105" t="s">
        <v>697</v>
      </c>
      <c r="N6" s="58"/>
      <c r="O6" s="56"/>
      <c r="P6" s="97">
        <v>20000</v>
      </c>
      <c r="Q6" s="56"/>
      <c r="R6" s="56" t="s">
        <v>387</v>
      </c>
      <c r="S6" s="100">
        <v>83000</v>
      </c>
      <c r="T6" s="116">
        <f xml:space="preserve"> S6*(F6/1000)</f>
        <v>1660000</v>
      </c>
    </row>
    <row r="7" spans="1:20" s="67" customFormat="1" ht="13.5" customHeight="1" x14ac:dyDescent="0.25">
      <c r="A7" s="69" t="s">
        <v>224</v>
      </c>
      <c r="B7" s="60" t="s">
        <v>669</v>
      </c>
      <c r="C7" s="60" t="s">
        <v>167</v>
      </c>
      <c r="D7" s="11" t="s">
        <v>295</v>
      </c>
      <c r="E7" s="59" t="s">
        <v>576</v>
      </c>
      <c r="F7" s="60">
        <v>19862.5</v>
      </c>
      <c r="G7" s="69">
        <v>875</v>
      </c>
      <c r="H7" s="69" t="s">
        <v>169</v>
      </c>
      <c r="I7" s="69" t="s">
        <v>357</v>
      </c>
      <c r="J7" s="58">
        <v>45356</v>
      </c>
      <c r="K7" s="108" t="s">
        <v>527</v>
      </c>
      <c r="L7" s="114" t="s">
        <v>738</v>
      </c>
      <c r="M7" s="56" t="s">
        <v>737</v>
      </c>
      <c r="N7" s="58"/>
      <c r="O7" s="60">
        <v>19862.5</v>
      </c>
      <c r="P7" s="56"/>
      <c r="Q7" s="56"/>
      <c r="R7" s="56" t="s">
        <v>387</v>
      </c>
      <c r="S7" s="100">
        <v>42500</v>
      </c>
      <c r="T7" s="116">
        <f xml:space="preserve"> S7*(F7/1000)</f>
        <v>844156.25</v>
      </c>
    </row>
    <row r="8" spans="1:20" s="67" customFormat="1" ht="13.5" customHeight="1" x14ac:dyDescent="0.25">
      <c r="A8" s="272" t="s">
        <v>224</v>
      </c>
      <c r="B8" s="60" t="s">
        <v>469</v>
      </c>
      <c r="C8" s="60" t="s">
        <v>658</v>
      </c>
      <c r="D8" s="98" t="s">
        <v>513</v>
      </c>
      <c r="E8" s="64" t="s">
        <v>659</v>
      </c>
      <c r="F8" s="97">
        <v>18720</v>
      </c>
      <c r="G8" s="69">
        <v>936</v>
      </c>
      <c r="H8" s="69" t="s">
        <v>391</v>
      </c>
      <c r="I8" s="69" t="s">
        <v>357</v>
      </c>
      <c r="J8" s="58">
        <v>45356</v>
      </c>
      <c r="K8" s="114" t="s">
        <v>731</v>
      </c>
      <c r="L8" s="107" t="s">
        <v>732</v>
      </c>
      <c r="M8" s="56" t="s">
        <v>730</v>
      </c>
      <c r="N8" s="107"/>
      <c r="O8" s="56"/>
      <c r="P8" s="60"/>
      <c r="Q8" s="97">
        <v>18720</v>
      </c>
      <c r="R8" s="56" t="s">
        <v>387</v>
      </c>
      <c r="S8" s="100">
        <v>105250</v>
      </c>
      <c r="T8" s="65">
        <f xml:space="preserve"> S8*(F8/1000)</f>
        <v>1970279.9999999998</v>
      </c>
    </row>
    <row r="9" spans="1:20" s="167" customFormat="1" ht="13.5" customHeight="1" x14ac:dyDescent="0.25">
      <c r="A9" s="161" t="s">
        <v>741</v>
      </c>
      <c r="B9" s="157" t="s">
        <v>742</v>
      </c>
      <c r="C9" s="158" t="s">
        <v>265</v>
      </c>
      <c r="D9" s="159" t="s">
        <v>289</v>
      </c>
      <c r="E9" s="160" t="s">
        <v>374</v>
      </c>
      <c r="F9" s="158">
        <v>20000</v>
      </c>
      <c r="G9" s="161">
        <v>800</v>
      </c>
      <c r="H9" s="161" t="s">
        <v>382</v>
      </c>
      <c r="I9" s="161" t="s">
        <v>357</v>
      </c>
      <c r="J9" s="162">
        <v>45358</v>
      </c>
      <c r="K9" s="105" t="s">
        <v>635</v>
      </c>
      <c r="L9" s="123">
        <v>89212974613</v>
      </c>
      <c r="M9" s="105" t="s">
        <v>636</v>
      </c>
      <c r="N9" s="162"/>
      <c r="O9" s="158">
        <v>20000</v>
      </c>
      <c r="P9" s="157"/>
      <c r="Q9" s="164"/>
      <c r="R9" s="164" t="s">
        <v>387</v>
      </c>
      <c r="S9" s="165">
        <v>41000</v>
      </c>
      <c r="T9" s="166">
        <f>S9*(F9/1000)</f>
        <v>820000</v>
      </c>
    </row>
    <row r="10" spans="1:20" s="67" customFormat="1" ht="13.5" customHeight="1" x14ac:dyDescent="0.25">
      <c r="A10" s="69" t="s">
        <v>653</v>
      </c>
      <c r="B10" s="60" t="s">
        <v>669</v>
      </c>
      <c r="C10" s="60" t="s">
        <v>167</v>
      </c>
      <c r="D10" s="11" t="s">
        <v>295</v>
      </c>
      <c r="E10" s="59" t="s">
        <v>641</v>
      </c>
      <c r="F10" s="60">
        <v>19862.5</v>
      </c>
      <c r="G10" s="69">
        <v>875</v>
      </c>
      <c r="H10" s="69" t="s">
        <v>169</v>
      </c>
      <c r="I10" s="69" t="s">
        <v>357</v>
      </c>
      <c r="J10" s="58">
        <v>45360</v>
      </c>
      <c r="K10" s="108" t="s">
        <v>481</v>
      </c>
      <c r="L10" s="114" t="s">
        <v>482</v>
      </c>
      <c r="M10" s="56" t="s">
        <v>746</v>
      </c>
      <c r="N10" s="58"/>
      <c r="O10" s="60">
        <v>19862.5</v>
      </c>
      <c r="P10" s="56"/>
      <c r="Q10" s="56"/>
      <c r="R10" s="56" t="s">
        <v>387</v>
      </c>
      <c r="S10" s="100">
        <v>42500</v>
      </c>
      <c r="T10" s="116">
        <f t="shared" ref="T10:T17" si="0" xml:space="preserve"> S10*(F10/1000)</f>
        <v>844156.25</v>
      </c>
    </row>
    <row r="11" spans="1:20" s="67" customFormat="1" ht="13.5" customHeight="1" x14ac:dyDescent="0.25">
      <c r="A11" s="69" t="s">
        <v>653</v>
      </c>
      <c r="B11" s="60" t="s">
        <v>669</v>
      </c>
      <c r="C11" s="60" t="s">
        <v>167</v>
      </c>
      <c r="D11" s="11" t="s">
        <v>295</v>
      </c>
      <c r="E11" s="59" t="s">
        <v>607</v>
      </c>
      <c r="F11" s="60">
        <v>19862.5</v>
      </c>
      <c r="G11" s="69">
        <v>875</v>
      </c>
      <c r="H11" s="69" t="s">
        <v>169</v>
      </c>
      <c r="I11" s="69" t="s">
        <v>357</v>
      </c>
      <c r="J11" s="58">
        <v>45360</v>
      </c>
      <c r="K11" s="108" t="s">
        <v>744</v>
      </c>
      <c r="L11" s="114" t="s">
        <v>745</v>
      </c>
      <c r="M11" s="56" t="s">
        <v>743</v>
      </c>
      <c r="N11" s="58"/>
      <c r="O11" s="60">
        <v>19862.5</v>
      </c>
      <c r="P11" s="56"/>
      <c r="Q11" s="56"/>
      <c r="R11" s="56" t="s">
        <v>387</v>
      </c>
      <c r="S11" s="100">
        <v>42500</v>
      </c>
      <c r="T11" s="116">
        <f t="shared" si="0"/>
        <v>844156.25</v>
      </c>
    </row>
    <row r="12" spans="1:20" s="67" customFormat="1" ht="13.5" customHeight="1" x14ac:dyDescent="0.25">
      <c r="A12" s="69" t="s">
        <v>224</v>
      </c>
      <c r="B12" s="60" t="s">
        <v>469</v>
      </c>
      <c r="C12" s="60" t="s">
        <v>658</v>
      </c>
      <c r="D12" s="98" t="s">
        <v>513</v>
      </c>
      <c r="E12" s="64" t="s">
        <v>659</v>
      </c>
      <c r="F12" s="97">
        <v>18720</v>
      </c>
      <c r="G12" s="69">
        <v>936</v>
      </c>
      <c r="H12" s="69" t="s">
        <v>391</v>
      </c>
      <c r="I12" s="69" t="s">
        <v>357</v>
      </c>
      <c r="J12" s="58">
        <v>45362</v>
      </c>
      <c r="K12" s="114" t="s">
        <v>758</v>
      </c>
      <c r="L12" s="107" t="s">
        <v>759</v>
      </c>
      <c r="M12" s="56" t="s">
        <v>757</v>
      </c>
      <c r="N12" s="107"/>
      <c r="O12" s="56"/>
      <c r="P12" s="60"/>
      <c r="Q12" s="97">
        <v>18720</v>
      </c>
      <c r="R12" s="56" t="s">
        <v>387</v>
      </c>
      <c r="S12" s="100">
        <v>105250</v>
      </c>
      <c r="T12" s="65">
        <f t="shared" si="0"/>
        <v>1970279.9999999998</v>
      </c>
    </row>
    <row r="13" spans="1:20" s="67" customFormat="1" ht="13.5" customHeight="1" x14ac:dyDescent="0.25">
      <c r="A13" s="69" t="s">
        <v>224</v>
      </c>
      <c r="B13" s="60" t="s">
        <v>755</v>
      </c>
      <c r="C13" s="60" t="s">
        <v>457</v>
      </c>
      <c r="D13" s="11" t="s">
        <v>174</v>
      </c>
      <c r="E13" s="59" t="s">
        <v>752</v>
      </c>
      <c r="F13" s="60">
        <v>17600</v>
      </c>
      <c r="G13" s="69">
        <v>88</v>
      </c>
      <c r="H13" s="69" t="s">
        <v>166</v>
      </c>
      <c r="I13" s="69" t="s">
        <v>357</v>
      </c>
      <c r="J13" s="58">
        <v>45362</v>
      </c>
      <c r="K13" s="108" t="s">
        <v>764</v>
      </c>
      <c r="L13" s="276" t="s">
        <v>783</v>
      </c>
      <c r="M13" s="56" t="s">
        <v>756</v>
      </c>
      <c r="N13" s="107"/>
      <c r="O13" s="56"/>
      <c r="P13" s="56"/>
      <c r="Q13" s="60">
        <v>17600</v>
      </c>
      <c r="R13" s="56" t="s">
        <v>387</v>
      </c>
      <c r="S13" s="156">
        <v>90000</v>
      </c>
      <c r="T13" s="116">
        <f t="shared" si="0"/>
        <v>1584000.0000000002</v>
      </c>
    </row>
    <row r="14" spans="1:20" s="280" customFormat="1" ht="15.75" customHeight="1" x14ac:dyDescent="0.25">
      <c r="A14" s="69" t="s">
        <v>749</v>
      </c>
      <c r="B14" s="69" t="s">
        <v>528</v>
      </c>
      <c r="C14" s="69" t="s">
        <v>750</v>
      </c>
      <c r="D14" s="300" t="s">
        <v>760</v>
      </c>
      <c r="E14" s="277" t="s">
        <v>554</v>
      </c>
      <c r="F14" s="98">
        <v>1710</v>
      </c>
      <c r="G14" s="69">
        <v>9</v>
      </c>
      <c r="H14" s="69" t="s">
        <v>789</v>
      </c>
      <c r="I14" s="69" t="s">
        <v>357</v>
      </c>
      <c r="J14" s="58">
        <v>45362</v>
      </c>
      <c r="K14" s="481" t="s">
        <v>790</v>
      </c>
      <c r="L14" s="482"/>
      <c r="M14" s="108"/>
      <c r="N14" s="107"/>
      <c r="O14" s="278"/>
      <c r="P14" s="69"/>
      <c r="Q14" s="98">
        <v>1710</v>
      </c>
      <c r="R14" s="278" t="s">
        <v>387</v>
      </c>
      <c r="S14" s="279">
        <v>345000</v>
      </c>
      <c r="T14" s="305">
        <f t="shared" si="0"/>
        <v>589950</v>
      </c>
    </row>
    <row r="15" spans="1:20" s="67" customFormat="1" ht="13.5" customHeight="1" x14ac:dyDescent="0.25">
      <c r="A15" s="69" t="s">
        <v>748</v>
      </c>
      <c r="B15" s="97" t="s">
        <v>466</v>
      </c>
      <c r="C15" s="97" t="s">
        <v>436</v>
      </c>
      <c r="D15" s="98" t="s">
        <v>316</v>
      </c>
      <c r="E15" s="59" t="s">
        <v>575</v>
      </c>
      <c r="F15" s="97">
        <v>20000</v>
      </c>
      <c r="G15" s="69">
        <v>1000</v>
      </c>
      <c r="H15" s="69" t="s">
        <v>467</v>
      </c>
      <c r="I15" s="69" t="s">
        <v>357</v>
      </c>
      <c r="J15" s="58">
        <v>45362</v>
      </c>
      <c r="K15" s="105" t="s">
        <v>754</v>
      </c>
      <c r="L15" s="123">
        <v>89526507974</v>
      </c>
      <c r="M15" s="105" t="s">
        <v>753</v>
      </c>
      <c r="N15" s="58"/>
      <c r="O15" s="56"/>
      <c r="P15" s="97">
        <v>20000</v>
      </c>
      <c r="Q15" s="56"/>
      <c r="R15" s="56" t="s">
        <v>387</v>
      </c>
      <c r="S15" s="100">
        <v>83000</v>
      </c>
      <c r="T15" s="116">
        <f t="shared" si="0"/>
        <v>1660000</v>
      </c>
    </row>
    <row r="16" spans="1:20" s="67" customFormat="1" ht="13.5" customHeight="1" x14ac:dyDescent="0.25">
      <c r="A16" s="69" t="s">
        <v>224</v>
      </c>
      <c r="B16" s="60" t="s">
        <v>755</v>
      </c>
      <c r="C16" s="60" t="s">
        <v>457</v>
      </c>
      <c r="D16" s="11" t="s">
        <v>174</v>
      </c>
      <c r="E16" s="59" t="s">
        <v>784</v>
      </c>
      <c r="F16" s="60">
        <v>17600</v>
      </c>
      <c r="G16" s="69">
        <v>88</v>
      </c>
      <c r="H16" s="69" t="s">
        <v>166</v>
      </c>
      <c r="I16" s="69" t="s">
        <v>357</v>
      </c>
      <c r="J16" s="58">
        <v>45363</v>
      </c>
      <c r="K16" s="108" t="s">
        <v>763</v>
      </c>
      <c r="L16" s="117">
        <v>89827203637</v>
      </c>
      <c r="M16" s="56" t="s">
        <v>761</v>
      </c>
      <c r="N16" s="107"/>
      <c r="O16" s="56"/>
      <c r="P16" s="56"/>
      <c r="Q16" s="60">
        <v>17600</v>
      </c>
      <c r="R16" s="56" t="s">
        <v>387</v>
      </c>
      <c r="S16" s="156">
        <v>90000</v>
      </c>
      <c r="T16" s="116">
        <f t="shared" si="0"/>
        <v>1584000.0000000002</v>
      </c>
    </row>
    <row r="17" spans="1:20" s="67" customFormat="1" ht="13.5" customHeight="1" x14ac:dyDescent="0.25">
      <c r="A17" s="69" t="s">
        <v>224</v>
      </c>
      <c r="B17" s="60" t="s">
        <v>669</v>
      </c>
      <c r="C17" s="60" t="s">
        <v>788</v>
      </c>
      <c r="D17" s="11" t="s">
        <v>295</v>
      </c>
      <c r="E17" s="59" t="s">
        <v>647</v>
      </c>
      <c r="F17" s="60">
        <v>19862.5</v>
      </c>
      <c r="G17" s="69">
        <v>875</v>
      </c>
      <c r="H17" s="69" t="s">
        <v>169</v>
      </c>
      <c r="I17" s="69" t="s">
        <v>357</v>
      </c>
      <c r="J17" s="58">
        <v>45363</v>
      </c>
      <c r="K17" s="108" t="s">
        <v>771</v>
      </c>
      <c r="L17" s="114" t="s">
        <v>772</v>
      </c>
      <c r="M17" s="56" t="s">
        <v>773</v>
      </c>
      <c r="N17" s="58"/>
      <c r="O17" s="60">
        <v>19862.5</v>
      </c>
      <c r="P17" s="56"/>
      <c r="Q17" s="56"/>
      <c r="R17" s="56" t="s">
        <v>387</v>
      </c>
      <c r="S17" s="100">
        <v>42500</v>
      </c>
      <c r="T17" s="116">
        <f t="shared" si="0"/>
        <v>844156.25</v>
      </c>
    </row>
    <row r="18" spans="1:20" s="167" customFormat="1" ht="13.5" customHeight="1" x14ac:dyDescent="0.25">
      <c r="A18" s="161" t="s">
        <v>770</v>
      </c>
      <c r="B18" s="157" t="s">
        <v>751</v>
      </c>
      <c r="C18" s="158" t="s">
        <v>265</v>
      </c>
      <c r="D18" s="159" t="s">
        <v>289</v>
      </c>
      <c r="E18" s="160" t="s">
        <v>374</v>
      </c>
      <c r="F18" s="158">
        <v>20000</v>
      </c>
      <c r="G18" s="161">
        <v>800</v>
      </c>
      <c r="H18" s="161" t="s">
        <v>169</v>
      </c>
      <c r="I18" s="161" t="s">
        <v>357</v>
      </c>
      <c r="J18" s="162">
        <v>45363</v>
      </c>
      <c r="K18" s="105" t="s">
        <v>765</v>
      </c>
      <c r="L18" s="123" t="s">
        <v>766</v>
      </c>
      <c r="M18" s="105" t="s">
        <v>762</v>
      </c>
      <c r="N18" s="162"/>
      <c r="O18" s="158">
        <v>20000</v>
      </c>
      <c r="P18" s="157"/>
      <c r="Q18" s="164"/>
      <c r="R18" s="164" t="s">
        <v>387</v>
      </c>
      <c r="S18" s="165">
        <v>41000</v>
      </c>
      <c r="T18" s="166">
        <f>S18*(F18/1000)</f>
        <v>820000</v>
      </c>
    </row>
    <row r="19" spans="1:20" s="167" customFormat="1" ht="13.5" customHeight="1" x14ac:dyDescent="0.25">
      <c r="A19" s="161" t="s">
        <v>640</v>
      </c>
      <c r="B19" s="157" t="s">
        <v>751</v>
      </c>
      <c r="C19" s="158" t="s">
        <v>818</v>
      </c>
      <c r="D19" s="159" t="s">
        <v>289</v>
      </c>
      <c r="E19" s="160" t="s">
        <v>374</v>
      </c>
      <c r="F19" s="158">
        <v>20000</v>
      </c>
      <c r="G19" s="161">
        <v>800</v>
      </c>
      <c r="H19" s="161" t="s">
        <v>169</v>
      </c>
      <c r="I19" s="161" t="s">
        <v>357</v>
      </c>
      <c r="J19" s="162">
        <v>45363</v>
      </c>
      <c r="K19" s="105" t="s">
        <v>767</v>
      </c>
      <c r="L19" s="123" t="s">
        <v>768</v>
      </c>
      <c r="M19" s="105" t="s">
        <v>769</v>
      </c>
      <c r="N19" s="162"/>
      <c r="O19" s="158">
        <v>20000</v>
      </c>
      <c r="P19" s="157"/>
      <c r="Q19" s="164"/>
      <c r="R19" s="164" t="s">
        <v>387</v>
      </c>
      <c r="S19" s="165">
        <v>41000</v>
      </c>
      <c r="T19" s="166">
        <f>S19*(F19/1000)</f>
        <v>820000</v>
      </c>
    </row>
    <row r="20" spans="1:20" s="67" customFormat="1" ht="13.5" customHeight="1" x14ac:dyDescent="0.25">
      <c r="A20" s="281" t="s">
        <v>779</v>
      </c>
      <c r="B20" s="60" t="s">
        <v>774</v>
      </c>
      <c r="C20" s="60" t="s">
        <v>775</v>
      </c>
      <c r="D20" s="11" t="s">
        <v>174</v>
      </c>
      <c r="E20" s="59" t="s">
        <v>785</v>
      </c>
      <c r="F20" s="60">
        <v>9000</v>
      </c>
      <c r="G20" s="69">
        <v>45</v>
      </c>
      <c r="H20" s="69" t="s">
        <v>563</v>
      </c>
      <c r="I20" s="69" t="s">
        <v>357</v>
      </c>
      <c r="J20" s="58">
        <v>45364</v>
      </c>
      <c r="K20" s="108" t="s">
        <v>780</v>
      </c>
      <c r="L20" s="114" t="s">
        <v>781</v>
      </c>
      <c r="M20" s="56" t="s">
        <v>782</v>
      </c>
      <c r="N20" s="107"/>
      <c r="O20" s="56"/>
      <c r="P20" s="56"/>
      <c r="Q20" s="60">
        <v>9000</v>
      </c>
      <c r="R20" s="56" t="s">
        <v>387</v>
      </c>
      <c r="S20" s="156">
        <v>87500</v>
      </c>
      <c r="T20" s="116">
        <f xml:space="preserve"> S20*(F20/1000)</f>
        <v>787500</v>
      </c>
    </row>
    <row r="21" spans="1:20" s="67" customFormat="1" ht="13.5" customHeight="1" x14ac:dyDescent="0.25">
      <c r="A21" s="281" t="s">
        <v>779</v>
      </c>
      <c r="B21" s="60" t="s">
        <v>774</v>
      </c>
      <c r="C21" s="60" t="s">
        <v>775</v>
      </c>
      <c r="D21" s="11" t="s">
        <v>174</v>
      </c>
      <c r="E21" s="59" t="s">
        <v>785</v>
      </c>
      <c r="F21" s="60">
        <v>600</v>
      </c>
      <c r="G21" s="69">
        <v>3</v>
      </c>
      <c r="H21" s="69" t="s">
        <v>563</v>
      </c>
      <c r="I21" s="69" t="s">
        <v>357</v>
      </c>
      <c r="J21" s="58">
        <v>45364</v>
      </c>
      <c r="K21" s="108" t="s">
        <v>780</v>
      </c>
      <c r="L21" s="114" t="s">
        <v>781</v>
      </c>
      <c r="M21" s="56" t="s">
        <v>782</v>
      </c>
      <c r="N21" s="107"/>
      <c r="O21" s="56"/>
      <c r="P21" s="56"/>
      <c r="Q21" s="60">
        <v>600</v>
      </c>
      <c r="R21" s="56" t="s">
        <v>387</v>
      </c>
      <c r="S21" s="156">
        <v>87500</v>
      </c>
      <c r="T21" s="116">
        <f xml:space="preserve"> S21*(F21/1000)</f>
        <v>52500</v>
      </c>
    </row>
    <row r="22" spans="1:20" s="67" customFormat="1" ht="14.25" customHeight="1" x14ac:dyDescent="0.25">
      <c r="A22" s="281" t="s">
        <v>779</v>
      </c>
      <c r="B22" s="60" t="s">
        <v>774</v>
      </c>
      <c r="C22" s="60" t="s">
        <v>775</v>
      </c>
      <c r="D22" s="11" t="s">
        <v>174</v>
      </c>
      <c r="E22" s="59" t="s">
        <v>785</v>
      </c>
      <c r="F22" s="60">
        <v>8000</v>
      </c>
      <c r="G22" s="69">
        <v>40</v>
      </c>
      <c r="H22" s="69" t="s">
        <v>563</v>
      </c>
      <c r="I22" s="69" t="s">
        <v>357</v>
      </c>
      <c r="J22" s="58">
        <v>45364</v>
      </c>
      <c r="K22" s="108" t="s">
        <v>780</v>
      </c>
      <c r="L22" s="114" t="s">
        <v>781</v>
      </c>
      <c r="M22" s="56" t="s">
        <v>782</v>
      </c>
      <c r="N22" s="107"/>
      <c r="O22" s="56"/>
      <c r="P22" s="56"/>
      <c r="Q22" s="60">
        <v>8000</v>
      </c>
      <c r="R22" s="56" t="s">
        <v>387</v>
      </c>
      <c r="S22" s="156">
        <v>87500</v>
      </c>
      <c r="T22" s="116">
        <f xml:space="preserve"> S22*(F22/1000)</f>
        <v>700000</v>
      </c>
    </row>
    <row r="23" spans="1:20" s="67" customFormat="1" x14ac:dyDescent="0.25">
      <c r="A23" s="281" t="s">
        <v>748</v>
      </c>
      <c r="B23" s="60" t="s">
        <v>787</v>
      </c>
      <c r="C23" s="60" t="s">
        <v>265</v>
      </c>
      <c r="D23" s="11" t="s">
        <v>286</v>
      </c>
      <c r="E23" s="59" t="s">
        <v>819</v>
      </c>
      <c r="F23" s="60">
        <v>10000</v>
      </c>
      <c r="G23" s="69">
        <v>400</v>
      </c>
      <c r="H23" s="69" t="s">
        <v>382</v>
      </c>
      <c r="I23" s="69" t="s">
        <v>357</v>
      </c>
      <c r="J23" s="58">
        <v>45365</v>
      </c>
      <c r="K23" s="108" t="s">
        <v>827</v>
      </c>
      <c r="L23" s="117" t="s">
        <v>841</v>
      </c>
      <c r="M23" s="56" t="s">
        <v>840</v>
      </c>
      <c r="N23" s="107"/>
      <c r="O23" s="56"/>
      <c r="P23" s="60">
        <v>10000</v>
      </c>
      <c r="Q23" s="56"/>
      <c r="R23" s="56" t="s">
        <v>387</v>
      </c>
      <c r="S23" s="100">
        <v>246500</v>
      </c>
      <c r="T23" s="116">
        <f xml:space="preserve"> S23*(F23/1000)</f>
        <v>2465000</v>
      </c>
    </row>
    <row r="24" spans="1:20" s="167" customFormat="1" ht="13.5" customHeight="1" x14ac:dyDescent="0.25">
      <c r="A24" s="281" t="s">
        <v>748</v>
      </c>
      <c r="B24" s="157" t="s">
        <v>787</v>
      </c>
      <c r="C24" s="158" t="s">
        <v>265</v>
      </c>
      <c r="D24" s="159" t="s">
        <v>289</v>
      </c>
      <c r="E24" s="160" t="s">
        <v>374</v>
      </c>
      <c r="F24" s="158">
        <v>10000</v>
      </c>
      <c r="G24" s="161">
        <v>400</v>
      </c>
      <c r="H24" s="69" t="s">
        <v>382</v>
      </c>
      <c r="I24" s="69" t="s">
        <v>357</v>
      </c>
      <c r="J24" s="58">
        <v>45365</v>
      </c>
      <c r="K24" s="108" t="s">
        <v>826</v>
      </c>
      <c r="L24" s="117" t="s">
        <v>841</v>
      </c>
      <c r="M24" s="56" t="s">
        <v>840</v>
      </c>
      <c r="N24" s="162"/>
      <c r="O24" s="158">
        <v>10000</v>
      </c>
      <c r="P24" s="157"/>
      <c r="Q24" s="164"/>
      <c r="R24" s="164" t="s">
        <v>387</v>
      </c>
      <c r="S24" s="165">
        <v>41000</v>
      </c>
      <c r="T24" s="166">
        <f>S24*(F24/1000)</f>
        <v>410000</v>
      </c>
    </row>
    <row r="25" spans="1:20" s="67" customFormat="1" ht="13.5" customHeight="1" x14ac:dyDescent="0.25">
      <c r="A25" s="285" t="s">
        <v>779</v>
      </c>
      <c r="B25" s="60" t="s">
        <v>774</v>
      </c>
      <c r="C25" s="60" t="s">
        <v>775</v>
      </c>
      <c r="D25" s="11" t="s">
        <v>174</v>
      </c>
      <c r="E25" s="59" t="s">
        <v>786</v>
      </c>
      <c r="F25" s="60">
        <v>17600</v>
      </c>
      <c r="G25" s="69">
        <v>88</v>
      </c>
      <c r="H25" s="69" t="s">
        <v>563</v>
      </c>
      <c r="I25" s="69" t="s">
        <v>357</v>
      </c>
      <c r="J25" s="58">
        <v>45366</v>
      </c>
      <c r="K25" s="108" t="s">
        <v>776</v>
      </c>
      <c r="L25" s="114" t="s">
        <v>777</v>
      </c>
      <c r="M25" s="56" t="s">
        <v>778</v>
      </c>
      <c r="N25" s="107"/>
      <c r="O25" s="56"/>
      <c r="P25" s="56"/>
      <c r="Q25" s="60">
        <v>17600</v>
      </c>
      <c r="R25" s="56" t="s">
        <v>387</v>
      </c>
      <c r="S25" s="156">
        <v>87500</v>
      </c>
      <c r="T25" s="116">
        <f t="shared" ref="T25:T65" si="1" xml:space="preserve"> S25*(F25/1000)</f>
        <v>1540000.0000000002</v>
      </c>
    </row>
    <row r="26" spans="1:20" s="67" customFormat="1" ht="13.5" customHeight="1" x14ac:dyDescent="0.25">
      <c r="A26" s="286" t="s">
        <v>748</v>
      </c>
      <c r="B26" s="97" t="s">
        <v>466</v>
      </c>
      <c r="C26" s="97" t="s">
        <v>436</v>
      </c>
      <c r="D26" s="98" t="s">
        <v>316</v>
      </c>
      <c r="E26" s="59" t="s">
        <v>607</v>
      </c>
      <c r="F26" s="97">
        <v>20000</v>
      </c>
      <c r="G26" s="69">
        <v>1000</v>
      </c>
      <c r="H26" s="69" t="s">
        <v>467</v>
      </c>
      <c r="I26" s="69" t="s">
        <v>357</v>
      </c>
      <c r="J26" s="58">
        <v>45366</v>
      </c>
      <c r="K26" s="105" t="s">
        <v>829</v>
      </c>
      <c r="L26" s="123">
        <v>89991263397</v>
      </c>
      <c r="M26" s="105" t="s">
        <v>828</v>
      </c>
      <c r="N26" s="58"/>
      <c r="O26" s="56"/>
      <c r="P26" s="97">
        <v>20000</v>
      </c>
      <c r="Q26" s="56"/>
      <c r="R26" s="56" t="s">
        <v>387</v>
      </c>
      <c r="S26" s="100">
        <v>83000</v>
      </c>
      <c r="T26" s="116">
        <f t="shared" si="1"/>
        <v>1660000</v>
      </c>
    </row>
    <row r="27" spans="1:20" s="67" customFormat="1" ht="13.5" customHeight="1" x14ac:dyDescent="0.25">
      <c r="A27" s="69" t="s">
        <v>770</v>
      </c>
      <c r="B27" s="60" t="s">
        <v>669</v>
      </c>
      <c r="C27" s="60" t="s">
        <v>167</v>
      </c>
      <c r="D27" s="11" t="s">
        <v>295</v>
      </c>
      <c r="E27" s="59" t="s">
        <v>649</v>
      </c>
      <c r="F27" s="60">
        <v>19862.5</v>
      </c>
      <c r="G27" s="69">
        <v>875</v>
      </c>
      <c r="H27" s="69" t="s">
        <v>169</v>
      </c>
      <c r="I27" s="69" t="s">
        <v>357</v>
      </c>
      <c r="J27" s="58">
        <v>45366</v>
      </c>
      <c r="K27" s="108" t="s">
        <v>268</v>
      </c>
      <c r="L27" s="114" t="s">
        <v>830</v>
      </c>
      <c r="M27" s="56" t="s">
        <v>439</v>
      </c>
      <c r="N27" s="58"/>
      <c r="O27" s="60">
        <v>19862.5</v>
      </c>
      <c r="P27" s="56"/>
      <c r="Q27" s="56"/>
      <c r="R27" s="56" t="s">
        <v>387</v>
      </c>
      <c r="S27" s="100">
        <v>42500</v>
      </c>
      <c r="T27" s="116">
        <f t="shared" si="1"/>
        <v>844156.25</v>
      </c>
    </row>
    <row r="28" spans="1:20" s="67" customFormat="1" ht="13.5" customHeight="1" x14ac:dyDescent="0.25">
      <c r="A28" s="285" t="s">
        <v>224</v>
      </c>
      <c r="B28" s="60" t="s">
        <v>821</v>
      </c>
      <c r="C28" s="60" t="s">
        <v>822</v>
      </c>
      <c r="D28" s="98" t="s">
        <v>277</v>
      </c>
      <c r="E28" s="64" t="s">
        <v>823</v>
      </c>
      <c r="F28" s="97">
        <v>12000</v>
      </c>
      <c r="G28" s="69">
        <v>480</v>
      </c>
      <c r="H28" s="69" t="s">
        <v>391</v>
      </c>
      <c r="I28" s="69" t="s">
        <v>357</v>
      </c>
      <c r="J28" s="58">
        <v>45366</v>
      </c>
      <c r="K28" s="108" t="s">
        <v>825</v>
      </c>
      <c r="L28" s="117">
        <v>89066548937</v>
      </c>
      <c r="M28" s="56" t="s">
        <v>824</v>
      </c>
      <c r="N28" s="107"/>
      <c r="O28" s="97">
        <v>12000</v>
      </c>
      <c r="P28" s="60"/>
      <c r="Q28" s="56"/>
      <c r="R28" s="56" t="s">
        <v>387</v>
      </c>
      <c r="S28" s="100">
        <v>45900</v>
      </c>
      <c r="T28" s="65">
        <f t="shared" si="1"/>
        <v>550800</v>
      </c>
    </row>
    <row r="29" spans="1:20" s="67" customFormat="1" ht="13.5" customHeight="1" x14ac:dyDescent="0.25">
      <c r="A29" s="285" t="s">
        <v>224</v>
      </c>
      <c r="B29" s="60" t="s">
        <v>821</v>
      </c>
      <c r="C29" s="60" t="s">
        <v>822</v>
      </c>
      <c r="D29" s="11" t="s">
        <v>173</v>
      </c>
      <c r="E29" s="59" t="s">
        <v>236</v>
      </c>
      <c r="F29" s="60">
        <v>2400</v>
      </c>
      <c r="G29" s="69">
        <v>12</v>
      </c>
      <c r="H29" s="69" t="s">
        <v>391</v>
      </c>
      <c r="I29" s="69" t="s">
        <v>357</v>
      </c>
      <c r="J29" s="58">
        <v>45366</v>
      </c>
      <c r="K29" s="108" t="s">
        <v>825</v>
      </c>
      <c r="L29" s="117">
        <v>89066548937</v>
      </c>
      <c r="M29" s="56" t="s">
        <v>824</v>
      </c>
      <c r="N29" s="107"/>
      <c r="O29" s="56"/>
      <c r="P29" s="56"/>
      <c r="Q29" s="60">
        <v>2400</v>
      </c>
      <c r="R29" s="56" t="s">
        <v>387</v>
      </c>
      <c r="S29" s="156">
        <v>89900</v>
      </c>
      <c r="T29" s="65">
        <f t="shared" si="1"/>
        <v>215760</v>
      </c>
    </row>
    <row r="30" spans="1:20" s="67" customFormat="1" ht="13.5" customHeight="1" x14ac:dyDescent="0.25">
      <c r="A30" s="285" t="s">
        <v>224</v>
      </c>
      <c r="B30" s="60" t="s">
        <v>821</v>
      </c>
      <c r="C30" s="60" t="s">
        <v>822</v>
      </c>
      <c r="D30" s="11" t="s">
        <v>173</v>
      </c>
      <c r="E30" s="59" t="s">
        <v>266</v>
      </c>
      <c r="F30" s="60">
        <v>4800</v>
      </c>
      <c r="G30" s="69">
        <v>24</v>
      </c>
      <c r="H30" s="69" t="s">
        <v>391</v>
      </c>
      <c r="I30" s="69" t="s">
        <v>357</v>
      </c>
      <c r="J30" s="58">
        <v>45366</v>
      </c>
      <c r="K30" s="108" t="s">
        <v>825</v>
      </c>
      <c r="L30" s="117">
        <v>89066548937</v>
      </c>
      <c r="M30" s="56" t="s">
        <v>824</v>
      </c>
      <c r="N30" s="107"/>
      <c r="O30" s="56"/>
      <c r="P30" s="56"/>
      <c r="Q30" s="60">
        <v>4800</v>
      </c>
      <c r="R30" s="56" t="s">
        <v>387</v>
      </c>
      <c r="S30" s="156">
        <v>89900</v>
      </c>
      <c r="T30" s="116">
        <f t="shared" si="1"/>
        <v>431520</v>
      </c>
    </row>
    <row r="31" spans="1:20" s="67" customFormat="1" ht="13.5" customHeight="1" x14ac:dyDescent="0.25">
      <c r="A31" s="285" t="s">
        <v>224</v>
      </c>
      <c r="B31" s="60" t="s">
        <v>821</v>
      </c>
      <c r="C31" s="60" t="s">
        <v>822</v>
      </c>
      <c r="D31" s="11" t="s">
        <v>173</v>
      </c>
      <c r="E31" s="59" t="s">
        <v>255</v>
      </c>
      <c r="F31" s="60">
        <v>800</v>
      </c>
      <c r="G31" s="69">
        <v>4</v>
      </c>
      <c r="H31" s="69" t="s">
        <v>391</v>
      </c>
      <c r="I31" s="69" t="s">
        <v>357</v>
      </c>
      <c r="J31" s="58">
        <v>45366</v>
      </c>
      <c r="K31" s="108" t="s">
        <v>825</v>
      </c>
      <c r="L31" s="117">
        <v>89066548937</v>
      </c>
      <c r="M31" s="56" t="s">
        <v>824</v>
      </c>
      <c r="N31" s="107"/>
      <c r="O31" s="56"/>
      <c r="P31" s="56"/>
      <c r="Q31" s="60">
        <v>800</v>
      </c>
      <c r="R31" s="56" t="s">
        <v>387</v>
      </c>
      <c r="S31" s="156">
        <v>89900</v>
      </c>
      <c r="T31" s="65">
        <f t="shared" si="1"/>
        <v>71920</v>
      </c>
    </row>
    <row r="32" spans="1:20" s="67" customFormat="1" ht="13.5" customHeight="1" x14ac:dyDescent="0.25">
      <c r="A32" s="285" t="s">
        <v>741</v>
      </c>
      <c r="B32" s="60" t="s">
        <v>183</v>
      </c>
      <c r="C32" s="60" t="s">
        <v>775</v>
      </c>
      <c r="D32" s="11" t="s">
        <v>204</v>
      </c>
      <c r="E32" s="59" t="s">
        <v>785</v>
      </c>
      <c r="F32" s="60">
        <v>12000</v>
      </c>
      <c r="G32" s="69">
        <v>60</v>
      </c>
      <c r="H32" s="69" t="s">
        <v>382</v>
      </c>
      <c r="I32" s="69" t="s">
        <v>357</v>
      </c>
      <c r="J32" s="58">
        <v>45368</v>
      </c>
      <c r="K32" s="108" t="s">
        <v>831</v>
      </c>
      <c r="L32" s="117">
        <v>89600155752</v>
      </c>
      <c r="M32" s="56" t="s">
        <v>504</v>
      </c>
      <c r="N32" s="107"/>
      <c r="O32" s="56"/>
      <c r="P32" s="56"/>
      <c r="Q32" s="60">
        <v>12000</v>
      </c>
      <c r="R32" s="56" t="s">
        <v>387</v>
      </c>
      <c r="S32" s="156">
        <v>125000</v>
      </c>
      <c r="T32" s="116">
        <f t="shared" si="1"/>
        <v>1500000</v>
      </c>
    </row>
    <row r="33" spans="1:20" s="67" customFormat="1" ht="13.5" customHeight="1" x14ac:dyDescent="0.25">
      <c r="A33" s="285" t="s">
        <v>741</v>
      </c>
      <c r="B33" s="60" t="s">
        <v>183</v>
      </c>
      <c r="C33" s="60" t="s">
        <v>775</v>
      </c>
      <c r="D33" s="11" t="s">
        <v>204</v>
      </c>
      <c r="E33" s="59" t="s">
        <v>785</v>
      </c>
      <c r="F33" s="60">
        <v>5600</v>
      </c>
      <c r="G33" s="69">
        <v>28</v>
      </c>
      <c r="H33" s="69" t="s">
        <v>382</v>
      </c>
      <c r="I33" s="69" t="s">
        <v>357</v>
      </c>
      <c r="J33" s="58">
        <v>45368</v>
      </c>
      <c r="K33" s="108" t="s">
        <v>831</v>
      </c>
      <c r="L33" s="117">
        <v>89600155752</v>
      </c>
      <c r="M33" s="56" t="s">
        <v>504</v>
      </c>
      <c r="N33" s="107"/>
      <c r="O33" s="56"/>
      <c r="P33" s="56"/>
      <c r="Q33" s="60">
        <v>5600</v>
      </c>
      <c r="R33" s="56" t="s">
        <v>387</v>
      </c>
      <c r="S33" s="156">
        <v>125000</v>
      </c>
      <c r="T33" s="116">
        <f t="shared" si="1"/>
        <v>700000</v>
      </c>
    </row>
    <row r="34" spans="1:20" s="67" customFormat="1" ht="13.5" customHeight="1" x14ac:dyDescent="0.25">
      <c r="A34" s="285" t="s">
        <v>832</v>
      </c>
      <c r="B34" s="60" t="s">
        <v>183</v>
      </c>
      <c r="C34" s="60" t="s">
        <v>775</v>
      </c>
      <c r="D34" s="11" t="s">
        <v>204</v>
      </c>
      <c r="E34" s="59" t="s">
        <v>785</v>
      </c>
      <c r="F34" s="60">
        <v>6400</v>
      </c>
      <c r="G34" s="69">
        <v>32</v>
      </c>
      <c r="H34" s="69" t="s">
        <v>382</v>
      </c>
      <c r="I34" s="69" t="s">
        <v>357</v>
      </c>
      <c r="J34" s="58">
        <v>45368</v>
      </c>
      <c r="K34" s="108" t="s">
        <v>834</v>
      </c>
      <c r="L34" s="114" t="s">
        <v>833</v>
      </c>
      <c r="M34" s="56" t="s">
        <v>671</v>
      </c>
      <c r="N34" s="107"/>
      <c r="O34" s="56"/>
      <c r="P34" s="56"/>
      <c r="Q34" s="60">
        <v>6400</v>
      </c>
      <c r="R34" s="56" t="s">
        <v>387</v>
      </c>
      <c r="S34" s="156">
        <v>125000</v>
      </c>
      <c r="T34" s="116">
        <f t="shared" si="1"/>
        <v>800000</v>
      </c>
    </row>
    <row r="35" spans="1:20" s="67" customFormat="1" ht="13.5" customHeight="1" x14ac:dyDescent="0.25">
      <c r="A35" s="285" t="s">
        <v>832</v>
      </c>
      <c r="B35" s="60" t="s">
        <v>183</v>
      </c>
      <c r="C35" s="60" t="s">
        <v>775</v>
      </c>
      <c r="D35" s="11" t="s">
        <v>204</v>
      </c>
      <c r="E35" s="59" t="s">
        <v>785</v>
      </c>
      <c r="F35" s="60">
        <v>11200</v>
      </c>
      <c r="G35" s="69">
        <v>56</v>
      </c>
      <c r="H35" s="69" t="s">
        <v>382</v>
      </c>
      <c r="I35" s="69" t="s">
        <v>357</v>
      </c>
      <c r="J35" s="58">
        <v>45368</v>
      </c>
      <c r="K35" s="108" t="s">
        <v>834</v>
      </c>
      <c r="L35" s="114" t="s">
        <v>833</v>
      </c>
      <c r="M35" s="56" t="s">
        <v>671</v>
      </c>
      <c r="N35" s="107"/>
      <c r="O35" s="56"/>
      <c r="P35" s="56"/>
      <c r="Q35" s="60">
        <v>11200</v>
      </c>
      <c r="R35" s="56" t="s">
        <v>387</v>
      </c>
      <c r="S35" s="156">
        <v>125000</v>
      </c>
      <c r="T35" s="116">
        <f t="shared" si="1"/>
        <v>1400000</v>
      </c>
    </row>
    <row r="36" spans="1:20" s="67" customFormat="1" ht="13.5" customHeight="1" x14ac:dyDescent="0.25">
      <c r="A36" s="464" t="s">
        <v>843</v>
      </c>
      <c r="B36" s="60" t="s">
        <v>183</v>
      </c>
      <c r="C36" s="60" t="s">
        <v>775</v>
      </c>
      <c r="D36" s="11" t="s">
        <v>204</v>
      </c>
      <c r="E36" s="59" t="s">
        <v>785</v>
      </c>
      <c r="F36" s="60">
        <v>14400</v>
      </c>
      <c r="G36" s="69">
        <v>72</v>
      </c>
      <c r="H36" s="69" t="s">
        <v>382</v>
      </c>
      <c r="I36" s="69" t="s">
        <v>357</v>
      </c>
      <c r="J36" s="58">
        <v>45370</v>
      </c>
      <c r="K36" s="108" t="s">
        <v>842</v>
      </c>
      <c r="L36" s="114"/>
      <c r="M36" s="56"/>
      <c r="N36" s="483" t="s">
        <v>871</v>
      </c>
      <c r="O36" s="56"/>
      <c r="P36" s="56"/>
      <c r="Q36" s="60">
        <v>14400</v>
      </c>
      <c r="R36" s="56" t="s">
        <v>387</v>
      </c>
      <c r="S36" s="156">
        <v>125000</v>
      </c>
      <c r="T36" s="116">
        <f t="shared" si="1"/>
        <v>1800000</v>
      </c>
    </row>
    <row r="37" spans="1:20" s="67" customFormat="1" ht="13.5" customHeight="1" x14ac:dyDescent="0.25">
      <c r="A37" s="465"/>
      <c r="B37" s="60" t="s">
        <v>183</v>
      </c>
      <c r="C37" s="60" t="s">
        <v>775</v>
      </c>
      <c r="D37" s="11" t="s">
        <v>204</v>
      </c>
      <c r="E37" s="59" t="s">
        <v>819</v>
      </c>
      <c r="F37" s="60">
        <v>1600</v>
      </c>
      <c r="G37" s="69">
        <v>8</v>
      </c>
      <c r="H37" s="69" t="s">
        <v>382</v>
      </c>
      <c r="I37" s="69" t="s">
        <v>357</v>
      </c>
      <c r="J37" s="58">
        <v>45370</v>
      </c>
      <c r="K37" s="108" t="s">
        <v>842</v>
      </c>
      <c r="L37" s="114"/>
      <c r="M37" s="56"/>
      <c r="N37" s="484"/>
      <c r="O37" s="56"/>
      <c r="P37" s="56"/>
      <c r="Q37" s="60">
        <v>1600</v>
      </c>
      <c r="R37" s="56" t="s">
        <v>387</v>
      </c>
      <c r="S37" s="156">
        <v>125000</v>
      </c>
      <c r="T37" s="116">
        <f t="shared" si="1"/>
        <v>200000</v>
      </c>
    </row>
    <row r="38" spans="1:20" s="67" customFormat="1" ht="13.5" customHeight="1" x14ac:dyDescent="0.25">
      <c r="A38" s="288" t="s">
        <v>843</v>
      </c>
      <c r="B38" s="60" t="s">
        <v>183</v>
      </c>
      <c r="C38" s="60" t="s">
        <v>775</v>
      </c>
      <c r="D38" s="11" t="s">
        <v>204</v>
      </c>
      <c r="E38" s="59" t="s">
        <v>819</v>
      </c>
      <c r="F38" s="60">
        <v>16000</v>
      </c>
      <c r="G38" s="69">
        <v>80</v>
      </c>
      <c r="H38" s="69" t="s">
        <v>382</v>
      </c>
      <c r="I38" s="69" t="s">
        <v>357</v>
      </c>
      <c r="J38" s="58">
        <v>45370</v>
      </c>
      <c r="K38" s="108" t="s">
        <v>842</v>
      </c>
      <c r="L38" s="114"/>
      <c r="M38" s="56"/>
      <c r="N38" s="107" t="s">
        <v>872</v>
      </c>
      <c r="O38" s="56"/>
      <c r="P38" s="56"/>
      <c r="Q38" s="60">
        <v>16000</v>
      </c>
      <c r="R38" s="56" t="s">
        <v>387</v>
      </c>
      <c r="S38" s="156">
        <v>125000</v>
      </c>
      <c r="T38" s="116">
        <f t="shared" si="1"/>
        <v>2000000</v>
      </c>
    </row>
    <row r="39" spans="1:20" s="67" customFormat="1" ht="13.5" customHeight="1" x14ac:dyDescent="0.25">
      <c r="A39" s="307" t="s">
        <v>748</v>
      </c>
      <c r="B39" s="60" t="s">
        <v>969</v>
      </c>
      <c r="C39" s="60" t="s">
        <v>165</v>
      </c>
      <c r="D39" s="98" t="s">
        <v>158</v>
      </c>
      <c r="E39" s="64" t="s">
        <v>836</v>
      </c>
      <c r="F39" s="97">
        <v>7000</v>
      </c>
      <c r="G39" s="69">
        <v>35</v>
      </c>
      <c r="H39" s="69" t="s">
        <v>406</v>
      </c>
      <c r="I39" s="69" t="s">
        <v>357</v>
      </c>
      <c r="J39" s="58">
        <v>45370</v>
      </c>
      <c r="K39" s="108" t="s">
        <v>847</v>
      </c>
      <c r="L39" s="117">
        <v>89323324877</v>
      </c>
      <c r="M39" s="56" t="s">
        <v>846</v>
      </c>
      <c r="N39" s="107"/>
      <c r="O39" s="56"/>
      <c r="P39" s="60"/>
      <c r="Q39" s="97">
        <v>7000</v>
      </c>
      <c r="R39" s="56" t="s">
        <v>387</v>
      </c>
      <c r="S39" s="100">
        <v>79000</v>
      </c>
      <c r="T39" s="116">
        <f t="shared" si="1"/>
        <v>553000</v>
      </c>
    </row>
    <row r="40" spans="1:20" s="67" customFormat="1" ht="13.5" customHeight="1" x14ac:dyDescent="0.25">
      <c r="A40" s="307" t="s">
        <v>748</v>
      </c>
      <c r="B40" s="60" t="s">
        <v>969</v>
      </c>
      <c r="C40" s="60" t="s">
        <v>165</v>
      </c>
      <c r="D40" s="98" t="s">
        <v>158</v>
      </c>
      <c r="E40" s="64" t="s">
        <v>838</v>
      </c>
      <c r="F40" s="97">
        <v>6800</v>
      </c>
      <c r="G40" s="69">
        <v>34</v>
      </c>
      <c r="H40" s="69" t="s">
        <v>406</v>
      </c>
      <c r="I40" s="69" t="s">
        <v>357</v>
      </c>
      <c r="J40" s="58">
        <v>45370</v>
      </c>
      <c r="K40" s="108" t="s">
        <v>847</v>
      </c>
      <c r="L40" s="117">
        <v>89323324877</v>
      </c>
      <c r="M40" s="56" t="s">
        <v>846</v>
      </c>
      <c r="N40" s="107"/>
      <c r="O40" s="56"/>
      <c r="P40" s="60"/>
      <c r="Q40" s="97">
        <v>6800</v>
      </c>
      <c r="R40" s="56" t="s">
        <v>387</v>
      </c>
      <c r="S40" s="100">
        <v>79000</v>
      </c>
      <c r="T40" s="116">
        <f t="shared" si="1"/>
        <v>537200</v>
      </c>
    </row>
    <row r="41" spans="1:20" s="67" customFormat="1" ht="13.5" customHeight="1" x14ac:dyDescent="0.25">
      <c r="A41" s="307" t="s">
        <v>748</v>
      </c>
      <c r="B41" s="60" t="s">
        <v>969</v>
      </c>
      <c r="C41" s="60" t="s">
        <v>165</v>
      </c>
      <c r="D41" s="98" t="s">
        <v>158</v>
      </c>
      <c r="E41" s="64" t="s">
        <v>839</v>
      </c>
      <c r="F41" s="97">
        <v>3200</v>
      </c>
      <c r="G41" s="69">
        <v>16</v>
      </c>
      <c r="H41" s="69" t="s">
        <v>406</v>
      </c>
      <c r="I41" s="69" t="s">
        <v>357</v>
      </c>
      <c r="J41" s="58">
        <v>45370</v>
      </c>
      <c r="K41" s="108" t="s">
        <v>847</v>
      </c>
      <c r="L41" s="117">
        <v>89323324877</v>
      </c>
      <c r="M41" s="56" t="s">
        <v>846</v>
      </c>
      <c r="N41" s="107"/>
      <c r="O41" s="56"/>
      <c r="P41" s="60"/>
      <c r="Q41" s="97">
        <v>3200</v>
      </c>
      <c r="R41" s="56" t="s">
        <v>387</v>
      </c>
      <c r="S41" s="100">
        <v>79000</v>
      </c>
      <c r="T41" s="116">
        <f t="shared" si="1"/>
        <v>252800</v>
      </c>
    </row>
    <row r="42" spans="1:20" s="67" customFormat="1" ht="13.5" customHeight="1" x14ac:dyDescent="0.25">
      <c r="A42" s="307" t="s">
        <v>748</v>
      </c>
      <c r="B42" s="60" t="s">
        <v>969</v>
      </c>
      <c r="C42" s="60" t="s">
        <v>165</v>
      </c>
      <c r="D42" s="98" t="s">
        <v>158</v>
      </c>
      <c r="E42" s="64" t="s">
        <v>815</v>
      </c>
      <c r="F42" s="97">
        <v>600</v>
      </c>
      <c r="G42" s="69">
        <v>3</v>
      </c>
      <c r="H42" s="69" t="s">
        <v>406</v>
      </c>
      <c r="I42" s="69" t="s">
        <v>357</v>
      </c>
      <c r="J42" s="58">
        <v>45370</v>
      </c>
      <c r="K42" s="108" t="s">
        <v>847</v>
      </c>
      <c r="L42" s="117">
        <v>89323324877</v>
      </c>
      <c r="M42" s="56" t="s">
        <v>846</v>
      </c>
      <c r="N42" s="107"/>
      <c r="O42" s="56"/>
      <c r="P42" s="60"/>
      <c r="Q42" s="97">
        <v>600</v>
      </c>
      <c r="R42" s="56" t="s">
        <v>387</v>
      </c>
      <c r="S42" s="100">
        <v>79000</v>
      </c>
      <c r="T42" s="116">
        <f t="shared" si="1"/>
        <v>47400</v>
      </c>
    </row>
    <row r="43" spans="1:20" s="67" customFormat="1" x14ac:dyDescent="0.25">
      <c r="A43" s="69"/>
      <c r="B43" s="60" t="s">
        <v>852</v>
      </c>
      <c r="C43" s="60" t="s">
        <v>171</v>
      </c>
      <c r="D43" s="11" t="s">
        <v>305</v>
      </c>
      <c r="E43" s="59" t="s">
        <v>785</v>
      </c>
      <c r="F43" s="60">
        <v>20000</v>
      </c>
      <c r="G43" s="69">
        <v>800</v>
      </c>
      <c r="H43" s="69"/>
      <c r="I43" s="69" t="s">
        <v>357</v>
      </c>
      <c r="J43" s="58">
        <v>45370</v>
      </c>
      <c r="K43" s="108" t="s">
        <v>848</v>
      </c>
      <c r="L43" s="117">
        <v>79228927161</v>
      </c>
      <c r="M43" s="66" t="s">
        <v>850</v>
      </c>
      <c r="N43" s="66"/>
      <c r="O43" s="60">
        <v>20000</v>
      </c>
      <c r="P43" s="56"/>
      <c r="Q43" s="56"/>
      <c r="R43" s="56" t="s">
        <v>387</v>
      </c>
      <c r="S43" s="100">
        <v>38000</v>
      </c>
      <c r="T43" s="65">
        <f t="shared" si="1"/>
        <v>760000</v>
      </c>
    </row>
    <row r="44" spans="1:20" s="67" customFormat="1" x14ac:dyDescent="0.25">
      <c r="A44" s="69"/>
      <c r="B44" s="60" t="s">
        <v>852</v>
      </c>
      <c r="C44" s="60" t="s">
        <v>171</v>
      </c>
      <c r="D44" s="11" t="s">
        <v>305</v>
      </c>
      <c r="E44" s="59" t="s">
        <v>786</v>
      </c>
      <c r="F44" s="60">
        <v>20000</v>
      </c>
      <c r="G44" s="69">
        <v>800</v>
      </c>
      <c r="H44" s="69"/>
      <c r="I44" s="69" t="s">
        <v>357</v>
      </c>
      <c r="J44" s="58">
        <v>45370</v>
      </c>
      <c r="K44" s="108" t="s">
        <v>849</v>
      </c>
      <c r="L44" s="117">
        <v>79228927161</v>
      </c>
      <c r="M44" s="66" t="s">
        <v>851</v>
      </c>
      <c r="N44" s="66"/>
      <c r="O44" s="60">
        <v>20000</v>
      </c>
      <c r="P44" s="56"/>
      <c r="Q44" s="56"/>
      <c r="R44" s="56" t="s">
        <v>387</v>
      </c>
      <c r="S44" s="100">
        <v>38000</v>
      </c>
      <c r="T44" s="65">
        <f t="shared" si="1"/>
        <v>760000</v>
      </c>
    </row>
    <row r="45" spans="1:20" s="67" customFormat="1" x14ac:dyDescent="0.25">
      <c r="A45" s="69"/>
      <c r="B45" s="60" t="s">
        <v>852</v>
      </c>
      <c r="C45" s="60" t="s">
        <v>171</v>
      </c>
      <c r="D45" s="11" t="s">
        <v>305</v>
      </c>
      <c r="E45" s="59" t="s">
        <v>836</v>
      </c>
      <c r="F45" s="60">
        <v>20000</v>
      </c>
      <c r="G45" s="69">
        <v>800</v>
      </c>
      <c r="H45" s="69"/>
      <c r="I45" s="69" t="s">
        <v>357</v>
      </c>
      <c r="J45" s="58">
        <v>45370</v>
      </c>
      <c r="K45" s="108" t="s">
        <v>911</v>
      </c>
      <c r="L45" s="117"/>
      <c r="M45" s="66" t="s">
        <v>912</v>
      </c>
      <c r="N45" s="66"/>
      <c r="O45" s="60">
        <v>20000</v>
      </c>
      <c r="P45" s="56"/>
      <c r="Q45" s="56"/>
      <c r="R45" s="56" t="s">
        <v>387</v>
      </c>
      <c r="S45" s="100">
        <v>38000</v>
      </c>
      <c r="T45" s="65">
        <f t="shared" si="1"/>
        <v>760000</v>
      </c>
    </row>
    <row r="46" spans="1:20" s="67" customFormat="1" ht="13.5" customHeight="1" x14ac:dyDescent="0.25">
      <c r="A46" s="288" t="s">
        <v>791</v>
      </c>
      <c r="B46" s="60" t="s">
        <v>469</v>
      </c>
      <c r="C46" s="60" t="s">
        <v>658</v>
      </c>
      <c r="D46" s="98" t="s">
        <v>513</v>
      </c>
      <c r="E46" s="64" t="s">
        <v>659</v>
      </c>
      <c r="F46" s="97">
        <v>15180</v>
      </c>
      <c r="G46" s="69">
        <v>759</v>
      </c>
      <c r="H46" s="69" t="s">
        <v>391</v>
      </c>
      <c r="I46" s="69" t="s">
        <v>357</v>
      </c>
      <c r="J46" s="58">
        <v>45371</v>
      </c>
      <c r="K46" s="114" t="s">
        <v>758</v>
      </c>
      <c r="L46" s="107" t="s">
        <v>844</v>
      </c>
      <c r="M46" s="56" t="s">
        <v>757</v>
      </c>
      <c r="N46" s="107"/>
      <c r="O46" s="56"/>
      <c r="P46" s="60"/>
      <c r="Q46" s="97">
        <v>15180</v>
      </c>
      <c r="R46" s="56" t="s">
        <v>387</v>
      </c>
      <c r="S46" s="100">
        <v>105250</v>
      </c>
      <c r="T46" s="65">
        <f t="shared" si="1"/>
        <v>1597695</v>
      </c>
    </row>
    <row r="47" spans="1:20" s="67" customFormat="1" ht="13.5" customHeight="1" x14ac:dyDescent="0.25">
      <c r="A47" s="69" t="s">
        <v>791</v>
      </c>
      <c r="B47" s="60" t="s">
        <v>469</v>
      </c>
      <c r="C47" s="60" t="s">
        <v>658</v>
      </c>
      <c r="D47" s="98" t="s">
        <v>513</v>
      </c>
      <c r="E47" s="64" t="s">
        <v>659</v>
      </c>
      <c r="F47" s="97"/>
      <c r="G47" s="69">
        <v>9</v>
      </c>
      <c r="H47" s="69" t="s">
        <v>391</v>
      </c>
      <c r="I47" s="69"/>
      <c r="J47" s="58">
        <v>45371</v>
      </c>
      <c r="K47" s="114" t="s">
        <v>758</v>
      </c>
      <c r="L47" s="107" t="s">
        <v>845</v>
      </c>
      <c r="M47" s="56" t="s">
        <v>757</v>
      </c>
      <c r="N47" s="114" t="s">
        <v>837</v>
      </c>
      <c r="O47" s="56"/>
      <c r="P47" s="60"/>
      <c r="Q47" s="56"/>
      <c r="R47" s="56" t="s">
        <v>387</v>
      </c>
      <c r="S47" s="100"/>
      <c r="T47" s="65">
        <f t="shared" si="1"/>
        <v>0</v>
      </c>
    </row>
    <row r="48" spans="1:20" s="67" customFormat="1" ht="13.5" customHeight="1" x14ac:dyDescent="0.25">
      <c r="A48" s="307" t="s">
        <v>748</v>
      </c>
      <c r="B48" s="60" t="s">
        <v>969</v>
      </c>
      <c r="C48" s="60" t="s">
        <v>165</v>
      </c>
      <c r="D48" s="98" t="s">
        <v>158</v>
      </c>
      <c r="E48" s="64" t="s">
        <v>839</v>
      </c>
      <c r="F48" s="97">
        <v>3400</v>
      </c>
      <c r="G48" s="69">
        <v>17</v>
      </c>
      <c r="H48" s="69" t="s">
        <v>406</v>
      </c>
      <c r="I48" s="69" t="s">
        <v>357</v>
      </c>
      <c r="J48" s="58">
        <v>45371</v>
      </c>
      <c r="K48" s="108" t="s">
        <v>864</v>
      </c>
      <c r="L48" s="117">
        <v>89920040504</v>
      </c>
      <c r="M48" s="56" t="s">
        <v>863</v>
      </c>
      <c r="N48" s="107"/>
      <c r="O48" s="56"/>
      <c r="P48" s="60"/>
      <c r="Q48" s="97">
        <v>3400</v>
      </c>
      <c r="R48" s="56" t="s">
        <v>387</v>
      </c>
      <c r="S48" s="100">
        <v>79000</v>
      </c>
      <c r="T48" s="65">
        <f t="shared" si="1"/>
        <v>268600</v>
      </c>
    </row>
    <row r="49" spans="1:20" s="67" customFormat="1" ht="13.5" customHeight="1" x14ac:dyDescent="0.25">
      <c r="A49" s="307" t="s">
        <v>748</v>
      </c>
      <c r="B49" s="60" t="s">
        <v>969</v>
      </c>
      <c r="C49" s="60" t="s">
        <v>165</v>
      </c>
      <c r="D49" s="98" t="s">
        <v>158</v>
      </c>
      <c r="E49" s="64" t="s">
        <v>862</v>
      </c>
      <c r="F49" s="97">
        <v>7000</v>
      </c>
      <c r="G49" s="69">
        <v>35</v>
      </c>
      <c r="H49" s="69" t="s">
        <v>406</v>
      </c>
      <c r="I49" s="69" t="s">
        <v>357</v>
      </c>
      <c r="J49" s="58">
        <v>45371</v>
      </c>
      <c r="K49" s="108" t="s">
        <v>864</v>
      </c>
      <c r="L49" s="117">
        <v>89920040504</v>
      </c>
      <c r="M49" s="56" t="s">
        <v>863</v>
      </c>
      <c r="N49" s="107"/>
      <c r="O49" s="56"/>
      <c r="P49" s="60"/>
      <c r="Q49" s="97">
        <v>7000</v>
      </c>
      <c r="R49" s="56" t="s">
        <v>387</v>
      </c>
      <c r="S49" s="100">
        <v>79000</v>
      </c>
      <c r="T49" s="65">
        <f t="shared" si="1"/>
        <v>553000</v>
      </c>
    </row>
    <row r="50" spans="1:20" s="67" customFormat="1" ht="13.5" customHeight="1" x14ac:dyDescent="0.25">
      <c r="A50" s="307" t="s">
        <v>748</v>
      </c>
      <c r="B50" s="60" t="s">
        <v>969</v>
      </c>
      <c r="C50" s="60" t="s">
        <v>165</v>
      </c>
      <c r="D50" s="98" t="s">
        <v>158</v>
      </c>
      <c r="E50" s="64" t="s">
        <v>861</v>
      </c>
      <c r="F50" s="97">
        <v>6400</v>
      </c>
      <c r="G50" s="69">
        <v>32</v>
      </c>
      <c r="H50" s="69" t="s">
        <v>406</v>
      </c>
      <c r="I50" s="69" t="s">
        <v>357</v>
      </c>
      <c r="J50" s="58">
        <v>45371</v>
      </c>
      <c r="K50" s="108" t="s">
        <v>864</v>
      </c>
      <c r="L50" s="117">
        <v>89920040504</v>
      </c>
      <c r="M50" s="56" t="s">
        <v>863</v>
      </c>
      <c r="N50" s="107"/>
      <c r="O50" s="56"/>
      <c r="P50" s="60"/>
      <c r="Q50" s="97">
        <v>6400</v>
      </c>
      <c r="R50" s="56" t="s">
        <v>387</v>
      </c>
      <c r="S50" s="100">
        <v>79000</v>
      </c>
      <c r="T50" s="65">
        <f t="shared" si="1"/>
        <v>505600</v>
      </c>
    </row>
    <row r="51" spans="1:20" s="67" customFormat="1" ht="13.5" customHeight="1" x14ac:dyDescent="0.25">
      <c r="A51" s="307" t="s">
        <v>748</v>
      </c>
      <c r="B51" s="60" t="s">
        <v>969</v>
      </c>
      <c r="C51" s="60" t="s">
        <v>165</v>
      </c>
      <c r="D51" s="98" t="s">
        <v>158</v>
      </c>
      <c r="E51" s="64" t="s">
        <v>875</v>
      </c>
      <c r="F51" s="97">
        <v>800</v>
      </c>
      <c r="G51" s="69">
        <v>4</v>
      </c>
      <c r="H51" s="69" t="s">
        <v>406</v>
      </c>
      <c r="I51" s="69" t="s">
        <v>357</v>
      </c>
      <c r="J51" s="58">
        <v>45371</v>
      </c>
      <c r="K51" s="108" t="s">
        <v>864</v>
      </c>
      <c r="L51" s="117">
        <v>89920040504</v>
      </c>
      <c r="M51" s="56" t="s">
        <v>863</v>
      </c>
      <c r="N51" s="107"/>
      <c r="O51" s="56"/>
      <c r="P51" s="60"/>
      <c r="Q51" s="97">
        <v>800</v>
      </c>
      <c r="R51" s="56" t="s">
        <v>387</v>
      </c>
      <c r="S51" s="100">
        <v>79000</v>
      </c>
      <c r="T51" s="65">
        <f t="shared" si="1"/>
        <v>63200</v>
      </c>
    </row>
    <row r="52" spans="1:20" s="67" customFormat="1" ht="13.5" customHeight="1" x14ac:dyDescent="0.25">
      <c r="A52" s="289" t="s">
        <v>869</v>
      </c>
      <c r="B52" s="97" t="s">
        <v>466</v>
      </c>
      <c r="C52" s="97" t="s">
        <v>436</v>
      </c>
      <c r="D52" s="98" t="s">
        <v>316</v>
      </c>
      <c r="E52" s="59" t="s">
        <v>649</v>
      </c>
      <c r="F52" s="97">
        <v>20000</v>
      </c>
      <c r="G52" s="69">
        <v>1000</v>
      </c>
      <c r="H52" s="69" t="s">
        <v>467</v>
      </c>
      <c r="I52" s="69" t="s">
        <v>357</v>
      </c>
      <c r="J52" s="58">
        <v>45371</v>
      </c>
      <c r="K52" s="105" t="s">
        <v>868</v>
      </c>
      <c r="L52" s="123">
        <v>89221131975</v>
      </c>
      <c r="M52" s="105" t="s">
        <v>870</v>
      </c>
      <c r="N52" s="58"/>
      <c r="O52" s="56"/>
      <c r="P52" s="97">
        <v>20000</v>
      </c>
      <c r="Q52" s="56"/>
      <c r="R52" s="56" t="s">
        <v>387</v>
      </c>
      <c r="S52" s="100">
        <v>83000</v>
      </c>
      <c r="T52" s="306">
        <f t="shared" si="1"/>
        <v>1660000</v>
      </c>
    </row>
    <row r="53" spans="1:20" s="67" customFormat="1" ht="13.5" customHeight="1" x14ac:dyDescent="0.25">
      <c r="A53" s="288" t="s">
        <v>640</v>
      </c>
      <c r="B53" s="60" t="s">
        <v>183</v>
      </c>
      <c r="C53" s="60" t="s">
        <v>775</v>
      </c>
      <c r="D53" s="11" t="s">
        <v>204</v>
      </c>
      <c r="E53" s="59" t="s">
        <v>819</v>
      </c>
      <c r="F53" s="60">
        <v>16800</v>
      </c>
      <c r="G53" s="69">
        <v>84</v>
      </c>
      <c r="H53" s="69" t="s">
        <v>382</v>
      </c>
      <c r="I53" s="69" t="s">
        <v>357</v>
      </c>
      <c r="J53" s="58">
        <v>45371</v>
      </c>
      <c r="K53" s="108" t="s">
        <v>865</v>
      </c>
      <c r="L53" s="114" t="s">
        <v>867</v>
      </c>
      <c r="M53" s="56" t="s">
        <v>866</v>
      </c>
      <c r="N53" s="107"/>
      <c r="O53" s="56"/>
      <c r="P53" s="56"/>
      <c r="Q53" s="60">
        <v>16800</v>
      </c>
      <c r="R53" s="56" t="s">
        <v>387</v>
      </c>
      <c r="S53" s="156">
        <v>125000</v>
      </c>
      <c r="T53" s="116">
        <f t="shared" si="1"/>
        <v>2100000</v>
      </c>
    </row>
    <row r="54" spans="1:20" s="67" customFormat="1" ht="13.5" customHeight="1" x14ac:dyDescent="0.25">
      <c r="A54" s="307" t="s">
        <v>873</v>
      </c>
      <c r="B54" s="60" t="s">
        <v>969</v>
      </c>
      <c r="C54" s="60" t="s">
        <v>165</v>
      </c>
      <c r="D54" s="98" t="s">
        <v>158</v>
      </c>
      <c r="E54" s="64" t="s">
        <v>875</v>
      </c>
      <c r="F54" s="97">
        <v>6200</v>
      </c>
      <c r="G54" s="69">
        <v>31</v>
      </c>
      <c r="H54" s="69" t="s">
        <v>406</v>
      </c>
      <c r="I54" s="69" t="s">
        <v>357</v>
      </c>
      <c r="J54" s="58">
        <v>45372</v>
      </c>
      <c r="K54" s="108" t="s">
        <v>527</v>
      </c>
      <c r="L54" s="117" t="s">
        <v>738</v>
      </c>
      <c r="M54" s="56" t="s">
        <v>874</v>
      </c>
      <c r="N54" s="107"/>
      <c r="O54" s="56"/>
      <c r="P54" s="60"/>
      <c r="Q54" s="97">
        <v>6200</v>
      </c>
      <c r="R54" s="56" t="s">
        <v>387</v>
      </c>
      <c r="S54" s="100">
        <v>79000</v>
      </c>
      <c r="T54" s="116">
        <f t="shared" si="1"/>
        <v>489800</v>
      </c>
    </row>
    <row r="55" spans="1:20" s="67" customFormat="1" ht="13.5" customHeight="1" x14ac:dyDescent="0.25">
      <c r="A55" s="307" t="s">
        <v>873</v>
      </c>
      <c r="B55" s="60" t="s">
        <v>969</v>
      </c>
      <c r="C55" s="60" t="s">
        <v>165</v>
      </c>
      <c r="D55" s="98" t="s">
        <v>158</v>
      </c>
      <c r="E55" s="64" t="s">
        <v>877</v>
      </c>
      <c r="F55" s="97">
        <v>6600</v>
      </c>
      <c r="G55" s="69">
        <v>33</v>
      </c>
      <c r="H55" s="69" t="s">
        <v>406</v>
      </c>
      <c r="I55" s="69" t="s">
        <v>357</v>
      </c>
      <c r="J55" s="58">
        <v>45372</v>
      </c>
      <c r="K55" s="108" t="s">
        <v>527</v>
      </c>
      <c r="L55" s="117" t="s">
        <v>738</v>
      </c>
      <c r="M55" s="56" t="s">
        <v>874</v>
      </c>
      <c r="N55" s="107"/>
      <c r="O55" s="56"/>
      <c r="P55" s="60"/>
      <c r="Q55" s="97">
        <v>6600</v>
      </c>
      <c r="R55" s="56" t="s">
        <v>387</v>
      </c>
      <c r="S55" s="100">
        <v>79000</v>
      </c>
      <c r="T55" s="116">
        <f t="shared" si="1"/>
        <v>521400</v>
      </c>
    </row>
    <row r="56" spans="1:20" s="67" customFormat="1" ht="13.5" customHeight="1" x14ac:dyDescent="0.25">
      <c r="A56" s="307" t="s">
        <v>873</v>
      </c>
      <c r="B56" s="60" t="s">
        <v>969</v>
      </c>
      <c r="C56" s="60" t="s">
        <v>165</v>
      </c>
      <c r="D56" s="98" t="s">
        <v>158</v>
      </c>
      <c r="E56" s="64" t="s">
        <v>740</v>
      </c>
      <c r="F56" s="97">
        <v>4800</v>
      </c>
      <c r="G56" s="69">
        <v>24</v>
      </c>
      <c r="H56" s="69" t="s">
        <v>406</v>
      </c>
      <c r="I56" s="69" t="s">
        <v>357</v>
      </c>
      <c r="J56" s="58">
        <v>45372</v>
      </c>
      <c r="K56" s="108" t="s">
        <v>527</v>
      </c>
      <c r="L56" s="117" t="s">
        <v>738</v>
      </c>
      <c r="M56" s="56" t="s">
        <v>874</v>
      </c>
      <c r="N56" s="107"/>
      <c r="O56" s="56"/>
      <c r="P56" s="60"/>
      <c r="Q56" s="97">
        <v>4800</v>
      </c>
      <c r="R56" s="56" t="s">
        <v>387</v>
      </c>
      <c r="S56" s="100">
        <v>79000</v>
      </c>
      <c r="T56" s="116">
        <f t="shared" si="1"/>
        <v>379200</v>
      </c>
    </row>
    <row r="57" spans="1:20" s="67" customFormat="1" ht="13.5" customHeight="1" x14ac:dyDescent="0.25">
      <c r="A57" s="292" t="s">
        <v>640</v>
      </c>
      <c r="B57" s="60" t="s">
        <v>656</v>
      </c>
      <c r="C57" s="60" t="s">
        <v>657</v>
      </c>
      <c r="D57" s="98" t="s">
        <v>342</v>
      </c>
      <c r="E57" s="64" t="s">
        <v>895</v>
      </c>
      <c r="F57" s="97">
        <v>720</v>
      </c>
      <c r="G57" s="69">
        <v>4</v>
      </c>
      <c r="H57" s="69" t="s">
        <v>655</v>
      </c>
      <c r="I57" s="69" t="s">
        <v>357</v>
      </c>
      <c r="J57" s="58">
        <v>45373</v>
      </c>
      <c r="K57" s="108" t="s">
        <v>889</v>
      </c>
      <c r="L57" s="119">
        <v>89275048980</v>
      </c>
      <c r="M57" s="56" t="s">
        <v>890</v>
      </c>
      <c r="N57" s="107"/>
      <c r="O57" s="56"/>
      <c r="P57" s="60"/>
      <c r="Q57" s="97">
        <v>720</v>
      </c>
      <c r="R57" s="56" t="s">
        <v>387</v>
      </c>
      <c r="S57" s="100">
        <v>340000</v>
      </c>
      <c r="T57" s="65">
        <f t="shared" si="1"/>
        <v>244800</v>
      </c>
    </row>
    <row r="58" spans="1:20" s="67" customFormat="1" ht="13.5" customHeight="1" x14ac:dyDescent="0.25">
      <c r="A58" s="292" t="s">
        <v>640</v>
      </c>
      <c r="B58" s="60" t="s">
        <v>656</v>
      </c>
      <c r="C58" s="60" t="s">
        <v>657</v>
      </c>
      <c r="D58" s="11" t="s">
        <v>173</v>
      </c>
      <c r="E58" s="64" t="s">
        <v>895</v>
      </c>
      <c r="F58" s="60">
        <v>800</v>
      </c>
      <c r="G58" s="69">
        <v>4</v>
      </c>
      <c r="H58" s="69" t="s">
        <v>655</v>
      </c>
      <c r="I58" s="69" t="s">
        <v>357</v>
      </c>
      <c r="J58" s="58">
        <v>45373</v>
      </c>
      <c r="K58" s="108" t="s">
        <v>889</v>
      </c>
      <c r="L58" s="119">
        <v>89275048980</v>
      </c>
      <c r="M58" s="56" t="s">
        <v>890</v>
      </c>
      <c r="N58" s="107"/>
      <c r="O58" s="56"/>
      <c r="P58" s="56"/>
      <c r="Q58" s="60">
        <v>800</v>
      </c>
      <c r="R58" s="56" t="s">
        <v>387</v>
      </c>
      <c r="S58" s="100">
        <v>87500</v>
      </c>
      <c r="T58" s="65">
        <f t="shared" si="1"/>
        <v>70000</v>
      </c>
    </row>
    <row r="59" spans="1:20" s="67" customFormat="1" ht="14.25" customHeight="1" x14ac:dyDescent="0.25">
      <c r="A59" s="292" t="s">
        <v>640</v>
      </c>
      <c r="B59" s="60" t="s">
        <v>656</v>
      </c>
      <c r="C59" s="60" t="s">
        <v>657</v>
      </c>
      <c r="D59" s="11" t="s">
        <v>298</v>
      </c>
      <c r="E59" s="64" t="s">
        <v>895</v>
      </c>
      <c r="F59" s="60">
        <v>2880</v>
      </c>
      <c r="G59" s="69">
        <v>160</v>
      </c>
      <c r="H59" s="69" t="s">
        <v>655</v>
      </c>
      <c r="I59" s="69" t="s">
        <v>357</v>
      </c>
      <c r="J59" s="58">
        <v>45373</v>
      </c>
      <c r="K59" s="108" t="s">
        <v>889</v>
      </c>
      <c r="L59" s="119">
        <v>89275048980</v>
      </c>
      <c r="M59" s="56" t="s">
        <v>890</v>
      </c>
      <c r="N59" s="66"/>
      <c r="O59" s="56"/>
      <c r="P59" s="60">
        <v>2880</v>
      </c>
      <c r="Q59" s="56"/>
      <c r="R59" s="56" t="s">
        <v>387</v>
      </c>
      <c r="S59" s="100">
        <v>205000</v>
      </c>
      <c r="T59" s="65">
        <f t="shared" si="1"/>
        <v>590400</v>
      </c>
    </row>
    <row r="60" spans="1:20" s="67" customFormat="1" ht="14.25" customHeight="1" x14ac:dyDescent="0.25">
      <c r="A60" s="292" t="s">
        <v>640</v>
      </c>
      <c r="B60" s="60" t="s">
        <v>656</v>
      </c>
      <c r="C60" s="60" t="s">
        <v>657</v>
      </c>
      <c r="D60" s="11" t="s">
        <v>203</v>
      </c>
      <c r="E60" s="59" t="s">
        <v>677</v>
      </c>
      <c r="F60" s="60">
        <v>2880</v>
      </c>
      <c r="G60" s="69">
        <v>16</v>
      </c>
      <c r="H60" s="69" t="s">
        <v>655</v>
      </c>
      <c r="I60" s="69" t="s">
        <v>357</v>
      </c>
      <c r="J60" s="58">
        <v>45373</v>
      </c>
      <c r="K60" s="108" t="s">
        <v>889</v>
      </c>
      <c r="L60" s="119">
        <v>89275048980</v>
      </c>
      <c r="M60" s="56" t="s">
        <v>890</v>
      </c>
      <c r="N60" s="66"/>
      <c r="O60" s="56"/>
      <c r="P60" s="60"/>
      <c r="Q60" s="60">
        <v>2880</v>
      </c>
      <c r="R60" s="56" t="s">
        <v>387</v>
      </c>
      <c r="S60" s="100">
        <v>99000</v>
      </c>
      <c r="T60" s="65">
        <f t="shared" si="1"/>
        <v>285120</v>
      </c>
    </row>
    <row r="61" spans="1:20" s="67" customFormat="1" ht="14.25" customHeight="1" x14ac:dyDescent="0.25">
      <c r="A61" s="292" t="s">
        <v>640</v>
      </c>
      <c r="B61" s="60" t="s">
        <v>656</v>
      </c>
      <c r="C61" s="60" t="s">
        <v>657</v>
      </c>
      <c r="D61" s="11" t="s">
        <v>887</v>
      </c>
      <c r="E61" s="59" t="s">
        <v>888</v>
      </c>
      <c r="F61" s="60">
        <v>3040</v>
      </c>
      <c r="G61" s="69">
        <v>16</v>
      </c>
      <c r="H61" s="69" t="s">
        <v>655</v>
      </c>
      <c r="I61" s="69" t="s">
        <v>357</v>
      </c>
      <c r="J61" s="58">
        <v>45373</v>
      </c>
      <c r="K61" s="108" t="s">
        <v>889</v>
      </c>
      <c r="L61" s="119">
        <v>89275048980</v>
      </c>
      <c r="M61" s="56" t="s">
        <v>890</v>
      </c>
      <c r="N61" s="66"/>
      <c r="O61" s="56"/>
      <c r="P61" s="60"/>
      <c r="Q61" s="60">
        <v>3040</v>
      </c>
      <c r="R61" s="56" t="s">
        <v>387</v>
      </c>
      <c r="S61" s="100">
        <v>148000</v>
      </c>
      <c r="T61" s="65">
        <f t="shared" si="1"/>
        <v>449920</v>
      </c>
    </row>
    <row r="62" spans="1:20" s="67" customFormat="1" ht="14.25" customHeight="1" x14ac:dyDescent="0.25">
      <c r="A62" s="292" t="s">
        <v>640</v>
      </c>
      <c r="B62" s="60" t="s">
        <v>656</v>
      </c>
      <c r="C62" s="60" t="s">
        <v>657</v>
      </c>
      <c r="D62" s="11" t="s">
        <v>201</v>
      </c>
      <c r="E62" s="59" t="s">
        <v>888</v>
      </c>
      <c r="F62" s="60">
        <v>5320</v>
      </c>
      <c r="G62" s="69">
        <v>28</v>
      </c>
      <c r="H62" s="69" t="s">
        <v>655</v>
      </c>
      <c r="I62" s="69" t="s">
        <v>357</v>
      </c>
      <c r="J62" s="58">
        <v>45373</v>
      </c>
      <c r="K62" s="108" t="s">
        <v>889</v>
      </c>
      <c r="L62" s="119">
        <v>89275048980</v>
      </c>
      <c r="M62" s="56" t="s">
        <v>890</v>
      </c>
      <c r="N62" s="66"/>
      <c r="O62" s="56"/>
      <c r="P62" s="60"/>
      <c r="Q62" s="60">
        <v>5320</v>
      </c>
      <c r="R62" s="56" t="s">
        <v>387</v>
      </c>
      <c r="S62" s="100">
        <v>123000</v>
      </c>
      <c r="T62" s="65">
        <f t="shared" si="1"/>
        <v>654360</v>
      </c>
    </row>
    <row r="63" spans="1:20" s="67" customFormat="1" ht="13.5" customHeight="1" x14ac:dyDescent="0.25">
      <c r="A63" s="69" t="s">
        <v>835</v>
      </c>
      <c r="B63" s="60" t="s">
        <v>469</v>
      </c>
      <c r="C63" s="60" t="s">
        <v>540</v>
      </c>
      <c r="D63" s="11" t="s">
        <v>158</v>
      </c>
      <c r="E63" s="59" t="s">
        <v>816</v>
      </c>
      <c r="F63" s="60">
        <v>6400</v>
      </c>
      <c r="G63" s="69">
        <v>32</v>
      </c>
      <c r="H63" s="69" t="s">
        <v>541</v>
      </c>
      <c r="I63" s="69" t="s">
        <v>357</v>
      </c>
      <c r="J63" s="58">
        <v>45377</v>
      </c>
      <c r="K63" s="108" t="s">
        <v>892</v>
      </c>
      <c r="L63" s="118" t="s">
        <v>891</v>
      </c>
      <c r="M63" s="66" t="s">
        <v>624</v>
      </c>
      <c r="N63" s="107"/>
      <c r="O63" s="56"/>
      <c r="P63" s="56"/>
      <c r="Q63" s="60">
        <v>6400</v>
      </c>
      <c r="R63" s="56" t="s">
        <v>387</v>
      </c>
      <c r="S63" s="100">
        <v>69000</v>
      </c>
      <c r="T63" s="65">
        <f t="shared" si="1"/>
        <v>441600</v>
      </c>
    </row>
    <row r="64" spans="1:20" s="67" customFormat="1" ht="13.5" customHeight="1" x14ac:dyDescent="0.25">
      <c r="A64" s="69" t="s">
        <v>835</v>
      </c>
      <c r="B64" s="60" t="s">
        <v>469</v>
      </c>
      <c r="C64" s="60" t="s">
        <v>540</v>
      </c>
      <c r="D64" s="11" t="s">
        <v>158</v>
      </c>
      <c r="E64" s="59" t="s">
        <v>815</v>
      </c>
      <c r="F64" s="60">
        <v>6400</v>
      </c>
      <c r="G64" s="69">
        <v>32</v>
      </c>
      <c r="H64" s="69" t="s">
        <v>541</v>
      </c>
      <c r="I64" s="69" t="s">
        <v>357</v>
      </c>
      <c r="J64" s="58">
        <v>45377</v>
      </c>
      <c r="K64" s="108" t="s">
        <v>892</v>
      </c>
      <c r="L64" s="118" t="s">
        <v>891</v>
      </c>
      <c r="M64" s="66" t="s">
        <v>624</v>
      </c>
      <c r="N64" s="107"/>
      <c r="O64" s="56"/>
      <c r="P64" s="56"/>
      <c r="Q64" s="60">
        <v>6400</v>
      </c>
      <c r="R64" s="56" t="s">
        <v>387</v>
      </c>
      <c r="S64" s="100">
        <v>69000</v>
      </c>
      <c r="T64" s="65">
        <f t="shared" si="1"/>
        <v>441600</v>
      </c>
    </row>
    <row r="65" spans="1:20" s="67" customFormat="1" ht="13.5" customHeight="1" x14ac:dyDescent="0.25">
      <c r="A65" s="69" t="s">
        <v>835</v>
      </c>
      <c r="B65" s="60" t="s">
        <v>469</v>
      </c>
      <c r="C65" s="60" t="s">
        <v>540</v>
      </c>
      <c r="D65" s="11" t="s">
        <v>158</v>
      </c>
      <c r="E65" s="59" t="s">
        <v>898</v>
      </c>
      <c r="F65" s="60">
        <v>4800</v>
      </c>
      <c r="G65" s="69">
        <v>24</v>
      </c>
      <c r="H65" s="69" t="s">
        <v>541</v>
      </c>
      <c r="I65" s="69" t="s">
        <v>357</v>
      </c>
      <c r="J65" s="58">
        <v>45377</v>
      </c>
      <c r="K65" s="108" t="s">
        <v>892</v>
      </c>
      <c r="L65" s="118" t="s">
        <v>891</v>
      </c>
      <c r="M65" s="66" t="s">
        <v>624</v>
      </c>
      <c r="N65" s="107"/>
      <c r="O65" s="56"/>
      <c r="P65" s="56"/>
      <c r="Q65" s="60">
        <v>4800</v>
      </c>
      <c r="R65" s="56" t="s">
        <v>387</v>
      </c>
      <c r="S65" s="100">
        <v>69000</v>
      </c>
      <c r="T65" s="65">
        <f t="shared" si="1"/>
        <v>331200</v>
      </c>
    </row>
    <row r="66" spans="1:20" s="167" customFormat="1" ht="13.5" customHeight="1" x14ac:dyDescent="0.25">
      <c r="A66" s="297" t="s">
        <v>832</v>
      </c>
      <c r="B66" s="157" t="s">
        <v>893</v>
      </c>
      <c r="C66" s="158" t="s">
        <v>265</v>
      </c>
      <c r="D66" s="159" t="s">
        <v>289</v>
      </c>
      <c r="E66" s="160" t="s">
        <v>374</v>
      </c>
      <c r="F66" s="158">
        <v>20000</v>
      </c>
      <c r="G66" s="161">
        <v>800</v>
      </c>
      <c r="H66" s="69" t="s">
        <v>169</v>
      </c>
      <c r="I66" s="69" t="s">
        <v>357</v>
      </c>
      <c r="J66" s="58">
        <v>45377</v>
      </c>
      <c r="K66" s="108" t="s">
        <v>903</v>
      </c>
      <c r="L66" s="117" t="s">
        <v>902</v>
      </c>
      <c r="M66" s="56" t="s">
        <v>901</v>
      </c>
      <c r="N66" s="162"/>
      <c r="O66" s="158">
        <v>20000</v>
      </c>
      <c r="P66" s="157"/>
      <c r="Q66" s="164"/>
      <c r="R66" s="164" t="s">
        <v>387</v>
      </c>
      <c r="S66" s="165">
        <v>41000</v>
      </c>
      <c r="T66" s="166">
        <f>S66*(F66/1000)</f>
        <v>820000</v>
      </c>
    </row>
    <row r="67" spans="1:20" s="167" customFormat="1" ht="13.5" customHeight="1" x14ac:dyDescent="0.25">
      <c r="A67" s="303" t="s">
        <v>941</v>
      </c>
      <c r="B67" s="157" t="s">
        <v>942</v>
      </c>
      <c r="C67" s="158" t="s">
        <v>943</v>
      </c>
      <c r="D67" s="98" t="s">
        <v>277</v>
      </c>
      <c r="E67" s="160" t="s">
        <v>944</v>
      </c>
      <c r="F67" s="158">
        <v>25</v>
      </c>
      <c r="G67" s="161">
        <v>1</v>
      </c>
      <c r="H67" s="69" t="s">
        <v>391</v>
      </c>
      <c r="I67" s="69" t="s">
        <v>357</v>
      </c>
      <c r="J67" s="58">
        <v>45377</v>
      </c>
      <c r="K67" s="479" t="s">
        <v>945</v>
      </c>
      <c r="L67" s="480"/>
      <c r="M67" s="56"/>
      <c r="N67" s="162"/>
      <c r="O67" s="158">
        <v>25</v>
      </c>
      <c r="P67" s="157"/>
      <c r="Q67" s="164"/>
      <c r="R67" s="164" t="s">
        <v>387</v>
      </c>
      <c r="S67" s="165"/>
      <c r="T67" s="166"/>
    </row>
    <row r="68" spans="1:20" s="167" customFormat="1" ht="13.5" customHeight="1" x14ac:dyDescent="0.25">
      <c r="A68" s="301" t="s">
        <v>640</v>
      </c>
      <c r="B68" s="157" t="s">
        <v>893</v>
      </c>
      <c r="C68" s="158" t="s">
        <v>265</v>
      </c>
      <c r="D68" s="159" t="s">
        <v>289</v>
      </c>
      <c r="E68" s="160" t="s">
        <v>374</v>
      </c>
      <c r="F68" s="158">
        <v>20000</v>
      </c>
      <c r="G68" s="161">
        <v>800</v>
      </c>
      <c r="H68" s="69" t="s">
        <v>169</v>
      </c>
      <c r="I68" s="69" t="s">
        <v>357</v>
      </c>
      <c r="J68" s="58">
        <v>45379</v>
      </c>
      <c r="K68" s="108" t="s">
        <v>905</v>
      </c>
      <c r="L68" s="117">
        <v>89227124785</v>
      </c>
      <c r="M68" s="56" t="s">
        <v>906</v>
      </c>
      <c r="N68" s="162"/>
      <c r="O68" s="158">
        <v>20000</v>
      </c>
      <c r="P68" s="157"/>
      <c r="Q68" s="164"/>
      <c r="R68" s="164" t="s">
        <v>387</v>
      </c>
      <c r="S68" s="165">
        <v>41000</v>
      </c>
      <c r="T68" s="166">
        <f>S68*(F68/1000)</f>
        <v>820000</v>
      </c>
    </row>
    <row r="69" spans="1:20" s="67" customFormat="1" ht="13.5" customHeight="1" x14ac:dyDescent="0.25">
      <c r="A69" s="301" t="s">
        <v>640</v>
      </c>
      <c r="B69" s="60" t="s">
        <v>411</v>
      </c>
      <c r="C69" s="60" t="s">
        <v>168</v>
      </c>
      <c r="D69" s="98" t="s">
        <v>621</v>
      </c>
      <c r="E69" s="64" t="s">
        <v>900</v>
      </c>
      <c r="F69" s="97">
        <v>15840</v>
      </c>
      <c r="G69" s="69">
        <v>88</v>
      </c>
      <c r="H69" s="69" t="s">
        <v>169</v>
      </c>
      <c r="I69" s="69" t="s">
        <v>357</v>
      </c>
      <c r="J69" s="58">
        <v>45379</v>
      </c>
      <c r="K69" s="108" t="s">
        <v>908</v>
      </c>
      <c r="L69" s="117">
        <v>89222151396</v>
      </c>
      <c r="M69" s="56" t="s">
        <v>907</v>
      </c>
      <c r="N69" s="107"/>
      <c r="O69" s="56"/>
      <c r="P69" s="60"/>
      <c r="Q69" s="97">
        <v>15840</v>
      </c>
      <c r="R69" s="56" t="s">
        <v>387</v>
      </c>
      <c r="S69" s="100">
        <v>359000</v>
      </c>
      <c r="T69" s="65">
        <f t="shared" ref="T69:T100" si="2" xml:space="preserve"> S69*(F69/1000)</f>
        <v>5686560</v>
      </c>
    </row>
    <row r="70" spans="1:20" s="67" customFormat="1" ht="14.25" customHeight="1" x14ac:dyDescent="0.25">
      <c r="A70" s="301" t="s">
        <v>640</v>
      </c>
      <c r="B70" s="60" t="s">
        <v>820</v>
      </c>
      <c r="C70" s="60" t="s">
        <v>657</v>
      </c>
      <c r="D70" s="11" t="s">
        <v>298</v>
      </c>
      <c r="E70" s="59" t="s">
        <v>236</v>
      </c>
      <c r="F70" s="60">
        <v>2880</v>
      </c>
      <c r="G70" s="69">
        <v>160</v>
      </c>
      <c r="H70" s="69" t="s">
        <v>655</v>
      </c>
      <c r="I70" s="69" t="s">
        <v>357</v>
      </c>
      <c r="J70" s="58">
        <v>45379</v>
      </c>
      <c r="K70" s="66" t="s">
        <v>909</v>
      </c>
      <c r="L70" s="119">
        <v>89061710722</v>
      </c>
      <c r="M70" s="108" t="s">
        <v>910</v>
      </c>
      <c r="N70" s="66"/>
      <c r="O70" s="56"/>
      <c r="P70" s="60">
        <v>2880</v>
      </c>
      <c r="Q70" s="56"/>
      <c r="R70" s="56" t="s">
        <v>387</v>
      </c>
      <c r="S70" s="100">
        <v>205000</v>
      </c>
      <c r="T70" s="65">
        <f t="shared" si="2"/>
        <v>590400</v>
      </c>
    </row>
    <row r="71" spans="1:20" s="67" customFormat="1" ht="14.25" customHeight="1" x14ac:dyDescent="0.25">
      <c r="A71" s="301" t="s">
        <v>640</v>
      </c>
      <c r="B71" s="60" t="s">
        <v>820</v>
      </c>
      <c r="C71" s="60" t="s">
        <v>657</v>
      </c>
      <c r="D71" s="11" t="s">
        <v>201</v>
      </c>
      <c r="E71" s="59" t="s">
        <v>888</v>
      </c>
      <c r="F71" s="60">
        <v>13680</v>
      </c>
      <c r="G71" s="69">
        <v>72</v>
      </c>
      <c r="H71" s="69" t="s">
        <v>655</v>
      </c>
      <c r="I71" s="69" t="s">
        <v>357</v>
      </c>
      <c r="J71" s="58">
        <v>45379</v>
      </c>
      <c r="K71" s="66" t="s">
        <v>909</v>
      </c>
      <c r="L71" s="119">
        <v>89061710722</v>
      </c>
      <c r="M71" s="108" t="s">
        <v>910</v>
      </c>
      <c r="N71" s="66"/>
      <c r="O71" s="56"/>
      <c r="P71" s="60"/>
      <c r="Q71" s="60">
        <v>13680</v>
      </c>
      <c r="R71" s="56" t="s">
        <v>387</v>
      </c>
      <c r="S71" s="100">
        <v>123000</v>
      </c>
      <c r="T71" s="65">
        <f t="shared" si="2"/>
        <v>1682640</v>
      </c>
    </row>
    <row r="72" spans="1:20" s="68" customFormat="1" ht="14.25" customHeight="1" x14ac:dyDescent="0.25">
      <c r="A72" s="69" t="s">
        <v>224</v>
      </c>
      <c r="B72" s="97" t="s">
        <v>774</v>
      </c>
      <c r="C72" s="97" t="s">
        <v>349</v>
      </c>
      <c r="D72" s="98" t="s">
        <v>279</v>
      </c>
      <c r="E72" s="59" t="s">
        <v>894</v>
      </c>
      <c r="F72" s="97">
        <v>20000</v>
      </c>
      <c r="G72" s="69">
        <v>800</v>
      </c>
      <c r="H72" s="69" t="s">
        <v>352</v>
      </c>
      <c r="I72" s="69" t="s">
        <v>357</v>
      </c>
      <c r="J72" s="58">
        <v>45379</v>
      </c>
      <c r="K72" s="105" t="s">
        <v>914</v>
      </c>
      <c r="L72" s="123" t="s">
        <v>915</v>
      </c>
      <c r="M72" s="105" t="s">
        <v>916</v>
      </c>
      <c r="N72" s="58"/>
      <c r="O72" s="97">
        <v>20000</v>
      </c>
      <c r="P72" s="60"/>
      <c r="Q72" s="56"/>
      <c r="R72" s="56" t="s">
        <v>387</v>
      </c>
      <c r="S72" s="100">
        <v>45000</v>
      </c>
      <c r="T72" s="116">
        <f t="shared" si="2"/>
        <v>900000</v>
      </c>
    </row>
    <row r="73" spans="1:20" s="67" customFormat="1" ht="13.5" customHeight="1" x14ac:dyDescent="0.25">
      <c r="A73" s="301" t="s">
        <v>640</v>
      </c>
      <c r="B73" s="60" t="s">
        <v>528</v>
      </c>
      <c r="C73" s="60" t="s">
        <v>168</v>
      </c>
      <c r="D73" s="98" t="s">
        <v>316</v>
      </c>
      <c r="E73" s="64" t="s">
        <v>900</v>
      </c>
      <c r="F73" s="97">
        <v>12000</v>
      </c>
      <c r="G73" s="69">
        <v>600</v>
      </c>
      <c r="H73" s="69" t="s">
        <v>563</v>
      </c>
      <c r="I73" s="69" t="s">
        <v>357</v>
      </c>
      <c r="J73" s="58">
        <v>45380</v>
      </c>
      <c r="K73" s="108" t="s">
        <v>917</v>
      </c>
      <c r="L73" s="56" t="s">
        <v>918</v>
      </c>
      <c r="M73" s="66">
        <v>89376177270</v>
      </c>
      <c r="N73" s="107"/>
      <c r="O73" s="56"/>
      <c r="P73" s="97">
        <v>12000</v>
      </c>
      <c r="Q73" s="56"/>
      <c r="R73" s="56" t="s">
        <v>387</v>
      </c>
      <c r="S73" s="100">
        <v>101000</v>
      </c>
      <c r="T73" s="65">
        <f t="shared" si="2"/>
        <v>1212000</v>
      </c>
    </row>
    <row r="74" spans="1:20" s="67" customFormat="1" ht="13.5" customHeight="1" x14ac:dyDescent="0.25">
      <c r="A74" s="301" t="s">
        <v>640</v>
      </c>
      <c r="B74" s="60" t="s">
        <v>528</v>
      </c>
      <c r="C74" s="60" t="s">
        <v>168</v>
      </c>
      <c r="D74" s="98" t="s">
        <v>307</v>
      </c>
      <c r="E74" s="64" t="s">
        <v>896</v>
      </c>
      <c r="F74" s="97">
        <v>3000</v>
      </c>
      <c r="G74" s="69">
        <v>120</v>
      </c>
      <c r="H74" s="69" t="s">
        <v>563</v>
      </c>
      <c r="I74" s="69" t="s">
        <v>357</v>
      </c>
      <c r="J74" s="58">
        <v>45380</v>
      </c>
      <c r="K74" s="108" t="s">
        <v>917</v>
      </c>
      <c r="L74" s="56" t="s">
        <v>918</v>
      </c>
      <c r="M74" s="66">
        <v>89376177270</v>
      </c>
      <c r="N74" s="107"/>
      <c r="O74" s="97">
        <v>3000</v>
      </c>
      <c r="P74" s="60"/>
      <c r="Q74" s="56"/>
      <c r="R74" s="56" t="s">
        <v>387</v>
      </c>
      <c r="S74" s="100">
        <v>50000</v>
      </c>
      <c r="T74" s="65">
        <f t="shared" si="2"/>
        <v>150000</v>
      </c>
    </row>
    <row r="75" spans="1:20" s="67" customFormat="1" ht="13.5" customHeight="1" x14ac:dyDescent="0.25">
      <c r="A75" s="301" t="s">
        <v>640</v>
      </c>
      <c r="B75" s="60" t="s">
        <v>528</v>
      </c>
      <c r="C75" s="60" t="s">
        <v>168</v>
      </c>
      <c r="D75" s="98" t="s">
        <v>214</v>
      </c>
      <c r="E75" s="64" t="s">
        <v>904</v>
      </c>
      <c r="F75" s="97">
        <v>3700</v>
      </c>
      <c r="G75" s="69">
        <v>20</v>
      </c>
      <c r="H75" s="69" t="s">
        <v>563</v>
      </c>
      <c r="I75" s="69" t="s">
        <v>357</v>
      </c>
      <c r="J75" s="58">
        <v>45380</v>
      </c>
      <c r="K75" s="108" t="s">
        <v>917</v>
      </c>
      <c r="L75" s="56" t="s">
        <v>918</v>
      </c>
      <c r="M75" s="66">
        <v>89376177270</v>
      </c>
      <c r="N75" s="107"/>
      <c r="O75" s="56"/>
      <c r="P75" s="60"/>
      <c r="Q75" s="97">
        <v>3700</v>
      </c>
      <c r="R75" s="56" t="s">
        <v>387</v>
      </c>
      <c r="S75" s="100">
        <v>240000</v>
      </c>
      <c r="T75" s="65">
        <f t="shared" si="2"/>
        <v>888000</v>
      </c>
    </row>
    <row r="76" spans="1:20" s="197" customFormat="1" x14ac:dyDescent="0.25">
      <c r="A76" s="251" t="s">
        <v>793</v>
      </c>
      <c r="B76" s="187"/>
      <c r="C76" s="187" t="s">
        <v>608</v>
      </c>
      <c r="D76" s="188" t="s">
        <v>585</v>
      </c>
      <c r="E76" s="189" t="s">
        <v>606</v>
      </c>
      <c r="F76" s="187">
        <v>16000</v>
      </c>
      <c r="G76" s="186">
        <v>80</v>
      </c>
      <c r="H76" s="186"/>
      <c r="I76" s="186" t="s">
        <v>357</v>
      </c>
      <c r="J76" s="190">
        <v>45355</v>
      </c>
      <c r="K76" s="198" t="s">
        <v>926</v>
      </c>
      <c r="L76" s="191"/>
      <c r="M76" s="473">
        <v>4307162020</v>
      </c>
      <c r="N76" s="267" t="s">
        <v>796</v>
      </c>
      <c r="O76" s="194"/>
      <c r="P76" s="187">
        <v>16000</v>
      </c>
      <c r="Q76" s="194"/>
      <c r="R76" s="194" t="s">
        <v>387</v>
      </c>
      <c r="S76" s="195">
        <v>180285</v>
      </c>
      <c r="T76" s="196">
        <f t="shared" si="2"/>
        <v>2884560</v>
      </c>
    </row>
    <row r="77" spans="1:20" s="197" customFormat="1" x14ac:dyDescent="0.25">
      <c r="A77" s="485" t="s">
        <v>794</v>
      </c>
      <c r="B77" s="187"/>
      <c r="C77" s="187" t="s">
        <v>449</v>
      </c>
      <c r="D77" s="188" t="s">
        <v>279</v>
      </c>
      <c r="E77" s="189" t="s">
        <v>430</v>
      </c>
      <c r="F77" s="187">
        <v>10875</v>
      </c>
      <c r="G77" s="186">
        <v>435</v>
      </c>
      <c r="H77" s="186"/>
      <c r="I77" s="186" t="s">
        <v>357</v>
      </c>
      <c r="J77" s="190">
        <v>45355</v>
      </c>
      <c r="K77" s="198" t="s">
        <v>926</v>
      </c>
      <c r="L77" s="191"/>
      <c r="M77" s="474"/>
      <c r="N77" s="473" t="s">
        <v>797</v>
      </c>
      <c r="O77" s="187">
        <v>10875</v>
      </c>
      <c r="P77" s="194"/>
      <c r="Q77" s="194"/>
      <c r="R77" s="194" t="s">
        <v>387</v>
      </c>
      <c r="S77" s="195">
        <v>60600</v>
      </c>
      <c r="T77" s="196">
        <f t="shared" si="2"/>
        <v>659025</v>
      </c>
    </row>
    <row r="78" spans="1:20" s="197" customFormat="1" x14ac:dyDescent="0.25">
      <c r="A78" s="486"/>
      <c r="B78" s="187"/>
      <c r="C78" s="187" t="s">
        <v>449</v>
      </c>
      <c r="D78" s="188" t="s">
        <v>279</v>
      </c>
      <c r="E78" s="189" t="s">
        <v>432</v>
      </c>
      <c r="F78" s="187">
        <v>7000</v>
      </c>
      <c r="G78" s="186">
        <v>280</v>
      </c>
      <c r="H78" s="186"/>
      <c r="I78" s="186" t="s">
        <v>357</v>
      </c>
      <c r="J78" s="190">
        <v>45355</v>
      </c>
      <c r="K78" s="198" t="s">
        <v>926</v>
      </c>
      <c r="L78" s="191"/>
      <c r="M78" s="474"/>
      <c r="N78" s="474"/>
      <c r="O78" s="187">
        <v>7000</v>
      </c>
      <c r="P78" s="194"/>
      <c r="Q78" s="194"/>
      <c r="R78" s="194" t="s">
        <v>387</v>
      </c>
      <c r="S78" s="195">
        <v>60600</v>
      </c>
      <c r="T78" s="196">
        <f t="shared" si="2"/>
        <v>424200</v>
      </c>
    </row>
    <row r="79" spans="1:20" s="197" customFormat="1" x14ac:dyDescent="0.25">
      <c r="A79" s="487"/>
      <c r="B79" s="187"/>
      <c r="C79" s="187" t="s">
        <v>449</v>
      </c>
      <c r="D79" s="188" t="s">
        <v>279</v>
      </c>
      <c r="E79" s="189" t="s">
        <v>509</v>
      </c>
      <c r="F79" s="187">
        <v>875</v>
      </c>
      <c r="G79" s="186">
        <v>35</v>
      </c>
      <c r="H79" s="186"/>
      <c r="I79" s="186" t="s">
        <v>357</v>
      </c>
      <c r="J79" s="190">
        <v>45355</v>
      </c>
      <c r="K79" s="198" t="s">
        <v>926</v>
      </c>
      <c r="L79" s="191"/>
      <c r="M79" s="475"/>
      <c r="N79" s="475"/>
      <c r="O79" s="187">
        <v>875</v>
      </c>
      <c r="P79" s="194"/>
      <c r="Q79" s="194"/>
      <c r="R79" s="194" t="s">
        <v>387</v>
      </c>
      <c r="S79" s="195">
        <v>60600</v>
      </c>
      <c r="T79" s="196">
        <f t="shared" si="2"/>
        <v>53025</v>
      </c>
    </row>
    <row r="80" spans="1:20" s="197" customFormat="1" x14ac:dyDescent="0.25">
      <c r="A80" s="485" t="s">
        <v>792</v>
      </c>
      <c r="B80" s="187"/>
      <c r="C80" s="187" t="s">
        <v>608</v>
      </c>
      <c r="D80" s="188" t="s">
        <v>585</v>
      </c>
      <c r="E80" s="189" t="s">
        <v>606</v>
      </c>
      <c r="F80" s="187">
        <v>12200</v>
      </c>
      <c r="G80" s="186">
        <v>61</v>
      </c>
      <c r="H80" s="186"/>
      <c r="I80" s="186" t="s">
        <v>357</v>
      </c>
      <c r="J80" s="190">
        <v>45367</v>
      </c>
      <c r="K80" s="198" t="s">
        <v>926</v>
      </c>
      <c r="L80" s="191"/>
      <c r="M80" s="473">
        <v>4229343120</v>
      </c>
      <c r="N80" s="473" t="s">
        <v>795</v>
      </c>
      <c r="O80" s="194"/>
      <c r="P80" s="187">
        <v>12200</v>
      </c>
      <c r="Q80" s="194"/>
      <c r="R80" s="194" t="s">
        <v>387</v>
      </c>
      <c r="S80" s="195">
        <v>180285</v>
      </c>
      <c r="T80" s="196">
        <f t="shared" si="2"/>
        <v>2199477</v>
      </c>
    </row>
    <row r="81" spans="1:20" s="197" customFormat="1" ht="13.5" customHeight="1" x14ac:dyDescent="0.25">
      <c r="A81" s="486"/>
      <c r="B81" s="187"/>
      <c r="C81" s="187"/>
      <c r="D81" s="188" t="s">
        <v>158</v>
      </c>
      <c r="E81" s="189" t="s">
        <v>238</v>
      </c>
      <c r="F81" s="187">
        <v>1600</v>
      </c>
      <c r="G81" s="186">
        <v>8</v>
      </c>
      <c r="H81" s="267"/>
      <c r="I81" s="186" t="s">
        <v>357</v>
      </c>
      <c r="J81" s="190">
        <v>45367</v>
      </c>
      <c r="K81" s="198" t="s">
        <v>926</v>
      </c>
      <c r="L81" s="200"/>
      <c r="M81" s="474"/>
      <c r="N81" s="474"/>
      <c r="O81" s="194"/>
      <c r="P81" s="194"/>
      <c r="Q81" s="187">
        <v>1600</v>
      </c>
      <c r="R81" s="194" t="s">
        <v>387</v>
      </c>
      <c r="S81" s="195">
        <v>131199</v>
      </c>
      <c r="T81" s="196">
        <f t="shared" si="2"/>
        <v>209918.40000000002</v>
      </c>
    </row>
    <row r="82" spans="1:20" s="197" customFormat="1" ht="13.5" customHeight="1" x14ac:dyDescent="0.25">
      <c r="A82" s="486"/>
      <c r="B82" s="187"/>
      <c r="C82" s="187"/>
      <c r="D82" s="188" t="s">
        <v>158</v>
      </c>
      <c r="E82" s="189" t="s">
        <v>229</v>
      </c>
      <c r="F82" s="187">
        <v>1600</v>
      </c>
      <c r="G82" s="186">
        <v>8</v>
      </c>
      <c r="H82" s="186"/>
      <c r="I82" s="186" t="s">
        <v>357</v>
      </c>
      <c r="J82" s="190">
        <v>45367</v>
      </c>
      <c r="K82" s="198" t="s">
        <v>926</v>
      </c>
      <c r="L82" s="200"/>
      <c r="M82" s="474"/>
      <c r="N82" s="474"/>
      <c r="O82" s="194"/>
      <c r="P82" s="194"/>
      <c r="Q82" s="187">
        <v>1600</v>
      </c>
      <c r="R82" s="194" t="s">
        <v>387</v>
      </c>
      <c r="S82" s="195">
        <v>131199</v>
      </c>
      <c r="T82" s="196">
        <f t="shared" si="2"/>
        <v>209918.40000000002</v>
      </c>
    </row>
    <row r="83" spans="1:20" s="197" customFormat="1" x14ac:dyDescent="0.25">
      <c r="A83" s="486"/>
      <c r="B83" s="187"/>
      <c r="C83" s="187" t="s">
        <v>692</v>
      </c>
      <c r="D83" s="188" t="s">
        <v>190</v>
      </c>
      <c r="E83" s="189" t="s">
        <v>693</v>
      </c>
      <c r="F83" s="187">
        <v>400</v>
      </c>
      <c r="G83" s="186">
        <v>2</v>
      </c>
      <c r="H83" s="186"/>
      <c r="I83" s="186" t="s">
        <v>357</v>
      </c>
      <c r="J83" s="190">
        <v>45367</v>
      </c>
      <c r="K83" s="198" t="s">
        <v>926</v>
      </c>
      <c r="L83" s="191"/>
      <c r="M83" s="474"/>
      <c r="N83" s="474"/>
      <c r="O83" s="194"/>
      <c r="P83" s="194"/>
      <c r="Q83" s="187">
        <v>400</v>
      </c>
      <c r="R83" s="194" t="s">
        <v>387</v>
      </c>
      <c r="S83" s="195">
        <v>111100</v>
      </c>
      <c r="T83" s="196">
        <f t="shared" si="2"/>
        <v>44440</v>
      </c>
    </row>
    <row r="84" spans="1:20" s="197" customFormat="1" x14ac:dyDescent="0.25">
      <c r="A84" s="487"/>
      <c r="B84" s="187"/>
      <c r="C84" s="187" t="s">
        <v>471</v>
      </c>
      <c r="D84" s="188" t="s">
        <v>190</v>
      </c>
      <c r="E84" s="189" t="s">
        <v>515</v>
      </c>
      <c r="F84" s="187">
        <v>200</v>
      </c>
      <c r="G84" s="186">
        <v>1</v>
      </c>
      <c r="H84" s="186"/>
      <c r="I84" s="186" t="s">
        <v>357</v>
      </c>
      <c r="J84" s="190">
        <v>45367</v>
      </c>
      <c r="K84" s="198" t="s">
        <v>926</v>
      </c>
      <c r="L84" s="191"/>
      <c r="M84" s="474"/>
      <c r="N84" s="475"/>
      <c r="O84" s="194"/>
      <c r="P84" s="194"/>
      <c r="Q84" s="187">
        <v>200</v>
      </c>
      <c r="R84" s="194" t="s">
        <v>387</v>
      </c>
      <c r="S84" s="195">
        <v>111100</v>
      </c>
      <c r="T84" s="196">
        <f t="shared" si="2"/>
        <v>22220</v>
      </c>
    </row>
    <row r="85" spans="1:20" s="197" customFormat="1" x14ac:dyDescent="0.25">
      <c r="A85" s="485" t="s">
        <v>805</v>
      </c>
      <c r="B85" s="187"/>
      <c r="C85" s="187" t="s">
        <v>449</v>
      </c>
      <c r="D85" s="188" t="s">
        <v>279</v>
      </c>
      <c r="E85" s="189" t="s">
        <v>432</v>
      </c>
      <c r="F85" s="187">
        <v>8750</v>
      </c>
      <c r="G85" s="186">
        <v>350</v>
      </c>
      <c r="H85" s="186"/>
      <c r="I85" s="186" t="s">
        <v>357</v>
      </c>
      <c r="J85" s="190">
        <v>45367</v>
      </c>
      <c r="K85" s="198" t="s">
        <v>926</v>
      </c>
      <c r="L85" s="191"/>
      <c r="M85" s="474"/>
      <c r="N85" s="473" t="s">
        <v>804</v>
      </c>
      <c r="O85" s="187">
        <v>8750</v>
      </c>
      <c r="P85" s="194"/>
      <c r="Q85" s="194"/>
      <c r="R85" s="194" t="s">
        <v>387</v>
      </c>
      <c r="S85" s="195">
        <v>60600</v>
      </c>
      <c r="T85" s="196">
        <f t="shared" si="2"/>
        <v>530250</v>
      </c>
    </row>
    <row r="86" spans="1:20" s="197" customFormat="1" x14ac:dyDescent="0.25">
      <c r="A86" s="487"/>
      <c r="B86" s="187"/>
      <c r="C86" s="187" t="s">
        <v>682</v>
      </c>
      <c r="D86" s="188" t="s">
        <v>279</v>
      </c>
      <c r="E86" s="189" t="s">
        <v>679</v>
      </c>
      <c r="F86" s="187">
        <v>10000</v>
      </c>
      <c r="G86" s="186">
        <v>400</v>
      </c>
      <c r="H86" s="186"/>
      <c r="I86" s="186" t="s">
        <v>357</v>
      </c>
      <c r="J86" s="190">
        <v>45367</v>
      </c>
      <c r="K86" s="198" t="s">
        <v>926</v>
      </c>
      <c r="L86" s="191"/>
      <c r="M86" s="475"/>
      <c r="N86" s="475"/>
      <c r="O86" s="187">
        <v>10000</v>
      </c>
      <c r="P86" s="194"/>
      <c r="Q86" s="194"/>
      <c r="R86" s="194" t="s">
        <v>387</v>
      </c>
      <c r="S86" s="195">
        <v>60600</v>
      </c>
      <c r="T86" s="196">
        <f t="shared" si="2"/>
        <v>606000</v>
      </c>
    </row>
    <row r="87" spans="1:20" s="197" customFormat="1" ht="13.5" customHeight="1" x14ac:dyDescent="0.25">
      <c r="A87" s="485" t="s">
        <v>809</v>
      </c>
      <c r="B87" s="187"/>
      <c r="C87" s="187"/>
      <c r="D87" s="188" t="s">
        <v>158</v>
      </c>
      <c r="E87" s="189" t="s">
        <v>229</v>
      </c>
      <c r="F87" s="187">
        <v>2400</v>
      </c>
      <c r="G87" s="186">
        <v>12</v>
      </c>
      <c r="H87" s="186"/>
      <c r="I87" s="186" t="s">
        <v>357</v>
      </c>
      <c r="J87" s="190">
        <v>45367</v>
      </c>
      <c r="K87" s="198" t="s">
        <v>926</v>
      </c>
      <c r="L87" s="200"/>
      <c r="M87" s="473">
        <v>4245755620</v>
      </c>
      <c r="N87" s="488" t="s">
        <v>808</v>
      </c>
      <c r="O87" s="194"/>
      <c r="P87" s="194"/>
      <c r="Q87" s="187">
        <v>2400</v>
      </c>
      <c r="R87" s="194" t="s">
        <v>387</v>
      </c>
      <c r="S87" s="195">
        <v>131199</v>
      </c>
      <c r="T87" s="196">
        <f t="shared" si="2"/>
        <v>314877.59999999998</v>
      </c>
    </row>
    <row r="88" spans="1:20" s="197" customFormat="1" x14ac:dyDescent="0.25">
      <c r="A88" s="486"/>
      <c r="B88" s="187"/>
      <c r="C88" s="187"/>
      <c r="D88" s="188" t="s">
        <v>158</v>
      </c>
      <c r="E88" s="189" t="s">
        <v>609</v>
      </c>
      <c r="F88" s="187">
        <v>7200</v>
      </c>
      <c r="G88" s="186">
        <v>36</v>
      </c>
      <c r="H88" s="186"/>
      <c r="I88" s="186" t="s">
        <v>357</v>
      </c>
      <c r="J88" s="190">
        <v>45367</v>
      </c>
      <c r="K88" s="198" t="s">
        <v>926</v>
      </c>
      <c r="L88" s="191"/>
      <c r="M88" s="474"/>
      <c r="N88" s="489"/>
      <c r="O88" s="194"/>
      <c r="P88" s="194"/>
      <c r="Q88" s="187">
        <v>7200</v>
      </c>
      <c r="R88" s="194" t="s">
        <v>387</v>
      </c>
      <c r="S88" s="195">
        <v>131199</v>
      </c>
      <c r="T88" s="196">
        <f t="shared" si="2"/>
        <v>944632.8</v>
      </c>
    </row>
    <row r="89" spans="1:20" s="197" customFormat="1" x14ac:dyDescent="0.25">
      <c r="A89" s="486"/>
      <c r="B89" s="187"/>
      <c r="C89" s="187"/>
      <c r="D89" s="188" t="s">
        <v>158</v>
      </c>
      <c r="E89" s="189" t="s">
        <v>810</v>
      </c>
      <c r="F89" s="187">
        <v>2800</v>
      </c>
      <c r="G89" s="186">
        <v>14</v>
      </c>
      <c r="H89" s="186"/>
      <c r="I89" s="186" t="s">
        <v>357</v>
      </c>
      <c r="J89" s="190">
        <v>45367</v>
      </c>
      <c r="K89" s="198" t="s">
        <v>926</v>
      </c>
      <c r="L89" s="191"/>
      <c r="M89" s="474"/>
      <c r="N89" s="489"/>
      <c r="O89" s="194"/>
      <c r="P89" s="194"/>
      <c r="Q89" s="187">
        <v>2800</v>
      </c>
      <c r="R89" s="194" t="s">
        <v>387</v>
      </c>
      <c r="S89" s="195">
        <v>131199</v>
      </c>
      <c r="T89" s="196">
        <f t="shared" si="2"/>
        <v>367357.19999999995</v>
      </c>
    </row>
    <row r="90" spans="1:20" s="197" customFormat="1" x14ac:dyDescent="0.25">
      <c r="A90" s="487"/>
      <c r="B90" s="187"/>
      <c r="C90" s="187" t="s">
        <v>739</v>
      </c>
      <c r="D90" s="188" t="s">
        <v>158</v>
      </c>
      <c r="E90" s="189" t="s">
        <v>740</v>
      </c>
      <c r="F90" s="187">
        <v>3600</v>
      </c>
      <c r="G90" s="186">
        <v>18</v>
      </c>
      <c r="H90" s="186"/>
      <c r="I90" s="186" t="s">
        <v>357</v>
      </c>
      <c r="J90" s="190">
        <v>45367</v>
      </c>
      <c r="K90" s="198" t="s">
        <v>926</v>
      </c>
      <c r="L90" s="191"/>
      <c r="M90" s="474"/>
      <c r="N90" s="490"/>
      <c r="O90" s="194"/>
      <c r="P90" s="194"/>
      <c r="Q90" s="187">
        <v>3600</v>
      </c>
      <c r="R90" s="194" t="s">
        <v>387</v>
      </c>
      <c r="S90" s="195">
        <v>131199</v>
      </c>
      <c r="T90" s="196">
        <f t="shared" si="2"/>
        <v>472316.4</v>
      </c>
    </row>
    <row r="91" spans="1:20" s="197" customFormat="1" x14ac:dyDescent="0.25">
      <c r="A91" s="485" t="s">
        <v>813</v>
      </c>
      <c r="B91" s="187"/>
      <c r="C91" s="187" t="s">
        <v>733</v>
      </c>
      <c r="D91" s="188" t="s">
        <v>190</v>
      </c>
      <c r="E91" s="189" t="s">
        <v>706</v>
      </c>
      <c r="F91" s="187">
        <v>8000</v>
      </c>
      <c r="G91" s="186">
        <v>40</v>
      </c>
      <c r="H91" s="186"/>
      <c r="I91" s="186" t="s">
        <v>357</v>
      </c>
      <c r="J91" s="190">
        <v>45367</v>
      </c>
      <c r="K91" s="198" t="s">
        <v>926</v>
      </c>
      <c r="L91" s="191"/>
      <c r="M91" s="474"/>
      <c r="N91" s="473" t="s">
        <v>814</v>
      </c>
      <c r="O91" s="194"/>
      <c r="P91" s="194"/>
      <c r="Q91" s="187">
        <v>8000</v>
      </c>
      <c r="R91" s="194" t="s">
        <v>387</v>
      </c>
      <c r="S91" s="195">
        <v>111100</v>
      </c>
      <c r="T91" s="196">
        <f t="shared" si="2"/>
        <v>888800</v>
      </c>
    </row>
    <row r="92" spans="1:20" s="197" customFormat="1" x14ac:dyDescent="0.25">
      <c r="A92" s="487"/>
      <c r="B92" s="187"/>
      <c r="C92" s="187" t="s">
        <v>471</v>
      </c>
      <c r="D92" s="188" t="s">
        <v>190</v>
      </c>
      <c r="E92" s="189" t="s">
        <v>677</v>
      </c>
      <c r="F92" s="187">
        <v>8000</v>
      </c>
      <c r="G92" s="186">
        <v>40</v>
      </c>
      <c r="H92" s="186"/>
      <c r="I92" s="186" t="s">
        <v>357</v>
      </c>
      <c r="J92" s="190">
        <v>45367</v>
      </c>
      <c r="K92" s="198" t="s">
        <v>926</v>
      </c>
      <c r="L92" s="191"/>
      <c r="M92" s="475"/>
      <c r="N92" s="475"/>
      <c r="O92" s="194"/>
      <c r="P92" s="194"/>
      <c r="Q92" s="187">
        <v>8000</v>
      </c>
      <c r="R92" s="194" t="s">
        <v>387</v>
      </c>
      <c r="S92" s="195">
        <v>111100</v>
      </c>
      <c r="T92" s="196">
        <f t="shared" si="2"/>
        <v>888800</v>
      </c>
    </row>
    <row r="93" spans="1:20" s="197" customFormat="1" x14ac:dyDescent="0.25">
      <c r="A93" s="485" t="s">
        <v>806</v>
      </c>
      <c r="B93" s="187"/>
      <c r="C93" s="187" t="s">
        <v>449</v>
      </c>
      <c r="D93" s="188" t="s">
        <v>279</v>
      </c>
      <c r="E93" s="189" t="s">
        <v>432</v>
      </c>
      <c r="F93" s="187">
        <v>3500</v>
      </c>
      <c r="G93" s="186">
        <v>140</v>
      </c>
      <c r="H93" s="186"/>
      <c r="I93" s="186" t="s">
        <v>357</v>
      </c>
      <c r="J93" s="190">
        <v>45367</v>
      </c>
      <c r="K93" s="198" t="s">
        <v>926</v>
      </c>
      <c r="L93" s="191"/>
      <c r="M93" s="473">
        <v>4303137620</v>
      </c>
      <c r="N93" s="473" t="s">
        <v>807</v>
      </c>
      <c r="O93" s="187">
        <v>3500</v>
      </c>
      <c r="P93" s="194"/>
      <c r="Q93" s="194"/>
      <c r="R93" s="194" t="s">
        <v>387</v>
      </c>
      <c r="S93" s="195">
        <v>60600</v>
      </c>
      <c r="T93" s="196">
        <f t="shared" si="2"/>
        <v>212100</v>
      </c>
    </row>
    <row r="94" spans="1:20" s="197" customFormat="1" x14ac:dyDescent="0.25">
      <c r="A94" s="486"/>
      <c r="B94" s="187"/>
      <c r="C94" s="187" t="s">
        <v>682</v>
      </c>
      <c r="D94" s="188" t="s">
        <v>279</v>
      </c>
      <c r="E94" s="189" t="s">
        <v>679</v>
      </c>
      <c r="F94" s="187">
        <v>1000</v>
      </c>
      <c r="G94" s="186">
        <v>40</v>
      </c>
      <c r="H94" s="186"/>
      <c r="I94" s="186" t="s">
        <v>357</v>
      </c>
      <c r="J94" s="190">
        <v>45367</v>
      </c>
      <c r="K94" s="198" t="s">
        <v>926</v>
      </c>
      <c r="L94" s="191"/>
      <c r="M94" s="474"/>
      <c r="N94" s="474"/>
      <c r="O94" s="187">
        <v>1000</v>
      </c>
      <c r="P94" s="194"/>
      <c r="Q94" s="194"/>
      <c r="R94" s="194" t="s">
        <v>387</v>
      </c>
      <c r="S94" s="195">
        <v>60600</v>
      </c>
      <c r="T94" s="196">
        <f t="shared" si="2"/>
        <v>60600</v>
      </c>
    </row>
    <row r="95" spans="1:20" s="197" customFormat="1" x14ac:dyDescent="0.25">
      <c r="A95" s="486"/>
      <c r="B95" s="187"/>
      <c r="C95" s="187" t="s">
        <v>682</v>
      </c>
      <c r="D95" s="188" t="s">
        <v>279</v>
      </c>
      <c r="E95" s="189" t="s">
        <v>693</v>
      </c>
      <c r="F95" s="187">
        <v>9000</v>
      </c>
      <c r="G95" s="186">
        <v>360</v>
      </c>
      <c r="H95" s="186"/>
      <c r="I95" s="186" t="s">
        <v>357</v>
      </c>
      <c r="J95" s="190">
        <v>45367</v>
      </c>
      <c r="K95" s="198" t="s">
        <v>926</v>
      </c>
      <c r="L95" s="191"/>
      <c r="M95" s="474"/>
      <c r="N95" s="474"/>
      <c r="O95" s="187">
        <v>9000</v>
      </c>
      <c r="P95" s="194"/>
      <c r="Q95" s="194"/>
      <c r="R95" s="194" t="s">
        <v>387</v>
      </c>
      <c r="S95" s="195">
        <v>60600</v>
      </c>
      <c r="T95" s="196">
        <f t="shared" si="2"/>
        <v>545400</v>
      </c>
    </row>
    <row r="96" spans="1:20" s="197" customFormat="1" x14ac:dyDescent="0.25">
      <c r="A96" s="487"/>
      <c r="B96" s="187"/>
      <c r="C96" s="187" t="s">
        <v>682</v>
      </c>
      <c r="D96" s="188" t="s">
        <v>279</v>
      </c>
      <c r="E96" s="189" t="s">
        <v>706</v>
      </c>
      <c r="F96" s="187">
        <v>5250</v>
      </c>
      <c r="G96" s="186">
        <v>210</v>
      </c>
      <c r="H96" s="186"/>
      <c r="I96" s="186" t="s">
        <v>357</v>
      </c>
      <c r="J96" s="190">
        <v>45367</v>
      </c>
      <c r="K96" s="198" t="s">
        <v>926</v>
      </c>
      <c r="L96" s="191"/>
      <c r="M96" s="474"/>
      <c r="N96" s="475"/>
      <c r="O96" s="187">
        <v>5250</v>
      </c>
      <c r="P96" s="194"/>
      <c r="Q96" s="194"/>
      <c r="R96" s="194" t="s">
        <v>387</v>
      </c>
      <c r="S96" s="195">
        <v>60600</v>
      </c>
      <c r="T96" s="196">
        <f t="shared" si="2"/>
        <v>318150</v>
      </c>
    </row>
    <row r="97" spans="1:20" s="197" customFormat="1" x14ac:dyDescent="0.25">
      <c r="A97" s="485" t="s">
        <v>811</v>
      </c>
      <c r="B97" s="187"/>
      <c r="C97" s="187" t="s">
        <v>733</v>
      </c>
      <c r="D97" s="188" t="s">
        <v>190</v>
      </c>
      <c r="E97" s="189" t="s">
        <v>735</v>
      </c>
      <c r="F97" s="187">
        <v>8000</v>
      </c>
      <c r="G97" s="186">
        <v>40</v>
      </c>
      <c r="H97" s="186"/>
      <c r="I97" s="186" t="s">
        <v>357</v>
      </c>
      <c r="J97" s="190">
        <v>45367</v>
      </c>
      <c r="K97" s="198" t="s">
        <v>926</v>
      </c>
      <c r="L97" s="191"/>
      <c r="M97" s="474"/>
      <c r="N97" s="473" t="s">
        <v>812</v>
      </c>
      <c r="O97" s="194"/>
      <c r="P97" s="194"/>
      <c r="Q97" s="187">
        <v>8000</v>
      </c>
      <c r="R97" s="194" t="s">
        <v>387</v>
      </c>
      <c r="S97" s="195">
        <v>111100</v>
      </c>
      <c r="T97" s="196">
        <f t="shared" si="2"/>
        <v>888800</v>
      </c>
    </row>
    <row r="98" spans="1:20" s="197" customFormat="1" x14ac:dyDescent="0.25">
      <c r="A98" s="487"/>
      <c r="B98" s="187"/>
      <c r="C98" s="187" t="s">
        <v>733</v>
      </c>
      <c r="D98" s="188" t="s">
        <v>190</v>
      </c>
      <c r="E98" s="189" t="s">
        <v>734</v>
      </c>
      <c r="F98" s="187">
        <v>8000</v>
      </c>
      <c r="G98" s="186">
        <v>40</v>
      </c>
      <c r="H98" s="186"/>
      <c r="I98" s="186" t="s">
        <v>357</v>
      </c>
      <c r="J98" s="190">
        <v>45367</v>
      </c>
      <c r="K98" s="198" t="s">
        <v>926</v>
      </c>
      <c r="L98" s="191"/>
      <c r="M98" s="475"/>
      <c r="N98" s="475"/>
      <c r="O98" s="194"/>
      <c r="P98" s="194"/>
      <c r="Q98" s="187">
        <v>8000</v>
      </c>
      <c r="R98" s="194" t="s">
        <v>387</v>
      </c>
      <c r="S98" s="195">
        <v>111100</v>
      </c>
      <c r="T98" s="196">
        <f t="shared" si="2"/>
        <v>888800</v>
      </c>
    </row>
    <row r="99" spans="1:20" s="197" customFormat="1" x14ac:dyDescent="0.25">
      <c r="A99" s="282" t="s">
        <v>853</v>
      </c>
      <c r="B99" s="187"/>
      <c r="C99" s="187" t="s">
        <v>682</v>
      </c>
      <c r="D99" s="188" t="s">
        <v>279</v>
      </c>
      <c r="E99" s="189" t="s">
        <v>695</v>
      </c>
      <c r="F99" s="187">
        <v>17500</v>
      </c>
      <c r="G99" s="186">
        <v>700</v>
      </c>
      <c r="H99" s="186"/>
      <c r="I99" s="186" t="s">
        <v>357</v>
      </c>
      <c r="J99" s="291">
        <v>45376</v>
      </c>
      <c r="K99" s="198" t="s">
        <v>926</v>
      </c>
      <c r="L99" s="191"/>
      <c r="M99" s="473">
        <v>4270238120</v>
      </c>
      <c r="N99" s="267" t="s">
        <v>854</v>
      </c>
      <c r="O99" s="187">
        <v>17500</v>
      </c>
      <c r="P99" s="194"/>
      <c r="Q99" s="194"/>
      <c r="R99" s="194" t="s">
        <v>387</v>
      </c>
      <c r="S99" s="195">
        <v>60600</v>
      </c>
      <c r="T99" s="196">
        <f t="shared" si="2"/>
        <v>1060500</v>
      </c>
    </row>
    <row r="100" spans="1:20" s="197" customFormat="1" x14ac:dyDescent="0.25">
      <c r="A100" s="485" t="s">
        <v>855</v>
      </c>
      <c r="B100" s="187"/>
      <c r="C100" s="187" t="s">
        <v>733</v>
      </c>
      <c r="D100" s="188" t="s">
        <v>190</v>
      </c>
      <c r="E100" s="189" t="s">
        <v>785</v>
      </c>
      <c r="F100" s="187">
        <v>8800</v>
      </c>
      <c r="G100" s="186">
        <v>44</v>
      </c>
      <c r="H100" s="186"/>
      <c r="I100" s="186" t="s">
        <v>357</v>
      </c>
      <c r="J100" s="291">
        <v>45376</v>
      </c>
      <c r="K100" s="198" t="s">
        <v>926</v>
      </c>
      <c r="L100" s="191"/>
      <c r="M100" s="474"/>
      <c r="N100" s="473" t="s">
        <v>856</v>
      </c>
      <c r="O100" s="194"/>
      <c r="P100" s="194"/>
      <c r="Q100" s="187">
        <v>8800</v>
      </c>
      <c r="R100" s="194" t="s">
        <v>387</v>
      </c>
      <c r="S100" s="195">
        <v>111100</v>
      </c>
      <c r="T100" s="196">
        <f t="shared" si="2"/>
        <v>977680.00000000012</v>
      </c>
    </row>
    <row r="101" spans="1:20" s="197" customFormat="1" x14ac:dyDescent="0.25">
      <c r="A101" s="487"/>
      <c r="B101" s="187"/>
      <c r="C101" s="187" t="s">
        <v>733</v>
      </c>
      <c r="D101" s="188" t="s">
        <v>190</v>
      </c>
      <c r="E101" s="189" t="s">
        <v>784</v>
      </c>
      <c r="F101" s="187">
        <v>4000</v>
      </c>
      <c r="G101" s="186">
        <v>20</v>
      </c>
      <c r="H101" s="186"/>
      <c r="I101" s="186" t="s">
        <v>357</v>
      </c>
      <c r="J101" s="291">
        <v>45376</v>
      </c>
      <c r="K101" s="198" t="s">
        <v>926</v>
      </c>
      <c r="L101" s="191"/>
      <c r="M101" s="475"/>
      <c r="N101" s="475"/>
      <c r="O101" s="194"/>
      <c r="P101" s="194"/>
      <c r="Q101" s="187">
        <v>4000</v>
      </c>
      <c r="R101" s="194" t="s">
        <v>387</v>
      </c>
      <c r="S101" s="195">
        <v>111100</v>
      </c>
      <c r="T101" s="196">
        <f t="shared" ref="T101:T132" si="3" xml:space="preserve"> S101*(F101/1000)</f>
        <v>444400</v>
      </c>
    </row>
    <row r="102" spans="1:20" s="197" customFormat="1" x14ac:dyDescent="0.25">
      <c r="A102" s="485" t="s">
        <v>857</v>
      </c>
      <c r="B102" s="187"/>
      <c r="C102" s="187" t="s">
        <v>733</v>
      </c>
      <c r="D102" s="188" t="s">
        <v>190</v>
      </c>
      <c r="E102" s="189" t="s">
        <v>784</v>
      </c>
      <c r="F102" s="187">
        <v>5600</v>
      </c>
      <c r="G102" s="186">
        <v>28</v>
      </c>
      <c r="H102" s="186"/>
      <c r="I102" s="186" t="s">
        <v>357</v>
      </c>
      <c r="J102" s="291">
        <v>45376</v>
      </c>
      <c r="K102" s="198" t="s">
        <v>926</v>
      </c>
      <c r="L102" s="191"/>
      <c r="M102" s="473">
        <v>4360286120</v>
      </c>
      <c r="N102" s="473" t="s">
        <v>858</v>
      </c>
      <c r="O102" s="194"/>
      <c r="P102" s="194"/>
      <c r="Q102" s="187">
        <v>5600</v>
      </c>
      <c r="R102" s="194" t="s">
        <v>387</v>
      </c>
      <c r="S102" s="195">
        <v>111100</v>
      </c>
      <c r="T102" s="196">
        <f t="shared" si="3"/>
        <v>622160</v>
      </c>
    </row>
    <row r="103" spans="1:20" s="197" customFormat="1" x14ac:dyDescent="0.25">
      <c r="A103" s="487"/>
      <c r="B103" s="187"/>
      <c r="C103" s="187" t="s">
        <v>692</v>
      </c>
      <c r="D103" s="188" t="s">
        <v>190</v>
      </c>
      <c r="E103" s="189" t="s">
        <v>693</v>
      </c>
      <c r="F103" s="187">
        <v>7200</v>
      </c>
      <c r="G103" s="186">
        <v>36</v>
      </c>
      <c r="H103" s="186"/>
      <c r="I103" s="186" t="s">
        <v>357</v>
      </c>
      <c r="J103" s="291">
        <v>45376</v>
      </c>
      <c r="K103" s="198" t="s">
        <v>926</v>
      </c>
      <c r="L103" s="191"/>
      <c r="M103" s="474"/>
      <c r="N103" s="475"/>
      <c r="O103" s="194"/>
      <c r="P103" s="194"/>
      <c r="Q103" s="187">
        <v>7200</v>
      </c>
      <c r="R103" s="194" t="s">
        <v>387</v>
      </c>
      <c r="S103" s="195">
        <v>111100</v>
      </c>
      <c r="T103" s="196">
        <f t="shared" si="3"/>
        <v>799920</v>
      </c>
    </row>
    <row r="104" spans="1:20" s="197" customFormat="1" x14ac:dyDescent="0.25">
      <c r="A104" s="485" t="s">
        <v>859</v>
      </c>
      <c r="B104" s="187"/>
      <c r="C104" s="187" t="s">
        <v>692</v>
      </c>
      <c r="D104" s="188" t="s">
        <v>190</v>
      </c>
      <c r="E104" s="189" t="s">
        <v>693</v>
      </c>
      <c r="F104" s="187">
        <v>800</v>
      </c>
      <c r="G104" s="186">
        <v>4</v>
      </c>
      <c r="H104" s="186"/>
      <c r="I104" s="186" t="s">
        <v>357</v>
      </c>
      <c r="J104" s="291">
        <v>45376</v>
      </c>
      <c r="K104" s="198" t="s">
        <v>926</v>
      </c>
      <c r="L104" s="191"/>
      <c r="M104" s="474"/>
      <c r="N104" s="473" t="s">
        <v>860</v>
      </c>
      <c r="O104" s="194"/>
      <c r="P104" s="194"/>
      <c r="Q104" s="187">
        <v>800</v>
      </c>
      <c r="R104" s="194" t="s">
        <v>387</v>
      </c>
      <c r="S104" s="195">
        <v>111100</v>
      </c>
      <c r="T104" s="196">
        <f t="shared" si="3"/>
        <v>88880</v>
      </c>
    </row>
    <row r="105" spans="1:20" s="197" customFormat="1" x14ac:dyDescent="0.25">
      <c r="A105" s="486"/>
      <c r="B105" s="187"/>
      <c r="C105" s="187" t="s">
        <v>733</v>
      </c>
      <c r="D105" s="188" t="s">
        <v>190</v>
      </c>
      <c r="E105" s="189" t="s">
        <v>752</v>
      </c>
      <c r="F105" s="187">
        <v>9600</v>
      </c>
      <c r="G105" s="186">
        <v>48</v>
      </c>
      <c r="H105" s="186"/>
      <c r="I105" s="186" t="s">
        <v>357</v>
      </c>
      <c r="J105" s="291">
        <v>45376</v>
      </c>
      <c r="K105" s="198" t="s">
        <v>926</v>
      </c>
      <c r="L105" s="191"/>
      <c r="M105" s="474"/>
      <c r="N105" s="474"/>
      <c r="O105" s="194"/>
      <c r="P105" s="194"/>
      <c r="Q105" s="187">
        <v>9600</v>
      </c>
      <c r="R105" s="194" t="s">
        <v>387</v>
      </c>
      <c r="S105" s="195">
        <v>111100</v>
      </c>
      <c r="T105" s="196">
        <f t="shared" si="3"/>
        <v>1066560</v>
      </c>
    </row>
    <row r="106" spans="1:20" s="197" customFormat="1" x14ac:dyDescent="0.25">
      <c r="A106" s="486"/>
      <c r="B106" s="187"/>
      <c r="C106" s="187" t="s">
        <v>471</v>
      </c>
      <c r="D106" s="188" t="s">
        <v>190</v>
      </c>
      <c r="E106" s="189" t="s">
        <v>677</v>
      </c>
      <c r="F106" s="187">
        <v>800</v>
      </c>
      <c r="G106" s="186">
        <v>4</v>
      </c>
      <c r="H106" s="186"/>
      <c r="I106" s="186" t="s">
        <v>357</v>
      </c>
      <c r="J106" s="291">
        <v>45376</v>
      </c>
      <c r="K106" s="198" t="s">
        <v>926</v>
      </c>
      <c r="L106" s="191"/>
      <c r="M106" s="474"/>
      <c r="N106" s="474"/>
      <c r="O106" s="194"/>
      <c r="P106" s="194"/>
      <c r="Q106" s="187">
        <v>800</v>
      </c>
      <c r="R106" s="194" t="s">
        <v>387</v>
      </c>
      <c r="S106" s="195">
        <v>111100</v>
      </c>
      <c r="T106" s="196">
        <f t="shared" si="3"/>
        <v>88880</v>
      </c>
    </row>
    <row r="107" spans="1:20" s="197" customFormat="1" ht="13.5" customHeight="1" x14ac:dyDescent="0.25">
      <c r="A107" s="486"/>
      <c r="B107" s="187"/>
      <c r="C107" s="187"/>
      <c r="D107" s="188" t="s">
        <v>158</v>
      </c>
      <c r="E107" s="287" t="s">
        <v>740</v>
      </c>
      <c r="F107" s="283">
        <v>800</v>
      </c>
      <c r="G107" s="186">
        <v>4</v>
      </c>
      <c r="H107" s="186"/>
      <c r="I107" s="186" t="s">
        <v>357</v>
      </c>
      <c r="J107" s="291">
        <v>45376</v>
      </c>
      <c r="K107" s="198" t="s">
        <v>926</v>
      </c>
      <c r="L107" s="284"/>
      <c r="M107" s="474"/>
      <c r="N107" s="474"/>
      <c r="O107" s="194"/>
      <c r="P107" s="187"/>
      <c r="Q107" s="283">
        <v>800</v>
      </c>
      <c r="R107" s="194" t="s">
        <v>387</v>
      </c>
      <c r="S107" s="195">
        <v>131199</v>
      </c>
      <c r="T107" s="196">
        <f t="shared" si="3"/>
        <v>104959.20000000001</v>
      </c>
    </row>
    <row r="108" spans="1:20" s="197" customFormat="1" ht="13.5" customHeight="1" x14ac:dyDescent="0.25">
      <c r="A108" s="486"/>
      <c r="B108" s="187"/>
      <c r="C108" s="187"/>
      <c r="D108" s="188" t="s">
        <v>158</v>
      </c>
      <c r="E108" s="287" t="s">
        <v>407</v>
      </c>
      <c r="F108" s="283">
        <v>400</v>
      </c>
      <c r="G108" s="186">
        <v>2</v>
      </c>
      <c r="H108" s="186"/>
      <c r="I108" s="186" t="s">
        <v>357</v>
      </c>
      <c r="J108" s="291">
        <v>45376</v>
      </c>
      <c r="K108" s="198" t="s">
        <v>926</v>
      </c>
      <c r="L108" s="284"/>
      <c r="M108" s="474"/>
      <c r="N108" s="474"/>
      <c r="O108" s="194"/>
      <c r="P108" s="187"/>
      <c r="Q108" s="283">
        <v>400</v>
      </c>
      <c r="R108" s="194" t="s">
        <v>387</v>
      </c>
      <c r="S108" s="195">
        <v>131199</v>
      </c>
      <c r="T108" s="196">
        <f t="shared" si="3"/>
        <v>52479.600000000006</v>
      </c>
    </row>
    <row r="109" spans="1:20" s="197" customFormat="1" ht="13.5" customHeight="1" x14ac:dyDescent="0.25">
      <c r="A109" s="487"/>
      <c r="B109" s="187"/>
      <c r="C109" s="187"/>
      <c r="D109" s="188" t="s">
        <v>158</v>
      </c>
      <c r="E109" s="287" t="s">
        <v>609</v>
      </c>
      <c r="F109" s="283">
        <v>400</v>
      </c>
      <c r="G109" s="186">
        <v>2</v>
      </c>
      <c r="H109" s="186"/>
      <c r="I109" s="186" t="s">
        <v>357</v>
      </c>
      <c r="J109" s="291">
        <v>45376</v>
      </c>
      <c r="K109" s="198" t="s">
        <v>926</v>
      </c>
      <c r="L109" s="284"/>
      <c r="M109" s="475"/>
      <c r="N109" s="475"/>
      <c r="O109" s="194"/>
      <c r="P109" s="187"/>
      <c r="Q109" s="283">
        <v>400</v>
      </c>
      <c r="R109" s="194" t="s">
        <v>387</v>
      </c>
      <c r="S109" s="195">
        <v>131199</v>
      </c>
      <c r="T109" s="196">
        <f t="shared" si="3"/>
        <v>52479.600000000006</v>
      </c>
    </row>
    <row r="110" spans="1:20" s="197" customFormat="1" ht="13.5" customHeight="1" x14ac:dyDescent="0.25">
      <c r="A110" s="485" t="s">
        <v>880</v>
      </c>
      <c r="B110" s="187"/>
      <c r="C110" s="187"/>
      <c r="D110" s="188" t="s">
        <v>158</v>
      </c>
      <c r="E110" s="287" t="s">
        <v>245</v>
      </c>
      <c r="F110" s="283">
        <v>6400</v>
      </c>
      <c r="G110" s="186">
        <v>32</v>
      </c>
      <c r="H110" s="186"/>
      <c r="I110" s="186" t="s">
        <v>357</v>
      </c>
      <c r="J110" s="291">
        <v>45376</v>
      </c>
      <c r="K110" s="198" t="s">
        <v>926</v>
      </c>
      <c r="L110" s="284"/>
      <c r="M110" s="473">
        <v>4363980620</v>
      </c>
      <c r="N110" s="488" t="s">
        <v>881</v>
      </c>
      <c r="O110" s="194"/>
      <c r="P110" s="187"/>
      <c r="Q110" s="283">
        <v>6400</v>
      </c>
      <c r="R110" s="194" t="s">
        <v>387</v>
      </c>
      <c r="S110" s="195">
        <v>131199</v>
      </c>
      <c r="T110" s="196">
        <f t="shared" si="3"/>
        <v>839673.60000000009</v>
      </c>
    </row>
    <row r="111" spans="1:20" s="197" customFormat="1" ht="13.5" customHeight="1" x14ac:dyDescent="0.25">
      <c r="A111" s="487"/>
      <c r="B111" s="187"/>
      <c r="C111" s="187"/>
      <c r="D111" s="188" t="s">
        <v>158</v>
      </c>
      <c r="E111" s="287" t="s">
        <v>247</v>
      </c>
      <c r="F111" s="283">
        <v>6400</v>
      </c>
      <c r="G111" s="186">
        <v>32</v>
      </c>
      <c r="H111" s="186"/>
      <c r="I111" s="186" t="s">
        <v>357</v>
      </c>
      <c r="J111" s="291">
        <v>45376</v>
      </c>
      <c r="K111" s="198" t="s">
        <v>926</v>
      </c>
      <c r="L111" s="284"/>
      <c r="M111" s="474"/>
      <c r="N111" s="490"/>
      <c r="O111" s="194"/>
      <c r="P111" s="187"/>
      <c r="Q111" s="283">
        <v>6400</v>
      </c>
      <c r="R111" s="194" t="s">
        <v>387</v>
      </c>
      <c r="S111" s="195">
        <v>131199</v>
      </c>
      <c r="T111" s="196">
        <f t="shared" si="3"/>
        <v>839673.60000000009</v>
      </c>
    </row>
    <row r="112" spans="1:20" s="197" customFormat="1" ht="13.5" customHeight="1" x14ac:dyDescent="0.25">
      <c r="A112" s="485" t="s">
        <v>882</v>
      </c>
      <c r="B112" s="187"/>
      <c r="C112" s="187"/>
      <c r="D112" s="188" t="s">
        <v>158</v>
      </c>
      <c r="E112" s="287" t="s">
        <v>244</v>
      </c>
      <c r="F112" s="283">
        <v>5600</v>
      </c>
      <c r="G112" s="186">
        <v>28</v>
      </c>
      <c r="H112" s="186"/>
      <c r="I112" s="186" t="s">
        <v>357</v>
      </c>
      <c r="J112" s="291">
        <v>45376</v>
      </c>
      <c r="K112" s="198" t="s">
        <v>926</v>
      </c>
      <c r="L112" s="284"/>
      <c r="M112" s="474"/>
      <c r="N112" s="488" t="s">
        <v>883</v>
      </c>
      <c r="O112" s="194"/>
      <c r="P112" s="187"/>
      <c r="Q112" s="283">
        <v>5600</v>
      </c>
      <c r="R112" s="194" t="s">
        <v>387</v>
      </c>
      <c r="S112" s="195">
        <v>131199</v>
      </c>
      <c r="T112" s="196">
        <f t="shared" si="3"/>
        <v>734714.39999999991</v>
      </c>
    </row>
    <row r="113" spans="1:20" s="197" customFormat="1" ht="13.5" customHeight="1" x14ac:dyDescent="0.25">
      <c r="A113" s="486"/>
      <c r="B113" s="187"/>
      <c r="C113" s="187"/>
      <c r="D113" s="188" t="s">
        <v>158</v>
      </c>
      <c r="E113" s="287" t="s">
        <v>816</v>
      </c>
      <c r="F113" s="283">
        <v>200</v>
      </c>
      <c r="G113" s="186">
        <v>1</v>
      </c>
      <c r="H113" s="186"/>
      <c r="I113" s="186" t="s">
        <v>357</v>
      </c>
      <c r="J113" s="291">
        <v>45376</v>
      </c>
      <c r="K113" s="198" t="s">
        <v>926</v>
      </c>
      <c r="L113" s="284"/>
      <c r="M113" s="474"/>
      <c r="N113" s="489"/>
      <c r="O113" s="194"/>
      <c r="P113" s="187"/>
      <c r="Q113" s="283">
        <v>200</v>
      </c>
      <c r="R113" s="194" t="s">
        <v>387</v>
      </c>
      <c r="S113" s="195">
        <v>131199</v>
      </c>
      <c r="T113" s="196">
        <f t="shared" si="3"/>
        <v>26239.800000000003</v>
      </c>
    </row>
    <row r="114" spans="1:20" s="197" customFormat="1" x14ac:dyDescent="0.25">
      <c r="A114" s="486"/>
      <c r="B114" s="187"/>
      <c r="C114" s="187" t="s">
        <v>876</v>
      </c>
      <c r="D114" s="188" t="s">
        <v>211</v>
      </c>
      <c r="E114" s="189" t="s">
        <v>875</v>
      </c>
      <c r="F114" s="187">
        <v>5000</v>
      </c>
      <c r="G114" s="186">
        <v>25</v>
      </c>
      <c r="H114" s="186"/>
      <c r="I114" s="186" t="s">
        <v>357</v>
      </c>
      <c r="J114" s="291">
        <v>45376</v>
      </c>
      <c r="K114" s="198" t="s">
        <v>926</v>
      </c>
      <c r="L114" s="191"/>
      <c r="M114" s="474"/>
      <c r="N114" s="489"/>
      <c r="O114" s="194"/>
      <c r="P114" s="194"/>
      <c r="Q114" s="187">
        <v>5000</v>
      </c>
      <c r="R114" s="194" t="s">
        <v>387</v>
      </c>
      <c r="S114" s="195">
        <v>111100</v>
      </c>
      <c r="T114" s="196">
        <f t="shared" si="3"/>
        <v>555500</v>
      </c>
    </row>
    <row r="115" spans="1:20" s="197" customFormat="1" x14ac:dyDescent="0.25">
      <c r="A115" s="487"/>
      <c r="B115" s="187"/>
      <c r="C115" s="187" t="s">
        <v>682</v>
      </c>
      <c r="D115" s="188" t="s">
        <v>279</v>
      </c>
      <c r="E115" s="189" t="s">
        <v>706</v>
      </c>
      <c r="F115" s="187">
        <v>3600</v>
      </c>
      <c r="G115" s="186">
        <v>144</v>
      </c>
      <c r="H115" s="186"/>
      <c r="I115" s="186" t="s">
        <v>357</v>
      </c>
      <c r="J115" s="291">
        <v>45376</v>
      </c>
      <c r="K115" s="198" t="s">
        <v>926</v>
      </c>
      <c r="L115" s="191"/>
      <c r="M115" s="475"/>
      <c r="N115" s="490"/>
      <c r="O115" s="187">
        <v>3600</v>
      </c>
      <c r="P115" s="194"/>
      <c r="Q115" s="194"/>
      <c r="R115" s="194" t="s">
        <v>387</v>
      </c>
      <c r="S115" s="195">
        <v>60600</v>
      </c>
      <c r="T115" s="196">
        <f t="shared" si="3"/>
        <v>218160</v>
      </c>
    </row>
    <row r="116" spans="1:20" s="228" customFormat="1" x14ac:dyDescent="0.25">
      <c r="A116" s="476" t="s">
        <v>688</v>
      </c>
      <c r="B116" s="218"/>
      <c r="C116" s="218" t="s">
        <v>471</v>
      </c>
      <c r="D116" s="219" t="s">
        <v>190</v>
      </c>
      <c r="E116" s="220" t="s">
        <v>488</v>
      </c>
      <c r="F116" s="218">
        <v>8800</v>
      </c>
      <c r="G116" s="221">
        <v>44</v>
      </c>
      <c r="H116" s="221"/>
      <c r="I116" s="221" t="s">
        <v>357</v>
      </c>
      <c r="J116" s="222">
        <v>45355</v>
      </c>
      <c r="K116" s="223" t="s">
        <v>926</v>
      </c>
      <c r="L116" s="224"/>
      <c r="M116" s="470">
        <v>4444924720</v>
      </c>
      <c r="N116" s="470" t="s">
        <v>798</v>
      </c>
      <c r="O116" s="225"/>
      <c r="P116" s="225"/>
      <c r="Q116" s="218">
        <v>8800</v>
      </c>
      <c r="R116" s="225" t="s">
        <v>387</v>
      </c>
      <c r="S116" s="226">
        <v>111100</v>
      </c>
      <c r="T116" s="227">
        <f t="shared" si="3"/>
        <v>977680.00000000012</v>
      </c>
    </row>
    <row r="117" spans="1:20" s="228" customFormat="1" x14ac:dyDescent="0.25">
      <c r="A117" s="477"/>
      <c r="B117" s="218"/>
      <c r="C117" s="218" t="s">
        <v>471</v>
      </c>
      <c r="D117" s="219" t="s">
        <v>190</v>
      </c>
      <c r="E117" s="220" t="s">
        <v>507</v>
      </c>
      <c r="F117" s="218">
        <v>6400</v>
      </c>
      <c r="G117" s="221">
        <v>32</v>
      </c>
      <c r="H117" s="221"/>
      <c r="I117" s="221" t="s">
        <v>357</v>
      </c>
      <c r="J117" s="222">
        <v>45355</v>
      </c>
      <c r="K117" s="223" t="s">
        <v>926</v>
      </c>
      <c r="L117" s="224"/>
      <c r="M117" s="471"/>
      <c r="N117" s="471"/>
      <c r="O117" s="225"/>
      <c r="P117" s="225"/>
      <c r="Q117" s="218">
        <v>6400</v>
      </c>
      <c r="R117" s="225" t="s">
        <v>387</v>
      </c>
      <c r="S117" s="226">
        <v>111100</v>
      </c>
      <c r="T117" s="227">
        <f t="shared" si="3"/>
        <v>711040</v>
      </c>
    </row>
    <row r="118" spans="1:20" s="228" customFormat="1" x14ac:dyDescent="0.25">
      <c r="A118" s="478"/>
      <c r="B118" s="218"/>
      <c r="C118" s="218" t="s">
        <v>471</v>
      </c>
      <c r="D118" s="219" t="s">
        <v>190</v>
      </c>
      <c r="E118" s="220" t="s">
        <v>516</v>
      </c>
      <c r="F118" s="218">
        <v>800</v>
      </c>
      <c r="G118" s="221">
        <v>4</v>
      </c>
      <c r="H118" s="221"/>
      <c r="I118" s="221" t="s">
        <v>357</v>
      </c>
      <c r="J118" s="222">
        <v>45355</v>
      </c>
      <c r="K118" s="223" t="s">
        <v>926</v>
      </c>
      <c r="L118" s="224"/>
      <c r="M118" s="471"/>
      <c r="N118" s="472"/>
      <c r="O118" s="225"/>
      <c r="P118" s="225"/>
      <c r="Q118" s="218">
        <v>800</v>
      </c>
      <c r="R118" s="225" t="s">
        <v>387</v>
      </c>
      <c r="S118" s="226">
        <v>111100</v>
      </c>
      <c r="T118" s="227">
        <f t="shared" si="3"/>
        <v>88880</v>
      </c>
    </row>
    <row r="119" spans="1:20" s="228" customFormat="1" x14ac:dyDescent="0.25">
      <c r="A119" s="476" t="s">
        <v>691</v>
      </c>
      <c r="B119" s="218"/>
      <c r="C119" s="218" t="s">
        <v>471</v>
      </c>
      <c r="D119" s="219" t="s">
        <v>190</v>
      </c>
      <c r="E119" s="220" t="s">
        <v>470</v>
      </c>
      <c r="F119" s="218">
        <v>6400</v>
      </c>
      <c r="G119" s="221">
        <v>32</v>
      </c>
      <c r="H119" s="221"/>
      <c r="I119" s="221" t="s">
        <v>357</v>
      </c>
      <c r="J119" s="222">
        <v>45355</v>
      </c>
      <c r="K119" s="223" t="s">
        <v>926</v>
      </c>
      <c r="L119" s="224"/>
      <c r="M119" s="471"/>
      <c r="N119" s="470" t="s">
        <v>799</v>
      </c>
      <c r="O119" s="225"/>
      <c r="P119" s="225"/>
      <c r="Q119" s="218">
        <v>6400</v>
      </c>
      <c r="R119" s="225" t="s">
        <v>387</v>
      </c>
      <c r="S119" s="226">
        <v>111100</v>
      </c>
      <c r="T119" s="227">
        <f t="shared" si="3"/>
        <v>711040</v>
      </c>
    </row>
    <row r="120" spans="1:20" s="228" customFormat="1" x14ac:dyDescent="0.25">
      <c r="A120" s="477"/>
      <c r="B120" s="218"/>
      <c r="C120" s="218" t="s">
        <v>471</v>
      </c>
      <c r="D120" s="219" t="s">
        <v>190</v>
      </c>
      <c r="E120" s="220" t="s">
        <v>505</v>
      </c>
      <c r="F120" s="218">
        <v>200</v>
      </c>
      <c r="G120" s="221">
        <v>1</v>
      </c>
      <c r="H120" s="221"/>
      <c r="I120" s="221" t="s">
        <v>357</v>
      </c>
      <c r="J120" s="222">
        <v>45355</v>
      </c>
      <c r="K120" s="223" t="s">
        <v>926</v>
      </c>
      <c r="L120" s="224"/>
      <c r="M120" s="471"/>
      <c r="N120" s="471"/>
      <c r="O120" s="225"/>
      <c r="P120" s="225"/>
      <c r="Q120" s="218">
        <v>200</v>
      </c>
      <c r="R120" s="225" t="s">
        <v>387</v>
      </c>
      <c r="S120" s="226">
        <v>111100</v>
      </c>
      <c r="T120" s="227">
        <f t="shared" si="3"/>
        <v>22220</v>
      </c>
    </row>
    <row r="121" spans="1:20" s="228" customFormat="1" x14ac:dyDescent="0.25">
      <c r="A121" s="477"/>
      <c r="B121" s="218"/>
      <c r="C121" s="218" t="s">
        <v>676</v>
      </c>
      <c r="D121" s="219" t="s">
        <v>204</v>
      </c>
      <c r="E121" s="220" t="s">
        <v>677</v>
      </c>
      <c r="F121" s="218">
        <v>4400</v>
      </c>
      <c r="G121" s="221">
        <v>22</v>
      </c>
      <c r="H121" s="221"/>
      <c r="I121" s="221" t="s">
        <v>357</v>
      </c>
      <c r="J121" s="222">
        <v>45355</v>
      </c>
      <c r="K121" s="223" t="s">
        <v>926</v>
      </c>
      <c r="L121" s="224"/>
      <c r="M121" s="471"/>
      <c r="N121" s="471"/>
      <c r="O121" s="225"/>
      <c r="P121" s="225"/>
      <c r="Q121" s="218">
        <v>4400</v>
      </c>
      <c r="R121" s="225" t="s">
        <v>387</v>
      </c>
      <c r="S121" s="226">
        <v>136350</v>
      </c>
      <c r="T121" s="227">
        <f t="shared" si="3"/>
        <v>599940</v>
      </c>
    </row>
    <row r="122" spans="1:20" s="228" customFormat="1" x14ac:dyDescent="0.25">
      <c r="A122" s="478"/>
      <c r="B122" s="218"/>
      <c r="C122" s="218" t="s">
        <v>486</v>
      </c>
      <c r="D122" s="219" t="s">
        <v>211</v>
      </c>
      <c r="E122" s="220" t="s">
        <v>437</v>
      </c>
      <c r="F122" s="218">
        <v>5000</v>
      </c>
      <c r="G122" s="221">
        <v>25</v>
      </c>
      <c r="H122" s="221"/>
      <c r="I122" s="221" t="s">
        <v>357</v>
      </c>
      <c r="J122" s="222">
        <v>45355</v>
      </c>
      <c r="K122" s="223" t="s">
        <v>926</v>
      </c>
      <c r="L122" s="224"/>
      <c r="M122" s="472"/>
      <c r="N122" s="472"/>
      <c r="O122" s="225"/>
      <c r="P122" s="225"/>
      <c r="Q122" s="218">
        <v>5000</v>
      </c>
      <c r="R122" s="225" t="s">
        <v>387</v>
      </c>
      <c r="S122" s="226">
        <v>111100</v>
      </c>
      <c r="T122" s="227">
        <f t="shared" si="3"/>
        <v>555500</v>
      </c>
    </row>
    <row r="123" spans="1:20" s="228" customFormat="1" x14ac:dyDescent="0.25">
      <c r="A123" s="476" t="s">
        <v>690</v>
      </c>
      <c r="B123" s="218"/>
      <c r="C123" s="218" t="s">
        <v>471</v>
      </c>
      <c r="D123" s="219" t="s">
        <v>190</v>
      </c>
      <c r="E123" s="220" t="s">
        <v>506</v>
      </c>
      <c r="F123" s="218">
        <v>8800</v>
      </c>
      <c r="G123" s="221">
        <v>44</v>
      </c>
      <c r="H123" s="221"/>
      <c r="I123" s="221" t="s">
        <v>357</v>
      </c>
      <c r="J123" s="222">
        <v>45355</v>
      </c>
      <c r="K123" s="223" t="s">
        <v>926</v>
      </c>
      <c r="L123" s="224"/>
      <c r="M123" s="470">
        <v>4412106920</v>
      </c>
      <c r="N123" s="470" t="s">
        <v>800</v>
      </c>
      <c r="O123" s="225"/>
      <c r="P123" s="225"/>
      <c r="Q123" s="218">
        <v>8800</v>
      </c>
      <c r="R123" s="225" t="s">
        <v>387</v>
      </c>
      <c r="S123" s="226">
        <v>111100</v>
      </c>
      <c r="T123" s="227">
        <f t="shared" si="3"/>
        <v>977680.00000000012</v>
      </c>
    </row>
    <row r="124" spans="1:20" s="228" customFormat="1" x14ac:dyDescent="0.25">
      <c r="A124" s="478"/>
      <c r="B124" s="218"/>
      <c r="C124" s="218" t="s">
        <v>471</v>
      </c>
      <c r="D124" s="219" t="s">
        <v>190</v>
      </c>
      <c r="E124" s="220" t="s">
        <v>515</v>
      </c>
      <c r="F124" s="218">
        <v>7200</v>
      </c>
      <c r="G124" s="221">
        <v>36</v>
      </c>
      <c r="H124" s="221"/>
      <c r="I124" s="221" t="s">
        <v>357</v>
      </c>
      <c r="J124" s="222">
        <v>45355</v>
      </c>
      <c r="K124" s="223" t="s">
        <v>926</v>
      </c>
      <c r="L124" s="224"/>
      <c r="M124" s="471"/>
      <c r="N124" s="472"/>
      <c r="O124" s="225"/>
      <c r="P124" s="225"/>
      <c r="Q124" s="218">
        <v>7200</v>
      </c>
      <c r="R124" s="225" t="s">
        <v>387</v>
      </c>
      <c r="S124" s="226">
        <v>111100</v>
      </c>
      <c r="T124" s="227">
        <f t="shared" si="3"/>
        <v>799920</v>
      </c>
    </row>
    <row r="125" spans="1:20" s="228" customFormat="1" x14ac:dyDescent="0.25">
      <c r="A125" s="476" t="s">
        <v>696</v>
      </c>
      <c r="B125" s="218"/>
      <c r="C125" s="218" t="s">
        <v>678</v>
      </c>
      <c r="D125" s="219" t="s">
        <v>340</v>
      </c>
      <c r="E125" s="220" t="s">
        <v>679</v>
      </c>
      <c r="F125" s="218">
        <v>8800</v>
      </c>
      <c r="G125" s="221">
        <v>44</v>
      </c>
      <c r="H125" s="221"/>
      <c r="I125" s="221" t="s">
        <v>357</v>
      </c>
      <c r="J125" s="222">
        <v>45355</v>
      </c>
      <c r="K125" s="223" t="s">
        <v>926</v>
      </c>
      <c r="L125" s="224"/>
      <c r="M125" s="471"/>
      <c r="N125" s="470" t="s">
        <v>801</v>
      </c>
      <c r="O125" s="225"/>
      <c r="P125" s="225"/>
      <c r="Q125" s="218">
        <v>8800</v>
      </c>
      <c r="R125" s="225" t="s">
        <v>387</v>
      </c>
      <c r="S125" s="226">
        <v>116150</v>
      </c>
      <c r="T125" s="227">
        <f t="shared" si="3"/>
        <v>1022120.0000000001</v>
      </c>
    </row>
    <row r="126" spans="1:20" s="228" customFormat="1" x14ac:dyDescent="0.25">
      <c r="A126" s="478"/>
      <c r="B126" s="218"/>
      <c r="C126" s="218" t="s">
        <v>682</v>
      </c>
      <c r="D126" s="219" t="s">
        <v>279</v>
      </c>
      <c r="E126" s="220" t="s">
        <v>679</v>
      </c>
      <c r="F126" s="218">
        <v>9000</v>
      </c>
      <c r="G126" s="221">
        <v>360</v>
      </c>
      <c r="H126" s="221"/>
      <c r="I126" s="221" t="s">
        <v>357</v>
      </c>
      <c r="J126" s="222">
        <v>45355</v>
      </c>
      <c r="K126" s="223" t="s">
        <v>926</v>
      </c>
      <c r="L126" s="224"/>
      <c r="M126" s="472"/>
      <c r="N126" s="472"/>
      <c r="O126" s="218">
        <v>9000</v>
      </c>
      <c r="P126" s="225"/>
      <c r="Q126" s="225"/>
      <c r="R126" s="225" t="s">
        <v>387</v>
      </c>
      <c r="S126" s="226">
        <v>60600</v>
      </c>
      <c r="T126" s="227">
        <f t="shared" si="3"/>
        <v>545400</v>
      </c>
    </row>
    <row r="127" spans="1:20" s="228" customFormat="1" ht="13.5" customHeight="1" x14ac:dyDescent="0.25">
      <c r="A127" s="476" t="s">
        <v>687</v>
      </c>
      <c r="B127" s="218"/>
      <c r="C127" s="222">
        <v>45355</v>
      </c>
      <c r="D127" s="219" t="s">
        <v>158</v>
      </c>
      <c r="E127" s="230" t="s">
        <v>229</v>
      </c>
      <c r="F127" s="218">
        <v>3200</v>
      </c>
      <c r="G127" s="221">
        <v>16</v>
      </c>
      <c r="H127" s="221"/>
      <c r="I127" s="221" t="s">
        <v>357</v>
      </c>
      <c r="J127" s="222">
        <v>45355</v>
      </c>
      <c r="K127" s="223" t="s">
        <v>926</v>
      </c>
      <c r="L127" s="229"/>
      <c r="M127" s="470">
        <v>4310786120</v>
      </c>
      <c r="N127" s="491" t="s">
        <v>802</v>
      </c>
      <c r="O127" s="225"/>
      <c r="P127" s="225"/>
      <c r="Q127" s="218">
        <v>3200</v>
      </c>
      <c r="R127" s="225" t="s">
        <v>387</v>
      </c>
      <c r="S127" s="226">
        <v>131199</v>
      </c>
      <c r="T127" s="227">
        <f t="shared" si="3"/>
        <v>419836.80000000005</v>
      </c>
    </row>
    <row r="128" spans="1:20" s="228" customFormat="1" ht="13.5" customHeight="1" x14ac:dyDescent="0.25">
      <c r="A128" s="477"/>
      <c r="B128" s="218"/>
      <c r="C128" s="218"/>
      <c r="D128" s="219" t="s">
        <v>158</v>
      </c>
      <c r="E128" s="220" t="s">
        <v>238</v>
      </c>
      <c r="F128" s="218">
        <v>2400</v>
      </c>
      <c r="G128" s="221">
        <v>12</v>
      </c>
      <c r="H128" s="231"/>
      <c r="I128" s="221" t="s">
        <v>357</v>
      </c>
      <c r="J128" s="222">
        <v>45355</v>
      </c>
      <c r="K128" s="223" t="s">
        <v>926</v>
      </c>
      <c r="L128" s="229"/>
      <c r="M128" s="471"/>
      <c r="N128" s="492"/>
      <c r="O128" s="225"/>
      <c r="P128" s="225"/>
      <c r="Q128" s="218">
        <v>2400</v>
      </c>
      <c r="R128" s="225" t="s">
        <v>387</v>
      </c>
      <c r="S128" s="226">
        <v>131199</v>
      </c>
      <c r="T128" s="227">
        <f t="shared" si="3"/>
        <v>314877.59999999998</v>
      </c>
    </row>
    <row r="129" spans="1:20" s="228" customFormat="1" ht="13.5" customHeight="1" x14ac:dyDescent="0.25">
      <c r="A129" s="477"/>
      <c r="B129" s="218"/>
      <c r="C129" s="218"/>
      <c r="D129" s="219" t="s">
        <v>158</v>
      </c>
      <c r="E129" s="220" t="s">
        <v>243</v>
      </c>
      <c r="F129" s="218">
        <v>6400</v>
      </c>
      <c r="G129" s="221">
        <v>32</v>
      </c>
      <c r="H129" s="221"/>
      <c r="I129" s="221" t="s">
        <v>357</v>
      </c>
      <c r="J129" s="222">
        <v>45355</v>
      </c>
      <c r="K129" s="223" t="s">
        <v>926</v>
      </c>
      <c r="L129" s="229"/>
      <c r="M129" s="471"/>
      <c r="N129" s="492"/>
      <c r="O129" s="225"/>
      <c r="P129" s="225"/>
      <c r="Q129" s="218">
        <v>6400</v>
      </c>
      <c r="R129" s="225" t="s">
        <v>387</v>
      </c>
      <c r="S129" s="226">
        <v>131199</v>
      </c>
      <c r="T129" s="227">
        <f t="shared" si="3"/>
        <v>839673.60000000009</v>
      </c>
    </row>
    <row r="130" spans="1:20" s="228" customFormat="1" x14ac:dyDescent="0.25">
      <c r="A130" s="477"/>
      <c r="B130" s="218"/>
      <c r="C130" s="218" t="s">
        <v>471</v>
      </c>
      <c r="D130" s="219" t="s">
        <v>190</v>
      </c>
      <c r="E130" s="220" t="s">
        <v>507</v>
      </c>
      <c r="F130" s="218">
        <v>2400</v>
      </c>
      <c r="G130" s="221">
        <v>12</v>
      </c>
      <c r="H130" s="221"/>
      <c r="I130" s="221" t="s">
        <v>357</v>
      </c>
      <c r="J130" s="222">
        <v>45355</v>
      </c>
      <c r="K130" s="223" t="s">
        <v>926</v>
      </c>
      <c r="L130" s="224"/>
      <c r="M130" s="471"/>
      <c r="N130" s="492"/>
      <c r="O130" s="225"/>
      <c r="P130" s="225"/>
      <c r="Q130" s="218">
        <v>2400</v>
      </c>
      <c r="R130" s="225" t="s">
        <v>387</v>
      </c>
      <c r="S130" s="226">
        <v>111100</v>
      </c>
      <c r="T130" s="227">
        <f t="shared" si="3"/>
        <v>266640</v>
      </c>
    </row>
    <row r="131" spans="1:20" s="228" customFormat="1" x14ac:dyDescent="0.25">
      <c r="A131" s="477"/>
      <c r="B131" s="218"/>
      <c r="C131" s="218" t="s">
        <v>471</v>
      </c>
      <c r="D131" s="219" t="s">
        <v>190</v>
      </c>
      <c r="E131" s="220" t="s">
        <v>515</v>
      </c>
      <c r="F131" s="218">
        <v>800</v>
      </c>
      <c r="G131" s="221">
        <v>4</v>
      </c>
      <c r="H131" s="221"/>
      <c r="I131" s="221" t="s">
        <v>357</v>
      </c>
      <c r="J131" s="222">
        <v>45355</v>
      </c>
      <c r="K131" s="223" t="s">
        <v>926</v>
      </c>
      <c r="L131" s="224"/>
      <c r="M131" s="471"/>
      <c r="N131" s="492"/>
      <c r="O131" s="225"/>
      <c r="P131" s="225"/>
      <c r="Q131" s="218">
        <v>800</v>
      </c>
      <c r="R131" s="225" t="s">
        <v>387</v>
      </c>
      <c r="S131" s="226">
        <v>111100</v>
      </c>
      <c r="T131" s="227">
        <f t="shared" si="3"/>
        <v>88880</v>
      </c>
    </row>
    <row r="132" spans="1:20" s="228" customFormat="1" ht="13.5" customHeight="1" x14ac:dyDescent="0.25">
      <c r="A132" s="477"/>
      <c r="B132" s="218"/>
      <c r="C132" s="218"/>
      <c r="D132" s="219" t="s">
        <v>158</v>
      </c>
      <c r="E132" s="220" t="s">
        <v>661</v>
      </c>
      <c r="F132" s="218">
        <v>400</v>
      </c>
      <c r="G132" s="221">
        <v>2</v>
      </c>
      <c r="H132" s="221"/>
      <c r="I132" s="221" t="s">
        <v>357</v>
      </c>
      <c r="J132" s="222">
        <v>45355</v>
      </c>
      <c r="K132" s="223" t="s">
        <v>926</v>
      </c>
      <c r="L132" s="229"/>
      <c r="M132" s="471"/>
      <c r="N132" s="492"/>
      <c r="O132" s="225"/>
      <c r="P132" s="225"/>
      <c r="Q132" s="218">
        <v>400</v>
      </c>
      <c r="R132" s="225" t="s">
        <v>387</v>
      </c>
      <c r="S132" s="226">
        <v>131199</v>
      </c>
      <c r="T132" s="227">
        <f t="shared" si="3"/>
        <v>52479.600000000006</v>
      </c>
    </row>
    <row r="133" spans="1:20" s="228" customFormat="1" x14ac:dyDescent="0.25">
      <c r="A133" s="478"/>
      <c r="B133" s="218"/>
      <c r="C133" s="218" t="s">
        <v>471</v>
      </c>
      <c r="D133" s="219" t="s">
        <v>190</v>
      </c>
      <c r="E133" s="220" t="s">
        <v>515</v>
      </c>
      <c r="F133" s="218">
        <v>400</v>
      </c>
      <c r="G133" s="221">
        <v>2</v>
      </c>
      <c r="H133" s="221"/>
      <c r="I133" s="221" t="s">
        <v>357</v>
      </c>
      <c r="J133" s="222">
        <v>45355</v>
      </c>
      <c r="K133" s="223" t="s">
        <v>926</v>
      </c>
      <c r="L133" s="224"/>
      <c r="M133" s="471"/>
      <c r="N133" s="493"/>
      <c r="O133" s="225"/>
      <c r="P133" s="225"/>
      <c r="Q133" s="218">
        <v>400</v>
      </c>
      <c r="R133" s="225" t="s">
        <v>387</v>
      </c>
      <c r="S133" s="226">
        <v>111100</v>
      </c>
      <c r="T133" s="227">
        <f t="shared" ref="T133:T154" si="4" xml:space="preserve"> S133*(F133/1000)</f>
        <v>44440</v>
      </c>
    </row>
    <row r="134" spans="1:20" s="228" customFormat="1" x14ac:dyDescent="0.25">
      <c r="A134" s="476" t="s">
        <v>689</v>
      </c>
      <c r="B134" s="218"/>
      <c r="C134" s="218" t="s">
        <v>565</v>
      </c>
      <c r="D134" s="219" t="s">
        <v>286</v>
      </c>
      <c r="E134" s="220" t="s">
        <v>555</v>
      </c>
      <c r="F134" s="218">
        <v>2375</v>
      </c>
      <c r="G134" s="221">
        <v>95</v>
      </c>
      <c r="H134" s="221"/>
      <c r="I134" s="221" t="s">
        <v>357</v>
      </c>
      <c r="J134" s="222">
        <v>45355</v>
      </c>
      <c r="K134" s="223" t="s">
        <v>926</v>
      </c>
      <c r="L134" s="224"/>
      <c r="M134" s="471"/>
      <c r="N134" s="470" t="s">
        <v>803</v>
      </c>
      <c r="O134" s="225"/>
      <c r="P134" s="218">
        <v>2375</v>
      </c>
      <c r="Q134" s="225"/>
      <c r="R134" s="225" t="s">
        <v>387</v>
      </c>
      <c r="S134" s="226">
        <v>297950</v>
      </c>
      <c r="T134" s="227">
        <f t="shared" si="4"/>
        <v>707631.25</v>
      </c>
    </row>
    <row r="135" spans="1:20" s="228" customFormat="1" x14ac:dyDescent="0.25">
      <c r="A135" s="477"/>
      <c r="B135" s="218"/>
      <c r="C135" s="218" t="s">
        <v>449</v>
      </c>
      <c r="D135" s="219" t="s">
        <v>279</v>
      </c>
      <c r="E135" s="220" t="s">
        <v>509</v>
      </c>
      <c r="F135" s="218">
        <v>7875</v>
      </c>
      <c r="G135" s="221">
        <v>315</v>
      </c>
      <c r="H135" s="221"/>
      <c r="I135" s="221" t="s">
        <v>357</v>
      </c>
      <c r="J135" s="222">
        <v>45355</v>
      </c>
      <c r="K135" s="223" t="s">
        <v>926</v>
      </c>
      <c r="L135" s="224"/>
      <c r="M135" s="471"/>
      <c r="N135" s="471"/>
      <c r="O135" s="218">
        <v>7875</v>
      </c>
      <c r="P135" s="225"/>
      <c r="Q135" s="225"/>
      <c r="R135" s="225" t="s">
        <v>387</v>
      </c>
      <c r="S135" s="226">
        <v>60600</v>
      </c>
      <c r="T135" s="227">
        <f t="shared" si="4"/>
        <v>477225</v>
      </c>
    </row>
    <row r="136" spans="1:20" s="228" customFormat="1" x14ac:dyDescent="0.25">
      <c r="A136" s="478"/>
      <c r="B136" s="218"/>
      <c r="C136" s="218" t="s">
        <v>449</v>
      </c>
      <c r="D136" s="219" t="s">
        <v>279</v>
      </c>
      <c r="E136" s="220" t="s">
        <v>430</v>
      </c>
      <c r="F136" s="218">
        <v>8875</v>
      </c>
      <c r="G136" s="221">
        <v>355</v>
      </c>
      <c r="H136" s="221"/>
      <c r="I136" s="221" t="s">
        <v>357</v>
      </c>
      <c r="J136" s="222">
        <v>45355</v>
      </c>
      <c r="K136" s="223" t="s">
        <v>926</v>
      </c>
      <c r="L136" s="224"/>
      <c r="M136" s="472"/>
      <c r="N136" s="472"/>
      <c r="O136" s="218">
        <v>8875</v>
      </c>
      <c r="P136" s="225"/>
      <c r="Q136" s="225"/>
      <c r="R136" s="225" t="s">
        <v>387</v>
      </c>
      <c r="S136" s="226">
        <v>60600</v>
      </c>
      <c r="T136" s="227">
        <f t="shared" si="4"/>
        <v>537825</v>
      </c>
    </row>
    <row r="137" spans="1:20" s="228" customFormat="1" x14ac:dyDescent="0.25">
      <c r="A137" s="476" t="s">
        <v>878</v>
      </c>
      <c r="B137" s="218"/>
      <c r="C137" s="218" t="s">
        <v>678</v>
      </c>
      <c r="D137" s="219" t="s">
        <v>340</v>
      </c>
      <c r="E137" s="220" t="s">
        <v>695</v>
      </c>
      <c r="F137" s="218">
        <v>1600</v>
      </c>
      <c r="G137" s="221">
        <v>8</v>
      </c>
      <c r="H137" s="221"/>
      <c r="I137" s="221" t="s">
        <v>357</v>
      </c>
      <c r="J137" s="290">
        <v>45376</v>
      </c>
      <c r="K137" s="223" t="s">
        <v>926</v>
      </c>
      <c r="L137" s="224"/>
      <c r="M137" s="470">
        <v>4298380920</v>
      </c>
      <c r="N137" s="470" t="s">
        <v>879</v>
      </c>
      <c r="O137" s="225"/>
      <c r="P137" s="225"/>
      <c r="Q137" s="218">
        <v>1600</v>
      </c>
      <c r="R137" s="225" t="s">
        <v>387</v>
      </c>
      <c r="S137" s="226">
        <v>116150</v>
      </c>
      <c r="T137" s="227">
        <f t="shared" si="4"/>
        <v>185840</v>
      </c>
    </row>
    <row r="138" spans="1:20" s="228" customFormat="1" x14ac:dyDescent="0.25">
      <c r="A138" s="477"/>
      <c r="B138" s="218"/>
      <c r="C138" s="218" t="s">
        <v>471</v>
      </c>
      <c r="D138" s="219" t="s">
        <v>190</v>
      </c>
      <c r="E138" s="220" t="s">
        <v>470</v>
      </c>
      <c r="F138" s="218">
        <v>1600</v>
      </c>
      <c r="G138" s="221">
        <v>8</v>
      </c>
      <c r="H138" s="221"/>
      <c r="I138" s="221" t="s">
        <v>357</v>
      </c>
      <c r="J138" s="290">
        <v>45376</v>
      </c>
      <c r="K138" s="223" t="s">
        <v>926</v>
      </c>
      <c r="L138" s="224"/>
      <c r="M138" s="471"/>
      <c r="N138" s="471"/>
      <c r="O138" s="225"/>
      <c r="P138" s="225"/>
      <c r="Q138" s="218">
        <v>1600</v>
      </c>
      <c r="R138" s="225" t="s">
        <v>387</v>
      </c>
      <c r="S138" s="226">
        <v>111100</v>
      </c>
      <c r="T138" s="227">
        <f t="shared" si="4"/>
        <v>177760</v>
      </c>
    </row>
    <row r="139" spans="1:20" s="228" customFormat="1" x14ac:dyDescent="0.25">
      <c r="A139" s="477"/>
      <c r="B139" s="218"/>
      <c r="C139" s="218" t="s">
        <v>471</v>
      </c>
      <c r="D139" s="219" t="s">
        <v>190</v>
      </c>
      <c r="E139" s="220" t="s">
        <v>515</v>
      </c>
      <c r="F139" s="218">
        <v>400</v>
      </c>
      <c r="G139" s="221">
        <v>2</v>
      </c>
      <c r="H139" s="221"/>
      <c r="I139" s="221" t="s">
        <v>357</v>
      </c>
      <c r="J139" s="290">
        <v>45376</v>
      </c>
      <c r="K139" s="223" t="s">
        <v>926</v>
      </c>
      <c r="L139" s="224"/>
      <c r="M139" s="471"/>
      <c r="N139" s="471"/>
      <c r="O139" s="225"/>
      <c r="P139" s="225"/>
      <c r="Q139" s="218">
        <v>400</v>
      </c>
      <c r="R139" s="225" t="s">
        <v>387</v>
      </c>
      <c r="S139" s="226">
        <v>111100</v>
      </c>
      <c r="T139" s="227">
        <f t="shared" si="4"/>
        <v>44440</v>
      </c>
    </row>
    <row r="140" spans="1:20" s="228" customFormat="1" x14ac:dyDescent="0.25">
      <c r="A140" s="477"/>
      <c r="B140" s="218"/>
      <c r="C140" s="218" t="s">
        <v>692</v>
      </c>
      <c r="D140" s="219" t="s">
        <v>190</v>
      </c>
      <c r="E140" s="220" t="s">
        <v>693</v>
      </c>
      <c r="F140" s="218">
        <v>400</v>
      </c>
      <c r="G140" s="221">
        <v>2</v>
      </c>
      <c r="H140" s="221"/>
      <c r="I140" s="221" t="s">
        <v>357</v>
      </c>
      <c r="J140" s="290">
        <v>45376</v>
      </c>
      <c r="K140" s="223" t="s">
        <v>926</v>
      </c>
      <c r="L140" s="224"/>
      <c r="M140" s="471"/>
      <c r="N140" s="471"/>
      <c r="O140" s="225"/>
      <c r="P140" s="225"/>
      <c r="Q140" s="218">
        <v>400</v>
      </c>
      <c r="R140" s="225" t="s">
        <v>387</v>
      </c>
      <c r="S140" s="226">
        <v>111100</v>
      </c>
      <c r="T140" s="227">
        <f t="shared" si="4"/>
        <v>44440</v>
      </c>
    </row>
    <row r="141" spans="1:20" s="228" customFormat="1" x14ac:dyDescent="0.25">
      <c r="A141" s="477"/>
      <c r="B141" s="218"/>
      <c r="C141" s="218" t="s">
        <v>733</v>
      </c>
      <c r="D141" s="219" t="s">
        <v>190</v>
      </c>
      <c r="E141" s="220" t="s">
        <v>706</v>
      </c>
      <c r="F141" s="218">
        <v>800</v>
      </c>
      <c r="G141" s="221">
        <v>4</v>
      </c>
      <c r="H141" s="221"/>
      <c r="I141" s="221" t="s">
        <v>357</v>
      </c>
      <c r="J141" s="290">
        <v>45376</v>
      </c>
      <c r="K141" s="223" t="s">
        <v>926</v>
      </c>
      <c r="L141" s="224"/>
      <c r="M141" s="471"/>
      <c r="N141" s="471"/>
      <c r="O141" s="225"/>
      <c r="P141" s="225"/>
      <c r="Q141" s="218">
        <v>800</v>
      </c>
      <c r="R141" s="225" t="s">
        <v>387</v>
      </c>
      <c r="S141" s="226">
        <v>111100</v>
      </c>
      <c r="T141" s="227">
        <f t="shared" si="4"/>
        <v>88880</v>
      </c>
    </row>
    <row r="142" spans="1:20" s="228" customFormat="1" x14ac:dyDescent="0.25">
      <c r="A142" s="477"/>
      <c r="B142" s="218"/>
      <c r="C142" s="218" t="s">
        <v>733</v>
      </c>
      <c r="D142" s="219" t="s">
        <v>190</v>
      </c>
      <c r="E142" s="220" t="s">
        <v>734</v>
      </c>
      <c r="F142" s="218">
        <v>800</v>
      </c>
      <c r="G142" s="221">
        <v>4</v>
      </c>
      <c r="H142" s="221"/>
      <c r="I142" s="221" t="s">
        <v>357</v>
      </c>
      <c r="J142" s="290">
        <v>45376</v>
      </c>
      <c r="K142" s="223" t="s">
        <v>926</v>
      </c>
      <c r="L142" s="224"/>
      <c r="M142" s="471"/>
      <c r="N142" s="471"/>
      <c r="O142" s="225"/>
      <c r="P142" s="225"/>
      <c r="Q142" s="218">
        <v>800</v>
      </c>
      <c r="R142" s="225" t="s">
        <v>387</v>
      </c>
      <c r="S142" s="226">
        <v>111100</v>
      </c>
      <c r="T142" s="227">
        <f t="shared" si="4"/>
        <v>88880</v>
      </c>
    </row>
    <row r="143" spans="1:20" s="228" customFormat="1" x14ac:dyDescent="0.25">
      <c r="A143" s="477"/>
      <c r="B143" s="218"/>
      <c r="C143" s="218" t="s">
        <v>733</v>
      </c>
      <c r="D143" s="219" t="s">
        <v>190</v>
      </c>
      <c r="E143" s="220" t="s">
        <v>735</v>
      </c>
      <c r="F143" s="218">
        <v>400</v>
      </c>
      <c r="G143" s="221">
        <v>2</v>
      </c>
      <c r="H143" s="221"/>
      <c r="I143" s="221" t="s">
        <v>357</v>
      </c>
      <c r="J143" s="290">
        <v>45376</v>
      </c>
      <c r="K143" s="223" t="s">
        <v>926</v>
      </c>
      <c r="L143" s="224"/>
      <c r="M143" s="471"/>
      <c r="N143" s="471"/>
      <c r="O143" s="225"/>
      <c r="P143" s="225"/>
      <c r="Q143" s="218">
        <v>400</v>
      </c>
      <c r="R143" s="225" t="s">
        <v>387</v>
      </c>
      <c r="S143" s="226">
        <v>111100</v>
      </c>
      <c r="T143" s="227">
        <f t="shared" si="4"/>
        <v>44440</v>
      </c>
    </row>
    <row r="144" spans="1:20" s="228" customFormat="1" x14ac:dyDescent="0.25">
      <c r="A144" s="477"/>
      <c r="B144" s="218"/>
      <c r="C144" s="218" t="s">
        <v>733</v>
      </c>
      <c r="D144" s="219" t="s">
        <v>190</v>
      </c>
      <c r="E144" s="220" t="s">
        <v>752</v>
      </c>
      <c r="F144" s="218">
        <v>400</v>
      </c>
      <c r="G144" s="221">
        <v>2</v>
      </c>
      <c r="H144" s="221"/>
      <c r="I144" s="221" t="s">
        <v>357</v>
      </c>
      <c r="J144" s="290">
        <v>45376</v>
      </c>
      <c r="K144" s="223" t="s">
        <v>926</v>
      </c>
      <c r="L144" s="224"/>
      <c r="M144" s="471"/>
      <c r="N144" s="471"/>
      <c r="O144" s="225"/>
      <c r="P144" s="225"/>
      <c r="Q144" s="218">
        <v>400</v>
      </c>
      <c r="R144" s="225" t="s">
        <v>387</v>
      </c>
      <c r="S144" s="226">
        <v>111100</v>
      </c>
      <c r="T144" s="227">
        <f t="shared" si="4"/>
        <v>44440</v>
      </c>
    </row>
    <row r="145" spans="1:20" s="228" customFormat="1" x14ac:dyDescent="0.25">
      <c r="A145" s="477"/>
      <c r="B145" s="218"/>
      <c r="C145" s="218" t="s">
        <v>733</v>
      </c>
      <c r="D145" s="219" t="s">
        <v>190</v>
      </c>
      <c r="E145" s="220" t="s">
        <v>784</v>
      </c>
      <c r="F145" s="218">
        <v>600</v>
      </c>
      <c r="G145" s="221">
        <v>3</v>
      </c>
      <c r="H145" s="221"/>
      <c r="I145" s="221" t="s">
        <v>357</v>
      </c>
      <c r="J145" s="290">
        <v>45376</v>
      </c>
      <c r="K145" s="223" t="s">
        <v>926</v>
      </c>
      <c r="L145" s="224"/>
      <c r="M145" s="471"/>
      <c r="N145" s="471"/>
      <c r="O145" s="225"/>
      <c r="P145" s="225"/>
      <c r="Q145" s="218">
        <v>600</v>
      </c>
      <c r="R145" s="225" t="s">
        <v>387</v>
      </c>
      <c r="S145" s="226">
        <v>111100</v>
      </c>
      <c r="T145" s="227">
        <f t="shared" si="4"/>
        <v>66660</v>
      </c>
    </row>
    <row r="146" spans="1:20" s="228" customFormat="1" x14ac:dyDescent="0.25">
      <c r="A146" s="477"/>
      <c r="B146" s="218"/>
      <c r="C146" s="218" t="s">
        <v>733</v>
      </c>
      <c r="D146" s="219" t="s">
        <v>190</v>
      </c>
      <c r="E146" s="220" t="s">
        <v>785</v>
      </c>
      <c r="F146" s="218">
        <v>1000</v>
      </c>
      <c r="G146" s="221">
        <v>5</v>
      </c>
      <c r="H146" s="221"/>
      <c r="I146" s="221" t="s">
        <v>357</v>
      </c>
      <c r="J146" s="290">
        <v>45376</v>
      </c>
      <c r="K146" s="223" t="s">
        <v>926</v>
      </c>
      <c r="L146" s="224"/>
      <c r="M146" s="471"/>
      <c r="N146" s="471"/>
      <c r="O146" s="225"/>
      <c r="P146" s="225"/>
      <c r="Q146" s="218">
        <v>1000</v>
      </c>
      <c r="R146" s="225" t="s">
        <v>387</v>
      </c>
      <c r="S146" s="226">
        <v>111100</v>
      </c>
      <c r="T146" s="227">
        <f t="shared" si="4"/>
        <v>111100</v>
      </c>
    </row>
    <row r="147" spans="1:20" s="228" customFormat="1" x14ac:dyDescent="0.25">
      <c r="A147" s="478"/>
      <c r="B147" s="218"/>
      <c r="C147" s="218" t="s">
        <v>682</v>
      </c>
      <c r="D147" s="219" t="s">
        <v>279</v>
      </c>
      <c r="E147" s="220" t="s">
        <v>693</v>
      </c>
      <c r="F147" s="218">
        <v>10000</v>
      </c>
      <c r="G147" s="221">
        <v>400</v>
      </c>
      <c r="H147" s="221"/>
      <c r="I147" s="221" t="s">
        <v>357</v>
      </c>
      <c r="J147" s="290">
        <v>45376</v>
      </c>
      <c r="K147" s="223" t="s">
        <v>926</v>
      </c>
      <c r="L147" s="224"/>
      <c r="M147" s="471"/>
      <c r="N147" s="472"/>
      <c r="O147" s="218">
        <v>10000</v>
      </c>
      <c r="P147" s="225"/>
      <c r="Q147" s="225"/>
      <c r="R147" s="225" t="s">
        <v>387</v>
      </c>
      <c r="S147" s="226">
        <v>60600</v>
      </c>
      <c r="T147" s="227">
        <f t="shared" si="4"/>
        <v>606000</v>
      </c>
    </row>
    <row r="148" spans="1:20" s="228" customFormat="1" x14ac:dyDescent="0.25">
      <c r="A148" s="476" t="s">
        <v>884</v>
      </c>
      <c r="B148" s="218"/>
      <c r="C148" s="218" t="s">
        <v>678</v>
      </c>
      <c r="D148" s="219" t="s">
        <v>340</v>
      </c>
      <c r="E148" s="220" t="s">
        <v>695</v>
      </c>
      <c r="F148" s="218">
        <v>6400</v>
      </c>
      <c r="G148" s="221">
        <v>32</v>
      </c>
      <c r="H148" s="221"/>
      <c r="I148" s="221" t="s">
        <v>357</v>
      </c>
      <c r="J148" s="290">
        <v>45376</v>
      </c>
      <c r="K148" s="223" t="s">
        <v>926</v>
      </c>
      <c r="L148" s="224"/>
      <c r="M148" s="471"/>
      <c r="N148" s="470" t="s">
        <v>885</v>
      </c>
      <c r="O148" s="225"/>
      <c r="P148" s="225"/>
      <c r="Q148" s="218">
        <v>6400</v>
      </c>
      <c r="R148" s="225" t="s">
        <v>387</v>
      </c>
      <c r="S148" s="226">
        <v>116150</v>
      </c>
      <c r="T148" s="227">
        <f t="shared" si="4"/>
        <v>743360</v>
      </c>
    </row>
    <row r="149" spans="1:20" s="228" customFormat="1" x14ac:dyDescent="0.25">
      <c r="A149" s="477"/>
      <c r="B149" s="218"/>
      <c r="C149" s="218" t="s">
        <v>678</v>
      </c>
      <c r="D149" s="219" t="s">
        <v>340</v>
      </c>
      <c r="E149" s="220" t="s">
        <v>679</v>
      </c>
      <c r="F149" s="218">
        <v>5000</v>
      </c>
      <c r="G149" s="221">
        <v>25</v>
      </c>
      <c r="H149" s="221"/>
      <c r="I149" s="221" t="s">
        <v>357</v>
      </c>
      <c r="J149" s="290">
        <v>45376</v>
      </c>
      <c r="K149" s="223" t="s">
        <v>926</v>
      </c>
      <c r="L149" s="224"/>
      <c r="M149" s="471"/>
      <c r="N149" s="471"/>
      <c r="O149" s="225"/>
      <c r="P149" s="218">
        <v>5000</v>
      </c>
      <c r="Q149" s="218"/>
      <c r="R149" s="225" t="s">
        <v>387</v>
      </c>
      <c r="S149" s="226">
        <v>116150</v>
      </c>
      <c r="T149" s="227">
        <f t="shared" si="4"/>
        <v>580750</v>
      </c>
    </row>
    <row r="150" spans="1:20" s="228" customFormat="1" x14ac:dyDescent="0.25">
      <c r="A150" s="477"/>
      <c r="B150" s="218"/>
      <c r="C150" s="218" t="s">
        <v>694</v>
      </c>
      <c r="D150" s="219" t="s">
        <v>310</v>
      </c>
      <c r="E150" s="220" t="s">
        <v>507</v>
      </c>
      <c r="F150" s="218">
        <v>2000</v>
      </c>
      <c r="G150" s="221">
        <v>80</v>
      </c>
      <c r="H150" s="221"/>
      <c r="I150" s="221" t="s">
        <v>357</v>
      </c>
      <c r="J150" s="290">
        <v>45376</v>
      </c>
      <c r="K150" s="223" t="s">
        <v>926</v>
      </c>
      <c r="L150" s="224"/>
      <c r="M150" s="471"/>
      <c r="N150" s="471"/>
      <c r="O150" s="218"/>
      <c r="P150" s="218">
        <v>2000</v>
      </c>
      <c r="Q150" s="225"/>
      <c r="R150" s="225" t="s">
        <v>387</v>
      </c>
      <c r="S150" s="226">
        <v>131300</v>
      </c>
      <c r="T150" s="227">
        <f t="shared" si="4"/>
        <v>262600</v>
      </c>
    </row>
    <row r="151" spans="1:20" s="228" customFormat="1" x14ac:dyDescent="0.25">
      <c r="A151" s="477"/>
      <c r="B151" s="218"/>
      <c r="C151" s="218" t="s">
        <v>682</v>
      </c>
      <c r="D151" s="219" t="s">
        <v>279</v>
      </c>
      <c r="E151" s="220" t="s">
        <v>693</v>
      </c>
      <c r="F151" s="218">
        <v>1000</v>
      </c>
      <c r="G151" s="221">
        <v>40</v>
      </c>
      <c r="H151" s="221"/>
      <c r="I151" s="221" t="s">
        <v>357</v>
      </c>
      <c r="J151" s="290">
        <v>45376</v>
      </c>
      <c r="K151" s="223" t="s">
        <v>926</v>
      </c>
      <c r="L151" s="224"/>
      <c r="M151" s="471"/>
      <c r="N151" s="471"/>
      <c r="O151" s="218">
        <v>1000</v>
      </c>
      <c r="P151" s="225"/>
      <c r="Q151" s="225"/>
      <c r="R151" s="225" t="s">
        <v>387</v>
      </c>
      <c r="S151" s="226">
        <v>60600</v>
      </c>
      <c r="T151" s="227">
        <f t="shared" si="4"/>
        <v>60600</v>
      </c>
    </row>
    <row r="152" spans="1:20" s="228" customFormat="1" x14ac:dyDescent="0.25">
      <c r="A152" s="477"/>
      <c r="B152" s="218"/>
      <c r="C152" s="218" t="s">
        <v>682</v>
      </c>
      <c r="D152" s="219" t="s">
        <v>279</v>
      </c>
      <c r="E152" s="220" t="s">
        <v>706</v>
      </c>
      <c r="F152" s="218">
        <v>500</v>
      </c>
      <c r="G152" s="221">
        <v>20</v>
      </c>
      <c r="H152" s="221"/>
      <c r="I152" s="221" t="s">
        <v>357</v>
      </c>
      <c r="J152" s="290">
        <v>45376</v>
      </c>
      <c r="K152" s="223" t="s">
        <v>926</v>
      </c>
      <c r="L152" s="224"/>
      <c r="M152" s="471"/>
      <c r="N152" s="471"/>
      <c r="O152" s="218">
        <v>500</v>
      </c>
      <c r="P152" s="225"/>
      <c r="Q152" s="225"/>
      <c r="R152" s="225" t="s">
        <v>387</v>
      </c>
      <c r="S152" s="226">
        <v>60600</v>
      </c>
      <c r="T152" s="227">
        <f t="shared" si="4"/>
        <v>30300</v>
      </c>
    </row>
    <row r="153" spans="1:20" s="228" customFormat="1" x14ac:dyDescent="0.25">
      <c r="A153" s="477"/>
      <c r="B153" s="218"/>
      <c r="C153" s="218" t="s">
        <v>733</v>
      </c>
      <c r="D153" s="219" t="s">
        <v>190</v>
      </c>
      <c r="E153" s="220" t="s">
        <v>515</v>
      </c>
      <c r="F153" s="218">
        <v>200</v>
      </c>
      <c r="G153" s="221">
        <v>1</v>
      </c>
      <c r="H153" s="221"/>
      <c r="I153" s="221" t="s">
        <v>357</v>
      </c>
      <c r="J153" s="290">
        <v>45376</v>
      </c>
      <c r="K153" s="223" t="s">
        <v>926</v>
      </c>
      <c r="L153" s="224"/>
      <c r="M153" s="471"/>
      <c r="N153" s="471"/>
      <c r="O153" s="225"/>
      <c r="P153" s="225"/>
      <c r="Q153" s="218">
        <v>200</v>
      </c>
      <c r="R153" s="225" t="s">
        <v>387</v>
      </c>
      <c r="S153" s="226">
        <v>111100</v>
      </c>
      <c r="T153" s="227">
        <f t="shared" si="4"/>
        <v>22220</v>
      </c>
    </row>
    <row r="154" spans="1:20" s="228" customFormat="1" x14ac:dyDescent="0.25">
      <c r="A154" s="478"/>
      <c r="B154" s="218"/>
      <c r="C154" s="218" t="s">
        <v>876</v>
      </c>
      <c r="D154" s="219" t="s">
        <v>211</v>
      </c>
      <c r="E154" s="220" t="s">
        <v>875</v>
      </c>
      <c r="F154" s="218">
        <v>1800</v>
      </c>
      <c r="G154" s="221">
        <v>9</v>
      </c>
      <c r="H154" s="221"/>
      <c r="I154" s="221" t="s">
        <v>357</v>
      </c>
      <c r="J154" s="290">
        <v>45376</v>
      </c>
      <c r="K154" s="223" t="s">
        <v>926</v>
      </c>
      <c r="L154" s="224"/>
      <c r="M154" s="472"/>
      <c r="N154" s="472"/>
      <c r="O154" s="225"/>
      <c r="P154" s="225"/>
      <c r="Q154" s="218">
        <v>1800</v>
      </c>
      <c r="R154" s="225" t="s">
        <v>387</v>
      </c>
      <c r="S154" s="226">
        <v>111100</v>
      </c>
      <c r="T154" s="227">
        <f t="shared" si="4"/>
        <v>199980</v>
      </c>
    </row>
    <row r="155" spans="1:20" ht="18.75" x14ac:dyDescent="0.3">
      <c r="A155" s="126" t="s">
        <v>15</v>
      </c>
      <c r="B155" s="110">
        <f>SUM(F5:F154)/1000</f>
        <v>1116.2584999999999</v>
      </c>
      <c r="C155" s="57" t="s">
        <v>14</v>
      </c>
      <c r="S155" s="102"/>
      <c r="T155" s="102">
        <f>SUM(T5:T154)</f>
        <v>101207794.69999997</v>
      </c>
    </row>
    <row r="156" spans="1:20" ht="18.75" x14ac:dyDescent="0.3">
      <c r="A156" s="127" t="s">
        <v>16</v>
      </c>
      <c r="B156" s="111">
        <f>B157+B158+B159</f>
        <v>1116.2584999999999</v>
      </c>
      <c r="C156" s="1" t="s">
        <v>14</v>
      </c>
    </row>
    <row r="157" spans="1:20" ht="18.75" x14ac:dyDescent="0.3">
      <c r="A157" s="128" t="s">
        <v>17</v>
      </c>
      <c r="B157" s="109">
        <f>SUM(O5:O154)/1000</f>
        <v>434.81349999999998</v>
      </c>
      <c r="C157" s="2" t="s">
        <v>14</v>
      </c>
    </row>
    <row r="158" spans="1:20" ht="18.75" x14ac:dyDescent="0.3">
      <c r="A158" s="128" t="s">
        <v>154</v>
      </c>
      <c r="B158" s="109">
        <f>SUM(P5:P154)/1000</f>
        <v>145.33500000000001</v>
      </c>
      <c r="C158" s="2" t="s">
        <v>14</v>
      </c>
    </row>
    <row r="159" spans="1:20" ht="18.75" x14ac:dyDescent="0.3">
      <c r="A159" s="128" t="s">
        <v>24</v>
      </c>
      <c r="B159" s="112">
        <f>SUM(Q5:Q154)/1000</f>
        <v>536.11</v>
      </c>
      <c r="C159" s="2" t="s">
        <v>14</v>
      </c>
    </row>
    <row r="160" spans="1:20" ht="19.5" thickBot="1" x14ac:dyDescent="0.35">
      <c r="A160" s="129" t="s">
        <v>20</v>
      </c>
      <c r="B160" s="113">
        <f>B155-B156</f>
        <v>0</v>
      </c>
      <c r="C160" s="3" t="s">
        <v>14</v>
      </c>
    </row>
  </sheetData>
  <sheetProtection formatCells="0" formatColumns="0" formatRows="0" insertColumns="0" insertRows="0" insertHyperlinks="0" deleteColumns="0" deleteRows="0" sort="0" autoFilter="0" pivotTables="0"/>
  <autoFilter ref="D1:D160" xr:uid="{00000000-0009-0000-0000-000009000000}"/>
  <mergeCells count="67">
    <mergeCell ref="N148:N154"/>
    <mergeCell ref="N104:N109"/>
    <mergeCell ref="A104:A109"/>
    <mergeCell ref="A137:A147"/>
    <mergeCell ref="N137:N147"/>
    <mergeCell ref="A110:A111"/>
    <mergeCell ref="N110:N111"/>
    <mergeCell ref="A112:A115"/>
    <mergeCell ref="N112:N115"/>
    <mergeCell ref="N125:N126"/>
    <mergeCell ref="M123:M126"/>
    <mergeCell ref="A127:A133"/>
    <mergeCell ref="N127:N133"/>
    <mergeCell ref="M127:M136"/>
    <mergeCell ref="N134:N136"/>
    <mergeCell ref="N123:N124"/>
    <mergeCell ref="N77:N79"/>
    <mergeCell ref="M116:M122"/>
    <mergeCell ref="N91:N92"/>
    <mergeCell ref="N80:N84"/>
    <mergeCell ref="N97:N98"/>
    <mergeCell ref="N85:N86"/>
    <mergeCell ref="N93:N96"/>
    <mergeCell ref="N87:N90"/>
    <mergeCell ref="N100:N101"/>
    <mergeCell ref="N102:N103"/>
    <mergeCell ref="M87:M92"/>
    <mergeCell ref="M80:M86"/>
    <mergeCell ref="M93:M98"/>
    <mergeCell ref="M76:M79"/>
    <mergeCell ref="N116:N118"/>
    <mergeCell ref="K14:L14"/>
    <mergeCell ref="N36:N37"/>
    <mergeCell ref="A134:A136"/>
    <mergeCell ref="N119:N122"/>
    <mergeCell ref="A77:A79"/>
    <mergeCell ref="A125:A126"/>
    <mergeCell ref="A123:A124"/>
    <mergeCell ref="A119:A122"/>
    <mergeCell ref="A91:A92"/>
    <mergeCell ref="A80:A84"/>
    <mergeCell ref="A97:A98"/>
    <mergeCell ref="A85:A86"/>
    <mergeCell ref="A93:A96"/>
    <mergeCell ref="A87:A90"/>
    <mergeCell ref="A100:A101"/>
    <mergeCell ref="A102:A103"/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  <mergeCell ref="M137:M154"/>
    <mergeCell ref="M102:M109"/>
    <mergeCell ref="M110:M115"/>
    <mergeCell ref="M99:M101"/>
    <mergeCell ref="A36:A37"/>
    <mergeCell ref="A116:A118"/>
    <mergeCell ref="A148:A154"/>
    <mergeCell ref="K67:L67"/>
  </mergeCells>
  <phoneticPr fontId="28" type="noConversion"/>
  <dataValidations count="1">
    <dataValidation type="list" allowBlank="1" showInputMessage="1" showErrorMessage="1" sqref="D155" xr:uid="{00000000-0002-0000-0900-000000000000}">
      <formula1>$E$155:$E$171</formula1>
    </dataValidation>
  </dataValidations>
  <pageMargins left="0.7" right="0.7" top="0.75" bottom="0.75" header="0.3" footer="0.3"/>
  <pageSetup paperSize="9" scale="22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1000000}">
          <x14:formula1>
            <xm:f>справочник!$E$2:$E$152</xm:f>
          </x14:formula1>
          <xm:sqref>D5:D154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45"/>
  <sheetViews>
    <sheetView zoomScale="70" zoomScaleNormal="70" zoomScaleSheetLayoutView="70" workbookViewId="0">
      <pane ySplit="3" topLeftCell="A106" activePane="bottomLeft" state="frozen"/>
      <selection pane="bottomLeft" activeCell="B75" sqref="B75"/>
    </sheetView>
  </sheetViews>
  <sheetFormatPr defaultRowHeight="15" x14ac:dyDescent="0.25"/>
  <cols>
    <col min="1" max="1" width="22.42578125" style="130" customWidth="1"/>
    <col min="2" max="2" width="23.7109375" customWidth="1"/>
    <col min="3" max="3" width="24.7109375" customWidth="1"/>
    <col min="4" max="4" width="41.140625" customWidth="1"/>
    <col min="5" max="5" width="16.85546875" customWidth="1"/>
    <col min="6" max="6" width="13" bestFit="1" customWidth="1"/>
    <col min="7" max="7" width="16.7109375" customWidth="1"/>
    <col min="8" max="8" width="20.7109375" customWidth="1"/>
    <col min="9" max="9" width="33.85546875" customWidth="1"/>
    <col min="10" max="10" width="16.42578125" customWidth="1"/>
    <col min="11" max="11" width="30.42578125" customWidth="1"/>
    <col min="12" max="12" width="25.5703125" customWidth="1"/>
    <col min="13" max="13" width="26.5703125" customWidth="1"/>
    <col min="14" max="14" width="21.42578125" style="120" customWidth="1"/>
    <col min="18" max="18" width="12.42578125" customWidth="1"/>
    <col min="19" max="19" width="25.1406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45323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55" t="s">
        <v>1</v>
      </c>
      <c r="G3" s="55" t="s">
        <v>156</v>
      </c>
      <c r="H3" s="453"/>
      <c r="I3" s="455"/>
      <c r="J3" s="457"/>
      <c r="K3" s="54" t="s">
        <v>8</v>
      </c>
      <c r="L3" s="54" t="s">
        <v>21</v>
      </c>
      <c r="M3" s="54" t="s">
        <v>10</v>
      </c>
      <c r="N3" s="122" t="s">
        <v>11</v>
      </c>
      <c r="O3" s="5" t="s">
        <v>13</v>
      </c>
      <c r="P3" s="5" t="s">
        <v>155</v>
      </c>
      <c r="Q3" s="124" t="s">
        <v>23</v>
      </c>
      <c r="R3" s="439"/>
      <c r="S3" s="68" t="s">
        <v>162</v>
      </c>
      <c r="T3" s="99" t="s">
        <v>163</v>
      </c>
    </row>
    <row r="4" spans="1:20" x14ac:dyDescent="0.25">
      <c r="A4" s="242"/>
      <c r="B4" s="243"/>
      <c r="C4" s="244"/>
      <c r="D4" s="245"/>
      <c r="E4" s="246"/>
      <c r="F4" s="55"/>
      <c r="G4" s="55"/>
      <c r="H4" s="247"/>
      <c r="I4" s="248"/>
      <c r="J4" s="249"/>
      <c r="K4" s="54"/>
      <c r="L4" s="54"/>
      <c r="M4" s="54"/>
      <c r="N4" s="122"/>
      <c r="O4" s="5"/>
      <c r="P4" s="5"/>
      <c r="Q4" s="124"/>
      <c r="R4" s="241"/>
      <c r="S4" s="68"/>
      <c r="T4" s="99"/>
    </row>
    <row r="5" spans="1:20" s="261" customFormat="1" ht="13.5" customHeight="1" x14ac:dyDescent="0.25">
      <c r="A5" s="253" t="s">
        <v>224</v>
      </c>
      <c r="B5" s="254" t="s">
        <v>466</v>
      </c>
      <c r="C5" s="255" t="s">
        <v>436</v>
      </c>
      <c r="D5" s="98" t="s">
        <v>316</v>
      </c>
      <c r="E5" s="256">
        <v>260124</v>
      </c>
      <c r="F5" s="255">
        <v>20000</v>
      </c>
      <c r="G5" s="256">
        <v>1000</v>
      </c>
      <c r="H5" s="256" t="s">
        <v>467</v>
      </c>
      <c r="I5" s="69" t="s">
        <v>357</v>
      </c>
      <c r="J5" s="257">
        <v>45323</v>
      </c>
      <c r="K5" s="258" t="s">
        <v>610</v>
      </c>
      <c r="L5" s="259">
        <v>89315066055</v>
      </c>
      <c r="M5" s="258" t="s">
        <v>611</v>
      </c>
      <c r="N5" s="260"/>
      <c r="P5" s="262">
        <v>20000</v>
      </c>
      <c r="Q5" s="263"/>
      <c r="R5" s="263" t="s">
        <v>387</v>
      </c>
      <c r="S5" s="264">
        <v>83000</v>
      </c>
      <c r="T5" s="265">
        <f t="shared" ref="T5:T36" si="0" xml:space="preserve"> S5*(F5/1000)</f>
        <v>1660000</v>
      </c>
    </row>
    <row r="6" spans="1:20" s="67" customFormat="1" ht="13.5" customHeight="1" x14ac:dyDescent="0.25">
      <c r="A6" s="202" t="s">
        <v>240</v>
      </c>
      <c r="B6" s="97" t="s">
        <v>360</v>
      </c>
      <c r="C6" s="97" t="s">
        <v>165</v>
      </c>
      <c r="D6" s="98" t="s">
        <v>291</v>
      </c>
      <c r="E6" s="59" t="s">
        <v>388</v>
      </c>
      <c r="F6" s="97">
        <v>15876</v>
      </c>
      <c r="G6" s="69">
        <v>700</v>
      </c>
      <c r="H6" s="69" t="s">
        <v>172</v>
      </c>
      <c r="I6" s="69" t="s">
        <v>357</v>
      </c>
      <c r="J6" s="58">
        <v>45324</v>
      </c>
      <c r="K6" s="105"/>
      <c r="L6" s="123"/>
      <c r="M6" s="105"/>
      <c r="N6" s="58" t="s">
        <v>511</v>
      </c>
      <c r="O6" s="97">
        <v>15876</v>
      </c>
      <c r="P6" s="60"/>
      <c r="Q6" s="56"/>
      <c r="R6" s="56" t="s">
        <v>387</v>
      </c>
      <c r="S6" s="100">
        <v>49500</v>
      </c>
      <c r="T6" s="116">
        <f t="shared" si="0"/>
        <v>785862</v>
      </c>
    </row>
    <row r="7" spans="1:20" s="67" customFormat="1" ht="13.5" customHeight="1" x14ac:dyDescent="0.25">
      <c r="A7" s="176" t="s">
        <v>240</v>
      </c>
      <c r="B7" s="97" t="s">
        <v>360</v>
      </c>
      <c r="C7" s="97" t="s">
        <v>165</v>
      </c>
      <c r="D7" s="98" t="s">
        <v>291</v>
      </c>
      <c r="E7" s="59" t="s">
        <v>409</v>
      </c>
      <c r="F7" s="97">
        <v>15876</v>
      </c>
      <c r="G7" s="69">
        <v>700</v>
      </c>
      <c r="H7" s="69" t="s">
        <v>172</v>
      </c>
      <c r="I7" s="69" t="s">
        <v>357</v>
      </c>
      <c r="J7" s="58">
        <v>45324</v>
      </c>
      <c r="K7" s="105"/>
      <c r="L7" s="123"/>
      <c r="M7" s="105"/>
      <c r="N7" s="58" t="s">
        <v>512</v>
      </c>
      <c r="O7" s="97">
        <v>15876</v>
      </c>
      <c r="P7" s="60"/>
      <c r="Q7" s="56"/>
      <c r="R7" s="56" t="s">
        <v>387</v>
      </c>
      <c r="S7" s="100">
        <v>49500</v>
      </c>
      <c r="T7" s="116">
        <f t="shared" si="0"/>
        <v>785862</v>
      </c>
    </row>
    <row r="8" spans="1:20" s="67" customFormat="1" ht="13.5" customHeight="1" x14ac:dyDescent="0.25">
      <c r="A8" s="176" t="s">
        <v>240</v>
      </c>
      <c r="B8" s="97" t="s">
        <v>360</v>
      </c>
      <c r="C8" s="97" t="s">
        <v>165</v>
      </c>
      <c r="D8" s="98" t="s">
        <v>291</v>
      </c>
      <c r="E8" s="59" t="s">
        <v>609</v>
      </c>
      <c r="F8" s="97">
        <v>15876</v>
      </c>
      <c r="G8" s="69">
        <v>700</v>
      </c>
      <c r="H8" s="69" t="s">
        <v>172</v>
      </c>
      <c r="I8" s="69" t="s">
        <v>357</v>
      </c>
      <c r="J8" s="58">
        <v>45324</v>
      </c>
      <c r="K8" s="105"/>
      <c r="L8" s="123"/>
      <c r="M8" s="105"/>
      <c r="N8" s="58" t="s">
        <v>510</v>
      </c>
      <c r="O8" s="97">
        <v>15876</v>
      </c>
      <c r="P8" s="60"/>
      <c r="Q8" s="56"/>
      <c r="R8" s="56" t="s">
        <v>387</v>
      </c>
      <c r="S8" s="100">
        <v>49500</v>
      </c>
      <c r="T8" s="116">
        <f t="shared" si="0"/>
        <v>785862</v>
      </c>
    </row>
    <row r="9" spans="1:20" s="215" customFormat="1" ht="13.5" customHeight="1" x14ac:dyDescent="0.25">
      <c r="A9" s="206" t="s">
        <v>224</v>
      </c>
      <c r="B9" s="207" t="s">
        <v>469</v>
      </c>
      <c r="C9" s="204" t="s">
        <v>612</v>
      </c>
      <c r="D9" s="208" t="s">
        <v>468</v>
      </c>
      <c r="E9" s="204">
        <v>250124</v>
      </c>
      <c r="F9" s="204">
        <v>9000</v>
      </c>
      <c r="G9" s="204">
        <v>360</v>
      </c>
      <c r="H9" s="204" t="s">
        <v>166</v>
      </c>
      <c r="I9" s="69" t="s">
        <v>357</v>
      </c>
      <c r="J9" s="205">
        <v>45324</v>
      </c>
      <c r="K9" s="209" t="s">
        <v>613</v>
      </c>
      <c r="L9" s="209">
        <v>89116868005</v>
      </c>
      <c r="M9" s="209" t="s">
        <v>614</v>
      </c>
      <c r="N9" s="210"/>
      <c r="O9" s="211"/>
      <c r="P9" s="212">
        <v>9000</v>
      </c>
      <c r="Q9" s="211"/>
      <c r="R9" s="211" t="s">
        <v>387</v>
      </c>
      <c r="S9" s="213">
        <v>255000</v>
      </c>
      <c r="T9" s="214">
        <f t="shared" si="0"/>
        <v>2295000</v>
      </c>
    </row>
    <row r="10" spans="1:20" s="67" customFormat="1" ht="13.5" customHeight="1" x14ac:dyDescent="0.25">
      <c r="A10" s="69" t="s">
        <v>224</v>
      </c>
      <c r="B10" s="60" t="s">
        <v>469</v>
      </c>
      <c r="C10" s="60" t="s">
        <v>168</v>
      </c>
      <c r="D10" s="11" t="s">
        <v>207</v>
      </c>
      <c r="E10" s="59" t="s">
        <v>470</v>
      </c>
      <c r="F10" s="60">
        <v>2160</v>
      </c>
      <c r="G10" s="69">
        <v>12</v>
      </c>
      <c r="H10" s="464" t="s">
        <v>169</v>
      </c>
      <c r="I10" s="69" t="s">
        <v>357</v>
      </c>
      <c r="J10" s="58">
        <v>45324</v>
      </c>
      <c r="K10" s="108" t="s">
        <v>503</v>
      </c>
      <c r="L10" s="117">
        <v>89600155752</v>
      </c>
      <c r="M10" s="66" t="s">
        <v>504</v>
      </c>
      <c r="N10" s="107"/>
      <c r="O10" s="56"/>
      <c r="P10" s="56"/>
      <c r="Q10" s="60">
        <v>2160</v>
      </c>
      <c r="R10" s="56" t="s">
        <v>387</v>
      </c>
      <c r="S10" s="100">
        <v>359000</v>
      </c>
      <c r="T10" s="116">
        <f t="shared" si="0"/>
        <v>775440</v>
      </c>
    </row>
    <row r="11" spans="1:20" s="67" customFormat="1" ht="13.5" customHeight="1" x14ac:dyDescent="0.25">
      <c r="A11" s="69" t="s">
        <v>224</v>
      </c>
      <c r="B11" s="60" t="s">
        <v>469</v>
      </c>
      <c r="C11" s="60" t="s">
        <v>168</v>
      </c>
      <c r="D11" s="11" t="s">
        <v>207</v>
      </c>
      <c r="E11" s="59" t="s">
        <v>470</v>
      </c>
      <c r="F11" s="60">
        <v>540</v>
      </c>
      <c r="G11" s="69">
        <v>3</v>
      </c>
      <c r="H11" s="469"/>
      <c r="I11" s="69" t="s">
        <v>357</v>
      </c>
      <c r="J11" s="58">
        <v>45324</v>
      </c>
      <c r="K11" s="108"/>
      <c r="L11" s="118"/>
      <c r="M11" s="66"/>
      <c r="N11" s="107"/>
      <c r="O11" s="56"/>
      <c r="P11" s="56"/>
      <c r="Q11" s="60">
        <v>540</v>
      </c>
      <c r="R11" s="56" t="s">
        <v>387</v>
      </c>
      <c r="S11" s="100">
        <v>359000</v>
      </c>
      <c r="T11" s="116">
        <f t="shared" si="0"/>
        <v>193860</v>
      </c>
    </row>
    <row r="12" spans="1:20" s="67" customFormat="1" ht="13.5" customHeight="1" x14ac:dyDescent="0.25">
      <c r="A12" s="69" t="s">
        <v>224</v>
      </c>
      <c r="B12" s="60" t="s">
        <v>469</v>
      </c>
      <c r="C12" s="60" t="s">
        <v>168</v>
      </c>
      <c r="D12" s="11" t="s">
        <v>207</v>
      </c>
      <c r="E12" s="59" t="s">
        <v>487</v>
      </c>
      <c r="F12" s="60">
        <v>180</v>
      </c>
      <c r="G12" s="69">
        <v>1</v>
      </c>
      <c r="H12" s="469"/>
      <c r="I12" s="69" t="s">
        <v>357</v>
      </c>
      <c r="J12" s="58">
        <v>45324</v>
      </c>
      <c r="K12" s="108"/>
      <c r="L12" s="118"/>
      <c r="M12" s="66"/>
      <c r="N12" s="107"/>
      <c r="O12" s="56"/>
      <c r="P12" s="56"/>
      <c r="Q12" s="60">
        <v>180</v>
      </c>
      <c r="R12" s="56" t="s">
        <v>387</v>
      </c>
      <c r="S12" s="100">
        <v>359000</v>
      </c>
      <c r="T12" s="116">
        <f t="shared" si="0"/>
        <v>64620</v>
      </c>
    </row>
    <row r="13" spans="1:20" s="67" customFormat="1" ht="13.5" customHeight="1" x14ac:dyDescent="0.25">
      <c r="A13" s="69" t="s">
        <v>224</v>
      </c>
      <c r="B13" s="60" t="s">
        <v>469</v>
      </c>
      <c r="C13" s="60" t="s">
        <v>168</v>
      </c>
      <c r="D13" s="11" t="s">
        <v>207</v>
      </c>
      <c r="E13" s="59" t="s">
        <v>487</v>
      </c>
      <c r="F13" s="60">
        <v>7920</v>
      </c>
      <c r="G13" s="69">
        <v>44</v>
      </c>
      <c r="H13" s="469"/>
      <c r="I13" s="69" t="s">
        <v>357</v>
      </c>
      <c r="J13" s="58">
        <v>45324</v>
      </c>
      <c r="K13" s="108"/>
      <c r="L13" s="118"/>
      <c r="M13" s="66"/>
      <c r="N13" s="107"/>
      <c r="O13" s="56"/>
      <c r="P13" s="56"/>
      <c r="Q13" s="60">
        <v>7920</v>
      </c>
      <c r="R13" s="56" t="s">
        <v>387</v>
      </c>
      <c r="S13" s="100">
        <v>359000</v>
      </c>
      <c r="T13" s="116">
        <f t="shared" si="0"/>
        <v>2843280</v>
      </c>
    </row>
    <row r="14" spans="1:20" s="67" customFormat="1" ht="13.5" customHeight="1" x14ac:dyDescent="0.25">
      <c r="A14" s="69" t="s">
        <v>224</v>
      </c>
      <c r="B14" s="60" t="s">
        <v>469</v>
      </c>
      <c r="C14" s="60" t="s">
        <v>168</v>
      </c>
      <c r="D14" s="11" t="s">
        <v>207</v>
      </c>
      <c r="E14" s="59" t="s">
        <v>490</v>
      </c>
      <c r="F14" s="60">
        <v>4320</v>
      </c>
      <c r="G14" s="69">
        <v>24</v>
      </c>
      <c r="H14" s="469"/>
      <c r="I14" s="69" t="s">
        <v>357</v>
      </c>
      <c r="J14" s="58">
        <v>45324</v>
      </c>
      <c r="K14" s="108"/>
      <c r="L14" s="118"/>
      <c r="M14" s="66"/>
      <c r="N14" s="107"/>
      <c r="O14" s="56"/>
      <c r="P14" s="56"/>
      <c r="Q14" s="60">
        <v>4320</v>
      </c>
      <c r="R14" s="56" t="s">
        <v>387</v>
      </c>
      <c r="S14" s="100">
        <v>359000</v>
      </c>
      <c r="T14" s="116">
        <f t="shared" si="0"/>
        <v>1550880</v>
      </c>
    </row>
    <row r="15" spans="1:20" s="67" customFormat="1" ht="13.5" customHeight="1" x14ac:dyDescent="0.25">
      <c r="A15" s="69" t="s">
        <v>224</v>
      </c>
      <c r="B15" s="60" t="s">
        <v>469</v>
      </c>
      <c r="C15" s="60" t="s">
        <v>168</v>
      </c>
      <c r="D15" s="11" t="s">
        <v>207</v>
      </c>
      <c r="E15" s="59" t="s">
        <v>487</v>
      </c>
      <c r="F15" s="60">
        <v>360</v>
      </c>
      <c r="G15" s="69">
        <v>2</v>
      </c>
      <c r="H15" s="469"/>
      <c r="I15" s="69" t="s">
        <v>357</v>
      </c>
      <c r="J15" s="58">
        <v>45324</v>
      </c>
      <c r="K15" s="108"/>
      <c r="L15" s="118"/>
      <c r="M15" s="66"/>
      <c r="N15" s="107"/>
      <c r="O15" s="56"/>
      <c r="P15" s="56"/>
      <c r="Q15" s="60">
        <v>360</v>
      </c>
      <c r="R15" s="56" t="s">
        <v>387</v>
      </c>
      <c r="S15" s="100">
        <v>359000</v>
      </c>
      <c r="T15" s="116">
        <f t="shared" si="0"/>
        <v>129240</v>
      </c>
    </row>
    <row r="16" spans="1:20" s="67" customFormat="1" ht="13.5" customHeight="1" x14ac:dyDescent="0.25">
      <c r="A16" s="69" t="s">
        <v>224</v>
      </c>
      <c r="B16" s="60" t="s">
        <v>469</v>
      </c>
      <c r="C16" s="60" t="s">
        <v>168</v>
      </c>
      <c r="D16" s="11" t="s">
        <v>207</v>
      </c>
      <c r="E16" s="59" t="s">
        <v>490</v>
      </c>
      <c r="F16" s="60">
        <v>360</v>
      </c>
      <c r="G16" s="69">
        <v>2</v>
      </c>
      <c r="H16" s="465"/>
      <c r="I16" s="69" t="s">
        <v>357</v>
      </c>
      <c r="J16" s="58">
        <v>45324</v>
      </c>
      <c r="K16" s="108"/>
      <c r="L16" s="118"/>
      <c r="M16" s="66"/>
      <c r="N16" s="107"/>
      <c r="O16" s="56"/>
      <c r="P16" s="56"/>
      <c r="Q16" s="60">
        <v>360</v>
      </c>
      <c r="R16" s="56" t="s">
        <v>387</v>
      </c>
      <c r="S16" s="100">
        <v>359000</v>
      </c>
      <c r="T16" s="116">
        <f t="shared" si="0"/>
        <v>129240</v>
      </c>
    </row>
    <row r="17" spans="1:20" s="67" customFormat="1" ht="13.5" customHeight="1" x14ac:dyDescent="0.25">
      <c r="A17" s="180" t="s">
        <v>224</v>
      </c>
      <c r="B17" s="97" t="s">
        <v>466</v>
      </c>
      <c r="C17" s="97" t="s">
        <v>436</v>
      </c>
      <c r="D17" s="98" t="s">
        <v>316</v>
      </c>
      <c r="E17" s="59" t="s">
        <v>488</v>
      </c>
      <c r="F17" s="97">
        <v>20000</v>
      </c>
      <c r="G17" s="69">
        <v>1000</v>
      </c>
      <c r="H17" s="69" t="s">
        <v>467</v>
      </c>
      <c r="I17" s="69" t="s">
        <v>357</v>
      </c>
      <c r="J17" s="58">
        <v>45328</v>
      </c>
      <c r="K17" s="105" t="s">
        <v>568</v>
      </c>
      <c r="L17" s="123"/>
      <c r="M17" s="105" t="s">
        <v>519</v>
      </c>
      <c r="N17" s="58"/>
      <c r="O17" s="56"/>
      <c r="P17" s="97">
        <v>20000</v>
      </c>
      <c r="Q17" s="56"/>
      <c r="R17" s="56" t="s">
        <v>387</v>
      </c>
      <c r="S17" s="100">
        <v>83000</v>
      </c>
      <c r="T17" s="116">
        <f t="shared" si="0"/>
        <v>1660000</v>
      </c>
    </row>
    <row r="18" spans="1:20" s="67" customFormat="1" x14ac:dyDescent="0.25">
      <c r="A18" s="69" t="s">
        <v>224</v>
      </c>
      <c r="B18" s="60" t="s">
        <v>183</v>
      </c>
      <c r="C18" s="60" t="s">
        <v>171</v>
      </c>
      <c r="D18" s="11" t="s">
        <v>286</v>
      </c>
      <c r="E18" s="59" t="s">
        <v>218</v>
      </c>
      <c r="F18" s="60">
        <v>20000</v>
      </c>
      <c r="G18" s="69">
        <v>800</v>
      </c>
      <c r="H18" s="69" t="s">
        <v>166</v>
      </c>
      <c r="I18" s="69" t="s">
        <v>357</v>
      </c>
      <c r="J18" s="58">
        <v>45327</v>
      </c>
      <c r="K18" s="108" t="s">
        <v>521</v>
      </c>
      <c r="L18" s="182" t="s">
        <v>522</v>
      </c>
      <c r="M18" s="66" t="s">
        <v>523</v>
      </c>
      <c r="N18" s="66"/>
      <c r="O18" s="56"/>
      <c r="P18" s="60">
        <v>20000</v>
      </c>
      <c r="Q18" s="56"/>
      <c r="R18" s="56" t="s">
        <v>387</v>
      </c>
      <c r="S18" s="100">
        <v>262150</v>
      </c>
      <c r="T18" s="65">
        <f t="shared" si="0"/>
        <v>5243000</v>
      </c>
    </row>
    <row r="19" spans="1:20" s="67" customFormat="1" ht="13.5" customHeight="1" x14ac:dyDescent="0.25">
      <c r="A19" s="181" t="s">
        <v>240</v>
      </c>
      <c r="B19" s="97" t="s">
        <v>491</v>
      </c>
      <c r="C19" s="97" t="s">
        <v>165</v>
      </c>
      <c r="D19" s="98" t="s">
        <v>291</v>
      </c>
      <c r="E19" s="59" t="s">
        <v>488</v>
      </c>
      <c r="F19" s="97">
        <v>15876</v>
      </c>
      <c r="G19" s="69">
        <v>700</v>
      </c>
      <c r="H19" s="69" t="s">
        <v>172</v>
      </c>
      <c r="I19" s="69" t="s">
        <v>357</v>
      </c>
      <c r="J19" s="58">
        <v>45329</v>
      </c>
      <c r="K19" s="105"/>
      <c r="L19" s="123"/>
      <c r="M19" s="105"/>
      <c r="N19" s="58" t="s">
        <v>538</v>
      </c>
      <c r="O19" s="97">
        <v>15876</v>
      </c>
      <c r="P19" s="60"/>
      <c r="Q19" s="56"/>
      <c r="R19" s="56" t="s">
        <v>387</v>
      </c>
      <c r="S19" s="100">
        <v>49500</v>
      </c>
      <c r="T19" s="116">
        <f t="shared" si="0"/>
        <v>785862</v>
      </c>
    </row>
    <row r="20" spans="1:20" s="67" customFormat="1" ht="13.5" customHeight="1" x14ac:dyDescent="0.25">
      <c r="A20" s="181" t="s">
        <v>240</v>
      </c>
      <c r="B20" s="97" t="s">
        <v>491</v>
      </c>
      <c r="C20" s="97" t="s">
        <v>165</v>
      </c>
      <c r="D20" s="98" t="s">
        <v>291</v>
      </c>
      <c r="E20" s="59" t="s">
        <v>507</v>
      </c>
      <c r="F20" s="97">
        <v>15876</v>
      </c>
      <c r="G20" s="69">
        <v>700</v>
      </c>
      <c r="H20" s="69" t="s">
        <v>172</v>
      </c>
      <c r="I20" s="69" t="s">
        <v>357</v>
      </c>
      <c r="J20" s="58">
        <v>45329</v>
      </c>
      <c r="K20" s="105"/>
      <c r="L20" s="123"/>
      <c r="M20" s="105"/>
      <c r="N20" s="58" t="s">
        <v>539</v>
      </c>
      <c r="O20" s="97">
        <v>15876</v>
      </c>
      <c r="P20" s="60"/>
      <c r="Q20" s="56"/>
      <c r="R20" s="56" t="s">
        <v>387</v>
      </c>
      <c r="S20" s="100">
        <v>49500</v>
      </c>
      <c r="T20" s="116">
        <f t="shared" si="0"/>
        <v>785862</v>
      </c>
    </row>
    <row r="21" spans="1:20" s="67" customFormat="1" ht="13.5" customHeight="1" x14ac:dyDescent="0.25">
      <c r="A21" s="183" t="s">
        <v>224</v>
      </c>
      <c r="B21" s="97" t="s">
        <v>466</v>
      </c>
      <c r="C21" s="97" t="s">
        <v>436</v>
      </c>
      <c r="D21" s="98" t="s">
        <v>316</v>
      </c>
      <c r="E21" s="59" t="s">
        <v>490</v>
      </c>
      <c r="F21" s="97">
        <v>20000</v>
      </c>
      <c r="G21" s="69">
        <v>1000</v>
      </c>
      <c r="H21" s="69" t="s">
        <v>467</v>
      </c>
      <c r="I21" s="69" t="s">
        <v>357</v>
      </c>
      <c r="J21" s="58">
        <v>45330</v>
      </c>
      <c r="K21" s="105" t="s">
        <v>527</v>
      </c>
      <c r="L21" s="123">
        <v>89080026590</v>
      </c>
      <c r="M21" s="105" t="s">
        <v>526</v>
      </c>
      <c r="N21" s="58"/>
      <c r="P21" s="97">
        <v>20000</v>
      </c>
      <c r="Q21" s="56"/>
      <c r="R21" s="56" t="s">
        <v>387</v>
      </c>
      <c r="S21" s="100">
        <v>83000</v>
      </c>
      <c r="T21" s="116">
        <f t="shared" si="0"/>
        <v>1660000</v>
      </c>
    </row>
    <row r="22" spans="1:20" s="67" customFormat="1" ht="13.5" customHeight="1" x14ac:dyDescent="0.25">
      <c r="A22" s="183" t="s">
        <v>224</v>
      </c>
      <c r="B22" s="97" t="s">
        <v>528</v>
      </c>
      <c r="C22" s="97" t="s">
        <v>529</v>
      </c>
      <c r="D22" s="98" t="s">
        <v>338</v>
      </c>
      <c r="E22" s="59" t="s">
        <v>530</v>
      </c>
      <c r="F22" s="97">
        <v>3000</v>
      </c>
      <c r="G22" s="69">
        <v>15</v>
      </c>
      <c r="H22" s="69" t="s">
        <v>391</v>
      </c>
      <c r="I22" s="69" t="s">
        <v>357</v>
      </c>
      <c r="J22" s="58">
        <v>45330</v>
      </c>
      <c r="K22" s="105" t="s">
        <v>537</v>
      </c>
      <c r="L22" s="123">
        <v>89935861859</v>
      </c>
      <c r="M22" s="105" t="s">
        <v>536</v>
      </c>
      <c r="N22" s="58"/>
      <c r="O22" s="56"/>
      <c r="P22" s="60"/>
      <c r="Q22" s="97">
        <v>3000</v>
      </c>
      <c r="R22" s="56" t="s">
        <v>387</v>
      </c>
      <c r="S22" s="100">
        <v>207500</v>
      </c>
      <c r="T22" s="116">
        <f t="shared" si="0"/>
        <v>622500</v>
      </c>
    </row>
    <row r="23" spans="1:20" s="67" customFormat="1" ht="13.5" customHeight="1" x14ac:dyDescent="0.25">
      <c r="A23" s="183" t="s">
        <v>224</v>
      </c>
      <c r="B23" s="97" t="s">
        <v>524</v>
      </c>
      <c r="C23" s="97" t="s">
        <v>265</v>
      </c>
      <c r="D23" s="98" t="s">
        <v>289</v>
      </c>
      <c r="E23" s="59" t="s">
        <v>525</v>
      </c>
      <c r="F23" s="97">
        <v>20000</v>
      </c>
      <c r="G23" s="69">
        <v>800</v>
      </c>
      <c r="H23" s="69" t="s">
        <v>169</v>
      </c>
      <c r="I23" s="69" t="s">
        <v>357</v>
      </c>
      <c r="J23" s="58">
        <v>45331</v>
      </c>
      <c r="K23" s="105" t="s">
        <v>534</v>
      </c>
      <c r="L23" s="123">
        <v>89992508792</v>
      </c>
      <c r="M23" s="105" t="s">
        <v>535</v>
      </c>
      <c r="N23" s="58"/>
      <c r="O23" s="97">
        <v>20000</v>
      </c>
      <c r="P23" s="60"/>
      <c r="Q23" s="56"/>
      <c r="R23" s="56" t="s">
        <v>387</v>
      </c>
      <c r="S23" s="100">
        <v>41000</v>
      </c>
      <c r="T23" s="116">
        <f t="shared" si="0"/>
        <v>820000</v>
      </c>
    </row>
    <row r="24" spans="1:20" s="67" customFormat="1" ht="13.5" customHeight="1" x14ac:dyDescent="0.25">
      <c r="A24" s="183" t="s">
        <v>1200</v>
      </c>
      <c r="B24" s="97" t="s">
        <v>517</v>
      </c>
      <c r="C24" s="97" t="s">
        <v>182</v>
      </c>
      <c r="D24" s="98" t="s">
        <v>301</v>
      </c>
      <c r="E24" s="59" t="s">
        <v>507</v>
      </c>
      <c r="F24" s="97">
        <v>17500</v>
      </c>
      <c r="G24" s="69">
        <v>700</v>
      </c>
      <c r="H24" s="69" t="s">
        <v>169</v>
      </c>
      <c r="I24" s="69" t="s">
        <v>357</v>
      </c>
      <c r="J24" s="58">
        <v>45331</v>
      </c>
      <c r="K24" s="105"/>
      <c r="L24" s="123"/>
      <c r="M24" s="105"/>
      <c r="N24" s="58" t="s">
        <v>542</v>
      </c>
      <c r="O24" s="97">
        <v>17500</v>
      </c>
      <c r="P24" s="60"/>
      <c r="Q24" s="56"/>
      <c r="R24" s="56" t="s">
        <v>387</v>
      </c>
      <c r="S24" s="100">
        <v>41000</v>
      </c>
      <c r="T24" s="116">
        <f t="shared" si="0"/>
        <v>717500</v>
      </c>
    </row>
    <row r="25" spans="1:20" s="67" customFormat="1" ht="13.5" customHeight="1" x14ac:dyDescent="0.25">
      <c r="A25" s="183" t="s">
        <v>240</v>
      </c>
      <c r="B25" s="97" t="s">
        <v>517</v>
      </c>
      <c r="C25" s="97" t="s">
        <v>182</v>
      </c>
      <c r="D25" s="98" t="s">
        <v>301</v>
      </c>
      <c r="E25" s="59" t="s">
        <v>518</v>
      </c>
      <c r="F25" s="97">
        <v>17500</v>
      </c>
      <c r="G25" s="69">
        <v>700</v>
      </c>
      <c r="H25" s="69" t="s">
        <v>169</v>
      </c>
      <c r="I25" s="69" t="s">
        <v>357</v>
      </c>
      <c r="J25" s="58">
        <v>45331</v>
      </c>
      <c r="K25" s="105"/>
      <c r="L25" s="123"/>
      <c r="M25" s="105"/>
      <c r="N25" s="58" t="s">
        <v>543</v>
      </c>
      <c r="O25" s="97">
        <v>17500</v>
      </c>
      <c r="P25" s="60"/>
      <c r="Q25" s="56"/>
      <c r="R25" s="56" t="s">
        <v>387</v>
      </c>
      <c r="S25" s="100">
        <v>41000</v>
      </c>
      <c r="T25" s="116">
        <f t="shared" si="0"/>
        <v>717500</v>
      </c>
    </row>
    <row r="26" spans="1:20" s="67" customFormat="1" ht="13.5" customHeight="1" x14ac:dyDescent="0.25">
      <c r="A26" s="183" t="s">
        <v>224</v>
      </c>
      <c r="B26" s="97" t="s">
        <v>348</v>
      </c>
      <c r="C26" s="97" t="s">
        <v>349</v>
      </c>
      <c r="D26" s="98" t="s">
        <v>279</v>
      </c>
      <c r="E26" s="59" t="s">
        <v>350</v>
      </c>
      <c r="F26" s="97">
        <v>20000</v>
      </c>
      <c r="G26" s="69">
        <v>800</v>
      </c>
      <c r="H26" s="69" t="s">
        <v>352</v>
      </c>
      <c r="I26" s="69" t="s">
        <v>357</v>
      </c>
      <c r="J26" s="58">
        <v>45334</v>
      </c>
      <c r="K26" s="105" t="s">
        <v>545</v>
      </c>
      <c r="L26" s="123" t="s">
        <v>544</v>
      </c>
      <c r="M26" s="105" t="s">
        <v>451</v>
      </c>
      <c r="N26" s="58"/>
      <c r="O26" s="97">
        <v>20000</v>
      </c>
      <c r="P26" s="60"/>
      <c r="Q26" s="56"/>
      <c r="R26" s="56" t="s">
        <v>387</v>
      </c>
      <c r="S26" s="100">
        <v>45000</v>
      </c>
      <c r="T26" s="116">
        <f t="shared" si="0"/>
        <v>900000</v>
      </c>
    </row>
    <row r="27" spans="1:20" s="67" customFormat="1" ht="13.5" customHeight="1" x14ac:dyDescent="0.25">
      <c r="A27" s="185" t="s">
        <v>224</v>
      </c>
      <c r="B27" s="97" t="s">
        <v>532</v>
      </c>
      <c r="C27" s="97" t="s">
        <v>533</v>
      </c>
      <c r="D27" s="98" t="s">
        <v>203</v>
      </c>
      <c r="E27" s="59" t="s">
        <v>518</v>
      </c>
      <c r="F27" s="97">
        <v>3600</v>
      </c>
      <c r="G27" s="69">
        <v>20</v>
      </c>
      <c r="H27" s="69" t="s">
        <v>391</v>
      </c>
      <c r="I27" s="69" t="s">
        <v>357</v>
      </c>
      <c r="J27" s="58">
        <v>45334</v>
      </c>
      <c r="K27" s="105" t="s">
        <v>549</v>
      </c>
      <c r="L27" s="123" t="s">
        <v>550</v>
      </c>
      <c r="M27" s="105" t="s">
        <v>548</v>
      </c>
      <c r="N27" s="58" t="s">
        <v>553</v>
      </c>
      <c r="O27" s="56"/>
      <c r="P27" s="60"/>
      <c r="Q27" s="97">
        <v>3600</v>
      </c>
      <c r="R27" s="56" t="s">
        <v>387</v>
      </c>
      <c r="S27" s="100">
        <v>110000</v>
      </c>
      <c r="T27" s="116">
        <f t="shared" si="0"/>
        <v>396000</v>
      </c>
    </row>
    <row r="28" spans="1:20" s="67" customFormat="1" ht="13.5" customHeight="1" x14ac:dyDescent="0.25">
      <c r="A28" s="464" t="s">
        <v>224</v>
      </c>
      <c r="B28" s="97" t="s">
        <v>547</v>
      </c>
      <c r="C28" s="97" t="s">
        <v>265</v>
      </c>
      <c r="D28" s="98" t="s">
        <v>204</v>
      </c>
      <c r="E28" s="59" t="s">
        <v>530</v>
      </c>
      <c r="F28" s="97">
        <v>8800</v>
      </c>
      <c r="G28" s="69">
        <v>44</v>
      </c>
      <c r="H28" s="464" t="s">
        <v>169</v>
      </c>
      <c r="I28" s="69" t="s">
        <v>357</v>
      </c>
      <c r="J28" s="58">
        <v>45335</v>
      </c>
      <c r="K28" s="464" t="s">
        <v>557</v>
      </c>
      <c r="L28" s="496">
        <v>89115625006</v>
      </c>
      <c r="M28" s="494" t="s">
        <v>556</v>
      </c>
      <c r="N28" s="58"/>
      <c r="O28" s="56"/>
      <c r="P28" s="60"/>
      <c r="Q28" s="97">
        <v>8800</v>
      </c>
      <c r="R28" s="56" t="s">
        <v>387</v>
      </c>
      <c r="S28" s="100">
        <v>99800</v>
      </c>
      <c r="T28" s="116">
        <f t="shared" si="0"/>
        <v>878240.00000000012</v>
      </c>
    </row>
    <row r="29" spans="1:20" s="67" customFormat="1" ht="13.5" customHeight="1" x14ac:dyDescent="0.25">
      <c r="A29" s="465"/>
      <c r="B29" s="97" t="s">
        <v>547</v>
      </c>
      <c r="C29" s="97" t="s">
        <v>265</v>
      </c>
      <c r="D29" s="98" t="s">
        <v>204</v>
      </c>
      <c r="E29" s="59" t="s">
        <v>546</v>
      </c>
      <c r="F29" s="97">
        <v>8800</v>
      </c>
      <c r="G29" s="69">
        <v>44</v>
      </c>
      <c r="H29" s="465"/>
      <c r="I29" s="69" t="s">
        <v>357</v>
      </c>
      <c r="J29" s="58">
        <v>45335</v>
      </c>
      <c r="K29" s="465"/>
      <c r="L29" s="497"/>
      <c r="M29" s="495"/>
      <c r="N29" s="58"/>
      <c r="O29" s="56"/>
      <c r="P29" s="60"/>
      <c r="Q29" s="97">
        <v>8800</v>
      </c>
      <c r="R29" s="56" t="s">
        <v>387</v>
      </c>
      <c r="S29" s="100">
        <v>99800</v>
      </c>
      <c r="T29" s="116">
        <f t="shared" si="0"/>
        <v>878240.00000000012</v>
      </c>
    </row>
    <row r="30" spans="1:20" s="67" customFormat="1" ht="13.5" customHeight="1" x14ac:dyDescent="0.25">
      <c r="A30" s="184" t="s">
        <v>224</v>
      </c>
      <c r="B30" s="60" t="s">
        <v>461</v>
      </c>
      <c r="C30" s="60" t="s">
        <v>457</v>
      </c>
      <c r="D30" s="11" t="s">
        <v>174</v>
      </c>
      <c r="E30" s="59" t="s">
        <v>551</v>
      </c>
      <c r="F30" s="60">
        <v>8600</v>
      </c>
      <c r="G30" s="69">
        <v>43</v>
      </c>
      <c r="H30" s="69" t="s">
        <v>166</v>
      </c>
      <c r="I30" s="69" t="s">
        <v>357</v>
      </c>
      <c r="J30" s="58">
        <v>45335</v>
      </c>
      <c r="K30" s="464" t="s">
        <v>559</v>
      </c>
      <c r="L30" s="496">
        <v>89372634461</v>
      </c>
      <c r="M30" s="494" t="s">
        <v>558</v>
      </c>
      <c r="N30" s="107"/>
      <c r="O30" s="56"/>
      <c r="P30" s="56"/>
      <c r="Q30" s="60">
        <v>8600</v>
      </c>
      <c r="R30" s="56" t="s">
        <v>387</v>
      </c>
      <c r="S30" s="156">
        <v>90000</v>
      </c>
      <c r="T30" s="116">
        <f t="shared" si="0"/>
        <v>774000</v>
      </c>
    </row>
    <row r="31" spans="1:20" s="67" customFormat="1" ht="13.5" customHeight="1" x14ac:dyDescent="0.25">
      <c r="A31" s="271" t="s">
        <v>224</v>
      </c>
      <c r="B31" s="60" t="s">
        <v>461</v>
      </c>
      <c r="C31" s="60" t="s">
        <v>457</v>
      </c>
      <c r="D31" s="11" t="s">
        <v>174</v>
      </c>
      <c r="E31" s="59" t="s">
        <v>552</v>
      </c>
      <c r="F31" s="97">
        <v>9000</v>
      </c>
      <c r="G31" s="69">
        <v>45</v>
      </c>
      <c r="H31" s="69" t="s">
        <v>166</v>
      </c>
      <c r="I31" s="69" t="s">
        <v>357</v>
      </c>
      <c r="J31" s="58">
        <v>45335</v>
      </c>
      <c r="K31" s="465"/>
      <c r="L31" s="497"/>
      <c r="M31" s="495"/>
      <c r="N31" s="58"/>
      <c r="O31" s="56"/>
      <c r="P31" s="60"/>
      <c r="Q31" s="97">
        <v>9000</v>
      </c>
      <c r="R31" s="56" t="s">
        <v>387</v>
      </c>
      <c r="S31" s="156">
        <v>90000</v>
      </c>
      <c r="T31" s="116">
        <f t="shared" si="0"/>
        <v>810000</v>
      </c>
    </row>
    <row r="32" spans="1:20" s="197" customFormat="1" ht="13.5" customHeight="1" x14ac:dyDescent="0.25">
      <c r="A32" s="186" t="s">
        <v>560</v>
      </c>
      <c r="B32" s="187" t="s">
        <v>464</v>
      </c>
      <c r="C32" s="187" t="s">
        <v>165</v>
      </c>
      <c r="D32" s="188" t="s">
        <v>196</v>
      </c>
      <c r="E32" s="189" t="s">
        <v>228</v>
      </c>
      <c r="F32" s="187"/>
      <c r="G32" s="186">
        <v>160</v>
      </c>
      <c r="H32" s="186" t="s">
        <v>465</v>
      </c>
      <c r="I32" s="13"/>
      <c r="J32" s="190"/>
      <c r="K32" s="186" t="s">
        <v>622</v>
      </c>
      <c r="L32" s="191" t="s">
        <v>736</v>
      </c>
      <c r="M32" s="192"/>
      <c r="N32" s="193" t="s">
        <v>561</v>
      </c>
      <c r="O32" s="194"/>
      <c r="P32" s="194"/>
      <c r="Q32" s="187"/>
      <c r="R32" s="194"/>
      <c r="S32" s="195">
        <v>0</v>
      </c>
      <c r="T32" s="196">
        <f t="shared" si="0"/>
        <v>0</v>
      </c>
    </row>
    <row r="33" spans="1:20" s="197" customFormat="1" ht="13.5" customHeight="1" x14ac:dyDescent="0.25">
      <c r="A33" s="186" t="s">
        <v>560</v>
      </c>
      <c r="B33" s="187" t="s">
        <v>574</v>
      </c>
      <c r="C33" s="187" t="s">
        <v>165</v>
      </c>
      <c r="D33" s="188" t="s">
        <v>196</v>
      </c>
      <c r="E33" s="189" t="s">
        <v>228</v>
      </c>
      <c r="F33" s="187"/>
      <c r="G33" s="186">
        <v>160</v>
      </c>
      <c r="H33" s="186" t="s">
        <v>172</v>
      </c>
      <c r="I33" s="13"/>
      <c r="J33" s="190"/>
      <c r="K33" s="186" t="s">
        <v>622</v>
      </c>
      <c r="L33" s="191" t="s">
        <v>736</v>
      </c>
      <c r="M33" s="192"/>
      <c r="N33" s="193" t="s">
        <v>623</v>
      </c>
      <c r="O33" s="194"/>
      <c r="P33" s="194"/>
      <c r="Q33" s="187"/>
      <c r="R33" s="194"/>
      <c r="S33" s="195">
        <v>0</v>
      </c>
      <c r="T33" s="196">
        <f t="shared" si="0"/>
        <v>0</v>
      </c>
    </row>
    <row r="34" spans="1:20" s="67" customFormat="1" ht="13.5" customHeight="1" x14ac:dyDescent="0.25">
      <c r="A34" s="201" t="s">
        <v>240</v>
      </c>
      <c r="B34" s="97" t="s">
        <v>520</v>
      </c>
      <c r="C34" s="97" t="s">
        <v>182</v>
      </c>
      <c r="D34" s="98" t="s">
        <v>301</v>
      </c>
      <c r="E34" s="59" t="s">
        <v>531</v>
      </c>
      <c r="F34" s="97">
        <v>17500</v>
      </c>
      <c r="G34" s="69">
        <v>700</v>
      </c>
      <c r="H34" s="69" t="s">
        <v>172</v>
      </c>
      <c r="I34" s="69" t="s">
        <v>357</v>
      </c>
      <c r="J34" s="58">
        <v>45336</v>
      </c>
      <c r="K34" s="105"/>
      <c r="L34" s="123"/>
      <c r="M34" s="105"/>
      <c r="N34" s="58" t="s">
        <v>572</v>
      </c>
      <c r="O34" s="69">
        <v>17500</v>
      </c>
      <c r="P34" s="60"/>
      <c r="Q34" s="56"/>
      <c r="R34" s="56" t="s">
        <v>387</v>
      </c>
      <c r="S34" s="100">
        <v>41000</v>
      </c>
      <c r="T34" s="116">
        <f t="shared" si="0"/>
        <v>717500</v>
      </c>
    </row>
    <row r="35" spans="1:20" s="67" customFormat="1" ht="13.5" customHeight="1" x14ac:dyDescent="0.25">
      <c r="A35" s="201" t="s">
        <v>240</v>
      </c>
      <c r="B35" s="97" t="s">
        <v>520</v>
      </c>
      <c r="C35" s="97" t="s">
        <v>182</v>
      </c>
      <c r="D35" s="98" t="s">
        <v>301</v>
      </c>
      <c r="E35" s="59" t="s">
        <v>554</v>
      </c>
      <c r="F35" s="97">
        <v>17500</v>
      </c>
      <c r="G35" s="69">
        <v>700</v>
      </c>
      <c r="H35" s="69" t="s">
        <v>172</v>
      </c>
      <c r="I35" s="69" t="s">
        <v>357</v>
      </c>
      <c r="J35" s="58">
        <v>45336</v>
      </c>
      <c r="K35" s="105"/>
      <c r="L35" s="123"/>
      <c r="M35" s="105"/>
      <c r="N35" s="58" t="s">
        <v>573</v>
      </c>
      <c r="O35" s="69">
        <v>17500</v>
      </c>
      <c r="P35" s="60"/>
      <c r="Q35" s="56"/>
      <c r="R35" s="56" t="s">
        <v>387</v>
      </c>
      <c r="S35" s="100">
        <v>41000</v>
      </c>
      <c r="T35" s="116">
        <f t="shared" si="0"/>
        <v>717500</v>
      </c>
    </row>
    <row r="36" spans="1:20" s="67" customFormat="1" ht="13.5" customHeight="1" x14ac:dyDescent="0.25">
      <c r="A36" s="201" t="s">
        <v>224</v>
      </c>
      <c r="B36" s="97" t="s">
        <v>466</v>
      </c>
      <c r="C36" s="97" t="s">
        <v>436</v>
      </c>
      <c r="D36" s="98" t="s">
        <v>316</v>
      </c>
      <c r="E36" s="59" t="s">
        <v>509</v>
      </c>
      <c r="F36" s="97">
        <v>20000</v>
      </c>
      <c r="G36" s="69">
        <v>1000</v>
      </c>
      <c r="H36" s="69" t="s">
        <v>467</v>
      </c>
      <c r="I36" s="69" t="s">
        <v>357</v>
      </c>
      <c r="J36" s="58">
        <v>45337</v>
      </c>
      <c r="K36" s="105" t="s">
        <v>567</v>
      </c>
      <c r="L36" s="123">
        <v>89600155752</v>
      </c>
      <c r="M36" s="105" t="s">
        <v>566</v>
      </c>
      <c r="N36" s="58"/>
      <c r="O36" s="56"/>
      <c r="P36" s="60">
        <v>20000</v>
      </c>
      <c r="Q36" s="56"/>
      <c r="R36" s="56" t="s">
        <v>387</v>
      </c>
      <c r="S36" s="100">
        <v>83000</v>
      </c>
      <c r="T36" s="116">
        <f t="shared" si="0"/>
        <v>1660000</v>
      </c>
    </row>
    <row r="37" spans="1:20" s="67" customFormat="1" ht="13.5" customHeight="1" x14ac:dyDescent="0.25">
      <c r="A37" s="464" t="s">
        <v>224</v>
      </c>
      <c r="B37" s="464" t="s">
        <v>469</v>
      </c>
      <c r="C37" s="60" t="s">
        <v>540</v>
      </c>
      <c r="D37" s="11" t="s">
        <v>158</v>
      </c>
      <c r="E37" s="59" t="s">
        <v>258</v>
      </c>
      <c r="F37" s="60">
        <v>9600</v>
      </c>
      <c r="G37" s="69">
        <v>48</v>
      </c>
      <c r="H37" s="464" t="s">
        <v>541</v>
      </c>
      <c r="I37" s="69" t="s">
        <v>357</v>
      </c>
      <c r="J37" s="58">
        <v>45337</v>
      </c>
      <c r="K37" s="108" t="s">
        <v>570</v>
      </c>
      <c r="L37" s="118" t="s">
        <v>571</v>
      </c>
      <c r="M37" s="66" t="s">
        <v>569</v>
      </c>
      <c r="N37" s="107"/>
      <c r="O37" s="56"/>
      <c r="P37" s="56"/>
      <c r="Q37" s="60">
        <v>9600</v>
      </c>
      <c r="R37" s="56" t="s">
        <v>387</v>
      </c>
      <c r="S37" s="100">
        <v>69000</v>
      </c>
      <c r="T37" s="116">
        <f t="shared" ref="T37:T64" si="1" xml:space="preserve"> S37*(F37/1000)</f>
        <v>662400</v>
      </c>
    </row>
    <row r="38" spans="1:20" s="67" customFormat="1" ht="13.5" customHeight="1" x14ac:dyDescent="0.25">
      <c r="A38" s="469"/>
      <c r="B38" s="469"/>
      <c r="C38" s="60" t="s">
        <v>540</v>
      </c>
      <c r="D38" s="98" t="s">
        <v>585</v>
      </c>
      <c r="E38" s="59" t="s">
        <v>555</v>
      </c>
      <c r="F38" s="97">
        <v>5600</v>
      </c>
      <c r="G38" s="69">
        <v>28</v>
      </c>
      <c r="H38" s="469"/>
      <c r="I38" s="69" t="s">
        <v>357</v>
      </c>
      <c r="J38" s="58">
        <v>45337</v>
      </c>
      <c r="K38" s="108" t="s">
        <v>570</v>
      </c>
      <c r="L38" s="123" t="s">
        <v>571</v>
      </c>
      <c r="M38" s="66" t="s">
        <v>569</v>
      </c>
      <c r="N38" s="58"/>
      <c r="O38" s="56"/>
      <c r="P38" s="60"/>
      <c r="Q38" s="97">
        <v>5600</v>
      </c>
      <c r="R38" s="56" t="s">
        <v>387</v>
      </c>
      <c r="S38" s="100">
        <v>145000</v>
      </c>
      <c r="T38" s="116">
        <f t="shared" si="1"/>
        <v>812000</v>
      </c>
    </row>
    <row r="39" spans="1:20" s="67" customFormat="1" ht="13.5" customHeight="1" x14ac:dyDescent="0.25">
      <c r="A39" s="469"/>
      <c r="B39" s="469"/>
      <c r="C39" s="60" t="s">
        <v>540</v>
      </c>
      <c r="D39" s="11" t="s">
        <v>173</v>
      </c>
      <c r="E39" s="59" t="s">
        <v>255</v>
      </c>
      <c r="F39" s="60">
        <v>800</v>
      </c>
      <c r="G39" s="69">
        <v>4</v>
      </c>
      <c r="H39" s="469"/>
      <c r="I39" s="69" t="s">
        <v>357</v>
      </c>
      <c r="J39" s="58">
        <v>45337</v>
      </c>
      <c r="K39" s="108" t="s">
        <v>570</v>
      </c>
      <c r="L39" s="123" t="s">
        <v>571</v>
      </c>
      <c r="M39" s="66" t="s">
        <v>569</v>
      </c>
      <c r="N39" s="58"/>
      <c r="O39" s="56"/>
      <c r="P39" s="60"/>
      <c r="Q39" s="60">
        <v>800</v>
      </c>
      <c r="R39" s="56" t="s">
        <v>387</v>
      </c>
      <c r="S39" s="100">
        <v>87000</v>
      </c>
      <c r="T39" s="116">
        <f t="shared" si="1"/>
        <v>69600</v>
      </c>
    </row>
    <row r="40" spans="1:20" s="67" customFormat="1" ht="13.5" customHeight="1" x14ac:dyDescent="0.25">
      <c r="A40" s="465"/>
      <c r="B40" s="465"/>
      <c r="C40" s="60" t="s">
        <v>540</v>
      </c>
      <c r="D40" s="98" t="s">
        <v>310</v>
      </c>
      <c r="E40" s="59" t="s">
        <v>507</v>
      </c>
      <c r="F40" s="97">
        <v>2000</v>
      </c>
      <c r="G40" s="69">
        <v>80</v>
      </c>
      <c r="H40" s="465"/>
      <c r="I40" s="69" t="s">
        <v>357</v>
      </c>
      <c r="J40" s="58">
        <v>45337</v>
      </c>
      <c r="K40" s="108" t="s">
        <v>570</v>
      </c>
      <c r="L40" s="123" t="s">
        <v>571</v>
      </c>
      <c r="M40" s="66" t="s">
        <v>569</v>
      </c>
      <c r="N40" s="58"/>
      <c r="O40" s="97"/>
      <c r="P40" s="60">
        <v>2000</v>
      </c>
      <c r="Q40" s="56"/>
      <c r="R40" s="56" t="s">
        <v>387</v>
      </c>
      <c r="S40" s="100">
        <v>105000</v>
      </c>
      <c r="T40" s="116">
        <f t="shared" si="1"/>
        <v>210000</v>
      </c>
    </row>
    <row r="41" spans="1:20" s="67" customFormat="1" ht="13.5" customHeight="1" x14ac:dyDescent="0.25">
      <c r="A41" s="464" t="s">
        <v>224</v>
      </c>
      <c r="B41" s="498" t="s">
        <v>348</v>
      </c>
      <c r="C41" s="97" t="s">
        <v>381</v>
      </c>
      <c r="D41" s="98" t="s">
        <v>316</v>
      </c>
      <c r="E41" s="59" t="s">
        <v>546</v>
      </c>
      <c r="F41" s="97">
        <v>10000</v>
      </c>
      <c r="G41" s="69">
        <v>500</v>
      </c>
      <c r="H41" s="464" t="s">
        <v>424</v>
      </c>
      <c r="I41" s="69" t="s">
        <v>357</v>
      </c>
      <c r="J41" s="58">
        <v>45338</v>
      </c>
      <c r="K41" s="105" t="s">
        <v>583</v>
      </c>
      <c r="L41" s="123">
        <v>89116853202</v>
      </c>
      <c r="M41" s="123" t="s">
        <v>577</v>
      </c>
      <c r="N41" s="58"/>
      <c r="O41" s="97"/>
      <c r="P41" s="60">
        <v>10000</v>
      </c>
      <c r="Q41" s="56"/>
      <c r="R41" s="56" t="s">
        <v>387</v>
      </c>
      <c r="S41" s="100">
        <v>83000</v>
      </c>
      <c r="T41" s="116">
        <f t="shared" si="1"/>
        <v>830000</v>
      </c>
    </row>
    <row r="42" spans="1:20" s="67" customFormat="1" ht="13.5" customHeight="1" x14ac:dyDescent="0.25">
      <c r="A42" s="469"/>
      <c r="B42" s="499"/>
      <c r="C42" s="97" t="s">
        <v>381</v>
      </c>
      <c r="D42" s="98" t="s">
        <v>287</v>
      </c>
      <c r="E42" s="59" t="s">
        <v>423</v>
      </c>
      <c r="F42" s="97">
        <v>10000</v>
      </c>
      <c r="G42" s="69">
        <v>400</v>
      </c>
      <c r="H42" s="469"/>
      <c r="I42" s="69" t="s">
        <v>357</v>
      </c>
      <c r="J42" s="58">
        <v>45338</v>
      </c>
      <c r="K42" s="105" t="s">
        <v>583</v>
      </c>
      <c r="L42" s="123">
        <v>89116853202</v>
      </c>
      <c r="M42" s="123" t="s">
        <v>577</v>
      </c>
      <c r="N42" s="58"/>
      <c r="O42" s="97">
        <v>10000</v>
      </c>
      <c r="P42" s="60"/>
      <c r="Q42" s="56"/>
      <c r="R42" s="56" t="s">
        <v>387</v>
      </c>
      <c r="S42" s="100">
        <v>41000</v>
      </c>
      <c r="T42" s="116">
        <f t="shared" si="1"/>
        <v>410000</v>
      </c>
    </row>
    <row r="43" spans="1:20" s="67" customFormat="1" ht="13.5" customHeight="1" x14ac:dyDescent="0.25">
      <c r="A43" s="465"/>
      <c r="B43" s="500"/>
      <c r="C43" s="97" t="s">
        <v>381</v>
      </c>
      <c r="D43" s="98" t="s">
        <v>287</v>
      </c>
      <c r="E43" s="59" t="s">
        <v>423</v>
      </c>
      <c r="F43" s="97">
        <v>20000</v>
      </c>
      <c r="G43" s="69">
        <v>800</v>
      </c>
      <c r="H43" s="465"/>
      <c r="I43" s="69" t="s">
        <v>357</v>
      </c>
      <c r="J43" s="58">
        <v>45338</v>
      </c>
      <c r="K43" s="105" t="s">
        <v>584</v>
      </c>
      <c r="L43" s="123">
        <v>89115675225</v>
      </c>
      <c r="M43" s="123" t="s">
        <v>578</v>
      </c>
      <c r="N43" s="58"/>
      <c r="O43" s="97">
        <v>20000</v>
      </c>
      <c r="P43" s="60"/>
      <c r="Q43" s="56"/>
      <c r="R43" s="56" t="s">
        <v>387</v>
      </c>
      <c r="S43" s="100">
        <v>41000</v>
      </c>
      <c r="T43" s="116">
        <f t="shared" si="1"/>
        <v>820000</v>
      </c>
    </row>
    <row r="44" spans="1:20" s="67" customFormat="1" ht="13.5" customHeight="1" x14ac:dyDescent="0.25">
      <c r="A44" s="203" t="s">
        <v>224</v>
      </c>
      <c r="B44" s="97" t="s">
        <v>547</v>
      </c>
      <c r="C44" s="97" t="s">
        <v>265</v>
      </c>
      <c r="D44" s="98" t="s">
        <v>204</v>
      </c>
      <c r="E44" s="59" t="s">
        <v>555</v>
      </c>
      <c r="F44" s="97">
        <v>600</v>
      </c>
      <c r="G44" s="69">
        <v>3</v>
      </c>
      <c r="H44" s="464" t="s">
        <v>169</v>
      </c>
      <c r="I44" s="69" t="s">
        <v>357</v>
      </c>
      <c r="J44" s="58">
        <v>45338</v>
      </c>
      <c r="K44" s="105" t="s">
        <v>580</v>
      </c>
      <c r="L44" s="123">
        <v>89116853405</v>
      </c>
      <c r="M44" s="105" t="s">
        <v>582</v>
      </c>
      <c r="N44" s="58"/>
      <c r="O44" s="56"/>
      <c r="P44" s="60"/>
      <c r="Q44" s="97">
        <v>600</v>
      </c>
      <c r="R44" s="56" t="s">
        <v>387</v>
      </c>
      <c r="S44" s="100">
        <v>99800</v>
      </c>
      <c r="T44" s="116">
        <f t="shared" si="1"/>
        <v>59880</v>
      </c>
    </row>
    <row r="45" spans="1:20" s="67" customFormat="1" ht="13.5" customHeight="1" x14ac:dyDescent="0.25">
      <c r="A45" s="203" t="s">
        <v>224</v>
      </c>
      <c r="B45" s="97" t="s">
        <v>547</v>
      </c>
      <c r="C45" s="97" t="s">
        <v>265</v>
      </c>
      <c r="D45" s="98" t="s">
        <v>204</v>
      </c>
      <c r="E45" s="59" t="s">
        <v>564</v>
      </c>
      <c r="F45" s="97">
        <v>200</v>
      </c>
      <c r="G45" s="69">
        <v>1</v>
      </c>
      <c r="H45" s="469"/>
      <c r="I45" s="69" t="s">
        <v>357</v>
      </c>
      <c r="J45" s="58">
        <v>45338</v>
      </c>
      <c r="K45" s="105" t="s">
        <v>581</v>
      </c>
      <c r="L45" s="123">
        <v>89116853405</v>
      </c>
      <c r="M45" s="105" t="s">
        <v>582</v>
      </c>
      <c r="N45" s="58"/>
      <c r="O45" s="56"/>
      <c r="P45" s="60"/>
      <c r="Q45" s="97">
        <v>200</v>
      </c>
      <c r="R45" s="56" t="s">
        <v>387</v>
      </c>
      <c r="S45" s="100">
        <v>99800</v>
      </c>
      <c r="T45" s="116">
        <f t="shared" si="1"/>
        <v>19960</v>
      </c>
    </row>
    <row r="46" spans="1:20" s="67" customFormat="1" ht="13.5" customHeight="1" x14ac:dyDescent="0.25">
      <c r="A46" s="203" t="s">
        <v>224</v>
      </c>
      <c r="B46" s="97" t="s">
        <v>547</v>
      </c>
      <c r="C46" s="97" t="s">
        <v>265</v>
      </c>
      <c r="D46" s="98" t="s">
        <v>204</v>
      </c>
      <c r="E46" s="59" t="s">
        <v>555</v>
      </c>
      <c r="F46" s="97">
        <v>400</v>
      </c>
      <c r="G46" s="69">
        <v>2</v>
      </c>
      <c r="H46" s="469"/>
      <c r="I46" s="69" t="s">
        <v>357</v>
      </c>
      <c r="J46" s="58">
        <v>45338</v>
      </c>
      <c r="K46" s="105" t="s">
        <v>579</v>
      </c>
      <c r="L46" s="123">
        <v>89116853405</v>
      </c>
      <c r="M46" s="105" t="s">
        <v>582</v>
      </c>
      <c r="N46" s="58"/>
      <c r="O46" s="56"/>
      <c r="P46" s="60"/>
      <c r="Q46" s="97">
        <v>400</v>
      </c>
      <c r="R46" s="56" t="s">
        <v>387</v>
      </c>
      <c r="S46" s="100">
        <v>99800</v>
      </c>
      <c r="T46" s="116">
        <f t="shared" si="1"/>
        <v>39920</v>
      </c>
    </row>
    <row r="47" spans="1:20" s="67" customFormat="1" ht="13.5" customHeight="1" x14ac:dyDescent="0.25">
      <c r="A47" s="203" t="s">
        <v>224</v>
      </c>
      <c r="B47" s="97" t="s">
        <v>547</v>
      </c>
      <c r="C47" s="97" t="s">
        <v>265</v>
      </c>
      <c r="D47" s="98" t="s">
        <v>204</v>
      </c>
      <c r="E47" s="59" t="s">
        <v>546</v>
      </c>
      <c r="F47" s="97">
        <v>400</v>
      </c>
      <c r="G47" s="69">
        <v>2</v>
      </c>
      <c r="H47" s="469"/>
      <c r="I47" s="69" t="s">
        <v>357</v>
      </c>
      <c r="J47" s="58">
        <v>45338</v>
      </c>
      <c r="K47" s="105" t="s">
        <v>579</v>
      </c>
      <c r="L47" s="123">
        <v>89116853405</v>
      </c>
      <c r="M47" s="105" t="s">
        <v>582</v>
      </c>
      <c r="N47" s="58"/>
      <c r="O47" s="56"/>
      <c r="P47" s="60"/>
      <c r="Q47" s="97">
        <v>400</v>
      </c>
      <c r="R47" s="56" t="s">
        <v>387</v>
      </c>
      <c r="S47" s="100">
        <v>99800</v>
      </c>
      <c r="T47" s="116">
        <f t="shared" si="1"/>
        <v>39920</v>
      </c>
    </row>
    <row r="48" spans="1:20" s="67" customFormat="1" ht="13.5" customHeight="1" x14ac:dyDescent="0.25">
      <c r="A48" s="203" t="s">
        <v>224</v>
      </c>
      <c r="B48" s="97" t="s">
        <v>547</v>
      </c>
      <c r="C48" s="97" t="s">
        <v>265</v>
      </c>
      <c r="D48" s="98" t="s">
        <v>204</v>
      </c>
      <c r="E48" s="59" t="s">
        <v>555</v>
      </c>
      <c r="F48" s="97">
        <v>8000</v>
      </c>
      <c r="G48" s="69">
        <v>40</v>
      </c>
      <c r="H48" s="469"/>
      <c r="I48" s="69" t="s">
        <v>357</v>
      </c>
      <c r="J48" s="58">
        <v>45338</v>
      </c>
      <c r="K48" s="105" t="s">
        <v>580</v>
      </c>
      <c r="L48" s="123">
        <v>89116853405</v>
      </c>
      <c r="M48" s="105" t="s">
        <v>582</v>
      </c>
      <c r="N48" s="58"/>
      <c r="O48" s="56"/>
      <c r="P48" s="60"/>
      <c r="Q48" s="97">
        <v>8000</v>
      </c>
      <c r="R48" s="56" t="s">
        <v>387</v>
      </c>
      <c r="S48" s="100">
        <v>99800</v>
      </c>
      <c r="T48" s="116">
        <f t="shared" si="1"/>
        <v>798400</v>
      </c>
    </row>
    <row r="49" spans="1:20" s="67" customFormat="1" ht="13.5" customHeight="1" x14ac:dyDescent="0.25">
      <c r="A49" s="203" t="s">
        <v>224</v>
      </c>
      <c r="B49" s="97" t="s">
        <v>547</v>
      </c>
      <c r="C49" s="97" t="s">
        <v>265</v>
      </c>
      <c r="D49" s="98" t="s">
        <v>204</v>
      </c>
      <c r="E49" s="59" t="s">
        <v>564</v>
      </c>
      <c r="F49" s="97">
        <v>8000</v>
      </c>
      <c r="G49" s="69">
        <v>40</v>
      </c>
      <c r="H49" s="465"/>
      <c r="I49" s="69" t="s">
        <v>357</v>
      </c>
      <c r="J49" s="58">
        <v>45338</v>
      </c>
      <c r="K49" s="105" t="s">
        <v>581</v>
      </c>
      <c r="L49" s="123">
        <v>89116853405</v>
      </c>
      <c r="M49" s="105" t="s">
        <v>582</v>
      </c>
      <c r="N49" s="58"/>
      <c r="O49" s="56"/>
      <c r="P49" s="60"/>
      <c r="Q49" s="97">
        <v>8000</v>
      </c>
      <c r="R49" s="56" t="s">
        <v>387</v>
      </c>
      <c r="S49" s="100">
        <v>99800</v>
      </c>
      <c r="T49" s="116">
        <f t="shared" si="1"/>
        <v>798400</v>
      </c>
    </row>
    <row r="50" spans="1:20" s="67" customFormat="1" ht="13.5" customHeight="1" x14ac:dyDescent="0.25">
      <c r="A50" s="216"/>
      <c r="B50" s="97" t="s">
        <v>599</v>
      </c>
      <c r="C50" s="97" t="s">
        <v>600</v>
      </c>
      <c r="D50" s="98" t="s">
        <v>279</v>
      </c>
      <c r="E50" s="59" t="s">
        <v>555</v>
      </c>
      <c r="F50" s="97">
        <v>25</v>
      </c>
      <c r="G50" s="69">
        <v>1</v>
      </c>
      <c r="H50" s="69" t="s">
        <v>601</v>
      </c>
      <c r="I50" s="69" t="s">
        <v>357</v>
      </c>
      <c r="J50" s="58">
        <v>45338</v>
      </c>
      <c r="K50" s="56" t="s">
        <v>602</v>
      </c>
      <c r="L50" s="106" t="s">
        <v>603</v>
      </c>
      <c r="M50" s="56"/>
      <c r="N50" s="58"/>
      <c r="O50" s="56">
        <v>25</v>
      </c>
      <c r="P50" s="60"/>
      <c r="Q50" s="56"/>
      <c r="R50" s="56" t="s">
        <v>387</v>
      </c>
      <c r="S50" s="100">
        <v>45000</v>
      </c>
      <c r="T50" s="116">
        <f t="shared" si="1"/>
        <v>1125</v>
      </c>
    </row>
    <row r="51" spans="1:20" s="67" customFormat="1" ht="13.5" customHeight="1" x14ac:dyDescent="0.25">
      <c r="A51" s="217" t="s">
        <v>224</v>
      </c>
      <c r="B51" s="97" t="s">
        <v>380</v>
      </c>
      <c r="C51" s="97" t="s">
        <v>349</v>
      </c>
      <c r="D51" s="98" t="s">
        <v>158</v>
      </c>
      <c r="E51" s="59" t="s">
        <v>260</v>
      </c>
      <c r="F51" s="97">
        <v>8000</v>
      </c>
      <c r="G51" s="69">
        <v>40</v>
      </c>
      <c r="H51" s="464" t="s">
        <v>352</v>
      </c>
      <c r="I51" s="69" t="s">
        <v>357</v>
      </c>
      <c r="J51" s="58">
        <v>45342</v>
      </c>
      <c r="K51" s="105" t="s">
        <v>617</v>
      </c>
      <c r="L51" s="123" t="s">
        <v>616</v>
      </c>
      <c r="M51" s="105" t="s">
        <v>615</v>
      </c>
      <c r="N51" s="58"/>
      <c r="O51" s="56"/>
      <c r="P51" s="60"/>
      <c r="Q51" s="97">
        <v>8000</v>
      </c>
      <c r="R51" s="56" t="s">
        <v>387</v>
      </c>
      <c r="S51" s="100">
        <v>69000</v>
      </c>
      <c r="T51" s="116">
        <f t="shared" si="1"/>
        <v>552000</v>
      </c>
    </row>
    <row r="52" spans="1:20" s="67" customFormat="1" ht="13.5" customHeight="1" x14ac:dyDescent="0.25">
      <c r="A52" s="217" t="s">
        <v>224</v>
      </c>
      <c r="B52" s="97" t="s">
        <v>380</v>
      </c>
      <c r="C52" s="97" t="s">
        <v>349</v>
      </c>
      <c r="D52" s="98" t="s">
        <v>158</v>
      </c>
      <c r="E52" s="59" t="s">
        <v>233</v>
      </c>
      <c r="F52" s="97">
        <v>6400</v>
      </c>
      <c r="G52" s="69">
        <v>32</v>
      </c>
      <c r="H52" s="469"/>
      <c r="I52" s="69" t="s">
        <v>357</v>
      </c>
      <c r="J52" s="58">
        <v>45342</v>
      </c>
      <c r="K52" s="105" t="s">
        <v>617</v>
      </c>
      <c r="L52" s="123" t="s">
        <v>616</v>
      </c>
      <c r="M52" s="105" t="s">
        <v>615</v>
      </c>
      <c r="N52" s="58"/>
      <c r="O52" s="56"/>
      <c r="P52" s="60"/>
      <c r="Q52" s="97">
        <v>6400</v>
      </c>
      <c r="R52" s="56" t="s">
        <v>387</v>
      </c>
      <c r="S52" s="100">
        <v>69000</v>
      </c>
      <c r="T52" s="116">
        <f t="shared" si="1"/>
        <v>441600</v>
      </c>
    </row>
    <row r="53" spans="1:20" s="67" customFormat="1" ht="13.5" customHeight="1" x14ac:dyDescent="0.25">
      <c r="A53" s="217" t="s">
        <v>224</v>
      </c>
      <c r="B53" s="97" t="s">
        <v>380</v>
      </c>
      <c r="C53" s="97" t="s">
        <v>349</v>
      </c>
      <c r="D53" s="11" t="s">
        <v>158</v>
      </c>
      <c r="E53" s="59" t="s">
        <v>250</v>
      </c>
      <c r="F53" s="60">
        <v>3200</v>
      </c>
      <c r="G53" s="69">
        <v>16</v>
      </c>
      <c r="H53" s="465"/>
      <c r="I53" s="69" t="s">
        <v>357</v>
      </c>
      <c r="J53" s="58">
        <v>45342</v>
      </c>
      <c r="K53" s="105" t="s">
        <v>617</v>
      </c>
      <c r="L53" s="118" t="s">
        <v>616</v>
      </c>
      <c r="M53" s="105" t="s">
        <v>615</v>
      </c>
      <c r="N53" s="107"/>
      <c r="O53" s="56"/>
      <c r="P53" s="56"/>
      <c r="Q53" s="60">
        <v>3200</v>
      </c>
      <c r="R53" s="56" t="s">
        <v>387</v>
      </c>
      <c r="S53" s="100">
        <v>69000</v>
      </c>
      <c r="T53" s="116">
        <f t="shared" si="1"/>
        <v>220800</v>
      </c>
    </row>
    <row r="54" spans="1:20" s="67" customFormat="1" ht="13.5" customHeight="1" x14ac:dyDescent="0.25">
      <c r="A54" s="69" t="s">
        <v>224</v>
      </c>
      <c r="B54" s="60" t="s">
        <v>435</v>
      </c>
      <c r="C54" s="60" t="s">
        <v>436</v>
      </c>
      <c r="D54" s="11" t="s">
        <v>331</v>
      </c>
      <c r="E54" s="59" t="s">
        <v>596</v>
      </c>
      <c r="F54" s="60">
        <v>8000</v>
      </c>
      <c r="G54" s="69">
        <v>40</v>
      </c>
      <c r="H54" s="464" t="s">
        <v>438</v>
      </c>
      <c r="I54" s="69" t="s">
        <v>357</v>
      </c>
      <c r="J54" s="58">
        <v>45342</v>
      </c>
      <c r="K54" s="108" t="s">
        <v>619</v>
      </c>
      <c r="L54" s="117">
        <v>89123245460</v>
      </c>
      <c r="M54" s="56" t="s">
        <v>618</v>
      </c>
      <c r="N54" s="107"/>
      <c r="O54" s="56"/>
      <c r="P54" s="56"/>
      <c r="Q54" s="60">
        <v>8000</v>
      </c>
      <c r="R54" s="56" t="s">
        <v>387</v>
      </c>
      <c r="S54" s="100">
        <v>369000</v>
      </c>
      <c r="T54" s="116">
        <f t="shared" si="1"/>
        <v>2952000</v>
      </c>
    </row>
    <row r="55" spans="1:20" s="67" customFormat="1" ht="13.5" customHeight="1" x14ac:dyDescent="0.25">
      <c r="A55" s="69" t="s">
        <v>224</v>
      </c>
      <c r="B55" s="60" t="s">
        <v>435</v>
      </c>
      <c r="C55" s="60" t="s">
        <v>436</v>
      </c>
      <c r="D55" s="11" t="s">
        <v>331</v>
      </c>
      <c r="E55" s="59" t="s">
        <v>606</v>
      </c>
      <c r="F55" s="60">
        <v>8000</v>
      </c>
      <c r="G55" s="69">
        <v>40</v>
      </c>
      <c r="H55" s="469"/>
      <c r="I55" s="69" t="s">
        <v>357</v>
      </c>
      <c r="J55" s="58">
        <v>45342</v>
      </c>
      <c r="K55" s="108" t="s">
        <v>619</v>
      </c>
      <c r="L55" s="117">
        <v>89123245460</v>
      </c>
      <c r="M55" s="56" t="s">
        <v>618</v>
      </c>
      <c r="N55" s="107"/>
      <c r="O55" s="56"/>
      <c r="P55" s="56"/>
      <c r="Q55" s="60">
        <v>8000</v>
      </c>
      <c r="R55" s="56" t="s">
        <v>387</v>
      </c>
      <c r="S55" s="100">
        <v>369000</v>
      </c>
      <c r="T55" s="116">
        <f t="shared" si="1"/>
        <v>2952000</v>
      </c>
    </row>
    <row r="56" spans="1:20" s="67" customFormat="1" ht="13.5" customHeight="1" x14ac:dyDescent="0.25">
      <c r="A56" s="69" t="s">
        <v>224</v>
      </c>
      <c r="B56" s="60" t="s">
        <v>435</v>
      </c>
      <c r="C56" s="60" t="s">
        <v>436</v>
      </c>
      <c r="D56" s="11" t="s">
        <v>331</v>
      </c>
      <c r="E56" s="59" t="s">
        <v>607</v>
      </c>
      <c r="F56" s="60">
        <v>800</v>
      </c>
      <c r="G56" s="69">
        <v>4</v>
      </c>
      <c r="H56" s="469"/>
      <c r="I56" s="69" t="s">
        <v>357</v>
      </c>
      <c r="J56" s="58">
        <v>45342</v>
      </c>
      <c r="K56" s="108" t="s">
        <v>619</v>
      </c>
      <c r="L56" s="117">
        <v>89123245460</v>
      </c>
      <c r="M56" s="56" t="s">
        <v>618</v>
      </c>
      <c r="N56" s="107"/>
      <c r="O56" s="56"/>
      <c r="P56" s="56"/>
      <c r="Q56" s="60">
        <v>800</v>
      </c>
      <c r="R56" s="56" t="s">
        <v>387</v>
      </c>
      <c r="S56" s="100">
        <v>369000</v>
      </c>
      <c r="T56" s="116">
        <f t="shared" si="1"/>
        <v>295200</v>
      </c>
    </row>
    <row r="57" spans="1:20" s="67" customFormat="1" ht="13.5" customHeight="1" x14ac:dyDescent="0.25">
      <c r="A57" s="464" t="s">
        <v>230</v>
      </c>
      <c r="B57" s="60" t="s">
        <v>435</v>
      </c>
      <c r="C57" s="60" t="s">
        <v>436</v>
      </c>
      <c r="D57" s="11" t="s">
        <v>331</v>
      </c>
      <c r="E57" s="59" t="s">
        <v>596</v>
      </c>
      <c r="F57" s="60">
        <v>600</v>
      </c>
      <c r="G57" s="69">
        <v>3</v>
      </c>
      <c r="H57" s="469"/>
      <c r="I57" s="69" t="s">
        <v>357</v>
      </c>
      <c r="J57" s="58">
        <v>45342</v>
      </c>
      <c r="K57" s="108" t="s">
        <v>619</v>
      </c>
      <c r="L57" s="117">
        <v>89123245460</v>
      </c>
      <c r="M57" s="56" t="s">
        <v>618</v>
      </c>
      <c r="N57" s="107"/>
      <c r="O57" s="56"/>
      <c r="P57" s="56"/>
      <c r="Q57" s="60">
        <v>600</v>
      </c>
      <c r="R57" s="56" t="s">
        <v>387</v>
      </c>
      <c r="S57" s="100">
        <v>369000</v>
      </c>
      <c r="T57" s="116">
        <f t="shared" si="1"/>
        <v>221400</v>
      </c>
    </row>
    <row r="58" spans="1:20" s="67" customFormat="1" ht="13.5" customHeight="1" x14ac:dyDescent="0.25">
      <c r="A58" s="465"/>
      <c r="B58" s="60" t="s">
        <v>435</v>
      </c>
      <c r="C58" s="60" t="s">
        <v>436</v>
      </c>
      <c r="D58" s="11" t="s">
        <v>331</v>
      </c>
      <c r="E58" s="59" t="s">
        <v>606</v>
      </c>
      <c r="F58" s="60">
        <v>200</v>
      </c>
      <c r="G58" s="69">
        <v>1</v>
      </c>
      <c r="H58" s="465"/>
      <c r="I58" s="69" t="s">
        <v>357</v>
      </c>
      <c r="J58" s="58">
        <v>45342</v>
      </c>
      <c r="K58" s="108" t="s">
        <v>619</v>
      </c>
      <c r="L58" s="117">
        <v>89123245460</v>
      </c>
      <c r="M58" s="56" t="s">
        <v>618</v>
      </c>
      <c r="N58" s="107"/>
      <c r="O58" s="56"/>
      <c r="P58" s="56"/>
      <c r="Q58" s="60">
        <v>200</v>
      </c>
      <c r="R58" s="56" t="s">
        <v>387</v>
      </c>
      <c r="S58" s="100">
        <v>369000</v>
      </c>
      <c r="T58" s="116">
        <f t="shared" si="1"/>
        <v>73800</v>
      </c>
    </row>
    <row r="59" spans="1:20" s="67" customFormat="1" ht="13.5" customHeight="1" x14ac:dyDescent="0.25">
      <c r="A59" s="217" t="s">
        <v>224</v>
      </c>
      <c r="B59" s="97" t="s">
        <v>380</v>
      </c>
      <c r="C59" s="97" t="s">
        <v>349</v>
      </c>
      <c r="D59" s="98" t="s">
        <v>158</v>
      </c>
      <c r="E59" s="59" t="s">
        <v>252</v>
      </c>
      <c r="F59" s="60">
        <v>800</v>
      </c>
      <c r="G59" s="69">
        <v>4</v>
      </c>
      <c r="H59" s="464" t="s">
        <v>352</v>
      </c>
      <c r="I59" s="69" t="s">
        <v>357</v>
      </c>
      <c r="J59" s="58">
        <v>45342</v>
      </c>
      <c r="K59" s="105" t="s">
        <v>625</v>
      </c>
      <c r="L59" s="123" t="s">
        <v>626</v>
      </c>
      <c r="M59" s="105" t="s">
        <v>624</v>
      </c>
      <c r="N59" s="58"/>
      <c r="O59" s="56"/>
      <c r="P59" s="60"/>
      <c r="Q59" s="60">
        <v>800</v>
      </c>
      <c r="R59" s="56" t="s">
        <v>387</v>
      </c>
      <c r="S59" s="100">
        <v>69000</v>
      </c>
      <c r="T59" s="116">
        <f t="shared" si="1"/>
        <v>55200</v>
      </c>
    </row>
    <row r="60" spans="1:20" s="67" customFormat="1" ht="13.5" customHeight="1" x14ac:dyDescent="0.25">
      <c r="A60" s="217" t="s">
        <v>224</v>
      </c>
      <c r="B60" s="97" t="s">
        <v>380</v>
      </c>
      <c r="C60" s="97" t="s">
        <v>349</v>
      </c>
      <c r="D60" s="98" t="s">
        <v>158</v>
      </c>
      <c r="E60" s="59" t="s">
        <v>253</v>
      </c>
      <c r="F60" s="60">
        <v>5600</v>
      </c>
      <c r="G60" s="69">
        <v>28</v>
      </c>
      <c r="H60" s="469"/>
      <c r="I60" s="69" t="s">
        <v>357</v>
      </c>
      <c r="J60" s="58">
        <v>45342</v>
      </c>
      <c r="K60" s="105" t="s">
        <v>625</v>
      </c>
      <c r="L60" s="123" t="s">
        <v>626</v>
      </c>
      <c r="M60" s="105" t="s">
        <v>624</v>
      </c>
      <c r="N60" s="58"/>
      <c r="O60" s="56"/>
      <c r="P60" s="60"/>
      <c r="Q60" s="60">
        <v>5600</v>
      </c>
      <c r="R60" s="56" t="s">
        <v>387</v>
      </c>
      <c r="S60" s="100">
        <v>69000</v>
      </c>
      <c r="T60" s="116">
        <f t="shared" si="1"/>
        <v>386400</v>
      </c>
    </row>
    <row r="61" spans="1:20" s="67" customFormat="1" ht="13.5" customHeight="1" x14ac:dyDescent="0.25">
      <c r="A61" s="217" t="s">
        <v>224</v>
      </c>
      <c r="B61" s="97" t="s">
        <v>380</v>
      </c>
      <c r="C61" s="97" t="s">
        <v>349</v>
      </c>
      <c r="D61" s="11" t="s">
        <v>158</v>
      </c>
      <c r="E61" s="59" t="s">
        <v>254</v>
      </c>
      <c r="F61" s="60">
        <v>6400</v>
      </c>
      <c r="G61" s="69">
        <v>32</v>
      </c>
      <c r="H61" s="469"/>
      <c r="I61" s="69" t="s">
        <v>357</v>
      </c>
      <c r="J61" s="58">
        <v>45342</v>
      </c>
      <c r="K61" s="105" t="s">
        <v>625</v>
      </c>
      <c r="L61" s="123" t="s">
        <v>626</v>
      </c>
      <c r="M61" s="105" t="s">
        <v>624</v>
      </c>
      <c r="N61" s="107"/>
      <c r="O61" s="56"/>
      <c r="P61" s="56"/>
      <c r="Q61" s="60">
        <v>6400</v>
      </c>
      <c r="R61" s="56" t="s">
        <v>387</v>
      </c>
      <c r="S61" s="100">
        <v>69000</v>
      </c>
      <c r="T61" s="116">
        <f t="shared" si="1"/>
        <v>441600</v>
      </c>
    </row>
    <row r="62" spans="1:20" s="67" customFormat="1" ht="13.5" customHeight="1" x14ac:dyDescent="0.25">
      <c r="A62" s="217" t="s">
        <v>224</v>
      </c>
      <c r="B62" s="97" t="s">
        <v>380</v>
      </c>
      <c r="C62" s="97" t="s">
        <v>349</v>
      </c>
      <c r="D62" s="11" t="s">
        <v>158</v>
      </c>
      <c r="E62" s="59" t="s">
        <v>257</v>
      </c>
      <c r="F62" s="60">
        <v>4000</v>
      </c>
      <c r="G62" s="69">
        <v>20</v>
      </c>
      <c r="H62" s="469"/>
      <c r="I62" s="69" t="s">
        <v>357</v>
      </c>
      <c r="J62" s="58">
        <v>45342</v>
      </c>
      <c r="K62" s="105" t="s">
        <v>625</v>
      </c>
      <c r="L62" s="123" t="s">
        <v>626</v>
      </c>
      <c r="M62" s="105" t="s">
        <v>624</v>
      </c>
      <c r="N62" s="107"/>
      <c r="O62" s="56"/>
      <c r="P62" s="56"/>
      <c r="Q62" s="60">
        <v>4000</v>
      </c>
      <c r="R62" s="56" t="s">
        <v>387</v>
      </c>
      <c r="S62" s="100">
        <v>69000</v>
      </c>
      <c r="T62" s="116">
        <f t="shared" si="1"/>
        <v>276000</v>
      </c>
    </row>
    <row r="63" spans="1:20" s="67" customFormat="1" ht="13.5" customHeight="1" x14ac:dyDescent="0.25">
      <c r="A63" s="217" t="s">
        <v>224</v>
      </c>
      <c r="B63" s="97" t="s">
        <v>380</v>
      </c>
      <c r="C63" s="97" t="s">
        <v>349</v>
      </c>
      <c r="D63" s="11" t="s">
        <v>158</v>
      </c>
      <c r="E63" s="59" t="s">
        <v>266</v>
      </c>
      <c r="F63" s="60">
        <v>800</v>
      </c>
      <c r="G63" s="69">
        <v>4</v>
      </c>
      <c r="H63" s="465"/>
      <c r="I63" s="69" t="s">
        <v>357</v>
      </c>
      <c r="J63" s="58">
        <v>45342</v>
      </c>
      <c r="K63" s="105" t="s">
        <v>625</v>
      </c>
      <c r="L63" s="123" t="s">
        <v>626</v>
      </c>
      <c r="M63" s="105" t="s">
        <v>624</v>
      </c>
      <c r="N63" s="107"/>
      <c r="O63" s="56"/>
      <c r="P63" s="56"/>
      <c r="Q63" s="60">
        <v>800</v>
      </c>
      <c r="R63" s="56" t="s">
        <v>387</v>
      </c>
      <c r="S63" s="100">
        <v>69000</v>
      </c>
      <c r="T63" s="116">
        <f t="shared" si="1"/>
        <v>55200</v>
      </c>
    </row>
    <row r="64" spans="1:20" s="67" customFormat="1" ht="13.5" customHeight="1" x14ac:dyDescent="0.25">
      <c r="A64" s="269" t="s">
        <v>634</v>
      </c>
      <c r="B64" s="97" t="s">
        <v>628</v>
      </c>
      <c r="C64" s="97" t="s">
        <v>265</v>
      </c>
      <c r="D64" s="98" t="s">
        <v>286</v>
      </c>
      <c r="E64" s="59" t="s">
        <v>629</v>
      </c>
      <c r="F64" s="97">
        <v>20000</v>
      </c>
      <c r="G64" s="69">
        <v>800</v>
      </c>
      <c r="H64" s="69" t="s">
        <v>169</v>
      </c>
      <c r="I64" s="69" t="s">
        <v>357</v>
      </c>
      <c r="J64" s="58">
        <v>45344</v>
      </c>
      <c r="K64" s="105" t="s">
        <v>635</v>
      </c>
      <c r="L64" s="123">
        <v>89212974613</v>
      </c>
      <c r="M64" s="105" t="s">
        <v>636</v>
      </c>
      <c r="N64" s="58"/>
      <c r="O64" s="56"/>
      <c r="P64" s="97">
        <v>20000</v>
      </c>
      <c r="Q64" s="56"/>
      <c r="R64" s="56" t="s">
        <v>387</v>
      </c>
      <c r="S64" s="100">
        <v>246500</v>
      </c>
      <c r="T64" s="116">
        <f t="shared" si="1"/>
        <v>4930000</v>
      </c>
    </row>
    <row r="65" spans="1:20" s="167" customFormat="1" ht="13.5" customHeight="1" x14ac:dyDescent="0.25">
      <c r="A65" s="161" t="s">
        <v>640</v>
      </c>
      <c r="B65" s="157" t="s">
        <v>630</v>
      </c>
      <c r="C65" s="158" t="s">
        <v>265</v>
      </c>
      <c r="D65" s="159" t="s">
        <v>289</v>
      </c>
      <c r="E65" s="160" t="s">
        <v>374</v>
      </c>
      <c r="F65" s="158">
        <v>20000</v>
      </c>
      <c r="G65" s="161">
        <v>800</v>
      </c>
      <c r="H65" s="161" t="s">
        <v>241</v>
      </c>
      <c r="I65" s="161" t="s">
        <v>357</v>
      </c>
      <c r="J65" s="162">
        <v>45344</v>
      </c>
      <c r="K65" s="163" t="s">
        <v>643</v>
      </c>
      <c r="L65" s="163">
        <v>89272877555</v>
      </c>
      <c r="M65" s="164" t="s">
        <v>642</v>
      </c>
      <c r="N65" s="162"/>
      <c r="O65" s="158">
        <v>20000</v>
      </c>
      <c r="P65" s="157"/>
      <c r="Q65" s="164"/>
      <c r="R65" s="164" t="s">
        <v>387</v>
      </c>
      <c r="S65" s="165">
        <v>41000</v>
      </c>
      <c r="T65" s="166">
        <f>S65*(F65/1000)</f>
        <v>820000</v>
      </c>
    </row>
    <row r="66" spans="1:20" s="67" customFormat="1" ht="13.5" customHeight="1" x14ac:dyDescent="0.25">
      <c r="A66" s="464" t="s">
        <v>633</v>
      </c>
      <c r="B66" s="60" t="s">
        <v>562</v>
      </c>
      <c r="C66" s="60" t="s">
        <v>168</v>
      </c>
      <c r="D66" s="11" t="s">
        <v>621</v>
      </c>
      <c r="E66" s="59" t="s">
        <v>641</v>
      </c>
      <c r="F66" s="60">
        <v>5760</v>
      </c>
      <c r="G66" s="69">
        <v>32</v>
      </c>
      <c r="H66" s="250" t="s">
        <v>563</v>
      </c>
      <c r="I66" s="69" t="s">
        <v>357</v>
      </c>
      <c r="J66" s="58">
        <v>45344</v>
      </c>
      <c r="K66" s="108" t="s">
        <v>631</v>
      </c>
      <c r="L66" s="118">
        <v>89210705590</v>
      </c>
      <c r="M66" s="66" t="s">
        <v>632</v>
      </c>
      <c r="N66" s="107"/>
      <c r="O66" s="56"/>
      <c r="P66" s="56"/>
      <c r="Q66" s="60">
        <v>5760</v>
      </c>
      <c r="R66" s="56" t="s">
        <v>387</v>
      </c>
      <c r="S66" s="100">
        <v>359000</v>
      </c>
      <c r="T66" s="116">
        <f t="shared" ref="T66:T74" si="2" xml:space="preserve"> S66*(F66/1000)</f>
        <v>2067840</v>
      </c>
    </row>
    <row r="67" spans="1:20" s="67" customFormat="1" ht="13.5" customHeight="1" x14ac:dyDescent="0.25">
      <c r="A67" s="465"/>
      <c r="B67" s="60" t="s">
        <v>389</v>
      </c>
      <c r="C67" s="60" t="s">
        <v>168</v>
      </c>
      <c r="D67" s="98" t="s">
        <v>316</v>
      </c>
      <c r="E67" s="64" t="s">
        <v>564</v>
      </c>
      <c r="F67" s="97">
        <v>14000</v>
      </c>
      <c r="G67" s="69">
        <v>700</v>
      </c>
      <c r="H67" s="250" t="s">
        <v>563</v>
      </c>
      <c r="I67" s="69" t="s">
        <v>357</v>
      </c>
      <c r="J67" s="58">
        <v>45344</v>
      </c>
      <c r="K67" s="108" t="s">
        <v>631</v>
      </c>
      <c r="L67" s="118">
        <v>89210705590</v>
      </c>
      <c r="M67" s="66" t="s">
        <v>632</v>
      </c>
      <c r="N67" s="107"/>
      <c r="O67" s="56"/>
      <c r="P67" s="97">
        <v>14000</v>
      </c>
      <c r="Q67" s="56"/>
      <c r="R67" s="56" t="s">
        <v>387</v>
      </c>
      <c r="S67" s="100">
        <v>101000</v>
      </c>
      <c r="T67" s="116">
        <f t="shared" si="2"/>
        <v>1414000</v>
      </c>
    </row>
    <row r="68" spans="1:20" s="67" customFormat="1" ht="13.5" customHeight="1" x14ac:dyDescent="0.25">
      <c r="A68" s="69" t="s">
        <v>637</v>
      </c>
      <c r="B68" s="60" t="s">
        <v>435</v>
      </c>
      <c r="C68" s="60" t="s">
        <v>436</v>
      </c>
      <c r="D68" s="11" t="s">
        <v>331</v>
      </c>
      <c r="E68" s="59" t="s">
        <v>607</v>
      </c>
      <c r="F68" s="60">
        <v>7200</v>
      </c>
      <c r="G68" s="69">
        <v>36</v>
      </c>
      <c r="H68" s="464" t="s">
        <v>438</v>
      </c>
      <c r="I68" s="69" t="s">
        <v>357</v>
      </c>
      <c r="J68" s="58">
        <v>45344</v>
      </c>
      <c r="K68" s="108" t="s">
        <v>639</v>
      </c>
      <c r="L68" s="117">
        <v>89626646424</v>
      </c>
      <c r="M68" s="56" t="s">
        <v>638</v>
      </c>
      <c r="N68" s="107"/>
      <c r="O68" s="56"/>
      <c r="P68" s="56"/>
      <c r="Q68" s="60">
        <v>7200</v>
      </c>
      <c r="R68" s="56" t="s">
        <v>387</v>
      </c>
      <c r="S68" s="100">
        <v>369000</v>
      </c>
      <c r="T68" s="116">
        <f t="shared" si="2"/>
        <v>2656800</v>
      </c>
    </row>
    <row r="69" spans="1:20" s="67" customFormat="1" ht="13.5" customHeight="1" x14ac:dyDescent="0.25">
      <c r="A69" s="69" t="s">
        <v>637</v>
      </c>
      <c r="B69" s="60" t="s">
        <v>435</v>
      </c>
      <c r="C69" s="60" t="s">
        <v>436</v>
      </c>
      <c r="D69" s="11" t="s">
        <v>331</v>
      </c>
      <c r="E69" s="59" t="s">
        <v>627</v>
      </c>
      <c r="F69" s="60">
        <v>8000</v>
      </c>
      <c r="G69" s="69">
        <v>40</v>
      </c>
      <c r="H69" s="469"/>
      <c r="I69" s="69" t="s">
        <v>357</v>
      </c>
      <c r="J69" s="58">
        <v>45344</v>
      </c>
      <c r="K69" s="108" t="s">
        <v>639</v>
      </c>
      <c r="L69" s="117">
        <v>89626646424</v>
      </c>
      <c r="M69" s="56" t="s">
        <v>638</v>
      </c>
      <c r="N69" s="107"/>
      <c r="O69" s="56"/>
      <c r="P69" s="56"/>
      <c r="Q69" s="60">
        <v>8000</v>
      </c>
      <c r="R69" s="56" t="s">
        <v>387</v>
      </c>
      <c r="S69" s="100">
        <v>369000</v>
      </c>
      <c r="T69" s="116">
        <f t="shared" si="2"/>
        <v>2952000</v>
      </c>
    </row>
    <row r="70" spans="1:20" s="67" customFormat="1" ht="13.5" customHeight="1" x14ac:dyDescent="0.25">
      <c r="A70" s="464" t="s">
        <v>230</v>
      </c>
      <c r="B70" s="60" t="s">
        <v>435</v>
      </c>
      <c r="C70" s="60" t="s">
        <v>436</v>
      </c>
      <c r="D70" s="11" t="s">
        <v>331</v>
      </c>
      <c r="E70" s="59" t="s">
        <v>607</v>
      </c>
      <c r="F70" s="60">
        <v>400</v>
      </c>
      <c r="G70" s="69">
        <v>2</v>
      </c>
      <c r="H70" s="469"/>
      <c r="I70" s="69" t="s">
        <v>357</v>
      </c>
      <c r="J70" s="58">
        <v>45344</v>
      </c>
      <c r="K70" s="108" t="s">
        <v>639</v>
      </c>
      <c r="L70" s="117">
        <v>89626646424</v>
      </c>
      <c r="M70" s="56" t="s">
        <v>638</v>
      </c>
      <c r="N70" s="107"/>
      <c r="O70" s="56"/>
      <c r="P70" s="56"/>
      <c r="Q70" s="60">
        <v>400</v>
      </c>
      <c r="R70" s="56" t="s">
        <v>387</v>
      </c>
      <c r="S70" s="100">
        <v>369000</v>
      </c>
      <c r="T70" s="116">
        <f t="shared" si="2"/>
        <v>147600</v>
      </c>
    </row>
    <row r="71" spans="1:20" s="67" customFormat="1" ht="13.5" customHeight="1" x14ac:dyDescent="0.25">
      <c r="A71" s="465"/>
      <c r="B71" s="60" t="s">
        <v>435</v>
      </c>
      <c r="C71" s="60" t="s">
        <v>436</v>
      </c>
      <c r="D71" s="11" t="s">
        <v>331</v>
      </c>
      <c r="E71" s="59" t="s">
        <v>606</v>
      </c>
      <c r="F71" s="60">
        <v>400</v>
      </c>
      <c r="G71" s="69">
        <v>2</v>
      </c>
      <c r="H71" s="469"/>
      <c r="I71" s="69" t="s">
        <v>357</v>
      </c>
      <c r="J71" s="58">
        <v>45344</v>
      </c>
      <c r="K71" s="108" t="s">
        <v>639</v>
      </c>
      <c r="L71" s="117">
        <v>89626646424</v>
      </c>
      <c r="M71" s="56" t="s">
        <v>638</v>
      </c>
      <c r="N71" s="107"/>
      <c r="O71" s="56"/>
      <c r="P71" s="56"/>
      <c r="Q71" s="60">
        <v>400</v>
      </c>
      <c r="R71" s="56" t="s">
        <v>387</v>
      </c>
      <c r="S71" s="100">
        <v>369000</v>
      </c>
      <c r="T71" s="116">
        <f t="shared" si="2"/>
        <v>147600</v>
      </c>
    </row>
    <row r="72" spans="1:20" s="67" customFormat="1" ht="13.5" customHeight="1" x14ac:dyDescent="0.25">
      <c r="A72" s="464" t="s">
        <v>230</v>
      </c>
      <c r="B72" s="60" t="s">
        <v>435</v>
      </c>
      <c r="C72" s="60" t="s">
        <v>436</v>
      </c>
      <c r="D72" s="11" t="s">
        <v>331</v>
      </c>
      <c r="E72" s="59" t="s">
        <v>607</v>
      </c>
      <c r="F72" s="60">
        <v>200</v>
      </c>
      <c r="G72" s="69">
        <v>1</v>
      </c>
      <c r="H72" s="469"/>
      <c r="I72" s="69" t="s">
        <v>357</v>
      </c>
      <c r="J72" s="58">
        <v>45344</v>
      </c>
      <c r="K72" s="108" t="s">
        <v>639</v>
      </c>
      <c r="L72" s="117">
        <v>89626646424</v>
      </c>
      <c r="M72" s="56" t="s">
        <v>638</v>
      </c>
      <c r="N72" s="107"/>
      <c r="O72" s="56"/>
      <c r="P72" s="56"/>
      <c r="Q72" s="60">
        <v>200</v>
      </c>
      <c r="R72" s="56" t="s">
        <v>387</v>
      </c>
      <c r="S72" s="100">
        <v>369000</v>
      </c>
      <c r="T72" s="116">
        <f t="shared" si="2"/>
        <v>73800</v>
      </c>
    </row>
    <row r="73" spans="1:20" s="67" customFormat="1" ht="13.5" customHeight="1" x14ac:dyDescent="0.25">
      <c r="A73" s="465"/>
      <c r="B73" s="60" t="s">
        <v>435</v>
      </c>
      <c r="C73" s="60" t="s">
        <v>436</v>
      </c>
      <c r="D73" s="11" t="s">
        <v>331</v>
      </c>
      <c r="E73" s="59" t="s">
        <v>627</v>
      </c>
      <c r="F73" s="60">
        <v>600</v>
      </c>
      <c r="G73" s="69">
        <v>3</v>
      </c>
      <c r="H73" s="469"/>
      <c r="I73" s="69" t="s">
        <v>357</v>
      </c>
      <c r="J73" s="58">
        <v>45344</v>
      </c>
      <c r="K73" s="108" t="s">
        <v>639</v>
      </c>
      <c r="L73" s="117">
        <v>89626646424</v>
      </c>
      <c r="M73" s="56" t="s">
        <v>638</v>
      </c>
      <c r="N73" s="107"/>
      <c r="O73" s="56"/>
      <c r="P73" s="56"/>
      <c r="Q73" s="60">
        <v>600</v>
      </c>
      <c r="R73" s="56" t="s">
        <v>387</v>
      </c>
      <c r="S73" s="100">
        <v>369000</v>
      </c>
      <c r="T73" s="116">
        <f t="shared" si="2"/>
        <v>221400</v>
      </c>
    </row>
    <row r="74" spans="1:20" s="67" customFormat="1" ht="13.5" customHeight="1" x14ac:dyDescent="0.25">
      <c r="A74" s="69" t="s">
        <v>637</v>
      </c>
      <c r="B74" s="60" t="s">
        <v>435</v>
      </c>
      <c r="C74" s="60" t="s">
        <v>436</v>
      </c>
      <c r="D74" s="11" t="s">
        <v>331</v>
      </c>
      <c r="E74" s="59" t="s">
        <v>641</v>
      </c>
      <c r="F74" s="60">
        <v>800</v>
      </c>
      <c r="G74" s="69">
        <v>4</v>
      </c>
      <c r="H74" s="465"/>
      <c r="I74" s="69" t="s">
        <v>357</v>
      </c>
      <c r="J74" s="58">
        <v>45344</v>
      </c>
      <c r="K74" s="108" t="s">
        <v>639</v>
      </c>
      <c r="L74" s="117">
        <v>89626646424</v>
      </c>
      <c r="M74" s="56" t="s">
        <v>638</v>
      </c>
      <c r="N74" s="107"/>
      <c r="O74" s="56"/>
      <c r="P74" s="56"/>
      <c r="Q74" s="60">
        <v>800</v>
      </c>
      <c r="R74" s="56" t="s">
        <v>387</v>
      </c>
      <c r="S74" s="100">
        <v>369000</v>
      </c>
      <c r="T74" s="116">
        <f t="shared" si="2"/>
        <v>295200</v>
      </c>
    </row>
    <row r="75" spans="1:20" s="67" customFormat="1" ht="13.5" customHeight="1" x14ac:dyDescent="0.25">
      <c r="A75" s="69" t="s">
        <v>240</v>
      </c>
      <c r="B75" s="60" t="s">
        <v>464</v>
      </c>
      <c r="C75" s="60" t="s">
        <v>165</v>
      </c>
      <c r="D75" s="11" t="s">
        <v>400</v>
      </c>
      <c r="E75" s="59" t="s">
        <v>463</v>
      </c>
      <c r="F75" s="60">
        <v>7400</v>
      </c>
      <c r="G75" s="69">
        <v>40</v>
      </c>
      <c r="H75" s="69" t="s">
        <v>465</v>
      </c>
      <c r="I75" s="69" t="s">
        <v>357</v>
      </c>
      <c r="J75" s="58">
        <v>45348</v>
      </c>
      <c r="K75" s="108"/>
      <c r="L75" s="117"/>
      <c r="M75" s="66"/>
      <c r="N75" s="107" t="s">
        <v>667</v>
      </c>
      <c r="O75" s="56"/>
      <c r="P75" s="56"/>
      <c r="Q75" s="60">
        <v>7400</v>
      </c>
      <c r="R75" s="56" t="s">
        <v>387</v>
      </c>
      <c r="S75" s="100">
        <v>355000</v>
      </c>
      <c r="T75" s="116">
        <f t="shared" ref="T75:T80" si="3" xml:space="preserve"> S75*(F75/1000)</f>
        <v>2627000</v>
      </c>
    </row>
    <row r="76" spans="1:20" s="67" customFormat="1" ht="13.5" customHeight="1" x14ac:dyDescent="0.25">
      <c r="A76" s="464" t="s">
        <v>651</v>
      </c>
      <c r="B76" s="60" t="s">
        <v>648</v>
      </c>
      <c r="C76" s="60" t="s">
        <v>436</v>
      </c>
      <c r="D76" s="11" t="s">
        <v>331</v>
      </c>
      <c r="E76" s="59" t="s">
        <v>641</v>
      </c>
      <c r="F76" s="60">
        <v>8000</v>
      </c>
      <c r="G76" s="69">
        <v>40</v>
      </c>
      <c r="H76" s="464" t="s">
        <v>438</v>
      </c>
      <c r="I76" s="69" t="s">
        <v>357</v>
      </c>
      <c r="J76" s="58">
        <v>45348</v>
      </c>
      <c r="K76" s="108" t="s">
        <v>665</v>
      </c>
      <c r="L76" s="117">
        <v>89115006850</v>
      </c>
      <c r="M76" s="66" t="s">
        <v>664</v>
      </c>
      <c r="N76" s="107"/>
      <c r="O76" s="56"/>
      <c r="P76" s="56"/>
      <c r="Q76" s="60">
        <v>8000</v>
      </c>
      <c r="R76" s="56" t="s">
        <v>387</v>
      </c>
      <c r="S76" s="100">
        <v>369000</v>
      </c>
      <c r="T76" s="116">
        <f t="shared" si="3"/>
        <v>2952000</v>
      </c>
    </row>
    <row r="77" spans="1:20" s="67" customFormat="1" ht="13.5" customHeight="1" x14ac:dyDescent="0.25">
      <c r="A77" s="465"/>
      <c r="B77" s="60" t="s">
        <v>648</v>
      </c>
      <c r="C77" s="60" t="s">
        <v>436</v>
      </c>
      <c r="D77" s="11" t="s">
        <v>331</v>
      </c>
      <c r="E77" s="59" t="s">
        <v>647</v>
      </c>
      <c r="F77" s="60">
        <v>9600</v>
      </c>
      <c r="G77" s="69">
        <v>48</v>
      </c>
      <c r="H77" s="465"/>
      <c r="I77" s="69" t="s">
        <v>357</v>
      </c>
      <c r="J77" s="58">
        <v>45348</v>
      </c>
      <c r="K77" s="108" t="s">
        <v>665</v>
      </c>
      <c r="L77" s="117">
        <v>89115006850</v>
      </c>
      <c r="M77" s="66" t="s">
        <v>664</v>
      </c>
      <c r="N77" s="107"/>
      <c r="O77" s="56"/>
      <c r="P77" s="56"/>
      <c r="Q77" s="60">
        <v>9600</v>
      </c>
      <c r="R77" s="56" t="s">
        <v>387</v>
      </c>
      <c r="S77" s="100">
        <v>369000</v>
      </c>
      <c r="T77" s="116">
        <f t="shared" si="3"/>
        <v>3542400</v>
      </c>
    </row>
    <row r="78" spans="1:20" s="67" customFormat="1" ht="13.5" customHeight="1" x14ac:dyDescent="0.25">
      <c r="A78" s="269" t="s">
        <v>653</v>
      </c>
      <c r="B78" s="97" t="s">
        <v>466</v>
      </c>
      <c r="C78" s="97" t="s">
        <v>436</v>
      </c>
      <c r="D78" s="98" t="s">
        <v>316</v>
      </c>
      <c r="E78" s="59" t="s">
        <v>531</v>
      </c>
      <c r="F78" s="97">
        <v>20000</v>
      </c>
      <c r="G78" s="69">
        <v>1000</v>
      </c>
      <c r="H78" s="69" t="s">
        <v>467</v>
      </c>
      <c r="I78" s="69" t="s">
        <v>357</v>
      </c>
      <c r="J78" s="58">
        <v>45348</v>
      </c>
      <c r="K78" s="105" t="s">
        <v>663</v>
      </c>
      <c r="L78" s="123">
        <v>89105349466</v>
      </c>
      <c r="M78" s="270" t="s">
        <v>662</v>
      </c>
      <c r="N78" s="58"/>
      <c r="O78" s="97"/>
      <c r="P78" s="97">
        <v>20000</v>
      </c>
      <c r="Q78" s="56"/>
      <c r="R78" s="56" t="s">
        <v>387</v>
      </c>
      <c r="S78" s="100">
        <v>83000</v>
      </c>
      <c r="T78" s="116">
        <f t="shared" si="3"/>
        <v>1660000</v>
      </c>
    </row>
    <row r="79" spans="1:20" s="67" customFormat="1" ht="13.5" customHeight="1" x14ac:dyDescent="0.25">
      <c r="A79" s="252" t="s">
        <v>633</v>
      </c>
      <c r="B79" s="60" t="s">
        <v>562</v>
      </c>
      <c r="C79" s="60" t="s">
        <v>168</v>
      </c>
      <c r="D79" s="11" t="s">
        <v>621</v>
      </c>
      <c r="E79" s="59" t="s">
        <v>649</v>
      </c>
      <c r="F79" s="60">
        <v>8280</v>
      </c>
      <c r="G79" s="69">
        <v>46</v>
      </c>
      <c r="H79" s="69" t="s">
        <v>563</v>
      </c>
      <c r="I79" s="69" t="s">
        <v>357</v>
      </c>
      <c r="J79" s="58">
        <v>45349</v>
      </c>
      <c r="K79" s="108" t="s">
        <v>668</v>
      </c>
      <c r="L79" s="118">
        <v>89115708558</v>
      </c>
      <c r="M79" s="66" t="s">
        <v>666</v>
      </c>
      <c r="N79" s="107"/>
      <c r="O79" s="56"/>
      <c r="P79" s="56"/>
      <c r="Q79" s="60">
        <v>8280</v>
      </c>
      <c r="R79" s="56" t="s">
        <v>387</v>
      </c>
      <c r="S79" s="100">
        <v>359000</v>
      </c>
      <c r="T79" s="116">
        <f t="shared" si="3"/>
        <v>2972520</v>
      </c>
    </row>
    <row r="80" spans="1:20" s="67" customFormat="1" ht="13.5" customHeight="1" x14ac:dyDescent="0.25">
      <c r="A80" s="252" t="s">
        <v>633</v>
      </c>
      <c r="B80" s="60" t="s">
        <v>562</v>
      </c>
      <c r="C80" s="60" t="s">
        <v>168</v>
      </c>
      <c r="D80" s="11" t="s">
        <v>621</v>
      </c>
      <c r="E80" s="59" t="s">
        <v>654</v>
      </c>
      <c r="F80" s="60">
        <v>7560</v>
      </c>
      <c r="G80" s="69">
        <v>42</v>
      </c>
      <c r="H80" s="69" t="s">
        <v>563</v>
      </c>
      <c r="I80" s="69" t="s">
        <v>357</v>
      </c>
      <c r="J80" s="58">
        <v>45349</v>
      </c>
      <c r="K80" s="108" t="s">
        <v>668</v>
      </c>
      <c r="L80" s="118">
        <v>89115708558</v>
      </c>
      <c r="M80" s="66" t="s">
        <v>666</v>
      </c>
      <c r="N80" s="107"/>
      <c r="O80" s="56"/>
      <c r="P80" s="56"/>
      <c r="Q80" s="60">
        <v>7560</v>
      </c>
      <c r="R80" s="56" t="s">
        <v>387</v>
      </c>
      <c r="S80" s="100">
        <v>359000</v>
      </c>
      <c r="T80" s="116">
        <f t="shared" si="3"/>
        <v>2714040</v>
      </c>
    </row>
    <row r="81" spans="1:20" s="167" customFormat="1" ht="13.5" customHeight="1" x14ac:dyDescent="0.25">
      <c r="A81" s="161" t="s">
        <v>652</v>
      </c>
      <c r="B81" s="157" t="s">
        <v>630</v>
      </c>
      <c r="C81" s="158" t="s">
        <v>373</v>
      </c>
      <c r="D81" s="159" t="s">
        <v>289</v>
      </c>
      <c r="E81" s="160" t="s">
        <v>374</v>
      </c>
      <c r="F81" s="158">
        <v>20000</v>
      </c>
      <c r="G81" s="161">
        <v>800</v>
      </c>
      <c r="H81" s="161" t="s">
        <v>241</v>
      </c>
      <c r="I81" s="161" t="s">
        <v>357</v>
      </c>
      <c r="J81" s="162">
        <v>45350</v>
      </c>
      <c r="K81" s="163" t="s">
        <v>270</v>
      </c>
      <c r="L81" s="163">
        <v>89116853272</v>
      </c>
      <c r="M81" s="164" t="s">
        <v>556</v>
      </c>
      <c r="N81" s="162"/>
      <c r="O81" s="158">
        <v>20000</v>
      </c>
      <c r="P81" s="157"/>
      <c r="Q81" s="164"/>
      <c r="R81" s="164" t="s">
        <v>387</v>
      </c>
      <c r="S81" s="165">
        <v>41000</v>
      </c>
      <c r="T81" s="166">
        <f>S81*(F81/1000)</f>
        <v>820000</v>
      </c>
    </row>
    <row r="82" spans="1:20" s="67" customFormat="1" ht="13.5" customHeight="1" x14ac:dyDescent="0.25">
      <c r="A82" s="69" t="s">
        <v>353</v>
      </c>
      <c r="B82" s="60" t="s">
        <v>574</v>
      </c>
      <c r="C82" s="60" t="s">
        <v>165</v>
      </c>
      <c r="D82" s="11" t="s">
        <v>196</v>
      </c>
      <c r="E82" s="59" t="s">
        <v>575</v>
      </c>
      <c r="F82" s="60">
        <v>8360</v>
      </c>
      <c r="G82" s="69">
        <v>44</v>
      </c>
      <c r="H82" s="69" t="s">
        <v>172</v>
      </c>
      <c r="I82" s="69" t="s">
        <v>357</v>
      </c>
      <c r="J82" s="58">
        <v>45350</v>
      </c>
      <c r="K82" s="69"/>
      <c r="L82" s="117"/>
      <c r="M82" s="66"/>
      <c r="N82" s="107" t="s">
        <v>700</v>
      </c>
      <c r="O82" s="56"/>
      <c r="P82" s="56"/>
      <c r="Q82" s="60">
        <v>8360</v>
      </c>
      <c r="R82" s="56" t="s">
        <v>387</v>
      </c>
      <c r="S82" s="100">
        <v>115000</v>
      </c>
      <c r="T82" s="65">
        <f t="shared" ref="T82:T90" si="4" xml:space="preserve"> S82*(F82/1000)</f>
        <v>961399.99999999988</v>
      </c>
    </row>
    <row r="83" spans="1:20" s="67" customFormat="1" ht="13.5" customHeight="1" x14ac:dyDescent="0.25">
      <c r="A83" s="69" t="s">
        <v>353</v>
      </c>
      <c r="B83" s="60" t="s">
        <v>574</v>
      </c>
      <c r="C83" s="60" t="s">
        <v>165</v>
      </c>
      <c r="D83" s="11" t="s">
        <v>196</v>
      </c>
      <c r="E83" s="59" t="s">
        <v>576</v>
      </c>
      <c r="F83" s="60">
        <v>4560</v>
      </c>
      <c r="G83" s="69">
        <v>24</v>
      </c>
      <c r="H83" s="69" t="s">
        <v>172</v>
      </c>
      <c r="I83" s="69" t="s">
        <v>357</v>
      </c>
      <c r="J83" s="58">
        <v>45350</v>
      </c>
      <c r="K83" s="69"/>
      <c r="L83" s="117"/>
      <c r="M83" s="66"/>
      <c r="N83" s="107" t="s">
        <v>700</v>
      </c>
      <c r="O83" s="56"/>
      <c r="P83" s="56"/>
      <c r="Q83" s="60">
        <v>4560</v>
      </c>
      <c r="R83" s="56" t="s">
        <v>387</v>
      </c>
      <c r="S83" s="100">
        <v>115000</v>
      </c>
      <c r="T83" s="65">
        <f t="shared" si="4"/>
        <v>524400</v>
      </c>
    </row>
    <row r="84" spans="1:20" s="67" customFormat="1" ht="13.5" customHeight="1" x14ac:dyDescent="0.25">
      <c r="A84" s="69" t="s">
        <v>353</v>
      </c>
      <c r="B84" s="97" t="s">
        <v>360</v>
      </c>
      <c r="C84" s="97" t="s">
        <v>165</v>
      </c>
      <c r="D84" s="98" t="s">
        <v>296</v>
      </c>
      <c r="E84" s="64" t="s">
        <v>361</v>
      </c>
      <c r="F84" s="97">
        <v>2500</v>
      </c>
      <c r="G84" s="69">
        <v>100</v>
      </c>
      <c r="H84" s="69" t="s">
        <v>172</v>
      </c>
      <c r="I84" s="69" t="s">
        <v>357</v>
      </c>
      <c r="J84" s="58">
        <v>45350</v>
      </c>
      <c r="K84" s="69"/>
      <c r="L84" s="114"/>
      <c r="M84" s="56"/>
      <c r="N84" s="107" t="s">
        <v>700</v>
      </c>
      <c r="O84" s="56"/>
      <c r="P84" s="97">
        <v>2500</v>
      </c>
      <c r="Q84" s="56"/>
      <c r="R84" s="56" t="s">
        <v>387</v>
      </c>
      <c r="S84" s="100">
        <v>275000</v>
      </c>
      <c r="T84" s="116">
        <f t="shared" si="4"/>
        <v>687500</v>
      </c>
    </row>
    <row r="85" spans="1:20" s="67" customFormat="1" ht="13.5" customHeight="1" x14ac:dyDescent="0.25">
      <c r="A85" s="69" t="s">
        <v>652</v>
      </c>
      <c r="B85" s="60" t="s">
        <v>669</v>
      </c>
      <c r="C85" s="60" t="s">
        <v>167</v>
      </c>
      <c r="D85" s="11" t="s">
        <v>295</v>
      </c>
      <c r="E85" s="59" t="s">
        <v>546</v>
      </c>
      <c r="F85" s="60">
        <v>19862.5</v>
      </c>
      <c r="G85" s="69">
        <v>875</v>
      </c>
      <c r="H85" s="69" t="s">
        <v>169</v>
      </c>
      <c r="I85" s="69" t="s">
        <v>357</v>
      </c>
      <c r="J85" s="58">
        <v>45351</v>
      </c>
      <c r="K85" s="67" t="s">
        <v>672</v>
      </c>
      <c r="L85" s="114" t="s">
        <v>670</v>
      </c>
      <c r="M85" s="108" t="s">
        <v>671</v>
      </c>
      <c r="N85" s="58"/>
      <c r="O85" s="60">
        <v>19862.5</v>
      </c>
      <c r="P85" s="56"/>
      <c r="Q85" s="56"/>
      <c r="R85" s="56" t="s">
        <v>387</v>
      </c>
      <c r="S85" s="100">
        <v>42500</v>
      </c>
      <c r="T85" s="116">
        <f t="shared" si="4"/>
        <v>844156.25</v>
      </c>
    </row>
    <row r="86" spans="1:20" s="67" customFormat="1" ht="13.5" customHeight="1" x14ac:dyDescent="0.25">
      <c r="A86" s="69" t="s">
        <v>652</v>
      </c>
      <c r="B86" s="60" t="s">
        <v>669</v>
      </c>
      <c r="C86" s="60" t="s">
        <v>167</v>
      </c>
      <c r="D86" s="11" t="s">
        <v>295</v>
      </c>
      <c r="E86" s="59" t="s">
        <v>552</v>
      </c>
      <c r="F86" s="60">
        <v>19862.5</v>
      </c>
      <c r="G86" s="69">
        <v>875</v>
      </c>
      <c r="H86" s="69" t="s">
        <v>169</v>
      </c>
      <c r="I86" s="69" t="s">
        <v>357</v>
      </c>
      <c r="J86" s="58">
        <v>45351</v>
      </c>
      <c r="K86" s="108" t="s">
        <v>673</v>
      </c>
      <c r="L86" s="114" t="s">
        <v>674</v>
      </c>
      <c r="M86" s="56" t="s">
        <v>675</v>
      </c>
      <c r="N86" s="58"/>
      <c r="O86" s="60">
        <v>19862.5</v>
      </c>
      <c r="P86" s="56"/>
      <c r="Q86" s="56"/>
      <c r="R86" s="56" t="s">
        <v>387</v>
      </c>
      <c r="S86" s="100">
        <v>42500</v>
      </c>
      <c r="T86" s="116">
        <f t="shared" si="4"/>
        <v>844156.25</v>
      </c>
    </row>
    <row r="87" spans="1:20" s="67" customFormat="1" ht="13.5" customHeight="1" x14ac:dyDescent="0.25">
      <c r="A87" s="268" t="s">
        <v>240</v>
      </c>
      <c r="B87" s="97" t="s">
        <v>595</v>
      </c>
      <c r="C87" s="97" t="s">
        <v>165</v>
      </c>
      <c r="D87" s="98" t="s">
        <v>291</v>
      </c>
      <c r="E87" s="59" t="s">
        <v>596</v>
      </c>
      <c r="F87" s="97">
        <v>15876</v>
      </c>
      <c r="G87" s="69">
        <v>700</v>
      </c>
      <c r="H87" s="69" t="s">
        <v>169</v>
      </c>
      <c r="I87" s="69" t="s">
        <v>357</v>
      </c>
      <c r="J87" s="58">
        <v>45351</v>
      </c>
      <c r="K87" s="105"/>
      <c r="L87" s="123"/>
      <c r="M87" s="105"/>
      <c r="N87" s="107" t="s">
        <v>704</v>
      </c>
      <c r="O87" s="97">
        <v>15876</v>
      </c>
      <c r="P87" s="60"/>
      <c r="Q87" s="56"/>
      <c r="R87" s="56" t="s">
        <v>387</v>
      </c>
      <c r="S87" s="100">
        <v>49500</v>
      </c>
      <c r="T87" s="116">
        <f t="shared" si="4"/>
        <v>785862</v>
      </c>
    </row>
    <row r="88" spans="1:20" s="67" customFormat="1" ht="13.5" customHeight="1" x14ac:dyDescent="0.25">
      <c r="A88" s="268" t="s">
        <v>240</v>
      </c>
      <c r="B88" s="97" t="s">
        <v>595</v>
      </c>
      <c r="C88" s="97" t="s">
        <v>165</v>
      </c>
      <c r="D88" s="98" t="s">
        <v>291</v>
      </c>
      <c r="E88" s="59" t="s">
        <v>606</v>
      </c>
      <c r="F88" s="97">
        <v>15876</v>
      </c>
      <c r="G88" s="69">
        <v>700</v>
      </c>
      <c r="H88" s="69" t="s">
        <v>169</v>
      </c>
      <c r="I88" s="69" t="s">
        <v>357</v>
      </c>
      <c r="J88" s="58">
        <v>45351</v>
      </c>
      <c r="K88" s="105"/>
      <c r="L88" s="123"/>
      <c r="M88" s="105"/>
      <c r="N88" s="107" t="s">
        <v>703</v>
      </c>
      <c r="O88" s="97">
        <v>15876</v>
      </c>
      <c r="P88" s="60"/>
      <c r="Q88" s="56"/>
      <c r="R88" s="56" t="s">
        <v>387</v>
      </c>
      <c r="S88" s="100">
        <v>49500</v>
      </c>
      <c r="T88" s="116">
        <f t="shared" si="4"/>
        <v>785862</v>
      </c>
    </row>
    <row r="89" spans="1:20" s="67" customFormat="1" ht="13.5" customHeight="1" x14ac:dyDescent="0.25">
      <c r="A89" s="268" t="s">
        <v>240</v>
      </c>
      <c r="B89" s="97" t="s">
        <v>595</v>
      </c>
      <c r="C89" s="97" t="s">
        <v>165</v>
      </c>
      <c r="D89" s="98" t="s">
        <v>291</v>
      </c>
      <c r="E89" s="59" t="s">
        <v>654</v>
      </c>
      <c r="F89" s="97">
        <v>15876</v>
      </c>
      <c r="G89" s="69">
        <v>700</v>
      </c>
      <c r="H89" s="69" t="s">
        <v>169</v>
      </c>
      <c r="I89" s="69" t="s">
        <v>357</v>
      </c>
      <c r="J89" s="58">
        <v>45351</v>
      </c>
      <c r="K89" s="105"/>
      <c r="L89" s="123"/>
      <c r="M89" s="275" t="s">
        <v>817</v>
      </c>
      <c r="N89" s="107" t="s">
        <v>701</v>
      </c>
      <c r="O89" s="97">
        <v>15876</v>
      </c>
      <c r="P89" s="60"/>
      <c r="Q89" s="56"/>
      <c r="R89" s="56" t="s">
        <v>387</v>
      </c>
      <c r="S89" s="100">
        <v>49500</v>
      </c>
      <c r="T89" s="116">
        <f t="shared" si="4"/>
        <v>785862</v>
      </c>
    </row>
    <row r="90" spans="1:20" s="67" customFormat="1" ht="13.5" customHeight="1" x14ac:dyDescent="0.25">
      <c r="A90" s="69" t="s">
        <v>240</v>
      </c>
      <c r="B90" s="97" t="s">
        <v>595</v>
      </c>
      <c r="C90" s="97" t="s">
        <v>165</v>
      </c>
      <c r="D90" s="98" t="s">
        <v>291</v>
      </c>
      <c r="E90" s="59" t="s">
        <v>660</v>
      </c>
      <c r="F90" s="97">
        <v>15876</v>
      </c>
      <c r="G90" s="69">
        <v>700</v>
      </c>
      <c r="H90" s="69" t="s">
        <v>169</v>
      </c>
      <c r="I90" s="69" t="s">
        <v>357</v>
      </c>
      <c r="J90" s="58">
        <v>45351</v>
      </c>
      <c r="K90" s="105"/>
      <c r="L90" s="123"/>
      <c r="M90" s="275" t="s">
        <v>817</v>
      </c>
      <c r="N90" s="107" t="s">
        <v>702</v>
      </c>
      <c r="O90" s="97">
        <v>15876</v>
      </c>
      <c r="P90" s="60"/>
      <c r="Q90" s="56"/>
      <c r="R90" s="56" t="s">
        <v>387</v>
      </c>
      <c r="S90" s="100">
        <v>49500</v>
      </c>
      <c r="T90" s="116">
        <f t="shared" si="4"/>
        <v>785862</v>
      </c>
    </row>
    <row r="91" spans="1:20" s="197" customFormat="1" x14ac:dyDescent="0.25">
      <c r="A91" s="485" t="s">
        <v>588</v>
      </c>
      <c r="B91" s="187"/>
      <c r="C91" s="187" t="s">
        <v>471</v>
      </c>
      <c r="D91" s="188" t="s">
        <v>190</v>
      </c>
      <c r="E91" s="189" t="s">
        <v>518</v>
      </c>
      <c r="F91" s="187">
        <v>8800</v>
      </c>
      <c r="G91" s="186">
        <v>44</v>
      </c>
      <c r="H91" s="186"/>
      <c r="I91" s="186" t="s">
        <v>357</v>
      </c>
      <c r="J91" s="190">
        <v>45342</v>
      </c>
      <c r="K91" s="198"/>
      <c r="L91" s="191"/>
      <c r="M91" s="473" t="s">
        <v>712</v>
      </c>
      <c r="N91" s="473" t="s">
        <v>723</v>
      </c>
      <c r="O91" s="194"/>
      <c r="P91" s="194"/>
      <c r="Q91" s="187">
        <v>8800</v>
      </c>
      <c r="R91" s="194" t="s">
        <v>387</v>
      </c>
      <c r="S91" s="195">
        <v>111100</v>
      </c>
      <c r="T91" s="196">
        <f t="shared" ref="T91:T128" si="5" xml:space="preserve"> S91*(F91/1000)</f>
        <v>977680.00000000012</v>
      </c>
    </row>
    <row r="92" spans="1:20" s="197" customFormat="1" x14ac:dyDescent="0.25">
      <c r="A92" s="486"/>
      <c r="B92" s="187"/>
      <c r="C92" s="187" t="s">
        <v>471</v>
      </c>
      <c r="D92" s="188" t="s">
        <v>190</v>
      </c>
      <c r="E92" s="189" t="s">
        <v>531</v>
      </c>
      <c r="F92" s="187">
        <v>4800</v>
      </c>
      <c r="G92" s="186">
        <v>24</v>
      </c>
      <c r="H92" s="186"/>
      <c r="I92" s="186" t="s">
        <v>357</v>
      </c>
      <c r="J92" s="190">
        <v>45342</v>
      </c>
      <c r="K92" s="198"/>
      <c r="L92" s="191"/>
      <c r="M92" s="474"/>
      <c r="N92" s="474"/>
      <c r="O92" s="194"/>
      <c r="P92" s="194"/>
      <c r="Q92" s="187">
        <v>4800</v>
      </c>
      <c r="R92" s="194" t="s">
        <v>387</v>
      </c>
      <c r="S92" s="195">
        <v>111100</v>
      </c>
      <c r="T92" s="196">
        <f t="shared" si="5"/>
        <v>533280</v>
      </c>
    </row>
    <row r="93" spans="1:20" s="197" customFormat="1" x14ac:dyDescent="0.25">
      <c r="A93" s="486"/>
      <c r="B93" s="187"/>
      <c r="C93" s="187" t="s">
        <v>471</v>
      </c>
      <c r="D93" s="188" t="s">
        <v>190</v>
      </c>
      <c r="E93" s="189" t="s">
        <v>470</v>
      </c>
      <c r="F93" s="187">
        <v>600</v>
      </c>
      <c r="G93" s="186">
        <v>3</v>
      </c>
      <c r="H93" s="186"/>
      <c r="I93" s="186" t="s">
        <v>357</v>
      </c>
      <c r="J93" s="190">
        <v>45342</v>
      </c>
      <c r="K93" s="198"/>
      <c r="L93" s="191"/>
      <c r="M93" s="474"/>
      <c r="N93" s="474"/>
      <c r="O93" s="194"/>
      <c r="P93" s="194"/>
      <c r="Q93" s="187">
        <v>600</v>
      </c>
      <c r="R93" s="194" t="s">
        <v>387</v>
      </c>
      <c r="S93" s="195">
        <v>111100</v>
      </c>
      <c r="T93" s="196">
        <f t="shared" si="5"/>
        <v>66660</v>
      </c>
    </row>
    <row r="94" spans="1:20" s="197" customFormat="1" x14ac:dyDescent="0.25">
      <c r="A94" s="486"/>
      <c r="B94" s="187"/>
      <c r="C94" s="187" t="s">
        <v>471</v>
      </c>
      <c r="D94" s="188" t="s">
        <v>190</v>
      </c>
      <c r="E94" s="189" t="s">
        <v>487</v>
      </c>
      <c r="F94" s="187">
        <v>800</v>
      </c>
      <c r="G94" s="186">
        <v>4</v>
      </c>
      <c r="H94" s="186"/>
      <c r="I94" s="186" t="s">
        <v>357</v>
      </c>
      <c r="J94" s="190">
        <v>45342</v>
      </c>
      <c r="K94" s="198"/>
      <c r="L94" s="191"/>
      <c r="M94" s="474"/>
      <c r="N94" s="474"/>
      <c r="O94" s="194"/>
      <c r="P94" s="194"/>
      <c r="Q94" s="187">
        <v>800</v>
      </c>
      <c r="R94" s="194" t="s">
        <v>387</v>
      </c>
      <c r="S94" s="195">
        <v>111100</v>
      </c>
      <c r="T94" s="196">
        <f t="shared" si="5"/>
        <v>88880</v>
      </c>
    </row>
    <row r="95" spans="1:20" s="197" customFormat="1" x14ac:dyDescent="0.25">
      <c r="A95" s="486"/>
      <c r="B95" s="187"/>
      <c r="C95" s="187" t="s">
        <v>471</v>
      </c>
      <c r="D95" s="188" t="s">
        <v>190</v>
      </c>
      <c r="E95" s="189" t="s">
        <v>488</v>
      </c>
      <c r="F95" s="187">
        <v>200</v>
      </c>
      <c r="G95" s="186">
        <v>1</v>
      </c>
      <c r="H95" s="186"/>
      <c r="I95" s="186" t="s">
        <v>357</v>
      </c>
      <c r="J95" s="190">
        <v>45342</v>
      </c>
      <c r="K95" s="198"/>
      <c r="L95" s="191"/>
      <c r="M95" s="474"/>
      <c r="N95" s="474"/>
      <c r="O95" s="194"/>
      <c r="P95" s="194"/>
      <c r="Q95" s="187">
        <v>200</v>
      </c>
      <c r="R95" s="194" t="s">
        <v>387</v>
      </c>
      <c r="S95" s="195">
        <v>111100</v>
      </c>
      <c r="T95" s="196">
        <f t="shared" si="5"/>
        <v>22220</v>
      </c>
    </row>
    <row r="96" spans="1:20" s="197" customFormat="1" x14ac:dyDescent="0.25">
      <c r="A96" s="486"/>
      <c r="B96" s="187"/>
      <c r="C96" s="187" t="s">
        <v>471</v>
      </c>
      <c r="D96" s="188" t="s">
        <v>190</v>
      </c>
      <c r="E96" s="189" t="s">
        <v>509</v>
      </c>
      <c r="F96" s="187">
        <v>600</v>
      </c>
      <c r="G96" s="186">
        <v>3</v>
      </c>
      <c r="H96" s="186"/>
      <c r="I96" s="186" t="s">
        <v>357</v>
      </c>
      <c r="J96" s="190">
        <v>45342</v>
      </c>
      <c r="K96" s="198"/>
      <c r="L96" s="191"/>
      <c r="M96" s="474"/>
      <c r="N96" s="474"/>
      <c r="O96" s="194"/>
      <c r="P96" s="194"/>
      <c r="Q96" s="187">
        <v>600</v>
      </c>
      <c r="R96" s="194" t="s">
        <v>387</v>
      </c>
      <c r="S96" s="195">
        <v>111100</v>
      </c>
      <c r="T96" s="196">
        <f t="shared" si="5"/>
        <v>66660</v>
      </c>
    </row>
    <row r="97" spans="1:20" s="197" customFormat="1" x14ac:dyDescent="0.25">
      <c r="A97" s="487"/>
      <c r="B97" s="187"/>
      <c r="C97" s="187" t="s">
        <v>471</v>
      </c>
      <c r="D97" s="188" t="s">
        <v>190</v>
      </c>
      <c r="E97" s="189" t="s">
        <v>514</v>
      </c>
      <c r="F97" s="187">
        <v>200</v>
      </c>
      <c r="G97" s="186">
        <v>1</v>
      </c>
      <c r="H97" s="186"/>
      <c r="I97" s="186" t="s">
        <v>357</v>
      </c>
      <c r="J97" s="190">
        <v>45342</v>
      </c>
      <c r="K97" s="198"/>
      <c r="L97" s="191"/>
      <c r="M97" s="474"/>
      <c r="N97" s="475"/>
      <c r="O97" s="194"/>
      <c r="P97" s="194"/>
      <c r="Q97" s="187">
        <v>200</v>
      </c>
      <c r="R97" s="194" t="s">
        <v>387</v>
      </c>
      <c r="S97" s="195">
        <v>111100</v>
      </c>
      <c r="T97" s="196">
        <f t="shared" si="5"/>
        <v>22220</v>
      </c>
    </row>
    <row r="98" spans="1:20" s="197" customFormat="1" ht="13.5" customHeight="1" x14ac:dyDescent="0.25">
      <c r="A98" s="485" t="s">
        <v>592</v>
      </c>
      <c r="B98" s="187"/>
      <c r="C98" s="187" t="s">
        <v>448</v>
      </c>
      <c r="D98" s="188" t="s">
        <v>158</v>
      </c>
      <c r="E98" s="189" t="s">
        <v>266</v>
      </c>
      <c r="F98" s="187">
        <v>3200</v>
      </c>
      <c r="G98" s="186">
        <v>16</v>
      </c>
      <c r="H98" s="186"/>
      <c r="I98" s="186" t="s">
        <v>357</v>
      </c>
      <c r="J98" s="190">
        <v>45342</v>
      </c>
      <c r="K98" s="198"/>
      <c r="L98" s="200"/>
      <c r="M98" s="474"/>
      <c r="N98" s="488" t="s">
        <v>722</v>
      </c>
      <c r="O98" s="194"/>
      <c r="P98" s="194"/>
      <c r="Q98" s="187">
        <v>3200</v>
      </c>
      <c r="R98" s="194" t="s">
        <v>387</v>
      </c>
      <c r="S98" s="195">
        <v>131199</v>
      </c>
      <c r="T98" s="196">
        <f xml:space="preserve"> S98*(F98/1000)</f>
        <v>419836.80000000005</v>
      </c>
    </row>
    <row r="99" spans="1:20" s="197" customFormat="1" ht="13.5" customHeight="1" x14ac:dyDescent="0.25">
      <c r="A99" s="486"/>
      <c r="B99" s="187"/>
      <c r="C99" s="187" t="s">
        <v>448</v>
      </c>
      <c r="D99" s="188" t="s">
        <v>158</v>
      </c>
      <c r="E99" s="189" t="s">
        <v>407</v>
      </c>
      <c r="F99" s="187">
        <v>6400</v>
      </c>
      <c r="G99" s="186">
        <v>32</v>
      </c>
      <c r="H99" s="186"/>
      <c r="I99" s="186" t="s">
        <v>357</v>
      </c>
      <c r="J99" s="190">
        <v>45342</v>
      </c>
      <c r="K99" s="198"/>
      <c r="L99" s="200"/>
      <c r="M99" s="474"/>
      <c r="N99" s="489"/>
      <c r="O99" s="194"/>
      <c r="P99" s="194"/>
      <c r="Q99" s="187">
        <v>6400</v>
      </c>
      <c r="R99" s="194" t="s">
        <v>387</v>
      </c>
      <c r="S99" s="195">
        <v>131199</v>
      </c>
      <c r="T99" s="196">
        <f xml:space="preserve"> S99*(F99/1000)</f>
        <v>839673.60000000009</v>
      </c>
    </row>
    <row r="100" spans="1:20" s="197" customFormat="1" ht="13.5" customHeight="1" x14ac:dyDescent="0.25">
      <c r="A100" s="487"/>
      <c r="B100" s="187"/>
      <c r="C100" s="187" t="s">
        <v>448</v>
      </c>
      <c r="D100" s="188" t="s">
        <v>158</v>
      </c>
      <c r="E100" s="189" t="s">
        <v>388</v>
      </c>
      <c r="F100" s="187">
        <v>6400</v>
      </c>
      <c r="G100" s="186">
        <v>32</v>
      </c>
      <c r="H100" s="186"/>
      <c r="I100" s="186" t="s">
        <v>357</v>
      </c>
      <c r="J100" s="190">
        <v>45342</v>
      </c>
      <c r="K100" s="198"/>
      <c r="L100" s="200"/>
      <c r="M100" s="475"/>
      <c r="N100" s="490"/>
      <c r="O100" s="194"/>
      <c r="P100" s="194"/>
      <c r="Q100" s="187">
        <v>6400</v>
      </c>
      <c r="R100" s="194" t="s">
        <v>387</v>
      </c>
      <c r="S100" s="195">
        <v>131199</v>
      </c>
      <c r="T100" s="196">
        <f xml:space="preserve"> S100*(F100/1000)</f>
        <v>839673.60000000009</v>
      </c>
    </row>
    <row r="101" spans="1:20" s="197" customFormat="1" x14ac:dyDescent="0.25">
      <c r="A101" s="186" t="s">
        <v>589</v>
      </c>
      <c r="B101" s="187"/>
      <c r="C101" s="187" t="s">
        <v>449</v>
      </c>
      <c r="D101" s="188" t="s">
        <v>279</v>
      </c>
      <c r="E101" s="189" t="s">
        <v>446</v>
      </c>
      <c r="F101" s="187">
        <v>18500</v>
      </c>
      <c r="G101" s="186">
        <v>740</v>
      </c>
      <c r="H101" s="186"/>
      <c r="I101" s="186" t="s">
        <v>357</v>
      </c>
      <c r="J101" s="190">
        <v>45342</v>
      </c>
      <c r="K101" s="198"/>
      <c r="L101" s="191"/>
      <c r="M101" s="473" t="s">
        <v>709</v>
      </c>
      <c r="N101" s="266" t="s">
        <v>721</v>
      </c>
      <c r="O101" s="187">
        <v>18500</v>
      </c>
      <c r="P101" s="194"/>
      <c r="Q101" s="194"/>
      <c r="R101" s="194" t="s">
        <v>387</v>
      </c>
      <c r="S101" s="195">
        <v>60600</v>
      </c>
      <c r="T101" s="196">
        <f t="shared" si="5"/>
        <v>1121100</v>
      </c>
    </row>
    <row r="102" spans="1:20" s="197" customFormat="1" x14ac:dyDescent="0.25">
      <c r="A102" s="186" t="s">
        <v>590</v>
      </c>
      <c r="B102" s="187"/>
      <c r="C102" s="187" t="s">
        <v>486</v>
      </c>
      <c r="D102" s="188" t="s">
        <v>211</v>
      </c>
      <c r="E102" s="189" t="s">
        <v>437</v>
      </c>
      <c r="F102" s="187">
        <v>16000</v>
      </c>
      <c r="G102" s="186">
        <v>80</v>
      </c>
      <c r="H102" s="186"/>
      <c r="I102" s="186" t="s">
        <v>357</v>
      </c>
      <c r="J102" s="190">
        <v>45342</v>
      </c>
      <c r="K102" s="198"/>
      <c r="L102" s="191"/>
      <c r="M102" s="475"/>
      <c r="N102" s="266" t="s">
        <v>720</v>
      </c>
      <c r="O102" s="194"/>
      <c r="P102" s="187"/>
      <c r="Q102" s="187">
        <v>16000</v>
      </c>
      <c r="R102" s="194" t="s">
        <v>387</v>
      </c>
      <c r="S102" s="195">
        <v>111100</v>
      </c>
      <c r="T102" s="196">
        <f t="shared" si="5"/>
        <v>1777600</v>
      </c>
    </row>
    <row r="103" spans="1:20" s="197" customFormat="1" x14ac:dyDescent="0.25">
      <c r="A103" s="186" t="s">
        <v>591</v>
      </c>
      <c r="B103" s="187"/>
      <c r="C103" s="187" t="s">
        <v>587</v>
      </c>
      <c r="D103" s="199" t="s">
        <v>586</v>
      </c>
      <c r="E103" s="189"/>
      <c r="F103" s="187">
        <v>18625</v>
      </c>
      <c r="G103" s="186">
        <v>745</v>
      </c>
      <c r="H103" s="186"/>
      <c r="I103" s="186" t="s">
        <v>357</v>
      </c>
      <c r="J103" s="190">
        <v>45342</v>
      </c>
      <c r="K103" s="198"/>
      <c r="L103" s="191"/>
      <c r="M103" s="473" t="s">
        <v>713</v>
      </c>
      <c r="N103" s="267" t="s">
        <v>719</v>
      </c>
      <c r="O103" s="194"/>
      <c r="P103" s="187">
        <v>18625</v>
      </c>
      <c r="Q103" s="194"/>
      <c r="R103" s="194" t="s">
        <v>387</v>
      </c>
      <c r="S103" s="195">
        <v>128800</v>
      </c>
      <c r="T103" s="196">
        <f t="shared" si="5"/>
        <v>2398900</v>
      </c>
    </row>
    <row r="104" spans="1:20" s="197" customFormat="1" x14ac:dyDescent="0.25">
      <c r="A104" s="485" t="s">
        <v>593</v>
      </c>
      <c r="B104" s="187"/>
      <c r="C104" s="187" t="s">
        <v>508</v>
      </c>
      <c r="D104" s="188" t="s">
        <v>310</v>
      </c>
      <c r="E104" s="189" t="s">
        <v>507</v>
      </c>
      <c r="F104" s="187">
        <v>5250</v>
      </c>
      <c r="G104" s="186">
        <v>210</v>
      </c>
      <c r="H104" s="186"/>
      <c r="I104" s="186" t="s">
        <v>357</v>
      </c>
      <c r="J104" s="190">
        <v>45342</v>
      </c>
      <c r="K104" s="198"/>
      <c r="L104" s="191"/>
      <c r="M104" s="474"/>
      <c r="N104" s="473" t="s">
        <v>718</v>
      </c>
      <c r="O104" s="194"/>
      <c r="P104" s="187">
        <v>5250</v>
      </c>
      <c r="Q104" s="194"/>
      <c r="R104" s="194" t="s">
        <v>387</v>
      </c>
      <c r="S104" s="195">
        <v>131300</v>
      </c>
      <c r="T104" s="196">
        <f t="shared" si="5"/>
        <v>689325</v>
      </c>
    </row>
    <row r="105" spans="1:20" s="197" customFormat="1" x14ac:dyDescent="0.25">
      <c r="A105" s="486"/>
      <c r="B105" s="187"/>
      <c r="C105" s="187" t="s">
        <v>594</v>
      </c>
      <c r="D105" s="188" t="s">
        <v>310</v>
      </c>
      <c r="E105" s="189" t="s">
        <v>490</v>
      </c>
      <c r="F105" s="187">
        <v>2625</v>
      </c>
      <c r="G105" s="186">
        <v>105</v>
      </c>
      <c r="H105" s="186"/>
      <c r="I105" s="186" t="s">
        <v>357</v>
      </c>
      <c r="J105" s="190">
        <v>45342</v>
      </c>
      <c r="K105" s="198"/>
      <c r="L105" s="191"/>
      <c r="M105" s="474"/>
      <c r="N105" s="474"/>
      <c r="O105" s="194"/>
      <c r="P105" s="187">
        <v>2625</v>
      </c>
      <c r="Q105" s="194"/>
      <c r="R105" s="194" t="s">
        <v>387</v>
      </c>
      <c r="S105" s="195">
        <v>131300</v>
      </c>
      <c r="T105" s="196">
        <f t="shared" si="5"/>
        <v>344662.5</v>
      </c>
    </row>
    <row r="106" spans="1:20" s="197" customFormat="1" x14ac:dyDescent="0.25">
      <c r="A106" s="486"/>
      <c r="B106" s="187"/>
      <c r="C106" s="187" t="s">
        <v>565</v>
      </c>
      <c r="D106" s="188" t="s">
        <v>286</v>
      </c>
      <c r="E106" s="189" t="s">
        <v>555</v>
      </c>
      <c r="F106" s="187">
        <v>8000</v>
      </c>
      <c r="G106" s="186">
        <v>320</v>
      </c>
      <c r="H106" s="186"/>
      <c r="I106" s="186" t="s">
        <v>357</v>
      </c>
      <c r="J106" s="190">
        <v>45342</v>
      </c>
      <c r="K106" s="198"/>
      <c r="L106" s="191"/>
      <c r="M106" s="474"/>
      <c r="N106" s="474"/>
      <c r="O106" s="194"/>
      <c r="P106" s="187">
        <v>8000</v>
      </c>
      <c r="Q106" s="194"/>
      <c r="R106" s="194" t="s">
        <v>387</v>
      </c>
      <c r="S106" s="195">
        <v>297950</v>
      </c>
      <c r="T106" s="196">
        <f t="shared" si="5"/>
        <v>2383600</v>
      </c>
    </row>
    <row r="107" spans="1:20" s="197" customFormat="1" x14ac:dyDescent="0.25">
      <c r="A107" s="486"/>
      <c r="B107" s="187"/>
      <c r="C107" s="187" t="s">
        <v>565</v>
      </c>
      <c r="D107" s="188" t="s">
        <v>294</v>
      </c>
      <c r="E107" s="189" t="s">
        <v>564</v>
      </c>
      <c r="F107" s="187">
        <v>1000</v>
      </c>
      <c r="G107" s="186">
        <v>40</v>
      </c>
      <c r="H107" s="186"/>
      <c r="I107" s="186" t="s">
        <v>357</v>
      </c>
      <c r="J107" s="190">
        <v>45342</v>
      </c>
      <c r="K107" s="198"/>
      <c r="L107" s="191"/>
      <c r="M107" s="474"/>
      <c r="N107" s="474"/>
      <c r="O107" s="194"/>
      <c r="P107" s="187">
        <v>1000</v>
      </c>
      <c r="Q107" s="194"/>
      <c r="R107" s="194" t="s">
        <v>387</v>
      </c>
      <c r="S107" s="195">
        <v>303000</v>
      </c>
      <c r="T107" s="196">
        <f t="shared" si="5"/>
        <v>303000</v>
      </c>
    </row>
    <row r="108" spans="1:20" s="197" customFormat="1" x14ac:dyDescent="0.25">
      <c r="A108" s="487"/>
      <c r="B108" s="187"/>
      <c r="C108" s="187" t="s">
        <v>447</v>
      </c>
      <c r="D108" s="188" t="s">
        <v>204</v>
      </c>
      <c r="E108" s="189" t="s">
        <v>437</v>
      </c>
      <c r="F108" s="187">
        <v>1600</v>
      </c>
      <c r="G108" s="186">
        <v>8</v>
      </c>
      <c r="H108" s="186"/>
      <c r="I108" s="186" t="s">
        <v>357</v>
      </c>
      <c r="J108" s="190">
        <v>45342</v>
      </c>
      <c r="K108" s="198"/>
      <c r="L108" s="191"/>
      <c r="M108" s="475"/>
      <c r="N108" s="475"/>
      <c r="O108" s="194"/>
      <c r="P108" s="194"/>
      <c r="Q108" s="187">
        <v>1600</v>
      </c>
      <c r="R108" s="194" t="s">
        <v>387</v>
      </c>
      <c r="S108" s="195">
        <v>136350</v>
      </c>
      <c r="T108" s="196">
        <f t="shared" si="5"/>
        <v>218160</v>
      </c>
    </row>
    <row r="109" spans="1:20" s="197" customFormat="1" x14ac:dyDescent="0.25">
      <c r="A109" s="485" t="s">
        <v>597</v>
      </c>
      <c r="B109" s="187"/>
      <c r="C109" s="187" t="s">
        <v>587</v>
      </c>
      <c r="D109" s="199" t="s">
        <v>586</v>
      </c>
      <c r="E109" s="189"/>
      <c r="F109" s="187">
        <v>10400</v>
      </c>
      <c r="G109" s="186">
        <v>416</v>
      </c>
      <c r="H109" s="186"/>
      <c r="I109" s="186" t="s">
        <v>357</v>
      </c>
      <c r="J109" s="190">
        <v>45347</v>
      </c>
      <c r="K109" s="198"/>
      <c r="L109" s="191"/>
      <c r="M109" s="473" t="s">
        <v>727</v>
      </c>
      <c r="N109" s="473" t="s">
        <v>728</v>
      </c>
      <c r="O109" s="194"/>
      <c r="P109" s="187">
        <v>10400</v>
      </c>
      <c r="Q109" s="194"/>
      <c r="R109" s="194" t="s">
        <v>387</v>
      </c>
      <c r="S109" s="195">
        <v>128800</v>
      </c>
      <c r="T109" s="196">
        <f t="shared" si="5"/>
        <v>1339520</v>
      </c>
    </row>
    <row r="110" spans="1:20" s="197" customFormat="1" x14ac:dyDescent="0.25">
      <c r="A110" s="486"/>
      <c r="B110" s="187"/>
      <c r="C110" s="187" t="s">
        <v>587</v>
      </c>
      <c r="D110" s="199" t="s">
        <v>598</v>
      </c>
      <c r="E110" s="189"/>
      <c r="F110" s="187">
        <v>4800</v>
      </c>
      <c r="G110" s="186">
        <v>192</v>
      </c>
      <c r="H110" s="186"/>
      <c r="I110" s="186" t="s">
        <v>357</v>
      </c>
      <c r="J110" s="190">
        <v>45347</v>
      </c>
      <c r="K110" s="198"/>
      <c r="L110" s="191"/>
      <c r="M110" s="474"/>
      <c r="N110" s="474"/>
      <c r="O110" s="194"/>
      <c r="P110" s="187">
        <v>4800</v>
      </c>
      <c r="Q110" s="194"/>
      <c r="R110" s="194" t="s">
        <v>387</v>
      </c>
      <c r="S110" s="195">
        <v>157200</v>
      </c>
      <c r="T110" s="196">
        <f t="shared" si="5"/>
        <v>754560</v>
      </c>
    </row>
    <row r="111" spans="1:20" s="197" customFormat="1" x14ac:dyDescent="0.25">
      <c r="A111" s="486"/>
      <c r="B111" s="187"/>
      <c r="C111" s="187" t="s">
        <v>565</v>
      </c>
      <c r="D111" s="188" t="s">
        <v>294</v>
      </c>
      <c r="E111" s="189" t="s">
        <v>564</v>
      </c>
      <c r="F111" s="187">
        <v>2750</v>
      </c>
      <c r="G111" s="186">
        <v>110</v>
      </c>
      <c r="H111" s="186"/>
      <c r="I111" s="186" t="s">
        <v>357</v>
      </c>
      <c r="J111" s="190">
        <v>45347</v>
      </c>
      <c r="K111" s="198"/>
      <c r="L111" s="191"/>
      <c r="M111" s="474"/>
      <c r="N111" s="474"/>
      <c r="O111" s="194"/>
      <c r="P111" s="187">
        <v>2750</v>
      </c>
      <c r="Q111" s="194"/>
      <c r="R111" s="194" t="s">
        <v>387</v>
      </c>
      <c r="S111" s="195">
        <v>303000</v>
      </c>
      <c r="T111" s="196">
        <f t="shared" si="5"/>
        <v>833250</v>
      </c>
    </row>
    <row r="112" spans="1:20" s="197" customFormat="1" x14ac:dyDescent="0.25">
      <c r="A112" s="486"/>
      <c r="B112" s="187"/>
      <c r="C112" s="187" t="s">
        <v>449</v>
      </c>
      <c r="D112" s="188" t="s">
        <v>279</v>
      </c>
      <c r="E112" s="189" t="s">
        <v>430</v>
      </c>
      <c r="F112" s="187">
        <v>750</v>
      </c>
      <c r="G112" s="186">
        <v>30</v>
      </c>
      <c r="H112" s="186"/>
      <c r="I112" s="186" t="s">
        <v>357</v>
      </c>
      <c r="J112" s="190">
        <v>45347</v>
      </c>
      <c r="K112" s="198"/>
      <c r="L112" s="191"/>
      <c r="M112" s="474"/>
      <c r="N112" s="474"/>
      <c r="O112" s="187">
        <v>750</v>
      </c>
      <c r="P112" s="194"/>
      <c r="Q112" s="194"/>
      <c r="R112" s="194" t="s">
        <v>387</v>
      </c>
      <c r="S112" s="195">
        <v>60600</v>
      </c>
      <c r="T112" s="196">
        <f t="shared" si="5"/>
        <v>45450</v>
      </c>
    </row>
    <row r="113" spans="1:20" s="197" customFormat="1" x14ac:dyDescent="0.25">
      <c r="A113" s="487"/>
      <c r="B113" s="187"/>
      <c r="C113" s="187" t="s">
        <v>449</v>
      </c>
      <c r="D113" s="188" t="s">
        <v>279</v>
      </c>
      <c r="E113" s="189" t="s">
        <v>432</v>
      </c>
      <c r="F113" s="187">
        <v>750</v>
      </c>
      <c r="G113" s="186">
        <v>30</v>
      </c>
      <c r="H113" s="186"/>
      <c r="I113" s="186" t="s">
        <v>357</v>
      </c>
      <c r="J113" s="190">
        <v>45347</v>
      </c>
      <c r="K113" s="198"/>
      <c r="L113" s="191"/>
      <c r="M113" s="474"/>
      <c r="N113" s="475"/>
      <c r="O113" s="187">
        <v>750</v>
      </c>
      <c r="P113" s="194"/>
      <c r="Q113" s="194"/>
      <c r="R113" s="194" t="s">
        <v>387</v>
      </c>
      <c r="S113" s="195">
        <v>60600</v>
      </c>
      <c r="T113" s="196">
        <f t="shared" si="5"/>
        <v>45450</v>
      </c>
    </row>
    <row r="114" spans="1:20" s="197" customFormat="1" x14ac:dyDescent="0.25">
      <c r="A114" s="485" t="s">
        <v>604</v>
      </c>
      <c r="B114" s="187"/>
      <c r="C114" s="187" t="s">
        <v>447</v>
      </c>
      <c r="D114" s="188" t="s">
        <v>204</v>
      </c>
      <c r="E114" s="189" t="s">
        <v>437</v>
      </c>
      <c r="F114" s="187">
        <v>2400</v>
      </c>
      <c r="G114" s="186">
        <v>12</v>
      </c>
      <c r="H114" s="186"/>
      <c r="I114" s="186" t="s">
        <v>357</v>
      </c>
      <c r="J114" s="190">
        <v>45347</v>
      </c>
      <c r="K114" s="198"/>
      <c r="L114" s="191"/>
      <c r="M114" s="474"/>
      <c r="N114" s="473" t="s">
        <v>729</v>
      </c>
      <c r="O114" s="194"/>
      <c r="P114" s="194"/>
      <c r="Q114" s="187">
        <v>2400</v>
      </c>
      <c r="R114" s="194" t="s">
        <v>387</v>
      </c>
      <c r="S114" s="195">
        <v>136350</v>
      </c>
      <c r="T114" s="196">
        <f t="shared" si="5"/>
        <v>327240</v>
      </c>
    </row>
    <row r="115" spans="1:20" s="197" customFormat="1" x14ac:dyDescent="0.25">
      <c r="A115" s="486"/>
      <c r="B115" s="187"/>
      <c r="C115" s="187" t="s">
        <v>447</v>
      </c>
      <c r="D115" s="188" t="s">
        <v>204</v>
      </c>
      <c r="E115" s="189" t="s">
        <v>437</v>
      </c>
      <c r="F115" s="187">
        <v>200</v>
      </c>
      <c r="G115" s="186">
        <v>1</v>
      </c>
      <c r="H115" s="186"/>
      <c r="I115" s="186" t="s">
        <v>357</v>
      </c>
      <c r="J115" s="190">
        <v>45347</v>
      </c>
      <c r="K115" s="198"/>
      <c r="L115" s="191"/>
      <c r="M115" s="474"/>
      <c r="N115" s="474"/>
      <c r="O115" s="194"/>
      <c r="P115" s="194"/>
      <c r="Q115" s="187">
        <v>200</v>
      </c>
      <c r="R115" s="194" t="s">
        <v>387</v>
      </c>
      <c r="S115" s="195">
        <v>136350</v>
      </c>
      <c r="T115" s="196">
        <f t="shared" si="5"/>
        <v>27270</v>
      </c>
    </row>
    <row r="116" spans="1:20" s="197" customFormat="1" x14ac:dyDescent="0.25">
      <c r="A116" s="486"/>
      <c r="B116" s="187"/>
      <c r="C116" s="187" t="s">
        <v>471</v>
      </c>
      <c r="D116" s="188" t="s">
        <v>190</v>
      </c>
      <c r="E116" s="189" t="s">
        <v>505</v>
      </c>
      <c r="F116" s="187">
        <v>600</v>
      </c>
      <c r="G116" s="186">
        <v>3</v>
      </c>
      <c r="H116" s="186"/>
      <c r="I116" s="186" t="s">
        <v>357</v>
      </c>
      <c r="J116" s="190">
        <v>45347</v>
      </c>
      <c r="K116" s="198"/>
      <c r="L116" s="191"/>
      <c r="M116" s="474"/>
      <c r="N116" s="474"/>
      <c r="O116" s="194"/>
      <c r="P116" s="194"/>
      <c r="Q116" s="187">
        <v>600</v>
      </c>
      <c r="R116" s="194" t="s">
        <v>387</v>
      </c>
      <c r="S116" s="195">
        <v>111100</v>
      </c>
      <c r="T116" s="196">
        <f t="shared" si="5"/>
        <v>66660</v>
      </c>
    </row>
    <row r="117" spans="1:20" s="197" customFormat="1" x14ac:dyDescent="0.25">
      <c r="A117" s="486"/>
      <c r="B117" s="187"/>
      <c r="C117" s="187" t="s">
        <v>471</v>
      </c>
      <c r="D117" s="188" t="s">
        <v>190</v>
      </c>
      <c r="E117" s="189" t="s">
        <v>514</v>
      </c>
      <c r="F117" s="187">
        <v>8800</v>
      </c>
      <c r="G117" s="186">
        <v>44</v>
      </c>
      <c r="H117" s="186"/>
      <c r="I117" s="186" t="s">
        <v>357</v>
      </c>
      <c r="J117" s="190">
        <v>45347</v>
      </c>
      <c r="K117" s="198"/>
      <c r="L117" s="191"/>
      <c r="M117" s="474"/>
      <c r="N117" s="474"/>
      <c r="O117" s="194"/>
      <c r="P117" s="194"/>
      <c r="Q117" s="187">
        <v>8800</v>
      </c>
      <c r="R117" s="194" t="s">
        <v>387</v>
      </c>
      <c r="S117" s="195">
        <v>111100</v>
      </c>
      <c r="T117" s="196">
        <f t="shared" si="5"/>
        <v>977680.00000000012</v>
      </c>
    </row>
    <row r="118" spans="1:20" s="197" customFormat="1" x14ac:dyDescent="0.25">
      <c r="A118" s="487"/>
      <c r="B118" s="187"/>
      <c r="C118" s="187" t="s">
        <v>471</v>
      </c>
      <c r="D118" s="188" t="s">
        <v>190</v>
      </c>
      <c r="E118" s="189" t="s">
        <v>531</v>
      </c>
      <c r="F118" s="187">
        <v>4000</v>
      </c>
      <c r="G118" s="186">
        <v>20</v>
      </c>
      <c r="H118" s="186"/>
      <c r="I118" s="186" t="s">
        <v>357</v>
      </c>
      <c r="J118" s="190">
        <v>45347</v>
      </c>
      <c r="K118" s="198"/>
      <c r="L118" s="191"/>
      <c r="M118" s="475"/>
      <c r="N118" s="475"/>
      <c r="O118" s="194"/>
      <c r="P118" s="194"/>
      <c r="Q118" s="187">
        <v>4000</v>
      </c>
      <c r="R118" s="194" t="s">
        <v>387</v>
      </c>
      <c r="S118" s="195">
        <v>111100</v>
      </c>
      <c r="T118" s="196">
        <f t="shared" si="5"/>
        <v>444400</v>
      </c>
    </row>
    <row r="119" spans="1:20" s="197" customFormat="1" x14ac:dyDescent="0.25">
      <c r="A119" s="485" t="s">
        <v>605</v>
      </c>
      <c r="B119" s="187"/>
      <c r="C119" s="187" t="s">
        <v>565</v>
      </c>
      <c r="D119" s="188" t="s">
        <v>286</v>
      </c>
      <c r="E119" s="189" t="s">
        <v>555</v>
      </c>
      <c r="F119" s="187">
        <v>6775</v>
      </c>
      <c r="G119" s="186">
        <v>271</v>
      </c>
      <c r="H119" s="186"/>
      <c r="I119" s="186" t="s">
        <v>357</v>
      </c>
      <c r="J119" s="190">
        <v>45348</v>
      </c>
      <c r="K119" s="198"/>
      <c r="L119" s="191"/>
      <c r="M119" s="473" t="s">
        <v>714</v>
      </c>
      <c r="N119" s="473" t="s">
        <v>717</v>
      </c>
      <c r="O119" s="194"/>
      <c r="P119" s="187">
        <v>6775</v>
      </c>
      <c r="Q119" s="194"/>
      <c r="R119" s="194" t="s">
        <v>387</v>
      </c>
      <c r="S119" s="195">
        <v>297950</v>
      </c>
      <c r="T119" s="196">
        <f t="shared" si="5"/>
        <v>2018611.25</v>
      </c>
    </row>
    <row r="120" spans="1:20" s="197" customFormat="1" x14ac:dyDescent="0.25">
      <c r="A120" s="486"/>
      <c r="B120" s="187"/>
      <c r="C120" s="187" t="s">
        <v>489</v>
      </c>
      <c r="D120" s="188" t="s">
        <v>310</v>
      </c>
      <c r="E120" s="189" t="s">
        <v>490</v>
      </c>
      <c r="F120" s="187">
        <v>11425</v>
      </c>
      <c r="G120" s="186">
        <v>457</v>
      </c>
      <c r="H120" s="186"/>
      <c r="I120" s="186" t="s">
        <v>357</v>
      </c>
      <c r="J120" s="190">
        <v>45348</v>
      </c>
      <c r="K120" s="198"/>
      <c r="L120" s="191"/>
      <c r="M120" s="474"/>
      <c r="N120" s="474"/>
      <c r="O120" s="194"/>
      <c r="P120" s="187">
        <v>11425</v>
      </c>
      <c r="Q120" s="194"/>
      <c r="R120" s="194" t="s">
        <v>387</v>
      </c>
      <c r="S120" s="195">
        <v>131300</v>
      </c>
      <c r="T120" s="196">
        <f t="shared" si="5"/>
        <v>1500102.5</v>
      </c>
    </row>
    <row r="121" spans="1:20" s="197" customFormat="1" x14ac:dyDescent="0.25">
      <c r="A121" s="487"/>
      <c r="B121" s="187"/>
      <c r="C121" s="187" t="s">
        <v>508</v>
      </c>
      <c r="D121" s="188" t="s">
        <v>310</v>
      </c>
      <c r="E121" s="189" t="s">
        <v>507</v>
      </c>
      <c r="F121" s="187">
        <v>50</v>
      </c>
      <c r="G121" s="186">
        <v>2</v>
      </c>
      <c r="H121" s="186"/>
      <c r="I121" s="186" t="s">
        <v>357</v>
      </c>
      <c r="J121" s="190">
        <v>45348</v>
      </c>
      <c r="K121" s="198"/>
      <c r="L121" s="191"/>
      <c r="M121" s="474"/>
      <c r="N121" s="475"/>
      <c r="O121" s="194"/>
      <c r="P121" s="187">
        <v>50</v>
      </c>
      <c r="Q121" s="194"/>
      <c r="R121" s="194" t="s">
        <v>387</v>
      </c>
      <c r="S121" s="195">
        <v>131300</v>
      </c>
      <c r="T121" s="196">
        <f t="shared" si="5"/>
        <v>6565</v>
      </c>
    </row>
    <row r="122" spans="1:20" s="197" customFormat="1" x14ac:dyDescent="0.25">
      <c r="A122" s="485" t="s">
        <v>620</v>
      </c>
      <c r="B122" s="187"/>
      <c r="C122" s="187" t="s">
        <v>608</v>
      </c>
      <c r="D122" s="188" t="s">
        <v>585</v>
      </c>
      <c r="E122" s="189" t="s">
        <v>606</v>
      </c>
      <c r="F122" s="187">
        <v>7200</v>
      </c>
      <c r="G122" s="186">
        <v>36</v>
      </c>
      <c r="H122" s="186"/>
      <c r="I122" s="186" t="s">
        <v>357</v>
      </c>
      <c r="J122" s="190">
        <v>45348</v>
      </c>
      <c r="K122" s="198"/>
      <c r="L122" s="191"/>
      <c r="M122" s="474"/>
      <c r="N122" s="473" t="s">
        <v>715</v>
      </c>
      <c r="O122" s="194"/>
      <c r="P122" s="194"/>
      <c r="Q122" s="187">
        <v>7200</v>
      </c>
      <c r="R122" s="194" t="s">
        <v>387</v>
      </c>
      <c r="S122" s="195">
        <v>180285</v>
      </c>
      <c r="T122" s="196">
        <f t="shared" si="5"/>
        <v>1298052</v>
      </c>
    </row>
    <row r="123" spans="1:20" s="197" customFormat="1" x14ac:dyDescent="0.25">
      <c r="A123" s="487"/>
      <c r="B123" s="187"/>
      <c r="C123" s="187" t="s">
        <v>471</v>
      </c>
      <c r="D123" s="188" t="s">
        <v>190</v>
      </c>
      <c r="E123" s="189" t="s">
        <v>575</v>
      </c>
      <c r="F123" s="187">
        <v>8800</v>
      </c>
      <c r="G123" s="186">
        <v>44</v>
      </c>
      <c r="H123" s="186"/>
      <c r="I123" s="186" t="s">
        <v>357</v>
      </c>
      <c r="J123" s="190">
        <v>45348</v>
      </c>
      <c r="K123" s="198"/>
      <c r="L123" s="191"/>
      <c r="M123" s="475"/>
      <c r="N123" s="475"/>
      <c r="O123" s="194"/>
      <c r="P123" s="194"/>
      <c r="Q123" s="187">
        <v>8800</v>
      </c>
      <c r="R123" s="194" t="s">
        <v>387</v>
      </c>
      <c r="S123" s="195">
        <v>111100</v>
      </c>
      <c r="T123" s="196">
        <f t="shared" si="5"/>
        <v>977680.00000000012</v>
      </c>
    </row>
    <row r="124" spans="1:20" s="197" customFormat="1" ht="13.5" customHeight="1" x14ac:dyDescent="0.25">
      <c r="A124" s="485" t="s">
        <v>644</v>
      </c>
      <c r="B124" s="187"/>
      <c r="C124" s="187" t="s">
        <v>645</v>
      </c>
      <c r="D124" s="188" t="s">
        <v>158</v>
      </c>
      <c r="E124" s="189" t="s">
        <v>234</v>
      </c>
      <c r="F124" s="187">
        <v>6400</v>
      </c>
      <c r="G124" s="186">
        <v>32</v>
      </c>
      <c r="H124" s="186"/>
      <c r="I124" s="186" t="s">
        <v>357</v>
      </c>
      <c r="J124" s="190">
        <v>45348</v>
      </c>
      <c r="K124" s="198"/>
      <c r="L124" s="200"/>
      <c r="M124" s="473" t="s">
        <v>724</v>
      </c>
      <c r="N124" s="488" t="s">
        <v>725</v>
      </c>
      <c r="O124" s="194"/>
      <c r="P124" s="194"/>
      <c r="Q124" s="187">
        <v>6400</v>
      </c>
      <c r="R124" s="194" t="s">
        <v>387</v>
      </c>
      <c r="S124" s="195">
        <v>131199</v>
      </c>
      <c r="T124" s="196">
        <f t="shared" si="5"/>
        <v>839673.60000000009</v>
      </c>
    </row>
    <row r="125" spans="1:20" s="197" customFormat="1" ht="13.5" customHeight="1" x14ac:dyDescent="0.25">
      <c r="A125" s="486"/>
      <c r="B125" s="187"/>
      <c r="C125" s="187" t="s">
        <v>645</v>
      </c>
      <c r="D125" s="188" t="s">
        <v>158</v>
      </c>
      <c r="E125" s="189" t="s">
        <v>246</v>
      </c>
      <c r="F125" s="187">
        <v>6400</v>
      </c>
      <c r="G125" s="186">
        <v>32</v>
      </c>
      <c r="H125" s="186"/>
      <c r="I125" s="186" t="s">
        <v>357</v>
      </c>
      <c r="J125" s="190">
        <v>45348</v>
      </c>
      <c r="K125" s="198"/>
      <c r="L125" s="200"/>
      <c r="M125" s="474"/>
      <c r="N125" s="489"/>
      <c r="O125" s="194"/>
      <c r="P125" s="194"/>
      <c r="Q125" s="187">
        <v>6400</v>
      </c>
      <c r="R125" s="194" t="s">
        <v>387</v>
      </c>
      <c r="S125" s="195">
        <v>131199</v>
      </c>
      <c r="T125" s="196">
        <f t="shared" si="5"/>
        <v>839673.60000000009</v>
      </c>
    </row>
    <row r="126" spans="1:20" s="197" customFormat="1" ht="13.5" customHeight="1" x14ac:dyDescent="0.25">
      <c r="A126" s="487"/>
      <c r="B126" s="187"/>
      <c r="C126" s="187" t="s">
        <v>645</v>
      </c>
      <c r="D126" s="188" t="s">
        <v>158</v>
      </c>
      <c r="E126" s="189" t="s">
        <v>248</v>
      </c>
      <c r="F126" s="187">
        <v>3200</v>
      </c>
      <c r="G126" s="186">
        <v>16</v>
      </c>
      <c r="H126" s="186"/>
      <c r="I126" s="186" t="s">
        <v>357</v>
      </c>
      <c r="J126" s="190">
        <v>45348</v>
      </c>
      <c r="K126" s="198"/>
      <c r="L126" s="200"/>
      <c r="M126" s="474"/>
      <c r="N126" s="490"/>
      <c r="O126" s="194"/>
      <c r="P126" s="194"/>
      <c r="Q126" s="187">
        <v>3200</v>
      </c>
      <c r="R126" s="194" t="s">
        <v>387</v>
      </c>
      <c r="S126" s="195">
        <v>131199</v>
      </c>
      <c r="T126" s="196">
        <f t="shared" si="5"/>
        <v>419836.80000000005</v>
      </c>
    </row>
    <row r="127" spans="1:20" s="197" customFormat="1" x14ac:dyDescent="0.25">
      <c r="A127" s="485" t="s">
        <v>646</v>
      </c>
      <c r="B127" s="187"/>
      <c r="C127" s="187" t="s">
        <v>471</v>
      </c>
      <c r="D127" s="188" t="s">
        <v>190</v>
      </c>
      <c r="E127" s="189" t="s">
        <v>487</v>
      </c>
      <c r="F127" s="187">
        <v>8000</v>
      </c>
      <c r="G127" s="186">
        <v>40</v>
      </c>
      <c r="H127" s="186"/>
      <c r="I127" s="186" t="s">
        <v>357</v>
      </c>
      <c r="J127" s="190">
        <v>45348</v>
      </c>
      <c r="K127" s="198"/>
      <c r="L127" s="191"/>
      <c r="M127" s="474"/>
      <c r="N127" s="473" t="s">
        <v>726</v>
      </c>
      <c r="O127" s="194"/>
      <c r="P127" s="194"/>
      <c r="Q127" s="187">
        <v>8000</v>
      </c>
      <c r="R127" s="194" t="s">
        <v>387</v>
      </c>
      <c r="S127" s="195">
        <v>111100</v>
      </c>
      <c r="T127" s="196">
        <f t="shared" si="5"/>
        <v>888800</v>
      </c>
    </row>
    <row r="128" spans="1:20" s="197" customFormat="1" x14ac:dyDescent="0.25">
      <c r="A128" s="487"/>
      <c r="B128" s="187"/>
      <c r="C128" s="187" t="s">
        <v>471</v>
      </c>
      <c r="D128" s="188" t="s">
        <v>190</v>
      </c>
      <c r="E128" s="189" t="s">
        <v>505</v>
      </c>
      <c r="F128" s="187">
        <v>8000</v>
      </c>
      <c r="G128" s="186">
        <v>40</v>
      </c>
      <c r="H128" s="186"/>
      <c r="I128" s="186" t="s">
        <v>357</v>
      </c>
      <c r="J128" s="190">
        <v>45348</v>
      </c>
      <c r="K128" s="198"/>
      <c r="L128" s="191"/>
      <c r="M128" s="475"/>
      <c r="N128" s="475"/>
      <c r="O128" s="194"/>
      <c r="P128" s="194"/>
      <c r="Q128" s="187">
        <v>8000</v>
      </c>
      <c r="R128" s="194" t="s">
        <v>387</v>
      </c>
      <c r="S128" s="195">
        <v>111100</v>
      </c>
      <c r="T128" s="196">
        <f t="shared" si="5"/>
        <v>888800</v>
      </c>
    </row>
    <row r="129" spans="1:20" s="228" customFormat="1" x14ac:dyDescent="0.25">
      <c r="A129" s="476" t="s">
        <v>683</v>
      </c>
      <c r="B129" s="218"/>
      <c r="C129" s="218" t="s">
        <v>565</v>
      </c>
      <c r="D129" s="219" t="s">
        <v>294</v>
      </c>
      <c r="E129" s="220" t="s">
        <v>564</v>
      </c>
      <c r="F129" s="218">
        <v>5625</v>
      </c>
      <c r="G129" s="221">
        <v>225</v>
      </c>
      <c r="H129" s="221"/>
      <c r="I129" s="221" t="s">
        <v>357</v>
      </c>
      <c r="J129" s="222">
        <v>45348</v>
      </c>
      <c r="K129" s="223"/>
      <c r="L129" s="224"/>
      <c r="M129" s="470" t="s">
        <v>710</v>
      </c>
      <c r="N129" s="470" t="s">
        <v>707</v>
      </c>
      <c r="O129" s="225"/>
      <c r="P129" s="218">
        <v>5625</v>
      </c>
      <c r="Q129" s="225"/>
      <c r="R129" s="225" t="s">
        <v>387</v>
      </c>
      <c r="S129" s="226">
        <v>303000</v>
      </c>
      <c r="T129" s="227">
        <f t="shared" ref="T129:T139" si="6" xml:space="preserve"> S129*(F129/1000)</f>
        <v>1704375</v>
      </c>
    </row>
    <row r="130" spans="1:20" s="228" customFormat="1" x14ac:dyDescent="0.25">
      <c r="A130" s="478"/>
      <c r="B130" s="218"/>
      <c r="C130" s="218" t="s">
        <v>565</v>
      </c>
      <c r="D130" s="219" t="s">
        <v>286</v>
      </c>
      <c r="E130" s="220" t="s">
        <v>555</v>
      </c>
      <c r="F130" s="218">
        <v>11500</v>
      </c>
      <c r="G130" s="221">
        <v>460</v>
      </c>
      <c r="H130" s="221"/>
      <c r="I130" s="221" t="s">
        <v>357</v>
      </c>
      <c r="J130" s="222">
        <v>45348</v>
      </c>
      <c r="K130" s="223"/>
      <c r="L130" s="224"/>
      <c r="M130" s="471"/>
      <c r="N130" s="472"/>
      <c r="O130" s="225"/>
      <c r="P130" s="218">
        <v>11500</v>
      </c>
      <c r="Q130" s="225"/>
      <c r="R130" s="225" t="s">
        <v>387</v>
      </c>
      <c r="S130" s="226">
        <v>297950</v>
      </c>
      <c r="T130" s="227">
        <f t="shared" si="6"/>
        <v>3426425</v>
      </c>
    </row>
    <row r="131" spans="1:20" s="228" customFormat="1" x14ac:dyDescent="0.25">
      <c r="A131" s="476" t="s">
        <v>684</v>
      </c>
      <c r="B131" s="218"/>
      <c r="C131" s="218" t="s">
        <v>471</v>
      </c>
      <c r="D131" s="219" t="s">
        <v>190</v>
      </c>
      <c r="E131" s="220" t="s">
        <v>509</v>
      </c>
      <c r="F131" s="218">
        <v>8000</v>
      </c>
      <c r="G131" s="221">
        <v>40</v>
      </c>
      <c r="H131" s="221"/>
      <c r="I131" s="221" t="s">
        <v>357</v>
      </c>
      <c r="J131" s="222">
        <v>45348</v>
      </c>
      <c r="K131" s="223"/>
      <c r="L131" s="224"/>
      <c r="M131" s="471"/>
      <c r="N131" s="470" t="s">
        <v>708</v>
      </c>
      <c r="O131" s="225"/>
      <c r="P131" s="225"/>
      <c r="Q131" s="218">
        <v>8000</v>
      </c>
      <c r="R131" s="225" t="s">
        <v>387</v>
      </c>
      <c r="S131" s="226">
        <v>111100</v>
      </c>
      <c r="T131" s="227">
        <f t="shared" si="6"/>
        <v>888800</v>
      </c>
    </row>
    <row r="132" spans="1:20" s="228" customFormat="1" x14ac:dyDescent="0.25">
      <c r="A132" s="478"/>
      <c r="B132" s="218"/>
      <c r="C132" s="218" t="s">
        <v>471</v>
      </c>
      <c r="D132" s="219" t="s">
        <v>190</v>
      </c>
      <c r="E132" s="220" t="s">
        <v>516</v>
      </c>
      <c r="F132" s="218">
        <v>8000</v>
      </c>
      <c r="G132" s="221">
        <v>40</v>
      </c>
      <c r="H132" s="221"/>
      <c r="I132" s="221" t="s">
        <v>357</v>
      </c>
      <c r="J132" s="222">
        <v>45348</v>
      </c>
      <c r="K132" s="223"/>
      <c r="L132" s="224"/>
      <c r="M132" s="472"/>
      <c r="N132" s="472"/>
      <c r="O132" s="225"/>
      <c r="P132" s="225"/>
      <c r="Q132" s="218">
        <v>8000</v>
      </c>
      <c r="R132" s="225" t="s">
        <v>387</v>
      </c>
      <c r="S132" s="226">
        <v>111100</v>
      </c>
      <c r="T132" s="227">
        <f t="shared" si="6"/>
        <v>888800</v>
      </c>
    </row>
    <row r="133" spans="1:20" s="228" customFormat="1" x14ac:dyDescent="0.25">
      <c r="A133" s="476" t="s">
        <v>685</v>
      </c>
      <c r="B133" s="218"/>
      <c r="C133" s="218" t="s">
        <v>489</v>
      </c>
      <c r="D133" s="219" t="s">
        <v>310</v>
      </c>
      <c r="E133" s="220" t="s">
        <v>490</v>
      </c>
      <c r="F133" s="218">
        <v>5250</v>
      </c>
      <c r="G133" s="221">
        <v>210</v>
      </c>
      <c r="H133" s="221"/>
      <c r="I133" s="221" t="s">
        <v>357</v>
      </c>
      <c r="J133" s="222">
        <v>45348</v>
      </c>
      <c r="K133" s="223"/>
      <c r="L133" s="224"/>
      <c r="M133" s="470" t="s">
        <v>711</v>
      </c>
      <c r="N133" s="470" t="s">
        <v>747</v>
      </c>
      <c r="O133" s="225"/>
      <c r="P133" s="218">
        <v>5250</v>
      </c>
      <c r="Q133" s="225"/>
      <c r="R133" s="225" t="s">
        <v>387</v>
      </c>
      <c r="S133" s="226">
        <v>131300</v>
      </c>
      <c r="T133" s="227">
        <f t="shared" si="6"/>
        <v>689325</v>
      </c>
    </row>
    <row r="134" spans="1:20" s="228" customFormat="1" x14ac:dyDescent="0.25">
      <c r="A134" s="477"/>
      <c r="B134" s="218"/>
      <c r="C134" s="218" t="s">
        <v>508</v>
      </c>
      <c r="D134" s="219" t="s">
        <v>310</v>
      </c>
      <c r="E134" s="220" t="s">
        <v>507</v>
      </c>
      <c r="F134" s="218">
        <v>625</v>
      </c>
      <c r="G134" s="221">
        <v>25</v>
      </c>
      <c r="H134" s="221"/>
      <c r="I134" s="221" t="s">
        <v>357</v>
      </c>
      <c r="J134" s="222">
        <v>45348</v>
      </c>
      <c r="K134" s="223"/>
      <c r="L134" s="224"/>
      <c r="M134" s="471"/>
      <c r="N134" s="471"/>
      <c r="O134" s="225"/>
      <c r="P134" s="218">
        <v>625</v>
      </c>
      <c r="Q134" s="225"/>
      <c r="R134" s="225" t="s">
        <v>387</v>
      </c>
      <c r="S134" s="226">
        <v>131300</v>
      </c>
      <c r="T134" s="227">
        <f t="shared" si="6"/>
        <v>82062.5</v>
      </c>
    </row>
    <row r="135" spans="1:20" s="228" customFormat="1" x14ac:dyDescent="0.25">
      <c r="A135" s="477"/>
      <c r="B135" s="218"/>
      <c r="C135" s="218" t="s">
        <v>449</v>
      </c>
      <c r="D135" s="219" t="s">
        <v>279</v>
      </c>
      <c r="E135" s="220" t="s">
        <v>446</v>
      </c>
      <c r="F135" s="218">
        <v>1500</v>
      </c>
      <c r="G135" s="221">
        <v>60</v>
      </c>
      <c r="H135" s="221"/>
      <c r="I135" s="221" t="s">
        <v>357</v>
      </c>
      <c r="J135" s="222">
        <v>45348</v>
      </c>
      <c r="K135" s="223"/>
      <c r="L135" s="224"/>
      <c r="M135" s="471"/>
      <c r="N135" s="471"/>
      <c r="O135" s="218">
        <v>1500</v>
      </c>
      <c r="P135" s="225"/>
      <c r="Q135" s="225"/>
      <c r="R135" s="225" t="s">
        <v>387</v>
      </c>
      <c r="S135" s="226">
        <v>60600</v>
      </c>
      <c r="T135" s="227">
        <f t="shared" si="6"/>
        <v>90900</v>
      </c>
    </row>
    <row r="136" spans="1:20" s="228" customFormat="1" x14ac:dyDescent="0.25">
      <c r="A136" s="478"/>
      <c r="B136" s="218"/>
      <c r="C136" s="218" t="s">
        <v>449</v>
      </c>
      <c r="D136" s="219" t="s">
        <v>279</v>
      </c>
      <c r="E136" s="220" t="s">
        <v>509</v>
      </c>
      <c r="F136" s="218">
        <v>11250</v>
      </c>
      <c r="G136" s="221">
        <v>450</v>
      </c>
      <c r="H136" s="221"/>
      <c r="I136" s="221" t="s">
        <v>357</v>
      </c>
      <c r="J136" s="222">
        <v>45348</v>
      </c>
      <c r="K136" s="223"/>
      <c r="L136" s="224"/>
      <c r="M136" s="471"/>
      <c r="N136" s="472"/>
      <c r="O136" s="218">
        <v>11250</v>
      </c>
      <c r="P136" s="225"/>
      <c r="Q136" s="225"/>
      <c r="R136" s="225" t="s">
        <v>387</v>
      </c>
      <c r="S136" s="226">
        <v>60600</v>
      </c>
      <c r="T136" s="227">
        <f t="shared" si="6"/>
        <v>681750</v>
      </c>
    </row>
    <row r="137" spans="1:20" s="228" customFormat="1" ht="13.5" customHeight="1" x14ac:dyDescent="0.25">
      <c r="A137" s="476" t="s">
        <v>686</v>
      </c>
      <c r="B137" s="218"/>
      <c r="C137" s="218" t="s">
        <v>645</v>
      </c>
      <c r="D137" s="219" t="s">
        <v>158</v>
      </c>
      <c r="E137" s="220" t="s">
        <v>248</v>
      </c>
      <c r="F137" s="218">
        <v>3200</v>
      </c>
      <c r="G137" s="221">
        <v>16</v>
      </c>
      <c r="H137" s="221"/>
      <c r="I137" s="221" t="s">
        <v>357</v>
      </c>
      <c r="J137" s="222">
        <v>45348</v>
      </c>
      <c r="K137" s="223"/>
      <c r="L137" s="229"/>
      <c r="M137" s="471"/>
      <c r="N137" s="491" t="s">
        <v>716</v>
      </c>
      <c r="O137" s="225"/>
      <c r="P137" s="225"/>
      <c r="Q137" s="218">
        <v>3200</v>
      </c>
      <c r="R137" s="225" t="s">
        <v>387</v>
      </c>
      <c r="S137" s="226">
        <v>131199</v>
      </c>
      <c r="T137" s="227">
        <f t="shared" si="6"/>
        <v>419836.80000000005</v>
      </c>
    </row>
    <row r="138" spans="1:20" s="228" customFormat="1" ht="13.5" customHeight="1" x14ac:dyDescent="0.25">
      <c r="A138" s="477"/>
      <c r="B138" s="218"/>
      <c r="C138" s="218" t="s">
        <v>645</v>
      </c>
      <c r="D138" s="219" t="s">
        <v>158</v>
      </c>
      <c r="E138" s="220" t="s">
        <v>249</v>
      </c>
      <c r="F138" s="218">
        <v>6400</v>
      </c>
      <c r="G138" s="221">
        <v>32</v>
      </c>
      <c r="H138" s="221"/>
      <c r="I138" s="221" t="s">
        <v>357</v>
      </c>
      <c r="J138" s="222">
        <v>45348</v>
      </c>
      <c r="K138" s="223"/>
      <c r="L138" s="229"/>
      <c r="M138" s="471"/>
      <c r="N138" s="492"/>
      <c r="O138" s="225"/>
      <c r="P138" s="225"/>
      <c r="Q138" s="218">
        <v>6400</v>
      </c>
      <c r="R138" s="225" t="s">
        <v>387</v>
      </c>
      <c r="S138" s="226">
        <v>131199</v>
      </c>
      <c r="T138" s="227">
        <f t="shared" si="6"/>
        <v>839673.60000000009</v>
      </c>
    </row>
    <row r="139" spans="1:20" s="228" customFormat="1" ht="13.5" customHeight="1" x14ac:dyDescent="0.25">
      <c r="A139" s="478"/>
      <c r="B139" s="218"/>
      <c r="C139" s="218" t="s">
        <v>645</v>
      </c>
      <c r="D139" s="219" t="s">
        <v>158</v>
      </c>
      <c r="E139" s="220" t="s">
        <v>251</v>
      </c>
      <c r="F139" s="218">
        <v>6400</v>
      </c>
      <c r="G139" s="221">
        <v>32</v>
      </c>
      <c r="H139" s="221"/>
      <c r="I139" s="221" t="s">
        <v>357</v>
      </c>
      <c r="J139" s="222">
        <v>45348</v>
      </c>
      <c r="K139" s="223"/>
      <c r="L139" s="229"/>
      <c r="M139" s="472"/>
      <c r="N139" s="493"/>
      <c r="O139" s="225"/>
      <c r="P139" s="225"/>
      <c r="Q139" s="218">
        <v>6400</v>
      </c>
      <c r="R139" s="225" t="s">
        <v>387</v>
      </c>
      <c r="S139" s="226">
        <v>131199</v>
      </c>
      <c r="T139" s="227">
        <f t="shared" si="6"/>
        <v>839673.60000000009</v>
      </c>
    </row>
    <row r="140" spans="1:20" ht="18.75" x14ac:dyDescent="0.3">
      <c r="A140" s="126" t="s">
        <v>15</v>
      </c>
      <c r="B140" s="110">
        <f>SUM(F5:F139)/1000</f>
        <v>1034.3440000000001</v>
      </c>
      <c r="C140" s="57" t="s">
        <v>14</v>
      </c>
      <c r="S140" s="102"/>
      <c r="T140" s="102">
        <f>SUM(T5:T139)</f>
        <v>125460943.24999996</v>
      </c>
    </row>
    <row r="141" spans="1:20" ht="18.75" x14ac:dyDescent="0.3">
      <c r="A141" s="127" t="s">
        <v>16</v>
      </c>
      <c r="B141" s="111">
        <f>B142+B143+B144</f>
        <v>1034.3440000000001</v>
      </c>
      <c r="C141" s="1" t="s">
        <v>14</v>
      </c>
    </row>
    <row r="142" spans="1:20" ht="18.75" x14ac:dyDescent="0.3">
      <c r="A142" s="128" t="s">
        <v>17</v>
      </c>
      <c r="B142" s="109">
        <f>SUM(O5:O139)/1000</f>
        <v>395.38400000000001</v>
      </c>
      <c r="C142" s="2" t="s">
        <v>14</v>
      </c>
    </row>
    <row r="143" spans="1:20" ht="18.75" x14ac:dyDescent="0.3">
      <c r="A143" s="128" t="s">
        <v>154</v>
      </c>
      <c r="B143" s="109">
        <f>SUM(P5:P139)/1000</f>
        <v>272.2</v>
      </c>
      <c r="C143" s="2" t="s">
        <v>14</v>
      </c>
      <c r="N143"/>
    </row>
    <row r="144" spans="1:20" ht="18.75" x14ac:dyDescent="0.3">
      <c r="A144" s="128" t="s">
        <v>24</v>
      </c>
      <c r="B144" s="112">
        <f>SUM(Q5:Q139)/1000</f>
        <v>366.76</v>
      </c>
      <c r="C144" s="2" t="s">
        <v>14</v>
      </c>
      <c r="N144"/>
    </row>
    <row r="145" spans="1:14" ht="19.5" thickBot="1" x14ac:dyDescent="0.35">
      <c r="A145" s="129" t="s">
        <v>20</v>
      </c>
      <c r="B145" s="113">
        <f>B140-B141</f>
        <v>0</v>
      </c>
      <c r="C145" s="3" t="s">
        <v>14</v>
      </c>
      <c r="N145"/>
    </row>
  </sheetData>
  <sheetProtection formatCells="0" formatColumns="0" formatRows="0" insertColumns="0" insertRows="0" insertHyperlinks="0" deleteColumns="0" deleteRows="0" sort="0" autoFilter="0" pivotTables="0"/>
  <autoFilter ref="D1:D145" xr:uid="{00000000-0009-0000-0000-00000A000000}"/>
  <mergeCells count="72">
    <mergeCell ref="M91:M100"/>
    <mergeCell ref="N91:N97"/>
    <mergeCell ref="M103:M108"/>
    <mergeCell ref="N104:N108"/>
    <mergeCell ref="N137:N139"/>
    <mergeCell ref="M129:M132"/>
    <mergeCell ref="M133:M139"/>
    <mergeCell ref="M101:M102"/>
    <mergeCell ref="N98:N100"/>
    <mergeCell ref="M119:M123"/>
    <mergeCell ref="N119:N121"/>
    <mergeCell ref="N122:N123"/>
    <mergeCell ref="M124:M128"/>
    <mergeCell ref="N124:N126"/>
    <mergeCell ref="N127:N128"/>
    <mergeCell ref="M109:M118"/>
    <mergeCell ref="N109:N113"/>
    <mergeCell ref="N114:N118"/>
    <mergeCell ref="N129:N130"/>
    <mergeCell ref="N131:N132"/>
    <mergeCell ref="N133:N136"/>
    <mergeCell ref="M28:M29"/>
    <mergeCell ref="L28:L29"/>
    <mergeCell ref="H59:H63"/>
    <mergeCell ref="H51:H53"/>
    <mergeCell ref="A57:A58"/>
    <mergeCell ref="H37:H40"/>
    <mergeCell ref="B37:B40"/>
    <mergeCell ref="H41:H43"/>
    <mergeCell ref="B41:B43"/>
    <mergeCell ref="A37:A40"/>
    <mergeCell ref="A41:A43"/>
    <mergeCell ref="M30:M31"/>
    <mergeCell ref="K30:K31"/>
    <mergeCell ref="L30:L31"/>
    <mergeCell ref="H44:H49"/>
    <mergeCell ref="H54:H58"/>
    <mergeCell ref="H10:H16"/>
    <mergeCell ref="H28:H29"/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  <mergeCell ref="K28:K29"/>
    <mergeCell ref="A28:A29"/>
    <mergeCell ref="A76:A77"/>
    <mergeCell ref="H76:H77"/>
    <mergeCell ref="H68:H74"/>
    <mergeCell ref="A66:A67"/>
    <mergeCell ref="A70:A71"/>
    <mergeCell ref="A72:A73"/>
    <mergeCell ref="A91:A97"/>
    <mergeCell ref="A98:A100"/>
    <mergeCell ref="A104:A108"/>
    <mergeCell ref="A137:A139"/>
    <mergeCell ref="A124:A126"/>
    <mergeCell ref="A127:A128"/>
    <mergeCell ref="A129:A130"/>
    <mergeCell ref="A131:A132"/>
    <mergeCell ref="A133:A136"/>
    <mergeCell ref="A109:A113"/>
    <mergeCell ref="A122:A123"/>
    <mergeCell ref="A114:A118"/>
    <mergeCell ref="A119:A121"/>
  </mergeCells>
  <phoneticPr fontId="28" type="noConversion"/>
  <dataValidations count="1">
    <dataValidation type="list" allowBlank="1" showInputMessage="1" showErrorMessage="1" sqref="D140" xr:uid="{00000000-0002-0000-0A00-000000000000}">
      <formula1>$E$140:$E$156</formula1>
    </dataValidation>
  </dataValidations>
  <pageMargins left="0.70866141732283472" right="0.70866141732283472" top="0.74803149606299213" bottom="0.74803149606299213" header="0.31496062992125984" footer="0.31496062992125984"/>
  <pageSetup paperSize="9" scale="24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1000000}">
          <x14:formula1>
            <xm:f>справочник!$E$2:$E$152</xm:f>
          </x14:formula1>
          <xm:sqref>D5:D139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105"/>
  <sheetViews>
    <sheetView topLeftCell="B1" zoomScale="70" zoomScaleNormal="70" zoomScaleSheetLayoutView="70" workbookViewId="0">
      <pane ySplit="3" topLeftCell="A8" activePane="bottomLeft" state="frozen"/>
      <selection pane="bottomLeft" activeCell="K57" sqref="K57:M57"/>
    </sheetView>
  </sheetViews>
  <sheetFormatPr defaultRowHeight="15" x14ac:dyDescent="0.25"/>
  <cols>
    <col min="1" max="1" width="22.42578125" style="130" customWidth="1"/>
    <col min="2" max="2" width="23.7109375" customWidth="1"/>
    <col min="3" max="3" width="24.7109375" customWidth="1"/>
    <col min="4" max="4" width="41.140625" customWidth="1"/>
    <col min="5" max="5" width="16.85546875" customWidth="1"/>
    <col min="6" max="6" width="13" bestFit="1" customWidth="1"/>
    <col min="7" max="7" width="16.7109375" customWidth="1"/>
    <col min="8" max="8" width="20.7109375" customWidth="1"/>
    <col min="9" max="9" width="33.85546875" customWidth="1"/>
    <col min="10" max="10" width="16.42578125" customWidth="1"/>
    <col min="11" max="11" width="32.5703125" customWidth="1"/>
    <col min="12" max="12" width="14.85546875" customWidth="1"/>
    <col min="13" max="13" width="26.5703125" customWidth="1"/>
    <col min="14" max="14" width="14.140625" style="120" customWidth="1"/>
    <col min="18" max="18" width="12.42578125" customWidth="1"/>
    <col min="19" max="19" width="25.140625" customWidth="1"/>
    <col min="20" max="20" width="20" customWidth="1"/>
    <col min="21" max="21" width="15.42578125" customWidth="1"/>
  </cols>
  <sheetData>
    <row r="1" spans="1:20" s="62" customFormat="1" ht="17.25" x14ac:dyDescent="0.3">
      <c r="A1" s="125"/>
      <c r="B1" s="61" t="s">
        <v>153</v>
      </c>
      <c r="C1" s="70">
        <v>45292</v>
      </c>
      <c r="D1" s="61"/>
      <c r="E1" s="61"/>
      <c r="F1" s="61"/>
      <c r="H1" s="61"/>
      <c r="I1" s="61"/>
      <c r="J1" s="61"/>
      <c r="K1" s="63"/>
      <c r="L1" s="63"/>
      <c r="M1" s="63"/>
      <c r="N1" s="121"/>
      <c r="O1" s="63"/>
      <c r="P1" s="63"/>
      <c r="Q1" s="63"/>
    </row>
    <row r="2" spans="1:20" ht="25.5" customHeight="1" x14ac:dyDescent="0.25">
      <c r="A2" s="440" t="s">
        <v>160</v>
      </c>
      <c r="B2" s="442" t="s">
        <v>18</v>
      </c>
      <c r="C2" s="444" t="s">
        <v>157</v>
      </c>
      <c r="D2" s="446" t="s">
        <v>4</v>
      </c>
      <c r="E2" s="448" t="s">
        <v>5</v>
      </c>
      <c r="F2" s="450" t="s">
        <v>0</v>
      </c>
      <c r="G2" s="451"/>
      <c r="H2" s="452" t="s">
        <v>2</v>
      </c>
      <c r="I2" s="454" t="s">
        <v>3</v>
      </c>
      <c r="J2" s="456" t="s">
        <v>6</v>
      </c>
      <c r="K2" s="458" t="s">
        <v>7</v>
      </c>
      <c r="L2" s="459"/>
      <c r="M2" s="460"/>
      <c r="N2" s="122" t="s">
        <v>9</v>
      </c>
      <c r="O2" s="461" t="s">
        <v>12</v>
      </c>
      <c r="P2" s="462"/>
      <c r="Q2" s="463"/>
      <c r="R2" s="438" t="s">
        <v>152</v>
      </c>
      <c r="S2" s="68"/>
      <c r="T2" s="101"/>
    </row>
    <row r="3" spans="1:20" x14ac:dyDescent="0.25">
      <c r="A3" s="441"/>
      <c r="B3" s="443"/>
      <c r="C3" s="445"/>
      <c r="D3" s="447"/>
      <c r="E3" s="449"/>
      <c r="F3" s="55" t="s">
        <v>1</v>
      </c>
      <c r="G3" s="55" t="s">
        <v>156</v>
      </c>
      <c r="H3" s="453"/>
      <c r="I3" s="455"/>
      <c r="J3" s="457"/>
      <c r="K3" s="54" t="s">
        <v>8</v>
      </c>
      <c r="L3" s="54" t="s">
        <v>21</v>
      </c>
      <c r="M3" s="54" t="s">
        <v>10</v>
      </c>
      <c r="N3" s="122" t="s">
        <v>11</v>
      </c>
      <c r="O3" s="5" t="s">
        <v>13</v>
      </c>
      <c r="P3" s="5" t="s">
        <v>155</v>
      </c>
      <c r="Q3" s="124" t="s">
        <v>23</v>
      </c>
      <c r="R3" s="439"/>
      <c r="S3" s="68" t="s">
        <v>162</v>
      </c>
      <c r="T3" s="99" t="s">
        <v>163</v>
      </c>
    </row>
    <row r="4" spans="1:20" s="67" customFormat="1" ht="13.5" customHeight="1" x14ac:dyDescent="0.25">
      <c r="A4" s="464" t="s">
        <v>235</v>
      </c>
      <c r="B4" s="60" t="s">
        <v>216</v>
      </c>
      <c r="C4" s="60" t="s">
        <v>182</v>
      </c>
      <c r="D4" s="11" t="s">
        <v>173</v>
      </c>
      <c r="E4" s="59" t="s">
        <v>233</v>
      </c>
      <c r="F4" s="60">
        <v>600</v>
      </c>
      <c r="G4" s="69">
        <v>3</v>
      </c>
      <c r="H4" s="69" t="s">
        <v>172</v>
      </c>
      <c r="I4" s="69" t="s">
        <v>357</v>
      </c>
      <c r="J4" s="58">
        <v>45295</v>
      </c>
      <c r="K4" s="108"/>
      <c r="L4" s="117"/>
      <c r="M4" s="66"/>
      <c r="N4" s="107" t="s">
        <v>358</v>
      </c>
      <c r="O4" s="56"/>
      <c r="P4" s="56"/>
      <c r="Q4" s="60">
        <v>600</v>
      </c>
      <c r="R4" s="56" t="s">
        <v>387</v>
      </c>
      <c r="S4" s="156">
        <v>85000</v>
      </c>
      <c r="T4" s="65">
        <f t="shared" ref="T4:T25" si="0" xml:space="preserve"> S4*(F4/1000)</f>
        <v>51000</v>
      </c>
    </row>
    <row r="5" spans="1:20" s="67" customFormat="1" ht="13.5" customHeight="1" x14ac:dyDescent="0.25">
      <c r="A5" s="465"/>
      <c r="B5" s="60" t="s">
        <v>216</v>
      </c>
      <c r="C5" s="60" t="s">
        <v>182</v>
      </c>
      <c r="D5" s="11" t="s">
        <v>173</v>
      </c>
      <c r="E5" s="59" t="s">
        <v>263</v>
      </c>
      <c r="F5" s="60">
        <v>200</v>
      </c>
      <c r="G5" s="69">
        <v>1</v>
      </c>
      <c r="H5" s="69" t="s">
        <v>172</v>
      </c>
      <c r="I5" s="69" t="s">
        <v>357</v>
      </c>
      <c r="J5" s="58">
        <v>45295</v>
      </c>
      <c r="K5" s="108"/>
      <c r="L5" s="117"/>
      <c r="M5" s="66"/>
      <c r="N5" s="107" t="s">
        <v>358</v>
      </c>
      <c r="O5" s="56"/>
      <c r="P5" s="56"/>
      <c r="Q5" s="60">
        <v>200</v>
      </c>
      <c r="R5" s="56" t="s">
        <v>387</v>
      </c>
      <c r="S5" s="156">
        <v>85000</v>
      </c>
      <c r="T5" s="65">
        <f t="shared" si="0"/>
        <v>17000</v>
      </c>
    </row>
    <row r="6" spans="1:20" s="67" customFormat="1" ht="13.5" customHeight="1" x14ac:dyDescent="0.25">
      <c r="A6" s="464" t="s">
        <v>235</v>
      </c>
      <c r="B6" s="60" t="s">
        <v>216</v>
      </c>
      <c r="C6" s="60" t="s">
        <v>182</v>
      </c>
      <c r="D6" s="11" t="s">
        <v>173</v>
      </c>
      <c r="E6" s="59" t="s">
        <v>236</v>
      </c>
      <c r="F6" s="60">
        <v>600</v>
      </c>
      <c r="G6" s="69">
        <v>3</v>
      </c>
      <c r="H6" s="69" t="s">
        <v>172</v>
      </c>
      <c r="I6" s="69" t="s">
        <v>357</v>
      </c>
      <c r="J6" s="58">
        <v>45295</v>
      </c>
      <c r="K6" s="108"/>
      <c r="L6" s="117"/>
      <c r="M6" s="66"/>
      <c r="N6" s="107" t="s">
        <v>358</v>
      </c>
      <c r="O6" s="56"/>
      <c r="P6" s="56"/>
      <c r="Q6" s="60">
        <v>600</v>
      </c>
      <c r="R6" s="56" t="s">
        <v>387</v>
      </c>
      <c r="S6" s="156">
        <v>85000</v>
      </c>
      <c r="T6" s="65">
        <f t="shared" si="0"/>
        <v>51000</v>
      </c>
    </row>
    <row r="7" spans="1:20" s="67" customFormat="1" ht="13.5" customHeight="1" x14ac:dyDescent="0.25">
      <c r="A7" s="465"/>
      <c r="B7" s="60" t="s">
        <v>216</v>
      </c>
      <c r="C7" s="60" t="s">
        <v>182</v>
      </c>
      <c r="D7" s="11" t="s">
        <v>173</v>
      </c>
      <c r="E7" s="59" t="s">
        <v>262</v>
      </c>
      <c r="F7" s="60">
        <v>200</v>
      </c>
      <c r="G7" s="69">
        <v>1</v>
      </c>
      <c r="H7" s="69" t="s">
        <v>172</v>
      </c>
      <c r="I7" s="69" t="s">
        <v>357</v>
      </c>
      <c r="J7" s="58">
        <v>45295</v>
      </c>
      <c r="K7" s="108"/>
      <c r="L7" s="117"/>
      <c r="M7" s="66"/>
      <c r="N7" s="107" t="s">
        <v>358</v>
      </c>
      <c r="O7" s="56"/>
      <c r="P7" s="56"/>
      <c r="Q7" s="60">
        <v>200</v>
      </c>
      <c r="R7" s="56" t="s">
        <v>387</v>
      </c>
      <c r="S7" s="156">
        <v>85000</v>
      </c>
      <c r="T7" s="65">
        <f t="shared" si="0"/>
        <v>17000</v>
      </c>
    </row>
    <row r="8" spans="1:20" s="67" customFormat="1" ht="13.5" customHeight="1" x14ac:dyDescent="0.25">
      <c r="A8" s="464" t="s">
        <v>235</v>
      </c>
      <c r="B8" s="60" t="s">
        <v>216</v>
      </c>
      <c r="C8" s="60" t="s">
        <v>182</v>
      </c>
      <c r="D8" s="11" t="s">
        <v>173</v>
      </c>
      <c r="E8" s="59" t="s">
        <v>234</v>
      </c>
      <c r="F8" s="60">
        <v>600</v>
      </c>
      <c r="G8" s="69">
        <v>3</v>
      </c>
      <c r="H8" s="69" t="s">
        <v>172</v>
      </c>
      <c r="I8" s="69" t="s">
        <v>357</v>
      </c>
      <c r="J8" s="58">
        <v>45295</v>
      </c>
      <c r="K8" s="108"/>
      <c r="L8" s="117"/>
      <c r="M8" s="66"/>
      <c r="N8" s="107" t="s">
        <v>358</v>
      </c>
      <c r="O8" s="56"/>
      <c r="P8" s="56"/>
      <c r="Q8" s="60">
        <v>600</v>
      </c>
      <c r="R8" s="56" t="s">
        <v>387</v>
      </c>
      <c r="S8" s="156">
        <v>85000</v>
      </c>
      <c r="T8" s="65">
        <f t="shared" si="0"/>
        <v>51000</v>
      </c>
    </row>
    <row r="9" spans="1:20" s="67" customFormat="1" ht="13.5" customHeight="1" x14ac:dyDescent="0.25">
      <c r="A9" s="465"/>
      <c r="B9" s="60" t="s">
        <v>216</v>
      </c>
      <c r="C9" s="60" t="s">
        <v>182</v>
      </c>
      <c r="D9" s="11" t="s">
        <v>173</v>
      </c>
      <c r="E9" s="59" t="s">
        <v>261</v>
      </c>
      <c r="F9" s="60">
        <v>200</v>
      </c>
      <c r="G9" s="69">
        <v>1</v>
      </c>
      <c r="H9" s="69" t="s">
        <v>172</v>
      </c>
      <c r="I9" s="69" t="s">
        <v>357</v>
      </c>
      <c r="J9" s="58">
        <v>45295</v>
      </c>
      <c r="K9" s="108"/>
      <c r="L9" s="117"/>
      <c r="M9" s="66"/>
      <c r="N9" s="107" t="s">
        <v>358</v>
      </c>
      <c r="O9" s="56"/>
      <c r="P9" s="56"/>
      <c r="Q9" s="60">
        <v>200</v>
      </c>
      <c r="R9" s="56" t="s">
        <v>387</v>
      </c>
      <c r="S9" s="156">
        <v>85000</v>
      </c>
      <c r="T9" s="65">
        <f t="shared" si="0"/>
        <v>17000</v>
      </c>
    </row>
    <row r="10" spans="1:20" s="67" customFormat="1" ht="13.5" customHeight="1" x14ac:dyDescent="0.25">
      <c r="A10" s="464" t="s">
        <v>235</v>
      </c>
      <c r="B10" s="60" t="s">
        <v>216</v>
      </c>
      <c r="C10" s="60" t="s">
        <v>182</v>
      </c>
      <c r="D10" s="11" t="s">
        <v>173</v>
      </c>
      <c r="E10" s="59" t="s">
        <v>261</v>
      </c>
      <c r="F10" s="60">
        <v>200</v>
      </c>
      <c r="G10" s="69">
        <v>1</v>
      </c>
      <c r="H10" s="69" t="s">
        <v>172</v>
      </c>
      <c r="I10" s="69" t="s">
        <v>357</v>
      </c>
      <c r="J10" s="58">
        <v>45295</v>
      </c>
      <c r="K10" s="108"/>
      <c r="L10" s="117"/>
      <c r="M10" s="66"/>
      <c r="N10" s="107" t="s">
        <v>358</v>
      </c>
      <c r="O10" s="56"/>
      <c r="P10" s="56"/>
      <c r="Q10" s="60">
        <v>200</v>
      </c>
      <c r="R10" s="56" t="s">
        <v>387</v>
      </c>
      <c r="S10" s="156">
        <v>85000</v>
      </c>
      <c r="T10" s="65">
        <f t="shared" si="0"/>
        <v>17000</v>
      </c>
    </row>
    <row r="11" spans="1:20" s="67" customFormat="1" ht="13.5" customHeight="1" x14ac:dyDescent="0.25">
      <c r="A11" s="465"/>
      <c r="B11" s="60" t="s">
        <v>216</v>
      </c>
      <c r="C11" s="60" t="s">
        <v>182</v>
      </c>
      <c r="D11" s="11" t="s">
        <v>173</v>
      </c>
      <c r="E11" s="59" t="s">
        <v>260</v>
      </c>
      <c r="F11" s="60">
        <v>600</v>
      </c>
      <c r="G11" s="69">
        <v>3</v>
      </c>
      <c r="H11" s="69" t="s">
        <v>172</v>
      </c>
      <c r="I11" s="69" t="s">
        <v>357</v>
      </c>
      <c r="J11" s="58">
        <v>45295</v>
      </c>
      <c r="K11" s="108"/>
      <c r="L11" s="117"/>
      <c r="M11" s="66"/>
      <c r="N11" s="107" t="s">
        <v>358</v>
      </c>
      <c r="O11" s="56"/>
      <c r="P11" s="56"/>
      <c r="Q11" s="60">
        <v>600</v>
      </c>
      <c r="R11" s="56" t="s">
        <v>387</v>
      </c>
      <c r="S11" s="156">
        <v>85000</v>
      </c>
      <c r="T11" s="65">
        <f t="shared" si="0"/>
        <v>51000</v>
      </c>
    </row>
    <row r="12" spans="1:20" s="67" customFormat="1" ht="13.5" customHeight="1" x14ac:dyDescent="0.25">
      <c r="A12" s="173" t="s">
        <v>240</v>
      </c>
      <c r="B12" s="60" t="s">
        <v>216</v>
      </c>
      <c r="C12" s="60" t="s">
        <v>182</v>
      </c>
      <c r="D12" s="11" t="s">
        <v>173</v>
      </c>
      <c r="E12" s="59" t="s">
        <v>266</v>
      </c>
      <c r="F12" s="60">
        <v>3200</v>
      </c>
      <c r="G12" s="69">
        <v>16</v>
      </c>
      <c r="H12" s="69" t="s">
        <v>172</v>
      </c>
      <c r="I12" s="69" t="s">
        <v>357</v>
      </c>
      <c r="J12" s="58">
        <v>45295</v>
      </c>
      <c r="K12" s="108"/>
      <c r="L12" s="117"/>
      <c r="M12" s="66"/>
      <c r="N12" s="107" t="s">
        <v>358</v>
      </c>
      <c r="O12" s="56"/>
      <c r="P12" s="56"/>
      <c r="Q12" s="60">
        <v>3200</v>
      </c>
      <c r="R12" s="56" t="s">
        <v>387</v>
      </c>
      <c r="S12" s="156">
        <v>85000</v>
      </c>
      <c r="T12" s="65">
        <f t="shared" si="0"/>
        <v>272000</v>
      </c>
    </row>
    <row r="13" spans="1:20" s="67" customFormat="1" ht="13.5" customHeight="1" x14ac:dyDescent="0.25">
      <c r="A13" s="173" t="s">
        <v>240</v>
      </c>
      <c r="B13" s="60" t="s">
        <v>216</v>
      </c>
      <c r="C13" s="60" t="s">
        <v>182</v>
      </c>
      <c r="D13" s="11" t="s">
        <v>173</v>
      </c>
      <c r="E13" s="59" t="s">
        <v>263</v>
      </c>
      <c r="F13" s="60">
        <v>800</v>
      </c>
      <c r="G13" s="69">
        <v>4</v>
      </c>
      <c r="H13" s="69" t="s">
        <v>172</v>
      </c>
      <c r="I13" s="69" t="s">
        <v>357</v>
      </c>
      <c r="J13" s="58">
        <v>45295</v>
      </c>
      <c r="K13" s="108"/>
      <c r="L13" s="117"/>
      <c r="M13" s="66"/>
      <c r="N13" s="107" t="s">
        <v>358</v>
      </c>
      <c r="O13" s="56"/>
      <c r="P13" s="56"/>
      <c r="Q13" s="60">
        <v>800</v>
      </c>
      <c r="R13" s="56" t="s">
        <v>387</v>
      </c>
      <c r="S13" s="156">
        <v>85000</v>
      </c>
      <c r="T13" s="65">
        <f t="shared" si="0"/>
        <v>68000</v>
      </c>
    </row>
    <row r="14" spans="1:20" s="67" customFormat="1" ht="13.5" customHeight="1" x14ac:dyDescent="0.25">
      <c r="A14" s="173" t="s">
        <v>240</v>
      </c>
      <c r="B14" s="60" t="s">
        <v>216</v>
      </c>
      <c r="C14" s="60" t="s">
        <v>182</v>
      </c>
      <c r="D14" s="11" t="s">
        <v>173</v>
      </c>
      <c r="E14" s="59" t="s">
        <v>262</v>
      </c>
      <c r="F14" s="60">
        <v>800</v>
      </c>
      <c r="G14" s="69">
        <v>4</v>
      </c>
      <c r="H14" s="69" t="s">
        <v>172</v>
      </c>
      <c r="I14" s="69" t="s">
        <v>357</v>
      </c>
      <c r="J14" s="58">
        <v>45295</v>
      </c>
      <c r="K14" s="108"/>
      <c r="L14" s="117"/>
      <c r="M14" s="66"/>
      <c r="N14" s="107" t="s">
        <v>358</v>
      </c>
      <c r="O14" s="56"/>
      <c r="P14" s="56"/>
      <c r="Q14" s="60">
        <v>800</v>
      </c>
      <c r="R14" s="56" t="s">
        <v>387</v>
      </c>
      <c r="S14" s="156">
        <v>85000</v>
      </c>
      <c r="T14" s="65">
        <f t="shared" si="0"/>
        <v>68000</v>
      </c>
    </row>
    <row r="15" spans="1:20" s="67" customFormat="1" ht="13.5" customHeight="1" x14ac:dyDescent="0.25">
      <c r="A15" s="173" t="s">
        <v>240</v>
      </c>
      <c r="B15" s="97" t="s">
        <v>216</v>
      </c>
      <c r="C15" s="60" t="s">
        <v>182</v>
      </c>
      <c r="D15" s="98" t="s">
        <v>337</v>
      </c>
      <c r="E15" s="59" t="s">
        <v>272</v>
      </c>
      <c r="F15" s="97">
        <v>4000</v>
      </c>
      <c r="G15" s="69">
        <v>20</v>
      </c>
      <c r="H15" s="69" t="s">
        <v>172</v>
      </c>
      <c r="I15" s="69" t="s">
        <v>357</v>
      </c>
      <c r="J15" s="58">
        <v>45295</v>
      </c>
      <c r="K15" s="105"/>
      <c r="L15" s="123"/>
      <c r="M15" s="105"/>
      <c r="N15" s="107" t="s">
        <v>358</v>
      </c>
      <c r="O15" s="56"/>
      <c r="P15" s="60"/>
      <c r="Q15" s="97">
        <v>4000</v>
      </c>
      <c r="R15" s="56" t="s">
        <v>387</v>
      </c>
      <c r="S15" s="100">
        <v>207000</v>
      </c>
      <c r="T15" s="65">
        <f t="shared" si="0"/>
        <v>828000</v>
      </c>
    </row>
    <row r="16" spans="1:20" s="67" customFormat="1" ht="13.5" customHeight="1" x14ac:dyDescent="0.25">
      <c r="A16" s="174" t="s">
        <v>240</v>
      </c>
      <c r="B16" s="97" t="s">
        <v>216</v>
      </c>
      <c r="C16" s="97" t="s">
        <v>182</v>
      </c>
      <c r="D16" s="98" t="s">
        <v>337</v>
      </c>
      <c r="E16" s="59" t="s">
        <v>272</v>
      </c>
      <c r="F16" s="97">
        <v>16000</v>
      </c>
      <c r="G16" s="69">
        <v>80</v>
      </c>
      <c r="H16" s="69" t="s">
        <v>172</v>
      </c>
      <c r="I16" s="69" t="s">
        <v>357</v>
      </c>
      <c r="J16" s="58">
        <v>45295</v>
      </c>
      <c r="K16" s="105"/>
      <c r="L16" s="123"/>
      <c r="M16" s="105"/>
      <c r="N16" s="107" t="s">
        <v>359</v>
      </c>
      <c r="O16" s="56"/>
      <c r="P16" s="60"/>
      <c r="Q16" s="97">
        <v>16000</v>
      </c>
      <c r="R16" s="56" t="s">
        <v>387</v>
      </c>
      <c r="S16" s="100">
        <v>207000</v>
      </c>
      <c r="T16" s="65">
        <f t="shared" si="0"/>
        <v>3312000</v>
      </c>
    </row>
    <row r="17" spans="1:20" s="67" customFormat="1" ht="13.5" customHeight="1" x14ac:dyDescent="0.25">
      <c r="A17" s="69" t="s">
        <v>224</v>
      </c>
      <c r="B17" s="97" t="s">
        <v>264</v>
      </c>
      <c r="C17" s="97" t="s">
        <v>265</v>
      </c>
      <c r="D17" s="98" t="s">
        <v>340</v>
      </c>
      <c r="E17" s="59" t="s">
        <v>263</v>
      </c>
      <c r="F17" s="97">
        <v>17600</v>
      </c>
      <c r="G17" s="69">
        <v>88</v>
      </c>
      <c r="H17" s="69" t="s">
        <v>241</v>
      </c>
      <c r="I17" s="69" t="s">
        <v>357</v>
      </c>
      <c r="J17" s="58">
        <v>45296</v>
      </c>
      <c r="K17" s="105" t="s">
        <v>181</v>
      </c>
      <c r="L17" s="123" t="s">
        <v>237</v>
      </c>
      <c r="M17" s="105" t="s">
        <v>372</v>
      </c>
      <c r="N17" s="58"/>
      <c r="O17" s="56"/>
      <c r="P17" s="60"/>
      <c r="Q17" s="97">
        <v>17600</v>
      </c>
      <c r="R17" s="56" t="s">
        <v>387</v>
      </c>
      <c r="S17" s="100">
        <v>95000</v>
      </c>
      <c r="T17" s="65">
        <f t="shared" si="0"/>
        <v>1672000.0000000002</v>
      </c>
    </row>
    <row r="18" spans="1:20" s="67" customFormat="1" ht="13.5" customHeight="1" x14ac:dyDescent="0.25">
      <c r="A18" s="173" t="s">
        <v>240</v>
      </c>
      <c r="B18" s="97" t="s">
        <v>239</v>
      </c>
      <c r="C18" s="97" t="s">
        <v>165</v>
      </c>
      <c r="D18" s="98" t="s">
        <v>293</v>
      </c>
      <c r="E18" s="64" t="s">
        <v>267</v>
      </c>
      <c r="F18" s="97">
        <v>15876</v>
      </c>
      <c r="G18" s="69">
        <v>700</v>
      </c>
      <c r="H18" s="69" t="s">
        <v>187</v>
      </c>
      <c r="I18" s="69" t="s">
        <v>357</v>
      </c>
      <c r="J18" s="58">
        <v>45296</v>
      </c>
      <c r="K18" s="69"/>
      <c r="L18" s="114"/>
      <c r="M18" s="56"/>
      <c r="N18" s="66" t="s">
        <v>362</v>
      </c>
      <c r="O18" s="97">
        <v>15876</v>
      </c>
      <c r="P18" s="60"/>
      <c r="Q18" s="56"/>
      <c r="R18" s="56" t="s">
        <v>387</v>
      </c>
      <c r="S18" s="100">
        <v>49500</v>
      </c>
      <c r="T18" s="116">
        <f t="shared" si="0"/>
        <v>785862</v>
      </c>
    </row>
    <row r="19" spans="1:20" s="67" customFormat="1" ht="13.5" customHeight="1" x14ac:dyDescent="0.25">
      <c r="A19" s="173" t="s">
        <v>240</v>
      </c>
      <c r="B19" s="97" t="s">
        <v>239</v>
      </c>
      <c r="C19" s="97" t="s">
        <v>165</v>
      </c>
      <c r="D19" s="98" t="s">
        <v>293</v>
      </c>
      <c r="E19" s="64" t="s">
        <v>272</v>
      </c>
      <c r="F19" s="97">
        <v>15876</v>
      </c>
      <c r="G19" s="69">
        <v>700</v>
      </c>
      <c r="H19" s="69" t="s">
        <v>187</v>
      </c>
      <c r="I19" s="69" t="s">
        <v>357</v>
      </c>
      <c r="J19" s="58">
        <v>45296</v>
      </c>
      <c r="K19" s="69"/>
      <c r="L19" s="114"/>
      <c r="M19" s="56"/>
      <c r="N19" s="66" t="s">
        <v>363</v>
      </c>
      <c r="O19" s="97">
        <v>15876</v>
      </c>
      <c r="P19" s="60"/>
      <c r="Q19" s="56"/>
      <c r="R19" s="56" t="s">
        <v>387</v>
      </c>
      <c r="S19" s="100">
        <v>49500</v>
      </c>
      <c r="T19" s="116">
        <f t="shared" si="0"/>
        <v>785862</v>
      </c>
    </row>
    <row r="20" spans="1:20" s="67" customFormat="1" ht="13.5" customHeight="1" x14ac:dyDescent="0.25">
      <c r="A20" s="173" t="s">
        <v>240</v>
      </c>
      <c r="B20" s="97" t="s">
        <v>239</v>
      </c>
      <c r="C20" s="97" t="s">
        <v>165</v>
      </c>
      <c r="D20" s="98" t="s">
        <v>293</v>
      </c>
      <c r="E20" s="64" t="s">
        <v>273</v>
      </c>
      <c r="F20" s="97">
        <v>15876</v>
      </c>
      <c r="G20" s="69">
        <v>700</v>
      </c>
      <c r="H20" s="69" t="s">
        <v>187</v>
      </c>
      <c r="I20" s="69" t="s">
        <v>357</v>
      </c>
      <c r="J20" s="58">
        <v>45296</v>
      </c>
      <c r="K20" s="69"/>
      <c r="L20" s="114"/>
      <c r="M20" s="56"/>
      <c r="N20" s="66" t="s">
        <v>364</v>
      </c>
      <c r="O20" s="97">
        <v>15876</v>
      </c>
      <c r="P20" s="60"/>
      <c r="Q20" s="56"/>
      <c r="R20" s="56" t="s">
        <v>387</v>
      </c>
      <c r="S20" s="100">
        <v>49500</v>
      </c>
      <c r="T20" s="116">
        <f t="shared" si="0"/>
        <v>785862</v>
      </c>
    </row>
    <row r="21" spans="1:20" s="67" customFormat="1" ht="13.5" customHeight="1" x14ac:dyDescent="0.25">
      <c r="A21" s="69" t="s">
        <v>224</v>
      </c>
      <c r="B21" s="60">
        <v>43858</v>
      </c>
      <c r="C21" s="60" t="s">
        <v>167</v>
      </c>
      <c r="D21" s="11" t="s">
        <v>297</v>
      </c>
      <c r="E21" s="59" t="s">
        <v>259</v>
      </c>
      <c r="F21" s="60">
        <v>19862.5</v>
      </c>
      <c r="G21" s="69">
        <v>875</v>
      </c>
      <c r="H21" s="69" t="s">
        <v>169</v>
      </c>
      <c r="I21" s="69" t="s">
        <v>357</v>
      </c>
      <c r="J21" s="58">
        <v>45300</v>
      </c>
      <c r="K21" s="108" t="s">
        <v>268</v>
      </c>
      <c r="L21" s="114" t="s">
        <v>269</v>
      </c>
      <c r="M21" s="56" t="s">
        <v>370</v>
      </c>
      <c r="N21" s="58"/>
      <c r="O21" s="60">
        <v>19862.5</v>
      </c>
      <c r="P21" s="56"/>
      <c r="Q21" s="56"/>
      <c r="R21" s="56" t="s">
        <v>387</v>
      </c>
      <c r="S21" s="100">
        <v>42500</v>
      </c>
      <c r="T21" s="116">
        <f t="shared" si="0"/>
        <v>844156.25</v>
      </c>
    </row>
    <row r="22" spans="1:20" s="67" customFormat="1" ht="13.5" customHeight="1" x14ac:dyDescent="0.25">
      <c r="A22" s="69" t="s">
        <v>224</v>
      </c>
      <c r="B22" s="60">
        <v>43858</v>
      </c>
      <c r="C22" s="60" t="s">
        <v>167</v>
      </c>
      <c r="D22" s="11" t="s">
        <v>297</v>
      </c>
      <c r="E22" s="59" t="s">
        <v>260</v>
      </c>
      <c r="F22" s="60">
        <v>19862.5</v>
      </c>
      <c r="G22" s="69">
        <v>875</v>
      </c>
      <c r="H22" s="69" t="s">
        <v>169</v>
      </c>
      <c r="I22" s="69" t="s">
        <v>357</v>
      </c>
      <c r="J22" s="58">
        <v>45300</v>
      </c>
      <c r="K22" s="108" t="s">
        <v>270</v>
      </c>
      <c r="L22" s="114" t="s">
        <v>271</v>
      </c>
      <c r="M22" s="56" t="s">
        <v>371</v>
      </c>
      <c r="N22" s="58"/>
      <c r="O22" s="60">
        <v>19862.5</v>
      </c>
      <c r="P22" s="56"/>
      <c r="Q22" s="56"/>
      <c r="R22" s="56" t="s">
        <v>387</v>
      </c>
      <c r="S22" s="100">
        <v>42500</v>
      </c>
      <c r="T22" s="116">
        <f t="shared" si="0"/>
        <v>844156.25</v>
      </c>
    </row>
    <row r="23" spans="1:20" s="67" customFormat="1" ht="13.5" customHeight="1" x14ac:dyDescent="0.25">
      <c r="A23" s="174" t="s">
        <v>240</v>
      </c>
      <c r="B23" s="97" t="s">
        <v>345</v>
      </c>
      <c r="C23" s="97" t="s">
        <v>165</v>
      </c>
      <c r="D23" s="98" t="s">
        <v>291</v>
      </c>
      <c r="E23" s="59" t="s">
        <v>366</v>
      </c>
      <c r="F23" s="97">
        <v>15876</v>
      </c>
      <c r="G23" s="69">
        <v>700</v>
      </c>
      <c r="H23" s="69" t="s">
        <v>169</v>
      </c>
      <c r="I23" s="69" t="s">
        <v>357</v>
      </c>
      <c r="J23" s="58">
        <v>45301</v>
      </c>
      <c r="K23" s="105"/>
      <c r="L23" s="123"/>
      <c r="M23" s="105"/>
      <c r="N23" s="58" t="s">
        <v>369</v>
      </c>
      <c r="O23" s="97">
        <v>15876</v>
      </c>
      <c r="P23" s="60"/>
      <c r="Q23" s="56"/>
      <c r="R23" s="56" t="s">
        <v>387</v>
      </c>
      <c r="S23" s="100">
        <v>49500</v>
      </c>
      <c r="T23" s="116">
        <f t="shared" si="0"/>
        <v>785862</v>
      </c>
    </row>
    <row r="24" spans="1:20" s="67" customFormat="1" ht="13.5" customHeight="1" x14ac:dyDescent="0.25">
      <c r="A24" s="174" t="s">
        <v>240</v>
      </c>
      <c r="B24" s="97" t="s">
        <v>345</v>
      </c>
      <c r="C24" s="97" t="s">
        <v>165</v>
      </c>
      <c r="D24" s="98" t="s">
        <v>291</v>
      </c>
      <c r="E24" s="59" t="s">
        <v>346</v>
      </c>
      <c r="F24" s="97">
        <v>15876</v>
      </c>
      <c r="G24" s="69">
        <v>700</v>
      </c>
      <c r="H24" s="69" t="s">
        <v>169</v>
      </c>
      <c r="I24" s="69" t="s">
        <v>357</v>
      </c>
      <c r="J24" s="58">
        <v>45301</v>
      </c>
      <c r="K24" s="105"/>
      <c r="L24" s="123"/>
      <c r="M24" s="105"/>
      <c r="N24" s="58" t="s">
        <v>377</v>
      </c>
      <c r="O24" s="97">
        <v>15876</v>
      </c>
      <c r="P24" s="60"/>
      <c r="Q24" s="56"/>
      <c r="R24" s="56" t="s">
        <v>387</v>
      </c>
      <c r="S24" s="100">
        <v>49500</v>
      </c>
      <c r="T24" s="116">
        <f t="shared" si="0"/>
        <v>785862</v>
      </c>
    </row>
    <row r="25" spans="1:20" s="67" customFormat="1" ht="13.5" customHeight="1" x14ac:dyDescent="0.25">
      <c r="A25" s="174" t="s">
        <v>240</v>
      </c>
      <c r="B25" s="97" t="s">
        <v>345</v>
      </c>
      <c r="C25" s="97" t="s">
        <v>165</v>
      </c>
      <c r="D25" s="98" t="s">
        <v>291</v>
      </c>
      <c r="E25" s="59" t="s">
        <v>347</v>
      </c>
      <c r="F25" s="97">
        <v>15876</v>
      </c>
      <c r="G25" s="69">
        <v>700</v>
      </c>
      <c r="H25" s="69" t="s">
        <v>169</v>
      </c>
      <c r="I25" s="69" t="s">
        <v>357</v>
      </c>
      <c r="J25" s="58">
        <v>45301</v>
      </c>
      <c r="K25" s="105"/>
      <c r="L25" s="123"/>
      <c r="M25" s="105"/>
      <c r="N25" s="58" t="s">
        <v>378</v>
      </c>
      <c r="O25" s="97">
        <v>15876</v>
      </c>
      <c r="P25" s="60"/>
      <c r="Q25" s="56"/>
      <c r="R25" s="56" t="s">
        <v>387</v>
      </c>
      <c r="S25" s="100">
        <v>49500</v>
      </c>
      <c r="T25" s="116">
        <f t="shared" si="0"/>
        <v>785862</v>
      </c>
    </row>
    <row r="26" spans="1:20" s="167" customFormat="1" ht="13.5" customHeight="1" x14ac:dyDescent="0.25">
      <c r="A26" s="161" t="s">
        <v>224</v>
      </c>
      <c r="B26" s="157" t="s">
        <v>375</v>
      </c>
      <c r="C26" s="158" t="s">
        <v>373</v>
      </c>
      <c r="D26" s="159" t="s">
        <v>289</v>
      </c>
      <c r="E26" s="160" t="s">
        <v>374</v>
      </c>
      <c r="F26" s="158">
        <v>20000</v>
      </c>
      <c r="G26" s="161">
        <v>800</v>
      </c>
      <c r="H26" s="161" t="s">
        <v>169</v>
      </c>
      <c r="I26" s="161" t="s">
        <v>357</v>
      </c>
      <c r="J26" s="162">
        <v>45303</v>
      </c>
      <c r="K26" s="163" t="s">
        <v>386</v>
      </c>
      <c r="L26" s="163">
        <v>89115675225</v>
      </c>
      <c r="M26" s="164" t="s">
        <v>415</v>
      </c>
      <c r="N26" s="162"/>
      <c r="O26" s="158">
        <v>20000</v>
      </c>
      <c r="P26" s="157"/>
      <c r="Q26" s="164"/>
      <c r="R26" s="164" t="s">
        <v>387</v>
      </c>
      <c r="S26" s="165">
        <v>36200</v>
      </c>
      <c r="T26" s="166">
        <f>S26*(F26/1000)</f>
        <v>724000</v>
      </c>
    </row>
    <row r="27" spans="1:20" s="67" customFormat="1" ht="13.5" customHeight="1" x14ac:dyDescent="0.25">
      <c r="A27" s="174" t="s">
        <v>240</v>
      </c>
      <c r="B27" s="97" t="s">
        <v>345</v>
      </c>
      <c r="C27" s="97" t="s">
        <v>165</v>
      </c>
      <c r="D27" s="98" t="s">
        <v>291</v>
      </c>
      <c r="E27" s="59" t="s">
        <v>361</v>
      </c>
      <c r="F27" s="97">
        <v>15876</v>
      </c>
      <c r="G27" s="69">
        <v>700</v>
      </c>
      <c r="H27" s="69" t="s">
        <v>169</v>
      </c>
      <c r="I27" s="69" t="s">
        <v>357</v>
      </c>
      <c r="J27" s="58">
        <v>45303</v>
      </c>
      <c r="K27" s="105"/>
      <c r="L27" s="123"/>
      <c r="M27" s="105"/>
      <c r="N27" s="58" t="s">
        <v>393</v>
      </c>
      <c r="O27" s="97">
        <v>15876</v>
      </c>
      <c r="P27" s="60"/>
      <c r="Q27" s="56"/>
      <c r="R27" s="56" t="s">
        <v>387</v>
      </c>
      <c r="S27" s="100">
        <v>49500</v>
      </c>
      <c r="T27" s="116">
        <f xml:space="preserve"> S27*(F27/1000)</f>
        <v>785862</v>
      </c>
    </row>
    <row r="28" spans="1:20" s="67" customFormat="1" ht="13.5" customHeight="1" x14ac:dyDescent="0.25">
      <c r="A28" s="174" t="s">
        <v>240</v>
      </c>
      <c r="B28" s="97" t="s">
        <v>345</v>
      </c>
      <c r="C28" s="97" t="s">
        <v>165</v>
      </c>
      <c r="D28" s="98" t="s">
        <v>291</v>
      </c>
      <c r="E28" s="59" t="s">
        <v>365</v>
      </c>
      <c r="F28" s="97">
        <v>15876</v>
      </c>
      <c r="G28" s="69">
        <v>700</v>
      </c>
      <c r="H28" s="69" t="s">
        <v>169</v>
      </c>
      <c r="I28" s="69" t="s">
        <v>357</v>
      </c>
      <c r="J28" s="58">
        <v>45303</v>
      </c>
      <c r="K28" s="105"/>
      <c r="L28" s="123"/>
      <c r="M28" s="105"/>
      <c r="N28" s="58" t="s">
        <v>392</v>
      </c>
      <c r="O28" s="97">
        <v>15876</v>
      </c>
      <c r="P28" s="60"/>
      <c r="Q28" s="56"/>
      <c r="R28" s="56" t="s">
        <v>387</v>
      </c>
      <c r="S28" s="100">
        <v>49500</v>
      </c>
      <c r="T28" s="116">
        <f xml:space="preserve"> S28*(F28/1000)</f>
        <v>785862</v>
      </c>
    </row>
    <row r="29" spans="1:20" s="67" customFormat="1" ht="13.5" customHeight="1" x14ac:dyDescent="0.25">
      <c r="A29" s="174" t="s">
        <v>240</v>
      </c>
      <c r="B29" s="97" t="s">
        <v>345</v>
      </c>
      <c r="C29" s="97" t="s">
        <v>165</v>
      </c>
      <c r="D29" s="98" t="s">
        <v>291</v>
      </c>
      <c r="E29" s="59" t="s">
        <v>367</v>
      </c>
      <c r="F29" s="97">
        <v>15876</v>
      </c>
      <c r="G29" s="69">
        <v>700</v>
      </c>
      <c r="H29" s="69" t="s">
        <v>169</v>
      </c>
      <c r="I29" s="69" t="s">
        <v>357</v>
      </c>
      <c r="J29" s="58">
        <v>45303</v>
      </c>
      <c r="K29" s="105"/>
      <c r="L29" s="123"/>
      <c r="M29" s="105"/>
      <c r="N29" s="58" t="s">
        <v>414</v>
      </c>
      <c r="O29" s="97">
        <v>15876</v>
      </c>
      <c r="P29" s="60"/>
      <c r="Q29" s="56"/>
      <c r="R29" s="56" t="s">
        <v>387</v>
      </c>
      <c r="S29" s="100">
        <v>49500</v>
      </c>
      <c r="T29" s="116">
        <f xml:space="preserve"> S29*(F29/1000)</f>
        <v>785862</v>
      </c>
    </row>
    <row r="30" spans="1:20" s="167" customFormat="1" ht="13.5" customHeight="1" x14ac:dyDescent="0.25">
      <c r="A30" s="161" t="s">
        <v>224</v>
      </c>
      <c r="B30" s="157" t="s">
        <v>375</v>
      </c>
      <c r="C30" s="158" t="s">
        <v>373</v>
      </c>
      <c r="D30" s="159" t="s">
        <v>289</v>
      </c>
      <c r="E30" s="160" t="s">
        <v>374</v>
      </c>
      <c r="F30" s="158">
        <v>20000</v>
      </c>
      <c r="G30" s="161">
        <v>800</v>
      </c>
      <c r="H30" s="161" t="s">
        <v>169</v>
      </c>
      <c r="I30" s="161" t="s">
        <v>357</v>
      </c>
      <c r="J30" s="162">
        <v>45306</v>
      </c>
      <c r="K30" s="163" t="s">
        <v>397</v>
      </c>
      <c r="L30" s="163">
        <v>89118744900</v>
      </c>
      <c r="M30" s="164" t="s">
        <v>416</v>
      </c>
      <c r="N30" s="162"/>
      <c r="O30" s="158">
        <v>20000</v>
      </c>
      <c r="P30" s="157"/>
      <c r="Q30" s="164"/>
      <c r="R30" s="164" t="s">
        <v>387</v>
      </c>
      <c r="S30" s="165">
        <v>36200</v>
      </c>
      <c r="T30" s="166">
        <f>S30*(F30/1000)</f>
        <v>724000</v>
      </c>
    </row>
    <row r="31" spans="1:20" s="67" customFormat="1" ht="13.5" customHeight="1" x14ac:dyDescent="0.25">
      <c r="A31" s="174" t="s">
        <v>224</v>
      </c>
      <c r="B31" s="97" t="s">
        <v>380</v>
      </c>
      <c r="C31" s="97" t="s">
        <v>349</v>
      </c>
      <c r="D31" s="98" t="s">
        <v>158</v>
      </c>
      <c r="E31" s="59" t="s">
        <v>255</v>
      </c>
      <c r="F31" s="97">
        <v>6400</v>
      </c>
      <c r="G31" s="69">
        <v>32</v>
      </c>
      <c r="H31" s="464" t="s">
        <v>352</v>
      </c>
      <c r="I31" s="69" t="s">
        <v>357</v>
      </c>
      <c r="J31" s="58">
        <v>45306</v>
      </c>
      <c r="K31" s="464" t="s">
        <v>383</v>
      </c>
      <c r="L31" s="501" t="s">
        <v>384</v>
      </c>
      <c r="M31" s="464" t="s">
        <v>385</v>
      </c>
      <c r="N31" s="58"/>
      <c r="O31" s="56"/>
      <c r="P31" s="60"/>
      <c r="Q31" s="97">
        <v>6400</v>
      </c>
      <c r="R31" s="56" t="s">
        <v>387</v>
      </c>
      <c r="S31" s="100">
        <v>69000</v>
      </c>
      <c r="T31" s="116">
        <f t="shared" ref="T31:T39" si="1" xml:space="preserve"> S31*(F31/1000)</f>
        <v>441600</v>
      </c>
    </row>
    <row r="32" spans="1:20" s="67" customFormat="1" ht="13.5" customHeight="1" x14ac:dyDescent="0.25">
      <c r="A32" s="174" t="s">
        <v>224</v>
      </c>
      <c r="B32" s="97" t="s">
        <v>380</v>
      </c>
      <c r="C32" s="97" t="s">
        <v>349</v>
      </c>
      <c r="D32" s="98" t="s">
        <v>158</v>
      </c>
      <c r="E32" s="59" t="s">
        <v>256</v>
      </c>
      <c r="F32" s="97">
        <v>6400</v>
      </c>
      <c r="G32" s="69">
        <v>32</v>
      </c>
      <c r="H32" s="469"/>
      <c r="I32" s="69" t="s">
        <v>357</v>
      </c>
      <c r="J32" s="58">
        <v>45306</v>
      </c>
      <c r="K32" s="469"/>
      <c r="L32" s="502"/>
      <c r="M32" s="469"/>
      <c r="N32" s="58"/>
      <c r="O32" s="56"/>
      <c r="P32" s="60"/>
      <c r="Q32" s="97">
        <v>6400</v>
      </c>
      <c r="R32" s="56" t="s">
        <v>387</v>
      </c>
      <c r="S32" s="100">
        <v>69000</v>
      </c>
      <c r="T32" s="116">
        <f t="shared" si="1"/>
        <v>441600</v>
      </c>
    </row>
    <row r="33" spans="1:20" s="67" customFormat="1" ht="13.5" customHeight="1" x14ac:dyDescent="0.25">
      <c r="A33" s="174" t="s">
        <v>224</v>
      </c>
      <c r="B33" s="97" t="s">
        <v>380</v>
      </c>
      <c r="C33" s="97" t="s">
        <v>349</v>
      </c>
      <c r="D33" s="98" t="s">
        <v>158</v>
      </c>
      <c r="E33" s="59" t="s">
        <v>257</v>
      </c>
      <c r="F33" s="97">
        <v>2400</v>
      </c>
      <c r="G33" s="69">
        <v>12</v>
      </c>
      <c r="H33" s="469"/>
      <c r="I33" s="69" t="s">
        <v>357</v>
      </c>
      <c r="J33" s="58">
        <v>45306</v>
      </c>
      <c r="K33" s="469"/>
      <c r="L33" s="502"/>
      <c r="M33" s="469"/>
      <c r="N33" s="58"/>
      <c r="O33" s="56"/>
      <c r="P33" s="60"/>
      <c r="Q33" s="97">
        <v>2400</v>
      </c>
      <c r="R33" s="56" t="s">
        <v>387</v>
      </c>
      <c r="S33" s="100">
        <v>69000</v>
      </c>
      <c r="T33" s="116">
        <f t="shared" si="1"/>
        <v>165600</v>
      </c>
    </row>
    <row r="34" spans="1:20" s="67" customFormat="1" ht="13.5" customHeight="1" x14ac:dyDescent="0.25">
      <c r="A34" s="464" t="s">
        <v>230</v>
      </c>
      <c r="B34" s="97" t="s">
        <v>380</v>
      </c>
      <c r="C34" s="97" t="s">
        <v>349</v>
      </c>
      <c r="D34" s="98" t="s">
        <v>158</v>
      </c>
      <c r="E34" s="59" t="s">
        <v>254</v>
      </c>
      <c r="F34" s="97">
        <v>400</v>
      </c>
      <c r="G34" s="69">
        <v>2</v>
      </c>
      <c r="H34" s="469"/>
      <c r="I34" s="69" t="s">
        <v>357</v>
      </c>
      <c r="J34" s="58">
        <v>45306</v>
      </c>
      <c r="K34" s="469"/>
      <c r="L34" s="502"/>
      <c r="M34" s="469"/>
      <c r="N34" s="58"/>
      <c r="O34" s="56"/>
      <c r="P34" s="60"/>
      <c r="Q34" s="97">
        <v>400</v>
      </c>
      <c r="R34" s="56" t="s">
        <v>387</v>
      </c>
      <c r="S34" s="100">
        <v>69000</v>
      </c>
      <c r="T34" s="116">
        <f t="shared" si="1"/>
        <v>27600</v>
      </c>
    </row>
    <row r="35" spans="1:20" s="67" customFormat="1" ht="13.5" customHeight="1" x14ac:dyDescent="0.25">
      <c r="A35" s="465"/>
      <c r="B35" s="97" t="s">
        <v>380</v>
      </c>
      <c r="C35" s="97" t="s">
        <v>349</v>
      </c>
      <c r="D35" s="98" t="s">
        <v>158</v>
      </c>
      <c r="E35" s="59" t="s">
        <v>255</v>
      </c>
      <c r="F35" s="97">
        <v>400</v>
      </c>
      <c r="G35" s="69">
        <v>2</v>
      </c>
      <c r="H35" s="469"/>
      <c r="I35" s="69" t="s">
        <v>357</v>
      </c>
      <c r="J35" s="58">
        <v>45306</v>
      </c>
      <c r="K35" s="469"/>
      <c r="L35" s="502"/>
      <c r="M35" s="469"/>
      <c r="N35" s="58"/>
      <c r="O35" s="56"/>
      <c r="P35" s="60"/>
      <c r="Q35" s="97">
        <v>400</v>
      </c>
      <c r="R35" s="56" t="s">
        <v>387</v>
      </c>
      <c r="S35" s="100">
        <v>69000</v>
      </c>
      <c r="T35" s="116">
        <f t="shared" si="1"/>
        <v>27600</v>
      </c>
    </row>
    <row r="36" spans="1:20" s="67" customFormat="1" ht="13.5" customHeight="1" x14ac:dyDescent="0.25">
      <c r="A36" s="464" t="s">
        <v>230</v>
      </c>
      <c r="B36" s="97" t="s">
        <v>380</v>
      </c>
      <c r="C36" s="97" t="s">
        <v>349</v>
      </c>
      <c r="D36" s="98" t="s">
        <v>158</v>
      </c>
      <c r="E36" s="59" t="s">
        <v>256</v>
      </c>
      <c r="F36" s="97">
        <v>600</v>
      </c>
      <c r="G36" s="69">
        <v>3</v>
      </c>
      <c r="H36" s="469"/>
      <c r="I36" s="69" t="s">
        <v>357</v>
      </c>
      <c r="J36" s="58">
        <v>45306</v>
      </c>
      <c r="K36" s="469"/>
      <c r="L36" s="502"/>
      <c r="M36" s="469"/>
      <c r="N36" s="58"/>
      <c r="O36" s="56"/>
      <c r="P36" s="60"/>
      <c r="Q36" s="97">
        <v>600</v>
      </c>
      <c r="R36" s="56" t="s">
        <v>387</v>
      </c>
      <c r="S36" s="100">
        <v>69000</v>
      </c>
      <c r="T36" s="116">
        <f t="shared" si="1"/>
        <v>41400</v>
      </c>
    </row>
    <row r="37" spans="1:20" s="67" customFormat="1" ht="13.5" customHeight="1" x14ac:dyDescent="0.25">
      <c r="A37" s="465"/>
      <c r="B37" s="97" t="s">
        <v>380</v>
      </c>
      <c r="C37" s="97" t="s">
        <v>349</v>
      </c>
      <c r="D37" s="98" t="s">
        <v>158</v>
      </c>
      <c r="E37" s="59" t="s">
        <v>257</v>
      </c>
      <c r="F37" s="97">
        <v>200</v>
      </c>
      <c r="G37" s="69">
        <v>1</v>
      </c>
      <c r="H37" s="469"/>
      <c r="I37" s="69" t="s">
        <v>357</v>
      </c>
      <c r="J37" s="58">
        <v>45306</v>
      </c>
      <c r="K37" s="469"/>
      <c r="L37" s="502"/>
      <c r="M37" s="469"/>
      <c r="N37" s="58"/>
      <c r="O37" s="56"/>
      <c r="P37" s="60"/>
      <c r="Q37" s="97">
        <v>200</v>
      </c>
      <c r="R37" s="56" t="s">
        <v>387</v>
      </c>
      <c r="S37" s="100">
        <v>69000</v>
      </c>
      <c r="T37" s="116">
        <f t="shared" si="1"/>
        <v>13800</v>
      </c>
    </row>
    <row r="38" spans="1:20" s="67" customFormat="1" ht="13.5" customHeight="1" x14ac:dyDescent="0.25">
      <c r="A38" s="464" t="s">
        <v>230</v>
      </c>
      <c r="B38" s="97" t="s">
        <v>380</v>
      </c>
      <c r="C38" s="97" t="s">
        <v>349</v>
      </c>
      <c r="D38" s="98" t="s">
        <v>158</v>
      </c>
      <c r="E38" s="59" t="s">
        <v>398</v>
      </c>
      <c r="F38" s="97">
        <v>200</v>
      </c>
      <c r="G38" s="69">
        <v>1</v>
      </c>
      <c r="H38" s="469"/>
      <c r="I38" s="69" t="s">
        <v>357</v>
      </c>
      <c r="J38" s="58">
        <v>45306</v>
      </c>
      <c r="K38" s="469"/>
      <c r="L38" s="502"/>
      <c r="M38" s="469"/>
      <c r="N38" s="58"/>
      <c r="O38" s="56"/>
      <c r="P38" s="60"/>
      <c r="Q38" s="97">
        <v>200</v>
      </c>
      <c r="R38" s="56" t="s">
        <v>387</v>
      </c>
      <c r="S38" s="100">
        <v>69000</v>
      </c>
      <c r="T38" s="116">
        <f t="shared" si="1"/>
        <v>13800</v>
      </c>
    </row>
    <row r="39" spans="1:20" s="67" customFormat="1" ht="13.5" customHeight="1" x14ac:dyDescent="0.25">
      <c r="A39" s="465"/>
      <c r="B39" s="97" t="s">
        <v>380</v>
      </c>
      <c r="C39" s="97" t="s">
        <v>349</v>
      </c>
      <c r="D39" s="98" t="s">
        <v>158</v>
      </c>
      <c r="E39" s="59" t="s">
        <v>258</v>
      </c>
      <c r="F39" s="97">
        <v>600</v>
      </c>
      <c r="G39" s="69">
        <v>3</v>
      </c>
      <c r="H39" s="465"/>
      <c r="I39" s="69" t="s">
        <v>357</v>
      </c>
      <c r="J39" s="58">
        <v>45306</v>
      </c>
      <c r="K39" s="465"/>
      <c r="L39" s="503"/>
      <c r="M39" s="465"/>
      <c r="N39" s="58"/>
      <c r="O39" s="56"/>
      <c r="P39" s="60"/>
      <c r="Q39" s="97">
        <v>600</v>
      </c>
      <c r="R39" s="56" t="s">
        <v>387</v>
      </c>
      <c r="S39" s="100">
        <v>69000</v>
      </c>
      <c r="T39" s="116">
        <f t="shared" si="1"/>
        <v>41400</v>
      </c>
    </row>
    <row r="40" spans="1:20" s="67" customFormat="1" ht="13.5" customHeight="1" x14ac:dyDescent="0.25">
      <c r="A40" s="69" t="s">
        <v>356</v>
      </c>
      <c r="B40" s="97" t="s">
        <v>354</v>
      </c>
      <c r="C40" s="97" t="s">
        <v>165</v>
      </c>
      <c r="D40" s="98" t="s">
        <v>296</v>
      </c>
      <c r="E40" s="64" t="s">
        <v>351</v>
      </c>
      <c r="F40" s="97">
        <v>10000</v>
      </c>
      <c r="G40" s="69">
        <v>400</v>
      </c>
      <c r="H40" s="69" t="s">
        <v>355</v>
      </c>
      <c r="I40" s="69" t="s">
        <v>357</v>
      </c>
      <c r="J40" s="58">
        <v>45306</v>
      </c>
      <c r="K40" s="108" t="s">
        <v>394</v>
      </c>
      <c r="L40" s="114" t="s">
        <v>395</v>
      </c>
      <c r="M40" s="56" t="s">
        <v>396</v>
      </c>
      <c r="N40" s="58"/>
      <c r="O40" s="56"/>
      <c r="P40" s="97">
        <v>10000</v>
      </c>
      <c r="Q40" s="56"/>
      <c r="R40" s="56" t="s">
        <v>387</v>
      </c>
      <c r="S40" s="100">
        <v>275000</v>
      </c>
      <c r="T40" s="116">
        <f t="shared" ref="T40:T52" si="2" xml:space="preserve"> S40*(F40/1000)</f>
        <v>2750000</v>
      </c>
    </row>
    <row r="41" spans="1:20" s="67" customFormat="1" ht="13.5" customHeight="1" x14ac:dyDescent="0.25">
      <c r="A41" s="174" t="s">
        <v>356</v>
      </c>
      <c r="B41" s="97" t="s">
        <v>403</v>
      </c>
      <c r="C41" s="97" t="s">
        <v>381</v>
      </c>
      <c r="D41" s="98" t="s">
        <v>289</v>
      </c>
      <c r="E41" s="59" t="s">
        <v>374</v>
      </c>
      <c r="F41" s="97">
        <v>20000</v>
      </c>
      <c r="G41" s="69">
        <v>800</v>
      </c>
      <c r="H41" s="69" t="s">
        <v>382</v>
      </c>
      <c r="I41" s="69" t="s">
        <v>357</v>
      </c>
      <c r="J41" s="58">
        <v>45308</v>
      </c>
      <c r="K41" s="105" t="s">
        <v>418</v>
      </c>
      <c r="L41" s="123">
        <v>89129953889</v>
      </c>
      <c r="M41" s="105" t="s">
        <v>417</v>
      </c>
      <c r="N41" s="58"/>
      <c r="O41" s="97">
        <v>20000</v>
      </c>
      <c r="P41" s="60"/>
      <c r="Q41" s="56"/>
      <c r="R41" s="56" t="s">
        <v>387</v>
      </c>
      <c r="S41" s="100">
        <v>40500</v>
      </c>
      <c r="T41" s="116">
        <f t="shared" si="2"/>
        <v>810000</v>
      </c>
    </row>
    <row r="42" spans="1:20" s="67" customFormat="1" ht="13.5" customHeight="1" x14ac:dyDescent="0.25">
      <c r="A42" s="464" t="s">
        <v>224</v>
      </c>
      <c r="B42" s="60" t="s">
        <v>389</v>
      </c>
      <c r="C42" s="60" t="s">
        <v>390</v>
      </c>
      <c r="D42" s="11" t="s">
        <v>338</v>
      </c>
      <c r="E42" s="59" t="s">
        <v>388</v>
      </c>
      <c r="F42" s="60">
        <v>8000</v>
      </c>
      <c r="G42" s="69">
        <v>40</v>
      </c>
      <c r="H42" s="464" t="s">
        <v>391</v>
      </c>
      <c r="I42" s="69" t="s">
        <v>357</v>
      </c>
      <c r="J42" s="58">
        <v>45307</v>
      </c>
      <c r="K42" s="494" t="s">
        <v>412</v>
      </c>
      <c r="L42" s="496">
        <v>89517379560</v>
      </c>
      <c r="M42" s="494" t="s">
        <v>413</v>
      </c>
      <c r="N42" s="58"/>
      <c r="O42" s="56"/>
      <c r="P42" s="56"/>
      <c r="Q42" s="60">
        <v>8000</v>
      </c>
      <c r="R42" s="56" t="s">
        <v>387</v>
      </c>
      <c r="S42" s="100">
        <v>195000</v>
      </c>
      <c r="T42" s="116">
        <f t="shared" si="2"/>
        <v>1560000</v>
      </c>
    </row>
    <row r="43" spans="1:20" s="67" customFormat="1" ht="13.5" customHeight="1" x14ac:dyDescent="0.25">
      <c r="A43" s="465"/>
      <c r="B43" s="60" t="s">
        <v>411</v>
      </c>
      <c r="C43" s="60" t="s">
        <v>390</v>
      </c>
      <c r="D43" s="11" t="s">
        <v>285</v>
      </c>
      <c r="E43" s="59" t="s">
        <v>408</v>
      </c>
      <c r="F43" s="60">
        <v>12000</v>
      </c>
      <c r="G43" s="69">
        <v>480</v>
      </c>
      <c r="H43" s="465"/>
      <c r="I43" s="69" t="s">
        <v>357</v>
      </c>
      <c r="J43" s="58">
        <v>45307</v>
      </c>
      <c r="K43" s="495"/>
      <c r="L43" s="497"/>
      <c r="M43" s="495"/>
      <c r="N43" s="58"/>
      <c r="O43" s="60">
        <v>12000</v>
      </c>
      <c r="P43" s="56"/>
      <c r="Q43" s="56"/>
      <c r="R43" s="56" t="s">
        <v>387</v>
      </c>
      <c r="S43" s="100">
        <v>41000</v>
      </c>
      <c r="T43" s="116">
        <f t="shared" si="2"/>
        <v>492000</v>
      </c>
    </row>
    <row r="44" spans="1:20" s="295" customFormat="1" ht="13.5" customHeight="1" x14ac:dyDescent="0.25">
      <c r="A44" s="309" t="s">
        <v>240</v>
      </c>
      <c r="B44" s="310" t="s">
        <v>410</v>
      </c>
      <c r="C44" s="310" t="s">
        <v>165</v>
      </c>
      <c r="D44" s="311" t="s">
        <v>291</v>
      </c>
      <c r="E44" s="296" t="s">
        <v>409</v>
      </c>
      <c r="F44" s="310">
        <v>15876</v>
      </c>
      <c r="G44" s="13">
        <v>700</v>
      </c>
      <c r="H44" s="13" t="s">
        <v>169</v>
      </c>
      <c r="I44" s="13" t="s">
        <v>357</v>
      </c>
      <c r="J44" s="293">
        <v>45308</v>
      </c>
      <c r="K44" s="308"/>
      <c r="L44" s="312"/>
      <c r="M44" s="308"/>
      <c r="N44" s="293" t="s">
        <v>422</v>
      </c>
      <c r="O44" s="310">
        <v>15876</v>
      </c>
      <c r="P44" s="274"/>
      <c r="Q44" s="294"/>
      <c r="R44" s="294" t="s">
        <v>387</v>
      </c>
      <c r="S44" s="302">
        <v>49500</v>
      </c>
      <c r="T44" s="313">
        <f t="shared" si="2"/>
        <v>785862</v>
      </c>
    </row>
    <row r="45" spans="1:20" s="295" customFormat="1" ht="13.5" customHeight="1" x14ac:dyDescent="0.25">
      <c r="A45" s="309" t="s">
        <v>240</v>
      </c>
      <c r="B45" s="310" t="s">
        <v>410</v>
      </c>
      <c r="C45" s="310" t="s">
        <v>165</v>
      </c>
      <c r="D45" s="311" t="s">
        <v>291</v>
      </c>
      <c r="E45" s="296" t="s">
        <v>388</v>
      </c>
      <c r="F45" s="310">
        <v>15876</v>
      </c>
      <c r="G45" s="13">
        <v>700</v>
      </c>
      <c r="H45" s="13" t="s">
        <v>169</v>
      </c>
      <c r="I45" s="13" t="s">
        <v>357</v>
      </c>
      <c r="J45" s="293">
        <v>45308</v>
      </c>
      <c r="K45" s="308"/>
      <c r="L45" s="312"/>
      <c r="M45" s="308"/>
      <c r="N45" s="293" t="s">
        <v>421</v>
      </c>
      <c r="O45" s="310">
        <v>15876</v>
      </c>
      <c r="P45" s="274"/>
      <c r="Q45" s="294"/>
      <c r="R45" s="294" t="s">
        <v>387</v>
      </c>
      <c r="S45" s="302">
        <v>49500</v>
      </c>
      <c r="T45" s="313">
        <f t="shared" si="2"/>
        <v>785862</v>
      </c>
    </row>
    <row r="46" spans="1:20" s="295" customFormat="1" ht="13.5" customHeight="1" x14ac:dyDescent="0.25">
      <c r="A46" s="309" t="s">
        <v>240</v>
      </c>
      <c r="B46" s="310" t="s">
        <v>345</v>
      </c>
      <c r="C46" s="310" t="s">
        <v>165</v>
      </c>
      <c r="D46" s="311" t="s">
        <v>291</v>
      </c>
      <c r="E46" s="296" t="s">
        <v>368</v>
      </c>
      <c r="F46" s="310">
        <v>15876</v>
      </c>
      <c r="G46" s="13">
        <v>700</v>
      </c>
      <c r="H46" s="13" t="s">
        <v>169</v>
      </c>
      <c r="I46" s="13" t="s">
        <v>357</v>
      </c>
      <c r="J46" s="293">
        <v>45308</v>
      </c>
      <c r="K46" s="308"/>
      <c r="L46" s="312"/>
      <c r="M46" s="308"/>
      <c r="N46" s="293" t="s">
        <v>420</v>
      </c>
      <c r="O46" s="310">
        <v>15876</v>
      </c>
      <c r="P46" s="274"/>
      <c r="Q46" s="294"/>
      <c r="R46" s="294" t="s">
        <v>387</v>
      </c>
      <c r="S46" s="302">
        <v>49500</v>
      </c>
      <c r="T46" s="313">
        <f t="shared" si="2"/>
        <v>785862</v>
      </c>
    </row>
    <row r="47" spans="1:20" s="67" customFormat="1" ht="13.5" customHeight="1" x14ac:dyDescent="0.25">
      <c r="A47" s="174" t="s">
        <v>224</v>
      </c>
      <c r="B47" s="97" t="s">
        <v>443</v>
      </c>
      <c r="C47" s="97" t="s">
        <v>404</v>
      </c>
      <c r="D47" s="98" t="s">
        <v>399</v>
      </c>
      <c r="E47" s="59" t="s">
        <v>405</v>
      </c>
      <c r="F47" s="97">
        <v>16720</v>
      </c>
      <c r="G47" s="69">
        <v>88</v>
      </c>
      <c r="H47" s="69" t="s">
        <v>406</v>
      </c>
      <c r="I47" s="69" t="s">
        <v>357</v>
      </c>
      <c r="J47" s="58">
        <v>45313</v>
      </c>
      <c r="K47" s="105" t="s">
        <v>426</v>
      </c>
      <c r="L47" s="123" t="s">
        <v>427</v>
      </c>
      <c r="M47" s="105" t="s">
        <v>425</v>
      </c>
      <c r="N47" s="58"/>
      <c r="O47" s="56"/>
      <c r="P47" s="60"/>
      <c r="Q47" s="97">
        <v>16720</v>
      </c>
      <c r="R47" s="56" t="s">
        <v>387</v>
      </c>
      <c r="S47" s="100">
        <v>235000</v>
      </c>
      <c r="T47" s="116">
        <f t="shared" si="2"/>
        <v>3929199.9999999995</v>
      </c>
    </row>
    <row r="48" spans="1:20" s="67" customFormat="1" ht="13.5" customHeight="1" x14ac:dyDescent="0.25">
      <c r="A48" s="69" t="s">
        <v>224</v>
      </c>
      <c r="B48" s="60" t="s">
        <v>433</v>
      </c>
      <c r="C48" s="60" t="s">
        <v>168</v>
      </c>
      <c r="D48" s="11" t="s">
        <v>207</v>
      </c>
      <c r="E48" s="59" t="s">
        <v>430</v>
      </c>
      <c r="F48" s="60">
        <v>8280</v>
      </c>
      <c r="G48" s="69">
        <v>46</v>
      </c>
      <c r="H48" s="69" t="s">
        <v>169</v>
      </c>
      <c r="I48" s="69" t="s">
        <v>357</v>
      </c>
      <c r="J48" s="58">
        <v>45314</v>
      </c>
      <c r="K48" s="108" t="s">
        <v>441</v>
      </c>
      <c r="L48" s="118" t="s">
        <v>440</v>
      </c>
      <c r="M48" s="66" t="s">
        <v>439</v>
      </c>
      <c r="N48" s="107"/>
      <c r="O48" s="56"/>
      <c r="P48" s="56"/>
      <c r="Q48" s="60">
        <v>8280</v>
      </c>
      <c r="R48" s="56" t="s">
        <v>387</v>
      </c>
      <c r="S48" s="100">
        <v>359000</v>
      </c>
      <c r="T48" s="116">
        <f t="shared" si="2"/>
        <v>2972520</v>
      </c>
    </row>
    <row r="49" spans="1:20" s="67" customFormat="1" ht="13.5" customHeight="1" x14ac:dyDescent="0.25">
      <c r="A49" s="69" t="s">
        <v>224</v>
      </c>
      <c r="B49" s="60" t="s">
        <v>433</v>
      </c>
      <c r="C49" s="60" t="s">
        <v>168</v>
      </c>
      <c r="D49" s="11" t="s">
        <v>207</v>
      </c>
      <c r="E49" s="59" t="s">
        <v>432</v>
      </c>
      <c r="F49" s="60">
        <v>7560</v>
      </c>
      <c r="G49" s="69">
        <v>42</v>
      </c>
      <c r="H49" s="69" t="s">
        <v>169</v>
      </c>
      <c r="I49" s="69" t="s">
        <v>357</v>
      </c>
      <c r="J49" s="58">
        <v>45314</v>
      </c>
      <c r="K49" s="108" t="s">
        <v>442</v>
      </c>
      <c r="L49" s="118" t="s">
        <v>440</v>
      </c>
      <c r="M49" s="66" t="s">
        <v>439</v>
      </c>
      <c r="N49" s="107"/>
      <c r="O49" s="56"/>
      <c r="P49" s="56"/>
      <c r="Q49" s="60">
        <v>7560</v>
      </c>
      <c r="R49" s="56" t="s">
        <v>387</v>
      </c>
      <c r="S49" s="100">
        <v>359000</v>
      </c>
      <c r="T49" s="116">
        <f t="shared" si="2"/>
        <v>2714040</v>
      </c>
    </row>
    <row r="50" spans="1:20" s="67" customFormat="1" ht="13.5" customHeight="1" x14ac:dyDescent="0.25">
      <c r="A50" s="464" t="s">
        <v>353</v>
      </c>
      <c r="B50" s="97" t="s">
        <v>360</v>
      </c>
      <c r="C50" s="97" t="s">
        <v>165</v>
      </c>
      <c r="D50" s="98" t="s">
        <v>206</v>
      </c>
      <c r="E50" s="59" t="s">
        <v>376</v>
      </c>
      <c r="F50" s="97">
        <v>7770</v>
      </c>
      <c r="G50" s="69">
        <v>42</v>
      </c>
      <c r="H50" s="464" t="s">
        <v>172</v>
      </c>
      <c r="I50" s="69" t="s">
        <v>357</v>
      </c>
      <c r="J50" s="58">
        <v>45310</v>
      </c>
      <c r="K50" s="105"/>
      <c r="L50" s="123"/>
      <c r="M50" s="105"/>
      <c r="N50" s="169" t="s">
        <v>428</v>
      </c>
      <c r="O50" s="56"/>
      <c r="P50" s="60"/>
      <c r="Q50" s="97">
        <v>7770</v>
      </c>
      <c r="R50" s="56" t="s">
        <v>387</v>
      </c>
      <c r="S50" s="100">
        <v>110800</v>
      </c>
      <c r="T50" s="116">
        <f t="shared" si="2"/>
        <v>860916</v>
      </c>
    </row>
    <row r="51" spans="1:20" s="67" customFormat="1" ht="13.5" customHeight="1" x14ac:dyDescent="0.25">
      <c r="A51" s="465"/>
      <c r="B51" s="97" t="s">
        <v>360</v>
      </c>
      <c r="C51" s="97" t="s">
        <v>165</v>
      </c>
      <c r="D51" s="98" t="s">
        <v>206</v>
      </c>
      <c r="E51" s="59" t="s">
        <v>379</v>
      </c>
      <c r="F51" s="97">
        <v>7030</v>
      </c>
      <c r="G51" s="69">
        <v>38</v>
      </c>
      <c r="H51" s="465"/>
      <c r="I51" s="69" t="s">
        <v>357</v>
      </c>
      <c r="J51" s="58">
        <v>45310</v>
      </c>
      <c r="K51" s="105"/>
      <c r="L51" s="123"/>
      <c r="M51" s="105"/>
      <c r="N51" s="169" t="s">
        <v>428</v>
      </c>
      <c r="O51" s="56"/>
      <c r="P51" s="60"/>
      <c r="Q51" s="97">
        <v>7030</v>
      </c>
      <c r="R51" s="56" t="s">
        <v>387</v>
      </c>
      <c r="S51" s="100">
        <v>110800</v>
      </c>
      <c r="T51" s="116">
        <f t="shared" si="2"/>
        <v>778924</v>
      </c>
    </row>
    <row r="52" spans="1:20" s="67" customFormat="1" ht="13.5" customHeight="1" x14ac:dyDescent="0.25">
      <c r="A52" s="69" t="s">
        <v>353</v>
      </c>
      <c r="B52" s="97" t="s">
        <v>226</v>
      </c>
      <c r="C52" s="97" t="s">
        <v>165</v>
      </c>
      <c r="D52" s="98" t="s">
        <v>296</v>
      </c>
      <c r="E52" s="64" t="s">
        <v>228</v>
      </c>
      <c r="F52" s="97">
        <v>9750</v>
      </c>
      <c r="G52" s="69">
        <v>390</v>
      </c>
      <c r="H52" s="69" t="s">
        <v>172</v>
      </c>
      <c r="I52" s="69" t="s">
        <v>357</v>
      </c>
      <c r="J52" s="58">
        <v>45310</v>
      </c>
      <c r="K52" s="69"/>
      <c r="L52" s="114"/>
      <c r="M52" s="56"/>
      <c r="N52" s="168" t="s">
        <v>429</v>
      </c>
      <c r="O52" s="97"/>
      <c r="P52" s="97">
        <v>9750</v>
      </c>
      <c r="Q52" s="56"/>
      <c r="R52" s="56" t="s">
        <v>387</v>
      </c>
      <c r="S52" s="100">
        <v>275000</v>
      </c>
      <c r="T52" s="116">
        <f t="shared" si="2"/>
        <v>2681250</v>
      </c>
    </row>
    <row r="53" spans="1:20" s="67" customFormat="1" ht="13.5" customHeight="1" x14ac:dyDescent="0.25">
      <c r="A53" s="69" t="s">
        <v>240</v>
      </c>
      <c r="B53" s="97" t="s">
        <v>226</v>
      </c>
      <c r="C53" s="97" t="s">
        <v>165</v>
      </c>
      <c r="D53" s="98" t="s">
        <v>296</v>
      </c>
      <c r="E53" s="64" t="s">
        <v>228</v>
      </c>
      <c r="F53" s="97">
        <v>250</v>
      </c>
      <c r="G53" s="69">
        <v>10</v>
      </c>
      <c r="H53" s="69" t="s">
        <v>172</v>
      </c>
      <c r="I53" s="69" t="s">
        <v>357</v>
      </c>
      <c r="J53" s="58">
        <v>45310</v>
      </c>
      <c r="K53" s="69"/>
      <c r="L53" s="114"/>
      <c r="M53" s="56"/>
      <c r="N53" s="168" t="s">
        <v>429</v>
      </c>
      <c r="O53" s="97"/>
      <c r="P53" s="97">
        <v>250</v>
      </c>
      <c r="Q53" s="56"/>
      <c r="R53" s="56" t="s">
        <v>387</v>
      </c>
      <c r="S53" s="100">
        <v>275000</v>
      </c>
      <c r="T53" s="116">
        <f t="shared" ref="T53:T62" si="3" xml:space="preserve"> S53*(F53/1000)</f>
        <v>68750</v>
      </c>
    </row>
    <row r="54" spans="1:20" s="67" customFormat="1" ht="13.5" customHeight="1" x14ac:dyDescent="0.25">
      <c r="A54" s="69" t="s">
        <v>240</v>
      </c>
      <c r="B54" s="97" t="s">
        <v>225</v>
      </c>
      <c r="C54" s="97" t="s">
        <v>165</v>
      </c>
      <c r="D54" s="98" t="s">
        <v>296</v>
      </c>
      <c r="E54" s="64" t="s">
        <v>227</v>
      </c>
      <c r="F54" s="97">
        <v>500</v>
      </c>
      <c r="G54" s="69">
        <v>20</v>
      </c>
      <c r="H54" s="69" t="s">
        <v>172</v>
      </c>
      <c r="I54" s="69" t="s">
        <v>357</v>
      </c>
      <c r="J54" s="58">
        <v>45310</v>
      </c>
      <c r="K54" s="69"/>
      <c r="L54" s="114"/>
      <c r="M54" s="56"/>
      <c r="N54" s="168" t="s">
        <v>429</v>
      </c>
      <c r="O54" s="97"/>
      <c r="P54" s="97">
        <v>500</v>
      </c>
      <c r="Q54" s="56"/>
      <c r="R54" s="56" t="s">
        <v>387</v>
      </c>
      <c r="S54" s="100">
        <v>275000</v>
      </c>
      <c r="T54" s="116">
        <f t="shared" si="3"/>
        <v>137500</v>
      </c>
    </row>
    <row r="55" spans="1:20" s="67" customFormat="1" ht="13.5" customHeight="1" x14ac:dyDescent="0.25">
      <c r="A55" s="69" t="s">
        <v>353</v>
      </c>
      <c r="B55" s="97" t="s">
        <v>360</v>
      </c>
      <c r="C55" s="97" t="s">
        <v>165</v>
      </c>
      <c r="D55" s="98" t="s">
        <v>296</v>
      </c>
      <c r="E55" s="64" t="s">
        <v>361</v>
      </c>
      <c r="F55" s="97">
        <v>4500</v>
      </c>
      <c r="G55" s="69">
        <v>180</v>
      </c>
      <c r="H55" s="69" t="s">
        <v>172</v>
      </c>
      <c r="I55" s="69" t="s">
        <v>357</v>
      </c>
      <c r="J55" s="58">
        <v>45310</v>
      </c>
      <c r="K55" s="69"/>
      <c r="L55" s="114"/>
      <c r="M55" s="56"/>
      <c r="N55" s="168" t="s">
        <v>429</v>
      </c>
      <c r="O55" s="97"/>
      <c r="P55" s="97">
        <v>4500</v>
      </c>
      <c r="Q55" s="56"/>
      <c r="R55" s="56" t="s">
        <v>387</v>
      </c>
      <c r="S55" s="100">
        <v>275000</v>
      </c>
      <c r="T55" s="116">
        <f t="shared" si="3"/>
        <v>1237500</v>
      </c>
    </row>
    <row r="56" spans="1:20" s="67" customFormat="1" ht="13.5" customHeight="1" x14ac:dyDescent="0.25">
      <c r="A56" s="174" t="s">
        <v>224</v>
      </c>
      <c r="B56" s="97" t="s">
        <v>348</v>
      </c>
      <c r="C56" s="97" t="s">
        <v>349</v>
      </c>
      <c r="D56" s="98" t="s">
        <v>279</v>
      </c>
      <c r="E56" s="59" t="s">
        <v>351</v>
      </c>
      <c r="F56" s="97">
        <v>20000</v>
      </c>
      <c r="G56" s="69">
        <v>800</v>
      </c>
      <c r="H56" s="69" t="s">
        <v>352</v>
      </c>
      <c r="I56" s="69" t="s">
        <v>357</v>
      </c>
      <c r="J56" s="58">
        <v>45315</v>
      </c>
      <c r="K56" s="105" t="s">
        <v>452</v>
      </c>
      <c r="L56" s="123" t="s">
        <v>453</v>
      </c>
      <c r="M56" s="105" t="s">
        <v>451</v>
      </c>
      <c r="N56" s="58"/>
      <c r="O56" s="97">
        <v>20000</v>
      </c>
      <c r="P56" s="60"/>
      <c r="Q56" s="56"/>
      <c r="R56" s="56" t="s">
        <v>387</v>
      </c>
      <c r="S56" s="100">
        <v>45000</v>
      </c>
      <c r="T56" s="116">
        <f t="shared" si="3"/>
        <v>900000</v>
      </c>
    </row>
    <row r="57" spans="1:20" s="67" customFormat="1" ht="13.5" customHeight="1" x14ac:dyDescent="0.25">
      <c r="A57" s="174" t="s">
        <v>356</v>
      </c>
      <c r="B57" s="97" t="s">
        <v>380</v>
      </c>
      <c r="C57" s="97" t="s">
        <v>381</v>
      </c>
      <c r="D57" s="98" t="s">
        <v>285</v>
      </c>
      <c r="E57" s="59" t="s">
        <v>423</v>
      </c>
      <c r="F57" s="97">
        <v>20000</v>
      </c>
      <c r="G57" s="69">
        <v>800</v>
      </c>
      <c r="H57" s="69" t="s">
        <v>424</v>
      </c>
      <c r="I57" s="69" t="s">
        <v>357</v>
      </c>
      <c r="J57" s="58">
        <v>45317</v>
      </c>
      <c r="K57" s="105" t="s">
        <v>479</v>
      </c>
      <c r="L57" s="105" t="s">
        <v>478</v>
      </c>
      <c r="M57" s="105" t="s">
        <v>477</v>
      </c>
      <c r="N57" s="58"/>
      <c r="O57" s="97">
        <v>20000</v>
      </c>
      <c r="P57" s="60"/>
      <c r="Q57" s="56"/>
      <c r="R57" s="56" t="s">
        <v>387</v>
      </c>
      <c r="S57" s="100">
        <v>40500</v>
      </c>
      <c r="T57" s="116">
        <f t="shared" si="3"/>
        <v>810000</v>
      </c>
    </row>
    <row r="58" spans="1:20" s="67" customFormat="1" ht="13.5" customHeight="1" x14ac:dyDescent="0.25">
      <c r="A58" s="69" t="s">
        <v>224</v>
      </c>
      <c r="B58" s="60" t="s">
        <v>435</v>
      </c>
      <c r="C58" s="60" t="s">
        <v>436</v>
      </c>
      <c r="D58" s="11" t="s">
        <v>331</v>
      </c>
      <c r="E58" s="59" t="s">
        <v>434</v>
      </c>
      <c r="F58" s="60">
        <v>8000</v>
      </c>
      <c r="G58" s="69">
        <v>40</v>
      </c>
      <c r="H58" s="69" t="s">
        <v>438</v>
      </c>
      <c r="I58" s="69" t="s">
        <v>357</v>
      </c>
      <c r="J58" s="58">
        <v>45317</v>
      </c>
      <c r="K58" s="108" t="s">
        <v>462</v>
      </c>
      <c r="L58" s="114" t="s">
        <v>458</v>
      </c>
      <c r="M58" s="56" t="s">
        <v>450</v>
      </c>
      <c r="N58" s="107"/>
      <c r="O58" s="56"/>
      <c r="P58" s="56"/>
      <c r="Q58" s="60">
        <v>8000</v>
      </c>
      <c r="R58" s="56" t="s">
        <v>387</v>
      </c>
      <c r="S58" s="100">
        <v>369000</v>
      </c>
      <c r="T58" s="116">
        <f t="shared" si="3"/>
        <v>2952000</v>
      </c>
    </row>
    <row r="59" spans="1:20" s="67" customFormat="1" ht="13.5" customHeight="1" x14ac:dyDescent="0.25">
      <c r="A59" s="69" t="s">
        <v>224</v>
      </c>
      <c r="B59" s="60" t="s">
        <v>435</v>
      </c>
      <c r="C59" s="60" t="s">
        <v>436</v>
      </c>
      <c r="D59" s="11" t="s">
        <v>331</v>
      </c>
      <c r="E59" s="59" t="s">
        <v>432</v>
      </c>
      <c r="F59" s="60">
        <v>8000</v>
      </c>
      <c r="G59" s="69">
        <v>40</v>
      </c>
      <c r="H59" s="69" t="s">
        <v>438</v>
      </c>
      <c r="I59" s="69" t="s">
        <v>357</v>
      </c>
      <c r="J59" s="58">
        <v>45317</v>
      </c>
      <c r="K59" s="108"/>
      <c r="L59" s="114"/>
      <c r="M59" s="56"/>
      <c r="N59" s="107"/>
      <c r="O59" s="56"/>
      <c r="P59" s="56"/>
      <c r="Q59" s="60">
        <v>8000</v>
      </c>
      <c r="R59" s="56" t="s">
        <v>387</v>
      </c>
      <c r="S59" s="100">
        <v>369000</v>
      </c>
      <c r="T59" s="116">
        <f t="shared" si="3"/>
        <v>2952000</v>
      </c>
    </row>
    <row r="60" spans="1:20" s="67" customFormat="1" ht="13.5" customHeight="1" x14ac:dyDescent="0.25">
      <c r="A60" s="69" t="s">
        <v>224</v>
      </c>
      <c r="B60" s="60" t="s">
        <v>435</v>
      </c>
      <c r="C60" s="60" t="s">
        <v>436</v>
      </c>
      <c r="D60" s="11" t="s">
        <v>331</v>
      </c>
      <c r="E60" s="59" t="s">
        <v>437</v>
      </c>
      <c r="F60" s="60">
        <v>800</v>
      </c>
      <c r="G60" s="69">
        <v>4</v>
      </c>
      <c r="H60" s="69" t="s">
        <v>438</v>
      </c>
      <c r="I60" s="69" t="s">
        <v>357</v>
      </c>
      <c r="J60" s="58">
        <v>45317</v>
      </c>
      <c r="K60" s="108"/>
      <c r="L60" s="114"/>
      <c r="M60" s="56"/>
      <c r="N60" s="107"/>
      <c r="O60" s="56"/>
      <c r="P60" s="56"/>
      <c r="Q60" s="60">
        <v>800</v>
      </c>
      <c r="R60" s="56" t="s">
        <v>387</v>
      </c>
      <c r="S60" s="100">
        <v>369000</v>
      </c>
      <c r="T60" s="116">
        <f t="shared" si="3"/>
        <v>295200</v>
      </c>
    </row>
    <row r="61" spans="1:20" s="67" customFormat="1" ht="13.5" customHeight="1" x14ac:dyDescent="0.25">
      <c r="A61" s="464" t="s">
        <v>230</v>
      </c>
      <c r="B61" s="60" t="s">
        <v>435</v>
      </c>
      <c r="C61" s="60" t="s">
        <v>436</v>
      </c>
      <c r="D61" s="11" t="s">
        <v>331</v>
      </c>
      <c r="E61" s="59" t="s">
        <v>434</v>
      </c>
      <c r="F61" s="60">
        <v>600</v>
      </c>
      <c r="G61" s="69">
        <v>3</v>
      </c>
      <c r="H61" s="69" t="s">
        <v>438</v>
      </c>
      <c r="I61" s="69" t="s">
        <v>357</v>
      </c>
      <c r="J61" s="58">
        <v>45317</v>
      </c>
      <c r="K61" s="108"/>
      <c r="L61" s="114"/>
      <c r="M61" s="56"/>
      <c r="N61" s="107"/>
      <c r="O61" s="56"/>
      <c r="P61" s="56"/>
      <c r="Q61" s="60">
        <v>600</v>
      </c>
      <c r="R61" s="56" t="s">
        <v>387</v>
      </c>
      <c r="S61" s="100">
        <v>369000</v>
      </c>
      <c r="T61" s="116">
        <f t="shared" si="3"/>
        <v>221400</v>
      </c>
    </row>
    <row r="62" spans="1:20" s="67" customFormat="1" ht="13.5" customHeight="1" x14ac:dyDescent="0.25">
      <c r="A62" s="465"/>
      <c r="B62" s="60" t="s">
        <v>435</v>
      </c>
      <c r="C62" s="60" t="s">
        <v>436</v>
      </c>
      <c r="D62" s="11" t="s">
        <v>331</v>
      </c>
      <c r="E62" s="59" t="s">
        <v>432</v>
      </c>
      <c r="F62" s="60">
        <v>200</v>
      </c>
      <c r="G62" s="69">
        <v>1</v>
      </c>
      <c r="H62" s="69" t="s">
        <v>438</v>
      </c>
      <c r="I62" s="69" t="s">
        <v>357</v>
      </c>
      <c r="J62" s="58">
        <v>45317</v>
      </c>
      <c r="K62" s="108"/>
      <c r="L62" s="114"/>
      <c r="M62" s="56"/>
      <c r="N62" s="107"/>
      <c r="O62" s="56"/>
      <c r="P62" s="56"/>
      <c r="Q62" s="60">
        <v>200</v>
      </c>
      <c r="R62" s="56" t="s">
        <v>387</v>
      </c>
      <c r="S62" s="100">
        <v>369000</v>
      </c>
      <c r="T62" s="116">
        <f t="shared" si="3"/>
        <v>73800</v>
      </c>
    </row>
    <row r="63" spans="1:20" s="67" customFormat="1" ht="13.5" customHeight="1" x14ac:dyDescent="0.25">
      <c r="A63" s="69" t="s">
        <v>224</v>
      </c>
      <c r="B63" s="60" t="s">
        <v>460</v>
      </c>
      <c r="C63" s="60" t="s">
        <v>457</v>
      </c>
      <c r="D63" s="11" t="s">
        <v>173</v>
      </c>
      <c r="E63" s="59" t="s">
        <v>220</v>
      </c>
      <c r="F63" s="60">
        <v>2400</v>
      </c>
      <c r="G63" s="69">
        <v>12</v>
      </c>
      <c r="H63" s="69" t="s">
        <v>391</v>
      </c>
      <c r="I63" s="69" t="s">
        <v>357</v>
      </c>
      <c r="J63" s="58">
        <v>45317</v>
      </c>
      <c r="K63" s="108" t="s">
        <v>472</v>
      </c>
      <c r="L63" s="117">
        <v>89212974613</v>
      </c>
      <c r="M63" s="66" t="s">
        <v>473</v>
      </c>
      <c r="N63" s="107"/>
      <c r="O63" s="56"/>
      <c r="P63" s="56"/>
      <c r="Q63" s="60">
        <v>2400</v>
      </c>
      <c r="R63" s="56" t="s">
        <v>387</v>
      </c>
      <c r="S63" s="156">
        <v>90000</v>
      </c>
      <c r="T63" s="65">
        <f t="shared" ref="T63:T71" si="4" xml:space="preserve"> S63*(F63/1000)</f>
        <v>216000</v>
      </c>
    </row>
    <row r="64" spans="1:20" s="67" customFormat="1" ht="13.5" customHeight="1" x14ac:dyDescent="0.25">
      <c r="A64" s="69" t="s">
        <v>224</v>
      </c>
      <c r="B64" s="60" t="s">
        <v>460</v>
      </c>
      <c r="C64" s="60" t="s">
        <v>457</v>
      </c>
      <c r="D64" s="11" t="s">
        <v>173</v>
      </c>
      <c r="E64" s="59" t="s">
        <v>234</v>
      </c>
      <c r="F64" s="60">
        <v>8000</v>
      </c>
      <c r="G64" s="69">
        <v>40</v>
      </c>
      <c r="H64" s="69" t="s">
        <v>391</v>
      </c>
      <c r="I64" s="69" t="s">
        <v>357</v>
      </c>
      <c r="J64" s="58">
        <v>45317</v>
      </c>
      <c r="K64" s="108"/>
      <c r="L64" s="117"/>
      <c r="M64" s="66"/>
      <c r="N64" s="107"/>
      <c r="O64" s="56"/>
      <c r="P64" s="56"/>
      <c r="Q64" s="60">
        <v>8000</v>
      </c>
      <c r="R64" s="56" t="s">
        <v>387</v>
      </c>
      <c r="S64" s="156">
        <v>90000</v>
      </c>
      <c r="T64" s="65">
        <f t="shared" si="4"/>
        <v>720000</v>
      </c>
    </row>
    <row r="65" spans="1:20" s="67" customFormat="1" ht="13.5" customHeight="1" x14ac:dyDescent="0.25">
      <c r="A65" s="69" t="s">
        <v>224</v>
      </c>
      <c r="B65" s="60" t="s">
        <v>460</v>
      </c>
      <c r="C65" s="60" t="s">
        <v>457</v>
      </c>
      <c r="D65" s="11" t="s">
        <v>173</v>
      </c>
      <c r="E65" s="59" t="s">
        <v>236</v>
      </c>
      <c r="F65" s="60">
        <v>4800</v>
      </c>
      <c r="G65" s="69">
        <v>24</v>
      </c>
      <c r="H65" s="69" t="s">
        <v>391</v>
      </c>
      <c r="I65" s="69" t="s">
        <v>357</v>
      </c>
      <c r="J65" s="58">
        <v>45317</v>
      </c>
      <c r="K65" s="108"/>
      <c r="L65" s="117"/>
      <c r="M65" s="66"/>
      <c r="N65" s="107"/>
      <c r="O65" s="56"/>
      <c r="P65" s="56"/>
      <c r="Q65" s="60">
        <v>4800</v>
      </c>
      <c r="R65" s="56" t="s">
        <v>387</v>
      </c>
      <c r="S65" s="156">
        <v>90000</v>
      </c>
      <c r="T65" s="65">
        <f t="shared" si="4"/>
        <v>432000</v>
      </c>
    </row>
    <row r="66" spans="1:20" s="67" customFormat="1" ht="13.5" customHeight="1" x14ac:dyDescent="0.25">
      <c r="A66" s="464" t="s">
        <v>230</v>
      </c>
      <c r="B66" s="97" t="s">
        <v>460</v>
      </c>
      <c r="C66" s="60" t="s">
        <v>457</v>
      </c>
      <c r="D66" s="11" t="s">
        <v>173</v>
      </c>
      <c r="E66" s="64" t="s">
        <v>236</v>
      </c>
      <c r="F66" s="97">
        <v>400</v>
      </c>
      <c r="G66" s="69">
        <v>2</v>
      </c>
      <c r="H66" s="69" t="s">
        <v>391</v>
      </c>
      <c r="I66" s="69" t="s">
        <v>357</v>
      </c>
      <c r="J66" s="58">
        <v>45317</v>
      </c>
      <c r="K66" s="69"/>
      <c r="L66" s="114"/>
      <c r="M66" s="56"/>
      <c r="N66" s="58"/>
      <c r="O66" s="56"/>
      <c r="P66" s="60"/>
      <c r="Q66" s="97">
        <v>400</v>
      </c>
      <c r="R66" s="56" t="s">
        <v>387</v>
      </c>
      <c r="S66" s="156">
        <v>90000</v>
      </c>
      <c r="T66" s="65">
        <f t="shared" si="4"/>
        <v>36000</v>
      </c>
    </row>
    <row r="67" spans="1:20" s="67" customFormat="1" ht="13.5" customHeight="1" x14ac:dyDescent="0.25">
      <c r="A67" s="465"/>
      <c r="B67" s="97" t="s">
        <v>460</v>
      </c>
      <c r="C67" s="60" t="s">
        <v>457</v>
      </c>
      <c r="D67" s="11" t="s">
        <v>173</v>
      </c>
      <c r="E67" s="64" t="s">
        <v>234</v>
      </c>
      <c r="F67" s="97">
        <v>400</v>
      </c>
      <c r="G67" s="69">
        <v>2</v>
      </c>
      <c r="H67" s="69" t="s">
        <v>391</v>
      </c>
      <c r="I67" s="69" t="s">
        <v>357</v>
      </c>
      <c r="J67" s="58">
        <v>45317</v>
      </c>
      <c r="K67" s="69"/>
      <c r="L67" s="114"/>
      <c r="M67" s="56"/>
      <c r="N67" s="58"/>
      <c r="O67" s="56"/>
      <c r="P67" s="60"/>
      <c r="Q67" s="97">
        <v>400</v>
      </c>
      <c r="R67" s="56" t="s">
        <v>387</v>
      </c>
      <c r="S67" s="156">
        <v>90000</v>
      </c>
      <c r="T67" s="65">
        <f t="shared" si="4"/>
        <v>36000</v>
      </c>
    </row>
    <row r="68" spans="1:20" s="67" customFormat="1" ht="13.5" customHeight="1" x14ac:dyDescent="0.25">
      <c r="A68" s="464" t="s">
        <v>230</v>
      </c>
      <c r="B68" s="97" t="s">
        <v>460</v>
      </c>
      <c r="C68" s="60" t="s">
        <v>457</v>
      </c>
      <c r="D68" s="11" t="s">
        <v>173</v>
      </c>
      <c r="E68" s="64" t="s">
        <v>233</v>
      </c>
      <c r="F68" s="97">
        <v>200</v>
      </c>
      <c r="G68" s="69">
        <v>1</v>
      </c>
      <c r="H68" s="69" t="s">
        <v>391</v>
      </c>
      <c r="I68" s="69" t="s">
        <v>357</v>
      </c>
      <c r="J68" s="58">
        <v>45317</v>
      </c>
      <c r="K68" s="69"/>
      <c r="L68" s="114"/>
      <c r="M68" s="56"/>
      <c r="N68" s="58"/>
      <c r="O68" s="56"/>
      <c r="P68" s="60"/>
      <c r="Q68" s="97">
        <v>200</v>
      </c>
      <c r="R68" s="56" t="s">
        <v>387</v>
      </c>
      <c r="S68" s="156">
        <v>90000</v>
      </c>
      <c r="T68" s="65">
        <f t="shared" si="4"/>
        <v>18000</v>
      </c>
    </row>
    <row r="69" spans="1:20" s="67" customFormat="1" ht="13.5" customHeight="1" x14ac:dyDescent="0.25">
      <c r="A69" s="465"/>
      <c r="B69" s="97" t="s">
        <v>460</v>
      </c>
      <c r="C69" s="60" t="s">
        <v>457</v>
      </c>
      <c r="D69" s="11" t="s">
        <v>173</v>
      </c>
      <c r="E69" s="64" t="s">
        <v>236</v>
      </c>
      <c r="F69" s="97">
        <v>600</v>
      </c>
      <c r="G69" s="69">
        <v>3</v>
      </c>
      <c r="H69" s="69" t="s">
        <v>391</v>
      </c>
      <c r="I69" s="69" t="s">
        <v>357</v>
      </c>
      <c r="J69" s="58">
        <v>45317</v>
      </c>
      <c r="K69" s="69"/>
      <c r="L69" s="114"/>
      <c r="M69" s="56"/>
      <c r="N69" s="58"/>
      <c r="O69" s="56"/>
      <c r="P69" s="60"/>
      <c r="Q69" s="97">
        <v>600</v>
      </c>
      <c r="R69" s="56" t="s">
        <v>387</v>
      </c>
      <c r="S69" s="156">
        <v>90000</v>
      </c>
      <c r="T69" s="65">
        <f t="shared" si="4"/>
        <v>54000</v>
      </c>
    </row>
    <row r="70" spans="1:20" s="67" customFormat="1" ht="13.5" customHeight="1" x14ac:dyDescent="0.25">
      <c r="A70" s="464" t="s">
        <v>230</v>
      </c>
      <c r="B70" s="97" t="s">
        <v>460</v>
      </c>
      <c r="C70" s="60" t="s">
        <v>457</v>
      </c>
      <c r="D70" s="11" t="s">
        <v>173</v>
      </c>
      <c r="E70" s="64" t="s">
        <v>253</v>
      </c>
      <c r="F70" s="97">
        <v>200</v>
      </c>
      <c r="G70" s="69">
        <v>1</v>
      </c>
      <c r="H70" s="69" t="s">
        <v>391</v>
      </c>
      <c r="I70" s="69" t="s">
        <v>357</v>
      </c>
      <c r="J70" s="58">
        <v>45317</v>
      </c>
      <c r="K70" s="19"/>
      <c r="L70" s="114"/>
      <c r="M70" s="56"/>
      <c r="N70" s="58"/>
      <c r="O70" s="56"/>
      <c r="P70" s="60"/>
      <c r="Q70" s="97">
        <v>200</v>
      </c>
      <c r="R70" s="56" t="s">
        <v>387</v>
      </c>
      <c r="S70" s="156">
        <v>90000</v>
      </c>
      <c r="T70" s="65">
        <f t="shared" si="4"/>
        <v>18000</v>
      </c>
    </row>
    <row r="71" spans="1:20" s="67" customFormat="1" ht="13.5" customHeight="1" x14ac:dyDescent="0.25">
      <c r="A71" s="465"/>
      <c r="B71" s="97" t="s">
        <v>460</v>
      </c>
      <c r="C71" s="60" t="s">
        <v>457</v>
      </c>
      <c r="D71" s="11" t="s">
        <v>173</v>
      </c>
      <c r="E71" s="64" t="s">
        <v>255</v>
      </c>
      <c r="F71" s="97">
        <v>600</v>
      </c>
      <c r="G71" s="69">
        <v>3</v>
      </c>
      <c r="H71" s="69" t="s">
        <v>391</v>
      </c>
      <c r="I71" s="69" t="s">
        <v>357</v>
      </c>
      <c r="J71" s="58">
        <v>45317</v>
      </c>
      <c r="K71" s="69"/>
      <c r="L71" s="114"/>
      <c r="M71" s="56"/>
      <c r="N71" s="58"/>
      <c r="O71" s="56"/>
      <c r="P71" s="60"/>
      <c r="Q71" s="97">
        <v>600</v>
      </c>
      <c r="R71" s="56" t="s">
        <v>387</v>
      </c>
      <c r="S71" s="156">
        <v>90000</v>
      </c>
      <c r="T71" s="65">
        <f t="shared" si="4"/>
        <v>54000</v>
      </c>
    </row>
    <row r="72" spans="1:20" s="67" customFormat="1" ht="13.5" customHeight="1" x14ac:dyDescent="0.25">
      <c r="A72" s="69" t="s">
        <v>224</v>
      </c>
      <c r="B72" s="60" t="s">
        <v>433</v>
      </c>
      <c r="C72" s="60" t="s">
        <v>168</v>
      </c>
      <c r="D72" s="11" t="s">
        <v>207</v>
      </c>
      <c r="E72" s="59" t="s">
        <v>267</v>
      </c>
      <c r="F72" s="60">
        <v>1440</v>
      </c>
      <c r="G72" s="69">
        <v>8</v>
      </c>
      <c r="H72" s="69" t="s">
        <v>169</v>
      </c>
      <c r="I72" s="69" t="s">
        <v>357</v>
      </c>
      <c r="J72" s="58">
        <v>45320</v>
      </c>
      <c r="K72" s="108" t="s">
        <v>481</v>
      </c>
      <c r="L72" s="118" t="s">
        <v>482</v>
      </c>
      <c r="M72" s="66" t="s">
        <v>480</v>
      </c>
      <c r="N72" s="107"/>
      <c r="O72" s="56"/>
      <c r="P72" s="56"/>
      <c r="Q72" s="60">
        <v>1440</v>
      </c>
      <c r="R72" s="56" t="s">
        <v>387</v>
      </c>
      <c r="S72" s="100">
        <v>359000</v>
      </c>
      <c r="T72" s="116">
        <f t="shared" ref="T72:T78" si="5" xml:space="preserve"> S72*(F72/1000)</f>
        <v>516960</v>
      </c>
    </row>
    <row r="73" spans="1:20" s="67" customFormat="1" ht="13.5" customHeight="1" x14ac:dyDescent="0.25">
      <c r="A73" s="464" t="s">
        <v>230</v>
      </c>
      <c r="B73" s="60" t="s">
        <v>433</v>
      </c>
      <c r="C73" s="60" t="s">
        <v>168</v>
      </c>
      <c r="D73" s="11" t="s">
        <v>207</v>
      </c>
      <c r="E73" s="59" t="s">
        <v>432</v>
      </c>
      <c r="F73" s="60">
        <v>540</v>
      </c>
      <c r="G73" s="69">
        <v>3</v>
      </c>
      <c r="H73" s="69" t="s">
        <v>169</v>
      </c>
      <c r="I73" s="69" t="s">
        <v>357</v>
      </c>
      <c r="J73" s="58">
        <v>45320</v>
      </c>
      <c r="K73" s="108"/>
      <c r="L73" s="118"/>
      <c r="M73" s="66"/>
      <c r="N73" s="107"/>
      <c r="O73" s="56"/>
      <c r="P73" s="56"/>
      <c r="Q73" s="60">
        <v>540</v>
      </c>
      <c r="R73" s="56" t="s">
        <v>387</v>
      </c>
      <c r="S73" s="100">
        <v>359000</v>
      </c>
      <c r="T73" s="116">
        <f t="shared" si="5"/>
        <v>193860</v>
      </c>
    </row>
    <row r="74" spans="1:20" s="67" customFormat="1" ht="13.5" customHeight="1" x14ac:dyDescent="0.25">
      <c r="A74" s="465"/>
      <c r="B74" s="60" t="s">
        <v>433</v>
      </c>
      <c r="C74" s="60" t="s">
        <v>168</v>
      </c>
      <c r="D74" s="11" t="s">
        <v>207</v>
      </c>
      <c r="E74" s="59" t="s">
        <v>446</v>
      </c>
      <c r="F74" s="60">
        <v>180</v>
      </c>
      <c r="G74" s="69">
        <v>1</v>
      </c>
      <c r="H74" s="69" t="s">
        <v>169</v>
      </c>
      <c r="I74" s="69" t="s">
        <v>357</v>
      </c>
      <c r="J74" s="58">
        <v>45320</v>
      </c>
      <c r="K74" s="108"/>
      <c r="L74" s="118"/>
      <c r="M74" s="66"/>
      <c r="N74" s="107"/>
      <c r="O74" s="56"/>
      <c r="P74" s="56"/>
      <c r="Q74" s="60">
        <v>180</v>
      </c>
      <c r="R74" s="56" t="s">
        <v>387</v>
      </c>
      <c r="S74" s="100">
        <v>359000</v>
      </c>
      <c r="T74" s="116">
        <f t="shared" si="5"/>
        <v>64620</v>
      </c>
    </row>
    <row r="75" spans="1:20" s="67" customFormat="1" ht="13.5" customHeight="1" x14ac:dyDescent="0.25">
      <c r="A75" s="69" t="s">
        <v>224</v>
      </c>
      <c r="B75" s="60" t="s">
        <v>433</v>
      </c>
      <c r="C75" s="60" t="s">
        <v>168</v>
      </c>
      <c r="D75" s="11" t="s">
        <v>207</v>
      </c>
      <c r="E75" s="59" t="s">
        <v>446</v>
      </c>
      <c r="F75" s="60">
        <v>7920</v>
      </c>
      <c r="G75" s="69">
        <v>44</v>
      </c>
      <c r="H75" s="69" t="s">
        <v>169</v>
      </c>
      <c r="I75" s="69" t="s">
        <v>357</v>
      </c>
      <c r="J75" s="58">
        <v>45320</v>
      </c>
      <c r="K75" s="108"/>
      <c r="L75" s="118"/>
      <c r="M75" s="66"/>
      <c r="N75" s="107"/>
      <c r="O75" s="56"/>
      <c r="P75" s="56"/>
      <c r="Q75" s="60">
        <v>7920</v>
      </c>
      <c r="R75" s="56" t="s">
        <v>387</v>
      </c>
      <c r="S75" s="100">
        <v>359000</v>
      </c>
      <c r="T75" s="116">
        <f t="shared" si="5"/>
        <v>2843280</v>
      </c>
    </row>
    <row r="76" spans="1:20" s="67" customFormat="1" ht="13.5" customHeight="1" x14ac:dyDescent="0.25">
      <c r="A76" s="69" t="s">
        <v>224</v>
      </c>
      <c r="B76" s="60" t="s">
        <v>433</v>
      </c>
      <c r="C76" s="60" t="s">
        <v>168</v>
      </c>
      <c r="D76" s="11" t="s">
        <v>207</v>
      </c>
      <c r="E76" s="59" t="s">
        <v>470</v>
      </c>
      <c r="F76" s="60">
        <v>5040</v>
      </c>
      <c r="G76" s="69">
        <v>28</v>
      </c>
      <c r="H76" s="69" t="s">
        <v>169</v>
      </c>
      <c r="I76" s="69" t="s">
        <v>357</v>
      </c>
      <c r="J76" s="58">
        <v>45320</v>
      </c>
      <c r="K76" s="108"/>
      <c r="L76" s="118"/>
      <c r="M76" s="66"/>
      <c r="N76" s="107"/>
      <c r="O76" s="56"/>
      <c r="P76" s="56"/>
      <c r="Q76" s="60">
        <v>5040</v>
      </c>
      <c r="R76" s="56" t="s">
        <v>387</v>
      </c>
      <c r="S76" s="100">
        <v>359000</v>
      </c>
      <c r="T76" s="116">
        <f t="shared" si="5"/>
        <v>1809360</v>
      </c>
    </row>
    <row r="77" spans="1:20" s="67" customFormat="1" ht="13.5" customHeight="1" x14ac:dyDescent="0.25">
      <c r="A77" s="464" t="s">
        <v>230</v>
      </c>
      <c r="B77" s="60" t="s">
        <v>433</v>
      </c>
      <c r="C77" s="60" t="s">
        <v>168</v>
      </c>
      <c r="D77" s="11" t="s">
        <v>207</v>
      </c>
      <c r="E77" s="59" t="s">
        <v>446</v>
      </c>
      <c r="F77" s="60">
        <v>360</v>
      </c>
      <c r="G77" s="69">
        <v>2</v>
      </c>
      <c r="H77" s="69" t="s">
        <v>169</v>
      </c>
      <c r="I77" s="69" t="s">
        <v>357</v>
      </c>
      <c r="J77" s="58">
        <v>45320</v>
      </c>
      <c r="K77" s="108"/>
      <c r="L77" s="118"/>
      <c r="M77" s="66"/>
      <c r="N77" s="107"/>
      <c r="O77" s="56"/>
      <c r="P77" s="56"/>
      <c r="Q77" s="60">
        <v>360</v>
      </c>
      <c r="R77" s="56" t="s">
        <v>387</v>
      </c>
      <c r="S77" s="100">
        <v>359000</v>
      </c>
      <c r="T77" s="116">
        <f t="shared" si="5"/>
        <v>129240</v>
      </c>
    </row>
    <row r="78" spans="1:20" s="67" customFormat="1" ht="13.5" customHeight="1" x14ac:dyDescent="0.25">
      <c r="A78" s="465"/>
      <c r="B78" s="60" t="s">
        <v>433</v>
      </c>
      <c r="C78" s="60" t="s">
        <v>168</v>
      </c>
      <c r="D78" s="11" t="s">
        <v>207</v>
      </c>
      <c r="E78" s="59" t="s">
        <v>470</v>
      </c>
      <c r="F78" s="60">
        <v>360</v>
      </c>
      <c r="G78" s="69">
        <v>2</v>
      </c>
      <c r="H78" s="69" t="s">
        <v>169</v>
      </c>
      <c r="I78" s="69" t="s">
        <v>357</v>
      </c>
      <c r="J78" s="58">
        <v>45320</v>
      </c>
      <c r="K78" s="108"/>
      <c r="L78" s="118"/>
      <c r="M78" s="66"/>
      <c r="N78" s="107"/>
      <c r="O78" s="56"/>
      <c r="P78" s="56"/>
      <c r="Q78" s="60">
        <v>360</v>
      </c>
      <c r="R78" s="56" t="s">
        <v>387</v>
      </c>
      <c r="S78" s="100">
        <v>359000</v>
      </c>
      <c r="T78" s="116">
        <f t="shared" si="5"/>
        <v>129240</v>
      </c>
    </row>
    <row r="79" spans="1:20" s="67" customFormat="1" ht="13.5" customHeight="1" x14ac:dyDescent="0.25">
      <c r="A79" s="69" t="s">
        <v>224</v>
      </c>
      <c r="B79" s="60" t="s">
        <v>435</v>
      </c>
      <c r="C79" s="60" t="s">
        <v>436</v>
      </c>
      <c r="D79" s="11" t="s">
        <v>331</v>
      </c>
      <c r="E79" s="59" t="s">
        <v>432</v>
      </c>
      <c r="F79" s="60">
        <v>400</v>
      </c>
      <c r="G79" s="69">
        <v>2</v>
      </c>
      <c r="H79" s="69" t="s">
        <v>438</v>
      </c>
      <c r="I79" s="69" t="s">
        <v>357</v>
      </c>
      <c r="J79" s="58">
        <v>45320</v>
      </c>
      <c r="K79" s="108" t="s">
        <v>476</v>
      </c>
      <c r="L79" s="114" t="s">
        <v>474</v>
      </c>
      <c r="M79" s="56" t="s">
        <v>475</v>
      </c>
      <c r="N79" s="107"/>
      <c r="O79" s="56"/>
      <c r="P79" s="56"/>
      <c r="Q79" s="60">
        <v>400</v>
      </c>
      <c r="R79" s="56" t="s">
        <v>387</v>
      </c>
      <c r="S79" s="100">
        <v>369000</v>
      </c>
      <c r="T79" s="116">
        <f t="shared" ref="T79:T89" si="6" xml:space="preserve"> S79*(F79/1000)</f>
        <v>147600</v>
      </c>
    </row>
    <row r="80" spans="1:20" s="67" customFormat="1" ht="13.5" customHeight="1" x14ac:dyDescent="0.25">
      <c r="A80" s="69" t="s">
        <v>224</v>
      </c>
      <c r="B80" s="60" t="s">
        <v>435</v>
      </c>
      <c r="C80" s="60" t="s">
        <v>436</v>
      </c>
      <c r="D80" s="11" t="s">
        <v>331</v>
      </c>
      <c r="E80" s="59" t="s">
        <v>437</v>
      </c>
      <c r="F80" s="60">
        <v>7800</v>
      </c>
      <c r="G80" s="69">
        <v>39</v>
      </c>
      <c r="H80" s="69" t="s">
        <v>438</v>
      </c>
      <c r="I80" s="69" t="s">
        <v>357</v>
      </c>
      <c r="J80" s="58">
        <v>45320</v>
      </c>
      <c r="K80" s="108"/>
      <c r="L80" s="114"/>
      <c r="M80" s="56"/>
      <c r="N80" s="107"/>
      <c r="O80" s="56"/>
      <c r="P80" s="56"/>
      <c r="Q80" s="60">
        <v>7800</v>
      </c>
      <c r="R80" s="56" t="s">
        <v>387</v>
      </c>
      <c r="S80" s="100">
        <v>369000</v>
      </c>
      <c r="T80" s="116">
        <f t="shared" si="6"/>
        <v>2878200</v>
      </c>
    </row>
    <row r="81" spans="1:20" s="67" customFormat="1" ht="13.5" customHeight="1" x14ac:dyDescent="0.25">
      <c r="A81" s="69" t="s">
        <v>224</v>
      </c>
      <c r="B81" s="60" t="s">
        <v>435</v>
      </c>
      <c r="C81" s="60" t="s">
        <v>436</v>
      </c>
      <c r="D81" s="11" t="s">
        <v>331</v>
      </c>
      <c r="E81" s="59" t="s">
        <v>446</v>
      </c>
      <c r="F81" s="60">
        <v>8800</v>
      </c>
      <c r="G81" s="69">
        <v>44</v>
      </c>
      <c r="H81" s="69" t="s">
        <v>438</v>
      </c>
      <c r="I81" s="69" t="s">
        <v>357</v>
      </c>
      <c r="J81" s="58">
        <v>45320</v>
      </c>
      <c r="K81" s="108"/>
      <c r="L81" s="114"/>
      <c r="M81" s="56"/>
      <c r="N81" s="107"/>
      <c r="O81" s="56"/>
      <c r="P81" s="56"/>
      <c r="Q81" s="60">
        <v>8800</v>
      </c>
      <c r="R81" s="56" t="s">
        <v>387</v>
      </c>
      <c r="S81" s="100">
        <v>369000</v>
      </c>
      <c r="T81" s="116">
        <f t="shared" si="6"/>
        <v>3247200.0000000005</v>
      </c>
    </row>
    <row r="82" spans="1:20" s="67" customFormat="1" ht="13.5" customHeight="1" x14ac:dyDescent="0.25">
      <c r="A82" s="69" t="s">
        <v>224</v>
      </c>
      <c r="B82" s="60" t="s">
        <v>435</v>
      </c>
      <c r="C82" s="60" t="s">
        <v>436</v>
      </c>
      <c r="D82" s="11" t="s">
        <v>331</v>
      </c>
      <c r="E82" s="59" t="s">
        <v>463</v>
      </c>
      <c r="F82" s="60">
        <v>600</v>
      </c>
      <c r="G82" s="69">
        <v>3</v>
      </c>
      <c r="H82" s="69" t="s">
        <v>438</v>
      </c>
      <c r="I82" s="69" t="s">
        <v>357</v>
      </c>
      <c r="J82" s="58">
        <v>45320</v>
      </c>
      <c r="K82" s="108"/>
      <c r="L82" s="114"/>
      <c r="M82" s="56"/>
      <c r="N82" s="107"/>
      <c r="O82" s="56"/>
      <c r="P82" s="56"/>
      <c r="Q82" s="60">
        <v>600</v>
      </c>
      <c r="R82" s="56" t="s">
        <v>387</v>
      </c>
      <c r="S82" s="100">
        <v>369000</v>
      </c>
      <c r="T82" s="116">
        <f t="shared" si="6"/>
        <v>221400</v>
      </c>
    </row>
    <row r="83" spans="1:20" s="67" customFormat="1" ht="15.75" customHeight="1" x14ac:dyDescent="0.25">
      <c r="A83" s="174" t="s">
        <v>240</v>
      </c>
      <c r="B83" s="97" t="s">
        <v>410</v>
      </c>
      <c r="C83" s="97" t="s">
        <v>165</v>
      </c>
      <c r="D83" s="98" t="s">
        <v>291</v>
      </c>
      <c r="E83" s="59" t="s">
        <v>437</v>
      </c>
      <c r="F83" s="97">
        <v>15876</v>
      </c>
      <c r="G83" s="69">
        <v>700</v>
      </c>
      <c r="H83" s="69" t="s">
        <v>169</v>
      </c>
      <c r="I83" s="69" t="s">
        <v>357</v>
      </c>
      <c r="J83" s="58">
        <v>45320</v>
      </c>
      <c r="K83" s="105"/>
      <c r="L83" s="123"/>
      <c r="M83" s="105"/>
      <c r="N83" s="58" t="s">
        <v>502</v>
      </c>
      <c r="O83" s="69">
        <v>15876</v>
      </c>
      <c r="P83" s="60"/>
      <c r="Q83" s="56"/>
      <c r="R83" s="56" t="s">
        <v>387</v>
      </c>
      <c r="S83" s="100">
        <v>49500</v>
      </c>
      <c r="T83" s="116">
        <f t="shared" si="6"/>
        <v>785862</v>
      </c>
    </row>
    <row r="84" spans="1:20" s="67" customFormat="1" ht="15.75" customHeight="1" x14ac:dyDescent="0.25">
      <c r="A84" s="174" t="s">
        <v>240</v>
      </c>
      <c r="B84" s="97" t="s">
        <v>410</v>
      </c>
      <c r="C84" s="97" t="s">
        <v>165</v>
      </c>
      <c r="D84" s="98" t="s">
        <v>291</v>
      </c>
      <c r="E84" s="59" t="s">
        <v>446</v>
      </c>
      <c r="F84" s="97">
        <v>15876</v>
      </c>
      <c r="G84" s="69">
        <v>700</v>
      </c>
      <c r="H84" s="69" t="s">
        <v>169</v>
      </c>
      <c r="I84" s="69" t="s">
        <v>357</v>
      </c>
      <c r="J84" s="58">
        <v>45320</v>
      </c>
      <c r="K84" s="105"/>
      <c r="L84" s="123"/>
      <c r="M84" s="105"/>
      <c r="N84" s="58" t="s">
        <v>501</v>
      </c>
      <c r="O84" s="69">
        <v>15876</v>
      </c>
      <c r="P84" s="60"/>
      <c r="Q84" s="56"/>
      <c r="R84" s="56" t="s">
        <v>387</v>
      </c>
      <c r="S84" s="100">
        <v>49500</v>
      </c>
      <c r="T84" s="116">
        <f t="shared" si="6"/>
        <v>785862</v>
      </c>
    </row>
    <row r="85" spans="1:20" s="67" customFormat="1" ht="14.25" customHeight="1" x14ac:dyDescent="0.25">
      <c r="A85" s="69" t="s">
        <v>224</v>
      </c>
      <c r="B85" s="60" t="s">
        <v>219</v>
      </c>
      <c r="C85" s="60" t="s">
        <v>168</v>
      </c>
      <c r="D85" s="11" t="s">
        <v>214</v>
      </c>
      <c r="E85" s="59" t="s">
        <v>231</v>
      </c>
      <c r="F85" s="60">
        <v>4810</v>
      </c>
      <c r="G85" s="69">
        <v>26</v>
      </c>
      <c r="H85" s="69" t="s">
        <v>170</v>
      </c>
      <c r="I85" s="69" t="s">
        <v>357</v>
      </c>
      <c r="J85" s="58">
        <v>45321</v>
      </c>
      <c r="K85" s="66" t="s">
        <v>492</v>
      </c>
      <c r="L85" s="119">
        <v>89194476164</v>
      </c>
      <c r="M85" s="106" t="s">
        <v>483</v>
      </c>
      <c r="N85" s="56"/>
      <c r="O85" s="56"/>
      <c r="P85" s="56"/>
      <c r="Q85" s="60">
        <v>4810</v>
      </c>
      <c r="R85" s="56" t="s">
        <v>387</v>
      </c>
      <c r="S85" s="100">
        <v>230000</v>
      </c>
      <c r="T85" s="116">
        <f t="shared" si="6"/>
        <v>1106300</v>
      </c>
    </row>
    <row r="86" spans="1:20" s="67" customFormat="1" ht="14.25" customHeight="1" x14ac:dyDescent="0.25">
      <c r="A86" s="69" t="s">
        <v>224</v>
      </c>
      <c r="B86" s="60" t="s">
        <v>219</v>
      </c>
      <c r="C86" s="60" t="s">
        <v>168</v>
      </c>
      <c r="D86" s="11" t="s">
        <v>214</v>
      </c>
      <c r="E86" s="59" t="s">
        <v>232</v>
      </c>
      <c r="F86" s="60">
        <v>4810</v>
      </c>
      <c r="G86" s="69">
        <v>26</v>
      </c>
      <c r="H86" s="69" t="s">
        <v>170</v>
      </c>
      <c r="I86" s="69" t="s">
        <v>357</v>
      </c>
      <c r="J86" s="58">
        <v>45321</v>
      </c>
      <c r="K86" s="60"/>
      <c r="L86" s="115"/>
      <c r="M86" s="106"/>
      <c r="N86" s="56"/>
      <c r="O86" s="56"/>
      <c r="P86" s="56"/>
      <c r="Q86" s="60">
        <v>4810</v>
      </c>
      <c r="R86" s="56" t="s">
        <v>387</v>
      </c>
      <c r="S86" s="100">
        <v>230000</v>
      </c>
      <c r="T86" s="116">
        <f t="shared" si="6"/>
        <v>1106300</v>
      </c>
    </row>
    <row r="87" spans="1:20" s="67" customFormat="1" ht="14.25" customHeight="1" x14ac:dyDescent="0.25">
      <c r="A87" s="69" t="s">
        <v>224</v>
      </c>
      <c r="B87" s="60" t="s">
        <v>219</v>
      </c>
      <c r="C87" s="60" t="s">
        <v>168</v>
      </c>
      <c r="D87" s="11" t="s">
        <v>214</v>
      </c>
      <c r="E87" s="59" t="s">
        <v>434</v>
      </c>
      <c r="F87" s="60">
        <v>6660</v>
      </c>
      <c r="G87" s="69">
        <v>36</v>
      </c>
      <c r="H87" s="69" t="s">
        <v>170</v>
      </c>
      <c r="I87" s="69" t="s">
        <v>357</v>
      </c>
      <c r="J87" s="58">
        <v>45321</v>
      </c>
      <c r="K87" s="60"/>
      <c r="L87" s="115"/>
      <c r="M87" s="106"/>
      <c r="N87" s="56"/>
      <c r="O87" s="56"/>
      <c r="P87" s="56"/>
      <c r="Q87" s="60">
        <v>6660</v>
      </c>
      <c r="R87" s="56" t="s">
        <v>387</v>
      </c>
      <c r="S87" s="100">
        <v>230000</v>
      </c>
      <c r="T87" s="116">
        <f t="shared" si="6"/>
        <v>1531800</v>
      </c>
    </row>
    <row r="88" spans="1:20" s="67" customFormat="1" ht="13.5" customHeight="1" x14ac:dyDescent="0.25">
      <c r="A88" s="174" t="s">
        <v>224</v>
      </c>
      <c r="B88" s="97" t="s">
        <v>431</v>
      </c>
      <c r="C88" s="97" t="s">
        <v>497</v>
      </c>
      <c r="D88" s="98" t="s">
        <v>319</v>
      </c>
      <c r="E88" s="59" t="s">
        <v>430</v>
      </c>
      <c r="F88" s="97">
        <v>19000</v>
      </c>
      <c r="G88" s="69">
        <v>950</v>
      </c>
      <c r="H88" s="69" t="s">
        <v>391</v>
      </c>
      <c r="I88" s="69" t="s">
        <v>357</v>
      </c>
      <c r="J88" s="58">
        <v>45321</v>
      </c>
      <c r="K88" s="105" t="s">
        <v>493</v>
      </c>
      <c r="L88" s="123">
        <v>89806504776</v>
      </c>
      <c r="M88" s="105" t="s">
        <v>494</v>
      </c>
      <c r="N88" s="58"/>
      <c r="O88" s="56"/>
      <c r="P88" s="97">
        <v>19000</v>
      </c>
      <c r="Q88" s="56"/>
      <c r="R88" s="56" t="s">
        <v>387</v>
      </c>
      <c r="S88" s="100">
        <v>80000</v>
      </c>
      <c r="T88" s="116">
        <f t="shared" si="6"/>
        <v>1520000</v>
      </c>
    </row>
    <row r="89" spans="1:20" s="67" customFormat="1" ht="13.5" customHeight="1" x14ac:dyDescent="0.25">
      <c r="A89" s="174" t="s">
        <v>224</v>
      </c>
      <c r="B89" s="98" t="s">
        <v>419</v>
      </c>
      <c r="C89" s="98" t="s">
        <v>401</v>
      </c>
      <c r="D89" s="98" t="s">
        <v>319</v>
      </c>
      <c r="E89" s="171" t="s">
        <v>402</v>
      </c>
      <c r="F89" s="98">
        <v>20000</v>
      </c>
      <c r="G89" s="69">
        <v>1000</v>
      </c>
      <c r="H89" s="69" t="s">
        <v>391</v>
      </c>
      <c r="I89" s="172" t="s">
        <v>357</v>
      </c>
      <c r="J89" s="58">
        <v>45321</v>
      </c>
      <c r="K89" s="105" t="s">
        <v>495</v>
      </c>
      <c r="L89" s="123"/>
      <c r="M89" s="105" t="s">
        <v>496</v>
      </c>
      <c r="N89" s="58"/>
      <c r="O89" s="56"/>
      <c r="P89" s="98">
        <v>20000</v>
      </c>
      <c r="Q89" s="56"/>
      <c r="R89" s="56" t="s">
        <v>387</v>
      </c>
      <c r="S89" s="100">
        <v>79000</v>
      </c>
      <c r="T89" s="116">
        <f t="shared" si="6"/>
        <v>1580000</v>
      </c>
    </row>
    <row r="90" spans="1:20" s="67" customFormat="1" ht="13.5" customHeight="1" x14ac:dyDescent="0.25">
      <c r="A90" s="174" t="s">
        <v>224</v>
      </c>
      <c r="B90" s="97" t="s">
        <v>444</v>
      </c>
      <c r="C90" s="97" t="s">
        <v>445</v>
      </c>
      <c r="D90" s="98" t="s">
        <v>211</v>
      </c>
      <c r="E90" s="59" t="s">
        <v>446</v>
      </c>
      <c r="F90" s="97">
        <v>1600</v>
      </c>
      <c r="G90" s="69">
        <v>8</v>
      </c>
      <c r="H90" s="69" t="s">
        <v>391</v>
      </c>
      <c r="I90" s="69" t="s">
        <v>500</v>
      </c>
      <c r="J90" s="58">
        <v>45321</v>
      </c>
      <c r="K90" s="105" t="s">
        <v>485</v>
      </c>
      <c r="L90" s="123">
        <v>89384851141</v>
      </c>
      <c r="M90" s="105" t="s">
        <v>484</v>
      </c>
      <c r="N90" s="58"/>
      <c r="O90" s="56"/>
      <c r="P90" s="60"/>
      <c r="Q90" s="97">
        <v>1600</v>
      </c>
      <c r="R90" s="56" t="s">
        <v>387</v>
      </c>
      <c r="S90" s="100">
        <v>98000</v>
      </c>
      <c r="T90" s="116">
        <f t="shared" ref="T90:T96" si="7" xml:space="preserve"> S90*(F90/1000)</f>
        <v>156800</v>
      </c>
    </row>
    <row r="91" spans="1:20" s="67" customFormat="1" ht="13.5" customHeight="1" x14ac:dyDescent="0.25">
      <c r="A91" s="174" t="s">
        <v>224</v>
      </c>
      <c r="B91" s="97" t="s">
        <v>444</v>
      </c>
      <c r="C91" s="97" t="s">
        <v>445</v>
      </c>
      <c r="D91" s="98" t="s">
        <v>161</v>
      </c>
      <c r="E91" s="59" t="s">
        <v>454</v>
      </c>
      <c r="F91" s="97">
        <v>1600</v>
      </c>
      <c r="G91" s="69">
        <v>8</v>
      </c>
      <c r="H91" s="69" t="s">
        <v>391</v>
      </c>
      <c r="I91" s="69" t="s">
        <v>500</v>
      </c>
      <c r="J91" s="58">
        <v>45321</v>
      </c>
      <c r="K91" s="105"/>
      <c r="L91" s="123"/>
      <c r="M91" s="105"/>
      <c r="N91" s="58"/>
      <c r="O91" s="56"/>
      <c r="P91" s="60"/>
      <c r="Q91" s="97">
        <v>1600</v>
      </c>
      <c r="R91" s="56" t="s">
        <v>387</v>
      </c>
      <c r="S91" s="100">
        <v>110000</v>
      </c>
      <c r="T91" s="116">
        <f t="shared" si="7"/>
        <v>176000</v>
      </c>
    </row>
    <row r="92" spans="1:20" s="67" customFormat="1" ht="13.5" customHeight="1" x14ac:dyDescent="0.25">
      <c r="A92" s="174" t="s">
        <v>224</v>
      </c>
      <c r="B92" s="97" t="s">
        <v>444</v>
      </c>
      <c r="C92" s="97" t="s">
        <v>445</v>
      </c>
      <c r="D92" s="98" t="s">
        <v>161</v>
      </c>
      <c r="E92" s="59" t="s">
        <v>455</v>
      </c>
      <c r="F92" s="97">
        <v>1600</v>
      </c>
      <c r="G92" s="69">
        <v>8</v>
      </c>
      <c r="H92" s="69" t="s">
        <v>391</v>
      </c>
      <c r="I92" s="69" t="s">
        <v>500</v>
      </c>
      <c r="J92" s="58">
        <v>45321</v>
      </c>
      <c r="K92" s="105"/>
      <c r="L92" s="123"/>
      <c r="M92" s="105"/>
      <c r="N92" s="58"/>
      <c r="O92" s="56"/>
      <c r="P92" s="60"/>
      <c r="Q92" s="97">
        <v>1600</v>
      </c>
      <c r="R92" s="56" t="s">
        <v>387</v>
      </c>
      <c r="S92" s="100">
        <v>110000</v>
      </c>
      <c r="T92" s="116">
        <f t="shared" si="7"/>
        <v>176000</v>
      </c>
    </row>
    <row r="93" spans="1:20" s="67" customFormat="1" ht="13.5" customHeight="1" x14ac:dyDescent="0.25">
      <c r="A93" s="174" t="s">
        <v>224</v>
      </c>
      <c r="B93" s="97" t="s">
        <v>444</v>
      </c>
      <c r="C93" s="97" t="s">
        <v>445</v>
      </c>
      <c r="D93" s="98" t="s">
        <v>161</v>
      </c>
      <c r="E93" s="59" t="s">
        <v>456</v>
      </c>
      <c r="F93" s="97">
        <v>800</v>
      </c>
      <c r="G93" s="69">
        <v>4</v>
      </c>
      <c r="H93" s="69" t="s">
        <v>391</v>
      </c>
      <c r="I93" s="69" t="s">
        <v>500</v>
      </c>
      <c r="J93" s="58">
        <v>45321</v>
      </c>
      <c r="K93" s="105"/>
      <c r="L93" s="123"/>
      <c r="M93" s="105"/>
      <c r="N93" s="58"/>
      <c r="O93" s="56"/>
      <c r="P93" s="60"/>
      <c r="Q93" s="97">
        <v>800</v>
      </c>
      <c r="R93" s="56" t="s">
        <v>387</v>
      </c>
      <c r="S93" s="100">
        <v>110000</v>
      </c>
      <c r="T93" s="116">
        <f t="shared" si="7"/>
        <v>88000</v>
      </c>
    </row>
    <row r="94" spans="1:20" s="67" customFormat="1" ht="13.5" customHeight="1" x14ac:dyDescent="0.25">
      <c r="A94" s="464" t="s">
        <v>230</v>
      </c>
      <c r="B94" s="97" t="s">
        <v>444</v>
      </c>
      <c r="C94" s="97" t="s">
        <v>445</v>
      </c>
      <c r="D94" s="98" t="s">
        <v>161</v>
      </c>
      <c r="E94" s="59" t="s">
        <v>455</v>
      </c>
      <c r="F94" s="97">
        <v>600</v>
      </c>
      <c r="G94" s="69">
        <v>3</v>
      </c>
      <c r="H94" s="69" t="s">
        <v>391</v>
      </c>
      <c r="I94" s="69" t="s">
        <v>500</v>
      </c>
      <c r="J94" s="58">
        <v>45321</v>
      </c>
      <c r="K94" s="105"/>
      <c r="L94" s="123"/>
      <c r="M94" s="105"/>
      <c r="N94" s="58"/>
      <c r="O94" s="56"/>
      <c r="P94" s="60"/>
      <c r="Q94" s="97">
        <v>600</v>
      </c>
      <c r="R94" s="56" t="s">
        <v>387</v>
      </c>
      <c r="S94" s="100">
        <v>110000</v>
      </c>
      <c r="T94" s="116">
        <f t="shared" si="7"/>
        <v>66000</v>
      </c>
    </row>
    <row r="95" spans="1:20" s="67" customFormat="1" ht="13.5" customHeight="1" x14ac:dyDescent="0.25">
      <c r="A95" s="465"/>
      <c r="B95" s="97" t="s">
        <v>444</v>
      </c>
      <c r="C95" s="97" t="s">
        <v>445</v>
      </c>
      <c r="D95" s="98" t="s">
        <v>161</v>
      </c>
      <c r="E95" s="59" t="s">
        <v>456</v>
      </c>
      <c r="F95" s="97">
        <v>200</v>
      </c>
      <c r="G95" s="69">
        <v>1</v>
      </c>
      <c r="H95" s="69" t="s">
        <v>391</v>
      </c>
      <c r="I95" s="69" t="s">
        <v>500</v>
      </c>
      <c r="J95" s="58">
        <v>45321</v>
      </c>
      <c r="K95" s="105"/>
      <c r="L95" s="123"/>
      <c r="M95" s="105"/>
      <c r="N95" s="58"/>
      <c r="O95" s="56"/>
      <c r="P95" s="60"/>
      <c r="Q95" s="97">
        <v>200</v>
      </c>
      <c r="R95" s="56" t="s">
        <v>387</v>
      </c>
      <c r="S95" s="100">
        <v>110000</v>
      </c>
      <c r="T95" s="116">
        <f t="shared" si="7"/>
        <v>22000</v>
      </c>
    </row>
    <row r="96" spans="1:20" s="67" customFormat="1" ht="13.5" customHeight="1" x14ac:dyDescent="0.25">
      <c r="A96" s="174" t="s">
        <v>224</v>
      </c>
      <c r="B96" s="97" t="s">
        <v>444</v>
      </c>
      <c r="C96" s="97" t="s">
        <v>445</v>
      </c>
      <c r="D96" s="98" t="s">
        <v>158</v>
      </c>
      <c r="E96" s="59" t="s">
        <v>242</v>
      </c>
      <c r="F96" s="97">
        <v>1600</v>
      </c>
      <c r="G96" s="69">
        <v>8</v>
      </c>
      <c r="H96" s="69" t="s">
        <v>391</v>
      </c>
      <c r="I96" s="69" t="s">
        <v>500</v>
      </c>
      <c r="J96" s="58">
        <v>45321</v>
      </c>
      <c r="K96" s="105"/>
      <c r="L96" s="123"/>
      <c r="M96" s="105"/>
      <c r="N96" s="58"/>
      <c r="O96" s="56"/>
      <c r="P96" s="60"/>
      <c r="Q96" s="97">
        <v>1600</v>
      </c>
      <c r="R96" s="56" t="s">
        <v>387</v>
      </c>
      <c r="S96" s="100">
        <v>69000</v>
      </c>
      <c r="T96" s="116">
        <f t="shared" si="7"/>
        <v>110400</v>
      </c>
    </row>
    <row r="97" spans="1:20" s="67" customFormat="1" ht="13.5" customHeight="1" x14ac:dyDescent="0.25">
      <c r="A97" s="173" t="s">
        <v>224</v>
      </c>
      <c r="B97" s="60" t="s">
        <v>461</v>
      </c>
      <c r="C97" s="60" t="s">
        <v>457</v>
      </c>
      <c r="D97" s="11" t="s">
        <v>174</v>
      </c>
      <c r="E97" s="59" t="s">
        <v>459</v>
      </c>
      <c r="F97" s="60">
        <v>8800</v>
      </c>
      <c r="G97" s="69">
        <v>44</v>
      </c>
      <c r="H97" s="69" t="s">
        <v>166</v>
      </c>
      <c r="I97" s="69" t="s">
        <v>500</v>
      </c>
      <c r="J97" s="58">
        <v>45321</v>
      </c>
      <c r="K97" s="108" t="s">
        <v>499</v>
      </c>
      <c r="L97" s="117">
        <v>89172979822</v>
      </c>
      <c r="M97" s="66" t="s">
        <v>498</v>
      </c>
      <c r="N97" s="107"/>
      <c r="O97" s="56"/>
      <c r="P97" s="56"/>
      <c r="Q97" s="60">
        <v>8800</v>
      </c>
      <c r="R97" s="56" t="s">
        <v>387</v>
      </c>
      <c r="S97" s="156">
        <v>90000</v>
      </c>
      <c r="T97" s="116">
        <f xml:space="preserve"> S97*(F97/1000)</f>
        <v>792000.00000000012</v>
      </c>
    </row>
    <row r="98" spans="1:20" s="67" customFormat="1" ht="13.5" customHeight="1" x14ac:dyDescent="0.25">
      <c r="A98" s="173" t="s">
        <v>224</v>
      </c>
      <c r="B98" s="60" t="s">
        <v>461</v>
      </c>
      <c r="C98" s="60" t="s">
        <v>457</v>
      </c>
      <c r="D98" s="11" t="s">
        <v>174</v>
      </c>
      <c r="E98" s="59" t="s">
        <v>259</v>
      </c>
      <c r="F98" s="60">
        <v>8800</v>
      </c>
      <c r="G98" s="69">
        <v>44</v>
      </c>
      <c r="H98" s="69" t="s">
        <v>166</v>
      </c>
      <c r="I98" s="69" t="s">
        <v>500</v>
      </c>
      <c r="J98" s="58">
        <v>45321</v>
      </c>
      <c r="K98" s="108"/>
      <c r="L98" s="117"/>
      <c r="M98" s="66"/>
      <c r="N98" s="107"/>
      <c r="O98" s="56"/>
      <c r="P98" s="56"/>
      <c r="Q98" s="60">
        <v>8800</v>
      </c>
      <c r="R98" s="56" t="s">
        <v>387</v>
      </c>
      <c r="S98" s="156">
        <v>90000</v>
      </c>
      <c r="T98" s="116">
        <f xml:space="preserve"> S98*(F98/1000)</f>
        <v>792000.00000000012</v>
      </c>
    </row>
    <row r="99" spans="1:20" ht="18.75" x14ac:dyDescent="0.3">
      <c r="A99" s="126" t="s">
        <v>15</v>
      </c>
      <c r="B99" s="110">
        <f>SUM(F4:F98)/1000</f>
        <v>667.06899999999996</v>
      </c>
      <c r="C99" s="57" t="s">
        <v>14</v>
      </c>
      <c r="S99" s="102"/>
      <c r="T99" s="179">
        <f>SUM(T4:T98)</f>
        <v>74030340.5</v>
      </c>
    </row>
    <row r="100" spans="1:20" ht="18.75" x14ac:dyDescent="0.3">
      <c r="A100" s="127" t="s">
        <v>16</v>
      </c>
      <c r="B100" s="111">
        <f>B101+B102+B103</f>
        <v>667.06899999999996</v>
      </c>
      <c r="C100" s="1" t="s">
        <v>14</v>
      </c>
    </row>
    <row r="101" spans="1:20" ht="18.75" x14ac:dyDescent="0.3">
      <c r="A101" s="128" t="s">
        <v>17</v>
      </c>
      <c r="B101" s="109">
        <f>SUM(O4:O98)/1000</f>
        <v>373.98899999999998</v>
      </c>
      <c r="C101" s="2" t="s">
        <v>14</v>
      </c>
    </row>
    <row r="102" spans="1:20" ht="18.75" x14ac:dyDescent="0.3">
      <c r="A102" s="128" t="s">
        <v>154</v>
      </c>
      <c r="B102" s="109">
        <f>SUM(P4:P98)/1000</f>
        <v>64</v>
      </c>
      <c r="C102" s="2" t="s">
        <v>14</v>
      </c>
    </row>
    <row r="103" spans="1:20" ht="18.75" x14ac:dyDescent="0.3">
      <c r="A103" s="128" t="s">
        <v>24</v>
      </c>
      <c r="B103" s="112">
        <f>SUM(Q4:Q98)/1000</f>
        <v>229.08</v>
      </c>
      <c r="C103" s="2" t="s">
        <v>14</v>
      </c>
    </row>
    <row r="104" spans="1:20" ht="19.5" thickBot="1" x14ac:dyDescent="0.35">
      <c r="A104" s="129" t="s">
        <v>20</v>
      </c>
      <c r="B104" s="113">
        <f>B99-B100</f>
        <v>0</v>
      </c>
      <c r="C104" s="3" t="s">
        <v>14</v>
      </c>
    </row>
    <row r="105" spans="1:20" s="175" customFormat="1" x14ac:dyDescent="0.25">
      <c r="A105" s="177"/>
      <c r="N105" s="178"/>
    </row>
  </sheetData>
  <sheetProtection formatCells="0" formatColumns="0" formatRows="0" insertColumns="0" insertRows="0" insertHyperlinks="0" deleteColumns="0" deleteRows="0" sort="0" autoFilter="0" pivotTables="0"/>
  <autoFilter ref="D1:D104" xr:uid="{00000000-0009-0000-0000-00000B000000}"/>
  <mergeCells count="37">
    <mergeCell ref="M42:M43"/>
    <mergeCell ref="H42:H43"/>
    <mergeCell ref="A68:A69"/>
    <mergeCell ref="A66:A67"/>
    <mergeCell ref="A73:A74"/>
    <mergeCell ref="A70:A71"/>
    <mergeCell ref="R2:R3"/>
    <mergeCell ref="A2:A3"/>
    <mergeCell ref="B2:B3"/>
    <mergeCell ref="C2:C3"/>
    <mergeCell ref="D2:D3"/>
    <mergeCell ref="E2:E3"/>
    <mergeCell ref="F2:G2"/>
    <mergeCell ref="H2:H3"/>
    <mergeCell ref="I2:I3"/>
    <mergeCell ref="J2:J3"/>
    <mergeCell ref="K2:M2"/>
    <mergeCell ref="O2:Q2"/>
    <mergeCell ref="M31:M39"/>
    <mergeCell ref="K31:K39"/>
    <mergeCell ref="H31:H39"/>
    <mergeCell ref="A8:A9"/>
    <mergeCell ref="A10:A11"/>
    <mergeCell ref="A34:A35"/>
    <mergeCell ref="A36:A37"/>
    <mergeCell ref="A38:A39"/>
    <mergeCell ref="A4:A5"/>
    <mergeCell ref="A6:A7"/>
    <mergeCell ref="L31:L39"/>
    <mergeCell ref="A94:A95"/>
    <mergeCell ref="A61:A62"/>
    <mergeCell ref="A42:A43"/>
    <mergeCell ref="A50:A51"/>
    <mergeCell ref="H50:H51"/>
    <mergeCell ref="K42:K43"/>
    <mergeCell ref="L42:L43"/>
    <mergeCell ref="A77:A78"/>
  </mergeCells>
  <phoneticPr fontId="28" type="noConversion"/>
  <dataValidations count="1">
    <dataValidation type="list" allowBlank="1" showInputMessage="1" showErrorMessage="1" sqref="D99" xr:uid="{00000000-0002-0000-0B00-000000000000}">
      <formula1>$E$99:$E$115</formula1>
    </dataValidation>
  </dataValidations>
  <pageMargins left="0.7" right="0.7" top="0.75" bottom="0.75" header="0.3" footer="0.3"/>
  <pageSetup paperSize="9" scale="16" orientation="landscape" r:id="rId1"/>
  <colBreaks count="1" manualBreakCount="1">
    <brk id="1" max="87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1000000}">
          <x14:formula1>
            <xm:f>справочник!$E$2:$E$162</xm:f>
          </x14:formula1>
          <xm:sqref>D4:D98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8">
    <tabColor theme="5" tint="0.39997558519241921"/>
  </sheetPr>
  <dimension ref="A1:H154"/>
  <sheetViews>
    <sheetView topLeftCell="A82" workbookViewId="0">
      <selection activeCell="E95" sqref="E95"/>
    </sheetView>
  </sheetViews>
  <sheetFormatPr defaultRowHeight="15" x14ac:dyDescent="0.25"/>
  <cols>
    <col min="1" max="1" width="17.42578125" style="14" customWidth="1"/>
    <col min="2" max="2" width="19.140625" style="14" bestFit="1" customWidth="1"/>
    <col min="3" max="3" width="18.28515625" style="14" customWidth="1"/>
    <col min="5" max="5" width="46.5703125" customWidth="1"/>
  </cols>
  <sheetData>
    <row r="1" spans="1:8" ht="15.75" x14ac:dyDescent="0.25">
      <c r="E1" s="131" t="s">
        <v>274</v>
      </c>
    </row>
    <row r="2" spans="1:8" ht="15.75" x14ac:dyDescent="0.25">
      <c r="A2" s="14" t="s">
        <v>80</v>
      </c>
      <c r="B2" s="14" t="s">
        <v>81</v>
      </c>
      <c r="C2" s="14" t="s">
        <v>82</v>
      </c>
      <c r="E2" s="133" t="s">
        <v>275</v>
      </c>
    </row>
    <row r="3" spans="1:8" ht="15.75" x14ac:dyDescent="0.25">
      <c r="A3" s="7" t="s">
        <v>110</v>
      </c>
      <c r="B3" s="7" t="s">
        <v>74</v>
      </c>
      <c r="C3" s="12">
        <v>89626347052</v>
      </c>
      <c r="E3" s="133" t="s">
        <v>277</v>
      </c>
      <c r="F3" s="132"/>
    </row>
    <row r="4" spans="1:8" ht="15" customHeight="1" x14ac:dyDescent="0.25">
      <c r="A4" s="18" t="s">
        <v>124</v>
      </c>
      <c r="B4" s="15" t="s">
        <v>44</v>
      </c>
      <c r="C4" s="4"/>
      <c r="E4" s="133" t="s">
        <v>279</v>
      </c>
      <c r="F4" s="134"/>
    </row>
    <row r="5" spans="1:8" ht="15" customHeight="1" x14ac:dyDescent="0.25">
      <c r="A5" s="18"/>
      <c r="B5" s="15"/>
      <c r="C5" s="60"/>
      <c r="E5" s="133" t="s">
        <v>281</v>
      </c>
      <c r="F5" s="134"/>
    </row>
    <row r="6" spans="1:8" ht="15" customHeight="1" x14ac:dyDescent="0.25">
      <c r="A6" s="7" t="s">
        <v>125</v>
      </c>
      <c r="B6" s="7" t="s">
        <v>53</v>
      </c>
      <c r="C6" s="7">
        <v>89611891048</v>
      </c>
      <c r="E6" s="133" t="s">
        <v>283</v>
      </c>
      <c r="F6" s="134"/>
    </row>
    <row r="7" spans="1:8" ht="15" customHeight="1" x14ac:dyDescent="0.25">
      <c r="A7" s="7" t="s">
        <v>122</v>
      </c>
      <c r="B7" s="7" t="s">
        <v>101</v>
      </c>
      <c r="C7" s="7">
        <v>89822583038</v>
      </c>
      <c r="E7" s="133" t="s">
        <v>285</v>
      </c>
      <c r="F7" s="134"/>
    </row>
    <row r="8" spans="1:8" ht="15" customHeight="1" x14ac:dyDescent="0.25">
      <c r="A8" s="7"/>
      <c r="B8" s="7"/>
      <c r="C8" s="7"/>
      <c r="E8" s="133" t="s">
        <v>287</v>
      </c>
      <c r="F8" s="134"/>
    </row>
    <row r="9" spans="1:8" ht="15" customHeight="1" x14ac:dyDescent="0.25">
      <c r="A9" s="7" t="s">
        <v>94</v>
      </c>
      <c r="B9" s="7" t="s">
        <v>45</v>
      </c>
      <c r="C9" s="7">
        <v>89126876877</v>
      </c>
      <c r="E9" s="133" t="s">
        <v>289</v>
      </c>
      <c r="F9" s="134"/>
    </row>
    <row r="10" spans="1:8" ht="15" customHeight="1" x14ac:dyDescent="0.25">
      <c r="A10" s="7" t="s">
        <v>123</v>
      </c>
      <c r="B10" s="7" t="s">
        <v>59</v>
      </c>
      <c r="C10" s="7">
        <v>89279885591</v>
      </c>
      <c r="E10" s="133" t="s">
        <v>291</v>
      </c>
      <c r="F10" s="134"/>
    </row>
    <row r="11" spans="1:8" ht="15" customHeight="1" x14ac:dyDescent="0.25">
      <c r="A11" s="15" t="s">
        <v>85</v>
      </c>
      <c r="B11" s="15" t="s">
        <v>42</v>
      </c>
      <c r="C11" s="15">
        <v>89172998065</v>
      </c>
      <c r="E11" s="133" t="s">
        <v>1880</v>
      </c>
      <c r="F11" s="134"/>
    </row>
    <row r="12" spans="1:8" ht="15" customHeight="1" x14ac:dyDescent="0.25">
      <c r="A12" s="15"/>
      <c r="B12" s="15"/>
      <c r="C12" s="15"/>
      <c r="E12" s="133" t="s">
        <v>1043</v>
      </c>
      <c r="F12" s="134"/>
    </row>
    <row r="13" spans="1:8" ht="15" customHeight="1" x14ac:dyDescent="0.25">
      <c r="A13" s="15"/>
      <c r="B13" s="15"/>
      <c r="C13" s="15"/>
      <c r="E13" s="133" t="s">
        <v>1097</v>
      </c>
      <c r="F13" s="134"/>
    </row>
    <row r="14" spans="1:8" ht="15" customHeight="1" x14ac:dyDescent="0.25">
      <c r="A14" s="7" t="s">
        <v>95</v>
      </c>
      <c r="B14" s="7" t="s">
        <v>46</v>
      </c>
      <c r="C14" s="10">
        <v>89126661600</v>
      </c>
      <c r="E14" s="133" t="s">
        <v>295</v>
      </c>
      <c r="F14" s="134"/>
    </row>
    <row r="15" spans="1:8" ht="15" customHeight="1" x14ac:dyDescent="0.25">
      <c r="A15" s="9" t="s">
        <v>25</v>
      </c>
      <c r="B15" s="8" t="s">
        <v>26</v>
      </c>
      <c r="C15" s="6">
        <v>89824504395</v>
      </c>
      <c r="E15" s="133" t="s">
        <v>297</v>
      </c>
      <c r="F15" s="134"/>
      <c r="H15" s="14"/>
    </row>
    <row r="16" spans="1:8" ht="15" customHeight="1" x14ac:dyDescent="0.25">
      <c r="A16" s="7" t="s">
        <v>93</v>
      </c>
      <c r="B16" s="7" t="s">
        <v>40</v>
      </c>
      <c r="C16" s="7">
        <v>89194660828</v>
      </c>
      <c r="E16" s="133" t="s">
        <v>299</v>
      </c>
      <c r="F16" s="134"/>
    </row>
    <row r="17" spans="1:6" ht="15" customHeight="1" x14ac:dyDescent="0.25">
      <c r="A17" s="69"/>
      <c r="B17" s="69"/>
      <c r="C17" s="69"/>
      <c r="E17" s="133" t="s">
        <v>301</v>
      </c>
      <c r="F17" s="134"/>
    </row>
    <row r="18" spans="1:6" ht="15" customHeight="1" x14ac:dyDescent="0.25">
      <c r="A18" s="7" t="s">
        <v>66</v>
      </c>
      <c r="B18" s="7" t="s">
        <v>65</v>
      </c>
      <c r="C18" s="12">
        <v>89012010372</v>
      </c>
      <c r="E18" s="133" t="s">
        <v>303</v>
      </c>
      <c r="F18" s="134"/>
    </row>
    <row r="19" spans="1:6" ht="15" customHeight="1" x14ac:dyDescent="0.25">
      <c r="A19" s="7" t="s">
        <v>72</v>
      </c>
      <c r="B19" s="7" t="s">
        <v>70</v>
      </c>
      <c r="C19" s="12"/>
      <c r="E19" s="133" t="s">
        <v>305</v>
      </c>
      <c r="F19" s="134"/>
    </row>
    <row r="20" spans="1:6" ht="15" customHeight="1" x14ac:dyDescent="0.25">
      <c r="A20" s="7" t="s">
        <v>112</v>
      </c>
      <c r="B20" s="7" t="s">
        <v>77</v>
      </c>
      <c r="C20" s="12"/>
      <c r="E20" s="133" t="s">
        <v>307</v>
      </c>
      <c r="F20" s="134"/>
    </row>
    <row r="21" spans="1:6" ht="15" customHeight="1" x14ac:dyDescent="0.25">
      <c r="A21" s="7"/>
      <c r="B21" s="7"/>
      <c r="C21" s="12"/>
      <c r="E21" s="133" t="s">
        <v>309</v>
      </c>
      <c r="F21" s="134"/>
    </row>
    <row r="22" spans="1:6" ht="15" customHeight="1" x14ac:dyDescent="0.25">
      <c r="A22" s="7"/>
      <c r="B22" s="7"/>
      <c r="C22" s="12"/>
      <c r="E22" s="133" t="s">
        <v>311</v>
      </c>
      <c r="F22" s="134"/>
    </row>
    <row r="23" spans="1:6" ht="15" customHeight="1" x14ac:dyDescent="0.25">
      <c r="A23" s="7"/>
      <c r="B23" s="7"/>
      <c r="C23" s="12"/>
      <c r="E23" s="133" t="s">
        <v>312</v>
      </c>
      <c r="F23" s="134"/>
    </row>
    <row r="24" spans="1:6" ht="15" customHeight="1" x14ac:dyDescent="0.25">
      <c r="A24" s="7"/>
      <c r="B24" s="7"/>
      <c r="C24" s="12"/>
      <c r="E24" s="133" t="s">
        <v>313</v>
      </c>
      <c r="F24" s="134"/>
    </row>
    <row r="25" spans="1:6" ht="15" customHeight="1" x14ac:dyDescent="0.25">
      <c r="A25" s="7" t="s">
        <v>126</v>
      </c>
      <c r="B25" s="7" t="s">
        <v>52</v>
      </c>
      <c r="C25" s="7">
        <v>89128724099</v>
      </c>
      <c r="E25" s="133" t="s">
        <v>314</v>
      </c>
      <c r="F25" s="134"/>
    </row>
    <row r="26" spans="1:6" ht="15" customHeight="1" x14ac:dyDescent="0.25">
      <c r="A26" s="7" t="s">
        <v>91</v>
      </c>
      <c r="B26" s="7" t="s">
        <v>37</v>
      </c>
      <c r="C26" s="4">
        <v>89536879872</v>
      </c>
      <c r="E26" s="133" t="s">
        <v>315</v>
      </c>
      <c r="F26" s="134"/>
    </row>
    <row r="27" spans="1:6" ht="15" customHeight="1" x14ac:dyDescent="0.25">
      <c r="A27" s="7" t="s">
        <v>97</v>
      </c>
      <c r="B27" s="13" t="s">
        <v>49</v>
      </c>
      <c r="C27" s="7">
        <v>89107215115</v>
      </c>
      <c r="E27" s="133" t="s">
        <v>2133</v>
      </c>
      <c r="F27" s="134"/>
    </row>
    <row r="28" spans="1:6" ht="15" customHeight="1" x14ac:dyDescent="0.25">
      <c r="A28" s="7" t="s">
        <v>127</v>
      </c>
      <c r="B28" s="13" t="s">
        <v>62</v>
      </c>
      <c r="C28" s="12">
        <v>89107215115</v>
      </c>
      <c r="E28" s="133" t="s">
        <v>1917</v>
      </c>
      <c r="F28" s="134"/>
    </row>
    <row r="29" spans="1:6" ht="15" customHeight="1" x14ac:dyDescent="0.25">
      <c r="A29" s="19" t="s">
        <v>102</v>
      </c>
      <c r="B29" s="7" t="s">
        <v>54</v>
      </c>
      <c r="C29" s="7">
        <v>89278017746</v>
      </c>
      <c r="E29" s="133"/>
      <c r="F29" s="134"/>
    </row>
    <row r="30" spans="1:6" ht="15" customHeight="1" x14ac:dyDescent="0.25">
      <c r="A30" s="13" t="s">
        <v>129</v>
      </c>
      <c r="B30" s="13" t="s">
        <v>47</v>
      </c>
      <c r="C30" s="13">
        <v>89093602509</v>
      </c>
      <c r="E30" s="133"/>
      <c r="F30" s="134"/>
    </row>
    <row r="31" spans="1:6" ht="15" customHeight="1" x14ac:dyDescent="0.25">
      <c r="A31" s="15" t="s">
        <v>84</v>
      </c>
      <c r="B31" s="15" t="s">
        <v>43</v>
      </c>
      <c r="C31" s="15">
        <v>89156522978</v>
      </c>
      <c r="E31" s="133" t="s">
        <v>276</v>
      </c>
      <c r="F31" s="134"/>
    </row>
    <row r="32" spans="1:6" ht="15" customHeight="1" x14ac:dyDescent="0.25">
      <c r="A32" s="15"/>
      <c r="B32" s="15"/>
      <c r="C32" s="15"/>
      <c r="E32" s="133" t="s">
        <v>278</v>
      </c>
      <c r="F32" s="134"/>
    </row>
    <row r="33" spans="1:6" ht="15" customHeight="1" x14ac:dyDescent="0.25">
      <c r="A33" s="15"/>
      <c r="B33" s="15"/>
      <c r="C33" s="15"/>
      <c r="E33" s="133" t="s">
        <v>2145</v>
      </c>
      <c r="F33" s="134"/>
    </row>
    <row r="34" spans="1:6" ht="15" customHeight="1" x14ac:dyDescent="0.25">
      <c r="A34" s="7" t="s">
        <v>28</v>
      </c>
      <c r="B34" s="7" t="s">
        <v>29</v>
      </c>
      <c r="C34" s="7">
        <v>89194653759</v>
      </c>
      <c r="E34" s="133" t="s">
        <v>280</v>
      </c>
      <c r="F34" s="134"/>
    </row>
    <row r="35" spans="1:6" ht="15" customHeight="1" x14ac:dyDescent="0.25">
      <c r="A35" s="7"/>
      <c r="B35" s="7"/>
      <c r="C35" s="7"/>
      <c r="E35" s="133" t="s">
        <v>282</v>
      </c>
      <c r="F35" s="134"/>
    </row>
    <row r="36" spans="1:6" ht="15" customHeight="1" x14ac:dyDescent="0.25">
      <c r="A36" s="7" t="s">
        <v>108</v>
      </c>
      <c r="B36" s="7" t="s">
        <v>71</v>
      </c>
      <c r="C36" s="15" t="s">
        <v>119</v>
      </c>
      <c r="E36" s="133" t="s">
        <v>284</v>
      </c>
      <c r="F36" s="134"/>
    </row>
    <row r="37" spans="1:6" ht="15" customHeight="1" x14ac:dyDescent="0.25">
      <c r="A37" s="7" t="s">
        <v>115</v>
      </c>
      <c r="B37" s="7" t="s">
        <v>79</v>
      </c>
      <c r="C37" s="16">
        <v>89053743019</v>
      </c>
      <c r="E37" s="133" t="s">
        <v>286</v>
      </c>
      <c r="F37" s="134"/>
    </row>
    <row r="38" spans="1:6" ht="15" customHeight="1" x14ac:dyDescent="0.25">
      <c r="A38" s="7" t="s">
        <v>63</v>
      </c>
      <c r="B38" s="7" t="s">
        <v>67</v>
      </c>
      <c r="C38" s="12">
        <v>89632743668</v>
      </c>
      <c r="E38" s="133" t="s">
        <v>288</v>
      </c>
      <c r="F38" s="134"/>
    </row>
    <row r="39" spans="1:6" ht="15" customHeight="1" x14ac:dyDescent="0.25">
      <c r="A39" s="7" t="s">
        <v>98</v>
      </c>
      <c r="B39" s="7" t="s">
        <v>50</v>
      </c>
      <c r="C39" s="7">
        <v>89536720630</v>
      </c>
      <c r="E39" s="133" t="s">
        <v>290</v>
      </c>
      <c r="F39" s="134"/>
    </row>
    <row r="40" spans="1:6" ht="15" customHeight="1" x14ac:dyDescent="0.25">
      <c r="A40" s="7" t="s">
        <v>109</v>
      </c>
      <c r="B40" s="7" t="s">
        <v>73</v>
      </c>
      <c r="C40" s="12">
        <v>89033399868</v>
      </c>
      <c r="E40" s="133" t="s">
        <v>292</v>
      </c>
      <c r="F40" s="134"/>
    </row>
    <row r="41" spans="1:6" ht="15" customHeight="1" x14ac:dyDescent="0.25">
      <c r="A41" s="7" t="s">
        <v>111</v>
      </c>
      <c r="B41" s="7" t="s">
        <v>75</v>
      </c>
      <c r="C41" s="15" t="s">
        <v>120</v>
      </c>
      <c r="E41" s="133" t="s">
        <v>294</v>
      </c>
      <c r="F41" s="134"/>
    </row>
    <row r="42" spans="1:6" ht="15" customHeight="1" x14ac:dyDescent="0.25">
      <c r="A42" s="69"/>
      <c r="B42" s="69"/>
      <c r="C42" s="15"/>
      <c r="E42" s="133" t="s">
        <v>468</v>
      </c>
      <c r="F42" s="134"/>
    </row>
    <row r="43" spans="1:6" ht="15" customHeight="1" x14ac:dyDescent="0.25">
      <c r="A43" s="69"/>
      <c r="B43" s="69"/>
      <c r="C43" s="15"/>
      <c r="E43" s="133" t="s">
        <v>296</v>
      </c>
      <c r="F43" s="134"/>
    </row>
    <row r="44" spans="1:6" ht="15" customHeight="1" x14ac:dyDescent="0.25">
      <c r="A44" s="69"/>
      <c r="B44" s="69"/>
      <c r="C44" s="15"/>
      <c r="E44" s="135" t="s">
        <v>298</v>
      </c>
      <c r="F44" s="134"/>
    </row>
    <row r="45" spans="1:6" ht="15" customHeight="1" x14ac:dyDescent="0.25">
      <c r="A45" s="69"/>
      <c r="B45" s="69"/>
      <c r="C45" s="15"/>
      <c r="E45" s="135" t="s">
        <v>300</v>
      </c>
      <c r="F45" s="134"/>
    </row>
    <row r="46" spans="1:6" ht="15" customHeight="1" x14ac:dyDescent="0.25">
      <c r="A46" s="7" t="s">
        <v>90</v>
      </c>
      <c r="B46" s="7" t="s">
        <v>38</v>
      </c>
      <c r="C46" s="7">
        <v>89221219379</v>
      </c>
      <c r="E46" s="135" t="s">
        <v>302</v>
      </c>
      <c r="F46" s="134"/>
    </row>
    <row r="47" spans="1:6" ht="15" customHeight="1" x14ac:dyDescent="0.25">
      <c r="A47" s="7" t="s">
        <v>36</v>
      </c>
      <c r="B47" s="7" t="s">
        <v>35</v>
      </c>
      <c r="C47" s="7">
        <v>89676349833</v>
      </c>
      <c r="E47" s="135" t="s">
        <v>304</v>
      </c>
      <c r="F47" s="134"/>
    </row>
    <row r="48" spans="1:6" ht="15" customHeight="1" x14ac:dyDescent="0.25">
      <c r="A48" s="7" t="s">
        <v>69</v>
      </c>
      <c r="B48" s="7" t="s">
        <v>68</v>
      </c>
      <c r="C48" s="12">
        <v>89115091687</v>
      </c>
      <c r="E48" s="135" t="s">
        <v>306</v>
      </c>
      <c r="F48" s="134"/>
    </row>
    <row r="49" spans="1:6" ht="15" customHeight="1" x14ac:dyDescent="0.25">
      <c r="A49" s="69"/>
      <c r="B49" s="69"/>
      <c r="C49" s="12"/>
      <c r="E49" s="136" t="s">
        <v>308</v>
      </c>
      <c r="F49" s="134"/>
    </row>
    <row r="50" spans="1:6" ht="15" customHeight="1" x14ac:dyDescent="0.25">
      <c r="A50" s="69"/>
      <c r="B50" s="69"/>
      <c r="C50" s="12"/>
      <c r="E50" s="133" t="s">
        <v>310</v>
      </c>
      <c r="F50" s="134"/>
    </row>
    <row r="51" spans="1:6" ht="15" customHeight="1" x14ac:dyDescent="0.25">
      <c r="A51" s="69"/>
      <c r="B51" s="69"/>
      <c r="C51" s="12"/>
      <c r="E51" s="133" t="s">
        <v>316</v>
      </c>
      <c r="F51" s="134"/>
    </row>
    <row r="52" spans="1:6" ht="15" customHeight="1" x14ac:dyDescent="0.25">
      <c r="A52" s="7" t="s">
        <v>89</v>
      </c>
      <c r="B52" s="7" t="s">
        <v>39</v>
      </c>
      <c r="C52" s="7" t="s">
        <v>92</v>
      </c>
      <c r="E52" s="133" t="s">
        <v>317</v>
      </c>
      <c r="F52" s="134"/>
    </row>
    <row r="53" spans="1:6" ht="15" customHeight="1" x14ac:dyDescent="0.25">
      <c r="A53" s="15" t="s">
        <v>83</v>
      </c>
      <c r="B53" s="15" t="s">
        <v>41</v>
      </c>
      <c r="C53" s="15">
        <v>89128288445</v>
      </c>
      <c r="E53" s="133" t="s">
        <v>318</v>
      </c>
      <c r="F53" s="134"/>
    </row>
    <row r="54" spans="1:6" ht="15" customHeight="1" x14ac:dyDescent="0.25">
      <c r="A54" s="15"/>
      <c r="B54" s="15"/>
      <c r="C54" s="15"/>
      <c r="E54" s="136" t="s">
        <v>319</v>
      </c>
      <c r="F54" s="134"/>
    </row>
    <row r="55" spans="1:6" ht="15" customHeight="1" x14ac:dyDescent="0.25">
      <c r="A55" s="15"/>
      <c r="B55" s="15"/>
      <c r="C55" s="15"/>
      <c r="E55" s="136" t="s">
        <v>586</v>
      </c>
      <c r="F55" s="134"/>
    </row>
    <row r="56" spans="1:6" ht="15" customHeight="1" x14ac:dyDescent="0.25">
      <c r="A56" s="15"/>
      <c r="B56" s="15"/>
      <c r="C56" s="15"/>
      <c r="E56" s="136" t="s">
        <v>598</v>
      </c>
      <c r="F56" s="134"/>
    </row>
    <row r="57" spans="1:6" ht="15" customHeight="1" x14ac:dyDescent="0.25">
      <c r="A57" s="7" t="s">
        <v>99</v>
      </c>
      <c r="B57" s="7" t="s">
        <v>57</v>
      </c>
      <c r="C57" s="7">
        <v>89211322060</v>
      </c>
      <c r="F57" s="134"/>
    </row>
    <row r="58" spans="1:6" ht="15" customHeight="1" x14ac:dyDescent="0.25">
      <c r="A58" s="69"/>
      <c r="B58" s="69"/>
      <c r="C58" s="69"/>
      <c r="F58" s="134"/>
    </row>
    <row r="59" spans="1:6" ht="15" customHeight="1" x14ac:dyDescent="0.25">
      <c r="A59" s="7" t="s">
        <v>55</v>
      </c>
      <c r="B59" s="7" t="s">
        <v>56</v>
      </c>
      <c r="C59" s="7">
        <v>89221937415</v>
      </c>
      <c r="E59" s="133" t="s">
        <v>161</v>
      </c>
      <c r="F59" s="134"/>
    </row>
    <row r="60" spans="1:6" ht="15" customHeight="1" x14ac:dyDescent="0.25">
      <c r="A60" s="15" t="s">
        <v>33</v>
      </c>
      <c r="B60" s="15" t="s">
        <v>34</v>
      </c>
      <c r="C60" s="15">
        <v>89824528695</v>
      </c>
      <c r="E60" s="136" t="s">
        <v>1153</v>
      </c>
      <c r="F60" s="134"/>
    </row>
    <row r="61" spans="1:6" ht="15" customHeight="1" x14ac:dyDescent="0.25">
      <c r="A61" s="7" t="s">
        <v>106</v>
      </c>
      <c r="B61" s="7" t="s">
        <v>51</v>
      </c>
      <c r="C61" s="7">
        <v>89292379910</v>
      </c>
      <c r="E61" s="136" t="s">
        <v>209</v>
      </c>
      <c r="F61" s="134"/>
    </row>
    <row r="62" spans="1:6" ht="15" customHeight="1" x14ac:dyDescent="0.25">
      <c r="A62" s="7" t="s">
        <v>87</v>
      </c>
      <c r="B62" s="7" t="s">
        <v>30</v>
      </c>
      <c r="C62" s="7">
        <v>79096232390</v>
      </c>
      <c r="E62" s="136" t="s">
        <v>222</v>
      </c>
      <c r="F62" s="134"/>
    </row>
    <row r="63" spans="1:6" ht="15" customHeight="1" x14ac:dyDescent="0.25">
      <c r="A63" s="7" t="s">
        <v>88</v>
      </c>
      <c r="B63" s="7" t="s">
        <v>31</v>
      </c>
      <c r="C63" s="7">
        <v>89102494949</v>
      </c>
      <c r="E63" s="133" t="s">
        <v>189</v>
      </c>
      <c r="F63" s="134"/>
    </row>
    <row r="64" spans="1:6" ht="15" customHeight="1" x14ac:dyDescent="0.25">
      <c r="A64" s="7" t="s">
        <v>107</v>
      </c>
      <c r="B64" s="7" t="s">
        <v>64</v>
      </c>
      <c r="C64" s="15" t="s">
        <v>118</v>
      </c>
      <c r="E64" s="133" t="s">
        <v>159</v>
      </c>
      <c r="F64" s="134"/>
    </row>
    <row r="65" spans="1:6" ht="15" customHeight="1" x14ac:dyDescent="0.25">
      <c r="A65" s="7"/>
      <c r="B65" s="7"/>
      <c r="C65" s="15"/>
      <c r="E65" s="133" t="s">
        <v>158</v>
      </c>
      <c r="F65" s="134"/>
    </row>
    <row r="66" spans="1:6" ht="15" customHeight="1" x14ac:dyDescent="0.25">
      <c r="A66" s="69"/>
      <c r="B66" s="69"/>
      <c r="C66" s="15"/>
      <c r="E66" s="133" t="s">
        <v>897</v>
      </c>
      <c r="F66" s="134"/>
    </row>
    <row r="67" spans="1:6" ht="15" customHeight="1" x14ac:dyDescent="0.25">
      <c r="A67" s="7"/>
      <c r="B67" s="7"/>
      <c r="C67" s="15"/>
      <c r="E67" s="133" t="s">
        <v>213</v>
      </c>
      <c r="F67" s="134"/>
    </row>
    <row r="68" spans="1:6" ht="15" customHeight="1" x14ac:dyDescent="0.25">
      <c r="A68" s="7" t="s">
        <v>116</v>
      </c>
      <c r="B68" s="7" t="s">
        <v>117</v>
      </c>
      <c r="C68" s="17">
        <v>89053743966</v>
      </c>
      <c r="E68" s="133" t="s">
        <v>197</v>
      </c>
      <c r="F68" s="134"/>
    </row>
    <row r="69" spans="1:6" ht="15" customHeight="1" x14ac:dyDescent="0.25">
      <c r="A69" s="15" t="s">
        <v>104</v>
      </c>
      <c r="B69" s="18" t="s">
        <v>130</v>
      </c>
      <c r="C69" s="12">
        <v>79047988895</v>
      </c>
      <c r="E69" s="133" t="s">
        <v>198</v>
      </c>
      <c r="F69" s="134"/>
    </row>
    <row r="70" spans="1:6" ht="15" customHeight="1" x14ac:dyDescent="0.25">
      <c r="A70" s="7" t="s">
        <v>105</v>
      </c>
      <c r="B70" s="7" t="s">
        <v>61</v>
      </c>
      <c r="C70" s="12">
        <v>89501689423</v>
      </c>
      <c r="E70" s="133" t="s">
        <v>320</v>
      </c>
      <c r="F70" s="134"/>
    </row>
    <row r="71" spans="1:6" ht="15" customHeight="1" x14ac:dyDescent="0.25">
      <c r="A71" s="7" t="s">
        <v>86</v>
      </c>
      <c r="B71" s="7" t="s">
        <v>32</v>
      </c>
      <c r="C71" s="7">
        <v>79375721271</v>
      </c>
      <c r="E71" s="133" t="s">
        <v>210</v>
      </c>
      <c r="F71" s="134"/>
    </row>
    <row r="72" spans="1:6" ht="15" customHeight="1" x14ac:dyDescent="0.25">
      <c r="A72" s="7" t="s">
        <v>113</v>
      </c>
      <c r="B72" s="7" t="s">
        <v>76</v>
      </c>
      <c r="C72" s="16" t="s">
        <v>121</v>
      </c>
      <c r="E72" s="133" t="s">
        <v>221</v>
      </c>
      <c r="F72" s="134"/>
    </row>
    <row r="73" spans="1:6" ht="15" customHeight="1" x14ac:dyDescent="0.25">
      <c r="A73" s="7" t="s">
        <v>114</v>
      </c>
      <c r="B73" s="7" t="s">
        <v>78</v>
      </c>
      <c r="C73" s="17">
        <v>89120559741</v>
      </c>
      <c r="E73" s="133" t="s">
        <v>188</v>
      </c>
      <c r="F73" s="134"/>
    </row>
    <row r="74" spans="1:6" ht="15" customHeight="1" x14ac:dyDescent="0.25">
      <c r="A74" s="69"/>
      <c r="B74" s="69"/>
      <c r="C74" s="17"/>
      <c r="E74" s="133" t="s">
        <v>173</v>
      </c>
      <c r="F74" s="134"/>
    </row>
    <row r="75" spans="1:6" ht="15" customHeight="1" x14ac:dyDescent="0.25">
      <c r="A75" s="7" t="s">
        <v>103</v>
      </c>
      <c r="B75" s="7" t="s">
        <v>60</v>
      </c>
      <c r="C75" s="7">
        <v>89065103353</v>
      </c>
      <c r="E75" s="133" t="s">
        <v>174</v>
      </c>
      <c r="F75" s="134"/>
    </row>
    <row r="76" spans="1:6" ht="15" customHeight="1" x14ac:dyDescent="0.25">
      <c r="A76" s="69"/>
      <c r="B76" s="69"/>
      <c r="C76" s="69"/>
      <c r="E76" s="133" t="s">
        <v>1458</v>
      </c>
      <c r="F76" s="134"/>
    </row>
    <row r="77" spans="1:6" ht="15" customHeight="1" x14ac:dyDescent="0.25">
      <c r="A77" s="69"/>
      <c r="B77" s="69"/>
      <c r="C77" s="69"/>
      <c r="E77" s="133" t="s">
        <v>2105</v>
      </c>
      <c r="F77" s="134"/>
    </row>
    <row r="78" spans="1:6" ht="15" customHeight="1" x14ac:dyDescent="0.25">
      <c r="A78" s="7" t="s">
        <v>100</v>
      </c>
      <c r="B78" s="7" t="s">
        <v>128</v>
      </c>
      <c r="C78" s="7" t="s">
        <v>58</v>
      </c>
      <c r="E78" s="133" t="s">
        <v>321</v>
      </c>
      <c r="F78" s="134"/>
    </row>
    <row r="79" spans="1:6" ht="15" customHeight="1" x14ac:dyDescent="0.25">
      <c r="A79" s="7" t="s">
        <v>96</v>
      </c>
      <c r="B79" s="7" t="s">
        <v>48</v>
      </c>
      <c r="C79" s="7">
        <v>89806514693</v>
      </c>
      <c r="E79" s="133" t="s">
        <v>199</v>
      </c>
      <c r="F79" s="134"/>
    </row>
    <row r="80" spans="1:6" ht="15" customHeight="1" x14ac:dyDescent="0.25">
      <c r="A80" s="104"/>
      <c r="B80" s="104"/>
      <c r="C80" s="104"/>
      <c r="E80" s="133" t="s">
        <v>200</v>
      </c>
      <c r="F80" s="134"/>
    </row>
    <row r="81" spans="1:6" ht="15" customHeight="1" x14ac:dyDescent="0.25">
      <c r="A81" s="104"/>
      <c r="B81" s="104"/>
      <c r="C81" s="104"/>
      <c r="E81" s="133" t="s">
        <v>201</v>
      </c>
      <c r="F81" s="134"/>
    </row>
    <row r="82" spans="1:6" ht="15" customHeight="1" x14ac:dyDescent="0.25">
      <c r="A82" s="104"/>
      <c r="B82" s="104"/>
      <c r="C82" s="104"/>
      <c r="E82" s="133" t="s">
        <v>1190</v>
      </c>
      <c r="F82" s="134"/>
    </row>
    <row r="83" spans="1:6" ht="15" customHeight="1" x14ac:dyDescent="0.25">
      <c r="E83" s="133" t="s">
        <v>202</v>
      </c>
      <c r="F83" s="134"/>
    </row>
    <row r="84" spans="1:6" ht="15" customHeight="1" x14ac:dyDescent="0.25">
      <c r="E84" s="133" t="s">
        <v>196</v>
      </c>
      <c r="F84" s="134"/>
    </row>
    <row r="85" spans="1:6" ht="15" customHeight="1" x14ac:dyDescent="0.25">
      <c r="E85" s="133" t="s">
        <v>217</v>
      </c>
      <c r="F85" s="134"/>
    </row>
    <row r="86" spans="1:6" ht="15" customHeight="1" x14ac:dyDescent="0.25">
      <c r="E86" s="133" t="s">
        <v>179</v>
      </c>
      <c r="F86" s="138"/>
    </row>
    <row r="87" spans="1:6" ht="15" customHeight="1" x14ac:dyDescent="0.25">
      <c r="E87" s="133" t="s">
        <v>192</v>
      </c>
      <c r="F87" s="140"/>
    </row>
    <row r="88" spans="1:6" ht="15" customHeight="1" x14ac:dyDescent="0.25">
      <c r="E88" s="133" t="s">
        <v>887</v>
      </c>
      <c r="F88" s="140"/>
    </row>
    <row r="89" spans="1:6" ht="15" customHeight="1" x14ac:dyDescent="0.25">
      <c r="E89" s="133" t="s">
        <v>1286</v>
      </c>
      <c r="F89" s="140"/>
    </row>
    <row r="90" spans="1:6" ht="15" customHeight="1" x14ac:dyDescent="0.25">
      <c r="E90" s="133" t="s">
        <v>399</v>
      </c>
      <c r="F90" s="140"/>
    </row>
    <row r="91" spans="1:6" ht="15" customHeight="1" x14ac:dyDescent="0.25">
      <c r="E91" s="133" t="s">
        <v>322</v>
      </c>
    </row>
    <row r="92" spans="1:6" ht="15" customHeight="1" x14ac:dyDescent="0.25">
      <c r="E92" s="133" t="s">
        <v>323</v>
      </c>
    </row>
    <row r="93" spans="1:6" ht="15" customHeight="1" x14ac:dyDescent="0.25">
      <c r="E93" s="133" t="s">
        <v>513</v>
      </c>
    </row>
    <row r="94" spans="1:6" ht="15" customHeight="1" x14ac:dyDescent="0.25">
      <c r="E94" s="133" t="s">
        <v>1489</v>
      </c>
    </row>
    <row r="95" spans="1:6" ht="15" customHeight="1" x14ac:dyDescent="0.25">
      <c r="E95" s="133" t="s">
        <v>2146</v>
      </c>
    </row>
    <row r="96" spans="1:6" ht="15" customHeight="1" x14ac:dyDescent="0.25">
      <c r="E96" s="133" t="s">
        <v>203</v>
      </c>
    </row>
    <row r="97" spans="5:5" ht="15" customHeight="1" x14ac:dyDescent="0.25">
      <c r="E97" s="133" t="s">
        <v>204</v>
      </c>
    </row>
    <row r="98" spans="5:5" ht="15" customHeight="1" x14ac:dyDescent="0.25">
      <c r="E98" s="133" t="s">
        <v>175</v>
      </c>
    </row>
    <row r="99" spans="5:5" ht="15" customHeight="1" x14ac:dyDescent="0.25">
      <c r="E99" s="133" t="s">
        <v>176</v>
      </c>
    </row>
    <row r="100" spans="5:5" ht="15" customHeight="1" x14ac:dyDescent="0.25">
      <c r="E100" s="133" t="s">
        <v>205</v>
      </c>
    </row>
    <row r="101" spans="5:5" ht="15" customHeight="1" x14ac:dyDescent="0.25">
      <c r="E101" s="133" t="s">
        <v>206</v>
      </c>
    </row>
    <row r="102" spans="5:5" ht="15" customHeight="1" x14ac:dyDescent="0.25">
      <c r="E102" s="133" t="s">
        <v>324</v>
      </c>
    </row>
    <row r="103" spans="5:5" ht="15" customHeight="1" x14ac:dyDescent="0.25">
      <c r="E103" s="133" t="s">
        <v>325</v>
      </c>
    </row>
    <row r="104" spans="5:5" ht="15" customHeight="1" x14ac:dyDescent="0.25">
      <c r="E104" s="133" t="s">
        <v>190</v>
      </c>
    </row>
    <row r="105" spans="5:5" ht="15" customHeight="1" x14ac:dyDescent="0.25">
      <c r="E105" s="133" t="s">
        <v>326</v>
      </c>
    </row>
    <row r="106" spans="5:5" ht="15" customHeight="1" x14ac:dyDescent="0.25">
      <c r="E106" s="133" t="s">
        <v>327</v>
      </c>
    </row>
    <row r="107" spans="5:5" ht="15" customHeight="1" x14ac:dyDescent="0.25">
      <c r="E107" s="133" t="s">
        <v>223</v>
      </c>
    </row>
    <row r="108" spans="5:5" ht="15" customHeight="1" x14ac:dyDescent="0.25">
      <c r="E108" s="133" t="s">
        <v>328</v>
      </c>
    </row>
    <row r="109" spans="5:5" ht="15" customHeight="1" x14ac:dyDescent="0.25">
      <c r="E109" s="133" t="s">
        <v>195</v>
      </c>
    </row>
    <row r="110" spans="5:5" ht="15" customHeight="1" x14ac:dyDescent="0.25">
      <c r="E110" s="133" t="s">
        <v>214</v>
      </c>
    </row>
    <row r="111" spans="5:5" ht="15" customHeight="1" x14ac:dyDescent="0.25">
      <c r="E111" s="133" t="s">
        <v>1069</v>
      </c>
    </row>
    <row r="112" spans="5:5" ht="15" customHeight="1" x14ac:dyDescent="0.25">
      <c r="E112" s="133" t="s">
        <v>1226</v>
      </c>
    </row>
    <row r="113" spans="5:5" ht="15" customHeight="1" x14ac:dyDescent="0.25">
      <c r="E113" s="133" t="s">
        <v>329</v>
      </c>
    </row>
    <row r="114" spans="5:5" ht="15" customHeight="1" x14ac:dyDescent="0.25">
      <c r="E114" s="133" t="s">
        <v>1778</v>
      </c>
    </row>
    <row r="115" spans="5:5" ht="15" customHeight="1" x14ac:dyDescent="0.25">
      <c r="E115" s="133" t="s">
        <v>344</v>
      </c>
    </row>
    <row r="116" spans="5:5" ht="15" customHeight="1" x14ac:dyDescent="0.25">
      <c r="E116" s="133" t="s">
        <v>400</v>
      </c>
    </row>
    <row r="117" spans="5:5" ht="15" customHeight="1" x14ac:dyDescent="0.25">
      <c r="E117" s="137" t="s">
        <v>330</v>
      </c>
    </row>
    <row r="118" spans="5:5" ht="15" customHeight="1" x14ac:dyDescent="0.25">
      <c r="E118" s="137" t="s">
        <v>331</v>
      </c>
    </row>
    <row r="119" spans="5:5" ht="15" customHeight="1" x14ac:dyDescent="0.25">
      <c r="E119" s="137" t="s">
        <v>164</v>
      </c>
    </row>
    <row r="120" spans="5:5" ht="15" customHeight="1" x14ac:dyDescent="0.25">
      <c r="E120" s="137" t="s">
        <v>193</v>
      </c>
    </row>
    <row r="121" spans="5:5" ht="15" customHeight="1" x14ac:dyDescent="0.25">
      <c r="E121" s="137" t="s">
        <v>1070</v>
      </c>
    </row>
    <row r="122" spans="5:5" ht="15" customHeight="1" x14ac:dyDescent="0.25">
      <c r="E122" s="139" t="s">
        <v>177</v>
      </c>
    </row>
    <row r="123" spans="5:5" ht="15" customHeight="1" x14ac:dyDescent="0.25">
      <c r="E123" s="133" t="s">
        <v>178</v>
      </c>
    </row>
    <row r="124" spans="5:5" ht="15" customHeight="1" x14ac:dyDescent="0.25">
      <c r="E124" s="135" t="s">
        <v>180</v>
      </c>
    </row>
    <row r="125" spans="5:5" ht="15" customHeight="1" x14ac:dyDescent="0.25">
      <c r="E125" s="135" t="s">
        <v>194</v>
      </c>
    </row>
    <row r="126" spans="5:5" ht="15" customHeight="1" x14ac:dyDescent="0.25">
      <c r="E126" s="135" t="s">
        <v>332</v>
      </c>
    </row>
    <row r="127" spans="5:5" ht="15" customHeight="1" x14ac:dyDescent="0.25">
      <c r="E127" s="135" t="s">
        <v>342</v>
      </c>
    </row>
    <row r="128" spans="5:5" ht="15" customHeight="1" x14ac:dyDescent="0.25">
      <c r="E128" s="135" t="s">
        <v>760</v>
      </c>
    </row>
    <row r="129" spans="5:5" ht="15" customHeight="1" x14ac:dyDescent="0.25">
      <c r="E129" s="135" t="s">
        <v>333</v>
      </c>
    </row>
    <row r="130" spans="5:5" ht="15" customHeight="1" x14ac:dyDescent="0.25">
      <c r="E130" s="135" t="s">
        <v>343</v>
      </c>
    </row>
    <row r="131" spans="5:5" ht="15" customHeight="1" x14ac:dyDescent="0.25">
      <c r="E131" s="135" t="s">
        <v>207</v>
      </c>
    </row>
    <row r="132" spans="5:5" ht="15" customHeight="1" x14ac:dyDescent="0.25">
      <c r="E132" s="135" t="s">
        <v>621</v>
      </c>
    </row>
    <row r="133" spans="5:5" ht="15" customHeight="1" x14ac:dyDescent="0.25">
      <c r="E133" s="135" t="s">
        <v>191</v>
      </c>
    </row>
    <row r="134" spans="5:5" ht="15" customHeight="1" x14ac:dyDescent="0.25">
      <c r="E134" s="135" t="s">
        <v>334</v>
      </c>
    </row>
    <row r="135" spans="5:5" ht="15" customHeight="1" x14ac:dyDescent="0.25">
      <c r="E135" s="135" t="s">
        <v>335</v>
      </c>
    </row>
    <row r="136" spans="5:5" ht="15" customHeight="1" x14ac:dyDescent="0.25">
      <c r="E136" s="135" t="s">
        <v>340</v>
      </c>
    </row>
    <row r="137" spans="5:5" ht="15" customHeight="1" x14ac:dyDescent="0.25">
      <c r="E137" s="135" t="s">
        <v>336</v>
      </c>
    </row>
    <row r="138" spans="5:5" ht="15.75" x14ac:dyDescent="0.25">
      <c r="E138" s="135" t="s">
        <v>341</v>
      </c>
    </row>
    <row r="139" spans="5:5" ht="15.75" x14ac:dyDescent="0.25">
      <c r="E139" s="135" t="s">
        <v>337</v>
      </c>
    </row>
    <row r="140" spans="5:5" ht="15.75" x14ac:dyDescent="0.25">
      <c r="E140" s="135" t="s">
        <v>338</v>
      </c>
    </row>
    <row r="141" spans="5:5" ht="15.75" x14ac:dyDescent="0.25">
      <c r="E141" s="135" t="s">
        <v>1441</v>
      </c>
    </row>
    <row r="142" spans="5:5" ht="15.6" customHeight="1" x14ac:dyDescent="0.25">
      <c r="E142" s="136" t="s">
        <v>211</v>
      </c>
    </row>
    <row r="143" spans="5:5" ht="15.75" x14ac:dyDescent="0.25">
      <c r="E143" s="141" t="s">
        <v>339</v>
      </c>
    </row>
    <row r="144" spans="5:5" ht="15.75" x14ac:dyDescent="0.25">
      <c r="E144" s="141" t="s">
        <v>215</v>
      </c>
    </row>
    <row r="145" spans="5:5" ht="15.75" x14ac:dyDescent="0.25">
      <c r="E145" s="141" t="s">
        <v>585</v>
      </c>
    </row>
    <row r="146" spans="5:5" ht="15.75" x14ac:dyDescent="0.25">
      <c r="E146" s="141" t="s">
        <v>186</v>
      </c>
    </row>
    <row r="147" spans="5:5" ht="15.75" x14ac:dyDescent="0.25">
      <c r="E147" s="136" t="s">
        <v>184</v>
      </c>
    </row>
    <row r="148" spans="5:5" ht="15.75" x14ac:dyDescent="0.25">
      <c r="E148" s="135" t="s">
        <v>185</v>
      </c>
    </row>
    <row r="149" spans="5:5" ht="15.75" x14ac:dyDescent="0.25">
      <c r="E149" s="136" t="s">
        <v>212</v>
      </c>
    </row>
    <row r="150" spans="5:5" ht="15.75" x14ac:dyDescent="0.25">
      <c r="E150" s="136" t="s">
        <v>994</v>
      </c>
    </row>
    <row r="151" spans="5:5" ht="15.75" x14ac:dyDescent="0.25">
      <c r="E151" s="136" t="s">
        <v>1018</v>
      </c>
    </row>
    <row r="152" spans="5:5" ht="15.75" x14ac:dyDescent="0.25">
      <c r="E152" s="136" t="s">
        <v>1118</v>
      </c>
    </row>
    <row r="153" spans="5:5" ht="15.75" x14ac:dyDescent="0.25">
      <c r="E153" s="136" t="s">
        <v>1705</v>
      </c>
    </row>
    <row r="154" spans="5:5" ht="15.75" x14ac:dyDescent="0.25">
      <c r="E154" s="136" t="s">
        <v>1587</v>
      </c>
    </row>
  </sheetData>
  <sortState xmlns:xlrd2="http://schemas.microsoft.com/office/spreadsheetml/2017/richdata2" ref="A3:C52">
    <sortCondition ref="B3:B52"/>
  </sortState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9"/>
  <dimension ref="B1:AI26"/>
  <sheetViews>
    <sheetView zoomScale="80" zoomScaleNormal="80" workbookViewId="0">
      <selection activeCell="D3" sqref="D3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ht="15.75" thickBot="1" x14ac:dyDescent="0.3">
      <c r="D1" s="22">
        <v>43617</v>
      </c>
      <c r="E1" s="22">
        <v>43618</v>
      </c>
      <c r="F1" s="22">
        <v>43619</v>
      </c>
      <c r="G1" s="22">
        <v>43620</v>
      </c>
      <c r="H1" s="22">
        <v>43621</v>
      </c>
      <c r="I1" s="22">
        <v>43622</v>
      </c>
      <c r="J1" s="22">
        <v>43623</v>
      </c>
      <c r="K1" s="22">
        <v>43624</v>
      </c>
      <c r="L1" s="22">
        <v>43625</v>
      </c>
      <c r="M1" s="22">
        <v>43626</v>
      </c>
      <c r="N1" s="22">
        <v>43627</v>
      </c>
      <c r="O1" s="22">
        <v>43628</v>
      </c>
      <c r="P1" s="22">
        <v>43629</v>
      </c>
      <c r="Q1" s="22">
        <v>43630</v>
      </c>
      <c r="R1" s="22">
        <v>43631</v>
      </c>
      <c r="S1" s="22">
        <v>43632</v>
      </c>
      <c r="T1" s="22">
        <v>43633</v>
      </c>
      <c r="U1" s="22">
        <v>43634</v>
      </c>
      <c r="V1" s="22">
        <v>43635</v>
      </c>
      <c r="W1" s="22">
        <v>43636</v>
      </c>
      <c r="X1" s="22">
        <v>43637</v>
      </c>
      <c r="Y1" s="22">
        <v>43638</v>
      </c>
      <c r="Z1" s="22">
        <v>43639</v>
      </c>
      <c r="AA1" s="22">
        <v>43640</v>
      </c>
      <c r="AB1" s="22">
        <v>43641</v>
      </c>
      <c r="AC1" s="22">
        <v>43642</v>
      </c>
      <c r="AD1" s="22">
        <v>43643</v>
      </c>
      <c r="AE1" s="22">
        <v>43644</v>
      </c>
      <c r="AF1" s="22">
        <v>43645</v>
      </c>
      <c r="AG1" s="22">
        <v>43646</v>
      </c>
      <c r="AH1" s="22" t="s">
        <v>151</v>
      </c>
      <c r="AI1" s="23"/>
    </row>
    <row r="2" spans="2:35" ht="16.5" thickBot="1" x14ac:dyDescent="0.3">
      <c r="D2" s="45">
        <v>1</v>
      </c>
      <c r="E2" s="46">
        <v>2</v>
      </c>
      <c r="F2" s="45">
        <v>3</v>
      </c>
      <c r="G2" s="46">
        <v>4</v>
      </c>
      <c r="H2" s="45">
        <v>5</v>
      </c>
      <c r="I2" s="47">
        <v>6</v>
      </c>
      <c r="J2" s="48">
        <v>7</v>
      </c>
      <c r="K2" s="47">
        <v>8</v>
      </c>
      <c r="L2" s="45">
        <v>9</v>
      </c>
      <c r="M2" s="46">
        <v>10</v>
      </c>
      <c r="N2" s="45">
        <v>11</v>
      </c>
      <c r="O2" s="46">
        <v>12</v>
      </c>
      <c r="P2" s="48">
        <v>13</v>
      </c>
      <c r="Q2" s="47">
        <v>14</v>
      </c>
      <c r="R2" s="48">
        <v>15</v>
      </c>
      <c r="S2" s="47">
        <v>16</v>
      </c>
      <c r="T2" s="48">
        <v>17</v>
      </c>
      <c r="U2" s="46">
        <v>18</v>
      </c>
      <c r="V2" s="45">
        <v>19</v>
      </c>
      <c r="W2" s="47">
        <v>20</v>
      </c>
      <c r="X2" s="48">
        <v>21</v>
      </c>
      <c r="Y2" s="47">
        <v>22</v>
      </c>
      <c r="Z2" s="48">
        <v>23</v>
      </c>
      <c r="AA2" s="47">
        <v>24</v>
      </c>
      <c r="AB2" s="45">
        <v>25</v>
      </c>
      <c r="AC2" s="46">
        <v>26</v>
      </c>
      <c r="AD2" s="48">
        <v>27</v>
      </c>
      <c r="AE2" s="47">
        <v>28</v>
      </c>
      <c r="AF2" s="48">
        <v>29</v>
      </c>
      <c r="AG2" s="47">
        <v>30</v>
      </c>
      <c r="AH2" s="48">
        <v>31</v>
      </c>
      <c r="AI2" s="23"/>
    </row>
    <row r="3" spans="2:35" ht="15.75" x14ac:dyDescent="0.25">
      <c r="B3" s="35" t="s">
        <v>131</v>
      </c>
      <c r="C3" s="24">
        <v>22.68</v>
      </c>
      <c r="D3" s="41" t="e">
        <f>SUMIFS(#REF!,#REF!,$B3,#REF!,D$1)</f>
        <v>#REF!</v>
      </c>
      <c r="E3" s="41" t="e">
        <f>SUMIFS(#REF!,#REF!,$B3,#REF!,E$1)</f>
        <v>#REF!</v>
      </c>
      <c r="F3" s="41" t="e">
        <f>SUMIFS(#REF!,#REF!,$B3,#REF!,F$1)</f>
        <v>#REF!</v>
      </c>
      <c r="G3" s="41" t="e">
        <f>SUMIFS(#REF!,#REF!,$B3,#REF!,G$1)</f>
        <v>#REF!</v>
      </c>
      <c r="H3" s="41" t="e">
        <f>SUMIFS(#REF!,#REF!,$B3,#REF!,H$1)</f>
        <v>#REF!</v>
      </c>
      <c r="I3" s="41" t="e">
        <f>SUMIFS(#REF!,#REF!,$B3,#REF!,I$1)</f>
        <v>#REF!</v>
      </c>
      <c r="J3" s="41" t="e">
        <f>SUMIFS(#REF!,#REF!,$B3,#REF!,J$1)</f>
        <v>#REF!</v>
      </c>
      <c r="K3" s="41" t="e">
        <f>SUMIFS(#REF!,#REF!,$B3,#REF!,K$1)</f>
        <v>#REF!</v>
      </c>
      <c r="L3" s="41" t="e">
        <f>SUMIFS(#REF!,#REF!,$B3,#REF!,L$1)</f>
        <v>#REF!</v>
      </c>
      <c r="M3" s="41" t="e">
        <f>SUMIFS(#REF!,#REF!,$B3,#REF!,M$1)</f>
        <v>#REF!</v>
      </c>
      <c r="N3" s="41" t="e">
        <f>SUMIFS(#REF!,#REF!,$B3,#REF!,N$1)</f>
        <v>#REF!</v>
      </c>
      <c r="O3" s="41" t="e">
        <f>SUMIFS(#REF!,#REF!,$B3,#REF!,O$1)</f>
        <v>#REF!</v>
      </c>
      <c r="P3" s="41" t="e">
        <f>SUMIFS(#REF!,#REF!,$B3,#REF!,P$1)</f>
        <v>#REF!</v>
      </c>
      <c r="Q3" s="41" t="e">
        <f>SUMIFS(#REF!,#REF!,$B3,#REF!,Q$1)</f>
        <v>#REF!</v>
      </c>
      <c r="R3" s="41" t="e">
        <f>SUMIFS(#REF!,#REF!,$B3,#REF!,R$1)</f>
        <v>#REF!</v>
      </c>
      <c r="S3" s="41" t="e">
        <f>SUMIFS(#REF!,#REF!,$B3,#REF!,S$1)</f>
        <v>#REF!</v>
      </c>
      <c r="T3" s="41" t="e">
        <f>SUMIFS(#REF!,#REF!,$B3,#REF!,T$1)</f>
        <v>#REF!</v>
      </c>
      <c r="U3" s="41" t="e">
        <f>SUMIFS(#REF!,#REF!,$B3,#REF!,U$1)</f>
        <v>#REF!</v>
      </c>
      <c r="V3" s="41" t="e">
        <f>SUMIFS(#REF!,#REF!,$B3,#REF!,V$1)</f>
        <v>#REF!</v>
      </c>
      <c r="W3" s="41" t="e">
        <f>SUMIFS(#REF!,#REF!,$B3,#REF!,W$1)</f>
        <v>#REF!</v>
      </c>
      <c r="X3" s="41" t="e">
        <f>SUMIFS(#REF!,#REF!,$B3,#REF!,X$1)</f>
        <v>#REF!</v>
      </c>
      <c r="Y3" s="41" t="e">
        <f>SUMIFS(#REF!,#REF!,$B3,#REF!,Y$1)</f>
        <v>#REF!</v>
      </c>
      <c r="Z3" s="41" t="e">
        <f>SUMIFS(#REF!,#REF!,$B3,#REF!,Z$1)</f>
        <v>#REF!</v>
      </c>
      <c r="AA3" s="41" t="e">
        <f>SUMIFS(#REF!,#REF!,$B3,#REF!,AA$1)</f>
        <v>#REF!</v>
      </c>
      <c r="AB3" s="41" t="e">
        <f>SUMIFS(#REF!,#REF!,$B3,#REF!,AB$1)</f>
        <v>#REF!</v>
      </c>
      <c r="AC3" s="41" t="e">
        <f>SUMIFS(#REF!,#REF!,$B3,#REF!,AC$1)</f>
        <v>#REF!</v>
      </c>
      <c r="AD3" s="41" t="e">
        <f>SUMIFS(#REF!,#REF!,$B3,#REF!,AD$1)</f>
        <v>#REF!</v>
      </c>
      <c r="AE3" s="41" t="e">
        <f>SUMIFS(#REF!,#REF!,$B3,#REF!,AE$1)</f>
        <v>#REF!</v>
      </c>
      <c r="AF3" s="41" t="e">
        <f>SUMIFS(#REF!,#REF!,$B3,#REF!,AF$1)</f>
        <v>#REF!</v>
      </c>
      <c r="AG3" s="41" t="e">
        <f>SUMIFS(#REF!,#REF!,$B3,#REF!,AG$1)</f>
        <v>#REF!</v>
      </c>
      <c r="AH3" s="41" t="e">
        <f>SUMIFS(#REF!,#REF!,$B3,#REF!,AH$1)</f>
        <v>#REF!</v>
      </c>
      <c r="AI3" s="49" t="e">
        <f t="shared" ref="AI3:AI10" si="0">SUM(D3:AH3)</f>
        <v>#REF!</v>
      </c>
    </row>
    <row r="4" spans="2:35" ht="15.75" x14ac:dyDescent="0.25">
      <c r="B4" s="36" t="s">
        <v>132</v>
      </c>
      <c r="C4" s="25">
        <v>25</v>
      </c>
      <c r="D4" s="20" t="e">
        <f>SUMIFS(#REF!,#REF!,$B4,#REF!,D$1)</f>
        <v>#REF!</v>
      </c>
      <c r="E4" s="20" t="e">
        <f>SUMIFS(#REF!,#REF!,$B4,#REF!,E$1)</f>
        <v>#REF!</v>
      </c>
      <c r="F4" s="20" t="e">
        <f>SUMIFS(#REF!,#REF!,$B4,#REF!,F$1)</f>
        <v>#REF!</v>
      </c>
      <c r="G4" s="20" t="e">
        <f>SUMIFS(#REF!,#REF!,$B4,#REF!,G$1)</f>
        <v>#REF!</v>
      </c>
      <c r="H4" s="20" t="e">
        <f>SUMIFS(#REF!,#REF!,$B4,#REF!,H$1)</f>
        <v>#REF!</v>
      </c>
      <c r="I4" s="20" t="e">
        <f>SUMIFS(#REF!,#REF!,$B4,#REF!,I$1)</f>
        <v>#REF!</v>
      </c>
      <c r="J4" s="20" t="e">
        <f>SUMIFS(#REF!,#REF!,$B4,#REF!,J$1)</f>
        <v>#REF!</v>
      </c>
      <c r="K4" s="20" t="e">
        <f>SUMIFS(#REF!,#REF!,$B4,#REF!,K$1)</f>
        <v>#REF!</v>
      </c>
      <c r="L4" s="20" t="e">
        <f>SUMIFS(#REF!,#REF!,$B4,#REF!,L$1)</f>
        <v>#REF!</v>
      </c>
      <c r="M4" s="20" t="e">
        <f>SUMIFS(#REF!,#REF!,$B4,#REF!,M$1)</f>
        <v>#REF!</v>
      </c>
      <c r="N4" s="20" t="e">
        <f>SUMIFS(#REF!,#REF!,$B4,#REF!,N$1)</f>
        <v>#REF!</v>
      </c>
      <c r="O4" s="20" t="e">
        <f>SUMIFS(#REF!,#REF!,$B4,#REF!,O$1)</f>
        <v>#REF!</v>
      </c>
      <c r="P4" s="20" t="e">
        <f>SUMIFS(#REF!,#REF!,$B4,#REF!,P$1)</f>
        <v>#REF!</v>
      </c>
      <c r="Q4" s="20" t="e">
        <f>SUMIFS(#REF!,#REF!,$B4,#REF!,Q$1)</f>
        <v>#REF!</v>
      </c>
      <c r="R4" s="20" t="e">
        <f>SUMIFS(#REF!,#REF!,$B4,#REF!,R$1)</f>
        <v>#REF!</v>
      </c>
      <c r="S4" s="20" t="e">
        <f>SUMIFS(#REF!,#REF!,$B4,#REF!,S$1)</f>
        <v>#REF!</v>
      </c>
      <c r="T4" s="20" t="e">
        <f>SUMIFS(#REF!,#REF!,$B4,#REF!,T$1)</f>
        <v>#REF!</v>
      </c>
      <c r="U4" s="20" t="e">
        <f>SUMIFS(#REF!,#REF!,$B4,#REF!,U$1)</f>
        <v>#REF!</v>
      </c>
      <c r="V4" s="20" t="e">
        <f>SUMIFS(#REF!,#REF!,$B4,#REF!,V$1)</f>
        <v>#REF!</v>
      </c>
      <c r="W4" s="20" t="e">
        <f>SUMIFS(#REF!,#REF!,$B4,#REF!,W$1)</f>
        <v>#REF!</v>
      </c>
      <c r="X4" s="20" t="e">
        <f>SUMIFS(#REF!,#REF!,$B4,#REF!,X$1)</f>
        <v>#REF!</v>
      </c>
      <c r="Y4" s="20" t="e">
        <f>SUMIFS(#REF!,#REF!,$B4,#REF!,Y$1)</f>
        <v>#REF!</v>
      </c>
      <c r="Z4" s="20" t="e">
        <f>SUMIFS(#REF!,#REF!,$B4,#REF!,Z$1)</f>
        <v>#REF!</v>
      </c>
      <c r="AA4" s="20" t="e">
        <f>SUMIFS(#REF!,#REF!,$B4,#REF!,AA$1)</f>
        <v>#REF!</v>
      </c>
      <c r="AB4" s="20" t="e">
        <f>SUMIFS(#REF!,#REF!,$B4,#REF!,AB$1)</f>
        <v>#REF!</v>
      </c>
      <c r="AC4" s="20" t="e">
        <f>SUMIFS(#REF!,#REF!,$B4,#REF!,AC$1)</f>
        <v>#REF!</v>
      </c>
      <c r="AD4" s="20" t="e">
        <f>SUMIFS(#REF!,#REF!,$B4,#REF!,AD$1)</f>
        <v>#REF!</v>
      </c>
      <c r="AE4" s="20" t="e">
        <f>SUMIFS(#REF!,#REF!,$B4,#REF!,AE$1)</f>
        <v>#REF!</v>
      </c>
      <c r="AF4" s="20" t="e">
        <f>SUMIFS(#REF!,#REF!,$B4,#REF!,AF$1)</f>
        <v>#REF!</v>
      </c>
      <c r="AG4" s="20" t="e">
        <f>SUMIFS(#REF!,#REF!,$B4,#REF!,AG$1)</f>
        <v>#REF!</v>
      </c>
      <c r="AH4" s="20" t="e">
        <f>SUMIFS(#REF!,#REF!,$B4,#REF!,AH$1)</f>
        <v>#REF!</v>
      </c>
      <c r="AI4" s="21" t="e">
        <f t="shared" si="0"/>
        <v>#REF!</v>
      </c>
    </row>
    <row r="5" spans="2:35" ht="15.75" x14ac:dyDescent="0.25">
      <c r="B5" s="36" t="s">
        <v>133</v>
      </c>
      <c r="C5" s="25">
        <v>25</v>
      </c>
      <c r="D5" s="20" t="e">
        <f>SUMIFS(#REF!,#REF!,$B5,#REF!,D$1)</f>
        <v>#REF!</v>
      </c>
      <c r="E5" s="20" t="e">
        <f>SUMIFS(#REF!,#REF!,$B5,#REF!,E$1)</f>
        <v>#REF!</v>
      </c>
      <c r="F5" s="20" t="e">
        <f>SUMIFS(#REF!,#REF!,$B5,#REF!,F$1)</f>
        <v>#REF!</v>
      </c>
      <c r="G5" s="20" t="e">
        <f>SUMIFS(#REF!,#REF!,$B5,#REF!,G$1)</f>
        <v>#REF!</v>
      </c>
      <c r="H5" s="20" t="e">
        <f>SUMIFS(#REF!,#REF!,$B5,#REF!,H$1)</f>
        <v>#REF!</v>
      </c>
      <c r="I5" s="20" t="e">
        <f>SUMIFS(#REF!,#REF!,$B5,#REF!,I$1)</f>
        <v>#REF!</v>
      </c>
      <c r="J5" s="20" t="e">
        <f>SUMIFS(#REF!,#REF!,$B5,#REF!,J$1)</f>
        <v>#REF!</v>
      </c>
      <c r="K5" s="20" t="e">
        <f>SUMIFS(#REF!,#REF!,$B5,#REF!,K$1)</f>
        <v>#REF!</v>
      </c>
      <c r="L5" s="20" t="e">
        <f>SUMIFS(#REF!,#REF!,$B5,#REF!,L$1)</f>
        <v>#REF!</v>
      </c>
      <c r="M5" s="20" t="e">
        <f>SUMIFS(#REF!,#REF!,$B5,#REF!,M$1)</f>
        <v>#REF!</v>
      </c>
      <c r="N5" s="20" t="e">
        <f>SUMIFS(#REF!,#REF!,$B5,#REF!,N$1)</f>
        <v>#REF!</v>
      </c>
      <c r="O5" s="20" t="e">
        <f>SUMIFS(#REF!,#REF!,$B5,#REF!,O$1)</f>
        <v>#REF!</v>
      </c>
      <c r="P5" s="20" t="e">
        <f>SUMIFS(#REF!,#REF!,$B5,#REF!,P$1)</f>
        <v>#REF!</v>
      </c>
      <c r="Q5" s="20" t="e">
        <f>SUMIFS(#REF!,#REF!,$B5,#REF!,Q$1)</f>
        <v>#REF!</v>
      </c>
      <c r="R5" s="20" t="e">
        <f>SUMIFS(#REF!,#REF!,$B5,#REF!,R$1)</f>
        <v>#REF!</v>
      </c>
      <c r="S5" s="20" t="e">
        <f>SUMIFS(#REF!,#REF!,$B5,#REF!,S$1)</f>
        <v>#REF!</v>
      </c>
      <c r="T5" s="20" t="e">
        <f>SUMIFS(#REF!,#REF!,$B5,#REF!,T$1)</f>
        <v>#REF!</v>
      </c>
      <c r="U5" s="20" t="e">
        <f>SUMIFS(#REF!,#REF!,$B5,#REF!,U$1)</f>
        <v>#REF!</v>
      </c>
      <c r="V5" s="20" t="e">
        <f>SUMIFS(#REF!,#REF!,$B5,#REF!,V$1)</f>
        <v>#REF!</v>
      </c>
      <c r="W5" s="20" t="e">
        <f>SUMIFS(#REF!,#REF!,$B5,#REF!,W$1)</f>
        <v>#REF!</v>
      </c>
      <c r="X5" s="20" t="e">
        <f>SUMIFS(#REF!,#REF!,$B5,#REF!,X$1)</f>
        <v>#REF!</v>
      </c>
      <c r="Y5" s="20" t="e">
        <f>SUMIFS(#REF!,#REF!,$B5,#REF!,Y$1)</f>
        <v>#REF!</v>
      </c>
      <c r="Z5" s="20" t="e">
        <f>SUMIFS(#REF!,#REF!,$B5,#REF!,Z$1)</f>
        <v>#REF!</v>
      </c>
      <c r="AA5" s="20" t="e">
        <f>SUMIFS(#REF!,#REF!,$B5,#REF!,AA$1)</f>
        <v>#REF!</v>
      </c>
      <c r="AB5" s="20" t="e">
        <f>SUMIFS(#REF!,#REF!,$B5,#REF!,AB$1)</f>
        <v>#REF!</v>
      </c>
      <c r="AC5" s="20" t="e">
        <f>SUMIFS(#REF!,#REF!,$B5,#REF!,AC$1)</f>
        <v>#REF!</v>
      </c>
      <c r="AD5" s="20" t="e">
        <f>SUMIFS(#REF!,#REF!,$B5,#REF!,AD$1)</f>
        <v>#REF!</v>
      </c>
      <c r="AE5" s="20" t="e">
        <f>SUMIFS(#REF!,#REF!,$B5,#REF!,AE$1)</f>
        <v>#REF!</v>
      </c>
      <c r="AF5" s="20" t="e">
        <f>SUMIFS(#REF!,#REF!,$B5,#REF!,AF$1)</f>
        <v>#REF!</v>
      </c>
      <c r="AG5" s="20" t="e">
        <f>SUMIFS(#REF!,#REF!,$B5,#REF!,AG$1)</f>
        <v>#REF!</v>
      </c>
      <c r="AH5" s="20" t="e">
        <f>SUMIFS(#REF!,#REF!,$B5,#REF!,AH$1)</f>
        <v>#REF!</v>
      </c>
      <c r="AI5" s="21" t="e">
        <f t="shared" si="0"/>
        <v>#REF!</v>
      </c>
    </row>
    <row r="6" spans="2:35" ht="15.75" x14ac:dyDescent="0.25">
      <c r="B6" s="36" t="s">
        <v>134</v>
      </c>
      <c r="C6" s="25">
        <v>22.7</v>
      </c>
      <c r="D6" s="20" t="e">
        <f>SUMIFS(#REF!,#REF!,$B6,#REF!,D$1)</f>
        <v>#REF!</v>
      </c>
      <c r="E6" s="20" t="e">
        <f>SUMIFS(#REF!,#REF!,$B6,#REF!,E$1)</f>
        <v>#REF!</v>
      </c>
      <c r="F6" s="20" t="e">
        <f>SUMIFS(#REF!,#REF!,$B6,#REF!,F$1)</f>
        <v>#REF!</v>
      </c>
      <c r="G6" s="20" t="e">
        <f>SUMIFS(#REF!,#REF!,$B6,#REF!,G$1)</f>
        <v>#REF!</v>
      </c>
      <c r="H6" s="20" t="e">
        <f>SUMIFS(#REF!,#REF!,$B6,#REF!,H$1)</f>
        <v>#REF!</v>
      </c>
      <c r="I6" s="20" t="e">
        <f>SUMIFS(#REF!,#REF!,$B6,#REF!,I$1)</f>
        <v>#REF!</v>
      </c>
      <c r="J6" s="20" t="e">
        <f>SUMIFS(#REF!,#REF!,$B6,#REF!,J$1)</f>
        <v>#REF!</v>
      </c>
      <c r="K6" s="20" t="e">
        <f>SUMIFS(#REF!,#REF!,$B6,#REF!,K$1)</f>
        <v>#REF!</v>
      </c>
      <c r="L6" s="20" t="e">
        <f>SUMIFS(#REF!,#REF!,$B6,#REF!,L$1)</f>
        <v>#REF!</v>
      </c>
      <c r="M6" s="20" t="e">
        <f>SUMIFS(#REF!,#REF!,$B6,#REF!,M$1)</f>
        <v>#REF!</v>
      </c>
      <c r="N6" s="20" t="e">
        <f>SUMIFS(#REF!,#REF!,$B6,#REF!,N$1)</f>
        <v>#REF!</v>
      </c>
      <c r="O6" s="20" t="e">
        <f>SUMIFS(#REF!,#REF!,$B6,#REF!,O$1)</f>
        <v>#REF!</v>
      </c>
      <c r="P6" s="20" t="e">
        <f>SUMIFS(#REF!,#REF!,$B6,#REF!,P$1)</f>
        <v>#REF!</v>
      </c>
      <c r="Q6" s="20" t="e">
        <f>SUMIFS(#REF!,#REF!,$B6,#REF!,Q$1)</f>
        <v>#REF!</v>
      </c>
      <c r="R6" s="20" t="e">
        <f>SUMIFS(#REF!,#REF!,$B6,#REF!,R$1)</f>
        <v>#REF!</v>
      </c>
      <c r="S6" s="20" t="e">
        <f>SUMIFS(#REF!,#REF!,$B6,#REF!,S$1)</f>
        <v>#REF!</v>
      </c>
      <c r="T6" s="20" t="e">
        <f>SUMIFS(#REF!,#REF!,$B6,#REF!,T$1)</f>
        <v>#REF!</v>
      </c>
      <c r="U6" s="20" t="e">
        <f>SUMIFS(#REF!,#REF!,$B6,#REF!,U$1)</f>
        <v>#REF!</v>
      </c>
      <c r="V6" s="20" t="e">
        <f>SUMIFS(#REF!,#REF!,$B6,#REF!,V$1)</f>
        <v>#REF!</v>
      </c>
      <c r="W6" s="20" t="e">
        <f>SUMIFS(#REF!,#REF!,$B6,#REF!,W$1)</f>
        <v>#REF!</v>
      </c>
      <c r="X6" s="20" t="e">
        <f>SUMIFS(#REF!,#REF!,$B6,#REF!,X$1)</f>
        <v>#REF!</v>
      </c>
      <c r="Y6" s="20" t="e">
        <f>SUMIFS(#REF!,#REF!,$B6,#REF!,Y$1)</f>
        <v>#REF!</v>
      </c>
      <c r="Z6" s="20" t="e">
        <f>SUMIFS(#REF!,#REF!,$B6,#REF!,Z$1)</f>
        <v>#REF!</v>
      </c>
      <c r="AA6" s="20" t="e">
        <f>SUMIFS(#REF!,#REF!,$B6,#REF!,AA$1)</f>
        <v>#REF!</v>
      </c>
      <c r="AB6" s="20" t="e">
        <f>SUMIFS(#REF!,#REF!,$B6,#REF!,AB$1)</f>
        <v>#REF!</v>
      </c>
      <c r="AC6" s="20" t="e">
        <f>SUMIFS(#REF!,#REF!,$B6,#REF!,AC$1)</f>
        <v>#REF!</v>
      </c>
      <c r="AD6" s="20" t="e">
        <f>SUMIFS(#REF!,#REF!,$B6,#REF!,AD$1)</f>
        <v>#REF!</v>
      </c>
      <c r="AE6" s="20" t="e">
        <f>SUMIFS(#REF!,#REF!,$B6,#REF!,AE$1)</f>
        <v>#REF!</v>
      </c>
      <c r="AF6" s="20" t="e">
        <f>SUMIFS(#REF!,#REF!,$B6,#REF!,AF$1)</f>
        <v>#REF!</v>
      </c>
      <c r="AG6" s="20" t="e">
        <f>SUMIFS(#REF!,#REF!,$B6,#REF!,AG$1)</f>
        <v>#REF!</v>
      </c>
      <c r="AH6" s="20" t="e">
        <f>SUMIFS(#REF!,#REF!,$B6,#REF!,AH$1)</f>
        <v>#REF!</v>
      </c>
      <c r="AI6" s="21" t="e">
        <f>SUM(D6:AH6)</f>
        <v>#REF!</v>
      </c>
    </row>
    <row r="7" spans="2:35" ht="15.75" x14ac:dyDescent="0.25">
      <c r="B7" s="36" t="s">
        <v>135</v>
      </c>
      <c r="C7" s="25">
        <v>22.7</v>
      </c>
      <c r="D7" s="20" t="e">
        <f>SUMIFS(#REF!,#REF!,$B7,#REF!,D$1)</f>
        <v>#REF!</v>
      </c>
      <c r="E7" s="20" t="e">
        <f>SUMIFS(#REF!,#REF!,$B7,#REF!,E$1)</f>
        <v>#REF!</v>
      </c>
      <c r="F7" s="20" t="e">
        <f>SUMIFS(#REF!,#REF!,$B7,#REF!,F$1)</f>
        <v>#REF!</v>
      </c>
      <c r="G7" s="20" t="e">
        <f>SUMIFS(#REF!,#REF!,$B7,#REF!,G$1)</f>
        <v>#REF!</v>
      </c>
      <c r="H7" s="20" t="e">
        <f>SUMIFS(#REF!,#REF!,$B7,#REF!,H$1)</f>
        <v>#REF!</v>
      </c>
      <c r="I7" s="20" t="e">
        <f>SUMIFS(#REF!,#REF!,$B7,#REF!,I$1)</f>
        <v>#REF!</v>
      </c>
      <c r="J7" s="20" t="e">
        <f>SUMIFS(#REF!,#REF!,$B7,#REF!,J$1)</f>
        <v>#REF!</v>
      </c>
      <c r="K7" s="20" t="e">
        <f>SUMIFS(#REF!,#REF!,$B7,#REF!,K$1)</f>
        <v>#REF!</v>
      </c>
      <c r="L7" s="20" t="e">
        <f>SUMIFS(#REF!,#REF!,$B7,#REF!,L$1)</f>
        <v>#REF!</v>
      </c>
      <c r="M7" s="20" t="e">
        <f>SUMIFS(#REF!,#REF!,$B7,#REF!,M$1)</f>
        <v>#REF!</v>
      </c>
      <c r="N7" s="20" t="e">
        <f>SUMIFS(#REF!,#REF!,$B7,#REF!,N$1)</f>
        <v>#REF!</v>
      </c>
      <c r="O7" s="20" t="e">
        <f>SUMIFS(#REF!,#REF!,$B7,#REF!,O$1)</f>
        <v>#REF!</v>
      </c>
      <c r="P7" s="20" t="e">
        <f>SUMIFS(#REF!,#REF!,$B7,#REF!,P$1)</f>
        <v>#REF!</v>
      </c>
      <c r="Q7" s="20" t="e">
        <f>SUMIFS(#REF!,#REF!,$B7,#REF!,Q$1)</f>
        <v>#REF!</v>
      </c>
      <c r="R7" s="20" t="e">
        <f>SUMIFS(#REF!,#REF!,$B7,#REF!,R$1)</f>
        <v>#REF!</v>
      </c>
      <c r="S7" s="20" t="e">
        <f>SUMIFS(#REF!,#REF!,$B7,#REF!,S$1)</f>
        <v>#REF!</v>
      </c>
      <c r="T7" s="20" t="e">
        <f>SUMIFS(#REF!,#REF!,$B7,#REF!,T$1)</f>
        <v>#REF!</v>
      </c>
      <c r="U7" s="20" t="e">
        <f>SUMIFS(#REF!,#REF!,$B7,#REF!,U$1)</f>
        <v>#REF!</v>
      </c>
      <c r="V7" s="20" t="e">
        <f>SUMIFS(#REF!,#REF!,$B7,#REF!,V$1)</f>
        <v>#REF!</v>
      </c>
      <c r="W7" s="20" t="e">
        <f>SUMIFS(#REF!,#REF!,$B7,#REF!,W$1)</f>
        <v>#REF!</v>
      </c>
      <c r="X7" s="20" t="e">
        <f>SUMIFS(#REF!,#REF!,$B7,#REF!,X$1)</f>
        <v>#REF!</v>
      </c>
      <c r="Y7" s="20" t="e">
        <f>SUMIFS(#REF!,#REF!,$B7,#REF!,Y$1)</f>
        <v>#REF!</v>
      </c>
      <c r="Z7" s="20" t="e">
        <f>SUMIFS(#REF!,#REF!,$B7,#REF!,Z$1)</f>
        <v>#REF!</v>
      </c>
      <c r="AA7" s="20" t="e">
        <f>SUMIFS(#REF!,#REF!,$B7,#REF!,AA$1)</f>
        <v>#REF!</v>
      </c>
      <c r="AB7" s="20" t="e">
        <f>SUMIFS(#REF!,#REF!,$B7,#REF!,AB$1)</f>
        <v>#REF!</v>
      </c>
      <c r="AC7" s="20" t="e">
        <f>SUMIFS(#REF!,#REF!,$B7,#REF!,AC$1)</f>
        <v>#REF!</v>
      </c>
      <c r="AD7" s="20" t="e">
        <f>SUMIFS(#REF!,#REF!,$B7,#REF!,AD$1)</f>
        <v>#REF!</v>
      </c>
      <c r="AE7" s="20" t="e">
        <f>SUMIFS(#REF!,#REF!,$B7,#REF!,AE$1)</f>
        <v>#REF!</v>
      </c>
      <c r="AF7" s="20" t="e">
        <f>SUMIFS(#REF!,#REF!,$B7,#REF!,AF$1)</f>
        <v>#REF!</v>
      </c>
      <c r="AG7" s="20" t="e">
        <f>SUMIFS(#REF!,#REF!,$B7,#REF!,AG$1)</f>
        <v>#REF!</v>
      </c>
      <c r="AH7" s="20" t="e">
        <f>SUMIFS(#REF!,#REF!,$B7,#REF!,AH$1)</f>
        <v>#REF!</v>
      </c>
      <c r="AI7" s="21" t="e">
        <f t="shared" si="0"/>
        <v>#REF!</v>
      </c>
    </row>
    <row r="8" spans="2:35" ht="15.75" x14ac:dyDescent="0.25">
      <c r="B8" s="37" t="s">
        <v>19</v>
      </c>
      <c r="C8" s="25">
        <v>22.7</v>
      </c>
      <c r="D8" s="20" t="e">
        <f>SUMIFS(#REF!,#REF!,$B8,#REF!,D$1)</f>
        <v>#REF!</v>
      </c>
      <c r="E8" s="20" t="e">
        <f>SUMIFS(#REF!,#REF!,$B8,#REF!,E$1)</f>
        <v>#REF!</v>
      </c>
      <c r="F8" s="20" t="e">
        <f>SUMIFS(#REF!,#REF!,$B8,#REF!,F$1)</f>
        <v>#REF!</v>
      </c>
      <c r="G8" s="20" t="e">
        <f>SUMIFS(#REF!,#REF!,$B8,#REF!,G$1)</f>
        <v>#REF!</v>
      </c>
      <c r="H8" s="20" t="e">
        <f>SUMIFS(#REF!,#REF!,$B8,#REF!,H$1)</f>
        <v>#REF!</v>
      </c>
      <c r="I8" s="20" t="e">
        <f>SUMIFS(#REF!,#REF!,$B8,#REF!,I$1)</f>
        <v>#REF!</v>
      </c>
      <c r="J8" s="20" t="e">
        <f>SUMIFS(#REF!,#REF!,$B8,#REF!,J$1)</f>
        <v>#REF!</v>
      </c>
      <c r="K8" s="20" t="e">
        <f>SUMIFS(#REF!,#REF!,$B8,#REF!,K$1)</f>
        <v>#REF!</v>
      </c>
      <c r="L8" s="20" t="e">
        <f>SUMIFS(#REF!,#REF!,$B8,#REF!,L$1)</f>
        <v>#REF!</v>
      </c>
      <c r="M8" s="20" t="e">
        <f>SUMIFS(#REF!,#REF!,$B8,#REF!,M$1)</f>
        <v>#REF!</v>
      </c>
      <c r="N8" s="20" t="e">
        <f>SUMIFS(#REF!,#REF!,$B8,#REF!,N$1)</f>
        <v>#REF!</v>
      </c>
      <c r="O8" s="20" t="e">
        <f>SUMIFS(#REF!,#REF!,$B8,#REF!,O$1)</f>
        <v>#REF!</v>
      </c>
      <c r="P8" s="20" t="e">
        <f>SUMIFS(#REF!,#REF!,$B8,#REF!,P$1)</f>
        <v>#REF!</v>
      </c>
      <c r="Q8" s="20" t="e">
        <f>SUMIFS(#REF!,#REF!,$B8,#REF!,Q$1)</f>
        <v>#REF!</v>
      </c>
      <c r="R8" s="20" t="e">
        <f>SUMIFS(#REF!,#REF!,$B8,#REF!,R$1)</f>
        <v>#REF!</v>
      </c>
      <c r="S8" s="20" t="e">
        <f>SUMIFS(#REF!,#REF!,$B8,#REF!,S$1)</f>
        <v>#REF!</v>
      </c>
      <c r="T8" s="20" t="e">
        <f>SUMIFS(#REF!,#REF!,$B8,#REF!,T$1)</f>
        <v>#REF!</v>
      </c>
      <c r="U8" s="20" t="e">
        <f>SUMIFS(#REF!,#REF!,$B8,#REF!,U$1)</f>
        <v>#REF!</v>
      </c>
      <c r="V8" s="20" t="e">
        <f>SUMIFS(#REF!,#REF!,$B8,#REF!,V$1)</f>
        <v>#REF!</v>
      </c>
      <c r="W8" s="20" t="e">
        <f>SUMIFS(#REF!,#REF!,$B8,#REF!,W$1)</f>
        <v>#REF!</v>
      </c>
      <c r="X8" s="20" t="e">
        <f>SUMIFS(#REF!,#REF!,$B8,#REF!,X$1)</f>
        <v>#REF!</v>
      </c>
      <c r="Y8" s="20" t="e">
        <f>SUMIFS(#REF!,#REF!,$B8,#REF!,Y$1)</f>
        <v>#REF!</v>
      </c>
      <c r="Z8" s="20" t="e">
        <f>SUMIFS(#REF!,#REF!,$B8,#REF!,Z$1)</f>
        <v>#REF!</v>
      </c>
      <c r="AA8" s="20" t="e">
        <f>SUMIFS(#REF!,#REF!,$B8,#REF!,AA$1)</f>
        <v>#REF!</v>
      </c>
      <c r="AB8" s="20" t="e">
        <f>SUMIFS(#REF!,#REF!,$B8,#REF!,AB$1)</f>
        <v>#REF!</v>
      </c>
      <c r="AC8" s="20" t="e">
        <f>SUMIFS(#REF!,#REF!,$B8,#REF!,AC$1)</f>
        <v>#REF!</v>
      </c>
      <c r="AD8" s="20" t="e">
        <f>SUMIFS(#REF!,#REF!,$B8,#REF!,AD$1)</f>
        <v>#REF!</v>
      </c>
      <c r="AE8" s="20" t="e">
        <f>SUMIFS(#REF!,#REF!,$B8,#REF!,AE$1)</f>
        <v>#REF!</v>
      </c>
      <c r="AF8" s="20" t="e">
        <f>SUMIFS(#REF!,#REF!,$B8,#REF!,AF$1)</f>
        <v>#REF!</v>
      </c>
      <c r="AG8" s="20" t="e">
        <f>SUMIFS(#REF!,#REF!,$B8,#REF!,AG$1)</f>
        <v>#REF!</v>
      </c>
      <c r="AH8" s="20" t="e">
        <f>SUMIFS(#REF!,#REF!,$B8,#REF!,AH$1)</f>
        <v>#REF!</v>
      </c>
      <c r="AI8" s="21" t="e">
        <f>SUM(D8:AH8)</f>
        <v>#REF!</v>
      </c>
    </row>
    <row r="9" spans="2:35" ht="15.75" x14ac:dyDescent="0.25">
      <c r="B9" s="36" t="s">
        <v>136</v>
      </c>
      <c r="C9" s="25">
        <v>25</v>
      </c>
      <c r="D9" s="20" t="e">
        <f>SUMIFS(#REF!,#REF!,$B9,#REF!,D$1)</f>
        <v>#REF!</v>
      </c>
      <c r="E9" s="20" t="e">
        <f>SUMIFS(#REF!,#REF!,$B9,#REF!,E$1)</f>
        <v>#REF!</v>
      </c>
      <c r="F9" s="20" t="e">
        <f>SUMIFS(#REF!,#REF!,$B9,#REF!,F$1)</f>
        <v>#REF!</v>
      </c>
      <c r="G9" s="20" t="e">
        <f>SUMIFS(#REF!,#REF!,$B9,#REF!,G$1)</f>
        <v>#REF!</v>
      </c>
      <c r="H9" s="20" t="e">
        <f>SUMIFS(#REF!,#REF!,$B9,#REF!,H$1)</f>
        <v>#REF!</v>
      </c>
      <c r="I9" s="20" t="e">
        <f>SUMIFS(#REF!,#REF!,$B9,#REF!,I$1)</f>
        <v>#REF!</v>
      </c>
      <c r="J9" s="20" t="e">
        <f>SUMIFS(#REF!,#REF!,$B9,#REF!,J$1)</f>
        <v>#REF!</v>
      </c>
      <c r="K9" s="20" t="e">
        <f>SUMIFS(#REF!,#REF!,$B9,#REF!,K$1)</f>
        <v>#REF!</v>
      </c>
      <c r="L9" s="20" t="e">
        <f>SUMIFS(#REF!,#REF!,$B9,#REF!,L$1)</f>
        <v>#REF!</v>
      </c>
      <c r="M9" s="20" t="e">
        <f>SUMIFS(#REF!,#REF!,$B9,#REF!,M$1)</f>
        <v>#REF!</v>
      </c>
      <c r="N9" s="20" t="e">
        <f>SUMIFS(#REF!,#REF!,$B9,#REF!,N$1)</f>
        <v>#REF!</v>
      </c>
      <c r="O9" s="20" t="e">
        <f>SUMIFS(#REF!,#REF!,$B9,#REF!,O$1)</f>
        <v>#REF!</v>
      </c>
      <c r="P9" s="20" t="e">
        <f>SUMIFS(#REF!,#REF!,$B9,#REF!,P$1)</f>
        <v>#REF!</v>
      </c>
      <c r="Q9" s="20" t="e">
        <f>SUMIFS(#REF!,#REF!,$B9,#REF!,Q$1)</f>
        <v>#REF!</v>
      </c>
      <c r="R9" s="20" t="e">
        <f>SUMIFS(#REF!,#REF!,$B9,#REF!,R$1)</f>
        <v>#REF!</v>
      </c>
      <c r="S9" s="20" t="e">
        <f>SUMIFS(#REF!,#REF!,$B9,#REF!,S$1)</f>
        <v>#REF!</v>
      </c>
      <c r="T9" s="20" t="e">
        <f>SUMIFS(#REF!,#REF!,$B9,#REF!,T$1)</f>
        <v>#REF!</v>
      </c>
      <c r="U9" s="20" t="e">
        <f>SUMIFS(#REF!,#REF!,$B9,#REF!,U$1)</f>
        <v>#REF!</v>
      </c>
      <c r="V9" s="20" t="e">
        <f>SUMIFS(#REF!,#REF!,$B9,#REF!,V$1)</f>
        <v>#REF!</v>
      </c>
      <c r="W9" s="20" t="e">
        <f>SUMIFS(#REF!,#REF!,$B9,#REF!,W$1)</f>
        <v>#REF!</v>
      </c>
      <c r="X9" s="20" t="e">
        <f>SUMIFS(#REF!,#REF!,$B9,#REF!,X$1)</f>
        <v>#REF!</v>
      </c>
      <c r="Y9" s="20" t="e">
        <f>SUMIFS(#REF!,#REF!,$B9,#REF!,Y$1)</f>
        <v>#REF!</v>
      </c>
      <c r="Z9" s="20" t="e">
        <f>SUMIFS(#REF!,#REF!,$B9,#REF!,Z$1)</f>
        <v>#REF!</v>
      </c>
      <c r="AA9" s="20" t="e">
        <f>SUMIFS(#REF!,#REF!,$B9,#REF!,AA$1)</f>
        <v>#REF!</v>
      </c>
      <c r="AB9" s="20" t="e">
        <f>SUMIFS(#REF!,#REF!,$B9,#REF!,AB$1)</f>
        <v>#REF!</v>
      </c>
      <c r="AC9" s="20" t="e">
        <f>SUMIFS(#REF!,#REF!,$B9,#REF!,AC$1)</f>
        <v>#REF!</v>
      </c>
      <c r="AD9" s="20" t="e">
        <f>SUMIFS(#REF!,#REF!,$B9,#REF!,AD$1)</f>
        <v>#REF!</v>
      </c>
      <c r="AE9" s="20" t="e">
        <f>SUMIFS(#REF!,#REF!,$B9,#REF!,AE$1)</f>
        <v>#REF!</v>
      </c>
      <c r="AF9" s="20" t="e">
        <f>SUMIFS(#REF!,#REF!,$B9,#REF!,AF$1)</f>
        <v>#REF!</v>
      </c>
      <c r="AG9" s="20" t="e">
        <f>SUMIFS(#REF!,#REF!,$B9,#REF!,AG$1)</f>
        <v>#REF!</v>
      </c>
      <c r="AH9" s="20" t="e">
        <f>SUMIFS(#REF!,#REF!,$B9,#REF!,AH$1)</f>
        <v>#REF!</v>
      </c>
      <c r="AI9" s="21" t="e">
        <f t="shared" si="0"/>
        <v>#REF!</v>
      </c>
    </row>
    <row r="10" spans="2:35" ht="16.5" thickBot="1" x14ac:dyDescent="0.3">
      <c r="B10" s="50" t="s">
        <v>137</v>
      </c>
      <c r="C10" s="51">
        <v>22.7</v>
      </c>
      <c r="D10" s="52" t="e">
        <f>SUMIFS(#REF!,#REF!,$B10,#REF!,D$1)</f>
        <v>#REF!</v>
      </c>
      <c r="E10" s="52" t="e">
        <f>SUMIFS(#REF!,#REF!,$B10,#REF!,E$1)</f>
        <v>#REF!</v>
      </c>
      <c r="F10" s="52" t="e">
        <f>SUMIFS(#REF!,#REF!,$B10,#REF!,F$1)</f>
        <v>#REF!</v>
      </c>
      <c r="G10" s="52" t="e">
        <f>SUMIFS(#REF!,#REF!,$B10,#REF!,G$1)</f>
        <v>#REF!</v>
      </c>
      <c r="H10" s="52" t="e">
        <f>SUMIFS(#REF!,#REF!,$B10,#REF!,H$1)</f>
        <v>#REF!</v>
      </c>
      <c r="I10" s="52" t="e">
        <f>SUMIFS(#REF!,#REF!,$B10,#REF!,I$1)</f>
        <v>#REF!</v>
      </c>
      <c r="J10" s="52" t="e">
        <f>SUMIFS(#REF!,#REF!,$B10,#REF!,J$1)</f>
        <v>#REF!</v>
      </c>
      <c r="K10" s="52" t="e">
        <f>SUMIFS(#REF!,#REF!,$B10,#REF!,K$1)</f>
        <v>#REF!</v>
      </c>
      <c r="L10" s="52" t="e">
        <f>SUMIFS(#REF!,#REF!,$B10,#REF!,L$1)</f>
        <v>#REF!</v>
      </c>
      <c r="M10" s="52" t="e">
        <f>SUMIFS(#REF!,#REF!,$B10,#REF!,M$1)</f>
        <v>#REF!</v>
      </c>
      <c r="N10" s="52" t="e">
        <f>SUMIFS(#REF!,#REF!,$B10,#REF!,N$1)</f>
        <v>#REF!</v>
      </c>
      <c r="O10" s="52" t="e">
        <f>SUMIFS(#REF!,#REF!,$B10,#REF!,O$1)</f>
        <v>#REF!</v>
      </c>
      <c r="P10" s="52" t="e">
        <f>SUMIFS(#REF!,#REF!,$B10,#REF!,P$1)</f>
        <v>#REF!</v>
      </c>
      <c r="Q10" s="52" t="e">
        <f>SUMIFS(#REF!,#REF!,$B10,#REF!,Q$1)</f>
        <v>#REF!</v>
      </c>
      <c r="R10" s="52" t="e">
        <f>SUMIFS(#REF!,#REF!,$B10,#REF!,R$1)</f>
        <v>#REF!</v>
      </c>
      <c r="S10" s="52" t="e">
        <f>SUMIFS(#REF!,#REF!,$B10,#REF!,S$1)</f>
        <v>#REF!</v>
      </c>
      <c r="T10" s="52" t="e">
        <f>SUMIFS(#REF!,#REF!,$B10,#REF!,T$1)</f>
        <v>#REF!</v>
      </c>
      <c r="U10" s="52" t="e">
        <f>SUMIFS(#REF!,#REF!,$B10,#REF!,U$1)</f>
        <v>#REF!</v>
      </c>
      <c r="V10" s="52" t="e">
        <f>SUMIFS(#REF!,#REF!,$B10,#REF!,V$1)</f>
        <v>#REF!</v>
      </c>
      <c r="W10" s="52" t="e">
        <f>SUMIFS(#REF!,#REF!,$B10,#REF!,W$1)</f>
        <v>#REF!</v>
      </c>
      <c r="X10" s="52" t="e">
        <f>SUMIFS(#REF!,#REF!,$B10,#REF!,X$1)</f>
        <v>#REF!</v>
      </c>
      <c r="Y10" s="52" t="e">
        <f>SUMIFS(#REF!,#REF!,$B10,#REF!,Y$1)</f>
        <v>#REF!</v>
      </c>
      <c r="Z10" s="52" t="e">
        <f>SUMIFS(#REF!,#REF!,$B10,#REF!,Z$1)</f>
        <v>#REF!</v>
      </c>
      <c r="AA10" s="52" t="e">
        <f>SUMIFS(#REF!,#REF!,$B10,#REF!,AA$1)</f>
        <v>#REF!</v>
      </c>
      <c r="AB10" s="52" t="e">
        <f>SUMIFS(#REF!,#REF!,$B10,#REF!,AB$1)</f>
        <v>#REF!</v>
      </c>
      <c r="AC10" s="52" t="e">
        <f>SUMIFS(#REF!,#REF!,$B10,#REF!,AC$1)</f>
        <v>#REF!</v>
      </c>
      <c r="AD10" s="52" t="e">
        <f>SUMIFS(#REF!,#REF!,$B10,#REF!,AD$1)</f>
        <v>#REF!</v>
      </c>
      <c r="AE10" s="52" t="e">
        <f>SUMIFS(#REF!,#REF!,$B10,#REF!,AE$1)</f>
        <v>#REF!</v>
      </c>
      <c r="AF10" s="52" t="e">
        <f>SUMIFS(#REF!,#REF!,$B10,#REF!,AF$1)</f>
        <v>#REF!</v>
      </c>
      <c r="AG10" s="52" t="e">
        <f>SUMIFS(#REF!,#REF!,$B10,#REF!,AG$1)</f>
        <v>#REF!</v>
      </c>
      <c r="AH10" s="52" t="e">
        <f>SUMIFS(#REF!,#REF!,$B10,#REF!,AH$1)</f>
        <v>#REF!</v>
      </c>
      <c r="AI10" s="53" t="e">
        <f t="shared" si="0"/>
        <v>#REF!</v>
      </c>
    </row>
    <row r="11" spans="2:35" ht="15.75" thickBot="1" x14ac:dyDescent="0.3"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</row>
    <row r="12" spans="2:35" ht="15.75" x14ac:dyDescent="0.25">
      <c r="B12" s="39" t="s">
        <v>27</v>
      </c>
      <c r="C12" s="40">
        <v>20</v>
      </c>
      <c r="D12" s="41" t="e">
        <f>SUMIFS(#REF!,#REF!,$B12,#REF!,D$1)</f>
        <v>#REF!</v>
      </c>
      <c r="E12" s="41" t="e">
        <f>SUMIFS(#REF!,#REF!,$B12,#REF!,E$1)</f>
        <v>#REF!</v>
      </c>
      <c r="F12" s="41" t="e">
        <f>SUMIFS(#REF!,#REF!,$B12,#REF!,F$1)</f>
        <v>#REF!</v>
      </c>
      <c r="G12" s="41" t="e">
        <f>SUMIFS(#REF!,#REF!,$B12,#REF!,G$1)</f>
        <v>#REF!</v>
      </c>
      <c r="H12" s="41" t="e">
        <f>SUMIFS(#REF!,#REF!,$B12,#REF!,H$1)</f>
        <v>#REF!</v>
      </c>
      <c r="I12" s="41" t="e">
        <f>SUMIFS(#REF!,#REF!,$B12,#REF!,I$1)</f>
        <v>#REF!</v>
      </c>
      <c r="J12" s="41" t="e">
        <f>SUMIFS(#REF!,#REF!,$B12,#REF!,J$1)</f>
        <v>#REF!</v>
      </c>
      <c r="K12" s="41" t="e">
        <f>SUMIFS(#REF!,#REF!,$B12,#REF!,K$1)</f>
        <v>#REF!</v>
      </c>
      <c r="L12" s="41" t="e">
        <f>SUMIFS(#REF!,#REF!,$B12,#REF!,L$1)</f>
        <v>#REF!</v>
      </c>
      <c r="M12" s="41" t="e">
        <f>SUMIFS(#REF!,#REF!,$B12,#REF!,M$1)</f>
        <v>#REF!</v>
      </c>
      <c r="N12" s="41" t="e">
        <f>SUMIFS(#REF!,#REF!,$B12,#REF!,N$1)</f>
        <v>#REF!</v>
      </c>
      <c r="O12" s="41" t="e">
        <f>SUMIFS(#REF!,#REF!,$B12,#REF!,O$1)</f>
        <v>#REF!</v>
      </c>
      <c r="P12" s="41" t="e">
        <f>SUMIFS(#REF!,#REF!,$B12,#REF!,P$1)</f>
        <v>#REF!</v>
      </c>
      <c r="Q12" s="41" t="e">
        <f>SUMIFS(#REF!,#REF!,$B12,#REF!,Q$1)</f>
        <v>#REF!</v>
      </c>
      <c r="R12" s="41" t="e">
        <f>SUMIFS(#REF!,#REF!,$B12,#REF!,R$1)</f>
        <v>#REF!</v>
      </c>
      <c r="S12" s="41" t="e">
        <f>SUMIFS(#REF!,#REF!,$B12,#REF!,S$1)</f>
        <v>#REF!</v>
      </c>
      <c r="T12" s="41" t="e">
        <f>SUMIFS(#REF!,#REF!,$B12,#REF!,T$1)</f>
        <v>#REF!</v>
      </c>
      <c r="U12" s="41" t="e">
        <f>SUMIFS(#REF!,#REF!,$B12,#REF!,U$1)</f>
        <v>#REF!</v>
      </c>
      <c r="V12" s="41" t="e">
        <f>SUMIFS(#REF!,#REF!,$B12,#REF!,V$1)</f>
        <v>#REF!</v>
      </c>
      <c r="W12" s="41" t="e">
        <f>SUMIFS(#REF!,#REF!,$B12,#REF!,W$1)</f>
        <v>#REF!</v>
      </c>
      <c r="X12" s="41" t="e">
        <f>SUMIFS(#REF!,#REF!,$B12,#REF!,X$1)</f>
        <v>#REF!</v>
      </c>
      <c r="Y12" s="41" t="e">
        <f>SUMIFS(#REF!,#REF!,$B12,#REF!,Y$1)</f>
        <v>#REF!</v>
      </c>
      <c r="Z12" s="41" t="e">
        <f>SUMIFS(#REF!,#REF!,$B12,#REF!,Z$1)</f>
        <v>#REF!</v>
      </c>
      <c r="AA12" s="41" t="e">
        <f>SUMIFS(#REF!,#REF!,$B12,#REF!,AA$1)</f>
        <v>#REF!</v>
      </c>
      <c r="AB12" s="41" t="e">
        <f>SUMIFS(#REF!,#REF!,$B12,#REF!,AB$1)</f>
        <v>#REF!</v>
      </c>
      <c r="AC12" s="41" t="e">
        <f>SUMIFS(#REF!,#REF!,$B12,#REF!,AC$1)</f>
        <v>#REF!</v>
      </c>
      <c r="AD12" s="41" t="e">
        <f>SUMIFS(#REF!,#REF!,$B12,#REF!,AD$1)</f>
        <v>#REF!</v>
      </c>
      <c r="AE12" s="41" t="e">
        <f>SUMIFS(#REF!,#REF!,$B12,#REF!,AE$1)</f>
        <v>#REF!</v>
      </c>
      <c r="AF12" s="41" t="e">
        <f>SUMIFS(#REF!,#REF!,$B12,#REF!,AF$1)</f>
        <v>#REF!</v>
      </c>
      <c r="AG12" s="41" t="e">
        <f>SUMIFS(#REF!,#REF!,$B12,#REF!,AG$1)</f>
        <v>#REF!</v>
      </c>
      <c r="AH12" s="41" t="e">
        <f>SUMIFS(#REF!,#REF!,$B12,#REF!,AH$1)</f>
        <v>#REF!</v>
      </c>
      <c r="AI12" s="42" t="e">
        <f t="shared" ref="AI12:AI26" si="1">SUM(D12:AH12)</f>
        <v>#REF!</v>
      </c>
    </row>
    <row r="13" spans="2:35" ht="15.75" x14ac:dyDescent="0.25">
      <c r="B13" s="28" t="s">
        <v>22</v>
      </c>
      <c r="C13" s="29">
        <v>20</v>
      </c>
      <c r="D13" s="20" t="e">
        <f>SUMIFS(#REF!,#REF!,$B13,#REF!,D$1)</f>
        <v>#REF!</v>
      </c>
      <c r="E13" s="20" t="e">
        <f>SUMIFS(#REF!,#REF!,$B13,#REF!,E$1)</f>
        <v>#REF!</v>
      </c>
      <c r="F13" s="20" t="e">
        <f>SUMIFS(#REF!,#REF!,$B13,#REF!,F$1)</f>
        <v>#REF!</v>
      </c>
      <c r="G13" s="20" t="e">
        <f>SUMIFS(#REF!,#REF!,$B13,#REF!,G$1)</f>
        <v>#REF!</v>
      </c>
      <c r="H13" s="20" t="e">
        <f>SUMIFS(#REF!,#REF!,$B13,#REF!,H$1)</f>
        <v>#REF!</v>
      </c>
      <c r="I13" s="20" t="e">
        <f>SUMIFS(#REF!,#REF!,$B13,#REF!,I$1)</f>
        <v>#REF!</v>
      </c>
      <c r="J13" s="20" t="e">
        <f>SUMIFS(#REF!,#REF!,$B13,#REF!,J$1)</f>
        <v>#REF!</v>
      </c>
      <c r="K13" s="20" t="e">
        <f>SUMIFS(#REF!,#REF!,$B13,#REF!,K$1)</f>
        <v>#REF!</v>
      </c>
      <c r="L13" s="20" t="e">
        <f>SUMIFS(#REF!,#REF!,$B13,#REF!,L$1)</f>
        <v>#REF!</v>
      </c>
      <c r="M13" s="20" t="e">
        <f>SUMIFS(#REF!,#REF!,$B13,#REF!,M$1)</f>
        <v>#REF!</v>
      </c>
      <c r="N13" s="20" t="e">
        <f>SUMIFS(#REF!,#REF!,$B13,#REF!,N$1)</f>
        <v>#REF!</v>
      </c>
      <c r="O13" s="20" t="e">
        <f>SUMIFS(#REF!,#REF!,$B13,#REF!,O$1)</f>
        <v>#REF!</v>
      </c>
      <c r="P13" s="20" t="e">
        <f>SUMIFS(#REF!,#REF!,$B13,#REF!,P$1)</f>
        <v>#REF!</v>
      </c>
      <c r="Q13" s="20" t="e">
        <f>SUMIFS(#REF!,#REF!,$B13,#REF!,Q$1)</f>
        <v>#REF!</v>
      </c>
      <c r="R13" s="20" t="e">
        <f>SUMIFS(#REF!,#REF!,$B13,#REF!,R$1)</f>
        <v>#REF!</v>
      </c>
      <c r="S13" s="20" t="e">
        <f>SUMIFS(#REF!,#REF!,$B13,#REF!,S$1)</f>
        <v>#REF!</v>
      </c>
      <c r="T13" s="20" t="e">
        <f>SUMIFS(#REF!,#REF!,$B13,#REF!,T$1)</f>
        <v>#REF!</v>
      </c>
      <c r="U13" s="20" t="e">
        <f>SUMIFS(#REF!,#REF!,$B13,#REF!,U$1)</f>
        <v>#REF!</v>
      </c>
      <c r="V13" s="20" t="e">
        <f>SUMIFS(#REF!,#REF!,$B13,#REF!,V$1)</f>
        <v>#REF!</v>
      </c>
      <c r="W13" s="20" t="e">
        <f>SUMIFS(#REF!,#REF!,$B13,#REF!,W$1)</f>
        <v>#REF!</v>
      </c>
      <c r="X13" s="20" t="e">
        <f>SUMIFS(#REF!,#REF!,$B13,#REF!,X$1)</f>
        <v>#REF!</v>
      </c>
      <c r="Y13" s="20" t="e">
        <f>SUMIFS(#REF!,#REF!,$B13,#REF!,Y$1)</f>
        <v>#REF!</v>
      </c>
      <c r="Z13" s="20" t="e">
        <f>SUMIFS(#REF!,#REF!,$B13,#REF!,Z$1)</f>
        <v>#REF!</v>
      </c>
      <c r="AA13" s="20" t="e">
        <f>SUMIFS(#REF!,#REF!,$B13,#REF!,AA$1)</f>
        <v>#REF!</v>
      </c>
      <c r="AB13" s="20" t="e">
        <f>SUMIFS(#REF!,#REF!,$B13,#REF!,AB$1)</f>
        <v>#REF!</v>
      </c>
      <c r="AC13" s="20" t="e">
        <f>SUMIFS(#REF!,#REF!,$B13,#REF!,AC$1)</f>
        <v>#REF!</v>
      </c>
      <c r="AD13" s="20" t="e">
        <f>SUMIFS(#REF!,#REF!,$B13,#REF!,AD$1)</f>
        <v>#REF!</v>
      </c>
      <c r="AE13" s="20" t="e">
        <f>SUMIFS(#REF!,#REF!,$B13,#REF!,AE$1)</f>
        <v>#REF!</v>
      </c>
      <c r="AF13" s="20" t="e">
        <f>SUMIFS(#REF!,#REF!,$B13,#REF!,AF$1)</f>
        <v>#REF!</v>
      </c>
      <c r="AG13" s="20" t="e">
        <f>SUMIFS(#REF!,#REF!,$B13,#REF!,AG$1)</f>
        <v>#REF!</v>
      </c>
      <c r="AH13" s="20" t="e">
        <f>SUMIFS(#REF!,#REF!,$B13,#REF!,AH$1)</f>
        <v>#REF!</v>
      </c>
      <c r="AI13" s="26" t="e">
        <f t="shared" si="1"/>
        <v>#REF!</v>
      </c>
    </row>
    <row r="14" spans="2:35" ht="15.75" x14ac:dyDescent="0.25">
      <c r="B14" s="30" t="s">
        <v>138</v>
      </c>
      <c r="C14" s="29">
        <v>20</v>
      </c>
      <c r="D14" s="20" t="e">
        <f>SUMIFS(#REF!,#REF!,$B14,#REF!,D$1)</f>
        <v>#REF!</v>
      </c>
      <c r="E14" s="20" t="e">
        <f>SUMIFS(#REF!,#REF!,$B14,#REF!,E$1)</f>
        <v>#REF!</v>
      </c>
      <c r="F14" s="20" t="e">
        <f>SUMIFS(#REF!,#REF!,$B14,#REF!,F$1)</f>
        <v>#REF!</v>
      </c>
      <c r="G14" s="20" t="e">
        <f>SUMIFS(#REF!,#REF!,$B14,#REF!,G$1)</f>
        <v>#REF!</v>
      </c>
      <c r="H14" s="20" t="e">
        <f>SUMIFS(#REF!,#REF!,$B14,#REF!,H$1)</f>
        <v>#REF!</v>
      </c>
      <c r="I14" s="20" t="e">
        <f>SUMIFS(#REF!,#REF!,$B14,#REF!,I$1)</f>
        <v>#REF!</v>
      </c>
      <c r="J14" s="20" t="e">
        <f>SUMIFS(#REF!,#REF!,$B14,#REF!,J$1)</f>
        <v>#REF!</v>
      </c>
      <c r="K14" s="20" t="e">
        <f>SUMIFS(#REF!,#REF!,$B14,#REF!,K$1)</f>
        <v>#REF!</v>
      </c>
      <c r="L14" s="20" t="e">
        <f>SUMIFS(#REF!,#REF!,$B14,#REF!,L$1)</f>
        <v>#REF!</v>
      </c>
      <c r="M14" s="20" t="e">
        <f>SUMIFS(#REF!,#REF!,$B14,#REF!,M$1)</f>
        <v>#REF!</v>
      </c>
      <c r="N14" s="20" t="e">
        <f>SUMIFS(#REF!,#REF!,$B14,#REF!,N$1)</f>
        <v>#REF!</v>
      </c>
      <c r="O14" s="20" t="e">
        <f>SUMIFS(#REF!,#REF!,$B14,#REF!,O$1)</f>
        <v>#REF!</v>
      </c>
      <c r="P14" s="20" t="e">
        <f>SUMIFS(#REF!,#REF!,$B14,#REF!,P$1)</f>
        <v>#REF!</v>
      </c>
      <c r="Q14" s="20" t="e">
        <f>SUMIFS(#REF!,#REF!,$B14,#REF!,Q$1)</f>
        <v>#REF!</v>
      </c>
      <c r="R14" s="20" t="e">
        <f>SUMIFS(#REF!,#REF!,$B14,#REF!,R$1)</f>
        <v>#REF!</v>
      </c>
      <c r="S14" s="20" t="e">
        <f>SUMIFS(#REF!,#REF!,$B14,#REF!,S$1)</f>
        <v>#REF!</v>
      </c>
      <c r="T14" s="20" t="e">
        <f>SUMIFS(#REF!,#REF!,$B14,#REF!,T$1)</f>
        <v>#REF!</v>
      </c>
      <c r="U14" s="20" t="e">
        <f>SUMIFS(#REF!,#REF!,$B14,#REF!,U$1)</f>
        <v>#REF!</v>
      </c>
      <c r="V14" s="20" t="e">
        <f>SUMIFS(#REF!,#REF!,$B14,#REF!,V$1)</f>
        <v>#REF!</v>
      </c>
      <c r="W14" s="20" t="e">
        <f>SUMIFS(#REF!,#REF!,$B14,#REF!,W$1)</f>
        <v>#REF!</v>
      </c>
      <c r="X14" s="20" t="e">
        <f>SUMIFS(#REF!,#REF!,$B14,#REF!,X$1)</f>
        <v>#REF!</v>
      </c>
      <c r="Y14" s="20" t="e">
        <f>SUMIFS(#REF!,#REF!,$B14,#REF!,Y$1)</f>
        <v>#REF!</v>
      </c>
      <c r="Z14" s="20" t="e">
        <f>SUMIFS(#REF!,#REF!,$B14,#REF!,Z$1)</f>
        <v>#REF!</v>
      </c>
      <c r="AA14" s="20" t="e">
        <f>SUMIFS(#REF!,#REF!,$B14,#REF!,AA$1)</f>
        <v>#REF!</v>
      </c>
      <c r="AB14" s="20" t="e">
        <f>SUMIFS(#REF!,#REF!,$B14,#REF!,AB$1)</f>
        <v>#REF!</v>
      </c>
      <c r="AC14" s="20" t="e">
        <f>SUMIFS(#REF!,#REF!,$B14,#REF!,AC$1)</f>
        <v>#REF!</v>
      </c>
      <c r="AD14" s="20" t="e">
        <f>SUMIFS(#REF!,#REF!,$B14,#REF!,AD$1)</f>
        <v>#REF!</v>
      </c>
      <c r="AE14" s="20" t="e">
        <f>SUMIFS(#REF!,#REF!,$B14,#REF!,AE$1)</f>
        <v>#REF!</v>
      </c>
      <c r="AF14" s="20" t="e">
        <f>SUMIFS(#REF!,#REF!,$B14,#REF!,AF$1)</f>
        <v>#REF!</v>
      </c>
      <c r="AG14" s="20" t="e">
        <f>SUMIFS(#REF!,#REF!,$B14,#REF!,AG$1)</f>
        <v>#REF!</v>
      </c>
      <c r="AH14" s="20" t="e">
        <f>SUMIFS(#REF!,#REF!,$B14,#REF!,AH$1)</f>
        <v>#REF!</v>
      </c>
      <c r="AI14" s="26" t="e">
        <f t="shared" si="1"/>
        <v>#REF!</v>
      </c>
    </row>
    <row r="15" spans="2:35" ht="15.75" x14ac:dyDescent="0.25">
      <c r="B15" s="30" t="s">
        <v>139</v>
      </c>
      <c r="C15" s="29">
        <v>20</v>
      </c>
      <c r="D15" s="20" t="e">
        <f>SUMIFS(#REF!,#REF!,$B15,#REF!,D$1)</f>
        <v>#REF!</v>
      </c>
      <c r="E15" s="20" t="e">
        <f>SUMIFS(#REF!,#REF!,$B15,#REF!,E$1)</f>
        <v>#REF!</v>
      </c>
      <c r="F15" s="20" t="e">
        <f>SUMIFS(#REF!,#REF!,$B15,#REF!,F$1)</f>
        <v>#REF!</v>
      </c>
      <c r="G15" s="20" t="e">
        <f>SUMIFS(#REF!,#REF!,$B15,#REF!,G$1)</f>
        <v>#REF!</v>
      </c>
      <c r="H15" s="20" t="e">
        <f>SUMIFS(#REF!,#REF!,$B15,#REF!,H$1)</f>
        <v>#REF!</v>
      </c>
      <c r="I15" s="20" t="e">
        <f>SUMIFS(#REF!,#REF!,$B15,#REF!,I$1)</f>
        <v>#REF!</v>
      </c>
      <c r="J15" s="20" t="e">
        <f>SUMIFS(#REF!,#REF!,$B15,#REF!,J$1)</f>
        <v>#REF!</v>
      </c>
      <c r="K15" s="20" t="e">
        <f>SUMIFS(#REF!,#REF!,$B15,#REF!,K$1)</f>
        <v>#REF!</v>
      </c>
      <c r="L15" s="20" t="e">
        <f>SUMIFS(#REF!,#REF!,$B15,#REF!,L$1)</f>
        <v>#REF!</v>
      </c>
      <c r="M15" s="20" t="e">
        <f>SUMIFS(#REF!,#REF!,$B15,#REF!,M$1)</f>
        <v>#REF!</v>
      </c>
      <c r="N15" s="20" t="e">
        <f>SUMIFS(#REF!,#REF!,$B15,#REF!,N$1)</f>
        <v>#REF!</v>
      </c>
      <c r="O15" s="20" t="e">
        <f>SUMIFS(#REF!,#REF!,$B15,#REF!,O$1)</f>
        <v>#REF!</v>
      </c>
      <c r="P15" s="20" t="e">
        <f>SUMIFS(#REF!,#REF!,$B15,#REF!,P$1)</f>
        <v>#REF!</v>
      </c>
      <c r="Q15" s="20" t="e">
        <f>SUMIFS(#REF!,#REF!,$B15,#REF!,Q$1)</f>
        <v>#REF!</v>
      </c>
      <c r="R15" s="20" t="e">
        <f>SUMIFS(#REF!,#REF!,$B15,#REF!,R$1)</f>
        <v>#REF!</v>
      </c>
      <c r="S15" s="20" t="e">
        <f>SUMIFS(#REF!,#REF!,$B15,#REF!,S$1)</f>
        <v>#REF!</v>
      </c>
      <c r="T15" s="20" t="e">
        <f>SUMIFS(#REF!,#REF!,$B15,#REF!,T$1)</f>
        <v>#REF!</v>
      </c>
      <c r="U15" s="20" t="e">
        <f>SUMIFS(#REF!,#REF!,$B15,#REF!,U$1)</f>
        <v>#REF!</v>
      </c>
      <c r="V15" s="20" t="e">
        <f>SUMIFS(#REF!,#REF!,$B15,#REF!,V$1)</f>
        <v>#REF!</v>
      </c>
      <c r="W15" s="20" t="e">
        <f>SUMIFS(#REF!,#REF!,$B15,#REF!,W$1)</f>
        <v>#REF!</v>
      </c>
      <c r="X15" s="20" t="e">
        <f>SUMIFS(#REF!,#REF!,$B15,#REF!,X$1)</f>
        <v>#REF!</v>
      </c>
      <c r="Y15" s="20" t="e">
        <f>SUMIFS(#REF!,#REF!,$B15,#REF!,Y$1)</f>
        <v>#REF!</v>
      </c>
      <c r="Z15" s="20" t="e">
        <f>SUMIFS(#REF!,#REF!,$B15,#REF!,Z$1)</f>
        <v>#REF!</v>
      </c>
      <c r="AA15" s="20" t="e">
        <f>SUMIFS(#REF!,#REF!,$B15,#REF!,AA$1)</f>
        <v>#REF!</v>
      </c>
      <c r="AB15" s="20" t="e">
        <f>SUMIFS(#REF!,#REF!,$B15,#REF!,AB$1)</f>
        <v>#REF!</v>
      </c>
      <c r="AC15" s="20" t="e">
        <f>SUMIFS(#REF!,#REF!,$B15,#REF!,AC$1)</f>
        <v>#REF!</v>
      </c>
      <c r="AD15" s="20" t="e">
        <f>SUMIFS(#REF!,#REF!,$B15,#REF!,AD$1)</f>
        <v>#REF!</v>
      </c>
      <c r="AE15" s="20" t="e">
        <f>SUMIFS(#REF!,#REF!,$B15,#REF!,AE$1)</f>
        <v>#REF!</v>
      </c>
      <c r="AF15" s="20" t="e">
        <f>SUMIFS(#REF!,#REF!,$B15,#REF!,AF$1)</f>
        <v>#REF!</v>
      </c>
      <c r="AG15" s="20" t="e">
        <f>SUMIFS(#REF!,#REF!,$B15,#REF!,AG$1)</f>
        <v>#REF!</v>
      </c>
      <c r="AH15" s="20" t="e">
        <f>SUMIFS(#REF!,#REF!,$B15,#REF!,AH$1)</f>
        <v>#REF!</v>
      </c>
      <c r="AI15" s="26" t="e">
        <f t="shared" si="1"/>
        <v>#REF!</v>
      </c>
    </row>
    <row r="16" spans="2:35" ht="25.5" x14ac:dyDescent="0.25">
      <c r="B16" s="30" t="s">
        <v>140</v>
      </c>
      <c r="C16" s="29">
        <v>50</v>
      </c>
      <c r="D16" s="20" t="e">
        <f>SUMIFS(#REF!,#REF!,$B16,#REF!,D$1)</f>
        <v>#REF!</v>
      </c>
      <c r="E16" s="20" t="e">
        <f>SUMIFS(#REF!,#REF!,$B16,#REF!,E$1)</f>
        <v>#REF!</v>
      </c>
      <c r="F16" s="20" t="e">
        <f>SUMIFS(#REF!,#REF!,$B16,#REF!,F$1)</f>
        <v>#REF!</v>
      </c>
      <c r="G16" s="20" t="e">
        <f>SUMIFS(#REF!,#REF!,$B16,#REF!,G$1)</f>
        <v>#REF!</v>
      </c>
      <c r="H16" s="20" t="e">
        <f>SUMIFS(#REF!,#REF!,$B16,#REF!,H$1)</f>
        <v>#REF!</v>
      </c>
      <c r="I16" s="20" t="e">
        <f>SUMIFS(#REF!,#REF!,$B16,#REF!,I$1)</f>
        <v>#REF!</v>
      </c>
      <c r="J16" s="20" t="e">
        <f>SUMIFS(#REF!,#REF!,$B16,#REF!,J$1)</f>
        <v>#REF!</v>
      </c>
      <c r="K16" s="20" t="e">
        <f>SUMIFS(#REF!,#REF!,$B16,#REF!,K$1)</f>
        <v>#REF!</v>
      </c>
      <c r="L16" s="20" t="e">
        <f>SUMIFS(#REF!,#REF!,$B16,#REF!,L$1)</f>
        <v>#REF!</v>
      </c>
      <c r="M16" s="20" t="e">
        <f>SUMIFS(#REF!,#REF!,$B16,#REF!,M$1)</f>
        <v>#REF!</v>
      </c>
      <c r="N16" s="20" t="e">
        <f>SUMIFS(#REF!,#REF!,$B16,#REF!,N$1)</f>
        <v>#REF!</v>
      </c>
      <c r="O16" s="20" t="e">
        <f>SUMIFS(#REF!,#REF!,$B16,#REF!,O$1)</f>
        <v>#REF!</v>
      </c>
      <c r="P16" s="20" t="e">
        <f>SUMIFS(#REF!,#REF!,$B16,#REF!,P$1)</f>
        <v>#REF!</v>
      </c>
      <c r="Q16" s="20" t="e">
        <f>SUMIFS(#REF!,#REF!,$B16,#REF!,Q$1)</f>
        <v>#REF!</v>
      </c>
      <c r="R16" s="20" t="e">
        <f>SUMIFS(#REF!,#REF!,$B16,#REF!,R$1)</f>
        <v>#REF!</v>
      </c>
      <c r="S16" s="20" t="e">
        <f>SUMIFS(#REF!,#REF!,$B16,#REF!,S$1)</f>
        <v>#REF!</v>
      </c>
      <c r="T16" s="20" t="e">
        <f>SUMIFS(#REF!,#REF!,$B16,#REF!,T$1)</f>
        <v>#REF!</v>
      </c>
      <c r="U16" s="20" t="e">
        <f>SUMIFS(#REF!,#REF!,$B16,#REF!,U$1)</f>
        <v>#REF!</v>
      </c>
      <c r="V16" s="20" t="e">
        <f>SUMIFS(#REF!,#REF!,$B16,#REF!,V$1)</f>
        <v>#REF!</v>
      </c>
      <c r="W16" s="20" t="e">
        <f>SUMIFS(#REF!,#REF!,$B16,#REF!,W$1)</f>
        <v>#REF!</v>
      </c>
      <c r="X16" s="20" t="e">
        <f>SUMIFS(#REF!,#REF!,$B16,#REF!,X$1)</f>
        <v>#REF!</v>
      </c>
      <c r="Y16" s="20" t="e">
        <f>SUMIFS(#REF!,#REF!,$B16,#REF!,Y$1)</f>
        <v>#REF!</v>
      </c>
      <c r="Z16" s="20" t="e">
        <f>SUMIFS(#REF!,#REF!,$B16,#REF!,Z$1)</f>
        <v>#REF!</v>
      </c>
      <c r="AA16" s="20" t="e">
        <f>SUMIFS(#REF!,#REF!,$B16,#REF!,AA$1)</f>
        <v>#REF!</v>
      </c>
      <c r="AB16" s="20" t="e">
        <f>SUMIFS(#REF!,#REF!,$B16,#REF!,AB$1)</f>
        <v>#REF!</v>
      </c>
      <c r="AC16" s="20" t="e">
        <f>SUMIFS(#REF!,#REF!,$B16,#REF!,AC$1)</f>
        <v>#REF!</v>
      </c>
      <c r="AD16" s="20" t="e">
        <f>SUMIFS(#REF!,#REF!,$B16,#REF!,AD$1)</f>
        <v>#REF!</v>
      </c>
      <c r="AE16" s="20" t="e">
        <f>SUMIFS(#REF!,#REF!,$B16,#REF!,AE$1)</f>
        <v>#REF!</v>
      </c>
      <c r="AF16" s="20" t="e">
        <f>SUMIFS(#REF!,#REF!,$B16,#REF!,AF$1)</f>
        <v>#REF!</v>
      </c>
      <c r="AG16" s="20" t="e">
        <f>SUMIFS(#REF!,#REF!,$B16,#REF!,AG$1)</f>
        <v>#REF!</v>
      </c>
      <c r="AH16" s="20" t="e">
        <f>SUMIFS(#REF!,#REF!,$B16,#REF!,AH$1)</f>
        <v>#REF!</v>
      </c>
      <c r="AI16" s="26" t="e">
        <f t="shared" si="1"/>
        <v>#REF!</v>
      </c>
    </row>
    <row r="17" spans="2:35" ht="15.75" x14ac:dyDescent="0.25">
      <c r="B17" s="31" t="s">
        <v>141</v>
      </c>
      <c r="C17" s="32">
        <v>200</v>
      </c>
      <c r="D17" s="20" t="e">
        <f>SUMIFS(#REF!,#REF!,$B17,#REF!,D$1)</f>
        <v>#REF!</v>
      </c>
      <c r="E17" s="20" t="e">
        <f>SUMIFS(#REF!,#REF!,$B17,#REF!,E$1)</f>
        <v>#REF!</v>
      </c>
      <c r="F17" s="20" t="e">
        <f>SUMIFS(#REF!,#REF!,$B17,#REF!,F$1)</f>
        <v>#REF!</v>
      </c>
      <c r="G17" s="20" t="e">
        <f>SUMIFS(#REF!,#REF!,$B17,#REF!,G$1)</f>
        <v>#REF!</v>
      </c>
      <c r="H17" s="20" t="e">
        <f>SUMIFS(#REF!,#REF!,$B17,#REF!,H$1)</f>
        <v>#REF!</v>
      </c>
      <c r="I17" s="20" t="e">
        <f>SUMIFS(#REF!,#REF!,$B17,#REF!,I$1)</f>
        <v>#REF!</v>
      </c>
      <c r="J17" s="20" t="e">
        <f>SUMIFS(#REF!,#REF!,$B17,#REF!,J$1)</f>
        <v>#REF!</v>
      </c>
      <c r="K17" s="20" t="e">
        <f>SUMIFS(#REF!,#REF!,$B17,#REF!,K$1)</f>
        <v>#REF!</v>
      </c>
      <c r="L17" s="20" t="e">
        <f>SUMIFS(#REF!,#REF!,$B17,#REF!,L$1)</f>
        <v>#REF!</v>
      </c>
      <c r="M17" s="20" t="e">
        <f>SUMIFS(#REF!,#REF!,$B17,#REF!,M$1)</f>
        <v>#REF!</v>
      </c>
      <c r="N17" s="20" t="e">
        <f>SUMIFS(#REF!,#REF!,$B17,#REF!,N$1)</f>
        <v>#REF!</v>
      </c>
      <c r="O17" s="20" t="e">
        <f>SUMIFS(#REF!,#REF!,$B17,#REF!,O$1)</f>
        <v>#REF!</v>
      </c>
      <c r="P17" s="20" t="e">
        <f>SUMIFS(#REF!,#REF!,$B17,#REF!,P$1)</f>
        <v>#REF!</v>
      </c>
      <c r="Q17" s="20" t="e">
        <f>SUMIFS(#REF!,#REF!,$B17,#REF!,Q$1)</f>
        <v>#REF!</v>
      </c>
      <c r="R17" s="20" t="e">
        <f>SUMIFS(#REF!,#REF!,$B17,#REF!,R$1)</f>
        <v>#REF!</v>
      </c>
      <c r="S17" s="20" t="e">
        <f>SUMIFS(#REF!,#REF!,$B17,#REF!,S$1)</f>
        <v>#REF!</v>
      </c>
      <c r="T17" s="20" t="e">
        <f>SUMIFS(#REF!,#REF!,$B17,#REF!,T$1)</f>
        <v>#REF!</v>
      </c>
      <c r="U17" s="20" t="e">
        <f>SUMIFS(#REF!,#REF!,$B17,#REF!,U$1)</f>
        <v>#REF!</v>
      </c>
      <c r="V17" s="20" t="e">
        <f>SUMIFS(#REF!,#REF!,$B17,#REF!,V$1)</f>
        <v>#REF!</v>
      </c>
      <c r="W17" s="20" t="e">
        <f>SUMIFS(#REF!,#REF!,$B17,#REF!,W$1)</f>
        <v>#REF!</v>
      </c>
      <c r="X17" s="20" t="e">
        <f>SUMIFS(#REF!,#REF!,$B17,#REF!,X$1)</f>
        <v>#REF!</v>
      </c>
      <c r="Y17" s="20" t="e">
        <f>SUMIFS(#REF!,#REF!,$B17,#REF!,Y$1)</f>
        <v>#REF!</v>
      </c>
      <c r="Z17" s="20" t="e">
        <f>SUMIFS(#REF!,#REF!,$B17,#REF!,Z$1)</f>
        <v>#REF!</v>
      </c>
      <c r="AA17" s="20" t="e">
        <f>SUMIFS(#REF!,#REF!,$B17,#REF!,AA$1)</f>
        <v>#REF!</v>
      </c>
      <c r="AB17" s="20" t="e">
        <f>SUMIFS(#REF!,#REF!,$B17,#REF!,AB$1)</f>
        <v>#REF!</v>
      </c>
      <c r="AC17" s="20" t="e">
        <f>SUMIFS(#REF!,#REF!,$B17,#REF!,AC$1)</f>
        <v>#REF!</v>
      </c>
      <c r="AD17" s="20" t="e">
        <f>SUMIFS(#REF!,#REF!,$B17,#REF!,AD$1)</f>
        <v>#REF!</v>
      </c>
      <c r="AE17" s="20" t="e">
        <f>SUMIFS(#REF!,#REF!,$B17,#REF!,AE$1)</f>
        <v>#REF!</v>
      </c>
      <c r="AF17" s="20" t="e">
        <f>SUMIFS(#REF!,#REF!,$B17,#REF!,AF$1)</f>
        <v>#REF!</v>
      </c>
      <c r="AG17" s="20" t="e">
        <f>SUMIFS(#REF!,#REF!,$B17,#REF!,AG$1)</f>
        <v>#REF!</v>
      </c>
      <c r="AH17" s="20" t="e">
        <f>SUMIFS(#REF!,#REF!,$B17,#REF!,AH$1)</f>
        <v>#REF!</v>
      </c>
      <c r="AI17" s="26" t="e">
        <f t="shared" si="1"/>
        <v>#REF!</v>
      </c>
    </row>
    <row r="18" spans="2:35" ht="25.5" x14ac:dyDescent="0.25">
      <c r="B18" s="30" t="s">
        <v>142</v>
      </c>
      <c r="C18" s="32">
        <v>200</v>
      </c>
      <c r="D18" s="20" t="e">
        <f>SUMIFS(#REF!,#REF!,$B18,#REF!,D$1)</f>
        <v>#REF!</v>
      </c>
      <c r="E18" s="20" t="e">
        <f>SUMIFS(#REF!,#REF!,$B18,#REF!,E$1)</f>
        <v>#REF!</v>
      </c>
      <c r="F18" s="20" t="e">
        <f>SUMIFS(#REF!,#REF!,$B18,#REF!,F$1)</f>
        <v>#REF!</v>
      </c>
      <c r="G18" s="20" t="e">
        <f>SUMIFS(#REF!,#REF!,$B18,#REF!,G$1)</f>
        <v>#REF!</v>
      </c>
      <c r="H18" s="20" t="e">
        <f>SUMIFS(#REF!,#REF!,$B18,#REF!,H$1)</f>
        <v>#REF!</v>
      </c>
      <c r="I18" s="20" t="e">
        <f>SUMIFS(#REF!,#REF!,$B18,#REF!,I$1)</f>
        <v>#REF!</v>
      </c>
      <c r="J18" s="20" t="e">
        <f>SUMIFS(#REF!,#REF!,$B18,#REF!,J$1)</f>
        <v>#REF!</v>
      </c>
      <c r="K18" s="20" t="e">
        <f>SUMIFS(#REF!,#REF!,$B18,#REF!,K$1)</f>
        <v>#REF!</v>
      </c>
      <c r="L18" s="20" t="e">
        <f>SUMIFS(#REF!,#REF!,$B18,#REF!,L$1)</f>
        <v>#REF!</v>
      </c>
      <c r="M18" s="20" t="e">
        <f>SUMIFS(#REF!,#REF!,$B18,#REF!,M$1)</f>
        <v>#REF!</v>
      </c>
      <c r="N18" s="20" t="e">
        <f>SUMIFS(#REF!,#REF!,$B18,#REF!,N$1)</f>
        <v>#REF!</v>
      </c>
      <c r="O18" s="20" t="e">
        <f>SUMIFS(#REF!,#REF!,$B18,#REF!,O$1)</f>
        <v>#REF!</v>
      </c>
      <c r="P18" s="20" t="e">
        <f>SUMIFS(#REF!,#REF!,$B18,#REF!,P$1)</f>
        <v>#REF!</v>
      </c>
      <c r="Q18" s="20" t="e">
        <f>SUMIFS(#REF!,#REF!,$B18,#REF!,Q$1)</f>
        <v>#REF!</v>
      </c>
      <c r="R18" s="20" t="e">
        <f>SUMIFS(#REF!,#REF!,$B18,#REF!,R$1)</f>
        <v>#REF!</v>
      </c>
      <c r="S18" s="20" t="e">
        <f>SUMIFS(#REF!,#REF!,$B18,#REF!,S$1)</f>
        <v>#REF!</v>
      </c>
      <c r="T18" s="20" t="e">
        <f>SUMIFS(#REF!,#REF!,$B18,#REF!,T$1)</f>
        <v>#REF!</v>
      </c>
      <c r="U18" s="20" t="e">
        <f>SUMIFS(#REF!,#REF!,$B18,#REF!,U$1)</f>
        <v>#REF!</v>
      </c>
      <c r="V18" s="20" t="e">
        <f>SUMIFS(#REF!,#REF!,$B18,#REF!,V$1)</f>
        <v>#REF!</v>
      </c>
      <c r="W18" s="20" t="e">
        <f>SUMIFS(#REF!,#REF!,$B18,#REF!,W$1)</f>
        <v>#REF!</v>
      </c>
      <c r="X18" s="20" t="e">
        <f>SUMIFS(#REF!,#REF!,$B18,#REF!,X$1)</f>
        <v>#REF!</v>
      </c>
      <c r="Y18" s="20" t="e">
        <f>SUMIFS(#REF!,#REF!,$B18,#REF!,Y$1)</f>
        <v>#REF!</v>
      </c>
      <c r="Z18" s="20" t="e">
        <f>SUMIFS(#REF!,#REF!,$B18,#REF!,Z$1)</f>
        <v>#REF!</v>
      </c>
      <c r="AA18" s="20" t="e">
        <f>SUMIFS(#REF!,#REF!,$B18,#REF!,AA$1)</f>
        <v>#REF!</v>
      </c>
      <c r="AB18" s="20" t="e">
        <f>SUMIFS(#REF!,#REF!,$B18,#REF!,AB$1)</f>
        <v>#REF!</v>
      </c>
      <c r="AC18" s="20" t="e">
        <f>SUMIFS(#REF!,#REF!,$B18,#REF!,AC$1)</f>
        <v>#REF!</v>
      </c>
      <c r="AD18" s="20" t="e">
        <f>SUMIFS(#REF!,#REF!,$B18,#REF!,AD$1)</f>
        <v>#REF!</v>
      </c>
      <c r="AE18" s="20" t="e">
        <f>SUMIFS(#REF!,#REF!,$B18,#REF!,AE$1)</f>
        <v>#REF!</v>
      </c>
      <c r="AF18" s="20" t="e">
        <f>SUMIFS(#REF!,#REF!,$B18,#REF!,AF$1)</f>
        <v>#REF!</v>
      </c>
      <c r="AG18" s="20" t="e">
        <f>SUMIFS(#REF!,#REF!,$B18,#REF!,AG$1)</f>
        <v>#REF!</v>
      </c>
      <c r="AH18" s="20" t="e">
        <f>SUMIFS(#REF!,#REF!,$B18,#REF!,AH$1)</f>
        <v>#REF!</v>
      </c>
      <c r="AI18" s="26" t="e">
        <f t="shared" si="1"/>
        <v>#REF!</v>
      </c>
    </row>
    <row r="19" spans="2:35" ht="25.5" x14ac:dyDescent="0.25">
      <c r="B19" s="33" t="s">
        <v>143</v>
      </c>
      <c r="C19" s="32">
        <v>96</v>
      </c>
      <c r="D19" s="20" t="e">
        <f>SUMIFS(#REF!,#REF!,$B19,#REF!,D$1)</f>
        <v>#REF!</v>
      </c>
      <c r="E19" s="20" t="e">
        <f>SUMIFS(#REF!,#REF!,$B19,#REF!,E$1)</f>
        <v>#REF!</v>
      </c>
      <c r="F19" s="20" t="e">
        <f>SUMIFS(#REF!,#REF!,$B19,#REF!,F$1)</f>
        <v>#REF!</v>
      </c>
      <c r="G19" s="20" t="e">
        <f>SUMIFS(#REF!,#REF!,$B19,#REF!,G$1)</f>
        <v>#REF!</v>
      </c>
      <c r="H19" s="20" t="e">
        <f>SUMIFS(#REF!,#REF!,$B19,#REF!,H$1)</f>
        <v>#REF!</v>
      </c>
      <c r="I19" s="20" t="e">
        <f>SUMIFS(#REF!,#REF!,$B19,#REF!,I$1)</f>
        <v>#REF!</v>
      </c>
      <c r="J19" s="20" t="e">
        <f>SUMIFS(#REF!,#REF!,$B19,#REF!,J$1)</f>
        <v>#REF!</v>
      </c>
      <c r="K19" s="20" t="e">
        <f>SUMIFS(#REF!,#REF!,$B19,#REF!,K$1)</f>
        <v>#REF!</v>
      </c>
      <c r="L19" s="20" t="e">
        <f>SUMIFS(#REF!,#REF!,$B19,#REF!,L$1)</f>
        <v>#REF!</v>
      </c>
      <c r="M19" s="20" t="e">
        <f>SUMIFS(#REF!,#REF!,$B19,#REF!,M$1)</f>
        <v>#REF!</v>
      </c>
      <c r="N19" s="20" t="e">
        <f>SUMIFS(#REF!,#REF!,$B19,#REF!,N$1)</f>
        <v>#REF!</v>
      </c>
      <c r="O19" s="20" t="e">
        <f>SUMIFS(#REF!,#REF!,$B19,#REF!,O$1)</f>
        <v>#REF!</v>
      </c>
      <c r="P19" s="20" t="e">
        <f>SUMIFS(#REF!,#REF!,$B19,#REF!,P$1)</f>
        <v>#REF!</v>
      </c>
      <c r="Q19" s="20" t="e">
        <f>SUMIFS(#REF!,#REF!,$B19,#REF!,Q$1)</f>
        <v>#REF!</v>
      </c>
      <c r="R19" s="20" t="e">
        <f>SUMIFS(#REF!,#REF!,$B19,#REF!,R$1)</f>
        <v>#REF!</v>
      </c>
      <c r="S19" s="20" t="e">
        <f>SUMIFS(#REF!,#REF!,$B19,#REF!,S$1)</f>
        <v>#REF!</v>
      </c>
      <c r="T19" s="20" t="e">
        <f>SUMIFS(#REF!,#REF!,$B19,#REF!,T$1)</f>
        <v>#REF!</v>
      </c>
      <c r="U19" s="20" t="e">
        <f>SUMIFS(#REF!,#REF!,$B19,#REF!,U$1)</f>
        <v>#REF!</v>
      </c>
      <c r="V19" s="20" t="e">
        <f>SUMIFS(#REF!,#REF!,$B19,#REF!,V$1)</f>
        <v>#REF!</v>
      </c>
      <c r="W19" s="20" t="e">
        <f>SUMIFS(#REF!,#REF!,$B19,#REF!,W$1)</f>
        <v>#REF!</v>
      </c>
      <c r="X19" s="20" t="e">
        <f>SUMIFS(#REF!,#REF!,$B19,#REF!,X$1)</f>
        <v>#REF!</v>
      </c>
      <c r="Y19" s="20" t="e">
        <f>SUMIFS(#REF!,#REF!,$B19,#REF!,Y$1)</f>
        <v>#REF!</v>
      </c>
      <c r="Z19" s="20" t="e">
        <f>SUMIFS(#REF!,#REF!,$B19,#REF!,Z$1)</f>
        <v>#REF!</v>
      </c>
      <c r="AA19" s="20" t="e">
        <f>SUMIFS(#REF!,#REF!,$B19,#REF!,AA$1)</f>
        <v>#REF!</v>
      </c>
      <c r="AB19" s="20" t="e">
        <f>SUMIFS(#REF!,#REF!,$B19,#REF!,AB$1)</f>
        <v>#REF!</v>
      </c>
      <c r="AC19" s="20" t="e">
        <f>SUMIFS(#REF!,#REF!,$B19,#REF!,AC$1)</f>
        <v>#REF!</v>
      </c>
      <c r="AD19" s="20" t="e">
        <f>SUMIFS(#REF!,#REF!,$B19,#REF!,AD$1)</f>
        <v>#REF!</v>
      </c>
      <c r="AE19" s="20" t="e">
        <f>SUMIFS(#REF!,#REF!,$B19,#REF!,AE$1)</f>
        <v>#REF!</v>
      </c>
      <c r="AF19" s="20" t="e">
        <f>SUMIFS(#REF!,#REF!,$B19,#REF!,AF$1)</f>
        <v>#REF!</v>
      </c>
      <c r="AG19" s="20" t="e">
        <f>SUMIFS(#REF!,#REF!,$B19,#REF!,AG$1)</f>
        <v>#REF!</v>
      </c>
      <c r="AH19" s="20" t="e">
        <f>SUMIFS(#REF!,#REF!,$B19,#REF!,AH$1)</f>
        <v>#REF!</v>
      </c>
      <c r="AI19" s="26" t="e">
        <f t="shared" si="1"/>
        <v>#REF!</v>
      </c>
    </row>
    <row r="20" spans="2:35" ht="25.5" x14ac:dyDescent="0.25">
      <c r="B20" s="33" t="s">
        <v>144</v>
      </c>
      <c r="C20" s="32">
        <v>200</v>
      </c>
      <c r="D20" s="20" t="e">
        <f>SUMIFS(#REF!,#REF!,$B20,#REF!,D$1)</f>
        <v>#REF!</v>
      </c>
      <c r="E20" s="20" t="e">
        <f>SUMIFS(#REF!,#REF!,$B20,#REF!,E$1)</f>
        <v>#REF!</v>
      </c>
      <c r="F20" s="20" t="e">
        <f>SUMIFS(#REF!,#REF!,$B20,#REF!,F$1)</f>
        <v>#REF!</v>
      </c>
      <c r="G20" s="20" t="e">
        <f>SUMIFS(#REF!,#REF!,$B20,#REF!,G$1)</f>
        <v>#REF!</v>
      </c>
      <c r="H20" s="20" t="e">
        <f>SUMIFS(#REF!,#REF!,$B20,#REF!,H$1)</f>
        <v>#REF!</v>
      </c>
      <c r="I20" s="20" t="e">
        <f>SUMIFS(#REF!,#REF!,$B20,#REF!,I$1)</f>
        <v>#REF!</v>
      </c>
      <c r="J20" s="20" t="e">
        <f>SUMIFS(#REF!,#REF!,$B20,#REF!,J$1)</f>
        <v>#REF!</v>
      </c>
      <c r="K20" s="20" t="e">
        <f>SUMIFS(#REF!,#REF!,$B20,#REF!,K$1)</f>
        <v>#REF!</v>
      </c>
      <c r="L20" s="20" t="e">
        <f>SUMIFS(#REF!,#REF!,$B20,#REF!,L$1)</f>
        <v>#REF!</v>
      </c>
      <c r="M20" s="20" t="e">
        <f>SUMIFS(#REF!,#REF!,$B20,#REF!,M$1)</f>
        <v>#REF!</v>
      </c>
      <c r="N20" s="20" t="e">
        <f>SUMIFS(#REF!,#REF!,$B20,#REF!,N$1)</f>
        <v>#REF!</v>
      </c>
      <c r="O20" s="20" t="e">
        <f>SUMIFS(#REF!,#REF!,$B20,#REF!,O$1)</f>
        <v>#REF!</v>
      </c>
      <c r="P20" s="20" t="e">
        <f>SUMIFS(#REF!,#REF!,$B20,#REF!,P$1)</f>
        <v>#REF!</v>
      </c>
      <c r="Q20" s="20" t="e">
        <f>SUMIFS(#REF!,#REF!,$B20,#REF!,Q$1)</f>
        <v>#REF!</v>
      </c>
      <c r="R20" s="20" t="e">
        <f>SUMIFS(#REF!,#REF!,$B20,#REF!,R$1)</f>
        <v>#REF!</v>
      </c>
      <c r="S20" s="20" t="e">
        <f>SUMIFS(#REF!,#REF!,$B20,#REF!,S$1)</f>
        <v>#REF!</v>
      </c>
      <c r="T20" s="20" t="e">
        <f>SUMIFS(#REF!,#REF!,$B20,#REF!,T$1)</f>
        <v>#REF!</v>
      </c>
      <c r="U20" s="20" t="e">
        <f>SUMIFS(#REF!,#REF!,$B20,#REF!,U$1)</f>
        <v>#REF!</v>
      </c>
      <c r="V20" s="20" t="e">
        <f>SUMIFS(#REF!,#REF!,$B20,#REF!,V$1)</f>
        <v>#REF!</v>
      </c>
      <c r="W20" s="20" t="e">
        <f>SUMIFS(#REF!,#REF!,$B20,#REF!,W$1)</f>
        <v>#REF!</v>
      </c>
      <c r="X20" s="20" t="e">
        <f>SUMIFS(#REF!,#REF!,$B20,#REF!,X$1)</f>
        <v>#REF!</v>
      </c>
      <c r="Y20" s="20" t="e">
        <f>SUMIFS(#REF!,#REF!,$B20,#REF!,Y$1)</f>
        <v>#REF!</v>
      </c>
      <c r="Z20" s="20" t="e">
        <f>SUMIFS(#REF!,#REF!,$B20,#REF!,Z$1)</f>
        <v>#REF!</v>
      </c>
      <c r="AA20" s="20" t="e">
        <f>SUMIFS(#REF!,#REF!,$B20,#REF!,AA$1)</f>
        <v>#REF!</v>
      </c>
      <c r="AB20" s="20" t="e">
        <f>SUMIFS(#REF!,#REF!,$B20,#REF!,AB$1)</f>
        <v>#REF!</v>
      </c>
      <c r="AC20" s="20" t="e">
        <f>SUMIFS(#REF!,#REF!,$B20,#REF!,AC$1)</f>
        <v>#REF!</v>
      </c>
      <c r="AD20" s="20" t="e">
        <f>SUMIFS(#REF!,#REF!,$B20,#REF!,AD$1)</f>
        <v>#REF!</v>
      </c>
      <c r="AE20" s="20" t="e">
        <f>SUMIFS(#REF!,#REF!,$B20,#REF!,AE$1)</f>
        <v>#REF!</v>
      </c>
      <c r="AF20" s="20" t="e">
        <f>SUMIFS(#REF!,#REF!,$B20,#REF!,AF$1)</f>
        <v>#REF!</v>
      </c>
      <c r="AG20" s="20" t="e">
        <f>SUMIFS(#REF!,#REF!,$B20,#REF!,AG$1)</f>
        <v>#REF!</v>
      </c>
      <c r="AH20" s="20" t="e">
        <f>SUMIFS(#REF!,#REF!,$B20,#REF!,AH$1)</f>
        <v>#REF!</v>
      </c>
      <c r="AI20" s="26" t="e">
        <f t="shared" si="1"/>
        <v>#REF!</v>
      </c>
    </row>
    <row r="21" spans="2:35" ht="25.5" x14ac:dyDescent="0.25">
      <c r="B21" s="33" t="s">
        <v>145</v>
      </c>
      <c r="C21" s="32">
        <v>90</v>
      </c>
      <c r="D21" s="20" t="e">
        <f>SUMIFS(#REF!,#REF!,$B21,#REF!,D$1)</f>
        <v>#REF!</v>
      </c>
      <c r="E21" s="20" t="e">
        <f>SUMIFS(#REF!,#REF!,$B21,#REF!,E$1)</f>
        <v>#REF!</v>
      </c>
      <c r="F21" s="20" t="e">
        <f>SUMIFS(#REF!,#REF!,$B21,#REF!,F$1)</f>
        <v>#REF!</v>
      </c>
      <c r="G21" s="20" t="e">
        <f>SUMIFS(#REF!,#REF!,$B21,#REF!,G$1)</f>
        <v>#REF!</v>
      </c>
      <c r="H21" s="20" t="e">
        <f>SUMIFS(#REF!,#REF!,$B21,#REF!,H$1)</f>
        <v>#REF!</v>
      </c>
      <c r="I21" s="20" t="e">
        <f>SUMIFS(#REF!,#REF!,$B21,#REF!,I$1)</f>
        <v>#REF!</v>
      </c>
      <c r="J21" s="20" t="e">
        <f>SUMIFS(#REF!,#REF!,$B21,#REF!,J$1)</f>
        <v>#REF!</v>
      </c>
      <c r="K21" s="20" t="e">
        <f>SUMIFS(#REF!,#REF!,$B21,#REF!,K$1)</f>
        <v>#REF!</v>
      </c>
      <c r="L21" s="20" t="e">
        <f>SUMIFS(#REF!,#REF!,$B21,#REF!,L$1)</f>
        <v>#REF!</v>
      </c>
      <c r="M21" s="20" t="e">
        <f>SUMIFS(#REF!,#REF!,$B21,#REF!,M$1)</f>
        <v>#REF!</v>
      </c>
      <c r="N21" s="20" t="e">
        <f>SUMIFS(#REF!,#REF!,$B21,#REF!,N$1)</f>
        <v>#REF!</v>
      </c>
      <c r="O21" s="20" t="e">
        <f>SUMIFS(#REF!,#REF!,$B21,#REF!,O$1)</f>
        <v>#REF!</v>
      </c>
      <c r="P21" s="20" t="e">
        <f>SUMIFS(#REF!,#REF!,$B21,#REF!,P$1)</f>
        <v>#REF!</v>
      </c>
      <c r="Q21" s="20" t="e">
        <f>SUMIFS(#REF!,#REF!,$B21,#REF!,Q$1)</f>
        <v>#REF!</v>
      </c>
      <c r="R21" s="20" t="e">
        <f>SUMIFS(#REF!,#REF!,$B21,#REF!,R$1)</f>
        <v>#REF!</v>
      </c>
      <c r="S21" s="20" t="e">
        <f>SUMIFS(#REF!,#REF!,$B21,#REF!,S$1)</f>
        <v>#REF!</v>
      </c>
      <c r="T21" s="20" t="e">
        <f>SUMIFS(#REF!,#REF!,$B21,#REF!,T$1)</f>
        <v>#REF!</v>
      </c>
      <c r="U21" s="20" t="e">
        <f>SUMIFS(#REF!,#REF!,$B21,#REF!,U$1)</f>
        <v>#REF!</v>
      </c>
      <c r="V21" s="20" t="e">
        <f>SUMIFS(#REF!,#REF!,$B21,#REF!,V$1)</f>
        <v>#REF!</v>
      </c>
      <c r="W21" s="20" t="e">
        <f>SUMIFS(#REF!,#REF!,$B21,#REF!,W$1)</f>
        <v>#REF!</v>
      </c>
      <c r="X21" s="20" t="e">
        <f>SUMIFS(#REF!,#REF!,$B21,#REF!,X$1)</f>
        <v>#REF!</v>
      </c>
      <c r="Y21" s="20" t="e">
        <f>SUMIFS(#REF!,#REF!,$B21,#REF!,Y$1)</f>
        <v>#REF!</v>
      </c>
      <c r="Z21" s="20" t="e">
        <f>SUMIFS(#REF!,#REF!,$B21,#REF!,Z$1)</f>
        <v>#REF!</v>
      </c>
      <c r="AA21" s="20" t="e">
        <f>SUMIFS(#REF!,#REF!,$B21,#REF!,AA$1)</f>
        <v>#REF!</v>
      </c>
      <c r="AB21" s="20" t="e">
        <f>SUMIFS(#REF!,#REF!,$B21,#REF!,AB$1)</f>
        <v>#REF!</v>
      </c>
      <c r="AC21" s="20" t="e">
        <f>SUMIFS(#REF!,#REF!,$B21,#REF!,AC$1)</f>
        <v>#REF!</v>
      </c>
      <c r="AD21" s="20" t="e">
        <f>SUMIFS(#REF!,#REF!,$B21,#REF!,AD$1)</f>
        <v>#REF!</v>
      </c>
      <c r="AE21" s="20" t="e">
        <f>SUMIFS(#REF!,#REF!,$B21,#REF!,AE$1)</f>
        <v>#REF!</v>
      </c>
      <c r="AF21" s="20" t="e">
        <f>SUMIFS(#REF!,#REF!,$B21,#REF!,AF$1)</f>
        <v>#REF!</v>
      </c>
      <c r="AG21" s="20" t="e">
        <f>SUMIFS(#REF!,#REF!,$B21,#REF!,AG$1)</f>
        <v>#REF!</v>
      </c>
      <c r="AH21" s="20" t="e">
        <f>SUMIFS(#REF!,#REF!,$B21,#REF!,AH$1)</f>
        <v>#REF!</v>
      </c>
      <c r="AI21" s="26" t="e">
        <f t="shared" si="1"/>
        <v>#REF!</v>
      </c>
    </row>
    <row r="22" spans="2:35" ht="15.75" x14ac:dyDescent="0.25">
      <c r="B22" s="34" t="s">
        <v>146</v>
      </c>
      <c r="C22" s="32">
        <v>25</v>
      </c>
      <c r="D22" s="20" t="e">
        <f>SUMIFS(#REF!,#REF!,$B22,#REF!,D$1)</f>
        <v>#REF!</v>
      </c>
      <c r="E22" s="20" t="e">
        <f>SUMIFS(#REF!,#REF!,$B22,#REF!,E$1)</f>
        <v>#REF!</v>
      </c>
      <c r="F22" s="20" t="e">
        <f>SUMIFS(#REF!,#REF!,$B22,#REF!,F$1)</f>
        <v>#REF!</v>
      </c>
      <c r="G22" s="20" t="e">
        <f>SUMIFS(#REF!,#REF!,$B22,#REF!,G$1)</f>
        <v>#REF!</v>
      </c>
      <c r="H22" s="20" t="e">
        <f>SUMIFS(#REF!,#REF!,$B22,#REF!,H$1)</f>
        <v>#REF!</v>
      </c>
      <c r="I22" s="20" t="e">
        <f>SUMIFS(#REF!,#REF!,$B22,#REF!,I$1)</f>
        <v>#REF!</v>
      </c>
      <c r="J22" s="20" t="e">
        <f>SUMIFS(#REF!,#REF!,$B22,#REF!,J$1)</f>
        <v>#REF!</v>
      </c>
      <c r="K22" s="20" t="e">
        <f>SUMIFS(#REF!,#REF!,$B22,#REF!,K$1)</f>
        <v>#REF!</v>
      </c>
      <c r="L22" s="20" t="e">
        <f>SUMIFS(#REF!,#REF!,$B22,#REF!,L$1)</f>
        <v>#REF!</v>
      </c>
      <c r="M22" s="20" t="e">
        <f>SUMIFS(#REF!,#REF!,$B22,#REF!,M$1)</f>
        <v>#REF!</v>
      </c>
      <c r="N22" s="20" t="e">
        <f>SUMIFS(#REF!,#REF!,$B22,#REF!,N$1)</f>
        <v>#REF!</v>
      </c>
      <c r="O22" s="20" t="e">
        <f>SUMIFS(#REF!,#REF!,$B22,#REF!,O$1)</f>
        <v>#REF!</v>
      </c>
      <c r="P22" s="20" t="e">
        <f>SUMIFS(#REF!,#REF!,$B22,#REF!,P$1)</f>
        <v>#REF!</v>
      </c>
      <c r="Q22" s="20" t="e">
        <f>SUMIFS(#REF!,#REF!,$B22,#REF!,Q$1)</f>
        <v>#REF!</v>
      </c>
      <c r="R22" s="20" t="e">
        <f>SUMIFS(#REF!,#REF!,$B22,#REF!,R$1)</f>
        <v>#REF!</v>
      </c>
      <c r="S22" s="20" t="e">
        <f>SUMIFS(#REF!,#REF!,$B22,#REF!,S$1)</f>
        <v>#REF!</v>
      </c>
      <c r="T22" s="20" t="e">
        <f>SUMIFS(#REF!,#REF!,$B22,#REF!,T$1)</f>
        <v>#REF!</v>
      </c>
      <c r="U22" s="20" t="e">
        <f>SUMIFS(#REF!,#REF!,$B22,#REF!,U$1)</f>
        <v>#REF!</v>
      </c>
      <c r="V22" s="20" t="e">
        <f>SUMIFS(#REF!,#REF!,$B22,#REF!,V$1)</f>
        <v>#REF!</v>
      </c>
      <c r="W22" s="20" t="e">
        <f>SUMIFS(#REF!,#REF!,$B22,#REF!,W$1)</f>
        <v>#REF!</v>
      </c>
      <c r="X22" s="20" t="e">
        <f>SUMIFS(#REF!,#REF!,$B22,#REF!,X$1)</f>
        <v>#REF!</v>
      </c>
      <c r="Y22" s="20" t="e">
        <f>SUMIFS(#REF!,#REF!,$B22,#REF!,Y$1)</f>
        <v>#REF!</v>
      </c>
      <c r="Z22" s="20" t="e">
        <f>SUMIFS(#REF!,#REF!,$B22,#REF!,Z$1)</f>
        <v>#REF!</v>
      </c>
      <c r="AA22" s="20" t="e">
        <f>SUMIFS(#REF!,#REF!,$B22,#REF!,AA$1)</f>
        <v>#REF!</v>
      </c>
      <c r="AB22" s="20" t="e">
        <f>SUMIFS(#REF!,#REF!,$B22,#REF!,AB$1)</f>
        <v>#REF!</v>
      </c>
      <c r="AC22" s="20" t="e">
        <f>SUMIFS(#REF!,#REF!,$B22,#REF!,AC$1)</f>
        <v>#REF!</v>
      </c>
      <c r="AD22" s="20" t="e">
        <f>SUMIFS(#REF!,#REF!,$B22,#REF!,AD$1)</f>
        <v>#REF!</v>
      </c>
      <c r="AE22" s="20" t="e">
        <f>SUMIFS(#REF!,#REF!,$B22,#REF!,AE$1)</f>
        <v>#REF!</v>
      </c>
      <c r="AF22" s="20" t="e">
        <f>SUMIFS(#REF!,#REF!,$B22,#REF!,AF$1)</f>
        <v>#REF!</v>
      </c>
      <c r="AG22" s="20" t="e">
        <f>SUMIFS(#REF!,#REF!,$B22,#REF!,AG$1)</f>
        <v>#REF!</v>
      </c>
      <c r="AH22" s="20" t="e">
        <f>SUMIFS(#REF!,#REF!,$B22,#REF!,AH$1)</f>
        <v>#REF!</v>
      </c>
      <c r="AI22" s="26" t="e">
        <f t="shared" si="1"/>
        <v>#REF!</v>
      </c>
    </row>
    <row r="23" spans="2:35" ht="15.75" x14ac:dyDescent="0.25">
      <c r="B23" s="34" t="s">
        <v>147</v>
      </c>
      <c r="C23" s="32">
        <v>200</v>
      </c>
      <c r="D23" s="20" t="e">
        <f>SUMIFS(#REF!,#REF!,$B23,#REF!,D$1)</f>
        <v>#REF!</v>
      </c>
      <c r="E23" s="20" t="e">
        <f>SUMIFS(#REF!,#REF!,$B23,#REF!,E$1)</f>
        <v>#REF!</v>
      </c>
      <c r="F23" s="20" t="e">
        <f>SUMIFS(#REF!,#REF!,$B23,#REF!,F$1)</f>
        <v>#REF!</v>
      </c>
      <c r="G23" s="20" t="e">
        <f>SUMIFS(#REF!,#REF!,$B23,#REF!,G$1)</f>
        <v>#REF!</v>
      </c>
      <c r="H23" s="20" t="e">
        <f>SUMIFS(#REF!,#REF!,$B23,#REF!,H$1)</f>
        <v>#REF!</v>
      </c>
      <c r="I23" s="20" t="e">
        <f>SUMIFS(#REF!,#REF!,$B23,#REF!,I$1)</f>
        <v>#REF!</v>
      </c>
      <c r="J23" s="20" t="e">
        <f>SUMIFS(#REF!,#REF!,$B23,#REF!,J$1)</f>
        <v>#REF!</v>
      </c>
      <c r="K23" s="20" t="e">
        <f>SUMIFS(#REF!,#REF!,$B23,#REF!,K$1)</f>
        <v>#REF!</v>
      </c>
      <c r="L23" s="20" t="e">
        <f>SUMIFS(#REF!,#REF!,$B23,#REF!,L$1)</f>
        <v>#REF!</v>
      </c>
      <c r="M23" s="20" t="e">
        <f>SUMIFS(#REF!,#REF!,$B23,#REF!,M$1)</f>
        <v>#REF!</v>
      </c>
      <c r="N23" s="20" t="e">
        <f>SUMIFS(#REF!,#REF!,$B23,#REF!,N$1)</f>
        <v>#REF!</v>
      </c>
      <c r="O23" s="20" t="e">
        <f>SUMIFS(#REF!,#REF!,$B23,#REF!,O$1)</f>
        <v>#REF!</v>
      </c>
      <c r="P23" s="20" t="e">
        <f>SUMIFS(#REF!,#REF!,$B23,#REF!,P$1)</f>
        <v>#REF!</v>
      </c>
      <c r="Q23" s="20" t="e">
        <f>SUMIFS(#REF!,#REF!,$B23,#REF!,Q$1)</f>
        <v>#REF!</v>
      </c>
      <c r="R23" s="20" t="e">
        <f>SUMIFS(#REF!,#REF!,$B23,#REF!,R$1)</f>
        <v>#REF!</v>
      </c>
      <c r="S23" s="20" t="e">
        <f>SUMIFS(#REF!,#REF!,$B23,#REF!,S$1)</f>
        <v>#REF!</v>
      </c>
      <c r="T23" s="20" t="e">
        <f>SUMIFS(#REF!,#REF!,$B23,#REF!,T$1)</f>
        <v>#REF!</v>
      </c>
      <c r="U23" s="20" t="e">
        <f>SUMIFS(#REF!,#REF!,$B23,#REF!,U$1)</f>
        <v>#REF!</v>
      </c>
      <c r="V23" s="20" t="e">
        <f>SUMIFS(#REF!,#REF!,$B23,#REF!,V$1)</f>
        <v>#REF!</v>
      </c>
      <c r="W23" s="20" t="e">
        <f>SUMIFS(#REF!,#REF!,$B23,#REF!,W$1)</f>
        <v>#REF!</v>
      </c>
      <c r="X23" s="20" t="e">
        <f>SUMIFS(#REF!,#REF!,$B23,#REF!,X$1)</f>
        <v>#REF!</v>
      </c>
      <c r="Y23" s="20" t="e">
        <f>SUMIFS(#REF!,#REF!,$B23,#REF!,Y$1)</f>
        <v>#REF!</v>
      </c>
      <c r="Z23" s="20" t="e">
        <f>SUMIFS(#REF!,#REF!,$B23,#REF!,Z$1)</f>
        <v>#REF!</v>
      </c>
      <c r="AA23" s="20" t="e">
        <f>SUMIFS(#REF!,#REF!,$B23,#REF!,AA$1)</f>
        <v>#REF!</v>
      </c>
      <c r="AB23" s="20" t="e">
        <f>SUMIFS(#REF!,#REF!,$B23,#REF!,AB$1)</f>
        <v>#REF!</v>
      </c>
      <c r="AC23" s="20" t="e">
        <f>SUMIFS(#REF!,#REF!,$B23,#REF!,AC$1)</f>
        <v>#REF!</v>
      </c>
      <c r="AD23" s="20" t="e">
        <f>SUMIFS(#REF!,#REF!,$B23,#REF!,AD$1)</f>
        <v>#REF!</v>
      </c>
      <c r="AE23" s="20" t="e">
        <f>SUMIFS(#REF!,#REF!,$B23,#REF!,AE$1)</f>
        <v>#REF!</v>
      </c>
      <c r="AF23" s="20" t="e">
        <f>SUMIFS(#REF!,#REF!,$B23,#REF!,AF$1)</f>
        <v>#REF!</v>
      </c>
      <c r="AG23" s="20" t="e">
        <f>SUMIFS(#REF!,#REF!,$B23,#REF!,AG$1)</f>
        <v>#REF!</v>
      </c>
      <c r="AH23" s="20" t="e">
        <f>SUMIFS(#REF!,#REF!,$B23,#REF!,AH$1)</f>
        <v>#REF!</v>
      </c>
      <c r="AI23" s="26" t="e">
        <f t="shared" si="1"/>
        <v>#REF!</v>
      </c>
    </row>
    <row r="24" spans="2:35" ht="15.75" x14ac:dyDescent="0.25">
      <c r="B24" s="34" t="s">
        <v>148</v>
      </c>
      <c r="C24" s="32">
        <v>200</v>
      </c>
      <c r="D24" s="20" t="e">
        <f>SUMIFS(#REF!,#REF!,$B24,#REF!,D$1)</f>
        <v>#REF!</v>
      </c>
      <c r="E24" s="20" t="e">
        <f>SUMIFS(#REF!,#REF!,$B24,#REF!,E$1)</f>
        <v>#REF!</v>
      </c>
      <c r="F24" s="20" t="e">
        <f>SUMIFS(#REF!,#REF!,$B24,#REF!,F$1)</f>
        <v>#REF!</v>
      </c>
      <c r="G24" s="20" t="e">
        <f>SUMIFS(#REF!,#REF!,$B24,#REF!,G$1)</f>
        <v>#REF!</v>
      </c>
      <c r="H24" s="20" t="e">
        <f>SUMIFS(#REF!,#REF!,$B24,#REF!,H$1)</f>
        <v>#REF!</v>
      </c>
      <c r="I24" s="20" t="e">
        <f>SUMIFS(#REF!,#REF!,$B24,#REF!,I$1)</f>
        <v>#REF!</v>
      </c>
      <c r="J24" s="20" t="e">
        <f>SUMIFS(#REF!,#REF!,$B24,#REF!,J$1)</f>
        <v>#REF!</v>
      </c>
      <c r="K24" s="20" t="e">
        <f>SUMIFS(#REF!,#REF!,$B24,#REF!,K$1)</f>
        <v>#REF!</v>
      </c>
      <c r="L24" s="20" t="e">
        <f>SUMIFS(#REF!,#REF!,$B24,#REF!,L$1)</f>
        <v>#REF!</v>
      </c>
      <c r="M24" s="20" t="e">
        <f>SUMIFS(#REF!,#REF!,$B24,#REF!,M$1)</f>
        <v>#REF!</v>
      </c>
      <c r="N24" s="20" t="e">
        <f>SUMIFS(#REF!,#REF!,$B24,#REF!,N$1)</f>
        <v>#REF!</v>
      </c>
      <c r="O24" s="20" t="e">
        <f>SUMIFS(#REF!,#REF!,$B24,#REF!,O$1)</f>
        <v>#REF!</v>
      </c>
      <c r="P24" s="20" t="e">
        <f>SUMIFS(#REF!,#REF!,$B24,#REF!,P$1)</f>
        <v>#REF!</v>
      </c>
      <c r="Q24" s="20" t="e">
        <f>SUMIFS(#REF!,#REF!,$B24,#REF!,Q$1)</f>
        <v>#REF!</v>
      </c>
      <c r="R24" s="20" t="e">
        <f>SUMIFS(#REF!,#REF!,$B24,#REF!,R$1)</f>
        <v>#REF!</v>
      </c>
      <c r="S24" s="20" t="e">
        <f>SUMIFS(#REF!,#REF!,$B24,#REF!,S$1)</f>
        <v>#REF!</v>
      </c>
      <c r="T24" s="20" t="e">
        <f>SUMIFS(#REF!,#REF!,$B24,#REF!,T$1)</f>
        <v>#REF!</v>
      </c>
      <c r="U24" s="20" t="e">
        <f>SUMIFS(#REF!,#REF!,$B24,#REF!,U$1)</f>
        <v>#REF!</v>
      </c>
      <c r="V24" s="20" t="e">
        <f>SUMIFS(#REF!,#REF!,$B24,#REF!,V$1)</f>
        <v>#REF!</v>
      </c>
      <c r="W24" s="20" t="e">
        <f>SUMIFS(#REF!,#REF!,$B24,#REF!,W$1)</f>
        <v>#REF!</v>
      </c>
      <c r="X24" s="20" t="e">
        <f>SUMIFS(#REF!,#REF!,$B24,#REF!,X$1)</f>
        <v>#REF!</v>
      </c>
      <c r="Y24" s="20" t="e">
        <f>SUMIFS(#REF!,#REF!,$B24,#REF!,Y$1)</f>
        <v>#REF!</v>
      </c>
      <c r="Z24" s="20" t="e">
        <f>SUMIFS(#REF!,#REF!,$B24,#REF!,Z$1)</f>
        <v>#REF!</v>
      </c>
      <c r="AA24" s="20" t="e">
        <f>SUMIFS(#REF!,#REF!,$B24,#REF!,AA$1)</f>
        <v>#REF!</v>
      </c>
      <c r="AB24" s="20" t="e">
        <f>SUMIFS(#REF!,#REF!,$B24,#REF!,AB$1)</f>
        <v>#REF!</v>
      </c>
      <c r="AC24" s="20" t="e">
        <f>SUMIFS(#REF!,#REF!,$B24,#REF!,AC$1)</f>
        <v>#REF!</v>
      </c>
      <c r="AD24" s="20" t="e">
        <f>SUMIFS(#REF!,#REF!,$B24,#REF!,AD$1)</f>
        <v>#REF!</v>
      </c>
      <c r="AE24" s="20" t="e">
        <f>SUMIFS(#REF!,#REF!,$B24,#REF!,AE$1)</f>
        <v>#REF!</v>
      </c>
      <c r="AF24" s="20" t="e">
        <f>SUMIFS(#REF!,#REF!,$B24,#REF!,AF$1)</f>
        <v>#REF!</v>
      </c>
      <c r="AG24" s="20" t="e">
        <f>SUMIFS(#REF!,#REF!,$B24,#REF!,AG$1)</f>
        <v>#REF!</v>
      </c>
      <c r="AH24" s="20" t="e">
        <f>SUMIFS(#REF!,#REF!,$B24,#REF!,AH$1)</f>
        <v>#REF!</v>
      </c>
      <c r="AI24" s="26" t="e">
        <f t="shared" si="1"/>
        <v>#REF!</v>
      </c>
    </row>
    <row r="25" spans="2:35" ht="15.75" x14ac:dyDescent="0.25">
      <c r="B25" s="34" t="s">
        <v>149</v>
      </c>
      <c r="C25" s="32">
        <v>200</v>
      </c>
      <c r="D25" s="20" t="e">
        <f>SUMIFS(#REF!,#REF!,$B25,#REF!,D$1)</f>
        <v>#REF!</v>
      </c>
      <c r="E25" s="20" t="e">
        <f>SUMIFS(#REF!,#REF!,$B25,#REF!,E$1)</f>
        <v>#REF!</v>
      </c>
      <c r="F25" s="20" t="e">
        <f>SUMIFS(#REF!,#REF!,$B25,#REF!,F$1)</f>
        <v>#REF!</v>
      </c>
      <c r="G25" s="20" t="e">
        <f>SUMIFS(#REF!,#REF!,$B25,#REF!,G$1)</f>
        <v>#REF!</v>
      </c>
      <c r="H25" s="20" t="e">
        <f>SUMIFS(#REF!,#REF!,$B25,#REF!,H$1)</f>
        <v>#REF!</v>
      </c>
      <c r="I25" s="20" t="e">
        <f>SUMIFS(#REF!,#REF!,$B25,#REF!,I$1)</f>
        <v>#REF!</v>
      </c>
      <c r="J25" s="20" t="e">
        <f>SUMIFS(#REF!,#REF!,$B25,#REF!,J$1)</f>
        <v>#REF!</v>
      </c>
      <c r="K25" s="20" t="e">
        <f>SUMIFS(#REF!,#REF!,$B25,#REF!,K$1)</f>
        <v>#REF!</v>
      </c>
      <c r="L25" s="20" t="e">
        <f>SUMIFS(#REF!,#REF!,$B25,#REF!,L$1)</f>
        <v>#REF!</v>
      </c>
      <c r="M25" s="20" t="e">
        <f>SUMIFS(#REF!,#REF!,$B25,#REF!,M$1)</f>
        <v>#REF!</v>
      </c>
      <c r="N25" s="20" t="e">
        <f>SUMIFS(#REF!,#REF!,$B25,#REF!,N$1)</f>
        <v>#REF!</v>
      </c>
      <c r="O25" s="20" t="e">
        <f>SUMIFS(#REF!,#REF!,$B25,#REF!,O$1)</f>
        <v>#REF!</v>
      </c>
      <c r="P25" s="20" t="e">
        <f>SUMIFS(#REF!,#REF!,$B25,#REF!,P$1)</f>
        <v>#REF!</v>
      </c>
      <c r="Q25" s="20" t="e">
        <f>SUMIFS(#REF!,#REF!,$B25,#REF!,Q$1)</f>
        <v>#REF!</v>
      </c>
      <c r="R25" s="20" t="e">
        <f>SUMIFS(#REF!,#REF!,$B25,#REF!,R$1)</f>
        <v>#REF!</v>
      </c>
      <c r="S25" s="20" t="e">
        <f>SUMIFS(#REF!,#REF!,$B25,#REF!,S$1)</f>
        <v>#REF!</v>
      </c>
      <c r="T25" s="20" t="e">
        <f>SUMIFS(#REF!,#REF!,$B25,#REF!,T$1)</f>
        <v>#REF!</v>
      </c>
      <c r="U25" s="20" t="e">
        <f>SUMIFS(#REF!,#REF!,$B25,#REF!,U$1)</f>
        <v>#REF!</v>
      </c>
      <c r="V25" s="20" t="e">
        <f>SUMIFS(#REF!,#REF!,$B25,#REF!,V$1)</f>
        <v>#REF!</v>
      </c>
      <c r="W25" s="20" t="e">
        <f>SUMIFS(#REF!,#REF!,$B25,#REF!,W$1)</f>
        <v>#REF!</v>
      </c>
      <c r="X25" s="20" t="e">
        <f>SUMIFS(#REF!,#REF!,$B25,#REF!,X$1)</f>
        <v>#REF!</v>
      </c>
      <c r="Y25" s="20" t="e">
        <f>SUMIFS(#REF!,#REF!,$B25,#REF!,Y$1)</f>
        <v>#REF!</v>
      </c>
      <c r="Z25" s="20" t="e">
        <f>SUMIFS(#REF!,#REF!,$B25,#REF!,Z$1)</f>
        <v>#REF!</v>
      </c>
      <c r="AA25" s="20" t="e">
        <f>SUMIFS(#REF!,#REF!,$B25,#REF!,AA$1)</f>
        <v>#REF!</v>
      </c>
      <c r="AB25" s="20" t="e">
        <f>SUMIFS(#REF!,#REF!,$B25,#REF!,AB$1)</f>
        <v>#REF!</v>
      </c>
      <c r="AC25" s="20" t="e">
        <f>SUMIFS(#REF!,#REF!,$B25,#REF!,AC$1)</f>
        <v>#REF!</v>
      </c>
      <c r="AD25" s="20" t="e">
        <f>SUMIFS(#REF!,#REF!,$B25,#REF!,AD$1)</f>
        <v>#REF!</v>
      </c>
      <c r="AE25" s="20" t="e">
        <f>SUMIFS(#REF!,#REF!,$B25,#REF!,AE$1)</f>
        <v>#REF!</v>
      </c>
      <c r="AF25" s="20" t="e">
        <f>SUMIFS(#REF!,#REF!,$B25,#REF!,AF$1)</f>
        <v>#REF!</v>
      </c>
      <c r="AG25" s="20" t="e">
        <f>SUMIFS(#REF!,#REF!,$B25,#REF!,AG$1)</f>
        <v>#REF!</v>
      </c>
      <c r="AH25" s="20" t="e">
        <f>SUMIFS(#REF!,#REF!,$B25,#REF!,AH$1)</f>
        <v>#REF!</v>
      </c>
      <c r="AI25" s="26" t="e">
        <f t="shared" si="1"/>
        <v>#REF!</v>
      </c>
    </row>
    <row r="26" spans="2:35" ht="16.5" thickBot="1" x14ac:dyDescent="0.3">
      <c r="B26" s="43" t="s">
        <v>150</v>
      </c>
      <c r="C26" s="44">
        <v>20</v>
      </c>
      <c r="D26" s="20" t="e">
        <f>SUMIFS(#REF!,#REF!,$B26,#REF!,D$1)</f>
        <v>#REF!</v>
      </c>
      <c r="E26" s="20" t="e">
        <f>SUMIFS(#REF!,#REF!,$B26,#REF!,E$1)</f>
        <v>#REF!</v>
      </c>
      <c r="F26" s="20" t="e">
        <f>SUMIFS(#REF!,#REF!,$B26,#REF!,F$1)</f>
        <v>#REF!</v>
      </c>
      <c r="G26" s="20" t="e">
        <f>SUMIFS(#REF!,#REF!,$B26,#REF!,G$1)</f>
        <v>#REF!</v>
      </c>
      <c r="H26" s="20" t="e">
        <f>SUMIFS(#REF!,#REF!,$B26,#REF!,H$1)</f>
        <v>#REF!</v>
      </c>
      <c r="I26" s="20" t="e">
        <f>SUMIFS(#REF!,#REF!,$B26,#REF!,I$1)</f>
        <v>#REF!</v>
      </c>
      <c r="J26" s="20" t="e">
        <f>SUMIFS(#REF!,#REF!,$B26,#REF!,J$1)</f>
        <v>#REF!</v>
      </c>
      <c r="K26" s="20" t="e">
        <f>SUMIFS(#REF!,#REF!,$B26,#REF!,K$1)</f>
        <v>#REF!</v>
      </c>
      <c r="L26" s="20" t="e">
        <f>SUMIFS(#REF!,#REF!,$B26,#REF!,L$1)</f>
        <v>#REF!</v>
      </c>
      <c r="M26" s="20" t="e">
        <f>SUMIFS(#REF!,#REF!,$B26,#REF!,M$1)</f>
        <v>#REF!</v>
      </c>
      <c r="N26" s="20" t="e">
        <f>SUMIFS(#REF!,#REF!,$B26,#REF!,N$1)</f>
        <v>#REF!</v>
      </c>
      <c r="O26" s="20" t="e">
        <f>SUMIFS(#REF!,#REF!,$B26,#REF!,O$1)</f>
        <v>#REF!</v>
      </c>
      <c r="P26" s="20" t="e">
        <f>SUMIFS(#REF!,#REF!,$B26,#REF!,P$1)</f>
        <v>#REF!</v>
      </c>
      <c r="Q26" s="20" t="e">
        <f>SUMIFS(#REF!,#REF!,$B26,#REF!,Q$1)</f>
        <v>#REF!</v>
      </c>
      <c r="R26" s="20" t="e">
        <f>SUMIFS(#REF!,#REF!,$B26,#REF!,R$1)</f>
        <v>#REF!</v>
      </c>
      <c r="S26" s="20" t="e">
        <f>SUMIFS(#REF!,#REF!,$B26,#REF!,S$1)</f>
        <v>#REF!</v>
      </c>
      <c r="T26" s="20" t="e">
        <f>SUMIFS(#REF!,#REF!,$B26,#REF!,T$1)</f>
        <v>#REF!</v>
      </c>
      <c r="U26" s="20" t="e">
        <f>SUMIFS(#REF!,#REF!,$B26,#REF!,U$1)</f>
        <v>#REF!</v>
      </c>
      <c r="V26" s="20" t="e">
        <f>SUMIFS(#REF!,#REF!,$B26,#REF!,V$1)</f>
        <v>#REF!</v>
      </c>
      <c r="W26" s="20" t="e">
        <f>SUMIFS(#REF!,#REF!,$B26,#REF!,W$1)</f>
        <v>#REF!</v>
      </c>
      <c r="X26" s="20" t="e">
        <f>SUMIFS(#REF!,#REF!,$B26,#REF!,X$1)</f>
        <v>#REF!</v>
      </c>
      <c r="Y26" s="20" t="e">
        <f>SUMIFS(#REF!,#REF!,$B26,#REF!,Y$1)</f>
        <v>#REF!</v>
      </c>
      <c r="Z26" s="20" t="e">
        <f>SUMIFS(#REF!,#REF!,$B26,#REF!,Z$1)</f>
        <v>#REF!</v>
      </c>
      <c r="AA26" s="20" t="e">
        <f>SUMIFS(#REF!,#REF!,$B26,#REF!,AA$1)</f>
        <v>#REF!</v>
      </c>
      <c r="AB26" s="20" t="e">
        <f>SUMIFS(#REF!,#REF!,$B26,#REF!,AB$1)</f>
        <v>#REF!</v>
      </c>
      <c r="AC26" s="20" t="e">
        <f>SUMIFS(#REF!,#REF!,$B26,#REF!,AC$1)</f>
        <v>#REF!</v>
      </c>
      <c r="AD26" s="20" t="e">
        <f>SUMIFS(#REF!,#REF!,$B26,#REF!,AD$1)</f>
        <v>#REF!</v>
      </c>
      <c r="AE26" s="20" t="e">
        <f>SUMIFS(#REF!,#REF!,$B26,#REF!,AE$1)</f>
        <v>#REF!</v>
      </c>
      <c r="AF26" s="20" t="e">
        <f>SUMIFS(#REF!,#REF!,$B26,#REF!,AF$1)</f>
        <v>#REF!</v>
      </c>
      <c r="AG26" s="20" t="e">
        <f>SUMIFS(#REF!,#REF!,$B26,#REF!,AG$1)</f>
        <v>#REF!</v>
      </c>
      <c r="AH26" s="20" t="e">
        <f>SUMIFS(#REF!,#REF!,$B26,#REF!,AH$1)</f>
        <v>#REF!</v>
      </c>
      <c r="AI26" s="27" t="e">
        <f t="shared" si="1"/>
        <v>#REF!</v>
      </c>
    </row>
  </sheetData>
  <dataValidations count="1">
    <dataValidation type="list" allowBlank="1" showInputMessage="1" showErrorMessage="1" sqref="B3:B10" xr:uid="{00000000-0002-0000-0D00-000000000000}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1000000}">
          <x14:formula1>
            <xm:f>справочник!$E$2:$E$39</xm:f>
          </x14:formula1>
          <xm:sqref>B12:B26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0"/>
  <dimension ref="B1:AI26"/>
  <sheetViews>
    <sheetView topLeftCell="A25" zoomScale="80" zoomScaleNormal="80" workbookViewId="0">
      <selection activeCell="B28" sqref="B28:AJ54"/>
    </sheetView>
  </sheetViews>
  <sheetFormatPr defaultRowHeight="15" x14ac:dyDescent="0.25"/>
  <cols>
    <col min="1" max="1" width="1.28515625" customWidth="1"/>
    <col min="2" max="2" width="26.85546875" customWidth="1"/>
    <col min="3" max="3" width="6.140625" customWidth="1"/>
    <col min="4" max="34" width="6" customWidth="1"/>
    <col min="35" max="35" width="6.140625" customWidth="1"/>
  </cols>
  <sheetData>
    <row r="1" spans="2:35" ht="15.75" thickBot="1" x14ac:dyDescent="0.3">
      <c r="D1" s="22">
        <v>43586</v>
      </c>
      <c r="E1" s="22">
        <v>43587</v>
      </c>
      <c r="F1" s="22">
        <v>43588</v>
      </c>
      <c r="G1" s="22">
        <v>43589</v>
      </c>
      <c r="H1" s="22">
        <v>43590</v>
      </c>
      <c r="I1" s="22">
        <v>43591</v>
      </c>
      <c r="J1" s="22">
        <v>43592</v>
      </c>
      <c r="K1" s="22">
        <v>43593</v>
      </c>
      <c r="L1" s="22">
        <v>43594</v>
      </c>
      <c r="M1" s="22">
        <v>43595</v>
      </c>
      <c r="N1" s="22">
        <v>43596</v>
      </c>
      <c r="O1" s="22">
        <v>43597</v>
      </c>
      <c r="P1" s="22">
        <v>43598</v>
      </c>
      <c r="Q1" s="22">
        <v>43599</v>
      </c>
      <c r="R1" s="22">
        <v>43600</v>
      </c>
      <c r="S1" s="22">
        <v>43601</v>
      </c>
      <c r="T1" s="22">
        <v>43602</v>
      </c>
      <c r="U1" s="22">
        <v>43603</v>
      </c>
      <c r="V1" s="22">
        <v>43604</v>
      </c>
      <c r="W1" s="22">
        <v>43605</v>
      </c>
      <c r="X1" s="22">
        <v>43606</v>
      </c>
      <c r="Y1" s="22">
        <v>43607</v>
      </c>
      <c r="Z1" s="22">
        <v>43608</v>
      </c>
      <c r="AA1" s="22">
        <v>43609</v>
      </c>
      <c r="AB1" s="22">
        <v>43610</v>
      </c>
      <c r="AC1" s="22">
        <v>43611</v>
      </c>
      <c r="AD1" s="22">
        <v>43612</v>
      </c>
      <c r="AE1" s="22">
        <v>43613</v>
      </c>
      <c r="AF1" s="22">
        <v>43614</v>
      </c>
      <c r="AG1" s="22">
        <v>43615</v>
      </c>
      <c r="AH1" s="22">
        <v>43616</v>
      </c>
      <c r="AI1" s="23"/>
    </row>
    <row r="2" spans="2:35" ht="16.5" thickBot="1" x14ac:dyDescent="0.3">
      <c r="D2" s="45">
        <v>1</v>
      </c>
      <c r="E2" s="46">
        <v>2</v>
      </c>
      <c r="F2" s="45">
        <v>3</v>
      </c>
      <c r="G2" s="46">
        <v>4</v>
      </c>
      <c r="H2" s="45">
        <v>5</v>
      </c>
      <c r="I2" s="47">
        <v>6</v>
      </c>
      <c r="J2" s="48">
        <v>7</v>
      </c>
      <c r="K2" s="47">
        <v>8</v>
      </c>
      <c r="L2" s="45">
        <v>9</v>
      </c>
      <c r="M2" s="46">
        <v>10</v>
      </c>
      <c r="N2" s="45">
        <v>11</v>
      </c>
      <c r="O2" s="46">
        <v>12</v>
      </c>
      <c r="P2" s="48">
        <v>13</v>
      </c>
      <c r="Q2" s="47">
        <v>14</v>
      </c>
      <c r="R2" s="48">
        <v>15</v>
      </c>
      <c r="S2" s="47">
        <v>16</v>
      </c>
      <c r="T2" s="48">
        <v>17</v>
      </c>
      <c r="U2" s="46">
        <v>18</v>
      </c>
      <c r="V2" s="45">
        <v>19</v>
      </c>
      <c r="W2" s="47">
        <v>20</v>
      </c>
      <c r="X2" s="48">
        <v>21</v>
      </c>
      <c r="Y2" s="47">
        <v>22</v>
      </c>
      <c r="Z2" s="48">
        <v>23</v>
      </c>
      <c r="AA2" s="47">
        <v>24</v>
      </c>
      <c r="AB2" s="45">
        <v>25</v>
      </c>
      <c r="AC2" s="46">
        <v>26</v>
      </c>
      <c r="AD2" s="48">
        <v>27</v>
      </c>
      <c r="AE2" s="47">
        <v>28</v>
      </c>
      <c r="AF2" s="48">
        <v>29</v>
      </c>
      <c r="AG2" s="47">
        <v>30</v>
      </c>
      <c r="AH2" s="48">
        <v>31</v>
      </c>
      <c r="AI2" s="23"/>
    </row>
    <row r="3" spans="2:35" ht="15.75" x14ac:dyDescent="0.25">
      <c r="B3" s="35" t="s">
        <v>131</v>
      </c>
      <c r="C3" s="24">
        <v>22.68</v>
      </c>
      <c r="D3" s="41" t="e">
        <f>SUMIFS(#REF!,#REF!,$B3,#REF!,D$1)</f>
        <v>#REF!</v>
      </c>
      <c r="E3" s="41" t="e">
        <f>SUMIFS(#REF!,#REF!,$B3,#REF!,E$1)</f>
        <v>#REF!</v>
      </c>
      <c r="F3" s="41" t="e">
        <f>SUMIFS(#REF!,#REF!,$B3,#REF!,F$1)</f>
        <v>#REF!</v>
      </c>
      <c r="G3" s="41" t="e">
        <f>SUMIFS(#REF!,#REF!,$B3,#REF!,G$1)</f>
        <v>#REF!</v>
      </c>
      <c r="H3" s="41" t="e">
        <f>SUMIFS(#REF!,#REF!,$B3,#REF!,H$1)</f>
        <v>#REF!</v>
      </c>
      <c r="I3" s="41" t="e">
        <f>SUMIFS(#REF!,#REF!,$B3,#REF!,I$1)</f>
        <v>#REF!</v>
      </c>
      <c r="J3" s="41" t="e">
        <f>SUMIFS(#REF!,#REF!,$B3,#REF!,J$1)</f>
        <v>#REF!</v>
      </c>
      <c r="K3" s="41" t="e">
        <f>SUMIFS(#REF!,#REF!,$B3,#REF!,K$1)</f>
        <v>#REF!</v>
      </c>
      <c r="L3" s="41" t="e">
        <f>SUMIFS(#REF!,#REF!,$B3,#REF!,L$1)</f>
        <v>#REF!</v>
      </c>
      <c r="M3" s="41" t="e">
        <f>SUMIFS(#REF!,#REF!,$B3,#REF!,M$1)</f>
        <v>#REF!</v>
      </c>
      <c r="N3" s="41" t="e">
        <f>SUMIFS(#REF!,#REF!,$B3,#REF!,N$1)</f>
        <v>#REF!</v>
      </c>
      <c r="O3" s="41" t="e">
        <f>SUMIFS(#REF!,#REF!,$B3,#REF!,O$1)</f>
        <v>#REF!</v>
      </c>
      <c r="P3" s="41" t="e">
        <f>SUMIFS(#REF!,#REF!,$B3,#REF!,P$1)</f>
        <v>#REF!</v>
      </c>
      <c r="Q3" s="41" t="e">
        <f>SUMIFS(#REF!,#REF!,$B3,#REF!,Q$1)</f>
        <v>#REF!</v>
      </c>
      <c r="R3" s="41" t="e">
        <f>SUMIFS(#REF!,#REF!,$B3,#REF!,R$1)</f>
        <v>#REF!</v>
      </c>
      <c r="S3" s="41" t="e">
        <f>SUMIFS(#REF!,#REF!,$B3,#REF!,S$1)</f>
        <v>#REF!</v>
      </c>
      <c r="T3" s="41" t="e">
        <f>SUMIFS(#REF!,#REF!,$B3,#REF!,T$1)</f>
        <v>#REF!</v>
      </c>
      <c r="U3" s="41" t="e">
        <f>SUMIFS(#REF!,#REF!,$B3,#REF!,U$1)</f>
        <v>#REF!</v>
      </c>
      <c r="V3" s="41" t="e">
        <f>SUMIFS(#REF!,#REF!,$B3,#REF!,V$1)</f>
        <v>#REF!</v>
      </c>
      <c r="W3" s="41" t="e">
        <f>SUMIFS(#REF!,#REF!,$B3,#REF!,W$1)</f>
        <v>#REF!</v>
      </c>
      <c r="X3" s="41" t="e">
        <f>SUMIFS(#REF!,#REF!,$B3,#REF!,X$1)</f>
        <v>#REF!</v>
      </c>
      <c r="Y3" s="41" t="e">
        <f>SUMIFS(#REF!,#REF!,$B3,#REF!,Y$1)</f>
        <v>#REF!</v>
      </c>
      <c r="Z3" s="41" t="e">
        <f>SUMIFS(#REF!,#REF!,$B3,#REF!,Z$1)</f>
        <v>#REF!</v>
      </c>
      <c r="AA3" s="41" t="e">
        <f>SUMIFS(#REF!,#REF!,$B3,#REF!,AA$1)</f>
        <v>#REF!</v>
      </c>
      <c r="AB3" s="41" t="e">
        <f>SUMIFS(#REF!,#REF!,$B3,#REF!,AB$1)</f>
        <v>#REF!</v>
      </c>
      <c r="AC3" s="41" t="e">
        <f>SUMIFS(#REF!,#REF!,$B3,#REF!,AC$1)</f>
        <v>#REF!</v>
      </c>
      <c r="AD3" s="41" t="e">
        <f>SUMIFS(#REF!,#REF!,$B3,#REF!,AD$1)</f>
        <v>#REF!</v>
      </c>
      <c r="AE3" s="41" t="e">
        <f>SUMIFS(#REF!,#REF!,$B3,#REF!,AE$1)</f>
        <v>#REF!</v>
      </c>
      <c r="AF3" s="41" t="e">
        <f>SUMIFS(#REF!,#REF!,$B3,#REF!,AF$1)</f>
        <v>#REF!</v>
      </c>
      <c r="AG3" s="41" t="e">
        <f>SUMIFS(#REF!,#REF!,$B3,#REF!,AG$1)</f>
        <v>#REF!</v>
      </c>
      <c r="AH3" s="41" t="e">
        <f>SUMIFS(#REF!,#REF!,$B3,#REF!,AH$1)</f>
        <v>#REF!</v>
      </c>
      <c r="AI3" s="49" t="e">
        <f>SUM(D3:AH3)</f>
        <v>#REF!</v>
      </c>
    </row>
    <row r="4" spans="2:35" ht="15.75" x14ac:dyDescent="0.25">
      <c r="B4" s="36" t="s">
        <v>132</v>
      </c>
      <c r="C4" s="25">
        <v>25</v>
      </c>
      <c r="D4" s="20" t="e">
        <f>SUMIFS(#REF!,#REF!,$B4,#REF!,D$1)</f>
        <v>#REF!</v>
      </c>
      <c r="E4" s="20" t="e">
        <f>SUMIFS(#REF!,#REF!,$B4,#REF!,E$1)</f>
        <v>#REF!</v>
      </c>
      <c r="F4" s="20" t="e">
        <f>SUMIFS(#REF!,#REF!,$B4,#REF!,F$1)</f>
        <v>#REF!</v>
      </c>
      <c r="G4" s="20" t="e">
        <f>SUMIFS(#REF!,#REF!,$B4,#REF!,G$1)</f>
        <v>#REF!</v>
      </c>
      <c r="H4" s="20" t="e">
        <f>SUMIFS(#REF!,#REF!,$B4,#REF!,H$1)</f>
        <v>#REF!</v>
      </c>
      <c r="I4" s="20" t="e">
        <f>SUMIFS(#REF!,#REF!,$B4,#REF!,I$1)</f>
        <v>#REF!</v>
      </c>
      <c r="J4" s="20" t="e">
        <f>SUMIFS(#REF!,#REF!,$B4,#REF!,J$1)</f>
        <v>#REF!</v>
      </c>
      <c r="K4" s="20" t="e">
        <f>SUMIFS(#REF!,#REF!,$B4,#REF!,K$1)</f>
        <v>#REF!</v>
      </c>
      <c r="L4" s="20" t="e">
        <f>SUMIFS(#REF!,#REF!,$B4,#REF!,L$1)</f>
        <v>#REF!</v>
      </c>
      <c r="M4" s="20" t="e">
        <f>SUMIFS(#REF!,#REF!,$B4,#REF!,M$1)</f>
        <v>#REF!</v>
      </c>
      <c r="N4" s="20" t="e">
        <f>SUMIFS(#REF!,#REF!,$B4,#REF!,N$1)</f>
        <v>#REF!</v>
      </c>
      <c r="O4" s="20" t="e">
        <f>SUMIFS(#REF!,#REF!,$B4,#REF!,O$1)</f>
        <v>#REF!</v>
      </c>
      <c r="P4" s="20" t="e">
        <f>SUMIFS(#REF!,#REF!,$B4,#REF!,P$1)</f>
        <v>#REF!</v>
      </c>
      <c r="Q4" s="20" t="e">
        <f>SUMIFS(#REF!,#REF!,$B4,#REF!,Q$1)</f>
        <v>#REF!</v>
      </c>
      <c r="R4" s="20" t="e">
        <f>SUMIFS(#REF!,#REF!,$B4,#REF!,R$1)</f>
        <v>#REF!</v>
      </c>
      <c r="S4" s="20" t="e">
        <f>SUMIFS(#REF!,#REF!,$B4,#REF!,S$1)</f>
        <v>#REF!</v>
      </c>
      <c r="T4" s="20" t="e">
        <f>SUMIFS(#REF!,#REF!,$B4,#REF!,T$1)</f>
        <v>#REF!</v>
      </c>
      <c r="U4" s="20" t="e">
        <f>SUMIFS(#REF!,#REF!,$B4,#REF!,U$1)</f>
        <v>#REF!</v>
      </c>
      <c r="V4" s="20" t="e">
        <f>SUMIFS(#REF!,#REF!,$B4,#REF!,V$1)</f>
        <v>#REF!</v>
      </c>
      <c r="W4" s="20" t="e">
        <f>SUMIFS(#REF!,#REF!,$B4,#REF!,W$1)</f>
        <v>#REF!</v>
      </c>
      <c r="X4" s="20" t="e">
        <f>SUMIFS(#REF!,#REF!,$B4,#REF!,X$1)</f>
        <v>#REF!</v>
      </c>
      <c r="Y4" s="20" t="e">
        <f>SUMIFS(#REF!,#REF!,$B4,#REF!,Y$1)</f>
        <v>#REF!</v>
      </c>
      <c r="Z4" s="20" t="e">
        <f>SUMIFS(#REF!,#REF!,$B4,#REF!,Z$1)</f>
        <v>#REF!</v>
      </c>
      <c r="AA4" s="20" t="e">
        <f>SUMIFS(#REF!,#REF!,$B4,#REF!,AA$1)</f>
        <v>#REF!</v>
      </c>
      <c r="AB4" s="20" t="e">
        <f>SUMIFS(#REF!,#REF!,$B4,#REF!,AB$1)</f>
        <v>#REF!</v>
      </c>
      <c r="AC4" s="20" t="e">
        <f>SUMIFS(#REF!,#REF!,$B4,#REF!,AC$1)</f>
        <v>#REF!</v>
      </c>
      <c r="AD4" s="20" t="e">
        <f>SUMIFS(#REF!,#REF!,$B4,#REF!,AD$1)</f>
        <v>#REF!</v>
      </c>
      <c r="AE4" s="20" t="e">
        <f>SUMIFS(#REF!,#REF!,$B4,#REF!,AE$1)</f>
        <v>#REF!</v>
      </c>
      <c r="AF4" s="20" t="e">
        <f>SUMIFS(#REF!,#REF!,$B4,#REF!,AF$1)</f>
        <v>#REF!</v>
      </c>
      <c r="AG4" s="20" t="e">
        <f>SUMIFS(#REF!,#REF!,$B4,#REF!,AG$1)</f>
        <v>#REF!</v>
      </c>
      <c r="AH4" s="20" t="e">
        <f>SUMIFS(#REF!,#REF!,$B4,#REF!,AH$1)</f>
        <v>#REF!</v>
      </c>
      <c r="AI4" s="21" t="e">
        <f t="shared" ref="AI4:AI10" si="0">SUM(D4:AH4)</f>
        <v>#REF!</v>
      </c>
    </row>
    <row r="5" spans="2:35" ht="15.75" x14ac:dyDescent="0.25">
      <c r="B5" s="36" t="s">
        <v>133</v>
      </c>
      <c r="C5" s="25">
        <v>25</v>
      </c>
      <c r="D5" s="20" t="e">
        <f>SUMIFS(#REF!,#REF!,$B5,#REF!,D$1)</f>
        <v>#REF!</v>
      </c>
      <c r="E5" s="20" t="e">
        <f>SUMIFS(#REF!,#REF!,$B5,#REF!,E$1)</f>
        <v>#REF!</v>
      </c>
      <c r="F5" s="20" t="e">
        <f>SUMIFS(#REF!,#REF!,$B5,#REF!,F$1)</f>
        <v>#REF!</v>
      </c>
      <c r="G5" s="20" t="e">
        <f>SUMIFS(#REF!,#REF!,$B5,#REF!,G$1)</f>
        <v>#REF!</v>
      </c>
      <c r="H5" s="20" t="e">
        <f>SUMIFS(#REF!,#REF!,$B5,#REF!,H$1)</f>
        <v>#REF!</v>
      </c>
      <c r="I5" s="20" t="e">
        <f>SUMIFS(#REF!,#REF!,$B5,#REF!,I$1)</f>
        <v>#REF!</v>
      </c>
      <c r="J5" s="20" t="e">
        <f>SUMIFS(#REF!,#REF!,$B5,#REF!,J$1)</f>
        <v>#REF!</v>
      </c>
      <c r="K5" s="20" t="e">
        <f>SUMIFS(#REF!,#REF!,$B5,#REF!,K$1)</f>
        <v>#REF!</v>
      </c>
      <c r="L5" s="20" t="e">
        <f>SUMIFS(#REF!,#REF!,$B5,#REF!,L$1)</f>
        <v>#REF!</v>
      </c>
      <c r="M5" s="20" t="e">
        <f>SUMIFS(#REF!,#REF!,$B5,#REF!,M$1)</f>
        <v>#REF!</v>
      </c>
      <c r="N5" s="20" t="e">
        <f>SUMIFS(#REF!,#REF!,$B5,#REF!,N$1)</f>
        <v>#REF!</v>
      </c>
      <c r="O5" s="20" t="e">
        <f>SUMIFS(#REF!,#REF!,$B5,#REF!,O$1)</f>
        <v>#REF!</v>
      </c>
      <c r="P5" s="20" t="e">
        <f>SUMIFS(#REF!,#REF!,$B5,#REF!,P$1)</f>
        <v>#REF!</v>
      </c>
      <c r="Q5" s="20" t="e">
        <f>SUMIFS(#REF!,#REF!,$B5,#REF!,Q$1)</f>
        <v>#REF!</v>
      </c>
      <c r="R5" s="20" t="e">
        <f>SUMIFS(#REF!,#REF!,$B5,#REF!,R$1)</f>
        <v>#REF!</v>
      </c>
      <c r="S5" s="20" t="e">
        <f>SUMIFS(#REF!,#REF!,$B5,#REF!,S$1)</f>
        <v>#REF!</v>
      </c>
      <c r="T5" s="20" t="e">
        <f>SUMIFS(#REF!,#REF!,$B5,#REF!,T$1)</f>
        <v>#REF!</v>
      </c>
      <c r="U5" s="20" t="e">
        <f>SUMIFS(#REF!,#REF!,$B5,#REF!,U$1)</f>
        <v>#REF!</v>
      </c>
      <c r="V5" s="20" t="e">
        <f>SUMIFS(#REF!,#REF!,$B5,#REF!,V$1)</f>
        <v>#REF!</v>
      </c>
      <c r="W5" s="20" t="e">
        <f>SUMIFS(#REF!,#REF!,$B5,#REF!,W$1)</f>
        <v>#REF!</v>
      </c>
      <c r="X5" s="20" t="e">
        <f>SUMIFS(#REF!,#REF!,$B5,#REF!,X$1)</f>
        <v>#REF!</v>
      </c>
      <c r="Y5" s="20" t="e">
        <f>SUMIFS(#REF!,#REF!,$B5,#REF!,Y$1)</f>
        <v>#REF!</v>
      </c>
      <c r="Z5" s="20" t="e">
        <f>SUMIFS(#REF!,#REF!,$B5,#REF!,Z$1)</f>
        <v>#REF!</v>
      </c>
      <c r="AA5" s="20" t="e">
        <f>SUMIFS(#REF!,#REF!,$B5,#REF!,AA$1)</f>
        <v>#REF!</v>
      </c>
      <c r="AB5" s="20" t="e">
        <f>SUMIFS(#REF!,#REF!,$B5,#REF!,AB$1)</f>
        <v>#REF!</v>
      </c>
      <c r="AC5" s="20" t="e">
        <f>SUMIFS(#REF!,#REF!,$B5,#REF!,AC$1)</f>
        <v>#REF!</v>
      </c>
      <c r="AD5" s="20" t="e">
        <f>SUMIFS(#REF!,#REF!,$B5,#REF!,AD$1)</f>
        <v>#REF!</v>
      </c>
      <c r="AE5" s="20" t="e">
        <f>SUMIFS(#REF!,#REF!,$B5,#REF!,AE$1)</f>
        <v>#REF!</v>
      </c>
      <c r="AF5" s="20" t="e">
        <f>SUMIFS(#REF!,#REF!,$B5,#REF!,AF$1)</f>
        <v>#REF!</v>
      </c>
      <c r="AG5" s="20" t="e">
        <f>SUMIFS(#REF!,#REF!,$B5,#REF!,AG$1)</f>
        <v>#REF!</v>
      </c>
      <c r="AH5" s="20" t="e">
        <f>SUMIFS(#REF!,#REF!,$B5,#REF!,AH$1)</f>
        <v>#REF!</v>
      </c>
      <c r="AI5" s="21" t="e">
        <f t="shared" si="0"/>
        <v>#REF!</v>
      </c>
    </row>
    <row r="6" spans="2:35" ht="15.75" x14ac:dyDescent="0.25">
      <c r="B6" s="36" t="s">
        <v>134</v>
      </c>
      <c r="C6" s="25">
        <v>22.7</v>
      </c>
      <c r="D6" s="20" t="e">
        <f>SUMIFS(#REF!,#REF!,$B6,#REF!,D$1)</f>
        <v>#REF!</v>
      </c>
      <c r="E6" s="20" t="e">
        <f>SUMIFS(#REF!,#REF!,$B6,#REF!,E$1)</f>
        <v>#REF!</v>
      </c>
      <c r="F6" s="20" t="e">
        <f>SUMIFS(#REF!,#REF!,$B6,#REF!,F$1)</f>
        <v>#REF!</v>
      </c>
      <c r="G6" s="20" t="e">
        <f>SUMIFS(#REF!,#REF!,$B6,#REF!,G$1)</f>
        <v>#REF!</v>
      </c>
      <c r="H6" s="20" t="e">
        <f>SUMIFS(#REF!,#REF!,$B6,#REF!,H$1)</f>
        <v>#REF!</v>
      </c>
      <c r="I6" s="20" t="e">
        <f>SUMIFS(#REF!,#REF!,$B6,#REF!,I$1)</f>
        <v>#REF!</v>
      </c>
      <c r="J6" s="20" t="e">
        <f>SUMIFS(#REF!,#REF!,$B6,#REF!,J$1)</f>
        <v>#REF!</v>
      </c>
      <c r="K6" s="20" t="e">
        <f>SUMIFS(#REF!,#REF!,$B6,#REF!,K$1)</f>
        <v>#REF!</v>
      </c>
      <c r="L6" s="20" t="e">
        <f>SUMIFS(#REF!,#REF!,$B6,#REF!,L$1)</f>
        <v>#REF!</v>
      </c>
      <c r="M6" s="20" t="e">
        <f>SUMIFS(#REF!,#REF!,$B6,#REF!,M$1)</f>
        <v>#REF!</v>
      </c>
      <c r="N6" s="20" t="e">
        <f>SUMIFS(#REF!,#REF!,$B6,#REF!,N$1)</f>
        <v>#REF!</v>
      </c>
      <c r="O6" s="20" t="e">
        <f>SUMIFS(#REF!,#REF!,$B6,#REF!,O$1)</f>
        <v>#REF!</v>
      </c>
      <c r="P6" s="20" t="e">
        <f>SUMIFS(#REF!,#REF!,$B6,#REF!,P$1)</f>
        <v>#REF!</v>
      </c>
      <c r="Q6" s="20" t="e">
        <f>SUMIFS(#REF!,#REF!,$B6,#REF!,Q$1)</f>
        <v>#REF!</v>
      </c>
      <c r="R6" s="20" t="e">
        <f>SUMIFS(#REF!,#REF!,$B6,#REF!,R$1)</f>
        <v>#REF!</v>
      </c>
      <c r="S6" s="20" t="e">
        <f>SUMIFS(#REF!,#REF!,$B6,#REF!,S$1)</f>
        <v>#REF!</v>
      </c>
      <c r="T6" s="20" t="e">
        <f>SUMIFS(#REF!,#REF!,$B6,#REF!,T$1)</f>
        <v>#REF!</v>
      </c>
      <c r="U6" s="20" t="e">
        <f>SUMIFS(#REF!,#REF!,$B6,#REF!,U$1)</f>
        <v>#REF!</v>
      </c>
      <c r="V6" s="20" t="e">
        <f>SUMIFS(#REF!,#REF!,$B6,#REF!,V$1)</f>
        <v>#REF!</v>
      </c>
      <c r="W6" s="20" t="e">
        <f>SUMIFS(#REF!,#REF!,$B6,#REF!,W$1)</f>
        <v>#REF!</v>
      </c>
      <c r="X6" s="20" t="e">
        <f>SUMIFS(#REF!,#REF!,$B6,#REF!,X$1)</f>
        <v>#REF!</v>
      </c>
      <c r="Y6" s="20" t="e">
        <f>SUMIFS(#REF!,#REF!,$B6,#REF!,Y$1)</f>
        <v>#REF!</v>
      </c>
      <c r="Z6" s="20" t="e">
        <f>SUMIFS(#REF!,#REF!,$B6,#REF!,Z$1)</f>
        <v>#REF!</v>
      </c>
      <c r="AA6" s="20" t="e">
        <f>SUMIFS(#REF!,#REF!,$B6,#REF!,AA$1)</f>
        <v>#REF!</v>
      </c>
      <c r="AB6" s="20" t="e">
        <f>SUMIFS(#REF!,#REF!,$B6,#REF!,AB$1)</f>
        <v>#REF!</v>
      </c>
      <c r="AC6" s="20" t="e">
        <f>SUMIFS(#REF!,#REF!,$B6,#REF!,AC$1)</f>
        <v>#REF!</v>
      </c>
      <c r="AD6" s="20" t="e">
        <f>SUMIFS(#REF!,#REF!,$B6,#REF!,AD$1)</f>
        <v>#REF!</v>
      </c>
      <c r="AE6" s="20" t="e">
        <f>SUMIFS(#REF!,#REF!,$B6,#REF!,AE$1)</f>
        <v>#REF!</v>
      </c>
      <c r="AF6" s="20" t="e">
        <f>SUMIFS(#REF!,#REF!,$B6,#REF!,AF$1)</f>
        <v>#REF!</v>
      </c>
      <c r="AG6" s="20" t="e">
        <f>SUMIFS(#REF!,#REF!,$B6,#REF!,AG$1)</f>
        <v>#REF!</v>
      </c>
      <c r="AH6" s="20" t="e">
        <f>SUMIFS(#REF!,#REF!,$B6,#REF!,AH$1)</f>
        <v>#REF!</v>
      </c>
      <c r="AI6" s="21" t="e">
        <f>SUM(D6:AH6)</f>
        <v>#REF!</v>
      </c>
    </row>
    <row r="7" spans="2:35" ht="15.75" x14ac:dyDescent="0.25">
      <c r="B7" s="36" t="s">
        <v>135</v>
      </c>
      <c r="C7" s="25">
        <v>22.7</v>
      </c>
      <c r="D7" s="20" t="e">
        <f>SUMIFS(#REF!,#REF!,$B7,#REF!,D$1)</f>
        <v>#REF!</v>
      </c>
      <c r="E7" s="20" t="e">
        <f>SUMIFS(#REF!,#REF!,$B7,#REF!,E$1)</f>
        <v>#REF!</v>
      </c>
      <c r="F7" s="20" t="e">
        <f>SUMIFS(#REF!,#REF!,$B7,#REF!,F$1)</f>
        <v>#REF!</v>
      </c>
      <c r="G7" s="20" t="e">
        <f>SUMIFS(#REF!,#REF!,$B7,#REF!,G$1)</f>
        <v>#REF!</v>
      </c>
      <c r="H7" s="20" t="e">
        <f>SUMIFS(#REF!,#REF!,$B7,#REF!,H$1)</f>
        <v>#REF!</v>
      </c>
      <c r="I7" s="20" t="e">
        <f>SUMIFS(#REF!,#REF!,$B7,#REF!,I$1)</f>
        <v>#REF!</v>
      </c>
      <c r="J7" s="20" t="e">
        <f>SUMIFS(#REF!,#REF!,$B7,#REF!,J$1)</f>
        <v>#REF!</v>
      </c>
      <c r="K7" s="20" t="e">
        <f>SUMIFS(#REF!,#REF!,$B7,#REF!,K$1)</f>
        <v>#REF!</v>
      </c>
      <c r="L7" s="20" t="e">
        <f>SUMIFS(#REF!,#REF!,$B7,#REF!,L$1)</f>
        <v>#REF!</v>
      </c>
      <c r="M7" s="20" t="e">
        <f>SUMIFS(#REF!,#REF!,$B7,#REF!,M$1)</f>
        <v>#REF!</v>
      </c>
      <c r="N7" s="20" t="e">
        <f>SUMIFS(#REF!,#REF!,$B7,#REF!,N$1)</f>
        <v>#REF!</v>
      </c>
      <c r="O7" s="20" t="e">
        <f>SUMIFS(#REF!,#REF!,$B7,#REF!,O$1)</f>
        <v>#REF!</v>
      </c>
      <c r="P7" s="20" t="e">
        <f>SUMIFS(#REF!,#REF!,$B7,#REF!,P$1)</f>
        <v>#REF!</v>
      </c>
      <c r="Q7" s="20" t="e">
        <f>SUMIFS(#REF!,#REF!,$B7,#REF!,Q$1)</f>
        <v>#REF!</v>
      </c>
      <c r="R7" s="20" t="e">
        <f>SUMIFS(#REF!,#REF!,$B7,#REF!,R$1)</f>
        <v>#REF!</v>
      </c>
      <c r="S7" s="20" t="e">
        <f>SUMIFS(#REF!,#REF!,$B7,#REF!,S$1)</f>
        <v>#REF!</v>
      </c>
      <c r="T7" s="20" t="e">
        <f>SUMIFS(#REF!,#REF!,$B7,#REF!,T$1)</f>
        <v>#REF!</v>
      </c>
      <c r="U7" s="20" t="e">
        <f>SUMIFS(#REF!,#REF!,$B7,#REF!,U$1)</f>
        <v>#REF!</v>
      </c>
      <c r="V7" s="20" t="e">
        <f>SUMIFS(#REF!,#REF!,$B7,#REF!,V$1)</f>
        <v>#REF!</v>
      </c>
      <c r="W7" s="20" t="e">
        <f>SUMIFS(#REF!,#REF!,$B7,#REF!,W$1)</f>
        <v>#REF!</v>
      </c>
      <c r="X7" s="20" t="e">
        <f>SUMIFS(#REF!,#REF!,$B7,#REF!,X$1)</f>
        <v>#REF!</v>
      </c>
      <c r="Y7" s="20" t="e">
        <f>SUMIFS(#REF!,#REF!,$B7,#REF!,Y$1)</f>
        <v>#REF!</v>
      </c>
      <c r="Z7" s="20" t="e">
        <f>SUMIFS(#REF!,#REF!,$B7,#REF!,Z$1)</f>
        <v>#REF!</v>
      </c>
      <c r="AA7" s="20" t="e">
        <f>SUMIFS(#REF!,#REF!,$B7,#REF!,AA$1)</f>
        <v>#REF!</v>
      </c>
      <c r="AB7" s="20" t="e">
        <f>SUMIFS(#REF!,#REF!,$B7,#REF!,AB$1)</f>
        <v>#REF!</v>
      </c>
      <c r="AC7" s="20" t="e">
        <f>SUMIFS(#REF!,#REF!,$B7,#REF!,AC$1)</f>
        <v>#REF!</v>
      </c>
      <c r="AD7" s="20" t="e">
        <f>SUMIFS(#REF!,#REF!,$B7,#REF!,AD$1)</f>
        <v>#REF!</v>
      </c>
      <c r="AE7" s="20" t="e">
        <f>SUMIFS(#REF!,#REF!,$B7,#REF!,AE$1)</f>
        <v>#REF!</v>
      </c>
      <c r="AF7" s="20" t="e">
        <f>SUMIFS(#REF!,#REF!,$B7,#REF!,AF$1)</f>
        <v>#REF!</v>
      </c>
      <c r="AG7" s="20" t="e">
        <f>SUMIFS(#REF!,#REF!,$B7,#REF!,AG$1)</f>
        <v>#REF!</v>
      </c>
      <c r="AH7" s="20" t="e">
        <f>SUMIFS(#REF!,#REF!,$B7,#REF!,AH$1)</f>
        <v>#REF!</v>
      </c>
      <c r="AI7" s="21" t="e">
        <f t="shared" si="0"/>
        <v>#REF!</v>
      </c>
    </row>
    <row r="8" spans="2:35" ht="15.75" x14ac:dyDescent="0.25">
      <c r="B8" s="37" t="s">
        <v>19</v>
      </c>
      <c r="C8" s="25">
        <v>22.7</v>
      </c>
      <c r="D8" s="20" t="e">
        <f>SUMIFS(#REF!,#REF!,$B8,#REF!,D$1)</f>
        <v>#REF!</v>
      </c>
      <c r="E8" s="20" t="e">
        <f>SUMIFS(#REF!,#REF!,$B8,#REF!,E$1)</f>
        <v>#REF!</v>
      </c>
      <c r="F8" s="20" t="e">
        <f>SUMIFS(#REF!,#REF!,$B8,#REF!,F$1)</f>
        <v>#REF!</v>
      </c>
      <c r="G8" s="20" t="e">
        <f>SUMIFS(#REF!,#REF!,$B8,#REF!,G$1)</f>
        <v>#REF!</v>
      </c>
      <c r="H8" s="20" t="e">
        <f>SUMIFS(#REF!,#REF!,$B8,#REF!,H$1)</f>
        <v>#REF!</v>
      </c>
      <c r="I8" s="20" t="e">
        <f>SUMIFS(#REF!,#REF!,$B8,#REF!,I$1)</f>
        <v>#REF!</v>
      </c>
      <c r="J8" s="20" t="e">
        <f>SUMIFS(#REF!,#REF!,$B8,#REF!,J$1)</f>
        <v>#REF!</v>
      </c>
      <c r="K8" s="20" t="e">
        <f>SUMIFS(#REF!,#REF!,$B8,#REF!,K$1)</f>
        <v>#REF!</v>
      </c>
      <c r="L8" s="20" t="e">
        <f>SUMIFS(#REF!,#REF!,$B8,#REF!,L$1)</f>
        <v>#REF!</v>
      </c>
      <c r="M8" s="20" t="e">
        <f>SUMIFS(#REF!,#REF!,$B8,#REF!,M$1)</f>
        <v>#REF!</v>
      </c>
      <c r="N8" s="20" t="e">
        <f>SUMIFS(#REF!,#REF!,$B8,#REF!,N$1)</f>
        <v>#REF!</v>
      </c>
      <c r="O8" s="20" t="e">
        <f>SUMIFS(#REF!,#REF!,$B8,#REF!,O$1)</f>
        <v>#REF!</v>
      </c>
      <c r="P8" s="20" t="e">
        <f>SUMIFS(#REF!,#REF!,$B8,#REF!,P$1)</f>
        <v>#REF!</v>
      </c>
      <c r="Q8" s="20" t="e">
        <f>SUMIFS(#REF!,#REF!,$B8,#REF!,Q$1)</f>
        <v>#REF!</v>
      </c>
      <c r="R8" s="20" t="e">
        <f>SUMIFS(#REF!,#REF!,$B8,#REF!,R$1)</f>
        <v>#REF!</v>
      </c>
      <c r="S8" s="20" t="e">
        <f>SUMIFS(#REF!,#REF!,$B8,#REF!,S$1)</f>
        <v>#REF!</v>
      </c>
      <c r="T8" s="20" t="e">
        <f>SUMIFS(#REF!,#REF!,$B8,#REF!,T$1)</f>
        <v>#REF!</v>
      </c>
      <c r="U8" s="20" t="e">
        <f>SUMIFS(#REF!,#REF!,$B8,#REF!,U$1)</f>
        <v>#REF!</v>
      </c>
      <c r="V8" s="20" t="e">
        <f>SUMIFS(#REF!,#REF!,$B8,#REF!,V$1)</f>
        <v>#REF!</v>
      </c>
      <c r="W8" s="20" t="e">
        <f>SUMIFS(#REF!,#REF!,$B8,#REF!,W$1)</f>
        <v>#REF!</v>
      </c>
      <c r="X8" s="20" t="e">
        <f>SUMIFS(#REF!,#REF!,$B8,#REF!,X$1)</f>
        <v>#REF!</v>
      </c>
      <c r="Y8" s="20" t="e">
        <f>SUMIFS(#REF!,#REF!,$B8,#REF!,Y$1)</f>
        <v>#REF!</v>
      </c>
      <c r="Z8" s="20" t="e">
        <f>SUMIFS(#REF!,#REF!,$B8,#REF!,Z$1)</f>
        <v>#REF!</v>
      </c>
      <c r="AA8" s="20" t="e">
        <f>SUMIFS(#REF!,#REF!,$B8,#REF!,AA$1)</f>
        <v>#REF!</v>
      </c>
      <c r="AB8" s="20" t="e">
        <f>SUMIFS(#REF!,#REF!,$B8,#REF!,AB$1)</f>
        <v>#REF!</v>
      </c>
      <c r="AC8" s="20" t="e">
        <f>SUMIFS(#REF!,#REF!,$B8,#REF!,AC$1)</f>
        <v>#REF!</v>
      </c>
      <c r="AD8" s="20" t="e">
        <f>SUMIFS(#REF!,#REF!,$B8,#REF!,AD$1)</f>
        <v>#REF!</v>
      </c>
      <c r="AE8" s="20" t="e">
        <f>SUMIFS(#REF!,#REF!,$B8,#REF!,AE$1)</f>
        <v>#REF!</v>
      </c>
      <c r="AF8" s="20" t="e">
        <f>SUMIFS(#REF!,#REF!,$B8,#REF!,AF$1)</f>
        <v>#REF!</v>
      </c>
      <c r="AG8" s="20" t="e">
        <f>SUMIFS(#REF!,#REF!,$B8,#REF!,AG$1)</f>
        <v>#REF!</v>
      </c>
      <c r="AH8" s="20" t="e">
        <f>SUMIFS(#REF!,#REF!,$B8,#REF!,AH$1)</f>
        <v>#REF!</v>
      </c>
      <c r="AI8" s="21" t="e">
        <f>SUM(D8:AH8)</f>
        <v>#REF!</v>
      </c>
    </row>
    <row r="9" spans="2:35" ht="15.75" x14ac:dyDescent="0.25">
      <c r="B9" s="36" t="s">
        <v>136</v>
      </c>
      <c r="C9" s="25">
        <v>25</v>
      </c>
      <c r="D9" s="20" t="e">
        <f>SUMIFS(#REF!,#REF!,$B9,#REF!,D$1)</f>
        <v>#REF!</v>
      </c>
      <c r="E9" s="20" t="e">
        <f>SUMIFS(#REF!,#REF!,$B9,#REF!,E$1)</f>
        <v>#REF!</v>
      </c>
      <c r="F9" s="20" t="e">
        <f>SUMIFS(#REF!,#REF!,$B9,#REF!,F$1)</f>
        <v>#REF!</v>
      </c>
      <c r="G9" s="20" t="e">
        <f>SUMIFS(#REF!,#REF!,$B9,#REF!,G$1)</f>
        <v>#REF!</v>
      </c>
      <c r="H9" s="20" t="e">
        <f>SUMIFS(#REF!,#REF!,$B9,#REF!,H$1)</f>
        <v>#REF!</v>
      </c>
      <c r="I9" s="20" t="e">
        <f>SUMIFS(#REF!,#REF!,$B9,#REF!,I$1)</f>
        <v>#REF!</v>
      </c>
      <c r="J9" s="20" t="e">
        <f>SUMIFS(#REF!,#REF!,$B9,#REF!,J$1)</f>
        <v>#REF!</v>
      </c>
      <c r="K9" s="20" t="e">
        <f>SUMIFS(#REF!,#REF!,$B9,#REF!,K$1)</f>
        <v>#REF!</v>
      </c>
      <c r="L9" s="20" t="e">
        <f>SUMIFS(#REF!,#REF!,$B9,#REF!,L$1)</f>
        <v>#REF!</v>
      </c>
      <c r="M9" s="20" t="e">
        <f>SUMIFS(#REF!,#REF!,$B9,#REF!,M$1)</f>
        <v>#REF!</v>
      </c>
      <c r="N9" s="20" t="e">
        <f>SUMIFS(#REF!,#REF!,$B9,#REF!,N$1)</f>
        <v>#REF!</v>
      </c>
      <c r="O9" s="20" t="e">
        <f>SUMIFS(#REF!,#REF!,$B9,#REF!,O$1)</f>
        <v>#REF!</v>
      </c>
      <c r="P9" s="20" t="e">
        <f>SUMIFS(#REF!,#REF!,$B9,#REF!,P$1)</f>
        <v>#REF!</v>
      </c>
      <c r="Q9" s="20" t="e">
        <f>SUMIFS(#REF!,#REF!,$B9,#REF!,Q$1)</f>
        <v>#REF!</v>
      </c>
      <c r="R9" s="20" t="e">
        <f>SUMIFS(#REF!,#REF!,$B9,#REF!,R$1)</f>
        <v>#REF!</v>
      </c>
      <c r="S9" s="20" t="e">
        <f>SUMIFS(#REF!,#REF!,$B9,#REF!,S$1)</f>
        <v>#REF!</v>
      </c>
      <c r="T9" s="20" t="e">
        <f>SUMIFS(#REF!,#REF!,$B9,#REF!,T$1)</f>
        <v>#REF!</v>
      </c>
      <c r="U9" s="20" t="e">
        <f>SUMIFS(#REF!,#REF!,$B9,#REF!,U$1)</f>
        <v>#REF!</v>
      </c>
      <c r="V9" s="20" t="e">
        <f>SUMIFS(#REF!,#REF!,$B9,#REF!,V$1)</f>
        <v>#REF!</v>
      </c>
      <c r="W9" s="20" t="e">
        <f>SUMIFS(#REF!,#REF!,$B9,#REF!,W$1)</f>
        <v>#REF!</v>
      </c>
      <c r="X9" s="20" t="e">
        <f>SUMIFS(#REF!,#REF!,$B9,#REF!,X$1)</f>
        <v>#REF!</v>
      </c>
      <c r="Y9" s="20" t="e">
        <f>SUMIFS(#REF!,#REF!,$B9,#REF!,Y$1)</f>
        <v>#REF!</v>
      </c>
      <c r="Z9" s="20" t="e">
        <f>SUMIFS(#REF!,#REF!,$B9,#REF!,Z$1)</f>
        <v>#REF!</v>
      </c>
      <c r="AA9" s="20" t="e">
        <f>SUMIFS(#REF!,#REF!,$B9,#REF!,AA$1)</f>
        <v>#REF!</v>
      </c>
      <c r="AB9" s="20" t="e">
        <f>SUMIFS(#REF!,#REF!,$B9,#REF!,AB$1)</f>
        <v>#REF!</v>
      </c>
      <c r="AC9" s="20" t="e">
        <f>SUMIFS(#REF!,#REF!,$B9,#REF!,AC$1)</f>
        <v>#REF!</v>
      </c>
      <c r="AD9" s="20" t="e">
        <f>SUMIFS(#REF!,#REF!,$B9,#REF!,AD$1)</f>
        <v>#REF!</v>
      </c>
      <c r="AE9" s="20" t="e">
        <f>SUMIFS(#REF!,#REF!,$B9,#REF!,AE$1)</f>
        <v>#REF!</v>
      </c>
      <c r="AF9" s="20" t="e">
        <f>SUMIFS(#REF!,#REF!,$B9,#REF!,AF$1)</f>
        <v>#REF!</v>
      </c>
      <c r="AG9" s="20" t="e">
        <f>SUMIFS(#REF!,#REF!,$B9,#REF!,AG$1)</f>
        <v>#REF!</v>
      </c>
      <c r="AH9" s="20" t="e">
        <f>SUMIFS(#REF!,#REF!,$B9,#REF!,AH$1)</f>
        <v>#REF!</v>
      </c>
      <c r="AI9" s="21" t="e">
        <f t="shared" si="0"/>
        <v>#REF!</v>
      </c>
    </row>
    <row r="10" spans="2:35" ht="16.5" thickBot="1" x14ac:dyDescent="0.3">
      <c r="B10" s="50" t="s">
        <v>137</v>
      </c>
      <c r="C10" s="51">
        <v>22.7</v>
      </c>
      <c r="D10" s="52" t="e">
        <f>SUMIFS(#REF!,#REF!,$B10,#REF!,D$1)</f>
        <v>#REF!</v>
      </c>
      <c r="E10" s="52" t="e">
        <f>SUMIFS(#REF!,#REF!,$B10,#REF!,E$1)</f>
        <v>#REF!</v>
      </c>
      <c r="F10" s="52" t="e">
        <f>SUMIFS(#REF!,#REF!,$B10,#REF!,F$1)</f>
        <v>#REF!</v>
      </c>
      <c r="G10" s="52" t="e">
        <f>SUMIFS(#REF!,#REF!,$B10,#REF!,G$1)</f>
        <v>#REF!</v>
      </c>
      <c r="H10" s="52" t="e">
        <f>SUMIFS(#REF!,#REF!,$B10,#REF!,H$1)</f>
        <v>#REF!</v>
      </c>
      <c r="I10" s="52" t="e">
        <f>SUMIFS(#REF!,#REF!,$B10,#REF!,I$1)</f>
        <v>#REF!</v>
      </c>
      <c r="J10" s="52" t="e">
        <f>SUMIFS(#REF!,#REF!,$B10,#REF!,J$1)</f>
        <v>#REF!</v>
      </c>
      <c r="K10" s="52" t="e">
        <f>SUMIFS(#REF!,#REF!,$B10,#REF!,K$1)</f>
        <v>#REF!</v>
      </c>
      <c r="L10" s="52" t="e">
        <f>SUMIFS(#REF!,#REF!,$B10,#REF!,L$1)</f>
        <v>#REF!</v>
      </c>
      <c r="M10" s="52" t="e">
        <f>SUMIFS(#REF!,#REF!,$B10,#REF!,M$1)</f>
        <v>#REF!</v>
      </c>
      <c r="N10" s="52" t="e">
        <f>SUMIFS(#REF!,#REF!,$B10,#REF!,N$1)</f>
        <v>#REF!</v>
      </c>
      <c r="O10" s="52" t="e">
        <f>SUMIFS(#REF!,#REF!,$B10,#REF!,O$1)</f>
        <v>#REF!</v>
      </c>
      <c r="P10" s="52" t="e">
        <f>SUMIFS(#REF!,#REF!,$B10,#REF!,P$1)</f>
        <v>#REF!</v>
      </c>
      <c r="Q10" s="52" t="e">
        <f>SUMIFS(#REF!,#REF!,$B10,#REF!,Q$1)</f>
        <v>#REF!</v>
      </c>
      <c r="R10" s="52" t="e">
        <f>SUMIFS(#REF!,#REF!,$B10,#REF!,R$1)</f>
        <v>#REF!</v>
      </c>
      <c r="S10" s="52" t="e">
        <f>SUMIFS(#REF!,#REF!,$B10,#REF!,S$1)</f>
        <v>#REF!</v>
      </c>
      <c r="T10" s="52" t="e">
        <f>SUMIFS(#REF!,#REF!,$B10,#REF!,T$1)</f>
        <v>#REF!</v>
      </c>
      <c r="U10" s="52" t="e">
        <f>SUMIFS(#REF!,#REF!,$B10,#REF!,U$1)</f>
        <v>#REF!</v>
      </c>
      <c r="V10" s="52" t="e">
        <f>SUMIFS(#REF!,#REF!,$B10,#REF!,V$1)</f>
        <v>#REF!</v>
      </c>
      <c r="W10" s="52" t="e">
        <f>SUMIFS(#REF!,#REF!,$B10,#REF!,W$1)</f>
        <v>#REF!</v>
      </c>
      <c r="X10" s="52" t="e">
        <f>SUMIFS(#REF!,#REF!,$B10,#REF!,X$1)</f>
        <v>#REF!</v>
      </c>
      <c r="Y10" s="52" t="e">
        <f>SUMIFS(#REF!,#REF!,$B10,#REF!,Y$1)</f>
        <v>#REF!</v>
      </c>
      <c r="Z10" s="52" t="e">
        <f>SUMIFS(#REF!,#REF!,$B10,#REF!,Z$1)</f>
        <v>#REF!</v>
      </c>
      <c r="AA10" s="52" t="e">
        <f>SUMIFS(#REF!,#REF!,$B10,#REF!,AA$1)</f>
        <v>#REF!</v>
      </c>
      <c r="AB10" s="52" t="e">
        <f>SUMIFS(#REF!,#REF!,$B10,#REF!,AB$1)</f>
        <v>#REF!</v>
      </c>
      <c r="AC10" s="52" t="e">
        <f>SUMIFS(#REF!,#REF!,$B10,#REF!,AC$1)</f>
        <v>#REF!</v>
      </c>
      <c r="AD10" s="52" t="e">
        <f>SUMIFS(#REF!,#REF!,$B10,#REF!,AD$1)</f>
        <v>#REF!</v>
      </c>
      <c r="AE10" s="52" t="e">
        <f>SUMIFS(#REF!,#REF!,$B10,#REF!,AE$1)</f>
        <v>#REF!</v>
      </c>
      <c r="AF10" s="52" t="e">
        <f>SUMIFS(#REF!,#REF!,$B10,#REF!,AF$1)</f>
        <v>#REF!</v>
      </c>
      <c r="AG10" s="52" t="e">
        <f>SUMIFS(#REF!,#REF!,$B10,#REF!,AG$1)</f>
        <v>#REF!</v>
      </c>
      <c r="AH10" s="52" t="e">
        <f>SUMIFS(#REF!,#REF!,$B10,#REF!,AH$1)</f>
        <v>#REF!</v>
      </c>
      <c r="AI10" s="53" t="e">
        <f t="shared" si="0"/>
        <v>#REF!</v>
      </c>
    </row>
    <row r="11" spans="2:35" ht="15.75" thickBot="1" x14ac:dyDescent="0.3"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</row>
    <row r="12" spans="2:35" ht="15.75" x14ac:dyDescent="0.25">
      <c r="B12" s="39" t="s">
        <v>27</v>
      </c>
      <c r="C12" s="40">
        <v>20</v>
      </c>
      <c r="D12" s="41" t="e">
        <f>SUMIFS(#REF!,#REF!,$B12,#REF!,D$1)</f>
        <v>#REF!</v>
      </c>
      <c r="E12" s="41" t="e">
        <f>SUMIFS(#REF!,#REF!,$B12,#REF!,E$1)</f>
        <v>#REF!</v>
      </c>
      <c r="F12" s="41" t="e">
        <f>SUMIFS(#REF!,#REF!,$B12,#REF!,F$1)</f>
        <v>#REF!</v>
      </c>
      <c r="G12" s="41" t="e">
        <f>SUMIFS(#REF!,#REF!,$B12,#REF!,G$1)</f>
        <v>#REF!</v>
      </c>
      <c r="H12" s="41" t="e">
        <f>SUMIFS(#REF!,#REF!,$B12,#REF!,H$1)</f>
        <v>#REF!</v>
      </c>
      <c r="I12" s="41" t="e">
        <f>SUMIFS(#REF!,#REF!,$B12,#REF!,I$1)</f>
        <v>#REF!</v>
      </c>
      <c r="J12" s="41" t="e">
        <f>SUMIFS(#REF!,#REF!,$B12,#REF!,J$1)</f>
        <v>#REF!</v>
      </c>
      <c r="K12" s="41" t="e">
        <f>SUMIFS(#REF!,#REF!,$B12,#REF!,K$1)</f>
        <v>#REF!</v>
      </c>
      <c r="L12" s="41" t="e">
        <f>SUMIFS(#REF!,#REF!,$B12,#REF!,L$1)</f>
        <v>#REF!</v>
      </c>
      <c r="M12" s="41" t="e">
        <f>SUMIFS(#REF!,#REF!,$B12,#REF!,M$1)</f>
        <v>#REF!</v>
      </c>
      <c r="N12" s="41" t="e">
        <f>SUMIFS(#REF!,#REF!,$B12,#REF!,N$1)</f>
        <v>#REF!</v>
      </c>
      <c r="O12" s="41" t="e">
        <f>SUMIFS(#REF!,#REF!,$B12,#REF!,O$1)</f>
        <v>#REF!</v>
      </c>
      <c r="P12" s="41" t="e">
        <f>SUMIFS(#REF!,#REF!,$B12,#REF!,P$1)</f>
        <v>#REF!</v>
      </c>
      <c r="Q12" s="41" t="e">
        <f>SUMIFS(#REF!,#REF!,$B12,#REF!,Q$1)</f>
        <v>#REF!</v>
      </c>
      <c r="R12" s="41" t="e">
        <f>SUMIFS(#REF!,#REF!,$B12,#REF!,R$1)</f>
        <v>#REF!</v>
      </c>
      <c r="S12" s="41" t="e">
        <f>SUMIFS(#REF!,#REF!,$B12,#REF!,S$1)</f>
        <v>#REF!</v>
      </c>
      <c r="T12" s="41" t="e">
        <f>SUMIFS(#REF!,#REF!,$B12,#REF!,T$1)</f>
        <v>#REF!</v>
      </c>
      <c r="U12" s="41" t="e">
        <f>SUMIFS(#REF!,#REF!,$B12,#REF!,U$1)</f>
        <v>#REF!</v>
      </c>
      <c r="V12" s="41" t="e">
        <f>SUMIFS(#REF!,#REF!,$B12,#REF!,V$1)</f>
        <v>#REF!</v>
      </c>
      <c r="W12" s="41" t="e">
        <f>SUMIFS(#REF!,#REF!,$B12,#REF!,W$1)</f>
        <v>#REF!</v>
      </c>
      <c r="X12" s="41" t="e">
        <f>SUMIFS(#REF!,#REF!,$B12,#REF!,X$1)</f>
        <v>#REF!</v>
      </c>
      <c r="Y12" s="41" t="e">
        <f>SUMIFS(#REF!,#REF!,$B12,#REF!,Y$1)</f>
        <v>#REF!</v>
      </c>
      <c r="Z12" s="41" t="e">
        <f>SUMIFS(#REF!,#REF!,$B12,#REF!,Z$1)</f>
        <v>#REF!</v>
      </c>
      <c r="AA12" s="41" t="e">
        <f>SUMIFS(#REF!,#REF!,$B12,#REF!,AA$1)</f>
        <v>#REF!</v>
      </c>
      <c r="AB12" s="41" t="e">
        <f>SUMIFS(#REF!,#REF!,$B12,#REF!,AB$1)</f>
        <v>#REF!</v>
      </c>
      <c r="AC12" s="41" t="e">
        <f>SUMIFS(#REF!,#REF!,$B12,#REF!,AC$1)</f>
        <v>#REF!</v>
      </c>
      <c r="AD12" s="41" t="e">
        <f>SUMIFS(#REF!,#REF!,$B12,#REF!,AD$1)</f>
        <v>#REF!</v>
      </c>
      <c r="AE12" s="41" t="e">
        <f>SUMIFS(#REF!,#REF!,$B12,#REF!,AE$1)</f>
        <v>#REF!</v>
      </c>
      <c r="AF12" s="41" t="e">
        <f>SUMIFS(#REF!,#REF!,$B12,#REF!,AF$1)</f>
        <v>#REF!</v>
      </c>
      <c r="AG12" s="41" t="e">
        <f>SUMIFS(#REF!,#REF!,$B12,#REF!,AG$1)</f>
        <v>#REF!</v>
      </c>
      <c r="AH12" s="41" t="e">
        <f>SUMIFS(#REF!,#REF!,$B12,#REF!,AH$1)</f>
        <v>#REF!</v>
      </c>
      <c r="AI12" s="42" t="e">
        <f>SUM(D12:AH12)</f>
        <v>#REF!</v>
      </c>
    </row>
    <row r="13" spans="2:35" ht="15.75" x14ac:dyDescent="0.25">
      <c r="B13" s="28" t="s">
        <v>22</v>
      </c>
      <c r="C13" s="29">
        <v>20</v>
      </c>
      <c r="D13" s="20" t="e">
        <f>SUMIFS(#REF!,#REF!,$B13,#REF!,D$1)</f>
        <v>#REF!</v>
      </c>
      <c r="E13" s="20" t="e">
        <f>SUMIFS(#REF!,#REF!,$B13,#REF!,E$1)</f>
        <v>#REF!</v>
      </c>
      <c r="F13" s="20" t="e">
        <f>SUMIFS(#REF!,#REF!,$B13,#REF!,F$1)</f>
        <v>#REF!</v>
      </c>
      <c r="G13" s="20" t="e">
        <f>SUMIFS(#REF!,#REF!,$B13,#REF!,G$1)</f>
        <v>#REF!</v>
      </c>
      <c r="H13" s="20" t="e">
        <f>SUMIFS(#REF!,#REF!,$B13,#REF!,H$1)</f>
        <v>#REF!</v>
      </c>
      <c r="I13" s="20" t="e">
        <f>SUMIFS(#REF!,#REF!,$B13,#REF!,I$1)</f>
        <v>#REF!</v>
      </c>
      <c r="J13" s="20" t="e">
        <f>SUMIFS(#REF!,#REF!,$B13,#REF!,J$1)</f>
        <v>#REF!</v>
      </c>
      <c r="K13" s="20" t="e">
        <f>SUMIFS(#REF!,#REF!,$B13,#REF!,K$1)</f>
        <v>#REF!</v>
      </c>
      <c r="L13" s="20" t="e">
        <f>SUMIFS(#REF!,#REF!,$B13,#REF!,L$1)</f>
        <v>#REF!</v>
      </c>
      <c r="M13" s="20" t="e">
        <f>SUMIFS(#REF!,#REF!,$B13,#REF!,M$1)</f>
        <v>#REF!</v>
      </c>
      <c r="N13" s="20" t="e">
        <f>SUMIFS(#REF!,#REF!,$B13,#REF!,N$1)</f>
        <v>#REF!</v>
      </c>
      <c r="O13" s="20" t="e">
        <f>SUMIFS(#REF!,#REF!,$B13,#REF!,O$1)</f>
        <v>#REF!</v>
      </c>
      <c r="P13" s="20" t="e">
        <f>SUMIFS(#REF!,#REF!,$B13,#REF!,P$1)</f>
        <v>#REF!</v>
      </c>
      <c r="Q13" s="20" t="e">
        <f>SUMIFS(#REF!,#REF!,$B13,#REF!,Q$1)</f>
        <v>#REF!</v>
      </c>
      <c r="R13" s="20" t="e">
        <f>SUMIFS(#REF!,#REF!,$B13,#REF!,R$1)</f>
        <v>#REF!</v>
      </c>
      <c r="S13" s="20" t="e">
        <f>SUMIFS(#REF!,#REF!,$B13,#REF!,S$1)</f>
        <v>#REF!</v>
      </c>
      <c r="T13" s="20" t="e">
        <f>SUMIFS(#REF!,#REF!,$B13,#REF!,T$1)</f>
        <v>#REF!</v>
      </c>
      <c r="U13" s="20" t="e">
        <f>SUMIFS(#REF!,#REF!,$B13,#REF!,U$1)</f>
        <v>#REF!</v>
      </c>
      <c r="V13" s="20" t="e">
        <f>SUMIFS(#REF!,#REF!,$B13,#REF!,V$1)</f>
        <v>#REF!</v>
      </c>
      <c r="W13" s="20" t="e">
        <f>SUMIFS(#REF!,#REF!,$B13,#REF!,W$1)</f>
        <v>#REF!</v>
      </c>
      <c r="X13" s="20" t="e">
        <f>SUMIFS(#REF!,#REF!,$B13,#REF!,X$1)</f>
        <v>#REF!</v>
      </c>
      <c r="Y13" s="20" t="e">
        <f>SUMIFS(#REF!,#REF!,$B13,#REF!,Y$1)</f>
        <v>#REF!</v>
      </c>
      <c r="Z13" s="20" t="e">
        <f>SUMIFS(#REF!,#REF!,$B13,#REF!,Z$1)</f>
        <v>#REF!</v>
      </c>
      <c r="AA13" s="20" t="e">
        <f>SUMIFS(#REF!,#REF!,$B13,#REF!,AA$1)</f>
        <v>#REF!</v>
      </c>
      <c r="AB13" s="20" t="e">
        <f>SUMIFS(#REF!,#REF!,$B13,#REF!,AB$1)</f>
        <v>#REF!</v>
      </c>
      <c r="AC13" s="20" t="e">
        <f>SUMIFS(#REF!,#REF!,$B13,#REF!,AC$1)</f>
        <v>#REF!</v>
      </c>
      <c r="AD13" s="20" t="e">
        <f>SUMIFS(#REF!,#REF!,$B13,#REF!,AD$1)</f>
        <v>#REF!</v>
      </c>
      <c r="AE13" s="20" t="e">
        <f>SUMIFS(#REF!,#REF!,$B13,#REF!,AE$1)</f>
        <v>#REF!</v>
      </c>
      <c r="AF13" s="20" t="e">
        <f>SUMIFS(#REF!,#REF!,$B13,#REF!,AF$1)</f>
        <v>#REF!</v>
      </c>
      <c r="AG13" s="20" t="e">
        <f>SUMIFS(#REF!,#REF!,$B13,#REF!,AG$1)</f>
        <v>#REF!</v>
      </c>
      <c r="AH13" s="20" t="e">
        <f>SUMIFS(#REF!,#REF!,$B13,#REF!,AH$1)</f>
        <v>#REF!</v>
      </c>
      <c r="AI13" s="26" t="e">
        <f t="shared" ref="AI13:AI26" si="1">SUM(D13:AH13)</f>
        <v>#REF!</v>
      </c>
    </row>
    <row r="14" spans="2:35" ht="15.75" x14ac:dyDescent="0.25">
      <c r="B14" s="30" t="s">
        <v>138</v>
      </c>
      <c r="C14" s="29">
        <v>20</v>
      </c>
      <c r="D14" s="20" t="e">
        <f>SUMIFS(#REF!,#REF!,$B14,#REF!,D$1)</f>
        <v>#REF!</v>
      </c>
      <c r="E14" s="20" t="e">
        <f>SUMIFS(#REF!,#REF!,$B14,#REF!,E$1)</f>
        <v>#REF!</v>
      </c>
      <c r="F14" s="20" t="e">
        <f>SUMIFS(#REF!,#REF!,$B14,#REF!,F$1)</f>
        <v>#REF!</v>
      </c>
      <c r="G14" s="20" t="e">
        <f>SUMIFS(#REF!,#REF!,$B14,#REF!,G$1)</f>
        <v>#REF!</v>
      </c>
      <c r="H14" s="20" t="e">
        <f>SUMIFS(#REF!,#REF!,$B14,#REF!,H$1)</f>
        <v>#REF!</v>
      </c>
      <c r="I14" s="20" t="e">
        <f>SUMIFS(#REF!,#REF!,$B14,#REF!,I$1)</f>
        <v>#REF!</v>
      </c>
      <c r="J14" s="20" t="e">
        <f>SUMIFS(#REF!,#REF!,$B14,#REF!,J$1)</f>
        <v>#REF!</v>
      </c>
      <c r="K14" s="20" t="e">
        <f>SUMIFS(#REF!,#REF!,$B14,#REF!,K$1)</f>
        <v>#REF!</v>
      </c>
      <c r="L14" s="20" t="e">
        <f>SUMIFS(#REF!,#REF!,$B14,#REF!,L$1)</f>
        <v>#REF!</v>
      </c>
      <c r="M14" s="20" t="e">
        <f>SUMIFS(#REF!,#REF!,$B14,#REF!,M$1)</f>
        <v>#REF!</v>
      </c>
      <c r="N14" s="20" t="e">
        <f>SUMIFS(#REF!,#REF!,$B14,#REF!,N$1)</f>
        <v>#REF!</v>
      </c>
      <c r="O14" s="20" t="e">
        <f>SUMIFS(#REF!,#REF!,$B14,#REF!,O$1)</f>
        <v>#REF!</v>
      </c>
      <c r="P14" s="20" t="e">
        <f>SUMIFS(#REF!,#REF!,$B14,#REF!,P$1)</f>
        <v>#REF!</v>
      </c>
      <c r="Q14" s="20" t="e">
        <f>SUMIFS(#REF!,#REF!,$B14,#REF!,Q$1)</f>
        <v>#REF!</v>
      </c>
      <c r="R14" s="20" t="e">
        <f>SUMIFS(#REF!,#REF!,$B14,#REF!,R$1)</f>
        <v>#REF!</v>
      </c>
      <c r="S14" s="20" t="e">
        <f>SUMIFS(#REF!,#REF!,$B14,#REF!,S$1)</f>
        <v>#REF!</v>
      </c>
      <c r="T14" s="20" t="e">
        <f>SUMIFS(#REF!,#REF!,$B14,#REF!,T$1)</f>
        <v>#REF!</v>
      </c>
      <c r="U14" s="20" t="e">
        <f>SUMIFS(#REF!,#REF!,$B14,#REF!,U$1)</f>
        <v>#REF!</v>
      </c>
      <c r="V14" s="20" t="e">
        <f>SUMIFS(#REF!,#REF!,$B14,#REF!,V$1)</f>
        <v>#REF!</v>
      </c>
      <c r="W14" s="20" t="e">
        <f>SUMIFS(#REF!,#REF!,$B14,#REF!,W$1)</f>
        <v>#REF!</v>
      </c>
      <c r="X14" s="20" t="e">
        <f>SUMIFS(#REF!,#REF!,$B14,#REF!,X$1)</f>
        <v>#REF!</v>
      </c>
      <c r="Y14" s="20" t="e">
        <f>SUMIFS(#REF!,#REF!,$B14,#REF!,Y$1)</f>
        <v>#REF!</v>
      </c>
      <c r="Z14" s="20" t="e">
        <f>SUMIFS(#REF!,#REF!,$B14,#REF!,Z$1)</f>
        <v>#REF!</v>
      </c>
      <c r="AA14" s="20" t="e">
        <f>SUMIFS(#REF!,#REF!,$B14,#REF!,AA$1)</f>
        <v>#REF!</v>
      </c>
      <c r="AB14" s="20" t="e">
        <f>SUMIFS(#REF!,#REF!,$B14,#REF!,AB$1)</f>
        <v>#REF!</v>
      </c>
      <c r="AC14" s="20" t="e">
        <f>SUMIFS(#REF!,#REF!,$B14,#REF!,AC$1)</f>
        <v>#REF!</v>
      </c>
      <c r="AD14" s="20" t="e">
        <f>SUMIFS(#REF!,#REF!,$B14,#REF!,AD$1)</f>
        <v>#REF!</v>
      </c>
      <c r="AE14" s="20" t="e">
        <f>SUMIFS(#REF!,#REF!,$B14,#REF!,AE$1)</f>
        <v>#REF!</v>
      </c>
      <c r="AF14" s="20" t="e">
        <f>SUMIFS(#REF!,#REF!,$B14,#REF!,AF$1)</f>
        <v>#REF!</v>
      </c>
      <c r="AG14" s="20" t="e">
        <f>SUMIFS(#REF!,#REF!,$B14,#REF!,AG$1)</f>
        <v>#REF!</v>
      </c>
      <c r="AH14" s="20" t="e">
        <f>SUMIFS(#REF!,#REF!,$B14,#REF!,AH$1)</f>
        <v>#REF!</v>
      </c>
      <c r="AI14" s="26" t="e">
        <f t="shared" si="1"/>
        <v>#REF!</v>
      </c>
    </row>
    <row r="15" spans="2:35" ht="15.75" x14ac:dyDescent="0.25">
      <c r="B15" s="30" t="s">
        <v>139</v>
      </c>
      <c r="C15" s="29">
        <v>20</v>
      </c>
      <c r="D15" s="20" t="e">
        <f>SUMIFS(#REF!,#REF!,$B15,#REF!,D$1)</f>
        <v>#REF!</v>
      </c>
      <c r="E15" s="20" t="e">
        <f>SUMIFS(#REF!,#REF!,$B15,#REF!,E$1)</f>
        <v>#REF!</v>
      </c>
      <c r="F15" s="20" t="e">
        <f>SUMIFS(#REF!,#REF!,$B15,#REF!,F$1)</f>
        <v>#REF!</v>
      </c>
      <c r="G15" s="20" t="e">
        <f>SUMIFS(#REF!,#REF!,$B15,#REF!,G$1)</f>
        <v>#REF!</v>
      </c>
      <c r="H15" s="20" t="e">
        <f>SUMIFS(#REF!,#REF!,$B15,#REF!,H$1)</f>
        <v>#REF!</v>
      </c>
      <c r="I15" s="20" t="e">
        <f>SUMIFS(#REF!,#REF!,$B15,#REF!,I$1)</f>
        <v>#REF!</v>
      </c>
      <c r="J15" s="20" t="e">
        <f>SUMIFS(#REF!,#REF!,$B15,#REF!,J$1)</f>
        <v>#REF!</v>
      </c>
      <c r="K15" s="20" t="e">
        <f>SUMIFS(#REF!,#REF!,$B15,#REF!,K$1)</f>
        <v>#REF!</v>
      </c>
      <c r="L15" s="20" t="e">
        <f>SUMIFS(#REF!,#REF!,$B15,#REF!,L$1)</f>
        <v>#REF!</v>
      </c>
      <c r="M15" s="20" t="e">
        <f>SUMIFS(#REF!,#REF!,$B15,#REF!,M$1)</f>
        <v>#REF!</v>
      </c>
      <c r="N15" s="20" t="e">
        <f>SUMIFS(#REF!,#REF!,$B15,#REF!,N$1)</f>
        <v>#REF!</v>
      </c>
      <c r="O15" s="20" t="e">
        <f>SUMIFS(#REF!,#REF!,$B15,#REF!,O$1)</f>
        <v>#REF!</v>
      </c>
      <c r="P15" s="20" t="e">
        <f>SUMIFS(#REF!,#REF!,$B15,#REF!,P$1)</f>
        <v>#REF!</v>
      </c>
      <c r="Q15" s="20" t="e">
        <f>SUMIFS(#REF!,#REF!,$B15,#REF!,Q$1)</f>
        <v>#REF!</v>
      </c>
      <c r="R15" s="20" t="e">
        <f>SUMIFS(#REF!,#REF!,$B15,#REF!,R$1)</f>
        <v>#REF!</v>
      </c>
      <c r="S15" s="20" t="e">
        <f>SUMIFS(#REF!,#REF!,$B15,#REF!,S$1)</f>
        <v>#REF!</v>
      </c>
      <c r="T15" s="20" t="e">
        <f>SUMIFS(#REF!,#REF!,$B15,#REF!,T$1)</f>
        <v>#REF!</v>
      </c>
      <c r="U15" s="20" t="e">
        <f>SUMIFS(#REF!,#REF!,$B15,#REF!,U$1)</f>
        <v>#REF!</v>
      </c>
      <c r="V15" s="20" t="e">
        <f>SUMIFS(#REF!,#REF!,$B15,#REF!,V$1)</f>
        <v>#REF!</v>
      </c>
      <c r="W15" s="20" t="e">
        <f>SUMIFS(#REF!,#REF!,$B15,#REF!,W$1)</f>
        <v>#REF!</v>
      </c>
      <c r="X15" s="20" t="e">
        <f>SUMIFS(#REF!,#REF!,$B15,#REF!,X$1)</f>
        <v>#REF!</v>
      </c>
      <c r="Y15" s="20" t="e">
        <f>SUMIFS(#REF!,#REF!,$B15,#REF!,Y$1)</f>
        <v>#REF!</v>
      </c>
      <c r="Z15" s="20" t="e">
        <f>SUMIFS(#REF!,#REF!,$B15,#REF!,Z$1)</f>
        <v>#REF!</v>
      </c>
      <c r="AA15" s="20" t="e">
        <f>SUMIFS(#REF!,#REF!,$B15,#REF!,AA$1)</f>
        <v>#REF!</v>
      </c>
      <c r="AB15" s="20" t="e">
        <f>SUMIFS(#REF!,#REF!,$B15,#REF!,AB$1)</f>
        <v>#REF!</v>
      </c>
      <c r="AC15" s="20" t="e">
        <f>SUMIFS(#REF!,#REF!,$B15,#REF!,AC$1)</f>
        <v>#REF!</v>
      </c>
      <c r="AD15" s="20" t="e">
        <f>SUMIFS(#REF!,#REF!,$B15,#REF!,AD$1)</f>
        <v>#REF!</v>
      </c>
      <c r="AE15" s="20" t="e">
        <f>SUMIFS(#REF!,#REF!,$B15,#REF!,AE$1)</f>
        <v>#REF!</v>
      </c>
      <c r="AF15" s="20" t="e">
        <f>SUMIFS(#REF!,#REF!,$B15,#REF!,AF$1)</f>
        <v>#REF!</v>
      </c>
      <c r="AG15" s="20" t="e">
        <f>SUMIFS(#REF!,#REF!,$B15,#REF!,AG$1)</f>
        <v>#REF!</v>
      </c>
      <c r="AH15" s="20" t="e">
        <f>SUMIFS(#REF!,#REF!,$B15,#REF!,AH$1)</f>
        <v>#REF!</v>
      </c>
      <c r="AI15" s="26" t="e">
        <f t="shared" si="1"/>
        <v>#REF!</v>
      </c>
    </row>
    <row r="16" spans="2:35" ht="25.5" x14ac:dyDescent="0.25">
      <c r="B16" s="30" t="s">
        <v>140</v>
      </c>
      <c r="C16" s="29">
        <v>50</v>
      </c>
      <c r="D16" s="20" t="e">
        <f>SUMIFS(#REF!,#REF!,$B16,#REF!,D$1)</f>
        <v>#REF!</v>
      </c>
      <c r="E16" s="20" t="e">
        <f>SUMIFS(#REF!,#REF!,$B16,#REF!,E$1)</f>
        <v>#REF!</v>
      </c>
      <c r="F16" s="20" t="e">
        <f>SUMIFS(#REF!,#REF!,$B16,#REF!,F$1)</f>
        <v>#REF!</v>
      </c>
      <c r="G16" s="20" t="e">
        <f>SUMIFS(#REF!,#REF!,$B16,#REF!,G$1)</f>
        <v>#REF!</v>
      </c>
      <c r="H16" s="20" t="e">
        <f>SUMIFS(#REF!,#REF!,$B16,#REF!,H$1)</f>
        <v>#REF!</v>
      </c>
      <c r="I16" s="20" t="e">
        <f>SUMIFS(#REF!,#REF!,$B16,#REF!,I$1)</f>
        <v>#REF!</v>
      </c>
      <c r="J16" s="20" t="e">
        <f>SUMIFS(#REF!,#REF!,$B16,#REF!,J$1)</f>
        <v>#REF!</v>
      </c>
      <c r="K16" s="20" t="e">
        <f>SUMIFS(#REF!,#REF!,$B16,#REF!,K$1)</f>
        <v>#REF!</v>
      </c>
      <c r="L16" s="20" t="e">
        <f>SUMIFS(#REF!,#REF!,$B16,#REF!,L$1)</f>
        <v>#REF!</v>
      </c>
      <c r="M16" s="20" t="e">
        <f>SUMIFS(#REF!,#REF!,$B16,#REF!,M$1)</f>
        <v>#REF!</v>
      </c>
      <c r="N16" s="20" t="e">
        <f>SUMIFS(#REF!,#REF!,$B16,#REF!,N$1)</f>
        <v>#REF!</v>
      </c>
      <c r="O16" s="20" t="e">
        <f>SUMIFS(#REF!,#REF!,$B16,#REF!,O$1)</f>
        <v>#REF!</v>
      </c>
      <c r="P16" s="20" t="e">
        <f>SUMIFS(#REF!,#REF!,$B16,#REF!,P$1)</f>
        <v>#REF!</v>
      </c>
      <c r="Q16" s="20" t="e">
        <f>SUMIFS(#REF!,#REF!,$B16,#REF!,Q$1)</f>
        <v>#REF!</v>
      </c>
      <c r="R16" s="20" t="e">
        <f>SUMIFS(#REF!,#REF!,$B16,#REF!,R$1)</f>
        <v>#REF!</v>
      </c>
      <c r="S16" s="20" t="e">
        <f>SUMIFS(#REF!,#REF!,$B16,#REF!,S$1)</f>
        <v>#REF!</v>
      </c>
      <c r="T16" s="20" t="e">
        <f>SUMIFS(#REF!,#REF!,$B16,#REF!,T$1)</f>
        <v>#REF!</v>
      </c>
      <c r="U16" s="20" t="e">
        <f>SUMIFS(#REF!,#REF!,$B16,#REF!,U$1)</f>
        <v>#REF!</v>
      </c>
      <c r="V16" s="20" t="e">
        <f>SUMIFS(#REF!,#REF!,$B16,#REF!,V$1)</f>
        <v>#REF!</v>
      </c>
      <c r="W16" s="20" t="e">
        <f>SUMIFS(#REF!,#REF!,$B16,#REF!,W$1)</f>
        <v>#REF!</v>
      </c>
      <c r="X16" s="20" t="e">
        <f>SUMIFS(#REF!,#REF!,$B16,#REF!,X$1)</f>
        <v>#REF!</v>
      </c>
      <c r="Y16" s="20" t="e">
        <f>SUMIFS(#REF!,#REF!,$B16,#REF!,Y$1)</f>
        <v>#REF!</v>
      </c>
      <c r="Z16" s="20" t="e">
        <f>SUMIFS(#REF!,#REF!,$B16,#REF!,Z$1)</f>
        <v>#REF!</v>
      </c>
      <c r="AA16" s="20" t="e">
        <f>SUMIFS(#REF!,#REF!,$B16,#REF!,AA$1)</f>
        <v>#REF!</v>
      </c>
      <c r="AB16" s="20" t="e">
        <f>SUMIFS(#REF!,#REF!,$B16,#REF!,AB$1)</f>
        <v>#REF!</v>
      </c>
      <c r="AC16" s="20" t="e">
        <f>SUMIFS(#REF!,#REF!,$B16,#REF!,AC$1)</f>
        <v>#REF!</v>
      </c>
      <c r="AD16" s="20" t="e">
        <f>SUMIFS(#REF!,#REF!,$B16,#REF!,AD$1)</f>
        <v>#REF!</v>
      </c>
      <c r="AE16" s="20" t="e">
        <f>SUMIFS(#REF!,#REF!,$B16,#REF!,AE$1)</f>
        <v>#REF!</v>
      </c>
      <c r="AF16" s="20" t="e">
        <f>SUMIFS(#REF!,#REF!,$B16,#REF!,AF$1)</f>
        <v>#REF!</v>
      </c>
      <c r="AG16" s="20" t="e">
        <f>SUMIFS(#REF!,#REF!,$B16,#REF!,AG$1)</f>
        <v>#REF!</v>
      </c>
      <c r="AH16" s="20" t="e">
        <f>SUMIFS(#REF!,#REF!,$B16,#REF!,AH$1)</f>
        <v>#REF!</v>
      </c>
      <c r="AI16" s="26" t="e">
        <f t="shared" si="1"/>
        <v>#REF!</v>
      </c>
    </row>
    <row r="17" spans="2:35" ht="15.75" x14ac:dyDescent="0.25">
      <c r="B17" s="31" t="s">
        <v>141</v>
      </c>
      <c r="C17" s="32">
        <v>200</v>
      </c>
      <c r="D17" s="20" t="e">
        <f>SUMIFS(#REF!,#REF!,$B17,#REF!,D$1)</f>
        <v>#REF!</v>
      </c>
      <c r="E17" s="20" t="e">
        <f>SUMIFS(#REF!,#REF!,$B17,#REF!,E$1)</f>
        <v>#REF!</v>
      </c>
      <c r="F17" s="20" t="e">
        <f>SUMIFS(#REF!,#REF!,$B17,#REF!,F$1)</f>
        <v>#REF!</v>
      </c>
      <c r="G17" s="20" t="e">
        <f>SUMIFS(#REF!,#REF!,$B17,#REF!,G$1)</f>
        <v>#REF!</v>
      </c>
      <c r="H17" s="20" t="e">
        <f>SUMIFS(#REF!,#REF!,$B17,#REF!,H$1)</f>
        <v>#REF!</v>
      </c>
      <c r="I17" s="20" t="e">
        <f>SUMIFS(#REF!,#REF!,$B17,#REF!,I$1)</f>
        <v>#REF!</v>
      </c>
      <c r="J17" s="20" t="e">
        <f>SUMIFS(#REF!,#REF!,$B17,#REF!,J$1)</f>
        <v>#REF!</v>
      </c>
      <c r="K17" s="20" t="e">
        <f>SUMIFS(#REF!,#REF!,$B17,#REF!,K$1)</f>
        <v>#REF!</v>
      </c>
      <c r="L17" s="20" t="e">
        <f>SUMIFS(#REF!,#REF!,$B17,#REF!,L$1)</f>
        <v>#REF!</v>
      </c>
      <c r="M17" s="20" t="e">
        <f>SUMIFS(#REF!,#REF!,$B17,#REF!,M$1)</f>
        <v>#REF!</v>
      </c>
      <c r="N17" s="20" t="e">
        <f>SUMIFS(#REF!,#REF!,$B17,#REF!,N$1)</f>
        <v>#REF!</v>
      </c>
      <c r="O17" s="20" t="e">
        <f>SUMIFS(#REF!,#REF!,$B17,#REF!,O$1)</f>
        <v>#REF!</v>
      </c>
      <c r="P17" s="20" t="e">
        <f>SUMIFS(#REF!,#REF!,$B17,#REF!,P$1)</f>
        <v>#REF!</v>
      </c>
      <c r="Q17" s="20" t="e">
        <f>SUMIFS(#REF!,#REF!,$B17,#REF!,Q$1)</f>
        <v>#REF!</v>
      </c>
      <c r="R17" s="20" t="e">
        <f>SUMIFS(#REF!,#REF!,$B17,#REF!,R$1)</f>
        <v>#REF!</v>
      </c>
      <c r="S17" s="20" t="e">
        <f>SUMIFS(#REF!,#REF!,$B17,#REF!,S$1)</f>
        <v>#REF!</v>
      </c>
      <c r="T17" s="20" t="e">
        <f>SUMIFS(#REF!,#REF!,$B17,#REF!,T$1)</f>
        <v>#REF!</v>
      </c>
      <c r="U17" s="20" t="e">
        <f>SUMIFS(#REF!,#REF!,$B17,#REF!,U$1)</f>
        <v>#REF!</v>
      </c>
      <c r="V17" s="20" t="e">
        <f>SUMIFS(#REF!,#REF!,$B17,#REF!,V$1)</f>
        <v>#REF!</v>
      </c>
      <c r="W17" s="20" t="e">
        <f>SUMIFS(#REF!,#REF!,$B17,#REF!,W$1)</f>
        <v>#REF!</v>
      </c>
      <c r="X17" s="20" t="e">
        <f>SUMIFS(#REF!,#REF!,$B17,#REF!,X$1)</f>
        <v>#REF!</v>
      </c>
      <c r="Y17" s="20" t="e">
        <f>SUMIFS(#REF!,#REF!,$B17,#REF!,Y$1)</f>
        <v>#REF!</v>
      </c>
      <c r="Z17" s="20" t="e">
        <f>SUMIFS(#REF!,#REF!,$B17,#REF!,Z$1)</f>
        <v>#REF!</v>
      </c>
      <c r="AA17" s="20" t="e">
        <f>SUMIFS(#REF!,#REF!,$B17,#REF!,AA$1)</f>
        <v>#REF!</v>
      </c>
      <c r="AB17" s="20" t="e">
        <f>SUMIFS(#REF!,#REF!,$B17,#REF!,AB$1)</f>
        <v>#REF!</v>
      </c>
      <c r="AC17" s="20" t="e">
        <f>SUMIFS(#REF!,#REF!,$B17,#REF!,AC$1)</f>
        <v>#REF!</v>
      </c>
      <c r="AD17" s="20" t="e">
        <f>SUMIFS(#REF!,#REF!,$B17,#REF!,AD$1)</f>
        <v>#REF!</v>
      </c>
      <c r="AE17" s="20" t="e">
        <f>SUMIFS(#REF!,#REF!,$B17,#REF!,AE$1)</f>
        <v>#REF!</v>
      </c>
      <c r="AF17" s="20" t="e">
        <f>SUMIFS(#REF!,#REF!,$B17,#REF!,AF$1)</f>
        <v>#REF!</v>
      </c>
      <c r="AG17" s="20" t="e">
        <f>SUMIFS(#REF!,#REF!,$B17,#REF!,AG$1)</f>
        <v>#REF!</v>
      </c>
      <c r="AH17" s="20" t="e">
        <f>SUMIFS(#REF!,#REF!,$B17,#REF!,AH$1)</f>
        <v>#REF!</v>
      </c>
      <c r="AI17" s="26" t="e">
        <f t="shared" si="1"/>
        <v>#REF!</v>
      </c>
    </row>
    <row r="18" spans="2:35" ht="25.5" x14ac:dyDescent="0.25">
      <c r="B18" s="30" t="s">
        <v>142</v>
      </c>
      <c r="C18" s="32">
        <v>200</v>
      </c>
      <c r="D18" s="20" t="e">
        <f>SUMIFS(#REF!,#REF!,$B18,#REF!,D$1)</f>
        <v>#REF!</v>
      </c>
      <c r="E18" s="20" t="e">
        <f>SUMIFS(#REF!,#REF!,$B18,#REF!,E$1)</f>
        <v>#REF!</v>
      </c>
      <c r="F18" s="20" t="e">
        <f>SUMIFS(#REF!,#REF!,$B18,#REF!,F$1)</f>
        <v>#REF!</v>
      </c>
      <c r="G18" s="20" t="e">
        <f>SUMIFS(#REF!,#REF!,$B18,#REF!,G$1)</f>
        <v>#REF!</v>
      </c>
      <c r="H18" s="20" t="e">
        <f>SUMIFS(#REF!,#REF!,$B18,#REF!,H$1)</f>
        <v>#REF!</v>
      </c>
      <c r="I18" s="20" t="e">
        <f>SUMIFS(#REF!,#REF!,$B18,#REF!,I$1)</f>
        <v>#REF!</v>
      </c>
      <c r="J18" s="20" t="e">
        <f>SUMIFS(#REF!,#REF!,$B18,#REF!,J$1)</f>
        <v>#REF!</v>
      </c>
      <c r="K18" s="20" t="e">
        <f>SUMIFS(#REF!,#REF!,$B18,#REF!,K$1)</f>
        <v>#REF!</v>
      </c>
      <c r="L18" s="20" t="e">
        <f>SUMIFS(#REF!,#REF!,$B18,#REF!,L$1)</f>
        <v>#REF!</v>
      </c>
      <c r="M18" s="20" t="e">
        <f>SUMIFS(#REF!,#REF!,$B18,#REF!,M$1)</f>
        <v>#REF!</v>
      </c>
      <c r="N18" s="20" t="e">
        <f>SUMIFS(#REF!,#REF!,$B18,#REF!,N$1)</f>
        <v>#REF!</v>
      </c>
      <c r="O18" s="20" t="e">
        <f>SUMIFS(#REF!,#REF!,$B18,#REF!,O$1)</f>
        <v>#REF!</v>
      </c>
      <c r="P18" s="20" t="e">
        <f>SUMIFS(#REF!,#REF!,$B18,#REF!,P$1)</f>
        <v>#REF!</v>
      </c>
      <c r="Q18" s="20" t="e">
        <f>SUMIFS(#REF!,#REF!,$B18,#REF!,Q$1)</f>
        <v>#REF!</v>
      </c>
      <c r="R18" s="20" t="e">
        <f>SUMIFS(#REF!,#REF!,$B18,#REF!,R$1)</f>
        <v>#REF!</v>
      </c>
      <c r="S18" s="20" t="e">
        <f>SUMIFS(#REF!,#REF!,$B18,#REF!,S$1)</f>
        <v>#REF!</v>
      </c>
      <c r="T18" s="20" t="e">
        <f>SUMIFS(#REF!,#REF!,$B18,#REF!,T$1)</f>
        <v>#REF!</v>
      </c>
      <c r="U18" s="20" t="e">
        <f>SUMIFS(#REF!,#REF!,$B18,#REF!,U$1)</f>
        <v>#REF!</v>
      </c>
      <c r="V18" s="20" t="e">
        <f>SUMIFS(#REF!,#REF!,$B18,#REF!,V$1)</f>
        <v>#REF!</v>
      </c>
      <c r="W18" s="20" t="e">
        <f>SUMIFS(#REF!,#REF!,$B18,#REF!,W$1)</f>
        <v>#REF!</v>
      </c>
      <c r="X18" s="20" t="e">
        <f>SUMIFS(#REF!,#REF!,$B18,#REF!,X$1)</f>
        <v>#REF!</v>
      </c>
      <c r="Y18" s="20" t="e">
        <f>SUMIFS(#REF!,#REF!,$B18,#REF!,Y$1)</f>
        <v>#REF!</v>
      </c>
      <c r="Z18" s="20" t="e">
        <f>SUMIFS(#REF!,#REF!,$B18,#REF!,Z$1)</f>
        <v>#REF!</v>
      </c>
      <c r="AA18" s="20" t="e">
        <f>SUMIFS(#REF!,#REF!,$B18,#REF!,AA$1)</f>
        <v>#REF!</v>
      </c>
      <c r="AB18" s="20" t="e">
        <f>SUMIFS(#REF!,#REF!,$B18,#REF!,AB$1)</f>
        <v>#REF!</v>
      </c>
      <c r="AC18" s="20" t="e">
        <f>SUMIFS(#REF!,#REF!,$B18,#REF!,AC$1)</f>
        <v>#REF!</v>
      </c>
      <c r="AD18" s="20" t="e">
        <f>SUMIFS(#REF!,#REF!,$B18,#REF!,AD$1)</f>
        <v>#REF!</v>
      </c>
      <c r="AE18" s="20" t="e">
        <f>SUMIFS(#REF!,#REF!,$B18,#REF!,AE$1)</f>
        <v>#REF!</v>
      </c>
      <c r="AF18" s="20" t="e">
        <f>SUMIFS(#REF!,#REF!,$B18,#REF!,AF$1)</f>
        <v>#REF!</v>
      </c>
      <c r="AG18" s="20" t="e">
        <f>SUMIFS(#REF!,#REF!,$B18,#REF!,AG$1)</f>
        <v>#REF!</v>
      </c>
      <c r="AH18" s="20" t="e">
        <f>SUMIFS(#REF!,#REF!,$B18,#REF!,AH$1)</f>
        <v>#REF!</v>
      </c>
      <c r="AI18" s="26" t="e">
        <f t="shared" si="1"/>
        <v>#REF!</v>
      </c>
    </row>
    <row r="19" spans="2:35" ht="25.5" x14ac:dyDescent="0.25">
      <c r="B19" s="33" t="s">
        <v>143</v>
      </c>
      <c r="C19" s="32">
        <v>96</v>
      </c>
      <c r="D19" s="20" t="e">
        <f>SUMIFS(#REF!,#REF!,$B19,#REF!,D$1)</f>
        <v>#REF!</v>
      </c>
      <c r="E19" s="20" t="e">
        <f>SUMIFS(#REF!,#REF!,$B19,#REF!,E$1)</f>
        <v>#REF!</v>
      </c>
      <c r="F19" s="20" t="e">
        <f>SUMIFS(#REF!,#REF!,$B19,#REF!,F$1)</f>
        <v>#REF!</v>
      </c>
      <c r="G19" s="20" t="e">
        <f>SUMIFS(#REF!,#REF!,$B19,#REF!,G$1)</f>
        <v>#REF!</v>
      </c>
      <c r="H19" s="20" t="e">
        <f>SUMIFS(#REF!,#REF!,$B19,#REF!,H$1)</f>
        <v>#REF!</v>
      </c>
      <c r="I19" s="20" t="e">
        <f>SUMIFS(#REF!,#REF!,$B19,#REF!,I$1)</f>
        <v>#REF!</v>
      </c>
      <c r="J19" s="20" t="e">
        <f>SUMIFS(#REF!,#REF!,$B19,#REF!,J$1)</f>
        <v>#REF!</v>
      </c>
      <c r="K19" s="20" t="e">
        <f>SUMIFS(#REF!,#REF!,$B19,#REF!,K$1)</f>
        <v>#REF!</v>
      </c>
      <c r="L19" s="20" t="e">
        <f>SUMIFS(#REF!,#REF!,$B19,#REF!,L$1)</f>
        <v>#REF!</v>
      </c>
      <c r="M19" s="20" t="e">
        <f>SUMIFS(#REF!,#REF!,$B19,#REF!,M$1)</f>
        <v>#REF!</v>
      </c>
      <c r="N19" s="20" t="e">
        <f>SUMIFS(#REF!,#REF!,$B19,#REF!,N$1)</f>
        <v>#REF!</v>
      </c>
      <c r="O19" s="20" t="e">
        <f>SUMIFS(#REF!,#REF!,$B19,#REF!,O$1)</f>
        <v>#REF!</v>
      </c>
      <c r="P19" s="20" t="e">
        <f>SUMIFS(#REF!,#REF!,$B19,#REF!,P$1)</f>
        <v>#REF!</v>
      </c>
      <c r="Q19" s="20" t="e">
        <f>SUMIFS(#REF!,#REF!,$B19,#REF!,Q$1)</f>
        <v>#REF!</v>
      </c>
      <c r="R19" s="20" t="e">
        <f>SUMIFS(#REF!,#REF!,$B19,#REF!,R$1)</f>
        <v>#REF!</v>
      </c>
      <c r="S19" s="20" t="e">
        <f>SUMIFS(#REF!,#REF!,$B19,#REF!,S$1)</f>
        <v>#REF!</v>
      </c>
      <c r="T19" s="20" t="e">
        <f>SUMIFS(#REF!,#REF!,$B19,#REF!,T$1)</f>
        <v>#REF!</v>
      </c>
      <c r="U19" s="20" t="e">
        <f>SUMIFS(#REF!,#REF!,$B19,#REF!,U$1)</f>
        <v>#REF!</v>
      </c>
      <c r="V19" s="20" t="e">
        <f>SUMIFS(#REF!,#REF!,$B19,#REF!,V$1)</f>
        <v>#REF!</v>
      </c>
      <c r="W19" s="20" t="e">
        <f>SUMIFS(#REF!,#REF!,$B19,#REF!,W$1)</f>
        <v>#REF!</v>
      </c>
      <c r="X19" s="20" t="e">
        <f>SUMIFS(#REF!,#REF!,$B19,#REF!,X$1)</f>
        <v>#REF!</v>
      </c>
      <c r="Y19" s="20" t="e">
        <f>SUMIFS(#REF!,#REF!,$B19,#REF!,Y$1)</f>
        <v>#REF!</v>
      </c>
      <c r="Z19" s="20" t="e">
        <f>SUMIFS(#REF!,#REF!,$B19,#REF!,Z$1)</f>
        <v>#REF!</v>
      </c>
      <c r="AA19" s="20" t="e">
        <f>SUMIFS(#REF!,#REF!,$B19,#REF!,AA$1)</f>
        <v>#REF!</v>
      </c>
      <c r="AB19" s="20" t="e">
        <f>SUMIFS(#REF!,#REF!,$B19,#REF!,AB$1)</f>
        <v>#REF!</v>
      </c>
      <c r="AC19" s="20" t="e">
        <f>SUMIFS(#REF!,#REF!,$B19,#REF!,AC$1)</f>
        <v>#REF!</v>
      </c>
      <c r="AD19" s="20" t="e">
        <f>SUMIFS(#REF!,#REF!,$B19,#REF!,AD$1)</f>
        <v>#REF!</v>
      </c>
      <c r="AE19" s="20" t="e">
        <f>SUMIFS(#REF!,#REF!,$B19,#REF!,AE$1)</f>
        <v>#REF!</v>
      </c>
      <c r="AF19" s="20" t="e">
        <f>SUMIFS(#REF!,#REF!,$B19,#REF!,AF$1)</f>
        <v>#REF!</v>
      </c>
      <c r="AG19" s="20" t="e">
        <f>SUMIFS(#REF!,#REF!,$B19,#REF!,AG$1)</f>
        <v>#REF!</v>
      </c>
      <c r="AH19" s="20" t="e">
        <f>SUMIFS(#REF!,#REF!,$B19,#REF!,AH$1)</f>
        <v>#REF!</v>
      </c>
      <c r="AI19" s="26" t="e">
        <f t="shared" si="1"/>
        <v>#REF!</v>
      </c>
    </row>
    <row r="20" spans="2:35" ht="25.5" x14ac:dyDescent="0.25">
      <c r="B20" s="33" t="s">
        <v>144</v>
      </c>
      <c r="C20" s="32">
        <v>200</v>
      </c>
      <c r="D20" s="20" t="e">
        <f>SUMIFS(#REF!,#REF!,$B20,#REF!,D$1)</f>
        <v>#REF!</v>
      </c>
      <c r="E20" s="20" t="e">
        <f>SUMIFS(#REF!,#REF!,$B20,#REF!,E$1)</f>
        <v>#REF!</v>
      </c>
      <c r="F20" s="20" t="e">
        <f>SUMIFS(#REF!,#REF!,$B20,#REF!,F$1)</f>
        <v>#REF!</v>
      </c>
      <c r="G20" s="20" t="e">
        <f>SUMIFS(#REF!,#REF!,$B20,#REF!,G$1)</f>
        <v>#REF!</v>
      </c>
      <c r="H20" s="20" t="e">
        <f>SUMIFS(#REF!,#REF!,$B20,#REF!,H$1)</f>
        <v>#REF!</v>
      </c>
      <c r="I20" s="20" t="e">
        <f>SUMIFS(#REF!,#REF!,$B20,#REF!,I$1)</f>
        <v>#REF!</v>
      </c>
      <c r="J20" s="20" t="e">
        <f>SUMIFS(#REF!,#REF!,$B20,#REF!,J$1)</f>
        <v>#REF!</v>
      </c>
      <c r="K20" s="20" t="e">
        <f>SUMIFS(#REF!,#REF!,$B20,#REF!,K$1)</f>
        <v>#REF!</v>
      </c>
      <c r="L20" s="20" t="e">
        <f>SUMIFS(#REF!,#REF!,$B20,#REF!,L$1)</f>
        <v>#REF!</v>
      </c>
      <c r="M20" s="20" t="e">
        <f>SUMIFS(#REF!,#REF!,$B20,#REF!,M$1)</f>
        <v>#REF!</v>
      </c>
      <c r="N20" s="20" t="e">
        <f>SUMIFS(#REF!,#REF!,$B20,#REF!,N$1)</f>
        <v>#REF!</v>
      </c>
      <c r="O20" s="20" t="e">
        <f>SUMIFS(#REF!,#REF!,$B20,#REF!,O$1)</f>
        <v>#REF!</v>
      </c>
      <c r="P20" s="20" t="e">
        <f>SUMIFS(#REF!,#REF!,$B20,#REF!,P$1)</f>
        <v>#REF!</v>
      </c>
      <c r="Q20" s="20" t="e">
        <f>SUMIFS(#REF!,#REF!,$B20,#REF!,Q$1)</f>
        <v>#REF!</v>
      </c>
      <c r="R20" s="20" t="e">
        <f>SUMIFS(#REF!,#REF!,$B20,#REF!,R$1)</f>
        <v>#REF!</v>
      </c>
      <c r="S20" s="20" t="e">
        <f>SUMIFS(#REF!,#REF!,$B20,#REF!,S$1)</f>
        <v>#REF!</v>
      </c>
      <c r="T20" s="20" t="e">
        <f>SUMIFS(#REF!,#REF!,$B20,#REF!,T$1)</f>
        <v>#REF!</v>
      </c>
      <c r="U20" s="20" t="e">
        <f>SUMIFS(#REF!,#REF!,$B20,#REF!,U$1)</f>
        <v>#REF!</v>
      </c>
      <c r="V20" s="20" t="e">
        <f>SUMIFS(#REF!,#REF!,$B20,#REF!,V$1)</f>
        <v>#REF!</v>
      </c>
      <c r="W20" s="20" t="e">
        <f>SUMIFS(#REF!,#REF!,$B20,#REF!,W$1)</f>
        <v>#REF!</v>
      </c>
      <c r="X20" s="20" t="e">
        <f>SUMIFS(#REF!,#REF!,$B20,#REF!,X$1)</f>
        <v>#REF!</v>
      </c>
      <c r="Y20" s="20" t="e">
        <f>SUMIFS(#REF!,#REF!,$B20,#REF!,Y$1)</f>
        <v>#REF!</v>
      </c>
      <c r="Z20" s="20" t="e">
        <f>SUMIFS(#REF!,#REF!,$B20,#REF!,Z$1)</f>
        <v>#REF!</v>
      </c>
      <c r="AA20" s="20" t="e">
        <f>SUMIFS(#REF!,#REF!,$B20,#REF!,AA$1)</f>
        <v>#REF!</v>
      </c>
      <c r="AB20" s="20" t="e">
        <f>SUMIFS(#REF!,#REF!,$B20,#REF!,AB$1)</f>
        <v>#REF!</v>
      </c>
      <c r="AC20" s="20" t="e">
        <f>SUMIFS(#REF!,#REF!,$B20,#REF!,AC$1)</f>
        <v>#REF!</v>
      </c>
      <c r="AD20" s="20" t="e">
        <f>SUMIFS(#REF!,#REF!,$B20,#REF!,AD$1)</f>
        <v>#REF!</v>
      </c>
      <c r="AE20" s="20" t="e">
        <f>SUMIFS(#REF!,#REF!,$B20,#REF!,AE$1)</f>
        <v>#REF!</v>
      </c>
      <c r="AF20" s="20" t="e">
        <f>SUMIFS(#REF!,#REF!,$B20,#REF!,AF$1)</f>
        <v>#REF!</v>
      </c>
      <c r="AG20" s="20" t="e">
        <f>SUMIFS(#REF!,#REF!,$B20,#REF!,AG$1)</f>
        <v>#REF!</v>
      </c>
      <c r="AH20" s="20" t="e">
        <f>SUMIFS(#REF!,#REF!,$B20,#REF!,AH$1)</f>
        <v>#REF!</v>
      </c>
      <c r="AI20" s="26" t="e">
        <f t="shared" si="1"/>
        <v>#REF!</v>
      </c>
    </row>
    <row r="21" spans="2:35" ht="25.5" x14ac:dyDescent="0.25">
      <c r="B21" s="33" t="s">
        <v>145</v>
      </c>
      <c r="C21" s="32">
        <v>90</v>
      </c>
      <c r="D21" s="20" t="e">
        <f>SUMIFS(#REF!,#REF!,$B21,#REF!,D$1)</f>
        <v>#REF!</v>
      </c>
      <c r="E21" s="20" t="e">
        <f>SUMIFS(#REF!,#REF!,$B21,#REF!,E$1)</f>
        <v>#REF!</v>
      </c>
      <c r="F21" s="20" t="e">
        <f>SUMIFS(#REF!,#REF!,$B21,#REF!,F$1)</f>
        <v>#REF!</v>
      </c>
      <c r="G21" s="20" t="e">
        <f>SUMIFS(#REF!,#REF!,$B21,#REF!,G$1)</f>
        <v>#REF!</v>
      </c>
      <c r="H21" s="20" t="e">
        <f>SUMIFS(#REF!,#REF!,$B21,#REF!,H$1)</f>
        <v>#REF!</v>
      </c>
      <c r="I21" s="20" t="e">
        <f>SUMIFS(#REF!,#REF!,$B21,#REF!,I$1)</f>
        <v>#REF!</v>
      </c>
      <c r="J21" s="20" t="e">
        <f>SUMIFS(#REF!,#REF!,$B21,#REF!,J$1)</f>
        <v>#REF!</v>
      </c>
      <c r="K21" s="20" t="e">
        <f>SUMIFS(#REF!,#REF!,$B21,#REF!,K$1)</f>
        <v>#REF!</v>
      </c>
      <c r="L21" s="20" t="e">
        <f>SUMIFS(#REF!,#REF!,$B21,#REF!,L$1)</f>
        <v>#REF!</v>
      </c>
      <c r="M21" s="20" t="e">
        <f>SUMIFS(#REF!,#REF!,$B21,#REF!,M$1)</f>
        <v>#REF!</v>
      </c>
      <c r="N21" s="20" t="e">
        <f>SUMIFS(#REF!,#REF!,$B21,#REF!,N$1)</f>
        <v>#REF!</v>
      </c>
      <c r="O21" s="20" t="e">
        <f>SUMIFS(#REF!,#REF!,$B21,#REF!,O$1)</f>
        <v>#REF!</v>
      </c>
      <c r="P21" s="20" t="e">
        <f>SUMIFS(#REF!,#REF!,$B21,#REF!,P$1)</f>
        <v>#REF!</v>
      </c>
      <c r="Q21" s="20" t="e">
        <f>SUMIFS(#REF!,#REF!,$B21,#REF!,Q$1)</f>
        <v>#REF!</v>
      </c>
      <c r="R21" s="20" t="e">
        <f>SUMIFS(#REF!,#REF!,$B21,#REF!,R$1)</f>
        <v>#REF!</v>
      </c>
      <c r="S21" s="20" t="e">
        <f>SUMIFS(#REF!,#REF!,$B21,#REF!,S$1)</f>
        <v>#REF!</v>
      </c>
      <c r="T21" s="20" t="e">
        <f>SUMIFS(#REF!,#REF!,$B21,#REF!,T$1)</f>
        <v>#REF!</v>
      </c>
      <c r="U21" s="20" t="e">
        <f>SUMIFS(#REF!,#REF!,$B21,#REF!,U$1)</f>
        <v>#REF!</v>
      </c>
      <c r="V21" s="20" t="e">
        <f>SUMIFS(#REF!,#REF!,$B21,#REF!,V$1)</f>
        <v>#REF!</v>
      </c>
      <c r="W21" s="20" t="e">
        <f>SUMIFS(#REF!,#REF!,$B21,#REF!,W$1)</f>
        <v>#REF!</v>
      </c>
      <c r="X21" s="20" t="e">
        <f>SUMIFS(#REF!,#REF!,$B21,#REF!,X$1)</f>
        <v>#REF!</v>
      </c>
      <c r="Y21" s="20" t="e">
        <f>SUMIFS(#REF!,#REF!,$B21,#REF!,Y$1)</f>
        <v>#REF!</v>
      </c>
      <c r="Z21" s="20" t="e">
        <f>SUMIFS(#REF!,#REF!,$B21,#REF!,Z$1)</f>
        <v>#REF!</v>
      </c>
      <c r="AA21" s="20" t="e">
        <f>SUMIFS(#REF!,#REF!,$B21,#REF!,AA$1)</f>
        <v>#REF!</v>
      </c>
      <c r="AB21" s="20" t="e">
        <f>SUMIFS(#REF!,#REF!,$B21,#REF!,AB$1)</f>
        <v>#REF!</v>
      </c>
      <c r="AC21" s="20" t="e">
        <f>SUMIFS(#REF!,#REF!,$B21,#REF!,AC$1)</f>
        <v>#REF!</v>
      </c>
      <c r="AD21" s="20" t="e">
        <f>SUMIFS(#REF!,#REF!,$B21,#REF!,AD$1)</f>
        <v>#REF!</v>
      </c>
      <c r="AE21" s="20" t="e">
        <f>SUMIFS(#REF!,#REF!,$B21,#REF!,AE$1)</f>
        <v>#REF!</v>
      </c>
      <c r="AF21" s="20" t="e">
        <f>SUMIFS(#REF!,#REF!,$B21,#REF!,AF$1)</f>
        <v>#REF!</v>
      </c>
      <c r="AG21" s="20" t="e">
        <f>SUMIFS(#REF!,#REF!,$B21,#REF!,AG$1)</f>
        <v>#REF!</v>
      </c>
      <c r="AH21" s="20" t="e">
        <f>SUMIFS(#REF!,#REF!,$B21,#REF!,AH$1)</f>
        <v>#REF!</v>
      </c>
      <c r="AI21" s="26" t="e">
        <f t="shared" si="1"/>
        <v>#REF!</v>
      </c>
    </row>
    <row r="22" spans="2:35" ht="15.75" x14ac:dyDescent="0.25">
      <c r="B22" s="34" t="s">
        <v>146</v>
      </c>
      <c r="C22" s="32">
        <v>25</v>
      </c>
      <c r="D22" s="20" t="e">
        <f>SUMIFS(#REF!,#REF!,$B22,#REF!,D$1)</f>
        <v>#REF!</v>
      </c>
      <c r="E22" s="20" t="e">
        <f>SUMIFS(#REF!,#REF!,$B22,#REF!,E$1)</f>
        <v>#REF!</v>
      </c>
      <c r="F22" s="20" t="e">
        <f>SUMIFS(#REF!,#REF!,$B22,#REF!,F$1)</f>
        <v>#REF!</v>
      </c>
      <c r="G22" s="20" t="e">
        <f>SUMIFS(#REF!,#REF!,$B22,#REF!,G$1)</f>
        <v>#REF!</v>
      </c>
      <c r="H22" s="20" t="e">
        <f>SUMIFS(#REF!,#REF!,$B22,#REF!,H$1)</f>
        <v>#REF!</v>
      </c>
      <c r="I22" s="20" t="e">
        <f>SUMIFS(#REF!,#REF!,$B22,#REF!,I$1)</f>
        <v>#REF!</v>
      </c>
      <c r="J22" s="20" t="e">
        <f>SUMIFS(#REF!,#REF!,$B22,#REF!,J$1)</f>
        <v>#REF!</v>
      </c>
      <c r="K22" s="20" t="e">
        <f>SUMIFS(#REF!,#REF!,$B22,#REF!,K$1)</f>
        <v>#REF!</v>
      </c>
      <c r="L22" s="20" t="e">
        <f>SUMIFS(#REF!,#REF!,$B22,#REF!,L$1)</f>
        <v>#REF!</v>
      </c>
      <c r="M22" s="20" t="e">
        <f>SUMIFS(#REF!,#REF!,$B22,#REF!,M$1)</f>
        <v>#REF!</v>
      </c>
      <c r="N22" s="20" t="e">
        <f>SUMIFS(#REF!,#REF!,$B22,#REF!,N$1)</f>
        <v>#REF!</v>
      </c>
      <c r="O22" s="20" t="e">
        <f>SUMIFS(#REF!,#REF!,$B22,#REF!,O$1)</f>
        <v>#REF!</v>
      </c>
      <c r="P22" s="20" t="e">
        <f>SUMIFS(#REF!,#REF!,$B22,#REF!,P$1)</f>
        <v>#REF!</v>
      </c>
      <c r="Q22" s="20" t="e">
        <f>SUMIFS(#REF!,#REF!,$B22,#REF!,Q$1)</f>
        <v>#REF!</v>
      </c>
      <c r="R22" s="20" t="e">
        <f>SUMIFS(#REF!,#REF!,$B22,#REF!,R$1)</f>
        <v>#REF!</v>
      </c>
      <c r="S22" s="20" t="e">
        <f>SUMIFS(#REF!,#REF!,$B22,#REF!,S$1)</f>
        <v>#REF!</v>
      </c>
      <c r="T22" s="20" t="e">
        <f>SUMIFS(#REF!,#REF!,$B22,#REF!,T$1)</f>
        <v>#REF!</v>
      </c>
      <c r="U22" s="20" t="e">
        <f>SUMIFS(#REF!,#REF!,$B22,#REF!,U$1)</f>
        <v>#REF!</v>
      </c>
      <c r="V22" s="20" t="e">
        <f>SUMIFS(#REF!,#REF!,$B22,#REF!,V$1)</f>
        <v>#REF!</v>
      </c>
      <c r="W22" s="20" t="e">
        <f>SUMIFS(#REF!,#REF!,$B22,#REF!,W$1)</f>
        <v>#REF!</v>
      </c>
      <c r="X22" s="20" t="e">
        <f>SUMIFS(#REF!,#REF!,$B22,#REF!,X$1)</f>
        <v>#REF!</v>
      </c>
      <c r="Y22" s="20" t="e">
        <f>SUMIFS(#REF!,#REF!,$B22,#REF!,Y$1)</f>
        <v>#REF!</v>
      </c>
      <c r="Z22" s="20" t="e">
        <f>SUMIFS(#REF!,#REF!,$B22,#REF!,Z$1)</f>
        <v>#REF!</v>
      </c>
      <c r="AA22" s="20" t="e">
        <f>SUMIFS(#REF!,#REF!,$B22,#REF!,AA$1)</f>
        <v>#REF!</v>
      </c>
      <c r="AB22" s="20" t="e">
        <f>SUMIFS(#REF!,#REF!,$B22,#REF!,AB$1)</f>
        <v>#REF!</v>
      </c>
      <c r="AC22" s="20" t="e">
        <f>SUMIFS(#REF!,#REF!,$B22,#REF!,AC$1)</f>
        <v>#REF!</v>
      </c>
      <c r="AD22" s="20" t="e">
        <f>SUMIFS(#REF!,#REF!,$B22,#REF!,AD$1)</f>
        <v>#REF!</v>
      </c>
      <c r="AE22" s="20" t="e">
        <f>SUMIFS(#REF!,#REF!,$B22,#REF!,AE$1)</f>
        <v>#REF!</v>
      </c>
      <c r="AF22" s="20" t="e">
        <f>SUMIFS(#REF!,#REF!,$B22,#REF!,AF$1)</f>
        <v>#REF!</v>
      </c>
      <c r="AG22" s="20" t="e">
        <f>SUMIFS(#REF!,#REF!,$B22,#REF!,AG$1)</f>
        <v>#REF!</v>
      </c>
      <c r="AH22" s="20" t="e">
        <f>SUMIFS(#REF!,#REF!,$B22,#REF!,AH$1)</f>
        <v>#REF!</v>
      </c>
      <c r="AI22" s="26" t="e">
        <f t="shared" si="1"/>
        <v>#REF!</v>
      </c>
    </row>
    <row r="23" spans="2:35" ht="15.75" x14ac:dyDescent="0.25">
      <c r="B23" s="34" t="s">
        <v>147</v>
      </c>
      <c r="C23" s="32">
        <v>200</v>
      </c>
      <c r="D23" s="20" t="e">
        <f>SUMIFS(#REF!,#REF!,$B23,#REF!,D$1)</f>
        <v>#REF!</v>
      </c>
      <c r="E23" s="20" t="e">
        <f>SUMIFS(#REF!,#REF!,$B23,#REF!,E$1)</f>
        <v>#REF!</v>
      </c>
      <c r="F23" s="20" t="e">
        <f>SUMIFS(#REF!,#REF!,$B23,#REF!,F$1)</f>
        <v>#REF!</v>
      </c>
      <c r="G23" s="20" t="e">
        <f>SUMIFS(#REF!,#REF!,$B23,#REF!,G$1)</f>
        <v>#REF!</v>
      </c>
      <c r="H23" s="20" t="e">
        <f>SUMIFS(#REF!,#REF!,$B23,#REF!,H$1)</f>
        <v>#REF!</v>
      </c>
      <c r="I23" s="20" t="e">
        <f>SUMIFS(#REF!,#REF!,$B23,#REF!,I$1)</f>
        <v>#REF!</v>
      </c>
      <c r="J23" s="20" t="e">
        <f>SUMIFS(#REF!,#REF!,$B23,#REF!,J$1)</f>
        <v>#REF!</v>
      </c>
      <c r="K23" s="20" t="e">
        <f>SUMIFS(#REF!,#REF!,$B23,#REF!,K$1)</f>
        <v>#REF!</v>
      </c>
      <c r="L23" s="20" t="e">
        <f>SUMIFS(#REF!,#REF!,$B23,#REF!,L$1)</f>
        <v>#REF!</v>
      </c>
      <c r="M23" s="20" t="e">
        <f>SUMIFS(#REF!,#REF!,$B23,#REF!,M$1)</f>
        <v>#REF!</v>
      </c>
      <c r="N23" s="20" t="e">
        <f>SUMIFS(#REF!,#REF!,$B23,#REF!,N$1)</f>
        <v>#REF!</v>
      </c>
      <c r="O23" s="20" t="e">
        <f>SUMIFS(#REF!,#REF!,$B23,#REF!,O$1)</f>
        <v>#REF!</v>
      </c>
      <c r="P23" s="20" t="e">
        <f>SUMIFS(#REF!,#REF!,$B23,#REF!,P$1)</f>
        <v>#REF!</v>
      </c>
      <c r="Q23" s="20" t="e">
        <f>SUMIFS(#REF!,#REF!,$B23,#REF!,Q$1)</f>
        <v>#REF!</v>
      </c>
      <c r="R23" s="20" t="e">
        <f>SUMIFS(#REF!,#REF!,$B23,#REF!,R$1)</f>
        <v>#REF!</v>
      </c>
      <c r="S23" s="20" t="e">
        <f>SUMIFS(#REF!,#REF!,$B23,#REF!,S$1)</f>
        <v>#REF!</v>
      </c>
      <c r="T23" s="20" t="e">
        <f>SUMIFS(#REF!,#REF!,$B23,#REF!,T$1)</f>
        <v>#REF!</v>
      </c>
      <c r="U23" s="20" t="e">
        <f>SUMIFS(#REF!,#REF!,$B23,#REF!,U$1)</f>
        <v>#REF!</v>
      </c>
      <c r="V23" s="20" t="e">
        <f>SUMIFS(#REF!,#REF!,$B23,#REF!,V$1)</f>
        <v>#REF!</v>
      </c>
      <c r="W23" s="20" t="e">
        <f>SUMIFS(#REF!,#REF!,$B23,#REF!,W$1)</f>
        <v>#REF!</v>
      </c>
      <c r="X23" s="20" t="e">
        <f>SUMIFS(#REF!,#REF!,$B23,#REF!,X$1)</f>
        <v>#REF!</v>
      </c>
      <c r="Y23" s="20" t="e">
        <f>SUMIFS(#REF!,#REF!,$B23,#REF!,Y$1)</f>
        <v>#REF!</v>
      </c>
      <c r="Z23" s="20" t="e">
        <f>SUMIFS(#REF!,#REF!,$B23,#REF!,Z$1)</f>
        <v>#REF!</v>
      </c>
      <c r="AA23" s="20" t="e">
        <f>SUMIFS(#REF!,#REF!,$B23,#REF!,AA$1)</f>
        <v>#REF!</v>
      </c>
      <c r="AB23" s="20" t="e">
        <f>SUMIFS(#REF!,#REF!,$B23,#REF!,AB$1)</f>
        <v>#REF!</v>
      </c>
      <c r="AC23" s="20" t="e">
        <f>SUMIFS(#REF!,#REF!,$B23,#REF!,AC$1)</f>
        <v>#REF!</v>
      </c>
      <c r="AD23" s="20" t="e">
        <f>SUMIFS(#REF!,#REF!,$B23,#REF!,AD$1)</f>
        <v>#REF!</v>
      </c>
      <c r="AE23" s="20" t="e">
        <f>SUMIFS(#REF!,#REF!,$B23,#REF!,AE$1)</f>
        <v>#REF!</v>
      </c>
      <c r="AF23" s="20" t="e">
        <f>SUMIFS(#REF!,#REF!,$B23,#REF!,AF$1)</f>
        <v>#REF!</v>
      </c>
      <c r="AG23" s="20" t="e">
        <f>SUMIFS(#REF!,#REF!,$B23,#REF!,AG$1)</f>
        <v>#REF!</v>
      </c>
      <c r="AH23" s="20" t="e">
        <f>SUMIFS(#REF!,#REF!,$B23,#REF!,AH$1)</f>
        <v>#REF!</v>
      </c>
      <c r="AI23" s="26" t="e">
        <f t="shared" si="1"/>
        <v>#REF!</v>
      </c>
    </row>
    <row r="24" spans="2:35" ht="15.75" x14ac:dyDescent="0.25">
      <c r="B24" s="34" t="s">
        <v>148</v>
      </c>
      <c r="C24" s="32">
        <v>200</v>
      </c>
      <c r="D24" s="20" t="e">
        <f>SUMIFS(#REF!,#REF!,$B24,#REF!,D$1)</f>
        <v>#REF!</v>
      </c>
      <c r="E24" s="20" t="e">
        <f>SUMIFS(#REF!,#REF!,$B24,#REF!,E$1)</f>
        <v>#REF!</v>
      </c>
      <c r="F24" s="20" t="e">
        <f>SUMIFS(#REF!,#REF!,$B24,#REF!,F$1)</f>
        <v>#REF!</v>
      </c>
      <c r="G24" s="20" t="e">
        <f>SUMIFS(#REF!,#REF!,$B24,#REF!,G$1)</f>
        <v>#REF!</v>
      </c>
      <c r="H24" s="20" t="e">
        <f>SUMIFS(#REF!,#REF!,$B24,#REF!,H$1)</f>
        <v>#REF!</v>
      </c>
      <c r="I24" s="20" t="e">
        <f>SUMIFS(#REF!,#REF!,$B24,#REF!,I$1)</f>
        <v>#REF!</v>
      </c>
      <c r="J24" s="20" t="e">
        <f>SUMIFS(#REF!,#REF!,$B24,#REF!,J$1)</f>
        <v>#REF!</v>
      </c>
      <c r="K24" s="20" t="e">
        <f>SUMIFS(#REF!,#REF!,$B24,#REF!,K$1)</f>
        <v>#REF!</v>
      </c>
      <c r="L24" s="20" t="e">
        <f>SUMIFS(#REF!,#REF!,$B24,#REF!,L$1)</f>
        <v>#REF!</v>
      </c>
      <c r="M24" s="20" t="e">
        <f>SUMIFS(#REF!,#REF!,$B24,#REF!,M$1)</f>
        <v>#REF!</v>
      </c>
      <c r="N24" s="20" t="e">
        <f>SUMIFS(#REF!,#REF!,$B24,#REF!,N$1)</f>
        <v>#REF!</v>
      </c>
      <c r="O24" s="20" t="e">
        <f>SUMIFS(#REF!,#REF!,$B24,#REF!,O$1)</f>
        <v>#REF!</v>
      </c>
      <c r="P24" s="20" t="e">
        <f>SUMIFS(#REF!,#REF!,$B24,#REF!,P$1)</f>
        <v>#REF!</v>
      </c>
      <c r="Q24" s="20" t="e">
        <f>SUMIFS(#REF!,#REF!,$B24,#REF!,Q$1)</f>
        <v>#REF!</v>
      </c>
      <c r="R24" s="20" t="e">
        <f>SUMIFS(#REF!,#REF!,$B24,#REF!,R$1)</f>
        <v>#REF!</v>
      </c>
      <c r="S24" s="20" t="e">
        <f>SUMIFS(#REF!,#REF!,$B24,#REF!,S$1)</f>
        <v>#REF!</v>
      </c>
      <c r="T24" s="20" t="e">
        <f>SUMIFS(#REF!,#REF!,$B24,#REF!,T$1)</f>
        <v>#REF!</v>
      </c>
      <c r="U24" s="20" t="e">
        <f>SUMIFS(#REF!,#REF!,$B24,#REF!,U$1)</f>
        <v>#REF!</v>
      </c>
      <c r="V24" s="20" t="e">
        <f>SUMIFS(#REF!,#REF!,$B24,#REF!,V$1)</f>
        <v>#REF!</v>
      </c>
      <c r="W24" s="20" t="e">
        <f>SUMIFS(#REF!,#REF!,$B24,#REF!,W$1)</f>
        <v>#REF!</v>
      </c>
      <c r="X24" s="20" t="e">
        <f>SUMIFS(#REF!,#REF!,$B24,#REF!,X$1)</f>
        <v>#REF!</v>
      </c>
      <c r="Y24" s="20" t="e">
        <f>SUMIFS(#REF!,#REF!,$B24,#REF!,Y$1)</f>
        <v>#REF!</v>
      </c>
      <c r="Z24" s="20" t="e">
        <f>SUMIFS(#REF!,#REF!,$B24,#REF!,Z$1)</f>
        <v>#REF!</v>
      </c>
      <c r="AA24" s="20" t="e">
        <f>SUMIFS(#REF!,#REF!,$B24,#REF!,AA$1)</f>
        <v>#REF!</v>
      </c>
      <c r="AB24" s="20" t="e">
        <f>SUMIFS(#REF!,#REF!,$B24,#REF!,AB$1)</f>
        <v>#REF!</v>
      </c>
      <c r="AC24" s="20" t="e">
        <f>SUMIFS(#REF!,#REF!,$B24,#REF!,AC$1)</f>
        <v>#REF!</v>
      </c>
      <c r="AD24" s="20" t="e">
        <f>SUMIFS(#REF!,#REF!,$B24,#REF!,AD$1)</f>
        <v>#REF!</v>
      </c>
      <c r="AE24" s="20" t="e">
        <f>SUMIFS(#REF!,#REF!,$B24,#REF!,AE$1)</f>
        <v>#REF!</v>
      </c>
      <c r="AF24" s="20" t="e">
        <f>SUMIFS(#REF!,#REF!,$B24,#REF!,AF$1)</f>
        <v>#REF!</v>
      </c>
      <c r="AG24" s="20" t="e">
        <f>SUMIFS(#REF!,#REF!,$B24,#REF!,AG$1)</f>
        <v>#REF!</v>
      </c>
      <c r="AH24" s="20" t="e">
        <f>SUMIFS(#REF!,#REF!,$B24,#REF!,AH$1)</f>
        <v>#REF!</v>
      </c>
      <c r="AI24" s="26" t="e">
        <f t="shared" si="1"/>
        <v>#REF!</v>
      </c>
    </row>
    <row r="25" spans="2:35" ht="15.75" x14ac:dyDescent="0.25">
      <c r="B25" s="34" t="s">
        <v>149</v>
      </c>
      <c r="C25" s="32">
        <v>200</v>
      </c>
      <c r="D25" s="20" t="e">
        <f>SUMIFS(#REF!,#REF!,$B25,#REF!,D$1)</f>
        <v>#REF!</v>
      </c>
      <c r="E25" s="20" t="e">
        <f>SUMIFS(#REF!,#REF!,$B25,#REF!,E$1)</f>
        <v>#REF!</v>
      </c>
      <c r="F25" s="20" t="e">
        <f>SUMIFS(#REF!,#REF!,$B25,#REF!,F$1)</f>
        <v>#REF!</v>
      </c>
      <c r="G25" s="20" t="e">
        <f>SUMIFS(#REF!,#REF!,$B25,#REF!,G$1)</f>
        <v>#REF!</v>
      </c>
      <c r="H25" s="20" t="e">
        <f>SUMIFS(#REF!,#REF!,$B25,#REF!,H$1)</f>
        <v>#REF!</v>
      </c>
      <c r="I25" s="20" t="e">
        <f>SUMIFS(#REF!,#REF!,$B25,#REF!,I$1)</f>
        <v>#REF!</v>
      </c>
      <c r="J25" s="20" t="e">
        <f>SUMIFS(#REF!,#REF!,$B25,#REF!,J$1)</f>
        <v>#REF!</v>
      </c>
      <c r="K25" s="20" t="e">
        <f>SUMIFS(#REF!,#REF!,$B25,#REF!,K$1)</f>
        <v>#REF!</v>
      </c>
      <c r="L25" s="20" t="e">
        <f>SUMIFS(#REF!,#REF!,$B25,#REF!,L$1)</f>
        <v>#REF!</v>
      </c>
      <c r="M25" s="20" t="e">
        <f>SUMIFS(#REF!,#REF!,$B25,#REF!,M$1)</f>
        <v>#REF!</v>
      </c>
      <c r="N25" s="20" t="e">
        <f>SUMIFS(#REF!,#REF!,$B25,#REF!,N$1)</f>
        <v>#REF!</v>
      </c>
      <c r="O25" s="20" t="e">
        <f>SUMIFS(#REF!,#REF!,$B25,#REF!,O$1)</f>
        <v>#REF!</v>
      </c>
      <c r="P25" s="20" t="e">
        <f>SUMIFS(#REF!,#REF!,$B25,#REF!,P$1)</f>
        <v>#REF!</v>
      </c>
      <c r="Q25" s="20" t="e">
        <f>SUMIFS(#REF!,#REF!,$B25,#REF!,Q$1)</f>
        <v>#REF!</v>
      </c>
      <c r="R25" s="20" t="e">
        <f>SUMIFS(#REF!,#REF!,$B25,#REF!,R$1)</f>
        <v>#REF!</v>
      </c>
      <c r="S25" s="20" t="e">
        <f>SUMIFS(#REF!,#REF!,$B25,#REF!,S$1)</f>
        <v>#REF!</v>
      </c>
      <c r="T25" s="20" t="e">
        <f>SUMIFS(#REF!,#REF!,$B25,#REF!,T$1)</f>
        <v>#REF!</v>
      </c>
      <c r="U25" s="20" t="e">
        <f>SUMIFS(#REF!,#REF!,$B25,#REF!,U$1)</f>
        <v>#REF!</v>
      </c>
      <c r="V25" s="20" t="e">
        <f>SUMIFS(#REF!,#REF!,$B25,#REF!,V$1)</f>
        <v>#REF!</v>
      </c>
      <c r="W25" s="20" t="e">
        <f>SUMIFS(#REF!,#REF!,$B25,#REF!,W$1)</f>
        <v>#REF!</v>
      </c>
      <c r="X25" s="20" t="e">
        <f>SUMIFS(#REF!,#REF!,$B25,#REF!,X$1)</f>
        <v>#REF!</v>
      </c>
      <c r="Y25" s="20" t="e">
        <f>SUMIFS(#REF!,#REF!,$B25,#REF!,Y$1)</f>
        <v>#REF!</v>
      </c>
      <c r="Z25" s="20" t="e">
        <f>SUMIFS(#REF!,#REF!,$B25,#REF!,Z$1)</f>
        <v>#REF!</v>
      </c>
      <c r="AA25" s="20" t="e">
        <f>SUMIFS(#REF!,#REF!,$B25,#REF!,AA$1)</f>
        <v>#REF!</v>
      </c>
      <c r="AB25" s="20" t="e">
        <f>SUMIFS(#REF!,#REF!,$B25,#REF!,AB$1)</f>
        <v>#REF!</v>
      </c>
      <c r="AC25" s="20" t="e">
        <f>SUMIFS(#REF!,#REF!,$B25,#REF!,AC$1)</f>
        <v>#REF!</v>
      </c>
      <c r="AD25" s="20" t="e">
        <f>SUMIFS(#REF!,#REF!,$B25,#REF!,AD$1)</f>
        <v>#REF!</v>
      </c>
      <c r="AE25" s="20" t="e">
        <f>SUMIFS(#REF!,#REF!,$B25,#REF!,AE$1)</f>
        <v>#REF!</v>
      </c>
      <c r="AF25" s="20" t="e">
        <f>SUMIFS(#REF!,#REF!,$B25,#REF!,AF$1)</f>
        <v>#REF!</v>
      </c>
      <c r="AG25" s="20" t="e">
        <f>SUMIFS(#REF!,#REF!,$B25,#REF!,AG$1)</f>
        <v>#REF!</v>
      </c>
      <c r="AH25" s="20" t="e">
        <f>SUMIFS(#REF!,#REF!,$B25,#REF!,AH$1)</f>
        <v>#REF!</v>
      </c>
      <c r="AI25" s="26" t="e">
        <f t="shared" si="1"/>
        <v>#REF!</v>
      </c>
    </row>
    <row r="26" spans="2:35" ht="16.5" thickBot="1" x14ac:dyDescent="0.3">
      <c r="B26" s="43" t="s">
        <v>150</v>
      </c>
      <c r="C26" s="44">
        <v>20</v>
      </c>
      <c r="D26" s="20" t="e">
        <f>SUMIFS(#REF!,#REF!,$B26,#REF!,D$1)</f>
        <v>#REF!</v>
      </c>
      <c r="E26" s="20" t="e">
        <f>SUMIFS(#REF!,#REF!,$B26,#REF!,E$1)</f>
        <v>#REF!</v>
      </c>
      <c r="F26" s="20" t="e">
        <f>SUMIFS(#REF!,#REF!,$B26,#REF!,F$1)</f>
        <v>#REF!</v>
      </c>
      <c r="G26" s="20" t="e">
        <f>SUMIFS(#REF!,#REF!,$B26,#REF!,G$1)</f>
        <v>#REF!</v>
      </c>
      <c r="H26" s="20" t="e">
        <f>SUMIFS(#REF!,#REF!,$B26,#REF!,H$1)</f>
        <v>#REF!</v>
      </c>
      <c r="I26" s="20" t="e">
        <f>SUMIFS(#REF!,#REF!,$B26,#REF!,I$1)</f>
        <v>#REF!</v>
      </c>
      <c r="J26" s="20" t="e">
        <f>SUMIFS(#REF!,#REF!,$B26,#REF!,J$1)</f>
        <v>#REF!</v>
      </c>
      <c r="K26" s="20" t="e">
        <f>SUMIFS(#REF!,#REF!,$B26,#REF!,K$1)</f>
        <v>#REF!</v>
      </c>
      <c r="L26" s="20" t="e">
        <f>SUMIFS(#REF!,#REF!,$B26,#REF!,L$1)</f>
        <v>#REF!</v>
      </c>
      <c r="M26" s="20" t="e">
        <f>SUMIFS(#REF!,#REF!,$B26,#REF!,M$1)</f>
        <v>#REF!</v>
      </c>
      <c r="N26" s="20" t="e">
        <f>SUMIFS(#REF!,#REF!,$B26,#REF!,N$1)</f>
        <v>#REF!</v>
      </c>
      <c r="O26" s="20" t="e">
        <f>SUMIFS(#REF!,#REF!,$B26,#REF!,O$1)</f>
        <v>#REF!</v>
      </c>
      <c r="P26" s="20" t="e">
        <f>SUMIFS(#REF!,#REF!,$B26,#REF!,P$1)</f>
        <v>#REF!</v>
      </c>
      <c r="Q26" s="20" t="e">
        <f>SUMIFS(#REF!,#REF!,$B26,#REF!,Q$1)</f>
        <v>#REF!</v>
      </c>
      <c r="R26" s="20" t="e">
        <f>SUMIFS(#REF!,#REF!,$B26,#REF!,R$1)</f>
        <v>#REF!</v>
      </c>
      <c r="S26" s="20" t="e">
        <f>SUMIFS(#REF!,#REF!,$B26,#REF!,S$1)</f>
        <v>#REF!</v>
      </c>
      <c r="T26" s="20" t="e">
        <f>SUMIFS(#REF!,#REF!,$B26,#REF!,T$1)</f>
        <v>#REF!</v>
      </c>
      <c r="U26" s="20" t="e">
        <f>SUMIFS(#REF!,#REF!,$B26,#REF!,U$1)</f>
        <v>#REF!</v>
      </c>
      <c r="V26" s="20" t="e">
        <f>SUMIFS(#REF!,#REF!,$B26,#REF!,V$1)</f>
        <v>#REF!</v>
      </c>
      <c r="W26" s="20" t="e">
        <f>SUMIFS(#REF!,#REF!,$B26,#REF!,W$1)</f>
        <v>#REF!</v>
      </c>
      <c r="X26" s="20" t="e">
        <f>SUMIFS(#REF!,#REF!,$B26,#REF!,X$1)</f>
        <v>#REF!</v>
      </c>
      <c r="Y26" s="20" t="e">
        <f>SUMIFS(#REF!,#REF!,$B26,#REF!,Y$1)</f>
        <v>#REF!</v>
      </c>
      <c r="Z26" s="20" t="e">
        <f>SUMIFS(#REF!,#REF!,$B26,#REF!,Z$1)</f>
        <v>#REF!</v>
      </c>
      <c r="AA26" s="20" t="e">
        <f>SUMIFS(#REF!,#REF!,$B26,#REF!,AA$1)</f>
        <v>#REF!</v>
      </c>
      <c r="AB26" s="20" t="e">
        <f>SUMIFS(#REF!,#REF!,$B26,#REF!,AB$1)</f>
        <v>#REF!</v>
      </c>
      <c r="AC26" s="20" t="e">
        <f>SUMIFS(#REF!,#REF!,$B26,#REF!,AC$1)</f>
        <v>#REF!</v>
      </c>
      <c r="AD26" s="20" t="e">
        <f>SUMIFS(#REF!,#REF!,$B26,#REF!,AD$1)</f>
        <v>#REF!</v>
      </c>
      <c r="AE26" s="20" t="e">
        <f>SUMIFS(#REF!,#REF!,$B26,#REF!,AE$1)</f>
        <v>#REF!</v>
      </c>
      <c r="AF26" s="20" t="e">
        <f>SUMIFS(#REF!,#REF!,$B26,#REF!,AF$1)</f>
        <v>#REF!</v>
      </c>
      <c r="AG26" s="20" t="e">
        <f>SUMIFS(#REF!,#REF!,$B26,#REF!,AG$1)</f>
        <v>#REF!</v>
      </c>
      <c r="AH26" s="20" t="e">
        <f>SUMIFS(#REF!,#REF!,$B26,#REF!,AH$1)</f>
        <v>#REF!</v>
      </c>
      <c r="AI26" s="27" t="e">
        <f t="shared" si="1"/>
        <v>#REF!</v>
      </c>
    </row>
  </sheetData>
  <dataValidations count="1">
    <dataValidation type="list" allowBlank="1" showInputMessage="1" showErrorMessage="1" sqref="B3:B10" xr:uid="{00000000-0002-0000-0E00-000000000000}">
      <formula1>$E$4:$E$37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1000000}">
          <x14:formula1>
            <xm:f>справочник!$E$2:$E$39</xm:f>
          </x14:formula1>
          <xm:sqref>B12:B26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I221"/>
  <sheetViews>
    <sheetView showZeros="0" zoomScale="70" zoomScaleNormal="70" workbookViewId="0">
      <selection activeCell="B98" sqref="B98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45627</v>
      </c>
      <c r="C1" s="72"/>
      <c r="D1" s="73">
        <f>B1</f>
        <v>45627</v>
      </c>
      <c r="E1" s="73">
        <f>D1+1</f>
        <v>45628</v>
      </c>
      <c r="F1" s="73">
        <f t="shared" ref="F1:AH1" si="0">E1+1</f>
        <v>45629</v>
      </c>
      <c r="G1" s="73">
        <f t="shared" si="0"/>
        <v>45630</v>
      </c>
      <c r="H1" s="73">
        <f t="shared" si="0"/>
        <v>45631</v>
      </c>
      <c r="I1" s="73">
        <f t="shared" si="0"/>
        <v>45632</v>
      </c>
      <c r="J1" s="73">
        <f t="shared" si="0"/>
        <v>45633</v>
      </c>
      <c r="K1" s="73">
        <f t="shared" si="0"/>
        <v>45634</v>
      </c>
      <c r="L1" s="73">
        <f t="shared" si="0"/>
        <v>45635</v>
      </c>
      <c r="M1" s="73">
        <f t="shared" si="0"/>
        <v>45636</v>
      </c>
      <c r="N1" s="73">
        <f t="shared" si="0"/>
        <v>45637</v>
      </c>
      <c r="O1" s="73">
        <f t="shared" si="0"/>
        <v>45638</v>
      </c>
      <c r="P1" s="73">
        <f t="shared" si="0"/>
        <v>45639</v>
      </c>
      <c r="Q1" s="73">
        <f t="shared" si="0"/>
        <v>45640</v>
      </c>
      <c r="R1" s="73">
        <f t="shared" si="0"/>
        <v>45641</v>
      </c>
      <c r="S1" s="73">
        <f t="shared" si="0"/>
        <v>45642</v>
      </c>
      <c r="T1" s="73">
        <f t="shared" si="0"/>
        <v>45643</v>
      </c>
      <c r="U1" s="73">
        <f t="shared" si="0"/>
        <v>45644</v>
      </c>
      <c r="V1" s="73">
        <f t="shared" si="0"/>
        <v>45645</v>
      </c>
      <c r="W1" s="73">
        <f t="shared" si="0"/>
        <v>45646</v>
      </c>
      <c r="X1" s="73">
        <f t="shared" si="0"/>
        <v>45647</v>
      </c>
      <c r="Y1" s="73">
        <f t="shared" si="0"/>
        <v>45648</v>
      </c>
      <c r="Z1" s="73">
        <f t="shared" si="0"/>
        <v>45649</v>
      </c>
      <c r="AA1" s="73">
        <f t="shared" si="0"/>
        <v>45650</v>
      </c>
      <c r="AB1" s="73">
        <f t="shared" si="0"/>
        <v>45651</v>
      </c>
      <c r="AC1" s="73">
        <f t="shared" si="0"/>
        <v>45652</v>
      </c>
      <c r="AD1" s="73">
        <f t="shared" si="0"/>
        <v>45653</v>
      </c>
      <c r="AE1" s="73">
        <f t="shared" si="0"/>
        <v>45654</v>
      </c>
      <c r="AF1" s="73">
        <f t="shared" si="0"/>
        <v>45655</v>
      </c>
      <c r="AG1" s="73">
        <f t="shared" si="0"/>
        <v>45656</v>
      </c>
      <c r="AH1" s="73">
        <f t="shared" si="0"/>
        <v>45657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SUMIFS('декабрь 2024'!$G$5:$G$2311,'декабрь 2024'!$D$5:$D$2311,$B3,'декабрь 2024'!$J$5:$J$2311,D$1)</f>
        <v>0</v>
      </c>
      <c r="E3" s="80">
        <f>SUMIFS('декабрь 2024'!$G$5:$G$2311,'декабрь 2024'!$D$5:$D$2311,$B3,'декабрь 2024'!$J$5:$J$2311,E$1)</f>
        <v>0</v>
      </c>
      <c r="F3" s="80">
        <f>SUMIFS('декабрь 2024'!$G$5:$G$2311,'декабрь 2024'!$D$5:$D$2311,$B3,'декабрь 2024'!$J$5:$J$2311,F$1)</f>
        <v>0</v>
      </c>
      <c r="G3" s="80">
        <f>SUMIFS('декабрь 2024'!$G$5:$G$2311,'декабрь 2024'!$D$5:$D$2311,$B3,'декабрь 2024'!$J$5:$J$2311,G$1)</f>
        <v>0</v>
      </c>
      <c r="H3" s="80">
        <f>SUMIFS('декабрь 2024'!$G$5:$G$2311,'декабрь 2024'!$D$5:$D$2311,$B3,'декабрь 2024'!$J$5:$J$2311,H$1)</f>
        <v>0</v>
      </c>
      <c r="I3" s="80">
        <f>SUMIFS('декабрь 2024'!$G$5:$G$2311,'декабрь 2024'!$D$5:$D$2311,$B3,'декабрь 2024'!$J$5:$J$2311,I$1)</f>
        <v>0</v>
      </c>
      <c r="J3" s="80">
        <f>SUMIFS('декабрь 2024'!$G$5:$G$2311,'декабрь 2024'!$D$5:$D$2311,$B3,'декабрь 2024'!$J$5:$J$2311,J$1)</f>
        <v>0</v>
      </c>
      <c r="K3" s="80">
        <f>SUMIFS('декабрь 2024'!$G$5:$G$2311,'декабрь 2024'!$D$5:$D$2311,$B3,'декабрь 2024'!$J$5:$J$2311,K$1)</f>
        <v>0</v>
      </c>
      <c r="L3" s="80">
        <f>SUMIFS('декабрь 2024'!$G$5:$G$2311,'декабрь 2024'!$D$5:$D$2311,$B3,'декабрь 2024'!$J$5:$J$2311,L$1)</f>
        <v>0</v>
      </c>
      <c r="M3" s="80">
        <f>SUMIFS('декабрь 2024'!$G$5:$G$2311,'декабрь 2024'!$D$5:$D$2311,$B3,'декабрь 2024'!$J$5:$J$2311,M$1)</f>
        <v>0</v>
      </c>
      <c r="N3" s="80">
        <f>SUMIFS('декабрь 2024'!$G$5:$G$2311,'декабрь 2024'!$D$5:$D$2311,$B3,'декабрь 2024'!$J$5:$J$2311,N$1)</f>
        <v>0</v>
      </c>
      <c r="O3" s="80">
        <f>SUMIFS('декабрь 2024'!$G$5:$G$2311,'декабрь 2024'!$D$5:$D$2311,$B3,'декабрь 2024'!$J$5:$J$2311,O$1)</f>
        <v>0</v>
      </c>
      <c r="P3" s="80">
        <f>SUMIFS('декабрь 2024'!$G$5:$G$2311,'декабрь 2024'!$D$5:$D$2311,$B3,'декабрь 2024'!$J$5:$J$2311,P$1)</f>
        <v>0</v>
      </c>
      <c r="Q3" s="80">
        <f>SUMIFS('декабрь 2024'!$G$5:$G$2311,'декабрь 2024'!$D$5:$D$2311,$B3,'декабрь 2024'!$J$5:$J$2311,Q$1)</f>
        <v>0</v>
      </c>
      <c r="R3" s="80">
        <f>SUMIFS('декабрь 2024'!$G$5:$G$2311,'декабрь 2024'!$D$5:$D$2311,$B3,'декабрь 2024'!$J$5:$J$2311,R$1)</f>
        <v>0</v>
      </c>
      <c r="S3" s="80">
        <f>SUMIFS('декабрь 2024'!$G$5:$G$2311,'декабрь 2024'!$D$5:$D$2311,$B3,'декабрь 2024'!$J$5:$J$2311,S$1)</f>
        <v>600</v>
      </c>
      <c r="T3" s="80">
        <f>SUMIFS('декабрь 2024'!$G$5:$G$2311,'декабрь 2024'!$D$5:$D$2311,$B3,'декабрь 2024'!$J$5:$J$2311,T$1)</f>
        <v>0</v>
      </c>
      <c r="U3" s="80">
        <f>SUMIFS('декабрь 2024'!$G$5:$G$2311,'декабрь 2024'!$D$5:$D$2311,$B3,'декабрь 2024'!$J$5:$J$2311,U$1)</f>
        <v>0</v>
      </c>
      <c r="V3" s="80">
        <f>SUMIFS('декабрь 2024'!$G$5:$G$2311,'декабрь 2024'!$D$5:$D$2311,$B3,'декабрь 2024'!$J$5:$J$2311,V$1)</f>
        <v>0</v>
      </c>
      <c r="W3" s="80">
        <f>SUMIFS('декабрь 2024'!$G$5:$G$2311,'декабрь 2024'!$D$5:$D$2311,$B3,'декабрь 2024'!$J$5:$J$2311,W$1)</f>
        <v>0</v>
      </c>
      <c r="X3" s="80">
        <f>SUMIFS('декабрь 2024'!$G$5:$G$2311,'декабрь 2024'!$D$5:$D$2311,$B3,'декабрь 2024'!$J$5:$J$2311,X$1)</f>
        <v>0</v>
      </c>
      <c r="Y3" s="80">
        <f>SUMIFS('декабрь 2024'!$G$5:$G$2311,'декабрь 2024'!$D$5:$D$2311,$B3,'декабрь 2024'!$J$5:$J$2311,Y$1)</f>
        <v>0</v>
      </c>
      <c r="Z3" s="80">
        <f>SUMIFS('декабрь 2024'!$G$5:$G$2311,'декабрь 2024'!$D$5:$D$2311,$B3,'декабрь 2024'!$J$5:$J$2311,Z$1)</f>
        <v>0</v>
      </c>
      <c r="AA3" s="80">
        <f>SUMIFS('декабрь 2024'!$G$5:$G$2311,'декабрь 2024'!$D$5:$D$2311,$B3,'декабрь 2024'!$J$5:$J$2311,AA$1)</f>
        <v>0</v>
      </c>
      <c r="AB3" s="80">
        <f>SUMIFS('декабрь 2024'!$G$5:$G$2311,'декабрь 2024'!$D$5:$D$2311,$B3,'декабрь 2024'!$J$5:$J$2311,AB$1)</f>
        <v>0</v>
      </c>
      <c r="AC3" s="80">
        <f>SUMIFS('декабрь 2024'!$G$5:$G$2311,'декабрь 2024'!$D$5:$D$2311,$B3,'декабрь 2024'!$J$5:$J$2311,AC$1)</f>
        <v>800</v>
      </c>
      <c r="AD3" s="80">
        <f>SUMIFS('декабрь 2024'!$G$5:$G$2311,'декабрь 2024'!$D$5:$D$2311,$B3,'декабрь 2024'!$J$5:$J$2311,AD$1)</f>
        <v>0</v>
      </c>
      <c r="AE3" s="80">
        <f>SUMIFS('декабрь 2024'!$G$5:$G$2311,'декабрь 2024'!$D$5:$D$2311,$B3,'декабрь 2024'!$J$5:$J$2311,AE$1)</f>
        <v>0</v>
      </c>
      <c r="AF3" s="80">
        <f>SUMIFS('декабрь 2024'!$G$5:$G$2311,'декабрь 2024'!$D$5:$D$2311,$B3,'декабрь 2024'!$J$5:$J$2311,AF$1)</f>
        <v>0</v>
      </c>
      <c r="AG3" s="80">
        <f>SUMIFS('декабрь 2024'!$G$5:$G$2311,'декабрь 2024'!$D$5:$D$2311,$B3,'декабрь 2024'!$J$5:$J$2311,AG$1)</f>
        <v>0</v>
      </c>
      <c r="AH3" s="80">
        <f>SUMIFS('декабрь 2024'!$G$5:$G$2311,'декабрь 2024'!$D$5:$D$2311,$B3,'декабрь 2024'!$J$5:$J$2311,AH$1)</f>
        <v>0</v>
      </c>
      <c r="AI3" s="49">
        <f t="shared" ref="AI3:AI152" si="1">SUM(D3:AH3)</f>
        <v>1400</v>
      </c>
    </row>
    <row r="4" spans="2:35" ht="15" customHeight="1" x14ac:dyDescent="0.25">
      <c r="B4" s="81" t="s">
        <v>277</v>
      </c>
      <c r="C4" s="82">
        <v>25</v>
      </c>
      <c r="D4" s="80">
        <f>SUMIFS('декабрь 2024'!$G$5:$G$2311,'декабрь 2024'!$D$5:$D$2311,$B4,'декабрь 2024'!$J$5:$J$2311,D$1)</f>
        <v>0</v>
      </c>
      <c r="E4" s="80">
        <f>SUMIFS('декабрь 2024'!$G$5:$G$2311,'декабрь 2024'!$D$5:$D$2311,$B4,'декабрь 2024'!$J$5:$J$2311,E$1)</f>
        <v>0</v>
      </c>
      <c r="F4" s="80">
        <f>SUMIFS('декабрь 2024'!$G$5:$G$2311,'декабрь 2024'!$D$5:$D$2311,$B4,'декабрь 2024'!$J$5:$J$2311,F$1)</f>
        <v>0</v>
      </c>
      <c r="G4" s="80">
        <f>SUMIFS('декабрь 2024'!$G$5:$G$2311,'декабрь 2024'!$D$5:$D$2311,$B4,'декабрь 2024'!$J$5:$J$2311,G$1)</f>
        <v>0</v>
      </c>
      <c r="H4" s="80">
        <f>SUMIFS('декабрь 2024'!$G$5:$G$2311,'декабрь 2024'!$D$5:$D$2311,$B4,'декабрь 2024'!$J$5:$J$2311,H$1)</f>
        <v>0</v>
      </c>
      <c r="I4" s="80">
        <f>SUMIFS('декабрь 2024'!$G$5:$G$2311,'декабрь 2024'!$D$5:$D$2311,$B4,'декабрь 2024'!$J$5:$J$2311,I$1)</f>
        <v>0</v>
      </c>
      <c r="J4" s="80">
        <f>SUMIFS('декабрь 2024'!$G$5:$G$2311,'декабрь 2024'!$D$5:$D$2311,$B4,'декабрь 2024'!$J$5:$J$2311,J$1)</f>
        <v>0</v>
      </c>
      <c r="K4" s="80">
        <f>SUMIFS('декабрь 2024'!$G$5:$G$2311,'декабрь 2024'!$D$5:$D$2311,$B4,'декабрь 2024'!$J$5:$J$2311,K$1)</f>
        <v>0</v>
      </c>
      <c r="L4" s="80">
        <f>SUMIFS('декабрь 2024'!$G$5:$G$2311,'декабрь 2024'!$D$5:$D$2311,$B4,'декабрь 2024'!$J$5:$J$2311,L$1)</f>
        <v>0</v>
      </c>
      <c r="M4" s="80">
        <f>SUMIFS('декабрь 2024'!$G$5:$G$2311,'декабрь 2024'!$D$5:$D$2311,$B4,'декабрь 2024'!$J$5:$J$2311,M$1)</f>
        <v>0</v>
      </c>
      <c r="N4" s="80">
        <f>SUMIFS('декабрь 2024'!$G$5:$G$2311,'декабрь 2024'!$D$5:$D$2311,$B4,'декабрь 2024'!$J$5:$J$2311,N$1)</f>
        <v>0</v>
      </c>
      <c r="O4" s="80">
        <f>SUMIFS('декабрь 2024'!$G$5:$G$2311,'декабрь 2024'!$D$5:$D$2311,$B4,'декабрь 2024'!$J$5:$J$2311,O$1)</f>
        <v>0</v>
      </c>
      <c r="P4" s="80">
        <f>SUMIFS('декабрь 2024'!$G$5:$G$2311,'декабрь 2024'!$D$5:$D$2311,$B4,'декабрь 2024'!$J$5:$J$2311,P$1)</f>
        <v>0</v>
      </c>
      <c r="Q4" s="80">
        <f>SUMIFS('декабрь 2024'!$G$5:$G$2311,'декабрь 2024'!$D$5:$D$2311,$B4,'декабрь 2024'!$J$5:$J$2311,Q$1)</f>
        <v>0</v>
      </c>
      <c r="R4" s="80">
        <f>SUMIFS('декабрь 2024'!$G$5:$G$2311,'декабрь 2024'!$D$5:$D$2311,$B4,'декабрь 2024'!$J$5:$J$2311,R$1)</f>
        <v>0</v>
      </c>
      <c r="S4" s="80">
        <f>SUMIFS('декабрь 2024'!$G$5:$G$2311,'декабрь 2024'!$D$5:$D$2311,$B4,'декабрь 2024'!$J$5:$J$2311,S$1)</f>
        <v>0</v>
      </c>
      <c r="T4" s="80">
        <f>SUMIFS('декабрь 2024'!$G$5:$G$2311,'декабрь 2024'!$D$5:$D$2311,$B4,'декабрь 2024'!$J$5:$J$2311,T$1)</f>
        <v>0</v>
      </c>
      <c r="U4" s="80">
        <f>SUMIFS('декабрь 2024'!$G$5:$G$2311,'декабрь 2024'!$D$5:$D$2311,$B4,'декабрь 2024'!$J$5:$J$2311,U$1)</f>
        <v>0</v>
      </c>
      <c r="V4" s="80">
        <f>SUMIFS('декабрь 2024'!$G$5:$G$2311,'декабрь 2024'!$D$5:$D$2311,$B4,'декабрь 2024'!$J$5:$J$2311,V$1)</f>
        <v>0</v>
      </c>
      <c r="W4" s="80">
        <f>SUMIFS('декабрь 2024'!$G$5:$G$2311,'декабрь 2024'!$D$5:$D$2311,$B4,'декабрь 2024'!$J$5:$J$2311,W$1)</f>
        <v>0</v>
      </c>
      <c r="X4" s="80">
        <f>SUMIFS('декабрь 2024'!$G$5:$G$2311,'декабрь 2024'!$D$5:$D$2311,$B4,'декабрь 2024'!$J$5:$J$2311,X$1)</f>
        <v>0</v>
      </c>
      <c r="Y4" s="80">
        <f>SUMIFS('декабрь 2024'!$G$5:$G$2311,'декабрь 2024'!$D$5:$D$2311,$B4,'декабрь 2024'!$J$5:$J$2311,Y$1)</f>
        <v>0</v>
      </c>
      <c r="Z4" s="80">
        <f>SUMIFS('декабрь 2024'!$G$5:$G$2311,'декабрь 2024'!$D$5:$D$2311,$B4,'декабрь 2024'!$J$5:$J$2311,Z$1)</f>
        <v>0</v>
      </c>
      <c r="AA4" s="80">
        <f>SUMIFS('декабрь 2024'!$G$5:$G$2311,'декабрь 2024'!$D$5:$D$2311,$B4,'декабрь 2024'!$J$5:$J$2311,AA$1)</f>
        <v>0</v>
      </c>
      <c r="AB4" s="80">
        <f>SUMIFS('декабрь 2024'!$G$5:$G$2311,'декабрь 2024'!$D$5:$D$2311,$B4,'декабрь 2024'!$J$5:$J$2311,AB$1)</f>
        <v>0</v>
      </c>
      <c r="AC4" s="80">
        <f>SUMIFS('декабрь 2024'!$G$5:$G$2311,'декабрь 2024'!$D$5:$D$2311,$B4,'декабрь 2024'!$J$5:$J$2311,AC$1)</f>
        <v>0</v>
      </c>
      <c r="AD4" s="80">
        <f>SUMIFS('декабрь 2024'!$G$5:$G$2311,'декабрь 2024'!$D$5:$D$2311,$B4,'декабрь 2024'!$J$5:$J$2311,AD$1)</f>
        <v>0</v>
      </c>
      <c r="AE4" s="80">
        <f>SUMIFS('декабрь 2024'!$G$5:$G$2311,'декабрь 2024'!$D$5:$D$2311,$B4,'декабрь 2024'!$J$5:$J$2311,AE$1)</f>
        <v>0</v>
      </c>
      <c r="AF4" s="80">
        <f>SUMIFS('декабрь 2024'!$G$5:$G$2311,'декабрь 2024'!$D$5:$D$2311,$B4,'декабрь 2024'!$J$5:$J$2311,AF$1)</f>
        <v>0</v>
      </c>
      <c r="AG4" s="80">
        <f>SUMIFS('декабрь 2024'!$G$5:$G$2311,'декабрь 2024'!$D$5:$D$2311,$B4,'декабрь 2024'!$J$5:$J$2311,AG$1)</f>
        <v>0</v>
      </c>
      <c r="AH4" s="80">
        <f>SUMIFS('декабрь 2024'!$G$5:$G$2311,'декабрь 2024'!$D$5:$D$2311,$B4,'декабрь 2024'!$J$5:$J$2311,AH$1)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SUMIFS('декабрь 2024'!$G$5:$G$2311,'декабрь 2024'!$D$5:$D$2311,$B5,'декабрь 2024'!$J$5:$J$2311,D$1)</f>
        <v>0</v>
      </c>
      <c r="E5" s="80">
        <f>SUMIFS('декабрь 2024'!$G$5:$G$2311,'декабрь 2024'!$D$5:$D$2311,$B5,'декабрь 2024'!$J$5:$J$2311,E$1)</f>
        <v>0</v>
      </c>
      <c r="F5" s="80">
        <f>SUMIFS('декабрь 2024'!$G$5:$G$2311,'декабрь 2024'!$D$5:$D$2311,$B5,'декабрь 2024'!$J$5:$J$2311,F$1)</f>
        <v>0</v>
      </c>
      <c r="G5" s="80">
        <f>SUMIFS('декабрь 2024'!$G$5:$G$2311,'декабрь 2024'!$D$5:$D$2311,$B5,'декабрь 2024'!$J$5:$J$2311,G$1)</f>
        <v>0</v>
      </c>
      <c r="H5" s="80">
        <f>SUMIFS('декабрь 2024'!$G$5:$G$2311,'декабрь 2024'!$D$5:$D$2311,$B5,'декабрь 2024'!$J$5:$J$2311,H$1)</f>
        <v>0</v>
      </c>
      <c r="I5" s="80">
        <f>SUMIFS('декабрь 2024'!$G$5:$G$2311,'декабрь 2024'!$D$5:$D$2311,$B5,'декабрь 2024'!$J$5:$J$2311,I$1)</f>
        <v>0</v>
      </c>
      <c r="J5" s="80">
        <f>SUMIFS('декабрь 2024'!$G$5:$G$2311,'декабрь 2024'!$D$5:$D$2311,$B5,'декабрь 2024'!$J$5:$J$2311,J$1)</f>
        <v>0</v>
      </c>
      <c r="K5" s="80">
        <f>SUMIFS('декабрь 2024'!$G$5:$G$2311,'декабрь 2024'!$D$5:$D$2311,$B5,'декабрь 2024'!$J$5:$J$2311,K$1)</f>
        <v>0</v>
      </c>
      <c r="L5" s="80">
        <f>SUMIFS('декабрь 2024'!$G$5:$G$2311,'декабрь 2024'!$D$5:$D$2311,$B5,'декабрь 2024'!$J$5:$J$2311,L$1)</f>
        <v>0</v>
      </c>
      <c r="M5" s="80">
        <f>SUMIFS('декабрь 2024'!$G$5:$G$2311,'декабрь 2024'!$D$5:$D$2311,$B5,'декабрь 2024'!$J$5:$J$2311,M$1)</f>
        <v>0</v>
      </c>
      <c r="N5" s="80">
        <f>SUMIFS('декабрь 2024'!$G$5:$G$2311,'декабрь 2024'!$D$5:$D$2311,$B5,'декабрь 2024'!$J$5:$J$2311,N$1)</f>
        <v>0</v>
      </c>
      <c r="O5" s="80">
        <f>SUMIFS('декабрь 2024'!$G$5:$G$2311,'декабрь 2024'!$D$5:$D$2311,$B5,'декабрь 2024'!$J$5:$J$2311,O$1)</f>
        <v>0</v>
      </c>
      <c r="P5" s="80">
        <f>SUMIFS('декабрь 2024'!$G$5:$G$2311,'декабрь 2024'!$D$5:$D$2311,$B5,'декабрь 2024'!$J$5:$J$2311,P$1)</f>
        <v>0</v>
      </c>
      <c r="Q5" s="80">
        <f>SUMIFS('декабрь 2024'!$G$5:$G$2311,'декабрь 2024'!$D$5:$D$2311,$B5,'декабрь 2024'!$J$5:$J$2311,Q$1)</f>
        <v>0</v>
      </c>
      <c r="R5" s="80">
        <f>SUMIFS('декабрь 2024'!$G$5:$G$2311,'декабрь 2024'!$D$5:$D$2311,$B5,'декабрь 2024'!$J$5:$J$2311,R$1)</f>
        <v>0</v>
      </c>
      <c r="S5" s="80">
        <f>SUMIFS('декабрь 2024'!$G$5:$G$2311,'декабрь 2024'!$D$5:$D$2311,$B5,'декабрь 2024'!$J$5:$J$2311,S$1)</f>
        <v>0</v>
      </c>
      <c r="T5" s="80">
        <f>SUMIFS('декабрь 2024'!$G$5:$G$2311,'декабрь 2024'!$D$5:$D$2311,$B5,'декабрь 2024'!$J$5:$J$2311,T$1)</f>
        <v>0</v>
      </c>
      <c r="U5" s="80">
        <f>SUMIFS('декабрь 2024'!$G$5:$G$2311,'декабрь 2024'!$D$5:$D$2311,$B5,'декабрь 2024'!$J$5:$J$2311,U$1)</f>
        <v>0</v>
      </c>
      <c r="V5" s="80">
        <f>SUMIFS('декабрь 2024'!$G$5:$G$2311,'декабрь 2024'!$D$5:$D$2311,$B5,'декабрь 2024'!$J$5:$J$2311,V$1)</f>
        <v>0</v>
      </c>
      <c r="W5" s="80">
        <f>SUMIFS('декабрь 2024'!$G$5:$G$2311,'декабрь 2024'!$D$5:$D$2311,$B5,'декабрь 2024'!$J$5:$J$2311,W$1)</f>
        <v>0</v>
      </c>
      <c r="X5" s="80">
        <f>SUMIFS('декабрь 2024'!$G$5:$G$2311,'декабрь 2024'!$D$5:$D$2311,$B5,'декабрь 2024'!$J$5:$J$2311,X$1)</f>
        <v>0</v>
      </c>
      <c r="Y5" s="80">
        <f>SUMIFS('декабрь 2024'!$G$5:$G$2311,'декабрь 2024'!$D$5:$D$2311,$B5,'декабрь 2024'!$J$5:$J$2311,Y$1)</f>
        <v>0</v>
      </c>
      <c r="Z5" s="80">
        <f>SUMIFS('декабрь 2024'!$G$5:$G$2311,'декабрь 2024'!$D$5:$D$2311,$B5,'декабрь 2024'!$J$5:$J$2311,Z$1)</f>
        <v>0</v>
      </c>
      <c r="AA5" s="80">
        <f>SUMIFS('декабрь 2024'!$G$5:$G$2311,'декабрь 2024'!$D$5:$D$2311,$B5,'декабрь 2024'!$J$5:$J$2311,AA$1)</f>
        <v>0</v>
      </c>
      <c r="AB5" s="80">
        <f>SUMIFS('декабрь 2024'!$G$5:$G$2311,'декабрь 2024'!$D$5:$D$2311,$B5,'декабрь 2024'!$J$5:$J$2311,AB$1)</f>
        <v>0</v>
      </c>
      <c r="AC5" s="80">
        <f>SUMIFS('декабрь 2024'!$G$5:$G$2311,'декабрь 2024'!$D$5:$D$2311,$B5,'декабрь 2024'!$J$5:$J$2311,AC$1)</f>
        <v>0</v>
      </c>
      <c r="AD5" s="80">
        <f>SUMIFS('декабрь 2024'!$G$5:$G$2311,'декабрь 2024'!$D$5:$D$2311,$B5,'декабрь 2024'!$J$5:$J$2311,AD$1)</f>
        <v>0</v>
      </c>
      <c r="AE5" s="80">
        <f>SUMIFS('декабрь 2024'!$G$5:$G$2311,'декабрь 2024'!$D$5:$D$2311,$B5,'декабрь 2024'!$J$5:$J$2311,AE$1)</f>
        <v>0</v>
      </c>
      <c r="AF5" s="80">
        <f>SUMIFS('декабрь 2024'!$G$5:$G$2311,'декабрь 2024'!$D$5:$D$2311,$B5,'декабрь 2024'!$J$5:$J$2311,AF$1)</f>
        <v>0</v>
      </c>
      <c r="AG5" s="80">
        <f>SUMIFS('декабрь 2024'!$G$5:$G$2311,'декабрь 2024'!$D$5:$D$2311,$B5,'декабрь 2024'!$J$5:$J$2311,AG$1)</f>
        <v>0</v>
      </c>
      <c r="AH5" s="80">
        <f>SUMIFS('декабрь 2024'!$G$5:$G$2311,'декабрь 2024'!$D$5:$D$2311,$B5,'декабрь 2024'!$J$5:$J$2311,AH$1)</f>
        <v>0</v>
      </c>
      <c r="AI5" s="21">
        <f t="shared" si="1"/>
        <v>0</v>
      </c>
    </row>
    <row r="6" spans="2:35" ht="15" customHeight="1" x14ac:dyDescent="0.25">
      <c r="B6" s="81" t="s">
        <v>281</v>
      </c>
      <c r="C6" s="82">
        <v>22.7</v>
      </c>
      <c r="D6" s="80">
        <f>SUMIFS('декабрь 2024'!$G$5:$G$2311,'декабрь 2024'!$D$5:$D$2311,$B6,'декабрь 2024'!$J$5:$J$2311,D$1)</f>
        <v>0</v>
      </c>
      <c r="E6" s="80">
        <f>SUMIFS('декабрь 2024'!$G$5:$G$2311,'декабрь 2024'!$D$5:$D$2311,$B6,'декабрь 2024'!$J$5:$J$2311,E$1)</f>
        <v>0</v>
      </c>
      <c r="F6" s="80">
        <f>SUMIFS('декабрь 2024'!$G$5:$G$2311,'декабрь 2024'!$D$5:$D$2311,$B6,'декабрь 2024'!$J$5:$J$2311,F$1)</f>
        <v>0</v>
      </c>
      <c r="G6" s="80">
        <f>SUMIFS('декабрь 2024'!$G$5:$G$2311,'декабрь 2024'!$D$5:$D$2311,$B6,'декабрь 2024'!$J$5:$J$2311,G$1)</f>
        <v>0</v>
      </c>
      <c r="H6" s="80">
        <f>SUMIFS('декабрь 2024'!$G$5:$G$2311,'декабрь 2024'!$D$5:$D$2311,$B6,'декабрь 2024'!$J$5:$J$2311,H$1)</f>
        <v>0</v>
      </c>
      <c r="I6" s="80">
        <f>SUMIFS('декабрь 2024'!$G$5:$G$2311,'декабрь 2024'!$D$5:$D$2311,$B6,'декабрь 2024'!$J$5:$J$2311,I$1)</f>
        <v>0</v>
      </c>
      <c r="J6" s="80">
        <f>SUMIFS('декабрь 2024'!$G$5:$G$2311,'декабрь 2024'!$D$5:$D$2311,$B6,'декабрь 2024'!$J$5:$J$2311,J$1)</f>
        <v>0</v>
      </c>
      <c r="K6" s="80">
        <f>SUMIFS('декабрь 2024'!$G$5:$G$2311,'декабрь 2024'!$D$5:$D$2311,$B6,'декабрь 2024'!$J$5:$J$2311,K$1)</f>
        <v>0</v>
      </c>
      <c r="L6" s="80">
        <f>SUMIFS('декабрь 2024'!$G$5:$G$2311,'декабрь 2024'!$D$5:$D$2311,$B6,'декабрь 2024'!$J$5:$J$2311,L$1)</f>
        <v>0</v>
      </c>
      <c r="M6" s="80">
        <f>SUMIFS('декабрь 2024'!$G$5:$G$2311,'декабрь 2024'!$D$5:$D$2311,$B6,'декабрь 2024'!$J$5:$J$2311,M$1)</f>
        <v>0</v>
      </c>
      <c r="N6" s="80">
        <f>SUMIFS('декабрь 2024'!$G$5:$G$2311,'декабрь 2024'!$D$5:$D$2311,$B6,'декабрь 2024'!$J$5:$J$2311,N$1)</f>
        <v>0</v>
      </c>
      <c r="O6" s="80">
        <f>SUMIFS('декабрь 2024'!$G$5:$G$2311,'декабрь 2024'!$D$5:$D$2311,$B6,'декабрь 2024'!$J$5:$J$2311,O$1)</f>
        <v>0</v>
      </c>
      <c r="P6" s="80">
        <f>SUMIFS('декабрь 2024'!$G$5:$G$2311,'декабрь 2024'!$D$5:$D$2311,$B6,'декабрь 2024'!$J$5:$J$2311,P$1)</f>
        <v>0</v>
      </c>
      <c r="Q6" s="80">
        <f>SUMIFS('декабрь 2024'!$G$5:$G$2311,'декабрь 2024'!$D$5:$D$2311,$B6,'декабрь 2024'!$J$5:$J$2311,Q$1)</f>
        <v>0</v>
      </c>
      <c r="R6" s="80">
        <f>SUMIFS('декабрь 2024'!$G$5:$G$2311,'декабрь 2024'!$D$5:$D$2311,$B6,'декабрь 2024'!$J$5:$J$2311,R$1)</f>
        <v>0</v>
      </c>
      <c r="S6" s="80">
        <f>SUMIFS('декабрь 2024'!$G$5:$G$2311,'декабрь 2024'!$D$5:$D$2311,$B6,'декабрь 2024'!$J$5:$J$2311,S$1)</f>
        <v>0</v>
      </c>
      <c r="T6" s="80">
        <f>SUMIFS('декабрь 2024'!$G$5:$G$2311,'декабрь 2024'!$D$5:$D$2311,$B6,'декабрь 2024'!$J$5:$J$2311,T$1)</f>
        <v>0</v>
      </c>
      <c r="U6" s="80">
        <f>SUMIFS('декабрь 2024'!$G$5:$G$2311,'декабрь 2024'!$D$5:$D$2311,$B6,'декабрь 2024'!$J$5:$J$2311,U$1)</f>
        <v>0</v>
      </c>
      <c r="V6" s="80">
        <f>SUMIFS('декабрь 2024'!$G$5:$G$2311,'декабрь 2024'!$D$5:$D$2311,$B6,'декабрь 2024'!$J$5:$J$2311,V$1)</f>
        <v>0</v>
      </c>
      <c r="W6" s="80">
        <f>SUMIFS('декабрь 2024'!$G$5:$G$2311,'декабрь 2024'!$D$5:$D$2311,$B6,'декабрь 2024'!$J$5:$J$2311,W$1)</f>
        <v>0</v>
      </c>
      <c r="X6" s="80">
        <f>SUMIFS('декабрь 2024'!$G$5:$G$2311,'декабрь 2024'!$D$5:$D$2311,$B6,'декабрь 2024'!$J$5:$J$2311,X$1)</f>
        <v>0</v>
      </c>
      <c r="Y6" s="80">
        <f>SUMIFS('декабрь 2024'!$G$5:$G$2311,'декабрь 2024'!$D$5:$D$2311,$B6,'декабрь 2024'!$J$5:$J$2311,Y$1)</f>
        <v>0</v>
      </c>
      <c r="Z6" s="80">
        <f>SUMIFS('декабрь 2024'!$G$5:$G$2311,'декабрь 2024'!$D$5:$D$2311,$B6,'декабрь 2024'!$J$5:$J$2311,Z$1)</f>
        <v>0</v>
      </c>
      <c r="AA6" s="80">
        <f>SUMIFS('декабрь 2024'!$G$5:$G$2311,'декабрь 2024'!$D$5:$D$2311,$B6,'декабрь 2024'!$J$5:$J$2311,AA$1)</f>
        <v>0</v>
      </c>
      <c r="AB6" s="80">
        <f>SUMIFS('декабрь 2024'!$G$5:$G$2311,'декабрь 2024'!$D$5:$D$2311,$B6,'декабрь 2024'!$J$5:$J$2311,AB$1)</f>
        <v>0</v>
      </c>
      <c r="AC6" s="80">
        <f>SUMIFS('декабрь 2024'!$G$5:$G$2311,'декабрь 2024'!$D$5:$D$2311,$B6,'декабрь 2024'!$J$5:$J$2311,AC$1)</f>
        <v>0</v>
      </c>
      <c r="AD6" s="80">
        <f>SUMIFS('декабрь 2024'!$G$5:$G$2311,'декабрь 2024'!$D$5:$D$2311,$B6,'декабрь 2024'!$J$5:$J$2311,AD$1)</f>
        <v>0</v>
      </c>
      <c r="AE6" s="80">
        <f>SUMIFS('декабрь 2024'!$G$5:$G$2311,'декабрь 2024'!$D$5:$D$2311,$B6,'декабрь 2024'!$J$5:$J$2311,AE$1)</f>
        <v>0</v>
      </c>
      <c r="AF6" s="80">
        <f>SUMIFS('декабрь 2024'!$G$5:$G$2311,'декабрь 2024'!$D$5:$D$2311,$B6,'декабрь 2024'!$J$5:$J$2311,AF$1)</f>
        <v>0</v>
      </c>
      <c r="AG6" s="80">
        <f>SUMIFS('декабрь 2024'!$G$5:$G$2311,'декабрь 2024'!$D$5:$D$2311,$B6,'декабрь 2024'!$J$5:$J$2311,AG$1)</f>
        <v>0</v>
      </c>
      <c r="AH6" s="80">
        <f>SUMIFS('декабрь 2024'!$G$5:$G$2311,'декабрь 2024'!$D$5:$D$2311,$B6,'декабрь 2024'!$J$5:$J$2311,AH$1)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SUMIFS('декабрь 2024'!$G$5:$G$2311,'декабрь 2024'!$D$5:$D$2311,$B7,'декабрь 2024'!$J$5:$J$2311,D$1)</f>
        <v>0</v>
      </c>
      <c r="E7" s="80">
        <f>SUMIFS('декабрь 2024'!$G$5:$G$2311,'декабрь 2024'!$D$5:$D$2311,$B7,'декабрь 2024'!$J$5:$J$2311,E$1)</f>
        <v>0</v>
      </c>
      <c r="F7" s="80">
        <f>SUMIFS('декабрь 2024'!$G$5:$G$2311,'декабрь 2024'!$D$5:$D$2311,$B7,'декабрь 2024'!$J$5:$J$2311,F$1)</f>
        <v>0</v>
      </c>
      <c r="G7" s="80">
        <f>SUMIFS('декабрь 2024'!$G$5:$G$2311,'декабрь 2024'!$D$5:$D$2311,$B7,'декабрь 2024'!$J$5:$J$2311,G$1)</f>
        <v>0</v>
      </c>
      <c r="H7" s="80">
        <f>SUMIFS('декабрь 2024'!$G$5:$G$2311,'декабрь 2024'!$D$5:$D$2311,$B7,'декабрь 2024'!$J$5:$J$2311,H$1)</f>
        <v>0</v>
      </c>
      <c r="I7" s="80">
        <f>SUMIFS('декабрь 2024'!$G$5:$G$2311,'декабрь 2024'!$D$5:$D$2311,$B7,'декабрь 2024'!$J$5:$J$2311,I$1)</f>
        <v>0</v>
      </c>
      <c r="J7" s="80">
        <f>SUMIFS('декабрь 2024'!$G$5:$G$2311,'декабрь 2024'!$D$5:$D$2311,$B7,'декабрь 2024'!$J$5:$J$2311,J$1)</f>
        <v>0</v>
      </c>
      <c r="K7" s="80">
        <f>SUMIFS('декабрь 2024'!$G$5:$G$2311,'декабрь 2024'!$D$5:$D$2311,$B7,'декабрь 2024'!$J$5:$J$2311,K$1)</f>
        <v>0</v>
      </c>
      <c r="L7" s="80">
        <f>SUMIFS('декабрь 2024'!$G$5:$G$2311,'декабрь 2024'!$D$5:$D$2311,$B7,'декабрь 2024'!$J$5:$J$2311,L$1)</f>
        <v>0</v>
      </c>
      <c r="M7" s="80">
        <f>SUMIFS('декабрь 2024'!$G$5:$G$2311,'декабрь 2024'!$D$5:$D$2311,$B7,'декабрь 2024'!$J$5:$J$2311,M$1)</f>
        <v>0</v>
      </c>
      <c r="N7" s="80">
        <f>SUMIFS('декабрь 2024'!$G$5:$G$2311,'декабрь 2024'!$D$5:$D$2311,$B7,'декабрь 2024'!$J$5:$J$2311,N$1)</f>
        <v>0</v>
      </c>
      <c r="O7" s="80">
        <f>SUMIFS('декабрь 2024'!$G$5:$G$2311,'декабрь 2024'!$D$5:$D$2311,$B7,'декабрь 2024'!$J$5:$J$2311,O$1)</f>
        <v>0</v>
      </c>
      <c r="P7" s="80">
        <f>SUMIFS('декабрь 2024'!$G$5:$G$2311,'декабрь 2024'!$D$5:$D$2311,$B7,'декабрь 2024'!$J$5:$J$2311,P$1)</f>
        <v>0</v>
      </c>
      <c r="Q7" s="80">
        <f>SUMIFS('декабрь 2024'!$G$5:$G$2311,'декабрь 2024'!$D$5:$D$2311,$B7,'декабрь 2024'!$J$5:$J$2311,Q$1)</f>
        <v>0</v>
      </c>
      <c r="R7" s="80">
        <f>SUMIFS('декабрь 2024'!$G$5:$G$2311,'декабрь 2024'!$D$5:$D$2311,$B7,'декабрь 2024'!$J$5:$J$2311,R$1)</f>
        <v>0</v>
      </c>
      <c r="S7" s="80">
        <f>SUMIFS('декабрь 2024'!$G$5:$G$2311,'декабрь 2024'!$D$5:$D$2311,$B7,'декабрь 2024'!$J$5:$J$2311,S$1)</f>
        <v>0</v>
      </c>
      <c r="T7" s="80">
        <f>SUMIFS('декабрь 2024'!$G$5:$G$2311,'декабрь 2024'!$D$5:$D$2311,$B7,'декабрь 2024'!$J$5:$J$2311,T$1)</f>
        <v>0</v>
      </c>
      <c r="U7" s="80">
        <f>SUMIFS('декабрь 2024'!$G$5:$G$2311,'декабрь 2024'!$D$5:$D$2311,$B7,'декабрь 2024'!$J$5:$J$2311,U$1)</f>
        <v>0</v>
      </c>
      <c r="V7" s="80">
        <f>SUMIFS('декабрь 2024'!$G$5:$G$2311,'декабрь 2024'!$D$5:$D$2311,$B7,'декабрь 2024'!$J$5:$J$2311,V$1)</f>
        <v>0</v>
      </c>
      <c r="W7" s="80">
        <f>SUMIFS('декабрь 2024'!$G$5:$G$2311,'декабрь 2024'!$D$5:$D$2311,$B7,'декабрь 2024'!$J$5:$J$2311,W$1)</f>
        <v>0</v>
      </c>
      <c r="X7" s="80">
        <f>SUMIFS('декабрь 2024'!$G$5:$G$2311,'декабрь 2024'!$D$5:$D$2311,$B7,'декабрь 2024'!$J$5:$J$2311,X$1)</f>
        <v>0</v>
      </c>
      <c r="Y7" s="80">
        <f>SUMIFS('декабрь 2024'!$G$5:$G$2311,'декабрь 2024'!$D$5:$D$2311,$B7,'декабрь 2024'!$J$5:$J$2311,Y$1)</f>
        <v>0</v>
      </c>
      <c r="Z7" s="80">
        <f>SUMIFS('декабрь 2024'!$G$5:$G$2311,'декабрь 2024'!$D$5:$D$2311,$B7,'декабрь 2024'!$J$5:$J$2311,Z$1)</f>
        <v>0</v>
      </c>
      <c r="AA7" s="80">
        <f>SUMIFS('декабрь 2024'!$G$5:$G$2311,'декабрь 2024'!$D$5:$D$2311,$B7,'декабрь 2024'!$J$5:$J$2311,AA$1)</f>
        <v>0</v>
      </c>
      <c r="AB7" s="80">
        <f>SUMIFS('декабрь 2024'!$G$5:$G$2311,'декабрь 2024'!$D$5:$D$2311,$B7,'декабрь 2024'!$J$5:$J$2311,AB$1)</f>
        <v>0</v>
      </c>
      <c r="AC7" s="80">
        <f>SUMIFS('декабрь 2024'!$G$5:$G$2311,'декабрь 2024'!$D$5:$D$2311,$B7,'декабрь 2024'!$J$5:$J$2311,AC$1)</f>
        <v>0</v>
      </c>
      <c r="AD7" s="80">
        <f>SUMIFS('декабрь 2024'!$G$5:$G$2311,'декабрь 2024'!$D$5:$D$2311,$B7,'декабрь 2024'!$J$5:$J$2311,AD$1)</f>
        <v>0</v>
      </c>
      <c r="AE7" s="80">
        <f>SUMIFS('декабрь 2024'!$G$5:$G$2311,'декабрь 2024'!$D$5:$D$2311,$B7,'декабрь 2024'!$J$5:$J$2311,AE$1)</f>
        <v>0</v>
      </c>
      <c r="AF7" s="80">
        <f>SUMIFS('декабрь 2024'!$G$5:$G$2311,'декабрь 2024'!$D$5:$D$2311,$B7,'декабрь 2024'!$J$5:$J$2311,AF$1)</f>
        <v>0</v>
      </c>
      <c r="AG7" s="80">
        <f>SUMIFS('декабрь 2024'!$G$5:$G$2311,'декабрь 2024'!$D$5:$D$2311,$B7,'декабрь 2024'!$J$5:$J$2311,AG$1)</f>
        <v>0</v>
      </c>
      <c r="AH7" s="80">
        <f>SUMIFS('декабрь 2024'!$G$5:$G$2311,'декабрь 2024'!$D$5:$D$2311,$B7,'декабрь 2024'!$J$5:$J$2311,AH$1)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SUMIFS('декабрь 2024'!$G$5:$G$2311,'декабрь 2024'!$D$5:$D$2311,$B8,'декабрь 2024'!$J$5:$J$2311,D$1)</f>
        <v>0</v>
      </c>
      <c r="E8" s="80">
        <f>SUMIFS('декабрь 2024'!$G$5:$G$2311,'декабрь 2024'!$D$5:$D$2311,$B8,'декабрь 2024'!$J$5:$J$2311,E$1)</f>
        <v>0</v>
      </c>
      <c r="F8" s="80">
        <f>SUMIFS('декабрь 2024'!$G$5:$G$2311,'декабрь 2024'!$D$5:$D$2311,$B8,'декабрь 2024'!$J$5:$J$2311,F$1)</f>
        <v>0</v>
      </c>
      <c r="G8" s="80">
        <f>SUMIFS('декабрь 2024'!$G$5:$G$2311,'декабрь 2024'!$D$5:$D$2311,$B8,'декабрь 2024'!$J$5:$J$2311,G$1)</f>
        <v>0</v>
      </c>
      <c r="H8" s="80">
        <f>SUMIFS('декабрь 2024'!$G$5:$G$2311,'декабрь 2024'!$D$5:$D$2311,$B8,'декабрь 2024'!$J$5:$J$2311,H$1)</f>
        <v>0</v>
      </c>
      <c r="I8" s="80">
        <f>SUMIFS('декабрь 2024'!$G$5:$G$2311,'декабрь 2024'!$D$5:$D$2311,$B8,'декабрь 2024'!$J$5:$J$2311,I$1)</f>
        <v>800</v>
      </c>
      <c r="J8" s="80">
        <f>SUMIFS('декабрь 2024'!$G$5:$G$2311,'декабрь 2024'!$D$5:$D$2311,$B8,'декабрь 2024'!$J$5:$J$2311,J$1)</f>
        <v>0</v>
      </c>
      <c r="K8" s="80">
        <f>SUMIFS('декабрь 2024'!$G$5:$G$2311,'декабрь 2024'!$D$5:$D$2311,$B8,'декабрь 2024'!$J$5:$J$2311,K$1)</f>
        <v>0</v>
      </c>
      <c r="L8" s="80">
        <f>SUMIFS('декабрь 2024'!$G$5:$G$2311,'декабрь 2024'!$D$5:$D$2311,$B8,'декабрь 2024'!$J$5:$J$2311,L$1)</f>
        <v>800</v>
      </c>
      <c r="M8" s="80">
        <f>SUMIFS('декабрь 2024'!$G$5:$G$2311,'декабрь 2024'!$D$5:$D$2311,$B8,'декабрь 2024'!$J$5:$J$2311,M$1)</f>
        <v>560</v>
      </c>
      <c r="N8" s="80">
        <f>SUMIFS('декабрь 2024'!$G$5:$G$2311,'декабрь 2024'!$D$5:$D$2311,$B8,'декабрь 2024'!$J$5:$J$2311,N$1)</f>
        <v>0</v>
      </c>
      <c r="O8" s="80">
        <f>SUMIFS('декабрь 2024'!$G$5:$G$2311,'декабрь 2024'!$D$5:$D$2311,$B8,'декабрь 2024'!$J$5:$J$2311,O$1)</f>
        <v>0</v>
      </c>
      <c r="P8" s="80">
        <f>SUMIFS('декабрь 2024'!$G$5:$G$2311,'декабрь 2024'!$D$5:$D$2311,$B8,'декабрь 2024'!$J$5:$J$2311,P$1)</f>
        <v>0</v>
      </c>
      <c r="Q8" s="80">
        <f>SUMIFS('декабрь 2024'!$G$5:$G$2311,'декабрь 2024'!$D$5:$D$2311,$B8,'декабрь 2024'!$J$5:$J$2311,Q$1)</f>
        <v>0</v>
      </c>
      <c r="R8" s="80">
        <f>SUMIFS('декабрь 2024'!$G$5:$G$2311,'декабрь 2024'!$D$5:$D$2311,$B8,'декабрь 2024'!$J$5:$J$2311,R$1)</f>
        <v>0</v>
      </c>
      <c r="S8" s="80">
        <f>SUMIFS('декабрь 2024'!$G$5:$G$2311,'декабрь 2024'!$D$5:$D$2311,$B8,'декабрь 2024'!$J$5:$J$2311,S$1)</f>
        <v>0</v>
      </c>
      <c r="T8" s="80">
        <f>SUMIFS('декабрь 2024'!$G$5:$G$2311,'декабрь 2024'!$D$5:$D$2311,$B8,'декабрь 2024'!$J$5:$J$2311,T$1)</f>
        <v>560</v>
      </c>
      <c r="U8" s="80">
        <f>SUMIFS('декабрь 2024'!$G$5:$G$2311,'декабрь 2024'!$D$5:$D$2311,$B8,'декабрь 2024'!$J$5:$J$2311,U$1)</f>
        <v>0</v>
      </c>
      <c r="V8" s="80">
        <f>SUMIFS('декабрь 2024'!$G$5:$G$2311,'декабрь 2024'!$D$5:$D$2311,$B8,'декабрь 2024'!$J$5:$J$2311,V$1)</f>
        <v>0</v>
      </c>
      <c r="W8" s="80">
        <f>SUMIFS('декабрь 2024'!$G$5:$G$2311,'декабрь 2024'!$D$5:$D$2311,$B8,'декабрь 2024'!$J$5:$J$2311,W$1)</f>
        <v>800</v>
      </c>
      <c r="X8" s="80">
        <f>SUMIFS('декабрь 2024'!$G$5:$G$2311,'декабрь 2024'!$D$5:$D$2311,$B8,'декабрь 2024'!$J$5:$J$2311,X$1)</f>
        <v>0</v>
      </c>
      <c r="Y8" s="80">
        <f>SUMIFS('декабрь 2024'!$G$5:$G$2311,'декабрь 2024'!$D$5:$D$2311,$B8,'декабрь 2024'!$J$5:$J$2311,Y$1)</f>
        <v>0</v>
      </c>
      <c r="Z8" s="80">
        <f>SUMIFS('декабрь 2024'!$G$5:$G$2311,'декабрь 2024'!$D$5:$D$2311,$B8,'декабрь 2024'!$J$5:$J$2311,Z$1)</f>
        <v>400</v>
      </c>
      <c r="AA8" s="80">
        <f>SUMIFS('декабрь 2024'!$G$5:$G$2311,'декабрь 2024'!$D$5:$D$2311,$B8,'декабрь 2024'!$J$5:$J$2311,AA$1)</f>
        <v>0</v>
      </c>
      <c r="AB8" s="80">
        <f>SUMIFS('декабрь 2024'!$G$5:$G$2311,'декабрь 2024'!$D$5:$D$2311,$B8,'декабрь 2024'!$J$5:$J$2311,AB$1)</f>
        <v>0</v>
      </c>
      <c r="AC8" s="80">
        <f>SUMIFS('декабрь 2024'!$G$5:$G$2311,'декабрь 2024'!$D$5:$D$2311,$B8,'декабрь 2024'!$J$5:$J$2311,AC$1)</f>
        <v>0</v>
      </c>
      <c r="AD8" s="80">
        <f>SUMIFS('декабрь 2024'!$G$5:$G$2311,'декабрь 2024'!$D$5:$D$2311,$B8,'декабрь 2024'!$J$5:$J$2311,AD$1)</f>
        <v>0</v>
      </c>
      <c r="AE8" s="80">
        <f>SUMIFS('декабрь 2024'!$G$5:$G$2311,'декабрь 2024'!$D$5:$D$2311,$B8,'декабрь 2024'!$J$5:$J$2311,AE$1)</f>
        <v>0</v>
      </c>
      <c r="AF8" s="80">
        <f>SUMIFS('декабрь 2024'!$G$5:$G$2311,'декабрь 2024'!$D$5:$D$2311,$B8,'декабрь 2024'!$J$5:$J$2311,AF$1)</f>
        <v>0</v>
      </c>
      <c r="AG8" s="80">
        <f>SUMIFS('декабрь 2024'!$G$5:$G$2311,'декабрь 2024'!$D$5:$D$2311,$B8,'декабрь 2024'!$J$5:$J$2311,AG$1)</f>
        <v>0</v>
      </c>
      <c r="AH8" s="80">
        <f>SUMIFS('декабрь 2024'!$G$5:$G$2311,'декабрь 2024'!$D$5:$D$2311,$B8,'декабрь 2024'!$J$5:$J$2311,AH$1)</f>
        <v>0</v>
      </c>
      <c r="AI8" s="21">
        <f t="shared" si="1"/>
        <v>3920</v>
      </c>
    </row>
    <row r="9" spans="2:35" ht="15" customHeight="1" x14ac:dyDescent="0.25">
      <c r="B9" s="81" t="s">
        <v>287</v>
      </c>
      <c r="C9" s="82">
        <v>25</v>
      </c>
      <c r="D9" s="80">
        <f>SUMIFS('декабрь 2024'!$G$5:$G$2311,'декабрь 2024'!$D$5:$D$2311,$B9,'декабрь 2024'!$J$5:$J$2311,D$1)</f>
        <v>0</v>
      </c>
      <c r="E9" s="80">
        <f>SUMIFS('декабрь 2024'!$G$5:$G$2311,'декабрь 2024'!$D$5:$D$2311,$B9,'декабрь 2024'!$J$5:$J$2311,E$1)</f>
        <v>0</v>
      </c>
      <c r="F9" s="80">
        <f>SUMIFS('декабрь 2024'!$G$5:$G$2311,'декабрь 2024'!$D$5:$D$2311,$B9,'декабрь 2024'!$J$5:$J$2311,F$1)</f>
        <v>0</v>
      </c>
      <c r="G9" s="80">
        <f>SUMIFS('декабрь 2024'!$G$5:$G$2311,'декабрь 2024'!$D$5:$D$2311,$B9,'декабрь 2024'!$J$5:$J$2311,G$1)</f>
        <v>0</v>
      </c>
      <c r="H9" s="80">
        <f>SUMIFS('декабрь 2024'!$G$5:$G$2311,'декабрь 2024'!$D$5:$D$2311,$B9,'декабрь 2024'!$J$5:$J$2311,H$1)</f>
        <v>0</v>
      </c>
      <c r="I9" s="80">
        <f>SUMIFS('декабрь 2024'!$G$5:$G$2311,'декабрь 2024'!$D$5:$D$2311,$B9,'декабрь 2024'!$J$5:$J$2311,I$1)</f>
        <v>0</v>
      </c>
      <c r="J9" s="80">
        <f>SUMIFS('декабрь 2024'!$G$5:$G$2311,'декабрь 2024'!$D$5:$D$2311,$B9,'декабрь 2024'!$J$5:$J$2311,J$1)</f>
        <v>0</v>
      </c>
      <c r="K9" s="80">
        <f>SUMIFS('декабрь 2024'!$G$5:$G$2311,'декабрь 2024'!$D$5:$D$2311,$B9,'декабрь 2024'!$J$5:$J$2311,K$1)</f>
        <v>0</v>
      </c>
      <c r="L9" s="80">
        <f>SUMIFS('декабрь 2024'!$G$5:$G$2311,'декабрь 2024'!$D$5:$D$2311,$B9,'декабрь 2024'!$J$5:$J$2311,L$1)</f>
        <v>0</v>
      </c>
      <c r="M9" s="80">
        <f>SUMIFS('декабрь 2024'!$G$5:$G$2311,'декабрь 2024'!$D$5:$D$2311,$B9,'декабрь 2024'!$J$5:$J$2311,M$1)</f>
        <v>0</v>
      </c>
      <c r="N9" s="80">
        <f>SUMIFS('декабрь 2024'!$G$5:$G$2311,'декабрь 2024'!$D$5:$D$2311,$B9,'декабрь 2024'!$J$5:$J$2311,N$1)</f>
        <v>0</v>
      </c>
      <c r="O9" s="80">
        <f>SUMIFS('декабрь 2024'!$G$5:$G$2311,'декабрь 2024'!$D$5:$D$2311,$B9,'декабрь 2024'!$J$5:$J$2311,O$1)</f>
        <v>0</v>
      </c>
      <c r="P9" s="80">
        <f>SUMIFS('декабрь 2024'!$G$5:$G$2311,'декабрь 2024'!$D$5:$D$2311,$B9,'декабрь 2024'!$J$5:$J$2311,P$1)</f>
        <v>0</v>
      </c>
      <c r="Q9" s="80">
        <f>SUMIFS('декабрь 2024'!$G$5:$G$2311,'декабрь 2024'!$D$5:$D$2311,$B9,'декабрь 2024'!$J$5:$J$2311,Q$1)</f>
        <v>0</v>
      </c>
      <c r="R9" s="80">
        <f>SUMIFS('декабрь 2024'!$G$5:$G$2311,'декабрь 2024'!$D$5:$D$2311,$B9,'декабрь 2024'!$J$5:$J$2311,R$1)</f>
        <v>0</v>
      </c>
      <c r="S9" s="80">
        <f>SUMIFS('декабрь 2024'!$G$5:$G$2311,'декабрь 2024'!$D$5:$D$2311,$B9,'декабрь 2024'!$J$5:$J$2311,S$1)</f>
        <v>0</v>
      </c>
      <c r="T9" s="80">
        <f>SUMIFS('декабрь 2024'!$G$5:$G$2311,'декабрь 2024'!$D$5:$D$2311,$B9,'декабрь 2024'!$J$5:$J$2311,T$1)</f>
        <v>0</v>
      </c>
      <c r="U9" s="80">
        <f>SUMIFS('декабрь 2024'!$G$5:$G$2311,'декабрь 2024'!$D$5:$D$2311,$B9,'декабрь 2024'!$J$5:$J$2311,U$1)</f>
        <v>0</v>
      </c>
      <c r="V9" s="80">
        <f>SUMIFS('декабрь 2024'!$G$5:$G$2311,'декабрь 2024'!$D$5:$D$2311,$B9,'декабрь 2024'!$J$5:$J$2311,V$1)</f>
        <v>0</v>
      </c>
      <c r="W9" s="80">
        <f>SUMIFS('декабрь 2024'!$G$5:$G$2311,'декабрь 2024'!$D$5:$D$2311,$B9,'декабрь 2024'!$J$5:$J$2311,W$1)</f>
        <v>0</v>
      </c>
      <c r="X9" s="80">
        <f>SUMIFS('декабрь 2024'!$G$5:$G$2311,'декабрь 2024'!$D$5:$D$2311,$B9,'декабрь 2024'!$J$5:$J$2311,X$1)</f>
        <v>0</v>
      </c>
      <c r="Y9" s="80">
        <f>SUMIFS('декабрь 2024'!$G$5:$G$2311,'декабрь 2024'!$D$5:$D$2311,$B9,'декабрь 2024'!$J$5:$J$2311,Y$1)</f>
        <v>0</v>
      </c>
      <c r="Z9" s="80">
        <f>SUMIFS('декабрь 2024'!$G$5:$G$2311,'декабрь 2024'!$D$5:$D$2311,$B9,'декабрь 2024'!$J$5:$J$2311,Z$1)</f>
        <v>0</v>
      </c>
      <c r="AA9" s="80">
        <f>SUMIFS('декабрь 2024'!$G$5:$G$2311,'декабрь 2024'!$D$5:$D$2311,$B9,'декабрь 2024'!$J$5:$J$2311,AA$1)</f>
        <v>0</v>
      </c>
      <c r="AB9" s="80">
        <f>SUMIFS('декабрь 2024'!$G$5:$G$2311,'декабрь 2024'!$D$5:$D$2311,$B9,'декабрь 2024'!$J$5:$J$2311,AB$1)</f>
        <v>0</v>
      </c>
      <c r="AC9" s="80">
        <f>SUMIFS('декабрь 2024'!$G$5:$G$2311,'декабрь 2024'!$D$5:$D$2311,$B9,'декабрь 2024'!$J$5:$J$2311,AC$1)</f>
        <v>0</v>
      </c>
      <c r="AD9" s="80">
        <f>SUMIFS('декабрь 2024'!$G$5:$G$2311,'декабрь 2024'!$D$5:$D$2311,$B9,'декабрь 2024'!$J$5:$J$2311,AD$1)</f>
        <v>0</v>
      </c>
      <c r="AE9" s="80">
        <f>SUMIFS('декабрь 2024'!$G$5:$G$2311,'декабрь 2024'!$D$5:$D$2311,$B9,'декабрь 2024'!$J$5:$J$2311,AE$1)</f>
        <v>0</v>
      </c>
      <c r="AF9" s="80">
        <f>SUMIFS('декабрь 2024'!$G$5:$G$2311,'декабрь 2024'!$D$5:$D$2311,$B9,'декабрь 2024'!$J$5:$J$2311,AF$1)</f>
        <v>0</v>
      </c>
      <c r="AG9" s="80">
        <f>SUMIFS('декабрь 2024'!$G$5:$G$2311,'декабрь 2024'!$D$5:$D$2311,$B9,'декабрь 2024'!$J$5:$J$2311,AG$1)</f>
        <v>0</v>
      </c>
      <c r="AH9" s="80">
        <f>SUMIFS('декабрь 2024'!$G$5:$G$2311,'декабрь 2024'!$D$5:$D$2311,$B9,'декабрь 2024'!$J$5:$J$2311,AH$1)</f>
        <v>0</v>
      </c>
      <c r="AI9" s="21">
        <f t="shared" si="1"/>
        <v>0</v>
      </c>
    </row>
    <row r="10" spans="2:35" ht="15" customHeight="1" x14ac:dyDescent="0.25">
      <c r="B10" s="81" t="s">
        <v>289</v>
      </c>
      <c r="C10" s="82">
        <v>25</v>
      </c>
      <c r="D10" s="80">
        <f>SUMIFS('декабрь 2024'!$G$5:$G$2311,'декабрь 2024'!$D$5:$D$2311,$B10,'декабрь 2024'!$J$5:$J$2311,D$1)</f>
        <v>0</v>
      </c>
      <c r="E10" s="80">
        <f>SUMIFS('декабрь 2024'!$G$5:$G$2311,'декабрь 2024'!$D$5:$D$2311,$B10,'декабрь 2024'!$J$5:$J$2311,E$1)</f>
        <v>0</v>
      </c>
      <c r="F10" s="80">
        <f>SUMIFS('декабрь 2024'!$G$5:$G$2311,'декабрь 2024'!$D$5:$D$2311,$B10,'декабрь 2024'!$J$5:$J$2311,F$1)</f>
        <v>0</v>
      </c>
      <c r="G10" s="80">
        <f>SUMIFS('декабрь 2024'!$G$5:$G$2311,'декабрь 2024'!$D$5:$D$2311,$B10,'декабрь 2024'!$J$5:$J$2311,G$1)</f>
        <v>0</v>
      </c>
      <c r="H10" s="80">
        <f>SUMIFS('декабрь 2024'!$G$5:$G$2311,'декабрь 2024'!$D$5:$D$2311,$B10,'декабрь 2024'!$J$5:$J$2311,H$1)</f>
        <v>0</v>
      </c>
      <c r="I10" s="80">
        <f>SUMIFS('декабрь 2024'!$G$5:$G$2311,'декабрь 2024'!$D$5:$D$2311,$B10,'декабрь 2024'!$J$5:$J$2311,I$1)</f>
        <v>1080</v>
      </c>
      <c r="J10" s="80">
        <f>SUMIFS('декабрь 2024'!$G$5:$G$2311,'декабрь 2024'!$D$5:$D$2311,$B10,'декабрь 2024'!$J$5:$J$2311,J$1)</f>
        <v>0</v>
      </c>
      <c r="K10" s="80">
        <f>SUMIFS('декабрь 2024'!$G$5:$G$2311,'декабрь 2024'!$D$5:$D$2311,$B10,'декабрь 2024'!$J$5:$J$2311,K$1)</f>
        <v>0</v>
      </c>
      <c r="L10" s="80">
        <f>SUMIFS('декабрь 2024'!$G$5:$G$2311,'декабрь 2024'!$D$5:$D$2311,$B10,'декабрь 2024'!$J$5:$J$2311,L$1)</f>
        <v>0</v>
      </c>
      <c r="M10" s="80">
        <f>SUMIFS('декабрь 2024'!$G$5:$G$2311,'декабрь 2024'!$D$5:$D$2311,$B10,'декабрь 2024'!$J$5:$J$2311,M$1)</f>
        <v>0</v>
      </c>
      <c r="N10" s="80">
        <f>SUMIFS('декабрь 2024'!$G$5:$G$2311,'декабрь 2024'!$D$5:$D$2311,$B10,'декабрь 2024'!$J$5:$J$2311,N$1)</f>
        <v>0</v>
      </c>
      <c r="O10" s="80">
        <f>SUMIFS('декабрь 2024'!$G$5:$G$2311,'декабрь 2024'!$D$5:$D$2311,$B10,'декабрь 2024'!$J$5:$J$2311,O$1)</f>
        <v>0</v>
      </c>
      <c r="P10" s="80">
        <f>SUMIFS('декабрь 2024'!$G$5:$G$2311,'декабрь 2024'!$D$5:$D$2311,$B10,'декабрь 2024'!$J$5:$J$2311,P$1)</f>
        <v>0</v>
      </c>
      <c r="Q10" s="80">
        <f>SUMIFS('декабрь 2024'!$G$5:$G$2311,'декабрь 2024'!$D$5:$D$2311,$B10,'декабрь 2024'!$J$5:$J$2311,Q$1)</f>
        <v>0</v>
      </c>
      <c r="R10" s="80">
        <f>SUMIFS('декабрь 2024'!$G$5:$G$2311,'декабрь 2024'!$D$5:$D$2311,$B10,'декабрь 2024'!$J$5:$J$2311,R$1)</f>
        <v>0</v>
      </c>
      <c r="S10" s="80">
        <f>SUMIFS('декабрь 2024'!$G$5:$G$2311,'декабрь 2024'!$D$5:$D$2311,$B10,'декабрь 2024'!$J$5:$J$2311,S$1)</f>
        <v>0</v>
      </c>
      <c r="T10" s="80">
        <f>SUMIFS('декабрь 2024'!$G$5:$G$2311,'декабрь 2024'!$D$5:$D$2311,$B10,'декабрь 2024'!$J$5:$J$2311,T$1)</f>
        <v>0</v>
      </c>
      <c r="U10" s="80">
        <f>SUMIFS('декабрь 2024'!$G$5:$G$2311,'декабрь 2024'!$D$5:$D$2311,$B10,'декабрь 2024'!$J$5:$J$2311,U$1)</f>
        <v>0</v>
      </c>
      <c r="V10" s="80">
        <f>SUMIFS('декабрь 2024'!$G$5:$G$2311,'декабрь 2024'!$D$5:$D$2311,$B10,'декабрь 2024'!$J$5:$J$2311,V$1)</f>
        <v>0</v>
      </c>
      <c r="W10" s="80">
        <f>SUMIFS('декабрь 2024'!$G$5:$G$2311,'декабрь 2024'!$D$5:$D$2311,$B10,'декабрь 2024'!$J$5:$J$2311,W$1)</f>
        <v>600</v>
      </c>
      <c r="X10" s="80">
        <f>SUMIFS('декабрь 2024'!$G$5:$G$2311,'декабрь 2024'!$D$5:$D$2311,$B10,'декабрь 2024'!$J$5:$J$2311,X$1)</f>
        <v>0</v>
      </c>
      <c r="Y10" s="80">
        <f>SUMIFS('декабрь 2024'!$G$5:$G$2311,'декабрь 2024'!$D$5:$D$2311,$B10,'декабрь 2024'!$J$5:$J$2311,Y$1)</f>
        <v>0</v>
      </c>
      <c r="Z10" s="80">
        <f>SUMIFS('декабрь 2024'!$G$5:$G$2311,'декабрь 2024'!$D$5:$D$2311,$B10,'декабрь 2024'!$J$5:$J$2311,Z$1)</f>
        <v>400</v>
      </c>
      <c r="AA10" s="80">
        <f>SUMIFS('декабрь 2024'!$G$5:$G$2311,'декабрь 2024'!$D$5:$D$2311,$B10,'декабрь 2024'!$J$5:$J$2311,AA$1)</f>
        <v>0</v>
      </c>
      <c r="AB10" s="80">
        <f>SUMIFS('декабрь 2024'!$G$5:$G$2311,'декабрь 2024'!$D$5:$D$2311,$B10,'декабрь 2024'!$J$5:$J$2311,AB$1)</f>
        <v>0</v>
      </c>
      <c r="AC10" s="80">
        <f>SUMIFS('декабрь 2024'!$G$5:$G$2311,'декабрь 2024'!$D$5:$D$2311,$B10,'декабрь 2024'!$J$5:$J$2311,AC$1)</f>
        <v>0</v>
      </c>
      <c r="AD10" s="80">
        <f>SUMIFS('декабрь 2024'!$G$5:$G$2311,'декабрь 2024'!$D$5:$D$2311,$B10,'декабрь 2024'!$J$5:$J$2311,AD$1)</f>
        <v>0</v>
      </c>
      <c r="AE10" s="80">
        <f>SUMIFS('декабрь 2024'!$G$5:$G$2311,'декабрь 2024'!$D$5:$D$2311,$B10,'декабрь 2024'!$J$5:$J$2311,AE$1)</f>
        <v>0</v>
      </c>
      <c r="AF10" s="80">
        <f>SUMIFS('декабрь 2024'!$G$5:$G$2311,'декабрь 2024'!$D$5:$D$2311,$B10,'декабрь 2024'!$J$5:$J$2311,AF$1)</f>
        <v>0</v>
      </c>
      <c r="AG10" s="80">
        <f>SUMIFS('декабрь 2024'!$G$5:$G$2311,'декабрь 2024'!$D$5:$D$2311,$B10,'декабрь 2024'!$J$5:$J$2311,AG$1)</f>
        <v>0</v>
      </c>
      <c r="AH10" s="80">
        <f>SUMIFS('декабрь 2024'!$G$5:$G$2311,'декабрь 2024'!$D$5:$D$2311,$B10,'декабрь 2024'!$J$5:$J$2311,AH$1)</f>
        <v>0</v>
      </c>
      <c r="AI10" s="21">
        <f t="shared" si="1"/>
        <v>2080</v>
      </c>
    </row>
    <row r="11" spans="2:35" ht="15" customHeight="1" x14ac:dyDescent="0.25">
      <c r="B11" s="84" t="s">
        <v>291</v>
      </c>
      <c r="C11" s="85">
        <v>22.68</v>
      </c>
      <c r="D11" s="80">
        <f>SUMIFS('декабрь 2024'!$G$5:$G$2311,'декабрь 2024'!$D$5:$D$2311,$B11,'декабрь 2024'!$J$5:$J$2311,D$1)</f>
        <v>0</v>
      </c>
      <c r="E11" s="80">
        <f>SUMIFS('декабрь 2024'!$G$5:$G$2311,'декабрь 2024'!$D$5:$D$2311,$B11,'декабрь 2024'!$J$5:$J$2311,E$1)</f>
        <v>0</v>
      </c>
      <c r="F11" s="80">
        <f>SUMIFS('декабрь 2024'!$G$5:$G$2311,'декабрь 2024'!$D$5:$D$2311,$B11,'декабрь 2024'!$J$5:$J$2311,F$1)</f>
        <v>0</v>
      </c>
      <c r="G11" s="80">
        <f>SUMIFS('декабрь 2024'!$G$5:$G$2311,'декабрь 2024'!$D$5:$D$2311,$B11,'декабрь 2024'!$J$5:$J$2311,G$1)</f>
        <v>0</v>
      </c>
      <c r="H11" s="80">
        <f>SUMIFS('декабрь 2024'!$G$5:$G$2311,'декабрь 2024'!$D$5:$D$2311,$B11,'декабрь 2024'!$J$5:$J$2311,H$1)</f>
        <v>0</v>
      </c>
      <c r="I11" s="80">
        <f>SUMIFS('декабрь 2024'!$G$5:$G$2311,'декабрь 2024'!$D$5:$D$2311,$B11,'декабрь 2024'!$J$5:$J$2311,I$1)</f>
        <v>0</v>
      </c>
      <c r="J11" s="80">
        <f>SUMIFS('декабрь 2024'!$G$5:$G$2311,'декабрь 2024'!$D$5:$D$2311,$B11,'декабрь 2024'!$J$5:$J$2311,J$1)</f>
        <v>0</v>
      </c>
      <c r="K11" s="80">
        <f>SUMIFS('декабрь 2024'!$G$5:$G$2311,'декабрь 2024'!$D$5:$D$2311,$B11,'декабрь 2024'!$J$5:$J$2311,K$1)</f>
        <v>0</v>
      </c>
      <c r="L11" s="80">
        <f>SUMIFS('декабрь 2024'!$G$5:$G$2311,'декабрь 2024'!$D$5:$D$2311,$B11,'декабрь 2024'!$J$5:$J$2311,L$1)</f>
        <v>0</v>
      </c>
      <c r="M11" s="80">
        <f>SUMIFS('декабрь 2024'!$G$5:$G$2311,'декабрь 2024'!$D$5:$D$2311,$B11,'декабрь 2024'!$J$5:$J$2311,M$1)</f>
        <v>0</v>
      </c>
      <c r="N11" s="80">
        <f>SUMIFS('декабрь 2024'!$G$5:$G$2311,'декабрь 2024'!$D$5:$D$2311,$B11,'декабрь 2024'!$J$5:$J$2311,N$1)</f>
        <v>0</v>
      </c>
      <c r="O11" s="80">
        <f>SUMIFS('декабрь 2024'!$G$5:$G$2311,'декабрь 2024'!$D$5:$D$2311,$B11,'декабрь 2024'!$J$5:$J$2311,O$1)</f>
        <v>0</v>
      </c>
      <c r="P11" s="80">
        <f>SUMIFS('декабрь 2024'!$G$5:$G$2311,'декабрь 2024'!$D$5:$D$2311,$B11,'декабрь 2024'!$J$5:$J$2311,P$1)</f>
        <v>0</v>
      </c>
      <c r="Q11" s="80">
        <f>SUMIFS('декабрь 2024'!$G$5:$G$2311,'декабрь 2024'!$D$5:$D$2311,$B11,'декабрь 2024'!$J$5:$J$2311,Q$1)</f>
        <v>0</v>
      </c>
      <c r="R11" s="80">
        <f>SUMIFS('декабрь 2024'!$G$5:$G$2311,'декабрь 2024'!$D$5:$D$2311,$B11,'декабрь 2024'!$J$5:$J$2311,R$1)</f>
        <v>0</v>
      </c>
      <c r="S11" s="80">
        <f>SUMIFS('декабрь 2024'!$G$5:$G$2311,'декабрь 2024'!$D$5:$D$2311,$B11,'декабрь 2024'!$J$5:$J$2311,S$1)</f>
        <v>0</v>
      </c>
      <c r="T11" s="80">
        <f>SUMIFS('декабрь 2024'!$G$5:$G$2311,'декабрь 2024'!$D$5:$D$2311,$B11,'декабрь 2024'!$J$5:$J$2311,T$1)</f>
        <v>0</v>
      </c>
      <c r="U11" s="80">
        <f>SUMIFS('декабрь 2024'!$G$5:$G$2311,'декабрь 2024'!$D$5:$D$2311,$B11,'декабрь 2024'!$J$5:$J$2311,U$1)</f>
        <v>0</v>
      </c>
      <c r="V11" s="80">
        <f>SUMIFS('декабрь 2024'!$G$5:$G$2311,'декабрь 2024'!$D$5:$D$2311,$B11,'декабрь 2024'!$J$5:$J$2311,V$1)</f>
        <v>0</v>
      </c>
      <c r="W11" s="80">
        <f>SUMIFS('декабрь 2024'!$G$5:$G$2311,'декабрь 2024'!$D$5:$D$2311,$B11,'декабрь 2024'!$J$5:$J$2311,W$1)</f>
        <v>0</v>
      </c>
      <c r="X11" s="80">
        <f>SUMIFS('декабрь 2024'!$G$5:$G$2311,'декабрь 2024'!$D$5:$D$2311,$B11,'декабрь 2024'!$J$5:$J$2311,X$1)</f>
        <v>0</v>
      </c>
      <c r="Y11" s="80">
        <f>SUMIFS('декабрь 2024'!$G$5:$G$2311,'декабрь 2024'!$D$5:$D$2311,$B11,'декабрь 2024'!$J$5:$J$2311,Y$1)</f>
        <v>0</v>
      </c>
      <c r="Z11" s="80">
        <f>SUMIFS('декабрь 2024'!$G$5:$G$2311,'декабрь 2024'!$D$5:$D$2311,$B11,'декабрь 2024'!$J$5:$J$2311,Z$1)</f>
        <v>0</v>
      </c>
      <c r="AA11" s="80">
        <f>SUMIFS('декабрь 2024'!$G$5:$G$2311,'декабрь 2024'!$D$5:$D$2311,$B11,'декабрь 2024'!$J$5:$J$2311,AA$1)</f>
        <v>0</v>
      </c>
      <c r="AB11" s="80">
        <f>SUMIFS('декабрь 2024'!$G$5:$G$2311,'декабрь 2024'!$D$5:$D$2311,$B11,'декабрь 2024'!$J$5:$J$2311,AB$1)</f>
        <v>0</v>
      </c>
      <c r="AC11" s="80">
        <f>SUMIFS('декабрь 2024'!$G$5:$G$2311,'декабрь 2024'!$D$5:$D$2311,$B11,'декабрь 2024'!$J$5:$J$2311,AC$1)</f>
        <v>0</v>
      </c>
      <c r="AD11" s="80">
        <f>SUMIFS('декабрь 2024'!$G$5:$G$2311,'декабрь 2024'!$D$5:$D$2311,$B11,'декабрь 2024'!$J$5:$J$2311,AD$1)</f>
        <v>0</v>
      </c>
      <c r="AE11" s="80">
        <f>SUMIFS('декабрь 2024'!$G$5:$G$2311,'декабрь 2024'!$D$5:$D$2311,$B11,'декабрь 2024'!$J$5:$J$2311,AE$1)</f>
        <v>0</v>
      </c>
      <c r="AF11" s="80">
        <f>SUMIFS('декабрь 2024'!$G$5:$G$2311,'декабрь 2024'!$D$5:$D$2311,$B11,'декабрь 2024'!$J$5:$J$2311,AF$1)</f>
        <v>0</v>
      </c>
      <c r="AG11" s="80">
        <f>SUMIFS('декабрь 2024'!$G$5:$G$2311,'декабрь 2024'!$D$5:$D$2311,$B11,'декабрь 2024'!$J$5:$J$2311,AG$1)</f>
        <v>0</v>
      </c>
      <c r="AH11" s="80">
        <f>SUMIFS('декабрь 2024'!$G$5:$G$2311,'декабрь 2024'!$D$5:$D$2311,$B11,'декабрь 2024'!$J$5:$J$2311,AH$1)</f>
        <v>0</v>
      </c>
      <c r="AI11" s="21">
        <f t="shared" si="1"/>
        <v>0</v>
      </c>
    </row>
    <row r="12" spans="2:35" ht="15" customHeight="1" x14ac:dyDescent="0.25">
      <c r="B12" s="84" t="s">
        <v>1880</v>
      </c>
      <c r="C12" s="85">
        <v>22.7</v>
      </c>
      <c r="D12" s="80">
        <f>SUMIFS('декабрь 2024'!$G$5:$G$2311,'декабрь 2024'!$D$5:$D$2311,$B12,'декабрь 2024'!$J$5:$J$2311,D$1)</f>
        <v>0</v>
      </c>
      <c r="E12" s="80">
        <f>SUMIFS('декабрь 2024'!$G$5:$G$2311,'декабрь 2024'!$D$5:$D$2311,$B12,'декабрь 2024'!$J$5:$J$2311,E$1)</f>
        <v>0</v>
      </c>
      <c r="F12" s="80">
        <f>SUMIFS('декабрь 2024'!$G$5:$G$2311,'декабрь 2024'!$D$5:$D$2311,$B12,'декабрь 2024'!$J$5:$J$2311,F$1)</f>
        <v>0</v>
      </c>
      <c r="G12" s="80">
        <f>SUMIFS('декабрь 2024'!$G$5:$G$2311,'декабрь 2024'!$D$5:$D$2311,$B12,'декабрь 2024'!$J$5:$J$2311,G$1)</f>
        <v>0</v>
      </c>
      <c r="H12" s="80">
        <f>SUMIFS('декабрь 2024'!$G$5:$G$2311,'декабрь 2024'!$D$5:$D$2311,$B12,'декабрь 2024'!$J$5:$J$2311,H$1)</f>
        <v>0</v>
      </c>
      <c r="I12" s="80">
        <f>SUMIFS('декабрь 2024'!$G$5:$G$2311,'декабрь 2024'!$D$5:$D$2311,$B12,'декабрь 2024'!$J$5:$J$2311,I$1)</f>
        <v>0</v>
      </c>
      <c r="J12" s="80">
        <f>SUMIFS('декабрь 2024'!$G$5:$G$2311,'декабрь 2024'!$D$5:$D$2311,$B12,'декабрь 2024'!$J$5:$J$2311,J$1)</f>
        <v>0</v>
      </c>
      <c r="K12" s="80">
        <f>SUMIFS('декабрь 2024'!$G$5:$G$2311,'декабрь 2024'!$D$5:$D$2311,$B12,'декабрь 2024'!$J$5:$J$2311,K$1)</f>
        <v>0</v>
      </c>
      <c r="L12" s="80">
        <f>SUMIFS('декабрь 2024'!$G$5:$G$2311,'декабрь 2024'!$D$5:$D$2311,$B12,'декабрь 2024'!$J$5:$J$2311,L$1)</f>
        <v>0</v>
      </c>
      <c r="M12" s="80">
        <f>SUMIFS('декабрь 2024'!$G$5:$G$2311,'декабрь 2024'!$D$5:$D$2311,$B12,'декабрь 2024'!$J$5:$J$2311,M$1)</f>
        <v>0</v>
      </c>
      <c r="N12" s="80">
        <f>SUMIFS('декабрь 2024'!$G$5:$G$2311,'декабрь 2024'!$D$5:$D$2311,$B12,'декабрь 2024'!$J$5:$J$2311,N$1)</f>
        <v>0</v>
      </c>
      <c r="O12" s="80">
        <f>SUMIFS('декабрь 2024'!$G$5:$G$2311,'декабрь 2024'!$D$5:$D$2311,$B12,'декабрь 2024'!$J$5:$J$2311,O$1)</f>
        <v>0</v>
      </c>
      <c r="P12" s="80">
        <f>SUMIFS('декабрь 2024'!$G$5:$G$2311,'декабрь 2024'!$D$5:$D$2311,$B12,'декабрь 2024'!$J$5:$J$2311,P$1)</f>
        <v>0</v>
      </c>
      <c r="Q12" s="80">
        <f>SUMIFS('декабрь 2024'!$G$5:$G$2311,'декабрь 2024'!$D$5:$D$2311,$B12,'декабрь 2024'!$J$5:$J$2311,Q$1)</f>
        <v>0</v>
      </c>
      <c r="R12" s="80">
        <f>SUMIFS('декабрь 2024'!$G$5:$G$2311,'декабрь 2024'!$D$5:$D$2311,$B12,'декабрь 2024'!$J$5:$J$2311,R$1)</f>
        <v>0</v>
      </c>
      <c r="S12" s="80">
        <f>SUMIFS('декабрь 2024'!$G$5:$G$2311,'декабрь 2024'!$D$5:$D$2311,$B12,'декабрь 2024'!$J$5:$J$2311,S$1)</f>
        <v>0</v>
      </c>
      <c r="T12" s="80">
        <f>SUMIFS('декабрь 2024'!$G$5:$G$2311,'декабрь 2024'!$D$5:$D$2311,$B12,'декабрь 2024'!$J$5:$J$2311,T$1)</f>
        <v>0</v>
      </c>
      <c r="U12" s="80">
        <f>SUMIFS('декабрь 2024'!$G$5:$G$2311,'декабрь 2024'!$D$5:$D$2311,$B12,'декабрь 2024'!$J$5:$J$2311,U$1)</f>
        <v>0</v>
      </c>
      <c r="V12" s="80">
        <f>SUMIFS('декабрь 2024'!$G$5:$G$2311,'декабрь 2024'!$D$5:$D$2311,$B12,'декабрь 2024'!$J$5:$J$2311,V$1)</f>
        <v>0</v>
      </c>
      <c r="W12" s="80">
        <f>SUMIFS('декабрь 2024'!$G$5:$G$2311,'декабрь 2024'!$D$5:$D$2311,$B12,'декабрь 2024'!$J$5:$J$2311,W$1)</f>
        <v>0</v>
      </c>
      <c r="X12" s="80">
        <f>SUMIFS('декабрь 2024'!$G$5:$G$2311,'декабрь 2024'!$D$5:$D$2311,$B12,'декабрь 2024'!$J$5:$J$2311,X$1)</f>
        <v>0</v>
      </c>
      <c r="Y12" s="80">
        <f>SUMIFS('декабрь 2024'!$G$5:$G$2311,'декабрь 2024'!$D$5:$D$2311,$B12,'декабрь 2024'!$J$5:$J$2311,Y$1)</f>
        <v>0</v>
      </c>
      <c r="Z12" s="80">
        <f>SUMIFS('декабрь 2024'!$G$5:$G$2311,'декабрь 2024'!$D$5:$D$2311,$B12,'декабрь 2024'!$J$5:$J$2311,Z$1)</f>
        <v>0</v>
      </c>
      <c r="AA12" s="80">
        <f>SUMIFS('декабрь 2024'!$G$5:$G$2311,'декабрь 2024'!$D$5:$D$2311,$B12,'декабрь 2024'!$J$5:$J$2311,AA$1)</f>
        <v>0</v>
      </c>
      <c r="AB12" s="80">
        <f>SUMIFS('декабрь 2024'!$G$5:$G$2311,'декабрь 2024'!$D$5:$D$2311,$B12,'декабрь 2024'!$J$5:$J$2311,AB$1)</f>
        <v>0</v>
      </c>
      <c r="AC12" s="80">
        <f>SUMIFS('декабрь 2024'!$G$5:$G$2311,'декабрь 2024'!$D$5:$D$2311,$B12,'декабрь 2024'!$J$5:$J$2311,AC$1)</f>
        <v>0</v>
      </c>
      <c r="AD12" s="80">
        <f>SUMIFS('декабрь 2024'!$G$5:$G$2311,'декабрь 2024'!$D$5:$D$2311,$B12,'декабрь 2024'!$J$5:$J$2311,AD$1)</f>
        <v>0</v>
      </c>
      <c r="AE12" s="80">
        <f>SUMIFS('декабрь 2024'!$G$5:$G$2311,'декабрь 2024'!$D$5:$D$2311,$B12,'декабрь 2024'!$J$5:$J$2311,AE$1)</f>
        <v>0</v>
      </c>
      <c r="AF12" s="80">
        <f>SUMIFS('декабрь 2024'!$G$5:$G$2311,'декабрь 2024'!$D$5:$D$2311,$B12,'декабрь 2024'!$J$5:$J$2311,AF$1)</f>
        <v>0</v>
      </c>
      <c r="AG12" s="80">
        <f>SUMIFS('декабрь 2024'!$G$5:$G$2311,'декабрь 2024'!$D$5:$D$2311,$B12,'декабрь 2024'!$J$5:$J$2311,AG$1)</f>
        <v>0</v>
      </c>
      <c r="AH12" s="80">
        <f>SUMIFS('декабрь 2024'!$G$5:$G$2311,'декабрь 2024'!$D$5:$D$2311,$B12,'декабрь 2024'!$J$5:$J$2311,AH$1)</f>
        <v>0</v>
      </c>
      <c r="AI12" s="21">
        <f t="shared" si="1"/>
        <v>0</v>
      </c>
    </row>
    <row r="13" spans="2:35" ht="15" customHeight="1" x14ac:dyDescent="0.25">
      <c r="B13" s="84" t="s">
        <v>1043</v>
      </c>
      <c r="C13" s="85">
        <v>25</v>
      </c>
      <c r="D13" s="80">
        <f>SUMIFS('декабрь 2024'!$G$5:$G$2311,'декабрь 2024'!$D$5:$D$2311,$B13,'декабрь 2024'!$J$5:$J$2311,D$1)</f>
        <v>0</v>
      </c>
      <c r="E13" s="80">
        <f>SUMIFS('декабрь 2024'!$G$5:$G$2311,'декабрь 2024'!$D$5:$D$2311,$B13,'декабрь 2024'!$J$5:$J$2311,E$1)</f>
        <v>0</v>
      </c>
      <c r="F13" s="80">
        <f>SUMIFS('декабрь 2024'!$G$5:$G$2311,'декабрь 2024'!$D$5:$D$2311,$B13,'декабрь 2024'!$J$5:$J$2311,F$1)</f>
        <v>0</v>
      </c>
      <c r="G13" s="80">
        <f>SUMIFS('декабрь 2024'!$G$5:$G$2311,'декабрь 2024'!$D$5:$D$2311,$B13,'декабрь 2024'!$J$5:$J$2311,G$1)</f>
        <v>0</v>
      </c>
      <c r="H13" s="80">
        <f>SUMIFS('декабрь 2024'!$G$5:$G$2311,'декабрь 2024'!$D$5:$D$2311,$B13,'декабрь 2024'!$J$5:$J$2311,H$1)</f>
        <v>0</v>
      </c>
      <c r="I13" s="80">
        <f>SUMIFS('декабрь 2024'!$G$5:$G$2311,'декабрь 2024'!$D$5:$D$2311,$B13,'декабрь 2024'!$J$5:$J$2311,I$1)</f>
        <v>0</v>
      </c>
      <c r="J13" s="80">
        <f>SUMIFS('декабрь 2024'!$G$5:$G$2311,'декабрь 2024'!$D$5:$D$2311,$B13,'декабрь 2024'!$J$5:$J$2311,J$1)</f>
        <v>0</v>
      </c>
      <c r="K13" s="80">
        <f>SUMIFS('декабрь 2024'!$G$5:$G$2311,'декабрь 2024'!$D$5:$D$2311,$B13,'декабрь 2024'!$J$5:$J$2311,K$1)</f>
        <v>0</v>
      </c>
      <c r="L13" s="80">
        <f>SUMIFS('декабрь 2024'!$G$5:$G$2311,'декабрь 2024'!$D$5:$D$2311,$B13,'декабрь 2024'!$J$5:$J$2311,L$1)</f>
        <v>0</v>
      </c>
      <c r="M13" s="80">
        <f>SUMIFS('декабрь 2024'!$G$5:$G$2311,'декабрь 2024'!$D$5:$D$2311,$B13,'декабрь 2024'!$J$5:$J$2311,M$1)</f>
        <v>0</v>
      </c>
      <c r="N13" s="80">
        <f>SUMIFS('декабрь 2024'!$G$5:$G$2311,'декабрь 2024'!$D$5:$D$2311,$B13,'декабрь 2024'!$J$5:$J$2311,N$1)</f>
        <v>0</v>
      </c>
      <c r="O13" s="80">
        <f>SUMIFS('декабрь 2024'!$G$5:$G$2311,'декабрь 2024'!$D$5:$D$2311,$B13,'декабрь 2024'!$J$5:$J$2311,O$1)</f>
        <v>0</v>
      </c>
      <c r="P13" s="80">
        <f>SUMIFS('декабрь 2024'!$G$5:$G$2311,'декабрь 2024'!$D$5:$D$2311,$B13,'декабрь 2024'!$J$5:$J$2311,P$1)</f>
        <v>0</v>
      </c>
      <c r="Q13" s="80">
        <f>SUMIFS('декабрь 2024'!$G$5:$G$2311,'декабрь 2024'!$D$5:$D$2311,$B13,'декабрь 2024'!$J$5:$J$2311,Q$1)</f>
        <v>0</v>
      </c>
      <c r="R13" s="80">
        <f>SUMIFS('декабрь 2024'!$G$5:$G$2311,'декабрь 2024'!$D$5:$D$2311,$B13,'декабрь 2024'!$J$5:$J$2311,R$1)</f>
        <v>0</v>
      </c>
      <c r="S13" s="80">
        <f>SUMIFS('декабрь 2024'!$G$5:$G$2311,'декабрь 2024'!$D$5:$D$2311,$B13,'декабрь 2024'!$J$5:$J$2311,S$1)</f>
        <v>0</v>
      </c>
      <c r="T13" s="80">
        <f>SUMIFS('декабрь 2024'!$G$5:$G$2311,'декабрь 2024'!$D$5:$D$2311,$B13,'декабрь 2024'!$J$5:$J$2311,T$1)</f>
        <v>0</v>
      </c>
      <c r="U13" s="80">
        <f>SUMIFS('декабрь 2024'!$G$5:$G$2311,'декабрь 2024'!$D$5:$D$2311,$B13,'декабрь 2024'!$J$5:$J$2311,U$1)</f>
        <v>700</v>
      </c>
      <c r="V13" s="80">
        <f>SUMIFS('декабрь 2024'!$G$5:$G$2311,'декабрь 2024'!$D$5:$D$2311,$B13,'декабрь 2024'!$J$5:$J$2311,V$1)</f>
        <v>0</v>
      </c>
      <c r="W13" s="80">
        <f>SUMIFS('декабрь 2024'!$G$5:$G$2311,'декабрь 2024'!$D$5:$D$2311,$B13,'декабрь 2024'!$J$5:$J$2311,W$1)</f>
        <v>0</v>
      </c>
      <c r="X13" s="80">
        <f>SUMIFS('декабрь 2024'!$G$5:$G$2311,'декабрь 2024'!$D$5:$D$2311,$B13,'декабрь 2024'!$J$5:$J$2311,X$1)</f>
        <v>0</v>
      </c>
      <c r="Y13" s="80">
        <f>SUMIFS('декабрь 2024'!$G$5:$G$2311,'декабрь 2024'!$D$5:$D$2311,$B13,'декабрь 2024'!$J$5:$J$2311,Y$1)</f>
        <v>0</v>
      </c>
      <c r="Z13" s="80">
        <f>SUMIFS('декабрь 2024'!$G$5:$G$2311,'декабрь 2024'!$D$5:$D$2311,$B13,'декабрь 2024'!$J$5:$J$2311,Z$1)</f>
        <v>0</v>
      </c>
      <c r="AA13" s="80">
        <f>SUMIFS('декабрь 2024'!$G$5:$G$2311,'декабрь 2024'!$D$5:$D$2311,$B13,'декабрь 2024'!$J$5:$J$2311,AA$1)</f>
        <v>0</v>
      </c>
      <c r="AB13" s="80">
        <f>SUMIFS('декабрь 2024'!$G$5:$G$2311,'декабрь 2024'!$D$5:$D$2311,$B13,'декабрь 2024'!$J$5:$J$2311,AB$1)</f>
        <v>0</v>
      </c>
      <c r="AC13" s="80">
        <f>SUMIFS('декабрь 2024'!$G$5:$G$2311,'декабрь 2024'!$D$5:$D$2311,$B13,'декабрь 2024'!$J$5:$J$2311,AC$1)</f>
        <v>0</v>
      </c>
      <c r="AD13" s="80">
        <f>SUMIFS('декабрь 2024'!$G$5:$G$2311,'декабрь 2024'!$D$5:$D$2311,$B13,'декабрь 2024'!$J$5:$J$2311,AD$1)</f>
        <v>0</v>
      </c>
      <c r="AE13" s="80">
        <f>SUMIFS('декабрь 2024'!$G$5:$G$2311,'декабрь 2024'!$D$5:$D$2311,$B13,'декабрь 2024'!$J$5:$J$2311,AE$1)</f>
        <v>0</v>
      </c>
      <c r="AF13" s="80">
        <f>SUMIFS('декабрь 2024'!$G$5:$G$2311,'декабрь 2024'!$D$5:$D$2311,$B13,'декабрь 2024'!$J$5:$J$2311,AF$1)</f>
        <v>0</v>
      </c>
      <c r="AG13" s="80">
        <f>SUMIFS('декабрь 2024'!$G$5:$G$2311,'декабрь 2024'!$D$5:$D$2311,$B13,'декабрь 2024'!$J$5:$J$2311,AG$1)</f>
        <v>0</v>
      </c>
      <c r="AH13" s="80">
        <f>SUMIFS('декабрь 2024'!$G$5:$G$2311,'декабрь 2024'!$D$5:$D$2311,$B13,'декабрь 2024'!$J$5:$J$2311,AH$1)</f>
        <v>0</v>
      </c>
      <c r="AI13" s="21">
        <f t="shared" si="1"/>
        <v>700</v>
      </c>
    </row>
    <row r="14" spans="2:35" ht="15" customHeight="1" x14ac:dyDescent="0.25">
      <c r="B14" s="84" t="s">
        <v>1097</v>
      </c>
      <c r="C14" s="85">
        <v>25</v>
      </c>
      <c r="D14" s="80">
        <f>SUMIFS('декабрь 2024'!$G$5:$G$2311,'декабрь 2024'!$D$5:$D$2311,$B14,'декабрь 2024'!$J$5:$J$2311,D$1)</f>
        <v>0</v>
      </c>
      <c r="E14" s="80">
        <f>SUMIFS('декабрь 2024'!$G$5:$G$2311,'декабрь 2024'!$D$5:$D$2311,$B14,'декабрь 2024'!$J$5:$J$2311,E$1)</f>
        <v>0</v>
      </c>
      <c r="F14" s="80">
        <f>SUMIFS('декабрь 2024'!$G$5:$G$2311,'декабрь 2024'!$D$5:$D$2311,$B14,'декабрь 2024'!$J$5:$J$2311,F$1)</f>
        <v>0</v>
      </c>
      <c r="G14" s="80">
        <f>SUMIFS('декабрь 2024'!$G$5:$G$2311,'декабрь 2024'!$D$5:$D$2311,$B14,'декабрь 2024'!$J$5:$J$2311,G$1)</f>
        <v>0</v>
      </c>
      <c r="H14" s="80">
        <f>SUMIFS('декабрь 2024'!$G$5:$G$2311,'декабрь 2024'!$D$5:$D$2311,$B14,'декабрь 2024'!$J$5:$J$2311,H$1)</f>
        <v>0</v>
      </c>
      <c r="I14" s="80">
        <f>SUMIFS('декабрь 2024'!$G$5:$G$2311,'декабрь 2024'!$D$5:$D$2311,$B14,'декабрь 2024'!$J$5:$J$2311,I$1)</f>
        <v>0</v>
      </c>
      <c r="J14" s="80">
        <f>SUMIFS('декабрь 2024'!$G$5:$G$2311,'декабрь 2024'!$D$5:$D$2311,$B14,'декабрь 2024'!$J$5:$J$2311,J$1)</f>
        <v>0</v>
      </c>
      <c r="K14" s="80">
        <f>SUMIFS('декабрь 2024'!$G$5:$G$2311,'декабрь 2024'!$D$5:$D$2311,$B14,'декабрь 2024'!$J$5:$J$2311,K$1)</f>
        <v>0</v>
      </c>
      <c r="L14" s="80">
        <f>SUMIFS('декабрь 2024'!$G$5:$G$2311,'декабрь 2024'!$D$5:$D$2311,$B14,'декабрь 2024'!$J$5:$J$2311,L$1)</f>
        <v>2100</v>
      </c>
      <c r="M14" s="80">
        <f>SUMIFS('декабрь 2024'!$G$5:$G$2311,'декабрь 2024'!$D$5:$D$2311,$B14,'декабрь 2024'!$J$5:$J$2311,M$1)</f>
        <v>0</v>
      </c>
      <c r="N14" s="80">
        <f>SUMIFS('декабрь 2024'!$G$5:$G$2311,'декабрь 2024'!$D$5:$D$2311,$B14,'декабрь 2024'!$J$5:$J$2311,N$1)</f>
        <v>805</v>
      </c>
      <c r="O14" s="80">
        <f>SUMIFS('декабрь 2024'!$G$5:$G$2311,'декабрь 2024'!$D$5:$D$2311,$B14,'декабрь 2024'!$J$5:$J$2311,O$1)</f>
        <v>0</v>
      </c>
      <c r="P14" s="80">
        <f>SUMIFS('декабрь 2024'!$G$5:$G$2311,'декабрь 2024'!$D$5:$D$2311,$B14,'декабрь 2024'!$J$5:$J$2311,P$1)</f>
        <v>0</v>
      </c>
      <c r="Q14" s="80">
        <f>SUMIFS('декабрь 2024'!$G$5:$G$2311,'декабрь 2024'!$D$5:$D$2311,$B14,'декабрь 2024'!$J$5:$J$2311,Q$1)</f>
        <v>0</v>
      </c>
      <c r="R14" s="80">
        <f>SUMIFS('декабрь 2024'!$G$5:$G$2311,'декабрь 2024'!$D$5:$D$2311,$B14,'декабрь 2024'!$J$5:$J$2311,R$1)</f>
        <v>0</v>
      </c>
      <c r="S14" s="80">
        <f>SUMIFS('декабрь 2024'!$G$5:$G$2311,'декабрь 2024'!$D$5:$D$2311,$B14,'декабрь 2024'!$J$5:$J$2311,S$1)</f>
        <v>595</v>
      </c>
      <c r="T14" s="80">
        <f>SUMIFS('декабрь 2024'!$G$5:$G$2311,'декабрь 2024'!$D$5:$D$2311,$B14,'декабрь 2024'!$J$5:$J$2311,T$1)</f>
        <v>0</v>
      </c>
      <c r="U14" s="80">
        <f>SUMIFS('декабрь 2024'!$G$5:$G$2311,'декабрь 2024'!$D$5:$D$2311,$B14,'декабрь 2024'!$J$5:$J$2311,U$1)</f>
        <v>0</v>
      </c>
      <c r="V14" s="80">
        <f>SUMIFS('декабрь 2024'!$G$5:$G$2311,'декабрь 2024'!$D$5:$D$2311,$B14,'декабрь 2024'!$J$5:$J$2311,V$1)</f>
        <v>0</v>
      </c>
      <c r="W14" s="80">
        <f>SUMIFS('декабрь 2024'!$G$5:$G$2311,'декабрь 2024'!$D$5:$D$2311,$B14,'декабрь 2024'!$J$5:$J$2311,W$1)</f>
        <v>0</v>
      </c>
      <c r="X14" s="80">
        <f>SUMIFS('декабрь 2024'!$G$5:$G$2311,'декабрь 2024'!$D$5:$D$2311,$B14,'декабрь 2024'!$J$5:$J$2311,X$1)</f>
        <v>0</v>
      </c>
      <c r="Y14" s="80">
        <f>SUMIFS('декабрь 2024'!$G$5:$G$2311,'декабрь 2024'!$D$5:$D$2311,$B14,'декабрь 2024'!$J$5:$J$2311,Y$1)</f>
        <v>0</v>
      </c>
      <c r="Z14" s="80">
        <f>SUMIFS('декабрь 2024'!$G$5:$G$2311,'декабрь 2024'!$D$5:$D$2311,$B14,'декабрь 2024'!$J$5:$J$2311,Z$1)</f>
        <v>0</v>
      </c>
      <c r="AA14" s="80">
        <f>SUMIFS('декабрь 2024'!$G$5:$G$2311,'декабрь 2024'!$D$5:$D$2311,$B14,'декабрь 2024'!$J$5:$J$2311,AA$1)</f>
        <v>0</v>
      </c>
      <c r="AB14" s="80">
        <f>SUMIFS('декабрь 2024'!$G$5:$G$2311,'декабрь 2024'!$D$5:$D$2311,$B14,'декабрь 2024'!$J$5:$J$2311,AB$1)</f>
        <v>0</v>
      </c>
      <c r="AC14" s="80">
        <f>SUMIFS('декабрь 2024'!$G$5:$G$2311,'декабрь 2024'!$D$5:$D$2311,$B14,'декабрь 2024'!$J$5:$J$2311,AC$1)</f>
        <v>0</v>
      </c>
      <c r="AD14" s="80">
        <f>SUMIFS('декабрь 2024'!$G$5:$G$2311,'декабрь 2024'!$D$5:$D$2311,$B14,'декабрь 2024'!$J$5:$J$2311,AD$1)</f>
        <v>0</v>
      </c>
      <c r="AE14" s="80">
        <f>SUMIFS('декабрь 2024'!$G$5:$G$2311,'декабрь 2024'!$D$5:$D$2311,$B14,'декабрь 2024'!$J$5:$J$2311,AE$1)</f>
        <v>805</v>
      </c>
      <c r="AF14" s="80">
        <f>SUMIFS('декабрь 2024'!$G$5:$G$2311,'декабрь 2024'!$D$5:$D$2311,$B14,'декабрь 2024'!$J$5:$J$2311,AF$1)</f>
        <v>0</v>
      </c>
      <c r="AG14" s="80">
        <f>SUMIFS('декабрь 2024'!$G$5:$G$2311,'декабрь 2024'!$D$5:$D$2311,$B14,'декабрь 2024'!$J$5:$J$2311,AG$1)</f>
        <v>0</v>
      </c>
      <c r="AH14" s="80">
        <f>SUMIFS('декабрь 2024'!$G$5:$G$2311,'декабрь 2024'!$D$5:$D$2311,$B14,'декабрь 2024'!$J$5:$J$2311,AH$1)</f>
        <v>0</v>
      </c>
      <c r="AI14" s="21">
        <f t="shared" si="1"/>
        <v>4305</v>
      </c>
    </row>
    <row r="15" spans="2:35" ht="15" customHeight="1" x14ac:dyDescent="0.25">
      <c r="B15" s="84" t="s">
        <v>295</v>
      </c>
      <c r="C15" s="85">
        <v>22.7</v>
      </c>
      <c r="D15" s="80">
        <f>SUMIFS('декабрь 2024'!$G$5:$G$2311,'декабрь 2024'!$D$5:$D$2311,$B15,'декабрь 2024'!$J$5:$J$2311,D$1)</f>
        <v>0</v>
      </c>
      <c r="E15" s="80">
        <f>SUMIFS('декабрь 2024'!$G$5:$G$2311,'декабрь 2024'!$D$5:$D$2311,$B15,'декабрь 2024'!$J$5:$J$2311,E$1)</f>
        <v>0</v>
      </c>
      <c r="F15" s="80">
        <f>SUMIFS('декабрь 2024'!$G$5:$G$2311,'декабрь 2024'!$D$5:$D$2311,$B15,'декабрь 2024'!$J$5:$J$2311,F$1)</f>
        <v>0</v>
      </c>
      <c r="G15" s="80">
        <f>SUMIFS('декабрь 2024'!$G$5:$G$2311,'декабрь 2024'!$D$5:$D$2311,$B15,'декабрь 2024'!$J$5:$J$2311,G$1)</f>
        <v>0</v>
      </c>
      <c r="H15" s="80">
        <f>SUMIFS('декабрь 2024'!$G$5:$G$2311,'декабрь 2024'!$D$5:$D$2311,$B15,'декабрь 2024'!$J$5:$J$2311,H$1)</f>
        <v>0</v>
      </c>
      <c r="I15" s="80">
        <f>SUMIFS('декабрь 2024'!$G$5:$G$2311,'декабрь 2024'!$D$5:$D$2311,$B15,'декабрь 2024'!$J$5:$J$2311,I$1)</f>
        <v>0</v>
      </c>
      <c r="J15" s="80">
        <f>SUMIFS('декабрь 2024'!$G$5:$G$2311,'декабрь 2024'!$D$5:$D$2311,$B15,'декабрь 2024'!$J$5:$J$2311,J$1)</f>
        <v>0</v>
      </c>
      <c r="K15" s="80">
        <f>SUMIFS('декабрь 2024'!$G$5:$G$2311,'декабрь 2024'!$D$5:$D$2311,$B15,'декабрь 2024'!$J$5:$J$2311,K$1)</f>
        <v>0</v>
      </c>
      <c r="L15" s="80">
        <f>SUMIFS('декабрь 2024'!$G$5:$G$2311,'декабрь 2024'!$D$5:$D$2311,$B15,'декабрь 2024'!$J$5:$J$2311,L$1)</f>
        <v>0</v>
      </c>
      <c r="M15" s="80">
        <f>SUMIFS('декабрь 2024'!$G$5:$G$2311,'декабрь 2024'!$D$5:$D$2311,$B15,'декабрь 2024'!$J$5:$J$2311,M$1)</f>
        <v>0</v>
      </c>
      <c r="N15" s="80">
        <f>SUMIFS('декабрь 2024'!$G$5:$G$2311,'декабрь 2024'!$D$5:$D$2311,$B15,'декабрь 2024'!$J$5:$J$2311,N$1)</f>
        <v>0</v>
      </c>
      <c r="O15" s="80">
        <f>SUMIFS('декабрь 2024'!$G$5:$G$2311,'декабрь 2024'!$D$5:$D$2311,$B15,'декабрь 2024'!$J$5:$J$2311,O$1)</f>
        <v>0</v>
      </c>
      <c r="P15" s="80">
        <f>SUMIFS('декабрь 2024'!$G$5:$G$2311,'декабрь 2024'!$D$5:$D$2311,$B15,'декабрь 2024'!$J$5:$J$2311,P$1)</f>
        <v>0</v>
      </c>
      <c r="Q15" s="80">
        <f>SUMIFS('декабрь 2024'!$G$5:$G$2311,'декабрь 2024'!$D$5:$D$2311,$B15,'декабрь 2024'!$J$5:$J$2311,Q$1)</f>
        <v>0</v>
      </c>
      <c r="R15" s="80">
        <f>SUMIFS('декабрь 2024'!$G$5:$G$2311,'декабрь 2024'!$D$5:$D$2311,$B15,'декабрь 2024'!$J$5:$J$2311,R$1)</f>
        <v>0</v>
      </c>
      <c r="S15" s="80">
        <f>SUMIFS('декабрь 2024'!$G$5:$G$2311,'декабрь 2024'!$D$5:$D$2311,$B15,'декабрь 2024'!$J$5:$J$2311,S$1)</f>
        <v>0</v>
      </c>
      <c r="T15" s="80">
        <f>SUMIFS('декабрь 2024'!$G$5:$G$2311,'декабрь 2024'!$D$5:$D$2311,$B15,'декабрь 2024'!$J$5:$J$2311,T$1)</f>
        <v>0</v>
      </c>
      <c r="U15" s="80">
        <f>SUMIFS('декабрь 2024'!$G$5:$G$2311,'декабрь 2024'!$D$5:$D$2311,$B15,'декабрь 2024'!$J$5:$J$2311,U$1)</f>
        <v>0</v>
      </c>
      <c r="V15" s="80">
        <f>SUMIFS('декабрь 2024'!$G$5:$G$2311,'декабрь 2024'!$D$5:$D$2311,$B15,'декабрь 2024'!$J$5:$J$2311,V$1)</f>
        <v>0</v>
      </c>
      <c r="W15" s="80">
        <f>SUMIFS('декабрь 2024'!$G$5:$G$2311,'декабрь 2024'!$D$5:$D$2311,$B15,'декабрь 2024'!$J$5:$J$2311,W$1)</f>
        <v>0</v>
      </c>
      <c r="X15" s="80">
        <f>SUMIFS('декабрь 2024'!$G$5:$G$2311,'декабрь 2024'!$D$5:$D$2311,$B15,'декабрь 2024'!$J$5:$J$2311,X$1)</f>
        <v>0</v>
      </c>
      <c r="Y15" s="80">
        <f>SUMIFS('декабрь 2024'!$G$5:$G$2311,'декабрь 2024'!$D$5:$D$2311,$B15,'декабрь 2024'!$J$5:$J$2311,Y$1)</f>
        <v>0</v>
      </c>
      <c r="Z15" s="80">
        <f>SUMIFS('декабрь 2024'!$G$5:$G$2311,'декабрь 2024'!$D$5:$D$2311,$B15,'декабрь 2024'!$J$5:$J$2311,Z$1)</f>
        <v>0</v>
      </c>
      <c r="AA15" s="80">
        <f>SUMIFS('декабрь 2024'!$G$5:$G$2311,'декабрь 2024'!$D$5:$D$2311,$B15,'декабрь 2024'!$J$5:$J$2311,AA$1)</f>
        <v>0</v>
      </c>
      <c r="AB15" s="80">
        <f>SUMIFS('декабрь 2024'!$G$5:$G$2311,'декабрь 2024'!$D$5:$D$2311,$B15,'декабрь 2024'!$J$5:$J$2311,AB$1)</f>
        <v>0</v>
      </c>
      <c r="AC15" s="80">
        <f>SUMIFS('декабрь 2024'!$G$5:$G$2311,'декабрь 2024'!$D$5:$D$2311,$B15,'декабрь 2024'!$J$5:$J$2311,AC$1)</f>
        <v>0</v>
      </c>
      <c r="AD15" s="80">
        <f>SUMIFS('декабрь 2024'!$G$5:$G$2311,'декабрь 2024'!$D$5:$D$2311,$B15,'декабрь 2024'!$J$5:$J$2311,AD$1)</f>
        <v>0</v>
      </c>
      <c r="AE15" s="80">
        <f>SUMIFS('декабрь 2024'!$G$5:$G$2311,'декабрь 2024'!$D$5:$D$2311,$B15,'декабрь 2024'!$J$5:$J$2311,AE$1)</f>
        <v>0</v>
      </c>
      <c r="AF15" s="80">
        <f>SUMIFS('декабрь 2024'!$G$5:$G$2311,'декабрь 2024'!$D$5:$D$2311,$B15,'декабрь 2024'!$J$5:$J$2311,AF$1)</f>
        <v>0</v>
      </c>
      <c r="AG15" s="80">
        <f>SUMIFS('декабрь 2024'!$G$5:$G$2311,'декабрь 2024'!$D$5:$D$2311,$B15,'декабрь 2024'!$J$5:$J$2311,AG$1)</f>
        <v>0</v>
      </c>
      <c r="AH15" s="80">
        <f>SUMIFS('декабрь 2024'!$G$5:$G$2311,'декабрь 2024'!$D$5:$D$2311,$B15,'декабрь 2024'!$J$5:$J$2311,AH$1)</f>
        <v>0</v>
      </c>
      <c r="AI15" s="21">
        <f t="shared" si="1"/>
        <v>0</v>
      </c>
    </row>
    <row r="16" spans="2:35" ht="15" customHeight="1" x14ac:dyDescent="0.25">
      <c r="B16" s="81" t="s">
        <v>297</v>
      </c>
      <c r="C16" s="82">
        <v>22.7</v>
      </c>
      <c r="D16" s="80">
        <f>SUMIFS('декабрь 2024'!$G$5:$G$2311,'декабрь 2024'!$D$5:$D$2311,$B16,'декабрь 2024'!$J$5:$J$2311,D$1)</f>
        <v>0</v>
      </c>
      <c r="E16" s="80">
        <f>SUMIFS('декабрь 2024'!$G$5:$G$2311,'декабрь 2024'!$D$5:$D$2311,$B16,'декабрь 2024'!$J$5:$J$2311,E$1)</f>
        <v>0</v>
      </c>
      <c r="F16" s="80">
        <f>SUMIFS('декабрь 2024'!$G$5:$G$2311,'декабрь 2024'!$D$5:$D$2311,$B16,'декабрь 2024'!$J$5:$J$2311,F$1)</f>
        <v>0</v>
      </c>
      <c r="G16" s="80">
        <f>SUMIFS('декабрь 2024'!$G$5:$G$2311,'декабрь 2024'!$D$5:$D$2311,$B16,'декабрь 2024'!$J$5:$J$2311,G$1)</f>
        <v>0</v>
      </c>
      <c r="H16" s="80">
        <f>SUMIFS('декабрь 2024'!$G$5:$G$2311,'декабрь 2024'!$D$5:$D$2311,$B16,'декабрь 2024'!$J$5:$J$2311,H$1)</f>
        <v>0</v>
      </c>
      <c r="I16" s="80">
        <f>SUMIFS('декабрь 2024'!$G$5:$G$2311,'декабрь 2024'!$D$5:$D$2311,$B16,'декабрь 2024'!$J$5:$J$2311,I$1)</f>
        <v>0</v>
      </c>
      <c r="J16" s="80">
        <f>SUMIFS('декабрь 2024'!$G$5:$G$2311,'декабрь 2024'!$D$5:$D$2311,$B16,'декабрь 2024'!$J$5:$J$2311,J$1)</f>
        <v>0</v>
      </c>
      <c r="K16" s="80">
        <f>SUMIFS('декабрь 2024'!$G$5:$G$2311,'декабрь 2024'!$D$5:$D$2311,$B16,'декабрь 2024'!$J$5:$J$2311,K$1)</f>
        <v>0</v>
      </c>
      <c r="L16" s="80">
        <f>SUMIFS('декабрь 2024'!$G$5:$G$2311,'декабрь 2024'!$D$5:$D$2311,$B16,'декабрь 2024'!$J$5:$J$2311,L$1)</f>
        <v>0</v>
      </c>
      <c r="M16" s="80">
        <f>SUMIFS('декабрь 2024'!$G$5:$G$2311,'декабрь 2024'!$D$5:$D$2311,$B16,'декабрь 2024'!$J$5:$J$2311,M$1)</f>
        <v>0</v>
      </c>
      <c r="N16" s="80">
        <f>SUMIFS('декабрь 2024'!$G$5:$G$2311,'декабрь 2024'!$D$5:$D$2311,$B16,'декабрь 2024'!$J$5:$J$2311,N$1)</f>
        <v>0</v>
      </c>
      <c r="O16" s="80">
        <f>SUMIFS('декабрь 2024'!$G$5:$G$2311,'декабрь 2024'!$D$5:$D$2311,$B16,'декабрь 2024'!$J$5:$J$2311,O$1)</f>
        <v>0</v>
      </c>
      <c r="P16" s="80">
        <f>SUMIFS('декабрь 2024'!$G$5:$G$2311,'декабрь 2024'!$D$5:$D$2311,$B16,'декабрь 2024'!$J$5:$J$2311,P$1)</f>
        <v>0</v>
      </c>
      <c r="Q16" s="80">
        <f>SUMIFS('декабрь 2024'!$G$5:$G$2311,'декабрь 2024'!$D$5:$D$2311,$B16,'декабрь 2024'!$J$5:$J$2311,Q$1)</f>
        <v>0</v>
      </c>
      <c r="R16" s="80">
        <f>SUMIFS('декабрь 2024'!$G$5:$G$2311,'декабрь 2024'!$D$5:$D$2311,$B16,'декабрь 2024'!$J$5:$J$2311,R$1)</f>
        <v>0</v>
      </c>
      <c r="S16" s="80">
        <f>SUMIFS('декабрь 2024'!$G$5:$G$2311,'декабрь 2024'!$D$5:$D$2311,$B16,'декабрь 2024'!$J$5:$J$2311,S$1)</f>
        <v>0</v>
      </c>
      <c r="T16" s="80">
        <f>SUMIFS('декабрь 2024'!$G$5:$G$2311,'декабрь 2024'!$D$5:$D$2311,$B16,'декабрь 2024'!$J$5:$J$2311,T$1)</f>
        <v>0</v>
      </c>
      <c r="U16" s="80">
        <f>SUMIFS('декабрь 2024'!$G$5:$G$2311,'декабрь 2024'!$D$5:$D$2311,$B16,'декабрь 2024'!$J$5:$J$2311,U$1)</f>
        <v>0</v>
      </c>
      <c r="V16" s="80">
        <f>SUMIFS('декабрь 2024'!$G$5:$G$2311,'декабрь 2024'!$D$5:$D$2311,$B16,'декабрь 2024'!$J$5:$J$2311,V$1)</f>
        <v>0</v>
      </c>
      <c r="W16" s="80">
        <f>SUMIFS('декабрь 2024'!$G$5:$G$2311,'декабрь 2024'!$D$5:$D$2311,$B16,'декабрь 2024'!$J$5:$J$2311,W$1)</f>
        <v>0</v>
      </c>
      <c r="X16" s="80">
        <f>SUMIFS('декабрь 2024'!$G$5:$G$2311,'декабрь 2024'!$D$5:$D$2311,$B16,'декабрь 2024'!$J$5:$J$2311,X$1)</f>
        <v>0</v>
      </c>
      <c r="Y16" s="80">
        <f>SUMIFS('декабрь 2024'!$G$5:$G$2311,'декабрь 2024'!$D$5:$D$2311,$B16,'декабрь 2024'!$J$5:$J$2311,Y$1)</f>
        <v>0</v>
      </c>
      <c r="Z16" s="80">
        <f>SUMIFS('декабрь 2024'!$G$5:$G$2311,'декабрь 2024'!$D$5:$D$2311,$B16,'декабрь 2024'!$J$5:$J$2311,Z$1)</f>
        <v>0</v>
      </c>
      <c r="AA16" s="80">
        <f>SUMIFS('декабрь 2024'!$G$5:$G$2311,'декабрь 2024'!$D$5:$D$2311,$B16,'декабрь 2024'!$J$5:$J$2311,AA$1)</f>
        <v>0</v>
      </c>
      <c r="AB16" s="80">
        <f>SUMIFS('декабрь 2024'!$G$5:$G$2311,'декабрь 2024'!$D$5:$D$2311,$B16,'декабрь 2024'!$J$5:$J$2311,AB$1)</f>
        <v>0</v>
      </c>
      <c r="AC16" s="80">
        <f>SUMIFS('декабрь 2024'!$G$5:$G$2311,'декабрь 2024'!$D$5:$D$2311,$B16,'декабрь 2024'!$J$5:$J$2311,AC$1)</f>
        <v>0</v>
      </c>
      <c r="AD16" s="80">
        <f>SUMIFS('декабрь 2024'!$G$5:$G$2311,'декабрь 2024'!$D$5:$D$2311,$B16,'декабрь 2024'!$J$5:$J$2311,AD$1)</f>
        <v>0</v>
      </c>
      <c r="AE16" s="80">
        <f>SUMIFS('декабрь 2024'!$G$5:$G$2311,'декабрь 2024'!$D$5:$D$2311,$B16,'декабрь 2024'!$J$5:$J$2311,AE$1)</f>
        <v>0</v>
      </c>
      <c r="AF16" s="80">
        <f>SUMIFS('декабрь 2024'!$G$5:$G$2311,'декабрь 2024'!$D$5:$D$2311,$B16,'декабрь 2024'!$J$5:$J$2311,AF$1)</f>
        <v>0</v>
      </c>
      <c r="AG16" s="80">
        <f>SUMIFS('декабрь 2024'!$G$5:$G$2311,'декабрь 2024'!$D$5:$D$2311,$B16,'декабрь 2024'!$J$5:$J$2311,AG$1)</f>
        <v>0</v>
      </c>
      <c r="AH16" s="80">
        <f>SUMIFS('декабрь 2024'!$G$5:$G$2311,'декабрь 2024'!$D$5:$D$2311,$B16,'декабрь 2024'!$J$5:$J$2311,AH$1)</f>
        <v>0</v>
      </c>
      <c r="AI16" s="21">
        <f t="shared" si="1"/>
        <v>0</v>
      </c>
    </row>
    <row r="17" spans="2:35" ht="15" customHeight="1" x14ac:dyDescent="0.25">
      <c r="B17" s="84" t="s">
        <v>299</v>
      </c>
      <c r="C17" s="85">
        <v>22.7</v>
      </c>
      <c r="D17" s="80">
        <f>SUMIFS('декабрь 2024'!$G$5:$G$2311,'декабрь 2024'!$D$5:$D$2311,$B17,'декабрь 2024'!$J$5:$J$2311,D$1)</f>
        <v>0</v>
      </c>
      <c r="E17" s="80">
        <f>SUMIFS('декабрь 2024'!$G$5:$G$2311,'декабрь 2024'!$D$5:$D$2311,$B17,'декабрь 2024'!$J$5:$J$2311,E$1)</f>
        <v>0</v>
      </c>
      <c r="F17" s="80">
        <f>SUMIFS('декабрь 2024'!$G$5:$G$2311,'декабрь 2024'!$D$5:$D$2311,$B17,'декабрь 2024'!$J$5:$J$2311,F$1)</f>
        <v>0</v>
      </c>
      <c r="G17" s="80">
        <f>SUMIFS('декабрь 2024'!$G$5:$G$2311,'декабрь 2024'!$D$5:$D$2311,$B17,'декабрь 2024'!$J$5:$J$2311,G$1)</f>
        <v>0</v>
      </c>
      <c r="H17" s="80">
        <f>SUMIFS('декабрь 2024'!$G$5:$G$2311,'декабрь 2024'!$D$5:$D$2311,$B17,'декабрь 2024'!$J$5:$J$2311,H$1)</f>
        <v>0</v>
      </c>
      <c r="I17" s="80">
        <f>SUMIFS('декабрь 2024'!$G$5:$G$2311,'декабрь 2024'!$D$5:$D$2311,$B17,'декабрь 2024'!$J$5:$J$2311,I$1)</f>
        <v>0</v>
      </c>
      <c r="J17" s="80">
        <f>SUMIFS('декабрь 2024'!$G$5:$G$2311,'декабрь 2024'!$D$5:$D$2311,$B17,'декабрь 2024'!$J$5:$J$2311,J$1)</f>
        <v>0</v>
      </c>
      <c r="K17" s="80">
        <f>SUMIFS('декабрь 2024'!$G$5:$G$2311,'декабрь 2024'!$D$5:$D$2311,$B17,'декабрь 2024'!$J$5:$J$2311,K$1)</f>
        <v>0</v>
      </c>
      <c r="L17" s="80">
        <f>SUMIFS('декабрь 2024'!$G$5:$G$2311,'декабрь 2024'!$D$5:$D$2311,$B17,'декабрь 2024'!$J$5:$J$2311,L$1)</f>
        <v>0</v>
      </c>
      <c r="M17" s="80">
        <f>SUMIFS('декабрь 2024'!$G$5:$G$2311,'декабрь 2024'!$D$5:$D$2311,$B17,'декабрь 2024'!$J$5:$J$2311,M$1)</f>
        <v>0</v>
      </c>
      <c r="N17" s="80">
        <f>SUMIFS('декабрь 2024'!$G$5:$G$2311,'декабрь 2024'!$D$5:$D$2311,$B17,'декабрь 2024'!$J$5:$J$2311,N$1)</f>
        <v>0</v>
      </c>
      <c r="O17" s="80">
        <f>SUMIFS('декабрь 2024'!$G$5:$G$2311,'декабрь 2024'!$D$5:$D$2311,$B17,'декабрь 2024'!$J$5:$J$2311,O$1)</f>
        <v>0</v>
      </c>
      <c r="P17" s="80">
        <f>SUMIFS('декабрь 2024'!$G$5:$G$2311,'декабрь 2024'!$D$5:$D$2311,$B17,'декабрь 2024'!$J$5:$J$2311,P$1)</f>
        <v>0</v>
      </c>
      <c r="Q17" s="80">
        <f>SUMIFS('декабрь 2024'!$G$5:$G$2311,'декабрь 2024'!$D$5:$D$2311,$B17,'декабрь 2024'!$J$5:$J$2311,Q$1)</f>
        <v>0</v>
      </c>
      <c r="R17" s="80">
        <f>SUMIFS('декабрь 2024'!$G$5:$G$2311,'декабрь 2024'!$D$5:$D$2311,$B17,'декабрь 2024'!$J$5:$J$2311,R$1)</f>
        <v>0</v>
      </c>
      <c r="S17" s="80">
        <f>SUMIFS('декабрь 2024'!$G$5:$G$2311,'декабрь 2024'!$D$5:$D$2311,$B17,'декабрь 2024'!$J$5:$J$2311,S$1)</f>
        <v>0</v>
      </c>
      <c r="T17" s="80">
        <f>SUMIFS('декабрь 2024'!$G$5:$G$2311,'декабрь 2024'!$D$5:$D$2311,$B17,'декабрь 2024'!$J$5:$J$2311,T$1)</f>
        <v>0</v>
      </c>
      <c r="U17" s="80">
        <f>SUMIFS('декабрь 2024'!$G$5:$G$2311,'декабрь 2024'!$D$5:$D$2311,$B17,'декабрь 2024'!$J$5:$J$2311,U$1)</f>
        <v>0</v>
      </c>
      <c r="V17" s="80">
        <f>SUMIFS('декабрь 2024'!$G$5:$G$2311,'декабрь 2024'!$D$5:$D$2311,$B17,'декабрь 2024'!$J$5:$J$2311,V$1)</f>
        <v>0</v>
      </c>
      <c r="W17" s="80">
        <f>SUMIFS('декабрь 2024'!$G$5:$G$2311,'декабрь 2024'!$D$5:$D$2311,$B17,'декабрь 2024'!$J$5:$J$2311,W$1)</f>
        <v>0</v>
      </c>
      <c r="X17" s="80">
        <f>SUMIFS('декабрь 2024'!$G$5:$G$2311,'декабрь 2024'!$D$5:$D$2311,$B17,'декабрь 2024'!$J$5:$J$2311,X$1)</f>
        <v>0</v>
      </c>
      <c r="Y17" s="80">
        <f>SUMIFS('декабрь 2024'!$G$5:$G$2311,'декабрь 2024'!$D$5:$D$2311,$B17,'декабрь 2024'!$J$5:$J$2311,Y$1)</f>
        <v>0</v>
      </c>
      <c r="Z17" s="80">
        <f>SUMIFS('декабрь 2024'!$G$5:$G$2311,'декабрь 2024'!$D$5:$D$2311,$B17,'декабрь 2024'!$J$5:$J$2311,Z$1)</f>
        <v>0</v>
      </c>
      <c r="AA17" s="80">
        <f>SUMIFS('декабрь 2024'!$G$5:$G$2311,'декабрь 2024'!$D$5:$D$2311,$B17,'декабрь 2024'!$J$5:$J$2311,AA$1)</f>
        <v>0</v>
      </c>
      <c r="AB17" s="80">
        <f>SUMIFS('декабрь 2024'!$G$5:$G$2311,'декабрь 2024'!$D$5:$D$2311,$B17,'декабрь 2024'!$J$5:$J$2311,AB$1)</f>
        <v>0</v>
      </c>
      <c r="AC17" s="80">
        <f>SUMIFS('декабрь 2024'!$G$5:$G$2311,'декабрь 2024'!$D$5:$D$2311,$B17,'декабрь 2024'!$J$5:$J$2311,AC$1)</f>
        <v>0</v>
      </c>
      <c r="AD17" s="80">
        <f>SUMIFS('декабрь 2024'!$G$5:$G$2311,'декабрь 2024'!$D$5:$D$2311,$B17,'декабрь 2024'!$J$5:$J$2311,AD$1)</f>
        <v>0</v>
      </c>
      <c r="AE17" s="80">
        <f>SUMIFS('декабрь 2024'!$G$5:$G$2311,'декабрь 2024'!$D$5:$D$2311,$B17,'декабрь 2024'!$J$5:$J$2311,AE$1)</f>
        <v>0</v>
      </c>
      <c r="AF17" s="80">
        <f>SUMIFS('декабрь 2024'!$G$5:$G$2311,'декабрь 2024'!$D$5:$D$2311,$B17,'декабрь 2024'!$J$5:$J$2311,AF$1)</f>
        <v>0</v>
      </c>
      <c r="AG17" s="80">
        <f>SUMIFS('декабрь 2024'!$G$5:$G$2311,'декабрь 2024'!$D$5:$D$2311,$B17,'декабрь 2024'!$J$5:$J$2311,AG$1)</f>
        <v>0</v>
      </c>
      <c r="AH17" s="80">
        <f>SUMIFS('декабрь 2024'!$G$5:$G$2311,'декабрь 2024'!$D$5:$D$2311,$B17,'декабрь 2024'!$J$5:$J$2311,AH$1)</f>
        <v>0</v>
      </c>
      <c r="AI17" s="21">
        <f t="shared" si="1"/>
        <v>0</v>
      </c>
    </row>
    <row r="18" spans="2:35" ht="15" customHeight="1" x14ac:dyDescent="0.25">
      <c r="B18" s="84" t="s">
        <v>301</v>
      </c>
      <c r="C18" s="85">
        <v>25</v>
      </c>
      <c r="D18" s="80">
        <f>SUMIFS('декабрь 2024'!$G$5:$G$2311,'декабрь 2024'!$D$5:$D$2311,$B18,'декабрь 2024'!$J$5:$J$2311,D$1)</f>
        <v>0</v>
      </c>
      <c r="E18" s="80">
        <f>SUMIFS('декабрь 2024'!$G$5:$G$2311,'декабрь 2024'!$D$5:$D$2311,$B18,'декабрь 2024'!$J$5:$J$2311,E$1)</f>
        <v>0</v>
      </c>
      <c r="F18" s="80">
        <f>SUMIFS('декабрь 2024'!$G$5:$G$2311,'декабрь 2024'!$D$5:$D$2311,$B18,'декабрь 2024'!$J$5:$J$2311,F$1)</f>
        <v>0</v>
      </c>
      <c r="G18" s="80">
        <f>SUMIFS('декабрь 2024'!$G$5:$G$2311,'декабрь 2024'!$D$5:$D$2311,$B18,'декабрь 2024'!$J$5:$J$2311,G$1)</f>
        <v>0</v>
      </c>
      <c r="H18" s="80">
        <f>SUMIFS('декабрь 2024'!$G$5:$G$2311,'декабрь 2024'!$D$5:$D$2311,$B18,'декабрь 2024'!$J$5:$J$2311,H$1)</f>
        <v>800</v>
      </c>
      <c r="I18" s="80">
        <f>SUMIFS('декабрь 2024'!$G$5:$G$2311,'декабрь 2024'!$D$5:$D$2311,$B18,'декабрь 2024'!$J$5:$J$2311,I$1)</f>
        <v>0</v>
      </c>
      <c r="J18" s="80">
        <f>SUMIFS('декабрь 2024'!$G$5:$G$2311,'декабрь 2024'!$D$5:$D$2311,$B18,'декабрь 2024'!$J$5:$J$2311,J$1)</f>
        <v>0</v>
      </c>
      <c r="K18" s="80">
        <f>SUMIFS('декабрь 2024'!$G$5:$G$2311,'декабрь 2024'!$D$5:$D$2311,$B18,'декабрь 2024'!$J$5:$J$2311,K$1)</f>
        <v>0</v>
      </c>
      <c r="L18" s="80">
        <f>SUMIFS('декабрь 2024'!$G$5:$G$2311,'декабрь 2024'!$D$5:$D$2311,$B18,'декабрь 2024'!$J$5:$J$2311,L$1)</f>
        <v>0</v>
      </c>
      <c r="M18" s="80">
        <f>SUMIFS('декабрь 2024'!$G$5:$G$2311,'декабрь 2024'!$D$5:$D$2311,$B18,'декабрь 2024'!$J$5:$J$2311,M$1)</f>
        <v>0</v>
      </c>
      <c r="N18" s="80">
        <f>SUMIFS('декабрь 2024'!$G$5:$G$2311,'декабрь 2024'!$D$5:$D$2311,$B18,'декабрь 2024'!$J$5:$J$2311,N$1)</f>
        <v>0</v>
      </c>
      <c r="O18" s="80">
        <f>SUMIFS('декабрь 2024'!$G$5:$G$2311,'декабрь 2024'!$D$5:$D$2311,$B18,'декабрь 2024'!$J$5:$J$2311,O$1)</f>
        <v>0</v>
      </c>
      <c r="P18" s="80">
        <f>SUMIFS('декабрь 2024'!$G$5:$G$2311,'декабрь 2024'!$D$5:$D$2311,$B18,'декабрь 2024'!$J$5:$J$2311,P$1)</f>
        <v>0</v>
      </c>
      <c r="Q18" s="80">
        <f>SUMIFS('декабрь 2024'!$G$5:$G$2311,'декабрь 2024'!$D$5:$D$2311,$B18,'декабрь 2024'!$J$5:$J$2311,Q$1)</f>
        <v>0</v>
      </c>
      <c r="R18" s="80">
        <f>SUMIFS('декабрь 2024'!$G$5:$G$2311,'декабрь 2024'!$D$5:$D$2311,$B18,'декабрь 2024'!$J$5:$J$2311,R$1)</f>
        <v>0</v>
      </c>
      <c r="S18" s="80">
        <f>SUMIFS('декабрь 2024'!$G$5:$G$2311,'декабрь 2024'!$D$5:$D$2311,$B18,'декабрь 2024'!$J$5:$J$2311,S$1)</f>
        <v>0</v>
      </c>
      <c r="T18" s="80">
        <f>SUMIFS('декабрь 2024'!$G$5:$G$2311,'декабрь 2024'!$D$5:$D$2311,$B18,'декабрь 2024'!$J$5:$J$2311,T$1)</f>
        <v>0</v>
      </c>
      <c r="U18" s="80">
        <f>SUMIFS('декабрь 2024'!$G$5:$G$2311,'декабрь 2024'!$D$5:$D$2311,$B18,'декабрь 2024'!$J$5:$J$2311,U$1)</f>
        <v>0</v>
      </c>
      <c r="V18" s="80">
        <f>SUMIFS('декабрь 2024'!$G$5:$G$2311,'декабрь 2024'!$D$5:$D$2311,$B18,'декабрь 2024'!$J$5:$J$2311,V$1)</f>
        <v>0</v>
      </c>
      <c r="W18" s="80">
        <f>SUMIFS('декабрь 2024'!$G$5:$G$2311,'декабрь 2024'!$D$5:$D$2311,$B18,'декабрь 2024'!$J$5:$J$2311,W$1)</f>
        <v>0</v>
      </c>
      <c r="X18" s="80">
        <f>SUMIFS('декабрь 2024'!$G$5:$G$2311,'декабрь 2024'!$D$5:$D$2311,$B18,'декабрь 2024'!$J$5:$J$2311,X$1)</f>
        <v>0</v>
      </c>
      <c r="Y18" s="80">
        <f>SUMIFS('декабрь 2024'!$G$5:$G$2311,'декабрь 2024'!$D$5:$D$2311,$B18,'декабрь 2024'!$J$5:$J$2311,Y$1)</f>
        <v>0</v>
      </c>
      <c r="Z18" s="80">
        <f>SUMIFS('декабрь 2024'!$G$5:$G$2311,'декабрь 2024'!$D$5:$D$2311,$B18,'декабрь 2024'!$J$5:$J$2311,Z$1)</f>
        <v>800</v>
      </c>
      <c r="AA18" s="80">
        <f>SUMIFS('декабрь 2024'!$G$5:$G$2311,'декабрь 2024'!$D$5:$D$2311,$B18,'декабрь 2024'!$J$5:$J$2311,AA$1)</f>
        <v>800</v>
      </c>
      <c r="AB18" s="80">
        <f>SUMIFS('декабрь 2024'!$G$5:$G$2311,'декабрь 2024'!$D$5:$D$2311,$B18,'декабрь 2024'!$J$5:$J$2311,AB$1)</f>
        <v>0</v>
      </c>
      <c r="AC18" s="80">
        <f>SUMIFS('декабрь 2024'!$G$5:$G$2311,'декабрь 2024'!$D$5:$D$2311,$B18,'декабрь 2024'!$J$5:$J$2311,AC$1)</f>
        <v>0</v>
      </c>
      <c r="AD18" s="80">
        <f>SUMIFS('декабрь 2024'!$G$5:$G$2311,'декабрь 2024'!$D$5:$D$2311,$B18,'декабрь 2024'!$J$5:$J$2311,AD$1)</f>
        <v>0</v>
      </c>
      <c r="AE18" s="80">
        <f>SUMIFS('декабрь 2024'!$G$5:$G$2311,'декабрь 2024'!$D$5:$D$2311,$B18,'декабрь 2024'!$J$5:$J$2311,AE$1)</f>
        <v>0</v>
      </c>
      <c r="AF18" s="80">
        <f>SUMIFS('декабрь 2024'!$G$5:$G$2311,'декабрь 2024'!$D$5:$D$2311,$B18,'декабрь 2024'!$J$5:$J$2311,AF$1)</f>
        <v>0</v>
      </c>
      <c r="AG18" s="80">
        <f>SUMIFS('декабрь 2024'!$G$5:$G$2311,'декабрь 2024'!$D$5:$D$2311,$B18,'декабрь 2024'!$J$5:$J$2311,AG$1)</f>
        <v>0</v>
      </c>
      <c r="AH18" s="80">
        <f>SUMIFS('декабрь 2024'!$G$5:$G$2311,'декабрь 2024'!$D$5:$D$2311,$B18,'декабрь 2024'!$J$5:$J$2311,AH$1)</f>
        <v>0</v>
      </c>
      <c r="AI18" s="21">
        <f t="shared" si="1"/>
        <v>2400</v>
      </c>
    </row>
    <row r="19" spans="2:35" ht="15" customHeight="1" x14ac:dyDescent="0.25">
      <c r="B19" s="81" t="s">
        <v>303</v>
      </c>
      <c r="C19" s="82">
        <v>25</v>
      </c>
      <c r="D19" s="80">
        <f>SUMIFS('декабрь 2024'!$G$5:$G$2311,'декабрь 2024'!$D$5:$D$2311,$B19,'декабрь 2024'!$J$5:$J$2311,D$1)</f>
        <v>0</v>
      </c>
      <c r="E19" s="80">
        <f>SUMIFS('декабрь 2024'!$G$5:$G$2311,'декабрь 2024'!$D$5:$D$2311,$B19,'декабрь 2024'!$J$5:$J$2311,E$1)</f>
        <v>0</v>
      </c>
      <c r="F19" s="80">
        <f>SUMIFS('декабрь 2024'!$G$5:$G$2311,'декабрь 2024'!$D$5:$D$2311,$B19,'декабрь 2024'!$J$5:$J$2311,F$1)</f>
        <v>0</v>
      </c>
      <c r="G19" s="80">
        <f>SUMIFS('декабрь 2024'!$G$5:$G$2311,'декабрь 2024'!$D$5:$D$2311,$B19,'декабрь 2024'!$J$5:$J$2311,G$1)</f>
        <v>0</v>
      </c>
      <c r="H19" s="80">
        <f>SUMIFS('декабрь 2024'!$G$5:$G$2311,'декабрь 2024'!$D$5:$D$2311,$B19,'декабрь 2024'!$J$5:$J$2311,H$1)</f>
        <v>0</v>
      </c>
      <c r="I19" s="80">
        <f>SUMIFS('декабрь 2024'!$G$5:$G$2311,'декабрь 2024'!$D$5:$D$2311,$B19,'декабрь 2024'!$J$5:$J$2311,I$1)</f>
        <v>0</v>
      </c>
      <c r="J19" s="80">
        <f>SUMIFS('декабрь 2024'!$G$5:$G$2311,'декабрь 2024'!$D$5:$D$2311,$B19,'декабрь 2024'!$J$5:$J$2311,J$1)</f>
        <v>0</v>
      </c>
      <c r="K19" s="80">
        <f>SUMIFS('декабрь 2024'!$G$5:$G$2311,'декабрь 2024'!$D$5:$D$2311,$B19,'декабрь 2024'!$J$5:$J$2311,K$1)</f>
        <v>0</v>
      </c>
      <c r="L19" s="80">
        <f>SUMIFS('декабрь 2024'!$G$5:$G$2311,'декабрь 2024'!$D$5:$D$2311,$B19,'декабрь 2024'!$J$5:$J$2311,L$1)</f>
        <v>0</v>
      </c>
      <c r="M19" s="80">
        <f>SUMIFS('декабрь 2024'!$G$5:$G$2311,'декабрь 2024'!$D$5:$D$2311,$B19,'декабрь 2024'!$J$5:$J$2311,M$1)</f>
        <v>0</v>
      </c>
      <c r="N19" s="80">
        <f>SUMIFS('декабрь 2024'!$G$5:$G$2311,'декабрь 2024'!$D$5:$D$2311,$B19,'декабрь 2024'!$J$5:$J$2311,N$1)</f>
        <v>0</v>
      </c>
      <c r="O19" s="80">
        <f>SUMIFS('декабрь 2024'!$G$5:$G$2311,'декабрь 2024'!$D$5:$D$2311,$B19,'декабрь 2024'!$J$5:$J$2311,O$1)</f>
        <v>0</v>
      </c>
      <c r="P19" s="80">
        <f>SUMIFS('декабрь 2024'!$G$5:$G$2311,'декабрь 2024'!$D$5:$D$2311,$B19,'декабрь 2024'!$J$5:$J$2311,P$1)</f>
        <v>0</v>
      </c>
      <c r="Q19" s="80">
        <f>SUMIFS('декабрь 2024'!$G$5:$G$2311,'декабрь 2024'!$D$5:$D$2311,$B19,'декабрь 2024'!$J$5:$J$2311,Q$1)</f>
        <v>0</v>
      </c>
      <c r="R19" s="80">
        <f>SUMIFS('декабрь 2024'!$G$5:$G$2311,'декабрь 2024'!$D$5:$D$2311,$B19,'декабрь 2024'!$J$5:$J$2311,R$1)</f>
        <v>0</v>
      </c>
      <c r="S19" s="80">
        <f>SUMIFS('декабрь 2024'!$G$5:$G$2311,'декабрь 2024'!$D$5:$D$2311,$B19,'декабрь 2024'!$J$5:$J$2311,S$1)</f>
        <v>0</v>
      </c>
      <c r="T19" s="80">
        <f>SUMIFS('декабрь 2024'!$G$5:$G$2311,'декабрь 2024'!$D$5:$D$2311,$B19,'декабрь 2024'!$J$5:$J$2311,T$1)</f>
        <v>0</v>
      </c>
      <c r="U19" s="80">
        <f>SUMIFS('декабрь 2024'!$G$5:$G$2311,'декабрь 2024'!$D$5:$D$2311,$B19,'декабрь 2024'!$J$5:$J$2311,U$1)</f>
        <v>0</v>
      </c>
      <c r="V19" s="80">
        <f>SUMIFS('декабрь 2024'!$G$5:$G$2311,'декабрь 2024'!$D$5:$D$2311,$B19,'декабрь 2024'!$J$5:$J$2311,V$1)</f>
        <v>0</v>
      </c>
      <c r="W19" s="80">
        <f>SUMIFS('декабрь 2024'!$G$5:$G$2311,'декабрь 2024'!$D$5:$D$2311,$B19,'декабрь 2024'!$J$5:$J$2311,W$1)</f>
        <v>0</v>
      </c>
      <c r="X19" s="80">
        <f>SUMIFS('декабрь 2024'!$G$5:$G$2311,'декабрь 2024'!$D$5:$D$2311,$B19,'декабрь 2024'!$J$5:$J$2311,X$1)</f>
        <v>0</v>
      </c>
      <c r="Y19" s="80">
        <f>SUMIFS('декабрь 2024'!$G$5:$G$2311,'декабрь 2024'!$D$5:$D$2311,$B19,'декабрь 2024'!$J$5:$J$2311,Y$1)</f>
        <v>0</v>
      </c>
      <c r="Z19" s="80">
        <f>SUMIFS('декабрь 2024'!$G$5:$G$2311,'декабрь 2024'!$D$5:$D$2311,$B19,'декабрь 2024'!$J$5:$J$2311,Z$1)</f>
        <v>0</v>
      </c>
      <c r="AA19" s="80">
        <f>SUMIFS('декабрь 2024'!$G$5:$G$2311,'декабрь 2024'!$D$5:$D$2311,$B19,'декабрь 2024'!$J$5:$J$2311,AA$1)</f>
        <v>0</v>
      </c>
      <c r="AB19" s="80">
        <f>SUMIFS('декабрь 2024'!$G$5:$G$2311,'декабрь 2024'!$D$5:$D$2311,$B19,'декабрь 2024'!$J$5:$J$2311,AB$1)</f>
        <v>0</v>
      </c>
      <c r="AC19" s="80">
        <f>SUMIFS('декабрь 2024'!$G$5:$G$2311,'декабрь 2024'!$D$5:$D$2311,$B19,'декабрь 2024'!$J$5:$J$2311,AC$1)</f>
        <v>0</v>
      </c>
      <c r="AD19" s="80">
        <f>SUMIFS('декабрь 2024'!$G$5:$G$2311,'декабрь 2024'!$D$5:$D$2311,$B19,'декабрь 2024'!$J$5:$J$2311,AD$1)</f>
        <v>0</v>
      </c>
      <c r="AE19" s="80">
        <f>SUMIFS('декабрь 2024'!$G$5:$G$2311,'декабрь 2024'!$D$5:$D$2311,$B19,'декабрь 2024'!$J$5:$J$2311,AE$1)</f>
        <v>0</v>
      </c>
      <c r="AF19" s="80">
        <f>SUMIFS('декабрь 2024'!$G$5:$G$2311,'декабрь 2024'!$D$5:$D$2311,$B19,'декабрь 2024'!$J$5:$J$2311,AF$1)</f>
        <v>0</v>
      </c>
      <c r="AG19" s="80">
        <f>SUMIFS('декабрь 2024'!$G$5:$G$2311,'декабрь 2024'!$D$5:$D$2311,$B19,'декабрь 2024'!$J$5:$J$2311,AG$1)</f>
        <v>0</v>
      </c>
      <c r="AH19" s="80">
        <f>SUMIFS('декабрь 2024'!$G$5:$G$2311,'декабрь 2024'!$D$5:$D$2311,$B19,'декабрь 2024'!$J$5:$J$2311,AH$1)</f>
        <v>0</v>
      </c>
      <c r="AI19" s="21">
        <f t="shared" si="1"/>
        <v>0</v>
      </c>
    </row>
    <row r="20" spans="2:35" ht="15" customHeight="1" x14ac:dyDescent="0.25">
      <c r="B20" s="81" t="s">
        <v>305</v>
      </c>
      <c r="C20" s="82">
        <v>25</v>
      </c>
      <c r="D20" s="80">
        <f>SUMIFS('декабрь 2024'!$G$5:$G$2311,'декабрь 2024'!$D$5:$D$2311,$B20,'декабрь 2024'!$J$5:$J$2311,D$1)</f>
        <v>0</v>
      </c>
      <c r="E20" s="80">
        <f>SUMIFS('декабрь 2024'!$G$5:$G$2311,'декабрь 2024'!$D$5:$D$2311,$B20,'декабрь 2024'!$J$5:$J$2311,E$1)</f>
        <v>0</v>
      </c>
      <c r="F20" s="80">
        <f>SUMIFS('декабрь 2024'!$G$5:$G$2311,'декабрь 2024'!$D$5:$D$2311,$B20,'декабрь 2024'!$J$5:$J$2311,F$1)</f>
        <v>0</v>
      </c>
      <c r="G20" s="80">
        <f>SUMIFS('декабрь 2024'!$G$5:$G$2311,'декабрь 2024'!$D$5:$D$2311,$B20,'декабрь 2024'!$J$5:$J$2311,G$1)</f>
        <v>0</v>
      </c>
      <c r="H20" s="80">
        <f>SUMIFS('декабрь 2024'!$G$5:$G$2311,'декабрь 2024'!$D$5:$D$2311,$B20,'декабрь 2024'!$J$5:$J$2311,H$1)</f>
        <v>0</v>
      </c>
      <c r="I20" s="80">
        <f>SUMIFS('декабрь 2024'!$G$5:$G$2311,'декабрь 2024'!$D$5:$D$2311,$B20,'декабрь 2024'!$J$5:$J$2311,I$1)</f>
        <v>0</v>
      </c>
      <c r="J20" s="80">
        <f>SUMIFS('декабрь 2024'!$G$5:$G$2311,'декабрь 2024'!$D$5:$D$2311,$B20,'декабрь 2024'!$J$5:$J$2311,J$1)</f>
        <v>0</v>
      </c>
      <c r="K20" s="80">
        <f>SUMIFS('декабрь 2024'!$G$5:$G$2311,'декабрь 2024'!$D$5:$D$2311,$B20,'декабрь 2024'!$J$5:$J$2311,K$1)</f>
        <v>0</v>
      </c>
      <c r="L20" s="80">
        <f>SUMIFS('декабрь 2024'!$G$5:$G$2311,'декабрь 2024'!$D$5:$D$2311,$B20,'декабрь 2024'!$J$5:$J$2311,L$1)</f>
        <v>0</v>
      </c>
      <c r="M20" s="80">
        <f>SUMIFS('декабрь 2024'!$G$5:$G$2311,'декабрь 2024'!$D$5:$D$2311,$B20,'декабрь 2024'!$J$5:$J$2311,M$1)</f>
        <v>0</v>
      </c>
      <c r="N20" s="80">
        <f>SUMIFS('декабрь 2024'!$G$5:$G$2311,'декабрь 2024'!$D$5:$D$2311,$B20,'декабрь 2024'!$J$5:$J$2311,N$1)</f>
        <v>0</v>
      </c>
      <c r="O20" s="80">
        <f>SUMIFS('декабрь 2024'!$G$5:$G$2311,'декабрь 2024'!$D$5:$D$2311,$B20,'декабрь 2024'!$J$5:$J$2311,O$1)</f>
        <v>0</v>
      </c>
      <c r="P20" s="80">
        <f>SUMIFS('декабрь 2024'!$G$5:$G$2311,'декабрь 2024'!$D$5:$D$2311,$B20,'декабрь 2024'!$J$5:$J$2311,P$1)</f>
        <v>0</v>
      </c>
      <c r="Q20" s="80">
        <f>SUMIFS('декабрь 2024'!$G$5:$G$2311,'декабрь 2024'!$D$5:$D$2311,$B20,'декабрь 2024'!$J$5:$J$2311,Q$1)</f>
        <v>0</v>
      </c>
      <c r="R20" s="80">
        <f>SUMIFS('декабрь 2024'!$G$5:$G$2311,'декабрь 2024'!$D$5:$D$2311,$B20,'декабрь 2024'!$J$5:$J$2311,R$1)</f>
        <v>0</v>
      </c>
      <c r="S20" s="80">
        <f>SUMIFS('декабрь 2024'!$G$5:$G$2311,'декабрь 2024'!$D$5:$D$2311,$B20,'декабрь 2024'!$J$5:$J$2311,S$1)</f>
        <v>0</v>
      </c>
      <c r="T20" s="80">
        <f>SUMIFS('декабрь 2024'!$G$5:$G$2311,'декабрь 2024'!$D$5:$D$2311,$B20,'декабрь 2024'!$J$5:$J$2311,T$1)</f>
        <v>0</v>
      </c>
      <c r="U20" s="80">
        <f>SUMIFS('декабрь 2024'!$G$5:$G$2311,'декабрь 2024'!$D$5:$D$2311,$B20,'декабрь 2024'!$J$5:$J$2311,U$1)</f>
        <v>0</v>
      </c>
      <c r="V20" s="80">
        <f>SUMIFS('декабрь 2024'!$G$5:$G$2311,'декабрь 2024'!$D$5:$D$2311,$B20,'декабрь 2024'!$J$5:$J$2311,V$1)</f>
        <v>0</v>
      </c>
      <c r="W20" s="80">
        <f>SUMIFS('декабрь 2024'!$G$5:$G$2311,'декабрь 2024'!$D$5:$D$2311,$B20,'декабрь 2024'!$J$5:$J$2311,W$1)</f>
        <v>0</v>
      </c>
      <c r="X20" s="80">
        <f>SUMIFS('декабрь 2024'!$G$5:$G$2311,'декабрь 2024'!$D$5:$D$2311,$B20,'декабрь 2024'!$J$5:$J$2311,X$1)</f>
        <v>0</v>
      </c>
      <c r="Y20" s="80">
        <f>SUMIFS('декабрь 2024'!$G$5:$G$2311,'декабрь 2024'!$D$5:$D$2311,$B20,'декабрь 2024'!$J$5:$J$2311,Y$1)</f>
        <v>0</v>
      </c>
      <c r="Z20" s="80">
        <f>SUMIFS('декабрь 2024'!$G$5:$G$2311,'декабрь 2024'!$D$5:$D$2311,$B20,'декабрь 2024'!$J$5:$J$2311,Z$1)</f>
        <v>0</v>
      </c>
      <c r="AA20" s="80">
        <f>SUMIFS('декабрь 2024'!$G$5:$G$2311,'декабрь 2024'!$D$5:$D$2311,$B20,'декабрь 2024'!$J$5:$J$2311,AA$1)</f>
        <v>0</v>
      </c>
      <c r="AB20" s="80">
        <f>SUMIFS('декабрь 2024'!$G$5:$G$2311,'декабрь 2024'!$D$5:$D$2311,$B20,'декабрь 2024'!$J$5:$J$2311,AB$1)</f>
        <v>0</v>
      </c>
      <c r="AC20" s="80">
        <f>SUMIFS('декабрь 2024'!$G$5:$G$2311,'декабрь 2024'!$D$5:$D$2311,$B20,'декабрь 2024'!$J$5:$J$2311,AC$1)</f>
        <v>0</v>
      </c>
      <c r="AD20" s="80">
        <f>SUMIFS('декабрь 2024'!$G$5:$G$2311,'декабрь 2024'!$D$5:$D$2311,$B20,'декабрь 2024'!$J$5:$J$2311,AD$1)</f>
        <v>0</v>
      </c>
      <c r="AE20" s="80">
        <f>SUMIFS('декабрь 2024'!$G$5:$G$2311,'декабрь 2024'!$D$5:$D$2311,$B20,'декабрь 2024'!$J$5:$J$2311,AE$1)</f>
        <v>0</v>
      </c>
      <c r="AF20" s="80">
        <f>SUMIFS('декабрь 2024'!$G$5:$G$2311,'декабрь 2024'!$D$5:$D$2311,$B20,'декабрь 2024'!$J$5:$J$2311,AF$1)</f>
        <v>0</v>
      </c>
      <c r="AG20" s="80">
        <f>SUMIFS('декабрь 2024'!$G$5:$G$2311,'декабрь 2024'!$D$5:$D$2311,$B20,'декабрь 2024'!$J$5:$J$2311,AG$1)</f>
        <v>0</v>
      </c>
      <c r="AH20" s="80">
        <f>SUMIFS('декабрь 2024'!$G$5:$G$2311,'декабрь 2024'!$D$5:$D$2311,$B20,'декабрь 2024'!$J$5:$J$2311,AH$1)</f>
        <v>0</v>
      </c>
      <c r="AI20" s="21">
        <f t="shared" si="1"/>
        <v>0</v>
      </c>
    </row>
    <row r="21" spans="2:35" ht="15" customHeight="1" x14ac:dyDescent="0.25">
      <c r="B21" s="81" t="s">
        <v>307</v>
      </c>
      <c r="C21" s="82">
        <v>25</v>
      </c>
      <c r="D21" s="80">
        <f>SUMIFS('декабрь 2024'!$G$5:$G$2311,'декабрь 2024'!$D$5:$D$2311,$B21,'декабрь 2024'!$J$5:$J$2311,D$1)</f>
        <v>0</v>
      </c>
      <c r="E21" s="80">
        <f>SUMIFS('декабрь 2024'!$G$5:$G$2311,'декабрь 2024'!$D$5:$D$2311,$B21,'декабрь 2024'!$J$5:$J$2311,E$1)</f>
        <v>0</v>
      </c>
      <c r="F21" s="80">
        <f>SUMIFS('декабрь 2024'!$G$5:$G$2311,'декабрь 2024'!$D$5:$D$2311,$B21,'декабрь 2024'!$J$5:$J$2311,F$1)</f>
        <v>0</v>
      </c>
      <c r="G21" s="80">
        <f>SUMIFS('декабрь 2024'!$G$5:$G$2311,'декабрь 2024'!$D$5:$D$2311,$B21,'декабрь 2024'!$J$5:$J$2311,G$1)</f>
        <v>0</v>
      </c>
      <c r="H21" s="80">
        <f>SUMIFS('декабрь 2024'!$G$5:$G$2311,'декабрь 2024'!$D$5:$D$2311,$B21,'декабрь 2024'!$J$5:$J$2311,H$1)</f>
        <v>0</v>
      </c>
      <c r="I21" s="80">
        <f>SUMIFS('декабрь 2024'!$G$5:$G$2311,'декабрь 2024'!$D$5:$D$2311,$B21,'декабрь 2024'!$J$5:$J$2311,I$1)</f>
        <v>0</v>
      </c>
      <c r="J21" s="80">
        <f>SUMIFS('декабрь 2024'!$G$5:$G$2311,'декабрь 2024'!$D$5:$D$2311,$B21,'декабрь 2024'!$J$5:$J$2311,J$1)</f>
        <v>0</v>
      </c>
      <c r="K21" s="80">
        <f>SUMIFS('декабрь 2024'!$G$5:$G$2311,'декабрь 2024'!$D$5:$D$2311,$B21,'декабрь 2024'!$J$5:$J$2311,K$1)</f>
        <v>0</v>
      </c>
      <c r="L21" s="80">
        <f>SUMIFS('декабрь 2024'!$G$5:$G$2311,'декабрь 2024'!$D$5:$D$2311,$B21,'декабрь 2024'!$J$5:$J$2311,L$1)</f>
        <v>0</v>
      </c>
      <c r="M21" s="80">
        <f>SUMIFS('декабрь 2024'!$G$5:$G$2311,'декабрь 2024'!$D$5:$D$2311,$B21,'декабрь 2024'!$J$5:$J$2311,M$1)</f>
        <v>0</v>
      </c>
      <c r="N21" s="80">
        <f>SUMIFS('декабрь 2024'!$G$5:$G$2311,'декабрь 2024'!$D$5:$D$2311,$B21,'декабрь 2024'!$J$5:$J$2311,N$1)</f>
        <v>0</v>
      </c>
      <c r="O21" s="80">
        <f>SUMIFS('декабрь 2024'!$G$5:$G$2311,'декабрь 2024'!$D$5:$D$2311,$B21,'декабрь 2024'!$J$5:$J$2311,O$1)</f>
        <v>0</v>
      </c>
      <c r="P21" s="80">
        <f>SUMIFS('декабрь 2024'!$G$5:$G$2311,'декабрь 2024'!$D$5:$D$2311,$B21,'декабрь 2024'!$J$5:$J$2311,P$1)</f>
        <v>0</v>
      </c>
      <c r="Q21" s="80">
        <f>SUMIFS('декабрь 2024'!$G$5:$G$2311,'декабрь 2024'!$D$5:$D$2311,$B21,'декабрь 2024'!$J$5:$J$2311,Q$1)</f>
        <v>0</v>
      </c>
      <c r="R21" s="80">
        <f>SUMIFS('декабрь 2024'!$G$5:$G$2311,'декабрь 2024'!$D$5:$D$2311,$B21,'декабрь 2024'!$J$5:$J$2311,R$1)</f>
        <v>0</v>
      </c>
      <c r="S21" s="80">
        <f>SUMIFS('декабрь 2024'!$G$5:$G$2311,'декабрь 2024'!$D$5:$D$2311,$B21,'декабрь 2024'!$J$5:$J$2311,S$1)</f>
        <v>0</v>
      </c>
      <c r="T21" s="80">
        <f>SUMIFS('декабрь 2024'!$G$5:$G$2311,'декабрь 2024'!$D$5:$D$2311,$B21,'декабрь 2024'!$J$5:$J$2311,T$1)</f>
        <v>0</v>
      </c>
      <c r="U21" s="80">
        <f>SUMIFS('декабрь 2024'!$G$5:$G$2311,'декабрь 2024'!$D$5:$D$2311,$B21,'декабрь 2024'!$J$5:$J$2311,U$1)</f>
        <v>0</v>
      </c>
      <c r="V21" s="80">
        <f>SUMIFS('декабрь 2024'!$G$5:$G$2311,'декабрь 2024'!$D$5:$D$2311,$B21,'декабрь 2024'!$J$5:$J$2311,V$1)</f>
        <v>0</v>
      </c>
      <c r="W21" s="80">
        <f>SUMIFS('декабрь 2024'!$G$5:$G$2311,'декабрь 2024'!$D$5:$D$2311,$B21,'декабрь 2024'!$J$5:$J$2311,W$1)</f>
        <v>0</v>
      </c>
      <c r="X21" s="80">
        <f>SUMIFS('декабрь 2024'!$G$5:$G$2311,'декабрь 2024'!$D$5:$D$2311,$B21,'декабрь 2024'!$J$5:$J$2311,X$1)</f>
        <v>0</v>
      </c>
      <c r="Y21" s="80">
        <f>SUMIFS('декабрь 2024'!$G$5:$G$2311,'декабрь 2024'!$D$5:$D$2311,$B21,'декабрь 2024'!$J$5:$J$2311,Y$1)</f>
        <v>0</v>
      </c>
      <c r="Z21" s="80">
        <f>SUMIFS('декабрь 2024'!$G$5:$G$2311,'декабрь 2024'!$D$5:$D$2311,$B21,'декабрь 2024'!$J$5:$J$2311,Z$1)</f>
        <v>0</v>
      </c>
      <c r="AA21" s="80">
        <f>SUMIFS('декабрь 2024'!$G$5:$G$2311,'декабрь 2024'!$D$5:$D$2311,$B21,'декабрь 2024'!$J$5:$J$2311,AA$1)</f>
        <v>0</v>
      </c>
      <c r="AB21" s="80">
        <f>SUMIFS('декабрь 2024'!$G$5:$G$2311,'декабрь 2024'!$D$5:$D$2311,$B21,'декабрь 2024'!$J$5:$J$2311,AB$1)</f>
        <v>0</v>
      </c>
      <c r="AC21" s="80">
        <f>SUMIFS('декабрь 2024'!$G$5:$G$2311,'декабрь 2024'!$D$5:$D$2311,$B21,'декабрь 2024'!$J$5:$J$2311,AC$1)</f>
        <v>0</v>
      </c>
      <c r="AD21" s="80">
        <f>SUMIFS('декабрь 2024'!$G$5:$G$2311,'декабрь 2024'!$D$5:$D$2311,$B21,'декабрь 2024'!$J$5:$J$2311,AD$1)</f>
        <v>0</v>
      </c>
      <c r="AE21" s="80">
        <f>SUMIFS('декабрь 2024'!$G$5:$G$2311,'декабрь 2024'!$D$5:$D$2311,$B21,'декабрь 2024'!$J$5:$J$2311,AE$1)</f>
        <v>0</v>
      </c>
      <c r="AF21" s="80">
        <f>SUMIFS('декабрь 2024'!$G$5:$G$2311,'декабрь 2024'!$D$5:$D$2311,$B21,'декабрь 2024'!$J$5:$J$2311,AF$1)</f>
        <v>0</v>
      </c>
      <c r="AG21" s="80">
        <f>SUMIFS('декабрь 2024'!$G$5:$G$2311,'декабрь 2024'!$D$5:$D$2311,$B21,'декабрь 2024'!$J$5:$J$2311,AG$1)</f>
        <v>0</v>
      </c>
      <c r="AH21" s="80">
        <f>SUMIFS('декабрь 2024'!$G$5:$G$2311,'декабрь 2024'!$D$5:$D$2311,$B21,'декабрь 2024'!$J$5:$J$2311,AH$1)</f>
        <v>0</v>
      </c>
      <c r="AI21" s="21">
        <f t="shared" si="1"/>
        <v>0</v>
      </c>
    </row>
    <row r="22" spans="2:35" ht="15" customHeight="1" x14ac:dyDescent="0.25">
      <c r="B22" s="81" t="s">
        <v>309</v>
      </c>
      <c r="C22" s="82">
        <v>25</v>
      </c>
      <c r="D22" s="80">
        <f>SUMIFS('декабрь 2024'!$G$5:$G$2311,'декабрь 2024'!$D$5:$D$2311,$B22,'декабрь 2024'!$J$5:$J$2311,D$1)</f>
        <v>0</v>
      </c>
      <c r="E22" s="80">
        <f>SUMIFS('декабрь 2024'!$G$5:$G$2311,'декабрь 2024'!$D$5:$D$2311,$B22,'декабрь 2024'!$J$5:$J$2311,E$1)</f>
        <v>0</v>
      </c>
      <c r="F22" s="80">
        <f>SUMIFS('декабрь 2024'!$G$5:$G$2311,'декабрь 2024'!$D$5:$D$2311,$B22,'декабрь 2024'!$J$5:$J$2311,F$1)</f>
        <v>0</v>
      </c>
      <c r="G22" s="80">
        <f>SUMIFS('декабрь 2024'!$G$5:$G$2311,'декабрь 2024'!$D$5:$D$2311,$B22,'декабрь 2024'!$J$5:$J$2311,G$1)</f>
        <v>0</v>
      </c>
      <c r="H22" s="80">
        <f>SUMIFS('декабрь 2024'!$G$5:$G$2311,'декабрь 2024'!$D$5:$D$2311,$B22,'декабрь 2024'!$J$5:$J$2311,H$1)</f>
        <v>0</v>
      </c>
      <c r="I22" s="80">
        <f>SUMIFS('декабрь 2024'!$G$5:$G$2311,'декабрь 2024'!$D$5:$D$2311,$B22,'декабрь 2024'!$J$5:$J$2311,I$1)</f>
        <v>0</v>
      </c>
      <c r="J22" s="80">
        <f>SUMIFS('декабрь 2024'!$G$5:$G$2311,'декабрь 2024'!$D$5:$D$2311,$B22,'декабрь 2024'!$J$5:$J$2311,J$1)</f>
        <v>0</v>
      </c>
      <c r="K22" s="80">
        <f>SUMIFS('декабрь 2024'!$G$5:$G$2311,'декабрь 2024'!$D$5:$D$2311,$B22,'декабрь 2024'!$J$5:$J$2311,K$1)</f>
        <v>0</v>
      </c>
      <c r="L22" s="80">
        <f>SUMIFS('декабрь 2024'!$G$5:$G$2311,'декабрь 2024'!$D$5:$D$2311,$B22,'декабрь 2024'!$J$5:$J$2311,L$1)</f>
        <v>0</v>
      </c>
      <c r="M22" s="80">
        <f>SUMIFS('декабрь 2024'!$G$5:$G$2311,'декабрь 2024'!$D$5:$D$2311,$B22,'декабрь 2024'!$J$5:$J$2311,M$1)</f>
        <v>0</v>
      </c>
      <c r="N22" s="80">
        <f>SUMIFS('декабрь 2024'!$G$5:$G$2311,'декабрь 2024'!$D$5:$D$2311,$B22,'декабрь 2024'!$J$5:$J$2311,N$1)</f>
        <v>0</v>
      </c>
      <c r="O22" s="80">
        <f>SUMIFS('декабрь 2024'!$G$5:$G$2311,'декабрь 2024'!$D$5:$D$2311,$B22,'декабрь 2024'!$J$5:$J$2311,O$1)</f>
        <v>0</v>
      </c>
      <c r="P22" s="80">
        <f>SUMIFS('декабрь 2024'!$G$5:$G$2311,'декабрь 2024'!$D$5:$D$2311,$B22,'декабрь 2024'!$J$5:$J$2311,P$1)</f>
        <v>0</v>
      </c>
      <c r="Q22" s="80">
        <f>SUMIFS('декабрь 2024'!$G$5:$G$2311,'декабрь 2024'!$D$5:$D$2311,$B22,'декабрь 2024'!$J$5:$J$2311,Q$1)</f>
        <v>0</v>
      </c>
      <c r="R22" s="80">
        <f>SUMIFS('декабрь 2024'!$G$5:$G$2311,'декабрь 2024'!$D$5:$D$2311,$B22,'декабрь 2024'!$J$5:$J$2311,R$1)</f>
        <v>0</v>
      </c>
      <c r="S22" s="80">
        <f>SUMIFS('декабрь 2024'!$G$5:$G$2311,'декабрь 2024'!$D$5:$D$2311,$B22,'декабрь 2024'!$J$5:$J$2311,S$1)</f>
        <v>0</v>
      </c>
      <c r="T22" s="80">
        <f>SUMIFS('декабрь 2024'!$G$5:$G$2311,'декабрь 2024'!$D$5:$D$2311,$B22,'декабрь 2024'!$J$5:$J$2311,T$1)</f>
        <v>0</v>
      </c>
      <c r="U22" s="80">
        <f>SUMIFS('декабрь 2024'!$G$5:$G$2311,'декабрь 2024'!$D$5:$D$2311,$B22,'декабрь 2024'!$J$5:$J$2311,U$1)</f>
        <v>0</v>
      </c>
      <c r="V22" s="80">
        <f>SUMIFS('декабрь 2024'!$G$5:$G$2311,'декабрь 2024'!$D$5:$D$2311,$B22,'декабрь 2024'!$J$5:$J$2311,V$1)</f>
        <v>0</v>
      </c>
      <c r="W22" s="80">
        <f>SUMIFS('декабрь 2024'!$G$5:$G$2311,'декабрь 2024'!$D$5:$D$2311,$B22,'декабрь 2024'!$J$5:$J$2311,W$1)</f>
        <v>0</v>
      </c>
      <c r="X22" s="80">
        <f>SUMIFS('декабрь 2024'!$G$5:$G$2311,'декабрь 2024'!$D$5:$D$2311,$B22,'декабрь 2024'!$J$5:$J$2311,X$1)</f>
        <v>0</v>
      </c>
      <c r="Y22" s="80">
        <f>SUMIFS('декабрь 2024'!$G$5:$G$2311,'декабрь 2024'!$D$5:$D$2311,$B22,'декабрь 2024'!$J$5:$J$2311,Y$1)</f>
        <v>0</v>
      </c>
      <c r="Z22" s="80">
        <f>SUMIFS('декабрь 2024'!$G$5:$G$2311,'декабрь 2024'!$D$5:$D$2311,$B22,'декабрь 2024'!$J$5:$J$2311,Z$1)</f>
        <v>0</v>
      </c>
      <c r="AA22" s="80">
        <f>SUMIFS('декабрь 2024'!$G$5:$G$2311,'декабрь 2024'!$D$5:$D$2311,$B22,'декабрь 2024'!$J$5:$J$2311,AA$1)</f>
        <v>0</v>
      </c>
      <c r="AB22" s="80">
        <f>SUMIFS('декабрь 2024'!$G$5:$G$2311,'декабрь 2024'!$D$5:$D$2311,$B22,'декабрь 2024'!$J$5:$J$2311,AB$1)</f>
        <v>0</v>
      </c>
      <c r="AC22" s="80">
        <f>SUMIFS('декабрь 2024'!$G$5:$G$2311,'декабрь 2024'!$D$5:$D$2311,$B22,'декабрь 2024'!$J$5:$J$2311,AC$1)</f>
        <v>0</v>
      </c>
      <c r="AD22" s="80">
        <f>SUMIFS('декабрь 2024'!$G$5:$G$2311,'декабрь 2024'!$D$5:$D$2311,$B22,'декабрь 2024'!$J$5:$J$2311,AD$1)</f>
        <v>0</v>
      </c>
      <c r="AE22" s="80">
        <f>SUMIFS('декабрь 2024'!$G$5:$G$2311,'декабрь 2024'!$D$5:$D$2311,$B22,'декабрь 2024'!$J$5:$J$2311,AE$1)</f>
        <v>0</v>
      </c>
      <c r="AF22" s="80">
        <f>SUMIFS('декабрь 2024'!$G$5:$G$2311,'декабрь 2024'!$D$5:$D$2311,$B22,'декабрь 2024'!$J$5:$J$2311,AF$1)</f>
        <v>0</v>
      </c>
      <c r="AG22" s="80">
        <f>SUMIFS('декабрь 2024'!$G$5:$G$2311,'декабрь 2024'!$D$5:$D$2311,$B22,'декабрь 2024'!$J$5:$J$2311,AG$1)</f>
        <v>0</v>
      </c>
      <c r="AH22" s="80">
        <f>SUMIFS('декабрь 2024'!$G$5:$G$2311,'декабрь 2024'!$D$5:$D$2311,$B22,'декабрь 2024'!$J$5:$J$2311,AH$1)</f>
        <v>0</v>
      </c>
      <c r="AI22" s="21">
        <f t="shared" si="1"/>
        <v>0</v>
      </c>
    </row>
    <row r="23" spans="2:35" ht="15" customHeight="1" x14ac:dyDescent="0.25">
      <c r="B23" s="84" t="s">
        <v>311</v>
      </c>
      <c r="C23" s="103">
        <v>25</v>
      </c>
      <c r="D23" s="80">
        <f>SUMIFS('декабрь 2024'!$G$5:$G$2311,'декабрь 2024'!$D$5:$D$2311,$B23,'декабрь 2024'!$J$5:$J$2311,D$1)</f>
        <v>0</v>
      </c>
      <c r="E23" s="80">
        <f>SUMIFS('декабрь 2024'!$G$5:$G$2311,'декабрь 2024'!$D$5:$D$2311,$B23,'декабрь 2024'!$J$5:$J$2311,E$1)</f>
        <v>0</v>
      </c>
      <c r="F23" s="80">
        <f>SUMIFS('декабрь 2024'!$G$5:$G$2311,'декабрь 2024'!$D$5:$D$2311,$B23,'декабрь 2024'!$J$5:$J$2311,F$1)</f>
        <v>0</v>
      </c>
      <c r="G23" s="80">
        <f>SUMIFS('декабрь 2024'!$G$5:$G$2311,'декабрь 2024'!$D$5:$D$2311,$B23,'декабрь 2024'!$J$5:$J$2311,G$1)</f>
        <v>0</v>
      </c>
      <c r="H23" s="80">
        <f>SUMIFS('декабрь 2024'!$G$5:$G$2311,'декабрь 2024'!$D$5:$D$2311,$B23,'декабрь 2024'!$J$5:$J$2311,H$1)</f>
        <v>0</v>
      </c>
      <c r="I23" s="80">
        <f>SUMIFS('декабрь 2024'!$G$5:$G$2311,'декабрь 2024'!$D$5:$D$2311,$B23,'декабрь 2024'!$J$5:$J$2311,I$1)</f>
        <v>0</v>
      </c>
      <c r="J23" s="80">
        <f>SUMIFS('декабрь 2024'!$G$5:$G$2311,'декабрь 2024'!$D$5:$D$2311,$B23,'декабрь 2024'!$J$5:$J$2311,J$1)</f>
        <v>0</v>
      </c>
      <c r="K23" s="80">
        <f>SUMIFS('декабрь 2024'!$G$5:$G$2311,'декабрь 2024'!$D$5:$D$2311,$B23,'декабрь 2024'!$J$5:$J$2311,K$1)</f>
        <v>0</v>
      </c>
      <c r="L23" s="80">
        <f>SUMIFS('декабрь 2024'!$G$5:$G$2311,'декабрь 2024'!$D$5:$D$2311,$B23,'декабрь 2024'!$J$5:$J$2311,L$1)</f>
        <v>0</v>
      </c>
      <c r="M23" s="80">
        <f>SUMIFS('декабрь 2024'!$G$5:$G$2311,'декабрь 2024'!$D$5:$D$2311,$B23,'декабрь 2024'!$J$5:$J$2311,M$1)</f>
        <v>0</v>
      </c>
      <c r="N23" s="80">
        <f>SUMIFS('декабрь 2024'!$G$5:$G$2311,'декабрь 2024'!$D$5:$D$2311,$B23,'декабрь 2024'!$J$5:$J$2311,N$1)</f>
        <v>0</v>
      </c>
      <c r="O23" s="80">
        <f>SUMIFS('декабрь 2024'!$G$5:$G$2311,'декабрь 2024'!$D$5:$D$2311,$B23,'декабрь 2024'!$J$5:$J$2311,O$1)</f>
        <v>0</v>
      </c>
      <c r="P23" s="80">
        <f>SUMIFS('декабрь 2024'!$G$5:$G$2311,'декабрь 2024'!$D$5:$D$2311,$B23,'декабрь 2024'!$J$5:$J$2311,P$1)</f>
        <v>0</v>
      </c>
      <c r="Q23" s="80">
        <f>SUMIFS('декабрь 2024'!$G$5:$G$2311,'декабрь 2024'!$D$5:$D$2311,$B23,'декабрь 2024'!$J$5:$J$2311,Q$1)</f>
        <v>0</v>
      </c>
      <c r="R23" s="80">
        <f>SUMIFS('декабрь 2024'!$G$5:$G$2311,'декабрь 2024'!$D$5:$D$2311,$B23,'декабрь 2024'!$J$5:$J$2311,R$1)</f>
        <v>0</v>
      </c>
      <c r="S23" s="80">
        <f>SUMIFS('декабрь 2024'!$G$5:$G$2311,'декабрь 2024'!$D$5:$D$2311,$B23,'декабрь 2024'!$J$5:$J$2311,S$1)</f>
        <v>0</v>
      </c>
      <c r="T23" s="80">
        <f>SUMIFS('декабрь 2024'!$G$5:$G$2311,'декабрь 2024'!$D$5:$D$2311,$B23,'декабрь 2024'!$J$5:$J$2311,T$1)</f>
        <v>0</v>
      </c>
      <c r="U23" s="80">
        <f>SUMIFS('декабрь 2024'!$G$5:$G$2311,'декабрь 2024'!$D$5:$D$2311,$B23,'декабрь 2024'!$J$5:$J$2311,U$1)</f>
        <v>0</v>
      </c>
      <c r="V23" s="80">
        <f>SUMIFS('декабрь 2024'!$G$5:$G$2311,'декабрь 2024'!$D$5:$D$2311,$B23,'декабрь 2024'!$J$5:$J$2311,V$1)</f>
        <v>0</v>
      </c>
      <c r="W23" s="80">
        <f>SUMIFS('декабрь 2024'!$G$5:$G$2311,'декабрь 2024'!$D$5:$D$2311,$B23,'декабрь 2024'!$J$5:$J$2311,W$1)</f>
        <v>0</v>
      </c>
      <c r="X23" s="80">
        <f>SUMIFS('декабрь 2024'!$G$5:$G$2311,'декабрь 2024'!$D$5:$D$2311,$B23,'декабрь 2024'!$J$5:$J$2311,X$1)</f>
        <v>0</v>
      </c>
      <c r="Y23" s="80">
        <f>SUMIFS('декабрь 2024'!$G$5:$G$2311,'декабрь 2024'!$D$5:$D$2311,$B23,'декабрь 2024'!$J$5:$J$2311,Y$1)</f>
        <v>0</v>
      </c>
      <c r="Z23" s="80">
        <f>SUMIFS('декабрь 2024'!$G$5:$G$2311,'декабрь 2024'!$D$5:$D$2311,$B23,'декабрь 2024'!$J$5:$J$2311,Z$1)</f>
        <v>0</v>
      </c>
      <c r="AA23" s="80">
        <f>SUMIFS('декабрь 2024'!$G$5:$G$2311,'декабрь 2024'!$D$5:$D$2311,$B23,'декабрь 2024'!$J$5:$J$2311,AA$1)</f>
        <v>0</v>
      </c>
      <c r="AB23" s="80">
        <f>SUMIFS('декабрь 2024'!$G$5:$G$2311,'декабрь 2024'!$D$5:$D$2311,$B23,'декабрь 2024'!$J$5:$J$2311,AB$1)</f>
        <v>0</v>
      </c>
      <c r="AC23" s="80">
        <f>SUMIFS('декабрь 2024'!$G$5:$G$2311,'декабрь 2024'!$D$5:$D$2311,$B23,'декабрь 2024'!$J$5:$J$2311,AC$1)</f>
        <v>0</v>
      </c>
      <c r="AD23" s="80">
        <f>SUMIFS('декабрь 2024'!$G$5:$G$2311,'декабрь 2024'!$D$5:$D$2311,$B23,'декабрь 2024'!$J$5:$J$2311,AD$1)</f>
        <v>0</v>
      </c>
      <c r="AE23" s="80">
        <f>SUMIFS('декабрь 2024'!$G$5:$G$2311,'декабрь 2024'!$D$5:$D$2311,$B23,'декабрь 2024'!$J$5:$J$2311,AE$1)</f>
        <v>0</v>
      </c>
      <c r="AF23" s="80">
        <f>SUMIFS('декабрь 2024'!$G$5:$G$2311,'декабрь 2024'!$D$5:$D$2311,$B23,'декабрь 2024'!$J$5:$J$2311,AF$1)</f>
        <v>0</v>
      </c>
      <c r="AG23" s="80">
        <f>SUMIFS('декабрь 2024'!$G$5:$G$2311,'декабрь 2024'!$D$5:$D$2311,$B23,'декабрь 2024'!$J$5:$J$2311,AG$1)</f>
        <v>0</v>
      </c>
      <c r="AH23" s="80">
        <f>SUMIFS('декабрь 2024'!$G$5:$G$2311,'декабрь 2024'!$D$5:$D$2311,$B23,'декабрь 2024'!$J$5:$J$2311,AH$1)</f>
        <v>0</v>
      </c>
      <c r="AI23" s="21">
        <f t="shared" si="1"/>
        <v>0</v>
      </c>
    </row>
    <row r="24" spans="2:35" ht="15" customHeight="1" x14ac:dyDescent="0.25">
      <c r="B24" s="84" t="s">
        <v>312</v>
      </c>
      <c r="C24" s="82">
        <v>25</v>
      </c>
      <c r="D24" s="80">
        <f>SUMIFS('декабрь 2024'!$G$5:$G$2311,'декабрь 2024'!$D$5:$D$2311,$B24,'декабрь 2024'!$J$5:$J$2311,D$1)</f>
        <v>0</v>
      </c>
      <c r="E24" s="80">
        <f>SUMIFS('декабрь 2024'!$G$5:$G$2311,'декабрь 2024'!$D$5:$D$2311,$B24,'декабрь 2024'!$J$5:$J$2311,E$1)</f>
        <v>0</v>
      </c>
      <c r="F24" s="80">
        <f>SUMIFS('декабрь 2024'!$G$5:$G$2311,'декабрь 2024'!$D$5:$D$2311,$B24,'декабрь 2024'!$J$5:$J$2311,F$1)</f>
        <v>0</v>
      </c>
      <c r="G24" s="80">
        <f>SUMIFS('декабрь 2024'!$G$5:$G$2311,'декабрь 2024'!$D$5:$D$2311,$B24,'декабрь 2024'!$J$5:$J$2311,G$1)</f>
        <v>0</v>
      </c>
      <c r="H24" s="80">
        <f>SUMIFS('декабрь 2024'!$G$5:$G$2311,'декабрь 2024'!$D$5:$D$2311,$B24,'декабрь 2024'!$J$5:$J$2311,H$1)</f>
        <v>0</v>
      </c>
      <c r="I24" s="80">
        <f>SUMIFS('декабрь 2024'!$G$5:$G$2311,'декабрь 2024'!$D$5:$D$2311,$B24,'декабрь 2024'!$J$5:$J$2311,I$1)</f>
        <v>0</v>
      </c>
      <c r="J24" s="80">
        <f>SUMIFS('декабрь 2024'!$G$5:$G$2311,'декабрь 2024'!$D$5:$D$2311,$B24,'декабрь 2024'!$J$5:$J$2311,J$1)</f>
        <v>0</v>
      </c>
      <c r="K24" s="80">
        <f>SUMIFS('декабрь 2024'!$G$5:$G$2311,'декабрь 2024'!$D$5:$D$2311,$B24,'декабрь 2024'!$J$5:$J$2311,K$1)</f>
        <v>0</v>
      </c>
      <c r="L24" s="80">
        <f>SUMIFS('декабрь 2024'!$G$5:$G$2311,'декабрь 2024'!$D$5:$D$2311,$B24,'декабрь 2024'!$J$5:$J$2311,L$1)</f>
        <v>0</v>
      </c>
      <c r="M24" s="80">
        <f>SUMIFS('декабрь 2024'!$G$5:$G$2311,'декабрь 2024'!$D$5:$D$2311,$B24,'декабрь 2024'!$J$5:$J$2311,M$1)</f>
        <v>0</v>
      </c>
      <c r="N24" s="80">
        <f>SUMIFS('декабрь 2024'!$G$5:$G$2311,'декабрь 2024'!$D$5:$D$2311,$B24,'декабрь 2024'!$J$5:$J$2311,N$1)</f>
        <v>0</v>
      </c>
      <c r="O24" s="80">
        <f>SUMIFS('декабрь 2024'!$G$5:$G$2311,'декабрь 2024'!$D$5:$D$2311,$B24,'декабрь 2024'!$J$5:$J$2311,O$1)</f>
        <v>0</v>
      </c>
      <c r="P24" s="80">
        <f>SUMIFS('декабрь 2024'!$G$5:$G$2311,'декабрь 2024'!$D$5:$D$2311,$B24,'декабрь 2024'!$J$5:$J$2311,P$1)</f>
        <v>0</v>
      </c>
      <c r="Q24" s="80">
        <f>SUMIFS('декабрь 2024'!$G$5:$G$2311,'декабрь 2024'!$D$5:$D$2311,$B24,'декабрь 2024'!$J$5:$J$2311,Q$1)</f>
        <v>0</v>
      </c>
      <c r="R24" s="80">
        <f>SUMIFS('декабрь 2024'!$G$5:$G$2311,'декабрь 2024'!$D$5:$D$2311,$B24,'декабрь 2024'!$J$5:$J$2311,R$1)</f>
        <v>0</v>
      </c>
      <c r="S24" s="80">
        <f>SUMIFS('декабрь 2024'!$G$5:$G$2311,'декабрь 2024'!$D$5:$D$2311,$B24,'декабрь 2024'!$J$5:$J$2311,S$1)</f>
        <v>0</v>
      </c>
      <c r="T24" s="80">
        <f>SUMIFS('декабрь 2024'!$G$5:$G$2311,'декабрь 2024'!$D$5:$D$2311,$B24,'декабрь 2024'!$J$5:$J$2311,T$1)</f>
        <v>0</v>
      </c>
      <c r="U24" s="80">
        <f>SUMIFS('декабрь 2024'!$G$5:$G$2311,'декабрь 2024'!$D$5:$D$2311,$B24,'декабрь 2024'!$J$5:$J$2311,U$1)</f>
        <v>0</v>
      </c>
      <c r="V24" s="80">
        <f>SUMIFS('декабрь 2024'!$G$5:$G$2311,'декабрь 2024'!$D$5:$D$2311,$B24,'декабрь 2024'!$J$5:$J$2311,V$1)</f>
        <v>0</v>
      </c>
      <c r="W24" s="80">
        <f>SUMIFS('декабрь 2024'!$G$5:$G$2311,'декабрь 2024'!$D$5:$D$2311,$B24,'декабрь 2024'!$J$5:$J$2311,W$1)</f>
        <v>0</v>
      </c>
      <c r="X24" s="80">
        <f>SUMIFS('декабрь 2024'!$G$5:$G$2311,'декабрь 2024'!$D$5:$D$2311,$B24,'декабрь 2024'!$J$5:$J$2311,X$1)</f>
        <v>0</v>
      </c>
      <c r="Y24" s="80">
        <f>SUMIFS('декабрь 2024'!$G$5:$G$2311,'декабрь 2024'!$D$5:$D$2311,$B24,'декабрь 2024'!$J$5:$J$2311,Y$1)</f>
        <v>0</v>
      </c>
      <c r="Z24" s="80">
        <f>SUMIFS('декабрь 2024'!$G$5:$G$2311,'декабрь 2024'!$D$5:$D$2311,$B24,'декабрь 2024'!$J$5:$J$2311,Z$1)</f>
        <v>0</v>
      </c>
      <c r="AA24" s="80">
        <f>SUMIFS('декабрь 2024'!$G$5:$G$2311,'декабрь 2024'!$D$5:$D$2311,$B24,'декабрь 2024'!$J$5:$J$2311,AA$1)</f>
        <v>0</v>
      </c>
      <c r="AB24" s="80">
        <f>SUMIFS('декабрь 2024'!$G$5:$G$2311,'декабрь 2024'!$D$5:$D$2311,$B24,'декабрь 2024'!$J$5:$J$2311,AB$1)</f>
        <v>0</v>
      </c>
      <c r="AC24" s="80">
        <f>SUMIFS('декабрь 2024'!$G$5:$G$2311,'декабрь 2024'!$D$5:$D$2311,$B24,'декабрь 2024'!$J$5:$J$2311,AC$1)</f>
        <v>700</v>
      </c>
      <c r="AD24" s="80">
        <f>SUMIFS('декабрь 2024'!$G$5:$G$2311,'декабрь 2024'!$D$5:$D$2311,$B24,'декабрь 2024'!$J$5:$J$2311,AD$1)</f>
        <v>0</v>
      </c>
      <c r="AE24" s="80">
        <f>SUMIFS('декабрь 2024'!$G$5:$G$2311,'декабрь 2024'!$D$5:$D$2311,$B24,'декабрь 2024'!$J$5:$J$2311,AE$1)</f>
        <v>0</v>
      </c>
      <c r="AF24" s="80">
        <f>SUMIFS('декабрь 2024'!$G$5:$G$2311,'декабрь 2024'!$D$5:$D$2311,$B24,'декабрь 2024'!$J$5:$J$2311,AF$1)</f>
        <v>0</v>
      </c>
      <c r="AG24" s="80">
        <f>SUMIFS('декабрь 2024'!$G$5:$G$2311,'декабрь 2024'!$D$5:$D$2311,$B24,'декабрь 2024'!$J$5:$J$2311,AG$1)</f>
        <v>0</v>
      </c>
      <c r="AH24" s="80">
        <f>SUMIFS('декабрь 2024'!$G$5:$G$2311,'декабрь 2024'!$D$5:$D$2311,$B24,'декабрь 2024'!$J$5:$J$2311,AH$1)</f>
        <v>0</v>
      </c>
      <c r="AI24" s="21">
        <f t="shared" si="1"/>
        <v>700</v>
      </c>
    </row>
    <row r="25" spans="2:35" ht="15" customHeight="1" x14ac:dyDescent="0.25">
      <c r="B25" s="84" t="s">
        <v>313</v>
      </c>
      <c r="C25" s="82">
        <v>25</v>
      </c>
      <c r="D25" s="80">
        <f>SUMIFS('декабрь 2024'!$G$5:$G$2311,'декабрь 2024'!$D$5:$D$2311,$B25,'декабрь 2024'!$J$5:$J$2311,D$1)</f>
        <v>0</v>
      </c>
      <c r="E25" s="80">
        <f>SUMIFS('декабрь 2024'!$G$5:$G$2311,'декабрь 2024'!$D$5:$D$2311,$B25,'декабрь 2024'!$J$5:$J$2311,E$1)</f>
        <v>0</v>
      </c>
      <c r="F25" s="80">
        <f>SUMIFS('декабрь 2024'!$G$5:$G$2311,'декабрь 2024'!$D$5:$D$2311,$B25,'декабрь 2024'!$J$5:$J$2311,F$1)</f>
        <v>0</v>
      </c>
      <c r="G25" s="80">
        <f>SUMIFS('декабрь 2024'!$G$5:$G$2311,'декабрь 2024'!$D$5:$D$2311,$B25,'декабрь 2024'!$J$5:$J$2311,G$1)</f>
        <v>0</v>
      </c>
      <c r="H25" s="80">
        <f>SUMIFS('декабрь 2024'!$G$5:$G$2311,'декабрь 2024'!$D$5:$D$2311,$B25,'декабрь 2024'!$J$5:$J$2311,H$1)</f>
        <v>0</v>
      </c>
      <c r="I25" s="80">
        <f>SUMIFS('декабрь 2024'!$G$5:$G$2311,'декабрь 2024'!$D$5:$D$2311,$B25,'декабрь 2024'!$J$5:$J$2311,I$1)</f>
        <v>0</v>
      </c>
      <c r="J25" s="80">
        <f>SUMIFS('декабрь 2024'!$G$5:$G$2311,'декабрь 2024'!$D$5:$D$2311,$B25,'декабрь 2024'!$J$5:$J$2311,J$1)</f>
        <v>0</v>
      </c>
      <c r="K25" s="80">
        <f>SUMIFS('декабрь 2024'!$G$5:$G$2311,'декабрь 2024'!$D$5:$D$2311,$B25,'декабрь 2024'!$J$5:$J$2311,K$1)</f>
        <v>0</v>
      </c>
      <c r="L25" s="80">
        <f>SUMIFS('декабрь 2024'!$G$5:$G$2311,'декабрь 2024'!$D$5:$D$2311,$B25,'декабрь 2024'!$J$5:$J$2311,L$1)</f>
        <v>0</v>
      </c>
      <c r="M25" s="80">
        <f>SUMIFS('декабрь 2024'!$G$5:$G$2311,'декабрь 2024'!$D$5:$D$2311,$B25,'декабрь 2024'!$J$5:$J$2311,M$1)</f>
        <v>0</v>
      </c>
      <c r="N25" s="80">
        <f>SUMIFS('декабрь 2024'!$G$5:$G$2311,'декабрь 2024'!$D$5:$D$2311,$B25,'декабрь 2024'!$J$5:$J$2311,N$1)</f>
        <v>0</v>
      </c>
      <c r="O25" s="80">
        <f>SUMIFS('декабрь 2024'!$G$5:$G$2311,'декабрь 2024'!$D$5:$D$2311,$B25,'декабрь 2024'!$J$5:$J$2311,O$1)</f>
        <v>0</v>
      </c>
      <c r="P25" s="80">
        <f>SUMIFS('декабрь 2024'!$G$5:$G$2311,'декабрь 2024'!$D$5:$D$2311,$B25,'декабрь 2024'!$J$5:$J$2311,P$1)</f>
        <v>0</v>
      </c>
      <c r="Q25" s="80">
        <f>SUMIFS('декабрь 2024'!$G$5:$G$2311,'декабрь 2024'!$D$5:$D$2311,$B25,'декабрь 2024'!$J$5:$J$2311,Q$1)</f>
        <v>0</v>
      </c>
      <c r="R25" s="80">
        <f>SUMIFS('декабрь 2024'!$G$5:$G$2311,'декабрь 2024'!$D$5:$D$2311,$B25,'декабрь 2024'!$J$5:$J$2311,R$1)</f>
        <v>0</v>
      </c>
      <c r="S25" s="80">
        <f>SUMIFS('декабрь 2024'!$G$5:$G$2311,'декабрь 2024'!$D$5:$D$2311,$B25,'декабрь 2024'!$J$5:$J$2311,S$1)</f>
        <v>0</v>
      </c>
      <c r="T25" s="80">
        <f>SUMIFS('декабрь 2024'!$G$5:$G$2311,'декабрь 2024'!$D$5:$D$2311,$B25,'декабрь 2024'!$J$5:$J$2311,T$1)</f>
        <v>0</v>
      </c>
      <c r="U25" s="80">
        <f>SUMIFS('декабрь 2024'!$G$5:$G$2311,'декабрь 2024'!$D$5:$D$2311,$B25,'декабрь 2024'!$J$5:$J$2311,U$1)</f>
        <v>0</v>
      </c>
      <c r="V25" s="80">
        <f>SUMIFS('декабрь 2024'!$G$5:$G$2311,'декабрь 2024'!$D$5:$D$2311,$B25,'декабрь 2024'!$J$5:$J$2311,V$1)</f>
        <v>0</v>
      </c>
      <c r="W25" s="80">
        <f>SUMIFS('декабрь 2024'!$G$5:$G$2311,'декабрь 2024'!$D$5:$D$2311,$B25,'декабрь 2024'!$J$5:$J$2311,W$1)</f>
        <v>0</v>
      </c>
      <c r="X25" s="80">
        <f>SUMIFS('декабрь 2024'!$G$5:$G$2311,'декабрь 2024'!$D$5:$D$2311,$B25,'декабрь 2024'!$J$5:$J$2311,X$1)</f>
        <v>0</v>
      </c>
      <c r="Y25" s="80">
        <f>SUMIFS('декабрь 2024'!$G$5:$G$2311,'декабрь 2024'!$D$5:$D$2311,$B25,'декабрь 2024'!$J$5:$J$2311,Y$1)</f>
        <v>0</v>
      </c>
      <c r="Z25" s="80">
        <f>SUMIFS('декабрь 2024'!$G$5:$G$2311,'декабрь 2024'!$D$5:$D$2311,$B25,'декабрь 2024'!$J$5:$J$2311,Z$1)</f>
        <v>0</v>
      </c>
      <c r="AA25" s="80">
        <f>SUMIFS('декабрь 2024'!$G$5:$G$2311,'декабрь 2024'!$D$5:$D$2311,$B25,'декабрь 2024'!$J$5:$J$2311,AA$1)</f>
        <v>0</v>
      </c>
      <c r="AB25" s="80">
        <f>SUMIFS('декабрь 2024'!$G$5:$G$2311,'декабрь 2024'!$D$5:$D$2311,$B25,'декабрь 2024'!$J$5:$J$2311,AB$1)</f>
        <v>0</v>
      </c>
      <c r="AC25" s="80">
        <f>SUMIFS('декабрь 2024'!$G$5:$G$2311,'декабрь 2024'!$D$5:$D$2311,$B25,'декабрь 2024'!$J$5:$J$2311,AC$1)</f>
        <v>0</v>
      </c>
      <c r="AD25" s="80">
        <f>SUMIFS('декабрь 2024'!$G$5:$G$2311,'декабрь 2024'!$D$5:$D$2311,$B25,'декабрь 2024'!$J$5:$J$2311,AD$1)</f>
        <v>0</v>
      </c>
      <c r="AE25" s="80">
        <f>SUMIFS('декабрь 2024'!$G$5:$G$2311,'декабрь 2024'!$D$5:$D$2311,$B25,'декабрь 2024'!$J$5:$J$2311,AE$1)</f>
        <v>0</v>
      </c>
      <c r="AF25" s="80">
        <f>SUMIFS('декабрь 2024'!$G$5:$G$2311,'декабрь 2024'!$D$5:$D$2311,$B25,'декабрь 2024'!$J$5:$J$2311,AF$1)</f>
        <v>0</v>
      </c>
      <c r="AG25" s="80">
        <f>SUMIFS('декабрь 2024'!$G$5:$G$2311,'декабрь 2024'!$D$5:$D$2311,$B25,'декабрь 2024'!$J$5:$J$2311,AG$1)</f>
        <v>0</v>
      </c>
      <c r="AH25" s="80">
        <f>SUMIFS('декабрь 2024'!$G$5:$G$2311,'декабрь 2024'!$D$5:$D$2311,$B25,'декабрь 2024'!$J$5:$J$2311,AH$1)</f>
        <v>0</v>
      </c>
      <c r="AI25" s="21">
        <f t="shared" si="1"/>
        <v>0</v>
      </c>
    </row>
    <row r="26" spans="2:35" ht="15" customHeight="1" x14ac:dyDescent="0.25">
      <c r="B26" s="84" t="s">
        <v>314</v>
      </c>
      <c r="C26" s="82">
        <v>25</v>
      </c>
      <c r="D26" s="80">
        <f>SUMIFS('декабрь 2024'!$G$5:$G$2311,'декабрь 2024'!$D$5:$D$2311,$B26,'декабрь 2024'!$J$5:$J$2311,D$1)</f>
        <v>0</v>
      </c>
      <c r="E26" s="80">
        <f>SUMIFS('декабрь 2024'!$G$5:$G$2311,'декабрь 2024'!$D$5:$D$2311,$B26,'декабрь 2024'!$J$5:$J$2311,E$1)</f>
        <v>0</v>
      </c>
      <c r="F26" s="80">
        <f>SUMIFS('декабрь 2024'!$G$5:$G$2311,'декабрь 2024'!$D$5:$D$2311,$B26,'декабрь 2024'!$J$5:$J$2311,F$1)</f>
        <v>0</v>
      </c>
      <c r="G26" s="80">
        <f>SUMIFS('декабрь 2024'!$G$5:$G$2311,'декабрь 2024'!$D$5:$D$2311,$B26,'декабрь 2024'!$J$5:$J$2311,G$1)</f>
        <v>0</v>
      </c>
      <c r="H26" s="80">
        <f>SUMIFS('декабрь 2024'!$G$5:$G$2311,'декабрь 2024'!$D$5:$D$2311,$B26,'декабрь 2024'!$J$5:$J$2311,H$1)</f>
        <v>0</v>
      </c>
      <c r="I26" s="80">
        <f>SUMIFS('декабрь 2024'!$G$5:$G$2311,'декабрь 2024'!$D$5:$D$2311,$B26,'декабрь 2024'!$J$5:$J$2311,I$1)</f>
        <v>0</v>
      </c>
      <c r="J26" s="80">
        <f>SUMIFS('декабрь 2024'!$G$5:$G$2311,'декабрь 2024'!$D$5:$D$2311,$B26,'декабрь 2024'!$J$5:$J$2311,J$1)</f>
        <v>0</v>
      </c>
      <c r="K26" s="80">
        <f>SUMIFS('декабрь 2024'!$G$5:$G$2311,'декабрь 2024'!$D$5:$D$2311,$B26,'декабрь 2024'!$J$5:$J$2311,K$1)</f>
        <v>0</v>
      </c>
      <c r="L26" s="80">
        <f>SUMIFS('декабрь 2024'!$G$5:$G$2311,'декабрь 2024'!$D$5:$D$2311,$B26,'декабрь 2024'!$J$5:$J$2311,L$1)</f>
        <v>0</v>
      </c>
      <c r="M26" s="80">
        <f>SUMIFS('декабрь 2024'!$G$5:$G$2311,'декабрь 2024'!$D$5:$D$2311,$B26,'декабрь 2024'!$J$5:$J$2311,M$1)</f>
        <v>0</v>
      </c>
      <c r="N26" s="80">
        <f>SUMIFS('декабрь 2024'!$G$5:$G$2311,'декабрь 2024'!$D$5:$D$2311,$B26,'декабрь 2024'!$J$5:$J$2311,N$1)</f>
        <v>0</v>
      </c>
      <c r="O26" s="80">
        <f>SUMIFS('декабрь 2024'!$G$5:$G$2311,'декабрь 2024'!$D$5:$D$2311,$B26,'декабрь 2024'!$J$5:$J$2311,O$1)</f>
        <v>0</v>
      </c>
      <c r="P26" s="80">
        <f>SUMIFS('декабрь 2024'!$G$5:$G$2311,'декабрь 2024'!$D$5:$D$2311,$B26,'декабрь 2024'!$J$5:$J$2311,P$1)</f>
        <v>0</v>
      </c>
      <c r="Q26" s="80">
        <f>SUMIFS('декабрь 2024'!$G$5:$G$2311,'декабрь 2024'!$D$5:$D$2311,$B26,'декабрь 2024'!$J$5:$J$2311,Q$1)</f>
        <v>0</v>
      </c>
      <c r="R26" s="80">
        <f>SUMIFS('декабрь 2024'!$G$5:$G$2311,'декабрь 2024'!$D$5:$D$2311,$B26,'декабрь 2024'!$J$5:$J$2311,R$1)</f>
        <v>0</v>
      </c>
      <c r="S26" s="80">
        <f>SUMIFS('декабрь 2024'!$G$5:$G$2311,'декабрь 2024'!$D$5:$D$2311,$B26,'декабрь 2024'!$J$5:$J$2311,S$1)</f>
        <v>0</v>
      </c>
      <c r="T26" s="80">
        <f>SUMIFS('декабрь 2024'!$G$5:$G$2311,'декабрь 2024'!$D$5:$D$2311,$B26,'декабрь 2024'!$J$5:$J$2311,T$1)</f>
        <v>0</v>
      </c>
      <c r="U26" s="80">
        <f>SUMIFS('декабрь 2024'!$G$5:$G$2311,'декабрь 2024'!$D$5:$D$2311,$B26,'декабрь 2024'!$J$5:$J$2311,U$1)</f>
        <v>0</v>
      </c>
      <c r="V26" s="80">
        <f>SUMIFS('декабрь 2024'!$G$5:$G$2311,'декабрь 2024'!$D$5:$D$2311,$B26,'декабрь 2024'!$J$5:$J$2311,V$1)</f>
        <v>0</v>
      </c>
      <c r="W26" s="80">
        <f>SUMIFS('декабрь 2024'!$G$5:$G$2311,'декабрь 2024'!$D$5:$D$2311,$B26,'декабрь 2024'!$J$5:$J$2311,W$1)</f>
        <v>0</v>
      </c>
      <c r="X26" s="80">
        <f>SUMIFS('декабрь 2024'!$G$5:$G$2311,'декабрь 2024'!$D$5:$D$2311,$B26,'декабрь 2024'!$J$5:$J$2311,X$1)</f>
        <v>0</v>
      </c>
      <c r="Y26" s="80">
        <f>SUMIFS('декабрь 2024'!$G$5:$G$2311,'декабрь 2024'!$D$5:$D$2311,$B26,'декабрь 2024'!$J$5:$J$2311,Y$1)</f>
        <v>0</v>
      </c>
      <c r="Z26" s="80">
        <f>SUMIFS('декабрь 2024'!$G$5:$G$2311,'декабрь 2024'!$D$5:$D$2311,$B26,'декабрь 2024'!$J$5:$J$2311,Z$1)</f>
        <v>0</v>
      </c>
      <c r="AA26" s="80">
        <f>SUMIFS('декабрь 2024'!$G$5:$G$2311,'декабрь 2024'!$D$5:$D$2311,$B26,'декабрь 2024'!$J$5:$J$2311,AA$1)</f>
        <v>0</v>
      </c>
      <c r="AB26" s="80">
        <f>SUMIFS('декабрь 2024'!$G$5:$G$2311,'декабрь 2024'!$D$5:$D$2311,$B26,'декабрь 2024'!$J$5:$J$2311,AB$1)</f>
        <v>0</v>
      </c>
      <c r="AC26" s="80">
        <f>SUMIFS('декабрь 2024'!$G$5:$G$2311,'декабрь 2024'!$D$5:$D$2311,$B26,'декабрь 2024'!$J$5:$J$2311,AC$1)</f>
        <v>0</v>
      </c>
      <c r="AD26" s="80">
        <f>SUMIFS('декабрь 2024'!$G$5:$G$2311,'декабрь 2024'!$D$5:$D$2311,$B26,'декабрь 2024'!$J$5:$J$2311,AD$1)</f>
        <v>0</v>
      </c>
      <c r="AE26" s="80">
        <f>SUMIFS('декабрь 2024'!$G$5:$G$2311,'декабрь 2024'!$D$5:$D$2311,$B26,'декабрь 2024'!$J$5:$J$2311,AE$1)</f>
        <v>0</v>
      </c>
      <c r="AF26" s="80">
        <f>SUMIFS('декабрь 2024'!$G$5:$G$2311,'декабрь 2024'!$D$5:$D$2311,$B26,'декабрь 2024'!$J$5:$J$2311,AF$1)</f>
        <v>0</v>
      </c>
      <c r="AG26" s="80">
        <f>SUMIFS('декабрь 2024'!$G$5:$G$2311,'декабрь 2024'!$D$5:$D$2311,$B26,'декабрь 2024'!$J$5:$J$2311,AG$1)</f>
        <v>0</v>
      </c>
      <c r="AH26" s="80">
        <f>SUMIFS('декабрь 2024'!$G$5:$G$2311,'декабрь 2024'!$D$5:$D$2311,$B26,'декабрь 2024'!$J$5:$J$2311,AH$1)</f>
        <v>0</v>
      </c>
      <c r="AI26" s="21">
        <f t="shared" si="1"/>
        <v>0</v>
      </c>
    </row>
    <row r="27" spans="2:35" ht="15" customHeight="1" x14ac:dyDescent="0.25">
      <c r="B27" s="84" t="s">
        <v>315</v>
      </c>
      <c r="C27" s="82">
        <v>25</v>
      </c>
      <c r="D27" s="80">
        <f>SUMIFS('декабрь 2024'!$G$5:$G$2311,'декабрь 2024'!$D$5:$D$2311,$B27,'декабрь 2024'!$J$5:$J$2311,D$1)</f>
        <v>0</v>
      </c>
      <c r="E27" s="80">
        <f>SUMIFS('декабрь 2024'!$G$5:$G$2311,'декабрь 2024'!$D$5:$D$2311,$B27,'декабрь 2024'!$J$5:$J$2311,E$1)</f>
        <v>0</v>
      </c>
      <c r="F27" s="80">
        <f>SUMIFS('декабрь 2024'!$G$5:$G$2311,'декабрь 2024'!$D$5:$D$2311,$B27,'декабрь 2024'!$J$5:$J$2311,F$1)</f>
        <v>0</v>
      </c>
      <c r="G27" s="80">
        <f>SUMIFS('декабрь 2024'!$G$5:$G$2311,'декабрь 2024'!$D$5:$D$2311,$B27,'декабрь 2024'!$J$5:$J$2311,G$1)</f>
        <v>0</v>
      </c>
      <c r="H27" s="80">
        <f>SUMIFS('декабрь 2024'!$G$5:$G$2311,'декабрь 2024'!$D$5:$D$2311,$B27,'декабрь 2024'!$J$5:$J$2311,H$1)</f>
        <v>0</v>
      </c>
      <c r="I27" s="80">
        <f>SUMIFS('декабрь 2024'!$G$5:$G$2311,'декабрь 2024'!$D$5:$D$2311,$B27,'декабрь 2024'!$J$5:$J$2311,I$1)</f>
        <v>0</v>
      </c>
      <c r="J27" s="80">
        <f>SUMIFS('декабрь 2024'!$G$5:$G$2311,'декабрь 2024'!$D$5:$D$2311,$B27,'декабрь 2024'!$J$5:$J$2311,J$1)</f>
        <v>0</v>
      </c>
      <c r="K27" s="80">
        <f>SUMIFS('декабрь 2024'!$G$5:$G$2311,'декабрь 2024'!$D$5:$D$2311,$B27,'декабрь 2024'!$J$5:$J$2311,K$1)</f>
        <v>0</v>
      </c>
      <c r="L27" s="80">
        <f>SUMIFS('декабрь 2024'!$G$5:$G$2311,'декабрь 2024'!$D$5:$D$2311,$B27,'декабрь 2024'!$J$5:$J$2311,L$1)</f>
        <v>0</v>
      </c>
      <c r="M27" s="80">
        <f>SUMIFS('декабрь 2024'!$G$5:$G$2311,'декабрь 2024'!$D$5:$D$2311,$B27,'декабрь 2024'!$J$5:$J$2311,M$1)</f>
        <v>0</v>
      </c>
      <c r="N27" s="80">
        <f>SUMIFS('декабрь 2024'!$G$5:$G$2311,'декабрь 2024'!$D$5:$D$2311,$B27,'декабрь 2024'!$J$5:$J$2311,N$1)</f>
        <v>0</v>
      </c>
      <c r="O27" s="80">
        <f>SUMIFS('декабрь 2024'!$G$5:$G$2311,'декабрь 2024'!$D$5:$D$2311,$B27,'декабрь 2024'!$J$5:$J$2311,O$1)</f>
        <v>0</v>
      </c>
      <c r="P27" s="80">
        <f>SUMIFS('декабрь 2024'!$G$5:$G$2311,'декабрь 2024'!$D$5:$D$2311,$B27,'декабрь 2024'!$J$5:$J$2311,P$1)</f>
        <v>0</v>
      </c>
      <c r="Q27" s="80">
        <f>SUMIFS('декабрь 2024'!$G$5:$G$2311,'декабрь 2024'!$D$5:$D$2311,$B27,'декабрь 2024'!$J$5:$J$2311,Q$1)</f>
        <v>0</v>
      </c>
      <c r="R27" s="80">
        <f>SUMIFS('декабрь 2024'!$G$5:$G$2311,'декабрь 2024'!$D$5:$D$2311,$B27,'декабрь 2024'!$J$5:$J$2311,R$1)</f>
        <v>0</v>
      </c>
      <c r="S27" s="80">
        <f>SUMIFS('декабрь 2024'!$G$5:$G$2311,'декабрь 2024'!$D$5:$D$2311,$B27,'декабрь 2024'!$J$5:$J$2311,S$1)</f>
        <v>0</v>
      </c>
      <c r="T27" s="80">
        <f>SUMIFS('декабрь 2024'!$G$5:$G$2311,'декабрь 2024'!$D$5:$D$2311,$B27,'декабрь 2024'!$J$5:$J$2311,T$1)</f>
        <v>0</v>
      </c>
      <c r="U27" s="80">
        <f>SUMIFS('декабрь 2024'!$G$5:$G$2311,'декабрь 2024'!$D$5:$D$2311,$B27,'декабрь 2024'!$J$5:$J$2311,U$1)</f>
        <v>0</v>
      </c>
      <c r="V27" s="80">
        <f>SUMIFS('декабрь 2024'!$G$5:$G$2311,'декабрь 2024'!$D$5:$D$2311,$B27,'декабрь 2024'!$J$5:$J$2311,V$1)</f>
        <v>0</v>
      </c>
      <c r="W27" s="80">
        <f>SUMIFS('декабрь 2024'!$G$5:$G$2311,'декабрь 2024'!$D$5:$D$2311,$B27,'декабрь 2024'!$J$5:$J$2311,W$1)</f>
        <v>0</v>
      </c>
      <c r="X27" s="80">
        <f>SUMIFS('декабрь 2024'!$G$5:$G$2311,'декабрь 2024'!$D$5:$D$2311,$B27,'декабрь 2024'!$J$5:$J$2311,X$1)</f>
        <v>0</v>
      </c>
      <c r="Y27" s="80">
        <f>SUMIFS('декабрь 2024'!$G$5:$G$2311,'декабрь 2024'!$D$5:$D$2311,$B27,'декабрь 2024'!$J$5:$J$2311,Y$1)</f>
        <v>0</v>
      </c>
      <c r="Z27" s="80">
        <f>SUMIFS('декабрь 2024'!$G$5:$G$2311,'декабрь 2024'!$D$5:$D$2311,$B27,'декабрь 2024'!$J$5:$J$2311,Z$1)</f>
        <v>0</v>
      </c>
      <c r="AA27" s="80">
        <f>SUMIFS('декабрь 2024'!$G$5:$G$2311,'декабрь 2024'!$D$5:$D$2311,$B27,'декабрь 2024'!$J$5:$J$2311,AA$1)</f>
        <v>0</v>
      </c>
      <c r="AB27" s="80">
        <f>SUMIFS('декабрь 2024'!$G$5:$G$2311,'декабрь 2024'!$D$5:$D$2311,$B27,'декабрь 2024'!$J$5:$J$2311,AB$1)</f>
        <v>0</v>
      </c>
      <c r="AC27" s="80">
        <f>SUMIFS('декабрь 2024'!$G$5:$G$2311,'декабрь 2024'!$D$5:$D$2311,$B27,'декабрь 2024'!$J$5:$J$2311,AC$1)</f>
        <v>0</v>
      </c>
      <c r="AD27" s="80">
        <f>SUMIFS('декабрь 2024'!$G$5:$G$2311,'декабрь 2024'!$D$5:$D$2311,$B27,'декабрь 2024'!$J$5:$J$2311,AD$1)</f>
        <v>0</v>
      </c>
      <c r="AE27" s="80">
        <f>SUMIFS('декабрь 2024'!$G$5:$G$2311,'декабрь 2024'!$D$5:$D$2311,$B27,'декабрь 2024'!$J$5:$J$2311,AE$1)</f>
        <v>0</v>
      </c>
      <c r="AF27" s="80">
        <f>SUMIFS('декабрь 2024'!$G$5:$G$2311,'декабрь 2024'!$D$5:$D$2311,$B27,'декабрь 2024'!$J$5:$J$2311,AF$1)</f>
        <v>0</v>
      </c>
      <c r="AG27" s="80">
        <f>SUMIFS('декабрь 2024'!$G$5:$G$2311,'декабрь 2024'!$D$5:$D$2311,$B27,'декабрь 2024'!$J$5:$J$2311,AG$1)</f>
        <v>0</v>
      </c>
      <c r="AH27" s="80">
        <f>SUMIFS('декабрь 2024'!$G$5:$G$2311,'декабрь 2024'!$D$5:$D$2311,$B27,'декабрь 2024'!$J$5:$J$2311,AH$1)</f>
        <v>0</v>
      </c>
      <c r="AI27" s="21">
        <f t="shared" si="1"/>
        <v>0</v>
      </c>
    </row>
    <row r="28" spans="2:35" ht="15" customHeight="1" x14ac:dyDescent="0.25">
      <c r="B28" s="84" t="s">
        <v>2133</v>
      </c>
      <c r="C28" s="82">
        <v>25</v>
      </c>
      <c r="D28" s="80">
        <f>SUMIFS('декабрь 2024'!$G$5:$G$2311,'декабрь 2024'!$D$5:$D$2311,$B28,'декабрь 2024'!$J$5:$J$2311,D$1)</f>
        <v>0</v>
      </c>
      <c r="E28" s="80">
        <f>SUMIFS('декабрь 2024'!$G$5:$G$2311,'декабрь 2024'!$D$5:$D$2311,$B28,'декабрь 2024'!$J$5:$J$2311,E$1)</f>
        <v>0</v>
      </c>
      <c r="F28" s="80">
        <f>SUMIFS('декабрь 2024'!$G$5:$G$2311,'декабрь 2024'!$D$5:$D$2311,$B28,'декабрь 2024'!$J$5:$J$2311,F$1)</f>
        <v>0</v>
      </c>
      <c r="G28" s="80">
        <f>SUMIFS('декабрь 2024'!$G$5:$G$2311,'декабрь 2024'!$D$5:$D$2311,$B28,'декабрь 2024'!$J$5:$J$2311,G$1)</f>
        <v>0</v>
      </c>
      <c r="H28" s="80">
        <f>SUMIFS('декабрь 2024'!$G$5:$G$2311,'декабрь 2024'!$D$5:$D$2311,$B28,'декабрь 2024'!$J$5:$J$2311,H$1)</f>
        <v>0</v>
      </c>
      <c r="I28" s="80">
        <f>SUMIFS('декабрь 2024'!$G$5:$G$2311,'декабрь 2024'!$D$5:$D$2311,$B28,'декабрь 2024'!$J$5:$J$2311,I$1)</f>
        <v>0</v>
      </c>
      <c r="J28" s="80">
        <f>SUMIFS('декабрь 2024'!$G$5:$G$2311,'декабрь 2024'!$D$5:$D$2311,$B28,'декабрь 2024'!$J$5:$J$2311,J$1)</f>
        <v>0</v>
      </c>
      <c r="K28" s="80">
        <f>SUMIFS('декабрь 2024'!$G$5:$G$2311,'декабрь 2024'!$D$5:$D$2311,$B28,'декабрь 2024'!$J$5:$J$2311,K$1)</f>
        <v>0</v>
      </c>
      <c r="L28" s="80">
        <f>SUMIFS('декабрь 2024'!$G$5:$G$2311,'декабрь 2024'!$D$5:$D$2311,$B28,'декабрь 2024'!$J$5:$J$2311,L$1)</f>
        <v>0</v>
      </c>
      <c r="M28" s="80">
        <f>SUMIFS('декабрь 2024'!$G$5:$G$2311,'декабрь 2024'!$D$5:$D$2311,$B28,'декабрь 2024'!$J$5:$J$2311,M$1)</f>
        <v>0</v>
      </c>
      <c r="N28" s="80">
        <f>SUMIFS('декабрь 2024'!$G$5:$G$2311,'декабрь 2024'!$D$5:$D$2311,$B28,'декабрь 2024'!$J$5:$J$2311,N$1)</f>
        <v>0</v>
      </c>
      <c r="O28" s="80">
        <f>SUMIFS('декабрь 2024'!$G$5:$G$2311,'декабрь 2024'!$D$5:$D$2311,$B28,'декабрь 2024'!$J$5:$J$2311,O$1)</f>
        <v>0</v>
      </c>
      <c r="P28" s="80">
        <f>SUMIFS('декабрь 2024'!$G$5:$G$2311,'декабрь 2024'!$D$5:$D$2311,$B28,'декабрь 2024'!$J$5:$J$2311,P$1)</f>
        <v>0</v>
      </c>
      <c r="Q28" s="80">
        <f>SUMIFS('декабрь 2024'!$G$5:$G$2311,'декабрь 2024'!$D$5:$D$2311,$B28,'декабрь 2024'!$J$5:$J$2311,Q$1)</f>
        <v>0</v>
      </c>
      <c r="R28" s="80">
        <f>SUMIFS('декабрь 2024'!$G$5:$G$2311,'декабрь 2024'!$D$5:$D$2311,$B28,'декабрь 2024'!$J$5:$J$2311,R$1)</f>
        <v>0</v>
      </c>
      <c r="S28" s="80">
        <f>SUMIFS('декабрь 2024'!$G$5:$G$2311,'декабрь 2024'!$D$5:$D$2311,$B28,'декабрь 2024'!$J$5:$J$2311,S$1)</f>
        <v>0</v>
      </c>
      <c r="T28" s="80">
        <f>SUMIFS('декабрь 2024'!$G$5:$G$2311,'декабрь 2024'!$D$5:$D$2311,$B28,'декабрь 2024'!$J$5:$J$2311,T$1)</f>
        <v>0</v>
      </c>
      <c r="U28" s="80">
        <f>SUMIFS('декабрь 2024'!$G$5:$G$2311,'декабрь 2024'!$D$5:$D$2311,$B28,'декабрь 2024'!$J$5:$J$2311,U$1)</f>
        <v>0</v>
      </c>
      <c r="V28" s="80">
        <f>SUMIFS('декабрь 2024'!$G$5:$G$2311,'декабрь 2024'!$D$5:$D$2311,$B28,'декабрь 2024'!$J$5:$J$2311,V$1)</f>
        <v>0</v>
      </c>
      <c r="W28" s="80">
        <f>SUMIFS('декабрь 2024'!$G$5:$G$2311,'декабрь 2024'!$D$5:$D$2311,$B28,'декабрь 2024'!$J$5:$J$2311,W$1)</f>
        <v>0</v>
      </c>
      <c r="X28" s="80">
        <f>SUMIFS('декабрь 2024'!$G$5:$G$2311,'декабрь 2024'!$D$5:$D$2311,$B28,'декабрь 2024'!$J$5:$J$2311,X$1)</f>
        <v>0</v>
      </c>
      <c r="Y28" s="80">
        <f>SUMIFS('декабрь 2024'!$G$5:$G$2311,'декабрь 2024'!$D$5:$D$2311,$B28,'декабрь 2024'!$J$5:$J$2311,Y$1)</f>
        <v>0</v>
      </c>
      <c r="Z28" s="80">
        <f>SUMIFS('декабрь 2024'!$G$5:$G$2311,'декабрь 2024'!$D$5:$D$2311,$B28,'декабрь 2024'!$J$5:$J$2311,Z$1)</f>
        <v>0</v>
      </c>
      <c r="AA28" s="80">
        <f>SUMIFS('декабрь 2024'!$G$5:$G$2311,'декабрь 2024'!$D$5:$D$2311,$B28,'декабрь 2024'!$J$5:$J$2311,AA$1)</f>
        <v>0</v>
      </c>
      <c r="AB28" s="80">
        <f>SUMIFS('декабрь 2024'!$G$5:$G$2311,'декабрь 2024'!$D$5:$D$2311,$B28,'декабрь 2024'!$J$5:$J$2311,AB$1)</f>
        <v>0</v>
      </c>
      <c r="AC28" s="80">
        <f>SUMIFS('декабрь 2024'!$G$5:$G$2311,'декабрь 2024'!$D$5:$D$2311,$B28,'декабрь 2024'!$J$5:$J$2311,AC$1)</f>
        <v>0</v>
      </c>
      <c r="AD28" s="80">
        <f>SUMIFS('декабрь 2024'!$G$5:$G$2311,'декабрь 2024'!$D$5:$D$2311,$B28,'декабрь 2024'!$J$5:$J$2311,AD$1)</f>
        <v>0</v>
      </c>
      <c r="AE28" s="80">
        <f>SUMIFS('декабрь 2024'!$G$5:$G$2311,'декабрь 2024'!$D$5:$D$2311,$B28,'декабрь 2024'!$J$5:$J$2311,AE$1)</f>
        <v>0</v>
      </c>
      <c r="AF28" s="80">
        <f>SUMIFS('декабрь 2024'!$G$5:$G$2311,'декабрь 2024'!$D$5:$D$2311,$B28,'декабрь 2024'!$J$5:$J$2311,AF$1)</f>
        <v>0</v>
      </c>
      <c r="AG28" s="80">
        <f>SUMIFS('декабрь 2024'!$G$5:$G$2311,'декабрь 2024'!$D$5:$D$2311,$B28,'декабрь 2024'!$J$5:$J$2311,AG$1)</f>
        <v>0</v>
      </c>
      <c r="AH28" s="80">
        <f>SUMIFS('декабрь 2024'!$G$5:$G$2311,'декабрь 2024'!$D$5:$D$2311,$B28,'декабрь 2024'!$J$5:$J$2311,AH$1)</f>
        <v>0</v>
      </c>
      <c r="AI28" s="21">
        <f t="shared" ref="AI28" si="2">SUM(D28:AH28)</f>
        <v>0</v>
      </c>
    </row>
    <row r="29" spans="2:35" ht="15" customHeight="1" x14ac:dyDescent="0.25">
      <c r="B29" s="84"/>
      <c r="C29" s="82"/>
      <c r="D29" s="80">
        <f>SUMIFS('декабрь 2024'!$G$5:$G$2311,'декабрь 2024'!$D$5:$D$2311,$B29,'декабрь 2024'!$J$5:$J$2311,D$1)</f>
        <v>0</v>
      </c>
      <c r="E29" s="80">
        <f>SUMIFS('декабрь 2024'!$G$5:$G$2311,'декабрь 2024'!$D$5:$D$2311,$B29,'декабрь 2024'!$J$5:$J$2311,E$1)</f>
        <v>0</v>
      </c>
      <c r="F29" s="80">
        <f>SUMIFS('декабрь 2024'!$G$5:$G$2311,'декабрь 2024'!$D$5:$D$2311,$B29,'декабрь 2024'!$J$5:$J$2311,F$1)</f>
        <v>0</v>
      </c>
      <c r="G29" s="80">
        <f>SUMIFS('декабрь 2024'!$G$5:$G$2311,'декабрь 2024'!$D$5:$D$2311,$B29,'декабрь 2024'!$J$5:$J$2311,G$1)</f>
        <v>0</v>
      </c>
      <c r="H29" s="80">
        <f>SUMIFS('декабрь 2024'!$G$5:$G$2311,'декабрь 2024'!$D$5:$D$2311,$B29,'декабрь 2024'!$J$5:$J$2311,H$1)</f>
        <v>0</v>
      </c>
      <c r="I29" s="80">
        <f>SUMIFS('декабрь 2024'!$G$5:$G$2311,'декабрь 2024'!$D$5:$D$2311,$B29,'декабрь 2024'!$J$5:$J$2311,I$1)</f>
        <v>0</v>
      </c>
      <c r="J29" s="80">
        <f>SUMIFS('декабрь 2024'!$G$5:$G$2311,'декабрь 2024'!$D$5:$D$2311,$B29,'декабрь 2024'!$J$5:$J$2311,J$1)</f>
        <v>0</v>
      </c>
      <c r="K29" s="80">
        <f>SUMIFS('декабрь 2024'!$G$5:$G$2311,'декабрь 2024'!$D$5:$D$2311,$B29,'декабрь 2024'!$J$5:$J$2311,K$1)</f>
        <v>0</v>
      </c>
      <c r="L29" s="80">
        <f>SUMIFS('декабрь 2024'!$G$5:$G$2311,'декабрь 2024'!$D$5:$D$2311,$B29,'декабрь 2024'!$J$5:$J$2311,L$1)</f>
        <v>0</v>
      </c>
      <c r="M29" s="80">
        <f>SUMIFS('декабрь 2024'!$G$5:$G$2311,'декабрь 2024'!$D$5:$D$2311,$B29,'декабрь 2024'!$J$5:$J$2311,M$1)</f>
        <v>0</v>
      </c>
      <c r="N29" s="80">
        <f>SUMIFS('декабрь 2024'!$G$5:$G$2311,'декабрь 2024'!$D$5:$D$2311,$B29,'декабрь 2024'!$J$5:$J$2311,N$1)</f>
        <v>0</v>
      </c>
      <c r="O29" s="80">
        <f>SUMIFS('декабрь 2024'!$G$5:$G$2311,'декабрь 2024'!$D$5:$D$2311,$B29,'декабрь 2024'!$J$5:$J$2311,O$1)</f>
        <v>0</v>
      </c>
      <c r="P29" s="80">
        <f>SUMIFS('декабрь 2024'!$G$5:$G$2311,'декабрь 2024'!$D$5:$D$2311,$B29,'декабрь 2024'!$J$5:$J$2311,P$1)</f>
        <v>0</v>
      </c>
      <c r="Q29" s="80">
        <f>SUMIFS('декабрь 2024'!$G$5:$G$2311,'декабрь 2024'!$D$5:$D$2311,$B29,'декабрь 2024'!$J$5:$J$2311,Q$1)</f>
        <v>0</v>
      </c>
      <c r="R29" s="80">
        <f>SUMIFS('декабрь 2024'!$G$5:$G$2311,'декабрь 2024'!$D$5:$D$2311,$B29,'декабрь 2024'!$J$5:$J$2311,R$1)</f>
        <v>0</v>
      </c>
      <c r="S29" s="80">
        <f>SUMIFS('декабрь 2024'!$G$5:$G$2311,'декабрь 2024'!$D$5:$D$2311,$B29,'декабрь 2024'!$J$5:$J$2311,S$1)</f>
        <v>0</v>
      </c>
      <c r="T29" s="80">
        <f>SUMIFS('декабрь 2024'!$G$5:$G$2311,'декабрь 2024'!$D$5:$D$2311,$B29,'декабрь 2024'!$J$5:$J$2311,T$1)</f>
        <v>0</v>
      </c>
      <c r="U29" s="80">
        <f>SUMIFS('декабрь 2024'!$G$5:$G$2311,'декабрь 2024'!$D$5:$D$2311,$B29,'декабрь 2024'!$J$5:$J$2311,U$1)</f>
        <v>0</v>
      </c>
      <c r="V29" s="80">
        <f>SUMIFS('декабрь 2024'!$G$5:$G$2311,'декабрь 2024'!$D$5:$D$2311,$B29,'декабрь 2024'!$J$5:$J$2311,V$1)</f>
        <v>0</v>
      </c>
      <c r="W29" s="80">
        <f>SUMIFS('декабрь 2024'!$G$5:$G$2311,'декабрь 2024'!$D$5:$D$2311,$B29,'декабрь 2024'!$J$5:$J$2311,W$1)</f>
        <v>0</v>
      </c>
      <c r="X29" s="80">
        <f>SUMIFS('декабрь 2024'!$G$5:$G$2311,'декабрь 2024'!$D$5:$D$2311,$B29,'декабрь 2024'!$J$5:$J$2311,X$1)</f>
        <v>0</v>
      </c>
      <c r="Y29" s="80">
        <f>SUMIFS('декабрь 2024'!$G$5:$G$2311,'декабрь 2024'!$D$5:$D$2311,$B29,'декабрь 2024'!$J$5:$J$2311,Y$1)</f>
        <v>0</v>
      </c>
      <c r="Z29" s="80">
        <f>SUMIFS('декабрь 2024'!$G$5:$G$2311,'декабрь 2024'!$D$5:$D$2311,$B29,'декабрь 2024'!$J$5:$J$2311,Z$1)</f>
        <v>0</v>
      </c>
      <c r="AA29" s="80">
        <f>SUMIFS('декабрь 2024'!$G$5:$G$2311,'декабрь 2024'!$D$5:$D$2311,$B29,'декабрь 2024'!$J$5:$J$2311,AA$1)</f>
        <v>0</v>
      </c>
      <c r="AB29" s="80">
        <f>SUMIFS('декабрь 2024'!$G$5:$G$2311,'декабрь 2024'!$D$5:$D$2311,$B29,'декабрь 2024'!$J$5:$J$2311,AB$1)</f>
        <v>0</v>
      </c>
      <c r="AC29" s="80">
        <f>SUMIFS('декабрь 2024'!$G$5:$G$2311,'декабрь 2024'!$D$5:$D$2311,$B29,'декабрь 2024'!$J$5:$J$2311,AC$1)</f>
        <v>0</v>
      </c>
      <c r="AD29" s="80">
        <f>SUMIFS('декабрь 2024'!$G$5:$G$2311,'декабрь 2024'!$D$5:$D$2311,$B29,'декабрь 2024'!$J$5:$J$2311,AD$1)</f>
        <v>0</v>
      </c>
      <c r="AE29" s="80">
        <f>SUMIFS('декабрь 2024'!$G$5:$G$2311,'декабрь 2024'!$D$5:$D$2311,$B29,'декабрь 2024'!$J$5:$J$2311,AE$1)</f>
        <v>0</v>
      </c>
      <c r="AF29" s="80">
        <f>SUMIFS('декабрь 2024'!$G$5:$G$2311,'декабрь 2024'!$D$5:$D$2311,$B29,'декабрь 2024'!$J$5:$J$2311,AF$1)</f>
        <v>0</v>
      </c>
      <c r="AG29" s="80">
        <f>SUMIFS('декабрь 2024'!$G$5:$G$2311,'декабрь 2024'!$D$5:$D$2311,$B29,'декабрь 2024'!$J$5:$J$2311,AG$1)</f>
        <v>0</v>
      </c>
      <c r="AH29" s="80">
        <f>SUMIFS('декабрь 2024'!$G$5:$G$2311,'декабрь 2024'!$D$5:$D$2311,$B29,'декабрь 2024'!$J$5:$J$2311,AH$1)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SUMIFS('декабрь 2024'!$G$5:$G$2311,'декабрь 2024'!$D$5:$D$2311,$B30,'декабрь 2024'!$J$5:$J$2311,D$1)</f>
        <v>0</v>
      </c>
      <c r="E30" s="80">
        <f>SUMIFS('декабрь 2024'!$G$5:$G$2311,'декабрь 2024'!$D$5:$D$2311,$B30,'декабрь 2024'!$J$5:$J$2311,E$1)</f>
        <v>0</v>
      </c>
      <c r="F30" s="80">
        <f>SUMIFS('декабрь 2024'!$G$5:$G$2311,'декабрь 2024'!$D$5:$D$2311,$B30,'декабрь 2024'!$J$5:$J$2311,F$1)</f>
        <v>0</v>
      </c>
      <c r="G30" s="80">
        <f>SUMIFS('декабрь 2024'!$G$5:$G$2311,'декабрь 2024'!$D$5:$D$2311,$B30,'декабрь 2024'!$J$5:$J$2311,G$1)</f>
        <v>0</v>
      </c>
      <c r="H30" s="80">
        <f>SUMIFS('декабрь 2024'!$G$5:$G$2311,'декабрь 2024'!$D$5:$D$2311,$B30,'декабрь 2024'!$J$5:$J$2311,H$1)</f>
        <v>0</v>
      </c>
      <c r="I30" s="80">
        <f>SUMIFS('декабрь 2024'!$G$5:$G$2311,'декабрь 2024'!$D$5:$D$2311,$B30,'декабрь 2024'!$J$5:$J$2311,I$1)</f>
        <v>0</v>
      </c>
      <c r="J30" s="80">
        <f>SUMIFS('декабрь 2024'!$G$5:$G$2311,'декабрь 2024'!$D$5:$D$2311,$B30,'декабрь 2024'!$J$5:$J$2311,J$1)</f>
        <v>0</v>
      </c>
      <c r="K30" s="80">
        <f>SUMIFS('декабрь 2024'!$G$5:$G$2311,'декабрь 2024'!$D$5:$D$2311,$B30,'декабрь 2024'!$J$5:$J$2311,K$1)</f>
        <v>0</v>
      </c>
      <c r="L30" s="80">
        <f>SUMIFS('декабрь 2024'!$G$5:$G$2311,'декабрь 2024'!$D$5:$D$2311,$B30,'декабрь 2024'!$J$5:$J$2311,L$1)</f>
        <v>0</v>
      </c>
      <c r="M30" s="80">
        <f>SUMIFS('декабрь 2024'!$G$5:$G$2311,'декабрь 2024'!$D$5:$D$2311,$B30,'декабрь 2024'!$J$5:$J$2311,M$1)</f>
        <v>0</v>
      </c>
      <c r="N30" s="80">
        <f>SUMIFS('декабрь 2024'!$G$5:$G$2311,'декабрь 2024'!$D$5:$D$2311,$B30,'декабрь 2024'!$J$5:$J$2311,N$1)</f>
        <v>0</v>
      </c>
      <c r="O30" s="80">
        <f>SUMIFS('декабрь 2024'!$G$5:$G$2311,'декабрь 2024'!$D$5:$D$2311,$B30,'декабрь 2024'!$J$5:$J$2311,O$1)</f>
        <v>0</v>
      </c>
      <c r="P30" s="80">
        <f>SUMIFS('декабрь 2024'!$G$5:$G$2311,'декабрь 2024'!$D$5:$D$2311,$B30,'декабрь 2024'!$J$5:$J$2311,P$1)</f>
        <v>0</v>
      </c>
      <c r="Q30" s="80">
        <f>SUMIFS('декабрь 2024'!$G$5:$G$2311,'декабрь 2024'!$D$5:$D$2311,$B30,'декабрь 2024'!$J$5:$J$2311,Q$1)</f>
        <v>0</v>
      </c>
      <c r="R30" s="80">
        <f>SUMIFS('декабрь 2024'!$G$5:$G$2311,'декабрь 2024'!$D$5:$D$2311,$B30,'декабрь 2024'!$J$5:$J$2311,R$1)</f>
        <v>0</v>
      </c>
      <c r="S30" s="80">
        <f>SUMIFS('декабрь 2024'!$G$5:$G$2311,'декабрь 2024'!$D$5:$D$2311,$B30,'декабрь 2024'!$J$5:$J$2311,S$1)</f>
        <v>0</v>
      </c>
      <c r="T30" s="80">
        <f>SUMIFS('декабрь 2024'!$G$5:$G$2311,'декабрь 2024'!$D$5:$D$2311,$B30,'декабрь 2024'!$J$5:$J$2311,T$1)</f>
        <v>0</v>
      </c>
      <c r="U30" s="80">
        <f>SUMIFS('декабрь 2024'!$G$5:$G$2311,'декабрь 2024'!$D$5:$D$2311,$B30,'декабрь 2024'!$J$5:$J$2311,U$1)</f>
        <v>0</v>
      </c>
      <c r="V30" s="80">
        <f>SUMIFS('декабрь 2024'!$G$5:$G$2311,'декабрь 2024'!$D$5:$D$2311,$B30,'декабрь 2024'!$J$5:$J$2311,V$1)</f>
        <v>0</v>
      </c>
      <c r="W30" s="80">
        <f>SUMIFS('декабрь 2024'!$G$5:$G$2311,'декабрь 2024'!$D$5:$D$2311,$B30,'декабрь 2024'!$J$5:$J$2311,W$1)</f>
        <v>0</v>
      </c>
      <c r="X30" s="80">
        <f>SUMIFS('декабрь 2024'!$G$5:$G$2311,'декабрь 2024'!$D$5:$D$2311,$B30,'декабрь 2024'!$J$5:$J$2311,X$1)</f>
        <v>0</v>
      </c>
      <c r="Y30" s="80">
        <f>SUMIFS('декабрь 2024'!$G$5:$G$2311,'декабрь 2024'!$D$5:$D$2311,$B30,'декабрь 2024'!$J$5:$J$2311,Y$1)</f>
        <v>0</v>
      </c>
      <c r="Z30" s="80">
        <f>SUMIFS('декабрь 2024'!$G$5:$G$2311,'декабрь 2024'!$D$5:$D$2311,$B30,'декабрь 2024'!$J$5:$J$2311,Z$1)</f>
        <v>0</v>
      </c>
      <c r="AA30" s="80">
        <f>SUMIFS('декабрь 2024'!$G$5:$G$2311,'декабрь 2024'!$D$5:$D$2311,$B30,'декабрь 2024'!$J$5:$J$2311,AA$1)</f>
        <v>0</v>
      </c>
      <c r="AB30" s="80">
        <f>SUMIFS('декабрь 2024'!$G$5:$G$2311,'декабрь 2024'!$D$5:$D$2311,$B30,'декабрь 2024'!$J$5:$J$2311,AB$1)</f>
        <v>0</v>
      </c>
      <c r="AC30" s="80">
        <f>SUMIFS('декабрь 2024'!$G$5:$G$2311,'декабрь 2024'!$D$5:$D$2311,$B30,'декабрь 2024'!$J$5:$J$2311,AC$1)</f>
        <v>0</v>
      </c>
      <c r="AD30" s="80">
        <f>SUMIFS('декабрь 2024'!$G$5:$G$2311,'декабрь 2024'!$D$5:$D$2311,$B30,'декабрь 2024'!$J$5:$J$2311,AD$1)</f>
        <v>0</v>
      </c>
      <c r="AE30" s="80">
        <f>SUMIFS('декабрь 2024'!$G$5:$G$2311,'декабрь 2024'!$D$5:$D$2311,$B30,'декабрь 2024'!$J$5:$J$2311,AE$1)</f>
        <v>0</v>
      </c>
      <c r="AF30" s="80">
        <f>SUMIFS('декабрь 2024'!$G$5:$G$2311,'декабрь 2024'!$D$5:$D$2311,$B30,'декабрь 2024'!$J$5:$J$2311,AF$1)</f>
        <v>0</v>
      </c>
      <c r="AG30" s="80">
        <f>SUMIFS('декабрь 2024'!$G$5:$G$2311,'декабрь 2024'!$D$5:$D$2311,$B30,'декабрь 2024'!$J$5:$J$2311,AG$1)</f>
        <v>0</v>
      </c>
      <c r="AH30" s="80">
        <f>SUMIFS('декабрь 2024'!$G$5:$G$2311,'декабрь 2024'!$D$5:$D$2311,$B30,'декабрь 2024'!$J$5:$J$2311,AH$1)</f>
        <v>0</v>
      </c>
      <c r="AI30" s="21">
        <f t="shared" si="1"/>
        <v>0</v>
      </c>
    </row>
    <row r="31" spans="2:35" ht="15" customHeight="1" x14ac:dyDescent="0.25">
      <c r="B31" s="84"/>
      <c r="C31" s="82"/>
      <c r="D31" s="80">
        <f>SUMIFS('декабрь 2024'!$G$5:$G$2311,'декабрь 2024'!$D$5:$D$2311,$B31,'декабрь 2024'!$J$5:$J$2311,D$1)</f>
        <v>0</v>
      </c>
      <c r="E31" s="80">
        <f>SUMIFS('декабрь 2024'!$G$5:$G$2311,'декабрь 2024'!$D$5:$D$2311,$B31,'декабрь 2024'!$J$5:$J$2311,E$1)</f>
        <v>0</v>
      </c>
      <c r="F31" s="80">
        <f>SUMIFS('декабрь 2024'!$G$5:$G$2311,'декабрь 2024'!$D$5:$D$2311,$B31,'декабрь 2024'!$J$5:$J$2311,F$1)</f>
        <v>0</v>
      </c>
      <c r="G31" s="80">
        <f>SUMIFS('декабрь 2024'!$G$5:$G$2311,'декабрь 2024'!$D$5:$D$2311,$B31,'декабрь 2024'!$J$5:$J$2311,G$1)</f>
        <v>0</v>
      </c>
      <c r="H31" s="80">
        <f>SUMIFS('декабрь 2024'!$G$5:$G$2311,'декабрь 2024'!$D$5:$D$2311,$B31,'декабрь 2024'!$J$5:$J$2311,H$1)</f>
        <v>0</v>
      </c>
      <c r="I31" s="80">
        <f>SUMIFS('декабрь 2024'!$G$5:$G$2311,'декабрь 2024'!$D$5:$D$2311,$B31,'декабрь 2024'!$J$5:$J$2311,I$1)</f>
        <v>0</v>
      </c>
      <c r="J31" s="80">
        <f>SUMIFS('декабрь 2024'!$G$5:$G$2311,'декабрь 2024'!$D$5:$D$2311,$B31,'декабрь 2024'!$J$5:$J$2311,J$1)</f>
        <v>0</v>
      </c>
      <c r="K31" s="80">
        <f>SUMIFS('декабрь 2024'!$G$5:$G$2311,'декабрь 2024'!$D$5:$D$2311,$B31,'декабрь 2024'!$J$5:$J$2311,K$1)</f>
        <v>0</v>
      </c>
      <c r="L31" s="80">
        <f>SUMIFS('декабрь 2024'!$G$5:$G$2311,'декабрь 2024'!$D$5:$D$2311,$B31,'декабрь 2024'!$J$5:$J$2311,L$1)</f>
        <v>0</v>
      </c>
      <c r="M31" s="80">
        <f>SUMIFS('декабрь 2024'!$G$5:$G$2311,'декабрь 2024'!$D$5:$D$2311,$B31,'декабрь 2024'!$J$5:$J$2311,M$1)</f>
        <v>0</v>
      </c>
      <c r="N31" s="80">
        <f>SUMIFS('декабрь 2024'!$G$5:$G$2311,'декабрь 2024'!$D$5:$D$2311,$B31,'декабрь 2024'!$J$5:$J$2311,N$1)</f>
        <v>0</v>
      </c>
      <c r="O31" s="80">
        <f>SUMIFS('декабрь 2024'!$G$5:$G$2311,'декабрь 2024'!$D$5:$D$2311,$B31,'декабрь 2024'!$J$5:$J$2311,O$1)</f>
        <v>0</v>
      </c>
      <c r="P31" s="80">
        <f>SUMIFS('декабрь 2024'!$G$5:$G$2311,'декабрь 2024'!$D$5:$D$2311,$B31,'декабрь 2024'!$J$5:$J$2311,P$1)</f>
        <v>0</v>
      </c>
      <c r="Q31" s="80">
        <f>SUMIFS('декабрь 2024'!$G$5:$G$2311,'декабрь 2024'!$D$5:$D$2311,$B31,'декабрь 2024'!$J$5:$J$2311,Q$1)</f>
        <v>0</v>
      </c>
      <c r="R31" s="80">
        <f>SUMIFS('декабрь 2024'!$G$5:$G$2311,'декабрь 2024'!$D$5:$D$2311,$B31,'декабрь 2024'!$J$5:$J$2311,R$1)</f>
        <v>0</v>
      </c>
      <c r="S31" s="80">
        <f>SUMIFS('декабрь 2024'!$G$5:$G$2311,'декабрь 2024'!$D$5:$D$2311,$B31,'декабрь 2024'!$J$5:$J$2311,S$1)</f>
        <v>0</v>
      </c>
      <c r="T31" s="80">
        <f>SUMIFS('декабрь 2024'!$G$5:$G$2311,'декабрь 2024'!$D$5:$D$2311,$B31,'декабрь 2024'!$J$5:$J$2311,T$1)</f>
        <v>0</v>
      </c>
      <c r="U31" s="80">
        <f>SUMIFS('декабрь 2024'!$G$5:$G$2311,'декабрь 2024'!$D$5:$D$2311,$B31,'декабрь 2024'!$J$5:$J$2311,U$1)</f>
        <v>0</v>
      </c>
      <c r="V31" s="80">
        <f>SUMIFS('декабрь 2024'!$G$5:$G$2311,'декабрь 2024'!$D$5:$D$2311,$B31,'декабрь 2024'!$J$5:$J$2311,V$1)</f>
        <v>0</v>
      </c>
      <c r="W31" s="80">
        <f>SUMIFS('декабрь 2024'!$G$5:$G$2311,'декабрь 2024'!$D$5:$D$2311,$B31,'декабрь 2024'!$J$5:$J$2311,W$1)</f>
        <v>0</v>
      </c>
      <c r="X31" s="80">
        <f>SUMIFS('декабрь 2024'!$G$5:$G$2311,'декабрь 2024'!$D$5:$D$2311,$B31,'декабрь 2024'!$J$5:$J$2311,X$1)</f>
        <v>0</v>
      </c>
      <c r="Y31" s="80">
        <f>SUMIFS('декабрь 2024'!$G$5:$G$2311,'декабрь 2024'!$D$5:$D$2311,$B31,'декабрь 2024'!$J$5:$J$2311,Y$1)</f>
        <v>0</v>
      </c>
      <c r="Z31" s="80">
        <f>SUMIFS('декабрь 2024'!$G$5:$G$2311,'декабрь 2024'!$D$5:$D$2311,$B31,'декабрь 2024'!$J$5:$J$2311,Z$1)</f>
        <v>0</v>
      </c>
      <c r="AA31" s="80">
        <f>SUMIFS('декабрь 2024'!$G$5:$G$2311,'декабрь 2024'!$D$5:$D$2311,$B31,'декабрь 2024'!$J$5:$J$2311,AA$1)</f>
        <v>0</v>
      </c>
      <c r="AB31" s="80">
        <f>SUMIFS('декабрь 2024'!$G$5:$G$2311,'декабрь 2024'!$D$5:$D$2311,$B31,'декабрь 2024'!$J$5:$J$2311,AB$1)</f>
        <v>0</v>
      </c>
      <c r="AC31" s="80">
        <f>SUMIFS('декабрь 2024'!$G$5:$G$2311,'декабрь 2024'!$D$5:$D$2311,$B31,'декабрь 2024'!$J$5:$J$2311,AC$1)</f>
        <v>0</v>
      </c>
      <c r="AD31" s="80">
        <f>SUMIFS('декабрь 2024'!$G$5:$G$2311,'декабрь 2024'!$D$5:$D$2311,$B31,'декабрь 2024'!$J$5:$J$2311,AD$1)</f>
        <v>0</v>
      </c>
      <c r="AE31" s="80">
        <f>SUMIFS('декабрь 2024'!$G$5:$G$2311,'декабрь 2024'!$D$5:$D$2311,$B31,'декабрь 2024'!$J$5:$J$2311,AE$1)</f>
        <v>0</v>
      </c>
      <c r="AF31" s="80">
        <f>SUMIFS('декабрь 2024'!$G$5:$G$2311,'декабрь 2024'!$D$5:$D$2311,$B31,'декабрь 2024'!$J$5:$J$2311,AF$1)</f>
        <v>0</v>
      </c>
      <c r="AG31" s="80">
        <f>SUMIFS('декабрь 2024'!$G$5:$G$2311,'декабрь 2024'!$D$5:$D$2311,$B31,'декабрь 2024'!$J$5:$J$2311,AG$1)</f>
        <v>0</v>
      </c>
      <c r="AH31" s="80">
        <f>SUMIFS('декабрь 2024'!$G$5:$G$2311,'декабрь 2024'!$D$5:$D$2311,$B31,'декабрь 2024'!$J$5:$J$2311,AH$1)</f>
        <v>0</v>
      </c>
      <c r="AI31" s="21">
        <f t="shared" si="1"/>
        <v>0</v>
      </c>
    </row>
    <row r="32" spans="2:35" ht="15" customHeight="1" x14ac:dyDescent="0.25">
      <c r="B32" s="84"/>
      <c r="C32" s="82"/>
      <c r="D32" s="80">
        <f>SUMIFS('декабрь 2024'!$G$5:$G$2311,'декабрь 2024'!$D$5:$D$2311,$B32,'декабрь 2024'!$J$5:$J$2311,D$1)</f>
        <v>0</v>
      </c>
      <c r="E32" s="80">
        <f>SUMIFS('декабрь 2024'!$G$5:$G$2311,'декабрь 2024'!$D$5:$D$2311,$B32,'декабрь 2024'!$J$5:$J$2311,E$1)</f>
        <v>0</v>
      </c>
      <c r="F32" s="80">
        <f>SUMIFS('декабрь 2024'!$G$5:$G$2311,'декабрь 2024'!$D$5:$D$2311,$B32,'декабрь 2024'!$J$5:$J$2311,F$1)</f>
        <v>0</v>
      </c>
      <c r="G32" s="80">
        <f>SUMIFS('декабрь 2024'!$G$5:$G$2311,'декабрь 2024'!$D$5:$D$2311,$B32,'декабрь 2024'!$J$5:$J$2311,G$1)</f>
        <v>0</v>
      </c>
      <c r="H32" s="80">
        <f>SUMIFS('декабрь 2024'!$G$5:$G$2311,'декабрь 2024'!$D$5:$D$2311,$B32,'декабрь 2024'!$J$5:$J$2311,H$1)</f>
        <v>0</v>
      </c>
      <c r="I32" s="80">
        <f>SUMIFS('декабрь 2024'!$G$5:$G$2311,'декабрь 2024'!$D$5:$D$2311,$B32,'декабрь 2024'!$J$5:$J$2311,I$1)</f>
        <v>0</v>
      </c>
      <c r="J32" s="80">
        <f>SUMIFS('декабрь 2024'!$G$5:$G$2311,'декабрь 2024'!$D$5:$D$2311,$B32,'декабрь 2024'!$J$5:$J$2311,J$1)</f>
        <v>0</v>
      </c>
      <c r="K32" s="80">
        <f>SUMIFS('декабрь 2024'!$G$5:$G$2311,'декабрь 2024'!$D$5:$D$2311,$B32,'декабрь 2024'!$J$5:$J$2311,K$1)</f>
        <v>0</v>
      </c>
      <c r="L32" s="80">
        <f>SUMIFS('декабрь 2024'!$G$5:$G$2311,'декабрь 2024'!$D$5:$D$2311,$B32,'декабрь 2024'!$J$5:$J$2311,L$1)</f>
        <v>0</v>
      </c>
      <c r="M32" s="80">
        <f>SUMIFS('декабрь 2024'!$G$5:$G$2311,'декабрь 2024'!$D$5:$D$2311,$B32,'декабрь 2024'!$J$5:$J$2311,M$1)</f>
        <v>0</v>
      </c>
      <c r="N32" s="80">
        <f>SUMIFS('декабрь 2024'!$G$5:$G$2311,'декабрь 2024'!$D$5:$D$2311,$B32,'декабрь 2024'!$J$5:$J$2311,N$1)</f>
        <v>0</v>
      </c>
      <c r="O32" s="80">
        <f>SUMIFS('декабрь 2024'!$G$5:$G$2311,'декабрь 2024'!$D$5:$D$2311,$B32,'декабрь 2024'!$J$5:$J$2311,O$1)</f>
        <v>0</v>
      </c>
      <c r="P32" s="80">
        <f>SUMIFS('декабрь 2024'!$G$5:$G$2311,'декабрь 2024'!$D$5:$D$2311,$B32,'декабрь 2024'!$J$5:$J$2311,P$1)</f>
        <v>0</v>
      </c>
      <c r="Q32" s="80">
        <f>SUMIFS('декабрь 2024'!$G$5:$G$2311,'декабрь 2024'!$D$5:$D$2311,$B32,'декабрь 2024'!$J$5:$J$2311,Q$1)</f>
        <v>0</v>
      </c>
      <c r="R32" s="80">
        <f>SUMIFS('декабрь 2024'!$G$5:$G$2311,'декабрь 2024'!$D$5:$D$2311,$B32,'декабрь 2024'!$J$5:$J$2311,R$1)</f>
        <v>0</v>
      </c>
      <c r="S32" s="80">
        <f>SUMIFS('декабрь 2024'!$G$5:$G$2311,'декабрь 2024'!$D$5:$D$2311,$B32,'декабрь 2024'!$J$5:$J$2311,S$1)</f>
        <v>0</v>
      </c>
      <c r="T32" s="80">
        <f>SUMIFS('декабрь 2024'!$G$5:$G$2311,'декабрь 2024'!$D$5:$D$2311,$B32,'декабрь 2024'!$J$5:$J$2311,T$1)</f>
        <v>0</v>
      </c>
      <c r="U32" s="80">
        <f>SUMIFS('декабрь 2024'!$G$5:$G$2311,'декабрь 2024'!$D$5:$D$2311,$B32,'декабрь 2024'!$J$5:$J$2311,U$1)</f>
        <v>0</v>
      </c>
      <c r="V32" s="80">
        <f>SUMIFS('декабрь 2024'!$G$5:$G$2311,'декабрь 2024'!$D$5:$D$2311,$B32,'декабрь 2024'!$J$5:$J$2311,V$1)</f>
        <v>0</v>
      </c>
      <c r="W32" s="80">
        <f>SUMIFS('декабрь 2024'!$G$5:$G$2311,'декабрь 2024'!$D$5:$D$2311,$B32,'декабрь 2024'!$J$5:$J$2311,W$1)</f>
        <v>0</v>
      </c>
      <c r="X32" s="80">
        <f>SUMIFS('декабрь 2024'!$G$5:$G$2311,'декабрь 2024'!$D$5:$D$2311,$B32,'декабрь 2024'!$J$5:$J$2311,X$1)</f>
        <v>0</v>
      </c>
      <c r="Y32" s="80">
        <f>SUMIFS('декабрь 2024'!$G$5:$G$2311,'декабрь 2024'!$D$5:$D$2311,$B32,'декабрь 2024'!$J$5:$J$2311,Y$1)</f>
        <v>0</v>
      </c>
      <c r="Z32" s="80">
        <f>SUMIFS('декабрь 2024'!$G$5:$G$2311,'декабрь 2024'!$D$5:$D$2311,$B32,'декабрь 2024'!$J$5:$J$2311,Z$1)</f>
        <v>0</v>
      </c>
      <c r="AA32" s="80">
        <f>SUMIFS('декабрь 2024'!$G$5:$G$2311,'декабрь 2024'!$D$5:$D$2311,$B32,'декабрь 2024'!$J$5:$J$2311,AA$1)</f>
        <v>0</v>
      </c>
      <c r="AB32" s="80">
        <f>SUMIFS('декабрь 2024'!$G$5:$G$2311,'декабрь 2024'!$D$5:$D$2311,$B32,'декабрь 2024'!$J$5:$J$2311,AB$1)</f>
        <v>0</v>
      </c>
      <c r="AC32" s="80">
        <f>SUMIFS('декабрь 2024'!$G$5:$G$2311,'декабрь 2024'!$D$5:$D$2311,$B32,'декабрь 2024'!$J$5:$J$2311,AC$1)</f>
        <v>0</v>
      </c>
      <c r="AD32" s="80">
        <f>SUMIFS('декабрь 2024'!$G$5:$G$2311,'декабрь 2024'!$D$5:$D$2311,$B32,'декабрь 2024'!$J$5:$J$2311,AD$1)</f>
        <v>0</v>
      </c>
      <c r="AE32" s="80">
        <f>SUMIFS('декабрь 2024'!$G$5:$G$2311,'декабрь 2024'!$D$5:$D$2311,$B32,'декабрь 2024'!$J$5:$J$2311,AE$1)</f>
        <v>0</v>
      </c>
      <c r="AF32" s="80">
        <f>SUMIFS('декабрь 2024'!$G$5:$G$2311,'декабрь 2024'!$D$5:$D$2311,$B32,'декабрь 2024'!$J$5:$J$2311,AF$1)</f>
        <v>0</v>
      </c>
      <c r="AG32" s="80">
        <f>SUMIFS('декабрь 2024'!$G$5:$G$2311,'декабрь 2024'!$D$5:$D$2311,$B32,'декабрь 2024'!$J$5:$J$2311,AG$1)</f>
        <v>0</v>
      </c>
      <c r="AH32" s="80">
        <f>SUMIFS('декабрь 2024'!$G$5:$G$2311,'декабрь 2024'!$D$5:$D$2311,$B32,'декабрь 2024'!$J$5:$J$2311,AH$1)</f>
        <v>0</v>
      </c>
      <c r="AI32" s="21">
        <f t="shared" si="1"/>
        <v>0</v>
      </c>
    </row>
    <row r="33" spans="2:35" ht="15" customHeight="1" x14ac:dyDescent="0.25">
      <c r="B33" s="142" t="s">
        <v>276</v>
      </c>
      <c r="C33" s="143">
        <v>25</v>
      </c>
      <c r="D33" s="80">
        <f>SUMIFS('декабрь 2024'!$G$5:$G$2311,'декабрь 2024'!$D$5:$D$2311,$B33,'декабрь 2024'!$J$5:$J$2311,D$1)</f>
        <v>0</v>
      </c>
      <c r="E33" s="80">
        <f>SUMIFS('декабрь 2024'!$G$5:$G$2311,'декабрь 2024'!$D$5:$D$2311,$B33,'декабрь 2024'!$J$5:$J$2311,E$1)</f>
        <v>0</v>
      </c>
      <c r="F33" s="80">
        <f>SUMIFS('декабрь 2024'!$G$5:$G$2311,'декабрь 2024'!$D$5:$D$2311,$B33,'декабрь 2024'!$J$5:$J$2311,F$1)</f>
        <v>0</v>
      </c>
      <c r="G33" s="80">
        <f>SUMIFS('декабрь 2024'!$G$5:$G$2311,'декабрь 2024'!$D$5:$D$2311,$B33,'декабрь 2024'!$J$5:$J$2311,G$1)</f>
        <v>0</v>
      </c>
      <c r="H33" s="80">
        <f>SUMIFS('декабрь 2024'!$G$5:$G$2311,'декабрь 2024'!$D$5:$D$2311,$B33,'декабрь 2024'!$J$5:$J$2311,H$1)</f>
        <v>0</v>
      </c>
      <c r="I33" s="80">
        <f>SUMIFS('декабрь 2024'!$G$5:$G$2311,'декабрь 2024'!$D$5:$D$2311,$B33,'декабрь 2024'!$J$5:$J$2311,I$1)</f>
        <v>0</v>
      </c>
      <c r="J33" s="80">
        <f>SUMIFS('декабрь 2024'!$G$5:$G$2311,'декабрь 2024'!$D$5:$D$2311,$B33,'декабрь 2024'!$J$5:$J$2311,J$1)</f>
        <v>0</v>
      </c>
      <c r="K33" s="80">
        <f>SUMIFS('декабрь 2024'!$G$5:$G$2311,'декабрь 2024'!$D$5:$D$2311,$B33,'декабрь 2024'!$J$5:$J$2311,K$1)</f>
        <v>0</v>
      </c>
      <c r="L33" s="80">
        <f>SUMIFS('декабрь 2024'!$G$5:$G$2311,'декабрь 2024'!$D$5:$D$2311,$B33,'декабрь 2024'!$J$5:$J$2311,L$1)</f>
        <v>0</v>
      </c>
      <c r="M33" s="80">
        <f>SUMIFS('декабрь 2024'!$G$5:$G$2311,'декабрь 2024'!$D$5:$D$2311,$B33,'декабрь 2024'!$J$5:$J$2311,M$1)</f>
        <v>0</v>
      </c>
      <c r="N33" s="80">
        <f>SUMIFS('декабрь 2024'!$G$5:$G$2311,'декабрь 2024'!$D$5:$D$2311,$B33,'декабрь 2024'!$J$5:$J$2311,N$1)</f>
        <v>0</v>
      </c>
      <c r="O33" s="80">
        <f>SUMIFS('декабрь 2024'!$G$5:$G$2311,'декабрь 2024'!$D$5:$D$2311,$B33,'декабрь 2024'!$J$5:$J$2311,O$1)</f>
        <v>0</v>
      </c>
      <c r="P33" s="80">
        <f>SUMIFS('декабрь 2024'!$G$5:$G$2311,'декабрь 2024'!$D$5:$D$2311,$B33,'декабрь 2024'!$J$5:$J$2311,P$1)</f>
        <v>0</v>
      </c>
      <c r="Q33" s="80">
        <f>SUMIFS('декабрь 2024'!$G$5:$G$2311,'декабрь 2024'!$D$5:$D$2311,$B33,'декабрь 2024'!$J$5:$J$2311,Q$1)</f>
        <v>0</v>
      </c>
      <c r="R33" s="80">
        <f>SUMIFS('декабрь 2024'!$G$5:$G$2311,'декабрь 2024'!$D$5:$D$2311,$B33,'декабрь 2024'!$J$5:$J$2311,R$1)</f>
        <v>0</v>
      </c>
      <c r="S33" s="80">
        <f>SUMIFS('декабрь 2024'!$G$5:$G$2311,'декабрь 2024'!$D$5:$D$2311,$B33,'декабрь 2024'!$J$5:$J$2311,S$1)</f>
        <v>0</v>
      </c>
      <c r="T33" s="80">
        <f>SUMIFS('декабрь 2024'!$G$5:$G$2311,'декабрь 2024'!$D$5:$D$2311,$B33,'декабрь 2024'!$J$5:$J$2311,T$1)</f>
        <v>0</v>
      </c>
      <c r="U33" s="80">
        <f>SUMIFS('декабрь 2024'!$G$5:$G$2311,'декабрь 2024'!$D$5:$D$2311,$B33,'декабрь 2024'!$J$5:$J$2311,U$1)</f>
        <v>0</v>
      </c>
      <c r="V33" s="80">
        <f>SUMIFS('декабрь 2024'!$G$5:$G$2311,'декабрь 2024'!$D$5:$D$2311,$B33,'декабрь 2024'!$J$5:$J$2311,V$1)</f>
        <v>0</v>
      </c>
      <c r="W33" s="80">
        <f>SUMIFS('декабрь 2024'!$G$5:$G$2311,'декабрь 2024'!$D$5:$D$2311,$B33,'декабрь 2024'!$J$5:$J$2311,W$1)</f>
        <v>0</v>
      </c>
      <c r="X33" s="80">
        <f>SUMIFS('декабрь 2024'!$G$5:$G$2311,'декабрь 2024'!$D$5:$D$2311,$B33,'декабрь 2024'!$J$5:$J$2311,X$1)</f>
        <v>0</v>
      </c>
      <c r="Y33" s="80">
        <f>SUMIFS('декабрь 2024'!$G$5:$G$2311,'декабрь 2024'!$D$5:$D$2311,$B33,'декабрь 2024'!$J$5:$J$2311,Y$1)</f>
        <v>0</v>
      </c>
      <c r="Z33" s="80">
        <f>SUMIFS('декабрь 2024'!$G$5:$G$2311,'декабрь 2024'!$D$5:$D$2311,$B33,'декабрь 2024'!$J$5:$J$2311,Z$1)</f>
        <v>0</v>
      </c>
      <c r="AA33" s="80">
        <f>SUMIFS('декабрь 2024'!$G$5:$G$2311,'декабрь 2024'!$D$5:$D$2311,$B33,'декабрь 2024'!$J$5:$J$2311,AA$1)</f>
        <v>0</v>
      </c>
      <c r="AB33" s="80">
        <f>SUMIFS('декабрь 2024'!$G$5:$G$2311,'декабрь 2024'!$D$5:$D$2311,$B33,'декабрь 2024'!$J$5:$J$2311,AB$1)</f>
        <v>0</v>
      </c>
      <c r="AC33" s="80">
        <f>SUMIFS('декабрь 2024'!$G$5:$G$2311,'декабрь 2024'!$D$5:$D$2311,$B33,'декабрь 2024'!$J$5:$J$2311,AC$1)</f>
        <v>0</v>
      </c>
      <c r="AD33" s="80">
        <f>SUMIFS('декабрь 2024'!$G$5:$G$2311,'декабрь 2024'!$D$5:$D$2311,$B33,'декабрь 2024'!$J$5:$J$2311,AD$1)</f>
        <v>0</v>
      </c>
      <c r="AE33" s="80">
        <f>SUMIFS('декабрь 2024'!$G$5:$G$2311,'декабрь 2024'!$D$5:$D$2311,$B33,'декабрь 2024'!$J$5:$J$2311,AE$1)</f>
        <v>0</v>
      </c>
      <c r="AF33" s="80">
        <f>SUMIFS('декабрь 2024'!$G$5:$G$2311,'декабрь 2024'!$D$5:$D$2311,$B33,'декабрь 2024'!$J$5:$J$2311,AF$1)</f>
        <v>0</v>
      </c>
      <c r="AG33" s="80">
        <f>SUMIFS('декабрь 2024'!$G$5:$G$2311,'декабрь 2024'!$D$5:$D$2311,$B33,'декабрь 2024'!$J$5:$J$2311,AG$1)</f>
        <v>0</v>
      </c>
      <c r="AH33" s="80">
        <f>SUMIFS('декабрь 2024'!$G$5:$G$2311,'декабрь 2024'!$D$5:$D$2311,$B33,'декабрь 2024'!$J$5:$J$2311,AH$1)</f>
        <v>0</v>
      </c>
      <c r="AI33" s="21">
        <f t="shared" si="1"/>
        <v>0</v>
      </c>
    </row>
    <row r="34" spans="2:35" ht="15" customHeight="1" x14ac:dyDescent="0.25">
      <c r="B34" s="146" t="s">
        <v>278</v>
      </c>
      <c r="C34" s="143">
        <v>25</v>
      </c>
      <c r="D34" s="80">
        <f>SUMIFS('декабрь 2024'!$G$5:$G$2311,'декабрь 2024'!$D$5:$D$2311,$B34,'декабрь 2024'!$J$5:$J$2311,D$1)</f>
        <v>0</v>
      </c>
      <c r="E34" s="80">
        <f>SUMIFS('декабрь 2024'!$G$5:$G$2311,'декабрь 2024'!$D$5:$D$2311,$B34,'декабрь 2024'!$J$5:$J$2311,E$1)</f>
        <v>0</v>
      </c>
      <c r="F34" s="80">
        <f>SUMIFS('декабрь 2024'!$G$5:$G$2311,'декабрь 2024'!$D$5:$D$2311,$B34,'декабрь 2024'!$J$5:$J$2311,F$1)</f>
        <v>0</v>
      </c>
      <c r="G34" s="80">
        <f>SUMIFS('декабрь 2024'!$G$5:$G$2311,'декабрь 2024'!$D$5:$D$2311,$B34,'декабрь 2024'!$J$5:$J$2311,G$1)</f>
        <v>0</v>
      </c>
      <c r="H34" s="80">
        <f>SUMIFS('декабрь 2024'!$G$5:$G$2311,'декабрь 2024'!$D$5:$D$2311,$B34,'декабрь 2024'!$J$5:$J$2311,H$1)</f>
        <v>0</v>
      </c>
      <c r="I34" s="80">
        <f>SUMIFS('декабрь 2024'!$G$5:$G$2311,'декабрь 2024'!$D$5:$D$2311,$B34,'декабрь 2024'!$J$5:$J$2311,I$1)</f>
        <v>0</v>
      </c>
      <c r="J34" s="80">
        <f>SUMIFS('декабрь 2024'!$G$5:$G$2311,'декабрь 2024'!$D$5:$D$2311,$B34,'декабрь 2024'!$J$5:$J$2311,J$1)</f>
        <v>0</v>
      </c>
      <c r="K34" s="80">
        <f>SUMIFS('декабрь 2024'!$G$5:$G$2311,'декабрь 2024'!$D$5:$D$2311,$B34,'декабрь 2024'!$J$5:$J$2311,K$1)</f>
        <v>0</v>
      </c>
      <c r="L34" s="80">
        <f>SUMIFS('декабрь 2024'!$G$5:$G$2311,'декабрь 2024'!$D$5:$D$2311,$B34,'декабрь 2024'!$J$5:$J$2311,L$1)</f>
        <v>0</v>
      </c>
      <c r="M34" s="80">
        <f>SUMIFS('декабрь 2024'!$G$5:$G$2311,'декабрь 2024'!$D$5:$D$2311,$B34,'декабрь 2024'!$J$5:$J$2311,M$1)</f>
        <v>0</v>
      </c>
      <c r="N34" s="80">
        <f>SUMIFS('декабрь 2024'!$G$5:$G$2311,'декабрь 2024'!$D$5:$D$2311,$B34,'декабрь 2024'!$J$5:$J$2311,N$1)</f>
        <v>0</v>
      </c>
      <c r="O34" s="80">
        <f>SUMIFS('декабрь 2024'!$G$5:$G$2311,'декабрь 2024'!$D$5:$D$2311,$B34,'декабрь 2024'!$J$5:$J$2311,O$1)</f>
        <v>0</v>
      </c>
      <c r="P34" s="80">
        <f>SUMIFS('декабрь 2024'!$G$5:$G$2311,'декабрь 2024'!$D$5:$D$2311,$B34,'декабрь 2024'!$J$5:$J$2311,P$1)</f>
        <v>0</v>
      </c>
      <c r="Q34" s="80">
        <f>SUMIFS('декабрь 2024'!$G$5:$G$2311,'декабрь 2024'!$D$5:$D$2311,$B34,'декабрь 2024'!$J$5:$J$2311,Q$1)</f>
        <v>0</v>
      </c>
      <c r="R34" s="80">
        <f>SUMIFS('декабрь 2024'!$G$5:$G$2311,'декабрь 2024'!$D$5:$D$2311,$B34,'декабрь 2024'!$J$5:$J$2311,R$1)</f>
        <v>0</v>
      </c>
      <c r="S34" s="80">
        <f>SUMIFS('декабрь 2024'!$G$5:$G$2311,'декабрь 2024'!$D$5:$D$2311,$B34,'декабрь 2024'!$J$5:$J$2311,S$1)</f>
        <v>0</v>
      </c>
      <c r="T34" s="80">
        <f>SUMIFS('декабрь 2024'!$G$5:$G$2311,'декабрь 2024'!$D$5:$D$2311,$B34,'декабрь 2024'!$J$5:$J$2311,T$1)</f>
        <v>0</v>
      </c>
      <c r="U34" s="80">
        <f>SUMIFS('декабрь 2024'!$G$5:$G$2311,'декабрь 2024'!$D$5:$D$2311,$B34,'декабрь 2024'!$J$5:$J$2311,U$1)</f>
        <v>0</v>
      </c>
      <c r="V34" s="80">
        <f>SUMIFS('декабрь 2024'!$G$5:$G$2311,'декабрь 2024'!$D$5:$D$2311,$B34,'декабрь 2024'!$J$5:$J$2311,V$1)</f>
        <v>0</v>
      </c>
      <c r="W34" s="80">
        <f>SUMIFS('декабрь 2024'!$G$5:$G$2311,'декабрь 2024'!$D$5:$D$2311,$B34,'декабрь 2024'!$J$5:$J$2311,W$1)</f>
        <v>0</v>
      </c>
      <c r="X34" s="80">
        <f>SUMIFS('декабрь 2024'!$G$5:$G$2311,'декабрь 2024'!$D$5:$D$2311,$B34,'декабрь 2024'!$J$5:$J$2311,X$1)</f>
        <v>0</v>
      </c>
      <c r="Y34" s="80">
        <f>SUMIFS('декабрь 2024'!$G$5:$G$2311,'декабрь 2024'!$D$5:$D$2311,$B34,'декабрь 2024'!$J$5:$J$2311,Y$1)</f>
        <v>0</v>
      </c>
      <c r="Z34" s="80">
        <f>SUMIFS('декабрь 2024'!$G$5:$G$2311,'декабрь 2024'!$D$5:$D$2311,$B34,'декабрь 2024'!$J$5:$J$2311,Z$1)</f>
        <v>0</v>
      </c>
      <c r="AA34" s="80">
        <f>SUMIFS('декабрь 2024'!$G$5:$G$2311,'декабрь 2024'!$D$5:$D$2311,$B34,'декабрь 2024'!$J$5:$J$2311,AA$1)</f>
        <v>0</v>
      </c>
      <c r="AB34" s="80">
        <f>SUMIFS('декабрь 2024'!$G$5:$G$2311,'декабрь 2024'!$D$5:$D$2311,$B34,'декабрь 2024'!$J$5:$J$2311,AB$1)</f>
        <v>0</v>
      </c>
      <c r="AC34" s="80">
        <f>SUMIFS('декабрь 2024'!$G$5:$G$2311,'декабрь 2024'!$D$5:$D$2311,$B34,'декабрь 2024'!$J$5:$J$2311,AC$1)</f>
        <v>0</v>
      </c>
      <c r="AD34" s="80">
        <f>SUMIFS('декабрь 2024'!$G$5:$G$2311,'декабрь 2024'!$D$5:$D$2311,$B34,'декабрь 2024'!$J$5:$J$2311,AD$1)</f>
        <v>0</v>
      </c>
      <c r="AE34" s="80">
        <f>SUMIFS('декабрь 2024'!$G$5:$G$2311,'декабрь 2024'!$D$5:$D$2311,$B34,'декабрь 2024'!$J$5:$J$2311,AE$1)</f>
        <v>0</v>
      </c>
      <c r="AF34" s="80">
        <f>SUMIFS('декабрь 2024'!$G$5:$G$2311,'декабрь 2024'!$D$5:$D$2311,$B34,'декабрь 2024'!$J$5:$J$2311,AF$1)</f>
        <v>0</v>
      </c>
      <c r="AG34" s="80">
        <f>SUMIFS('декабрь 2024'!$G$5:$G$2311,'декабрь 2024'!$D$5:$D$2311,$B34,'декабрь 2024'!$J$5:$J$2311,AG$1)</f>
        <v>0</v>
      </c>
      <c r="AH34" s="80">
        <f>SUMIFS('декабрь 2024'!$G$5:$G$2311,'декабрь 2024'!$D$5:$D$2311,$B34,'декабрь 2024'!$J$5:$J$2311,AH$1)</f>
        <v>0</v>
      </c>
      <c r="AI34" s="21">
        <f t="shared" si="1"/>
        <v>0</v>
      </c>
    </row>
    <row r="35" spans="2:35" ht="15" customHeight="1" x14ac:dyDescent="0.25">
      <c r="B35" s="147" t="s">
        <v>2145</v>
      </c>
      <c r="C35" s="143">
        <v>25</v>
      </c>
      <c r="D35" s="80">
        <f>SUMIFS('декабрь 2024'!$G$5:$G$2311,'декабрь 2024'!$D$5:$D$2311,$B35,'декабрь 2024'!$J$5:$J$2311,D$1)</f>
        <v>0</v>
      </c>
      <c r="E35" s="80">
        <f>SUMIFS('декабрь 2024'!$G$5:$G$2311,'декабрь 2024'!$D$5:$D$2311,$B35,'декабрь 2024'!$J$5:$J$2311,E$1)</f>
        <v>0</v>
      </c>
      <c r="F35" s="80">
        <f>SUMIFS('декабрь 2024'!$G$5:$G$2311,'декабрь 2024'!$D$5:$D$2311,$B35,'декабрь 2024'!$J$5:$J$2311,F$1)</f>
        <v>0</v>
      </c>
      <c r="G35" s="80">
        <f>SUMIFS('декабрь 2024'!$G$5:$G$2311,'декабрь 2024'!$D$5:$D$2311,$B35,'декабрь 2024'!$J$5:$J$2311,G$1)</f>
        <v>0</v>
      </c>
      <c r="H35" s="80">
        <f>SUMIFS('декабрь 2024'!$G$5:$G$2311,'декабрь 2024'!$D$5:$D$2311,$B35,'декабрь 2024'!$J$5:$J$2311,H$1)</f>
        <v>0</v>
      </c>
      <c r="I35" s="80">
        <f>SUMIFS('декабрь 2024'!$G$5:$G$2311,'декабрь 2024'!$D$5:$D$2311,$B35,'декабрь 2024'!$J$5:$J$2311,I$1)</f>
        <v>0</v>
      </c>
      <c r="J35" s="80">
        <f>SUMIFS('декабрь 2024'!$G$5:$G$2311,'декабрь 2024'!$D$5:$D$2311,$B35,'декабрь 2024'!$J$5:$J$2311,J$1)</f>
        <v>0</v>
      </c>
      <c r="K35" s="80">
        <f>SUMIFS('декабрь 2024'!$G$5:$G$2311,'декабрь 2024'!$D$5:$D$2311,$B35,'декабрь 2024'!$J$5:$J$2311,K$1)</f>
        <v>0</v>
      </c>
      <c r="L35" s="80">
        <f>SUMIFS('декабрь 2024'!$G$5:$G$2311,'декабрь 2024'!$D$5:$D$2311,$B35,'декабрь 2024'!$J$5:$J$2311,L$1)</f>
        <v>0</v>
      </c>
      <c r="M35" s="80">
        <f>SUMIFS('декабрь 2024'!$G$5:$G$2311,'декабрь 2024'!$D$5:$D$2311,$B35,'декабрь 2024'!$J$5:$J$2311,M$1)</f>
        <v>0</v>
      </c>
      <c r="N35" s="80">
        <f>SUMIFS('декабрь 2024'!$G$5:$G$2311,'декабрь 2024'!$D$5:$D$2311,$B35,'декабрь 2024'!$J$5:$J$2311,N$1)</f>
        <v>0</v>
      </c>
      <c r="O35" s="80">
        <f>SUMIFS('декабрь 2024'!$G$5:$G$2311,'декабрь 2024'!$D$5:$D$2311,$B35,'декабрь 2024'!$J$5:$J$2311,O$1)</f>
        <v>0</v>
      </c>
      <c r="P35" s="80">
        <f>SUMIFS('декабрь 2024'!$G$5:$G$2311,'декабрь 2024'!$D$5:$D$2311,$B35,'декабрь 2024'!$J$5:$J$2311,P$1)</f>
        <v>0</v>
      </c>
      <c r="Q35" s="80">
        <f>SUMIFS('декабрь 2024'!$G$5:$G$2311,'декабрь 2024'!$D$5:$D$2311,$B35,'декабрь 2024'!$J$5:$J$2311,Q$1)</f>
        <v>0</v>
      </c>
      <c r="R35" s="80">
        <f>SUMIFS('декабрь 2024'!$G$5:$G$2311,'декабрь 2024'!$D$5:$D$2311,$B35,'декабрь 2024'!$J$5:$J$2311,R$1)</f>
        <v>0</v>
      </c>
      <c r="S35" s="80">
        <f>SUMIFS('декабрь 2024'!$G$5:$G$2311,'декабрь 2024'!$D$5:$D$2311,$B35,'декабрь 2024'!$J$5:$J$2311,S$1)</f>
        <v>0</v>
      </c>
      <c r="T35" s="80">
        <f>SUMIFS('декабрь 2024'!$G$5:$G$2311,'декабрь 2024'!$D$5:$D$2311,$B35,'декабрь 2024'!$J$5:$J$2311,T$1)</f>
        <v>0</v>
      </c>
      <c r="U35" s="80">
        <f>SUMIFS('декабрь 2024'!$G$5:$G$2311,'декабрь 2024'!$D$5:$D$2311,$B35,'декабрь 2024'!$J$5:$J$2311,U$1)</f>
        <v>0</v>
      </c>
      <c r="V35" s="80">
        <f>SUMIFS('декабрь 2024'!$G$5:$G$2311,'декабрь 2024'!$D$5:$D$2311,$B35,'декабрь 2024'!$J$5:$J$2311,V$1)</f>
        <v>0</v>
      </c>
      <c r="W35" s="80">
        <f>SUMIFS('декабрь 2024'!$G$5:$G$2311,'декабрь 2024'!$D$5:$D$2311,$B35,'декабрь 2024'!$J$5:$J$2311,W$1)</f>
        <v>0</v>
      </c>
      <c r="X35" s="80">
        <f>SUMIFS('декабрь 2024'!$G$5:$G$2311,'декабрь 2024'!$D$5:$D$2311,$B35,'декабрь 2024'!$J$5:$J$2311,X$1)</f>
        <v>0</v>
      </c>
      <c r="Y35" s="80">
        <f>SUMIFS('декабрь 2024'!$G$5:$G$2311,'декабрь 2024'!$D$5:$D$2311,$B35,'декабрь 2024'!$J$5:$J$2311,Y$1)</f>
        <v>0</v>
      </c>
      <c r="Z35" s="80">
        <f>SUMIFS('декабрь 2024'!$G$5:$G$2311,'декабрь 2024'!$D$5:$D$2311,$B35,'декабрь 2024'!$J$5:$J$2311,Z$1)</f>
        <v>770</v>
      </c>
      <c r="AA35" s="80">
        <f>SUMIFS('декабрь 2024'!$G$5:$G$2311,'декабрь 2024'!$D$5:$D$2311,$B35,'декабрь 2024'!$J$5:$J$2311,AA$1)</f>
        <v>0</v>
      </c>
      <c r="AB35" s="80">
        <f>SUMIFS('декабрь 2024'!$G$5:$G$2311,'декабрь 2024'!$D$5:$D$2311,$B35,'декабрь 2024'!$J$5:$J$2311,AB$1)</f>
        <v>770</v>
      </c>
      <c r="AC35" s="80">
        <f>SUMIFS('декабрь 2024'!$G$5:$G$2311,'декабрь 2024'!$D$5:$D$2311,$B35,'декабрь 2024'!$J$5:$J$2311,AC$1)</f>
        <v>0</v>
      </c>
      <c r="AD35" s="80">
        <f>SUMIFS('декабрь 2024'!$G$5:$G$2311,'декабрь 2024'!$D$5:$D$2311,$B35,'декабрь 2024'!$J$5:$J$2311,AD$1)</f>
        <v>0</v>
      </c>
      <c r="AE35" s="80">
        <f>SUMIFS('декабрь 2024'!$G$5:$G$2311,'декабрь 2024'!$D$5:$D$2311,$B35,'декабрь 2024'!$J$5:$J$2311,AE$1)</f>
        <v>0</v>
      </c>
      <c r="AF35" s="80">
        <f>SUMIFS('декабрь 2024'!$G$5:$G$2311,'декабрь 2024'!$D$5:$D$2311,$B35,'декабрь 2024'!$J$5:$J$2311,AF$1)</f>
        <v>0</v>
      </c>
      <c r="AG35" s="80">
        <f>SUMIFS('декабрь 2024'!$G$5:$G$2311,'декабрь 2024'!$D$5:$D$2311,$B35,'декабрь 2024'!$J$5:$J$2311,AG$1)</f>
        <v>0</v>
      </c>
      <c r="AH35" s="80">
        <f>SUMIFS('декабрь 2024'!$G$5:$G$2311,'декабрь 2024'!$D$5:$D$2311,$B35,'декабрь 2024'!$J$5:$J$2311,AH$1)</f>
        <v>0</v>
      </c>
      <c r="AI35" s="21">
        <f t="shared" si="1"/>
        <v>1540</v>
      </c>
    </row>
    <row r="36" spans="2:35" ht="15" customHeight="1" x14ac:dyDescent="0.25">
      <c r="B36" s="147" t="s">
        <v>280</v>
      </c>
      <c r="C36" s="143">
        <v>25</v>
      </c>
      <c r="D36" s="80">
        <f>SUMIFS('декабрь 2024'!$G$5:$G$2311,'декабрь 2024'!$D$5:$D$2311,$B36,'декабрь 2024'!$J$5:$J$2311,D$1)</f>
        <v>0</v>
      </c>
      <c r="E36" s="80">
        <f>SUMIFS('декабрь 2024'!$G$5:$G$2311,'декабрь 2024'!$D$5:$D$2311,$B36,'декабрь 2024'!$J$5:$J$2311,E$1)</f>
        <v>0</v>
      </c>
      <c r="F36" s="80">
        <f>SUMIFS('декабрь 2024'!$G$5:$G$2311,'декабрь 2024'!$D$5:$D$2311,$B36,'декабрь 2024'!$J$5:$J$2311,F$1)</f>
        <v>0</v>
      </c>
      <c r="G36" s="80">
        <f>SUMIFS('декабрь 2024'!$G$5:$G$2311,'декабрь 2024'!$D$5:$D$2311,$B36,'декабрь 2024'!$J$5:$J$2311,G$1)</f>
        <v>0</v>
      </c>
      <c r="H36" s="80">
        <f>SUMIFS('декабрь 2024'!$G$5:$G$2311,'декабрь 2024'!$D$5:$D$2311,$B36,'декабрь 2024'!$J$5:$J$2311,H$1)</f>
        <v>0</v>
      </c>
      <c r="I36" s="80">
        <f>SUMIFS('декабрь 2024'!$G$5:$G$2311,'декабрь 2024'!$D$5:$D$2311,$B36,'декабрь 2024'!$J$5:$J$2311,I$1)</f>
        <v>0</v>
      </c>
      <c r="J36" s="80">
        <f>SUMIFS('декабрь 2024'!$G$5:$G$2311,'декабрь 2024'!$D$5:$D$2311,$B36,'декабрь 2024'!$J$5:$J$2311,J$1)</f>
        <v>0</v>
      </c>
      <c r="K36" s="80">
        <f>SUMIFS('декабрь 2024'!$G$5:$G$2311,'декабрь 2024'!$D$5:$D$2311,$B36,'декабрь 2024'!$J$5:$J$2311,K$1)</f>
        <v>0</v>
      </c>
      <c r="L36" s="80">
        <f>SUMIFS('декабрь 2024'!$G$5:$G$2311,'декабрь 2024'!$D$5:$D$2311,$B36,'декабрь 2024'!$J$5:$J$2311,L$1)</f>
        <v>0</v>
      </c>
      <c r="M36" s="80">
        <f>SUMIFS('декабрь 2024'!$G$5:$G$2311,'декабрь 2024'!$D$5:$D$2311,$B36,'декабрь 2024'!$J$5:$J$2311,M$1)</f>
        <v>0</v>
      </c>
      <c r="N36" s="80">
        <f>SUMIFS('декабрь 2024'!$G$5:$G$2311,'декабрь 2024'!$D$5:$D$2311,$B36,'декабрь 2024'!$J$5:$J$2311,N$1)</f>
        <v>0</v>
      </c>
      <c r="O36" s="80">
        <f>SUMIFS('декабрь 2024'!$G$5:$G$2311,'декабрь 2024'!$D$5:$D$2311,$B36,'декабрь 2024'!$J$5:$J$2311,O$1)</f>
        <v>0</v>
      </c>
      <c r="P36" s="80">
        <f>SUMIFS('декабрь 2024'!$G$5:$G$2311,'декабрь 2024'!$D$5:$D$2311,$B36,'декабрь 2024'!$J$5:$J$2311,P$1)</f>
        <v>0</v>
      </c>
      <c r="Q36" s="80">
        <f>SUMIFS('декабрь 2024'!$G$5:$G$2311,'декабрь 2024'!$D$5:$D$2311,$B36,'декабрь 2024'!$J$5:$J$2311,Q$1)</f>
        <v>0</v>
      </c>
      <c r="R36" s="80">
        <f>SUMIFS('декабрь 2024'!$G$5:$G$2311,'декабрь 2024'!$D$5:$D$2311,$B36,'декабрь 2024'!$J$5:$J$2311,R$1)</f>
        <v>0</v>
      </c>
      <c r="S36" s="80">
        <f>SUMIFS('декабрь 2024'!$G$5:$G$2311,'декабрь 2024'!$D$5:$D$2311,$B36,'декабрь 2024'!$J$5:$J$2311,S$1)</f>
        <v>0</v>
      </c>
      <c r="T36" s="80">
        <f>SUMIFS('декабрь 2024'!$G$5:$G$2311,'декабрь 2024'!$D$5:$D$2311,$B36,'декабрь 2024'!$J$5:$J$2311,T$1)</f>
        <v>0</v>
      </c>
      <c r="U36" s="80">
        <f>SUMIFS('декабрь 2024'!$G$5:$G$2311,'декабрь 2024'!$D$5:$D$2311,$B36,'декабрь 2024'!$J$5:$J$2311,U$1)</f>
        <v>0</v>
      </c>
      <c r="V36" s="80">
        <f>SUMIFS('декабрь 2024'!$G$5:$G$2311,'декабрь 2024'!$D$5:$D$2311,$B36,'декабрь 2024'!$J$5:$J$2311,V$1)</f>
        <v>0</v>
      </c>
      <c r="W36" s="80">
        <f>SUMIFS('декабрь 2024'!$G$5:$G$2311,'декабрь 2024'!$D$5:$D$2311,$B36,'декабрь 2024'!$J$5:$J$2311,W$1)</f>
        <v>0</v>
      </c>
      <c r="X36" s="80">
        <f>SUMIFS('декабрь 2024'!$G$5:$G$2311,'декабрь 2024'!$D$5:$D$2311,$B36,'декабрь 2024'!$J$5:$J$2311,X$1)</f>
        <v>0</v>
      </c>
      <c r="Y36" s="80">
        <f>SUMIFS('декабрь 2024'!$G$5:$G$2311,'декабрь 2024'!$D$5:$D$2311,$B36,'декабрь 2024'!$J$5:$J$2311,Y$1)</f>
        <v>0</v>
      </c>
      <c r="Z36" s="80">
        <f>SUMIFS('декабрь 2024'!$G$5:$G$2311,'декабрь 2024'!$D$5:$D$2311,$B36,'декабрь 2024'!$J$5:$J$2311,Z$1)</f>
        <v>0</v>
      </c>
      <c r="AA36" s="80">
        <f>SUMIFS('декабрь 2024'!$G$5:$G$2311,'декабрь 2024'!$D$5:$D$2311,$B36,'декабрь 2024'!$J$5:$J$2311,AA$1)</f>
        <v>0</v>
      </c>
      <c r="AB36" s="80">
        <f>SUMIFS('декабрь 2024'!$G$5:$G$2311,'декабрь 2024'!$D$5:$D$2311,$B36,'декабрь 2024'!$J$5:$J$2311,AB$1)</f>
        <v>0</v>
      </c>
      <c r="AC36" s="80">
        <f>SUMIFS('декабрь 2024'!$G$5:$G$2311,'декабрь 2024'!$D$5:$D$2311,$B36,'декабрь 2024'!$J$5:$J$2311,AC$1)</f>
        <v>0</v>
      </c>
      <c r="AD36" s="80">
        <f>SUMIFS('декабрь 2024'!$G$5:$G$2311,'декабрь 2024'!$D$5:$D$2311,$B36,'декабрь 2024'!$J$5:$J$2311,AD$1)</f>
        <v>0</v>
      </c>
      <c r="AE36" s="80">
        <f>SUMIFS('декабрь 2024'!$G$5:$G$2311,'декабрь 2024'!$D$5:$D$2311,$B36,'декабрь 2024'!$J$5:$J$2311,AE$1)</f>
        <v>0</v>
      </c>
      <c r="AF36" s="80">
        <f>SUMIFS('декабрь 2024'!$G$5:$G$2311,'декабрь 2024'!$D$5:$D$2311,$B36,'декабрь 2024'!$J$5:$J$2311,AF$1)</f>
        <v>0</v>
      </c>
      <c r="AG36" s="80">
        <f>SUMIFS('декабрь 2024'!$G$5:$G$2311,'декабрь 2024'!$D$5:$D$2311,$B36,'декабрь 2024'!$J$5:$J$2311,AG$1)</f>
        <v>0</v>
      </c>
      <c r="AH36" s="80">
        <f>SUMIFS('декабрь 2024'!$G$5:$G$2311,'декабрь 2024'!$D$5:$D$2311,$B36,'декабрь 2024'!$J$5:$J$2311,AH$1)</f>
        <v>0</v>
      </c>
      <c r="AI36" s="21">
        <f t="shared" si="1"/>
        <v>0</v>
      </c>
    </row>
    <row r="37" spans="2:35" ht="15" customHeight="1" x14ac:dyDescent="0.25">
      <c r="B37" s="148" t="s">
        <v>282</v>
      </c>
      <c r="C37" s="149">
        <v>25</v>
      </c>
      <c r="D37" s="80">
        <f>SUMIFS('декабрь 2024'!$G$5:$G$2311,'декабрь 2024'!$D$5:$D$2311,$B37,'декабрь 2024'!$J$5:$J$2311,D$1)</f>
        <v>0</v>
      </c>
      <c r="E37" s="80">
        <f>SUMIFS('декабрь 2024'!$G$5:$G$2311,'декабрь 2024'!$D$5:$D$2311,$B37,'декабрь 2024'!$J$5:$J$2311,E$1)</f>
        <v>0</v>
      </c>
      <c r="F37" s="80">
        <f>SUMIFS('декабрь 2024'!$G$5:$G$2311,'декабрь 2024'!$D$5:$D$2311,$B37,'декабрь 2024'!$J$5:$J$2311,F$1)</f>
        <v>0</v>
      </c>
      <c r="G37" s="80">
        <f>SUMIFS('декабрь 2024'!$G$5:$G$2311,'декабрь 2024'!$D$5:$D$2311,$B37,'декабрь 2024'!$J$5:$J$2311,G$1)</f>
        <v>0</v>
      </c>
      <c r="H37" s="80">
        <f>SUMIFS('декабрь 2024'!$G$5:$G$2311,'декабрь 2024'!$D$5:$D$2311,$B37,'декабрь 2024'!$J$5:$J$2311,H$1)</f>
        <v>0</v>
      </c>
      <c r="I37" s="80">
        <f>SUMIFS('декабрь 2024'!$G$5:$G$2311,'декабрь 2024'!$D$5:$D$2311,$B37,'декабрь 2024'!$J$5:$J$2311,I$1)</f>
        <v>0</v>
      </c>
      <c r="J37" s="80">
        <f>SUMIFS('декабрь 2024'!$G$5:$G$2311,'декабрь 2024'!$D$5:$D$2311,$B37,'декабрь 2024'!$J$5:$J$2311,J$1)</f>
        <v>0</v>
      </c>
      <c r="K37" s="80">
        <f>SUMIFS('декабрь 2024'!$G$5:$G$2311,'декабрь 2024'!$D$5:$D$2311,$B37,'декабрь 2024'!$J$5:$J$2311,K$1)</f>
        <v>0</v>
      </c>
      <c r="L37" s="80">
        <f>SUMIFS('декабрь 2024'!$G$5:$G$2311,'декабрь 2024'!$D$5:$D$2311,$B37,'декабрь 2024'!$J$5:$J$2311,L$1)</f>
        <v>0</v>
      </c>
      <c r="M37" s="80">
        <f>SUMIFS('декабрь 2024'!$G$5:$G$2311,'декабрь 2024'!$D$5:$D$2311,$B37,'декабрь 2024'!$J$5:$J$2311,M$1)</f>
        <v>0</v>
      </c>
      <c r="N37" s="80">
        <f>SUMIFS('декабрь 2024'!$G$5:$G$2311,'декабрь 2024'!$D$5:$D$2311,$B37,'декабрь 2024'!$J$5:$J$2311,N$1)</f>
        <v>0</v>
      </c>
      <c r="O37" s="80">
        <f>SUMIFS('декабрь 2024'!$G$5:$G$2311,'декабрь 2024'!$D$5:$D$2311,$B37,'декабрь 2024'!$J$5:$J$2311,O$1)</f>
        <v>0</v>
      </c>
      <c r="P37" s="80">
        <f>SUMIFS('декабрь 2024'!$G$5:$G$2311,'декабрь 2024'!$D$5:$D$2311,$B37,'декабрь 2024'!$J$5:$J$2311,P$1)</f>
        <v>0</v>
      </c>
      <c r="Q37" s="80">
        <f>SUMIFS('декабрь 2024'!$G$5:$G$2311,'декабрь 2024'!$D$5:$D$2311,$B37,'декабрь 2024'!$J$5:$J$2311,Q$1)</f>
        <v>0</v>
      </c>
      <c r="R37" s="80">
        <f>SUMIFS('декабрь 2024'!$G$5:$G$2311,'декабрь 2024'!$D$5:$D$2311,$B37,'декабрь 2024'!$J$5:$J$2311,R$1)</f>
        <v>0</v>
      </c>
      <c r="S37" s="80">
        <f>SUMIFS('декабрь 2024'!$G$5:$G$2311,'декабрь 2024'!$D$5:$D$2311,$B37,'декабрь 2024'!$J$5:$J$2311,S$1)</f>
        <v>0</v>
      </c>
      <c r="T37" s="80">
        <f>SUMIFS('декабрь 2024'!$G$5:$G$2311,'декабрь 2024'!$D$5:$D$2311,$B37,'декабрь 2024'!$J$5:$J$2311,T$1)</f>
        <v>0</v>
      </c>
      <c r="U37" s="80">
        <f>SUMIFS('декабрь 2024'!$G$5:$G$2311,'декабрь 2024'!$D$5:$D$2311,$B37,'декабрь 2024'!$J$5:$J$2311,U$1)</f>
        <v>0</v>
      </c>
      <c r="V37" s="80">
        <f>SUMIFS('декабрь 2024'!$G$5:$G$2311,'декабрь 2024'!$D$5:$D$2311,$B37,'декабрь 2024'!$J$5:$J$2311,V$1)</f>
        <v>0</v>
      </c>
      <c r="W37" s="80">
        <f>SUMIFS('декабрь 2024'!$G$5:$G$2311,'декабрь 2024'!$D$5:$D$2311,$B37,'декабрь 2024'!$J$5:$J$2311,W$1)</f>
        <v>0</v>
      </c>
      <c r="X37" s="80">
        <f>SUMIFS('декабрь 2024'!$G$5:$G$2311,'декабрь 2024'!$D$5:$D$2311,$B37,'декабрь 2024'!$J$5:$J$2311,X$1)</f>
        <v>0</v>
      </c>
      <c r="Y37" s="80">
        <f>SUMIFS('декабрь 2024'!$G$5:$G$2311,'декабрь 2024'!$D$5:$D$2311,$B37,'декабрь 2024'!$J$5:$J$2311,Y$1)</f>
        <v>0</v>
      </c>
      <c r="Z37" s="80">
        <f>SUMIFS('декабрь 2024'!$G$5:$G$2311,'декабрь 2024'!$D$5:$D$2311,$B37,'декабрь 2024'!$J$5:$J$2311,Z$1)</f>
        <v>0</v>
      </c>
      <c r="AA37" s="80">
        <f>SUMIFS('декабрь 2024'!$G$5:$G$2311,'декабрь 2024'!$D$5:$D$2311,$B37,'декабрь 2024'!$J$5:$J$2311,AA$1)</f>
        <v>0</v>
      </c>
      <c r="AB37" s="80">
        <f>SUMIFS('декабрь 2024'!$G$5:$G$2311,'декабрь 2024'!$D$5:$D$2311,$B37,'декабрь 2024'!$J$5:$J$2311,AB$1)</f>
        <v>0</v>
      </c>
      <c r="AC37" s="80">
        <f>SUMIFS('декабрь 2024'!$G$5:$G$2311,'декабрь 2024'!$D$5:$D$2311,$B37,'декабрь 2024'!$J$5:$J$2311,AC$1)</f>
        <v>0</v>
      </c>
      <c r="AD37" s="80">
        <f>SUMIFS('декабрь 2024'!$G$5:$G$2311,'декабрь 2024'!$D$5:$D$2311,$B37,'декабрь 2024'!$J$5:$J$2311,AD$1)</f>
        <v>0</v>
      </c>
      <c r="AE37" s="80">
        <f>SUMIFS('декабрь 2024'!$G$5:$G$2311,'декабрь 2024'!$D$5:$D$2311,$B37,'декабрь 2024'!$J$5:$J$2311,AE$1)</f>
        <v>0</v>
      </c>
      <c r="AF37" s="80">
        <f>SUMIFS('декабрь 2024'!$G$5:$G$2311,'декабрь 2024'!$D$5:$D$2311,$B37,'декабрь 2024'!$J$5:$J$2311,AF$1)</f>
        <v>0</v>
      </c>
      <c r="AG37" s="80">
        <f>SUMIFS('декабрь 2024'!$G$5:$G$2311,'декабрь 2024'!$D$5:$D$2311,$B37,'декабрь 2024'!$J$5:$J$2311,AG$1)</f>
        <v>0</v>
      </c>
      <c r="AH37" s="80">
        <f>SUMIFS('декабрь 2024'!$G$5:$G$2311,'декабрь 2024'!$D$5:$D$2311,$B37,'декабрь 2024'!$J$5:$J$2311,AH$1)</f>
        <v>0</v>
      </c>
      <c r="AI37" s="21">
        <f t="shared" si="1"/>
        <v>0</v>
      </c>
    </row>
    <row r="38" spans="2:35" ht="15" customHeight="1" x14ac:dyDescent="0.25">
      <c r="B38" s="150" t="s">
        <v>284</v>
      </c>
      <c r="C38" s="151">
        <v>22.68</v>
      </c>
      <c r="D38" s="80">
        <f>SUMIFS('декабрь 2024'!$G$5:$G$2311,'декабрь 2024'!$D$5:$D$2311,$B38,'декабрь 2024'!$J$5:$J$2311,D$1)</f>
        <v>0</v>
      </c>
      <c r="E38" s="80">
        <f>SUMIFS('декабрь 2024'!$G$5:$G$2311,'декабрь 2024'!$D$5:$D$2311,$B38,'декабрь 2024'!$J$5:$J$2311,E$1)</f>
        <v>0</v>
      </c>
      <c r="F38" s="80">
        <f>SUMIFS('декабрь 2024'!$G$5:$G$2311,'декабрь 2024'!$D$5:$D$2311,$B38,'декабрь 2024'!$J$5:$J$2311,F$1)</f>
        <v>0</v>
      </c>
      <c r="G38" s="80">
        <f>SUMIFS('декабрь 2024'!$G$5:$G$2311,'декабрь 2024'!$D$5:$D$2311,$B38,'декабрь 2024'!$J$5:$J$2311,G$1)</f>
        <v>0</v>
      </c>
      <c r="H38" s="80">
        <f>SUMIFS('декабрь 2024'!$G$5:$G$2311,'декабрь 2024'!$D$5:$D$2311,$B38,'декабрь 2024'!$J$5:$J$2311,H$1)</f>
        <v>0</v>
      </c>
      <c r="I38" s="80">
        <f>SUMIFS('декабрь 2024'!$G$5:$G$2311,'декабрь 2024'!$D$5:$D$2311,$B38,'декабрь 2024'!$J$5:$J$2311,I$1)</f>
        <v>0</v>
      </c>
      <c r="J38" s="80">
        <f>SUMIFS('декабрь 2024'!$G$5:$G$2311,'декабрь 2024'!$D$5:$D$2311,$B38,'декабрь 2024'!$J$5:$J$2311,J$1)</f>
        <v>0</v>
      </c>
      <c r="K38" s="80">
        <f>SUMIFS('декабрь 2024'!$G$5:$G$2311,'декабрь 2024'!$D$5:$D$2311,$B38,'декабрь 2024'!$J$5:$J$2311,K$1)</f>
        <v>0</v>
      </c>
      <c r="L38" s="80">
        <f>SUMIFS('декабрь 2024'!$G$5:$G$2311,'декабрь 2024'!$D$5:$D$2311,$B38,'декабрь 2024'!$J$5:$J$2311,L$1)</f>
        <v>0</v>
      </c>
      <c r="M38" s="80">
        <f>SUMIFS('декабрь 2024'!$G$5:$G$2311,'декабрь 2024'!$D$5:$D$2311,$B38,'декабрь 2024'!$J$5:$J$2311,M$1)</f>
        <v>0</v>
      </c>
      <c r="N38" s="80">
        <f>SUMIFS('декабрь 2024'!$G$5:$G$2311,'декабрь 2024'!$D$5:$D$2311,$B38,'декабрь 2024'!$J$5:$J$2311,N$1)</f>
        <v>0</v>
      </c>
      <c r="O38" s="80">
        <f>SUMIFS('декабрь 2024'!$G$5:$G$2311,'декабрь 2024'!$D$5:$D$2311,$B38,'декабрь 2024'!$J$5:$J$2311,O$1)</f>
        <v>0</v>
      </c>
      <c r="P38" s="80">
        <f>SUMIFS('декабрь 2024'!$G$5:$G$2311,'декабрь 2024'!$D$5:$D$2311,$B38,'декабрь 2024'!$J$5:$J$2311,P$1)</f>
        <v>0</v>
      </c>
      <c r="Q38" s="80">
        <f>SUMIFS('декабрь 2024'!$G$5:$G$2311,'декабрь 2024'!$D$5:$D$2311,$B38,'декабрь 2024'!$J$5:$J$2311,Q$1)</f>
        <v>0</v>
      </c>
      <c r="R38" s="80">
        <f>SUMIFS('декабрь 2024'!$G$5:$G$2311,'декабрь 2024'!$D$5:$D$2311,$B38,'декабрь 2024'!$J$5:$J$2311,R$1)</f>
        <v>0</v>
      </c>
      <c r="S38" s="80">
        <f>SUMIFS('декабрь 2024'!$G$5:$G$2311,'декабрь 2024'!$D$5:$D$2311,$B38,'декабрь 2024'!$J$5:$J$2311,S$1)</f>
        <v>0</v>
      </c>
      <c r="T38" s="80">
        <f>SUMIFS('декабрь 2024'!$G$5:$G$2311,'декабрь 2024'!$D$5:$D$2311,$B38,'декабрь 2024'!$J$5:$J$2311,T$1)</f>
        <v>0</v>
      </c>
      <c r="U38" s="80">
        <f>SUMIFS('декабрь 2024'!$G$5:$G$2311,'декабрь 2024'!$D$5:$D$2311,$B38,'декабрь 2024'!$J$5:$J$2311,U$1)</f>
        <v>0</v>
      </c>
      <c r="V38" s="80">
        <f>SUMIFS('декабрь 2024'!$G$5:$G$2311,'декабрь 2024'!$D$5:$D$2311,$B38,'декабрь 2024'!$J$5:$J$2311,V$1)</f>
        <v>0</v>
      </c>
      <c r="W38" s="80">
        <f>SUMIFS('декабрь 2024'!$G$5:$G$2311,'декабрь 2024'!$D$5:$D$2311,$B38,'декабрь 2024'!$J$5:$J$2311,W$1)</f>
        <v>0</v>
      </c>
      <c r="X38" s="80">
        <f>SUMIFS('декабрь 2024'!$G$5:$G$2311,'декабрь 2024'!$D$5:$D$2311,$B38,'декабрь 2024'!$J$5:$J$2311,X$1)</f>
        <v>0</v>
      </c>
      <c r="Y38" s="80">
        <f>SUMIFS('декабрь 2024'!$G$5:$G$2311,'декабрь 2024'!$D$5:$D$2311,$B38,'декабрь 2024'!$J$5:$J$2311,Y$1)</f>
        <v>0</v>
      </c>
      <c r="Z38" s="80">
        <f>SUMIFS('декабрь 2024'!$G$5:$G$2311,'декабрь 2024'!$D$5:$D$2311,$B38,'декабрь 2024'!$J$5:$J$2311,Z$1)</f>
        <v>0</v>
      </c>
      <c r="AA38" s="80">
        <f>SUMIFS('декабрь 2024'!$G$5:$G$2311,'декабрь 2024'!$D$5:$D$2311,$B38,'декабрь 2024'!$J$5:$J$2311,AA$1)</f>
        <v>0</v>
      </c>
      <c r="AB38" s="80">
        <f>SUMIFS('декабрь 2024'!$G$5:$G$2311,'декабрь 2024'!$D$5:$D$2311,$B38,'декабрь 2024'!$J$5:$J$2311,AB$1)</f>
        <v>0</v>
      </c>
      <c r="AC38" s="80">
        <f>SUMIFS('декабрь 2024'!$G$5:$G$2311,'декабрь 2024'!$D$5:$D$2311,$B38,'декабрь 2024'!$J$5:$J$2311,AC$1)</f>
        <v>0</v>
      </c>
      <c r="AD38" s="80">
        <f>SUMIFS('декабрь 2024'!$G$5:$G$2311,'декабрь 2024'!$D$5:$D$2311,$B38,'декабрь 2024'!$J$5:$J$2311,AD$1)</f>
        <v>0</v>
      </c>
      <c r="AE38" s="80">
        <f>SUMIFS('декабрь 2024'!$G$5:$G$2311,'декабрь 2024'!$D$5:$D$2311,$B38,'декабрь 2024'!$J$5:$J$2311,AE$1)</f>
        <v>0</v>
      </c>
      <c r="AF38" s="80">
        <f>SUMIFS('декабрь 2024'!$G$5:$G$2311,'декабрь 2024'!$D$5:$D$2311,$B38,'декабрь 2024'!$J$5:$J$2311,AF$1)</f>
        <v>0</v>
      </c>
      <c r="AG38" s="80">
        <f>SUMIFS('декабрь 2024'!$G$5:$G$2311,'декабрь 2024'!$D$5:$D$2311,$B38,'декабрь 2024'!$J$5:$J$2311,AG$1)</f>
        <v>0</v>
      </c>
      <c r="AH38" s="80">
        <f>SUMIFS('декабрь 2024'!$G$5:$G$2311,'декабрь 2024'!$D$5:$D$2311,$B38,'декабрь 2024'!$J$5:$J$2311,AH$1)</f>
        <v>0</v>
      </c>
      <c r="AI38" s="21">
        <f t="shared" si="1"/>
        <v>0</v>
      </c>
    </row>
    <row r="39" spans="2:35" ht="15" customHeight="1" x14ac:dyDescent="0.25">
      <c r="B39" s="150" t="s">
        <v>286</v>
      </c>
      <c r="C39" s="152">
        <v>25</v>
      </c>
      <c r="D39" s="80">
        <f>SUMIFS('декабрь 2024'!$G$5:$G$2311,'декабрь 2024'!$D$5:$D$2311,$B39,'декабрь 2024'!$J$5:$J$2311,D$1)</f>
        <v>0</v>
      </c>
      <c r="E39" s="80">
        <f>SUMIFS('декабрь 2024'!$G$5:$G$2311,'декабрь 2024'!$D$5:$D$2311,$B39,'декабрь 2024'!$J$5:$J$2311,E$1)</f>
        <v>0</v>
      </c>
      <c r="F39" s="80">
        <f>SUMIFS('декабрь 2024'!$G$5:$G$2311,'декабрь 2024'!$D$5:$D$2311,$B39,'декабрь 2024'!$J$5:$J$2311,F$1)</f>
        <v>0</v>
      </c>
      <c r="G39" s="80">
        <f>SUMIFS('декабрь 2024'!$G$5:$G$2311,'декабрь 2024'!$D$5:$D$2311,$B39,'декабрь 2024'!$J$5:$J$2311,G$1)</f>
        <v>0</v>
      </c>
      <c r="H39" s="80">
        <f>SUMIFS('декабрь 2024'!$G$5:$G$2311,'декабрь 2024'!$D$5:$D$2311,$B39,'декабрь 2024'!$J$5:$J$2311,H$1)</f>
        <v>0</v>
      </c>
      <c r="I39" s="80">
        <f>SUMIFS('декабрь 2024'!$G$5:$G$2311,'декабрь 2024'!$D$5:$D$2311,$B39,'декабрь 2024'!$J$5:$J$2311,I$1)</f>
        <v>800</v>
      </c>
      <c r="J39" s="80">
        <f>SUMIFS('декабрь 2024'!$G$5:$G$2311,'декабрь 2024'!$D$5:$D$2311,$B39,'декабрь 2024'!$J$5:$J$2311,J$1)</f>
        <v>0</v>
      </c>
      <c r="K39" s="80">
        <f>SUMIFS('декабрь 2024'!$G$5:$G$2311,'декабрь 2024'!$D$5:$D$2311,$B39,'декабрь 2024'!$J$5:$J$2311,K$1)</f>
        <v>0</v>
      </c>
      <c r="L39" s="80">
        <f>SUMIFS('декабрь 2024'!$G$5:$G$2311,'декабрь 2024'!$D$5:$D$2311,$B39,'декабрь 2024'!$J$5:$J$2311,L$1)</f>
        <v>0</v>
      </c>
      <c r="M39" s="80">
        <f>SUMIFS('декабрь 2024'!$G$5:$G$2311,'декабрь 2024'!$D$5:$D$2311,$B39,'декабрь 2024'!$J$5:$J$2311,M$1)</f>
        <v>0</v>
      </c>
      <c r="N39" s="80">
        <f>SUMIFS('декабрь 2024'!$G$5:$G$2311,'декабрь 2024'!$D$5:$D$2311,$B39,'декабрь 2024'!$J$5:$J$2311,N$1)</f>
        <v>800</v>
      </c>
      <c r="O39" s="80">
        <f>SUMIFS('декабрь 2024'!$G$5:$G$2311,'декабрь 2024'!$D$5:$D$2311,$B39,'декабрь 2024'!$J$5:$J$2311,O$1)</f>
        <v>0</v>
      </c>
      <c r="P39" s="80">
        <f>SUMIFS('декабрь 2024'!$G$5:$G$2311,'декабрь 2024'!$D$5:$D$2311,$B39,'декабрь 2024'!$J$5:$J$2311,P$1)</f>
        <v>800</v>
      </c>
      <c r="Q39" s="80">
        <f>SUMIFS('декабрь 2024'!$G$5:$G$2311,'декабрь 2024'!$D$5:$D$2311,$B39,'декабрь 2024'!$J$5:$J$2311,Q$1)</f>
        <v>0</v>
      </c>
      <c r="R39" s="80">
        <f>SUMIFS('декабрь 2024'!$G$5:$G$2311,'декабрь 2024'!$D$5:$D$2311,$B39,'декабрь 2024'!$J$5:$J$2311,R$1)</f>
        <v>0</v>
      </c>
      <c r="S39" s="80">
        <f>SUMIFS('декабрь 2024'!$G$5:$G$2311,'декабрь 2024'!$D$5:$D$2311,$B39,'декабрь 2024'!$J$5:$J$2311,S$1)</f>
        <v>0</v>
      </c>
      <c r="T39" s="80">
        <f>SUMIFS('декабрь 2024'!$G$5:$G$2311,'декабрь 2024'!$D$5:$D$2311,$B39,'декабрь 2024'!$J$5:$J$2311,T$1)</f>
        <v>1040</v>
      </c>
      <c r="U39" s="80">
        <f>SUMIFS('декабрь 2024'!$G$5:$G$2311,'декабрь 2024'!$D$5:$D$2311,$B39,'декабрь 2024'!$J$5:$J$2311,U$1)</f>
        <v>0</v>
      </c>
      <c r="V39" s="80">
        <f>SUMIFS('декабрь 2024'!$G$5:$G$2311,'декабрь 2024'!$D$5:$D$2311,$B39,'декабрь 2024'!$J$5:$J$2311,V$1)</f>
        <v>0</v>
      </c>
      <c r="W39" s="80">
        <f>SUMIFS('декабрь 2024'!$G$5:$G$2311,'декабрь 2024'!$D$5:$D$2311,$B39,'декабрь 2024'!$J$5:$J$2311,W$1)</f>
        <v>0</v>
      </c>
      <c r="X39" s="80">
        <f>SUMIFS('декабрь 2024'!$G$5:$G$2311,'декабрь 2024'!$D$5:$D$2311,$B39,'декабрь 2024'!$J$5:$J$2311,X$1)</f>
        <v>0</v>
      </c>
      <c r="Y39" s="80">
        <f>SUMIFS('декабрь 2024'!$G$5:$G$2311,'декабрь 2024'!$D$5:$D$2311,$B39,'декабрь 2024'!$J$5:$J$2311,Y$1)</f>
        <v>0</v>
      </c>
      <c r="Z39" s="80">
        <f>SUMIFS('декабрь 2024'!$G$5:$G$2311,'декабрь 2024'!$D$5:$D$2311,$B39,'декабрь 2024'!$J$5:$J$2311,Z$1)</f>
        <v>0</v>
      </c>
      <c r="AA39" s="80">
        <f>SUMIFS('декабрь 2024'!$G$5:$G$2311,'декабрь 2024'!$D$5:$D$2311,$B39,'декабрь 2024'!$J$5:$J$2311,AA$1)</f>
        <v>0</v>
      </c>
      <c r="AB39" s="80">
        <f>SUMIFS('декабрь 2024'!$G$5:$G$2311,'декабрь 2024'!$D$5:$D$2311,$B39,'декабрь 2024'!$J$5:$J$2311,AB$1)</f>
        <v>200</v>
      </c>
      <c r="AC39" s="80">
        <f>SUMIFS('декабрь 2024'!$G$5:$G$2311,'декабрь 2024'!$D$5:$D$2311,$B39,'декабрь 2024'!$J$5:$J$2311,AC$1)</f>
        <v>0</v>
      </c>
      <c r="AD39" s="80">
        <f>SUMIFS('декабрь 2024'!$G$5:$G$2311,'декабрь 2024'!$D$5:$D$2311,$B39,'декабрь 2024'!$J$5:$J$2311,AD$1)</f>
        <v>0</v>
      </c>
      <c r="AE39" s="80">
        <f>SUMIFS('декабрь 2024'!$G$5:$G$2311,'декабрь 2024'!$D$5:$D$2311,$B39,'декабрь 2024'!$J$5:$J$2311,AE$1)</f>
        <v>0</v>
      </c>
      <c r="AF39" s="80">
        <f>SUMIFS('декабрь 2024'!$G$5:$G$2311,'декабрь 2024'!$D$5:$D$2311,$B39,'декабрь 2024'!$J$5:$J$2311,AF$1)</f>
        <v>0</v>
      </c>
      <c r="AG39" s="80">
        <f>SUMIFS('декабрь 2024'!$G$5:$G$2311,'декабрь 2024'!$D$5:$D$2311,$B39,'декабрь 2024'!$J$5:$J$2311,AG$1)</f>
        <v>0</v>
      </c>
      <c r="AH39" s="80">
        <f>SUMIFS('декабрь 2024'!$G$5:$G$2311,'декабрь 2024'!$D$5:$D$2311,$B39,'декабрь 2024'!$J$5:$J$2311,AH$1)</f>
        <v>0</v>
      </c>
      <c r="AI39" s="21">
        <f t="shared" si="1"/>
        <v>3640</v>
      </c>
    </row>
    <row r="40" spans="2:35" ht="15" customHeight="1" x14ac:dyDescent="0.25">
      <c r="B40" s="150" t="s">
        <v>288</v>
      </c>
      <c r="C40" s="153">
        <v>25</v>
      </c>
      <c r="D40" s="80">
        <f>SUMIFS('декабрь 2024'!$G$5:$G$2311,'декабрь 2024'!$D$5:$D$2311,$B40,'декабрь 2024'!$J$5:$J$2311,D$1)</f>
        <v>0</v>
      </c>
      <c r="E40" s="80">
        <f>SUMIFS('декабрь 2024'!$G$5:$G$2311,'декабрь 2024'!$D$5:$D$2311,$B40,'декабрь 2024'!$J$5:$J$2311,E$1)</f>
        <v>0</v>
      </c>
      <c r="F40" s="80">
        <f>SUMIFS('декабрь 2024'!$G$5:$G$2311,'декабрь 2024'!$D$5:$D$2311,$B40,'декабрь 2024'!$J$5:$J$2311,F$1)</f>
        <v>0</v>
      </c>
      <c r="G40" s="80">
        <f>SUMIFS('декабрь 2024'!$G$5:$G$2311,'декабрь 2024'!$D$5:$D$2311,$B40,'декабрь 2024'!$J$5:$J$2311,G$1)</f>
        <v>0</v>
      </c>
      <c r="H40" s="80">
        <f>SUMIFS('декабрь 2024'!$G$5:$G$2311,'декабрь 2024'!$D$5:$D$2311,$B40,'декабрь 2024'!$J$5:$J$2311,H$1)</f>
        <v>0</v>
      </c>
      <c r="I40" s="80">
        <f>SUMIFS('декабрь 2024'!$G$5:$G$2311,'декабрь 2024'!$D$5:$D$2311,$B40,'декабрь 2024'!$J$5:$J$2311,I$1)</f>
        <v>0</v>
      </c>
      <c r="J40" s="80">
        <f>SUMIFS('декабрь 2024'!$G$5:$G$2311,'декабрь 2024'!$D$5:$D$2311,$B40,'декабрь 2024'!$J$5:$J$2311,J$1)</f>
        <v>0</v>
      </c>
      <c r="K40" s="80">
        <f>SUMIFS('декабрь 2024'!$G$5:$G$2311,'декабрь 2024'!$D$5:$D$2311,$B40,'декабрь 2024'!$J$5:$J$2311,K$1)</f>
        <v>0</v>
      </c>
      <c r="L40" s="80">
        <f>SUMIFS('декабрь 2024'!$G$5:$G$2311,'декабрь 2024'!$D$5:$D$2311,$B40,'декабрь 2024'!$J$5:$J$2311,L$1)</f>
        <v>0</v>
      </c>
      <c r="M40" s="80">
        <f>SUMIFS('декабрь 2024'!$G$5:$G$2311,'декабрь 2024'!$D$5:$D$2311,$B40,'декабрь 2024'!$J$5:$J$2311,M$1)</f>
        <v>0</v>
      </c>
      <c r="N40" s="80">
        <f>SUMIFS('декабрь 2024'!$G$5:$G$2311,'декабрь 2024'!$D$5:$D$2311,$B40,'декабрь 2024'!$J$5:$J$2311,N$1)</f>
        <v>0</v>
      </c>
      <c r="O40" s="80">
        <f>SUMIFS('декабрь 2024'!$G$5:$G$2311,'декабрь 2024'!$D$5:$D$2311,$B40,'декабрь 2024'!$J$5:$J$2311,O$1)</f>
        <v>0</v>
      </c>
      <c r="P40" s="80">
        <f>SUMIFS('декабрь 2024'!$G$5:$G$2311,'декабрь 2024'!$D$5:$D$2311,$B40,'декабрь 2024'!$J$5:$J$2311,P$1)</f>
        <v>0</v>
      </c>
      <c r="Q40" s="80">
        <f>SUMIFS('декабрь 2024'!$G$5:$G$2311,'декабрь 2024'!$D$5:$D$2311,$B40,'декабрь 2024'!$J$5:$J$2311,Q$1)</f>
        <v>0</v>
      </c>
      <c r="R40" s="80">
        <f>SUMIFS('декабрь 2024'!$G$5:$G$2311,'декабрь 2024'!$D$5:$D$2311,$B40,'декабрь 2024'!$J$5:$J$2311,R$1)</f>
        <v>0</v>
      </c>
      <c r="S40" s="80">
        <f>SUMIFS('декабрь 2024'!$G$5:$G$2311,'декабрь 2024'!$D$5:$D$2311,$B40,'декабрь 2024'!$J$5:$J$2311,S$1)</f>
        <v>0</v>
      </c>
      <c r="T40" s="80">
        <f>SUMIFS('декабрь 2024'!$G$5:$G$2311,'декабрь 2024'!$D$5:$D$2311,$B40,'декабрь 2024'!$J$5:$J$2311,T$1)</f>
        <v>0</v>
      </c>
      <c r="U40" s="80">
        <f>SUMIFS('декабрь 2024'!$G$5:$G$2311,'декабрь 2024'!$D$5:$D$2311,$B40,'декабрь 2024'!$J$5:$J$2311,U$1)</f>
        <v>0</v>
      </c>
      <c r="V40" s="80">
        <f>SUMIFS('декабрь 2024'!$G$5:$G$2311,'декабрь 2024'!$D$5:$D$2311,$B40,'декабрь 2024'!$J$5:$J$2311,V$1)</f>
        <v>0</v>
      </c>
      <c r="W40" s="80">
        <f>SUMIFS('декабрь 2024'!$G$5:$G$2311,'декабрь 2024'!$D$5:$D$2311,$B40,'декабрь 2024'!$J$5:$J$2311,W$1)</f>
        <v>0</v>
      </c>
      <c r="X40" s="80">
        <f>SUMIFS('декабрь 2024'!$G$5:$G$2311,'декабрь 2024'!$D$5:$D$2311,$B40,'декабрь 2024'!$J$5:$J$2311,X$1)</f>
        <v>0</v>
      </c>
      <c r="Y40" s="80">
        <f>SUMIFS('декабрь 2024'!$G$5:$G$2311,'декабрь 2024'!$D$5:$D$2311,$B40,'декабрь 2024'!$J$5:$J$2311,Y$1)</f>
        <v>0</v>
      </c>
      <c r="Z40" s="80">
        <f>SUMIFS('декабрь 2024'!$G$5:$G$2311,'декабрь 2024'!$D$5:$D$2311,$B40,'декабрь 2024'!$J$5:$J$2311,Z$1)</f>
        <v>0</v>
      </c>
      <c r="AA40" s="80">
        <f>SUMIFS('декабрь 2024'!$G$5:$G$2311,'декабрь 2024'!$D$5:$D$2311,$B40,'декабрь 2024'!$J$5:$J$2311,AA$1)</f>
        <v>0</v>
      </c>
      <c r="AB40" s="80">
        <f>SUMIFS('декабрь 2024'!$G$5:$G$2311,'декабрь 2024'!$D$5:$D$2311,$B40,'декабрь 2024'!$J$5:$J$2311,AB$1)</f>
        <v>0</v>
      </c>
      <c r="AC40" s="80">
        <f>SUMIFS('декабрь 2024'!$G$5:$G$2311,'декабрь 2024'!$D$5:$D$2311,$B40,'декабрь 2024'!$J$5:$J$2311,AC$1)</f>
        <v>0</v>
      </c>
      <c r="AD40" s="80">
        <f>SUMIFS('декабрь 2024'!$G$5:$G$2311,'декабрь 2024'!$D$5:$D$2311,$B40,'декабрь 2024'!$J$5:$J$2311,AD$1)</f>
        <v>0</v>
      </c>
      <c r="AE40" s="80">
        <f>SUMIFS('декабрь 2024'!$G$5:$G$2311,'декабрь 2024'!$D$5:$D$2311,$B40,'декабрь 2024'!$J$5:$J$2311,AE$1)</f>
        <v>0</v>
      </c>
      <c r="AF40" s="80">
        <f>SUMIFS('декабрь 2024'!$G$5:$G$2311,'декабрь 2024'!$D$5:$D$2311,$B40,'декабрь 2024'!$J$5:$J$2311,AF$1)</f>
        <v>0</v>
      </c>
      <c r="AG40" s="80">
        <f>SUMIFS('декабрь 2024'!$G$5:$G$2311,'декабрь 2024'!$D$5:$D$2311,$B40,'декабрь 2024'!$J$5:$J$2311,AG$1)</f>
        <v>0</v>
      </c>
      <c r="AH40" s="80">
        <f>SUMIFS('декабрь 2024'!$G$5:$G$2311,'декабрь 2024'!$D$5:$D$2311,$B40,'декабрь 2024'!$J$5:$J$2311,AH$1)</f>
        <v>0</v>
      </c>
      <c r="AI40" s="21">
        <f t="shared" si="1"/>
        <v>0</v>
      </c>
    </row>
    <row r="41" spans="2:35" ht="15" customHeight="1" x14ac:dyDescent="0.25">
      <c r="B41" s="150" t="s">
        <v>290</v>
      </c>
      <c r="C41" s="149">
        <v>22.68</v>
      </c>
      <c r="D41" s="80">
        <f>SUMIFS('декабрь 2024'!$G$5:$G$2311,'декабрь 2024'!$D$5:$D$2311,$B41,'декабрь 2024'!$J$5:$J$2311,D$1)</f>
        <v>0</v>
      </c>
      <c r="E41" s="80">
        <f>SUMIFS('декабрь 2024'!$G$5:$G$2311,'декабрь 2024'!$D$5:$D$2311,$B41,'декабрь 2024'!$J$5:$J$2311,E$1)</f>
        <v>0</v>
      </c>
      <c r="F41" s="80">
        <f>SUMIFS('декабрь 2024'!$G$5:$G$2311,'декабрь 2024'!$D$5:$D$2311,$B41,'декабрь 2024'!$J$5:$J$2311,F$1)</f>
        <v>0</v>
      </c>
      <c r="G41" s="80">
        <f>SUMIFS('декабрь 2024'!$G$5:$G$2311,'декабрь 2024'!$D$5:$D$2311,$B41,'декабрь 2024'!$J$5:$J$2311,G$1)</f>
        <v>0</v>
      </c>
      <c r="H41" s="80">
        <f>SUMIFS('декабрь 2024'!$G$5:$G$2311,'декабрь 2024'!$D$5:$D$2311,$B41,'декабрь 2024'!$J$5:$J$2311,H$1)</f>
        <v>0</v>
      </c>
      <c r="I41" s="80">
        <f>SUMIFS('декабрь 2024'!$G$5:$G$2311,'декабрь 2024'!$D$5:$D$2311,$B41,'декабрь 2024'!$J$5:$J$2311,I$1)</f>
        <v>0</v>
      </c>
      <c r="J41" s="80">
        <f>SUMIFS('декабрь 2024'!$G$5:$G$2311,'декабрь 2024'!$D$5:$D$2311,$B41,'декабрь 2024'!$J$5:$J$2311,J$1)</f>
        <v>0</v>
      </c>
      <c r="K41" s="80">
        <f>SUMIFS('декабрь 2024'!$G$5:$G$2311,'декабрь 2024'!$D$5:$D$2311,$B41,'декабрь 2024'!$J$5:$J$2311,K$1)</f>
        <v>0</v>
      </c>
      <c r="L41" s="80">
        <f>SUMIFS('декабрь 2024'!$G$5:$G$2311,'декабрь 2024'!$D$5:$D$2311,$B41,'декабрь 2024'!$J$5:$J$2311,L$1)</f>
        <v>0</v>
      </c>
      <c r="M41" s="80">
        <f>SUMIFS('декабрь 2024'!$G$5:$G$2311,'декабрь 2024'!$D$5:$D$2311,$B41,'декабрь 2024'!$J$5:$J$2311,M$1)</f>
        <v>0</v>
      </c>
      <c r="N41" s="80">
        <f>SUMIFS('декабрь 2024'!$G$5:$G$2311,'декабрь 2024'!$D$5:$D$2311,$B41,'декабрь 2024'!$J$5:$J$2311,N$1)</f>
        <v>0</v>
      </c>
      <c r="O41" s="80">
        <f>SUMIFS('декабрь 2024'!$G$5:$G$2311,'декабрь 2024'!$D$5:$D$2311,$B41,'декабрь 2024'!$J$5:$J$2311,O$1)</f>
        <v>0</v>
      </c>
      <c r="P41" s="80">
        <f>SUMIFS('декабрь 2024'!$G$5:$G$2311,'декабрь 2024'!$D$5:$D$2311,$B41,'декабрь 2024'!$J$5:$J$2311,P$1)</f>
        <v>0</v>
      </c>
      <c r="Q41" s="80">
        <f>SUMIFS('декабрь 2024'!$G$5:$G$2311,'декабрь 2024'!$D$5:$D$2311,$B41,'декабрь 2024'!$J$5:$J$2311,Q$1)</f>
        <v>0</v>
      </c>
      <c r="R41" s="80">
        <f>SUMIFS('декабрь 2024'!$G$5:$G$2311,'декабрь 2024'!$D$5:$D$2311,$B41,'декабрь 2024'!$J$5:$J$2311,R$1)</f>
        <v>0</v>
      </c>
      <c r="S41" s="80">
        <f>SUMIFS('декабрь 2024'!$G$5:$G$2311,'декабрь 2024'!$D$5:$D$2311,$B41,'декабрь 2024'!$J$5:$J$2311,S$1)</f>
        <v>0</v>
      </c>
      <c r="T41" s="80">
        <f>SUMIFS('декабрь 2024'!$G$5:$G$2311,'декабрь 2024'!$D$5:$D$2311,$B41,'декабрь 2024'!$J$5:$J$2311,T$1)</f>
        <v>0</v>
      </c>
      <c r="U41" s="80">
        <f>SUMIFS('декабрь 2024'!$G$5:$G$2311,'декабрь 2024'!$D$5:$D$2311,$B41,'декабрь 2024'!$J$5:$J$2311,U$1)</f>
        <v>0</v>
      </c>
      <c r="V41" s="80">
        <f>SUMIFS('декабрь 2024'!$G$5:$G$2311,'декабрь 2024'!$D$5:$D$2311,$B41,'декабрь 2024'!$J$5:$J$2311,V$1)</f>
        <v>0</v>
      </c>
      <c r="W41" s="80">
        <f>SUMIFS('декабрь 2024'!$G$5:$G$2311,'декабрь 2024'!$D$5:$D$2311,$B41,'декабрь 2024'!$J$5:$J$2311,W$1)</f>
        <v>0</v>
      </c>
      <c r="X41" s="80">
        <f>SUMIFS('декабрь 2024'!$G$5:$G$2311,'декабрь 2024'!$D$5:$D$2311,$B41,'декабрь 2024'!$J$5:$J$2311,X$1)</f>
        <v>0</v>
      </c>
      <c r="Y41" s="80">
        <f>SUMIFS('декабрь 2024'!$G$5:$G$2311,'декабрь 2024'!$D$5:$D$2311,$B41,'декабрь 2024'!$J$5:$J$2311,Y$1)</f>
        <v>0</v>
      </c>
      <c r="Z41" s="80">
        <f>SUMIFS('декабрь 2024'!$G$5:$G$2311,'декабрь 2024'!$D$5:$D$2311,$B41,'декабрь 2024'!$J$5:$J$2311,Z$1)</f>
        <v>0</v>
      </c>
      <c r="AA41" s="80">
        <f>SUMIFS('декабрь 2024'!$G$5:$G$2311,'декабрь 2024'!$D$5:$D$2311,$B41,'декабрь 2024'!$J$5:$J$2311,AA$1)</f>
        <v>0</v>
      </c>
      <c r="AB41" s="80">
        <f>SUMIFS('декабрь 2024'!$G$5:$G$2311,'декабрь 2024'!$D$5:$D$2311,$B41,'декабрь 2024'!$J$5:$J$2311,AB$1)</f>
        <v>0</v>
      </c>
      <c r="AC41" s="80">
        <f>SUMIFS('декабрь 2024'!$G$5:$G$2311,'декабрь 2024'!$D$5:$D$2311,$B41,'декабрь 2024'!$J$5:$J$2311,AC$1)</f>
        <v>0</v>
      </c>
      <c r="AD41" s="80">
        <f>SUMIFS('декабрь 2024'!$G$5:$G$2311,'декабрь 2024'!$D$5:$D$2311,$B41,'декабрь 2024'!$J$5:$J$2311,AD$1)</f>
        <v>0</v>
      </c>
      <c r="AE41" s="80">
        <f>SUMIFS('декабрь 2024'!$G$5:$G$2311,'декабрь 2024'!$D$5:$D$2311,$B41,'декабрь 2024'!$J$5:$J$2311,AE$1)</f>
        <v>0</v>
      </c>
      <c r="AF41" s="80">
        <f>SUMIFS('декабрь 2024'!$G$5:$G$2311,'декабрь 2024'!$D$5:$D$2311,$B41,'декабрь 2024'!$J$5:$J$2311,AF$1)</f>
        <v>0</v>
      </c>
      <c r="AG41" s="80">
        <f>SUMIFS('декабрь 2024'!$G$5:$G$2311,'декабрь 2024'!$D$5:$D$2311,$B41,'декабрь 2024'!$J$5:$J$2311,AG$1)</f>
        <v>0</v>
      </c>
      <c r="AH41" s="80">
        <f>SUMIFS('декабрь 2024'!$G$5:$G$2311,'декабрь 2024'!$D$5:$D$2311,$B41,'декабрь 2024'!$J$5:$J$2311,AH$1)</f>
        <v>0</v>
      </c>
      <c r="AI41" s="21">
        <f t="shared" si="1"/>
        <v>0</v>
      </c>
    </row>
    <row r="42" spans="2:35" ht="15" customHeight="1" x14ac:dyDescent="0.25">
      <c r="B42" s="154" t="s">
        <v>292</v>
      </c>
      <c r="C42" s="151">
        <v>25</v>
      </c>
      <c r="D42" s="80">
        <f>SUMIFS('декабрь 2024'!$G$5:$G$2311,'декабрь 2024'!$D$5:$D$2311,$B42,'декабрь 2024'!$J$5:$J$2311,D$1)</f>
        <v>0</v>
      </c>
      <c r="E42" s="80">
        <f>SUMIFS('декабрь 2024'!$G$5:$G$2311,'декабрь 2024'!$D$5:$D$2311,$B42,'декабрь 2024'!$J$5:$J$2311,E$1)</f>
        <v>0</v>
      </c>
      <c r="F42" s="80">
        <f>SUMIFS('декабрь 2024'!$G$5:$G$2311,'декабрь 2024'!$D$5:$D$2311,$B42,'декабрь 2024'!$J$5:$J$2311,F$1)</f>
        <v>0</v>
      </c>
      <c r="G42" s="80">
        <f>SUMIFS('декабрь 2024'!$G$5:$G$2311,'декабрь 2024'!$D$5:$D$2311,$B42,'декабрь 2024'!$J$5:$J$2311,G$1)</f>
        <v>0</v>
      </c>
      <c r="H42" s="80">
        <f>SUMIFS('декабрь 2024'!$G$5:$G$2311,'декабрь 2024'!$D$5:$D$2311,$B42,'декабрь 2024'!$J$5:$J$2311,H$1)</f>
        <v>0</v>
      </c>
      <c r="I42" s="80">
        <f>SUMIFS('декабрь 2024'!$G$5:$G$2311,'декабрь 2024'!$D$5:$D$2311,$B42,'декабрь 2024'!$J$5:$J$2311,I$1)</f>
        <v>0</v>
      </c>
      <c r="J42" s="80">
        <f>SUMIFS('декабрь 2024'!$G$5:$G$2311,'декабрь 2024'!$D$5:$D$2311,$B42,'декабрь 2024'!$J$5:$J$2311,J$1)</f>
        <v>0</v>
      </c>
      <c r="K42" s="80">
        <f>SUMIFS('декабрь 2024'!$G$5:$G$2311,'декабрь 2024'!$D$5:$D$2311,$B42,'декабрь 2024'!$J$5:$J$2311,K$1)</f>
        <v>0</v>
      </c>
      <c r="L42" s="80">
        <f>SUMIFS('декабрь 2024'!$G$5:$G$2311,'декабрь 2024'!$D$5:$D$2311,$B42,'декабрь 2024'!$J$5:$J$2311,L$1)</f>
        <v>0</v>
      </c>
      <c r="M42" s="80">
        <f>SUMIFS('декабрь 2024'!$G$5:$G$2311,'декабрь 2024'!$D$5:$D$2311,$B42,'декабрь 2024'!$J$5:$J$2311,M$1)</f>
        <v>0</v>
      </c>
      <c r="N42" s="80">
        <f>SUMIFS('декабрь 2024'!$G$5:$G$2311,'декабрь 2024'!$D$5:$D$2311,$B42,'декабрь 2024'!$J$5:$J$2311,N$1)</f>
        <v>0</v>
      </c>
      <c r="O42" s="80">
        <f>SUMIFS('декабрь 2024'!$G$5:$G$2311,'декабрь 2024'!$D$5:$D$2311,$B42,'декабрь 2024'!$J$5:$J$2311,O$1)</f>
        <v>0</v>
      </c>
      <c r="P42" s="80">
        <f>SUMIFS('декабрь 2024'!$G$5:$G$2311,'декабрь 2024'!$D$5:$D$2311,$B42,'декабрь 2024'!$J$5:$J$2311,P$1)</f>
        <v>0</v>
      </c>
      <c r="Q42" s="80">
        <f>SUMIFS('декабрь 2024'!$G$5:$G$2311,'декабрь 2024'!$D$5:$D$2311,$B42,'декабрь 2024'!$J$5:$J$2311,Q$1)</f>
        <v>0</v>
      </c>
      <c r="R42" s="80">
        <f>SUMIFS('декабрь 2024'!$G$5:$G$2311,'декабрь 2024'!$D$5:$D$2311,$B42,'декабрь 2024'!$J$5:$J$2311,R$1)</f>
        <v>0</v>
      </c>
      <c r="S42" s="80">
        <f>SUMIFS('декабрь 2024'!$G$5:$G$2311,'декабрь 2024'!$D$5:$D$2311,$B42,'декабрь 2024'!$J$5:$J$2311,S$1)</f>
        <v>0</v>
      </c>
      <c r="T42" s="80">
        <f>SUMIFS('декабрь 2024'!$G$5:$G$2311,'декабрь 2024'!$D$5:$D$2311,$B42,'декабрь 2024'!$J$5:$J$2311,T$1)</f>
        <v>0</v>
      </c>
      <c r="U42" s="80">
        <f>SUMIFS('декабрь 2024'!$G$5:$G$2311,'декабрь 2024'!$D$5:$D$2311,$B42,'декабрь 2024'!$J$5:$J$2311,U$1)</f>
        <v>0</v>
      </c>
      <c r="V42" s="80">
        <f>SUMIFS('декабрь 2024'!$G$5:$G$2311,'декабрь 2024'!$D$5:$D$2311,$B42,'декабрь 2024'!$J$5:$J$2311,V$1)</f>
        <v>0</v>
      </c>
      <c r="W42" s="80">
        <f>SUMIFS('декабрь 2024'!$G$5:$G$2311,'декабрь 2024'!$D$5:$D$2311,$B42,'декабрь 2024'!$J$5:$J$2311,W$1)</f>
        <v>0</v>
      </c>
      <c r="X42" s="80">
        <f>SUMIFS('декабрь 2024'!$G$5:$G$2311,'декабрь 2024'!$D$5:$D$2311,$B42,'декабрь 2024'!$J$5:$J$2311,X$1)</f>
        <v>0</v>
      </c>
      <c r="Y42" s="80">
        <f>SUMIFS('декабрь 2024'!$G$5:$G$2311,'декабрь 2024'!$D$5:$D$2311,$B42,'декабрь 2024'!$J$5:$J$2311,Y$1)</f>
        <v>0</v>
      </c>
      <c r="Z42" s="80">
        <f>SUMIFS('декабрь 2024'!$G$5:$G$2311,'декабрь 2024'!$D$5:$D$2311,$B42,'декабрь 2024'!$J$5:$J$2311,Z$1)</f>
        <v>0</v>
      </c>
      <c r="AA42" s="80">
        <f>SUMIFS('декабрь 2024'!$G$5:$G$2311,'декабрь 2024'!$D$5:$D$2311,$B42,'декабрь 2024'!$J$5:$J$2311,AA$1)</f>
        <v>0</v>
      </c>
      <c r="AB42" s="80">
        <f>SUMIFS('декабрь 2024'!$G$5:$G$2311,'декабрь 2024'!$D$5:$D$2311,$B42,'декабрь 2024'!$J$5:$J$2311,AB$1)</f>
        <v>0</v>
      </c>
      <c r="AC42" s="80">
        <f>SUMIFS('декабрь 2024'!$G$5:$G$2311,'декабрь 2024'!$D$5:$D$2311,$B42,'декабрь 2024'!$J$5:$J$2311,AC$1)</f>
        <v>0</v>
      </c>
      <c r="AD42" s="80">
        <f>SUMIFS('декабрь 2024'!$G$5:$G$2311,'декабрь 2024'!$D$5:$D$2311,$B42,'декабрь 2024'!$J$5:$J$2311,AD$1)</f>
        <v>0</v>
      </c>
      <c r="AE42" s="80">
        <f>SUMIFS('декабрь 2024'!$G$5:$G$2311,'декабрь 2024'!$D$5:$D$2311,$B42,'декабрь 2024'!$J$5:$J$2311,AE$1)</f>
        <v>0</v>
      </c>
      <c r="AF42" s="80">
        <f>SUMIFS('декабрь 2024'!$G$5:$G$2311,'декабрь 2024'!$D$5:$D$2311,$B42,'декабрь 2024'!$J$5:$J$2311,AF$1)</f>
        <v>0</v>
      </c>
      <c r="AG42" s="80">
        <f>SUMIFS('декабрь 2024'!$G$5:$G$2311,'декабрь 2024'!$D$5:$D$2311,$B42,'декабрь 2024'!$J$5:$J$2311,AG$1)</f>
        <v>0</v>
      </c>
      <c r="AH42" s="80">
        <f>SUMIFS('декабрь 2024'!$G$5:$G$2311,'декабрь 2024'!$D$5:$D$2311,$B42,'декабрь 2024'!$J$5:$J$2311,AH$1)</f>
        <v>0</v>
      </c>
      <c r="AI42" s="21">
        <f t="shared" si="1"/>
        <v>0</v>
      </c>
    </row>
    <row r="43" spans="2:35" ht="15" customHeight="1" x14ac:dyDescent="0.25">
      <c r="B43" s="150" t="s">
        <v>294</v>
      </c>
      <c r="C43" s="153">
        <v>25</v>
      </c>
      <c r="D43" s="80">
        <f>SUMIFS('декабрь 2024'!$G$5:$G$2311,'декабрь 2024'!$D$5:$D$2311,$B43,'декабрь 2024'!$J$5:$J$2311,D$1)</f>
        <v>0</v>
      </c>
      <c r="E43" s="80">
        <f>SUMIFS('декабрь 2024'!$G$5:$G$2311,'декабрь 2024'!$D$5:$D$2311,$B43,'декабрь 2024'!$J$5:$J$2311,E$1)</f>
        <v>0</v>
      </c>
      <c r="F43" s="80">
        <f>SUMIFS('декабрь 2024'!$G$5:$G$2311,'декабрь 2024'!$D$5:$D$2311,$B43,'декабрь 2024'!$J$5:$J$2311,F$1)</f>
        <v>0</v>
      </c>
      <c r="G43" s="80">
        <f>SUMIFS('декабрь 2024'!$G$5:$G$2311,'декабрь 2024'!$D$5:$D$2311,$B43,'декабрь 2024'!$J$5:$J$2311,G$1)</f>
        <v>0</v>
      </c>
      <c r="H43" s="80">
        <f>SUMIFS('декабрь 2024'!$G$5:$G$2311,'декабрь 2024'!$D$5:$D$2311,$B43,'декабрь 2024'!$J$5:$J$2311,H$1)</f>
        <v>0</v>
      </c>
      <c r="I43" s="80">
        <f>SUMIFS('декабрь 2024'!$G$5:$G$2311,'декабрь 2024'!$D$5:$D$2311,$B43,'декабрь 2024'!$J$5:$J$2311,I$1)</f>
        <v>0</v>
      </c>
      <c r="J43" s="80">
        <f>SUMIFS('декабрь 2024'!$G$5:$G$2311,'декабрь 2024'!$D$5:$D$2311,$B43,'декабрь 2024'!$J$5:$J$2311,J$1)</f>
        <v>0</v>
      </c>
      <c r="K43" s="80">
        <f>SUMIFS('декабрь 2024'!$G$5:$G$2311,'декабрь 2024'!$D$5:$D$2311,$B43,'декабрь 2024'!$J$5:$J$2311,K$1)</f>
        <v>0</v>
      </c>
      <c r="L43" s="80">
        <f>SUMIFS('декабрь 2024'!$G$5:$G$2311,'декабрь 2024'!$D$5:$D$2311,$B43,'декабрь 2024'!$J$5:$J$2311,L$1)</f>
        <v>0</v>
      </c>
      <c r="M43" s="80">
        <f>SUMIFS('декабрь 2024'!$G$5:$G$2311,'декабрь 2024'!$D$5:$D$2311,$B43,'декабрь 2024'!$J$5:$J$2311,M$1)</f>
        <v>0</v>
      </c>
      <c r="N43" s="80">
        <f>SUMIFS('декабрь 2024'!$G$5:$G$2311,'декабрь 2024'!$D$5:$D$2311,$B43,'декабрь 2024'!$J$5:$J$2311,N$1)</f>
        <v>0</v>
      </c>
      <c r="O43" s="80">
        <f>SUMIFS('декабрь 2024'!$G$5:$G$2311,'декабрь 2024'!$D$5:$D$2311,$B43,'декабрь 2024'!$J$5:$J$2311,O$1)</f>
        <v>0</v>
      </c>
      <c r="P43" s="80">
        <f>SUMIFS('декабрь 2024'!$G$5:$G$2311,'декабрь 2024'!$D$5:$D$2311,$B43,'декабрь 2024'!$J$5:$J$2311,P$1)</f>
        <v>0</v>
      </c>
      <c r="Q43" s="80">
        <f>SUMIFS('декабрь 2024'!$G$5:$G$2311,'декабрь 2024'!$D$5:$D$2311,$B43,'декабрь 2024'!$J$5:$J$2311,Q$1)</f>
        <v>0</v>
      </c>
      <c r="R43" s="80">
        <f>SUMIFS('декабрь 2024'!$G$5:$G$2311,'декабрь 2024'!$D$5:$D$2311,$B43,'декабрь 2024'!$J$5:$J$2311,R$1)</f>
        <v>0</v>
      </c>
      <c r="S43" s="80">
        <f>SUMIFS('декабрь 2024'!$G$5:$G$2311,'декабрь 2024'!$D$5:$D$2311,$B43,'декабрь 2024'!$J$5:$J$2311,S$1)</f>
        <v>0</v>
      </c>
      <c r="T43" s="80">
        <f>SUMIFS('декабрь 2024'!$G$5:$G$2311,'декабрь 2024'!$D$5:$D$2311,$B43,'декабрь 2024'!$J$5:$J$2311,T$1)</f>
        <v>0</v>
      </c>
      <c r="U43" s="80">
        <f>SUMIFS('декабрь 2024'!$G$5:$G$2311,'декабрь 2024'!$D$5:$D$2311,$B43,'декабрь 2024'!$J$5:$J$2311,U$1)</f>
        <v>0</v>
      </c>
      <c r="V43" s="80">
        <f>SUMIFS('декабрь 2024'!$G$5:$G$2311,'декабрь 2024'!$D$5:$D$2311,$B43,'декабрь 2024'!$J$5:$J$2311,V$1)</f>
        <v>0</v>
      </c>
      <c r="W43" s="80">
        <f>SUMIFS('декабрь 2024'!$G$5:$G$2311,'декабрь 2024'!$D$5:$D$2311,$B43,'декабрь 2024'!$J$5:$J$2311,W$1)</f>
        <v>0</v>
      </c>
      <c r="X43" s="80">
        <f>SUMIFS('декабрь 2024'!$G$5:$G$2311,'декабрь 2024'!$D$5:$D$2311,$B43,'декабрь 2024'!$J$5:$J$2311,X$1)</f>
        <v>0</v>
      </c>
      <c r="Y43" s="80">
        <f>SUMIFS('декабрь 2024'!$G$5:$G$2311,'декабрь 2024'!$D$5:$D$2311,$B43,'декабрь 2024'!$J$5:$J$2311,Y$1)</f>
        <v>0</v>
      </c>
      <c r="Z43" s="80">
        <f>SUMIFS('декабрь 2024'!$G$5:$G$2311,'декабрь 2024'!$D$5:$D$2311,$B43,'декабрь 2024'!$J$5:$J$2311,Z$1)</f>
        <v>0</v>
      </c>
      <c r="AA43" s="80">
        <f>SUMIFS('декабрь 2024'!$G$5:$G$2311,'декабрь 2024'!$D$5:$D$2311,$B43,'декабрь 2024'!$J$5:$J$2311,AA$1)</f>
        <v>0</v>
      </c>
      <c r="AB43" s="80">
        <f>SUMIFS('декабрь 2024'!$G$5:$G$2311,'декабрь 2024'!$D$5:$D$2311,$B43,'декабрь 2024'!$J$5:$J$2311,AB$1)</f>
        <v>0</v>
      </c>
      <c r="AC43" s="80">
        <f>SUMIFS('декабрь 2024'!$G$5:$G$2311,'декабрь 2024'!$D$5:$D$2311,$B43,'декабрь 2024'!$J$5:$J$2311,AC$1)</f>
        <v>0</v>
      </c>
      <c r="AD43" s="80">
        <f>SUMIFS('декабрь 2024'!$G$5:$G$2311,'декабрь 2024'!$D$5:$D$2311,$B43,'декабрь 2024'!$J$5:$J$2311,AD$1)</f>
        <v>0</v>
      </c>
      <c r="AE43" s="80">
        <f>SUMIFS('декабрь 2024'!$G$5:$G$2311,'декабрь 2024'!$D$5:$D$2311,$B43,'декабрь 2024'!$J$5:$J$2311,AE$1)</f>
        <v>0</v>
      </c>
      <c r="AF43" s="80">
        <f>SUMIFS('декабрь 2024'!$G$5:$G$2311,'декабрь 2024'!$D$5:$D$2311,$B43,'декабрь 2024'!$J$5:$J$2311,AF$1)</f>
        <v>0</v>
      </c>
      <c r="AG43" s="80">
        <f>SUMIFS('декабрь 2024'!$G$5:$G$2311,'декабрь 2024'!$D$5:$D$2311,$B43,'декабрь 2024'!$J$5:$J$2311,AG$1)</f>
        <v>0</v>
      </c>
      <c r="AH43" s="80">
        <f>SUMIFS('декабрь 2024'!$G$5:$G$2311,'декабрь 2024'!$D$5:$D$2311,$B43,'декабрь 2024'!$J$5:$J$2311,AH$1)</f>
        <v>0</v>
      </c>
      <c r="AI43" s="21">
        <f t="shared" si="1"/>
        <v>0</v>
      </c>
    </row>
    <row r="44" spans="2:35" ht="15" customHeight="1" x14ac:dyDescent="0.25">
      <c r="B44" s="154" t="s">
        <v>468</v>
      </c>
      <c r="C44" s="170">
        <v>25</v>
      </c>
      <c r="D44" s="80">
        <f>SUMIFS('декабрь 2024'!$G$5:$G$2311,'декабрь 2024'!$D$5:$D$2311,$B44,'декабрь 2024'!$J$5:$J$2311,D$1)</f>
        <v>0</v>
      </c>
      <c r="E44" s="80">
        <f>SUMIFS('декабрь 2024'!$G$5:$G$2311,'декабрь 2024'!$D$5:$D$2311,$B44,'декабрь 2024'!$J$5:$J$2311,E$1)</f>
        <v>0</v>
      </c>
      <c r="F44" s="80">
        <f>SUMIFS('декабрь 2024'!$G$5:$G$2311,'декабрь 2024'!$D$5:$D$2311,$B44,'декабрь 2024'!$J$5:$J$2311,F$1)</f>
        <v>0</v>
      </c>
      <c r="G44" s="80">
        <f>SUMIFS('декабрь 2024'!$G$5:$G$2311,'декабрь 2024'!$D$5:$D$2311,$B44,'декабрь 2024'!$J$5:$J$2311,G$1)</f>
        <v>0</v>
      </c>
      <c r="H44" s="80">
        <f>SUMIFS('декабрь 2024'!$G$5:$G$2311,'декабрь 2024'!$D$5:$D$2311,$B44,'декабрь 2024'!$J$5:$J$2311,H$1)</f>
        <v>0</v>
      </c>
      <c r="I44" s="80">
        <f>SUMIFS('декабрь 2024'!$G$5:$G$2311,'декабрь 2024'!$D$5:$D$2311,$B44,'декабрь 2024'!$J$5:$J$2311,I$1)</f>
        <v>0</v>
      </c>
      <c r="J44" s="80">
        <f>SUMIFS('декабрь 2024'!$G$5:$G$2311,'декабрь 2024'!$D$5:$D$2311,$B44,'декабрь 2024'!$J$5:$J$2311,J$1)</f>
        <v>0</v>
      </c>
      <c r="K44" s="80">
        <f>SUMIFS('декабрь 2024'!$G$5:$G$2311,'декабрь 2024'!$D$5:$D$2311,$B44,'декабрь 2024'!$J$5:$J$2311,K$1)</f>
        <v>0</v>
      </c>
      <c r="L44" s="80">
        <f>SUMIFS('декабрь 2024'!$G$5:$G$2311,'декабрь 2024'!$D$5:$D$2311,$B44,'декабрь 2024'!$J$5:$J$2311,L$1)</f>
        <v>0</v>
      </c>
      <c r="M44" s="80">
        <f>SUMIFS('декабрь 2024'!$G$5:$G$2311,'декабрь 2024'!$D$5:$D$2311,$B44,'декабрь 2024'!$J$5:$J$2311,M$1)</f>
        <v>0</v>
      </c>
      <c r="N44" s="80">
        <f>SUMIFS('декабрь 2024'!$G$5:$G$2311,'декабрь 2024'!$D$5:$D$2311,$B44,'декабрь 2024'!$J$5:$J$2311,N$1)</f>
        <v>0</v>
      </c>
      <c r="O44" s="80">
        <f>SUMIFS('декабрь 2024'!$G$5:$G$2311,'декабрь 2024'!$D$5:$D$2311,$B44,'декабрь 2024'!$J$5:$J$2311,O$1)</f>
        <v>0</v>
      </c>
      <c r="P44" s="80">
        <f>SUMIFS('декабрь 2024'!$G$5:$G$2311,'декабрь 2024'!$D$5:$D$2311,$B44,'декабрь 2024'!$J$5:$J$2311,P$1)</f>
        <v>0</v>
      </c>
      <c r="Q44" s="80">
        <f>SUMIFS('декабрь 2024'!$G$5:$G$2311,'декабрь 2024'!$D$5:$D$2311,$B44,'декабрь 2024'!$J$5:$J$2311,Q$1)</f>
        <v>0</v>
      </c>
      <c r="R44" s="80">
        <f>SUMIFS('декабрь 2024'!$G$5:$G$2311,'декабрь 2024'!$D$5:$D$2311,$B44,'декабрь 2024'!$J$5:$J$2311,R$1)</f>
        <v>0</v>
      </c>
      <c r="S44" s="80">
        <f>SUMIFS('декабрь 2024'!$G$5:$G$2311,'декабрь 2024'!$D$5:$D$2311,$B44,'декабрь 2024'!$J$5:$J$2311,S$1)</f>
        <v>0</v>
      </c>
      <c r="T44" s="80">
        <f>SUMIFS('декабрь 2024'!$G$5:$G$2311,'декабрь 2024'!$D$5:$D$2311,$B44,'декабрь 2024'!$J$5:$J$2311,T$1)</f>
        <v>0</v>
      </c>
      <c r="U44" s="80">
        <f>SUMIFS('декабрь 2024'!$G$5:$G$2311,'декабрь 2024'!$D$5:$D$2311,$B44,'декабрь 2024'!$J$5:$J$2311,U$1)</f>
        <v>0</v>
      </c>
      <c r="V44" s="80">
        <f>SUMIFS('декабрь 2024'!$G$5:$G$2311,'декабрь 2024'!$D$5:$D$2311,$B44,'декабрь 2024'!$J$5:$J$2311,V$1)</f>
        <v>0</v>
      </c>
      <c r="W44" s="80">
        <f>SUMIFS('декабрь 2024'!$G$5:$G$2311,'декабрь 2024'!$D$5:$D$2311,$B44,'декабрь 2024'!$J$5:$J$2311,W$1)</f>
        <v>0</v>
      </c>
      <c r="X44" s="80">
        <f>SUMIFS('декабрь 2024'!$G$5:$G$2311,'декабрь 2024'!$D$5:$D$2311,$B44,'декабрь 2024'!$J$5:$J$2311,X$1)</f>
        <v>0</v>
      </c>
      <c r="Y44" s="80">
        <f>SUMIFS('декабрь 2024'!$G$5:$G$2311,'декабрь 2024'!$D$5:$D$2311,$B44,'декабрь 2024'!$J$5:$J$2311,Y$1)</f>
        <v>0</v>
      </c>
      <c r="Z44" s="80">
        <f>SUMIFS('декабрь 2024'!$G$5:$G$2311,'декабрь 2024'!$D$5:$D$2311,$B44,'декабрь 2024'!$J$5:$J$2311,Z$1)</f>
        <v>0</v>
      </c>
      <c r="AA44" s="80">
        <f>SUMIFS('декабрь 2024'!$G$5:$G$2311,'декабрь 2024'!$D$5:$D$2311,$B44,'декабрь 2024'!$J$5:$J$2311,AA$1)</f>
        <v>0</v>
      </c>
      <c r="AB44" s="80">
        <f>SUMIFS('декабрь 2024'!$G$5:$G$2311,'декабрь 2024'!$D$5:$D$2311,$B44,'декабрь 2024'!$J$5:$J$2311,AB$1)</f>
        <v>0</v>
      </c>
      <c r="AC44" s="80">
        <f>SUMIFS('декабрь 2024'!$G$5:$G$2311,'декабрь 2024'!$D$5:$D$2311,$B44,'декабрь 2024'!$J$5:$J$2311,AC$1)</f>
        <v>0</v>
      </c>
      <c r="AD44" s="80">
        <f>SUMIFS('декабрь 2024'!$G$5:$G$2311,'декабрь 2024'!$D$5:$D$2311,$B44,'декабрь 2024'!$J$5:$J$2311,AD$1)</f>
        <v>0</v>
      </c>
      <c r="AE44" s="80">
        <f>SUMIFS('декабрь 2024'!$G$5:$G$2311,'декабрь 2024'!$D$5:$D$2311,$B44,'декабрь 2024'!$J$5:$J$2311,AE$1)</f>
        <v>0</v>
      </c>
      <c r="AF44" s="80">
        <f>SUMIFS('декабрь 2024'!$G$5:$G$2311,'декабрь 2024'!$D$5:$D$2311,$B44,'декабрь 2024'!$J$5:$J$2311,AF$1)</f>
        <v>0</v>
      </c>
      <c r="AG44" s="80">
        <f>SUMIFS('декабрь 2024'!$G$5:$G$2311,'декабрь 2024'!$D$5:$D$2311,$B44,'декабрь 2024'!$J$5:$J$2311,AG$1)</f>
        <v>0</v>
      </c>
      <c r="AH44" s="80">
        <f>SUMIFS('декабрь 2024'!$G$5:$G$2311,'декабрь 2024'!$D$5:$D$2311,$B44,'декабрь 2024'!$J$5:$J$2311,AH$1)</f>
        <v>0</v>
      </c>
      <c r="AI44" s="21">
        <f t="shared" si="1"/>
        <v>0</v>
      </c>
    </row>
    <row r="45" spans="2:35" ht="15" customHeight="1" x14ac:dyDescent="0.25">
      <c r="B45" s="154" t="s">
        <v>296</v>
      </c>
      <c r="C45" s="151">
        <v>25</v>
      </c>
      <c r="D45" s="80">
        <f>SUMIFS('декабрь 2024'!$G$5:$G$2311,'декабрь 2024'!$D$5:$D$2311,$B45,'декабрь 2024'!$J$5:$J$2311,D$1)</f>
        <v>0</v>
      </c>
      <c r="E45" s="80">
        <f>SUMIFS('декабрь 2024'!$G$5:$G$2311,'декабрь 2024'!$D$5:$D$2311,$B45,'декабрь 2024'!$J$5:$J$2311,E$1)</f>
        <v>0</v>
      </c>
      <c r="F45" s="80">
        <f>SUMIFS('декабрь 2024'!$G$5:$G$2311,'декабрь 2024'!$D$5:$D$2311,$B45,'декабрь 2024'!$J$5:$J$2311,F$1)</f>
        <v>0</v>
      </c>
      <c r="G45" s="80">
        <f>SUMIFS('декабрь 2024'!$G$5:$G$2311,'декабрь 2024'!$D$5:$D$2311,$B45,'декабрь 2024'!$J$5:$J$2311,G$1)</f>
        <v>0</v>
      </c>
      <c r="H45" s="80">
        <f>SUMIFS('декабрь 2024'!$G$5:$G$2311,'декабрь 2024'!$D$5:$D$2311,$B45,'декабрь 2024'!$J$5:$J$2311,H$1)</f>
        <v>0</v>
      </c>
      <c r="I45" s="80">
        <f>SUMIFS('декабрь 2024'!$G$5:$G$2311,'декабрь 2024'!$D$5:$D$2311,$B45,'декабрь 2024'!$J$5:$J$2311,I$1)</f>
        <v>0</v>
      </c>
      <c r="J45" s="80">
        <f>SUMIFS('декабрь 2024'!$G$5:$G$2311,'декабрь 2024'!$D$5:$D$2311,$B45,'декабрь 2024'!$J$5:$J$2311,J$1)</f>
        <v>0</v>
      </c>
      <c r="K45" s="80">
        <f>SUMIFS('декабрь 2024'!$G$5:$G$2311,'декабрь 2024'!$D$5:$D$2311,$B45,'декабрь 2024'!$J$5:$J$2311,K$1)</f>
        <v>0</v>
      </c>
      <c r="L45" s="80">
        <f>SUMIFS('декабрь 2024'!$G$5:$G$2311,'декабрь 2024'!$D$5:$D$2311,$B45,'декабрь 2024'!$J$5:$J$2311,L$1)</f>
        <v>0</v>
      </c>
      <c r="M45" s="80">
        <f>SUMIFS('декабрь 2024'!$G$5:$G$2311,'декабрь 2024'!$D$5:$D$2311,$B45,'декабрь 2024'!$J$5:$J$2311,M$1)</f>
        <v>0</v>
      </c>
      <c r="N45" s="80">
        <f>SUMIFS('декабрь 2024'!$G$5:$G$2311,'декабрь 2024'!$D$5:$D$2311,$B45,'декабрь 2024'!$J$5:$J$2311,N$1)</f>
        <v>0</v>
      </c>
      <c r="O45" s="80">
        <f>SUMIFS('декабрь 2024'!$G$5:$G$2311,'декабрь 2024'!$D$5:$D$2311,$B45,'декабрь 2024'!$J$5:$J$2311,O$1)</f>
        <v>0</v>
      </c>
      <c r="P45" s="80">
        <f>SUMIFS('декабрь 2024'!$G$5:$G$2311,'декабрь 2024'!$D$5:$D$2311,$B45,'декабрь 2024'!$J$5:$J$2311,P$1)</f>
        <v>0</v>
      </c>
      <c r="Q45" s="80">
        <f>SUMIFS('декабрь 2024'!$G$5:$G$2311,'декабрь 2024'!$D$5:$D$2311,$B45,'декабрь 2024'!$J$5:$J$2311,Q$1)</f>
        <v>0</v>
      </c>
      <c r="R45" s="80">
        <f>SUMIFS('декабрь 2024'!$G$5:$G$2311,'декабрь 2024'!$D$5:$D$2311,$B45,'декабрь 2024'!$J$5:$J$2311,R$1)</f>
        <v>0</v>
      </c>
      <c r="S45" s="80">
        <f>SUMIFS('декабрь 2024'!$G$5:$G$2311,'декабрь 2024'!$D$5:$D$2311,$B45,'декабрь 2024'!$J$5:$J$2311,S$1)</f>
        <v>0</v>
      </c>
      <c r="T45" s="80">
        <f>SUMIFS('декабрь 2024'!$G$5:$G$2311,'декабрь 2024'!$D$5:$D$2311,$B45,'декабрь 2024'!$J$5:$J$2311,T$1)</f>
        <v>0</v>
      </c>
      <c r="U45" s="80">
        <f>SUMIFS('декабрь 2024'!$G$5:$G$2311,'декабрь 2024'!$D$5:$D$2311,$B45,'декабрь 2024'!$J$5:$J$2311,U$1)</f>
        <v>0</v>
      </c>
      <c r="V45" s="80">
        <f>SUMIFS('декабрь 2024'!$G$5:$G$2311,'декабрь 2024'!$D$5:$D$2311,$B45,'декабрь 2024'!$J$5:$J$2311,V$1)</f>
        <v>0</v>
      </c>
      <c r="W45" s="80">
        <f>SUMIFS('декабрь 2024'!$G$5:$G$2311,'декабрь 2024'!$D$5:$D$2311,$B45,'декабрь 2024'!$J$5:$J$2311,W$1)</f>
        <v>0</v>
      </c>
      <c r="X45" s="80">
        <f>SUMIFS('декабрь 2024'!$G$5:$G$2311,'декабрь 2024'!$D$5:$D$2311,$B45,'декабрь 2024'!$J$5:$J$2311,X$1)</f>
        <v>0</v>
      </c>
      <c r="Y45" s="80">
        <f>SUMIFS('декабрь 2024'!$G$5:$G$2311,'декабрь 2024'!$D$5:$D$2311,$B45,'декабрь 2024'!$J$5:$J$2311,Y$1)</f>
        <v>0</v>
      </c>
      <c r="Z45" s="80">
        <f>SUMIFS('декабрь 2024'!$G$5:$G$2311,'декабрь 2024'!$D$5:$D$2311,$B45,'декабрь 2024'!$J$5:$J$2311,Z$1)</f>
        <v>0</v>
      </c>
      <c r="AA45" s="80">
        <f>SUMIFS('декабрь 2024'!$G$5:$G$2311,'декабрь 2024'!$D$5:$D$2311,$B45,'декабрь 2024'!$J$5:$J$2311,AA$1)</f>
        <v>0</v>
      </c>
      <c r="AB45" s="80">
        <f>SUMIFS('декабрь 2024'!$G$5:$G$2311,'декабрь 2024'!$D$5:$D$2311,$B45,'декабрь 2024'!$J$5:$J$2311,AB$1)</f>
        <v>0</v>
      </c>
      <c r="AC45" s="80">
        <f>SUMIFS('декабрь 2024'!$G$5:$G$2311,'декабрь 2024'!$D$5:$D$2311,$B45,'декабрь 2024'!$J$5:$J$2311,AC$1)</f>
        <v>0</v>
      </c>
      <c r="AD45" s="80">
        <f>SUMIFS('декабрь 2024'!$G$5:$G$2311,'декабрь 2024'!$D$5:$D$2311,$B45,'декабрь 2024'!$J$5:$J$2311,AD$1)</f>
        <v>0</v>
      </c>
      <c r="AE45" s="80">
        <f>SUMIFS('декабрь 2024'!$G$5:$G$2311,'декабрь 2024'!$D$5:$D$2311,$B45,'декабрь 2024'!$J$5:$J$2311,AE$1)</f>
        <v>0</v>
      </c>
      <c r="AF45" s="80">
        <f>SUMIFS('декабрь 2024'!$G$5:$G$2311,'декабрь 2024'!$D$5:$D$2311,$B45,'декабрь 2024'!$J$5:$J$2311,AF$1)</f>
        <v>0</v>
      </c>
      <c r="AG45" s="80">
        <f>SUMIFS('декабрь 2024'!$G$5:$G$2311,'декабрь 2024'!$D$5:$D$2311,$B45,'декабрь 2024'!$J$5:$J$2311,AG$1)</f>
        <v>0</v>
      </c>
      <c r="AH45" s="80">
        <f>SUMIFS('декабрь 2024'!$G$5:$G$2311,'декабрь 2024'!$D$5:$D$2311,$B45,'декабрь 2024'!$J$5:$J$2311,AH$1)</f>
        <v>0</v>
      </c>
      <c r="AI45" s="21">
        <f t="shared" si="1"/>
        <v>0</v>
      </c>
    </row>
    <row r="46" spans="2:35" ht="15" customHeight="1" x14ac:dyDescent="0.25">
      <c r="B46" s="154" t="s">
        <v>298</v>
      </c>
      <c r="C46" s="151">
        <v>18</v>
      </c>
      <c r="D46" s="80">
        <f>SUMIFS('декабрь 2024'!$G$5:$G$2311,'декабрь 2024'!$D$5:$D$2311,$B46,'декабрь 2024'!$J$5:$J$2311,D$1)</f>
        <v>0</v>
      </c>
      <c r="E46" s="80">
        <f>SUMIFS('декабрь 2024'!$G$5:$G$2311,'декабрь 2024'!$D$5:$D$2311,$B46,'декабрь 2024'!$J$5:$J$2311,E$1)</f>
        <v>0</v>
      </c>
      <c r="F46" s="80">
        <f>SUMIFS('декабрь 2024'!$G$5:$G$2311,'декабрь 2024'!$D$5:$D$2311,$B46,'декабрь 2024'!$J$5:$J$2311,F$1)</f>
        <v>0</v>
      </c>
      <c r="G46" s="80">
        <f>SUMIFS('декабрь 2024'!$G$5:$G$2311,'декабрь 2024'!$D$5:$D$2311,$B46,'декабрь 2024'!$J$5:$J$2311,G$1)</f>
        <v>0</v>
      </c>
      <c r="H46" s="80">
        <f>SUMIFS('декабрь 2024'!$G$5:$G$2311,'декабрь 2024'!$D$5:$D$2311,$B46,'декабрь 2024'!$J$5:$J$2311,H$1)</f>
        <v>0</v>
      </c>
      <c r="I46" s="80">
        <f>SUMIFS('декабрь 2024'!$G$5:$G$2311,'декабрь 2024'!$D$5:$D$2311,$B46,'декабрь 2024'!$J$5:$J$2311,I$1)</f>
        <v>0</v>
      </c>
      <c r="J46" s="80">
        <f>SUMIFS('декабрь 2024'!$G$5:$G$2311,'декабрь 2024'!$D$5:$D$2311,$B46,'декабрь 2024'!$J$5:$J$2311,J$1)</f>
        <v>0</v>
      </c>
      <c r="K46" s="80">
        <f>SUMIFS('декабрь 2024'!$G$5:$G$2311,'декабрь 2024'!$D$5:$D$2311,$B46,'декабрь 2024'!$J$5:$J$2311,K$1)</f>
        <v>0</v>
      </c>
      <c r="L46" s="80">
        <f>SUMIFS('декабрь 2024'!$G$5:$G$2311,'декабрь 2024'!$D$5:$D$2311,$B46,'декабрь 2024'!$J$5:$J$2311,L$1)</f>
        <v>0</v>
      </c>
      <c r="M46" s="80">
        <f>SUMIFS('декабрь 2024'!$G$5:$G$2311,'декабрь 2024'!$D$5:$D$2311,$B46,'декабрь 2024'!$J$5:$J$2311,M$1)</f>
        <v>0</v>
      </c>
      <c r="N46" s="80">
        <f>SUMIFS('декабрь 2024'!$G$5:$G$2311,'декабрь 2024'!$D$5:$D$2311,$B46,'декабрь 2024'!$J$5:$J$2311,N$1)</f>
        <v>0</v>
      </c>
      <c r="O46" s="80">
        <f>SUMIFS('декабрь 2024'!$G$5:$G$2311,'декабрь 2024'!$D$5:$D$2311,$B46,'декабрь 2024'!$J$5:$J$2311,O$1)</f>
        <v>0</v>
      </c>
      <c r="P46" s="80">
        <f>SUMIFS('декабрь 2024'!$G$5:$G$2311,'декабрь 2024'!$D$5:$D$2311,$B46,'декабрь 2024'!$J$5:$J$2311,P$1)</f>
        <v>0</v>
      </c>
      <c r="Q46" s="80">
        <f>SUMIFS('декабрь 2024'!$G$5:$G$2311,'декабрь 2024'!$D$5:$D$2311,$B46,'декабрь 2024'!$J$5:$J$2311,Q$1)</f>
        <v>0</v>
      </c>
      <c r="R46" s="80">
        <f>SUMIFS('декабрь 2024'!$G$5:$G$2311,'декабрь 2024'!$D$5:$D$2311,$B46,'декабрь 2024'!$J$5:$J$2311,R$1)</f>
        <v>0</v>
      </c>
      <c r="S46" s="80">
        <f>SUMIFS('декабрь 2024'!$G$5:$G$2311,'декабрь 2024'!$D$5:$D$2311,$B46,'декабрь 2024'!$J$5:$J$2311,S$1)</f>
        <v>0</v>
      </c>
      <c r="T46" s="80">
        <f>SUMIFS('декабрь 2024'!$G$5:$G$2311,'декабрь 2024'!$D$5:$D$2311,$B46,'декабрь 2024'!$J$5:$J$2311,T$1)</f>
        <v>0</v>
      </c>
      <c r="U46" s="80">
        <f>SUMIFS('декабрь 2024'!$G$5:$G$2311,'декабрь 2024'!$D$5:$D$2311,$B46,'декабрь 2024'!$J$5:$J$2311,U$1)</f>
        <v>0</v>
      </c>
      <c r="V46" s="80">
        <f>SUMIFS('декабрь 2024'!$G$5:$G$2311,'декабрь 2024'!$D$5:$D$2311,$B46,'декабрь 2024'!$J$5:$J$2311,V$1)</f>
        <v>0</v>
      </c>
      <c r="W46" s="80">
        <f>SUMIFS('декабрь 2024'!$G$5:$G$2311,'декабрь 2024'!$D$5:$D$2311,$B46,'декабрь 2024'!$J$5:$J$2311,W$1)</f>
        <v>0</v>
      </c>
      <c r="X46" s="80">
        <f>SUMIFS('декабрь 2024'!$G$5:$G$2311,'декабрь 2024'!$D$5:$D$2311,$B46,'декабрь 2024'!$J$5:$J$2311,X$1)</f>
        <v>0</v>
      </c>
      <c r="Y46" s="80">
        <f>SUMIFS('декабрь 2024'!$G$5:$G$2311,'декабрь 2024'!$D$5:$D$2311,$B46,'декабрь 2024'!$J$5:$J$2311,Y$1)</f>
        <v>0</v>
      </c>
      <c r="Z46" s="80">
        <f>SUMIFS('декабрь 2024'!$G$5:$G$2311,'декабрь 2024'!$D$5:$D$2311,$B46,'декабрь 2024'!$J$5:$J$2311,Z$1)</f>
        <v>0</v>
      </c>
      <c r="AA46" s="80">
        <f>SUMIFS('декабрь 2024'!$G$5:$G$2311,'декабрь 2024'!$D$5:$D$2311,$B46,'декабрь 2024'!$J$5:$J$2311,AA$1)</f>
        <v>0</v>
      </c>
      <c r="AB46" s="80">
        <f>SUMIFS('декабрь 2024'!$G$5:$G$2311,'декабрь 2024'!$D$5:$D$2311,$B46,'декабрь 2024'!$J$5:$J$2311,AB$1)</f>
        <v>0</v>
      </c>
      <c r="AC46" s="80">
        <f>SUMIFS('декабрь 2024'!$G$5:$G$2311,'декабрь 2024'!$D$5:$D$2311,$B46,'декабрь 2024'!$J$5:$J$2311,AC$1)</f>
        <v>0</v>
      </c>
      <c r="AD46" s="80">
        <f>SUMIFS('декабрь 2024'!$G$5:$G$2311,'декабрь 2024'!$D$5:$D$2311,$B46,'декабрь 2024'!$J$5:$J$2311,AD$1)</f>
        <v>0</v>
      </c>
      <c r="AE46" s="80">
        <f>SUMIFS('декабрь 2024'!$G$5:$G$2311,'декабрь 2024'!$D$5:$D$2311,$B46,'декабрь 2024'!$J$5:$J$2311,AE$1)</f>
        <v>0</v>
      </c>
      <c r="AF46" s="80">
        <f>SUMIFS('декабрь 2024'!$G$5:$G$2311,'декабрь 2024'!$D$5:$D$2311,$B46,'декабрь 2024'!$J$5:$J$2311,AF$1)</f>
        <v>0</v>
      </c>
      <c r="AG46" s="80">
        <f>SUMIFS('декабрь 2024'!$G$5:$G$2311,'декабрь 2024'!$D$5:$D$2311,$B46,'декабрь 2024'!$J$5:$J$2311,AG$1)</f>
        <v>0</v>
      </c>
      <c r="AH46" s="80">
        <f>SUMIFS('декабрь 2024'!$G$5:$G$2311,'декабрь 2024'!$D$5:$D$2311,$B46,'декабрь 2024'!$J$5:$J$2311,AH$1)</f>
        <v>0</v>
      </c>
      <c r="AI46" s="21">
        <f t="shared" si="1"/>
        <v>0</v>
      </c>
    </row>
    <row r="47" spans="2:35" ht="15" customHeight="1" x14ac:dyDescent="0.25">
      <c r="B47" s="154" t="s">
        <v>300</v>
      </c>
      <c r="C47" s="151">
        <v>20</v>
      </c>
      <c r="D47" s="80">
        <f>SUMIFS('декабрь 2024'!$G$5:$G$2311,'декабрь 2024'!$D$5:$D$2311,$B47,'декабрь 2024'!$J$5:$J$2311,D$1)</f>
        <v>0</v>
      </c>
      <c r="E47" s="80">
        <f>SUMIFS('декабрь 2024'!$G$5:$G$2311,'декабрь 2024'!$D$5:$D$2311,$B47,'декабрь 2024'!$J$5:$J$2311,E$1)</f>
        <v>0</v>
      </c>
      <c r="F47" s="80">
        <f>SUMIFS('декабрь 2024'!$G$5:$G$2311,'декабрь 2024'!$D$5:$D$2311,$B47,'декабрь 2024'!$J$5:$J$2311,F$1)</f>
        <v>0</v>
      </c>
      <c r="G47" s="80">
        <f>SUMIFS('декабрь 2024'!$G$5:$G$2311,'декабрь 2024'!$D$5:$D$2311,$B47,'декабрь 2024'!$J$5:$J$2311,G$1)</f>
        <v>0</v>
      </c>
      <c r="H47" s="80">
        <f>SUMIFS('декабрь 2024'!$G$5:$G$2311,'декабрь 2024'!$D$5:$D$2311,$B47,'декабрь 2024'!$J$5:$J$2311,H$1)</f>
        <v>0</v>
      </c>
      <c r="I47" s="80">
        <f>SUMIFS('декабрь 2024'!$G$5:$G$2311,'декабрь 2024'!$D$5:$D$2311,$B47,'декабрь 2024'!$J$5:$J$2311,I$1)</f>
        <v>0</v>
      </c>
      <c r="J47" s="80">
        <f>SUMIFS('декабрь 2024'!$G$5:$G$2311,'декабрь 2024'!$D$5:$D$2311,$B47,'декабрь 2024'!$J$5:$J$2311,J$1)</f>
        <v>0</v>
      </c>
      <c r="K47" s="80">
        <f>SUMIFS('декабрь 2024'!$G$5:$G$2311,'декабрь 2024'!$D$5:$D$2311,$B47,'декабрь 2024'!$J$5:$J$2311,K$1)</f>
        <v>0</v>
      </c>
      <c r="L47" s="80">
        <f>SUMIFS('декабрь 2024'!$G$5:$G$2311,'декабрь 2024'!$D$5:$D$2311,$B47,'декабрь 2024'!$J$5:$J$2311,L$1)</f>
        <v>0</v>
      </c>
      <c r="M47" s="80">
        <f>SUMIFS('декабрь 2024'!$G$5:$G$2311,'декабрь 2024'!$D$5:$D$2311,$B47,'декабрь 2024'!$J$5:$J$2311,M$1)</f>
        <v>0</v>
      </c>
      <c r="N47" s="80">
        <f>SUMIFS('декабрь 2024'!$G$5:$G$2311,'декабрь 2024'!$D$5:$D$2311,$B47,'декабрь 2024'!$J$5:$J$2311,N$1)</f>
        <v>0</v>
      </c>
      <c r="O47" s="80">
        <f>SUMIFS('декабрь 2024'!$G$5:$G$2311,'декабрь 2024'!$D$5:$D$2311,$B47,'декабрь 2024'!$J$5:$J$2311,O$1)</f>
        <v>0</v>
      </c>
      <c r="P47" s="80">
        <f>SUMIFS('декабрь 2024'!$G$5:$G$2311,'декабрь 2024'!$D$5:$D$2311,$B47,'декабрь 2024'!$J$5:$J$2311,P$1)</f>
        <v>0</v>
      </c>
      <c r="Q47" s="80">
        <f>SUMIFS('декабрь 2024'!$G$5:$G$2311,'декабрь 2024'!$D$5:$D$2311,$B47,'декабрь 2024'!$J$5:$J$2311,Q$1)</f>
        <v>0</v>
      </c>
      <c r="R47" s="80">
        <f>SUMIFS('декабрь 2024'!$G$5:$G$2311,'декабрь 2024'!$D$5:$D$2311,$B47,'декабрь 2024'!$J$5:$J$2311,R$1)</f>
        <v>0</v>
      </c>
      <c r="S47" s="80">
        <f>SUMIFS('декабрь 2024'!$G$5:$G$2311,'декабрь 2024'!$D$5:$D$2311,$B47,'декабрь 2024'!$J$5:$J$2311,S$1)</f>
        <v>0</v>
      </c>
      <c r="T47" s="80">
        <f>SUMIFS('декабрь 2024'!$G$5:$G$2311,'декабрь 2024'!$D$5:$D$2311,$B47,'декабрь 2024'!$J$5:$J$2311,T$1)</f>
        <v>0</v>
      </c>
      <c r="U47" s="80">
        <f>SUMIFS('декабрь 2024'!$G$5:$G$2311,'декабрь 2024'!$D$5:$D$2311,$B47,'декабрь 2024'!$J$5:$J$2311,U$1)</f>
        <v>0</v>
      </c>
      <c r="V47" s="80">
        <f>SUMIFS('декабрь 2024'!$G$5:$G$2311,'декабрь 2024'!$D$5:$D$2311,$B47,'декабрь 2024'!$J$5:$J$2311,V$1)</f>
        <v>0</v>
      </c>
      <c r="W47" s="80">
        <f>SUMIFS('декабрь 2024'!$G$5:$G$2311,'декабрь 2024'!$D$5:$D$2311,$B47,'декабрь 2024'!$J$5:$J$2311,W$1)</f>
        <v>0</v>
      </c>
      <c r="X47" s="80">
        <f>SUMIFS('декабрь 2024'!$G$5:$G$2311,'декабрь 2024'!$D$5:$D$2311,$B47,'декабрь 2024'!$J$5:$J$2311,X$1)</f>
        <v>0</v>
      </c>
      <c r="Y47" s="80">
        <f>SUMIFS('декабрь 2024'!$G$5:$G$2311,'декабрь 2024'!$D$5:$D$2311,$B47,'декабрь 2024'!$J$5:$J$2311,Y$1)</f>
        <v>0</v>
      </c>
      <c r="Z47" s="80">
        <f>SUMIFS('декабрь 2024'!$G$5:$G$2311,'декабрь 2024'!$D$5:$D$2311,$B47,'декабрь 2024'!$J$5:$J$2311,Z$1)</f>
        <v>0</v>
      </c>
      <c r="AA47" s="80">
        <f>SUMIFS('декабрь 2024'!$G$5:$G$2311,'декабрь 2024'!$D$5:$D$2311,$B47,'декабрь 2024'!$J$5:$J$2311,AA$1)</f>
        <v>0</v>
      </c>
      <c r="AB47" s="80">
        <f>SUMIFS('декабрь 2024'!$G$5:$G$2311,'декабрь 2024'!$D$5:$D$2311,$B47,'декабрь 2024'!$J$5:$J$2311,AB$1)</f>
        <v>0</v>
      </c>
      <c r="AC47" s="80">
        <f>SUMIFS('декабрь 2024'!$G$5:$G$2311,'декабрь 2024'!$D$5:$D$2311,$B47,'декабрь 2024'!$J$5:$J$2311,AC$1)</f>
        <v>0</v>
      </c>
      <c r="AD47" s="80">
        <f>SUMIFS('декабрь 2024'!$G$5:$G$2311,'декабрь 2024'!$D$5:$D$2311,$B47,'декабрь 2024'!$J$5:$J$2311,AD$1)</f>
        <v>0</v>
      </c>
      <c r="AE47" s="80">
        <f>SUMIFS('декабрь 2024'!$G$5:$G$2311,'декабрь 2024'!$D$5:$D$2311,$B47,'декабрь 2024'!$J$5:$J$2311,AE$1)</f>
        <v>0</v>
      </c>
      <c r="AF47" s="80">
        <f>SUMIFS('декабрь 2024'!$G$5:$G$2311,'декабрь 2024'!$D$5:$D$2311,$B47,'декабрь 2024'!$J$5:$J$2311,AF$1)</f>
        <v>0</v>
      </c>
      <c r="AG47" s="80">
        <f>SUMIFS('декабрь 2024'!$G$5:$G$2311,'декабрь 2024'!$D$5:$D$2311,$B47,'декабрь 2024'!$J$5:$J$2311,AG$1)</f>
        <v>0</v>
      </c>
      <c r="AH47" s="80">
        <f>SUMIFS('декабрь 2024'!$G$5:$G$2311,'декабрь 2024'!$D$5:$D$2311,$B47,'декабрь 2024'!$J$5:$J$2311,AH$1)</f>
        <v>0</v>
      </c>
      <c r="AI47" s="21">
        <f t="shared" si="1"/>
        <v>0</v>
      </c>
    </row>
    <row r="48" spans="2:35" ht="15" customHeight="1" x14ac:dyDescent="0.25">
      <c r="B48" s="150" t="s">
        <v>302</v>
      </c>
      <c r="C48" s="153">
        <v>20</v>
      </c>
      <c r="D48" s="80">
        <f>SUMIFS('декабрь 2024'!$G$5:$G$2311,'декабрь 2024'!$D$5:$D$2311,$B48,'декабрь 2024'!$J$5:$J$2311,D$1)</f>
        <v>0</v>
      </c>
      <c r="E48" s="80">
        <f>SUMIFS('декабрь 2024'!$G$5:$G$2311,'декабрь 2024'!$D$5:$D$2311,$B48,'декабрь 2024'!$J$5:$J$2311,E$1)</f>
        <v>0</v>
      </c>
      <c r="F48" s="80">
        <f>SUMIFS('декабрь 2024'!$G$5:$G$2311,'декабрь 2024'!$D$5:$D$2311,$B48,'декабрь 2024'!$J$5:$J$2311,F$1)</f>
        <v>0</v>
      </c>
      <c r="G48" s="80">
        <f>SUMIFS('декабрь 2024'!$G$5:$G$2311,'декабрь 2024'!$D$5:$D$2311,$B48,'декабрь 2024'!$J$5:$J$2311,G$1)</f>
        <v>0</v>
      </c>
      <c r="H48" s="80">
        <f>SUMIFS('декабрь 2024'!$G$5:$G$2311,'декабрь 2024'!$D$5:$D$2311,$B48,'декабрь 2024'!$J$5:$J$2311,H$1)</f>
        <v>0</v>
      </c>
      <c r="I48" s="80">
        <f>SUMIFS('декабрь 2024'!$G$5:$G$2311,'декабрь 2024'!$D$5:$D$2311,$B48,'декабрь 2024'!$J$5:$J$2311,I$1)</f>
        <v>0</v>
      </c>
      <c r="J48" s="80">
        <f>SUMIFS('декабрь 2024'!$G$5:$G$2311,'декабрь 2024'!$D$5:$D$2311,$B48,'декабрь 2024'!$J$5:$J$2311,J$1)</f>
        <v>0</v>
      </c>
      <c r="K48" s="80">
        <f>SUMIFS('декабрь 2024'!$G$5:$G$2311,'декабрь 2024'!$D$5:$D$2311,$B48,'декабрь 2024'!$J$5:$J$2311,K$1)</f>
        <v>0</v>
      </c>
      <c r="L48" s="80">
        <f>SUMIFS('декабрь 2024'!$G$5:$G$2311,'декабрь 2024'!$D$5:$D$2311,$B48,'декабрь 2024'!$J$5:$J$2311,L$1)</f>
        <v>0</v>
      </c>
      <c r="M48" s="80">
        <f>SUMIFS('декабрь 2024'!$G$5:$G$2311,'декабрь 2024'!$D$5:$D$2311,$B48,'декабрь 2024'!$J$5:$J$2311,M$1)</f>
        <v>0</v>
      </c>
      <c r="N48" s="80">
        <f>SUMIFS('декабрь 2024'!$G$5:$G$2311,'декабрь 2024'!$D$5:$D$2311,$B48,'декабрь 2024'!$J$5:$J$2311,N$1)</f>
        <v>0</v>
      </c>
      <c r="O48" s="80">
        <f>SUMIFS('декабрь 2024'!$G$5:$G$2311,'декабрь 2024'!$D$5:$D$2311,$B48,'декабрь 2024'!$J$5:$J$2311,O$1)</f>
        <v>0</v>
      </c>
      <c r="P48" s="80">
        <f>SUMIFS('декабрь 2024'!$G$5:$G$2311,'декабрь 2024'!$D$5:$D$2311,$B48,'декабрь 2024'!$J$5:$J$2311,P$1)</f>
        <v>0</v>
      </c>
      <c r="Q48" s="80">
        <f>SUMIFS('декабрь 2024'!$G$5:$G$2311,'декабрь 2024'!$D$5:$D$2311,$B48,'декабрь 2024'!$J$5:$J$2311,Q$1)</f>
        <v>0</v>
      </c>
      <c r="R48" s="80">
        <f>SUMIFS('декабрь 2024'!$G$5:$G$2311,'декабрь 2024'!$D$5:$D$2311,$B48,'декабрь 2024'!$J$5:$J$2311,R$1)</f>
        <v>0</v>
      </c>
      <c r="S48" s="80">
        <f>SUMIFS('декабрь 2024'!$G$5:$G$2311,'декабрь 2024'!$D$5:$D$2311,$B48,'декабрь 2024'!$J$5:$J$2311,S$1)</f>
        <v>0</v>
      </c>
      <c r="T48" s="80">
        <f>SUMIFS('декабрь 2024'!$G$5:$G$2311,'декабрь 2024'!$D$5:$D$2311,$B48,'декабрь 2024'!$J$5:$J$2311,T$1)</f>
        <v>0</v>
      </c>
      <c r="U48" s="80">
        <f>SUMIFS('декабрь 2024'!$G$5:$G$2311,'декабрь 2024'!$D$5:$D$2311,$B48,'декабрь 2024'!$J$5:$J$2311,U$1)</f>
        <v>0</v>
      </c>
      <c r="V48" s="80">
        <f>SUMIFS('декабрь 2024'!$G$5:$G$2311,'декабрь 2024'!$D$5:$D$2311,$B48,'декабрь 2024'!$J$5:$J$2311,V$1)</f>
        <v>0</v>
      </c>
      <c r="W48" s="80">
        <f>SUMIFS('декабрь 2024'!$G$5:$G$2311,'декабрь 2024'!$D$5:$D$2311,$B48,'декабрь 2024'!$J$5:$J$2311,W$1)</f>
        <v>0</v>
      </c>
      <c r="X48" s="80">
        <f>SUMIFS('декабрь 2024'!$G$5:$G$2311,'декабрь 2024'!$D$5:$D$2311,$B48,'декабрь 2024'!$J$5:$J$2311,X$1)</f>
        <v>0</v>
      </c>
      <c r="Y48" s="80">
        <f>SUMIFS('декабрь 2024'!$G$5:$G$2311,'декабрь 2024'!$D$5:$D$2311,$B48,'декабрь 2024'!$J$5:$J$2311,Y$1)</f>
        <v>0</v>
      </c>
      <c r="Z48" s="80">
        <f>SUMIFS('декабрь 2024'!$G$5:$G$2311,'декабрь 2024'!$D$5:$D$2311,$B48,'декабрь 2024'!$J$5:$J$2311,Z$1)</f>
        <v>0</v>
      </c>
      <c r="AA48" s="80">
        <f>SUMIFS('декабрь 2024'!$G$5:$G$2311,'декабрь 2024'!$D$5:$D$2311,$B48,'декабрь 2024'!$J$5:$J$2311,AA$1)</f>
        <v>0</v>
      </c>
      <c r="AB48" s="80">
        <f>SUMIFS('декабрь 2024'!$G$5:$G$2311,'декабрь 2024'!$D$5:$D$2311,$B48,'декабрь 2024'!$J$5:$J$2311,AB$1)</f>
        <v>0</v>
      </c>
      <c r="AC48" s="80">
        <f>SUMIFS('декабрь 2024'!$G$5:$G$2311,'декабрь 2024'!$D$5:$D$2311,$B48,'декабрь 2024'!$J$5:$J$2311,AC$1)</f>
        <v>0</v>
      </c>
      <c r="AD48" s="80">
        <f>SUMIFS('декабрь 2024'!$G$5:$G$2311,'декабрь 2024'!$D$5:$D$2311,$B48,'декабрь 2024'!$J$5:$J$2311,AD$1)</f>
        <v>0</v>
      </c>
      <c r="AE48" s="80">
        <f>SUMIFS('декабрь 2024'!$G$5:$G$2311,'декабрь 2024'!$D$5:$D$2311,$B48,'декабрь 2024'!$J$5:$J$2311,AE$1)</f>
        <v>0</v>
      </c>
      <c r="AF48" s="80">
        <f>SUMIFS('декабрь 2024'!$G$5:$G$2311,'декабрь 2024'!$D$5:$D$2311,$B48,'декабрь 2024'!$J$5:$J$2311,AF$1)</f>
        <v>0</v>
      </c>
      <c r="AG48" s="80">
        <f>SUMIFS('декабрь 2024'!$G$5:$G$2311,'декабрь 2024'!$D$5:$D$2311,$B48,'декабрь 2024'!$J$5:$J$2311,AG$1)</f>
        <v>0</v>
      </c>
      <c r="AH48" s="80">
        <f>SUMIFS('декабрь 2024'!$G$5:$G$2311,'декабрь 2024'!$D$5:$D$2311,$B48,'декабрь 2024'!$J$5:$J$2311,AH$1)</f>
        <v>0</v>
      </c>
      <c r="AI48" s="21">
        <f t="shared" si="1"/>
        <v>0</v>
      </c>
    </row>
    <row r="49" spans="2:35" ht="15" customHeight="1" x14ac:dyDescent="0.25">
      <c r="B49" s="150" t="s">
        <v>304</v>
      </c>
      <c r="C49" s="149">
        <v>20</v>
      </c>
      <c r="D49" s="80">
        <f>SUMIFS('декабрь 2024'!$G$5:$G$2311,'декабрь 2024'!$D$5:$D$2311,$B49,'декабрь 2024'!$J$5:$J$2311,D$1)</f>
        <v>0</v>
      </c>
      <c r="E49" s="80">
        <f>SUMIFS('декабрь 2024'!$G$5:$G$2311,'декабрь 2024'!$D$5:$D$2311,$B49,'декабрь 2024'!$J$5:$J$2311,E$1)</f>
        <v>0</v>
      </c>
      <c r="F49" s="80">
        <f>SUMIFS('декабрь 2024'!$G$5:$G$2311,'декабрь 2024'!$D$5:$D$2311,$B49,'декабрь 2024'!$J$5:$J$2311,F$1)</f>
        <v>0</v>
      </c>
      <c r="G49" s="80">
        <f>SUMIFS('декабрь 2024'!$G$5:$G$2311,'декабрь 2024'!$D$5:$D$2311,$B49,'декабрь 2024'!$J$5:$J$2311,G$1)</f>
        <v>0</v>
      </c>
      <c r="H49" s="80">
        <f>SUMIFS('декабрь 2024'!$G$5:$G$2311,'декабрь 2024'!$D$5:$D$2311,$B49,'декабрь 2024'!$J$5:$J$2311,H$1)</f>
        <v>0</v>
      </c>
      <c r="I49" s="80">
        <f>SUMIFS('декабрь 2024'!$G$5:$G$2311,'декабрь 2024'!$D$5:$D$2311,$B49,'декабрь 2024'!$J$5:$J$2311,I$1)</f>
        <v>0</v>
      </c>
      <c r="J49" s="80">
        <f>SUMIFS('декабрь 2024'!$G$5:$G$2311,'декабрь 2024'!$D$5:$D$2311,$B49,'декабрь 2024'!$J$5:$J$2311,J$1)</f>
        <v>0</v>
      </c>
      <c r="K49" s="80">
        <f>SUMIFS('декабрь 2024'!$G$5:$G$2311,'декабрь 2024'!$D$5:$D$2311,$B49,'декабрь 2024'!$J$5:$J$2311,K$1)</f>
        <v>0</v>
      </c>
      <c r="L49" s="80">
        <f>SUMIFS('декабрь 2024'!$G$5:$G$2311,'декабрь 2024'!$D$5:$D$2311,$B49,'декабрь 2024'!$J$5:$J$2311,L$1)</f>
        <v>0</v>
      </c>
      <c r="M49" s="80">
        <f>SUMIFS('декабрь 2024'!$G$5:$G$2311,'декабрь 2024'!$D$5:$D$2311,$B49,'декабрь 2024'!$J$5:$J$2311,M$1)</f>
        <v>0</v>
      </c>
      <c r="N49" s="80">
        <f>SUMIFS('декабрь 2024'!$G$5:$G$2311,'декабрь 2024'!$D$5:$D$2311,$B49,'декабрь 2024'!$J$5:$J$2311,N$1)</f>
        <v>0</v>
      </c>
      <c r="O49" s="80">
        <f>SUMIFS('декабрь 2024'!$G$5:$G$2311,'декабрь 2024'!$D$5:$D$2311,$B49,'декабрь 2024'!$J$5:$J$2311,O$1)</f>
        <v>0</v>
      </c>
      <c r="P49" s="80">
        <f>SUMIFS('декабрь 2024'!$G$5:$G$2311,'декабрь 2024'!$D$5:$D$2311,$B49,'декабрь 2024'!$J$5:$J$2311,P$1)</f>
        <v>0</v>
      </c>
      <c r="Q49" s="80">
        <f>SUMIFS('декабрь 2024'!$G$5:$G$2311,'декабрь 2024'!$D$5:$D$2311,$B49,'декабрь 2024'!$J$5:$J$2311,Q$1)</f>
        <v>0</v>
      </c>
      <c r="R49" s="80">
        <f>SUMIFS('декабрь 2024'!$G$5:$G$2311,'декабрь 2024'!$D$5:$D$2311,$B49,'декабрь 2024'!$J$5:$J$2311,R$1)</f>
        <v>0</v>
      </c>
      <c r="S49" s="80">
        <f>SUMIFS('декабрь 2024'!$G$5:$G$2311,'декабрь 2024'!$D$5:$D$2311,$B49,'декабрь 2024'!$J$5:$J$2311,S$1)</f>
        <v>0</v>
      </c>
      <c r="T49" s="80">
        <f>SUMIFS('декабрь 2024'!$G$5:$G$2311,'декабрь 2024'!$D$5:$D$2311,$B49,'декабрь 2024'!$J$5:$J$2311,T$1)</f>
        <v>0</v>
      </c>
      <c r="U49" s="80">
        <f>SUMIFS('декабрь 2024'!$G$5:$G$2311,'декабрь 2024'!$D$5:$D$2311,$B49,'декабрь 2024'!$J$5:$J$2311,U$1)</f>
        <v>0</v>
      </c>
      <c r="V49" s="80">
        <f>SUMIFS('декабрь 2024'!$G$5:$G$2311,'декабрь 2024'!$D$5:$D$2311,$B49,'декабрь 2024'!$J$5:$J$2311,V$1)</f>
        <v>0</v>
      </c>
      <c r="W49" s="80">
        <f>SUMIFS('декабрь 2024'!$G$5:$G$2311,'декабрь 2024'!$D$5:$D$2311,$B49,'декабрь 2024'!$J$5:$J$2311,W$1)</f>
        <v>0</v>
      </c>
      <c r="X49" s="80">
        <f>SUMIFS('декабрь 2024'!$G$5:$G$2311,'декабрь 2024'!$D$5:$D$2311,$B49,'декабрь 2024'!$J$5:$J$2311,X$1)</f>
        <v>0</v>
      </c>
      <c r="Y49" s="80">
        <f>SUMIFS('декабрь 2024'!$G$5:$G$2311,'декабрь 2024'!$D$5:$D$2311,$B49,'декабрь 2024'!$J$5:$J$2311,Y$1)</f>
        <v>0</v>
      </c>
      <c r="Z49" s="80">
        <f>SUMIFS('декабрь 2024'!$G$5:$G$2311,'декабрь 2024'!$D$5:$D$2311,$B49,'декабрь 2024'!$J$5:$J$2311,Z$1)</f>
        <v>0</v>
      </c>
      <c r="AA49" s="80">
        <f>SUMIFS('декабрь 2024'!$G$5:$G$2311,'декабрь 2024'!$D$5:$D$2311,$B49,'декабрь 2024'!$J$5:$J$2311,AA$1)</f>
        <v>0</v>
      </c>
      <c r="AB49" s="80">
        <f>SUMIFS('декабрь 2024'!$G$5:$G$2311,'декабрь 2024'!$D$5:$D$2311,$B49,'декабрь 2024'!$J$5:$J$2311,AB$1)</f>
        <v>0</v>
      </c>
      <c r="AC49" s="80">
        <f>SUMIFS('декабрь 2024'!$G$5:$G$2311,'декабрь 2024'!$D$5:$D$2311,$B49,'декабрь 2024'!$J$5:$J$2311,AC$1)</f>
        <v>0</v>
      </c>
      <c r="AD49" s="80">
        <f>SUMIFS('декабрь 2024'!$G$5:$G$2311,'декабрь 2024'!$D$5:$D$2311,$B49,'декабрь 2024'!$J$5:$J$2311,AD$1)</f>
        <v>0</v>
      </c>
      <c r="AE49" s="80">
        <f>SUMIFS('декабрь 2024'!$G$5:$G$2311,'декабрь 2024'!$D$5:$D$2311,$B49,'декабрь 2024'!$J$5:$J$2311,AE$1)</f>
        <v>0</v>
      </c>
      <c r="AF49" s="80">
        <f>SUMIFS('декабрь 2024'!$G$5:$G$2311,'декабрь 2024'!$D$5:$D$2311,$B49,'декабрь 2024'!$J$5:$J$2311,AF$1)</f>
        <v>0</v>
      </c>
      <c r="AG49" s="80">
        <f>SUMIFS('декабрь 2024'!$G$5:$G$2311,'декабрь 2024'!$D$5:$D$2311,$B49,'декабрь 2024'!$J$5:$J$2311,AG$1)</f>
        <v>0</v>
      </c>
      <c r="AH49" s="80">
        <f>SUMIFS('декабрь 2024'!$G$5:$G$2311,'декабрь 2024'!$D$5:$D$2311,$B49,'декабрь 2024'!$J$5:$J$2311,AH$1)</f>
        <v>0</v>
      </c>
      <c r="AI49" s="21">
        <f t="shared" si="1"/>
        <v>0</v>
      </c>
    </row>
    <row r="50" spans="2:35" ht="15" customHeight="1" x14ac:dyDescent="0.25">
      <c r="B50" s="150" t="s">
        <v>306</v>
      </c>
      <c r="C50" s="151">
        <v>20</v>
      </c>
      <c r="D50" s="80">
        <f>SUMIFS('декабрь 2024'!$G$5:$G$2311,'декабрь 2024'!$D$5:$D$2311,$B50,'декабрь 2024'!$J$5:$J$2311,D$1)</f>
        <v>0</v>
      </c>
      <c r="E50" s="80">
        <f>SUMIFS('декабрь 2024'!$G$5:$G$2311,'декабрь 2024'!$D$5:$D$2311,$B50,'декабрь 2024'!$J$5:$J$2311,E$1)</f>
        <v>0</v>
      </c>
      <c r="F50" s="80">
        <f>SUMIFS('декабрь 2024'!$G$5:$G$2311,'декабрь 2024'!$D$5:$D$2311,$B50,'декабрь 2024'!$J$5:$J$2311,F$1)</f>
        <v>0</v>
      </c>
      <c r="G50" s="80">
        <f>SUMIFS('декабрь 2024'!$G$5:$G$2311,'декабрь 2024'!$D$5:$D$2311,$B50,'декабрь 2024'!$J$5:$J$2311,G$1)</f>
        <v>0</v>
      </c>
      <c r="H50" s="80">
        <f>SUMIFS('декабрь 2024'!$G$5:$G$2311,'декабрь 2024'!$D$5:$D$2311,$B50,'декабрь 2024'!$J$5:$J$2311,H$1)</f>
        <v>0</v>
      </c>
      <c r="I50" s="80">
        <f>SUMIFS('декабрь 2024'!$G$5:$G$2311,'декабрь 2024'!$D$5:$D$2311,$B50,'декабрь 2024'!$J$5:$J$2311,I$1)</f>
        <v>0</v>
      </c>
      <c r="J50" s="80">
        <f>SUMIFS('декабрь 2024'!$G$5:$G$2311,'декабрь 2024'!$D$5:$D$2311,$B50,'декабрь 2024'!$J$5:$J$2311,J$1)</f>
        <v>0</v>
      </c>
      <c r="K50" s="80">
        <f>SUMIFS('декабрь 2024'!$G$5:$G$2311,'декабрь 2024'!$D$5:$D$2311,$B50,'декабрь 2024'!$J$5:$J$2311,K$1)</f>
        <v>0</v>
      </c>
      <c r="L50" s="80">
        <f>SUMIFS('декабрь 2024'!$G$5:$G$2311,'декабрь 2024'!$D$5:$D$2311,$B50,'декабрь 2024'!$J$5:$J$2311,L$1)</f>
        <v>0</v>
      </c>
      <c r="M50" s="80">
        <f>SUMIFS('декабрь 2024'!$G$5:$G$2311,'декабрь 2024'!$D$5:$D$2311,$B50,'декабрь 2024'!$J$5:$J$2311,M$1)</f>
        <v>0</v>
      </c>
      <c r="N50" s="80">
        <f>SUMIFS('декабрь 2024'!$G$5:$G$2311,'декабрь 2024'!$D$5:$D$2311,$B50,'декабрь 2024'!$J$5:$J$2311,N$1)</f>
        <v>0</v>
      </c>
      <c r="O50" s="80">
        <f>SUMIFS('декабрь 2024'!$G$5:$G$2311,'декабрь 2024'!$D$5:$D$2311,$B50,'декабрь 2024'!$J$5:$J$2311,O$1)</f>
        <v>0</v>
      </c>
      <c r="P50" s="80">
        <f>SUMIFS('декабрь 2024'!$G$5:$G$2311,'декабрь 2024'!$D$5:$D$2311,$B50,'декабрь 2024'!$J$5:$J$2311,P$1)</f>
        <v>0</v>
      </c>
      <c r="Q50" s="80">
        <f>SUMIFS('декабрь 2024'!$G$5:$G$2311,'декабрь 2024'!$D$5:$D$2311,$B50,'декабрь 2024'!$J$5:$J$2311,Q$1)</f>
        <v>0</v>
      </c>
      <c r="R50" s="80">
        <f>SUMIFS('декабрь 2024'!$G$5:$G$2311,'декабрь 2024'!$D$5:$D$2311,$B50,'декабрь 2024'!$J$5:$J$2311,R$1)</f>
        <v>0</v>
      </c>
      <c r="S50" s="80">
        <f>SUMIFS('декабрь 2024'!$G$5:$G$2311,'декабрь 2024'!$D$5:$D$2311,$B50,'декабрь 2024'!$J$5:$J$2311,S$1)</f>
        <v>0</v>
      </c>
      <c r="T50" s="80">
        <f>SUMIFS('декабрь 2024'!$G$5:$G$2311,'декабрь 2024'!$D$5:$D$2311,$B50,'декабрь 2024'!$J$5:$J$2311,T$1)</f>
        <v>0</v>
      </c>
      <c r="U50" s="80">
        <f>SUMIFS('декабрь 2024'!$G$5:$G$2311,'декабрь 2024'!$D$5:$D$2311,$B50,'декабрь 2024'!$J$5:$J$2311,U$1)</f>
        <v>0</v>
      </c>
      <c r="V50" s="80">
        <f>SUMIFS('декабрь 2024'!$G$5:$G$2311,'декабрь 2024'!$D$5:$D$2311,$B50,'декабрь 2024'!$J$5:$J$2311,V$1)</f>
        <v>0</v>
      </c>
      <c r="W50" s="80">
        <f>SUMIFS('декабрь 2024'!$G$5:$G$2311,'декабрь 2024'!$D$5:$D$2311,$B50,'декабрь 2024'!$J$5:$J$2311,W$1)</f>
        <v>0</v>
      </c>
      <c r="X50" s="80">
        <f>SUMIFS('декабрь 2024'!$G$5:$G$2311,'декабрь 2024'!$D$5:$D$2311,$B50,'декабрь 2024'!$J$5:$J$2311,X$1)</f>
        <v>0</v>
      </c>
      <c r="Y50" s="80">
        <f>SUMIFS('декабрь 2024'!$G$5:$G$2311,'декабрь 2024'!$D$5:$D$2311,$B50,'декабрь 2024'!$J$5:$J$2311,Y$1)</f>
        <v>0</v>
      </c>
      <c r="Z50" s="80">
        <f>SUMIFS('декабрь 2024'!$G$5:$G$2311,'декабрь 2024'!$D$5:$D$2311,$B50,'декабрь 2024'!$J$5:$J$2311,Z$1)</f>
        <v>0</v>
      </c>
      <c r="AA50" s="80">
        <f>SUMIFS('декабрь 2024'!$G$5:$G$2311,'декабрь 2024'!$D$5:$D$2311,$B50,'декабрь 2024'!$J$5:$J$2311,AA$1)</f>
        <v>0</v>
      </c>
      <c r="AB50" s="80">
        <f>SUMIFS('декабрь 2024'!$G$5:$G$2311,'декабрь 2024'!$D$5:$D$2311,$B50,'декабрь 2024'!$J$5:$J$2311,AB$1)</f>
        <v>0</v>
      </c>
      <c r="AC50" s="80">
        <f>SUMIFS('декабрь 2024'!$G$5:$G$2311,'декабрь 2024'!$D$5:$D$2311,$B50,'декабрь 2024'!$J$5:$J$2311,AC$1)</f>
        <v>0</v>
      </c>
      <c r="AD50" s="80">
        <f>SUMIFS('декабрь 2024'!$G$5:$G$2311,'декабрь 2024'!$D$5:$D$2311,$B50,'декабрь 2024'!$J$5:$J$2311,AD$1)</f>
        <v>0</v>
      </c>
      <c r="AE50" s="80">
        <f>SUMIFS('декабрь 2024'!$G$5:$G$2311,'декабрь 2024'!$D$5:$D$2311,$B50,'декабрь 2024'!$J$5:$J$2311,AE$1)</f>
        <v>0</v>
      </c>
      <c r="AF50" s="80">
        <f>SUMIFS('декабрь 2024'!$G$5:$G$2311,'декабрь 2024'!$D$5:$D$2311,$B50,'декабрь 2024'!$J$5:$J$2311,AF$1)</f>
        <v>0</v>
      </c>
      <c r="AG50" s="80">
        <f>SUMIFS('декабрь 2024'!$G$5:$G$2311,'декабрь 2024'!$D$5:$D$2311,$B50,'декабрь 2024'!$J$5:$J$2311,AG$1)</f>
        <v>0</v>
      </c>
      <c r="AH50" s="80">
        <f>SUMIFS('декабрь 2024'!$G$5:$G$2311,'декабрь 2024'!$D$5:$D$2311,$B50,'декабрь 2024'!$J$5:$J$2311,AH$1)</f>
        <v>0</v>
      </c>
      <c r="AI50" s="21">
        <f t="shared" si="1"/>
        <v>0</v>
      </c>
    </row>
    <row r="51" spans="2:35" ht="15" customHeight="1" x14ac:dyDescent="0.25">
      <c r="B51" s="150" t="s">
        <v>308</v>
      </c>
      <c r="C51" s="151">
        <v>14</v>
      </c>
      <c r="D51" s="80">
        <f>SUMIFS('декабрь 2024'!$G$5:$G$2311,'декабрь 2024'!$D$5:$D$2311,$B51,'декабрь 2024'!$J$5:$J$2311,D$1)</f>
        <v>0</v>
      </c>
      <c r="E51" s="80">
        <f>SUMIFS('декабрь 2024'!$G$5:$G$2311,'декабрь 2024'!$D$5:$D$2311,$B51,'декабрь 2024'!$J$5:$J$2311,E$1)</f>
        <v>0</v>
      </c>
      <c r="F51" s="80">
        <f>SUMIFS('декабрь 2024'!$G$5:$G$2311,'декабрь 2024'!$D$5:$D$2311,$B51,'декабрь 2024'!$J$5:$J$2311,F$1)</f>
        <v>0</v>
      </c>
      <c r="G51" s="80">
        <f>SUMIFS('декабрь 2024'!$G$5:$G$2311,'декабрь 2024'!$D$5:$D$2311,$B51,'декабрь 2024'!$J$5:$J$2311,G$1)</f>
        <v>0</v>
      </c>
      <c r="H51" s="80">
        <f>SUMIFS('декабрь 2024'!$G$5:$G$2311,'декабрь 2024'!$D$5:$D$2311,$B51,'декабрь 2024'!$J$5:$J$2311,H$1)</f>
        <v>0</v>
      </c>
      <c r="I51" s="80">
        <f>SUMIFS('декабрь 2024'!$G$5:$G$2311,'декабрь 2024'!$D$5:$D$2311,$B51,'декабрь 2024'!$J$5:$J$2311,I$1)</f>
        <v>0</v>
      </c>
      <c r="J51" s="80">
        <f>SUMIFS('декабрь 2024'!$G$5:$G$2311,'декабрь 2024'!$D$5:$D$2311,$B51,'декабрь 2024'!$J$5:$J$2311,J$1)</f>
        <v>0</v>
      </c>
      <c r="K51" s="80">
        <f>SUMIFS('декабрь 2024'!$G$5:$G$2311,'декабрь 2024'!$D$5:$D$2311,$B51,'декабрь 2024'!$J$5:$J$2311,K$1)</f>
        <v>0</v>
      </c>
      <c r="L51" s="80">
        <f>SUMIFS('декабрь 2024'!$G$5:$G$2311,'декабрь 2024'!$D$5:$D$2311,$B51,'декабрь 2024'!$J$5:$J$2311,L$1)</f>
        <v>0</v>
      </c>
      <c r="M51" s="80">
        <f>SUMIFS('декабрь 2024'!$G$5:$G$2311,'декабрь 2024'!$D$5:$D$2311,$B51,'декабрь 2024'!$J$5:$J$2311,M$1)</f>
        <v>0</v>
      </c>
      <c r="N51" s="80">
        <f>SUMIFS('декабрь 2024'!$G$5:$G$2311,'декабрь 2024'!$D$5:$D$2311,$B51,'декабрь 2024'!$J$5:$J$2311,N$1)</f>
        <v>0</v>
      </c>
      <c r="O51" s="80">
        <f>SUMIFS('декабрь 2024'!$G$5:$G$2311,'декабрь 2024'!$D$5:$D$2311,$B51,'декабрь 2024'!$J$5:$J$2311,O$1)</f>
        <v>0</v>
      </c>
      <c r="P51" s="80">
        <f>SUMIFS('декабрь 2024'!$G$5:$G$2311,'декабрь 2024'!$D$5:$D$2311,$B51,'декабрь 2024'!$J$5:$J$2311,P$1)</f>
        <v>0</v>
      </c>
      <c r="Q51" s="80">
        <f>SUMIFS('декабрь 2024'!$G$5:$G$2311,'декабрь 2024'!$D$5:$D$2311,$B51,'декабрь 2024'!$J$5:$J$2311,Q$1)</f>
        <v>0</v>
      </c>
      <c r="R51" s="80">
        <f>SUMIFS('декабрь 2024'!$G$5:$G$2311,'декабрь 2024'!$D$5:$D$2311,$B51,'декабрь 2024'!$J$5:$J$2311,R$1)</f>
        <v>0</v>
      </c>
      <c r="S51" s="80">
        <f>SUMIFS('декабрь 2024'!$G$5:$G$2311,'декабрь 2024'!$D$5:$D$2311,$B51,'декабрь 2024'!$J$5:$J$2311,S$1)</f>
        <v>0</v>
      </c>
      <c r="T51" s="80">
        <f>SUMIFS('декабрь 2024'!$G$5:$G$2311,'декабрь 2024'!$D$5:$D$2311,$B51,'декабрь 2024'!$J$5:$J$2311,T$1)</f>
        <v>0</v>
      </c>
      <c r="U51" s="80">
        <f>SUMIFS('декабрь 2024'!$G$5:$G$2311,'декабрь 2024'!$D$5:$D$2311,$B51,'декабрь 2024'!$J$5:$J$2311,U$1)</f>
        <v>0</v>
      </c>
      <c r="V51" s="80">
        <f>SUMIFS('декабрь 2024'!$G$5:$G$2311,'декабрь 2024'!$D$5:$D$2311,$B51,'декабрь 2024'!$J$5:$J$2311,V$1)</f>
        <v>0</v>
      </c>
      <c r="W51" s="80">
        <f>SUMIFS('декабрь 2024'!$G$5:$G$2311,'декабрь 2024'!$D$5:$D$2311,$B51,'декабрь 2024'!$J$5:$J$2311,W$1)</f>
        <v>0</v>
      </c>
      <c r="X51" s="80">
        <f>SUMIFS('декабрь 2024'!$G$5:$G$2311,'декабрь 2024'!$D$5:$D$2311,$B51,'декабрь 2024'!$J$5:$J$2311,X$1)</f>
        <v>0</v>
      </c>
      <c r="Y51" s="80">
        <f>SUMIFS('декабрь 2024'!$G$5:$G$2311,'декабрь 2024'!$D$5:$D$2311,$B51,'декабрь 2024'!$J$5:$J$2311,Y$1)</f>
        <v>0</v>
      </c>
      <c r="Z51" s="80">
        <f>SUMIFS('декабрь 2024'!$G$5:$G$2311,'декабрь 2024'!$D$5:$D$2311,$B51,'декабрь 2024'!$J$5:$J$2311,Z$1)</f>
        <v>0</v>
      </c>
      <c r="AA51" s="80">
        <f>SUMIFS('декабрь 2024'!$G$5:$G$2311,'декабрь 2024'!$D$5:$D$2311,$B51,'декабрь 2024'!$J$5:$J$2311,AA$1)</f>
        <v>0</v>
      </c>
      <c r="AB51" s="80">
        <f>SUMIFS('декабрь 2024'!$G$5:$G$2311,'декабрь 2024'!$D$5:$D$2311,$B51,'декабрь 2024'!$J$5:$J$2311,AB$1)</f>
        <v>0</v>
      </c>
      <c r="AC51" s="80">
        <f>SUMIFS('декабрь 2024'!$G$5:$G$2311,'декабрь 2024'!$D$5:$D$2311,$B51,'декабрь 2024'!$J$5:$J$2311,AC$1)</f>
        <v>0</v>
      </c>
      <c r="AD51" s="80">
        <f>SUMIFS('декабрь 2024'!$G$5:$G$2311,'декабрь 2024'!$D$5:$D$2311,$B51,'декабрь 2024'!$J$5:$J$2311,AD$1)</f>
        <v>0</v>
      </c>
      <c r="AE51" s="80">
        <f>SUMIFS('декабрь 2024'!$G$5:$G$2311,'декабрь 2024'!$D$5:$D$2311,$B51,'декабрь 2024'!$J$5:$J$2311,AE$1)</f>
        <v>0</v>
      </c>
      <c r="AF51" s="80">
        <f>SUMIFS('декабрь 2024'!$G$5:$G$2311,'декабрь 2024'!$D$5:$D$2311,$B51,'декабрь 2024'!$J$5:$J$2311,AF$1)</f>
        <v>0</v>
      </c>
      <c r="AG51" s="80">
        <f>SUMIFS('декабрь 2024'!$G$5:$G$2311,'декабрь 2024'!$D$5:$D$2311,$B51,'декабрь 2024'!$J$5:$J$2311,AG$1)</f>
        <v>0</v>
      </c>
      <c r="AH51" s="80">
        <f>SUMIFS('декабрь 2024'!$G$5:$G$2311,'декабрь 2024'!$D$5:$D$2311,$B51,'декабрь 2024'!$J$5:$J$2311,AH$1)</f>
        <v>0</v>
      </c>
      <c r="AI51" s="21">
        <f t="shared" si="1"/>
        <v>0</v>
      </c>
    </row>
    <row r="52" spans="2:35" ht="15" customHeight="1" x14ac:dyDescent="0.25">
      <c r="B52" s="150" t="s">
        <v>310</v>
      </c>
      <c r="C52" s="151">
        <v>25</v>
      </c>
      <c r="D52" s="80">
        <f>SUMIFS('декабрь 2024'!$G$5:$G$2311,'декабрь 2024'!$D$5:$D$2311,$B52,'декабрь 2024'!$J$5:$J$2311,D$1)</f>
        <v>0</v>
      </c>
      <c r="E52" s="80">
        <f>SUMIFS('декабрь 2024'!$G$5:$G$2311,'декабрь 2024'!$D$5:$D$2311,$B52,'декабрь 2024'!$J$5:$J$2311,E$1)</f>
        <v>0</v>
      </c>
      <c r="F52" s="80">
        <f>SUMIFS('декабрь 2024'!$G$5:$G$2311,'декабрь 2024'!$D$5:$D$2311,$B52,'декабрь 2024'!$J$5:$J$2311,F$1)</f>
        <v>0</v>
      </c>
      <c r="G52" s="80">
        <f>SUMIFS('декабрь 2024'!$G$5:$G$2311,'декабрь 2024'!$D$5:$D$2311,$B52,'декабрь 2024'!$J$5:$J$2311,G$1)</f>
        <v>0</v>
      </c>
      <c r="H52" s="80">
        <f>SUMIFS('декабрь 2024'!$G$5:$G$2311,'декабрь 2024'!$D$5:$D$2311,$B52,'декабрь 2024'!$J$5:$J$2311,H$1)</f>
        <v>0</v>
      </c>
      <c r="I52" s="80">
        <f>SUMIFS('декабрь 2024'!$G$5:$G$2311,'декабрь 2024'!$D$5:$D$2311,$B52,'декабрь 2024'!$J$5:$J$2311,I$1)</f>
        <v>0</v>
      </c>
      <c r="J52" s="80">
        <f>SUMIFS('декабрь 2024'!$G$5:$G$2311,'декабрь 2024'!$D$5:$D$2311,$B52,'декабрь 2024'!$J$5:$J$2311,J$1)</f>
        <v>0</v>
      </c>
      <c r="K52" s="80">
        <f>SUMIFS('декабрь 2024'!$G$5:$G$2311,'декабрь 2024'!$D$5:$D$2311,$B52,'декабрь 2024'!$J$5:$J$2311,K$1)</f>
        <v>0</v>
      </c>
      <c r="L52" s="80">
        <f>SUMIFS('декабрь 2024'!$G$5:$G$2311,'декабрь 2024'!$D$5:$D$2311,$B52,'декабрь 2024'!$J$5:$J$2311,L$1)</f>
        <v>0</v>
      </c>
      <c r="M52" s="80">
        <f>SUMIFS('декабрь 2024'!$G$5:$G$2311,'декабрь 2024'!$D$5:$D$2311,$B52,'декабрь 2024'!$J$5:$J$2311,M$1)</f>
        <v>0</v>
      </c>
      <c r="N52" s="80">
        <f>SUMIFS('декабрь 2024'!$G$5:$G$2311,'декабрь 2024'!$D$5:$D$2311,$B52,'декабрь 2024'!$J$5:$J$2311,N$1)</f>
        <v>0</v>
      </c>
      <c r="O52" s="80">
        <f>SUMIFS('декабрь 2024'!$G$5:$G$2311,'декабрь 2024'!$D$5:$D$2311,$B52,'декабрь 2024'!$J$5:$J$2311,O$1)</f>
        <v>0</v>
      </c>
      <c r="P52" s="80">
        <f>SUMIFS('декабрь 2024'!$G$5:$G$2311,'декабрь 2024'!$D$5:$D$2311,$B52,'декабрь 2024'!$J$5:$J$2311,P$1)</f>
        <v>0</v>
      </c>
      <c r="Q52" s="80">
        <f>SUMIFS('декабрь 2024'!$G$5:$G$2311,'декабрь 2024'!$D$5:$D$2311,$B52,'декабрь 2024'!$J$5:$J$2311,Q$1)</f>
        <v>0</v>
      </c>
      <c r="R52" s="80">
        <f>SUMIFS('декабрь 2024'!$G$5:$G$2311,'декабрь 2024'!$D$5:$D$2311,$B52,'декабрь 2024'!$J$5:$J$2311,R$1)</f>
        <v>0</v>
      </c>
      <c r="S52" s="80">
        <f>SUMIFS('декабрь 2024'!$G$5:$G$2311,'декабрь 2024'!$D$5:$D$2311,$B52,'декабрь 2024'!$J$5:$J$2311,S$1)</f>
        <v>0</v>
      </c>
      <c r="T52" s="80">
        <f>SUMIFS('декабрь 2024'!$G$5:$G$2311,'декабрь 2024'!$D$5:$D$2311,$B52,'декабрь 2024'!$J$5:$J$2311,T$1)</f>
        <v>0</v>
      </c>
      <c r="U52" s="80">
        <f>SUMIFS('декабрь 2024'!$G$5:$G$2311,'декабрь 2024'!$D$5:$D$2311,$B52,'декабрь 2024'!$J$5:$J$2311,U$1)</f>
        <v>0</v>
      </c>
      <c r="V52" s="80">
        <f>SUMIFS('декабрь 2024'!$G$5:$G$2311,'декабрь 2024'!$D$5:$D$2311,$B52,'декабрь 2024'!$J$5:$J$2311,V$1)</f>
        <v>0</v>
      </c>
      <c r="W52" s="80">
        <f>SUMIFS('декабрь 2024'!$G$5:$G$2311,'декабрь 2024'!$D$5:$D$2311,$B52,'декабрь 2024'!$J$5:$J$2311,W$1)</f>
        <v>0</v>
      </c>
      <c r="X52" s="80">
        <f>SUMIFS('декабрь 2024'!$G$5:$G$2311,'декабрь 2024'!$D$5:$D$2311,$B52,'декабрь 2024'!$J$5:$J$2311,X$1)</f>
        <v>0</v>
      </c>
      <c r="Y52" s="80">
        <f>SUMIFS('декабрь 2024'!$G$5:$G$2311,'декабрь 2024'!$D$5:$D$2311,$B52,'декабрь 2024'!$J$5:$J$2311,Y$1)</f>
        <v>0</v>
      </c>
      <c r="Z52" s="80">
        <f>SUMIFS('декабрь 2024'!$G$5:$G$2311,'декабрь 2024'!$D$5:$D$2311,$B52,'декабрь 2024'!$J$5:$J$2311,Z$1)</f>
        <v>0</v>
      </c>
      <c r="AA52" s="80">
        <f>SUMIFS('декабрь 2024'!$G$5:$G$2311,'декабрь 2024'!$D$5:$D$2311,$B52,'декабрь 2024'!$J$5:$J$2311,AA$1)</f>
        <v>0</v>
      </c>
      <c r="AB52" s="80">
        <f>SUMIFS('декабрь 2024'!$G$5:$G$2311,'декабрь 2024'!$D$5:$D$2311,$B52,'декабрь 2024'!$J$5:$J$2311,AB$1)</f>
        <v>0</v>
      </c>
      <c r="AC52" s="80">
        <f>SUMIFS('декабрь 2024'!$G$5:$G$2311,'декабрь 2024'!$D$5:$D$2311,$B52,'декабрь 2024'!$J$5:$J$2311,AC$1)</f>
        <v>0</v>
      </c>
      <c r="AD52" s="80">
        <f>SUMIFS('декабрь 2024'!$G$5:$G$2311,'декабрь 2024'!$D$5:$D$2311,$B52,'декабрь 2024'!$J$5:$J$2311,AD$1)</f>
        <v>0</v>
      </c>
      <c r="AE52" s="80">
        <f>SUMIFS('декабрь 2024'!$G$5:$G$2311,'декабрь 2024'!$D$5:$D$2311,$B52,'декабрь 2024'!$J$5:$J$2311,AE$1)</f>
        <v>0</v>
      </c>
      <c r="AF52" s="80">
        <f>SUMIFS('декабрь 2024'!$G$5:$G$2311,'декабрь 2024'!$D$5:$D$2311,$B52,'декабрь 2024'!$J$5:$J$2311,AF$1)</f>
        <v>0</v>
      </c>
      <c r="AG52" s="80">
        <f>SUMIFS('декабрь 2024'!$G$5:$G$2311,'декабрь 2024'!$D$5:$D$2311,$B52,'декабрь 2024'!$J$5:$J$2311,AG$1)</f>
        <v>0</v>
      </c>
      <c r="AH52" s="80">
        <f>SUMIFS('декабрь 2024'!$G$5:$G$2311,'декабрь 2024'!$D$5:$D$2311,$B52,'декабрь 2024'!$J$5:$J$2311,AH$1)</f>
        <v>0</v>
      </c>
      <c r="AI52" s="21">
        <f t="shared" si="1"/>
        <v>0</v>
      </c>
    </row>
    <row r="53" spans="2:35" ht="15" customHeight="1" x14ac:dyDescent="0.25">
      <c r="B53" s="150" t="s">
        <v>316</v>
      </c>
      <c r="C53" s="151">
        <v>20</v>
      </c>
      <c r="D53" s="80">
        <f>SUMIFS('декабрь 2024'!$G$5:$G$2311,'декабрь 2024'!$D$5:$D$2311,$B53,'декабрь 2024'!$J$5:$J$2311,D$1)</f>
        <v>0</v>
      </c>
      <c r="E53" s="80">
        <f>SUMIFS('декабрь 2024'!$G$5:$G$2311,'декабрь 2024'!$D$5:$D$2311,$B53,'декабрь 2024'!$J$5:$J$2311,E$1)</f>
        <v>0</v>
      </c>
      <c r="F53" s="80">
        <f>SUMIFS('декабрь 2024'!$G$5:$G$2311,'декабрь 2024'!$D$5:$D$2311,$B53,'декабрь 2024'!$J$5:$J$2311,F$1)</f>
        <v>0</v>
      </c>
      <c r="G53" s="80">
        <f>SUMIFS('декабрь 2024'!$G$5:$G$2311,'декабрь 2024'!$D$5:$D$2311,$B53,'декабрь 2024'!$J$5:$J$2311,G$1)</f>
        <v>0</v>
      </c>
      <c r="H53" s="80">
        <f>SUMIFS('декабрь 2024'!$G$5:$G$2311,'декабрь 2024'!$D$5:$D$2311,$B53,'декабрь 2024'!$J$5:$J$2311,H$1)</f>
        <v>0</v>
      </c>
      <c r="I53" s="80">
        <f>SUMIFS('декабрь 2024'!$G$5:$G$2311,'декабрь 2024'!$D$5:$D$2311,$B53,'декабрь 2024'!$J$5:$J$2311,I$1)</f>
        <v>0</v>
      </c>
      <c r="J53" s="80">
        <f>SUMIFS('декабрь 2024'!$G$5:$G$2311,'декабрь 2024'!$D$5:$D$2311,$B53,'декабрь 2024'!$J$5:$J$2311,J$1)</f>
        <v>0</v>
      </c>
      <c r="K53" s="80">
        <f>SUMIFS('декабрь 2024'!$G$5:$G$2311,'декабрь 2024'!$D$5:$D$2311,$B53,'декабрь 2024'!$J$5:$J$2311,K$1)</f>
        <v>0</v>
      </c>
      <c r="L53" s="80">
        <f>SUMIFS('декабрь 2024'!$G$5:$G$2311,'декабрь 2024'!$D$5:$D$2311,$B53,'декабрь 2024'!$J$5:$J$2311,L$1)</f>
        <v>0</v>
      </c>
      <c r="M53" s="80">
        <f>SUMIFS('декабрь 2024'!$G$5:$G$2311,'декабрь 2024'!$D$5:$D$2311,$B53,'декабрь 2024'!$J$5:$J$2311,M$1)</f>
        <v>0</v>
      </c>
      <c r="N53" s="80">
        <f>SUMIFS('декабрь 2024'!$G$5:$G$2311,'декабрь 2024'!$D$5:$D$2311,$B53,'декабрь 2024'!$J$5:$J$2311,N$1)</f>
        <v>0</v>
      </c>
      <c r="O53" s="80">
        <f>SUMIFS('декабрь 2024'!$G$5:$G$2311,'декабрь 2024'!$D$5:$D$2311,$B53,'декабрь 2024'!$J$5:$J$2311,O$1)</f>
        <v>0</v>
      </c>
      <c r="P53" s="80">
        <f>SUMIFS('декабрь 2024'!$G$5:$G$2311,'декабрь 2024'!$D$5:$D$2311,$B53,'декабрь 2024'!$J$5:$J$2311,P$1)</f>
        <v>0</v>
      </c>
      <c r="Q53" s="80">
        <f>SUMIFS('декабрь 2024'!$G$5:$G$2311,'декабрь 2024'!$D$5:$D$2311,$B53,'декабрь 2024'!$J$5:$J$2311,Q$1)</f>
        <v>0</v>
      </c>
      <c r="R53" s="80">
        <f>SUMIFS('декабрь 2024'!$G$5:$G$2311,'декабрь 2024'!$D$5:$D$2311,$B53,'декабрь 2024'!$J$5:$J$2311,R$1)</f>
        <v>0</v>
      </c>
      <c r="S53" s="80">
        <f>SUMIFS('декабрь 2024'!$G$5:$G$2311,'декабрь 2024'!$D$5:$D$2311,$B53,'декабрь 2024'!$J$5:$J$2311,S$1)</f>
        <v>0</v>
      </c>
      <c r="T53" s="80">
        <f>SUMIFS('декабрь 2024'!$G$5:$G$2311,'декабрь 2024'!$D$5:$D$2311,$B53,'декабрь 2024'!$J$5:$J$2311,T$1)</f>
        <v>0</v>
      </c>
      <c r="U53" s="80">
        <f>SUMIFS('декабрь 2024'!$G$5:$G$2311,'декабрь 2024'!$D$5:$D$2311,$B53,'декабрь 2024'!$J$5:$J$2311,U$1)</f>
        <v>0</v>
      </c>
      <c r="V53" s="80">
        <f>SUMIFS('декабрь 2024'!$G$5:$G$2311,'декабрь 2024'!$D$5:$D$2311,$B53,'декабрь 2024'!$J$5:$J$2311,V$1)</f>
        <v>0</v>
      </c>
      <c r="W53" s="80">
        <f>SUMIFS('декабрь 2024'!$G$5:$G$2311,'декабрь 2024'!$D$5:$D$2311,$B53,'декабрь 2024'!$J$5:$J$2311,W$1)</f>
        <v>0</v>
      </c>
      <c r="X53" s="80">
        <f>SUMIFS('декабрь 2024'!$G$5:$G$2311,'декабрь 2024'!$D$5:$D$2311,$B53,'декабрь 2024'!$J$5:$J$2311,X$1)</f>
        <v>0</v>
      </c>
      <c r="Y53" s="80">
        <f>SUMIFS('декабрь 2024'!$G$5:$G$2311,'декабрь 2024'!$D$5:$D$2311,$B53,'декабрь 2024'!$J$5:$J$2311,Y$1)</f>
        <v>0</v>
      </c>
      <c r="Z53" s="80">
        <f>SUMIFS('декабрь 2024'!$G$5:$G$2311,'декабрь 2024'!$D$5:$D$2311,$B53,'декабрь 2024'!$J$5:$J$2311,Z$1)</f>
        <v>0</v>
      </c>
      <c r="AA53" s="80">
        <f>SUMIFS('декабрь 2024'!$G$5:$G$2311,'декабрь 2024'!$D$5:$D$2311,$B53,'декабрь 2024'!$J$5:$J$2311,AA$1)</f>
        <v>0</v>
      </c>
      <c r="AB53" s="80">
        <f>SUMIFS('декабрь 2024'!$G$5:$G$2311,'декабрь 2024'!$D$5:$D$2311,$B53,'декабрь 2024'!$J$5:$J$2311,AB$1)</f>
        <v>0</v>
      </c>
      <c r="AC53" s="80">
        <f>SUMIFS('декабрь 2024'!$G$5:$G$2311,'декабрь 2024'!$D$5:$D$2311,$B53,'декабрь 2024'!$J$5:$J$2311,AC$1)</f>
        <v>0</v>
      </c>
      <c r="AD53" s="80">
        <f>SUMIFS('декабрь 2024'!$G$5:$G$2311,'декабрь 2024'!$D$5:$D$2311,$B53,'декабрь 2024'!$J$5:$J$2311,AD$1)</f>
        <v>0</v>
      </c>
      <c r="AE53" s="80">
        <f>SUMIFS('декабрь 2024'!$G$5:$G$2311,'декабрь 2024'!$D$5:$D$2311,$B53,'декабрь 2024'!$J$5:$J$2311,AE$1)</f>
        <v>0</v>
      </c>
      <c r="AF53" s="80">
        <f>SUMIFS('декабрь 2024'!$G$5:$G$2311,'декабрь 2024'!$D$5:$D$2311,$B53,'декабрь 2024'!$J$5:$J$2311,AF$1)</f>
        <v>0</v>
      </c>
      <c r="AG53" s="80">
        <f>SUMIFS('декабрь 2024'!$G$5:$G$2311,'декабрь 2024'!$D$5:$D$2311,$B53,'декабрь 2024'!$J$5:$J$2311,AG$1)</f>
        <v>0</v>
      </c>
      <c r="AH53" s="80">
        <f>SUMIFS('декабрь 2024'!$G$5:$G$2311,'декабрь 2024'!$D$5:$D$2311,$B53,'декабрь 2024'!$J$5:$J$2311,AH$1)</f>
        <v>0</v>
      </c>
      <c r="AI53" s="21">
        <f t="shared" si="1"/>
        <v>0</v>
      </c>
    </row>
    <row r="54" spans="2:35" ht="15" customHeight="1" x14ac:dyDescent="0.25">
      <c r="B54" s="146" t="s">
        <v>317</v>
      </c>
      <c r="C54" s="151">
        <v>20</v>
      </c>
      <c r="D54" s="80">
        <f>SUMIFS('декабрь 2024'!$G$5:$G$2311,'декабрь 2024'!$D$5:$D$2311,$B54,'декабрь 2024'!$J$5:$J$2311,D$1)</f>
        <v>0</v>
      </c>
      <c r="E54" s="80">
        <f>SUMIFS('декабрь 2024'!$G$5:$G$2311,'декабрь 2024'!$D$5:$D$2311,$B54,'декабрь 2024'!$J$5:$J$2311,E$1)</f>
        <v>0</v>
      </c>
      <c r="F54" s="80">
        <f>SUMIFS('декабрь 2024'!$G$5:$G$2311,'декабрь 2024'!$D$5:$D$2311,$B54,'декабрь 2024'!$J$5:$J$2311,F$1)</f>
        <v>0</v>
      </c>
      <c r="G54" s="80">
        <f>SUMIFS('декабрь 2024'!$G$5:$G$2311,'декабрь 2024'!$D$5:$D$2311,$B54,'декабрь 2024'!$J$5:$J$2311,G$1)</f>
        <v>0</v>
      </c>
      <c r="H54" s="80">
        <f>SUMIFS('декабрь 2024'!$G$5:$G$2311,'декабрь 2024'!$D$5:$D$2311,$B54,'декабрь 2024'!$J$5:$J$2311,H$1)</f>
        <v>0</v>
      </c>
      <c r="I54" s="80">
        <f>SUMIFS('декабрь 2024'!$G$5:$G$2311,'декабрь 2024'!$D$5:$D$2311,$B54,'декабрь 2024'!$J$5:$J$2311,I$1)</f>
        <v>0</v>
      </c>
      <c r="J54" s="80">
        <f>SUMIFS('декабрь 2024'!$G$5:$G$2311,'декабрь 2024'!$D$5:$D$2311,$B54,'декабрь 2024'!$J$5:$J$2311,J$1)</f>
        <v>0</v>
      </c>
      <c r="K54" s="80">
        <f>SUMIFS('декабрь 2024'!$G$5:$G$2311,'декабрь 2024'!$D$5:$D$2311,$B54,'декабрь 2024'!$J$5:$J$2311,K$1)</f>
        <v>0</v>
      </c>
      <c r="L54" s="80">
        <f>SUMIFS('декабрь 2024'!$G$5:$G$2311,'декабрь 2024'!$D$5:$D$2311,$B54,'декабрь 2024'!$J$5:$J$2311,L$1)</f>
        <v>0</v>
      </c>
      <c r="M54" s="80">
        <f>SUMIFS('декабрь 2024'!$G$5:$G$2311,'декабрь 2024'!$D$5:$D$2311,$B54,'декабрь 2024'!$J$5:$J$2311,M$1)</f>
        <v>0</v>
      </c>
      <c r="N54" s="80">
        <f>SUMIFS('декабрь 2024'!$G$5:$G$2311,'декабрь 2024'!$D$5:$D$2311,$B54,'декабрь 2024'!$J$5:$J$2311,N$1)</f>
        <v>0</v>
      </c>
      <c r="O54" s="80">
        <f>SUMIFS('декабрь 2024'!$G$5:$G$2311,'декабрь 2024'!$D$5:$D$2311,$B54,'декабрь 2024'!$J$5:$J$2311,O$1)</f>
        <v>0</v>
      </c>
      <c r="P54" s="80">
        <f>SUMIFS('декабрь 2024'!$G$5:$G$2311,'декабрь 2024'!$D$5:$D$2311,$B54,'декабрь 2024'!$J$5:$J$2311,P$1)</f>
        <v>0</v>
      </c>
      <c r="Q54" s="80">
        <f>SUMIFS('декабрь 2024'!$G$5:$G$2311,'декабрь 2024'!$D$5:$D$2311,$B54,'декабрь 2024'!$J$5:$J$2311,Q$1)</f>
        <v>0</v>
      </c>
      <c r="R54" s="80">
        <f>SUMIFS('декабрь 2024'!$G$5:$G$2311,'декабрь 2024'!$D$5:$D$2311,$B54,'декабрь 2024'!$J$5:$J$2311,R$1)</f>
        <v>0</v>
      </c>
      <c r="S54" s="80">
        <f>SUMIFS('декабрь 2024'!$G$5:$G$2311,'декабрь 2024'!$D$5:$D$2311,$B54,'декабрь 2024'!$J$5:$J$2311,S$1)</f>
        <v>0</v>
      </c>
      <c r="T54" s="80">
        <f>SUMIFS('декабрь 2024'!$G$5:$G$2311,'декабрь 2024'!$D$5:$D$2311,$B54,'декабрь 2024'!$J$5:$J$2311,T$1)</f>
        <v>0</v>
      </c>
      <c r="U54" s="80">
        <f>SUMIFS('декабрь 2024'!$G$5:$G$2311,'декабрь 2024'!$D$5:$D$2311,$B54,'декабрь 2024'!$J$5:$J$2311,U$1)</f>
        <v>0</v>
      </c>
      <c r="V54" s="80">
        <f>SUMIFS('декабрь 2024'!$G$5:$G$2311,'декабрь 2024'!$D$5:$D$2311,$B54,'декабрь 2024'!$J$5:$J$2311,V$1)</f>
        <v>0</v>
      </c>
      <c r="W54" s="80">
        <f>SUMIFS('декабрь 2024'!$G$5:$G$2311,'декабрь 2024'!$D$5:$D$2311,$B54,'декабрь 2024'!$J$5:$J$2311,W$1)</f>
        <v>0</v>
      </c>
      <c r="X54" s="80">
        <f>SUMIFS('декабрь 2024'!$G$5:$G$2311,'декабрь 2024'!$D$5:$D$2311,$B54,'декабрь 2024'!$J$5:$J$2311,X$1)</f>
        <v>0</v>
      </c>
      <c r="Y54" s="80">
        <f>SUMIFS('декабрь 2024'!$G$5:$G$2311,'декабрь 2024'!$D$5:$D$2311,$B54,'декабрь 2024'!$J$5:$J$2311,Y$1)</f>
        <v>0</v>
      </c>
      <c r="Z54" s="80">
        <f>SUMIFS('декабрь 2024'!$G$5:$G$2311,'декабрь 2024'!$D$5:$D$2311,$B54,'декабрь 2024'!$J$5:$J$2311,Z$1)</f>
        <v>0</v>
      </c>
      <c r="AA54" s="80">
        <f>SUMIFS('декабрь 2024'!$G$5:$G$2311,'декабрь 2024'!$D$5:$D$2311,$B54,'декабрь 2024'!$J$5:$J$2311,AA$1)</f>
        <v>0</v>
      </c>
      <c r="AB54" s="80">
        <f>SUMIFS('декабрь 2024'!$G$5:$G$2311,'декабрь 2024'!$D$5:$D$2311,$B54,'декабрь 2024'!$J$5:$J$2311,AB$1)</f>
        <v>0</v>
      </c>
      <c r="AC54" s="80">
        <f>SUMIFS('декабрь 2024'!$G$5:$G$2311,'декабрь 2024'!$D$5:$D$2311,$B54,'декабрь 2024'!$J$5:$J$2311,AC$1)</f>
        <v>0</v>
      </c>
      <c r="AD54" s="80">
        <f>SUMIFS('декабрь 2024'!$G$5:$G$2311,'декабрь 2024'!$D$5:$D$2311,$B54,'декабрь 2024'!$J$5:$J$2311,AD$1)</f>
        <v>0</v>
      </c>
      <c r="AE54" s="80">
        <f>SUMIFS('декабрь 2024'!$G$5:$G$2311,'декабрь 2024'!$D$5:$D$2311,$B54,'декабрь 2024'!$J$5:$J$2311,AE$1)</f>
        <v>0</v>
      </c>
      <c r="AF54" s="80">
        <f>SUMIFS('декабрь 2024'!$G$5:$G$2311,'декабрь 2024'!$D$5:$D$2311,$B54,'декабрь 2024'!$J$5:$J$2311,AF$1)</f>
        <v>0</v>
      </c>
      <c r="AG54" s="80">
        <f>SUMIFS('декабрь 2024'!$G$5:$G$2311,'декабрь 2024'!$D$5:$D$2311,$B54,'декабрь 2024'!$J$5:$J$2311,AG$1)</f>
        <v>0</v>
      </c>
      <c r="AH54" s="80">
        <f>SUMIFS('декабрь 2024'!$G$5:$G$2311,'декабрь 2024'!$D$5:$D$2311,$B54,'декабрь 2024'!$J$5:$J$2311,AH$1)</f>
        <v>0</v>
      </c>
      <c r="AI54" s="21">
        <f t="shared" si="1"/>
        <v>0</v>
      </c>
    </row>
    <row r="55" spans="2:35" ht="15" customHeight="1" x14ac:dyDescent="0.25">
      <c r="B55" s="150" t="s">
        <v>318</v>
      </c>
      <c r="C55" s="151">
        <v>20</v>
      </c>
      <c r="D55" s="80">
        <f>SUMIFS('декабрь 2024'!$G$5:$G$2311,'декабрь 2024'!$D$5:$D$2311,$B55,'декабрь 2024'!$J$5:$J$2311,D$1)</f>
        <v>0</v>
      </c>
      <c r="E55" s="80">
        <f>SUMIFS('декабрь 2024'!$G$5:$G$2311,'декабрь 2024'!$D$5:$D$2311,$B55,'декабрь 2024'!$J$5:$J$2311,E$1)</f>
        <v>0</v>
      </c>
      <c r="F55" s="80">
        <f>SUMIFS('декабрь 2024'!$G$5:$G$2311,'декабрь 2024'!$D$5:$D$2311,$B55,'декабрь 2024'!$J$5:$J$2311,F$1)</f>
        <v>0</v>
      </c>
      <c r="G55" s="80">
        <f>SUMIFS('декабрь 2024'!$G$5:$G$2311,'декабрь 2024'!$D$5:$D$2311,$B55,'декабрь 2024'!$J$5:$J$2311,G$1)</f>
        <v>0</v>
      </c>
      <c r="H55" s="80">
        <f>SUMIFS('декабрь 2024'!$G$5:$G$2311,'декабрь 2024'!$D$5:$D$2311,$B55,'декабрь 2024'!$J$5:$J$2311,H$1)</f>
        <v>0</v>
      </c>
      <c r="I55" s="80">
        <f>SUMIFS('декабрь 2024'!$G$5:$G$2311,'декабрь 2024'!$D$5:$D$2311,$B55,'декабрь 2024'!$J$5:$J$2311,I$1)</f>
        <v>0</v>
      </c>
      <c r="J55" s="80">
        <f>SUMIFS('декабрь 2024'!$G$5:$G$2311,'декабрь 2024'!$D$5:$D$2311,$B55,'декабрь 2024'!$J$5:$J$2311,J$1)</f>
        <v>0</v>
      </c>
      <c r="K55" s="80">
        <f>SUMIFS('декабрь 2024'!$G$5:$G$2311,'декабрь 2024'!$D$5:$D$2311,$B55,'декабрь 2024'!$J$5:$J$2311,K$1)</f>
        <v>0</v>
      </c>
      <c r="L55" s="80">
        <f>SUMIFS('декабрь 2024'!$G$5:$G$2311,'декабрь 2024'!$D$5:$D$2311,$B55,'декабрь 2024'!$J$5:$J$2311,L$1)</f>
        <v>0</v>
      </c>
      <c r="M55" s="80">
        <f>SUMIFS('декабрь 2024'!$G$5:$G$2311,'декабрь 2024'!$D$5:$D$2311,$B55,'декабрь 2024'!$J$5:$J$2311,M$1)</f>
        <v>0</v>
      </c>
      <c r="N55" s="80">
        <f>SUMIFS('декабрь 2024'!$G$5:$G$2311,'декабрь 2024'!$D$5:$D$2311,$B55,'декабрь 2024'!$J$5:$J$2311,N$1)</f>
        <v>0</v>
      </c>
      <c r="O55" s="80">
        <f>SUMIFS('декабрь 2024'!$G$5:$G$2311,'декабрь 2024'!$D$5:$D$2311,$B55,'декабрь 2024'!$J$5:$J$2311,O$1)</f>
        <v>0</v>
      </c>
      <c r="P55" s="80">
        <f>SUMIFS('декабрь 2024'!$G$5:$G$2311,'декабрь 2024'!$D$5:$D$2311,$B55,'декабрь 2024'!$J$5:$J$2311,P$1)</f>
        <v>0</v>
      </c>
      <c r="Q55" s="80">
        <f>SUMIFS('декабрь 2024'!$G$5:$G$2311,'декабрь 2024'!$D$5:$D$2311,$B55,'декабрь 2024'!$J$5:$J$2311,Q$1)</f>
        <v>0</v>
      </c>
      <c r="R55" s="80">
        <f>SUMIFS('декабрь 2024'!$G$5:$G$2311,'декабрь 2024'!$D$5:$D$2311,$B55,'декабрь 2024'!$J$5:$J$2311,R$1)</f>
        <v>0</v>
      </c>
      <c r="S55" s="80">
        <f>SUMIFS('декабрь 2024'!$G$5:$G$2311,'декабрь 2024'!$D$5:$D$2311,$B55,'декабрь 2024'!$J$5:$J$2311,S$1)</f>
        <v>0</v>
      </c>
      <c r="T55" s="80">
        <f>SUMIFS('декабрь 2024'!$G$5:$G$2311,'декабрь 2024'!$D$5:$D$2311,$B55,'декабрь 2024'!$J$5:$J$2311,T$1)</f>
        <v>0</v>
      </c>
      <c r="U55" s="80">
        <f>SUMIFS('декабрь 2024'!$G$5:$G$2311,'декабрь 2024'!$D$5:$D$2311,$B55,'декабрь 2024'!$J$5:$J$2311,U$1)</f>
        <v>0</v>
      </c>
      <c r="V55" s="80">
        <f>SUMIFS('декабрь 2024'!$G$5:$G$2311,'декабрь 2024'!$D$5:$D$2311,$B55,'декабрь 2024'!$J$5:$J$2311,V$1)</f>
        <v>0</v>
      </c>
      <c r="W55" s="80">
        <f>SUMIFS('декабрь 2024'!$G$5:$G$2311,'декабрь 2024'!$D$5:$D$2311,$B55,'декабрь 2024'!$J$5:$J$2311,W$1)</f>
        <v>0</v>
      </c>
      <c r="X55" s="80">
        <f>SUMIFS('декабрь 2024'!$G$5:$G$2311,'декабрь 2024'!$D$5:$D$2311,$B55,'декабрь 2024'!$J$5:$J$2311,X$1)</f>
        <v>0</v>
      </c>
      <c r="Y55" s="80">
        <f>SUMIFS('декабрь 2024'!$G$5:$G$2311,'декабрь 2024'!$D$5:$D$2311,$B55,'декабрь 2024'!$J$5:$J$2311,Y$1)</f>
        <v>0</v>
      </c>
      <c r="Z55" s="80">
        <f>SUMIFS('декабрь 2024'!$G$5:$G$2311,'декабрь 2024'!$D$5:$D$2311,$B55,'декабрь 2024'!$J$5:$J$2311,Z$1)</f>
        <v>0</v>
      </c>
      <c r="AA55" s="80">
        <f>SUMIFS('декабрь 2024'!$G$5:$G$2311,'декабрь 2024'!$D$5:$D$2311,$B55,'декабрь 2024'!$J$5:$J$2311,AA$1)</f>
        <v>0</v>
      </c>
      <c r="AB55" s="80">
        <f>SUMIFS('декабрь 2024'!$G$5:$G$2311,'декабрь 2024'!$D$5:$D$2311,$B55,'декабрь 2024'!$J$5:$J$2311,AB$1)</f>
        <v>0</v>
      </c>
      <c r="AC55" s="80">
        <f>SUMIFS('декабрь 2024'!$G$5:$G$2311,'декабрь 2024'!$D$5:$D$2311,$B55,'декабрь 2024'!$J$5:$J$2311,AC$1)</f>
        <v>0</v>
      </c>
      <c r="AD55" s="80">
        <f>SUMIFS('декабрь 2024'!$G$5:$G$2311,'декабрь 2024'!$D$5:$D$2311,$B55,'декабрь 2024'!$J$5:$J$2311,AD$1)</f>
        <v>0</v>
      </c>
      <c r="AE55" s="80">
        <f>SUMIFS('декабрь 2024'!$G$5:$G$2311,'декабрь 2024'!$D$5:$D$2311,$B55,'декабрь 2024'!$J$5:$J$2311,AE$1)</f>
        <v>0</v>
      </c>
      <c r="AF55" s="80">
        <f>SUMIFS('декабрь 2024'!$G$5:$G$2311,'декабрь 2024'!$D$5:$D$2311,$B55,'декабрь 2024'!$J$5:$J$2311,AF$1)</f>
        <v>0</v>
      </c>
      <c r="AG55" s="80">
        <f>SUMIFS('декабрь 2024'!$G$5:$G$2311,'декабрь 2024'!$D$5:$D$2311,$B55,'декабрь 2024'!$J$5:$J$2311,AG$1)</f>
        <v>0</v>
      </c>
      <c r="AH55" s="80">
        <f>SUMIFS('декабрь 2024'!$G$5:$G$2311,'декабрь 2024'!$D$5:$D$2311,$B55,'декабрь 2024'!$J$5:$J$2311,AH$1)</f>
        <v>0</v>
      </c>
      <c r="AI55" s="21">
        <f t="shared" si="1"/>
        <v>0</v>
      </c>
    </row>
    <row r="56" spans="2:35" ht="15" customHeight="1" x14ac:dyDescent="0.25">
      <c r="B56" s="150" t="s">
        <v>319</v>
      </c>
      <c r="C56" s="151">
        <v>20</v>
      </c>
      <c r="D56" s="80">
        <f>SUMIFS('декабрь 2024'!$G$5:$G$2311,'декабрь 2024'!$D$5:$D$2311,$B56,'декабрь 2024'!$J$5:$J$2311,D$1)</f>
        <v>0</v>
      </c>
      <c r="E56" s="80">
        <f>SUMIFS('декабрь 2024'!$G$5:$G$2311,'декабрь 2024'!$D$5:$D$2311,$B56,'декабрь 2024'!$J$5:$J$2311,E$1)</f>
        <v>0</v>
      </c>
      <c r="F56" s="80">
        <f>SUMIFS('декабрь 2024'!$G$5:$G$2311,'декабрь 2024'!$D$5:$D$2311,$B56,'декабрь 2024'!$J$5:$J$2311,F$1)</f>
        <v>0</v>
      </c>
      <c r="G56" s="80">
        <f>SUMIFS('декабрь 2024'!$G$5:$G$2311,'декабрь 2024'!$D$5:$D$2311,$B56,'декабрь 2024'!$J$5:$J$2311,G$1)</f>
        <v>0</v>
      </c>
      <c r="H56" s="80">
        <f>SUMIFS('декабрь 2024'!$G$5:$G$2311,'декабрь 2024'!$D$5:$D$2311,$B56,'декабрь 2024'!$J$5:$J$2311,H$1)</f>
        <v>0</v>
      </c>
      <c r="I56" s="80">
        <f>SUMIFS('декабрь 2024'!$G$5:$G$2311,'декабрь 2024'!$D$5:$D$2311,$B56,'декабрь 2024'!$J$5:$J$2311,I$1)</f>
        <v>0</v>
      </c>
      <c r="J56" s="80">
        <f>SUMIFS('декабрь 2024'!$G$5:$G$2311,'декабрь 2024'!$D$5:$D$2311,$B56,'декабрь 2024'!$J$5:$J$2311,J$1)</f>
        <v>0</v>
      </c>
      <c r="K56" s="80">
        <f>SUMIFS('декабрь 2024'!$G$5:$G$2311,'декабрь 2024'!$D$5:$D$2311,$B56,'декабрь 2024'!$J$5:$J$2311,K$1)</f>
        <v>0</v>
      </c>
      <c r="L56" s="80">
        <f>SUMIFS('декабрь 2024'!$G$5:$G$2311,'декабрь 2024'!$D$5:$D$2311,$B56,'декабрь 2024'!$J$5:$J$2311,L$1)</f>
        <v>0</v>
      </c>
      <c r="M56" s="80">
        <f>SUMIFS('декабрь 2024'!$G$5:$G$2311,'декабрь 2024'!$D$5:$D$2311,$B56,'декабрь 2024'!$J$5:$J$2311,M$1)</f>
        <v>0</v>
      </c>
      <c r="N56" s="80">
        <f>SUMIFS('декабрь 2024'!$G$5:$G$2311,'декабрь 2024'!$D$5:$D$2311,$B56,'декабрь 2024'!$J$5:$J$2311,N$1)</f>
        <v>0</v>
      </c>
      <c r="O56" s="80">
        <f>SUMIFS('декабрь 2024'!$G$5:$G$2311,'декабрь 2024'!$D$5:$D$2311,$B56,'декабрь 2024'!$J$5:$J$2311,O$1)</f>
        <v>0</v>
      </c>
      <c r="P56" s="80">
        <f>SUMIFS('декабрь 2024'!$G$5:$G$2311,'декабрь 2024'!$D$5:$D$2311,$B56,'декабрь 2024'!$J$5:$J$2311,P$1)</f>
        <v>0</v>
      </c>
      <c r="Q56" s="80">
        <f>SUMIFS('декабрь 2024'!$G$5:$G$2311,'декабрь 2024'!$D$5:$D$2311,$B56,'декабрь 2024'!$J$5:$J$2311,Q$1)</f>
        <v>0</v>
      </c>
      <c r="R56" s="80">
        <f>SUMIFS('декабрь 2024'!$G$5:$G$2311,'декабрь 2024'!$D$5:$D$2311,$B56,'декабрь 2024'!$J$5:$J$2311,R$1)</f>
        <v>0</v>
      </c>
      <c r="S56" s="80">
        <f>SUMIFS('декабрь 2024'!$G$5:$G$2311,'декабрь 2024'!$D$5:$D$2311,$B56,'декабрь 2024'!$J$5:$J$2311,S$1)</f>
        <v>0</v>
      </c>
      <c r="T56" s="80">
        <f>SUMIFS('декабрь 2024'!$G$5:$G$2311,'декабрь 2024'!$D$5:$D$2311,$B56,'декабрь 2024'!$J$5:$J$2311,T$1)</f>
        <v>0</v>
      </c>
      <c r="U56" s="80">
        <f>SUMIFS('декабрь 2024'!$G$5:$G$2311,'декабрь 2024'!$D$5:$D$2311,$B56,'декабрь 2024'!$J$5:$J$2311,U$1)</f>
        <v>0</v>
      </c>
      <c r="V56" s="80">
        <f>SUMIFS('декабрь 2024'!$G$5:$G$2311,'декабрь 2024'!$D$5:$D$2311,$B56,'декабрь 2024'!$J$5:$J$2311,V$1)</f>
        <v>0</v>
      </c>
      <c r="W56" s="80">
        <f>SUMIFS('декабрь 2024'!$G$5:$G$2311,'декабрь 2024'!$D$5:$D$2311,$B56,'декабрь 2024'!$J$5:$J$2311,W$1)</f>
        <v>0</v>
      </c>
      <c r="X56" s="80">
        <f>SUMIFS('декабрь 2024'!$G$5:$G$2311,'декабрь 2024'!$D$5:$D$2311,$B56,'декабрь 2024'!$J$5:$J$2311,X$1)</f>
        <v>0</v>
      </c>
      <c r="Y56" s="80">
        <f>SUMIFS('декабрь 2024'!$G$5:$G$2311,'декабрь 2024'!$D$5:$D$2311,$B56,'декабрь 2024'!$J$5:$J$2311,Y$1)</f>
        <v>0</v>
      </c>
      <c r="Z56" s="80">
        <f>SUMIFS('декабрь 2024'!$G$5:$G$2311,'декабрь 2024'!$D$5:$D$2311,$B56,'декабрь 2024'!$J$5:$J$2311,Z$1)</f>
        <v>0</v>
      </c>
      <c r="AA56" s="80">
        <f>SUMIFS('декабрь 2024'!$G$5:$G$2311,'декабрь 2024'!$D$5:$D$2311,$B56,'декабрь 2024'!$J$5:$J$2311,AA$1)</f>
        <v>0</v>
      </c>
      <c r="AB56" s="80">
        <f>SUMIFS('декабрь 2024'!$G$5:$G$2311,'декабрь 2024'!$D$5:$D$2311,$B56,'декабрь 2024'!$J$5:$J$2311,AB$1)</f>
        <v>0</v>
      </c>
      <c r="AC56" s="80">
        <f>SUMIFS('декабрь 2024'!$G$5:$G$2311,'декабрь 2024'!$D$5:$D$2311,$B56,'декабрь 2024'!$J$5:$J$2311,AC$1)</f>
        <v>0</v>
      </c>
      <c r="AD56" s="80">
        <f>SUMIFS('декабрь 2024'!$G$5:$G$2311,'декабрь 2024'!$D$5:$D$2311,$B56,'декабрь 2024'!$J$5:$J$2311,AD$1)</f>
        <v>0</v>
      </c>
      <c r="AE56" s="80">
        <f>SUMIFS('декабрь 2024'!$G$5:$G$2311,'декабрь 2024'!$D$5:$D$2311,$B56,'декабрь 2024'!$J$5:$J$2311,AE$1)</f>
        <v>0</v>
      </c>
      <c r="AF56" s="80">
        <f>SUMIFS('декабрь 2024'!$G$5:$G$2311,'декабрь 2024'!$D$5:$D$2311,$B56,'декабрь 2024'!$J$5:$J$2311,AF$1)</f>
        <v>0</v>
      </c>
      <c r="AG56" s="80">
        <f>SUMIFS('декабрь 2024'!$G$5:$G$2311,'декабрь 2024'!$D$5:$D$2311,$B56,'декабрь 2024'!$J$5:$J$2311,AG$1)</f>
        <v>0</v>
      </c>
      <c r="AH56" s="80">
        <f>SUMIFS('декабрь 2024'!$G$5:$G$2311,'декабрь 2024'!$D$5:$D$2311,$B56,'декабрь 2024'!$J$5:$J$2311,AH$1)</f>
        <v>0</v>
      </c>
      <c r="AI56" s="21">
        <f t="shared" si="1"/>
        <v>0</v>
      </c>
    </row>
    <row r="57" spans="2:35" ht="15" customHeight="1" x14ac:dyDescent="0.25">
      <c r="B57" s="150"/>
      <c r="C57" s="151"/>
      <c r="D57" s="80">
        <f>SUMIFS('декабрь 2024'!$G$5:$G$2311,'декабрь 2024'!$D$5:$D$2311,$B57,'декабрь 2024'!$J$5:$J$2311,D$1)</f>
        <v>0</v>
      </c>
      <c r="E57" s="80">
        <f>SUMIFS('декабрь 2024'!$G$5:$G$2311,'декабрь 2024'!$D$5:$D$2311,$B57,'декабрь 2024'!$J$5:$J$2311,E$1)</f>
        <v>0</v>
      </c>
      <c r="F57" s="80">
        <f>SUMIFS('декабрь 2024'!$G$5:$G$2311,'декабрь 2024'!$D$5:$D$2311,$B57,'декабрь 2024'!$J$5:$J$2311,F$1)</f>
        <v>0</v>
      </c>
      <c r="G57" s="80">
        <f>SUMIFS('декабрь 2024'!$G$5:$G$2311,'декабрь 2024'!$D$5:$D$2311,$B57,'декабрь 2024'!$J$5:$J$2311,G$1)</f>
        <v>0</v>
      </c>
      <c r="H57" s="80">
        <f>SUMIFS('декабрь 2024'!$G$5:$G$2311,'декабрь 2024'!$D$5:$D$2311,$B57,'декабрь 2024'!$J$5:$J$2311,H$1)</f>
        <v>0</v>
      </c>
      <c r="I57" s="80">
        <f>SUMIFS('декабрь 2024'!$G$5:$G$2311,'декабрь 2024'!$D$5:$D$2311,$B57,'декабрь 2024'!$J$5:$J$2311,I$1)</f>
        <v>0</v>
      </c>
      <c r="J57" s="80">
        <f>SUMIFS('декабрь 2024'!$G$5:$G$2311,'декабрь 2024'!$D$5:$D$2311,$B57,'декабрь 2024'!$J$5:$J$2311,J$1)</f>
        <v>0</v>
      </c>
      <c r="K57" s="80">
        <f>SUMIFS('декабрь 2024'!$G$5:$G$2311,'декабрь 2024'!$D$5:$D$2311,$B57,'декабрь 2024'!$J$5:$J$2311,K$1)</f>
        <v>0</v>
      </c>
      <c r="L57" s="80">
        <f>SUMIFS('декабрь 2024'!$G$5:$G$2311,'декабрь 2024'!$D$5:$D$2311,$B57,'декабрь 2024'!$J$5:$J$2311,L$1)</f>
        <v>0</v>
      </c>
      <c r="M57" s="80">
        <f>SUMIFS('декабрь 2024'!$G$5:$G$2311,'декабрь 2024'!$D$5:$D$2311,$B57,'декабрь 2024'!$J$5:$J$2311,M$1)</f>
        <v>0</v>
      </c>
      <c r="N57" s="80">
        <f>SUMIFS('декабрь 2024'!$G$5:$G$2311,'декабрь 2024'!$D$5:$D$2311,$B57,'декабрь 2024'!$J$5:$J$2311,N$1)</f>
        <v>0</v>
      </c>
      <c r="O57" s="80">
        <f>SUMIFS('декабрь 2024'!$G$5:$G$2311,'декабрь 2024'!$D$5:$D$2311,$B57,'декабрь 2024'!$J$5:$J$2311,O$1)</f>
        <v>0</v>
      </c>
      <c r="P57" s="80">
        <f>SUMIFS('декабрь 2024'!$G$5:$G$2311,'декабрь 2024'!$D$5:$D$2311,$B57,'декабрь 2024'!$J$5:$J$2311,P$1)</f>
        <v>0</v>
      </c>
      <c r="Q57" s="80">
        <f>SUMIFS('декабрь 2024'!$G$5:$G$2311,'декабрь 2024'!$D$5:$D$2311,$B57,'декабрь 2024'!$J$5:$J$2311,Q$1)</f>
        <v>0</v>
      </c>
      <c r="R57" s="80">
        <f>SUMIFS('декабрь 2024'!$G$5:$G$2311,'декабрь 2024'!$D$5:$D$2311,$B57,'декабрь 2024'!$J$5:$J$2311,R$1)</f>
        <v>0</v>
      </c>
      <c r="S57" s="80">
        <f>SUMIFS('декабрь 2024'!$G$5:$G$2311,'декабрь 2024'!$D$5:$D$2311,$B57,'декабрь 2024'!$J$5:$J$2311,S$1)</f>
        <v>0</v>
      </c>
      <c r="T57" s="80">
        <f>SUMIFS('декабрь 2024'!$G$5:$G$2311,'декабрь 2024'!$D$5:$D$2311,$B57,'декабрь 2024'!$J$5:$J$2311,T$1)</f>
        <v>0</v>
      </c>
      <c r="U57" s="80">
        <f>SUMIFS('декабрь 2024'!$G$5:$G$2311,'декабрь 2024'!$D$5:$D$2311,$B57,'декабрь 2024'!$J$5:$J$2311,U$1)</f>
        <v>0</v>
      </c>
      <c r="V57" s="80">
        <f>SUMIFS('декабрь 2024'!$G$5:$G$2311,'декабрь 2024'!$D$5:$D$2311,$B57,'декабрь 2024'!$J$5:$J$2311,V$1)</f>
        <v>0</v>
      </c>
      <c r="W57" s="80">
        <f>SUMIFS('декабрь 2024'!$G$5:$G$2311,'декабрь 2024'!$D$5:$D$2311,$B57,'декабрь 2024'!$J$5:$J$2311,W$1)</f>
        <v>0</v>
      </c>
      <c r="X57" s="80">
        <f>SUMIFS('декабрь 2024'!$G$5:$G$2311,'декабрь 2024'!$D$5:$D$2311,$B57,'декабрь 2024'!$J$5:$J$2311,X$1)</f>
        <v>0</v>
      </c>
      <c r="Y57" s="80">
        <f>SUMIFS('декабрь 2024'!$G$5:$G$2311,'декабрь 2024'!$D$5:$D$2311,$B57,'декабрь 2024'!$J$5:$J$2311,Y$1)</f>
        <v>0</v>
      </c>
      <c r="Z57" s="80">
        <f>SUMIFS('декабрь 2024'!$G$5:$G$2311,'декабрь 2024'!$D$5:$D$2311,$B57,'декабрь 2024'!$J$5:$J$2311,Z$1)</f>
        <v>0</v>
      </c>
      <c r="AA57" s="80">
        <f>SUMIFS('декабрь 2024'!$G$5:$G$2311,'декабрь 2024'!$D$5:$D$2311,$B57,'декабрь 2024'!$J$5:$J$2311,AA$1)</f>
        <v>0</v>
      </c>
      <c r="AB57" s="80">
        <f>SUMIFS('декабрь 2024'!$G$5:$G$2311,'декабрь 2024'!$D$5:$D$2311,$B57,'декабрь 2024'!$J$5:$J$2311,AB$1)</f>
        <v>0</v>
      </c>
      <c r="AC57" s="80">
        <f>SUMIFS('декабрь 2024'!$G$5:$G$2311,'декабрь 2024'!$D$5:$D$2311,$B57,'декабрь 2024'!$J$5:$J$2311,AC$1)</f>
        <v>0</v>
      </c>
      <c r="AD57" s="80">
        <f>SUMIFS('декабрь 2024'!$G$5:$G$2311,'декабрь 2024'!$D$5:$D$2311,$B57,'декабрь 2024'!$J$5:$J$2311,AD$1)</f>
        <v>0</v>
      </c>
      <c r="AE57" s="80">
        <f>SUMIFS('декабрь 2024'!$G$5:$G$2311,'декабрь 2024'!$D$5:$D$2311,$B57,'декабрь 2024'!$J$5:$J$2311,AE$1)</f>
        <v>0</v>
      </c>
      <c r="AF57" s="80">
        <f>SUMIFS('декабрь 2024'!$G$5:$G$2311,'декабрь 2024'!$D$5:$D$2311,$B57,'декабрь 2024'!$J$5:$J$2311,AF$1)</f>
        <v>0</v>
      </c>
      <c r="AG57" s="80">
        <f>SUMIFS('декабрь 2024'!$G$5:$G$2311,'декабрь 2024'!$D$5:$D$2311,$B57,'декабрь 2024'!$J$5:$J$2311,AG$1)</f>
        <v>0</v>
      </c>
      <c r="AH57" s="80">
        <f>SUMIFS('декабрь 2024'!$G$5:$G$2311,'декабрь 2024'!$D$5:$D$2311,$B57,'декабрь 2024'!$J$5:$J$2311,AH$1)</f>
        <v>0</v>
      </c>
      <c r="AI57" s="21">
        <f t="shared" si="1"/>
        <v>0</v>
      </c>
    </row>
    <row r="58" spans="2:35" ht="15" customHeight="1" x14ac:dyDescent="0.25">
      <c r="B58" s="150"/>
      <c r="C58" s="151"/>
      <c r="D58" s="80">
        <f>SUMIFS('декабрь 2024'!$G$5:$G$2311,'декабрь 2024'!$D$5:$D$2311,$B58,'декабрь 2024'!$J$5:$J$2311,D$1)</f>
        <v>0</v>
      </c>
      <c r="E58" s="80">
        <f>SUMIFS('декабрь 2024'!$G$5:$G$2311,'декабрь 2024'!$D$5:$D$2311,$B58,'декабрь 2024'!$J$5:$J$2311,E$1)</f>
        <v>0</v>
      </c>
      <c r="F58" s="80">
        <f>SUMIFS('декабрь 2024'!$G$5:$G$2311,'декабрь 2024'!$D$5:$D$2311,$B58,'декабрь 2024'!$J$5:$J$2311,F$1)</f>
        <v>0</v>
      </c>
      <c r="G58" s="80">
        <f>SUMIFS('декабрь 2024'!$G$5:$G$2311,'декабрь 2024'!$D$5:$D$2311,$B58,'декабрь 2024'!$J$5:$J$2311,G$1)</f>
        <v>0</v>
      </c>
      <c r="H58" s="80">
        <f>SUMIFS('декабрь 2024'!$G$5:$G$2311,'декабрь 2024'!$D$5:$D$2311,$B58,'декабрь 2024'!$J$5:$J$2311,H$1)</f>
        <v>0</v>
      </c>
      <c r="I58" s="80">
        <f>SUMIFS('декабрь 2024'!$G$5:$G$2311,'декабрь 2024'!$D$5:$D$2311,$B58,'декабрь 2024'!$J$5:$J$2311,I$1)</f>
        <v>0</v>
      </c>
      <c r="J58" s="80">
        <f>SUMIFS('декабрь 2024'!$G$5:$G$2311,'декабрь 2024'!$D$5:$D$2311,$B58,'декабрь 2024'!$J$5:$J$2311,J$1)</f>
        <v>0</v>
      </c>
      <c r="K58" s="80">
        <f>SUMIFS('декабрь 2024'!$G$5:$G$2311,'декабрь 2024'!$D$5:$D$2311,$B58,'декабрь 2024'!$J$5:$J$2311,K$1)</f>
        <v>0</v>
      </c>
      <c r="L58" s="80">
        <f>SUMIFS('декабрь 2024'!$G$5:$G$2311,'декабрь 2024'!$D$5:$D$2311,$B58,'декабрь 2024'!$J$5:$J$2311,L$1)</f>
        <v>0</v>
      </c>
      <c r="M58" s="80">
        <f>SUMIFS('декабрь 2024'!$G$5:$G$2311,'декабрь 2024'!$D$5:$D$2311,$B58,'декабрь 2024'!$J$5:$J$2311,M$1)</f>
        <v>0</v>
      </c>
      <c r="N58" s="80">
        <f>SUMIFS('декабрь 2024'!$G$5:$G$2311,'декабрь 2024'!$D$5:$D$2311,$B58,'декабрь 2024'!$J$5:$J$2311,N$1)</f>
        <v>0</v>
      </c>
      <c r="O58" s="80">
        <f>SUMIFS('декабрь 2024'!$G$5:$G$2311,'декабрь 2024'!$D$5:$D$2311,$B58,'декабрь 2024'!$J$5:$J$2311,O$1)</f>
        <v>0</v>
      </c>
      <c r="P58" s="80">
        <f>SUMIFS('декабрь 2024'!$G$5:$G$2311,'декабрь 2024'!$D$5:$D$2311,$B58,'декабрь 2024'!$J$5:$J$2311,P$1)</f>
        <v>0</v>
      </c>
      <c r="Q58" s="80">
        <f>SUMIFS('декабрь 2024'!$G$5:$G$2311,'декабрь 2024'!$D$5:$D$2311,$B58,'декабрь 2024'!$J$5:$J$2311,Q$1)</f>
        <v>0</v>
      </c>
      <c r="R58" s="80">
        <f>SUMIFS('декабрь 2024'!$G$5:$G$2311,'декабрь 2024'!$D$5:$D$2311,$B58,'декабрь 2024'!$J$5:$J$2311,R$1)</f>
        <v>0</v>
      </c>
      <c r="S58" s="80">
        <f>SUMIFS('декабрь 2024'!$G$5:$G$2311,'декабрь 2024'!$D$5:$D$2311,$B58,'декабрь 2024'!$J$5:$J$2311,S$1)</f>
        <v>0</v>
      </c>
      <c r="T58" s="80">
        <f>SUMIFS('декабрь 2024'!$G$5:$G$2311,'декабрь 2024'!$D$5:$D$2311,$B58,'декабрь 2024'!$J$5:$J$2311,T$1)</f>
        <v>0</v>
      </c>
      <c r="U58" s="80">
        <f>SUMIFS('декабрь 2024'!$G$5:$G$2311,'декабрь 2024'!$D$5:$D$2311,$B58,'декабрь 2024'!$J$5:$J$2311,U$1)</f>
        <v>0</v>
      </c>
      <c r="V58" s="80">
        <f>SUMIFS('декабрь 2024'!$G$5:$G$2311,'декабрь 2024'!$D$5:$D$2311,$B58,'декабрь 2024'!$J$5:$J$2311,V$1)</f>
        <v>0</v>
      </c>
      <c r="W58" s="80">
        <f>SUMIFS('декабрь 2024'!$G$5:$G$2311,'декабрь 2024'!$D$5:$D$2311,$B58,'декабрь 2024'!$J$5:$J$2311,W$1)</f>
        <v>0</v>
      </c>
      <c r="X58" s="80">
        <f>SUMIFS('декабрь 2024'!$G$5:$G$2311,'декабрь 2024'!$D$5:$D$2311,$B58,'декабрь 2024'!$J$5:$J$2311,X$1)</f>
        <v>0</v>
      </c>
      <c r="Y58" s="80">
        <f>SUMIFS('декабрь 2024'!$G$5:$G$2311,'декабрь 2024'!$D$5:$D$2311,$B58,'декабрь 2024'!$J$5:$J$2311,Y$1)</f>
        <v>0</v>
      </c>
      <c r="Z58" s="80">
        <f>SUMIFS('декабрь 2024'!$G$5:$G$2311,'декабрь 2024'!$D$5:$D$2311,$B58,'декабрь 2024'!$J$5:$J$2311,Z$1)</f>
        <v>0</v>
      </c>
      <c r="AA58" s="80">
        <f>SUMIFS('декабрь 2024'!$G$5:$G$2311,'декабрь 2024'!$D$5:$D$2311,$B58,'декабрь 2024'!$J$5:$J$2311,AA$1)</f>
        <v>0</v>
      </c>
      <c r="AB58" s="80">
        <f>SUMIFS('декабрь 2024'!$G$5:$G$2311,'декабрь 2024'!$D$5:$D$2311,$B58,'декабрь 2024'!$J$5:$J$2311,AB$1)</f>
        <v>0</v>
      </c>
      <c r="AC58" s="80">
        <f>SUMIFS('декабрь 2024'!$G$5:$G$2311,'декабрь 2024'!$D$5:$D$2311,$B58,'декабрь 2024'!$J$5:$J$2311,AC$1)</f>
        <v>0</v>
      </c>
      <c r="AD58" s="80">
        <f>SUMIFS('декабрь 2024'!$G$5:$G$2311,'декабрь 2024'!$D$5:$D$2311,$B58,'декабрь 2024'!$J$5:$J$2311,AD$1)</f>
        <v>0</v>
      </c>
      <c r="AE58" s="80">
        <f>SUMIFS('декабрь 2024'!$G$5:$G$2311,'декабрь 2024'!$D$5:$D$2311,$B58,'декабрь 2024'!$J$5:$J$2311,AE$1)</f>
        <v>0</v>
      </c>
      <c r="AF58" s="80">
        <f>SUMIFS('декабрь 2024'!$G$5:$G$2311,'декабрь 2024'!$D$5:$D$2311,$B58,'декабрь 2024'!$J$5:$J$2311,AF$1)</f>
        <v>0</v>
      </c>
      <c r="AG58" s="80">
        <f>SUMIFS('декабрь 2024'!$G$5:$G$2311,'декабрь 2024'!$D$5:$D$2311,$B58,'декабрь 2024'!$J$5:$J$2311,AG$1)</f>
        <v>0</v>
      </c>
      <c r="AH58" s="80">
        <f>SUMIFS('декабрь 2024'!$G$5:$G$2311,'декабрь 2024'!$D$5:$D$2311,$B58,'декабрь 2024'!$J$5:$J$2311,AH$1)</f>
        <v>0</v>
      </c>
      <c r="AI58" s="21">
        <f t="shared" si="1"/>
        <v>0</v>
      </c>
    </row>
    <row r="59" spans="2:35" ht="15" customHeight="1" x14ac:dyDescent="0.25">
      <c r="B59" s="155"/>
      <c r="C59" s="151"/>
      <c r="D59" s="80">
        <f>SUMIFS('декабрь 2024'!$G$5:$G$2311,'декабрь 2024'!$D$5:$D$2311,$B59,'декабрь 2024'!$J$5:$J$2311,D$1)</f>
        <v>0</v>
      </c>
      <c r="E59" s="80">
        <f>SUMIFS('декабрь 2024'!$G$5:$G$2311,'декабрь 2024'!$D$5:$D$2311,$B59,'декабрь 2024'!$J$5:$J$2311,E$1)</f>
        <v>0</v>
      </c>
      <c r="F59" s="80">
        <f>SUMIFS('декабрь 2024'!$G$5:$G$2311,'декабрь 2024'!$D$5:$D$2311,$B59,'декабрь 2024'!$J$5:$J$2311,F$1)</f>
        <v>0</v>
      </c>
      <c r="G59" s="80">
        <f>SUMIFS('декабрь 2024'!$G$5:$G$2311,'декабрь 2024'!$D$5:$D$2311,$B59,'декабрь 2024'!$J$5:$J$2311,G$1)</f>
        <v>0</v>
      </c>
      <c r="H59" s="80">
        <f>SUMIFS('декабрь 2024'!$G$5:$G$2311,'декабрь 2024'!$D$5:$D$2311,$B59,'декабрь 2024'!$J$5:$J$2311,H$1)</f>
        <v>0</v>
      </c>
      <c r="I59" s="80">
        <f>SUMIFS('декабрь 2024'!$G$5:$G$2311,'декабрь 2024'!$D$5:$D$2311,$B59,'декабрь 2024'!$J$5:$J$2311,I$1)</f>
        <v>0</v>
      </c>
      <c r="J59" s="80">
        <f>SUMIFS('декабрь 2024'!$G$5:$G$2311,'декабрь 2024'!$D$5:$D$2311,$B59,'декабрь 2024'!$J$5:$J$2311,J$1)</f>
        <v>0</v>
      </c>
      <c r="K59" s="80">
        <f>SUMIFS('декабрь 2024'!$G$5:$G$2311,'декабрь 2024'!$D$5:$D$2311,$B59,'декабрь 2024'!$J$5:$J$2311,K$1)</f>
        <v>0</v>
      </c>
      <c r="L59" s="80">
        <f>SUMIFS('декабрь 2024'!$G$5:$G$2311,'декабрь 2024'!$D$5:$D$2311,$B59,'декабрь 2024'!$J$5:$J$2311,L$1)</f>
        <v>0</v>
      </c>
      <c r="M59" s="80">
        <f>SUMIFS('декабрь 2024'!$G$5:$G$2311,'декабрь 2024'!$D$5:$D$2311,$B59,'декабрь 2024'!$J$5:$J$2311,M$1)</f>
        <v>0</v>
      </c>
      <c r="N59" s="80">
        <f>SUMIFS('декабрь 2024'!$G$5:$G$2311,'декабрь 2024'!$D$5:$D$2311,$B59,'декабрь 2024'!$J$5:$J$2311,N$1)</f>
        <v>0</v>
      </c>
      <c r="O59" s="80">
        <f>SUMIFS('декабрь 2024'!$G$5:$G$2311,'декабрь 2024'!$D$5:$D$2311,$B59,'декабрь 2024'!$J$5:$J$2311,O$1)</f>
        <v>0</v>
      </c>
      <c r="P59" s="80">
        <f>SUMIFS('декабрь 2024'!$G$5:$G$2311,'декабрь 2024'!$D$5:$D$2311,$B59,'декабрь 2024'!$J$5:$J$2311,P$1)</f>
        <v>0</v>
      </c>
      <c r="Q59" s="80">
        <f>SUMIFS('декабрь 2024'!$G$5:$G$2311,'декабрь 2024'!$D$5:$D$2311,$B59,'декабрь 2024'!$J$5:$J$2311,Q$1)</f>
        <v>0</v>
      </c>
      <c r="R59" s="80">
        <f>SUMIFS('декабрь 2024'!$G$5:$G$2311,'декабрь 2024'!$D$5:$D$2311,$B59,'декабрь 2024'!$J$5:$J$2311,R$1)</f>
        <v>0</v>
      </c>
      <c r="S59" s="80">
        <f>SUMIFS('декабрь 2024'!$G$5:$G$2311,'декабрь 2024'!$D$5:$D$2311,$B59,'декабрь 2024'!$J$5:$J$2311,S$1)</f>
        <v>0</v>
      </c>
      <c r="T59" s="80">
        <f>SUMIFS('декабрь 2024'!$G$5:$G$2311,'декабрь 2024'!$D$5:$D$2311,$B59,'декабрь 2024'!$J$5:$J$2311,T$1)</f>
        <v>0</v>
      </c>
      <c r="U59" s="80">
        <f>SUMIFS('декабрь 2024'!$G$5:$G$2311,'декабрь 2024'!$D$5:$D$2311,$B59,'декабрь 2024'!$J$5:$J$2311,U$1)</f>
        <v>0</v>
      </c>
      <c r="V59" s="80">
        <f>SUMIFS('декабрь 2024'!$G$5:$G$2311,'декабрь 2024'!$D$5:$D$2311,$B59,'декабрь 2024'!$J$5:$J$2311,V$1)</f>
        <v>0</v>
      </c>
      <c r="W59" s="80">
        <f>SUMIFS('декабрь 2024'!$G$5:$G$2311,'декабрь 2024'!$D$5:$D$2311,$B59,'декабрь 2024'!$J$5:$J$2311,W$1)</f>
        <v>0</v>
      </c>
      <c r="X59" s="80">
        <f>SUMIFS('декабрь 2024'!$G$5:$G$2311,'декабрь 2024'!$D$5:$D$2311,$B59,'декабрь 2024'!$J$5:$J$2311,X$1)</f>
        <v>0</v>
      </c>
      <c r="Y59" s="80">
        <f>SUMIFS('декабрь 2024'!$G$5:$G$2311,'декабрь 2024'!$D$5:$D$2311,$B59,'декабрь 2024'!$J$5:$J$2311,Y$1)</f>
        <v>0</v>
      </c>
      <c r="Z59" s="80">
        <f>SUMIFS('декабрь 2024'!$G$5:$G$2311,'декабрь 2024'!$D$5:$D$2311,$B59,'декабрь 2024'!$J$5:$J$2311,Z$1)</f>
        <v>0</v>
      </c>
      <c r="AA59" s="80">
        <f>SUMIFS('декабрь 2024'!$G$5:$G$2311,'декабрь 2024'!$D$5:$D$2311,$B59,'декабрь 2024'!$J$5:$J$2311,AA$1)</f>
        <v>0</v>
      </c>
      <c r="AB59" s="80">
        <f>SUMIFS('декабрь 2024'!$G$5:$G$2311,'декабрь 2024'!$D$5:$D$2311,$B59,'декабрь 2024'!$J$5:$J$2311,AB$1)</f>
        <v>0</v>
      </c>
      <c r="AC59" s="80">
        <f>SUMIFS('декабрь 2024'!$G$5:$G$2311,'декабрь 2024'!$D$5:$D$2311,$B59,'декабрь 2024'!$J$5:$J$2311,AC$1)</f>
        <v>0</v>
      </c>
      <c r="AD59" s="80">
        <f>SUMIFS('декабрь 2024'!$G$5:$G$2311,'декабрь 2024'!$D$5:$D$2311,$B59,'декабрь 2024'!$J$5:$J$2311,AD$1)</f>
        <v>0</v>
      </c>
      <c r="AE59" s="80">
        <f>SUMIFS('декабрь 2024'!$G$5:$G$2311,'декабрь 2024'!$D$5:$D$2311,$B59,'декабрь 2024'!$J$5:$J$2311,AE$1)</f>
        <v>0</v>
      </c>
      <c r="AF59" s="80">
        <f>SUMIFS('декабрь 2024'!$G$5:$G$2311,'декабрь 2024'!$D$5:$D$2311,$B59,'декабрь 2024'!$J$5:$J$2311,AF$1)</f>
        <v>0</v>
      </c>
      <c r="AG59" s="80">
        <f>SUMIFS('декабрь 2024'!$G$5:$G$2311,'декабрь 2024'!$D$5:$D$2311,$B59,'декабрь 2024'!$J$5:$J$2311,AG$1)</f>
        <v>0</v>
      </c>
      <c r="AH59" s="80">
        <f>SUMIFS('декабрь 2024'!$G$5:$G$2311,'декабрь 2024'!$D$5:$D$2311,$B59,'декабрь 2024'!$J$5:$J$2311,AH$1)</f>
        <v>0</v>
      </c>
      <c r="AI59" s="21">
        <f t="shared" si="1"/>
        <v>0</v>
      </c>
    </row>
    <row r="60" spans="2:35" ht="15" customHeight="1" x14ac:dyDescent="0.25">
      <c r="B60" s="155"/>
      <c r="C60" s="151"/>
      <c r="D60" s="80">
        <f>SUMIFS('декабрь 2024'!$G$5:$G$2311,'декабрь 2024'!$D$5:$D$2311,$B60,'декабрь 2024'!$J$5:$J$2311,D$1)</f>
        <v>0</v>
      </c>
      <c r="E60" s="80">
        <f>SUMIFS('декабрь 2024'!$G$5:$G$2311,'декабрь 2024'!$D$5:$D$2311,$B60,'декабрь 2024'!$J$5:$J$2311,E$1)</f>
        <v>0</v>
      </c>
      <c r="F60" s="80">
        <f>SUMIFS('декабрь 2024'!$G$5:$G$2311,'декабрь 2024'!$D$5:$D$2311,$B60,'декабрь 2024'!$J$5:$J$2311,F$1)</f>
        <v>0</v>
      </c>
      <c r="G60" s="80">
        <f>SUMIFS('декабрь 2024'!$G$5:$G$2311,'декабрь 2024'!$D$5:$D$2311,$B60,'декабрь 2024'!$J$5:$J$2311,G$1)</f>
        <v>0</v>
      </c>
      <c r="H60" s="80">
        <f>SUMIFS('декабрь 2024'!$G$5:$G$2311,'декабрь 2024'!$D$5:$D$2311,$B60,'декабрь 2024'!$J$5:$J$2311,H$1)</f>
        <v>0</v>
      </c>
      <c r="I60" s="80">
        <f>SUMIFS('декабрь 2024'!$G$5:$G$2311,'декабрь 2024'!$D$5:$D$2311,$B60,'декабрь 2024'!$J$5:$J$2311,I$1)</f>
        <v>0</v>
      </c>
      <c r="J60" s="80">
        <f>SUMIFS('декабрь 2024'!$G$5:$G$2311,'декабрь 2024'!$D$5:$D$2311,$B60,'декабрь 2024'!$J$5:$J$2311,J$1)</f>
        <v>0</v>
      </c>
      <c r="K60" s="80">
        <f>SUMIFS('декабрь 2024'!$G$5:$G$2311,'декабрь 2024'!$D$5:$D$2311,$B60,'декабрь 2024'!$J$5:$J$2311,K$1)</f>
        <v>0</v>
      </c>
      <c r="L60" s="80">
        <f>SUMIFS('декабрь 2024'!$G$5:$G$2311,'декабрь 2024'!$D$5:$D$2311,$B60,'декабрь 2024'!$J$5:$J$2311,L$1)</f>
        <v>0</v>
      </c>
      <c r="M60" s="80">
        <f>SUMIFS('декабрь 2024'!$G$5:$G$2311,'декабрь 2024'!$D$5:$D$2311,$B60,'декабрь 2024'!$J$5:$J$2311,M$1)</f>
        <v>0</v>
      </c>
      <c r="N60" s="80">
        <f>SUMIFS('декабрь 2024'!$G$5:$G$2311,'декабрь 2024'!$D$5:$D$2311,$B60,'декабрь 2024'!$J$5:$J$2311,N$1)</f>
        <v>0</v>
      </c>
      <c r="O60" s="80">
        <f>SUMIFS('декабрь 2024'!$G$5:$G$2311,'декабрь 2024'!$D$5:$D$2311,$B60,'декабрь 2024'!$J$5:$J$2311,O$1)</f>
        <v>0</v>
      </c>
      <c r="P60" s="80">
        <f>SUMIFS('декабрь 2024'!$G$5:$G$2311,'декабрь 2024'!$D$5:$D$2311,$B60,'декабрь 2024'!$J$5:$J$2311,P$1)</f>
        <v>0</v>
      </c>
      <c r="Q60" s="80">
        <f>SUMIFS('декабрь 2024'!$G$5:$G$2311,'декабрь 2024'!$D$5:$D$2311,$B60,'декабрь 2024'!$J$5:$J$2311,Q$1)</f>
        <v>0</v>
      </c>
      <c r="R60" s="80">
        <f>SUMIFS('декабрь 2024'!$G$5:$G$2311,'декабрь 2024'!$D$5:$D$2311,$B60,'декабрь 2024'!$J$5:$J$2311,R$1)</f>
        <v>0</v>
      </c>
      <c r="S60" s="80">
        <f>SUMIFS('декабрь 2024'!$G$5:$G$2311,'декабрь 2024'!$D$5:$D$2311,$B60,'декабрь 2024'!$J$5:$J$2311,S$1)</f>
        <v>0</v>
      </c>
      <c r="T60" s="80">
        <f>SUMIFS('декабрь 2024'!$G$5:$G$2311,'декабрь 2024'!$D$5:$D$2311,$B60,'декабрь 2024'!$J$5:$J$2311,T$1)</f>
        <v>0</v>
      </c>
      <c r="U60" s="80">
        <f>SUMIFS('декабрь 2024'!$G$5:$G$2311,'декабрь 2024'!$D$5:$D$2311,$B60,'декабрь 2024'!$J$5:$J$2311,U$1)</f>
        <v>0</v>
      </c>
      <c r="V60" s="80">
        <f>SUMIFS('декабрь 2024'!$G$5:$G$2311,'декабрь 2024'!$D$5:$D$2311,$B60,'декабрь 2024'!$J$5:$J$2311,V$1)</f>
        <v>0</v>
      </c>
      <c r="W60" s="80">
        <f>SUMIFS('декабрь 2024'!$G$5:$G$2311,'декабрь 2024'!$D$5:$D$2311,$B60,'декабрь 2024'!$J$5:$J$2311,W$1)</f>
        <v>0</v>
      </c>
      <c r="X60" s="80">
        <f>SUMIFS('декабрь 2024'!$G$5:$G$2311,'декабрь 2024'!$D$5:$D$2311,$B60,'декабрь 2024'!$J$5:$J$2311,X$1)</f>
        <v>0</v>
      </c>
      <c r="Y60" s="80">
        <f>SUMIFS('декабрь 2024'!$G$5:$G$2311,'декабрь 2024'!$D$5:$D$2311,$B60,'декабрь 2024'!$J$5:$J$2311,Y$1)</f>
        <v>0</v>
      </c>
      <c r="Z60" s="80">
        <f>SUMIFS('декабрь 2024'!$G$5:$G$2311,'декабрь 2024'!$D$5:$D$2311,$B60,'декабрь 2024'!$J$5:$J$2311,Z$1)</f>
        <v>0</v>
      </c>
      <c r="AA60" s="80">
        <f>SUMIFS('декабрь 2024'!$G$5:$G$2311,'декабрь 2024'!$D$5:$D$2311,$B60,'декабрь 2024'!$J$5:$J$2311,AA$1)</f>
        <v>0</v>
      </c>
      <c r="AB60" s="80">
        <f>SUMIFS('декабрь 2024'!$G$5:$G$2311,'декабрь 2024'!$D$5:$D$2311,$B60,'декабрь 2024'!$J$5:$J$2311,AB$1)</f>
        <v>0</v>
      </c>
      <c r="AC60" s="80">
        <f>SUMIFS('декабрь 2024'!$G$5:$G$2311,'декабрь 2024'!$D$5:$D$2311,$B60,'декабрь 2024'!$J$5:$J$2311,AC$1)</f>
        <v>0</v>
      </c>
      <c r="AD60" s="80">
        <f>SUMIFS('декабрь 2024'!$G$5:$G$2311,'декабрь 2024'!$D$5:$D$2311,$B60,'декабрь 2024'!$J$5:$J$2311,AD$1)</f>
        <v>0</v>
      </c>
      <c r="AE60" s="80">
        <f>SUMIFS('декабрь 2024'!$G$5:$G$2311,'декабрь 2024'!$D$5:$D$2311,$B60,'декабрь 2024'!$J$5:$J$2311,AE$1)</f>
        <v>0</v>
      </c>
      <c r="AF60" s="80">
        <f>SUMIFS('декабрь 2024'!$G$5:$G$2311,'декабрь 2024'!$D$5:$D$2311,$B60,'декабрь 2024'!$J$5:$J$2311,AF$1)</f>
        <v>0</v>
      </c>
      <c r="AG60" s="80">
        <f>SUMIFS('декабрь 2024'!$G$5:$G$2311,'декабрь 2024'!$D$5:$D$2311,$B60,'декабрь 2024'!$J$5:$J$2311,AG$1)</f>
        <v>0</v>
      </c>
      <c r="AH60" s="80">
        <f>SUMIFS('декабрь 2024'!$G$5:$G$2311,'декабрь 2024'!$D$5:$D$2311,$B60,'декабрь 2024'!$J$5:$J$2311,AH$1)</f>
        <v>0</v>
      </c>
      <c r="AI60" s="21">
        <f t="shared" si="1"/>
        <v>0</v>
      </c>
    </row>
    <row r="61" spans="2:35" ht="15" customHeight="1" x14ac:dyDescent="0.25">
      <c r="B61" s="155"/>
      <c r="C61" s="151"/>
      <c r="D61" s="80">
        <f>SUMIFS('декабрь 2024'!$G$5:$G$2311,'декабрь 2024'!$D$5:$D$2311,$B61,'декабрь 2024'!$J$5:$J$2311,D$1)</f>
        <v>0</v>
      </c>
      <c r="E61" s="80">
        <f>SUMIFS('декабрь 2024'!$G$5:$G$2311,'декабрь 2024'!$D$5:$D$2311,$B61,'декабрь 2024'!$J$5:$J$2311,E$1)</f>
        <v>0</v>
      </c>
      <c r="F61" s="80">
        <f>SUMIFS('декабрь 2024'!$G$5:$G$2311,'декабрь 2024'!$D$5:$D$2311,$B61,'декабрь 2024'!$J$5:$J$2311,F$1)</f>
        <v>0</v>
      </c>
      <c r="G61" s="80">
        <f>SUMIFS('декабрь 2024'!$G$5:$G$2311,'декабрь 2024'!$D$5:$D$2311,$B61,'декабрь 2024'!$J$5:$J$2311,G$1)</f>
        <v>0</v>
      </c>
      <c r="H61" s="80">
        <f>SUMIFS('декабрь 2024'!$G$5:$G$2311,'декабрь 2024'!$D$5:$D$2311,$B61,'декабрь 2024'!$J$5:$J$2311,H$1)</f>
        <v>0</v>
      </c>
      <c r="I61" s="80">
        <f>SUMIFS('декабрь 2024'!$G$5:$G$2311,'декабрь 2024'!$D$5:$D$2311,$B61,'декабрь 2024'!$J$5:$J$2311,I$1)</f>
        <v>0</v>
      </c>
      <c r="J61" s="80">
        <f>SUMIFS('декабрь 2024'!$G$5:$G$2311,'декабрь 2024'!$D$5:$D$2311,$B61,'декабрь 2024'!$J$5:$J$2311,J$1)</f>
        <v>0</v>
      </c>
      <c r="K61" s="80">
        <f>SUMIFS('декабрь 2024'!$G$5:$G$2311,'декабрь 2024'!$D$5:$D$2311,$B61,'декабрь 2024'!$J$5:$J$2311,K$1)</f>
        <v>0</v>
      </c>
      <c r="L61" s="80">
        <f>SUMIFS('декабрь 2024'!$G$5:$G$2311,'декабрь 2024'!$D$5:$D$2311,$B61,'декабрь 2024'!$J$5:$J$2311,L$1)</f>
        <v>0</v>
      </c>
      <c r="M61" s="80">
        <f>SUMIFS('декабрь 2024'!$G$5:$G$2311,'декабрь 2024'!$D$5:$D$2311,$B61,'декабрь 2024'!$J$5:$J$2311,M$1)</f>
        <v>0</v>
      </c>
      <c r="N61" s="80">
        <f>SUMIFS('декабрь 2024'!$G$5:$G$2311,'декабрь 2024'!$D$5:$D$2311,$B61,'декабрь 2024'!$J$5:$J$2311,N$1)</f>
        <v>0</v>
      </c>
      <c r="O61" s="80">
        <f>SUMIFS('декабрь 2024'!$G$5:$G$2311,'декабрь 2024'!$D$5:$D$2311,$B61,'декабрь 2024'!$J$5:$J$2311,O$1)</f>
        <v>0</v>
      </c>
      <c r="P61" s="80">
        <f>SUMIFS('декабрь 2024'!$G$5:$G$2311,'декабрь 2024'!$D$5:$D$2311,$B61,'декабрь 2024'!$J$5:$J$2311,P$1)</f>
        <v>0</v>
      </c>
      <c r="Q61" s="80">
        <f>SUMIFS('декабрь 2024'!$G$5:$G$2311,'декабрь 2024'!$D$5:$D$2311,$B61,'декабрь 2024'!$J$5:$J$2311,Q$1)</f>
        <v>0</v>
      </c>
      <c r="R61" s="80">
        <f>SUMIFS('декабрь 2024'!$G$5:$G$2311,'декабрь 2024'!$D$5:$D$2311,$B61,'декабрь 2024'!$J$5:$J$2311,R$1)</f>
        <v>0</v>
      </c>
      <c r="S61" s="80">
        <f>SUMIFS('декабрь 2024'!$G$5:$G$2311,'декабрь 2024'!$D$5:$D$2311,$B61,'декабрь 2024'!$J$5:$J$2311,S$1)</f>
        <v>0</v>
      </c>
      <c r="T61" s="80">
        <f>SUMIFS('декабрь 2024'!$G$5:$G$2311,'декабрь 2024'!$D$5:$D$2311,$B61,'декабрь 2024'!$J$5:$J$2311,T$1)</f>
        <v>0</v>
      </c>
      <c r="U61" s="80">
        <f>SUMIFS('декабрь 2024'!$G$5:$G$2311,'декабрь 2024'!$D$5:$D$2311,$B61,'декабрь 2024'!$J$5:$J$2311,U$1)</f>
        <v>0</v>
      </c>
      <c r="V61" s="80">
        <f>SUMIFS('декабрь 2024'!$G$5:$G$2311,'декабрь 2024'!$D$5:$D$2311,$B61,'декабрь 2024'!$J$5:$J$2311,V$1)</f>
        <v>0</v>
      </c>
      <c r="W61" s="80">
        <f>SUMIFS('декабрь 2024'!$G$5:$G$2311,'декабрь 2024'!$D$5:$D$2311,$B61,'декабрь 2024'!$J$5:$J$2311,W$1)</f>
        <v>0</v>
      </c>
      <c r="X61" s="80">
        <f>SUMIFS('декабрь 2024'!$G$5:$G$2311,'декабрь 2024'!$D$5:$D$2311,$B61,'декабрь 2024'!$J$5:$J$2311,X$1)</f>
        <v>0</v>
      </c>
      <c r="Y61" s="80">
        <f>SUMIFS('декабрь 2024'!$G$5:$G$2311,'декабрь 2024'!$D$5:$D$2311,$B61,'декабрь 2024'!$J$5:$J$2311,Y$1)</f>
        <v>0</v>
      </c>
      <c r="Z61" s="80">
        <f>SUMIFS('декабрь 2024'!$G$5:$G$2311,'декабрь 2024'!$D$5:$D$2311,$B61,'декабрь 2024'!$J$5:$J$2311,Z$1)</f>
        <v>0</v>
      </c>
      <c r="AA61" s="80">
        <f>SUMIFS('декабрь 2024'!$G$5:$G$2311,'декабрь 2024'!$D$5:$D$2311,$B61,'декабрь 2024'!$J$5:$J$2311,AA$1)</f>
        <v>0</v>
      </c>
      <c r="AB61" s="80">
        <f>SUMIFS('декабрь 2024'!$G$5:$G$2311,'декабрь 2024'!$D$5:$D$2311,$B61,'декабрь 2024'!$J$5:$J$2311,AB$1)</f>
        <v>0</v>
      </c>
      <c r="AC61" s="80">
        <f>SUMIFS('декабрь 2024'!$G$5:$G$2311,'декабрь 2024'!$D$5:$D$2311,$B61,'декабрь 2024'!$J$5:$J$2311,AC$1)</f>
        <v>0</v>
      </c>
      <c r="AD61" s="80">
        <f>SUMIFS('декабрь 2024'!$G$5:$G$2311,'декабрь 2024'!$D$5:$D$2311,$B61,'декабрь 2024'!$J$5:$J$2311,AD$1)</f>
        <v>0</v>
      </c>
      <c r="AE61" s="80">
        <f>SUMIFS('декабрь 2024'!$G$5:$G$2311,'декабрь 2024'!$D$5:$D$2311,$B61,'декабрь 2024'!$J$5:$J$2311,AE$1)</f>
        <v>0</v>
      </c>
      <c r="AF61" s="80">
        <f>SUMIFS('декабрь 2024'!$G$5:$G$2311,'декабрь 2024'!$D$5:$D$2311,$B61,'декабрь 2024'!$J$5:$J$2311,AF$1)</f>
        <v>0</v>
      </c>
      <c r="AG61" s="80">
        <f>SUMIFS('декабрь 2024'!$G$5:$G$2311,'декабрь 2024'!$D$5:$D$2311,$B61,'декабрь 2024'!$J$5:$J$2311,AG$1)</f>
        <v>0</v>
      </c>
      <c r="AH61" s="80">
        <f>SUMIFS('декабрь 2024'!$G$5:$G$2311,'декабрь 2024'!$D$5:$D$2311,$B61,'декабрь 2024'!$J$5:$J$2311,AH$1)</f>
        <v>0</v>
      </c>
      <c r="AI61" s="21">
        <f t="shared" si="1"/>
        <v>0</v>
      </c>
    </row>
    <row r="62" spans="2:35" ht="15" customHeight="1" x14ac:dyDescent="0.25">
      <c r="B62" s="92" t="s">
        <v>161</v>
      </c>
      <c r="C62" s="91">
        <v>200</v>
      </c>
      <c r="D62" s="80">
        <f>SUMIFS('декабрь 2024'!$G$5:$G$2311,'декабрь 2024'!$D$5:$D$2311,$B62,'декабрь 2024'!$J$5:$J$2311,D$1)</f>
        <v>0</v>
      </c>
      <c r="E62" s="80">
        <f>SUMIFS('декабрь 2024'!$G$5:$G$2311,'декабрь 2024'!$D$5:$D$2311,$B62,'декабрь 2024'!$J$5:$J$2311,E$1)</f>
        <v>0</v>
      </c>
      <c r="F62" s="80">
        <f>SUMIFS('декабрь 2024'!$G$5:$G$2311,'декабрь 2024'!$D$5:$D$2311,$B62,'декабрь 2024'!$J$5:$J$2311,F$1)</f>
        <v>0</v>
      </c>
      <c r="G62" s="80">
        <f>SUMIFS('декабрь 2024'!$G$5:$G$2311,'декабрь 2024'!$D$5:$D$2311,$B62,'декабрь 2024'!$J$5:$J$2311,G$1)</f>
        <v>0</v>
      </c>
      <c r="H62" s="80">
        <f>SUMIFS('декабрь 2024'!$G$5:$G$2311,'декабрь 2024'!$D$5:$D$2311,$B62,'декабрь 2024'!$J$5:$J$2311,H$1)</f>
        <v>0</v>
      </c>
      <c r="I62" s="80">
        <f>SUMIFS('декабрь 2024'!$G$5:$G$2311,'декабрь 2024'!$D$5:$D$2311,$B62,'декабрь 2024'!$J$5:$J$2311,I$1)</f>
        <v>0</v>
      </c>
      <c r="J62" s="80">
        <f>SUMIFS('декабрь 2024'!$G$5:$G$2311,'декабрь 2024'!$D$5:$D$2311,$B62,'декабрь 2024'!$J$5:$J$2311,J$1)</f>
        <v>0</v>
      </c>
      <c r="K62" s="80">
        <f>SUMIFS('декабрь 2024'!$G$5:$G$2311,'декабрь 2024'!$D$5:$D$2311,$B62,'декабрь 2024'!$J$5:$J$2311,K$1)</f>
        <v>0</v>
      </c>
      <c r="L62" s="80">
        <f>SUMIFS('декабрь 2024'!$G$5:$G$2311,'декабрь 2024'!$D$5:$D$2311,$B62,'декабрь 2024'!$J$5:$J$2311,L$1)</f>
        <v>0</v>
      </c>
      <c r="M62" s="80">
        <f>SUMIFS('декабрь 2024'!$G$5:$G$2311,'декабрь 2024'!$D$5:$D$2311,$B62,'декабрь 2024'!$J$5:$J$2311,M$1)</f>
        <v>0</v>
      </c>
      <c r="N62" s="80">
        <f>SUMIFS('декабрь 2024'!$G$5:$G$2311,'декабрь 2024'!$D$5:$D$2311,$B62,'декабрь 2024'!$J$5:$J$2311,N$1)</f>
        <v>0</v>
      </c>
      <c r="O62" s="80">
        <f>SUMIFS('декабрь 2024'!$G$5:$G$2311,'декабрь 2024'!$D$5:$D$2311,$B62,'декабрь 2024'!$J$5:$J$2311,O$1)</f>
        <v>0</v>
      </c>
      <c r="P62" s="80">
        <f>SUMIFS('декабрь 2024'!$G$5:$G$2311,'декабрь 2024'!$D$5:$D$2311,$B62,'декабрь 2024'!$J$5:$J$2311,P$1)</f>
        <v>0</v>
      </c>
      <c r="Q62" s="80">
        <f>SUMIFS('декабрь 2024'!$G$5:$G$2311,'декабрь 2024'!$D$5:$D$2311,$B62,'декабрь 2024'!$J$5:$J$2311,Q$1)</f>
        <v>0</v>
      </c>
      <c r="R62" s="80">
        <f>SUMIFS('декабрь 2024'!$G$5:$G$2311,'декабрь 2024'!$D$5:$D$2311,$B62,'декабрь 2024'!$J$5:$J$2311,R$1)</f>
        <v>0</v>
      </c>
      <c r="S62" s="80">
        <f>SUMIFS('декабрь 2024'!$G$5:$G$2311,'декабрь 2024'!$D$5:$D$2311,$B62,'декабрь 2024'!$J$5:$J$2311,S$1)</f>
        <v>0</v>
      </c>
      <c r="T62" s="80">
        <f>SUMIFS('декабрь 2024'!$G$5:$G$2311,'декабрь 2024'!$D$5:$D$2311,$B62,'декабрь 2024'!$J$5:$J$2311,T$1)</f>
        <v>0</v>
      </c>
      <c r="U62" s="80">
        <f>SUMIFS('декабрь 2024'!$G$5:$G$2311,'декабрь 2024'!$D$5:$D$2311,$B62,'декабрь 2024'!$J$5:$J$2311,U$1)</f>
        <v>0</v>
      </c>
      <c r="V62" s="80">
        <f>SUMIFS('декабрь 2024'!$G$5:$G$2311,'декабрь 2024'!$D$5:$D$2311,$B62,'декабрь 2024'!$J$5:$J$2311,V$1)</f>
        <v>0</v>
      </c>
      <c r="W62" s="80">
        <f>SUMIFS('декабрь 2024'!$G$5:$G$2311,'декабрь 2024'!$D$5:$D$2311,$B62,'декабрь 2024'!$J$5:$J$2311,W$1)</f>
        <v>0</v>
      </c>
      <c r="X62" s="80">
        <f>SUMIFS('декабрь 2024'!$G$5:$G$2311,'декабрь 2024'!$D$5:$D$2311,$B62,'декабрь 2024'!$J$5:$J$2311,X$1)</f>
        <v>0</v>
      </c>
      <c r="Y62" s="80">
        <f>SUMIFS('декабрь 2024'!$G$5:$G$2311,'декабрь 2024'!$D$5:$D$2311,$B62,'декабрь 2024'!$J$5:$J$2311,Y$1)</f>
        <v>0</v>
      </c>
      <c r="Z62" s="80">
        <f>SUMIFS('декабрь 2024'!$G$5:$G$2311,'декабрь 2024'!$D$5:$D$2311,$B62,'декабрь 2024'!$J$5:$J$2311,Z$1)</f>
        <v>0</v>
      </c>
      <c r="AA62" s="80">
        <f>SUMIFS('декабрь 2024'!$G$5:$G$2311,'декабрь 2024'!$D$5:$D$2311,$B62,'декабрь 2024'!$J$5:$J$2311,AA$1)</f>
        <v>0</v>
      </c>
      <c r="AB62" s="80">
        <f>SUMIFS('декабрь 2024'!$G$5:$G$2311,'декабрь 2024'!$D$5:$D$2311,$B62,'декабрь 2024'!$J$5:$J$2311,AB$1)</f>
        <v>0</v>
      </c>
      <c r="AC62" s="80">
        <f>SUMIFS('декабрь 2024'!$G$5:$G$2311,'декабрь 2024'!$D$5:$D$2311,$B62,'декабрь 2024'!$J$5:$J$2311,AC$1)</f>
        <v>0</v>
      </c>
      <c r="AD62" s="80">
        <f>SUMIFS('декабрь 2024'!$G$5:$G$2311,'декабрь 2024'!$D$5:$D$2311,$B62,'декабрь 2024'!$J$5:$J$2311,AD$1)</f>
        <v>0</v>
      </c>
      <c r="AE62" s="80">
        <f>SUMIFS('декабрь 2024'!$G$5:$G$2311,'декабрь 2024'!$D$5:$D$2311,$B62,'декабрь 2024'!$J$5:$J$2311,AE$1)</f>
        <v>0</v>
      </c>
      <c r="AF62" s="80">
        <f>SUMIFS('декабрь 2024'!$G$5:$G$2311,'декабрь 2024'!$D$5:$D$2311,$B62,'декабрь 2024'!$J$5:$J$2311,AF$1)</f>
        <v>0</v>
      </c>
      <c r="AG62" s="80">
        <f>SUMIFS('декабрь 2024'!$G$5:$G$2311,'декабрь 2024'!$D$5:$D$2311,$B62,'декабрь 2024'!$J$5:$J$2311,AG$1)</f>
        <v>0</v>
      </c>
      <c r="AH62" s="80">
        <f>SUMIFS('декабрь 2024'!$G$5:$G$2311,'декабрь 2024'!$D$5:$D$2311,$B62,'декабрь 2024'!$J$5:$J$2311,AH$1)</f>
        <v>0</v>
      </c>
      <c r="AI62" s="21">
        <f t="shared" si="1"/>
        <v>0</v>
      </c>
    </row>
    <row r="63" spans="2:35" ht="15" customHeight="1" x14ac:dyDescent="0.25">
      <c r="B63" s="92" t="s">
        <v>1153</v>
      </c>
      <c r="C63" s="91">
        <v>50</v>
      </c>
      <c r="D63" s="80">
        <f>SUMIFS('декабрь 2024'!$G$5:$G$2311,'декабрь 2024'!$D$5:$D$2311,$B63,'декабрь 2024'!$J$5:$J$2311,D$1)</f>
        <v>0</v>
      </c>
      <c r="E63" s="80">
        <f>SUMIFS('декабрь 2024'!$G$5:$G$2311,'декабрь 2024'!$D$5:$D$2311,$B63,'декабрь 2024'!$J$5:$J$2311,E$1)</f>
        <v>0</v>
      </c>
      <c r="F63" s="80">
        <f>SUMIFS('декабрь 2024'!$G$5:$G$2311,'декабрь 2024'!$D$5:$D$2311,$B63,'декабрь 2024'!$J$5:$J$2311,F$1)</f>
        <v>0</v>
      </c>
      <c r="G63" s="80">
        <f>SUMIFS('декабрь 2024'!$G$5:$G$2311,'декабрь 2024'!$D$5:$D$2311,$B63,'декабрь 2024'!$J$5:$J$2311,G$1)</f>
        <v>0</v>
      </c>
      <c r="H63" s="80">
        <f>SUMIFS('декабрь 2024'!$G$5:$G$2311,'декабрь 2024'!$D$5:$D$2311,$B63,'декабрь 2024'!$J$5:$J$2311,H$1)</f>
        <v>0</v>
      </c>
      <c r="I63" s="80">
        <f>SUMIFS('декабрь 2024'!$G$5:$G$2311,'декабрь 2024'!$D$5:$D$2311,$B63,'декабрь 2024'!$J$5:$J$2311,I$1)</f>
        <v>0</v>
      </c>
      <c r="J63" s="80">
        <f>SUMIFS('декабрь 2024'!$G$5:$G$2311,'декабрь 2024'!$D$5:$D$2311,$B63,'декабрь 2024'!$J$5:$J$2311,J$1)</f>
        <v>0</v>
      </c>
      <c r="K63" s="80">
        <f>SUMIFS('декабрь 2024'!$G$5:$G$2311,'декабрь 2024'!$D$5:$D$2311,$B63,'декабрь 2024'!$J$5:$J$2311,K$1)</f>
        <v>0</v>
      </c>
      <c r="L63" s="80">
        <f>SUMIFS('декабрь 2024'!$G$5:$G$2311,'декабрь 2024'!$D$5:$D$2311,$B63,'декабрь 2024'!$J$5:$J$2311,L$1)</f>
        <v>0</v>
      </c>
      <c r="M63" s="80">
        <f>SUMIFS('декабрь 2024'!$G$5:$G$2311,'декабрь 2024'!$D$5:$D$2311,$B63,'декабрь 2024'!$J$5:$J$2311,M$1)</f>
        <v>0</v>
      </c>
      <c r="N63" s="80">
        <f>SUMIFS('декабрь 2024'!$G$5:$G$2311,'декабрь 2024'!$D$5:$D$2311,$B63,'декабрь 2024'!$J$5:$J$2311,N$1)</f>
        <v>0</v>
      </c>
      <c r="O63" s="80">
        <f>SUMIFS('декабрь 2024'!$G$5:$G$2311,'декабрь 2024'!$D$5:$D$2311,$B63,'декабрь 2024'!$J$5:$J$2311,O$1)</f>
        <v>0</v>
      </c>
      <c r="P63" s="80">
        <f>SUMIFS('декабрь 2024'!$G$5:$G$2311,'декабрь 2024'!$D$5:$D$2311,$B63,'декабрь 2024'!$J$5:$J$2311,P$1)</f>
        <v>0</v>
      </c>
      <c r="Q63" s="80">
        <f>SUMIFS('декабрь 2024'!$G$5:$G$2311,'декабрь 2024'!$D$5:$D$2311,$B63,'декабрь 2024'!$J$5:$J$2311,Q$1)</f>
        <v>0</v>
      </c>
      <c r="R63" s="80">
        <f>SUMIFS('декабрь 2024'!$G$5:$G$2311,'декабрь 2024'!$D$5:$D$2311,$B63,'декабрь 2024'!$J$5:$J$2311,R$1)</f>
        <v>0</v>
      </c>
      <c r="S63" s="80">
        <f>SUMIFS('декабрь 2024'!$G$5:$G$2311,'декабрь 2024'!$D$5:$D$2311,$B63,'декабрь 2024'!$J$5:$J$2311,S$1)</f>
        <v>0</v>
      </c>
      <c r="T63" s="80">
        <f>SUMIFS('декабрь 2024'!$G$5:$G$2311,'декабрь 2024'!$D$5:$D$2311,$B63,'декабрь 2024'!$J$5:$J$2311,T$1)</f>
        <v>0</v>
      </c>
      <c r="U63" s="80">
        <f>SUMIFS('декабрь 2024'!$G$5:$G$2311,'декабрь 2024'!$D$5:$D$2311,$B63,'декабрь 2024'!$J$5:$J$2311,U$1)</f>
        <v>0</v>
      </c>
      <c r="V63" s="80">
        <f>SUMIFS('декабрь 2024'!$G$5:$G$2311,'декабрь 2024'!$D$5:$D$2311,$B63,'декабрь 2024'!$J$5:$J$2311,V$1)</f>
        <v>0</v>
      </c>
      <c r="W63" s="80">
        <f>SUMIFS('декабрь 2024'!$G$5:$G$2311,'декабрь 2024'!$D$5:$D$2311,$B63,'декабрь 2024'!$J$5:$J$2311,W$1)</f>
        <v>0</v>
      </c>
      <c r="X63" s="80">
        <f>SUMIFS('декабрь 2024'!$G$5:$G$2311,'декабрь 2024'!$D$5:$D$2311,$B63,'декабрь 2024'!$J$5:$J$2311,X$1)</f>
        <v>0</v>
      </c>
      <c r="Y63" s="80">
        <f>SUMIFS('декабрь 2024'!$G$5:$G$2311,'декабрь 2024'!$D$5:$D$2311,$B63,'декабрь 2024'!$J$5:$J$2311,Y$1)</f>
        <v>0</v>
      </c>
      <c r="Z63" s="80">
        <f>SUMIFS('декабрь 2024'!$G$5:$G$2311,'декабрь 2024'!$D$5:$D$2311,$B63,'декабрь 2024'!$J$5:$J$2311,Z$1)</f>
        <v>0</v>
      </c>
      <c r="AA63" s="80">
        <f>SUMIFS('декабрь 2024'!$G$5:$G$2311,'декабрь 2024'!$D$5:$D$2311,$B63,'декабрь 2024'!$J$5:$J$2311,AA$1)</f>
        <v>0</v>
      </c>
      <c r="AB63" s="80">
        <f>SUMIFS('декабрь 2024'!$G$5:$G$2311,'декабрь 2024'!$D$5:$D$2311,$B63,'декабрь 2024'!$J$5:$J$2311,AB$1)</f>
        <v>0</v>
      </c>
      <c r="AC63" s="80">
        <f>SUMIFS('декабрь 2024'!$G$5:$G$2311,'декабрь 2024'!$D$5:$D$2311,$B63,'декабрь 2024'!$J$5:$J$2311,AC$1)</f>
        <v>0</v>
      </c>
      <c r="AD63" s="80">
        <f>SUMIFS('декабрь 2024'!$G$5:$G$2311,'декабрь 2024'!$D$5:$D$2311,$B63,'декабрь 2024'!$J$5:$J$2311,AD$1)</f>
        <v>0</v>
      </c>
      <c r="AE63" s="80">
        <f>SUMIFS('декабрь 2024'!$G$5:$G$2311,'декабрь 2024'!$D$5:$D$2311,$B63,'декабрь 2024'!$J$5:$J$2311,AE$1)</f>
        <v>0</v>
      </c>
      <c r="AF63" s="80">
        <f>SUMIFS('декабрь 2024'!$G$5:$G$2311,'декабрь 2024'!$D$5:$D$2311,$B63,'декабрь 2024'!$J$5:$J$2311,AF$1)</f>
        <v>0</v>
      </c>
      <c r="AG63" s="80">
        <f>SUMIFS('декабрь 2024'!$G$5:$G$2311,'декабрь 2024'!$D$5:$D$2311,$B63,'декабрь 2024'!$J$5:$J$2311,AG$1)</f>
        <v>0</v>
      </c>
      <c r="AH63" s="80">
        <f>SUMIFS('декабрь 2024'!$G$5:$G$2311,'декабрь 2024'!$D$5:$D$2311,$B63,'декабрь 2024'!$J$5:$J$2311,AH$1)</f>
        <v>0</v>
      </c>
      <c r="AI63" s="21">
        <f t="shared" si="1"/>
        <v>0</v>
      </c>
    </row>
    <row r="64" spans="2:35" ht="15" customHeight="1" x14ac:dyDescent="0.25">
      <c r="B64" s="93" t="s">
        <v>209</v>
      </c>
      <c r="C64" s="91">
        <v>200</v>
      </c>
      <c r="D64" s="80">
        <f>SUMIFS('декабрь 2024'!$G$5:$G$2311,'декабрь 2024'!$D$5:$D$2311,$B64,'декабрь 2024'!$J$5:$J$2311,D$1)</f>
        <v>0</v>
      </c>
      <c r="E64" s="80">
        <f>SUMIFS('декабрь 2024'!$G$5:$G$2311,'декабрь 2024'!$D$5:$D$2311,$B64,'декабрь 2024'!$J$5:$J$2311,E$1)</f>
        <v>0</v>
      </c>
      <c r="F64" s="80">
        <f>SUMIFS('декабрь 2024'!$G$5:$G$2311,'декабрь 2024'!$D$5:$D$2311,$B64,'декабрь 2024'!$J$5:$J$2311,F$1)</f>
        <v>0</v>
      </c>
      <c r="G64" s="80">
        <f>SUMIFS('декабрь 2024'!$G$5:$G$2311,'декабрь 2024'!$D$5:$D$2311,$B64,'декабрь 2024'!$J$5:$J$2311,G$1)</f>
        <v>0</v>
      </c>
      <c r="H64" s="80">
        <f>SUMIFS('декабрь 2024'!$G$5:$G$2311,'декабрь 2024'!$D$5:$D$2311,$B64,'декабрь 2024'!$J$5:$J$2311,H$1)</f>
        <v>0</v>
      </c>
      <c r="I64" s="80">
        <f>SUMIFS('декабрь 2024'!$G$5:$G$2311,'декабрь 2024'!$D$5:$D$2311,$B64,'декабрь 2024'!$J$5:$J$2311,I$1)</f>
        <v>0</v>
      </c>
      <c r="J64" s="80">
        <f>SUMIFS('декабрь 2024'!$G$5:$G$2311,'декабрь 2024'!$D$5:$D$2311,$B64,'декабрь 2024'!$J$5:$J$2311,J$1)</f>
        <v>0</v>
      </c>
      <c r="K64" s="80">
        <f>SUMIFS('декабрь 2024'!$G$5:$G$2311,'декабрь 2024'!$D$5:$D$2311,$B64,'декабрь 2024'!$J$5:$J$2311,K$1)</f>
        <v>0</v>
      </c>
      <c r="L64" s="80">
        <f>SUMIFS('декабрь 2024'!$G$5:$G$2311,'декабрь 2024'!$D$5:$D$2311,$B64,'декабрь 2024'!$J$5:$J$2311,L$1)</f>
        <v>0</v>
      </c>
      <c r="M64" s="80">
        <f>SUMIFS('декабрь 2024'!$G$5:$G$2311,'декабрь 2024'!$D$5:$D$2311,$B64,'декабрь 2024'!$J$5:$J$2311,M$1)</f>
        <v>0</v>
      </c>
      <c r="N64" s="80">
        <f>SUMIFS('декабрь 2024'!$G$5:$G$2311,'декабрь 2024'!$D$5:$D$2311,$B64,'декабрь 2024'!$J$5:$J$2311,N$1)</f>
        <v>0</v>
      </c>
      <c r="O64" s="80">
        <f>SUMIFS('декабрь 2024'!$G$5:$G$2311,'декабрь 2024'!$D$5:$D$2311,$B64,'декабрь 2024'!$J$5:$J$2311,O$1)</f>
        <v>0</v>
      </c>
      <c r="P64" s="80">
        <f>SUMIFS('декабрь 2024'!$G$5:$G$2311,'декабрь 2024'!$D$5:$D$2311,$B64,'декабрь 2024'!$J$5:$J$2311,P$1)</f>
        <v>0</v>
      </c>
      <c r="Q64" s="80">
        <f>SUMIFS('декабрь 2024'!$G$5:$G$2311,'декабрь 2024'!$D$5:$D$2311,$B64,'декабрь 2024'!$J$5:$J$2311,Q$1)</f>
        <v>0</v>
      </c>
      <c r="R64" s="80">
        <f>SUMIFS('декабрь 2024'!$G$5:$G$2311,'декабрь 2024'!$D$5:$D$2311,$B64,'декабрь 2024'!$J$5:$J$2311,R$1)</f>
        <v>0</v>
      </c>
      <c r="S64" s="80">
        <f>SUMIFS('декабрь 2024'!$G$5:$G$2311,'декабрь 2024'!$D$5:$D$2311,$B64,'декабрь 2024'!$J$5:$J$2311,S$1)</f>
        <v>0</v>
      </c>
      <c r="T64" s="80">
        <f>SUMIFS('декабрь 2024'!$G$5:$G$2311,'декабрь 2024'!$D$5:$D$2311,$B64,'декабрь 2024'!$J$5:$J$2311,T$1)</f>
        <v>0</v>
      </c>
      <c r="U64" s="80">
        <f>SUMIFS('декабрь 2024'!$G$5:$G$2311,'декабрь 2024'!$D$5:$D$2311,$B64,'декабрь 2024'!$J$5:$J$2311,U$1)</f>
        <v>0</v>
      </c>
      <c r="V64" s="80">
        <f>SUMIFS('декабрь 2024'!$G$5:$G$2311,'декабрь 2024'!$D$5:$D$2311,$B64,'декабрь 2024'!$J$5:$J$2311,V$1)</f>
        <v>0</v>
      </c>
      <c r="W64" s="80">
        <f>SUMIFS('декабрь 2024'!$G$5:$G$2311,'декабрь 2024'!$D$5:$D$2311,$B64,'декабрь 2024'!$J$5:$J$2311,W$1)</f>
        <v>0</v>
      </c>
      <c r="X64" s="80">
        <f>SUMIFS('декабрь 2024'!$G$5:$G$2311,'декабрь 2024'!$D$5:$D$2311,$B64,'декабрь 2024'!$J$5:$J$2311,X$1)</f>
        <v>0</v>
      </c>
      <c r="Y64" s="80">
        <f>SUMIFS('декабрь 2024'!$G$5:$G$2311,'декабрь 2024'!$D$5:$D$2311,$B64,'декабрь 2024'!$J$5:$J$2311,Y$1)</f>
        <v>0</v>
      </c>
      <c r="Z64" s="80">
        <f>SUMIFS('декабрь 2024'!$G$5:$G$2311,'декабрь 2024'!$D$5:$D$2311,$B64,'декабрь 2024'!$J$5:$J$2311,Z$1)</f>
        <v>0</v>
      </c>
      <c r="AA64" s="80">
        <f>SUMIFS('декабрь 2024'!$G$5:$G$2311,'декабрь 2024'!$D$5:$D$2311,$B64,'декабрь 2024'!$J$5:$J$2311,AA$1)</f>
        <v>0</v>
      </c>
      <c r="AB64" s="80">
        <f>SUMIFS('декабрь 2024'!$G$5:$G$2311,'декабрь 2024'!$D$5:$D$2311,$B64,'декабрь 2024'!$J$5:$J$2311,AB$1)</f>
        <v>0</v>
      </c>
      <c r="AC64" s="80">
        <f>SUMIFS('декабрь 2024'!$G$5:$G$2311,'декабрь 2024'!$D$5:$D$2311,$B64,'декабрь 2024'!$J$5:$J$2311,AC$1)</f>
        <v>0</v>
      </c>
      <c r="AD64" s="80">
        <f>SUMIFS('декабрь 2024'!$G$5:$G$2311,'декабрь 2024'!$D$5:$D$2311,$B64,'декабрь 2024'!$J$5:$J$2311,AD$1)</f>
        <v>0</v>
      </c>
      <c r="AE64" s="80">
        <f>SUMIFS('декабрь 2024'!$G$5:$G$2311,'декабрь 2024'!$D$5:$D$2311,$B64,'декабрь 2024'!$J$5:$J$2311,AE$1)</f>
        <v>0</v>
      </c>
      <c r="AF64" s="80">
        <f>SUMIFS('декабрь 2024'!$G$5:$G$2311,'декабрь 2024'!$D$5:$D$2311,$B64,'декабрь 2024'!$J$5:$J$2311,AF$1)</f>
        <v>0</v>
      </c>
      <c r="AG64" s="80">
        <f>SUMIFS('декабрь 2024'!$G$5:$G$2311,'декабрь 2024'!$D$5:$D$2311,$B64,'декабрь 2024'!$J$5:$J$2311,AG$1)</f>
        <v>0</v>
      </c>
      <c r="AH64" s="80">
        <f>SUMIFS('декабрь 2024'!$G$5:$G$2311,'декабрь 2024'!$D$5:$D$2311,$B64,'декабрь 2024'!$J$5:$J$2311,AH$1)</f>
        <v>0</v>
      </c>
      <c r="AI64" s="21">
        <f t="shared" si="1"/>
        <v>0</v>
      </c>
    </row>
    <row r="65" spans="2:35" ht="15" customHeight="1" x14ac:dyDescent="0.25">
      <c r="B65" s="93" t="s">
        <v>222</v>
      </c>
      <c r="C65" s="91">
        <v>25</v>
      </c>
      <c r="D65" s="80">
        <f>SUMIFS('декабрь 2024'!$G$5:$G$2311,'декабрь 2024'!$D$5:$D$2311,$B65,'декабрь 2024'!$J$5:$J$2311,D$1)</f>
        <v>0</v>
      </c>
      <c r="E65" s="80">
        <f>SUMIFS('декабрь 2024'!$G$5:$G$2311,'декабрь 2024'!$D$5:$D$2311,$B65,'декабрь 2024'!$J$5:$J$2311,E$1)</f>
        <v>0</v>
      </c>
      <c r="F65" s="80">
        <f>SUMIFS('декабрь 2024'!$G$5:$G$2311,'декабрь 2024'!$D$5:$D$2311,$B65,'декабрь 2024'!$J$5:$J$2311,F$1)</f>
        <v>0</v>
      </c>
      <c r="G65" s="80">
        <f>SUMIFS('декабрь 2024'!$G$5:$G$2311,'декабрь 2024'!$D$5:$D$2311,$B65,'декабрь 2024'!$J$5:$J$2311,G$1)</f>
        <v>0</v>
      </c>
      <c r="H65" s="80">
        <f>SUMIFS('декабрь 2024'!$G$5:$G$2311,'декабрь 2024'!$D$5:$D$2311,$B65,'декабрь 2024'!$J$5:$J$2311,H$1)</f>
        <v>0</v>
      </c>
      <c r="I65" s="80">
        <f>SUMIFS('декабрь 2024'!$G$5:$G$2311,'декабрь 2024'!$D$5:$D$2311,$B65,'декабрь 2024'!$J$5:$J$2311,I$1)</f>
        <v>0</v>
      </c>
      <c r="J65" s="80">
        <f>SUMIFS('декабрь 2024'!$G$5:$G$2311,'декабрь 2024'!$D$5:$D$2311,$B65,'декабрь 2024'!$J$5:$J$2311,J$1)</f>
        <v>0</v>
      </c>
      <c r="K65" s="80">
        <f>SUMIFS('декабрь 2024'!$G$5:$G$2311,'декабрь 2024'!$D$5:$D$2311,$B65,'декабрь 2024'!$J$5:$J$2311,K$1)</f>
        <v>0</v>
      </c>
      <c r="L65" s="80">
        <f>SUMIFS('декабрь 2024'!$G$5:$G$2311,'декабрь 2024'!$D$5:$D$2311,$B65,'декабрь 2024'!$J$5:$J$2311,L$1)</f>
        <v>0</v>
      </c>
      <c r="M65" s="80">
        <f>SUMIFS('декабрь 2024'!$G$5:$G$2311,'декабрь 2024'!$D$5:$D$2311,$B65,'декабрь 2024'!$J$5:$J$2311,M$1)</f>
        <v>0</v>
      </c>
      <c r="N65" s="80">
        <f>SUMIFS('декабрь 2024'!$G$5:$G$2311,'декабрь 2024'!$D$5:$D$2311,$B65,'декабрь 2024'!$J$5:$J$2311,N$1)</f>
        <v>0</v>
      </c>
      <c r="O65" s="80">
        <f>SUMIFS('декабрь 2024'!$G$5:$G$2311,'декабрь 2024'!$D$5:$D$2311,$B65,'декабрь 2024'!$J$5:$J$2311,O$1)</f>
        <v>0</v>
      </c>
      <c r="P65" s="80">
        <f>SUMIFS('декабрь 2024'!$G$5:$G$2311,'декабрь 2024'!$D$5:$D$2311,$B65,'декабрь 2024'!$J$5:$J$2311,P$1)</f>
        <v>0</v>
      </c>
      <c r="Q65" s="80">
        <f>SUMIFS('декабрь 2024'!$G$5:$G$2311,'декабрь 2024'!$D$5:$D$2311,$B65,'декабрь 2024'!$J$5:$J$2311,Q$1)</f>
        <v>0</v>
      </c>
      <c r="R65" s="80">
        <f>SUMIFS('декабрь 2024'!$G$5:$G$2311,'декабрь 2024'!$D$5:$D$2311,$B65,'декабрь 2024'!$J$5:$J$2311,R$1)</f>
        <v>0</v>
      </c>
      <c r="S65" s="80">
        <f>SUMIFS('декабрь 2024'!$G$5:$G$2311,'декабрь 2024'!$D$5:$D$2311,$B65,'декабрь 2024'!$J$5:$J$2311,S$1)</f>
        <v>0</v>
      </c>
      <c r="T65" s="80">
        <f>SUMIFS('декабрь 2024'!$G$5:$G$2311,'декабрь 2024'!$D$5:$D$2311,$B65,'декабрь 2024'!$J$5:$J$2311,T$1)</f>
        <v>0</v>
      </c>
      <c r="U65" s="80">
        <f>SUMIFS('декабрь 2024'!$G$5:$G$2311,'декабрь 2024'!$D$5:$D$2311,$B65,'декабрь 2024'!$J$5:$J$2311,U$1)</f>
        <v>0</v>
      </c>
      <c r="V65" s="80">
        <f>SUMIFS('декабрь 2024'!$G$5:$G$2311,'декабрь 2024'!$D$5:$D$2311,$B65,'декабрь 2024'!$J$5:$J$2311,V$1)</f>
        <v>0</v>
      </c>
      <c r="W65" s="80">
        <f>SUMIFS('декабрь 2024'!$G$5:$G$2311,'декабрь 2024'!$D$5:$D$2311,$B65,'декабрь 2024'!$J$5:$J$2311,W$1)</f>
        <v>0</v>
      </c>
      <c r="X65" s="80">
        <f>SUMIFS('декабрь 2024'!$G$5:$G$2311,'декабрь 2024'!$D$5:$D$2311,$B65,'декабрь 2024'!$J$5:$J$2311,X$1)</f>
        <v>0</v>
      </c>
      <c r="Y65" s="80">
        <f>SUMIFS('декабрь 2024'!$G$5:$G$2311,'декабрь 2024'!$D$5:$D$2311,$B65,'декабрь 2024'!$J$5:$J$2311,Y$1)</f>
        <v>0</v>
      </c>
      <c r="Z65" s="80">
        <f>SUMIFS('декабрь 2024'!$G$5:$G$2311,'декабрь 2024'!$D$5:$D$2311,$B65,'декабрь 2024'!$J$5:$J$2311,Z$1)</f>
        <v>0</v>
      </c>
      <c r="AA65" s="80">
        <f>SUMIFS('декабрь 2024'!$G$5:$G$2311,'декабрь 2024'!$D$5:$D$2311,$B65,'декабрь 2024'!$J$5:$J$2311,AA$1)</f>
        <v>0</v>
      </c>
      <c r="AB65" s="80">
        <f>SUMIFS('декабрь 2024'!$G$5:$G$2311,'декабрь 2024'!$D$5:$D$2311,$B65,'декабрь 2024'!$J$5:$J$2311,AB$1)</f>
        <v>0</v>
      </c>
      <c r="AC65" s="80">
        <f>SUMIFS('декабрь 2024'!$G$5:$G$2311,'декабрь 2024'!$D$5:$D$2311,$B65,'декабрь 2024'!$J$5:$J$2311,AC$1)</f>
        <v>0</v>
      </c>
      <c r="AD65" s="80">
        <f>SUMIFS('декабрь 2024'!$G$5:$G$2311,'декабрь 2024'!$D$5:$D$2311,$B65,'декабрь 2024'!$J$5:$J$2311,AD$1)</f>
        <v>0</v>
      </c>
      <c r="AE65" s="80">
        <f>SUMIFS('декабрь 2024'!$G$5:$G$2311,'декабрь 2024'!$D$5:$D$2311,$B65,'декабрь 2024'!$J$5:$J$2311,AE$1)</f>
        <v>0</v>
      </c>
      <c r="AF65" s="80">
        <f>SUMIFS('декабрь 2024'!$G$5:$G$2311,'декабрь 2024'!$D$5:$D$2311,$B65,'декабрь 2024'!$J$5:$J$2311,AF$1)</f>
        <v>0</v>
      </c>
      <c r="AG65" s="80">
        <f>SUMIFS('декабрь 2024'!$G$5:$G$2311,'декабрь 2024'!$D$5:$D$2311,$B65,'декабрь 2024'!$J$5:$J$2311,AG$1)</f>
        <v>0</v>
      </c>
      <c r="AH65" s="80">
        <f>SUMIFS('декабрь 2024'!$G$5:$G$2311,'декабрь 2024'!$D$5:$D$2311,$B65,'декабрь 2024'!$J$5:$J$2311,AH$1)</f>
        <v>0</v>
      </c>
      <c r="AI65" s="21">
        <f t="shared" si="1"/>
        <v>0</v>
      </c>
    </row>
    <row r="66" spans="2:35" ht="15" customHeight="1" x14ac:dyDescent="0.25">
      <c r="B66" s="93" t="s">
        <v>189</v>
      </c>
      <c r="C66" s="91">
        <v>50</v>
      </c>
      <c r="D66" s="80">
        <f>SUMIFS('декабрь 2024'!$G$5:$G$2311,'декабрь 2024'!$D$5:$D$2311,$B66,'декабрь 2024'!$J$5:$J$2311,D$1)</f>
        <v>0</v>
      </c>
      <c r="E66" s="80">
        <f>SUMIFS('декабрь 2024'!$G$5:$G$2311,'декабрь 2024'!$D$5:$D$2311,$B66,'декабрь 2024'!$J$5:$J$2311,E$1)</f>
        <v>0</v>
      </c>
      <c r="F66" s="80">
        <f>SUMIFS('декабрь 2024'!$G$5:$G$2311,'декабрь 2024'!$D$5:$D$2311,$B66,'декабрь 2024'!$J$5:$J$2311,F$1)</f>
        <v>0</v>
      </c>
      <c r="G66" s="80">
        <f>SUMIFS('декабрь 2024'!$G$5:$G$2311,'декабрь 2024'!$D$5:$D$2311,$B66,'декабрь 2024'!$J$5:$J$2311,G$1)</f>
        <v>0</v>
      </c>
      <c r="H66" s="80">
        <f>SUMIFS('декабрь 2024'!$G$5:$G$2311,'декабрь 2024'!$D$5:$D$2311,$B66,'декабрь 2024'!$J$5:$J$2311,H$1)</f>
        <v>0</v>
      </c>
      <c r="I66" s="80">
        <f>SUMIFS('декабрь 2024'!$G$5:$G$2311,'декабрь 2024'!$D$5:$D$2311,$B66,'декабрь 2024'!$J$5:$J$2311,I$1)</f>
        <v>0</v>
      </c>
      <c r="J66" s="80">
        <f>SUMIFS('декабрь 2024'!$G$5:$G$2311,'декабрь 2024'!$D$5:$D$2311,$B66,'декабрь 2024'!$J$5:$J$2311,J$1)</f>
        <v>0</v>
      </c>
      <c r="K66" s="80">
        <f>SUMIFS('декабрь 2024'!$G$5:$G$2311,'декабрь 2024'!$D$5:$D$2311,$B66,'декабрь 2024'!$J$5:$J$2311,K$1)</f>
        <v>0</v>
      </c>
      <c r="L66" s="80">
        <f>SUMIFS('декабрь 2024'!$G$5:$G$2311,'декабрь 2024'!$D$5:$D$2311,$B66,'декабрь 2024'!$J$5:$J$2311,L$1)</f>
        <v>0</v>
      </c>
      <c r="M66" s="80">
        <f>SUMIFS('декабрь 2024'!$G$5:$G$2311,'декабрь 2024'!$D$5:$D$2311,$B66,'декабрь 2024'!$J$5:$J$2311,M$1)</f>
        <v>0</v>
      </c>
      <c r="N66" s="80">
        <f>SUMIFS('декабрь 2024'!$G$5:$G$2311,'декабрь 2024'!$D$5:$D$2311,$B66,'декабрь 2024'!$J$5:$J$2311,N$1)</f>
        <v>0</v>
      </c>
      <c r="O66" s="80">
        <f>SUMIFS('декабрь 2024'!$G$5:$G$2311,'декабрь 2024'!$D$5:$D$2311,$B66,'декабрь 2024'!$J$5:$J$2311,O$1)</f>
        <v>0</v>
      </c>
      <c r="P66" s="80">
        <f>SUMIFS('декабрь 2024'!$G$5:$G$2311,'декабрь 2024'!$D$5:$D$2311,$B66,'декабрь 2024'!$J$5:$J$2311,P$1)</f>
        <v>0</v>
      </c>
      <c r="Q66" s="80">
        <f>SUMIFS('декабрь 2024'!$G$5:$G$2311,'декабрь 2024'!$D$5:$D$2311,$B66,'декабрь 2024'!$J$5:$J$2311,Q$1)</f>
        <v>0</v>
      </c>
      <c r="R66" s="80">
        <f>SUMIFS('декабрь 2024'!$G$5:$G$2311,'декабрь 2024'!$D$5:$D$2311,$B66,'декабрь 2024'!$J$5:$J$2311,R$1)</f>
        <v>0</v>
      </c>
      <c r="S66" s="80">
        <f>SUMIFS('декабрь 2024'!$G$5:$G$2311,'декабрь 2024'!$D$5:$D$2311,$B66,'декабрь 2024'!$J$5:$J$2311,S$1)</f>
        <v>0</v>
      </c>
      <c r="T66" s="80">
        <f>SUMIFS('декабрь 2024'!$G$5:$G$2311,'декабрь 2024'!$D$5:$D$2311,$B66,'декабрь 2024'!$J$5:$J$2311,T$1)</f>
        <v>0</v>
      </c>
      <c r="U66" s="80">
        <f>SUMIFS('декабрь 2024'!$G$5:$G$2311,'декабрь 2024'!$D$5:$D$2311,$B66,'декабрь 2024'!$J$5:$J$2311,U$1)</f>
        <v>0</v>
      </c>
      <c r="V66" s="80">
        <f>SUMIFS('декабрь 2024'!$G$5:$G$2311,'декабрь 2024'!$D$5:$D$2311,$B66,'декабрь 2024'!$J$5:$J$2311,V$1)</f>
        <v>0</v>
      </c>
      <c r="W66" s="80">
        <f>SUMIFS('декабрь 2024'!$G$5:$G$2311,'декабрь 2024'!$D$5:$D$2311,$B66,'декабрь 2024'!$J$5:$J$2311,W$1)</f>
        <v>0</v>
      </c>
      <c r="X66" s="80">
        <f>SUMIFS('декабрь 2024'!$G$5:$G$2311,'декабрь 2024'!$D$5:$D$2311,$B66,'декабрь 2024'!$J$5:$J$2311,X$1)</f>
        <v>0</v>
      </c>
      <c r="Y66" s="80">
        <f>SUMIFS('декабрь 2024'!$G$5:$G$2311,'декабрь 2024'!$D$5:$D$2311,$B66,'декабрь 2024'!$J$5:$J$2311,Y$1)</f>
        <v>0</v>
      </c>
      <c r="Z66" s="80">
        <f>SUMIFS('декабрь 2024'!$G$5:$G$2311,'декабрь 2024'!$D$5:$D$2311,$B66,'декабрь 2024'!$J$5:$J$2311,Z$1)</f>
        <v>0</v>
      </c>
      <c r="AA66" s="80">
        <f>SUMIFS('декабрь 2024'!$G$5:$G$2311,'декабрь 2024'!$D$5:$D$2311,$B66,'декабрь 2024'!$J$5:$J$2311,AA$1)</f>
        <v>0</v>
      </c>
      <c r="AB66" s="80">
        <f>SUMIFS('декабрь 2024'!$G$5:$G$2311,'декабрь 2024'!$D$5:$D$2311,$B66,'декабрь 2024'!$J$5:$J$2311,AB$1)</f>
        <v>0</v>
      </c>
      <c r="AC66" s="80">
        <f>SUMIFS('декабрь 2024'!$G$5:$G$2311,'декабрь 2024'!$D$5:$D$2311,$B66,'декабрь 2024'!$J$5:$J$2311,AC$1)</f>
        <v>0</v>
      </c>
      <c r="AD66" s="80">
        <f>SUMIFS('декабрь 2024'!$G$5:$G$2311,'декабрь 2024'!$D$5:$D$2311,$B66,'декабрь 2024'!$J$5:$J$2311,AD$1)</f>
        <v>0</v>
      </c>
      <c r="AE66" s="80">
        <f>SUMIFS('декабрь 2024'!$G$5:$G$2311,'декабрь 2024'!$D$5:$D$2311,$B66,'декабрь 2024'!$J$5:$J$2311,AE$1)</f>
        <v>0</v>
      </c>
      <c r="AF66" s="80">
        <f>SUMIFS('декабрь 2024'!$G$5:$G$2311,'декабрь 2024'!$D$5:$D$2311,$B66,'декабрь 2024'!$J$5:$J$2311,AF$1)</f>
        <v>0</v>
      </c>
      <c r="AG66" s="80">
        <f>SUMIFS('декабрь 2024'!$G$5:$G$2311,'декабрь 2024'!$D$5:$D$2311,$B66,'декабрь 2024'!$J$5:$J$2311,AG$1)</f>
        <v>0</v>
      </c>
      <c r="AH66" s="80">
        <f>SUMIFS('декабрь 2024'!$G$5:$G$2311,'декабрь 2024'!$D$5:$D$2311,$B66,'декабрь 2024'!$J$5:$J$2311,AH$1)</f>
        <v>0</v>
      </c>
      <c r="AI66" s="21">
        <f t="shared" si="1"/>
        <v>0</v>
      </c>
    </row>
    <row r="67" spans="2:35" ht="15.75" x14ac:dyDescent="0.25">
      <c r="B67" s="89" t="s">
        <v>159</v>
      </c>
      <c r="C67" s="88">
        <v>200</v>
      </c>
      <c r="D67" s="80">
        <f>SUMIFS('декабрь 2024'!$G$5:$G$2311,'декабрь 2024'!$D$5:$D$2311,$B67,'декабрь 2024'!$J$5:$J$2311,D$1)</f>
        <v>0</v>
      </c>
      <c r="E67" s="80">
        <f>SUMIFS('декабрь 2024'!$G$5:$G$2311,'декабрь 2024'!$D$5:$D$2311,$B67,'декабрь 2024'!$J$5:$J$2311,E$1)</f>
        <v>0</v>
      </c>
      <c r="F67" s="80">
        <f>SUMIFS('декабрь 2024'!$G$5:$G$2311,'декабрь 2024'!$D$5:$D$2311,$B67,'декабрь 2024'!$J$5:$J$2311,F$1)</f>
        <v>0</v>
      </c>
      <c r="G67" s="80">
        <f>SUMIFS('декабрь 2024'!$G$5:$G$2311,'декабрь 2024'!$D$5:$D$2311,$B67,'декабрь 2024'!$J$5:$J$2311,G$1)</f>
        <v>0</v>
      </c>
      <c r="H67" s="80">
        <f>SUMIFS('декабрь 2024'!$G$5:$G$2311,'декабрь 2024'!$D$5:$D$2311,$B67,'декабрь 2024'!$J$5:$J$2311,H$1)</f>
        <v>0</v>
      </c>
      <c r="I67" s="80">
        <f>SUMIFS('декабрь 2024'!$G$5:$G$2311,'декабрь 2024'!$D$5:$D$2311,$B67,'декабрь 2024'!$J$5:$J$2311,I$1)</f>
        <v>0</v>
      </c>
      <c r="J67" s="80">
        <f>SUMIFS('декабрь 2024'!$G$5:$G$2311,'декабрь 2024'!$D$5:$D$2311,$B67,'декабрь 2024'!$J$5:$J$2311,J$1)</f>
        <v>0</v>
      </c>
      <c r="K67" s="80">
        <f>SUMIFS('декабрь 2024'!$G$5:$G$2311,'декабрь 2024'!$D$5:$D$2311,$B67,'декабрь 2024'!$J$5:$J$2311,K$1)</f>
        <v>0</v>
      </c>
      <c r="L67" s="80">
        <f>SUMIFS('декабрь 2024'!$G$5:$G$2311,'декабрь 2024'!$D$5:$D$2311,$B67,'декабрь 2024'!$J$5:$J$2311,L$1)</f>
        <v>0</v>
      </c>
      <c r="M67" s="80">
        <f>SUMIFS('декабрь 2024'!$G$5:$G$2311,'декабрь 2024'!$D$5:$D$2311,$B67,'декабрь 2024'!$J$5:$J$2311,M$1)</f>
        <v>0</v>
      </c>
      <c r="N67" s="80">
        <f>SUMIFS('декабрь 2024'!$G$5:$G$2311,'декабрь 2024'!$D$5:$D$2311,$B67,'декабрь 2024'!$J$5:$J$2311,N$1)</f>
        <v>0</v>
      </c>
      <c r="O67" s="80">
        <f>SUMIFS('декабрь 2024'!$G$5:$G$2311,'декабрь 2024'!$D$5:$D$2311,$B67,'декабрь 2024'!$J$5:$J$2311,O$1)</f>
        <v>0</v>
      </c>
      <c r="P67" s="80">
        <f>SUMIFS('декабрь 2024'!$G$5:$G$2311,'декабрь 2024'!$D$5:$D$2311,$B67,'декабрь 2024'!$J$5:$J$2311,P$1)</f>
        <v>0</v>
      </c>
      <c r="Q67" s="80">
        <f>SUMIFS('декабрь 2024'!$G$5:$G$2311,'декабрь 2024'!$D$5:$D$2311,$B67,'декабрь 2024'!$J$5:$J$2311,Q$1)</f>
        <v>0</v>
      </c>
      <c r="R67" s="80">
        <f>SUMIFS('декабрь 2024'!$G$5:$G$2311,'декабрь 2024'!$D$5:$D$2311,$B67,'декабрь 2024'!$J$5:$J$2311,R$1)</f>
        <v>0</v>
      </c>
      <c r="S67" s="80">
        <f>SUMIFS('декабрь 2024'!$G$5:$G$2311,'декабрь 2024'!$D$5:$D$2311,$B67,'декабрь 2024'!$J$5:$J$2311,S$1)</f>
        <v>0</v>
      </c>
      <c r="T67" s="80">
        <f>SUMIFS('декабрь 2024'!$G$5:$G$2311,'декабрь 2024'!$D$5:$D$2311,$B67,'декабрь 2024'!$J$5:$J$2311,T$1)</f>
        <v>0</v>
      </c>
      <c r="U67" s="80">
        <f>SUMIFS('декабрь 2024'!$G$5:$G$2311,'декабрь 2024'!$D$5:$D$2311,$B67,'декабрь 2024'!$J$5:$J$2311,U$1)</f>
        <v>0</v>
      </c>
      <c r="V67" s="80">
        <f>SUMIFS('декабрь 2024'!$G$5:$G$2311,'декабрь 2024'!$D$5:$D$2311,$B67,'декабрь 2024'!$J$5:$J$2311,V$1)</f>
        <v>0</v>
      </c>
      <c r="W67" s="80">
        <f>SUMIFS('декабрь 2024'!$G$5:$G$2311,'декабрь 2024'!$D$5:$D$2311,$B67,'декабрь 2024'!$J$5:$J$2311,W$1)</f>
        <v>0</v>
      </c>
      <c r="X67" s="80">
        <f>SUMIFS('декабрь 2024'!$G$5:$G$2311,'декабрь 2024'!$D$5:$D$2311,$B67,'декабрь 2024'!$J$5:$J$2311,X$1)</f>
        <v>0</v>
      </c>
      <c r="Y67" s="80">
        <f>SUMIFS('декабрь 2024'!$G$5:$G$2311,'декабрь 2024'!$D$5:$D$2311,$B67,'декабрь 2024'!$J$5:$J$2311,Y$1)</f>
        <v>0</v>
      </c>
      <c r="Z67" s="80">
        <f>SUMIFS('декабрь 2024'!$G$5:$G$2311,'декабрь 2024'!$D$5:$D$2311,$B67,'декабрь 2024'!$J$5:$J$2311,Z$1)</f>
        <v>0</v>
      </c>
      <c r="AA67" s="80">
        <f>SUMIFS('декабрь 2024'!$G$5:$G$2311,'декабрь 2024'!$D$5:$D$2311,$B67,'декабрь 2024'!$J$5:$J$2311,AA$1)</f>
        <v>0</v>
      </c>
      <c r="AB67" s="80">
        <f>SUMIFS('декабрь 2024'!$G$5:$G$2311,'декабрь 2024'!$D$5:$D$2311,$B67,'декабрь 2024'!$J$5:$J$2311,AB$1)</f>
        <v>0</v>
      </c>
      <c r="AC67" s="80">
        <f>SUMIFS('декабрь 2024'!$G$5:$G$2311,'декабрь 2024'!$D$5:$D$2311,$B67,'декабрь 2024'!$J$5:$J$2311,AC$1)</f>
        <v>0</v>
      </c>
      <c r="AD67" s="80">
        <f>SUMIFS('декабрь 2024'!$G$5:$G$2311,'декабрь 2024'!$D$5:$D$2311,$B67,'декабрь 2024'!$J$5:$J$2311,AD$1)</f>
        <v>0</v>
      </c>
      <c r="AE67" s="80">
        <f>SUMIFS('декабрь 2024'!$G$5:$G$2311,'декабрь 2024'!$D$5:$D$2311,$B67,'декабрь 2024'!$J$5:$J$2311,AE$1)</f>
        <v>0</v>
      </c>
      <c r="AF67" s="80">
        <f>SUMIFS('декабрь 2024'!$G$5:$G$2311,'декабрь 2024'!$D$5:$D$2311,$B67,'декабрь 2024'!$J$5:$J$2311,AF$1)</f>
        <v>0</v>
      </c>
      <c r="AG67" s="80">
        <f>SUMIFS('декабрь 2024'!$G$5:$G$2311,'декабрь 2024'!$D$5:$D$2311,$B67,'декабрь 2024'!$J$5:$J$2311,AG$1)</f>
        <v>0</v>
      </c>
      <c r="AH67" s="80">
        <f>SUMIFS('декабрь 2024'!$G$5:$G$2311,'декабрь 2024'!$D$5:$D$2311,$B67,'декабрь 2024'!$J$5:$J$2311,AH$1)</f>
        <v>0</v>
      </c>
      <c r="AI67" s="21">
        <f t="shared" si="1"/>
        <v>0</v>
      </c>
    </row>
    <row r="68" spans="2:35" ht="15.75" x14ac:dyDescent="0.25">
      <c r="B68" s="93" t="s">
        <v>158</v>
      </c>
      <c r="C68" s="91">
        <v>200</v>
      </c>
      <c r="D68" s="80">
        <f>SUMIFS('декабрь 2024'!$G$5:$G$2311,'декабрь 2024'!$D$5:$D$2311,$B68,'декабрь 2024'!$J$5:$J$2311,D$1)</f>
        <v>0</v>
      </c>
      <c r="E68" s="80">
        <f>SUMIFS('декабрь 2024'!$G$5:$G$2311,'декабрь 2024'!$D$5:$D$2311,$B68,'декабрь 2024'!$J$5:$J$2311,E$1)</f>
        <v>0</v>
      </c>
      <c r="F68" s="80">
        <f>SUMIFS('декабрь 2024'!$G$5:$G$2311,'декабрь 2024'!$D$5:$D$2311,$B68,'декабрь 2024'!$J$5:$J$2311,F$1)</f>
        <v>0</v>
      </c>
      <c r="G68" s="80">
        <f>SUMIFS('декабрь 2024'!$G$5:$G$2311,'декабрь 2024'!$D$5:$D$2311,$B68,'декабрь 2024'!$J$5:$J$2311,G$1)</f>
        <v>0</v>
      </c>
      <c r="H68" s="80">
        <f>SUMIFS('декабрь 2024'!$G$5:$G$2311,'декабрь 2024'!$D$5:$D$2311,$B68,'декабрь 2024'!$J$5:$J$2311,H$1)</f>
        <v>0</v>
      </c>
      <c r="I68" s="80">
        <f>SUMIFS('декабрь 2024'!$G$5:$G$2311,'декабрь 2024'!$D$5:$D$2311,$B68,'декабрь 2024'!$J$5:$J$2311,I$1)</f>
        <v>0</v>
      </c>
      <c r="J68" s="80">
        <f>SUMIFS('декабрь 2024'!$G$5:$G$2311,'декабрь 2024'!$D$5:$D$2311,$B68,'декабрь 2024'!$J$5:$J$2311,J$1)</f>
        <v>0</v>
      </c>
      <c r="K68" s="80">
        <f>SUMIFS('декабрь 2024'!$G$5:$G$2311,'декабрь 2024'!$D$5:$D$2311,$B68,'декабрь 2024'!$J$5:$J$2311,K$1)</f>
        <v>0</v>
      </c>
      <c r="L68" s="80">
        <f>SUMIFS('декабрь 2024'!$G$5:$G$2311,'декабрь 2024'!$D$5:$D$2311,$B68,'декабрь 2024'!$J$5:$J$2311,L$1)</f>
        <v>0</v>
      </c>
      <c r="M68" s="80">
        <f>SUMIFS('декабрь 2024'!$G$5:$G$2311,'декабрь 2024'!$D$5:$D$2311,$B68,'декабрь 2024'!$J$5:$J$2311,M$1)</f>
        <v>0</v>
      </c>
      <c r="N68" s="80">
        <f>SUMIFS('декабрь 2024'!$G$5:$G$2311,'декабрь 2024'!$D$5:$D$2311,$B68,'декабрь 2024'!$J$5:$J$2311,N$1)</f>
        <v>0</v>
      </c>
      <c r="O68" s="80">
        <f>SUMIFS('декабрь 2024'!$G$5:$G$2311,'декабрь 2024'!$D$5:$D$2311,$B68,'декабрь 2024'!$J$5:$J$2311,O$1)</f>
        <v>0</v>
      </c>
      <c r="P68" s="80">
        <f>SUMIFS('декабрь 2024'!$G$5:$G$2311,'декабрь 2024'!$D$5:$D$2311,$B68,'декабрь 2024'!$J$5:$J$2311,P$1)</f>
        <v>0</v>
      </c>
      <c r="Q68" s="80">
        <f>SUMIFS('декабрь 2024'!$G$5:$G$2311,'декабрь 2024'!$D$5:$D$2311,$B68,'декабрь 2024'!$J$5:$J$2311,Q$1)</f>
        <v>0</v>
      </c>
      <c r="R68" s="80">
        <f>SUMIFS('декабрь 2024'!$G$5:$G$2311,'декабрь 2024'!$D$5:$D$2311,$B68,'декабрь 2024'!$J$5:$J$2311,R$1)</f>
        <v>0</v>
      </c>
      <c r="S68" s="80">
        <f>SUMIFS('декабрь 2024'!$G$5:$G$2311,'декабрь 2024'!$D$5:$D$2311,$B68,'декабрь 2024'!$J$5:$J$2311,S$1)</f>
        <v>0</v>
      </c>
      <c r="T68" s="80">
        <f>SUMIFS('декабрь 2024'!$G$5:$G$2311,'декабрь 2024'!$D$5:$D$2311,$B68,'декабрь 2024'!$J$5:$J$2311,T$1)</f>
        <v>0</v>
      </c>
      <c r="U68" s="80">
        <f>SUMIFS('декабрь 2024'!$G$5:$G$2311,'декабрь 2024'!$D$5:$D$2311,$B68,'декабрь 2024'!$J$5:$J$2311,U$1)</f>
        <v>0</v>
      </c>
      <c r="V68" s="80">
        <f>SUMIFS('декабрь 2024'!$G$5:$G$2311,'декабрь 2024'!$D$5:$D$2311,$B68,'декабрь 2024'!$J$5:$J$2311,V$1)</f>
        <v>0</v>
      </c>
      <c r="W68" s="80">
        <f>SUMIFS('декабрь 2024'!$G$5:$G$2311,'декабрь 2024'!$D$5:$D$2311,$B68,'декабрь 2024'!$J$5:$J$2311,W$1)</f>
        <v>0</v>
      </c>
      <c r="X68" s="80">
        <f>SUMIFS('декабрь 2024'!$G$5:$G$2311,'декабрь 2024'!$D$5:$D$2311,$B68,'декабрь 2024'!$J$5:$J$2311,X$1)</f>
        <v>0</v>
      </c>
      <c r="Y68" s="80">
        <f>SUMIFS('декабрь 2024'!$G$5:$G$2311,'декабрь 2024'!$D$5:$D$2311,$B68,'декабрь 2024'!$J$5:$J$2311,Y$1)</f>
        <v>0</v>
      </c>
      <c r="Z68" s="80">
        <f>SUMIFS('декабрь 2024'!$G$5:$G$2311,'декабрь 2024'!$D$5:$D$2311,$B68,'декабрь 2024'!$J$5:$J$2311,Z$1)</f>
        <v>0</v>
      </c>
      <c r="AA68" s="80">
        <f>SUMIFS('декабрь 2024'!$G$5:$G$2311,'декабрь 2024'!$D$5:$D$2311,$B68,'декабрь 2024'!$J$5:$J$2311,AA$1)</f>
        <v>0</v>
      </c>
      <c r="AB68" s="80">
        <f>SUMIFS('декабрь 2024'!$G$5:$G$2311,'декабрь 2024'!$D$5:$D$2311,$B68,'декабрь 2024'!$J$5:$J$2311,AB$1)</f>
        <v>0</v>
      </c>
      <c r="AC68" s="80">
        <f>SUMIFS('декабрь 2024'!$G$5:$G$2311,'декабрь 2024'!$D$5:$D$2311,$B68,'декабрь 2024'!$J$5:$J$2311,AC$1)</f>
        <v>0</v>
      </c>
      <c r="AD68" s="80">
        <f>SUMIFS('декабрь 2024'!$G$5:$G$2311,'декабрь 2024'!$D$5:$D$2311,$B68,'декабрь 2024'!$J$5:$J$2311,AD$1)</f>
        <v>0</v>
      </c>
      <c r="AE68" s="80">
        <f>SUMIFS('декабрь 2024'!$G$5:$G$2311,'декабрь 2024'!$D$5:$D$2311,$B68,'декабрь 2024'!$J$5:$J$2311,AE$1)</f>
        <v>0</v>
      </c>
      <c r="AF68" s="80">
        <f>SUMIFS('декабрь 2024'!$G$5:$G$2311,'декабрь 2024'!$D$5:$D$2311,$B68,'декабрь 2024'!$J$5:$J$2311,AF$1)</f>
        <v>0</v>
      </c>
      <c r="AG68" s="80">
        <f>SUMIFS('декабрь 2024'!$G$5:$G$2311,'декабрь 2024'!$D$5:$D$2311,$B68,'декабрь 2024'!$J$5:$J$2311,AG$1)</f>
        <v>0</v>
      </c>
      <c r="AH68" s="80">
        <f>SUMIFS('декабрь 2024'!$G$5:$G$2311,'декабрь 2024'!$D$5:$D$2311,$B68,'декабрь 2024'!$J$5:$J$2311,AH$1)</f>
        <v>0</v>
      </c>
      <c r="AI68" s="21">
        <f t="shared" si="1"/>
        <v>0</v>
      </c>
    </row>
    <row r="69" spans="2:35" ht="15.75" x14ac:dyDescent="0.25">
      <c r="B69" s="93" t="s">
        <v>897</v>
      </c>
      <c r="C69" s="91">
        <v>200</v>
      </c>
      <c r="D69" s="80">
        <f>SUMIFS('декабрь 2024'!$G$5:$G$2311,'декабрь 2024'!$D$5:$D$2311,$B69,'декабрь 2024'!$J$5:$J$2311,D$1)</f>
        <v>0</v>
      </c>
      <c r="E69" s="80">
        <f>SUMIFS('декабрь 2024'!$G$5:$G$2311,'декабрь 2024'!$D$5:$D$2311,$B69,'декабрь 2024'!$J$5:$J$2311,E$1)</f>
        <v>0</v>
      </c>
      <c r="F69" s="80">
        <f>SUMIFS('декабрь 2024'!$G$5:$G$2311,'декабрь 2024'!$D$5:$D$2311,$B69,'декабрь 2024'!$J$5:$J$2311,F$1)</f>
        <v>0</v>
      </c>
      <c r="G69" s="80">
        <f>SUMIFS('декабрь 2024'!$G$5:$G$2311,'декабрь 2024'!$D$5:$D$2311,$B69,'декабрь 2024'!$J$5:$J$2311,G$1)</f>
        <v>0</v>
      </c>
      <c r="H69" s="80">
        <f>SUMIFS('декабрь 2024'!$G$5:$G$2311,'декабрь 2024'!$D$5:$D$2311,$B69,'декабрь 2024'!$J$5:$J$2311,H$1)</f>
        <v>0</v>
      </c>
      <c r="I69" s="80">
        <f>SUMIFS('декабрь 2024'!$G$5:$G$2311,'декабрь 2024'!$D$5:$D$2311,$B69,'декабрь 2024'!$J$5:$J$2311,I$1)</f>
        <v>0</v>
      </c>
      <c r="J69" s="80">
        <f>SUMIFS('декабрь 2024'!$G$5:$G$2311,'декабрь 2024'!$D$5:$D$2311,$B69,'декабрь 2024'!$J$5:$J$2311,J$1)</f>
        <v>0</v>
      </c>
      <c r="K69" s="80">
        <f>SUMIFS('декабрь 2024'!$G$5:$G$2311,'декабрь 2024'!$D$5:$D$2311,$B69,'декабрь 2024'!$J$5:$J$2311,K$1)</f>
        <v>0</v>
      </c>
      <c r="L69" s="80">
        <f>SUMIFS('декабрь 2024'!$G$5:$G$2311,'декабрь 2024'!$D$5:$D$2311,$B69,'декабрь 2024'!$J$5:$J$2311,L$1)</f>
        <v>0</v>
      </c>
      <c r="M69" s="80">
        <f>SUMIFS('декабрь 2024'!$G$5:$G$2311,'декабрь 2024'!$D$5:$D$2311,$B69,'декабрь 2024'!$J$5:$J$2311,M$1)</f>
        <v>0</v>
      </c>
      <c r="N69" s="80">
        <f>SUMIFS('декабрь 2024'!$G$5:$G$2311,'декабрь 2024'!$D$5:$D$2311,$B69,'декабрь 2024'!$J$5:$J$2311,N$1)</f>
        <v>0</v>
      </c>
      <c r="O69" s="80">
        <f>SUMIFS('декабрь 2024'!$G$5:$G$2311,'декабрь 2024'!$D$5:$D$2311,$B69,'декабрь 2024'!$J$5:$J$2311,O$1)</f>
        <v>0</v>
      </c>
      <c r="P69" s="80">
        <f>SUMIFS('декабрь 2024'!$G$5:$G$2311,'декабрь 2024'!$D$5:$D$2311,$B69,'декабрь 2024'!$J$5:$J$2311,P$1)</f>
        <v>0</v>
      </c>
      <c r="Q69" s="80">
        <f>SUMIFS('декабрь 2024'!$G$5:$G$2311,'декабрь 2024'!$D$5:$D$2311,$B69,'декабрь 2024'!$J$5:$J$2311,Q$1)</f>
        <v>0</v>
      </c>
      <c r="R69" s="80">
        <f>SUMIFS('декабрь 2024'!$G$5:$G$2311,'декабрь 2024'!$D$5:$D$2311,$B69,'декабрь 2024'!$J$5:$J$2311,R$1)</f>
        <v>0</v>
      </c>
      <c r="S69" s="80">
        <f>SUMIFS('декабрь 2024'!$G$5:$G$2311,'декабрь 2024'!$D$5:$D$2311,$B69,'декабрь 2024'!$J$5:$J$2311,S$1)</f>
        <v>0</v>
      </c>
      <c r="T69" s="80">
        <f>SUMIFS('декабрь 2024'!$G$5:$G$2311,'декабрь 2024'!$D$5:$D$2311,$B69,'декабрь 2024'!$J$5:$J$2311,T$1)</f>
        <v>0</v>
      </c>
      <c r="U69" s="80">
        <f>SUMIFS('декабрь 2024'!$G$5:$G$2311,'декабрь 2024'!$D$5:$D$2311,$B69,'декабрь 2024'!$J$5:$J$2311,U$1)</f>
        <v>0</v>
      </c>
      <c r="V69" s="80">
        <f>SUMIFS('декабрь 2024'!$G$5:$G$2311,'декабрь 2024'!$D$5:$D$2311,$B69,'декабрь 2024'!$J$5:$J$2311,V$1)</f>
        <v>0</v>
      </c>
      <c r="W69" s="80">
        <f>SUMIFS('декабрь 2024'!$G$5:$G$2311,'декабрь 2024'!$D$5:$D$2311,$B69,'декабрь 2024'!$J$5:$J$2311,W$1)</f>
        <v>0</v>
      </c>
      <c r="X69" s="80">
        <f>SUMIFS('декабрь 2024'!$G$5:$G$2311,'декабрь 2024'!$D$5:$D$2311,$B69,'декабрь 2024'!$J$5:$J$2311,X$1)</f>
        <v>0</v>
      </c>
      <c r="Y69" s="80">
        <f>SUMIFS('декабрь 2024'!$G$5:$G$2311,'декабрь 2024'!$D$5:$D$2311,$B69,'декабрь 2024'!$J$5:$J$2311,Y$1)</f>
        <v>0</v>
      </c>
      <c r="Z69" s="80">
        <f>SUMIFS('декабрь 2024'!$G$5:$G$2311,'декабрь 2024'!$D$5:$D$2311,$B69,'декабрь 2024'!$J$5:$J$2311,Z$1)</f>
        <v>0</v>
      </c>
      <c r="AA69" s="80">
        <f>SUMIFS('декабрь 2024'!$G$5:$G$2311,'декабрь 2024'!$D$5:$D$2311,$B69,'декабрь 2024'!$J$5:$J$2311,AA$1)</f>
        <v>0</v>
      </c>
      <c r="AB69" s="80">
        <f>SUMIFS('декабрь 2024'!$G$5:$G$2311,'декабрь 2024'!$D$5:$D$2311,$B69,'декабрь 2024'!$J$5:$J$2311,AB$1)</f>
        <v>0</v>
      </c>
      <c r="AC69" s="80">
        <f>SUMIFS('декабрь 2024'!$G$5:$G$2311,'декабрь 2024'!$D$5:$D$2311,$B69,'декабрь 2024'!$J$5:$J$2311,AC$1)</f>
        <v>0</v>
      </c>
      <c r="AD69" s="80">
        <f>SUMIFS('декабрь 2024'!$G$5:$G$2311,'декабрь 2024'!$D$5:$D$2311,$B69,'декабрь 2024'!$J$5:$J$2311,AD$1)</f>
        <v>0</v>
      </c>
      <c r="AE69" s="80">
        <f>SUMIFS('декабрь 2024'!$G$5:$G$2311,'декабрь 2024'!$D$5:$D$2311,$B69,'декабрь 2024'!$J$5:$J$2311,AE$1)</f>
        <v>0</v>
      </c>
      <c r="AF69" s="80">
        <f>SUMIFS('декабрь 2024'!$G$5:$G$2311,'декабрь 2024'!$D$5:$D$2311,$B69,'декабрь 2024'!$J$5:$J$2311,AF$1)</f>
        <v>0</v>
      </c>
      <c r="AG69" s="80">
        <f>SUMIFS('декабрь 2024'!$G$5:$G$2311,'декабрь 2024'!$D$5:$D$2311,$B69,'декабрь 2024'!$J$5:$J$2311,AG$1)</f>
        <v>0</v>
      </c>
      <c r="AH69" s="80">
        <f>SUMIFS('декабрь 2024'!$G$5:$G$2311,'декабрь 2024'!$D$5:$D$2311,$B69,'декабрь 2024'!$J$5:$J$2311,AH$1)</f>
        <v>0</v>
      </c>
      <c r="AI69" s="21">
        <f t="shared" si="1"/>
        <v>0</v>
      </c>
    </row>
    <row r="70" spans="2:35" ht="15" customHeight="1" x14ac:dyDescent="0.25">
      <c r="B70" s="93" t="s">
        <v>213</v>
      </c>
      <c r="C70" s="91">
        <v>200</v>
      </c>
      <c r="D70" s="80">
        <f>SUMIFS('декабрь 2024'!$G$5:$G$2311,'декабрь 2024'!$D$5:$D$2311,$B70,'декабрь 2024'!$J$5:$J$2311,D$1)</f>
        <v>0</v>
      </c>
      <c r="E70" s="80">
        <f>SUMIFS('декабрь 2024'!$G$5:$G$2311,'декабрь 2024'!$D$5:$D$2311,$B70,'декабрь 2024'!$J$5:$J$2311,E$1)</f>
        <v>0</v>
      </c>
      <c r="F70" s="80">
        <f>SUMIFS('декабрь 2024'!$G$5:$G$2311,'декабрь 2024'!$D$5:$D$2311,$B70,'декабрь 2024'!$J$5:$J$2311,F$1)</f>
        <v>0</v>
      </c>
      <c r="G70" s="80">
        <f>SUMIFS('декабрь 2024'!$G$5:$G$2311,'декабрь 2024'!$D$5:$D$2311,$B70,'декабрь 2024'!$J$5:$J$2311,G$1)</f>
        <v>0</v>
      </c>
      <c r="H70" s="80">
        <f>SUMIFS('декабрь 2024'!$G$5:$G$2311,'декабрь 2024'!$D$5:$D$2311,$B70,'декабрь 2024'!$J$5:$J$2311,H$1)</f>
        <v>0</v>
      </c>
      <c r="I70" s="80">
        <f>SUMIFS('декабрь 2024'!$G$5:$G$2311,'декабрь 2024'!$D$5:$D$2311,$B70,'декабрь 2024'!$J$5:$J$2311,I$1)</f>
        <v>0</v>
      </c>
      <c r="J70" s="80">
        <f>SUMIFS('декабрь 2024'!$G$5:$G$2311,'декабрь 2024'!$D$5:$D$2311,$B70,'декабрь 2024'!$J$5:$J$2311,J$1)</f>
        <v>0</v>
      </c>
      <c r="K70" s="80">
        <f>SUMIFS('декабрь 2024'!$G$5:$G$2311,'декабрь 2024'!$D$5:$D$2311,$B70,'декабрь 2024'!$J$5:$J$2311,K$1)</f>
        <v>0</v>
      </c>
      <c r="L70" s="80">
        <f>SUMIFS('декабрь 2024'!$G$5:$G$2311,'декабрь 2024'!$D$5:$D$2311,$B70,'декабрь 2024'!$J$5:$J$2311,L$1)</f>
        <v>0</v>
      </c>
      <c r="M70" s="80">
        <f>SUMIFS('декабрь 2024'!$G$5:$G$2311,'декабрь 2024'!$D$5:$D$2311,$B70,'декабрь 2024'!$J$5:$J$2311,M$1)</f>
        <v>0</v>
      </c>
      <c r="N70" s="80">
        <f>SUMIFS('декабрь 2024'!$G$5:$G$2311,'декабрь 2024'!$D$5:$D$2311,$B70,'декабрь 2024'!$J$5:$J$2311,N$1)</f>
        <v>0</v>
      </c>
      <c r="O70" s="80">
        <f>SUMIFS('декабрь 2024'!$G$5:$G$2311,'декабрь 2024'!$D$5:$D$2311,$B70,'декабрь 2024'!$J$5:$J$2311,O$1)</f>
        <v>0</v>
      </c>
      <c r="P70" s="80">
        <f>SUMIFS('декабрь 2024'!$G$5:$G$2311,'декабрь 2024'!$D$5:$D$2311,$B70,'декабрь 2024'!$J$5:$J$2311,P$1)</f>
        <v>0</v>
      </c>
      <c r="Q70" s="80">
        <f>SUMIFS('декабрь 2024'!$G$5:$G$2311,'декабрь 2024'!$D$5:$D$2311,$B70,'декабрь 2024'!$J$5:$J$2311,Q$1)</f>
        <v>0</v>
      </c>
      <c r="R70" s="80">
        <f>SUMIFS('декабрь 2024'!$G$5:$G$2311,'декабрь 2024'!$D$5:$D$2311,$B70,'декабрь 2024'!$J$5:$J$2311,R$1)</f>
        <v>0</v>
      </c>
      <c r="S70" s="80">
        <f>SUMIFS('декабрь 2024'!$G$5:$G$2311,'декабрь 2024'!$D$5:$D$2311,$B70,'декабрь 2024'!$J$5:$J$2311,S$1)</f>
        <v>0</v>
      </c>
      <c r="T70" s="80">
        <f>SUMIFS('декабрь 2024'!$G$5:$G$2311,'декабрь 2024'!$D$5:$D$2311,$B70,'декабрь 2024'!$J$5:$J$2311,T$1)</f>
        <v>0</v>
      </c>
      <c r="U70" s="80">
        <f>SUMIFS('декабрь 2024'!$G$5:$G$2311,'декабрь 2024'!$D$5:$D$2311,$B70,'декабрь 2024'!$J$5:$J$2311,U$1)</f>
        <v>0</v>
      </c>
      <c r="V70" s="80">
        <f>SUMIFS('декабрь 2024'!$G$5:$G$2311,'декабрь 2024'!$D$5:$D$2311,$B70,'декабрь 2024'!$J$5:$J$2311,V$1)</f>
        <v>0</v>
      </c>
      <c r="W70" s="80">
        <f>SUMIFS('декабрь 2024'!$G$5:$G$2311,'декабрь 2024'!$D$5:$D$2311,$B70,'декабрь 2024'!$J$5:$J$2311,W$1)</f>
        <v>0</v>
      </c>
      <c r="X70" s="80">
        <f>SUMIFS('декабрь 2024'!$G$5:$G$2311,'декабрь 2024'!$D$5:$D$2311,$B70,'декабрь 2024'!$J$5:$J$2311,X$1)</f>
        <v>0</v>
      </c>
      <c r="Y70" s="80">
        <f>SUMIFS('декабрь 2024'!$G$5:$G$2311,'декабрь 2024'!$D$5:$D$2311,$B70,'декабрь 2024'!$J$5:$J$2311,Y$1)</f>
        <v>0</v>
      </c>
      <c r="Z70" s="80">
        <f>SUMIFS('декабрь 2024'!$G$5:$G$2311,'декабрь 2024'!$D$5:$D$2311,$B70,'декабрь 2024'!$J$5:$J$2311,Z$1)</f>
        <v>0</v>
      </c>
      <c r="AA70" s="80">
        <f>SUMIFS('декабрь 2024'!$G$5:$G$2311,'декабрь 2024'!$D$5:$D$2311,$B70,'декабрь 2024'!$J$5:$J$2311,AA$1)</f>
        <v>0</v>
      </c>
      <c r="AB70" s="80">
        <f>SUMIFS('декабрь 2024'!$G$5:$G$2311,'декабрь 2024'!$D$5:$D$2311,$B70,'декабрь 2024'!$J$5:$J$2311,AB$1)</f>
        <v>0</v>
      </c>
      <c r="AC70" s="80">
        <f>SUMIFS('декабрь 2024'!$G$5:$G$2311,'декабрь 2024'!$D$5:$D$2311,$B70,'декабрь 2024'!$J$5:$J$2311,AC$1)</f>
        <v>0</v>
      </c>
      <c r="AD70" s="80">
        <f>SUMIFS('декабрь 2024'!$G$5:$G$2311,'декабрь 2024'!$D$5:$D$2311,$B70,'декабрь 2024'!$J$5:$J$2311,AD$1)</f>
        <v>0</v>
      </c>
      <c r="AE70" s="80">
        <f>SUMIFS('декабрь 2024'!$G$5:$G$2311,'декабрь 2024'!$D$5:$D$2311,$B70,'декабрь 2024'!$J$5:$J$2311,AE$1)</f>
        <v>0</v>
      </c>
      <c r="AF70" s="80">
        <f>SUMIFS('декабрь 2024'!$G$5:$G$2311,'декабрь 2024'!$D$5:$D$2311,$B70,'декабрь 2024'!$J$5:$J$2311,AF$1)</f>
        <v>0</v>
      </c>
      <c r="AG70" s="80">
        <f>SUMIFS('декабрь 2024'!$G$5:$G$2311,'декабрь 2024'!$D$5:$D$2311,$B70,'декабрь 2024'!$J$5:$J$2311,AG$1)</f>
        <v>0</v>
      </c>
      <c r="AH70" s="80">
        <f>SUMIFS('декабрь 2024'!$G$5:$G$2311,'декабрь 2024'!$D$5:$D$2311,$B70,'декабрь 2024'!$J$5:$J$2311,AH$1)</f>
        <v>0</v>
      </c>
      <c r="AI70" s="21">
        <f t="shared" si="1"/>
        <v>0</v>
      </c>
    </row>
    <row r="71" spans="2:35" ht="15" customHeight="1" x14ac:dyDescent="0.25">
      <c r="B71" s="93" t="s">
        <v>197</v>
      </c>
      <c r="C71" s="91">
        <v>200</v>
      </c>
      <c r="D71" s="80">
        <f>SUMIFS('декабрь 2024'!$G$5:$G$2311,'декабрь 2024'!$D$5:$D$2311,$B71,'декабрь 2024'!$J$5:$J$2311,D$1)</f>
        <v>0</v>
      </c>
      <c r="E71" s="80">
        <f>SUMIFS('декабрь 2024'!$G$5:$G$2311,'декабрь 2024'!$D$5:$D$2311,$B71,'декабрь 2024'!$J$5:$J$2311,E$1)</f>
        <v>0</v>
      </c>
      <c r="F71" s="80">
        <f>SUMIFS('декабрь 2024'!$G$5:$G$2311,'декабрь 2024'!$D$5:$D$2311,$B71,'декабрь 2024'!$J$5:$J$2311,F$1)</f>
        <v>0</v>
      </c>
      <c r="G71" s="80">
        <f>SUMIFS('декабрь 2024'!$G$5:$G$2311,'декабрь 2024'!$D$5:$D$2311,$B71,'декабрь 2024'!$J$5:$J$2311,G$1)</f>
        <v>0</v>
      </c>
      <c r="H71" s="80">
        <f>SUMIFS('декабрь 2024'!$G$5:$G$2311,'декабрь 2024'!$D$5:$D$2311,$B71,'декабрь 2024'!$J$5:$J$2311,H$1)</f>
        <v>0</v>
      </c>
      <c r="I71" s="80">
        <f>SUMIFS('декабрь 2024'!$G$5:$G$2311,'декабрь 2024'!$D$5:$D$2311,$B71,'декабрь 2024'!$J$5:$J$2311,I$1)</f>
        <v>0</v>
      </c>
      <c r="J71" s="80">
        <f>SUMIFS('декабрь 2024'!$G$5:$G$2311,'декабрь 2024'!$D$5:$D$2311,$B71,'декабрь 2024'!$J$5:$J$2311,J$1)</f>
        <v>0</v>
      </c>
      <c r="K71" s="80">
        <f>SUMIFS('декабрь 2024'!$G$5:$G$2311,'декабрь 2024'!$D$5:$D$2311,$B71,'декабрь 2024'!$J$5:$J$2311,K$1)</f>
        <v>0</v>
      </c>
      <c r="L71" s="80">
        <f>SUMIFS('декабрь 2024'!$G$5:$G$2311,'декабрь 2024'!$D$5:$D$2311,$B71,'декабрь 2024'!$J$5:$J$2311,L$1)</f>
        <v>0</v>
      </c>
      <c r="M71" s="80">
        <f>SUMIFS('декабрь 2024'!$G$5:$G$2311,'декабрь 2024'!$D$5:$D$2311,$B71,'декабрь 2024'!$J$5:$J$2311,M$1)</f>
        <v>0</v>
      </c>
      <c r="N71" s="80">
        <f>SUMIFS('декабрь 2024'!$G$5:$G$2311,'декабрь 2024'!$D$5:$D$2311,$B71,'декабрь 2024'!$J$5:$J$2311,N$1)</f>
        <v>0</v>
      </c>
      <c r="O71" s="80">
        <f>SUMIFS('декабрь 2024'!$G$5:$G$2311,'декабрь 2024'!$D$5:$D$2311,$B71,'декабрь 2024'!$J$5:$J$2311,O$1)</f>
        <v>0</v>
      </c>
      <c r="P71" s="80">
        <f>SUMIFS('декабрь 2024'!$G$5:$G$2311,'декабрь 2024'!$D$5:$D$2311,$B71,'декабрь 2024'!$J$5:$J$2311,P$1)</f>
        <v>0</v>
      </c>
      <c r="Q71" s="80">
        <f>SUMIFS('декабрь 2024'!$G$5:$G$2311,'декабрь 2024'!$D$5:$D$2311,$B71,'декабрь 2024'!$J$5:$J$2311,Q$1)</f>
        <v>0</v>
      </c>
      <c r="R71" s="80">
        <f>SUMIFS('декабрь 2024'!$G$5:$G$2311,'декабрь 2024'!$D$5:$D$2311,$B71,'декабрь 2024'!$J$5:$J$2311,R$1)</f>
        <v>0</v>
      </c>
      <c r="S71" s="80">
        <f>SUMIFS('декабрь 2024'!$G$5:$G$2311,'декабрь 2024'!$D$5:$D$2311,$B71,'декабрь 2024'!$J$5:$J$2311,S$1)</f>
        <v>0</v>
      </c>
      <c r="T71" s="80">
        <f>SUMIFS('декабрь 2024'!$G$5:$G$2311,'декабрь 2024'!$D$5:$D$2311,$B71,'декабрь 2024'!$J$5:$J$2311,T$1)</f>
        <v>0</v>
      </c>
      <c r="U71" s="80">
        <f>SUMIFS('декабрь 2024'!$G$5:$G$2311,'декабрь 2024'!$D$5:$D$2311,$B71,'декабрь 2024'!$J$5:$J$2311,U$1)</f>
        <v>0</v>
      </c>
      <c r="V71" s="80">
        <f>SUMIFS('декабрь 2024'!$G$5:$G$2311,'декабрь 2024'!$D$5:$D$2311,$B71,'декабрь 2024'!$J$5:$J$2311,V$1)</f>
        <v>0</v>
      </c>
      <c r="W71" s="80">
        <f>SUMIFS('декабрь 2024'!$G$5:$G$2311,'декабрь 2024'!$D$5:$D$2311,$B71,'декабрь 2024'!$J$5:$J$2311,W$1)</f>
        <v>0</v>
      </c>
      <c r="X71" s="80">
        <f>SUMIFS('декабрь 2024'!$G$5:$G$2311,'декабрь 2024'!$D$5:$D$2311,$B71,'декабрь 2024'!$J$5:$J$2311,X$1)</f>
        <v>0</v>
      </c>
      <c r="Y71" s="80">
        <f>SUMIFS('декабрь 2024'!$G$5:$G$2311,'декабрь 2024'!$D$5:$D$2311,$B71,'декабрь 2024'!$J$5:$J$2311,Y$1)</f>
        <v>0</v>
      </c>
      <c r="Z71" s="80">
        <f>SUMIFS('декабрь 2024'!$G$5:$G$2311,'декабрь 2024'!$D$5:$D$2311,$B71,'декабрь 2024'!$J$5:$J$2311,Z$1)</f>
        <v>0</v>
      </c>
      <c r="AA71" s="80">
        <f>SUMIFS('декабрь 2024'!$G$5:$G$2311,'декабрь 2024'!$D$5:$D$2311,$B71,'декабрь 2024'!$J$5:$J$2311,AA$1)</f>
        <v>0</v>
      </c>
      <c r="AB71" s="80">
        <f>SUMIFS('декабрь 2024'!$G$5:$G$2311,'декабрь 2024'!$D$5:$D$2311,$B71,'декабрь 2024'!$J$5:$J$2311,AB$1)</f>
        <v>0</v>
      </c>
      <c r="AC71" s="80">
        <f>SUMIFS('декабрь 2024'!$G$5:$G$2311,'декабрь 2024'!$D$5:$D$2311,$B71,'декабрь 2024'!$J$5:$J$2311,AC$1)</f>
        <v>0</v>
      </c>
      <c r="AD71" s="80">
        <f>SUMIFS('декабрь 2024'!$G$5:$G$2311,'декабрь 2024'!$D$5:$D$2311,$B71,'декабрь 2024'!$J$5:$J$2311,AD$1)</f>
        <v>0</v>
      </c>
      <c r="AE71" s="80">
        <f>SUMIFS('декабрь 2024'!$G$5:$G$2311,'декабрь 2024'!$D$5:$D$2311,$B71,'декабрь 2024'!$J$5:$J$2311,AE$1)</f>
        <v>0</v>
      </c>
      <c r="AF71" s="80">
        <f>SUMIFS('декабрь 2024'!$G$5:$G$2311,'декабрь 2024'!$D$5:$D$2311,$B71,'декабрь 2024'!$J$5:$J$2311,AF$1)</f>
        <v>0</v>
      </c>
      <c r="AG71" s="80">
        <f>SUMIFS('декабрь 2024'!$G$5:$G$2311,'декабрь 2024'!$D$5:$D$2311,$B71,'декабрь 2024'!$J$5:$J$2311,AG$1)</f>
        <v>0</v>
      </c>
      <c r="AH71" s="80">
        <f>SUMIFS('декабрь 2024'!$G$5:$G$2311,'декабрь 2024'!$D$5:$D$2311,$B71,'декабрь 2024'!$J$5:$J$2311,AH$1)</f>
        <v>0</v>
      </c>
      <c r="AI71" s="21">
        <f t="shared" si="1"/>
        <v>0</v>
      </c>
    </row>
    <row r="72" spans="2:35" ht="15" customHeight="1" x14ac:dyDescent="0.25">
      <c r="B72" s="93" t="s">
        <v>198</v>
      </c>
      <c r="C72" s="91">
        <v>200</v>
      </c>
      <c r="D72" s="80">
        <f>SUMIFS('декабрь 2024'!$G$5:$G$2311,'декабрь 2024'!$D$5:$D$2311,$B72,'декабрь 2024'!$J$5:$J$2311,D$1)</f>
        <v>0</v>
      </c>
      <c r="E72" s="80">
        <f>SUMIFS('декабрь 2024'!$G$5:$G$2311,'декабрь 2024'!$D$5:$D$2311,$B72,'декабрь 2024'!$J$5:$J$2311,E$1)</f>
        <v>0</v>
      </c>
      <c r="F72" s="80">
        <f>SUMIFS('декабрь 2024'!$G$5:$G$2311,'декабрь 2024'!$D$5:$D$2311,$B72,'декабрь 2024'!$J$5:$J$2311,F$1)</f>
        <v>0</v>
      </c>
      <c r="G72" s="80">
        <f>SUMIFS('декабрь 2024'!$G$5:$G$2311,'декабрь 2024'!$D$5:$D$2311,$B72,'декабрь 2024'!$J$5:$J$2311,G$1)</f>
        <v>0</v>
      </c>
      <c r="H72" s="80">
        <f>SUMIFS('декабрь 2024'!$G$5:$G$2311,'декабрь 2024'!$D$5:$D$2311,$B72,'декабрь 2024'!$J$5:$J$2311,H$1)</f>
        <v>0</v>
      </c>
      <c r="I72" s="80">
        <f>SUMIFS('декабрь 2024'!$G$5:$G$2311,'декабрь 2024'!$D$5:$D$2311,$B72,'декабрь 2024'!$J$5:$J$2311,I$1)</f>
        <v>0</v>
      </c>
      <c r="J72" s="80">
        <f>SUMIFS('декабрь 2024'!$G$5:$G$2311,'декабрь 2024'!$D$5:$D$2311,$B72,'декабрь 2024'!$J$5:$J$2311,J$1)</f>
        <v>0</v>
      </c>
      <c r="K72" s="80">
        <f>SUMIFS('декабрь 2024'!$G$5:$G$2311,'декабрь 2024'!$D$5:$D$2311,$B72,'декабрь 2024'!$J$5:$J$2311,K$1)</f>
        <v>0</v>
      </c>
      <c r="L72" s="80">
        <f>SUMIFS('декабрь 2024'!$G$5:$G$2311,'декабрь 2024'!$D$5:$D$2311,$B72,'декабрь 2024'!$J$5:$J$2311,L$1)</f>
        <v>0</v>
      </c>
      <c r="M72" s="80">
        <f>SUMIFS('декабрь 2024'!$G$5:$G$2311,'декабрь 2024'!$D$5:$D$2311,$B72,'декабрь 2024'!$J$5:$J$2311,M$1)</f>
        <v>0</v>
      </c>
      <c r="N72" s="80">
        <f>SUMIFS('декабрь 2024'!$G$5:$G$2311,'декабрь 2024'!$D$5:$D$2311,$B72,'декабрь 2024'!$J$5:$J$2311,N$1)</f>
        <v>0</v>
      </c>
      <c r="O72" s="80">
        <f>SUMIFS('декабрь 2024'!$G$5:$G$2311,'декабрь 2024'!$D$5:$D$2311,$B72,'декабрь 2024'!$J$5:$J$2311,O$1)</f>
        <v>0</v>
      </c>
      <c r="P72" s="80">
        <f>SUMIFS('декабрь 2024'!$G$5:$G$2311,'декабрь 2024'!$D$5:$D$2311,$B72,'декабрь 2024'!$J$5:$J$2311,P$1)</f>
        <v>0</v>
      </c>
      <c r="Q72" s="80">
        <f>SUMIFS('декабрь 2024'!$G$5:$G$2311,'декабрь 2024'!$D$5:$D$2311,$B72,'декабрь 2024'!$J$5:$J$2311,Q$1)</f>
        <v>0</v>
      </c>
      <c r="R72" s="80">
        <f>SUMIFS('декабрь 2024'!$G$5:$G$2311,'декабрь 2024'!$D$5:$D$2311,$B72,'декабрь 2024'!$J$5:$J$2311,R$1)</f>
        <v>0</v>
      </c>
      <c r="S72" s="80">
        <f>SUMIFS('декабрь 2024'!$G$5:$G$2311,'декабрь 2024'!$D$5:$D$2311,$B72,'декабрь 2024'!$J$5:$J$2311,S$1)</f>
        <v>0</v>
      </c>
      <c r="T72" s="80">
        <f>SUMIFS('декабрь 2024'!$G$5:$G$2311,'декабрь 2024'!$D$5:$D$2311,$B72,'декабрь 2024'!$J$5:$J$2311,T$1)</f>
        <v>0</v>
      </c>
      <c r="U72" s="80">
        <f>SUMIFS('декабрь 2024'!$G$5:$G$2311,'декабрь 2024'!$D$5:$D$2311,$B72,'декабрь 2024'!$J$5:$J$2311,U$1)</f>
        <v>0</v>
      </c>
      <c r="V72" s="80">
        <f>SUMIFS('декабрь 2024'!$G$5:$G$2311,'декабрь 2024'!$D$5:$D$2311,$B72,'декабрь 2024'!$J$5:$J$2311,V$1)</f>
        <v>0</v>
      </c>
      <c r="W72" s="80">
        <f>SUMIFS('декабрь 2024'!$G$5:$G$2311,'декабрь 2024'!$D$5:$D$2311,$B72,'декабрь 2024'!$J$5:$J$2311,W$1)</f>
        <v>0</v>
      </c>
      <c r="X72" s="80">
        <f>SUMIFS('декабрь 2024'!$G$5:$G$2311,'декабрь 2024'!$D$5:$D$2311,$B72,'декабрь 2024'!$J$5:$J$2311,X$1)</f>
        <v>0</v>
      </c>
      <c r="Y72" s="80">
        <f>SUMIFS('декабрь 2024'!$G$5:$G$2311,'декабрь 2024'!$D$5:$D$2311,$B72,'декабрь 2024'!$J$5:$J$2311,Y$1)</f>
        <v>0</v>
      </c>
      <c r="Z72" s="80">
        <f>SUMIFS('декабрь 2024'!$G$5:$G$2311,'декабрь 2024'!$D$5:$D$2311,$B72,'декабрь 2024'!$J$5:$J$2311,Z$1)</f>
        <v>0</v>
      </c>
      <c r="AA72" s="80">
        <f>SUMIFS('декабрь 2024'!$G$5:$G$2311,'декабрь 2024'!$D$5:$D$2311,$B72,'декабрь 2024'!$J$5:$J$2311,AA$1)</f>
        <v>0</v>
      </c>
      <c r="AB72" s="80">
        <f>SUMIFS('декабрь 2024'!$G$5:$G$2311,'декабрь 2024'!$D$5:$D$2311,$B72,'декабрь 2024'!$J$5:$J$2311,AB$1)</f>
        <v>0</v>
      </c>
      <c r="AC72" s="80">
        <f>SUMIFS('декабрь 2024'!$G$5:$G$2311,'декабрь 2024'!$D$5:$D$2311,$B72,'декабрь 2024'!$J$5:$J$2311,AC$1)</f>
        <v>0</v>
      </c>
      <c r="AD72" s="80">
        <f>SUMIFS('декабрь 2024'!$G$5:$G$2311,'декабрь 2024'!$D$5:$D$2311,$B72,'декабрь 2024'!$J$5:$J$2311,AD$1)</f>
        <v>0</v>
      </c>
      <c r="AE72" s="80">
        <f>SUMIFS('декабрь 2024'!$G$5:$G$2311,'декабрь 2024'!$D$5:$D$2311,$B72,'декабрь 2024'!$J$5:$J$2311,AE$1)</f>
        <v>0</v>
      </c>
      <c r="AF72" s="80">
        <f>SUMIFS('декабрь 2024'!$G$5:$G$2311,'декабрь 2024'!$D$5:$D$2311,$B72,'декабрь 2024'!$J$5:$J$2311,AF$1)</f>
        <v>0</v>
      </c>
      <c r="AG72" s="80">
        <f>SUMIFS('декабрь 2024'!$G$5:$G$2311,'декабрь 2024'!$D$5:$D$2311,$B72,'декабрь 2024'!$J$5:$J$2311,AG$1)</f>
        <v>0</v>
      </c>
      <c r="AH72" s="80">
        <f>SUMIFS('декабрь 2024'!$G$5:$G$2311,'декабрь 2024'!$D$5:$D$2311,$B72,'декабрь 2024'!$J$5:$J$2311,AH$1)</f>
        <v>0</v>
      </c>
      <c r="AI72" s="21">
        <f t="shared" si="1"/>
        <v>0</v>
      </c>
    </row>
    <row r="73" spans="2:35" ht="15" customHeight="1" x14ac:dyDescent="0.25">
      <c r="B73" s="93" t="s">
        <v>320</v>
      </c>
      <c r="C73" s="91">
        <v>190</v>
      </c>
      <c r="D73" s="80">
        <f>SUMIFS('декабрь 2024'!$G$5:$G$2311,'декабрь 2024'!$D$5:$D$2311,$B73,'декабрь 2024'!$J$5:$J$2311,D$1)</f>
        <v>0</v>
      </c>
      <c r="E73" s="80">
        <f>SUMIFS('декабрь 2024'!$G$5:$G$2311,'декабрь 2024'!$D$5:$D$2311,$B73,'декабрь 2024'!$J$5:$J$2311,E$1)</f>
        <v>0</v>
      </c>
      <c r="F73" s="80">
        <f>SUMIFS('декабрь 2024'!$G$5:$G$2311,'декабрь 2024'!$D$5:$D$2311,$B73,'декабрь 2024'!$J$5:$J$2311,F$1)</f>
        <v>0</v>
      </c>
      <c r="G73" s="80">
        <f>SUMIFS('декабрь 2024'!$G$5:$G$2311,'декабрь 2024'!$D$5:$D$2311,$B73,'декабрь 2024'!$J$5:$J$2311,G$1)</f>
        <v>0</v>
      </c>
      <c r="H73" s="80">
        <f>SUMIFS('декабрь 2024'!$G$5:$G$2311,'декабрь 2024'!$D$5:$D$2311,$B73,'декабрь 2024'!$J$5:$J$2311,H$1)</f>
        <v>0</v>
      </c>
      <c r="I73" s="80">
        <f>SUMIFS('декабрь 2024'!$G$5:$G$2311,'декабрь 2024'!$D$5:$D$2311,$B73,'декабрь 2024'!$J$5:$J$2311,I$1)</f>
        <v>0</v>
      </c>
      <c r="J73" s="80">
        <f>SUMIFS('декабрь 2024'!$G$5:$G$2311,'декабрь 2024'!$D$5:$D$2311,$B73,'декабрь 2024'!$J$5:$J$2311,J$1)</f>
        <v>0</v>
      </c>
      <c r="K73" s="80">
        <f>SUMIFS('декабрь 2024'!$G$5:$G$2311,'декабрь 2024'!$D$5:$D$2311,$B73,'декабрь 2024'!$J$5:$J$2311,K$1)</f>
        <v>0</v>
      </c>
      <c r="L73" s="80">
        <f>SUMIFS('декабрь 2024'!$G$5:$G$2311,'декабрь 2024'!$D$5:$D$2311,$B73,'декабрь 2024'!$J$5:$J$2311,L$1)</f>
        <v>0</v>
      </c>
      <c r="M73" s="80">
        <f>SUMIFS('декабрь 2024'!$G$5:$G$2311,'декабрь 2024'!$D$5:$D$2311,$B73,'декабрь 2024'!$J$5:$J$2311,M$1)</f>
        <v>0</v>
      </c>
      <c r="N73" s="80">
        <f>SUMIFS('декабрь 2024'!$G$5:$G$2311,'декабрь 2024'!$D$5:$D$2311,$B73,'декабрь 2024'!$J$5:$J$2311,N$1)</f>
        <v>0</v>
      </c>
      <c r="O73" s="80">
        <f>SUMIFS('декабрь 2024'!$G$5:$G$2311,'декабрь 2024'!$D$5:$D$2311,$B73,'декабрь 2024'!$J$5:$J$2311,O$1)</f>
        <v>0</v>
      </c>
      <c r="P73" s="80">
        <f>SUMIFS('декабрь 2024'!$G$5:$G$2311,'декабрь 2024'!$D$5:$D$2311,$B73,'декабрь 2024'!$J$5:$J$2311,P$1)</f>
        <v>0</v>
      </c>
      <c r="Q73" s="80">
        <f>SUMIFS('декабрь 2024'!$G$5:$G$2311,'декабрь 2024'!$D$5:$D$2311,$B73,'декабрь 2024'!$J$5:$J$2311,Q$1)</f>
        <v>0</v>
      </c>
      <c r="R73" s="80">
        <f>SUMIFS('декабрь 2024'!$G$5:$G$2311,'декабрь 2024'!$D$5:$D$2311,$B73,'декабрь 2024'!$J$5:$J$2311,R$1)</f>
        <v>0</v>
      </c>
      <c r="S73" s="80">
        <f>SUMIFS('декабрь 2024'!$G$5:$G$2311,'декабрь 2024'!$D$5:$D$2311,$B73,'декабрь 2024'!$J$5:$J$2311,S$1)</f>
        <v>0</v>
      </c>
      <c r="T73" s="80">
        <f>SUMIFS('декабрь 2024'!$G$5:$G$2311,'декабрь 2024'!$D$5:$D$2311,$B73,'декабрь 2024'!$J$5:$J$2311,T$1)</f>
        <v>0</v>
      </c>
      <c r="U73" s="80">
        <f>SUMIFS('декабрь 2024'!$G$5:$G$2311,'декабрь 2024'!$D$5:$D$2311,$B73,'декабрь 2024'!$J$5:$J$2311,U$1)</f>
        <v>0</v>
      </c>
      <c r="V73" s="80">
        <f>SUMIFS('декабрь 2024'!$G$5:$G$2311,'декабрь 2024'!$D$5:$D$2311,$B73,'декабрь 2024'!$J$5:$J$2311,V$1)</f>
        <v>0</v>
      </c>
      <c r="W73" s="80">
        <f>SUMIFS('декабрь 2024'!$G$5:$G$2311,'декабрь 2024'!$D$5:$D$2311,$B73,'декабрь 2024'!$J$5:$J$2311,W$1)</f>
        <v>0</v>
      </c>
      <c r="X73" s="80">
        <f>SUMIFS('декабрь 2024'!$G$5:$G$2311,'декабрь 2024'!$D$5:$D$2311,$B73,'декабрь 2024'!$J$5:$J$2311,X$1)</f>
        <v>0</v>
      </c>
      <c r="Y73" s="80">
        <f>SUMIFS('декабрь 2024'!$G$5:$G$2311,'декабрь 2024'!$D$5:$D$2311,$B73,'декабрь 2024'!$J$5:$J$2311,Y$1)</f>
        <v>0</v>
      </c>
      <c r="Z73" s="80">
        <f>SUMIFS('декабрь 2024'!$G$5:$G$2311,'декабрь 2024'!$D$5:$D$2311,$B73,'декабрь 2024'!$J$5:$J$2311,Z$1)</f>
        <v>0</v>
      </c>
      <c r="AA73" s="80">
        <f>SUMIFS('декабрь 2024'!$G$5:$G$2311,'декабрь 2024'!$D$5:$D$2311,$B73,'декабрь 2024'!$J$5:$J$2311,AA$1)</f>
        <v>0</v>
      </c>
      <c r="AB73" s="80">
        <f>SUMIFS('декабрь 2024'!$G$5:$G$2311,'декабрь 2024'!$D$5:$D$2311,$B73,'декабрь 2024'!$J$5:$J$2311,AB$1)</f>
        <v>0</v>
      </c>
      <c r="AC73" s="80">
        <f>SUMIFS('декабрь 2024'!$G$5:$G$2311,'декабрь 2024'!$D$5:$D$2311,$B73,'декабрь 2024'!$J$5:$J$2311,AC$1)</f>
        <v>0</v>
      </c>
      <c r="AD73" s="80">
        <f>SUMIFS('декабрь 2024'!$G$5:$G$2311,'декабрь 2024'!$D$5:$D$2311,$B73,'декабрь 2024'!$J$5:$J$2311,AD$1)</f>
        <v>0</v>
      </c>
      <c r="AE73" s="80">
        <f>SUMIFS('декабрь 2024'!$G$5:$G$2311,'декабрь 2024'!$D$5:$D$2311,$B73,'декабрь 2024'!$J$5:$J$2311,AE$1)</f>
        <v>0</v>
      </c>
      <c r="AF73" s="80">
        <f>SUMIFS('декабрь 2024'!$G$5:$G$2311,'декабрь 2024'!$D$5:$D$2311,$B73,'декабрь 2024'!$J$5:$J$2311,AF$1)</f>
        <v>0</v>
      </c>
      <c r="AG73" s="80">
        <f>SUMIFS('декабрь 2024'!$G$5:$G$2311,'декабрь 2024'!$D$5:$D$2311,$B73,'декабрь 2024'!$J$5:$J$2311,AG$1)</f>
        <v>0</v>
      </c>
      <c r="AH73" s="80">
        <f>SUMIFS('декабрь 2024'!$G$5:$G$2311,'декабрь 2024'!$D$5:$D$2311,$B73,'декабрь 2024'!$J$5:$J$2311,AH$1)</f>
        <v>0</v>
      </c>
      <c r="AI73" s="21">
        <f t="shared" si="1"/>
        <v>0</v>
      </c>
    </row>
    <row r="74" spans="2:35" ht="15" customHeight="1" x14ac:dyDescent="0.25">
      <c r="B74" s="93" t="s">
        <v>210</v>
      </c>
      <c r="C74" s="91">
        <v>200</v>
      </c>
      <c r="D74" s="80">
        <f>SUMIFS('декабрь 2024'!$G$5:$G$2311,'декабрь 2024'!$D$5:$D$2311,$B74,'декабрь 2024'!$J$5:$J$2311,D$1)</f>
        <v>0</v>
      </c>
      <c r="E74" s="80">
        <f>SUMIFS('декабрь 2024'!$G$5:$G$2311,'декабрь 2024'!$D$5:$D$2311,$B74,'декабрь 2024'!$J$5:$J$2311,E$1)</f>
        <v>0</v>
      </c>
      <c r="F74" s="80">
        <f>SUMIFS('декабрь 2024'!$G$5:$G$2311,'декабрь 2024'!$D$5:$D$2311,$B74,'декабрь 2024'!$J$5:$J$2311,F$1)</f>
        <v>0</v>
      </c>
      <c r="G74" s="80">
        <f>SUMIFS('декабрь 2024'!$G$5:$G$2311,'декабрь 2024'!$D$5:$D$2311,$B74,'декабрь 2024'!$J$5:$J$2311,G$1)</f>
        <v>0</v>
      </c>
      <c r="H74" s="80">
        <f>SUMIFS('декабрь 2024'!$G$5:$G$2311,'декабрь 2024'!$D$5:$D$2311,$B74,'декабрь 2024'!$J$5:$J$2311,H$1)</f>
        <v>0</v>
      </c>
      <c r="I74" s="80">
        <f>SUMIFS('декабрь 2024'!$G$5:$G$2311,'декабрь 2024'!$D$5:$D$2311,$B74,'декабрь 2024'!$J$5:$J$2311,I$1)</f>
        <v>0</v>
      </c>
      <c r="J74" s="80">
        <f>SUMIFS('декабрь 2024'!$G$5:$G$2311,'декабрь 2024'!$D$5:$D$2311,$B74,'декабрь 2024'!$J$5:$J$2311,J$1)</f>
        <v>0</v>
      </c>
      <c r="K74" s="80">
        <f>SUMIFS('декабрь 2024'!$G$5:$G$2311,'декабрь 2024'!$D$5:$D$2311,$B74,'декабрь 2024'!$J$5:$J$2311,K$1)</f>
        <v>0</v>
      </c>
      <c r="L74" s="80">
        <f>SUMIFS('декабрь 2024'!$G$5:$G$2311,'декабрь 2024'!$D$5:$D$2311,$B74,'декабрь 2024'!$J$5:$J$2311,L$1)</f>
        <v>0</v>
      </c>
      <c r="M74" s="80">
        <f>SUMIFS('декабрь 2024'!$G$5:$G$2311,'декабрь 2024'!$D$5:$D$2311,$B74,'декабрь 2024'!$J$5:$J$2311,M$1)</f>
        <v>0</v>
      </c>
      <c r="N74" s="80">
        <f>SUMIFS('декабрь 2024'!$G$5:$G$2311,'декабрь 2024'!$D$5:$D$2311,$B74,'декабрь 2024'!$J$5:$J$2311,N$1)</f>
        <v>0</v>
      </c>
      <c r="O74" s="80">
        <f>SUMIFS('декабрь 2024'!$G$5:$G$2311,'декабрь 2024'!$D$5:$D$2311,$B74,'декабрь 2024'!$J$5:$J$2311,O$1)</f>
        <v>0</v>
      </c>
      <c r="P74" s="80">
        <f>SUMIFS('декабрь 2024'!$G$5:$G$2311,'декабрь 2024'!$D$5:$D$2311,$B74,'декабрь 2024'!$J$5:$J$2311,P$1)</f>
        <v>0</v>
      </c>
      <c r="Q74" s="80">
        <f>SUMIFS('декабрь 2024'!$G$5:$G$2311,'декабрь 2024'!$D$5:$D$2311,$B74,'декабрь 2024'!$J$5:$J$2311,Q$1)</f>
        <v>0</v>
      </c>
      <c r="R74" s="80">
        <f>SUMIFS('декабрь 2024'!$G$5:$G$2311,'декабрь 2024'!$D$5:$D$2311,$B74,'декабрь 2024'!$J$5:$J$2311,R$1)</f>
        <v>0</v>
      </c>
      <c r="S74" s="80">
        <f>SUMIFS('декабрь 2024'!$G$5:$G$2311,'декабрь 2024'!$D$5:$D$2311,$B74,'декабрь 2024'!$J$5:$J$2311,S$1)</f>
        <v>0</v>
      </c>
      <c r="T74" s="80">
        <f>SUMIFS('декабрь 2024'!$G$5:$G$2311,'декабрь 2024'!$D$5:$D$2311,$B74,'декабрь 2024'!$J$5:$J$2311,T$1)</f>
        <v>0</v>
      </c>
      <c r="U74" s="80">
        <f>SUMIFS('декабрь 2024'!$G$5:$G$2311,'декабрь 2024'!$D$5:$D$2311,$B74,'декабрь 2024'!$J$5:$J$2311,U$1)</f>
        <v>0</v>
      </c>
      <c r="V74" s="80">
        <f>SUMIFS('декабрь 2024'!$G$5:$G$2311,'декабрь 2024'!$D$5:$D$2311,$B74,'декабрь 2024'!$J$5:$J$2311,V$1)</f>
        <v>0</v>
      </c>
      <c r="W74" s="80">
        <f>SUMIFS('декабрь 2024'!$G$5:$G$2311,'декабрь 2024'!$D$5:$D$2311,$B74,'декабрь 2024'!$J$5:$J$2311,W$1)</f>
        <v>0</v>
      </c>
      <c r="X74" s="80">
        <f>SUMIFS('декабрь 2024'!$G$5:$G$2311,'декабрь 2024'!$D$5:$D$2311,$B74,'декабрь 2024'!$J$5:$J$2311,X$1)</f>
        <v>0</v>
      </c>
      <c r="Y74" s="80">
        <f>SUMIFS('декабрь 2024'!$G$5:$G$2311,'декабрь 2024'!$D$5:$D$2311,$B74,'декабрь 2024'!$J$5:$J$2311,Y$1)</f>
        <v>0</v>
      </c>
      <c r="Z74" s="80">
        <f>SUMIFS('декабрь 2024'!$G$5:$G$2311,'декабрь 2024'!$D$5:$D$2311,$B74,'декабрь 2024'!$J$5:$J$2311,Z$1)</f>
        <v>0</v>
      </c>
      <c r="AA74" s="80">
        <f>SUMIFS('декабрь 2024'!$G$5:$G$2311,'декабрь 2024'!$D$5:$D$2311,$B74,'декабрь 2024'!$J$5:$J$2311,AA$1)</f>
        <v>0</v>
      </c>
      <c r="AB74" s="80">
        <f>SUMIFS('декабрь 2024'!$G$5:$G$2311,'декабрь 2024'!$D$5:$D$2311,$B74,'декабрь 2024'!$J$5:$J$2311,AB$1)</f>
        <v>0</v>
      </c>
      <c r="AC74" s="80">
        <f>SUMIFS('декабрь 2024'!$G$5:$G$2311,'декабрь 2024'!$D$5:$D$2311,$B74,'декабрь 2024'!$J$5:$J$2311,AC$1)</f>
        <v>0</v>
      </c>
      <c r="AD74" s="80">
        <f>SUMIFS('декабрь 2024'!$G$5:$G$2311,'декабрь 2024'!$D$5:$D$2311,$B74,'декабрь 2024'!$J$5:$J$2311,AD$1)</f>
        <v>0</v>
      </c>
      <c r="AE74" s="80">
        <f>SUMIFS('декабрь 2024'!$G$5:$G$2311,'декабрь 2024'!$D$5:$D$2311,$B74,'декабрь 2024'!$J$5:$J$2311,AE$1)</f>
        <v>0</v>
      </c>
      <c r="AF74" s="80">
        <f>SUMIFS('декабрь 2024'!$G$5:$G$2311,'декабрь 2024'!$D$5:$D$2311,$B74,'декабрь 2024'!$J$5:$J$2311,AF$1)</f>
        <v>0</v>
      </c>
      <c r="AG74" s="80">
        <f>SUMIFS('декабрь 2024'!$G$5:$G$2311,'декабрь 2024'!$D$5:$D$2311,$B74,'декабрь 2024'!$J$5:$J$2311,AG$1)</f>
        <v>0</v>
      </c>
      <c r="AH74" s="80">
        <f>SUMIFS('декабрь 2024'!$G$5:$G$2311,'декабрь 2024'!$D$5:$D$2311,$B74,'декабрь 2024'!$J$5:$J$2311,AH$1)</f>
        <v>0</v>
      </c>
      <c r="AI74" s="21">
        <f t="shared" si="1"/>
        <v>0</v>
      </c>
    </row>
    <row r="75" spans="2:35" ht="15" customHeight="1" x14ac:dyDescent="0.25">
      <c r="B75" s="93" t="s">
        <v>221</v>
      </c>
      <c r="C75" s="91">
        <v>25</v>
      </c>
      <c r="D75" s="80">
        <f>SUMIFS('декабрь 2024'!$G$5:$G$2311,'декабрь 2024'!$D$5:$D$2311,$B75,'декабрь 2024'!$J$5:$J$2311,D$1)</f>
        <v>0</v>
      </c>
      <c r="E75" s="80">
        <f>SUMIFS('декабрь 2024'!$G$5:$G$2311,'декабрь 2024'!$D$5:$D$2311,$B75,'декабрь 2024'!$J$5:$J$2311,E$1)</f>
        <v>0</v>
      </c>
      <c r="F75" s="80">
        <f>SUMIFS('декабрь 2024'!$G$5:$G$2311,'декабрь 2024'!$D$5:$D$2311,$B75,'декабрь 2024'!$J$5:$J$2311,F$1)</f>
        <v>0</v>
      </c>
      <c r="G75" s="80">
        <f>SUMIFS('декабрь 2024'!$G$5:$G$2311,'декабрь 2024'!$D$5:$D$2311,$B75,'декабрь 2024'!$J$5:$J$2311,G$1)</f>
        <v>0</v>
      </c>
      <c r="H75" s="80">
        <f>SUMIFS('декабрь 2024'!$G$5:$G$2311,'декабрь 2024'!$D$5:$D$2311,$B75,'декабрь 2024'!$J$5:$J$2311,H$1)</f>
        <v>0</v>
      </c>
      <c r="I75" s="80">
        <f>SUMIFS('декабрь 2024'!$G$5:$G$2311,'декабрь 2024'!$D$5:$D$2311,$B75,'декабрь 2024'!$J$5:$J$2311,I$1)</f>
        <v>0</v>
      </c>
      <c r="J75" s="80">
        <f>SUMIFS('декабрь 2024'!$G$5:$G$2311,'декабрь 2024'!$D$5:$D$2311,$B75,'декабрь 2024'!$J$5:$J$2311,J$1)</f>
        <v>0</v>
      </c>
      <c r="K75" s="80">
        <f>SUMIFS('декабрь 2024'!$G$5:$G$2311,'декабрь 2024'!$D$5:$D$2311,$B75,'декабрь 2024'!$J$5:$J$2311,K$1)</f>
        <v>0</v>
      </c>
      <c r="L75" s="80">
        <f>SUMIFS('декабрь 2024'!$G$5:$G$2311,'декабрь 2024'!$D$5:$D$2311,$B75,'декабрь 2024'!$J$5:$J$2311,L$1)</f>
        <v>0</v>
      </c>
      <c r="M75" s="80">
        <f>SUMIFS('декабрь 2024'!$G$5:$G$2311,'декабрь 2024'!$D$5:$D$2311,$B75,'декабрь 2024'!$J$5:$J$2311,M$1)</f>
        <v>0</v>
      </c>
      <c r="N75" s="80">
        <f>SUMIFS('декабрь 2024'!$G$5:$G$2311,'декабрь 2024'!$D$5:$D$2311,$B75,'декабрь 2024'!$J$5:$J$2311,N$1)</f>
        <v>0</v>
      </c>
      <c r="O75" s="80">
        <f>SUMIFS('декабрь 2024'!$G$5:$G$2311,'декабрь 2024'!$D$5:$D$2311,$B75,'декабрь 2024'!$J$5:$J$2311,O$1)</f>
        <v>0</v>
      </c>
      <c r="P75" s="80">
        <f>SUMIFS('декабрь 2024'!$G$5:$G$2311,'декабрь 2024'!$D$5:$D$2311,$B75,'декабрь 2024'!$J$5:$J$2311,P$1)</f>
        <v>0</v>
      </c>
      <c r="Q75" s="80">
        <f>SUMIFS('декабрь 2024'!$G$5:$G$2311,'декабрь 2024'!$D$5:$D$2311,$B75,'декабрь 2024'!$J$5:$J$2311,Q$1)</f>
        <v>0</v>
      </c>
      <c r="R75" s="80">
        <f>SUMIFS('декабрь 2024'!$G$5:$G$2311,'декабрь 2024'!$D$5:$D$2311,$B75,'декабрь 2024'!$J$5:$J$2311,R$1)</f>
        <v>0</v>
      </c>
      <c r="S75" s="80">
        <f>SUMIFS('декабрь 2024'!$G$5:$G$2311,'декабрь 2024'!$D$5:$D$2311,$B75,'декабрь 2024'!$J$5:$J$2311,S$1)</f>
        <v>0</v>
      </c>
      <c r="T75" s="80">
        <f>SUMIFS('декабрь 2024'!$G$5:$G$2311,'декабрь 2024'!$D$5:$D$2311,$B75,'декабрь 2024'!$J$5:$J$2311,T$1)</f>
        <v>0</v>
      </c>
      <c r="U75" s="80">
        <f>SUMIFS('декабрь 2024'!$G$5:$G$2311,'декабрь 2024'!$D$5:$D$2311,$B75,'декабрь 2024'!$J$5:$J$2311,U$1)</f>
        <v>0</v>
      </c>
      <c r="V75" s="80">
        <f>SUMIFS('декабрь 2024'!$G$5:$G$2311,'декабрь 2024'!$D$5:$D$2311,$B75,'декабрь 2024'!$J$5:$J$2311,V$1)</f>
        <v>0</v>
      </c>
      <c r="W75" s="80">
        <f>SUMIFS('декабрь 2024'!$G$5:$G$2311,'декабрь 2024'!$D$5:$D$2311,$B75,'декабрь 2024'!$J$5:$J$2311,W$1)</f>
        <v>0</v>
      </c>
      <c r="X75" s="80">
        <f>SUMIFS('декабрь 2024'!$G$5:$G$2311,'декабрь 2024'!$D$5:$D$2311,$B75,'декабрь 2024'!$J$5:$J$2311,X$1)</f>
        <v>0</v>
      </c>
      <c r="Y75" s="80">
        <f>SUMIFS('декабрь 2024'!$G$5:$G$2311,'декабрь 2024'!$D$5:$D$2311,$B75,'декабрь 2024'!$J$5:$J$2311,Y$1)</f>
        <v>0</v>
      </c>
      <c r="Z75" s="80">
        <f>SUMIFS('декабрь 2024'!$G$5:$G$2311,'декабрь 2024'!$D$5:$D$2311,$B75,'декабрь 2024'!$J$5:$J$2311,Z$1)</f>
        <v>0</v>
      </c>
      <c r="AA75" s="80">
        <f>SUMIFS('декабрь 2024'!$G$5:$G$2311,'декабрь 2024'!$D$5:$D$2311,$B75,'декабрь 2024'!$J$5:$J$2311,AA$1)</f>
        <v>0</v>
      </c>
      <c r="AB75" s="80">
        <f>SUMIFS('декабрь 2024'!$G$5:$G$2311,'декабрь 2024'!$D$5:$D$2311,$B75,'декабрь 2024'!$J$5:$J$2311,AB$1)</f>
        <v>0</v>
      </c>
      <c r="AC75" s="80">
        <f>SUMIFS('декабрь 2024'!$G$5:$G$2311,'декабрь 2024'!$D$5:$D$2311,$B75,'декабрь 2024'!$J$5:$J$2311,AC$1)</f>
        <v>0</v>
      </c>
      <c r="AD75" s="80">
        <f>SUMIFS('декабрь 2024'!$G$5:$G$2311,'декабрь 2024'!$D$5:$D$2311,$B75,'декабрь 2024'!$J$5:$J$2311,AD$1)</f>
        <v>0</v>
      </c>
      <c r="AE75" s="80">
        <f>SUMIFS('декабрь 2024'!$G$5:$G$2311,'декабрь 2024'!$D$5:$D$2311,$B75,'декабрь 2024'!$J$5:$J$2311,AE$1)</f>
        <v>0</v>
      </c>
      <c r="AF75" s="80">
        <f>SUMIFS('декабрь 2024'!$G$5:$G$2311,'декабрь 2024'!$D$5:$D$2311,$B75,'декабрь 2024'!$J$5:$J$2311,AF$1)</f>
        <v>0</v>
      </c>
      <c r="AG75" s="80">
        <f>SUMIFS('декабрь 2024'!$G$5:$G$2311,'декабрь 2024'!$D$5:$D$2311,$B75,'декабрь 2024'!$J$5:$J$2311,AG$1)</f>
        <v>0</v>
      </c>
      <c r="AH75" s="80">
        <f>SUMIFS('декабрь 2024'!$G$5:$G$2311,'декабрь 2024'!$D$5:$D$2311,$B75,'декабрь 2024'!$J$5:$J$2311,AH$1)</f>
        <v>0</v>
      </c>
      <c r="AI75" s="21">
        <f t="shared" si="1"/>
        <v>0</v>
      </c>
    </row>
    <row r="76" spans="2:35" ht="15" customHeight="1" x14ac:dyDescent="0.25">
      <c r="B76" s="93" t="s">
        <v>188</v>
      </c>
      <c r="C76" s="91">
        <v>50</v>
      </c>
      <c r="D76" s="80">
        <f>SUMIFS('декабрь 2024'!$G$5:$G$2311,'декабрь 2024'!$D$5:$D$2311,$B76,'декабрь 2024'!$J$5:$J$2311,D$1)</f>
        <v>0</v>
      </c>
      <c r="E76" s="80">
        <f>SUMIFS('декабрь 2024'!$G$5:$G$2311,'декабрь 2024'!$D$5:$D$2311,$B76,'декабрь 2024'!$J$5:$J$2311,E$1)</f>
        <v>0</v>
      </c>
      <c r="F76" s="80">
        <f>SUMIFS('декабрь 2024'!$G$5:$G$2311,'декабрь 2024'!$D$5:$D$2311,$B76,'декабрь 2024'!$J$5:$J$2311,F$1)</f>
        <v>0</v>
      </c>
      <c r="G76" s="80">
        <f>SUMIFS('декабрь 2024'!$G$5:$G$2311,'декабрь 2024'!$D$5:$D$2311,$B76,'декабрь 2024'!$J$5:$J$2311,G$1)</f>
        <v>0</v>
      </c>
      <c r="H76" s="80">
        <f>SUMIFS('декабрь 2024'!$G$5:$G$2311,'декабрь 2024'!$D$5:$D$2311,$B76,'декабрь 2024'!$J$5:$J$2311,H$1)</f>
        <v>0</v>
      </c>
      <c r="I76" s="80">
        <f>SUMIFS('декабрь 2024'!$G$5:$G$2311,'декабрь 2024'!$D$5:$D$2311,$B76,'декабрь 2024'!$J$5:$J$2311,I$1)</f>
        <v>0</v>
      </c>
      <c r="J76" s="80">
        <f>SUMIFS('декабрь 2024'!$G$5:$G$2311,'декабрь 2024'!$D$5:$D$2311,$B76,'декабрь 2024'!$J$5:$J$2311,J$1)</f>
        <v>0</v>
      </c>
      <c r="K76" s="80">
        <f>SUMIFS('декабрь 2024'!$G$5:$G$2311,'декабрь 2024'!$D$5:$D$2311,$B76,'декабрь 2024'!$J$5:$J$2311,K$1)</f>
        <v>0</v>
      </c>
      <c r="L76" s="80">
        <f>SUMIFS('декабрь 2024'!$G$5:$G$2311,'декабрь 2024'!$D$5:$D$2311,$B76,'декабрь 2024'!$J$5:$J$2311,L$1)</f>
        <v>0</v>
      </c>
      <c r="M76" s="80">
        <f>SUMIFS('декабрь 2024'!$G$5:$G$2311,'декабрь 2024'!$D$5:$D$2311,$B76,'декабрь 2024'!$J$5:$J$2311,M$1)</f>
        <v>0</v>
      </c>
      <c r="N76" s="80">
        <f>SUMIFS('декабрь 2024'!$G$5:$G$2311,'декабрь 2024'!$D$5:$D$2311,$B76,'декабрь 2024'!$J$5:$J$2311,N$1)</f>
        <v>0</v>
      </c>
      <c r="O76" s="80">
        <f>SUMIFS('декабрь 2024'!$G$5:$G$2311,'декабрь 2024'!$D$5:$D$2311,$B76,'декабрь 2024'!$J$5:$J$2311,O$1)</f>
        <v>0</v>
      </c>
      <c r="P76" s="80">
        <f>SUMIFS('декабрь 2024'!$G$5:$G$2311,'декабрь 2024'!$D$5:$D$2311,$B76,'декабрь 2024'!$J$5:$J$2311,P$1)</f>
        <v>0</v>
      </c>
      <c r="Q76" s="80">
        <f>SUMIFS('декабрь 2024'!$G$5:$G$2311,'декабрь 2024'!$D$5:$D$2311,$B76,'декабрь 2024'!$J$5:$J$2311,Q$1)</f>
        <v>0</v>
      </c>
      <c r="R76" s="80">
        <f>SUMIFS('декабрь 2024'!$G$5:$G$2311,'декабрь 2024'!$D$5:$D$2311,$B76,'декабрь 2024'!$J$5:$J$2311,R$1)</f>
        <v>0</v>
      </c>
      <c r="S76" s="80">
        <f>SUMIFS('декабрь 2024'!$G$5:$G$2311,'декабрь 2024'!$D$5:$D$2311,$B76,'декабрь 2024'!$J$5:$J$2311,S$1)</f>
        <v>0</v>
      </c>
      <c r="T76" s="80">
        <f>SUMIFS('декабрь 2024'!$G$5:$G$2311,'декабрь 2024'!$D$5:$D$2311,$B76,'декабрь 2024'!$J$5:$J$2311,T$1)</f>
        <v>0</v>
      </c>
      <c r="U76" s="80">
        <f>SUMIFS('декабрь 2024'!$G$5:$G$2311,'декабрь 2024'!$D$5:$D$2311,$B76,'декабрь 2024'!$J$5:$J$2311,U$1)</f>
        <v>0</v>
      </c>
      <c r="V76" s="80">
        <f>SUMIFS('декабрь 2024'!$G$5:$G$2311,'декабрь 2024'!$D$5:$D$2311,$B76,'декабрь 2024'!$J$5:$J$2311,V$1)</f>
        <v>0</v>
      </c>
      <c r="W76" s="80">
        <f>SUMIFS('декабрь 2024'!$G$5:$G$2311,'декабрь 2024'!$D$5:$D$2311,$B76,'декабрь 2024'!$J$5:$J$2311,W$1)</f>
        <v>0</v>
      </c>
      <c r="X76" s="80">
        <f>SUMIFS('декабрь 2024'!$G$5:$G$2311,'декабрь 2024'!$D$5:$D$2311,$B76,'декабрь 2024'!$J$5:$J$2311,X$1)</f>
        <v>0</v>
      </c>
      <c r="Y76" s="80">
        <f>SUMIFS('декабрь 2024'!$G$5:$G$2311,'декабрь 2024'!$D$5:$D$2311,$B76,'декабрь 2024'!$J$5:$J$2311,Y$1)</f>
        <v>0</v>
      </c>
      <c r="Z76" s="80">
        <f>SUMIFS('декабрь 2024'!$G$5:$G$2311,'декабрь 2024'!$D$5:$D$2311,$B76,'декабрь 2024'!$J$5:$J$2311,Z$1)</f>
        <v>0</v>
      </c>
      <c r="AA76" s="80">
        <f>SUMIFS('декабрь 2024'!$G$5:$G$2311,'декабрь 2024'!$D$5:$D$2311,$B76,'декабрь 2024'!$J$5:$J$2311,AA$1)</f>
        <v>0</v>
      </c>
      <c r="AB76" s="80">
        <f>SUMIFS('декабрь 2024'!$G$5:$G$2311,'декабрь 2024'!$D$5:$D$2311,$B76,'декабрь 2024'!$J$5:$J$2311,AB$1)</f>
        <v>0</v>
      </c>
      <c r="AC76" s="80">
        <f>SUMIFS('декабрь 2024'!$G$5:$G$2311,'декабрь 2024'!$D$5:$D$2311,$B76,'декабрь 2024'!$J$5:$J$2311,AC$1)</f>
        <v>0</v>
      </c>
      <c r="AD76" s="80">
        <f>SUMIFS('декабрь 2024'!$G$5:$G$2311,'декабрь 2024'!$D$5:$D$2311,$B76,'декабрь 2024'!$J$5:$J$2311,AD$1)</f>
        <v>0</v>
      </c>
      <c r="AE76" s="80">
        <f>SUMIFS('декабрь 2024'!$G$5:$G$2311,'декабрь 2024'!$D$5:$D$2311,$B76,'декабрь 2024'!$J$5:$J$2311,AE$1)</f>
        <v>0</v>
      </c>
      <c r="AF76" s="80">
        <f>SUMIFS('декабрь 2024'!$G$5:$G$2311,'декабрь 2024'!$D$5:$D$2311,$B76,'декабрь 2024'!$J$5:$J$2311,AF$1)</f>
        <v>0</v>
      </c>
      <c r="AG76" s="80">
        <f>SUMIFS('декабрь 2024'!$G$5:$G$2311,'декабрь 2024'!$D$5:$D$2311,$B76,'декабрь 2024'!$J$5:$J$2311,AG$1)</f>
        <v>0</v>
      </c>
      <c r="AH76" s="80">
        <f>SUMIFS('декабрь 2024'!$G$5:$G$2311,'декабрь 2024'!$D$5:$D$2311,$B76,'декабрь 2024'!$J$5:$J$2311,AH$1)</f>
        <v>0</v>
      </c>
      <c r="AI76" s="21">
        <f t="shared" si="1"/>
        <v>0</v>
      </c>
    </row>
    <row r="77" spans="2:35" ht="15" customHeight="1" x14ac:dyDescent="0.25">
      <c r="B77" s="93" t="s">
        <v>173</v>
      </c>
      <c r="C77" s="91">
        <v>200</v>
      </c>
      <c r="D77" s="80">
        <f>SUMIFS('декабрь 2024'!$G$5:$G$2311,'декабрь 2024'!$D$5:$D$2311,$B77,'декабрь 2024'!$J$5:$J$2311,D$1)</f>
        <v>0</v>
      </c>
      <c r="E77" s="80">
        <f>SUMIFS('декабрь 2024'!$G$5:$G$2311,'декабрь 2024'!$D$5:$D$2311,$B77,'декабрь 2024'!$J$5:$J$2311,E$1)</f>
        <v>0</v>
      </c>
      <c r="F77" s="80">
        <f>SUMIFS('декабрь 2024'!$G$5:$G$2311,'декабрь 2024'!$D$5:$D$2311,$B77,'декабрь 2024'!$J$5:$J$2311,F$1)</f>
        <v>0</v>
      </c>
      <c r="G77" s="80">
        <f>SUMIFS('декабрь 2024'!$G$5:$G$2311,'декабрь 2024'!$D$5:$D$2311,$B77,'декабрь 2024'!$J$5:$J$2311,G$1)</f>
        <v>0</v>
      </c>
      <c r="H77" s="80">
        <f>SUMIFS('декабрь 2024'!$G$5:$G$2311,'декабрь 2024'!$D$5:$D$2311,$B77,'декабрь 2024'!$J$5:$J$2311,H$1)</f>
        <v>0</v>
      </c>
      <c r="I77" s="80">
        <f>SUMIFS('декабрь 2024'!$G$5:$G$2311,'декабрь 2024'!$D$5:$D$2311,$B77,'декабрь 2024'!$J$5:$J$2311,I$1)</f>
        <v>0</v>
      </c>
      <c r="J77" s="80">
        <f>SUMIFS('декабрь 2024'!$G$5:$G$2311,'декабрь 2024'!$D$5:$D$2311,$B77,'декабрь 2024'!$J$5:$J$2311,J$1)</f>
        <v>0</v>
      </c>
      <c r="K77" s="80">
        <f>SUMIFS('декабрь 2024'!$G$5:$G$2311,'декабрь 2024'!$D$5:$D$2311,$B77,'декабрь 2024'!$J$5:$J$2311,K$1)</f>
        <v>0</v>
      </c>
      <c r="L77" s="80">
        <f>SUMIFS('декабрь 2024'!$G$5:$G$2311,'декабрь 2024'!$D$5:$D$2311,$B77,'декабрь 2024'!$J$5:$J$2311,L$1)</f>
        <v>0</v>
      </c>
      <c r="M77" s="80">
        <f>SUMIFS('декабрь 2024'!$G$5:$G$2311,'декабрь 2024'!$D$5:$D$2311,$B77,'декабрь 2024'!$J$5:$J$2311,M$1)</f>
        <v>0</v>
      </c>
      <c r="N77" s="80">
        <f>SUMIFS('декабрь 2024'!$G$5:$G$2311,'декабрь 2024'!$D$5:$D$2311,$B77,'декабрь 2024'!$J$5:$J$2311,N$1)</f>
        <v>0</v>
      </c>
      <c r="O77" s="80">
        <f>SUMIFS('декабрь 2024'!$G$5:$G$2311,'декабрь 2024'!$D$5:$D$2311,$B77,'декабрь 2024'!$J$5:$J$2311,O$1)</f>
        <v>0</v>
      </c>
      <c r="P77" s="80">
        <f>SUMIFS('декабрь 2024'!$G$5:$G$2311,'декабрь 2024'!$D$5:$D$2311,$B77,'декабрь 2024'!$J$5:$J$2311,P$1)</f>
        <v>0</v>
      </c>
      <c r="Q77" s="80">
        <f>SUMIFS('декабрь 2024'!$G$5:$G$2311,'декабрь 2024'!$D$5:$D$2311,$B77,'декабрь 2024'!$J$5:$J$2311,Q$1)</f>
        <v>0</v>
      </c>
      <c r="R77" s="80">
        <f>SUMIFS('декабрь 2024'!$G$5:$G$2311,'декабрь 2024'!$D$5:$D$2311,$B77,'декабрь 2024'!$J$5:$J$2311,R$1)</f>
        <v>0</v>
      </c>
      <c r="S77" s="80">
        <f>SUMIFS('декабрь 2024'!$G$5:$G$2311,'декабрь 2024'!$D$5:$D$2311,$B77,'декабрь 2024'!$J$5:$J$2311,S$1)</f>
        <v>0</v>
      </c>
      <c r="T77" s="80">
        <f>SUMIFS('декабрь 2024'!$G$5:$G$2311,'декабрь 2024'!$D$5:$D$2311,$B77,'декабрь 2024'!$J$5:$J$2311,T$1)</f>
        <v>0</v>
      </c>
      <c r="U77" s="80">
        <f>SUMIFS('декабрь 2024'!$G$5:$G$2311,'декабрь 2024'!$D$5:$D$2311,$B77,'декабрь 2024'!$J$5:$J$2311,U$1)</f>
        <v>0</v>
      </c>
      <c r="V77" s="80">
        <f>SUMIFS('декабрь 2024'!$G$5:$G$2311,'декабрь 2024'!$D$5:$D$2311,$B77,'декабрь 2024'!$J$5:$J$2311,V$1)</f>
        <v>0</v>
      </c>
      <c r="W77" s="80">
        <f>SUMIFS('декабрь 2024'!$G$5:$G$2311,'декабрь 2024'!$D$5:$D$2311,$B77,'декабрь 2024'!$J$5:$J$2311,W$1)</f>
        <v>0</v>
      </c>
      <c r="X77" s="80">
        <f>SUMIFS('декабрь 2024'!$G$5:$G$2311,'декабрь 2024'!$D$5:$D$2311,$B77,'декабрь 2024'!$J$5:$J$2311,X$1)</f>
        <v>0</v>
      </c>
      <c r="Y77" s="80">
        <f>SUMIFS('декабрь 2024'!$G$5:$G$2311,'декабрь 2024'!$D$5:$D$2311,$B77,'декабрь 2024'!$J$5:$J$2311,Y$1)</f>
        <v>0</v>
      </c>
      <c r="Z77" s="80">
        <f>SUMIFS('декабрь 2024'!$G$5:$G$2311,'декабрь 2024'!$D$5:$D$2311,$B77,'декабрь 2024'!$J$5:$J$2311,Z$1)</f>
        <v>0</v>
      </c>
      <c r="AA77" s="80">
        <f>SUMIFS('декабрь 2024'!$G$5:$G$2311,'декабрь 2024'!$D$5:$D$2311,$B77,'декабрь 2024'!$J$5:$J$2311,AA$1)</f>
        <v>0</v>
      </c>
      <c r="AB77" s="80">
        <f>SUMIFS('декабрь 2024'!$G$5:$G$2311,'декабрь 2024'!$D$5:$D$2311,$B77,'декабрь 2024'!$J$5:$J$2311,AB$1)</f>
        <v>0</v>
      </c>
      <c r="AC77" s="80">
        <f>SUMIFS('декабрь 2024'!$G$5:$G$2311,'декабрь 2024'!$D$5:$D$2311,$B77,'декабрь 2024'!$J$5:$J$2311,AC$1)</f>
        <v>0</v>
      </c>
      <c r="AD77" s="80">
        <f>SUMIFS('декабрь 2024'!$G$5:$G$2311,'декабрь 2024'!$D$5:$D$2311,$B77,'декабрь 2024'!$J$5:$J$2311,AD$1)</f>
        <v>0</v>
      </c>
      <c r="AE77" s="80">
        <f>SUMIFS('декабрь 2024'!$G$5:$G$2311,'декабрь 2024'!$D$5:$D$2311,$B77,'декабрь 2024'!$J$5:$J$2311,AE$1)</f>
        <v>0</v>
      </c>
      <c r="AF77" s="80">
        <f>SUMIFS('декабрь 2024'!$G$5:$G$2311,'декабрь 2024'!$D$5:$D$2311,$B77,'декабрь 2024'!$J$5:$J$2311,AF$1)</f>
        <v>0</v>
      </c>
      <c r="AG77" s="80">
        <f>SUMIFS('декабрь 2024'!$G$5:$G$2311,'декабрь 2024'!$D$5:$D$2311,$B77,'декабрь 2024'!$J$5:$J$2311,AG$1)</f>
        <v>0</v>
      </c>
      <c r="AH77" s="80">
        <f>SUMIFS('декабрь 2024'!$G$5:$G$2311,'декабрь 2024'!$D$5:$D$2311,$B77,'декабрь 2024'!$J$5:$J$2311,AH$1)</f>
        <v>0</v>
      </c>
      <c r="AI77" s="21">
        <f t="shared" si="1"/>
        <v>0</v>
      </c>
    </row>
    <row r="78" spans="2:35" ht="15" customHeight="1" x14ac:dyDescent="0.25">
      <c r="B78" s="93" t="s">
        <v>174</v>
      </c>
      <c r="C78" s="91">
        <v>200</v>
      </c>
      <c r="D78" s="80">
        <f>SUMIFS('декабрь 2024'!$G$5:$G$2311,'декабрь 2024'!$D$5:$D$2311,$B78,'декабрь 2024'!$J$5:$J$2311,D$1)</f>
        <v>0</v>
      </c>
      <c r="E78" s="80">
        <f>SUMIFS('декабрь 2024'!$G$5:$G$2311,'декабрь 2024'!$D$5:$D$2311,$B78,'декабрь 2024'!$J$5:$J$2311,E$1)</f>
        <v>0</v>
      </c>
      <c r="F78" s="80">
        <f>SUMIFS('декабрь 2024'!$G$5:$G$2311,'декабрь 2024'!$D$5:$D$2311,$B78,'декабрь 2024'!$J$5:$J$2311,F$1)</f>
        <v>0</v>
      </c>
      <c r="G78" s="80">
        <f>SUMIFS('декабрь 2024'!$G$5:$G$2311,'декабрь 2024'!$D$5:$D$2311,$B78,'декабрь 2024'!$J$5:$J$2311,G$1)</f>
        <v>0</v>
      </c>
      <c r="H78" s="80">
        <f>SUMIFS('декабрь 2024'!$G$5:$G$2311,'декабрь 2024'!$D$5:$D$2311,$B78,'декабрь 2024'!$J$5:$J$2311,H$1)</f>
        <v>0</v>
      </c>
      <c r="I78" s="80">
        <f>SUMIFS('декабрь 2024'!$G$5:$G$2311,'декабрь 2024'!$D$5:$D$2311,$B78,'декабрь 2024'!$J$5:$J$2311,I$1)</f>
        <v>0</v>
      </c>
      <c r="J78" s="80">
        <f>SUMIFS('декабрь 2024'!$G$5:$G$2311,'декабрь 2024'!$D$5:$D$2311,$B78,'декабрь 2024'!$J$5:$J$2311,J$1)</f>
        <v>0</v>
      </c>
      <c r="K78" s="80">
        <f>SUMIFS('декабрь 2024'!$G$5:$G$2311,'декабрь 2024'!$D$5:$D$2311,$B78,'декабрь 2024'!$J$5:$J$2311,K$1)</f>
        <v>0</v>
      </c>
      <c r="L78" s="80">
        <f>SUMIFS('декабрь 2024'!$G$5:$G$2311,'декабрь 2024'!$D$5:$D$2311,$B78,'декабрь 2024'!$J$5:$J$2311,L$1)</f>
        <v>0</v>
      </c>
      <c r="M78" s="80">
        <f>SUMIFS('декабрь 2024'!$G$5:$G$2311,'декабрь 2024'!$D$5:$D$2311,$B78,'декабрь 2024'!$J$5:$J$2311,M$1)</f>
        <v>0</v>
      </c>
      <c r="N78" s="80">
        <f>SUMIFS('декабрь 2024'!$G$5:$G$2311,'декабрь 2024'!$D$5:$D$2311,$B78,'декабрь 2024'!$J$5:$J$2311,N$1)</f>
        <v>0</v>
      </c>
      <c r="O78" s="80">
        <f>SUMIFS('декабрь 2024'!$G$5:$G$2311,'декабрь 2024'!$D$5:$D$2311,$B78,'декабрь 2024'!$J$5:$J$2311,O$1)</f>
        <v>0</v>
      </c>
      <c r="P78" s="80">
        <f>SUMIFS('декабрь 2024'!$G$5:$G$2311,'декабрь 2024'!$D$5:$D$2311,$B78,'декабрь 2024'!$J$5:$J$2311,P$1)</f>
        <v>0</v>
      </c>
      <c r="Q78" s="80">
        <f>SUMIFS('декабрь 2024'!$G$5:$G$2311,'декабрь 2024'!$D$5:$D$2311,$B78,'декабрь 2024'!$J$5:$J$2311,Q$1)</f>
        <v>0</v>
      </c>
      <c r="R78" s="80">
        <f>SUMIFS('декабрь 2024'!$G$5:$G$2311,'декабрь 2024'!$D$5:$D$2311,$B78,'декабрь 2024'!$J$5:$J$2311,R$1)</f>
        <v>0</v>
      </c>
      <c r="S78" s="80">
        <f>SUMIFS('декабрь 2024'!$G$5:$G$2311,'декабрь 2024'!$D$5:$D$2311,$B78,'декабрь 2024'!$J$5:$J$2311,S$1)</f>
        <v>0</v>
      </c>
      <c r="T78" s="80">
        <f>SUMIFS('декабрь 2024'!$G$5:$G$2311,'декабрь 2024'!$D$5:$D$2311,$B78,'декабрь 2024'!$J$5:$J$2311,T$1)</f>
        <v>88</v>
      </c>
      <c r="U78" s="80">
        <f>SUMIFS('декабрь 2024'!$G$5:$G$2311,'декабрь 2024'!$D$5:$D$2311,$B78,'декабрь 2024'!$J$5:$J$2311,U$1)</f>
        <v>0</v>
      </c>
      <c r="V78" s="80">
        <f>SUMIFS('декабрь 2024'!$G$5:$G$2311,'декабрь 2024'!$D$5:$D$2311,$B78,'декабрь 2024'!$J$5:$J$2311,V$1)</f>
        <v>0</v>
      </c>
      <c r="W78" s="80">
        <f>SUMIFS('декабрь 2024'!$G$5:$G$2311,'декабрь 2024'!$D$5:$D$2311,$B78,'декабрь 2024'!$J$5:$J$2311,W$1)</f>
        <v>112</v>
      </c>
      <c r="X78" s="80">
        <f>SUMIFS('декабрь 2024'!$G$5:$G$2311,'декабрь 2024'!$D$5:$D$2311,$B78,'декабрь 2024'!$J$5:$J$2311,X$1)</f>
        <v>0</v>
      </c>
      <c r="Y78" s="80">
        <f>SUMIFS('декабрь 2024'!$G$5:$G$2311,'декабрь 2024'!$D$5:$D$2311,$B78,'декабрь 2024'!$J$5:$J$2311,Y$1)</f>
        <v>0</v>
      </c>
      <c r="Z78" s="80">
        <f>SUMIFS('декабрь 2024'!$G$5:$G$2311,'декабрь 2024'!$D$5:$D$2311,$B78,'декабрь 2024'!$J$5:$J$2311,Z$1)</f>
        <v>0</v>
      </c>
      <c r="AA78" s="80">
        <f>SUMIFS('декабрь 2024'!$G$5:$G$2311,'декабрь 2024'!$D$5:$D$2311,$B78,'декабрь 2024'!$J$5:$J$2311,AA$1)</f>
        <v>0</v>
      </c>
      <c r="AB78" s="80">
        <f>SUMIFS('декабрь 2024'!$G$5:$G$2311,'декабрь 2024'!$D$5:$D$2311,$B78,'декабрь 2024'!$J$5:$J$2311,AB$1)</f>
        <v>0</v>
      </c>
      <c r="AC78" s="80">
        <f>SUMIFS('декабрь 2024'!$G$5:$G$2311,'декабрь 2024'!$D$5:$D$2311,$B78,'декабрь 2024'!$J$5:$J$2311,AC$1)</f>
        <v>0</v>
      </c>
      <c r="AD78" s="80">
        <f>SUMIFS('декабрь 2024'!$G$5:$G$2311,'декабрь 2024'!$D$5:$D$2311,$B78,'декабрь 2024'!$J$5:$J$2311,AD$1)</f>
        <v>0</v>
      </c>
      <c r="AE78" s="80">
        <f>SUMIFS('декабрь 2024'!$G$5:$G$2311,'декабрь 2024'!$D$5:$D$2311,$B78,'декабрь 2024'!$J$5:$J$2311,AE$1)</f>
        <v>0</v>
      </c>
      <c r="AF78" s="80">
        <f>SUMIFS('декабрь 2024'!$G$5:$G$2311,'декабрь 2024'!$D$5:$D$2311,$B78,'декабрь 2024'!$J$5:$J$2311,AF$1)</f>
        <v>0</v>
      </c>
      <c r="AG78" s="80">
        <f>SUMIFS('декабрь 2024'!$G$5:$G$2311,'декабрь 2024'!$D$5:$D$2311,$B78,'декабрь 2024'!$J$5:$J$2311,AG$1)</f>
        <v>0</v>
      </c>
      <c r="AH78" s="80">
        <f>SUMIFS('декабрь 2024'!$G$5:$G$2311,'декабрь 2024'!$D$5:$D$2311,$B78,'декабрь 2024'!$J$5:$J$2311,AH$1)</f>
        <v>0</v>
      </c>
      <c r="AI78" s="21">
        <f t="shared" si="1"/>
        <v>200</v>
      </c>
    </row>
    <row r="79" spans="2:35" ht="15" customHeight="1" x14ac:dyDescent="0.25">
      <c r="B79" s="93" t="s">
        <v>1458</v>
      </c>
      <c r="C79" s="91">
        <v>200</v>
      </c>
      <c r="D79" s="80">
        <f>SUMIFS('декабрь 2024'!$G$5:$G$2311,'декабрь 2024'!$D$5:$D$2311,$B79,'декабрь 2024'!$J$5:$J$2311,D$1)</f>
        <v>0</v>
      </c>
      <c r="E79" s="80">
        <f>SUMIFS('декабрь 2024'!$G$5:$G$2311,'декабрь 2024'!$D$5:$D$2311,$B79,'декабрь 2024'!$J$5:$J$2311,E$1)</f>
        <v>0</v>
      </c>
      <c r="F79" s="80">
        <f>SUMIFS('декабрь 2024'!$G$5:$G$2311,'декабрь 2024'!$D$5:$D$2311,$B79,'декабрь 2024'!$J$5:$J$2311,F$1)</f>
        <v>0</v>
      </c>
      <c r="G79" s="80">
        <f>SUMIFS('декабрь 2024'!$G$5:$G$2311,'декабрь 2024'!$D$5:$D$2311,$B79,'декабрь 2024'!$J$5:$J$2311,G$1)</f>
        <v>0</v>
      </c>
      <c r="H79" s="80">
        <f>SUMIFS('декабрь 2024'!$G$5:$G$2311,'декабрь 2024'!$D$5:$D$2311,$B79,'декабрь 2024'!$J$5:$J$2311,H$1)</f>
        <v>0</v>
      </c>
      <c r="I79" s="80">
        <f>SUMIFS('декабрь 2024'!$G$5:$G$2311,'декабрь 2024'!$D$5:$D$2311,$B79,'декабрь 2024'!$J$5:$J$2311,I$1)</f>
        <v>0</v>
      </c>
      <c r="J79" s="80">
        <f>SUMIFS('декабрь 2024'!$G$5:$G$2311,'декабрь 2024'!$D$5:$D$2311,$B79,'декабрь 2024'!$J$5:$J$2311,J$1)</f>
        <v>0</v>
      </c>
      <c r="K79" s="80">
        <f>SUMIFS('декабрь 2024'!$G$5:$G$2311,'декабрь 2024'!$D$5:$D$2311,$B79,'декабрь 2024'!$J$5:$J$2311,K$1)</f>
        <v>0</v>
      </c>
      <c r="L79" s="80">
        <f>SUMIFS('декабрь 2024'!$G$5:$G$2311,'декабрь 2024'!$D$5:$D$2311,$B79,'декабрь 2024'!$J$5:$J$2311,L$1)</f>
        <v>0</v>
      </c>
      <c r="M79" s="80">
        <f>SUMIFS('декабрь 2024'!$G$5:$G$2311,'декабрь 2024'!$D$5:$D$2311,$B79,'декабрь 2024'!$J$5:$J$2311,M$1)</f>
        <v>0</v>
      </c>
      <c r="N79" s="80">
        <f>SUMIFS('декабрь 2024'!$G$5:$G$2311,'декабрь 2024'!$D$5:$D$2311,$B79,'декабрь 2024'!$J$5:$J$2311,N$1)</f>
        <v>0</v>
      </c>
      <c r="O79" s="80">
        <f>SUMIFS('декабрь 2024'!$G$5:$G$2311,'декабрь 2024'!$D$5:$D$2311,$B79,'декабрь 2024'!$J$5:$J$2311,O$1)</f>
        <v>0</v>
      </c>
      <c r="P79" s="80">
        <f>SUMIFS('декабрь 2024'!$G$5:$G$2311,'декабрь 2024'!$D$5:$D$2311,$B79,'декабрь 2024'!$J$5:$J$2311,P$1)</f>
        <v>0</v>
      </c>
      <c r="Q79" s="80">
        <f>SUMIFS('декабрь 2024'!$G$5:$G$2311,'декабрь 2024'!$D$5:$D$2311,$B79,'декабрь 2024'!$J$5:$J$2311,Q$1)</f>
        <v>0</v>
      </c>
      <c r="R79" s="80">
        <f>SUMIFS('декабрь 2024'!$G$5:$G$2311,'декабрь 2024'!$D$5:$D$2311,$B79,'декабрь 2024'!$J$5:$J$2311,R$1)</f>
        <v>0</v>
      </c>
      <c r="S79" s="80">
        <f>SUMIFS('декабрь 2024'!$G$5:$G$2311,'декабрь 2024'!$D$5:$D$2311,$B79,'декабрь 2024'!$J$5:$J$2311,S$1)</f>
        <v>0</v>
      </c>
      <c r="T79" s="80">
        <f>SUMIFS('декабрь 2024'!$G$5:$G$2311,'декабрь 2024'!$D$5:$D$2311,$B79,'декабрь 2024'!$J$5:$J$2311,T$1)</f>
        <v>0</v>
      </c>
      <c r="U79" s="80">
        <f>SUMIFS('декабрь 2024'!$G$5:$G$2311,'декабрь 2024'!$D$5:$D$2311,$B79,'декабрь 2024'!$J$5:$J$2311,U$1)</f>
        <v>0</v>
      </c>
      <c r="V79" s="80">
        <f>SUMIFS('декабрь 2024'!$G$5:$G$2311,'декабрь 2024'!$D$5:$D$2311,$B79,'декабрь 2024'!$J$5:$J$2311,V$1)</f>
        <v>0</v>
      </c>
      <c r="W79" s="80">
        <f>SUMIFS('декабрь 2024'!$G$5:$G$2311,'декабрь 2024'!$D$5:$D$2311,$B79,'декабрь 2024'!$J$5:$J$2311,W$1)</f>
        <v>0</v>
      </c>
      <c r="X79" s="80">
        <f>SUMIFS('декабрь 2024'!$G$5:$G$2311,'декабрь 2024'!$D$5:$D$2311,$B79,'декабрь 2024'!$J$5:$J$2311,X$1)</f>
        <v>0</v>
      </c>
      <c r="Y79" s="80">
        <f>SUMIFS('декабрь 2024'!$G$5:$G$2311,'декабрь 2024'!$D$5:$D$2311,$B79,'декабрь 2024'!$J$5:$J$2311,Y$1)</f>
        <v>0</v>
      </c>
      <c r="Z79" s="80">
        <f>SUMIFS('декабрь 2024'!$G$5:$G$2311,'декабрь 2024'!$D$5:$D$2311,$B79,'декабрь 2024'!$J$5:$J$2311,Z$1)</f>
        <v>0</v>
      </c>
      <c r="AA79" s="80">
        <f>SUMIFS('декабрь 2024'!$G$5:$G$2311,'декабрь 2024'!$D$5:$D$2311,$B79,'декабрь 2024'!$J$5:$J$2311,AA$1)</f>
        <v>0</v>
      </c>
      <c r="AB79" s="80">
        <f>SUMIFS('декабрь 2024'!$G$5:$G$2311,'декабрь 2024'!$D$5:$D$2311,$B79,'декабрь 2024'!$J$5:$J$2311,AB$1)</f>
        <v>0</v>
      </c>
      <c r="AC79" s="80">
        <f>SUMIFS('декабрь 2024'!$G$5:$G$2311,'декабрь 2024'!$D$5:$D$2311,$B79,'декабрь 2024'!$J$5:$J$2311,AC$1)</f>
        <v>0</v>
      </c>
      <c r="AD79" s="80">
        <f>SUMIFS('декабрь 2024'!$G$5:$G$2311,'декабрь 2024'!$D$5:$D$2311,$B79,'декабрь 2024'!$J$5:$J$2311,AD$1)</f>
        <v>0</v>
      </c>
      <c r="AE79" s="80">
        <f>SUMIFS('декабрь 2024'!$G$5:$G$2311,'декабрь 2024'!$D$5:$D$2311,$B79,'декабрь 2024'!$J$5:$J$2311,AE$1)</f>
        <v>0</v>
      </c>
      <c r="AF79" s="80">
        <f>SUMIFS('декабрь 2024'!$G$5:$G$2311,'декабрь 2024'!$D$5:$D$2311,$B79,'декабрь 2024'!$J$5:$J$2311,AF$1)</f>
        <v>0</v>
      </c>
      <c r="AG79" s="80">
        <f>SUMIFS('декабрь 2024'!$G$5:$G$2311,'декабрь 2024'!$D$5:$D$2311,$B79,'декабрь 2024'!$J$5:$J$2311,AG$1)</f>
        <v>0</v>
      </c>
      <c r="AH79" s="80">
        <f>SUMIFS('декабрь 2024'!$G$5:$G$2311,'декабрь 2024'!$D$5:$D$2311,$B79,'декабрь 2024'!$J$5:$J$2311,AH$1)</f>
        <v>0</v>
      </c>
      <c r="AI79" s="21">
        <f t="shared" si="1"/>
        <v>0</v>
      </c>
    </row>
    <row r="80" spans="2:35" ht="15" customHeight="1" x14ac:dyDescent="0.25">
      <c r="B80" s="93" t="s">
        <v>2105</v>
      </c>
      <c r="C80" s="91">
        <v>210</v>
      </c>
      <c r="D80" s="80">
        <f>SUMIFS('декабрь 2024'!$G$5:$G$2311,'декабрь 2024'!$D$5:$D$2311,$B80,'декабрь 2024'!$J$5:$J$2311,D$1)</f>
        <v>0</v>
      </c>
      <c r="E80" s="80">
        <f>SUMIFS('декабрь 2024'!$G$5:$G$2311,'декабрь 2024'!$D$5:$D$2311,$B80,'декабрь 2024'!$J$5:$J$2311,E$1)</f>
        <v>0</v>
      </c>
      <c r="F80" s="80">
        <f>SUMIFS('декабрь 2024'!$G$5:$G$2311,'декабрь 2024'!$D$5:$D$2311,$B80,'декабрь 2024'!$J$5:$J$2311,F$1)</f>
        <v>0</v>
      </c>
      <c r="G80" s="80">
        <f>SUMIFS('декабрь 2024'!$G$5:$G$2311,'декабрь 2024'!$D$5:$D$2311,$B80,'декабрь 2024'!$J$5:$J$2311,G$1)</f>
        <v>0</v>
      </c>
      <c r="H80" s="80">
        <f>SUMIFS('декабрь 2024'!$G$5:$G$2311,'декабрь 2024'!$D$5:$D$2311,$B80,'декабрь 2024'!$J$5:$J$2311,H$1)</f>
        <v>0</v>
      </c>
      <c r="I80" s="80">
        <f>SUMIFS('декабрь 2024'!$G$5:$G$2311,'декабрь 2024'!$D$5:$D$2311,$B80,'декабрь 2024'!$J$5:$J$2311,I$1)</f>
        <v>0</v>
      </c>
      <c r="J80" s="80">
        <f>SUMIFS('декабрь 2024'!$G$5:$G$2311,'декабрь 2024'!$D$5:$D$2311,$B80,'декабрь 2024'!$J$5:$J$2311,J$1)</f>
        <v>0</v>
      </c>
      <c r="K80" s="80">
        <f>SUMIFS('декабрь 2024'!$G$5:$G$2311,'декабрь 2024'!$D$5:$D$2311,$B80,'декабрь 2024'!$J$5:$J$2311,K$1)</f>
        <v>0</v>
      </c>
      <c r="L80" s="80">
        <f>SUMIFS('декабрь 2024'!$G$5:$G$2311,'декабрь 2024'!$D$5:$D$2311,$B80,'декабрь 2024'!$J$5:$J$2311,L$1)</f>
        <v>0</v>
      </c>
      <c r="M80" s="80">
        <f>SUMIFS('декабрь 2024'!$G$5:$G$2311,'декабрь 2024'!$D$5:$D$2311,$B80,'декабрь 2024'!$J$5:$J$2311,M$1)</f>
        <v>0</v>
      </c>
      <c r="N80" s="80">
        <f>SUMIFS('декабрь 2024'!$G$5:$G$2311,'декабрь 2024'!$D$5:$D$2311,$B80,'декабрь 2024'!$J$5:$J$2311,N$1)</f>
        <v>0</v>
      </c>
      <c r="O80" s="80">
        <f>SUMIFS('декабрь 2024'!$G$5:$G$2311,'декабрь 2024'!$D$5:$D$2311,$B80,'декабрь 2024'!$J$5:$J$2311,O$1)</f>
        <v>0</v>
      </c>
      <c r="P80" s="80">
        <f>SUMIFS('декабрь 2024'!$G$5:$G$2311,'декабрь 2024'!$D$5:$D$2311,$B80,'декабрь 2024'!$J$5:$J$2311,P$1)</f>
        <v>0</v>
      </c>
      <c r="Q80" s="80">
        <f>SUMIFS('декабрь 2024'!$G$5:$G$2311,'декабрь 2024'!$D$5:$D$2311,$B80,'декабрь 2024'!$J$5:$J$2311,Q$1)</f>
        <v>0</v>
      </c>
      <c r="R80" s="80">
        <f>SUMIFS('декабрь 2024'!$G$5:$G$2311,'декабрь 2024'!$D$5:$D$2311,$B80,'декабрь 2024'!$J$5:$J$2311,R$1)</f>
        <v>0</v>
      </c>
      <c r="S80" s="80">
        <f>SUMIFS('декабрь 2024'!$G$5:$G$2311,'декабрь 2024'!$D$5:$D$2311,$B80,'декабрь 2024'!$J$5:$J$2311,S$1)</f>
        <v>0</v>
      </c>
      <c r="T80" s="80">
        <f>SUMIFS('декабрь 2024'!$G$5:$G$2311,'декабрь 2024'!$D$5:$D$2311,$B80,'декабрь 2024'!$J$5:$J$2311,T$1)</f>
        <v>0</v>
      </c>
      <c r="U80" s="80">
        <f>SUMIFS('декабрь 2024'!$G$5:$G$2311,'декабрь 2024'!$D$5:$D$2311,$B80,'декабрь 2024'!$J$5:$J$2311,U$1)</f>
        <v>0</v>
      </c>
      <c r="V80" s="80">
        <f>SUMIFS('декабрь 2024'!$G$5:$G$2311,'декабрь 2024'!$D$5:$D$2311,$B80,'декабрь 2024'!$J$5:$J$2311,V$1)</f>
        <v>0</v>
      </c>
      <c r="W80" s="80">
        <f>SUMIFS('декабрь 2024'!$G$5:$G$2311,'декабрь 2024'!$D$5:$D$2311,$B80,'декабрь 2024'!$J$5:$J$2311,W$1)</f>
        <v>0</v>
      </c>
      <c r="X80" s="80">
        <f>SUMIFS('декабрь 2024'!$G$5:$G$2311,'декабрь 2024'!$D$5:$D$2311,$B80,'декабрь 2024'!$J$5:$J$2311,X$1)</f>
        <v>0</v>
      </c>
      <c r="Y80" s="80">
        <f>SUMIFS('декабрь 2024'!$G$5:$G$2311,'декабрь 2024'!$D$5:$D$2311,$B80,'декабрь 2024'!$J$5:$J$2311,Y$1)</f>
        <v>0</v>
      </c>
      <c r="Z80" s="80">
        <f>SUMIFS('декабрь 2024'!$G$5:$G$2311,'декабрь 2024'!$D$5:$D$2311,$B80,'декабрь 2024'!$J$5:$J$2311,Z$1)</f>
        <v>0</v>
      </c>
      <c r="AA80" s="80">
        <f>SUMIFS('декабрь 2024'!$G$5:$G$2311,'декабрь 2024'!$D$5:$D$2311,$B80,'декабрь 2024'!$J$5:$J$2311,AA$1)</f>
        <v>0</v>
      </c>
      <c r="AB80" s="80">
        <f>SUMIFS('декабрь 2024'!$G$5:$G$2311,'декабрь 2024'!$D$5:$D$2311,$B80,'декабрь 2024'!$J$5:$J$2311,AB$1)</f>
        <v>0</v>
      </c>
      <c r="AC80" s="80">
        <f>SUMIFS('декабрь 2024'!$G$5:$G$2311,'декабрь 2024'!$D$5:$D$2311,$B80,'декабрь 2024'!$J$5:$J$2311,AC$1)</f>
        <v>0</v>
      </c>
      <c r="AD80" s="80">
        <f>SUMIFS('декабрь 2024'!$G$5:$G$2311,'декабрь 2024'!$D$5:$D$2311,$B80,'декабрь 2024'!$J$5:$J$2311,AD$1)</f>
        <v>0</v>
      </c>
      <c r="AE80" s="80">
        <f>SUMIFS('декабрь 2024'!$G$5:$G$2311,'декабрь 2024'!$D$5:$D$2311,$B80,'декабрь 2024'!$J$5:$J$2311,AE$1)</f>
        <v>0</v>
      </c>
      <c r="AF80" s="80">
        <f>SUMIFS('декабрь 2024'!$G$5:$G$2311,'декабрь 2024'!$D$5:$D$2311,$B80,'декабрь 2024'!$J$5:$J$2311,AF$1)</f>
        <v>0</v>
      </c>
      <c r="AG80" s="80">
        <f>SUMIFS('декабрь 2024'!$G$5:$G$2311,'декабрь 2024'!$D$5:$D$2311,$B80,'декабрь 2024'!$J$5:$J$2311,AG$1)</f>
        <v>0</v>
      </c>
      <c r="AH80" s="80">
        <f>SUMIFS('декабрь 2024'!$G$5:$G$2311,'декабрь 2024'!$D$5:$D$2311,$B80,'декабрь 2024'!$J$5:$J$2311,AH$1)</f>
        <v>0</v>
      </c>
      <c r="AI80" s="21">
        <f t="shared" ref="AI80" si="3">SUM(D80:AH80)</f>
        <v>0</v>
      </c>
    </row>
    <row r="81" spans="2:35" ht="15" customHeight="1" x14ac:dyDescent="0.25">
      <c r="B81" s="93" t="s">
        <v>321</v>
      </c>
      <c r="C81" s="91">
        <v>190</v>
      </c>
      <c r="D81" s="80">
        <f>SUMIFS('декабрь 2024'!$G$5:$G$2311,'декабрь 2024'!$D$5:$D$2311,$B81,'декабрь 2024'!$J$5:$J$2311,D$1)</f>
        <v>0</v>
      </c>
      <c r="E81" s="80">
        <f>SUMIFS('декабрь 2024'!$G$5:$G$2311,'декабрь 2024'!$D$5:$D$2311,$B81,'декабрь 2024'!$J$5:$J$2311,E$1)</f>
        <v>0</v>
      </c>
      <c r="F81" s="80">
        <f>SUMIFS('декабрь 2024'!$G$5:$G$2311,'декабрь 2024'!$D$5:$D$2311,$B81,'декабрь 2024'!$J$5:$J$2311,F$1)</f>
        <v>0</v>
      </c>
      <c r="G81" s="80">
        <f>SUMIFS('декабрь 2024'!$G$5:$G$2311,'декабрь 2024'!$D$5:$D$2311,$B81,'декабрь 2024'!$J$5:$J$2311,G$1)</f>
        <v>0</v>
      </c>
      <c r="H81" s="80">
        <f>SUMIFS('декабрь 2024'!$G$5:$G$2311,'декабрь 2024'!$D$5:$D$2311,$B81,'декабрь 2024'!$J$5:$J$2311,H$1)</f>
        <v>0</v>
      </c>
      <c r="I81" s="80">
        <f>SUMIFS('декабрь 2024'!$G$5:$G$2311,'декабрь 2024'!$D$5:$D$2311,$B81,'декабрь 2024'!$J$5:$J$2311,I$1)</f>
        <v>0</v>
      </c>
      <c r="J81" s="80">
        <f>SUMIFS('декабрь 2024'!$G$5:$G$2311,'декабрь 2024'!$D$5:$D$2311,$B81,'декабрь 2024'!$J$5:$J$2311,J$1)</f>
        <v>0</v>
      </c>
      <c r="K81" s="80">
        <f>SUMIFS('декабрь 2024'!$G$5:$G$2311,'декабрь 2024'!$D$5:$D$2311,$B81,'декабрь 2024'!$J$5:$J$2311,K$1)</f>
        <v>0</v>
      </c>
      <c r="L81" s="80">
        <f>SUMIFS('декабрь 2024'!$G$5:$G$2311,'декабрь 2024'!$D$5:$D$2311,$B81,'декабрь 2024'!$J$5:$J$2311,L$1)</f>
        <v>0</v>
      </c>
      <c r="M81" s="80">
        <f>SUMIFS('декабрь 2024'!$G$5:$G$2311,'декабрь 2024'!$D$5:$D$2311,$B81,'декабрь 2024'!$J$5:$J$2311,M$1)</f>
        <v>0</v>
      </c>
      <c r="N81" s="80">
        <f>SUMIFS('декабрь 2024'!$G$5:$G$2311,'декабрь 2024'!$D$5:$D$2311,$B81,'декабрь 2024'!$J$5:$J$2311,N$1)</f>
        <v>0</v>
      </c>
      <c r="O81" s="80">
        <f>SUMIFS('декабрь 2024'!$G$5:$G$2311,'декабрь 2024'!$D$5:$D$2311,$B81,'декабрь 2024'!$J$5:$J$2311,O$1)</f>
        <v>0</v>
      </c>
      <c r="P81" s="80">
        <f>SUMIFS('декабрь 2024'!$G$5:$G$2311,'декабрь 2024'!$D$5:$D$2311,$B81,'декабрь 2024'!$J$5:$J$2311,P$1)</f>
        <v>0</v>
      </c>
      <c r="Q81" s="80">
        <f>SUMIFS('декабрь 2024'!$G$5:$G$2311,'декабрь 2024'!$D$5:$D$2311,$B81,'декабрь 2024'!$J$5:$J$2311,Q$1)</f>
        <v>0</v>
      </c>
      <c r="R81" s="80">
        <f>SUMIFS('декабрь 2024'!$G$5:$G$2311,'декабрь 2024'!$D$5:$D$2311,$B81,'декабрь 2024'!$J$5:$J$2311,R$1)</f>
        <v>0</v>
      </c>
      <c r="S81" s="80">
        <f>SUMIFS('декабрь 2024'!$G$5:$G$2311,'декабрь 2024'!$D$5:$D$2311,$B81,'декабрь 2024'!$J$5:$J$2311,S$1)</f>
        <v>0</v>
      </c>
      <c r="T81" s="80">
        <f>SUMIFS('декабрь 2024'!$G$5:$G$2311,'декабрь 2024'!$D$5:$D$2311,$B81,'декабрь 2024'!$J$5:$J$2311,T$1)</f>
        <v>0</v>
      </c>
      <c r="U81" s="80">
        <f>SUMIFS('декабрь 2024'!$G$5:$G$2311,'декабрь 2024'!$D$5:$D$2311,$B81,'декабрь 2024'!$J$5:$J$2311,U$1)</f>
        <v>0</v>
      </c>
      <c r="V81" s="80">
        <f>SUMIFS('декабрь 2024'!$G$5:$G$2311,'декабрь 2024'!$D$5:$D$2311,$B81,'декабрь 2024'!$J$5:$J$2311,V$1)</f>
        <v>0</v>
      </c>
      <c r="W81" s="80">
        <f>SUMIFS('декабрь 2024'!$G$5:$G$2311,'декабрь 2024'!$D$5:$D$2311,$B81,'декабрь 2024'!$J$5:$J$2311,W$1)</f>
        <v>0</v>
      </c>
      <c r="X81" s="80">
        <f>SUMIFS('декабрь 2024'!$G$5:$G$2311,'декабрь 2024'!$D$5:$D$2311,$B81,'декабрь 2024'!$J$5:$J$2311,X$1)</f>
        <v>0</v>
      </c>
      <c r="Y81" s="80">
        <f>SUMIFS('декабрь 2024'!$G$5:$G$2311,'декабрь 2024'!$D$5:$D$2311,$B81,'декабрь 2024'!$J$5:$J$2311,Y$1)</f>
        <v>0</v>
      </c>
      <c r="Z81" s="80">
        <f>SUMIFS('декабрь 2024'!$G$5:$G$2311,'декабрь 2024'!$D$5:$D$2311,$B81,'декабрь 2024'!$J$5:$J$2311,Z$1)</f>
        <v>0</v>
      </c>
      <c r="AA81" s="80">
        <f>SUMIFS('декабрь 2024'!$G$5:$G$2311,'декабрь 2024'!$D$5:$D$2311,$B81,'декабрь 2024'!$J$5:$J$2311,AA$1)</f>
        <v>0</v>
      </c>
      <c r="AB81" s="80">
        <f>SUMIFS('декабрь 2024'!$G$5:$G$2311,'декабрь 2024'!$D$5:$D$2311,$B81,'декабрь 2024'!$J$5:$J$2311,AB$1)</f>
        <v>0</v>
      </c>
      <c r="AC81" s="80">
        <f>SUMIFS('декабрь 2024'!$G$5:$G$2311,'декабрь 2024'!$D$5:$D$2311,$B81,'декабрь 2024'!$J$5:$J$2311,AC$1)</f>
        <v>0</v>
      </c>
      <c r="AD81" s="80">
        <f>SUMIFS('декабрь 2024'!$G$5:$G$2311,'декабрь 2024'!$D$5:$D$2311,$B81,'декабрь 2024'!$J$5:$J$2311,AD$1)</f>
        <v>0</v>
      </c>
      <c r="AE81" s="80">
        <f>SUMIFS('декабрь 2024'!$G$5:$G$2311,'декабрь 2024'!$D$5:$D$2311,$B81,'декабрь 2024'!$J$5:$J$2311,AE$1)</f>
        <v>0</v>
      </c>
      <c r="AF81" s="80">
        <f>SUMIFS('декабрь 2024'!$G$5:$G$2311,'декабрь 2024'!$D$5:$D$2311,$B81,'декабрь 2024'!$J$5:$J$2311,AF$1)</f>
        <v>0</v>
      </c>
      <c r="AG81" s="80">
        <f>SUMIFS('декабрь 2024'!$G$5:$G$2311,'декабрь 2024'!$D$5:$D$2311,$B81,'декабрь 2024'!$J$5:$J$2311,AG$1)</f>
        <v>0</v>
      </c>
      <c r="AH81" s="80">
        <f>SUMIFS('декабрь 2024'!$G$5:$G$2311,'декабрь 2024'!$D$5:$D$2311,$B81,'декабрь 2024'!$J$5:$J$2311,AH$1)</f>
        <v>0</v>
      </c>
      <c r="AI81" s="21">
        <f t="shared" si="1"/>
        <v>0</v>
      </c>
    </row>
    <row r="82" spans="2:35" ht="15" customHeight="1" x14ac:dyDescent="0.25">
      <c r="B82" s="89" t="s">
        <v>199</v>
      </c>
      <c r="C82" s="88">
        <v>180</v>
      </c>
      <c r="D82" s="80">
        <f>SUMIFS('декабрь 2024'!$G$5:$G$2311,'декабрь 2024'!$D$5:$D$2311,$B82,'декабрь 2024'!$J$5:$J$2311,D$1)</f>
        <v>0</v>
      </c>
      <c r="E82" s="80">
        <f>SUMIFS('декабрь 2024'!$G$5:$G$2311,'декабрь 2024'!$D$5:$D$2311,$B82,'декабрь 2024'!$J$5:$J$2311,E$1)</f>
        <v>0</v>
      </c>
      <c r="F82" s="80">
        <f>SUMIFS('декабрь 2024'!$G$5:$G$2311,'декабрь 2024'!$D$5:$D$2311,$B82,'декабрь 2024'!$J$5:$J$2311,F$1)</f>
        <v>0</v>
      </c>
      <c r="G82" s="80">
        <f>SUMIFS('декабрь 2024'!$G$5:$G$2311,'декабрь 2024'!$D$5:$D$2311,$B82,'декабрь 2024'!$J$5:$J$2311,G$1)</f>
        <v>0</v>
      </c>
      <c r="H82" s="80">
        <f>SUMIFS('декабрь 2024'!$G$5:$G$2311,'декабрь 2024'!$D$5:$D$2311,$B82,'декабрь 2024'!$J$5:$J$2311,H$1)</f>
        <v>0</v>
      </c>
      <c r="I82" s="80">
        <f>SUMIFS('декабрь 2024'!$G$5:$G$2311,'декабрь 2024'!$D$5:$D$2311,$B82,'декабрь 2024'!$J$5:$J$2311,I$1)</f>
        <v>0</v>
      </c>
      <c r="J82" s="80">
        <f>SUMIFS('декабрь 2024'!$G$5:$G$2311,'декабрь 2024'!$D$5:$D$2311,$B82,'декабрь 2024'!$J$5:$J$2311,J$1)</f>
        <v>0</v>
      </c>
      <c r="K82" s="80">
        <f>SUMIFS('декабрь 2024'!$G$5:$G$2311,'декабрь 2024'!$D$5:$D$2311,$B82,'декабрь 2024'!$J$5:$J$2311,K$1)</f>
        <v>0</v>
      </c>
      <c r="L82" s="80">
        <f>SUMIFS('декабрь 2024'!$G$5:$G$2311,'декабрь 2024'!$D$5:$D$2311,$B82,'декабрь 2024'!$J$5:$J$2311,L$1)</f>
        <v>0</v>
      </c>
      <c r="M82" s="80">
        <f>SUMIFS('декабрь 2024'!$G$5:$G$2311,'декабрь 2024'!$D$5:$D$2311,$B82,'декабрь 2024'!$J$5:$J$2311,M$1)</f>
        <v>0</v>
      </c>
      <c r="N82" s="80">
        <f>SUMIFS('декабрь 2024'!$G$5:$G$2311,'декабрь 2024'!$D$5:$D$2311,$B82,'декабрь 2024'!$J$5:$J$2311,N$1)</f>
        <v>0</v>
      </c>
      <c r="O82" s="80">
        <f>SUMIFS('декабрь 2024'!$G$5:$G$2311,'декабрь 2024'!$D$5:$D$2311,$B82,'декабрь 2024'!$J$5:$J$2311,O$1)</f>
        <v>0</v>
      </c>
      <c r="P82" s="80">
        <f>SUMIFS('декабрь 2024'!$G$5:$G$2311,'декабрь 2024'!$D$5:$D$2311,$B82,'декабрь 2024'!$J$5:$J$2311,P$1)</f>
        <v>0</v>
      </c>
      <c r="Q82" s="80">
        <f>SUMIFS('декабрь 2024'!$G$5:$G$2311,'декабрь 2024'!$D$5:$D$2311,$B82,'декабрь 2024'!$J$5:$J$2311,Q$1)</f>
        <v>0</v>
      </c>
      <c r="R82" s="80">
        <f>SUMIFS('декабрь 2024'!$G$5:$G$2311,'декабрь 2024'!$D$5:$D$2311,$B82,'декабрь 2024'!$J$5:$J$2311,R$1)</f>
        <v>0</v>
      </c>
      <c r="S82" s="80">
        <f>SUMIFS('декабрь 2024'!$G$5:$G$2311,'декабрь 2024'!$D$5:$D$2311,$B82,'декабрь 2024'!$J$5:$J$2311,S$1)</f>
        <v>0</v>
      </c>
      <c r="T82" s="80">
        <f>SUMIFS('декабрь 2024'!$G$5:$G$2311,'декабрь 2024'!$D$5:$D$2311,$B82,'декабрь 2024'!$J$5:$J$2311,T$1)</f>
        <v>0</v>
      </c>
      <c r="U82" s="80">
        <f>SUMIFS('декабрь 2024'!$G$5:$G$2311,'декабрь 2024'!$D$5:$D$2311,$B82,'декабрь 2024'!$J$5:$J$2311,U$1)</f>
        <v>0</v>
      </c>
      <c r="V82" s="80">
        <f>SUMIFS('декабрь 2024'!$G$5:$G$2311,'декабрь 2024'!$D$5:$D$2311,$B82,'декабрь 2024'!$J$5:$J$2311,V$1)</f>
        <v>0</v>
      </c>
      <c r="W82" s="80">
        <f>SUMIFS('декабрь 2024'!$G$5:$G$2311,'декабрь 2024'!$D$5:$D$2311,$B82,'декабрь 2024'!$J$5:$J$2311,W$1)</f>
        <v>0</v>
      </c>
      <c r="X82" s="80">
        <f>SUMIFS('декабрь 2024'!$G$5:$G$2311,'декабрь 2024'!$D$5:$D$2311,$B82,'декабрь 2024'!$J$5:$J$2311,X$1)</f>
        <v>0</v>
      </c>
      <c r="Y82" s="80">
        <f>SUMIFS('декабрь 2024'!$G$5:$G$2311,'декабрь 2024'!$D$5:$D$2311,$B82,'декабрь 2024'!$J$5:$J$2311,Y$1)</f>
        <v>0</v>
      </c>
      <c r="Z82" s="80">
        <f>SUMIFS('декабрь 2024'!$G$5:$G$2311,'декабрь 2024'!$D$5:$D$2311,$B82,'декабрь 2024'!$J$5:$J$2311,Z$1)</f>
        <v>0</v>
      </c>
      <c r="AA82" s="80">
        <f>SUMIFS('декабрь 2024'!$G$5:$G$2311,'декабрь 2024'!$D$5:$D$2311,$B82,'декабрь 2024'!$J$5:$J$2311,AA$1)</f>
        <v>0</v>
      </c>
      <c r="AB82" s="80">
        <f>SUMIFS('декабрь 2024'!$G$5:$G$2311,'декабрь 2024'!$D$5:$D$2311,$B82,'декабрь 2024'!$J$5:$J$2311,AB$1)</f>
        <v>0</v>
      </c>
      <c r="AC82" s="80">
        <f>SUMIFS('декабрь 2024'!$G$5:$G$2311,'декабрь 2024'!$D$5:$D$2311,$B82,'декабрь 2024'!$J$5:$J$2311,AC$1)</f>
        <v>0</v>
      </c>
      <c r="AD82" s="80">
        <f>SUMIFS('декабрь 2024'!$G$5:$G$2311,'декабрь 2024'!$D$5:$D$2311,$B82,'декабрь 2024'!$J$5:$J$2311,AD$1)</f>
        <v>0</v>
      </c>
      <c r="AE82" s="80">
        <f>SUMIFS('декабрь 2024'!$G$5:$G$2311,'декабрь 2024'!$D$5:$D$2311,$B82,'декабрь 2024'!$J$5:$J$2311,AE$1)</f>
        <v>0</v>
      </c>
      <c r="AF82" s="80">
        <f>SUMIFS('декабрь 2024'!$G$5:$G$2311,'декабрь 2024'!$D$5:$D$2311,$B82,'декабрь 2024'!$J$5:$J$2311,AF$1)</f>
        <v>0</v>
      </c>
      <c r="AG82" s="80">
        <f>SUMIFS('декабрь 2024'!$G$5:$G$2311,'декабрь 2024'!$D$5:$D$2311,$B82,'декабрь 2024'!$J$5:$J$2311,AG$1)</f>
        <v>0</v>
      </c>
      <c r="AH82" s="80">
        <f>SUMIFS('декабрь 2024'!$G$5:$G$2311,'декабрь 2024'!$D$5:$D$2311,$B82,'декабрь 2024'!$J$5:$J$2311,AH$1)</f>
        <v>0</v>
      </c>
      <c r="AI82" s="21">
        <f t="shared" si="1"/>
        <v>0</v>
      </c>
    </row>
    <row r="83" spans="2:35" ht="15" customHeight="1" x14ac:dyDescent="0.25">
      <c r="B83" s="93" t="s">
        <v>200</v>
      </c>
      <c r="C83" s="91">
        <v>190</v>
      </c>
      <c r="D83" s="80">
        <f>SUMIFS('декабрь 2024'!$G$5:$G$2311,'декабрь 2024'!$D$5:$D$2311,$B83,'декабрь 2024'!$J$5:$J$2311,D$1)</f>
        <v>0</v>
      </c>
      <c r="E83" s="80">
        <f>SUMIFS('декабрь 2024'!$G$5:$G$2311,'декабрь 2024'!$D$5:$D$2311,$B83,'декабрь 2024'!$J$5:$J$2311,E$1)</f>
        <v>0</v>
      </c>
      <c r="F83" s="80">
        <f>SUMIFS('декабрь 2024'!$G$5:$G$2311,'декабрь 2024'!$D$5:$D$2311,$B83,'декабрь 2024'!$J$5:$J$2311,F$1)</f>
        <v>0</v>
      </c>
      <c r="G83" s="80">
        <f>SUMIFS('декабрь 2024'!$G$5:$G$2311,'декабрь 2024'!$D$5:$D$2311,$B83,'декабрь 2024'!$J$5:$J$2311,G$1)</f>
        <v>0</v>
      </c>
      <c r="H83" s="80">
        <f>SUMIFS('декабрь 2024'!$G$5:$G$2311,'декабрь 2024'!$D$5:$D$2311,$B83,'декабрь 2024'!$J$5:$J$2311,H$1)</f>
        <v>0</v>
      </c>
      <c r="I83" s="80">
        <f>SUMIFS('декабрь 2024'!$G$5:$G$2311,'декабрь 2024'!$D$5:$D$2311,$B83,'декабрь 2024'!$J$5:$J$2311,I$1)</f>
        <v>0</v>
      </c>
      <c r="J83" s="80">
        <f>SUMIFS('декабрь 2024'!$G$5:$G$2311,'декабрь 2024'!$D$5:$D$2311,$B83,'декабрь 2024'!$J$5:$J$2311,J$1)</f>
        <v>0</v>
      </c>
      <c r="K83" s="80">
        <f>SUMIFS('декабрь 2024'!$G$5:$G$2311,'декабрь 2024'!$D$5:$D$2311,$B83,'декабрь 2024'!$J$5:$J$2311,K$1)</f>
        <v>0</v>
      </c>
      <c r="L83" s="80">
        <f>SUMIFS('декабрь 2024'!$G$5:$G$2311,'декабрь 2024'!$D$5:$D$2311,$B83,'декабрь 2024'!$J$5:$J$2311,L$1)</f>
        <v>0</v>
      </c>
      <c r="M83" s="80">
        <f>SUMIFS('декабрь 2024'!$G$5:$G$2311,'декабрь 2024'!$D$5:$D$2311,$B83,'декабрь 2024'!$J$5:$J$2311,M$1)</f>
        <v>0</v>
      </c>
      <c r="N83" s="80">
        <f>SUMIFS('декабрь 2024'!$G$5:$G$2311,'декабрь 2024'!$D$5:$D$2311,$B83,'декабрь 2024'!$J$5:$J$2311,N$1)</f>
        <v>0</v>
      </c>
      <c r="O83" s="80">
        <f>SUMIFS('декабрь 2024'!$G$5:$G$2311,'декабрь 2024'!$D$5:$D$2311,$B83,'декабрь 2024'!$J$5:$J$2311,O$1)</f>
        <v>0</v>
      </c>
      <c r="P83" s="80">
        <f>SUMIFS('декабрь 2024'!$G$5:$G$2311,'декабрь 2024'!$D$5:$D$2311,$B83,'декабрь 2024'!$J$5:$J$2311,P$1)</f>
        <v>0</v>
      </c>
      <c r="Q83" s="80">
        <f>SUMIFS('декабрь 2024'!$G$5:$G$2311,'декабрь 2024'!$D$5:$D$2311,$B83,'декабрь 2024'!$J$5:$J$2311,Q$1)</f>
        <v>0</v>
      </c>
      <c r="R83" s="80">
        <f>SUMIFS('декабрь 2024'!$G$5:$G$2311,'декабрь 2024'!$D$5:$D$2311,$B83,'декабрь 2024'!$J$5:$J$2311,R$1)</f>
        <v>0</v>
      </c>
      <c r="S83" s="80">
        <f>SUMIFS('декабрь 2024'!$G$5:$G$2311,'декабрь 2024'!$D$5:$D$2311,$B83,'декабрь 2024'!$J$5:$J$2311,S$1)</f>
        <v>0</v>
      </c>
      <c r="T83" s="80">
        <f>SUMIFS('декабрь 2024'!$G$5:$G$2311,'декабрь 2024'!$D$5:$D$2311,$B83,'декабрь 2024'!$J$5:$J$2311,T$1)</f>
        <v>0</v>
      </c>
      <c r="U83" s="80">
        <f>SUMIFS('декабрь 2024'!$G$5:$G$2311,'декабрь 2024'!$D$5:$D$2311,$B83,'декабрь 2024'!$J$5:$J$2311,U$1)</f>
        <v>0</v>
      </c>
      <c r="V83" s="80">
        <f>SUMIFS('декабрь 2024'!$G$5:$G$2311,'декабрь 2024'!$D$5:$D$2311,$B83,'декабрь 2024'!$J$5:$J$2311,V$1)</f>
        <v>0</v>
      </c>
      <c r="W83" s="80">
        <f>SUMIFS('декабрь 2024'!$G$5:$G$2311,'декабрь 2024'!$D$5:$D$2311,$B83,'декабрь 2024'!$J$5:$J$2311,W$1)</f>
        <v>0</v>
      </c>
      <c r="X83" s="80">
        <f>SUMIFS('декабрь 2024'!$G$5:$G$2311,'декабрь 2024'!$D$5:$D$2311,$B83,'декабрь 2024'!$J$5:$J$2311,X$1)</f>
        <v>0</v>
      </c>
      <c r="Y83" s="80">
        <f>SUMIFS('декабрь 2024'!$G$5:$G$2311,'декабрь 2024'!$D$5:$D$2311,$B83,'декабрь 2024'!$J$5:$J$2311,Y$1)</f>
        <v>0</v>
      </c>
      <c r="Z83" s="80">
        <f>SUMIFS('декабрь 2024'!$G$5:$G$2311,'декабрь 2024'!$D$5:$D$2311,$B83,'декабрь 2024'!$J$5:$J$2311,Z$1)</f>
        <v>0</v>
      </c>
      <c r="AA83" s="80">
        <f>SUMIFS('декабрь 2024'!$G$5:$G$2311,'декабрь 2024'!$D$5:$D$2311,$B83,'декабрь 2024'!$J$5:$J$2311,AA$1)</f>
        <v>0</v>
      </c>
      <c r="AB83" s="80">
        <f>SUMIFS('декабрь 2024'!$G$5:$G$2311,'декабрь 2024'!$D$5:$D$2311,$B83,'декабрь 2024'!$J$5:$J$2311,AB$1)</f>
        <v>0</v>
      </c>
      <c r="AC83" s="80">
        <f>SUMIFS('декабрь 2024'!$G$5:$G$2311,'декабрь 2024'!$D$5:$D$2311,$B83,'декабрь 2024'!$J$5:$J$2311,AC$1)</f>
        <v>0</v>
      </c>
      <c r="AD83" s="80">
        <f>SUMIFS('декабрь 2024'!$G$5:$G$2311,'декабрь 2024'!$D$5:$D$2311,$B83,'декабрь 2024'!$J$5:$J$2311,AD$1)</f>
        <v>0</v>
      </c>
      <c r="AE83" s="80">
        <f>SUMIFS('декабрь 2024'!$G$5:$G$2311,'декабрь 2024'!$D$5:$D$2311,$B83,'декабрь 2024'!$J$5:$J$2311,AE$1)</f>
        <v>0</v>
      </c>
      <c r="AF83" s="80">
        <f>SUMIFS('декабрь 2024'!$G$5:$G$2311,'декабрь 2024'!$D$5:$D$2311,$B83,'декабрь 2024'!$J$5:$J$2311,AF$1)</f>
        <v>0</v>
      </c>
      <c r="AG83" s="80">
        <f>SUMIFS('декабрь 2024'!$G$5:$G$2311,'декабрь 2024'!$D$5:$D$2311,$B83,'декабрь 2024'!$J$5:$J$2311,AG$1)</f>
        <v>0</v>
      </c>
      <c r="AH83" s="80">
        <f>SUMIFS('декабрь 2024'!$G$5:$G$2311,'декабрь 2024'!$D$5:$D$2311,$B83,'декабрь 2024'!$J$5:$J$2311,AH$1)</f>
        <v>0</v>
      </c>
      <c r="AI83" s="21">
        <f t="shared" si="1"/>
        <v>0</v>
      </c>
    </row>
    <row r="84" spans="2:35" ht="15" customHeight="1" x14ac:dyDescent="0.25">
      <c r="B84" s="93" t="s">
        <v>201</v>
      </c>
      <c r="C84" s="91">
        <v>190</v>
      </c>
      <c r="D84" s="80">
        <f>SUMIFS('декабрь 2024'!$G$5:$G$2311,'декабрь 2024'!$D$5:$D$2311,$B84,'декабрь 2024'!$J$5:$J$2311,D$1)</f>
        <v>0</v>
      </c>
      <c r="E84" s="80">
        <f>SUMIFS('декабрь 2024'!$G$5:$G$2311,'декабрь 2024'!$D$5:$D$2311,$B84,'декабрь 2024'!$J$5:$J$2311,E$1)</f>
        <v>0</v>
      </c>
      <c r="F84" s="80">
        <f>SUMIFS('декабрь 2024'!$G$5:$G$2311,'декабрь 2024'!$D$5:$D$2311,$B84,'декабрь 2024'!$J$5:$J$2311,F$1)</f>
        <v>0</v>
      </c>
      <c r="G84" s="80">
        <f>SUMIFS('декабрь 2024'!$G$5:$G$2311,'декабрь 2024'!$D$5:$D$2311,$B84,'декабрь 2024'!$J$5:$J$2311,G$1)</f>
        <v>0</v>
      </c>
      <c r="H84" s="80">
        <f>SUMIFS('декабрь 2024'!$G$5:$G$2311,'декабрь 2024'!$D$5:$D$2311,$B84,'декабрь 2024'!$J$5:$J$2311,H$1)</f>
        <v>0</v>
      </c>
      <c r="I84" s="80">
        <f>SUMIFS('декабрь 2024'!$G$5:$G$2311,'декабрь 2024'!$D$5:$D$2311,$B84,'декабрь 2024'!$J$5:$J$2311,I$1)</f>
        <v>0</v>
      </c>
      <c r="J84" s="80">
        <f>SUMIFS('декабрь 2024'!$G$5:$G$2311,'декабрь 2024'!$D$5:$D$2311,$B84,'декабрь 2024'!$J$5:$J$2311,J$1)</f>
        <v>0</v>
      </c>
      <c r="K84" s="80">
        <f>SUMIFS('декабрь 2024'!$G$5:$G$2311,'декабрь 2024'!$D$5:$D$2311,$B84,'декабрь 2024'!$J$5:$J$2311,K$1)</f>
        <v>0</v>
      </c>
      <c r="L84" s="80">
        <f>SUMIFS('декабрь 2024'!$G$5:$G$2311,'декабрь 2024'!$D$5:$D$2311,$B84,'декабрь 2024'!$J$5:$J$2311,L$1)</f>
        <v>0</v>
      </c>
      <c r="M84" s="80">
        <f>SUMIFS('декабрь 2024'!$G$5:$G$2311,'декабрь 2024'!$D$5:$D$2311,$B84,'декабрь 2024'!$J$5:$J$2311,M$1)</f>
        <v>0</v>
      </c>
      <c r="N84" s="80">
        <f>SUMIFS('декабрь 2024'!$G$5:$G$2311,'декабрь 2024'!$D$5:$D$2311,$B84,'декабрь 2024'!$J$5:$J$2311,N$1)</f>
        <v>0</v>
      </c>
      <c r="O84" s="80">
        <f>SUMIFS('декабрь 2024'!$G$5:$G$2311,'декабрь 2024'!$D$5:$D$2311,$B84,'декабрь 2024'!$J$5:$J$2311,O$1)</f>
        <v>0</v>
      </c>
      <c r="P84" s="80">
        <f>SUMIFS('декабрь 2024'!$G$5:$G$2311,'декабрь 2024'!$D$5:$D$2311,$B84,'декабрь 2024'!$J$5:$J$2311,P$1)</f>
        <v>0</v>
      </c>
      <c r="Q84" s="80">
        <f>SUMIFS('декабрь 2024'!$G$5:$G$2311,'декабрь 2024'!$D$5:$D$2311,$B84,'декабрь 2024'!$J$5:$J$2311,Q$1)</f>
        <v>0</v>
      </c>
      <c r="R84" s="80">
        <f>SUMIFS('декабрь 2024'!$G$5:$G$2311,'декабрь 2024'!$D$5:$D$2311,$B84,'декабрь 2024'!$J$5:$J$2311,R$1)</f>
        <v>0</v>
      </c>
      <c r="S84" s="80">
        <f>SUMIFS('декабрь 2024'!$G$5:$G$2311,'декабрь 2024'!$D$5:$D$2311,$B84,'декабрь 2024'!$J$5:$J$2311,S$1)</f>
        <v>0</v>
      </c>
      <c r="T84" s="80">
        <f>SUMIFS('декабрь 2024'!$G$5:$G$2311,'декабрь 2024'!$D$5:$D$2311,$B84,'декабрь 2024'!$J$5:$J$2311,T$1)</f>
        <v>0</v>
      </c>
      <c r="U84" s="80">
        <f>SUMIFS('декабрь 2024'!$G$5:$G$2311,'декабрь 2024'!$D$5:$D$2311,$B84,'декабрь 2024'!$J$5:$J$2311,U$1)</f>
        <v>0</v>
      </c>
      <c r="V84" s="80">
        <f>SUMIFS('декабрь 2024'!$G$5:$G$2311,'декабрь 2024'!$D$5:$D$2311,$B84,'декабрь 2024'!$J$5:$J$2311,V$1)</f>
        <v>0</v>
      </c>
      <c r="W84" s="80">
        <f>SUMIFS('декабрь 2024'!$G$5:$G$2311,'декабрь 2024'!$D$5:$D$2311,$B84,'декабрь 2024'!$J$5:$J$2311,W$1)</f>
        <v>0</v>
      </c>
      <c r="X84" s="80">
        <f>SUMIFS('декабрь 2024'!$G$5:$G$2311,'декабрь 2024'!$D$5:$D$2311,$B84,'декабрь 2024'!$J$5:$J$2311,X$1)</f>
        <v>0</v>
      </c>
      <c r="Y84" s="80">
        <f>SUMIFS('декабрь 2024'!$G$5:$G$2311,'декабрь 2024'!$D$5:$D$2311,$B84,'декабрь 2024'!$J$5:$J$2311,Y$1)</f>
        <v>0</v>
      </c>
      <c r="Z84" s="80">
        <f>SUMIFS('декабрь 2024'!$G$5:$G$2311,'декабрь 2024'!$D$5:$D$2311,$B84,'декабрь 2024'!$J$5:$J$2311,Z$1)</f>
        <v>0</v>
      </c>
      <c r="AA84" s="80">
        <f>SUMIFS('декабрь 2024'!$G$5:$G$2311,'декабрь 2024'!$D$5:$D$2311,$B84,'декабрь 2024'!$J$5:$J$2311,AA$1)</f>
        <v>0</v>
      </c>
      <c r="AB84" s="80">
        <f>SUMIFS('декабрь 2024'!$G$5:$G$2311,'декабрь 2024'!$D$5:$D$2311,$B84,'декабрь 2024'!$J$5:$J$2311,AB$1)</f>
        <v>0</v>
      </c>
      <c r="AC84" s="80">
        <f>SUMIFS('декабрь 2024'!$G$5:$G$2311,'декабрь 2024'!$D$5:$D$2311,$B84,'декабрь 2024'!$J$5:$J$2311,AC$1)</f>
        <v>0</v>
      </c>
      <c r="AD84" s="80">
        <f>SUMIFS('декабрь 2024'!$G$5:$G$2311,'декабрь 2024'!$D$5:$D$2311,$B84,'декабрь 2024'!$J$5:$J$2311,AD$1)</f>
        <v>0</v>
      </c>
      <c r="AE84" s="80">
        <f>SUMIFS('декабрь 2024'!$G$5:$G$2311,'декабрь 2024'!$D$5:$D$2311,$B84,'декабрь 2024'!$J$5:$J$2311,AE$1)</f>
        <v>0</v>
      </c>
      <c r="AF84" s="80">
        <f>SUMIFS('декабрь 2024'!$G$5:$G$2311,'декабрь 2024'!$D$5:$D$2311,$B84,'декабрь 2024'!$J$5:$J$2311,AF$1)</f>
        <v>0</v>
      </c>
      <c r="AG84" s="80">
        <f>SUMIFS('декабрь 2024'!$G$5:$G$2311,'декабрь 2024'!$D$5:$D$2311,$B84,'декабрь 2024'!$J$5:$J$2311,AG$1)</f>
        <v>0</v>
      </c>
      <c r="AH84" s="80">
        <f>SUMIFS('декабрь 2024'!$G$5:$G$2311,'декабрь 2024'!$D$5:$D$2311,$B84,'декабрь 2024'!$J$5:$J$2311,AH$1)</f>
        <v>0</v>
      </c>
      <c r="AI84" s="21">
        <f t="shared" si="1"/>
        <v>0</v>
      </c>
    </row>
    <row r="85" spans="2:35" ht="15" customHeight="1" x14ac:dyDescent="0.25">
      <c r="B85" s="93" t="s">
        <v>1190</v>
      </c>
      <c r="C85" s="91">
        <v>200</v>
      </c>
      <c r="D85" s="80">
        <f>SUMIFS('декабрь 2024'!$G$5:$G$2311,'декабрь 2024'!$D$5:$D$2311,$B85,'декабрь 2024'!$J$5:$J$2311,D$1)</f>
        <v>0</v>
      </c>
      <c r="E85" s="80">
        <f>SUMIFS('декабрь 2024'!$G$5:$G$2311,'декабрь 2024'!$D$5:$D$2311,$B85,'декабрь 2024'!$J$5:$J$2311,E$1)</f>
        <v>0</v>
      </c>
      <c r="F85" s="80">
        <f>SUMIFS('декабрь 2024'!$G$5:$G$2311,'декабрь 2024'!$D$5:$D$2311,$B85,'декабрь 2024'!$J$5:$J$2311,F$1)</f>
        <v>0</v>
      </c>
      <c r="G85" s="80">
        <f>SUMIFS('декабрь 2024'!$G$5:$G$2311,'декабрь 2024'!$D$5:$D$2311,$B85,'декабрь 2024'!$J$5:$J$2311,G$1)</f>
        <v>0</v>
      </c>
      <c r="H85" s="80">
        <f>SUMIFS('декабрь 2024'!$G$5:$G$2311,'декабрь 2024'!$D$5:$D$2311,$B85,'декабрь 2024'!$J$5:$J$2311,H$1)</f>
        <v>0</v>
      </c>
      <c r="I85" s="80">
        <f>SUMIFS('декабрь 2024'!$G$5:$G$2311,'декабрь 2024'!$D$5:$D$2311,$B85,'декабрь 2024'!$J$5:$J$2311,I$1)</f>
        <v>0</v>
      </c>
      <c r="J85" s="80">
        <f>SUMIFS('декабрь 2024'!$G$5:$G$2311,'декабрь 2024'!$D$5:$D$2311,$B85,'декабрь 2024'!$J$5:$J$2311,J$1)</f>
        <v>0</v>
      </c>
      <c r="K85" s="80">
        <f>SUMIFS('декабрь 2024'!$G$5:$G$2311,'декабрь 2024'!$D$5:$D$2311,$B85,'декабрь 2024'!$J$5:$J$2311,K$1)</f>
        <v>0</v>
      </c>
      <c r="L85" s="80">
        <f>SUMIFS('декабрь 2024'!$G$5:$G$2311,'декабрь 2024'!$D$5:$D$2311,$B85,'декабрь 2024'!$J$5:$J$2311,L$1)</f>
        <v>0</v>
      </c>
      <c r="M85" s="80">
        <f>SUMIFS('декабрь 2024'!$G$5:$G$2311,'декабрь 2024'!$D$5:$D$2311,$B85,'декабрь 2024'!$J$5:$J$2311,M$1)</f>
        <v>0</v>
      </c>
      <c r="N85" s="80">
        <f>SUMIFS('декабрь 2024'!$G$5:$G$2311,'декабрь 2024'!$D$5:$D$2311,$B85,'декабрь 2024'!$J$5:$J$2311,N$1)</f>
        <v>0</v>
      </c>
      <c r="O85" s="80">
        <f>SUMIFS('декабрь 2024'!$G$5:$G$2311,'декабрь 2024'!$D$5:$D$2311,$B85,'декабрь 2024'!$J$5:$J$2311,O$1)</f>
        <v>0</v>
      </c>
      <c r="P85" s="80">
        <f>SUMIFS('декабрь 2024'!$G$5:$G$2311,'декабрь 2024'!$D$5:$D$2311,$B85,'декабрь 2024'!$J$5:$J$2311,P$1)</f>
        <v>36</v>
      </c>
      <c r="Q85" s="80">
        <f>SUMIFS('декабрь 2024'!$G$5:$G$2311,'декабрь 2024'!$D$5:$D$2311,$B85,'декабрь 2024'!$J$5:$J$2311,Q$1)</f>
        <v>0</v>
      </c>
      <c r="R85" s="80">
        <f>SUMIFS('декабрь 2024'!$G$5:$G$2311,'декабрь 2024'!$D$5:$D$2311,$B85,'декабрь 2024'!$J$5:$J$2311,R$1)</f>
        <v>0</v>
      </c>
      <c r="S85" s="80">
        <f>SUMIFS('декабрь 2024'!$G$5:$G$2311,'декабрь 2024'!$D$5:$D$2311,$B85,'декабрь 2024'!$J$5:$J$2311,S$1)</f>
        <v>0</v>
      </c>
      <c r="T85" s="80">
        <f>SUMIFS('декабрь 2024'!$G$5:$G$2311,'декабрь 2024'!$D$5:$D$2311,$B85,'декабрь 2024'!$J$5:$J$2311,T$1)</f>
        <v>0</v>
      </c>
      <c r="U85" s="80">
        <f>SUMIFS('декабрь 2024'!$G$5:$G$2311,'декабрь 2024'!$D$5:$D$2311,$B85,'декабрь 2024'!$J$5:$J$2311,U$1)</f>
        <v>0</v>
      </c>
      <c r="V85" s="80">
        <f>SUMIFS('декабрь 2024'!$G$5:$G$2311,'декабрь 2024'!$D$5:$D$2311,$B85,'декабрь 2024'!$J$5:$J$2311,V$1)</f>
        <v>0</v>
      </c>
      <c r="W85" s="80">
        <f>SUMIFS('декабрь 2024'!$G$5:$G$2311,'декабрь 2024'!$D$5:$D$2311,$B85,'декабрь 2024'!$J$5:$J$2311,W$1)</f>
        <v>0</v>
      </c>
      <c r="X85" s="80">
        <f>SUMIFS('декабрь 2024'!$G$5:$G$2311,'декабрь 2024'!$D$5:$D$2311,$B85,'декабрь 2024'!$J$5:$J$2311,X$1)</f>
        <v>0</v>
      </c>
      <c r="Y85" s="80">
        <f>SUMIFS('декабрь 2024'!$G$5:$G$2311,'декабрь 2024'!$D$5:$D$2311,$B85,'декабрь 2024'!$J$5:$J$2311,Y$1)</f>
        <v>0</v>
      </c>
      <c r="Z85" s="80">
        <f>SUMIFS('декабрь 2024'!$G$5:$G$2311,'декабрь 2024'!$D$5:$D$2311,$B85,'декабрь 2024'!$J$5:$J$2311,Z$1)</f>
        <v>0</v>
      </c>
      <c r="AA85" s="80">
        <f>SUMIFS('декабрь 2024'!$G$5:$G$2311,'декабрь 2024'!$D$5:$D$2311,$B85,'декабрь 2024'!$J$5:$J$2311,AA$1)</f>
        <v>0</v>
      </c>
      <c r="AB85" s="80">
        <f>SUMIFS('декабрь 2024'!$G$5:$G$2311,'декабрь 2024'!$D$5:$D$2311,$B85,'декабрь 2024'!$J$5:$J$2311,AB$1)</f>
        <v>0</v>
      </c>
      <c r="AC85" s="80">
        <f>SUMIFS('декабрь 2024'!$G$5:$G$2311,'декабрь 2024'!$D$5:$D$2311,$B85,'декабрь 2024'!$J$5:$J$2311,AC$1)</f>
        <v>0</v>
      </c>
      <c r="AD85" s="80">
        <f>SUMIFS('декабрь 2024'!$G$5:$G$2311,'декабрь 2024'!$D$5:$D$2311,$B85,'декабрь 2024'!$J$5:$J$2311,AD$1)</f>
        <v>0</v>
      </c>
      <c r="AE85" s="80">
        <f>SUMIFS('декабрь 2024'!$G$5:$G$2311,'декабрь 2024'!$D$5:$D$2311,$B85,'декабрь 2024'!$J$5:$J$2311,AE$1)</f>
        <v>0</v>
      </c>
      <c r="AF85" s="80">
        <f>SUMIFS('декабрь 2024'!$G$5:$G$2311,'декабрь 2024'!$D$5:$D$2311,$B85,'декабрь 2024'!$J$5:$J$2311,AF$1)</f>
        <v>0</v>
      </c>
      <c r="AG85" s="80">
        <f>SUMIFS('декабрь 2024'!$G$5:$G$2311,'декабрь 2024'!$D$5:$D$2311,$B85,'декабрь 2024'!$J$5:$J$2311,AG$1)</f>
        <v>0</v>
      </c>
      <c r="AH85" s="80">
        <f>SUMIFS('декабрь 2024'!$G$5:$G$2311,'декабрь 2024'!$D$5:$D$2311,$B85,'декабрь 2024'!$J$5:$J$2311,AH$1)</f>
        <v>0</v>
      </c>
      <c r="AI85" s="21">
        <f t="shared" si="1"/>
        <v>36</v>
      </c>
    </row>
    <row r="86" spans="2:35" ht="15" customHeight="1" x14ac:dyDescent="0.25">
      <c r="B86" s="93" t="s">
        <v>202</v>
      </c>
      <c r="C86" s="91">
        <v>900</v>
      </c>
      <c r="D86" s="80">
        <f>SUMIFS('декабрь 2024'!$G$5:$G$2311,'декабрь 2024'!$D$5:$D$2311,$B86,'декабрь 2024'!$J$5:$J$2311,D$1)</f>
        <v>0</v>
      </c>
      <c r="E86" s="80">
        <f>SUMIFS('декабрь 2024'!$G$5:$G$2311,'декабрь 2024'!$D$5:$D$2311,$B86,'декабрь 2024'!$J$5:$J$2311,E$1)</f>
        <v>0</v>
      </c>
      <c r="F86" s="80">
        <f>SUMIFS('декабрь 2024'!$G$5:$G$2311,'декабрь 2024'!$D$5:$D$2311,$B86,'декабрь 2024'!$J$5:$J$2311,F$1)</f>
        <v>0</v>
      </c>
      <c r="G86" s="80">
        <f>SUMIFS('декабрь 2024'!$G$5:$G$2311,'декабрь 2024'!$D$5:$D$2311,$B86,'декабрь 2024'!$J$5:$J$2311,G$1)</f>
        <v>0</v>
      </c>
      <c r="H86" s="80">
        <f>SUMIFS('декабрь 2024'!$G$5:$G$2311,'декабрь 2024'!$D$5:$D$2311,$B86,'декабрь 2024'!$J$5:$J$2311,H$1)</f>
        <v>0</v>
      </c>
      <c r="I86" s="80">
        <f>SUMIFS('декабрь 2024'!$G$5:$G$2311,'декабрь 2024'!$D$5:$D$2311,$B86,'декабрь 2024'!$J$5:$J$2311,I$1)</f>
        <v>0</v>
      </c>
      <c r="J86" s="80">
        <f>SUMIFS('декабрь 2024'!$G$5:$G$2311,'декабрь 2024'!$D$5:$D$2311,$B86,'декабрь 2024'!$J$5:$J$2311,J$1)</f>
        <v>0</v>
      </c>
      <c r="K86" s="80">
        <f>SUMIFS('декабрь 2024'!$G$5:$G$2311,'декабрь 2024'!$D$5:$D$2311,$B86,'декабрь 2024'!$J$5:$J$2311,K$1)</f>
        <v>0</v>
      </c>
      <c r="L86" s="80">
        <f>SUMIFS('декабрь 2024'!$G$5:$G$2311,'декабрь 2024'!$D$5:$D$2311,$B86,'декабрь 2024'!$J$5:$J$2311,L$1)</f>
        <v>0</v>
      </c>
      <c r="M86" s="80">
        <f>SUMIFS('декабрь 2024'!$G$5:$G$2311,'декабрь 2024'!$D$5:$D$2311,$B86,'декабрь 2024'!$J$5:$J$2311,M$1)</f>
        <v>0</v>
      </c>
      <c r="N86" s="80">
        <f>SUMIFS('декабрь 2024'!$G$5:$G$2311,'декабрь 2024'!$D$5:$D$2311,$B86,'декабрь 2024'!$J$5:$J$2311,N$1)</f>
        <v>0</v>
      </c>
      <c r="O86" s="80">
        <f>SUMIFS('декабрь 2024'!$G$5:$G$2311,'декабрь 2024'!$D$5:$D$2311,$B86,'декабрь 2024'!$J$5:$J$2311,O$1)</f>
        <v>0</v>
      </c>
      <c r="P86" s="80">
        <f>SUMIFS('декабрь 2024'!$G$5:$G$2311,'декабрь 2024'!$D$5:$D$2311,$B86,'декабрь 2024'!$J$5:$J$2311,P$1)</f>
        <v>0</v>
      </c>
      <c r="Q86" s="80">
        <f>SUMIFS('декабрь 2024'!$G$5:$G$2311,'декабрь 2024'!$D$5:$D$2311,$B86,'декабрь 2024'!$J$5:$J$2311,Q$1)</f>
        <v>0</v>
      </c>
      <c r="R86" s="80">
        <f>SUMIFS('декабрь 2024'!$G$5:$G$2311,'декабрь 2024'!$D$5:$D$2311,$B86,'декабрь 2024'!$J$5:$J$2311,R$1)</f>
        <v>0</v>
      </c>
      <c r="S86" s="80">
        <f>SUMIFS('декабрь 2024'!$G$5:$G$2311,'декабрь 2024'!$D$5:$D$2311,$B86,'декабрь 2024'!$J$5:$J$2311,S$1)</f>
        <v>0</v>
      </c>
      <c r="T86" s="80">
        <f>SUMIFS('декабрь 2024'!$G$5:$G$2311,'декабрь 2024'!$D$5:$D$2311,$B86,'декабрь 2024'!$J$5:$J$2311,T$1)</f>
        <v>0</v>
      </c>
      <c r="U86" s="80">
        <f>SUMIFS('декабрь 2024'!$G$5:$G$2311,'декабрь 2024'!$D$5:$D$2311,$B86,'декабрь 2024'!$J$5:$J$2311,U$1)</f>
        <v>0</v>
      </c>
      <c r="V86" s="80">
        <f>SUMIFS('декабрь 2024'!$G$5:$G$2311,'декабрь 2024'!$D$5:$D$2311,$B86,'декабрь 2024'!$J$5:$J$2311,V$1)</f>
        <v>0</v>
      </c>
      <c r="W86" s="80">
        <f>SUMIFS('декабрь 2024'!$G$5:$G$2311,'декабрь 2024'!$D$5:$D$2311,$B86,'декабрь 2024'!$J$5:$J$2311,W$1)</f>
        <v>0</v>
      </c>
      <c r="X86" s="80">
        <f>SUMIFS('декабрь 2024'!$G$5:$G$2311,'декабрь 2024'!$D$5:$D$2311,$B86,'декабрь 2024'!$J$5:$J$2311,X$1)</f>
        <v>0</v>
      </c>
      <c r="Y86" s="80">
        <f>SUMIFS('декабрь 2024'!$G$5:$G$2311,'декабрь 2024'!$D$5:$D$2311,$B86,'декабрь 2024'!$J$5:$J$2311,Y$1)</f>
        <v>0</v>
      </c>
      <c r="Z86" s="80">
        <f>SUMIFS('декабрь 2024'!$G$5:$G$2311,'декабрь 2024'!$D$5:$D$2311,$B86,'декабрь 2024'!$J$5:$J$2311,Z$1)</f>
        <v>0</v>
      </c>
      <c r="AA86" s="80">
        <f>SUMIFS('декабрь 2024'!$G$5:$G$2311,'декабрь 2024'!$D$5:$D$2311,$B86,'декабрь 2024'!$J$5:$J$2311,AA$1)</f>
        <v>0</v>
      </c>
      <c r="AB86" s="80">
        <f>SUMIFS('декабрь 2024'!$G$5:$G$2311,'декабрь 2024'!$D$5:$D$2311,$B86,'декабрь 2024'!$J$5:$J$2311,AB$1)</f>
        <v>0</v>
      </c>
      <c r="AC86" s="80">
        <f>SUMIFS('декабрь 2024'!$G$5:$G$2311,'декабрь 2024'!$D$5:$D$2311,$B86,'декабрь 2024'!$J$5:$J$2311,AC$1)</f>
        <v>0</v>
      </c>
      <c r="AD86" s="80">
        <f>SUMIFS('декабрь 2024'!$G$5:$G$2311,'декабрь 2024'!$D$5:$D$2311,$B86,'декабрь 2024'!$J$5:$J$2311,AD$1)</f>
        <v>0</v>
      </c>
      <c r="AE86" s="80">
        <f>SUMIFS('декабрь 2024'!$G$5:$G$2311,'декабрь 2024'!$D$5:$D$2311,$B86,'декабрь 2024'!$J$5:$J$2311,AE$1)</f>
        <v>0</v>
      </c>
      <c r="AF86" s="80">
        <f>SUMIFS('декабрь 2024'!$G$5:$G$2311,'декабрь 2024'!$D$5:$D$2311,$B86,'декабрь 2024'!$J$5:$J$2311,AF$1)</f>
        <v>0</v>
      </c>
      <c r="AG86" s="80">
        <f>SUMIFS('декабрь 2024'!$G$5:$G$2311,'декабрь 2024'!$D$5:$D$2311,$B86,'декабрь 2024'!$J$5:$J$2311,AG$1)</f>
        <v>0</v>
      </c>
      <c r="AH86" s="80">
        <f>SUMIFS('декабрь 2024'!$G$5:$G$2311,'декабрь 2024'!$D$5:$D$2311,$B86,'декабрь 2024'!$J$5:$J$2311,AH$1)</f>
        <v>0</v>
      </c>
      <c r="AI86" s="21">
        <f t="shared" si="1"/>
        <v>0</v>
      </c>
    </row>
    <row r="87" spans="2:35" ht="15" customHeight="1" x14ac:dyDescent="0.25">
      <c r="B87" s="89" t="s">
        <v>196</v>
      </c>
      <c r="C87" s="88">
        <v>190</v>
      </c>
      <c r="D87" s="80">
        <f>SUMIFS('декабрь 2024'!$G$5:$G$2311,'декабрь 2024'!$D$5:$D$2311,$B87,'декабрь 2024'!$J$5:$J$2311,D$1)</f>
        <v>0</v>
      </c>
      <c r="E87" s="80">
        <f>SUMIFS('декабрь 2024'!$G$5:$G$2311,'декабрь 2024'!$D$5:$D$2311,$B87,'декабрь 2024'!$J$5:$J$2311,E$1)</f>
        <v>0</v>
      </c>
      <c r="F87" s="80">
        <f>SUMIFS('декабрь 2024'!$G$5:$G$2311,'декабрь 2024'!$D$5:$D$2311,$B87,'декабрь 2024'!$J$5:$J$2311,F$1)</f>
        <v>0</v>
      </c>
      <c r="G87" s="80">
        <f>SUMIFS('декабрь 2024'!$G$5:$G$2311,'декабрь 2024'!$D$5:$D$2311,$B87,'декабрь 2024'!$J$5:$J$2311,G$1)</f>
        <v>0</v>
      </c>
      <c r="H87" s="80">
        <f>SUMIFS('декабрь 2024'!$G$5:$G$2311,'декабрь 2024'!$D$5:$D$2311,$B87,'декабрь 2024'!$J$5:$J$2311,H$1)</f>
        <v>0</v>
      </c>
      <c r="I87" s="80">
        <f>SUMIFS('декабрь 2024'!$G$5:$G$2311,'декабрь 2024'!$D$5:$D$2311,$B87,'декабрь 2024'!$J$5:$J$2311,I$1)</f>
        <v>0</v>
      </c>
      <c r="J87" s="80">
        <f>SUMIFS('декабрь 2024'!$G$5:$G$2311,'декабрь 2024'!$D$5:$D$2311,$B87,'декабрь 2024'!$J$5:$J$2311,J$1)</f>
        <v>0</v>
      </c>
      <c r="K87" s="80">
        <f>SUMIFS('декабрь 2024'!$G$5:$G$2311,'декабрь 2024'!$D$5:$D$2311,$B87,'декабрь 2024'!$J$5:$J$2311,K$1)</f>
        <v>0</v>
      </c>
      <c r="L87" s="80">
        <f>SUMIFS('декабрь 2024'!$G$5:$G$2311,'декабрь 2024'!$D$5:$D$2311,$B87,'декабрь 2024'!$J$5:$J$2311,L$1)</f>
        <v>0</v>
      </c>
      <c r="M87" s="80">
        <f>SUMIFS('декабрь 2024'!$G$5:$G$2311,'декабрь 2024'!$D$5:$D$2311,$B87,'декабрь 2024'!$J$5:$J$2311,M$1)</f>
        <v>0</v>
      </c>
      <c r="N87" s="80">
        <f>SUMIFS('декабрь 2024'!$G$5:$G$2311,'декабрь 2024'!$D$5:$D$2311,$B87,'декабрь 2024'!$J$5:$J$2311,N$1)</f>
        <v>0</v>
      </c>
      <c r="O87" s="80">
        <f>SUMIFS('декабрь 2024'!$G$5:$G$2311,'декабрь 2024'!$D$5:$D$2311,$B87,'декабрь 2024'!$J$5:$J$2311,O$1)</f>
        <v>0</v>
      </c>
      <c r="P87" s="80">
        <f>SUMIFS('декабрь 2024'!$G$5:$G$2311,'декабрь 2024'!$D$5:$D$2311,$B87,'декабрь 2024'!$J$5:$J$2311,P$1)</f>
        <v>0</v>
      </c>
      <c r="Q87" s="80">
        <f>SUMIFS('декабрь 2024'!$G$5:$G$2311,'декабрь 2024'!$D$5:$D$2311,$B87,'декабрь 2024'!$J$5:$J$2311,Q$1)</f>
        <v>0</v>
      </c>
      <c r="R87" s="80">
        <f>SUMIFS('декабрь 2024'!$G$5:$G$2311,'декабрь 2024'!$D$5:$D$2311,$B87,'декабрь 2024'!$J$5:$J$2311,R$1)</f>
        <v>0</v>
      </c>
      <c r="S87" s="80">
        <f>SUMIFS('декабрь 2024'!$G$5:$G$2311,'декабрь 2024'!$D$5:$D$2311,$B87,'декабрь 2024'!$J$5:$J$2311,S$1)</f>
        <v>0</v>
      </c>
      <c r="T87" s="80">
        <f>SUMIFS('декабрь 2024'!$G$5:$G$2311,'декабрь 2024'!$D$5:$D$2311,$B87,'декабрь 2024'!$J$5:$J$2311,T$1)</f>
        <v>0</v>
      </c>
      <c r="U87" s="80">
        <f>SUMIFS('декабрь 2024'!$G$5:$G$2311,'декабрь 2024'!$D$5:$D$2311,$B87,'декабрь 2024'!$J$5:$J$2311,U$1)</f>
        <v>0</v>
      </c>
      <c r="V87" s="80">
        <f>SUMIFS('декабрь 2024'!$G$5:$G$2311,'декабрь 2024'!$D$5:$D$2311,$B87,'декабрь 2024'!$J$5:$J$2311,V$1)</f>
        <v>0</v>
      </c>
      <c r="W87" s="80">
        <f>SUMIFS('декабрь 2024'!$G$5:$G$2311,'декабрь 2024'!$D$5:$D$2311,$B87,'декабрь 2024'!$J$5:$J$2311,W$1)</f>
        <v>0</v>
      </c>
      <c r="X87" s="80">
        <f>SUMIFS('декабрь 2024'!$G$5:$G$2311,'декабрь 2024'!$D$5:$D$2311,$B87,'декабрь 2024'!$J$5:$J$2311,X$1)</f>
        <v>0</v>
      </c>
      <c r="Y87" s="80">
        <f>SUMIFS('декабрь 2024'!$G$5:$G$2311,'декабрь 2024'!$D$5:$D$2311,$B87,'декабрь 2024'!$J$5:$J$2311,Y$1)</f>
        <v>0</v>
      </c>
      <c r="Z87" s="80">
        <f>SUMIFS('декабрь 2024'!$G$5:$G$2311,'декабрь 2024'!$D$5:$D$2311,$B87,'декабрь 2024'!$J$5:$J$2311,Z$1)</f>
        <v>0</v>
      </c>
      <c r="AA87" s="80">
        <f>SUMIFS('декабрь 2024'!$G$5:$G$2311,'декабрь 2024'!$D$5:$D$2311,$B87,'декабрь 2024'!$J$5:$J$2311,AA$1)</f>
        <v>0</v>
      </c>
      <c r="AB87" s="80">
        <f>SUMIFS('декабрь 2024'!$G$5:$G$2311,'декабрь 2024'!$D$5:$D$2311,$B87,'декабрь 2024'!$J$5:$J$2311,AB$1)</f>
        <v>0</v>
      </c>
      <c r="AC87" s="80">
        <f>SUMIFS('декабрь 2024'!$G$5:$G$2311,'декабрь 2024'!$D$5:$D$2311,$B87,'декабрь 2024'!$J$5:$J$2311,AC$1)</f>
        <v>0</v>
      </c>
      <c r="AD87" s="80">
        <f>SUMIFS('декабрь 2024'!$G$5:$G$2311,'декабрь 2024'!$D$5:$D$2311,$B87,'декабрь 2024'!$J$5:$J$2311,AD$1)</f>
        <v>0</v>
      </c>
      <c r="AE87" s="80">
        <f>SUMIFS('декабрь 2024'!$G$5:$G$2311,'декабрь 2024'!$D$5:$D$2311,$B87,'декабрь 2024'!$J$5:$J$2311,AE$1)</f>
        <v>0</v>
      </c>
      <c r="AF87" s="80">
        <f>SUMIFS('декабрь 2024'!$G$5:$G$2311,'декабрь 2024'!$D$5:$D$2311,$B87,'декабрь 2024'!$J$5:$J$2311,AF$1)</f>
        <v>0</v>
      </c>
      <c r="AG87" s="80">
        <f>SUMIFS('декабрь 2024'!$G$5:$G$2311,'декабрь 2024'!$D$5:$D$2311,$B87,'декабрь 2024'!$J$5:$J$2311,AG$1)</f>
        <v>0</v>
      </c>
      <c r="AH87" s="80">
        <f>SUMIFS('декабрь 2024'!$G$5:$G$2311,'декабрь 2024'!$D$5:$D$2311,$B87,'декабрь 2024'!$J$5:$J$2311,AH$1)</f>
        <v>0</v>
      </c>
      <c r="AI87" s="21">
        <f t="shared" si="1"/>
        <v>0</v>
      </c>
    </row>
    <row r="88" spans="2:35" ht="15" customHeight="1" x14ac:dyDescent="0.25">
      <c r="B88" s="89" t="s">
        <v>217</v>
      </c>
      <c r="C88" s="88">
        <v>190</v>
      </c>
      <c r="D88" s="80">
        <f>SUMIFS('декабрь 2024'!$G$5:$G$2311,'декабрь 2024'!$D$5:$D$2311,$B88,'декабрь 2024'!$J$5:$J$2311,D$1)</f>
        <v>0</v>
      </c>
      <c r="E88" s="80">
        <f>SUMIFS('декабрь 2024'!$G$5:$G$2311,'декабрь 2024'!$D$5:$D$2311,$B88,'декабрь 2024'!$J$5:$J$2311,E$1)</f>
        <v>0</v>
      </c>
      <c r="F88" s="80">
        <f>SUMIFS('декабрь 2024'!$G$5:$G$2311,'декабрь 2024'!$D$5:$D$2311,$B88,'декабрь 2024'!$J$5:$J$2311,F$1)</f>
        <v>0</v>
      </c>
      <c r="G88" s="80">
        <f>SUMIFS('декабрь 2024'!$G$5:$G$2311,'декабрь 2024'!$D$5:$D$2311,$B88,'декабрь 2024'!$J$5:$J$2311,G$1)</f>
        <v>0</v>
      </c>
      <c r="H88" s="80">
        <f>SUMIFS('декабрь 2024'!$G$5:$G$2311,'декабрь 2024'!$D$5:$D$2311,$B88,'декабрь 2024'!$J$5:$J$2311,H$1)</f>
        <v>0</v>
      </c>
      <c r="I88" s="80">
        <f>SUMIFS('декабрь 2024'!$G$5:$G$2311,'декабрь 2024'!$D$5:$D$2311,$B88,'декабрь 2024'!$J$5:$J$2311,I$1)</f>
        <v>0</v>
      </c>
      <c r="J88" s="80">
        <f>SUMIFS('декабрь 2024'!$G$5:$G$2311,'декабрь 2024'!$D$5:$D$2311,$B88,'декабрь 2024'!$J$5:$J$2311,J$1)</f>
        <v>0</v>
      </c>
      <c r="K88" s="80">
        <f>SUMIFS('декабрь 2024'!$G$5:$G$2311,'декабрь 2024'!$D$5:$D$2311,$B88,'декабрь 2024'!$J$5:$J$2311,K$1)</f>
        <v>0</v>
      </c>
      <c r="L88" s="80">
        <f>SUMIFS('декабрь 2024'!$G$5:$G$2311,'декабрь 2024'!$D$5:$D$2311,$B88,'декабрь 2024'!$J$5:$J$2311,L$1)</f>
        <v>0</v>
      </c>
      <c r="M88" s="80">
        <f>SUMIFS('декабрь 2024'!$G$5:$G$2311,'декабрь 2024'!$D$5:$D$2311,$B88,'декабрь 2024'!$J$5:$J$2311,M$1)</f>
        <v>0</v>
      </c>
      <c r="N88" s="80">
        <f>SUMIFS('декабрь 2024'!$G$5:$G$2311,'декабрь 2024'!$D$5:$D$2311,$B88,'декабрь 2024'!$J$5:$J$2311,N$1)</f>
        <v>0</v>
      </c>
      <c r="O88" s="80">
        <f>SUMIFS('декабрь 2024'!$G$5:$G$2311,'декабрь 2024'!$D$5:$D$2311,$B88,'декабрь 2024'!$J$5:$J$2311,O$1)</f>
        <v>0</v>
      </c>
      <c r="P88" s="80">
        <f>SUMIFS('декабрь 2024'!$G$5:$G$2311,'декабрь 2024'!$D$5:$D$2311,$B88,'декабрь 2024'!$J$5:$J$2311,P$1)</f>
        <v>0</v>
      </c>
      <c r="Q88" s="80">
        <f>SUMIFS('декабрь 2024'!$G$5:$G$2311,'декабрь 2024'!$D$5:$D$2311,$B88,'декабрь 2024'!$J$5:$J$2311,Q$1)</f>
        <v>0</v>
      </c>
      <c r="R88" s="80">
        <f>SUMIFS('декабрь 2024'!$G$5:$G$2311,'декабрь 2024'!$D$5:$D$2311,$B88,'декабрь 2024'!$J$5:$J$2311,R$1)</f>
        <v>0</v>
      </c>
      <c r="S88" s="80">
        <f>SUMIFS('декабрь 2024'!$G$5:$G$2311,'декабрь 2024'!$D$5:$D$2311,$B88,'декабрь 2024'!$J$5:$J$2311,S$1)</f>
        <v>0</v>
      </c>
      <c r="T88" s="80">
        <f>SUMIFS('декабрь 2024'!$G$5:$G$2311,'декабрь 2024'!$D$5:$D$2311,$B88,'декабрь 2024'!$J$5:$J$2311,T$1)</f>
        <v>0</v>
      </c>
      <c r="U88" s="80">
        <f>SUMIFS('декабрь 2024'!$G$5:$G$2311,'декабрь 2024'!$D$5:$D$2311,$B88,'декабрь 2024'!$J$5:$J$2311,U$1)</f>
        <v>0</v>
      </c>
      <c r="V88" s="80">
        <f>SUMIFS('декабрь 2024'!$G$5:$G$2311,'декабрь 2024'!$D$5:$D$2311,$B88,'декабрь 2024'!$J$5:$J$2311,V$1)</f>
        <v>0</v>
      </c>
      <c r="W88" s="80">
        <f>SUMIFS('декабрь 2024'!$G$5:$G$2311,'декабрь 2024'!$D$5:$D$2311,$B88,'декабрь 2024'!$J$5:$J$2311,W$1)</f>
        <v>0</v>
      </c>
      <c r="X88" s="80">
        <f>SUMIFS('декабрь 2024'!$G$5:$G$2311,'декабрь 2024'!$D$5:$D$2311,$B88,'декабрь 2024'!$J$5:$J$2311,X$1)</f>
        <v>0</v>
      </c>
      <c r="Y88" s="80">
        <f>SUMIFS('декабрь 2024'!$G$5:$G$2311,'декабрь 2024'!$D$5:$D$2311,$B88,'декабрь 2024'!$J$5:$J$2311,Y$1)</f>
        <v>0</v>
      </c>
      <c r="Z88" s="80">
        <f>SUMIFS('декабрь 2024'!$G$5:$G$2311,'декабрь 2024'!$D$5:$D$2311,$B88,'декабрь 2024'!$J$5:$J$2311,Z$1)</f>
        <v>0</v>
      </c>
      <c r="AA88" s="80">
        <f>SUMIFS('декабрь 2024'!$G$5:$G$2311,'декабрь 2024'!$D$5:$D$2311,$B88,'декабрь 2024'!$J$5:$J$2311,AA$1)</f>
        <v>0</v>
      </c>
      <c r="AB88" s="80">
        <f>SUMIFS('декабрь 2024'!$G$5:$G$2311,'декабрь 2024'!$D$5:$D$2311,$B88,'декабрь 2024'!$J$5:$J$2311,AB$1)</f>
        <v>0</v>
      </c>
      <c r="AC88" s="80">
        <f>SUMIFS('декабрь 2024'!$G$5:$G$2311,'декабрь 2024'!$D$5:$D$2311,$B88,'декабрь 2024'!$J$5:$J$2311,AC$1)</f>
        <v>0</v>
      </c>
      <c r="AD88" s="80">
        <f>SUMIFS('декабрь 2024'!$G$5:$G$2311,'декабрь 2024'!$D$5:$D$2311,$B88,'декабрь 2024'!$J$5:$J$2311,AD$1)</f>
        <v>0</v>
      </c>
      <c r="AE88" s="80">
        <f>SUMIFS('декабрь 2024'!$G$5:$G$2311,'декабрь 2024'!$D$5:$D$2311,$B88,'декабрь 2024'!$J$5:$J$2311,AE$1)</f>
        <v>0</v>
      </c>
      <c r="AF88" s="80">
        <f>SUMIFS('декабрь 2024'!$G$5:$G$2311,'декабрь 2024'!$D$5:$D$2311,$B88,'декабрь 2024'!$J$5:$J$2311,AF$1)</f>
        <v>0</v>
      </c>
      <c r="AG88" s="80">
        <f>SUMIFS('декабрь 2024'!$G$5:$G$2311,'декабрь 2024'!$D$5:$D$2311,$B88,'декабрь 2024'!$J$5:$J$2311,AG$1)</f>
        <v>0</v>
      </c>
      <c r="AH88" s="80">
        <f>SUMIFS('декабрь 2024'!$G$5:$G$2311,'декабрь 2024'!$D$5:$D$2311,$B88,'декабрь 2024'!$J$5:$J$2311,AH$1)</f>
        <v>0</v>
      </c>
      <c r="AI88" s="21">
        <f t="shared" si="1"/>
        <v>0</v>
      </c>
    </row>
    <row r="89" spans="2:35" ht="15" customHeight="1" x14ac:dyDescent="0.25">
      <c r="B89" s="93" t="s">
        <v>179</v>
      </c>
      <c r="C89" s="88">
        <v>190</v>
      </c>
      <c r="D89" s="80">
        <f>SUMIFS('декабрь 2024'!$G$5:$G$2311,'декабрь 2024'!$D$5:$D$2311,$B89,'декабрь 2024'!$J$5:$J$2311,D$1)</f>
        <v>0</v>
      </c>
      <c r="E89" s="80">
        <f>SUMIFS('декабрь 2024'!$G$5:$G$2311,'декабрь 2024'!$D$5:$D$2311,$B89,'декабрь 2024'!$J$5:$J$2311,E$1)</f>
        <v>0</v>
      </c>
      <c r="F89" s="80">
        <f>SUMIFS('декабрь 2024'!$G$5:$G$2311,'декабрь 2024'!$D$5:$D$2311,$B89,'декабрь 2024'!$J$5:$J$2311,F$1)</f>
        <v>0</v>
      </c>
      <c r="G89" s="80">
        <f>SUMIFS('декабрь 2024'!$G$5:$G$2311,'декабрь 2024'!$D$5:$D$2311,$B89,'декабрь 2024'!$J$5:$J$2311,G$1)</f>
        <v>0</v>
      </c>
      <c r="H89" s="80">
        <f>SUMIFS('декабрь 2024'!$G$5:$G$2311,'декабрь 2024'!$D$5:$D$2311,$B89,'декабрь 2024'!$J$5:$J$2311,H$1)</f>
        <v>0</v>
      </c>
      <c r="I89" s="80">
        <f>SUMIFS('декабрь 2024'!$G$5:$G$2311,'декабрь 2024'!$D$5:$D$2311,$B89,'декабрь 2024'!$J$5:$J$2311,I$1)</f>
        <v>0</v>
      </c>
      <c r="J89" s="80">
        <f>SUMIFS('декабрь 2024'!$G$5:$G$2311,'декабрь 2024'!$D$5:$D$2311,$B89,'декабрь 2024'!$J$5:$J$2311,J$1)</f>
        <v>0</v>
      </c>
      <c r="K89" s="80">
        <f>SUMIFS('декабрь 2024'!$G$5:$G$2311,'декабрь 2024'!$D$5:$D$2311,$B89,'декабрь 2024'!$J$5:$J$2311,K$1)</f>
        <v>0</v>
      </c>
      <c r="L89" s="80">
        <f>SUMIFS('декабрь 2024'!$G$5:$G$2311,'декабрь 2024'!$D$5:$D$2311,$B89,'декабрь 2024'!$J$5:$J$2311,L$1)</f>
        <v>0</v>
      </c>
      <c r="M89" s="80">
        <f>SUMIFS('декабрь 2024'!$G$5:$G$2311,'декабрь 2024'!$D$5:$D$2311,$B89,'декабрь 2024'!$J$5:$J$2311,M$1)</f>
        <v>0</v>
      </c>
      <c r="N89" s="80">
        <f>SUMIFS('декабрь 2024'!$G$5:$G$2311,'декабрь 2024'!$D$5:$D$2311,$B89,'декабрь 2024'!$J$5:$J$2311,N$1)</f>
        <v>0</v>
      </c>
      <c r="O89" s="80">
        <f>SUMIFS('декабрь 2024'!$G$5:$G$2311,'декабрь 2024'!$D$5:$D$2311,$B89,'декабрь 2024'!$J$5:$J$2311,O$1)</f>
        <v>0</v>
      </c>
      <c r="P89" s="80">
        <f>SUMIFS('декабрь 2024'!$G$5:$G$2311,'декабрь 2024'!$D$5:$D$2311,$B89,'декабрь 2024'!$J$5:$J$2311,P$1)</f>
        <v>0</v>
      </c>
      <c r="Q89" s="80">
        <f>SUMIFS('декабрь 2024'!$G$5:$G$2311,'декабрь 2024'!$D$5:$D$2311,$B89,'декабрь 2024'!$J$5:$J$2311,Q$1)</f>
        <v>0</v>
      </c>
      <c r="R89" s="80">
        <f>SUMIFS('декабрь 2024'!$G$5:$G$2311,'декабрь 2024'!$D$5:$D$2311,$B89,'декабрь 2024'!$J$5:$J$2311,R$1)</f>
        <v>0</v>
      </c>
      <c r="S89" s="80">
        <f>SUMIFS('декабрь 2024'!$G$5:$G$2311,'декабрь 2024'!$D$5:$D$2311,$B89,'декабрь 2024'!$J$5:$J$2311,S$1)</f>
        <v>0</v>
      </c>
      <c r="T89" s="80">
        <f>SUMIFS('декабрь 2024'!$G$5:$G$2311,'декабрь 2024'!$D$5:$D$2311,$B89,'декабрь 2024'!$J$5:$J$2311,T$1)</f>
        <v>0</v>
      </c>
      <c r="U89" s="80">
        <f>SUMIFS('декабрь 2024'!$G$5:$G$2311,'декабрь 2024'!$D$5:$D$2311,$B89,'декабрь 2024'!$J$5:$J$2311,U$1)</f>
        <v>0</v>
      </c>
      <c r="V89" s="80">
        <f>SUMIFS('декабрь 2024'!$G$5:$G$2311,'декабрь 2024'!$D$5:$D$2311,$B89,'декабрь 2024'!$J$5:$J$2311,V$1)</f>
        <v>0</v>
      </c>
      <c r="W89" s="80">
        <f>SUMIFS('декабрь 2024'!$G$5:$G$2311,'декабрь 2024'!$D$5:$D$2311,$B89,'декабрь 2024'!$J$5:$J$2311,W$1)</f>
        <v>0</v>
      </c>
      <c r="X89" s="80">
        <f>SUMIFS('декабрь 2024'!$G$5:$G$2311,'декабрь 2024'!$D$5:$D$2311,$B89,'декабрь 2024'!$J$5:$J$2311,X$1)</f>
        <v>0</v>
      </c>
      <c r="Y89" s="80">
        <f>SUMIFS('декабрь 2024'!$G$5:$G$2311,'декабрь 2024'!$D$5:$D$2311,$B89,'декабрь 2024'!$J$5:$J$2311,Y$1)</f>
        <v>0</v>
      </c>
      <c r="Z89" s="80">
        <f>SUMIFS('декабрь 2024'!$G$5:$G$2311,'декабрь 2024'!$D$5:$D$2311,$B89,'декабрь 2024'!$J$5:$J$2311,Z$1)</f>
        <v>0</v>
      </c>
      <c r="AA89" s="80">
        <f>SUMIFS('декабрь 2024'!$G$5:$G$2311,'декабрь 2024'!$D$5:$D$2311,$B89,'декабрь 2024'!$J$5:$J$2311,AA$1)</f>
        <v>0</v>
      </c>
      <c r="AB89" s="80">
        <f>SUMIFS('декабрь 2024'!$G$5:$G$2311,'декабрь 2024'!$D$5:$D$2311,$B89,'декабрь 2024'!$J$5:$J$2311,AB$1)</f>
        <v>0</v>
      </c>
      <c r="AC89" s="80">
        <f>SUMIFS('декабрь 2024'!$G$5:$G$2311,'декабрь 2024'!$D$5:$D$2311,$B89,'декабрь 2024'!$J$5:$J$2311,AC$1)</f>
        <v>0</v>
      </c>
      <c r="AD89" s="80">
        <f>SUMIFS('декабрь 2024'!$G$5:$G$2311,'декабрь 2024'!$D$5:$D$2311,$B89,'декабрь 2024'!$J$5:$J$2311,AD$1)</f>
        <v>0</v>
      </c>
      <c r="AE89" s="80">
        <f>SUMIFS('декабрь 2024'!$G$5:$G$2311,'декабрь 2024'!$D$5:$D$2311,$B89,'декабрь 2024'!$J$5:$J$2311,AE$1)</f>
        <v>0</v>
      </c>
      <c r="AF89" s="80">
        <f>SUMIFS('декабрь 2024'!$G$5:$G$2311,'декабрь 2024'!$D$5:$D$2311,$B89,'декабрь 2024'!$J$5:$J$2311,AF$1)</f>
        <v>0</v>
      </c>
      <c r="AG89" s="80">
        <f>SUMIFS('декабрь 2024'!$G$5:$G$2311,'декабрь 2024'!$D$5:$D$2311,$B89,'декабрь 2024'!$J$5:$J$2311,AG$1)</f>
        <v>0</v>
      </c>
      <c r="AH89" s="80">
        <f>SUMIFS('декабрь 2024'!$G$5:$G$2311,'декабрь 2024'!$D$5:$D$2311,$B89,'декабрь 2024'!$J$5:$J$2311,AH$1)</f>
        <v>0</v>
      </c>
      <c r="AI89" s="21">
        <f t="shared" si="1"/>
        <v>0</v>
      </c>
    </row>
    <row r="90" spans="2:35" ht="15" customHeight="1" x14ac:dyDescent="0.25">
      <c r="B90" s="93" t="s">
        <v>192</v>
      </c>
      <c r="C90" s="91">
        <v>180</v>
      </c>
      <c r="D90" s="80">
        <f>SUMIFS('декабрь 2024'!$G$5:$G$2311,'декабрь 2024'!$D$5:$D$2311,$B90,'декабрь 2024'!$J$5:$J$2311,D$1)</f>
        <v>0</v>
      </c>
      <c r="E90" s="80">
        <f>SUMIFS('декабрь 2024'!$G$5:$G$2311,'декабрь 2024'!$D$5:$D$2311,$B90,'декабрь 2024'!$J$5:$J$2311,E$1)</f>
        <v>0</v>
      </c>
      <c r="F90" s="80">
        <f>SUMIFS('декабрь 2024'!$G$5:$G$2311,'декабрь 2024'!$D$5:$D$2311,$B90,'декабрь 2024'!$J$5:$J$2311,F$1)</f>
        <v>0</v>
      </c>
      <c r="G90" s="80">
        <f>SUMIFS('декабрь 2024'!$G$5:$G$2311,'декабрь 2024'!$D$5:$D$2311,$B90,'декабрь 2024'!$J$5:$J$2311,G$1)</f>
        <v>0</v>
      </c>
      <c r="H90" s="80">
        <f>SUMIFS('декабрь 2024'!$G$5:$G$2311,'декабрь 2024'!$D$5:$D$2311,$B90,'декабрь 2024'!$J$5:$J$2311,H$1)</f>
        <v>0</v>
      </c>
      <c r="I90" s="80">
        <f>SUMIFS('декабрь 2024'!$G$5:$G$2311,'декабрь 2024'!$D$5:$D$2311,$B90,'декабрь 2024'!$J$5:$J$2311,I$1)</f>
        <v>0</v>
      </c>
      <c r="J90" s="80">
        <f>SUMIFS('декабрь 2024'!$G$5:$G$2311,'декабрь 2024'!$D$5:$D$2311,$B90,'декабрь 2024'!$J$5:$J$2311,J$1)</f>
        <v>0</v>
      </c>
      <c r="K90" s="80">
        <f>SUMIFS('декабрь 2024'!$G$5:$G$2311,'декабрь 2024'!$D$5:$D$2311,$B90,'декабрь 2024'!$J$5:$J$2311,K$1)</f>
        <v>0</v>
      </c>
      <c r="L90" s="80">
        <f>SUMIFS('декабрь 2024'!$G$5:$G$2311,'декабрь 2024'!$D$5:$D$2311,$B90,'декабрь 2024'!$J$5:$J$2311,L$1)</f>
        <v>0</v>
      </c>
      <c r="M90" s="80">
        <f>SUMIFS('декабрь 2024'!$G$5:$G$2311,'декабрь 2024'!$D$5:$D$2311,$B90,'декабрь 2024'!$J$5:$J$2311,M$1)</f>
        <v>0</v>
      </c>
      <c r="N90" s="80">
        <f>SUMIFS('декабрь 2024'!$G$5:$G$2311,'декабрь 2024'!$D$5:$D$2311,$B90,'декабрь 2024'!$J$5:$J$2311,N$1)</f>
        <v>0</v>
      </c>
      <c r="O90" s="80">
        <f>SUMIFS('декабрь 2024'!$G$5:$G$2311,'декабрь 2024'!$D$5:$D$2311,$B90,'декабрь 2024'!$J$5:$J$2311,O$1)</f>
        <v>0</v>
      </c>
      <c r="P90" s="80">
        <f>SUMIFS('декабрь 2024'!$G$5:$G$2311,'декабрь 2024'!$D$5:$D$2311,$B90,'декабрь 2024'!$J$5:$J$2311,P$1)</f>
        <v>0</v>
      </c>
      <c r="Q90" s="80">
        <f>SUMIFS('декабрь 2024'!$G$5:$G$2311,'декабрь 2024'!$D$5:$D$2311,$B90,'декабрь 2024'!$J$5:$J$2311,Q$1)</f>
        <v>0</v>
      </c>
      <c r="R90" s="80">
        <f>SUMIFS('декабрь 2024'!$G$5:$G$2311,'декабрь 2024'!$D$5:$D$2311,$B90,'декабрь 2024'!$J$5:$J$2311,R$1)</f>
        <v>0</v>
      </c>
      <c r="S90" s="80">
        <f>SUMIFS('декабрь 2024'!$G$5:$G$2311,'декабрь 2024'!$D$5:$D$2311,$B90,'декабрь 2024'!$J$5:$J$2311,S$1)</f>
        <v>0</v>
      </c>
      <c r="T90" s="80">
        <f>SUMIFS('декабрь 2024'!$G$5:$G$2311,'декабрь 2024'!$D$5:$D$2311,$B90,'декабрь 2024'!$J$5:$J$2311,T$1)</f>
        <v>0</v>
      </c>
      <c r="U90" s="80">
        <f>SUMIFS('декабрь 2024'!$G$5:$G$2311,'декабрь 2024'!$D$5:$D$2311,$B90,'декабрь 2024'!$J$5:$J$2311,U$1)</f>
        <v>0</v>
      </c>
      <c r="V90" s="80">
        <f>SUMIFS('декабрь 2024'!$G$5:$G$2311,'декабрь 2024'!$D$5:$D$2311,$B90,'декабрь 2024'!$J$5:$J$2311,V$1)</f>
        <v>0</v>
      </c>
      <c r="W90" s="80">
        <f>SUMIFS('декабрь 2024'!$G$5:$G$2311,'декабрь 2024'!$D$5:$D$2311,$B90,'декабрь 2024'!$J$5:$J$2311,W$1)</f>
        <v>0</v>
      </c>
      <c r="X90" s="80">
        <f>SUMIFS('декабрь 2024'!$G$5:$G$2311,'декабрь 2024'!$D$5:$D$2311,$B90,'декабрь 2024'!$J$5:$J$2311,X$1)</f>
        <v>0</v>
      </c>
      <c r="Y90" s="80">
        <f>SUMIFS('декабрь 2024'!$G$5:$G$2311,'декабрь 2024'!$D$5:$D$2311,$B90,'декабрь 2024'!$J$5:$J$2311,Y$1)</f>
        <v>0</v>
      </c>
      <c r="Z90" s="80">
        <f>SUMIFS('декабрь 2024'!$G$5:$G$2311,'декабрь 2024'!$D$5:$D$2311,$B90,'декабрь 2024'!$J$5:$J$2311,Z$1)</f>
        <v>0</v>
      </c>
      <c r="AA90" s="80">
        <f>SUMIFS('декабрь 2024'!$G$5:$G$2311,'декабрь 2024'!$D$5:$D$2311,$B90,'декабрь 2024'!$J$5:$J$2311,AA$1)</f>
        <v>0</v>
      </c>
      <c r="AB90" s="80">
        <f>SUMIFS('декабрь 2024'!$G$5:$G$2311,'декабрь 2024'!$D$5:$D$2311,$B90,'декабрь 2024'!$J$5:$J$2311,AB$1)</f>
        <v>0</v>
      </c>
      <c r="AC90" s="80">
        <f>SUMIFS('декабрь 2024'!$G$5:$G$2311,'декабрь 2024'!$D$5:$D$2311,$B90,'декабрь 2024'!$J$5:$J$2311,AC$1)</f>
        <v>0</v>
      </c>
      <c r="AD90" s="80">
        <f>SUMIFS('декабрь 2024'!$G$5:$G$2311,'декабрь 2024'!$D$5:$D$2311,$B90,'декабрь 2024'!$J$5:$J$2311,AD$1)</f>
        <v>0</v>
      </c>
      <c r="AE90" s="80">
        <f>SUMIFS('декабрь 2024'!$G$5:$G$2311,'декабрь 2024'!$D$5:$D$2311,$B90,'декабрь 2024'!$J$5:$J$2311,AE$1)</f>
        <v>0</v>
      </c>
      <c r="AF90" s="80">
        <f>SUMIFS('декабрь 2024'!$G$5:$G$2311,'декабрь 2024'!$D$5:$D$2311,$B90,'декабрь 2024'!$J$5:$J$2311,AF$1)</f>
        <v>0</v>
      </c>
      <c r="AG90" s="80">
        <f>SUMIFS('декабрь 2024'!$G$5:$G$2311,'декабрь 2024'!$D$5:$D$2311,$B90,'декабрь 2024'!$J$5:$J$2311,AG$1)</f>
        <v>0</v>
      </c>
      <c r="AH90" s="80">
        <f>SUMIFS('декабрь 2024'!$G$5:$G$2311,'декабрь 2024'!$D$5:$D$2311,$B90,'декабрь 2024'!$J$5:$J$2311,AH$1)</f>
        <v>0</v>
      </c>
      <c r="AI90" s="21">
        <f t="shared" si="1"/>
        <v>0</v>
      </c>
    </row>
    <row r="91" spans="2:35" ht="15" customHeight="1" x14ac:dyDescent="0.25">
      <c r="B91" s="93" t="s">
        <v>887</v>
      </c>
      <c r="C91" s="91">
        <v>190</v>
      </c>
      <c r="D91" s="80">
        <f>SUMIFS('декабрь 2024'!$G$5:$G$2311,'декабрь 2024'!$D$5:$D$2311,$B91,'декабрь 2024'!$J$5:$J$2311,D$1)</f>
        <v>0</v>
      </c>
      <c r="E91" s="80">
        <f>SUMIFS('декабрь 2024'!$G$5:$G$2311,'декабрь 2024'!$D$5:$D$2311,$B91,'декабрь 2024'!$J$5:$J$2311,E$1)</f>
        <v>0</v>
      </c>
      <c r="F91" s="80">
        <f>SUMIFS('декабрь 2024'!$G$5:$G$2311,'декабрь 2024'!$D$5:$D$2311,$B91,'декабрь 2024'!$J$5:$J$2311,F$1)</f>
        <v>0</v>
      </c>
      <c r="G91" s="80">
        <f>SUMIFS('декабрь 2024'!$G$5:$G$2311,'декабрь 2024'!$D$5:$D$2311,$B91,'декабрь 2024'!$J$5:$J$2311,G$1)</f>
        <v>0</v>
      </c>
      <c r="H91" s="80">
        <f>SUMIFS('декабрь 2024'!$G$5:$G$2311,'декабрь 2024'!$D$5:$D$2311,$B91,'декабрь 2024'!$J$5:$J$2311,H$1)</f>
        <v>0</v>
      </c>
      <c r="I91" s="80">
        <f>SUMIFS('декабрь 2024'!$G$5:$G$2311,'декабрь 2024'!$D$5:$D$2311,$B91,'декабрь 2024'!$J$5:$J$2311,I$1)</f>
        <v>0</v>
      </c>
      <c r="J91" s="80">
        <f>SUMIFS('декабрь 2024'!$G$5:$G$2311,'декабрь 2024'!$D$5:$D$2311,$B91,'декабрь 2024'!$J$5:$J$2311,J$1)</f>
        <v>0</v>
      </c>
      <c r="K91" s="80">
        <f>SUMIFS('декабрь 2024'!$G$5:$G$2311,'декабрь 2024'!$D$5:$D$2311,$B91,'декабрь 2024'!$J$5:$J$2311,K$1)</f>
        <v>0</v>
      </c>
      <c r="L91" s="80">
        <f>SUMIFS('декабрь 2024'!$G$5:$G$2311,'декабрь 2024'!$D$5:$D$2311,$B91,'декабрь 2024'!$J$5:$J$2311,L$1)</f>
        <v>0</v>
      </c>
      <c r="M91" s="80">
        <f>SUMIFS('декабрь 2024'!$G$5:$G$2311,'декабрь 2024'!$D$5:$D$2311,$B91,'декабрь 2024'!$J$5:$J$2311,M$1)</f>
        <v>0</v>
      </c>
      <c r="N91" s="80">
        <f>SUMIFS('декабрь 2024'!$G$5:$G$2311,'декабрь 2024'!$D$5:$D$2311,$B91,'декабрь 2024'!$J$5:$J$2311,N$1)</f>
        <v>0</v>
      </c>
      <c r="O91" s="80">
        <f>SUMIFS('декабрь 2024'!$G$5:$G$2311,'декабрь 2024'!$D$5:$D$2311,$B91,'декабрь 2024'!$J$5:$J$2311,O$1)</f>
        <v>0</v>
      </c>
      <c r="P91" s="80">
        <f>SUMIFS('декабрь 2024'!$G$5:$G$2311,'декабрь 2024'!$D$5:$D$2311,$B91,'декабрь 2024'!$J$5:$J$2311,P$1)</f>
        <v>0</v>
      </c>
      <c r="Q91" s="80">
        <f>SUMIFS('декабрь 2024'!$G$5:$G$2311,'декабрь 2024'!$D$5:$D$2311,$B91,'декабрь 2024'!$J$5:$J$2311,Q$1)</f>
        <v>0</v>
      </c>
      <c r="R91" s="80">
        <f>SUMIFS('декабрь 2024'!$G$5:$G$2311,'декабрь 2024'!$D$5:$D$2311,$B91,'декабрь 2024'!$J$5:$J$2311,R$1)</f>
        <v>0</v>
      </c>
      <c r="S91" s="80">
        <f>SUMIFS('декабрь 2024'!$G$5:$G$2311,'декабрь 2024'!$D$5:$D$2311,$B91,'декабрь 2024'!$J$5:$J$2311,S$1)</f>
        <v>0</v>
      </c>
      <c r="T91" s="80">
        <f>SUMIFS('декабрь 2024'!$G$5:$G$2311,'декабрь 2024'!$D$5:$D$2311,$B91,'декабрь 2024'!$J$5:$J$2311,T$1)</f>
        <v>0</v>
      </c>
      <c r="U91" s="80">
        <f>SUMIFS('декабрь 2024'!$G$5:$G$2311,'декабрь 2024'!$D$5:$D$2311,$B91,'декабрь 2024'!$J$5:$J$2311,U$1)</f>
        <v>0</v>
      </c>
      <c r="V91" s="80">
        <f>SUMIFS('декабрь 2024'!$G$5:$G$2311,'декабрь 2024'!$D$5:$D$2311,$B91,'декабрь 2024'!$J$5:$J$2311,V$1)</f>
        <v>0</v>
      </c>
      <c r="W91" s="80">
        <f>SUMIFS('декабрь 2024'!$G$5:$G$2311,'декабрь 2024'!$D$5:$D$2311,$B91,'декабрь 2024'!$J$5:$J$2311,W$1)</f>
        <v>0</v>
      </c>
      <c r="X91" s="80">
        <f>SUMIFS('декабрь 2024'!$G$5:$G$2311,'декабрь 2024'!$D$5:$D$2311,$B91,'декабрь 2024'!$J$5:$J$2311,X$1)</f>
        <v>0</v>
      </c>
      <c r="Y91" s="80">
        <f>SUMIFS('декабрь 2024'!$G$5:$G$2311,'декабрь 2024'!$D$5:$D$2311,$B91,'декабрь 2024'!$J$5:$J$2311,Y$1)</f>
        <v>0</v>
      </c>
      <c r="Z91" s="80">
        <f>SUMIFS('декабрь 2024'!$G$5:$G$2311,'декабрь 2024'!$D$5:$D$2311,$B91,'декабрь 2024'!$J$5:$J$2311,Z$1)</f>
        <v>0</v>
      </c>
      <c r="AA91" s="80">
        <f>SUMIFS('декабрь 2024'!$G$5:$G$2311,'декабрь 2024'!$D$5:$D$2311,$B91,'декабрь 2024'!$J$5:$J$2311,AA$1)</f>
        <v>0</v>
      </c>
      <c r="AB91" s="80">
        <f>SUMIFS('декабрь 2024'!$G$5:$G$2311,'декабрь 2024'!$D$5:$D$2311,$B91,'декабрь 2024'!$J$5:$J$2311,AB$1)</f>
        <v>0</v>
      </c>
      <c r="AC91" s="80">
        <f>SUMIFS('декабрь 2024'!$G$5:$G$2311,'декабрь 2024'!$D$5:$D$2311,$B91,'декабрь 2024'!$J$5:$J$2311,AC$1)</f>
        <v>0</v>
      </c>
      <c r="AD91" s="80">
        <f>SUMIFS('декабрь 2024'!$G$5:$G$2311,'декабрь 2024'!$D$5:$D$2311,$B91,'декабрь 2024'!$J$5:$J$2311,AD$1)</f>
        <v>0</v>
      </c>
      <c r="AE91" s="80">
        <f>SUMIFS('декабрь 2024'!$G$5:$G$2311,'декабрь 2024'!$D$5:$D$2311,$B91,'декабрь 2024'!$J$5:$J$2311,AE$1)</f>
        <v>0</v>
      </c>
      <c r="AF91" s="80">
        <f>SUMIFS('декабрь 2024'!$G$5:$G$2311,'декабрь 2024'!$D$5:$D$2311,$B91,'декабрь 2024'!$J$5:$J$2311,AF$1)</f>
        <v>0</v>
      </c>
      <c r="AG91" s="80">
        <f>SUMIFS('декабрь 2024'!$G$5:$G$2311,'декабрь 2024'!$D$5:$D$2311,$B91,'декабрь 2024'!$J$5:$J$2311,AG$1)</f>
        <v>0</v>
      </c>
      <c r="AH91" s="80">
        <f>SUMIFS('декабрь 2024'!$G$5:$G$2311,'декабрь 2024'!$D$5:$D$2311,$B91,'декабрь 2024'!$J$5:$J$2311,AH$1)</f>
        <v>0</v>
      </c>
      <c r="AI91" s="21">
        <f t="shared" si="1"/>
        <v>0</v>
      </c>
    </row>
    <row r="92" spans="2:35" ht="15" customHeight="1" x14ac:dyDescent="0.25">
      <c r="B92" s="93" t="s">
        <v>1286</v>
      </c>
      <c r="C92" s="91">
        <v>190</v>
      </c>
      <c r="D92" s="80">
        <f>SUMIFS('декабрь 2024'!$G$5:$G$2311,'декабрь 2024'!$D$5:$D$2311,$B92,'декабрь 2024'!$J$5:$J$2311,D$1)</f>
        <v>0</v>
      </c>
      <c r="E92" s="80">
        <f>SUMIFS('декабрь 2024'!$G$5:$G$2311,'декабрь 2024'!$D$5:$D$2311,$B92,'декабрь 2024'!$J$5:$J$2311,E$1)</f>
        <v>0</v>
      </c>
      <c r="F92" s="80">
        <f>SUMIFS('декабрь 2024'!$G$5:$G$2311,'декабрь 2024'!$D$5:$D$2311,$B92,'декабрь 2024'!$J$5:$J$2311,F$1)</f>
        <v>0</v>
      </c>
      <c r="G92" s="80">
        <f>SUMIFS('декабрь 2024'!$G$5:$G$2311,'декабрь 2024'!$D$5:$D$2311,$B92,'декабрь 2024'!$J$5:$J$2311,G$1)</f>
        <v>0</v>
      </c>
      <c r="H92" s="80">
        <f>SUMIFS('декабрь 2024'!$G$5:$G$2311,'декабрь 2024'!$D$5:$D$2311,$B92,'декабрь 2024'!$J$5:$J$2311,H$1)</f>
        <v>0</v>
      </c>
      <c r="I92" s="80">
        <f>SUMIFS('декабрь 2024'!$G$5:$G$2311,'декабрь 2024'!$D$5:$D$2311,$B92,'декабрь 2024'!$J$5:$J$2311,I$1)</f>
        <v>0</v>
      </c>
      <c r="J92" s="80">
        <f>SUMIFS('декабрь 2024'!$G$5:$G$2311,'декабрь 2024'!$D$5:$D$2311,$B92,'декабрь 2024'!$J$5:$J$2311,J$1)</f>
        <v>0</v>
      </c>
      <c r="K92" s="80">
        <f>SUMIFS('декабрь 2024'!$G$5:$G$2311,'декабрь 2024'!$D$5:$D$2311,$B92,'декабрь 2024'!$J$5:$J$2311,K$1)</f>
        <v>0</v>
      </c>
      <c r="L92" s="80">
        <f>SUMIFS('декабрь 2024'!$G$5:$G$2311,'декабрь 2024'!$D$5:$D$2311,$B92,'декабрь 2024'!$J$5:$J$2311,L$1)</f>
        <v>0</v>
      </c>
      <c r="M92" s="80">
        <f>SUMIFS('декабрь 2024'!$G$5:$G$2311,'декабрь 2024'!$D$5:$D$2311,$B92,'декабрь 2024'!$J$5:$J$2311,M$1)</f>
        <v>0</v>
      </c>
      <c r="N92" s="80">
        <f>SUMIFS('декабрь 2024'!$G$5:$G$2311,'декабрь 2024'!$D$5:$D$2311,$B92,'декабрь 2024'!$J$5:$J$2311,N$1)</f>
        <v>0</v>
      </c>
      <c r="O92" s="80">
        <f>SUMIFS('декабрь 2024'!$G$5:$G$2311,'декабрь 2024'!$D$5:$D$2311,$B92,'декабрь 2024'!$J$5:$J$2311,O$1)</f>
        <v>0</v>
      </c>
      <c r="P92" s="80">
        <f>SUMIFS('декабрь 2024'!$G$5:$G$2311,'декабрь 2024'!$D$5:$D$2311,$B92,'декабрь 2024'!$J$5:$J$2311,P$1)</f>
        <v>0</v>
      </c>
      <c r="Q92" s="80">
        <f>SUMIFS('декабрь 2024'!$G$5:$G$2311,'декабрь 2024'!$D$5:$D$2311,$B92,'декабрь 2024'!$J$5:$J$2311,Q$1)</f>
        <v>0</v>
      </c>
      <c r="R92" s="80">
        <f>SUMIFS('декабрь 2024'!$G$5:$G$2311,'декабрь 2024'!$D$5:$D$2311,$B92,'декабрь 2024'!$J$5:$J$2311,R$1)</f>
        <v>0</v>
      </c>
      <c r="S92" s="80">
        <f>SUMIFS('декабрь 2024'!$G$5:$G$2311,'декабрь 2024'!$D$5:$D$2311,$B92,'декабрь 2024'!$J$5:$J$2311,S$1)</f>
        <v>0</v>
      </c>
      <c r="T92" s="80">
        <f>SUMIFS('декабрь 2024'!$G$5:$G$2311,'декабрь 2024'!$D$5:$D$2311,$B92,'декабрь 2024'!$J$5:$J$2311,T$1)</f>
        <v>0</v>
      </c>
      <c r="U92" s="80">
        <f>SUMIFS('декабрь 2024'!$G$5:$G$2311,'декабрь 2024'!$D$5:$D$2311,$B92,'декабрь 2024'!$J$5:$J$2311,U$1)</f>
        <v>0</v>
      </c>
      <c r="V92" s="80">
        <f>SUMIFS('декабрь 2024'!$G$5:$G$2311,'декабрь 2024'!$D$5:$D$2311,$B92,'декабрь 2024'!$J$5:$J$2311,V$1)</f>
        <v>0</v>
      </c>
      <c r="W92" s="80">
        <f>SUMIFS('декабрь 2024'!$G$5:$G$2311,'декабрь 2024'!$D$5:$D$2311,$B92,'декабрь 2024'!$J$5:$J$2311,W$1)</f>
        <v>0</v>
      </c>
      <c r="X92" s="80">
        <f>SUMIFS('декабрь 2024'!$G$5:$G$2311,'декабрь 2024'!$D$5:$D$2311,$B92,'декабрь 2024'!$J$5:$J$2311,X$1)</f>
        <v>0</v>
      </c>
      <c r="Y92" s="80">
        <f>SUMIFS('декабрь 2024'!$G$5:$G$2311,'декабрь 2024'!$D$5:$D$2311,$B92,'декабрь 2024'!$J$5:$J$2311,Y$1)</f>
        <v>0</v>
      </c>
      <c r="Z92" s="80">
        <f>SUMIFS('декабрь 2024'!$G$5:$G$2311,'декабрь 2024'!$D$5:$D$2311,$B92,'декабрь 2024'!$J$5:$J$2311,Z$1)</f>
        <v>0</v>
      </c>
      <c r="AA92" s="80">
        <f>SUMIFS('декабрь 2024'!$G$5:$G$2311,'декабрь 2024'!$D$5:$D$2311,$B92,'декабрь 2024'!$J$5:$J$2311,AA$1)</f>
        <v>0</v>
      </c>
      <c r="AB92" s="80">
        <f>SUMIFS('декабрь 2024'!$G$5:$G$2311,'декабрь 2024'!$D$5:$D$2311,$B92,'декабрь 2024'!$J$5:$J$2311,AB$1)</f>
        <v>0</v>
      </c>
      <c r="AC92" s="80">
        <f>SUMIFS('декабрь 2024'!$G$5:$G$2311,'декабрь 2024'!$D$5:$D$2311,$B92,'декабрь 2024'!$J$5:$J$2311,AC$1)</f>
        <v>0</v>
      </c>
      <c r="AD92" s="80">
        <f>SUMIFS('декабрь 2024'!$G$5:$G$2311,'декабрь 2024'!$D$5:$D$2311,$B92,'декабрь 2024'!$J$5:$J$2311,AD$1)</f>
        <v>0</v>
      </c>
      <c r="AE92" s="80">
        <f>SUMIFS('декабрь 2024'!$G$5:$G$2311,'декабрь 2024'!$D$5:$D$2311,$B92,'декабрь 2024'!$J$5:$J$2311,AE$1)</f>
        <v>0</v>
      </c>
      <c r="AF92" s="80">
        <f>SUMIFS('декабрь 2024'!$G$5:$G$2311,'декабрь 2024'!$D$5:$D$2311,$B92,'декабрь 2024'!$J$5:$J$2311,AF$1)</f>
        <v>0</v>
      </c>
      <c r="AG92" s="80">
        <f>SUMIFS('декабрь 2024'!$G$5:$G$2311,'декабрь 2024'!$D$5:$D$2311,$B92,'декабрь 2024'!$J$5:$J$2311,AG$1)</f>
        <v>0</v>
      </c>
      <c r="AH92" s="80">
        <f>SUMIFS('декабрь 2024'!$G$5:$G$2311,'декабрь 2024'!$D$5:$D$2311,$B92,'декабрь 2024'!$J$5:$J$2311,AH$1)</f>
        <v>0</v>
      </c>
      <c r="AI92" s="21">
        <f t="shared" si="1"/>
        <v>0</v>
      </c>
    </row>
    <row r="93" spans="2:35" ht="15" customHeight="1" x14ac:dyDescent="0.25">
      <c r="B93" s="93" t="s">
        <v>399</v>
      </c>
      <c r="C93" s="91">
        <v>190</v>
      </c>
      <c r="D93" s="80">
        <f>SUMIFS('декабрь 2024'!$G$5:$G$2311,'декабрь 2024'!$D$5:$D$2311,$B93,'декабрь 2024'!$J$5:$J$2311,D$1)</f>
        <v>0</v>
      </c>
      <c r="E93" s="80">
        <f>SUMIFS('декабрь 2024'!$G$5:$G$2311,'декабрь 2024'!$D$5:$D$2311,$B93,'декабрь 2024'!$J$5:$J$2311,E$1)</f>
        <v>0</v>
      </c>
      <c r="F93" s="80">
        <f>SUMIFS('декабрь 2024'!$G$5:$G$2311,'декабрь 2024'!$D$5:$D$2311,$B93,'декабрь 2024'!$J$5:$J$2311,F$1)</f>
        <v>0</v>
      </c>
      <c r="G93" s="80">
        <f>SUMIFS('декабрь 2024'!$G$5:$G$2311,'декабрь 2024'!$D$5:$D$2311,$B93,'декабрь 2024'!$J$5:$J$2311,G$1)</f>
        <v>0</v>
      </c>
      <c r="H93" s="80">
        <f>SUMIFS('декабрь 2024'!$G$5:$G$2311,'декабрь 2024'!$D$5:$D$2311,$B93,'декабрь 2024'!$J$5:$J$2311,H$1)</f>
        <v>0</v>
      </c>
      <c r="I93" s="80">
        <f>SUMIFS('декабрь 2024'!$G$5:$G$2311,'декабрь 2024'!$D$5:$D$2311,$B93,'декабрь 2024'!$J$5:$J$2311,I$1)</f>
        <v>0</v>
      </c>
      <c r="J93" s="80">
        <f>SUMIFS('декабрь 2024'!$G$5:$G$2311,'декабрь 2024'!$D$5:$D$2311,$B93,'декабрь 2024'!$J$5:$J$2311,J$1)</f>
        <v>0</v>
      </c>
      <c r="K93" s="80">
        <f>SUMIFS('декабрь 2024'!$G$5:$G$2311,'декабрь 2024'!$D$5:$D$2311,$B93,'декабрь 2024'!$J$5:$J$2311,K$1)</f>
        <v>0</v>
      </c>
      <c r="L93" s="80">
        <f>SUMIFS('декабрь 2024'!$G$5:$G$2311,'декабрь 2024'!$D$5:$D$2311,$B93,'декабрь 2024'!$J$5:$J$2311,L$1)</f>
        <v>0</v>
      </c>
      <c r="M93" s="80">
        <f>SUMIFS('декабрь 2024'!$G$5:$G$2311,'декабрь 2024'!$D$5:$D$2311,$B93,'декабрь 2024'!$J$5:$J$2311,M$1)</f>
        <v>0</v>
      </c>
      <c r="N93" s="80">
        <f>SUMIFS('декабрь 2024'!$G$5:$G$2311,'декабрь 2024'!$D$5:$D$2311,$B93,'декабрь 2024'!$J$5:$J$2311,N$1)</f>
        <v>0</v>
      </c>
      <c r="O93" s="80">
        <f>SUMIFS('декабрь 2024'!$G$5:$G$2311,'декабрь 2024'!$D$5:$D$2311,$B93,'декабрь 2024'!$J$5:$J$2311,O$1)</f>
        <v>0</v>
      </c>
      <c r="P93" s="80">
        <f>SUMIFS('декабрь 2024'!$G$5:$G$2311,'декабрь 2024'!$D$5:$D$2311,$B93,'декабрь 2024'!$J$5:$J$2311,P$1)</f>
        <v>0</v>
      </c>
      <c r="Q93" s="80">
        <f>SUMIFS('декабрь 2024'!$G$5:$G$2311,'декабрь 2024'!$D$5:$D$2311,$B93,'декабрь 2024'!$J$5:$J$2311,Q$1)</f>
        <v>0</v>
      </c>
      <c r="R93" s="80">
        <f>SUMIFS('декабрь 2024'!$G$5:$G$2311,'декабрь 2024'!$D$5:$D$2311,$B93,'декабрь 2024'!$J$5:$J$2311,R$1)</f>
        <v>0</v>
      </c>
      <c r="S93" s="80">
        <f>SUMIFS('декабрь 2024'!$G$5:$G$2311,'декабрь 2024'!$D$5:$D$2311,$B93,'декабрь 2024'!$J$5:$J$2311,S$1)</f>
        <v>0</v>
      </c>
      <c r="T93" s="80">
        <f>SUMIFS('декабрь 2024'!$G$5:$G$2311,'декабрь 2024'!$D$5:$D$2311,$B93,'декабрь 2024'!$J$5:$J$2311,T$1)</f>
        <v>0</v>
      </c>
      <c r="U93" s="80">
        <f>SUMIFS('декабрь 2024'!$G$5:$G$2311,'декабрь 2024'!$D$5:$D$2311,$B93,'декабрь 2024'!$J$5:$J$2311,U$1)</f>
        <v>0</v>
      </c>
      <c r="V93" s="80">
        <f>SUMIFS('декабрь 2024'!$G$5:$G$2311,'декабрь 2024'!$D$5:$D$2311,$B93,'декабрь 2024'!$J$5:$J$2311,V$1)</f>
        <v>0</v>
      </c>
      <c r="W93" s="80">
        <f>SUMIFS('декабрь 2024'!$G$5:$G$2311,'декабрь 2024'!$D$5:$D$2311,$B93,'декабрь 2024'!$J$5:$J$2311,W$1)</f>
        <v>0</v>
      </c>
      <c r="X93" s="80">
        <f>SUMIFS('декабрь 2024'!$G$5:$G$2311,'декабрь 2024'!$D$5:$D$2311,$B93,'декабрь 2024'!$J$5:$J$2311,X$1)</f>
        <v>0</v>
      </c>
      <c r="Y93" s="80">
        <f>SUMIFS('декабрь 2024'!$G$5:$G$2311,'декабрь 2024'!$D$5:$D$2311,$B93,'декабрь 2024'!$J$5:$J$2311,Y$1)</f>
        <v>0</v>
      </c>
      <c r="Z93" s="80">
        <f>SUMIFS('декабрь 2024'!$G$5:$G$2311,'декабрь 2024'!$D$5:$D$2311,$B93,'декабрь 2024'!$J$5:$J$2311,Z$1)</f>
        <v>0</v>
      </c>
      <c r="AA93" s="80">
        <f>SUMIFS('декабрь 2024'!$G$5:$G$2311,'декабрь 2024'!$D$5:$D$2311,$B93,'декабрь 2024'!$J$5:$J$2311,AA$1)</f>
        <v>0</v>
      </c>
      <c r="AB93" s="80">
        <f>SUMIFS('декабрь 2024'!$G$5:$G$2311,'декабрь 2024'!$D$5:$D$2311,$B93,'декабрь 2024'!$J$5:$J$2311,AB$1)</f>
        <v>0</v>
      </c>
      <c r="AC93" s="80">
        <f>SUMIFS('декабрь 2024'!$G$5:$G$2311,'декабрь 2024'!$D$5:$D$2311,$B93,'декабрь 2024'!$J$5:$J$2311,AC$1)</f>
        <v>0</v>
      </c>
      <c r="AD93" s="80">
        <f>SUMIFS('декабрь 2024'!$G$5:$G$2311,'декабрь 2024'!$D$5:$D$2311,$B93,'декабрь 2024'!$J$5:$J$2311,AD$1)</f>
        <v>0</v>
      </c>
      <c r="AE93" s="80">
        <f>SUMIFS('декабрь 2024'!$G$5:$G$2311,'декабрь 2024'!$D$5:$D$2311,$B93,'декабрь 2024'!$J$5:$J$2311,AE$1)</f>
        <v>0</v>
      </c>
      <c r="AF93" s="80">
        <f>SUMIFS('декабрь 2024'!$G$5:$G$2311,'декабрь 2024'!$D$5:$D$2311,$B93,'декабрь 2024'!$J$5:$J$2311,AF$1)</f>
        <v>0</v>
      </c>
      <c r="AG93" s="80">
        <f>SUMIFS('декабрь 2024'!$G$5:$G$2311,'декабрь 2024'!$D$5:$D$2311,$B93,'декабрь 2024'!$J$5:$J$2311,AG$1)</f>
        <v>0</v>
      </c>
      <c r="AH93" s="80">
        <f>SUMIFS('декабрь 2024'!$G$5:$G$2311,'декабрь 2024'!$D$5:$D$2311,$B93,'декабрь 2024'!$J$5:$J$2311,AH$1)</f>
        <v>0</v>
      </c>
      <c r="AI93" s="21">
        <f t="shared" si="1"/>
        <v>0</v>
      </c>
    </row>
    <row r="94" spans="2:35" ht="15" customHeight="1" x14ac:dyDescent="0.25">
      <c r="B94" s="93" t="s">
        <v>322</v>
      </c>
      <c r="C94" s="91">
        <v>180</v>
      </c>
      <c r="D94" s="80">
        <f>SUMIFS('декабрь 2024'!$G$5:$G$2311,'декабрь 2024'!$D$5:$D$2311,$B94,'декабрь 2024'!$J$5:$J$2311,D$1)</f>
        <v>0</v>
      </c>
      <c r="E94" s="80">
        <f>SUMIFS('декабрь 2024'!$G$5:$G$2311,'декабрь 2024'!$D$5:$D$2311,$B94,'декабрь 2024'!$J$5:$J$2311,E$1)</f>
        <v>0</v>
      </c>
      <c r="F94" s="80">
        <f>SUMIFS('декабрь 2024'!$G$5:$G$2311,'декабрь 2024'!$D$5:$D$2311,$B94,'декабрь 2024'!$J$5:$J$2311,F$1)</f>
        <v>0</v>
      </c>
      <c r="G94" s="80">
        <f>SUMIFS('декабрь 2024'!$G$5:$G$2311,'декабрь 2024'!$D$5:$D$2311,$B94,'декабрь 2024'!$J$5:$J$2311,G$1)</f>
        <v>0</v>
      </c>
      <c r="H94" s="80">
        <f>SUMIFS('декабрь 2024'!$G$5:$G$2311,'декабрь 2024'!$D$5:$D$2311,$B94,'декабрь 2024'!$J$5:$J$2311,H$1)</f>
        <v>0</v>
      </c>
      <c r="I94" s="80">
        <f>SUMIFS('декабрь 2024'!$G$5:$G$2311,'декабрь 2024'!$D$5:$D$2311,$B94,'декабрь 2024'!$J$5:$J$2311,I$1)</f>
        <v>0</v>
      </c>
      <c r="J94" s="80">
        <f>SUMIFS('декабрь 2024'!$G$5:$G$2311,'декабрь 2024'!$D$5:$D$2311,$B94,'декабрь 2024'!$J$5:$J$2311,J$1)</f>
        <v>0</v>
      </c>
      <c r="K94" s="80">
        <f>SUMIFS('декабрь 2024'!$G$5:$G$2311,'декабрь 2024'!$D$5:$D$2311,$B94,'декабрь 2024'!$J$5:$J$2311,K$1)</f>
        <v>0</v>
      </c>
      <c r="L94" s="80">
        <f>SUMIFS('декабрь 2024'!$G$5:$G$2311,'декабрь 2024'!$D$5:$D$2311,$B94,'декабрь 2024'!$J$5:$J$2311,L$1)</f>
        <v>0</v>
      </c>
      <c r="M94" s="80">
        <f>SUMIFS('декабрь 2024'!$G$5:$G$2311,'декабрь 2024'!$D$5:$D$2311,$B94,'декабрь 2024'!$J$5:$J$2311,M$1)</f>
        <v>0</v>
      </c>
      <c r="N94" s="80">
        <f>SUMIFS('декабрь 2024'!$G$5:$G$2311,'декабрь 2024'!$D$5:$D$2311,$B94,'декабрь 2024'!$J$5:$J$2311,N$1)</f>
        <v>0</v>
      </c>
      <c r="O94" s="80">
        <f>SUMIFS('декабрь 2024'!$G$5:$G$2311,'декабрь 2024'!$D$5:$D$2311,$B94,'декабрь 2024'!$J$5:$J$2311,O$1)</f>
        <v>0</v>
      </c>
      <c r="P94" s="80">
        <f>SUMIFS('декабрь 2024'!$G$5:$G$2311,'декабрь 2024'!$D$5:$D$2311,$B94,'декабрь 2024'!$J$5:$J$2311,P$1)</f>
        <v>0</v>
      </c>
      <c r="Q94" s="80">
        <f>SUMIFS('декабрь 2024'!$G$5:$G$2311,'декабрь 2024'!$D$5:$D$2311,$B94,'декабрь 2024'!$J$5:$J$2311,Q$1)</f>
        <v>0</v>
      </c>
      <c r="R94" s="80">
        <f>SUMIFS('декабрь 2024'!$G$5:$G$2311,'декабрь 2024'!$D$5:$D$2311,$B94,'декабрь 2024'!$J$5:$J$2311,R$1)</f>
        <v>0</v>
      </c>
      <c r="S94" s="80">
        <f>SUMIFS('декабрь 2024'!$G$5:$G$2311,'декабрь 2024'!$D$5:$D$2311,$B94,'декабрь 2024'!$J$5:$J$2311,S$1)</f>
        <v>0</v>
      </c>
      <c r="T94" s="80">
        <f>SUMIFS('декабрь 2024'!$G$5:$G$2311,'декабрь 2024'!$D$5:$D$2311,$B94,'декабрь 2024'!$J$5:$J$2311,T$1)</f>
        <v>0</v>
      </c>
      <c r="U94" s="80">
        <f>SUMIFS('декабрь 2024'!$G$5:$G$2311,'декабрь 2024'!$D$5:$D$2311,$B94,'декабрь 2024'!$J$5:$J$2311,U$1)</f>
        <v>0</v>
      </c>
      <c r="V94" s="80">
        <f>SUMIFS('декабрь 2024'!$G$5:$G$2311,'декабрь 2024'!$D$5:$D$2311,$B94,'декабрь 2024'!$J$5:$J$2311,V$1)</f>
        <v>0</v>
      </c>
      <c r="W94" s="80">
        <f>SUMIFS('декабрь 2024'!$G$5:$G$2311,'декабрь 2024'!$D$5:$D$2311,$B94,'декабрь 2024'!$J$5:$J$2311,W$1)</f>
        <v>0</v>
      </c>
      <c r="X94" s="80">
        <f>SUMIFS('декабрь 2024'!$G$5:$G$2311,'декабрь 2024'!$D$5:$D$2311,$B94,'декабрь 2024'!$J$5:$J$2311,X$1)</f>
        <v>0</v>
      </c>
      <c r="Y94" s="80">
        <f>SUMIFS('декабрь 2024'!$G$5:$G$2311,'декабрь 2024'!$D$5:$D$2311,$B94,'декабрь 2024'!$J$5:$J$2311,Y$1)</f>
        <v>0</v>
      </c>
      <c r="Z94" s="80">
        <f>SUMIFS('декабрь 2024'!$G$5:$G$2311,'декабрь 2024'!$D$5:$D$2311,$B94,'декабрь 2024'!$J$5:$J$2311,Z$1)</f>
        <v>0</v>
      </c>
      <c r="AA94" s="80">
        <f>SUMIFS('декабрь 2024'!$G$5:$G$2311,'декабрь 2024'!$D$5:$D$2311,$B94,'декабрь 2024'!$J$5:$J$2311,AA$1)</f>
        <v>0</v>
      </c>
      <c r="AB94" s="80">
        <f>SUMIFS('декабрь 2024'!$G$5:$G$2311,'декабрь 2024'!$D$5:$D$2311,$B94,'декабрь 2024'!$J$5:$J$2311,AB$1)</f>
        <v>0</v>
      </c>
      <c r="AC94" s="80">
        <f>SUMIFS('декабрь 2024'!$G$5:$G$2311,'декабрь 2024'!$D$5:$D$2311,$B94,'декабрь 2024'!$J$5:$J$2311,AC$1)</f>
        <v>0</v>
      </c>
      <c r="AD94" s="80">
        <f>SUMIFS('декабрь 2024'!$G$5:$G$2311,'декабрь 2024'!$D$5:$D$2311,$B94,'декабрь 2024'!$J$5:$J$2311,AD$1)</f>
        <v>0</v>
      </c>
      <c r="AE94" s="80">
        <f>SUMIFS('декабрь 2024'!$G$5:$G$2311,'декабрь 2024'!$D$5:$D$2311,$B94,'декабрь 2024'!$J$5:$J$2311,AE$1)</f>
        <v>0</v>
      </c>
      <c r="AF94" s="80">
        <f>SUMIFS('декабрь 2024'!$G$5:$G$2311,'декабрь 2024'!$D$5:$D$2311,$B94,'декабрь 2024'!$J$5:$J$2311,AF$1)</f>
        <v>0</v>
      </c>
      <c r="AG94" s="80">
        <f>SUMIFS('декабрь 2024'!$G$5:$G$2311,'декабрь 2024'!$D$5:$D$2311,$B94,'декабрь 2024'!$J$5:$J$2311,AG$1)</f>
        <v>0</v>
      </c>
      <c r="AH94" s="80">
        <f>SUMIFS('декабрь 2024'!$G$5:$G$2311,'декабрь 2024'!$D$5:$D$2311,$B94,'декабрь 2024'!$J$5:$J$2311,AH$1)</f>
        <v>0</v>
      </c>
      <c r="AI94" s="21">
        <f t="shared" si="1"/>
        <v>0</v>
      </c>
    </row>
    <row r="95" spans="2:35" ht="15" customHeight="1" x14ac:dyDescent="0.25">
      <c r="B95" s="93" t="s">
        <v>323</v>
      </c>
      <c r="C95" s="91">
        <v>180</v>
      </c>
      <c r="D95" s="80">
        <f>SUMIFS('декабрь 2024'!$G$5:$G$2311,'декабрь 2024'!$D$5:$D$2311,$B95,'декабрь 2024'!$J$5:$J$2311,D$1)</f>
        <v>0</v>
      </c>
      <c r="E95" s="80">
        <f>SUMIFS('декабрь 2024'!$G$5:$G$2311,'декабрь 2024'!$D$5:$D$2311,$B95,'декабрь 2024'!$J$5:$J$2311,E$1)</f>
        <v>0</v>
      </c>
      <c r="F95" s="80">
        <f>SUMIFS('декабрь 2024'!$G$5:$G$2311,'декабрь 2024'!$D$5:$D$2311,$B95,'декабрь 2024'!$J$5:$J$2311,F$1)</f>
        <v>0</v>
      </c>
      <c r="G95" s="80">
        <f>SUMIFS('декабрь 2024'!$G$5:$G$2311,'декабрь 2024'!$D$5:$D$2311,$B95,'декабрь 2024'!$J$5:$J$2311,G$1)</f>
        <v>0</v>
      </c>
      <c r="H95" s="80">
        <f>SUMIFS('декабрь 2024'!$G$5:$G$2311,'декабрь 2024'!$D$5:$D$2311,$B95,'декабрь 2024'!$J$5:$J$2311,H$1)</f>
        <v>0</v>
      </c>
      <c r="I95" s="80">
        <f>SUMIFS('декабрь 2024'!$G$5:$G$2311,'декабрь 2024'!$D$5:$D$2311,$B95,'декабрь 2024'!$J$5:$J$2311,I$1)</f>
        <v>0</v>
      </c>
      <c r="J95" s="80">
        <f>SUMIFS('декабрь 2024'!$G$5:$G$2311,'декабрь 2024'!$D$5:$D$2311,$B95,'декабрь 2024'!$J$5:$J$2311,J$1)</f>
        <v>0</v>
      </c>
      <c r="K95" s="80">
        <f>SUMIFS('декабрь 2024'!$G$5:$G$2311,'декабрь 2024'!$D$5:$D$2311,$B95,'декабрь 2024'!$J$5:$J$2311,K$1)</f>
        <v>0</v>
      </c>
      <c r="L95" s="80">
        <f>SUMIFS('декабрь 2024'!$G$5:$G$2311,'декабрь 2024'!$D$5:$D$2311,$B95,'декабрь 2024'!$J$5:$J$2311,L$1)</f>
        <v>0</v>
      </c>
      <c r="M95" s="80">
        <f>SUMIFS('декабрь 2024'!$G$5:$G$2311,'декабрь 2024'!$D$5:$D$2311,$B95,'декабрь 2024'!$J$5:$J$2311,M$1)</f>
        <v>0</v>
      </c>
      <c r="N95" s="80">
        <f>SUMIFS('декабрь 2024'!$G$5:$G$2311,'декабрь 2024'!$D$5:$D$2311,$B95,'декабрь 2024'!$J$5:$J$2311,N$1)</f>
        <v>0</v>
      </c>
      <c r="O95" s="80">
        <f>SUMIFS('декабрь 2024'!$G$5:$G$2311,'декабрь 2024'!$D$5:$D$2311,$B95,'декабрь 2024'!$J$5:$J$2311,O$1)</f>
        <v>0</v>
      </c>
      <c r="P95" s="80">
        <f>SUMIFS('декабрь 2024'!$G$5:$G$2311,'декабрь 2024'!$D$5:$D$2311,$B95,'декабрь 2024'!$J$5:$J$2311,P$1)</f>
        <v>0</v>
      </c>
      <c r="Q95" s="80">
        <f>SUMIFS('декабрь 2024'!$G$5:$G$2311,'декабрь 2024'!$D$5:$D$2311,$B95,'декабрь 2024'!$J$5:$J$2311,Q$1)</f>
        <v>0</v>
      </c>
      <c r="R95" s="80">
        <f>SUMIFS('декабрь 2024'!$G$5:$G$2311,'декабрь 2024'!$D$5:$D$2311,$B95,'декабрь 2024'!$J$5:$J$2311,R$1)</f>
        <v>0</v>
      </c>
      <c r="S95" s="80">
        <f>SUMIFS('декабрь 2024'!$G$5:$G$2311,'декабрь 2024'!$D$5:$D$2311,$B95,'декабрь 2024'!$J$5:$J$2311,S$1)</f>
        <v>0</v>
      </c>
      <c r="T95" s="80">
        <f>SUMIFS('декабрь 2024'!$G$5:$G$2311,'декабрь 2024'!$D$5:$D$2311,$B95,'декабрь 2024'!$J$5:$J$2311,T$1)</f>
        <v>0</v>
      </c>
      <c r="U95" s="80">
        <f>SUMIFS('декабрь 2024'!$G$5:$G$2311,'декабрь 2024'!$D$5:$D$2311,$B95,'декабрь 2024'!$J$5:$J$2311,U$1)</f>
        <v>0</v>
      </c>
      <c r="V95" s="80">
        <f>SUMIFS('декабрь 2024'!$G$5:$G$2311,'декабрь 2024'!$D$5:$D$2311,$B95,'декабрь 2024'!$J$5:$J$2311,V$1)</f>
        <v>0</v>
      </c>
      <c r="W95" s="80">
        <f>SUMIFS('декабрь 2024'!$G$5:$G$2311,'декабрь 2024'!$D$5:$D$2311,$B95,'декабрь 2024'!$J$5:$J$2311,W$1)</f>
        <v>0</v>
      </c>
      <c r="X95" s="80">
        <f>SUMIFS('декабрь 2024'!$G$5:$G$2311,'декабрь 2024'!$D$5:$D$2311,$B95,'декабрь 2024'!$J$5:$J$2311,X$1)</f>
        <v>0</v>
      </c>
      <c r="Y95" s="80">
        <f>SUMIFS('декабрь 2024'!$G$5:$G$2311,'декабрь 2024'!$D$5:$D$2311,$B95,'декабрь 2024'!$J$5:$J$2311,Y$1)</f>
        <v>0</v>
      </c>
      <c r="Z95" s="80">
        <f>SUMIFS('декабрь 2024'!$G$5:$G$2311,'декабрь 2024'!$D$5:$D$2311,$B95,'декабрь 2024'!$J$5:$J$2311,Z$1)</f>
        <v>0</v>
      </c>
      <c r="AA95" s="80">
        <f>SUMIFS('декабрь 2024'!$G$5:$G$2311,'декабрь 2024'!$D$5:$D$2311,$B95,'декабрь 2024'!$J$5:$J$2311,AA$1)</f>
        <v>0</v>
      </c>
      <c r="AB95" s="80">
        <f>SUMIFS('декабрь 2024'!$G$5:$G$2311,'декабрь 2024'!$D$5:$D$2311,$B95,'декабрь 2024'!$J$5:$J$2311,AB$1)</f>
        <v>0</v>
      </c>
      <c r="AC95" s="80">
        <f>SUMIFS('декабрь 2024'!$G$5:$G$2311,'декабрь 2024'!$D$5:$D$2311,$B95,'декабрь 2024'!$J$5:$J$2311,AC$1)</f>
        <v>0</v>
      </c>
      <c r="AD95" s="80">
        <f>SUMIFS('декабрь 2024'!$G$5:$G$2311,'декабрь 2024'!$D$5:$D$2311,$B95,'декабрь 2024'!$J$5:$J$2311,AD$1)</f>
        <v>0</v>
      </c>
      <c r="AE95" s="80">
        <f>SUMIFS('декабрь 2024'!$G$5:$G$2311,'декабрь 2024'!$D$5:$D$2311,$B95,'декабрь 2024'!$J$5:$J$2311,AE$1)</f>
        <v>0</v>
      </c>
      <c r="AF95" s="80">
        <f>SUMIFS('декабрь 2024'!$G$5:$G$2311,'декабрь 2024'!$D$5:$D$2311,$B95,'декабрь 2024'!$J$5:$J$2311,AF$1)</f>
        <v>0</v>
      </c>
      <c r="AG95" s="80">
        <f>SUMIFS('декабрь 2024'!$G$5:$G$2311,'декабрь 2024'!$D$5:$D$2311,$B95,'декабрь 2024'!$J$5:$J$2311,AG$1)</f>
        <v>0</v>
      </c>
      <c r="AH95" s="80">
        <f>SUMIFS('декабрь 2024'!$G$5:$G$2311,'декабрь 2024'!$D$5:$D$2311,$B95,'декабрь 2024'!$J$5:$J$2311,AH$1)</f>
        <v>0</v>
      </c>
      <c r="AI95" s="21">
        <f t="shared" si="1"/>
        <v>0</v>
      </c>
    </row>
    <row r="96" spans="2:35" ht="15" customHeight="1" x14ac:dyDescent="0.25">
      <c r="B96" s="93" t="s">
        <v>513</v>
      </c>
      <c r="C96" s="91">
        <v>20</v>
      </c>
      <c r="D96" s="80">
        <f>SUMIFS('декабрь 2024'!$G$5:$G$2311,'декабрь 2024'!$D$5:$D$2311,$B96,'декабрь 2024'!$J$5:$J$2311,D$1)</f>
        <v>0</v>
      </c>
      <c r="E96" s="80">
        <f>SUMIFS('декабрь 2024'!$G$5:$G$2311,'декабрь 2024'!$D$5:$D$2311,$B96,'декабрь 2024'!$J$5:$J$2311,E$1)</f>
        <v>0</v>
      </c>
      <c r="F96" s="80">
        <f>SUMIFS('декабрь 2024'!$G$5:$G$2311,'декабрь 2024'!$D$5:$D$2311,$B96,'декабрь 2024'!$J$5:$J$2311,F$1)</f>
        <v>0</v>
      </c>
      <c r="G96" s="80">
        <f>SUMIFS('декабрь 2024'!$G$5:$G$2311,'декабрь 2024'!$D$5:$D$2311,$B96,'декабрь 2024'!$J$5:$J$2311,G$1)</f>
        <v>0</v>
      </c>
      <c r="H96" s="80">
        <f>SUMIFS('декабрь 2024'!$G$5:$G$2311,'декабрь 2024'!$D$5:$D$2311,$B96,'декабрь 2024'!$J$5:$J$2311,H$1)</f>
        <v>0</v>
      </c>
      <c r="I96" s="80">
        <f>SUMIFS('декабрь 2024'!$G$5:$G$2311,'декабрь 2024'!$D$5:$D$2311,$B96,'декабрь 2024'!$J$5:$J$2311,I$1)</f>
        <v>0</v>
      </c>
      <c r="J96" s="80">
        <f>SUMIFS('декабрь 2024'!$G$5:$G$2311,'декабрь 2024'!$D$5:$D$2311,$B96,'декабрь 2024'!$J$5:$J$2311,J$1)</f>
        <v>0</v>
      </c>
      <c r="K96" s="80">
        <f>SUMIFS('декабрь 2024'!$G$5:$G$2311,'декабрь 2024'!$D$5:$D$2311,$B96,'декабрь 2024'!$J$5:$J$2311,K$1)</f>
        <v>0</v>
      </c>
      <c r="L96" s="80">
        <f>SUMIFS('декабрь 2024'!$G$5:$G$2311,'декабрь 2024'!$D$5:$D$2311,$B96,'декабрь 2024'!$J$5:$J$2311,L$1)</f>
        <v>0</v>
      </c>
      <c r="M96" s="80">
        <f>SUMIFS('декабрь 2024'!$G$5:$G$2311,'декабрь 2024'!$D$5:$D$2311,$B96,'декабрь 2024'!$J$5:$J$2311,M$1)</f>
        <v>0</v>
      </c>
      <c r="N96" s="80">
        <f>SUMIFS('декабрь 2024'!$G$5:$G$2311,'декабрь 2024'!$D$5:$D$2311,$B96,'декабрь 2024'!$J$5:$J$2311,N$1)</f>
        <v>0</v>
      </c>
      <c r="O96" s="80">
        <f>SUMIFS('декабрь 2024'!$G$5:$G$2311,'декабрь 2024'!$D$5:$D$2311,$B96,'декабрь 2024'!$J$5:$J$2311,O$1)</f>
        <v>0</v>
      </c>
      <c r="P96" s="80">
        <f>SUMIFS('декабрь 2024'!$G$5:$G$2311,'декабрь 2024'!$D$5:$D$2311,$B96,'декабрь 2024'!$J$5:$J$2311,P$1)</f>
        <v>0</v>
      </c>
      <c r="Q96" s="80">
        <f>SUMIFS('декабрь 2024'!$G$5:$G$2311,'декабрь 2024'!$D$5:$D$2311,$B96,'декабрь 2024'!$J$5:$J$2311,Q$1)</f>
        <v>0</v>
      </c>
      <c r="R96" s="80">
        <f>SUMIFS('декабрь 2024'!$G$5:$G$2311,'декабрь 2024'!$D$5:$D$2311,$B96,'декабрь 2024'!$J$5:$J$2311,R$1)</f>
        <v>0</v>
      </c>
      <c r="S96" s="80">
        <f>SUMIFS('декабрь 2024'!$G$5:$G$2311,'декабрь 2024'!$D$5:$D$2311,$B96,'декабрь 2024'!$J$5:$J$2311,S$1)</f>
        <v>0</v>
      </c>
      <c r="T96" s="80">
        <f>SUMIFS('декабрь 2024'!$G$5:$G$2311,'декабрь 2024'!$D$5:$D$2311,$B96,'декабрь 2024'!$J$5:$J$2311,T$1)</f>
        <v>0</v>
      </c>
      <c r="U96" s="80">
        <f>SUMIFS('декабрь 2024'!$G$5:$G$2311,'декабрь 2024'!$D$5:$D$2311,$B96,'декабрь 2024'!$J$5:$J$2311,U$1)</f>
        <v>0</v>
      </c>
      <c r="V96" s="80">
        <f>SUMIFS('декабрь 2024'!$G$5:$G$2311,'декабрь 2024'!$D$5:$D$2311,$B96,'декабрь 2024'!$J$5:$J$2311,V$1)</f>
        <v>0</v>
      </c>
      <c r="W96" s="80">
        <f>SUMIFS('декабрь 2024'!$G$5:$G$2311,'декабрь 2024'!$D$5:$D$2311,$B96,'декабрь 2024'!$J$5:$J$2311,W$1)</f>
        <v>0</v>
      </c>
      <c r="X96" s="80">
        <f>SUMIFS('декабрь 2024'!$G$5:$G$2311,'декабрь 2024'!$D$5:$D$2311,$B96,'декабрь 2024'!$J$5:$J$2311,X$1)</f>
        <v>0</v>
      </c>
      <c r="Y96" s="80">
        <f>SUMIFS('декабрь 2024'!$G$5:$G$2311,'декабрь 2024'!$D$5:$D$2311,$B96,'декабрь 2024'!$J$5:$J$2311,Y$1)</f>
        <v>0</v>
      </c>
      <c r="Z96" s="80">
        <f>SUMIFS('декабрь 2024'!$G$5:$G$2311,'декабрь 2024'!$D$5:$D$2311,$B96,'декабрь 2024'!$J$5:$J$2311,Z$1)</f>
        <v>0</v>
      </c>
      <c r="AA96" s="80">
        <f>SUMIFS('декабрь 2024'!$G$5:$G$2311,'декабрь 2024'!$D$5:$D$2311,$B96,'декабрь 2024'!$J$5:$J$2311,AA$1)</f>
        <v>0</v>
      </c>
      <c r="AB96" s="80">
        <f>SUMIFS('декабрь 2024'!$G$5:$G$2311,'декабрь 2024'!$D$5:$D$2311,$B96,'декабрь 2024'!$J$5:$J$2311,AB$1)</f>
        <v>0</v>
      </c>
      <c r="AC96" s="80">
        <f>SUMIFS('декабрь 2024'!$G$5:$G$2311,'декабрь 2024'!$D$5:$D$2311,$B96,'декабрь 2024'!$J$5:$J$2311,AC$1)</f>
        <v>0</v>
      </c>
      <c r="AD96" s="80">
        <f>SUMIFS('декабрь 2024'!$G$5:$G$2311,'декабрь 2024'!$D$5:$D$2311,$B96,'декабрь 2024'!$J$5:$J$2311,AD$1)</f>
        <v>0</v>
      </c>
      <c r="AE96" s="80">
        <f>SUMIFS('декабрь 2024'!$G$5:$G$2311,'декабрь 2024'!$D$5:$D$2311,$B96,'декабрь 2024'!$J$5:$J$2311,AE$1)</f>
        <v>0</v>
      </c>
      <c r="AF96" s="80">
        <f>SUMIFS('декабрь 2024'!$G$5:$G$2311,'декабрь 2024'!$D$5:$D$2311,$B96,'декабрь 2024'!$J$5:$J$2311,AF$1)</f>
        <v>0</v>
      </c>
      <c r="AG96" s="80">
        <f>SUMIFS('декабрь 2024'!$G$5:$G$2311,'декабрь 2024'!$D$5:$D$2311,$B96,'декабрь 2024'!$J$5:$J$2311,AG$1)</f>
        <v>0</v>
      </c>
      <c r="AH96" s="80">
        <f>SUMIFS('декабрь 2024'!$G$5:$G$2311,'декабрь 2024'!$D$5:$D$2311,$B96,'декабрь 2024'!$J$5:$J$2311,AH$1)</f>
        <v>0</v>
      </c>
      <c r="AI96" s="21">
        <f t="shared" si="1"/>
        <v>0</v>
      </c>
    </row>
    <row r="97" spans="2:35" ht="15" customHeight="1" x14ac:dyDescent="0.25">
      <c r="B97" s="93" t="s">
        <v>1489</v>
      </c>
      <c r="C97" s="91">
        <v>25</v>
      </c>
      <c r="D97" s="80">
        <f>SUMIFS('декабрь 2024'!$G$5:$G$2311,'декабрь 2024'!$D$5:$D$2311,$B97,'декабрь 2024'!$J$5:$J$2311,D$1)</f>
        <v>0</v>
      </c>
      <c r="E97" s="80">
        <f>SUMIFS('декабрь 2024'!$G$5:$G$2311,'декабрь 2024'!$D$5:$D$2311,$B97,'декабрь 2024'!$J$5:$J$2311,E$1)</f>
        <v>0</v>
      </c>
      <c r="F97" s="80">
        <f>SUMIFS('декабрь 2024'!$G$5:$G$2311,'декабрь 2024'!$D$5:$D$2311,$B97,'декабрь 2024'!$J$5:$J$2311,F$1)</f>
        <v>0</v>
      </c>
      <c r="G97" s="80">
        <f>SUMIFS('декабрь 2024'!$G$5:$G$2311,'декабрь 2024'!$D$5:$D$2311,$B97,'декабрь 2024'!$J$5:$J$2311,G$1)</f>
        <v>0</v>
      </c>
      <c r="H97" s="80">
        <f>SUMIFS('декабрь 2024'!$G$5:$G$2311,'декабрь 2024'!$D$5:$D$2311,$B97,'декабрь 2024'!$J$5:$J$2311,H$1)</f>
        <v>0</v>
      </c>
      <c r="I97" s="80">
        <f>SUMIFS('декабрь 2024'!$G$5:$G$2311,'декабрь 2024'!$D$5:$D$2311,$B97,'декабрь 2024'!$J$5:$J$2311,I$1)</f>
        <v>0</v>
      </c>
      <c r="J97" s="80">
        <f>SUMIFS('декабрь 2024'!$G$5:$G$2311,'декабрь 2024'!$D$5:$D$2311,$B97,'декабрь 2024'!$J$5:$J$2311,J$1)</f>
        <v>0</v>
      </c>
      <c r="K97" s="80">
        <f>SUMIFS('декабрь 2024'!$G$5:$G$2311,'декабрь 2024'!$D$5:$D$2311,$B97,'декабрь 2024'!$J$5:$J$2311,K$1)</f>
        <v>0</v>
      </c>
      <c r="L97" s="80">
        <f>SUMIFS('декабрь 2024'!$G$5:$G$2311,'декабрь 2024'!$D$5:$D$2311,$B97,'декабрь 2024'!$J$5:$J$2311,L$1)</f>
        <v>0</v>
      </c>
      <c r="M97" s="80">
        <f>SUMIFS('декабрь 2024'!$G$5:$G$2311,'декабрь 2024'!$D$5:$D$2311,$B97,'декабрь 2024'!$J$5:$J$2311,M$1)</f>
        <v>0</v>
      </c>
      <c r="N97" s="80">
        <f>SUMIFS('декабрь 2024'!$G$5:$G$2311,'декабрь 2024'!$D$5:$D$2311,$B97,'декабрь 2024'!$J$5:$J$2311,N$1)</f>
        <v>0</v>
      </c>
      <c r="O97" s="80">
        <f>SUMIFS('декабрь 2024'!$G$5:$G$2311,'декабрь 2024'!$D$5:$D$2311,$B97,'декабрь 2024'!$J$5:$J$2311,O$1)</f>
        <v>0</v>
      </c>
      <c r="P97" s="80">
        <f>SUMIFS('декабрь 2024'!$G$5:$G$2311,'декабрь 2024'!$D$5:$D$2311,$B97,'декабрь 2024'!$J$5:$J$2311,P$1)</f>
        <v>0</v>
      </c>
      <c r="Q97" s="80">
        <f>SUMIFS('декабрь 2024'!$G$5:$G$2311,'декабрь 2024'!$D$5:$D$2311,$B97,'декабрь 2024'!$J$5:$J$2311,Q$1)</f>
        <v>0</v>
      </c>
      <c r="R97" s="80">
        <f>SUMIFS('декабрь 2024'!$G$5:$G$2311,'декабрь 2024'!$D$5:$D$2311,$B97,'декабрь 2024'!$J$5:$J$2311,R$1)</f>
        <v>0</v>
      </c>
      <c r="S97" s="80">
        <f>SUMIFS('декабрь 2024'!$G$5:$G$2311,'декабрь 2024'!$D$5:$D$2311,$B97,'декабрь 2024'!$J$5:$J$2311,S$1)</f>
        <v>0</v>
      </c>
      <c r="T97" s="80">
        <f>SUMIFS('декабрь 2024'!$G$5:$G$2311,'декабрь 2024'!$D$5:$D$2311,$B97,'декабрь 2024'!$J$5:$J$2311,T$1)</f>
        <v>0</v>
      </c>
      <c r="U97" s="80">
        <f>SUMIFS('декабрь 2024'!$G$5:$G$2311,'декабрь 2024'!$D$5:$D$2311,$B97,'декабрь 2024'!$J$5:$J$2311,U$1)</f>
        <v>0</v>
      </c>
      <c r="V97" s="80">
        <f>SUMIFS('декабрь 2024'!$G$5:$G$2311,'декабрь 2024'!$D$5:$D$2311,$B97,'декабрь 2024'!$J$5:$J$2311,V$1)</f>
        <v>0</v>
      </c>
      <c r="W97" s="80">
        <f>SUMIFS('декабрь 2024'!$G$5:$G$2311,'декабрь 2024'!$D$5:$D$2311,$B97,'декабрь 2024'!$J$5:$J$2311,W$1)</f>
        <v>0</v>
      </c>
      <c r="X97" s="80">
        <f>SUMIFS('декабрь 2024'!$G$5:$G$2311,'декабрь 2024'!$D$5:$D$2311,$B97,'декабрь 2024'!$J$5:$J$2311,X$1)</f>
        <v>0</v>
      </c>
      <c r="Y97" s="80">
        <f>SUMIFS('декабрь 2024'!$G$5:$G$2311,'декабрь 2024'!$D$5:$D$2311,$B97,'декабрь 2024'!$J$5:$J$2311,Y$1)</f>
        <v>0</v>
      </c>
      <c r="Z97" s="80">
        <f>SUMIFS('декабрь 2024'!$G$5:$G$2311,'декабрь 2024'!$D$5:$D$2311,$B97,'декабрь 2024'!$J$5:$J$2311,Z$1)</f>
        <v>0</v>
      </c>
      <c r="AA97" s="80">
        <f>SUMIFS('декабрь 2024'!$G$5:$G$2311,'декабрь 2024'!$D$5:$D$2311,$B97,'декабрь 2024'!$J$5:$J$2311,AA$1)</f>
        <v>0</v>
      </c>
      <c r="AB97" s="80">
        <f>SUMIFS('декабрь 2024'!$G$5:$G$2311,'декабрь 2024'!$D$5:$D$2311,$B97,'декабрь 2024'!$J$5:$J$2311,AB$1)</f>
        <v>0</v>
      </c>
      <c r="AC97" s="80">
        <f>SUMIFS('декабрь 2024'!$G$5:$G$2311,'декабрь 2024'!$D$5:$D$2311,$B97,'декабрь 2024'!$J$5:$J$2311,AC$1)</f>
        <v>0</v>
      </c>
      <c r="AD97" s="80">
        <f>SUMIFS('декабрь 2024'!$G$5:$G$2311,'декабрь 2024'!$D$5:$D$2311,$B97,'декабрь 2024'!$J$5:$J$2311,AD$1)</f>
        <v>0</v>
      </c>
      <c r="AE97" s="80">
        <f>SUMIFS('декабрь 2024'!$G$5:$G$2311,'декабрь 2024'!$D$5:$D$2311,$B97,'декабрь 2024'!$J$5:$J$2311,AE$1)</f>
        <v>0</v>
      </c>
      <c r="AF97" s="80">
        <f>SUMIFS('декабрь 2024'!$G$5:$G$2311,'декабрь 2024'!$D$5:$D$2311,$B97,'декабрь 2024'!$J$5:$J$2311,AF$1)</f>
        <v>0</v>
      </c>
      <c r="AG97" s="80">
        <f>SUMIFS('декабрь 2024'!$G$5:$G$2311,'декабрь 2024'!$D$5:$D$2311,$B97,'декабрь 2024'!$J$5:$J$2311,AG$1)</f>
        <v>0</v>
      </c>
      <c r="AH97" s="80">
        <f>SUMIFS('декабрь 2024'!$G$5:$G$2311,'декабрь 2024'!$D$5:$D$2311,$B97,'декабрь 2024'!$J$5:$J$2311,AH$1)</f>
        <v>0</v>
      </c>
      <c r="AI97" s="21">
        <f t="shared" si="1"/>
        <v>0</v>
      </c>
    </row>
    <row r="98" spans="2:35" ht="15" customHeight="1" x14ac:dyDescent="0.25">
      <c r="B98" s="93" t="s">
        <v>2146</v>
      </c>
      <c r="C98" s="91">
        <v>28</v>
      </c>
      <c r="D98" s="80">
        <f>SUMIFS('декабрь 2024'!$G$5:$G$2311,'декабрь 2024'!$D$5:$D$2311,$B98,'декабрь 2024'!$J$5:$J$2311,D$1)</f>
        <v>0</v>
      </c>
      <c r="E98" s="80">
        <f>SUMIFS('декабрь 2024'!$G$5:$G$2311,'декабрь 2024'!$D$5:$D$2311,$B98,'декабрь 2024'!$J$5:$J$2311,E$1)</f>
        <v>0</v>
      </c>
      <c r="F98" s="80">
        <f>SUMIFS('декабрь 2024'!$G$5:$G$2311,'декабрь 2024'!$D$5:$D$2311,$B98,'декабрь 2024'!$J$5:$J$2311,F$1)</f>
        <v>0</v>
      </c>
      <c r="G98" s="80">
        <f>SUMIFS('декабрь 2024'!$G$5:$G$2311,'декабрь 2024'!$D$5:$D$2311,$B98,'декабрь 2024'!$J$5:$J$2311,G$1)</f>
        <v>0</v>
      </c>
      <c r="H98" s="80">
        <f>SUMIFS('декабрь 2024'!$G$5:$G$2311,'декабрь 2024'!$D$5:$D$2311,$B98,'декабрь 2024'!$J$5:$J$2311,H$1)</f>
        <v>0</v>
      </c>
      <c r="I98" s="80">
        <f>SUMIFS('декабрь 2024'!$G$5:$G$2311,'декабрь 2024'!$D$5:$D$2311,$B98,'декабрь 2024'!$J$5:$J$2311,I$1)</f>
        <v>0</v>
      </c>
      <c r="J98" s="80">
        <f>SUMIFS('декабрь 2024'!$G$5:$G$2311,'декабрь 2024'!$D$5:$D$2311,$B98,'декабрь 2024'!$J$5:$J$2311,J$1)</f>
        <v>0</v>
      </c>
      <c r="K98" s="80">
        <f>SUMIFS('декабрь 2024'!$G$5:$G$2311,'декабрь 2024'!$D$5:$D$2311,$B98,'декабрь 2024'!$J$5:$J$2311,K$1)</f>
        <v>0</v>
      </c>
      <c r="L98" s="80">
        <f>SUMIFS('декабрь 2024'!$G$5:$G$2311,'декабрь 2024'!$D$5:$D$2311,$B98,'декабрь 2024'!$J$5:$J$2311,L$1)</f>
        <v>0</v>
      </c>
      <c r="M98" s="80">
        <f>SUMIFS('декабрь 2024'!$G$5:$G$2311,'декабрь 2024'!$D$5:$D$2311,$B98,'декабрь 2024'!$J$5:$J$2311,M$1)</f>
        <v>0</v>
      </c>
      <c r="N98" s="80">
        <f>SUMIFS('декабрь 2024'!$G$5:$G$2311,'декабрь 2024'!$D$5:$D$2311,$B98,'декабрь 2024'!$J$5:$J$2311,N$1)</f>
        <v>0</v>
      </c>
      <c r="O98" s="80">
        <f>SUMIFS('декабрь 2024'!$G$5:$G$2311,'декабрь 2024'!$D$5:$D$2311,$B98,'декабрь 2024'!$J$5:$J$2311,O$1)</f>
        <v>0</v>
      </c>
      <c r="P98" s="80">
        <f>SUMIFS('декабрь 2024'!$G$5:$G$2311,'декабрь 2024'!$D$5:$D$2311,$B98,'декабрь 2024'!$J$5:$J$2311,P$1)</f>
        <v>0</v>
      </c>
      <c r="Q98" s="80">
        <f>SUMIFS('декабрь 2024'!$G$5:$G$2311,'декабрь 2024'!$D$5:$D$2311,$B98,'декабрь 2024'!$J$5:$J$2311,Q$1)</f>
        <v>0</v>
      </c>
      <c r="R98" s="80">
        <f>SUMIFS('декабрь 2024'!$G$5:$G$2311,'декабрь 2024'!$D$5:$D$2311,$B98,'декабрь 2024'!$J$5:$J$2311,R$1)</f>
        <v>0</v>
      </c>
      <c r="S98" s="80">
        <f>SUMIFS('декабрь 2024'!$G$5:$G$2311,'декабрь 2024'!$D$5:$D$2311,$B98,'декабрь 2024'!$J$5:$J$2311,S$1)</f>
        <v>0</v>
      </c>
      <c r="T98" s="80">
        <f>SUMIFS('декабрь 2024'!$G$5:$G$2311,'декабрь 2024'!$D$5:$D$2311,$B98,'декабрь 2024'!$J$5:$J$2311,T$1)</f>
        <v>0</v>
      </c>
      <c r="U98" s="80">
        <f>SUMIFS('декабрь 2024'!$G$5:$G$2311,'декабрь 2024'!$D$5:$D$2311,$B98,'декабрь 2024'!$J$5:$J$2311,U$1)</f>
        <v>0</v>
      </c>
      <c r="V98" s="80">
        <f>SUMIFS('декабрь 2024'!$G$5:$G$2311,'декабрь 2024'!$D$5:$D$2311,$B98,'декабрь 2024'!$J$5:$J$2311,V$1)</f>
        <v>0</v>
      </c>
      <c r="W98" s="80">
        <f>SUMIFS('декабрь 2024'!$G$5:$G$2311,'декабрь 2024'!$D$5:$D$2311,$B98,'декабрь 2024'!$J$5:$J$2311,W$1)</f>
        <v>0</v>
      </c>
      <c r="X98" s="80">
        <f>SUMIFS('декабрь 2024'!$G$5:$G$2311,'декабрь 2024'!$D$5:$D$2311,$B98,'декабрь 2024'!$J$5:$J$2311,X$1)</f>
        <v>0</v>
      </c>
      <c r="Y98" s="80">
        <f>SUMIFS('декабрь 2024'!$G$5:$G$2311,'декабрь 2024'!$D$5:$D$2311,$B98,'декабрь 2024'!$J$5:$J$2311,Y$1)</f>
        <v>0</v>
      </c>
      <c r="Z98" s="80">
        <f>SUMIFS('декабрь 2024'!$G$5:$G$2311,'декабрь 2024'!$D$5:$D$2311,$B98,'декабрь 2024'!$J$5:$J$2311,Z$1)</f>
        <v>0</v>
      </c>
      <c r="AA98" s="80">
        <f>SUMIFS('декабрь 2024'!$G$5:$G$2311,'декабрь 2024'!$D$5:$D$2311,$B98,'декабрь 2024'!$J$5:$J$2311,AA$1)</f>
        <v>0</v>
      </c>
      <c r="AB98" s="80">
        <f>SUMIFS('декабрь 2024'!$G$5:$G$2311,'декабрь 2024'!$D$5:$D$2311,$B98,'декабрь 2024'!$J$5:$J$2311,AB$1)</f>
        <v>0</v>
      </c>
      <c r="AC98" s="80">
        <f>SUMIFS('декабрь 2024'!$G$5:$G$2311,'декабрь 2024'!$D$5:$D$2311,$B98,'декабрь 2024'!$J$5:$J$2311,AC$1)</f>
        <v>0</v>
      </c>
      <c r="AD98" s="80">
        <f>SUMIFS('декабрь 2024'!$G$5:$G$2311,'декабрь 2024'!$D$5:$D$2311,$B98,'декабрь 2024'!$J$5:$J$2311,AD$1)</f>
        <v>0</v>
      </c>
      <c r="AE98" s="80">
        <f>SUMIFS('декабрь 2024'!$G$5:$G$2311,'декабрь 2024'!$D$5:$D$2311,$B98,'декабрь 2024'!$J$5:$J$2311,AE$1)</f>
        <v>0</v>
      </c>
      <c r="AF98" s="80">
        <f>SUMIFS('декабрь 2024'!$G$5:$G$2311,'декабрь 2024'!$D$5:$D$2311,$B98,'декабрь 2024'!$J$5:$J$2311,AF$1)</f>
        <v>0</v>
      </c>
      <c r="AG98" s="80">
        <f>SUMIFS('декабрь 2024'!$G$5:$G$2311,'декабрь 2024'!$D$5:$D$2311,$B98,'декабрь 2024'!$J$5:$J$2311,AG$1)</f>
        <v>0</v>
      </c>
      <c r="AH98" s="80">
        <f>SUMIFS('декабрь 2024'!$G$5:$G$2311,'декабрь 2024'!$D$5:$D$2311,$B98,'декабрь 2024'!$J$5:$J$2311,AH$1)</f>
        <v>0</v>
      </c>
      <c r="AI98" s="21">
        <f t="shared" ref="AI98" si="4">SUM(D98:AH98)</f>
        <v>0</v>
      </c>
    </row>
    <row r="99" spans="2:35" ht="15" customHeight="1" x14ac:dyDescent="0.25">
      <c r="B99" s="93" t="s">
        <v>203</v>
      </c>
      <c r="C99" s="91">
        <v>180</v>
      </c>
      <c r="D99" s="80">
        <f>SUMIFS('декабрь 2024'!$G$5:$G$2311,'декабрь 2024'!$D$5:$D$2311,$B99,'декабрь 2024'!$J$5:$J$2311,D$1)</f>
        <v>0</v>
      </c>
      <c r="E99" s="80">
        <f>SUMIFS('декабрь 2024'!$G$5:$G$2311,'декабрь 2024'!$D$5:$D$2311,$B99,'декабрь 2024'!$J$5:$J$2311,E$1)</f>
        <v>0</v>
      </c>
      <c r="F99" s="80">
        <f>SUMIFS('декабрь 2024'!$G$5:$G$2311,'декабрь 2024'!$D$5:$D$2311,$B99,'декабрь 2024'!$J$5:$J$2311,F$1)</f>
        <v>0</v>
      </c>
      <c r="G99" s="80">
        <f>SUMIFS('декабрь 2024'!$G$5:$G$2311,'декабрь 2024'!$D$5:$D$2311,$B99,'декабрь 2024'!$J$5:$J$2311,G$1)</f>
        <v>0</v>
      </c>
      <c r="H99" s="80">
        <f>SUMIFS('декабрь 2024'!$G$5:$G$2311,'декабрь 2024'!$D$5:$D$2311,$B99,'декабрь 2024'!$J$5:$J$2311,H$1)</f>
        <v>0</v>
      </c>
      <c r="I99" s="80">
        <f>SUMIFS('декабрь 2024'!$G$5:$G$2311,'декабрь 2024'!$D$5:$D$2311,$B99,'декабрь 2024'!$J$5:$J$2311,I$1)</f>
        <v>0</v>
      </c>
      <c r="J99" s="80">
        <f>SUMIFS('декабрь 2024'!$G$5:$G$2311,'декабрь 2024'!$D$5:$D$2311,$B99,'декабрь 2024'!$J$5:$J$2311,J$1)</f>
        <v>0</v>
      </c>
      <c r="K99" s="80">
        <f>SUMIFS('декабрь 2024'!$G$5:$G$2311,'декабрь 2024'!$D$5:$D$2311,$B99,'декабрь 2024'!$J$5:$J$2311,K$1)</f>
        <v>0</v>
      </c>
      <c r="L99" s="80">
        <f>SUMIFS('декабрь 2024'!$G$5:$G$2311,'декабрь 2024'!$D$5:$D$2311,$B99,'декабрь 2024'!$J$5:$J$2311,L$1)</f>
        <v>0</v>
      </c>
      <c r="M99" s="80">
        <f>SUMIFS('декабрь 2024'!$G$5:$G$2311,'декабрь 2024'!$D$5:$D$2311,$B99,'декабрь 2024'!$J$5:$J$2311,M$1)</f>
        <v>0</v>
      </c>
      <c r="N99" s="80">
        <f>SUMIFS('декабрь 2024'!$G$5:$G$2311,'декабрь 2024'!$D$5:$D$2311,$B99,'декабрь 2024'!$J$5:$J$2311,N$1)</f>
        <v>0</v>
      </c>
      <c r="O99" s="80">
        <f>SUMIFS('декабрь 2024'!$G$5:$G$2311,'декабрь 2024'!$D$5:$D$2311,$B99,'декабрь 2024'!$J$5:$J$2311,O$1)</f>
        <v>0</v>
      </c>
      <c r="P99" s="80">
        <f>SUMIFS('декабрь 2024'!$G$5:$G$2311,'декабрь 2024'!$D$5:$D$2311,$B99,'декабрь 2024'!$J$5:$J$2311,P$1)</f>
        <v>0</v>
      </c>
      <c r="Q99" s="80">
        <f>SUMIFS('декабрь 2024'!$G$5:$G$2311,'декабрь 2024'!$D$5:$D$2311,$B99,'декабрь 2024'!$J$5:$J$2311,Q$1)</f>
        <v>0</v>
      </c>
      <c r="R99" s="80">
        <f>SUMIFS('декабрь 2024'!$G$5:$G$2311,'декабрь 2024'!$D$5:$D$2311,$B99,'декабрь 2024'!$J$5:$J$2311,R$1)</f>
        <v>0</v>
      </c>
      <c r="S99" s="80">
        <f>SUMIFS('декабрь 2024'!$G$5:$G$2311,'декабрь 2024'!$D$5:$D$2311,$B99,'декабрь 2024'!$J$5:$J$2311,S$1)</f>
        <v>0</v>
      </c>
      <c r="T99" s="80">
        <f>SUMIFS('декабрь 2024'!$G$5:$G$2311,'декабрь 2024'!$D$5:$D$2311,$B99,'декабрь 2024'!$J$5:$J$2311,T$1)</f>
        <v>0</v>
      </c>
      <c r="U99" s="80">
        <f>SUMIFS('декабрь 2024'!$G$5:$G$2311,'декабрь 2024'!$D$5:$D$2311,$B99,'декабрь 2024'!$J$5:$J$2311,U$1)</f>
        <v>0</v>
      </c>
      <c r="V99" s="80">
        <f>SUMIFS('декабрь 2024'!$G$5:$G$2311,'декабрь 2024'!$D$5:$D$2311,$B99,'декабрь 2024'!$J$5:$J$2311,V$1)</f>
        <v>0</v>
      </c>
      <c r="W99" s="80">
        <f>SUMIFS('декабрь 2024'!$G$5:$G$2311,'декабрь 2024'!$D$5:$D$2311,$B99,'декабрь 2024'!$J$5:$J$2311,W$1)</f>
        <v>0</v>
      </c>
      <c r="X99" s="80">
        <f>SUMIFS('декабрь 2024'!$G$5:$G$2311,'декабрь 2024'!$D$5:$D$2311,$B99,'декабрь 2024'!$J$5:$J$2311,X$1)</f>
        <v>0</v>
      </c>
      <c r="Y99" s="80">
        <f>SUMIFS('декабрь 2024'!$G$5:$G$2311,'декабрь 2024'!$D$5:$D$2311,$B99,'декабрь 2024'!$J$5:$J$2311,Y$1)</f>
        <v>0</v>
      </c>
      <c r="Z99" s="80">
        <f>SUMIFS('декабрь 2024'!$G$5:$G$2311,'декабрь 2024'!$D$5:$D$2311,$B99,'декабрь 2024'!$J$5:$J$2311,Z$1)</f>
        <v>0</v>
      </c>
      <c r="AA99" s="80">
        <f>SUMIFS('декабрь 2024'!$G$5:$G$2311,'декабрь 2024'!$D$5:$D$2311,$B99,'декабрь 2024'!$J$5:$J$2311,AA$1)</f>
        <v>0</v>
      </c>
      <c r="AB99" s="80">
        <f>SUMIFS('декабрь 2024'!$G$5:$G$2311,'декабрь 2024'!$D$5:$D$2311,$B99,'декабрь 2024'!$J$5:$J$2311,AB$1)</f>
        <v>0</v>
      </c>
      <c r="AC99" s="80">
        <f>SUMIFS('декабрь 2024'!$G$5:$G$2311,'декабрь 2024'!$D$5:$D$2311,$B99,'декабрь 2024'!$J$5:$J$2311,AC$1)</f>
        <v>0</v>
      </c>
      <c r="AD99" s="80">
        <f>SUMIFS('декабрь 2024'!$G$5:$G$2311,'декабрь 2024'!$D$5:$D$2311,$B99,'декабрь 2024'!$J$5:$J$2311,AD$1)</f>
        <v>0</v>
      </c>
      <c r="AE99" s="80">
        <f>SUMIFS('декабрь 2024'!$G$5:$G$2311,'декабрь 2024'!$D$5:$D$2311,$B99,'декабрь 2024'!$J$5:$J$2311,AE$1)</f>
        <v>0</v>
      </c>
      <c r="AF99" s="80">
        <f>SUMIFS('декабрь 2024'!$G$5:$G$2311,'декабрь 2024'!$D$5:$D$2311,$B99,'декабрь 2024'!$J$5:$J$2311,AF$1)</f>
        <v>0</v>
      </c>
      <c r="AG99" s="80">
        <f>SUMIFS('декабрь 2024'!$G$5:$G$2311,'декабрь 2024'!$D$5:$D$2311,$B99,'декабрь 2024'!$J$5:$J$2311,AG$1)</f>
        <v>0</v>
      </c>
      <c r="AH99" s="80">
        <f>SUMIFS('декабрь 2024'!$G$5:$G$2311,'декабрь 2024'!$D$5:$D$2311,$B99,'декабрь 2024'!$J$5:$J$2311,AH$1)</f>
        <v>0</v>
      </c>
      <c r="AI99" s="21">
        <f t="shared" si="1"/>
        <v>0</v>
      </c>
    </row>
    <row r="100" spans="2:35" ht="15" customHeight="1" x14ac:dyDescent="0.25">
      <c r="B100" s="89" t="s">
        <v>204</v>
      </c>
      <c r="C100" s="88">
        <v>200</v>
      </c>
      <c r="D100" s="80">
        <f>SUMIFS('декабрь 2024'!$G$5:$G$2311,'декабрь 2024'!$D$5:$D$2311,$B100,'декабрь 2024'!$J$5:$J$2311,D$1)</f>
        <v>0</v>
      </c>
      <c r="E100" s="80">
        <f>SUMIFS('декабрь 2024'!$G$5:$G$2311,'декабрь 2024'!$D$5:$D$2311,$B100,'декабрь 2024'!$J$5:$J$2311,E$1)</f>
        <v>0</v>
      </c>
      <c r="F100" s="80">
        <f>SUMIFS('декабрь 2024'!$G$5:$G$2311,'декабрь 2024'!$D$5:$D$2311,$B100,'декабрь 2024'!$J$5:$J$2311,F$1)</f>
        <v>0</v>
      </c>
      <c r="G100" s="80">
        <f>SUMIFS('декабрь 2024'!$G$5:$G$2311,'декабрь 2024'!$D$5:$D$2311,$B100,'декабрь 2024'!$J$5:$J$2311,G$1)</f>
        <v>0</v>
      </c>
      <c r="H100" s="80">
        <f>SUMIFS('декабрь 2024'!$G$5:$G$2311,'декабрь 2024'!$D$5:$D$2311,$B100,'декабрь 2024'!$J$5:$J$2311,H$1)</f>
        <v>0</v>
      </c>
      <c r="I100" s="80">
        <f>SUMIFS('декабрь 2024'!$G$5:$G$2311,'декабрь 2024'!$D$5:$D$2311,$B100,'декабрь 2024'!$J$5:$J$2311,I$1)</f>
        <v>28</v>
      </c>
      <c r="J100" s="80">
        <f>SUMIFS('декабрь 2024'!$G$5:$G$2311,'декабрь 2024'!$D$5:$D$2311,$B100,'декабрь 2024'!$J$5:$J$2311,J$1)</f>
        <v>0</v>
      </c>
      <c r="K100" s="80">
        <f>SUMIFS('декабрь 2024'!$G$5:$G$2311,'декабрь 2024'!$D$5:$D$2311,$B100,'декабрь 2024'!$J$5:$J$2311,K$1)</f>
        <v>0</v>
      </c>
      <c r="L100" s="80">
        <f>SUMIFS('декабрь 2024'!$G$5:$G$2311,'декабрь 2024'!$D$5:$D$2311,$B100,'декабрь 2024'!$J$5:$J$2311,L$1)</f>
        <v>0</v>
      </c>
      <c r="M100" s="80">
        <f>SUMIFS('декабрь 2024'!$G$5:$G$2311,'декабрь 2024'!$D$5:$D$2311,$B100,'декабрь 2024'!$J$5:$J$2311,M$1)</f>
        <v>28</v>
      </c>
      <c r="N100" s="80">
        <f>SUMIFS('декабрь 2024'!$G$5:$G$2311,'декабрь 2024'!$D$5:$D$2311,$B100,'декабрь 2024'!$J$5:$J$2311,N$1)</f>
        <v>0</v>
      </c>
      <c r="O100" s="80">
        <f>SUMIFS('декабрь 2024'!$G$5:$G$2311,'декабрь 2024'!$D$5:$D$2311,$B100,'декабрь 2024'!$J$5:$J$2311,O$1)</f>
        <v>0</v>
      </c>
      <c r="P100" s="80">
        <f>SUMIFS('декабрь 2024'!$G$5:$G$2311,'декабрь 2024'!$D$5:$D$2311,$B100,'декабрь 2024'!$J$5:$J$2311,P$1)</f>
        <v>0</v>
      </c>
      <c r="Q100" s="80">
        <f>SUMIFS('декабрь 2024'!$G$5:$G$2311,'декабрь 2024'!$D$5:$D$2311,$B100,'декабрь 2024'!$J$5:$J$2311,Q$1)</f>
        <v>0</v>
      </c>
      <c r="R100" s="80">
        <f>SUMIFS('декабрь 2024'!$G$5:$G$2311,'декабрь 2024'!$D$5:$D$2311,$B100,'декабрь 2024'!$J$5:$J$2311,R$1)</f>
        <v>0</v>
      </c>
      <c r="S100" s="80">
        <f>SUMIFS('декабрь 2024'!$G$5:$G$2311,'декабрь 2024'!$D$5:$D$2311,$B100,'декабрь 2024'!$J$5:$J$2311,S$1)</f>
        <v>0</v>
      </c>
      <c r="T100" s="80">
        <f>SUMIFS('декабрь 2024'!$G$5:$G$2311,'декабрь 2024'!$D$5:$D$2311,$B100,'декабрь 2024'!$J$5:$J$2311,T$1)</f>
        <v>0</v>
      </c>
      <c r="U100" s="80">
        <f>SUMIFS('декабрь 2024'!$G$5:$G$2311,'декабрь 2024'!$D$5:$D$2311,$B100,'декабрь 2024'!$J$5:$J$2311,U$1)</f>
        <v>0</v>
      </c>
      <c r="V100" s="80">
        <f>SUMIFS('декабрь 2024'!$G$5:$G$2311,'декабрь 2024'!$D$5:$D$2311,$B100,'декабрь 2024'!$J$5:$J$2311,V$1)</f>
        <v>0</v>
      </c>
      <c r="W100" s="80">
        <f>SUMIFS('декабрь 2024'!$G$5:$G$2311,'декабрь 2024'!$D$5:$D$2311,$B100,'декабрь 2024'!$J$5:$J$2311,W$1)</f>
        <v>0</v>
      </c>
      <c r="X100" s="80">
        <f>SUMIFS('декабрь 2024'!$G$5:$G$2311,'декабрь 2024'!$D$5:$D$2311,$B100,'декабрь 2024'!$J$5:$J$2311,X$1)</f>
        <v>0</v>
      </c>
      <c r="Y100" s="80">
        <f>SUMIFS('декабрь 2024'!$G$5:$G$2311,'декабрь 2024'!$D$5:$D$2311,$B100,'декабрь 2024'!$J$5:$J$2311,Y$1)</f>
        <v>0</v>
      </c>
      <c r="Z100" s="80">
        <f>SUMIFS('декабрь 2024'!$G$5:$G$2311,'декабрь 2024'!$D$5:$D$2311,$B100,'декабрь 2024'!$J$5:$J$2311,Z$1)</f>
        <v>0</v>
      </c>
      <c r="AA100" s="80">
        <f>SUMIFS('декабрь 2024'!$G$5:$G$2311,'декабрь 2024'!$D$5:$D$2311,$B100,'декабрь 2024'!$J$5:$J$2311,AA$1)</f>
        <v>0</v>
      </c>
      <c r="AB100" s="80">
        <f>SUMIFS('декабрь 2024'!$G$5:$G$2311,'декабрь 2024'!$D$5:$D$2311,$B100,'декабрь 2024'!$J$5:$J$2311,AB$1)</f>
        <v>68</v>
      </c>
      <c r="AC100" s="80">
        <f>SUMIFS('декабрь 2024'!$G$5:$G$2311,'декабрь 2024'!$D$5:$D$2311,$B100,'декабрь 2024'!$J$5:$J$2311,AC$1)</f>
        <v>0</v>
      </c>
      <c r="AD100" s="80">
        <f>SUMIFS('декабрь 2024'!$G$5:$G$2311,'декабрь 2024'!$D$5:$D$2311,$B100,'декабрь 2024'!$J$5:$J$2311,AD$1)</f>
        <v>0</v>
      </c>
      <c r="AE100" s="80">
        <f>SUMIFS('декабрь 2024'!$G$5:$G$2311,'декабрь 2024'!$D$5:$D$2311,$B100,'декабрь 2024'!$J$5:$J$2311,AE$1)</f>
        <v>0</v>
      </c>
      <c r="AF100" s="80">
        <f>SUMIFS('декабрь 2024'!$G$5:$G$2311,'декабрь 2024'!$D$5:$D$2311,$B100,'декабрь 2024'!$J$5:$J$2311,AF$1)</f>
        <v>0</v>
      </c>
      <c r="AG100" s="80">
        <f>SUMIFS('декабрь 2024'!$G$5:$G$2311,'декабрь 2024'!$D$5:$D$2311,$B100,'декабрь 2024'!$J$5:$J$2311,AG$1)</f>
        <v>0</v>
      </c>
      <c r="AH100" s="80">
        <f>SUMIFS('декабрь 2024'!$G$5:$G$2311,'декабрь 2024'!$D$5:$D$2311,$B100,'декабрь 2024'!$J$5:$J$2311,AH$1)</f>
        <v>0</v>
      </c>
      <c r="AI100" s="21">
        <f t="shared" si="1"/>
        <v>124</v>
      </c>
    </row>
    <row r="101" spans="2:35" ht="15" customHeight="1" x14ac:dyDescent="0.25">
      <c r="B101" s="92" t="s">
        <v>175</v>
      </c>
      <c r="C101" s="91">
        <v>180</v>
      </c>
      <c r="D101" s="80">
        <f>SUMIFS('декабрь 2024'!$G$5:$G$2311,'декабрь 2024'!$D$5:$D$2311,$B101,'декабрь 2024'!$J$5:$J$2311,D$1)</f>
        <v>0</v>
      </c>
      <c r="E101" s="80">
        <f>SUMIFS('декабрь 2024'!$G$5:$G$2311,'декабрь 2024'!$D$5:$D$2311,$B101,'декабрь 2024'!$J$5:$J$2311,E$1)</f>
        <v>0</v>
      </c>
      <c r="F101" s="80">
        <f>SUMIFS('декабрь 2024'!$G$5:$G$2311,'декабрь 2024'!$D$5:$D$2311,$B101,'декабрь 2024'!$J$5:$J$2311,F$1)</f>
        <v>0</v>
      </c>
      <c r="G101" s="80">
        <f>SUMIFS('декабрь 2024'!$G$5:$G$2311,'декабрь 2024'!$D$5:$D$2311,$B101,'декабрь 2024'!$J$5:$J$2311,G$1)</f>
        <v>0</v>
      </c>
      <c r="H101" s="80">
        <f>SUMIFS('декабрь 2024'!$G$5:$G$2311,'декабрь 2024'!$D$5:$D$2311,$B101,'декабрь 2024'!$J$5:$J$2311,H$1)</f>
        <v>0</v>
      </c>
      <c r="I101" s="80">
        <f>SUMIFS('декабрь 2024'!$G$5:$G$2311,'декабрь 2024'!$D$5:$D$2311,$B101,'декабрь 2024'!$J$5:$J$2311,I$1)</f>
        <v>0</v>
      </c>
      <c r="J101" s="80">
        <f>SUMIFS('декабрь 2024'!$G$5:$G$2311,'декабрь 2024'!$D$5:$D$2311,$B101,'декабрь 2024'!$J$5:$J$2311,J$1)</f>
        <v>0</v>
      </c>
      <c r="K101" s="80">
        <f>SUMIFS('декабрь 2024'!$G$5:$G$2311,'декабрь 2024'!$D$5:$D$2311,$B101,'декабрь 2024'!$J$5:$J$2311,K$1)</f>
        <v>0</v>
      </c>
      <c r="L101" s="80">
        <f>SUMIFS('декабрь 2024'!$G$5:$G$2311,'декабрь 2024'!$D$5:$D$2311,$B101,'декабрь 2024'!$J$5:$J$2311,L$1)</f>
        <v>0</v>
      </c>
      <c r="M101" s="80">
        <f>SUMIFS('декабрь 2024'!$G$5:$G$2311,'декабрь 2024'!$D$5:$D$2311,$B101,'декабрь 2024'!$J$5:$J$2311,M$1)</f>
        <v>0</v>
      </c>
      <c r="N101" s="80">
        <f>SUMIFS('декабрь 2024'!$G$5:$G$2311,'декабрь 2024'!$D$5:$D$2311,$B101,'декабрь 2024'!$J$5:$J$2311,N$1)</f>
        <v>0</v>
      </c>
      <c r="O101" s="80">
        <f>SUMIFS('декабрь 2024'!$G$5:$G$2311,'декабрь 2024'!$D$5:$D$2311,$B101,'декабрь 2024'!$J$5:$J$2311,O$1)</f>
        <v>0</v>
      </c>
      <c r="P101" s="80">
        <f>SUMIFS('декабрь 2024'!$G$5:$G$2311,'декабрь 2024'!$D$5:$D$2311,$B101,'декабрь 2024'!$J$5:$J$2311,P$1)</f>
        <v>0</v>
      </c>
      <c r="Q101" s="80">
        <f>SUMIFS('декабрь 2024'!$G$5:$G$2311,'декабрь 2024'!$D$5:$D$2311,$B101,'декабрь 2024'!$J$5:$J$2311,Q$1)</f>
        <v>0</v>
      </c>
      <c r="R101" s="80">
        <f>SUMIFS('декабрь 2024'!$G$5:$G$2311,'декабрь 2024'!$D$5:$D$2311,$B101,'декабрь 2024'!$J$5:$J$2311,R$1)</f>
        <v>0</v>
      </c>
      <c r="S101" s="80">
        <f>SUMIFS('декабрь 2024'!$G$5:$G$2311,'декабрь 2024'!$D$5:$D$2311,$B101,'декабрь 2024'!$J$5:$J$2311,S$1)</f>
        <v>0</v>
      </c>
      <c r="T101" s="80">
        <f>SUMIFS('декабрь 2024'!$G$5:$G$2311,'декабрь 2024'!$D$5:$D$2311,$B101,'декабрь 2024'!$J$5:$J$2311,T$1)</f>
        <v>0</v>
      </c>
      <c r="U101" s="80">
        <f>SUMIFS('декабрь 2024'!$G$5:$G$2311,'декабрь 2024'!$D$5:$D$2311,$B101,'декабрь 2024'!$J$5:$J$2311,U$1)</f>
        <v>0</v>
      </c>
      <c r="V101" s="80">
        <f>SUMIFS('декабрь 2024'!$G$5:$G$2311,'декабрь 2024'!$D$5:$D$2311,$B101,'декабрь 2024'!$J$5:$J$2311,V$1)</f>
        <v>0</v>
      </c>
      <c r="W101" s="80">
        <f>SUMIFS('декабрь 2024'!$G$5:$G$2311,'декабрь 2024'!$D$5:$D$2311,$B101,'декабрь 2024'!$J$5:$J$2311,W$1)</f>
        <v>0</v>
      </c>
      <c r="X101" s="80">
        <f>SUMIFS('декабрь 2024'!$G$5:$G$2311,'декабрь 2024'!$D$5:$D$2311,$B101,'декабрь 2024'!$J$5:$J$2311,X$1)</f>
        <v>0</v>
      </c>
      <c r="Y101" s="80">
        <f>SUMIFS('декабрь 2024'!$G$5:$G$2311,'декабрь 2024'!$D$5:$D$2311,$B101,'декабрь 2024'!$J$5:$J$2311,Y$1)</f>
        <v>0</v>
      </c>
      <c r="Z101" s="80">
        <f>SUMIFS('декабрь 2024'!$G$5:$G$2311,'декабрь 2024'!$D$5:$D$2311,$B101,'декабрь 2024'!$J$5:$J$2311,Z$1)</f>
        <v>0</v>
      </c>
      <c r="AA101" s="80">
        <f>SUMIFS('декабрь 2024'!$G$5:$G$2311,'декабрь 2024'!$D$5:$D$2311,$B101,'декабрь 2024'!$J$5:$J$2311,AA$1)</f>
        <v>0</v>
      </c>
      <c r="AB101" s="80">
        <f>SUMIFS('декабрь 2024'!$G$5:$G$2311,'декабрь 2024'!$D$5:$D$2311,$B101,'декабрь 2024'!$J$5:$J$2311,AB$1)</f>
        <v>0</v>
      </c>
      <c r="AC101" s="80">
        <f>SUMIFS('декабрь 2024'!$G$5:$G$2311,'декабрь 2024'!$D$5:$D$2311,$B101,'декабрь 2024'!$J$5:$J$2311,AC$1)</f>
        <v>0</v>
      </c>
      <c r="AD101" s="80">
        <f>SUMIFS('декабрь 2024'!$G$5:$G$2311,'декабрь 2024'!$D$5:$D$2311,$B101,'декабрь 2024'!$J$5:$J$2311,AD$1)</f>
        <v>0</v>
      </c>
      <c r="AE101" s="80">
        <f>SUMIFS('декабрь 2024'!$G$5:$G$2311,'декабрь 2024'!$D$5:$D$2311,$B101,'декабрь 2024'!$J$5:$J$2311,AE$1)</f>
        <v>0</v>
      </c>
      <c r="AF101" s="80">
        <f>SUMIFS('декабрь 2024'!$G$5:$G$2311,'декабрь 2024'!$D$5:$D$2311,$B101,'декабрь 2024'!$J$5:$J$2311,AF$1)</f>
        <v>0</v>
      </c>
      <c r="AG101" s="80">
        <f>SUMIFS('декабрь 2024'!$G$5:$G$2311,'декабрь 2024'!$D$5:$D$2311,$B101,'декабрь 2024'!$J$5:$J$2311,AG$1)</f>
        <v>0</v>
      </c>
      <c r="AH101" s="80">
        <f>SUMIFS('декабрь 2024'!$G$5:$G$2311,'декабрь 2024'!$D$5:$D$2311,$B101,'декабрь 2024'!$J$5:$J$2311,AH$1)</f>
        <v>0</v>
      </c>
      <c r="AI101" s="21">
        <f t="shared" si="1"/>
        <v>0</v>
      </c>
    </row>
    <row r="102" spans="2:35" ht="15" customHeight="1" x14ac:dyDescent="0.25">
      <c r="B102" s="89" t="s">
        <v>176</v>
      </c>
      <c r="C102" s="91">
        <v>200</v>
      </c>
      <c r="D102" s="80">
        <f>SUMIFS('декабрь 2024'!$G$5:$G$2311,'декабрь 2024'!$D$5:$D$2311,$B102,'декабрь 2024'!$J$5:$J$2311,D$1)</f>
        <v>0</v>
      </c>
      <c r="E102" s="80">
        <f>SUMIFS('декабрь 2024'!$G$5:$G$2311,'декабрь 2024'!$D$5:$D$2311,$B102,'декабрь 2024'!$J$5:$J$2311,E$1)</f>
        <v>0</v>
      </c>
      <c r="F102" s="80">
        <f>SUMIFS('декабрь 2024'!$G$5:$G$2311,'декабрь 2024'!$D$5:$D$2311,$B102,'декабрь 2024'!$J$5:$J$2311,F$1)</f>
        <v>0</v>
      </c>
      <c r="G102" s="80">
        <f>SUMIFS('декабрь 2024'!$G$5:$G$2311,'декабрь 2024'!$D$5:$D$2311,$B102,'декабрь 2024'!$J$5:$J$2311,G$1)</f>
        <v>0</v>
      </c>
      <c r="H102" s="80">
        <f>SUMIFS('декабрь 2024'!$G$5:$G$2311,'декабрь 2024'!$D$5:$D$2311,$B102,'декабрь 2024'!$J$5:$J$2311,H$1)</f>
        <v>0</v>
      </c>
      <c r="I102" s="80">
        <f>SUMIFS('декабрь 2024'!$G$5:$G$2311,'декабрь 2024'!$D$5:$D$2311,$B102,'декабрь 2024'!$J$5:$J$2311,I$1)</f>
        <v>0</v>
      </c>
      <c r="J102" s="80">
        <f>SUMIFS('декабрь 2024'!$G$5:$G$2311,'декабрь 2024'!$D$5:$D$2311,$B102,'декабрь 2024'!$J$5:$J$2311,J$1)</f>
        <v>0</v>
      </c>
      <c r="K102" s="80">
        <f>SUMIFS('декабрь 2024'!$G$5:$G$2311,'декабрь 2024'!$D$5:$D$2311,$B102,'декабрь 2024'!$J$5:$J$2311,K$1)</f>
        <v>0</v>
      </c>
      <c r="L102" s="80">
        <f>SUMIFS('декабрь 2024'!$G$5:$G$2311,'декабрь 2024'!$D$5:$D$2311,$B102,'декабрь 2024'!$J$5:$J$2311,L$1)</f>
        <v>0</v>
      </c>
      <c r="M102" s="80">
        <f>SUMIFS('декабрь 2024'!$G$5:$G$2311,'декабрь 2024'!$D$5:$D$2311,$B102,'декабрь 2024'!$J$5:$J$2311,M$1)</f>
        <v>0</v>
      </c>
      <c r="N102" s="80">
        <f>SUMIFS('декабрь 2024'!$G$5:$G$2311,'декабрь 2024'!$D$5:$D$2311,$B102,'декабрь 2024'!$J$5:$J$2311,N$1)</f>
        <v>0</v>
      </c>
      <c r="O102" s="80">
        <f>SUMIFS('декабрь 2024'!$G$5:$G$2311,'декабрь 2024'!$D$5:$D$2311,$B102,'декабрь 2024'!$J$5:$J$2311,O$1)</f>
        <v>0</v>
      </c>
      <c r="P102" s="80">
        <f>SUMIFS('декабрь 2024'!$G$5:$G$2311,'декабрь 2024'!$D$5:$D$2311,$B102,'декабрь 2024'!$J$5:$J$2311,P$1)</f>
        <v>0</v>
      </c>
      <c r="Q102" s="80">
        <f>SUMIFS('декабрь 2024'!$G$5:$G$2311,'декабрь 2024'!$D$5:$D$2311,$B102,'декабрь 2024'!$J$5:$J$2311,Q$1)</f>
        <v>0</v>
      </c>
      <c r="R102" s="80">
        <f>SUMIFS('декабрь 2024'!$G$5:$G$2311,'декабрь 2024'!$D$5:$D$2311,$B102,'декабрь 2024'!$J$5:$J$2311,R$1)</f>
        <v>0</v>
      </c>
      <c r="S102" s="80">
        <f>SUMIFS('декабрь 2024'!$G$5:$G$2311,'декабрь 2024'!$D$5:$D$2311,$B102,'декабрь 2024'!$J$5:$J$2311,S$1)</f>
        <v>0</v>
      </c>
      <c r="T102" s="80">
        <f>SUMIFS('декабрь 2024'!$G$5:$G$2311,'декабрь 2024'!$D$5:$D$2311,$B102,'декабрь 2024'!$J$5:$J$2311,T$1)</f>
        <v>0</v>
      </c>
      <c r="U102" s="80">
        <f>SUMIFS('декабрь 2024'!$G$5:$G$2311,'декабрь 2024'!$D$5:$D$2311,$B102,'декабрь 2024'!$J$5:$J$2311,U$1)</f>
        <v>0</v>
      </c>
      <c r="V102" s="80">
        <f>SUMIFS('декабрь 2024'!$G$5:$G$2311,'декабрь 2024'!$D$5:$D$2311,$B102,'декабрь 2024'!$J$5:$J$2311,V$1)</f>
        <v>0</v>
      </c>
      <c r="W102" s="80">
        <f>SUMIFS('декабрь 2024'!$G$5:$G$2311,'декабрь 2024'!$D$5:$D$2311,$B102,'декабрь 2024'!$J$5:$J$2311,W$1)</f>
        <v>0</v>
      </c>
      <c r="X102" s="80">
        <f>SUMIFS('декабрь 2024'!$G$5:$G$2311,'декабрь 2024'!$D$5:$D$2311,$B102,'декабрь 2024'!$J$5:$J$2311,X$1)</f>
        <v>0</v>
      </c>
      <c r="Y102" s="80">
        <f>SUMIFS('декабрь 2024'!$G$5:$G$2311,'декабрь 2024'!$D$5:$D$2311,$B102,'декабрь 2024'!$J$5:$J$2311,Y$1)</f>
        <v>0</v>
      </c>
      <c r="Z102" s="80">
        <f>SUMIFS('декабрь 2024'!$G$5:$G$2311,'декабрь 2024'!$D$5:$D$2311,$B102,'декабрь 2024'!$J$5:$J$2311,Z$1)</f>
        <v>0</v>
      </c>
      <c r="AA102" s="80">
        <f>SUMIFS('декабрь 2024'!$G$5:$G$2311,'декабрь 2024'!$D$5:$D$2311,$B102,'декабрь 2024'!$J$5:$J$2311,AA$1)</f>
        <v>0</v>
      </c>
      <c r="AB102" s="80">
        <f>SUMIFS('декабрь 2024'!$G$5:$G$2311,'декабрь 2024'!$D$5:$D$2311,$B102,'декабрь 2024'!$J$5:$J$2311,AB$1)</f>
        <v>0</v>
      </c>
      <c r="AC102" s="80">
        <f>SUMIFS('декабрь 2024'!$G$5:$G$2311,'декабрь 2024'!$D$5:$D$2311,$B102,'декабрь 2024'!$J$5:$J$2311,AC$1)</f>
        <v>0</v>
      </c>
      <c r="AD102" s="80">
        <f>SUMIFS('декабрь 2024'!$G$5:$G$2311,'декабрь 2024'!$D$5:$D$2311,$B102,'декабрь 2024'!$J$5:$J$2311,AD$1)</f>
        <v>0</v>
      </c>
      <c r="AE102" s="80">
        <f>SUMIFS('декабрь 2024'!$G$5:$G$2311,'декабрь 2024'!$D$5:$D$2311,$B102,'декабрь 2024'!$J$5:$J$2311,AE$1)</f>
        <v>0</v>
      </c>
      <c r="AF102" s="80">
        <f>SUMIFS('декабрь 2024'!$G$5:$G$2311,'декабрь 2024'!$D$5:$D$2311,$B102,'декабрь 2024'!$J$5:$J$2311,AF$1)</f>
        <v>0</v>
      </c>
      <c r="AG102" s="80">
        <f>SUMIFS('декабрь 2024'!$G$5:$G$2311,'декабрь 2024'!$D$5:$D$2311,$B102,'декабрь 2024'!$J$5:$J$2311,AG$1)</f>
        <v>0</v>
      </c>
      <c r="AH102" s="80">
        <f>SUMIFS('декабрь 2024'!$G$5:$G$2311,'декабрь 2024'!$D$5:$D$2311,$B102,'декабрь 2024'!$J$5:$J$2311,AH$1)</f>
        <v>0</v>
      </c>
      <c r="AI102" s="21">
        <f t="shared" si="1"/>
        <v>0</v>
      </c>
    </row>
    <row r="103" spans="2:35" ht="15" customHeight="1" x14ac:dyDescent="0.25">
      <c r="B103" s="89" t="s">
        <v>205</v>
      </c>
      <c r="C103" s="88">
        <v>185</v>
      </c>
      <c r="D103" s="80">
        <f>SUMIFS('декабрь 2024'!$G$5:$G$2311,'декабрь 2024'!$D$5:$D$2311,$B103,'декабрь 2024'!$J$5:$J$2311,D$1)</f>
        <v>0</v>
      </c>
      <c r="E103" s="80">
        <f>SUMIFS('декабрь 2024'!$G$5:$G$2311,'декабрь 2024'!$D$5:$D$2311,$B103,'декабрь 2024'!$J$5:$J$2311,E$1)</f>
        <v>0</v>
      </c>
      <c r="F103" s="80">
        <f>SUMIFS('декабрь 2024'!$G$5:$G$2311,'декабрь 2024'!$D$5:$D$2311,$B103,'декабрь 2024'!$J$5:$J$2311,F$1)</f>
        <v>0</v>
      </c>
      <c r="G103" s="80">
        <f>SUMIFS('декабрь 2024'!$G$5:$G$2311,'декабрь 2024'!$D$5:$D$2311,$B103,'декабрь 2024'!$J$5:$J$2311,G$1)</f>
        <v>0</v>
      </c>
      <c r="H103" s="80">
        <f>SUMIFS('декабрь 2024'!$G$5:$G$2311,'декабрь 2024'!$D$5:$D$2311,$B103,'декабрь 2024'!$J$5:$J$2311,H$1)</f>
        <v>0</v>
      </c>
      <c r="I103" s="80">
        <f>SUMIFS('декабрь 2024'!$G$5:$G$2311,'декабрь 2024'!$D$5:$D$2311,$B103,'декабрь 2024'!$J$5:$J$2311,I$1)</f>
        <v>0</v>
      </c>
      <c r="J103" s="80">
        <f>SUMIFS('декабрь 2024'!$G$5:$G$2311,'декабрь 2024'!$D$5:$D$2311,$B103,'декабрь 2024'!$J$5:$J$2311,J$1)</f>
        <v>0</v>
      </c>
      <c r="K103" s="80">
        <f>SUMIFS('декабрь 2024'!$G$5:$G$2311,'декабрь 2024'!$D$5:$D$2311,$B103,'декабрь 2024'!$J$5:$J$2311,K$1)</f>
        <v>0</v>
      </c>
      <c r="L103" s="80">
        <f>SUMIFS('декабрь 2024'!$G$5:$G$2311,'декабрь 2024'!$D$5:$D$2311,$B103,'декабрь 2024'!$J$5:$J$2311,L$1)</f>
        <v>0</v>
      </c>
      <c r="M103" s="80">
        <f>SUMIFS('декабрь 2024'!$G$5:$G$2311,'декабрь 2024'!$D$5:$D$2311,$B103,'декабрь 2024'!$J$5:$J$2311,M$1)</f>
        <v>0</v>
      </c>
      <c r="N103" s="80">
        <f>SUMIFS('декабрь 2024'!$G$5:$G$2311,'декабрь 2024'!$D$5:$D$2311,$B103,'декабрь 2024'!$J$5:$J$2311,N$1)</f>
        <v>0</v>
      </c>
      <c r="O103" s="80">
        <f>SUMIFS('декабрь 2024'!$G$5:$G$2311,'декабрь 2024'!$D$5:$D$2311,$B103,'декабрь 2024'!$J$5:$J$2311,O$1)</f>
        <v>0</v>
      </c>
      <c r="P103" s="80">
        <f>SUMIFS('декабрь 2024'!$G$5:$G$2311,'декабрь 2024'!$D$5:$D$2311,$B103,'декабрь 2024'!$J$5:$J$2311,P$1)</f>
        <v>0</v>
      </c>
      <c r="Q103" s="80">
        <f>SUMIFS('декабрь 2024'!$G$5:$G$2311,'декабрь 2024'!$D$5:$D$2311,$B103,'декабрь 2024'!$J$5:$J$2311,Q$1)</f>
        <v>0</v>
      </c>
      <c r="R103" s="80">
        <f>SUMIFS('декабрь 2024'!$G$5:$G$2311,'декабрь 2024'!$D$5:$D$2311,$B103,'декабрь 2024'!$J$5:$J$2311,R$1)</f>
        <v>0</v>
      </c>
      <c r="S103" s="80">
        <f>SUMIFS('декабрь 2024'!$G$5:$G$2311,'декабрь 2024'!$D$5:$D$2311,$B103,'декабрь 2024'!$J$5:$J$2311,S$1)</f>
        <v>24</v>
      </c>
      <c r="T103" s="80">
        <f>SUMIFS('декабрь 2024'!$G$5:$G$2311,'декабрь 2024'!$D$5:$D$2311,$B103,'декабрь 2024'!$J$5:$J$2311,T$1)</f>
        <v>0</v>
      </c>
      <c r="U103" s="80">
        <f>SUMIFS('декабрь 2024'!$G$5:$G$2311,'декабрь 2024'!$D$5:$D$2311,$B103,'декабрь 2024'!$J$5:$J$2311,U$1)</f>
        <v>0</v>
      </c>
      <c r="V103" s="80">
        <f>SUMIFS('декабрь 2024'!$G$5:$G$2311,'декабрь 2024'!$D$5:$D$2311,$B103,'декабрь 2024'!$J$5:$J$2311,V$1)</f>
        <v>0</v>
      </c>
      <c r="W103" s="80">
        <f>SUMIFS('декабрь 2024'!$G$5:$G$2311,'декабрь 2024'!$D$5:$D$2311,$B103,'декабрь 2024'!$J$5:$J$2311,W$1)</f>
        <v>0</v>
      </c>
      <c r="X103" s="80">
        <f>SUMIFS('декабрь 2024'!$G$5:$G$2311,'декабрь 2024'!$D$5:$D$2311,$B103,'декабрь 2024'!$J$5:$J$2311,X$1)</f>
        <v>0</v>
      </c>
      <c r="Y103" s="80">
        <f>SUMIFS('декабрь 2024'!$G$5:$G$2311,'декабрь 2024'!$D$5:$D$2311,$B103,'декабрь 2024'!$J$5:$J$2311,Y$1)</f>
        <v>0</v>
      </c>
      <c r="Z103" s="80">
        <f>SUMIFS('декабрь 2024'!$G$5:$G$2311,'декабрь 2024'!$D$5:$D$2311,$B103,'декабрь 2024'!$J$5:$J$2311,Z$1)</f>
        <v>0</v>
      </c>
      <c r="AA103" s="80">
        <f>SUMIFS('декабрь 2024'!$G$5:$G$2311,'декабрь 2024'!$D$5:$D$2311,$B103,'декабрь 2024'!$J$5:$J$2311,AA$1)</f>
        <v>0</v>
      </c>
      <c r="AB103" s="80">
        <f>SUMIFS('декабрь 2024'!$G$5:$G$2311,'декабрь 2024'!$D$5:$D$2311,$B103,'декабрь 2024'!$J$5:$J$2311,AB$1)</f>
        <v>0</v>
      </c>
      <c r="AC103" s="80">
        <f>SUMIFS('декабрь 2024'!$G$5:$G$2311,'декабрь 2024'!$D$5:$D$2311,$B103,'декабрь 2024'!$J$5:$J$2311,AC$1)</f>
        <v>0</v>
      </c>
      <c r="AD103" s="80">
        <f>SUMIFS('декабрь 2024'!$G$5:$G$2311,'декабрь 2024'!$D$5:$D$2311,$B103,'декабрь 2024'!$J$5:$J$2311,AD$1)</f>
        <v>0</v>
      </c>
      <c r="AE103" s="80">
        <f>SUMIFS('декабрь 2024'!$G$5:$G$2311,'декабрь 2024'!$D$5:$D$2311,$B103,'декабрь 2024'!$J$5:$J$2311,AE$1)</f>
        <v>0</v>
      </c>
      <c r="AF103" s="80">
        <f>SUMIFS('декабрь 2024'!$G$5:$G$2311,'декабрь 2024'!$D$5:$D$2311,$B103,'декабрь 2024'!$J$5:$J$2311,AF$1)</f>
        <v>0</v>
      </c>
      <c r="AG103" s="80">
        <f>SUMIFS('декабрь 2024'!$G$5:$G$2311,'декабрь 2024'!$D$5:$D$2311,$B103,'декабрь 2024'!$J$5:$J$2311,AG$1)</f>
        <v>0</v>
      </c>
      <c r="AH103" s="80">
        <f>SUMIFS('декабрь 2024'!$G$5:$G$2311,'декабрь 2024'!$D$5:$D$2311,$B103,'декабрь 2024'!$J$5:$J$2311,AH$1)</f>
        <v>0</v>
      </c>
      <c r="AI103" s="21">
        <f t="shared" si="1"/>
        <v>24</v>
      </c>
    </row>
    <row r="104" spans="2:35" ht="15" customHeight="1" x14ac:dyDescent="0.25">
      <c r="B104" s="89" t="s">
        <v>206</v>
      </c>
      <c r="C104" s="88">
        <v>185</v>
      </c>
      <c r="D104" s="80">
        <f>SUMIFS('декабрь 2024'!$G$5:$G$2311,'декабрь 2024'!$D$5:$D$2311,$B104,'декабрь 2024'!$J$5:$J$2311,D$1)</f>
        <v>0</v>
      </c>
      <c r="E104" s="80">
        <f>SUMIFS('декабрь 2024'!$G$5:$G$2311,'декабрь 2024'!$D$5:$D$2311,$B104,'декабрь 2024'!$J$5:$J$2311,E$1)</f>
        <v>0</v>
      </c>
      <c r="F104" s="80">
        <f>SUMIFS('декабрь 2024'!$G$5:$G$2311,'декабрь 2024'!$D$5:$D$2311,$B104,'декабрь 2024'!$J$5:$J$2311,F$1)</f>
        <v>0</v>
      </c>
      <c r="G104" s="80">
        <f>SUMIFS('декабрь 2024'!$G$5:$G$2311,'декабрь 2024'!$D$5:$D$2311,$B104,'декабрь 2024'!$J$5:$J$2311,G$1)</f>
        <v>0</v>
      </c>
      <c r="H104" s="80">
        <f>SUMIFS('декабрь 2024'!$G$5:$G$2311,'декабрь 2024'!$D$5:$D$2311,$B104,'декабрь 2024'!$J$5:$J$2311,H$1)</f>
        <v>0</v>
      </c>
      <c r="I104" s="80">
        <f>SUMIFS('декабрь 2024'!$G$5:$G$2311,'декабрь 2024'!$D$5:$D$2311,$B104,'декабрь 2024'!$J$5:$J$2311,I$1)</f>
        <v>0</v>
      </c>
      <c r="J104" s="80">
        <f>SUMIFS('декабрь 2024'!$G$5:$G$2311,'декабрь 2024'!$D$5:$D$2311,$B104,'декабрь 2024'!$J$5:$J$2311,J$1)</f>
        <v>0</v>
      </c>
      <c r="K104" s="80">
        <f>SUMIFS('декабрь 2024'!$G$5:$G$2311,'декабрь 2024'!$D$5:$D$2311,$B104,'декабрь 2024'!$J$5:$J$2311,K$1)</f>
        <v>0</v>
      </c>
      <c r="L104" s="80">
        <f>SUMIFS('декабрь 2024'!$G$5:$G$2311,'декабрь 2024'!$D$5:$D$2311,$B104,'декабрь 2024'!$J$5:$J$2311,L$1)</f>
        <v>0</v>
      </c>
      <c r="M104" s="80">
        <f>SUMIFS('декабрь 2024'!$G$5:$G$2311,'декабрь 2024'!$D$5:$D$2311,$B104,'декабрь 2024'!$J$5:$J$2311,M$1)</f>
        <v>0</v>
      </c>
      <c r="N104" s="80">
        <f>SUMIFS('декабрь 2024'!$G$5:$G$2311,'декабрь 2024'!$D$5:$D$2311,$B104,'декабрь 2024'!$J$5:$J$2311,N$1)</f>
        <v>0</v>
      </c>
      <c r="O104" s="80">
        <f>SUMIFS('декабрь 2024'!$G$5:$G$2311,'декабрь 2024'!$D$5:$D$2311,$B104,'декабрь 2024'!$J$5:$J$2311,O$1)</f>
        <v>0</v>
      </c>
      <c r="P104" s="80">
        <f>SUMIFS('декабрь 2024'!$G$5:$G$2311,'декабрь 2024'!$D$5:$D$2311,$B104,'декабрь 2024'!$J$5:$J$2311,P$1)</f>
        <v>0</v>
      </c>
      <c r="Q104" s="80">
        <f>SUMIFS('декабрь 2024'!$G$5:$G$2311,'декабрь 2024'!$D$5:$D$2311,$B104,'декабрь 2024'!$J$5:$J$2311,Q$1)</f>
        <v>0</v>
      </c>
      <c r="R104" s="80">
        <f>SUMIFS('декабрь 2024'!$G$5:$G$2311,'декабрь 2024'!$D$5:$D$2311,$B104,'декабрь 2024'!$J$5:$J$2311,R$1)</f>
        <v>0</v>
      </c>
      <c r="S104" s="80">
        <f>SUMIFS('декабрь 2024'!$G$5:$G$2311,'декабрь 2024'!$D$5:$D$2311,$B104,'декабрь 2024'!$J$5:$J$2311,S$1)</f>
        <v>0</v>
      </c>
      <c r="T104" s="80">
        <f>SUMIFS('декабрь 2024'!$G$5:$G$2311,'декабрь 2024'!$D$5:$D$2311,$B104,'декабрь 2024'!$J$5:$J$2311,T$1)</f>
        <v>0</v>
      </c>
      <c r="U104" s="80">
        <f>SUMIFS('декабрь 2024'!$G$5:$G$2311,'декабрь 2024'!$D$5:$D$2311,$B104,'декабрь 2024'!$J$5:$J$2311,U$1)</f>
        <v>0</v>
      </c>
      <c r="V104" s="80">
        <f>SUMIFS('декабрь 2024'!$G$5:$G$2311,'декабрь 2024'!$D$5:$D$2311,$B104,'декабрь 2024'!$J$5:$J$2311,V$1)</f>
        <v>0</v>
      </c>
      <c r="W104" s="80">
        <f>SUMIFS('декабрь 2024'!$G$5:$G$2311,'декабрь 2024'!$D$5:$D$2311,$B104,'декабрь 2024'!$J$5:$J$2311,W$1)</f>
        <v>0</v>
      </c>
      <c r="X104" s="80">
        <f>SUMIFS('декабрь 2024'!$G$5:$G$2311,'декабрь 2024'!$D$5:$D$2311,$B104,'декабрь 2024'!$J$5:$J$2311,X$1)</f>
        <v>0</v>
      </c>
      <c r="Y104" s="80">
        <f>SUMIFS('декабрь 2024'!$G$5:$G$2311,'декабрь 2024'!$D$5:$D$2311,$B104,'декабрь 2024'!$J$5:$J$2311,Y$1)</f>
        <v>0</v>
      </c>
      <c r="Z104" s="80">
        <f>SUMIFS('декабрь 2024'!$G$5:$G$2311,'декабрь 2024'!$D$5:$D$2311,$B104,'декабрь 2024'!$J$5:$J$2311,Z$1)</f>
        <v>0</v>
      </c>
      <c r="AA104" s="80">
        <f>SUMIFS('декабрь 2024'!$G$5:$G$2311,'декабрь 2024'!$D$5:$D$2311,$B104,'декабрь 2024'!$J$5:$J$2311,AA$1)</f>
        <v>0</v>
      </c>
      <c r="AB104" s="80">
        <f>SUMIFS('декабрь 2024'!$G$5:$G$2311,'декабрь 2024'!$D$5:$D$2311,$B104,'декабрь 2024'!$J$5:$J$2311,AB$1)</f>
        <v>0</v>
      </c>
      <c r="AC104" s="80">
        <f>SUMIFS('декабрь 2024'!$G$5:$G$2311,'декабрь 2024'!$D$5:$D$2311,$B104,'декабрь 2024'!$J$5:$J$2311,AC$1)</f>
        <v>0</v>
      </c>
      <c r="AD104" s="80">
        <f>SUMIFS('декабрь 2024'!$G$5:$G$2311,'декабрь 2024'!$D$5:$D$2311,$B104,'декабрь 2024'!$J$5:$J$2311,AD$1)</f>
        <v>0</v>
      </c>
      <c r="AE104" s="80">
        <f>SUMIFS('декабрь 2024'!$G$5:$G$2311,'декабрь 2024'!$D$5:$D$2311,$B104,'декабрь 2024'!$J$5:$J$2311,AE$1)</f>
        <v>0</v>
      </c>
      <c r="AF104" s="80">
        <f>SUMIFS('декабрь 2024'!$G$5:$G$2311,'декабрь 2024'!$D$5:$D$2311,$B104,'декабрь 2024'!$J$5:$J$2311,AF$1)</f>
        <v>0</v>
      </c>
      <c r="AG104" s="80">
        <f>SUMIFS('декабрь 2024'!$G$5:$G$2311,'декабрь 2024'!$D$5:$D$2311,$B104,'декабрь 2024'!$J$5:$J$2311,AG$1)</f>
        <v>0</v>
      </c>
      <c r="AH104" s="80">
        <f>SUMIFS('декабрь 2024'!$G$5:$G$2311,'декабрь 2024'!$D$5:$D$2311,$B104,'декабрь 2024'!$J$5:$J$2311,AH$1)</f>
        <v>0</v>
      </c>
      <c r="AI104" s="21">
        <f t="shared" si="1"/>
        <v>0</v>
      </c>
    </row>
    <row r="105" spans="2:35" ht="15" customHeight="1" x14ac:dyDescent="0.25">
      <c r="B105" s="89" t="s">
        <v>324</v>
      </c>
      <c r="C105" s="88">
        <v>180</v>
      </c>
      <c r="D105" s="80">
        <f>SUMIFS('декабрь 2024'!$G$5:$G$2311,'декабрь 2024'!$D$5:$D$2311,$B105,'декабрь 2024'!$J$5:$J$2311,D$1)</f>
        <v>0</v>
      </c>
      <c r="E105" s="80">
        <f>SUMIFS('декабрь 2024'!$G$5:$G$2311,'декабрь 2024'!$D$5:$D$2311,$B105,'декабрь 2024'!$J$5:$J$2311,E$1)</f>
        <v>0</v>
      </c>
      <c r="F105" s="80">
        <f>SUMIFS('декабрь 2024'!$G$5:$G$2311,'декабрь 2024'!$D$5:$D$2311,$B105,'декабрь 2024'!$J$5:$J$2311,F$1)</f>
        <v>0</v>
      </c>
      <c r="G105" s="80">
        <f>SUMIFS('декабрь 2024'!$G$5:$G$2311,'декабрь 2024'!$D$5:$D$2311,$B105,'декабрь 2024'!$J$5:$J$2311,G$1)</f>
        <v>0</v>
      </c>
      <c r="H105" s="80">
        <f>SUMIFS('декабрь 2024'!$G$5:$G$2311,'декабрь 2024'!$D$5:$D$2311,$B105,'декабрь 2024'!$J$5:$J$2311,H$1)</f>
        <v>0</v>
      </c>
      <c r="I105" s="80">
        <f>SUMIFS('декабрь 2024'!$G$5:$G$2311,'декабрь 2024'!$D$5:$D$2311,$B105,'декабрь 2024'!$J$5:$J$2311,I$1)</f>
        <v>0</v>
      </c>
      <c r="J105" s="80">
        <f>SUMIFS('декабрь 2024'!$G$5:$G$2311,'декабрь 2024'!$D$5:$D$2311,$B105,'декабрь 2024'!$J$5:$J$2311,J$1)</f>
        <v>0</v>
      </c>
      <c r="K105" s="80">
        <f>SUMIFS('декабрь 2024'!$G$5:$G$2311,'декабрь 2024'!$D$5:$D$2311,$B105,'декабрь 2024'!$J$5:$J$2311,K$1)</f>
        <v>0</v>
      </c>
      <c r="L105" s="80">
        <f>SUMIFS('декабрь 2024'!$G$5:$G$2311,'декабрь 2024'!$D$5:$D$2311,$B105,'декабрь 2024'!$J$5:$J$2311,L$1)</f>
        <v>0</v>
      </c>
      <c r="M105" s="80">
        <f>SUMIFS('декабрь 2024'!$G$5:$G$2311,'декабрь 2024'!$D$5:$D$2311,$B105,'декабрь 2024'!$J$5:$J$2311,M$1)</f>
        <v>0</v>
      </c>
      <c r="N105" s="80">
        <f>SUMIFS('декабрь 2024'!$G$5:$G$2311,'декабрь 2024'!$D$5:$D$2311,$B105,'декабрь 2024'!$J$5:$J$2311,N$1)</f>
        <v>0</v>
      </c>
      <c r="O105" s="80">
        <f>SUMIFS('декабрь 2024'!$G$5:$G$2311,'декабрь 2024'!$D$5:$D$2311,$B105,'декабрь 2024'!$J$5:$J$2311,O$1)</f>
        <v>0</v>
      </c>
      <c r="P105" s="80">
        <f>SUMIFS('декабрь 2024'!$G$5:$G$2311,'декабрь 2024'!$D$5:$D$2311,$B105,'декабрь 2024'!$J$5:$J$2311,P$1)</f>
        <v>0</v>
      </c>
      <c r="Q105" s="80">
        <f>SUMIFS('декабрь 2024'!$G$5:$G$2311,'декабрь 2024'!$D$5:$D$2311,$B105,'декабрь 2024'!$J$5:$J$2311,Q$1)</f>
        <v>0</v>
      </c>
      <c r="R105" s="80">
        <f>SUMIFS('декабрь 2024'!$G$5:$G$2311,'декабрь 2024'!$D$5:$D$2311,$B105,'декабрь 2024'!$J$5:$J$2311,R$1)</f>
        <v>0</v>
      </c>
      <c r="S105" s="80">
        <f>SUMIFS('декабрь 2024'!$G$5:$G$2311,'декабрь 2024'!$D$5:$D$2311,$B105,'декабрь 2024'!$J$5:$J$2311,S$1)</f>
        <v>0</v>
      </c>
      <c r="T105" s="80">
        <f>SUMIFS('декабрь 2024'!$G$5:$G$2311,'декабрь 2024'!$D$5:$D$2311,$B105,'декабрь 2024'!$J$5:$J$2311,T$1)</f>
        <v>0</v>
      </c>
      <c r="U105" s="80">
        <f>SUMIFS('декабрь 2024'!$G$5:$G$2311,'декабрь 2024'!$D$5:$D$2311,$B105,'декабрь 2024'!$J$5:$J$2311,U$1)</f>
        <v>0</v>
      </c>
      <c r="V105" s="80">
        <f>SUMIFS('декабрь 2024'!$G$5:$G$2311,'декабрь 2024'!$D$5:$D$2311,$B105,'декабрь 2024'!$J$5:$J$2311,V$1)</f>
        <v>0</v>
      </c>
      <c r="W105" s="80">
        <f>SUMIFS('декабрь 2024'!$G$5:$G$2311,'декабрь 2024'!$D$5:$D$2311,$B105,'декабрь 2024'!$J$5:$J$2311,W$1)</f>
        <v>0</v>
      </c>
      <c r="X105" s="80">
        <f>SUMIFS('декабрь 2024'!$G$5:$G$2311,'декабрь 2024'!$D$5:$D$2311,$B105,'декабрь 2024'!$J$5:$J$2311,X$1)</f>
        <v>0</v>
      </c>
      <c r="Y105" s="80">
        <f>SUMIFS('декабрь 2024'!$G$5:$G$2311,'декабрь 2024'!$D$5:$D$2311,$B105,'декабрь 2024'!$J$5:$J$2311,Y$1)</f>
        <v>0</v>
      </c>
      <c r="Z105" s="80">
        <f>SUMIFS('декабрь 2024'!$G$5:$G$2311,'декабрь 2024'!$D$5:$D$2311,$B105,'декабрь 2024'!$J$5:$J$2311,Z$1)</f>
        <v>0</v>
      </c>
      <c r="AA105" s="80">
        <f>SUMIFS('декабрь 2024'!$G$5:$G$2311,'декабрь 2024'!$D$5:$D$2311,$B105,'декабрь 2024'!$J$5:$J$2311,AA$1)</f>
        <v>0</v>
      </c>
      <c r="AB105" s="80">
        <f>SUMIFS('декабрь 2024'!$G$5:$G$2311,'декабрь 2024'!$D$5:$D$2311,$B105,'декабрь 2024'!$J$5:$J$2311,AB$1)</f>
        <v>0</v>
      </c>
      <c r="AC105" s="80">
        <f>SUMIFS('декабрь 2024'!$G$5:$G$2311,'декабрь 2024'!$D$5:$D$2311,$B105,'декабрь 2024'!$J$5:$J$2311,AC$1)</f>
        <v>0</v>
      </c>
      <c r="AD105" s="80">
        <f>SUMIFS('декабрь 2024'!$G$5:$G$2311,'декабрь 2024'!$D$5:$D$2311,$B105,'декабрь 2024'!$J$5:$J$2311,AD$1)</f>
        <v>0</v>
      </c>
      <c r="AE105" s="80">
        <f>SUMIFS('декабрь 2024'!$G$5:$G$2311,'декабрь 2024'!$D$5:$D$2311,$B105,'декабрь 2024'!$J$5:$J$2311,AE$1)</f>
        <v>0</v>
      </c>
      <c r="AF105" s="80">
        <f>SUMIFS('декабрь 2024'!$G$5:$G$2311,'декабрь 2024'!$D$5:$D$2311,$B105,'декабрь 2024'!$J$5:$J$2311,AF$1)</f>
        <v>0</v>
      </c>
      <c r="AG105" s="80">
        <f>SUMIFS('декабрь 2024'!$G$5:$G$2311,'декабрь 2024'!$D$5:$D$2311,$B105,'декабрь 2024'!$J$5:$J$2311,AG$1)</f>
        <v>0</v>
      </c>
      <c r="AH105" s="80">
        <f>SUMIFS('декабрь 2024'!$G$5:$G$2311,'декабрь 2024'!$D$5:$D$2311,$B105,'декабрь 2024'!$J$5:$J$2311,AH$1)</f>
        <v>0</v>
      </c>
      <c r="AI105" s="21">
        <f t="shared" si="1"/>
        <v>0</v>
      </c>
    </row>
    <row r="106" spans="2:35" ht="15" customHeight="1" x14ac:dyDescent="0.25">
      <c r="B106" s="93" t="s">
        <v>325</v>
      </c>
      <c r="C106" s="91">
        <v>200</v>
      </c>
      <c r="D106" s="80">
        <f>SUMIFS('декабрь 2024'!$G$5:$G$2311,'декабрь 2024'!$D$5:$D$2311,$B106,'декабрь 2024'!$J$5:$J$2311,D$1)</f>
        <v>0</v>
      </c>
      <c r="E106" s="80">
        <f>SUMIFS('декабрь 2024'!$G$5:$G$2311,'декабрь 2024'!$D$5:$D$2311,$B106,'декабрь 2024'!$J$5:$J$2311,E$1)</f>
        <v>0</v>
      </c>
      <c r="F106" s="80">
        <f>SUMIFS('декабрь 2024'!$G$5:$G$2311,'декабрь 2024'!$D$5:$D$2311,$B106,'декабрь 2024'!$J$5:$J$2311,F$1)</f>
        <v>0</v>
      </c>
      <c r="G106" s="80">
        <f>SUMIFS('декабрь 2024'!$G$5:$G$2311,'декабрь 2024'!$D$5:$D$2311,$B106,'декабрь 2024'!$J$5:$J$2311,G$1)</f>
        <v>0</v>
      </c>
      <c r="H106" s="80">
        <f>SUMIFS('декабрь 2024'!$G$5:$G$2311,'декабрь 2024'!$D$5:$D$2311,$B106,'декабрь 2024'!$J$5:$J$2311,H$1)</f>
        <v>0</v>
      </c>
      <c r="I106" s="80">
        <f>SUMIFS('декабрь 2024'!$G$5:$G$2311,'декабрь 2024'!$D$5:$D$2311,$B106,'декабрь 2024'!$J$5:$J$2311,I$1)</f>
        <v>0</v>
      </c>
      <c r="J106" s="80">
        <f>SUMIFS('декабрь 2024'!$G$5:$G$2311,'декабрь 2024'!$D$5:$D$2311,$B106,'декабрь 2024'!$J$5:$J$2311,J$1)</f>
        <v>0</v>
      </c>
      <c r="K106" s="80">
        <f>SUMIFS('декабрь 2024'!$G$5:$G$2311,'декабрь 2024'!$D$5:$D$2311,$B106,'декабрь 2024'!$J$5:$J$2311,K$1)</f>
        <v>0</v>
      </c>
      <c r="L106" s="80">
        <f>SUMIFS('декабрь 2024'!$G$5:$G$2311,'декабрь 2024'!$D$5:$D$2311,$B106,'декабрь 2024'!$J$5:$J$2311,L$1)</f>
        <v>0</v>
      </c>
      <c r="M106" s="80">
        <f>SUMIFS('декабрь 2024'!$G$5:$G$2311,'декабрь 2024'!$D$5:$D$2311,$B106,'декабрь 2024'!$J$5:$J$2311,M$1)</f>
        <v>0</v>
      </c>
      <c r="N106" s="80">
        <f>SUMIFS('декабрь 2024'!$G$5:$G$2311,'декабрь 2024'!$D$5:$D$2311,$B106,'декабрь 2024'!$J$5:$J$2311,N$1)</f>
        <v>0</v>
      </c>
      <c r="O106" s="80">
        <f>SUMIFS('декабрь 2024'!$G$5:$G$2311,'декабрь 2024'!$D$5:$D$2311,$B106,'декабрь 2024'!$J$5:$J$2311,O$1)</f>
        <v>0</v>
      </c>
      <c r="P106" s="80">
        <f>SUMIFS('декабрь 2024'!$G$5:$G$2311,'декабрь 2024'!$D$5:$D$2311,$B106,'декабрь 2024'!$J$5:$J$2311,P$1)</f>
        <v>0</v>
      </c>
      <c r="Q106" s="80">
        <f>SUMIFS('декабрь 2024'!$G$5:$G$2311,'декабрь 2024'!$D$5:$D$2311,$B106,'декабрь 2024'!$J$5:$J$2311,Q$1)</f>
        <v>0</v>
      </c>
      <c r="R106" s="80">
        <f>SUMIFS('декабрь 2024'!$G$5:$G$2311,'декабрь 2024'!$D$5:$D$2311,$B106,'декабрь 2024'!$J$5:$J$2311,R$1)</f>
        <v>0</v>
      </c>
      <c r="S106" s="80">
        <f>SUMIFS('декабрь 2024'!$G$5:$G$2311,'декабрь 2024'!$D$5:$D$2311,$B106,'декабрь 2024'!$J$5:$J$2311,S$1)</f>
        <v>0</v>
      </c>
      <c r="T106" s="80">
        <f>SUMIFS('декабрь 2024'!$G$5:$G$2311,'декабрь 2024'!$D$5:$D$2311,$B106,'декабрь 2024'!$J$5:$J$2311,T$1)</f>
        <v>0</v>
      </c>
      <c r="U106" s="80">
        <f>SUMIFS('декабрь 2024'!$G$5:$G$2311,'декабрь 2024'!$D$5:$D$2311,$B106,'декабрь 2024'!$J$5:$J$2311,U$1)</f>
        <v>0</v>
      </c>
      <c r="V106" s="80">
        <f>SUMIFS('декабрь 2024'!$G$5:$G$2311,'декабрь 2024'!$D$5:$D$2311,$B106,'декабрь 2024'!$J$5:$J$2311,V$1)</f>
        <v>0</v>
      </c>
      <c r="W106" s="80">
        <f>SUMIFS('декабрь 2024'!$G$5:$G$2311,'декабрь 2024'!$D$5:$D$2311,$B106,'декабрь 2024'!$J$5:$J$2311,W$1)</f>
        <v>0</v>
      </c>
      <c r="X106" s="80">
        <f>SUMIFS('декабрь 2024'!$G$5:$G$2311,'декабрь 2024'!$D$5:$D$2311,$B106,'декабрь 2024'!$J$5:$J$2311,X$1)</f>
        <v>0</v>
      </c>
      <c r="Y106" s="80">
        <f>SUMIFS('декабрь 2024'!$G$5:$G$2311,'декабрь 2024'!$D$5:$D$2311,$B106,'декабрь 2024'!$J$5:$J$2311,Y$1)</f>
        <v>0</v>
      </c>
      <c r="Z106" s="80">
        <f>SUMIFS('декабрь 2024'!$G$5:$G$2311,'декабрь 2024'!$D$5:$D$2311,$B106,'декабрь 2024'!$J$5:$J$2311,Z$1)</f>
        <v>0</v>
      </c>
      <c r="AA106" s="80">
        <f>SUMIFS('декабрь 2024'!$G$5:$G$2311,'декабрь 2024'!$D$5:$D$2311,$B106,'декабрь 2024'!$J$5:$J$2311,AA$1)</f>
        <v>0</v>
      </c>
      <c r="AB106" s="80">
        <f>SUMIFS('декабрь 2024'!$G$5:$G$2311,'декабрь 2024'!$D$5:$D$2311,$B106,'декабрь 2024'!$J$5:$J$2311,AB$1)</f>
        <v>0</v>
      </c>
      <c r="AC106" s="80">
        <f>SUMIFS('декабрь 2024'!$G$5:$G$2311,'декабрь 2024'!$D$5:$D$2311,$B106,'декабрь 2024'!$J$5:$J$2311,AC$1)</f>
        <v>0</v>
      </c>
      <c r="AD106" s="80">
        <f>SUMIFS('декабрь 2024'!$G$5:$G$2311,'декабрь 2024'!$D$5:$D$2311,$B106,'декабрь 2024'!$J$5:$J$2311,AD$1)</f>
        <v>0</v>
      </c>
      <c r="AE106" s="80">
        <f>SUMIFS('декабрь 2024'!$G$5:$G$2311,'декабрь 2024'!$D$5:$D$2311,$B106,'декабрь 2024'!$J$5:$J$2311,AE$1)</f>
        <v>0</v>
      </c>
      <c r="AF106" s="80">
        <f>SUMIFS('декабрь 2024'!$G$5:$G$2311,'декабрь 2024'!$D$5:$D$2311,$B106,'декабрь 2024'!$J$5:$J$2311,AF$1)</f>
        <v>0</v>
      </c>
      <c r="AG106" s="80">
        <f>SUMIFS('декабрь 2024'!$G$5:$G$2311,'декабрь 2024'!$D$5:$D$2311,$B106,'декабрь 2024'!$J$5:$J$2311,AG$1)</f>
        <v>0</v>
      </c>
      <c r="AH106" s="80">
        <f>SUMIFS('декабрь 2024'!$G$5:$G$2311,'декабрь 2024'!$D$5:$D$2311,$B106,'декабрь 2024'!$J$5:$J$2311,AH$1)</f>
        <v>0</v>
      </c>
      <c r="AI106" s="21">
        <f t="shared" si="1"/>
        <v>0</v>
      </c>
    </row>
    <row r="107" spans="2:35" ht="15" customHeight="1" x14ac:dyDescent="0.25">
      <c r="B107" s="93" t="s">
        <v>190</v>
      </c>
      <c r="C107" s="91">
        <v>200</v>
      </c>
      <c r="D107" s="80">
        <f>SUMIFS('декабрь 2024'!$G$5:$G$2311,'декабрь 2024'!$D$5:$D$2311,$B107,'декабрь 2024'!$J$5:$J$2311,D$1)</f>
        <v>0</v>
      </c>
      <c r="E107" s="80">
        <f>SUMIFS('декабрь 2024'!$G$5:$G$2311,'декабрь 2024'!$D$5:$D$2311,$B107,'декабрь 2024'!$J$5:$J$2311,E$1)</f>
        <v>0</v>
      </c>
      <c r="F107" s="80">
        <f>SUMIFS('декабрь 2024'!$G$5:$G$2311,'декабрь 2024'!$D$5:$D$2311,$B107,'декабрь 2024'!$J$5:$J$2311,F$1)</f>
        <v>0</v>
      </c>
      <c r="G107" s="80">
        <f>SUMIFS('декабрь 2024'!$G$5:$G$2311,'декабрь 2024'!$D$5:$D$2311,$B107,'декабрь 2024'!$J$5:$J$2311,G$1)</f>
        <v>0</v>
      </c>
      <c r="H107" s="80">
        <f>SUMIFS('декабрь 2024'!$G$5:$G$2311,'декабрь 2024'!$D$5:$D$2311,$B107,'декабрь 2024'!$J$5:$J$2311,H$1)</f>
        <v>0</v>
      </c>
      <c r="I107" s="80">
        <f>SUMIFS('декабрь 2024'!$G$5:$G$2311,'декабрь 2024'!$D$5:$D$2311,$B107,'декабрь 2024'!$J$5:$J$2311,I$1)</f>
        <v>0</v>
      </c>
      <c r="J107" s="80">
        <f>SUMIFS('декабрь 2024'!$G$5:$G$2311,'декабрь 2024'!$D$5:$D$2311,$B107,'декабрь 2024'!$J$5:$J$2311,J$1)</f>
        <v>0</v>
      </c>
      <c r="K107" s="80">
        <f>SUMIFS('декабрь 2024'!$G$5:$G$2311,'декабрь 2024'!$D$5:$D$2311,$B107,'декабрь 2024'!$J$5:$J$2311,K$1)</f>
        <v>0</v>
      </c>
      <c r="L107" s="80">
        <f>SUMIFS('декабрь 2024'!$G$5:$G$2311,'декабрь 2024'!$D$5:$D$2311,$B107,'декабрь 2024'!$J$5:$J$2311,L$1)</f>
        <v>0</v>
      </c>
      <c r="M107" s="80">
        <f>SUMIFS('декабрь 2024'!$G$5:$G$2311,'декабрь 2024'!$D$5:$D$2311,$B107,'декабрь 2024'!$J$5:$J$2311,M$1)</f>
        <v>0</v>
      </c>
      <c r="N107" s="80">
        <f>SUMIFS('декабрь 2024'!$G$5:$G$2311,'декабрь 2024'!$D$5:$D$2311,$B107,'декабрь 2024'!$J$5:$J$2311,N$1)</f>
        <v>0</v>
      </c>
      <c r="O107" s="80">
        <f>SUMIFS('декабрь 2024'!$G$5:$G$2311,'декабрь 2024'!$D$5:$D$2311,$B107,'декабрь 2024'!$J$5:$J$2311,O$1)</f>
        <v>0</v>
      </c>
      <c r="P107" s="80">
        <f>SUMIFS('декабрь 2024'!$G$5:$G$2311,'декабрь 2024'!$D$5:$D$2311,$B107,'декабрь 2024'!$J$5:$J$2311,P$1)</f>
        <v>0</v>
      </c>
      <c r="Q107" s="80">
        <f>SUMIFS('декабрь 2024'!$G$5:$G$2311,'декабрь 2024'!$D$5:$D$2311,$B107,'декабрь 2024'!$J$5:$J$2311,Q$1)</f>
        <v>0</v>
      </c>
      <c r="R107" s="80">
        <f>SUMIFS('декабрь 2024'!$G$5:$G$2311,'декабрь 2024'!$D$5:$D$2311,$B107,'декабрь 2024'!$J$5:$J$2311,R$1)</f>
        <v>0</v>
      </c>
      <c r="S107" s="80">
        <f>SUMIFS('декабрь 2024'!$G$5:$G$2311,'декабрь 2024'!$D$5:$D$2311,$B107,'декабрь 2024'!$J$5:$J$2311,S$1)</f>
        <v>0</v>
      </c>
      <c r="T107" s="80">
        <f>SUMIFS('декабрь 2024'!$G$5:$G$2311,'декабрь 2024'!$D$5:$D$2311,$B107,'декабрь 2024'!$J$5:$J$2311,T$1)</f>
        <v>0</v>
      </c>
      <c r="U107" s="80">
        <f>SUMIFS('декабрь 2024'!$G$5:$G$2311,'декабрь 2024'!$D$5:$D$2311,$B107,'декабрь 2024'!$J$5:$J$2311,U$1)</f>
        <v>0</v>
      </c>
      <c r="V107" s="80">
        <f>SUMIFS('декабрь 2024'!$G$5:$G$2311,'декабрь 2024'!$D$5:$D$2311,$B107,'декабрь 2024'!$J$5:$J$2311,V$1)</f>
        <v>0</v>
      </c>
      <c r="W107" s="80">
        <f>SUMIFS('декабрь 2024'!$G$5:$G$2311,'декабрь 2024'!$D$5:$D$2311,$B107,'декабрь 2024'!$J$5:$J$2311,W$1)</f>
        <v>0</v>
      </c>
      <c r="X107" s="80">
        <f>SUMIFS('декабрь 2024'!$G$5:$G$2311,'декабрь 2024'!$D$5:$D$2311,$B107,'декабрь 2024'!$J$5:$J$2311,X$1)</f>
        <v>0</v>
      </c>
      <c r="Y107" s="80">
        <f>SUMIFS('декабрь 2024'!$G$5:$G$2311,'декабрь 2024'!$D$5:$D$2311,$B107,'декабрь 2024'!$J$5:$J$2311,Y$1)</f>
        <v>0</v>
      </c>
      <c r="Z107" s="80">
        <f>SUMIFS('декабрь 2024'!$G$5:$G$2311,'декабрь 2024'!$D$5:$D$2311,$B107,'декабрь 2024'!$J$5:$J$2311,Z$1)</f>
        <v>0</v>
      </c>
      <c r="AA107" s="80">
        <f>SUMIFS('декабрь 2024'!$G$5:$G$2311,'декабрь 2024'!$D$5:$D$2311,$B107,'декабрь 2024'!$J$5:$J$2311,AA$1)</f>
        <v>0</v>
      </c>
      <c r="AB107" s="80">
        <f>SUMIFS('декабрь 2024'!$G$5:$G$2311,'декабрь 2024'!$D$5:$D$2311,$B107,'декабрь 2024'!$J$5:$J$2311,AB$1)</f>
        <v>0</v>
      </c>
      <c r="AC107" s="80">
        <f>SUMIFS('декабрь 2024'!$G$5:$G$2311,'декабрь 2024'!$D$5:$D$2311,$B107,'декабрь 2024'!$J$5:$J$2311,AC$1)</f>
        <v>0</v>
      </c>
      <c r="AD107" s="80">
        <f>SUMIFS('декабрь 2024'!$G$5:$G$2311,'декабрь 2024'!$D$5:$D$2311,$B107,'декабрь 2024'!$J$5:$J$2311,AD$1)</f>
        <v>0</v>
      </c>
      <c r="AE107" s="80">
        <f>SUMIFS('декабрь 2024'!$G$5:$G$2311,'декабрь 2024'!$D$5:$D$2311,$B107,'декабрь 2024'!$J$5:$J$2311,AE$1)</f>
        <v>0</v>
      </c>
      <c r="AF107" s="80">
        <f>SUMIFS('декабрь 2024'!$G$5:$G$2311,'декабрь 2024'!$D$5:$D$2311,$B107,'декабрь 2024'!$J$5:$J$2311,AF$1)</f>
        <v>0</v>
      </c>
      <c r="AG107" s="80">
        <f>SUMIFS('декабрь 2024'!$G$5:$G$2311,'декабрь 2024'!$D$5:$D$2311,$B107,'декабрь 2024'!$J$5:$J$2311,AG$1)</f>
        <v>0</v>
      </c>
      <c r="AH107" s="80">
        <f>SUMIFS('декабрь 2024'!$G$5:$G$2311,'декабрь 2024'!$D$5:$D$2311,$B107,'декабрь 2024'!$J$5:$J$2311,AH$1)</f>
        <v>0</v>
      </c>
      <c r="AI107" s="21">
        <f t="shared" si="1"/>
        <v>0</v>
      </c>
    </row>
    <row r="108" spans="2:35" ht="15" customHeight="1" x14ac:dyDescent="0.25">
      <c r="B108" s="93" t="s">
        <v>326</v>
      </c>
      <c r="C108" s="91">
        <v>200</v>
      </c>
      <c r="D108" s="80">
        <f>SUMIFS('декабрь 2024'!$G$5:$G$2311,'декабрь 2024'!$D$5:$D$2311,$B108,'декабрь 2024'!$J$5:$J$2311,D$1)</f>
        <v>0</v>
      </c>
      <c r="E108" s="80">
        <f>SUMIFS('декабрь 2024'!$G$5:$G$2311,'декабрь 2024'!$D$5:$D$2311,$B108,'декабрь 2024'!$J$5:$J$2311,E$1)</f>
        <v>0</v>
      </c>
      <c r="F108" s="80">
        <f>SUMIFS('декабрь 2024'!$G$5:$G$2311,'декабрь 2024'!$D$5:$D$2311,$B108,'декабрь 2024'!$J$5:$J$2311,F$1)</f>
        <v>0</v>
      </c>
      <c r="G108" s="80">
        <f>SUMIFS('декабрь 2024'!$G$5:$G$2311,'декабрь 2024'!$D$5:$D$2311,$B108,'декабрь 2024'!$J$5:$J$2311,G$1)</f>
        <v>0</v>
      </c>
      <c r="H108" s="80">
        <f>SUMIFS('декабрь 2024'!$G$5:$G$2311,'декабрь 2024'!$D$5:$D$2311,$B108,'декабрь 2024'!$J$5:$J$2311,H$1)</f>
        <v>0</v>
      </c>
      <c r="I108" s="80">
        <f>SUMIFS('декабрь 2024'!$G$5:$G$2311,'декабрь 2024'!$D$5:$D$2311,$B108,'декабрь 2024'!$J$5:$J$2311,I$1)</f>
        <v>0</v>
      </c>
      <c r="J108" s="80">
        <f>SUMIFS('декабрь 2024'!$G$5:$G$2311,'декабрь 2024'!$D$5:$D$2311,$B108,'декабрь 2024'!$J$5:$J$2311,J$1)</f>
        <v>0</v>
      </c>
      <c r="K108" s="80">
        <f>SUMIFS('декабрь 2024'!$G$5:$G$2311,'декабрь 2024'!$D$5:$D$2311,$B108,'декабрь 2024'!$J$5:$J$2311,K$1)</f>
        <v>0</v>
      </c>
      <c r="L108" s="80">
        <f>SUMIFS('декабрь 2024'!$G$5:$G$2311,'декабрь 2024'!$D$5:$D$2311,$B108,'декабрь 2024'!$J$5:$J$2311,L$1)</f>
        <v>0</v>
      </c>
      <c r="M108" s="80">
        <f>SUMIFS('декабрь 2024'!$G$5:$G$2311,'декабрь 2024'!$D$5:$D$2311,$B108,'декабрь 2024'!$J$5:$J$2311,M$1)</f>
        <v>0</v>
      </c>
      <c r="N108" s="80">
        <f>SUMIFS('декабрь 2024'!$G$5:$G$2311,'декабрь 2024'!$D$5:$D$2311,$B108,'декабрь 2024'!$J$5:$J$2311,N$1)</f>
        <v>0</v>
      </c>
      <c r="O108" s="80">
        <f>SUMIFS('декабрь 2024'!$G$5:$G$2311,'декабрь 2024'!$D$5:$D$2311,$B108,'декабрь 2024'!$J$5:$J$2311,O$1)</f>
        <v>0</v>
      </c>
      <c r="P108" s="80">
        <f>SUMIFS('декабрь 2024'!$G$5:$G$2311,'декабрь 2024'!$D$5:$D$2311,$B108,'декабрь 2024'!$J$5:$J$2311,P$1)</f>
        <v>0</v>
      </c>
      <c r="Q108" s="80">
        <f>SUMIFS('декабрь 2024'!$G$5:$G$2311,'декабрь 2024'!$D$5:$D$2311,$B108,'декабрь 2024'!$J$5:$J$2311,Q$1)</f>
        <v>0</v>
      </c>
      <c r="R108" s="80">
        <f>SUMIFS('декабрь 2024'!$G$5:$G$2311,'декабрь 2024'!$D$5:$D$2311,$B108,'декабрь 2024'!$J$5:$J$2311,R$1)</f>
        <v>0</v>
      </c>
      <c r="S108" s="80">
        <f>SUMIFS('декабрь 2024'!$G$5:$G$2311,'декабрь 2024'!$D$5:$D$2311,$B108,'декабрь 2024'!$J$5:$J$2311,S$1)</f>
        <v>0</v>
      </c>
      <c r="T108" s="80">
        <f>SUMIFS('декабрь 2024'!$G$5:$G$2311,'декабрь 2024'!$D$5:$D$2311,$B108,'декабрь 2024'!$J$5:$J$2311,T$1)</f>
        <v>0</v>
      </c>
      <c r="U108" s="80">
        <f>SUMIFS('декабрь 2024'!$G$5:$G$2311,'декабрь 2024'!$D$5:$D$2311,$B108,'декабрь 2024'!$J$5:$J$2311,U$1)</f>
        <v>0</v>
      </c>
      <c r="V108" s="80">
        <f>SUMIFS('декабрь 2024'!$G$5:$G$2311,'декабрь 2024'!$D$5:$D$2311,$B108,'декабрь 2024'!$J$5:$J$2311,V$1)</f>
        <v>0</v>
      </c>
      <c r="W108" s="80">
        <f>SUMIFS('декабрь 2024'!$G$5:$G$2311,'декабрь 2024'!$D$5:$D$2311,$B108,'декабрь 2024'!$J$5:$J$2311,W$1)</f>
        <v>0</v>
      </c>
      <c r="X108" s="80">
        <f>SUMIFS('декабрь 2024'!$G$5:$G$2311,'декабрь 2024'!$D$5:$D$2311,$B108,'декабрь 2024'!$J$5:$J$2311,X$1)</f>
        <v>0</v>
      </c>
      <c r="Y108" s="80">
        <f>SUMIFS('декабрь 2024'!$G$5:$G$2311,'декабрь 2024'!$D$5:$D$2311,$B108,'декабрь 2024'!$J$5:$J$2311,Y$1)</f>
        <v>0</v>
      </c>
      <c r="Z108" s="80">
        <f>SUMIFS('декабрь 2024'!$G$5:$G$2311,'декабрь 2024'!$D$5:$D$2311,$B108,'декабрь 2024'!$J$5:$J$2311,Z$1)</f>
        <v>0</v>
      </c>
      <c r="AA108" s="80">
        <f>SUMIFS('декабрь 2024'!$G$5:$G$2311,'декабрь 2024'!$D$5:$D$2311,$B108,'декабрь 2024'!$J$5:$J$2311,AA$1)</f>
        <v>0</v>
      </c>
      <c r="AB108" s="80">
        <f>SUMIFS('декабрь 2024'!$G$5:$G$2311,'декабрь 2024'!$D$5:$D$2311,$B108,'декабрь 2024'!$J$5:$J$2311,AB$1)</f>
        <v>0</v>
      </c>
      <c r="AC108" s="80">
        <f>SUMIFS('декабрь 2024'!$G$5:$G$2311,'декабрь 2024'!$D$5:$D$2311,$B108,'декабрь 2024'!$J$5:$J$2311,AC$1)</f>
        <v>0</v>
      </c>
      <c r="AD108" s="80">
        <f>SUMIFS('декабрь 2024'!$G$5:$G$2311,'декабрь 2024'!$D$5:$D$2311,$B108,'декабрь 2024'!$J$5:$J$2311,AD$1)</f>
        <v>0</v>
      </c>
      <c r="AE108" s="80">
        <f>SUMIFS('декабрь 2024'!$G$5:$G$2311,'декабрь 2024'!$D$5:$D$2311,$B108,'декабрь 2024'!$J$5:$J$2311,AE$1)</f>
        <v>0</v>
      </c>
      <c r="AF108" s="80">
        <f>SUMIFS('декабрь 2024'!$G$5:$G$2311,'декабрь 2024'!$D$5:$D$2311,$B108,'декабрь 2024'!$J$5:$J$2311,AF$1)</f>
        <v>0</v>
      </c>
      <c r="AG108" s="80">
        <f>SUMIFS('декабрь 2024'!$G$5:$G$2311,'декабрь 2024'!$D$5:$D$2311,$B108,'декабрь 2024'!$J$5:$J$2311,AG$1)</f>
        <v>0</v>
      </c>
      <c r="AH108" s="80">
        <f>SUMIFS('декабрь 2024'!$G$5:$G$2311,'декабрь 2024'!$D$5:$D$2311,$B108,'декабрь 2024'!$J$5:$J$2311,AH$1)</f>
        <v>0</v>
      </c>
      <c r="AI108" s="21">
        <f t="shared" si="1"/>
        <v>0</v>
      </c>
    </row>
    <row r="109" spans="2:35" ht="15" customHeight="1" x14ac:dyDescent="0.25">
      <c r="B109" s="93" t="s">
        <v>327</v>
      </c>
      <c r="C109" s="91">
        <v>200</v>
      </c>
      <c r="D109" s="80">
        <f>SUMIFS('декабрь 2024'!$G$5:$G$2311,'декабрь 2024'!$D$5:$D$2311,$B109,'декабрь 2024'!$J$5:$J$2311,D$1)</f>
        <v>0</v>
      </c>
      <c r="E109" s="80">
        <f>SUMIFS('декабрь 2024'!$G$5:$G$2311,'декабрь 2024'!$D$5:$D$2311,$B109,'декабрь 2024'!$J$5:$J$2311,E$1)</f>
        <v>0</v>
      </c>
      <c r="F109" s="80">
        <f>SUMIFS('декабрь 2024'!$G$5:$G$2311,'декабрь 2024'!$D$5:$D$2311,$B109,'декабрь 2024'!$J$5:$J$2311,F$1)</f>
        <v>0</v>
      </c>
      <c r="G109" s="80">
        <f>SUMIFS('декабрь 2024'!$G$5:$G$2311,'декабрь 2024'!$D$5:$D$2311,$B109,'декабрь 2024'!$J$5:$J$2311,G$1)</f>
        <v>0</v>
      </c>
      <c r="H109" s="80">
        <f>SUMIFS('декабрь 2024'!$G$5:$G$2311,'декабрь 2024'!$D$5:$D$2311,$B109,'декабрь 2024'!$J$5:$J$2311,H$1)</f>
        <v>0</v>
      </c>
      <c r="I109" s="80">
        <f>SUMIFS('декабрь 2024'!$G$5:$G$2311,'декабрь 2024'!$D$5:$D$2311,$B109,'декабрь 2024'!$J$5:$J$2311,I$1)</f>
        <v>0</v>
      </c>
      <c r="J109" s="80">
        <f>SUMIFS('декабрь 2024'!$G$5:$G$2311,'декабрь 2024'!$D$5:$D$2311,$B109,'декабрь 2024'!$J$5:$J$2311,J$1)</f>
        <v>0</v>
      </c>
      <c r="K109" s="80">
        <f>SUMIFS('декабрь 2024'!$G$5:$G$2311,'декабрь 2024'!$D$5:$D$2311,$B109,'декабрь 2024'!$J$5:$J$2311,K$1)</f>
        <v>0</v>
      </c>
      <c r="L109" s="80">
        <f>SUMIFS('декабрь 2024'!$G$5:$G$2311,'декабрь 2024'!$D$5:$D$2311,$B109,'декабрь 2024'!$J$5:$J$2311,L$1)</f>
        <v>0</v>
      </c>
      <c r="M109" s="80">
        <f>SUMIFS('декабрь 2024'!$G$5:$G$2311,'декабрь 2024'!$D$5:$D$2311,$B109,'декабрь 2024'!$J$5:$J$2311,M$1)</f>
        <v>0</v>
      </c>
      <c r="N109" s="80">
        <f>SUMIFS('декабрь 2024'!$G$5:$G$2311,'декабрь 2024'!$D$5:$D$2311,$B109,'декабрь 2024'!$J$5:$J$2311,N$1)</f>
        <v>0</v>
      </c>
      <c r="O109" s="80">
        <f>SUMIFS('декабрь 2024'!$G$5:$G$2311,'декабрь 2024'!$D$5:$D$2311,$B109,'декабрь 2024'!$J$5:$J$2311,O$1)</f>
        <v>0</v>
      </c>
      <c r="P109" s="80">
        <f>SUMIFS('декабрь 2024'!$G$5:$G$2311,'декабрь 2024'!$D$5:$D$2311,$B109,'декабрь 2024'!$J$5:$J$2311,P$1)</f>
        <v>0</v>
      </c>
      <c r="Q109" s="80">
        <f>SUMIFS('декабрь 2024'!$G$5:$G$2311,'декабрь 2024'!$D$5:$D$2311,$B109,'декабрь 2024'!$J$5:$J$2311,Q$1)</f>
        <v>0</v>
      </c>
      <c r="R109" s="80">
        <f>SUMIFS('декабрь 2024'!$G$5:$G$2311,'декабрь 2024'!$D$5:$D$2311,$B109,'декабрь 2024'!$J$5:$J$2311,R$1)</f>
        <v>0</v>
      </c>
      <c r="S109" s="80">
        <f>SUMIFS('декабрь 2024'!$G$5:$G$2311,'декабрь 2024'!$D$5:$D$2311,$B109,'декабрь 2024'!$J$5:$J$2311,S$1)</f>
        <v>0</v>
      </c>
      <c r="T109" s="80">
        <f>SUMIFS('декабрь 2024'!$G$5:$G$2311,'декабрь 2024'!$D$5:$D$2311,$B109,'декабрь 2024'!$J$5:$J$2311,T$1)</f>
        <v>0</v>
      </c>
      <c r="U109" s="80">
        <f>SUMIFS('декабрь 2024'!$G$5:$G$2311,'декабрь 2024'!$D$5:$D$2311,$B109,'декабрь 2024'!$J$5:$J$2311,U$1)</f>
        <v>0</v>
      </c>
      <c r="V109" s="80">
        <f>SUMIFS('декабрь 2024'!$G$5:$G$2311,'декабрь 2024'!$D$5:$D$2311,$B109,'декабрь 2024'!$J$5:$J$2311,V$1)</f>
        <v>0</v>
      </c>
      <c r="W109" s="80">
        <f>SUMIFS('декабрь 2024'!$G$5:$G$2311,'декабрь 2024'!$D$5:$D$2311,$B109,'декабрь 2024'!$J$5:$J$2311,W$1)</f>
        <v>0</v>
      </c>
      <c r="X109" s="80">
        <f>SUMIFS('декабрь 2024'!$G$5:$G$2311,'декабрь 2024'!$D$5:$D$2311,$B109,'декабрь 2024'!$J$5:$J$2311,X$1)</f>
        <v>0</v>
      </c>
      <c r="Y109" s="80">
        <f>SUMIFS('декабрь 2024'!$G$5:$G$2311,'декабрь 2024'!$D$5:$D$2311,$B109,'декабрь 2024'!$J$5:$J$2311,Y$1)</f>
        <v>0</v>
      </c>
      <c r="Z109" s="80">
        <f>SUMIFS('декабрь 2024'!$G$5:$G$2311,'декабрь 2024'!$D$5:$D$2311,$B109,'декабрь 2024'!$J$5:$J$2311,Z$1)</f>
        <v>0</v>
      </c>
      <c r="AA109" s="80">
        <f>SUMIFS('декабрь 2024'!$G$5:$G$2311,'декабрь 2024'!$D$5:$D$2311,$B109,'декабрь 2024'!$J$5:$J$2311,AA$1)</f>
        <v>0</v>
      </c>
      <c r="AB109" s="80">
        <f>SUMIFS('декабрь 2024'!$G$5:$G$2311,'декабрь 2024'!$D$5:$D$2311,$B109,'декабрь 2024'!$J$5:$J$2311,AB$1)</f>
        <v>0</v>
      </c>
      <c r="AC109" s="80">
        <f>SUMIFS('декабрь 2024'!$G$5:$G$2311,'декабрь 2024'!$D$5:$D$2311,$B109,'декабрь 2024'!$J$5:$J$2311,AC$1)</f>
        <v>0</v>
      </c>
      <c r="AD109" s="80">
        <f>SUMIFS('декабрь 2024'!$G$5:$G$2311,'декабрь 2024'!$D$5:$D$2311,$B109,'декабрь 2024'!$J$5:$J$2311,AD$1)</f>
        <v>0</v>
      </c>
      <c r="AE109" s="80">
        <f>SUMIFS('декабрь 2024'!$G$5:$G$2311,'декабрь 2024'!$D$5:$D$2311,$B109,'декабрь 2024'!$J$5:$J$2311,AE$1)</f>
        <v>0</v>
      </c>
      <c r="AF109" s="80">
        <f>SUMIFS('декабрь 2024'!$G$5:$G$2311,'декабрь 2024'!$D$5:$D$2311,$B109,'декабрь 2024'!$J$5:$J$2311,AF$1)</f>
        <v>0</v>
      </c>
      <c r="AG109" s="80">
        <f>SUMIFS('декабрь 2024'!$G$5:$G$2311,'декабрь 2024'!$D$5:$D$2311,$B109,'декабрь 2024'!$J$5:$J$2311,AG$1)</f>
        <v>0</v>
      </c>
      <c r="AH109" s="80">
        <f>SUMIFS('декабрь 2024'!$G$5:$G$2311,'декабрь 2024'!$D$5:$D$2311,$B109,'декабрь 2024'!$J$5:$J$2311,AH$1)</f>
        <v>0</v>
      </c>
      <c r="AI109" s="21">
        <f t="shared" si="1"/>
        <v>0</v>
      </c>
    </row>
    <row r="110" spans="2:35" ht="15" customHeight="1" x14ac:dyDescent="0.25">
      <c r="B110" s="89" t="s">
        <v>223</v>
      </c>
      <c r="C110" s="88">
        <v>25</v>
      </c>
      <c r="D110" s="80">
        <f>SUMIFS('декабрь 2024'!$G$5:$G$2311,'декабрь 2024'!$D$5:$D$2311,$B110,'декабрь 2024'!$J$5:$J$2311,D$1)</f>
        <v>0</v>
      </c>
      <c r="E110" s="80">
        <f>SUMIFS('декабрь 2024'!$G$5:$G$2311,'декабрь 2024'!$D$5:$D$2311,$B110,'декабрь 2024'!$J$5:$J$2311,E$1)</f>
        <v>0</v>
      </c>
      <c r="F110" s="80">
        <f>SUMIFS('декабрь 2024'!$G$5:$G$2311,'декабрь 2024'!$D$5:$D$2311,$B110,'декабрь 2024'!$J$5:$J$2311,F$1)</f>
        <v>0</v>
      </c>
      <c r="G110" s="80">
        <f>SUMIFS('декабрь 2024'!$G$5:$G$2311,'декабрь 2024'!$D$5:$D$2311,$B110,'декабрь 2024'!$J$5:$J$2311,G$1)</f>
        <v>0</v>
      </c>
      <c r="H110" s="80">
        <f>SUMIFS('декабрь 2024'!$G$5:$G$2311,'декабрь 2024'!$D$5:$D$2311,$B110,'декабрь 2024'!$J$5:$J$2311,H$1)</f>
        <v>0</v>
      </c>
      <c r="I110" s="80">
        <f>SUMIFS('декабрь 2024'!$G$5:$G$2311,'декабрь 2024'!$D$5:$D$2311,$B110,'декабрь 2024'!$J$5:$J$2311,I$1)</f>
        <v>0</v>
      </c>
      <c r="J110" s="80">
        <f>SUMIFS('декабрь 2024'!$G$5:$G$2311,'декабрь 2024'!$D$5:$D$2311,$B110,'декабрь 2024'!$J$5:$J$2311,J$1)</f>
        <v>0</v>
      </c>
      <c r="K110" s="80">
        <f>SUMIFS('декабрь 2024'!$G$5:$G$2311,'декабрь 2024'!$D$5:$D$2311,$B110,'декабрь 2024'!$J$5:$J$2311,K$1)</f>
        <v>0</v>
      </c>
      <c r="L110" s="80">
        <f>SUMIFS('декабрь 2024'!$G$5:$G$2311,'декабрь 2024'!$D$5:$D$2311,$B110,'декабрь 2024'!$J$5:$J$2311,L$1)</f>
        <v>0</v>
      </c>
      <c r="M110" s="80">
        <f>SUMIFS('декабрь 2024'!$G$5:$G$2311,'декабрь 2024'!$D$5:$D$2311,$B110,'декабрь 2024'!$J$5:$J$2311,M$1)</f>
        <v>0</v>
      </c>
      <c r="N110" s="80">
        <f>SUMIFS('декабрь 2024'!$G$5:$G$2311,'декабрь 2024'!$D$5:$D$2311,$B110,'декабрь 2024'!$J$5:$J$2311,N$1)</f>
        <v>0</v>
      </c>
      <c r="O110" s="80">
        <f>SUMIFS('декабрь 2024'!$G$5:$G$2311,'декабрь 2024'!$D$5:$D$2311,$B110,'декабрь 2024'!$J$5:$J$2311,O$1)</f>
        <v>0</v>
      </c>
      <c r="P110" s="80">
        <f>SUMIFS('декабрь 2024'!$G$5:$G$2311,'декабрь 2024'!$D$5:$D$2311,$B110,'декабрь 2024'!$J$5:$J$2311,P$1)</f>
        <v>0</v>
      </c>
      <c r="Q110" s="80">
        <f>SUMIFS('декабрь 2024'!$G$5:$G$2311,'декабрь 2024'!$D$5:$D$2311,$B110,'декабрь 2024'!$J$5:$J$2311,Q$1)</f>
        <v>0</v>
      </c>
      <c r="R110" s="80">
        <f>SUMIFS('декабрь 2024'!$G$5:$G$2311,'декабрь 2024'!$D$5:$D$2311,$B110,'декабрь 2024'!$J$5:$J$2311,R$1)</f>
        <v>0</v>
      </c>
      <c r="S110" s="80">
        <f>SUMIFS('декабрь 2024'!$G$5:$G$2311,'декабрь 2024'!$D$5:$D$2311,$B110,'декабрь 2024'!$J$5:$J$2311,S$1)</f>
        <v>0</v>
      </c>
      <c r="T110" s="80">
        <f>SUMIFS('декабрь 2024'!$G$5:$G$2311,'декабрь 2024'!$D$5:$D$2311,$B110,'декабрь 2024'!$J$5:$J$2311,T$1)</f>
        <v>0</v>
      </c>
      <c r="U110" s="80">
        <f>SUMIFS('декабрь 2024'!$G$5:$G$2311,'декабрь 2024'!$D$5:$D$2311,$B110,'декабрь 2024'!$J$5:$J$2311,U$1)</f>
        <v>0</v>
      </c>
      <c r="V110" s="80">
        <f>SUMIFS('декабрь 2024'!$G$5:$G$2311,'декабрь 2024'!$D$5:$D$2311,$B110,'декабрь 2024'!$J$5:$J$2311,V$1)</f>
        <v>0</v>
      </c>
      <c r="W110" s="80">
        <f>SUMIFS('декабрь 2024'!$G$5:$G$2311,'декабрь 2024'!$D$5:$D$2311,$B110,'декабрь 2024'!$J$5:$J$2311,W$1)</f>
        <v>0</v>
      </c>
      <c r="X110" s="80">
        <f>SUMIFS('декабрь 2024'!$G$5:$G$2311,'декабрь 2024'!$D$5:$D$2311,$B110,'декабрь 2024'!$J$5:$J$2311,X$1)</f>
        <v>0</v>
      </c>
      <c r="Y110" s="80">
        <f>SUMIFS('декабрь 2024'!$G$5:$G$2311,'декабрь 2024'!$D$5:$D$2311,$B110,'декабрь 2024'!$J$5:$J$2311,Y$1)</f>
        <v>0</v>
      </c>
      <c r="Z110" s="80">
        <f>SUMIFS('декабрь 2024'!$G$5:$G$2311,'декабрь 2024'!$D$5:$D$2311,$B110,'декабрь 2024'!$J$5:$J$2311,Z$1)</f>
        <v>0</v>
      </c>
      <c r="AA110" s="80">
        <f>SUMIFS('декабрь 2024'!$G$5:$G$2311,'декабрь 2024'!$D$5:$D$2311,$B110,'декабрь 2024'!$J$5:$J$2311,AA$1)</f>
        <v>0</v>
      </c>
      <c r="AB110" s="80">
        <f>SUMIFS('декабрь 2024'!$G$5:$G$2311,'декабрь 2024'!$D$5:$D$2311,$B110,'декабрь 2024'!$J$5:$J$2311,AB$1)</f>
        <v>0</v>
      </c>
      <c r="AC110" s="80">
        <f>SUMIFS('декабрь 2024'!$G$5:$G$2311,'декабрь 2024'!$D$5:$D$2311,$B110,'декабрь 2024'!$J$5:$J$2311,AC$1)</f>
        <v>0</v>
      </c>
      <c r="AD110" s="80">
        <f>SUMIFS('декабрь 2024'!$G$5:$G$2311,'декабрь 2024'!$D$5:$D$2311,$B110,'декабрь 2024'!$J$5:$J$2311,AD$1)</f>
        <v>0</v>
      </c>
      <c r="AE110" s="80">
        <f>SUMIFS('декабрь 2024'!$G$5:$G$2311,'декабрь 2024'!$D$5:$D$2311,$B110,'декабрь 2024'!$J$5:$J$2311,AE$1)</f>
        <v>0</v>
      </c>
      <c r="AF110" s="80">
        <f>SUMIFS('декабрь 2024'!$G$5:$G$2311,'декабрь 2024'!$D$5:$D$2311,$B110,'декабрь 2024'!$J$5:$J$2311,AF$1)</f>
        <v>0</v>
      </c>
      <c r="AG110" s="80">
        <f>SUMIFS('декабрь 2024'!$G$5:$G$2311,'декабрь 2024'!$D$5:$D$2311,$B110,'декабрь 2024'!$J$5:$J$2311,AG$1)</f>
        <v>0</v>
      </c>
      <c r="AH110" s="80">
        <f>SUMIFS('декабрь 2024'!$G$5:$G$2311,'декабрь 2024'!$D$5:$D$2311,$B110,'декабрь 2024'!$J$5:$J$2311,AH$1)</f>
        <v>0</v>
      </c>
      <c r="AI110" s="21">
        <f t="shared" si="1"/>
        <v>0</v>
      </c>
    </row>
    <row r="111" spans="2:35" ht="15" customHeight="1" x14ac:dyDescent="0.25">
      <c r="B111" s="93" t="s">
        <v>328</v>
      </c>
      <c r="C111" s="91">
        <v>50</v>
      </c>
      <c r="D111" s="80">
        <f>SUMIFS('декабрь 2024'!$G$5:$G$2311,'декабрь 2024'!$D$5:$D$2311,$B111,'декабрь 2024'!$J$5:$J$2311,D$1)</f>
        <v>0</v>
      </c>
      <c r="E111" s="80">
        <f>SUMIFS('декабрь 2024'!$G$5:$G$2311,'декабрь 2024'!$D$5:$D$2311,$B111,'декабрь 2024'!$J$5:$J$2311,E$1)</f>
        <v>0</v>
      </c>
      <c r="F111" s="80">
        <f>SUMIFS('декабрь 2024'!$G$5:$G$2311,'декабрь 2024'!$D$5:$D$2311,$B111,'декабрь 2024'!$J$5:$J$2311,F$1)</f>
        <v>0</v>
      </c>
      <c r="G111" s="80">
        <f>SUMIFS('декабрь 2024'!$G$5:$G$2311,'декабрь 2024'!$D$5:$D$2311,$B111,'декабрь 2024'!$J$5:$J$2311,G$1)</f>
        <v>0</v>
      </c>
      <c r="H111" s="80">
        <f>SUMIFS('декабрь 2024'!$G$5:$G$2311,'декабрь 2024'!$D$5:$D$2311,$B111,'декабрь 2024'!$J$5:$J$2311,H$1)</f>
        <v>0</v>
      </c>
      <c r="I111" s="80">
        <f>SUMIFS('декабрь 2024'!$G$5:$G$2311,'декабрь 2024'!$D$5:$D$2311,$B111,'декабрь 2024'!$J$5:$J$2311,I$1)</f>
        <v>0</v>
      </c>
      <c r="J111" s="80">
        <f>SUMIFS('декабрь 2024'!$G$5:$G$2311,'декабрь 2024'!$D$5:$D$2311,$B111,'декабрь 2024'!$J$5:$J$2311,J$1)</f>
        <v>0</v>
      </c>
      <c r="K111" s="80">
        <f>SUMIFS('декабрь 2024'!$G$5:$G$2311,'декабрь 2024'!$D$5:$D$2311,$B111,'декабрь 2024'!$J$5:$J$2311,K$1)</f>
        <v>0</v>
      </c>
      <c r="L111" s="80">
        <f>SUMIFS('декабрь 2024'!$G$5:$G$2311,'декабрь 2024'!$D$5:$D$2311,$B111,'декабрь 2024'!$J$5:$J$2311,L$1)</f>
        <v>0</v>
      </c>
      <c r="M111" s="80">
        <f>SUMIFS('декабрь 2024'!$G$5:$G$2311,'декабрь 2024'!$D$5:$D$2311,$B111,'декабрь 2024'!$J$5:$J$2311,M$1)</f>
        <v>0</v>
      </c>
      <c r="N111" s="80">
        <f>SUMIFS('декабрь 2024'!$G$5:$G$2311,'декабрь 2024'!$D$5:$D$2311,$B111,'декабрь 2024'!$J$5:$J$2311,N$1)</f>
        <v>0</v>
      </c>
      <c r="O111" s="80">
        <f>SUMIFS('декабрь 2024'!$G$5:$G$2311,'декабрь 2024'!$D$5:$D$2311,$B111,'декабрь 2024'!$J$5:$J$2311,O$1)</f>
        <v>0</v>
      </c>
      <c r="P111" s="80">
        <f>SUMIFS('декабрь 2024'!$G$5:$G$2311,'декабрь 2024'!$D$5:$D$2311,$B111,'декабрь 2024'!$J$5:$J$2311,P$1)</f>
        <v>0</v>
      </c>
      <c r="Q111" s="80">
        <f>SUMIFS('декабрь 2024'!$G$5:$G$2311,'декабрь 2024'!$D$5:$D$2311,$B111,'декабрь 2024'!$J$5:$J$2311,Q$1)</f>
        <v>0</v>
      </c>
      <c r="R111" s="80">
        <f>SUMIFS('декабрь 2024'!$G$5:$G$2311,'декабрь 2024'!$D$5:$D$2311,$B111,'декабрь 2024'!$J$5:$J$2311,R$1)</f>
        <v>0</v>
      </c>
      <c r="S111" s="80">
        <f>SUMIFS('декабрь 2024'!$G$5:$G$2311,'декабрь 2024'!$D$5:$D$2311,$B111,'декабрь 2024'!$J$5:$J$2311,S$1)</f>
        <v>0</v>
      </c>
      <c r="T111" s="80">
        <f>SUMIFS('декабрь 2024'!$G$5:$G$2311,'декабрь 2024'!$D$5:$D$2311,$B111,'декабрь 2024'!$J$5:$J$2311,T$1)</f>
        <v>0</v>
      </c>
      <c r="U111" s="80">
        <f>SUMIFS('декабрь 2024'!$G$5:$G$2311,'декабрь 2024'!$D$5:$D$2311,$B111,'декабрь 2024'!$J$5:$J$2311,U$1)</f>
        <v>0</v>
      </c>
      <c r="V111" s="80">
        <f>SUMIFS('декабрь 2024'!$G$5:$G$2311,'декабрь 2024'!$D$5:$D$2311,$B111,'декабрь 2024'!$J$5:$J$2311,V$1)</f>
        <v>0</v>
      </c>
      <c r="W111" s="80">
        <f>SUMIFS('декабрь 2024'!$G$5:$G$2311,'декабрь 2024'!$D$5:$D$2311,$B111,'декабрь 2024'!$J$5:$J$2311,W$1)</f>
        <v>0</v>
      </c>
      <c r="X111" s="80">
        <f>SUMIFS('декабрь 2024'!$G$5:$G$2311,'декабрь 2024'!$D$5:$D$2311,$B111,'декабрь 2024'!$J$5:$J$2311,X$1)</f>
        <v>0</v>
      </c>
      <c r="Y111" s="80">
        <f>SUMIFS('декабрь 2024'!$G$5:$G$2311,'декабрь 2024'!$D$5:$D$2311,$B111,'декабрь 2024'!$J$5:$J$2311,Y$1)</f>
        <v>0</v>
      </c>
      <c r="Z111" s="80">
        <f>SUMIFS('декабрь 2024'!$G$5:$G$2311,'декабрь 2024'!$D$5:$D$2311,$B111,'декабрь 2024'!$J$5:$J$2311,Z$1)</f>
        <v>0</v>
      </c>
      <c r="AA111" s="80">
        <f>SUMIFS('декабрь 2024'!$G$5:$G$2311,'декабрь 2024'!$D$5:$D$2311,$B111,'декабрь 2024'!$J$5:$J$2311,AA$1)</f>
        <v>0</v>
      </c>
      <c r="AB111" s="80">
        <f>SUMIFS('декабрь 2024'!$G$5:$G$2311,'декабрь 2024'!$D$5:$D$2311,$B111,'декабрь 2024'!$J$5:$J$2311,AB$1)</f>
        <v>0</v>
      </c>
      <c r="AC111" s="80">
        <f>SUMIFS('декабрь 2024'!$G$5:$G$2311,'декабрь 2024'!$D$5:$D$2311,$B111,'декабрь 2024'!$J$5:$J$2311,AC$1)</f>
        <v>0</v>
      </c>
      <c r="AD111" s="80">
        <f>SUMIFS('декабрь 2024'!$G$5:$G$2311,'декабрь 2024'!$D$5:$D$2311,$B111,'декабрь 2024'!$J$5:$J$2311,AD$1)</f>
        <v>0</v>
      </c>
      <c r="AE111" s="80">
        <f>SUMIFS('декабрь 2024'!$G$5:$G$2311,'декабрь 2024'!$D$5:$D$2311,$B111,'декабрь 2024'!$J$5:$J$2311,AE$1)</f>
        <v>0</v>
      </c>
      <c r="AF111" s="80">
        <f>SUMIFS('декабрь 2024'!$G$5:$G$2311,'декабрь 2024'!$D$5:$D$2311,$B111,'декабрь 2024'!$J$5:$J$2311,AF$1)</f>
        <v>0</v>
      </c>
      <c r="AG111" s="80">
        <f>SUMIFS('декабрь 2024'!$G$5:$G$2311,'декабрь 2024'!$D$5:$D$2311,$B111,'декабрь 2024'!$J$5:$J$2311,AG$1)</f>
        <v>0</v>
      </c>
      <c r="AH111" s="80">
        <f>SUMIFS('декабрь 2024'!$G$5:$G$2311,'декабрь 2024'!$D$5:$D$2311,$B111,'декабрь 2024'!$J$5:$J$2311,AH$1)</f>
        <v>0</v>
      </c>
      <c r="AI111" s="21">
        <f t="shared" si="1"/>
        <v>0</v>
      </c>
    </row>
    <row r="112" spans="2:35" ht="15" customHeight="1" x14ac:dyDescent="0.25">
      <c r="B112" s="93" t="s">
        <v>195</v>
      </c>
      <c r="C112" s="91">
        <v>180</v>
      </c>
      <c r="D112" s="80">
        <f>SUMIFS('декабрь 2024'!$G$5:$G$2311,'декабрь 2024'!$D$5:$D$2311,$B112,'декабрь 2024'!$J$5:$J$2311,D$1)</f>
        <v>0</v>
      </c>
      <c r="E112" s="80">
        <f>SUMIFS('декабрь 2024'!$G$5:$G$2311,'декабрь 2024'!$D$5:$D$2311,$B112,'декабрь 2024'!$J$5:$J$2311,E$1)</f>
        <v>0</v>
      </c>
      <c r="F112" s="80">
        <f>SUMIFS('декабрь 2024'!$G$5:$G$2311,'декабрь 2024'!$D$5:$D$2311,$B112,'декабрь 2024'!$J$5:$J$2311,F$1)</f>
        <v>0</v>
      </c>
      <c r="G112" s="80">
        <f>SUMIFS('декабрь 2024'!$G$5:$G$2311,'декабрь 2024'!$D$5:$D$2311,$B112,'декабрь 2024'!$J$5:$J$2311,G$1)</f>
        <v>0</v>
      </c>
      <c r="H112" s="80">
        <f>SUMIFS('декабрь 2024'!$G$5:$G$2311,'декабрь 2024'!$D$5:$D$2311,$B112,'декабрь 2024'!$J$5:$J$2311,H$1)</f>
        <v>0</v>
      </c>
      <c r="I112" s="80">
        <f>SUMIFS('декабрь 2024'!$G$5:$G$2311,'декабрь 2024'!$D$5:$D$2311,$B112,'декабрь 2024'!$J$5:$J$2311,I$1)</f>
        <v>0</v>
      </c>
      <c r="J112" s="80">
        <f>SUMIFS('декабрь 2024'!$G$5:$G$2311,'декабрь 2024'!$D$5:$D$2311,$B112,'декабрь 2024'!$J$5:$J$2311,J$1)</f>
        <v>0</v>
      </c>
      <c r="K112" s="80">
        <f>SUMIFS('декабрь 2024'!$G$5:$G$2311,'декабрь 2024'!$D$5:$D$2311,$B112,'декабрь 2024'!$J$5:$J$2311,K$1)</f>
        <v>0</v>
      </c>
      <c r="L112" s="80">
        <f>SUMIFS('декабрь 2024'!$G$5:$G$2311,'декабрь 2024'!$D$5:$D$2311,$B112,'декабрь 2024'!$J$5:$J$2311,L$1)</f>
        <v>0</v>
      </c>
      <c r="M112" s="80">
        <f>SUMIFS('декабрь 2024'!$G$5:$G$2311,'декабрь 2024'!$D$5:$D$2311,$B112,'декабрь 2024'!$J$5:$J$2311,M$1)</f>
        <v>0</v>
      </c>
      <c r="N112" s="80">
        <f>SUMIFS('декабрь 2024'!$G$5:$G$2311,'декабрь 2024'!$D$5:$D$2311,$B112,'декабрь 2024'!$J$5:$J$2311,N$1)</f>
        <v>0</v>
      </c>
      <c r="O112" s="80">
        <f>SUMIFS('декабрь 2024'!$G$5:$G$2311,'декабрь 2024'!$D$5:$D$2311,$B112,'декабрь 2024'!$J$5:$J$2311,O$1)</f>
        <v>0</v>
      </c>
      <c r="P112" s="80">
        <f>SUMIFS('декабрь 2024'!$G$5:$G$2311,'декабрь 2024'!$D$5:$D$2311,$B112,'декабрь 2024'!$J$5:$J$2311,P$1)</f>
        <v>0</v>
      </c>
      <c r="Q112" s="80">
        <f>SUMIFS('декабрь 2024'!$G$5:$G$2311,'декабрь 2024'!$D$5:$D$2311,$B112,'декабрь 2024'!$J$5:$J$2311,Q$1)</f>
        <v>0</v>
      </c>
      <c r="R112" s="80">
        <f>SUMIFS('декабрь 2024'!$G$5:$G$2311,'декабрь 2024'!$D$5:$D$2311,$B112,'декабрь 2024'!$J$5:$J$2311,R$1)</f>
        <v>0</v>
      </c>
      <c r="S112" s="80">
        <f>SUMIFS('декабрь 2024'!$G$5:$G$2311,'декабрь 2024'!$D$5:$D$2311,$B112,'декабрь 2024'!$J$5:$J$2311,S$1)</f>
        <v>0</v>
      </c>
      <c r="T112" s="80">
        <f>SUMIFS('декабрь 2024'!$G$5:$G$2311,'декабрь 2024'!$D$5:$D$2311,$B112,'декабрь 2024'!$J$5:$J$2311,T$1)</f>
        <v>0</v>
      </c>
      <c r="U112" s="80">
        <f>SUMIFS('декабрь 2024'!$G$5:$G$2311,'декабрь 2024'!$D$5:$D$2311,$B112,'декабрь 2024'!$J$5:$J$2311,U$1)</f>
        <v>0</v>
      </c>
      <c r="V112" s="80">
        <f>SUMIFS('декабрь 2024'!$G$5:$G$2311,'декабрь 2024'!$D$5:$D$2311,$B112,'декабрь 2024'!$J$5:$J$2311,V$1)</f>
        <v>0</v>
      </c>
      <c r="W112" s="80">
        <f>SUMIFS('декабрь 2024'!$G$5:$G$2311,'декабрь 2024'!$D$5:$D$2311,$B112,'декабрь 2024'!$J$5:$J$2311,W$1)</f>
        <v>0</v>
      </c>
      <c r="X112" s="80">
        <f>SUMIFS('декабрь 2024'!$G$5:$G$2311,'декабрь 2024'!$D$5:$D$2311,$B112,'декабрь 2024'!$J$5:$J$2311,X$1)</f>
        <v>0</v>
      </c>
      <c r="Y112" s="80">
        <f>SUMIFS('декабрь 2024'!$G$5:$G$2311,'декабрь 2024'!$D$5:$D$2311,$B112,'декабрь 2024'!$J$5:$J$2311,Y$1)</f>
        <v>0</v>
      </c>
      <c r="Z112" s="80">
        <f>SUMIFS('декабрь 2024'!$G$5:$G$2311,'декабрь 2024'!$D$5:$D$2311,$B112,'декабрь 2024'!$J$5:$J$2311,Z$1)</f>
        <v>0</v>
      </c>
      <c r="AA112" s="80">
        <f>SUMIFS('декабрь 2024'!$G$5:$G$2311,'декабрь 2024'!$D$5:$D$2311,$B112,'декабрь 2024'!$J$5:$J$2311,AA$1)</f>
        <v>0</v>
      </c>
      <c r="AB112" s="80">
        <f>SUMIFS('декабрь 2024'!$G$5:$G$2311,'декабрь 2024'!$D$5:$D$2311,$B112,'декабрь 2024'!$J$5:$J$2311,AB$1)</f>
        <v>0</v>
      </c>
      <c r="AC112" s="80">
        <f>SUMIFS('декабрь 2024'!$G$5:$G$2311,'декабрь 2024'!$D$5:$D$2311,$B112,'декабрь 2024'!$J$5:$J$2311,AC$1)</f>
        <v>0</v>
      </c>
      <c r="AD112" s="80">
        <f>SUMIFS('декабрь 2024'!$G$5:$G$2311,'декабрь 2024'!$D$5:$D$2311,$B112,'декабрь 2024'!$J$5:$J$2311,AD$1)</f>
        <v>0</v>
      </c>
      <c r="AE112" s="80">
        <f>SUMIFS('декабрь 2024'!$G$5:$G$2311,'декабрь 2024'!$D$5:$D$2311,$B112,'декабрь 2024'!$J$5:$J$2311,AE$1)</f>
        <v>0</v>
      </c>
      <c r="AF112" s="80">
        <f>SUMIFS('декабрь 2024'!$G$5:$G$2311,'декабрь 2024'!$D$5:$D$2311,$B112,'декабрь 2024'!$J$5:$J$2311,AF$1)</f>
        <v>0</v>
      </c>
      <c r="AG112" s="80">
        <f>SUMIFS('декабрь 2024'!$G$5:$G$2311,'декабрь 2024'!$D$5:$D$2311,$B112,'декабрь 2024'!$J$5:$J$2311,AG$1)</f>
        <v>0</v>
      </c>
      <c r="AH112" s="80">
        <f>SUMIFS('декабрь 2024'!$G$5:$G$2311,'декабрь 2024'!$D$5:$D$2311,$B112,'декабрь 2024'!$J$5:$J$2311,AH$1)</f>
        <v>0</v>
      </c>
      <c r="AI112" s="21">
        <f t="shared" si="1"/>
        <v>0</v>
      </c>
    </row>
    <row r="113" spans="2:35" ht="15" customHeight="1" x14ac:dyDescent="0.25">
      <c r="B113" s="93" t="s">
        <v>214</v>
      </c>
      <c r="C113" s="91">
        <v>185</v>
      </c>
      <c r="D113" s="80">
        <f>SUMIFS('декабрь 2024'!$G$5:$G$2311,'декабрь 2024'!$D$5:$D$2311,$B113,'декабрь 2024'!$J$5:$J$2311,D$1)</f>
        <v>0</v>
      </c>
      <c r="E113" s="80">
        <f>SUMIFS('декабрь 2024'!$G$5:$G$2311,'декабрь 2024'!$D$5:$D$2311,$B113,'декабрь 2024'!$J$5:$J$2311,E$1)</f>
        <v>0</v>
      </c>
      <c r="F113" s="80">
        <f>SUMIFS('декабрь 2024'!$G$5:$G$2311,'декабрь 2024'!$D$5:$D$2311,$B113,'декабрь 2024'!$J$5:$J$2311,F$1)</f>
        <v>0</v>
      </c>
      <c r="G113" s="80">
        <f>SUMIFS('декабрь 2024'!$G$5:$G$2311,'декабрь 2024'!$D$5:$D$2311,$B113,'декабрь 2024'!$J$5:$J$2311,G$1)</f>
        <v>0</v>
      </c>
      <c r="H113" s="80">
        <f>SUMIFS('декабрь 2024'!$G$5:$G$2311,'декабрь 2024'!$D$5:$D$2311,$B113,'декабрь 2024'!$J$5:$J$2311,H$1)</f>
        <v>0</v>
      </c>
      <c r="I113" s="80">
        <f>SUMIFS('декабрь 2024'!$G$5:$G$2311,'декабрь 2024'!$D$5:$D$2311,$B113,'декабрь 2024'!$J$5:$J$2311,I$1)</f>
        <v>0</v>
      </c>
      <c r="J113" s="80">
        <f>SUMIFS('декабрь 2024'!$G$5:$G$2311,'декабрь 2024'!$D$5:$D$2311,$B113,'декабрь 2024'!$J$5:$J$2311,J$1)</f>
        <v>0</v>
      </c>
      <c r="K113" s="80">
        <f>SUMIFS('декабрь 2024'!$G$5:$G$2311,'декабрь 2024'!$D$5:$D$2311,$B113,'декабрь 2024'!$J$5:$J$2311,K$1)</f>
        <v>0</v>
      </c>
      <c r="L113" s="80">
        <f>SUMIFS('декабрь 2024'!$G$5:$G$2311,'декабрь 2024'!$D$5:$D$2311,$B113,'декабрь 2024'!$J$5:$J$2311,L$1)</f>
        <v>0</v>
      </c>
      <c r="M113" s="80">
        <f>SUMIFS('декабрь 2024'!$G$5:$G$2311,'декабрь 2024'!$D$5:$D$2311,$B113,'декабрь 2024'!$J$5:$J$2311,M$1)</f>
        <v>0</v>
      </c>
      <c r="N113" s="80">
        <f>SUMIFS('декабрь 2024'!$G$5:$G$2311,'декабрь 2024'!$D$5:$D$2311,$B113,'декабрь 2024'!$J$5:$J$2311,N$1)</f>
        <v>0</v>
      </c>
      <c r="O113" s="80">
        <f>SUMIFS('декабрь 2024'!$G$5:$G$2311,'декабрь 2024'!$D$5:$D$2311,$B113,'декабрь 2024'!$J$5:$J$2311,O$1)</f>
        <v>0</v>
      </c>
      <c r="P113" s="80">
        <f>SUMIFS('декабрь 2024'!$G$5:$G$2311,'декабрь 2024'!$D$5:$D$2311,$B113,'декабрь 2024'!$J$5:$J$2311,P$1)</f>
        <v>0</v>
      </c>
      <c r="Q113" s="80">
        <f>SUMIFS('декабрь 2024'!$G$5:$G$2311,'декабрь 2024'!$D$5:$D$2311,$B113,'декабрь 2024'!$J$5:$J$2311,Q$1)</f>
        <v>0</v>
      </c>
      <c r="R113" s="80">
        <f>SUMIFS('декабрь 2024'!$G$5:$G$2311,'декабрь 2024'!$D$5:$D$2311,$B113,'декабрь 2024'!$J$5:$J$2311,R$1)</f>
        <v>0</v>
      </c>
      <c r="S113" s="80">
        <f>SUMIFS('декабрь 2024'!$G$5:$G$2311,'декабрь 2024'!$D$5:$D$2311,$B113,'декабрь 2024'!$J$5:$J$2311,S$1)</f>
        <v>0</v>
      </c>
      <c r="T113" s="80">
        <f>SUMIFS('декабрь 2024'!$G$5:$G$2311,'декабрь 2024'!$D$5:$D$2311,$B113,'декабрь 2024'!$J$5:$J$2311,T$1)</f>
        <v>0</v>
      </c>
      <c r="U113" s="80">
        <f>SUMIFS('декабрь 2024'!$G$5:$G$2311,'декабрь 2024'!$D$5:$D$2311,$B113,'декабрь 2024'!$J$5:$J$2311,U$1)</f>
        <v>0</v>
      </c>
      <c r="V113" s="80">
        <f>SUMIFS('декабрь 2024'!$G$5:$G$2311,'декабрь 2024'!$D$5:$D$2311,$B113,'декабрь 2024'!$J$5:$J$2311,V$1)</f>
        <v>0</v>
      </c>
      <c r="W113" s="80">
        <f>SUMIFS('декабрь 2024'!$G$5:$G$2311,'декабрь 2024'!$D$5:$D$2311,$B113,'декабрь 2024'!$J$5:$J$2311,W$1)</f>
        <v>0</v>
      </c>
      <c r="X113" s="80">
        <f>SUMIFS('декабрь 2024'!$G$5:$G$2311,'декабрь 2024'!$D$5:$D$2311,$B113,'декабрь 2024'!$J$5:$J$2311,X$1)</f>
        <v>0</v>
      </c>
      <c r="Y113" s="80">
        <f>SUMIFS('декабрь 2024'!$G$5:$G$2311,'декабрь 2024'!$D$5:$D$2311,$B113,'декабрь 2024'!$J$5:$J$2311,Y$1)</f>
        <v>0</v>
      </c>
      <c r="Z113" s="80">
        <f>SUMIFS('декабрь 2024'!$G$5:$G$2311,'декабрь 2024'!$D$5:$D$2311,$B113,'декабрь 2024'!$J$5:$J$2311,Z$1)</f>
        <v>0</v>
      </c>
      <c r="AA113" s="80">
        <f>SUMIFS('декабрь 2024'!$G$5:$G$2311,'декабрь 2024'!$D$5:$D$2311,$B113,'декабрь 2024'!$J$5:$J$2311,AA$1)</f>
        <v>0</v>
      </c>
      <c r="AB113" s="80">
        <f>SUMIFS('декабрь 2024'!$G$5:$G$2311,'декабрь 2024'!$D$5:$D$2311,$B113,'декабрь 2024'!$J$5:$J$2311,AB$1)</f>
        <v>0</v>
      </c>
      <c r="AC113" s="80">
        <f>SUMIFS('декабрь 2024'!$G$5:$G$2311,'декабрь 2024'!$D$5:$D$2311,$B113,'декабрь 2024'!$J$5:$J$2311,AC$1)</f>
        <v>0</v>
      </c>
      <c r="AD113" s="80">
        <f>SUMIFS('декабрь 2024'!$G$5:$G$2311,'декабрь 2024'!$D$5:$D$2311,$B113,'декабрь 2024'!$J$5:$J$2311,AD$1)</f>
        <v>0</v>
      </c>
      <c r="AE113" s="80">
        <f>SUMIFS('декабрь 2024'!$G$5:$G$2311,'декабрь 2024'!$D$5:$D$2311,$B113,'декабрь 2024'!$J$5:$J$2311,AE$1)</f>
        <v>0</v>
      </c>
      <c r="AF113" s="80">
        <f>SUMIFS('декабрь 2024'!$G$5:$G$2311,'декабрь 2024'!$D$5:$D$2311,$B113,'декабрь 2024'!$J$5:$J$2311,AF$1)</f>
        <v>0</v>
      </c>
      <c r="AG113" s="80">
        <f>SUMIFS('декабрь 2024'!$G$5:$G$2311,'декабрь 2024'!$D$5:$D$2311,$B113,'декабрь 2024'!$J$5:$J$2311,AG$1)</f>
        <v>0</v>
      </c>
      <c r="AH113" s="80">
        <f>SUMIFS('декабрь 2024'!$G$5:$G$2311,'декабрь 2024'!$D$5:$D$2311,$B113,'декабрь 2024'!$J$5:$J$2311,AH$1)</f>
        <v>0</v>
      </c>
      <c r="AI113" s="21">
        <f t="shared" si="1"/>
        <v>0</v>
      </c>
    </row>
    <row r="114" spans="2:35" ht="15" customHeight="1" x14ac:dyDescent="0.25">
      <c r="B114" s="93" t="s">
        <v>1069</v>
      </c>
      <c r="C114" s="91">
        <v>175</v>
      </c>
      <c r="D114" s="80">
        <f>SUMIFS('декабрь 2024'!$G$5:$G$2311,'декабрь 2024'!$D$5:$D$2311,$B114,'декабрь 2024'!$J$5:$J$2311,D$1)</f>
        <v>0</v>
      </c>
      <c r="E114" s="80">
        <f>SUMIFS('декабрь 2024'!$G$5:$G$2311,'декабрь 2024'!$D$5:$D$2311,$B114,'декабрь 2024'!$J$5:$J$2311,E$1)</f>
        <v>0</v>
      </c>
      <c r="F114" s="80">
        <f>SUMIFS('декабрь 2024'!$G$5:$G$2311,'декабрь 2024'!$D$5:$D$2311,$B114,'декабрь 2024'!$J$5:$J$2311,F$1)</f>
        <v>0</v>
      </c>
      <c r="G114" s="80">
        <f>SUMIFS('декабрь 2024'!$G$5:$G$2311,'декабрь 2024'!$D$5:$D$2311,$B114,'декабрь 2024'!$J$5:$J$2311,G$1)</f>
        <v>0</v>
      </c>
      <c r="H114" s="80">
        <f>SUMIFS('декабрь 2024'!$G$5:$G$2311,'декабрь 2024'!$D$5:$D$2311,$B114,'декабрь 2024'!$J$5:$J$2311,H$1)</f>
        <v>0</v>
      </c>
      <c r="I114" s="80">
        <f>SUMIFS('декабрь 2024'!$G$5:$G$2311,'декабрь 2024'!$D$5:$D$2311,$B114,'декабрь 2024'!$J$5:$J$2311,I$1)</f>
        <v>0</v>
      </c>
      <c r="J114" s="80">
        <f>SUMIFS('декабрь 2024'!$G$5:$G$2311,'декабрь 2024'!$D$5:$D$2311,$B114,'декабрь 2024'!$J$5:$J$2311,J$1)</f>
        <v>0</v>
      </c>
      <c r="K114" s="80">
        <f>SUMIFS('декабрь 2024'!$G$5:$G$2311,'декабрь 2024'!$D$5:$D$2311,$B114,'декабрь 2024'!$J$5:$J$2311,K$1)</f>
        <v>0</v>
      </c>
      <c r="L114" s="80">
        <f>SUMIFS('декабрь 2024'!$G$5:$G$2311,'декабрь 2024'!$D$5:$D$2311,$B114,'декабрь 2024'!$J$5:$J$2311,L$1)</f>
        <v>0</v>
      </c>
      <c r="M114" s="80">
        <f>SUMIFS('декабрь 2024'!$G$5:$G$2311,'декабрь 2024'!$D$5:$D$2311,$B114,'декабрь 2024'!$J$5:$J$2311,M$1)</f>
        <v>0</v>
      </c>
      <c r="N114" s="80">
        <f>SUMIFS('декабрь 2024'!$G$5:$G$2311,'декабрь 2024'!$D$5:$D$2311,$B114,'декабрь 2024'!$J$5:$J$2311,N$1)</f>
        <v>0</v>
      </c>
      <c r="O114" s="80">
        <f>SUMIFS('декабрь 2024'!$G$5:$G$2311,'декабрь 2024'!$D$5:$D$2311,$B114,'декабрь 2024'!$J$5:$J$2311,O$1)</f>
        <v>0</v>
      </c>
      <c r="P114" s="80">
        <f>SUMIFS('декабрь 2024'!$G$5:$G$2311,'декабрь 2024'!$D$5:$D$2311,$B114,'декабрь 2024'!$J$5:$J$2311,P$1)</f>
        <v>0</v>
      </c>
      <c r="Q114" s="80">
        <f>SUMIFS('декабрь 2024'!$G$5:$G$2311,'декабрь 2024'!$D$5:$D$2311,$B114,'декабрь 2024'!$J$5:$J$2311,Q$1)</f>
        <v>0</v>
      </c>
      <c r="R114" s="80">
        <f>SUMIFS('декабрь 2024'!$G$5:$G$2311,'декабрь 2024'!$D$5:$D$2311,$B114,'декабрь 2024'!$J$5:$J$2311,R$1)</f>
        <v>0</v>
      </c>
      <c r="S114" s="80">
        <f>SUMIFS('декабрь 2024'!$G$5:$G$2311,'декабрь 2024'!$D$5:$D$2311,$B114,'декабрь 2024'!$J$5:$J$2311,S$1)</f>
        <v>0</v>
      </c>
      <c r="T114" s="80">
        <f>SUMIFS('декабрь 2024'!$G$5:$G$2311,'декабрь 2024'!$D$5:$D$2311,$B114,'декабрь 2024'!$J$5:$J$2311,T$1)</f>
        <v>0</v>
      </c>
      <c r="U114" s="80">
        <f>SUMIFS('декабрь 2024'!$G$5:$G$2311,'декабрь 2024'!$D$5:$D$2311,$B114,'декабрь 2024'!$J$5:$J$2311,U$1)</f>
        <v>80</v>
      </c>
      <c r="V114" s="80">
        <f>SUMIFS('декабрь 2024'!$G$5:$G$2311,'декабрь 2024'!$D$5:$D$2311,$B114,'декабрь 2024'!$J$5:$J$2311,V$1)</f>
        <v>0</v>
      </c>
      <c r="W114" s="80">
        <f>SUMIFS('декабрь 2024'!$G$5:$G$2311,'декабрь 2024'!$D$5:$D$2311,$B114,'декабрь 2024'!$J$5:$J$2311,W$1)</f>
        <v>0</v>
      </c>
      <c r="X114" s="80">
        <f>SUMIFS('декабрь 2024'!$G$5:$G$2311,'декабрь 2024'!$D$5:$D$2311,$B114,'декабрь 2024'!$J$5:$J$2311,X$1)</f>
        <v>0</v>
      </c>
      <c r="Y114" s="80">
        <f>SUMIFS('декабрь 2024'!$G$5:$G$2311,'декабрь 2024'!$D$5:$D$2311,$B114,'декабрь 2024'!$J$5:$J$2311,Y$1)</f>
        <v>0</v>
      </c>
      <c r="Z114" s="80">
        <f>SUMIFS('декабрь 2024'!$G$5:$G$2311,'декабрь 2024'!$D$5:$D$2311,$B114,'декабрь 2024'!$J$5:$J$2311,Z$1)</f>
        <v>0</v>
      </c>
      <c r="AA114" s="80">
        <f>SUMIFS('декабрь 2024'!$G$5:$G$2311,'декабрь 2024'!$D$5:$D$2311,$B114,'декабрь 2024'!$J$5:$J$2311,AA$1)</f>
        <v>0</v>
      </c>
      <c r="AB114" s="80">
        <f>SUMIFS('декабрь 2024'!$G$5:$G$2311,'декабрь 2024'!$D$5:$D$2311,$B114,'декабрь 2024'!$J$5:$J$2311,AB$1)</f>
        <v>0</v>
      </c>
      <c r="AC114" s="80">
        <f>SUMIFS('декабрь 2024'!$G$5:$G$2311,'декабрь 2024'!$D$5:$D$2311,$B114,'декабрь 2024'!$J$5:$J$2311,AC$1)</f>
        <v>0</v>
      </c>
      <c r="AD114" s="80">
        <f>SUMIFS('декабрь 2024'!$G$5:$G$2311,'декабрь 2024'!$D$5:$D$2311,$B114,'декабрь 2024'!$J$5:$J$2311,AD$1)</f>
        <v>0</v>
      </c>
      <c r="AE114" s="80">
        <f>SUMIFS('декабрь 2024'!$G$5:$G$2311,'декабрь 2024'!$D$5:$D$2311,$B114,'декабрь 2024'!$J$5:$J$2311,AE$1)</f>
        <v>0</v>
      </c>
      <c r="AF114" s="80">
        <f>SUMIFS('декабрь 2024'!$G$5:$G$2311,'декабрь 2024'!$D$5:$D$2311,$B114,'декабрь 2024'!$J$5:$J$2311,AF$1)</f>
        <v>0</v>
      </c>
      <c r="AG114" s="80">
        <f>SUMIFS('декабрь 2024'!$G$5:$G$2311,'декабрь 2024'!$D$5:$D$2311,$B114,'декабрь 2024'!$J$5:$J$2311,AG$1)</f>
        <v>0</v>
      </c>
      <c r="AH114" s="80">
        <f>SUMIFS('декабрь 2024'!$G$5:$G$2311,'декабрь 2024'!$D$5:$D$2311,$B114,'декабрь 2024'!$J$5:$J$2311,AH$1)</f>
        <v>0</v>
      </c>
      <c r="AI114" s="21">
        <f t="shared" si="1"/>
        <v>80</v>
      </c>
    </row>
    <row r="115" spans="2:35" ht="15" customHeight="1" x14ac:dyDescent="0.25">
      <c r="B115" s="93" t="s">
        <v>1226</v>
      </c>
      <c r="C115" s="91">
        <v>200</v>
      </c>
      <c r="D115" s="80">
        <f>SUMIFS('декабрь 2024'!$G$5:$G$2311,'декабрь 2024'!$D$5:$D$2311,$B115,'декабрь 2024'!$J$5:$J$2311,D$1)</f>
        <v>0</v>
      </c>
      <c r="E115" s="80">
        <f>SUMIFS('декабрь 2024'!$G$5:$G$2311,'декабрь 2024'!$D$5:$D$2311,$B115,'декабрь 2024'!$J$5:$J$2311,E$1)</f>
        <v>0</v>
      </c>
      <c r="F115" s="80">
        <f>SUMIFS('декабрь 2024'!$G$5:$G$2311,'декабрь 2024'!$D$5:$D$2311,$B115,'декабрь 2024'!$J$5:$J$2311,F$1)</f>
        <v>0</v>
      </c>
      <c r="G115" s="80">
        <f>SUMIFS('декабрь 2024'!$G$5:$G$2311,'декабрь 2024'!$D$5:$D$2311,$B115,'декабрь 2024'!$J$5:$J$2311,G$1)</f>
        <v>0</v>
      </c>
      <c r="H115" s="80">
        <f>SUMIFS('декабрь 2024'!$G$5:$G$2311,'декабрь 2024'!$D$5:$D$2311,$B115,'декабрь 2024'!$J$5:$J$2311,H$1)</f>
        <v>0</v>
      </c>
      <c r="I115" s="80">
        <f>SUMIFS('декабрь 2024'!$G$5:$G$2311,'декабрь 2024'!$D$5:$D$2311,$B115,'декабрь 2024'!$J$5:$J$2311,I$1)</f>
        <v>0</v>
      </c>
      <c r="J115" s="80">
        <f>SUMIFS('декабрь 2024'!$G$5:$G$2311,'декабрь 2024'!$D$5:$D$2311,$B115,'декабрь 2024'!$J$5:$J$2311,J$1)</f>
        <v>0</v>
      </c>
      <c r="K115" s="80">
        <f>SUMIFS('декабрь 2024'!$G$5:$G$2311,'декабрь 2024'!$D$5:$D$2311,$B115,'декабрь 2024'!$J$5:$J$2311,K$1)</f>
        <v>0</v>
      </c>
      <c r="L115" s="80">
        <f>SUMIFS('декабрь 2024'!$G$5:$G$2311,'декабрь 2024'!$D$5:$D$2311,$B115,'декабрь 2024'!$J$5:$J$2311,L$1)</f>
        <v>0</v>
      </c>
      <c r="M115" s="80">
        <f>SUMIFS('декабрь 2024'!$G$5:$G$2311,'декабрь 2024'!$D$5:$D$2311,$B115,'декабрь 2024'!$J$5:$J$2311,M$1)</f>
        <v>0</v>
      </c>
      <c r="N115" s="80">
        <f>SUMIFS('декабрь 2024'!$G$5:$G$2311,'декабрь 2024'!$D$5:$D$2311,$B115,'декабрь 2024'!$J$5:$J$2311,N$1)</f>
        <v>0</v>
      </c>
      <c r="O115" s="80">
        <f>SUMIFS('декабрь 2024'!$G$5:$G$2311,'декабрь 2024'!$D$5:$D$2311,$B115,'декабрь 2024'!$J$5:$J$2311,O$1)</f>
        <v>0</v>
      </c>
      <c r="P115" s="80">
        <f>SUMIFS('декабрь 2024'!$G$5:$G$2311,'декабрь 2024'!$D$5:$D$2311,$B115,'декабрь 2024'!$J$5:$J$2311,P$1)</f>
        <v>0</v>
      </c>
      <c r="Q115" s="80">
        <f>SUMIFS('декабрь 2024'!$G$5:$G$2311,'декабрь 2024'!$D$5:$D$2311,$B115,'декабрь 2024'!$J$5:$J$2311,Q$1)</f>
        <v>0</v>
      </c>
      <c r="R115" s="80">
        <f>SUMIFS('декабрь 2024'!$G$5:$G$2311,'декабрь 2024'!$D$5:$D$2311,$B115,'декабрь 2024'!$J$5:$J$2311,R$1)</f>
        <v>0</v>
      </c>
      <c r="S115" s="80">
        <f>SUMIFS('декабрь 2024'!$G$5:$G$2311,'декабрь 2024'!$D$5:$D$2311,$B115,'декабрь 2024'!$J$5:$J$2311,S$1)</f>
        <v>0</v>
      </c>
      <c r="T115" s="80">
        <f>SUMIFS('декабрь 2024'!$G$5:$G$2311,'декабрь 2024'!$D$5:$D$2311,$B115,'декабрь 2024'!$J$5:$J$2311,T$1)</f>
        <v>0</v>
      </c>
      <c r="U115" s="80">
        <f>SUMIFS('декабрь 2024'!$G$5:$G$2311,'декабрь 2024'!$D$5:$D$2311,$B115,'декабрь 2024'!$J$5:$J$2311,U$1)</f>
        <v>0</v>
      </c>
      <c r="V115" s="80">
        <f>SUMIFS('декабрь 2024'!$G$5:$G$2311,'декабрь 2024'!$D$5:$D$2311,$B115,'декабрь 2024'!$J$5:$J$2311,V$1)</f>
        <v>0</v>
      </c>
      <c r="W115" s="80">
        <f>SUMIFS('декабрь 2024'!$G$5:$G$2311,'декабрь 2024'!$D$5:$D$2311,$B115,'декабрь 2024'!$J$5:$J$2311,W$1)</f>
        <v>0</v>
      </c>
      <c r="X115" s="80">
        <f>SUMIFS('декабрь 2024'!$G$5:$G$2311,'декабрь 2024'!$D$5:$D$2311,$B115,'декабрь 2024'!$J$5:$J$2311,X$1)</f>
        <v>0</v>
      </c>
      <c r="Y115" s="80">
        <f>SUMIFS('декабрь 2024'!$G$5:$G$2311,'декабрь 2024'!$D$5:$D$2311,$B115,'декабрь 2024'!$J$5:$J$2311,Y$1)</f>
        <v>0</v>
      </c>
      <c r="Z115" s="80">
        <f>SUMIFS('декабрь 2024'!$G$5:$G$2311,'декабрь 2024'!$D$5:$D$2311,$B115,'декабрь 2024'!$J$5:$J$2311,Z$1)</f>
        <v>0</v>
      </c>
      <c r="AA115" s="80">
        <f>SUMIFS('декабрь 2024'!$G$5:$G$2311,'декабрь 2024'!$D$5:$D$2311,$B115,'декабрь 2024'!$J$5:$J$2311,AA$1)</f>
        <v>0</v>
      </c>
      <c r="AB115" s="80">
        <f>SUMIFS('декабрь 2024'!$G$5:$G$2311,'декабрь 2024'!$D$5:$D$2311,$B115,'декабрь 2024'!$J$5:$J$2311,AB$1)</f>
        <v>0</v>
      </c>
      <c r="AC115" s="80">
        <f>SUMIFS('декабрь 2024'!$G$5:$G$2311,'декабрь 2024'!$D$5:$D$2311,$B115,'декабрь 2024'!$J$5:$J$2311,AC$1)</f>
        <v>0</v>
      </c>
      <c r="AD115" s="80">
        <f>SUMIFS('декабрь 2024'!$G$5:$G$2311,'декабрь 2024'!$D$5:$D$2311,$B115,'декабрь 2024'!$J$5:$J$2311,AD$1)</f>
        <v>0</v>
      </c>
      <c r="AE115" s="80">
        <f>SUMIFS('декабрь 2024'!$G$5:$G$2311,'декабрь 2024'!$D$5:$D$2311,$B115,'декабрь 2024'!$J$5:$J$2311,AE$1)</f>
        <v>0</v>
      </c>
      <c r="AF115" s="80">
        <f>SUMIFS('декабрь 2024'!$G$5:$G$2311,'декабрь 2024'!$D$5:$D$2311,$B115,'декабрь 2024'!$J$5:$J$2311,AF$1)</f>
        <v>0</v>
      </c>
      <c r="AG115" s="80">
        <f>SUMIFS('декабрь 2024'!$G$5:$G$2311,'декабрь 2024'!$D$5:$D$2311,$B115,'декабрь 2024'!$J$5:$J$2311,AG$1)</f>
        <v>0</v>
      </c>
      <c r="AH115" s="80">
        <f>SUMIFS('декабрь 2024'!$G$5:$G$2311,'декабрь 2024'!$D$5:$D$2311,$B115,'декабрь 2024'!$J$5:$J$2311,AH$1)</f>
        <v>0</v>
      </c>
      <c r="AI115" s="21">
        <f t="shared" si="1"/>
        <v>0</v>
      </c>
    </row>
    <row r="116" spans="2:35" ht="15" customHeight="1" x14ac:dyDescent="0.25">
      <c r="B116" s="93" t="s">
        <v>329</v>
      </c>
      <c r="C116" s="91">
        <v>180</v>
      </c>
      <c r="D116" s="80">
        <f>SUMIFS('декабрь 2024'!$G$5:$G$2311,'декабрь 2024'!$D$5:$D$2311,$B116,'декабрь 2024'!$J$5:$J$2311,D$1)</f>
        <v>0</v>
      </c>
      <c r="E116" s="80">
        <f>SUMIFS('декабрь 2024'!$G$5:$G$2311,'декабрь 2024'!$D$5:$D$2311,$B116,'декабрь 2024'!$J$5:$J$2311,E$1)</f>
        <v>0</v>
      </c>
      <c r="F116" s="80">
        <f>SUMIFS('декабрь 2024'!$G$5:$G$2311,'декабрь 2024'!$D$5:$D$2311,$B116,'декабрь 2024'!$J$5:$J$2311,F$1)</f>
        <v>0</v>
      </c>
      <c r="G116" s="80">
        <f>SUMIFS('декабрь 2024'!$G$5:$G$2311,'декабрь 2024'!$D$5:$D$2311,$B116,'декабрь 2024'!$J$5:$J$2311,G$1)</f>
        <v>0</v>
      </c>
      <c r="H116" s="80">
        <f>SUMIFS('декабрь 2024'!$G$5:$G$2311,'декабрь 2024'!$D$5:$D$2311,$B116,'декабрь 2024'!$J$5:$J$2311,H$1)</f>
        <v>0</v>
      </c>
      <c r="I116" s="80">
        <f>SUMIFS('декабрь 2024'!$G$5:$G$2311,'декабрь 2024'!$D$5:$D$2311,$B116,'декабрь 2024'!$J$5:$J$2311,I$1)</f>
        <v>0</v>
      </c>
      <c r="J116" s="80">
        <f>SUMIFS('декабрь 2024'!$G$5:$G$2311,'декабрь 2024'!$D$5:$D$2311,$B116,'декабрь 2024'!$J$5:$J$2311,J$1)</f>
        <v>0</v>
      </c>
      <c r="K116" s="80">
        <f>SUMIFS('декабрь 2024'!$G$5:$G$2311,'декабрь 2024'!$D$5:$D$2311,$B116,'декабрь 2024'!$J$5:$J$2311,K$1)</f>
        <v>0</v>
      </c>
      <c r="L116" s="80">
        <f>SUMIFS('декабрь 2024'!$G$5:$G$2311,'декабрь 2024'!$D$5:$D$2311,$B116,'декабрь 2024'!$J$5:$J$2311,L$1)</f>
        <v>0</v>
      </c>
      <c r="M116" s="80">
        <f>SUMIFS('декабрь 2024'!$G$5:$G$2311,'декабрь 2024'!$D$5:$D$2311,$B116,'декабрь 2024'!$J$5:$J$2311,M$1)</f>
        <v>0</v>
      </c>
      <c r="N116" s="80">
        <f>SUMIFS('декабрь 2024'!$G$5:$G$2311,'декабрь 2024'!$D$5:$D$2311,$B116,'декабрь 2024'!$J$5:$J$2311,N$1)</f>
        <v>0</v>
      </c>
      <c r="O116" s="80">
        <f>SUMIFS('декабрь 2024'!$G$5:$G$2311,'декабрь 2024'!$D$5:$D$2311,$B116,'декабрь 2024'!$J$5:$J$2311,O$1)</f>
        <v>0</v>
      </c>
      <c r="P116" s="80">
        <f>SUMIFS('декабрь 2024'!$G$5:$G$2311,'декабрь 2024'!$D$5:$D$2311,$B116,'декабрь 2024'!$J$5:$J$2311,P$1)</f>
        <v>0</v>
      </c>
      <c r="Q116" s="80">
        <f>SUMIFS('декабрь 2024'!$G$5:$G$2311,'декабрь 2024'!$D$5:$D$2311,$B116,'декабрь 2024'!$J$5:$J$2311,Q$1)</f>
        <v>0</v>
      </c>
      <c r="R116" s="80">
        <f>SUMIFS('декабрь 2024'!$G$5:$G$2311,'декабрь 2024'!$D$5:$D$2311,$B116,'декабрь 2024'!$J$5:$J$2311,R$1)</f>
        <v>0</v>
      </c>
      <c r="S116" s="80">
        <f>SUMIFS('декабрь 2024'!$G$5:$G$2311,'декабрь 2024'!$D$5:$D$2311,$B116,'декабрь 2024'!$J$5:$J$2311,S$1)</f>
        <v>0</v>
      </c>
      <c r="T116" s="80">
        <f>SUMIFS('декабрь 2024'!$G$5:$G$2311,'декабрь 2024'!$D$5:$D$2311,$B116,'декабрь 2024'!$J$5:$J$2311,T$1)</f>
        <v>0</v>
      </c>
      <c r="U116" s="80">
        <f>SUMIFS('декабрь 2024'!$G$5:$G$2311,'декабрь 2024'!$D$5:$D$2311,$B116,'декабрь 2024'!$J$5:$J$2311,U$1)</f>
        <v>0</v>
      </c>
      <c r="V116" s="80">
        <f>SUMIFS('декабрь 2024'!$G$5:$G$2311,'декабрь 2024'!$D$5:$D$2311,$B116,'декабрь 2024'!$J$5:$J$2311,V$1)</f>
        <v>0</v>
      </c>
      <c r="W116" s="80">
        <f>SUMIFS('декабрь 2024'!$G$5:$G$2311,'декабрь 2024'!$D$5:$D$2311,$B116,'декабрь 2024'!$J$5:$J$2311,W$1)</f>
        <v>0</v>
      </c>
      <c r="X116" s="80">
        <f>SUMIFS('декабрь 2024'!$G$5:$G$2311,'декабрь 2024'!$D$5:$D$2311,$B116,'декабрь 2024'!$J$5:$J$2311,X$1)</f>
        <v>0</v>
      </c>
      <c r="Y116" s="80">
        <f>SUMIFS('декабрь 2024'!$G$5:$G$2311,'декабрь 2024'!$D$5:$D$2311,$B116,'декабрь 2024'!$J$5:$J$2311,Y$1)</f>
        <v>0</v>
      </c>
      <c r="Z116" s="80">
        <f>SUMIFS('декабрь 2024'!$G$5:$G$2311,'декабрь 2024'!$D$5:$D$2311,$B116,'декабрь 2024'!$J$5:$J$2311,Z$1)</f>
        <v>0</v>
      </c>
      <c r="AA116" s="80">
        <f>SUMIFS('декабрь 2024'!$G$5:$G$2311,'декабрь 2024'!$D$5:$D$2311,$B116,'декабрь 2024'!$J$5:$J$2311,AA$1)</f>
        <v>0</v>
      </c>
      <c r="AB116" s="80">
        <f>SUMIFS('декабрь 2024'!$G$5:$G$2311,'декабрь 2024'!$D$5:$D$2311,$B116,'декабрь 2024'!$J$5:$J$2311,AB$1)</f>
        <v>0</v>
      </c>
      <c r="AC116" s="80">
        <f>SUMIFS('декабрь 2024'!$G$5:$G$2311,'декабрь 2024'!$D$5:$D$2311,$B116,'декабрь 2024'!$J$5:$J$2311,AC$1)</f>
        <v>0</v>
      </c>
      <c r="AD116" s="80">
        <f>SUMIFS('декабрь 2024'!$G$5:$G$2311,'декабрь 2024'!$D$5:$D$2311,$B116,'декабрь 2024'!$J$5:$J$2311,AD$1)</f>
        <v>0</v>
      </c>
      <c r="AE116" s="80">
        <f>SUMIFS('декабрь 2024'!$G$5:$G$2311,'декабрь 2024'!$D$5:$D$2311,$B116,'декабрь 2024'!$J$5:$J$2311,AE$1)</f>
        <v>0</v>
      </c>
      <c r="AF116" s="80">
        <f>SUMIFS('декабрь 2024'!$G$5:$G$2311,'декабрь 2024'!$D$5:$D$2311,$B116,'декабрь 2024'!$J$5:$J$2311,AF$1)</f>
        <v>0</v>
      </c>
      <c r="AG116" s="80">
        <f>SUMIFS('декабрь 2024'!$G$5:$G$2311,'декабрь 2024'!$D$5:$D$2311,$B116,'декабрь 2024'!$J$5:$J$2311,AG$1)</f>
        <v>0</v>
      </c>
      <c r="AH116" s="80">
        <f>SUMIFS('декабрь 2024'!$G$5:$G$2311,'декабрь 2024'!$D$5:$D$2311,$B116,'декабрь 2024'!$J$5:$J$2311,AH$1)</f>
        <v>0</v>
      </c>
      <c r="AI116" s="21">
        <f t="shared" si="1"/>
        <v>0</v>
      </c>
    </row>
    <row r="117" spans="2:35" ht="15" customHeight="1" x14ac:dyDescent="0.25">
      <c r="B117" s="93" t="s">
        <v>1778</v>
      </c>
      <c r="C117" s="91">
        <v>200</v>
      </c>
      <c r="D117" s="80">
        <f>SUMIFS('декабрь 2024'!$G$5:$G$2311,'декабрь 2024'!$D$5:$D$2311,$B117,'декабрь 2024'!$J$5:$J$2311,D$1)</f>
        <v>0</v>
      </c>
      <c r="E117" s="80">
        <f>SUMIFS('декабрь 2024'!$G$5:$G$2311,'декабрь 2024'!$D$5:$D$2311,$B117,'декабрь 2024'!$J$5:$J$2311,E$1)</f>
        <v>0</v>
      </c>
      <c r="F117" s="80">
        <f>SUMIFS('декабрь 2024'!$G$5:$G$2311,'декабрь 2024'!$D$5:$D$2311,$B117,'декабрь 2024'!$J$5:$J$2311,F$1)</f>
        <v>0</v>
      </c>
      <c r="G117" s="80">
        <f>SUMIFS('декабрь 2024'!$G$5:$G$2311,'декабрь 2024'!$D$5:$D$2311,$B117,'декабрь 2024'!$J$5:$J$2311,G$1)</f>
        <v>0</v>
      </c>
      <c r="H117" s="80">
        <f>SUMIFS('декабрь 2024'!$G$5:$G$2311,'декабрь 2024'!$D$5:$D$2311,$B117,'декабрь 2024'!$J$5:$J$2311,H$1)</f>
        <v>0</v>
      </c>
      <c r="I117" s="80">
        <f>SUMIFS('декабрь 2024'!$G$5:$G$2311,'декабрь 2024'!$D$5:$D$2311,$B117,'декабрь 2024'!$J$5:$J$2311,I$1)</f>
        <v>0</v>
      </c>
      <c r="J117" s="80">
        <f>SUMIFS('декабрь 2024'!$G$5:$G$2311,'декабрь 2024'!$D$5:$D$2311,$B117,'декабрь 2024'!$J$5:$J$2311,J$1)</f>
        <v>0</v>
      </c>
      <c r="K117" s="80">
        <f>SUMIFS('декабрь 2024'!$G$5:$G$2311,'декабрь 2024'!$D$5:$D$2311,$B117,'декабрь 2024'!$J$5:$J$2311,K$1)</f>
        <v>0</v>
      </c>
      <c r="L117" s="80">
        <f>SUMIFS('декабрь 2024'!$G$5:$G$2311,'декабрь 2024'!$D$5:$D$2311,$B117,'декабрь 2024'!$J$5:$J$2311,L$1)</f>
        <v>0</v>
      </c>
      <c r="M117" s="80">
        <f>SUMIFS('декабрь 2024'!$G$5:$G$2311,'декабрь 2024'!$D$5:$D$2311,$B117,'декабрь 2024'!$J$5:$J$2311,M$1)</f>
        <v>0</v>
      </c>
      <c r="N117" s="80">
        <f>SUMIFS('декабрь 2024'!$G$5:$G$2311,'декабрь 2024'!$D$5:$D$2311,$B117,'декабрь 2024'!$J$5:$J$2311,N$1)</f>
        <v>0</v>
      </c>
      <c r="O117" s="80">
        <f>SUMIFS('декабрь 2024'!$G$5:$G$2311,'декабрь 2024'!$D$5:$D$2311,$B117,'декабрь 2024'!$J$5:$J$2311,O$1)</f>
        <v>0</v>
      </c>
      <c r="P117" s="80">
        <f>SUMIFS('декабрь 2024'!$G$5:$G$2311,'декабрь 2024'!$D$5:$D$2311,$B117,'декабрь 2024'!$J$5:$J$2311,P$1)</f>
        <v>0</v>
      </c>
      <c r="Q117" s="80">
        <f>SUMIFS('декабрь 2024'!$G$5:$G$2311,'декабрь 2024'!$D$5:$D$2311,$B117,'декабрь 2024'!$J$5:$J$2311,Q$1)</f>
        <v>0</v>
      </c>
      <c r="R117" s="80">
        <f>SUMIFS('декабрь 2024'!$G$5:$G$2311,'декабрь 2024'!$D$5:$D$2311,$B117,'декабрь 2024'!$J$5:$J$2311,R$1)</f>
        <v>0</v>
      </c>
      <c r="S117" s="80">
        <f>SUMIFS('декабрь 2024'!$G$5:$G$2311,'декабрь 2024'!$D$5:$D$2311,$B117,'декабрь 2024'!$J$5:$J$2311,S$1)</f>
        <v>0</v>
      </c>
      <c r="T117" s="80">
        <f>SUMIFS('декабрь 2024'!$G$5:$G$2311,'декабрь 2024'!$D$5:$D$2311,$B117,'декабрь 2024'!$J$5:$J$2311,T$1)</f>
        <v>0</v>
      </c>
      <c r="U117" s="80">
        <f>SUMIFS('декабрь 2024'!$G$5:$G$2311,'декабрь 2024'!$D$5:$D$2311,$B117,'декабрь 2024'!$J$5:$J$2311,U$1)</f>
        <v>0</v>
      </c>
      <c r="V117" s="80">
        <f>SUMIFS('декабрь 2024'!$G$5:$G$2311,'декабрь 2024'!$D$5:$D$2311,$B117,'декабрь 2024'!$J$5:$J$2311,V$1)</f>
        <v>0</v>
      </c>
      <c r="W117" s="80">
        <f>SUMIFS('декабрь 2024'!$G$5:$G$2311,'декабрь 2024'!$D$5:$D$2311,$B117,'декабрь 2024'!$J$5:$J$2311,W$1)</f>
        <v>0</v>
      </c>
      <c r="X117" s="80">
        <f>SUMIFS('декабрь 2024'!$G$5:$G$2311,'декабрь 2024'!$D$5:$D$2311,$B117,'декабрь 2024'!$J$5:$J$2311,X$1)</f>
        <v>0</v>
      </c>
      <c r="Y117" s="80">
        <f>SUMIFS('декабрь 2024'!$G$5:$G$2311,'декабрь 2024'!$D$5:$D$2311,$B117,'декабрь 2024'!$J$5:$J$2311,Y$1)</f>
        <v>0</v>
      </c>
      <c r="Z117" s="80">
        <f>SUMIFS('декабрь 2024'!$G$5:$G$2311,'декабрь 2024'!$D$5:$D$2311,$B117,'декабрь 2024'!$J$5:$J$2311,Z$1)</f>
        <v>0</v>
      </c>
      <c r="AA117" s="80">
        <f>SUMIFS('декабрь 2024'!$G$5:$G$2311,'декабрь 2024'!$D$5:$D$2311,$B117,'декабрь 2024'!$J$5:$J$2311,AA$1)</f>
        <v>0</v>
      </c>
      <c r="AB117" s="80">
        <f>SUMIFS('декабрь 2024'!$G$5:$G$2311,'декабрь 2024'!$D$5:$D$2311,$B117,'декабрь 2024'!$J$5:$J$2311,AB$1)</f>
        <v>0</v>
      </c>
      <c r="AC117" s="80">
        <f>SUMIFS('декабрь 2024'!$G$5:$G$2311,'декабрь 2024'!$D$5:$D$2311,$B117,'декабрь 2024'!$J$5:$J$2311,AC$1)</f>
        <v>0</v>
      </c>
      <c r="AD117" s="80">
        <f>SUMIFS('декабрь 2024'!$G$5:$G$2311,'декабрь 2024'!$D$5:$D$2311,$B117,'декабрь 2024'!$J$5:$J$2311,AD$1)</f>
        <v>0</v>
      </c>
      <c r="AE117" s="80">
        <f>SUMIFS('декабрь 2024'!$G$5:$G$2311,'декабрь 2024'!$D$5:$D$2311,$B117,'декабрь 2024'!$J$5:$J$2311,AE$1)</f>
        <v>0</v>
      </c>
      <c r="AF117" s="80">
        <f>SUMIFS('декабрь 2024'!$G$5:$G$2311,'декабрь 2024'!$D$5:$D$2311,$B117,'декабрь 2024'!$J$5:$J$2311,AF$1)</f>
        <v>0</v>
      </c>
      <c r="AG117" s="80">
        <f>SUMIFS('декабрь 2024'!$G$5:$G$2311,'декабрь 2024'!$D$5:$D$2311,$B117,'декабрь 2024'!$J$5:$J$2311,AG$1)</f>
        <v>0</v>
      </c>
      <c r="AH117" s="80">
        <f>SUMIFS('декабрь 2024'!$G$5:$G$2311,'декабрь 2024'!$D$5:$D$2311,$B117,'декабрь 2024'!$J$5:$J$2311,AH$1)</f>
        <v>0</v>
      </c>
      <c r="AI117" s="21">
        <f t="shared" si="1"/>
        <v>0</v>
      </c>
    </row>
    <row r="118" spans="2:35" ht="15" customHeight="1" x14ac:dyDescent="0.25">
      <c r="B118" s="93" t="s">
        <v>344</v>
      </c>
      <c r="C118" s="91">
        <v>185</v>
      </c>
      <c r="D118" s="80">
        <f>SUMIFS('декабрь 2024'!$G$5:$G$2311,'декабрь 2024'!$D$5:$D$2311,$B118,'декабрь 2024'!$J$5:$J$2311,D$1)</f>
        <v>0</v>
      </c>
      <c r="E118" s="80">
        <f>SUMIFS('декабрь 2024'!$G$5:$G$2311,'декабрь 2024'!$D$5:$D$2311,$B118,'декабрь 2024'!$J$5:$J$2311,E$1)</f>
        <v>0</v>
      </c>
      <c r="F118" s="80">
        <f>SUMIFS('декабрь 2024'!$G$5:$G$2311,'декабрь 2024'!$D$5:$D$2311,$B118,'декабрь 2024'!$J$5:$J$2311,F$1)</f>
        <v>0</v>
      </c>
      <c r="G118" s="80">
        <f>SUMIFS('декабрь 2024'!$G$5:$G$2311,'декабрь 2024'!$D$5:$D$2311,$B118,'декабрь 2024'!$J$5:$J$2311,G$1)</f>
        <v>0</v>
      </c>
      <c r="H118" s="80">
        <f>SUMIFS('декабрь 2024'!$G$5:$G$2311,'декабрь 2024'!$D$5:$D$2311,$B118,'декабрь 2024'!$J$5:$J$2311,H$1)</f>
        <v>0</v>
      </c>
      <c r="I118" s="80">
        <f>SUMIFS('декабрь 2024'!$G$5:$G$2311,'декабрь 2024'!$D$5:$D$2311,$B118,'декабрь 2024'!$J$5:$J$2311,I$1)</f>
        <v>0</v>
      </c>
      <c r="J118" s="80">
        <f>SUMIFS('декабрь 2024'!$G$5:$G$2311,'декабрь 2024'!$D$5:$D$2311,$B118,'декабрь 2024'!$J$5:$J$2311,J$1)</f>
        <v>0</v>
      </c>
      <c r="K118" s="80">
        <f>SUMIFS('декабрь 2024'!$G$5:$G$2311,'декабрь 2024'!$D$5:$D$2311,$B118,'декабрь 2024'!$J$5:$J$2311,K$1)</f>
        <v>0</v>
      </c>
      <c r="L118" s="80">
        <f>SUMIFS('декабрь 2024'!$G$5:$G$2311,'декабрь 2024'!$D$5:$D$2311,$B118,'декабрь 2024'!$J$5:$J$2311,L$1)</f>
        <v>0</v>
      </c>
      <c r="M118" s="80">
        <f>SUMIFS('декабрь 2024'!$G$5:$G$2311,'декабрь 2024'!$D$5:$D$2311,$B118,'декабрь 2024'!$J$5:$J$2311,M$1)</f>
        <v>0</v>
      </c>
      <c r="N118" s="80">
        <f>SUMIFS('декабрь 2024'!$G$5:$G$2311,'декабрь 2024'!$D$5:$D$2311,$B118,'декабрь 2024'!$J$5:$J$2311,N$1)</f>
        <v>0</v>
      </c>
      <c r="O118" s="80">
        <f>SUMIFS('декабрь 2024'!$G$5:$G$2311,'декабрь 2024'!$D$5:$D$2311,$B118,'декабрь 2024'!$J$5:$J$2311,O$1)</f>
        <v>0</v>
      </c>
      <c r="P118" s="80">
        <f>SUMIFS('декабрь 2024'!$G$5:$G$2311,'декабрь 2024'!$D$5:$D$2311,$B118,'декабрь 2024'!$J$5:$J$2311,P$1)</f>
        <v>0</v>
      </c>
      <c r="Q118" s="80">
        <f>SUMIFS('декабрь 2024'!$G$5:$G$2311,'декабрь 2024'!$D$5:$D$2311,$B118,'декабрь 2024'!$J$5:$J$2311,Q$1)</f>
        <v>0</v>
      </c>
      <c r="R118" s="80">
        <f>SUMIFS('декабрь 2024'!$G$5:$G$2311,'декабрь 2024'!$D$5:$D$2311,$B118,'декабрь 2024'!$J$5:$J$2311,R$1)</f>
        <v>0</v>
      </c>
      <c r="S118" s="80">
        <f>SUMIFS('декабрь 2024'!$G$5:$G$2311,'декабрь 2024'!$D$5:$D$2311,$B118,'декабрь 2024'!$J$5:$J$2311,S$1)</f>
        <v>0</v>
      </c>
      <c r="T118" s="80">
        <f>SUMIFS('декабрь 2024'!$G$5:$G$2311,'декабрь 2024'!$D$5:$D$2311,$B118,'декабрь 2024'!$J$5:$J$2311,T$1)</f>
        <v>0</v>
      </c>
      <c r="U118" s="80">
        <f>SUMIFS('декабрь 2024'!$G$5:$G$2311,'декабрь 2024'!$D$5:$D$2311,$B118,'декабрь 2024'!$J$5:$J$2311,U$1)</f>
        <v>0</v>
      </c>
      <c r="V118" s="80">
        <f>SUMIFS('декабрь 2024'!$G$5:$G$2311,'декабрь 2024'!$D$5:$D$2311,$B118,'декабрь 2024'!$J$5:$J$2311,V$1)</f>
        <v>0</v>
      </c>
      <c r="W118" s="80">
        <f>SUMIFS('декабрь 2024'!$G$5:$G$2311,'декабрь 2024'!$D$5:$D$2311,$B118,'декабрь 2024'!$J$5:$J$2311,W$1)</f>
        <v>0</v>
      </c>
      <c r="X118" s="80">
        <f>SUMIFS('декабрь 2024'!$G$5:$G$2311,'декабрь 2024'!$D$5:$D$2311,$B118,'декабрь 2024'!$J$5:$J$2311,X$1)</f>
        <v>0</v>
      </c>
      <c r="Y118" s="80">
        <f>SUMIFS('декабрь 2024'!$G$5:$G$2311,'декабрь 2024'!$D$5:$D$2311,$B118,'декабрь 2024'!$J$5:$J$2311,Y$1)</f>
        <v>0</v>
      </c>
      <c r="Z118" s="80">
        <f>SUMIFS('декабрь 2024'!$G$5:$G$2311,'декабрь 2024'!$D$5:$D$2311,$B118,'декабрь 2024'!$J$5:$J$2311,Z$1)</f>
        <v>0</v>
      </c>
      <c r="AA118" s="80">
        <f>SUMIFS('декабрь 2024'!$G$5:$G$2311,'декабрь 2024'!$D$5:$D$2311,$B118,'декабрь 2024'!$J$5:$J$2311,AA$1)</f>
        <v>0</v>
      </c>
      <c r="AB118" s="80">
        <f>SUMIFS('декабрь 2024'!$G$5:$G$2311,'декабрь 2024'!$D$5:$D$2311,$B118,'декабрь 2024'!$J$5:$J$2311,AB$1)</f>
        <v>0</v>
      </c>
      <c r="AC118" s="80">
        <f>SUMIFS('декабрь 2024'!$G$5:$G$2311,'декабрь 2024'!$D$5:$D$2311,$B118,'декабрь 2024'!$J$5:$J$2311,AC$1)</f>
        <v>0</v>
      </c>
      <c r="AD118" s="80">
        <f>SUMIFS('декабрь 2024'!$G$5:$G$2311,'декабрь 2024'!$D$5:$D$2311,$B118,'декабрь 2024'!$J$5:$J$2311,AD$1)</f>
        <v>0</v>
      </c>
      <c r="AE118" s="80">
        <f>SUMIFS('декабрь 2024'!$G$5:$G$2311,'декабрь 2024'!$D$5:$D$2311,$B118,'декабрь 2024'!$J$5:$J$2311,AE$1)</f>
        <v>0</v>
      </c>
      <c r="AF118" s="80">
        <f>SUMIFS('декабрь 2024'!$G$5:$G$2311,'декабрь 2024'!$D$5:$D$2311,$B118,'декабрь 2024'!$J$5:$J$2311,AF$1)</f>
        <v>0</v>
      </c>
      <c r="AG118" s="80">
        <f>SUMIFS('декабрь 2024'!$G$5:$G$2311,'декабрь 2024'!$D$5:$D$2311,$B118,'декабрь 2024'!$J$5:$J$2311,AG$1)</f>
        <v>0</v>
      </c>
      <c r="AH118" s="80">
        <f>SUMIFS('декабрь 2024'!$G$5:$G$2311,'декабрь 2024'!$D$5:$D$2311,$B118,'декабрь 2024'!$J$5:$J$2311,AH$1)</f>
        <v>0</v>
      </c>
      <c r="AI118" s="21">
        <f t="shared" si="1"/>
        <v>0</v>
      </c>
    </row>
    <row r="119" spans="2:35" ht="15" customHeight="1" x14ac:dyDescent="0.25">
      <c r="B119" s="93" t="s">
        <v>400</v>
      </c>
      <c r="C119" s="91">
        <v>185</v>
      </c>
      <c r="D119" s="80">
        <f>SUMIFS('декабрь 2024'!$G$5:$G$2311,'декабрь 2024'!$D$5:$D$2311,$B119,'декабрь 2024'!$J$5:$J$2311,D$1)</f>
        <v>0</v>
      </c>
      <c r="E119" s="80">
        <f>SUMIFS('декабрь 2024'!$G$5:$G$2311,'декабрь 2024'!$D$5:$D$2311,$B119,'декабрь 2024'!$J$5:$J$2311,E$1)</f>
        <v>0</v>
      </c>
      <c r="F119" s="80">
        <f>SUMIFS('декабрь 2024'!$G$5:$G$2311,'декабрь 2024'!$D$5:$D$2311,$B119,'декабрь 2024'!$J$5:$J$2311,F$1)</f>
        <v>0</v>
      </c>
      <c r="G119" s="80">
        <f>SUMIFS('декабрь 2024'!$G$5:$G$2311,'декабрь 2024'!$D$5:$D$2311,$B119,'декабрь 2024'!$J$5:$J$2311,G$1)</f>
        <v>0</v>
      </c>
      <c r="H119" s="80">
        <f>SUMIFS('декабрь 2024'!$G$5:$G$2311,'декабрь 2024'!$D$5:$D$2311,$B119,'декабрь 2024'!$J$5:$J$2311,H$1)</f>
        <v>0</v>
      </c>
      <c r="I119" s="80">
        <f>SUMIFS('декабрь 2024'!$G$5:$G$2311,'декабрь 2024'!$D$5:$D$2311,$B119,'декабрь 2024'!$J$5:$J$2311,I$1)</f>
        <v>0</v>
      </c>
      <c r="J119" s="80">
        <f>SUMIFS('декабрь 2024'!$G$5:$G$2311,'декабрь 2024'!$D$5:$D$2311,$B119,'декабрь 2024'!$J$5:$J$2311,J$1)</f>
        <v>0</v>
      </c>
      <c r="K119" s="80">
        <f>SUMIFS('декабрь 2024'!$G$5:$G$2311,'декабрь 2024'!$D$5:$D$2311,$B119,'декабрь 2024'!$J$5:$J$2311,K$1)</f>
        <v>0</v>
      </c>
      <c r="L119" s="80">
        <f>SUMIFS('декабрь 2024'!$G$5:$G$2311,'декабрь 2024'!$D$5:$D$2311,$B119,'декабрь 2024'!$J$5:$J$2311,L$1)</f>
        <v>0</v>
      </c>
      <c r="M119" s="80">
        <f>SUMIFS('декабрь 2024'!$G$5:$G$2311,'декабрь 2024'!$D$5:$D$2311,$B119,'декабрь 2024'!$J$5:$J$2311,M$1)</f>
        <v>0</v>
      </c>
      <c r="N119" s="80">
        <f>SUMIFS('декабрь 2024'!$G$5:$G$2311,'декабрь 2024'!$D$5:$D$2311,$B119,'декабрь 2024'!$J$5:$J$2311,N$1)</f>
        <v>0</v>
      </c>
      <c r="O119" s="80">
        <f>SUMIFS('декабрь 2024'!$G$5:$G$2311,'декабрь 2024'!$D$5:$D$2311,$B119,'декабрь 2024'!$J$5:$J$2311,O$1)</f>
        <v>0</v>
      </c>
      <c r="P119" s="80">
        <f>SUMIFS('декабрь 2024'!$G$5:$G$2311,'декабрь 2024'!$D$5:$D$2311,$B119,'декабрь 2024'!$J$5:$J$2311,P$1)</f>
        <v>0</v>
      </c>
      <c r="Q119" s="80">
        <f>SUMIFS('декабрь 2024'!$G$5:$G$2311,'декабрь 2024'!$D$5:$D$2311,$B119,'декабрь 2024'!$J$5:$J$2311,Q$1)</f>
        <v>0</v>
      </c>
      <c r="R119" s="80">
        <f>SUMIFS('декабрь 2024'!$G$5:$G$2311,'декабрь 2024'!$D$5:$D$2311,$B119,'декабрь 2024'!$J$5:$J$2311,R$1)</f>
        <v>0</v>
      </c>
      <c r="S119" s="80">
        <f>SUMIFS('декабрь 2024'!$G$5:$G$2311,'декабрь 2024'!$D$5:$D$2311,$B119,'декабрь 2024'!$J$5:$J$2311,S$1)</f>
        <v>0</v>
      </c>
      <c r="T119" s="80">
        <f>SUMIFS('декабрь 2024'!$G$5:$G$2311,'декабрь 2024'!$D$5:$D$2311,$B119,'декабрь 2024'!$J$5:$J$2311,T$1)</f>
        <v>0</v>
      </c>
      <c r="U119" s="80">
        <f>SUMIFS('декабрь 2024'!$G$5:$G$2311,'декабрь 2024'!$D$5:$D$2311,$B119,'декабрь 2024'!$J$5:$J$2311,U$1)</f>
        <v>0</v>
      </c>
      <c r="V119" s="80">
        <f>SUMIFS('декабрь 2024'!$G$5:$G$2311,'декабрь 2024'!$D$5:$D$2311,$B119,'декабрь 2024'!$J$5:$J$2311,V$1)</f>
        <v>0</v>
      </c>
      <c r="W119" s="80">
        <f>SUMIFS('декабрь 2024'!$G$5:$G$2311,'декабрь 2024'!$D$5:$D$2311,$B119,'декабрь 2024'!$J$5:$J$2311,W$1)</f>
        <v>0</v>
      </c>
      <c r="X119" s="80">
        <f>SUMIFS('декабрь 2024'!$G$5:$G$2311,'декабрь 2024'!$D$5:$D$2311,$B119,'декабрь 2024'!$J$5:$J$2311,X$1)</f>
        <v>0</v>
      </c>
      <c r="Y119" s="80">
        <f>SUMIFS('декабрь 2024'!$G$5:$G$2311,'декабрь 2024'!$D$5:$D$2311,$B119,'декабрь 2024'!$J$5:$J$2311,Y$1)</f>
        <v>0</v>
      </c>
      <c r="Z119" s="80">
        <f>SUMIFS('декабрь 2024'!$G$5:$G$2311,'декабрь 2024'!$D$5:$D$2311,$B119,'декабрь 2024'!$J$5:$J$2311,Z$1)</f>
        <v>0</v>
      </c>
      <c r="AA119" s="80">
        <f>SUMIFS('декабрь 2024'!$G$5:$G$2311,'декабрь 2024'!$D$5:$D$2311,$B119,'декабрь 2024'!$J$5:$J$2311,AA$1)</f>
        <v>0</v>
      </c>
      <c r="AB119" s="80">
        <f>SUMIFS('декабрь 2024'!$G$5:$G$2311,'декабрь 2024'!$D$5:$D$2311,$B119,'декабрь 2024'!$J$5:$J$2311,AB$1)</f>
        <v>0</v>
      </c>
      <c r="AC119" s="80">
        <f>SUMIFS('декабрь 2024'!$G$5:$G$2311,'декабрь 2024'!$D$5:$D$2311,$B119,'декабрь 2024'!$J$5:$J$2311,AC$1)</f>
        <v>0</v>
      </c>
      <c r="AD119" s="80">
        <f>SUMIFS('декабрь 2024'!$G$5:$G$2311,'декабрь 2024'!$D$5:$D$2311,$B119,'декабрь 2024'!$J$5:$J$2311,AD$1)</f>
        <v>0</v>
      </c>
      <c r="AE119" s="80">
        <f>SUMIFS('декабрь 2024'!$G$5:$G$2311,'декабрь 2024'!$D$5:$D$2311,$B119,'декабрь 2024'!$J$5:$J$2311,AE$1)</f>
        <v>0</v>
      </c>
      <c r="AF119" s="80">
        <f>SUMIFS('декабрь 2024'!$G$5:$G$2311,'декабрь 2024'!$D$5:$D$2311,$B119,'декабрь 2024'!$J$5:$J$2311,AF$1)</f>
        <v>0</v>
      </c>
      <c r="AG119" s="80">
        <f>SUMIFS('декабрь 2024'!$G$5:$G$2311,'декабрь 2024'!$D$5:$D$2311,$B119,'декабрь 2024'!$J$5:$J$2311,AG$1)</f>
        <v>0</v>
      </c>
      <c r="AH119" s="80">
        <f>SUMIFS('декабрь 2024'!$G$5:$G$2311,'декабрь 2024'!$D$5:$D$2311,$B119,'декабрь 2024'!$J$5:$J$2311,AH$1)</f>
        <v>0</v>
      </c>
      <c r="AI119" s="21">
        <f t="shared" si="1"/>
        <v>0</v>
      </c>
    </row>
    <row r="120" spans="2:35" ht="15" customHeight="1" x14ac:dyDescent="0.25">
      <c r="B120" s="93" t="s">
        <v>330</v>
      </c>
      <c r="C120" s="91">
        <v>180</v>
      </c>
      <c r="D120" s="80">
        <f>SUMIFS('декабрь 2024'!$G$5:$G$2311,'декабрь 2024'!$D$5:$D$2311,$B120,'декабрь 2024'!$J$5:$J$2311,D$1)</f>
        <v>0</v>
      </c>
      <c r="E120" s="80">
        <f>SUMIFS('декабрь 2024'!$G$5:$G$2311,'декабрь 2024'!$D$5:$D$2311,$B120,'декабрь 2024'!$J$5:$J$2311,E$1)</f>
        <v>0</v>
      </c>
      <c r="F120" s="80">
        <f>SUMIFS('декабрь 2024'!$G$5:$G$2311,'декабрь 2024'!$D$5:$D$2311,$B120,'декабрь 2024'!$J$5:$J$2311,F$1)</f>
        <v>0</v>
      </c>
      <c r="G120" s="80">
        <f>SUMIFS('декабрь 2024'!$G$5:$G$2311,'декабрь 2024'!$D$5:$D$2311,$B120,'декабрь 2024'!$J$5:$J$2311,G$1)</f>
        <v>0</v>
      </c>
      <c r="H120" s="80">
        <f>SUMIFS('декабрь 2024'!$G$5:$G$2311,'декабрь 2024'!$D$5:$D$2311,$B120,'декабрь 2024'!$J$5:$J$2311,H$1)</f>
        <v>0</v>
      </c>
      <c r="I120" s="80">
        <f>SUMIFS('декабрь 2024'!$G$5:$G$2311,'декабрь 2024'!$D$5:$D$2311,$B120,'декабрь 2024'!$J$5:$J$2311,I$1)</f>
        <v>0</v>
      </c>
      <c r="J120" s="80">
        <f>SUMIFS('декабрь 2024'!$G$5:$G$2311,'декабрь 2024'!$D$5:$D$2311,$B120,'декабрь 2024'!$J$5:$J$2311,J$1)</f>
        <v>0</v>
      </c>
      <c r="K120" s="80">
        <f>SUMIFS('декабрь 2024'!$G$5:$G$2311,'декабрь 2024'!$D$5:$D$2311,$B120,'декабрь 2024'!$J$5:$J$2311,K$1)</f>
        <v>0</v>
      </c>
      <c r="L120" s="80">
        <f>SUMIFS('декабрь 2024'!$G$5:$G$2311,'декабрь 2024'!$D$5:$D$2311,$B120,'декабрь 2024'!$J$5:$J$2311,L$1)</f>
        <v>0</v>
      </c>
      <c r="M120" s="80">
        <f>SUMIFS('декабрь 2024'!$G$5:$G$2311,'декабрь 2024'!$D$5:$D$2311,$B120,'декабрь 2024'!$J$5:$J$2311,M$1)</f>
        <v>0</v>
      </c>
      <c r="N120" s="80">
        <f>SUMIFS('декабрь 2024'!$G$5:$G$2311,'декабрь 2024'!$D$5:$D$2311,$B120,'декабрь 2024'!$J$5:$J$2311,N$1)</f>
        <v>0</v>
      </c>
      <c r="O120" s="80">
        <f>SUMIFS('декабрь 2024'!$G$5:$G$2311,'декабрь 2024'!$D$5:$D$2311,$B120,'декабрь 2024'!$J$5:$J$2311,O$1)</f>
        <v>0</v>
      </c>
      <c r="P120" s="80">
        <f>SUMIFS('декабрь 2024'!$G$5:$G$2311,'декабрь 2024'!$D$5:$D$2311,$B120,'декабрь 2024'!$J$5:$J$2311,P$1)</f>
        <v>0</v>
      </c>
      <c r="Q120" s="80">
        <f>SUMIFS('декабрь 2024'!$G$5:$G$2311,'декабрь 2024'!$D$5:$D$2311,$B120,'декабрь 2024'!$J$5:$J$2311,Q$1)</f>
        <v>0</v>
      </c>
      <c r="R120" s="80">
        <f>SUMIFS('декабрь 2024'!$G$5:$G$2311,'декабрь 2024'!$D$5:$D$2311,$B120,'декабрь 2024'!$J$5:$J$2311,R$1)</f>
        <v>0</v>
      </c>
      <c r="S120" s="80">
        <f>SUMIFS('декабрь 2024'!$G$5:$G$2311,'декабрь 2024'!$D$5:$D$2311,$B120,'декабрь 2024'!$J$5:$J$2311,S$1)</f>
        <v>0</v>
      </c>
      <c r="T120" s="80">
        <f>SUMIFS('декабрь 2024'!$G$5:$G$2311,'декабрь 2024'!$D$5:$D$2311,$B120,'декабрь 2024'!$J$5:$J$2311,T$1)</f>
        <v>0</v>
      </c>
      <c r="U120" s="80">
        <f>SUMIFS('декабрь 2024'!$G$5:$G$2311,'декабрь 2024'!$D$5:$D$2311,$B120,'декабрь 2024'!$J$5:$J$2311,U$1)</f>
        <v>0</v>
      </c>
      <c r="V120" s="80">
        <f>SUMIFS('декабрь 2024'!$G$5:$G$2311,'декабрь 2024'!$D$5:$D$2311,$B120,'декабрь 2024'!$J$5:$J$2311,V$1)</f>
        <v>0</v>
      </c>
      <c r="W120" s="80">
        <f>SUMIFS('декабрь 2024'!$G$5:$G$2311,'декабрь 2024'!$D$5:$D$2311,$B120,'декабрь 2024'!$J$5:$J$2311,W$1)</f>
        <v>0</v>
      </c>
      <c r="X120" s="80">
        <f>SUMIFS('декабрь 2024'!$G$5:$G$2311,'декабрь 2024'!$D$5:$D$2311,$B120,'декабрь 2024'!$J$5:$J$2311,X$1)</f>
        <v>0</v>
      </c>
      <c r="Y120" s="80">
        <f>SUMIFS('декабрь 2024'!$G$5:$G$2311,'декабрь 2024'!$D$5:$D$2311,$B120,'декабрь 2024'!$J$5:$J$2311,Y$1)</f>
        <v>0</v>
      </c>
      <c r="Z120" s="80">
        <f>SUMIFS('декабрь 2024'!$G$5:$G$2311,'декабрь 2024'!$D$5:$D$2311,$B120,'декабрь 2024'!$J$5:$J$2311,Z$1)</f>
        <v>0</v>
      </c>
      <c r="AA120" s="80">
        <f>SUMIFS('декабрь 2024'!$G$5:$G$2311,'декабрь 2024'!$D$5:$D$2311,$B120,'декабрь 2024'!$J$5:$J$2311,AA$1)</f>
        <v>0</v>
      </c>
      <c r="AB120" s="80">
        <f>SUMIFS('декабрь 2024'!$G$5:$G$2311,'декабрь 2024'!$D$5:$D$2311,$B120,'декабрь 2024'!$J$5:$J$2311,AB$1)</f>
        <v>0</v>
      </c>
      <c r="AC120" s="80">
        <f>SUMIFS('декабрь 2024'!$G$5:$G$2311,'декабрь 2024'!$D$5:$D$2311,$B120,'декабрь 2024'!$J$5:$J$2311,AC$1)</f>
        <v>0</v>
      </c>
      <c r="AD120" s="80">
        <f>SUMIFS('декабрь 2024'!$G$5:$G$2311,'декабрь 2024'!$D$5:$D$2311,$B120,'декабрь 2024'!$J$5:$J$2311,AD$1)</f>
        <v>0</v>
      </c>
      <c r="AE120" s="80">
        <f>SUMIFS('декабрь 2024'!$G$5:$G$2311,'декабрь 2024'!$D$5:$D$2311,$B120,'декабрь 2024'!$J$5:$J$2311,AE$1)</f>
        <v>0</v>
      </c>
      <c r="AF120" s="80">
        <f>SUMIFS('декабрь 2024'!$G$5:$G$2311,'декабрь 2024'!$D$5:$D$2311,$B120,'декабрь 2024'!$J$5:$J$2311,AF$1)</f>
        <v>0</v>
      </c>
      <c r="AG120" s="80">
        <f>SUMIFS('декабрь 2024'!$G$5:$G$2311,'декабрь 2024'!$D$5:$D$2311,$B120,'декабрь 2024'!$J$5:$J$2311,AG$1)</f>
        <v>0</v>
      </c>
      <c r="AH120" s="80">
        <f>SUMIFS('декабрь 2024'!$G$5:$G$2311,'декабрь 2024'!$D$5:$D$2311,$B120,'декабрь 2024'!$J$5:$J$2311,AH$1)</f>
        <v>0</v>
      </c>
      <c r="AI120" s="21">
        <f t="shared" si="1"/>
        <v>0</v>
      </c>
    </row>
    <row r="121" spans="2:35" ht="15" customHeight="1" x14ac:dyDescent="0.25">
      <c r="B121" s="93" t="s">
        <v>331</v>
      </c>
      <c r="C121" s="91">
        <v>200</v>
      </c>
      <c r="D121" s="80">
        <f>SUMIFS('декабрь 2024'!$G$5:$G$2311,'декабрь 2024'!$D$5:$D$2311,$B121,'декабрь 2024'!$J$5:$J$2311,D$1)</f>
        <v>0</v>
      </c>
      <c r="E121" s="80">
        <f>SUMIFS('декабрь 2024'!$G$5:$G$2311,'декабрь 2024'!$D$5:$D$2311,$B121,'декабрь 2024'!$J$5:$J$2311,E$1)</f>
        <v>0</v>
      </c>
      <c r="F121" s="80">
        <f>SUMIFS('декабрь 2024'!$G$5:$G$2311,'декабрь 2024'!$D$5:$D$2311,$B121,'декабрь 2024'!$J$5:$J$2311,F$1)</f>
        <v>0</v>
      </c>
      <c r="G121" s="80">
        <f>SUMIFS('декабрь 2024'!$G$5:$G$2311,'декабрь 2024'!$D$5:$D$2311,$B121,'декабрь 2024'!$J$5:$J$2311,G$1)</f>
        <v>0</v>
      </c>
      <c r="H121" s="80">
        <f>SUMIFS('декабрь 2024'!$G$5:$G$2311,'декабрь 2024'!$D$5:$D$2311,$B121,'декабрь 2024'!$J$5:$J$2311,H$1)</f>
        <v>0</v>
      </c>
      <c r="I121" s="80">
        <f>SUMIFS('декабрь 2024'!$G$5:$G$2311,'декабрь 2024'!$D$5:$D$2311,$B121,'декабрь 2024'!$J$5:$J$2311,I$1)</f>
        <v>0</v>
      </c>
      <c r="J121" s="80">
        <f>SUMIFS('декабрь 2024'!$G$5:$G$2311,'декабрь 2024'!$D$5:$D$2311,$B121,'декабрь 2024'!$J$5:$J$2311,J$1)</f>
        <v>0</v>
      </c>
      <c r="K121" s="80">
        <f>SUMIFS('декабрь 2024'!$G$5:$G$2311,'декабрь 2024'!$D$5:$D$2311,$B121,'декабрь 2024'!$J$5:$J$2311,K$1)</f>
        <v>0</v>
      </c>
      <c r="L121" s="80">
        <f>SUMIFS('декабрь 2024'!$G$5:$G$2311,'декабрь 2024'!$D$5:$D$2311,$B121,'декабрь 2024'!$J$5:$J$2311,L$1)</f>
        <v>0</v>
      </c>
      <c r="M121" s="80">
        <f>SUMIFS('декабрь 2024'!$G$5:$G$2311,'декабрь 2024'!$D$5:$D$2311,$B121,'декабрь 2024'!$J$5:$J$2311,M$1)</f>
        <v>0</v>
      </c>
      <c r="N121" s="80">
        <f>SUMIFS('декабрь 2024'!$G$5:$G$2311,'декабрь 2024'!$D$5:$D$2311,$B121,'декабрь 2024'!$J$5:$J$2311,N$1)</f>
        <v>0</v>
      </c>
      <c r="O121" s="80">
        <f>SUMIFS('декабрь 2024'!$G$5:$G$2311,'декабрь 2024'!$D$5:$D$2311,$B121,'декабрь 2024'!$J$5:$J$2311,O$1)</f>
        <v>0</v>
      </c>
      <c r="P121" s="80">
        <f>SUMIFS('декабрь 2024'!$G$5:$G$2311,'декабрь 2024'!$D$5:$D$2311,$B121,'декабрь 2024'!$J$5:$J$2311,P$1)</f>
        <v>0</v>
      </c>
      <c r="Q121" s="80">
        <f>SUMIFS('декабрь 2024'!$G$5:$G$2311,'декабрь 2024'!$D$5:$D$2311,$B121,'декабрь 2024'!$J$5:$J$2311,Q$1)</f>
        <v>0</v>
      </c>
      <c r="R121" s="80">
        <f>SUMIFS('декабрь 2024'!$G$5:$G$2311,'декабрь 2024'!$D$5:$D$2311,$B121,'декабрь 2024'!$J$5:$J$2311,R$1)</f>
        <v>0</v>
      </c>
      <c r="S121" s="80">
        <f>SUMIFS('декабрь 2024'!$G$5:$G$2311,'декабрь 2024'!$D$5:$D$2311,$B121,'декабрь 2024'!$J$5:$J$2311,S$1)</f>
        <v>0</v>
      </c>
      <c r="T121" s="80">
        <f>SUMIFS('декабрь 2024'!$G$5:$G$2311,'декабрь 2024'!$D$5:$D$2311,$B121,'декабрь 2024'!$J$5:$J$2311,T$1)</f>
        <v>0</v>
      </c>
      <c r="U121" s="80">
        <f>SUMIFS('декабрь 2024'!$G$5:$G$2311,'декабрь 2024'!$D$5:$D$2311,$B121,'декабрь 2024'!$J$5:$J$2311,U$1)</f>
        <v>0</v>
      </c>
      <c r="V121" s="80">
        <f>SUMIFS('декабрь 2024'!$G$5:$G$2311,'декабрь 2024'!$D$5:$D$2311,$B121,'декабрь 2024'!$J$5:$J$2311,V$1)</f>
        <v>0</v>
      </c>
      <c r="W121" s="80">
        <f>SUMIFS('декабрь 2024'!$G$5:$G$2311,'декабрь 2024'!$D$5:$D$2311,$B121,'декабрь 2024'!$J$5:$J$2311,W$1)</f>
        <v>0</v>
      </c>
      <c r="X121" s="80">
        <f>SUMIFS('декабрь 2024'!$G$5:$G$2311,'декабрь 2024'!$D$5:$D$2311,$B121,'декабрь 2024'!$J$5:$J$2311,X$1)</f>
        <v>0</v>
      </c>
      <c r="Y121" s="80">
        <f>SUMIFS('декабрь 2024'!$G$5:$G$2311,'декабрь 2024'!$D$5:$D$2311,$B121,'декабрь 2024'!$J$5:$J$2311,Y$1)</f>
        <v>0</v>
      </c>
      <c r="Z121" s="80">
        <f>SUMIFS('декабрь 2024'!$G$5:$G$2311,'декабрь 2024'!$D$5:$D$2311,$B121,'декабрь 2024'!$J$5:$J$2311,Z$1)</f>
        <v>0</v>
      </c>
      <c r="AA121" s="80">
        <f>SUMIFS('декабрь 2024'!$G$5:$G$2311,'декабрь 2024'!$D$5:$D$2311,$B121,'декабрь 2024'!$J$5:$J$2311,AA$1)</f>
        <v>0</v>
      </c>
      <c r="AB121" s="80">
        <f>SUMIFS('декабрь 2024'!$G$5:$G$2311,'декабрь 2024'!$D$5:$D$2311,$B121,'декабрь 2024'!$J$5:$J$2311,AB$1)</f>
        <v>0</v>
      </c>
      <c r="AC121" s="80">
        <f>SUMIFS('декабрь 2024'!$G$5:$G$2311,'декабрь 2024'!$D$5:$D$2311,$B121,'декабрь 2024'!$J$5:$J$2311,AC$1)</f>
        <v>0</v>
      </c>
      <c r="AD121" s="80">
        <f>SUMIFS('декабрь 2024'!$G$5:$G$2311,'декабрь 2024'!$D$5:$D$2311,$B121,'декабрь 2024'!$J$5:$J$2311,AD$1)</f>
        <v>176</v>
      </c>
      <c r="AE121" s="80">
        <f>SUMIFS('декабрь 2024'!$G$5:$G$2311,'декабрь 2024'!$D$5:$D$2311,$B121,'декабрь 2024'!$J$5:$J$2311,AE$1)</f>
        <v>0</v>
      </c>
      <c r="AF121" s="80">
        <f>SUMIFS('декабрь 2024'!$G$5:$G$2311,'декабрь 2024'!$D$5:$D$2311,$B121,'декабрь 2024'!$J$5:$J$2311,AF$1)</f>
        <v>0</v>
      </c>
      <c r="AG121" s="80">
        <f>SUMIFS('декабрь 2024'!$G$5:$G$2311,'декабрь 2024'!$D$5:$D$2311,$B121,'декабрь 2024'!$J$5:$J$2311,AG$1)</f>
        <v>0</v>
      </c>
      <c r="AH121" s="80">
        <f>SUMIFS('декабрь 2024'!$G$5:$G$2311,'декабрь 2024'!$D$5:$D$2311,$B121,'декабрь 2024'!$J$5:$J$2311,AH$1)</f>
        <v>0</v>
      </c>
      <c r="AI121" s="21">
        <f t="shared" si="1"/>
        <v>176</v>
      </c>
    </row>
    <row r="122" spans="2:35" ht="15" customHeight="1" x14ac:dyDescent="0.25">
      <c r="B122" s="89" t="s">
        <v>164</v>
      </c>
      <c r="C122" s="88">
        <v>950</v>
      </c>
      <c r="D122" s="80">
        <f>SUMIFS('декабрь 2024'!$G$5:$G$2311,'декабрь 2024'!$D$5:$D$2311,$B122,'декабрь 2024'!$J$5:$J$2311,D$1)</f>
        <v>0</v>
      </c>
      <c r="E122" s="80">
        <f>SUMIFS('декабрь 2024'!$G$5:$G$2311,'декабрь 2024'!$D$5:$D$2311,$B122,'декабрь 2024'!$J$5:$J$2311,E$1)</f>
        <v>0</v>
      </c>
      <c r="F122" s="80">
        <f>SUMIFS('декабрь 2024'!$G$5:$G$2311,'декабрь 2024'!$D$5:$D$2311,$B122,'декабрь 2024'!$J$5:$J$2311,F$1)</f>
        <v>0</v>
      </c>
      <c r="G122" s="80">
        <f>SUMIFS('декабрь 2024'!$G$5:$G$2311,'декабрь 2024'!$D$5:$D$2311,$B122,'декабрь 2024'!$J$5:$J$2311,G$1)</f>
        <v>0</v>
      </c>
      <c r="H122" s="80">
        <f>SUMIFS('декабрь 2024'!$G$5:$G$2311,'декабрь 2024'!$D$5:$D$2311,$B122,'декабрь 2024'!$J$5:$J$2311,H$1)</f>
        <v>0</v>
      </c>
      <c r="I122" s="80">
        <f>SUMIFS('декабрь 2024'!$G$5:$G$2311,'декабрь 2024'!$D$5:$D$2311,$B122,'декабрь 2024'!$J$5:$J$2311,I$1)</f>
        <v>0</v>
      </c>
      <c r="J122" s="80">
        <f>SUMIFS('декабрь 2024'!$G$5:$G$2311,'декабрь 2024'!$D$5:$D$2311,$B122,'декабрь 2024'!$J$5:$J$2311,J$1)</f>
        <v>0</v>
      </c>
      <c r="K122" s="80">
        <f>SUMIFS('декабрь 2024'!$G$5:$G$2311,'декабрь 2024'!$D$5:$D$2311,$B122,'декабрь 2024'!$J$5:$J$2311,K$1)</f>
        <v>0</v>
      </c>
      <c r="L122" s="80">
        <f>SUMIFS('декабрь 2024'!$G$5:$G$2311,'декабрь 2024'!$D$5:$D$2311,$B122,'декабрь 2024'!$J$5:$J$2311,L$1)</f>
        <v>0</v>
      </c>
      <c r="M122" s="80">
        <f>SUMIFS('декабрь 2024'!$G$5:$G$2311,'декабрь 2024'!$D$5:$D$2311,$B122,'декабрь 2024'!$J$5:$J$2311,M$1)</f>
        <v>0</v>
      </c>
      <c r="N122" s="80">
        <f>SUMIFS('декабрь 2024'!$G$5:$G$2311,'декабрь 2024'!$D$5:$D$2311,$B122,'декабрь 2024'!$J$5:$J$2311,N$1)</f>
        <v>0</v>
      </c>
      <c r="O122" s="80">
        <f>SUMIFS('декабрь 2024'!$G$5:$G$2311,'декабрь 2024'!$D$5:$D$2311,$B122,'декабрь 2024'!$J$5:$J$2311,O$1)</f>
        <v>0</v>
      </c>
      <c r="P122" s="80">
        <f>SUMIFS('декабрь 2024'!$G$5:$G$2311,'декабрь 2024'!$D$5:$D$2311,$B122,'декабрь 2024'!$J$5:$J$2311,P$1)</f>
        <v>0</v>
      </c>
      <c r="Q122" s="80">
        <f>SUMIFS('декабрь 2024'!$G$5:$G$2311,'декабрь 2024'!$D$5:$D$2311,$B122,'декабрь 2024'!$J$5:$J$2311,Q$1)</f>
        <v>0</v>
      </c>
      <c r="R122" s="80">
        <f>SUMIFS('декабрь 2024'!$G$5:$G$2311,'декабрь 2024'!$D$5:$D$2311,$B122,'декабрь 2024'!$J$5:$J$2311,R$1)</f>
        <v>0</v>
      </c>
      <c r="S122" s="80">
        <f>SUMIFS('декабрь 2024'!$G$5:$G$2311,'декабрь 2024'!$D$5:$D$2311,$B122,'декабрь 2024'!$J$5:$J$2311,S$1)</f>
        <v>0</v>
      </c>
      <c r="T122" s="80">
        <f>SUMIFS('декабрь 2024'!$G$5:$G$2311,'декабрь 2024'!$D$5:$D$2311,$B122,'декабрь 2024'!$J$5:$J$2311,T$1)</f>
        <v>0</v>
      </c>
      <c r="U122" s="80">
        <f>SUMIFS('декабрь 2024'!$G$5:$G$2311,'декабрь 2024'!$D$5:$D$2311,$B122,'декабрь 2024'!$J$5:$J$2311,U$1)</f>
        <v>0</v>
      </c>
      <c r="V122" s="80">
        <f>SUMIFS('декабрь 2024'!$G$5:$G$2311,'декабрь 2024'!$D$5:$D$2311,$B122,'декабрь 2024'!$J$5:$J$2311,V$1)</f>
        <v>0</v>
      </c>
      <c r="W122" s="80">
        <f>SUMIFS('декабрь 2024'!$G$5:$G$2311,'декабрь 2024'!$D$5:$D$2311,$B122,'декабрь 2024'!$J$5:$J$2311,W$1)</f>
        <v>0</v>
      </c>
      <c r="X122" s="80">
        <f>SUMIFS('декабрь 2024'!$G$5:$G$2311,'декабрь 2024'!$D$5:$D$2311,$B122,'декабрь 2024'!$J$5:$J$2311,X$1)</f>
        <v>0</v>
      </c>
      <c r="Y122" s="80">
        <f>SUMIFS('декабрь 2024'!$G$5:$G$2311,'декабрь 2024'!$D$5:$D$2311,$B122,'декабрь 2024'!$J$5:$J$2311,Y$1)</f>
        <v>0</v>
      </c>
      <c r="Z122" s="80">
        <f>SUMIFS('декабрь 2024'!$G$5:$G$2311,'декабрь 2024'!$D$5:$D$2311,$B122,'декабрь 2024'!$J$5:$J$2311,Z$1)</f>
        <v>0</v>
      </c>
      <c r="AA122" s="80">
        <f>SUMIFS('декабрь 2024'!$G$5:$G$2311,'декабрь 2024'!$D$5:$D$2311,$B122,'декабрь 2024'!$J$5:$J$2311,AA$1)</f>
        <v>0</v>
      </c>
      <c r="AB122" s="80">
        <f>SUMIFS('декабрь 2024'!$G$5:$G$2311,'декабрь 2024'!$D$5:$D$2311,$B122,'декабрь 2024'!$J$5:$J$2311,AB$1)</f>
        <v>0</v>
      </c>
      <c r="AC122" s="80">
        <f>SUMIFS('декабрь 2024'!$G$5:$G$2311,'декабрь 2024'!$D$5:$D$2311,$B122,'декабрь 2024'!$J$5:$J$2311,AC$1)</f>
        <v>0</v>
      </c>
      <c r="AD122" s="80">
        <f>SUMIFS('декабрь 2024'!$G$5:$G$2311,'декабрь 2024'!$D$5:$D$2311,$B122,'декабрь 2024'!$J$5:$J$2311,AD$1)</f>
        <v>0</v>
      </c>
      <c r="AE122" s="80">
        <f>SUMIFS('декабрь 2024'!$G$5:$G$2311,'декабрь 2024'!$D$5:$D$2311,$B122,'декабрь 2024'!$J$5:$J$2311,AE$1)</f>
        <v>0</v>
      </c>
      <c r="AF122" s="80">
        <f>SUMIFS('декабрь 2024'!$G$5:$G$2311,'декабрь 2024'!$D$5:$D$2311,$B122,'декабрь 2024'!$J$5:$J$2311,AF$1)</f>
        <v>0</v>
      </c>
      <c r="AG122" s="80">
        <f>SUMIFS('декабрь 2024'!$G$5:$G$2311,'декабрь 2024'!$D$5:$D$2311,$B122,'декабрь 2024'!$J$5:$J$2311,AG$1)</f>
        <v>0</v>
      </c>
      <c r="AH122" s="80">
        <f>SUMIFS('декабрь 2024'!$G$5:$G$2311,'декабрь 2024'!$D$5:$D$2311,$B122,'декабрь 2024'!$J$5:$J$2311,AH$1)</f>
        <v>0</v>
      </c>
      <c r="AI122" s="21">
        <f t="shared" si="1"/>
        <v>0</v>
      </c>
    </row>
    <row r="123" spans="2:35" ht="15" customHeight="1" x14ac:dyDescent="0.25">
      <c r="B123" s="89" t="s">
        <v>193</v>
      </c>
      <c r="C123" s="88">
        <v>180</v>
      </c>
      <c r="D123" s="80">
        <f>SUMIFS('декабрь 2024'!$G$5:$G$2311,'декабрь 2024'!$D$5:$D$2311,$B123,'декабрь 2024'!$J$5:$J$2311,D$1)</f>
        <v>0</v>
      </c>
      <c r="E123" s="80">
        <f>SUMIFS('декабрь 2024'!$G$5:$G$2311,'декабрь 2024'!$D$5:$D$2311,$B123,'декабрь 2024'!$J$5:$J$2311,E$1)</f>
        <v>0</v>
      </c>
      <c r="F123" s="80">
        <f>SUMIFS('декабрь 2024'!$G$5:$G$2311,'декабрь 2024'!$D$5:$D$2311,$B123,'декабрь 2024'!$J$5:$J$2311,F$1)</f>
        <v>0</v>
      </c>
      <c r="G123" s="80">
        <f>SUMIFS('декабрь 2024'!$G$5:$G$2311,'декабрь 2024'!$D$5:$D$2311,$B123,'декабрь 2024'!$J$5:$J$2311,G$1)</f>
        <v>0</v>
      </c>
      <c r="H123" s="80">
        <f>SUMIFS('декабрь 2024'!$G$5:$G$2311,'декабрь 2024'!$D$5:$D$2311,$B123,'декабрь 2024'!$J$5:$J$2311,H$1)</f>
        <v>0</v>
      </c>
      <c r="I123" s="80">
        <f>SUMIFS('декабрь 2024'!$G$5:$G$2311,'декабрь 2024'!$D$5:$D$2311,$B123,'декабрь 2024'!$J$5:$J$2311,I$1)</f>
        <v>0</v>
      </c>
      <c r="J123" s="80">
        <f>SUMIFS('декабрь 2024'!$G$5:$G$2311,'декабрь 2024'!$D$5:$D$2311,$B123,'декабрь 2024'!$J$5:$J$2311,J$1)</f>
        <v>0</v>
      </c>
      <c r="K123" s="80">
        <f>SUMIFS('декабрь 2024'!$G$5:$G$2311,'декабрь 2024'!$D$5:$D$2311,$B123,'декабрь 2024'!$J$5:$J$2311,K$1)</f>
        <v>0</v>
      </c>
      <c r="L123" s="80">
        <f>SUMIFS('декабрь 2024'!$G$5:$G$2311,'декабрь 2024'!$D$5:$D$2311,$B123,'декабрь 2024'!$J$5:$J$2311,L$1)</f>
        <v>0</v>
      </c>
      <c r="M123" s="80">
        <f>SUMIFS('декабрь 2024'!$G$5:$G$2311,'декабрь 2024'!$D$5:$D$2311,$B123,'декабрь 2024'!$J$5:$J$2311,M$1)</f>
        <v>0</v>
      </c>
      <c r="N123" s="80">
        <f>SUMIFS('декабрь 2024'!$G$5:$G$2311,'декабрь 2024'!$D$5:$D$2311,$B123,'декабрь 2024'!$J$5:$J$2311,N$1)</f>
        <v>0</v>
      </c>
      <c r="O123" s="80">
        <f>SUMIFS('декабрь 2024'!$G$5:$G$2311,'декабрь 2024'!$D$5:$D$2311,$B123,'декабрь 2024'!$J$5:$J$2311,O$1)</f>
        <v>0</v>
      </c>
      <c r="P123" s="80">
        <f>SUMIFS('декабрь 2024'!$G$5:$G$2311,'декабрь 2024'!$D$5:$D$2311,$B123,'декабрь 2024'!$J$5:$J$2311,P$1)</f>
        <v>0</v>
      </c>
      <c r="Q123" s="80">
        <f>SUMIFS('декабрь 2024'!$G$5:$G$2311,'декабрь 2024'!$D$5:$D$2311,$B123,'декабрь 2024'!$J$5:$J$2311,Q$1)</f>
        <v>0</v>
      </c>
      <c r="R123" s="80">
        <f>SUMIFS('декабрь 2024'!$G$5:$G$2311,'декабрь 2024'!$D$5:$D$2311,$B123,'декабрь 2024'!$J$5:$J$2311,R$1)</f>
        <v>0</v>
      </c>
      <c r="S123" s="80">
        <f>SUMIFS('декабрь 2024'!$G$5:$G$2311,'декабрь 2024'!$D$5:$D$2311,$B123,'декабрь 2024'!$J$5:$J$2311,S$1)</f>
        <v>0</v>
      </c>
      <c r="T123" s="80">
        <f>SUMIFS('декабрь 2024'!$G$5:$G$2311,'декабрь 2024'!$D$5:$D$2311,$B123,'декабрь 2024'!$J$5:$J$2311,T$1)</f>
        <v>0</v>
      </c>
      <c r="U123" s="80">
        <f>SUMIFS('декабрь 2024'!$G$5:$G$2311,'декабрь 2024'!$D$5:$D$2311,$B123,'декабрь 2024'!$J$5:$J$2311,U$1)</f>
        <v>0</v>
      </c>
      <c r="V123" s="80">
        <f>SUMIFS('декабрь 2024'!$G$5:$G$2311,'декабрь 2024'!$D$5:$D$2311,$B123,'декабрь 2024'!$J$5:$J$2311,V$1)</f>
        <v>0</v>
      </c>
      <c r="W123" s="80">
        <f>SUMIFS('декабрь 2024'!$G$5:$G$2311,'декабрь 2024'!$D$5:$D$2311,$B123,'декабрь 2024'!$J$5:$J$2311,W$1)</f>
        <v>0</v>
      </c>
      <c r="X123" s="80">
        <f>SUMIFS('декабрь 2024'!$G$5:$G$2311,'декабрь 2024'!$D$5:$D$2311,$B123,'декабрь 2024'!$J$5:$J$2311,X$1)</f>
        <v>0</v>
      </c>
      <c r="Y123" s="80">
        <f>SUMIFS('декабрь 2024'!$G$5:$G$2311,'декабрь 2024'!$D$5:$D$2311,$B123,'декабрь 2024'!$J$5:$J$2311,Y$1)</f>
        <v>0</v>
      </c>
      <c r="Z123" s="80">
        <f>SUMIFS('декабрь 2024'!$G$5:$G$2311,'декабрь 2024'!$D$5:$D$2311,$B123,'декабрь 2024'!$J$5:$J$2311,Z$1)</f>
        <v>0</v>
      </c>
      <c r="AA123" s="80">
        <f>SUMIFS('декабрь 2024'!$G$5:$G$2311,'декабрь 2024'!$D$5:$D$2311,$B123,'декабрь 2024'!$J$5:$J$2311,AA$1)</f>
        <v>0</v>
      </c>
      <c r="AB123" s="80">
        <f>SUMIFS('декабрь 2024'!$G$5:$G$2311,'декабрь 2024'!$D$5:$D$2311,$B123,'декабрь 2024'!$J$5:$J$2311,AB$1)</f>
        <v>0</v>
      </c>
      <c r="AC123" s="80">
        <f>SUMIFS('декабрь 2024'!$G$5:$G$2311,'декабрь 2024'!$D$5:$D$2311,$B123,'декабрь 2024'!$J$5:$J$2311,AC$1)</f>
        <v>0</v>
      </c>
      <c r="AD123" s="80">
        <f>SUMIFS('декабрь 2024'!$G$5:$G$2311,'декабрь 2024'!$D$5:$D$2311,$B123,'декабрь 2024'!$J$5:$J$2311,AD$1)</f>
        <v>0</v>
      </c>
      <c r="AE123" s="80">
        <f>SUMIFS('декабрь 2024'!$G$5:$G$2311,'декабрь 2024'!$D$5:$D$2311,$B123,'декабрь 2024'!$J$5:$J$2311,AE$1)</f>
        <v>0</v>
      </c>
      <c r="AF123" s="80">
        <f>SUMIFS('декабрь 2024'!$G$5:$G$2311,'декабрь 2024'!$D$5:$D$2311,$B123,'декабрь 2024'!$J$5:$J$2311,AF$1)</f>
        <v>0</v>
      </c>
      <c r="AG123" s="80">
        <f>SUMIFS('декабрь 2024'!$G$5:$G$2311,'декабрь 2024'!$D$5:$D$2311,$B123,'декабрь 2024'!$J$5:$J$2311,AG$1)</f>
        <v>0</v>
      </c>
      <c r="AH123" s="80">
        <f>SUMIFS('декабрь 2024'!$G$5:$G$2311,'декабрь 2024'!$D$5:$D$2311,$B123,'декабрь 2024'!$J$5:$J$2311,AH$1)</f>
        <v>0</v>
      </c>
      <c r="AI123" s="21">
        <f t="shared" si="1"/>
        <v>0</v>
      </c>
    </row>
    <row r="124" spans="2:35" ht="15" customHeight="1" x14ac:dyDescent="0.25">
      <c r="B124" s="89" t="s">
        <v>1070</v>
      </c>
      <c r="C124" s="88">
        <v>180</v>
      </c>
      <c r="D124" s="80">
        <f>SUMIFS('декабрь 2024'!$G$5:$G$2311,'декабрь 2024'!$D$5:$D$2311,$B124,'декабрь 2024'!$J$5:$J$2311,D$1)</f>
        <v>0</v>
      </c>
      <c r="E124" s="80">
        <f>SUMIFS('декабрь 2024'!$G$5:$G$2311,'декабрь 2024'!$D$5:$D$2311,$B124,'декабрь 2024'!$J$5:$J$2311,E$1)</f>
        <v>0</v>
      </c>
      <c r="F124" s="80">
        <f>SUMIFS('декабрь 2024'!$G$5:$G$2311,'декабрь 2024'!$D$5:$D$2311,$B124,'декабрь 2024'!$J$5:$J$2311,F$1)</f>
        <v>0</v>
      </c>
      <c r="G124" s="80">
        <f>SUMIFS('декабрь 2024'!$G$5:$G$2311,'декабрь 2024'!$D$5:$D$2311,$B124,'декабрь 2024'!$J$5:$J$2311,G$1)</f>
        <v>0</v>
      </c>
      <c r="H124" s="80">
        <f>SUMIFS('декабрь 2024'!$G$5:$G$2311,'декабрь 2024'!$D$5:$D$2311,$B124,'декабрь 2024'!$J$5:$J$2311,H$1)</f>
        <v>0</v>
      </c>
      <c r="I124" s="80">
        <f>SUMIFS('декабрь 2024'!$G$5:$G$2311,'декабрь 2024'!$D$5:$D$2311,$B124,'декабрь 2024'!$J$5:$J$2311,I$1)</f>
        <v>0</v>
      </c>
      <c r="J124" s="80">
        <f>SUMIFS('декабрь 2024'!$G$5:$G$2311,'декабрь 2024'!$D$5:$D$2311,$B124,'декабрь 2024'!$J$5:$J$2311,J$1)</f>
        <v>0</v>
      </c>
      <c r="K124" s="80">
        <f>SUMIFS('декабрь 2024'!$G$5:$G$2311,'декабрь 2024'!$D$5:$D$2311,$B124,'декабрь 2024'!$J$5:$J$2311,K$1)</f>
        <v>0</v>
      </c>
      <c r="L124" s="80">
        <f>SUMIFS('декабрь 2024'!$G$5:$G$2311,'декабрь 2024'!$D$5:$D$2311,$B124,'декабрь 2024'!$J$5:$J$2311,L$1)</f>
        <v>0</v>
      </c>
      <c r="M124" s="80">
        <f>SUMIFS('декабрь 2024'!$G$5:$G$2311,'декабрь 2024'!$D$5:$D$2311,$B124,'декабрь 2024'!$J$5:$J$2311,M$1)</f>
        <v>0</v>
      </c>
      <c r="N124" s="80">
        <f>SUMIFS('декабрь 2024'!$G$5:$G$2311,'декабрь 2024'!$D$5:$D$2311,$B124,'декабрь 2024'!$J$5:$J$2311,N$1)</f>
        <v>0</v>
      </c>
      <c r="O124" s="80">
        <f>SUMIFS('декабрь 2024'!$G$5:$G$2311,'декабрь 2024'!$D$5:$D$2311,$B124,'декабрь 2024'!$J$5:$J$2311,O$1)</f>
        <v>0</v>
      </c>
      <c r="P124" s="80">
        <f>SUMIFS('декабрь 2024'!$G$5:$G$2311,'декабрь 2024'!$D$5:$D$2311,$B124,'декабрь 2024'!$J$5:$J$2311,P$1)</f>
        <v>0</v>
      </c>
      <c r="Q124" s="80">
        <f>SUMIFS('декабрь 2024'!$G$5:$G$2311,'декабрь 2024'!$D$5:$D$2311,$B124,'декабрь 2024'!$J$5:$J$2311,Q$1)</f>
        <v>0</v>
      </c>
      <c r="R124" s="80">
        <f>SUMIFS('декабрь 2024'!$G$5:$G$2311,'декабрь 2024'!$D$5:$D$2311,$B124,'декабрь 2024'!$J$5:$J$2311,R$1)</f>
        <v>0</v>
      </c>
      <c r="S124" s="80">
        <f>SUMIFS('декабрь 2024'!$G$5:$G$2311,'декабрь 2024'!$D$5:$D$2311,$B124,'декабрь 2024'!$J$5:$J$2311,S$1)</f>
        <v>0</v>
      </c>
      <c r="T124" s="80">
        <f>SUMIFS('декабрь 2024'!$G$5:$G$2311,'декабрь 2024'!$D$5:$D$2311,$B124,'декабрь 2024'!$J$5:$J$2311,T$1)</f>
        <v>0</v>
      </c>
      <c r="U124" s="80">
        <f>SUMIFS('декабрь 2024'!$G$5:$G$2311,'декабрь 2024'!$D$5:$D$2311,$B124,'декабрь 2024'!$J$5:$J$2311,U$1)</f>
        <v>0</v>
      </c>
      <c r="V124" s="80">
        <f>SUMIFS('декабрь 2024'!$G$5:$G$2311,'декабрь 2024'!$D$5:$D$2311,$B124,'декабрь 2024'!$J$5:$J$2311,V$1)</f>
        <v>0</v>
      </c>
      <c r="W124" s="80">
        <f>SUMIFS('декабрь 2024'!$G$5:$G$2311,'декабрь 2024'!$D$5:$D$2311,$B124,'декабрь 2024'!$J$5:$J$2311,W$1)</f>
        <v>0</v>
      </c>
      <c r="X124" s="80">
        <f>SUMIFS('декабрь 2024'!$G$5:$G$2311,'декабрь 2024'!$D$5:$D$2311,$B124,'декабрь 2024'!$J$5:$J$2311,X$1)</f>
        <v>0</v>
      </c>
      <c r="Y124" s="80">
        <f>SUMIFS('декабрь 2024'!$G$5:$G$2311,'декабрь 2024'!$D$5:$D$2311,$B124,'декабрь 2024'!$J$5:$J$2311,Y$1)</f>
        <v>0</v>
      </c>
      <c r="Z124" s="80">
        <f>SUMIFS('декабрь 2024'!$G$5:$G$2311,'декабрь 2024'!$D$5:$D$2311,$B124,'декабрь 2024'!$J$5:$J$2311,Z$1)</f>
        <v>0</v>
      </c>
      <c r="AA124" s="80">
        <f>SUMIFS('декабрь 2024'!$G$5:$G$2311,'декабрь 2024'!$D$5:$D$2311,$B124,'декабрь 2024'!$J$5:$J$2311,AA$1)</f>
        <v>0</v>
      </c>
      <c r="AB124" s="80">
        <f>SUMIFS('декабрь 2024'!$G$5:$G$2311,'декабрь 2024'!$D$5:$D$2311,$B124,'декабрь 2024'!$J$5:$J$2311,AB$1)</f>
        <v>0</v>
      </c>
      <c r="AC124" s="80">
        <f>SUMIFS('декабрь 2024'!$G$5:$G$2311,'декабрь 2024'!$D$5:$D$2311,$B124,'декабрь 2024'!$J$5:$J$2311,AC$1)</f>
        <v>0</v>
      </c>
      <c r="AD124" s="80">
        <f>SUMIFS('декабрь 2024'!$G$5:$G$2311,'декабрь 2024'!$D$5:$D$2311,$B124,'декабрь 2024'!$J$5:$J$2311,AD$1)</f>
        <v>0</v>
      </c>
      <c r="AE124" s="80">
        <f>SUMIFS('декабрь 2024'!$G$5:$G$2311,'декабрь 2024'!$D$5:$D$2311,$B124,'декабрь 2024'!$J$5:$J$2311,AE$1)</f>
        <v>0</v>
      </c>
      <c r="AF124" s="80">
        <f>SUMIFS('декабрь 2024'!$G$5:$G$2311,'декабрь 2024'!$D$5:$D$2311,$B124,'декабрь 2024'!$J$5:$J$2311,AF$1)</f>
        <v>0</v>
      </c>
      <c r="AG124" s="80">
        <f>SUMIFS('декабрь 2024'!$G$5:$G$2311,'декабрь 2024'!$D$5:$D$2311,$B124,'декабрь 2024'!$J$5:$J$2311,AG$1)</f>
        <v>0</v>
      </c>
      <c r="AH124" s="80">
        <f>SUMIFS('декабрь 2024'!$G$5:$G$2311,'декабрь 2024'!$D$5:$D$2311,$B124,'декабрь 2024'!$J$5:$J$2311,AH$1)</f>
        <v>0</v>
      </c>
      <c r="AI124" s="21"/>
    </row>
    <row r="125" spans="2:35" ht="15" customHeight="1" x14ac:dyDescent="0.25">
      <c r="B125" s="89" t="s">
        <v>177</v>
      </c>
      <c r="C125" s="88">
        <v>200</v>
      </c>
      <c r="D125" s="80">
        <f>SUMIFS('декабрь 2024'!$G$5:$G$2311,'декабрь 2024'!$D$5:$D$2311,$B125,'декабрь 2024'!$J$5:$J$2311,D$1)</f>
        <v>0</v>
      </c>
      <c r="E125" s="80">
        <f>SUMIFS('декабрь 2024'!$G$5:$G$2311,'декабрь 2024'!$D$5:$D$2311,$B125,'декабрь 2024'!$J$5:$J$2311,E$1)</f>
        <v>0</v>
      </c>
      <c r="F125" s="80">
        <f>SUMIFS('декабрь 2024'!$G$5:$G$2311,'декабрь 2024'!$D$5:$D$2311,$B125,'декабрь 2024'!$J$5:$J$2311,F$1)</f>
        <v>0</v>
      </c>
      <c r="G125" s="80">
        <f>SUMIFS('декабрь 2024'!$G$5:$G$2311,'декабрь 2024'!$D$5:$D$2311,$B125,'декабрь 2024'!$J$5:$J$2311,G$1)</f>
        <v>0</v>
      </c>
      <c r="H125" s="80">
        <f>SUMIFS('декабрь 2024'!$G$5:$G$2311,'декабрь 2024'!$D$5:$D$2311,$B125,'декабрь 2024'!$J$5:$J$2311,H$1)</f>
        <v>0</v>
      </c>
      <c r="I125" s="80">
        <f>SUMIFS('декабрь 2024'!$G$5:$G$2311,'декабрь 2024'!$D$5:$D$2311,$B125,'декабрь 2024'!$J$5:$J$2311,I$1)</f>
        <v>0</v>
      </c>
      <c r="J125" s="80">
        <f>SUMIFS('декабрь 2024'!$G$5:$G$2311,'декабрь 2024'!$D$5:$D$2311,$B125,'декабрь 2024'!$J$5:$J$2311,J$1)</f>
        <v>0</v>
      </c>
      <c r="K125" s="80">
        <f>SUMIFS('декабрь 2024'!$G$5:$G$2311,'декабрь 2024'!$D$5:$D$2311,$B125,'декабрь 2024'!$J$5:$J$2311,K$1)</f>
        <v>0</v>
      </c>
      <c r="L125" s="80">
        <f>SUMIFS('декабрь 2024'!$G$5:$G$2311,'декабрь 2024'!$D$5:$D$2311,$B125,'декабрь 2024'!$J$5:$J$2311,L$1)</f>
        <v>0</v>
      </c>
      <c r="M125" s="80">
        <f>SUMIFS('декабрь 2024'!$G$5:$G$2311,'декабрь 2024'!$D$5:$D$2311,$B125,'декабрь 2024'!$J$5:$J$2311,M$1)</f>
        <v>0</v>
      </c>
      <c r="N125" s="80">
        <f>SUMIFS('декабрь 2024'!$G$5:$G$2311,'декабрь 2024'!$D$5:$D$2311,$B125,'декабрь 2024'!$J$5:$J$2311,N$1)</f>
        <v>0</v>
      </c>
      <c r="O125" s="80">
        <f>SUMIFS('декабрь 2024'!$G$5:$G$2311,'декабрь 2024'!$D$5:$D$2311,$B125,'декабрь 2024'!$J$5:$J$2311,O$1)</f>
        <v>0</v>
      </c>
      <c r="P125" s="80">
        <f>SUMIFS('декабрь 2024'!$G$5:$G$2311,'декабрь 2024'!$D$5:$D$2311,$B125,'декабрь 2024'!$J$5:$J$2311,P$1)</f>
        <v>0</v>
      </c>
      <c r="Q125" s="80">
        <f>SUMIFS('декабрь 2024'!$G$5:$G$2311,'декабрь 2024'!$D$5:$D$2311,$B125,'декабрь 2024'!$J$5:$J$2311,Q$1)</f>
        <v>0</v>
      </c>
      <c r="R125" s="80">
        <f>SUMIFS('декабрь 2024'!$G$5:$G$2311,'декабрь 2024'!$D$5:$D$2311,$B125,'декабрь 2024'!$J$5:$J$2311,R$1)</f>
        <v>0</v>
      </c>
      <c r="S125" s="80">
        <f>SUMIFS('декабрь 2024'!$G$5:$G$2311,'декабрь 2024'!$D$5:$D$2311,$B125,'декабрь 2024'!$J$5:$J$2311,S$1)</f>
        <v>0</v>
      </c>
      <c r="T125" s="80">
        <f>SUMIFS('декабрь 2024'!$G$5:$G$2311,'декабрь 2024'!$D$5:$D$2311,$B125,'декабрь 2024'!$J$5:$J$2311,T$1)</f>
        <v>0</v>
      </c>
      <c r="U125" s="80">
        <f>SUMIFS('декабрь 2024'!$G$5:$G$2311,'декабрь 2024'!$D$5:$D$2311,$B125,'декабрь 2024'!$J$5:$J$2311,U$1)</f>
        <v>0</v>
      </c>
      <c r="V125" s="80">
        <f>SUMIFS('декабрь 2024'!$G$5:$G$2311,'декабрь 2024'!$D$5:$D$2311,$B125,'декабрь 2024'!$J$5:$J$2311,V$1)</f>
        <v>0</v>
      </c>
      <c r="W125" s="80">
        <f>SUMIFS('декабрь 2024'!$G$5:$G$2311,'декабрь 2024'!$D$5:$D$2311,$B125,'декабрь 2024'!$J$5:$J$2311,W$1)</f>
        <v>0</v>
      </c>
      <c r="X125" s="80">
        <f>SUMIFS('декабрь 2024'!$G$5:$G$2311,'декабрь 2024'!$D$5:$D$2311,$B125,'декабрь 2024'!$J$5:$J$2311,X$1)</f>
        <v>0</v>
      </c>
      <c r="Y125" s="80">
        <f>SUMIFS('декабрь 2024'!$G$5:$G$2311,'декабрь 2024'!$D$5:$D$2311,$B125,'декабрь 2024'!$J$5:$J$2311,Y$1)</f>
        <v>0</v>
      </c>
      <c r="Z125" s="80">
        <f>SUMIFS('декабрь 2024'!$G$5:$G$2311,'декабрь 2024'!$D$5:$D$2311,$B125,'декабрь 2024'!$J$5:$J$2311,Z$1)</f>
        <v>0</v>
      </c>
      <c r="AA125" s="80">
        <f>SUMIFS('декабрь 2024'!$G$5:$G$2311,'декабрь 2024'!$D$5:$D$2311,$B125,'декабрь 2024'!$J$5:$J$2311,AA$1)</f>
        <v>0</v>
      </c>
      <c r="AB125" s="80">
        <f>SUMIFS('декабрь 2024'!$G$5:$G$2311,'декабрь 2024'!$D$5:$D$2311,$B125,'декабрь 2024'!$J$5:$J$2311,AB$1)</f>
        <v>0</v>
      </c>
      <c r="AC125" s="80">
        <f>SUMIFS('декабрь 2024'!$G$5:$G$2311,'декабрь 2024'!$D$5:$D$2311,$B125,'декабрь 2024'!$J$5:$J$2311,AC$1)</f>
        <v>0</v>
      </c>
      <c r="AD125" s="80">
        <f>SUMIFS('декабрь 2024'!$G$5:$G$2311,'декабрь 2024'!$D$5:$D$2311,$B125,'декабрь 2024'!$J$5:$J$2311,AD$1)</f>
        <v>0</v>
      </c>
      <c r="AE125" s="80">
        <f>SUMIFS('декабрь 2024'!$G$5:$G$2311,'декабрь 2024'!$D$5:$D$2311,$B125,'декабрь 2024'!$J$5:$J$2311,AE$1)</f>
        <v>0</v>
      </c>
      <c r="AF125" s="80">
        <f>SUMIFS('декабрь 2024'!$G$5:$G$2311,'декабрь 2024'!$D$5:$D$2311,$B125,'декабрь 2024'!$J$5:$J$2311,AF$1)</f>
        <v>0</v>
      </c>
      <c r="AG125" s="80">
        <f>SUMIFS('декабрь 2024'!$G$5:$G$2311,'декабрь 2024'!$D$5:$D$2311,$B125,'декабрь 2024'!$J$5:$J$2311,AG$1)</f>
        <v>0</v>
      </c>
      <c r="AH125" s="80">
        <f>SUMIFS('декабрь 2024'!$G$5:$G$2311,'декабрь 2024'!$D$5:$D$2311,$B125,'декабрь 2024'!$J$5:$J$2311,AH$1)</f>
        <v>0</v>
      </c>
      <c r="AI125" s="21">
        <f t="shared" si="1"/>
        <v>0</v>
      </c>
    </row>
    <row r="126" spans="2:35" ht="15" customHeight="1" x14ac:dyDescent="0.25">
      <c r="B126" s="89" t="s">
        <v>178</v>
      </c>
      <c r="C126" s="88">
        <v>200</v>
      </c>
      <c r="D126" s="80">
        <f>SUMIFS('декабрь 2024'!$G$5:$G$2311,'декабрь 2024'!$D$5:$D$2311,$B126,'декабрь 2024'!$J$5:$J$2311,D$1)</f>
        <v>0</v>
      </c>
      <c r="E126" s="80">
        <f>SUMIFS('декабрь 2024'!$G$5:$G$2311,'декабрь 2024'!$D$5:$D$2311,$B126,'декабрь 2024'!$J$5:$J$2311,E$1)</f>
        <v>0</v>
      </c>
      <c r="F126" s="80">
        <f>SUMIFS('декабрь 2024'!$G$5:$G$2311,'декабрь 2024'!$D$5:$D$2311,$B126,'декабрь 2024'!$J$5:$J$2311,F$1)</f>
        <v>0</v>
      </c>
      <c r="G126" s="80">
        <f>SUMIFS('декабрь 2024'!$G$5:$G$2311,'декабрь 2024'!$D$5:$D$2311,$B126,'декабрь 2024'!$J$5:$J$2311,G$1)</f>
        <v>0</v>
      </c>
      <c r="H126" s="80">
        <f>SUMIFS('декабрь 2024'!$G$5:$G$2311,'декабрь 2024'!$D$5:$D$2311,$B126,'декабрь 2024'!$J$5:$J$2311,H$1)</f>
        <v>0</v>
      </c>
      <c r="I126" s="80">
        <f>SUMIFS('декабрь 2024'!$G$5:$G$2311,'декабрь 2024'!$D$5:$D$2311,$B126,'декабрь 2024'!$J$5:$J$2311,I$1)</f>
        <v>0</v>
      </c>
      <c r="J126" s="80">
        <f>SUMIFS('декабрь 2024'!$G$5:$G$2311,'декабрь 2024'!$D$5:$D$2311,$B126,'декабрь 2024'!$J$5:$J$2311,J$1)</f>
        <v>0</v>
      </c>
      <c r="K126" s="80">
        <f>SUMIFS('декабрь 2024'!$G$5:$G$2311,'декабрь 2024'!$D$5:$D$2311,$B126,'декабрь 2024'!$J$5:$J$2311,K$1)</f>
        <v>0</v>
      </c>
      <c r="L126" s="80">
        <f>SUMIFS('декабрь 2024'!$G$5:$G$2311,'декабрь 2024'!$D$5:$D$2311,$B126,'декабрь 2024'!$J$5:$J$2311,L$1)</f>
        <v>0</v>
      </c>
      <c r="M126" s="80">
        <f>SUMIFS('декабрь 2024'!$G$5:$G$2311,'декабрь 2024'!$D$5:$D$2311,$B126,'декабрь 2024'!$J$5:$J$2311,M$1)</f>
        <v>0</v>
      </c>
      <c r="N126" s="80">
        <f>SUMIFS('декабрь 2024'!$G$5:$G$2311,'декабрь 2024'!$D$5:$D$2311,$B126,'декабрь 2024'!$J$5:$J$2311,N$1)</f>
        <v>0</v>
      </c>
      <c r="O126" s="80">
        <f>SUMIFS('декабрь 2024'!$G$5:$G$2311,'декабрь 2024'!$D$5:$D$2311,$B126,'декабрь 2024'!$J$5:$J$2311,O$1)</f>
        <v>0</v>
      </c>
      <c r="P126" s="80">
        <f>SUMIFS('декабрь 2024'!$G$5:$G$2311,'декабрь 2024'!$D$5:$D$2311,$B126,'декабрь 2024'!$J$5:$J$2311,P$1)</f>
        <v>0</v>
      </c>
      <c r="Q126" s="80">
        <f>SUMIFS('декабрь 2024'!$G$5:$G$2311,'декабрь 2024'!$D$5:$D$2311,$B126,'декабрь 2024'!$J$5:$J$2311,Q$1)</f>
        <v>0</v>
      </c>
      <c r="R126" s="80">
        <f>SUMIFS('декабрь 2024'!$G$5:$G$2311,'декабрь 2024'!$D$5:$D$2311,$B126,'декабрь 2024'!$J$5:$J$2311,R$1)</f>
        <v>0</v>
      </c>
      <c r="S126" s="80">
        <f>SUMIFS('декабрь 2024'!$G$5:$G$2311,'декабрь 2024'!$D$5:$D$2311,$B126,'декабрь 2024'!$J$5:$J$2311,S$1)</f>
        <v>0</v>
      </c>
      <c r="T126" s="80">
        <f>SUMIFS('декабрь 2024'!$G$5:$G$2311,'декабрь 2024'!$D$5:$D$2311,$B126,'декабрь 2024'!$J$5:$J$2311,T$1)</f>
        <v>0</v>
      </c>
      <c r="U126" s="80">
        <f>SUMIFS('декабрь 2024'!$G$5:$G$2311,'декабрь 2024'!$D$5:$D$2311,$B126,'декабрь 2024'!$J$5:$J$2311,U$1)</f>
        <v>0</v>
      </c>
      <c r="V126" s="80">
        <f>SUMIFS('декабрь 2024'!$G$5:$G$2311,'декабрь 2024'!$D$5:$D$2311,$B126,'декабрь 2024'!$J$5:$J$2311,V$1)</f>
        <v>0</v>
      </c>
      <c r="W126" s="80">
        <f>SUMIFS('декабрь 2024'!$G$5:$G$2311,'декабрь 2024'!$D$5:$D$2311,$B126,'декабрь 2024'!$J$5:$J$2311,W$1)</f>
        <v>0</v>
      </c>
      <c r="X126" s="80">
        <f>SUMIFS('декабрь 2024'!$G$5:$G$2311,'декабрь 2024'!$D$5:$D$2311,$B126,'декабрь 2024'!$J$5:$J$2311,X$1)</f>
        <v>0</v>
      </c>
      <c r="Y126" s="80">
        <f>SUMIFS('декабрь 2024'!$G$5:$G$2311,'декабрь 2024'!$D$5:$D$2311,$B126,'декабрь 2024'!$J$5:$J$2311,Y$1)</f>
        <v>0</v>
      </c>
      <c r="Z126" s="80">
        <f>SUMIFS('декабрь 2024'!$G$5:$G$2311,'декабрь 2024'!$D$5:$D$2311,$B126,'декабрь 2024'!$J$5:$J$2311,Z$1)</f>
        <v>0</v>
      </c>
      <c r="AA126" s="80">
        <f>SUMIFS('декабрь 2024'!$G$5:$G$2311,'декабрь 2024'!$D$5:$D$2311,$B126,'декабрь 2024'!$J$5:$J$2311,AA$1)</f>
        <v>0</v>
      </c>
      <c r="AB126" s="80">
        <f>SUMIFS('декабрь 2024'!$G$5:$G$2311,'декабрь 2024'!$D$5:$D$2311,$B126,'декабрь 2024'!$J$5:$J$2311,AB$1)</f>
        <v>0</v>
      </c>
      <c r="AC126" s="80">
        <f>SUMIFS('декабрь 2024'!$G$5:$G$2311,'декабрь 2024'!$D$5:$D$2311,$B126,'декабрь 2024'!$J$5:$J$2311,AC$1)</f>
        <v>0</v>
      </c>
      <c r="AD126" s="80">
        <f>SUMIFS('декабрь 2024'!$G$5:$G$2311,'декабрь 2024'!$D$5:$D$2311,$B126,'декабрь 2024'!$J$5:$J$2311,AD$1)</f>
        <v>0</v>
      </c>
      <c r="AE126" s="80">
        <f>SUMIFS('декабрь 2024'!$G$5:$G$2311,'декабрь 2024'!$D$5:$D$2311,$B126,'декабрь 2024'!$J$5:$J$2311,AE$1)</f>
        <v>0</v>
      </c>
      <c r="AF126" s="80">
        <f>SUMIFS('декабрь 2024'!$G$5:$G$2311,'декабрь 2024'!$D$5:$D$2311,$B126,'декабрь 2024'!$J$5:$J$2311,AF$1)</f>
        <v>0</v>
      </c>
      <c r="AG126" s="80">
        <f>SUMIFS('декабрь 2024'!$G$5:$G$2311,'декабрь 2024'!$D$5:$D$2311,$B126,'декабрь 2024'!$J$5:$J$2311,AG$1)</f>
        <v>0</v>
      </c>
      <c r="AH126" s="80">
        <f>SUMIFS('декабрь 2024'!$G$5:$G$2311,'декабрь 2024'!$D$5:$D$2311,$B126,'декабрь 2024'!$J$5:$J$2311,AH$1)</f>
        <v>0</v>
      </c>
      <c r="AI126" s="21">
        <f t="shared" si="1"/>
        <v>0</v>
      </c>
    </row>
    <row r="127" spans="2:35" ht="15" customHeight="1" x14ac:dyDescent="0.25">
      <c r="B127" s="89" t="s">
        <v>180</v>
      </c>
      <c r="C127" s="88">
        <v>200</v>
      </c>
      <c r="D127" s="80">
        <f>SUMIFS('декабрь 2024'!$G$5:$G$2311,'декабрь 2024'!$D$5:$D$2311,$B127,'декабрь 2024'!$J$5:$J$2311,D$1)</f>
        <v>0</v>
      </c>
      <c r="E127" s="80">
        <f>SUMIFS('декабрь 2024'!$G$5:$G$2311,'декабрь 2024'!$D$5:$D$2311,$B127,'декабрь 2024'!$J$5:$J$2311,E$1)</f>
        <v>0</v>
      </c>
      <c r="F127" s="80">
        <f>SUMIFS('декабрь 2024'!$G$5:$G$2311,'декабрь 2024'!$D$5:$D$2311,$B127,'декабрь 2024'!$J$5:$J$2311,F$1)</f>
        <v>0</v>
      </c>
      <c r="G127" s="80">
        <f>SUMIFS('декабрь 2024'!$G$5:$G$2311,'декабрь 2024'!$D$5:$D$2311,$B127,'декабрь 2024'!$J$5:$J$2311,G$1)</f>
        <v>0</v>
      </c>
      <c r="H127" s="80">
        <f>SUMIFS('декабрь 2024'!$G$5:$G$2311,'декабрь 2024'!$D$5:$D$2311,$B127,'декабрь 2024'!$J$5:$J$2311,H$1)</f>
        <v>0</v>
      </c>
      <c r="I127" s="80">
        <f>SUMIFS('декабрь 2024'!$G$5:$G$2311,'декабрь 2024'!$D$5:$D$2311,$B127,'декабрь 2024'!$J$5:$J$2311,I$1)</f>
        <v>0</v>
      </c>
      <c r="J127" s="80">
        <f>SUMIFS('декабрь 2024'!$G$5:$G$2311,'декабрь 2024'!$D$5:$D$2311,$B127,'декабрь 2024'!$J$5:$J$2311,J$1)</f>
        <v>0</v>
      </c>
      <c r="K127" s="80">
        <f>SUMIFS('декабрь 2024'!$G$5:$G$2311,'декабрь 2024'!$D$5:$D$2311,$B127,'декабрь 2024'!$J$5:$J$2311,K$1)</f>
        <v>0</v>
      </c>
      <c r="L127" s="80">
        <f>SUMIFS('декабрь 2024'!$G$5:$G$2311,'декабрь 2024'!$D$5:$D$2311,$B127,'декабрь 2024'!$J$5:$J$2311,L$1)</f>
        <v>0</v>
      </c>
      <c r="M127" s="80">
        <f>SUMIFS('декабрь 2024'!$G$5:$G$2311,'декабрь 2024'!$D$5:$D$2311,$B127,'декабрь 2024'!$J$5:$J$2311,M$1)</f>
        <v>0</v>
      </c>
      <c r="N127" s="80">
        <f>SUMIFS('декабрь 2024'!$G$5:$G$2311,'декабрь 2024'!$D$5:$D$2311,$B127,'декабрь 2024'!$J$5:$J$2311,N$1)</f>
        <v>0</v>
      </c>
      <c r="O127" s="80">
        <f>SUMIFS('декабрь 2024'!$G$5:$G$2311,'декабрь 2024'!$D$5:$D$2311,$B127,'декабрь 2024'!$J$5:$J$2311,O$1)</f>
        <v>0</v>
      </c>
      <c r="P127" s="80">
        <f>SUMIFS('декабрь 2024'!$G$5:$G$2311,'декабрь 2024'!$D$5:$D$2311,$B127,'декабрь 2024'!$J$5:$J$2311,P$1)</f>
        <v>0</v>
      </c>
      <c r="Q127" s="80">
        <f>SUMIFS('декабрь 2024'!$G$5:$G$2311,'декабрь 2024'!$D$5:$D$2311,$B127,'декабрь 2024'!$J$5:$J$2311,Q$1)</f>
        <v>0</v>
      </c>
      <c r="R127" s="80">
        <f>SUMIFS('декабрь 2024'!$G$5:$G$2311,'декабрь 2024'!$D$5:$D$2311,$B127,'декабрь 2024'!$J$5:$J$2311,R$1)</f>
        <v>0</v>
      </c>
      <c r="S127" s="80">
        <f>SUMIFS('декабрь 2024'!$G$5:$G$2311,'декабрь 2024'!$D$5:$D$2311,$B127,'декабрь 2024'!$J$5:$J$2311,S$1)</f>
        <v>0</v>
      </c>
      <c r="T127" s="80">
        <f>SUMIFS('декабрь 2024'!$G$5:$G$2311,'декабрь 2024'!$D$5:$D$2311,$B127,'декабрь 2024'!$J$5:$J$2311,T$1)</f>
        <v>0</v>
      </c>
      <c r="U127" s="80">
        <f>SUMIFS('декабрь 2024'!$G$5:$G$2311,'декабрь 2024'!$D$5:$D$2311,$B127,'декабрь 2024'!$J$5:$J$2311,U$1)</f>
        <v>0</v>
      </c>
      <c r="V127" s="80">
        <f>SUMIFS('декабрь 2024'!$G$5:$G$2311,'декабрь 2024'!$D$5:$D$2311,$B127,'декабрь 2024'!$J$5:$J$2311,V$1)</f>
        <v>0</v>
      </c>
      <c r="W127" s="80">
        <f>SUMIFS('декабрь 2024'!$G$5:$G$2311,'декабрь 2024'!$D$5:$D$2311,$B127,'декабрь 2024'!$J$5:$J$2311,W$1)</f>
        <v>0</v>
      </c>
      <c r="X127" s="80">
        <f>SUMIFS('декабрь 2024'!$G$5:$G$2311,'декабрь 2024'!$D$5:$D$2311,$B127,'декабрь 2024'!$J$5:$J$2311,X$1)</f>
        <v>0</v>
      </c>
      <c r="Y127" s="80">
        <f>SUMIFS('декабрь 2024'!$G$5:$G$2311,'декабрь 2024'!$D$5:$D$2311,$B127,'декабрь 2024'!$J$5:$J$2311,Y$1)</f>
        <v>0</v>
      </c>
      <c r="Z127" s="80">
        <f>SUMIFS('декабрь 2024'!$G$5:$G$2311,'декабрь 2024'!$D$5:$D$2311,$B127,'декабрь 2024'!$J$5:$J$2311,Z$1)</f>
        <v>0</v>
      </c>
      <c r="AA127" s="80">
        <f>SUMIFS('декабрь 2024'!$G$5:$G$2311,'декабрь 2024'!$D$5:$D$2311,$B127,'декабрь 2024'!$J$5:$J$2311,AA$1)</f>
        <v>0</v>
      </c>
      <c r="AB127" s="80">
        <f>SUMIFS('декабрь 2024'!$G$5:$G$2311,'декабрь 2024'!$D$5:$D$2311,$B127,'декабрь 2024'!$J$5:$J$2311,AB$1)</f>
        <v>0</v>
      </c>
      <c r="AC127" s="80">
        <f>SUMIFS('декабрь 2024'!$G$5:$G$2311,'декабрь 2024'!$D$5:$D$2311,$B127,'декабрь 2024'!$J$5:$J$2311,AC$1)</f>
        <v>0</v>
      </c>
      <c r="AD127" s="80">
        <f>SUMIFS('декабрь 2024'!$G$5:$G$2311,'декабрь 2024'!$D$5:$D$2311,$B127,'декабрь 2024'!$J$5:$J$2311,AD$1)</f>
        <v>0</v>
      </c>
      <c r="AE127" s="80">
        <f>SUMIFS('декабрь 2024'!$G$5:$G$2311,'декабрь 2024'!$D$5:$D$2311,$B127,'декабрь 2024'!$J$5:$J$2311,AE$1)</f>
        <v>0</v>
      </c>
      <c r="AF127" s="80">
        <f>SUMIFS('декабрь 2024'!$G$5:$G$2311,'декабрь 2024'!$D$5:$D$2311,$B127,'декабрь 2024'!$J$5:$J$2311,AF$1)</f>
        <v>0</v>
      </c>
      <c r="AG127" s="80">
        <f>SUMIFS('декабрь 2024'!$G$5:$G$2311,'декабрь 2024'!$D$5:$D$2311,$B127,'декабрь 2024'!$J$5:$J$2311,AG$1)</f>
        <v>0</v>
      </c>
      <c r="AH127" s="80">
        <f>SUMIFS('декабрь 2024'!$G$5:$G$2311,'декабрь 2024'!$D$5:$D$2311,$B127,'декабрь 2024'!$J$5:$J$2311,AH$1)</f>
        <v>0</v>
      </c>
      <c r="AI127" s="21">
        <f t="shared" si="1"/>
        <v>0</v>
      </c>
    </row>
    <row r="128" spans="2:35" ht="15" customHeight="1" x14ac:dyDescent="0.25">
      <c r="B128" s="94" t="s">
        <v>194</v>
      </c>
      <c r="C128" s="95">
        <v>180</v>
      </c>
      <c r="D128" s="80">
        <f>SUMIFS('декабрь 2024'!$G$5:$G$2311,'декабрь 2024'!$D$5:$D$2311,$B128,'декабрь 2024'!$J$5:$J$2311,D$1)</f>
        <v>0</v>
      </c>
      <c r="E128" s="80">
        <f>SUMIFS('декабрь 2024'!$G$5:$G$2311,'декабрь 2024'!$D$5:$D$2311,$B128,'декабрь 2024'!$J$5:$J$2311,E$1)</f>
        <v>0</v>
      </c>
      <c r="F128" s="80">
        <f>SUMIFS('декабрь 2024'!$G$5:$G$2311,'декабрь 2024'!$D$5:$D$2311,$B128,'декабрь 2024'!$J$5:$J$2311,F$1)</f>
        <v>0</v>
      </c>
      <c r="G128" s="80">
        <f>SUMIFS('декабрь 2024'!$G$5:$G$2311,'декабрь 2024'!$D$5:$D$2311,$B128,'декабрь 2024'!$J$5:$J$2311,G$1)</f>
        <v>0</v>
      </c>
      <c r="H128" s="80">
        <f>SUMIFS('декабрь 2024'!$G$5:$G$2311,'декабрь 2024'!$D$5:$D$2311,$B128,'декабрь 2024'!$J$5:$J$2311,H$1)</f>
        <v>0</v>
      </c>
      <c r="I128" s="80">
        <f>SUMIFS('декабрь 2024'!$G$5:$G$2311,'декабрь 2024'!$D$5:$D$2311,$B128,'декабрь 2024'!$J$5:$J$2311,I$1)</f>
        <v>0</v>
      </c>
      <c r="J128" s="80">
        <f>SUMIFS('декабрь 2024'!$G$5:$G$2311,'декабрь 2024'!$D$5:$D$2311,$B128,'декабрь 2024'!$J$5:$J$2311,J$1)</f>
        <v>0</v>
      </c>
      <c r="K128" s="80">
        <f>SUMIFS('декабрь 2024'!$G$5:$G$2311,'декабрь 2024'!$D$5:$D$2311,$B128,'декабрь 2024'!$J$5:$J$2311,K$1)</f>
        <v>0</v>
      </c>
      <c r="L128" s="80">
        <f>SUMIFS('декабрь 2024'!$G$5:$G$2311,'декабрь 2024'!$D$5:$D$2311,$B128,'декабрь 2024'!$J$5:$J$2311,L$1)</f>
        <v>0</v>
      </c>
      <c r="M128" s="80">
        <f>SUMIFS('декабрь 2024'!$G$5:$G$2311,'декабрь 2024'!$D$5:$D$2311,$B128,'декабрь 2024'!$J$5:$J$2311,M$1)</f>
        <v>0</v>
      </c>
      <c r="N128" s="80">
        <f>SUMIFS('декабрь 2024'!$G$5:$G$2311,'декабрь 2024'!$D$5:$D$2311,$B128,'декабрь 2024'!$J$5:$J$2311,N$1)</f>
        <v>0</v>
      </c>
      <c r="O128" s="80">
        <f>SUMIFS('декабрь 2024'!$G$5:$G$2311,'декабрь 2024'!$D$5:$D$2311,$B128,'декабрь 2024'!$J$5:$J$2311,O$1)</f>
        <v>0</v>
      </c>
      <c r="P128" s="80">
        <f>SUMIFS('декабрь 2024'!$G$5:$G$2311,'декабрь 2024'!$D$5:$D$2311,$B128,'декабрь 2024'!$J$5:$J$2311,P$1)</f>
        <v>0</v>
      </c>
      <c r="Q128" s="80">
        <f>SUMIFS('декабрь 2024'!$G$5:$G$2311,'декабрь 2024'!$D$5:$D$2311,$B128,'декабрь 2024'!$J$5:$J$2311,Q$1)</f>
        <v>0</v>
      </c>
      <c r="R128" s="80">
        <f>SUMIFS('декабрь 2024'!$G$5:$G$2311,'декабрь 2024'!$D$5:$D$2311,$B128,'декабрь 2024'!$J$5:$J$2311,R$1)</f>
        <v>0</v>
      </c>
      <c r="S128" s="80">
        <f>SUMIFS('декабрь 2024'!$G$5:$G$2311,'декабрь 2024'!$D$5:$D$2311,$B128,'декабрь 2024'!$J$5:$J$2311,S$1)</f>
        <v>0</v>
      </c>
      <c r="T128" s="80">
        <f>SUMIFS('декабрь 2024'!$G$5:$G$2311,'декабрь 2024'!$D$5:$D$2311,$B128,'декабрь 2024'!$J$5:$J$2311,T$1)</f>
        <v>0</v>
      </c>
      <c r="U128" s="80">
        <f>SUMIFS('декабрь 2024'!$G$5:$G$2311,'декабрь 2024'!$D$5:$D$2311,$B128,'декабрь 2024'!$J$5:$J$2311,U$1)</f>
        <v>0</v>
      </c>
      <c r="V128" s="80">
        <f>SUMIFS('декабрь 2024'!$G$5:$G$2311,'декабрь 2024'!$D$5:$D$2311,$B128,'декабрь 2024'!$J$5:$J$2311,V$1)</f>
        <v>0</v>
      </c>
      <c r="W128" s="80">
        <f>SUMIFS('декабрь 2024'!$G$5:$G$2311,'декабрь 2024'!$D$5:$D$2311,$B128,'декабрь 2024'!$J$5:$J$2311,W$1)</f>
        <v>0</v>
      </c>
      <c r="X128" s="80">
        <f>SUMIFS('декабрь 2024'!$G$5:$G$2311,'декабрь 2024'!$D$5:$D$2311,$B128,'декабрь 2024'!$J$5:$J$2311,X$1)</f>
        <v>0</v>
      </c>
      <c r="Y128" s="80">
        <f>SUMIFS('декабрь 2024'!$G$5:$G$2311,'декабрь 2024'!$D$5:$D$2311,$B128,'декабрь 2024'!$J$5:$J$2311,Y$1)</f>
        <v>0</v>
      </c>
      <c r="Z128" s="80">
        <f>SUMIFS('декабрь 2024'!$G$5:$G$2311,'декабрь 2024'!$D$5:$D$2311,$B128,'декабрь 2024'!$J$5:$J$2311,Z$1)</f>
        <v>0</v>
      </c>
      <c r="AA128" s="80">
        <f>SUMIFS('декабрь 2024'!$G$5:$G$2311,'декабрь 2024'!$D$5:$D$2311,$B128,'декабрь 2024'!$J$5:$J$2311,AA$1)</f>
        <v>0</v>
      </c>
      <c r="AB128" s="80">
        <f>SUMIFS('декабрь 2024'!$G$5:$G$2311,'декабрь 2024'!$D$5:$D$2311,$B128,'декабрь 2024'!$J$5:$J$2311,AB$1)</f>
        <v>0</v>
      </c>
      <c r="AC128" s="80">
        <f>SUMIFS('декабрь 2024'!$G$5:$G$2311,'декабрь 2024'!$D$5:$D$2311,$B128,'декабрь 2024'!$J$5:$J$2311,AC$1)</f>
        <v>0</v>
      </c>
      <c r="AD128" s="80">
        <f>SUMIFS('декабрь 2024'!$G$5:$G$2311,'декабрь 2024'!$D$5:$D$2311,$B128,'декабрь 2024'!$J$5:$J$2311,AD$1)</f>
        <v>0</v>
      </c>
      <c r="AE128" s="80">
        <f>SUMIFS('декабрь 2024'!$G$5:$G$2311,'декабрь 2024'!$D$5:$D$2311,$B128,'декабрь 2024'!$J$5:$J$2311,AE$1)</f>
        <v>0</v>
      </c>
      <c r="AF128" s="80">
        <f>SUMIFS('декабрь 2024'!$G$5:$G$2311,'декабрь 2024'!$D$5:$D$2311,$B128,'декабрь 2024'!$J$5:$J$2311,AF$1)</f>
        <v>0</v>
      </c>
      <c r="AG128" s="80">
        <f>SUMIFS('декабрь 2024'!$G$5:$G$2311,'декабрь 2024'!$D$5:$D$2311,$B128,'декабрь 2024'!$J$5:$J$2311,AG$1)</f>
        <v>0</v>
      </c>
      <c r="AH128" s="80">
        <f>SUMIFS('декабрь 2024'!$G$5:$G$2311,'декабрь 2024'!$D$5:$D$2311,$B128,'декабрь 2024'!$J$5:$J$2311,AH$1)</f>
        <v>0</v>
      </c>
      <c r="AI128" s="21">
        <f t="shared" si="1"/>
        <v>0</v>
      </c>
    </row>
    <row r="129" spans="2:35" ht="15" customHeight="1" x14ac:dyDescent="0.25">
      <c r="B129" s="89" t="s">
        <v>332</v>
      </c>
      <c r="C129" s="91">
        <v>180</v>
      </c>
      <c r="D129" s="80">
        <f>SUMIFS('декабрь 2024'!$G$5:$G$2311,'декабрь 2024'!$D$5:$D$2311,$B129,'декабрь 2024'!$J$5:$J$2311,D$1)</f>
        <v>0</v>
      </c>
      <c r="E129" s="80">
        <f>SUMIFS('декабрь 2024'!$G$5:$G$2311,'декабрь 2024'!$D$5:$D$2311,$B129,'декабрь 2024'!$J$5:$J$2311,E$1)</f>
        <v>0</v>
      </c>
      <c r="F129" s="80">
        <f>SUMIFS('декабрь 2024'!$G$5:$G$2311,'декабрь 2024'!$D$5:$D$2311,$B129,'декабрь 2024'!$J$5:$J$2311,F$1)</f>
        <v>0</v>
      </c>
      <c r="G129" s="80">
        <f>SUMIFS('декабрь 2024'!$G$5:$G$2311,'декабрь 2024'!$D$5:$D$2311,$B129,'декабрь 2024'!$J$5:$J$2311,G$1)</f>
        <v>0</v>
      </c>
      <c r="H129" s="80">
        <f>SUMIFS('декабрь 2024'!$G$5:$G$2311,'декабрь 2024'!$D$5:$D$2311,$B129,'декабрь 2024'!$J$5:$J$2311,H$1)</f>
        <v>0</v>
      </c>
      <c r="I129" s="80">
        <f>SUMIFS('декабрь 2024'!$G$5:$G$2311,'декабрь 2024'!$D$5:$D$2311,$B129,'декабрь 2024'!$J$5:$J$2311,I$1)</f>
        <v>0</v>
      </c>
      <c r="J129" s="80">
        <f>SUMIFS('декабрь 2024'!$G$5:$G$2311,'декабрь 2024'!$D$5:$D$2311,$B129,'декабрь 2024'!$J$5:$J$2311,J$1)</f>
        <v>0</v>
      </c>
      <c r="K129" s="80">
        <f>SUMIFS('декабрь 2024'!$G$5:$G$2311,'декабрь 2024'!$D$5:$D$2311,$B129,'декабрь 2024'!$J$5:$J$2311,K$1)</f>
        <v>0</v>
      </c>
      <c r="L129" s="80">
        <f>SUMIFS('декабрь 2024'!$G$5:$G$2311,'декабрь 2024'!$D$5:$D$2311,$B129,'декабрь 2024'!$J$5:$J$2311,L$1)</f>
        <v>0</v>
      </c>
      <c r="M129" s="80">
        <f>SUMIFS('декабрь 2024'!$G$5:$G$2311,'декабрь 2024'!$D$5:$D$2311,$B129,'декабрь 2024'!$J$5:$J$2311,M$1)</f>
        <v>0</v>
      </c>
      <c r="N129" s="80">
        <f>SUMIFS('декабрь 2024'!$G$5:$G$2311,'декабрь 2024'!$D$5:$D$2311,$B129,'декабрь 2024'!$J$5:$J$2311,N$1)</f>
        <v>0</v>
      </c>
      <c r="O129" s="80">
        <f>SUMIFS('декабрь 2024'!$G$5:$G$2311,'декабрь 2024'!$D$5:$D$2311,$B129,'декабрь 2024'!$J$5:$J$2311,O$1)</f>
        <v>0</v>
      </c>
      <c r="P129" s="80">
        <f>SUMIFS('декабрь 2024'!$G$5:$G$2311,'декабрь 2024'!$D$5:$D$2311,$B129,'декабрь 2024'!$J$5:$J$2311,P$1)</f>
        <v>0</v>
      </c>
      <c r="Q129" s="80">
        <f>SUMIFS('декабрь 2024'!$G$5:$G$2311,'декабрь 2024'!$D$5:$D$2311,$B129,'декабрь 2024'!$J$5:$J$2311,Q$1)</f>
        <v>0</v>
      </c>
      <c r="R129" s="80">
        <f>SUMIFS('декабрь 2024'!$G$5:$G$2311,'декабрь 2024'!$D$5:$D$2311,$B129,'декабрь 2024'!$J$5:$J$2311,R$1)</f>
        <v>0</v>
      </c>
      <c r="S129" s="80">
        <f>SUMIFS('декабрь 2024'!$G$5:$G$2311,'декабрь 2024'!$D$5:$D$2311,$B129,'декабрь 2024'!$J$5:$J$2311,S$1)</f>
        <v>0</v>
      </c>
      <c r="T129" s="80">
        <f>SUMIFS('декабрь 2024'!$G$5:$G$2311,'декабрь 2024'!$D$5:$D$2311,$B129,'декабрь 2024'!$J$5:$J$2311,T$1)</f>
        <v>0</v>
      </c>
      <c r="U129" s="80">
        <f>SUMIFS('декабрь 2024'!$G$5:$G$2311,'декабрь 2024'!$D$5:$D$2311,$B129,'декабрь 2024'!$J$5:$J$2311,U$1)</f>
        <v>0</v>
      </c>
      <c r="V129" s="80">
        <f>SUMIFS('декабрь 2024'!$G$5:$G$2311,'декабрь 2024'!$D$5:$D$2311,$B129,'декабрь 2024'!$J$5:$J$2311,V$1)</f>
        <v>0</v>
      </c>
      <c r="W129" s="80">
        <f>SUMIFS('декабрь 2024'!$G$5:$G$2311,'декабрь 2024'!$D$5:$D$2311,$B129,'декабрь 2024'!$J$5:$J$2311,W$1)</f>
        <v>0</v>
      </c>
      <c r="X129" s="80">
        <f>SUMIFS('декабрь 2024'!$G$5:$G$2311,'декабрь 2024'!$D$5:$D$2311,$B129,'декабрь 2024'!$J$5:$J$2311,X$1)</f>
        <v>0</v>
      </c>
      <c r="Y129" s="80">
        <f>SUMIFS('декабрь 2024'!$G$5:$G$2311,'декабрь 2024'!$D$5:$D$2311,$B129,'декабрь 2024'!$J$5:$J$2311,Y$1)</f>
        <v>0</v>
      </c>
      <c r="Z129" s="80">
        <f>SUMIFS('декабрь 2024'!$G$5:$G$2311,'декабрь 2024'!$D$5:$D$2311,$B129,'декабрь 2024'!$J$5:$J$2311,Z$1)</f>
        <v>0</v>
      </c>
      <c r="AA129" s="80">
        <f>SUMIFS('декабрь 2024'!$G$5:$G$2311,'декабрь 2024'!$D$5:$D$2311,$B129,'декабрь 2024'!$J$5:$J$2311,AA$1)</f>
        <v>0</v>
      </c>
      <c r="AB129" s="80">
        <f>SUMIFS('декабрь 2024'!$G$5:$G$2311,'декабрь 2024'!$D$5:$D$2311,$B129,'декабрь 2024'!$J$5:$J$2311,AB$1)</f>
        <v>0</v>
      </c>
      <c r="AC129" s="80">
        <f>SUMIFS('декабрь 2024'!$G$5:$G$2311,'декабрь 2024'!$D$5:$D$2311,$B129,'декабрь 2024'!$J$5:$J$2311,AC$1)</f>
        <v>0</v>
      </c>
      <c r="AD129" s="80">
        <f>SUMIFS('декабрь 2024'!$G$5:$G$2311,'декабрь 2024'!$D$5:$D$2311,$B129,'декабрь 2024'!$J$5:$J$2311,AD$1)</f>
        <v>0</v>
      </c>
      <c r="AE129" s="80">
        <f>SUMIFS('декабрь 2024'!$G$5:$G$2311,'декабрь 2024'!$D$5:$D$2311,$B129,'декабрь 2024'!$J$5:$J$2311,AE$1)</f>
        <v>0</v>
      </c>
      <c r="AF129" s="80">
        <f>SUMIFS('декабрь 2024'!$G$5:$G$2311,'декабрь 2024'!$D$5:$D$2311,$B129,'декабрь 2024'!$J$5:$J$2311,AF$1)</f>
        <v>0</v>
      </c>
      <c r="AG129" s="80">
        <f>SUMIFS('декабрь 2024'!$G$5:$G$2311,'декабрь 2024'!$D$5:$D$2311,$B129,'декабрь 2024'!$J$5:$J$2311,AG$1)</f>
        <v>0</v>
      </c>
      <c r="AH129" s="80">
        <f>SUMIFS('декабрь 2024'!$G$5:$G$2311,'декабрь 2024'!$D$5:$D$2311,$B129,'декабрь 2024'!$J$5:$J$2311,AH$1)</f>
        <v>0</v>
      </c>
      <c r="AI129" s="21">
        <f t="shared" si="1"/>
        <v>0</v>
      </c>
    </row>
    <row r="130" spans="2:35" ht="15" customHeight="1" x14ac:dyDescent="0.25">
      <c r="B130" s="89" t="s">
        <v>342</v>
      </c>
      <c r="C130" s="91">
        <v>180</v>
      </c>
      <c r="D130" s="80">
        <f>SUMIFS('декабрь 2024'!$G$5:$G$2311,'декабрь 2024'!$D$5:$D$2311,$B130,'декабрь 2024'!$J$5:$J$2311,D$1)</f>
        <v>0</v>
      </c>
      <c r="E130" s="80">
        <f>SUMIFS('декабрь 2024'!$G$5:$G$2311,'декабрь 2024'!$D$5:$D$2311,$B130,'декабрь 2024'!$J$5:$J$2311,E$1)</f>
        <v>0</v>
      </c>
      <c r="F130" s="80">
        <f>SUMIFS('декабрь 2024'!$G$5:$G$2311,'декабрь 2024'!$D$5:$D$2311,$B130,'декабрь 2024'!$J$5:$J$2311,F$1)</f>
        <v>0</v>
      </c>
      <c r="G130" s="80">
        <f>SUMIFS('декабрь 2024'!$G$5:$G$2311,'декабрь 2024'!$D$5:$D$2311,$B130,'декабрь 2024'!$J$5:$J$2311,G$1)</f>
        <v>0</v>
      </c>
      <c r="H130" s="80">
        <f>SUMIFS('декабрь 2024'!$G$5:$G$2311,'декабрь 2024'!$D$5:$D$2311,$B130,'декабрь 2024'!$J$5:$J$2311,H$1)</f>
        <v>0</v>
      </c>
      <c r="I130" s="80">
        <f>SUMIFS('декабрь 2024'!$G$5:$G$2311,'декабрь 2024'!$D$5:$D$2311,$B130,'декабрь 2024'!$J$5:$J$2311,I$1)</f>
        <v>0</v>
      </c>
      <c r="J130" s="80">
        <f>SUMIFS('декабрь 2024'!$G$5:$G$2311,'декабрь 2024'!$D$5:$D$2311,$B130,'декабрь 2024'!$J$5:$J$2311,J$1)</f>
        <v>0</v>
      </c>
      <c r="K130" s="80">
        <f>SUMIFS('декабрь 2024'!$G$5:$G$2311,'декабрь 2024'!$D$5:$D$2311,$B130,'декабрь 2024'!$J$5:$J$2311,K$1)</f>
        <v>0</v>
      </c>
      <c r="L130" s="80">
        <f>SUMIFS('декабрь 2024'!$G$5:$G$2311,'декабрь 2024'!$D$5:$D$2311,$B130,'декабрь 2024'!$J$5:$J$2311,L$1)</f>
        <v>0</v>
      </c>
      <c r="M130" s="80">
        <f>SUMIFS('декабрь 2024'!$G$5:$G$2311,'декабрь 2024'!$D$5:$D$2311,$B130,'декабрь 2024'!$J$5:$J$2311,M$1)</f>
        <v>0</v>
      </c>
      <c r="N130" s="80">
        <f>SUMIFS('декабрь 2024'!$G$5:$G$2311,'декабрь 2024'!$D$5:$D$2311,$B130,'декабрь 2024'!$J$5:$J$2311,N$1)</f>
        <v>0</v>
      </c>
      <c r="O130" s="80">
        <f>SUMIFS('декабрь 2024'!$G$5:$G$2311,'декабрь 2024'!$D$5:$D$2311,$B130,'декабрь 2024'!$J$5:$J$2311,O$1)</f>
        <v>0</v>
      </c>
      <c r="P130" s="80">
        <f>SUMIFS('декабрь 2024'!$G$5:$G$2311,'декабрь 2024'!$D$5:$D$2311,$B130,'декабрь 2024'!$J$5:$J$2311,P$1)</f>
        <v>0</v>
      </c>
      <c r="Q130" s="80">
        <f>SUMIFS('декабрь 2024'!$G$5:$G$2311,'декабрь 2024'!$D$5:$D$2311,$B130,'декабрь 2024'!$J$5:$J$2311,Q$1)</f>
        <v>0</v>
      </c>
      <c r="R130" s="80">
        <f>SUMIFS('декабрь 2024'!$G$5:$G$2311,'декабрь 2024'!$D$5:$D$2311,$B130,'декабрь 2024'!$J$5:$J$2311,R$1)</f>
        <v>0</v>
      </c>
      <c r="S130" s="80">
        <f>SUMIFS('декабрь 2024'!$G$5:$G$2311,'декабрь 2024'!$D$5:$D$2311,$B130,'декабрь 2024'!$J$5:$J$2311,S$1)</f>
        <v>0</v>
      </c>
      <c r="T130" s="80">
        <f>SUMIFS('декабрь 2024'!$G$5:$G$2311,'декабрь 2024'!$D$5:$D$2311,$B130,'декабрь 2024'!$J$5:$J$2311,T$1)</f>
        <v>0</v>
      </c>
      <c r="U130" s="80">
        <f>SUMIFS('декабрь 2024'!$G$5:$G$2311,'декабрь 2024'!$D$5:$D$2311,$B130,'декабрь 2024'!$J$5:$J$2311,U$1)</f>
        <v>0</v>
      </c>
      <c r="V130" s="80">
        <f>SUMIFS('декабрь 2024'!$G$5:$G$2311,'декабрь 2024'!$D$5:$D$2311,$B130,'декабрь 2024'!$J$5:$J$2311,V$1)</f>
        <v>0</v>
      </c>
      <c r="W130" s="80">
        <f>SUMIFS('декабрь 2024'!$G$5:$G$2311,'декабрь 2024'!$D$5:$D$2311,$B130,'декабрь 2024'!$J$5:$J$2311,W$1)</f>
        <v>0</v>
      </c>
      <c r="X130" s="80">
        <f>SUMIFS('декабрь 2024'!$G$5:$G$2311,'декабрь 2024'!$D$5:$D$2311,$B130,'декабрь 2024'!$J$5:$J$2311,X$1)</f>
        <v>0</v>
      </c>
      <c r="Y130" s="80">
        <f>SUMIFS('декабрь 2024'!$G$5:$G$2311,'декабрь 2024'!$D$5:$D$2311,$B130,'декабрь 2024'!$J$5:$J$2311,Y$1)</f>
        <v>0</v>
      </c>
      <c r="Z130" s="80">
        <f>SUMIFS('декабрь 2024'!$G$5:$G$2311,'декабрь 2024'!$D$5:$D$2311,$B130,'декабрь 2024'!$J$5:$J$2311,Z$1)</f>
        <v>0</v>
      </c>
      <c r="AA130" s="80">
        <f>SUMIFS('декабрь 2024'!$G$5:$G$2311,'декабрь 2024'!$D$5:$D$2311,$B130,'декабрь 2024'!$J$5:$J$2311,AA$1)</f>
        <v>0</v>
      </c>
      <c r="AB130" s="80">
        <f>SUMIFS('декабрь 2024'!$G$5:$G$2311,'декабрь 2024'!$D$5:$D$2311,$B130,'декабрь 2024'!$J$5:$J$2311,AB$1)</f>
        <v>0</v>
      </c>
      <c r="AC130" s="80">
        <f>SUMIFS('декабрь 2024'!$G$5:$G$2311,'декабрь 2024'!$D$5:$D$2311,$B130,'декабрь 2024'!$J$5:$J$2311,AC$1)</f>
        <v>0</v>
      </c>
      <c r="AD130" s="80">
        <f>SUMIFS('декабрь 2024'!$G$5:$G$2311,'декабрь 2024'!$D$5:$D$2311,$B130,'декабрь 2024'!$J$5:$J$2311,AD$1)</f>
        <v>0</v>
      </c>
      <c r="AE130" s="80">
        <f>SUMIFS('декабрь 2024'!$G$5:$G$2311,'декабрь 2024'!$D$5:$D$2311,$B130,'декабрь 2024'!$J$5:$J$2311,AE$1)</f>
        <v>0</v>
      </c>
      <c r="AF130" s="80">
        <f>SUMIFS('декабрь 2024'!$G$5:$G$2311,'декабрь 2024'!$D$5:$D$2311,$B130,'декабрь 2024'!$J$5:$J$2311,AF$1)</f>
        <v>0</v>
      </c>
      <c r="AG130" s="80">
        <f>SUMIFS('декабрь 2024'!$G$5:$G$2311,'декабрь 2024'!$D$5:$D$2311,$B130,'декабрь 2024'!$J$5:$J$2311,AG$1)</f>
        <v>0</v>
      </c>
      <c r="AH130" s="80">
        <f>SUMIFS('декабрь 2024'!$G$5:$G$2311,'декабрь 2024'!$D$5:$D$2311,$B130,'декабрь 2024'!$J$5:$J$2311,AH$1)</f>
        <v>0</v>
      </c>
      <c r="AI130" s="21">
        <f t="shared" si="1"/>
        <v>0</v>
      </c>
    </row>
    <row r="131" spans="2:35" ht="15" customHeight="1" x14ac:dyDescent="0.25">
      <c r="B131" s="89" t="s">
        <v>760</v>
      </c>
      <c r="C131" s="91">
        <v>190</v>
      </c>
      <c r="D131" s="80">
        <f>SUMIFS('декабрь 2024'!$G$5:$G$2311,'декабрь 2024'!$D$5:$D$2311,$B131,'декабрь 2024'!$J$5:$J$2311,D$1)</f>
        <v>0</v>
      </c>
      <c r="E131" s="80">
        <f>SUMIFS('декабрь 2024'!$G$5:$G$2311,'декабрь 2024'!$D$5:$D$2311,$B131,'декабрь 2024'!$J$5:$J$2311,E$1)</f>
        <v>0</v>
      </c>
      <c r="F131" s="80">
        <f>SUMIFS('декабрь 2024'!$G$5:$G$2311,'декабрь 2024'!$D$5:$D$2311,$B131,'декабрь 2024'!$J$5:$J$2311,F$1)</f>
        <v>0</v>
      </c>
      <c r="G131" s="80">
        <f>SUMIFS('декабрь 2024'!$G$5:$G$2311,'декабрь 2024'!$D$5:$D$2311,$B131,'декабрь 2024'!$J$5:$J$2311,G$1)</f>
        <v>0</v>
      </c>
      <c r="H131" s="80">
        <f>SUMIFS('декабрь 2024'!$G$5:$G$2311,'декабрь 2024'!$D$5:$D$2311,$B131,'декабрь 2024'!$J$5:$J$2311,H$1)</f>
        <v>0</v>
      </c>
      <c r="I131" s="80">
        <f>SUMIFS('декабрь 2024'!$G$5:$G$2311,'декабрь 2024'!$D$5:$D$2311,$B131,'декабрь 2024'!$J$5:$J$2311,I$1)</f>
        <v>0</v>
      </c>
      <c r="J131" s="80">
        <f>SUMIFS('декабрь 2024'!$G$5:$G$2311,'декабрь 2024'!$D$5:$D$2311,$B131,'декабрь 2024'!$J$5:$J$2311,J$1)</f>
        <v>0</v>
      </c>
      <c r="K131" s="80">
        <f>SUMIFS('декабрь 2024'!$G$5:$G$2311,'декабрь 2024'!$D$5:$D$2311,$B131,'декабрь 2024'!$J$5:$J$2311,K$1)</f>
        <v>0</v>
      </c>
      <c r="L131" s="80">
        <f>SUMIFS('декабрь 2024'!$G$5:$G$2311,'декабрь 2024'!$D$5:$D$2311,$B131,'декабрь 2024'!$J$5:$J$2311,L$1)</f>
        <v>0</v>
      </c>
      <c r="M131" s="80">
        <f>SUMIFS('декабрь 2024'!$G$5:$G$2311,'декабрь 2024'!$D$5:$D$2311,$B131,'декабрь 2024'!$J$5:$J$2311,M$1)</f>
        <v>0</v>
      </c>
      <c r="N131" s="80">
        <f>SUMIFS('декабрь 2024'!$G$5:$G$2311,'декабрь 2024'!$D$5:$D$2311,$B131,'декабрь 2024'!$J$5:$J$2311,N$1)</f>
        <v>0</v>
      </c>
      <c r="O131" s="80">
        <f>SUMIFS('декабрь 2024'!$G$5:$G$2311,'декабрь 2024'!$D$5:$D$2311,$B131,'декабрь 2024'!$J$5:$J$2311,O$1)</f>
        <v>0</v>
      </c>
      <c r="P131" s="80">
        <f>SUMIFS('декабрь 2024'!$G$5:$G$2311,'декабрь 2024'!$D$5:$D$2311,$B131,'декабрь 2024'!$J$5:$J$2311,P$1)</f>
        <v>0</v>
      </c>
      <c r="Q131" s="80">
        <f>SUMIFS('декабрь 2024'!$G$5:$G$2311,'декабрь 2024'!$D$5:$D$2311,$B131,'декабрь 2024'!$J$5:$J$2311,Q$1)</f>
        <v>0</v>
      </c>
      <c r="R131" s="80">
        <f>SUMIFS('декабрь 2024'!$G$5:$G$2311,'декабрь 2024'!$D$5:$D$2311,$B131,'декабрь 2024'!$J$5:$J$2311,R$1)</f>
        <v>0</v>
      </c>
      <c r="S131" s="80">
        <f>SUMIFS('декабрь 2024'!$G$5:$G$2311,'декабрь 2024'!$D$5:$D$2311,$B131,'декабрь 2024'!$J$5:$J$2311,S$1)</f>
        <v>0</v>
      </c>
      <c r="T131" s="80">
        <f>SUMIFS('декабрь 2024'!$G$5:$G$2311,'декабрь 2024'!$D$5:$D$2311,$B131,'декабрь 2024'!$J$5:$J$2311,T$1)</f>
        <v>0</v>
      </c>
      <c r="U131" s="80">
        <f>SUMIFS('декабрь 2024'!$G$5:$G$2311,'декабрь 2024'!$D$5:$D$2311,$B131,'декабрь 2024'!$J$5:$J$2311,U$1)</f>
        <v>0</v>
      </c>
      <c r="V131" s="80">
        <f>SUMIFS('декабрь 2024'!$G$5:$G$2311,'декабрь 2024'!$D$5:$D$2311,$B131,'декабрь 2024'!$J$5:$J$2311,V$1)</f>
        <v>0</v>
      </c>
      <c r="W131" s="80">
        <f>SUMIFS('декабрь 2024'!$G$5:$G$2311,'декабрь 2024'!$D$5:$D$2311,$B131,'декабрь 2024'!$J$5:$J$2311,W$1)</f>
        <v>0</v>
      </c>
      <c r="X131" s="80">
        <f>SUMIFS('декабрь 2024'!$G$5:$G$2311,'декабрь 2024'!$D$5:$D$2311,$B131,'декабрь 2024'!$J$5:$J$2311,X$1)</f>
        <v>0</v>
      </c>
      <c r="Y131" s="80">
        <f>SUMIFS('декабрь 2024'!$G$5:$G$2311,'декабрь 2024'!$D$5:$D$2311,$B131,'декабрь 2024'!$J$5:$J$2311,Y$1)</f>
        <v>0</v>
      </c>
      <c r="Z131" s="80">
        <f>SUMIFS('декабрь 2024'!$G$5:$G$2311,'декабрь 2024'!$D$5:$D$2311,$B131,'декабрь 2024'!$J$5:$J$2311,Z$1)</f>
        <v>0</v>
      </c>
      <c r="AA131" s="80">
        <f>SUMIFS('декабрь 2024'!$G$5:$G$2311,'декабрь 2024'!$D$5:$D$2311,$B131,'декабрь 2024'!$J$5:$J$2311,AA$1)</f>
        <v>0</v>
      </c>
      <c r="AB131" s="80">
        <f>SUMIFS('декабрь 2024'!$G$5:$G$2311,'декабрь 2024'!$D$5:$D$2311,$B131,'декабрь 2024'!$J$5:$J$2311,AB$1)</f>
        <v>0</v>
      </c>
      <c r="AC131" s="80">
        <f>SUMIFS('декабрь 2024'!$G$5:$G$2311,'декабрь 2024'!$D$5:$D$2311,$B131,'декабрь 2024'!$J$5:$J$2311,AC$1)</f>
        <v>0</v>
      </c>
      <c r="AD131" s="80">
        <f>SUMIFS('декабрь 2024'!$G$5:$G$2311,'декабрь 2024'!$D$5:$D$2311,$B131,'декабрь 2024'!$J$5:$J$2311,AD$1)</f>
        <v>0</v>
      </c>
      <c r="AE131" s="80">
        <f>SUMIFS('декабрь 2024'!$G$5:$G$2311,'декабрь 2024'!$D$5:$D$2311,$B131,'декабрь 2024'!$J$5:$J$2311,AE$1)</f>
        <v>0</v>
      </c>
      <c r="AF131" s="80">
        <f>SUMIFS('декабрь 2024'!$G$5:$G$2311,'декабрь 2024'!$D$5:$D$2311,$B131,'декабрь 2024'!$J$5:$J$2311,AF$1)</f>
        <v>0</v>
      </c>
      <c r="AG131" s="80">
        <f>SUMIFS('декабрь 2024'!$G$5:$G$2311,'декабрь 2024'!$D$5:$D$2311,$B131,'декабрь 2024'!$J$5:$J$2311,AG$1)</f>
        <v>0</v>
      </c>
      <c r="AH131" s="80">
        <f>SUMIFS('декабрь 2024'!$G$5:$G$2311,'декабрь 2024'!$D$5:$D$2311,$B131,'декабрь 2024'!$J$5:$J$2311,AH$1)</f>
        <v>0</v>
      </c>
      <c r="AI131" s="21">
        <f t="shared" si="1"/>
        <v>0</v>
      </c>
    </row>
    <row r="132" spans="2:35" ht="15" customHeight="1" x14ac:dyDescent="0.25">
      <c r="B132" s="89" t="s">
        <v>333</v>
      </c>
      <c r="C132" s="91">
        <v>200</v>
      </c>
      <c r="D132" s="80">
        <f>SUMIFS('декабрь 2024'!$G$5:$G$2311,'декабрь 2024'!$D$5:$D$2311,$B132,'декабрь 2024'!$J$5:$J$2311,D$1)</f>
        <v>0</v>
      </c>
      <c r="E132" s="80">
        <f>SUMIFS('декабрь 2024'!$G$5:$G$2311,'декабрь 2024'!$D$5:$D$2311,$B132,'декабрь 2024'!$J$5:$J$2311,E$1)</f>
        <v>0</v>
      </c>
      <c r="F132" s="80">
        <f>SUMIFS('декабрь 2024'!$G$5:$G$2311,'декабрь 2024'!$D$5:$D$2311,$B132,'декабрь 2024'!$J$5:$J$2311,F$1)</f>
        <v>0</v>
      </c>
      <c r="G132" s="80">
        <f>SUMIFS('декабрь 2024'!$G$5:$G$2311,'декабрь 2024'!$D$5:$D$2311,$B132,'декабрь 2024'!$J$5:$J$2311,G$1)</f>
        <v>0</v>
      </c>
      <c r="H132" s="80">
        <f>SUMIFS('декабрь 2024'!$G$5:$G$2311,'декабрь 2024'!$D$5:$D$2311,$B132,'декабрь 2024'!$J$5:$J$2311,H$1)</f>
        <v>0</v>
      </c>
      <c r="I132" s="80">
        <f>SUMIFS('декабрь 2024'!$G$5:$G$2311,'декабрь 2024'!$D$5:$D$2311,$B132,'декабрь 2024'!$J$5:$J$2311,I$1)</f>
        <v>0</v>
      </c>
      <c r="J132" s="80">
        <f>SUMIFS('декабрь 2024'!$G$5:$G$2311,'декабрь 2024'!$D$5:$D$2311,$B132,'декабрь 2024'!$J$5:$J$2311,J$1)</f>
        <v>0</v>
      </c>
      <c r="K132" s="80">
        <f>SUMIFS('декабрь 2024'!$G$5:$G$2311,'декабрь 2024'!$D$5:$D$2311,$B132,'декабрь 2024'!$J$5:$J$2311,K$1)</f>
        <v>0</v>
      </c>
      <c r="L132" s="80">
        <f>SUMIFS('декабрь 2024'!$G$5:$G$2311,'декабрь 2024'!$D$5:$D$2311,$B132,'декабрь 2024'!$J$5:$J$2311,L$1)</f>
        <v>0</v>
      </c>
      <c r="M132" s="80">
        <f>SUMIFS('декабрь 2024'!$G$5:$G$2311,'декабрь 2024'!$D$5:$D$2311,$B132,'декабрь 2024'!$J$5:$J$2311,M$1)</f>
        <v>0</v>
      </c>
      <c r="N132" s="80">
        <f>SUMIFS('декабрь 2024'!$G$5:$G$2311,'декабрь 2024'!$D$5:$D$2311,$B132,'декабрь 2024'!$J$5:$J$2311,N$1)</f>
        <v>0</v>
      </c>
      <c r="O132" s="80">
        <f>SUMIFS('декабрь 2024'!$G$5:$G$2311,'декабрь 2024'!$D$5:$D$2311,$B132,'декабрь 2024'!$J$5:$J$2311,O$1)</f>
        <v>0</v>
      </c>
      <c r="P132" s="80">
        <f>SUMIFS('декабрь 2024'!$G$5:$G$2311,'декабрь 2024'!$D$5:$D$2311,$B132,'декабрь 2024'!$J$5:$J$2311,P$1)</f>
        <v>0</v>
      </c>
      <c r="Q132" s="80">
        <f>SUMIFS('декабрь 2024'!$G$5:$G$2311,'декабрь 2024'!$D$5:$D$2311,$B132,'декабрь 2024'!$J$5:$J$2311,Q$1)</f>
        <v>0</v>
      </c>
      <c r="R132" s="80">
        <f>SUMIFS('декабрь 2024'!$G$5:$G$2311,'декабрь 2024'!$D$5:$D$2311,$B132,'декабрь 2024'!$J$5:$J$2311,R$1)</f>
        <v>0</v>
      </c>
      <c r="S132" s="80">
        <f>SUMIFS('декабрь 2024'!$G$5:$G$2311,'декабрь 2024'!$D$5:$D$2311,$B132,'декабрь 2024'!$J$5:$J$2311,S$1)</f>
        <v>0</v>
      </c>
      <c r="T132" s="80">
        <f>SUMIFS('декабрь 2024'!$G$5:$G$2311,'декабрь 2024'!$D$5:$D$2311,$B132,'декабрь 2024'!$J$5:$J$2311,T$1)</f>
        <v>0</v>
      </c>
      <c r="U132" s="80">
        <f>SUMIFS('декабрь 2024'!$G$5:$G$2311,'декабрь 2024'!$D$5:$D$2311,$B132,'декабрь 2024'!$J$5:$J$2311,U$1)</f>
        <v>0</v>
      </c>
      <c r="V132" s="80">
        <f>SUMIFS('декабрь 2024'!$G$5:$G$2311,'декабрь 2024'!$D$5:$D$2311,$B132,'декабрь 2024'!$J$5:$J$2311,V$1)</f>
        <v>0</v>
      </c>
      <c r="W132" s="80">
        <f>SUMIFS('декабрь 2024'!$G$5:$G$2311,'декабрь 2024'!$D$5:$D$2311,$B132,'декабрь 2024'!$J$5:$J$2311,W$1)</f>
        <v>0</v>
      </c>
      <c r="X132" s="80">
        <f>SUMIFS('декабрь 2024'!$G$5:$G$2311,'декабрь 2024'!$D$5:$D$2311,$B132,'декабрь 2024'!$J$5:$J$2311,X$1)</f>
        <v>0</v>
      </c>
      <c r="Y132" s="80">
        <f>SUMIFS('декабрь 2024'!$G$5:$G$2311,'декабрь 2024'!$D$5:$D$2311,$B132,'декабрь 2024'!$J$5:$J$2311,Y$1)</f>
        <v>0</v>
      </c>
      <c r="Z132" s="80">
        <f>SUMIFS('декабрь 2024'!$G$5:$G$2311,'декабрь 2024'!$D$5:$D$2311,$B132,'декабрь 2024'!$J$5:$J$2311,Z$1)</f>
        <v>0</v>
      </c>
      <c r="AA132" s="80">
        <f>SUMIFS('декабрь 2024'!$G$5:$G$2311,'декабрь 2024'!$D$5:$D$2311,$B132,'декабрь 2024'!$J$5:$J$2311,AA$1)</f>
        <v>0</v>
      </c>
      <c r="AB132" s="80">
        <f>SUMIFS('декабрь 2024'!$G$5:$G$2311,'декабрь 2024'!$D$5:$D$2311,$B132,'декабрь 2024'!$J$5:$J$2311,AB$1)</f>
        <v>0</v>
      </c>
      <c r="AC132" s="80">
        <f>SUMIFS('декабрь 2024'!$G$5:$G$2311,'декабрь 2024'!$D$5:$D$2311,$B132,'декабрь 2024'!$J$5:$J$2311,AC$1)</f>
        <v>0</v>
      </c>
      <c r="AD132" s="80">
        <f>SUMIFS('декабрь 2024'!$G$5:$G$2311,'декабрь 2024'!$D$5:$D$2311,$B132,'декабрь 2024'!$J$5:$J$2311,AD$1)</f>
        <v>0</v>
      </c>
      <c r="AE132" s="80">
        <f>SUMIFS('декабрь 2024'!$G$5:$G$2311,'декабрь 2024'!$D$5:$D$2311,$B132,'декабрь 2024'!$J$5:$J$2311,AE$1)</f>
        <v>0</v>
      </c>
      <c r="AF132" s="80">
        <f>SUMIFS('декабрь 2024'!$G$5:$G$2311,'декабрь 2024'!$D$5:$D$2311,$B132,'декабрь 2024'!$J$5:$J$2311,AF$1)</f>
        <v>0</v>
      </c>
      <c r="AG132" s="80">
        <f>SUMIFS('декабрь 2024'!$G$5:$G$2311,'декабрь 2024'!$D$5:$D$2311,$B132,'декабрь 2024'!$J$5:$J$2311,AG$1)</f>
        <v>0</v>
      </c>
      <c r="AH132" s="80">
        <f>SUMIFS('декабрь 2024'!$G$5:$G$2311,'декабрь 2024'!$D$5:$D$2311,$B132,'декабрь 2024'!$J$5:$J$2311,AH$1)</f>
        <v>0</v>
      </c>
      <c r="AI132" s="21">
        <f t="shared" si="1"/>
        <v>0</v>
      </c>
    </row>
    <row r="133" spans="2:35" ht="15" customHeight="1" x14ac:dyDescent="0.25">
      <c r="B133" s="89" t="s">
        <v>343</v>
      </c>
      <c r="C133" s="91">
        <v>200</v>
      </c>
      <c r="D133" s="80">
        <f>SUMIFS('декабрь 2024'!$G$5:$G$2311,'декабрь 2024'!$D$5:$D$2311,$B133,'декабрь 2024'!$J$5:$J$2311,D$1)</f>
        <v>0</v>
      </c>
      <c r="E133" s="80">
        <f>SUMIFS('декабрь 2024'!$G$5:$G$2311,'декабрь 2024'!$D$5:$D$2311,$B133,'декабрь 2024'!$J$5:$J$2311,E$1)</f>
        <v>0</v>
      </c>
      <c r="F133" s="80">
        <f>SUMIFS('декабрь 2024'!$G$5:$G$2311,'декабрь 2024'!$D$5:$D$2311,$B133,'декабрь 2024'!$J$5:$J$2311,F$1)</f>
        <v>0</v>
      </c>
      <c r="G133" s="80">
        <f>SUMIFS('декабрь 2024'!$G$5:$G$2311,'декабрь 2024'!$D$5:$D$2311,$B133,'декабрь 2024'!$J$5:$J$2311,G$1)</f>
        <v>0</v>
      </c>
      <c r="H133" s="80">
        <f>SUMIFS('декабрь 2024'!$G$5:$G$2311,'декабрь 2024'!$D$5:$D$2311,$B133,'декабрь 2024'!$J$5:$J$2311,H$1)</f>
        <v>0</v>
      </c>
      <c r="I133" s="80">
        <f>SUMIFS('декабрь 2024'!$G$5:$G$2311,'декабрь 2024'!$D$5:$D$2311,$B133,'декабрь 2024'!$J$5:$J$2311,I$1)</f>
        <v>0</v>
      </c>
      <c r="J133" s="80">
        <f>SUMIFS('декабрь 2024'!$G$5:$G$2311,'декабрь 2024'!$D$5:$D$2311,$B133,'декабрь 2024'!$J$5:$J$2311,J$1)</f>
        <v>0</v>
      </c>
      <c r="K133" s="80">
        <f>SUMIFS('декабрь 2024'!$G$5:$G$2311,'декабрь 2024'!$D$5:$D$2311,$B133,'декабрь 2024'!$J$5:$J$2311,K$1)</f>
        <v>0</v>
      </c>
      <c r="L133" s="80">
        <f>SUMIFS('декабрь 2024'!$G$5:$G$2311,'декабрь 2024'!$D$5:$D$2311,$B133,'декабрь 2024'!$J$5:$J$2311,L$1)</f>
        <v>0</v>
      </c>
      <c r="M133" s="80">
        <f>SUMIFS('декабрь 2024'!$G$5:$G$2311,'декабрь 2024'!$D$5:$D$2311,$B133,'декабрь 2024'!$J$5:$J$2311,M$1)</f>
        <v>0</v>
      </c>
      <c r="N133" s="80">
        <f>SUMIFS('декабрь 2024'!$G$5:$G$2311,'декабрь 2024'!$D$5:$D$2311,$B133,'декабрь 2024'!$J$5:$J$2311,N$1)</f>
        <v>0</v>
      </c>
      <c r="O133" s="80">
        <f>SUMIFS('декабрь 2024'!$G$5:$G$2311,'декабрь 2024'!$D$5:$D$2311,$B133,'декабрь 2024'!$J$5:$J$2311,O$1)</f>
        <v>0</v>
      </c>
      <c r="P133" s="80">
        <f>SUMIFS('декабрь 2024'!$G$5:$G$2311,'декабрь 2024'!$D$5:$D$2311,$B133,'декабрь 2024'!$J$5:$J$2311,P$1)</f>
        <v>0</v>
      </c>
      <c r="Q133" s="80">
        <f>SUMIFS('декабрь 2024'!$G$5:$G$2311,'декабрь 2024'!$D$5:$D$2311,$B133,'декабрь 2024'!$J$5:$J$2311,Q$1)</f>
        <v>0</v>
      </c>
      <c r="R133" s="80">
        <f>SUMIFS('декабрь 2024'!$G$5:$G$2311,'декабрь 2024'!$D$5:$D$2311,$B133,'декабрь 2024'!$J$5:$J$2311,R$1)</f>
        <v>0</v>
      </c>
      <c r="S133" s="80">
        <f>SUMIFS('декабрь 2024'!$G$5:$G$2311,'декабрь 2024'!$D$5:$D$2311,$B133,'декабрь 2024'!$J$5:$J$2311,S$1)</f>
        <v>0</v>
      </c>
      <c r="T133" s="80">
        <f>SUMIFS('декабрь 2024'!$G$5:$G$2311,'декабрь 2024'!$D$5:$D$2311,$B133,'декабрь 2024'!$J$5:$J$2311,T$1)</f>
        <v>0</v>
      </c>
      <c r="U133" s="80">
        <f>SUMIFS('декабрь 2024'!$G$5:$G$2311,'декабрь 2024'!$D$5:$D$2311,$B133,'декабрь 2024'!$J$5:$J$2311,U$1)</f>
        <v>0</v>
      </c>
      <c r="V133" s="80">
        <f>SUMIFS('декабрь 2024'!$G$5:$G$2311,'декабрь 2024'!$D$5:$D$2311,$B133,'декабрь 2024'!$J$5:$J$2311,V$1)</f>
        <v>0</v>
      </c>
      <c r="W133" s="80">
        <f>SUMIFS('декабрь 2024'!$G$5:$G$2311,'декабрь 2024'!$D$5:$D$2311,$B133,'декабрь 2024'!$J$5:$J$2311,W$1)</f>
        <v>0</v>
      </c>
      <c r="X133" s="80">
        <f>SUMIFS('декабрь 2024'!$G$5:$G$2311,'декабрь 2024'!$D$5:$D$2311,$B133,'декабрь 2024'!$J$5:$J$2311,X$1)</f>
        <v>0</v>
      </c>
      <c r="Y133" s="80">
        <f>SUMIFS('декабрь 2024'!$G$5:$G$2311,'декабрь 2024'!$D$5:$D$2311,$B133,'декабрь 2024'!$J$5:$J$2311,Y$1)</f>
        <v>0</v>
      </c>
      <c r="Z133" s="80">
        <f>SUMIFS('декабрь 2024'!$G$5:$G$2311,'декабрь 2024'!$D$5:$D$2311,$B133,'декабрь 2024'!$J$5:$J$2311,Z$1)</f>
        <v>0</v>
      </c>
      <c r="AA133" s="80">
        <f>SUMIFS('декабрь 2024'!$G$5:$G$2311,'декабрь 2024'!$D$5:$D$2311,$B133,'декабрь 2024'!$J$5:$J$2311,AA$1)</f>
        <v>0</v>
      </c>
      <c r="AB133" s="80">
        <f>SUMIFS('декабрь 2024'!$G$5:$G$2311,'декабрь 2024'!$D$5:$D$2311,$B133,'декабрь 2024'!$J$5:$J$2311,AB$1)</f>
        <v>0</v>
      </c>
      <c r="AC133" s="80">
        <f>SUMIFS('декабрь 2024'!$G$5:$G$2311,'декабрь 2024'!$D$5:$D$2311,$B133,'декабрь 2024'!$J$5:$J$2311,AC$1)</f>
        <v>0</v>
      </c>
      <c r="AD133" s="80">
        <f>SUMIFS('декабрь 2024'!$G$5:$G$2311,'декабрь 2024'!$D$5:$D$2311,$B133,'декабрь 2024'!$J$5:$J$2311,AD$1)</f>
        <v>0</v>
      </c>
      <c r="AE133" s="80">
        <f>SUMIFS('декабрь 2024'!$G$5:$G$2311,'декабрь 2024'!$D$5:$D$2311,$B133,'декабрь 2024'!$J$5:$J$2311,AE$1)</f>
        <v>0</v>
      </c>
      <c r="AF133" s="80">
        <f>SUMIFS('декабрь 2024'!$G$5:$G$2311,'декабрь 2024'!$D$5:$D$2311,$B133,'декабрь 2024'!$J$5:$J$2311,AF$1)</f>
        <v>0</v>
      </c>
      <c r="AG133" s="80">
        <f>SUMIFS('декабрь 2024'!$G$5:$G$2311,'декабрь 2024'!$D$5:$D$2311,$B133,'декабрь 2024'!$J$5:$J$2311,AG$1)</f>
        <v>0</v>
      </c>
      <c r="AH133" s="80">
        <f>SUMIFS('декабрь 2024'!$G$5:$G$2311,'декабрь 2024'!$D$5:$D$2311,$B133,'декабрь 2024'!$J$5:$J$2311,AH$1)</f>
        <v>0</v>
      </c>
      <c r="AI133" s="21">
        <f t="shared" si="1"/>
        <v>0</v>
      </c>
    </row>
    <row r="134" spans="2:35" ht="15" customHeight="1" x14ac:dyDescent="0.25">
      <c r="B134" s="89" t="s">
        <v>207</v>
      </c>
      <c r="C134" s="91">
        <v>180</v>
      </c>
      <c r="D134" s="80">
        <f>SUMIFS('декабрь 2024'!$G$5:$G$2311,'декабрь 2024'!$D$5:$D$2311,$B134,'декабрь 2024'!$J$5:$J$2311,D$1)</f>
        <v>0</v>
      </c>
      <c r="E134" s="80">
        <f>SUMIFS('декабрь 2024'!$G$5:$G$2311,'декабрь 2024'!$D$5:$D$2311,$B134,'декабрь 2024'!$J$5:$J$2311,E$1)</f>
        <v>0</v>
      </c>
      <c r="F134" s="80">
        <f>SUMIFS('декабрь 2024'!$G$5:$G$2311,'декабрь 2024'!$D$5:$D$2311,$B134,'декабрь 2024'!$J$5:$J$2311,F$1)</f>
        <v>0</v>
      </c>
      <c r="G134" s="80">
        <f>SUMIFS('декабрь 2024'!$G$5:$G$2311,'декабрь 2024'!$D$5:$D$2311,$B134,'декабрь 2024'!$J$5:$J$2311,G$1)</f>
        <v>0</v>
      </c>
      <c r="H134" s="80">
        <f>SUMIFS('декабрь 2024'!$G$5:$G$2311,'декабрь 2024'!$D$5:$D$2311,$B134,'декабрь 2024'!$J$5:$J$2311,H$1)</f>
        <v>0</v>
      </c>
      <c r="I134" s="80">
        <f>SUMIFS('декабрь 2024'!$G$5:$G$2311,'декабрь 2024'!$D$5:$D$2311,$B134,'декабрь 2024'!$J$5:$J$2311,I$1)</f>
        <v>0</v>
      </c>
      <c r="J134" s="80">
        <f>SUMIFS('декабрь 2024'!$G$5:$G$2311,'декабрь 2024'!$D$5:$D$2311,$B134,'декабрь 2024'!$J$5:$J$2311,J$1)</f>
        <v>0</v>
      </c>
      <c r="K134" s="80">
        <f>SUMIFS('декабрь 2024'!$G$5:$G$2311,'декабрь 2024'!$D$5:$D$2311,$B134,'декабрь 2024'!$J$5:$J$2311,K$1)</f>
        <v>0</v>
      </c>
      <c r="L134" s="80">
        <f>SUMIFS('декабрь 2024'!$G$5:$G$2311,'декабрь 2024'!$D$5:$D$2311,$B134,'декабрь 2024'!$J$5:$J$2311,L$1)</f>
        <v>0</v>
      </c>
      <c r="M134" s="80">
        <f>SUMIFS('декабрь 2024'!$G$5:$G$2311,'декабрь 2024'!$D$5:$D$2311,$B134,'декабрь 2024'!$J$5:$J$2311,M$1)</f>
        <v>0</v>
      </c>
      <c r="N134" s="80">
        <f>SUMIFS('декабрь 2024'!$G$5:$G$2311,'декабрь 2024'!$D$5:$D$2311,$B134,'декабрь 2024'!$J$5:$J$2311,N$1)</f>
        <v>0</v>
      </c>
      <c r="O134" s="80">
        <f>SUMIFS('декабрь 2024'!$G$5:$G$2311,'декабрь 2024'!$D$5:$D$2311,$B134,'декабрь 2024'!$J$5:$J$2311,O$1)</f>
        <v>0</v>
      </c>
      <c r="P134" s="80">
        <f>SUMIFS('декабрь 2024'!$G$5:$G$2311,'декабрь 2024'!$D$5:$D$2311,$B134,'декабрь 2024'!$J$5:$J$2311,P$1)</f>
        <v>0</v>
      </c>
      <c r="Q134" s="80">
        <f>SUMIFS('декабрь 2024'!$G$5:$G$2311,'декабрь 2024'!$D$5:$D$2311,$B134,'декабрь 2024'!$J$5:$J$2311,Q$1)</f>
        <v>0</v>
      </c>
      <c r="R134" s="80">
        <f>SUMIFS('декабрь 2024'!$G$5:$G$2311,'декабрь 2024'!$D$5:$D$2311,$B134,'декабрь 2024'!$J$5:$J$2311,R$1)</f>
        <v>0</v>
      </c>
      <c r="S134" s="80">
        <f>SUMIFS('декабрь 2024'!$G$5:$G$2311,'декабрь 2024'!$D$5:$D$2311,$B134,'декабрь 2024'!$J$5:$J$2311,S$1)</f>
        <v>0</v>
      </c>
      <c r="T134" s="80">
        <f>SUMIFS('декабрь 2024'!$G$5:$G$2311,'декабрь 2024'!$D$5:$D$2311,$B134,'декабрь 2024'!$J$5:$J$2311,T$1)</f>
        <v>0</v>
      </c>
      <c r="U134" s="80">
        <f>SUMIFS('декабрь 2024'!$G$5:$G$2311,'декабрь 2024'!$D$5:$D$2311,$B134,'декабрь 2024'!$J$5:$J$2311,U$1)</f>
        <v>0</v>
      </c>
      <c r="V134" s="80">
        <f>SUMIFS('декабрь 2024'!$G$5:$G$2311,'декабрь 2024'!$D$5:$D$2311,$B134,'декабрь 2024'!$J$5:$J$2311,V$1)</f>
        <v>0</v>
      </c>
      <c r="W134" s="80">
        <f>SUMIFS('декабрь 2024'!$G$5:$G$2311,'декабрь 2024'!$D$5:$D$2311,$B134,'декабрь 2024'!$J$5:$J$2311,W$1)</f>
        <v>0</v>
      </c>
      <c r="X134" s="80">
        <f>SUMIFS('декабрь 2024'!$G$5:$G$2311,'декабрь 2024'!$D$5:$D$2311,$B134,'декабрь 2024'!$J$5:$J$2311,X$1)</f>
        <v>0</v>
      </c>
      <c r="Y134" s="80">
        <f>SUMIFS('декабрь 2024'!$G$5:$G$2311,'декабрь 2024'!$D$5:$D$2311,$B134,'декабрь 2024'!$J$5:$J$2311,Y$1)</f>
        <v>0</v>
      </c>
      <c r="Z134" s="80">
        <f>SUMIFS('декабрь 2024'!$G$5:$G$2311,'декабрь 2024'!$D$5:$D$2311,$B134,'декабрь 2024'!$J$5:$J$2311,Z$1)</f>
        <v>0</v>
      </c>
      <c r="AA134" s="80">
        <f>SUMIFS('декабрь 2024'!$G$5:$G$2311,'декабрь 2024'!$D$5:$D$2311,$B134,'декабрь 2024'!$J$5:$J$2311,AA$1)</f>
        <v>0</v>
      </c>
      <c r="AB134" s="80">
        <f>SUMIFS('декабрь 2024'!$G$5:$G$2311,'декабрь 2024'!$D$5:$D$2311,$B134,'декабрь 2024'!$J$5:$J$2311,AB$1)</f>
        <v>0</v>
      </c>
      <c r="AC134" s="80">
        <f>SUMIFS('декабрь 2024'!$G$5:$G$2311,'декабрь 2024'!$D$5:$D$2311,$B134,'декабрь 2024'!$J$5:$J$2311,AC$1)</f>
        <v>0</v>
      </c>
      <c r="AD134" s="80">
        <f>SUMIFS('декабрь 2024'!$G$5:$G$2311,'декабрь 2024'!$D$5:$D$2311,$B134,'декабрь 2024'!$J$5:$J$2311,AD$1)</f>
        <v>0</v>
      </c>
      <c r="AE134" s="80">
        <f>SUMIFS('декабрь 2024'!$G$5:$G$2311,'декабрь 2024'!$D$5:$D$2311,$B134,'декабрь 2024'!$J$5:$J$2311,AE$1)</f>
        <v>0</v>
      </c>
      <c r="AF134" s="80">
        <f>SUMIFS('декабрь 2024'!$G$5:$G$2311,'декабрь 2024'!$D$5:$D$2311,$B134,'декабрь 2024'!$J$5:$J$2311,AF$1)</f>
        <v>0</v>
      </c>
      <c r="AG134" s="80">
        <f>SUMIFS('декабрь 2024'!$G$5:$G$2311,'декабрь 2024'!$D$5:$D$2311,$B134,'декабрь 2024'!$J$5:$J$2311,AG$1)</f>
        <v>0</v>
      </c>
      <c r="AH134" s="80">
        <f>SUMIFS('декабрь 2024'!$G$5:$G$2311,'декабрь 2024'!$D$5:$D$2311,$B134,'декабрь 2024'!$J$5:$J$2311,AH$1)</f>
        <v>0</v>
      </c>
      <c r="AI134" s="21">
        <f t="shared" si="1"/>
        <v>0</v>
      </c>
    </row>
    <row r="135" spans="2:35" ht="15" customHeight="1" x14ac:dyDescent="0.25">
      <c r="B135" s="93" t="s">
        <v>621</v>
      </c>
      <c r="C135" s="91">
        <v>180</v>
      </c>
      <c r="D135" s="80">
        <f>SUMIFS('декабрь 2024'!$G$5:$G$2311,'декабрь 2024'!$D$5:$D$2311,$B135,'декабрь 2024'!$J$5:$J$2311,D$1)</f>
        <v>0</v>
      </c>
      <c r="E135" s="80">
        <f>SUMIFS('декабрь 2024'!$G$5:$G$2311,'декабрь 2024'!$D$5:$D$2311,$B135,'декабрь 2024'!$J$5:$J$2311,E$1)</f>
        <v>0</v>
      </c>
      <c r="F135" s="80">
        <f>SUMIFS('декабрь 2024'!$G$5:$G$2311,'декабрь 2024'!$D$5:$D$2311,$B135,'декабрь 2024'!$J$5:$J$2311,F$1)</f>
        <v>0</v>
      </c>
      <c r="G135" s="80">
        <f>SUMIFS('декабрь 2024'!$G$5:$G$2311,'декабрь 2024'!$D$5:$D$2311,$B135,'декабрь 2024'!$J$5:$J$2311,G$1)</f>
        <v>0</v>
      </c>
      <c r="H135" s="80">
        <f>SUMIFS('декабрь 2024'!$G$5:$G$2311,'декабрь 2024'!$D$5:$D$2311,$B135,'декабрь 2024'!$J$5:$J$2311,H$1)</f>
        <v>0</v>
      </c>
      <c r="I135" s="80">
        <f>SUMIFS('декабрь 2024'!$G$5:$G$2311,'декабрь 2024'!$D$5:$D$2311,$B135,'декабрь 2024'!$J$5:$J$2311,I$1)</f>
        <v>0</v>
      </c>
      <c r="J135" s="80">
        <f>SUMIFS('декабрь 2024'!$G$5:$G$2311,'декабрь 2024'!$D$5:$D$2311,$B135,'декабрь 2024'!$J$5:$J$2311,J$1)</f>
        <v>0</v>
      </c>
      <c r="K135" s="80">
        <f>SUMIFS('декабрь 2024'!$G$5:$G$2311,'декабрь 2024'!$D$5:$D$2311,$B135,'декабрь 2024'!$J$5:$J$2311,K$1)</f>
        <v>0</v>
      </c>
      <c r="L135" s="80">
        <f>SUMIFS('декабрь 2024'!$G$5:$G$2311,'декабрь 2024'!$D$5:$D$2311,$B135,'декабрь 2024'!$J$5:$J$2311,L$1)</f>
        <v>0</v>
      </c>
      <c r="M135" s="80">
        <f>SUMIFS('декабрь 2024'!$G$5:$G$2311,'декабрь 2024'!$D$5:$D$2311,$B135,'декабрь 2024'!$J$5:$J$2311,M$1)</f>
        <v>0</v>
      </c>
      <c r="N135" s="80">
        <f>SUMIFS('декабрь 2024'!$G$5:$G$2311,'декабрь 2024'!$D$5:$D$2311,$B135,'декабрь 2024'!$J$5:$J$2311,N$1)</f>
        <v>0</v>
      </c>
      <c r="O135" s="80">
        <f>SUMIFS('декабрь 2024'!$G$5:$G$2311,'декабрь 2024'!$D$5:$D$2311,$B135,'декабрь 2024'!$J$5:$J$2311,O$1)</f>
        <v>0</v>
      </c>
      <c r="P135" s="80">
        <f>SUMIFS('декабрь 2024'!$G$5:$G$2311,'декабрь 2024'!$D$5:$D$2311,$B135,'декабрь 2024'!$J$5:$J$2311,P$1)</f>
        <v>0</v>
      </c>
      <c r="Q135" s="80">
        <f>SUMIFS('декабрь 2024'!$G$5:$G$2311,'декабрь 2024'!$D$5:$D$2311,$B135,'декабрь 2024'!$J$5:$J$2311,Q$1)</f>
        <v>0</v>
      </c>
      <c r="R135" s="80">
        <f>SUMIFS('декабрь 2024'!$G$5:$G$2311,'декабрь 2024'!$D$5:$D$2311,$B135,'декабрь 2024'!$J$5:$J$2311,R$1)</f>
        <v>0</v>
      </c>
      <c r="S135" s="80">
        <f>SUMIFS('декабрь 2024'!$G$5:$G$2311,'декабрь 2024'!$D$5:$D$2311,$B135,'декабрь 2024'!$J$5:$J$2311,S$1)</f>
        <v>0</v>
      </c>
      <c r="T135" s="80">
        <f>SUMIFS('декабрь 2024'!$G$5:$G$2311,'декабрь 2024'!$D$5:$D$2311,$B135,'декабрь 2024'!$J$5:$J$2311,T$1)</f>
        <v>0</v>
      </c>
      <c r="U135" s="80">
        <f>SUMIFS('декабрь 2024'!$G$5:$G$2311,'декабрь 2024'!$D$5:$D$2311,$B135,'декабрь 2024'!$J$5:$J$2311,U$1)</f>
        <v>0</v>
      </c>
      <c r="V135" s="80">
        <f>SUMIFS('декабрь 2024'!$G$5:$G$2311,'декабрь 2024'!$D$5:$D$2311,$B135,'декабрь 2024'!$J$5:$J$2311,V$1)</f>
        <v>0</v>
      </c>
      <c r="W135" s="80">
        <f>SUMIFS('декабрь 2024'!$G$5:$G$2311,'декабрь 2024'!$D$5:$D$2311,$B135,'декабрь 2024'!$J$5:$J$2311,W$1)</f>
        <v>0</v>
      </c>
      <c r="X135" s="80">
        <f>SUMIFS('декабрь 2024'!$G$5:$G$2311,'декабрь 2024'!$D$5:$D$2311,$B135,'декабрь 2024'!$J$5:$J$2311,X$1)</f>
        <v>0</v>
      </c>
      <c r="Y135" s="80">
        <f>SUMIFS('декабрь 2024'!$G$5:$G$2311,'декабрь 2024'!$D$5:$D$2311,$B135,'декабрь 2024'!$J$5:$J$2311,Y$1)</f>
        <v>0</v>
      </c>
      <c r="Z135" s="80">
        <f>SUMIFS('декабрь 2024'!$G$5:$G$2311,'декабрь 2024'!$D$5:$D$2311,$B135,'декабрь 2024'!$J$5:$J$2311,Z$1)</f>
        <v>0</v>
      </c>
      <c r="AA135" s="80">
        <f>SUMIFS('декабрь 2024'!$G$5:$G$2311,'декабрь 2024'!$D$5:$D$2311,$B135,'декабрь 2024'!$J$5:$J$2311,AA$1)</f>
        <v>0</v>
      </c>
      <c r="AB135" s="80">
        <f>SUMIFS('декабрь 2024'!$G$5:$G$2311,'декабрь 2024'!$D$5:$D$2311,$B135,'декабрь 2024'!$J$5:$J$2311,AB$1)</f>
        <v>0</v>
      </c>
      <c r="AC135" s="80">
        <f>SUMIFS('декабрь 2024'!$G$5:$G$2311,'декабрь 2024'!$D$5:$D$2311,$B135,'декабрь 2024'!$J$5:$J$2311,AC$1)</f>
        <v>0</v>
      </c>
      <c r="AD135" s="80">
        <f>SUMIFS('декабрь 2024'!$G$5:$G$2311,'декабрь 2024'!$D$5:$D$2311,$B135,'декабрь 2024'!$J$5:$J$2311,AD$1)</f>
        <v>0</v>
      </c>
      <c r="AE135" s="80">
        <f>SUMIFS('декабрь 2024'!$G$5:$G$2311,'декабрь 2024'!$D$5:$D$2311,$B135,'декабрь 2024'!$J$5:$J$2311,AE$1)</f>
        <v>0</v>
      </c>
      <c r="AF135" s="80">
        <f>SUMIFS('декабрь 2024'!$G$5:$G$2311,'декабрь 2024'!$D$5:$D$2311,$B135,'декабрь 2024'!$J$5:$J$2311,AF$1)</f>
        <v>0</v>
      </c>
      <c r="AG135" s="80">
        <f>SUMIFS('декабрь 2024'!$G$5:$G$2311,'декабрь 2024'!$D$5:$D$2311,$B135,'декабрь 2024'!$J$5:$J$2311,AG$1)</f>
        <v>0</v>
      </c>
      <c r="AH135" s="80">
        <f>SUMIFS('декабрь 2024'!$G$5:$G$2311,'декабрь 2024'!$D$5:$D$2311,$B135,'декабрь 2024'!$J$5:$J$2311,AH$1)</f>
        <v>0</v>
      </c>
      <c r="AI135" s="21">
        <f t="shared" si="1"/>
        <v>0</v>
      </c>
    </row>
    <row r="136" spans="2:35" ht="15" customHeight="1" x14ac:dyDescent="0.25">
      <c r="B136" s="93" t="s">
        <v>191</v>
      </c>
      <c r="C136" s="91">
        <v>190</v>
      </c>
      <c r="D136" s="80">
        <f>SUMIFS('декабрь 2024'!$G$5:$G$2311,'декабрь 2024'!$D$5:$D$2311,$B136,'декабрь 2024'!$J$5:$J$2311,D$1)</f>
        <v>0</v>
      </c>
      <c r="E136" s="80">
        <f>SUMIFS('декабрь 2024'!$G$5:$G$2311,'декабрь 2024'!$D$5:$D$2311,$B136,'декабрь 2024'!$J$5:$J$2311,E$1)</f>
        <v>0</v>
      </c>
      <c r="F136" s="80">
        <f>SUMIFS('декабрь 2024'!$G$5:$G$2311,'декабрь 2024'!$D$5:$D$2311,$B136,'декабрь 2024'!$J$5:$J$2311,F$1)</f>
        <v>0</v>
      </c>
      <c r="G136" s="80">
        <f>SUMIFS('декабрь 2024'!$G$5:$G$2311,'декабрь 2024'!$D$5:$D$2311,$B136,'декабрь 2024'!$J$5:$J$2311,G$1)</f>
        <v>0</v>
      </c>
      <c r="H136" s="80">
        <f>SUMIFS('декабрь 2024'!$G$5:$G$2311,'декабрь 2024'!$D$5:$D$2311,$B136,'декабрь 2024'!$J$5:$J$2311,H$1)</f>
        <v>0</v>
      </c>
      <c r="I136" s="80">
        <f>SUMIFS('декабрь 2024'!$G$5:$G$2311,'декабрь 2024'!$D$5:$D$2311,$B136,'декабрь 2024'!$J$5:$J$2311,I$1)</f>
        <v>0</v>
      </c>
      <c r="J136" s="80">
        <f>SUMIFS('декабрь 2024'!$G$5:$G$2311,'декабрь 2024'!$D$5:$D$2311,$B136,'декабрь 2024'!$J$5:$J$2311,J$1)</f>
        <v>0</v>
      </c>
      <c r="K136" s="80">
        <f>SUMIFS('декабрь 2024'!$G$5:$G$2311,'декабрь 2024'!$D$5:$D$2311,$B136,'декабрь 2024'!$J$5:$J$2311,K$1)</f>
        <v>0</v>
      </c>
      <c r="L136" s="80">
        <f>SUMIFS('декабрь 2024'!$G$5:$G$2311,'декабрь 2024'!$D$5:$D$2311,$B136,'декабрь 2024'!$J$5:$J$2311,L$1)</f>
        <v>0</v>
      </c>
      <c r="M136" s="80">
        <f>SUMIFS('декабрь 2024'!$G$5:$G$2311,'декабрь 2024'!$D$5:$D$2311,$B136,'декабрь 2024'!$J$5:$J$2311,M$1)</f>
        <v>0</v>
      </c>
      <c r="N136" s="80">
        <f>SUMIFS('декабрь 2024'!$G$5:$G$2311,'декабрь 2024'!$D$5:$D$2311,$B136,'декабрь 2024'!$J$5:$J$2311,N$1)</f>
        <v>0</v>
      </c>
      <c r="O136" s="80">
        <f>SUMIFS('декабрь 2024'!$G$5:$G$2311,'декабрь 2024'!$D$5:$D$2311,$B136,'декабрь 2024'!$J$5:$J$2311,O$1)</f>
        <v>0</v>
      </c>
      <c r="P136" s="80">
        <f>SUMIFS('декабрь 2024'!$G$5:$G$2311,'декабрь 2024'!$D$5:$D$2311,$B136,'декабрь 2024'!$J$5:$J$2311,P$1)</f>
        <v>0</v>
      </c>
      <c r="Q136" s="80">
        <f>SUMIFS('декабрь 2024'!$G$5:$G$2311,'декабрь 2024'!$D$5:$D$2311,$B136,'декабрь 2024'!$J$5:$J$2311,Q$1)</f>
        <v>0</v>
      </c>
      <c r="R136" s="80">
        <f>SUMIFS('декабрь 2024'!$G$5:$G$2311,'декабрь 2024'!$D$5:$D$2311,$B136,'декабрь 2024'!$J$5:$J$2311,R$1)</f>
        <v>0</v>
      </c>
      <c r="S136" s="80">
        <f>SUMIFS('декабрь 2024'!$G$5:$G$2311,'декабрь 2024'!$D$5:$D$2311,$B136,'декабрь 2024'!$J$5:$J$2311,S$1)</f>
        <v>0</v>
      </c>
      <c r="T136" s="80">
        <f>SUMIFS('декабрь 2024'!$G$5:$G$2311,'декабрь 2024'!$D$5:$D$2311,$B136,'декабрь 2024'!$J$5:$J$2311,T$1)</f>
        <v>0</v>
      </c>
      <c r="U136" s="80">
        <f>SUMIFS('декабрь 2024'!$G$5:$G$2311,'декабрь 2024'!$D$5:$D$2311,$B136,'декабрь 2024'!$J$5:$J$2311,U$1)</f>
        <v>0</v>
      </c>
      <c r="V136" s="80">
        <f>SUMIFS('декабрь 2024'!$G$5:$G$2311,'декабрь 2024'!$D$5:$D$2311,$B136,'декабрь 2024'!$J$5:$J$2311,V$1)</f>
        <v>0</v>
      </c>
      <c r="W136" s="80">
        <f>SUMIFS('декабрь 2024'!$G$5:$G$2311,'декабрь 2024'!$D$5:$D$2311,$B136,'декабрь 2024'!$J$5:$J$2311,W$1)</f>
        <v>0</v>
      </c>
      <c r="X136" s="80">
        <f>SUMIFS('декабрь 2024'!$G$5:$G$2311,'декабрь 2024'!$D$5:$D$2311,$B136,'декабрь 2024'!$J$5:$J$2311,X$1)</f>
        <v>0</v>
      </c>
      <c r="Y136" s="80">
        <f>SUMIFS('декабрь 2024'!$G$5:$G$2311,'декабрь 2024'!$D$5:$D$2311,$B136,'декабрь 2024'!$J$5:$J$2311,Y$1)</f>
        <v>0</v>
      </c>
      <c r="Z136" s="80">
        <f>SUMIFS('декабрь 2024'!$G$5:$G$2311,'декабрь 2024'!$D$5:$D$2311,$B136,'декабрь 2024'!$J$5:$J$2311,Z$1)</f>
        <v>0</v>
      </c>
      <c r="AA136" s="80">
        <f>SUMIFS('декабрь 2024'!$G$5:$G$2311,'декабрь 2024'!$D$5:$D$2311,$B136,'декабрь 2024'!$J$5:$J$2311,AA$1)</f>
        <v>0</v>
      </c>
      <c r="AB136" s="80">
        <f>SUMIFS('декабрь 2024'!$G$5:$G$2311,'декабрь 2024'!$D$5:$D$2311,$B136,'декабрь 2024'!$J$5:$J$2311,AB$1)</f>
        <v>0</v>
      </c>
      <c r="AC136" s="80">
        <f>SUMIFS('декабрь 2024'!$G$5:$G$2311,'декабрь 2024'!$D$5:$D$2311,$B136,'декабрь 2024'!$J$5:$J$2311,AC$1)</f>
        <v>0</v>
      </c>
      <c r="AD136" s="80">
        <f>SUMIFS('декабрь 2024'!$G$5:$G$2311,'декабрь 2024'!$D$5:$D$2311,$B136,'декабрь 2024'!$J$5:$J$2311,AD$1)</f>
        <v>0</v>
      </c>
      <c r="AE136" s="80">
        <f>SUMIFS('декабрь 2024'!$G$5:$G$2311,'декабрь 2024'!$D$5:$D$2311,$B136,'декабрь 2024'!$J$5:$J$2311,AE$1)</f>
        <v>0</v>
      </c>
      <c r="AF136" s="80">
        <f>SUMIFS('декабрь 2024'!$G$5:$G$2311,'декабрь 2024'!$D$5:$D$2311,$B136,'декабрь 2024'!$J$5:$J$2311,AF$1)</f>
        <v>0</v>
      </c>
      <c r="AG136" s="80">
        <f>SUMIFS('декабрь 2024'!$G$5:$G$2311,'декабрь 2024'!$D$5:$D$2311,$B136,'декабрь 2024'!$J$5:$J$2311,AG$1)</f>
        <v>0</v>
      </c>
      <c r="AH136" s="80">
        <f>SUMIFS('декабрь 2024'!$G$5:$G$2311,'декабрь 2024'!$D$5:$D$2311,$B136,'декабрь 2024'!$J$5:$J$2311,AH$1)</f>
        <v>0</v>
      </c>
      <c r="AI136" s="21">
        <f t="shared" si="1"/>
        <v>0</v>
      </c>
    </row>
    <row r="137" spans="2:35" ht="15" customHeight="1" x14ac:dyDescent="0.25">
      <c r="B137" s="93" t="s">
        <v>334</v>
      </c>
      <c r="C137" s="91">
        <v>190</v>
      </c>
      <c r="D137" s="80">
        <f>SUMIFS('декабрь 2024'!$G$5:$G$2311,'декабрь 2024'!$D$5:$D$2311,$B137,'декабрь 2024'!$J$5:$J$2311,D$1)</f>
        <v>0</v>
      </c>
      <c r="E137" s="80">
        <f>SUMIFS('декабрь 2024'!$G$5:$G$2311,'декабрь 2024'!$D$5:$D$2311,$B137,'декабрь 2024'!$J$5:$J$2311,E$1)</f>
        <v>0</v>
      </c>
      <c r="F137" s="80">
        <f>SUMIFS('декабрь 2024'!$G$5:$G$2311,'декабрь 2024'!$D$5:$D$2311,$B137,'декабрь 2024'!$J$5:$J$2311,F$1)</f>
        <v>0</v>
      </c>
      <c r="G137" s="80">
        <f>SUMIFS('декабрь 2024'!$G$5:$G$2311,'декабрь 2024'!$D$5:$D$2311,$B137,'декабрь 2024'!$J$5:$J$2311,G$1)</f>
        <v>0</v>
      </c>
      <c r="H137" s="80">
        <f>SUMIFS('декабрь 2024'!$G$5:$G$2311,'декабрь 2024'!$D$5:$D$2311,$B137,'декабрь 2024'!$J$5:$J$2311,H$1)</f>
        <v>0</v>
      </c>
      <c r="I137" s="80">
        <f>SUMIFS('декабрь 2024'!$G$5:$G$2311,'декабрь 2024'!$D$5:$D$2311,$B137,'декабрь 2024'!$J$5:$J$2311,I$1)</f>
        <v>0</v>
      </c>
      <c r="J137" s="80">
        <f>SUMIFS('декабрь 2024'!$G$5:$G$2311,'декабрь 2024'!$D$5:$D$2311,$B137,'декабрь 2024'!$J$5:$J$2311,J$1)</f>
        <v>0</v>
      </c>
      <c r="K137" s="80">
        <f>SUMIFS('декабрь 2024'!$G$5:$G$2311,'декабрь 2024'!$D$5:$D$2311,$B137,'декабрь 2024'!$J$5:$J$2311,K$1)</f>
        <v>0</v>
      </c>
      <c r="L137" s="80">
        <f>SUMIFS('декабрь 2024'!$G$5:$G$2311,'декабрь 2024'!$D$5:$D$2311,$B137,'декабрь 2024'!$J$5:$J$2311,L$1)</f>
        <v>0</v>
      </c>
      <c r="M137" s="80">
        <f>SUMIFS('декабрь 2024'!$G$5:$G$2311,'декабрь 2024'!$D$5:$D$2311,$B137,'декабрь 2024'!$J$5:$J$2311,M$1)</f>
        <v>0</v>
      </c>
      <c r="N137" s="80">
        <f>SUMIFS('декабрь 2024'!$G$5:$G$2311,'декабрь 2024'!$D$5:$D$2311,$B137,'декабрь 2024'!$J$5:$J$2311,N$1)</f>
        <v>0</v>
      </c>
      <c r="O137" s="80">
        <f>SUMIFS('декабрь 2024'!$G$5:$G$2311,'декабрь 2024'!$D$5:$D$2311,$B137,'декабрь 2024'!$J$5:$J$2311,O$1)</f>
        <v>0</v>
      </c>
      <c r="P137" s="80">
        <f>SUMIFS('декабрь 2024'!$G$5:$G$2311,'декабрь 2024'!$D$5:$D$2311,$B137,'декабрь 2024'!$J$5:$J$2311,P$1)</f>
        <v>0</v>
      </c>
      <c r="Q137" s="80">
        <f>SUMIFS('декабрь 2024'!$G$5:$G$2311,'декабрь 2024'!$D$5:$D$2311,$B137,'декабрь 2024'!$J$5:$J$2311,Q$1)</f>
        <v>0</v>
      </c>
      <c r="R137" s="80">
        <f>SUMIFS('декабрь 2024'!$G$5:$G$2311,'декабрь 2024'!$D$5:$D$2311,$B137,'декабрь 2024'!$J$5:$J$2311,R$1)</f>
        <v>0</v>
      </c>
      <c r="S137" s="80">
        <f>SUMIFS('декабрь 2024'!$G$5:$G$2311,'декабрь 2024'!$D$5:$D$2311,$B137,'декабрь 2024'!$J$5:$J$2311,S$1)</f>
        <v>0</v>
      </c>
      <c r="T137" s="80">
        <f>SUMIFS('декабрь 2024'!$G$5:$G$2311,'декабрь 2024'!$D$5:$D$2311,$B137,'декабрь 2024'!$J$5:$J$2311,T$1)</f>
        <v>0</v>
      </c>
      <c r="U137" s="80">
        <f>SUMIFS('декабрь 2024'!$G$5:$G$2311,'декабрь 2024'!$D$5:$D$2311,$B137,'декабрь 2024'!$J$5:$J$2311,U$1)</f>
        <v>0</v>
      </c>
      <c r="V137" s="80">
        <f>SUMIFS('декабрь 2024'!$G$5:$G$2311,'декабрь 2024'!$D$5:$D$2311,$B137,'декабрь 2024'!$J$5:$J$2311,V$1)</f>
        <v>0</v>
      </c>
      <c r="W137" s="80">
        <f>SUMIFS('декабрь 2024'!$G$5:$G$2311,'декабрь 2024'!$D$5:$D$2311,$B137,'декабрь 2024'!$J$5:$J$2311,W$1)</f>
        <v>0</v>
      </c>
      <c r="X137" s="80">
        <f>SUMIFS('декабрь 2024'!$G$5:$G$2311,'декабрь 2024'!$D$5:$D$2311,$B137,'декабрь 2024'!$J$5:$J$2311,X$1)</f>
        <v>0</v>
      </c>
      <c r="Y137" s="80">
        <f>SUMIFS('декабрь 2024'!$G$5:$G$2311,'декабрь 2024'!$D$5:$D$2311,$B137,'декабрь 2024'!$J$5:$J$2311,Y$1)</f>
        <v>0</v>
      </c>
      <c r="Z137" s="80">
        <f>SUMIFS('декабрь 2024'!$G$5:$G$2311,'декабрь 2024'!$D$5:$D$2311,$B137,'декабрь 2024'!$J$5:$J$2311,Z$1)</f>
        <v>0</v>
      </c>
      <c r="AA137" s="80">
        <f>SUMIFS('декабрь 2024'!$G$5:$G$2311,'декабрь 2024'!$D$5:$D$2311,$B137,'декабрь 2024'!$J$5:$J$2311,AA$1)</f>
        <v>0</v>
      </c>
      <c r="AB137" s="80">
        <f>SUMIFS('декабрь 2024'!$G$5:$G$2311,'декабрь 2024'!$D$5:$D$2311,$B137,'декабрь 2024'!$J$5:$J$2311,AB$1)</f>
        <v>0</v>
      </c>
      <c r="AC137" s="80">
        <f>SUMIFS('декабрь 2024'!$G$5:$G$2311,'декабрь 2024'!$D$5:$D$2311,$B137,'декабрь 2024'!$J$5:$J$2311,AC$1)</f>
        <v>0</v>
      </c>
      <c r="AD137" s="80">
        <f>SUMIFS('декабрь 2024'!$G$5:$G$2311,'декабрь 2024'!$D$5:$D$2311,$B137,'декабрь 2024'!$J$5:$J$2311,AD$1)</f>
        <v>0</v>
      </c>
      <c r="AE137" s="80">
        <f>SUMIFS('декабрь 2024'!$G$5:$G$2311,'декабрь 2024'!$D$5:$D$2311,$B137,'декабрь 2024'!$J$5:$J$2311,AE$1)</f>
        <v>0</v>
      </c>
      <c r="AF137" s="80">
        <f>SUMIFS('декабрь 2024'!$G$5:$G$2311,'декабрь 2024'!$D$5:$D$2311,$B137,'декабрь 2024'!$J$5:$J$2311,AF$1)</f>
        <v>0</v>
      </c>
      <c r="AG137" s="80">
        <f>SUMIFS('декабрь 2024'!$G$5:$G$2311,'декабрь 2024'!$D$5:$D$2311,$B137,'декабрь 2024'!$J$5:$J$2311,AG$1)</f>
        <v>0</v>
      </c>
      <c r="AH137" s="80">
        <f>SUMIFS('декабрь 2024'!$G$5:$G$2311,'декабрь 2024'!$D$5:$D$2311,$B137,'декабрь 2024'!$J$5:$J$2311,AH$1)</f>
        <v>0</v>
      </c>
      <c r="AI137" s="21">
        <f t="shared" si="1"/>
        <v>0</v>
      </c>
    </row>
    <row r="138" spans="2:35" ht="16.899999999999999" customHeight="1" x14ac:dyDescent="0.25">
      <c r="B138" s="89" t="s">
        <v>335</v>
      </c>
      <c r="C138" s="88">
        <v>200</v>
      </c>
      <c r="D138" s="80">
        <f>SUMIFS('декабрь 2024'!$G$5:$G$2311,'декабрь 2024'!$D$5:$D$2311,$B138,'декабрь 2024'!$J$5:$J$2311,D$1)</f>
        <v>0</v>
      </c>
      <c r="E138" s="80">
        <f>SUMIFS('декабрь 2024'!$G$5:$G$2311,'декабрь 2024'!$D$5:$D$2311,$B138,'декабрь 2024'!$J$5:$J$2311,E$1)</f>
        <v>0</v>
      </c>
      <c r="F138" s="80">
        <f>SUMIFS('декабрь 2024'!$G$5:$G$2311,'декабрь 2024'!$D$5:$D$2311,$B138,'декабрь 2024'!$J$5:$J$2311,F$1)</f>
        <v>0</v>
      </c>
      <c r="G138" s="80">
        <f>SUMIFS('декабрь 2024'!$G$5:$G$2311,'декабрь 2024'!$D$5:$D$2311,$B138,'декабрь 2024'!$J$5:$J$2311,G$1)</f>
        <v>0</v>
      </c>
      <c r="H138" s="80">
        <f>SUMIFS('декабрь 2024'!$G$5:$G$2311,'декабрь 2024'!$D$5:$D$2311,$B138,'декабрь 2024'!$J$5:$J$2311,H$1)</f>
        <v>0</v>
      </c>
      <c r="I138" s="80">
        <f>SUMIFS('декабрь 2024'!$G$5:$G$2311,'декабрь 2024'!$D$5:$D$2311,$B138,'декабрь 2024'!$J$5:$J$2311,I$1)</f>
        <v>0</v>
      </c>
      <c r="J138" s="80">
        <f>SUMIFS('декабрь 2024'!$G$5:$G$2311,'декабрь 2024'!$D$5:$D$2311,$B138,'декабрь 2024'!$J$5:$J$2311,J$1)</f>
        <v>0</v>
      </c>
      <c r="K138" s="80">
        <f>SUMIFS('декабрь 2024'!$G$5:$G$2311,'декабрь 2024'!$D$5:$D$2311,$B138,'декабрь 2024'!$J$5:$J$2311,K$1)</f>
        <v>0</v>
      </c>
      <c r="L138" s="80">
        <f>SUMIFS('декабрь 2024'!$G$5:$G$2311,'декабрь 2024'!$D$5:$D$2311,$B138,'декабрь 2024'!$J$5:$J$2311,L$1)</f>
        <v>0</v>
      </c>
      <c r="M138" s="80">
        <f>SUMIFS('декабрь 2024'!$G$5:$G$2311,'декабрь 2024'!$D$5:$D$2311,$B138,'декабрь 2024'!$J$5:$J$2311,M$1)</f>
        <v>0</v>
      </c>
      <c r="N138" s="80">
        <f>SUMIFS('декабрь 2024'!$G$5:$G$2311,'декабрь 2024'!$D$5:$D$2311,$B138,'декабрь 2024'!$J$5:$J$2311,N$1)</f>
        <v>0</v>
      </c>
      <c r="O138" s="80">
        <f>SUMIFS('декабрь 2024'!$G$5:$G$2311,'декабрь 2024'!$D$5:$D$2311,$B138,'декабрь 2024'!$J$5:$J$2311,O$1)</f>
        <v>0</v>
      </c>
      <c r="P138" s="80">
        <f>SUMIFS('декабрь 2024'!$G$5:$G$2311,'декабрь 2024'!$D$5:$D$2311,$B138,'декабрь 2024'!$J$5:$J$2311,P$1)</f>
        <v>0</v>
      </c>
      <c r="Q138" s="80">
        <f>SUMIFS('декабрь 2024'!$G$5:$G$2311,'декабрь 2024'!$D$5:$D$2311,$B138,'декабрь 2024'!$J$5:$J$2311,Q$1)</f>
        <v>0</v>
      </c>
      <c r="R138" s="80">
        <f>SUMIFS('декабрь 2024'!$G$5:$G$2311,'декабрь 2024'!$D$5:$D$2311,$B138,'декабрь 2024'!$J$5:$J$2311,R$1)</f>
        <v>0</v>
      </c>
      <c r="S138" s="80">
        <f>SUMIFS('декабрь 2024'!$G$5:$G$2311,'декабрь 2024'!$D$5:$D$2311,$B138,'декабрь 2024'!$J$5:$J$2311,S$1)</f>
        <v>0</v>
      </c>
      <c r="T138" s="80">
        <f>SUMIFS('декабрь 2024'!$G$5:$G$2311,'декабрь 2024'!$D$5:$D$2311,$B138,'декабрь 2024'!$J$5:$J$2311,T$1)</f>
        <v>0</v>
      </c>
      <c r="U138" s="80">
        <f>SUMIFS('декабрь 2024'!$G$5:$G$2311,'декабрь 2024'!$D$5:$D$2311,$B138,'декабрь 2024'!$J$5:$J$2311,U$1)</f>
        <v>0</v>
      </c>
      <c r="V138" s="80">
        <f>SUMIFS('декабрь 2024'!$G$5:$G$2311,'декабрь 2024'!$D$5:$D$2311,$B138,'декабрь 2024'!$J$5:$J$2311,V$1)</f>
        <v>0</v>
      </c>
      <c r="W138" s="80">
        <f>SUMIFS('декабрь 2024'!$G$5:$G$2311,'декабрь 2024'!$D$5:$D$2311,$B138,'декабрь 2024'!$J$5:$J$2311,W$1)</f>
        <v>0</v>
      </c>
      <c r="X138" s="80">
        <f>SUMIFS('декабрь 2024'!$G$5:$G$2311,'декабрь 2024'!$D$5:$D$2311,$B138,'декабрь 2024'!$J$5:$J$2311,X$1)</f>
        <v>0</v>
      </c>
      <c r="Y138" s="80">
        <f>SUMIFS('декабрь 2024'!$G$5:$G$2311,'декабрь 2024'!$D$5:$D$2311,$B138,'декабрь 2024'!$J$5:$J$2311,Y$1)</f>
        <v>0</v>
      </c>
      <c r="Z138" s="80">
        <f>SUMIFS('декабрь 2024'!$G$5:$G$2311,'декабрь 2024'!$D$5:$D$2311,$B138,'декабрь 2024'!$J$5:$J$2311,Z$1)</f>
        <v>0</v>
      </c>
      <c r="AA138" s="80">
        <f>SUMIFS('декабрь 2024'!$G$5:$G$2311,'декабрь 2024'!$D$5:$D$2311,$B138,'декабрь 2024'!$J$5:$J$2311,AA$1)</f>
        <v>0</v>
      </c>
      <c r="AB138" s="80">
        <f>SUMIFS('декабрь 2024'!$G$5:$G$2311,'декабрь 2024'!$D$5:$D$2311,$B138,'декабрь 2024'!$J$5:$J$2311,AB$1)</f>
        <v>0</v>
      </c>
      <c r="AC138" s="80">
        <f>SUMIFS('декабрь 2024'!$G$5:$G$2311,'декабрь 2024'!$D$5:$D$2311,$B138,'декабрь 2024'!$J$5:$J$2311,AC$1)</f>
        <v>0</v>
      </c>
      <c r="AD138" s="80">
        <f>SUMIFS('декабрь 2024'!$G$5:$G$2311,'декабрь 2024'!$D$5:$D$2311,$B138,'декабрь 2024'!$J$5:$J$2311,AD$1)</f>
        <v>0</v>
      </c>
      <c r="AE138" s="80">
        <f>SUMIFS('декабрь 2024'!$G$5:$G$2311,'декабрь 2024'!$D$5:$D$2311,$B138,'декабрь 2024'!$J$5:$J$2311,AE$1)</f>
        <v>0</v>
      </c>
      <c r="AF138" s="80">
        <f>SUMIFS('декабрь 2024'!$G$5:$G$2311,'декабрь 2024'!$D$5:$D$2311,$B138,'декабрь 2024'!$J$5:$J$2311,AF$1)</f>
        <v>0</v>
      </c>
      <c r="AG138" s="80">
        <f>SUMIFS('декабрь 2024'!$G$5:$G$2311,'декабрь 2024'!$D$5:$D$2311,$B138,'декабрь 2024'!$J$5:$J$2311,AG$1)</f>
        <v>0</v>
      </c>
      <c r="AH138" s="80">
        <f>SUMIFS('декабрь 2024'!$G$5:$G$2311,'декабрь 2024'!$D$5:$D$2311,$B138,'декабрь 2024'!$J$5:$J$2311,AH$1)</f>
        <v>0</v>
      </c>
      <c r="AI138" s="21">
        <f t="shared" si="1"/>
        <v>0</v>
      </c>
    </row>
    <row r="139" spans="2:35" ht="16.899999999999999" customHeight="1" x14ac:dyDescent="0.25">
      <c r="B139" s="89" t="s">
        <v>340</v>
      </c>
      <c r="C139" s="88">
        <v>200</v>
      </c>
      <c r="D139" s="80">
        <f>SUMIFS('декабрь 2024'!$G$5:$G$2311,'декабрь 2024'!$D$5:$D$2311,$B139,'декабрь 2024'!$J$5:$J$2311,D$1)</f>
        <v>0</v>
      </c>
      <c r="E139" s="80">
        <f>SUMIFS('декабрь 2024'!$G$5:$G$2311,'декабрь 2024'!$D$5:$D$2311,$B139,'декабрь 2024'!$J$5:$J$2311,E$1)</f>
        <v>0</v>
      </c>
      <c r="F139" s="80">
        <f>SUMIFS('декабрь 2024'!$G$5:$G$2311,'декабрь 2024'!$D$5:$D$2311,$B139,'декабрь 2024'!$J$5:$J$2311,F$1)</f>
        <v>0</v>
      </c>
      <c r="G139" s="80">
        <f>SUMIFS('декабрь 2024'!$G$5:$G$2311,'декабрь 2024'!$D$5:$D$2311,$B139,'декабрь 2024'!$J$5:$J$2311,G$1)</f>
        <v>0</v>
      </c>
      <c r="H139" s="80">
        <f>SUMIFS('декабрь 2024'!$G$5:$G$2311,'декабрь 2024'!$D$5:$D$2311,$B139,'декабрь 2024'!$J$5:$J$2311,H$1)</f>
        <v>0</v>
      </c>
      <c r="I139" s="80">
        <f>SUMIFS('декабрь 2024'!$G$5:$G$2311,'декабрь 2024'!$D$5:$D$2311,$B139,'декабрь 2024'!$J$5:$J$2311,I$1)</f>
        <v>0</v>
      </c>
      <c r="J139" s="80">
        <f>SUMIFS('декабрь 2024'!$G$5:$G$2311,'декабрь 2024'!$D$5:$D$2311,$B139,'декабрь 2024'!$J$5:$J$2311,J$1)</f>
        <v>0</v>
      </c>
      <c r="K139" s="80">
        <f>SUMIFS('декабрь 2024'!$G$5:$G$2311,'декабрь 2024'!$D$5:$D$2311,$B139,'декабрь 2024'!$J$5:$J$2311,K$1)</f>
        <v>0</v>
      </c>
      <c r="L139" s="80">
        <f>SUMIFS('декабрь 2024'!$G$5:$G$2311,'декабрь 2024'!$D$5:$D$2311,$B139,'декабрь 2024'!$J$5:$J$2311,L$1)</f>
        <v>0</v>
      </c>
      <c r="M139" s="80">
        <f>SUMIFS('декабрь 2024'!$G$5:$G$2311,'декабрь 2024'!$D$5:$D$2311,$B139,'декабрь 2024'!$J$5:$J$2311,M$1)</f>
        <v>0</v>
      </c>
      <c r="N139" s="80">
        <f>SUMIFS('декабрь 2024'!$G$5:$G$2311,'декабрь 2024'!$D$5:$D$2311,$B139,'декабрь 2024'!$J$5:$J$2311,N$1)</f>
        <v>0</v>
      </c>
      <c r="O139" s="80">
        <f>SUMIFS('декабрь 2024'!$G$5:$G$2311,'декабрь 2024'!$D$5:$D$2311,$B139,'декабрь 2024'!$J$5:$J$2311,O$1)</f>
        <v>0</v>
      </c>
      <c r="P139" s="80">
        <f>SUMIFS('декабрь 2024'!$G$5:$G$2311,'декабрь 2024'!$D$5:$D$2311,$B139,'декабрь 2024'!$J$5:$J$2311,P$1)</f>
        <v>0</v>
      </c>
      <c r="Q139" s="80">
        <f>SUMIFS('декабрь 2024'!$G$5:$G$2311,'декабрь 2024'!$D$5:$D$2311,$B139,'декабрь 2024'!$J$5:$J$2311,Q$1)</f>
        <v>0</v>
      </c>
      <c r="R139" s="80">
        <f>SUMIFS('декабрь 2024'!$G$5:$G$2311,'декабрь 2024'!$D$5:$D$2311,$B139,'декабрь 2024'!$J$5:$J$2311,R$1)</f>
        <v>0</v>
      </c>
      <c r="S139" s="80">
        <f>SUMIFS('декабрь 2024'!$G$5:$G$2311,'декабрь 2024'!$D$5:$D$2311,$B139,'декабрь 2024'!$J$5:$J$2311,S$1)</f>
        <v>0</v>
      </c>
      <c r="T139" s="80">
        <f>SUMIFS('декабрь 2024'!$G$5:$G$2311,'декабрь 2024'!$D$5:$D$2311,$B139,'декабрь 2024'!$J$5:$J$2311,T$1)</f>
        <v>0</v>
      </c>
      <c r="U139" s="80">
        <f>SUMIFS('декабрь 2024'!$G$5:$G$2311,'декабрь 2024'!$D$5:$D$2311,$B139,'декабрь 2024'!$J$5:$J$2311,U$1)</f>
        <v>0</v>
      </c>
      <c r="V139" s="80">
        <f>SUMIFS('декабрь 2024'!$G$5:$G$2311,'декабрь 2024'!$D$5:$D$2311,$B139,'декабрь 2024'!$J$5:$J$2311,V$1)</f>
        <v>0</v>
      </c>
      <c r="W139" s="80">
        <f>SUMIFS('декабрь 2024'!$G$5:$G$2311,'декабрь 2024'!$D$5:$D$2311,$B139,'декабрь 2024'!$J$5:$J$2311,W$1)</f>
        <v>0</v>
      </c>
      <c r="X139" s="80">
        <f>SUMIFS('декабрь 2024'!$G$5:$G$2311,'декабрь 2024'!$D$5:$D$2311,$B139,'декабрь 2024'!$J$5:$J$2311,X$1)</f>
        <v>0</v>
      </c>
      <c r="Y139" s="80">
        <f>SUMIFS('декабрь 2024'!$G$5:$G$2311,'декабрь 2024'!$D$5:$D$2311,$B139,'декабрь 2024'!$J$5:$J$2311,Y$1)</f>
        <v>0</v>
      </c>
      <c r="Z139" s="80">
        <f>SUMIFS('декабрь 2024'!$G$5:$G$2311,'декабрь 2024'!$D$5:$D$2311,$B139,'декабрь 2024'!$J$5:$J$2311,Z$1)</f>
        <v>0</v>
      </c>
      <c r="AA139" s="80">
        <f>SUMIFS('декабрь 2024'!$G$5:$G$2311,'декабрь 2024'!$D$5:$D$2311,$B139,'декабрь 2024'!$J$5:$J$2311,AA$1)</f>
        <v>0</v>
      </c>
      <c r="AB139" s="80">
        <f>SUMIFS('декабрь 2024'!$G$5:$G$2311,'декабрь 2024'!$D$5:$D$2311,$B139,'декабрь 2024'!$J$5:$J$2311,AB$1)</f>
        <v>0</v>
      </c>
      <c r="AC139" s="80">
        <f>SUMIFS('декабрь 2024'!$G$5:$G$2311,'декабрь 2024'!$D$5:$D$2311,$B139,'декабрь 2024'!$J$5:$J$2311,AC$1)</f>
        <v>0</v>
      </c>
      <c r="AD139" s="80">
        <f>SUMIFS('декабрь 2024'!$G$5:$G$2311,'декабрь 2024'!$D$5:$D$2311,$B139,'декабрь 2024'!$J$5:$J$2311,AD$1)</f>
        <v>0</v>
      </c>
      <c r="AE139" s="80">
        <f>SUMIFS('декабрь 2024'!$G$5:$G$2311,'декабрь 2024'!$D$5:$D$2311,$B139,'декабрь 2024'!$J$5:$J$2311,AE$1)</f>
        <v>0</v>
      </c>
      <c r="AF139" s="80">
        <f>SUMIFS('декабрь 2024'!$G$5:$G$2311,'декабрь 2024'!$D$5:$D$2311,$B139,'декабрь 2024'!$J$5:$J$2311,AF$1)</f>
        <v>0</v>
      </c>
      <c r="AG139" s="80">
        <f>SUMIFS('декабрь 2024'!$G$5:$G$2311,'декабрь 2024'!$D$5:$D$2311,$B139,'декабрь 2024'!$J$5:$J$2311,AG$1)</f>
        <v>0</v>
      </c>
      <c r="AH139" s="80">
        <f>SUMIFS('декабрь 2024'!$G$5:$G$2311,'декабрь 2024'!$D$5:$D$2311,$B139,'декабрь 2024'!$J$5:$J$2311,AH$1)</f>
        <v>0</v>
      </c>
      <c r="AI139" s="21">
        <f t="shared" si="1"/>
        <v>0</v>
      </c>
    </row>
    <row r="140" spans="2:35" ht="16.899999999999999" customHeight="1" x14ac:dyDescent="0.25">
      <c r="B140" s="89" t="s">
        <v>336</v>
      </c>
      <c r="C140" s="88">
        <v>200</v>
      </c>
      <c r="D140" s="80">
        <f>SUMIFS('декабрь 2024'!$G$5:$G$2311,'декабрь 2024'!$D$5:$D$2311,$B140,'декабрь 2024'!$J$5:$J$2311,D$1)</f>
        <v>0</v>
      </c>
      <c r="E140" s="80">
        <f>SUMIFS('декабрь 2024'!$G$5:$G$2311,'декабрь 2024'!$D$5:$D$2311,$B140,'декабрь 2024'!$J$5:$J$2311,E$1)</f>
        <v>0</v>
      </c>
      <c r="F140" s="80">
        <f>SUMIFS('декабрь 2024'!$G$5:$G$2311,'декабрь 2024'!$D$5:$D$2311,$B140,'декабрь 2024'!$J$5:$J$2311,F$1)</f>
        <v>0</v>
      </c>
      <c r="G140" s="80">
        <f>SUMIFS('декабрь 2024'!$G$5:$G$2311,'декабрь 2024'!$D$5:$D$2311,$B140,'декабрь 2024'!$J$5:$J$2311,G$1)</f>
        <v>0</v>
      </c>
      <c r="H140" s="80">
        <f>SUMIFS('декабрь 2024'!$G$5:$G$2311,'декабрь 2024'!$D$5:$D$2311,$B140,'декабрь 2024'!$J$5:$J$2311,H$1)</f>
        <v>0</v>
      </c>
      <c r="I140" s="80">
        <f>SUMIFS('декабрь 2024'!$G$5:$G$2311,'декабрь 2024'!$D$5:$D$2311,$B140,'декабрь 2024'!$J$5:$J$2311,I$1)</f>
        <v>0</v>
      </c>
      <c r="J140" s="80">
        <f>SUMIFS('декабрь 2024'!$G$5:$G$2311,'декабрь 2024'!$D$5:$D$2311,$B140,'декабрь 2024'!$J$5:$J$2311,J$1)</f>
        <v>0</v>
      </c>
      <c r="K140" s="80">
        <f>SUMIFS('декабрь 2024'!$G$5:$G$2311,'декабрь 2024'!$D$5:$D$2311,$B140,'декабрь 2024'!$J$5:$J$2311,K$1)</f>
        <v>0</v>
      </c>
      <c r="L140" s="80">
        <f>SUMIFS('декабрь 2024'!$G$5:$G$2311,'декабрь 2024'!$D$5:$D$2311,$B140,'декабрь 2024'!$J$5:$J$2311,L$1)</f>
        <v>0</v>
      </c>
      <c r="M140" s="80">
        <f>SUMIFS('декабрь 2024'!$G$5:$G$2311,'декабрь 2024'!$D$5:$D$2311,$B140,'декабрь 2024'!$J$5:$J$2311,M$1)</f>
        <v>0</v>
      </c>
      <c r="N140" s="80">
        <f>SUMIFS('декабрь 2024'!$G$5:$G$2311,'декабрь 2024'!$D$5:$D$2311,$B140,'декабрь 2024'!$J$5:$J$2311,N$1)</f>
        <v>0</v>
      </c>
      <c r="O140" s="80">
        <f>SUMIFS('декабрь 2024'!$G$5:$G$2311,'декабрь 2024'!$D$5:$D$2311,$B140,'декабрь 2024'!$J$5:$J$2311,O$1)</f>
        <v>0</v>
      </c>
      <c r="P140" s="80">
        <f>SUMIFS('декабрь 2024'!$G$5:$G$2311,'декабрь 2024'!$D$5:$D$2311,$B140,'декабрь 2024'!$J$5:$J$2311,P$1)</f>
        <v>0</v>
      </c>
      <c r="Q140" s="80">
        <f>SUMIFS('декабрь 2024'!$G$5:$G$2311,'декабрь 2024'!$D$5:$D$2311,$B140,'декабрь 2024'!$J$5:$J$2311,Q$1)</f>
        <v>0</v>
      </c>
      <c r="R140" s="80">
        <f>SUMIFS('декабрь 2024'!$G$5:$G$2311,'декабрь 2024'!$D$5:$D$2311,$B140,'декабрь 2024'!$J$5:$J$2311,R$1)</f>
        <v>0</v>
      </c>
      <c r="S140" s="80">
        <f>SUMIFS('декабрь 2024'!$G$5:$G$2311,'декабрь 2024'!$D$5:$D$2311,$B140,'декабрь 2024'!$J$5:$J$2311,S$1)</f>
        <v>0</v>
      </c>
      <c r="T140" s="80">
        <f>SUMIFS('декабрь 2024'!$G$5:$G$2311,'декабрь 2024'!$D$5:$D$2311,$B140,'декабрь 2024'!$J$5:$J$2311,T$1)</f>
        <v>0</v>
      </c>
      <c r="U140" s="80">
        <f>SUMIFS('декабрь 2024'!$G$5:$G$2311,'декабрь 2024'!$D$5:$D$2311,$B140,'декабрь 2024'!$J$5:$J$2311,U$1)</f>
        <v>0</v>
      </c>
      <c r="V140" s="80">
        <f>SUMIFS('декабрь 2024'!$G$5:$G$2311,'декабрь 2024'!$D$5:$D$2311,$B140,'декабрь 2024'!$J$5:$J$2311,V$1)</f>
        <v>0</v>
      </c>
      <c r="W140" s="80">
        <f>SUMIFS('декабрь 2024'!$G$5:$G$2311,'декабрь 2024'!$D$5:$D$2311,$B140,'декабрь 2024'!$J$5:$J$2311,W$1)</f>
        <v>0</v>
      </c>
      <c r="X140" s="80">
        <f>SUMIFS('декабрь 2024'!$G$5:$G$2311,'декабрь 2024'!$D$5:$D$2311,$B140,'декабрь 2024'!$J$5:$J$2311,X$1)</f>
        <v>0</v>
      </c>
      <c r="Y140" s="80">
        <f>SUMIFS('декабрь 2024'!$G$5:$G$2311,'декабрь 2024'!$D$5:$D$2311,$B140,'декабрь 2024'!$J$5:$J$2311,Y$1)</f>
        <v>0</v>
      </c>
      <c r="Z140" s="80">
        <f>SUMIFS('декабрь 2024'!$G$5:$G$2311,'декабрь 2024'!$D$5:$D$2311,$B140,'декабрь 2024'!$J$5:$J$2311,Z$1)</f>
        <v>0</v>
      </c>
      <c r="AA140" s="80">
        <f>SUMIFS('декабрь 2024'!$G$5:$G$2311,'декабрь 2024'!$D$5:$D$2311,$B140,'декабрь 2024'!$J$5:$J$2311,AA$1)</f>
        <v>0</v>
      </c>
      <c r="AB140" s="80">
        <f>SUMIFS('декабрь 2024'!$G$5:$G$2311,'декабрь 2024'!$D$5:$D$2311,$B140,'декабрь 2024'!$J$5:$J$2311,AB$1)</f>
        <v>0</v>
      </c>
      <c r="AC140" s="80">
        <f>SUMIFS('декабрь 2024'!$G$5:$G$2311,'декабрь 2024'!$D$5:$D$2311,$B140,'декабрь 2024'!$J$5:$J$2311,AC$1)</f>
        <v>0</v>
      </c>
      <c r="AD140" s="80">
        <f>SUMIFS('декабрь 2024'!$G$5:$G$2311,'декабрь 2024'!$D$5:$D$2311,$B140,'декабрь 2024'!$J$5:$J$2311,AD$1)</f>
        <v>0</v>
      </c>
      <c r="AE140" s="80">
        <f>SUMIFS('декабрь 2024'!$G$5:$G$2311,'декабрь 2024'!$D$5:$D$2311,$B140,'декабрь 2024'!$J$5:$J$2311,AE$1)</f>
        <v>0</v>
      </c>
      <c r="AF140" s="80">
        <f>SUMIFS('декабрь 2024'!$G$5:$G$2311,'декабрь 2024'!$D$5:$D$2311,$B140,'декабрь 2024'!$J$5:$J$2311,AF$1)</f>
        <v>0</v>
      </c>
      <c r="AG140" s="80">
        <f>SUMIFS('декабрь 2024'!$G$5:$G$2311,'декабрь 2024'!$D$5:$D$2311,$B140,'декабрь 2024'!$J$5:$J$2311,AG$1)</f>
        <v>0</v>
      </c>
      <c r="AH140" s="80">
        <f>SUMIFS('декабрь 2024'!$G$5:$G$2311,'декабрь 2024'!$D$5:$D$2311,$B140,'декабрь 2024'!$J$5:$J$2311,AH$1)</f>
        <v>0</v>
      </c>
      <c r="AI140" s="21">
        <f t="shared" si="1"/>
        <v>0</v>
      </c>
    </row>
    <row r="141" spans="2:35" ht="15" customHeight="1" x14ac:dyDescent="0.25">
      <c r="B141" s="89" t="s">
        <v>341</v>
      </c>
      <c r="C141" s="88">
        <v>200</v>
      </c>
      <c r="D141" s="80">
        <f>SUMIFS('декабрь 2024'!$G$5:$G$2311,'декабрь 2024'!$D$5:$D$2311,$B141,'декабрь 2024'!$J$5:$J$2311,D$1)</f>
        <v>0</v>
      </c>
      <c r="E141" s="80">
        <f>SUMIFS('декабрь 2024'!$G$5:$G$2311,'декабрь 2024'!$D$5:$D$2311,$B141,'декабрь 2024'!$J$5:$J$2311,E$1)</f>
        <v>0</v>
      </c>
      <c r="F141" s="80">
        <f>SUMIFS('декабрь 2024'!$G$5:$G$2311,'декабрь 2024'!$D$5:$D$2311,$B141,'декабрь 2024'!$J$5:$J$2311,F$1)</f>
        <v>0</v>
      </c>
      <c r="G141" s="80">
        <f>SUMIFS('декабрь 2024'!$G$5:$G$2311,'декабрь 2024'!$D$5:$D$2311,$B141,'декабрь 2024'!$J$5:$J$2311,G$1)</f>
        <v>0</v>
      </c>
      <c r="H141" s="80">
        <f>SUMIFS('декабрь 2024'!$G$5:$G$2311,'декабрь 2024'!$D$5:$D$2311,$B141,'декабрь 2024'!$J$5:$J$2311,H$1)</f>
        <v>0</v>
      </c>
      <c r="I141" s="80">
        <f>SUMIFS('декабрь 2024'!$G$5:$G$2311,'декабрь 2024'!$D$5:$D$2311,$B141,'декабрь 2024'!$J$5:$J$2311,I$1)</f>
        <v>0</v>
      </c>
      <c r="J141" s="80">
        <f>SUMIFS('декабрь 2024'!$G$5:$G$2311,'декабрь 2024'!$D$5:$D$2311,$B141,'декабрь 2024'!$J$5:$J$2311,J$1)</f>
        <v>0</v>
      </c>
      <c r="K141" s="80">
        <f>SUMIFS('декабрь 2024'!$G$5:$G$2311,'декабрь 2024'!$D$5:$D$2311,$B141,'декабрь 2024'!$J$5:$J$2311,K$1)</f>
        <v>0</v>
      </c>
      <c r="L141" s="80">
        <f>SUMIFS('декабрь 2024'!$G$5:$G$2311,'декабрь 2024'!$D$5:$D$2311,$B141,'декабрь 2024'!$J$5:$J$2311,L$1)</f>
        <v>0</v>
      </c>
      <c r="M141" s="80">
        <f>SUMIFS('декабрь 2024'!$G$5:$G$2311,'декабрь 2024'!$D$5:$D$2311,$B141,'декабрь 2024'!$J$5:$J$2311,M$1)</f>
        <v>0</v>
      </c>
      <c r="N141" s="80">
        <f>SUMIFS('декабрь 2024'!$G$5:$G$2311,'декабрь 2024'!$D$5:$D$2311,$B141,'декабрь 2024'!$J$5:$J$2311,N$1)</f>
        <v>0</v>
      </c>
      <c r="O141" s="80">
        <f>SUMIFS('декабрь 2024'!$G$5:$G$2311,'декабрь 2024'!$D$5:$D$2311,$B141,'декабрь 2024'!$J$5:$J$2311,O$1)</f>
        <v>0</v>
      </c>
      <c r="P141" s="80">
        <f>SUMIFS('декабрь 2024'!$G$5:$G$2311,'декабрь 2024'!$D$5:$D$2311,$B141,'декабрь 2024'!$J$5:$J$2311,P$1)</f>
        <v>0</v>
      </c>
      <c r="Q141" s="80">
        <f>SUMIFS('декабрь 2024'!$G$5:$G$2311,'декабрь 2024'!$D$5:$D$2311,$B141,'декабрь 2024'!$J$5:$J$2311,Q$1)</f>
        <v>0</v>
      </c>
      <c r="R141" s="80">
        <f>SUMIFS('декабрь 2024'!$G$5:$G$2311,'декабрь 2024'!$D$5:$D$2311,$B141,'декабрь 2024'!$J$5:$J$2311,R$1)</f>
        <v>0</v>
      </c>
      <c r="S141" s="80">
        <f>SUMIFS('декабрь 2024'!$G$5:$G$2311,'декабрь 2024'!$D$5:$D$2311,$B141,'декабрь 2024'!$J$5:$J$2311,S$1)</f>
        <v>0</v>
      </c>
      <c r="T141" s="80">
        <f>SUMIFS('декабрь 2024'!$G$5:$G$2311,'декабрь 2024'!$D$5:$D$2311,$B141,'декабрь 2024'!$J$5:$J$2311,T$1)</f>
        <v>0</v>
      </c>
      <c r="U141" s="80">
        <f>SUMIFS('декабрь 2024'!$G$5:$G$2311,'декабрь 2024'!$D$5:$D$2311,$B141,'декабрь 2024'!$J$5:$J$2311,U$1)</f>
        <v>0</v>
      </c>
      <c r="V141" s="80">
        <f>SUMIFS('декабрь 2024'!$G$5:$G$2311,'декабрь 2024'!$D$5:$D$2311,$B141,'декабрь 2024'!$J$5:$J$2311,V$1)</f>
        <v>0</v>
      </c>
      <c r="W141" s="80">
        <f>SUMIFS('декабрь 2024'!$G$5:$G$2311,'декабрь 2024'!$D$5:$D$2311,$B141,'декабрь 2024'!$J$5:$J$2311,W$1)</f>
        <v>0</v>
      </c>
      <c r="X141" s="80">
        <f>SUMIFS('декабрь 2024'!$G$5:$G$2311,'декабрь 2024'!$D$5:$D$2311,$B141,'декабрь 2024'!$J$5:$J$2311,X$1)</f>
        <v>0</v>
      </c>
      <c r="Y141" s="80">
        <f>SUMIFS('декабрь 2024'!$G$5:$G$2311,'декабрь 2024'!$D$5:$D$2311,$B141,'декабрь 2024'!$J$5:$J$2311,Y$1)</f>
        <v>0</v>
      </c>
      <c r="Z141" s="80">
        <f>SUMIFS('декабрь 2024'!$G$5:$G$2311,'декабрь 2024'!$D$5:$D$2311,$B141,'декабрь 2024'!$J$5:$J$2311,Z$1)</f>
        <v>0</v>
      </c>
      <c r="AA141" s="80">
        <f>SUMIFS('декабрь 2024'!$G$5:$G$2311,'декабрь 2024'!$D$5:$D$2311,$B141,'декабрь 2024'!$J$5:$J$2311,AA$1)</f>
        <v>0</v>
      </c>
      <c r="AB141" s="80">
        <f>SUMIFS('декабрь 2024'!$G$5:$G$2311,'декабрь 2024'!$D$5:$D$2311,$B141,'декабрь 2024'!$J$5:$J$2311,AB$1)</f>
        <v>0</v>
      </c>
      <c r="AC141" s="80">
        <f>SUMIFS('декабрь 2024'!$G$5:$G$2311,'декабрь 2024'!$D$5:$D$2311,$B141,'декабрь 2024'!$J$5:$J$2311,AC$1)</f>
        <v>0</v>
      </c>
      <c r="AD141" s="80">
        <f>SUMIFS('декабрь 2024'!$G$5:$G$2311,'декабрь 2024'!$D$5:$D$2311,$B141,'декабрь 2024'!$J$5:$J$2311,AD$1)</f>
        <v>0</v>
      </c>
      <c r="AE141" s="80">
        <f>SUMIFS('декабрь 2024'!$G$5:$G$2311,'декабрь 2024'!$D$5:$D$2311,$B141,'декабрь 2024'!$J$5:$J$2311,AE$1)</f>
        <v>0</v>
      </c>
      <c r="AF141" s="80">
        <f>SUMIFS('декабрь 2024'!$G$5:$G$2311,'декабрь 2024'!$D$5:$D$2311,$B141,'декабрь 2024'!$J$5:$J$2311,AF$1)</f>
        <v>0</v>
      </c>
      <c r="AG141" s="80">
        <f>SUMIFS('декабрь 2024'!$G$5:$G$2311,'декабрь 2024'!$D$5:$D$2311,$B141,'декабрь 2024'!$J$5:$J$2311,AG$1)</f>
        <v>0</v>
      </c>
      <c r="AH141" s="80">
        <f>SUMIFS('декабрь 2024'!$G$5:$G$2311,'декабрь 2024'!$D$5:$D$2311,$B141,'декабрь 2024'!$J$5:$J$2311,AH$1)</f>
        <v>0</v>
      </c>
      <c r="AI141" s="21">
        <f t="shared" si="1"/>
        <v>0</v>
      </c>
    </row>
    <row r="142" spans="2:35" ht="15" customHeight="1" x14ac:dyDescent="0.25">
      <c r="B142" s="89" t="s">
        <v>337</v>
      </c>
      <c r="C142" s="88">
        <v>200</v>
      </c>
      <c r="D142" s="80">
        <f>SUMIFS('декабрь 2024'!$G$5:$G$2311,'декабрь 2024'!$D$5:$D$2311,$B142,'декабрь 2024'!$J$5:$J$2311,D$1)</f>
        <v>0</v>
      </c>
      <c r="E142" s="80">
        <f>SUMIFS('декабрь 2024'!$G$5:$G$2311,'декабрь 2024'!$D$5:$D$2311,$B142,'декабрь 2024'!$J$5:$J$2311,E$1)</f>
        <v>0</v>
      </c>
      <c r="F142" s="80">
        <f>SUMIFS('декабрь 2024'!$G$5:$G$2311,'декабрь 2024'!$D$5:$D$2311,$B142,'декабрь 2024'!$J$5:$J$2311,F$1)</f>
        <v>0</v>
      </c>
      <c r="G142" s="80">
        <f>SUMIFS('декабрь 2024'!$G$5:$G$2311,'декабрь 2024'!$D$5:$D$2311,$B142,'декабрь 2024'!$J$5:$J$2311,G$1)</f>
        <v>0</v>
      </c>
      <c r="H142" s="80">
        <f>SUMIFS('декабрь 2024'!$G$5:$G$2311,'декабрь 2024'!$D$5:$D$2311,$B142,'декабрь 2024'!$J$5:$J$2311,H$1)</f>
        <v>0</v>
      </c>
      <c r="I142" s="80">
        <f>SUMIFS('декабрь 2024'!$G$5:$G$2311,'декабрь 2024'!$D$5:$D$2311,$B142,'декабрь 2024'!$J$5:$J$2311,I$1)</f>
        <v>0</v>
      </c>
      <c r="J142" s="80">
        <f>SUMIFS('декабрь 2024'!$G$5:$G$2311,'декабрь 2024'!$D$5:$D$2311,$B142,'декабрь 2024'!$J$5:$J$2311,J$1)</f>
        <v>0</v>
      </c>
      <c r="K142" s="80">
        <f>SUMIFS('декабрь 2024'!$G$5:$G$2311,'декабрь 2024'!$D$5:$D$2311,$B142,'декабрь 2024'!$J$5:$J$2311,K$1)</f>
        <v>0</v>
      </c>
      <c r="L142" s="80">
        <f>SUMIFS('декабрь 2024'!$G$5:$G$2311,'декабрь 2024'!$D$5:$D$2311,$B142,'декабрь 2024'!$J$5:$J$2311,L$1)</f>
        <v>0</v>
      </c>
      <c r="M142" s="80">
        <f>SUMIFS('декабрь 2024'!$G$5:$G$2311,'декабрь 2024'!$D$5:$D$2311,$B142,'декабрь 2024'!$J$5:$J$2311,M$1)</f>
        <v>0</v>
      </c>
      <c r="N142" s="80">
        <f>SUMIFS('декабрь 2024'!$G$5:$G$2311,'декабрь 2024'!$D$5:$D$2311,$B142,'декабрь 2024'!$J$5:$J$2311,N$1)</f>
        <v>0</v>
      </c>
      <c r="O142" s="80">
        <f>SUMIFS('декабрь 2024'!$G$5:$G$2311,'декабрь 2024'!$D$5:$D$2311,$B142,'декабрь 2024'!$J$5:$J$2311,O$1)</f>
        <v>0</v>
      </c>
      <c r="P142" s="80">
        <f>SUMIFS('декабрь 2024'!$G$5:$G$2311,'декабрь 2024'!$D$5:$D$2311,$B142,'декабрь 2024'!$J$5:$J$2311,P$1)</f>
        <v>0</v>
      </c>
      <c r="Q142" s="80">
        <f>SUMIFS('декабрь 2024'!$G$5:$G$2311,'декабрь 2024'!$D$5:$D$2311,$B142,'декабрь 2024'!$J$5:$J$2311,Q$1)</f>
        <v>0</v>
      </c>
      <c r="R142" s="80">
        <f>SUMIFS('декабрь 2024'!$G$5:$G$2311,'декабрь 2024'!$D$5:$D$2311,$B142,'декабрь 2024'!$J$5:$J$2311,R$1)</f>
        <v>0</v>
      </c>
      <c r="S142" s="80">
        <f>SUMIFS('декабрь 2024'!$G$5:$G$2311,'декабрь 2024'!$D$5:$D$2311,$B142,'декабрь 2024'!$J$5:$J$2311,S$1)</f>
        <v>0</v>
      </c>
      <c r="T142" s="80">
        <f>SUMIFS('декабрь 2024'!$G$5:$G$2311,'декабрь 2024'!$D$5:$D$2311,$B142,'декабрь 2024'!$J$5:$J$2311,T$1)</f>
        <v>0</v>
      </c>
      <c r="U142" s="80">
        <f>SUMIFS('декабрь 2024'!$G$5:$G$2311,'декабрь 2024'!$D$5:$D$2311,$B142,'декабрь 2024'!$J$5:$J$2311,U$1)</f>
        <v>0</v>
      </c>
      <c r="V142" s="80">
        <f>SUMIFS('декабрь 2024'!$G$5:$G$2311,'декабрь 2024'!$D$5:$D$2311,$B142,'декабрь 2024'!$J$5:$J$2311,V$1)</f>
        <v>0</v>
      </c>
      <c r="W142" s="80">
        <f>SUMIFS('декабрь 2024'!$G$5:$G$2311,'декабрь 2024'!$D$5:$D$2311,$B142,'декабрь 2024'!$J$5:$J$2311,W$1)</f>
        <v>0</v>
      </c>
      <c r="X142" s="80">
        <f>SUMIFS('декабрь 2024'!$G$5:$G$2311,'декабрь 2024'!$D$5:$D$2311,$B142,'декабрь 2024'!$J$5:$J$2311,X$1)</f>
        <v>0</v>
      </c>
      <c r="Y142" s="80">
        <f>SUMIFS('декабрь 2024'!$G$5:$G$2311,'декабрь 2024'!$D$5:$D$2311,$B142,'декабрь 2024'!$J$5:$J$2311,Y$1)</f>
        <v>0</v>
      </c>
      <c r="Z142" s="80">
        <f>SUMIFS('декабрь 2024'!$G$5:$G$2311,'декабрь 2024'!$D$5:$D$2311,$B142,'декабрь 2024'!$J$5:$J$2311,Z$1)</f>
        <v>0</v>
      </c>
      <c r="AA142" s="80">
        <f>SUMIFS('декабрь 2024'!$G$5:$G$2311,'декабрь 2024'!$D$5:$D$2311,$B142,'декабрь 2024'!$J$5:$J$2311,AA$1)</f>
        <v>0</v>
      </c>
      <c r="AB142" s="80">
        <f>SUMIFS('декабрь 2024'!$G$5:$G$2311,'декабрь 2024'!$D$5:$D$2311,$B142,'декабрь 2024'!$J$5:$J$2311,AB$1)</f>
        <v>0</v>
      </c>
      <c r="AC142" s="80">
        <f>SUMIFS('декабрь 2024'!$G$5:$G$2311,'декабрь 2024'!$D$5:$D$2311,$B142,'декабрь 2024'!$J$5:$J$2311,AC$1)</f>
        <v>0</v>
      </c>
      <c r="AD142" s="80">
        <f>SUMIFS('декабрь 2024'!$G$5:$G$2311,'декабрь 2024'!$D$5:$D$2311,$B142,'декабрь 2024'!$J$5:$J$2311,AD$1)</f>
        <v>0</v>
      </c>
      <c r="AE142" s="80">
        <f>SUMIFS('декабрь 2024'!$G$5:$G$2311,'декабрь 2024'!$D$5:$D$2311,$B142,'декабрь 2024'!$J$5:$J$2311,AE$1)</f>
        <v>0</v>
      </c>
      <c r="AF142" s="80">
        <f>SUMIFS('декабрь 2024'!$G$5:$G$2311,'декабрь 2024'!$D$5:$D$2311,$B142,'декабрь 2024'!$J$5:$J$2311,AF$1)</f>
        <v>0</v>
      </c>
      <c r="AG142" s="80">
        <f>SUMIFS('декабрь 2024'!$G$5:$G$2311,'декабрь 2024'!$D$5:$D$2311,$B142,'декабрь 2024'!$J$5:$J$2311,AG$1)</f>
        <v>0</v>
      </c>
      <c r="AH142" s="80">
        <f>SUMIFS('декабрь 2024'!$G$5:$G$2311,'декабрь 2024'!$D$5:$D$2311,$B142,'декабрь 2024'!$J$5:$J$2311,AH$1)</f>
        <v>0</v>
      </c>
      <c r="AI142" s="21">
        <f t="shared" si="1"/>
        <v>0</v>
      </c>
    </row>
    <row r="143" spans="2:35" ht="15" customHeight="1" x14ac:dyDescent="0.25">
      <c r="B143" s="89" t="s">
        <v>338</v>
      </c>
      <c r="C143" s="88">
        <v>200</v>
      </c>
      <c r="D143" s="80">
        <f>SUMIFS('декабрь 2024'!$G$5:$G$2311,'декабрь 2024'!$D$5:$D$2311,$B143,'декабрь 2024'!$J$5:$J$2311,D$1)</f>
        <v>0</v>
      </c>
      <c r="E143" s="80">
        <f>SUMIFS('декабрь 2024'!$G$5:$G$2311,'декабрь 2024'!$D$5:$D$2311,$B143,'декабрь 2024'!$J$5:$J$2311,E$1)</f>
        <v>0</v>
      </c>
      <c r="F143" s="80">
        <f>SUMIFS('декабрь 2024'!$G$5:$G$2311,'декабрь 2024'!$D$5:$D$2311,$B143,'декабрь 2024'!$J$5:$J$2311,F$1)</f>
        <v>0</v>
      </c>
      <c r="G143" s="80">
        <f>SUMIFS('декабрь 2024'!$G$5:$G$2311,'декабрь 2024'!$D$5:$D$2311,$B143,'декабрь 2024'!$J$5:$J$2311,G$1)</f>
        <v>0</v>
      </c>
      <c r="H143" s="80">
        <f>SUMIFS('декабрь 2024'!$G$5:$G$2311,'декабрь 2024'!$D$5:$D$2311,$B143,'декабрь 2024'!$J$5:$J$2311,H$1)</f>
        <v>0</v>
      </c>
      <c r="I143" s="80">
        <f>SUMIFS('декабрь 2024'!$G$5:$G$2311,'декабрь 2024'!$D$5:$D$2311,$B143,'декабрь 2024'!$J$5:$J$2311,I$1)</f>
        <v>52</v>
      </c>
      <c r="J143" s="80">
        <f>SUMIFS('декабрь 2024'!$G$5:$G$2311,'декабрь 2024'!$D$5:$D$2311,$B143,'декабрь 2024'!$J$5:$J$2311,J$1)</f>
        <v>0</v>
      </c>
      <c r="K143" s="80">
        <f>SUMIFS('декабрь 2024'!$G$5:$G$2311,'декабрь 2024'!$D$5:$D$2311,$B143,'декабрь 2024'!$J$5:$J$2311,K$1)</f>
        <v>0</v>
      </c>
      <c r="L143" s="80">
        <f>SUMIFS('декабрь 2024'!$G$5:$G$2311,'декабрь 2024'!$D$5:$D$2311,$B143,'декабрь 2024'!$J$5:$J$2311,L$1)</f>
        <v>0</v>
      </c>
      <c r="M143" s="80">
        <f>SUMIFS('декабрь 2024'!$G$5:$G$2311,'декабрь 2024'!$D$5:$D$2311,$B143,'декабрь 2024'!$J$5:$J$2311,M$1)</f>
        <v>0</v>
      </c>
      <c r="N143" s="80">
        <f>SUMIFS('декабрь 2024'!$G$5:$G$2311,'декабрь 2024'!$D$5:$D$2311,$B143,'декабрь 2024'!$J$5:$J$2311,N$1)</f>
        <v>0</v>
      </c>
      <c r="O143" s="80">
        <f>SUMIFS('декабрь 2024'!$G$5:$G$2311,'декабрь 2024'!$D$5:$D$2311,$B143,'декабрь 2024'!$J$5:$J$2311,O$1)</f>
        <v>0</v>
      </c>
      <c r="P143" s="80">
        <f>SUMIFS('декабрь 2024'!$G$5:$G$2311,'декабрь 2024'!$D$5:$D$2311,$B143,'декабрь 2024'!$J$5:$J$2311,P$1)</f>
        <v>52</v>
      </c>
      <c r="Q143" s="80">
        <f>SUMIFS('декабрь 2024'!$G$5:$G$2311,'декабрь 2024'!$D$5:$D$2311,$B143,'декабрь 2024'!$J$5:$J$2311,Q$1)</f>
        <v>0</v>
      </c>
      <c r="R143" s="80">
        <f>SUMIFS('декабрь 2024'!$G$5:$G$2311,'декабрь 2024'!$D$5:$D$2311,$B143,'декабрь 2024'!$J$5:$J$2311,R$1)</f>
        <v>0</v>
      </c>
      <c r="S143" s="80">
        <f>SUMIFS('декабрь 2024'!$G$5:$G$2311,'декабрь 2024'!$D$5:$D$2311,$B143,'декабрь 2024'!$J$5:$J$2311,S$1)</f>
        <v>0</v>
      </c>
      <c r="T143" s="80">
        <f>SUMIFS('декабрь 2024'!$G$5:$G$2311,'декабрь 2024'!$D$5:$D$2311,$B143,'декабрь 2024'!$J$5:$J$2311,T$1)</f>
        <v>0</v>
      </c>
      <c r="U143" s="80">
        <f>SUMIFS('декабрь 2024'!$G$5:$G$2311,'декабрь 2024'!$D$5:$D$2311,$B143,'декабрь 2024'!$J$5:$J$2311,U$1)</f>
        <v>0</v>
      </c>
      <c r="V143" s="80">
        <f>SUMIFS('декабрь 2024'!$G$5:$G$2311,'декабрь 2024'!$D$5:$D$2311,$B143,'декабрь 2024'!$J$5:$J$2311,V$1)</f>
        <v>0</v>
      </c>
      <c r="W143" s="80">
        <f>SUMIFS('декабрь 2024'!$G$5:$G$2311,'декабрь 2024'!$D$5:$D$2311,$B143,'декабрь 2024'!$J$5:$J$2311,W$1)</f>
        <v>0</v>
      </c>
      <c r="X143" s="80">
        <f>SUMIFS('декабрь 2024'!$G$5:$G$2311,'декабрь 2024'!$D$5:$D$2311,$B143,'декабрь 2024'!$J$5:$J$2311,X$1)</f>
        <v>0</v>
      </c>
      <c r="Y143" s="80">
        <f>SUMIFS('декабрь 2024'!$G$5:$G$2311,'декабрь 2024'!$D$5:$D$2311,$B143,'декабрь 2024'!$J$5:$J$2311,Y$1)</f>
        <v>0</v>
      </c>
      <c r="Z143" s="80">
        <f>SUMIFS('декабрь 2024'!$G$5:$G$2311,'декабрь 2024'!$D$5:$D$2311,$B143,'декабрь 2024'!$J$5:$J$2311,Z$1)</f>
        <v>0</v>
      </c>
      <c r="AA143" s="80">
        <f>SUMIFS('декабрь 2024'!$G$5:$G$2311,'декабрь 2024'!$D$5:$D$2311,$B143,'декабрь 2024'!$J$5:$J$2311,AA$1)</f>
        <v>0</v>
      </c>
      <c r="AB143" s="80">
        <f>SUMIFS('декабрь 2024'!$G$5:$G$2311,'декабрь 2024'!$D$5:$D$2311,$B143,'декабрь 2024'!$J$5:$J$2311,AB$1)</f>
        <v>0</v>
      </c>
      <c r="AC143" s="80">
        <f>SUMIFS('декабрь 2024'!$G$5:$G$2311,'декабрь 2024'!$D$5:$D$2311,$B143,'декабрь 2024'!$J$5:$J$2311,AC$1)</f>
        <v>0</v>
      </c>
      <c r="AD143" s="80">
        <f>SUMIFS('декабрь 2024'!$G$5:$G$2311,'декабрь 2024'!$D$5:$D$2311,$B143,'декабрь 2024'!$J$5:$J$2311,AD$1)</f>
        <v>0</v>
      </c>
      <c r="AE143" s="80">
        <f>SUMIFS('декабрь 2024'!$G$5:$G$2311,'декабрь 2024'!$D$5:$D$2311,$B143,'декабрь 2024'!$J$5:$J$2311,AE$1)</f>
        <v>0</v>
      </c>
      <c r="AF143" s="80">
        <f>SUMIFS('декабрь 2024'!$G$5:$G$2311,'декабрь 2024'!$D$5:$D$2311,$B143,'декабрь 2024'!$J$5:$J$2311,AF$1)</f>
        <v>0</v>
      </c>
      <c r="AG143" s="80">
        <f>SUMIFS('декабрь 2024'!$G$5:$G$2311,'декабрь 2024'!$D$5:$D$2311,$B143,'декабрь 2024'!$J$5:$J$2311,AG$1)</f>
        <v>0</v>
      </c>
      <c r="AH143" s="80">
        <f>SUMIFS('декабрь 2024'!$G$5:$G$2311,'декабрь 2024'!$D$5:$D$2311,$B143,'декабрь 2024'!$J$5:$J$2311,AH$1)</f>
        <v>0</v>
      </c>
      <c r="AI143" s="21">
        <f t="shared" si="1"/>
        <v>104</v>
      </c>
    </row>
    <row r="144" spans="2:35" ht="15" customHeight="1" x14ac:dyDescent="0.25">
      <c r="B144" s="89" t="s">
        <v>1441</v>
      </c>
      <c r="C144" s="88">
        <v>1000</v>
      </c>
      <c r="D144" s="80">
        <f>SUMIFS('декабрь 2024'!$G$5:$G$2311,'декабрь 2024'!$D$5:$D$2311,$B144,'декабрь 2024'!$J$5:$J$2311,D$1)</f>
        <v>0</v>
      </c>
      <c r="E144" s="80">
        <f>SUMIFS('декабрь 2024'!$G$5:$G$2311,'декабрь 2024'!$D$5:$D$2311,$B144,'декабрь 2024'!$J$5:$J$2311,E$1)</f>
        <v>0</v>
      </c>
      <c r="F144" s="80">
        <f>SUMIFS('декабрь 2024'!$G$5:$G$2311,'декабрь 2024'!$D$5:$D$2311,$B144,'декабрь 2024'!$J$5:$J$2311,F$1)</f>
        <v>0</v>
      </c>
      <c r="G144" s="80">
        <f>SUMIFS('декабрь 2024'!$G$5:$G$2311,'декабрь 2024'!$D$5:$D$2311,$B144,'декабрь 2024'!$J$5:$J$2311,G$1)</f>
        <v>0</v>
      </c>
      <c r="H144" s="80">
        <f>SUMIFS('декабрь 2024'!$G$5:$G$2311,'декабрь 2024'!$D$5:$D$2311,$B144,'декабрь 2024'!$J$5:$J$2311,H$1)</f>
        <v>0</v>
      </c>
      <c r="I144" s="80">
        <f>SUMIFS('декабрь 2024'!$G$5:$G$2311,'декабрь 2024'!$D$5:$D$2311,$B144,'декабрь 2024'!$J$5:$J$2311,I$1)</f>
        <v>0</v>
      </c>
      <c r="J144" s="80">
        <f>SUMIFS('декабрь 2024'!$G$5:$G$2311,'декабрь 2024'!$D$5:$D$2311,$B144,'декабрь 2024'!$J$5:$J$2311,J$1)</f>
        <v>0</v>
      </c>
      <c r="K144" s="80">
        <f>SUMIFS('декабрь 2024'!$G$5:$G$2311,'декабрь 2024'!$D$5:$D$2311,$B144,'декабрь 2024'!$J$5:$J$2311,K$1)</f>
        <v>0</v>
      </c>
      <c r="L144" s="80">
        <f>SUMIFS('декабрь 2024'!$G$5:$G$2311,'декабрь 2024'!$D$5:$D$2311,$B144,'декабрь 2024'!$J$5:$J$2311,L$1)</f>
        <v>0</v>
      </c>
      <c r="M144" s="80">
        <f>SUMIFS('декабрь 2024'!$G$5:$G$2311,'декабрь 2024'!$D$5:$D$2311,$B144,'декабрь 2024'!$J$5:$J$2311,M$1)</f>
        <v>0</v>
      </c>
      <c r="N144" s="80">
        <f>SUMIFS('декабрь 2024'!$G$5:$G$2311,'декабрь 2024'!$D$5:$D$2311,$B144,'декабрь 2024'!$J$5:$J$2311,N$1)</f>
        <v>0</v>
      </c>
      <c r="O144" s="80">
        <f>SUMIFS('декабрь 2024'!$G$5:$G$2311,'декабрь 2024'!$D$5:$D$2311,$B144,'декабрь 2024'!$J$5:$J$2311,O$1)</f>
        <v>0</v>
      </c>
      <c r="P144" s="80">
        <f>SUMIFS('декабрь 2024'!$G$5:$G$2311,'декабрь 2024'!$D$5:$D$2311,$B144,'декабрь 2024'!$J$5:$J$2311,P$1)</f>
        <v>0</v>
      </c>
      <c r="Q144" s="80">
        <f>SUMIFS('декабрь 2024'!$G$5:$G$2311,'декабрь 2024'!$D$5:$D$2311,$B144,'декабрь 2024'!$J$5:$J$2311,Q$1)</f>
        <v>0</v>
      </c>
      <c r="R144" s="80">
        <f>SUMIFS('декабрь 2024'!$G$5:$G$2311,'декабрь 2024'!$D$5:$D$2311,$B144,'декабрь 2024'!$J$5:$J$2311,R$1)</f>
        <v>0</v>
      </c>
      <c r="S144" s="80">
        <f>SUMIFS('декабрь 2024'!$G$5:$G$2311,'декабрь 2024'!$D$5:$D$2311,$B144,'декабрь 2024'!$J$5:$J$2311,S$1)</f>
        <v>0</v>
      </c>
      <c r="T144" s="80">
        <f>SUMIFS('декабрь 2024'!$G$5:$G$2311,'декабрь 2024'!$D$5:$D$2311,$B144,'декабрь 2024'!$J$5:$J$2311,T$1)</f>
        <v>0</v>
      </c>
      <c r="U144" s="80">
        <f>SUMIFS('декабрь 2024'!$G$5:$G$2311,'декабрь 2024'!$D$5:$D$2311,$B144,'декабрь 2024'!$J$5:$J$2311,U$1)</f>
        <v>0</v>
      </c>
      <c r="V144" s="80">
        <f>SUMIFS('декабрь 2024'!$G$5:$G$2311,'декабрь 2024'!$D$5:$D$2311,$B144,'декабрь 2024'!$J$5:$J$2311,V$1)</f>
        <v>0</v>
      </c>
      <c r="W144" s="80">
        <f>SUMIFS('декабрь 2024'!$G$5:$G$2311,'декабрь 2024'!$D$5:$D$2311,$B144,'декабрь 2024'!$J$5:$J$2311,W$1)</f>
        <v>0</v>
      </c>
      <c r="X144" s="80">
        <f>SUMIFS('декабрь 2024'!$G$5:$G$2311,'декабрь 2024'!$D$5:$D$2311,$B144,'декабрь 2024'!$J$5:$J$2311,X$1)</f>
        <v>0</v>
      </c>
      <c r="Y144" s="80">
        <f>SUMIFS('декабрь 2024'!$G$5:$G$2311,'декабрь 2024'!$D$5:$D$2311,$B144,'декабрь 2024'!$J$5:$J$2311,Y$1)</f>
        <v>0</v>
      </c>
      <c r="Z144" s="80">
        <f>SUMIFS('декабрь 2024'!$G$5:$G$2311,'декабрь 2024'!$D$5:$D$2311,$B144,'декабрь 2024'!$J$5:$J$2311,Z$1)</f>
        <v>0</v>
      </c>
      <c r="AA144" s="80">
        <f>SUMIFS('декабрь 2024'!$G$5:$G$2311,'декабрь 2024'!$D$5:$D$2311,$B144,'декабрь 2024'!$J$5:$J$2311,AA$1)</f>
        <v>0</v>
      </c>
      <c r="AB144" s="80">
        <f>SUMIFS('декабрь 2024'!$G$5:$G$2311,'декабрь 2024'!$D$5:$D$2311,$B144,'декабрь 2024'!$J$5:$J$2311,AB$1)</f>
        <v>0</v>
      </c>
      <c r="AC144" s="80">
        <f>SUMIFS('декабрь 2024'!$G$5:$G$2311,'декабрь 2024'!$D$5:$D$2311,$B144,'декабрь 2024'!$J$5:$J$2311,AC$1)</f>
        <v>0</v>
      </c>
      <c r="AD144" s="80">
        <f>SUMIFS('декабрь 2024'!$G$5:$G$2311,'декабрь 2024'!$D$5:$D$2311,$B144,'декабрь 2024'!$J$5:$J$2311,AD$1)</f>
        <v>0</v>
      </c>
      <c r="AE144" s="80">
        <f>SUMIFS('декабрь 2024'!$G$5:$G$2311,'декабрь 2024'!$D$5:$D$2311,$B144,'декабрь 2024'!$J$5:$J$2311,AE$1)</f>
        <v>0</v>
      </c>
      <c r="AF144" s="80">
        <f>SUMIFS('декабрь 2024'!$G$5:$G$2311,'декабрь 2024'!$D$5:$D$2311,$B144,'декабрь 2024'!$J$5:$J$2311,AF$1)</f>
        <v>0</v>
      </c>
      <c r="AG144" s="80">
        <f>SUMIFS('декабрь 2024'!$G$5:$G$2311,'декабрь 2024'!$D$5:$D$2311,$B144,'декабрь 2024'!$J$5:$J$2311,AG$1)</f>
        <v>0</v>
      </c>
      <c r="AH144" s="80">
        <f>SUMIFS('декабрь 2024'!$G$5:$G$2311,'декабрь 2024'!$D$5:$D$2311,$B144,'декабрь 2024'!$J$5:$J$2311,AH$1)</f>
        <v>0</v>
      </c>
      <c r="AI144" s="21">
        <f t="shared" si="1"/>
        <v>0</v>
      </c>
    </row>
    <row r="145" spans="2:35" ht="15" customHeight="1" x14ac:dyDescent="0.25">
      <c r="B145" s="89" t="s">
        <v>211</v>
      </c>
      <c r="C145" s="88">
        <v>200</v>
      </c>
      <c r="D145" s="80">
        <f>SUMIFS('декабрь 2024'!$G$5:$G$2311,'декабрь 2024'!$D$5:$D$2311,$B145,'декабрь 2024'!$J$5:$J$2311,D$1)</f>
        <v>0</v>
      </c>
      <c r="E145" s="80">
        <f>SUMIFS('декабрь 2024'!$G$5:$G$2311,'декабрь 2024'!$D$5:$D$2311,$B145,'декабрь 2024'!$J$5:$J$2311,E$1)</f>
        <v>0</v>
      </c>
      <c r="F145" s="80">
        <f>SUMIFS('декабрь 2024'!$G$5:$G$2311,'декабрь 2024'!$D$5:$D$2311,$B145,'декабрь 2024'!$J$5:$J$2311,F$1)</f>
        <v>0</v>
      </c>
      <c r="G145" s="80">
        <f>SUMIFS('декабрь 2024'!$G$5:$G$2311,'декабрь 2024'!$D$5:$D$2311,$B145,'декабрь 2024'!$J$5:$J$2311,G$1)</f>
        <v>0</v>
      </c>
      <c r="H145" s="80">
        <f>SUMIFS('декабрь 2024'!$G$5:$G$2311,'декабрь 2024'!$D$5:$D$2311,$B145,'декабрь 2024'!$J$5:$J$2311,H$1)</f>
        <v>0</v>
      </c>
      <c r="I145" s="80">
        <f>SUMIFS('декабрь 2024'!$G$5:$G$2311,'декабрь 2024'!$D$5:$D$2311,$B145,'декабрь 2024'!$J$5:$J$2311,I$1)</f>
        <v>0</v>
      </c>
      <c r="J145" s="80">
        <f>SUMIFS('декабрь 2024'!$G$5:$G$2311,'декабрь 2024'!$D$5:$D$2311,$B145,'декабрь 2024'!$J$5:$J$2311,J$1)</f>
        <v>0</v>
      </c>
      <c r="K145" s="80">
        <f>SUMIFS('декабрь 2024'!$G$5:$G$2311,'декабрь 2024'!$D$5:$D$2311,$B145,'декабрь 2024'!$J$5:$J$2311,K$1)</f>
        <v>0</v>
      </c>
      <c r="L145" s="80">
        <f>SUMIFS('декабрь 2024'!$G$5:$G$2311,'декабрь 2024'!$D$5:$D$2311,$B145,'декабрь 2024'!$J$5:$J$2311,L$1)</f>
        <v>0</v>
      </c>
      <c r="M145" s="80">
        <f>SUMIFS('декабрь 2024'!$G$5:$G$2311,'декабрь 2024'!$D$5:$D$2311,$B145,'декабрь 2024'!$J$5:$J$2311,M$1)</f>
        <v>0</v>
      </c>
      <c r="N145" s="80">
        <f>SUMIFS('декабрь 2024'!$G$5:$G$2311,'декабрь 2024'!$D$5:$D$2311,$B145,'декабрь 2024'!$J$5:$J$2311,N$1)</f>
        <v>0</v>
      </c>
      <c r="O145" s="80">
        <f>SUMIFS('декабрь 2024'!$G$5:$G$2311,'декабрь 2024'!$D$5:$D$2311,$B145,'декабрь 2024'!$J$5:$J$2311,O$1)</f>
        <v>0</v>
      </c>
      <c r="P145" s="80">
        <f>SUMIFS('декабрь 2024'!$G$5:$G$2311,'декабрь 2024'!$D$5:$D$2311,$B145,'декабрь 2024'!$J$5:$J$2311,P$1)</f>
        <v>0</v>
      </c>
      <c r="Q145" s="80">
        <f>SUMIFS('декабрь 2024'!$G$5:$G$2311,'декабрь 2024'!$D$5:$D$2311,$B145,'декабрь 2024'!$J$5:$J$2311,Q$1)</f>
        <v>0</v>
      </c>
      <c r="R145" s="80">
        <f>SUMIFS('декабрь 2024'!$G$5:$G$2311,'декабрь 2024'!$D$5:$D$2311,$B145,'декабрь 2024'!$J$5:$J$2311,R$1)</f>
        <v>0</v>
      </c>
      <c r="S145" s="80">
        <f>SUMIFS('декабрь 2024'!$G$5:$G$2311,'декабрь 2024'!$D$5:$D$2311,$B145,'декабрь 2024'!$J$5:$J$2311,S$1)</f>
        <v>0</v>
      </c>
      <c r="T145" s="80">
        <f>SUMIFS('декабрь 2024'!$G$5:$G$2311,'декабрь 2024'!$D$5:$D$2311,$B145,'декабрь 2024'!$J$5:$J$2311,T$1)</f>
        <v>0</v>
      </c>
      <c r="U145" s="80">
        <f>SUMIFS('декабрь 2024'!$G$5:$G$2311,'декабрь 2024'!$D$5:$D$2311,$B145,'декабрь 2024'!$J$5:$J$2311,U$1)</f>
        <v>0</v>
      </c>
      <c r="V145" s="80">
        <f>SUMIFS('декабрь 2024'!$G$5:$G$2311,'декабрь 2024'!$D$5:$D$2311,$B145,'декабрь 2024'!$J$5:$J$2311,V$1)</f>
        <v>0</v>
      </c>
      <c r="W145" s="80">
        <f>SUMIFS('декабрь 2024'!$G$5:$G$2311,'декабрь 2024'!$D$5:$D$2311,$B145,'декабрь 2024'!$J$5:$J$2311,W$1)</f>
        <v>0</v>
      </c>
      <c r="X145" s="80">
        <f>SUMIFS('декабрь 2024'!$G$5:$G$2311,'декабрь 2024'!$D$5:$D$2311,$B145,'декабрь 2024'!$J$5:$J$2311,X$1)</f>
        <v>0</v>
      </c>
      <c r="Y145" s="80">
        <f>SUMIFS('декабрь 2024'!$G$5:$G$2311,'декабрь 2024'!$D$5:$D$2311,$B145,'декабрь 2024'!$J$5:$J$2311,Y$1)</f>
        <v>0</v>
      </c>
      <c r="Z145" s="80">
        <f>SUMIFS('декабрь 2024'!$G$5:$G$2311,'декабрь 2024'!$D$5:$D$2311,$B145,'декабрь 2024'!$J$5:$J$2311,Z$1)</f>
        <v>0</v>
      </c>
      <c r="AA145" s="80">
        <f>SUMIFS('декабрь 2024'!$G$5:$G$2311,'декабрь 2024'!$D$5:$D$2311,$B145,'декабрь 2024'!$J$5:$J$2311,AA$1)</f>
        <v>0</v>
      </c>
      <c r="AB145" s="80">
        <f>SUMIFS('декабрь 2024'!$G$5:$G$2311,'декабрь 2024'!$D$5:$D$2311,$B145,'декабрь 2024'!$J$5:$J$2311,AB$1)</f>
        <v>0</v>
      </c>
      <c r="AC145" s="80">
        <f>SUMIFS('декабрь 2024'!$G$5:$G$2311,'декабрь 2024'!$D$5:$D$2311,$B145,'декабрь 2024'!$J$5:$J$2311,AC$1)</f>
        <v>0</v>
      </c>
      <c r="AD145" s="80">
        <f>SUMIFS('декабрь 2024'!$G$5:$G$2311,'декабрь 2024'!$D$5:$D$2311,$B145,'декабрь 2024'!$J$5:$J$2311,AD$1)</f>
        <v>0</v>
      </c>
      <c r="AE145" s="80">
        <f>SUMIFS('декабрь 2024'!$G$5:$G$2311,'декабрь 2024'!$D$5:$D$2311,$B145,'декабрь 2024'!$J$5:$J$2311,AE$1)</f>
        <v>0</v>
      </c>
      <c r="AF145" s="80">
        <f>SUMIFS('декабрь 2024'!$G$5:$G$2311,'декабрь 2024'!$D$5:$D$2311,$B145,'декабрь 2024'!$J$5:$J$2311,AF$1)</f>
        <v>0</v>
      </c>
      <c r="AG145" s="80">
        <f>SUMIFS('декабрь 2024'!$G$5:$G$2311,'декабрь 2024'!$D$5:$D$2311,$B145,'декабрь 2024'!$J$5:$J$2311,AG$1)</f>
        <v>0</v>
      </c>
      <c r="AH145" s="80">
        <f>SUMIFS('декабрь 2024'!$G$5:$G$2311,'декабрь 2024'!$D$5:$D$2311,$B145,'декабрь 2024'!$J$5:$J$2311,AH$1)</f>
        <v>0</v>
      </c>
      <c r="AI145" s="21">
        <f t="shared" si="1"/>
        <v>0</v>
      </c>
    </row>
    <row r="146" spans="2:35" ht="15" customHeight="1" x14ac:dyDescent="0.25">
      <c r="B146" s="89" t="s">
        <v>339</v>
      </c>
      <c r="C146" s="88">
        <v>200</v>
      </c>
      <c r="D146" s="80">
        <f>SUMIFS('декабрь 2024'!$G$5:$G$2311,'декабрь 2024'!$D$5:$D$2311,$B146,'декабрь 2024'!$J$5:$J$2311,D$1)</f>
        <v>0</v>
      </c>
      <c r="E146" s="80">
        <f>SUMIFS('декабрь 2024'!$G$5:$G$2311,'декабрь 2024'!$D$5:$D$2311,$B146,'декабрь 2024'!$J$5:$J$2311,E$1)</f>
        <v>0</v>
      </c>
      <c r="F146" s="80">
        <f>SUMIFS('декабрь 2024'!$G$5:$G$2311,'декабрь 2024'!$D$5:$D$2311,$B146,'декабрь 2024'!$J$5:$J$2311,F$1)</f>
        <v>0</v>
      </c>
      <c r="G146" s="80">
        <f>SUMIFS('декабрь 2024'!$G$5:$G$2311,'декабрь 2024'!$D$5:$D$2311,$B146,'декабрь 2024'!$J$5:$J$2311,G$1)</f>
        <v>0</v>
      </c>
      <c r="H146" s="80">
        <f>SUMIFS('декабрь 2024'!$G$5:$G$2311,'декабрь 2024'!$D$5:$D$2311,$B146,'декабрь 2024'!$J$5:$J$2311,H$1)</f>
        <v>0</v>
      </c>
      <c r="I146" s="80">
        <f>SUMIFS('декабрь 2024'!$G$5:$G$2311,'декабрь 2024'!$D$5:$D$2311,$B146,'декабрь 2024'!$J$5:$J$2311,I$1)</f>
        <v>0</v>
      </c>
      <c r="J146" s="80">
        <f>SUMIFS('декабрь 2024'!$G$5:$G$2311,'декабрь 2024'!$D$5:$D$2311,$B146,'декабрь 2024'!$J$5:$J$2311,J$1)</f>
        <v>0</v>
      </c>
      <c r="K146" s="80">
        <f>SUMIFS('декабрь 2024'!$G$5:$G$2311,'декабрь 2024'!$D$5:$D$2311,$B146,'декабрь 2024'!$J$5:$J$2311,K$1)</f>
        <v>0</v>
      </c>
      <c r="L146" s="80">
        <f>SUMIFS('декабрь 2024'!$G$5:$G$2311,'декабрь 2024'!$D$5:$D$2311,$B146,'декабрь 2024'!$J$5:$J$2311,L$1)</f>
        <v>0</v>
      </c>
      <c r="M146" s="80">
        <f>SUMIFS('декабрь 2024'!$G$5:$G$2311,'декабрь 2024'!$D$5:$D$2311,$B146,'декабрь 2024'!$J$5:$J$2311,M$1)</f>
        <v>0</v>
      </c>
      <c r="N146" s="80">
        <f>SUMIFS('декабрь 2024'!$G$5:$G$2311,'декабрь 2024'!$D$5:$D$2311,$B146,'декабрь 2024'!$J$5:$J$2311,N$1)</f>
        <v>0</v>
      </c>
      <c r="O146" s="80">
        <f>SUMIFS('декабрь 2024'!$G$5:$G$2311,'декабрь 2024'!$D$5:$D$2311,$B146,'декабрь 2024'!$J$5:$J$2311,O$1)</f>
        <v>0</v>
      </c>
      <c r="P146" s="80">
        <f>SUMIFS('декабрь 2024'!$G$5:$G$2311,'декабрь 2024'!$D$5:$D$2311,$B146,'декабрь 2024'!$J$5:$J$2311,P$1)</f>
        <v>0</v>
      </c>
      <c r="Q146" s="80">
        <f>SUMIFS('декабрь 2024'!$G$5:$G$2311,'декабрь 2024'!$D$5:$D$2311,$B146,'декабрь 2024'!$J$5:$J$2311,Q$1)</f>
        <v>0</v>
      </c>
      <c r="R146" s="80">
        <f>SUMIFS('декабрь 2024'!$G$5:$G$2311,'декабрь 2024'!$D$5:$D$2311,$B146,'декабрь 2024'!$J$5:$J$2311,R$1)</f>
        <v>0</v>
      </c>
      <c r="S146" s="80">
        <f>SUMIFS('декабрь 2024'!$G$5:$G$2311,'декабрь 2024'!$D$5:$D$2311,$B146,'декабрь 2024'!$J$5:$J$2311,S$1)</f>
        <v>0</v>
      </c>
      <c r="T146" s="80">
        <f>SUMIFS('декабрь 2024'!$G$5:$G$2311,'декабрь 2024'!$D$5:$D$2311,$B146,'декабрь 2024'!$J$5:$J$2311,T$1)</f>
        <v>0</v>
      </c>
      <c r="U146" s="80">
        <f>SUMIFS('декабрь 2024'!$G$5:$G$2311,'декабрь 2024'!$D$5:$D$2311,$B146,'декабрь 2024'!$J$5:$J$2311,U$1)</f>
        <v>0</v>
      </c>
      <c r="V146" s="80">
        <f>SUMIFS('декабрь 2024'!$G$5:$G$2311,'декабрь 2024'!$D$5:$D$2311,$B146,'декабрь 2024'!$J$5:$J$2311,V$1)</f>
        <v>0</v>
      </c>
      <c r="W146" s="80">
        <f>SUMIFS('декабрь 2024'!$G$5:$G$2311,'декабрь 2024'!$D$5:$D$2311,$B146,'декабрь 2024'!$J$5:$J$2311,W$1)</f>
        <v>0</v>
      </c>
      <c r="X146" s="80">
        <f>SUMIFS('декабрь 2024'!$G$5:$G$2311,'декабрь 2024'!$D$5:$D$2311,$B146,'декабрь 2024'!$J$5:$J$2311,X$1)</f>
        <v>0</v>
      </c>
      <c r="Y146" s="80">
        <f>SUMIFS('декабрь 2024'!$G$5:$G$2311,'декабрь 2024'!$D$5:$D$2311,$B146,'декабрь 2024'!$J$5:$J$2311,Y$1)</f>
        <v>0</v>
      </c>
      <c r="Z146" s="80">
        <f>SUMIFS('декабрь 2024'!$G$5:$G$2311,'декабрь 2024'!$D$5:$D$2311,$B146,'декабрь 2024'!$J$5:$J$2311,Z$1)</f>
        <v>0</v>
      </c>
      <c r="AA146" s="80">
        <f>SUMIFS('декабрь 2024'!$G$5:$G$2311,'декабрь 2024'!$D$5:$D$2311,$B146,'декабрь 2024'!$J$5:$J$2311,AA$1)</f>
        <v>0</v>
      </c>
      <c r="AB146" s="80">
        <f>SUMIFS('декабрь 2024'!$G$5:$G$2311,'декабрь 2024'!$D$5:$D$2311,$B146,'декабрь 2024'!$J$5:$J$2311,AB$1)</f>
        <v>0</v>
      </c>
      <c r="AC146" s="80">
        <f>SUMIFS('декабрь 2024'!$G$5:$G$2311,'декабрь 2024'!$D$5:$D$2311,$B146,'декабрь 2024'!$J$5:$J$2311,AC$1)</f>
        <v>0</v>
      </c>
      <c r="AD146" s="80">
        <f>SUMIFS('декабрь 2024'!$G$5:$G$2311,'декабрь 2024'!$D$5:$D$2311,$B146,'декабрь 2024'!$J$5:$J$2311,AD$1)</f>
        <v>0</v>
      </c>
      <c r="AE146" s="80">
        <f>SUMIFS('декабрь 2024'!$G$5:$G$2311,'декабрь 2024'!$D$5:$D$2311,$B146,'декабрь 2024'!$J$5:$J$2311,AE$1)</f>
        <v>0</v>
      </c>
      <c r="AF146" s="80">
        <f>SUMIFS('декабрь 2024'!$G$5:$G$2311,'декабрь 2024'!$D$5:$D$2311,$B146,'декабрь 2024'!$J$5:$J$2311,AF$1)</f>
        <v>0</v>
      </c>
      <c r="AG146" s="80">
        <f>SUMIFS('декабрь 2024'!$G$5:$G$2311,'декабрь 2024'!$D$5:$D$2311,$B146,'декабрь 2024'!$J$5:$J$2311,AG$1)</f>
        <v>0</v>
      </c>
      <c r="AH146" s="80">
        <f>SUMIFS('декабрь 2024'!$G$5:$G$2311,'декабрь 2024'!$D$5:$D$2311,$B146,'декабрь 2024'!$J$5:$J$2311,AH$1)</f>
        <v>0</v>
      </c>
      <c r="AI146" s="21">
        <f t="shared" si="1"/>
        <v>0</v>
      </c>
    </row>
    <row r="147" spans="2:35" ht="15" customHeight="1" x14ac:dyDescent="0.25">
      <c r="B147" s="89" t="s">
        <v>215</v>
      </c>
      <c r="C147" s="91">
        <v>200</v>
      </c>
      <c r="D147" s="80">
        <f>SUMIFS('декабрь 2024'!$G$5:$G$2311,'декабрь 2024'!$D$5:$D$2311,$B147,'декабрь 2024'!$J$5:$J$2311,D$1)</f>
        <v>0</v>
      </c>
      <c r="E147" s="80">
        <f>SUMIFS('декабрь 2024'!$G$5:$G$2311,'декабрь 2024'!$D$5:$D$2311,$B147,'декабрь 2024'!$J$5:$J$2311,E$1)</f>
        <v>0</v>
      </c>
      <c r="F147" s="80">
        <f>SUMIFS('декабрь 2024'!$G$5:$G$2311,'декабрь 2024'!$D$5:$D$2311,$B147,'декабрь 2024'!$J$5:$J$2311,F$1)</f>
        <v>0</v>
      </c>
      <c r="G147" s="80">
        <f>SUMIFS('декабрь 2024'!$G$5:$G$2311,'декабрь 2024'!$D$5:$D$2311,$B147,'декабрь 2024'!$J$5:$J$2311,G$1)</f>
        <v>0</v>
      </c>
      <c r="H147" s="80">
        <f>SUMIFS('декабрь 2024'!$G$5:$G$2311,'декабрь 2024'!$D$5:$D$2311,$B147,'декабрь 2024'!$J$5:$J$2311,H$1)</f>
        <v>0</v>
      </c>
      <c r="I147" s="80">
        <f>SUMIFS('декабрь 2024'!$G$5:$G$2311,'декабрь 2024'!$D$5:$D$2311,$B147,'декабрь 2024'!$J$5:$J$2311,I$1)</f>
        <v>0</v>
      </c>
      <c r="J147" s="80">
        <f>SUMIFS('декабрь 2024'!$G$5:$G$2311,'декабрь 2024'!$D$5:$D$2311,$B147,'декабрь 2024'!$J$5:$J$2311,J$1)</f>
        <v>0</v>
      </c>
      <c r="K147" s="80">
        <f>SUMIFS('декабрь 2024'!$G$5:$G$2311,'декабрь 2024'!$D$5:$D$2311,$B147,'декабрь 2024'!$J$5:$J$2311,K$1)</f>
        <v>0</v>
      </c>
      <c r="L147" s="80">
        <f>SUMIFS('декабрь 2024'!$G$5:$G$2311,'декабрь 2024'!$D$5:$D$2311,$B147,'декабрь 2024'!$J$5:$J$2311,L$1)</f>
        <v>0</v>
      </c>
      <c r="M147" s="80">
        <f>SUMIFS('декабрь 2024'!$G$5:$G$2311,'декабрь 2024'!$D$5:$D$2311,$B147,'декабрь 2024'!$J$5:$J$2311,M$1)</f>
        <v>0</v>
      </c>
      <c r="N147" s="80">
        <f>SUMIFS('декабрь 2024'!$G$5:$G$2311,'декабрь 2024'!$D$5:$D$2311,$B147,'декабрь 2024'!$J$5:$J$2311,N$1)</f>
        <v>0</v>
      </c>
      <c r="O147" s="80">
        <f>SUMIFS('декабрь 2024'!$G$5:$G$2311,'декабрь 2024'!$D$5:$D$2311,$B147,'декабрь 2024'!$J$5:$J$2311,O$1)</f>
        <v>0</v>
      </c>
      <c r="P147" s="80">
        <f>SUMIFS('декабрь 2024'!$G$5:$G$2311,'декабрь 2024'!$D$5:$D$2311,$B147,'декабрь 2024'!$J$5:$J$2311,P$1)</f>
        <v>0</v>
      </c>
      <c r="Q147" s="80">
        <f>SUMIFS('декабрь 2024'!$G$5:$G$2311,'декабрь 2024'!$D$5:$D$2311,$B147,'декабрь 2024'!$J$5:$J$2311,Q$1)</f>
        <v>0</v>
      </c>
      <c r="R147" s="80">
        <f>SUMIFS('декабрь 2024'!$G$5:$G$2311,'декабрь 2024'!$D$5:$D$2311,$B147,'декабрь 2024'!$J$5:$J$2311,R$1)</f>
        <v>0</v>
      </c>
      <c r="S147" s="80">
        <f>SUMIFS('декабрь 2024'!$G$5:$G$2311,'декабрь 2024'!$D$5:$D$2311,$B147,'декабрь 2024'!$J$5:$J$2311,S$1)</f>
        <v>0</v>
      </c>
      <c r="T147" s="80">
        <f>SUMIFS('декабрь 2024'!$G$5:$G$2311,'декабрь 2024'!$D$5:$D$2311,$B147,'декабрь 2024'!$J$5:$J$2311,T$1)</f>
        <v>0</v>
      </c>
      <c r="U147" s="80">
        <f>SUMIFS('декабрь 2024'!$G$5:$G$2311,'декабрь 2024'!$D$5:$D$2311,$B147,'декабрь 2024'!$J$5:$J$2311,U$1)</f>
        <v>0</v>
      </c>
      <c r="V147" s="80">
        <f>SUMIFS('декабрь 2024'!$G$5:$G$2311,'декабрь 2024'!$D$5:$D$2311,$B147,'декабрь 2024'!$J$5:$J$2311,V$1)</f>
        <v>0</v>
      </c>
      <c r="W147" s="80">
        <f>SUMIFS('декабрь 2024'!$G$5:$G$2311,'декабрь 2024'!$D$5:$D$2311,$B147,'декабрь 2024'!$J$5:$J$2311,W$1)</f>
        <v>0</v>
      </c>
      <c r="X147" s="80">
        <f>SUMIFS('декабрь 2024'!$G$5:$G$2311,'декабрь 2024'!$D$5:$D$2311,$B147,'декабрь 2024'!$J$5:$J$2311,X$1)</f>
        <v>0</v>
      </c>
      <c r="Y147" s="80">
        <f>SUMIFS('декабрь 2024'!$G$5:$G$2311,'декабрь 2024'!$D$5:$D$2311,$B147,'декабрь 2024'!$J$5:$J$2311,Y$1)</f>
        <v>0</v>
      </c>
      <c r="Z147" s="80">
        <f>SUMIFS('декабрь 2024'!$G$5:$G$2311,'декабрь 2024'!$D$5:$D$2311,$B147,'декабрь 2024'!$J$5:$J$2311,Z$1)</f>
        <v>0</v>
      </c>
      <c r="AA147" s="80">
        <f>SUMIFS('декабрь 2024'!$G$5:$G$2311,'декабрь 2024'!$D$5:$D$2311,$B147,'декабрь 2024'!$J$5:$J$2311,AA$1)</f>
        <v>0</v>
      </c>
      <c r="AB147" s="80">
        <f>SUMIFS('декабрь 2024'!$G$5:$G$2311,'декабрь 2024'!$D$5:$D$2311,$B147,'декабрь 2024'!$J$5:$J$2311,AB$1)</f>
        <v>0</v>
      </c>
      <c r="AC147" s="80">
        <f>SUMIFS('декабрь 2024'!$G$5:$G$2311,'декабрь 2024'!$D$5:$D$2311,$B147,'декабрь 2024'!$J$5:$J$2311,AC$1)</f>
        <v>0</v>
      </c>
      <c r="AD147" s="80">
        <f>SUMIFS('декабрь 2024'!$G$5:$G$2311,'декабрь 2024'!$D$5:$D$2311,$B147,'декабрь 2024'!$J$5:$J$2311,AD$1)</f>
        <v>0</v>
      </c>
      <c r="AE147" s="80">
        <f>SUMIFS('декабрь 2024'!$G$5:$G$2311,'декабрь 2024'!$D$5:$D$2311,$B147,'декабрь 2024'!$J$5:$J$2311,AE$1)</f>
        <v>0</v>
      </c>
      <c r="AF147" s="80">
        <f>SUMIFS('декабрь 2024'!$G$5:$G$2311,'декабрь 2024'!$D$5:$D$2311,$B147,'декабрь 2024'!$J$5:$J$2311,AF$1)</f>
        <v>0</v>
      </c>
      <c r="AG147" s="80">
        <f>SUMIFS('декабрь 2024'!$G$5:$G$2311,'декабрь 2024'!$D$5:$D$2311,$B147,'декабрь 2024'!$J$5:$J$2311,AG$1)</f>
        <v>0</v>
      </c>
      <c r="AH147" s="80">
        <f>SUMIFS('декабрь 2024'!$G$5:$G$2311,'декабрь 2024'!$D$5:$D$2311,$B147,'декабрь 2024'!$J$5:$J$2311,AH$1)</f>
        <v>0</v>
      </c>
      <c r="AI147" s="21">
        <f t="shared" si="1"/>
        <v>0</v>
      </c>
    </row>
    <row r="148" spans="2:35" ht="15" customHeight="1" x14ac:dyDescent="0.25">
      <c r="B148" s="89" t="s">
        <v>585</v>
      </c>
      <c r="C148" s="91">
        <v>200</v>
      </c>
      <c r="D148" s="80">
        <f>SUMIFS('декабрь 2024'!$G$5:$G$2311,'декабрь 2024'!$D$5:$D$2311,$B148,'декабрь 2024'!$J$5:$J$2311,D$1)</f>
        <v>0</v>
      </c>
      <c r="E148" s="80">
        <f>SUMIFS('декабрь 2024'!$G$5:$G$2311,'декабрь 2024'!$D$5:$D$2311,$B148,'декабрь 2024'!$J$5:$J$2311,E$1)</f>
        <v>0</v>
      </c>
      <c r="F148" s="80">
        <f>SUMIFS('декабрь 2024'!$G$5:$G$2311,'декабрь 2024'!$D$5:$D$2311,$B148,'декабрь 2024'!$J$5:$J$2311,F$1)</f>
        <v>0</v>
      </c>
      <c r="G148" s="80">
        <f>SUMIFS('декабрь 2024'!$G$5:$G$2311,'декабрь 2024'!$D$5:$D$2311,$B148,'декабрь 2024'!$J$5:$J$2311,G$1)</f>
        <v>0</v>
      </c>
      <c r="H148" s="80">
        <f>SUMIFS('декабрь 2024'!$G$5:$G$2311,'декабрь 2024'!$D$5:$D$2311,$B148,'декабрь 2024'!$J$5:$J$2311,H$1)</f>
        <v>0</v>
      </c>
      <c r="I148" s="80">
        <f>SUMIFS('декабрь 2024'!$G$5:$G$2311,'декабрь 2024'!$D$5:$D$2311,$B148,'декабрь 2024'!$J$5:$J$2311,I$1)</f>
        <v>0</v>
      </c>
      <c r="J148" s="80">
        <f>SUMIFS('декабрь 2024'!$G$5:$G$2311,'декабрь 2024'!$D$5:$D$2311,$B148,'декабрь 2024'!$J$5:$J$2311,J$1)</f>
        <v>0</v>
      </c>
      <c r="K148" s="80">
        <f>SUMIFS('декабрь 2024'!$G$5:$G$2311,'декабрь 2024'!$D$5:$D$2311,$B148,'декабрь 2024'!$J$5:$J$2311,K$1)</f>
        <v>0</v>
      </c>
      <c r="L148" s="80">
        <f>SUMIFS('декабрь 2024'!$G$5:$G$2311,'декабрь 2024'!$D$5:$D$2311,$B148,'декабрь 2024'!$J$5:$J$2311,L$1)</f>
        <v>0</v>
      </c>
      <c r="M148" s="80">
        <f>SUMIFS('декабрь 2024'!$G$5:$G$2311,'декабрь 2024'!$D$5:$D$2311,$B148,'декабрь 2024'!$J$5:$J$2311,M$1)</f>
        <v>0</v>
      </c>
      <c r="N148" s="80">
        <f>SUMIFS('декабрь 2024'!$G$5:$G$2311,'декабрь 2024'!$D$5:$D$2311,$B148,'декабрь 2024'!$J$5:$J$2311,N$1)</f>
        <v>0</v>
      </c>
      <c r="O148" s="80">
        <f>SUMIFS('декабрь 2024'!$G$5:$G$2311,'декабрь 2024'!$D$5:$D$2311,$B148,'декабрь 2024'!$J$5:$J$2311,O$1)</f>
        <v>0</v>
      </c>
      <c r="P148" s="80">
        <f>SUMIFS('декабрь 2024'!$G$5:$G$2311,'декабрь 2024'!$D$5:$D$2311,$B148,'декабрь 2024'!$J$5:$J$2311,P$1)</f>
        <v>0</v>
      </c>
      <c r="Q148" s="80">
        <f>SUMIFS('декабрь 2024'!$G$5:$G$2311,'декабрь 2024'!$D$5:$D$2311,$B148,'декабрь 2024'!$J$5:$J$2311,Q$1)</f>
        <v>0</v>
      </c>
      <c r="R148" s="80">
        <f>SUMIFS('декабрь 2024'!$G$5:$G$2311,'декабрь 2024'!$D$5:$D$2311,$B148,'декабрь 2024'!$J$5:$J$2311,R$1)</f>
        <v>0</v>
      </c>
      <c r="S148" s="80">
        <f>SUMIFS('декабрь 2024'!$G$5:$G$2311,'декабрь 2024'!$D$5:$D$2311,$B148,'декабрь 2024'!$J$5:$J$2311,S$1)</f>
        <v>0</v>
      </c>
      <c r="T148" s="80">
        <f>SUMIFS('декабрь 2024'!$G$5:$G$2311,'декабрь 2024'!$D$5:$D$2311,$B148,'декабрь 2024'!$J$5:$J$2311,T$1)</f>
        <v>0</v>
      </c>
      <c r="U148" s="80">
        <f>SUMIFS('декабрь 2024'!$G$5:$G$2311,'декабрь 2024'!$D$5:$D$2311,$B148,'декабрь 2024'!$J$5:$J$2311,U$1)</f>
        <v>0</v>
      </c>
      <c r="V148" s="80">
        <f>SUMIFS('декабрь 2024'!$G$5:$G$2311,'декабрь 2024'!$D$5:$D$2311,$B148,'декабрь 2024'!$J$5:$J$2311,V$1)</f>
        <v>0</v>
      </c>
      <c r="W148" s="80">
        <f>SUMIFS('декабрь 2024'!$G$5:$G$2311,'декабрь 2024'!$D$5:$D$2311,$B148,'декабрь 2024'!$J$5:$J$2311,W$1)</f>
        <v>0</v>
      </c>
      <c r="X148" s="80">
        <f>SUMIFS('декабрь 2024'!$G$5:$G$2311,'декабрь 2024'!$D$5:$D$2311,$B148,'декабрь 2024'!$J$5:$J$2311,X$1)</f>
        <v>0</v>
      </c>
      <c r="Y148" s="80">
        <f>SUMIFS('декабрь 2024'!$G$5:$G$2311,'декабрь 2024'!$D$5:$D$2311,$B148,'декабрь 2024'!$J$5:$J$2311,Y$1)</f>
        <v>0</v>
      </c>
      <c r="Z148" s="80">
        <f>SUMIFS('декабрь 2024'!$G$5:$G$2311,'декабрь 2024'!$D$5:$D$2311,$B148,'декабрь 2024'!$J$5:$J$2311,Z$1)</f>
        <v>0</v>
      </c>
      <c r="AA148" s="80">
        <f>SUMIFS('декабрь 2024'!$G$5:$G$2311,'декабрь 2024'!$D$5:$D$2311,$B148,'декабрь 2024'!$J$5:$J$2311,AA$1)</f>
        <v>0</v>
      </c>
      <c r="AB148" s="80">
        <f>SUMIFS('декабрь 2024'!$G$5:$G$2311,'декабрь 2024'!$D$5:$D$2311,$B148,'декабрь 2024'!$J$5:$J$2311,AB$1)</f>
        <v>0</v>
      </c>
      <c r="AC148" s="80">
        <f>SUMIFS('декабрь 2024'!$G$5:$G$2311,'декабрь 2024'!$D$5:$D$2311,$B148,'декабрь 2024'!$J$5:$J$2311,AC$1)</f>
        <v>0</v>
      </c>
      <c r="AD148" s="80">
        <f>SUMIFS('декабрь 2024'!$G$5:$G$2311,'декабрь 2024'!$D$5:$D$2311,$B148,'декабрь 2024'!$J$5:$J$2311,AD$1)</f>
        <v>0</v>
      </c>
      <c r="AE148" s="80">
        <f>SUMIFS('декабрь 2024'!$G$5:$G$2311,'декабрь 2024'!$D$5:$D$2311,$B148,'декабрь 2024'!$J$5:$J$2311,AE$1)</f>
        <v>0</v>
      </c>
      <c r="AF148" s="80">
        <f>SUMIFS('декабрь 2024'!$G$5:$G$2311,'декабрь 2024'!$D$5:$D$2311,$B148,'декабрь 2024'!$J$5:$J$2311,AF$1)</f>
        <v>0</v>
      </c>
      <c r="AG148" s="80">
        <f>SUMIFS('декабрь 2024'!$G$5:$G$2311,'декабрь 2024'!$D$5:$D$2311,$B148,'декабрь 2024'!$J$5:$J$2311,AG$1)</f>
        <v>0</v>
      </c>
      <c r="AH148" s="80">
        <f>SUMIFS('декабрь 2024'!$G$5:$G$2311,'декабрь 2024'!$D$5:$D$2311,$B148,'декабрь 2024'!$J$5:$J$2311,AH$1)</f>
        <v>0</v>
      </c>
      <c r="AI148" s="21">
        <f t="shared" si="1"/>
        <v>0</v>
      </c>
    </row>
    <row r="149" spans="2:35" ht="15" customHeight="1" x14ac:dyDescent="0.25">
      <c r="B149" s="93" t="s">
        <v>186</v>
      </c>
      <c r="C149" s="91">
        <v>25</v>
      </c>
      <c r="D149" s="80">
        <f>SUMIFS('декабрь 2024'!$G$5:$G$2311,'декабрь 2024'!$D$5:$D$2311,$B149,'декабрь 2024'!$J$5:$J$2311,D$1)</f>
        <v>0</v>
      </c>
      <c r="E149" s="80">
        <f>SUMIFS('декабрь 2024'!$G$5:$G$2311,'декабрь 2024'!$D$5:$D$2311,$B149,'декабрь 2024'!$J$5:$J$2311,E$1)</f>
        <v>0</v>
      </c>
      <c r="F149" s="80">
        <f>SUMIFS('декабрь 2024'!$G$5:$G$2311,'декабрь 2024'!$D$5:$D$2311,$B149,'декабрь 2024'!$J$5:$J$2311,F$1)</f>
        <v>0</v>
      </c>
      <c r="G149" s="80">
        <f>SUMIFS('декабрь 2024'!$G$5:$G$2311,'декабрь 2024'!$D$5:$D$2311,$B149,'декабрь 2024'!$J$5:$J$2311,G$1)</f>
        <v>0</v>
      </c>
      <c r="H149" s="80">
        <f>SUMIFS('декабрь 2024'!$G$5:$G$2311,'декабрь 2024'!$D$5:$D$2311,$B149,'декабрь 2024'!$J$5:$J$2311,H$1)</f>
        <v>0</v>
      </c>
      <c r="I149" s="80">
        <f>SUMIFS('декабрь 2024'!$G$5:$G$2311,'декабрь 2024'!$D$5:$D$2311,$B149,'декабрь 2024'!$J$5:$J$2311,I$1)</f>
        <v>0</v>
      </c>
      <c r="J149" s="80">
        <f>SUMIFS('декабрь 2024'!$G$5:$G$2311,'декабрь 2024'!$D$5:$D$2311,$B149,'декабрь 2024'!$J$5:$J$2311,J$1)</f>
        <v>0</v>
      </c>
      <c r="K149" s="80">
        <f>SUMIFS('декабрь 2024'!$G$5:$G$2311,'декабрь 2024'!$D$5:$D$2311,$B149,'декабрь 2024'!$J$5:$J$2311,K$1)</f>
        <v>0</v>
      </c>
      <c r="L149" s="80">
        <f>SUMIFS('декабрь 2024'!$G$5:$G$2311,'декабрь 2024'!$D$5:$D$2311,$B149,'декабрь 2024'!$J$5:$J$2311,L$1)</f>
        <v>0</v>
      </c>
      <c r="M149" s="80">
        <f>SUMIFS('декабрь 2024'!$G$5:$G$2311,'декабрь 2024'!$D$5:$D$2311,$B149,'декабрь 2024'!$J$5:$J$2311,M$1)</f>
        <v>0</v>
      </c>
      <c r="N149" s="80">
        <f>SUMIFS('декабрь 2024'!$G$5:$G$2311,'декабрь 2024'!$D$5:$D$2311,$B149,'декабрь 2024'!$J$5:$J$2311,N$1)</f>
        <v>0</v>
      </c>
      <c r="O149" s="80">
        <f>SUMIFS('декабрь 2024'!$G$5:$G$2311,'декабрь 2024'!$D$5:$D$2311,$B149,'декабрь 2024'!$J$5:$J$2311,O$1)</f>
        <v>0</v>
      </c>
      <c r="P149" s="80">
        <f>SUMIFS('декабрь 2024'!$G$5:$G$2311,'декабрь 2024'!$D$5:$D$2311,$B149,'декабрь 2024'!$J$5:$J$2311,P$1)</f>
        <v>0</v>
      </c>
      <c r="Q149" s="80">
        <f>SUMIFS('декабрь 2024'!$G$5:$G$2311,'декабрь 2024'!$D$5:$D$2311,$B149,'декабрь 2024'!$J$5:$J$2311,Q$1)</f>
        <v>0</v>
      </c>
      <c r="R149" s="80">
        <f>SUMIFS('декабрь 2024'!$G$5:$G$2311,'декабрь 2024'!$D$5:$D$2311,$B149,'декабрь 2024'!$J$5:$J$2311,R$1)</f>
        <v>0</v>
      </c>
      <c r="S149" s="80">
        <f>SUMIFS('декабрь 2024'!$G$5:$G$2311,'декабрь 2024'!$D$5:$D$2311,$B149,'декабрь 2024'!$J$5:$J$2311,S$1)</f>
        <v>0</v>
      </c>
      <c r="T149" s="80">
        <f>SUMIFS('декабрь 2024'!$G$5:$G$2311,'декабрь 2024'!$D$5:$D$2311,$B149,'декабрь 2024'!$J$5:$J$2311,T$1)</f>
        <v>0</v>
      </c>
      <c r="U149" s="80">
        <f>SUMIFS('декабрь 2024'!$G$5:$G$2311,'декабрь 2024'!$D$5:$D$2311,$B149,'декабрь 2024'!$J$5:$J$2311,U$1)</f>
        <v>0</v>
      </c>
      <c r="V149" s="80">
        <f>SUMIFS('декабрь 2024'!$G$5:$G$2311,'декабрь 2024'!$D$5:$D$2311,$B149,'декабрь 2024'!$J$5:$J$2311,V$1)</f>
        <v>0</v>
      </c>
      <c r="W149" s="80">
        <f>SUMIFS('декабрь 2024'!$G$5:$G$2311,'декабрь 2024'!$D$5:$D$2311,$B149,'декабрь 2024'!$J$5:$J$2311,W$1)</f>
        <v>0</v>
      </c>
      <c r="X149" s="80">
        <f>SUMIFS('декабрь 2024'!$G$5:$G$2311,'декабрь 2024'!$D$5:$D$2311,$B149,'декабрь 2024'!$J$5:$J$2311,X$1)</f>
        <v>0</v>
      </c>
      <c r="Y149" s="80">
        <f>SUMIFS('декабрь 2024'!$G$5:$G$2311,'декабрь 2024'!$D$5:$D$2311,$B149,'декабрь 2024'!$J$5:$J$2311,Y$1)</f>
        <v>0</v>
      </c>
      <c r="Z149" s="80">
        <f>SUMIFS('декабрь 2024'!$G$5:$G$2311,'декабрь 2024'!$D$5:$D$2311,$B149,'декабрь 2024'!$J$5:$J$2311,Z$1)</f>
        <v>0</v>
      </c>
      <c r="AA149" s="80">
        <f>SUMIFS('декабрь 2024'!$G$5:$G$2311,'декабрь 2024'!$D$5:$D$2311,$B149,'декабрь 2024'!$J$5:$J$2311,AA$1)</f>
        <v>0</v>
      </c>
      <c r="AB149" s="80">
        <f>SUMIFS('декабрь 2024'!$G$5:$G$2311,'декабрь 2024'!$D$5:$D$2311,$B149,'декабрь 2024'!$J$5:$J$2311,AB$1)</f>
        <v>0</v>
      </c>
      <c r="AC149" s="80">
        <f>SUMIFS('декабрь 2024'!$G$5:$G$2311,'декабрь 2024'!$D$5:$D$2311,$B149,'декабрь 2024'!$J$5:$J$2311,AC$1)</f>
        <v>0</v>
      </c>
      <c r="AD149" s="80">
        <f>SUMIFS('декабрь 2024'!$G$5:$G$2311,'декабрь 2024'!$D$5:$D$2311,$B149,'декабрь 2024'!$J$5:$J$2311,AD$1)</f>
        <v>0</v>
      </c>
      <c r="AE149" s="80">
        <f>SUMIFS('декабрь 2024'!$G$5:$G$2311,'декабрь 2024'!$D$5:$D$2311,$B149,'декабрь 2024'!$J$5:$J$2311,AE$1)</f>
        <v>0</v>
      </c>
      <c r="AF149" s="80">
        <f>SUMIFS('декабрь 2024'!$G$5:$G$2311,'декабрь 2024'!$D$5:$D$2311,$B149,'декабрь 2024'!$J$5:$J$2311,AF$1)</f>
        <v>0</v>
      </c>
      <c r="AG149" s="80">
        <f>SUMIFS('декабрь 2024'!$G$5:$G$2311,'декабрь 2024'!$D$5:$D$2311,$B149,'декабрь 2024'!$J$5:$J$2311,AG$1)</f>
        <v>0</v>
      </c>
      <c r="AH149" s="80">
        <f>SUMIFS('декабрь 2024'!$G$5:$G$2311,'декабрь 2024'!$D$5:$D$2311,$B149,'декабрь 2024'!$J$5:$J$2311,AH$1)</f>
        <v>0</v>
      </c>
      <c r="AI149" s="21">
        <f t="shared" si="1"/>
        <v>0</v>
      </c>
    </row>
    <row r="150" spans="2:35" ht="15" customHeight="1" x14ac:dyDescent="0.25">
      <c r="B150" s="89" t="s">
        <v>184</v>
      </c>
      <c r="C150" s="88">
        <v>25</v>
      </c>
      <c r="D150" s="80">
        <f>SUMIFS('декабрь 2024'!$G$5:$G$2311,'декабрь 2024'!$D$5:$D$2311,$B150,'декабрь 2024'!$J$5:$J$2311,D$1)</f>
        <v>0</v>
      </c>
      <c r="E150" s="80">
        <f>SUMIFS('декабрь 2024'!$G$5:$G$2311,'декабрь 2024'!$D$5:$D$2311,$B150,'декабрь 2024'!$J$5:$J$2311,E$1)</f>
        <v>0</v>
      </c>
      <c r="F150" s="80">
        <f>SUMIFS('декабрь 2024'!$G$5:$G$2311,'декабрь 2024'!$D$5:$D$2311,$B150,'декабрь 2024'!$J$5:$J$2311,F$1)</f>
        <v>0</v>
      </c>
      <c r="G150" s="80">
        <f>SUMIFS('декабрь 2024'!$G$5:$G$2311,'декабрь 2024'!$D$5:$D$2311,$B150,'декабрь 2024'!$J$5:$J$2311,G$1)</f>
        <v>0</v>
      </c>
      <c r="H150" s="80">
        <f>SUMIFS('декабрь 2024'!$G$5:$G$2311,'декабрь 2024'!$D$5:$D$2311,$B150,'декабрь 2024'!$J$5:$J$2311,H$1)</f>
        <v>0</v>
      </c>
      <c r="I150" s="80">
        <f>SUMIFS('декабрь 2024'!$G$5:$G$2311,'декабрь 2024'!$D$5:$D$2311,$B150,'декабрь 2024'!$J$5:$J$2311,I$1)</f>
        <v>0</v>
      </c>
      <c r="J150" s="80">
        <f>SUMIFS('декабрь 2024'!$G$5:$G$2311,'декабрь 2024'!$D$5:$D$2311,$B150,'декабрь 2024'!$J$5:$J$2311,J$1)</f>
        <v>0</v>
      </c>
      <c r="K150" s="80">
        <f>SUMIFS('декабрь 2024'!$G$5:$G$2311,'декабрь 2024'!$D$5:$D$2311,$B150,'декабрь 2024'!$J$5:$J$2311,K$1)</f>
        <v>0</v>
      </c>
      <c r="L150" s="80">
        <f>SUMIFS('декабрь 2024'!$G$5:$G$2311,'декабрь 2024'!$D$5:$D$2311,$B150,'декабрь 2024'!$J$5:$J$2311,L$1)</f>
        <v>0</v>
      </c>
      <c r="M150" s="80">
        <f>SUMIFS('декабрь 2024'!$G$5:$G$2311,'декабрь 2024'!$D$5:$D$2311,$B150,'декабрь 2024'!$J$5:$J$2311,M$1)</f>
        <v>0</v>
      </c>
      <c r="N150" s="80">
        <f>SUMIFS('декабрь 2024'!$G$5:$G$2311,'декабрь 2024'!$D$5:$D$2311,$B150,'декабрь 2024'!$J$5:$J$2311,N$1)</f>
        <v>0</v>
      </c>
      <c r="O150" s="80">
        <f>SUMIFS('декабрь 2024'!$G$5:$G$2311,'декабрь 2024'!$D$5:$D$2311,$B150,'декабрь 2024'!$J$5:$J$2311,O$1)</f>
        <v>0</v>
      </c>
      <c r="P150" s="80">
        <f>SUMIFS('декабрь 2024'!$G$5:$G$2311,'декабрь 2024'!$D$5:$D$2311,$B150,'декабрь 2024'!$J$5:$J$2311,P$1)</f>
        <v>0</v>
      </c>
      <c r="Q150" s="80">
        <f>SUMIFS('декабрь 2024'!$G$5:$G$2311,'декабрь 2024'!$D$5:$D$2311,$B150,'декабрь 2024'!$J$5:$J$2311,Q$1)</f>
        <v>0</v>
      </c>
      <c r="R150" s="80">
        <f>SUMIFS('декабрь 2024'!$G$5:$G$2311,'декабрь 2024'!$D$5:$D$2311,$B150,'декабрь 2024'!$J$5:$J$2311,R$1)</f>
        <v>0</v>
      </c>
      <c r="S150" s="80">
        <f>SUMIFS('декабрь 2024'!$G$5:$G$2311,'декабрь 2024'!$D$5:$D$2311,$B150,'декабрь 2024'!$J$5:$J$2311,S$1)</f>
        <v>0</v>
      </c>
      <c r="T150" s="80">
        <f>SUMIFS('декабрь 2024'!$G$5:$G$2311,'декабрь 2024'!$D$5:$D$2311,$B150,'декабрь 2024'!$J$5:$J$2311,T$1)</f>
        <v>0</v>
      </c>
      <c r="U150" s="80">
        <f>SUMIFS('декабрь 2024'!$G$5:$G$2311,'декабрь 2024'!$D$5:$D$2311,$B150,'декабрь 2024'!$J$5:$J$2311,U$1)</f>
        <v>0</v>
      </c>
      <c r="V150" s="80">
        <f>SUMIFS('декабрь 2024'!$G$5:$G$2311,'декабрь 2024'!$D$5:$D$2311,$B150,'декабрь 2024'!$J$5:$J$2311,V$1)</f>
        <v>0</v>
      </c>
      <c r="W150" s="80">
        <f>SUMIFS('декабрь 2024'!$G$5:$G$2311,'декабрь 2024'!$D$5:$D$2311,$B150,'декабрь 2024'!$J$5:$J$2311,W$1)</f>
        <v>0</v>
      </c>
      <c r="X150" s="80">
        <f>SUMIFS('декабрь 2024'!$G$5:$G$2311,'декабрь 2024'!$D$5:$D$2311,$B150,'декабрь 2024'!$J$5:$J$2311,X$1)</f>
        <v>0</v>
      </c>
      <c r="Y150" s="80">
        <f>SUMIFS('декабрь 2024'!$G$5:$G$2311,'декабрь 2024'!$D$5:$D$2311,$B150,'декабрь 2024'!$J$5:$J$2311,Y$1)</f>
        <v>0</v>
      </c>
      <c r="Z150" s="80">
        <f>SUMIFS('декабрь 2024'!$G$5:$G$2311,'декабрь 2024'!$D$5:$D$2311,$B150,'декабрь 2024'!$J$5:$J$2311,Z$1)</f>
        <v>0</v>
      </c>
      <c r="AA150" s="80">
        <f>SUMIFS('декабрь 2024'!$G$5:$G$2311,'декабрь 2024'!$D$5:$D$2311,$B150,'декабрь 2024'!$J$5:$J$2311,AA$1)</f>
        <v>0</v>
      </c>
      <c r="AB150" s="80">
        <f>SUMIFS('декабрь 2024'!$G$5:$G$2311,'декабрь 2024'!$D$5:$D$2311,$B150,'декабрь 2024'!$J$5:$J$2311,AB$1)</f>
        <v>0</v>
      </c>
      <c r="AC150" s="80">
        <f>SUMIFS('декабрь 2024'!$G$5:$G$2311,'декабрь 2024'!$D$5:$D$2311,$B150,'декабрь 2024'!$J$5:$J$2311,AC$1)</f>
        <v>0</v>
      </c>
      <c r="AD150" s="80">
        <f>SUMIFS('декабрь 2024'!$G$5:$G$2311,'декабрь 2024'!$D$5:$D$2311,$B150,'декабрь 2024'!$J$5:$J$2311,AD$1)</f>
        <v>0</v>
      </c>
      <c r="AE150" s="80">
        <f>SUMIFS('декабрь 2024'!$G$5:$G$2311,'декабрь 2024'!$D$5:$D$2311,$B150,'декабрь 2024'!$J$5:$J$2311,AE$1)</f>
        <v>0</v>
      </c>
      <c r="AF150" s="80">
        <f>SUMIFS('декабрь 2024'!$G$5:$G$2311,'декабрь 2024'!$D$5:$D$2311,$B150,'декабрь 2024'!$J$5:$J$2311,AF$1)</f>
        <v>0</v>
      </c>
      <c r="AG150" s="80">
        <f>SUMIFS('декабрь 2024'!$G$5:$G$2311,'декабрь 2024'!$D$5:$D$2311,$B150,'декабрь 2024'!$J$5:$J$2311,AG$1)</f>
        <v>0</v>
      </c>
      <c r="AH150" s="80">
        <f>SUMIFS('декабрь 2024'!$G$5:$G$2311,'декабрь 2024'!$D$5:$D$2311,$B150,'декабрь 2024'!$J$5:$J$2311,AH$1)</f>
        <v>0</v>
      </c>
      <c r="AI150" s="21">
        <f t="shared" si="1"/>
        <v>0</v>
      </c>
    </row>
    <row r="151" spans="2:35" ht="15" customHeight="1" x14ac:dyDescent="0.25">
      <c r="B151" s="89" t="s">
        <v>185</v>
      </c>
      <c r="C151" s="88">
        <v>25</v>
      </c>
      <c r="D151" s="80">
        <f>SUMIFS('декабрь 2024'!$G$5:$G$2311,'декабрь 2024'!$D$5:$D$2311,$B151,'декабрь 2024'!$J$5:$J$2311,D$1)</f>
        <v>0</v>
      </c>
      <c r="E151" s="80">
        <f>SUMIFS('декабрь 2024'!$G$5:$G$2311,'декабрь 2024'!$D$5:$D$2311,$B151,'декабрь 2024'!$J$5:$J$2311,E$1)</f>
        <v>0</v>
      </c>
      <c r="F151" s="80">
        <f>SUMIFS('декабрь 2024'!$G$5:$G$2311,'декабрь 2024'!$D$5:$D$2311,$B151,'декабрь 2024'!$J$5:$J$2311,F$1)</f>
        <v>0</v>
      </c>
      <c r="G151" s="80">
        <f>SUMIFS('декабрь 2024'!$G$5:$G$2311,'декабрь 2024'!$D$5:$D$2311,$B151,'декабрь 2024'!$J$5:$J$2311,G$1)</f>
        <v>0</v>
      </c>
      <c r="H151" s="80">
        <f>SUMIFS('декабрь 2024'!$G$5:$G$2311,'декабрь 2024'!$D$5:$D$2311,$B151,'декабрь 2024'!$J$5:$J$2311,H$1)</f>
        <v>0</v>
      </c>
      <c r="I151" s="80">
        <f>SUMIFS('декабрь 2024'!$G$5:$G$2311,'декабрь 2024'!$D$5:$D$2311,$B151,'декабрь 2024'!$J$5:$J$2311,I$1)</f>
        <v>0</v>
      </c>
      <c r="J151" s="80">
        <f>SUMIFS('декабрь 2024'!$G$5:$G$2311,'декабрь 2024'!$D$5:$D$2311,$B151,'декабрь 2024'!$J$5:$J$2311,J$1)</f>
        <v>0</v>
      </c>
      <c r="K151" s="80">
        <f>SUMIFS('декабрь 2024'!$G$5:$G$2311,'декабрь 2024'!$D$5:$D$2311,$B151,'декабрь 2024'!$J$5:$J$2311,K$1)</f>
        <v>0</v>
      </c>
      <c r="L151" s="80">
        <f>SUMIFS('декабрь 2024'!$G$5:$G$2311,'декабрь 2024'!$D$5:$D$2311,$B151,'декабрь 2024'!$J$5:$J$2311,L$1)</f>
        <v>0</v>
      </c>
      <c r="M151" s="80">
        <f>SUMIFS('декабрь 2024'!$G$5:$G$2311,'декабрь 2024'!$D$5:$D$2311,$B151,'декабрь 2024'!$J$5:$J$2311,M$1)</f>
        <v>0</v>
      </c>
      <c r="N151" s="80">
        <f>SUMIFS('декабрь 2024'!$G$5:$G$2311,'декабрь 2024'!$D$5:$D$2311,$B151,'декабрь 2024'!$J$5:$J$2311,N$1)</f>
        <v>0</v>
      </c>
      <c r="O151" s="80">
        <f>SUMIFS('декабрь 2024'!$G$5:$G$2311,'декабрь 2024'!$D$5:$D$2311,$B151,'декабрь 2024'!$J$5:$J$2311,O$1)</f>
        <v>0</v>
      </c>
      <c r="P151" s="80">
        <f>SUMIFS('декабрь 2024'!$G$5:$G$2311,'декабрь 2024'!$D$5:$D$2311,$B151,'декабрь 2024'!$J$5:$J$2311,P$1)</f>
        <v>0</v>
      </c>
      <c r="Q151" s="80">
        <f>SUMIFS('декабрь 2024'!$G$5:$G$2311,'декабрь 2024'!$D$5:$D$2311,$B151,'декабрь 2024'!$J$5:$J$2311,Q$1)</f>
        <v>0</v>
      </c>
      <c r="R151" s="80">
        <f>SUMIFS('декабрь 2024'!$G$5:$G$2311,'декабрь 2024'!$D$5:$D$2311,$B151,'декабрь 2024'!$J$5:$J$2311,R$1)</f>
        <v>0</v>
      </c>
      <c r="S151" s="80">
        <f>SUMIFS('декабрь 2024'!$G$5:$G$2311,'декабрь 2024'!$D$5:$D$2311,$B151,'декабрь 2024'!$J$5:$J$2311,S$1)</f>
        <v>0</v>
      </c>
      <c r="T151" s="80">
        <f>SUMIFS('декабрь 2024'!$G$5:$G$2311,'декабрь 2024'!$D$5:$D$2311,$B151,'декабрь 2024'!$J$5:$J$2311,T$1)</f>
        <v>0</v>
      </c>
      <c r="U151" s="80">
        <f>SUMIFS('декабрь 2024'!$G$5:$G$2311,'декабрь 2024'!$D$5:$D$2311,$B151,'декабрь 2024'!$J$5:$J$2311,U$1)</f>
        <v>0</v>
      </c>
      <c r="V151" s="80">
        <f>SUMIFS('декабрь 2024'!$G$5:$G$2311,'декабрь 2024'!$D$5:$D$2311,$B151,'декабрь 2024'!$J$5:$J$2311,V$1)</f>
        <v>0</v>
      </c>
      <c r="W151" s="80">
        <f>SUMIFS('декабрь 2024'!$G$5:$G$2311,'декабрь 2024'!$D$5:$D$2311,$B151,'декабрь 2024'!$J$5:$J$2311,W$1)</f>
        <v>0</v>
      </c>
      <c r="X151" s="80">
        <f>SUMIFS('декабрь 2024'!$G$5:$G$2311,'декабрь 2024'!$D$5:$D$2311,$B151,'декабрь 2024'!$J$5:$J$2311,X$1)</f>
        <v>0</v>
      </c>
      <c r="Y151" s="80">
        <f>SUMIFS('декабрь 2024'!$G$5:$G$2311,'декабрь 2024'!$D$5:$D$2311,$B151,'декабрь 2024'!$J$5:$J$2311,Y$1)</f>
        <v>0</v>
      </c>
      <c r="Z151" s="80">
        <f>SUMIFS('декабрь 2024'!$G$5:$G$2311,'декабрь 2024'!$D$5:$D$2311,$B151,'декабрь 2024'!$J$5:$J$2311,Z$1)</f>
        <v>0</v>
      </c>
      <c r="AA151" s="80">
        <f>SUMIFS('декабрь 2024'!$G$5:$G$2311,'декабрь 2024'!$D$5:$D$2311,$B151,'декабрь 2024'!$J$5:$J$2311,AA$1)</f>
        <v>0</v>
      </c>
      <c r="AB151" s="80">
        <f>SUMIFS('декабрь 2024'!$G$5:$G$2311,'декабрь 2024'!$D$5:$D$2311,$B151,'декабрь 2024'!$J$5:$J$2311,AB$1)</f>
        <v>0</v>
      </c>
      <c r="AC151" s="80">
        <f>SUMIFS('декабрь 2024'!$G$5:$G$2311,'декабрь 2024'!$D$5:$D$2311,$B151,'декабрь 2024'!$J$5:$J$2311,AC$1)</f>
        <v>0</v>
      </c>
      <c r="AD151" s="80">
        <f>SUMIFS('декабрь 2024'!$G$5:$G$2311,'декабрь 2024'!$D$5:$D$2311,$B151,'декабрь 2024'!$J$5:$J$2311,AD$1)</f>
        <v>0</v>
      </c>
      <c r="AE151" s="80">
        <f>SUMIFS('декабрь 2024'!$G$5:$G$2311,'декабрь 2024'!$D$5:$D$2311,$B151,'декабрь 2024'!$J$5:$J$2311,AE$1)</f>
        <v>0</v>
      </c>
      <c r="AF151" s="80">
        <f>SUMIFS('декабрь 2024'!$G$5:$G$2311,'декабрь 2024'!$D$5:$D$2311,$B151,'декабрь 2024'!$J$5:$J$2311,AF$1)</f>
        <v>0</v>
      </c>
      <c r="AG151" s="80">
        <f>SUMIFS('декабрь 2024'!$G$5:$G$2311,'декабрь 2024'!$D$5:$D$2311,$B151,'декабрь 2024'!$J$5:$J$2311,AG$1)</f>
        <v>0</v>
      </c>
      <c r="AH151" s="80">
        <f>SUMIFS('декабрь 2024'!$G$5:$G$2311,'декабрь 2024'!$D$5:$D$2311,$B151,'декабрь 2024'!$J$5:$J$2311,AH$1)</f>
        <v>0</v>
      </c>
      <c r="AI151" s="21">
        <f t="shared" si="1"/>
        <v>0</v>
      </c>
    </row>
    <row r="152" spans="2:35" ht="15" customHeight="1" x14ac:dyDescent="0.25">
      <c r="B152" s="89" t="s">
        <v>212</v>
      </c>
      <c r="C152" s="88">
        <v>25</v>
      </c>
      <c r="D152" s="80">
        <f>SUMIFS('декабрь 2024'!$G$5:$G$2311,'декабрь 2024'!$D$5:$D$2311,$B152,'декабрь 2024'!$J$5:$J$2311,D$1)</f>
        <v>0</v>
      </c>
      <c r="E152" s="80">
        <f>SUMIFS('декабрь 2024'!$G$5:$G$2311,'декабрь 2024'!$D$5:$D$2311,$B152,'декабрь 2024'!$J$5:$J$2311,E$1)</f>
        <v>0</v>
      </c>
      <c r="F152" s="80">
        <f>SUMIFS('декабрь 2024'!$G$5:$G$2311,'декабрь 2024'!$D$5:$D$2311,$B152,'декабрь 2024'!$J$5:$J$2311,F$1)</f>
        <v>0</v>
      </c>
      <c r="G152" s="80">
        <f>SUMIFS('декабрь 2024'!$G$5:$G$2311,'декабрь 2024'!$D$5:$D$2311,$B152,'декабрь 2024'!$J$5:$J$2311,G$1)</f>
        <v>0</v>
      </c>
      <c r="H152" s="80">
        <f>SUMIFS('декабрь 2024'!$G$5:$G$2311,'декабрь 2024'!$D$5:$D$2311,$B152,'декабрь 2024'!$J$5:$J$2311,H$1)</f>
        <v>0</v>
      </c>
      <c r="I152" s="80">
        <f>SUMIFS('декабрь 2024'!$G$5:$G$2311,'декабрь 2024'!$D$5:$D$2311,$B152,'декабрь 2024'!$J$5:$J$2311,I$1)</f>
        <v>0</v>
      </c>
      <c r="J152" s="80">
        <f>SUMIFS('декабрь 2024'!$G$5:$G$2311,'декабрь 2024'!$D$5:$D$2311,$B152,'декабрь 2024'!$J$5:$J$2311,J$1)</f>
        <v>0</v>
      </c>
      <c r="K152" s="80">
        <f>SUMIFS('декабрь 2024'!$G$5:$G$2311,'декабрь 2024'!$D$5:$D$2311,$B152,'декабрь 2024'!$J$5:$J$2311,K$1)</f>
        <v>0</v>
      </c>
      <c r="L152" s="80">
        <f>SUMIFS('декабрь 2024'!$G$5:$G$2311,'декабрь 2024'!$D$5:$D$2311,$B152,'декабрь 2024'!$J$5:$J$2311,L$1)</f>
        <v>0</v>
      </c>
      <c r="M152" s="80">
        <f>SUMIFS('декабрь 2024'!$G$5:$G$2311,'декабрь 2024'!$D$5:$D$2311,$B152,'декабрь 2024'!$J$5:$J$2311,M$1)</f>
        <v>0</v>
      </c>
      <c r="N152" s="80">
        <f>SUMIFS('декабрь 2024'!$G$5:$G$2311,'декабрь 2024'!$D$5:$D$2311,$B152,'декабрь 2024'!$J$5:$J$2311,N$1)</f>
        <v>0</v>
      </c>
      <c r="O152" s="80">
        <f>SUMIFS('декабрь 2024'!$G$5:$G$2311,'декабрь 2024'!$D$5:$D$2311,$B152,'декабрь 2024'!$J$5:$J$2311,O$1)</f>
        <v>0</v>
      </c>
      <c r="P152" s="80">
        <f>SUMIFS('декабрь 2024'!$G$5:$G$2311,'декабрь 2024'!$D$5:$D$2311,$B152,'декабрь 2024'!$J$5:$J$2311,P$1)</f>
        <v>0</v>
      </c>
      <c r="Q152" s="80">
        <f>SUMIFS('декабрь 2024'!$G$5:$G$2311,'декабрь 2024'!$D$5:$D$2311,$B152,'декабрь 2024'!$J$5:$J$2311,Q$1)</f>
        <v>0</v>
      </c>
      <c r="R152" s="80">
        <f>SUMIFS('декабрь 2024'!$G$5:$G$2311,'декабрь 2024'!$D$5:$D$2311,$B152,'декабрь 2024'!$J$5:$J$2311,R$1)</f>
        <v>0</v>
      </c>
      <c r="S152" s="80">
        <f>SUMIFS('декабрь 2024'!$G$5:$G$2311,'декабрь 2024'!$D$5:$D$2311,$B152,'декабрь 2024'!$J$5:$J$2311,S$1)</f>
        <v>0</v>
      </c>
      <c r="T152" s="80">
        <f>SUMIFS('декабрь 2024'!$G$5:$G$2311,'декабрь 2024'!$D$5:$D$2311,$B152,'декабрь 2024'!$J$5:$J$2311,T$1)</f>
        <v>0</v>
      </c>
      <c r="U152" s="80">
        <f>SUMIFS('декабрь 2024'!$G$5:$G$2311,'декабрь 2024'!$D$5:$D$2311,$B152,'декабрь 2024'!$J$5:$J$2311,U$1)</f>
        <v>0</v>
      </c>
      <c r="V152" s="80">
        <f>SUMIFS('декабрь 2024'!$G$5:$G$2311,'декабрь 2024'!$D$5:$D$2311,$B152,'декабрь 2024'!$J$5:$J$2311,V$1)</f>
        <v>0</v>
      </c>
      <c r="W152" s="80">
        <f>SUMIFS('декабрь 2024'!$G$5:$G$2311,'декабрь 2024'!$D$5:$D$2311,$B152,'декабрь 2024'!$J$5:$J$2311,W$1)</f>
        <v>0</v>
      </c>
      <c r="X152" s="80">
        <f>SUMIFS('декабрь 2024'!$G$5:$G$2311,'декабрь 2024'!$D$5:$D$2311,$B152,'декабрь 2024'!$J$5:$J$2311,X$1)</f>
        <v>0</v>
      </c>
      <c r="Y152" s="80">
        <f>SUMIFS('декабрь 2024'!$G$5:$G$2311,'декабрь 2024'!$D$5:$D$2311,$B152,'декабрь 2024'!$J$5:$J$2311,Y$1)</f>
        <v>0</v>
      </c>
      <c r="Z152" s="80">
        <f>SUMIFS('декабрь 2024'!$G$5:$G$2311,'декабрь 2024'!$D$5:$D$2311,$B152,'декабрь 2024'!$J$5:$J$2311,Z$1)</f>
        <v>0</v>
      </c>
      <c r="AA152" s="80">
        <f>SUMIFS('декабрь 2024'!$G$5:$G$2311,'декабрь 2024'!$D$5:$D$2311,$B152,'декабрь 2024'!$J$5:$J$2311,AA$1)</f>
        <v>0</v>
      </c>
      <c r="AB152" s="80">
        <f>SUMIFS('декабрь 2024'!$G$5:$G$2311,'декабрь 2024'!$D$5:$D$2311,$B152,'декабрь 2024'!$J$5:$J$2311,AB$1)</f>
        <v>0</v>
      </c>
      <c r="AC152" s="80">
        <f>SUMIFS('декабрь 2024'!$G$5:$G$2311,'декабрь 2024'!$D$5:$D$2311,$B152,'декабрь 2024'!$J$5:$J$2311,AC$1)</f>
        <v>0</v>
      </c>
      <c r="AD152" s="80">
        <f>SUMIFS('декабрь 2024'!$G$5:$G$2311,'декабрь 2024'!$D$5:$D$2311,$B152,'декабрь 2024'!$J$5:$J$2311,AD$1)</f>
        <v>0</v>
      </c>
      <c r="AE152" s="80">
        <f>SUMIFS('декабрь 2024'!$G$5:$G$2311,'декабрь 2024'!$D$5:$D$2311,$B152,'декабрь 2024'!$J$5:$J$2311,AE$1)</f>
        <v>0</v>
      </c>
      <c r="AF152" s="80">
        <f>SUMIFS('декабрь 2024'!$G$5:$G$2311,'декабрь 2024'!$D$5:$D$2311,$B152,'декабрь 2024'!$J$5:$J$2311,AF$1)</f>
        <v>0</v>
      </c>
      <c r="AG152" s="80">
        <f>SUMIFS('декабрь 2024'!$G$5:$G$2311,'декабрь 2024'!$D$5:$D$2311,$B152,'декабрь 2024'!$J$5:$J$2311,AG$1)</f>
        <v>0</v>
      </c>
      <c r="AH152" s="80">
        <f>SUMIFS('декабрь 2024'!$G$5:$G$2311,'декабрь 2024'!$D$5:$D$2311,$B152,'декабрь 2024'!$J$5:$J$2311,AH$1)</f>
        <v>0</v>
      </c>
      <c r="AI152" s="21">
        <f t="shared" si="1"/>
        <v>0</v>
      </c>
    </row>
    <row r="153" spans="2:35" ht="15" customHeight="1" x14ac:dyDescent="0.25">
      <c r="B153" s="89" t="s">
        <v>994</v>
      </c>
      <c r="C153" s="88">
        <v>200</v>
      </c>
      <c r="D153" s="80">
        <f>SUMIFS('декабрь 2024'!$G$5:$G$2311,'декабрь 2024'!$D$5:$D$2311,$B153,'декабрь 2024'!$J$5:$J$2311,D$1)</f>
        <v>0</v>
      </c>
      <c r="E153" s="80">
        <f>SUMIFS('декабрь 2024'!$G$5:$G$2311,'декабрь 2024'!$D$5:$D$2311,$B153,'декабрь 2024'!$J$5:$J$2311,E$1)</f>
        <v>0</v>
      </c>
      <c r="F153" s="80">
        <f>SUMIFS('декабрь 2024'!$G$5:$G$2311,'декабрь 2024'!$D$5:$D$2311,$B153,'декабрь 2024'!$J$5:$J$2311,F$1)</f>
        <v>0</v>
      </c>
      <c r="G153" s="80">
        <f>SUMIFS('декабрь 2024'!$G$5:$G$2311,'декабрь 2024'!$D$5:$D$2311,$B153,'декабрь 2024'!$J$5:$J$2311,G$1)</f>
        <v>0</v>
      </c>
      <c r="H153" s="80">
        <f>SUMIFS('декабрь 2024'!$G$5:$G$2311,'декабрь 2024'!$D$5:$D$2311,$B153,'декабрь 2024'!$J$5:$J$2311,H$1)</f>
        <v>0</v>
      </c>
      <c r="I153" s="80">
        <f>SUMIFS('декабрь 2024'!$G$5:$G$2311,'декабрь 2024'!$D$5:$D$2311,$B153,'декабрь 2024'!$J$5:$J$2311,I$1)</f>
        <v>0</v>
      </c>
      <c r="J153" s="80">
        <f>SUMIFS('декабрь 2024'!$G$5:$G$2311,'декабрь 2024'!$D$5:$D$2311,$B153,'декабрь 2024'!$J$5:$J$2311,J$1)</f>
        <v>0</v>
      </c>
      <c r="K153" s="80">
        <f>SUMIFS('декабрь 2024'!$G$5:$G$2311,'декабрь 2024'!$D$5:$D$2311,$B153,'декабрь 2024'!$J$5:$J$2311,K$1)</f>
        <v>0</v>
      </c>
      <c r="L153" s="80">
        <f>SUMIFS('декабрь 2024'!$G$5:$G$2311,'декабрь 2024'!$D$5:$D$2311,$B153,'декабрь 2024'!$J$5:$J$2311,L$1)</f>
        <v>0</v>
      </c>
      <c r="M153" s="80">
        <f>SUMIFS('декабрь 2024'!$G$5:$G$2311,'декабрь 2024'!$D$5:$D$2311,$B153,'декабрь 2024'!$J$5:$J$2311,M$1)</f>
        <v>0</v>
      </c>
      <c r="N153" s="80">
        <f>SUMIFS('декабрь 2024'!$G$5:$G$2311,'декабрь 2024'!$D$5:$D$2311,$B153,'декабрь 2024'!$J$5:$J$2311,N$1)</f>
        <v>0</v>
      </c>
      <c r="O153" s="80">
        <f>SUMIFS('декабрь 2024'!$G$5:$G$2311,'декабрь 2024'!$D$5:$D$2311,$B153,'декабрь 2024'!$J$5:$J$2311,O$1)</f>
        <v>0</v>
      </c>
      <c r="P153" s="80">
        <f>SUMIFS('декабрь 2024'!$G$5:$G$2311,'декабрь 2024'!$D$5:$D$2311,$B153,'декабрь 2024'!$J$5:$J$2311,P$1)</f>
        <v>0</v>
      </c>
      <c r="Q153" s="80">
        <f>SUMIFS('декабрь 2024'!$G$5:$G$2311,'декабрь 2024'!$D$5:$D$2311,$B153,'декабрь 2024'!$J$5:$J$2311,Q$1)</f>
        <v>0</v>
      </c>
      <c r="R153" s="80">
        <f>SUMIFS('декабрь 2024'!$G$5:$G$2311,'декабрь 2024'!$D$5:$D$2311,$B153,'декабрь 2024'!$J$5:$J$2311,R$1)</f>
        <v>0</v>
      </c>
      <c r="S153" s="80">
        <f>SUMIFS('декабрь 2024'!$G$5:$G$2311,'декабрь 2024'!$D$5:$D$2311,$B153,'декабрь 2024'!$J$5:$J$2311,S$1)</f>
        <v>0</v>
      </c>
      <c r="T153" s="80">
        <f>SUMIFS('декабрь 2024'!$G$5:$G$2311,'декабрь 2024'!$D$5:$D$2311,$B153,'декабрь 2024'!$J$5:$J$2311,T$1)</f>
        <v>0</v>
      </c>
      <c r="U153" s="80">
        <f>SUMIFS('декабрь 2024'!$G$5:$G$2311,'декабрь 2024'!$D$5:$D$2311,$B153,'декабрь 2024'!$J$5:$J$2311,U$1)</f>
        <v>0</v>
      </c>
      <c r="V153" s="80">
        <f>SUMIFS('декабрь 2024'!$G$5:$G$2311,'декабрь 2024'!$D$5:$D$2311,$B153,'декабрь 2024'!$J$5:$J$2311,V$1)</f>
        <v>0</v>
      </c>
      <c r="W153" s="80">
        <f>SUMIFS('декабрь 2024'!$G$5:$G$2311,'декабрь 2024'!$D$5:$D$2311,$B153,'декабрь 2024'!$J$5:$J$2311,W$1)</f>
        <v>0</v>
      </c>
      <c r="X153" s="80">
        <f>SUMIFS('декабрь 2024'!$G$5:$G$2311,'декабрь 2024'!$D$5:$D$2311,$B153,'декабрь 2024'!$J$5:$J$2311,X$1)</f>
        <v>0</v>
      </c>
      <c r="Y153" s="80">
        <f>SUMIFS('декабрь 2024'!$G$5:$G$2311,'декабрь 2024'!$D$5:$D$2311,$B153,'декабрь 2024'!$J$5:$J$2311,Y$1)</f>
        <v>0</v>
      </c>
      <c r="Z153" s="80">
        <f>SUMIFS('декабрь 2024'!$G$5:$G$2311,'декабрь 2024'!$D$5:$D$2311,$B153,'декабрь 2024'!$J$5:$J$2311,Z$1)</f>
        <v>0</v>
      </c>
      <c r="AA153" s="80">
        <f>SUMIFS('декабрь 2024'!$G$5:$G$2311,'декабрь 2024'!$D$5:$D$2311,$B153,'декабрь 2024'!$J$5:$J$2311,AA$1)</f>
        <v>0</v>
      </c>
      <c r="AB153" s="80">
        <f>SUMIFS('декабрь 2024'!$G$5:$G$2311,'декабрь 2024'!$D$5:$D$2311,$B153,'декабрь 2024'!$J$5:$J$2311,AB$1)</f>
        <v>0</v>
      </c>
      <c r="AC153" s="80">
        <f>SUMIFS('декабрь 2024'!$G$5:$G$2311,'декабрь 2024'!$D$5:$D$2311,$B153,'декабрь 2024'!$J$5:$J$2311,AC$1)</f>
        <v>0</v>
      </c>
      <c r="AD153" s="80">
        <f>SUMIFS('декабрь 2024'!$G$5:$G$2311,'декабрь 2024'!$D$5:$D$2311,$B153,'декабрь 2024'!$J$5:$J$2311,AD$1)</f>
        <v>0</v>
      </c>
      <c r="AE153" s="80">
        <f>SUMIFS('декабрь 2024'!$G$5:$G$2311,'декабрь 2024'!$D$5:$D$2311,$B153,'декабрь 2024'!$J$5:$J$2311,AE$1)</f>
        <v>0</v>
      </c>
      <c r="AF153" s="80">
        <f>SUMIFS('декабрь 2024'!$G$5:$G$2311,'декабрь 2024'!$D$5:$D$2311,$B153,'декабрь 2024'!$J$5:$J$2311,AF$1)</f>
        <v>0</v>
      </c>
      <c r="AG153" s="80">
        <f>SUMIFS('декабрь 2024'!$G$5:$G$2311,'декабрь 2024'!$D$5:$D$2311,$B153,'декабрь 2024'!$J$5:$J$2311,AG$1)</f>
        <v>0</v>
      </c>
      <c r="AH153" s="80">
        <f>SUMIFS('декабрь 2024'!$G$5:$G$2311,'декабрь 2024'!$D$5:$D$2311,$B153,'декабрь 2024'!$J$5:$J$2311,AH$1)</f>
        <v>0</v>
      </c>
      <c r="AI153" s="21">
        <f>SUM(D153:AH153)</f>
        <v>0</v>
      </c>
    </row>
    <row r="154" spans="2:35" ht="15" customHeight="1" x14ac:dyDescent="0.25">
      <c r="B154" s="89" t="s">
        <v>1118</v>
      </c>
      <c r="C154" s="88">
        <v>175</v>
      </c>
      <c r="D154" s="80">
        <f>SUMIFS('декабрь 2024'!$G$5:$G$2311,'декабрь 2024'!$D$5:$D$2311,$B154,'декабрь 2024'!$J$5:$J$2311,D$1)</f>
        <v>0</v>
      </c>
      <c r="E154" s="80">
        <f>SUMIFS('декабрь 2024'!$G$5:$G$2311,'декабрь 2024'!$D$5:$D$2311,$B154,'декабрь 2024'!$J$5:$J$2311,E$1)</f>
        <v>0</v>
      </c>
      <c r="F154" s="80">
        <f>SUMIFS('декабрь 2024'!$G$5:$G$2311,'декабрь 2024'!$D$5:$D$2311,$B154,'декабрь 2024'!$J$5:$J$2311,F$1)</f>
        <v>0</v>
      </c>
      <c r="G154" s="80">
        <f>SUMIFS('декабрь 2024'!$G$5:$G$2311,'декабрь 2024'!$D$5:$D$2311,$B154,'декабрь 2024'!$J$5:$J$2311,G$1)</f>
        <v>0</v>
      </c>
      <c r="H154" s="80">
        <f>SUMIFS('декабрь 2024'!$G$5:$G$2311,'декабрь 2024'!$D$5:$D$2311,$B154,'декабрь 2024'!$J$5:$J$2311,H$1)</f>
        <v>0</v>
      </c>
      <c r="I154" s="80">
        <f>SUMIFS('декабрь 2024'!$G$5:$G$2311,'декабрь 2024'!$D$5:$D$2311,$B154,'декабрь 2024'!$J$5:$J$2311,I$1)</f>
        <v>0</v>
      </c>
      <c r="J154" s="80">
        <f>SUMIFS('декабрь 2024'!$G$5:$G$2311,'декабрь 2024'!$D$5:$D$2311,$B154,'декабрь 2024'!$J$5:$J$2311,J$1)</f>
        <v>0</v>
      </c>
      <c r="K154" s="80">
        <f>SUMIFS('декабрь 2024'!$G$5:$G$2311,'декабрь 2024'!$D$5:$D$2311,$B154,'декабрь 2024'!$J$5:$J$2311,K$1)</f>
        <v>0</v>
      </c>
      <c r="L154" s="80">
        <f>SUMIFS('декабрь 2024'!$G$5:$G$2311,'декабрь 2024'!$D$5:$D$2311,$B154,'декабрь 2024'!$J$5:$J$2311,L$1)</f>
        <v>0</v>
      </c>
      <c r="M154" s="80">
        <f>SUMIFS('декабрь 2024'!$G$5:$G$2311,'декабрь 2024'!$D$5:$D$2311,$B154,'декабрь 2024'!$J$5:$J$2311,M$1)</f>
        <v>0</v>
      </c>
      <c r="N154" s="80">
        <f>SUMIFS('декабрь 2024'!$G$5:$G$2311,'декабрь 2024'!$D$5:$D$2311,$B154,'декабрь 2024'!$J$5:$J$2311,N$1)</f>
        <v>0</v>
      </c>
      <c r="O154" s="80">
        <f>SUMIFS('декабрь 2024'!$G$5:$G$2311,'декабрь 2024'!$D$5:$D$2311,$B154,'декабрь 2024'!$J$5:$J$2311,O$1)</f>
        <v>0</v>
      </c>
      <c r="P154" s="80">
        <f>SUMIFS('декабрь 2024'!$G$5:$G$2311,'декабрь 2024'!$D$5:$D$2311,$B154,'декабрь 2024'!$J$5:$J$2311,P$1)</f>
        <v>0</v>
      </c>
      <c r="Q154" s="80">
        <f>SUMIFS('декабрь 2024'!$G$5:$G$2311,'декабрь 2024'!$D$5:$D$2311,$B154,'декабрь 2024'!$J$5:$J$2311,Q$1)</f>
        <v>0</v>
      </c>
      <c r="R154" s="80">
        <f>SUMIFS('декабрь 2024'!$G$5:$G$2311,'декабрь 2024'!$D$5:$D$2311,$B154,'декабрь 2024'!$J$5:$J$2311,R$1)</f>
        <v>0</v>
      </c>
      <c r="S154" s="80">
        <f>SUMIFS('декабрь 2024'!$G$5:$G$2311,'декабрь 2024'!$D$5:$D$2311,$B154,'декабрь 2024'!$J$5:$J$2311,S$1)</f>
        <v>0</v>
      </c>
      <c r="T154" s="80">
        <f>SUMIFS('декабрь 2024'!$G$5:$G$2311,'декабрь 2024'!$D$5:$D$2311,$B154,'декабрь 2024'!$J$5:$J$2311,T$1)</f>
        <v>0</v>
      </c>
      <c r="U154" s="80">
        <f>SUMIFS('декабрь 2024'!$G$5:$G$2311,'декабрь 2024'!$D$5:$D$2311,$B154,'декабрь 2024'!$J$5:$J$2311,U$1)</f>
        <v>0</v>
      </c>
      <c r="V154" s="80">
        <f>SUMIFS('декабрь 2024'!$G$5:$G$2311,'декабрь 2024'!$D$5:$D$2311,$B154,'декабрь 2024'!$J$5:$J$2311,V$1)</f>
        <v>0</v>
      </c>
      <c r="W154" s="80">
        <f>SUMIFS('декабрь 2024'!$G$5:$G$2311,'декабрь 2024'!$D$5:$D$2311,$B154,'декабрь 2024'!$J$5:$J$2311,W$1)</f>
        <v>0</v>
      </c>
      <c r="X154" s="80">
        <f>SUMIFS('декабрь 2024'!$G$5:$G$2311,'декабрь 2024'!$D$5:$D$2311,$B154,'декабрь 2024'!$J$5:$J$2311,X$1)</f>
        <v>0</v>
      </c>
      <c r="Y154" s="80">
        <f>SUMIFS('декабрь 2024'!$G$5:$G$2311,'декабрь 2024'!$D$5:$D$2311,$B154,'декабрь 2024'!$J$5:$J$2311,Y$1)</f>
        <v>0</v>
      </c>
      <c r="Z154" s="80">
        <f>SUMIFS('декабрь 2024'!$G$5:$G$2311,'декабрь 2024'!$D$5:$D$2311,$B154,'декабрь 2024'!$J$5:$J$2311,Z$1)</f>
        <v>0</v>
      </c>
      <c r="AA154" s="80">
        <f>SUMIFS('декабрь 2024'!$G$5:$G$2311,'декабрь 2024'!$D$5:$D$2311,$B154,'декабрь 2024'!$J$5:$J$2311,AA$1)</f>
        <v>0</v>
      </c>
      <c r="AB154" s="80">
        <f>SUMIFS('декабрь 2024'!$G$5:$G$2311,'декабрь 2024'!$D$5:$D$2311,$B154,'декабрь 2024'!$J$5:$J$2311,AB$1)</f>
        <v>0</v>
      </c>
      <c r="AC154" s="80">
        <f>SUMIFS('декабрь 2024'!$G$5:$G$2311,'декабрь 2024'!$D$5:$D$2311,$B154,'декабрь 2024'!$J$5:$J$2311,AC$1)</f>
        <v>0</v>
      </c>
      <c r="AD154" s="80">
        <f>SUMIFS('декабрь 2024'!$G$5:$G$2311,'декабрь 2024'!$D$5:$D$2311,$B154,'декабрь 2024'!$J$5:$J$2311,AD$1)</f>
        <v>0</v>
      </c>
      <c r="AE154" s="80">
        <f>SUMIFS('декабрь 2024'!$G$5:$G$2311,'декабрь 2024'!$D$5:$D$2311,$B154,'декабрь 2024'!$J$5:$J$2311,AE$1)</f>
        <v>0</v>
      </c>
      <c r="AF154" s="80">
        <f>SUMIFS('декабрь 2024'!$G$5:$G$2311,'декабрь 2024'!$D$5:$D$2311,$B154,'декабрь 2024'!$J$5:$J$2311,AF$1)</f>
        <v>0</v>
      </c>
      <c r="AG154" s="80">
        <f>SUMIFS('декабрь 2024'!$G$5:$G$2311,'декабрь 2024'!$D$5:$D$2311,$B154,'декабрь 2024'!$J$5:$J$2311,AG$1)</f>
        <v>0</v>
      </c>
      <c r="AH154" s="80">
        <f>SUMIFS('декабрь 2024'!$G$5:$G$2311,'декабрь 2024'!$D$5:$D$2311,$B154,'декабрь 2024'!$J$5:$J$2311,AH$1)</f>
        <v>0</v>
      </c>
      <c r="AI154" s="21">
        <f>SUM(D154:AH154)</f>
        <v>0</v>
      </c>
    </row>
    <row r="155" spans="2:35" ht="15" customHeight="1" x14ac:dyDescent="0.25">
      <c r="B155" s="89" t="s">
        <v>1705</v>
      </c>
      <c r="C155" s="88">
        <v>950</v>
      </c>
      <c r="D155" s="80">
        <f>SUMIFS('декабрь 2024'!$G$5:$G$2311,'декабрь 2024'!$D$5:$D$2311,$B155,'декабрь 2024'!$J$5:$J$2311,D$1)</f>
        <v>0</v>
      </c>
      <c r="E155" s="80">
        <f>SUMIFS('декабрь 2024'!$G$5:$G$2311,'декабрь 2024'!$D$5:$D$2311,$B155,'декабрь 2024'!$J$5:$J$2311,E$1)</f>
        <v>0</v>
      </c>
      <c r="F155" s="80">
        <f>SUMIFS('декабрь 2024'!$G$5:$G$2311,'декабрь 2024'!$D$5:$D$2311,$B155,'декабрь 2024'!$J$5:$J$2311,F$1)</f>
        <v>0</v>
      </c>
      <c r="G155" s="80">
        <f>SUMIFS('декабрь 2024'!$G$5:$G$2311,'декабрь 2024'!$D$5:$D$2311,$B155,'декабрь 2024'!$J$5:$J$2311,G$1)</f>
        <v>0</v>
      </c>
      <c r="H155" s="80">
        <f>SUMIFS('декабрь 2024'!$G$5:$G$2311,'декабрь 2024'!$D$5:$D$2311,$B155,'декабрь 2024'!$J$5:$J$2311,H$1)</f>
        <v>0</v>
      </c>
      <c r="I155" s="80">
        <f>SUMIFS('декабрь 2024'!$G$5:$G$2311,'декабрь 2024'!$D$5:$D$2311,$B155,'декабрь 2024'!$J$5:$J$2311,I$1)</f>
        <v>0</v>
      </c>
      <c r="J155" s="80">
        <f>SUMIFS('декабрь 2024'!$G$5:$G$2311,'декабрь 2024'!$D$5:$D$2311,$B155,'декабрь 2024'!$J$5:$J$2311,J$1)</f>
        <v>0</v>
      </c>
      <c r="K155" s="80">
        <f>SUMIFS('декабрь 2024'!$G$5:$G$2311,'декабрь 2024'!$D$5:$D$2311,$B155,'декабрь 2024'!$J$5:$J$2311,K$1)</f>
        <v>0</v>
      </c>
      <c r="L155" s="80">
        <f>SUMIFS('декабрь 2024'!$G$5:$G$2311,'декабрь 2024'!$D$5:$D$2311,$B155,'декабрь 2024'!$J$5:$J$2311,L$1)</f>
        <v>0</v>
      </c>
      <c r="M155" s="80">
        <f>SUMIFS('декабрь 2024'!$G$5:$G$2311,'декабрь 2024'!$D$5:$D$2311,$B155,'декабрь 2024'!$J$5:$J$2311,M$1)</f>
        <v>0</v>
      </c>
      <c r="N155" s="80">
        <f>SUMIFS('декабрь 2024'!$G$5:$G$2311,'декабрь 2024'!$D$5:$D$2311,$B155,'декабрь 2024'!$J$5:$J$2311,N$1)</f>
        <v>0</v>
      </c>
      <c r="O155" s="80">
        <f>SUMIFS('декабрь 2024'!$G$5:$G$2311,'декабрь 2024'!$D$5:$D$2311,$B155,'декабрь 2024'!$J$5:$J$2311,O$1)</f>
        <v>0</v>
      </c>
      <c r="P155" s="80">
        <f>SUMIFS('декабрь 2024'!$G$5:$G$2311,'декабрь 2024'!$D$5:$D$2311,$B155,'декабрь 2024'!$J$5:$J$2311,P$1)</f>
        <v>0</v>
      </c>
      <c r="Q155" s="80">
        <f>SUMIFS('декабрь 2024'!$G$5:$G$2311,'декабрь 2024'!$D$5:$D$2311,$B155,'декабрь 2024'!$J$5:$J$2311,Q$1)</f>
        <v>0</v>
      </c>
      <c r="R155" s="80">
        <f>SUMIFS('декабрь 2024'!$G$5:$G$2311,'декабрь 2024'!$D$5:$D$2311,$B155,'декабрь 2024'!$J$5:$J$2311,R$1)</f>
        <v>0</v>
      </c>
      <c r="S155" s="80">
        <f>SUMIFS('декабрь 2024'!$G$5:$G$2311,'декабрь 2024'!$D$5:$D$2311,$B155,'декабрь 2024'!$J$5:$J$2311,S$1)</f>
        <v>0</v>
      </c>
      <c r="T155" s="80">
        <f>SUMIFS('декабрь 2024'!$G$5:$G$2311,'декабрь 2024'!$D$5:$D$2311,$B155,'декабрь 2024'!$J$5:$J$2311,T$1)</f>
        <v>0</v>
      </c>
      <c r="U155" s="80">
        <f>SUMIFS('декабрь 2024'!$G$5:$G$2311,'декабрь 2024'!$D$5:$D$2311,$B155,'декабрь 2024'!$J$5:$J$2311,U$1)</f>
        <v>0</v>
      </c>
      <c r="V155" s="80">
        <f>SUMIFS('декабрь 2024'!$G$5:$G$2311,'декабрь 2024'!$D$5:$D$2311,$B155,'декабрь 2024'!$J$5:$J$2311,V$1)</f>
        <v>0</v>
      </c>
      <c r="W155" s="80">
        <f>SUMIFS('декабрь 2024'!$G$5:$G$2311,'декабрь 2024'!$D$5:$D$2311,$B155,'декабрь 2024'!$J$5:$J$2311,W$1)</f>
        <v>0</v>
      </c>
      <c r="X155" s="80">
        <f>SUMIFS('декабрь 2024'!$G$5:$G$2311,'декабрь 2024'!$D$5:$D$2311,$B155,'декабрь 2024'!$J$5:$J$2311,X$1)</f>
        <v>0</v>
      </c>
      <c r="Y155" s="80">
        <f>SUMIFS('декабрь 2024'!$G$5:$G$2311,'декабрь 2024'!$D$5:$D$2311,$B155,'декабрь 2024'!$J$5:$J$2311,Y$1)</f>
        <v>0</v>
      </c>
      <c r="Z155" s="80">
        <f>SUMIFS('декабрь 2024'!$G$5:$G$2311,'декабрь 2024'!$D$5:$D$2311,$B155,'декабрь 2024'!$J$5:$J$2311,Z$1)</f>
        <v>0</v>
      </c>
      <c r="AA155" s="80">
        <f>SUMIFS('декабрь 2024'!$G$5:$G$2311,'декабрь 2024'!$D$5:$D$2311,$B155,'декабрь 2024'!$J$5:$J$2311,AA$1)</f>
        <v>0</v>
      </c>
      <c r="AB155" s="80">
        <f>SUMIFS('декабрь 2024'!$G$5:$G$2311,'декабрь 2024'!$D$5:$D$2311,$B155,'декабрь 2024'!$J$5:$J$2311,AB$1)</f>
        <v>0</v>
      </c>
      <c r="AC155" s="80">
        <f>SUMIFS('декабрь 2024'!$G$5:$G$2311,'декабрь 2024'!$D$5:$D$2311,$B155,'декабрь 2024'!$J$5:$J$2311,AC$1)</f>
        <v>0</v>
      </c>
      <c r="AD155" s="80">
        <f>SUMIFS('декабрь 2024'!$G$5:$G$2311,'декабрь 2024'!$D$5:$D$2311,$B155,'декабрь 2024'!$J$5:$J$2311,AD$1)</f>
        <v>0</v>
      </c>
      <c r="AE155" s="80">
        <f>SUMIFS('декабрь 2024'!$G$5:$G$2311,'декабрь 2024'!$D$5:$D$2311,$B155,'декабрь 2024'!$J$5:$J$2311,AE$1)</f>
        <v>0</v>
      </c>
      <c r="AF155" s="80">
        <f>SUMIFS('декабрь 2024'!$G$5:$G$2311,'декабрь 2024'!$D$5:$D$2311,$B155,'декабрь 2024'!$J$5:$J$2311,AF$1)</f>
        <v>0</v>
      </c>
      <c r="AG155" s="80">
        <f>SUMIFS('декабрь 2024'!$G$5:$G$2311,'декабрь 2024'!$D$5:$D$2311,$B155,'декабрь 2024'!$J$5:$J$2311,AG$1)</f>
        <v>0</v>
      </c>
      <c r="AH155" s="80">
        <f>SUMIFS('декабрь 2024'!$G$5:$G$2311,'декабрь 2024'!$D$5:$D$2311,$B155,'декабрь 2024'!$J$5:$J$2311,AH$1)</f>
        <v>0</v>
      </c>
      <c r="AI155" s="21">
        <f t="shared" ref="AI155:AI156" si="5">SUM(D155:AH155)</f>
        <v>0</v>
      </c>
    </row>
    <row r="156" spans="2:35" ht="15" customHeight="1" x14ac:dyDescent="0.25">
      <c r="B156" s="89" t="s">
        <v>1587</v>
      </c>
      <c r="C156" s="88">
        <v>200</v>
      </c>
      <c r="D156" s="80">
        <f>SUMIFS('декабрь 2024'!$G$5:$G$2311,'декабрь 2024'!$D$5:$D$2311,$B156,'декабрь 2024'!$J$5:$J$2311,D$1)</f>
        <v>0</v>
      </c>
      <c r="E156" s="80">
        <f>SUMIFS('декабрь 2024'!$G$5:$G$2311,'декабрь 2024'!$D$5:$D$2311,$B156,'декабрь 2024'!$J$5:$J$2311,E$1)</f>
        <v>0</v>
      </c>
      <c r="F156" s="80">
        <f>SUMIFS('декабрь 2024'!$G$5:$G$2311,'декабрь 2024'!$D$5:$D$2311,$B156,'декабрь 2024'!$J$5:$J$2311,F$1)</f>
        <v>0</v>
      </c>
      <c r="G156" s="80">
        <f>SUMIFS('декабрь 2024'!$G$5:$G$2311,'декабрь 2024'!$D$5:$D$2311,$B156,'декабрь 2024'!$J$5:$J$2311,G$1)</f>
        <v>0</v>
      </c>
      <c r="H156" s="80">
        <f>SUMIFS('декабрь 2024'!$G$5:$G$2311,'декабрь 2024'!$D$5:$D$2311,$B156,'декабрь 2024'!$J$5:$J$2311,H$1)</f>
        <v>0</v>
      </c>
      <c r="I156" s="80">
        <f>SUMIFS('декабрь 2024'!$G$5:$G$2311,'декабрь 2024'!$D$5:$D$2311,$B156,'декабрь 2024'!$J$5:$J$2311,I$1)</f>
        <v>0</v>
      </c>
      <c r="J156" s="80">
        <f>SUMIFS('декабрь 2024'!$G$5:$G$2311,'декабрь 2024'!$D$5:$D$2311,$B156,'декабрь 2024'!$J$5:$J$2311,J$1)</f>
        <v>0</v>
      </c>
      <c r="K156" s="80">
        <f>SUMIFS('декабрь 2024'!$G$5:$G$2311,'декабрь 2024'!$D$5:$D$2311,$B156,'декабрь 2024'!$J$5:$J$2311,K$1)</f>
        <v>0</v>
      </c>
      <c r="L156" s="80">
        <f>SUMIFS('декабрь 2024'!$G$5:$G$2311,'декабрь 2024'!$D$5:$D$2311,$B156,'декабрь 2024'!$J$5:$J$2311,L$1)</f>
        <v>0</v>
      </c>
      <c r="M156" s="80">
        <f>SUMIFS('декабрь 2024'!$G$5:$G$2311,'декабрь 2024'!$D$5:$D$2311,$B156,'декабрь 2024'!$J$5:$J$2311,M$1)</f>
        <v>0</v>
      </c>
      <c r="N156" s="80">
        <f>SUMIFS('декабрь 2024'!$G$5:$G$2311,'декабрь 2024'!$D$5:$D$2311,$B156,'декабрь 2024'!$J$5:$J$2311,N$1)</f>
        <v>0</v>
      </c>
      <c r="O156" s="80">
        <f>SUMIFS('декабрь 2024'!$G$5:$G$2311,'декабрь 2024'!$D$5:$D$2311,$B156,'декабрь 2024'!$J$5:$J$2311,O$1)</f>
        <v>0</v>
      </c>
      <c r="P156" s="80">
        <f>SUMIFS('декабрь 2024'!$G$5:$G$2311,'декабрь 2024'!$D$5:$D$2311,$B156,'декабрь 2024'!$J$5:$J$2311,P$1)</f>
        <v>0</v>
      </c>
      <c r="Q156" s="80">
        <f>SUMIFS('декабрь 2024'!$G$5:$G$2311,'декабрь 2024'!$D$5:$D$2311,$B156,'декабрь 2024'!$J$5:$J$2311,Q$1)</f>
        <v>0</v>
      </c>
      <c r="R156" s="80">
        <f>SUMIFS('декабрь 2024'!$G$5:$G$2311,'декабрь 2024'!$D$5:$D$2311,$B156,'декабрь 2024'!$J$5:$J$2311,R$1)</f>
        <v>0</v>
      </c>
      <c r="S156" s="80">
        <f>SUMIFS('декабрь 2024'!$G$5:$G$2311,'декабрь 2024'!$D$5:$D$2311,$B156,'декабрь 2024'!$J$5:$J$2311,S$1)</f>
        <v>0</v>
      </c>
      <c r="T156" s="80">
        <f>SUMIFS('декабрь 2024'!$G$5:$G$2311,'декабрь 2024'!$D$5:$D$2311,$B156,'декабрь 2024'!$J$5:$J$2311,T$1)</f>
        <v>0</v>
      </c>
      <c r="U156" s="80">
        <f>SUMIFS('декабрь 2024'!$G$5:$G$2311,'декабрь 2024'!$D$5:$D$2311,$B156,'декабрь 2024'!$J$5:$J$2311,U$1)</f>
        <v>0</v>
      </c>
      <c r="V156" s="80">
        <f>SUMIFS('декабрь 2024'!$G$5:$G$2311,'декабрь 2024'!$D$5:$D$2311,$B156,'декабрь 2024'!$J$5:$J$2311,V$1)</f>
        <v>0</v>
      </c>
      <c r="W156" s="80">
        <f>SUMIFS('декабрь 2024'!$G$5:$G$2311,'декабрь 2024'!$D$5:$D$2311,$B156,'декабрь 2024'!$J$5:$J$2311,W$1)</f>
        <v>0</v>
      </c>
      <c r="X156" s="80">
        <f>SUMIFS('декабрь 2024'!$G$5:$G$2311,'декабрь 2024'!$D$5:$D$2311,$B156,'декабрь 2024'!$J$5:$J$2311,X$1)</f>
        <v>0</v>
      </c>
      <c r="Y156" s="80">
        <f>SUMIFS('декабрь 2024'!$G$5:$G$2311,'декабрь 2024'!$D$5:$D$2311,$B156,'декабрь 2024'!$J$5:$J$2311,Y$1)</f>
        <v>0</v>
      </c>
      <c r="Z156" s="80">
        <f>SUMIFS('декабрь 2024'!$G$5:$G$2311,'декабрь 2024'!$D$5:$D$2311,$B156,'декабрь 2024'!$J$5:$J$2311,Z$1)</f>
        <v>0</v>
      </c>
      <c r="AA156" s="80">
        <f>SUMIFS('декабрь 2024'!$G$5:$G$2311,'декабрь 2024'!$D$5:$D$2311,$B156,'декабрь 2024'!$J$5:$J$2311,AA$1)</f>
        <v>0</v>
      </c>
      <c r="AB156" s="80">
        <f>SUMIFS('декабрь 2024'!$G$5:$G$2311,'декабрь 2024'!$D$5:$D$2311,$B156,'декабрь 2024'!$J$5:$J$2311,AB$1)</f>
        <v>0</v>
      </c>
      <c r="AC156" s="80">
        <f>SUMIFS('декабрь 2024'!$G$5:$G$2311,'декабрь 2024'!$D$5:$D$2311,$B156,'декабрь 2024'!$J$5:$J$2311,AC$1)</f>
        <v>0</v>
      </c>
      <c r="AD156" s="80">
        <f>SUMIFS('декабрь 2024'!$G$5:$G$2311,'декабрь 2024'!$D$5:$D$2311,$B156,'декабрь 2024'!$J$5:$J$2311,AD$1)</f>
        <v>0</v>
      </c>
      <c r="AE156" s="80">
        <f>SUMIFS('декабрь 2024'!$G$5:$G$2311,'декабрь 2024'!$D$5:$D$2311,$B156,'декабрь 2024'!$J$5:$J$2311,AE$1)</f>
        <v>0</v>
      </c>
      <c r="AF156" s="80">
        <f>SUMIFS('декабрь 2024'!$G$5:$G$2311,'декабрь 2024'!$D$5:$D$2311,$B156,'декабрь 2024'!$J$5:$J$2311,AF$1)</f>
        <v>0</v>
      </c>
      <c r="AG156" s="80">
        <f>SUMIFS('декабрь 2024'!$G$5:$G$2311,'декабрь 2024'!$D$5:$D$2311,$B156,'декабрь 2024'!$J$5:$J$2311,AG$1)</f>
        <v>0</v>
      </c>
      <c r="AH156" s="80">
        <f>SUMIFS('декабрь 2024'!$G$5:$G$2311,'декабрь 2024'!$D$5:$D$2311,$B156,'декабрь 2024'!$J$5:$J$2311,AH$1)</f>
        <v>0</v>
      </c>
      <c r="AI156" s="21">
        <f t="shared" si="5"/>
        <v>0</v>
      </c>
    </row>
    <row r="157" spans="2:35" ht="15" customHeight="1" x14ac:dyDescent="0.25">
      <c r="B157" s="89"/>
      <c r="C157" s="88"/>
      <c r="D157" s="80">
        <f>SUMIFS('декабрь 2024'!$G$5:$G$2311,'декабрь 2024'!$D$5:$D$2311,$B157,'декабрь 2024'!$J$5:$J$2311,D$1)</f>
        <v>0</v>
      </c>
      <c r="E157" s="80">
        <f>SUMIFS('декабрь 2024'!$G$5:$G$2311,'декабрь 2024'!$D$5:$D$2311,$B157,'декабрь 2024'!$J$5:$J$2311,E$1)</f>
        <v>0</v>
      </c>
      <c r="F157" s="80">
        <f>SUMIFS('декабрь 2024'!$G$5:$G$2311,'декабрь 2024'!$D$5:$D$2311,$B157,'декабрь 2024'!$J$5:$J$2311,F$1)</f>
        <v>0</v>
      </c>
      <c r="G157" s="80">
        <f>SUMIFS('декабрь 2024'!$G$5:$G$2311,'декабрь 2024'!$D$5:$D$2311,$B157,'декабрь 2024'!$J$5:$J$2311,G$1)</f>
        <v>0</v>
      </c>
      <c r="H157" s="80">
        <f>SUMIFS('декабрь 2024'!$G$5:$G$2311,'декабрь 2024'!$D$5:$D$2311,$B157,'декабрь 2024'!$J$5:$J$2311,H$1)</f>
        <v>0</v>
      </c>
      <c r="I157" s="80">
        <f>SUMIFS('декабрь 2024'!$G$5:$G$2311,'декабрь 2024'!$D$5:$D$2311,$B157,'декабрь 2024'!$J$5:$J$2311,I$1)</f>
        <v>0</v>
      </c>
      <c r="J157" s="80">
        <f>SUMIFS('декабрь 2024'!$G$5:$G$2311,'декабрь 2024'!$D$5:$D$2311,$B157,'декабрь 2024'!$J$5:$J$2311,J$1)</f>
        <v>0</v>
      </c>
      <c r="K157" s="80">
        <f>SUMIFS('декабрь 2024'!$G$5:$G$2311,'декабрь 2024'!$D$5:$D$2311,$B157,'декабрь 2024'!$J$5:$J$2311,K$1)</f>
        <v>0</v>
      </c>
      <c r="L157" s="80">
        <f>SUMIFS('декабрь 2024'!$G$5:$G$2311,'декабрь 2024'!$D$5:$D$2311,$B157,'декабрь 2024'!$J$5:$J$2311,L$1)</f>
        <v>0</v>
      </c>
      <c r="M157" s="80">
        <f>SUMIFS('декабрь 2024'!$G$5:$G$2311,'декабрь 2024'!$D$5:$D$2311,$B157,'декабрь 2024'!$J$5:$J$2311,M$1)</f>
        <v>0</v>
      </c>
      <c r="N157" s="80">
        <f>SUMIFS('декабрь 2024'!$G$5:$G$2311,'декабрь 2024'!$D$5:$D$2311,$B157,'декабрь 2024'!$J$5:$J$2311,N$1)</f>
        <v>0</v>
      </c>
      <c r="O157" s="80">
        <f>SUMIFS('декабрь 2024'!$G$5:$G$2311,'декабрь 2024'!$D$5:$D$2311,$B157,'декабрь 2024'!$J$5:$J$2311,O$1)</f>
        <v>0</v>
      </c>
      <c r="P157" s="80">
        <f>SUMIFS('декабрь 2024'!$G$5:$G$2311,'декабрь 2024'!$D$5:$D$2311,$B157,'декабрь 2024'!$J$5:$J$2311,P$1)</f>
        <v>0</v>
      </c>
      <c r="Q157" s="80">
        <f>SUMIFS('декабрь 2024'!$G$5:$G$2311,'декабрь 2024'!$D$5:$D$2311,$B157,'декабрь 2024'!$J$5:$J$2311,Q$1)</f>
        <v>0</v>
      </c>
      <c r="R157" s="80">
        <f>SUMIFS('декабрь 2024'!$G$5:$G$2311,'декабрь 2024'!$D$5:$D$2311,$B157,'декабрь 2024'!$J$5:$J$2311,R$1)</f>
        <v>0</v>
      </c>
      <c r="S157" s="80">
        <f>SUMIFS('декабрь 2024'!$G$5:$G$2311,'декабрь 2024'!$D$5:$D$2311,$B157,'декабрь 2024'!$J$5:$J$2311,S$1)</f>
        <v>0</v>
      </c>
      <c r="T157" s="80">
        <f>SUMIFS('декабрь 2024'!$G$5:$G$2311,'декабрь 2024'!$D$5:$D$2311,$B157,'декабрь 2024'!$J$5:$J$2311,T$1)</f>
        <v>0</v>
      </c>
      <c r="U157" s="80">
        <f>SUMIFS('декабрь 2024'!$G$5:$G$2311,'декабрь 2024'!$D$5:$D$2311,$B157,'декабрь 2024'!$J$5:$J$2311,U$1)</f>
        <v>0</v>
      </c>
      <c r="V157" s="80">
        <f>SUMIFS('декабрь 2024'!$G$5:$G$2311,'декабрь 2024'!$D$5:$D$2311,$B157,'декабрь 2024'!$J$5:$J$2311,V$1)</f>
        <v>0</v>
      </c>
      <c r="W157" s="80">
        <f>SUMIFS('декабрь 2024'!$G$5:$G$2311,'декабрь 2024'!$D$5:$D$2311,$B157,'декабрь 2024'!$J$5:$J$2311,W$1)</f>
        <v>0</v>
      </c>
      <c r="X157" s="80">
        <f>SUMIFS('декабрь 2024'!$G$5:$G$2311,'декабрь 2024'!$D$5:$D$2311,$B157,'декабрь 2024'!$J$5:$J$2311,X$1)</f>
        <v>0</v>
      </c>
      <c r="Y157" s="80">
        <f>SUMIFS('декабрь 2024'!$G$5:$G$2311,'декабрь 2024'!$D$5:$D$2311,$B157,'декабрь 2024'!$J$5:$J$2311,Y$1)</f>
        <v>0</v>
      </c>
      <c r="Z157" s="80">
        <f>SUMIFS('декабрь 2024'!$G$5:$G$2311,'декабрь 2024'!$D$5:$D$2311,$B157,'декабрь 2024'!$J$5:$J$2311,Z$1)</f>
        <v>0</v>
      </c>
      <c r="AA157" s="80">
        <f>SUMIFS('декабрь 2024'!$G$5:$G$2311,'декабрь 2024'!$D$5:$D$2311,$B157,'декабрь 2024'!$J$5:$J$2311,AA$1)</f>
        <v>0</v>
      </c>
      <c r="AB157" s="80">
        <f>SUMIFS('декабрь 2024'!$G$5:$G$2311,'декабрь 2024'!$D$5:$D$2311,$B157,'декабрь 2024'!$J$5:$J$2311,AB$1)</f>
        <v>0</v>
      </c>
      <c r="AC157" s="80">
        <f>SUMIFS('декабрь 2024'!$G$5:$G$2311,'декабрь 2024'!$D$5:$D$2311,$B157,'декабрь 2024'!$J$5:$J$2311,AC$1)</f>
        <v>0</v>
      </c>
      <c r="AD157" s="80">
        <f>SUMIFS('декабрь 2024'!$G$5:$G$2311,'декабрь 2024'!$D$5:$D$2311,$B157,'декабрь 2024'!$J$5:$J$2311,AD$1)</f>
        <v>0</v>
      </c>
      <c r="AE157" s="80">
        <f>SUMIFS('декабрь 2024'!$G$5:$G$2311,'декабрь 2024'!$D$5:$D$2311,$B157,'декабрь 2024'!$J$5:$J$2311,AE$1)</f>
        <v>0</v>
      </c>
      <c r="AF157" s="80">
        <f>SUMIFS('декабрь 2024'!$G$5:$G$2311,'декабрь 2024'!$D$5:$D$2311,$B157,'декабрь 2024'!$J$5:$J$2311,AF$1)</f>
        <v>0</v>
      </c>
      <c r="AG157" s="80">
        <f>SUMIFS('декабрь 2024'!$G$5:$G$2311,'декабрь 2024'!$D$5:$D$2311,$B157,'декабрь 2024'!$J$5:$J$2311,AG$1)</f>
        <v>0</v>
      </c>
      <c r="AH157" s="80">
        <f>SUMIFS('декабрь 2024'!$G$5:$G$2311,'декабрь 2024'!$D$5:$D$2311,$B157,'декабрь 2024'!$J$5:$J$2311,AH$1)</f>
        <v>0</v>
      </c>
      <c r="AI157" s="21">
        <f>SUM(D157:AH157)</f>
        <v>0</v>
      </c>
    </row>
    <row r="158" spans="2:35" ht="15" hidden="1" customHeight="1" x14ac:dyDescent="0.25">
      <c r="B158" s="89"/>
      <c r="C158" s="88"/>
      <c r="D158" s="80">
        <f>SUMIFS('октябрь 2024'!$G$5:$G$2162,'октябрь 2024'!$D$5:$D$2162,$B158,'октябрь 2024'!$J$5:$J$2162,D$1)</f>
        <v>0</v>
      </c>
      <c r="E158" s="80">
        <f>SUMIFS('октябрь 2024'!$G$5:$G$2162,'октябрь 2024'!$D$5:$D$2162,$B158,'октябрь 2024'!$J$5:$J$2162,E$1)</f>
        <v>0</v>
      </c>
      <c r="F158" s="80">
        <f>SUMIFS('октябрь 2024'!$G$5:$G$2162,'октябрь 2024'!$D$5:$D$2162,$B158,'октябрь 2024'!$J$5:$J$2162,F$1)</f>
        <v>0</v>
      </c>
      <c r="G158" s="80">
        <f>SUMIFS('октябрь 2024'!$G$5:$G$2162,'октябрь 2024'!$D$5:$D$2162,$B158,'октябрь 2024'!$J$5:$J$2162,G$1)</f>
        <v>0</v>
      </c>
      <c r="H158" s="80">
        <f>SUMIFS('октябрь 2024'!$G$5:$G$2162,'октябрь 2024'!$D$5:$D$2162,$B158,'октябрь 2024'!$J$5:$J$2162,H$1)</f>
        <v>0</v>
      </c>
      <c r="I158" s="80">
        <f>SUMIFS('октябрь 2024'!$G$5:$G$2162,'октябрь 2024'!$D$5:$D$2162,$B158,'октябрь 2024'!$J$5:$J$2162,I$1)</f>
        <v>0</v>
      </c>
      <c r="J158" s="80">
        <f>SUMIFS('октябрь 2024'!$G$5:$G$2162,'октябрь 2024'!$D$5:$D$2162,$B158,'октябрь 2024'!$J$5:$J$2162,J$1)</f>
        <v>0</v>
      </c>
      <c r="K158" s="80">
        <f>SUMIFS('октябрь 2024'!$G$5:$G$2162,'октябрь 2024'!$D$5:$D$2162,$B158,'октябрь 2024'!$J$5:$J$2162,K$1)</f>
        <v>0</v>
      </c>
      <c r="L158" s="80">
        <f>SUMIFS('октябрь 2024'!$G$5:$G$2162,'октябрь 2024'!$D$5:$D$2162,$B158,'октябрь 2024'!$J$5:$J$2162,L$1)</f>
        <v>0</v>
      </c>
      <c r="M158" s="80">
        <f>SUMIFS('октябрь 2024'!$G$5:$G$2162,'октябрь 2024'!$D$5:$D$2162,$B158,'октябрь 2024'!$J$5:$J$2162,M$1)</f>
        <v>0</v>
      </c>
      <c r="N158" s="80">
        <f>SUMIFS('октябрь 2024'!$G$5:$G$2162,'октябрь 2024'!$D$5:$D$2162,$B158,'октябрь 2024'!$J$5:$J$2162,N$1)</f>
        <v>0</v>
      </c>
      <c r="O158" s="80">
        <f>SUMIFS('октябрь 2024'!$G$5:$G$2162,'октябрь 2024'!$D$5:$D$2162,$B158,'октябрь 2024'!$J$5:$J$2162,O$1)</f>
        <v>0</v>
      </c>
      <c r="P158" s="80">
        <f>SUMIFS('октябрь 2024'!$G$5:$G$2162,'октябрь 2024'!$D$5:$D$2162,$B158,'октябрь 2024'!$J$5:$J$2162,P$1)</f>
        <v>0</v>
      </c>
      <c r="Q158" s="80">
        <f>SUMIFS('октябрь 2024'!$G$5:$G$2162,'октябрь 2024'!$D$5:$D$2162,$B158,'октябрь 2024'!$J$5:$J$2162,Q$1)</f>
        <v>0</v>
      </c>
      <c r="R158" s="80">
        <f>SUMIFS('октябрь 2024'!$G$5:$G$2162,'октябрь 2024'!$D$5:$D$2162,$B158,'октябрь 2024'!$J$5:$J$2162,R$1)</f>
        <v>0</v>
      </c>
      <c r="S158" s="80">
        <f>SUMIFS('октябрь 2024'!$G$5:$G$2162,'октябрь 2024'!$D$5:$D$2162,$B158,'октябрь 2024'!$J$5:$J$2162,S$1)</f>
        <v>0</v>
      </c>
      <c r="T158" s="80">
        <f>SUMIFS('октябрь 2024'!$G$5:$G$2162,'октябрь 2024'!$D$5:$D$2162,$B158,'октябрь 2024'!$J$5:$J$2162,T$1)</f>
        <v>0</v>
      </c>
      <c r="U158" s="80">
        <f>SUMIFS('октябрь 2024'!$G$5:$G$2162,'октябрь 2024'!$D$5:$D$2162,$B158,'октябрь 2024'!$J$5:$J$2162,U$1)</f>
        <v>0</v>
      </c>
      <c r="V158" s="80">
        <f>SUMIFS('октябрь 2024'!$G$5:$G$2162,'октябрь 2024'!$D$5:$D$2162,$B158,'октябрь 2024'!$J$5:$J$2162,V$1)</f>
        <v>0</v>
      </c>
      <c r="W158" s="80">
        <f>SUMIFS('октябрь 2024'!$G$5:$G$2162,'октябрь 2024'!$D$5:$D$2162,$B158,'октябрь 2024'!$J$5:$J$2162,W$1)</f>
        <v>0</v>
      </c>
      <c r="X158" s="80">
        <f>SUMIFS('октябрь 2024'!$G$5:$G$2162,'октябрь 2024'!$D$5:$D$2162,$B158,'октябрь 2024'!$J$5:$J$2162,X$1)</f>
        <v>0</v>
      </c>
      <c r="Y158" s="80">
        <f>SUMIFS('октябрь 2024'!$G$5:$G$2162,'октябрь 2024'!$D$5:$D$2162,$B158,'октябрь 2024'!$J$5:$J$2162,Y$1)</f>
        <v>0</v>
      </c>
      <c r="Z158" s="80">
        <f>SUMIFS('октябрь 2024'!$G$5:$G$2162,'октябрь 2024'!$D$5:$D$2162,$B158,'октябрь 2024'!$J$5:$J$2162,Z$1)</f>
        <v>0</v>
      </c>
      <c r="AA158" s="80">
        <f>SUMIFS('октябрь 2024'!$G$5:$G$2162,'октябрь 2024'!$D$5:$D$2162,$B158,'октябрь 2024'!$J$5:$J$2162,AA$1)</f>
        <v>0</v>
      </c>
      <c r="AB158" s="80">
        <f>SUMIFS('октябрь 2024'!$G$5:$G$2162,'октябрь 2024'!$D$5:$D$2162,$B158,'октябрь 2024'!$J$5:$J$2162,AB$1)</f>
        <v>0</v>
      </c>
      <c r="AC158" s="80">
        <f>SUMIFS('октябрь 2024'!$G$5:$G$2162,'октябрь 2024'!$D$5:$D$2162,$B158,'октябрь 2024'!$J$5:$J$2162,AC$1)</f>
        <v>0</v>
      </c>
      <c r="AD158" s="80">
        <f>SUMIFS('октябрь 2024'!$G$5:$G$2162,'октябрь 2024'!$D$5:$D$2162,$B158,'октябрь 2024'!$J$5:$J$2162,AD$1)</f>
        <v>0</v>
      </c>
      <c r="AE158" s="80">
        <f>SUMIFS('октябрь 2024'!$G$5:$G$2162,'октябрь 2024'!$D$5:$D$2162,$B158,'октябрь 2024'!$J$5:$J$2162,AE$1)</f>
        <v>0</v>
      </c>
      <c r="AF158" s="80">
        <f>SUMIFS('октябрь 2024'!$G$5:$G$2162,'октябрь 2024'!$D$5:$D$2162,$B158,'октябрь 2024'!$J$5:$J$2162,AF$1)</f>
        <v>0</v>
      </c>
      <c r="AG158" s="80">
        <f>SUMIFS('октябрь 2024'!$G$5:$G$2162,'октябрь 2024'!$D$5:$D$2162,$B158,'октябрь 2024'!$J$5:$J$2162,AG$1)</f>
        <v>0</v>
      </c>
      <c r="AH158" s="80">
        <f>SUMIFS('октябрь 2024'!$G$5:$G$2162,'октябрь 2024'!$D$5:$D$2162,$B158,'октябрь 2024'!$J$5:$J$2162,AH$1)</f>
        <v>0</v>
      </c>
      <c r="AI158" s="87"/>
    </row>
    <row r="159" spans="2:35" ht="15" hidden="1" customHeight="1" x14ac:dyDescent="0.25">
      <c r="B159" s="89"/>
      <c r="C159" s="88"/>
      <c r="D159" s="80">
        <f>SUMIFS('октябрь 2024'!$G$5:$G$2162,'октябрь 2024'!$D$5:$D$2162,$B159,'октябрь 2024'!$J$5:$J$2162,D$1)</f>
        <v>0</v>
      </c>
      <c r="E159" s="80">
        <f>SUMIFS('октябрь 2024'!$G$5:$G$2162,'октябрь 2024'!$D$5:$D$2162,$B159,'октябрь 2024'!$J$5:$J$2162,E$1)</f>
        <v>0</v>
      </c>
      <c r="F159" s="80">
        <f>SUMIFS('октябрь 2024'!$G$5:$G$2162,'октябрь 2024'!$D$5:$D$2162,$B159,'октябрь 2024'!$J$5:$J$2162,F$1)</f>
        <v>0</v>
      </c>
      <c r="G159" s="80">
        <f>SUMIFS('октябрь 2024'!$G$5:$G$2162,'октябрь 2024'!$D$5:$D$2162,$B159,'октябрь 2024'!$J$5:$J$2162,G$1)</f>
        <v>0</v>
      </c>
      <c r="H159" s="80">
        <f>SUMIFS('октябрь 2024'!$G$5:$G$2162,'октябрь 2024'!$D$5:$D$2162,$B159,'октябрь 2024'!$J$5:$J$2162,H$1)</f>
        <v>0</v>
      </c>
      <c r="I159" s="80">
        <f>SUMIFS('октябрь 2024'!$G$5:$G$2162,'октябрь 2024'!$D$5:$D$2162,$B159,'октябрь 2024'!$J$5:$J$2162,I$1)</f>
        <v>0</v>
      </c>
      <c r="J159" s="80">
        <f>SUMIFS('октябрь 2024'!$G$5:$G$2162,'октябрь 2024'!$D$5:$D$2162,$B159,'октябрь 2024'!$J$5:$J$2162,J$1)</f>
        <v>0</v>
      </c>
      <c r="K159" s="80">
        <f>SUMIFS('октябрь 2024'!$G$5:$G$2162,'октябрь 2024'!$D$5:$D$2162,$B159,'октябрь 2024'!$J$5:$J$2162,K$1)</f>
        <v>0</v>
      </c>
      <c r="L159" s="80">
        <f>SUMIFS('октябрь 2024'!$G$5:$G$2162,'октябрь 2024'!$D$5:$D$2162,$B159,'октябрь 2024'!$J$5:$J$2162,L$1)</f>
        <v>0</v>
      </c>
      <c r="M159" s="80">
        <f>SUMIFS('октябрь 2024'!$G$5:$G$2162,'октябрь 2024'!$D$5:$D$2162,$B159,'октябрь 2024'!$J$5:$J$2162,M$1)</f>
        <v>0</v>
      </c>
      <c r="N159" s="80">
        <f>SUMIFS('октябрь 2024'!$G$5:$G$2162,'октябрь 2024'!$D$5:$D$2162,$B159,'октябрь 2024'!$J$5:$J$2162,N$1)</f>
        <v>0</v>
      </c>
      <c r="O159" s="80">
        <f>SUMIFS('октябрь 2024'!$G$5:$G$2162,'октябрь 2024'!$D$5:$D$2162,$B159,'октябрь 2024'!$J$5:$J$2162,O$1)</f>
        <v>0</v>
      </c>
      <c r="P159" s="80">
        <f>SUMIFS('октябрь 2024'!$G$5:$G$2162,'октябрь 2024'!$D$5:$D$2162,$B159,'октябрь 2024'!$J$5:$J$2162,P$1)</f>
        <v>0</v>
      </c>
      <c r="Q159" s="80">
        <f>SUMIFS('октябрь 2024'!$G$5:$G$2162,'октябрь 2024'!$D$5:$D$2162,$B159,'октябрь 2024'!$J$5:$J$2162,Q$1)</f>
        <v>0</v>
      </c>
      <c r="R159" s="80">
        <f>SUMIFS('октябрь 2024'!$G$5:$G$2162,'октябрь 2024'!$D$5:$D$2162,$B159,'октябрь 2024'!$J$5:$J$2162,R$1)</f>
        <v>0</v>
      </c>
      <c r="S159" s="80">
        <f>SUMIFS('октябрь 2024'!$G$5:$G$2162,'октябрь 2024'!$D$5:$D$2162,$B159,'октябрь 2024'!$J$5:$J$2162,S$1)</f>
        <v>0</v>
      </c>
      <c r="T159" s="80">
        <f>SUMIFS('октябрь 2024'!$G$5:$G$2162,'октябрь 2024'!$D$5:$D$2162,$B159,'октябрь 2024'!$J$5:$J$2162,T$1)</f>
        <v>0</v>
      </c>
      <c r="U159" s="80">
        <f>SUMIFS('октябрь 2024'!$G$5:$G$2162,'октябрь 2024'!$D$5:$D$2162,$B159,'октябрь 2024'!$J$5:$J$2162,U$1)</f>
        <v>0</v>
      </c>
      <c r="V159" s="80">
        <f>SUMIFS('октябрь 2024'!$G$5:$G$2162,'октябрь 2024'!$D$5:$D$2162,$B159,'октябрь 2024'!$J$5:$J$2162,V$1)</f>
        <v>0</v>
      </c>
      <c r="W159" s="80">
        <f>SUMIFS('октябрь 2024'!$G$5:$G$2162,'октябрь 2024'!$D$5:$D$2162,$B159,'октябрь 2024'!$J$5:$J$2162,W$1)</f>
        <v>0</v>
      </c>
      <c r="X159" s="80">
        <f>SUMIFS('октябрь 2024'!$G$5:$G$2162,'октябрь 2024'!$D$5:$D$2162,$B159,'октябрь 2024'!$J$5:$J$2162,X$1)</f>
        <v>0</v>
      </c>
      <c r="Y159" s="80">
        <f>SUMIFS('октябрь 2024'!$G$5:$G$2162,'октябрь 2024'!$D$5:$D$2162,$B159,'октябрь 2024'!$J$5:$J$2162,Y$1)</f>
        <v>0</v>
      </c>
      <c r="Z159" s="80">
        <f>SUMIFS('октябрь 2024'!$G$5:$G$2162,'октябрь 2024'!$D$5:$D$2162,$B159,'октябрь 2024'!$J$5:$J$2162,Z$1)</f>
        <v>0</v>
      </c>
      <c r="AA159" s="80">
        <f>SUMIFS('октябрь 2024'!$G$5:$G$2162,'октябрь 2024'!$D$5:$D$2162,$B159,'октябрь 2024'!$J$5:$J$2162,AA$1)</f>
        <v>0</v>
      </c>
      <c r="AB159" s="80">
        <f>SUMIFS('октябрь 2024'!$G$5:$G$2162,'октябрь 2024'!$D$5:$D$2162,$B159,'октябрь 2024'!$J$5:$J$2162,AB$1)</f>
        <v>0</v>
      </c>
      <c r="AC159" s="80">
        <f>SUMIFS('октябрь 2024'!$G$5:$G$2162,'октябрь 2024'!$D$5:$D$2162,$B159,'октябрь 2024'!$J$5:$J$2162,AC$1)</f>
        <v>0</v>
      </c>
      <c r="AD159" s="80">
        <f>SUMIFS('октябрь 2024'!$G$5:$G$2162,'октябрь 2024'!$D$5:$D$2162,$B159,'октябрь 2024'!$J$5:$J$2162,AD$1)</f>
        <v>0</v>
      </c>
      <c r="AE159" s="80">
        <f>SUMIFS('октябрь 2024'!$G$5:$G$2162,'октябрь 2024'!$D$5:$D$2162,$B159,'октябрь 2024'!$J$5:$J$2162,AE$1)</f>
        <v>0</v>
      </c>
      <c r="AF159" s="80">
        <f>SUMIFS('октябрь 2024'!$G$5:$G$2162,'октябрь 2024'!$D$5:$D$2162,$B159,'октябрь 2024'!$J$5:$J$2162,AF$1)</f>
        <v>0</v>
      </c>
      <c r="AG159" s="80">
        <f>SUMIFS('октябрь 2024'!$G$5:$G$2162,'октябрь 2024'!$D$5:$D$2162,$B159,'октябрь 2024'!$J$5:$J$2162,AG$1)</f>
        <v>0</v>
      </c>
      <c r="AH159" s="80">
        <f>SUMIFS('октябрь 2024'!$G$5:$G$2162,'октябрь 2024'!$D$5:$D$2162,$B159,'октябрь 2024'!$J$5:$J$2162,AH$1)</f>
        <v>0</v>
      </c>
      <c r="AI159" s="87"/>
    </row>
    <row r="160" spans="2:35" ht="15" hidden="1" customHeight="1" x14ac:dyDescent="0.25">
      <c r="B160" s="93"/>
      <c r="C160" s="88"/>
      <c r="D160" s="80">
        <f>SUMIFS('октябрь 2024'!$G$5:$G$2162,'октябрь 2024'!$D$5:$D$2162,$B160,'октябрь 2024'!$J$5:$J$2162,D$1)</f>
        <v>0</v>
      </c>
      <c r="E160" s="80">
        <f>SUMIFS('октябрь 2024'!$G$5:$G$2162,'октябрь 2024'!$D$5:$D$2162,$B160,'октябрь 2024'!$J$5:$J$2162,E$1)</f>
        <v>0</v>
      </c>
      <c r="F160" s="80">
        <f>SUMIFS('октябрь 2024'!$G$5:$G$2162,'октябрь 2024'!$D$5:$D$2162,$B160,'октябрь 2024'!$J$5:$J$2162,F$1)</f>
        <v>0</v>
      </c>
      <c r="G160" s="80">
        <f>SUMIFS('октябрь 2024'!$G$5:$G$2162,'октябрь 2024'!$D$5:$D$2162,$B160,'октябрь 2024'!$J$5:$J$2162,G$1)</f>
        <v>0</v>
      </c>
      <c r="H160" s="80">
        <f>SUMIFS('октябрь 2024'!$G$5:$G$2162,'октябрь 2024'!$D$5:$D$2162,$B160,'октябрь 2024'!$J$5:$J$2162,H$1)</f>
        <v>0</v>
      </c>
      <c r="I160" s="80">
        <f>SUMIFS('октябрь 2024'!$G$5:$G$2162,'октябрь 2024'!$D$5:$D$2162,$B160,'октябрь 2024'!$J$5:$J$2162,I$1)</f>
        <v>0</v>
      </c>
      <c r="J160" s="80">
        <f>SUMIFS('октябрь 2024'!$G$5:$G$2162,'октябрь 2024'!$D$5:$D$2162,$B160,'октябрь 2024'!$J$5:$J$2162,J$1)</f>
        <v>0</v>
      </c>
      <c r="K160" s="80">
        <f>SUMIFS('октябрь 2024'!$G$5:$G$2162,'октябрь 2024'!$D$5:$D$2162,$B160,'октябрь 2024'!$J$5:$J$2162,K$1)</f>
        <v>0</v>
      </c>
      <c r="L160" s="80">
        <f>SUMIFS('октябрь 2024'!$G$5:$G$2162,'октябрь 2024'!$D$5:$D$2162,$B160,'октябрь 2024'!$J$5:$J$2162,L$1)</f>
        <v>0</v>
      </c>
      <c r="M160" s="80">
        <f>SUMIFS('октябрь 2024'!$G$5:$G$2162,'октябрь 2024'!$D$5:$D$2162,$B160,'октябрь 2024'!$J$5:$J$2162,M$1)</f>
        <v>0</v>
      </c>
      <c r="N160" s="80">
        <f>SUMIFS('октябрь 2024'!$G$5:$G$2162,'октябрь 2024'!$D$5:$D$2162,$B160,'октябрь 2024'!$J$5:$J$2162,N$1)</f>
        <v>0</v>
      </c>
      <c r="O160" s="80">
        <f>SUMIFS('октябрь 2024'!$G$5:$G$2162,'октябрь 2024'!$D$5:$D$2162,$B160,'октябрь 2024'!$J$5:$J$2162,O$1)</f>
        <v>0</v>
      </c>
      <c r="P160" s="80">
        <f>SUMIFS('октябрь 2024'!$G$5:$G$2162,'октябрь 2024'!$D$5:$D$2162,$B160,'октябрь 2024'!$J$5:$J$2162,P$1)</f>
        <v>0</v>
      </c>
      <c r="Q160" s="80">
        <f>SUMIFS('октябрь 2024'!$G$5:$G$2162,'октябрь 2024'!$D$5:$D$2162,$B160,'октябрь 2024'!$J$5:$J$2162,Q$1)</f>
        <v>0</v>
      </c>
      <c r="R160" s="80">
        <f>SUMIFS('октябрь 2024'!$G$5:$G$2162,'октябрь 2024'!$D$5:$D$2162,$B160,'октябрь 2024'!$J$5:$J$2162,R$1)</f>
        <v>0</v>
      </c>
      <c r="S160" s="80">
        <f>SUMIFS('октябрь 2024'!$G$5:$G$2162,'октябрь 2024'!$D$5:$D$2162,$B160,'октябрь 2024'!$J$5:$J$2162,S$1)</f>
        <v>0</v>
      </c>
      <c r="T160" s="80">
        <f>SUMIFS('октябрь 2024'!$G$5:$G$2162,'октябрь 2024'!$D$5:$D$2162,$B160,'октябрь 2024'!$J$5:$J$2162,T$1)</f>
        <v>0</v>
      </c>
      <c r="U160" s="80">
        <f>SUMIFS('октябрь 2024'!$G$5:$G$2162,'октябрь 2024'!$D$5:$D$2162,$B160,'октябрь 2024'!$J$5:$J$2162,U$1)</f>
        <v>0</v>
      </c>
      <c r="V160" s="80">
        <f>SUMIFS('октябрь 2024'!$G$5:$G$2162,'октябрь 2024'!$D$5:$D$2162,$B160,'октябрь 2024'!$J$5:$J$2162,V$1)</f>
        <v>0</v>
      </c>
      <c r="W160" s="80">
        <f>SUMIFS('октябрь 2024'!$G$5:$G$2162,'октябрь 2024'!$D$5:$D$2162,$B160,'октябрь 2024'!$J$5:$J$2162,W$1)</f>
        <v>0</v>
      </c>
      <c r="X160" s="80">
        <f>SUMIFS('октябрь 2024'!$G$5:$G$2162,'октябрь 2024'!$D$5:$D$2162,$B160,'октябрь 2024'!$J$5:$J$2162,X$1)</f>
        <v>0</v>
      </c>
      <c r="Y160" s="80">
        <f>SUMIFS('октябрь 2024'!$G$5:$G$2162,'октябрь 2024'!$D$5:$D$2162,$B160,'октябрь 2024'!$J$5:$J$2162,Y$1)</f>
        <v>0</v>
      </c>
      <c r="Z160" s="80">
        <f>SUMIFS('октябрь 2024'!$G$5:$G$2162,'октябрь 2024'!$D$5:$D$2162,$B160,'октябрь 2024'!$J$5:$J$2162,Z$1)</f>
        <v>0</v>
      </c>
      <c r="AA160" s="80">
        <f>SUMIFS('октябрь 2024'!$G$5:$G$2162,'октябрь 2024'!$D$5:$D$2162,$B160,'октябрь 2024'!$J$5:$J$2162,AA$1)</f>
        <v>0</v>
      </c>
      <c r="AB160" s="80">
        <f>SUMIFS('октябрь 2024'!$G$5:$G$2162,'октябрь 2024'!$D$5:$D$2162,$B160,'октябрь 2024'!$J$5:$J$2162,AB$1)</f>
        <v>0</v>
      </c>
      <c r="AC160" s="80">
        <f>SUMIFS('октябрь 2024'!$G$5:$G$2162,'октябрь 2024'!$D$5:$D$2162,$B160,'октябрь 2024'!$J$5:$J$2162,AC$1)</f>
        <v>0</v>
      </c>
      <c r="AD160" s="80">
        <f>SUMIFS('октябрь 2024'!$G$5:$G$2162,'октябрь 2024'!$D$5:$D$2162,$B160,'октябрь 2024'!$J$5:$J$2162,AD$1)</f>
        <v>0</v>
      </c>
      <c r="AE160" s="80">
        <f>SUMIFS('октябрь 2024'!$G$5:$G$2162,'октябрь 2024'!$D$5:$D$2162,$B160,'октябрь 2024'!$J$5:$J$2162,AE$1)</f>
        <v>0</v>
      </c>
      <c r="AF160" s="80">
        <f>SUMIFS('октябрь 2024'!$G$5:$G$2162,'октябрь 2024'!$D$5:$D$2162,$B160,'октябрь 2024'!$J$5:$J$2162,AF$1)</f>
        <v>0</v>
      </c>
      <c r="AG160" s="80">
        <f>SUMIFS('октябрь 2024'!$G$5:$G$2162,'октябрь 2024'!$D$5:$D$2162,$B160,'октябрь 2024'!$J$5:$J$2162,AG$1)</f>
        <v>0</v>
      </c>
      <c r="AH160" s="80">
        <f>SUMIFS('октябрь 2024'!$G$5:$G$2162,'октябрь 2024'!$D$5:$D$2162,$B160,'октябрь 2024'!$J$5:$J$2162,AH$1)</f>
        <v>0</v>
      </c>
      <c r="AI160" s="87"/>
    </row>
    <row r="161" spans="2:35" ht="15" hidden="1" customHeight="1" x14ac:dyDescent="0.25">
      <c r="B161" s="93"/>
      <c r="C161" s="91"/>
      <c r="D161" s="80">
        <f>SUMIFS('октябрь 2024'!$G$5:$G$2162,'октябрь 2024'!$D$5:$D$2162,$B161,'октябрь 2024'!$J$5:$J$2162,D$1)</f>
        <v>0</v>
      </c>
      <c r="E161" s="80">
        <f>SUMIFS('октябрь 2024'!$G$5:$G$2162,'октябрь 2024'!$D$5:$D$2162,$B161,'октябрь 2024'!$J$5:$J$2162,E$1)</f>
        <v>0</v>
      </c>
      <c r="F161" s="80">
        <f>SUMIFS('октябрь 2024'!$G$5:$G$2162,'октябрь 2024'!$D$5:$D$2162,$B161,'октябрь 2024'!$J$5:$J$2162,F$1)</f>
        <v>0</v>
      </c>
      <c r="G161" s="80">
        <f>SUMIFS('октябрь 2024'!$G$5:$G$2162,'октябрь 2024'!$D$5:$D$2162,$B161,'октябрь 2024'!$J$5:$J$2162,G$1)</f>
        <v>0</v>
      </c>
      <c r="H161" s="80">
        <f>SUMIFS('октябрь 2024'!$G$5:$G$2162,'октябрь 2024'!$D$5:$D$2162,$B161,'октябрь 2024'!$J$5:$J$2162,H$1)</f>
        <v>0</v>
      </c>
      <c r="I161" s="80">
        <f>SUMIFS('октябрь 2024'!$G$5:$G$2162,'октябрь 2024'!$D$5:$D$2162,$B161,'октябрь 2024'!$J$5:$J$2162,I$1)</f>
        <v>0</v>
      </c>
      <c r="J161" s="80">
        <f>SUMIFS('октябрь 2024'!$G$5:$G$2162,'октябрь 2024'!$D$5:$D$2162,$B161,'октябрь 2024'!$J$5:$J$2162,J$1)</f>
        <v>0</v>
      </c>
      <c r="K161" s="80">
        <f>SUMIFS('октябрь 2024'!$G$5:$G$2162,'октябрь 2024'!$D$5:$D$2162,$B161,'октябрь 2024'!$J$5:$J$2162,K$1)</f>
        <v>0</v>
      </c>
      <c r="L161" s="80">
        <f>SUMIFS('октябрь 2024'!$G$5:$G$2162,'октябрь 2024'!$D$5:$D$2162,$B161,'октябрь 2024'!$J$5:$J$2162,L$1)</f>
        <v>0</v>
      </c>
      <c r="M161" s="80">
        <f>SUMIFS('октябрь 2024'!$G$5:$G$2162,'октябрь 2024'!$D$5:$D$2162,$B161,'октябрь 2024'!$J$5:$J$2162,M$1)</f>
        <v>0</v>
      </c>
      <c r="N161" s="80">
        <f>SUMIFS('октябрь 2024'!$G$5:$G$2162,'октябрь 2024'!$D$5:$D$2162,$B161,'октябрь 2024'!$J$5:$J$2162,N$1)</f>
        <v>0</v>
      </c>
      <c r="O161" s="80">
        <f>SUMIFS('октябрь 2024'!$G$5:$G$2162,'октябрь 2024'!$D$5:$D$2162,$B161,'октябрь 2024'!$J$5:$J$2162,O$1)</f>
        <v>0</v>
      </c>
      <c r="P161" s="80">
        <f>SUMIFS('октябрь 2024'!$G$5:$G$2162,'октябрь 2024'!$D$5:$D$2162,$B161,'октябрь 2024'!$J$5:$J$2162,P$1)</f>
        <v>0</v>
      </c>
      <c r="Q161" s="80">
        <f>SUMIFS('октябрь 2024'!$G$5:$G$2162,'октябрь 2024'!$D$5:$D$2162,$B161,'октябрь 2024'!$J$5:$J$2162,Q$1)</f>
        <v>0</v>
      </c>
      <c r="R161" s="80">
        <f>SUMIFS('октябрь 2024'!$G$5:$G$2162,'октябрь 2024'!$D$5:$D$2162,$B161,'октябрь 2024'!$J$5:$J$2162,R$1)</f>
        <v>0</v>
      </c>
      <c r="S161" s="80">
        <f>SUMIFS('октябрь 2024'!$G$5:$G$2162,'октябрь 2024'!$D$5:$D$2162,$B161,'октябрь 2024'!$J$5:$J$2162,S$1)</f>
        <v>0</v>
      </c>
      <c r="T161" s="80">
        <f>SUMIFS('октябрь 2024'!$G$5:$G$2162,'октябрь 2024'!$D$5:$D$2162,$B161,'октябрь 2024'!$J$5:$J$2162,T$1)</f>
        <v>0</v>
      </c>
      <c r="U161" s="80">
        <f>SUMIFS('октябрь 2024'!$G$5:$G$2162,'октябрь 2024'!$D$5:$D$2162,$B161,'октябрь 2024'!$J$5:$J$2162,U$1)</f>
        <v>0</v>
      </c>
      <c r="V161" s="80">
        <f>SUMIFS('октябрь 2024'!$G$5:$G$2162,'октябрь 2024'!$D$5:$D$2162,$B161,'октябрь 2024'!$J$5:$J$2162,V$1)</f>
        <v>0</v>
      </c>
      <c r="W161" s="80">
        <f>SUMIFS('октябрь 2024'!$G$5:$G$2162,'октябрь 2024'!$D$5:$D$2162,$B161,'октябрь 2024'!$J$5:$J$2162,W$1)</f>
        <v>0</v>
      </c>
      <c r="X161" s="80">
        <f>SUMIFS('октябрь 2024'!$G$5:$G$2162,'октябрь 2024'!$D$5:$D$2162,$B161,'октябрь 2024'!$J$5:$J$2162,X$1)</f>
        <v>0</v>
      </c>
      <c r="Y161" s="80">
        <f>SUMIFS('октябрь 2024'!$G$5:$G$2162,'октябрь 2024'!$D$5:$D$2162,$B161,'октябрь 2024'!$J$5:$J$2162,Y$1)</f>
        <v>0</v>
      </c>
      <c r="Z161" s="80">
        <f>SUMIFS('октябрь 2024'!$G$5:$G$2162,'октябрь 2024'!$D$5:$D$2162,$B161,'октябрь 2024'!$J$5:$J$2162,Z$1)</f>
        <v>0</v>
      </c>
      <c r="AA161" s="80">
        <f>SUMIFS('октябрь 2024'!$G$5:$G$2162,'октябрь 2024'!$D$5:$D$2162,$B161,'октябрь 2024'!$J$5:$J$2162,AA$1)</f>
        <v>0</v>
      </c>
      <c r="AB161" s="80">
        <f>SUMIFS('октябрь 2024'!$G$5:$G$2162,'октябрь 2024'!$D$5:$D$2162,$B161,'октябрь 2024'!$J$5:$J$2162,AB$1)</f>
        <v>0</v>
      </c>
      <c r="AC161" s="80">
        <f>SUMIFS('октябрь 2024'!$G$5:$G$2162,'октябрь 2024'!$D$5:$D$2162,$B161,'октябрь 2024'!$J$5:$J$2162,AC$1)</f>
        <v>0</v>
      </c>
      <c r="AD161" s="80">
        <f>SUMIFS('октябрь 2024'!$G$5:$G$2162,'октябрь 2024'!$D$5:$D$2162,$B161,'октябрь 2024'!$J$5:$J$2162,AD$1)</f>
        <v>0</v>
      </c>
      <c r="AE161" s="80">
        <f>SUMIFS('октябрь 2024'!$G$5:$G$2162,'октябрь 2024'!$D$5:$D$2162,$B161,'октябрь 2024'!$J$5:$J$2162,AE$1)</f>
        <v>0</v>
      </c>
      <c r="AF161" s="80">
        <f>SUMIFS('октябрь 2024'!$G$5:$G$2162,'октябрь 2024'!$D$5:$D$2162,$B161,'октябрь 2024'!$J$5:$J$2162,AF$1)</f>
        <v>0</v>
      </c>
      <c r="AG161" s="80">
        <f>SUMIFS('октябрь 2024'!$G$5:$G$2162,'октябрь 2024'!$D$5:$D$2162,$B161,'октябрь 2024'!$J$5:$J$2162,AG$1)</f>
        <v>0</v>
      </c>
      <c r="AH161" s="80">
        <f>SUMIFS('октябрь 2024'!$G$5:$G$2162,'октябрь 2024'!$D$5:$D$2162,$B161,'октябрь 2024'!$J$5:$J$2162,AH$1)</f>
        <v>0</v>
      </c>
      <c r="AI161" s="87"/>
    </row>
    <row r="162" spans="2:35" ht="15" hidden="1" customHeight="1" x14ac:dyDescent="0.25">
      <c r="B162" s="89"/>
      <c r="C162" s="88"/>
      <c r="D162" s="80">
        <f>SUMIFS('октябрь 2024'!$G$5:$G$2162,'октябрь 2024'!$D$5:$D$2162,$B162,'октябрь 2024'!$J$5:$J$2162,D$1)</f>
        <v>0</v>
      </c>
      <c r="E162" s="80">
        <f>SUMIFS('октябрь 2024'!$G$5:$G$2162,'октябрь 2024'!$D$5:$D$2162,$B162,'октябрь 2024'!$J$5:$J$2162,E$1)</f>
        <v>0</v>
      </c>
      <c r="F162" s="80">
        <f>SUMIFS('октябрь 2024'!$G$5:$G$2162,'октябрь 2024'!$D$5:$D$2162,$B162,'октябрь 2024'!$J$5:$J$2162,F$1)</f>
        <v>0</v>
      </c>
      <c r="G162" s="80">
        <f>SUMIFS('октябрь 2024'!$G$5:$G$2162,'октябрь 2024'!$D$5:$D$2162,$B162,'октябрь 2024'!$J$5:$J$2162,G$1)</f>
        <v>0</v>
      </c>
      <c r="H162" s="80">
        <f>SUMIFS('октябрь 2024'!$G$5:$G$2162,'октябрь 2024'!$D$5:$D$2162,$B162,'октябрь 2024'!$J$5:$J$2162,H$1)</f>
        <v>0</v>
      </c>
      <c r="I162" s="80">
        <f>SUMIFS('октябрь 2024'!$G$5:$G$2162,'октябрь 2024'!$D$5:$D$2162,$B162,'октябрь 2024'!$J$5:$J$2162,I$1)</f>
        <v>0</v>
      </c>
      <c r="J162" s="80">
        <f>SUMIFS('октябрь 2024'!$G$5:$G$2162,'октябрь 2024'!$D$5:$D$2162,$B162,'октябрь 2024'!$J$5:$J$2162,J$1)</f>
        <v>0</v>
      </c>
      <c r="K162" s="80">
        <f>SUMIFS('октябрь 2024'!$G$5:$G$2162,'октябрь 2024'!$D$5:$D$2162,$B162,'октябрь 2024'!$J$5:$J$2162,K$1)</f>
        <v>0</v>
      </c>
      <c r="L162" s="80">
        <f>SUMIFS('октябрь 2024'!$G$5:$G$2162,'октябрь 2024'!$D$5:$D$2162,$B162,'октябрь 2024'!$J$5:$J$2162,L$1)</f>
        <v>0</v>
      </c>
      <c r="M162" s="80">
        <f>SUMIFS('октябрь 2024'!$G$5:$G$2162,'октябрь 2024'!$D$5:$D$2162,$B162,'октябрь 2024'!$J$5:$J$2162,M$1)</f>
        <v>0</v>
      </c>
      <c r="N162" s="80">
        <f>SUMIFS('октябрь 2024'!$G$5:$G$2162,'октябрь 2024'!$D$5:$D$2162,$B162,'октябрь 2024'!$J$5:$J$2162,N$1)</f>
        <v>0</v>
      </c>
      <c r="O162" s="80">
        <f>SUMIFS('октябрь 2024'!$G$5:$G$2162,'октябрь 2024'!$D$5:$D$2162,$B162,'октябрь 2024'!$J$5:$J$2162,O$1)</f>
        <v>0</v>
      </c>
      <c r="P162" s="80">
        <f>SUMIFS('октябрь 2024'!$G$5:$G$2162,'октябрь 2024'!$D$5:$D$2162,$B162,'октябрь 2024'!$J$5:$J$2162,P$1)</f>
        <v>0</v>
      </c>
      <c r="Q162" s="80">
        <f>SUMIFS('октябрь 2024'!$G$5:$G$2162,'октябрь 2024'!$D$5:$D$2162,$B162,'октябрь 2024'!$J$5:$J$2162,Q$1)</f>
        <v>0</v>
      </c>
      <c r="R162" s="80">
        <f>SUMIFS('октябрь 2024'!$G$5:$G$2162,'октябрь 2024'!$D$5:$D$2162,$B162,'октябрь 2024'!$J$5:$J$2162,R$1)</f>
        <v>0</v>
      </c>
      <c r="S162" s="80">
        <f>SUMIFS('октябрь 2024'!$G$5:$G$2162,'октябрь 2024'!$D$5:$D$2162,$B162,'октябрь 2024'!$J$5:$J$2162,S$1)</f>
        <v>0</v>
      </c>
      <c r="T162" s="80">
        <f>SUMIFS('октябрь 2024'!$G$5:$G$2162,'октябрь 2024'!$D$5:$D$2162,$B162,'октябрь 2024'!$J$5:$J$2162,T$1)</f>
        <v>0</v>
      </c>
      <c r="U162" s="80">
        <f>SUMIFS('октябрь 2024'!$G$5:$G$2162,'октябрь 2024'!$D$5:$D$2162,$B162,'октябрь 2024'!$J$5:$J$2162,U$1)</f>
        <v>0</v>
      </c>
      <c r="V162" s="80">
        <f>SUMIFS('октябрь 2024'!$G$5:$G$2162,'октябрь 2024'!$D$5:$D$2162,$B162,'октябрь 2024'!$J$5:$J$2162,V$1)</f>
        <v>0</v>
      </c>
      <c r="W162" s="80">
        <f>SUMIFS('октябрь 2024'!$G$5:$G$2162,'октябрь 2024'!$D$5:$D$2162,$B162,'октябрь 2024'!$J$5:$J$2162,W$1)</f>
        <v>0</v>
      </c>
      <c r="X162" s="80">
        <f>SUMIFS('октябрь 2024'!$G$5:$G$2162,'октябрь 2024'!$D$5:$D$2162,$B162,'октябрь 2024'!$J$5:$J$2162,X$1)</f>
        <v>0</v>
      </c>
      <c r="Y162" s="80">
        <f>SUMIFS('октябрь 2024'!$G$5:$G$2162,'октябрь 2024'!$D$5:$D$2162,$B162,'октябрь 2024'!$J$5:$J$2162,Y$1)</f>
        <v>0</v>
      </c>
      <c r="Z162" s="80">
        <f>SUMIFS('октябрь 2024'!$G$5:$G$2162,'октябрь 2024'!$D$5:$D$2162,$B162,'октябрь 2024'!$J$5:$J$2162,Z$1)</f>
        <v>0</v>
      </c>
      <c r="AA162" s="80">
        <f>SUMIFS('октябрь 2024'!$G$5:$G$2162,'октябрь 2024'!$D$5:$D$2162,$B162,'октябрь 2024'!$J$5:$J$2162,AA$1)</f>
        <v>0</v>
      </c>
      <c r="AB162" s="80">
        <f>SUMIFS('октябрь 2024'!$G$5:$G$2162,'октябрь 2024'!$D$5:$D$2162,$B162,'октябрь 2024'!$J$5:$J$2162,AB$1)</f>
        <v>0</v>
      </c>
      <c r="AC162" s="80">
        <f>SUMIFS('октябрь 2024'!$G$5:$G$2162,'октябрь 2024'!$D$5:$D$2162,$B162,'октябрь 2024'!$J$5:$J$2162,AC$1)</f>
        <v>0</v>
      </c>
      <c r="AD162" s="80">
        <f>SUMIFS('октябрь 2024'!$G$5:$G$2162,'октябрь 2024'!$D$5:$D$2162,$B162,'октябрь 2024'!$J$5:$J$2162,AD$1)</f>
        <v>0</v>
      </c>
      <c r="AE162" s="80">
        <f>SUMIFS('октябрь 2024'!$G$5:$G$2162,'октябрь 2024'!$D$5:$D$2162,$B162,'октябрь 2024'!$J$5:$J$2162,AE$1)</f>
        <v>0</v>
      </c>
      <c r="AF162" s="80">
        <f>SUMIFS('октябрь 2024'!$G$5:$G$2162,'октябрь 2024'!$D$5:$D$2162,$B162,'октябрь 2024'!$J$5:$J$2162,AF$1)</f>
        <v>0</v>
      </c>
      <c r="AG162" s="80">
        <f>SUMIFS('октябрь 2024'!$G$5:$G$2162,'октябрь 2024'!$D$5:$D$2162,$B162,'октябрь 2024'!$J$5:$J$2162,AG$1)</f>
        <v>0</v>
      </c>
      <c r="AH162" s="80">
        <f>SUMIFS('октябрь 2024'!$G$5:$G$2162,'октябрь 2024'!$D$5:$D$2162,$B162,'октябрь 2024'!$J$5:$J$2162,AH$1)</f>
        <v>0</v>
      </c>
      <c r="AI162" s="87"/>
    </row>
    <row r="163" spans="2:35" ht="15" hidden="1" customHeight="1" x14ac:dyDescent="0.25">
      <c r="B163" s="92"/>
      <c r="C163" s="91"/>
      <c r="D163" s="80">
        <f>SUMIFS('октябрь 2024'!$G$5:$G$2162,'октябрь 2024'!$D$5:$D$2162,$B163,'октябрь 2024'!$J$5:$J$2162,D$1)</f>
        <v>0</v>
      </c>
      <c r="E163" s="80">
        <f>SUMIFS('октябрь 2024'!$G$5:$G$2162,'октябрь 2024'!$D$5:$D$2162,$B163,'октябрь 2024'!$J$5:$J$2162,E$1)</f>
        <v>0</v>
      </c>
      <c r="F163" s="80">
        <f>SUMIFS('октябрь 2024'!$G$5:$G$2162,'октябрь 2024'!$D$5:$D$2162,$B163,'октябрь 2024'!$J$5:$J$2162,F$1)</f>
        <v>0</v>
      </c>
      <c r="G163" s="80">
        <f>SUMIFS('октябрь 2024'!$G$5:$G$2162,'октябрь 2024'!$D$5:$D$2162,$B163,'октябрь 2024'!$J$5:$J$2162,G$1)</f>
        <v>0</v>
      </c>
      <c r="H163" s="80">
        <f>SUMIFS('октябрь 2024'!$G$5:$G$2162,'октябрь 2024'!$D$5:$D$2162,$B163,'октябрь 2024'!$J$5:$J$2162,H$1)</f>
        <v>0</v>
      </c>
      <c r="I163" s="80">
        <f>SUMIFS('октябрь 2024'!$G$5:$G$2162,'октябрь 2024'!$D$5:$D$2162,$B163,'октябрь 2024'!$J$5:$J$2162,I$1)</f>
        <v>0</v>
      </c>
      <c r="J163" s="80">
        <f>SUMIFS('октябрь 2024'!$G$5:$G$2162,'октябрь 2024'!$D$5:$D$2162,$B163,'октябрь 2024'!$J$5:$J$2162,J$1)</f>
        <v>0</v>
      </c>
      <c r="K163" s="80">
        <f>SUMIFS('октябрь 2024'!$G$5:$G$2162,'октябрь 2024'!$D$5:$D$2162,$B163,'октябрь 2024'!$J$5:$J$2162,K$1)</f>
        <v>0</v>
      </c>
      <c r="L163" s="80">
        <f>SUMIFS('октябрь 2024'!$G$5:$G$2162,'октябрь 2024'!$D$5:$D$2162,$B163,'октябрь 2024'!$J$5:$J$2162,L$1)</f>
        <v>0</v>
      </c>
      <c r="M163" s="80">
        <f>SUMIFS('октябрь 2024'!$G$5:$G$2162,'октябрь 2024'!$D$5:$D$2162,$B163,'октябрь 2024'!$J$5:$J$2162,M$1)</f>
        <v>0</v>
      </c>
      <c r="N163" s="80">
        <f>SUMIFS('октябрь 2024'!$G$5:$G$2162,'октябрь 2024'!$D$5:$D$2162,$B163,'октябрь 2024'!$J$5:$J$2162,N$1)</f>
        <v>0</v>
      </c>
      <c r="O163" s="80">
        <f>SUMIFS('октябрь 2024'!$G$5:$G$2162,'октябрь 2024'!$D$5:$D$2162,$B163,'октябрь 2024'!$J$5:$J$2162,O$1)</f>
        <v>0</v>
      </c>
      <c r="P163" s="80">
        <f>SUMIFS('октябрь 2024'!$G$5:$G$2162,'октябрь 2024'!$D$5:$D$2162,$B163,'октябрь 2024'!$J$5:$J$2162,P$1)</f>
        <v>0</v>
      </c>
      <c r="Q163" s="80">
        <f>SUMIFS('октябрь 2024'!$G$5:$G$2162,'октябрь 2024'!$D$5:$D$2162,$B163,'октябрь 2024'!$J$5:$J$2162,Q$1)</f>
        <v>0</v>
      </c>
      <c r="R163" s="80">
        <f>SUMIFS('октябрь 2024'!$G$5:$G$2162,'октябрь 2024'!$D$5:$D$2162,$B163,'октябрь 2024'!$J$5:$J$2162,R$1)</f>
        <v>0</v>
      </c>
      <c r="S163" s="80">
        <f>SUMIFS('октябрь 2024'!$G$5:$G$2162,'октябрь 2024'!$D$5:$D$2162,$B163,'октябрь 2024'!$J$5:$J$2162,S$1)</f>
        <v>0</v>
      </c>
      <c r="T163" s="80">
        <f>SUMIFS('октябрь 2024'!$G$5:$G$2162,'октябрь 2024'!$D$5:$D$2162,$B163,'октябрь 2024'!$J$5:$J$2162,T$1)</f>
        <v>0</v>
      </c>
      <c r="U163" s="80">
        <f>SUMIFS('октябрь 2024'!$G$5:$G$2162,'октябрь 2024'!$D$5:$D$2162,$B163,'октябрь 2024'!$J$5:$J$2162,U$1)</f>
        <v>0</v>
      </c>
      <c r="V163" s="80">
        <f>SUMIFS('октябрь 2024'!$G$5:$G$2162,'октябрь 2024'!$D$5:$D$2162,$B163,'октябрь 2024'!$J$5:$J$2162,V$1)</f>
        <v>0</v>
      </c>
      <c r="W163" s="80">
        <f>SUMIFS('октябрь 2024'!$G$5:$G$2162,'октябрь 2024'!$D$5:$D$2162,$B163,'октябрь 2024'!$J$5:$J$2162,W$1)</f>
        <v>0</v>
      </c>
      <c r="X163" s="80">
        <f>SUMIFS('октябрь 2024'!$G$5:$G$2162,'октябрь 2024'!$D$5:$D$2162,$B163,'октябрь 2024'!$J$5:$J$2162,X$1)</f>
        <v>0</v>
      </c>
      <c r="Y163" s="80">
        <f>SUMIFS('октябрь 2024'!$G$5:$G$2162,'октябрь 2024'!$D$5:$D$2162,$B163,'октябрь 2024'!$J$5:$J$2162,Y$1)</f>
        <v>0</v>
      </c>
      <c r="Z163" s="80">
        <f>SUMIFS('октябрь 2024'!$G$5:$G$2162,'октябрь 2024'!$D$5:$D$2162,$B163,'октябрь 2024'!$J$5:$J$2162,Z$1)</f>
        <v>0</v>
      </c>
      <c r="AA163" s="80">
        <f>SUMIFS('октябрь 2024'!$G$5:$G$2162,'октябрь 2024'!$D$5:$D$2162,$B163,'октябрь 2024'!$J$5:$J$2162,AA$1)</f>
        <v>0</v>
      </c>
      <c r="AB163" s="80">
        <f>SUMIFS('октябрь 2024'!$G$5:$G$2162,'октябрь 2024'!$D$5:$D$2162,$B163,'октябрь 2024'!$J$5:$J$2162,AB$1)</f>
        <v>0</v>
      </c>
      <c r="AC163" s="80">
        <f>SUMIFS('октябрь 2024'!$G$5:$G$2162,'октябрь 2024'!$D$5:$D$2162,$B163,'октябрь 2024'!$J$5:$J$2162,AC$1)</f>
        <v>0</v>
      </c>
      <c r="AD163" s="80">
        <f>SUMIFS('октябрь 2024'!$G$5:$G$2162,'октябрь 2024'!$D$5:$D$2162,$B163,'октябрь 2024'!$J$5:$J$2162,AD$1)</f>
        <v>0</v>
      </c>
      <c r="AE163" s="80">
        <f>SUMIFS('октябрь 2024'!$G$5:$G$2162,'октябрь 2024'!$D$5:$D$2162,$B163,'октябрь 2024'!$J$5:$J$2162,AE$1)</f>
        <v>0</v>
      </c>
      <c r="AF163" s="80">
        <f>SUMIFS('октябрь 2024'!$G$5:$G$2162,'октябрь 2024'!$D$5:$D$2162,$B163,'октябрь 2024'!$J$5:$J$2162,AF$1)</f>
        <v>0</v>
      </c>
      <c r="AG163" s="80">
        <f>SUMIFS('октябрь 2024'!$G$5:$G$2162,'октябрь 2024'!$D$5:$D$2162,$B163,'октябрь 2024'!$J$5:$J$2162,AG$1)</f>
        <v>0</v>
      </c>
      <c r="AH163" s="80">
        <f>SUMIFS('октябрь 2024'!$G$5:$G$2162,'октябрь 2024'!$D$5:$D$2162,$B163,'октябрь 2024'!$J$5:$J$2162,AH$1)</f>
        <v>0</v>
      </c>
      <c r="AI163" s="87"/>
    </row>
    <row r="164" spans="2:35" ht="15" hidden="1" customHeight="1" x14ac:dyDescent="0.25">
      <c r="B164" s="89"/>
      <c r="C164" s="91"/>
      <c r="D164" s="80">
        <f>SUMIFS('октябрь 2024'!$G$5:$G$2162,'октябрь 2024'!$D$5:$D$2162,$B164,'октябрь 2024'!$J$5:$J$2162,D$1)</f>
        <v>0</v>
      </c>
      <c r="E164" s="80">
        <f>SUMIFS('октябрь 2024'!$G$5:$G$2162,'октябрь 2024'!$D$5:$D$2162,$B164,'октябрь 2024'!$J$5:$J$2162,E$1)</f>
        <v>0</v>
      </c>
      <c r="F164" s="80">
        <f>SUMIFS('октябрь 2024'!$G$5:$G$2162,'октябрь 2024'!$D$5:$D$2162,$B164,'октябрь 2024'!$J$5:$J$2162,F$1)</f>
        <v>0</v>
      </c>
      <c r="G164" s="80">
        <f>SUMIFS('октябрь 2024'!$G$5:$G$2162,'октябрь 2024'!$D$5:$D$2162,$B164,'октябрь 2024'!$J$5:$J$2162,G$1)</f>
        <v>0</v>
      </c>
      <c r="H164" s="80">
        <f>SUMIFS('октябрь 2024'!$G$5:$G$2162,'октябрь 2024'!$D$5:$D$2162,$B164,'октябрь 2024'!$J$5:$J$2162,H$1)</f>
        <v>0</v>
      </c>
      <c r="I164" s="80">
        <f>SUMIFS('октябрь 2024'!$G$5:$G$2162,'октябрь 2024'!$D$5:$D$2162,$B164,'октябрь 2024'!$J$5:$J$2162,I$1)</f>
        <v>0</v>
      </c>
      <c r="J164" s="80">
        <f>SUMIFS('октябрь 2024'!$G$5:$G$2162,'октябрь 2024'!$D$5:$D$2162,$B164,'октябрь 2024'!$J$5:$J$2162,J$1)</f>
        <v>0</v>
      </c>
      <c r="K164" s="80">
        <f>SUMIFS('октябрь 2024'!$G$5:$G$2162,'октябрь 2024'!$D$5:$D$2162,$B164,'октябрь 2024'!$J$5:$J$2162,K$1)</f>
        <v>0</v>
      </c>
      <c r="L164" s="80">
        <f>SUMIFS('октябрь 2024'!$G$5:$G$2162,'октябрь 2024'!$D$5:$D$2162,$B164,'октябрь 2024'!$J$5:$J$2162,L$1)</f>
        <v>0</v>
      </c>
      <c r="M164" s="80">
        <f>SUMIFS('октябрь 2024'!$G$5:$G$2162,'октябрь 2024'!$D$5:$D$2162,$B164,'октябрь 2024'!$J$5:$J$2162,M$1)</f>
        <v>0</v>
      </c>
      <c r="N164" s="80">
        <f>SUMIFS('октябрь 2024'!$G$5:$G$2162,'октябрь 2024'!$D$5:$D$2162,$B164,'октябрь 2024'!$J$5:$J$2162,N$1)</f>
        <v>0</v>
      </c>
      <c r="O164" s="80">
        <f>SUMIFS('октябрь 2024'!$G$5:$G$2162,'октябрь 2024'!$D$5:$D$2162,$B164,'октябрь 2024'!$J$5:$J$2162,O$1)</f>
        <v>0</v>
      </c>
      <c r="P164" s="80">
        <f>SUMIFS('октябрь 2024'!$G$5:$G$2162,'октябрь 2024'!$D$5:$D$2162,$B164,'октябрь 2024'!$J$5:$J$2162,P$1)</f>
        <v>0</v>
      </c>
      <c r="Q164" s="80">
        <f>SUMIFS('октябрь 2024'!$G$5:$G$2162,'октябрь 2024'!$D$5:$D$2162,$B164,'октябрь 2024'!$J$5:$J$2162,Q$1)</f>
        <v>0</v>
      </c>
      <c r="R164" s="80">
        <f>SUMIFS('октябрь 2024'!$G$5:$G$2162,'октябрь 2024'!$D$5:$D$2162,$B164,'октябрь 2024'!$J$5:$J$2162,R$1)</f>
        <v>0</v>
      </c>
      <c r="S164" s="80">
        <f>SUMIFS('октябрь 2024'!$G$5:$G$2162,'октябрь 2024'!$D$5:$D$2162,$B164,'октябрь 2024'!$J$5:$J$2162,S$1)</f>
        <v>0</v>
      </c>
      <c r="T164" s="80">
        <f>SUMIFS('октябрь 2024'!$G$5:$G$2162,'октябрь 2024'!$D$5:$D$2162,$B164,'октябрь 2024'!$J$5:$J$2162,T$1)</f>
        <v>0</v>
      </c>
      <c r="U164" s="80">
        <f>SUMIFS('октябрь 2024'!$G$5:$G$2162,'октябрь 2024'!$D$5:$D$2162,$B164,'октябрь 2024'!$J$5:$J$2162,U$1)</f>
        <v>0</v>
      </c>
      <c r="V164" s="80">
        <f>SUMIFS('октябрь 2024'!$G$5:$G$2162,'октябрь 2024'!$D$5:$D$2162,$B164,'октябрь 2024'!$J$5:$J$2162,V$1)</f>
        <v>0</v>
      </c>
      <c r="W164" s="80">
        <f>SUMIFS('октябрь 2024'!$G$5:$G$2162,'октябрь 2024'!$D$5:$D$2162,$B164,'октябрь 2024'!$J$5:$J$2162,W$1)</f>
        <v>0</v>
      </c>
      <c r="X164" s="80">
        <f>SUMIFS('октябрь 2024'!$G$5:$G$2162,'октябрь 2024'!$D$5:$D$2162,$B164,'октябрь 2024'!$J$5:$J$2162,X$1)</f>
        <v>0</v>
      </c>
      <c r="Y164" s="80">
        <f>SUMIFS('октябрь 2024'!$G$5:$G$2162,'октябрь 2024'!$D$5:$D$2162,$B164,'октябрь 2024'!$J$5:$J$2162,Y$1)</f>
        <v>0</v>
      </c>
      <c r="Z164" s="80">
        <f>SUMIFS('октябрь 2024'!$G$5:$G$2162,'октябрь 2024'!$D$5:$D$2162,$B164,'октябрь 2024'!$J$5:$J$2162,Z$1)</f>
        <v>0</v>
      </c>
      <c r="AA164" s="80">
        <f>SUMIFS('октябрь 2024'!$G$5:$G$2162,'октябрь 2024'!$D$5:$D$2162,$B164,'октябрь 2024'!$J$5:$J$2162,AA$1)</f>
        <v>0</v>
      </c>
      <c r="AB164" s="80">
        <f>SUMIFS('октябрь 2024'!$G$5:$G$2162,'октябрь 2024'!$D$5:$D$2162,$B164,'октябрь 2024'!$J$5:$J$2162,AB$1)</f>
        <v>0</v>
      </c>
      <c r="AC164" s="80">
        <f>SUMIFS('октябрь 2024'!$G$5:$G$2162,'октябрь 2024'!$D$5:$D$2162,$B164,'октябрь 2024'!$J$5:$J$2162,AC$1)</f>
        <v>0</v>
      </c>
      <c r="AD164" s="80">
        <f>SUMIFS('октябрь 2024'!$G$5:$G$2162,'октябрь 2024'!$D$5:$D$2162,$B164,'октябрь 2024'!$J$5:$J$2162,AD$1)</f>
        <v>0</v>
      </c>
      <c r="AE164" s="80">
        <f>SUMIFS('октябрь 2024'!$G$5:$G$2162,'октябрь 2024'!$D$5:$D$2162,$B164,'октябрь 2024'!$J$5:$J$2162,AE$1)</f>
        <v>0</v>
      </c>
      <c r="AF164" s="80">
        <f>SUMIFS('октябрь 2024'!$G$5:$G$2162,'октябрь 2024'!$D$5:$D$2162,$B164,'октябрь 2024'!$J$5:$J$2162,AF$1)</f>
        <v>0</v>
      </c>
      <c r="AG164" s="80">
        <f>SUMIFS('октябрь 2024'!$G$5:$G$2162,'октябрь 2024'!$D$5:$D$2162,$B164,'октябрь 2024'!$J$5:$J$2162,AG$1)</f>
        <v>0</v>
      </c>
      <c r="AH164" s="80">
        <f>SUMIFS('октябрь 2024'!$G$5:$G$2162,'октябрь 2024'!$D$5:$D$2162,$B164,'октябрь 2024'!$J$5:$J$2162,AH$1)</f>
        <v>0</v>
      </c>
      <c r="AI164" s="87"/>
    </row>
    <row r="165" spans="2:35" ht="15" hidden="1" customHeight="1" x14ac:dyDescent="0.25">
      <c r="B165" s="89"/>
      <c r="C165" s="88"/>
      <c r="D165" s="80">
        <f>SUMIFS('октябрь 2024'!$G$5:$G$2162,'октябрь 2024'!$D$5:$D$2162,$B165,'октябрь 2024'!$J$5:$J$2162,D$1)</f>
        <v>0</v>
      </c>
      <c r="E165" s="80">
        <f>SUMIFS('октябрь 2024'!$G$5:$G$2162,'октябрь 2024'!$D$5:$D$2162,$B165,'октябрь 2024'!$J$5:$J$2162,E$1)</f>
        <v>0</v>
      </c>
      <c r="F165" s="80">
        <f>SUMIFS('октябрь 2024'!$G$5:$G$2162,'октябрь 2024'!$D$5:$D$2162,$B165,'октябрь 2024'!$J$5:$J$2162,F$1)</f>
        <v>0</v>
      </c>
      <c r="G165" s="80">
        <f>SUMIFS('октябрь 2024'!$G$5:$G$2162,'октябрь 2024'!$D$5:$D$2162,$B165,'октябрь 2024'!$J$5:$J$2162,G$1)</f>
        <v>0</v>
      </c>
      <c r="H165" s="80">
        <f>SUMIFS('октябрь 2024'!$G$5:$G$2162,'октябрь 2024'!$D$5:$D$2162,$B165,'октябрь 2024'!$J$5:$J$2162,H$1)</f>
        <v>0</v>
      </c>
      <c r="I165" s="80">
        <f>SUMIFS('октябрь 2024'!$G$5:$G$2162,'октябрь 2024'!$D$5:$D$2162,$B165,'октябрь 2024'!$J$5:$J$2162,I$1)</f>
        <v>0</v>
      </c>
      <c r="J165" s="80">
        <f>SUMIFS('октябрь 2024'!$G$5:$G$2162,'октябрь 2024'!$D$5:$D$2162,$B165,'октябрь 2024'!$J$5:$J$2162,J$1)</f>
        <v>0</v>
      </c>
      <c r="K165" s="80">
        <f>SUMIFS('октябрь 2024'!$G$5:$G$2162,'октябрь 2024'!$D$5:$D$2162,$B165,'октябрь 2024'!$J$5:$J$2162,K$1)</f>
        <v>0</v>
      </c>
      <c r="L165" s="80">
        <f>SUMIFS('октябрь 2024'!$G$5:$G$2162,'октябрь 2024'!$D$5:$D$2162,$B165,'октябрь 2024'!$J$5:$J$2162,L$1)</f>
        <v>0</v>
      </c>
      <c r="M165" s="80">
        <f>SUMIFS('октябрь 2024'!$G$5:$G$2162,'октябрь 2024'!$D$5:$D$2162,$B165,'октябрь 2024'!$J$5:$J$2162,M$1)</f>
        <v>0</v>
      </c>
      <c r="N165" s="80">
        <f>SUMIFS('октябрь 2024'!$G$5:$G$2162,'октябрь 2024'!$D$5:$D$2162,$B165,'октябрь 2024'!$J$5:$J$2162,N$1)</f>
        <v>0</v>
      </c>
      <c r="O165" s="80">
        <f>SUMIFS('октябрь 2024'!$G$5:$G$2162,'октябрь 2024'!$D$5:$D$2162,$B165,'октябрь 2024'!$J$5:$J$2162,O$1)</f>
        <v>0</v>
      </c>
      <c r="P165" s="80">
        <f>SUMIFS('октябрь 2024'!$G$5:$G$2162,'октябрь 2024'!$D$5:$D$2162,$B165,'октябрь 2024'!$J$5:$J$2162,P$1)</f>
        <v>0</v>
      </c>
      <c r="Q165" s="80">
        <f>SUMIFS('октябрь 2024'!$G$5:$G$2162,'октябрь 2024'!$D$5:$D$2162,$B165,'октябрь 2024'!$J$5:$J$2162,Q$1)</f>
        <v>0</v>
      </c>
      <c r="R165" s="80">
        <f>SUMIFS('октябрь 2024'!$G$5:$G$2162,'октябрь 2024'!$D$5:$D$2162,$B165,'октябрь 2024'!$J$5:$J$2162,R$1)</f>
        <v>0</v>
      </c>
      <c r="S165" s="80">
        <f>SUMIFS('октябрь 2024'!$G$5:$G$2162,'октябрь 2024'!$D$5:$D$2162,$B165,'октябрь 2024'!$J$5:$J$2162,S$1)</f>
        <v>0</v>
      </c>
      <c r="T165" s="80">
        <f>SUMIFS('октябрь 2024'!$G$5:$G$2162,'октябрь 2024'!$D$5:$D$2162,$B165,'октябрь 2024'!$J$5:$J$2162,T$1)</f>
        <v>0</v>
      </c>
      <c r="U165" s="80">
        <f>SUMIFS('октябрь 2024'!$G$5:$G$2162,'октябрь 2024'!$D$5:$D$2162,$B165,'октябрь 2024'!$J$5:$J$2162,U$1)</f>
        <v>0</v>
      </c>
      <c r="V165" s="80">
        <f>SUMIFS('октябрь 2024'!$G$5:$G$2162,'октябрь 2024'!$D$5:$D$2162,$B165,'октябрь 2024'!$J$5:$J$2162,V$1)</f>
        <v>0</v>
      </c>
      <c r="W165" s="80">
        <f>SUMIFS('октябрь 2024'!$G$5:$G$2162,'октябрь 2024'!$D$5:$D$2162,$B165,'октябрь 2024'!$J$5:$J$2162,W$1)</f>
        <v>0</v>
      </c>
      <c r="X165" s="80">
        <f>SUMIFS('октябрь 2024'!$G$5:$G$2162,'октябрь 2024'!$D$5:$D$2162,$B165,'октябрь 2024'!$J$5:$J$2162,X$1)</f>
        <v>0</v>
      </c>
      <c r="Y165" s="80">
        <f>SUMIFS('октябрь 2024'!$G$5:$G$2162,'октябрь 2024'!$D$5:$D$2162,$B165,'октябрь 2024'!$J$5:$J$2162,Y$1)</f>
        <v>0</v>
      </c>
      <c r="Z165" s="80">
        <f>SUMIFS('октябрь 2024'!$G$5:$G$2162,'октябрь 2024'!$D$5:$D$2162,$B165,'октябрь 2024'!$J$5:$J$2162,Z$1)</f>
        <v>0</v>
      </c>
      <c r="AA165" s="80">
        <f>SUMIFS('октябрь 2024'!$G$5:$G$2162,'октябрь 2024'!$D$5:$D$2162,$B165,'октябрь 2024'!$J$5:$J$2162,AA$1)</f>
        <v>0</v>
      </c>
      <c r="AB165" s="80">
        <f>SUMIFS('октябрь 2024'!$G$5:$G$2162,'октябрь 2024'!$D$5:$D$2162,$B165,'октябрь 2024'!$J$5:$J$2162,AB$1)</f>
        <v>0</v>
      </c>
      <c r="AC165" s="80">
        <f>SUMIFS('октябрь 2024'!$G$5:$G$2162,'октябрь 2024'!$D$5:$D$2162,$B165,'октябрь 2024'!$J$5:$J$2162,AC$1)</f>
        <v>0</v>
      </c>
      <c r="AD165" s="80">
        <f>SUMIFS('октябрь 2024'!$G$5:$G$2162,'октябрь 2024'!$D$5:$D$2162,$B165,'октябрь 2024'!$J$5:$J$2162,AD$1)</f>
        <v>0</v>
      </c>
      <c r="AE165" s="80">
        <f>SUMIFS('октябрь 2024'!$G$5:$G$2162,'октябрь 2024'!$D$5:$D$2162,$B165,'октябрь 2024'!$J$5:$J$2162,AE$1)</f>
        <v>0</v>
      </c>
      <c r="AF165" s="80">
        <f>SUMIFS('октябрь 2024'!$G$5:$G$2162,'октябрь 2024'!$D$5:$D$2162,$B165,'октябрь 2024'!$J$5:$J$2162,AF$1)</f>
        <v>0</v>
      </c>
      <c r="AG165" s="80">
        <f>SUMIFS('октябрь 2024'!$G$5:$G$2162,'октябрь 2024'!$D$5:$D$2162,$B165,'октябрь 2024'!$J$5:$J$2162,AG$1)</f>
        <v>0</v>
      </c>
      <c r="AH165" s="80">
        <f>SUMIFS('октябрь 2024'!$G$5:$G$2162,'октябрь 2024'!$D$5:$D$2162,$B165,'октябрь 2024'!$J$5:$J$2162,AH$1)</f>
        <v>0</v>
      </c>
      <c r="AI165" s="87"/>
    </row>
    <row r="166" spans="2:35" ht="15" hidden="1" customHeight="1" x14ac:dyDescent="0.25">
      <c r="B166" s="89"/>
      <c r="C166" s="88"/>
      <c r="D166" s="80">
        <f>SUMIFS('октябрь 2024'!$G$5:$G$2162,'октябрь 2024'!$D$5:$D$2162,$B166,'октябрь 2024'!$J$5:$J$2162,D$1)</f>
        <v>0</v>
      </c>
      <c r="E166" s="80">
        <f>SUMIFS('октябрь 2024'!$G$5:$G$2162,'октябрь 2024'!$D$5:$D$2162,$B166,'октябрь 2024'!$J$5:$J$2162,E$1)</f>
        <v>0</v>
      </c>
      <c r="F166" s="80">
        <f>SUMIFS('октябрь 2024'!$G$5:$G$2162,'октябрь 2024'!$D$5:$D$2162,$B166,'октябрь 2024'!$J$5:$J$2162,F$1)</f>
        <v>0</v>
      </c>
      <c r="G166" s="80">
        <f>SUMIFS('октябрь 2024'!$G$5:$G$2162,'октябрь 2024'!$D$5:$D$2162,$B166,'октябрь 2024'!$J$5:$J$2162,G$1)</f>
        <v>0</v>
      </c>
      <c r="H166" s="80">
        <f>SUMIFS('октябрь 2024'!$G$5:$G$2162,'октябрь 2024'!$D$5:$D$2162,$B166,'октябрь 2024'!$J$5:$J$2162,H$1)</f>
        <v>0</v>
      </c>
      <c r="I166" s="80">
        <f>SUMIFS('октябрь 2024'!$G$5:$G$2162,'октябрь 2024'!$D$5:$D$2162,$B166,'октябрь 2024'!$J$5:$J$2162,I$1)</f>
        <v>0</v>
      </c>
      <c r="J166" s="80">
        <f>SUMIFS('октябрь 2024'!$G$5:$G$2162,'октябрь 2024'!$D$5:$D$2162,$B166,'октябрь 2024'!$J$5:$J$2162,J$1)</f>
        <v>0</v>
      </c>
      <c r="K166" s="80">
        <f>SUMIFS('октябрь 2024'!$G$5:$G$2162,'октябрь 2024'!$D$5:$D$2162,$B166,'октябрь 2024'!$J$5:$J$2162,K$1)</f>
        <v>0</v>
      </c>
      <c r="L166" s="80">
        <f>SUMIFS('октябрь 2024'!$G$5:$G$2162,'октябрь 2024'!$D$5:$D$2162,$B166,'октябрь 2024'!$J$5:$J$2162,L$1)</f>
        <v>0</v>
      </c>
      <c r="M166" s="80">
        <f>SUMIFS('октябрь 2024'!$G$5:$G$2162,'октябрь 2024'!$D$5:$D$2162,$B166,'октябрь 2024'!$J$5:$J$2162,M$1)</f>
        <v>0</v>
      </c>
      <c r="N166" s="80">
        <f>SUMIFS('октябрь 2024'!$G$5:$G$2162,'октябрь 2024'!$D$5:$D$2162,$B166,'октябрь 2024'!$J$5:$J$2162,N$1)</f>
        <v>0</v>
      </c>
      <c r="O166" s="80">
        <f>SUMIFS('октябрь 2024'!$G$5:$G$2162,'октябрь 2024'!$D$5:$D$2162,$B166,'октябрь 2024'!$J$5:$J$2162,O$1)</f>
        <v>0</v>
      </c>
      <c r="P166" s="80">
        <f>SUMIFS('октябрь 2024'!$G$5:$G$2162,'октябрь 2024'!$D$5:$D$2162,$B166,'октябрь 2024'!$J$5:$J$2162,P$1)</f>
        <v>0</v>
      </c>
      <c r="Q166" s="80">
        <f>SUMIFS('октябрь 2024'!$G$5:$G$2162,'октябрь 2024'!$D$5:$D$2162,$B166,'октябрь 2024'!$J$5:$J$2162,Q$1)</f>
        <v>0</v>
      </c>
      <c r="R166" s="80">
        <f>SUMIFS('октябрь 2024'!$G$5:$G$2162,'октябрь 2024'!$D$5:$D$2162,$B166,'октябрь 2024'!$J$5:$J$2162,R$1)</f>
        <v>0</v>
      </c>
      <c r="S166" s="80">
        <f>SUMIFS('октябрь 2024'!$G$5:$G$2162,'октябрь 2024'!$D$5:$D$2162,$B166,'октябрь 2024'!$J$5:$J$2162,S$1)</f>
        <v>0</v>
      </c>
      <c r="T166" s="80">
        <f>SUMIFS('октябрь 2024'!$G$5:$G$2162,'октябрь 2024'!$D$5:$D$2162,$B166,'октябрь 2024'!$J$5:$J$2162,T$1)</f>
        <v>0</v>
      </c>
      <c r="U166" s="80">
        <f>SUMIFS('октябрь 2024'!$G$5:$G$2162,'октябрь 2024'!$D$5:$D$2162,$B166,'октябрь 2024'!$J$5:$J$2162,U$1)</f>
        <v>0</v>
      </c>
      <c r="V166" s="80">
        <f>SUMIFS('октябрь 2024'!$G$5:$G$2162,'октябрь 2024'!$D$5:$D$2162,$B166,'октябрь 2024'!$J$5:$J$2162,V$1)</f>
        <v>0</v>
      </c>
      <c r="W166" s="80">
        <f>SUMIFS('октябрь 2024'!$G$5:$G$2162,'октябрь 2024'!$D$5:$D$2162,$B166,'октябрь 2024'!$J$5:$J$2162,W$1)</f>
        <v>0</v>
      </c>
      <c r="X166" s="80">
        <f>SUMIFS('октябрь 2024'!$G$5:$G$2162,'октябрь 2024'!$D$5:$D$2162,$B166,'октябрь 2024'!$J$5:$J$2162,X$1)</f>
        <v>0</v>
      </c>
      <c r="Y166" s="80">
        <f>SUMIFS('октябрь 2024'!$G$5:$G$2162,'октябрь 2024'!$D$5:$D$2162,$B166,'октябрь 2024'!$J$5:$J$2162,Y$1)</f>
        <v>0</v>
      </c>
      <c r="Z166" s="80">
        <f>SUMIFS('октябрь 2024'!$G$5:$G$2162,'октябрь 2024'!$D$5:$D$2162,$B166,'октябрь 2024'!$J$5:$J$2162,Z$1)</f>
        <v>0</v>
      </c>
      <c r="AA166" s="80">
        <f>SUMIFS('октябрь 2024'!$G$5:$G$2162,'октябрь 2024'!$D$5:$D$2162,$B166,'октябрь 2024'!$J$5:$J$2162,AA$1)</f>
        <v>0</v>
      </c>
      <c r="AB166" s="80">
        <f>SUMIFS('октябрь 2024'!$G$5:$G$2162,'октябрь 2024'!$D$5:$D$2162,$B166,'октябрь 2024'!$J$5:$J$2162,AB$1)</f>
        <v>0</v>
      </c>
      <c r="AC166" s="80">
        <f>SUMIFS('октябрь 2024'!$G$5:$G$2162,'октябрь 2024'!$D$5:$D$2162,$B166,'октябрь 2024'!$J$5:$J$2162,AC$1)</f>
        <v>0</v>
      </c>
      <c r="AD166" s="80">
        <f>SUMIFS('октябрь 2024'!$G$5:$G$2162,'октябрь 2024'!$D$5:$D$2162,$B166,'октябрь 2024'!$J$5:$J$2162,AD$1)</f>
        <v>0</v>
      </c>
      <c r="AE166" s="80">
        <f>SUMIFS('октябрь 2024'!$G$5:$G$2162,'октябрь 2024'!$D$5:$D$2162,$B166,'октябрь 2024'!$J$5:$J$2162,AE$1)</f>
        <v>0</v>
      </c>
      <c r="AF166" s="80">
        <f>SUMIFS('октябрь 2024'!$G$5:$G$2162,'октябрь 2024'!$D$5:$D$2162,$B166,'октябрь 2024'!$J$5:$J$2162,AF$1)</f>
        <v>0</v>
      </c>
      <c r="AG166" s="80">
        <f>SUMIFS('октябрь 2024'!$G$5:$G$2162,'октябрь 2024'!$D$5:$D$2162,$B166,'октябрь 2024'!$J$5:$J$2162,AG$1)</f>
        <v>0</v>
      </c>
      <c r="AH166" s="80">
        <f>SUMIFS('октябрь 2024'!$G$5:$G$2162,'октябрь 2024'!$D$5:$D$2162,$B166,'октябрь 2024'!$J$5:$J$2162,AH$1)</f>
        <v>0</v>
      </c>
      <c r="AI166" s="87"/>
    </row>
    <row r="167" spans="2:35" ht="15" hidden="1" customHeight="1" x14ac:dyDescent="0.25">
      <c r="B167" s="89"/>
      <c r="C167" s="88"/>
      <c r="D167" s="80">
        <f>SUMIFS('октябрь 2024'!$G$5:$G$2162,'октябрь 2024'!$D$5:$D$2162,$B167,'октябрь 2024'!$J$5:$J$2162,D$1)</f>
        <v>0</v>
      </c>
      <c r="E167" s="80">
        <f>SUMIFS('октябрь 2024'!$G$5:$G$2162,'октябрь 2024'!$D$5:$D$2162,$B167,'октябрь 2024'!$J$5:$J$2162,E$1)</f>
        <v>0</v>
      </c>
      <c r="F167" s="80">
        <f>SUMIFS('октябрь 2024'!$G$5:$G$2162,'октябрь 2024'!$D$5:$D$2162,$B167,'октябрь 2024'!$J$5:$J$2162,F$1)</f>
        <v>0</v>
      </c>
      <c r="G167" s="80">
        <f>SUMIFS('октябрь 2024'!$G$5:$G$2162,'октябрь 2024'!$D$5:$D$2162,$B167,'октябрь 2024'!$J$5:$J$2162,G$1)</f>
        <v>0</v>
      </c>
      <c r="H167" s="80">
        <f>SUMIFS('октябрь 2024'!$G$5:$G$2162,'октябрь 2024'!$D$5:$D$2162,$B167,'октябрь 2024'!$J$5:$J$2162,H$1)</f>
        <v>0</v>
      </c>
      <c r="I167" s="80">
        <f>SUMIFS('октябрь 2024'!$G$5:$G$2162,'октябрь 2024'!$D$5:$D$2162,$B167,'октябрь 2024'!$J$5:$J$2162,I$1)</f>
        <v>0</v>
      </c>
      <c r="J167" s="80">
        <f>SUMIFS('октябрь 2024'!$G$5:$G$2162,'октябрь 2024'!$D$5:$D$2162,$B167,'октябрь 2024'!$J$5:$J$2162,J$1)</f>
        <v>0</v>
      </c>
      <c r="K167" s="80">
        <f>SUMIFS('октябрь 2024'!$G$5:$G$2162,'октябрь 2024'!$D$5:$D$2162,$B167,'октябрь 2024'!$J$5:$J$2162,K$1)</f>
        <v>0</v>
      </c>
      <c r="L167" s="80">
        <f>SUMIFS('октябрь 2024'!$G$5:$G$2162,'октябрь 2024'!$D$5:$D$2162,$B167,'октябрь 2024'!$J$5:$J$2162,L$1)</f>
        <v>0</v>
      </c>
      <c r="M167" s="80">
        <f>SUMIFS('октябрь 2024'!$G$5:$G$2162,'октябрь 2024'!$D$5:$D$2162,$B167,'октябрь 2024'!$J$5:$J$2162,M$1)</f>
        <v>0</v>
      </c>
      <c r="N167" s="80">
        <f>SUMIFS('октябрь 2024'!$G$5:$G$2162,'октябрь 2024'!$D$5:$D$2162,$B167,'октябрь 2024'!$J$5:$J$2162,N$1)</f>
        <v>0</v>
      </c>
      <c r="O167" s="80">
        <f>SUMIFS('октябрь 2024'!$G$5:$G$2162,'октябрь 2024'!$D$5:$D$2162,$B167,'октябрь 2024'!$J$5:$J$2162,O$1)</f>
        <v>0</v>
      </c>
      <c r="P167" s="80">
        <f>SUMIFS('октябрь 2024'!$G$5:$G$2162,'октябрь 2024'!$D$5:$D$2162,$B167,'октябрь 2024'!$J$5:$J$2162,P$1)</f>
        <v>0</v>
      </c>
      <c r="Q167" s="80">
        <f>SUMIFS('октябрь 2024'!$G$5:$G$2162,'октябрь 2024'!$D$5:$D$2162,$B167,'октябрь 2024'!$J$5:$J$2162,Q$1)</f>
        <v>0</v>
      </c>
      <c r="R167" s="80">
        <f>SUMIFS('октябрь 2024'!$G$5:$G$2162,'октябрь 2024'!$D$5:$D$2162,$B167,'октябрь 2024'!$J$5:$J$2162,R$1)</f>
        <v>0</v>
      </c>
      <c r="S167" s="80">
        <f>SUMIFS('октябрь 2024'!$G$5:$G$2162,'октябрь 2024'!$D$5:$D$2162,$B167,'октябрь 2024'!$J$5:$J$2162,S$1)</f>
        <v>0</v>
      </c>
      <c r="T167" s="80">
        <f>SUMIFS('октябрь 2024'!$G$5:$G$2162,'октябрь 2024'!$D$5:$D$2162,$B167,'октябрь 2024'!$J$5:$J$2162,T$1)</f>
        <v>0</v>
      </c>
      <c r="U167" s="80">
        <f>SUMIFS('октябрь 2024'!$G$5:$G$2162,'октябрь 2024'!$D$5:$D$2162,$B167,'октябрь 2024'!$J$5:$J$2162,U$1)</f>
        <v>0</v>
      </c>
      <c r="V167" s="80">
        <f>SUMIFS('октябрь 2024'!$G$5:$G$2162,'октябрь 2024'!$D$5:$D$2162,$B167,'октябрь 2024'!$J$5:$J$2162,V$1)</f>
        <v>0</v>
      </c>
      <c r="W167" s="80">
        <f>SUMIFS('октябрь 2024'!$G$5:$G$2162,'октябрь 2024'!$D$5:$D$2162,$B167,'октябрь 2024'!$J$5:$J$2162,W$1)</f>
        <v>0</v>
      </c>
      <c r="X167" s="80">
        <f>SUMIFS('октябрь 2024'!$G$5:$G$2162,'октябрь 2024'!$D$5:$D$2162,$B167,'октябрь 2024'!$J$5:$J$2162,X$1)</f>
        <v>0</v>
      </c>
      <c r="Y167" s="80">
        <f>SUMIFS('октябрь 2024'!$G$5:$G$2162,'октябрь 2024'!$D$5:$D$2162,$B167,'октябрь 2024'!$J$5:$J$2162,Y$1)</f>
        <v>0</v>
      </c>
      <c r="Z167" s="80">
        <f>SUMIFS('октябрь 2024'!$G$5:$G$2162,'октябрь 2024'!$D$5:$D$2162,$B167,'октябрь 2024'!$J$5:$J$2162,Z$1)</f>
        <v>0</v>
      </c>
      <c r="AA167" s="80">
        <f>SUMIFS('октябрь 2024'!$G$5:$G$2162,'октябрь 2024'!$D$5:$D$2162,$B167,'октябрь 2024'!$J$5:$J$2162,AA$1)</f>
        <v>0</v>
      </c>
      <c r="AB167" s="80">
        <f>SUMIFS('октябрь 2024'!$G$5:$G$2162,'октябрь 2024'!$D$5:$D$2162,$B167,'октябрь 2024'!$J$5:$J$2162,AB$1)</f>
        <v>0</v>
      </c>
      <c r="AC167" s="80">
        <f>SUMIFS('октябрь 2024'!$G$5:$G$2162,'октябрь 2024'!$D$5:$D$2162,$B167,'октябрь 2024'!$J$5:$J$2162,AC$1)</f>
        <v>0</v>
      </c>
      <c r="AD167" s="80">
        <f>SUMIFS('октябрь 2024'!$G$5:$G$2162,'октябрь 2024'!$D$5:$D$2162,$B167,'октябрь 2024'!$J$5:$J$2162,AD$1)</f>
        <v>0</v>
      </c>
      <c r="AE167" s="80">
        <f>SUMIFS('октябрь 2024'!$G$5:$G$2162,'октябрь 2024'!$D$5:$D$2162,$B167,'октябрь 2024'!$J$5:$J$2162,AE$1)</f>
        <v>0</v>
      </c>
      <c r="AF167" s="80">
        <f>SUMIFS('октябрь 2024'!$G$5:$G$2162,'октябрь 2024'!$D$5:$D$2162,$B167,'октябрь 2024'!$J$5:$J$2162,AF$1)</f>
        <v>0</v>
      </c>
      <c r="AG167" s="80">
        <f>SUMIFS('октябрь 2024'!$G$5:$G$2162,'октябрь 2024'!$D$5:$D$2162,$B167,'октябрь 2024'!$J$5:$J$2162,AG$1)</f>
        <v>0</v>
      </c>
      <c r="AH167" s="80">
        <f>SUMIFS('октябрь 2024'!$G$5:$G$2162,'октябрь 2024'!$D$5:$D$2162,$B167,'октябрь 2024'!$J$5:$J$2162,AH$1)</f>
        <v>0</v>
      </c>
      <c r="AI167" s="87"/>
    </row>
    <row r="168" spans="2:35" ht="15" hidden="1" customHeight="1" x14ac:dyDescent="0.25">
      <c r="B168" s="93"/>
      <c r="C168" s="91"/>
      <c r="D168" s="80">
        <f>SUMIFS('октябрь 2024'!$G$5:$G$2162,'октябрь 2024'!$D$5:$D$2162,$B168,'октябрь 2024'!$J$5:$J$2162,D$1)</f>
        <v>0</v>
      </c>
      <c r="E168" s="80">
        <f>SUMIFS('октябрь 2024'!$G$5:$G$2162,'октябрь 2024'!$D$5:$D$2162,$B168,'октябрь 2024'!$J$5:$J$2162,E$1)</f>
        <v>0</v>
      </c>
      <c r="F168" s="80">
        <f>SUMIFS('октябрь 2024'!$G$5:$G$2162,'октябрь 2024'!$D$5:$D$2162,$B168,'октябрь 2024'!$J$5:$J$2162,F$1)</f>
        <v>0</v>
      </c>
      <c r="G168" s="80">
        <f>SUMIFS('октябрь 2024'!$G$5:$G$2162,'октябрь 2024'!$D$5:$D$2162,$B168,'октябрь 2024'!$J$5:$J$2162,G$1)</f>
        <v>0</v>
      </c>
      <c r="H168" s="80">
        <f>SUMIFS('октябрь 2024'!$G$5:$G$2162,'октябрь 2024'!$D$5:$D$2162,$B168,'октябрь 2024'!$J$5:$J$2162,H$1)</f>
        <v>0</v>
      </c>
      <c r="I168" s="80">
        <f>SUMIFS('октябрь 2024'!$G$5:$G$2162,'октябрь 2024'!$D$5:$D$2162,$B168,'октябрь 2024'!$J$5:$J$2162,I$1)</f>
        <v>0</v>
      </c>
      <c r="J168" s="80">
        <f>SUMIFS('октябрь 2024'!$G$5:$G$2162,'октябрь 2024'!$D$5:$D$2162,$B168,'октябрь 2024'!$J$5:$J$2162,J$1)</f>
        <v>0</v>
      </c>
      <c r="K168" s="80">
        <f>SUMIFS('октябрь 2024'!$G$5:$G$2162,'октябрь 2024'!$D$5:$D$2162,$B168,'октябрь 2024'!$J$5:$J$2162,K$1)</f>
        <v>0</v>
      </c>
      <c r="L168" s="80">
        <f>SUMIFS('октябрь 2024'!$G$5:$G$2162,'октябрь 2024'!$D$5:$D$2162,$B168,'октябрь 2024'!$J$5:$J$2162,L$1)</f>
        <v>0</v>
      </c>
      <c r="M168" s="80">
        <f>SUMIFS('октябрь 2024'!$G$5:$G$2162,'октябрь 2024'!$D$5:$D$2162,$B168,'октябрь 2024'!$J$5:$J$2162,M$1)</f>
        <v>0</v>
      </c>
      <c r="N168" s="80">
        <f>SUMIFS('октябрь 2024'!$G$5:$G$2162,'октябрь 2024'!$D$5:$D$2162,$B168,'октябрь 2024'!$J$5:$J$2162,N$1)</f>
        <v>0</v>
      </c>
      <c r="O168" s="80">
        <f>SUMIFS('октябрь 2024'!$G$5:$G$2162,'октябрь 2024'!$D$5:$D$2162,$B168,'октябрь 2024'!$J$5:$J$2162,O$1)</f>
        <v>0</v>
      </c>
      <c r="P168" s="80">
        <f>SUMIFS('октябрь 2024'!$G$5:$G$2162,'октябрь 2024'!$D$5:$D$2162,$B168,'октябрь 2024'!$J$5:$J$2162,P$1)</f>
        <v>0</v>
      </c>
      <c r="Q168" s="80">
        <f>SUMIFS('октябрь 2024'!$G$5:$G$2162,'октябрь 2024'!$D$5:$D$2162,$B168,'октябрь 2024'!$J$5:$J$2162,Q$1)</f>
        <v>0</v>
      </c>
      <c r="R168" s="80">
        <f>SUMIFS('октябрь 2024'!$G$5:$G$2162,'октябрь 2024'!$D$5:$D$2162,$B168,'октябрь 2024'!$J$5:$J$2162,R$1)</f>
        <v>0</v>
      </c>
      <c r="S168" s="80">
        <f>SUMIFS('октябрь 2024'!$G$5:$G$2162,'октябрь 2024'!$D$5:$D$2162,$B168,'октябрь 2024'!$J$5:$J$2162,S$1)</f>
        <v>0</v>
      </c>
      <c r="T168" s="80">
        <f>SUMIFS('октябрь 2024'!$G$5:$G$2162,'октябрь 2024'!$D$5:$D$2162,$B168,'октябрь 2024'!$J$5:$J$2162,T$1)</f>
        <v>0</v>
      </c>
      <c r="U168" s="80">
        <f>SUMIFS('октябрь 2024'!$G$5:$G$2162,'октябрь 2024'!$D$5:$D$2162,$B168,'октябрь 2024'!$J$5:$J$2162,U$1)</f>
        <v>0</v>
      </c>
      <c r="V168" s="80">
        <f>SUMIFS('октябрь 2024'!$G$5:$G$2162,'октябрь 2024'!$D$5:$D$2162,$B168,'октябрь 2024'!$J$5:$J$2162,V$1)</f>
        <v>0</v>
      </c>
      <c r="W168" s="80">
        <f>SUMIFS('октябрь 2024'!$G$5:$G$2162,'октябрь 2024'!$D$5:$D$2162,$B168,'октябрь 2024'!$J$5:$J$2162,W$1)</f>
        <v>0</v>
      </c>
      <c r="X168" s="80">
        <f>SUMIFS('октябрь 2024'!$G$5:$G$2162,'октябрь 2024'!$D$5:$D$2162,$B168,'октябрь 2024'!$J$5:$J$2162,X$1)</f>
        <v>0</v>
      </c>
      <c r="Y168" s="80">
        <f>SUMIFS('октябрь 2024'!$G$5:$G$2162,'октябрь 2024'!$D$5:$D$2162,$B168,'октябрь 2024'!$J$5:$J$2162,Y$1)</f>
        <v>0</v>
      </c>
      <c r="Z168" s="80">
        <f>SUMIFS('октябрь 2024'!$G$5:$G$2162,'октябрь 2024'!$D$5:$D$2162,$B168,'октябрь 2024'!$J$5:$J$2162,Z$1)</f>
        <v>0</v>
      </c>
      <c r="AA168" s="80">
        <f>SUMIFS('октябрь 2024'!$G$5:$G$2162,'октябрь 2024'!$D$5:$D$2162,$B168,'октябрь 2024'!$J$5:$J$2162,AA$1)</f>
        <v>0</v>
      </c>
      <c r="AB168" s="80">
        <f>SUMIFS('октябрь 2024'!$G$5:$G$2162,'октябрь 2024'!$D$5:$D$2162,$B168,'октябрь 2024'!$J$5:$J$2162,AB$1)</f>
        <v>0</v>
      </c>
      <c r="AC168" s="80">
        <f>SUMIFS('октябрь 2024'!$G$5:$G$2162,'октябрь 2024'!$D$5:$D$2162,$B168,'октябрь 2024'!$J$5:$J$2162,AC$1)</f>
        <v>0</v>
      </c>
      <c r="AD168" s="80">
        <f>SUMIFS('октябрь 2024'!$G$5:$G$2162,'октябрь 2024'!$D$5:$D$2162,$B168,'октябрь 2024'!$J$5:$J$2162,AD$1)</f>
        <v>0</v>
      </c>
      <c r="AE168" s="80">
        <f>SUMIFS('октябрь 2024'!$G$5:$G$2162,'октябрь 2024'!$D$5:$D$2162,$B168,'октябрь 2024'!$J$5:$J$2162,AE$1)</f>
        <v>0</v>
      </c>
      <c r="AF168" s="80">
        <f>SUMIFS('октябрь 2024'!$G$5:$G$2162,'октябрь 2024'!$D$5:$D$2162,$B168,'октябрь 2024'!$J$5:$J$2162,AF$1)</f>
        <v>0</v>
      </c>
      <c r="AG168" s="80">
        <f>SUMIFS('октябрь 2024'!$G$5:$G$2162,'октябрь 2024'!$D$5:$D$2162,$B168,'октябрь 2024'!$J$5:$J$2162,AG$1)</f>
        <v>0</v>
      </c>
      <c r="AH168" s="80">
        <f>SUMIFS('октябрь 2024'!$G$5:$G$2162,'октябрь 2024'!$D$5:$D$2162,$B168,'октябрь 2024'!$J$5:$J$2162,AH$1)</f>
        <v>0</v>
      </c>
      <c r="AI168" s="87"/>
    </row>
    <row r="169" spans="2:35" ht="15" hidden="1" customHeight="1" x14ac:dyDescent="0.25">
      <c r="B169" s="93"/>
      <c r="C169" s="91"/>
      <c r="D169" s="80">
        <f>SUMIFS('октябрь 2024'!$G$5:$G$2162,'октябрь 2024'!$D$5:$D$2162,$B169,'октябрь 2024'!$J$5:$J$2162,D$1)</f>
        <v>0</v>
      </c>
      <c r="E169" s="80">
        <f>SUMIFS('октябрь 2024'!$G$5:$G$2162,'октябрь 2024'!$D$5:$D$2162,$B169,'октябрь 2024'!$J$5:$J$2162,E$1)</f>
        <v>0</v>
      </c>
      <c r="F169" s="80">
        <f>SUMIFS('октябрь 2024'!$G$5:$G$2162,'октябрь 2024'!$D$5:$D$2162,$B169,'октябрь 2024'!$J$5:$J$2162,F$1)</f>
        <v>0</v>
      </c>
      <c r="G169" s="80">
        <f>SUMIFS('октябрь 2024'!$G$5:$G$2162,'октябрь 2024'!$D$5:$D$2162,$B169,'октябрь 2024'!$J$5:$J$2162,G$1)</f>
        <v>0</v>
      </c>
      <c r="H169" s="80">
        <f>SUMIFS('октябрь 2024'!$G$5:$G$2162,'октябрь 2024'!$D$5:$D$2162,$B169,'октябрь 2024'!$J$5:$J$2162,H$1)</f>
        <v>0</v>
      </c>
      <c r="I169" s="80">
        <f>SUMIFS('октябрь 2024'!$G$5:$G$2162,'октябрь 2024'!$D$5:$D$2162,$B169,'октябрь 2024'!$J$5:$J$2162,I$1)</f>
        <v>0</v>
      </c>
      <c r="J169" s="80">
        <f>SUMIFS('октябрь 2024'!$G$5:$G$2162,'октябрь 2024'!$D$5:$D$2162,$B169,'октябрь 2024'!$J$5:$J$2162,J$1)</f>
        <v>0</v>
      </c>
      <c r="K169" s="80">
        <f>SUMIFS('октябрь 2024'!$G$5:$G$2162,'октябрь 2024'!$D$5:$D$2162,$B169,'октябрь 2024'!$J$5:$J$2162,K$1)</f>
        <v>0</v>
      </c>
      <c r="L169" s="80">
        <f>SUMIFS('октябрь 2024'!$G$5:$G$2162,'октябрь 2024'!$D$5:$D$2162,$B169,'октябрь 2024'!$J$5:$J$2162,L$1)</f>
        <v>0</v>
      </c>
      <c r="M169" s="80">
        <f>SUMIFS('октябрь 2024'!$G$5:$G$2162,'октябрь 2024'!$D$5:$D$2162,$B169,'октябрь 2024'!$J$5:$J$2162,M$1)</f>
        <v>0</v>
      </c>
      <c r="N169" s="80">
        <f>SUMIFS('октябрь 2024'!$G$5:$G$2162,'октябрь 2024'!$D$5:$D$2162,$B169,'октябрь 2024'!$J$5:$J$2162,N$1)</f>
        <v>0</v>
      </c>
      <c r="O169" s="80">
        <f>SUMIFS('октябрь 2024'!$G$5:$G$2162,'октябрь 2024'!$D$5:$D$2162,$B169,'октябрь 2024'!$J$5:$J$2162,O$1)</f>
        <v>0</v>
      </c>
      <c r="P169" s="80">
        <f>SUMIFS('октябрь 2024'!$G$5:$G$2162,'октябрь 2024'!$D$5:$D$2162,$B169,'октябрь 2024'!$J$5:$J$2162,P$1)</f>
        <v>0</v>
      </c>
      <c r="Q169" s="80">
        <f>SUMIFS('октябрь 2024'!$G$5:$G$2162,'октябрь 2024'!$D$5:$D$2162,$B169,'октябрь 2024'!$J$5:$J$2162,Q$1)</f>
        <v>0</v>
      </c>
      <c r="R169" s="80">
        <f>SUMIFS('октябрь 2024'!$G$5:$G$2162,'октябрь 2024'!$D$5:$D$2162,$B169,'октябрь 2024'!$J$5:$J$2162,R$1)</f>
        <v>0</v>
      </c>
      <c r="S169" s="80">
        <f>SUMIFS('октябрь 2024'!$G$5:$G$2162,'октябрь 2024'!$D$5:$D$2162,$B169,'октябрь 2024'!$J$5:$J$2162,S$1)</f>
        <v>0</v>
      </c>
      <c r="T169" s="80">
        <f>SUMIFS('октябрь 2024'!$G$5:$G$2162,'октябрь 2024'!$D$5:$D$2162,$B169,'октябрь 2024'!$J$5:$J$2162,T$1)</f>
        <v>0</v>
      </c>
      <c r="U169" s="80">
        <f>SUMIFS('октябрь 2024'!$G$5:$G$2162,'октябрь 2024'!$D$5:$D$2162,$B169,'октябрь 2024'!$J$5:$J$2162,U$1)</f>
        <v>0</v>
      </c>
      <c r="V169" s="80">
        <f>SUMIFS('октябрь 2024'!$G$5:$G$2162,'октябрь 2024'!$D$5:$D$2162,$B169,'октябрь 2024'!$J$5:$J$2162,V$1)</f>
        <v>0</v>
      </c>
      <c r="W169" s="80">
        <f>SUMIFS('октябрь 2024'!$G$5:$G$2162,'октябрь 2024'!$D$5:$D$2162,$B169,'октябрь 2024'!$J$5:$J$2162,W$1)</f>
        <v>0</v>
      </c>
      <c r="X169" s="80">
        <f>SUMIFS('октябрь 2024'!$G$5:$G$2162,'октябрь 2024'!$D$5:$D$2162,$B169,'октябрь 2024'!$J$5:$J$2162,X$1)</f>
        <v>0</v>
      </c>
      <c r="Y169" s="80">
        <f>SUMIFS('октябрь 2024'!$G$5:$G$2162,'октябрь 2024'!$D$5:$D$2162,$B169,'октябрь 2024'!$J$5:$J$2162,Y$1)</f>
        <v>0</v>
      </c>
      <c r="Z169" s="80">
        <f>SUMIFS('октябрь 2024'!$G$5:$G$2162,'октябрь 2024'!$D$5:$D$2162,$B169,'октябрь 2024'!$J$5:$J$2162,Z$1)</f>
        <v>0</v>
      </c>
      <c r="AA169" s="80">
        <f>SUMIFS('октябрь 2024'!$G$5:$G$2162,'октябрь 2024'!$D$5:$D$2162,$B169,'октябрь 2024'!$J$5:$J$2162,AA$1)</f>
        <v>0</v>
      </c>
      <c r="AB169" s="80">
        <f>SUMIFS('октябрь 2024'!$G$5:$G$2162,'октябрь 2024'!$D$5:$D$2162,$B169,'октябрь 2024'!$J$5:$J$2162,AB$1)</f>
        <v>0</v>
      </c>
      <c r="AC169" s="80">
        <f>SUMIFS('октябрь 2024'!$G$5:$G$2162,'октябрь 2024'!$D$5:$D$2162,$B169,'октябрь 2024'!$J$5:$J$2162,AC$1)</f>
        <v>0</v>
      </c>
      <c r="AD169" s="80">
        <f>SUMIFS('октябрь 2024'!$G$5:$G$2162,'октябрь 2024'!$D$5:$D$2162,$B169,'октябрь 2024'!$J$5:$J$2162,AD$1)</f>
        <v>0</v>
      </c>
      <c r="AE169" s="80">
        <f>SUMIFS('октябрь 2024'!$G$5:$G$2162,'октябрь 2024'!$D$5:$D$2162,$B169,'октябрь 2024'!$J$5:$J$2162,AE$1)</f>
        <v>0</v>
      </c>
      <c r="AF169" s="80">
        <f>SUMIFS('октябрь 2024'!$G$5:$G$2162,'октябрь 2024'!$D$5:$D$2162,$B169,'октябрь 2024'!$J$5:$J$2162,AF$1)</f>
        <v>0</v>
      </c>
      <c r="AG169" s="80">
        <f>SUMIFS('октябрь 2024'!$G$5:$G$2162,'октябрь 2024'!$D$5:$D$2162,$B169,'октябрь 2024'!$J$5:$J$2162,AG$1)</f>
        <v>0</v>
      </c>
      <c r="AH169" s="80">
        <f>SUMIFS('октябрь 2024'!$G$5:$G$2162,'октябрь 2024'!$D$5:$D$2162,$B169,'октябрь 2024'!$J$5:$J$2162,AH$1)</f>
        <v>0</v>
      </c>
      <c r="AI169" s="87"/>
    </row>
    <row r="170" spans="2:35" ht="15" hidden="1" customHeight="1" x14ac:dyDescent="0.25">
      <c r="B170" s="93"/>
      <c r="C170" s="91"/>
      <c r="D170" s="80">
        <f>SUMIFS('октябрь 2024'!$G$5:$G$2162,'октябрь 2024'!$D$5:$D$2162,$B170,'октябрь 2024'!$J$5:$J$2162,D$1)</f>
        <v>0</v>
      </c>
      <c r="E170" s="80">
        <f>SUMIFS('октябрь 2024'!$G$5:$G$2162,'октябрь 2024'!$D$5:$D$2162,$B170,'октябрь 2024'!$J$5:$J$2162,E$1)</f>
        <v>0</v>
      </c>
      <c r="F170" s="80">
        <f>SUMIFS('октябрь 2024'!$G$5:$G$2162,'октябрь 2024'!$D$5:$D$2162,$B170,'октябрь 2024'!$J$5:$J$2162,F$1)</f>
        <v>0</v>
      </c>
      <c r="G170" s="80">
        <f>SUMIFS('октябрь 2024'!$G$5:$G$2162,'октябрь 2024'!$D$5:$D$2162,$B170,'октябрь 2024'!$J$5:$J$2162,G$1)</f>
        <v>0</v>
      </c>
      <c r="H170" s="80">
        <f>SUMIFS('октябрь 2024'!$G$5:$G$2162,'октябрь 2024'!$D$5:$D$2162,$B170,'октябрь 2024'!$J$5:$J$2162,H$1)</f>
        <v>0</v>
      </c>
      <c r="I170" s="80">
        <f>SUMIFS('октябрь 2024'!$G$5:$G$2162,'октябрь 2024'!$D$5:$D$2162,$B170,'октябрь 2024'!$J$5:$J$2162,I$1)</f>
        <v>0</v>
      </c>
      <c r="J170" s="80">
        <f>SUMIFS('октябрь 2024'!$G$5:$G$2162,'октябрь 2024'!$D$5:$D$2162,$B170,'октябрь 2024'!$J$5:$J$2162,J$1)</f>
        <v>0</v>
      </c>
      <c r="K170" s="80">
        <f>SUMIFS('октябрь 2024'!$G$5:$G$2162,'октябрь 2024'!$D$5:$D$2162,$B170,'октябрь 2024'!$J$5:$J$2162,K$1)</f>
        <v>0</v>
      </c>
      <c r="L170" s="80">
        <f>SUMIFS('октябрь 2024'!$G$5:$G$2162,'октябрь 2024'!$D$5:$D$2162,$B170,'октябрь 2024'!$J$5:$J$2162,L$1)</f>
        <v>0</v>
      </c>
      <c r="M170" s="80">
        <f>SUMIFS('октябрь 2024'!$G$5:$G$2162,'октябрь 2024'!$D$5:$D$2162,$B170,'октябрь 2024'!$J$5:$J$2162,M$1)</f>
        <v>0</v>
      </c>
      <c r="N170" s="80">
        <f>SUMIFS('октябрь 2024'!$G$5:$G$2162,'октябрь 2024'!$D$5:$D$2162,$B170,'октябрь 2024'!$J$5:$J$2162,N$1)</f>
        <v>0</v>
      </c>
      <c r="O170" s="80">
        <f>SUMIFS('октябрь 2024'!$G$5:$G$2162,'октябрь 2024'!$D$5:$D$2162,$B170,'октябрь 2024'!$J$5:$J$2162,O$1)</f>
        <v>0</v>
      </c>
      <c r="P170" s="80">
        <f>SUMIFS('октябрь 2024'!$G$5:$G$2162,'октябрь 2024'!$D$5:$D$2162,$B170,'октябрь 2024'!$J$5:$J$2162,P$1)</f>
        <v>0</v>
      </c>
      <c r="Q170" s="80">
        <f>SUMIFS('октябрь 2024'!$G$5:$G$2162,'октябрь 2024'!$D$5:$D$2162,$B170,'октябрь 2024'!$J$5:$J$2162,Q$1)</f>
        <v>0</v>
      </c>
      <c r="R170" s="80">
        <f>SUMIFS('октябрь 2024'!$G$5:$G$2162,'октябрь 2024'!$D$5:$D$2162,$B170,'октябрь 2024'!$J$5:$J$2162,R$1)</f>
        <v>0</v>
      </c>
      <c r="S170" s="80">
        <f>SUMIFS('октябрь 2024'!$G$5:$G$2162,'октябрь 2024'!$D$5:$D$2162,$B170,'октябрь 2024'!$J$5:$J$2162,S$1)</f>
        <v>0</v>
      </c>
      <c r="T170" s="80">
        <f>SUMIFS('октябрь 2024'!$G$5:$G$2162,'октябрь 2024'!$D$5:$D$2162,$B170,'октябрь 2024'!$J$5:$J$2162,T$1)</f>
        <v>0</v>
      </c>
      <c r="U170" s="80">
        <f>SUMIFS('октябрь 2024'!$G$5:$G$2162,'октябрь 2024'!$D$5:$D$2162,$B170,'октябрь 2024'!$J$5:$J$2162,U$1)</f>
        <v>0</v>
      </c>
      <c r="V170" s="80">
        <f>SUMIFS('октябрь 2024'!$G$5:$G$2162,'октябрь 2024'!$D$5:$D$2162,$B170,'октябрь 2024'!$J$5:$J$2162,V$1)</f>
        <v>0</v>
      </c>
      <c r="W170" s="80">
        <f>SUMIFS('октябрь 2024'!$G$5:$G$2162,'октябрь 2024'!$D$5:$D$2162,$B170,'октябрь 2024'!$J$5:$J$2162,W$1)</f>
        <v>0</v>
      </c>
      <c r="X170" s="80">
        <f>SUMIFS('октябрь 2024'!$G$5:$G$2162,'октябрь 2024'!$D$5:$D$2162,$B170,'октябрь 2024'!$J$5:$J$2162,X$1)</f>
        <v>0</v>
      </c>
      <c r="Y170" s="80">
        <f>SUMIFS('октябрь 2024'!$G$5:$G$2162,'октябрь 2024'!$D$5:$D$2162,$B170,'октябрь 2024'!$J$5:$J$2162,Y$1)</f>
        <v>0</v>
      </c>
      <c r="Z170" s="80">
        <f>SUMIFS('октябрь 2024'!$G$5:$G$2162,'октябрь 2024'!$D$5:$D$2162,$B170,'октябрь 2024'!$J$5:$J$2162,Z$1)</f>
        <v>0</v>
      </c>
      <c r="AA170" s="80">
        <f>SUMIFS('октябрь 2024'!$G$5:$G$2162,'октябрь 2024'!$D$5:$D$2162,$B170,'октябрь 2024'!$J$5:$J$2162,AA$1)</f>
        <v>0</v>
      </c>
      <c r="AB170" s="80">
        <f>SUMIFS('октябрь 2024'!$G$5:$G$2162,'октябрь 2024'!$D$5:$D$2162,$B170,'октябрь 2024'!$J$5:$J$2162,AB$1)</f>
        <v>0</v>
      </c>
      <c r="AC170" s="80">
        <f>SUMIFS('октябрь 2024'!$G$5:$G$2162,'октябрь 2024'!$D$5:$D$2162,$B170,'октябрь 2024'!$J$5:$J$2162,AC$1)</f>
        <v>0</v>
      </c>
      <c r="AD170" s="80">
        <f>SUMIFS('октябрь 2024'!$G$5:$G$2162,'октябрь 2024'!$D$5:$D$2162,$B170,'октябрь 2024'!$J$5:$J$2162,AD$1)</f>
        <v>0</v>
      </c>
      <c r="AE170" s="80">
        <f>SUMIFS('октябрь 2024'!$G$5:$G$2162,'октябрь 2024'!$D$5:$D$2162,$B170,'октябрь 2024'!$J$5:$J$2162,AE$1)</f>
        <v>0</v>
      </c>
      <c r="AF170" s="80">
        <f>SUMIFS('октябрь 2024'!$G$5:$G$2162,'октябрь 2024'!$D$5:$D$2162,$B170,'октябрь 2024'!$J$5:$J$2162,AF$1)</f>
        <v>0</v>
      </c>
      <c r="AG170" s="80">
        <f>SUMIFS('октябрь 2024'!$G$5:$G$2162,'октябрь 2024'!$D$5:$D$2162,$B170,'октябрь 2024'!$J$5:$J$2162,AG$1)</f>
        <v>0</v>
      </c>
      <c r="AH170" s="80">
        <f>SUMIFS('октябрь 2024'!$G$5:$G$2162,'октябрь 2024'!$D$5:$D$2162,$B170,'октябрь 2024'!$J$5:$J$2162,AH$1)</f>
        <v>0</v>
      </c>
      <c r="AI170" s="87"/>
    </row>
    <row r="171" spans="2:35" ht="15" hidden="1" customHeight="1" x14ac:dyDescent="0.25">
      <c r="B171" s="89"/>
      <c r="C171" s="88"/>
      <c r="D171" s="80">
        <f>SUMIFS('октябрь 2024'!$G$5:$G$2162,'октябрь 2024'!$D$5:$D$2162,$B171,'октябрь 2024'!$J$5:$J$2162,D$1)</f>
        <v>0</v>
      </c>
      <c r="E171" s="80">
        <f>SUMIFS('октябрь 2024'!$G$5:$G$2162,'октябрь 2024'!$D$5:$D$2162,$B171,'октябрь 2024'!$J$5:$J$2162,E$1)</f>
        <v>0</v>
      </c>
      <c r="F171" s="80">
        <f>SUMIFS('октябрь 2024'!$G$5:$G$2162,'октябрь 2024'!$D$5:$D$2162,$B171,'октябрь 2024'!$J$5:$J$2162,F$1)</f>
        <v>0</v>
      </c>
      <c r="G171" s="80">
        <f>SUMIFS('октябрь 2024'!$G$5:$G$2162,'октябрь 2024'!$D$5:$D$2162,$B171,'октябрь 2024'!$J$5:$J$2162,G$1)</f>
        <v>0</v>
      </c>
      <c r="H171" s="80">
        <f>SUMIFS('октябрь 2024'!$G$5:$G$2162,'октябрь 2024'!$D$5:$D$2162,$B171,'октябрь 2024'!$J$5:$J$2162,H$1)</f>
        <v>0</v>
      </c>
      <c r="I171" s="80">
        <f>SUMIFS('октябрь 2024'!$G$5:$G$2162,'октябрь 2024'!$D$5:$D$2162,$B171,'октябрь 2024'!$J$5:$J$2162,I$1)</f>
        <v>0</v>
      </c>
      <c r="J171" s="80">
        <f>SUMIFS('октябрь 2024'!$G$5:$G$2162,'октябрь 2024'!$D$5:$D$2162,$B171,'октябрь 2024'!$J$5:$J$2162,J$1)</f>
        <v>0</v>
      </c>
      <c r="K171" s="80">
        <f>SUMIFS('октябрь 2024'!$G$5:$G$2162,'октябрь 2024'!$D$5:$D$2162,$B171,'октябрь 2024'!$J$5:$J$2162,K$1)</f>
        <v>0</v>
      </c>
      <c r="L171" s="80">
        <f>SUMIFS('октябрь 2024'!$G$5:$G$2162,'октябрь 2024'!$D$5:$D$2162,$B171,'октябрь 2024'!$J$5:$J$2162,L$1)</f>
        <v>0</v>
      </c>
      <c r="M171" s="80">
        <f>SUMIFS('октябрь 2024'!$G$5:$G$2162,'октябрь 2024'!$D$5:$D$2162,$B171,'октябрь 2024'!$J$5:$J$2162,M$1)</f>
        <v>0</v>
      </c>
      <c r="N171" s="80">
        <f>SUMIFS('октябрь 2024'!$G$5:$G$2162,'октябрь 2024'!$D$5:$D$2162,$B171,'октябрь 2024'!$J$5:$J$2162,N$1)</f>
        <v>0</v>
      </c>
      <c r="O171" s="80">
        <f>SUMIFS('октябрь 2024'!$G$5:$G$2162,'октябрь 2024'!$D$5:$D$2162,$B171,'октябрь 2024'!$J$5:$J$2162,O$1)</f>
        <v>0</v>
      </c>
      <c r="P171" s="80">
        <f>SUMIFS('октябрь 2024'!$G$5:$G$2162,'октябрь 2024'!$D$5:$D$2162,$B171,'октябрь 2024'!$J$5:$J$2162,P$1)</f>
        <v>0</v>
      </c>
      <c r="Q171" s="80">
        <f>SUMIFS('октябрь 2024'!$G$5:$G$2162,'октябрь 2024'!$D$5:$D$2162,$B171,'октябрь 2024'!$J$5:$J$2162,Q$1)</f>
        <v>0</v>
      </c>
      <c r="R171" s="80">
        <f>SUMIFS('октябрь 2024'!$G$5:$G$2162,'октябрь 2024'!$D$5:$D$2162,$B171,'октябрь 2024'!$J$5:$J$2162,R$1)</f>
        <v>0</v>
      </c>
      <c r="S171" s="80">
        <f>SUMIFS('октябрь 2024'!$G$5:$G$2162,'октябрь 2024'!$D$5:$D$2162,$B171,'октябрь 2024'!$J$5:$J$2162,S$1)</f>
        <v>0</v>
      </c>
      <c r="T171" s="80">
        <f>SUMIFS('октябрь 2024'!$G$5:$G$2162,'октябрь 2024'!$D$5:$D$2162,$B171,'октябрь 2024'!$J$5:$J$2162,T$1)</f>
        <v>0</v>
      </c>
      <c r="U171" s="80">
        <f>SUMIFS('октябрь 2024'!$G$5:$G$2162,'октябрь 2024'!$D$5:$D$2162,$B171,'октябрь 2024'!$J$5:$J$2162,U$1)</f>
        <v>0</v>
      </c>
      <c r="V171" s="80">
        <f>SUMIFS('октябрь 2024'!$G$5:$G$2162,'октябрь 2024'!$D$5:$D$2162,$B171,'октябрь 2024'!$J$5:$J$2162,V$1)</f>
        <v>0</v>
      </c>
      <c r="W171" s="80">
        <f>SUMIFS('октябрь 2024'!$G$5:$G$2162,'октябрь 2024'!$D$5:$D$2162,$B171,'октябрь 2024'!$J$5:$J$2162,W$1)</f>
        <v>0</v>
      </c>
      <c r="X171" s="80">
        <f>SUMIFS('октябрь 2024'!$G$5:$G$2162,'октябрь 2024'!$D$5:$D$2162,$B171,'октябрь 2024'!$J$5:$J$2162,X$1)</f>
        <v>0</v>
      </c>
      <c r="Y171" s="80">
        <f>SUMIFS('октябрь 2024'!$G$5:$G$2162,'октябрь 2024'!$D$5:$D$2162,$B171,'октябрь 2024'!$J$5:$J$2162,Y$1)</f>
        <v>0</v>
      </c>
      <c r="Z171" s="80">
        <f>SUMIFS('октябрь 2024'!$G$5:$G$2162,'октябрь 2024'!$D$5:$D$2162,$B171,'октябрь 2024'!$J$5:$J$2162,Z$1)</f>
        <v>0</v>
      </c>
      <c r="AA171" s="80">
        <f>SUMIFS('октябрь 2024'!$G$5:$G$2162,'октябрь 2024'!$D$5:$D$2162,$B171,'октябрь 2024'!$J$5:$J$2162,AA$1)</f>
        <v>0</v>
      </c>
      <c r="AB171" s="80">
        <f>SUMIFS('октябрь 2024'!$G$5:$G$2162,'октябрь 2024'!$D$5:$D$2162,$B171,'октябрь 2024'!$J$5:$J$2162,AB$1)</f>
        <v>0</v>
      </c>
      <c r="AC171" s="80">
        <f>SUMIFS('октябрь 2024'!$G$5:$G$2162,'октябрь 2024'!$D$5:$D$2162,$B171,'октябрь 2024'!$J$5:$J$2162,AC$1)</f>
        <v>0</v>
      </c>
      <c r="AD171" s="80">
        <f>SUMIFS('октябрь 2024'!$G$5:$G$2162,'октябрь 2024'!$D$5:$D$2162,$B171,'октябрь 2024'!$J$5:$J$2162,AD$1)</f>
        <v>0</v>
      </c>
      <c r="AE171" s="80">
        <f>SUMIFS('октябрь 2024'!$G$5:$G$2162,'октябрь 2024'!$D$5:$D$2162,$B171,'октябрь 2024'!$J$5:$J$2162,AE$1)</f>
        <v>0</v>
      </c>
      <c r="AF171" s="80">
        <f>SUMIFS('октябрь 2024'!$G$5:$G$2162,'октябрь 2024'!$D$5:$D$2162,$B171,'октябрь 2024'!$J$5:$J$2162,AF$1)</f>
        <v>0</v>
      </c>
      <c r="AG171" s="80">
        <f>SUMIFS('октябрь 2024'!$G$5:$G$2162,'октябрь 2024'!$D$5:$D$2162,$B171,'октябрь 2024'!$J$5:$J$2162,AG$1)</f>
        <v>0</v>
      </c>
      <c r="AH171" s="80">
        <f>SUMIFS('октябрь 2024'!$G$5:$G$2162,'октябрь 2024'!$D$5:$D$2162,$B171,'октябрь 2024'!$J$5:$J$2162,AH$1)</f>
        <v>0</v>
      </c>
      <c r="AI171" s="87"/>
    </row>
    <row r="172" spans="2:35" ht="15" hidden="1" customHeight="1" x14ac:dyDescent="0.25">
      <c r="B172" s="89"/>
      <c r="C172" s="88"/>
      <c r="D172" s="80">
        <f>SUMIFS('октябрь 2024'!$G$5:$G$2162,'октябрь 2024'!$D$5:$D$2162,$B172,'октябрь 2024'!$J$5:$J$2162,D$1)</f>
        <v>0</v>
      </c>
      <c r="E172" s="80">
        <f>SUMIFS('октябрь 2024'!$G$5:$G$2162,'октябрь 2024'!$D$5:$D$2162,$B172,'октябрь 2024'!$J$5:$J$2162,E$1)</f>
        <v>0</v>
      </c>
      <c r="F172" s="80">
        <f>SUMIFS('октябрь 2024'!$G$5:$G$2162,'октябрь 2024'!$D$5:$D$2162,$B172,'октябрь 2024'!$J$5:$J$2162,F$1)</f>
        <v>0</v>
      </c>
      <c r="G172" s="80">
        <f>SUMIFS('октябрь 2024'!$G$5:$G$2162,'октябрь 2024'!$D$5:$D$2162,$B172,'октябрь 2024'!$J$5:$J$2162,G$1)</f>
        <v>0</v>
      </c>
      <c r="H172" s="80">
        <f>SUMIFS('октябрь 2024'!$G$5:$G$2162,'октябрь 2024'!$D$5:$D$2162,$B172,'октябрь 2024'!$J$5:$J$2162,H$1)</f>
        <v>0</v>
      </c>
      <c r="I172" s="80">
        <f>SUMIFS('октябрь 2024'!$G$5:$G$2162,'октябрь 2024'!$D$5:$D$2162,$B172,'октябрь 2024'!$J$5:$J$2162,I$1)</f>
        <v>0</v>
      </c>
      <c r="J172" s="80">
        <f>SUMIFS('октябрь 2024'!$G$5:$G$2162,'октябрь 2024'!$D$5:$D$2162,$B172,'октябрь 2024'!$J$5:$J$2162,J$1)</f>
        <v>0</v>
      </c>
      <c r="K172" s="80">
        <f>SUMIFS('октябрь 2024'!$G$5:$G$2162,'октябрь 2024'!$D$5:$D$2162,$B172,'октябрь 2024'!$J$5:$J$2162,K$1)</f>
        <v>0</v>
      </c>
      <c r="L172" s="80">
        <f>SUMIFS('октябрь 2024'!$G$5:$G$2162,'октябрь 2024'!$D$5:$D$2162,$B172,'октябрь 2024'!$J$5:$J$2162,L$1)</f>
        <v>0</v>
      </c>
      <c r="M172" s="80">
        <f>SUMIFS('октябрь 2024'!$G$5:$G$2162,'октябрь 2024'!$D$5:$D$2162,$B172,'октябрь 2024'!$J$5:$J$2162,M$1)</f>
        <v>0</v>
      </c>
      <c r="N172" s="80">
        <f>SUMIFS('октябрь 2024'!$G$5:$G$2162,'октябрь 2024'!$D$5:$D$2162,$B172,'октябрь 2024'!$J$5:$J$2162,N$1)</f>
        <v>0</v>
      </c>
      <c r="O172" s="80">
        <f>SUMIFS('октябрь 2024'!$G$5:$G$2162,'октябрь 2024'!$D$5:$D$2162,$B172,'октябрь 2024'!$J$5:$J$2162,O$1)</f>
        <v>0</v>
      </c>
      <c r="P172" s="80">
        <f>SUMIFS('октябрь 2024'!$G$5:$G$2162,'октябрь 2024'!$D$5:$D$2162,$B172,'октябрь 2024'!$J$5:$J$2162,P$1)</f>
        <v>0</v>
      </c>
      <c r="Q172" s="80">
        <f>SUMIFS('октябрь 2024'!$G$5:$G$2162,'октябрь 2024'!$D$5:$D$2162,$B172,'октябрь 2024'!$J$5:$J$2162,Q$1)</f>
        <v>0</v>
      </c>
      <c r="R172" s="80">
        <f>SUMIFS('октябрь 2024'!$G$5:$G$2162,'октябрь 2024'!$D$5:$D$2162,$B172,'октябрь 2024'!$J$5:$J$2162,R$1)</f>
        <v>0</v>
      </c>
      <c r="S172" s="80">
        <f>SUMIFS('октябрь 2024'!$G$5:$G$2162,'октябрь 2024'!$D$5:$D$2162,$B172,'октябрь 2024'!$J$5:$J$2162,S$1)</f>
        <v>0</v>
      </c>
      <c r="T172" s="80">
        <f>SUMIFS('октябрь 2024'!$G$5:$G$2162,'октябрь 2024'!$D$5:$D$2162,$B172,'октябрь 2024'!$J$5:$J$2162,T$1)</f>
        <v>0</v>
      </c>
      <c r="U172" s="80">
        <f>SUMIFS('октябрь 2024'!$G$5:$G$2162,'октябрь 2024'!$D$5:$D$2162,$B172,'октябрь 2024'!$J$5:$J$2162,U$1)</f>
        <v>0</v>
      </c>
      <c r="V172" s="80">
        <f>SUMIFS('октябрь 2024'!$G$5:$G$2162,'октябрь 2024'!$D$5:$D$2162,$B172,'октябрь 2024'!$J$5:$J$2162,V$1)</f>
        <v>0</v>
      </c>
      <c r="W172" s="80">
        <f>SUMIFS('октябрь 2024'!$G$5:$G$2162,'октябрь 2024'!$D$5:$D$2162,$B172,'октябрь 2024'!$J$5:$J$2162,W$1)</f>
        <v>0</v>
      </c>
      <c r="X172" s="80">
        <f>SUMIFS('октябрь 2024'!$G$5:$G$2162,'октябрь 2024'!$D$5:$D$2162,$B172,'октябрь 2024'!$J$5:$J$2162,X$1)</f>
        <v>0</v>
      </c>
      <c r="Y172" s="80">
        <f>SUMIFS('октябрь 2024'!$G$5:$G$2162,'октябрь 2024'!$D$5:$D$2162,$B172,'октябрь 2024'!$J$5:$J$2162,Y$1)</f>
        <v>0</v>
      </c>
      <c r="Z172" s="80">
        <f>SUMIFS('октябрь 2024'!$G$5:$G$2162,'октябрь 2024'!$D$5:$D$2162,$B172,'октябрь 2024'!$J$5:$J$2162,Z$1)</f>
        <v>0</v>
      </c>
      <c r="AA172" s="80">
        <f>SUMIFS('октябрь 2024'!$G$5:$G$2162,'октябрь 2024'!$D$5:$D$2162,$B172,'октябрь 2024'!$J$5:$J$2162,AA$1)</f>
        <v>0</v>
      </c>
      <c r="AB172" s="80">
        <f>SUMIFS('октябрь 2024'!$G$5:$G$2162,'октябрь 2024'!$D$5:$D$2162,$B172,'октябрь 2024'!$J$5:$J$2162,AB$1)</f>
        <v>0</v>
      </c>
      <c r="AC172" s="80">
        <f>SUMIFS('октябрь 2024'!$G$5:$G$2162,'октябрь 2024'!$D$5:$D$2162,$B172,'октябрь 2024'!$J$5:$J$2162,AC$1)</f>
        <v>0</v>
      </c>
      <c r="AD172" s="80">
        <f>SUMIFS('октябрь 2024'!$G$5:$G$2162,'октябрь 2024'!$D$5:$D$2162,$B172,'октябрь 2024'!$J$5:$J$2162,AD$1)</f>
        <v>0</v>
      </c>
      <c r="AE172" s="80">
        <f>SUMIFS('октябрь 2024'!$G$5:$G$2162,'октябрь 2024'!$D$5:$D$2162,$B172,'октябрь 2024'!$J$5:$J$2162,AE$1)</f>
        <v>0</v>
      </c>
      <c r="AF172" s="80">
        <f>SUMIFS('октябрь 2024'!$G$5:$G$2162,'октябрь 2024'!$D$5:$D$2162,$B172,'октябрь 2024'!$J$5:$J$2162,AF$1)</f>
        <v>0</v>
      </c>
      <c r="AG172" s="80">
        <f>SUMIFS('октябрь 2024'!$G$5:$G$2162,'октябрь 2024'!$D$5:$D$2162,$B172,'октябрь 2024'!$J$5:$J$2162,AG$1)</f>
        <v>0</v>
      </c>
      <c r="AH172" s="80">
        <f>SUMIFS('октябрь 2024'!$G$5:$G$2162,'октябрь 2024'!$D$5:$D$2162,$B172,'октябрь 2024'!$J$5:$J$2162,AH$1)</f>
        <v>0</v>
      </c>
      <c r="AI172" s="87"/>
    </row>
    <row r="173" spans="2:35" ht="15" hidden="1" customHeight="1" x14ac:dyDescent="0.25">
      <c r="B173" s="89"/>
      <c r="C173" s="88"/>
      <c r="D173" s="80">
        <f>SUMIFS('октябрь 2024'!$G$5:$G$2162,'октябрь 2024'!$D$5:$D$2162,$B173,'октябрь 2024'!$J$5:$J$2162,D$1)</f>
        <v>0</v>
      </c>
      <c r="E173" s="80">
        <f>SUMIFS('октябрь 2024'!$G$5:$G$2162,'октябрь 2024'!$D$5:$D$2162,$B173,'октябрь 2024'!$J$5:$J$2162,E$1)</f>
        <v>0</v>
      </c>
      <c r="F173" s="80">
        <f>SUMIFS('октябрь 2024'!$G$5:$G$2162,'октябрь 2024'!$D$5:$D$2162,$B173,'октябрь 2024'!$J$5:$J$2162,F$1)</f>
        <v>0</v>
      </c>
      <c r="G173" s="80">
        <f>SUMIFS('октябрь 2024'!$G$5:$G$2162,'октябрь 2024'!$D$5:$D$2162,$B173,'октябрь 2024'!$J$5:$J$2162,G$1)</f>
        <v>0</v>
      </c>
      <c r="H173" s="80">
        <f>SUMIFS('октябрь 2024'!$G$5:$G$2162,'октябрь 2024'!$D$5:$D$2162,$B173,'октябрь 2024'!$J$5:$J$2162,H$1)</f>
        <v>0</v>
      </c>
      <c r="I173" s="80">
        <f>SUMIFS('октябрь 2024'!$G$5:$G$2162,'октябрь 2024'!$D$5:$D$2162,$B173,'октябрь 2024'!$J$5:$J$2162,I$1)</f>
        <v>0</v>
      </c>
      <c r="J173" s="80">
        <f>SUMIFS('октябрь 2024'!$G$5:$G$2162,'октябрь 2024'!$D$5:$D$2162,$B173,'октябрь 2024'!$J$5:$J$2162,J$1)</f>
        <v>0</v>
      </c>
      <c r="K173" s="80">
        <f>SUMIFS('октябрь 2024'!$G$5:$G$2162,'октябрь 2024'!$D$5:$D$2162,$B173,'октябрь 2024'!$J$5:$J$2162,K$1)</f>
        <v>0</v>
      </c>
      <c r="L173" s="80">
        <f>SUMIFS('октябрь 2024'!$G$5:$G$2162,'октябрь 2024'!$D$5:$D$2162,$B173,'октябрь 2024'!$J$5:$J$2162,L$1)</f>
        <v>0</v>
      </c>
      <c r="M173" s="80">
        <f>SUMIFS('октябрь 2024'!$G$5:$G$2162,'октябрь 2024'!$D$5:$D$2162,$B173,'октябрь 2024'!$J$5:$J$2162,M$1)</f>
        <v>0</v>
      </c>
      <c r="N173" s="80">
        <f>SUMIFS('октябрь 2024'!$G$5:$G$2162,'октябрь 2024'!$D$5:$D$2162,$B173,'октябрь 2024'!$J$5:$J$2162,N$1)</f>
        <v>0</v>
      </c>
      <c r="O173" s="80">
        <f>SUMIFS('октябрь 2024'!$G$5:$G$2162,'октябрь 2024'!$D$5:$D$2162,$B173,'октябрь 2024'!$J$5:$J$2162,O$1)</f>
        <v>0</v>
      </c>
      <c r="P173" s="80">
        <f>SUMIFS('октябрь 2024'!$G$5:$G$2162,'октябрь 2024'!$D$5:$D$2162,$B173,'октябрь 2024'!$J$5:$J$2162,P$1)</f>
        <v>0</v>
      </c>
      <c r="Q173" s="80">
        <f>SUMIFS('октябрь 2024'!$G$5:$G$2162,'октябрь 2024'!$D$5:$D$2162,$B173,'октябрь 2024'!$J$5:$J$2162,Q$1)</f>
        <v>0</v>
      </c>
      <c r="R173" s="80">
        <f>SUMIFS('октябрь 2024'!$G$5:$G$2162,'октябрь 2024'!$D$5:$D$2162,$B173,'октябрь 2024'!$J$5:$J$2162,R$1)</f>
        <v>0</v>
      </c>
      <c r="S173" s="80">
        <f>SUMIFS('октябрь 2024'!$G$5:$G$2162,'октябрь 2024'!$D$5:$D$2162,$B173,'октябрь 2024'!$J$5:$J$2162,S$1)</f>
        <v>0</v>
      </c>
      <c r="T173" s="80">
        <f>SUMIFS('октябрь 2024'!$G$5:$G$2162,'октябрь 2024'!$D$5:$D$2162,$B173,'октябрь 2024'!$J$5:$J$2162,T$1)</f>
        <v>0</v>
      </c>
      <c r="U173" s="80">
        <f>SUMIFS('октябрь 2024'!$G$5:$G$2162,'октябрь 2024'!$D$5:$D$2162,$B173,'октябрь 2024'!$J$5:$J$2162,U$1)</f>
        <v>0</v>
      </c>
      <c r="V173" s="80">
        <f>SUMIFS('октябрь 2024'!$G$5:$G$2162,'октябрь 2024'!$D$5:$D$2162,$B173,'октябрь 2024'!$J$5:$J$2162,V$1)</f>
        <v>0</v>
      </c>
      <c r="W173" s="80">
        <f>SUMIFS('октябрь 2024'!$G$5:$G$2162,'октябрь 2024'!$D$5:$D$2162,$B173,'октябрь 2024'!$J$5:$J$2162,W$1)</f>
        <v>0</v>
      </c>
      <c r="X173" s="80">
        <f>SUMIFS('октябрь 2024'!$G$5:$G$2162,'октябрь 2024'!$D$5:$D$2162,$B173,'октябрь 2024'!$J$5:$J$2162,X$1)</f>
        <v>0</v>
      </c>
      <c r="Y173" s="80">
        <f>SUMIFS('октябрь 2024'!$G$5:$G$2162,'октябрь 2024'!$D$5:$D$2162,$B173,'октябрь 2024'!$J$5:$J$2162,Y$1)</f>
        <v>0</v>
      </c>
      <c r="Z173" s="80">
        <f>SUMIFS('октябрь 2024'!$G$5:$G$2162,'октябрь 2024'!$D$5:$D$2162,$B173,'октябрь 2024'!$J$5:$J$2162,Z$1)</f>
        <v>0</v>
      </c>
      <c r="AA173" s="80">
        <f>SUMIFS('октябрь 2024'!$G$5:$G$2162,'октябрь 2024'!$D$5:$D$2162,$B173,'октябрь 2024'!$J$5:$J$2162,AA$1)</f>
        <v>0</v>
      </c>
      <c r="AB173" s="80">
        <f>SUMIFS('октябрь 2024'!$G$5:$G$2162,'октябрь 2024'!$D$5:$D$2162,$B173,'октябрь 2024'!$J$5:$J$2162,AB$1)</f>
        <v>0</v>
      </c>
      <c r="AC173" s="80">
        <f>SUMIFS('октябрь 2024'!$G$5:$G$2162,'октябрь 2024'!$D$5:$D$2162,$B173,'октябрь 2024'!$J$5:$J$2162,AC$1)</f>
        <v>0</v>
      </c>
      <c r="AD173" s="80">
        <f>SUMIFS('октябрь 2024'!$G$5:$G$2162,'октябрь 2024'!$D$5:$D$2162,$B173,'октябрь 2024'!$J$5:$J$2162,AD$1)</f>
        <v>0</v>
      </c>
      <c r="AE173" s="80">
        <f>SUMIFS('октябрь 2024'!$G$5:$G$2162,'октябрь 2024'!$D$5:$D$2162,$B173,'октябрь 2024'!$J$5:$J$2162,AE$1)</f>
        <v>0</v>
      </c>
      <c r="AF173" s="80">
        <f>SUMIFS('октябрь 2024'!$G$5:$G$2162,'октябрь 2024'!$D$5:$D$2162,$B173,'октябрь 2024'!$J$5:$J$2162,AF$1)</f>
        <v>0</v>
      </c>
      <c r="AG173" s="80">
        <f>SUMIFS('октябрь 2024'!$G$5:$G$2162,'октябрь 2024'!$D$5:$D$2162,$B173,'октябрь 2024'!$J$5:$J$2162,AG$1)</f>
        <v>0</v>
      </c>
      <c r="AH173" s="80">
        <f>SUMIFS('октябрь 2024'!$G$5:$G$2162,'октябрь 2024'!$D$5:$D$2162,$B173,'октябрь 2024'!$J$5:$J$2162,AH$1)</f>
        <v>0</v>
      </c>
      <c r="AI173" s="87"/>
    </row>
    <row r="174" spans="2:35" ht="15" hidden="1" customHeight="1" x14ac:dyDescent="0.25">
      <c r="B174" s="94"/>
      <c r="C174" s="95"/>
      <c r="D174" s="80">
        <f>SUMIFS('октябрь 2024'!$G$5:$G$2162,'октябрь 2024'!$D$5:$D$2162,$B174,'октябрь 2024'!$J$5:$J$2162,D$1)</f>
        <v>0</v>
      </c>
      <c r="E174" s="80">
        <f>SUMIFS('октябрь 2024'!$G$5:$G$2162,'октябрь 2024'!$D$5:$D$2162,$B174,'октябрь 2024'!$J$5:$J$2162,E$1)</f>
        <v>0</v>
      </c>
      <c r="F174" s="80">
        <f>SUMIFS('октябрь 2024'!$G$5:$G$2162,'октябрь 2024'!$D$5:$D$2162,$B174,'октябрь 2024'!$J$5:$J$2162,F$1)</f>
        <v>0</v>
      </c>
      <c r="G174" s="80">
        <f>SUMIFS('октябрь 2024'!$G$5:$G$2162,'октябрь 2024'!$D$5:$D$2162,$B174,'октябрь 2024'!$J$5:$J$2162,G$1)</f>
        <v>0</v>
      </c>
      <c r="H174" s="80">
        <f>SUMIFS('октябрь 2024'!$G$5:$G$2162,'октябрь 2024'!$D$5:$D$2162,$B174,'октябрь 2024'!$J$5:$J$2162,H$1)</f>
        <v>0</v>
      </c>
      <c r="I174" s="80">
        <f>SUMIFS('октябрь 2024'!$G$5:$G$2162,'октябрь 2024'!$D$5:$D$2162,$B174,'октябрь 2024'!$J$5:$J$2162,I$1)</f>
        <v>0</v>
      </c>
      <c r="J174" s="80">
        <f>SUMIFS('октябрь 2024'!$G$5:$G$2162,'октябрь 2024'!$D$5:$D$2162,$B174,'октябрь 2024'!$J$5:$J$2162,J$1)</f>
        <v>0</v>
      </c>
      <c r="K174" s="80">
        <f>SUMIFS('октябрь 2024'!$G$5:$G$2162,'октябрь 2024'!$D$5:$D$2162,$B174,'октябрь 2024'!$J$5:$J$2162,K$1)</f>
        <v>0</v>
      </c>
      <c r="L174" s="80">
        <f>SUMIFS('октябрь 2024'!$G$5:$G$2162,'октябрь 2024'!$D$5:$D$2162,$B174,'октябрь 2024'!$J$5:$J$2162,L$1)</f>
        <v>0</v>
      </c>
      <c r="M174" s="80">
        <f>SUMIFS('октябрь 2024'!$G$5:$G$2162,'октябрь 2024'!$D$5:$D$2162,$B174,'октябрь 2024'!$J$5:$J$2162,M$1)</f>
        <v>0</v>
      </c>
      <c r="N174" s="80">
        <f>SUMIFS('октябрь 2024'!$G$5:$G$2162,'октябрь 2024'!$D$5:$D$2162,$B174,'октябрь 2024'!$J$5:$J$2162,N$1)</f>
        <v>0</v>
      </c>
      <c r="O174" s="80">
        <f>SUMIFS('октябрь 2024'!$G$5:$G$2162,'октябрь 2024'!$D$5:$D$2162,$B174,'октябрь 2024'!$J$5:$J$2162,O$1)</f>
        <v>0</v>
      </c>
      <c r="P174" s="80">
        <f>SUMIFS('октябрь 2024'!$G$5:$G$2162,'октябрь 2024'!$D$5:$D$2162,$B174,'октябрь 2024'!$J$5:$J$2162,P$1)</f>
        <v>0</v>
      </c>
      <c r="Q174" s="80">
        <f>SUMIFS('октябрь 2024'!$G$5:$G$2162,'октябрь 2024'!$D$5:$D$2162,$B174,'октябрь 2024'!$J$5:$J$2162,Q$1)</f>
        <v>0</v>
      </c>
      <c r="R174" s="80">
        <f>SUMIFS('октябрь 2024'!$G$5:$G$2162,'октябрь 2024'!$D$5:$D$2162,$B174,'октябрь 2024'!$J$5:$J$2162,R$1)</f>
        <v>0</v>
      </c>
      <c r="S174" s="80">
        <f>SUMIFS('октябрь 2024'!$G$5:$G$2162,'октябрь 2024'!$D$5:$D$2162,$B174,'октябрь 2024'!$J$5:$J$2162,S$1)</f>
        <v>0</v>
      </c>
      <c r="T174" s="80">
        <f>SUMIFS('октябрь 2024'!$G$5:$G$2162,'октябрь 2024'!$D$5:$D$2162,$B174,'октябрь 2024'!$J$5:$J$2162,T$1)</f>
        <v>0</v>
      </c>
      <c r="U174" s="80">
        <f>SUMIFS('октябрь 2024'!$G$5:$G$2162,'октябрь 2024'!$D$5:$D$2162,$B174,'октябрь 2024'!$J$5:$J$2162,U$1)</f>
        <v>0</v>
      </c>
      <c r="V174" s="80">
        <f>SUMIFS('октябрь 2024'!$G$5:$G$2162,'октябрь 2024'!$D$5:$D$2162,$B174,'октябрь 2024'!$J$5:$J$2162,V$1)</f>
        <v>0</v>
      </c>
      <c r="W174" s="80">
        <f>SUMIFS('октябрь 2024'!$G$5:$G$2162,'октябрь 2024'!$D$5:$D$2162,$B174,'октябрь 2024'!$J$5:$J$2162,W$1)</f>
        <v>0</v>
      </c>
      <c r="X174" s="80">
        <f>SUMIFS('октябрь 2024'!$G$5:$G$2162,'октябрь 2024'!$D$5:$D$2162,$B174,'октябрь 2024'!$J$5:$J$2162,X$1)</f>
        <v>0</v>
      </c>
      <c r="Y174" s="80">
        <f>SUMIFS('октябрь 2024'!$G$5:$G$2162,'октябрь 2024'!$D$5:$D$2162,$B174,'октябрь 2024'!$J$5:$J$2162,Y$1)</f>
        <v>0</v>
      </c>
      <c r="Z174" s="80">
        <f>SUMIFS('октябрь 2024'!$G$5:$G$2162,'октябрь 2024'!$D$5:$D$2162,$B174,'октябрь 2024'!$J$5:$J$2162,Z$1)</f>
        <v>0</v>
      </c>
      <c r="AA174" s="80">
        <f>SUMIFS('октябрь 2024'!$G$5:$G$2162,'октябрь 2024'!$D$5:$D$2162,$B174,'октябрь 2024'!$J$5:$J$2162,AA$1)</f>
        <v>0</v>
      </c>
      <c r="AB174" s="80">
        <f>SUMIFS('октябрь 2024'!$G$5:$G$2162,'октябрь 2024'!$D$5:$D$2162,$B174,'октябрь 2024'!$J$5:$J$2162,AB$1)</f>
        <v>0</v>
      </c>
      <c r="AC174" s="80">
        <f>SUMIFS('октябрь 2024'!$G$5:$G$2162,'октябрь 2024'!$D$5:$D$2162,$B174,'октябрь 2024'!$J$5:$J$2162,AC$1)</f>
        <v>0</v>
      </c>
      <c r="AD174" s="80">
        <f>SUMIFS('октябрь 2024'!$G$5:$G$2162,'октябрь 2024'!$D$5:$D$2162,$B174,'октябрь 2024'!$J$5:$J$2162,AD$1)</f>
        <v>0</v>
      </c>
      <c r="AE174" s="80">
        <f>SUMIFS('октябрь 2024'!$G$5:$G$2162,'октябрь 2024'!$D$5:$D$2162,$B174,'октябрь 2024'!$J$5:$J$2162,AE$1)</f>
        <v>0</v>
      </c>
      <c r="AF174" s="80">
        <f>SUMIFS('октябрь 2024'!$G$5:$G$2162,'октябрь 2024'!$D$5:$D$2162,$B174,'октябрь 2024'!$J$5:$J$2162,AF$1)</f>
        <v>0</v>
      </c>
      <c r="AG174" s="80">
        <f>SUMIFS('октябрь 2024'!$G$5:$G$2162,'октябрь 2024'!$D$5:$D$2162,$B174,'октябрь 2024'!$J$5:$J$2162,AG$1)</f>
        <v>0</v>
      </c>
      <c r="AH174" s="80">
        <f>SUMIFS('октябрь 2024'!$G$5:$G$2162,'октябрь 2024'!$D$5:$D$2162,$B174,'октябрь 2024'!$J$5:$J$2162,AH$1)</f>
        <v>0</v>
      </c>
      <c r="AI174" s="87"/>
    </row>
    <row r="175" spans="2:35" ht="15" hidden="1" customHeight="1" x14ac:dyDescent="0.25">
      <c r="B175" s="89"/>
      <c r="C175" s="91"/>
      <c r="D175" s="80">
        <f>SUMIFS('октябрь 2024'!$G$5:$G$2162,'октябрь 2024'!$D$5:$D$2162,$B175,'октябрь 2024'!$J$5:$J$2162,D$1)</f>
        <v>0</v>
      </c>
      <c r="E175" s="80">
        <f>SUMIFS('октябрь 2024'!$G$5:$G$2162,'октябрь 2024'!$D$5:$D$2162,$B175,'октябрь 2024'!$J$5:$J$2162,E$1)</f>
        <v>0</v>
      </c>
      <c r="F175" s="80">
        <f>SUMIFS('октябрь 2024'!$G$5:$G$2162,'октябрь 2024'!$D$5:$D$2162,$B175,'октябрь 2024'!$J$5:$J$2162,F$1)</f>
        <v>0</v>
      </c>
      <c r="G175" s="80">
        <f>SUMIFS('октябрь 2024'!$G$5:$G$2162,'октябрь 2024'!$D$5:$D$2162,$B175,'октябрь 2024'!$J$5:$J$2162,G$1)</f>
        <v>0</v>
      </c>
      <c r="H175" s="80">
        <f>SUMIFS('октябрь 2024'!$G$5:$G$2162,'октябрь 2024'!$D$5:$D$2162,$B175,'октябрь 2024'!$J$5:$J$2162,H$1)</f>
        <v>0</v>
      </c>
      <c r="I175" s="80">
        <f>SUMIFS('октябрь 2024'!$G$5:$G$2162,'октябрь 2024'!$D$5:$D$2162,$B175,'октябрь 2024'!$J$5:$J$2162,I$1)</f>
        <v>0</v>
      </c>
      <c r="J175" s="80">
        <f>SUMIFS('октябрь 2024'!$G$5:$G$2162,'октябрь 2024'!$D$5:$D$2162,$B175,'октябрь 2024'!$J$5:$J$2162,J$1)</f>
        <v>0</v>
      </c>
      <c r="K175" s="80">
        <f>SUMIFS('октябрь 2024'!$G$5:$G$2162,'октябрь 2024'!$D$5:$D$2162,$B175,'октябрь 2024'!$J$5:$J$2162,K$1)</f>
        <v>0</v>
      </c>
      <c r="L175" s="80">
        <f>SUMIFS('октябрь 2024'!$G$5:$G$2162,'октябрь 2024'!$D$5:$D$2162,$B175,'октябрь 2024'!$J$5:$J$2162,L$1)</f>
        <v>0</v>
      </c>
      <c r="M175" s="80">
        <f>SUMIFS('октябрь 2024'!$G$5:$G$2162,'октябрь 2024'!$D$5:$D$2162,$B175,'октябрь 2024'!$J$5:$J$2162,M$1)</f>
        <v>0</v>
      </c>
      <c r="N175" s="80">
        <f>SUMIFS('октябрь 2024'!$G$5:$G$2162,'октябрь 2024'!$D$5:$D$2162,$B175,'октябрь 2024'!$J$5:$J$2162,N$1)</f>
        <v>0</v>
      </c>
      <c r="O175" s="80">
        <f>SUMIFS('октябрь 2024'!$G$5:$G$2162,'октябрь 2024'!$D$5:$D$2162,$B175,'октябрь 2024'!$J$5:$J$2162,O$1)</f>
        <v>0</v>
      </c>
      <c r="P175" s="80">
        <f>SUMIFS('октябрь 2024'!$G$5:$G$2162,'октябрь 2024'!$D$5:$D$2162,$B175,'октябрь 2024'!$J$5:$J$2162,P$1)</f>
        <v>0</v>
      </c>
      <c r="Q175" s="80">
        <f>SUMIFS('октябрь 2024'!$G$5:$G$2162,'октябрь 2024'!$D$5:$D$2162,$B175,'октябрь 2024'!$J$5:$J$2162,Q$1)</f>
        <v>0</v>
      </c>
      <c r="R175" s="80">
        <f>SUMIFS('октябрь 2024'!$G$5:$G$2162,'октябрь 2024'!$D$5:$D$2162,$B175,'октябрь 2024'!$J$5:$J$2162,R$1)</f>
        <v>0</v>
      </c>
      <c r="S175" s="80">
        <f>SUMIFS('октябрь 2024'!$G$5:$G$2162,'октябрь 2024'!$D$5:$D$2162,$B175,'октябрь 2024'!$J$5:$J$2162,S$1)</f>
        <v>0</v>
      </c>
      <c r="T175" s="80">
        <f>SUMIFS('октябрь 2024'!$G$5:$G$2162,'октябрь 2024'!$D$5:$D$2162,$B175,'октябрь 2024'!$J$5:$J$2162,T$1)</f>
        <v>0</v>
      </c>
      <c r="U175" s="80">
        <f>SUMIFS('октябрь 2024'!$G$5:$G$2162,'октябрь 2024'!$D$5:$D$2162,$B175,'октябрь 2024'!$J$5:$J$2162,U$1)</f>
        <v>0</v>
      </c>
      <c r="V175" s="80">
        <f>SUMIFS('октябрь 2024'!$G$5:$G$2162,'октябрь 2024'!$D$5:$D$2162,$B175,'октябрь 2024'!$J$5:$J$2162,V$1)</f>
        <v>0</v>
      </c>
      <c r="W175" s="80">
        <f>SUMIFS('октябрь 2024'!$G$5:$G$2162,'октябрь 2024'!$D$5:$D$2162,$B175,'октябрь 2024'!$J$5:$J$2162,W$1)</f>
        <v>0</v>
      </c>
      <c r="X175" s="80">
        <f>SUMIFS('октябрь 2024'!$G$5:$G$2162,'октябрь 2024'!$D$5:$D$2162,$B175,'октябрь 2024'!$J$5:$J$2162,X$1)</f>
        <v>0</v>
      </c>
      <c r="Y175" s="80">
        <f>SUMIFS('октябрь 2024'!$G$5:$G$2162,'октябрь 2024'!$D$5:$D$2162,$B175,'октябрь 2024'!$J$5:$J$2162,Y$1)</f>
        <v>0</v>
      </c>
      <c r="Z175" s="80">
        <f>SUMIFS('октябрь 2024'!$G$5:$G$2162,'октябрь 2024'!$D$5:$D$2162,$B175,'октябрь 2024'!$J$5:$J$2162,Z$1)</f>
        <v>0</v>
      </c>
      <c r="AA175" s="80">
        <f>SUMIFS('октябрь 2024'!$G$5:$G$2162,'октябрь 2024'!$D$5:$D$2162,$B175,'октябрь 2024'!$J$5:$J$2162,AA$1)</f>
        <v>0</v>
      </c>
      <c r="AB175" s="80">
        <f>SUMIFS('октябрь 2024'!$G$5:$G$2162,'октябрь 2024'!$D$5:$D$2162,$B175,'октябрь 2024'!$J$5:$J$2162,AB$1)</f>
        <v>0</v>
      </c>
      <c r="AC175" s="80">
        <f>SUMIFS('октябрь 2024'!$G$5:$G$2162,'октябрь 2024'!$D$5:$D$2162,$B175,'октябрь 2024'!$J$5:$J$2162,AC$1)</f>
        <v>0</v>
      </c>
      <c r="AD175" s="80">
        <f>SUMIFS('октябрь 2024'!$G$5:$G$2162,'октябрь 2024'!$D$5:$D$2162,$B175,'октябрь 2024'!$J$5:$J$2162,AD$1)</f>
        <v>0</v>
      </c>
      <c r="AE175" s="80">
        <f>SUMIFS('октябрь 2024'!$G$5:$G$2162,'октябрь 2024'!$D$5:$D$2162,$B175,'октябрь 2024'!$J$5:$J$2162,AE$1)</f>
        <v>0</v>
      </c>
      <c r="AF175" s="80">
        <f>SUMIFS('октябрь 2024'!$G$5:$G$2162,'октябрь 2024'!$D$5:$D$2162,$B175,'октябрь 2024'!$J$5:$J$2162,AF$1)</f>
        <v>0</v>
      </c>
      <c r="AG175" s="80">
        <f>SUMIFS('октябрь 2024'!$G$5:$G$2162,'октябрь 2024'!$D$5:$D$2162,$B175,'октябрь 2024'!$J$5:$J$2162,AG$1)</f>
        <v>0</v>
      </c>
      <c r="AH175" s="80">
        <f>SUMIFS('октябрь 2024'!$G$5:$G$2162,'октябрь 2024'!$D$5:$D$2162,$B175,'октябрь 2024'!$J$5:$J$2162,AH$1)</f>
        <v>0</v>
      </c>
      <c r="AI175" s="87"/>
    </row>
    <row r="176" spans="2:35" ht="15" hidden="1" customHeight="1" x14ac:dyDescent="0.25">
      <c r="B176" s="89"/>
      <c r="C176" s="88"/>
      <c r="D176" s="80">
        <f>SUMIFS('октябрь 2024'!$G$5:$G$2162,'октябрь 2024'!$D$5:$D$2162,$B176,'октябрь 2024'!$J$5:$J$2162,D$1)</f>
        <v>0</v>
      </c>
      <c r="E176" s="80">
        <f>SUMIFS('октябрь 2024'!$G$5:$G$2162,'октябрь 2024'!$D$5:$D$2162,$B176,'октябрь 2024'!$J$5:$J$2162,E$1)</f>
        <v>0</v>
      </c>
      <c r="F176" s="80">
        <f>SUMIFS('октябрь 2024'!$G$5:$G$2162,'октябрь 2024'!$D$5:$D$2162,$B176,'октябрь 2024'!$J$5:$J$2162,F$1)</f>
        <v>0</v>
      </c>
      <c r="G176" s="80">
        <f>SUMIFS('октябрь 2024'!$G$5:$G$2162,'октябрь 2024'!$D$5:$D$2162,$B176,'октябрь 2024'!$J$5:$J$2162,G$1)</f>
        <v>0</v>
      </c>
      <c r="H176" s="80">
        <f>SUMIFS('октябрь 2024'!$G$5:$G$2162,'октябрь 2024'!$D$5:$D$2162,$B176,'октябрь 2024'!$J$5:$J$2162,H$1)</f>
        <v>0</v>
      </c>
      <c r="I176" s="80">
        <f>SUMIFS('октябрь 2024'!$G$5:$G$2162,'октябрь 2024'!$D$5:$D$2162,$B176,'октябрь 2024'!$J$5:$J$2162,I$1)</f>
        <v>0</v>
      </c>
      <c r="J176" s="80">
        <f>SUMIFS('октябрь 2024'!$G$5:$G$2162,'октябрь 2024'!$D$5:$D$2162,$B176,'октябрь 2024'!$J$5:$J$2162,J$1)</f>
        <v>0</v>
      </c>
      <c r="K176" s="80">
        <f>SUMIFS('октябрь 2024'!$G$5:$G$2162,'октябрь 2024'!$D$5:$D$2162,$B176,'октябрь 2024'!$J$5:$J$2162,K$1)</f>
        <v>0</v>
      </c>
      <c r="L176" s="80">
        <f>SUMIFS('октябрь 2024'!$G$5:$G$2162,'октябрь 2024'!$D$5:$D$2162,$B176,'октябрь 2024'!$J$5:$J$2162,L$1)</f>
        <v>0</v>
      </c>
      <c r="M176" s="80">
        <f>SUMIFS('октябрь 2024'!$G$5:$G$2162,'октябрь 2024'!$D$5:$D$2162,$B176,'октябрь 2024'!$J$5:$J$2162,M$1)</f>
        <v>0</v>
      </c>
      <c r="N176" s="80">
        <f>SUMIFS('октябрь 2024'!$G$5:$G$2162,'октябрь 2024'!$D$5:$D$2162,$B176,'октябрь 2024'!$J$5:$J$2162,N$1)</f>
        <v>0</v>
      </c>
      <c r="O176" s="80">
        <f>SUMIFS('октябрь 2024'!$G$5:$G$2162,'октябрь 2024'!$D$5:$D$2162,$B176,'октябрь 2024'!$J$5:$J$2162,O$1)</f>
        <v>0</v>
      </c>
      <c r="P176" s="80">
        <f>SUMIFS('октябрь 2024'!$G$5:$G$2162,'октябрь 2024'!$D$5:$D$2162,$B176,'октябрь 2024'!$J$5:$J$2162,P$1)</f>
        <v>0</v>
      </c>
      <c r="Q176" s="80">
        <f>SUMIFS('октябрь 2024'!$G$5:$G$2162,'октябрь 2024'!$D$5:$D$2162,$B176,'октябрь 2024'!$J$5:$J$2162,Q$1)</f>
        <v>0</v>
      </c>
      <c r="R176" s="80">
        <f>SUMIFS('октябрь 2024'!$G$5:$G$2162,'октябрь 2024'!$D$5:$D$2162,$B176,'октябрь 2024'!$J$5:$J$2162,R$1)</f>
        <v>0</v>
      </c>
      <c r="S176" s="80">
        <f>SUMIFS('октябрь 2024'!$G$5:$G$2162,'октябрь 2024'!$D$5:$D$2162,$B176,'октябрь 2024'!$J$5:$J$2162,S$1)</f>
        <v>0</v>
      </c>
      <c r="T176" s="80">
        <f>SUMIFS('октябрь 2024'!$G$5:$G$2162,'октябрь 2024'!$D$5:$D$2162,$B176,'октябрь 2024'!$J$5:$J$2162,T$1)</f>
        <v>0</v>
      </c>
      <c r="U176" s="80">
        <f>SUMIFS('октябрь 2024'!$G$5:$G$2162,'октябрь 2024'!$D$5:$D$2162,$B176,'октябрь 2024'!$J$5:$J$2162,U$1)</f>
        <v>0</v>
      </c>
      <c r="V176" s="80">
        <f>SUMIFS('октябрь 2024'!$G$5:$G$2162,'октябрь 2024'!$D$5:$D$2162,$B176,'октябрь 2024'!$J$5:$J$2162,V$1)</f>
        <v>0</v>
      </c>
      <c r="W176" s="80">
        <f>SUMIFS('октябрь 2024'!$G$5:$G$2162,'октябрь 2024'!$D$5:$D$2162,$B176,'октябрь 2024'!$J$5:$J$2162,W$1)</f>
        <v>0</v>
      </c>
      <c r="X176" s="80">
        <f>SUMIFS('октябрь 2024'!$G$5:$G$2162,'октябрь 2024'!$D$5:$D$2162,$B176,'октябрь 2024'!$J$5:$J$2162,X$1)</f>
        <v>0</v>
      </c>
      <c r="Y176" s="80">
        <f>SUMIFS('октябрь 2024'!$G$5:$G$2162,'октябрь 2024'!$D$5:$D$2162,$B176,'октябрь 2024'!$J$5:$J$2162,Y$1)</f>
        <v>0</v>
      </c>
      <c r="Z176" s="80">
        <f>SUMIFS('октябрь 2024'!$G$5:$G$2162,'октябрь 2024'!$D$5:$D$2162,$B176,'октябрь 2024'!$J$5:$J$2162,Z$1)</f>
        <v>0</v>
      </c>
      <c r="AA176" s="80">
        <f>SUMIFS('октябрь 2024'!$G$5:$G$2162,'октябрь 2024'!$D$5:$D$2162,$B176,'октябрь 2024'!$J$5:$J$2162,AA$1)</f>
        <v>0</v>
      </c>
      <c r="AB176" s="80">
        <f>SUMIFS('октябрь 2024'!$G$5:$G$2162,'октябрь 2024'!$D$5:$D$2162,$B176,'октябрь 2024'!$J$5:$J$2162,AB$1)</f>
        <v>0</v>
      </c>
      <c r="AC176" s="80">
        <f>SUMIFS('октябрь 2024'!$G$5:$G$2162,'октябрь 2024'!$D$5:$D$2162,$B176,'октябрь 2024'!$J$5:$J$2162,AC$1)</f>
        <v>0</v>
      </c>
      <c r="AD176" s="80">
        <f>SUMIFS('октябрь 2024'!$G$5:$G$2162,'октябрь 2024'!$D$5:$D$2162,$B176,'октябрь 2024'!$J$5:$J$2162,AD$1)</f>
        <v>0</v>
      </c>
      <c r="AE176" s="80">
        <f>SUMIFS('октябрь 2024'!$G$5:$G$2162,'октябрь 2024'!$D$5:$D$2162,$B176,'октябрь 2024'!$J$5:$J$2162,AE$1)</f>
        <v>0</v>
      </c>
      <c r="AF176" s="80">
        <f>SUMIFS('октябрь 2024'!$G$5:$G$2162,'октябрь 2024'!$D$5:$D$2162,$B176,'октябрь 2024'!$J$5:$J$2162,AF$1)</f>
        <v>0</v>
      </c>
      <c r="AG176" s="80">
        <f>SUMIFS('октябрь 2024'!$G$5:$G$2162,'октябрь 2024'!$D$5:$D$2162,$B176,'октябрь 2024'!$J$5:$J$2162,AG$1)</f>
        <v>0</v>
      </c>
      <c r="AH176" s="80">
        <f>SUMIFS('октябрь 2024'!$G$5:$G$2162,'октябрь 2024'!$D$5:$D$2162,$B176,'октябрь 2024'!$J$5:$J$2162,AH$1)</f>
        <v>0</v>
      </c>
      <c r="AI176" s="87"/>
    </row>
    <row r="177" spans="2:35" ht="15" hidden="1" customHeight="1" x14ac:dyDescent="0.25">
      <c r="B177" s="89"/>
      <c r="C177" s="88"/>
      <c r="D177" s="80">
        <f>SUMIFS('октябрь 2024'!$G$5:$G$2162,'октябрь 2024'!$D$5:$D$2162,$B177,'октябрь 2024'!$J$5:$J$2162,D$1)</f>
        <v>0</v>
      </c>
      <c r="E177" s="80">
        <f>SUMIFS('октябрь 2024'!$G$5:$G$2162,'октябрь 2024'!$D$5:$D$2162,$B177,'октябрь 2024'!$J$5:$J$2162,E$1)</f>
        <v>0</v>
      </c>
      <c r="F177" s="80">
        <f>SUMIFS('октябрь 2024'!$G$5:$G$2162,'октябрь 2024'!$D$5:$D$2162,$B177,'октябрь 2024'!$J$5:$J$2162,F$1)</f>
        <v>0</v>
      </c>
      <c r="G177" s="80">
        <f>SUMIFS('октябрь 2024'!$G$5:$G$2162,'октябрь 2024'!$D$5:$D$2162,$B177,'октябрь 2024'!$J$5:$J$2162,G$1)</f>
        <v>0</v>
      </c>
      <c r="H177" s="80">
        <f>SUMIFS('октябрь 2024'!$G$5:$G$2162,'октябрь 2024'!$D$5:$D$2162,$B177,'октябрь 2024'!$J$5:$J$2162,H$1)</f>
        <v>0</v>
      </c>
      <c r="I177" s="80">
        <f>SUMIFS('октябрь 2024'!$G$5:$G$2162,'октябрь 2024'!$D$5:$D$2162,$B177,'октябрь 2024'!$J$5:$J$2162,I$1)</f>
        <v>0</v>
      </c>
      <c r="J177" s="80">
        <f>SUMIFS('октябрь 2024'!$G$5:$G$2162,'октябрь 2024'!$D$5:$D$2162,$B177,'октябрь 2024'!$J$5:$J$2162,J$1)</f>
        <v>0</v>
      </c>
      <c r="K177" s="80">
        <f>SUMIFS('октябрь 2024'!$G$5:$G$2162,'октябрь 2024'!$D$5:$D$2162,$B177,'октябрь 2024'!$J$5:$J$2162,K$1)</f>
        <v>0</v>
      </c>
      <c r="L177" s="80">
        <f>SUMIFS('октябрь 2024'!$G$5:$G$2162,'октябрь 2024'!$D$5:$D$2162,$B177,'октябрь 2024'!$J$5:$J$2162,L$1)</f>
        <v>0</v>
      </c>
      <c r="M177" s="80">
        <f>SUMIFS('октябрь 2024'!$G$5:$G$2162,'октябрь 2024'!$D$5:$D$2162,$B177,'октябрь 2024'!$J$5:$J$2162,M$1)</f>
        <v>0</v>
      </c>
      <c r="N177" s="80">
        <f>SUMIFS('октябрь 2024'!$G$5:$G$2162,'октябрь 2024'!$D$5:$D$2162,$B177,'октябрь 2024'!$J$5:$J$2162,N$1)</f>
        <v>0</v>
      </c>
      <c r="O177" s="80">
        <f>SUMIFS('октябрь 2024'!$G$5:$G$2162,'октябрь 2024'!$D$5:$D$2162,$B177,'октябрь 2024'!$J$5:$J$2162,O$1)</f>
        <v>0</v>
      </c>
      <c r="P177" s="80">
        <f>SUMIFS('октябрь 2024'!$G$5:$G$2162,'октябрь 2024'!$D$5:$D$2162,$B177,'октябрь 2024'!$J$5:$J$2162,P$1)</f>
        <v>0</v>
      </c>
      <c r="Q177" s="80">
        <f>SUMIFS('октябрь 2024'!$G$5:$G$2162,'октябрь 2024'!$D$5:$D$2162,$B177,'октябрь 2024'!$J$5:$J$2162,Q$1)</f>
        <v>0</v>
      </c>
      <c r="R177" s="80">
        <f>SUMIFS('октябрь 2024'!$G$5:$G$2162,'октябрь 2024'!$D$5:$D$2162,$B177,'октябрь 2024'!$J$5:$J$2162,R$1)</f>
        <v>0</v>
      </c>
      <c r="S177" s="80">
        <f>SUMIFS('октябрь 2024'!$G$5:$G$2162,'октябрь 2024'!$D$5:$D$2162,$B177,'октябрь 2024'!$J$5:$J$2162,S$1)</f>
        <v>0</v>
      </c>
      <c r="T177" s="80">
        <f>SUMIFS('октябрь 2024'!$G$5:$G$2162,'октябрь 2024'!$D$5:$D$2162,$B177,'октябрь 2024'!$J$5:$J$2162,T$1)</f>
        <v>0</v>
      </c>
      <c r="U177" s="80">
        <f>SUMIFS('октябрь 2024'!$G$5:$G$2162,'октябрь 2024'!$D$5:$D$2162,$B177,'октябрь 2024'!$J$5:$J$2162,U$1)</f>
        <v>0</v>
      </c>
      <c r="V177" s="80">
        <f>SUMIFS('октябрь 2024'!$G$5:$G$2162,'октябрь 2024'!$D$5:$D$2162,$B177,'октябрь 2024'!$J$5:$J$2162,V$1)</f>
        <v>0</v>
      </c>
      <c r="W177" s="80">
        <f>SUMIFS('октябрь 2024'!$G$5:$G$2162,'октябрь 2024'!$D$5:$D$2162,$B177,'октябрь 2024'!$J$5:$J$2162,W$1)</f>
        <v>0</v>
      </c>
      <c r="X177" s="80">
        <f>SUMIFS('октябрь 2024'!$G$5:$G$2162,'октябрь 2024'!$D$5:$D$2162,$B177,'октябрь 2024'!$J$5:$J$2162,X$1)</f>
        <v>0</v>
      </c>
      <c r="Y177" s="80">
        <f>SUMIFS('октябрь 2024'!$G$5:$G$2162,'октябрь 2024'!$D$5:$D$2162,$B177,'октябрь 2024'!$J$5:$J$2162,Y$1)</f>
        <v>0</v>
      </c>
      <c r="Z177" s="80">
        <f>SUMIFS('октябрь 2024'!$G$5:$G$2162,'октябрь 2024'!$D$5:$D$2162,$B177,'октябрь 2024'!$J$5:$J$2162,Z$1)</f>
        <v>0</v>
      </c>
      <c r="AA177" s="80">
        <f>SUMIFS('октябрь 2024'!$G$5:$G$2162,'октябрь 2024'!$D$5:$D$2162,$B177,'октябрь 2024'!$J$5:$J$2162,AA$1)</f>
        <v>0</v>
      </c>
      <c r="AB177" s="80">
        <f>SUMIFS('октябрь 2024'!$G$5:$G$2162,'октябрь 2024'!$D$5:$D$2162,$B177,'октябрь 2024'!$J$5:$J$2162,AB$1)</f>
        <v>0</v>
      </c>
      <c r="AC177" s="80">
        <f>SUMIFS('октябрь 2024'!$G$5:$G$2162,'октябрь 2024'!$D$5:$D$2162,$B177,'октябрь 2024'!$J$5:$J$2162,AC$1)</f>
        <v>0</v>
      </c>
      <c r="AD177" s="80">
        <f>SUMIFS('октябрь 2024'!$G$5:$G$2162,'октябрь 2024'!$D$5:$D$2162,$B177,'октябрь 2024'!$J$5:$J$2162,AD$1)</f>
        <v>0</v>
      </c>
      <c r="AE177" s="80">
        <f>SUMIFS('октябрь 2024'!$G$5:$G$2162,'октябрь 2024'!$D$5:$D$2162,$B177,'октябрь 2024'!$J$5:$J$2162,AE$1)</f>
        <v>0</v>
      </c>
      <c r="AF177" s="80">
        <f>SUMIFS('октябрь 2024'!$G$5:$G$2162,'октябрь 2024'!$D$5:$D$2162,$B177,'октябрь 2024'!$J$5:$J$2162,AF$1)</f>
        <v>0</v>
      </c>
      <c r="AG177" s="80">
        <f>SUMIFS('октябрь 2024'!$G$5:$G$2162,'октябрь 2024'!$D$5:$D$2162,$B177,'октябрь 2024'!$J$5:$J$2162,AG$1)</f>
        <v>0</v>
      </c>
      <c r="AH177" s="80">
        <f>SUMIFS('октябрь 2024'!$G$5:$G$2162,'октябрь 2024'!$D$5:$D$2162,$B177,'октябрь 2024'!$J$5:$J$2162,AH$1)</f>
        <v>0</v>
      </c>
      <c r="AI177" s="87"/>
    </row>
    <row r="178" spans="2:35" ht="15" hidden="1" customHeight="1" x14ac:dyDescent="0.25">
      <c r="B178" s="89"/>
      <c r="C178" s="90"/>
      <c r="D178" s="80">
        <f>SUMIFS('октябрь 2024'!$G$5:$G$2162,'октябрь 2024'!$D$5:$D$2162,$B178,'октябрь 2024'!$J$5:$J$2162,D$1)</f>
        <v>0</v>
      </c>
      <c r="E178" s="80">
        <f>SUMIFS('октябрь 2024'!$G$5:$G$2162,'октябрь 2024'!$D$5:$D$2162,$B178,'октябрь 2024'!$J$5:$J$2162,E$1)</f>
        <v>0</v>
      </c>
      <c r="F178" s="80">
        <f>SUMIFS('октябрь 2024'!$G$5:$G$2162,'октябрь 2024'!$D$5:$D$2162,$B178,'октябрь 2024'!$J$5:$J$2162,F$1)</f>
        <v>0</v>
      </c>
      <c r="G178" s="80">
        <f>SUMIFS('октябрь 2024'!$G$5:$G$2162,'октябрь 2024'!$D$5:$D$2162,$B178,'октябрь 2024'!$J$5:$J$2162,G$1)</f>
        <v>0</v>
      </c>
      <c r="H178" s="80">
        <f>SUMIFS('октябрь 2024'!$G$5:$G$2162,'октябрь 2024'!$D$5:$D$2162,$B178,'октябрь 2024'!$J$5:$J$2162,H$1)</f>
        <v>0</v>
      </c>
      <c r="I178" s="80">
        <f>SUMIFS('октябрь 2024'!$G$5:$G$2162,'октябрь 2024'!$D$5:$D$2162,$B178,'октябрь 2024'!$J$5:$J$2162,I$1)</f>
        <v>0</v>
      </c>
      <c r="J178" s="80">
        <f>SUMIFS('октябрь 2024'!$G$5:$G$2162,'октябрь 2024'!$D$5:$D$2162,$B178,'октябрь 2024'!$J$5:$J$2162,J$1)</f>
        <v>0</v>
      </c>
      <c r="K178" s="80">
        <f>SUMIFS('октябрь 2024'!$G$5:$G$2162,'октябрь 2024'!$D$5:$D$2162,$B178,'октябрь 2024'!$J$5:$J$2162,K$1)</f>
        <v>0</v>
      </c>
      <c r="L178" s="80">
        <f>SUMIFS('октябрь 2024'!$G$5:$G$2162,'октябрь 2024'!$D$5:$D$2162,$B178,'октябрь 2024'!$J$5:$J$2162,L$1)</f>
        <v>0</v>
      </c>
      <c r="M178" s="80">
        <f>SUMIFS('октябрь 2024'!$G$5:$G$2162,'октябрь 2024'!$D$5:$D$2162,$B178,'октябрь 2024'!$J$5:$J$2162,M$1)</f>
        <v>0</v>
      </c>
      <c r="N178" s="80">
        <f>SUMIFS('октябрь 2024'!$G$5:$G$2162,'октябрь 2024'!$D$5:$D$2162,$B178,'октябрь 2024'!$J$5:$J$2162,N$1)</f>
        <v>0</v>
      </c>
      <c r="O178" s="80">
        <f>SUMIFS('октябрь 2024'!$G$5:$G$2162,'октябрь 2024'!$D$5:$D$2162,$B178,'октябрь 2024'!$J$5:$J$2162,O$1)</f>
        <v>0</v>
      </c>
      <c r="P178" s="80">
        <f>SUMIFS('октябрь 2024'!$G$5:$G$2162,'октябрь 2024'!$D$5:$D$2162,$B178,'октябрь 2024'!$J$5:$J$2162,P$1)</f>
        <v>0</v>
      </c>
      <c r="Q178" s="80">
        <f>SUMIFS('октябрь 2024'!$G$5:$G$2162,'октябрь 2024'!$D$5:$D$2162,$B178,'октябрь 2024'!$J$5:$J$2162,Q$1)</f>
        <v>0</v>
      </c>
      <c r="R178" s="80">
        <f>SUMIFS('октябрь 2024'!$G$5:$G$2162,'октябрь 2024'!$D$5:$D$2162,$B178,'октябрь 2024'!$J$5:$J$2162,R$1)</f>
        <v>0</v>
      </c>
      <c r="S178" s="80">
        <f>SUMIFS('октябрь 2024'!$G$5:$G$2162,'октябрь 2024'!$D$5:$D$2162,$B178,'октябрь 2024'!$J$5:$J$2162,S$1)</f>
        <v>0</v>
      </c>
      <c r="T178" s="80">
        <f>SUMIFS('октябрь 2024'!$G$5:$G$2162,'октябрь 2024'!$D$5:$D$2162,$B178,'октябрь 2024'!$J$5:$J$2162,T$1)</f>
        <v>0</v>
      </c>
      <c r="U178" s="80">
        <f>SUMIFS('октябрь 2024'!$G$5:$G$2162,'октябрь 2024'!$D$5:$D$2162,$B178,'октябрь 2024'!$J$5:$J$2162,U$1)</f>
        <v>0</v>
      </c>
      <c r="V178" s="80">
        <f>SUMIFS('октябрь 2024'!$G$5:$G$2162,'октябрь 2024'!$D$5:$D$2162,$B178,'октябрь 2024'!$J$5:$J$2162,V$1)</f>
        <v>0</v>
      </c>
      <c r="W178" s="80">
        <f>SUMIFS('октябрь 2024'!$G$5:$G$2162,'октябрь 2024'!$D$5:$D$2162,$B178,'октябрь 2024'!$J$5:$J$2162,W$1)</f>
        <v>0</v>
      </c>
      <c r="X178" s="80">
        <f>SUMIFS('октябрь 2024'!$G$5:$G$2162,'октябрь 2024'!$D$5:$D$2162,$B178,'октябрь 2024'!$J$5:$J$2162,X$1)</f>
        <v>0</v>
      </c>
      <c r="Y178" s="80">
        <f>SUMIFS('октябрь 2024'!$G$5:$G$2162,'октябрь 2024'!$D$5:$D$2162,$B178,'октябрь 2024'!$J$5:$J$2162,Y$1)</f>
        <v>0</v>
      </c>
      <c r="Z178" s="80">
        <f>SUMIFS('октябрь 2024'!$G$5:$G$2162,'октябрь 2024'!$D$5:$D$2162,$B178,'октябрь 2024'!$J$5:$J$2162,Z$1)</f>
        <v>0</v>
      </c>
      <c r="AA178" s="80">
        <f>SUMIFS('октябрь 2024'!$G$5:$G$2162,'октябрь 2024'!$D$5:$D$2162,$B178,'октябрь 2024'!$J$5:$J$2162,AA$1)</f>
        <v>0</v>
      </c>
      <c r="AB178" s="80">
        <f>SUMIFS('октябрь 2024'!$G$5:$G$2162,'октябрь 2024'!$D$5:$D$2162,$B178,'октябрь 2024'!$J$5:$J$2162,AB$1)</f>
        <v>0</v>
      </c>
      <c r="AC178" s="80">
        <f>SUMIFS('октябрь 2024'!$G$5:$G$2162,'октябрь 2024'!$D$5:$D$2162,$B178,'октябрь 2024'!$J$5:$J$2162,AC$1)</f>
        <v>0</v>
      </c>
      <c r="AD178" s="80">
        <f>SUMIFS('октябрь 2024'!$G$5:$G$2162,'октябрь 2024'!$D$5:$D$2162,$B178,'октябрь 2024'!$J$5:$J$2162,AD$1)</f>
        <v>0</v>
      </c>
      <c r="AE178" s="80">
        <f>SUMIFS('октябрь 2024'!$G$5:$G$2162,'октябрь 2024'!$D$5:$D$2162,$B178,'октябрь 2024'!$J$5:$J$2162,AE$1)</f>
        <v>0</v>
      </c>
      <c r="AF178" s="80">
        <f>SUMIFS('октябрь 2024'!$G$5:$G$2162,'октябрь 2024'!$D$5:$D$2162,$B178,'октябрь 2024'!$J$5:$J$2162,AF$1)</f>
        <v>0</v>
      </c>
      <c r="AG178" s="80">
        <f>SUMIFS('октябрь 2024'!$G$5:$G$2162,'октябрь 2024'!$D$5:$D$2162,$B178,'октябрь 2024'!$J$5:$J$2162,AG$1)</f>
        <v>0</v>
      </c>
      <c r="AH178" s="80">
        <f>SUMIFS('октябрь 2024'!$G$5:$G$2162,'октябрь 2024'!$D$5:$D$2162,$B178,'октябрь 2024'!$J$5:$J$2162,AH$1)</f>
        <v>0</v>
      </c>
      <c r="AI178" s="87"/>
    </row>
    <row r="179" spans="2:35" ht="15" hidden="1" customHeight="1" x14ac:dyDescent="0.25">
      <c r="B179" s="89"/>
      <c r="C179" s="91"/>
      <c r="D179" s="80">
        <f>SUMIFS('октябрь 2024'!$G$5:$G$2162,'октябрь 2024'!$D$5:$D$2162,$B179,'октябрь 2024'!$J$5:$J$2162,D$1)</f>
        <v>0</v>
      </c>
      <c r="E179" s="80">
        <f>SUMIFS('октябрь 2024'!$G$5:$G$2162,'октябрь 2024'!$D$5:$D$2162,$B179,'октябрь 2024'!$J$5:$J$2162,E$1)</f>
        <v>0</v>
      </c>
      <c r="F179" s="80">
        <f>SUMIFS('октябрь 2024'!$G$5:$G$2162,'октябрь 2024'!$D$5:$D$2162,$B179,'октябрь 2024'!$J$5:$J$2162,F$1)</f>
        <v>0</v>
      </c>
      <c r="G179" s="80">
        <f>SUMIFS('октябрь 2024'!$G$5:$G$2162,'октябрь 2024'!$D$5:$D$2162,$B179,'октябрь 2024'!$J$5:$J$2162,G$1)</f>
        <v>0</v>
      </c>
      <c r="H179" s="80">
        <f>SUMIFS('октябрь 2024'!$G$5:$G$2162,'октябрь 2024'!$D$5:$D$2162,$B179,'октябрь 2024'!$J$5:$J$2162,H$1)</f>
        <v>0</v>
      </c>
      <c r="I179" s="80">
        <f>SUMIFS('октябрь 2024'!$G$5:$G$2162,'октябрь 2024'!$D$5:$D$2162,$B179,'октябрь 2024'!$J$5:$J$2162,I$1)</f>
        <v>0</v>
      </c>
      <c r="J179" s="80">
        <f>SUMIFS('октябрь 2024'!$G$5:$G$2162,'октябрь 2024'!$D$5:$D$2162,$B179,'октябрь 2024'!$J$5:$J$2162,J$1)</f>
        <v>0</v>
      </c>
      <c r="K179" s="80">
        <f>SUMIFS('октябрь 2024'!$G$5:$G$2162,'октябрь 2024'!$D$5:$D$2162,$B179,'октябрь 2024'!$J$5:$J$2162,K$1)</f>
        <v>0</v>
      </c>
      <c r="L179" s="80">
        <f>SUMIFS('октябрь 2024'!$G$5:$G$2162,'октябрь 2024'!$D$5:$D$2162,$B179,'октябрь 2024'!$J$5:$J$2162,L$1)</f>
        <v>0</v>
      </c>
      <c r="M179" s="80">
        <f>SUMIFS('октябрь 2024'!$G$5:$G$2162,'октябрь 2024'!$D$5:$D$2162,$B179,'октябрь 2024'!$J$5:$J$2162,M$1)</f>
        <v>0</v>
      </c>
      <c r="N179" s="80">
        <f>SUMIFS('октябрь 2024'!$G$5:$G$2162,'октябрь 2024'!$D$5:$D$2162,$B179,'октябрь 2024'!$J$5:$J$2162,N$1)</f>
        <v>0</v>
      </c>
      <c r="O179" s="80">
        <f>SUMIFS('октябрь 2024'!$G$5:$G$2162,'октябрь 2024'!$D$5:$D$2162,$B179,'октябрь 2024'!$J$5:$J$2162,O$1)</f>
        <v>0</v>
      </c>
      <c r="P179" s="80">
        <f>SUMIFS('октябрь 2024'!$G$5:$G$2162,'октябрь 2024'!$D$5:$D$2162,$B179,'октябрь 2024'!$J$5:$J$2162,P$1)</f>
        <v>0</v>
      </c>
      <c r="Q179" s="80">
        <f>SUMIFS('октябрь 2024'!$G$5:$G$2162,'октябрь 2024'!$D$5:$D$2162,$B179,'октябрь 2024'!$J$5:$J$2162,Q$1)</f>
        <v>0</v>
      </c>
      <c r="R179" s="80">
        <f>SUMIFS('октябрь 2024'!$G$5:$G$2162,'октябрь 2024'!$D$5:$D$2162,$B179,'октябрь 2024'!$J$5:$J$2162,R$1)</f>
        <v>0</v>
      </c>
      <c r="S179" s="80">
        <f>SUMIFS('октябрь 2024'!$G$5:$G$2162,'октябрь 2024'!$D$5:$D$2162,$B179,'октябрь 2024'!$J$5:$J$2162,S$1)</f>
        <v>0</v>
      </c>
      <c r="T179" s="80">
        <f>SUMIFS('октябрь 2024'!$G$5:$G$2162,'октябрь 2024'!$D$5:$D$2162,$B179,'октябрь 2024'!$J$5:$J$2162,T$1)</f>
        <v>0</v>
      </c>
      <c r="U179" s="80">
        <f>SUMIFS('октябрь 2024'!$G$5:$G$2162,'октябрь 2024'!$D$5:$D$2162,$B179,'октябрь 2024'!$J$5:$J$2162,U$1)</f>
        <v>0</v>
      </c>
      <c r="V179" s="80">
        <f>SUMIFS('октябрь 2024'!$G$5:$G$2162,'октябрь 2024'!$D$5:$D$2162,$B179,'октябрь 2024'!$J$5:$J$2162,V$1)</f>
        <v>0</v>
      </c>
      <c r="W179" s="80">
        <f>SUMIFS('октябрь 2024'!$G$5:$G$2162,'октябрь 2024'!$D$5:$D$2162,$B179,'октябрь 2024'!$J$5:$J$2162,W$1)</f>
        <v>0</v>
      </c>
      <c r="X179" s="80">
        <f>SUMIFS('октябрь 2024'!$G$5:$G$2162,'октябрь 2024'!$D$5:$D$2162,$B179,'октябрь 2024'!$J$5:$J$2162,X$1)</f>
        <v>0</v>
      </c>
      <c r="Y179" s="80">
        <f>SUMIFS('октябрь 2024'!$G$5:$G$2162,'октябрь 2024'!$D$5:$D$2162,$B179,'октябрь 2024'!$J$5:$J$2162,Y$1)</f>
        <v>0</v>
      </c>
      <c r="Z179" s="80">
        <f>SUMIFS('октябрь 2024'!$G$5:$G$2162,'октябрь 2024'!$D$5:$D$2162,$B179,'октябрь 2024'!$J$5:$J$2162,Z$1)</f>
        <v>0</v>
      </c>
      <c r="AA179" s="80">
        <f>SUMIFS('октябрь 2024'!$G$5:$G$2162,'октябрь 2024'!$D$5:$D$2162,$B179,'октябрь 2024'!$J$5:$J$2162,AA$1)</f>
        <v>0</v>
      </c>
      <c r="AB179" s="80">
        <f>SUMIFS('октябрь 2024'!$G$5:$G$2162,'октябрь 2024'!$D$5:$D$2162,$B179,'октябрь 2024'!$J$5:$J$2162,AB$1)</f>
        <v>0</v>
      </c>
      <c r="AC179" s="80">
        <f>SUMIFS('октябрь 2024'!$G$5:$G$2162,'октябрь 2024'!$D$5:$D$2162,$B179,'октябрь 2024'!$J$5:$J$2162,AC$1)</f>
        <v>0</v>
      </c>
      <c r="AD179" s="80">
        <f>SUMIFS('октябрь 2024'!$G$5:$G$2162,'октябрь 2024'!$D$5:$D$2162,$B179,'октябрь 2024'!$J$5:$J$2162,AD$1)</f>
        <v>0</v>
      </c>
      <c r="AE179" s="80">
        <f>SUMIFS('октябрь 2024'!$G$5:$G$2162,'октябрь 2024'!$D$5:$D$2162,$B179,'октябрь 2024'!$J$5:$J$2162,AE$1)</f>
        <v>0</v>
      </c>
      <c r="AF179" s="80">
        <f>SUMIFS('октябрь 2024'!$G$5:$G$2162,'октябрь 2024'!$D$5:$D$2162,$B179,'октябрь 2024'!$J$5:$J$2162,AF$1)</f>
        <v>0</v>
      </c>
      <c r="AG179" s="80">
        <f>SUMIFS('октябрь 2024'!$G$5:$G$2162,'октябрь 2024'!$D$5:$D$2162,$B179,'октябрь 2024'!$J$5:$J$2162,AG$1)</f>
        <v>0</v>
      </c>
      <c r="AH179" s="80">
        <f>SUMIFS('октябрь 2024'!$G$5:$G$2162,'октябрь 2024'!$D$5:$D$2162,$B179,'октябрь 2024'!$J$5:$J$2162,AH$1)</f>
        <v>0</v>
      </c>
      <c r="AI179" s="87"/>
    </row>
    <row r="180" spans="2:35" ht="15" hidden="1" customHeight="1" x14ac:dyDescent="0.25">
      <c r="B180" s="93"/>
      <c r="C180" s="91"/>
      <c r="D180" s="80">
        <f>SUMIFS('октябрь 2024'!$G$5:$G$2162,'октябрь 2024'!$D$5:$D$2162,$B180,'октябрь 2024'!$J$5:$J$2162,D$1)</f>
        <v>0</v>
      </c>
      <c r="E180" s="80">
        <f>SUMIFS('октябрь 2024'!$G$5:$G$2162,'октябрь 2024'!$D$5:$D$2162,$B180,'октябрь 2024'!$J$5:$J$2162,E$1)</f>
        <v>0</v>
      </c>
      <c r="F180" s="80">
        <f>SUMIFS('октябрь 2024'!$G$5:$G$2162,'октябрь 2024'!$D$5:$D$2162,$B180,'октябрь 2024'!$J$5:$J$2162,F$1)</f>
        <v>0</v>
      </c>
      <c r="G180" s="80">
        <f>SUMIFS('октябрь 2024'!$G$5:$G$2162,'октябрь 2024'!$D$5:$D$2162,$B180,'октябрь 2024'!$J$5:$J$2162,G$1)</f>
        <v>0</v>
      </c>
      <c r="H180" s="80">
        <f>SUMIFS('октябрь 2024'!$G$5:$G$2162,'октябрь 2024'!$D$5:$D$2162,$B180,'октябрь 2024'!$J$5:$J$2162,H$1)</f>
        <v>0</v>
      </c>
      <c r="I180" s="80">
        <f>SUMIFS('октябрь 2024'!$G$5:$G$2162,'октябрь 2024'!$D$5:$D$2162,$B180,'октябрь 2024'!$J$5:$J$2162,I$1)</f>
        <v>0</v>
      </c>
      <c r="J180" s="80">
        <f>SUMIFS('октябрь 2024'!$G$5:$G$2162,'октябрь 2024'!$D$5:$D$2162,$B180,'октябрь 2024'!$J$5:$J$2162,J$1)</f>
        <v>0</v>
      </c>
      <c r="K180" s="80">
        <f>SUMIFS('октябрь 2024'!$G$5:$G$2162,'октябрь 2024'!$D$5:$D$2162,$B180,'октябрь 2024'!$J$5:$J$2162,K$1)</f>
        <v>0</v>
      </c>
      <c r="L180" s="80">
        <f>SUMIFS('октябрь 2024'!$G$5:$G$2162,'октябрь 2024'!$D$5:$D$2162,$B180,'октябрь 2024'!$J$5:$J$2162,L$1)</f>
        <v>0</v>
      </c>
      <c r="M180" s="80">
        <f>SUMIFS('октябрь 2024'!$G$5:$G$2162,'октябрь 2024'!$D$5:$D$2162,$B180,'октябрь 2024'!$J$5:$J$2162,M$1)</f>
        <v>0</v>
      </c>
      <c r="N180" s="80">
        <f>SUMIFS('октябрь 2024'!$G$5:$G$2162,'октябрь 2024'!$D$5:$D$2162,$B180,'октябрь 2024'!$J$5:$J$2162,N$1)</f>
        <v>0</v>
      </c>
      <c r="O180" s="80">
        <f>SUMIFS('октябрь 2024'!$G$5:$G$2162,'октябрь 2024'!$D$5:$D$2162,$B180,'октябрь 2024'!$J$5:$J$2162,O$1)</f>
        <v>0</v>
      </c>
      <c r="P180" s="80">
        <f>SUMIFS('октябрь 2024'!$G$5:$G$2162,'октябрь 2024'!$D$5:$D$2162,$B180,'октябрь 2024'!$J$5:$J$2162,P$1)</f>
        <v>0</v>
      </c>
      <c r="Q180" s="80">
        <f>SUMIFS('октябрь 2024'!$G$5:$G$2162,'октябрь 2024'!$D$5:$D$2162,$B180,'октябрь 2024'!$J$5:$J$2162,Q$1)</f>
        <v>0</v>
      </c>
      <c r="R180" s="80">
        <f>SUMIFS('октябрь 2024'!$G$5:$G$2162,'октябрь 2024'!$D$5:$D$2162,$B180,'октябрь 2024'!$J$5:$J$2162,R$1)</f>
        <v>0</v>
      </c>
      <c r="S180" s="80">
        <f>SUMIFS('октябрь 2024'!$G$5:$G$2162,'октябрь 2024'!$D$5:$D$2162,$B180,'октябрь 2024'!$J$5:$J$2162,S$1)</f>
        <v>0</v>
      </c>
      <c r="T180" s="80">
        <f>SUMIFS('октябрь 2024'!$G$5:$G$2162,'октябрь 2024'!$D$5:$D$2162,$B180,'октябрь 2024'!$J$5:$J$2162,T$1)</f>
        <v>0</v>
      </c>
      <c r="U180" s="80">
        <f>SUMIFS('октябрь 2024'!$G$5:$G$2162,'октябрь 2024'!$D$5:$D$2162,$B180,'октябрь 2024'!$J$5:$J$2162,U$1)</f>
        <v>0</v>
      </c>
      <c r="V180" s="80">
        <f>SUMIFS('октябрь 2024'!$G$5:$G$2162,'октябрь 2024'!$D$5:$D$2162,$B180,'октябрь 2024'!$J$5:$J$2162,V$1)</f>
        <v>0</v>
      </c>
      <c r="W180" s="80">
        <f>SUMIFS('октябрь 2024'!$G$5:$G$2162,'октябрь 2024'!$D$5:$D$2162,$B180,'октябрь 2024'!$J$5:$J$2162,W$1)</f>
        <v>0</v>
      </c>
      <c r="X180" s="80">
        <f>SUMIFS('октябрь 2024'!$G$5:$G$2162,'октябрь 2024'!$D$5:$D$2162,$B180,'октябрь 2024'!$J$5:$J$2162,X$1)</f>
        <v>0</v>
      </c>
      <c r="Y180" s="80">
        <f>SUMIFS('октябрь 2024'!$G$5:$G$2162,'октябрь 2024'!$D$5:$D$2162,$B180,'октябрь 2024'!$J$5:$J$2162,Y$1)</f>
        <v>0</v>
      </c>
      <c r="Z180" s="80">
        <f>SUMIFS('октябрь 2024'!$G$5:$G$2162,'октябрь 2024'!$D$5:$D$2162,$B180,'октябрь 2024'!$J$5:$J$2162,Z$1)</f>
        <v>0</v>
      </c>
      <c r="AA180" s="80">
        <f>SUMIFS('октябрь 2024'!$G$5:$G$2162,'октябрь 2024'!$D$5:$D$2162,$B180,'октябрь 2024'!$J$5:$J$2162,AA$1)</f>
        <v>0</v>
      </c>
      <c r="AB180" s="80">
        <f>SUMIFS('октябрь 2024'!$G$5:$G$2162,'октябрь 2024'!$D$5:$D$2162,$B180,'октябрь 2024'!$J$5:$J$2162,AB$1)</f>
        <v>0</v>
      </c>
      <c r="AC180" s="80">
        <f>SUMIFS('октябрь 2024'!$G$5:$G$2162,'октябрь 2024'!$D$5:$D$2162,$B180,'октябрь 2024'!$J$5:$J$2162,AC$1)</f>
        <v>0</v>
      </c>
      <c r="AD180" s="80">
        <f>SUMIFS('октябрь 2024'!$G$5:$G$2162,'октябрь 2024'!$D$5:$D$2162,$B180,'октябрь 2024'!$J$5:$J$2162,AD$1)</f>
        <v>0</v>
      </c>
      <c r="AE180" s="80">
        <f>SUMIFS('октябрь 2024'!$G$5:$G$2162,'октябрь 2024'!$D$5:$D$2162,$B180,'октябрь 2024'!$J$5:$J$2162,AE$1)</f>
        <v>0</v>
      </c>
      <c r="AF180" s="80">
        <f>SUMIFS('октябрь 2024'!$G$5:$G$2162,'октябрь 2024'!$D$5:$D$2162,$B180,'октябрь 2024'!$J$5:$J$2162,AF$1)</f>
        <v>0</v>
      </c>
      <c r="AG180" s="80">
        <f>SUMIFS('октябрь 2024'!$G$5:$G$2162,'октябрь 2024'!$D$5:$D$2162,$B180,'октябрь 2024'!$J$5:$J$2162,AG$1)</f>
        <v>0</v>
      </c>
      <c r="AH180" s="80">
        <f>SUMIFS('октябрь 2024'!$G$5:$G$2162,'октябрь 2024'!$D$5:$D$2162,$B180,'октябрь 2024'!$J$5:$J$2162,AH$1)</f>
        <v>0</v>
      </c>
      <c r="AI180" s="87"/>
    </row>
    <row r="181" spans="2:35" ht="15" hidden="1" customHeight="1" x14ac:dyDescent="0.25">
      <c r="B181" s="89"/>
      <c r="C181" s="88"/>
      <c r="D181" s="80">
        <f>SUMIFS('октябрь 2024'!$G$5:$G$2162,'октябрь 2024'!$D$5:$D$2162,$B181,'октябрь 2024'!$J$5:$J$2162,D$1)</f>
        <v>0</v>
      </c>
      <c r="E181" s="80">
        <f>SUMIFS('октябрь 2024'!$G$5:$G$2162,'октябрь 2024'!$D$5:$D$2162,$B181,'октябрь 2024'!$J$5:$J$2162,E$1)</f>
        <v>0</v>
      </c>
      <c r="F181" s="80">
        <f>SUMIFS('октябрь 2024'!$G$5:$G$2162,'октябрь 2024'!$D$5:$D$2162,$B181,'октябрь 2024'!$J$5:$J$2162,F$1)</f>
        <v>0</v>
      </c>
      <c r="G181" s="80">
        <f>SUMIFS('октябрь 2024'!$G$5:$G$2162,'октябрь 2024'!$D$5:$D$2162,$B181,'октябрь 2024'!$J$5:$J$2162,G$1)</f>
        <v>0</v>
      </c>
      <c r="H181" s="80">
        <f>SUMIFS('октябрь 2024'!$G$5:$G$2162,'октябрь 2024'!$D$5:$D$2162,$B181,'октябрь 2024'!$J$5:$J$2162,H$1)</f>
        <v>0</v>
      </c>
      <c r="I181" s="80">
        <f>SUMIFS('октябрь 2024'!$G$5:$G$2162,'октябрь 2024'!$D$5:$D$2162,$B181,'октябрь 2024'!$J$5:$J$2162,I$1)</f>
        <v>0</v>
      </c>
      <c r="J181" s="80">
        <f>SUMIFS('октябрь 2024'!$G$5:$G$2162,'октябрь 2024'!$D$5:$D$2162,$B181,'октябрь 2024'!$J$5:$J$2162,J$1)</f>
        <v>0</v>
      </c>
      <c r="K181" s="80">
        <f>SUMIFS('октябрь 2024'!$G$5:$G$2162,'октябрь 2024'!$D$5:$D$2162,$B181,'октябрь 2024'!$J$5:$J$2162,K$1)</f>
        <v>0</v>
      </c>
      <c r="L181" s="80">
        <f>SUMIFS('октябрь 2024'!$G$5:$G$2162,'октябрь 2024'!$D$5:$D$2162,$B181,'октябрь 2024'!$J$5:$J$2162,L$1)</f>
        <v>0</v>
      </c>
      <c r="M181" s="80">
        <f>SUMIFS('октябрь 2024'!$G$5:$G$2162,'октябрь 2024'!$D$5:$D$2162,$B181,'октябрь 2024'!$J$5:$J$2162,M$1)</f>
        <v>0</v>
      </c>
      <c r="N181" s="80">
        <f>SUMIFS('октябрь 2024'!$G$5:$G$2162,'октябрь 2024'!$D$5:$D$2162,$B181,'октябрь 2024'!$J$5:$J$2162,N$1)</f>
        <v>0</v>
      </c>
      <c r="O181" s="80">
        <f>SUMIFS('октябрь 2024'!$G$5:$G$2162,'октябрь 2024'!$D$5:$D$2162,$B181,'октябрь 2024'!$J$5:$J$2162,O$1)</f>
        <v>0</v>
      </c>
      <c r="P181" s="80">
        <f>SUMIFS('октябрь 2024'!$G$5:$G$2162,'октябрь 2024'!$D$5:$D$2162,$B181,'октябрь 2024'!$J$5:$J$2162,P$1)</f>
        <v>0</v>
      </c>
      <c r="Q181" s="80">
        <f>SUMIFS('октябрь 2024'!$G$5:$G$2162,'октябрь 2024'!$D$5:$D$2162,$B181,'октябрь 2024'!$J$5:$J$2162,Q$1)</f>
        <v>0</v>
      </c>
      <c r="R181" s="80">
        <f>SUMIFS('октябрь 2024'!$G$5:$G$2162,'октябрь 2024'!$D$5:$D$2162,$B181,'октябрь 2024'!$J$5:$J$2162,R$1)</f>
        <v>0</v>
      </c>
      <c r="S181" s="80">
        <f>SUMIFS('октябрь 2024'!$G$5:$G$2162,'октябрь 2024'!$D$5:$D$2162,$B181,'октябрь 2024'!$J$5:$J$2162,S$1)</f>
        <v>0</v>
      </c>
      <c r="T181" s="80">
        <f>SUMIFS('октябрь 2024'!$G$5:$G$2162,'октябрь 2024'!$D$5:$D$2162,$B181,'октябрь 2024'!$J$5:$J$2162,T$1)</f>
        <v>0</v>
      </c>
      <c r="U181" s="80">
        <f>SUMIFS('октябрь 2024'!$G$5:$G$2162,'октябрь 2024'!$D$5:$D$2162,$B181,'октябрь 2024'!$J$5:$J$2162,U$1)</f>
        <v>0</v>
      </c>
      <c r="V181" s="80">
        <f>SUMIFS('октябрь 2024'!$G$5:$G$2162,'октябрь 2024'!$D$5:$D$2162,$B181,'октябрь 2024'!$J$5:$J$2162,V$1)</f>
        <v>0</v>
      </c>
      <c r="W181" s="80">
        <f>SUMIFS('октябрь 2024'!$G$5:$G$2162,'октябрь 2024'!$D$5:$D$2162,$B181,'октябрь 2024'!$J$5:$J$2162,W$1)</f>
        <v>0</v>
      </c>
      <c r="X181" s="80">
        <f>SUMIFS('октябрь 2024'!$G$5:$G$2162,'октябрь 2024'!$D$5:$D$2162,$B181,'октябрь 2024'!$J$5:$J$2162,X$1)</f>
        <v>0</v>
      </c>
      <c r="Y181" s="80">
        <f>SUMIFS('октябрь 2024'!$G$5:$G$2162,'октябрь 2024'!$D$5:$D$2162,$B181,'октябрь 2024'!$J$5:$J$2162,Y$1)</f>
        <v>0</v>
      </c>
      <c r="Z181" s="80">
        <f>SUMIFS('октябрь 2024'!$G$5:$G$2162,'октябрь 2024'!$D$5:$D$2162,$B181,'октябрь 2024'!$J$5:$J$2162,Z$1)</f>
        <v>0</v>
      </c>
      <c r="AA181" s="80">
        <f>SUMIFS('октябрь 2024'!$G$5:$G$2162,'октябрь 2024'!$D$5:$D$2162,$B181,'октябрь 2024'!$J$5:$J$2162,AA$1)</f>
        <v>0</v>
      </c>
      <c r="AB181" s="80">
        <f>SUMIFS('октябрь 2024'!$G$5:$G$2162,'октябрь 2024'!$D$5:$D$2162,$B181,'октябрь 2024'!$J$5:$J$2162,AB$1)</f>
        <v>0</v>
      </c>
      <c r="AC181" s="80">
        <f>SUMIFS('октябрь 2024'!$G$5:$G$2162,'октябрь 2024'!$D$5:$D$2162,$B181,'октябрь 2024'!$J$5:$J$2162,AC$1)</f>
        <v>0</v>
      </c>
      <c r="AD181" s="80">
        <f>SUMIFS('октябрь 2024'!$G$5:$G$2162,'октябрь 2024'!$D$5:$D$2162,$B181,'октябрь 2024'!$J$5:$J$2162,AD$1)</f>
        <v>0</v>
      </c>
      <c r="AE181" s="80">
        <f>SUMIFS('октябрь 2024'!$G$5:$G$2162,'октябрь 2024'!$D$5:$D$2162,$B181,'октябрь 2024'!$J$5:$J$2162,AE$1)</f>
        <v>0</v>
      </c>
      <c r="AF181" s="80">
        <f>SUMIFS('октябрь 2024'!$G$5:$G$2162,'октябрь 2024'!$D$5:$D$2162,$B181,'октябрь 2024'!$J$5:$J$2162,AF$1)</f>
        <v>0</v>
      </c>
      <c r="AG181" s="80">
        <f>SUMIFS('октябрь 2024'!$G$5:$G$2162,'октябрь 2024'!$D$5:$D$2162,$B181,'октябрь 2024'!$J$5:$J$2162,AG$1)</f>
        <v>0</v>
      </c>
      <c r="AH181" s="80">
        <f>SUMIFS('октябрь 2024'!$G$5:$G$2162,'октябрь 2024'!$D$5:$D$2162,$B181,'октябрь 2024'!$J$5:$J$2162,AH$1)</f>
        <v>0</v>
      </c>
      <c r="AI181" s="87"/>
    </row>
    <row r="182" spans="2:35" ht="15" hidden="1" customHeight="1" x14ac:dyDescent="0.25">
      <c r="B182" s="89"/>
      <c r="C182" s="91"/>
      <c r="D182" s="80">
        <f>SUMIFS('октябрь 2024'!$G$5:$G$2162,'октябрь 2024'!$D$5:$D$2162,$B182,'октябрь 2024'!$J$5:$J$2162,D$1)</f>
        <v>0</v>
      </c>
      <c r="E182" s="80">
        <f>SUMIFS('октябрь 2024'!$G$5:$G$2162,'октябрь 2024'!$D$5:$D$2162,$B182,'октябрь 2024'!$J$5:$J$2162,E$1)</f>
        <v>0</v>
      </c>
      <c r="F182" s="80">
        <f>SUMIFS('октябрь 2024'!$G$5:$G$2162,'октябрь 2024'!$D$5:$D$2162,$B182,'октябрь 2024'!$J$5:$J$2162,F$1)</f>
        <v>0</v>
      </c>
      <c r="G182" s="80">
        <f>SUMIFS('октябрь 2024'!$G$5:$G$2162,'октябрь 2024'!$D$5:$D$2162,$B182,'октябрь 2024'!$J$5:$J$2162,G$1)</f>
        <v>0</v>
      </c>
      <c r="H182" s="80">
        <f>SUMIFS('октябрь 2024'!$G$5:$G$2162,'октябрь 2024'!$D$5:$D$2162,$B182,'октябрь 2024'!$J$5:$J$2162,H$1)</f>
        <v>0</v>
      </c>
      <c r="I182" s="80">
        <f>SUMIFS('октябрь 2024'!$G$5:$G$2162,'октябрь 2024'!$D$5:$D$2162,$B182,'октябрь 2024'!$J$5:$J$2162,I$1)</f>
        <v>0</v>
      </c>
      <c r="J182" s="80">
        <f>SUMIFS('октябрь 2024'!$G$5:$G$2162,'октябрь 2024'!$D$5:$D$2162,$B182,'октябрь 2024'!$J$5:$J$2162,J$1)</f>
        <v>0</v>
      </c>
      <c r="K182" s="80">
        <f>SUMIFS('октябрь 2024'!$G$5:$G$2162,'октябрь 2024'!$D$5:$D$2162,$B182,'октябрь 2024'!$J$5:$J$2162,K$1)</f>
        <v>0</v>
      </c>
      <c r="L182" s="80">
        <f>SUMIFS('октябрь 2024'!$G$5:$G$2162,'октябрь 2024'!$D$5:$D$2162,$B182,'октябрь 2024'!$J$5:$J$2162,L$1)</f>
        <v>0</v>
      </c>
      <c r="M182" s="80">
        <f>SUMIFS('октябрь 2024'!$G$5:$G$2162,'октябрь 2024'!$D$5:$D$2162,$B182,'октябрь 2024'!$J$5:$J$2162,M$1)</f>
        <v>0</v>
      </c>
      <c r="N182" s="80">
        <f>SUMIFS('октябрь 2024'!$G$5:$G$2162,'октябрь 2024'!$D$5:$D$2162,$B182,'октябрь 2024'!$J$5:$J$2162,N$1)</f>
        <v>0</v>
      </c>
      <c r="O182" s="80">
        <f>SUMIFS('октябрь 2024'!$G$5:$G$2162,'октябрь 2024'!$D$5:$D$2162,$B182,'октябрь 2024'!$J$5:$J$2162,O$1)</f>
        <v>0</v>
      </c>
      <c r="P182" s="80">
        <f>SUMIFS('октябрь 2024'!$G$5:$G$2162,'октябрь 2024'!$D$5:$D$2162,$B182,'октябрь 2024'!$J$5:$J$2162,P$1)</f>
        <v>0</v>
      </c>
      <c r="Q182" s="80">
        <f>SUMIFS('октябрь 2024'!$G$5:$G$2162,'октябрь 2024'!$D$5:$D$2162,$B182,'октябрь 2024'!$J$5:$J$2162,Q$1)</f>
        <v>0</v>
      </c>
      <c r="R182" s="80">
        <f>SUMIFS('октябрь 2024'!$G$5:$G$2162,'октябрь 2024'!$D$5:$D$2162,$B182,'октябрь 2024'!$J$5:$J$2162,R$1)</f>
        <v>0</v>
      </c>
      <c r="S182" s="80">
        <f>SUMIFS('октябрь 2024'!$G$5:$G$2162,'октябрь 2024'!$D$5:$D$2162,$B182,'октябрь 2024'!$J$5:$J$2162,S$1)</f>
        <v>0</v>
      </c>
      <c r="T182" s="80">
        <f>SUMIFS('октябрь 2024'!$G$5:$G$2162,'октябрь 2024'!$D$5:$D$2162,$B182,'октябрь 2024'!$J$5:$J$2162,T$1)</f>
        <v>0</v>
      </c>
      <c r="U182" s="80">
        <f>SUMIFS('октябрь 2024'!$G$5:$G$2162,'октябрь 2024'!$D$5:$D$2162,$B182,'октябрь 2024'!$J$5:$J$2162,U$1)</f>
        <v>0</v>
      </c>
      <c r="V182" s="80">
        <f>SUMIFS('октябрь 2024'!$G$5:$G$2162,'октябрь 2024'!$D$5:$D$2162,$B182,'октябрь 2024'!$J$5:$J$2162,V$1)</f>
        <v>0</v>
      </c>
      <c r="W182" s="80">
        <f>SUMIFS('октябрь 2024'!$G$5:$G$2162,'октябрь 2024'!$D$5:$D$2162,$B182,'октябрь 2024'!$J$5:$J$2162,W$1)</f>
        <v>0</v>
      </c>
      <c r="X182" s="80">
        <f>SUMIFS('октябрь 2024'!$G$5:$G$2162,'октябрь 2024'!$D$5:$D$2162,$B182,'октябрь 2024'!$J$5:$J$2162,X$1)</f>
        <v>0</v>
      </c>
      <c r="Y182" s="80">
        <f>SUMIFS('октябрь 2024'!$G$5:$G$2162,'октябрь 2024'!$D$5:$D$2162,$B182,'октябрь 2024'!$J$5:$J$2162,Y$1)</f>
        <v>0</v>
      </c>
      <c r="Z182" s="80">
        <f>SUMIFS('октябрь 2024'!$G$5:$G$2162,'октябрь 2024'!$D$5:$D$2162,$B182,'октябрь 2024'!$J$5:$J$2162,Z$1)</f>
        <v>0</v>
      </c>
      <c r="AA182" s="80">
        <f>SUMIFS('октябрь 2024'!$G$5:$G$2162,'октябрь 2024'!$D$5:$D$2162,$B182,'октябрь 2024'!$J$5:$J$2162,AA$1)</f>
        <v>0</v>
      </c>
      <c r="AB182" s="80">
        <f>SUMIFS('октябрь 2024'!$G$5:$G$2162,'октябрь 2024'!$D$5:$D$2162,$B182,'октябрь 2024'!$J$5:$J$2162,AB$1)</f>
        <v>0</v>
      </c>
      <c r="AC182" s="80">
        <f>SUMIFS('октябрь 2024'!$G$5:$G$2162,'октябрь 2024'!$D$5:$D$2162,$B182,'октябрь 2024'!$J$5:$J$2162,AC$1)</f>
        <v>0</v>
      </c>
      <c r="AD182" s="80">
        <f>SUMIFS('октябрь 2024'!$G$5:$G$2162,'октябрь 2024'!$D$5:$D$2162,$B182,'октябрь 2024'!$J$5:$J$2162,AD$1)</f>
        <v>0</v>
      </c>
      <c r="AE182" s="80">
        <f>SUMIFS('октябрь 2024'!$G$5:$G$2162,'октябрь 2024'!$D$5:$D$2162,$B182,'октябрь 2024'!$J$5:$J$2162,AE$1)</f>
        <v>0</v>
      </c>
      <c r="AF182" s="80">
        <f>SUMIFS('октябрь 2024'!$G$5:$G$2162,'октябрь 2024'!$D$5:$D$2162,$B182,'октябрь 2024'!$J$5:$J$2162,AF$1)</f>
        <v>0</v>
      </c>
      <c r="AG182" s="80">
        <f>SUMIFS('октябрь 2024'!$G$5:$G$2162,'октябрь 2024'!$D$5:$D$2162,$B182,'октябрь 2024'!$J$5:$J$2162,AG$1)</f>
        <v>0</v>
      </c>
      <c r="AH182" s="80">
        <f>SUMIFS('октябрь 2024'!$G$5:$G$2162,'октябрь 2024'!$D$5:$D$2162,$B182,'октябрь 2024'!$J$5:$J$2162,AH$1)</f>
        <v>0</v>
      </c>
      <c r="AI182" s="87"/>
    </row>
    <row r="183" spans="2:35" ht="15" hidden="1" customHeight="1" x14ac:dyDescent="0.25">
      <c r="B183" s="89"/>
      <c r="C183" s="91"/>
      <c r="D183" s="80">
        <f>SUMIFS('октябрь 2024'!$G$5:$G$2162,'октябрь 2024'!$D$5:$D$2162,$B183,'октябрь 2024'!$J$5:$J$2162,D$1)</f>
        <v>0</v>
      </c>
      <c r="E183" s="80">
        <f>SUMIFS('октябрь 2024'!$G$5:$G$2162,'октябрь 2024'!$D$5:$D$2162,$B183,'октябрь 2024'!$J$5:$J$2162,E$1)</f>
        <v>0</v>
      </c>
      <c r="F183" s="80">
        <f>SUMIFS('октябрь 2024'!$G$5:$G$2162,'октябрь 2024'!$D$5:$D$2162,$B183,'октябрь 2024'!$J$5:$J$2162,F$1)</f>
        <v>0</v>
      </c>
      <c r="G183" s="80">
        <f>SUMIFS('октябрь 2024'!$G$5:$G$2162,'октябрь 2024'!$D$5:$D$2162,$B183,'октябрь 2024'!$J$5:$J$2162,G$1)</f>
        <v>0</v>
      </c>
      <c r="H183" s="80">
        <f>SUMIFS('октябрь 2024'!$G$5:$G$2162,'октябрь 2024'!$D$5:$D$2162,$B183,'октябрь 2024'!$J$5:$J$2162,H$1)</f>
        <v>0</v>
      </c>
      <c r="I183" s="80">
        <f>SUMIFS('октябрь 2024'!$G$5:$G$2162,'октябрь 2024'!$D$5:$D$2162,$B183,'октябрь 2024'!$J$5:$J$2162,I$1)</f>
        <v>0</v>
      </c>
      <c r="J183" s="80">
        <f>SUMIFS('октябрь 2024'!$G$5:$G$2162,'октябрь 2024'!$D$5:$D$2162,$B183,'октябрь 2024'!$J$5:$J$2162,J$1)</f>
        <v>0</v>
      </c>
      <c r="K183" s="80">
        <f>SUMIFS('октябрь 2024'!$G$5:$G$2162,'октябрь 2024'!$D$5:$D$2162,$B183,'октябрь 2024'!$J$5:$J$2162,K$1)</f>
        <v>0</v>
      </c>
      <c r="L183" s="80">
        <f>SUMIFS('октябрь 2024'!$G$5:$G$2162,'октябрь 2024'!$D$5:$D$2162,$B183,'октябрь 2024'!$J$5:$J$2162,L$1)</f>
        <v>0</v>
      </c>
      <c r="M183" s="80">
        <f>SUMIFS('октябрь 2024'!$G$5:$G$2162,'октябрь 2024'!$D$5:$D$2162,$B183,'октябрь 2024'!$J$5:$J$2162,M$1)</f>
        <v>0</v>
      </c>
      <c r="N183" s="80">
        <f>SUMIFS('октябрь 2024'!$G$5:$G$2162,'октябрь 2024'!$D$5:$D$2162,$B183,'октябрь 2024'!$J$5:$J$2162,N$1)</f>
        <v>0</v>
      </c>
      <c r="O183" s="80">
        <f>SUMIFS('октябрь 2024'!$G$5:$G$2162,'октябрь 2024'!$D$5:$D$2162,$B183,'октябрь 2024'!$J$5:$J$2162,O$1)</f>
        <v>0</v>
      </c>
      <c r="P183" s="80">
        <f>SUMIFS('октябрь 2024'!$G$5:$G$2162,'октябрь 2024'!$D$5:$D$2162,$B183,'октябрь 2024'!$J$5:$J$2162,P$1)</f>
        <v>0</v>
      </c>
      <c r="Q183" s="80">
        <f>SUMIFS('октябрь 2024'!$G$5:$G$2162,'октябрь 2024'!$D$5:$D$2162,$B183,'октябрь 2024'!$J$5:$J$2162,Q$1)</f>
        <v>0</v>
      </c>
      <c r="R183" s="80">
        <f>SUMIFS('октябрь 2024'!$G$5:$G$2162,'октябрь 2024'!$D$5:$D$2162,$B183,'октябрь 2024'!$J$5:$J$2162,R$1)</f>
        <v>0</v>
      </c>
      <c r="S183" s="80">
        <f>SUMIFS('октябрь 2024'!$G$5:$G$2162,'октябрь 2024'!$D$5:$D$2162,$B183,'октябрь 2024'!$J$5:$J$2162,S$1)</f>
        <v>0</v>
      </c>
      <c r="T183" s="80">
        <f>SUMIFS('октябрь 2024'!$G$5:$G$2162,'октябрь 2024'!$D$5:$D$2162,$B183,'октябрь 2024'!$J$5:$J$2162,T$1)</f>
        <v>0</v>
      </c>
      <c r="U183" s="80">
        <f>SUMIFS('октябрь 2024'!$G$5:$G$2162,'октябрь 2024'!$D$5:$D$2162,$B183,'октябрь 2024'!$J$5:$J$2162,U$1)</f>
        <v>0</v>
      </c>
      <c r="V183" s="80">
        <f>SUMIFS('октябрь 2024'!$G$5:$G$2162,'октябрь 2024'!$D$5:$D$2162,$B183,'октябрь 2024'!$J$5:$J$2162,V$1)</f>
        <v>0</v>
      </c>
      <c r="W183" s="80">
        <f>SUMIFS('октябрь 2024'!$G$5:$G$2162,'октябрь 2024'!$D$5:$D$2162,$B183,'октябрь 2024'!$J$5:$J$2162,W$1)</f>
        <v>0</v>
      </c>
      <c r="X183" s="80">
        <f>SUMIFS('октябрь 2024'!$G$5:$G$2162,'октябрь 2024'!$D$5:$D$2162,$B183,'октябрь 2024'!$J$5:$J$2162,X$1)</f>
        <v>0</v>
      </c>
      <c r="Y183" s="80">
        <f>SUMIFS('октябрь 2024'!$G$5:$G$2162,'октябрь 2024'!$D$5:$D$2162,$B183,'октябрь 2024'!$J$5:$J$2162,Y$1)</f>
        <v>0</v>
      </c>
      <c r="Z183" s="80">
        <f>SUMIFS('октябрь 2024'!$G$5:$G$2162,'октябрь 2024'!$D$5:$D$2162,$B183,'октябрь 2024'!$J$5:$J$2162,Z$1)</f>
        <v>0</v>
      </c>
      <c r="AA183" s="80">
        <f>SUMIFS('октябрь 2024'!$G$5:$G$2162,'октябрь 2024'!$D$5:$D$2162,$B183,'октябрь 2024'!$J$5:$J$2162,AA$1)</f>
        <v>0</v>
      </c>
      <c r="AB183" s="80">
        <f>SUMIFS('октябрь 2024'!$G$5:$G$2162,'октябрь 2024'!$D$5:$D$2162,$B183,'октябрь 2024'!$J$5:$J$2162,AB$1)</f>
        <v>0</v>
      </c>
      <c r="AC183" s="80">
        <f>SUMIFS('октябрь 2024'!$G$5:$G$2162,'октябрь 2024'!$D$5:$D$2162,$B183,'октябрь 2024'!$J$5:$J$2162,AC$1)</f>
        <v>0</v>
      </c>
      <c r="AD183" s="80">
        <f>SUMIFS('октябрь 2024'!$G$5:$G$2162,'октябрь 2024'!$D$5:$D$2162,$B183,'октябрь 2024'!$J$5:$J$2162,AD$1)</f>
        <v>0</v>
      </c>
      <c r="AE183" s="80">
        <f>SUMIFS('октябрь 2024'!$G$5:$G$2162,'октябрь 2024'!$D$5:$D$2162,$B183,'октябрь 2024'!$J$5:$J$2162,AE$1)</f>
        <v>0</v>
      </c>
      <c r="AF183" s="80">
        <f>SUMIFS('октябрь 2024'!$G$5:$G$2162,'октябрь 2024'!$D$5:$D$2162,$B183,'октябрь 2024'!$J$5:$J$2162,AF$1)</f>
        <v>0</v>
      </c>
      <c r="AG183" s="80">
        <f>SUMIFS('октябрь 2024'!$G$5:$G$2162,'октябрь 2024'!$D$5:$D$2162,$B183,'октябрь 2024'!$J$5:$J$2162,AG$1)</f>
        <v>0</v>
      </c>
      <c r="AH183" s="80">
        <f>SUMIFS('октябрь 2024'!$G$5:$G$2162,'октябрь 2024'!$D$5:$D$2162,$B183,'октябрь 2024'!$J$5:$J$2162,AH$1)</f>
        <v>0</v>
      </c>
      <c r="AI183" s="87"/>
    </row>
    <row r="184" spans="2:35" ht="15" hidden="1" customHeight="1" x14ac:dyDescent="0.25">
      <c r="B184" s="89"/>
      <c r="C184" s="91"/>
      <c r="D184" s="80">
        <f>SUMIFS('октябрь 2024'!$G$5:$G$2162,'октябрь 2024'!$D$5:$D$2162,$B184,'октябрь 2024'!$J$5:$J$2162,D$1)</f>
        <v>0</v>
      </c>
      <c r="E184" s="80">
        <f>SUMIFS('октябрь 2024'!$G$5:$G$2162,'октябрь 2024'!$D$5:$D$2162,$B184,'октябрь 2024'!$J$5:$J$2162,E$1)</f>
        <v>0</v>
      </c>
      <c r="F184" s="80">
        <f>SUMIFS('октябрь 2024'!$G$5:$G$2162,'октябрь 2024'!$D$5:$D$2162,$B184,'октябрь 2024'!$J$5:$J$2162,F$1)</f>
        <v>0</v>
      </c>
      <c r="G184" s="80">
        <f>SUMIFS('октябрь 2024'!$G$5:$G$2162,'октябрь 2024'!$D$5:$D$2162,$B184,'октябрь 2024'!$J$5:$J$2162,G$1)</f>
        <v>0</v>
      </c>
      <c r="H184" s="80">
        <f>SUMIFS('октябрь 2024'!$G$5:$G$2162,'октябрь 2024'!$D$5:$D$2162,$B184,'октябрь 2024'!$J$5:$J$2162,H$1)</f>
        <v>0</v>
      </c>
      <c r="I184" s="80">
        <f>SUMIFS('октябрь 2024'!$G$5:$G$2162,'октябрь 2024'!$D$5:$D$2162,$B184,'октябрь 2024'!$J$5:$J$2162,I$1)</f>
        <v>0</v>
      </c>
      <c r="J184" s="80">
        <f>SUMIFS('октябрь 2024'!$G$5:$G$2162,'октябрь 2024'!$D$5:$D$2162,$B184,'октябрь 2024'!$J$5:$J$2162,J$1)</f>
        <v>0</v>
      </c>
      <c r="K184" s="80">
        <f>SUMIFS('октябрь 2024'!$G$5:$G$2162,'октябрь 2024'!$D$5:$D$2162,$B184,'октябрь 2024'!$J$5:$J$2162,K$1)</f>
        <v>0</v>
      </c>
      <c r="L184" s="80">
        <f>SUMIFS('октябрь 2024'!$G$5:$G$2162,'октябрь 2024'!$D$5:$D$2162,$B184,'октябрь 2024'!$J$5:$J$2162,L$1)</f>
        <v>0</v>
      </c>
      <c r="M184" s="80">
        <f>SUMIFS('октябрь 2024'!$G$5:$G$2162,'октябрь 2024'!$D$5:$D$2162,$B184,'октябрь 2024'!$J$5:$J$2162,M$1)</f>
        <v>0</v>
      </c>
      <c r="N184" s="80">
        <f>SUMIFS('октябрь 2024'!$G$5:$G$2162,'октябрь 2024'!$D$5:$D$2162,$B184,'октябрь 2024'!$J$5:$J$2162,N$1)</f>
        <v>0</v>
      </c>
      <c r="O184" s="80">
        <f>SUMIFS('октябрь 2024'!$G$5:$G$2162,'октябрь 2024'!$D$5:$D$2162,$B184,'октябрь 2024'!$J$5:$J$2162,O$1)</f>
        <v>0</v>
      </c>
      <c r="P184" s="80">
        <f>SUMIFS('октябрь 2024'!$G$5:$G$2162,'октябрь 2024'!$D$5:$D$2162,$B184,'октябрь 2024'!$J$5:$J$2162,P$1)</f>
        <v>0</v>
      </c>
      <c r="Q184" s="80">
        <f>SUMIFS('октябрь 2024'!$G$5:$G$2162,'октябрь 2024'!$D$5:$D$2162,$B184,'октябрь 2024'!$J$5:$J$2162,Q$1)</f>
        <v>0</v>
      </c>
      <c r="R184" s="80">
        <f>SUMIFS('октябрь 2024'!$G$5:$G$2162,'октябрь 2024'!$D$5:$D$2162,$B184,'октябрь 2024'!$J$5:$J$2162,R$1)</f>
        <v>0</v>
      </c>
      <c r="S184" s="80">
        <f>SUMIFS('октябрь 2024'!$G$5:$G$2162,'октябрь 2024'!$D$5:$D$2162,$B184,'октябрь 2024'!$J$5:$J$2162,S$1)</f>
        <v>0</v>
      </c>
      <c r="T184" s="80">
        <f>SUMIFS('октябрь 2024'!$G$5:$G$2162,'октябрь 2024'!$D$5:$D$2162,$B184,'октябрь 2024'!$J$5:$J$2162,T$1)</f>
        <v>0</v>
      </c>
      <c r="U184" s="80">
        <f>SUMIFS('октябрь 2024'!$G$5:$G$2162,'октябрь 2024'!$D$5:$D$2162,$B184,'октябрь 2024'!$J$5:$J$2162,U$1)</f>
        <v>0</v>
      </c>
      <c r="V184" s="80">
        <f>SUMIFS('октябрь 2024'!$G$5:$G$2162,'октябрь 2024'!$D$5:$D$2162,$B184,'октябрь 2024'!$J$5:$J$2162,V$1)</f>
        <v>0</v>
      </c>
      <c r="W184" s="80">
        <f>SUMIFS('октябрь 2024'!$G$5:$G$2162,'октябрь 2024'!$D$5:$D$2162,$B184,'октябрь 2024'!$J$5:$J$2162,W$1)</f>
        <v>0</v>
      </c>
      <c r="X184" s="80">
        <f>SUMIFS('октябрь 2024'!$G$5:$G$2162,'октябрь 2024'!$D$5:$D$2162,$B184,'октябрь 2024'!$J$5:$J$2162,X$1)</f>
        <v>0</v>
      </c>
      <c r="Y184" s="80">
        <f>SUMIFS('октябрь 2024'!$G$5:$G$2162,'октябрь 2024'!$D$5:$D$2162,$B184,'октябрь 2024'!$J$5:$J$2162,Y$1)</f>
        <v>0</v>
      </c>
      <c r="Z184" s="80">
        <f>SUMIFS('октябрь 2024'!$G$5:$G$2162,'октябрь 2024'!$D$5:$D$2162,$B184,'октябрь 2024'!$J$5:$J$2162,Z$1)</f>
        <v>0</v>
      </c>
      <c r="AA184" s="80">
        <f>SUMIFS('октябрь 2024'!$G$5:$G$2162,'октябрь 2024'!$D$5:$D$2162,$B184,'октябрь 2024'!$J$5:$J$2162,AA$1)</f>
        <v>0</v>
      </c>
      <c r="AB184" s="80">
        <f>SUMIFS('октябрь 2024'!$G$5:$G$2162,'октябрь 2024'!$D$5:$D$2162,$B184,'октябрь 2024'!$J$5:$J$2162,AB$1)</f>
        <v>0</v>
      </c>
      <c r="AC184" s="80">
        <f>SUMIFS('октябрь 2024'!$G$5:$G$2162,'октябрь 2024'!$D$5:$D$2162,$B184,'октябрь 2024'!$J$5:$J$2162,AC$1)</f>
        <v>0</v>
      </c>
      <c r="AD184" s="80">
        <f>SUMIFS('октябрь 2024'!$G$5:$G$2162,'октябрь 2024'!$D$5:$D$2162,$B184,'октябрь 2024'!$J$5:$J$2162,AD$1)</f>
        <v>0</v>
      </c>
      <c r="AE184" s="80">
        <f>SUMIFS('октябрь 2024'!$G$5:$G$2162,'октябрь 2024'!$D$5:$D$2162,$B184,'октябрь 2024'!$J$5:$J$2162,AE$1)</f>
        <v>0</v>
      </c>
      <c r="AF184" s="80">
        <f>SUMIFS('октябрь 2024'!$G$5:$G$2162,'октябрь 2024'!$D$5:$D$2162,$B184,'октябрь 2024'!$J$5:$J$2162,AF$1)</f>
        <v>0</v>
      </c>
      <c r="AG184" s="80">
        <f>SUMIFS('октябрь 2024'!$G$5:$G$2162,'октябрь 2024'!$D$5:$D$2162,$B184,'октябрь 2024'!$J$5:$J$2162,AG$1)</f>
        <v>0</v>
      </c>
      <c r="AH184" s="80">
        <f>SUMIFS('октябрь 2024'!$G$5:$G$2162,'октябрь 2024'!$D$5:$D$2162,$B184,'октябрь 2024'!$J$5:$J$2162,AH$1)</f>
        <v>0</v>
      </c>
      <c r="AI184" s="87"/>
    </row>
    <row r="185" spans="2:35" ht="15" hidden="1" customHeight="1" x14ac:dyDescent="0.25">
      <c r="B185" s="89"/>
      <c r="C185" s="91"/>
      <c r="D185" s="80">
        <f>SUMIFS('октябрь 2024'!$G$5:$G$2162,'октябрь 2024'!$D$5:$D$2162,$B185,'октябрь 2024'!$J$5:$J$2162,D$1)</f>
        <v>0</v>
      </c>
      <c r="E185" s="80">
        <f>SUMIFS('октябрь 2024'!$G$5:$G$2162,'октябрь 2024'!$D$5:$D$2162,$B185,'октябрь 2024'!$J$5:$J$2162,E$1)</f>
        <v>0</v>
      </c>
      <c r="F185" s="80">
        <f>SUMIFS('октябрь 2024'!$G$5:$G$2162,'октябрь 2024'!$D$5:$D$2162,$B185,'октябрь 2024'!$J$5:$J$2162,F$1)</f>
        <v>0</v>
      </c>
      <c r="G185" s="80">
        <f>SUMIFS('октябрь 2024'!$G$5:$G$2162,'октябрь 2024'!$D$5:$D$2162,$B185,'октябрь 2024'!$J$5:$J$2162,G$1)</f>
        <v>0</v>
      </c>
      <c r="H185" s="80">
        <f>SUMIFS('октябрь 2024'!$G$5:$G$2162,'октябрь 2024'!$D$5:$D$2162,$B185,'октябрь 2024'!$J$5:$J$2162,H$1)</f>
        <v>0</v>
      </c>
      <c r="I185" s="80">
        <f>SUMIFS('октябрь 2024'!$G$5:$G$2162,'октябрь 2024'!$D$5:$D$2162,$B185,'октябрь 2024'!$J$5:$J$2162,I$1)</f>
        <v>0</v>
      </c>
      <c r="J185" s="80">
        <f>SUMIFS('октябрь 2024'!$G$5:$G$2162,'октябрь 2024'!$D$5:$D$2162,$B185,'октябрь 2024'!$J$5:$J$2162,J$1)</f>
        <v>0</v>
      </c>
      <c r="K185" s="80">
        <f>SUMIFS('октябрь 2024'!$G$5:$G$2162,'октябрь 2024'!$D$5:$D$2162,$B185,'октябрь 2024'!$J$5:$J$2162,K$1)</f>
        <v>0</v>
      </c>
      <c r="L185" s="80">
        <f>SUMIFS('октябрь 2024'!$G$5:$G$2162,'октябрь 2024'!$D$5:$D$2162,$B185,'октябрь 2024'!$J$5:$J$2162,L$1)</f>
        <v>0</v>
      </c>
      <c r="M185" s="80">
        <f>SUMIFS('октябрь 2024'!$G$5:$G$2162,'октябрь 2024'!$D$5:$D$2162,$B185,'октябрь 2024'!$J$5:$J$2162,M$1)</f>
        <v>0</v>
      </c>
      <c r="N185" s="80">
        <f>SUMIFS('октябрь 2024'!$G$5:$G$2162,'октябрь 2024'!$D$5:$D$2162,$B185,'октябрь 2024'!$J$5:$J$2162,N$1)</f>
        <v>0</v>
      </c>
      <c r="O185" s="80">
        <f>SUMIFS('октябрь 2024'!$G$5:$G$2162,'октябрь 2024'!$D$5:$D$2162,$B185,'октябрь 2024'!$J$5:$J$2162,O$1)</f>
        <v>0</v>
      </c>
      <c r="P185" s="80">
        <f>SUMIFS('октябрь 2024'!$G$5:$G$2162,'октябрь 2024'!$D$5:$D$2162,$B185,'октябрь 2024'!$J$5:$J$2162,P$1)</f>
        <v>0</v>
      </c>
      <c r="Q185" s="80">
        <f>SUMIFS('октябрь 2024'!$G$5:$G$2162,'октябрь 2024'!$D$5:$D$2162,$B185,'октябрь 2024'!$J$5:$J$2162,Q$1)</f>
        <v>0</v>
      </c>
      <c r="R185" s="80">
        <f>SUMIFS('октябрь 2024'!$G$5:$G$2162,'октябрь 2024'!$D$5:$D$2162,$B185,'октябрь 2024'!$J$5:$J$2162,R$1)</f>
        <v>0</v>
      </c>
      <c r="S185" s="80">
        <f>SUMIFS('октябрь 2024'!$G$5:$G$2162,'октябрь 2024'!$D$5:$D$2162,$B185,'октябрь 2024'!$J$5:$J$2162,S$1)</f>
        <v>0</v>
      </c>
      <c r="T185" s="80">
        <f>SUMIFS('октябрь 2024'!$G$5:$G$2162,'октябрь 2024'!$D$5:$D$2162,$B185,'октябрь 2024'!$J$5:$J$2162,T$1)</f>
        <v>0</v>
      </c>
      <c r="U185" s="80">
        <f>SUMIFS('октябрь 2024'!$G$5:$G$2162,'октябрь 2024'!$D$5:$D$2162,$B185,'октябрь 2024'!$J$5:$J$2162,U$1)</f>
        <v>0</v>
      </c>
      <c r="V185" s="80">
        <f>SUMIFS('октябрь 2024'!$G$5:$G$2162,'октябрь 2024'!$D$5:$D$2162,$B185,'октябрь 2024'!$J$5:$J$2162,V$1)</f>
        <v>0</v>
      </c>
      <c r="W185" s="80">
        <f>SUMIFS('октябрь 2024'!$G$5:$G$2162,'октябрь 2024'!$D$5:$D$2162,$B185,'октябрь 2024'!$J$5:$J$2162,W$1)</f>
        <v>0</v>
      </c>
      <c r="X185" s="80">
        <f>SUMIFS('октябрь 2024'!$G$5:$G$2162,'октябрь 2024'!$D$5:$D$2162,$B185,'октябрь 2024'!$J$5:$J$2162,X$1)</f>
        <v>0</v>
      </c>
      <c r="Y185" s="80">
        <f>SUMIFS('октябрь 2024'!$G$5:$G$2162,'октябрь 2024'!$D$5:$D$2162,$B185,'октябрь 2024'!$J$5:$J$2162,Y$1)</f>
        <v>0</v>
      </c>
      <c r="Z185" s="80">
        <f>SUMIFS('октябрь 2024'!$G$5:$G$2162,'октябрь 2024'!$D$5:$D$2162,$B185,'октябрь 2024'!$J$5:$J$2162,Z$1)</f>
        <v>0</v>
      </c>
      <c r="AA185" s="80">
        <f>SUMIFS('октябрь 2024'!$G$5:$G$2162,'октябрь 2024'!$D$5:$D$2162,$B185,'октябрь 2024'!$J$5:$J$2162,AA$1)</f>
        <v>0</v>
      </c>
      <c r="AB185" s="80">
        <f>SUMIFS('октябрь 2024'!$G$5:$G$2162,'октябрь 2024'!$D$5:$D$2162,$B185,'октябрь 2024'!$J$5:$J$2162,AB$1)</f>
        <v>0</v>
      </c>
      <c r="AC185" s="80">
        <f>SUMIFS('октябрь 2024'!$G$5:$G$2162,'октябрь 2024'!$D$5:$D$2162,$B185,'октябрь 2024'!$J$5:$J$2162,AC$1)</f>
        <v>0</v>
      </c>
      <c r="AD185" s="80">
        <f>SUMIFS('октябрь 2024'!$G$5:$G$2162,'октябрь 2024'!$D$5:$D$2162,$B185,'октябрь 2024'!$J$5:$J$2162,AD$1)</f>
        <v>0</v>
      </c>
      <c r="AE185" s="80">
        <f>SUMIFS('октябрь 2024'!$G$5:$G$2162,'октябрь 2024'!$D$5:$D$2162,$B185,'октябрь 2024'!$J$5:$J$2162,AE$1)</f>
        <v>0</v>
      </c>
      <c r="AF185" s="80">
        <f>SUMIFS('октябрь 2024'!$G$5:$G$2162,'октябрь 2024'!$D$5:$D$2162,$B185,'октябрь 2024'!$J$5:$J$2162,AF$1)</f>
        <v>0</v>
      </c>
      <c r="AG185" s="80">
        <f>SUMIFS('октябрь 2024'!$G$5:$G$2162,'октябрь 2024'!$D$5:$D$2162,$B185,'октябрь 2024'!$J$5:$J$2162,AG$1)</f>
        <v>0</v>
      </c>
      <c r="AH185" s="80">
        <f>SUMIFS('октябрь 2024'!$G$5:$G$2162,'октябрь 2024'!$D$5:$D$2162,$B185,'октябрь 2024'!$J$5:$J$2162,AH$1)</f>
        <v>0</v>
      </c>
      <c r="AI185" s="87"/>
    </row>
    <row r="186" spans="2:35" ht="15" hidden="1" customHeight="1" x14ac:dyDescent="0.25">
      <c r="B186" s="89"/>
      <c r="C186" s="91"/>
      <c r="D186" s="80">
        <f>SUMIFS('октябрь 2024'!$G$5:$G$2162,'октябрь 2024'!$D$5:$D$2162,$B186,'октябрь 2024'!$J$5:$J$2162,D$1)</f>
        <v>0</v>
      </c>
      <c r="E186" s="80">
        <f>SUMIFS('октябрь 2024'!$G$5:$G$2162,'октябрь 2024'!$D$5:$D$2162,$B186,'октябрь 2024'!$J$5:$J$2162,E$1)</f>
        <v>0</v>
      </c>
      <c r="F186" s="80">
        <f>SUMIFS('октябрь 2024'!$G$5:$G$2162,'октябрь 2024'!$D$5:$D$2162,$B186,'октябрь 2024'!$J$5:$J$2162,F$1)</f>
        <v>0</v>
      </c>
      <c r="G186" s="80">
        <f>SUMIFS('октябрь 2024'!$G$5:$G$2162,'октябрь 2024'!$D$5:$D$2162,$B186,'октябрь 2024'!$J$5:$J$2162,G$1)</f>
        <v>0</v>
      </c>
      <c r="H186" s="80">
        <f>SUMIFS('октябрь 2024'!$G$5:$G$2162,'октябрь 2024'!$D$5:$D$2162,$B186,'октябрь 2024'!$J$5:$J$2162,H$1)</f>
        <v>0</v>
      </c>
      <c r="I186" s="80">
        <f>SUMIFS('октябрь 2024'!$G$5:$G$2162,'октябрь 2024'!$D$5:$D$2162,$B186,'октябрь 2024'!$J$5:$J$2162,I$1)</f>
        <v>0</v>
      </c>
      <c r="J186" s="80">
        <f>SUMIFS('октябрь 2024'!$G$5:$G$2162,'октябрь 2024'!$D$5:$D$2162,$B186,'октябрь 2024'!$J$5:$J$2162,J$1)</f>
        <v>0</v>
      </c>
      <c r="K186" s="80">
        <f>SUMIFS('октябрь 2024'!$G$5:$G$2162,'октябрь 2024'!$D$5:$D$2162,$B186,'октябрь 2024'!$J$5:$J$2162,K$1)</f>
        <v>0</v>
      </c>
      <c r="L186" s="80">
        <f>SUMIFS('октябрь 2024'!$G$5:$G$2162,'октябрь 2024'!$D$5:$D$2162,$B186,'октябрь 2024'!$J$5:$J$2162,L$1)</f>
        <v>0</v>
      </c>
      <c r="M186" s="80">
        <f>SUMIFS('октябрь 2024'!$G$5:$G$2162,'октябрь 2024'!$D$5:$D$2162,$B186,'октябрь 2024'!$J$5:$J$2162,M$1)</f>
        <v>0</v>
      </c>
      <c r="N186" s="80">
        <f>SUMIFS('октябрь 2024'!$G$5:$G$2162,'октябрь 2024'!$D$5:$D$2162,$B186,'октябрь 2024'!$J$5:$J$2162,N$1)</f>
        <v>0</v>
      </c>
      <c r="O186" s="80">
        <f>SUMIFS('октябрь 2024'!$G$5:$G$2162,'октябрь 2024'!$D$5:$D$2162,$B186,'октябрь 2024'!$J$5:$J$2162,O$1)</f>
        <v>0</v>
      </c>
      <c r="P186" s="80">
        <f>SUMIFS('октябрь 2024'!$G$5:$G$2162,'октябрь 2024'!$D$5:$D$2162,$B186,'октябрь 2024'!$J$5:$J$2162,P$1)</f>
        <v>0</v>
      </c>
      <c r="Q186" s="80">
        <f>SUMIFS('октябрь 2024'!$G$5:$G$2162,'октябрь 2024'!$D$5:$D$2162,$B186,'октябрь 2024'!$J$5:$J$2162,Q$1)</f>
        <v>0</v>
      </c>
      <c r="R186" s="80">
        <f>SUMIFS('октябрь 2024'!$G$5:$G$2162,'октябрь 2024'!$D$5:$D$2162,$B186,'октябрь 2024'!$J$5:$J$2162,R$1)</f>
        <v>0</v>
      </c>
      <c r="S186" s="80">
        <f>SUMIFS('октябрь 2024'!$G$5:$G$2162,'октябрь 2024'!$D$5:$D$2162,$B186,'октябрь 2024'!$J$5:$J$2162,S$1)</f>
        <v>0</v>
      </c>
      <c r="T186" s="80">
        <f>SUMIFS('октябрь 2024'!$G$5:$G$2162,'октябрь 2024'!$D$5:$D$2162,$B186,'октябрь 2024'!$J$5:$J$2162,T$1)</f>
        <v>0</v>
      </c>
      <c r="U186" s="80">
        <f>SUMIFS('октябрь 2024'!$G$5:$G$2162,'октябрь 2024'!$D$5:$D$2162,$B186,'октябрь 2024'!$J$5:$J$2162,U$1)</f>
        <v>0</v>
      </c>
      <c r="V186" s="80">
        <f>SUMIFS('октябрь 2024'!$G$5:$G$2162,'октябрь 2024'!$D$5:$D$2162,$B186,'октябрь 2024'!$J$5:$J$2162,V$1)</f>
        <v>0</v>
      </c>
      <c r="W186" s="80">
        <f>SUMIFS('октябрь 2024'!$G$5:$G$2162,'октябрь 2024'!$D$5:$D$2162,$B186,'октябрь 2024'!$J$5:$J$2162,W$1)</f>
        <v>0</v>
      </c>
      <c r="X186" s="80">
        <f>SUMIFS('октябрь 2024'!$G$5:$G$2162,'октябрь 2024'!$D$5:$D$2162,$B186,'октябрь 2024'!$J$5:$J$2162,X$1)</f>
        <v>0</v>
      </c>
      <c r="Y186" s="80">
        <f>SUMIFS('октябрь 2024'!$G$5:$G$2162,'октябрь 2024'!$D$5:$D$2162,$B186,'октябрь 2024'!$J$5:$J$2162,Y$1)</f>
        <v>0</v>
      </c>
      <c r="Z186" s="80">
        <f>SUMIFS('октябрь 2024'!$G$5:$G$2162,'октябрь 2024'!$D$5:$D$2162,$B186,'октябрь 2024'!$J$5:$J$2162,Z$1)</f>
        <v>0</v>
      </c>
      <c r="AA186" s="80">
        <f>SUMIFS('октябрь 2024'!$G$5:$G$2162,'октябрь 2024'!$D$5:$D$2162,$B186,'октябрь 2024'!$J$5:$J$2162,AA$1)</f>
        <v>0</v>
      </c>
      <c r="AB186" s="80">
        <f>SUMIFS('октябрь 2024'!$G$5:$G$2162,'октябрь 2024'!$D$5:$D$2162,$B186,'октябрь 2024'!$J$5:$J$2162,AB$1)</f>
        <v>0</v>
      </c>
      <c r="AC186" s="80">
        <f>SUMIFS('октябрь 2024'!$G$5:$G$2162,'октябрь 2024'!$D$5:$D$2162,$B186,'октябрь 2024'!$J$5:$J$2162,AC$1)</f>
        <v>0</v>
      </c>
      <c r="AD186" s="80">
        <f>SUMIFS('октябрь 2024'!$G$5:$G$2162,'октябрь 2024'!$D$5:$D$2162,$B186,'октябрь 2024'!$J$5:$J$2162,AD$1)</f>
        <v>0</v>
      </c>
      <c r="AE186" s="80">
        <f>SUMIFS('октябрь 2024'!$G$5:$G$2162,'октябрь 2024'!$D$5:$D$2162,$B186,'октябрь 2024'!$J$5:$J$2162,AE$1)</f>
        <v>0</v>
      </c>
      <c r="AF186" s="80">
        <f>SUMIFS('октябрь 2024'!$G$5:$G$2162,'октябрь 2024'!$D$5:$D$2162,$B186,'октябрь 2024'!$J$5:$J$2162,AF$1)</f>
        <v>0</v>
      </c>
      <c r="AG186" s="80">
        <f>SUMIFS('октябрь 2024'!$G$5:$G$2162,'октябрь 2024'!$D$5:$D$2162,$B186,'октябрь 2024'!$J$5:$J$2162,AG$1)</f>
        <v>0</v>
      </c>
      <c r="AH186" s="80">
        <f>SUMIFS('октябрь 2024'!$G$5:$G$2162,'октябрь 2024'!$D$5:$D$2162,$B186,'октябрь 2024'!$J$5:$J$2162,AH$1)</f>
        <v>0</v>
      </c>
      <c r="AI186" s="87"/>
    </row>
    <row r="187" spans="2:35" ht="15" hidden="1" customHeight="1" x14ac:dyDescent="0.25">
      <c r="B187" s="89"/>
      <c r="C187" s="88"/>
      <c r="D187" s="80">
        <f>SUMIFS('октябрь 2024'!$G$5:$G$2162,'октябрь 2024'!$D$5:$D$2162,$B187,'октябрь 2024'!$J$5:$J$2162,D$1)</f>
        <v>0</v>
      </c>
      <c r="E187" s="80">
        <f>SUMIFS('октябрь 2024'!$G$5:$G$2162,'октябрь 2024'!$D$5:$D$2162,$B187,'октябрь 2024'!$J$5:$J$2162,E$1)</f>
        <v>0</v>
      </c>
      <c r="F187" s="80">
        <f>SUMIFS('октябрь 2024'!$G$5:$G$2162,'октябрь 2024'!$D$5:$D$2162,$B187,'октябрь 2024'!$J$5:$J$2162,F$1)</f>
        <v>0</v>
      </c>
      <c r="G187" s="80">
        <f>SUMIFS('октябрь 2024'!$G$5:$G$2162,'октябрь 2024'!$D$5:$D$2162,$B187,'октябрь 2024'!$J$5:$J$2162,G$1)</f>
        <v>0</v>
      </c>
      <c r="H187" s="80">
        <f>SUMIFS('октябрь 2024'!$G$5:$G$2162,'октябрь 2024'!$D$5:$D$2162,$B187,'октябрь 2024'!$J$5:$J$2162,H$1)</f>
        <v>0</v>
      </c>
      <c r="I187" s="80">
        <f>SUMIFS('октябрь 2024'!$G$5:$G$2162,'октябрь 2024'!$D$5:$D$2162,$B187,'октябрь 2024'!$J$5:$J$2162,I$1)</f>
        <v>0</v>
      </c>
      <c r="J187" s="80">
        <f>SUMIFS('октябрь 2024'!$G$5:$G$2162,'октябрь 2024'!$D$5:$D$2162,$B187,'октябрь 2024'!$J$5:$J$2162,J$1)</f>
        <v>0</v>
      </c>
      <c r="K187" s="80">
        <f>SUMIFS('октябрь 2024'!$G$5:$G$2162,'октябрь 2024'!$D$5:$D$2162,$B187,'октябрь 2024'!$J$5:$J$2162,K$1)</f>
        <v>0</v>
      </c>
      <c r="L187" s="80">
        <f>SUMIFS('октябрь 2024'!$G$5:$G$2162,'октябрь 2024'!$D$5:$D$2162,$B187,'октябрь 2024'!$J$5:$J$2162,L$1)</f>
        <v>0</v>
      </c>
      <c r="M187" s="80">
        <f>SUMIFS('октябрь 2024'!$G$5:$G$2162,'октябрь 2024'!$D$5:$D$2162,$B187,'октябрь 2024'!$J$5:$J$2162,M$1)</f>
        <v>0</v>
      </c>
      <c r="N187" s="80">
        <f>SUMIFS('октябрь 2024'!$G$5:$G$2162,'октябрь 2024'!$D$5:$D$2162,$B187,'октябрь 2024'!$J$5:$J$2162,N$1)</f>
        <v>0</v>
      </c>
      <c r="O187" s="80">
        <f>SUMIFS('октябрь 2024'!$G$5:$G$2162,'октябрь 2024'!$D$5:$D$2162,$B187,'октябрь 2024'!$J$5:$J$2162,O$1)</f>
        <v>0</v>
      </c>
      <c r="P187" s="80">
        <f>SUMIFS('октябрь 2024'!$G$5:$G$2162,'октябрь 2024'!$D$5:$D$2162,$B187,'октябрь 2024'!$J$5:$J$2162,P$1)</f>
        <v>0</v>
      </c>
      <c r="Q187" s="80">
        <f>SUMIFS('октябрь 2024'!$G$5:$G$2162,'октябрь 2024'!$D$5:$D$2162,$B187,'октябрь 2024'!$J$5:$J$2162,Q$1)</f>
        <v>0</v>
      </c>
      <c r="R187" s="80">
        <f>SUMIFS('октябрь 2024'!$G$5:$G$2162,'октябрь 2024'!$D$5:$D$2162,$B187,'октябрь 2024'!$J$5:$J$2162,R$1)</f>
        <v>0</v>
      </c>
      <c r="S187" s="80">
        <f>SUMIFS('октябрь 2024'!$G$5:$G$2162,'октябрь 2024'!$D$5:$D$2162,$B187,'октябрь 2024'!$J$5:$J$2162,S$1)</f>
        <v>0</v>
      </c>
      <c r="T187" s="80">
        <f>SUMIFS('октябрь 2024'!$G$5:$G$2162,'октябрь 2024'!$D$5:$D$2162,$B187,'октябрь 2024'!$J$5:$J$2162,T$1)</f>
        <v>0</v>
      </c>
      <c r="U187" s="80">
        <f>SUMIFS('октябрь 2024'!$G$5:$G$2162,'октябрь 2024'!$D$5:$D$2162,$B187,'октябрь 2024'!$J$5:$J$2162,U$1)</f>
        <v>0</v>
      </c>
      <c r="V187" s="80">
        <f>SUMIFS('октябрь 2024'!$G$5:$G$2162,'октябрь 2024'!$D$5:$D$2162,$B187,'октябрь 2024'!$J$5:$J$2162,V$1)</f>
        <v>0</v>
      </c>
      <c r="W187" s="80">
        <f>SUMIFS('октябрь 2024'!$G$5:$G$2162,'октябрь 2024'!$D$5:$D$2162,$B187,'октябрь 2024'!$J$5:$J$2162,W$1)</f>
        <v>0</v>
      </c>
      <c r="X187" s="80">
        <f>SUMIFS('октябрь 2024'!$G$5:$G$2162,'октябрь 2024'!$D$5:$D$2162,$B187,'октябрь 2024'!$J$5:$J$2162,X$1)</f>
        <v>0</v>
      </c>
      <c r="Y187" s="80">
        <f>SUMIFS('октябрь 2024'!$G$5:$G$2162,'октябрь 2024'!$D$5:$D$2162,$B187,'октябрь 2024'!$J$5:$J$2162,Y$1)</f>
        <v>0</v>
      </c>
      <c r="Z187" s="80">
        <f>SUMIFS('октябрь 2024'!$G$5:$G$2162,'октябрь 2024'!$D$5:$D$2162,$B187,'октябрь 2024'!$J$5:$J$2162,Z$1)</f>
        <v>0</v>
      </c>
      <c r="AA187" s="80">
        <f>SUMIFS('октябрь 2024'!$G$5:$G$2162,'октябрь 2024'!$D$5:$D$2162,$B187,'октябрь 2024'!$J$5:$J$2162,AA$1)</f>
        <v>0</v>
      </c>
      <c r="AB187" s="80">
        <f>SUMIFS('октябрь 2024'!$G$5:$G$2162,'октябрь 2024'!$D$5:$D$2162,$B187,'октябрь 2024'!$J$5:$J$2162,AB$1)</f>
        <v>0</v>
      </c>
      <c r="AC187" s="80">
        <f>SUMIFS('октябрь 2024'!$G$5:$G$2162,'октябрь 2024'!$D$5:$D$2162,$B187,'октябрь 2024'!$J$5:$J$2162,AC$1)</f>
        <v>0</v>
      </c>
      <c r="AD187" s="80">
        <f>SUMIFS('октябрь 2024'!$G$5:$G$2162,'октябрь 2024'!$D$5:$D$2162,$B187,'октябрь 2024'!$J$5:$J$2162,AD$1)</f>
        <v>0</v>
      </c>
      <c r="AE187" s="80">
        <f>SUMIFS('октябрь 2024'!$G$5:$G$2162,'октябрь 2024'!$D$5:$D$2162,$B187,'октябрь 2024'!$J$5:$J$2162,AE$1)</f>
        <v>0</v>
      </c>
      <c r="AF187" s="80">
        <f>SUMIFS('октябрь 2024'!$G$5:$G$2162,'октябрь 2024'!$D$5:$D$2162,$B187,'октябрь 2024'!$J$5:$J$2162,AF$1)</f>
        <v>0</v>
      </c>
      <c r="AG187" s="80">
        <f>SUMIFS('октябрь 2024'!$G$5:$G$2162,'октябрь 2024'!$D$5:$D$2162,$B187,'октябрь 2024'!$J$5:$J$2162,AG$1)</f>
        <v>0</v>
      </c>
      <c r="AH187" s="80">
        <f>SUMIFS('октябрь 2024'!$G$5:$G$2162,'октябрь 2024'!$D$5:$D$2162,$B187,'октябрь 2024'!$J$5:$J$2162,AH$1)</f>
        <v>0</v>
      </c>
      <c r="AI187" s="87"/>
    </row>
    <row r="188" spans="2:35" ht="15" hidden="1" customHeight="1" x14ac:dyDescent="0.25">
      <c r="B188" s="89"/>
      <c r="C188" s="88"/>
      <c r="D188" s="80">
        <f>SUMIFS('октябрь 2024'!$G$5:$G$2162,'октябрь 2024'!$D$5:$D$2162,$B188,'октябрь 2024'!$J$5:$J$2162,D$1)</f>
        <v>0</v>
      </c>
      <c r="E188" s="80">
        <f>SUMIFS('октябрь 2024'!$G$5:$G$2162,'октябрь 2024'!$D$5:$D$2162,$B188,'октябрь 2024'!$J$5:$J$2162,E$1)</f>
        <v>0</v>
      </c>
      <c r="F188" s="80">
        <f>SUMIFS('октябрь 2024'!$G$5:$G$2162,'октябрь 2024'!$D$5:$D$2162,$B188,'октябрь 2024'!$J$5:$J$2162,F$1)</f>
        <v>0</v>
      </c>
      <c r="G188" s="80">
        <f>SUMIFS('октябрь 2024'!$G$5:$G$2162,'октябрь 2024'!$D$5:$D$2162,$B188,'октябрь 2024'!$J$5:$J$2162,G$1)</f>
        <v>0</v>
      </c>
      <c r="H188" s="80">
        <f>SUMIFS('октябрь 2024'!$G$5:$G$2162,'октябрь 2024'!$D$5:$D$2162,$B188,'октябрь 2024'!$J$5:$J$2162,H$1)</f>
        <v>0</v>
      </c>
      <c r="I188" s="80">
        <f>SUMIFS('октябрь 2024'!$G$5:$G$2162,'октябрь 2024'!$D$5:$D$2162,$B188,'октябрь 2024'!$J$5:$J$2162,I$1)</f>
        <v>0</v>
      </c>
      <c r="J188" s="80">
        <f>SUMIFS('октябрь 2024'!$G$5:$G$2162,'октябрь 2024'!$D$5:$D$2162,$B188,'октябрь 2024'!$J$5:$J$2162,J$1)</f>
        <v>0</v>
      </c>
      <c r="K188" s="80">
        <f>SUMIFS('октябрь 2024'!$G$5:$G$2162,'октябрь 2024'!$D$5:$D$2162,$B188,'октябрь 2024'!$J$5:$J$2162,K$1)</f>
        <v>0</v>
      </c>
      <c r="L188" s="80">
        <f>SUMIFS('октябрь 2024'!$G$5:$G$2162,'октябрь 2024'!$D$5:$D$2162,$B188,'октябрь 2024'!$J$5:$J$2162,L$1)</f>
        <v>0</v>
      </c>
      <c r="M188" s="80">
        <f>SUMIFS('октябрь 2024'!$G$5:$G$2162,'октябрь 2024'!$D$5:$D$2162,$B188,'октябрь 2024'!$J$5:$J$2162,M$1)</f>
        <v>0</v>
      </c>
      <c r="N188" s="80">
        <f>SUMIFS('октябрь 2024'!$G$5:$G$2162,'октябрь 2024'!$D$5:$D$2162,$B188,'октябрь 2024'!$J$5:$J$2162,N$1)</f>
        <v>0</v>
      </c>
      <c r="O188" s="80">
        <f>SUMIFS('октябрь 2024'!$G$5:$G$2162,'октябрь 2024'!$D$5:$D$2162,$B188,'октябрь 2024'!$J$5:$J$2162,O$1)</f>
        <v>0</v>
      </c>
      <c r="P188" s="80">
        <f>SUMIFS('октябрь 2024'!$G$5:$G$2162,'октябрь 2024'!$D$5:$D$2162,$B188,'октябрь 2024'!$J$5:$J$2162,P$1)</f>
        <v>0</v>
      </c>
      <c r="Q188" s="80">
        <f>SUMIFS('октябрь 2024'!$G$5:$G$2162,'октябрь 2024'!$D$5:$D$2162,$B188,'октябрь 2024'!$J$5:$J$2162,Q$1)</f>
        <v>0</v>
      </c>
      <c r="R188" s="80">
        <f>SUMIFS('октябрь 2024'!$G$5:$G$2162,'октябрь 2024'!$D$5:$D$2162,$B188,'октябрь 2024'!$J$5:$J$2162,R$1)</f>
        <v>0</v>
      </c>
      <c r="S188" s="80">
        <f>SUMIFS('октябрь 2024'!$G$5:$G$2162,'октябрь 2024'!$D$5:$D$2162,$B188,'октябрь 2024'!$J$5:$J$2162,S$1)</f>
        <v>0</v>
      </c>
      <c r="T188" s="80">
        <f>SUMIFS('октябрь 2024'!$G$5:$G$2162,'октябрь 2024'!$D$5:$D$2162,$B188,'октябрь 2024'!$J$5:$J$2162,T$1)</f>
        <v>0</v>
      </c>
      <c r="U188" s="80">
        <f>SUMIFS('октябрь 2024'!$G$5:$G$2162,'октябрь 2024'!$D$5:$D$2162,$B188,'октябрь 2024'!$J$5:$J$2162,U$1)</f>
        <v>0</v>
      </c>
      <c r="V188" s="80">
        <f>SUMIFS('октябрь 2024'!$G$5:$G$2162,'октябрь 2024'!$D$5:$D$2162,$B188,'октябрь 2024'!$J$5:$J$2162,V$1)</f>
        <v>0</v>
      </c>
      <c r="W188" s="80">
        <f>SUMIFS('октябрь 2024'!$G$5:$G$2162,'октябрь 2024'!$D$5:$D$2162,$B188,'октябрь 2024'!$J$5:$J$2162,W$1)</f>
        <v>0</v>
      </c>
      <c r="X188" s="80">
        <f>SUMIFS('октябрь 2024'!$G$5:$G$2162,'октябрь 2024'!$D$5:$D$2162,$B188,'октябрь 2024'!$J$5:$J$2162,X$1)</f>
        <v>0</v>
      </c>
      <c r="Y188" s="80">
        <f>SUMIFS('октябрь 2024'!$G$5:$G$2162,'октябрь 2024'!$D$5:$D$2162,$B188,'октябрь 2024'!$J$5:$J$2162,Y$1)</f>
        <v>0</v>
      </c>
      <c r="Z188" s="80">
        <f>SUMIFS('октябрь 2024'!$G$5:$G$2162,'октябрь 2024'!$D$5:$D$2162,$B188,'октябрь 2024'!$J$5:$J$2162,Z$1)</f>
        <v>0</v>
      </c>
      <c r="AA188" s="80">
        <f>SUMIFS('октябрь 2024'!$G$5:$G$2162,'октябрь 2024'!$D$5:$D$2162,$B188,'октябрь 2024'!$J$5:$J$2162,AA$1)</f>
        <v>0</v>
      </c>
      <c r="AB188" s="80">
        <f>SUMIFS('октябрь 2024'!$G$5:$G$2162,'октябрь 2024'!$D$5:$D$2162,$B188,'октябрь 2024'!$J$5:$J$2162,AB$1)</f>
        <v>0</v>
      </c>
      <c r="AC188" s="80">
        <f>SUMIFS('октябрь 2024'!$G$5:$G$2162,'октябрь 2024'!$D$5:$D$2162,$B188,'октябрь 2024'!$J$5:$J$2162,AC$1)</f>
        <v>0</v>
      </c>
      <c r="AD188" s="80">
        <f>SUMIFS('октябрь 2024'!$G$5:$G$2162,'октябрь 2024'!$D$5:$D$2162,$B188,'октябрь 2024'!$J$5:$J$2162,AD$1)</f>
        <v>0</v>
      </c>
      <c r="AE188" s="80">
        <f>SUMIFS('октябрь 2024'!$G$5:$G$2162,'октябрь 2024'!$D$5:$D$2162,$B188,'октябрь 2024'!$J$5:$J$2162,AE$1)</f>
        <v>0</v>
      </c>
      <c r="AF188" s="80">
        <f>SUMIFS('октябрь 2024'!$G$5:$G$2162,'октябрь 2024'!$D$5:$D$2162,$B188,'октябрь 2024'!$J$5:$J$2162,AF$1)</f>
        <v>0</v>
      </c>
      <c r="AG188" s="80">
        <f>SUMIFS('октябрь 2024'!$G$5:$G$2162,'октябрь 2024'!$D$5:$D$2162,$B188,'октябрь 2024'!$J$5:$J$2162,AG$1)</f>
        <v>0</v>
      </c>
      <c r="AH188" s="80">
        <f>SUMIFS('октябрь 2024'!$G$5:$G$2162,'октябрь 2024'!$D$5:$D$2162,$B188,'октябрь 2024'!$J$5:$J$2162,AH$1)</f>
        <v>0</v>
      </c>
      <c r="AI188" s="87"/>
    </row>
    <row r="189" spans="2:35" ht="15" hidden="1" customHeight="1" x14ac:dyDescent="0.25">
      <c r="B189" s="89"/>
      <c r="C189" s="88"/>
      <c r="D189" s="80">
        <f>SUMIFS('октябрь 2024'!$G$5:$G$2162,'октябрь 2024'!$D$5:$D$2162,$B189,'октябрь 2024'!$J$5:$J$2162,D$1)</f>
        <v>0</v>
      </c>
      <c r="E189" s="80">
        <f>SUMIFS('октябрь 2024'!$G$5:$G$2162,'октябрь 2024'!$D$5:$D$2162,$B189,'октябрь 2024'!$J$5:$J$2162,E$1)</f>
        <v>0</v>
      </c>
      <c r="F189" s="80">
        <f>SUMIFS('октябрь 2024'!$G$5:$G$2162,'октябрь 2024'!$D$5:$D$2162,$B189,'октябрь 2024'!$J$5:$J$2162,F$1)</f>
        <v>0</v>
      </c>
      <c r="G189" s="80">
        <f>SUMIFS('октябрь 2024'!$G$5:$G$2162,'октябрь 2024'!$D$5:$D$2162,$B189,'октябрь 2024'!$J$5:$J$2162,G$1)</f>
        <v>0</v>
      </c>
      <c r="H189" s="80">
        <f>SUMIFS('октябрь 2024'!$G$5:$G$2162,'октябрь 2024'!$D$5:$D$2162,$B189,'октябрь 2024'!$J$5:$J$2162,H$1)</f>
        <v>0</v>
      </c>
      <c r="I189" s="80">
        <f>SUMIFS('октябрь 2024'!$G$5:$G$2162,'октябрь 2024'!$D$5:$D$2162,$B189,'октябрь 2024'!$J$5:$J$2162,I$1)</f>
        <v>0</v>
      </c>
      <c r="J189" s="80">
        <f>SUMIFS('октябрь 2024'!$G$5:$G$2162,'октябрь 2024'!$D$5:$D$2162,$B189,'октябрь 2024'!$J$5:$J$2162,J$1)</f>
        <v>0</v>
      </c>
      <c r="K189" s="80">
        <f>SUMIFS('октябрь 2024'!$G$5:$G$2162,'октябрь 2024'!$D$5:$D$2162,$B189,'октябрь 2024'!$J$5:$J$2162,K$1)</f>
        <v>0</v>
      </c>
      <c r="L189" s="80">
        <f>SUMIFS('октябрь 2024'!$G$5:$G$2162,'октябрь 2024'!$D$5:$D$2162,$B189,'октябрь 2024'!$J$5:$J$2162,L$1)</f>
        <v>0</v>
      </c>
      <c r="M189" s="80">
        <f>SUMIFS('октябрь 2024'!$G$5:$G$2162,'октябрь 2024'!$D$5:$D$2162,$B189,'октябрь 2024'!$J$5:$J$2162,M$1)</f>
        <v>0</v>
      </c>
      <c r="N189" s="80">
        <f>SUMIFS('октябрь 2024'!$G$5:$G$2162,'октябрь 2024'!$D$5:$D$2162,$B189,'октябрь 2024'!$J$5:$J$2162,N$1)</f>
        <v>0</v>
      </c>
      <c r="O189" s="80">
        <f>SUMIFS('октябрь 2024'!$G$5:$G$2162,'октябрь 2024'!$D$5:$D$2162,$B189,'октябрь 2024'!$J$5:$J$2162,O$1)</f>
        <v>0</v>
      </c>
      <c r="P189" s="80">
        <f>SUMIFS('октябрь 2024'!$G$5:$G$2162,'октябрь 2024'!$D$5:$D$2162,$B189,'октябрь 2024'!$J$5:$J$2162,P$1)</f>
        <v>0</v>
      </c>
      <c r="Q189" s="80">
        <f>SUMIFS('октябрь 2024'!$G$5:$G$2162,'октябрь 2024'!$D$5:$D$2162,$B189,'октябрь 2024'!$J$5:$J$2162,Q$1)</f>
        <v>0</v>
      </c>
      <c r="R189" s="80">
        <f>SUMIFS('октябрь 2024'!$G$5:$G$2162,'октябрь 2024'!$D$5:$D$2162,$B189,'октябрь 2024'!$J$5:$J$2162,R$1)</f>
        <v>0</v>
      </c>
      <c r="S189" s="80">
        <f>SUMIFS('октябрь 2024'!$G$5:$G$2162,'октябрь 2024'!$D$5:$D$2162,$B189,'октябрь 2024'!$J$5:$J$2162,S$1)</f>
        <v>0</v>
      </c>
      <c r="T189" s="80">
        <f>SUMIFS('октябрь 2024'!$G$5:$G$2162,'октябрь 2024'!$D$5:$D$2162,$B189,'октябрь 2024'!$J$5:$J$2162,T$1)</f>
        <v>0</v>
      </c>
      <c r="U189" s="80">
        <f>SUMIFS('октябрь 2024'!$G$5:$G$2162,'октябрь 2024'!$D$5:$D$2162,$B189,'октябрь 2024'!$J$5:$J$2162,U$1)</f>
        <v>0</v>
      </c>
      <c r="V189" s="80">
        <f>SUMIFS('октябрь 2024'!$G$5:$G$2162,'октябрь 2024'!$D$5:$D$2162,$B189,'октябрь 2024'!$J$5:$J$2162,V$1)</f>
        <v>0</v>
      </c>
      <c r="W189" s="80">
        <f>SUMIFS('октябрь 2024'!$G$5:$G$2162,'октябрь 2024'!$D$5:$D$2162,$B189,'октябрь 2024'!$J$5:$J$2162,W$1)</f>
        <v>0</v>
      </c>
      <c r="X189" s="80">
        <f>SUMIFS('октябрь 2024'!$G$5:$G$2162,'октябрь 2024'!$D$5:$D$2162,$B189,'октябрь 2024'!$J$5:$J$2162,X$1)</f>
        <v>0</v>
      </c>
      <c r="Y189" s="80">
        <f>SUMIFS('октябрь 2024'!$G$5:$G$2162,'октябрь 2024'!$D$5:$D$2162,$B189,'октябрь 2024'!$J$5:$J$2162,Y$1)</f>
        <v>0</v>
      </c>
      <c r="Z189" s="80">
        <f>SUMIFS('октябрь 2024'!$G$5:$G$2162,'октябрь 2024'!$D$5:$D$2162,$B189,'октябрь 2024'!$J$5:$J$2162,Z$1)</f>
        <v>0</v>
      </c>
      <c r="AA189" s="80">
        <f>SUMIFS('октябрь 2024'!$G$5:$G$2162,'октябрь 2024'!$D$5:$D$2162,$B189,'октябрь 2024'!$J$5:$J$2162,AA$1)</f>
        <v>0</v>
      </c>
      <c r="AB189" s="80">
        <f>SUMIFS('октябрь 2024'!$G$5:$G$2162,'октябрь 2024'!$D$5:$D$2162,$B189,'октябрь 2024'!$J$5:$J$2162,AB$1)</f>
        <v>0</v>
      </c>
      <c r="AC189" s="80">
        <f>SUMIFS('октябрь 2024'!$G$5:$G$2162,'октябрь 2024'!$D$5:$D$2162,$B189,'октябрь 2024'!$J$5:$J$2162,AC$1)</f>
        <v>0</v>
      </c>
      <c r="AD189" s="80">
        <f>SUMIFS('октябрь 2024'!$G$5:$G$2162,'октябрь 2024'!$D$5:$D$2162,$B189,'октябрь 2024'!$J$5:$J$2162,AD$1)</f>
        <v>0</v>
      </c>
      <c r="AE189" s="80">
        <f>SUMIFS('октябрь 2024'!$G$5:$G$2162,'октябрь 2024'!$D$5:$D$2162,$B189,'октябрь 2024'!$J$5:$J$2162,AE$1)</f>
        <v>0</v>
      </c>
      <c r="AF189" s="80">
        <f>SUMIFS('октябрь 2024'!$G$5:$G$2162,'октябрь 2024'!$D$5:$D$2162,$B189,'октябрь 2024'!$J$5:$J$2162,AF$1)</f>
        <v>0</v>
      </c>
      <c r="AG189" s="80">
        <f>SUMIFS('октябрь 2024'!$G$5:$G$2162,'октябрь 2024'!$D$5:$D$2162,$B189,'октябрь 2024'!$J$5:$J$2162,AG$1)</f>
        <v>0</v>
      </c>
      <c r="AH189" s="80">
        <f>SUMIFS('октябрь 2024'!$G$5:$G$2162,'октябрь 2024'!$D$5:$D$2162,$B189,'октябрь 2024'!$J$5:$J$2162,AH$1)</f>
        <v>0</v>
      </c>
      <c r="AI189" s="87"/>
    </row>
    <row r="190" spans="2:35" ht="15" hidden="1" customHeight="1" x14ac:dyDescent="0.25">
      <c r="B190" s="89"/>
      <c r="C190" s="88"/>
      <c r="D190" s="80">
        <f>SUMIFS('октябрь 2024'!$G$5:$G$2162,'октябрь 2024'!$D$5:$D$2162,$B190,'октябрь 2024'!$J$5:$J$2162,D$1)</f>
        <v>0</v>
      </c>
      <c r="E190" s="80">
        <f>SUMIFS('октябрь 2024'!$G$5:$G$2162,'октябрь 2024'!$D$5:$D$2162,$B190,'октябрь 2024'!$J$5:$J$2162,E$1)</f>
        <v>0</v>
      </c>
      <c r="F190" s="80">
        <f>SUMIFS('октябрь 2024'!$G$5:$G$2162,'октябрь 2024'!$D$5:$D$2162,$B190,'октябрь 2024'!$J$5:$J$2162,F$1)</f>
        <v>0</v>
      </c>
      <c r="G190" s="80">
        <f>SUMIFS('октябрь 2024'!$G$5:$G$2162,'октябрь 2024'!$D$5:$D$2162,$B190,'октябрь 2024'!$J$5:$J$2162,G$1)</f>
        <v>0</v>
      </c>
      <c r="H190" s="80">
        <f>SUMIFS('октябрь 2024'!$G$5:$G$2162,'октябрь 2024'!$D$5:$D$2162,$B190,'октябрь 2024'!$J$5:$J$2162,H$1)</f>
        <v>0</v>
      </c>
      <c r="I190" s="80">
        <f>SUMIFS('октябрь 2024'!$G$5:$G$2162,'октябрь 2024'!$D$5:$D$2162,$B190,'октябрь 2024'!$J$5:$J$2162,I$1)</f>
        <v>0</v>
      </c>
      <c r="J190" s="80">
        <f>SUMIFS('октябрь 2024'!$G$5:$G$2162,'октябрь 2024'!$D$5:$D$2162,$B190,'октябрь 2024'!$J$5:$J$2162,J$1)</f>
        <v>0</v>
      </c>
      <c r="K190" s="80">
        <f>SUMIFS('октябрь 2024'!$G$5:$G$2162,'октябрь 2024'!$D$5:$D$2162,$B190,'октябрь 2024'!$J$5:$J$2162,K$1)</f>
        <v>0</v>
      </c>
      <c r="L190" s="80">
        <f>SUMIFS('октябрь 2024'!$G$5:$G$2162,'октябрь 2024'!$D$5:$D$2162,$B190,'октябрь 2024'!$J$5:$J$2162,L$1)</f>
        <v>0</v>
      </c>
      <c r="M190" s="80">
        <f>SUMIFS('октябрь 2024'!$G$5:$G$2162,'октябрь 2024'!$D$5:$D$2162,$B190,'октябрь 2024'!$J$5:$J$2162,M$1)</f>
        <v>0</v>
      </c>
      <c r="N190" s="80">
        <f>SUMIFS('октябрь 2024'!$G$5:$G$2162,'октябрь 2024'!$D$5:$D$2162,$B190,'октябрь 2024'!$J$5:$J$2162,N$1)</f>
        <v>0</v>
      </c>
      <c r="O190" s="80">
        <f>SUMIFS('октябрь 2024'!$G$5:$G$2162,'октябрь 2024'!$D$5:$D$2162,$B190,'октябрь 2024'!$J$5:$J$2162,O$1)</f>
        <v>0</v>
      </c>
      <c r="P190" s="80">
        <f>SUMIFS('октябрь 2024'!$G$5:$G$2162,'октябрь 2024'!$D$5:$D$2162,$B190,'октябрь 2024'!$J$5:$J$2162,P$1)</f>
        <v>0</v>
      </c>
      <c r="Q190" s="80">
        <f>SUMIFS('октябрь 2024'!$G$5:$G$2162,'октябрь 2024'!$D$5:$D$2162,$B190,'октябрь 2024'!$J$5:$J$2162,Q$1)</f>
        <v>0</v>
      </c>
      <c r="R190" s="80">
        <f>SUMIFS('октябрь 2024'!$G$5:$G$2162,'октябрь 2024'!$D$5:$D$2162,$B190,'октябрь 2024'!$J$5:$J$2162,R$1)</f>
        <v>0</v>
      </c>
      <c r="S190" s="80">
        <f>SUMIFS('октябрь 2024'!$G$5:$G$2162,'октябрь 2024'!$D$5:$D$2162,$B190,'октябрь 2024'!$J$5:$J$2162,S$1)</f>
        <v>0</v>
      </c>
      <c r="T190" s="80">
        <f>SUMIFS('октябрь 2024'!$G$5:$G$2162,'октябрь 2024'!$D$5:$D$2162,$B190,'октябрь 2024'!$J$5:$J$2162,T$1)</f>
        <v>0</v>
      </c>
      <c r="U190" s="80">
        <f>SUMIFS('октябрь 2024'!$G$5:$G$2162,'октябрь 2024'!$D$5:$D$2162,$B190,'октябрь 2024'!$J$5:$J$2162,U$1)</f>
        <v>0</v>
      </c>
      <c r="V190" s="80">
        <f>SUMIFS('октябрь 2024'!$G$5:$G$2162,'октябрь 2024'!$D$5:$D$2162,$B190,'октябрь 2024'!$J$5:$J$2162,V$1)</f>
        <v>0</v>
      </c>
      <c r="W190" s="80">
        <f>SUMIFS('октябрь 2024'!$G$5:$G$2162,'октябрь 2024'!$D$5:$D$2162,$B190,'октябрь 2024'!$J$5:$J$2162,W$1)</f>
        <v>0</v>
      </c>
      <c r="X190" s="80">
        <f>SUMIFS('октябрь 2024'!$G$5:$G$2162,'октябрь 2024'!$D$5:$D$2162,$B190,'октябрь 2024'!$J$5:$J$2162,X$1)</f>
        <v>0</v>
      </c>
      <c r="Y190" s="80">
        <f>SUMIFS('октябрь 2024'!$G$5:$G$2162,'октябрь 2024'!$D$5:$D$2162,$B190,'октябрь 2024'!$J$5:$J$2162,Y$1)</f>
        <v>0</v>
      </c>
      <c r="Z190" s="80">
        <f>SUMIFS('октябрь 2024'!$G$5:$G$2162,'октябрь 2024'!$D$5:$D$2162,$B190,'октябрь 2024'!$J$5:$J$2162,Z$1)</f>
        <v>0</v>
      </c>
      <c r="AA190" s="80">
        <f>SUMIFS('октябрь 2024'!$G$5:$G$2162,'октябрь 2024'!$D$5:$D$2162,$B190,'октябрь 2024'!$J$5:$J$2162,AA$1)</f>
        <v>0</v>
      </c>
      <c r="AB190" s="80">
        <f>SUMIFS('октябрь 2024'!$G$5:$G$2162,'октябрь 2024'!$D$5:$D$2162,$B190,'октябрь 2024'!$J$5:$J$2162,AB$1)</f>
        <v>0</v>
      </c>
      <c r="AC190" s="80">
        <f>SUMIFS('октябрь 2024'!$G$5:$G$2162,'октябрь 2024'!$D$5:$D$2162,$B190,'октябрь 2024'!$J$5:$J$2162,AC$1)</f>
        <v>0</v>
      </c>
      <c r="AD190" s="80">
        <f>SUMIFS('октябрь 2024'!$G$5:$G$2162,'октябрь 2024'!$D$5:$D$2162,$B190,'октябрь 2024'!$J$5:$J$2162,AD$1)</f>
        <v>0</v>
      </c>
      <c r="AE190" s="80">
        <f>SUMIFS('октябрь 2024'!$G$5:$G$2162,'октябрь 2024'!$D$5:$D$2162,$B190,'октябрь 2024'!$J$5:$J$2162,AE$1)</f>
        <v>0</v>
      </c>
      <c r="AF190" s="80">
        <f>SUMIFS('октябрь 2024'!$G$5:$G$2162,'октябрь 2024'!$D$5:$D$2162,$B190,'октябрь 2024'!$J$5:$J$2162,AF$1)</f>
        <v>0</v>
      </c>
      <c r="AG190" s="80">
        <f>SUMIFS('октябрь 2024'!$G$5:$G$2162,'октябрь 2024'!$D$5:$D$2162,$B190,'октябрь 2024'!$J$5:$J$2162,AG$1)</f>
        <v>0</v>
      </c>
      <c r="AH190" s="80">
        <f>SUMIFS('октябрь 2024'!$G$5:$G$2162,'октябрь 2024'!$D$5:$D$2162,$B190,'октябрь 2024'!$J$5:$J$2162,AH$1)</f>
        <v>0</v>
      </c>
      <c r="AI190" s="87"/>
    </row>
    <row r="191" spans="2:35" ht="15" hidden="1" customHeight="1" x14ac:dyDescent="0.25">
      <c r="B191" s="89"/>
      <c r="C191" s="88"/>
      <c r="D191" s="80">
        <f>SUMIFS('октябрь 2024'!$G$5:$G$2162,'октябрь 2024'!$D$5:$D$2162,$B191,'октябрь 2024'!$J$5:$J$2162,D$1)</f>
        <v>0</v>
      </c>
      <c r="E191" s="80">
        <f>SUMIFS('октябрь 2024'!$G$5:$G$2162,'октябрь 2024'!$D$5:$D$2162,$B191,'октябрь 2024'!$J$5:$J$2162,E$1)</f>
        <v>0</v>
      </c>
      <c r="F191" s="80">
        <f>SUMIFS('октябрь 2024'!$G$5:$G$2162,'октябрь 2024'!$D$5:$D$2162,$B191,'октябрь 2024'!$J$5:$J$2162,F$1)</f>
        <v>0</v>
      </c>
      <c r="G191" s="80">
        <f>SUMIFS('октябрь 2024'!$G$5:$G$2162,'октябрь 2024'!$D$5:$D$2162,$B191,'октябрь 2024'!$J$5:$J$2162,G$1)</f>
        <v>0</v>
      </c>
      <c r="H191" s="80">
        <f>SUMIFS('октябрь 2024'!$G$5:$G$2162,'октябрь 2024'!$D$5:$D$2162,$B191,'октябрь 2024'!$J$5:$J$2162,H$1)</f>
        <v>0</v>
      </c>
      <c r="I191" s="80">
        <f>SUMIFS('октябрь 2024'!$G$5:$G$2162,'октябрь 2024'!$D$5:$D$2162,$B191,'октябрь 2024'!$J$5:$J$2162,I$1)</f>
        <v>0</v>
      </c>
      <c r="J191" s="80">
        <f>SUMIFS('октябрь 2024'!$G$5:$G$2162,'октябрь 2024'!$D$5:$D$2162,$B191,'октябрь 2024'!$J$5:$J$2162,J$1)</f>
        <v>0</v>
      </c>
      <c r="K191" s="80">
        <f>SUMIFS('октябрь 2024'!$G$5:$G$2162,'октябрь 2024'!$D$5:$D$2162,$B191,'октябрь 2024'!$J$5:$J$2162,K$1)</f>
        <v>0</v>
      </c>
      <c r="L191" s="80">
        <f>SUMIFS('октябрь 2024'!$G$5:$G$2162,'октябрь 2024'!$D$5:$D$2162,$B191,'октябрь 2024'!$J$5:$J$2162,L$1)</f>
        <v>0</v>
      </c>
      <c r="M191" s="80">
        <f>SUMIFS('октябрь 2024'!$G$5:$G$2162,'октябрь 2024'!$D$5:$D$2162,$B191,'октябрь 2024'!$J$5:$J$2162,M$1)</f>
        <v>0</v>
      </c>
      <c r="N191" s="80">
        <f>SUMIFS('октябрь 2024'!$G$5:$G$2162,'октябрь 2024'!$D$5:$D$2162,$B191,'октябрь 2024'!$J$5:$J$2162,N$1)</f>
        <v>0</v>
      </c>
      <c r="O191" s="80">
        <f>SUMIFS('октябрь 2024'!$G$5:$G$2162,'октябрь 2024'!$D$5:$D$2162,$B191,'октябрь 2024'!$J$5:$J$2162,O$1)</f>
        <v>0</v>
      </c>
      <c r="P191" s="80">
        <f>SUMIFS('октябрь 2024'!$G$5:$G$2162,'октябрь 2024'!$D$5:$D$2162,$B191,'октябрь 2024'!$J$5:$J$2162,P$1)</f>
        <v>0</v>
      </c>
      <c r="Q191" s="80">
        <f>SUMIFS('октябрь 2024'!$G$5:$G$2162,'октябрь 2024'!$D$5:$D$2162,$B191,'октябрь 2024'!$J$5:$J$2162,Q$1)</f>
        <v>0</v>
      </c>
      <c r="R191" s="80">
        <f>SUMIFS('октябрь 2024'!$G$5:$G$2162,'октябрь 2024'!$D$5:$D$2162,$B191,'октябрь 2024'!$J$5:$J$2162,R$1)</f>
        <v>0</v>
      </c>
      <c r="S191" s="80">
        <f>SUMIFS('октябрь 2024'!$G$5:$G$2162,'октябрь 2024'!$D$5:$D$2162,$B191,'октябрь 2024'!$J$5:$J$2162,S$1)</f>
        <v>0</v>
      </c>
      <c r="T191" s="80">
        <f>SUMIFS('октябрь 2024'!$G$5:$G$2162,'октябрь 2024'!$D$5:$D$2162,$B191,'октябрь 2024'!$J$5:$J$2162,T$1)</f>
        <v>0</v>
      </c>
      <c r="U191" s="80">
        <f>SUMIFS('октябрь 2024'!$G$5:$G$2162,'октябрь 2024'!$D$5:$D$2162,$B191,'октябрь 2024'!$J$5:$J$2162,U$1)</f>
        <v>0</v>
      </c>
      <c r="V191" s="80">
        <f>SUMIFS('октябрь 2024'!$G$5:$G$2162,'октябрь 2024'!$D$5:$D$2162,$B191,'октябрь 2024'!$J$5:$J$2162,V$1)</f>
        <v>0</v>
      </c>
      <c r="W191" s="80">
        <f>SUMIFS('октябрь 2024'!$G$5:$G$2162,'октябрь 2024'!$D$5:$D$2162,$B191,'октябрь 2024'!$J$5:$J$2162,W$1)</f>
        <v>0</v>
      </c>
      <c r="X191" s="80">
        <f>SUMIFS('октябрь 2024'!$G$5:$G$2162,'октябрь 2024'!$D$5:$D$2162,$B191,'октябрь 2024'!$J$5:$J$2162,X$1)</f>
        <v>0</v>
      </c>
      <c r="Y191" s="80">
        <f>SUMIFS('октябрь 2024'!$G$5:$G$2162,'октябрь 2024'!$D$5:$D$2162,$B191,'октябрь 2024'!$J$5:$J$2162,Y$1)</f>
        <v>0</v>
      </c>
      <c r="Z191" s="80">
        <f>SUMIFS('октябрь 2024'!$G$5:$G$2162,'октябрь 2024'!$D$5:$D$2162,$B191,'октябрь 2024'!$J$5:$J$2162,Z$1)</f>
        <v>0</v>
      </c>
      <c r="AA191" s="80">
        <f>SUMIFS('октябрь 2024'!$G$5:$G$2162,'октябрь 2024'!$D$5:$D$2162,$B191,'октябрь 2024'!$J$5:$J$2162,AA$1)</f>
        <v>0</v>
      </c>
      <c r="AB191" s="80">
        <f>SUMIFS('октябрь 2024'!$G$5:$G$2162,'октябрь 2024'!$D$5:$D$2162,$B191,'октябрь 2024'!$J$5:$J$2162,AB$1)</f>
        <v>0</v>
      </c>
      <c r="AC191" s="80">
        <f>SUMIFS('октябрь 2024'!$G$5:$G$2162,'октябрь 2024'!$D$5:$D$2162,$B191,'октябрь 2024'!$J$5:$J$2162,AC$1)</f>
        <v>0</v>
      </c>
      <c r="AD191" s="80">
        <f>SUMIFS('октябрь 2024'!$G$5:$G$2162,'октябрь 2024'!$D$5:$D$2162,$B191,'октябрь 2024'!$J$5:$J$2162,AD$1)</f>
        <v>0</v>
      </c>
      <c r="AE191" s="80">
        <f>SUMIFS('октябрь 2024'!$G$5:$G$2162,'октябрь 2024'!$D$5:$D$2162,$B191,'октябрь 2024'!$J$5:$J$2162,AE$1)</f>
        <v>0</v>
      </c>
      <c r="AF191" s="80">
        <f>SUMIFS('октябрь 2024'!$G$5:$G$2162,'октябрь 2024'!$D$5:$D$2162,$B191,'октябрь 2024'!$J$5:$J$2162,AF$1)</f>
        <v>0</v>
      </c>
      <c r="AG191" s="80">
        <f>SUMIFS('октябрь 2024'!$G$5:$G$2162,'октябрь 2024'!$D$5:$D$2162,$B191,'октябрь 2024'!$J$5:$J$2162,AG$1)</f>
        <v>0</v>
      </c>
      <c r="AH191" s="80">
        <f>SUMIFS('октябрь 2024'!$G$5:$G$2162,'октябрь 2024'!$D$5:$D$2162,$B191,'октябрь 2024'!$J$5:$J$2162,AH$1)</f>
        <v>0</v>
      </c>
      <c r="AI191" s="87"/>
    </row>
    <row r="192" spans="2:35" ht="15" hidden="1" customHeight="1" x14ac:dyDescent="0.25">
      <c r="B192" s="89"/>
      <c r="C192" s="88"/>
      <c r="D192" s="80">
        <f>SUMIFS('октябрь 2024'!$G$5:$G$2162,'октябрь 2024'!$D$5:$D$2162,$B192,'октябрь 2024'!$J$5:$J$2162,D$1)</f>
        <v>0</v>
      </c>
      <c r="E192" s="80">
        <f>SUMIFS('октябрь 2024'!$G$5:$G$2162,'октябрь 2024'!$D$5:$D$2162,$B192,'октябрь 2024'!$J$5:$J$2162,E$1)</f>
        <v>0</v>
      </c>
      <c r="F192" s="80">
        <f>SUMIFS('октябрь 2024'!$G$5:$G$2162,'октябрь 2024'!$D$5:$D$2162,$B192,'октябрь 2024'!$J$5:$J$2162,F$1)</f>
        <v>0</v>
      </c>
      <c r="G192" s="80">
        <f>SUMIFS('октябрь 2024'!$G$5:$G$2162,'октябрь 2024'!$D$5:$D$2162,$B192,'октябрь 2024'!$J$5:$J$2162,G$1)</f>
        <v>0</v>
      </c>
      <c r="H192" s="80">
        <f>SUMIFS('октябрь 2024'!$G$5:$G$2162,'октябрь 2024'!$D$5:$D$2162,$B192,'октябрь 2024'!$J$5:$J$2162,H$1)</f>
        <v>0</v>
      </c>
      <c r="I192" s="80">
        <f>SUMIFS('октябрь 2024'!$G$5:$G$2162,'октябрь 2024'!$D$5:$D$2162,$B192,'октябрь 2024'!$J$5:$J$2162,I$1)</f>
        <v>0</v>
      </c>
      <c r="J192" s="80">
        <f>SUMIFS('октябрь 2024'!$G$5:$G$2162,'октябрь 2024'!$D$5:$D$2162,$B192,'октябрь 2024'!$J$5:$J$2162,J$1)</f>
        <v>0</v>
      </c>
      <c r="K192" s="80">
        <f>SUMIFS('октябрь 2024'!$G$5:$G$2162,'октябрь 2024'!$D$5:$D$2162,$B192,'октябрь 2024'!$J$5:$J$2162,K$1)</f>
        <v>0</v>
      </c>
      <c r="L192" s="80">
        <f>SUMIFS('октябрь 2024'!$G$5:$G$2162,'октябрь 2024'!$D$5:$D$2162,$B192,'октябрь 2024'!$J$5:$J$2162,L$1)</f>
        <v>0</v>
      </c>
      <c r="M192" s="80">
        <f>SUMIFS('октябрь 2024'!$G$5:$G$2162,'октябрь 2024'!$D$5:$D$2162,$B192,'октябрь 2024'!$J$5:$J$2162,M$1)</f>
        <v>0</v>
      </c>
      <c r="N192" s="80">
        <f>SUMIFS('октябрь 2024'!$G$5:$G$2162,'октябрь 2024'!$D$5:$D$2162,$B192,'октябрь 2024'!$J$5:$J$2162,N$1)</f>
        <v>0</v>
      </c>
      <c r="O192" s="80">
        <f>SUMIFS('октябрь 2024'!$G$5:$G$2162,'октябрь 2024'!$D$5:$D$2162,$B192,'октябрь 2024'!$J$5:$J$2162,O$1)</f>
        <v>0</v>
      </c>
      <c r="P192" s="80">
        <f>SUMIFS('октябрь 2024'!$G$5:$G$2162,'октябрь 2024'!$D$5:$D$2162,$B192,'октябрь 2024'!$J$5:$J$2162,P$1)</f>
        <v>0</v>
      </c>
      <c r="Q192" s="80">
        <f>SUMIFS('октябрь 2024'!$G$5:$G$2162,'октябрь 2024'!$D$5:$D$2162,$B192,'октябрь 2024'!$J$5:$J$2162,Q$1)</f>
        <v>0</v>
      </c>
      <c r="R192" s="80">
        <f>SUMIFS('октябрь 2024'!$G$5:$G$2162,'октябрь 2024'!$D$5:$D$2162,$B192,'октябрь 2024'!$J$5:$J$2162,R$1)</f>
        <v>0</v>
      </c>
      <c r="S192" s="80">
        <f>SUMIFS('октябрь 2024'!$G$5:$G$2162,'октябрь 2024'!$D$5:$D$2162,$B192,'октябрь 2024'!$J$5:$J$2162,S$1)</f>
        <v>0</v>
      </c>
      <c r="T192" s="80">
        <f>SUMIFS('октябрь 2024'!$G$5:$G$2162,'октябрь 2024'!$D$5:$D$2162,$B192,'октябрь 2024'!$J$5:$J$2162,T$1)</f>
        <v>0</v>
      </c>
      <c r="U192" s="80">
        <f>SUMIFS('октябрь 2024'!$G$5:$G$2162,'октябрь 2024'!$D$5:$D$2162,$B192,'октябрь 2024'!$J$5:$J$2162,U$1)</f>
        <v>0</v>
      </c>
      <c r="V192" s="80">
        <f>SUMIFS('октябрь 2024'!$G$5:$G$2162,'октябрь 2024'!$D$5:$D$2162,$B192,'октябрь 2024'!$J$5:$J$2162,V$1)</f>
        <v>0</v>
      </c>
      <c r="W192" s="80">
        <f>SUMIFS('октябрь 2024'!$G$5:$G$2162,'октябрь 2024'!$D$5:$D$2162,$B192,'октябрь 2024'!$J$5:$J$2162,W$1)</f>
        <v>0</v>
      </c>
      <c r="X192" s="80">
        <f>SUMIFS('октябрь 2024'!$G$5:$G$2162,'октябрь 2024'!$D$5:$D$2162,$B192,'октябрь 2024'!$J$5:$J$2162,X$1)</f>
        <v>0</v>
      </c>
      <c r="Y192" s="80">
        <f>SUMIFS('октябрь 2024'!$G$5:$G$2162,'октябрь 2024'!$D$5:$D$2162,$B192,'октябрь 2024'!$J$5:$J$2162,Y$1)</f>
        <v>0</v>
      </c>
      <c r="Z192" s="80">
        <f>SUMIFS('октябрь 2024'!$G$5:$G$2162,'октябрь 2024'!$D$5:$D$2162,$B192,'октябрь 2024'!$J$5:$J$2162,Z$1)</f>
        <v>0</v>
      </c>
      <c r="AA192" s="80">
        <f>SUMIFS('октябрь 2024'!$G$5:$G$2162,'октябрь 2024'!$D$5:$D$2162,$B192,'октябрь 2024'!$J$5:$J$2162,AA$1)</f>
        <v>0</v>
      </c>
      <c r="AB192" s="80">
        <f>SUMIFS('октябрь 2024'!$G$5:$G$2162,'октябрь 2024'!$D$5:$D$2162,$B192,'октябрь 2024'!$J$5:$J$2162,AB$1)</f>
        <v>0</v>
      </c>
      <c r="AC192" s="80">
        <f>SUMIFS('октябрь 2024'!$G$5:$G$2162,'октябрь 2024'!$D$5:$D$2162,$B192,'октябрь 2024'!$J$5:$J$2162,AC$1)</f>
        <v>0</v>
      </c>
      <c r="AD192" s="80">
        <f>SUMIFS('октябрь 2024'!$G$5:$G$2162,'октябрь 2024'!$D$5:$D$2162,$B192,'октябрь 2024'!$J$5:$J$2162,AD$1)</f>
        <v>0</v>
      </c>
      <c r="AE192" s="80">
        <f>SUMIFS('октябрь 2024'!$G$5:$G$2162,'октябрь 2024'!$D$5:$D$2162,$B192,'октябрь 2024'!$J$5:$J$2162,AE$1)</f>
        <v>0</v>
      </c>
      <c r="AF192" s="80">
        <f>SUMIFS('октябрь 2024'!$G$5:$G$2162,'октябрь 2024'!$D$5:$D$2162,$B192,'октябрь 2024'!$J$5:$J$2162,AF$1)</f>
        <v>0</v>
      </c>
      <c r="AG192" s="80">
        <f>SUMIFS('октябрь 2024'!$G$5:$G$2162,'октябрь 2024'!$D$5:$D$2162,$B192,'октябрь 2024'!$J$5:$J$2162,AG$1)</f>
        <v>0</v>
      </c>
      <c r="AH192" s="80">
        <f>SUMIFS('октябрь 2024'!$G$5:$G$2162,'октябрь 2024'!$D$5:$D$2162,$B192,'октябрь 2024'!$J$5:$J$2162,AH$1)</f>
        <v>0</v>
      </c>
      <c r="AI192" s="87"/>
    </row>
    <row r="193" spans="2:35" ht="15" hidden="1" customHeight="1" x14ac:dyDescent="0.25">
      <c r="B193" s="89"/>
      <c r="C193" s="88"/>
      <c r="D193" s="80">
        <f>SUMIFS('октябрь 2024'!$G$5:$G$2162,'октябрь 2024'!$D$5:$D$2162,$B193,'октябрь 2024'!$J$5:$J$2162,D$1)</f>
        <v>0</v>
      </c>
      <c r="E193" s="80">
        <f>SUMIFS('октябрь 2024'!$G$5:$G$2162,'октябрь 2024'!$D$5:$D$2162,$B193,'октябрь 2024'!$J$5:$J$2162,E$1)</f>
        <v>0</v>
      </c>
      <c r="F193" s="80">
        <f>SUMIFS('октябрь 2024'!$G$5:$G$2162,'октябрь 2024'!$D$5:$D$2162,$B193,'октябрь 2024'!$J$5:$J$2162,F$1)</f>
        <v>0</v>
      </c>
      <c r="G193" s="80">
        <f>SUMIFS('октябрь 2024'!$G$5:$G$2162,'октябрь 2024'!$D$5:$D$2162,$B193,'октябрь 2024'!$J$5:$J$2162,G$1)</f>
        <v>0</v>
      </c>
      <c r="H193" s="80">
        <f>SUMIFS('октябрь 2024'!$G$5:$G$2162,'октябрь 2024'!$D$5:$D$2162,$B193,'октябрь 2024'!$J$5:$J$2162,H$1)</f>
        <v>0</v>
      </c>
      <c r="I193" s="80">
        <f>SUMIFS('октябрь 2024'!$G$5:$G$2162,'октябрь 2024'!$D$5:$D$2162,$B193,'октябрь 2024'!$J$5:$J$2162,I$1)</f>
        <v>0</v>
      </c>
      <c r="J193" s="80">
        <f>SUMIFS('октябрь 2024'!$G$5:$G$2162,'октябрь 2024'!$D$5:$D$2162,$B193,'октябрь 2024'!$J$5:$J$2162,J$1)</f>
        <v>0</v>
      </c>
      <c r="K193" s="80">
        <f>SUMIFS('октябрь 2024'!$G$5:$G$2162,'октябрь 2024'!$D$5:$D$2162,$B193,'октябрь 2024'!$J$5:$J$2162,K$1)</f>
        <v>0</v>
      </c>
      <c r="L193" s="80">
        <f>SUMIFS('октябрь 2024'!$G$5:$G$2162,'октябрь 2024'!$D$5:$D$2162,$B193,'октябрь 2024'!$J$5:$J$2162,L$1)</f>
        <v>0</v>
      </c>
      <c r="M193" s="80">
        <f>SUMIFS('октябрь 2024'!$G$5:$G$2162,'октябрь 2024'!$D$5:$D$2162,$B193,'октябрь 2024'!$J$5:$J$2162,M$1)</f>
        <v>0</v>
      </c>
      <c r="N193" s="80">
        <f>SUMIFS('октябрь 2024'!$G$5:$G$2162,'октябрь 2024'!$D$5:$D$2162,$B193,'октябрь 2024'!$J$5:$J$2162,N$1)</f>
        <v>0</v>
      </c>
      <c r="O193" s="80">
        <f>SUMIFS('октябрь 2024'!$G$5:$G$2162,'октябрь 2024'!$D$5:$D$2162,$B193,'октябрь 2024'!$J$5:$J$2162,O$1)</f>
        <v>0</v>
      </c>
      <c r="P193" s="80">
        <f>SUMIFS('октябрь 2024'!$G$5:$G$2162,'октябрь 2024'!$D$5:$D$2162,$B193,'октябрь 2024'!$J$5:$J$2162,P$1)</f>
        <v>0</v>
      </c>
      <c r="Q193" s="80">
        <f>SUMIFS('октябрь 2024'!$G$5:$G$2162,'октябрь 2024'!$D$5:$D$2162,$B193,'октябрь 2024'!$J$5:$J$2162,Q$1)</f>
        <v>0</v>
      </c>
      <c r="R193" s="80">
        <f>SUMIFS('октябрь 2024'!$G$5:$G$2162,'октябрь 2024'!$D$5:$D$2162,$B193,'октябрь 2024'!$J$5:$J$2162,R$1)</f>
        <v>0</v>
      </c>
      <c r="S193" s="80">
        <f>SUMIFS('октябрь 2024'!$G$5:$G$2162,'октябрь 2024'!$D$5:$D$2162,$B193,'октябрь 2024'!$J$5:$J$2162,S$1)</f>
        <v>0</v>
      </c>
      <c r="T193" s="80">
        <f>SUMIFS('октябрь 2024'!$G$5:$G$2162,'октябрь 2024'!$D$5:$D$2162,$B193,'октябрь 2024'!$J$5:$J$2162,T$1)</f>
        <v>0</v>
      </c>
      <c r="U193" s="80">
        <f>SUMIFS('октябрь 2024'!$G$5:$G$2162,'октябрь 2024'!$D$5:$D$2162,$B193,'октябрь 2024'!$J$5:$J$2162,U$1)</f>
        <v>0</v>
      </c>
      <c r="V193" s="80">
        <f>SUMIFS('октябрь 2024'!$G$5:$G$2162,'октябрь 2024'!$D$5:$D$2162,$B193,'октябрь 2024'!$J$5:$J$2162,V$1)</f>
        <v>0</v>
      </c>
      <c r="W193" s="80">
        <f>SUMIFS('октябрь 2024'!$G$5:$G$2162,'октябрь 2024'!$D$5:$D$2162,$B193,'октябрь 2024'!$J$5:$J$2162,W$1)</f>
        <v>0</v>
      </c>
      <c r="X193" s="80">
        <f>SUMIFS('октябрь 2024'!$G$5:$G$2162,'октябрь 2024'!$D$5:$D$2162,$B193,'октябрь 2024'!$J$5:$J$2162,X$1)</f>
        <v>0</v>
      </c>
      <c r="Y193" s="80">
        <f>SUMIFS('октябрь 2024'!$G$5:$G$2162,'октябрь 2024'!$D$5:$D$2162,$B193,'октябрь 2024'!$J$5:$J$2162,Y$1)</f>
        <v>0</v>
      </c>
      <c r="Z193" s="80">
        <f>SUMIFS('октябрь 2024'!$G$5:$G$2162,'октябрь 2024'!$D$5:$D$2162,$B193,'октябрь 2024'!$J$5:$J$2162,Z$1)</f>
        <v>0</v>
      </c>
      <c r="AA193" s="80">
        <f>SUMIFS('октябрь 2024'!$G$5:$G$2162,'октябрь 2024'!$D$5:$D$2162,$B193,'октябрь 2024'!$J$5:$J$2162,AA$1)</f>
        <v>0</v>
      </c>
      <c r="AB193" s="80">
        <f>SUMIFS('октябрь 2024'!$G$5:$G$2162,'октябрь 2024'!$D$5:$D$2162,$B193,'октябрь 2024'!$J$5:$J$2162,AB$1)</f>
        <v>0</v>
      </c>
      <c r="AC193" s="80">
        <f>SUMIFS('октябрь 2024'!$G$5:$G$2162,'октябрь 2024'!$D$5:$D$2162,$B193,'октябрь 2024'!$J$5:$J$2162,AC$1)</f>
        <v>0</v>
      </c>
      <c r="AD193" s="80">
        <f>SUMIFS('октябрь 2024'!$G$5:$G$2162,'октябрь 2024'!$D$5:$D$2162,$B193,'октябрь 2024'!$J$5:$J$2162,AD$1)</f>
        <v>0</v>
      </c>
      <c r="AE193" s="80">
        <f>SUMIFS('октябрь 2024'!$G$5:$G$2162,'октябрь 2024'!$D$5:$D$2162,$B193,'октябрь 2024'!$J$5:$J$2162,AE$1)</f>
        <v>0</v>
      </c>
      <c r="AF193" s="80">
        <f>SUMIFS('октябрь 2024'!$G$5:$G$2162,'октябрь 2024'!$D$5:$D$2162,$B193,'октябрь 2024'!$J$5:$J$2162,AF$1)</f>
        <v>0</v>
      </c>
      <c r="AG193" s="80">
        <f>SUMIFS('октябрь 2024'!$G$5:$G$2162,'октябрь 2024'!$D$5:$D$2162,$B193,'октябрь 2024'!$J$5:$J$2162,AG$1)</f>
        <v>0</v>
      </c>
      <c r="AH193" s="80">
        <f>SUMIFS('октябрь 2024'!$G$5:$G$2162,'октябрь 2024'!$D$5:$D$2162,$B193,'октябрь 2024'!$J$5:$J$2162,AH$1)</f>
        <v>0</v>
      </c>
      <c r="AI193" s="87"/>
    </row>
    <row r="194" spans="2:35" ht="15" hidden="1" customHeight="1" x14ac:dyDescent="0.25">
      <c r="B194" s="89"/>
      <c r="C194" s="88"/>
      <c r="D194" s="80">
        <f>SUMIFS('октябрь 2024'!$G$5:$G$2162,'октябрь 2024'!$D$5:$D$2162,$B194,'октябрь 2024'!$J$5:$J$2162,D$1)</f>
        <v>0</v>
      </c>
      <c r="E194" s="80">
        <f>SUMIFS('октябрь 2024'!$G$5:$G$2162,'октябрь 2024'!$D$5:$D$2162,$B194,'октябрь 2024'!$J$5:$J$2162,E$1)</f>
        <v>0</v>
      </c>
      <c r="F194" s="80">
        <f>SUMIFS('октябрь 2024'!$G$5:$G$2162,'октябрь 2024'!$D$5:$D$2162,$B194,'октябрь 2024'!$J$5:$J$2162,F$1)</f>
        <v>0</v>
      </c>
      <c r="G194" s="80">
        <f>SUMIFS('октябрь 2024'!$G$5:$G$2162,'октябрь 2024'!$D$5:$D$2162,$B194,'октябрь 2024'!$J$5:$J$2162,G$1)</f>
        <v>0</v>
      </c>
      <c r="H194" s="80">
        <f>SUMIFS('октябрь 2024'!$G$5:$G$2162,'октябрь 2024'!$D$5:$D$2162,$B194,'октябрь 2024'!$J$5:$J$2162,H$1)</f>
        <v>0</v>
      </c>
      <c r="I194" s="80">
        <f>SUMIFS('октябрь 2024'!$G$5:$G$2162,'октябрь 2024'!$D$5:$D$2162,$B194,'октябрь 2024'!$J$5:$J$2162,I$1)</f>
        <v>0</v>
      </c>
      <c r="J194" s="80">
        <f>SUMIFS('октябрь 2024'!$G$5:$G$2162,'октябрь 2024'!$D$5:$D$2162,$B194,'октябрь 2024'!$J$5:$J$2162,J$1)</f>
        <v>0</v>
      </c>
      <c r="K194" s="80">
        <f>SUMIFS('октябрь 2024'!$G$5:$G$2162,'октябрь 2024'!$D$5:$D$2162,$B194,'октябрь 2024'!$J$5:$J$2162,K$1)</f>
        <v>0</v>
      </c>
      <c r="L194" s="80">
        <f>SUMIFS('октябрь 2024'!$G$5:$G$2162,'октябрь 2024'!$D$5:$D$2162,$B194,'октябрь 2024'!$J$5:$J$2162,L$1)</f>
        <v>0</v>
      </c>
      <c r="M194" s="80">
        <f>SUMIFS('октябрь 2024'!$G$5:$G$2162,'октябрь 2024'!$D$5:$D$2162,$B194,'октябрь 2024'!$J$5:$J$2162,M$1)</f>
        <v>0</v>
      </c>
      <c r="N194" s="80">
        <f>SUMIFS('октябрь 2024'!$G$5:$G$2162,'октябрь 2024'!$D$5:$D$2162,$B194,'октябрь 2024'!$J$5:$J$2162,N$1)</f>
        <v>0</v>
      </c>
      <c r="O194" s="80">
        <f>SUMIFS('октябрь 2024'!$G$5:$G$2162,'октябрь 2024'!$D$5:$D$2162,$B194,'октябрь 2024'!$J$5:$J$2162,O$1)</f>
        <v>0</v>
      </c>
      <c r="P194" s="80">
        <f>SUMIFS('октябрь 2024'!$G$5:$G$2162,'октябрь 2024'!$D$5:$D$2162,$B194,'октябрь 2024'!$J$5:$J$2162,P$1)</f>
        <v>0</v>
      </c>
      <c r="Q194" s="80">
        <f>SUMIFS('октябрь 2024'!$G$5:$G$2162,'октябрь 2024'!$D$5:$D$2162,$B194,'октябрь 2024'!$J$5:$J$2162,Q$1)</f>
        <v>0</v>
      </c>
      <c r="R194" s="80">
        <f>SUMIFS('октябрь 2024'!$G$5:$G$2162,'октябрь 2024'!$D$5:$D$2162,$B194,'октябрь 2024'!$J$5:$J$2162,R$1)</f>
        <v>0</v>
      </c>
      <c r="S194" s="80">
        <f>SUMIFS('октябрь 2024'!$G$5:$G$2162,'октябрь 2024'!$D$5:$D$2162,$B194,'октябрь 2024'!$J$5:$J$2162,S$1)</f>
        <v>0</v>
      </c>
      <c r="T194" s="80">
        <f>SUMIFS('октябрь 2024'!$G$5:$G$2162,'октябрь 2024'!$D$5:$D$2162,$B194,'октябрь 2024'!$J$5:$J$2162,T$1)</f>
        <v>0</v>
      </c>
      <c r="U194" s="80">
        <f>SUMIFS('октябрь 2024'!$G$5:$G$2162,'октябрь 2024'!$D$5:$D$2162,$B194,'октябрь 2024'!$J$5:$J$2162,U$1)</f>
        <v>0</v>
      </c>
      <c r="V194" s="80">
        <f>SUMIFS('октябрь 2024'!$G$5:$G$2162,'октябрь 2024'!$D$5:$D$2162,$B194,'октябрь 2024'!$J$5:$J$2162,V$1)</f>
        <v>0</v>
      </c>
      <c r="W194" s="80">
        <f>SUMIFS('октябрь 2024'!$G$5:$G$2162,'октябрь 2024'!$D$5:$D$2162,$B194,'октябрь 2024'!$J$5:$J$2162,W$1)</f>
        <v>0</v>
      </c>
      <c r="X194" s="80">
        <f>SUMIFS('октябрь 2024'!$G$5:$G$2162,'октябрь 2024'!$D$5:$D$2162,$B194,'октябрь 2024'!$J$5:$J$2162,X$1)</f>
        <v>0</v>
      </c>
      <c r="Y194" s="80">
        <f>SUMIFS('октябрь 2024'!$G$5:$G$2162,'октябрь 2024'!$D$5:$D$2162,$B194,'октябрь 2024'!$J$5:$J$2162,Y$1)</f>
        <v>0</v>
      </c>
      <c r="Z194" s="80">
        <f>SUMIFS('октябрь 2024'!$G$5:$G$2162,'октябрь 2024'!$D$5:$D$2162,$B194,'октябрь 2024'!$J$5:$J$2162,Z$1)</f>
        <v>0</v>
      </c>
      <c r="AA194" s="80">
        <f>SUMIFS('октябрь 2024'!$G$5:$G$2162,'октябрь 2024'!$D$5:$D$2162,$B194,'октябрь 2024'!$J$5:$J$2162,AA$1)</f>
        <v>0</v>
      </c>
      <c r="AB194" s="80">
        <f>SUMIFS('октябрь 2024'!$G$5:$G$2162,'октябрь 2024'!$D$5:$D$2162,$B194,'октябрь 2024'!$J$5:$J$2162,AB$1)</f>
        <v>0</v>
      </c>
      <c r="AC194" s="80">
        <f>SUMIFS('октябрь 2024'!$G$5:$G$2162,'октябрь 2024'!$D$5:$D$2162,$B194,'октябрь 2024'!$J$5:$J$2162,AC$1)</f>
        <v>0</v>
      </c>
      <c r="AD194" s="80">
        <f>SUMIFS('октябрь 2024'!$G$5:$G$2162,'октябрь 2024'!$D$5:$D$2162,$B194,'октябрь 2024'!$J$5:$J$2162,AD$1)</f>
        <v>0</v>
      </c>
      <c r="AE194" s="80">
        <f>SUMIFS('октябрь 2024'!$G$5:$G$2162,'октябрь 2024'!$D$5:$D$2162,$B194,'октябрь 2024'!$J$5:$J$2162,AE$1)</f>
        <v>0</v>
      </c>
      <c r="AF194" s="80">
        <f>SUMIFS('октябрь 2024'!$G$5:$G$2162,'октябрь 2024'!$D$5:$D$2162,$B194,'октябрь 2024'!$J$5:$J$2162,AF$1)</f>
        <v>0</v>
      </c>
      <c r="AG194" s="80">
        <f>SUMIFS('октябрь 2024'!$G$5:$G$2162,'октябрь 2024'!$D$5:$D$2162,$B194,'октябрь 2024'!$J$5:$J$2162,AG$1)</f>
        <v>0</v>
      </c>
      <c r="AH194" s="80">
        <f>SUMIFS('октябрь 2024'!$G$5:$G$2162,'октябрь 2024'!$D$5:$D$2162,$B194,'октябрь 2024'!$J$5:$J$2162,AH$1)</f>
        <v>0</v>
      </c>
      <c r="AI194" s="87"/>
    </row>
    <row r="195" spans="2:35" ht="15" hidden="1" customHeight="1" x14ac:dyDescent="0.25">
      <c r="B195" s="89"/>
      <c r="C195" s="88"/>
      <c r="D195" s="80">
        <f>SUMIFS('октябрь 2024'!$G$5:$G$2162,'октябрь 2024'!$D$5:$D$2162,$B195,'октябрь 2024'!$J$5:$J$2162,D$1)</f>
        <v>0</v>
      </c>
      <c r="E195" s="80">
        <f>SUMIFS('октябрь 2024'!$G$5:$G$2162,'октябрь 2024'!$D$5:$D$2162,$B195,'октябрь 2024'!$J$5:$J$2162,E$1)</f>
        <v>0</v>
      </c>
      <c r="F195" s="80">
        <f>SUMIFS('октябрь 2024'!$G$5:$G$2162,'октябрь 2024'!$D$5:$D$2162,$B195,'октябрь 2024'!$J$5:$J$2162,F$1)</f>
        <v>0</v>
      </c>
      <c r="G195" s="80">
        <f>SUMIFS('октябрь 2024'!$G$5:$G$2162,'октябрь 2024'!$D$5:$D$2162,$B195,'октябрь 2024'!$J$5:$J$2162,G$1)</f>
        <v>0</v>
      </c>
      <c r="H195" s="80">
        <f>SUMIFS('октябрь 2024'!$G$5:$G$2162,'октябрь 2024'!$D$5:$D$2162,$B195,'октябрь 2024'!$J$5:$J$2162,H$1)</f>
        <v>0</v>
      </c>
      <c r="I195" s="80">
        <f>SUMIFS('октябрь 2024'!$G$5:$G$2162,'октябрь 2024'!$D$5:$D$2162,$B195,'октябрь 2024'!$J$5:$J$2162,I$1)</f>
        <v>0</v>
      </c>
      <c r="J195" s="80">
        <f>SUMIFS('октябрь 2024'!$G$5:$G$2162,'октябрь 2024'!$D$5:$D$2162,$B195,'октябрь 2024'!$J$5:$J$2162,J$1)</f>
        <v>0</v>
      </c>
      <c r="K195" s="80">
        <f>SUMIFS('октябрь 2024'!$G$5:$G$2162,'октябрь 2024'!$D$5:$D$2162,$B195,'октябрь 2024'!$J$5:$J$2162,K$1)</f>
        <v>0</v>
      </c>
      <c r="L195" s="80">
        <f>SUMIFS('октябрь 2024'!$G$5:$G$2162,'октябрь 2024'!$D$5:$D$2162,$B195,'октябрь 2024'!$J$5:$J$2162,L$1)</f>
        <v>0</v>
      </c>
      <c r="M195" s="80">
        <f>SUMIFS('октябрь 2024'!$G$5:$G$2162,'октябрь 2024'!$D$5:$D$2162,$B195,'октябрь 2024'!$J$5:$J$2162,M$1)</f>
        <v>0</v>
      </c>
      <c r="N195" s="80">
        <f>SUMIFS('октябрь 2024'!$G$5:$G$2162,'октябрь 2024'!$D$5:$D$2162,$B195,'октябрь 2024'!$J$5:$J$2162,N$1)</f>
        <v>0</v>
      </c>
      <c r="O195" s="80">
        <f>SUMIFS('октябрь 2024'!$G$5:$G$2162,'октябрь 2024'!$D$5:$D$2162,$B195,'октябрь 2024'!$J$5:$J$2162,O$1)</f>
        <v>0</v>
      </c>
      <c r="P195" s="80">
        <f>SUMIFS('октябрь 2024'!$G$5:$G$2162,'октябрь 2024'!$D$5:$D$2162,$B195,'октябрь 2024'!$J$5:$J$2162,P$1)</f>
        <v>0</v>
      </c>
      <c r="Q195" s="80">
        <f>SUMIFS('октябрь 2024'!$G$5:$G$2162,'октябрь 2024'!$D$5:$D$2162,$B195,'октябрь 2024'!$J$5:$J$2162,Q$1)</f>
        <v>0</v>
      </c>
      <c r="R195" s="80">
        <f>SUMIFS('октябрь 2024'!$G$5:$G$2162,'октябрь 2024'!$D$5:$D$2162,$B195,'октябрь 2024'!$J$5:$J$2162,R$1)</f>
        <v>0</v>
      </c>
      <c r="S195" s="80">
        <f>SUMIFS('октябрь 2024'!$G$5:$G$2162,'октябрь 2024'!$D$5:$D$2162,$B195,'октябрь 2024'!$J$5:$J$2162,S$1)</f>
        <v>0</v>
      </c>
      <c r="T195" s="80">
        <f>SUMIFS('октябрь 2024'!$G$5:$G$2162,'октябрь 2024'!$D$5:$D$2162,$B195,'октябрь 2024'!$J$5:$J$2162,T$1)</f>
        <v>0</v>
      </c>
      <c r="U195" s="80">
        <f>SUMIFS('октябрь 2024'!$G$5:$G$2162,'октябрь 2024'!$D$5:$D$2162,$B195,'октябрь 2024'!$J$5:$J$2162,U$1)</f>
        <v>0</v>
      </c>
      <c r="V195" s="80">
        <f>SUMIFS('октябрь 2024'!$G$5:$G$2162,'октябрь 2024'!$D$5:$D$2162,$B195,'октябрь 2024'!$J$5:$J$2162,V$1)</f>
        <v>0</v>
      </c>
      <c r="W195" s="80">
        <f>SUMIFS('октябрь 2024'!$G$5:$G$2162,'октябрь 2024'!$D$5:$D$2162,$B195,'октябрь 2024'!$J$5:$J$2162,W$1)</f>
        <v>0</v>
      </c>
      <c r="X195" s="80">
        <f>SUMIFS('октябрь 2024'!$G$5:$G$2162,'октябрь 2024'!$D$5:$D$2162,$B195,'октябрь 2024'!$J$5:$J$2162,X$1)</f>
        <v>0</v>
      </c>
      <c r="Y195" s="80">
        <f>SUMIFS('октябрь 2024'!$G$5:$G$2162,'октябрь 2024'!$D$5:$D$2162,$B195,'октябрь 2024'!$J$5:$J$2162,Y$1)</f>
        <v>0</v>
      </c>
      <c r="Z195" s="80">
        <f>SUMIFS('октябрь 2024'!$G$5:$G$2162,'октябрь 2024'!$D$5:$D$2162,$B195,'октябрь 2024'!$J$5:$J$2162,Z$1)</f>
        <v>0</v>
      </c>
      <c r="AA195" s="80">
        <f>SUMIFS('октябрь 2024'!$G$5:$G$2162,'октябрь 2024'!$D$5:$D$2162,$B195,'октябрь 2024'!$J$5:$J$2162,AA$1)</f>
        <v>0</v>
      </c>
      <c r="AB195" s="80">
        <f>SUMIFS('октябрь 2024'!$G$5:$G$2162,'октябрь 2024'!$D$5:$D$2162,$B195,'октябрь 2024'!$J$5:$J$2162,AB$1)</f>
        <v>0</v>
      </c>
      <c r="AC195" s="80">
        <f>SUMIFS('октябрь 2024'!$G$5:$G$2162,'октябрь 2024'!$D$5:$D$2162,$B195,'октябрь 2024'!$J$5:$J$2162,AC$1)</f>
        <v>0</v>
      </c>
      <c r="AD195" s="80">
        <f>SUMIFS('октябрь 2024'!$G$5:$G$2162,'октябрь 2024'!$D$5:$D$2162,$B195,'октябрь 2024'!$J$5:$J$2162,AD$1)</f>
        <v>0</v>
      </c>
      <c r="AE195" s="80">
        <f>SUMIFS('октябрь 2024'!$G$5:$G$2162,'октябрь 2024'!$D$5:$D$2162,$B195,'октябрь 2024'!$J$5:$J$2162,AE$1)</f>
        <v>0</v>
      </c>
      <c r="AF195" s="80">
        <f>SUMIFS('октябрь 2024'!$G$5:$G$2162,'октябрь 2024'!$D$5:$D$2162,$B195,'октябрь 2024'!$J$5:$J$2162,AF$1)</f>
        <v>0</v>
      </c>
      <c r="AG195" s="80">
        <f>SUMIFS('октябрь 2024'!$G$5:$G$2162,'октябрь 2024'!$D$5:$D$2162,$B195,'октябрь 2024'!$J$5:$J$2162,AG$1)</f>
        <v>0</v>
      </c>
      <c r="AH195" s="80">
        <f>SUMIFS('октябрь 2024'!$G$5:$G$2162,'октябрь 2024'!$D$5:$D$2162,$B195,'октябрь 2024'!$J$5:$J$2162,AH$1)</f>
        <v>0</v>
      </c>
      <c r="AI195" s="87"/>
    </row>
    <row r="196" spans="2:35" ht="15" hidden="1" customHeight="1" x14ac:dyDescent="0.25">
      <c r="B196" s="89"/>
      <c r="C196" s="88"/>
      <c r="D196" s="80">
        <f>SUMIFS('октябрь 2024'!$G$5:$G$2162,'октябрь 2024'!$D$5:$D$2162,$B196,'октябрь 2024'!$J$5:$J$2162,D$1)</f>
        <v>0</v>
      </c>
      <c r="E196" s="80">
        <f>SUMIFS('октябрь 2024'!$G$5:$G$2162,'октябрь 2024'!$D$5:$D$2162,$B196,'октябрь 2024'!$J$5:$J$2162,E$1)</f>
        <v>0</v>
      </c>
      <c r="F196" s="80">
        <f>SUMIFS('октябрь 2024'!$G$5:$G$2162,'октябрь 2024'!$D$5:$D$2162,$B196,'октябрь 2024'!$J$5:$J$2162,F$1)</f>
        <v>0</v>
      </c>
      <c r="G196" s="80">
        <f>SUMIFS('октябрь 2024'!$G$5:$G$2162,'октябрь 2024'!$D$5:$D$2162,$B196,'октябрь 2024'!$J$5:$J$2162,G$1)</f>
        <v>0</v>
      </c>
      <c r="H196" s="80">
        <f>SUMIFS('октябрь 2024'!$G$5:$G$2162,'октябрь 2024'!$D$5:$D$2162,$B196,'октябрь 2024'!$J$5:$J$2162,H$1)</f>
        <v>0</v>
      </c>
      <c r="I196" s="80">
        <f>SUMIFS('октябрь 2024'!$G$5:$G$2162,'октябрь 2024'!$D$5:$D$2162,$B196,'октябрь 2024'!$J$5:$J$2162,I$1)</f>
        <v>0</v>
      </c>
      <c r="J196" s="80">
        <f>SUMIFS('октябрь 2024'!$G$5:$G$2162,'октябрь 2024'!$D$5:$D$2162,$B196,'октябрь 2024'!$J$5:$J$2162,J$1)</f>
        <v>0</v>
      </c>
      <c r="K196" s="80">
        <f>SUMIFS('октябрь 2024'!$G$5:$G$2162,'октябрь 2024'!$D$5:$D$2162,$B196,'октябрь 2024'!$J$5:$J$2162,K$1)</f>
        <v>0</v>
      </c>
      <c r="L196" s="80">
        <f>SUMIFS('октябрь 2024'!$G$5:$G$2162,'октябрь 2024'!$D$5:$D$2162,$B196,'октябрь 2024'!$J$5:$J$2162,L$1)</f>
        <v>0</v>
      </c>
      <c r="M196" s="80">
        <f>SUMIFS('октябрь 2024'!$G$5:$G$2162,'октябрь 2024'!$D$5:$D$2162,$B196,'октябрь 2024'!$J$5:$J$2162,M$1)</f>
        <v>0</v>
      </c>
      <c r="N196" s="80">
        <f>SUMIFS('октябрь 2024'!$G$5:$G$2162,'октябрь 2024'!$D$5:$D$2162,$B196,'октябрь 2024'!$J$5:$J$2162,N$1)</f>
        <v>0</v>
      </c>
      <c r="O196" s="80">
        <f>SUMIFS('октябрь 2024'!$G$5:$G$2162,'октябрь 2024'!$D$5:$D$2162,$B196,'октябрь 2024'!$J$5:$J$2162,O$1)</f>
        <v>0</v>
      </c>
      <c r="P196" s="80">
        <f>SUMIFS('октябрь 2024'!$G$5:$G$2162,'октябрь 2024'!$D$5:$D$2162,$B196,'октябрь 2024'!$J$5:$J$2162,P$1)</f>
        <v>0</v>
      </c>
      <c r="Q196" s="80">
        <f>SUMIFS('октябрь 2024'!$G$5:$G$2162,'октябрь 2024'!$D$5:$D$2162,$B196,'октябрь 2024'!$J$5:$J$2162,Q$1)</f>
        <v>0</v>
      </c>
      <c r="R196" s="80">
        <f>SUMIFS('октябрь 2024'!$G$5:$G$2162,'октябрь 2024'!$D$5:$D$2162,$B196,'октябрь 2024'!$J$5:$J$2162,R$1)</f>
        <v>0</v>
      </c>
      <c r="S196" s="80">
        <f>SUMIFS('октябрь 2024'!$G$5:$G$2162,'октябрь 2024'!$D$5:$D$2162,$B196,'октябрь 2024'!$J$5:$J$2162,S$1)</f>
        <v>0</v>
      </c>
      <c r="T196" s="80">
        <f>SUMIFS('октябрь 2024'!$G$5:$G$2162,'октябрь 2024'!$D$5:$D$2162,$B196,'октябрь 2024'!$J$5:$J$2162,T$1)</f>
        <v>0</v>
      </c>
      <c r="U196" s="80">
        <f>SUMIFS('октябрь 2024'!$G$5:$G$2162,'октябрь 2024'!$D$5:$D$2162,$B196,'октябрь 2024'!$J$5:$J$2162,U$1)</f>
        <v>0</v>
      </c>
      <c r="V196" s="80">
        <f>SUMIFS('октябрь 2024'!$G$5:$G$2162,'октябрь 2024'!$D$5:$D$2162,$B196,'октябрь 2024'!$J$5:$J$2162,V$1)</f>
        <v>0</v>
      </c>
      <c r="W196" s="80">
        <f>SUMIFS('октябрь 2024'!$G$5:$G$2162,'октябрь 2024'!$D$5:$D$2162,$B196,'октябрь 2024'!$J$5:$J$2162,W$1)</f>
        <v>0</v>
      </c>
      <c r="X196" s="80">
        <f>SUMIFS('октябрь 2024'!$G$5:$G$2162,'октябрь 2024'!$D$5:$D$2162,$B196,'октябрь 2024'!$J$5:$J$2162,X$1)</f>
        <v>0</v>
      </c>
      <c r="Y196" s="80">
        <f>SUMIFS('октябрь 2024'!$G$5:$G$2162,'октябрь 2024'!$D$5:$D$2162,$B196,'октябрь 2024'!$J$5:$J$2162,Y$1)</f>
        <v>0</v>
      </c>
      <c r="Z196" s="80">
        <f>SUMIFS('октябрь 2024'!$G$5:$G$2162,'октябрь 2024'!$D$5:$D$2162,$B196,'октябрь 2024'!$J$5:$J$2162,Z$1)</f>
        <v>0</v>
      </c>
      <c r="AA196" s="80">
        <f>SUMIFS('октябрь 2024'!$G$5:$G$2162,'октябрь 2024'!$D$5:$D$2162,$B196,'октябрь 2024'!$J$5:$J$2162,AA$1)</f>
        <v>0</v>
      </c>
      <c r="AB196" s="80">
        <f>SUMIFS('октябрь 2024'!$G$5:$G$2162,'октябрь 2024'!$D$5:$D$2162,$B196,'октябрь 2024'!$J$5:$J$2162,AB$1)</f>
        <v>0</v>
      </c>
      <c r="AC196" s="80">
        <f>SUMIFS('октябрь 2024'!$G$5:$G$2162,'октябрь 2024'!$D$5:$D$2162,$B196,'октябрь 2024'!$J$5:$J$2162,AC$1)</f>
        <v>0</v>
      </c>
      <c r="AD196" s="80">
        <f>SUMIFS('октябрь 2024'!$G$5:$G$2162,'октябрь 2024'!$D$5:$D$2162,$B196,'октябрь 2024'!$J$5:$J$2162,AD$1)</f>
        <v>0</v>
      </c>
      <c r="AE196" s="80">
        <f>SUMIFS('октябрь 2024'!$G$5:$G$2162,'октябрь 2024'!$D$5:$D$2162,$B196,'октябрь 2024'!$J$5:$J$2162,AE$1)</f>
        <v>0</v>
      </c>
      <c r="AF196" s="80">
        <f>SUMIFS('октябрь 2024'!$G$5:$G$2162,'октябрь 2024'!$D$5:$D$2162,$B196,'октябрь 2024'!$J$5:$J$2162,AF$1)</f>
        <v>0</v>
      </c>
      <c r="AG196" s="80">
        <f>SUMIFS('октябрь 2024'!$G$5:$G$2162,'октябрь 2024'!$D$5:$D$2162,$B196,'октябрь 2024'!$J$5:$J$2162,AG$1)</f>
        <v>0</v>
      </c>
      <c r="AH196" s="80">
        <f>SUMIFS('октябрь 2024'!$G$5:$G$2162,'октябрь 2024'!$D$5:$D$2162,$B196,'октябрь 2024'!$J$5:$J$2162,AH$1)</f>
        <v>0</v>
      </c>
      <c r="AI196" s="87"/>
    </row>
    <row r="197" spans="2:35" ht="15" hidden="1" customHeight="1" x14ac:dyDescent="0.25">
      <c r="B197" s="89"/>
      <c r="C197" s="88"/>
      <c r="D197" s="80">
        <f>SUMIFS('октябрь 2024'!$G$5:$G$2162,'октябрь 2024'!$D$5:$D$2162,$B197,'октябрь 2024'!$J$5:$J$2162,D$1)</f>
        <v>0</v>
      </c>
      <c r="E197" s="80">
        <f>SUMIFS('октябрь 2024'!$G$5:$G$2162,'октябрь 2024'!$D$5:$D$2162,$B197,'октябрь 2024'!$J$5:$J$2162,E$1)</f>
        <v>0</v>
      </c>
      <c r="F197" s="80">
        <f>SUMIFS('октябрь 2024'!$G$5:$G$2162,'октябрь 2024'!$D$5:$D$2162,$B197,'октябрь 2024'!$J$5:$J$2162,F$1)</f>
        <v>0</v>
      </c>
      <c r="G197" s="80">
        <f>SUMIFS('октябрь 2024'!$G$5:$G$2162,'октябрь 2024'!$D$5:$D$2162,$B197,'октябрь 2024'!$J$5:$J$2162,G$1)</f>
        <v>0</v>
      </c>
      <c r="H197" s="80">
        <f>SUMIFS('октябрь 2024'!$G$5:$G$2162,'октябрь 2024'!$D$5:$D$2162,$B197,'октябрь 2024'!$J$5:$J$2162,H$1)</f>
        <v>0</v>
      </c>
      <c r="I197" s="80">
        <f>SUMIFS('октябрь 2024'!$G$5:$G$2162,'октябрь 2024'!$D$5:$D$2162,$B197,'октябрь 2024'!$J$5:$J$2162,I$1)</f>
        <v>0</v>
      </c>
      <c r="J197" s="80">
        <f>SUMIFS('октябрь 2024'!$G$5:$G$2162,'октябрь 2024'!$D$5:$D$2162,$B197,'октябрь 2024'!$J$5:$J$2162,J$1)</f>
        <v>0</v>
      </c>
      <c r="K197" s="80">
        <f>SUMIFS('октябрь 2024'!$G$5:$G$2162,'октябрь 2024'!$D$5:$D$2162,$B197,'октябрь 2024'!$J$5:$J$2162,K$1)</f>
        <v>0</v>
      </c>
      <c r="L197" s="80">
        <f>SUMIFS('октябрь 2024'!$G$5:$G$2162,'октябрь 2024'!$D$5:$D$2162,$B197,'октябрь 2024'!$J$5:$J$2162,L$1)</f>
        <v>0</v>
      </c>
      <c r="M197" s="80">
        <f>SUMIFS('октябрь 2024'!$G$5:$G$2162,'октябрь 2024'!$D$5:$D$2162,$B197,'октябрь 2024'!$J$5:$J$2162,M$1)</f>
        <v>0</v>
      </c>
      <c r="N197" s="80">
        <f>SUMIFS('октябрь 2024'!$G$5:$G$2162,'октябрь 2024'!$D$5:$D$2162,$B197,'октябрь 2024'!$J$5:$J$2162,N$1)</f>
        <v>0</v>
      </c>
      <c r="O197" s="80">
        <f>SUMIFS('октябрь 2024'!$G$5:$G$2162,'октябрь 2024'!$D$5:$D$2162,$B197,'октябрь 2024'!$J$5:$J$2162,O$1)</f>
        <v>0</v>
      </c>
      <c r="P197" s="80">
        <f>SUMIFS('октябрь 2024'!$G$5:$G$2162,'октябрь 2024'!$D$5:$D$2162,$B197,'октябрь 2024'!$J$5:$J$2162,P$1)</f>
        <v>0</v>
      </c>
      <c r="Q197" s="80">
        <f>SUMIFS('октябрь 2024'!$G$5:$G$2162,'октябрь 2024'!$D$5:$D$2162,$B197,'октябрь 2024'!$J$5:$J$2162,Q$1)</f>
        <v>0</v>
      </c>
      <c r="R197" s="80">
        <f>SUMIFS('октябрь 2024'!$G$5:$G$2162,'октябрь 2024'!$D$5:$D$2162,$B197,'октябрь 2024'!$J$5:$J$2162,R$1)</f>
        <v>0</v>
      </c>
      <c r="S197" s="80">
        <f>SUMIFS('октябрь 2024'!$G$5:$G$2162,'октябрь 2024'!$D$5:$D$2162,$B197,'октябрь 2024'!$J$5:$J$2162,S$1)</f>
        <v>0</v>
      </c>
      <c r="T197" s="80">
        <f>SUMIFS('октябрь 2024'!$G$5:$G$2162,'октябрь 2024'!$D$5:$D$2162,$B197,'октябрь 2024'!$J$5:$J$2162,T$1)</f>
        <v>0</v>
      </c>
      <c r="U197" s="80">
        <f>SUMIFS('октябрь 2024'!$G$5:$G$2162,'октябрь 2024'!$D$5:$D$2162,$B197,'октябрь 2024'!$J$5:$J$2162,U$1)</f>
        <v>0</v>
      </c>
      <c r="V197" s="80">
        <f>SUMIFS('октябрь 2024'!$G$5:$G$2162,'октябрь 2024'!$D$5:$D$2162,$B197,'октябрь 2024'!$J$5:$J$2162,V$1)</f>
        <v>0</v>
      </c>
      <c r="W197" s="80">
        <f>SUMIFS('октябрь 2024'!$G$5:$G$2162,'октябрь 2024'!$D$5:$D$2162,$B197,'октябрь 2024'!$J$5:$J$2162,W$1)</f>
        <v>0</v>
      </c>
      <c r="X197" s="80">
        <f>SUMIFS('октябрь 2024'!$G$5:$G$2162,'октябрь 2024'!$D$5:$D$2162,$B197,'октябрь 2024'!$J$5:$J$2162,X$1)</f>
        <v>0</v>
      </c>
      <c r="Y197" s="80">
        <f>SUMIFS('октябрь 2024'!$G$5:$G$2162,'октябрь 2024'!$D$5:$D$2162,$B197,'октябрь 2024'!$J$5:$J$2162,Y$1)</f>
        <v>0</v>
      </c>
      <c r="Z197" s="80">
        <f>SUMIFS('октябрь 2024'!$G$5:$G$2162,'октябрь 2024'!$D$5:$D$2162,$B197,'октябрь 2024'!$J$5:$J$2162,Z$1)</f>
        <v>0</v>
      </c>
      <c r="AA197" s="80">
        <f>SUMIFS('октябрь 2024'!$G$5:$G$2162,'октябрь 2024'!$D$5:$D$2162,$B197,'октябрь 2024'!$J$5:$J$2162,AA$1)</f>
        <v>0</v>
      </c>
      <c r="AB197" s="80">
        <f>SUMIFS('октябрь 2024'!$G$5:$G$2162,'октябрь 2024'!$D$5:$D$2162,$B197,'октябрь 2024'!$J$5:$J$2162,AB$1)</f>
        <v>0</v>
      </c>
      <c r="AC197" s="80">
        <f>SUMIFS('октябрь 2024'!$G$5:$G$2162,'октябрь 2024'!$D$5:$D$2162,$B197,'октябрь 2024'!$J$5:$J$2162,AC$1)</f>
        <v>0</v>
      </c>
      <c r="AD197" s="80">
        <f>SUMIFS('октябрь 2024'!$G$5:$G$2162,'октябрь 2024'!$D$5:$D$2162,$B197,'октябрь 2024'!$J$5:$J$2162,AD$1)</f>
        <v>0</v>
      </c>
      <c r="AE197" s="80">
        <f>SUMIFS('октябрь 2024'!$G$5:$G$2162,'октябрь 2024'!$D$5:$D$2162,$B197,'октябрь 2024'!$J$5:$J$2162,AE$1)</f>
        <v>0</v>
      </c>
      <c r="AF197" s="80">
        <f>SUMIFS('октябрь 2024'!$G$5:$G$2162,'октябрь 2024'!$D$5:$D$2162,$B197,'октябрь 2024'!$J$5:$J$2162,AF$1)</f>
        <v>0</v>
      </c>
      <c r="AG197" s="80">
        <f>SUMIFS('октябрь 2024'!$G$5:$G$2162,'октябрь 2024'!$D$5:$D$2162,$B197,'октябрь 2024'!$J$5:$J$2162,AG$1)</f>
        <v>0</v>
      </c>
      <c r="AH197" s="80">
        <f>SUMIFS('октябрь 2024'!$G$5:$G$2162,'октябрь 2024'!$D$5:$D$2162,$B197,'октябрь 2024'!$J$5:$J$2162,AH$1)</f>
        <v>0</v>
      </c>
      <c r="AI197" s="87"/>
    </row>
    <row r="198" spans="2:35" ht="15" hidden="1" customHeight="1" x14ac:dyDescent="0.25">
      <c r="B198" s="89"/>
      <c r="C198" s="88"/>
      <c r="D198" s="80">
        <f>SUMIFS('октябрь 2024'!$G$5:$G$2162,'октябрь 2024'!$D$5:$D$2162,$B198,'октябрь 2024'!$J$5:$J$2162,D$1)</f>
        <v>0</v>
      </c>
      <c r="E198" s="80">
        <f>SUMIFS('октябрь 2024'!$G$5:$G$2162,'октябрь 2024'!$D$5:$D$2162,$B198,'октябрь 2024'!$J$5:$J$2162,E$1)</f>
        <v>0</v>
      </c>
      <c r="F198" s="80">
        <f>SUMIFS('октябрь 2024'!$G$5:$G$2162,'октябрь 2024'!$D$5:$D$2162,$B198,'октябрь 2024'!$J$5:$J$2162,F$1)</f>
        <v>0</v>
      </c>
      <c r="G198" s="80">
        <f>SUMIFS('октябрь 2024'!$G$5:$G$2162,'октябрь 2024'!$D$5:$D$2162,$B198,'октябрь 2024'!$J$5:$J$2162,G$1)</f>
        <v>0</v>
      </c>
      <c r="H198" s="80">
        <f>SUMIFS('октябрь 2024'!$G$5:$G$2162,'октябрь 2024'!$D$5:$D$2162,$B198,'октябрь 2024'!$J$5:$J$2162,H$1)</f>
        <v>0</v>
      </c>
      <c r="I198" s="80">
        <f>SUMIFS('октябрь 2024'!$G$5:$G$2162,'октябрь 2024'!$D$5:$D$2162,$B198,'октябрь 2024'!$J$5:$J$2162,I$1)</f>
        <v>0</v>
      </c>
      <c r="J198" s="80">
        <f>SUMIFS('октябрь 2024'!$G$5:$G$2162,'октябрь 2024'!$D$5:$D$2162,$B198,'октябрь 2024'!$J$5:$J$2162,J$1)</f>
        <v>0</v>
      </c>
      <c r="K198" s="80">
        <f>SUMIFS('октябрь 2024'!$G$5:$G$2162,'октябрь 2024'!$D$5:$D$2162,$B198,'октябрь 2024'!$J$5:$J$2162,K$1)</f>
        <v>0</v>
      </c>
      <c r="L198" s="80">
        <f>SUMIFS('октябрь 2024'!$G$5:$G$2162,'октябрь 2024'!$D$5:$D$2162,$B198,'октябрь 2024'!$J$5:$J$2162,L$1)</f>
        <v>0</v>
      </c>
      <c r="M198" s="80">
        <f>SUMIFS('октябрь 2024'!$G$5:$G$2162,'октябрь 2024'!$D$5:$D$2162,$B198,'октябрь 2024'!$J$5:$J$2162,M$1)</f>
        <v>0</v>
      </c>
      <c r="N198" s="80">
        <f>SUMIFS('октябрь 2024'!$G$5:$G$2162,'октябрь 2024'!$D$5:$D$2162,$B198,'октябрь 2024'!$J$5:$J$2162,N$1)</f>
        <v>0</v>
      </c>
      <c r="O198" s="80">
        <f>SUMIFS('октябрь 2024'!$G$5:$G$2162,'октябрь 2024'!$D$5:$D$2162,$B198,'октябрь 2024'!$J$5:$J$2162,O$1)</f>
        <v>0</v>
      </c>
      <c r="P198" s="80">
        <f>SUMIFS('октябрь 2024'!$G$5:$G$2162,'октябрь 2024'!$D$5:$D$2162,$B198,'октябрь 2024'!$J$5:$J$2162,P$1)</f>
        <v>0</v>
      </c>
      <c r="Q198" s="80">
        <f>SUMIFS('октябрь 2024'!$G$5:$G$2162,'октябрь 2024'!$D$5:$D$2162,$B198,'октябрь 2024'!$J$5:$J$2162,Q$1)</f>
        <v>0</v>
      </c>
      <c r="R198" s="80">
        <f>SUMIFS('октябрь 2024'!$G$5:$G$2162,'октябрь 2024'!$D$5:$D$2162,$B198,'октябрь 2024'!$J$5:$J$2162,R$1)</f>
        <v>0</v>
      </c>
      <c r="S198" s="80">
        <f>SUMIFS('октябрь 2024'!$G$5:$G$2162,'октябрь 2024'!$D$5:$D$2162,$B198,'октябрь 2024'!$J$5:$J$2162,S$1)</f>
        <v>0</v>
      </c>
      <c r="T198" s="80">
        <f>SUMIFS('октябрь 2024'!$G$5:$G$2162,'октябрь 2024'!$D$5:$D$2162,$B198,'октябрь 2024'!$J$5:$J$2162,T$1)</f>
        <v>0</v>
      </c>
      <c r="U198" s="80">
        <f>SUMIFS('октябрь 2024'!$G$5:$G$2162,'октябрь 2024'!$D$5:$D$2162,$B198,'октябрь 2024'!$J$5:$J$2162,U$1)</f>
        <v>0</v>
      </c>
      <c r="V198" s="80">
        <f>SUMIFS('октябрь 2024'!$G$5:$G$2162,'октябрь 2024'!$D$5:$D$2162,$B198,'октябрь 2024'!$J$5:$J$2162,V$1)</f>
        <v>0</v>
      </c>
      <c r="W198" s="80">
        <f>SUMIFS('октябрь 2024'!$G$5:$G$2162,'октябрь 2024'!$D$5:$D$2162,$B198,'октябрь 2024'!$J$5:$J$2162,W$1)</f>
        <v>0</v>
      </c>
      <c r="X198" s="80">
        <f>SUMIFS('октябрь 2024'!$G$5:$G$2162,'октябрь 2024'!$D$5:$D$2162,$B198,'октябрь 2024'!$J$5:$J$2162,X$1)</f>
        <v>0</v>
      </c>
      <c r="Y198" s="80">
        <f>SUMIFS('октябрь 2024'!$G$5:$G$2162,'октябрь 2024'!$D$5:$D$2162,$B198,'октябрь 2024'!$J$5:$J$2162,Y$1)</f>
        <v>0</v>
      </c>
      <c r="Z198" s="80">
        <f>SUMIFS('октябрь 2024'!$G$5:$G$2162,'октябрь 2024'!$D$5:$D$2162,$B198,'октябрь 2024'!$J$5:$J$2162,Z$1)</f>
        <v>0</v>
      </c>
      <c r="AA198" s="80">
        <f>SUMIFS('октябрь 2024'!$G$5:$G$2162,'октябрь 2024'!$D$5:$D$2162,$B198,'октябрь 2024'!$J$5:$J$2162,AA$1)</f>
        <v>0</v>
      </c>
      <c r="AB198" s="80">
        <f>SUMIFS('октябрь 2024'!$G$5:$G$2162,'октябрь 2024'!$D$5:$D$2162,$B198,'октябрь 2024'!$J$5:$J$2162,AB$1)</f>
        <v>0</v>
      </c>
      <c r="AC198" s="80">
        <f>SUMIFS('октябрь 2024'!$G$5:$G$2162,'октябрь 2024'!$D$5:$D$2162,$B198,'октябрь 2024'!$J$5:$J$2162,AC$1)</f>
        <v>0</v>
      </c>
      <c r="AD198" s="80">
        <f>SUMIFS('октябрь 2024'!$G$5:$G$2162,'октябрь 2024'!$D$5:$D$2162,$B198,'октябрь 2024'!$J$5:$J$2162,AD$1)</f>
        <v>0</v>
      </c>
      <c r="AE198" s="80">
        <f>SUMIFS('октябрь 2024'!$G$5:$G$2162,'октябрь 2024'!$D$5:$D$2162,$B198,'октябрь 2024'!$J$5:$J$2162,AE$1)</f>
        <v>0</v>
      </c>
      <c r="AF198" s="80">
        <f>SUMIFS('октябрь 2024'!$G$5:$G$2162,'октябрь 2024'!$D$5:$D$2162,$B198,'октябрь 2024'!$J$5:$J$2162,AF$1)</f>
        <v>0</v>
      </c>
      <c r="AG198" s="80">
        <f>SUMIFS('октябрь 2024'!$G$5:$G$2162,'октябрь 2024'!$D$5:$D$2162,$B198,'октябрь 2024'!$J$5:$J$2162,AG$1)</f>
        <v>0</v>
      </c>
      <c r="AH198" s="80">
        <f>SUMIFS('октябрь 2024'!$G$5:$G$2162,'октябрь 2024'!$D$5:$D$2162,$B198,'октябрь 2024'!$J$5:$J$2162,AH$1)</f>
        <v>0</v>
      </c>
      <c r="AI198" s="87"/>
    </row>
    <row r="199" spans="2:35" ht="15" hidden="1" customHeight="1" x14ac:dyDescent="0.25">
      <c r="B199" s="89"/>
      <c r="C199" s="88"/>
      <c r="D199" s="80">
        <f>SUMIFS('октябрь 2024'!$G$5:$G$2162,'октябрь 2024'!$D$5:$D$2162,$B199,'октябрь 2024'!$J$5:$J$2162,D$1)</f>
        <v>0</v>
      </c>
      <c r="E199" s="80">
        <f>SUMIFS('октябрь 2024'!$G$5:$G$2162,'октябрь 2024'!$D$5:$D$2162,$B199,'октябрь 2024'!$J$5:$J$2162,E$1)</f>
        <v>0</v>
      </c>
      <c r="F199" s="80">
        <f>SUMIFS('октябрь 2024'!$G$5:$G$2162,'октябрь 2024'!$D$5:$D$2162,$B199,'октябрь 2024'!$J$5:$J$2162,F$1)</f>
        <v>0</v>
      </c>
      <c r="G199" s="80">
        <f>SUMIFS('октябрь 2024'!$G$5:$G$2162,'октябрь 2024'!$D$5:$D$2162,$B199,'октябрь 2024'!$J$5:$J$2162,G$1)</f>
        <v>0</v>
      </c>
      <c r="H199" s="80">
        <f>SUMIFS('октябрь 2024'!$G$5:$G$2162,'октябрь 2024'!$D$5:$D$2162,$B199,'октябрь 2024'!$J$5:$J$2162,H$1)</f>
        <v>0</v>
      </c>
      <c r="I199" s="80">
        <f>SUMIFS('октябрь 2024'!$G$5:$G$2162,'октябрь 2024'!$D$5:$D$2162,$B199,'октябрь 2024'!$J$5:$J$2162,I$1)</f>
        <v>0</v>
      </c>
      <c r="J199" s="80">
        <f>SUMIFS('октябрь 2024'!$G$5:$G$2162,'октябрь 2024'!$D$5:$D$2162,$B199,'октябрь 2024'!$J$5:$J$2162,J$1)</f>
        <v>0</v>
      </c>
      <c r="K199" s="80">
        <f>SUMIFS('октябрь 2024'!$G$5:$G$2162,'октябрь 2024'!$D$5:$D$2162,$B199,'октябрь 2024'!$J$5:$J$2162,K$1)</f>
        <v>0</v>
      </c>
      <c r="L199" s="80">
        <f>SUMIFS('октябрь 2024'!$G$5:$G$2162,'октябрь 2024'!$D$5:$D$2162,$B199,'октябрь 2024'!$J$5:$J$2162,L$1)</f>
        <v>0</v>
      </c>
      <c r="M199" s="80">
        <f>SUMIFS('октябрь 2024'!$G$5:$G$2162,'октябрь 2024'!$D$5:$D$2162,$B199,'октябрь 2024'!$J$5:$J$2162,M$1)</f>
        <v>0</v>
      </c>
      <c r="N199" s="80">
        <f>SUMIFS('октябрь 2024'!$G$5:$G$2162,'октябрь 2024'!$D$5:$D$2162,$B199,'октябрь 2024'!$J$5:$J$2162,N$1)</f>
        <v>0</v>
      </c>
      <c r="O199" s="80">
        <f>SUMIFS('октябрь 2024'!$G$5:$G$2162,'октябрь 2024'!$D$5:$D$2162,$B199,'октябрь 2024'!$J$5:$J$2162,O$1)</f>
        <v>0</v>
      </c>
      <c r="P199" s="80">
        <f>SUMIFS('октябрь 2024'!$G$5:$G$2162,'октябрь 2024'!$D$5:$D$2162,$B199,'октябрь 2024'!$J$5:$J$2162,P$1)</f>
        <v>0</v>
      </c>
      <c r="Q199" s="80">
        <f>SUMIFS('октябрь 2024'!$G$5:$G$2162,'октябрь 2024'!$D$5:$D$2162,$B199,'октябрь 2024'!$J$5:$J$2162,Q$1)</f>
        <v>0</v>
      </c>
      <c r="R199" s="80">
        <f>SUMIFS('октябрь 2024'!$G$5:$G$2162,'октябрь 2024'!$D$5:$D$2162,$B199,'октябрь 2024'!$J$5:$J$2162,R$1)</f>
        <v>0</v>
      </c>
      <c r="S199" s="80">
        <f>SUMIFS('октябрь 2024'!$G$5:$G$2162,'октябрь 2024'!$D$5:$D$2162,$B199,'октябрь 2024'!$J$5:$J$2162,S$1)</f>
        <v>0</v>
      </c>
      <c r="T199" s="80">
        <f>SUMIFS('октябрь 2024'!$G$5:$G$2162,'октябрь 2024'!$D$5:$D$2162,$B199,'октябрь 2024'!$J$5:$J$2162,T$1)</f>
        <v>0</v>
      </c>
      <c r="U199" s="80">
        <f>SUMIFS('октябрь 2024'!$G$5:$G$2162,'октябрь 2024'!$D$5:$D$2162,$B199,'октябрь 2024'!$J$5:$J$2162,U$1)</f>
        <v>0</v>
      </c>
      <c r="V199" s="80">
        <f>SUMIFS('октябрь 2024'!$G$5:$G$2162,'октябрь 2024'!$D$5:$D$2162,$B199,'октябрь 2024'!$J$5:$J$2162,V$1)</f>
        <v>0</v>
      </c>
      <c r="W199" s="80">
        <f>SUMIFS('октябрь 2024'!$G$5:$G$2162,'октябрь 2024'!$D$5:$D$2162,$B199,'октябрь 2024'!$J$5:$J$2162,W$1)</f>
        <v>0</v>
      </c>
      <c r="X199" s="80">
        <f>SUMIFS('октябрь 2024'!$G$5:$G$2162,'октябрь 2024'!$D$5:$D$2162,$B199,'октябрь 2024'!$J$5:$J$2162,X$1)</f>
        <v>0</v>
      </c>
      <c r="Y199" s="80">
        <f>SUMIFS('октябрь 2024'!$G$5:$G$2162,'октябрь 2024'!$D$5:$D$2162,$B199,'октябрь 2024'!$J$5:$J$2162,Y$1)</f>
        <v>0</v>
      </c>
      <c r="Z199" s="80">
        <f>SUMIFS('октябрь 2024'!$G$5:$G$2162,'октябрь 2024'!$D$5:$D$2162,$B199,'октябрь 2024'!$J$5:$J$2162,Z$1)</f>
        <v>0</v>
      </c>
      <c r="AA199" s="80">
        <f>SUMIFS('октябрь 2024'!$G$5:$G$2162,'октябрь 2024'!$D$5:$D$2162,$B199,'октябрь 2024'!$J$5:$J$2162,AA$1)</f>
        <v>0</v>
      </c>
      <c r="AB199" s="80">
        <f>SUMIFS('октябрь 2024'!$G$5:$G$2162,'октябрь 2024'!$D$5:$D$2162,$B199,'октябрь 2024'!$J$5:$J$2162,AB$1)</f>
        <v>0</v>
      </c>
      <c r="AC199" s="80">
        <f>SUMIFS('октябрь 2024'!$G$5:$G$2162,'октябрь 2024'!$D$5:$D$2162,$B199,'октябрь 2024'!$J$5:$J$2162,AC$1)</f>
        <v>0</v>
      </c>
      <c r="AD199" s="80">
        <f>SUMIFS('октябрь 2024'!$G$5:$G$2162,'октябрь 2024'!$D$5:$D$2162,$B199,'октябрь 2024'!$J$5:$J$2162,AD$1)</f>
        <v>0</v>
      </c>
      <c r="AE199" s="80">
        <f>SUMIFS('октябрь 2024'!$G$5:$G$2162,'октябрь 2024'!$D$5:$D$2162,$B199,'октябрь 2024'!$J$5:$J$2162,AE$1)</f>
        <v>0</v>
      </c>
      <c r="AF199" s="80">
        <f>SUMIFS('октябрь 2024'!$G$5:$G$2162,'октябрь 2024'!$D$5:$D$2162,$B199,'октябрь 2024'!$J$5:$J$2162,AF$1)</f>
        <v>0</v>
      </c>
      <c r="AG199" s="80">
        <f>SUMIFS('октябрь 2024'!$G$5:$G$2162,'октябрь 2024'!$D$5:$D$2162,$B199,'октябрь 2024'!$J$5:$J$2162,AG$1)</f>
        <v>0</v>
      </c>
      <c r="AH199" s="80">
        <f>SUMIFS('октябрь 2024'!$G$5:$G$2162,'октябрь 2024'!$D$5:$D$2162,$B199,'октябрь 2024'!$J$5:$J$2162,AH$1)</f>
        <v>0</v>
      </c>
      <c r="AI199" s="87"/>
    </row>
    <row r="200" spans="2:35" ht="15" hidden="1" customHeight="1" x14ac:dyDescent="0.25">
      <c r="B200" s="89"/>
      <c r="C200" s="88"/>
      <c r="D200" s="80">
        <f>SUMIFS('октябрь 2024'!$G$5:$G$2162,'октябрь 2024'!$D$5:$D$2162,$B200,'октябрь 2024'!$J$5:$J$2162,D$1)</f>
        <v>0</v>
      </c>
      <c r="E200" s="80">
        <f>SUMIFS('октябрь 2024'!$G$5:$G$2162,'октябрь 2024'!$D$5:$D$2162,$B200,'октябрь 2024'!$J$5:$J$2162,E$1)</f>
        <v>0</v>
      </c>
      <c r="F200" s="80">
        <f>SUMIFS('октябрь 2024'!$G$5:$G$2162,'октябрь 2024'!$D$5:$D$2162,$B200,'октябрь 2024'!$J$5:$J$2162,F$1)</f>
        <v>0</v>
      </c>
      <c r="G200" s="80">
        <f>SUMIFS('октябрь 2024'!$G$5:$G$2162,'октябрь 2024'!$D$5:$D$2162,$B200,'октябрь 2024'!$J$5:$J$2162,G$1)</f>
        <v>0</v>
      </c>
      <c r="H200" s="80">
        <f>SUMIFS('октябрь 2024'!$G$5:$G$2162,'октябрь 2024'!$D$5:$D$2162,$B200,'октябрь 2024'!$J$5:$J$2162,H$1)</f>
        <v>0</v>
      </c>
      <c r="I200" s="80">
        <f>SUMIFS('октябрь 2024'!$G$5:$G$2162,'октябрь 2024'!$D$5:$D$2162,$B200,'октябрь 2024'!$J$5:$J$2162,I$1)</f>
        <v>0</v>
      </c>
      <c r="J200" s="80">
        <f>SUMIFS('октябрь 2024'!$G$5:$G$2162,'октябрь 2024'!$D$5:$D$2162,$B200,'октябрь 2024'!$J$5:$J$2162,J$1)</f>
        <v>0</v>
      </c>
      <c r="K200" s="80">
        <f>SUMIFS('октябрь 2024'!$G$5:$G$2162,'октябрь 2024'!$D$5:$D$2162,$B200,'октябрь 2024'!$J$5:$J$2162,K$1)</f>
        <v>0</v>
      </c>
      <c r="L200" s="80">
        <f>SUMIFS('октябрь 2024'!$G$5:$G$2162,'октябрь 2024'!$D$5:$D$2162,$B200,'октябрь 2024'!$J$5:$J$2162,L$1)</f>
        <v>0</v>
      </c>
      <c r="M200" s="80">
        <f>SUMIFS('октябрь 2024'!$G$5:$G$2162,'октябрь 2024'!$D$5:$D$2162,$B200,'октябрь 2024'!$J$5:$J$2162,M$1)</f>
        <v>0</v>
      </c>
      <c r="N200" s="80">
        <f>SUMIFS('октябрь 2024'!$G$5:$G$2162,'октябрь 2024'!$D$5:$D$2162,$B200,'октябрь 2024'!$J$5:$J$2162,N$1)</f>
        <v>0</v>
      </c>
      <c r="O200" s="80">
        <f>SUMIFS('октябрь 2024'!$G$5:$G$2162,'октябрь 2024'!$D$5:$D$2162,$B200,'октябрь 2024'!$J$5:$J$2162,O$1)</f>
        <v>0</v>
      </c>
      <c r="P200" s="80">
        <f>SUMIFS('октябрь 2024'!$G$5:$G$2162,'октябрь 2024'!$D$5:$D$2162,$B200,'октябрь 2024'!$J$5:$J$2162,P$1)</f>
        <v>0</v>
      </c>
      <c r="Q200" s="80">
        <f>SUMIFS('октябрь 2024'!$G$5:$G$2162,'октябрь 2024'!$D$5:$D$2162,$B200,'октябрь 2024'!$J$5:$J$2162,Q$1)</f>
        <v>0</v>
      </c>
      <c r="R200" s="80">
        <f>SUMIFS('октябрь 2024'!$G$5:$G$2162,'октябрь 2024'!$D$5:$D$2162,$B200,'октябрь 2024'!$J$5:$J$2162,R$1)</f>
        <v>0</v>
      </c>
      <c r="S200" s="80">
        <f>SUMIFS('октябрь 2024'!$G$5:$G$2162,'октябрь 2024'!$D$5:$D$2162,$B200,'октябрь 2024'!$J$5:$J$2162,S$1)</f>
        <v>0</v>
      </c>
      <c r="T200" s="80">
        <f>SUMIFS('октябрь 2024'!$G$5:$G$2162,'октябрь 2024'!$D$5:$D$2162,$B200,'октябрь 2024'!$J$5:$J$2162,T$1)</f>
        <v>0</v>
      </c>
      <c r="U200" s="80">
        <f>SUMIFS('октябрь 2024'!$G$5:$G$2162,'октябрь 2024'!$D$5:$D$2162,$B200,'октябрь 2024'!$J$5:$J$2162,U$1)</f>
        <v>0</v>
      </c>
      <c r="V200" s="80">
        <f>SUMIFS('октябрь 2024'!$G$5:$G$2162,'октябрь 2024'!$D$5:$D$2162,$B200,'октябрь 2024'!$J$5:$J$2162,V$1)</f>
        <v>0</v>
      </c>
      <c r="W200" s="80">
        <f>SUMIFS('октябрь 2024'!$G$5:$G$2162,'октябрь 2024'!$D$5:$D$2162,$B200,'октябрь 2024'!$J$5:$J$2162,W$1)</f>
        <v>0</v>
      </c>
      <c r="X200" s="80">
        <f>SUMIFS('октябрь 2024'!$G$5:$G$2162,'октябрь 2024'!$D$5:$D$2162,$B200,'октябрь 2024'!$J$5:$J$2162,X$1)</f>
        <v>0</v>
      </c>
      <c r="Y200" s="80">
        <f>SUMIFS('октябрь 2024'!$G$5:$G$2162,'октябрь 2024'!$D$5:$D$2162,$B200,'октябрь 2024'!$J$5:$J$2162,Y$1)</f>
        <v>0</v>
      </c>
      <c r="Z200" s="80">
        <f>SUMIFS('октябрь 2024'!$G$5:$G$2162,'октябрь 2024'!$D$5:$D$2162,$B200,'октябрь 2024'!$J$5:$J$2162,Z$1)</f>
        <v>0</v>
      </c>
      <c r="AA200" s="80">
        <f>SUMIFS('октябрь 2024'!$G$5:$G$2162,'октябрь 2024'!$D$5:$D$2162,$B200,'октябрь 2024'!$J$5:$J$2162,AA$1)</f>
        <v>0</v>
      </c>
      <c r="AB200" s="80">
        <f>SUMIFS('октябрь 2024'!$G$5:$G$2162,'октябрь 2024'!$D$5:$D$2162,$B200,'октябрь 2024'!$J$5:$J$2162,AB$1)</f>
        <v>0</v>
      </c>
      <c r="AC200" s="80">
        <f>SUMIFS('октябрь 2024'!$G$5:$G$2162,'октябрь 2024'!$D$5:$D$2162,$B200,'октябрь 2024'!$J$5:$J$2162,AC$1)</f>
        <v>0</v>
      </c>
      <c r="AD200" s="80">
        <f>SUMIFS('октябрь 2024'!$G$5:$G$2162,'октябрь 2024'!$D$5:$D$2162,$B200,'октябрь 2024'!$J$5:$J$2162,AD$1)</f>
        <v>0</v>
      </c>
      <c r="AE200" s="80">
        <f>SUMIFS('октябрь 2024'!$G$5:$G$2162,'октябрь 2024'!$D$5:$D$2162,$B200,'октябрь 2024'!$J$5:$J$2162,AE$1)</f>
        <v>0</v>
      </c>
      <c r="AF200" s="80">
        <f>SUMIFS('октябрь 2024'!$G$5:$G$2162,'октябрь 2024'!$D$5:$D$2162,$B200,'октябрь 2024'!$J$5:$J$2162,AF$1)</f>
        <v>0</v>
      </c>
      <c r="AG200" s="80">
        <f>SUMIFS('октябрь 2024'!$G$5:$G$2162,'октябрь 2024'!$D$5:$D$2162,$B200,'октябрь 2024'!$J$5:$J$2162,AG$1)</f>
        <v>0</v>
      </c>
      <c r="AH200" s="80">
        <f>SUMIFS('октябрь 2024'!$G$5:$G$2162,'октябрь 2024'!$D$5:$D$2162,$B200,'октябрь 2024'!$J$5:$J$2162,AH$1)</f>
        <v>0</v>
      </c>
      <c r="AI200" s="87"/>
    </row>
    <row r="201" spans="2:35" ht="15" hidden="1" customHeight="1" x14ac:dyDescent="0.25">
      <c r="B201" s="89"/>
      <c r="C201" s="88"/>
      <c r="D201" s="80">
        <f>SUMIFS('октябрь 2024'!$G$5:$G$2162,'октябрь 2024'!$D$5:$D$2162,$B201,'октябрь 2024'!$J$5:$J$2162,D$1)</f>
        <v>0</v>
      </c>
      <c r="E201" s="80">
        <f>SUMIFS('октябрь 2024'!$G$5:$G$2162,'октябрь 2024'!$D$5:$D$2162,$B201,'октябрь 2024'!$J$5:$J$2162,E$1)</f>
        <v>0</v>
      </c>
      <c r="F201" s="80">
        <f>SUMIFS('октябрь 2024'!$G$5:$G$2162,'октябрь 2024'!$D$5:$D$2162,$B201,'октябрь 2024'!$J$5:$J$2162,F$1)</f>
        <v>0</v>
      </c>
      <c r="G201" s="80">
        <f>SUMIFS('октябрь 2024'!$G$5:$G$2162,'октябрь 2024'!$D$5:$D$2162,$B201,'октябрь 2024'!$J$5:$J$2162,G$1)</f>
        <v>0</v>
      </c>
      <c r="H201" s="80">
        <f>SUMIFS('октябрь 2024'!$G$5:$G$2162,'октябрь 2024'!$D$5:$D$2162,$B201,'октябрь 2024'!$J$5:$J$2162,H$1)</f>
        <v>0</v>
      </c>
      <c r="I201" s="80">
        <f>SUMIFS('октябрь 2024'!$G$5:$G$2162,'октябрь 2024'!$D$5:$D$2162,$B201,'октябрь 2024'!$J$5:$J$2162,I$1)</f>
        <v>0</v>
      </c>
      <c r="J201" s="80">
        <f>SUMIFS('октябрь 2024'!$G$5:$G$2162,'октябрь 2024'!$D$5:$D$2162,$B201,'октябрь 2024'!$J$5:$J$2162,J$1)</f>
        <v>0</v>
      </c>
      <c r="K201" s="80">
        <f>SUMIFS('октябрь 2024'!$G$5:$G$2162,'октябрь 2024'!$D$5:$D$2162,$B201,'октябрь 2024'!$J$5:$J$2162,K$1)</f>
        <v>0</v>
      </c>
      <c r="L201" s="80">
        <f>SUMIFS('октябрь 2024'!$G$5:$G$2162,'октябрь 2024'!$D$5:$D$2162,$B201,'октябрь 2024'!$J$5:$J$2162,L$1)</f>
        <v>0</v>
      </c>
      <c r="M201" s="80">
        <f>SUMIFS('октябрь 2024'!$G$5:$G$2162,'октябрь 2024'!$D$5:$D$2162,$B201,'октябрь 2024'!$J$5:$J$2162,M$1)</f>
        <v>0</v>
      </c>
      <c r="N201" s="80">
        <f>SUMIFS('октябрь 2024'!$G$5:$G$2162,'октябрь 2024'!$D$5:$D$2162,$B201,'октябрь 2024'!$J$5:$J$2162,N$1)</f>
        <v>0</v>
      </c>
      <c r="O201" s="80">
        <f>SUMIFS('октябрь 2024'!$G$5:$G$2162,'октябрь 2024'!$D$5:$D$2162,$B201,'октябрь 2024'!$J$5:$J$2162,O$1)</f>
        <v>0</v>
      </c>
      <c r="P201" s="80">
        <f>SUMIFS('октябрь 2024'!$G$5:$G$2162,'октябрь 2024'!$D$5:$D$2162,$B201,'октябрь 2024'!$J$5:$J$2162,P$1)</f>
        <v>0</v>
      </c>
      <c r="Q201" s="80">
        <f>SUMIFS('октябрь 2024'!$G$5:$G$2162,'октябрь 2024'!$D$5:$D$2162,$B201,'октябрь 2024'!$J$5:$J$2162,Q$1)</f>
        <v>0</v>
      </c>
      <c r="R201" s="80">
        <f>SUMIFS('октябрь 2024'!$G$5:$G$2162,'октябрь 2024'!$D$5:$D$2162,$B201,'октябрь 2024'!$J$5:$J$2162,R$1)</f>
        <v>0</v>
      </c>
      <c r="S201" s="80">
        <f>SUMIFS('октябрь 2024'!$G$5:$G$2162,'октябрь 2024'!$D$5:$D$2162,$B201,'октябрь 2024'!$J$5:$J$2162,S$1)</f>
        <v>0</v>
      </c>
      <c r="T201" s="80">
        <f>SUMIFS('октябрь 2024'!$G$5:$G$2162,'октябрь 2024'!$D$5:$D$2162,$B201,'октябрь 2024'!$J$5:$J$2162,T$1)</f>
        <v>0</v>
      </c>
      <c r="U201" s="80">
        <f>SUMIFS('октябрь 2024'!$G$5:$G$2162,'октябрь 2024'!$D$5:$D$2162,$B201,'октябрь 2024'!$J$5:$J$2162,U$1)</f>
        <v>0</v>
      </c>
      <c r="V201" s="80">
        <f>SUMIFS('октябрь 2024'!$G$5:$G$2162,'октябрь 2024'!$D$5:$D$2162,$B201,'октябрь 2024'!$J$5:$J$2162,V$1)</f>
        <v>0</v>
      </c>
      <c r="W201" s="80">
        <f>SUMIFS('октябрь 2024'!$G$5:$G$2162,'октябрь 2024'!$D$5:$D$2162,$B201,'октябрь 2024'!$J$5:$J$2162,W$1)</f>
        <v>0</v>
      </c>
      <c r="X201" s="80">
        <f>SUMIFS('октябрь 2024'!$G$5:$G$2162,'октябрь 2024'!$D$5:$D$2162,$B201,'октябрь 2024'!$J$5:$J$2162,X$1)</f>
        <v>0</v>
      </c>
      <c r="Y201" s="80">
        <f>SUMIFS('октябрь 2024'!$G$5:$G$2162,'октябрь 2024'!$D$5:$D$2162,$B201,'октябрь 2024'!$J$5:$J$2162,Y$1)</f>
        <v>0</v>
      </c>
      <c r="Z201" s="80">
        <f>SUMIFS('октябрь 2024'!$G$5:$G$2162,'октябрь 2024'!$D$5:$D$2162,$B201,'октябрь 2024'!$J$5:$J$2162,Z$1)</f>
        <v>0</v>
      </c>
      <c r="AA201" s="80">
        <f>SUMIFS('октябрь 2024'!$G$5:$G$2162,'октябрь 2024'!$D$5:$D$2162,$B201,'октябрь 2024'!$J$5:$J$2162,AA$1)</f>
        <v>0</v>
      </c>
      <c r="AB201" s="80">
        <f>SUMIFS('октябрь 2024'!$G$5:$G$2162,'октябрь 2024'!$D$5:$D$2162,$B201,'октябрь 2024'!$J$5:$J$2162,AB$1)</f>
        <v>0</v>
      </c>
      <c r="AC201" s="80">
        <f>SUMIFS('октябрь 2024'!$G$5:$G$2162,'октябрь 2024'!$D$5:$D$2162,$B201,'октябрь 2024'!$J$5:$J$2162,AC$1)</f>
        <v>0</v>
      </c>
      <c r="AD201" s="80">
        <f>SUMIFS('октябрь 2024'!$G$5:$G$2162,'октябрь 2024'!$D$5:$D$2162,$B201,'октябрь 2024'!$J$5:$J$2162,AD$1)</f>
        <v>0</v>
      </c>
      <c r="AE201" s="80">
        <f>SUMIFS('октябрь 2024'!$G$5:$G$2162,'октябрь 2024'!$D$5:$D$2162,$B201,'октябрь 2024'!$J$5:$J$2162,AE$1)</f>
        <v>0</v>
      </c>
      <c r="AF201" s="80">
        <f>SUMIFS('октябрь 2024'!$G$5:$G$2162,'октябрь 2024'!$D$5:$D$2162,$B201,'октябрь 2024'!$J$5:$J$2162,AF$1)</f>
        <v>0</v>
      </c>
      <c r="AG201" s="80">
        <f>SUMIFS('октябрь 2024'!$G$5:$G$2162,'октябрь 2024'!$D$5:$D$2162,$B201,'октябрь 2024'!$J$5:$J$2162,AG$1)</f>
        <v>0</v>
      </c>
      <c r="AH201" s="80">
        <f>SUMIFS('октябрь 2024'!$G$5:$G$2162,'октябрь 2024'!$D$5:$D$2162,$B201,'октябрь 2024'!$J$5:$J$2162,AH$1)</f>
        <v>0</v>
      </c>
      <c r="AI201" s="87"/>
    </row>
    <row r="202" spans="2:35" ht="15" hidden="1" customHeight="1" x14ac:dyDescent="0.25">
      <c r="B202" s="89"/>
      <c r="C202" s="88"/>
      <c r="D202" s="80">
        <f>SUMIFS('октябрь 2024'!$G$5:$G$2162,'октябрь 2024'!$D$5:$D$2162,$B202,'октябрь 2024'!$J$5:$J$2162,D$1)</f>
        <v>0</v>
      </c>
      <c r="E202" s="80">
        <f>SUMIFS('октябрь 2024'!$G$5:$G$2162,'октябрь 2024'!$D$5:$D$2162,$B202,'октябрь 2024'!$J$5:$J$2162,E$1)</f>
        <v>0</v>
      </c>
      <c r="F202" s="80">
        <f>SUMIFS('октябрь 2024'!$G$5:$G$2162,'октябрь 2024'!$D$5:$D$2162,$B202,'октябрь 2024'!$J$5:$J$2162,F$1)</f>
        <v>0</v>
      </c>
      <c r="G202" s="80">
        <f>SUMIFS('октябрь 2024'!$G$5:$G$2162,'октябрь 2024'!$D$5:$D$2162,$B202,'октябрь 2024'!$J$5:$J$2162,G$1)</f>
        <v>0</v>
      </c>
      <c r="H202" s="80">
        <f>SUMIFS('октябрь 2024'!$G$5:$G$2162,'октябрь 2024'!$D$5:$D$2162,$B202,'октябрь 2024'!$J$5:$J$2162,H$1)</f>
        <v>0</v>
      </c>
      <c r="I202" s="80">
        <f>SUMIFS('октябрь 2024'!$G$5:$G$2162,'октябрь 2024'!$D$5:$D$2162,$B202,'октябрь 2024'!$J$5:$J$2162,I$1)</f>
        <v>0</v>
      </c>
      <c r="J202" s="80">
        <f>SUMIFS('октябрь 2024'!$G$5:$G$2162,'октябрь 2024'!$D$5:$D$2162,$B202,'октябрь 2024'!$J$5:$J$2162,J$1)</f>
        <v>0</v>
      </c>
      <c r="K202" s="80">
        <f>SUMIFS('октябрь 2024'!$G$5:$G$2162,'октябрь 2024'!$D$5:$D$2162,$B202,'октябрь 2024'!$J$5:$J$2162,K$1)</f>
        <v>0</v>
      </c>
      <c r="L202" s="80">
        <f>SUMIFS('октябрь 2024'!$G$5:$G$2162,'октябрь 2024'!$D$5:$D$2162,$B202,'октябрь 2024'!$J$5:$J$2162,L$1)</f>
        <v>0</v>
      </c>
      <c r="M202" s="80">
        <f>SUMIFS('октябрь 2024'!$G$5:$G$2162,'октябрь 2024'!$D$5:$D$2162,$B202,'октябрь 2024'!$J$5:$J$2162,M$1)</f>
        <v>0</v>
      </c>
      <c r="N202" s="80">
        <f>SUMIFS('октябрь 2024'!$G$5:$G$2162,'октябрь 2024'!$D$5:$D$2162,$B202,'октябрь 2024'!$J$5:$J$2162,N$1)</f>
        <v>0</v>
      </c>
      <c r="O202" s="80">
        <f>SUMIFS('октябрь 2024'!$G$5:$G$2162,'октябрь 2024'!$D$5:$D$2162,$B202,'октябрь 2024'!$J$5:$J$2162,O$1)</f>
        <v>0</v>
      </c>
      <c r="P202" s="80">
        <f>SUMIFS('октябрь 2024'!$G$5:$G$2162,'октябрь 2024'!$D$5:$D$2162,$B202,'октябрь 2024'!$J$5:$J$2162,P$1)</f>
        <v>0</v>
      </c>
      <c r="Q202" s="80">
        <f>SUMIFS('октябрь 2024'!$G$5:$G$2162,'октябрь 2024'!$D$5:$D$2162,$B202,'октябрь 2024'!$J$5:$J$2162,Q$1)</f>
        <v>0</v>
      </c>
      <c r="R202" s="80">
        <f>SUMIFS('октябрь 2024'!$G$5:$G$2162,'октябрь 2024'!$D$5:$D$2162,$B202,'октябрь 2024'!$J$5:$J$2162,R$1)</f>
        <v>0</v>
      </c>
      <c r="S202" s="80">
        <f>SUMIFS('октябрь 2024'!$G$5:$G$2162,'октябрь 2024'!$D$5:$D$2162,$B202,'октябрь 2024'!$J$5:$J$2162,S$1)</f>
        <v>0</v>
      </c>
      <c r="T202" s="80">
        <f>SUMIFS('октябрь 2024'!$G$5:$G$2162,'октябрь 2024'!$D$5:$D$2162,$B202,'октябрь 2024'!$J$5:$J$2162,T$1)</f>
        <v>0</v>
      </c>
      <c r="U202" s="80">
        <f>SUMIFS('октябрь 2024'!$G$5:$G$2162,'октябрь 2024'!$D$5:$D$2162,$B202,'октябрь 2024'!$J$5:$J$2162,U$1)</f>
        <v>0</v>
      </c>
      <c r="V202" s="80">
        <f>SUMIFS('октябрь 2024'!$G$5:$G$2162,'октябрь 2024'!$D$5:$D$2162,$B202,'октябрь 2024'!$J$5:$J$2162,V$1)</f>
        <v>0</v>
      </c>
      <c r="W202" s="80">
        <f>SUMIFS('октябрь 2024'!$G$5:$G$2162,'октябрь 2024'!$D$5:$D$2162,$B202,'октябрь 2024'!$J$5:$J$2162,W$1)</f>
        <v>0</v>
      </c>
      <c r="X202" s="80">
        <f>SUMIFS('октябрь 2024'!$G$5:$G$2162,'октябрь 2024'!$D$5:$D$2162,$B202,'октябрь 2024'!$J$5:$J$2162,X$1)</f>
        <v>0</v>
      </c>
      <c r="Y202" s="80">
        <f>SUMIFS('октябрь 2024'!$G$5:$G$2162,'октябрь 2024'!$D$5:$D$2162,$B202,'октябрь 2024'!$J$5:$J$2162,Y$1)</f>
        <v>0</v>
      </c>
      <c r="Z202" s="80">
        <f>SUMIFS('октябрь 2024'!$G$5:$G$2162,'октябрь 2024'!$D$5:$D$2162,$B202,'октябрь 2024'!$J$5:$J$2162,Z$1)</f>
        <v>0</v>
      </c>
      <c r="AA202" s="80">
        <f>SUMIFS('октябрь 2024'!$G$5:$G$2162,'октябрь 2024'!$D$5:$D$2162,$B202,'октябрь 2024'!$J$5:$J$2162,AA$1)</f>
        <v>0</v>
      </c>
      <c r="AB202" s="80">
        <f>SUMIFS('октябрь 2024'!$G$5:$G$2162,'октябрь 2024'!$D$5:$D$2162,$B202,'октябрь 2024'!$J$5:$J$2162,AB$1)</f>
        <v>0</v>
      </c>
      <c r="AC202" s="80">
        <f>SUMIFS('октябрь 2024'!$G$5:$G$2162,'октябрь 2024'!$D$5:$D$2162,$B202,'октябрь 2024'!$J$5:$J$2162,AC$1)</f>
        <v>0</v>
      </c>
      <c r="AD202" s="80">
        <f>SUMIFS('октябрь 2024'!$G$5:$G$2162,'октябрь 2024'!$D$5:$D$2162,$B202,'октябрь 2024'!$J$5:$J$2162,AD$1)</f>
        <v>0</v>
      </c>
      <c r="AE202" s="80">
        <f>SUMIFS('октябрь 2024'!$G$5:$G$2162,'октябрь 2024'!$D$5:$D$2162,$B202,'октябрь 2024'!$J$5:$J$2162,AE$1)</f>
        <v>0</v>
      </c>
      <c r="AF202" s="80">
        <f>SUMIFS('октябрь 2024'!$G$5:$G$2162,'октябрь 2024'!$D$5:$D$2162,$B202,'октябрь 2024'!$J$5:$J$2162,AF$1)</f>
        <v>0</v>
      </c>
      <c r="AG202" s="80">
        <f>SUMIFS('октябрь 2024'!$G$5:$G$2162,'октябрь 2024'!$D$5:$D$2162,$B202,'октябрь 2024'!$J$5:$J$2162,AG$1)</f>
        <v>0</v>
      </c>
      <c r="AH202" s="80">
        <f>SUMIFS('октябрь 2024'!$G$5:$G$2162,'октябрь 2024'!$D$5:$D$2162,$B202,'октябрь 2024'!$J$5:$J$2162,AH$1)</f>
        <v>0</v>
      </c>
      <c r="AI202" s="87"/>
    </row>
    <row r="203" spans="2:35" ht="15" hidden="1" customHeight="1" x14ac:dyDescent="0.25">
      <c r="B203" s="89"/>
      <c r="C203" s="88"/>
      <c r="D203" s="80">
        <f>SUMIFS('октябрь 2024'!$G$5:$G$2162,'октябрь 2024'!$D$5:$D$2162,$B203,'октябрь 2024'!$J$5:$J$2162,D$1)</f>
        <v>0</v>
      </c>
      <c r="E203" s="80">
        <f>SUMIFS('октябрь 2024'!$G$5:$G$2162,'октябрь 2024'!$D$5:$D$2162,$B203,'октябрь 2024'!$J$5:$J$2162,E$1)</f>
        <v>0</v>
      </c>
      <c r="F203" s="80">
        <f>SUMIFS('октябрь 2024'!$G$5:$G$2162,'октябрь 2024'!$D$5:$D$2162,$B203,'октябрь 2024'!$J$5:$J$2162,F$1)</f>
        <v>0</v>
      </c>
      <c r="G203" s="80">
        <f>SUMIFS('октябрь 2024'!$G$5:$G$2162,'октябрь 2024'!$D$5:$D$2162,$B203,'октябрь 2024'!$J$5:$J$2162,G$1)</f>
        <v>0</v>
      </c>
      <c r="H203" s="80">
        <f>SUMIFS('октябрь 2024'!$G$5:$G$2162,'октябрь 2024'!$D$5:$D$2162,$B203,'октябрь 2024'!$J$5:$J$2162,H$1)</f>
        <v>0</v>
      </c>
      <c r="I203" s="80">
        <f>SUMIFS('октябрь 2024'!$G$5:$G$2162,'октябрь 2024'!$D$5:$D$2162,$B203,'октябрь 2024'!$J$5:$J$2162,I$1)</f>
        <v>0</v>
      </c>
      <c r="J203" s="80">
        <f>SUMIFS('октябрь 2024'!$G$5:$G$2162,'октябрь 2024'!$D$5:$D$2162,$B203,'октябрь 2024'!$J$5:$J$2162,J$1)</f>
        <v>0</v>
      </c>
      <c r="K203" s="80">
        <f>SUMIFS('октябрь 2024'!$G$5:$G$2162,'октябрь 2024'!$D$5:$D$2162,$B203,'октябрь 2024'!$J$5:$J$2162,K$1)</f>
        <v>0</v>
      </c>
      <c r="L203" s="80">
        <f>SUMIFS('октябрь 2024'!$G$5:$G$2162,'октябрь 2024'!$D$5:$D$2162,$B203,'октябрь 2024'!$J$5:$J$2162,L$1)</f>
        <v>0</v>
      </c>
      <c r="M203" s="80">
        <f>SUMIFS('октябрь 2024'!$G$5:$G$2162,'октябрь 2024'!$D$5:$D$2162,$B203,'октябрь 2024'!$J$5:$J$2162,M$1)</f>
        <v>0</v>
      </c>
      <c r="N203" s="80">
        <f>SUMIFS('октябрь 2024'!$G$5:$G$2162,'октябрь 2024'!$D$5:$D$2162,$B203,'октябрь 2024'!$J$5:$J$2162,N$1)</f>
        <v>0</v>
      </c>
      <c r="O203" s="80">
        <f>SUMIFS('октябрь 2024'!$G$5:$G$2162,'октябрь 2024'!$D$5:$D$2162,$B203,'октябрь 2024'!$J$5:$J$2162,O$1)</f>
        <v>0</v>
      </c>
      <c r="P203" s="80">
        <f>SUMIFS('октябрь 2024'!$G$5:$G$2162,'октябрь 2024'!$D$5:$D$2162,$B203,'октябрь 2024'!$J$5:$J$2162,P$1)</f>
        <v>0</v>
      </c>
      <c r="Q203" s="80">
        <f>SUMIFS('октябрь 2024'!$G$5:$G$2162,'октябрь 2024'!$D$5:$D$2162,$B203,'октябрь 2024'!$J$5:$J$2162,Q$1)</f>
        <v>0</v>
      </c>
      <c r="R203" s="80">
        <f>SUMIFS('октябрь 2024'!$G$5:$G$2162,'октябрь 2024'!$D$5:$D$2162,$B203,'октябрь 2024'!$J$5:$J$2162,R$1)</f>
        <v>0</v>
      </c>
      <c r="S203" s="80">
        <f>SUMIFS('октябрь 2024'!$G$5:$G$2162,'октябрь 2024'!$D$5:$D$2162,$B203,'октябрь 2024'!$J$5:$J$2162,S$1)</f>
        <v>0</v>
      </c>
      <c r="T203" s="80">
        <f>SUMIFS('октябрь 2024'!$G$5:$G$2162,'октябрь 2024'!$D$5:$D$2162,$B203,'октябрь 2024'!$J$5:$J$2162,T$1)</f>
        <v>0</v>
      </c>
      <c r="U203" s="80">
        <f>SUMIFS('октябрь 2024'!$G$5:$G$2162,'октябрь 2024'!$D$5:$D$2162,$B203,'октябрь 2024'!$J$5:$J$2162,U$1)</f>
        <v>0</v>
      </c>
      <c r="V203" s="80">
        <f>SUMIFS('октябрь 2024'!$G$5:$G$2162,'октябрь 2024'!$D$5:$D$2162,$B203,'октябрь 2024'!$J$5:$J$2162,V$1)</f>
        <v>0</v>
      </c>
      <c r="W203" s="80">
        <f>SUMIFS('октябрь 2024'!$G$5:$G$2162,'октябрь 2024'!$D$5:$D$2162,$B203,'октябрь 2024'!$J$5:$J$2162,W$1)</f>
        <v>0</v>
      </c>
      <c r="X203" s="80">
        <f>SUMIFS('октябрь 2024'!$G$5:$G$2162,'октябрь 2024'!$D$5:$D$2162,$B203,'октябрь 2024'!$J$5:$J$2162,X$1)</f>
        <v>0</v>
      </c>
      <c r="Y203" s="80">
        <f>SUMIFS('октябрь 2024'!$G$5:$G$2162,'октябрь 2024'!$D$5:$D$2162,$B203,'октябрь 2024'!$J$5:$J$2162,Y$1)</f>
        <v>0</v>
      </c>
      <c r="Z203" s="80">
        <f>SUMIFS('октябрь 2024'!$G$5:$G$2162,'октябрь 2024'!$D$5:$D$2162,$B203,'октябрь 2024'!$J$5:$J$2162,Z$1)</f>
        <v>0</v>
      </c>
      <c r="AA203" s="80">
        <f>SUMIFS('октябрь 2024'!$G$5:$G$2162,'октябрь 2024'!$D$5:$D$2162,$B203,'октябрь 2024'!$J$5:$J$2162,AA$1)</f>
        <v>0</v>
      </c>
      <c r="AB203" s="80">
        <f>SUMIFS('октябрь 2024'!$G$5:$G$2162,'октябрь 2024'!$D$5:$D$2162,$B203,'октябрь 2024'!$J$5:$J$2162,AB$1)</f>
        <v>0</v>
      </c>
      <c r="AC203" s="80">
        <f>SUMIFS('октябрь 2024'!$G$5:$G$2162,'октябрь 2024'!$D$5:$D$2162,$B203,'октябрь 2024'!$J$5:$J$2162,AC$1)</f>
        <v>0</v>
      </c>
      <c r="AD203" s="80">
        <f>SUMIFS('октябрь 2024'!$G$5:$G$2162,'октябрь 2024'!$D$5:$D$2162,$B203,'октябрь 2024'!$J$5:$J$2162,AD$1)</f>
        <v>0</v>
      </c>
      <c r="AE203" s="80">
        <f>SUMIFS('октябрь 2024'!$G$5:$G$2162,'октябрь 2024'!$D$5:$D$2162,$B203,'октябрь 2024'!$J$5:$J$2162,AE$1)</f>
        <v>0</v>
      </c>
      <c r="AF203" s="80">
        <f>SUMIFS('октябрь 2024'!$G$5:$G$2162,'октябрь 2024'!$D$5:$D$2162,$B203,'октябрь 2024'!$J$5:$J$2162,AF$1)</f>
        <v>0</v>
      </c>
      <c r="AG203" s="80">
        <f>SUMIFS('октябрь 2024'!$G$5:$G$2162,'октябрь 2024'!$D$5:$D$2162,$B203,'октябрь 2024'!$J$5:$J$2162,AG$1)</f>
        <v>0</v>
      </c>
      <c r="AH203" s="80">
        <f>SUMIFS('октябрь 2024'!$G$5:$G$2162,'октябрь 2024'!$D$5:$D$2162,$B203,'октябрь 2024'!$J$5:$J$2162,AH$1)</f>
        <v>0</v>
      </c>
      <c r="AI203" s="87"/>
    </row>
    <row r="204" spans="2:35" ht="15" hidden="1" customHeight="1" x14ac:dyDescent="0.25">
      <c r="B204" s="89"/>
      <c r="C204" s="88"/>
      <c r="D204" s="80">
        <f>SUMIFS('октябрь 2024'!$G$5:$G$2162,'октябрь 2024'!$D$5:$D$2162,$B204,'октябрь 2024'!$J$5:$J$2162,D$1)</f>
        <v>0</v>
      </c>
      <c r="E204" s="80">
        <f>SUMIFS('октябрь 2024'!$G$5:$G$2162,'октябрь 2024'!$D$5:$D$2162,$B204,'октябрь 2024'!$J$5:$J$2162,E$1)</f>
        <v>0</v>
      </c>
      <c r="F204" s="80">
        <f>SUMIFS('октябрь 2024'!$G$5:$G$2162,'октябрь 2024'!$D$5:$D$2162,$B204,'октябрь 2024'!$J$5:$J$2162,F$1)</f>
        <v>0</v>
      </c>
      <c r="G204" s="80">
        <f>SUMIFS('октябрь 2024'!$G$5:$G$2162,'октябрь 2024'!$D$5:$D$2162,$B204,'октябрь 2024'!$J$5:$J$2162,G$1)</f>
        <v>0</v>
      </c>
      <c r="H204" s="80">
        <f>SUMIFS('октябрь 2024'!$G$5:$G$2162,'октябрь 2024'!$D$5:$D$2162,$B204,'октябрь 2024'!$J$5:$J$2162,H$1)</f>
        <v>0</v>
      </c>
      <c r="I204" s="80">
        <f>SUMIFS('октябрь 2024'!$G$5:$G$2162,'октябрь 2024'!$D$5:$D$2162,$B204,'октябрь 2024'!$J$5:$J$2162,I$1)</f>
        <v>0</v>
      </c>
      <c r="J204" s="80">
        <f>SUMIFS('октябрь 2024'!$G$5:$G$2162,'октябрь 2024'!$D$5:$D$2162,$B204,'октябрь 2024'!$J$5:$J$2162,J$1)</f>
        <v>0</v>
      </c>
      <c r="K204" s="80">
        <f>SUMIFS('октябрь 2024'!$G$5:$G$2162,'октябрь 2024'!$D$5:$D$2162,$B204,'октябрь 2024'!$J$5:$J$2162,K$1)</f>
        <v>0</v>
      </c>
      <c r="L204" s="80">
        <f>SUMIFS('октябрь 2024'!$G$5:$G$2162,'октябрь 2024'!$D$5:$D$2162,$B204,'октябрь 2024'!$J$5:$J$2162,L$1)</f>
        <v>0</v>
      </c>
      <c r="M204" s="80">
        <f>SUMIFS('октябрь 2024'!$G$5:$G$2162,'октябрь 2024'!$D$5:$D$2162,$B204,'октябрь 2024'!$J$5:$J$2162,M$1)</f>
        <v>0</v>
      </c>
      <c r="N204" s="80">
        <f>SUMIFS('октябрь 2024'!$G$5:$G$2162,'октябрь 2024'!$D$5:$D$2162,$B204,'октябрь 2024'!$J$5:$J$2162,N$1)</f>
        <v>0</v>
      </c>
      <c r="O204" s="80">
        <f>SUMIFS('октябрь 2024'!$G$5:$G$2162,'октябрь 2024'!$D$5:$D$2162,$B204,'октябрь 2024'!$J$5:$J$2162,O$1)</f>
        <v>0</v>
      </c>
      <c r="P204" s="80">
        <f>SUMIFS('октябрь 2024'!$G$5:$G$2162,'октябрь 2024'!$D$5:$D$2162,$B204,'октябрь 2024'!$J$5:$J$2162,P$1)</f>
        <v>0</v>
      </c>
      <c r="Q204" s="80">
        <f>SUMIFS('октябрь 2024'!$G$5:$G$2162,'октябрь 2024'!$D$5:$D$2162,$B204,'октябрь 2024'!$J$5:$J$2162,Q$1)</f>
        <v>0</v>
      </c>
      <c r="R204" s="80">
        <f>SUMIFS('октябрь 2024'!$G$5:$G$2162,'октябрь 2024'!$D$5:$D$2162,$B204,'октябрь 2024'!$J$5:$J$2162,R$1)</f>
        <v>0</v>
      </c>
      <c r="S204" s="80">
        <f>SUMIFS('октябрь 2024'!$G$5:$G$2162,'октябрь 2024'!$D$5:$D$2162,$B204,'октябрь 2024'!$J$5:$J$2162,S$1)</f>
        <v>0</v>
      </c>
      <c r="T204" s="80">
        <f>SUMIFS('октябрь 2024'!$G$5:$G$2162,'октябрь 2024'!$D$5:$D$2162,$B204,'октябрь 2024'!$J$5:$J$2162,T$1)</f>
        <v>0</v>
      </c>
      <c r="U204" s="80">
        <f>SUMIFS('октябрь 2024'!$G$5:$G$2162,'октябрь 2024'!$D$5:$D$2162,$B204,'октябрь 2024'!$J$5:$J$2162,U$1)</f>
        <v>0</v>
      </c>
      <c r="V204" s="80">
        <f>SUMIFS('октябрь 2024'!$G$5:$G$2162,'октябрь 2024'!$D$5:$D$2162,$B204,'октябрь 2024'!$J$5:$J$2162,V$1)</f>
        <v>0</v>
      </c>
      <c r="W204" s="80">
        <f>SUMIFS('октябрь 2024'!$G$5:$G$2162,'октябрь 2024'!$D$5:$D$2162,$B204,'октябрь 2024'!$J$5:$J$2162,W$1)</f>
        <v>0</v>
      </c>
      <c r="X204" s="80">
        <f>SUMIFS('октябрь 2024'!$G$5:$G$2162,'октябрь 2024'!$D$5:$D$2162,$B204,'октябрь 2024'!$J$5:$J$2162,X$1)</f>
        <v>0</v>
      </c>
      <c r="Y204" s="80">
        <f>SUMIFS('октябрь 2024'!$G$5:$G$2162,'октябрь 2024'!$D$5:$D$2162,$B204,'октябрь 2024'!$J$5:$J$2162,Y$1)</f>
        <v>0</v>
      </c>
      <c r="Z204" s="80">
        <f>SUMIFS('октябрь 2024'!$G$5:$G$2162,'октябрь 2024'!$D$5:$D$2162,$B204,'октябрь 2024'!$J$5:$J$2162,Z$1)</f>
        <v>0</v>
      </c>
      <c r="AA204" s="80">
        <f>SUMIFS('октябрь 2024'!$G$5:$G$2162,'октябрь 2024'!$D$5:$D$2162,$B204,'октябрь 2024'!$J$5:$J$2162,AA$1)</f>
        <v>0</v>
      </c>
      <c r="AB204" s="80">
        <f>SUMIFS('октябрь 2024'!$G$5:$G$2162,'октябрь 2024'!$D$5:$D$2162,$B204,'октябрь 2024'!$J$5:$J$2162,AB$1)</f>
        <v>0</v>
      </c>
      <c r="AC204" s="80">
        <f>SUMIFS('октябрь 2024'!$G$5:$G$2162,'октябрь 2024'!$D$5:$D$2162,$B204,'октябрь 2024'!$J$5:$J$2162,AC$1)</f>
        <v>0</v>
      </c>
      <c r="AD204" s="80">
        <f>SUMIFS('октябрь 2024'!$G$5:$G$2162,'октябрь 2024'!$D$5:$D$2162,$B204,'октябрь 2024'!$J$5:$J$2162,AD$1)</f>
        <v>0</v>
      </c>
      <c r="AE204" s="80">
        <f>SUMIFS('октябрь 2024'!$G$5:$G$2162,'октябрь 2024'!$D$5:$D$2162,$B204,'октябрь 2024'!$J$5:$J$2162,AE$1)</f>
        <v>0</v>
      </c>
      <c r="AF204" s="80">
        <f>SUMIFS('октябрь 2024'!$G$5:$G$2162,'октябрь 2024'!$D$5:$D$2162,$B204,'октябрь 2024'!$J$5:$J$2162,AF$1)</f>
        <v>0</v>
      </c>
      <c r="AG204" s="80">
        <f>SUMIFS('октябрь 2024'!$G$5:$G$2162,'октябрь 2024'!$D$5:$D$2162,$B204,'октябрь 2024'!$J$5:$J$2162,AG$1)</f>
        <v>0</v>
      </c>
      <c r="AH204" s="80">
        <f>SUMIFS('октябрь 2024'!$G$5:$G$2162,'октябрь 2024'!$D$5:$D$2162,$B204,'октябрь 2024'!$J$5:$J$2162,AH$1)</f>
        <v>0</v>
      </c>
      <c r="AI204" s="87"/>
    </row>
    <row r="205" spans="2:35" ht="15" hidden="1" customHeight="1" x14ac:dyDescent="0.25">
      <c r="B205" s="89"/>
      <c r="C205" s="88"/>
      <c r="D205" s="80">
        <f>SUMIFS('октябрь 2024'!$G$5:$G$2162,'октябрь 2024'!$D$5:$D$2162,$B205,'октябрь 2024'!$J$5:$J$2162,D$1)</f>
        <v>0</v>
      </c>
      <c r="E205" s="80">
        <f>SUMIFS('октябрь 2024'!$G$5:$G$2162,'октябрь 2024'!$D$5:$D$2162,$B205,'октябрь 2024'!$J$5:$J$2162,E$1)</f>
        <v>0</v>
      </c>
      <c r="F205" s="80">
        <f>SUMIFS('октябрь 2024'!$G$5:$G$2162,'октябрь 2024'!$D$5:$D$2162,$B205,'октябрь 2024'!$J$5:$J$2162,F$1)</f>
        <v>0</v>
      </c>
      <c r="G205" s="80">
        <f>SUMIFS('октябрь 2024'!$G$5:$G$2162,'октябрь 2024'!$D$5:$D$2162,$B205,'октябрь 2024'!$J$5:$J$2162,G$1)</f>
        <v>0</v>
      </c>
      <c r="H205" s="80">
        <f>SUMIFS('октябрь 2024'!$G$5:$G$2162,'октябрь 2024'!$D$5:$D$2162,$B205,'октябрь 2024'!$J$5:$J$2162,H$1)</f>
        <v>0</v>
      </c>
      <c r="I205" s="80">
        <f>SUMIFS('октябрь 2024'!$G$5:$G$2162,'октябрь 2024'!$D$5:$D$2162,$B205,'октябрь 2024'!$J$5:$J$2162,I$1)</f>
        <v>0</v>
      </c>
      <c r="J205" s="80">
        <f>SUMIFS('октябрь 2024'!$G$5:$G$2162,'октябрь 2024'!$D$5:$D$2162,$B205,'октябрь 2024'!$J$5:$J$2162,J$1)</f>
        <v>0</v>
      </c>
      <c r="K205" s="80">
        <f>SUMIFS('октябрь 2024'!$G$5:$G$2162,'октябрь 2024'!$D$5:$D$2162,$B205,'октябрь 2024'!$J$5:$J$2162,K$1)</f>
        <v>0</v>
      </c>
      <c r="L205" s="80">
        <f>SUMIFS('октябрь 2024'!$G$5:$G$2162,'октябрь 2024'!$D$5:$D$2162,$B205,'октябрь 2024'!$J$5:$J$2162,L$1)</f>
        <v>0</v>
      </c>
      <c r="M205" s="80">
        <f>SUMIFS('октябрь 2024'!$G$5:$G$2162,'октябрь 2024'!$D$5:$D$2162,$B205,'октябрь 2024'!$J$5:$J$2162,M$1)</f>
        <v>0</v>
      </c>
      <c r="N205" s="80">
        <f>SUMIFS('октябрь 2024'!$G$5:$G$2162,'октябрь 2024'!$D$5:$D$2162,$B205,'октябрь 2024'!$J$5:$J$2162,N$1)</f>
        <v>0</v>
      </c>
      <c r="O205" s="80">
        <f>SUMIFS('октябрь 2024'!$G$5:$G$2162,'октябрь 2024'!$D$5:$D$2162,$B205,'октябрь 2024'!$J$5:$J$2162,O$1)</f>
        <v>0</v>
      </c>
      <c r="P205" s="80">
        <f>SUMIFS('октябрь 2024'!$G$5:$G$2162,'октябрь 2024'!$D$5:$D$2162,$B205,'октябрь 2024'!$J$5:$J$2162,P$1)</f>
        <v>0</v>
      </c>
      <c r="Q205" s="80">
        <f>SUMIFS('октябрь 2024'!$G$5:$G$2162,'октябрь 2024'!$D$5:$D$2162,$B205,'октябрь 2024'!$J$5:$J$2162,Q$1)</f>
        <v>0</v>
      </c>
      <c r="R205" s="80">
        <f>SUMIFS('октябрь 2024'!$G$5:$G$2162,'октябрь 2024'!$D$5:$D$2162,$B205,'октябрь 2024'!$J$5:$J$2162,R$1)</f>
        <v>0</v>
      </c>
      <c r="S205" s="80">
        <f>SUMIFS('октябрь 2024'!$G$5:$G$2162,'октябрь 2024'!$D$5:$D$2162,$B205,'октябрь 2024'!$J$5:$J$2162,S$1)</f>
        <v>0</v>
      </c>
      <c r="T205" s="80">
        <f>SUMIFS('октябрь 2024'!$G$5:$G$2162,'октябрь 2024'!$D$5:$D$2162,$B205,'октябрь 2024'!$J$5:$J$2162,T$1)</f>
        <v>0</v>
      </c>
      <c r="U205" s="80">
        <f>SUMIFS('октябрь 2024'!$G$5:$G$2162,'октябрь 2024'!$D$5:$D$2162,$B205,'октябрь 2024'!$J$5:$J$2162,U$1)</f>
        <v>0</v>
      </c>
      <c r="V205" s="80">
        <f>SUMIFS('октябрь 2024'!$G$5:$G$2162,'октябрь 2024'!$D$5:$D$2162,$B205,'октябрь 2024'!$J$5:$J$2162,V$1)</f>
        <v>0</v>
      </c>
      <c r="W205" s="80">
        <f>SUMIFS('октябрь 2024'!$G$5:$G$2162,'октябрь 2024'!$D$5:$D$2162,$B205,'октябрь 2024'!$J$5:$J$2162,W$1)</f>
        <v>0</v>
      </c>
      <c r="X205" s="80">
        <f>SUMIFS('октябрь 2024'!$G$5:$G$2162,'октябрь 2024'!$D$5:$D$2162,$B205,'октябрь 2024'!$J$5:$J$2162,X$1)</f>
        <v>0</v>
      </c>
      <c r="Y205" s="80">
        <f>SUMIFS('октябрь 2024'!$G$5:$G$2162,'октябрь 2024'!$D$5:$D$2162,$B205,'октябрь 2024'!$J$5:$J$2162,Y$1)</f>
        <v>0</v>
      </c>
      <c r="Z205" s="80">
        <f>SUMIFS('октябрь 2024'!$G$5:$G$2162,'октябрь 2024'!$D$5:$D$2162,$B205,'октябрь 2024'!$J$5:$J$2162,Z$1)</f>
        <v>0</v>
      </c>
      <c r="AA205" s="80">
        <f>SUMIFS('октябрь 2024'!$G$5:$G$2162,'октябрь 2024'!$D$5:$D$2162,$B205,'октябрь 2024'!$J$5:$J$2162,AA$1)</f>
        <v>0</v>
      </c>
      <c r="AB205" s="80">
        <f>SUMIFS('октябрь 2024'!$G$5:$G$2162,'октябрь 2024'!$D$5:$D$2162,$B205,'октябрь 2024'!$J$5:$J$2162,AB$1)</f>
        <v>0</v>
      </c>
      <c r="AC205" s="80">
        <f>SUMIFS('октябрь 2024'!$G$5:$G$2162,'октябрь 2024'!$D$5:$D$2162,$B205,'октябрь 2024'!$J$5:$J$2162,AC$1)</f>
        <v>0</v>
      </c>
      <c r="AD205" s="80">
        <f>SUMIFS('октябрь 2024'!$G$5:$G$2162,'октябрь 2024'!$D$5:$D$2162,$B205,'октябрь 2024'!$J$5:$J$2162,AD$1)</f>
        <v>0</v>
      </c>
      <c r="AE205" s="80">
        <f>SUMIFS('октябрь 2024'!$G$5:$G$2162,'октябрь 2024'!$D$5:$D$2162,$B205,'октябрь 2024'!$J$5:$J$2162,AE$1)</f>
        <v>0</v>
      </c>
      <c r="AF205" s="80">
        <f>SUMIFS('октябрь 2024'!$G$5:$G$2162,'октябрь 2024'!$D$5:$D$2162,$B205,'октябрь 2024'!$J$5:$J$2162,AF$1)</f>
        <v>0</v>
      </c>
      <c r="AG205" s="80">
        <f>SUMIFS('октябрь 2024'!$G$5:$G$2162,'октябрь 2024'!$D$5:$D$2162,$B205,'октябрь 2024'!$J$5:$J$2162,AG$1)</f>
        <v>0</v>
      </c>
      <c r="AH205" s="80">
        <f>SUMIFS('октябрь 2024'!$G$5:$G$2162,'октябрь 2024'!$D$5:$D$2162,$B205,'октябрь 2024'!$J$5:$J$2162,AH$1)</f>
        <v>0</v>
      </c>
      <c r="AI205" s="87"/>
    </row>
    <row r="206" spans="2:35" ht="15" hidden="1" customHeight="1" x14ac:dyDescent="0.25">
      <c r="B206" s="89"/>
      <c r="C206" s="88"/>
      <c r="D206" s="80">
        <f>SUMIFS('октябрь 2024'!$G$5:$G$2162,'октябрь 2024'!$D$5:$D$2162,$B206,'октябрь 2024'!$J$5:$J$2162,D$1)</f>
        <v>0</v>
      </c>
      <c r="E206" s="80">
        <f>SUMIFS('октябрь 2024'!$G$5:$G$2162,'октябрь 2024'!$D$5:$D$2162,$B206,'октябрь 2024'!$J$5:$J$2162,E$1)</f>
        <v>0</v>
      </c>
      <c r="F206" s="80">
        <f>SUMIFS('октябрь 2024'!$G$5:$G$2162,'октябрь 2024'!$D$5:$D$2162,$B206,'октябрь 2024'!$J$5:$J$2162,F$1)</f>
        <v>0</v>
      </c>
      <c r="G206" s="80">
        <f>SUMIFS('октябрь 2024'!$G$5:$G$2162,'октябрь 2024'!$D$5:$D$2162,$B206,'октябрь 2024'!$J$5:$J$2162,G$1)</f>
        <v>0</v>
      </c>
      <c r="H206" s="80">
        <f>SUMIFS('октябрь 2024'!$G$5:$G$2162,'октябрь 2024'!$D$5:$D$2162,$B206,'октябрь 2024'!$J$5:$J$2162,H$1)</f>
        <v>0</v>
      </c>
      <c r="I206" s="80">
        <f>SUMIFS('октябрь 2024'!$G$5:$G$2162,'октябрь 2024'!$D$5:$D$2162,$B206,'октябрь 2024'!$J$5:$J$2162,I$1)</f>
        <v>0</v>
      </c>
      <c r="J206" s="80">
        <f>SUMIFS('октябрь 2024'!$G$5:$G$2162,'октябрь 2024'!$D$5:$D$2162,$B206,'октябрь 2024'!$J$5:$J$2162,J$1)</f>
        <v>0</v>
      </c>
      <c r="K206" s="80">
        <f>SUMIFS('октябрь 2024'!$G$5:$G$2162,'октябрь 2024'!$D$5:$D$2162,$B206,'октябрь 2024'!$J$5:$J$2162,K$1)</f>
        <v>0</v>
      </c>
      <c r="L206" s="80">
        <f>SUMIFS('октябрь 2024'!$G$5:$G$2162,'октябрь 2024'!$D$5:$D$2162,$B206,'октябрь 2024'!$J$5:$J$2162,L$1)</f>
        <v>0</v>
      </c>
      <c r="M206" s="80">
        <f>SUMIFS('октябрь 2024'!$G$5:$G$2162,'октябрь 2024'!$D$5:$D$2162,$B206,'октябрь 2024'!$J$5:$J$2162,M$1)</f>
        <v>0</v>
      </c>
      <c r="N206" s="80">
        <f>SUMIFS('октябрь 2024'!$G$5:$G$2162,'октябрь 2024'!$D$5:$D$2162,$B206,'октябрь 2024'!$J$5:$J$2162,N$1)</f>
        <v>0</v>
      </c>
      <c r="O206" s="80">
        <f>SUMIFS('октябрь 2024'!$G$5:$G$2162,'октябрь 2024'!$D$5:$D$2162,$B206,'октябрь 2024'!$J$5:$J$2162,O$1)</f>
        <v>0</v>
      </c>
      <c r="P206" s="80">
        <f>SUMIFS('октябрь 2024'!$G$5:$G$2162,'октябрь 2024'!$D$5:$D$2162,$B206,'октябрь 2024'!$J$5:$J$2162,P$1)</f>
        <v>0</v>
      </c>
      <c r="Q206" s="80">
        <f>SUMIFS('октябрь 2024'!$G$5:$G$2162,'октябрь 2024'!$D$5:$D$2162,$B206,'октябрь 2024'!$J$5:$J$2162,Q$1)</f>
        <v>0</v>
      </c>
      <c r="R206" s="80">
        <f>SUMIFS('октябрь 2024'!$G$5:$G$2162,'октябрь 2024'!$D$5:$D$2162,$B206,'октябрь 2024'!$J$5:$J$2162,R$1)</f>
        <v>0</v>
      </c>
      <c r="S206" s="80">
        <f>SUMIFS('октябрь 2024'!$G$5:$G$2162,'октябрь 2024'!$D$5:$D$2162,$B206,'октябрь 2024'!$J$5:$J$2162,S$1)</f>
        <v>0</v>
      </c>
      <c r="T206" s="80">
        <f>SUMIFS('октябрь 2024'!$G$5:$G$2162,'октябрь 2024'!$D$5:$D$2162,$B206,'октябрь 2024'!$J$5:$J$2162,T$1)</f>
        <v>0</v>
      </c>
      <c r="U206" s="80">
        <f>SUMIFS('октябрь 2024'!$G$5:$G$2162,'октябрь 2024'!$D$5:$D$2162,$B206,'октябрь 2024'!$J$5:$J$2162,U$1)</f>
        <v>0</v>
      </c>
      <c r="V206" s="80">
        <f>SUMIFS('октябрь 2024'!$G$5:$G$2162,'октябрь 2024'!$D$5:$D$2162,$B206,'октябрь 2024'!$J$5:$J$2162,V$1)</f>
        <v>0</v>
      </c>
      <c r="W206" s="80">
        <f>SUMIFS('октябрь 2024'!$G$5:$G$2162,'октябрь 2024'!$D$5:$D$2162,$B206,'октябрь 2024'!$J$5:$J$2162,W$1)</f>
        <v>0</v>
      </c>
      <c r="X206" s="80">
        <f>SUMIFS('октябрь 2024'!$G$5:$G$2162,'октябрь 2024'!$D$5:$D$2162,$B206,'октябрь 2024'!$J$5:$J$2162,X$1)</f>
        <v>0</v>
      </c>
      <c r="Y206" s="80">
        <f>SUMIFS('октябрь 2024'!$G$5:$G$2162,'октябрь 2024'!$D$5:$D$2162,$B206,'октябрь 2024'!$J$5:$J$2162,Y$1)</f>
        <v>0</v>
      </c>
      <c r="Z206" s="80">
        <f>SUMIFS('октябрь 2024'!$G$5:$G$2162,'октябрь 2024'!$D$5:$D$2162,$B206,'октябрь 2024'!$J$5:$J$2162,Z$1)</f>
        <v>0</v>
      </c>
      <c r="AA206" s="80">
        <f>SUMIFS('октябрь 2024'!$G$5:$G$2162,'октябрь 2024'!$D$5:$D$2162,$B206,'октябрь 2024'!$J$5:$J$2162,AA$1)</f>
        <v>0</v>
      </c>
      <c r="AB206" s="80">
        <f>SUMIFS('октябрь 2024'!$G$5:$G$2162,'октябрь 2024'!$D$5:$D$2162,$B206,'октябрь 2024'!$J$5:$J$2162,AB$1)</f>
        <v>0</v>
      </c>
      <c r="AC206" s="80">
        <f>SUMIFS('октябрь 2024'!$G$5:$G$2162,'октябрь 2024'!$D$5:$D$2162,$B206,'октябрь 2024'!$J$5:$J$2162,AC$1)</f>
        <v>0</v>
      </c>
      <c r="AD206" s="80">
        <f>SUMIFS('октябрь 2024'!$G$5:$G$2162,'октябрь 2024'!$D$5:$D$2162,$B206,'октябрь 2024'!$J$5:$J$2162,AD$1)</f>
        <v>0</v>
      </c>
      <c r="AE206" s="80">
        <f>SUMIFS('октябрь 2024'!$G$5:$G$2162,'октябрь 2024'!$D$5:$D$2162,$B206,'октябрь 2024'!$J$5:$J$2162,AE$1)</f>
        <v>0</v>
      </c>
      <c r="AF206" s="80">
        <f>SUMIFS('октябрь 2024'!$G$5:$G$2162,'октябрь 2024'!$D$5:$D$2162,$B206,'октябрь 2024'!$J$5:$J$2162,AF$1)</f>
        <v>0</v>
      </c>
      <c r="AG206" s="80">
        <f>SUMIFS('октябрь 2024'!$G$5:$G$2162,'октябрь 2024'!$D$5:$D$2162,$B206,'октябрь 2024'!$J$5:$J$2162,AG$1)</f>
        <v>0</v>
      </c>
      <c r="AH206" s="80">
        <f>SUMIFS('октябрь 2024'!$G$5:$G$2162,'октябрь 2024'!$D$5:$D$2162,$B206,'октябрь 2024'!$J$5:$J$2162,AH$1)</f>
        <v>0</v>
      </c>
      <c r="AI206" s="87"/>
    </row>
    <row r="207" spans="2:35" ht="15" hidden="1" customHeight="1" x14ac:dyDescent="0.25">
      <c r="B207" s="89"/>
      <c r="C207" s="88"/>
      <c r="D207" s="80">
        <f>SUMIFS('октябрь 2024'!$G$5:$G$2162,'октябрь 2024'!$D$5:$D$2162,$B207,'октябрь 2024'!$J$5:$J$2162,D$1)</f>
        <v>0</v>
      </c>
      <c r="E207" s="80">
        <f>SUMIFS('октябрь 2024'!$G$5:$G$2162,'октябрь 2024'!$D$5:$D$2162,$B207,'октябрь 2024'!$J$5:$J$2162,E$1)</f>
        <v>0</v>
      </c>
      <c r="F207" s="80">
        <f>SUMIFS('октябрь 2024'!$G$5:$G$2162,'октябрь 2024'!$D$5:$D$2162,$B207,'октябрь 2024'!$J$5:$J$2162,F$1)</f>
        <v>0</v>
      </c>
      <c r="G207" s="80">
        <f>SUMIFS('октябрь 2024'!$G$5:$G$2162,'октябрь 2024'!$D$5:$D$2162,$B207,'октябрь 2024'!$J$5:$J$2162,G$1)</f>
        <v>0</v>
      </c>
      <c r="H207" s="80">
        <f>SUMIFS('октябрь 2024'!$G$5:$G$2162,'октябрь 2024'!$D$5:$D$2162,$B207,'октябрь 2024'!$J$5:$J$2162,H$1)</f>
        <v>0</v>
      </c>
      <c r="I207" s="80">
        <f>SUMIFS('октябрь 2024'!$G$5:$G$2162,'октябрь 2024'!$D$5:$D$2162,$B207,'октябрь 2024'!$J$5:$J$2162,I$1)</f>
        <v>0</v>
      </c>
      <c r="J207" s="80">
        <f>SUMIFS('октябрь 2024'!$G$5:$G$2162,'октябрь 2024'!$D$5:$D$2162,$B207,'октябрь 2024'!$J$5:$J$2162,J$1)</f>
        <v>0</v>
      </c>
      <c r="K207" s="80">
        <f>SUMIFS('октябрь 2024'!$G$5:$G$2162,'октябрь 2024'!$D$5:$D$2162,$B207,'октябрь 2024'!$J$5:$J$2162,K$1)</f>
        <v>0</v>
      </c>
      <c r="L207" s="80">
        <f>SUMIFS('октябрь 2024'!$G$5:$G$2162,'октябрь 2024'!$D$5:$D$2162,$B207,'октябрь 2024'!$J$5:$J$2162,L$1)</f>
        <v>0</v>
      </c>
      <c r="M207" s="80">
        <f>SUMIFS('октябрь 2024'!$G$5:$G$2162,'октябрь 2024'!$D$5:$D$2162,$B207,'октябрь 2024'!$J$5:$J$2162,M$1)</f>
        <v>0</v>
      </c>
      <c r="N207" s="80">
        <f>SUMIFS('октябрь 2024'!$G$5:$G$2162,'октябрь 2024'!$D$5:$D$2162,$B207,'октябрь 2024'!$J$5:$J$2162,N$1)</f>
        <v>0</v>
      </c>
      <c r="O207" s="80">
        <f>SUMIFS('октябрь 2024'!$G$5:$G$2162,'октябрь 2024'!$D$5:$D$2162,$B207,'октябрь 2024'!$J$5:$J$2162,O$1)</f>
        <v>0</v>
      </c>
      <c r="P207" s="80">
        <f>SUMIFS('октябрь 2024'!$G$5:$G$2162,'октябрь 2024'!$D$5:$D$2162,$B207,'октябрь 2024'!$J$5:$J$2162,P$1)</f>
        <v>0</v>
      </c>
      <c r="Q207" s="80">
        <f>SUMIFS('октябрь 2024'!$G$5:$G$2162,'октябрь 2024'!$D$5:$D$2162,$B207,'октябрь 2024'!$J$5:$J$2162,Q$1)</f>
        <v>0</v>
      </c>
      <c r="R207" s="80">
        <f>SUMIFS('октябрь 2024'!$G$5:$G$2162,'октябрь 2024'!$D$5:$D$2162,$B207,'октябрь 2024'!$J$5:$J$2162,R$1)</f>
        <v>0</v>
      </c>
      <c r="S207" s="80">
        <f>SUMIFS('октябрь 2024'!$G$5:$G$2162,'октябрь 2024'!$D$5:$D$2162,$B207,'октябрь 2024'!$J$5:$J$2162,S$1)</f>
        <v>0</v>
      </c>
      <c r="T207" s="80">
        <f>SUMIFS('октябрь 2024'!$G$5:$G$2162,'октябрь 2024'!$D$5:$D$2162,$B207,'октябрь 2024'!$J$5:$J$2162,T$1)</f>
        <v>0</v>
      </c>
      <c r="U207" s="80">
        <f>SUMIFS('октябрь 2024'!$G$5:$G$2162,'октябрь 2024'!$D$5:$D$2162,$B207,'октябрь 2024'!$J$5:$J$2162,U$1)</f>
        <v>0</v>
      </c>
      <c r="V207" s="80">
        <f>SUMIFS('октябрь 2024'!$G$5:$G$2162,'октябрь 2024'!$D$5:$D$2162,$B207,'октябрь 2024'!$J$5:$J$2162,V$1)</f>
        <v>0</v>
      </c>
      <c r="W207" s="80">
        <f>SUMIFS('октябрь 2024'!$G$5:$G$2162,'октябрь 2024'!$D$5:$D$2162,$B207,'октябрь 2024'!$J$5:$J$2162,W$1)</f>
        <v>0</v>
      </c>
      <c r="X207" s="80">
        <f>SUMIFS('октябрь 2024'!$G$5:$G$2162,'октябрь 2024'!$D$5:$D$2162,$B207,'октябрь 2024'!$J$5:$J$2162,X$1)</f>
        <v>0</v>
      </c>
      <c r="Y207" s="80">
        <f>SUMIFS('октябрь 2024'!$G$5:$G$2162,'октябрь 2024'!$D$5:$D$2162,$B207,'октябрь 2024'!$J$5:$J$2162,Y$1)</f>
        <v>0</v>
      </c>
      <c r="Z207" s="80">
        <f>SUMIFS('октябрь 2024'!$G$5:$G$2162,'октябрь 2024'!$D$5:$D$2162,$B207,'октябрь 2024'!$J$5:$J$2162,Z$1)</f>
        <v>0</v>
      </c>
      <c r="AA207" s="80">
        <f>SUMIFS('октябрь 2024'!$G$5:$G$2162,'октябрь 2024'!$D$5:$D$2162,$B207,'октябрь 2024'!$J$5:$J$2162,AA$1)</f>
        <v>0</v>
      </c>
      <c r="AB207" s="80">
        <f>SUMIFS('октябрь 2024'!$G$5:$G$2162,'октябрь 2024'!$D$5:$D$2162,$B207,'октябрь 2024'!$J$5:$J$2162,AB$1)</f>
        <v>0</v>
      </c>
      <c r="AC207" s="80">
        <f>SUMIFS('октябрь 2024'!$G$5:$G$2162,'октябрь 2024'!$D$5:$D$2162,$B207,'октябрь 2024'!$J$5:$J$2162,AC$1)</f>
        <v>0</v>
      </c>
      <c r="AD207" s="80">
        <f>SUMIFS('октябрь 2024'!$G$5:$G$2162,'октябрь 2024'!$D$5:$D$2162,$B207,'октябрь 2024'!$J$5:$J$2162,AD$1)</f>
        <v>0</v>
      </c>
      <c r="AE207" s="80">
        <f>SUMIFS('октябрь 2024'!$G$5:$G$2162,'октябрь 2024'!$D$5:$D$2162,$B207,'октябрь 2024'!$J$5:$J$2162,AE$1)</f>
        <v>0</v>
      </c>
      <c r="AF207" s="80">
        <f>SUMIFS('октябрь 2024'!$G$5:$G$2162,'октябрь 2024'!$D$5:$D$2162,$B207,'октябрь 2024'!$J$5:$J$2162,AF$1)</f>
        <v>0</v>
      </c>
      <c r="AG207" s="80">
        <f>SUMIFS('октябрь 2024'!$G$5:$G$2162,'октябрь 2024'!$D$5:$D$2162,$B207,'октябрь 2024'!$J$5:$J$2162,AG$1)</f>
        <v>0</v>
      </c>
      <c r="AH207" s="80">
        <f>SUMIFS('октябрь 2024'!$G$5:$G$2162,'октябрь 2024'!$D$5:$D$2162,$B207,'октябрь 2024'!$J$5:$J$2162,AH$1)</f>
        <v>0</v>
      </c>
      <c r="AI207" s="87"/>
    </row>
    <row r="208" spans="2:35" ht="15" hidden="1" customHeight="1" x14ac:dyDescent="0.25">
      <c r="B208" s="89"/>
      <c r="C208" s="88"/>
      <c r="D208" s="80">
        <f>SUMIFS('октябрь 2024'!$G$5:$G$2162,'октябрь 2024'!$D$5:$D$2162,$B208,'октябрь 2024'!$J$5:$J$2162,D$1)</f>
        <v>0</v>
      </c>
      <c r="E208" s="80">
        <f>SUMIFS('октябрь 2024'!$G$5:$G$2162,'октябрь 2024'!$D$5:$D$2162,$B208,'октябрь 2024'!$J$5:$J$2162,E$1)</f>
        <v>0</v>
      </c>
      <c r="F208" s="80">
        <f>SUMIFS('октябрь 2024'!$G$5:$G$2162,'октябрь 2024'!$D$5:$D$2162,$B208,'октябрь 2024'!$J$5:$J$2162,F$1)</f>
        <v>0</v>
      </c>
      <c r="G208" s="80">
        <f>SUMIFS('октябрь 2024'!$G$5:$G$2162,'октябрь 2024'!$D$5:$D$2162,$B208,'октябрь 2024'!$J$5:$J$2162,G$1)</f>
        <v>0</v>
      </c>
      <c r="H208" s="80">
        <f>SUMIFS('октябрь 2024'!$G$5:$G$2162,'октябрь 2024'!$D$5:$D$2162,$B208,'октябрь 2024'!$J$5:$J$2162,H$1)</f>
        <v>0</v>
      </c>
      <c r="I208" s="80">
        <f>SUMIFS('октябрь 2024'!$G$5:$G$2162,'октябрь 2024'!$D$5:$D$2162,$B208,'октябрь 2024'!$J$5:$J$2162,I$1)</f>
        <v>0</v>
      </c>
      <c r="J208" s="80">
        <f>SUMIFS('октябрь 2024'!$G$5:$G$2162,'октябрь 2024'!$D$5:$D$2162,$B208,'октябрь 2024'!$J$5:$J$2162,J$1)</f>
        <v>0</v>
      </c>
      <c r="K208" s="80">
        <f>SUMIFS('октябрь 2024'!$G$5:$G$2162,'октябрь 2024'!$D$5:$D$2162,$B208,'октябрь 2024'!$J$5:$J$2162,K$1)</f>
        <v>0</v>
      </c>
      <c r="L208" s="80">
        <f>SUMIFS('октябрь 2024'!$G$5:$G$2162,'октябрь 2024'!$D$5:$D$2162,$B208,'октябрь 2024'!$J$5:$J$2162,L$1)</f>
        <v>0</v>
      </c>
      <c r="M208" s="80">
        <f>SUMIFS('октябрь 2024'!$G$5:$G$2162,'октябрь 2024'!$D$5:$D$2162,$B208,'октябрь 2024'!$J$5:$J$2162,M$1)</f>
        <v>0</v>
      </c>
      <c r="N208" s="80">
        <f>SUMIFS('октябрь 2024'!$G$5:$G$2162,'октябрь 2024'!$D$5:$D$2162,$B208,'октябрь 2024'!$J$5:$J$2162,N$1)</f>
        <v>0</v>
      </c>
      <c r="O208" s="80">
        <f>SUMIFS('октябрь 2024'!$G$5:$G$2162,'октябрь 2024'!$D$5:$D$2162,$B208,'октябрь 2024'!$J$5:$J$2162,O$1)</f>
        <v>0</v>
      </c>
      <c r="P208" s="80">
        <f>SUMIFS('октябрь 2024'!$G$5:$G$2162,'октябрь 2024'!$D$5:$D$2162,$B208,'октябрь 2024'!$J$5:$J$2162,P$1)</f>
        <v>0</v>
      </c>
      <c r="Q208" s="80">
        <f>SUMIFS('октябрь 2024'!$G$5:$G$2162,'октябрь 2024'!$D$5:$D$2162,$B208,'октябрь 2024'!$J$5:$J$2162,Q$1)</f>
        <v>0</v>
      </c>
      <c r="R208" s="80">
        <f>SUMIFS('октябрь 2024'!$G$5:$G$2162,'октябрь 2024'!$D$5:$D$2162,$B208,'октябрь 2024'!$J$5:$J$2162,R$1)</f>
        <v>0</v>
      </c>
      <c r="S208" s="80">
        <f>SUMIFS('октябрь 2024'!$G$5:$G$2162,'октябрь 2024'!$D$5:$D$2162,$B208,'октябрь 2024'!$J$5:$J$2162,S$1)</f>
        <v>0</v>
      </c>
      <c r="T208" s="80">
        <f>SUMIFS('октябрь 2024'!$G$5:$G$2162,'октябрь 2024'!$D$5:$D$2162,$B208,'октябрь 2024'!$J$5:$J$2162,T$1)</f>
        <v>0</v>
      </c>
      <c r="U208" s="80">
        <f>SUMIFS('октябрь 2024'!$G$5:$G$2162,'октябрь 2024'!$D$5:$D$2162,$B208,'октябрь 2024'!$J$5:$J$2162,U$1)</f>
        <v>0</v>
      </c>
      <c r="V208" s="80">
        <f>SUMIFS('октябрь 2024'!$G$5:$G$2162,'октябрь 2024'!$D$5:$D$2162,$B208,'октябрь 2024'!$J$5:$J$2162,V$1)</f>
        <v>0</v>
      </c>
      <c r="W208" s="80">
        <f>SUMIFS('октябрь 2024'!$G$5:$G$2162,'октябрь 2024'!$D$5:$D$2162,$B208,'октябрь 2024'!$J$5:$J$2162,W$1)</f>
        <v>0</v>
      </c>
      <c r="X208" s="80">
        <f>SUMIFS('октябрь 2024'!$G$5:$G$2162,'октябрь 2024'!$D$5:$D$2162,$B208,'октябрь 2024'!$J$5:$J$2162,X$1)</f>
        <v>0</v>
      </c>
      <c r="Y208" s="80">
        <f>SUMIFS('октябрь 2024'!$G$5:$G$2162,'октябрь 2024'!$D$5:$D$2162,$B208,'октябрь 2024'!$J$5:$J$2162,Y$1)</f>
        <v>0</v>
      </c>
      <c r="Z208" s="80">
        <f>SUMIFS('октябрь 2024'!$G$5:$G$2162,'октябрь 2024'!$D$5:$D$2162,$B208,'октябрь 2024'!$J$5:$J$2162,Z$1)</f>
        <v>0</v>
      </c>
      <c r="AA208" s="80">
        <f>SUMIFS('октябрь 2024'!$G$5:$G$2162,'октябрь 2024'!$D$5:$D$2162,$B208,'октябрь 2024'!$J$5:$J$2162,AA$1)</f>
        <v>0</v>
      </c>
      <c r="AB208" s="80">
        <f>SUMIFS('октябрь 2024'!$G$5:$G$2162,'октябрь 2024'!$D$5:$D$2162,$B208,'октябрь 2024'!$J$5:$J$2162,AB$1)</f>
        <v>0</v>
      </c>
      <c r="AC208" s="80">
        <f>SUMIFS('октябрь 2024'!$G$5:$G$2162,'октябрь 2024'!$D$5:$D$2162,$B208,'октябрь 2024'!$J$5:$J$2162,AC$1)</f>
        <v>0</v>
      </c>
      <c r="AD208" s="80">
        <f>SUMIFS('октябрь 2024'!$G$5:$G$2162,'октябрь 2024'!$D$5:$D$2162,$B208,'октябрь 2024'!$J$5:$J$2162,AD$1)</f>
        <v>0</v>
      </c>
      <c r="AE208" s="80">
        <f>SUMIFS('октябрь 2024'!$G$5:$G$2162,'октябрь 2024'!$D$5:$D$2162,$B208,'октябрь 2024'!$J$5:$J$2162,AE$1)</f>
        <v>0</v>
      </c>
      <c r="AF208" s="80">
        <f>SUMIFS('октябрь 2024'!$G$5:$G$2162,'октябрь 2024'!$D$5:$D$2162,$B208,'октябрь 2024'!$J$5:$J$2162,AF$1)</f>
        <v>0</v>
      </c>
      <c r="AG208" s="80">
        <f>SUMIFS('октябрь 2024'!$G$5:$G$2162,'октябрь 2024'!$D$5:$D$2162,$B208,'октябрь 2024'!$J$5:$J$2162,AG$1)</f>
        <v>0</v>
      </c>
      <c r="AH208" s="80">
        <f>SUMIFS('октябрь 2024'!$G$5:$G$2162,'октябрь 2024'!$D$5:$D$2162,$B208,'октябрь 2024'!$J$5:$J$2162,AH$1)</f>
        <v>0</v>
      </c>
      <c r="AI208" s="87"/>
    </row>
    <row r="209" spans="2:35" ht="15" hidden="1" customHeight="1" x14ac:dyDescent="0.25">
      <c r="B209" s="89"/>
      <c r="C209" s="88"/>
      <c r="D209" s="80">
        <f>SUMIFS('октябрь 2024'!$G$5:$G$2162,'октябрь 2024'!$D$5:$D$2162,$B209,'октябрь 2024'!$J$5:$J$2162,D$1)</f>
        <v>0</v>
      </c>
      <c r="E209" s="80">
        <f>SUMIFS('октябрь 2024'!$G$5:$G$2162,'октябрь 2024'!$D$5:$D$2162,$B209,'октябрь 2024'!$J$5:$J$2162,E$1)</f>
        <v>0</v>
      </c>
      <c r="F209" s="80">
        <f>SUMIFS('октябрь 2024'!$G$5:$G$2162,'октябрь 2024'!$D$5:$D$2162,$B209,'октябрь 2024'!$J$5:$J$2162,F$1)</f>
        <v>0</v>
      </c>
      <c r="G209" s="80">
        <f>SUMIFS('октябрь 2024'!$G$5:$G$2162,'октябрь 2024'!$D$5:$D$2162,$B209,'октябрь 2024'!$J$5:$J$2162,G$1)</f>
        <v>0</v>
      </c>
      <c r="H209" s="80">
        <f>SUMIFS('октябрь 2024'!$G$5:$G$2162,'октябрь 2024'!$D$5:$D$2162,$B209,'октябрь 2024'!$J$5:$J$2162,H$1)</f>
        <v>0</v>
      </c>
      <c r="I209" s="80">
        <f>SUMIFS('октябрь 2024'!$G$5:$G$2162,'октябрь 2024'!$D$5:$D$2162,$B209,'октябрь 2024'!$J$5:$J$2162,I$1)</f>
        <v>0</v>
      </c>
      <c r="J209" s="80">
        <f>SUMIFS('октябрь 2024'!$G$5:$G$2162,'октябрь 2024'!$D$5:$D$2162,$B209,'октябрь 2024'!$J$5:$J$2162,J$1)</f>
        <v>0</v>
      </c>
      <c r="K209" s="80">
        <f>SUMIFS('октябрь 2024'!$G$5:$G$2162,'октябрь 2024'!$D$5:$D$2162,$B209,'октябрь 2024'!$J$5:$J$2162,K$1)</f>
        <v>0</v>
      </c>
      <c r="L209" s="80">
        <f>SUMIFS('октябрь 2024'!$G$5:$G$2162,'октябрь 2024'!$D$5:$D$2162,$B209,'октябрь 2024'!$J$5:$J$2162,L$1)</f>
        <v>0</v>
      </c>
      <c r="M209" s="80">
        <f>SUMIFS('октябрь 2024'!$G$5:$G$2162,'октябрь 2024'!$D$5:$D$2162,$B209,'октябрь 2024'!$J$5:$J$2162,M$1)</f>
        <v>0</v>
      </c>
      <c r="N209" s="80">
        <f>SUMIFS('октябрь 2024'!$G$5:$G$2162,'октябрь 2024'!$D$5:$D$2162,$B209,'октябрь 2024'!$J$5:$J$2162,N$1)</f>
        <v>0</v>
      </c>
      <c r="O209" s="80">
        <f>SUMIFS('октябрь 2024'!$G$5:$G$2162,'октябрь 2024'!$D$5:$D$2162,$B209,'октябрь 2024'!$J$5:$J$2162,O$1)</f>
        <v>0</v>
      </c>
      <c r="P209" s="80">
        <f>SUMIFS('октябрь 2024'!$G$5:$G$2162,'октябрь 2024'!$D$5:$D$2162,$B209,'октябрь 2024'!$J$5:$J$2162,P$1)</f>
        <v>0</v>
      </c>
      <c r="Q209" s="80">
        <f>SUMIFS('октябрь 2024'!$G$5:$G$2162,'октябрь 2024'!$D$5:$D$2162,$B209,'октябрь 2024'!$J$5:$J$2162,Q$1)</f>
        <v>0</v>
      </c>
      <c r="R209" s="80">
        <f>SUMIFS('октябрь 2024'!$G$5:$G$2162,'октябрь 2024'!$D$5:$D$2162,$B209,'октябрь 2024'!$J$5:$J$2162,R$1)</f>
        <v>0</v>
      </c>
      <c r="S209" s="80">
        <f>SUMIFS('октябрь 2024'!$G$5:$G$2162,'октябрь 2024'!$D$5:$D$2162,$B209,'октябрь 2024'!$J$5:$J$2162,S$1)</f>
        <v>0</v>
      </c>
      <c r="T209" s="80">
        <f>SUMIFS('октябрь 2024'!$G$5:$G$2162,'октябрь 2024'!$D$5:$D$2162,$B209,'октябрь 2024'!$J$5:$J$2162,T$1)</f>
        <v>0</v>
      </c>
      <c r="U209" s="80">
        <f>SUMIFS('октябрь 2024'!$G$5:$G$2162,'октябрь 2024'!$D$5:$D$2162,$B209,'октябрь 2024'!$J$5:$J$2162,U$1)</f>
        <v>0</v>
      </c>
      <c r="V209" s="80">
        <f>SUMIFS('октябрь 2024'!$G$5:$G$2162,'октябрь 2024'!$D$5:$D$2162,$B209,'октябрь 2024'!$J$5:$J$2162,V$1)</f>
        <v>0</v>
      </c>
      <c r="W209" s="80">
        <f>SUMIFS('октябрь 2024'!$G$5:$G$2162,'октябрь 2024'!$D$5:$D$2162,$B209,'октябрь 2024'!$J$5:$J$2162,W$1)</f>
        <v>0</v>
      </c>
      <c r="X209" s="80">
        <f>SUMIFS('октябрь 2024'!$G$5:$G$2162,'октябрь 2024'!$D$5:$D$2162,$B209,'октябрь 2024'!$J$5:$J$2162,X$1)</f>
        <v>0</v>
      </c>
      <c r="Y209" s="80">
        <f>SUMIFS('октябрь 2024'!$G$5:$G$2162,'октябрь 2024'!$D$5:$D$2162,$B209,'октябрь 2024'!$J$5:$J$2162,Y$1)</f>
        <v>0</v>
      </c>
      <c r="Z209" s="80">
        <f>SUMIFS('октябрь 2024'!$G$5:$G$2162,'октябрь 2024'!$D$5:$D$2162,$B209,'октябрь 2024'!$J$5:$J$2162,Z$1)</f>
        <v>0</v>
      </c>
      <c r="AA209" s="80">
        <f>SUMIFS('октябрь 2024'!$G$5:$G$2162,'октябрь 2024'!$D$5:$D$2162,$B209,'октябрь 2024'!$J$5:$J$2162,AA$1)</f>
        <v>0</v>
      </c>
      <c r="AB209" s="80">
        <f>SUMIFS('октябрь 2024'!$G$5:$G$2162,'октябрь 2024'!$D$5:$D$2162,$B209,'октябрь 2024'!$J$5:$J$2162,AB$1)</f>
        <v>0</v>
      </c>
      <c r="AC209" s="80">
        <f>SUMIFS('октябрь 2024'!$G$5:$G$2162,'октябрь 2024'!$D$5:$D$2162,$B209,'октябрь 2024'!$J$5:$J$2162,AC$1)</f>
        <v>0</v>
      </c>
      <c r="AD209" s="80">
        <f>SUMIFS('октябрь 2024'!$G$5:$G$2162,'октябрь 2024'!$D$5:$D$2162,$B209,'октябрь 2024'!$J$5:$J$2162,AD$1)</f>
        <v>0</v>
      </c>
      <c r="AE209" s="80">
        <f>SUMIFS('октябрь 2024'!$G$5:$G$2162,'октябрь 2024'!$D$5:$D$2162,$B209,'октябрь 2024'!$J$5:$J$2162,AE$1)</f>
        <v>0</v>
      </c>
      <c r="AF209" s="80">
        <f>SUMIFS('октябрь 2024'!$G$5:$G$2162,'октябрь 2024'!$D$5:$D$2162,$B209,'октябрь 2024'!$J$5:$J$2162,AF$1)</f>
        <v>0</v>
      </c>
      <c r="AG209" s="80">
        <f>SUMIFS('октябрь 2024'!$G$5:$G$2162,'октябрь 2024'!$D$5:$D$2162,$B209,'октябрь 2024'!$J$5:$J$2162,AG$1)</f>
        <v>0</v>
      </c>
      <c r="AH209" s="80">
        <f>SUMIFS('октябрь 2024'!$G$5:$G$2162,'октябрь 2024'!$D$5:$D$2162,$B209,'октябрь 2024'!$J$5:$J$2162,AH$1)</f>
        <v>0</v>
      </c>
      <c r="AI209" s="87"/>
    </row>
    <row r="210" spans="2:35" ht="15" hidden="1" customHeight="1" x14ac:dyDescent="0.25">
      <c r="B210" s="89"/>
      <c r="C210" s="88"/>
      <c r="D210" s="80">
        <f>SUMIFS('октябрь 2024'!$G$5:$G$2162,'октябрь 2024'!$D$5:$D$2162,$B210,'октябрь 2024'!$J$5:$J$2162,D$1)</f>
        <v>0</v>
      </c>
      <c r="E210" s="80">
        <f>SUMIFS('октябрь 2024'!$G$5:$G$2162,'октябрь 2024'!$D$5:$D$2162,$B210,'октябрь 2024'!$J$5:$J$2162,E$1)</f>
        <v>0</v>
      </c>
      <c r="F210" s="80">
        <f>SUMIFS('октябрь 2024'!$G$5:$G$2162,'октябрь 2024'!$D$5:$D$2162,$B210,'октябрь 2024'!$J$5:$J$2162,F$1)</f>
        <v>0</v>
      </c>
      <c r="G210" s="80">
        <f>SUMIFS('октябрь 2024'!$G$5:$G$2162,'октябрь 2024'!$D$5:$D$2162,$B210,'октябрь 2024'!$J$5:$J$2162,G$1)</f>
        <v>0</v>
      </c>
      <c r="H210" s="80">
        <f>SUMIFS('октябрь 2024'!$G$5:$G$2162,'октябрь 2024'!$D$5:$D$2162,$B210,'октябрь 2024'!$J$5:$J$2162,H$1)</f>
        <v>0</v>
      </c>
      <c r="I210" s="80">
        <f>SUMIFS('октябрь 2024'!$G$5:$G$2162,'октябрь 2024'!$D$5:$D$2162,$B210,'октябрь 2024'!$J$5:$J$2162,I$1)</f>
        <v>0</v>
      </c>
      <c r="J210" s="80">
        <f>SUMIFS('октябрь 2024'!$G$5:$G$2162,'октябрь 2024'!$D$5:$D$2162,$B210,'октябрь 2024'!$J$5:$J$2162,J$1)</f>
        <v>0</v>
      </c>
      <c r="K210" s="80">
        <f>SUMIFS('октябрь 2024'!$G$5:$G$2162,'октябрь 2024'!$D$5:$D$2162,$B210,'октябрь 2024'!$J$5:$J$2162,K$1)</f>
        <v>0</v>
      </c>
      <c r="L210" s="80">
        <f>SUMIFS('октябрь 2024'!$G$5:$G$2162,'октябрь 2024'!$D$5:$D$2162,$B210,'октябрь 2024'!$J$5:$J$2162,L$1)</f>
        <v>0</v>
      </c>
      <c r="M210" s="80">
        <f>SUMIFS('октябрь 2024'!$G$5:$G$2162,'октябрь 2024'!$D$5:$D$2162,$B210,'октябрь 2024'!$J$5:$J$2162,M$1)</f>
        <v>0</v>
      </c>
      <c r="N210" s="80">
        <f>SUMIFS('октябрь 2024'!$G$5:$G$2162,'октябрь 2024'!$D$5:$D$2162,$B210,'октябрь 2024'!$J$5:$J$2162,N$1)</f>
        <v>0</v>
      </c>
      <c r="O210" s="80">
        <f>SUMIFS('октябрь 2024'!$G$5:$G$2162,'октябрь 2024'!$D$5:$D$2162,$B210,'октябрь 2024'!$J$5:$J$2162,O$1)</f>
        <v>0</v>
      </c>
      <c r="P210" s="80">
        <f>SUMIFS('октябрь 2024'!$G$5:$G$2162,'октябрь 2024'!$D$5:$D$2162,$B210,'октябрь 2024'!$J$5:$J$2162,P$1)</f>
        <v>0</v>
      </c>
      <c r="Q210" s="80">
        <f>SUMIFS('октябрь 2024'!$G$5:$G$2162,'октябрь 2024'!$D$5:$D$2162,$B210,'октябрь 2024'!$J$5:$J$2162,Q$1)</f>
        <v>0</v>
      </c>
      <c r="R210" s="80">
        <f>SUMIFS('октябрь 2024'!$G$5:$G$2162,'октябрь 2024'!$D$5:$D$2162,$B210,'октябрь 2024'!$J$5:$J$2162,R$1)</f>
        <v>0</v>
      </c>
      <c r="S210" s="80">
        <f>SUMIFS('октябрь 2024'!$G$5:$G$2162,'октябрь 2024'!$D$5:$D$2162,$B210,'октябрь 2024'!$J$5:$J$2162,S$1)</f>
        <v>0</v>
      </c>
      <c r="T210" s="80">
        <f>SUMIFS('октябрь 2024'!$G$5:$G$2162,'октябрь 2024'!$D$5:$D$2162,$B210,'октябрь 2024'!$J$5:$J$2162,T$1)</f>
        <v>0</v>
      </c>
      <c r="U210" s="80">
        <f>SUMIFS('октябрь 2024'!$G$5:$G$2162,'октябрь 2024'!$D$5:$D$2162,$B210,'октябрь 2024'!$J$5:$J$2162,U$1)</f>
        <v>0</v>
      </c>
      <c r="V210" s="80">
        <f>SUMIFS('октябрь 2024'!$G$5:$G$2162,'октябрь 2024'!$D$5:$D$2162,$B210,'октябрь 2024'!$J$5:$J$2162,V$1)</f>
        <v>0</v>
      </c>
      <c r="W210" s="80">
        <f>SUMIFS('октябрь 2024'!$G$5:$G$2162,'октябрь 2024'!$D$5:$D$2162,$B210,'октябрь 2024'!$J$5:$J$2162,W$1)</f>
        <v>0</v>
      </c>
      <c r="X210" s="80">
        <f>SUMIFS('октябрь 2024'!$G$5:$G$2162,'октябрь 2024'!$D$5:$D$2162,$B210,'октябрь 2024'!$J$5:$J$2162,X$1)</f>
        <v>0</v>
      </c>
      <c r="Y210" s="80">
        <f>SUMIFS('октябрь 2024'!$G$5:$G$2162,'октябрь 2024'!$D$5:$D$2162,$B210,'октябрь 2024'!$J$5:$J$2162,Y$1)</f>
        <v>0</v>
      </c>
      <c r="Z210" s="80">
        <f>SUMIFS('октябрь 2024'!$G$5:$G$2162,'октябрь 2024'!$D$5:$D$2162,$B210,'октябрь 2024'!$J$5:$J$2162,Z$1)</f>
        <v>0</v>
      </c>
      <c r="AA210" s="80">
        <f>SUMIFS('октябрь 2024'!$G$5:$G$2162,'октябрь 2024'!$D$5:$D$2162,$B210,'октябрь 2024'!$J$5:$J$2162,AA$1)</f>
        <v>0</v>
      </c>
      <c r="AB210" s="80">
        <f>SUMIFS('октябрь 2024'!$G$5:$G$2162,'октябрь 2024'!$D$5:$D$2162,$B210,'октябрь 2024'!$J$5:$J$2162,AB$1)</f>
        <v>0</v>
      </c>
      <c r="AC210" s="80">
        <f>SUMIFS('октябрь 2024'!$G$5:$G$2162,'октябрь 2024'!$D$5:$D$2162,$B210,'октябрь 2024'!$J$5:$J$2162,AC$1)</f>
        <v>0</v>
      </c>
      <c r="AD210" s="80">
        <f>SUMIFS('октябрь 2024'!$G$5:$G$2162,'октябрь 2024'!$D$5:$D$2162,$B210,'октябрь 2024'!$J$5:$J$2162,AD$1)</f>
        <v>0</v>
      </c>
      <c r="AE210" s="80">
        <f>SUMIFS('октябрь 2024'!$G$5:$G$2162,'октябрь 2024'!$D$5:$D$2162,$B210,'октябрь 2024'!$J$5:$J$2162,AE$1)</f>
        <v>0</v>
      </c>
      <c r="AF210" s="80">
        <f>SUMIFS('октябрь 2024'!$G$5:$G$2162,'октябрь 2024'!$D$5:$D$2162,$B210,'октябрь 2024'!$J$5:$J$2162,AF$1)</f>
        <v>0</v>
      </c>
      <c r="AG210" s="80">
        <f>SUMIFS('октябрь 2024'!$G$5:$G$2162,'октябрь 2024'!$D$5:$D$2162,$B210,'октябрь 2024'!$J$5:$J$2162,AG$1)</f>
        <v>0</v>
      </c>
      <c r="AH210" s="80">
        <f>SUMIFS('октябрь 2024'!$G$5:$G$2162,'октябрь 2024'!$D$5:$D$2162,$B210,'октябрь 2024'!$J$5:$J$2162,AH$1)</f>
        <v>0</v>
      </c>
      <c r="AI210" s="87"/>
    </row>
    <row r="211" spans="2:35" ht="15" hidden="1" customHeight="1" x14ac:dyDescent="0.25">
      <c r="B211" s="89"/>
      <c r="C211" s="88"/>
      <c r="D211" s="80">
        <f>SUMIFS('октябрь 2024'!$G$5:$G$2162,'октябрь 2024'!$D$5:$D$2162,$B211,'октябрь 2024'!$J$5:$J$2162,D$1)</f>
        <v>0</v>
      </c>
      <c r="E211" s="80">
        <f>SUMIFS('октябрь 2024'!$G$5:$G$2162,'октябрь 2024'!$D$5:$D$2162,$B211,'октябрь 2024'!$J$5:$J$2162,E$1)</f>
        <v>0</v>
      </c>
      <c r="F211" s="80">
        <f>SUMIFS('октябрь 2024'!$G$5:$G$2162,'октябрь 2024'!$D$5:$D$2162,$B211,'октябрь 2024'!$J$5:$J$2162,F$1)</f>
        <v>0</v>
      </c>
      <c r="G211" s="80">
        <f>SUMIFS('октябрь 2024'!$G$5:$G$2162,'октябрь 2024'!$D$5:$D$2162,$B211,'октябрь 2024'!$J$5:$J$2162,G$1)</f>
        <v>0</v>
      </c>
      <c r="H211" s="80">
        <f>SUMIFS('октябрь 2024'!$G$5:$G$2162,'октябрь 2024'!$D$5:$D$2162,$B211,'октябрь 2024'!$J$5:$J$2162,H$1)</f>
        <v>0</v>
      </c>
      <c r="I211" s="80">
        <f>SUMIFS('октябрь 2024'!$G$5:$G$2162,'октябрь 2024'!$D$5:$D$2162,$B211,'октябрь 2024'!$J$5:$J$2162,I$1)</f>
        <v>0</v>
      </c>
      <c r="J211" s="80">
        <f>SUMIFS('октябрь 2024'!$G$5:$G$2162,'октябрь 2024'!$D$5:$D$2162,$B211,'октябрь 2024'!$J$5:$J$2162,J$1)</f>
        <v>0</v>
      </c>
      <c r="K211" s="80">
        <f>SUMIFS('октябрь 2024'!$G$5:$G$2162,'октябрь 2024'!$D$5:$D$2162,$B211,'октябрь 2024'!$J$5:$J$2162,K$1)</f>
        <v>0</v>
      </c>
      <c r="L211" s="80">
        <f>SUMIFS('октябрь 2024'!$G$5:$G$2162,'октябрь 2024'!$D$5:$D$2162,$B211,'октябрь 2024'!$J$5:$J$2162,L$1)</f>
        <v>0</v>
      </c>
      <c r="M211" s="80">
        <f>SUMIFS('октябрь 2024'!$G$5:$G$2162,'октябрь 2024'!$D$5:$D$2162,$B211,'октябрь 2024'!$J$5:$J$2162,M$1)</f>
        <v>0</v>
      </c>
      <c r="N211" s="80">
        <f>SUMIFS('октябрь 2024'!$G$5:$G$2162,'октябрь 2024'!$D$5:$D$2162,$B211,'октябрь 2024'!$J$5:$J$2162,N$1)</f>
        <v>0</v>
      </c>
      <c r="O211" s="80">
        <f>SUMIFS('октябрь 2024'!$G$5:$G$2162,'октябрь 2024'!$D$5:$D$2162,$B211,'октябрь 2024'!$J$5:$J$2162,O$1)</f>
        <v>0</v>
      </c>
      <c r="P211" s="80">
        <f>SUMIFS('октябрь 2024'!$G$5:$G$2162,'октябрь 2024'!$D$5:$D$2162,$B211,'октябрь 2024'!$J$5:$J$2162,P$1)</f>
        <v>0</v>
      </c>
      <c r="Q211" s="80">
        <f>SUMIFS('октябрь 2024'!$G$5:$G$2162,'октябрь 2024'!$D$5:$D$2162,$B211,'октябрь 2024'!$J$5:$J$2162,Q$1)</f>
        <v>0</v>
      </c>
      <c r="R211" s="80">
        <f>SUMIFS('октябрь 2024'!$G$5:$G$2162,'октябрь 2024'!$D$5:$D$2162,$B211,'октябрь 2024'!$J$5:$J$2162,R$1)</f>
        <v>0</v>
      </c>
      <c r="S211" s="80">
        <f>SUMIFS('октябрь 2024'!$G$5:$G$2162,'октябрь 2024'!$D$5:$D$2162,$B211,'октябрь 2024'!$J$5:$J$2162,S$1)</f>
        <v>0</v>
      </c>
      <c r="T211" s="80">
        <f>SUMIFS('октябрь 2024'!$G$5:$G$2162,'октябрь 2024'!$D$5:$D$2162,$B211,'октябрь 2024'!$J$5:$J$2162,T$1)</f>
        <v>0</v>
      </c>
      <c r="U211" s="80">
        <f>SUMIFS('октябрь 2024'!$G$5:$G$2162,'октябрь 2024'!$D$5:$D$2162,$B211,'октябрь 2024'!$J$5:$J$2162,U$1)</f>
        <v>0</v>
      </c>
      <c r="V211" s="80">
        <f>SUMIFS('октябрь 2024'!$G$5:$G$2162,'октябрь 2024'!$D$5:$D$2162,$B211,'октябрь 2024'!$J$5:$J$2162,V$1)</f>
        <v>0</v>
      </c>
      <c r="W211" s="80">
        <f>SUMIFS('октябрь 2024'!$G$5:$G$2162,'октябрь 2024'!$D$5:$D$2162,$B211,'октябрь 2024'!$J$5:$J$2162,W$1)</f>
        <v>0</v>
      </c>
      <c r="X211" s="80">
        <f>SUMIFS('октябрь 2024'!$G$5:$G$2162,'октябрь 2024'!$D$5:$D$2162,$B211,'октябрь 2024'!$J$5:$J$2162,X$1)</f>
        <v>0</v>
      </c>
      <c r="Y211" s="80">
        <f>SUMIFS('октябрь 2024'!$G$5:$G$2162,'октябрь 2024'!$D$5:$D$2162,$B211,'октябрь 2024'!$J$5:$J$2162,Y$1)</f>
        <v>0</v>
      </c>
      <c r="Z211" s="80">
        <f>SUMIFS('октябрь 2024'!$G$5:$G$2162,'октябрь 2024'!$D$5:$D$2162,$B211,'октябрь 2024'!$J$5:$J$2162,Z$1)</f>
        <v>0</v>
      </c>
      <c r="AA211" s="80">
        <f>SUMIFS('октябрь 2024'!$G$5:$G$2162,'октябрь 2024'!$D$5:$D$2162,$B211,'октябрь 2024'!$J$5:$J$2162,AA$1)</f>
        <v>0</v>
      </c>
      <c r="AB211" s="80">
        <f>SUMIFS('октябрь 2024'!$G$5:$G$2162,'октябрь 2024'!$D$5:$D$2162,$B211,'октябрь 2024'!$J$5:$J$2162,AB$1)</f>
        <v>0</v>
      </c>
      <c r="AC211" s="80">
        <f>SUMIFS('октябрь 2024'!$G$5:$G$2162,'октябрь 2024'!$D$5:$D$2162,$B211,'октябрь 2024'!$J$5:$J$2162,AC$1)</f>
        <v>0</v>
      </c>
      <c r="AD211" s="80">
        <f>SUMIFS('октябрь 2024'!$G$5:$G$2162,'октябрь 2024'!$D$5:$D$2162,$B211,'октябрь 2024'!$J$5:$J$2162,AD$1)</f>
        <v>0</v>
      </c>
      <c r="AE211" s="80">
        <f>SUMIFS('октябрь 2024'!$G$5:$G$2162,'октябрь 2024'!$D$5:$D$2162,$B211,'октябрь 2024'!$J$5:$J$2162,AE$1)</f>
        <v>0</v>
      </c>
      <c r="AF211" s="80">
        <f>SUMIFS('октябрь 2024'!$G$5:$G$2162,'октябрь 2024'!$D$5:$D$2162,$B211,'октябрь 2024'!$J$5:$J$2162,AF$1)</f>
        <v>0</v>
      </c>
      <c r="AG211" s="80">
        <f>SUMIFS('октябрь 2024'!$G$5:$G$2162,'октябрь 2024'!$D$5:$D$2162,$B211,'октябрь 2024'!$J$5:$J$2162,AG$1)</f>
        <v>0</v>
      </c>
      <c r="AH211" s="80">
        <f>SUMIFS('октябрь 2024'!$G$5:$G$2162,'октябрь 2024'!$D$5:$D$2162,$B211,'октябрь 2024'!$J$5:$J$2162,AH$1)</f>
        <v>0</v>
      </c>
      <c r="AI211" s="87"/>
    </row>
    <row r="212" spans="2:35" ht="15" hidden="1" customHeight="1" x14ac:dyDescent="0.25">
      <c r="B212" s="89"/>
      <c r="C212" s="88"/>
      <c r="D212" s="80">
        <f>SUMIFS('октябрь 2024'!$G$5:$G$2162,'октябрь 2024'!$D$5:$D$2162,$B212,'октябрь 2024'!$J$5:$J$2162,D$1)</f>
        <v>0</v>
      </c>
      <c r="E212" s="80">
        <f>SUMIFS('октябрь 2024'!$G$5:$G$2162,'октябрь 2024'!$D$5:$D$2162,$B212,'октябрь 2024'!$J$5:$J$2162,E$1)</f>
        <v>0</v>
      </c>
      <c r="F212" s="80">
        <f>SUMIFS('октябрь 2024'!$G$5:$G$2162,'октябрь 2024'!$D$5:$D$2162,$B212,'октябрь 2024'!$J$5:$J$2162,F$1)</f>
        <v>0</v>
      </c>
      <c r="G212" s="80">
        <f>SUMIFS('октябрь 2024'!$G$5:$G$2162,'октябрь 2024'!$D$5:$D$2162,$B212,'октябрь 2024'!$J$5:$J$2162,G$1)</f>
        <v>0</v>
      </c>
      <c r="H212" s="80">
        <f>SUMIFS('октябрь 2024'!$G$5:$G$2162,'октябрь 2024'!$D$5:$D$2162,$B212,'октябрь 2024'!$J$5:$J$2162,H$1)</f>
        <v>0</v>
      </c>
      <c r="I212" s="80">
        <f>SUMIFS('октябрь 2024'!$G$5:$G$2162,'октябрь 2024'!$D$5:$D$2162,$B212,'октябрь 2024'!$J$5:$J$2162,I$1)</f>
        <v>0</v>
      </c>
      <c r="J212" s="80">
        <f>SUMIFS('октябрь 2024'!$G$5:$G$2162,'октябрь 2024'!$D$5:$D$2162,$B212,'октябрь 2024'!$J$5:$J$2162,J$1)</f>
        <v>0</v>
      </c>
      <c r="K212" s="80">
        <f>SUMIFS('октябрь 2024'!$G$5:$G$2162,'октябрь 2024'!$D$5:$D$2162,$B212,'октябрь 2024'!$J$5:$J$2162,K$1)</f>
        <v>0</v>
      </c>
      <c r="L212" s="80">
        <f>SUMIFS('октябрь 2024'!$G$5:$G$2162,'октябрь 2024'!$D$5:$D$2162,$B212,'октябрь 2024'!$J$5:$J$2162,L$1)</f>
        <v>0</v>
      </c>
      <c r="M212" s="80">
        <f>SUMIFS('октябрь 2024'!$G$5:$G$2162,'октябрь 2024'!$D$5:$D$2162,$B212,'октябрь 2024'!$J$5:$J$2162,M$1)</f>
        <v>0</v>
      </c>
      <c r="N212" s="80">
        <f>SUMIFS('октябрь 2024'!$G$5:$G$2162,'октябрь 2024'!$D$5:$D$2162,$B212,'октябрь 2024'!$J$5:$J$2162,N$1)</f>
        <v>0</v>
      </c>
      <c r="O212" s="80">
        <f>SUMIFS('октябрь 2024'!$G$5:$G$2162,'октябрь 2024'!$D$5:$D$2162,$B212,'октябрь 2024'!$J$5:$J$2162,O$1)</f>
        <v>0</v>
      </c>
      <c r="P212" s="80">
        <f>SUMIFS('октябрь 2024'!$G$5:$G$2162,'октябрь 2024'!$D$5:$D$2162,$B212,'октябрь 2024'!$J$5:$J$2162,P$1)</f>
        <v>0</v>
      </c>
      <c r="Q212" s="80">
        <f>SUMIFS('октябрь 2024'!$G$5:$G$2162,'октябрь 2024'!$D$5:$D$2162,$B212,'октябрь 2024'!$J$5:$J$2162,Q$1)</f>
        <v>0</v>
      </c>
      <c r="R212" s="80">
        <f>SUMIFS('октябрь 2024'!$G$5:$G$2162,'октябрь 2024'!$D$5:$D$2162,$B212,'октябрь 2024'!$J$5:$J$2162,R$1)</f>
        <v>0</v>
      </c>
      <c r="S212" s="80">
        <f>SUMIFS('октябрь 2024'!$G$5:$G$2162,'октябрь 2024'!$D$5:$D$2162,$B212,'октябрь 2024'!$J$5:$J$2162,S$1)</f>
        <v>0</v>
      </c>
      <c r="T212" s="80">
        <f>SUMIFS('октябрь 2024'!$G$5:$G$2162,'октябрь 2024'!$D$5:$D$2162,$B212,'октябрь 2024'!$J$5:$J$2162,T$1)</f>
        <v>0</v>
      </c>
      <c r="U212" s="80">
        <f>SUMIFS('октябрь 2024'!$G$5:$G$2162,'октябрь 2024'!$D$5:$D$2162,$B212,'октябрь 2024'!$J$5:$J$2162,U$1)</f>
        <v>0</v>
      </c>
      <c r="V212" s="80">
        <f>SUMIFS('октябрь 2024'!$G$5:$G$2162,'октябрь 2024'!$D$5:$D$2162,$B212,'октябрь 2024'!$J$5:$J$2162,V$1)</f>
        <v>0</v>
      </c>
      <c r="W212" s="80">
        <f>SUMIFS('октябрь 2024'!$G$5:$G$2162,'октябрь 2024'!$D$5:$D$2162,$B212,'октябрь 2024'!$J$5:$J$2162,W$1)</f>
        <v>0</v>
      </c>
      <c r="X212" s="80">
        <f>SUMIFS('октябрь 2024'!$G$5:$G$2162,'октябрь 2024'!$D$5:$D$2162,$B212,'октябрь 2024'!$J$5:$J$2162,X$1)</f>
        <v>0</v>
      </c>
      <c r="Y212" s="80">
        <f>SUMIFS('октябрь 2024'!$G$5:$G$2162,'октябрь 2024'!$D$5:$D$2162,$B212,'октябрь 2024'!$J$5:$J$2162,Y$1)</f>
        <v>0</v>
      </c>
      <c r="Z212" s="80">
        <f>SUMIFS('октябрь 2024'!$G$5:$G$2162,'октябрь 2024'!$D$5:$D$2162,$B212,'октябрь 2024'!$J$5:$J$2162,Z$1)</f>
        <v>0</v>
      </c>
      <c r="AA212" s="80">
        <f>SUMIFS('октябрь 2024'!$G$5:$G$2162,'октябрь 2024'!$D$5:$D$2162,$B212,'октябрь 2024'!$J$5:$J$2162,AA$1)</f>
        <v>0</v>
      </c>
      <c r="AB212" s="80">
        <f>SUMIFS('октябрь 2024'!$G$5:$G$2162,'октябрь 2024'!$D$5:$D$2162,$B212,'октябрь 2024'!$J$5:$J$2162,AB$1)</f>
        <v>0</v>
      </c>
      <c r="AC212" s="80">
        <f>SUMIFS('октябрь 2024'!$G$5:$G$2162,'октябрь 2024'!$D$5:$D$2162,$B212,'октябрь 2024'!$J$5:$J$2162,AC$1)</f>
        <v>0</v>
      </c>
      <c r="AD212" s="80">
        <f>SUMIFS('октябрь 2024'!$G$5:$G$2162,'октябрь 2024'!$D$5:$D$2162,$B212,'октябрь 2024'!$J$5:$J$2162,AD$1)</f>
        <v>0</v>
      </c>
      <c r="AE212" s="80">
        <f>SUMIFS('октябрь 2024'!$G$5:$G$2162,'октябрь 2024'!$D$5:$D$2162,$B212,'октябрь 2024'!$J$5:$J$2162,AE$1)</f>
        <v>0</v>
      </c>
      <c r="AF212" s="80">
        <f>SUMIFS('октябрь 2024'!$G$5:$G$2162,'октябрь 2024'!$D$5:$D$2162,$B212,'октябрь 2024'!$J$5:$J$2162,AF$1)</f>
        <v>0</v>
      </c>
      <c r="AG212" s="80">
        <f>SUMIFS('октябрь 2024'!$G$5:$G$2162,'октябрь 2024'!$D$5:$D$2162,$B212,'октябрь 2024'!$J$5:$J$2162,AG$1)</f>
        <v>0</v>
      </c>
      <c r="AH212" s="80">
        <f>SUMIFS('октябрь 2024'!$G$5:$G$2162,'октябрь 2024'!$D$5:$D$2162,$B212,'октябрь 2024'!$J$5:$J$2162,AH$1)</f>
        <v>0</v>
      </c>
      <c r="AI212" s="87"/>
    </row>
    <row r="213" spans="2:35" ht="15" hidden="1" customHeight="1" x14ac:dyDescent="0.25">
      <c r="B213" s="89"/>
      <c r="C213" s="88"/>
      <c r="D213" s="80">
        <f>SUMIFS('октябрь 2024'!$G$5:$G$2162,'октябрь 2024'!$D$5:$D$2162,$B213,'октябрь 2024'!$J$5:$J$2162,D$1)</f>
        <v>0</v>
      </c>
      <c r="E213" s="80">
        <f>SUMIFS('октябрь 2024'!$G$5:$G$2162,'октябрь 2024'!$D$5:$D$2162,$B213,'октябрь 2024'!$J$5:$J$2162,E$1)</f>
        <v>0</v>
      </c>
      <c r="F213" s="80">
        <f>SUMIFS('октябрь 2024'!$G$5:$G$2162,'октябрь 2024'!$D$5:$D$2162,$B213,'октябрь 2024'!$J$5:$J$2162,F$1)</f>
        <v>0</v>
      </c>
      <c r="G213" s="80">
        <f>SUMIFS('октябрь 2024'!$G$5:$G$2162,'октябрь 2024'!$D$5:$D$2162,$B213,'октябрь 2024'!$J$5:$J$2162,G$1)</f>
        <v>0</v>
      </c>
      <c r="H213" s="80">
        <f>SUMIFS('октябрь 2024'!$G$5:$G$2162,'октябрь 2024'!$D$5:$D$2162,$B213,'октябрь 2024'!$J$5:$J$2162,H$1)</f>
        <v>0</v>
      </c>
      <c r="I213" s="80">
        <f>SUMIFS('октябрь 2024'!$G$5:$G$2162,'октябрь 2024'!$D$5:$D$2162,$B213,'октябрь 2024'!$J$5:$J$2162,I$1)</f>
        <v>0</v>
      </c>
      <c r="J213" s="80">
        <f>SUMIFS('октябрь 2024'!$G$5:$G$2162,'октябрь 2024'!$D$5:$D$2162,$B213,'октябрь 2024'!$J$5:$J$2162,J$1)</f>
        <v>0</v>
      </c>
      <c r="K213" s="80">
        <f>SUMIFS('октябрь 2024'!$G$5:$G$2162,'октябрь 2024'!$D$5:$D$2162,$B213,'октябрь 2024'!$J$5:$J$2162,K$1)</f>
        <v>0</v>
      </c>
      <c r="L213" s="80">
        <f>SUMIFS('октябрь 2024'!$G$5:$G$2162,'октябрь 2024'!$D$5:$D$2162,$B213,'октябрь 2024'!$J$5:$J$2162,L$1)</f>
        <v>0</v>
      </c>
      <c r="M213" s="80">
        <f>SUMIFS('октябрь 2024'!$G$5:$G$2162,'октябрь 2024'!$D$5:$D$2162,$B213,'октябрь 2024'!$J$5:$J$2162,M$1)</f>
        <v>0</v>
      </c>
      <c r="N213" s="80">
        <f>SUMIFS('октябрь 2024'!$G$5:$G$2162,'октябрь 2024'!$D$5:$D$2162,$B213,'октябрь 2024'!$J$5:$J$2162,N$1)</f>
        <v>0</v>
      </c>
      <c r="O213" s="80">
        <f>SUMIFS('октябрь 2024'!$G$5:$G$2162,'октябрь 2024'!$D$5:$D$2162,$B213,'октябрь 2024'!$J$5:$J$2162,O$1)</f>
        <v>0</v>
      </c>
      <c r="P213" s="80">
        <f>SUMIFS('октябрь 2024'!$G$5:$G$2162,'октябрь 2024'!$D$5:$D$2162,$B213,'октябрь 2024'!$J$5:$J$2162,P$1)</f>
        <v>0</v>
      </c>
      <c r="Q213" s="80">
        <f>SUMIFS('октябрь 2024'!$G$5:$G$2162,'октябрь 2024'!$D$5:$D$2162,$B213,'октябрь 2024'!$J$5:$J$2162,Q$1)</f>
        <v>0</v>
      </c>
      <c r="R213" s="80">
        <f>SUMIFS('октябрь 2024'!$G$5:$G$2162,'октябрь 2024'!$D$5:$D$2162,$B213,'октябрь 2024'!$J$5:$J$2162,R$1)</f>
        <v>0</v>
      </c>
      <c r="S213" s="80">
        <f>SUMIFS('октябрь 2024'!$G$5:$G$2162,'октябрь 2024'!$D$5:$D$2162,$B213,'октябрь 2024'!$J$5:$J$2162,S$1)</f>
        <v>0</v>
      </c>
      <c r="T213" s="80">
        <f>SUMIFS('октябрь 2024'!$G$5:$G$2162,'октябрь 2024'!$D$5:$D$2162,$B213,'октябрь 2024'!$J$5:$J$2162,T$1)</f>
        <v>0</v>
      </c>
      <c r="U213" s="80">
        <f>SUMIFS('октябрь 2024'!$G$5:$G$2162,'октябрь 2024'!$D$5:$D$2162,$B213,'октябрь 2024'!$J$5:$J$2162,U$1)</f>
        <v>0</v>
      </c>
      <c r="V213" s="80">
        <f>SUMIFS('октябрь 2024'!$G$5:$G$2162,'октябрь 2024'!$D$5:$D$2162,$B213,'октябрь 2024'!$J$5:$J$2162,V$1)</f>
        <v>0</v>
      </c>
      <c r="W213" s="80">
        <f>SUMIFS('октябрь 2024'!$G$5:$G$2162,'октябрь 2024'!$D$5:$D$2162,$B213,'октябрь 2024'!$J$5:$J$2162,W$1)</f>
        <v>0</v>
      </c>
      <c r="X213" s="80">
        <f>SUMIFS('октябрь 2024'!$G$5:$G$2162,'октябрь 2024'!$D$5:$D$2162,$B213,'октябрь 2024'!$J$5:$J$2162,X$1)</f>
        <v>0</v>
      </c>
      <c r="Y213" s="80">
        <f>SUMIFS('октябрь 2024'!$G$5:$G$2162,'октябрь 2024'!$D$5:$D$2162,$B213,'октябрь 2024'!$J$5:$J$2162,Y$1)</f>
        <v>0</v>
      </c>
      <c r="Z213" s="80">
        <f>SUMIFS('октябрь 2024'!$G$5:$G$2162,'октябрь 2024'!$D$5:$D$2162,$B213,'октябрь 2024'!$J$5:$J$2162,Z$1)</f>
        <v>0</v>
      </c>
      <c r="AA213" s="80">
        <f>SUMIFS('октябрь 2024'!$G$5:$G$2162,'октябрь 2024'!$D$5:$D$2162,$B213,'октябрь 2024'!$J$5:$J$2162,AA$1)</f>
        <v>0</v>
      </c>
      <c r="AB213" s="80">
        <f>SUMIFS('октябрь 2024'!$G$5:$G$2162,'октябрь 2024'!$D$5:$D$2162,$B213,'октябрь 2024'!$J$5:$J$2162,AB$1)</f>
        <v>0</v>
      </c>
      <c r="AC213" s="80">
        <f>SUMIFS('октябрь 2024'!$G$5:$G$2162,'октябрь 2024'!$D$5:$D$2162,$B213,'октябрь 2024'!$J$5:$J$2162,AC$1)</f>
        <v>0</v>
      </c>
      <c r="AD213" s="80">
        <f>SUMIFS('октябрь 2024'!$G$5:$G$2162,'октябрь 2024'!$D$5:$D$2162,$B213,'октябрь 2024'!$J$5:$J$2162,AD$1)</f>
        <v>0</v>
      </c>
      <c r="AE213" s="80">
        <f>SUMIFS('октябрь 2024'!$G$5:$G$2162,'октябрь 2024'!$D$5:$D$2162,$B213,'октябрь 2024'!$J$5:$J$2162,AE$1)</f>
        <v>0</v>
      </c>
      <c r="AF213" s="80">
        <f>SUMIFS('октябрь 2024'!$G$5:$G$2162,'октябрь 2024'!$D$5:$D$2162,$B213,'октябрь 2024'!$J$5:$J$2162,AF$1)</f>
        <v>0</v>
      </c>
      <c r="AG213" s="80">
        <f>SUMIFS('октябрь 2024'!$G$5:$G$2162,'октябрь 2024'!$D$5:$D$2162,$B213,'октябрь 2024'!$J$5:$J$2162,AG$1)</f>
        <v>0</v>
      </c>
      <c r="AH213" s="80">
        <f>SUMIFS('октябрь 2024'!$G$5:$G$2162,'октябрь 2024'!$D$5:$D$2162,$B213,'октябрь 2024'!$J$5:$J$2162,AH$1)</f>
        <v>0</v>
      </c>
      <c r="AI213" s="87"/>
    </row>
    <row r="214" spans="2:35" ht="15" hidden="1" customHeight="1" x14ac:dyDescent="0.25">
      <c r="B214" s="89"/>
      <c r="C214" s="88"/>
      <c r="D214" s="80">
        <f>SUMIFS('октябрь 2024'!$G$5:$G$2162,'октябрь 2024'!$D$5:$D$2162,$B214,'октябрь 2024'!$J$5:$J$2162,D$1)</f>
        <v>0</v>
      </c>
      <c r="E214" s="80">
        <f>SUMIFS('октябрь 2024'!$G$5:$G$2162,'октябрь 2024'!$D$5:$D$2162,$B214,'октябрь 2024'!$J$5:$J$2162,E$1)</f>
        <v>0</v>
      </c>
      <c r="F214" s="80">
        <f>SUMIFS('октябрь 2024'!$G$5:$G$2162,'октябрь 2024'!$D$5:$D$2162,$B214,'октябрь 2024'!$J$5:$J$2162,F$1)</f>
        <v>0</v>
      </c>
      <c r="G214" s="80">
        <f>SUMIFS('октябрь 2024'!$G$5:$G$2162,'октябрь 2024'!$D$5:$D$2162,$B214,'октябрь 2024'!$J$5:$J$2162,G$1)</f>
        <v>0</v>
      </c>
      <c r="H214" s="80">
        <f>SUMIFS('октябрь 2024'!$G$5:$G$2162,'октябрь 2024'!$D$5:$D$2162,$B214,'октябрь 2024'!$J$5:$J$2162,H$1)</f>
        <v>0</v>
      </c>
      <c r="I214" s="80">
        <f>SUMIFS('октябрь 2024'!$G$5:$G$2162,'октябрь 2024'!$D$5:$D$2162,$B214,'октябрь 2024'!$J$5:$J$2162,I$1)</f>
        <v>0</v>
      </c>
      <c r="J214" s="80">
        <f>SUMIFS('октябрь 2024'!$G$5:$G$2162,'октябрь 2024'!$D$5:$D$2162,$B214,'октябрь 2024'!$J$5:$J$2162,J$1)</f>
        <v>0</v>
      </c>
      <c r="K214" s="80">
        <f>SUMIFS('октябрь 2024'!$G$5:$G$2162,'октябрь 2024'!$D$5:$D$2162,$B214,'октябрь 2024'!$J$5:$J$2162,K$1)</f>
        <v>0</v>
      </c>
      <c r="L214" s="80">
        <f>SUMIFS('октябрь 2024'!$G$5:$G$2162,'октябрь 2024'!$D$5:$D$2162,$B214,'октябрь 2024'!$J$5:$J$2162,L$1)</f>
        <v>0</v>
      </c>
      <c r="M214" s="80">
        <f>SUMIFS('октябрь 2024'!$G$5:$G$2162,'октябрь 2024'!$D$5:$D$2162,$B214,'октябрь 2024'!$J$5:$J$2162,M$1)</f>
        <v>0</v>
      </c>
      <c r="N214" s="80">
        <f>SUMIFS('октябрь 2024'!$G$5:$G$2162,'октябрь 2024'!$D$5:$D$2162,$B214,'октябрь 2024'!$J$5:$J$2162,N$1)</f>
        <v>0</v>
      </c>
      <c r="O214" s="80">
        <f>SUMIFS('октябрь 2024'!$G$5:$G$2162,'октябрь 2024'!$D$5:$D$2162,$B214,'октябрь 2024'!$J$5:$J$2162,O$1)</f>
        <v>0</v>
      </c>
      <c r="P214" s="80">
        <f>SUMIFS('октябрь 2024'!$G$5:$G$2162,'октябрь 2024'!$D$5:$D$2162,$B214,'октябрь 2024'!$J$5:$J$2162,P$1)</f>
        <v>0</v>
      </c>
      <c r="Q214" s="80">
        <f>SUMIFS('октябрь 2024'!$G$5:$G$2162,'октябрь 2024'!$D$5:$D$2162,$B214,'октябрь 2024'!$J$5:$J$2162,Q$1)</f>
        <v>0</v>
      </c>
      <c r="R214" s="80">
        <f>SUMIFS('октябрь 2024'!$G$5:$G$2162,'октябрь 2024'!$D$5:$D$2162,$B214,'октябрь 2024'!$J$5:$J$2162,R$1)</f>
        <v>0</v>
      </c>
      <c r="S214" s="80">
        <f>SUMIFS('октябрь 2024'!$G$5:$G$2162,'октябрь 2024'!$D$5:$D$2162,$B214,'октябрь 2024'!$J$5:$J$2162,S$1)</f>
        <v>0</v>
      </c>
      <c r="T214" s="80">
        <f>SUMIFS('октябрь 2024'!$G$5:$G$2162,'октябрь 2024'!$D$5:$D$2162,$B214,'октябрь 2024'!$J$5:$J$2162,T$1)</f>
        <v>0</v>
      </c>
      <c r="U214" s="80">
        <f>SUMIFS('октябрь 2024'!$G$5:$G$2162,'октябрь 2024'!$D$5:$D$2162,$B214,'октябрь 2024'!$J$5:$J$2162,U$1)</f>
        <v>0</v>
      </c>
      <c r="V214" s="80">
        <f>SUMIFS('октябрь 2024'!$G$5:$G$2162,'октябрь 2024'!$D$5:$D$2162,$B214,'октябрь 2024'!$J$5:$J$2162,V$1)</f>
        <v>0</v>
      </c>
      <c r="W214" s="80">
        <f>SUMIFS('октябрь 2024'!$G$5:$G$2162,'октябрь 2024'!$D$5:$D$2162,$B214,'октябрь 2024'!$J$5:$J$2162,W$1)</f>
        <v>0</v>
      </c>
      <c r="X214" s="80">
        <f>SUMIFS('октябрь 2024'!$G$5:$G$2162,'октябрь 2024'!$D$5:$D$2162,$B214,'октябрь 2024'!$J$5:$J$2162,X$1)</f>
        <v>0</v>
      </c>
      <c r="Y214" s="80">
        <f>SUMIFS('октябрь 2024'!$G$5:$G$2162,'октябрь 2024'!$D$5:$D$2162,$B214,'октябрь 2024'!$J$5:$J$2162,Y$1)</f>
        <v>0</v>
      </c>
      <c r="Z214" s="80">
        <f>SUMIFS('октябрь 2024'!$G$5:$G$2162,'октябрь 2024'!$D$5:$D$2162,$B214,'октябрь 2024'!$J$5:$J$2162,Z$1)</f>
        <v>0</v>
      </c>
      <c r="AA214" s="80">
        <f>SUMIFS('октябрь 2024'!$G$5:$G$2162,'октябрь 2024'!$D$5:$D$2162,$B214,'октябрь 2024'!$J$5:$J$2162,AA$1)</f>
        <v>0</v>
      </c>
      <c r="AB214" s="80">
        <f>SUMIFS('октябрь 2024'!$G$5:$G$2162,'октябрь 2024'!$D$5:$D$2162,$B214,'октябрь 2024'!$J$5:$J$2162,AB$1)</f>
        <v>0</v>
      </c>
      <c r="AC214" s="80">
        <f>SUMIFS('октябрь 2024'!$G$5:$G$2162,'октябрь 2024'!$D$5:$D$2162,$B214,'октябрь 2024'!$J$5:$J$2162,AC$1)</f>
        <v>0</v>
      </c>
      <c r="AD214" s="80">
        <f>SUMIFS('октябрь 2024'!$G$5:$G$2162,'октябрь 2024'!$D$5:$D$2162,$B214,'октябрь 2024'!$J$5:$J$2162,AD$1)</f>
        <v>0</v>
      </c>
      <c r="AE214" s="80">
        <f>SUMIFS('октябрь 2024'!$G$5:$G$2162,'октябрь 2024'!$D$5:$D$2162,$B214,'октябрь 2024'!$J$5:$J$2162,AE$1)</f>
        <v>0</v>
      </c>
      <c r="AF214" s="80">
        <f>SUMIFS('октябрь 2024'!$G$5:$G$2162,'октябрь 2024'!$D$5:$D$2162,$B214,'октябрь 2024'!$J$5:$J$2162,AF$1)</f>
        <v>0</v>
      </c>
      <c r="AG214" s="80">
        <f>SUMIFS('октябрь 2024'!$G$5:$G$2162,'октябрь 2024'!$D$5:$D$2162,$B214,'октябрь 2024'!$J$5:$J$2162,AG$1)</f>
        <v>0</v>
      </c>
      <c r="AH214" s="80">
        <f>SUMIFS('октябрь 2024'!$G$5:$G$2162,'октябрь 2024'!$D$5:$D$2162,$B214,'октябрь 2024'!$J$5:$J$2162,AH$1)</f>
        <v>0</v>
      </c>
      <c r="AI214" s="87"/>
    </row>
    <row r="215" spans="2:35" ht="15" hidden="1" customHeight="1" x14ac:dyDescent="0.25">
      <c r="B215" s="89"/>
      <c r="C215" s="88"/>
      <c r="D215" s="80">
        <f>SUMIFS('октябрь 2024'!$G$5:$G$2162,'октябрь 2024'!$D$5:$D$2162,$B215,'октябрь 2024'!$J$5:$J$2162,D$1)</f>
        <v>0</v>
      </c>
      <c r="E215" s="80">
        <f>SUMIFS('октябрь 2024'!$G$5:$G$2162,'октябрь 2024'!$D$5:$D$2162,$B215,'октябрь 2024'!$J$5:$J$2162,E$1)</f>
        <v>0</v>
      </c>
      <c r="F215" s="80">
        <f>SUMIFS('октябрь 2024'!$G$5:$G$2162,'октябрь 2024'!$D$5:$D$2162,$B215,'октябрь 2024'!$J$5:$J$2162,F$1)</f>
        <v>0</v>
      </c>
      <c r="G215" s="80">
        <f>SUMIFS('октябрь 2024'!$G$5:$G$2162,'октябрь 2024'!$D$5:$D$2162,$B215,'октябрь 2024'!$J$5:$J$2162,G$1)</f>
        <v>0</v>
      </c>
      <c r="H215" s="80">
        <f>SUMIFS('октябрь 2024'!$G$5:$G$2162,'октябрь 2024'!$D$5:$D$2162,$B215,'октябрь 2024'!$J$5:$J$2162,H$1)</f>
        <v>0</v>
      </c>
      <c r="I215" s="80">
        <f>SUMIFS('октябрь 2024'!$G$5:$G$2162,'октябрь 2024'!$D$5:$D$2162,$B215,'октябрь 2024'!$J$5:$J$2162,I$1)</f>
        <v>0</v>
      </c>
      <c r="J215" s="80">
        <f>SUMIFS('октябрь 2024'!$G$5:$G$2162,'октябрь 2024'!$D$5:$D$2162,$B215,'октябрь 2024'!$J$5:$J$2162,J$1)</f>
        <v>0</v>
      </c>
      <c r="K215" s="80">
        <f>SUMIFS('октябрь 2024'!$G$5:$G$2162,'октябрь 2024'!$D$5:$D$2162,$B215,'октябрь 2024'!$J$5:$J$2162,K$1)</f>
        <v>0</v>
      </c>
      <c r="L215" s="80">
        <f>SUMIFS('октябрь 2024'!$G$5:$G$2162,'октябрь 2024'!$D$5:$D$2162,$B215,'октябрь 2024'!$J$5:$J$2162,L$1)</f>
        <v>0</v>
      </c>
      <c r="M215" s="80">
        <f>SUMIFS('октябрь 2024'!$G$5:$G$2162,'октябрь 2024'!$D$5:$D$2162,$B215,'октябрь 2024'!$J$5:$J$2162,M$1)</f>
        <v>0</v>
      </c>
      <c r="N215" s="80">
        <f>SUMIFS('октябрь 2024'!$G$5:$G$2162,'октябрь 2024'!$D$5:$D$2162,$B215,'октябрь 2024'!$J$5:$J$2162,N$1)</f>
        <v>0</v>
      </c>
      <c r="O215" s="80">
        <f>SUMIFS('октябрь 2024'!$G$5:$G$2162,'октябрь 2024'!$D$5:$D$2162,$B215,'октябрь 2024'!$J$5:$J$2162,O$1)</f>
        <v>0</v>
      </c>
      <c r="P215" s="80">
        <f>SUMIFS('октябрь 2024'!$G$5:$G$2162,'октябрь 2024'!$D$5:$D$2162,$B215,'октябрь 2024'!$J$5:$J$2162,P$1)</f>
        <v>0</v>
      </c>
      <c r="Q215" s="80">
        <f>SUMIFS('октябрь 2024'!$G$5:$G$2162,'октябрь 2024'!$D$5:$D$2162,$B215,'октябрь 2024'!$J$5:$J$2162,Q$1)</f>
        <v>0</v>
      </c>
      <c r="R215" s="80">
        <f>SUMIFS('октябрь 2024'!$G$5:$G$2162,'октябрь 2024'!$D$5:$D$2162,$B215,'октябрь 2024'!$J$5:$J$2162,R$1)</f>
        <v>0</v>
      </c>
      <c r="S215" s="80">
        <f>SUMIFS('октябрь 2024'!$G$5:$G$2162,'октябрь 2024'!$D$5:$D$2162,$B215,'октябрь 2024'!$J$5:$J$2162,S$1)</f>
        <v>0</v>
      </c>
      <c r="T215" s="80">
        <f>SUMIFS('октябрь 2024'!$G$5:$G$2162,'октябрь 2024'!$D$5:$D$2162,$B215,'октябрь 2024'!$J$5:$J$2162,T$1)</f>
        <v>0</v>
      </c>
      <c r="U215" s="80">
        <f>SUMIFS('октябрь 2024'!$G$5:$G$2162,'октябрь 2024'!$D$5:$D$2162,$B215,'октябрь 2024'!$J$5:$J$2162,U$1)</f>
        <v>0</v>
      </c>
      <c r="V215" s="80">
        <f>SUMIFS('октябрь 2024'!$G$5:$G$2162,'октябрь 2024'!$D$5:$D$2162,$B215,'октябрь 2024'!$J$5:$J$2162,V$1)</f>
        <v>0</v>
      </c>
      <c r="W215" s="80">
        <f>SUMIFS('октябрь 2024'!$G$5:$G$2162,'октябрь 2024'!$D$5:$D$2162,$B215,'октябрь 2024'!$J$5:$J$2162,W$1)</f>
        <v>0</v>
      </c>
      <c r="X215" s="80">
        <f>SUMIFS('октябрь 2024'!$G$5:$G$2162,'октябрь 2024'!$D$5:$D$2162,$B215,'октябрь 2024'!$J$5:$J$2162,X$1)</f>
        <v>0</v>
      </c>
      <c r="Y215" s="80">
        <f>SUMIFS('октябрь 2024'!$G$5:$G$2162,'октябрь 2024'!$D$5:$D$2162,$B215,'октябрь 2024'!$J$5:$J$2162,Y$1)</f>
        <v>0</v>
      </c>
      <c r="Z215" s="80">
        <f>SUMIFS('октябрь 2024'!$G$5:$G$2162,'октябрь 2024'!$D$5:$D$2162,$B215,'октябрь 2024'!$J$5:$J$2162,Z$1)</f>
        <v>0</v>
      </c>
      <c r="AA215" s="80">
        <f>SUMIFS('октябрь 2024'!$G$5:$G$2162,'октябрь 2024'!$D$5:$D$2162,$B215,'октябрь 2024'!$J$5:$J$2162,AA$1)</f>
        <v>0</v>
      </c>
      <c r="AB215" s="80">
        <f>SUMIFS('октябрь 2024'!$G$5:$G$2162,'октябрь 2024'!$D$5:$D$2162,$B215,'октябрь 2024'!$J$5:$J$2162,AB$1)</f>
        <v>0</v>
      </c>
      <c r="AC215" s="80">
        <f>SUMIFS('октябрь 2024'!$G$5:$G$2162,'октябрь 2024'!$D$5:$D$2162,$B215,'октябрь 2024'!$J$5:$J$2162,AC$1)</f>
        <v>0</v>
      </c>
      <c r="AD215" s="80">
        <f>SUMIFS('октябрь 2024'!$G$5:$G$2162,'октябрь 2024'!$D$5:$D$2162,$B215,'октябрь 2024'!$J$5:$J$2162,AD$1)</f>
        <v>0</v>
      </c>
      <c r="AE215" s="80">
        <f>SUMIFS('октябрь 2024'!$G$5:$G$2162,'октябрь 2024'!$D$5:$D$2162,$B215,'октябрь 2024'!$J$5:$J$2162,AE$1)</f>
        <v>0</v>
      </c>
      <c r="AF215" s="80">
        <f>SUMIFS('октябрь 2024'!$G$5:$G$2162,'октябрь 2024'!$D$5:$D$2162,$B215,'октябрь 2024'!$J$5:$J$2162,AF$1)</f>
        <v>0</v>
      </c>
      <c r="AG215" s="80">
        <f>SUMIFS('октябрь 2024'!$G$5:$G$2162,'октябрь 2024'!$D$5:$D$2162,$B215,'октябрь 2024'!$J$5:$J$2162,AG$1)</f>
        <v>0</v>
      </c>
      <c r="AH215" s="80">
        <f>SUMIFS('октябрь 2024'!$G$5:$G$2162,'октябрь 2024'!$D$5:$D$2162,$B215,'октябрь 2024'!$J$5:$J$2162,AH$1)</f>
        <v>0</v>
      </c>
      <c r="AI215" s="87"/>
    </row>
    <row r="216" spans="2:35" ht="15" hidden="1" customHeight="1" x14ac:dyDescent="0.25">
      <c r="B216" s="89"/>
      <c r="C216" s="88"/>
      <c r="D216" s="80">
        <f>SUMIFS('февраль 2024'!$G$6:$G$1413,'февраль 2024'!$D$6:$D$1413,$B216,'февраль 2024'!$J$6:$J$1413,D$1)</f>
        <v>0</v>
      </c>
      <c r="E216" s="80">
        <f>SUMIFS('февраль 2024'!$G$6:$G$1413,'февраль 2024'!$D$6:$D$1413,$B216,'февраль 2024'!$J$6:$J$1413,E$1)</f>
        <v>0</v>
      </c>
      <c r="F216" s="80">
        <f>SUMIFS('февраль 2024'!$G$6:$G$1413,'февраль 2024'!$D$6:$D$1413,$B216,'февраль 2024'!$J$6:$J$1413,F$1)</f>
        <v>0</v>
      </c>
      <c r="G216" s="80">
        <f>SUMIFS('февраль 2024'!$G$6:$G$1413,'февраль 2024'!$D$6:$D$1413,$B216,'февраль 2024'!$J$6:$J$1413,G$1)</f>
        <v>0</v>
      </c>
      <c r="H216" s="80">
        <f>SUMIFS('февраль 2024'!$G$6:$G$1413,'февраль 2024'!$D$6:$D$1413,$B216,'февраль 2024'!$J$6:$J$1413,H$1)</f>
        <v>0</v>
      </c>
      <c r="I216" s="80">
        <f>SUMIFS('февраль 2024'!$G$6:$G$1413,'февраль 2024'!$D$6:$D$1413,$B216,'февраль 2024'!$J$6:$J$1413,I$1)</f>
        <v>0</v>
      </c>
      <c r="J216" s="80">
        <f>SUMIFS('февраль 2024'!$G$6:$G$1413,'февраль 2024'!$D$6:$D$1413,$B216,'февраль 2024'!$J$6:$J$1413,J$1)</f>
        <v>0</v>
      </c>
      <c r="K216" s="80">
        <f>SUMIFS('февраль 2024'!$G$6:$G$1413,'февраль 2024'!$D$6:$D$1413,$B216,'февраль 2024'!$J$6:$J$1413,K$1)</f>
        <v>0</v>
      </c>
      <c r="L216" s="80">
        <f>SUMIFS('февраль 2024'!$G$6:$G$1413,'февраль 2024'!$D$6:$D$1413,$B216,'февраль 2024'!$J$6:$J$1413,L$1)</f>
        <v>0</v>
      </c>
      <c r="M216" s="80">
        <f>SUMIFS('февраль 2024'!$G$6:$G$1413,'февраль 2024'!$D$6:$D$1413,$B216,'февраль 2024'!$J$6:$J$1413,M$1)</f>
        <v>0</v>
      </c>
      <c r="N216" s="80">
        <f>SUMIFS('февраль 2024'!$G$6:$G$1413,'февраль 2024'!$D$6:$D$1413,$B216,'февраль 2024'!$J$6:$J$1413,N$1)</f>
        <v>0</v>
      </c>
      <c r="O216" s="80">
        <f>SUMIFS('февраль 2024'!$G$6:$G$1413,'февраль 2024'!$D$6:$D$1413,$B216,'февраль 2024'!$J$6:$J$1413,O$1)</f>
        <v>0</v>
      </c>
      <c r="P216" s="80">
        <f>SUMIFS('февраль 2024'!$G$6:$G$1413,'февраль 2024'!$D$6:$D$1413,$B216,'февраль 2024'!$J$6:$J$1413,P$1)</f>
        <v>0</v>
      </c>
      <c r="Q216" s="80">
        <f>SUMIFS('февраль 2024'!$G$6:$G$1413,'февраль 2024'!$D$6:$D$1413,$B216,'февраль 2024'!$J$6:$J$1413,Q$1)</f>
        <v>0</v>
      </c>
      <c r="R216" s="80">
        <f>SUMIFS('февраль 2024'!$G$6:$G$1413,'февраль 2024'!$D$6:$D$1413,$B216,'февраль 2024'!$J$6:$J$1413,R$1)</f>
        <v>0</v>
      </c>
      <c r="S216" s="80">
        <f>SUMIFS('февраль 2024'!$G$6:$G$1413,'февраль 2024'!$D$6:$D$1413,$B216,'февраль 2024'!$J$6:$J$1413,S$1)</f>
        <v>0</v>
      </c>
      <c r="T216" s="80">
        <f>SUMIFS('февраль 2024'!$G$6:$G$1413,'февраль 2024'!$D$6:$D$1413,$B216,'февраль 2024'!$J$6:$J$1413,T$1)</f>
        <v>0</v>
      </c>
      <c r="U216" s="80">
        <f>SUMIFS('февраль 2024'!$G$6:$G$1413,'февраль 2024'!$D$6:$D$1413,$B216,'февраль 2024'!$J$6:$J$1413,U$1)</f>
        <v>0</v>
      </c>
      <c r="V216" s="80">
        <f>SUMIFS('февраль 2024'!$G$6:$G$1413,'февраль 2024'!$D$6:$D$1413,$B216,'февраль 2024'!$J$6:$J$1413,V$1)</f>
        <v>0</v>
      </c>
      <c r="W216" s="80">
        <f>SUMIFS('февраль 2024'!$G$6:$G$1413,'февраль 2024'!$D$6:$D$1413,$B216,'февраль 2024'!$J$6:$J$1413,W$1)</f>
        <v>0</v>
      </c>
      <c r="X216" s="80">
        <f>SUMIFS('февраль 2024'!$G$6:$G$1413,'февраль 2024'!$D$6:$D$1413,$B216,'февраль 2024'!$J$6:$J$1413,X$1)</f>
        <v>0</v>
      </c>
      <c r="Y216" s="80">
        <f>SUMIFS('февраль 2024'!$G$6:$G$1413,'февраль 2024'!$D$6:$D$1413,$B216,'февраль 2024'!$J$6:$J$1413,Y$1)</f>
        <v>0</v>
      </c>
      <c r="Z216" s="80">
        <f>SUMIFS('февраль 2024'!$G$6:$G$1413,'февраль 2024'!$D$6:$D$1413,$B216,'февраль 2024'!$J$6:$J$1413,Z$1)</f>
        <v>0</v>
      </c>
      <c r="AA216" s="80">
        <f>SUMIFS('февраль 2024'!$G$6:$G$1413,'февраль 2024'!$D$6:$D$1413,$B216,'февраль 2024'!$J$6:$J$1413,AA$1)</f>
        <v>0</v>
      </c>
      <c r="AB216" s="80">
        <f>SUMIFS('февраль 2024'!$G$6:$G$1413,'февраль 2024'!$D$6:$D$1413,$B216,'февраль 2024'!$J$6:$J$1413,AB$1)</f>
        <v>0</v>
      </c>
      <c r="AC216" s="80">
        <f>SUMIFS('февраль 2024'!$G$6:$G$1413,'февраль 2024'!$D$6:$D$1413,$B216,'февраль 2024'!$J$6:$J$1413,AC$1)</f>
        <v>0</v>
      </c>
      <c r="AD216" s="80">
        <f>SUMIFS('февраль 2024'!$G$6:$G$1413,'февраль 2024'!$D$6:$D$1413,$B216,'февраль 2024'!$J$6:$J$1413,AD$1)</f>
        <v>0</v>
      </c>
      <c r="AE216" s="80">
        <f>SUMIFS('февраль 2024'!$G$6:$G$1413,'февраль 2024'!$D$6:$D$1413,$B216,'февраль 2024'!$J$6:$J$1413,AE$1)</f>
        <v>0</v>
      </c>
      <c r="AF216" s="80">
        <f>SUMIFS('февраль 2024'!$G$6:$G$1413,'февраль 2024'!$D$6:$D$1413,$B216,'февраль 2024'!$J$6:$J$1413,AF$1)</f>
        <v>0</v>
      </c>
      <c r="AG216" s="80">
        <f>SUMIFS('февраль 2024'!$G$6:$G$1413,'февраль 2024'!$D$6:$D$1413,$B216,'февраль 2024'!$J$6:$J$1413,AG$1)</f>
        <v>0</v>
      </c>
      <c r="AH216" s="80">
        <f>SUMIFS('февраль 2024'!$G$6:$G$1413,'февраль 2024'!$D$6:$D$1413,$B216,'февраль 2024'!$J$6:$J$1413,AH$1)</f>
        <v>0</v>
      </c>
      <c r="AI216" s="87"/>
    </row>
    <row r="217" spans="2:35" ht="15" hidden="1" customHeight="1" x14ac:dyDescent="0.25">
      <c r="B217" s="89"/>
      <c r="C217" s="88"/>
      <c r="D217" s="80">
        <f>SUMIFS('февраль 2024'!$G$6:$G$1413,'февраль 2024'!$D$6:$D$1413,$B217,'февраль 2024'!$J$6:$J$1413,D$1)</f>
        <v>0</v>
      </c>
      <c r="E217" s="80">
        <f>SUMIFS('февраль 2024'!$G$6:$G$1413,'февраль 2024'!$D$6:$D$1413,$B217,'февраль 2024'!$J$6:$J$1413,E$1)</f>
        <v>0</v>
      </c>
      <c r="F217" s="80">
        <f>SUMIFS('февраль 2024'!$G$6:$G$1413,'февраль 2024'!$D$6:$D$1413,$B217,'февраль 2024'!$J$6:$J$1413,F$1)</f>
        <v>0</v>
      </c>
      <c r="G217" s="80">
        <f>SUMIFS('февраль 2024'!$G$6:$G$1413,'февраль 2024'!$D$6:$D$1413,$B217,'февраль 2024'!$J$6:$J$1413,G$1)</f>
        <v>0</v>
      </c>
      <c r="H217" s="80">
        <f>SUMIFS('февраль 2024'!$G$6:$G$1413,'февраль 2024'!$D$6:$D$1413,$B217,'февраль 2024'!$J$6:$J$1413,H$1)</f>
        <v>0</v>
      </c>
      <c r="I217" s="80">
        <f>SUMIFS('февраль 2024'!$G$6:$G$1413,'февраль 2024'!$D$6:$D$1413,$B217,'февраль 2024'!$J$6:$J$1413,I$1)</f>
        <v>0</v>
      </c>
      <c r="J217" s="80">
        <f>SUMIFS('февраль 2024'!$G$6:$G$1413,'февраль 2024'!$D$6:$D$1413,$B217,'февраль 2024'!$J$6:$J$1413,J$1)</f>
        <v>0</v>
      </c>
      <c r="K217" s="80">
        <f>SUMIFS('февраль 2024'!$G$6:$G$1413,'февраль 2024'!$D$6:$D$1413,$B217,'февраль 2024'!$J$6:$J$1413,K$1)</f>
        <v>0</v>
      </c>
      <c r="L217" s="80">
        <f>SUMIFS('февраль 2024'!$G$6:$G$1413,'февраль 2024'!$D$6:$D$1413,$B217,'февраль 2024'!$J$6:$J$1413,L$1)</f>
        <v>0</v>
      </c>
      <c r="M217" s="80">
        <f>SUMIFS('февраль 2024'!$G$6:$G$1413,'февраль 2024'!$D$6:$D$1413,$B217,'февраль 2024'!$J$6:$J$1413,M$1)</f>
        <v>0</v>
      </c>
      <c r="N217" s="80">
        <f>SUMIFS('февраль 2024'!$G$6:$G$1413,'февраль 2024'!$D$6:$D$1413,$B217,'февраль 2024'!$J$6:$J$1413,N$1)</f>
        <v>0</v>
      </c>
      <c r="O217" s="80">
        <f>SUMIFS('февраль 2024'!$G$6:$G$1413,'февраль 2024'!$D$6:$D$1413,$B217,'февраль 2024'!$J$6:$J$1413,O$1)</f>
        <v>0</v>
      </c>
      <c r="P217" s="80">
        <f>SUMIFS('февраль 2024'!$G$6:$G$1413,'февраль 2024'!$D$6:$D$1413,$B217,'февраль 2024'!$J$6:$J$1413,P$1)</f>
        <v>0</v>
      </c>
      <c r="Q217" s="80">
        <f>SUMIFS('февраль 2024'!$G$6:$G$1413,'февраль 2024'!$D$6:$D$1413,$B217,'февраль 2024'!$J$6:$J$1413,Q$1)</f>
        <v>0</v>
      </c>
      <c r="R217" s="80">
        <f>SUMIFS('февраль 2024'!$G$6:$G$1413,'февраль 2024'!$D$6:$D$1413,$B217,'февраль 2024'!$J$6:$J$1413,R$1)</f>
        <v>0</v>
      </c>
      <c r="S217" s="80">
        <f>SUMIFS('февраль 2024'!$G$6:$G$1413,'февраль 2024'!$D$6:$D$1413,$B217,'февраль 2024'!$J$6:$J$1413,S$1)</f>
        <v>0</v>
      </c>
      <c r="T217" s="80">
        <f>SUMIFS('февраль 2024'!$G$6:$G$1413,'февраль 2024'!$D$6:$D$1413,$B217,'февраль 2024'!$J$6:$J$1413,T$1)</f>
        <v>0</v>
      </c>
      <c r="U217" s="80">
        <f>SUMIFS('февраль 2024'!$G$6:$G$1413,'февраль 2024'!$D$6:$D$1413,$B217,'февраль 2024'!$J$6:$J$1413,U$1)</f>
        <v>0</v>
      </c>
      <c r="V217" s="80">
        <f>SUMIFS('февраль 2024'!$G$6:$G$1413,'февраль 2024'!$D$6:$D$1413,$B217,'февраль 2024'!$J$6:$J$1413,V$1)</f>
        <v>0</v>
      </c>
      <c r="W217" s="80">
        <f>SUMIFS('февраль 2024'!$G$6:$G$1413,'февраль 2024'!$D$6:$D$1413,$B217,'февраль 2024'!$J$6:$J$1413,W$1)</f>
        <v>0</v>
      </c>
      <c r="X217" s="80">
        <f>SUMIFS('февраль 2024'!$G$6:$G$1413,'февраль 2024'!$D$6:$D$1413,$B217,'февраль 2024'!$J$6:$J$1413,X$1)</f>
        <v>0</v>
      </c>
      <c r="Y217" s="80">
        <f>SUMIFS('февраль 2024'!$G$6:$G$1413,'февраль 2024'!$D$6:$D$1413,$B217,'февраль 2024'!$J$6:$J$1413,Y$1)</f>
        <v>0</v>
      </c>
      <c r="Z217" s="80">
        <f>SUMIFS('февраль 2024'!$G$6:$G$1413,'февраль 2024'!$D$6:$D$1413,$B217,'февраль 2024'!$J$6:$J$1413,Z$1)</f>
        <v>0</v>
      </c>
      <c r="AA217" s="80">
        <f>SUMIFS('февраль 2024'!$G$6:$G$1413,'февраль 2024'!$D$6:$D$1413,$B217,'февраль 2024'!$J$6:$J$1413,AA$1)</f>
        <v>0</v>
      </c>
      <c r="AB217" s="80">
        <f>SUMIFS('февраль 2024'!$G$6:$G$1413,'февраль 2024'!$D$6:$D$1413,$B217,'февраль 2024'!$J$6:$J$1413,AB$1)</f>
        <v>0</v>
      </c>
      <c r="AC217" s="80">
        <f>SUMIFS('февраль 2024'!$G$6:$G$1413,'февраль 2024'!$D$6:$D$1413,$B217,'февраль 2024'!$J$6:$J$1413,AC$1)</f>
        <v>0</v>
      </c>
      <c r="AD217" s="80">
        <f>SUMIFS('февраль 2024'!$G$6:$G$1413,'февраль 2024'!$D$6:$D$1413,$B217,'февраль 2024'!$J$6:$J$1413,AD$1)</f>
        <v>0</v>
      </c>
      <c r="AE217" s="80">
        <f>SUMIFS('февраль 2024'!$G$6:$G$1413,'февраль 2024'!$D$6:$D$1413,$B217,'февраль 2024'!$J$6:$J$1413,AE$1)</f>
        <v>0</v>
      </c>
      <c r="AF217" s="80">
        <f>SUMIFS('февраль 2024'!$G$6:$G$1413,'февраль 2024'!$D$6:$D$1413,$B217,'февраль 2024'!$J$6:$J$1413,AF$1)</f>
        <v>0</v>
      </c>
      <c r="AG217" s="80">
        <f>SUMIFS('февраль 2024'!$G$6:$G$1413,'февраль 2024'!$D$6:$D$1413,$B217,'февраль 2024'!$J$6:$J$1413,AG$1)</f>
        <v>0</v>
      </c>
      <c r="AH217" s="80">
        <f>SUMIFS('февраль 2024'!$G$6:$G$1413,'февраль 2024'!$D$6:$D$1413,$B217,'февраль 2024'!$J$6:$J$1413,AH$1)</f>
        <v>0</v>
      </c>
      <c r="AI217" s="87"/>
    </row>
    <row r="218" spans="2:35" ht="15" hidden="1" customHeight="1" x14ac:dyDescent="0.25">
      <c r="B218" s="89"/>
      <c r="C218" s="88"/>
      <c r="D218" s="80">
        <f>SUMIFS('февраль 2024'!$G$6:$G$1413,'февраль 2024'!$D$6:$D$1413,$B218,'февраль 2024'!$J$6:$J$1413,D$1)</f>
        <v>0</v>
      </c>
      <c r="E218" s="80">
        <f>SUMIFS('февраль 2024'!$G$6:$G$1413,'февраль 2024'!$D$6:$D$1413,$B218,'февраль 2024'!$J$6:$J$1413,E$1)</f>
        <v>0</v>
      </c>
      <c r="F218" s="80">
        <f>SUMIFS('февраль 2024'!$G$6:$G$1413,'февраль 2024'!$D$6:$D$1413,$B218,'февраль 2024'!$J$6:$J$1413,F$1)</f>
        <v>0</v>
      </c>
      <c r="G218" s="80">
        <f>SUMIFS('февраль 2024'!$G$6:$G$1413,'февраль 2024'!$D$6:$D$1413,$B218,'февраль 2024'!$J$6:$J$1413,G$1)</f>
        <v>0</v>
      </c>
      <c r="H218" s="80">
        <f>SUMIFS('февраль 2024'!$G$6:$G$1413,'февраль 2024'!$D$6:$D$1413,$B218,'февраль 2024'!$J$6:$J$1413,H$1)</f>
        <v>0</v>
      </c>
      <c r="I218" s="80">
        <f>SUMIFS('февраль 2024'!$G$6:$G$1413,'февраль 2024'!$D$6:$D$1413,$B218,'февраль 2024'!$J$6:$J$1413,I$1)</f>
        <v>0</v>
      </c>
      <c r="J218" s="80">
        <f>SUMIFS('февраль 2024'!$G$6:$G$1413,'февраль 2024'!$D$6:$D$1413,$B218,'февраль 2024'!$J$6:$J$1413,J$1)</f>
        <v>0</v>
      </c>
      <c r="K218" s="80">
        <f>SUMIFS('февраль 2024'!$G$6:$G$1413,'февраль 2024'!$D$6:$D$1413,$B218,'февраль 2024'!$J$6:$J$1413,K$1)</f>
        <v>0</v>
      </c>
      <c r="L218" s="80">
        <f>SUMIFS('февраль 2024'!$G$6:$G$1413,'февраль 2024'!$D$6:$D$1413,$B218,'февраль 2024'!$J$6:$J$1413,L$1)</f>
        <v>0</v>
      </c>
      <c r="M218" s="80">
        <f>SUMIFS('февраль 2024'!$G$6:$G$1413,'февраль 2024'!$D$6:$D$1413,$B218,'февраль 2024'!$J$6:$J$1413,M$1)</f>
        <v>0</v>
      </c>
      <c r="N218" s="80">
        <f>SUMIFS('февраль 2024'!$G$6:$G$1413,'февраль 2024'!$D$6:$D$1413,$B218,'февраль 2024'!$J$6:$J$1413,N$1)</f>
        <v>0</v>
      </c>
      <c r="O218" s="80">
        <f>SUMIFS('февраль 2024'!$G$6:$G$1413,'февраль 2024'!$D$6:$D$1413,$B218,'февраль 2024'!$J$6:$J$1413,O$1)</f>
        <v>0</v>
      </c>
      <c r="P218" s="80">
        <f>SUMIFS('февраль 2024'!$G$6:$G$1413,'февраль 2024'!$D$6:$D$1413,$B218,'февраль 2024'!$J$6:$J$1413,P$1)</f>
        <v>0</v>
      </c>
      <c r="Q218" s="80">
        <f>SUMIFS('февраль 2024'!$G$6:$G$1413,'февраль 2024'!$D$6:$D$1413,$B218,'февраль 2024'!$J$6:$J$1413,Q$1)</f>
        <v>0</v>
      </c>
      <c r="R218" s="80">
        <f>SUMIFS('февраль 2024'!$G$6:$G$1413,'февраль 2024'!$D$6:$D$1413,$B218,'февраль 2024'!$J$6:$J$1413,R$1)</f>
        <v>0</v>
      </c>
      <c r="S218" s="80">
        <f>SUMIFS('февраль 2024'!$G$6:$G$1413,'февраль 2024'!$D$6:$D$1413,$B218,'февраль 2024'!$J$6:$J$1413,S$1)</f>
        <v>0</v>
      </c>
      <c r="T218" s="80">
        <f>SUMIFS('февраль 2024'!$G$6:$G$1413,'февраль 2024'!$D$6:$D$1413,$B218,'февраль 2024'!$J$6:$J$1413,T$1)</f>
        <v>0</v>
      </c>
      <c r="U218" s="80">
        <f>SUMIFS('февраль 2024'!$G$6:$G$1413,'февраль 2024'!$D$6:$D$1413,$B218,'февраль 2024'!$J$6:$J$1413,U$1)</f>
        <v>0</v>
      </c>
      <c r="V218" s="80">
        <f>SUMIFS('февраль 2024'!$G$6:$G$1413,'февраль 2024'!$D$6:$D$1413,$B218,'февраль 2024'!$J$6:$J$1413,V$1)</f>
        <v>0</v>
      </c>
      <c r="W218" s="80">
        <f>SUMIFS('февраль 2024'!$G$6:$G$1413,'февраль 2024'!$D$6:$D$1413,$B218,'февраль 2024'!$J$6:$J$1413,W$1)</f>
        <v>0</v>
      </c>
      <c r="X218" s="80">
        <f>SUMIFS('февраль 2024'!$G$6:$G$1413,'февраль 2024'!$D$6:$D$1413,$B218,'февраль 2024'!$J$6:$J$1413,X$1)</f>
        <v>0</v>
      </c>
      <c r="Y218" s="80">
        <f>SUMIFS('февраль 2024'!$G$6:$G$1413,'февраль 2024'!$D$6:$D$1413,$B218,'февраль 2024'!$J$6:$J$1413,Y$1)</f>
        <v>0</v>
      </c>
      <c r="Z218" s="80">
        <f>SUMIFS('февраль 2024'!$G$6:$G$1413,'февраль 2024'!$D$6:$D$1413,$B218,'февраль 2024'!$J$6:$J$1413,Z$1)</f>
        <v>0</v>
      </c>
      <c r="AA218" s="80">
        <f>SUMIFS('февраль 2024'!$G$6:$G$1413,'февраль 2024'!$D$6:$D$1413,$B218,'февраль 2024'!$J$6:$J$1413,AA$1)</f>
        <v>0</v>
      </c>
      <c r="AB218" s="80">
        <f>SUMIFS('февраль 2024'!$G$6:$G$1413,'февраль 2024'!$D$6:$D$1413,$B218,'февраль 2024'!$J$6:$J$1413,AB$1)</f>
        <v>0</v>
      </c>
      <c r="AC218" s="80">
        <f>SUMIFS('февраль 2024'!$G$6:$G$1413,'февраль 2024'!$D$6:$D$1413,$B218,'февраль 2024'!$J$6:$J$1413,AC$1)</f>
        <v>0</v>
      </c>
      <c r="AD218" s="80">
        <f>SUMIFS('февраль 2024'!$G$6:$G$1413,'февраль 2024'!$D$6:$D$1413,$B218,'февраль 2024'!$J$6:$J$1413,AD$1)</f>
        <v>0</v>
      </c>
      <c r="AE218" s="80">
        <f>SUMIFS('февраль 2024'!$G$6:$G$1413,'февраль 2024'!$D$6:$D$1413,$B218,'февраль 2024'!$J$6:$J$1413,AE$1)</f>
        <v>0</v>
      </c>
      <c r="AF218" s="80">
        <f>SUMIFS('февраль 2024'!$G$6:$G$1413,'февраль 2024'!$D$6:$D$1413,$B218,'февраль 2024'!$J$6:$J$1413,AF$1)</f>
        <v>0</v>
      </c>
      <c r="AG218" s="80">
        <f>SUMIFS('февраль 2024'!$G$6:$G$1413,'февраль 2024'!$D$6:$D$1413,$B218,'февраль 2024'!$J$6:$J$1413,AG$1)</f>
        <v>0</v>
      </c>
      <c r="AH218" s="80">
        <f>SUMIFS('февраль 2024'!$G$6:$G$1413,'февраль 2024'!$D$6:$D$1413,$B218,'февраль 2024'!$J$6:$J$1413,AH$1)</f>
        <v>0</v>
      </c>
      <c r="AI218" s="87"/>
    </row>
    <row r="219" spans="2:35" ht="15" hidden="1" customHeight="1" x14ac:dyDescent="0.25">
      <c r="B219" s="89"/>
      <c r="C219" s="88"/>
      <c r="D219" s="80">
        <f>SUMIFS('февраль 2024'!$G$6:$G$1413,'февраль 2024'!$D$6:$D$1413,$B219,'февраль 2024'!$J$6:$J$1413,D$1)</f>
        <v>0</v>
      </c>
      <c r="E219" s="80">
        <f>SUMIFS('февраль 2024'!$G$6:$G$1413,'февраль 2024'!$D$6:$D$1413,$B219,'февраль 2024'!$J$6:$J$1413,E$1)</f>
        <v>0</v>
      </c>
      <c r="F219" s="80">
        <f>SUMIFS('февраль 2024'!$G$6:$G$1413,'февраль 2024'!$D$6:$D$1413,$B219,'февраль 2024'!$J$6:$J$1413,F$1)</f>
        <v>0</v>
      </c>
      <c r="G219" s="80">
        <f>SUMIFS('февраль 2024'!$G$6:$G$1413,'февраль 2024'!$D$6:$D$1413,$B219,'февраль 2024'!$J$6:$J$1413,G$1)</f>
        <v>0</v>
      </c>
      <c r="H219" s="80">
        <f>SUMIFS('февраль 2024'!$G$6:$G$1413,'февраль 2024'!$D$6:$D$1413,$B219,'февраль 2024'!$J$6:$J$1413,H$1)</f>
        <v>0</v>
      </c>
      <c r="I219" s="80">
        <f>SUMIFS('февраль 2024'!$G$6:$G$1413,'февраль 2024'!$D$6:$D$1413,$B219,'февраль 2024'!$J$6:$J$1413,I$1)</f>
        <v>0</v>
      </c>
      <c r="J219" s="80">
        <f>SUMIFS('февраль 2024'!$G$6:$G$1413,'февраль 2024'!$D$6:$D$1413,$B219,'февраль 2024'!$J$6:$J$1413,J$1)</f>
        <v>0</v>
      </c>
      <c r="K219" s="80">
        <f>SUMIFS('февраль 2024'!$G$6:$G$1413,'февраль 2024'!$D$6:$D$1413,$B219,'февраль 2024'!$J$6:$J$1413,K$1)</f>
        <v>0</v>
      </c>
      <c r="L219" s="80">
        <f>SUMIFS('февраль 2024'!$G$6:$G$1413,'февраль 2024'!$D$6:$D$1413,$B219,'февраль 2024'!$J$6:$J$1413,L$1)</f>
        <v>0</v>
      </c>
      <c r="M219" s="80">
        <f>SUMIFS('февраль 2024'!$G$6:$G$1413,'февраль 2024'!$D$6:$D$1413,$B219,'февраль 2024'!$J$6:$J$1413,M$1)</f>
        <v>0</v>
      </c>
      <c r="N219" s="80">
        <f>SUMIFS('февраль 2024'!$G$6:$G$1413,'февраль 2024'!$D$6:$D$1413,$B219,'февраль 2024'!$J$6:$J$1413,N$1)</f>
        <v>0</v>
      </c>
      <c r="O219" s="80">
        <f>SUMIFS('февраль 2024'!$G$6:$G$1413,'февраль 2024'!$D$6:$D$1413,$B219,'февраль 2024'!$J$6:$J$1413,O$1)</f>
        <v>0</v>
      </c>
      <c r="P219" s="80">
        <f>SUMIFS('февраль 2024'!$G$6:$G$1413,'февраль 2024'!$D$6:$D$1413,$B219,'февраль 2024'!$J$6:$J$1413,P$1)</f>
        <v>0</v>
      </c>
      <c r="Q219" s="80">
        <f>SUMIFS('февраль 2024'!$G$6:$G$1413,'февраль 2024'!$D$6:$D$1413,$B219,'февраль 2024'!$J$6:$J$1413,Q$1)</f>
        <v>0</v>
      </c>
      <c r="R219" s="80">
        <f>SUMIFS('февраль 2024'!$G$6:$G$1413,'февраль 2024'!$D$6:$D$1413,$B219,'февраль 2024'!$J$6:$J$1413,R$1)</f>
        <v>0</v>
      </c>
      <c r="S219" s="80">
        <f>SUMIFS('февраль 2024'!$G$6:$G$1413,'февраль 2024'!$D$6:$D$1413,$B219,'февраль 2024'!$J$6:$J$1413,S$1)</f>
        <v>0</v>
      </c>
      <c r="T219" s="80">
        <f>SUMIFS('февраль 2024'!$G$6:$G$1413,'февраль 2024'!$D$6:$D$1413,$B219,'февраль 2024'!$J$6:$J$1413,T$1)</f>
        <v>0</v>
      </c>
      <c r="U219" s="80">
        <f>SUMIFS('февраль 2024'!$G$6:$G$1413,'февраль 2024'!$D$6:$D$1413,$B219,'февраль 2024'!$J$6:$J$1413,U$1)</f>
        <v>0</v>
      </c>
      <c r="V219" s="80">
        <f>SUMIFS('февраль 2024'!$G$6:$G$1413,'февраль 2024'!$D$6:$D$1413,$B219,'февраль 2024'!$J$6:$J$1413,V$1)</f>
        <v>0</v>
      </c>
      <c r="W219" s="80">
        <f>SUMIFS('февраль 2024'!$G$6:$G$1413,'февраль 2024'!$D$6:$D$1413,$B219,'февраль 2024'!$J$6:$J$1413,W$1)</f>
        <v>0</v>
      </c>
      <c r="X219" s="80">
        <f>SUMIFS('февраль 2024'!$G$6:$G$1413,'февраль 2024'!$D$6:$D$1413,$B219,'февраль 2024'!$J$6:$J$1413,X$1)</f>
        <v>0</v>
      </c>
      <c r="Y219" s="80">
        <f>SUMIFS('февраль 2024'!$G$6:$G$1413,'февраль 2024'!$D$6:$D$1413,$B219,'февраль 2024'!$J$6:$J$1413,Y$1)</f>
        <v>0</v>
      </c>
      <c r="Z219" s="80">
        <f>SUMIFS('февраль 2024'!$G$6:$G$1413,'февраль 2024'!$D$6:$D$1413,$B219,'февраль 2024'!$J$6:$J$1413,Z$1)</f>
        <v>0</v>
      </c>
      <c r="AA219" s="80">
        <f>SUMIFS('февраль 2024'!$G$6:$G$1413,'февраль 2024'!$D$6:$D$1413,$B219,'февраль 2024'!$J$6:$J$1413,AA$1)</f>
        <v>0</v>
      </c>
      <c r="AB219" s="80">
        <f>SUMIFS('февраль 2024'!$G$6:$G$1413,'февраль 2024'!$D$6:$D$1413,$B219,'февраль 2024'!$J$6:$J$1413,AB$1)</f>
        <v>0</v>
      </c>
      <c r="AC219" s="80">
        <f>SUMIFS('февраль 2024'!$G$6:$G$1413,'февраль 2024'!$D$6:$D$1413,$B219,'февраль 2024'!$J$6:$J$1413,AC$1)</f>
        <v>0</v>
      </c>
      <c r="AD219" s="80">
        <f>SUMIFS('февраль 2024'!$G$6:$G$1413,'февраль 2024'!$D$6:$D$1413,$B219,'февраль 2024'!$J$6:$J$1413,AD$1)</f>
        <v>0</v>
      </c>
      <c r="AE219" s="80">
        <f>SUMIFS('февраль 2024'!$G$6:$G$1413,'февраль 2024'!$D$6:$D$1413,$B219,'февраль 2024'!$J$6:$J$1413,AE$1)</f>
        <v>0</v>
      </c>
      <c r="AF219" s="80">
        <f>SUMIFS('февраль 2024'!$G$6:$G$1413,'февраль 2024'!$D$6:$D$1413,$B219,'февраль 2024'!$J$6:$J$1413,AF$1)</f>
        <v>0</v>
      </c>
      <c r="AG219" s="80">
        <f>SUMIFS('февраль 2024'!$G$6:$G$1413,'февраль 2024'!$D$6:$D$1413,$B219,'февраль 2024'!$J$6:$J$1413,AG$1)</f>
        <v>0</v>
      </c>
      <c r="AH219" s="80">
        <f>SUMIFS('февраль 2024'!$G$6:$G$1413,'февраль 2024'!$D$6:$D$1413,$B219,'февраль 2024'!$J$6:$J$1413,AH$1)</f>
        <v>0</v>
      </c>
      <c r="AI219" s="87"/>
    </row>
    <row r="220" spans="2:35" ht="15" hidden="1" customHeight="1" x14ac:dyDescent="0.25">
      <c r="B220" s="89"/>
      <c r="C220" s="88"/>
      <c r="D220" s="80">
        <f>SUMIFS('февраль 2024'!$G$6:$G$1413,'февраль 2024'!$D$6:$D$1413,$B220,'февраль 2024'!$J$6:$J$1413,D$1)</f>
        <v>0</v>
      </c>
      <c r="E220" s="80">
        <f>SUMIFS('февраль 2024'!$G$6:$G$1413,'февраль 2024'!$D$6:$D$1413,$B220,'февраль 2024'!$J$6:$J$1413,E$1)</f>
        <v>0</v>
      </c>
      <c r="F220" s="80">
        <f>SUMIFS('февраль 2024'!$G$6:$G$1413,'февраль 2024'!$D$6:$D$1413,$B220,'февраль 2024'!$J$6:$J$1413,F$1)</f>
        <v>0</v>
      </c>
      <c r="G220" s="80">
        <f>SUMIFS('февраль 2024'!$G$6:$G$1413,'февраль 2024'!$D$6:$D$1413,$B220,'февраль 2024'!$J$6:$J$1413,G$1)</f>
        <v>0</v>
      </c>
      <c r="H220" s="80">
        <f>SUMIFS('февраль 2024'!$G$6:$G$1413,'февраль 2024'!$D$6:$D$1413,$B220,'февраль 2024'!$J$6:$J$1413,H$1)</f>
        <v>0</v>
      </c>
      <c r="I220" s="80">
        <f>SUMIFS('февраль 2024'!$G$6:$G$1413,'февраль 2024'!$D$6:$D$1413,$B220,'февраль 2024'!$J$6:$J$1413,I$1)</f>
        <v>0</v>
      </c>
      <c r="J220" s="80">
        <f>SUMIFS('февраль 2024'!$G$6:$G$1413,'февраль 2024'!$D$6:$D$1413,$B220,'февраль 2024'!$J$6:$J$1413,J$1)</f>
        <v>0</v>
      </c>
      <c r="K220" s="80">
        <f>SUMIFS('февраль 2024'!$G$6:$G$1413,'февраль 2024'!$D$6:$D$1413,$B220,'февраль 2024'!$J$6:$J$1413,K$1)</f>
        <v>0</v>
      </c>
      <c r="L220" s="80">
        <f>SUMIFS('февраль 2024'!$G$6:$G$1413,'февраль 2024'!$D$6:$D$1413,$B220,'февраль 2024'!$J$6:$J$1413,L$1)</f>
        <v>0</v>
      </c>
      <c r="M220" s="80">
        <f>SUMIFS('февраль 2024'!$G$6:$G$1413,'февраль 2024'!$D$6:$D$1413,$B220,'февраль 2024'!$J$6:$J$1413,M$1)</f>
        <v>0</v>
      </c>
      <c r="N220" s="80">
        <f>SUMIFS('февраль 2024'!$G$6:$G$1413,'февраль 2024'!$D$6:$D$1413,$B220,'февраль 2024'!$J$6:$J$1413,N$1)</f>
        <v>0</v>
      </c>
      <c r="O220" s="80">
        <f>SUMIFS('февраль 2024'!$G$6:$G$1413,'февраль 2024'!$D$6:$D$1413,$B220,'февраль 2024'!$J$6:$J$1413,O$1)</f>
        <v>0</v>
      </c>
      <c r="P220" s="80">
        <f>SUMIFS('февраль 2024'!$G$6:$G$1413,'февраль 2024'!$D$6:$D$1413,$B220,'февраль 2024'!$J$6:$J$1413,P$1)</f>
        <v>0</v>
      </c>
      <c r="Q220" s="80">
        <f>SUMIFS('февраль 2024'!$G$6:$G$1413,'февраль 2024'!$D$6:$D$1413,$B220,'февраль 2024'!$J$6:$J$1413,Q$1)</f>
        <v>0</v>
      </c>
      <c r="R220" s="80">
        <f>SUMIFS('февраль 2024'!$G$6:$G$1413,'февраль 2024'!$D$6:$D$1413,$B220,'февраль 2024'!$J$6:$J$1413,R$1)</f>
        <v>0</v>
      </c>
      <c r="S220" s="80">
        <f>SUMIFS('февраль 2024'!$G$6:$G$1413,'февраль 2024'!$D$6:$D$1413,$B220,'февраль 2024'!$J$6:$J$1413,S$1)</f>
        <v>0</v>
      </c>
      <c r="T220" s="80">
        <f>SUMIFS('февраль 2024'!$G$6:$G$1413,'февраль 2024'!$D$6:$D$1413,$B220,'февраль 2024'!$J$6:$J$1413,T$1)</f>
        <v>0</v>
      </c>
      <c r="U220" s="80">
        <f>SUMIFS('февраль 2024'!$G$6:$G$1413,'февраль 2024'!$D$6:$D$1413,$B220,'февраль 2024'!$J$6:$J$1413,U$1)</f>
        <v>0</v>
      </c>
      <c r="V220" s="80">
        <f>SUMIFS('февраль 2024'!$G$6:$G$1413,'февраль 2024'!$D$6:$D$1413,$B220,'февраль 2024'!$J$6:$J$1413,V$1)</f>
        <v>0</v>
      </c>
      <c r="W220" s="80">
        <f>SUMIFS('февраль 2024'!$G$6:$G$1413,'февраль 2024'!$D$6:$D$1413,$B220,'февраль 2024'!$J$6:$J$1413,W$1)</f>
        <v>0</v>
      </c>
      <c r="X220" s="80">
        <f>SUMIFS('февраль 2024'!$G$6:$G$1413,'февраль 2024'!$D$6:$D$1413,$B220,'февраль 2024'!$J$6:$J$1413,X$1)</f>
        <v>0</v>
      </c>
      <c r="Y220" s="80">
        <f>SUMIFS('февраль 2024'!$G$6:$G$1413,'февраль 2024'!$D$6:$D$1413,$B220,'февраль 2024'!$J$6:$J$1413,Y$1)</f>
        <v>0</v>
      </c>
      <c r="Z220" s="80">
        <f>SUMIFS('февраль 2024'!$G$6:$G$1413,'февраль 2024'!$D$6:$D$1413,$B220,'февраль 2024'!$J$6:$J$1413,Z$1)</f>
        <v>0</v>
      </c>
      <c r="AA220" s="80">
        <f>SUMIFS('февраль 2024'!$G$6:$G$1413,'февраль 2024'!$D$6:$D$1413,$B220,'февраль 2024'!$J$6:$J$1413,AA$1)</f>
        <v>0</v>
      </c>
      <c r="AB220" s="80">
        <f>SUMIFS('февраль 2024'!$G$6:$G$1413,'февраль 2024'!$D$6:$D$1413,$B220,'февраль 2024'!$J$6:$J$1413,AB$1)</f>
        <v>0</v>
      </c>
      <c r="AC220" s="80">
        <f>SUMIFS('февраль 2024'!$G$6:$G$1413,'февраль 2024'!$D$6:$D$1413,$B220,'февраль 2024'!$J$6:$J$1413,AC$1)</f>
        <v>0</v>
      </c>
      <c r="AD220" s="80">
        <f>SUMIFS('февраль 2024'!$G$6:$G$1413,'февраль 2024'!$D$6:$D$1413,$B220,'февраль 2024'!$J$6:$J$1413,AD$1)</f>
        <v>0</v>
      </c>
      <c r="AE220" s="80">
        <f>SUMIFS('февраль 2024'!$G$6:$G$1413,'февраль 2024'!$D$6:$D$1413,$B220,'февраль 2024'!$J$6:$J$1413,AE$1)</f>
        <v>0</v>
      </c>
      <c r="AF220" s="80">
        <f>SUMIFS('февраль 2024'!$G$6:$G$1413,'февраль 2024'!$D$6:$D$1413,$B220,'февраль 2024'!$J$6:$J$1413,AF$1)</f>
        <v>0</v>
      </c>
      <c r="AG220" s="80">
        <f>SUMIFS('февраль 2024'!$G$6:$G$1413,'февраль 2024'!$D$6:$D$1413,$B220,'февраль 2024'!$J$6:$J$1413,AG$1)</f>
        <v>0</v>
      </c>
      <c r="AH220" s="80">
        <f>SUMIFS('февраль 2024'!$G$6:$G$1413,'февраль 2024'!$D$6:$D$1413,$B220,'февраль 2024'!$J$6:$J$1413,AH$1)</f>
        <v>0</v>
      </c>
      <c r="AI220" s="87"/>
    </row>
    <row r="221" spans="2:35" ht="15" hidden="1" customHeight="1" thickBot="1" x14ac:dyDescent="0.3">
      <c r="B221" s="89"/>
      <c r="C221" s="96"/>
      <c r="D221" s="80">
        <f>SUMIFS('февраль 2024'!$G$6:$G$1413,'февраль 2024'!$D$6:$D$1413,$B221,'февраль 2024'!$J$6:$J$1413,D$1)</f>
        <v>0</v>
      </c>
      <c r="E221" s="80">
        <f>SUMIFS('февраль 2024'!$G$6:$G$1413,'февраль 2024'!$D$6:$D$1413,$B221,'февраль 2024'!$J$6:$J$1413,E$1)</f>
        <v>0</v>
      </c>
      <c r="F221" s="80">
        <f>SUMIFS('февраль 2024'!$G$6:$G$1413,'февраль 2024'!$D$6:$D$1413,$B221,'февраль 2024'!$J$6:$J$1413,F$1)</f>
        <v>0</v>
      </c>
      <c r="G221" s="80">
        <f>SUMIFS('февраль 2024'!$G$6:$G$1413,'февраль 2024'!$D$6:$D$1413,$B221,'февраль 2024'!$J$6:$J$1413,G$1)</f>
        <v>0</v>
      </c>
      <c r="H221" s="80">
        <f>SUMIFS('февраль 2024'!$G$6:$G$1413,'февраль 2024'!$D$6:$D$1413,$B221,'февраль 2024'!$J$6:$J$1413,H$1)</f>
        <v>0</v>
      </c>
      <c r="I221" s="80">
        <f>SUMIFS('февраль 2024'!$G$6:$G$1413,'февраль 2024'!$D$6:$D$1413,$B221,'февраль 2024'!$J$6:$J$1413,I$1)</f>
        <v>0</v>
      </c>
      <c r="J221" s="80">
        <f>SUMIFS('февраль 2024'!$G$6:$G$1413,'февраль 2024'!$D$6:$D$1413,$B221,'февраль 2024'!$J$6:$J$1413,J$1)</f>
        <v>0</v>
      </c>
      <c r="K221" s="80">
        <f>SUMIFS('февраль 2024'!$G$6:$G$1413,'февраль 2024'!$D$6:$D$1413,$B221,'февраль 2024'!$J$6:$J$1413,K$1)</f>
        <v>0</v>
      </c>
      <c r="L221" s="80">
        <f>SUMIFS('февраль 2024'!$G$6:$G$1413,'февраль 2024'!$D$6:$D$1413,$B221,'февраль 2024'!$J$6:$J$1413,L$1)</f>
        <v>0</v>
      </c>
      <c r="M221" s="80">
        <f>SUMIFS('февраль 2024'!$G$6:$G$1413,'февраль 2024'!$D$6:$D$1413,$B221,'февраль 2024'!$J$6:$J$1413,M$1)</f>
        <v>0</v>
      </c>
      <c r="N221" s="80">
        <f>SUMIFS('февраль 2024'!$G$6:$G$1413,'февраль 2024'!$D$6:$D$1413,$B221,'февраль 2024'!$J$6:$J$1413,N$1)</f>
        <v>0</v>
      </c>
      <c r="O221" s="80">
        <f>SUMIFS('февраль 2024'!$G$6:$G$1413,'февраль 2024'!$D$6:$D$1413,$B221,'февраль 2024'!$J$6:$J$1413,O$1)</f>
        <v>0</v>
      </c>
      <c r="P221" s="80">
        <f>SUMIFS('февраль 2024'!$G$6:$G$1413,'февраль 2024'!$D$6:$D$1413,$B221,'февраль 2024'!$J$6:$J$1413,P$1)</f>
        <v>0</v>
      </c>
      <c r="Q221" s="80">
        <f>SUMIFS('февраль 2024'!$G$6:$G$1413,'февраль 2024'!$D$6:$D$1413,$B221,'февраль 2024'!$J$6:$J$1413,Q$1)</f>
        <v>0</v>
      </c>
      <c r="R221" s="80">
        <f>SUMIFS('февраль 2024'!$G$6:$G$1413,'февраль 2024'!$D$6:$D$1413,$B221,'февраль 2024'!$J$6:$J$1413,R$1)</f>
        <v>0</v>
      </c>
      <c r="S221" s="80">
        <f>SUMIFS('февраль 2024'!$G$6:$G$1413,'февраль 2024'!$D$6:$D$1413,$B221,'февраль 2024'!$J$6:$J$1413,S$1)</f>
        <v>0</v>
      </c>
      <c r="T221" s="80">
        <f>SUMIFS('февраль 2024'!$G$6:$G$1413,'февраль 2024'!$D$6:$D$1413,$B221,'февраль 2024'!$J$6:$J$1413,T$1)</f>
        <v>0</v>
      </c>
      <c r="U221" s="80">
        <f>SUMIFS('февраль 2024'!$G$6:$G$1413,'февраль 2024'!$D$6:$D$1413,$B221,'февраль 2024'!$J$6:$J$1413,U$1)</f>
        <v>0</v>
      </c>
      <c r="V221" s="80">
        <f>SUMIFS('февраль 2024'!$G$6:$G$1413,'февраль 2024'!$D$6:$D$1413,$B221,'февраль 2024'!$J$6:$J$1413,V$1)</f>
        <v>0</v>
      </c>
      <c r="W221" s="80">
        <f>SUMIFS('февраль 2024'!$G$6:$G$1413,'февраль 2024'!$D$6:$D$1413,$B221,'февраль 2024'!$J$6:$J$1413,W$1)</f>
        <v>0</v>
      </c>
      <c r="X221" s="80">
        <f>SUMIFS('февраль 2024'!$G$6:$G$1413,'февраль 2024'!$D$6:$D$1413,$B221,'февраль 2024'!$J$6:$J$1413,X$1)</f>
        <v>0</v>
      </c>
      <c r="Y221" s="80">
        <f>SUMIFS('февраль 2024'!$G$6:$G$1413,'февраль 2024'!$D$6:$D$1413,$B221,'февраль 2024'!$J$6:$J$1413,Y$1)</f>
        <v>0</v>
      </c>
      <c r="Z221" s="80">
        <f>SUMIFS('февраль 2024'!$G$6:$G$1413,'февраль 2024'!$D$6:$D$1413,$B221,'февраль 2024'!$J$6:$J$1413,Z$1)</f>
        <v>0</v>
      </c>
      <c r="AA221" s="80">
        <f>SUMIFS('февраль 2024'!$G$6:$G$1413,'февраль 2024'!$D$6:$D$1413,$B221,'февраль 2024'!$J$6:$J$1413,AA$1)</f>
        <v>0</v>
      </c>
      <c r="AB221" s="80">
        <f>SUMIFS('февраль 2024'!$G$6:$G$1413,'февраль 2024'!$D$6:$D$1413,$B221,'февраль 2024'!$J$6:$J$1413,AB$1)</f>
        <v>0</v>
      </c>
      <c r="AC221" s="80">
        <f>SUMIFS('февраль 2024'!$G$6:$G$1413,'февраль 2024'!$D$6:$D$1413,$B221,'февраль 2024'!$J$6:$J$1413,AC$1)</f>
        <v>0</v>
      </c>
      <c r="AD221" s="80">
        <f>SUMIFS('февраль 2024'!$G$6:$G$1413,'февраль 2024'!$D$6:$D$1413,$B221,'февраль 2024'!$J$6:$J$1413,AD$1)</f>
        <v>0</v>
      </c>
      <c r="AE221" s="80">
        <f>SUMIFS('февраль 2024'!$G$6:$G$1413,'февраль 2024'!$D$6:$D$1413,$B221,'февраль 2024'!$J$6:$J$1413,AE$1)</f>
        <v>0</v>
      </c>
      <c r="AF221" s="80">
        <f>SUMIFS('февраль 2024'!$G$6:$G$1413,'февраль 2024'!$D$6:$D$1413,$B221,'февраль 2024'!$J$6:$J$1413,AF$1)</f>
        <v>0</v>
      </c>
      <c r="AG221" s="80">
        <f>SUMIFS('февраль 2024'!$G$6:$G$1413,'февраль 2024'!$D$6:$D$1413,$B221,'февраль 2024'!$J$6:$J$1413,AG$1)</f>
        <v>0</v>
      </c>
      <c r="AH221" s="80">
        <f>SUMIFS('февраль 2024'!$G$6:$G$1413,'февраль 2024'!$D$6:$D$1413,$B221,'февраль 2024'!$J$6:$J$1413,AH$1)</f>
        <v>0</v>
      </c>
      <c r="AI221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F00-000000000000}">
          <x14:formula1>
            <xm:f>справочник!$E$2:$E$155</xm:f>
          </x14:formula1>
          <xm:sqref>B3:B201</xm:sqref>
        </x14:dataValidation>
        <x14:dataValidation type="list" allowBlank="1" showInputMessage="1" showErrorMessage="1" xr:uid="{00000000-0002-0000-0F00-000001000000}">
          <x14:formula1>
            <xm:f>справочник!$E$1:$E$2+справочник!$E$2:$E$37</xm:f>
          </x14:formula1>
          <xm:sqref>B202:B221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I218"/>
  <sheetViews>
    <sheetView showZeros="0" topLeftCell="A219" zoomScale="70" zoomScaleNormal="70" workbookViewId="0">
      <selection activeCell="AE37" sqref="AE37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45597</v>
      </c>
      <c r="C1" s="72"/>
      <c r="D1" s="73">
        <f>B1</f>
        <v>45597</v>
      </c>
      <c r="E1" s="73">
        <f>D1+1</f>
        <v>45598</v>
      </c>
      <c r="F1" s="73">
        <f t="shared" ref="F1:AH1" si="0">E1+1</f>
        <v>45599</v>
      </c>
      <c r="G1" s="73">
        <f t="shared" si="0"/>
        <v>45600</v>
      </c>
      <c r="H1" s="73">
        <f t="shared" si="0"/>
        <v>45601</v>
      </c>
      <c r="I1" s="73">
        <f t="shared" si="0"/>
        <v>45602</v>
      </c>
      <c r="J1" s="73">
        <f t="shared" si="0"/>
        <v>45603</v>
      </c>
      <c r="K1" s="73">
        <f t="shared" si="0"/>
        <v>45604</v>
      </c>
      <c r="L1" s="73">
        <f t="shared" si="0"/>
        <v>45605</v>
      </c>
      <c r="M1" s="73">
        <f t="shared" si="0"/>
        <v>45606</v>
      </c>
      <c r="N1" s="73">
        <f t="shared" si="0"/>
        <v>45607</v>
      </c>
      <c r="O1" s="73">
        <f t="shared" si="0"/>
        <v>45608</v>
      </c>
      <c r="P1" s="73">
        <f t="shared" si="0"/>
        <v>45609</v>
      </c>
      <c r="Q1" s="73">
        <f t="shared" si="0"/>
        <v>45610</v>
      </c>
      <c r="R1" s="73">
        <f t="shared" si="0"/>
        <v>45611</v>
      </c>
      <c r="S1" s="73">
        <f t="shared" si="0"/>
        <v>45612</v>
      </c>
      <c r="T1" s="73">
        <f t="shared" si="0"/>
        <v>45613</v>
      </c>
      <c r="U1" s="73">
        <f t="shared" si="0"/>
        <v>45614</v>
      </c>
      <c r="V1" s="73">
        <f t="shared" si="0"/>
        <v>45615</v>
      </c>
      <c r="W1" s="73">
        <f t="shared" si="0"/>
        <v>45616</v>
      </c>
      <c r="X1" s="73">
        <f t="shared" si="0"/>
        <v>45617</v>
      </c>
      <c r="Y1" s="73">
        <f t="shared" si="0"/>
        <v>45618</v>
      </c>
      <c r="Z1" s="73">
        <f t="shared" si="0"/>
        <v>45619</v>
      </c>
      <c r="AA1" s="73">
        <f t="shared" si="0"/>
        <v>45620</v>
      </c>
      <c r="AB1" s="73">
        <f t="shared" si="0"/>
        <v>45621</v>
      </c>
      <c r="AC1" s="73">
        <f t="shared" si="0"/>
        <v>45622</v>
      </c>
      <c r="AD1" s="73">
        <f t="shared" si="0"/>
        <v>45623</v>
      </c>
      <c r="AE1" s="73">
        <f t="shared" si="0"/>
        <v>45624</v>
      </c>
      <c r="AF1" s="73">
        <f t="shared" si="0"/>
        <v>45625</v>
      </c>
      <c r="AG1" s="73">
        <f t="shared" si="0"/>
        <v>45626</v>
      </c>
      <c r="AH1" s="73">
        <f t="shared" si="0"/>
        <v>45627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SUMIFS('ноябрь 2024'!$G$5:$G$2220,'ноябрь 2024'!$D$5:$D$2220,$B3,'ноябрь 2024'!$J$5:$J$2220,D$1)</f>
        <v>0</v>
      </c>
      <c r="E3" s="80">
        <f>SUMIFS('ноябрь 2024'!$G$5:$G$2220,'ноябрь 2024'!$D$5:$D$2220,$B3,'ноябрь 2024'!$J$5:$J$2220,E$1)</f>
        <v>0</v>
      </c>
      <c r="F3" s="80">
        <f>SUMIFS('ноябрь 2024'!$G$5:$G$2220,'ноябрь 2024'!$D$5:$D$2220,$B3,'ноябрь 2024'!$J$5:$J$2220,F$1)</f>
        <v>0</v>
      </c>
      <c r="G3" s="80">
        <f>SUMIFS('ноябрь 2024'!$G$5:$G$2220,'ноябрь 2024'!$D$5:$D$2220,$B3,'ноябрь 2024'!$J$5:$J$2220,G$1)</f>
        <v>0</v>
      </c>
      <c r="H3" s="80">
        <f>SUMIFS('ноябрь 2024'!$G$5:$G$2220,'ноябрь 2024'!$D$5:$D$2220,$B3,'ноябрь 2024'!$J$5:$J$2220,H$1)</f>
        <v>0</v>
      </c>
      <c r="I3" s="80">
        <f>SUMIFS('ноябрь 2024'!$G$5:$G$2220,'ноябрь 2024'!$D$5:$D$2220,$B3,'ноябрь 2024'!$J$5:$J$2220,I$1)</f>
        <v>0</v>
      </c>
      <c r="J3" s="80">
        <f>SUMIFS('ноябрь 2024'!$G$5:$G$2220,'ноябрь 2024'!$D$5:$D$2220,$B3,'ноябрь 2024'!$J$5:$J$2220,J$1)</f>
        <v>0</v>
      </c>
      <c r="K3" s="80">
        <f>SUMIFS('ноябрь 2024'!$G$5:$G$2220,'ноябрь 2024'!$D$5:$D$2220,$B3,'ноябрь 2024'!$J$5:$J$2220,K$1)</f>
        <v>0</v>
      </c>
      <c r="L3" s="80">
        <f>SUMIFS('ноябрь 2024'!$G$5:$G$2220,'ноябрь 2024'!$D$5:$D$2220,$B3,'ноябрь 2024'!$J$5:$J$2220,L$1)</f>
        <v>0</v>
      </c>
      <c r="M3" s="80">
        <f>SUMIFS('ноябрь 2024'!$G$5:$G$2220,'ноябрь 2024'!$D$5:$D$2220,$B3,'ноябрь 2024'!$J$5:$J$2220,M$1)</f>
        <v>0</v>
      </c>
      <c r="N3" s="80">
        <f>SUMIFS('ноябрь 2024'!$G$5:$G$2220,'ноябрь 2024'!$D$5:$D$2220,$B3,'ноябрь 2024'!$J$5:$J$2220,N$1)</f>
        <v>0</v>
      </c>
      <c r="O3" s="80">
        <f>SUMIFS('ноябрь 2024'!$G$5:$G$2220,'ноябрь 2024'!$D$5:$D$2220,$B3,'ноябрь 2024'!$J$5:$J$2220,O$1)</f>
        <v>0</v>
      </c>
      <c r="P3" s="80">
        <f>SUMIFS('ноябрь 2024'!$G$5:$G$2220,'ноябрь 2024'!$D$5:$D$2220,$B3,'ноябрь 2024'!$J$5:$J$2220,P$1)</f>
        <v>0</v>
      </c>
      <c r="Q3" s="80">
        <f>SUMIFS('ноябрь 2024'!$G$5:$G$2220,'ноябрь 2024'!$D$5:$D$2220,$B3,'ноябрь 2024'!$J$5:$J$2220,Q$1)</f>
        <v>0</v>
      </c>
      <c r="R3" s="80">
        <f>SUMIFS('ноябрь 2024'!$G$5:$G$2220,'ноябрь 2024'!$D$5:$D$2220,$B3,'ноябрь 2024'!$J$5:$J$2220,R$1)</f>
        <v>0</v>
      </c>
      <c r="S3" s="80">
        <f>SUMIFS('ноябрь 2024'!$G$5:$G$2220,'ноябрь 2024'!$D$5:$D$2220,$B3,'ноябрь 2024'!$J$5:$J$2220,S$1)</f>
        <v>0</v>
      </c>
      <c r="T3" s="80">
        <f>SUMIFS('ноябрь 2024'!$G$5:$G$2220,'ноябрь 2024'!$D$5:$D$2220,$B3,'ноябрь 2024'!$J$5:$J$2220,T$1)</f>
        <v>0</v>
      </c>
      <c r="U3" s="80">
        <f>SUMIFS('ноябрь 2024'!$G$5:$G$2220,'ноябрь 2024'!$D$5:$D$2220,$B3,'ноябрь 2024'!$J$5:$J$2220,U$1)</f>
        <v>0</v>
      </c>
      <c r="V3" s="80">
        <f>SUMIFS('ноябрь 2024'!$G$5:$G$2220,'ноябрь 2024'!$D$5:$D$2220,$B3,'ноябрь 2024'!$J$5:$J$2220,V$1)</f>
        <v>0</v>
      </c>
      <c r="W3" s="80">
        <f>SUMIFS('ноябрь 2024'!$G$5:$G$2220,'ноябрь 2024'!$D$5:$D$2220,$B3,'ноябрь 2024'!$J$5:$J$2220,W$1)</f>
        <v>0</v>
      </c>
      <c r="X3" s="80">
        <f>SUMIFS('ноябрь 2024'!$G$5:$G$2220,'ноябрь 2024'!$D$5:$D$2220,$B3,'ноябрь 2024'!$J$5:$J$2220,X$1)</f>
        <v>0</v>
      </c>
      <c r="Y3" s="80">
        <f>SUMIFS('ноябрь 2024'!$G$5:$G$2220,'ноябрь 2024'!$D$5:$D$2220,$B3,'ноябрь 2024'!$J$5:$J$2220,Y$1)</f>
        <v>0</v>
      </c>
      <c r="Z3" s="80">
        <f>SUMIFS('ноябрь 2024'!$G$5:$G$2220,'ноябрь 2024'!$D$5:$D$2220,$B3,'ноябрь 2024'!$J$5:$J$2220,Z$1)</f>
        <v>0</v>
      </c>
      <c r="AA3" s="80">
        <f>SUMIFS('ноябрь 2024'!$G$5:$G$2220,'ноябрь 2024'!$D$5:$D$2220,$B3,'ноябрь 2024'!$J$5:$J$2220,AA$1)</f>
        <v>0</v>
      </c>
      <c r="AB3" s="80">
        <f>SUMIFS('ноябрь 2024'!$G$5:$G$2220,'ноябрь 2024'!$D$5:$D$2220,$B3,'ноябрь 2024'!$J$5:$J$2220,AB$1)</f>
        <v>0</v>
      </c>
      <c r="AC3" s="80">
        <f>SUMIFS('ноябрь 2024'!$G$5:$G$2220,'ноябрь 2024'!$D$5:$D$2220,$B3,'ноябрь 2024'!$J$5:$J$2220,AC$1)</f>
        <v>0</v>
      </c>
      <c r="AD3" s="80">
        <f>SUMIFS('ноябрь 2024'!$G$5:$G$2220,'ноябрь 2024'!$D$5:$D$2220,$B3,'ноябрь 2024'!$J$5:$J$2220,AD$1)</f>
        <v>0</v>
      </c>
      <c r="AE3" s="80">
        <f>SUMIFS('ноябрь 2024'!$G$5:$G$2220,'ноябрь 2024'!$D$5:$D$2220,$B3,'ноябрь 2024'!$J$5:$J$2220,AE$1)</f>
        <v>0</v>
      </c>
      <c r="AF3" s="80">
        <f>SUMIFS('ноябрь 2024'!$G$5:$G$2220,'ноябрь 2024'!$D$5:$D$2220,$B3,'ноябрь 2024'!$J$5:$J$2220,AF$1)</f>
        <v>0</v>
      </c>
      <c r="AG3" s="80">
        <f>SUMIFS('ноябрь 2024'!$G$5:$G$2220,'ноябрь 2024'!$D$5:$D$2220,$B3,'ноябрь 2024'!$J$5:$J$2220,AG$1)</f>
        <v>0</v>
      </c>
      <c r="AH3" s="80">
        <f>SUMIFS('ноябрь 2024'!$G$5:$G$2220,'ноябрь 2024'!$D$5:$D$2220,$B3,'ноябрь 2024'!$J$5:$J$2220,AH$1)</f>
        <v>0</v>
      </c>
      <c r="AI3" s="49">
        <f t="shared" ref="AI3:AI149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SUMIFS('ноябрь 2024'!$G$5:$G$2220,'ноябрь 2024'!$D$5:$D$2220,$B4,'ноябрь 2024'!$J$5:$J$2220,D$1)</f>
        <v>0</v>
      </c>
      <c r="E4" s="80">
        <f>SUMIFS('ноябрь 2024'!$G$5:$G$2220,'ноябрь 2024'!$D$5:$D$2220,$B4,'ноябрь 2024'!$J$5:$J$2220,E$1)</f>
        <v>0</v>
      </c>
      <c r="F4" s="80">
        <f>SUMIFS('ноябрь 2024'!$G$5:$G$2220,'ноябрь 2024'!$D$5:$D$2220,$B4,'ноябрь 2024'!$J$5:$J$2220,F$1)</f>
        <v>0</v>
      </c>
      <c r="G4" s="80">
        <f>SUMIFS('ноябрь 2024'!$G$5:$G$2220,'ноябрь 2024'!$D$5:$D$2220,$B4,'ноябрь 2024'!$J$5:$J$2220,G$1)</f>
        <v>0</v>
      </c>
      <c r="H4" s="80">
        <f>SUMIFS('ноябрь 2024'!$G$5:$G$2220,'ноябрь 2024'!$D$5:$D$2220,$B4,'ноябрь 2024'!$J$5:$J$2220,H$1)</f>
        <v>0</v>
      </c>
      <c r="I4" s="80">
        <f>SUMIFS('ноябрь 2024'!$G$5:$G$2220,'ноябрь 2024'!$D$5:$D$2220,$B4,'ноябрь 2024'!$J$5:$J$2220,I$1)</f>
        <v>0</v>
      </c>
      <c r="J4" s="80">
        <f>SUMIFS('ноябрь 2024'!$G$5:$G$2220,'ноябрь 2024'!$D$5:$D$2220,$B4,'ноябрь 2024'!$J$5:$J$2220,J$1)</f>
        <v>0</v>
      </c>
      <c r="K4" s="80">
        <f>SUMIFS('ноябрь 2024'!$G$5:$G$2220,'ноябрь 2024'!$D$5:$D$2220,$B4,'ноябрь 2024'!$J$5:$J$2220,K$1)</f>
        <v>0</v>
      </c>
      <c r="L4" s="80">
        <f>SUMIFS('ноябрь 2024'!$G$5:$G$2220,'ноябрь 2024'!$D$5:$D$2220,$B4,'ноябрь 2024'!$J$5:$J$2220,L$1)</f>
        <v>0</v>
      </c>
      <c r="M4" s="80">
        <f>SUMIFS('ноябрь 2024'!$G$5:$G$2220,'ноябрь 2024'!$D$5:$D$2220,$B4,'ноябрь 2024'!$J$5:$J$2220,M$1)</f>
        <v>0</v>
      </c>
      <c r="N4" s="80">
        <f>SUMIFS('ноябрь 2024'!$G$5:$G$2220,'ноябрь 2024'!$D$5:$D$2220,$B4,'ноябрь 2024'!$J$5:$J$2220,N$1)</f>
        <v>0</v>
      </c>
      <c r="O4" s="80">
        <f>SUMIFS('ноябрь 2024'!$G$5:$G$2220,'ноябрь 2024'!$D$5:$D$2220,$B4,'ноябрь 2024'!$J$5:$J$2220,O$1)</f>
        <v>0</v>
      </c>
      <c r="P4" s="80">
        <f>SUMIFS('ноябрь 2024'!$G$5:$G$2220,'ноябрь 2024'!$D$5:$D$2220,$B4,'ноябрь 2024'!$J$5:$J$2220,P$1)</f>
        <v>0</v>
      </c>
      <c r="Q4" s="80">
        <f>SUMIFS('ноябрь 2024'!$G$5:$G$2220,'ноябрь 2024'!$D$5:$D$2220,$B4,'ноябрь 2024'!$J$5:$J$2220,Q$1)</f>
        <v>0</v>
      </c>
      <c r="R4" s="80">
        <f>SUMIFS('ноябрь 2024'!$G$5:$G$2220,'ноябрь 2024'!$D$5:$D$2220,$B4,'ноябрь 2024'!$J$5:$J$2220,R$1)</f>
        <v>0</v>
      </c>
      <c r="S4" s="80">
        <f>SUMIFS('ноябрь 2024'!$G$5:$G$2220,'ноябрь 2024'!$D$5:$D$2220,$B4,'ноябрь 2024'!$J$5:$J$2220,S$1)</f>
        <v>0</v>
      </c>
      <c r="T4" s="80">
        <f>SUMIFS('ноябрь 2024'!$G$5:$G$2220,'ноябрь 2024'!$D$5:$D$2220,$B4,'ноябрь 2024'!$J$5:$J$2220,T$1)</f>
        <v>0</v>
      </c>
      <c r="U4" s="80">
        <f>SUMIFS('ноябрь 2024'!$G$5:$G$2220,'ноябрь 2024'!$D$5:$D$2220,$B4,'ноябрь 2024'!$J$5:$J$2220,U$1)</f>
        <v>0</v>
      </c>
      <c r="V4" s="80">
        <f>SUMIFS('ноябрь 2024'!$G$5:$G$2220,'ноябрь 2024'!$D$5:$D$2220,$B4,'ноябрь 2024'!$J$5:$J$2220,V$1)</f>
        <v>0</v>
      </c>
      <c r="W4" s="80">
        <f>SUMIFS('ноябрь 2024'!$G$5:$G$2220,'ноябрь 2024'!$D$5:$D$2220,$B4,'ноябрь 2024'!$J$5:$J$2220,W$1)</f>
        <v>0</v>
      </c>
      <c r="X4" s="80">
        <f>SUMIFS('ноябрь 2024'!$G$5:$G$2220,'ноябрь 2024'!$D$5:$D$2220,$B4,'ноябрь 2024'!$J$5:$J$2220,X$1)</f>
        <v>0</v>
      </c>
      <c r="Y4" s="80">
        <f>SUMIFS('ноябрь 2024'!$G$5:$G$2220,'ноябрь 2024'!$D$5:$D$2220,$B4,'ноябрь 2024'!$J$5:$J$2220,Y$1)</f>
        <v>0</v>
      </c>
      <c r="Z4" s="80">
        <f>SUMIFS('ноябрь 2024'!$G$5:$G$2220,'ноябрь 2024'!$D$5:$D$2220,$B4,'ноябрь 2024'!$J$5:$J$2220,Z$1)</f>
        <v>0</v>
      </c>
      <c r="AA4" s="80">
        <f>SUMIFS('ноябрь 2024'!$G$5:$G$2220,'ноябрь 2024'!$D$5:$D$2220,$B4,'ноябрь 2024'!$J$5:$J$2220,AA$1)</f>
        <v>0</v>
      </c>
      <c r="AB4" s="80">
        <f>SUMIFS('ноябрь 2024'!$G$5:$G$2220,'ноябрь 2024'!$D$5:$D$2220,$B4,'ноябрь 2024'!$J$5:$J$2220,AB$1)</f>
        <v>0</v>
      </c>
      <c r="AC4" s="80">
        <f>SUMIFS('ноябрь 2024'!$G$5:$G$2220,'ноябрь 2024'!$D$5:$D$2220,$B4,'ноябрь 2024'!$J$5:$J$2220,AC$1)</f>
        <v>0</v>
      </c>
      <c r="AD4" s="80">
        <f>SUMIFS('ноябрь 2024'!$G$5:$G$2220,'ноябрь 2024'!$D$5:$D$2220,$B4,'ноябрь 2024'!$J$5:$J$2220,AD$1)</f>
        <v>0</v>
      </c>
      <c r="AE4" s="80">
        <f>SUMIFS('ноябрь 2024'!$G$5:$G$2220,'ноябрь 2024'!$D$5:$D$2220,$B4,'ноябрь 2024'!$J$5:$J$2220,AE$1)</f>
        <v>0</v>
      </c>
      <c r="AF4" s="80">
        <f>SUMIFS('ноябрь 2024'!$G$5:$G$2220,'ноябрь 2024'!$D$5:$D$2220,$B4,'ноябрь 2024'!$J$5:$J$2220,AF$1)</f>
        <v>0</v>
      </c>
      <c r="AG4" s="80">
        <f>SUMIFS('ноябрь 2024'!$G$5:$G$2220,'ноябрь 2024'!$D$5:$D$2220,$B4,'ноябрь 2024'!$J$5:$J$2220,AG$1)</f>
        <v>0</v>
      </c>
      <c r="AH4" s="80">
        <f>SUMIFS('ноябрь 2024'!$G$5:$G$2220,'ноябрь 2024'!$D$5:$D$2220,$B4,'ноябрь 2024'!$J$5:$J$2220,AH$1)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SUMIFS('ноябрь 2024'!$G$5:$G$2220,'ноябрь 2024'!$D$5:$D$2220,$B5,'ноябрь 2024'!$J$5:$J$2220,D$1)</f>
        <v>0</v>
      </c>
      <c r="E5" s="80">
        <f>SUMIFS('ноябрь 2024'!$G$5:$G$2220,'ноябрь 2024'!$D$5:$D$2220,$B5,'ноябрь 2024'!$J$5:$J$2220,E$1)</f>
        <v>0</v>
      </c>
      <c r="F5" s="80">
        <f>SUMIFS('ноябрь 2024'!$G$5:$G$2220,'ноябрь 2024'!$D$5:$D$2220,$B5,'ноябрь 2024'!$J$5:$J$2220,F$1)</f>
        <v>0</v>
      </c>
      <c r="G5" s="80">
        <f>SUMIFS('ноябрь 2024'!$G$5:$G$2220,'ноябрь 2024'!$D$5:$D$2220,$B5,'ноябрь 2024'!$J$5:$J$2220,G$1)</f>
        <v>0</v>
      </c>
      <c r="H5" s="80">
        <f>SUMIFS('ноябрь 2024'!$G$5:$G$2220,'ноябрь 2024'!$D$5:$D$2220,$B5,'ноябрь 2024'!$J$5:$J$2220,H$1)</f>
        <v>0</v>
      </c>
      <c r="I5" s="80">
        <f>SUMIFS('ноябрь 2024'!$G$5:$G$2220,'ноябрь 2024'!$D$5:$D$2220,$B5,'ноябрь 2024'!$J$5:$J$2220,I$1)</f>
        <v>0</v>
      </c>
      <c r="J5" s="80">
        <f>SUMIFS('ноябрь 2024'!$G$5:$G$2220,'ноябрь 2024'!$D$5:$D$2220,$B5,'ноябрь 2024'!$J$5:$J$2220,J$1)</f>
        <v>0</v>
      </c>
      <c r="K5" s="80">
        <f>SUMIFS('ноябрь 2024'!$G$5:$G$2220,'ноябрь 2024'!$D$5:$D$2220,$B5,'ноябрь 2024'!$J$5:$J$2220,K$1)</f>
        <v>0</v>
      </c>
      <c r="L5" s="80">
        <f>SUMIFS('ноябрь 2024'!$G$5:$G$2220,'ноябрь 2024'!$D$5:$D$2220,$B5,'ноябрь 2024'!$J$5:$J$2220,L$1)</f>
        <v>0</v>
      </c>
      <c r="M5" s="80">
        <f>SUMIFS('ноябрь 2024'!$G$5:$G$2220,'ноябрь 2024'!$D$5:$D$2220,$B5,'ноябрь 2024'!$J$5:$J$2220,M$1)</f>
        <v>0</v>
      </c>
      <c r="N5" s="80">
        <f>SUMIFS('ноябрь 2024'!$G$5:$G$2220,'ноябрь 2024'!$D$5:$D$2220,$B5,'ноябрь 2024'!$J$5:$J$2220,N$1)</f>
        <v>0</v>
      </c>
      <c r="O5" s="80">
        <f>SUMIFS('ноябрь 2024'!$G$5:$G$2220,'ноябрь 2024'!$D$5:$D$2220,$B5,'ноябрь 2024'!$J$5:$J$2220,O$1)</f>
        <v>0</v>
      </c>
      <c r="P5" s="80">
        <f>SUMIFS('ноябрь 2024'!$G$5:$G$2220,'ноябрь 2024'!$D$5:$D$2220,$B5,'ноябрь 2024'!$J$5:$J$2220,P$1)</f>
        <v>0</v>
      </c>
      <c r="Q5" s="80">
        <f>SUMIFS('ноябрь 2024'!$G$5:$G$2220,'ноябрь 2024'!$D$5:$D$2220,$B5,'ноябрь 2024'!$J$5:$J$2220,Q$1)</f>
        <v>0</v>
      </c>
      <c r="R5" s="80">
        <f>SUMIFS('ноябрь 2024'!$G$5:$G$2220,'ноябрь 2024'!$D$5:$D$2220,$B5,'ноябрь 2024'!$J$5:$J$2220,R$1)</f>
        <v>0</v>
      </c>
      <c r="S5" s="80">
        <f>SUMIFS('ноябрь 2024'!$G$5:$G$2220,'ноябрь 2024'!$D$5:$D$2220,$B5,'ноябрь 2024'!$J$5:$J$2220,S$1)</f>
        <v>0</v>
      </c>
      <c r="T5" s="80">
        <f>SUMIFS('ноябрь 2024'!$G$5:$G$2220,'ноябрь 2024'!$D$5:$D$2220,$B5,'ноябрь 2024'!$J$5:$J$2220,T$1)</f>
        <v>0</v>
      </c>
      <c r="U5" s="80">
        <f>SUMIFS('ноябрь 2024'!$G$5:$G$2220,'ноябрь 2024'!$D$5:$D$2220,$B5,'ноябрь 2024'!$J$5:$J$2220,U$1)</f>
        <v>0</v>
      </c>
      <c r="V5" s="80">
        <f>SUMIFS('ноябрь 2024'!$G$5:$G$2220,'ноябрь 2024'!$D$5:$D$2220,$B5,'ноябрь 2024'!$J$5:$J$2220,V$1)</f>
        <v>0</v>
      </c>
      <c r="W5" s="80">
        <f>SUMIFS('ноябрь 2024'!$G$5:$G$2220,'ноябрь 2024'!$D$5:$D$2220,$B5,'ноябрь 2024'!$J$5:$J$2220,W$1)</f>
        <v>0</v>
      </c>
      <c r="X5" s="80">
        <f>SUMIFS('ноябрь 2024'!$G$5:$G$2220,'ноябрь 2024'!$D$5:$D$2220,$B5,'ноябрь 2024'!$J$5:$J$2220,X$1)</f>
        <v>0</v>
      </c>
      <c r="Y5" s="80">
        <f>SUMIFS('ноябрь 2024'!$G$5:$G$2220,'ноябрь 2024'!$D$5:$D$2220,$B5,'ноябрь 2024'!$J$5:$J$2220,Y$1)</f>
        <v>0</v>
      </c>
      <c r="Z5" s="80">
        <f>SUMIFS('ноябрь 2024'!$G$5:$G$2220,'ноябрь 2024'!$D$5:$D$2220,$B5,'ноябрь 2024'!$J$5:$J$2220,Z$1)</f>
        <v>0</v>
      </c>
      <c r="AA5" s="80">
        <f>SUMIFS('ноябрь 2024'!$G$5:$G$2220,'ноябрь 2024'!$D$5:$D$2220,$B5,'ноябрь 2024'!$J$5:$J$2220,AA$1)</f>
        <v>0</v>
      </c>
      <c r="AB5" s="80">
        <f>SUMIFS('ноябрь 2024'!$G$5:$G$2220,'ноябрь 2024'!$D$5:$D$2220,$B5,'ноябрь 2024'!$J$5:$J$2220,AB$1)</f>
        <v>0</v>
      </c>
      <c r="AC5" s="80">
        <f>SUMIFS('ноябрь 2024'!$G$5:$G$2220,'ноябрь 2024'!$D$5:$D$2220,$B5,'ноябрь 2024'!$J$5:$J$2220,AC$1)</f>
        <v>0</v>
      </c>
      <c r="AD5" s="80">
        <f>SUMIFS('ноябрь 2024'!$G$5:$G$2220,'ноябрь 2024'!$D$5:$D$2220,$B5,'ноябрь 2024'!$J$5:$J$2220,AD$1)</f>
        <v>0</v>
      </c>
      <c r="AE5" s="80">
        <f>SUMIFS('ноябрь 2024'!$G$5:$G$2220,'ноябрь 2024'!$D$5:$D$2220,$B5,'ноябрь 2024'!$J$5:$J$2220,AE$1)</f>
        <v>0</v>
      </c>
      <c r="AF5" s="80">
        <f>SUMIFS('ноябрь 2024'!$G$5:$G$2220,'ноябрь 2024'!$D$5:$D$2220,$B5,'ноябрь 2024'!$J$5:$J$2220,AF$1)</f>
        <v>0</v>
      </c>
      <c r="AG5" s="80">
        <f>SUMIFS('ноябрь 2024'!$G$5:$G$2220,'ноябрь 2024'!$D$5:$D$2220,$B5,'ноябрь 2024'!$J$5:$J$2220,AG$1)</f>
        <v>0</v>
      </c>
      <c r="AH5" s="80">
        <f>SUMIFS('ноябрь 2024'!$G$5:$G$2220,'ноябрь 2024'!$D$5:$D$2220,$B5,'ноябрь 2024'!$J$5:$J$2220,AH$1)</f>
        <v>0</v>
      </c>
      <c r="AI5" s="21">
        <f t="shared" si="1"/>
        <v>0</v>
      </c>
    </row>
    <row r="6" spans="2:35" ht="15" customHeight="1" x14ac:dyDescent="0.25">
      <c r="B6" s="81" t="s">
        <v>281</v>
      </c>
      <c r="C6" s="82">
        <v>22.7</v>
      </c>
      <c r="D6" s="80">
        <f>SUMIFS('ноябрь 2024'!$G$5:$G$2220,'ноябрь 2024'!$D$5:$D$2220,$B6,'ноябрь 2024'!$J$5:$J$2220,D$1)</f>
        <v>0</v>
      </c>
      <c r="E6" s="80">
        <f>SUMIFS('ноябрь 2024'!$G$5:$G$2220,'ноябрь 2024'!$D$5:$D$2220,$B6,'ноябрь 2024'!$J$5:$J$2220,E$1)</f>
        <v>0</v>
      </c>
      <c r="F6" s="80">
        <f>SUMIFS('ноябрь 2024'!$G$5:$G$2220,'ноябрь 2024'!$D$5:$D$2220,$B6,'ноябрь 2024'!$J$5:$J$2220,F$1)</f>
        <v>0</v>
      </c>
      <c r="G6" s="80">
        <f>SUMIFS('ноябрь 2024'!$G$5:$G$2220,'ноябрь 2024'!$D$5:$D$2220,$B6,'ноябрь 2024'!$J$5:$J$2220,G$1)</f>
        <v>0</v>
      </c>
      <c r="H6" s="80">
        <f>SUMIFS('ноябрь 2024'!$G$5:$G$2220,'ноябрь 2024'!$D$5:$D$2220,$B6,'ноябрь 2024'!$J$5:$J$2220,H$1)</f>
        <v>0</v>
      </c>
      <c r="I6" s="80">
        <f>SUMIFS('ноябрь 2024'!$G$5:$G$2220,'ноябрь 2024'!$D$5:$D$2220,$B6,'ноябрь 2024'!$J$5:$J$2220,I$1)</f>
        <v>0</v>
      </c>
      <c r="J6" s="80">
        <f>SUMIFS('ноябрь 2024'!$G$5:$G$2220,'ноябрь 2024'!$D$5:$D$2220,$B6,'ноябрь 2024'!$J$5:$J$2220,J$1)</f>
        <v>0</v>
      </c>
      <c r="K6" s="80">
        <f>SUMIFS('ноябрь 2024'!$G$5:$G$2220,'ноябрь 2024'!$D$5:$D$2220,$B6,'ноябрь 2024'!$J$5:$J$2220,K$1)</f>
        <v>0</v>
      </c>
      <c r="L6" s="80">
        <f>SUMIFS('ноябрь 2024'!$G$5:$G$2220,'ноябрь 2024'!$D$5:$D$2220,$B6,'ноябрь 2024'!$J$5:$J$2220,L$1)</f>
        <v>0</v>
      </c>
      <c r="M6" s="80">
        <f>SUMIFS('ноябрь 2024'!$G$5:$G$2220,'ноябрь 2024'!$D$5:$D$2220,$B6,'ноябрь 2024'!$J$5:$J$2220,M$1)</f>
        <v>0</v>
      </c>
      <c r="N6" s="80">
        <f>SUMIFS('ноябрь 2024'!$G$5:$G$2220,'ноябрь 2024'!$D$5:$D$2220,$B6,'ноябрь 2024'!$J$5:$J$2220,N$1)</f>
        <v>0</v>
      </c>
      <c r="O6" s="80">
        <f>SUMIFS('ноябрь 2024'!$G$5:$G$2220,'ноябрь 2024'!$D$5:$D$2220,$B6,'ноябрь 2024'!$J$5:$J$2220,O$1)</f>
        <v>0</v>
      </c>
      <c r="P6" s="80">
        <f>SUMIFS('ноябрь 2024'!$G$5:$G$2220,'ноябрь 2024'!$D$5:$D$2220,$B6,'ноябрь 2024'!$J$5:$J$2220,P$1)</f>
        <v>0</v>
      </c>
      <c r="Q6" s="80">
        <f>SUMIFS('ноябрь 2024'!$G$5:$G$2220,'ноябрь 2024'!$D$5:$D$2220,$B6,'ноябрь 2024'!$J$5:$J$2220,Q$1)</f>
        <v>0</v>
      </c>
      <c r="R6" s="80">
        <f>SUMIFS('ноябрь 2024'!$G$5:$G$2220,'ноябрь 2024'!$D$5:$D$2220,$B6,'ноябрь 2024'!$J$5:$J$2220,R$1)</f>
        <v>0</v>
      </c>
      <c r="S6" s="80">
        <f>SUMIFS('ноябрь 2024'!$G$5:$G$2220,'ноябрь 2024'!$D$5:$D$2220,$B6,'ноябрь 2024'!$J$5:$J$2220,S$1)</f>
        <v>0</v>
      </c>
      <c r="T6" s="80">
        <f>SUMIFS('ноябрь 2024'!$G$5:$G$2220,'ноябрь 2024'!$D$5:$D$2220,$B6,'ноябрь 2024'!$J$5:$J$2220,T$1)</f>
        <v>0</v>
      </c>
      <c r="U6" s="80">
        <f>SUMIFS('ноябрь 2024'!$G$5:$G$2220,'ноябрь 2024'!$D$5:$D$2220,$B6,'ноябрь 2024'!$J$5:$J$2220,U$1)</f>
        <v>0</v>
      </c>
      <c r="V6" s="80">
        <f>SUMIFS('ноябрь 2024'!$G$5:$G$2220,'ноябрь 2024'!$D$5:$D$2220,$B6,'ноябрь 2024'!$J$5:$J$2220,V$1)</f>
        <v>0</v>
      </c>
      <c r="W6" s="80">
        <f>SUMIFS('ноябрь 2024'!$G$5:$G$2220,'ноябрь 2024'!$D$5:$D$2220,$B6,'ноябрь 2024'!$J$5:$J$2220,W$1)</f>
        <v>0</v>
      </c>
      <c r="X6" s="80">
        <f>SUMIFS('ноябрь 2024'!$G$5:$G$2220,'ноябрь 2024'!$D$5:$D$2220,$B6,'ноябрь 2024'!$J$5:$J$2220,X$1)</f>
        <v>0</v>
      </c>
      <c r="Y6" s="80">
        <f>SUMIFS('ноябрь 2024'!$G$5:$G$2220,'ноябрь 2024'!$D$5:$D$2220,$B6,'ноябрь 2024'!$J$5:$J$2220,Y$1)</f>
        <v>0</v>
      </c>
      <c r="Z6" s="80">
        <f>SUMIFS('ноябрь 2024'!$G$5:$G$2220,'ноябрь 2024'!$D$5:$D$2220,$B6,'ноябрь 2024'!$J$5:$J$2220,Z$1)</f>
        <v>0</v>
      </c>
      <c r="AA6" s="80">
        <f>SUMIFS('ноябрь 2024'!$G$5:$G$2220,'ноябрь 2024'!$D$5:$D$2220,$B6,'ноябрь 2024'!$J$5:$J$2220,AA$1)</f>
        <v>0</v>
      </c>
      <c r="AB6" s="80">
        <f>SUMIFS('ноябрь 2024'!$G$5:$G$2220,'ноябрь 2024'!$D$5:$D$2220,$B6,'ноябрь 2024'!$J$5:$J$2220,AB$1)</f>
        <v>0</v>
      </c>
      <c r="AC6" s="80">
        <f>SUMIFS('ноябрь 2024'!$G$5:$G$2220,'ноябрь 2024'!$D$5:$D$2220,$B6,'ноябрь 2024'!$J$5:$J$2220,AC$1)</f>
        <v>0</v>
      </c>
      <c r="AD6" s="80">
        <f>SUMIFS('ноябрь 2024'!$G$5:$G$2220,'ноябрь 2024'!$D$5:$D$2220,$B6,'ноябрь 2024'!$J$5:$J$2220,AD$1)</f>
        <v>0</v>
      </c>
      <c r="AE6" s="80">
        <f>SUMIFS('ноябрь 2024'!$G$5:$G$2220,'ноябрь 2024'!$D$5:$D$2220,$B6,'ноябрь 2024'!$J$5:$J$2220,AE$1)</f>
        <v>0</v>
      </c>
      <c r="AF6" s="80">
        <f>SUMIFS('ноябрь 2024'!$G$5:$G$2220,'ноябрь 2024'!$D$5:$D$2220,$B6,'ноябрь 2024'!$J$5:$J$2220,AF$1)</f>
        <v>0</v>
      </c>
      <c r="AG6" s="80">
        <f>SUMIFS('ноябрь 2024'!$G$5:$G$2220,'ноябрь 2024'!$D$5:$D$2220,$B6,'ноябрь 2024'!$J$5:$J$2220,AG$1)</f>
        <v>0</v>
      </c>
      <c r="AH6" s="80">
        <f>SUMIFS('ноябрь 2024'!$G$5:$G$2220,'ноябрь 2024'!$D$5:$D$2220,$B6,'ноябрь 2024'!$J$5:$J$2220,AH$1)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SUMIFS('ноябрь 2024'!$G$5:$G$2220,'ноябрь 2024'!$D$5:$D$2220,$B7,'ноябрь 2024'!$J$5:$J$2220,D$1)</f>
        <v>0</v>
      </c>
      <c r="E7" s="80">
        <f>SUMIFS('ноябрь 2024'!$G$5:$G$2220,'ноябрь 2024'!$D$5:$D$2220,$B7,'ноябрь 2024'!$J$5:$J$2220,E$1)</f>
        <v>0</v>
      </c>
      <c r="F7" s="80">
        <f>SUMIFS('ноябрь 2024'!$G$5:$G$2220,'ноябрь 2024'!$D$5:$D$2220,$B7,'ноябрь 2024'!$J$5:$J$2220,F$1)</f>
        <v>0</v>
      </c>
      <c r="G7" s="80">
        <f>SUMIFS('ноябрь 2024'!$G$5:$G$2220,'ноябрь 2024'!$D$5:$D$2220,$B7,'ноябрь 2024'!$J$5:$J$2220,G$1)</f>
        <v>0</v>
      </c>
      <c r="H7" s="80">
        <f>SUMIFS('ноябрь 2024'!$G$5:$G$2220,'ноябрь 2024'!$D$5:$D$2220,$B7,'ноябрь 2024'!$J$5:$J$2220,H$1)</f>
        <v>0</v>
      </c>
      <c r="I7" s="80">
        <f>SUMIFS('ноябрь 2024'!$G$5:$G$2220,'ноябрь 2024'!$D$5:$D$2220,$B7,'ноябрь 2024'!$J$5:$J$2220,I$1)</f>
        <v>0</v>
      </c>
      <c r="J7" s="80">
        <f>SUMIFS('ноябрь 2024'!$G$5:$G$2220,'ноябрь 2024'!$D$5:$D$2220,$B7,'ноябрь 2024'!$J$5:$J$2220,J$1)</f>
        <v>0</v>
      </c>
      <c r="K7" s="80">
        <f>SUMIFS('ноябрь 2024'!$G$5:$G$2220,'ноябрь 2024'!$D$5:$D$2220,$B7,'ноябрь 2024'!$J$5:$J$2220,K$1)</f>
        <v>0</v>
      </c>
      <c r="L7" s="80">
        <f>SUMIFS('ноябрь 2024'!$G$5:$G$2220,'ноябрь 2024'!$D$5:$D$2220,$B7,'ноябрь 2024'!$J$5:$J$2220,L$1)</f>
        <v>0</v>
      </c>
      <c r="M7" s="80">
        <f>SUMIFS('ноябрь 2024'!$G$5:$G$2220,'ноябрь 2024'!$D$5:$D$2220,$B7,'ноябрь 2024'!$J$5:$J$2220,M$1)</f>
        <v>0</v>
      </c>
      <c r="N7" s="80">
        <f>SUMIFS('ноябрь 2024'!$G$5:$G$2220,'ноябрь 2024'!$D$5:$D$2220,$B7,'ноябрь 2024'!$J$5:$J$2220,N$1)</f>
        <v>0</v>
      </c>
      <c r="O7" s="80">
        <f>SUMIFS('ноябрь 2024'!$G$5:$G$2220,'ноябрь 2024'!$D$5:$D$2220,$B7,'ноябрь 2024'!$J$5:$J$2220,O$1)</f>
        <v>0</v>
      </c>
      <c r="P7" s="80">
        <f>SUMIFS('ноябрь 2024'!$G$5:$G$2220,'ноябрь 2024'!$D$5:$D$2220,$B7,'ноябрь 2024'!$J$5:$J$2220,P$1)</f>
        <v>0</v>
      </c>
      <c r="Q7" s="80">
        <f>SUMIFS('ноябрь 2024'!$G$5:$G$2220,'ноябрь 2024'!$D$5:$D$2220,$B7,'ноябрь 2024'!$J$5:$J$2220,Q$1)</f>
        <v>0</v>
      </c>
      <c r="R7" s="80">
        <f>SUMIFS('ноябрь 2024'!$G$5:$G$2220,'ноябрь 2024'!$D$5:$D$2220,$B7,'ноябрь 2024'!$J$5:$J$2220,R$1)</f>
        <v>0</v>
      </c>
      <c r="S7" s="80">
        <f>SUMIFS('ноябрь 2024'!$G$5:$G$2220,'ноябрь 2024'!$D$5:$D$2220,$B7,'ноябрь 2024'!$J$5:$J$2220,S$1)</f>
        <v>0</v>
      </c>
      <c r="T7" s="80">
        <f>SUMIFS('ноябрь 2024'!$G$5:$G$2220,'ноябрь 2024'!$D$5:$D$2220,$B7,'ноябрь 2024'!$J$5:$J$2220,T$1)</f>
        <v>0</v>
      </c>
      <c r="U7" s="80">
        <f>SUMIFS('ноябрь 2024'!$G$5:$G$2220,'ноябрь 2024'!$D$5:$D$2220,$B7,'ноябрь 2024'!$J$5:$J$2220,U$1)</f>
        <v>0</v>
      </c>
      <c r="V7" s="80">
        <f>SUMIFS('ноябрь 2024'!$G$5:$G$2220,'ноябрь 2024'!$D$5:$D$2220,$B7,'ноябрь 2024'!$J$5:$J$2220,V$1)</f>
        <v>0</v>
      </c>
      <c r="W7" s="80">
        <f>SUMIFS('ноябрь 2024'!$G$5:$G$2220,'ноябрь 2024'!$D$5:$D$2220,$B7,'ноябрь 2024'!$J$5:$J$2220,W$1)</f>
        <v>0</v>
      </c>
      <c r="X7" s="80">
        <f>SUMIFS('ноябрь 2024'!$G$5:$G$2220,'ноябрь 2024'!$D$5:$D$2220,$B7,'ноябрь 2024'!$J$5:$J$2220,X$1)</f>
        <v>0</v>
      </c>
      <c r="Y7" s="80">
        <f>SUMIFS('ноябрь 2024'!$G$5:$G$2220,'ноябрь 2024'!$D$5:$D$2220,$B7,'ноябрь 2024'!$J$5:$J$2220,Y$1)</f>
        <v>0</v>
      </c>
      <c r="Z7" s="80">
        <f>SUMIFS('ноябрь 2024'!$G$5:$G$2220,'ноябрь 2024'!$D$5:$D$2220,$B7,'ноябрь 2024'!$J$5:$J$2220,Z$1)</f>
        <v>0</v>
      </c>
      <c r="AA7" s="80">
        <f>SUMIFS('ноябрь 2024'!$G$5:$G$2220,'ноябрь 2024'!$D$5:$D$2220,$B7,'ноябрь 2024'!$J$5:$J$2220,AA$1)</f>
        <v>0</v>
      </c>
      <c r="AB7" s="80">
        <f>SUMIFS('ноябрь 2024'!$G$5:$G$2220,'ноябрь 2024'!$D$5:$D$2220,$B7,'ноябрь 2024'!$J$5:$J$2220,AB$1)</f>
        <v>0</v>
      </c>
      <c r="AC7" s="80">
        <f>SUMIFS('ноябрь 2024'!$G$5:$G$2220,'ноябрь 2024'!$D$5:$D$2220,$B7,'ноябрь 2024'!$J$5:$J$2220,AC$1)</f>
        <v>0</v>
      </c>
      <c r="AD7" s="80">
        <f>SUMIFS('ноябрь 2024'!$G$5:$G$2220,'ноябрь 2024'!$D$5:$D$2220,$B7,'ноябрь 2024'!$J$5:$J$2220,AD$1)</f>
        <v>0</v>
      </c>
      <c r="AE7" s="80">
        <f>SUMIFS('ноябрь 2024'!$G$5:$G$2220,'ноябрь 2024'!$D$5:$D$2220,$B7,'ноябрь 2024'!$J$5:$J$2220,AE$1)</f>
        <v>0</v>
      </c>
      <c r="AF7" s="80">
        <f>SUMIFS('ноябрь 2024'!$G$5:$G$2220,'ноябрь 2024'!$D$5:$D$2220,$B7,'ноябрь 2024'!$J$5:$J$2220,AF$1)</f>
        <v>0</v>
      </c>
      <c r="AG7" s="80">
        <f>SUMIFS('ноябрь 2024'!$G$5:$G$2220,'ноябрь 2024'!$D$5:$D$2220,$B7,'ноябрь 2024'!$J$5:$J$2220,AG$1)</f>
        <v>0</v>
      </c>
      <c r="AH7" s="80">
        <f>SUMIFS('ноябрь 2024'!$G$5:$G$2220,'ноябрь 2024'!$D$5:$D$2220,$B7,'ноябрь 2024'!$J$5:$J$2220,AH$1)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SUMIFS('ноябрь 2024'!$G$5:$G$2220,'ноябрь 2024'!$D$5:$D$2220,$B8,'ноябрь 2024'!$J$5:$J$2220,D$1)</f>
        <v>440</v>
      </c>
      <c r="E8" s="80">
        <f>SUMIFS('ноябрь 2024'!$G$5:$G$2220,'ноябрь 2024'!$D$5:$D$2220,$B8,'ноябрь 2024'!$J$5:$J$2220,E$1)</f>
        <v>0</v>
      </c>
      <c r="F8" s="80">
        <f>SUMIFS('ноябрь 2024'!$G$5:$G$2220,'ноябрь 2024'!$D$5:$D$2220,$B8,'ноябрь 2024'!$J$5:$J$2220,F$1)</f>
        <v>0</v>
      </c>
      <c r="G8" s="80">
        <f>SUMIFS('ноябрь 2024'!$G$5:$G$2220,'ноябрь 2024'!$D$5:$D$2220,$B8,'ноябрь 2024'!$J$5:$J$2220,G$1)</f>
        <v>0</v>
      </c>
      <c r="H8" s="80">
        <f>SUMIFS('ноябрь 2024'!$G$5:$G$2220,'ноябрь 2024'!$D$5:$D$2220,$B8,'ноябрь 2024'!$J$5:$J$2220,H$1)</f>
        <v>0</v>
      </c>
      <c r="I8" s="80">
        <f>SUMIFS('ноябрь 2024'!$G$5:$G$2220,'ноябрь 2024'!$D$5:$D$2220,$B8,'ноябрь 2024'!$J$5:$J$2220,I$1)</f>
        <v>0</v>
      </c>
      <c r="J8" s="80">
        <f>SUMIFS('ноябрь 2024'!$G$5:$G$2220,'ноябрь 2024'!$D$5:$D$2220,$B8,'ноябрь 2024'!$J$5:$J$2220,J$1)</f>
        <v>0</v>
      </c>
      <c r="K8" s="80">
        <f>SUMIFS('ноябрь 2024'!$G$5:$G$2220,'ноябрь 2024'!$D$5:$D$2220,$B8,'ноябрь 2024'!$J$5:$J$2220,K$1)</f>
        <v>0</v>
      </c>
      <c r="L8" s="80">
        <f>SUMIFS('ноябрь 2024'!$G$5:$G$2220,'ноябрь 2024'!$D$5:$D$2220,$B8,'ноябрь 2024'!$J$5:$J$2220,L$1)</f>
        <v>0</v>
      </c>
      <c r="M8" s="80">
        <f>SUMIFS('ноябрь 2024'!$G$5:$G$2220,'ноябрь 2024'!$D$5:$D$2220,$B8,'ноябрь 2024'!$J$5:$J$2220,M$1)</f>
        <v>0</v>
      </c>
      <c r="N8" s="80">
        <f>SUMIFS('ноябрь 2024'!$G$5:$G$2220,'ноябрь 2024'!$D$5:$D$2220,$B8,'ноябрь 2024'!$J$5:$J$2220,N$1)</f>
        <v>0</v>
      </c>
      <c r="O8" s="80">
        <f>SUMIFS('ноябрь 2024'!$G$5:$G$2220,'ноябрь 2024'!$D$5:$D$2220,$B8,'ноябрь 2024'!$J$5:$J$2220,O$1)</f>
        <v>0</v>
      </c>
      <c r="P8" s="80">
        <f>SUMIFS('ноябрь 2024'!$G$5:$G$2220,'ноябрь 2024'!$D$5:$D$2220,$B8,'ноябрь 2024'!$J$5:$J$2220,P$1)</f>
        <v>0</v>
      </c>
      <c r="Q8" s="80">
        <f>SUMIFS('ноябрь 2024'!$G$5:$G$2220,'ноябрь 2024'!$D$5:$D$2220,$B8,'ноябрь 2024'!$J$5:$J$2220,Q$1)</f>
        <v>0</v>
      </c>
      <c r="R8" s="80">
        <f>SUMIFS('ноябрь 2024'!$G$5:$G$2220,'ноябрь 2024'!$D$5:$D$2220,$B8,'ноябрь 2024'!$J$5:$J$2220,R$1)</f>
        <v>0</v>
      </c>
      <c r="S8" s="80">
        <f>SUMIFS('ноябрь 2024'!$G$5:$G$2220,'ноябрь 2024'!$D$5:$D$2220,$B8,'ноябрь 2024'!$J$5:$J$2220,S$1)</f>
        <v>0</v>
      </c>
      <c r="T8" s="80">
        <f>SUMIFS('ноябрь 2024'!$G$5:$G$2220,'ноябрь 2024'!$D$5:$D$2220,$B8,'ноябрь 2024'!$J$5:$J$2220,T$1)</f>
        <v>0</v>
      </c>
      <c r="U8" s="80">
        <f>SUMIFS('ноябрь 2024'!$G$5:$G$2220,'ноябрь 2024'!$D$5:$D$2220,$B8,'ноябрь 2024'!$J$5:$J$2220,U$1)</f>
        <v>0</v>
      </c>
      <c r="V8" s="80">
        <f>SUMIFS('ноябрь 2024'!$G$5:$G$2220,'ноябрь 2024'!$D$5:$D$2220,$B8,'ноябрь 2024'!$J$5:$J$2220,V$1)</f>
        <v>0</v>
      </c>
      <c r="W8" s="80">
        <f>SUMIFS('ноябрь 2024'!$G$5:$G$2220,'ноябрь 2024'!$D$5:$D$2220,$B8,'ноябрь 2024'!$J$5:$J$2220,W$1)</f>
        <v>0</v>
      </c>
      <c r="X8" s="80">
        <f>SUMIFS('ноябрь 2024'!$G$5:$G$2220,'ноябрь 2024'!$D$5:$D$2220,$B8,'ноябрь 2024'!$J$5:$J$2220,X$1)</f>
        <v>0</v>
      </c>
      <c r="Y8" s="80">
        <f>SUMIFS('ноябрь 2024'!$G$5:$G$2220,'ноябрь 2024'!$D$5:$D$2220,$B8,'ноябрь 2024'!$J$5:$J$2220,Y$1)</f>
        <v>0</v>
      </c>
      <c r="Z8" s="80">
        <f>SUMIFS('ноябрь 2024'!$G$5:$G$2220,'ноябрь 2024'!$D$5:$D$2220,$B8,'ноябрь 2024'!$J$5:$J$2220,Z$1)</f>
        <v>0</v>
      </c>
      <c r="AA8" s="80">
        <f>SUMIFS('ноябрь 2024'!$G$5:$G$2220,'ноябрь 2024'!$D$5:$D$2220,$B8,'ноябрь 2024'!$J$5:$J$2220,AA$1)</f>
        <v>0</v>
      </c>
      <c r="AB8" s="80">
        <f>SUMIFS('ноябрь 2024'!$G$5:$G$2220,'ноябрь 2024'!$D$5:$D$2220,$B8,'ноябрь 2024'!$J$5:$J$2220,AB$1)</f>
        <v>0</v>
      </c>
      <c r="AC8" s="80">
        <f>SUMIFS('ноябрь 2024'!$G$5:$G$2220,'ноябрь 2024'!$D$5:$D$2220,$B8,'ноябрь 2024'!$J$5:$J$2220,AC$1)</f>
        <v>0</v>
      </c>
      <c r="AD8" s="80">
        <f>SUMIFS('ноябрь 2024'!$G$5:$G$2220,'ноябрь 2024'!$D$5:$D$2220,$B8,'ноябрь 2024'!$J$5:$J$2220,AD$1)</f>
        <v>800</v>
      </c>
      <c r="AE8" s="80">
        <f>SUMIFS('ноябрь 2024'!$G$5:$G$2220,'ноябрь 2024'!$D$5:$D$2220,$B8,'ноябрь 2024'!$J$5:$J$2220,AE$1)</f>
        <v>0</v>
      </c>
      <c r="AF8" s="80">
        <f>SUMIFS('ноябрь 2024'!$G$5:$G$2220,'ноябрь 2024'!$D$5:$D$2220,$B8,'ноябрь 2024'!$J$5:$J$2220,AF$1)</f>
        <v>800</v>
      </c>
      <c r="AG8" s="80">
        <f>SUMIFS('ноябрь 2024'!$G$5:$G$2220,'ноябрь 2024'!$D$5:$D$2220,$B8,'ноябрь 2024'!$J$5:$J$2220,AG$1)</f>
        <v>0</v>
      </c>
      <c r="AH8" s="80">
        <f>SUMIFS('ноябрь 2024'!$G$5:$G$2220,'ноябрь 2024'!$D$5:$D$2220,$B8,'ноябрь 2024'!$J$5:$J$2220,AH$1)</f>
        <v>0</v>
      </c>
      <c r="AI8" s="21">
        <f t="shared" si="1"/>
        <v>2040</v>
      </c>
    </row>
    <row r="9" spans="2:35" ht="15" customHeight="1" x14ac:dyDescent="0.25">
      <c r="B9" s="81" t="s">
        <v>287</v>
      </c>
      <c r="C9" s="82">
        <v>25</v>
      </c>
      <c r="D9" s="80">
        <f>SUMIFS('ноябрь 2024'!$G$5:$G$2220,'ноябрь 2024'!$D$5:$D$2220,$B9,'ноябрь 2024'!$J$5:$J$2220,D$1)</f>
        <v>0</v>
      </c>
      <c r="E9" s="80">
        <f>SUMIFS('ноябрь 2024'!$G$5:$G$2220,'ноябрь 2024'!$D$5:$D$2220,$B9,'ноябрь 2024'!$J$5:$J$2220,E$1)</f>
        <v>0</v>
      </c>
      <c r="F9" s="80">
        <f>SUMIFS('ноябрь 2024'!$G$5:$G$2220,'ноябрь 2024'!$D$5:$D$2220,$B9,'ноябрь 2024'!$J$5:$J$2220,F$1)</f>
        <v>0</v>
      </c>
      <c r="G9" s="80">
        <f>SUMIFS('ноябрь 2024'!$G$5:$G$2220,'ноябрь 2024'!$D$5:$D$2220,$B9,'ноябрь 2024'!$J$5:$J$2220,G$1)</f>
        <v>0</v>
      </c>
      <c r="H9" s="80">
        <f>SUMIFS('ноябрь 2024'!$G$5:$G$2220,'ноябрь 2024'!$D$5:$D$2220,$B9,'ноябрь 2024'!$J$5:$J$2220,H$1)</f>
        <v>0</v>
      </c>
      <c r="I9" s="80">
        <f>SUMIFS('ноябрь 2024'!$G$5:$G$2220,'ноябрь 2024'!$D$5:$D$2220,$B9,'ноябрь 2024'!$J$5:$J$2220,I$1)</f>
        <v>0</v>
      </c>
      <c r="J9" s="80">
        <f>SUMIFS('ноябрь 2024'!$G$5:$G$2220,'ноябрь 2024'!$D$5:$D$2220,$B9,'ноябрь 2024'!$J$5:$J$2220,J$1)</f>
        <v>0</v>
      </c>
      <c r="K9" s="80">
        <f>SUMIFS('ноябрь 2024'!$G$5:$G$2220,'ноябрь 2024'!$D$5:$D$2220,$B9,'ноябрь 2024'!$J$5:$J$2220,K$1)</f>
        <v>0</v>
      </c>
      <c r="L9" s="80">
        <f>SUMIFS('ноябрь 2024'!$G$5:$G$2220,'ноябрь 2024'!$D$5:$D$2220,$B9,'ноябрь 2024'!$J$5:$J$2220,L$1)</f>
        <v>0</v>
      </c>
      <c r="M9" s="80">
        <f>SUMIFS('ноябрь 2024'!$G$5:$G$2220,'ноябрь 2024'!$D$5:$D$2220,$B9,'ноябрь 2024'!$J$5:$J$2220,M$1)</f>
        <v>0</v>
      </c>
      <c r="N9" s="80">
        <f>SUMIFS('ноябрь 2024'!$G$5:$G$2220,'ноябрь 2024'!$D$5:$D$2220,$B9,'ноябрь 2024'!$J$5:$J$2220,N$1)</f>
        <v>0</v>
      </c>
      <c r="O9" s="80">
        <f>SUMIFS('ноябрь 2024'!$G$5:$G$2220,'ноябрь 2024'!$D$5:$D$2220,$B9,'ноябрь 2024'!$J$5:$J$2220,O$1)</f>
        <v>0</v>
      </c>
      <c r="P9" s="80">
        <f>SUMIFS('ноябрь 2024'!$G$5:$G$2220,'ноябрь 2024'!$D$5:$D$2220,$B9,'ноябрь 2024'!$J$5:$J$2220,P$1)</f>
        <v>0</v>
      </c>
      <c r="Q9" s="80">
        <f>SUMIFS('ноябрь 2024'!$G$5:$G$2220,'ноябрь 2024'!$D$5:$D$2220,$B9,'ноябрь 2024'!$J$5:$J$2220,Q$1)</f>
        <v>0</v>
      </c>
      <c r="R9" s="80">
        <f>SUMIFS('ноябрь 2024'!$G$5:$G$2220,'ноябрь 2024'!$D$5:$D$2220,$B9,'ноябрь 2024'!$J$5:$J$2220,R$1)</f>
        <v>0</v>
      </c>
      <c r="S9" s="80">
        <f>SUMIFS('ноябрь 2024'!$G$5:$G$2220,'ноябрь 2024'!$D$5:$D$2220,$B9,'ноябрь 2024'!$J$5:$J$2220,S$1)</f>
        <v>0</v>
      </c>
      <c r="T9" s="80">
        <f>SUMIFS('ноябрь 2024'!$G$5:$G$2220,'ноябрь 2024'!$D$5:$D$2220,$B9,'ноябрь 2024'!$J$5:$J$2220,T$1)</f>
        <v>0</v>
      </c>
      <c r="U9" s="80">
        <f>SUMIFS('ноябрь 2024'!$G$5:$G$2220,'ноябрь 2024'!$D$5:$D$2220,$B9,'ноябрь 2024'!$J$5:$J$2220,U$1)</f>
        <v>0</v>
      </c>
      <c r="V9" s="80">
        <f>SUMIFS('ноябрь 2024'!$G$5:$G$2220,'ноябрь 2024'!$D$5:$D$2220,$B9,'ноябрь 2024'!$J$5:$J$2220,V$1)</f>
        <v>0</v>
      </c>
      <c r="W9" s="80">
        <f>SUMIFS('ноябрь 2024'!$G$5:$G$2220,'ноябрь 2024'!$D$5:$D$2220,$B9,'ноябрь 2024'!$J$5:$J$2220,W$1)</f>
        <v>0</v>
      </c>
      <c r="X9" s="80">
        <f>SUMIFS('ноябрь 2024'!$G$5:$G$2220,'ноябрь 2024'!$D$5:$D$2220,$B9,'ноябрь 2024'!$J$5:$J$2220,X$1)</f>
        <v>0</v>
      </c>
      <c r="Y9" s="80">
        <f>SUMIFS('ноябрь 2024'!$G$5:$G$2220,'ноябрь 2024'!$D$5:$D$2220,$B9,'ноябрь 2024'!$J$5:$J$2220,Y$1)</f>
        <v>0</v>
      </c>
      <c r="Z9" s="80">
        <f>SUMIFS('ноябрь 2024'!$G$5:$G$2220,'ноябрь 2024'!$D$5:$D$2220,$B9,'ноябрь 2024'!$J$5:$J$2220,Z$1)</f>
        <v>0</v>
      </c>
      <c r="AA9" s="80">
        <f>SUMIFS('ноябрь 2024'!$G$5:$G$2220,'ноябрь 2024'!$D$5:$D$2220,$B9,'ноябрь 2024'!$J$5:$J$2220,AA$1)</f>
        <v>0</v>
      </c>
      <c r="AB9" s="80">
        <f>SUMIFS('ноябрь 2024'!$G$5:$G$2220,'ноябрь 2024'!$D$5:$D$2220,$B9,'ноябрь 2024'!$J$5:$J$2220,AB$1)</f>
        <v>0</v>
      </c>
      <c r="AC9" s="80">
        <f>SUMIFS('ноябрь 2024'!$G$5:$G$2220,'ноябрь 2024'!$D$5:$D$2220,$B9,'ноябрь 2024'!$J$5:$J$2220,AC$1)</f>
        <v>0</v>
      </c>
      <c r="AD9" s="80">
        <f>SUMIFS('ноябрь 2024'!$G$5:$G$2220,'ноябрь 2024'!$D$5:$D$2220,$B9,'ноябрь 2024'!$J$5:$J$2220,AD$1)</f>
        <v>400</v>
      </c>
      <c r="AE9" s="80">
        <f>SUMIFS('ноябрь 2024'!$G$5:$G$2220,'ноябрь 2024'!$D$5:$D$2220,$B9,'ноябрь 2024'!$J$5:$J$2220,AE$1)</f>
        <v>0</v>
      </c>
      <c r="AF9" s="80">
        <f>SUMIFS('ноябрь 2024'!$G$5:$G$2220,'ноябрь 2024'!$D$5:$D$2220,$B9,'ноябрь 2024'!$J$5:$J$2220,AF$1)</f>
        <v>0</v>
      </c>
      <c r="AG9" s="80">
        <f>SUMIFS('ноябрь 2024'!$G$5:$G$2220,'ноябрь 2024'!$D$5:$D$2220,$B9,'ноябрь 2024'!$J$5:$J$2220,AG$1)</f>
        <v>0</v>
      </c>
      <c r="AH9" s="80">
        <f>SUMIFS('ноябрь 2024'!$G$5:$G$2220,'ноябрь 2024'!$D$5:$D$2220,$B9,'ноябрь 2024'!$J$5:$J$2220,AH$1)</f>
        <v>0</v>
      </c>
      <c r="AI9" s="21">
        <f t="shared" si="1"/>
        <v>400</v>
      </c>
    </row>
    <row r="10" spans="2:35" ht="15" customHeight="1" x14ac:dyDescent="0.25">
      <c r="B10" s="81" t="s">
        <v>289</v>
      </c>
      <c r="C10" s="82">
        <v>25</v>
      </c>
      <c r="D10" s="80">
        <f>SUMIFS('ноябрь 2024'!$G$5:$G$2220,'ноябрь 2024'!$D$5:$D$2220,$B10,'ноябрь 2024'!$J$5:$J$2220,D$1)</f>
        <v>0</v>
      </c>
      <c r="E10" s="80">
        <f>SUMIFS('ноябрь 2024'!$G$5:$G$2220,'ноябрь 2024'!$D$5:$D$2220,$B10,'ноябрь 2024'!$J$5:$J$2220,E$1)</f>
        <v>0</v>
      </c>
      <c r="F10" s="80">
        <f>SUMIFS('ноябрь 2024'!$G$5:$G$2220,'ноябрь 2024'!$D$5:$D$2220,$B10,'ноябрь 2024'!$J$5:$J$2220,F$1)</f>
        <v>0</v>
      </c>
      <c r="G10" s="80">
        <f>SUMIFS('ноябрь 2024'!$G$5:$G$2220,'ноябрь 2024'!$D$5:$D$2220,$B10,'ноябрь 2024'!$J$5:$J$2220,G$1)</f>
        <v>0</v>
      </c>
      <c r="H10" s="80">
        <f>SUMIFS('ноябрь 2024'!$G$5:$G$2220,'ноябрь 2024'!$D$5:$D$2220,$B10,'ноябрь 2024'!$J$5:$J$2220,H$1)</f>
        <v>0</v>
      </c>
      <c r="I10" s="80">
        <f>SUMIFS('ноябрь 2024'!$G$5:$G$2220,'ноябрь 2024'!$D$5:$D$2220,$B10,'ноябрь 2024'!$J$5:$J$2220,I$1)</f>
        <v>0</v>
      </c>
      <c r="J10" s="80">
        <f>SUMIFS('ноябрь 2024'!$G$5:$G$2220,'ноябрь 2024'!$D$5:$D$2220,$B10,'ноябрь 2024'!$J$5:$J$2220,J$1)</f>
        <v>0</v>
      </c>
      <c r="K10" s="80">
        <f>SUMIFS('ноябрь 2024'!$G$5:$G$2220,'ноябрь 2024'!$D$5:$D$2220,$B10,'ноябрь 2024'!$J$5:$J$2220,K$1)</f>
        <v>0</v>
      </c>
      <c r="L10" s="80">
        <f>SUMIFS('ноябрь 2024'!$G$5:$G$2220,'ноябрь 2024'!$D$5:$D$2220,$B10,'ноябрь 2024'!$J$5:$J$2220,L$1)</f>
        <v>0</v>
      </c>
      <c r="M10" s="80">
        <f>SUMIFS('ноябрь 2024'!$G$5:$G$2220,'ноябрь 2024'!$D$5:$D$2220,$B10,'ноябрь 2024'!$J$5:$J$2220,M$1)</f>
        <v>0</v>
      </c>
      <c r="N10" s="80">
        <f>SUMIFS('ноябрь 2024'!$G$5:$G$2220,'ноябрь 2024'!$D$5:$D$2220,$B10,'ноябрь 2024'!$J$5:$J$2220,N$1)</f>
        <v>0</v>
      </c>
      <c r="O10" s="80">
        <f>SUMIFS('ноябрь 2024'!$G$5:$G$2220,'ноябрь 2024'!$D$5:$D$2220,$B10,'ноябрь 2024'!$J$5:$J$2220,O$1)</f>
        <v>0</v>
      </c>
      <c r="P10" s="80">
        <f>SUMIFS('ноябрь 2024'!$G$5:$G$2220,'ноябрь 2024'!$D$5:$D$2220,$B10,'ноябрь 2024'!$J$5:$J$2220,P$1)</f>
        <v>0</v>
      </c>
      <c r="Q10" s="80">
        <f>SUMIFS('ноябрь 2024'!$G$5:$G$2220,'ноябрь 2024'!$D$5:$D$2220,$B10,'ноябрь 2024'!$J$5:$J$2220,Q$1)</f>
        <v>0</v>
      </c>
      <c r="R10" s="80">
        <f>SUMIFS('ноябрь 2024'!$G$5:$G$2220,'ноябрь 2024'!$D$5:$D$2220,$B10,'ноябрь 2024'!$J$5:$J$2220,R$1)</f>
        <v>0</v>
      </c>
      <c r="S10" s="80">
        <f>SUMIFS('ноябрь 2024'!$G$5:$G$2220,'ноябрь 2024'!$D$5:$D$2220,$B10,'ноябрь 2024'!$J$5:$J$2220,S$1)</f>
        <v>0</v>
      </c>
      <c r="T10" s="80">
        <f>SUMIFS('ноябрь 2024'!$G$5:$G$2220,'ноябрь 2024'!$D$5:$D$2220,$B10,'ноябрь 2024'!$J$5:$J$2220,T$1)</f>
        <v>0</v>
      </c>
      <c r="U10" s="80">
        <f>SUMIFS('ноябрь 2024'!$G$5:$G$2220,'ноябрь 2024'!$D$5:$D$2220,$B10,'ноябрь 2024'!$J$5:$J$2220,U$1)</f>
        <v>0</v>
      </c>
      <c r="V10" s="80">
        <f>SUMIFS('ноябрь 2024'!$G$5:$G$2220,'ноябрь 2024'!$D$5:$D$2220,$B10,'ноябрь 2024'!$J$5:$J$2220,V$1)</f>
        <v>0</v>
      </c>
      <c r="W10" s="80">
        <f>SUMIFS('ноябрь 2024'!$G$5:$G$2220,'ноябрь 2024'!$D$5:$D$2220,$B10,'ноябрь 2024'!$J$5:$J$2220,W$1)</f>
        <v>0</v>
      </c>
      <c r="X10" s="80">
        <f>SUMIFS('ноябрь 2024'!$G$5:$G$2220,'ноябрь 2024'!$D$5:$D$2220,$B10,'ноябрь 2024'!$J$5:$J$2220,X$1)</f>
        <v>0</v>
      </c>
      <c r="Y10" s="80">
        <f>SUMIFS('ноябрь 2024'!$G$5:$G$2220,'ноябрь 2024'!$D$5:$D$2220,$B10,'ноябрь 2024'!$J$5:$J$2220,Y$1)</f>
        <v>0</v>
      </c>
      <c r="Z10" s="80">
        <f>SUMIFS('ноябрь 2024'!$G$5:$G$2220,'ноябрь 2024'!$D$5:$D$2220,$B10,'ноябрь 2024'!$J$5:$J$2220,Z$1)</f>
        <v>0</v>
      </c>
      <c r="AA10" s="80">
        <f>SUMIFS('ноябрь 2024'!$G$5:$G$2220,'ноябрь 2024'!$D$5:$D$2220,$B10,'ноябрь 2024'!$J$5:$J$2220,AA$1)</f>
        <v>0</v>
      </c>
      <c r="AB10" s="80">
        <f>SUMIFS('ноябрь 2024'!$G$5:$G$2220,'ноябрь 2024'!$D$5:$D$2220,$B10,'ноябрь 2024'!$J$5:$J$2220,AB$1)</f>
        <v>800</v>
      </c>
      <c r="AC10" s="80">
        <f>SUMIFS('ноябрь 2024'!$G$5:$G$2220,'ноябрь 2024'!$D$5:$D$2220,$B10,'ноябрь 2024'!$J$5:$J$2220,AC$1)</f>
        <v>0</v>
      </c>
      <c r="AD10" s="80">
        <f>SUMIFS('ноябрь 2024'!$G$5:$G$2220,'ноябрь 2024'!$D$5:$D$2220,$B10,'ноябрь 2024'!$J$5:$J$2220,AD$1)</f>
        <v>0</v>
      </c>
      <c r="AE10" s="80">
        <f>SUMIFS('ноябрь 2024'!$G$5:$G$2220,'ноябрь 2024'!$D$5:$D$2220,$B10,'ноябрь 2024'!$J$5:$J$2220,AE$1)</f>
        <v>0</v>
      </c>
      <c r="AF10" s="80">
        <f>SUMIFS('ноябрь 2024'!$G$5:$G$2220,'ноябрь 2024'!$D$5:$D$2220,$B10,'ноябрь 2024'!$J$5:$J$2220,AF$1)</f>
        <v>0</v>
      </c>
      <c r="AG10" s="80">
        <f>SUMIFS('ноябрь 2024'!$G$5:$G$2220,'ноябрь 2024'!$D$5:$D$2220,$B10,'ноябрь 2024'!$J$5:$J$2220,AG$1)</f>
        <v>0</v>
      </c>
      <c r="AH10" s="80">
        <f>SUMIFS('ноябрь 2024'!$G$5:$G$2220,'ноябрь 2024'!$D$5:$D$2220,$B10,'ноябрь 2024'!$J$5:$J$2220,AH$1)</f>
        <v>0</v>
      </c>
      <c r="AI10" s="21">
        <f t="shared" si="1"/>
        <v>800</v>
      </c>
    </row>
    <row r="11" spans="2:35" ht="15" customHeight="1" x14ac:dyDescent="0.25">
      <c r="B11" s="84" t="s">
        <v>291</v>
      </c>
      <c r="C11" s="85">
        <v>22.68</v>
      </c>
      <c r="D11" s="80">
        <f>SUMIFS('ноябрь 2024'!$G$5:$G$2220,'ноябрь 2024'!$D$5:$D$2220,$B11,'ноябрь 2024'!$J$5:$J$2220,D$1)</f>
        <v>0</v>
      </c>
      <c r="E11" s="80">
        <f>SUMIFS('ноябрь 2024'!$G$5:$G$2220,'ноябрь 2024'!$D$5:$D$2220,$B11,'ноябрь 2024'!$J$5:$J$2220,E$1)</f>
        <v>0</v>
      </c>
      <c r="F11" s="80">
        <f>SUMIFS('ноябрь 2024'!$G$5:$G$2220,'ноябрь 2024'!$D$5:$D$2220,$B11,'ноябрь 2024'!$J$5:$J$2220,F$1)</f>
        <v>0</v>
      </c>
      <c r="G11" s="80">
        <f>SUMIFS('ноябрь 2024'!$G$5:$G$2220,'ноябрь 2024'!$D$5:$D$2220,$B11,'ноябрь 2024'!$J$5:$J$2220,G$1)</f>
        <v>0</v>
      </c>
      <c r="H11" s="80">
        <f>SUMIFS('ноябрь 2024'!$G$5:$G$2220,'ноябрь 2024'!$D$5:$D$2220,$B11,'ноябрь 2024'!$J$5:$J$2220,H$1)</f>
        <v>0</v>
      </c>
      <c r="I11" s="80">
        <f>SUMIFS('ноябрь 2024'!$G$5:$G$2220,'ноябрь 2024'!$D$5:$D$2220,$B11,'ноябрь 2024'!$J$5:$J$2220,I$1)</f>
        <v>0</v>
      </c>
      <c r="J11" s="80">
        <f>SUMIFS('ноябрь 2024'!$G$5:$G$2220,'ноябрь 2024'!$D$5:$D$2220,$B11,'ноябрь 2024'!$J$5:$J$2220,J$1)</f>
        <v>0</v>
      </c>
      <c r="K11" s="80">
        <f>SUMIFS('ноябрь 2024'!$G$5:$G$2220,'ноябрь 2024'!$D$5:$D$2220,$B11,'ноябрь 2024'!$J$5:$J$2220,K$1)</f>
        <v>0</v>
      </c>
      <c r="L11" s="80">
        <f>SUMIFS('ноябрь 2024'!$G$5:$G$2220,'ноябрь 2024'!$D$5:$D$2220,$B11,'ноябрь 2024'!$J$5:$J$2220,L$1)</f>
        <v>0</v>
      </c>
      <c r="M11" s="80">
        <f>SUMIFS('ноябрь 2024'!$G$5:$G$2220,'ноябрь 2024'!$D$5:$D$2220,$B11,'ноябрь 2024'!$J$5:$J$2220,M$1)</f>
        <v>0</v>
      </c>
      <c r="N11" s="80">
        <f>SUMIFS('ноябрь 2024'!$G$5:$G$2220,'ноябрь 2024'!$D$5:$D$2220,$B11,'ноябрь 2024'!$J$5:$J$2220,N$1)</f>
        <v>0</v>
      </c>
      <c r="O11" s="80">
        <f>SUMIFS('ноябрь 2024'!$G$5:$G$2220,'ноябрь 2024'!$D$5:$D$2220,$B11,'ноябрь 2024'!$J$5:$J$2220,O$1)</f>
        <v>0</v>
      </c>
      <c r="P11" s="80">
        <f>SUMIFS('ноябрь 2024'!$G$5:$G$2220,'ноябрь 2024'!$D$5:$D$2220,$B11,'ноябрь 2024'!$J$5:$J$2220,P$1)</f>
        <v>0</v>
      </c>
      <c r="Q11" s="80">
        <f>SUMIFS('ноябрь 2024'!$G$5:$G$2220,'ноябрь 2024'!$D$5:$D$2220,$B11,'ноябрь 2024'!$J$5:$J$2220,Q$1)</f>
        <v>0</v>
      </c>
      <c r="R11" s="80">
        <f>SUMIFS('ноябрь 2024'!$G$5:$G$2220,'ноябрь 2024'!$D$5:$D$2220,$B11,'ноябрь 2024'!$J$5:$J$2220,R$1)</f>
        <v>0</v>
      </c>
      <c r="S11" s="80">
        <f>SUMIFS('ноябрь 2024'!$G$5:$G$2220,'ноябрь 2024'!$D$5:$D$2220,$B11,'ноябрь 2024'!$J$5:$J$2220,S$1)</f>
        <v>0</v>
      </c>
      <c r="T11" s="80">
        <f>SUMIFS('ноябрь 2024'!$G$5:$G$2220,'ноябрь 2024'!$D$5:$D$2220,$B11,'ноябрь 2024'!$J$5:$J$2220,T$1)</f>
        <v>0</v>
      </c>
      <c r="U11" s="80">
        <f>SUMIFS('ноябрь 2024'!$G$5:$G$2220,'ноябрь 2024'!$D$5:$D$2220,$B11,'ноябрь 2024'!$J$5:$J$2220,U$1)</f>
        <v>0</v>
      </c>
      <c r="V11" s="80">
        <f>SUMIFS('ноябрь 2024'!$G$5:$G$2220,'ноябрь 2024'!$D$5:$D$2220,$B11,'ноябрь 2024'!$J$5:$J$2220,V$1)</f>
        <v>0</v>
      </c>
      <c r="W11" s="80">
        <f>SUMIFS('ноябрь 2024'!$G$5:$G$2220,'ноябрь 2024'!$D$5:$D$2220,$B11,'ноябрь 2024'!$J$5:$J$2220,W$1)</f>
        <v>0</v>
      </c>
      <c r="X11" s="80">
        <f>SUMIFS('ноябрь 2024'!$G$5:$G$2220,'ноябрь 2024'!$D$5:$D$2220,$B11,'ноябрь 2024'!$J$5:$J$2220,X$1)</f>
        <v>0</v>
      </c>
      <c r="Y11" s="80">
        <f>SUMIFS('ноябрь 2024'!$G$5:$G$2220,'ноябрь 2024'!$D$5:$D$2220,$B11,'ноябрь 2024'!$J$5:$J$2220,Y$1)</f>
        <v>0</v>
      </c>
      <c r="Z11" s="80">
        <f>SUMIFS('ноябрь 2024'!$G$5:$G$2220,'ноябрь 2024'!$D$5:$D$2220,$B11,'ноябрь 2024'!$J$5:$J$2220,Z$1)</f>
        <v>0</v>
      </c>
      <c r="AA11" s="80">
        <f>SUMIFS('ноябрь 2024'!$G$5:$G$2220,'ноябрь 2024'!$D$5:$D$2220,$B11,'ноябрь 2024'!$J$5:$J$2220,AA$1)</f>
        <v>0</v>
      </c>
      <c r="AB11" s="80">
        <f>SUMIFS('ноябрь 2024'!$G$5:$G$2220,'ноябрь 2024'!$D$5:$D$2220,$B11,'ноябрь 2024'!$J$5:$J$2220,AB$1)</f>
        <v>0</v>
      </c>
      <c r="AC11" s="80">
        <f>SUMIFS('ноябрь 2024'!$G$5:$G$2220,'ноябрь 2024'!$D$5:$D$2220,$B11,'ноябрь 2024'!$J$5:$J$2220,AC$1)</f>
        <v>0</v>
      </c>
      <c r="AD11" s="80">
        <f>SUMIFS('ноябрь 2024'!$G$5:$G$2220,'ноябрь 2024'!$D$5:$D$2220,$B11,'ноябрь 2024'!$J$5:$J$2220,AD$1)</f>
        <v>0</v>
      </c>
      <c r="AE11" s="80">
        <f>SUMIFS('ноябрь 2024'!$G$5:$G$2220,'ноябрь 2024'!$D$5:$D$2220,$B11,'ноябрь 2024'!$J$5:$J$2220,AE$1)</f>
        <v>0</v>
      </c>
      <c r="AF11" s="80">
        <f>SUMIFS('ноябрь 2024'!$G$5:$G$2220,'ноябрь 2024'!$D$5:$D$2220,$B11,'ноябрь 2024'!$J$5:$J$2220,AF$1)</f>
        <v>0</v>
      </c>
      <c r="AG11" s="80">
        <f>SUMIFS('ноябрь 2024'!$G$5:$G$2220,'ноябрь 2024'!$D$5:$D$2220,$B11,'ноябрь 2024'!$J$5:$J$2220,AG$1)</f>
        <v>0</v>
      </c>
      <c r="AH11" s="80">
        <f>SUMIFS('ноябрь 2024'!$G$5:$G$2220,'ноябрь 2024'!$D$5:$D$2220,$B11,'ноябрь 2024'!$J$5:$J$2220,AH$1)</f>
        <v>0</v>
      </c>
      <c r="AI11" s="21">
        <f t="shared" si="1"/>
        <v>0</v>
      </c>
    </row>
    <row r="12" spans="2:35" ht="15" customHeight="1" x14ac:dyDescent="0.25">
      <c r="B12" s="84" t="s">
        <v>1880</v>
      </c>
      <c r="C12" s="85">
        <v>22.7</v>
      </c>
      <c r="D12" s="80">
        <f>SUMIFS('ноябрь 2024'!$G$5:$G$2220,'ноябрь 2024'!$D$5:$D$2220,$B12,'ноябрь 2024'!$J$5:$J$2220,D$1)</f>
        <v>0</v>
      </c>
      <c r="E12" s="80">
        <f>SUMIFS('ноябрь 2024'!$G$5:$G$2220,'ноябрь 2024'!$D$5:$D$2220,$B12,'ноябрь 2024'!$J$5:$J$2220,E$1)</f>
        <v>0</v>
      </c>
      <c r="F12" s="80">
        <f>SUMIFS('ноябрь 2024'!$G$5:$G$2220,'ноябрь 2024'!$D$5:$D$2220,$B12,'ноябрь 2024'!$J$5:$J$2220,F$1)</f>
        <v>0</v>
      </c>
      <c r="G12" s="80">
        <f>SUMIFS('ноябрь 2024'!$G$5:$G$2220,'ноябрь 2024'!$D$5:$D$2220,$B12,'ноябрь 2024'!$J$5:$J$2220,G$1)</f>
        <v>0</v>
      </c>
      <c r="H12" s="80">
        <f>SUMIFS('ноябрь 2024'!$G$5:$G$2220,'ноябрь 2024'!$D$5:$D$2220,$B12,'ноябрь 2024'!$J$5:$J$2220,H$1)</f>
        <v>0</v>
      </c>
      <c r="I12" s="80">
        <f>SUMIFS('ноябрь 2024'!$G$5:$G$2220,'ноябрь 2024'!$D$5:$D$2220,$B12,'ноябрь 2024'!$J$5:$J$2220,I$1)</f>
        <v>0</v>
      </c>
      <c r="J12" s="80">
        <f>SUMIFS('ноябрь 2024'!$G$5:$G$2220,'ноябрь 2024'!$D$5:$D$2220,$B12,'ноябрь 2024'!$J$5:$J$2220,J$1)</f>
        <v>0</v>
      </c>
      <c r="K12" s="80">
        <f>SUMIFS('ноябрь 2024'!$G$5:$G$2220,'ноябрь 2024'!$D$5:$D$2220,$B12,'ноябрь 2024'!$J$5:$J$2220,K$1)</f>
        <v>0</v>
      </c>
      <c r="L12" s="80">
        <f>SUMIFS('ноябрь 2024'!$G$5:$G$2220,'ноябрь 2024'!$D$5:$D$2220,$B12,'ноябрь 2024'!$J$5:$J$2220,L$1)</f>
        <v>0</v>
      </c>
      <c r="M12" s="80">
        <f>SUMIFS('ноябрь 2024'!$G$5:$G$2220,'ноябрь 2024'!$D$5:$D$2220,$B12,'ноябрь 2024'!$J$5:$J$2220,M$1)</f>
        <v>0</v>
      </c>
      <c r="N12" s="80">
        <f>SUMIFS('ноябрь 2024'!$G$5:$G$2220,'ноябрь 2024'!$D$5:$D$2220,$B12,'ноябрь 2024'!$J$5:$J$2220,N$1)</f>
        <v>0</v>
      </c>
      <c r="O12" s="80">
        <f>SUMIFS('ноябрь 2024'!$G$5:$G$2220,'ноябрь 2024'!$D$5:$D$2220,$B12,'ноябрь 2024'!$J$5:$J$2220,O$1)</f>
        <v>0</v>
      </c>
      <c r="P12" s="80">
        <f>SUMIFS('ноябрь 2024'!$G$5:$G$2220,'ноябрь 2024'!$D$5:$D$2220,$B12,'ноябрь 2024'!$J$5:$J$2220,P$1)</f>
        <v>0</v>
      </c>
      <c r="Q12" s="80">
        <f>SUMIFS('ноябрь 2024'!$G$5:$G$2220,'ноябрь 2024'!$D$5:$D$2220,$B12,'ноябрь 2024'!$J$5:$J$2220,Q$1)</f>
        <v>0</v>
      </c>
      <c r="R12" s="80">
        <f>SUMIFS('ноябрь 2024'!$G$5:$G$2220,'ноябрь 2024'!$D$5:$D$2220,$B12,'ноябрь 2024'!$J$5:$J$2220,R$1)</f>
        <v>0</v>
      </c>
      <c r="S12" s="80">
        <f>SUMIFS('ноябрь 2024'!$G$5:$G$2220,'ноябрь 2024'!$D$5:$D$2220,$B12,'ноябрь 2024'!$J$5:$J$2220,S$1)</f>
        <v>0</v>
      </c>
      <c r="T12" s="80">
        <f>SUMIFS('ноябрь 2024'!$G$5:$G$2220,'ноябрь 2024'!$D$5:$D$2220,$B12,'ноябрь 2024'!$J$5:$J$2220,T$1)</f>
        <v>0</v>
      </c>
      <c r="U12" s="80">
        <f>SUMIFS('ноябрь 2024'!$G$5:$G$2220,'ноябрь 2024'!$D$5:$D$2220,$B12,'ноябрь 2024'!$J$5:$J$2220,U$1)</f>
        <v>0</v>
      </c>
      <c r="V12" s="80">
        <f>SUMIFS('ноябрь 2024'!$G$5:$G$2220,'ноябрь 2024'!$D$5:$D$2220,$B12,'ноябрь 2024'!$J$5:$J$2220,V$1)</f>
        <v>0</v>
      </c>
      <c r="W12" s="80">
        <f>SUMIFS('ноябрь 2024'!$G$5:$G$2220,'ноябрь 2024'!$D$5:$D$2220,$B12,'ноябрь 2024'!$J$5:$J$2220,W$1)</f>
        <v>0</v>
      </c>
      <c r="X12" s="80">
        <f>SUMIFS('ноябрь 2024'!$G$5:$G$2220,'ноябрь 2024'!$D$5:$D$2220,$B12,'ноябрь 2024'!$J$5:$J$2220,X$1)</f>
        <v>0</v>
      </c>
      <c r="Y12" s="80">
        <f>SUMIFS('ноябрь 2024'!$G$5:$G$2220,'ноябрь 2024'!$D$5:$D$2220,$B12,'ноябрь 2024'!$J$5:$J$2220,Y$1)</f>
        <v>0</v>
      </c>
      <c r="Z12" s="80">
        <f>SUMIFS('ноябрь 2024'!$G$5:$G$2220,'ноябрь 2024'!$D$5:$D$2220,$B12,'ноябрь 2024'!$J$5:$J$2220,Z$1)</f>
        <v>0</v>
      </c>
      <c r="AA12" s="80">
        <f>SUMIFS('ноябрь 2024'!$G$5:$G$2220,'ноябрь 2024'!$D$5:$D$2220,$B12,'ноябрь 2024'!$J$5:$J$2220,AA$1)</f>
        <v>0</v>
      </c>
      <c r="AB12" s="80">
        <f>SUMIFS('ноябрь 2024'!$G$5:$G$2220,'ноябрь 2024'!$D$5:$D$2220,$B12,'ноябрь 2024'!$J$5:$J$2220,AB$1)</f>
        <v>0</v>
      </c>
      <c r="AC12" s="80">
        <f>SUMIFS('ноябрь 2024'!$G$5:$G$2220,'ноябрь 2024'!$D$5:$D$2220,$B12,'ноябрь 2024'!$J$5:$J$2220,AC$1)</f>
        <v>0</v>
      </c>
      <c r="AD12" s="80">
        <f>SUMIFS('ноябрь 2024'!$G$5:$G$2220,'ноябрь 2024'!$D$5:$D$2220,$B12,'ноябрь 2024'!$J$5:$J$2220,AD$1)</f>
        <v>0</v>
      </c>
      <c r="AE12" s="80">
        <f>SUMIFS('ноябрь 2024'!$G$5:$G$2220,'ноябрь 2024'!$D$5:$D$2220,$B12,'ноябрь 2024'!$J$5:$J$2220,AE$1)</f>
        <v>0</v>
      </c>
      <c r="AF12" s="80">
        <f>SUMIFS('ноябрь 2024'!$G$5:$G$2220,'ноябрь 2024'!$D$5:$D$2220,$B12,'ноябрь 2024'!$J$5:$J$2220,AF$1)</f>
        <v>0</v>
      </c>
      <c r="AG12" s="80">
        <f>SUMIFS('ноябрь 2024'!$G$5:$G$2220,'ноябрь 2024'!$D$5:$D$2220,$B12,'ноябрь 2024'!$J$5:$J$2220,AG$1)</f>
        <v>0</v>
      </c>
      <c r="AH12" s="80">
        <f>SUMIFS('ноябрь 2024'!$G$5:$G$2220,'ноябрь 2024'!$D$5:$D$2220,$B12,'ноябрь 2024'!$J$5:$J$2220,AH$1)</f>
        <v>0</v>
      </c>
      <c r="AI12" s="21">
        <f t="shared" si="1"/>
        <v>0</v>
      </c>
    </row>
    <row r="13" spans="2:35" ht="15" customHeight="1" x14ac:dyDescent="0.25">
      <c r="B13" s="84" t="s">
        <v>1043</v>
      </c>
      <c r="C13" s="85">
        <v>25</v>
      </c>
      <c r="D13" s="80">
        <f>SUMIFS('ноябрь 2024'!$G$5:$G$2220,'ноябрь 2024'!$D$5:$D$2220,$B13,'ноябрь 2024'!$J$5:$J$2220,D$1)</f>
        <v>0</v>
      </c>
      <c r="E13" s="80">
        <f>SUMIFS('ноябрь 2024'!$G$5:$G$2220,'ноябрь 2024'!$D$5:$D$2220,$B13,'ноябрь 2024'!$J$5:$J$2220,E$1)</f>
        <v>0</v>
      </c>
      <c r="F13" s="80">
        <f>SUMIFS('ноябрь 2024'!$G$5:$G$2220,'ноябрь 2024'!$D$5:$D$2220,$B13,'ноябрь 2024'!$J$5:$J$2220,F$1)</f>
        <v>0</v>
      </c>
      <c r="G13" s="80">
        <f>SUMIFS('ноябрь 2024'!$G$5:$G$2220,'ноябрь 2024'!$D$5:$D$2220,$B13,'ноябрь 2024'!$J$5:$J$2220,G$1)</f>
        <v>0</v>
      </c>
      <c r="H13" s="80">
        <f>SUMIFS('ноябрь 2024'!$G$5:$G$2220,'ноябрь 2024'!$D$5:$D$2220,$B13,'ноябрь 2024'!$J$5:$J$2220,H$1)</f>
        <v>0</v>
      </c>
      <c r="I13" s="80">
        <f>SUMIFS('ноябрь 2024'!$G$5:$G$2220,'ноябрь 2024'!$D$5:$D$2220,$B13,'ноябрь 2024'!$J$5:$J$2220,I$1)</f>
        <v>0</v>
      </c>
      <c r="J13" s="80">
        <f>SUMIFS('ноябрь 2024'!$G$5:$G$2220,'ноябрь 2024'!$D$5:$D$2220,$B13,'ноябрь 2024'!$J$5:$J$2220,J$1)</f>
        <v>0</v>
      </c>
      <c r="K13" s="80">
        <f>SUMIFS('ноябрь 2024'!$G$5:$G$2220,'ноябрь 2024'!$D$5:$D$2220,$B13,'ноябрь 2024'!$J$5:$J$2220,K$1)</f>
        <v>0</v>
      </c>
      <c r="L13" s="80">
        <f>SUMIFS('ноябрь 2024'!$G$5:$G$2220,'ноябрь 2024'!$D$5:$D$2220,$B13,'ноябрь 2024'!$J$5:$J$2220,L$1)</f>
        <v>0</v>
      </c>
      <c r="M13" s="80">
        <f>SUMIFS('ноябрь 2024'!$G$5:$G$2220,'ноябрь 2024'!$D$5:$D$2220,$B13,'ноябрь 2024'!$J$5:$J$2220,M$1)</f>
        <v>0</v>
      </c>
      <c r="N13" s="80">
        <f>SUMIFS('ноябрь 2024'!$G$5:$G$2220,'ноябрь 2024'!$D$5:$D$2220,$B13,'ноябрь 2024'!$J$5:$J$2220,N$1)</f>
        <v>0</v>
      </c>
      <c r="O13" s="80">
        <f>SUMIFS('ноябрь 2024'!$G$5:$G$2220,'ноябрь 2024'!$D$5:$D$2220,$B13,'ноябрь 2024'!$J$5:$J$2220,O$1)</f>
        <v>0</v>
      </c>
      <c r="P13" s="80">
        <f>SUMIFS('ноябрь 2024'!$G$5:$G$2220,'ноябрь 2024'!$D$5:$D$2220,$B13,'ноябрь 2024'!$J$5:$J$2220,P$1)</f>
        <v>0</v>
      </c>
      <c r="Q13" s="80">
        <f>SUMIFS('ноябрь 2024'!$G$5:$G$2220,'ноябрь 2024'!$D$5:$D$2220,$B13,'ноябрь 2024'!$J$5:$J$2220,Q$1)</f>
        <v>0</v>
      </c>
      <c r="R13" s="80">
        <f>SUMIFS('ноябрь 2024'!$G$5:$G$2220,'ноябрь 2024'!$D$5:$D$2220,$B13,'ноябрь 2024'!$J$5:$J$2220,R$1)</f>
        <v>0</v>
      </c>
      <c r="S13" s="80">
        <f>SUMIFS('ноябрь 2024'!$G$5:$G$2220,'ноябрь 2024'!$D$5:$D$2220,$B13,'ноябрь 2024'!$J$5:$J$2220,S$1)</f>
        <v>0</v>
      </c>
      <c r="T13" s="80">
        <f>SUMIFS('ноябрь 2024'!$G$5:$G$2220,'ноябрь 2024'!$D$5:$D$2220,$B13,'ноябрь 2024'!$J$5:$J$2220,T$1)</f>
        <v>0</v>
      </c>
      <c r="U13" s="80">
        <f>SUMIFS('ноябрь 2024'!$G$5:$G$2220,'ноябрь 2024'!$D$5:$D$2220,$B13,'ноябрь 2024'!$J$5:$J$2220,U$1)</f>
        <v>0</v>
      </c>
      <c r="V13" s="80">
        <f>SUMIFS('ноябрь 2024'!$G$5:$G$2220,'ноябрь 2024'!$D$5:$D$2220,$B13,'ноябрь 2024'!$J$5:$J$2220,V$1)</f>
        <v>0</v>
      </c>
      <c r="W13" s="80">
        <f>SUMIFS('ноябрь 2024'!$G$5:$G$2220,'ноябрь 2024'!$D$5:$D$2220,$B13,'ноябрь 2024'!$J$5:$J$2220,W$1)</f>
        <v>0</v>
      </c>
      <c r="X13" s="80">
        <f>SUMIFS('ноябрь 2024'!$G$5:$G$2220,'ноябрь 2024'!$D$5:$D$2220,$B13,'ноябрь 2024'!$J$5:$J$2220,X$1)</f>
        <v>0</v>
      </c>
      <c r="Y13" s="80">
        <f>SUMIFS('ноябрь 2024'!$G$5:$G$2220,'ноябрь 2024'!$D$5:$D$2220,$B13,'ноябрь 2024'!$J$5:$J$2220,Y$1)</f>
        <v>0</v>
      </c>
      <c r="Z13" s="80">
        <f>SUMIFS('ноябрь 2024'!$G$5:$G$2220,'ноябрь 2024'!$D$5:$D$2220,$B13,'ноябрь 2024'!$J$5:$J$2220,Z$1)</f>
        <v>0</v>
      </c>
      <c r="AA13" s="80">
        <f>SUMIFS('ноябрь 2024'!$G$5:$G$2220,'ноябрь 2024'!$D$5:$D$2220,$B13,'ноябрь 2024'!$J$5:$J$2220,AA$1)</f>
        <v>0</v>
      </c>
      <c r="AB13" s="80">
        <f>SUMIFS('ноябрь 2024'!$G$5:$G$2220,'ноябрь 2024'!$D$5:$D$2220,$B13,'ноябрь 2024'!$J$5:$J$2220,AB$1)</f>
        <v>0</v>
      </c>
      <c r="AC13" s="80">
        <f>SUMIFS('ноябрь 2024'!$G$5:$G$2220,'ноябрь 2024'!$D$5:$D$2220,$B13,'ноябрь 2024'!$J$5:$J$2220,AC$1)</f>
        <v>0</v>
      </c>
      <c r="AD13" s="80">
        <f>SUMIFS('ноябрь 2024'!$G$5:$G$2220,'ноябрь 2024'!$D$5:$D$2220,$B13,'ноябрь 2024'!$J$5:$J$2220,AD$1)</f>
        <v>0</v>
      </c>
      <c r="AE13" s="80">
        <f>SUMIFS('ноябрь 2024'!$G$5:$G$2220,'ноябрь 2024'!$D$5:$D$2220,$B13,'ноябрь 2024'!$J$5:$J$2220,AE$1)</f>
        <v>0</v>
      </c>
      <c r="AF13" s="80">
        <f>SUMIFS('ноябрь 2024'!$G$5:$G$2220,'ноябрь 2024'!$D$5:$D$2220,$B13,'ноябрь 2024'!$J$5:$J$2220,AF$1)</f>
        <v>0</v>
      </c>
      <c r="AG13" s="80">
        <f>SUMIFS('ноябрь 2024'!$G$5:$G$2220,'ноябрь 2024'!$D$5:$D$2220,$B13,'ноябрь 2024'!$J$5:$J$2220,AG$1)</f>
        <v>0</v>
      </c>
      <c r="AH13" s="80">
        <f>SUMIFS('ноябрь 2024'!$G$5:$G$2220,'ноябрь 2024'!$D$5:$D$2220,$B13,'ноябрь 2024'!$J$5:$J$2220,AH$1)</f>
        <v>0</v>
      </c>
      <c r="AI13" s="21">
        <f t="shared" si="1"/>
        <v>0</v>
      </c>
    </row>
    <row r="14" spans="2:35" ht="15" customHeight="1" x14ac:dyDescent="0.25">
      <c r="B14" s="84" t="s">
        <v>1097</v>
      </c>
      <c r="C14" s="85">
        <v>25</v>
      </c>
      <c r="D14" s="80">
        <f>SUMIFS('ноябрь 2024'!$G$5:$G$2220,'ноябрь 2024'!$D$5:$D$2220,$B14,'ноябрь 2024'!$J$5:$J$2220,D$1)</f>
        <v>0</v>
      </c>
      <c r="E14" s="80">
        <f>SUMIFS('ноябрь 2024'!$G$5:$G$2220,'ноябрь 2024'!$D$5:$D$2220,$B14,'ноябрь 2024'!$J$5:$J$2220,E$1)</f>
        <v>0</v>
      </c>
      <c r="F14" s="80">
        <f>SUMIFS('ноябрь 2024'!$G$5:$G$2220,'ноябрь 2024'!$D$5:$D$2220,$B14,'ноябрь 2024'!$J$5:$J$2220,F$1)</f>
        <v>0</v>
      </c>
      <c r="G14" s="80">
        <f>SUMIFS('ноябрь 2024'!$G$5:$G$2220,'ноябрь 2024'!$D$5:$D$2220,$B14,'ноябрь 2024'!$J$5:$J$2220,G$1)</f>
        <v>0</v>
      </c>
      <c r="H14" s="80">
        <f>SUMIFS('ноябрь 2024'!$G$5:$G$2220,'ноябрь 2024'!$D$5:$D$2220,$B14,'ноябрь 2024'!$J$5:$J$2220,H$1)</f>
        <v>0</v>
      </c>
      <c r="I14" s="80">
        <f>SUMIFS('ноябрь 2024'!$G$5:$G$2220,'ноябрь 2024'!$D$5:$D$2220,$B14,'ноябрь 2024'!$J$5:$J$2220,I$1)</f>
        <v>700</v>
      </c>
      <c r="J14" s="80">
        <f>SUMIFS('ноябрь 2024'!$G$5:$G$2220,'ноябрь 2024'!$D$5:$D$2220,$B14,'ноябрь 2024'!$J$5:$J$2220,J$1)</f>
        <v>805</v>
      </c>
      <c r="K14" s="80">
        <f>SUMIFS('ноябрь 2024'!$G$5:$G$2220,'ноябрь 2024'!$D$5:$D$2220,$B14,'ноябрь 2024'!$J$5:$J$2220,K$1)</f>
        <v>2905</v>
      </c>
      <c r="L14" s="80">
        <f>SUMIFS('ноябрь 2024'!$G$5:$G$2220,'ноябрь 2024'!$D$5:$D$2220,$B14,'ноябрь 2024'!$J$5:$J$2220,L$1)</f>
        <v>0</v>
      </c>
      <c r="M14" s="80">
        <f>SUMIFS('ноябрь 2024'!$G$5:$G$2220,'ноябрь 2024'!$D$5:$D$2220,$B14,'ноябрь 2024'!$J$5:$J$2220,M$1)</f>
        <v>0</v>
      </c>
      <c r="N14" s="80">
        <f>SUMIFS('ноябрь 2024'!$G$5:$G$2220,'ноябрь 2024'!$D$5:$D$2220,$B14,'ноябрь 2024'!$J$5:$J$2220,N$1)</f>
        <v>0</v>
      </c>
      <c r="O14" s="80">
        <f>SUMIFS('ноябрь 2024'!$G$5:$G$2220,'ноябрь 2024'!$D$5:$D$2220,$B14,'ноябрь 2024'!$J$5:$J$2220,O$1)</f>
        <v>0</v>
      </c>
      <c r="P14" s="80">
        <f>SUMIFS('ноябрь 2024'!$G$5:$G$2220,'ноябрь 2024'!$D$5:$D$2220,$B14,'ноябрь 2024'!$J$5:$J$2220,P$1)</f>
        <v>0</v>
      </c>
      <c r="Q14" s="80">
        <f>SUMIFS('ноябрь 2024'!$G$5:$G$2220,'ноябрь 2024'!$D$5:$D$2220,$B14,'ноябрь 2024'!$J$5:$J$2220,Q$1)</f>
        <v>0</v>
      </c>
      <c r="R14" s="80">
        <f>SUMIFS('ноябрь 2024'!$G$5:$G$2220,'ноябрь 2024'!$D$5:$D$2220,$B14,'ноябрь 2024'!$J$5:$J$2220,R$1)</f>
        <v>0</v>
      </c>
      <c r="S14" s="80">
        <f>SUMIFS('ноябрь 2024'!$G$5:$G$2220,'ноябрь 2024'!$D$5:$D$2220,$B14,'ноябрь 2024'!$J$5:$J$2220,S$1)</f>
        <v>0</v>
      </c>
      <c r="T14" s="80">
        <f>SUMIFS('ноябрь 2024'!$G$5:$G$2220,'ноябрь 2024'!$D$5:$D$2220,$B14,'ноябрь 2024'!$J$5:$J$2220,T$1)</f>
        <v>0</v>
      </c>
      <c r="U14" s="80">
        <f>SUMIFS('ноябрь 2024'!$G$5:$G$2220,'ноябрь 2024'!$D$5:$D$2220,$B14,'ноябрь 2024'!$J$5:$J$2220,U$1)</f>
        <v>0</v>
      </c>
      <c r="V14" s="80">
        <f>SUMIFS('ноябрь 2024'!$G$5:$G$2220,'ноябрь 2024'!$D$5:$D$2220,$B14,'ноябрь 2024'!$J$5:$J$2220,V$1)</f>
        <v>0</v>
      </c>
      <c r="W14" s="80">
        <f>SUMIFS('ноябрь 2024'!$G$5:$G$2220,'ноябрь 2024'!$D$5:$D$2220,$B14,'ноябрь 2024'!$J$5:$J$2220,W$1)</f>
        <v>0</v>
      </c>
      <c r="X14" s="80">
        <f>SUMIFS('ноябрь 2024'!$G$5:$G$2220,'ноябрь 2024'!$D$5:$D$2220,$B14,'ноябрь 2024'!$J$5:$J$2220,X$1)</f>
        <v>0</v>
      </c>
      <c r="Y14" s="80">
        <f>SUMIFS('ноябрь 2024'!$G$5:$G$2220,'ноябрь 2024'!$D$5:$D$2220,$B14,'ноябрь 2024'!$J$5:$J$2220,Y$1)</f>
        <v>0</v>
      </c>
      <c r="Z14" s="80">
        <f>SUMIFS('ноябрь 2024'!$G$5:$G$2220,'ноябрь 2024'!$D$5:$D$2220,$B14,'ноябрь 2024'!$J$5:$J$2220,Z$1)</f>
        <v>0</v>
      </c>
      <c r="AA14" s="80">
        <f>SUMIFS('ноябрь 2024'!$G$5:$G$2220,'ноябрь 2024'!$D$5:$D$2220,$B14,'ноябрь 2024'!$J$5:$J$2220,AA$1)</f>
        <v>0</v>
      </c>
      <c r="AB14" s="80">
        <f>SUMIFS('ноябрь 2024'!$G$5:$G$2220,'ноябрь 2024'!$D$5:$D$2220,$B14,'ноябрь 2024'!$J$5:$J$2220,AB$1)</f>
        <v>0</v>
      </c>
      <c r="AC14" s="80">
        <f>SUMIFS('ноябрь 2024'!$G$5:$G$2220,'ноябрь 2024'!$D$5:$D$2220,$B14,'ноябрь 2024'!$J$5:$J$2220,AC$1)</f>
        <v>0</v>
      </c>
      <c r="AD14" s="80">
        <f>SUMIFS('ноябрь 2024'!$G$5:$G$2220,'ноябрь 2024'!$D$5:$D$2220,$B14,'ноябрь 2024'!$J$5:$J$2220,AD$1)</f>
        <v>0</v>
      </c>
      <c r="AE14" s="80">
        <f>SUMIFS('ноябрь 2024'!$G$5:$G$2220,'ноябрь 2024'!$D$5:$D$2220,$B14,'ноябрь 2024'!$J$5:$J$2220,AE$1)</f>
        <v>0</v>
      </c>
      <c r="AF14" s="80">
        <f>SUMIFS('ноябрь 2024'!$G$5:$G$2220,'ноябрь 2024'!$D$5:$D$2220,$B14,'ноябрь 2024'!$J$5:$J$2220,AF$1)</f>
        <v>0</v>
      </c>
      <c r="AG14" s="80">
        <f>SUMIFS('ноябрь 2024'!$G$5:$G$2220,'ноябрь 2024'!$D$5:$D$2220,$B14,'ноябрь 2024'!$J$5:$J$2220,AG$1)</f>
        <v>0</v>
      </c>
      <c r="AH14" s="80">
        <f>SUMIFS('ноябрь 2024'!$G$5:$G$2220,'ноябрь 2024'!$D$5:$D$2220,$B14,'ноябрь 2024'!$J$5:$J$2220,AH$1)</f>
        <v>0</v>
      </c>
      <c r="AI14" s="21">
        <f t="shared" si="1"/>
        <v>4410</v>
      </c>
    </row>
    <row r="15" spans="2:35" ht="15" customHeight="1" x14ac:dyDescent="0.25">
      <c r="B15" s="84" t="s">
        <v>295</v>
      </c>
      <c r="C15" s="85">
        <v>22.7</v>
      </c>
      <c r="D15" s="80">
        <f>SUMIFS('ноябрь 2024'!$G$5:$G$2220,'ноябрь 2024'!$D$5:$D$2220,$B15,'ноябрь 2024'!$J$5:$J$2220,D$1)</f>
        <v>0</v>
      </c>
      <c r="E15" s="80">
        <f>SUMIFS('ноябрь 2024'!$G$5:$G$2220,'ноябрь 2024'!$D$5:$D$2220,$B15,'ноябрь 2024'!$J$5:$J$2220,E$1)</f>
        <v>0</v>
      </c>
      <c r="F15" s="80">
        <f>SUMIFS('ноябрь 2024'!$G$5:$G$2220,'ноябрь 2024'!$D$5:$D$2220,$B15,'ноябрь 2024'!$J$5:$J$2220,F$1)</f>
        <v>0</v>
      </c>
      <c r="G15" s="80">
        <f>SUMIFS('ноябрь 2024'!$G$5:$G$2220,'ноябрь 2024'!$D$5:$D$2220,$B15,'ноябрь 2024'!$J$5:$J$2220,G$1)</f>
        <v>0</v>
      </c>
      <c r="H15" s="80">
        <f>SUMIFS('ноябрь 2024'!$G$5:$G$2220,'ноябрь 2024'!$D$5:$D$2220,$B15,'ноябрь 2024'!$J$5:$J$2220,H$1)</f>
        <v>0</v>
      </c>
      <c r="I15" s="80">
        <f>SUMIFS('ноябрь 2024'!$G$5:$G$2220,'ноябрь 2024'!$D$5:$D$2220,$B15,'ноябрь 2024'!$J$5:$J$2220,I$1)</f>
        <v>0</v>
      </c>
      <c r="J15" s="80">
        <f>SUMIFS('ноябрь 2024'!$G$5:$G$2220,'ноябрь 2024'!$D$5:$D$2220,$B15,'ноябрь 2024'!$J$5:$J$2220,J$1)</f>
        <v>0</v>
      </c>
      <c r="K15" s="80">
        <f>SUMIFS('ноябрь 2024'!$G$5:$G$2220,'ноябрь 2024'!$D$5:$D$2220,$B15,'ноябрь 2024'!$J$5:$J$2220,K$1)</f>
        <v>0</v>
      </c>
      <c r="L15" s="80">
        <f>SUMIFS('ноябрь 2024'!$G$5:$G$2220,'ноябрь 2024'!$D$5:$D$2220,$B15,'ноябрь 2024'!$J$5:$J$2220,L$1)</f>
        <v>0</v>
      </c>
      <c r="M15" s="80">
        <f>SUMIFS('ноябрь 2024'!$G$5:$G$2220,'ноябрь 2024'!$D$5:$D$2220,$B15,'ноябрь 2024'!$J$5:$J$2220,M$1)</f>
        <v>0</v>
      </c>
      <c r="N15" s="80">
        <f>SUMIFS('ноябрь 2024'!$G$5:$G$2220,'ноябрь 2024'!$D$5:$D$2220,$B15,'ноябрь 2024'!$J$5:$J$2220,N$1)</f>
        <v>0</v>
      </c>
      <c r="O15" s="80">
        <f>SUMIFS('ноябрь 2024'!$G$5:$G$2220,'ноябрь 2024'!$D$5:$D$2220,$B15,'ноябрь 2024'!$J$5:$J$2220,O$1)</f>
        <v>0</v>
      </c>
      <c r="P15" s="80">
        <f>SUMIFS('ноябрь 2024'!$G$5:$G$2220,'ноябрь 2024'!$D$5:$D$2220,$B15,'ноябрь 2024'!$J$5:$J$2220,P$1)</f>
        <v>0</v>
      </c>
      <c r="Q15" s="80">
        <f>SUMIFS('ноябрь 2024'!$G$5:$G$2220,'ноябрь 2024'!$D$5:$D$2220,$B15,'ноябрь 2024'!$J$5:$J$2220,Q$1)</f>
        <v>0</v>
      </c>
      <c r="R15" s="80">
        <f>SUMIFS('ноябрь 2024'!$G$5:$G$2220,'ноябрь 2024'!$D$5:$D$2220,$B15,'ноябрь 2024'!$J$5:$J$2220,R$1)</f>
        <v>0</v>
      </c>
      <c r="S15" s="80">
        <f>SUMIFS('ноябрь 2024'!$G$5:$G$2220,'ноябрь 2024'!$D$5:$D$2220,$B15,'ноябрь 2024'!$J$5:$J$2220,S$1)</f>
        <v>0</v>
      </c>
      <c r="T15" s="80">
        <f>SUMIFS('ноябрь 2024'!$G$5:$G$2220,'ноябрь 2024'!$D$5:$D$2220,$B15,'ноябрь 2024'!$J$5:$J$2220,T$1)</f>
        <v>0</v>
      </c>
      <c r="U15" s="80">
        <f>SUMIFS('ноябрь 2024'!$G$5:$G$2220,'ноябрь 2024'!$D$5:$D$2220,$B15,'ноябрь 2024'!$J$5:$J$2220,U$1)</f>
        <v>0</v>
      </c>
      <c r="V15" s="80">
        <f>SUMIFS('ноябрь 2024'!$G$5:$G$2220,'ноябрь 2024'!$D$5:$D$2220,$B15,'ноябрь 2024'!$J$5:$J$2220,V$1)</f>
        <v>0</v>
      </c>
      <c r="W15" s="80">
        <f>SUMIFS('ноябрь 2024'!$G$5:$G$2220,'ноябрь 2024'!$D$5:$D$2220,$B15,'ноябрь 2024'!$J$5:$J$2220,W$1)</f>
        <v>0</v>
      </c>
      <c r="X15" s="80">
        <f>SUMIFS('ноябрь 2024'!$G$5:$G$2220,'ноябрь 2024'!$D$5:$D$2220,$B15,'ноябрь 2024'!$J$5:$J$2220,X$1)</f>
        <v>0</v>
      </c>
      <c r="Y15" s="80">
        <f>SUMIFS('ноябрь 2024'!$G$5:$G$2220,'ноябрь 2024'!$D$5:$D$2220,$B15,'ноябрь 2024'!$J$5:$J$2220,Y$1)</f>
        <v>0</v>
      </c>
      <c r="Z15" s="80">
        <f>SUMIFS('ноябрь 2024'!$G$5:$G$2220,'ноябрь 2024'!$D$5:$D$2220,$B15,'ноябрь 2024'!$J$5:$J$2220,Z$1)</f>
        <v>0</v>
      </c>
      <c r="AA15" s="80">
        <f>SUMIFS('ноябрь 2024'!$G$5:$G$2220,'ноябрь 2024'!$D$5:$D$2220,$B15,'ноябрь 2024'!$J$5:$J$2220,AA$1)</f>
        <v>0</v>
      </c>
      <c r="AB15" s="80">
        <f>SUMIFS('ноябрь 2024'!$G$5:$G$2220,'ноябрь 2024'!$D$5:$D$2220,$B15,'ноябрь 2024'!$J$5:$J$2220,AB$1)</f>
        <v>0</v>
      </c>
      <c r="AC15" s="80">
        <f>SUMIFS('ноябрь 2024'!$G$5:$G$2220,'ноябрь 2024'!$D$5:$D$2220,$B15,'ноябрь 2024'!$J$5:$J$2220,AC$1)</f>
        <v>0</v>
      </c>
      <c r="AD15" s="80">
        <f>SUMIFS('ноябрь 2024'!$G$5:$G$2220,'ноябрь 2024'!$D$5:$D$2220,$B15,'ноябрь 2024'!$J$5:$J$2220,AD$1)</f>
        <v>0</v>
      </c>
      <c r="AE15" s="80">
        <f>SUMIFS('ноябрь 2024'!$G$5:$G$2220,'ноябрь 2024'!$D$5:$D$2220,$B15,'ноябрь 2024'!$J$5:$J$2220,AE$1)</f>
        <v>0</v>
      </c>
      <c r="AF15" s="80">
        <f>SUMIFS('ноябрь 2024'!$G$5:$G$2220,'ноябрь 2024'!$D$5:$D$2220,$B15,'ноябрь 2024'!$J$5:$J$2220,AF$1)</f>
        <v>0</v>
      </c>
      <c r="AG15" s="80">
        <f>SUMIFS('ноябрь 2024'!$G$5:$G$2220,'ноябрь 2024'!$D$5:$D$2220,$B15,'ноябрь 2024'!$J$5:$J$2220,AG$1)</f>
        <v>0</v>
      </c>
      <c r="AH15" s="80">
        <f>SUMIFS('ноябрь 2024'!$G$5:$G$2220,'ноябрь 2024'!$D$5:$D$2220,$B15,'ноябрь 2024'!$J$5:$J$2220,AH$1)</f>
        <v>0</v>
      </c>
      <c r="AI15" s="21">
        <f t="shared" si="1"/>
        <v>0</v>
      </c>
    </row>
    <row r="16" spans="2:35" ht="15" customHeight="1" x14ac:dyDescent="0.25">
      <c r="B16" s="81" t="s">
        <v>297</v>
      </c>
      <c r="C16" s="82">
        <v>22.7</v>
      </c>
      <c r="D16" s="80">
        <f>SUMIFS('ноябрь 2024'!$G$5:$G$2220,'ноябрь 2024'!$D$5:$D$2220,$B16,'ноябрь 2024'!$J$5:$J$2220,D$1)</f>
        <v>0</v>
      </c>
      <c r="E16" s="80">
        <f>SUMIFS('ноябрь 2024'!$G$5:$G$2220,'ноябрь 2024'!$D$5:$D$2220,$B16,'ноябрь 2024'!$J$5:$J$2220,E$1)</f>
        <v>0</v>
      </c>
      <c r="F16" s="80">
        <f>SUMIFS('ноябрь 2024'!$G$5:$G$2220,'ноябрь 2024'!$D$5:$D$2220,$B16,'ноябрь 2024'!$J$5:$J$2220,F$1)</f>
        <v>0</v>
      </c>
      <c r="G16" s="80">
        <f>SUMIFS('ноябрь 2024'!$G$5:$G$2220,'ноябрь 2024'!$D$5:$D$2220,$B16,'ноябрь 2024'!$J$5:$J$2220,G$1)</f>
        <v>0</v>
      </c>
      <c r="H16" s="80">
        <f>SUMIFS('ноябрь 2024'!$G$5:$G$2220,'ноябрь 2024'!$D$5:$D$2220,$B16,'ноябрь 2024'!$J$5:$J$2220,H$1)</f>
        <v>0</v>
      </c>
      <c r="I16" s="80">
        <f>SUMIFS('ноябрь 2024'!$G$5:$G$2220,'ноябрь 2024'!$D$5:$D$2220,$B16,'ноябрь 2024'!$J$5:$J$2220,I$1)</f>
        <v>0</v>
      </c>
      <c r="J16" s="80">
        <f>SUMIFS('ноябрь 2024'!$G$5:$G$2220,'ноябрь 2024'!$D$5:$D$2220,$B16,'ноябрь 2024'!$J$5:$J$2220,J$1)</f>
        <v>0</v>
      </c>
      <c r="K16" s="80">
        <f>SUMIFS('ноябрь 2024'!$G$5:$G$2220,'ноябрь 2024'!$D$5:$D$2220,$B16,'ноябрь 2024'!$J$5:$J$2220,K$1)</f>
        <v>0</v>
      </c>
      <c r="L16" s="80">
        <f>SUMIFS('ноябрь 2024'!$G$5:$G$2220,'ноябрь 2024'!$D$5:$D$2220,$B16,'ноябрь 2024'!$J$5:$J$2220,L$1)</f>
        <v>0</v>
      </c>
      <c r="M16" s="80">
        <f>SUMIFS('ноябрь 2024'!$G$5:$G$2220,'ноябрь 2024'!$D$5:$D$2220,$B16,'ноябрь 2024'!$J$5:$J$2220,M$1)</f>
        <v>0</v>
      </c>
      <c r="N16" s="80">
        <f>SUMIFS('ноябрь 2024'!$G$5:$G$2220,'ноябрь 2024'!$D$5:$D$2220,$B16,'ноябрь 2024'!$J$5:$J$2220,N$1)</f>
        <v>0</v>
      </c>
      <c r="O16" s="80">
        <f>SUMIFS('ноябрь 2024'!$G$5:$G$2220,'ноябрь 2024'!$D$5:$D$2220,$B16,'ноябрь 2024'!$J$5:$J$2220,O$1)</f>
        <v>0</v>
      </c>
      <c r="P16" s="80">
        <f>SUMIFS('ноябрь 2024'!$G$5:$G$2220,'ноябрь 2024'!$D$5:$D$2220,$B16,'ноябрь 2024'!$J$5:$J$2220,P$1)</f>
        <v>0</v>
      </c>
      <c r="Q16" s="80">
        <f>SUMIFS('ноябрь 2024'!$G$5:$G$2220,'ноябрь 2024'!$D$5:$D$2220,$B16,'ноябрь 2024'!$J$5:$J$2220,Q$1)</f>
        <v>0</v>
      </c>
      <c r="R16" s="80">
        <f>SUMIFS('ноябрь 2024'!$G$5:$G$2220,'ноябрь 2024'!$D$5:$D$2220,$B16,'ноябрь 2024'!$J$5:$J$2220,R$1)</f>
        <v>0</v>
      </c>
      <c r="S16" s="80">
        <f>SUMIFS('ноябрь 2024'!$G$5:$G$2220,'ноябрь 2024'!$D$5:$D$2220,$B16,'ноябрь 2024'!$J$5:$J$2220,S$1)</f>
        <v>0</v>
      </c>
      <c r="T16" s="80">
        <f>SUMIFS('ноябрь 2024'!$G$5:$G$2220,'ноябрь 2024'!$D$5:$D$2220,$B16,'ноябрь 2024'!$J$5:$J$2220,T$1)</f>
        <v>0</v>
      </c>
      <c r="U16" s="80">
        <f>SUMIFS('ноябрь 2024'!$G$5:$G$2220,'ноябрь 2024'!$D$5:$D$2220,$B16,'ноябрь 2024'!$J$5:$J$2220,U$1)</f>
        <v>0</v>
      </c>
      <c r="V16" s="80">
        <f>SUMIFS('ноябрь 2024'!$G$5:$G$2220,'ноябрь 2024'!$D$5:$D$2220,$B16,'ноябрь 2024'!$J$5:$J$2220,V$1)</f>
        <v>0</v>
      </c>
      <c r="W16" s="80">
        <f>SUMIFS('ноябрь 2024'!$G$5:$G$2220,'ноябрь 2024'!$D$5:$D$2220,$B16,'ноябрь 2024'!$J$5:$J$2220,W$1)</f>
        <v>0</v>
      </c>
      <c r="X16" s="80">
        <f>SUMIFS('ноябрь 2024'!$G$5:$G$2220,'ноябрь 2024'!$D$5:$D$2220,$B16,'ноябрь 2024'!$J$5:$J$2220,X$1)</f>
        <v>0</v>
      </c>
      <c r="Y16" s="80">
        <f>SUMIFS('ноябрь 2024'!$G$5:$G$2220,'ноябрь 2024'!$D$5:$D$2220,$B16,'ноябрь 2024'!$J$5:$J$2220,Y$1)</f>
        <v>0</v>
      </c>
      <c r="Z16" s="80">
        <f>SUMIFS('ноябрь 2024'!$G$5:$G$2220,'ноябрь 2024'!$D$5:$D$2220,$B16,'ноябрь 2024'!$J$5:$J$2220,Z$1)</f>
        <v>0</v>
      </c>
      <c r="AA16" s="80">
        <f>SUMIFS('ноябрь 2024'!$G$5:$G$2220,'ноябрь 2024'!$D$5:$D$2220,$B16,'ноябрь 2024'!$J$5:$J$2220,AA$1)</f>
        <v>0</v>
      </c>
      <c r="AB16" s="80">
        <f>SUMIFS('ноябрь 2024'!$G$5:$G$2220,'ноябрь 2024'!$D$5:$D$2220,$B16,'ноябрь 2024'!$J$5:$J$2220,AB$1)</f>
        <v>0</v>
      </c>
      <c r="AC16" s="80">
        <f>SUMIFS('ноябрь 2024'!$G$5:$G$2220,'ноябрь 2024'!$D$5:$D$2220,$B16,'ноябрь 2024'!$J$5:$J$2220,AC$1)</f>
        <v>0</v>
      </c>
      <c r="AD16" s="80">
        <f>SUMIFS('ноябрь 2024'!$G$5:$G$2220,'ноябрь 2024'!$D$5:$D$2220,$B16,'ноябрь 2024'!$J$5:$J$2220,AD$1)</f>
        <v>0</v>
      </c>
      <c r="AE16" s="80">
        <f>SUMIFS('ноябрь 2024'!$G$5:$G$2220,'ноябрь 2024'!$D$5:$D$2220,$B16,'ноябрь 2024'!$J$5:$J$2220,AE$1)</f>
        <v>0</v>
      </c>
      <c r="AF16" s="80">
        <f>SUMIFS('ноябрь 2024'!$G$5:$G$2220,'ноябрь 2024'!$D$5:$D$2220,$B16,'ноябрь 2024'!$J$5:$J$2220,AF$1)</f>
        <v>0</v>
      </c>
      <c r="AG16" s="80">
        <f>SUMIFS('ноябрь 2024'!$G$5:$G$2220,'ноябрь 2024'!$D$5:$D$2220,$B16,'ноябрь 2024'!$J$5:$J$2220,AG$1)</f>
        <v>0</v>
      </c>
      <c r="AH16" s="80">
        <f>SUMIFS('ноябрь 2024'!$G$5:$G$2220,'ноябрь 2024'!$D$5:$D$2220,$B16,'ноябрь 2024'!$J$5:$J$2220,AH$1)</f>
        <v>0</v>
      </c>
      <c r="AI16" s="21">
        <f t="shared" si="1"/>
        <v>0</v>
      </c>
    </row>
    <row r="17" spans="2:35" ht="15" customHeight="1" x14ac:dyDescent="0.25">
      <c r="B17" s="84" t="s">
        <v>299</v>
      </c>
      <c r="C17" s="85">
        <v>22.7</v>
      </c>
      <c r="D17" s="80">
        <f>SUMIFS('ноябрь 2024'!$G$5:$G$2220,'ноябрь 2024'!$D$5:$D$2220,$B17,'ноябрь 2024'!$J$5:$J$2220,D$1)</f>
        <v>0</v>
      </c>
      <c r="E17" s="80">
        <f>SUMIFS('ноябрь 2024'!$G$5:$G$2220,'ноябрь 2024'!$D$5:$D$2220,$B17,'ноябрь 2024'!$J$5:$J$2220,E$1)</f>
        <v>0</v>
      </c>
      <c r="F17" s="80">
        <f>SUMIFS('ноябрь 2024'!$G$5:$G$2220,'ноябрь 2024'!$D$5:$D$2220,$B17,'ноябрь 2024'!$J$5:$J$2220,F$1)</f>
        <v>0</v>
      </c>
      <c r="G17" s="80">
        <f>SUMIFS('ноябрь 2024'!$G$5:$G$2220,'ноябрь 2024'!$D$5:$D$2220,$B17,'ноябрь 2024'!$J$5:$J$2220,G$1)</f>
        <v>0</v>
      </c>
      <c r="H17" s="80">
        <f>SUMIFS('ноябрь 2024'!$G$5:$G$2220,'ноябрь 2024'!$D$5:$D$2220,$B17,'ноябрь 2024'!$J$5:$J$2220,H$1)</f>
        <v>0</v>
      </c>
      <c r="I17" s="80">
        <f>SUMIFS('ноябрь 2024'!$G$5:$G$2220,'ноябрь 2024'!$D$5:$D$2220,$B17,'ноябрь 2024'!$J$5:$J$2220,I$1)</f>
        <v>0</v>
      </c>
      <c r="J17" s="80">
        <f>SUMIFS('ноябрь 2024'!$G$5:$G$2220,'ноябрь 2024'!$D$5:$D$2220,$B17,'ноябрь 2024'!$J$5:$J$2220,J$1)</f>
        <v>0</v>
      </c>
      <c r="K17" s="80">
        <f>SUMIFS('ноябрь 2024'!$G$5:$G$2220,'ноябрь 2024'!$D$5:$D$2220,$B17,'ноябрь 2024'!$J$5:$J$2220,K$1)</f>
        <v>0</v>
      </c>
      <c r="L17" s="80">
        <f>SUMIFS('ноябрь 2024'!$G$5:$G$2220,'ноябрь 2024'!$D$5:$D$2220,$B17,'ноябрь 2024'!$J$5:$J$2220,L$1)</f>
        <v>0</v>
      </c>
      <c r="M17" s="80">
        <f>SUMIFS('ноябрь 2024'!$G$5:$G$2220,'ноябрь 2024'!$D$5:$D$2220,$B17,'ноябрь 2024'!$J$5:$J$2220,M$1)</f>
        <v>0</v>
      </c>
      <c r="N17" s="80">
        <f>SUMIFS('ноябрь 2024'!$G$5:$G$2220,'ноябрь 2024'!$D$5:$D$2220,$B17,'ноябрь 2024'!$J$5:$J$2220,N$1)</f>
        <v>0</v>
      </c>
      <c r="O17" s="80">
        <f>SUMIFS('ноябрь 2024'!$G$5:$G$2220,'ноябрь 2024'!$D$5:$D$2220,$B17,'ноябрь 2024'!$J$5:$J$2220,O$1)</f>
        <v>0</v>
      </c>
      <c r="P17" s="80">
        <f>SUMIFS('ноябрь 2024'!$G$5:$G$2220,'ноябрь 2024'!$D$5:$D$2220,$B17,'ноябрь 2024'!$J$5:$J$2220,P$1)</f>
        <v>0</v>
      </c>
      <c r="Q17" s="80">
        <f>SUMIFS('ноябрь 2024'!$G$5:$G$2220,'ноябрь 2024'!$D$5:$D$2220,$B17,'ноябрь 2024'!$J$5:$J$2220,Q$1)</f>
        <v>0</v>
      </c>
      <c r="R17" s="80">
        <f>SUMIFS('ноябрь 2024'!$G$5:$G$2220,'ноябрь 2024'!$D$5:$D$2220,$B17,'ноябрь 2024'!$J$5:$J$2220,R$1)</f>
        <v>0</v>
      </c>
      <c r="S17" s="80">
        <f>SUMIFS('ноябрь 2024'!$G$5:$G$2220,'ноябрь 2024'!$D$5:$D$2220,$B17,'ноябрь 2024'!$J$5:$J$2220,S$1)</f>
        <v>0</v>
      </c>
      <c r="T17" s="80">
        <f>SUMIFS('ноябрь 2024'!$G$5:$G$2220,'ноябрь 2024'!$D$5:$D$2220,$B17,'ноябрь 2024'!$J$5:$J$2220,T$1)</f>
        <v>0</v>
      </c>
      <c r="U17" s="80">
        <f>SUMIFS('ноябрь 2024'!$G$5:$G$2220,'ноябрь 2024'!$D$5:$D$2220,$B17,'ноябрь 2024'!$J$5:$J$2220,U$1)</f>
        <v>0</v>
      </c>
      <c r="V17" s="80">
        <f>SUMIFS('ноябрь 2024'!$G$5:$G$2220,'ноябрь 2024'!$D$5:$D$2220,$B17,'ноябрь 2024'!$J$5:$J$2220,V$1)</f>
        <v>0</v>
      </c>
      <c r="W17" s="80">
        <f>SUMIFS('ноябрь 2024'!$G$5:$G$2220,'ноябрь 2024'!$D$5:$D$2220,$B17,'ноябрь 2024'!$J$5:$J$2220,W$1)</f>
        <v>0</v>
      </c>
      <c r="X17" s="80">
        <f>SUMIFS('ноябрь 2024'!$G$5:$G$2220,'ноябрь 2024'!$D$5:$D$2220,$B17,'ноябрь 2024'!$J$5:$J$2220,X$1)</f>
        <v>0</v>
      </c>
      <c r="Y17" s="80">
        <f>SUMIFS('ноябрь 2024'!$G$5:$G$2220,'ноябрь 2024'!$D$5:$D$2220,$B17,'ноябрь 2024'!$J$5:$J$2220,Y$1)</f>
        <v>0</v>
      </c>
      <c r="Z17" s="80">
        <f>SUMIFS('ноябрь 2024'!$G$5:$G$2220,'ноябрь 2024'!$D$5:$D$2220,$B17,'ноябрь 2024'!$J$5:$J$2220,Z$1)</f>
        <v>0</v>
      </c>
      <c r="AA17" s="80">
        <f>SUMIFS('ноябрь 2024'!$G$5:$G$2220,'ноябрь 2024'!$D$5:$D$2220,$B17,'ноябрь 2024'!$J$5:$J$2220,AA$1)</f>
        <v>0</v>
      </c>
      <c r="AB17" s="80">
        <f>SUMIFS('ноябрь 2024'!$G$5:$G$2220,'ноябрь 2024'!$D$5:$D$2220,$B17,'ноябрь 2024'!$J$5:$J$2220,AB$1)</f>
        <v>0</v>
      </c>
      <c r="AC17" s="80">
        <f>SUMIFS('ноябрь 2024'!$G$5:$G$2220,'ноябрь 2024'!$D$5:$D$2220,$B17,'ноябрь 2024'!$J$5:$J$2220,AC$1)</f>
        <v>0</v>
      </c>
      <c r="AD17" s="80">
        <f>SUMIFS('ноябрь 2024'!$G$5:$G$2220,'ноябрь 2024'!$D$5:$D$2220,$B17,'ноябрь 2024'!$J$5:$J$2220,AD$1)</f>
        <v>0</v>
      </c>
      <c r="AE17" s="80">
        <f>SUMIFS('ноябрь 2024'!$G$5:$G$2220,'ноябрь 2024'!$D$5:$D$2220,$B17,'ноябрь 2024'!$J$5:$J$2220,AE$1)</f>
        <v>0</v>
      </c>
      <c r="AF17" s="80">
        <f>SUMIFS('ноябрь 2024'!$G$5:$G$2220,'ноябрь 2024'!$D$5:$D$2220,$B17,'ноябрь 2024'!$J$5:$J$2220,AF$1)</f>
        <v>0</v>
      </c>
      <c r="AG17" s="80">
        <f>SUMIFS('ноябрь 2024'!$G$5:$G$2220,'ноябрь 2024'!$D$5:$D$2220,$B17,'ноябрь 2024'!$J$5:$J$2220,AG$1)</f>
        <v>0</v>
      </c>
      <c r="AH17" s="80">
        <f>SUMIFS('ноябрь 2024'!$G$5:$G$2220,'ноябрь 2024'!$D$5:$D$2220,$B17,'ноябрь 2024'!$J$5:$J$2220,AH$1)</f>
        <v>0</v>
      </c>
      <c r="AI17" s="21">
        <f t="shared" si="1"/>
        <v>0</v>
      </c>
    </row>
    <row r="18" spans="2:35" ht="15" customHeight="1" x14ac:dyDescent="0.25">
      <c r="B18" s="84" t="s">
        <v>301</v>
      </c>
      <c r="C18" s="85">
        <v>25</v>
      </c>
      <c r="D18" s="80">
        <f>SUMIFS('ноябрь 2024'!$G$5:$G$2220,'ноябрь 2024'!$D$5:$D$2220,$B18,'ноябрь 2024'!$J$5:$J$2220,D$1)</f>
        <v>0</v>
      </c>
      <c r="E18" s="80">
        <f>SUMIFS('ноябрь 2024'!$G$5:$G$2220,'ноябрь 2024'!$D$5:$D$2220,$B18,'ноябрь 2024'!$J$5:$J$2220,E$1)</f>
        <v>0</v>
      </c>
      <c r="F18" s="80">
        <f>SUMIFS('ноябрь 2024'!$G$5:$G$2220,'ноябрь 2024'!$D$5:$D$2220,$B18,'ноябрь 2024'!$J$5:$J$2220,F$1)</f>
        <v>0</v>
      </c>
      <c r="G18" s="80">
        <f>SUMIFS('ноябрь 2024'!$G$5:$G$2220,'ноябрь 2024'!$D$5:$D$2220,$B18,'ноябрь 2024'!$J$5:$J$2220,G$1)</f>
        <v>0</v>
      </c>
      <c r="H18" s="80">
        <f>SUMIFS('ноябрь 2024'!$G$5:$G$2220,'ноябрь 2024'!$D$5:$D$2220,$B18,'ноябрь 2024'!$J$5:$J$2220,H$1)</f>
        <v>0</v>
      </c>
      <c r="I18" s="80">
        <f>SUMIFS('ноябрь 2024'!$G$5:$G$2220,'ноябрь 2024'!$D$5:$D$2220,$B18,'ноябрь 2024'!$J$5:$J$2220,I$1)</f>
        <v>0</v>
      </c>
      <c r="J18" s="80">
        <f>SUMIFS('ноябрь 2024'!$G$5:$G$2220,'ноябрь 2024'!$D$5:$D$2220,$B18,'ноябрь 2024'!$J$5:$J$2220,J$1)</f>
        <v>0</v>
      </c>
      <c r="K18" s="80">
        <f>SUMIFS('ноябрь 2024'!$G$5:$G$2220,'ноябрь 2024'!$D$5:$D$2220,$B18,'ноябрь 2024'!$J$5:$J$2220,K$1)</f>
        <v>0</v>
      </c>
      <c r="L18" s="80">
        <f>SUMIFS('ноябрь 2024'!$G$5:$G$2220,'ноябрь 2024'!$D$5:$D$2220,$B18,'ноябрь 2024'!$J$5:$J$2220,L$1)</f>
        <v>0</v>
      </c>
      <c r="M18" s="80">
        <f>SUMIFS('ноябрь 2024'!$G$5:$G$2220,'ноябрь 2024'!$D$5:$D$2220,$B18,'ноябрь 2024'!$J$5:$J$2220,M$1)</f>
        <v>0</v>
      </c>
      <c r="N18" s="80">
        <f>SUMIFS('ноябрь 2024'!$G$5:$G$2220,'ноябрь 2024'!$D$5:$D$2220,$B18,'ноябрь 2024'!$J$5:$J$2220,N$1)</f>
        <v>0</v>
      </c>
      <c r="O18" s="80">
        <f>SUMIFS('ноябрь 2024'!$G$5:$G$2220,'ноябрь 2024'!$D$5:$D$2220,$B18,'ноябрь 2024'!$J$5:$J$2220,O$1)</f>
        <v>0</v>
      </c>
      <c r="P18" s="80">
        <f>SUMIFS('ноябрь 2024'!$G$5:$G$2220,'ноябрь 2024'!$D$5:$D$2220,$B18,'ноябрь 2024'!$J$5:$J$2220,P$1)</f>
        <v>0</v>
      </c>
      <c r="Q18" s="80">
        <f>SUMIFS('ноябрь 2024'!$G$5:$G$2220,'ноябрь 2024'!$D$5:$D$2220,$B18,'ноябрь 2024'!$J$5:$J$2220,Q$1)</f>
        <v>0</v>
      </c>
      <c r="R18" s="80">
        <f>SUMIFS('ноябрь 2024'!$G$5:$G$2220,'ноябрь 2024'!$D$5:$D$2220,$B18,'ноябрь 2024'!$J$5:$J$2220,R$1)</f>
        <v>0</v>
      </c>
      <c r="S18" s="80">
        <f>SUMIFS('ноябрь 2024'!$G$5:$G$2220,'ноябрь 2024'!$D$5:$D$2220,$B18,'ноябрь 2024'!$J$5:$J$2220,S$1)</f>
        <v>0</v>
      </c>
      <c r="T18" s="80">
        <f>SUMIFS('ноябрь 2024'!$G$5:$G$2220,'ноябрь 2024'!$D$5:$D$2220,$B18,'ноябрь 2024'!$J$5:$J$2220,T$1)</f>
        <v>0</v>
      </c>
      <c r="U18" s="80">
        <f>SUMIFS('ноябрь 2024'!$G$5:$G$2220,'ноябрь 2024'!$D$5:$D$2220,$B18,'ноябрь 2024'!$J$5:$J$2220,U$1)</f>
        <v>0</v>
      </c>
      <c r="V18" s="80">
        <f>SUMIFS('ноябрь 2024'!$G$5:$G$2220,'ноябрь 2024'!$D$5:$D$2220,$B18,'ноябрь 2024'!$J$5:$J$2220,V$1)</f>
        <v>0</v>
      </c>
      <c r="W18" s="80">
        <f>SUMIFS('ноябрь 2024'!$G$5:$G$2220,'ноябрь 2024'!$D$5:$D$2220,$B18,'ноябрь 2024'!$J$5:$J$2220,W$1)</f>
        <v>0</v>
      </c>
      <c r="X18" s="80">
        <f>SUMIFS('ноябрь 2024'!$G$5:$G$2220,'ноябрь 2024'!$D$5:$D$2220,$B18,'ноябрь 2024'!$J$5:$J$2220,X$1)</f>
        <v>0</v>
      </c>
      <c r="Y18" s="80">
        <f>SUMIFS('ноябрь 2024'!$G$5:$G$2220,'ноябрь 2024'!$D$5:$D$2220,$B18,'ноябрь 2024'!$J$5:$J$2220,Y$1)</f>
        <v>0</v>
      </c>
      <c r="Z18" s="80">
        <f>SUMIFS('ноябрь 2024'!$G$5:$G$2220,'ноябрь 2024'!$D$5:$D$2220,$B18,'ноябрь 2024'!$J$5:$J$2220,Z$1)</f>
        <v>0</v>
      </c>
      <c r="AA18" s="80">
        <f>SUMIFS('ноябрь 2024'!$G$5:$G$2220,'ноябрь 2024'!$D$5:$D$2220,$B18,'ноябрь 2024'!$J$5:$J$2220,AA$1)</f>
        <v>0</v>
      </c>
      <c r="AB18" s="80">
        <f>SUMIFS('ноябрь 2024'!$G$5:$G$2220,'ноябрь 2024'!$D$5:$D$2220,$B18,'ноябрь 2024'!$J$5:$J$2220,AB$1)</f>
        <v>0</v>
      </c>
      <c r="AC18" s="80">
        <f>SUMIFS('ноябрь 2024'!$G$5:$G$2220,'ноябрь 2024'!$D$5:$D$2220,$B18,'ноябрь 2024'!$J$5:$J$2220,AC$1)</f>
        <v>0</v>
      </c>
      <c r="AD18" s="80">
        <f>SUMIFS('ноябрь 2024'!$G$5:$G$2220,'ноябрь 2024'!$D$5:$D$2220,$B18,'ноябрь 2024'!$J$5:$J$2220,AD$1)</f>
        <v>800</v>
      </c>
      <c r="AE18" s="80">
        <f>SUMIFS('ноябрь 2024'!$G$5:$G$2220,'ноябрь 2024'!$D$5:$D$2220,$B18,'ноябрь 2024'!$J$5:$J$2220,AE$1)</f>
        <v>0</v>
      </c>
      <c r="AF18" s="80">
        <f>SUMIFS('ноябрь 2024'!$G$5:$G$2220,'ноябрь 2024'!$D$5:$D$2220,$B18,'ноябрь 2024'!$J$5:$J$2220,AF$1)</f>
        <v>0</v>
      </c>
      <c r="AG18" s="80">
        <f>SUMIFS('ноябрь 2024'!$G$5:$G$2220,'ноябрь 2024'!$D$5:$D$2220,$B18,'ноябрь 2024'!$J$5:$J$2220,AG$1)</f>
        <v>0</v>
      </c>
      <c r="AH18" s="80">
        <f>SUMIFS('ноябрь 2024'!$G$5:$G$2220,'ноябрь 2024'!$D$5:$D$2220,$B18,'ноябрь 2024'!$J$5:$J$2220,AH$1)</f>
        <v>0</v>
      </c>
      <c r="AI18" s="21">
        <f t="shared" si="1"/>
        <v>800</v>
      </c>
    </row>
    <row r="19" spans="2:35" ht="15" customHeight="1" x14ac:dyDescent="0.25">
      <c r="B19" s="81" t="s">
        <v>303</v>
      </c>
      <c r="C19" s="82">
        <v>25</v>
      </c>
      <c r="D19" s="80">
        <f>SUMIFS('ноябрь 2024'!$G$5:$G$2220,'ноябрь 2024'!$D$5:$D$2220,$B19,'ноябрь 2024'!$J$5:$J$2220,D$1)</f>
        <v>0</v>
      </c>
      <c r="E19" s="80">
        <f>SUMIFS('ноябрь 2024'!$G$5:$G$2220,'ноябрь 2024'!$D$5:$D$2220,$B19,'ноябрь 2024'!$J$5:$J$2220,E$1)</f>
        <v>0</v>
      </c>
      <c r="F19" s="80">
        <f>SUMIFS('ноябрь 2024'!$G$5:$G$2220,'ноябрь 2024'!$D$5:$D$2220,$B19,'ноябрь 2024'!$J$5:$J$2220,F$1)</f>
        <v>0</v>
      </c>
      <c r="G19" s="80">
        <f>SUMIFS('ноябрь 2024'!$G$5:$G$2220,'ноябрь 2024'!$D$5:$D$2220,$B19,'ноябрь 2024'!$J$5:$J$2220,G$1)</f>
        <v>0</v>
      </c>
      <c r="H19" s="80">
        <f>SUMIFS('ноябрь 2024'!$G$5:$G$2220,'ноябрь 2024'!$D$5:$D$2220,$B19,'ноябрь 2024'!$J$5:$J$2220,H$1)</f>
        <v>0</v>
      </c>
      <c r="I19" s="80">
        <f>SUMIFS('ноябрь 2024'!$G$5:$G$2220,'ноябрь 2024'!$D$5:$D$2220,$B19,'ноябрь 2024'!$J$5:$J$2220,I$1)</f>
        <v>0</v>
      </c>
      <c r="J19" s="80">
        <f>SUMIFS('ноябрь 2024'!$G$5:$G$2220,'ноябрь 2024'!$D$5:$D$2220,$B19,'ноябрь 2024'!$J$5:$J$2220,J$1)</f>
        <v>0</v>
      </c>
      <c r="K19" s="80">
        <f>SUMIFS('ноябрь 2024'!$G$5:$G$2220,'ноябрь 2024'!$D$5:$D$2220,$B19,'ноябрь 2024'!$J$5:$J$2220,K$1)</f>
        <v>0</v>
      </c>
      <c r="L19" s="80">
        <f>SUMIFS('ноябрь 2024'!$G$5:$G$2220,'ноябрь 2024'!$D$5:$D$2220,$B19,'ноябрь 2024'!$J$5:$J$2220,L$1)</f>
        <v>0</v>
      </c>
      <c r="M19" s="80">
        <f>SUMIFS('ноябрь 2024'!$G$5:$G$2220,'ноябрь 2024'!$D$5:$D$2220,$B19,'ноябрь 2024'!$J$5:$J$2220,M$1)</f>
        <v>0</v>
      </c>
      <c r="N19" s="80">
        <f>SUMIFS('ноябрь 2024'!$G$5:$G$2220,'ноябрь 2024'!$D$5:$D$2220,$B19,'ноябрь 2024'!$J$5:$J$2220,N$1)</f>
        <v>0</v>
      </c>
      <c r="O19" s="80">
        <f>SUMIFS('ноябрь 2024'!$G$5:$G$2220,'ноябрь 2024'!$D$5:$D$2220,$B19,'ноябрь 2024'!$J$5:$J$2220,O$1)</f>
        <v>0</v>
      </c>
      <c r="P19" s="80">
        <f>SUMIFS('ноябрь 2024'!$G$5:$G$2220,'ноябрь 2024'!$D$5:$D$2220,$B19,'ноябрь 2024'!$J$5:$J$2220,P$1)</f>
        <v>0</v>
      </c>
      <c r="Q19" s="80">
        <f>SUMIFS('ноябрь 2024'!$G$5:$G$2220,'ноябрь 2024'!$D$5:$D$2220,$B19,'ноябрь 2024'!$J$5:$J$2220,Q$1)</f>
        <v>0</v>
      </c>
      <c r="R19" s="80">
        <f>SUMIFS('ноябрь 2024'!$G$5:$G$2220,'ноябрь 2024'!$D$5:$D$2220,$B19,'ноябрь 2024'!$J$5:$J$2220,R$1)</f>
        <v>0</v>
      </c>
      <c r="S19" s="80">
        <f>SUMIFS('ноябрь 2024'!$G$5:$G$2220,'ноябрь 2024'!$D$5:$D$2220,$B19,'ноябрь 2024'!$J$5:$J$2220,S$1)</f>
        <v>0</v>
      </c>
      <c r="T19" s="80">
        <f>SUMIFS('ноябрь 2024'!$G$5:$G$2220,'ноябрь 2024'!$D$5:$D$2220,$B19,'ноябрь 2024'!$J$5:$J$2220,T$1)</f>
        <v>0</v>
      </c>
      <c r="U19" s="80">
        <f>SUMIFS('ноябрь 2024'!$G$5:$G$2220,'ноябрь 2024'!$D$5:$D$2220,$B19,'ноябрь 2024'!$J$5:$J$2220,U$1)</f>
        <v>0</v>
      </c>
      <c r="V19" s="80">
        <f>SUMIFS('ноябрь 2024'!$G$5:$G$2220,'ноябрь 2024'!$D$5:$D$2220,$B19,'ноябрь 2024'!$J$5:$J$2220,V$1)</f>
        <v>0</v>
      </c>
      <c r="W19" s="80">
        <f>SUMIFS('ноябрь 2024'!$G$5:$G$2220,'ноябрь 2024'!$D$5:$D$2220,$B19,'ноябрь 2024'!$J$5:$J$2220,W$1)</f>
        <v>0</v>
      </c>
      <c r="X19" s="80">
        <f>SUMIFS('ноябрь 2024'!$G$5:$G$2220,'ноябрь 2024'!$D$5:$D$2220,$B19,'ноябрь 2024'!$J$5:$J$2220,X$1)</f>
        <v>0</v>
      </c>
      <c r="Y19" s="80">
        <f>SUMIFS('ноябрь 2024'!$G$5:$G$2220,'ноябрь 2024'!$D$5:$D$2220,$B19,'ноябрь 2024'!$J$5:$J$2220,Y$1)</f>
        <v>0</v>
      </c>
      <c r="Z19" s="80">
        <f>SUMIFS('ноябрь 2024'!$G$5:$G$2220,'ноябрь 2024'!$D$5:$D$2220,$B19,'ноябрь 2024'!$J$5:$J$2220,Z$1)</f>
        <v>0</v>
      </c>
      <c r="AA19" s="80">
        <f>SUMIFS('ноябрь 2024'!$G$5:$G$2220,'ноябрь 2024'!$D$5:$D$2220,$B19,'ноябрь 2024'!$J$5:$J$2220,AA$1)</f>
        <v>0</v>
      </c>
      <c r="AB19" s="80">
        <f>SUMIFS('ноябрь 2024'!$G$5:$G$2220,'ноябрь 2024'!$D$5:$D$2220,$B19,'ноябрь 2024'!$J$5:$J$2220,AB$1)</f>
        <v>0</v>
      </c>
      <c r="AC19" s="80">
        <f>SUMIFS('ноябрь 2024'!$G$5:$G$2220,'ноябрь 2024'!$D$5:$D$2220,$B19,'ноябрь 2024'!$J$5:$J$2220,AC$1)</f>
        <v>0</v>
      </c>
      <c r="AD19" s="80">
        <f>SUMIFS('ноябрь 2024'!$G$5:$G$2220,'ноябрь 2024'!$D$5:$D$2220,$B19,'ноябрь 2024'!$J$5:$J$2220,AD$1)</f>
        <v>0</v>
      </c>
      <c r="AE19" s="80">
        <f>SUMIFS('ноябрь 2024'!$G$5:$G$2220,'ноябрь 2024'!$D$5:$D$2220,$B19,'ноябрь 2024'!$J$5:$J$2220,AE$1)</f>
        <v>0</v>
      </c>
      <c r="AF19" s="80">
        <f>SUMIFS('ноябрь 2024'!$G$5:$G$2220,'ноябрь 2024'!$D$5:$D$2220,$B19,'ноябрь 2024'!$J$5:$J$2220,AF$1)</f>
        <v>0</v>
      </c>
      <c r="AG19" s="80">
        <f>SUMIFS('ноябрь 2024'!$G$5:$G$2220,'ноябрь 2024'!$D$5:$D$2220,$B19,'ноябрь 2024'!$J$5:$J$2220,AG$1)</f>
        <v>0</v>
      </c>
      <c r="AH19" s="80">
        <f>SUMIFS('ноябрь 2024'!$G$5:$G$2220,'ноябрь 2024'!$D$5:$D$2220,$B19,'ноябрь 2024'!$J$5:$J$2220,AH$1)</f>
        <v>0</v>
      </c>
      <c r="AI19" s="21">
        <f t="shared" si="1"/>
        <v>0</v>
      </c>
    </row>
    <row r="20" spans="2:35" ht="15" customHeight="1" x14ac:dyDescent="0.25">
      <c r="B20" s="81" t="s">
        <v>305</v>
      </c>
      <c r="C20" s="82">
        <v>25</v>
      </c>
      <c r="D20" s="80">
        <f>SUMIFS('ноябрь 2024'!$G$5:$G$2220,'ноябрь 2024'!$D$5:$D$2220,$B20,'ноябрь 2024'!$J$5:$J$2220,D$1)</f>
        <v>0</v>
      </c>
      <c r="E20" s="80">
        <f>SUMIFS('ноябрь 2024'!$G$5:$G$2220,'ноябрь 2024'!$D$5:$D$2220,$B20,'ноябрь 2024'!$J$5:$J$2220,E$1)</f>
        <v>0</v>
      </c>
      <c r="F20" s="80">
        <f>SUMIFS('ноябрь 2024'!$G$5:$G$2220,'ноябрь 2024'!$D$5:$D$2220,$B20,'ноябрь 2024'!$J$5:$J$2220,F$1)</f>
        <v>0</v>
      </c>
      <c r="G20" s="80">
        <f>SUMIFS('ноябрь 2024'!$G$5:$G$2220,'ноябрь 2024'!$D$5:$D$2220,$B20,'ноябрь 2024'!$J$5:$J$2220,G$1)</f>
        <v>0</v>
      </c>
      <c r="H20" s="80">
        <f>SUMIFS('ноябрь 2024'!$G$5:$G$2220,'ноябрь 2024'!$D$5:$D$2220,$B20,'ноябрь 2024'!$J$5:$J$2220,H$1)</f>
        <v>0</v>
      </c>
      <c r="I20" s="80">
        <f>SUMIFS('ноябрь 2024'!$G$5:$G$2220,'ноябрь 2024'!$D$5:$D$2220,$B20,'ноябрь 2024'!$J$5:$J$2220,I$1)</f>
        <v>0</v>
      </c>
      <c r="J20" s="80">
        <f>SUMIFS('ноябрь 2024'!$G$5:$G$2220,'ноябрь 2024'!$D$5:$D$2220,$B20,'ноябрь 2024'!$J$5:$J$2220,J$1)</f>
        <v>0</v>
      </c>
      <c r="K20" s="80">
        <f>SUMIFS('ноябрь 2024'!$G$5:$G$2220,'ноябрь 2024'!$D$5:$D$2220,$B20,'ноябрь 2024'!$J$5:$J$2220,K$1)</f>
        <v>0</v>
      </c>
      <c r="L20" s="80">
        <f>SUMIFS('ноябрь 2024'!$G$5:$G$2220,'ноябрь 2024'!$D$5:$D$2220,$B20,'ноябрь 2024'!$J$5:$J$2220,L$1)</f>
        <v>0</v>
      </c>
      <c r="M20" s="80">
        <f>SUMIFS('ноябрь 2024'!$G$5:$G$2220,'ноябрь 2024'!$D$5:$D$2220,$B20,'ноябрь 2024'!$J$5:$J$2220,M$1)</f>
        <v>0</v>
      </c>
      <c r="N20" s="80">
        <f>SUMIFS('ноябрь 2024'!$G$5:$G$2220,'ноябрь 2024'!$D$5:$D$2220,$B20,'ноябрь 2024'!$J$5:$J$2220,N$1)</f>
        <v>0</v>
      </c>
      <c r="O20" s="80">
        <f>SUMIFS('ноябрь 2024'!$G$5:$G$2220,'ноябрь 2024'!$D$5:$D$2220,$B20,'ноябрь 2024'!$J$5:$J$2220,O$1)</f>
        <v>0</v>
      </c>
      <c r="P20" s="80">
        <f>SUMIFS('ноябрь 2024'!$G$5:$G$2220,'ноябрь 2024'!$D$5:$D$2220,$B20,'ноябрь 2024'!$J$5:$J$2220,P$1)</f>
        <v>0</v>
      </c>
      <c r="Q20" s="80">
        <f>SUMIFS('ноябрь 2024'!$G$5:$G$2220,'ноябрь 2024'!$D$5:$D$2220,$B20,'ноябрь 2024'!$J$5:$J$2220,Q$1)</f>
        <v>0</v>
      </c>
      <c r="R20" s="80">
        <f>SUMIFS('ноябрь 2024'!$G$5:$G$2220,'ноябрь 2024'!$D$5:$D$2220,$B20,'ноябрь 2024'!$J$5:$J$2220,R$1)</f>
        <v>0</v>
      </c>
      <c r="S20" s="80">
        <f>SUMIFS('ноябрь 2024'!$G$5:$G$2220,'ноябрь 2024'!$D$5:$D$2220,$B20,'ноябрь 2024'!$J$5:$J$2220,S$1)</f>
        <v>0</v>
      </c>
      <c r="T20" s="80">
        <f>SUMIFS('ноябрь 2024'!$G$5:$G$2220,'ноябрь 2024'!$D$5:$D$2220,$B20,'ноябрь 2024'!$J$5:$J$2220,T$1)</f>
        <v>0</v>
      </c>
      <c r="U20" s="80">
        <f>SUMIFS('ноябрь 2024'!$G$5:$G$2220,'ноябрь 2024'!$D$5:$D$2220,$B20,'ноябрь 2024'!$J$5:$J$2220,U$1)</f>
        <v>0</v>
      </c>
      <c r="V20" s="80">
        <f>SUMIFS('ноябрь 2024'!$G$5:$G$2220,'ноябрь 2024'!$D$5:$D$2220,$B20,'ноябрь 2024'!$J$5:$J$2220,V$1)</f>
        <v>0</v>
      </c>
      <c r="W20" s="80">
        <f>SUMIFS('ноябрь 2024'!$G$5:$G$2220,'ноябрь 2024'!$D$5:$D$2220,$B20,'ноябрь 2024'!$J$5:$J$2220,W$1)</f>
        <v>0</v>
      </c>
      <c r="X20" s="80">
        <f>SUMIFS('ноябрь 2024'!$G$5:$G$2220,'ноябрь 2024'!$D$5:$D$2220,$B20,'ноябрь 2024'!$J$5:$J$2220,X$1)</f>
        <v>0</v>
      </c>
      <c r="Y20" s="80">
        <f>SUMIFS('ноябрь 2024'!$G$5:$G$2220,'ноябрь 2024'!$D$5:$D$2220,$B20,'ноябрь 2024'!$J$5:$J$2220,Y$1)</f>
        <v>0</v>
      </c>
      <c r="Z20" s="80">
        <f>SUMIFS('ноябрь 2024'!$G$5:$G$2220,'ноябрь 2024'!$D$5:$D$2220,$B20,'ноябрь 2024'!$J$5:$J$2220,Z$1)</f>
        <v>0</v>
      </c>
      <c r="AA20" s="80">
        <f>SUMIFS('ноябрь 2024'!$G$5:$G$2220,'ноябрь 2024'!$D$5:$D$2220,$B20,'ноябрь 2024'!$J$5:$J$2220,AA$1)</f>
        <v>0</v>
      </c>
      <c r="AB20" s="80">
        <f>SUMIFS('ноябрь 2024'!$G$5:$G$2220,'ноябрь 2024'!$D$5:$D$2220,$B20,'ноябрь 2024'!$J$5:$J$2220,AB$1)</f>
        <v>0</v>
      </c>
      <c r="AC20" s="80">
        <f>SUMIFS('ноябрь 2024'!$G$5:$G$2220,'ноябрь 2024'!$D$5:$D$2220,$B20,'ноябрь 2024'!$J$5:$J$2220,AC$1)</f>
        <v>0</v>
      </c>
      <c r="AD20" s="80">
        <f>SUMIFS('ноябрь 2024'!$G$5:$G$2220,'ноябрь 2024'!$D$5:$D$2220,$B20,'ноябрь 2024'!$J$5:$J$2220,AD$1)</f>
        <v>0</v>
      </c>
      <c r="AE20" s="80">
        <f>SUMIFS('ноябрь 2024'!$G$5:$G$2220,'ноябрь 2024'!$D$5:$D$2220,$B20,'ноябрь 2024'!$J$5:$J$2220,AE$1)</f>
        <v>0</v>
      </c>
      <c r="AF20" s="80">
        <f>SUMIFS('ноябрь 2024'!$G$5:$G$2220,'ноябрь 2024'!$D$5:$D$2220,$B20,'ноябрь 2024'!$J$5:$J$2220,AF$1)</f>
        <v>0</v>
      </c>
      <c r="AG20" s="80">
        <f>SUMIFS('ноябрь 2024'!$G$5:$G$2220,'ноябрь 2024'!$D$5:$D$2220,$B20,'ноябрь 2024'!$J$5:$J$2220,AG$1)</f>
        <v>0</v>
      </c>
      <c r="AH20" s="80">
        <f>SUMIFS('ноябрь 2024'!$G$5:$G$2220,'ноябрь 2024'!$D$5:$D$2220,$B20,'ноябрь 2024'!$J$5:$J$2220,AH$1)</f>
        <v>0</v>
      </c>
      <c r="AI20" s="21">
        <f t="shared" si="1"/>
        <v>0</v>
      </c>
    </row>
    <row r="21" spans="2:35" ht="15" customHeight="1" x14ac:dyDescent="0.25">
      <c r="B21" s="81" t="s">
        <v>307</v>
      </c>
      <c r="C21" s="82">
        <v>25</v>
      </c>
      <c r="D21" s="80">
        <f>SUMIFS('ноябрь 2024'!$G$5:$G$2220,'ноябрь 2024'!$D$5:$D$2220,$B21,'ноябрь 2024'!$J$5:$J$2220,D$1)</f>
        <v>0</v>
      </c>
      <c r="E21" s="80">
        <f>SUMIFS('ноябрь 2024'!$G$5:$G$2220,'ноябрь 2024'!$D$5:$D$2220,$B21,'ноябрь 2024'!$J$5:$J$2220,E$1)</f>
        <v>0</v>
      </c>
      <c r="F21" s="80">
        <f>SUMIFS('ноябрь 2024'!$G$5:$G$2220,'ноябрь 2024'!$D$5:$D$2220,$B21,'ноябрь 2024'!$J$5:$J$2220,F$1)</f>
        <v>0</v>
      </c>
      <c r="G21" s="80">
        <f>SUMIFS('ноябрь 2024'!$G$5:$G$2220,'ноябрь 2024'!$D$5:$D$2220,$B21,'ноябрь 2024'!$J$5:$J$2220,G$1)</f>
        <v>0</v>
      </c>
      <c r="H21" s="80">
        <f>SUMIFS('ноябрь 2024'!$G$5:$G$2220,'ноябрь 2024'!$D$5:$D$2220,$B21,'ноябрь 2024'!$J$5:$J$2220,H$1)</f>
        <v>0</v>
      </c>
      <c r="I21" s="80">
        <f>SUMIFS('ноябрь 2024'!$G$5:$G$2220,'ноябрь 2024'!$D$5:$D$2220,$B21,'ноябрь 2024'!$J$5:$J$2220,I$1)</f>
        <v>0</v>
      </c>
      <c r="J21" s="80">
        <f>SUMIFS('ноябрь 2024'!$G$5:$G$2220,'ноябрь 2024'!$D$5:$D$2220,$B21,'ноябрь 2024'!$J$5:$J$2220,J$1)</f>
        <v>0</v>
      </c>
      <c r="K21" s="80">
        <f>SUMIFS('ноябрь 2024'!$G$5:$G$2220,'ноябрь 2024'!$D$5:$D$2220,$B21,'ноябрь 2024'!$J$5:$J$2220,K$1)</f>
        <v>0</v>
      </c>
      <c r="L21" s="80">
        <f>SUMIFS('ноябрь 2024'!$G$5:$G$2220,'ноябрь 2024'!$D$5:$D$2220,$B21,'ноябрь 2024'!$J$5:$J$2220,L$1)</f>
        <v>0</v>
      </c>
      <c r="M21" s="80">
        <f>SUMIFS('ноябрь 2024'!$G$5:$G$2220,'ноябрь 2024'!$D$5:$D$2220,$B21,'ноябрь 2024'!$J$5:$J$2220,M$1)</f>
        <v>0</v>
      </c>
      <c r="N21" s="80">
        <f>SUMIFS('ноябрь 2024'!$G$5:$G$2220,'ноябрь 2024'!$D$5:$D$2220,$B21,'ноябрь 2024'!$J$5:$J$2220,N$1)</f>
        <v>0</v>
      </c>
      <c r="O21" s="80">
        <f>SUMIFS('ноябрь 2024'!$G$5:$G$2220,'ноябрь 2024'!$D$5:$D$2220,$B21,'ноябрь 2024'!$J$5:$J$2220,O$1)</f>
        <v>0</v>
      </c>
      <c r="P21" s="80">
        <f>SUMIFS('ноябрь 2024'!$G$5:$G$2220,'ноябрь 2024'!$D$5:$D$2220,$B21,'ноябрь 2024'!$J$5:$J$2220,P$1)</f>
        <v>0</v>
      </c>
      <c r="Q21" s="80">
        <f>SUMIFS('ноябрь 2024'!$G$5:$G$2220,'ноябрь 2024'!$D$5:$D$2220,$B21,'ноябрь 2024'!$J$5:$J$2220,Q$1)</f>
        <v>0</v>
      </c>
      <c r="R21" s="80">
        <f>SUMIFS('ноябрь 2024'!$G$5:$G$2220,'ноябрь 2024'!$D$5:$D$2220,$B21,'ноябрь 2024'!$J$5:$J$2220,R$1)</f>
        <v>0</v>
      </c>
      <c r="S21" s="80">
        <f>SUMIFS('ноябрь 2024'!$G$5:$G$2220,'ноябрь 2024'!$D$5:$D$2220,$B21,'ноябрь 2024'!$J$5:$J$2220,S$1)</f>
        <v>0</v>
      </c>
      <c r="T21" s="80">
        <f>SUMIFS('ноябрь 2024'!$G$5:$G$2220,'ноябрь 2024'!$D$5:$D$2220,$B21,'ноябрь 2024'!$J$5:$J$2220,T$1)</f>
        <v>0</v>
      </c>
      <c r="U21" s="80">
        <f>SUMIFS('ноябрь 2024'!$G$5:$G$2220,'ноябрь 2024'!$D$5:$D$2220,$B21,'ноябрь 2024'!$J$5:$J$2220,U$1)</f>
        <v>0</v>
      </c>
      <c r="V21" s="80">
        <f>SUMIFS('ноябрь 2024'!$G$5:$G$2220,'ноябрь 2024'!$D$5:$D$2220,$B21,'ноябрь 2024'!$J$5:$J$2220,V$1)</f>
        <v>0</v>
      </c>
      <c r="W21" s="80">
        <f>SUMIFS('ноябрь 2024'!$G$5:$G$2220,'ноябрь 2024'!$D$5:$D$2220,$B21,'ноябрь 2024'!$J$5:$J$2220,W$1)</f>
        <v>0</v>
      </c>
      <c r="X21" s="80">
        <f>SUMIFS('ноябрь 2024'!$G$5:$G$2220,'ноябрь 2024'!$D$5:$D$2220,$B21,'ноябрь 2024'!$J$5:$J$2220,X$1)</f>
        <v>0</v>
      </c>
      <c r="Y21" s="80">
        <f>SUMIFS('ноябрь 2024'!$G$5:$G$2220,'ноябрь 2024'!$D$5:$D$2220,$B21,'ноябрь 2024'!$J$5:$J$2220,Y$1)</f>
        <v>0</v>
      </c>
      <c r="Z21" s="80">
        <f>SUMIFS('ноябрь 2024'!$G$5:$G$2220,'ноябрь 2024'!$D$5:$D$2220,$B21,'ноябрь 2024'!$J$5:$J$2220,Z$1)</f>
        <v>0</v>
      </c>
      <c r="AA21" s="80">
        <f>SUMIFS('ноябрь 2024'!$G$5:$G$2220,'ноябрь 2024'!$D$5:$D$2220,$B21,'ноябрь 2024'!$J$5:$J$2220,AA$1)</f>
        <v>0</v>
      </c>
      <c r="AB21" s="80">
        <f>SUMIFS('ноябрь 2024'!$G$5:$G$2220,'ноябрь 2024'!$D$5:$D$2220,$B21,'ноябрь 2024'!$J$5:$J$2220,AB$1)</f>
        <v>0</v>
      </c>
      <c r="AC21" s="80">
        <f>SUMIFS('ноябрь 2024'!$G$5:$G$2220,'ноябрь 2024'!$D$5:$D$2220,$B21,'ноябрь 2024'!$J$5:$J$2220,AC$1)</f>
        <v>0</v>
      </c>
      <c r="AD21" s="80">
        <f>SUMIFS('ноябрь 2024'!$G$5:$G$2220,'ноябрь 2024'!$D$5:$D$2220,$B21,'ноябрь 2024'!$J$5:$J$2220,AD$1)</f>
        <v>0</v>
      </c>
      <c r="AE21" s="80">
        <f>SUMIFS('ноябрь 2024'!$G$5:$G$2220,'ноябрь 2024'!$D$5:$D$2220,$B21,'ноябрь 2024'!$J$5:$J$2220,AE$1)</f>
        <v>0</v>
      </c>
      <c r="AF21" s="80">
        <f>SUMIFS('ноябрь 2024'!$G$5:$G$2220,'ноябрь 2024'!$D$5:$D$2220,$B21,'ноябрь 2024'!$J$5:$J$2220,AF$1)</f>
        <v>0</v>
      </c>
      <c r="AG21" s="80">
        <f>SUMIFS('ноябрь 2024'!$G$5:$G$2220,'ноябрь 2024'!$D$5:$D$2220,$B21,'ноябрь 2024'!$J$5:$J$2220,AG$1)</f>
        <v>0</v>
      </c>
      <c r="AH21" s="80">
        <f>SUMIFS('ноябрь 2024'!$G$5:$G$2220,'ноябрь 2024'!$D$5:$D$2220,$B21,'ноябрь 2024'!$J$5:$J$2220,AH$1)</f>
        <v>0</v>
      </c>
      <c r="AI21" s="21">
        <f t="shared" si="1"/>
        <v>0</v>
      </c>
    </row>
    <row r="22" spans="2:35" ht="15" customHeight="1" x14ac:dyDescent="0.25">
      <c r="B22" s="81" t="s">
        <v>309</v>
      </c>
      <c r="C22" s="82">
        <v>25</v>
      </c>
      <c r="D22" s="80">
        <f>SUMIFS('ноябрь 2024'!$G$5:$G$2220,'ноябрь 2024'!$D$5:$D$2220,$B22,'ноябрь 2024'!$J$5:$J$2220,D$1)</f>
        <v>0</v>
      </c>
      <c r="E22" s="80">
        <f>SUMIFS('ноябрь 2024'!$G$5:$G$2220,'ноябрь 2024'!$D$5:$D$2220,$B22,'ноябрь 2024'!$J$5:$J$2220,E$1)</f>
        <v>0</v>
      </c>
      <c r="F22" s="80">
        <f>SUMIFS('ноябрь 2024'!$G$5:$G$2220,'ноябрь 2024'!$D$5:$D$2220,$B22,'ноябрь 2024'!$J$5:$J$2220,F$1)</f>
        <v>0</v>
      </c>
      <c r="G22" s="80">
        <f>SUMIFS('ноябрь 2024'!$G$5:$G$2220,'ноябрь 2024'!$D$5:$D$2220,$B22,'ноябрь 2024'!$J$5:$J$2220,G$1)</f>
        <v>0</v>
      </c>
      <c r="H22" s="80">
        <f>SUMIFS('ноябрь 2024'!$G$5:$G$2220,'ноябрь 2024'!$D$5:$D$2220,$B22,'ноябрь 2024'!$J$5:$J$2220,H$1)</f>
        <v>0</v>
      </c>
      <c r="I22" s="80">
        <f>SUMIFS('ноябрь 2024'!$G$5:$G$2220,'ноябрь 2024'!$D$5:$D$2220,$B22,'ноябрь 2024'!$J$5:$J$2220,I$1)</f>
        <v>0</v>
      </c>
      <c r="J22" s="80">
        <f>SUMIFS('ноябрь 2024'!$G$5:$G$2220,'ноябрь 2024'!$D$5:$D$2220,$B22,'ноябрь 2024'!$J$5:$J$2220,J$1)</f>
        <v>0</v>
      </c>
      <c r="K22" s="80">
        <f>SUMIFS('ноябрь 2024'!$G$5:$G$2220,'ноябрь 2024'!$D$5:$D$2220,$B22,'ноябрь 2024'!$J$5:$J$2220,K$1)</f>
        <v>0</v>
      </c>
      <c r="L22" s="80">
        <f>SUMIFS('ноябрь 2024'!$G$5:$G$2220,'ноябрь 2024'!$D$5:$D$2220,$B22,'ноябрь 2024'!$J$5:$J$2220,L$1)</f>
        <v>0</v>
      </c>
      <c r="M22" s="80">
        <f>SUMIFS('ноябрь 2024'!$G$5:$G$2220,'ноябрь 2024'!$D$5:$D$2220,$B22,'ноябрь 2024'!$J$5:$J$2220,M$1)</f>
        <v>0</v>
      </c>
      <c r="N22" s="80">
        <f>SUMIFS('ноябрь 2024'!$G$5:$G$2220,'ноябрь 2024'!$D$5:$D$2220,$B22,'ноябрь 2024'!$J$5:$J$2220,N$1)</f>
        <v>0</v>
      </c>
      <c r="O22" s="80">
        <f>SUMIFS('ноябрь 2024'!$G$5:$G$2220,'ноябрь 2024'!$D$5:$D$2220,$B22,'ноябрь 2024'!$J$5:$J$2220,O$1)</f>
        <v>0</v>
      </c>
      <c r="P22" s="80">
        <f>SUMIFS('ноябрь 2024'!$G$5:$G$2220,'ноябрь 2024'!$D$5:$D$2220,$B22,'ноябрь 2024'!$J$5:$J$2220,P$1)</f>
        <v>0</v>
      </c>
      <c r="Q22" s="80">
        <f>SUMIFS('ноябрь 2024'!$G$5:$G$2220,'ноябрь 2024'!$D$5:$D$2220,$B22,'ноябрь 2024'!$J$5:$J$2220,Q$1)</f>
        <v>0</v>
      </c>
      <c r="R22" s="80">
        <f>SUMIFS('ноябрь 2024'!$G$5:$G$2220,'ноябрь 2024'!$D$5:$D$2220,$B22,'ноябрь 2024'!$J$5:$J$2220,R$1)</f>
        <v>0</v>
      </c>
      <c r="S22" s="80">
        <f>SUMIFS('ноябрь 2024'!$G$5:$G$2220,'ноябрь 2024'!$D$5:$D$2220,$B22,'ноябрь 2024'!$J$5:$J$2220,S$1)</f>
        <v>0</v>
      </c>
      <c r="T22" s="80">
        <f>SUMIFS('ноябрь 2024'!$G$5:$G$2220,'ноябрь 2024'!$D$5:$D$2220,$B22,'ноябрь 2024'!$J$5:$J$2220,T$1)</f>
        <v>0</v>
      </c>
      <c r="U22" s="80">
        <f>SUMIFS('ноябрь 2024'!$G$5:$G$2220,'ноябрь 2024'!$D$5:$D$2220,$B22,'ноябрь 2024'!$J$5:$J$2220,U$1)</f>
        <v>0</v>
      </c>
      <c r="V22" s="80">
        <f>SUMIFS('ноябрь 2024'!$G$5:$G$2220,'ноябрь 2024'!$D$5:$D$2220,$B22,'ноябрь 2024'!$J$5:$J$2220,V$1)</f>
        <v>0</v>
      </c>
      <c r="W22" s="80">
        <f>SUMIFS('ноябрь 2024'!$G$5:$G$2220,'ноябрь 2024'!$D$5:$D$2220,$B22,'ноябрь 2024'!$J$5:$J$2220,W$1)</f>
        <v>0</v>
      </c>
      <c r="X22" s="80">
        <f>SUMIFS('ноябрь 2024'!$G$5:$G$2220,'ноябрь 2024'!$D$5:$D$2220,$B22,'ноябрь 2024'!$J$5:$J$2220,X$1)</f>
        <v>0</v>
      </c>
      <c r="Y22" s="80">
        <f>SUMIFS('ноябрь 2024'!$G$5:$G$2220,'ноябрь 2024'!$D$5:$D$2220,$B22,'ноябрь 2024'!$J$5:$J$2220,Y$1)</f>
        <v>0</v>
      </c>
      <c r="Z22" s="80">
        <f>SUMIFS('ноябрь 2024'!$G$5:$G$2220,'ноябрь 2024'!$D$5:$D$2220,$B22,'ноябрь 2024'!$J$5:$J$2220,Z$1)</f>
        <v>0</v>
      </c>
      <c r="AA22" s="80">
        <f>SUMIFS('ноябрь 2024'!$G$5:$G$2220,'ноябрь 2024'!$D$5:$D$2220,$B22,'ноябрь 2024'!$J$5:$J$2220,AA$1)</f>
        <v>0</v>
      </c>
      <c r="AB22" s="80">
        <f>SUMIFS('ноябрь 2024'!$G$5:$G$2220,'ноябрь 2024'!$D$5:$D$2220,$B22,'ноябрь 2024'!$J$5:$J$2220,AB$1)</f>
        <v>0</v>
      </c>
      <c r="AC22" s="80">
        <f>SUMIFS('ноябрь 2024'!$G$5:$G$2220,'ноябрь 2024'!$D$5:$D$2220,$B22,'ноябрь 2024'!$J$5:$J$2220,AC$1)</f>
        <v>0</v>
      </c>
      <c r="AD22" s="80">
        <f>SUMIFS('ноябрь 2024'!$G$5:$G$2220,'ноябрь 2024'!$D$5:$D$2220,$B22,'ноябрь 2024'!$J$5:$J$2220,AD$1)</f>
        <v>0</v>
      </c>
      <c r="AE22" s="80">
        <f>SUMIFS('ноябрь 2024'!$G$5:$G$2220,'ноябрь 2024'!$D$5:$D$2220,$B22,'ноябрь 2024'!$J$5:$J$2220,AE$1)</f>
        <v>0</v>
      </c>
      <c r="AF22" s="80">
        <f>SUMIFS('ноябрь 2024'!$G$5:$G$2220,'ноябрь 2024'!$D$5:$D$2220,$B22,'ноябрь 2024'!$J$5:$J$2220,AF$1)</f>
        <v>0</v>
      </c>
      <c r="AG22" s="80">
        <f>SUMIFS('ноябрь 2024'!$G$5:$G$2220,'ноябрь 2024'!$D$5:$D$2220,$B22,'ноябрь 2024'!$J$5:$J$2220,AG$1)</f>
        <v>0</v>
      </c>
      <c r="AH22" s="80">
        <f>SUMIFS('ноябрь 2024'!$G$5:$G$2220,'ноябрь 2024'!$D$5:$D$2220,$B22,'ноябрь 2024'!$J$5:$J$2220,AH$1)</f>
        <v>0</v>
      </c>
      <c r="AI22" s="21">
        <f t="shared" si="1"/>
        <v>0</v>
      </c>
    </row>
    <row r="23" spans="2:35" ht="15" customHeight="1" x14ac:dyDescent="0.25">
      <c r="B23" s="84" t="s">
        <v>311</v>
      </c>
      <c r="C23" s="103">
        <v>25</v>
      </c>
      <c r="D23" s="80">
        <f>SUMIFS('ноябрь 2024'!$G$5:$G$2220,'ноябрь 2024'!$D$5:$D$2220,$B23,'ноябрь 2024'!$J$5:$J$2220,D$1)</f>
        <v>0</v>
      </c>
      <c r="E23" s="80">
        <f>SUMIFS('ноябрь 2024'!$G$5:$G$2220,'ноябрь 2024'!$D$5:$D$2220,$B23,'ноябрь 2024'!$J$5:$J$2220,E$1)</f>
        <v>0</v>
      </c>
      <c r="F23" s="80">
        <f>SUMIFS('ноябрь 2024'!$G$5:$G$2220,'ноябрь 2024'!$D$5:$D$2220,$B23,'ноябрь 2024'!$J$5:$J$2220,F$1)</f>
        <v>0</v>
      </c>
      <c r="G23" s="80">
        <f>SUMIFS('ноябрь 2024'!$G$5:$G$2220,'ноябрь 2024'!$D$5:$D$2220,$B23,'ноябрь 2024'!$J$5:$J$2220,G$1)</f>
        <v>0</v>
      </c>
      <c r="H23" s="80">
        <f>SUMIFS('ноябрь 2024'!$G$5:$G$2220,'ноябрь 2024'!$D$5:$D$2220,$B23,'ноябрь 2024'!$J$5:$J$2220,H$1)</f>
        <v>0</v>
      </c>
      <c r="I23" s="80">
        <f>SUMIFS('ноябрь 2024'!$G$5:$G$2220,'ноябрь 2024'!$D$5:$D$2220,$B23,'ноябрь 2024'!$J$5:$J$2220,I$1)</f>
        <v>0</v>
      </c>
      <c r="J23" s="80">
        <f>SUMIFS('ноябрь 2024'!$G$5:$G$2220,'ноябрь 2024'!$D$5:$D$2220,$B23,'ноябрь 2024'!$J$5:$J$2220,J$1)</f>
        <v>0</v>
      </c>
      <c r="K23" s="80">
        <f>SUMIFS('ноябрь 2024'!$G$5:$G$2220,'ноябрь 2024'!$D$5:$D$2220,$B23,'ноябрь 2024'!$J$5:$J$2220,K$1)</f>
        <v>0</v>
      </c>
      <c r="L23" s="80">
        <f>SUMIFS('ноябрь 2024'!$G$5:$G$2220,'ноябрь 2024'!$D$5:$D$2220,$B23,'ноябрь 2024'!$J$5:$J$2220,L$1)</f>
        <v>0</v>
      </c>
      <c r="M23" s="80">
        <f>SUMIFS('ноябрь 2024'!$G$5:$G$2220,'ноябрь 2024'!$D$5:$D$2220,$B23,'ноябрь 2024'!$J$5:$J$2220,M$1)</f>
        <v>0</v>
      </c>
      <c r="N23" s="80">
        <f>SUMIFS('ноябрь 2024'!$G$5:$G$2220,'ноябрь 2024'!$D$5:$D$2220,$B23,'ноябрь 2024'!$J$5:$J$2220,N$1)</f>
        <v>0</v>
      </c>
      <c r="O23" s="80">
        <f>SUMIFS('ноябрь 2024'!$G$5:$G$2220,'ноябрь 2024'!$D$5:$D$2220,$B23,'ноябрь 2024'!$J$5:$J$2220,O$1)</f>
        <v>0</v>
      </c>
      <c r="P23" s="80">
        <f>SUMIFS('ноябрь 2024'!$G$5:$G$2220,'ноябрь 2024'!$D$5:$D$2220,$B23,'ноябрь 2024'!$J$5:$J$2220,P$1)</f>
        <v>0</v>
      </c>
      <c r="Q23" s="80">
        <f>SUMIFS('ноябрь 2024'!$G$5:$G$2220,'ноябрь 2024'!$D$5:$D$2220,$B23,'ноябрь 2024'!$J$5:$J$2220,Q$1)</f>
        <v>0</v>
      </c>
      <c r="R23" s="80">
        <f>SUMIFS('ноябрь 2024'!$G$5:$G$2220,'ноябрь 2024'!$D$5:$D$2220,$B23,'ноябрь 2024'!$J$5:$J$2220,R$1)</f>
        <v>0</v>
      </c>
      <c r="S23" s="80">
        <f>SUMIFS('ноябрь 2024'!$G$5:$G$2220,'ноябрь 2024'!$D$5:$D$2220,$B23,'ноябрь 2024'!$J$5:$J$2220,S$1)</f>
        <v>0</v>
      </c>
      <c r="T23" s="80">
        <f>SUMIFS('ноябрь 2024'!$G$5:$G$2220,'ноябрь 2024'!$D$5:$D$2220,$B23,'ноябрь 2024'!$J$5:$J$2220,T$1)</f>
        <v>0</v>
      </c>
      <c r="U23" s="80">
        <f>SUMIFS('ноябрь 2024'!$G$5:$G$2220,'ноябрь 2024'!$D$5:$D$2220,$B23,'ноябрь 2024'!$J$5:$J$2220,U$1)</f>
        <v>0</v>
      </c>
      <c r="V23" s="80">
        <f>SUMIFS('ноябрь 2024'!$G$5:$G$2220,'ноябрь 2024'!$D$5:$D$2220,$B23,'ноябрь 2024'!$J$5:$J$2220,V$1)</f>
        <v>0</v>
      </c>
      <c r="W23" s="80">
        <f>SUMIFS('ноябрь 2024'!$G$5:$G$2220,'ноябрь 2024'!$D$5:$D$2220,$B23,'ноябрь 2024'!$J$5:$J$2220,W$1)</f>
        <v>0</v>
      </c>
      <c r="X23" s="80">
        <f>SUMIFS('ноябрь 2024'!$G$5:$G$2220,'ноябрь 2024'!$D$5:$D$2220,$B23,'ноябрь 2024'!$J$5:$J$2220,X$1)</f>
        <v>0</v>
      </c>
      <c r="Y23" s="80">
        <f>SUMIFS('ноябрь 2024'!$G$5:$G$2220,'ноябрь 2024'!$D$5:$D$2220,$B23,'ноябрь 2024'!$J$5:$J$2220,Y$1)</f>
        <v>0</v>
      </c>
      <c r="Z23" s="80">
        <f>SUMIFS('ноябрь 2024'!$G$5:$G$2220,'ноябрь 2024'!$D$5:$D$2220,$B23,'ноябрь 2024'!$J$5:$J$2220,Z$1)</f>
        <v>0</v>
      </c>
      <c r="AA23" s="80">
        <f>SUMIFS('ноябрь 2024'!$G$5:$G$2220,'ноябрь 2024'!$D$5:$D$2220,$B23,'ноябрь 2024'!$J$5:$J$2220,AA$1)</f>
        <v>0</v>
      </c>
      <c r="AB23" s="80">
        <f>SUMIFS('ноябрь 2024'!$G$5:$G$2220,'ноябрь 2024'!$D$5:$D$2220,$B23,'ноябрь 2024'!$J$5:$J$2220,AB$1)</f>
        <v>0</v>
      </c>
      <c r="AC23" s="80">
        <f>SUMIFS('ноябрь 2024'!$G$5:$G$2220,'ноябрь 2024'!$D$5:$D$2220,$B23,'ноябрь 2024'!$J$5:$J$2220,AC$1)</f>
        <v>0</v>
      </c>
      <c r="AD23" s="80">
        <f>SUMIFS('ноябрь 2024'!$G$5:$G$2220,'ноябрь 2024'!$D$5:$D$2220,$B23,'ноябрь 2024'!$J$5:$J$2220,AD$1)</f>
        <v>0</v>
      </c>
      <c r="AE23" s="80">
        <f>SUMIFS('ноябрь 2024'!$G$5:$G$2220,'ноябрь 2024'!$D$5:$D$2220,$B23,'ноябрь 2024'!$J$5:$J$2220,AE$1)</f>
        <v>0</v>
      </c>
      <c r="AF23" s="80">
        <f>SUMIFS('ноябрь 2024'!$G$5:$G$2220,'ноябрь 2024'!$D$5:$D$2220,$B23,'ноябрь 2024'!$J$5:$J$2220,AF$1)</f>
        <v>0</v>
      </c>
      <c r="AG23" s="80">
        <f>SUMIFS('ноябрь 2024'!$G$5:$G$2220,'ноябрь 2024'!$D$5:$D$2220,$B23,'ноябрь 2024'!$J$5:$J$2220,AG$1)</f>
        <v>0</v>
      </c>
      <c r="AH23" s="80">
        <f>SUMIFS('ноябрь 2024'!$G$5:$G$2220,'ноябрь 2024'!$D$5:$D$2220,$B23,'ноябрь 2024'!$J$5:$J$2220,AH$1)</f>
        <v>0</v>
      </c>
      <c r="AI23" s="21">
        <f t="shared" si="1"/>
        <v>0</v>
      </c>
    </row>
    <row r="24" spans="2:35" ht="15" customHeight="1" x14ac:dyDescent="0.25">
      <c r="B24" s="84" t="s">
        <v>312</v>
      </c>
      <c r="C24" s="82">
        <v>25</v>
      </c>
      <c r="D24" s="80">
        <f>SUMIFS('ноябрь 2024'!$G$5:$G$2220,'ноябрь 2024'!$D$5:$D$2220,$B24,'ноябрь 2024'!$J$5:$J$2220,D$1)</f>
        <v>0</v>
      </c>
      <c r="E24" s="80">
        <f>SUMIFS('ноябрь 2024'!$G$5:$G$2220,'ноябрь 2024'!$D$5:$D$2220,$B24,'ноябрь 2024'!$J$5:$J$2220,E$1)</f>
        <v>0</v>
      </c>
      <c r="F24" s="80">
        <f>SUMIFS('ноябрь 2024'!$G$5:$G$2220,'ноябрь 2024'!$D$5:$D$2220,$B24,'ноябрь 2024'!$J$5:$J$2220,F$1)</f>
        <v>0</v>
      </c>
      <c r="G24" s="80">
        <f>SUMIFS('ноябрь 2024'!$G$5:$G$2220,'ноябрь 2024'!$D$5:$D$2220,$B24,'ноябрь 2024'!$J$5:$J$2220,G$1)</f>
        <v>0</v>
      </c>
      <c r="H24" s="80">
        <f>SUMIFS('ноябрь 2024'!$G$5:$G$2220,'ноябрь 2024'!$D$5:$D$2220,$B24,'ноябрь 2024'!$J$5:$J$2220,H$1)</f>
        <v>0</v>
      </c>
      <c r="I24" s="80">
        <f>SUMIFS('ноябрь 2024'!$G$5:$G$2220,'ноябрь 2024'!$D$5:$D$2220,$B24,'ноябрь 2024'!$J$5:$J$2220,I$1)</f>
        <v>0</v>
      </c>
      <c r="J24" s="80">
        <f>SUMIFS('ноябрь 2024'!$G$5:$G$2220,'ноябрь 2024'!$D$5:$D$2220,$B24,'ноябрь 2024'!$J$5:$J$2220,J$1)</f>
        <v>0</v>
      </c>
      <c r="K24" s="80">
        <f>SUMIFS('ноябрь 2024'!$G$5:$G$2220,'ноябрь 2024'!$D$5:$D$2220,$B24,'ноябрь 2024'!$J$5:$J$2220,K$1)</f>
        <v>0</v>
      </c>
      <c r="L24" s="80">
        <f>SUMIFS('ноябрь 2024'!$G$5:$G$2220,'ноябрь 2024'!$D$5:$D$2220,$B24,'ноябрь 2024'!$J$5:$J$2220,L$1)</f>
        <v>0</v>
      </c>
      <c r="M24" s="80">
        <f>SUMIFS('ноябрь 2024'!$G$5:$G$2220,'ноябрь 2024'!$D$5:$D$2220,$B24,'ноябрь 2024'!$J$5:$J$2220,M$1)</f>
        <v>0</v>
      </c>
      <c r="N24" s="80">
        <f>SUMIFS('ноябрь 2024'!$G$5:$G$2220,'ноябрь 2024'!$D$5:$D$2220,$B24,'ноябрь 2024'!$J$5:$J$2220,N$1)</f>
        <v>0</v>
      </c>
      <c r="O24" s="80">
        <f>SUMIFS('ноябрь 2024'!$G$5:$G$2220,'ноябрь 2024'!$D$5:$D$2220,$B24,'ноябрь 2024'!$J$5:$J$2220,O$1)</f>
        <v>0</v>
      </c>
      <c r="P24" s="80">
        <f>SUMIFS('ноябрь 2024'!$G$5:$G$2220,'ноябрь 2024'!$D$5:$D$2220,$B24,'ноябрь 2024'!$J$5:$J$2220,P$1)</f>
        <v>0</v>
      </c>
      <c r="Q24" s="80">
        <f>SUMIFS('ноябрь 2024'!$G$5:$G$2220,'ноябрь 2024'!$D$5:$D$2220,$B24,'ноябрь 2024'!$J$5:$J$2220,Q$1)</f>
        <v>0</v>
      </c>
      <c r="R24" s="80">
        <f>SUMIFS('ноябрь 2024'!$G$5:$G$2220,'ноябрь 2024'!$D$5:$D$2220,$B24,'ноябрь 2024'!$J$5:$J$2220,R$1)</f>
        <v>0</v>
      </c>
      <c r="S24" s="80">
        <f>SUMIFS('ноябрь 2024'!$G$5:$G$2220,'ноябрь 2024'!$D$5:$D$2220,$B24,'ноябрь 2024'!$J$5:$J$2220,S$1)</f>
        <v>0</v>
      </c>
      <c r="T24" s="80">
        <f>SUMIFS('ноябрь 2024'!$G$5:$G$2220,'ноябрь 2024'!$D$5:$D$2220,$B24,'ноябрь 2024'!$J$5:$J$2220,T$1)</f>
        <v>0</v>
      </c>
      <c r="U24" s="80">
        <f>SUMIFS('ноябрь 2024'!$G$5:$G$2220,'ноябрь 2024'!$D$5:$D$2220,$B24,'ноябрь 2024'!$J$5:$J$2220,U$1)</f>
        <v>0</v>
      </c>
      <c r="V24" s="80">
        <f>SUMIFS('ноябрь 2024'!$G$5:$G$2220,'ноябрь 2024'!$D$5:$D$2220,$B24,'ноябрь 2024'!$J$5:$J$2220,V$1)</f>
        <v>0</v>
      </c>
      <c r="W24" s="80">
        <f>SUMIFS('ноябрь 2024'!$G$5:$G$2220,'ноябрь 2024'!$D$5:$D$2220,$B24,'ноябрь 2024'!$J$5:$J$2220,W$1)</f>
        <v>0</v>
      </c>
      <c r="X24" s="80">
        <f>SUMIFS('ноябрь 2024'!$G$5:$G$2220,'ноябрь 2024'!$D$5:$D$2220,$B24,'ноябрь 2024'!$J$5:$J$2220,X$1)</f>
        <v>0</v>
      </c>
      <c r="Y24" s="80">
        <f>SUMIFS('ноябрь 2024'!$G$5:$G$2220,'ноябрь 2024'!$D$5:$D$2220,$B24,'ноябрь 2024'!$J$5:$J$2220,Y$1)</f>
        <v>0</v>
      </c>
      <c r="Z24" s="80">
        <f>SUMIFS('ноябрь 2024'!$G$5:$G$2220,'ноябрь 2024'!$D$5:$D$2220,$B24,'ноябрь 2024'!$J$5:$J$2220,Z$1)</f>
        <v>0</v>
      </c>
      <c r="AA24" s="80">
        <f>SUMIFS('ноябрь 2024'!$G$5:$G$2220,'ноябрь 2024'!$D$5:$D$2220,$B24,'ноябрь 2024'!$J$5:$J$2220,AA$1)</f>
        <v>0</v>
      </c>
      <c r="AB24" s="80">
        <f>SUMIFS('ноябрь 2024'!$G$5:$G$2220,'ноябрь 2024'!$D$5:$D$2220,$B24,'ноябрь 2024'!$J$5:$J$2220,AB$1)</f>
        <v>0</v>
      </c>
      <c r="AC24" s="80">
        <f>SUMIFS('ноябрь 2024'!$G$5:$G$2220,'ноябрь 2024'!$D$5:$D$2220,$B24,'ноябрь 2024'!$J$5:$J$2220,AC$1)</f>
        <v>0</v>
      </c>
      <c r="AD24" s="80">
        <f>SUMIFS('ноябрь 2024'!$G$5:$G$2220,'ноябрь 2024'!$D$5:$D$2220,$B24,'ноябрь 2024'!$J$5:$J$2220,AD$1)</f>
        <v>0</v>
      </c>
      <c r="AE24" s="80">
        <f>SUMIFS('ноябрь 2024'!$G$5:$G$2220,'ноябрь 2024'!$D$5:$D$2220,$B24,'ноябрь 2024'!$J$5:$J$2220,AE$1)</f>
        <v>0</v>
      </c>
      <c r="AF24" s="80">
        <f>SUMIFS('ноябрь 2024'!$G$5:$G$2220,'ноябрь 2024'!$D$5:$D$2220,$B24,'ноябрь 2024'!$J$5:$J$2220,AF$1)</f>
        <v>0</v>
      </c>
      <c r="AG24" s="80">
        <f>SUMIFS('ноябрь 2024'!$G$5:$G$2220,'ноябрь 2024'!$D$5:$D$2220,$B24,'ноябрь 2024'!$J$5:$J$2220,AG$1)</f>
        <v>0</v>
      </c>
      <c r="AH24" s="80">
        <f>SUMIFS('ноябрь 2024'!$G$5:$G$2220,'ноябрь 2024'!$D$5:$D$2220,$B24,'ноябрь 2024'!$J$5:$J$2220,AH$1)</f>
        <v>0</v>
      </c>
      <c r="AI24" s="21">
        <f t="shared" si="1"/>
        <v>0</v>
      </c>
    </row>
    <row r="25" spans="2:35" ht="15" customHeight="1" x14ac:dyDescent="0.25">
      <c r="B25" s="84" t="s">
        <v>313</v>
      </c>
      <c r="C25" s="82">
        <v>25</v>
      </c>
      <c r="D25" s="80">
        <f>SUMIFS('ноябрь 2024'!$G$5:$G$2220,'ноябрь 2024'!$D$5:$D$2220,$B25,'ноябрь 2024'!$J$5:$J$2220,D$1)</f>
        <v>0</v>
      </c>
      <c r="E25" s="80">
        <f>SUMIFS('ноябрь 2024'!$G$5:$G$2220,'ноябрь 2024'!$D$5:$D$2220,$B25,'ноябрь 2024'!$J$5:$J$2220,E$1)</f>
        <v>0</v>
      </c>
      <c r="F25" s="80">
        <f>SUMIFS('ноябрь 2024'!$G$5:$G$2220,'ноябрь 2024'!$D$5:$D$2220,$B25,'ноябрь 2024'!$J$5:$J$2220,F$1)</f>
        <v>0</v>
      </c>
      <c r="G25" s="80">
        <f>SUMIFS('ноябрь 2024'!$G$5:$G$2220,'ноябрь 2024'!$D$5:$D$2220,$B25,'ноябрь 2024'!$J$5:$J$2220,G$1)</f>
        <v>0</v>
      </c>
      <c r="H25" s="80">
        <f>SUMIFS('ноябрь 2024'!$G$5:$G$2220,'ноябрь 2024'!$D$5:$D$2220,$B25,'ноябрь 2024'!$J$5:$J$2220,H$1)</f>
        <v>0</v>
      </c>
      <c r="I25" s="80">
        <f>SUMIFS('ноябрь 2024'!$G$5:$G$2220,'ноябрь 2024'!$D$5:$D$2220,$B25,'ноябрь 2024'!$J$5:$J$2220,I$1)</f>
        <v>0</v>
      </c>
      <c r="J25" s="80">
        <f>SUMIFS('ноябрь 2024'!$G$5:$G$2220,'ноябрь 2024'!$D$5:$D$2220,$B25,'ноябрь 2024'!$J$5:$J$2220,J$1)</f>
        <v>0</v>
      </c>
      <c r="K25" s="80">
        <f>SUMIFS('ноябрь 2024'!$G$5:$G$2220,'ноябрь 2024'!$D$5:$D$2220,$B25,'ноябрь 2024'!$J$5:$J$2220,K$1)</f>
        <v>0</v>
      </c>
      <c r="L25" s="80">
        <f>SUMIFS('ноябрь 2024'!$G$5:$G$2220,'ноябрь 2024'!$D$5:$D$2220,$B25,'ноябрь 2024'!$J$5:$J$2220,L$1)</f>
        <v>0</v>
      </c>
      <c r="M25" s="80">
        <f>SUMIFS('ноябрь 2024'!$G$5:$G$2220,'ноябрь 2024'!$D$5:$D$2220,$B25,'ноябрь 2024'!$J$5:$J$2220,M$1)</f>
        <v>0</v>
      </c>
      <c r="N25" s="80">
        <f>SUMIFS('ноябрь 2024'!$G$5:$G$2220,'ноябрь 2024'!$D$5:$D$2220,$B25,'ноябрь 2024'!$J$5:$J$2220,N$1)</f>
        <v>0</v>
      </c>
      <c r="O25" s="80">
        <f>SUMIFS('ноябрь 2024'!$G$5:$G$2220,'ноябрь 2024'!$D$5:$D$2220,$B25,'ноябрь 2024'!$J$5:$J$2220,O$1)</f>
        <v>0</v>
      </c>
      <c r="P25" s="80">
        <f>SUMIFS('ноябрь 2024'!$G$5:$G$2220,'ноябрь 2024'!$D$5:$D$2220,$B25,'ноябрь 2024'!$J$5:$J$2220,P$1)</f>
        <v>0</v>
      </c>
      <c r="Q25" s="80">
        <f>SUMIFS('ноябрь 2024'!$G$5:$G$2220,'ноябрь 2024'!$D$5:$D$2220,$B25,'ноябрь 2024'!$J$5:$J$2220,Q$1)</f>
        <v>0</v>
      </c>
      <c r="R25" s="80">
        <f>SUMIFS('ноябрь 2024'!$G$5:$G$2220,'ноябрь 2024'!$D$5:$D$2220,$B25,'ноябрь 2024'!$J$5:$J$2220,R$1)</f>
        <v>0</v>
      </c>
      <c r="S25" s="80">
        <f>SUMIFS('ноябрь 2024'!$G$5:$G$2220,'ноябрь 2024'!$D$5:$D$2220,$B25,'ноябрь 2024'!$J$5:$J$2220,S$1)</f>
        <v>0</v>
      </c>
      <c r="T25" s="80">
        <f>SUMIFS('ноябрь 2024'!$G$5:$G$2220,'ноябрь 2024'!$D$5:$D$2220,$B25,'ноябрь 2024'!$J$5:$J$2220,T$1)</f>
        <v>0</v>
      </c>
      <c r="U25" s="80">
        <f>SUMIFS('ноябрь 2024'!$G$5:$G$2220,'ноябрь 2024'!$D$5:$D$2220,$B25,'ноябрь 2024'!$J$5:$J$2220,U$1)</f>
        <v>0</v>
      </c>
      <c r="V25" s="80">
        <f>SUMIFS('ноябрь 2024'!$G$5:$G$2220,'ноябрь 2024'!$D$5:$D$2220,$B25,'ноябрь 2024'!$J$5:$J$2220,V$1)</f>
        <v>0</v>
      </c>
      <c r="W25" s="80">
        <f>SUMIFS('ноябрь 2024'!$G$5:$G$2220,'ноябрь 2024'!$D$5:$D$2220,$B25,'ноябрь 2024'!$J$5:$J$2220,W$1)</f>
        <v>0</v>
      </c>
      <c r="X25" s="80">
        <f>SUMIFS('ноябрь 2024'!$G$5:$G$2220,'ноябрь 2024'!$D$5:$D$2220,$B25,'ноябрь 2024'!$J$5:$J$2220,X$1)</f>
        <v>0</v>
      </c>
      <c r="Y25" s="80">
        <f>SUMIFS('ноябрь 2024'!$G$5:$G$2220,'ноябрь 2024'!$D$5:$D$2220,$B25,'ноябрь 2024'!$J$5:$J$2220,Y$1)</f>
        <v>0</v>
      </c>
      <c r="Z25" s="80">
        <f>SUMIFS('ноябрь 2024'!$G$5:$G$2220,'ноябрь 2024'!$D$5:$D$2220,$B25,'ноябрь 2024'!$J$5:$J$2220,Z$1)</f>
        <v>0</v>
      </c>
      <c r="AA25" s="80">
        <f>SUMIFS('ноябрь 2024'!$G$5:$G$2220,'ноябрь 2024'!$D$5:$D$2220,$B25,'ноябрь 2024'!$J$5:$J$2220,AA$1)</f>
        <v>0</v>
      </c>
      <c r="AB25" s="80">
        <f>SUMIFS('ноябрь 2024'!$G$5:$G$2220,'ноябрь 2024'!$D$5:$D$2220,$B25,'ноябрь 2024'!$J$5:$J$2220,AB$1)</f>
        <v>0</v>
      </c>
      <c r="AC25" s="80">
        <f>SUMIFS('ноябрь 2024'!$G$5:$G$2220,'ноябрь 2024'!$D$5:$D$2220,$B25,'ноябрь 2024'!$J$5:$J$2220,AC$1)</f>
        <v>0</v>
      </c>
      <c r="AD25" s="80">
        <f>SUMIFS('ноябрь 2024'!$G$5:$G$2220,'ноябрь 2024'!$D$5:$D$2220,$B25,'ноябрь 2024'!$J$5:$J$2220,AD$1)</f>
        <v>0</v>
      </c>
      <c r="AE25" s="80">
        <f>SUMIFS('ноябрь 2024'!$G$5:$G$2220,'ноябрь 2024'!$D$5:$D$2220,$B25,'ноябрь 2024'!$J$5:$J$2220,AE$1)</f>
        <v>0</v>
      </c>
      <c r="AF25" s="80">
        <f>SUMIFS('ноябрь 2024'!$G$5:$G$2220,'ноябрь 2024'!$D$5:$D$2220,$B25,'ноябрь 2024'!$J$5:$J$2220,AF$1)</f>
        <v>0</v>
      </c>
      <c r="AG25" s="80">
        <f>SUMIFS('ноябрь 2024'!$G$5:$G$2220,'ноябрь 2024'!$D$5:$D$2220,$B25,'ноябрь 2024'!$J$5:$J$2220,AG$1)</f>
        <v>0</v>
      </c>
      <c r="AH25" s="80">
        <f>SUMIFS('ноябрь 2024'!$G$5:$G$2220,'ноябрь 2024'!$D$5:$D$2220,$B25,'ноябрь 2024'!$J$5:$J$2220,AH$1)</f>
        <v>0</v>
      </c>
      <c r="AI25" s="21">
        <f t="shared" si="1"/>
        <v>0</v>
      </c>
    </row>
    <row r="26" spans="2:35" ht="15" customHeight="1" x14ac:dyDescent="0.25">
      <c r="B26" s="84" t="s">
        <v>314</v>
      </c>
      <c r="C26" s="82">
        <v>25</v>
      </c>
      <c r="D26" s="80">
        <f>SUMIFS('ноябрь 2024'!$G$5:$G$2220,'ноябрь 2024'!$D$5:$D$2220,$B26,'ноябрь 2024'!$J$5:$J$2220,D$1)</f>
        <v>0</v>
      </c>
      <c r="E26" s="80">
        <f>SUMIFS('ноябрь 2024'!$G$5:$G$2220,'ноябрь 2024'!$D$5:$D$2220,$B26,'ноябрь 2024'!$J$5:$J$2220,E$1)</f>
        <v>0</v>
      </c>
      <c r="F26" s="80">
        <f>SUMIFS('ноябрь 2024'!$G$5:$G$2220,'ноябрь 2024'!$D$5:$D$2220,$B26,'ноябрь 2024'!$J$5:$J$2220,F$1)</f>
        <v>0</v>
      </c>
      <c r="G26" s="80">
        <f>SUMIFS('ноябрь 2024'!$G$5:$G$2220,'ноябрь 2024'!$D$5:$D$2220,$B26,'ноябрь 2024'!$J$5:$J$2220,G$1)</f>
        <v>0</v>
      </c>
      <c r="H26" s="80">
        <f>SUMIFS('ноябрь 2024'!$G$5:$G$2220,'ноябрь 2024'!$D$5:$D$2220,$B26,'ноябрь 2024'!$J$5:$J$2220,H$1)</f>
        <v>0</v>
      </c>
      <c r="I26" s="80">
        <f>SUMIFS('ноябрь 2024'!$G$5:$G$2220,'ноябрь 2024'!$D$5:$D$2220,$B26,'ноябрь 2024'!$J$5:$J$2220,I$1)</f>
        <v>0</v>
      </c>
      <c r="J26" s="80">
        <f>SUMIFS('ноябрь 2024'!$G$5:$G$2220,'ноябрь 2024'!$D$5:$D$2220,$B26,'ноябрь 2024'!$J$5:$J$2220,J$1)</f>
        <v>0</v>
      </c>
      <c r="K26" s="80">
        <f>SUMIFS('ноябрь 2024'!$G$5:$G$2220,'ноябрь 2024'!$D$5:$D$2220,$B26,'ноябрь 2024'!$J$5:$J$2220,K$1)</f>
        <v>0</v>
      </c>
      <c r="L26" s="80">
        <f>SUMIFS('ноябрь 2024'!$G$5:$G$2220,'ноябрь 2024'!$D$5:$D$2220,$B26,'ноябрь 2024'!$J$5:$J$2220,L$1)</f>
        <v>0</v>
      </c>
      <c r="M26" s="80">
        <f>SUMIFS('ноябрь 2024'!$G$5:$G$2220,'ноябрь 2024'!$D$5:$D$2220,$B26,'ноябрь 2024'!$J$5:$J$2220,M$1)</f>
        <v>0</v>
      </c>
      <c r="N26" s="80">
        <f>SUMIFS('ноябрь 2024'!$G$5:$G$2220,'ноябрь 2024'!$D$5:$D$2220,$B26,'ноябрь 2024'!$J$5:$J$2220,N$1)</f>
        <v>0</v>
      </c>
      <c r="O26" s="80">
        <f>SUMIFS('ноябрь 2024'!$G$5:$G$2220,'ноябрь 2024'!$D$5:$D$2220,$B26,'ноябрь 2024'!$J$5:$J$2220,O$1)</f>
        <v>0</v>
      </c>
      <c r="P26" s="80">
        <f>SUMIFS('ноябрь 2024'!$G$5:$G$2220,'ноябрь 2024'!$D$5:$D$2220,$B26,'ноябрь 2024'!$J$5:$J$2220,P$1)</f>
        <v>0</v>
      </c>
      <c r="Q26" s="80">
        <f>SUMIFS('ноябрь 2024'!$G$5:$G$2220,'ноябрь 2024'!$D$5:$D$2220,$B26,'ноябрь 2024'!$J$5:$J$2220,Q$1)</f>
        <v>0</v>
      </c>
      <c r="R26" s="80">
        <f>SUMIFS('ноябрь 2024'!$G$5:$G$2220,'ноябрь 2024'!$D$5:$D$2220,$B26,'ноябрь 2024'!$J$5:$J$2220,R$1)</f>
        <v>0</v>
      </c>
      <c r="S26" s="80">
        <f>SUMIFS('ноябрь 2024'!$G$5:$G$2220,'ноябрь 2024'!$D$5:$D$2220,$B26,'ноябрь 2024'!$J$5:$J$2220,S$1)</f>
        <v>0</v>
      </c>
      <c r="T26" s="80">
        <f>SUMIFS('ноябрь 2024'!$G$5:$G$2220,'ноябрь 2024'!$D$5:$D$2220,$B26,'ноябрь 2024'!$J$5:$J$2220,T$1)</f>
        <v>0</v>
      </c>
      <c r="U26" s="80">
        <f>SUMIFS('ноябрь 2024'!$G$5:$G$2220,'ноябрь 2024'!$D$5:$D$2220,$B26,'ноябрь 2024'!$J$5:$J$2220,U$1)</f>
        <v>0</v>
      </c>
      <c r="V26" s="80">
        <f>SUMIFS('ноябрь 2024'!$G$5:$G$2220,'ноябрь 2024'!$D$5:$D$2220,$B26,'ноябрь 2024'!$J$5:$J$2220,V$1)</f>
        <v>0</v>
      </c>
      <c r="W26" s="80">
        <f>SUMIFS('ноябрь 2024'!$G$5:$G$2220,'ноябрь 2024'!$D$5:$D$2220,$B26,'ноябрь 2024'!$J$5:$J$2220,W$1)</f>
        <v>0</v>
      </c>
      <c r="X26" s="80">
        <f>SUMIFS('ноябрь 2024'!$G$5:$G$2220,'ноябрь 2024'!$D$5:$D$2220,$B26,'ноябрь 2024'!$J$5:$J$2220,X$1)</f>
        <v>0</v>
      </c>
      <c r="Y26" s="80">
        <f>SUMIFS('ноябрь 2024'!$G$5:$G$2220,'ноябрь 2024'!$D$5:$D$2220,$B26,'ноябрь 2024'!$J$5:$J$2220,Y$1)</f>
        <v>0</v>
      </c>
      <c r="Z26" s="80">
        <f>SUMIFS('ноябрь 2024'!$G$5:$G$2220,'ноябрь 2024'!$D$5:$D$2220,$B26,'ноябрь 2024'!$J$5:$J$2220,Z$1)</f>
        <v>0</v>
      </c>
      <c r="AA26" s="80">
        <f>SUMIFS('ноябрь 2024'!$G$5:$G$2220,'ноябрь 2024'!$D$5:$D$2220,$B26,'ноябрь 2024'!$J$5:$J$2220,AA$1)</f>
        <v>0</v>
      </c>
      <c r="AB26" s="80">
        <f>SUMIFS('ноябрь 2024'!$G$5:$G$2220,'ноябрь 2024'!$D$5:$D$2220,$B26,'ноябрь 2024'!$J$5:$J$2220,AB$1)</f>
        <v>0</v>
      </c>
      <c r="AC26" s="80">
        <f>SUMIFS('ноябрь 2024'!$G$5:$G$2220,'ноябрь 2024'!$D$5:$D$2220,$B26,'ноябрь 2024'!$J$5:$J$2220,AC$1)</f>
        <v>0</v>
      </c>
      <c r="AD26" s="80">
        <f>SUMIFS('ноябрь 2024'!$G$5:$G$2220,'ноябрь 2024'!$D$5:$D$2220,$B26,'ноябрь 2024'!$J$5:$J$2220,AD$1)</f>
        <v>0</v>
      </c>
      <c r="AE26" s="80">
        <f>SUMIFS('ноябрь 2024'!$G$5:$G$2220,'ноябрь 2024'!$D$5:$D$2220,$B26,'ноябрь 2024'!$J$5:$J$2220,AE$1)</f>
        <v>0</v>
      </c>
      <c r="AF26" s="80">
        <f>SUMIFS('ноябрь 2024'!$G$5:$G$2220,'ноябрь 2024'!$D$5:$D$2220,$B26,'ноябрь 2024'!$J$5:$J$2220,AF$1)</f>
        <v>0</v>
      </c>
      <c r="AG26" s="80">
        <f>SUMIFS('ноябрь 2024'!$G$5:$G$2220,'ноябрь 2024'!$D$5:$D$2220,$B26,'ноябрь 2024'!$J$5:$J$2220,AG$1)</f>
        <v>0</v>
      </c>
      <c r="AH26" s="80">
        <f>SUMIFS('ноябрь 2024'!$G$5:$G$2220,'ноябрь 2024'!$D$5:$D$2220,$B26,'ноябрь 2024'!$J$5:$J$2220,AH$1)</f>
        <v>0</v>
      </c>
      <c r="AI26" s="21">
        <f t="shared" si="1"/>
        <v>0</v>
      </c>
    </row>
    <row r="27" spans="2:35" ht="15" customHeight="1" x14ac:dyDescent="0.25">
      <c r="B27" s="84" t="s">
        <v>315</v>
      </c>
      <c r="C27" s="82">
        <v>25</v>
      </c>
      <c r="D27" s="80">
        <f>SUMIFS('ноябрь 2024'!$G$5:$G$2220,'ноябрь 2024'!$D$5:$D$2220,$B27,'ноябрь 2024'!$J$5:$J$2220,D$1)</f>
        <v>0</v>
      </c>
      <c r="E27" s="80">
        <f>SUMIFS('ноябрь 2024'!$G$5:$G$2220,'ноябрь 2024'!$D$5:$D$2220,$B27,'ноябрь 2024'!$J$5:$J$2220,E$1)</f>
        <v>0</v>
      </c>
      <c r="F27" s="80">
        <f>SUMIFS('ноябрь 2024'!$G$5:$G$2220,'ноябрь 2024'!$D$5:$D$2220,$B27,'ноябрь 2024'!$J$5:$J$2220,F$1)</f>
        <v>0</v>
      </c>
      <c r="G27" s="80">
        <f>SUMIFS('ноябрь 2024'!$G$5:$G$2220,'ноябрь 2024'!$D$5:$D$2220,$B27,'ноябрь 2024'!$J$5:$J$2220,G$1)</f>
        <v>0</v>
      </c>
      <c r="H27" s="80">
        <f>SUMIFS('ноябрь 2024'!$G$5:$G$2220,'ноябрь 2024'!$D$5:$D$2220,$B27,'ноябрь 2024'!$J$5:$J$2220,H$1)</f>
        <v>0</v>
      </c>
      <c r="I27" s="80">
        <f>SUMIFS('ноябрь 2024'!$G$5:$G$2220,'ноябрь 2024'!$D$5:$D$2220,$B27,'ноябрь 2024'!$J$5:$J$2220,I$1)</f>
        <v>0</v>
      </c>
      <c r="J27" s="80">
        <f>SUMIFS('ноябрь 2024'!$G$5:$G$2220,'ноябрь 2024'!$D$5:$D$2220,$B27,'ноябрь 2024'!$J$5:$J$2220,J$1)</f>
        <v>0</v>
      </c>
      <c r="K27" s="80">
        <f>SUMIFS('ноябрь 2024'!$G$5:$G$2220,'ноябрь 2024'!$D$5:$D$2220,$B27,'ноябрь 2024'!$J$5:$J$2220,K$1)</f>
        <v>0</v>
      </c>
      <c r="L27" s="80">
        <f>SUMIFS('ноябрь 2024'!$G$5:$G$2220,'ноябрь 2024'!$D$5:$D$2220,$B27,'ноябрь 2024'!$J$5:$J$2220,L$1)</f>
        <v>0</v>
      </c>
      <c r="M27" s="80">
        <f>SUMIFS('ноябрь 2024'!$G$5:$G$2220,'ноябрь 2024'!$D$5:$D$2220,$B27,'ноябрь 2024'!$J$5:$J$2220,M$1)</f>
        <v>0</v>
      </c>
      <c r="N27" s="80">
        <f>SUMIFS('ноябрь 2024'!$G$5:$G$2220,'ноябрь 2024'!$D$5:$D$2220,$B27,'ноябрь 2024'!$J$5:$J$2220,N$1)</f>
        <v>0</v>
      </c>
      <c r="O27" s="80">
        <f>SUMIFS('ноябрь 2024'!$G$5:$G$2220,'ноябрь 2024'!$D$5:$D$2220,$B27,'ноябрь 2024'!$J$5:$J$2220,O$1)</f>
        <v>0</v>
      </c>
      <c r="P27" s="80">
        <f>SUMIFS('ноябрь 2024'!$G$5:$G$2220,'ноябрь 2024'!$D$5:$D$2220,$B27,'ноябрь 2024'!$J$5:$J$2220,P$1)</f>
        <v>0</v>
      </c>
      <c r="Q27" s="80">
        <f>SUMIFS('ноябрь 2024'!$G$5:$G$2220,'ноябрь 2024'!$D$5:$D$2220,$B27,'ноябрь 2024'!$J$5:$J$2220,Q$1)</f>
        <v>0</v>
      </c>
      <c r="R27" s="80">
        <f>SUMIFS('ноябрь 2024'!$G$5:$G$2220,'ноябрь 2024'!$D$5:$D$2220,$B27,'ноябрь 2024'!$J$5:$J$2220,R$1)</f>
        <v>0</v>
      </c>
      <c r="S27" s="80">
        <f>SUMIFS('ноябрь 2024'!$G$5:$G$2220,'ноябрь 2024'!$D$5:$D$2220,$B27,'ноябрь 2024'!$J$5:$J$2220,S$1)</f>
        <v>0</v>
      </c>
      <c r="T27" s="80">
        <f>SUMIFS('ноябрь 2024'!$G$5:$G$2220,'ноябрь 2024'!$D$5:$D$2220,$B27,'ноябрь 2024'!$J$5:$J$2220,T$1)</f>
        <v>0</v>
      </c>
      <c r="U27" s="80">
        <f>SUMIFS('ноябрь 2024'!$G$5:$G$2220,'ноябрь 2024'!$D$5:$D$2220,$B27,'ноябрь 2024'!$J$5:$J$2220,U$1)</f>
        <v>0</v>
      </c>
      <c r="V27" s="80">
        <f>SUMIFS('ноябрь 2024'!$G$5:$G$2220,'ноябрь 2024'!$D$5:$D$2220,$B27,'ноябрь 2024'!$J$5:$J$2220,V$1)</f>
        <v>0</v>
      </c>
      <c r="W27" s="80">
        <f>SUMIFS('ноябрь 2024'!$G$5:$G$2220,'ноябрь 2024'!$D$5:$D$2220,$B27,'ноябрь 2024'!$J$5:$J$2220,W$1)</f>
        <v>0</v>
      </c>
      <c r="X27" s="80">
        <f>SUMIFS('ноябрь 2024'!$G$5:$G$2220,'ноябрь 2024'!$D$5:$D$2220,$B27,'ноябрь 2024'!$J$5:$J$2220,X$1)</f>
        <v>0</v>
      </c>
      <c r="Y27" s="80">
        <f>SUMIFS('ноябрь 2024'!$G$5:$G$2220,'ноябрь 2024'!$D$5:$D$2220,$B27,'ноябрь 2024'!$J$5:$J$2220,Y$1)</f>
        <v>0</v>
      </c>
      <c r="Z27" s="80">
        <f>SUMIFS('ноябрь 2024'!$G$5:$G$2220,'ноябрь 2024'!$D$5:$D$2220,$B27,'ноябрь 2024'!$J$5:$J$2220,Z$1)</f>
        <v>0</v>
      </c>
      <c r="AA27" s="80">
        <f>SUMIFS('ноябрь 2024'!$G$5:$G$2220,'ноябрь 2024'!$D$5:$D$2220,$B27,'ноябрь 2024'!$J$5:$J$2220,AA$1)</f>
        <v>0</v>
      </c>
      <c r="AB27" s="80">
        <f>SUMIFS('ноябрь 2024'!$G$5:$G$2220,'ноябрь 2024'!$D$5:$D$2220,$B27,'ноябрь 2024'!$J$5:$J$2220,AB$1)</f>
        <v>0</v>
      </c>
      <c r="AC27" s="80">
        <f>SUMIFS('ноябрь 2024'!$G$5:$G$2220,'ноябрь 2024'!$D$5:$D$2220,$B27,'ноябрь 2024'!$J$5:$J$2220,AC$1)</f>
        <v>0</v>
      </c>
      <c r="AD27" s="80">
        <f>SUMIFS('ноябрь 2024'!$G$5:$G$2220,'ноябрь 2024'!$D$5:$D$2220,$B27,'ноябрь 2024'!$J$5:$J$2220,AD$1)</f>
        <v>0</v>
      </c>
      <c r="AE27" s="80">
        <f>SUMIFS('ноябрь 2024'!$G$5:$G$2220,'ноябрь 2024'!$D$5:$D$2220,$B27,'ноябрь 2024'!$J$5:$J$2220,AE$1)</f>
        <v>0</v>
      </c>
      <c r="AF27" s="80">
        <f>SUMIFS('ноябрь 2024'!$G$5:$G$2220,'ноябрь 2024'!$D$5:$D$2220,$B27,'ноябрь 2024'!$J$5:$J$2220,AF$1)</f>
        <v>0</v>
      </c>
      <c r="AG27" s="80">
        <f>SUMIFS('ноябрь 2024'!$G$5:$G$2220,'ноябрь 2024'!$D$5:$D$2220,$B27,'ноябрь 2024'!$J$5:$J$2220,AG$1)</f>
        <v>0</v>
      </c>
      <c r="AH27" s="80">
        <f>SUMIFS('ноябрь 2024'!$G$5:$G$2220,'ноябрь 2024'!$D$5:$D$2220,$B27,'ноябрь 2024'!$J$5:$J$2220,AH$1)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80">
        <f>SUMIFS('ноябрь 2024'!$G$5:$G$2220,'ноябрь 2024'!$D$5:$D$2220,$B28,'ноябрь 2024'!$J$5:$J$2220,D$1)</f>
        <v>0</v>
      </c>
      <c r="E28" s="80">
        <f>SUMIFS('ноябрь 2024'!$G$5:$G$2220,'ноябрь 2024'!$D$5:$D$2220,$B28,'ноябрь 2024'!$J$5:$J$2220,E$1)</f>
        <v>0</v>
      </c>
      <c r="F28" s="80">
        <f>SUMIFS('ноябрь 2024'!$G$5:$G$2220,'ноябрь 2024'!$D$5:$D$2220,$B28,'ноябрь 2024'!$J$5:$J$2220,F$1)</f>
        <v>0</v>
      </c>
      <c r="G28" s="80">
        <f>SUMIFS('ноябрь 2024'!$G$5:$G$2220,'ноябрь 2024'!$D$5:$D$2220,$B28,'ноябрь 2024'!$J$5:$J$2220,G$1)</f>
        <v>0</v>
      </c>
      <c r="H28" s="80">
        <f>SUMIFS('ноябрь 2024'!$G$5:$G$2220,'ноябрь 2024'!$D$5:$D$2220,$B28,'ноябрь 2024'!$J$5:$J$2220,H$1)</f>
        <v>0</v>
      </c>
      <c r="I28" s="80">
        <f>SUMIFS('ноябрь 2024'!$G$5:$G$2220,'ноябрь 2024'!$D$5:$D$2220,$B28,'ноябрь 2024'!$J$5:$J$2220,I$1)</f>
        <v>0</v>
      </c>
      <c r="J28" s="80">
        <f>SUMIFS('ноябрь 2024'!$G$5:$G$2220,'ноябрь 2024'!$D$5:$D$2220,$B28,'ноябрь 2024'!$J$5:$J$2220,J$1)</f>
        <v>0</v>
      </c>
      <c r="K28" s="80">
        <f>SUMIFS('ноябрь 2024'!$G$5:$G$2220,'ноябрь 2024'!$D$5:$D$2220,$B28,'ноябрь 2024'!$J$5:$J$2220,K$1)</f>
        <v>0</v>
      </c>
      <c r="L28" s="80">
        <f>SUMIFS('ноябрь 2024'!$G$5:$G$2220,'ноябрь 2024'!$D$5:$D$2220,$B28,'ноябрь 2024'!$J$5:$J$2220,L$1)</f>
        <v>0</v>
      </c>
      <c r="M28" s="80">
        <f>SUMIFS('ноябрь 2024'!$G$5:$G$2220,'ноябрь 2024'!$D$5:$D$2220,$B28,'ноябрь 2024'!$J$5:$J$2220,M$1)</f>
        <v>0</v>
      </c>
      <c r="N28" s="80">
        <f>SUMIFS('ноябрь 2024'!$G$5:$G$2220,'ноябрь 2024'!$D$5:$D$2220,$B28,'ноябрь 2024'!$J$5:$J$2220,N$1)</f>
        <v>0</v>
      </c>
      <c r="O28" s="80">
        <f>SUMIFS('ноябрь 2024'!$G$5:$G$2220,'ноябрь 2024'!$D$5:$D$2220,$B28,'ноябрь 2024'!$J$5:$J$2220,O$1)</f>
        <v>0</v>
      </c>
      <c r="P28" s="80">
        <f>SUMIFS('ноябрь 2024'!$G$5:$G$2220,'ноябрь 2024'!$D$5:$D$2220,$B28,'ноябрь 2024'!$J$5:$J$2220,P$1)</f>
        <v>0</v>
      </c>
      <c r="Q28" s="80">
        <f>SUMIFS('ноябрь 2024'!$G$5:$G$2220,'ноябрь 2024'!$D$5:$D$2220,$B28,'ноябрь 2024'!$J$5:$J$2220,Q$1)</f>
        <v>0</v>
      </c>
      <c r="R28" s="80">
        <f>SUMIFS('ноябрь 2024'!$G$5:$G$2220,'ноябрь 2024'!$D$5:$D$2220,$B28,'ноябрь 2024'!$J$5:$J$2220,R$1)</f>
        <v>0</v>
      </c>
      <c r="S28" s="80">
        <f>SUMIFS('ноябрь 2024'!$G$5:$G$2220,'ноябрь 2024'!$D$5:$D$2220,$B28,'ноябрь 2024'!$J$5:$J$2220,S$1)</f>
        <v>0</v>
      </c>
      <c r="T28" s="80">
        <f>SUMIFS('ноябрь 2024'!$G$5:$G$2220,'ноябрь 2024'!$D$5:$D$2220,$B28,'ноябрь 2024'!$J$5:$J$2220,T$1)</f>
        <v>0</v>
      </c>
      <c r="U28" s="80">
        <f>SUMIFS('ноябрь 2024'!$G$5:$G$2220,'ноябрь 2024'!$D$5:$D$2220,$B28,'ноябрь 2024'!$J$5:$J$2220,U$1)</f>
        <v>0</v>
      </c>
      <c r="V28" s="80">
        <f>SUMIFS('ноябрь 2024'!$G$5:$G$2220,'ноябрь 2024'!$D$5:$D$2220,$B28,'ноябрь 2024'!$J$5:$J$2220,V$1)</f>
        <v>0</v>
      </c>
      <c r="W28" s="80">
        <f>SUMIFS('ноябрь 2024'!$G$5:$G$2220,'ноябрь 2024'!$D$5:$D$2220,$B28,'ноябрь 2024'!$J$5:$J$2220,W$1)</f>
        <v>0</v>
      </c>
      <c r="X28" s="80">
        <f>SUMIFS('ноябрь 2024'!$G$5:$G$2220,'ноябрь 2024'!$D$5:$D$2220,$B28,'ноябрь 2024'!$J$5:$J$2220,X$1)</f>
        <v>0</v>
      </c>
      <c r="Y28" s="80">
        <f>SUMIFS('ноябрь 2024'!$G$5:$G$2220,'ноябрь 2024'!$D$5:$D$2220,$B28,'ноябрь 2024'!$J$5:$J$2220,Y$1)</f>
        <v>0</v>
      </c>
      <c r="Z28" s="80">
        <f>SUMIFS('ноябрь 2024'!$G$5:$G$2220,'ноябрь 2024'!$D$5:$D$2220,$B28,'ноябрь 2024'!$J$5:$J$2220,Z$1)</f>
        <v>0</v>
      </c>
      <c r="AA28" s="80">
        <f>SUMIFS('ноябрь 2024'!$G$5:$G$2220,'ноябрь 2024'!$D$5:$D$2220,$B28,'ноябрь 2024'!$J$5:$J$2220,AA$1)</f>
        <v>0</v>
      </c>
      <c r="AB28" s="80">
        <f>SUMIFS('ноябрь 2024'!$G$5:$G$2220,'ноябрь 2024'!$D$5:$D$2220,$B28,'ноябрь 2024'!$J$5:$J$2220,AB$1)</f>
        <v>0</v>
      </c>
      <c r="AC28" s="80">
        <f>SUMIFS('ноябрь 2024'!$G$5:$G$2220,'ноябрь 2024'!$D$5:$D$2220,$B28,'ноябрь 2024'!$J$5:$J$2220,AC$1)</f>
        <v>0</v>
      </c>
      <c r="AD28" s="80">
        <f>SUMIFS('ноябрь 2024'!$G$5:$G$2220,'ноябрь 2024'!$D$5:$D$2220,$B28,'ноябрь 2024'!$J$5:$J$2220,AD$1)</f>
        <v>0</v>
      </c>
      <c r="AE28" s="80">
        <f>SUMIFS('ноябрь 2024'!$G$5:$G$2220,'ноябрь 2024'!$D$5:$D$2220,$B28,'ноябрь 2024'!$J$5:$J$2220,AE$1)</f>
        <v>0</v>
      </c>
      <c r="AF28" s="80">
        <f>SUMIFS('ноябрь 2024'!$G$5:$G$2220,'ноябрь 2024'!$D$5:$D$2220,$B28,'ноябрь 2024'!$J$5:$J$2220,AF$1)</f>
        <v>0</v>
      </c>
      <c r="AG28" s="80">
        <f>SUMIFS('ноябрь 2024'!$G$5:$G$2220,'ноябрь 2024'!$D$5:$D$2220,$B28,'ноябрь 2024'!$J$5:$J$2220,AG$1)</f>
        <v>0</v>
      </c>
      <c r="AH28" s="80">
        <f>SUMIFS('ноябрь 2024'!$G$5:$G$2220,'ноябрь 2024'!$D$5:$D$2220,$B28,'ноябрь 2024'!$J$5:$J$2220,AH$1)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80">
        <f>SUMIFS('ноябрь 2024'!$G$5:$G$2220,'ноябрь 2024'!$D$5:$D$2220,$B29,'ноябрь 2024'!$J$5:$J$2220,D$1)</f>
        <v>0</v>
      </c>
      <c r="E29" s="80">
        <f>SUMIFS('ноябрь 2024'!$G$5:$G$2220,'ноябрь 2024'!$D$5:$D$2220,$B29,'ноябрь 2024'!$J$5:$J$2220,E$1)</f>
        <v>0</v>
      </c>
      <c r="F29" s="80">
        <f>SUMIFS('ноябрь 2024'!$G$5:$G$2220,'ноябрь 2024'!$D$5:$D$2220,$B29,'ноябрь 2024'!$J$5:$J$2220,F$1)</f>
        <v>0</v>
      </c>
      <c r="G29" s="80">
        <f>SUMIFS('ноябрь 2024'!$G$5:$G$2220,'ноябрь 2024'!$D$5:$D$2220,$B29,'ноябрь 2024'!$J$5:$J$2220,G$1)</f>
        <v>0</v>
      </c>
      <c r="H29" s="80">
        <f>SUMIFS('ноябрь 2024'!$G$5:$G$2220,'ноябрь 2024'!$D$5:$D$2220,$B29,'ноябрь 2024'!$J$5:$J$2220,H$1)</f>
        <v>0</v>
      </c>
      <c r="I29" s="80">
        <f>SUMIFS('ноябрь 2024'!$G$5:$G$2220,'ноябрь 2024'!$D$5:$D$2220,$B29,'ноябрь 2024'!$J$5:$J$2220,I$1)</f>
        <v>0</v>
      </c>
      <c r="J29" s="80">
        <f>SUMIFS('ноябрь 2024'!$G$5:$G$2220,'ноябрь 2024'!$D$5:$D$2220,$B29,'ноябрь 2024'!$J$5:$J$2220,J$1)</f>
        <v>0</v>
      </c>
      <c r="K29" s="80">
        <f>SUMIFS('ноябрь 2024'!$G$5:$G$2220,'ноябрь 2024'!$D$5:$D$2220,$B29,'ноябрь 2024'!$J$5:$J$2220,K$1)</f>
        <v>0</v>
      </c>
      <c r="L29" s="80">
        <f>SUMIFS('ноябрь 2024'!$G$5:$G$2220,'ноябрь 2024'!$D$5:$D$2220,$B29,'ноябрь 2024'!$J$5:$J$2220,L$1)</f>
        <v>0</v>
      </c>
      <c r="M29" s="80">
        <f>SUMIFS('ноябрь 2024'!$G$5:$G$2220,'ноябрь 2024'!$D$5:$D$2220,$B29,'ноябрь 2024'!$J$5:$J$2220,M$1)</f>
        <v>0</v>
      </c>
      <c r="N29" s="80">
        <f>SUMIFS('ноябрь 2024'!$G$5:$G$2220,'ноябрь 2024'!$D$5:$D$2220,$B29,'ноябрь 2024'!$J$5:$J$2220,N$1)</f>
        <v>0</v>
      </c>
      <c r="O29" s="80">
        <f>SUMIFS('ноябрь 2024'!$G$5:$G$2220,'ноябрь 2024'!$D$5:$D$2220,$B29,'ноябрь 2024'!$J$5:$J$2220,O$1)</f>
        <v>0</v>
      </c>
      <c r="P29" s="80">
        <f>SUMIFS('ноябрь 2024'!$G$5:$G$2220,'ноябрь 2024'!$D$5:$D$2220,$B29,'ноябрь 2024'!$J$5:$J$2220,P$1)</f>
        <v>0</v>
      </c>
      <c r="Q29" s="80">
        <f>SUMIFS('ноябрь 2024'!$G$5:$G$2220,'ноябрь 2024'!$D$5:$D$2220,$B29,'ноябрь 2024'!$J$5:$J$2220,Q$1)</f>
        <v>0</v>
      </c>
      <c r="R29" s="80">
        <f>SUMIFS('ноябрь 2024'!$G$5:$G$2220,'ноябрь 2024'!$D$5:$D$2220,$B29,'ноябрь 2024'!$J$5:$J$2220,R$1)</f>
        <v>0</v>
      </c>
      <c r="S29" s="80">
        <f>SUMIFS('ноябрь 2024'!$G$5:$G$2220,'ноябрь 2024'!$D$5:$D$2220,$B29,'ноябрь 2024'!$J$5:$J$2220,S$1)</f>
        <v>0</v>
      </c>
      <c r="T29" s="80">
        <f>SUMIFS('ноябрь 2024'!$G$5:$G$2220,'ноябрь 2024'!$D$5:$D$2220,$B29,'ноябрь 2024'!$J$5:$J$2220,T$1)</f>
        <v>0</v>
      </c>
      <c r="U29" s="80">
        <f>SUMIFS('ноябрь 2024'!$G$5:$G$2220,'ноябрь 2024'!$D$5:$D$2220,$B29,'ноябрь 2024'!$J$5:$J$2220,U$1)</f>
        <v>0</v>
      </c>
      <c r="V29" s="80">
        <f>SUMIFS('ноябрь 2024'!$G$5:$G$2220,'ноябрь 2024'!$D$5:$D$2220,$B29,'ноябрь 2024'!$J$5:$J$2220,V$1)</f>
        <v>0</v>
      </c>
      <c r="W29" s="80">
        <f>SUMIFS('ноябрь 2024'!$G$5:$G$2220,'ноябрь 2024'!$D$5:$D$2220,$B29,'ноябрь 2024'!$J$5:$J$2220,W$1)</f>
        <v>0</v>
      </c>
      <c r="X29" s="80">
        <f>SUMIFS('ноябрь 2024'!$G$5:$G$2220,'ноябрь 2024'!$D$5:$D$2220,$B29,'ноябрь 2024'!$J$5:$J$2220,X$1)</f>
        <v>0</v>
      </c>
      <c r="Y29" s="80">
        <f>SUMIFS('ноябрь 2024'!$G$5:$G$2220,'ноябрь 2024'!$D$5:$D$2220,$B29,'ноябрь 2024'!$J$5:$J$2220,Y$1)</f>
        <v>0</v>
      </c>
      <c r="Z29" s="80">
        <f>SUMIFS('ноябрь 2024'!$G$5:$G$2220,'ноябрь 2024'!$D$5:$D$2220,$B29,'ноябрь 2024'!$J$5:$J$2220,Z$1)</f>
        <v>0</v>
      </c>
      <c r="AA29" s="80">
        <f>SUMIFS('ноябрь 2024'!$G$5:$G$2220,'ноябрь 2024'!$D$5:$D$2220,$B29,'ноябрь 2024'!$J$5:$J$2220,AA$1)</f>
        <v>0</v>
      </c>
      <c r="AB29" s="80">
        <f>SUMIFS('ноябрь 2024'!$G$5:$G$2220,'ноябрь 2024'!$D$5:$D$2220,$B29,'ноябрь 2024'!$J$5:$J$2220,AB$1)</f>
        <v>0</v>
      </c>
      <c r="AC29" s="80">
        <f>SUMIFS('ноябрь 2024'!$G$5:$G$2220,'ноябрь 2024'!$D$5:$D$2220,$B29,'ноябрь 2024'!$J$5:$J$2220,AC$1)</f>
        <v>0</v>
      </c>
      <c r="AD29" s="80">
        <f>SUMIFS('ноябрь 2024'!$G$5:$G$2220,'ноябрь 2024'!$D$5:$D$2220,$B29,'ноябрь 2024'!$J$5:$J$2220,AD$1)</f>
        <v>0</v>
      </c>
      <c r="AE29" s="80">
        <f>SUMIFS('ноябрь 2024'!$G$5:$G$2220,'ноябрь 2024'!$D$5:$D$2220,$B29,'ноябрь 2024'!$J$5:$J$2220,AE$1)</f>
        <v>0</v>
      </c>
      <c r="AF29" s="80">
        <f>SUMIFS('ноябрь 2024'!$G$5:$G$2220,'ноябрь 2024'!$D$5:$D$2220,$B29,'ноябрь 2024'!$J$5:$J$2220,AF$1)</f>
        <v>0</v>
      </c>
      <c r="AG29" s="80">
        <f>SUMIFS('ноябрь 2024'!$G$5:$G$2220,'ноябрь 2024'!$D$5:$D$2220,$B29,'ноябрь 2024'!$J$5:$J$2220,AG$1)</f>
        <v>0</v>
      </c>
      <c r="AH29" s="80">
        <f>SUMIFS('ноябрь 2024'!$G$5:$G$2220,'ноябрь 2024'!$D$5:$D$2220,$B29,'ноябрь 2024'!$J$5:$J$2220,AH$1)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SUMIFS('ноябрь 2024'!$G$5:$G$2220,'ноябрь 2024'!$D$5:$D$2220,$B30,'ноябрь 2024'!$J$5:$J$2220,D$1)</f>
        <v>0</v>
      </c>
      <c r="E30" s="80">
        <f>SUMIFS('ноябрь 2024'!$G$5:$G$2220,'ноябрь 2024'!$D$5:$D$2220,$B30,'ноябрь 2024'!$J$5:$J$2220,E$1)</f>
        <v>0</v>
      </c>
      <c r="F30" s="80">
        <f>SUMIFS('ноябрь 2024'!$G$5:$G$2220,'ноябрь 2024'!$D$5:$D$2220,$B30,'ноябрь 2024'!$J$5:$J$2220,F$1)</f>
        <v>0</v>
      </c>
      <c r="G30" s="80">
        <f>SUMIFS('ноябрь 2024'!$G$5:$G$2220,'ноябрь 2024'!$D$5:$D$2220,$B30,'ноябрь 2024'!$J$5:$J$2220,G$1)</f>
        <v>0</v>
      </c>
      <c r="H30" s="80">
        <f>SUMIFS('ноябрь 2024'!$G$5:$G$2220,'ноябрь 2024'!$D$5:$D$2220,$B30,'ноябрь 2024'!$J$5:$J$2220,H$1)</f>
        <v>0</v>
      </c>
      <c r="I30" s="80">
        <f>SUMIFS('ноябрь 2024'!$G$5:$G$2220,'ноябрь 2024'!$D$5:$D$2220,$B30,'ноябрь 2024'!$J$5:$J$2220,I$1)</f>
        <v>0</v>
      </c>
      <c r="J30" s="80">
        <f>SUMIFS('ноябрь 2024'!$G$5:$G$2220,'ноябрь 2024'!$D$5:$D$2220,$B30,'ноябрь 2024'!$J$5:$J$2220,J$1)</f>
        <v>0</v>
      </c>
      <c r="K30" s="80">
        <f>SUMIFS('ноябрь 2024'!$G$5:$G$2220,'ноябрь 2024'!$D$5:$D$2220,$B30,'ноябрь 2024'!$J$5:$J$2220,K$1)</f>
        <v>0</v>
      </c>
      <c r="L30" s="80">
        <f>SUMIFS('ноябрь 2024'!$G$5:$G$2220,'ноябрь 2024'!$D$5:$D$2220,$B30,'ноябрь 2024'!$J$5:$J$2220,L$1)</f>
        <v>0</v>
      </c>
      <c r="M30" s="80">
        <f>SUMIFS('ноябрь 2024'!$G$5:$G$2220,'ноябрь 2024'!$D$5:$D$2220,$B30,'ноябрь 2024'!$J$5:$J$2220,M$1)</f>
        <v>0</v>
      </c>
      <c r="N30" s="80">
        <f>SUMIFS('ноябрь 2024'!$G$5:$G$2220,'ноябрь 2024'!$D$5:$D$2220,$B30,'ноябрь 2024'!$J$5:$J$2220,N$1)</f>
        <v>0</v>
      </c>
      <c r="O30" s="80">
        <f>SUMIFS('ноябрь 2024'!$G$5:$G$2220,'ноябрь 2024'!$D$5:$D$2220,$B30,'ноябрь 2024'!$J$5:$J$2220,O$1)</f>
        <v>0</v>
      </c>
      <c r="P30" s="80">
        <f>SUMIFS('ноябрь 2024'!$G$5:$G$2220,'ноябрь 2024'!$D$5:$D$2220,$B30,'ноябрь 2024'!$J$5:$J$2220,P$1)</f>
        <v>0</v>
      </c>
      <c r="Q30" s="80">
        <f>SUMIFS('ноябрь 2024'!$G$5:$G$2220,'ноябрь 2024'!$D$5:$D$2220,$B30,'ноябрь 2024'!$J$5:$J$2220,Q$1)</f>
        <v>0</v>
      </c>
      <c r="R30" s="80">
        <f>SUMIFS('ноябрь 2024'!$G$5:$G$2220,'ноябрь 2024'!$D$5:$D$2220,$B30,'ноябрь 2024'!$J$5:$J$2220,R$1)</f>
        <v>0</v>
      </c>
      <c r="S30" s="80">
        <f>SUMIFS('ноябрь 2024'!$G$5:$G$2220,'ноябрь 2024'!$D$5:$D$2220,$B30,'ноябрь 2024'!$J$5:$J$2220,S$1)</f>
        <v>0</v>
      </c>
      <c r="T30" s="80">
        <f>SUMIFS('ноябрь 2024'!$G$5:$G$2220,'ноябрь 2024'!$D$5:$D$2220,$B30,'ноябрь 2024'!$J$5:$J$2220,T$1)</f>
        <v>0</v>
      </c>
      <c r="U30" s="80">
        <f>SUMIFS('ноябрь 2024'!$G$5:$G$2220,'ноябрь 2024'!$D$5:$D$2220,$B30,'ноябрь 2024'!$J$5:$J$2220,U$1)</f>
        <v>0</v>
      </c>
      <c r="V30" s="80">
        <f>SUMIFS('ноябрь 2024'!$G$5:$G$2220,'ноябрь 2024'!$D$5:$D$2220,$B30,'ноябрь 2024'!$J$5:$J$2220,V$1)</f>
        <v>0</v>
      </c>
      <c r="W30" s="80">
        <f>SUMIFS('ноябрь 2024'!$G$5:$G$2220,'ноябрь 2024'!$D$5:$D$2220,$B30,'ноябрь 2024'!$J$5:$J$2220,W$1)</f>
        <v>0</v>
      </c>
      <c r="X30" s="80">
        <f>SUMIFS('ноябрь 2024'!$G$5:$G$2220,'ноябрь 2024'!$D$5:$D$2220,$B30,'ноябрь 2024'!$J$5:$J$2220,X$1)</f>
        <v>0</v>
      </c>
      <c r="Y30" s="80">
        <f>SUMIFS('ноябрь 2024'!$G$5:$G$2220,'ноябрь 2024'!$D$5:$D$2220,$B30,'ноябрь 2024'!$J$5:$J$2220,Y$1)</f>
        <v>0</v>
      </c>
      <c r="Z30" s="80">
        <f>SUMIFS('ноябрь 2024'!$G$5:$G$2220,'ноябрь 2024'!$D$5:$D$2220,$B30,'ноябрь 2024'!$J$5:$J$2220,Z$1)</f>
        <v>0</v>
      </c>
      <c r="AA30" s="80">
        <f>SUMIFS('ноябрь 2024'!$G$5:$G$2220,'ноябрь 2024'!$D$5:$D$2220,$B30,'ноябрь 2024'!$J$5:$J$2220,AA$1)</f>
        <v>0</v>
      </c>
      <c r="AB30" s="80">
        <f>SUMIFS('ноябрь 2024'!$G$5:$G$2220,'ноябрь 2024'!$D$5:$D$2220,$B30,'ноябрь 2024'!$J$5:$J$2220,AB$1)</f>
        <v>0</v>
      </c>
      <c r="AC30" s="80">
        <f>SUMIFS('ноябрь 2024'!$G$5:$G$2220,'ноябрь 2024'!$D$5:$D$2220,$B30,'ноябрь 2024'!$J$5:$J$2220,AC$1)</f>
        <v>0</v>
      </c>
      <c r="AD30" s="80">
        <f>SUMIFS('ноябрь 2024'!$G$5:$G$2220,'ноябрь 2024'!$D$5:$D$2220,$B30,'ноябрь 2024'!$J$5:$J$2220,AD$1)</f>
        <v>0</v>
      </c>
      <c r="AE30" s="80">
        <f>SUMIFS('ноябрь 2024'!$G$5:$G$2220,'ноябрь 2024'!$D$5:$D$2220,$B30,'ноябрь 2024'!$J$5:$J$2220,AE$1)</f>
        <v>0</v>
      </c>
      <c r="AF30" s="80">
        <f>SUMIFS('ноябрь 2024'!$G$5:$G$2220,'ноябрь 2024'!$D$5:$D$2220,$B30,'ноябрь 2024'!$J$5:$J$2220,AF$1)</f>
        <v>0</v>
      </c>
      <c r="AG30" s="80">
        <f>SUMIFS('ноябрь 2024'!$G$5:$G$2220,'ноябрь 2024'!$D$5:$D$2220,$B30,'ноябрь 2024'!$J$5:$J$2220,AG$1)</f>
        <v>0</v>
      </c>
      <c r="AH30" s="80">
        <f>SUMIFS('ноябрь 2024'!$G$5:$G$2220,'ноябрь 2024'!$D$5:$D$2220,$B30,'ноябрь 2024'!$J$5:$J$2220,AH$1)</f>
        <v>0</v>
      </c>
      <c r="AI30" s="21">
        <f t="shared" si="1"/>
        <v>0</v>
      </c>
    </row>
    <row r="31" spans="2:35" ht="15" customHeight="1" x14ac:dyDescent="0.25">
      <c r="B31" s="84"/>
      <c r="C31" s="82"/>
      <c r="D31" s="80">
        <f>SUMIFS('ноябрь 2024'!$G$5:$G$2220,'ноябрь 2024'!$D$5:$D$2220,$B31,'ноябрь 2024'!$J$5:$J$2220,D$1)</f>
        <v>0</v>
      </c>
      <c r="E31" s="80">
        <f>SUMIFS('ноябрь 2024'!$G$5:$G$2220,'ноябрь 2024'!$D$5:$D$2220,$B31,'ноябрь 2024'!$J$5:$J$2220,E$1)</f>
        <v>0</v>
      </c>
      <c r="F31" s="80">
        <f>SUMIFS('ноябрь 2024'!$G$5:$G$2220,'ноябрь 2024'!$D$5:$D$2220,$B31,'ноябрь 2024'!$J$5:$J$2220,F$1)</f>
        <v>0</v>
      </c>
      <c r="G31" s="80">
        <f>SUMIFS('ноябрь 2024'!$G$5:$G$2220,'ноябрь 2024'!$D$5:$D$2220,$B31,'ноябрь 2024'!$J$5:$J$2220,G$1)</f>
        <v>0</v>
      </c>
      <c r="H31" s="80">
        <f>SUMIFS('ноябрь 2024'!$G$5:$G$2220,'ноябрь 2024'!$D$5:$D$2220,$B31,'ноябрь 2024'!$J$5:$J$2220,H$1)</f>
        <v>0</v>
      </c>
      <c r="I31" s="80">
        <f>SUMIFS('ноябрь 2024'!$G$5:$G$2220,'ноябрь 2024'!$D$5:$D$2220,$B31,'ноябрь 2024'!$J$5:$J$2220,I$1)</f>
        <v>0</v>
      </c>
      <c r="J31" s="80">
        <f>SUMIFS('ноябрь 2024'!$G$5:$G$2220,'ноябрь 2024'!$D$5:$D$2220,$B31,'ноябрь 2024'!$J$5:$J$2220,J$1)</f>
        <v>0</v>
      </c>
      <c r="K31" s="80">
        <f>SUMIFS('ноябрь 2024'!$G$5:$G$2220,'ноябрь 2024'!$D$5:$D$2220,$B31,'ноябрь 2024'!$J$5:$J$2220,K$1)</f>
        <v>0</v>
      </c>
      <c r="L31" s="80">
        <f>SUMIFS('ноябрь 2024'!$G$5:$G$2220,'ноябрь 2024'!$D$5:$D$2220,$B31,'ноябрь 2024'!$J$5:$J$2220,L$1)</f>
        <v>0</v>
      </c>
      <c r="M31" s="80">
        <f>SUMIFS('ноябрь 2024'!$G$5:$G$2220,'ноябрь 2024'!$D$5:$D$2220,$B31,'ноябрь 2024'!$J$5:$J$2220,M$1)</f>
        <v>0</v>
      </c>
      <c r="N31" s="80">
        <f>SUMIFS('ноябрь 2024'!$G$5:$G$2220,'ноябрь 2024'!$D$5:$D$2220,$B31,'ноябрь 2024'!$J$5:$J$2220,N$1)</f>
        <v>0</v>
      </c>
      <c r="O31" s="80">
        <f>SUMIFS('ноябрь 2024'!$G$5:$G$2220,'ноябрь 2024'!$D$5:$D$2220,$B31,'ноябрь 2024'!$J$5:$J$2220,O$1)</f>
        <v>0</v>
      </c>
      <c r="P31" s="80">
        <f>SUMIFS('ноябрь 2024'!$G$5:$G$2220,'ноябрь 2024'!$D$5:$D$2220,$B31,'ноябрь 2024'!$J$5:$J$2220,P$1)</f>
        <v>0</v>
      </c>
      <c r="Q31" s="80">
        <f>SUMIFS('ноябрь 2024'!$G$5:$G$2220,'ноябрь 2024'!$D$5:$D$2220,$B31,'ноябрь 2024'!$J$5:$J$2220,Q$1)</f>
        <v>0</v>
      </c>
      <c r="R31" s="80">
        <f>SUMIFS('ноябрь 2024'!$G$5:$G$2220,'ноябрь 2024'!$D$5:$D$2220,$B31,'ноябрь 2024'!$J$5:$J$2220,R$1)</f>
        <v>0</v>
      </c>
      <c r="S31" s="80">
        <f>SUMIFS('ноябрь 2024'!$G$5:$G$2220,'ноябрь 2024'!$D$5:$D$2220,$B31,'ноябрь 2024'!$J$5:$J$2220,S$1)</f>
        <v>0</v>
      </c>
      <c r="T31" s="80">
        <f>SUMIFS('ноябрь 2024'!$G$5:$G$2220,'ноябрь 2024'!$D$5:$D$2220,$B31,'ноябрь 2024'!$J$5:$J$2220,T$1)</f>
        <v>0</v>
      </c>
      <c r="U31" s="80">
        <f>SUMIFS('ноябрь 2024'!$G$5:$G$2220,'ноябрь 2024'!$D$5:$D$2220,$B31,'ноябрь 2024'!$J$5:$J$2220,U$1)</f>
        <v>0</v>
      </c>
      <c r="V31" s="80">
        <f>SUMIFS('ноябрь 2024'!$G$5:$G$2220,'ноябрь 2024'!$D$5:$D$2220,$B31,'ноябрь 2024'!$J$5:$J$2220,V$1)</f>
        <v>0</v>
      </c>
      <c r="W31" s="80">
        <f>SUMIFS('ноябрь 2024'!$G$5:$G$2220,'ноябрь 2024'!$D$5:$D$2220,$B31,'ноябрь 2024'!$J$5:$J$2220,W$1)</f>
        <v>0</v>
      </c>
      <c r="X31" s="80">
        <f>SUMIFS('ноябрь 2024'!$G$5:$G$2220,'ноябрь 2024'!$D$5:$D$2220,$B31,'ноябрь 2024'!$J$5:$J$2220,X$1)</f>
        <v>0</v>
      </c>
      <c r="Y31" s="80">
        <f>SUMIFS('ноябрь 2024'!$G$5:$G$2220,'ноябрь 2024'!$D$5:$D$2220,$B31,'ноябрь 2024'!$J$5:$J$2220,Y$1)</f>
        <v>0</v>
      </c>
      <c r="Z31" s="80">
        <f>SUMIFS('ноябрь 2024'!$G$5:$G$2220,'ноябрь 2024'!$D$5:$D$2220,$B31,'ноябрь 2024'!$J$5:$J$2220,Z$1)</f>
        <v>0</v>
      </c>
      <c r="AA31" s="80">
        <f>SUMIFS('ноябрь 2024'!$G$5:$G$2220,'ноябрь 2024'!$D$5:$D$2220,$B31,'ноябрь 2024'!$J$5:$J$2220,AA$1)</f>
        <v>0</v>
      </c>
      <c r="AB31" s="80">
        <f>SUMIFS('ноябрь 2024'!$G$5:$G$2220,'ноябрь 2024'!$D$5:$D$2220,$B31,'ноябрь 2024'!$J$5:$J$2220,AB$1)</f>
        <v>0</v>
      </c>
      <c r="AC31" s="80">
        <f>SUMIFS('ноябрь 2024'!$G$5:$G$2220,'ноябрь 2024'!$D$5:$D$2220,$B31,'ноябрь 2024'!$J$5:$J$2220,AC$1)</f>
        <v>0</v>
      </c>
      <c r="AD31" s="80">
        <f>SUMIFS('ноябрь 2024'!$G$5:$G$2220,'ноябрь 2024'!$D$5:$D$2220,$B31,'ноябрь 2024'!$J$5:$J$2220,AD$1)</f>
        <v>0</v>
      </c>
      <c r="AE31" s="80">
        <f>SUMIFS('ноябрь 2024'!$G$5:$G$2220,'ноябрь 2024'!$D$5:$D$2220,$B31,'ноябрь 2024'!$J$5:$J$2220,AE$1)</f>
        <v>0</v>
      </c>
      <c r="AF31" s="80">
        <f>SUMIFS('ноябрь 2024'!$G$5:$G$2220,'ноябрь 2024'!$D$5:$D$2220,$B31,'ноябрь 2024'!$J$5:$J$2220,AF$1)</f>
        <v>0</v>
      </c>
      <c r="AG31" s="80">
        <f>SUMIFS('ноябрь 2024'!$G$5:$G$2220,'ноябрь 2024'!$D$5:$D$2220,$B31,'ноябрь 2024'!$J$5:$J$2220,AG$1)</f>
        <v>0</v>
      </c>
      <c r="AH31" s="80">
        <f>SUMIFS('ноябрь 2024'!$G$5:$G$2220,'ноябрь 2024'!$D$5:$D$2220,$B31,'ноябрь 2024'!$J$5:$J$2220,AH$1)</f>
        <v>0</v>
      </c>
      <c r="AI31" s="21">
        <f t="shared" si="1"/>
        <v>0</v>
      </c>
    </row>
    <row r="32" spans="2:35" ht="15" customHeight="1" x14ac:dyDescent="0.25">
      <c r="B32" s="84"/>
      <c r="C32" s="82"/>
      <c r="D32" s="80">
        <f>SUMIFS('ноябрь 2024'!$G$5:$G$2220,'ноябрь 2024'!$D$5:$D$2220,$B32,'ноябрь 2024'!$J$5:$J$2220,D$1)</f>
        <v>0</v>
      </c>
      <c r="E32" s="80">
        <f>SUMIFS('ноябрь 2024'!$G$5:$G$2220,'ноябрь 2024'!$D$5:$D$2220,$B32,'ноябрь 2024'!$J$5:$J$2220,E$1)</f>
        <v>0</v>
      </c>
      <c r="F32" s="80">
        <f>SUMIFS('ноябрь 2024'!$G$5:$G$2220,'ноябрь 2024'!$D$5:$D$2220,$B32,'ноябрь 2024'!$J$5:$J$2220,F$1)</f>
        <v>0</v>
      </c>
      <c r="G32" s="80">
        <f>SUMIFS('ноябрь 2024'!$G$5:$G$2220,'ноябрь 2024'!$D$5:$D$2220,$B32,'ноябрь 2024'!$J$5:$J$2220,G$1)</f>
        <v>0</v>
      </c>
      <c r="H32" s="80">
        <f>SUMIFS('ноябрь 2024'!$G$5:$G$2220,'ноябрь 2024'!$D$5:$D$2220,$B32,'ноябрь 2024'!$J$5:$J$2220,H$1)</f>
        <v>0</v>
      </c>
      <c r="I32" s="80">
        <f>SUMIFS('ноябрь 2024'!$G$5:$G$2220,'ноябрь 2024'!$D$5:$D$2220,$B32,'ноябрь 2024'!$J$5:$J$2220,I$1)</f>
        <v>0</v>
      </c>
      <c r="J32" s="80">
        <f>SUMIFS('ноябрь 2024'!$G$5:$G$2220,'ноябрь 2024'!$D$5:$D$2220,$B32,'ноябрь 2024'!$J$5:$J$2220,J$1)</f>
        <v>0</v>
      </c>
      <c r="K32" s="80">
        <f>SUMIFS('ноябрь 2024'!$G$5:$G$2220,'ноябрь 2024'!$D$5:$D$2220,$B32,'ноябрь 2024'!$J$5:$J$2220,K$1)</f>
        <v>0</v>
      </c>
      <c r="L32" s="80">
        <f>SUMIFS('ноябрь 2024'!$G$5:$G$2220,'ноябрь 2024'!$D$5:$D$2220,$B32,'ноябрь 2024'!$J$5:$J$2220,L$1)</f>
        <v>0</v>
      </c>
      <c r="M32" s="80">
        <f>SUMIFS('ноябрь 2024'!$G$5:$G$2220,'ноябрь 2024'!$D$5:$D$2220,$B32,'ноябрь 2024'!$J$5:$J$2220,M$1)</f>
        <v>0</v>
      </c>
      <c r="N32" s="80">
        <f>SUMIFS('ноябрь 2024'!$G$5:$G$2220,'ноябрь 2024'!$D$5:$D$2220,$B32,'ноябрь 2024'!$J$5:$J$2220,N$1)</f>
        <v>0</v>
      </c>
      <c r="O32" s="80">
        <f>SUMIFS('ноябрь 2024'!$G$5:$G$2220,'ноябрь 2024'!$D$5:$D$2220,$B32,'ноябрь 2024'!$J$5:$J$2220,O$1)</f>
        <v>0</v>
      </c>
      <c r="P32" s="80">
        <f>SUMIFS('ноябрь 2024'!$G$5:$G$2220,'ноябрь 2024'!$D$5:$D$2220,$B32,'ноябрь 2024'!$J$5:$J$2220,P$1)</f>
        <v>0</v>
      </c>
      <c r="Q32" s="80">
        <f>SUMIFS('ноябрь 2024'!$G$5:$G$2220,'ноябрь 2024'!$D$5:$D$2220,$B32,'ноябрь 2024'!$J$5:$J$2220,Q$1)</f>
        <v>0</v>
      </c>
      <c r="R32" s="80">
        <f>SUMIFS('ноябрь 2024'!$G$5:$G$2220,'ноябрь 2024'!$D$5:$D$2220,$B32,'ноябрь 2024'!$J$5:$J$2220,R$1)</f>
        <v>0</v>
      </c>
      <c r="S32" s="80">
        <f>SUMIFS('ноябрь 2024'!$G$5:$G$2220,'ноябрь 2024'!$D$5:$D$2220,$B32,'ноябрь 2024'!$J$5:$J$2220,S$1)</f>
        <v>0</v>
      </c>
      <c r="T32" s="80">
        <f>SUMIFS('ноябрь 2024'!$G$5:$G$2220,'ноябрь 2024'!$D$5:$D$2220,$B32,'ноябрь 2024'!$J$5:$J$2220,T$1)</f>
        <v>0</v>
      </c>
      <c r="U32" s="80">
        <f>SUMIFS('ноябрь 2024'!$G$5:$G$2220,'ноябрь 2024'!$D$5:$D$2220,$B32,'ноябрь 2024'!$J$5:$J$2220,U$1)</f>
        <v>0</v>
      </c>
      <c r="V32" s="80">
        <f>SUMIFS('ноябрь 2024'!$G$5:$G$2220,'ноябрь 2024'!$D$5:$D$2220,$B32,'ноябрь 2024'!$J$5:$J$2220,V$1)</f>
        <v>0</v>
      </c>
      <c r="W32" s="80">
        <f>SUMIFS('ноябрь 2024'!$G$5:$G$2220,'ноябрь 2024'!$D$5:$D$2220,$B32,'ноябрь 2024'!$J$5:$J$2220,W$1)</f>
        <v>0</v>
      </c>
      <c r="X32" s="80">
        <f>SUMIFS('ноябрь 2024'!$G$5:$G$2220,'ноябрь 2024'!$D$5:$D$2220,$B32,'ноябрь 2024'!$J$5:$J$2220,X$1)</f>
        <v>0</v>
      </c>
      <c r="Y32" s="80">
        <f>SUMIFS('ноябрь 2024'!$G$5:$G$2220,'ноябрь 2024'!$D$5:$D$2220,$B32,'ноябрь 2024'!$J$5:$J$2220,Y$1)</f>
        <v>0</v>
      </c>
      <c r="Z32" s="80">
        <f>SUMIFS('ноябрь 2024'!$G$5:$G$2220,'ноябрь 2024'!$D$5:$D$2220,$B32,'ноябрь 2024'!$J$5:$J$2220,Z$1)</f>
        <v>0</v>
      </c>
      <c r="AA32" s="80">
        <f>SUMIFS('ноябрь 2024'!$G$5:$G$2220,'ноябрь 2024'!$D$5:$D$2220,$B32,'ноябрь 2024'!$J$5:$J$2220,AA$1)</f>
        <v>0</v>
      </c>
      <c r="AB32" s="80">
        <f>SUMIFS('ноябрь 2024'!$G$5:$G$2220,'ноябрь 2024'!$D$5:$D$2220,$B32,'ноябрь 2024'!$J$5:$J$2220,AB$1)</f>
        <v>0</v>
      </c>
      <c r="AC32" s="80">
        <f>SUMIFS('ноябрь 2024'!$G$5:$G$2220,'ноябрь 2024'!$D$5:$D$2220,$B32,'ноябрь 2024'!$J$5:$J$2220,AC$1)</f>
        <v>0</v>
      </c>
      <c r="AD32" s="80">
        <f>SUMIFS('ноябрь 2024'!$G$5:$G$2220,'ноябрь 2024'!$D$5:$D$2220,$B32,'ноябрь 2024'!$J$5:$J$2220,AD$1)</f>
        <v>0</v>
      </c>
      <c r="AE32" s="80">
        <f>SUMIFS('ноябрь 2024'!$G$5:$G$2220,'ноябрь 2024'!$D$5:$D$2220,$B32,'ноябрь 2024'!$J$5:$J$2220,AE$1)</f>
        <v>0</v>
      </c>
      <c r="AF32" s="80">
        <f>SUMIFS('ноябрь 2024'!$G$5:$G$2220,'ноябрь 2024'!$D$5:$D$2220,$B32,'ноябрь 2024'!$J$5:$J$2220,AF$1)</f>
        <v>0</v>
      </c>
      <c r="AG32" s="80">
        <f>SUMIFS('ноябрь 2024'!$G$5:$G$2220,'ноябрь 2024'!$D$5:$D$2220,$B32,'ноябрь 2024'!$J$5:$J$2220,AG$1)</f>
        <v>0</v>
      </c>
      <c r="AH32" s="80">
        <f>SUMIFS('ноябрь 2024'!$G$5:$G$2220,'ноябрь 2024'!$D$5:$D$2220,$B32,'ноябрь 2024'!$J$5:$J$2220,AH$1)</f>
        <v>0</v>
      </c>
      <c r="AI32" s="21">
        <f t="shared" si="1"/>
        <v>0</v>
      </c>
    </row>
    <row r="33" spans="2:35" ht="15" customHeight="1" x14ac:dyDescent="0.25">
      <c r="B33" s="142" t="s">
        <v>276</v>
      </c>
      <c r="C33" s="143">
        <v>25</v>
      </c>
      <c r="D33" s="80">
        <f>SUMIFS('ноябрь 2024'!$G$5:$G$2220,'ноябрь 2024'!$D$5:$D$2220,$B33,'ноябрь 2024'!$J$5:$J$2220,D$1)</f>
        <v>0</v>
      </c>
      <c r="E33" s="80">
        <f>SUMIFS('ноябрь 2024'!$G$5:$G$2220,'ноябрь 2024'!$D$5:$D$2220,$B33,'ноябрь 2024'!$J$5:$J$2220,E$1)</f>
        <v>0</v>
      </c>
      <c r="F33" s="80">
        <f>SUMIFS('ноябрь 2024'!$G$5:$G$2220,'ноябрь 2024'!$D$5:$D$2220,$B33,'ноябрь 2024'!$J$5:$J$2220,F$1)</f>
        <v>0</v>
      </c>
      <c r="G33" s="80">
        <f>SUMIFS('ноябрь 2024'!$G$5:$G$2220,'ноябрь 2024'!$D$5:$D$2220,$B33,'ноябрь 2024'!$J$5:$J$2220,G$1)</f>
        <v>0</v>
      </c>
      <c r="H33" s="80">
        <f>SUMIFS('ноябрь 2024'!$G$5:$G$2220,'ноябрь 2024'!$D$5:$D$2220,$B33,'ноябрь 2024'!$J$5:$J$2220,H$1)</f>
        <v>0</v>
      </c>
      <c r="I33" s="80">
        <f>SUMIFS('ноябрь 2024'!$G$5:$G$2220,'ноябрь 2024'!$D$5:$D$2220,$B33,'ноябрь 2024'!$J$5:$J$2220,I$1)</f>
        <v>0</v>
      </c>
      <c r="J33" s="80">
        <f>SUMIFS('ноябрь 2024'!$G$5:$G$2220,'ноябрь 2024'!$D$5:$D$2220,$B33,'ноябрь 2024'!$J$5:$J$2220,J$1)</f>
        <v>0</v>
      </c>
      <c r="K33" s="80">
        <f>SUMIFS('ноябрь 2024'!$G$5:$G$2220,'ноябрь 2024'!$D$5:$D$2220,$B33,'ноябрь 2024'!$J$5:$J$2220,K$1)</f>
        <v>0</v>
      </c>
      <c r="L33" s="80">
        <f>SUMIFS('ноябрь 2024'!$G$5:$G$2220,'ноябрь 2024'!$D$5:$D$2220,$B33,'ноябрь 2024'!$J$5:$J$2220,L$1)</f>
        <v>0</v>
      </c>
      <c r="M33" s="80">
        <f>SUMIFS('ноябрь 2024'!$G$5:$G$2220,'ноябрь 2024'!$D$5:$D$2220,$B33,'ноябрь 2024'!$J$5:$J$2220,M$1)</f>
        <v>0</v>
      </c>
      <c r="N33" s="80">
        <f>SUMIFS('ноябрь 2024'!$G$5:$G$2220,'ноябрь 2024'!$D$5:$D$2220,$B33,'ноябрь 2024'!$J$5:$J$2220,N$1)</f>
        <v>0</v>
      </c>
      <c r="O33" s="80">
        <f>SUMIFS('ноябрь 2024'!$G$5:$G$2220,'ноябрь 2024'!$D$5:$D$2220,$B33,'ноябрь 2024'!$J$5:$J$2220,O$1)</f>
        <v>0</v>
      </c>
      <c r="P33" s="80">
        <f>SUMIFS('ноябрь 2024'!$G$5:$G$2220,'ноябрь 2024'!$D$5:$D$2220,$B33,'ноябрь 2024'!$J$5:$J$2220,P$1)</f>
        <v>0</v>
      </c>
      <c r="Q33" s="80">
        <f>SUMIFS('ноябрь 2024'!$G$5:$G$2220,'ноябрь 2024'!$D$5:$D$2220,$B33,'ноябрь 2024'!$J$5:$J$2220,Q$1)</f>
        <v>0</v>
      </c>
      <c r="R33" s="80">
        <f>SUMIFS('ноябрь 2024'!$G$5:$G$2220,'ноябрь 2024'!$D$5:$D$2220,$B33,'ноябрь 2024'!$J$5:$J$2220,R$1)</f>
        <v>0</v>
      </c>
      <c r="S33" s="80">
        <f>SUMIFS('ноябрь 2024'!$G$5:$G$2220,'ноябрь 2024'!$D$5:$D$2220,$B33,'ноябрь 2024'!$J$5:$J$2220,S$1)</f>
        <v>0</v>
      </c>
      <c r="T33" s="80">
        <f>SUMIFS('ноябрь 2024'!$G$5:$G$2220,'ноябрь 2024'!$D$5:$D$2220,$B33,'ноябрь 2024'!$J$5:$J$2220,T$1)</f>
        <v>0</v>
      </c>
      <c r="U33" s="80">
        <f>SUMIFS('ноябрь 2024'!$G$5:$G$2220,'ноябрь 2024'!$D$5:$D$2220,$B33,'ноябрь 2024'!$J$5:$J$2220,U$1)</f>
        <v>0</v>
      </c>
      <c r="V33" s="80">
        <f>SUMIFS('ноябрь 2024'!$G$5:$G$2220,'ноябрь 2024'!$D$5:$D$2220,$B33,'ноябрь 2024'!$J$5:$J$2220,V$1)</f>
        <v>0</v>
      </c>
      <c r="W33" s="80">
        <f>SUMIFS('ноябрь 2024'!$G$5:$G$2220,'ноябрь 2024'!$D$5:$D$2220,$B33,'ноябрь 2024'!$J$5:$J$2220,W$1)</f>
        <v>0</v>
      </c>
      <c r="X33" s="80">
        <f>SUMIFS('ноябрь 2024'!$G$5:$G$2220,'ноябрь 2024'!$D$5:$D$2220,$B33,'ноябрь 2024'!$J$5:$J$2220,X$1)</f>
        <v>0</v>
      </c>
      <c r="Y33" s="80">
        <f>SUMIFS('ноябрь 2024'!$G$5:$G$2220,'ноябрь 2024'!$D$5:$D$2220,$B33,'ноябрь 2024'!$J$5:$J$2220,Y$1)</f>
        <v>0</v>
      </c>
      <c r="Z33" s="80">
        <f>SUMIFS('ноябрь 2024'!$G$5:$G$2220,'ноябрь 2024'!$D$5:$D$2220,$B33,'ноябрь 2024'!$J$5:$J$2220,Z$1)</f>
        <v>0</v>
      </c>
      <c r="AA33" s="80">
        <f>SUMIFS('ноябрь 2024'!$G$5:$G$2220,'ноябрь 2024'!$D$5:$D$2220,$B33,'ноябрь 2024'!$J$5:$J$2220,AA$1)</f>
        <v>0</v>
      </c>
      <c r="AB33" s="80">
        <f>SUMIFS('ноябрь 2024'!$G$5:$G$2220,'ноябрь 2024'!$D$5:$D$2220,$B33,'ноябрь 2024'!$J$5:$J$2220,AB$1)</f>
        <v>0</v>
      </c>
      <c r="AC33" s="80">
        <f>SUMIFS('ноябрь 2024'!$G$5:$G$2220,'ноябрь 2024'!$D$5:$D$2220,$B33,'ноябрь 2024'!$J$5:$J$2220,AC$1)</f>
        <v>0</v>
      </c>
      <c r="AD33" s="80">
        <f>SUMIFS('ноябрь 2024'!$G$5:$G$2220,'ноябрь 2024'!$D$5:$D$2220,$B33,'ноябрь 2024'!$J$5:$J$2220,AD$1)</f>
        <v>0</v>
      </c>
      <c r="AE33" s="80">
        <f>SUMIFS('ноябрь 2024'!$G$5:$G$2220,'ноябрь 2024'!$D$5:$D$2220,$B33,'ноябрь 2024'!$J$5:$J$2220,AE$1)</f>
        <v>0</v>
      </c>
      <c r="AF33" s="80">
        <f>SUMIFS('ноябрь 2024'!$G$5:$G$2220,'ноябрь 2024'!$D$5:$D$2220,$B33,'ноябрь 2024'!$J$5:$J$2220,AF$1)</f>
        <v>0</v>
      </c>
      <c r="AG33" s="80">
        <f>SUMIFS('ноябрь 2024'!$G$5:$G$2220,'ноябрь 2024'!$D$5:$D$2220,$B33,'ноябрь 2024'!$J$5:$J$2220,AG$1)</f>
        <v>0</v>
      </c>
      <c r="AH33" s="80">
        <f>SUMIFS('ноябрь 2024'!$G$5:$G$2220,'ноябрь 2024'!$D$5:$D$2220,$B33,'ноябрь 2024'!$J$5:$J$2220,AH$1)</f>
        <v>0</v>
      </c>
      <c r="AI33" s="21">
        <f t="shared" si="1"/>
        <v>0</v>
      </c>
    </row>
    <row r="34" spans="2:35" ht="15" customHeight="1" x14ac:dyDescent="0.25">
      <c r="B34" s="146" t="s">
        <v>278</v>
      </c>
      <c r="C34" s="143">
        <v>25</v>
      </c>
      <c r="D34" s="80">
        <f>SUMIFS('ноябрь 2024'!$G$5:$G$2220,'ноябрь 2024'!$D$5:$D$2220,$B34,'ноябрь 2024'!$J$5:$J$2220,D$1)</f>
        <v>0</v>
      </c>
      <c r="E34" s="80">
        <f>SUMIFS('ноябрь 2024'!$G$5:$G$2220,'ноябрь 2024'!$D$5:$D$2220,$B34,'ноябрь 2024'!$J$5:$J$2220,E$1)</f>
        <v>0</v>
      </c>
      <c r="F34" s="80">
        <f>SUMIFS('ноябрь 2024'!$G$5:$G$2220,'ноябрь 2024'!$D$5:$D$2220,$B34,'ноябрь 2024'!$J$5:$J$2220,F$1)</f>
        <v>0</v>
      </c>
      <c r="G34" s="80">
        <f>SUMIFS('ноябрь 2024'!$G$5:$G$2220,'ноябрь 2024'!$D$5:$D$2220,$B34,'ноябрь 2024'!$J$5:$J$2220,G$1)</f>
        <v>0</v>
      </c>
      <c r="H34" s="80">
        <f>SUMIFS('ноябрь 2024'!$G$5:$G$2220,'ноябрь 2024'!$D$5:$D$2220,$B34,'ноябрь 2024'!$J$5:$J$2220,H$1)</f>
        <v>0</v>
      </c>
      <c r="I34" s="80">
        <f>SUMIFS('ноябрь 2024'!$G$5:$G$2220,'ноябрь 2024'!$D$5:$D$2220,$B34,'ноябрь 2024'!$J$5:$J$2220,I$1)</f>
        <v>0</v>
      </c>
      <c r="J34" s="80">
        <f>SUMIFS('ноябрь 2024'!$G$5:$G$2220,'ноябрь 2024'!$D$5:$D$2220,$B34,'ноябрь 2024'!$J$5:$J$2220,J$1)</f>
        <v>0</v>
      </c>
      <c r="K34" s="80">
        <f>SUMIFS('ноябрь 2024'!$G$5:$G$2220,'ноябрь 2024'!$D$5:$D$2220,$B34,'ноябрь 2024'!$J$5:$J$2220,K$1)</f>
        <v>0</v>
      </c>
      <c r="L34" s="80">
        <f>SUMIFS('ноябрь 2024'!$G$5:$G$2220,'ноябрь 2024'!$D$5:$D$2220,$B34,'ноябрь 2024'!$J$5:$J$2220,L$1)</f>
        <v>0</v>
      </c>
      <c r="M34" s="80">
        <f>SUMIFS('ноябрь 2024'!$G$5:$G$2220,'ноябрь 2024'!$D$5:$D$2220,$B34,'ноябрь 2024'!$J$5:$J$2220,M$1)</f>
        <v>0</v>
      </c>
      <c r="N34" s="80">
        <f>SUMIFS('ноябрь 2024'!$G$5:$G$2220,'ноябрь 2024'!$D$5:$D$2220,$B34,'ноябрь 2024'!$J$5:$J$2220,N$1)</f>
        <v>0</v>
      </c>
      <c r="O34" s="80">
        <f>SUMIFS('ноябрь 2024'!$G$5:$G$2220,'ноябрь 2024'!$D$5:$D$2220,$B34,'ноябрь 2024'!$J$5:$J$2220,O$1)</f>
        <v>0</v>
      </c>
      <c r="P34" s="80">
        <f>SUMIFS('ноябрь 2024'!$G$5:$G$2220,'ноябрь 2024'!$D$5:$D$2220,$B34,'ноябрь 2024'!$J$5:$J$2220,P$1)</f>
        <v>0</v>
      </c>
      <c r="Q34" s="80">
        <f>SUMIFS('ноябрь 2024'!$G$5:$G$2220,'ноябрь 2024'!$D$5:$D$2220,$B34,'ноябрь 2024'!$J$5:$J$2220,Q$1)</f>
        <v>0</v>
      </c>
      <c r="R34" s="80">
        <f>SUMIFS('ноябрь 2024'!$G$5:$G$2220,'ноябрь 2024'!$D$5:$D$2220,$B34,'ноябрь 2024'!$J$5:$J$2220,R$1)</f>
        <v>0</v>
      </c>
      <c r="S34" s="80">
        <f>SUMIFS('ноябрь 2024'!$G$5:$G$2220,'ноябрь 2024'!$D$5:$D$2220,$B34,'ноябрь 2024'!$J$5:$J$2220,S$1)</f>
        <v>0</v>
      </c>
      <c r="T34" s="80">
        <f>SUMIFS('ноябрь 2024'!$G$5:$G$2220,'ноябрь 2024'!$D$5:$D$2220,$B34,'ноябрь 2024'!$J$5:$J$2220,T$1)</f>
        <v>0</v>
      </c>
      <c r="U34" s="80">
        <f>SUMIFS('ноябрь 2024'!$G$5:$G$2220,'ноябрь 2024'!$D$5:$D$2220,$B34,'ноябрь 2024'!$J$5:$J$2220,U$1)</f>
        <v>0</v>
      </c>
      <c r="V34" s="80">
        <f>SUMIFS('ноябрь 2024'!$G$5:$G$2220,'ноябрь 2024'!$D$5:$D$2220,$B34,'ноябрь 2024'!$J$5:$J$2220,V$1)</f>
        <v>0</v>
      </c>
      <c r="W34" s="80">
        <f>SUMIFS('ноябрь 2024'!$G$5:$G$2220,'ноябрь 2024'!$D$5:$D$2220,$B34,'ноябрь 2024'!$J$5:$J$2220,W$1)</f>
        <v>0</v>
      </c>
      <c r="X34" s="80">
        <f>SUMIFS('ноябрь 2024'!$G$5:$G$2220,'ноябрь 2024'!$D$5:$D$2220,$B34,'ноябрь 2024'!$J$5:$J$2220,X$1)</f>
        <v>0</v>
      </c>
      <c r="Y34" s="80">
        <f>SUMIFS('ноябрь 2024'!$G$5:$G$2220,'ноябрь 2024'!$D$5:$D$2220,$B34,'ноябрь 2024'!$J$5:$J$2220,Y$1)</f>
        <v>0</v>
      </c>
      <c r="Z34" s="80">
        <f>SUMIFS('ноябрь 2024'!$G$5:$G$2220,'ноябрь 2024'!$D$5:$D$2220,$B34,'ноябрь 2024'!$J$5:$J$2220,Z$1)</f>
        <v>0</v>
      </c>
      <c r="AA34" s="80">
        <f>SUMIFS('ноябрь 2024'!$G$5:$G$2220,'ноябрь 2024'!$D$5:$D$2220,$B34,'ноябрь 2024'!$J$5:$J$2220,AA$1)</f>
        <v>0</v>
      </c>
      <c r="AB34" s="80">
        <f>SUMIFS('ноябрь 2024'!$G$5:$G$2220,'ноябрь 2024'!$D$5:$D$2220,$B34,'ноябрь 2024'!$J$5:$J$2220,AB$1)</f>
        <v>0</v>
      </c>
      <c r="AC34" s="80">
        <f>SUMIFS('ноябрь 2024'!$G$5:$G$2220,'ноябрь 2024'!$D$5:$D$2220,$B34,'ноябрь 2024'!$J$5:$J$2220,AC$1)</f>
        <v>0</v>
      </c>
      <c r="AD34" s="80">
        <f>SUMIFS('ноябрь 2024'!$G$5:$G$2220,'ноябрь 2024'!$D$5:$D$2220,$B34,'ноябрь 2024'!$J$5:$J$2220,AD$1)</f>
        <v>0</v>
      </c>
      <c r="AE34" s="80">
        <f>SUMIFS('ноябрь 2024'!$G$5:$G$2220,'ноябрь 2024'!$D$5:$D$2220,$B34,'ноябрь 2024'!$J$5:$J$2220,AE$1)</f>
        <v>0</v>
      </c>
      <c r="AF34" s="80">
        <f>SUMIFS('ноябрь 2024'!$G$5:$G$2220,'ноябрь 2024'!$D$5:$D$2220,$B34,'ноябрь 2024'!$J$5:$J$2220,AF$1)</f>
        <v>0</v>
      </c>
      <c r="AG34" s="80">
        <f>SUMIFS('ноябрь 2024'!$G$5:$G$2220,'ноябрь 2024'!$D$5:$D$2220,$B34,'ноябрь 2024'!$J$5:$J$2220,AG$1)</f>
        <v>0</v>
      </c>
      <c r="AH34" s="80">
        <f>SUMIFS('ноябрь 2024'!$G$5:$G$2220,'ноябрь 2024'!$D$5:$D$2220,$B34,'ноябрь 2024'!$J$5:$J$2220,AH$1)</f>
        <v>0</v>
      </c>
      <c r="AI34" s="21">
        <f t="shared" si="1"/>
        <v>0</v>
      </c>
    </row>
    <row r="35" spans="2:35" ht="15" customHeight="1" x14ac:dyDescent="0.25">
      <c r="B35" s="147" t="s">
        <v>280</v>
      </c>
      <c r="C35" s="143">
        <v>25</v>
      </c>
      <c r="D35" s="80">
        <f>SUMIFS('ноябрь 2024'!$G$5:$G$2220,'ноябрь 2024'!$D$5:$D$2220,$B35,'ноябрь 2024'!$J$5:$J$2220,D$1)</f>
        <v>0</v>
      </c>
      <c r="E35" s="80">
        <f>SUMIFS('ноябрь 2024'!$G$5:$G$2220,'ноябрь 2024'!$D$5:$D$2220,$B35,'ноябрь 2024'!$J$5:$J$2220,E$1)</f>
        <v>0</v>
      </c>
      <c r="F35" s="80">
        <f>SUMIFS('ноябрь 2024'!$G$5:$G$2220,'ноябрь 2024'!$D$5:$D$2220,$B35,'ноябрь 2024'!$J$5:$J$2220,F$1)</f>
        <v>0</v>
      </c>
      <c r="G35" s="80">
        <f>SUMIFS('ноябрь 2024'!$G$5:$G$2220,'ноябрь 2024'!$D$5:$D$2220,$B35,'ноябрь 2024'!$J$5:$J$2220,G$1)</f>
        <v>0</v>
      </c>
      <c r="H35" s="80">
        <f>SUMIFS('ноябрь 2024'!$G$5:$G$2220,'ноябрь 2024'!$D$5:$D$2220,$B35,'ноябрь 2024'!$J$5:$J$2220,H$1)</f>
        <v>0</v>
      </c>
      <c r="I35" s="80">
        <f>SUMIFS('ноябрь 2024'!$G$5:$G$2220,'ноябрь 2024'!$D$5:$D$2220,$B35,'ноябрь 2024'!$J$5:$J$2220,I$1)</f>
        <v>0</v>
      </c>
      <c r="J35" s="80">
        <f>SUMIFS('ноябрь 2024'!$G$5:$G$2220,'ноябрь 2024'!$D$5:$D$2220,$B35,'ноябрь 2024'!$J$5:$J$2220,J$1)</f>
        <v>0</v>
      </c>
      <c r="K35" s="80">
        <f>SUMIFS('ноябрь 2024'!$G$5:$G$2220,'ноябрь 2024'!$D$5:$D$2220,$B35,'ноябрь 2024'!$J$5:$J$2220,K$1)</f>
        <v>0</v>
      </c>
      <c r="L35" s="80">
        <f>SUMIFS('ноябрь 2024'!$G$5:$G$2220,'ноябрь 2024'!$D$5:$D$2220,$B35,'ноябрь 2024'!$J$5:$J$2220,L$1)</f>
        <v>0</v>
      </c>
      <c r="M35" s="80">
        <f>SUMIFS('ноябрь 2024'!$G$5:$G$2220,'ноябрь 2024'!$D$5:$D$2220,$B35,'ноябрь 2024'!$J$5:$J$2220,M$1)</f>
        <v>0</v>
      </c>
      <c r="N35" s="80">
        <f>SUMIFS('ноябрь 2024'!$G$5:$G$2220,'ноябрь 2024'!$D$5:$D$2220,$B35,'ноябрь 2024'!$J$5:$J$2220,N$1)</f>
        <v>0</v>
      </c>
      <c r="O35" s="80">
        <f>SUMIFS('ноябрь 2024'!$G$5:$G$2220,'ноябрь 2024'!$D$5:$D$2220,$B35,'ноябрь 2024'!$J$5:$J$2220,O$1)</f>
        <v>0</v>
      </c>
      <c r="P35" s="80">
        <f>SUMIFS('ноябрь 2024'!$G$5:$G$2220,'ноябрь 2024'!$D$5:$D$2220,$B35,'ноябрь 2024'!$J$5:$J$2220,P$1)</f>
        <v>0</v>
      </c>
      <c r="Q35" s="80">
        <f>SUMIFS('ноябрь 2024'!$G$5:$G$2220,'ноябрь 2024'!$D$5:$D$2220,$B35,'ноябрь 2024'!$J$5:$J$2220,Q$1)</f>
        <v>0</v>
      </c>
      <c r="R35" s="80">
        <f>SUMIFS('ноябрь 2024'!$G$5:$G$2220,'ноябрь 2024'!$D$5:$D$2220,$B35,'ноябрь 2024'!$J$5:$J$2220,R$1)</f>
        <v>0</v>
      </c>
      <c r="S35" s="80">
        <f>SUMIFS('ноябрь 2024'!$G$5:$G$2220,'ноябрь 2024'!$D$5:$D$2220,$B35,'ноябрь 2024'!$J$5:$J$2220,S$1)</f>
        <v>0</v>
      </c>
      <c r="T35" s="80">
        <f>SUMIFS('ноябрь 2024'!$G$5:$G$2220,'ноябрь 2024'!$D$5:$D$2220,$B35,'ноябрь 2024'!$J$5:$J$2220,T$1)</f>
        <v>0</v>
      </c>
      <c r="U35" s="80">
        <f>SUMIFS('ноябрь 2024'!$G$5:$G$2220,'ноябрь 2024'!$D$5:$D$2220,$B35,'ноябрь 2024'!$J$5:$J$2220,U$1)</f>
        <v>0</v>
      </c>
      <c r="V35" s="80">
        <f>SUMIFS('ноябрь 2024'!$G$5:$G$2220,'ноябрь 2024'!$D$5:$D$2220,$B35,'ноябрь 2024'!$J$5:$J$2220,V$1)</f>
        <v>0</v>
      </c>
      <c r="W35" s="80">
        <f>SUMIFS('ноябрь 2024'!$G$5:$G$2220,'ноябрь 2024'!$D$5:$D$2220,$B35,'ноябрь 2024'!$J$5:$J$2220,W$1)</f>
        <v>0</v>
      </c>
      <c r="X35" s="80">
        <f>SUMIFS('ноябрь 2024'!$G$5:$G$2220,'ноябрь 2024'!$D$5:$D$2220,$B35,'ноябрь 2024'!$J$5:$J$2220,X$1)</f>
        <v>0</v>
      </c>
      <c r="Y35" s="80">
        <f>SUMIFS('ноябрь 2024'!$G$5:$G$2220,'ноябрь 2024'!$D$5:$D$2220,$B35,'ноябрь 2024'!$J$5:$J$2220,Y$1)</f>
        <v>0</v>
      </c>
      <c r="Z35" s="80">
        <f>SUMIFS('ноябрь 2024'!$G$5:$G$2220,'ноябрь 2024'!$D$5:$D$2220,$B35,'ноябрь 2024'!$J$5:$J$2220,Z$1)</f>
        <v>0</v>
      </c>
      <c r="AA35" s="80">
        <f>SUMIFS('ноябрь 2024'!$G$5:$G$2220,'ноябрь 2024'!$D$5:$D$2220,$B35,'ноябрь 2024'!$J$5:$J$2220,AA$1)</f>
        <v>0</v>
      </c>
      <c r="AB35" s="80">
        <f>SUMIFS('ноябрь 2024'!$G$5:$G$2220,'ноябрь 2024'!$D$5:$D$2220,$B35,'ноябрь 2024'!$J$5:$J$2220,AB$1)</f>
        <v>0</v>
      </c>
      <c r="AC35" s="80">
        <f>SUMIFS('ноябрь 2024'!$G$5:$G$2220,'ноябрь 2024'!$D$5:$D$2220,$B35,'ноябрь 2024'!$J$5:$J$2220,AC$1)</f>
        <v>0</v>
      </c>
      <c r="AD35" s="80">
        <f>SUMIFS('ноябрь 2024'!$G$5:$G$2220,'ноябрь 2024'!$D$5:$D$2220,$B35,'ноябрь 2024'!$J$5:$J$2220,AD$1)</f>
        <v>0</v>
      </c>
      <c r="AE35" s="80">
        <f>SUMIFS('ноябрь 2024'!$G$5:$G$2220,'ноябрь 2024'!$D$5:$D$2220,$B35,'ноябрь 2024'!$J$5:$J$2220,AE$1)</f>
        <v>0</v>
      </c>
      <c r="AF35" s="80">
        <f>SUMIFS('ноябрь 2024'!$G$5:$G$2220,'ноябрь 2024'!$D$5:$D$2220,$B35,'ноябрь 2024'!$J$5:$J$2220,AF$1)</f>
        <v>0</v>
      </c>
      <c r="AG35" s="80">
        <f>SUMIFS('ноябрь 2024'!$G$5:$G$2220,'ноябрь 2024'!$D$5:$D$2220,$B35,'ноябрь 2024'!$J$5:$J$2220,AG$1)</f>
        <v>0</v>
      </c>
      <c r="AH35" s="80">
        <f>SUMIFS('ноябрь 2024'!$G$5:$G$2220,'ноябрь 2024'!$D$5:$D$2220,$B35,'ноябрь 2024'!$J$5:$J$2220,AH$1)</f>
        <v>0</v>
      </c>
      <c r="AI35" s="21">
        <f t="shared" si="1"/>
        <v>0</v>
      </c>
    </row>
    <row r="36" spans="2:35" ht="15" customHeight="1" x14ac:dyDescent="0.25">
      <c r="B36" s="148" t="s">
        <v>282</v>
      </c>
      <c r="C36" s="149">
        <v>25</v>
      </c>
      <c r="D36" s="80">
        <f>SUMIFS('ноябрь 2024'!$G$5:$G$2220,'ноябрь 2024'!$D$5:$D$2220,$B36,'ноябрь 2024'!$J$5:$J$2220,D$1)</f>
        <v>0</v>
      </c>
      <c r="E36" s="80">
        <f>SUMIFS('ноябрь 2024'!$G$5:$G$2220,'ноябрь 2024'!$D$5:$D$2220,$B36,'ноябрь 2024'!$J$5:$J$2220,E$1)</f>
        <v>0</v>
      </c>
      <c r="F36" s="80">
        <f>SUMIFS('ноябрь 2024'!$G$5:$G$2220,'ноябрь 2024'!$D$5:$D$2220,$B36,'ноябрь 2024'!$J$5:$J$2220,F$1)</f>
        <v>0</v>
      </c>
      <c r="G36" s="80">
        <f>SUMIFS('ноябрь 2024'!$G$5:$G$2220,'ноябрь 2024'!$D$5:$D$2220,$B36,'ноябрь 2024'!$J$5:$J$2220,G$1)</f>
        <v>0</v>
      </c>
      <c r="H36" s="80">
        <f>SUMIFS('ноябрь 2024'!$G$5:$G$2220,'ноябрь 2024'!$D$5:$D$2220,$B36,'ноябрь 2024'!$J$5:$J$2220,H$1)</f>
        <v>0</v>
      </c>
      <c r="I36" s="80">
        <f>SUMIFS('ноябрь 2024'!$G$5:$G$2220,'ноябрь 2024'!$D$5:$D$2220,$B36,'ноябрь 2024'!$J$5:$J$2220,I$1)</f>
        <v>0</v>
      </c>
      <c r="J36" s="80">
        <f>SUMIFS('ноябрь 2024'!$G$5:$G$2220,'ноябрь 2024'!$D$5:$D$2220,$B36,'ноябрь 2024'!$J$5:$J$2220,J$1)</f>
        <v>0</v>
      </c>
      <c r="K36" s="80">
        <f>SUMIFS('ноябрь 2024'!$G$5:$G$2220,'ноябрь 2024'!$D$5:$D$2220,$B36,'ноябрь 2024'!$J$5:$J$2220,K$1)</f>
        <v>0</v>
      </c>
      <c r="L36" s="80">
        <f>SUMIFS('ноябрь 2024'!$G$5:$G$2220,'ноябрь 2024'!$D$5:$D$2220,$B36,'ноябрь 2024'!$J$5:$J$2220,L$1)</f>
        <v>0</v>
      </c>
      <c r="M36" s="80">
        <f>SUMIFS('ноябрь 2024'!$G$5:$G$2220,'ноябрь 2024'!$D$5:$D$2220,$B36,'ноябрь 2024'!$J$5:$J$2220,M$1)</f>
        <v>0</v>
      </c>
      <c r="N36" s="80">
        <f>SUMIFS('ноябрь 2024'!$G$5:$G$2220,'ноябрь 2024'!$D$5:$D$2220,$B36,'ноябрь 2024'!$J$5:$J$2220,N$1)</f>
        <v>0</v>
      </c>
      <c r="O36" s="80">
        <f>SUMIFS('ноябрь 2024'!$G$5:$G$2220,'ноябрь 2024'!$D$5:$D$2220,$B36,'ноябрь 2024'!$J$5:$J$2220,O$1)</f>
        <v>0</v>
      </c>
      <c r="P36" s="80">
        <f>SUMIFS('ноябрь 2024'!$G$5:$G$2220,'ноябрь 2024'!$D$5:$D$2220,$B36,'ноябрь 2024'!$J$5:$J$2220,P$1)</f>
        <v>0</v>
      </c>
      <c r="Q36" s="80">
        <f>SUMIFS('ноябрь 2024'!$G$5:$G$2220,'ноябрь 2024'!$D$5:$D$2220,$B36,'ноябрь 2024'!$J$5:$J$2220,Q$1)</f>
        <v>0</v>
      </c>
      <c r="R36" s="80">
        <f>SUMIFS('ноябрь 2024'!$G$5:$G$2220,'ноябрь 2024'!$D$5:$D$2220,$B36,'ноябрь 2024'!$J$5:$J$2220,R$1)</f>
        <v>0</v>
      </c>
      <c r="S36" s="80">
        <f>SUMIFS('ноябрь 2024'!$G$5:$G$2220,'ноябрь 2024'!$D$5:$D$2220,$B36,'ноябрь 2024'!$J$5:$J$2220,S$1)</f>
        <v>0</v>
      </c>
      <c r="T36" s="80">
        <f>SUMIFS('ноябрь 2024'!$G$5:$G$2220,'ноябрь 2024'!$D$5:$D$2220,$B36,'ноябрь 2024'!$J$5:$J$2220,T$1)</f>
        <v>0</v>
      </c>
      <c r="U36" s="80">
        <f>SUMIFS('ноябрь 2024'!$G$5:$G$2220,'ноябрь 2024'!$D$5:$D$2220,$B36,'ноябрь 2024'!$J$5:$J$2220,U$1)</f>
        <v>0</v>
      </c>
      <c r="V36" s="80">
        <f>SUMIFS('ноябрь 2024'!$G$5:$G$2220,'ноябрь 2024'!$D$5:$D$2220,$B36,'ноябрь 2024'!$J$5:$J$2220,V$1)</f>
        <v>0</v>
      </c>
      <c r="W36" s="80">
        <f>SUMIFS('ноябрь 2024'!$G$5:$G$2220,'ноябрь 2024'!$D$5:$D$2220,$B36,'ноябрь 2024'!$J$5:$J$2220,W$1)</f>
        <v>0</v>
      </c>
      <c r="X36" s="80">
        <f>SUMIFS('ноябрь 2024'!$G$5:$G$2220,'ноябрь 2024'!$D$5:$D$2220,$B36,'ноябрь 2024'!$J$5:$J$2220,X$1)</f>
        <v>0</v>
      </c>
      <c r="Y36" s="80">
        <f>SUMIFS('ноябрь 2024'!$G$5:$G$2220,'ноябрь 2024'!$D$5:$D$2220,$B36,'ноябрь 2024'!$J$5:$J$2220,Y$1)</f>
        <v>0</v>
      </c>
      <c r="Z36" s="80">
        <f>SUMIFS('ноябрь 2024'!$G$5:$G$2220,'ноябрь 2024'!$D$5:$D$2220,$B36,'ноябрь 2024'!$J$5:$J$2220,Z$1)</f>
        <v>0</v>
      </c>
      <c r="AA36" s="80">
        <f>SUMIFS('ноябрь 2024'!$G$5:$G$2220,'ноябрь 2024'!$D$5:$D$2220,$B36,'ноябрь 2024'!$J$5:$J$2220,AA$1)</f>
        <v>0</v>
      </c>
      <c r="AB36" s="80">
        <f>SUMIFS('ноябрь 2024'!$G$5:$G$2220,'ноябрь 2024'!$D$5:$D$2220,$B36,'ноябрь 2024'!$J$5:$J$2220,AB$1)</f>
        <v>0</v>
      </c>
      <c r="AC36" s="80">
        <f>SUMIFS('ноябрь 2024'!$G$5:$G$2220,'ноябрь 2024'!$D$5:$D$2220,$B36,'ноябрь 2024'!$J$5:$J$2220,AC$1)</f>
        <v>0</v>
      </c>
      <c r="AD36" s="80">
        <f>SUMIFS('ноябрь 2024'!$G$5:$G$2220,'ноябрь 2024'!$D$5:$D$2220,$B36,'ноябрь 2024'!$J$5:$J$2220,AD$1)</f>
        <v>0</v>
      </c>
      <c r="AE36" s="80">
        <f>SUMIFS('ноябрь 2024'!$G$5:$G$2220,'ноябрь 2024'!$D$5:$D$2220,$B36,'ноябрь 2024'!$J$5:$J$2220,AE$1)</f>
        <v>0</v>
      </c>
      <c r="AF36" s="80">
        <f>SUMIFS('ноябрь 2024'!$G$5:$G$2220,'ноябрь 2024'!$D$5:$D$2220,$B36,'ноябрь 2024'!$J$5:$J$2220,AF$1)</f>
        <v>0</v>
      </c>
      <c r="AG36" s="80">
        <f>SUMIFS('ноябрь 2024'!$G$5:$G$2220,'ноябрь 2024'!$D$5:$D$2220,$B36,'ноябрь 2024'!$J$5:$J$2220,AG$1)</f>
        <v>0</v>
      </c>
      <c r="AH36" s="80">
        <f>SUMIFS('ноябрь 2024'!$G$5:$G$2220,'ноябрь 2024'!$D$5:$D$2220,$B36,'ноябрь 2024'!$J$5:$J$2220,AH$1)</f>
        <v>0</v>
      </c>
      <c r="AI36" s="21">
        <f t="shared" si="1"/>
        <v>0</v>
      </c>
    </row>
    <row r="37" spans="2:35" ht="15" customHeight="1" x14ac:dyDescent="0.25">
      <c r="B37" s="150" t="s">
        <v>284</v>
      </c>
      <c r="C37" s="151">
        <v>22.68</v>
      </c>
      <c r="D37" s="80">
        <f>SUMIFS('ноябрь 2024'!$G$5:$G$2220,'ноябрь 2024'!$D$5:$D$2220,$B37,'ноябрь 2024'!$J$5:$J$2220,D$1)</f>
        <v>0</v>
      </c>
      <c r="E37" s="80">
        <f>SUMIFS('ноябрь 2024'!$G$5:$G$2220,'ноябрь 2024'!$D$5:$D$2220,$B37,'ноябрь 2024'!$J$5:$J$2220,E$1)</f>
        <v>0</v>
      </c>
      <c r="F37" s="80">
        <f>SUMIFS('ноябрь 2024'!$G$5:$G$2220,'ноябрь 2024'!$D$5:$D$2220,$B37,'ноябрь 2024'!$J$5:$J$2220,F$1)</f>
        <v>0</v>
      </c>
      <c r="G37" s="80">
        <f>SUMIFS('ноябрь 2024'!$G$5:$G$2220,'ноябрь 2024'!$D$5:$D$2220,$B37,'ноябрь 2024'!$J$5:$J$2220,G$1)</f>
        <v>0</v>
      </c>
      <c r="H37" s="80">
        <f>SUMIFS('ноябрь 2024'!$G$5:$G$2220,'ноябрь 2024'!$D$5:$D$2220,$B37,'ноябрь 2024'!$J$5:$J$2220,H$1)</f>
        <v>0</v>
      </c>
      <c r="I37" s="80">
        <f>SUMIFS('ноябрь 2024'!$G$5:$G$2220,'ноябрь 2024'!$D$5:$D$2220,$B37,'ноябрь 2024'!$J$5:$J$2220,I$1)</f>
        <v>0</v>
      </c>
      <c r="J37" s="80">
        <f>SUMIFS('ноябрь 2024'!$G$5:$G$2220,'ноябрь 2024'!$D$5:$D$2220,$B37,'ноябрь 2024'!$J$5:$J$2220,J$1)</f>
        <v>0</v>
      </c>
      <c r="K37" s="80">
        <f>SUMIFS('ноябрь 2024'!$G$5:$G$2220,'ноябрь 2024'!$D$5:$D$2220,$B37,'ноябрь 2024'!$J$5:$J$2220,K$1)</f>
        <v>0</v>
      </c>
      <c r="L37" s="80">
        <f>SUMIFS('ноябрь 2024'!$G$5:$G$2220,'ноябрь 2024'!$D$5:$D$2220,$B37,'ноябрь 2024'!$J$5:$J$2220,L$1)</f>
        <v>0</v>
      </c>
      <c r="M37" s="80">
        <f>SUMIFS('ноябрь 2024'!$G$5:$G$2220,'ноябрь 2024'!$D$5:$D$2220,$B37,'ноябрь 2024'!$J$5:$J$2220,M$1)</f>
        <v>0</v>
      </c>
      <c r="N37" s="80">
        <f>SUMIFS('ноябрь 2024'!$G$5:$G$2220,'ноябрь 2024'!$D$5:$D$2220,$B37,'ноябрь 2024'!$J$5:$J$2220,N$1)</f>
        <v>0</v>
      </c>
      <c r="O37" s="80">
        <f>SUMIFS('ноябрь 2024'!$G$5:$G$2220,'ноябрь 2024'!$D$5:$D$2220,$B37,'ноябрь 2024'!$J$5:$J$2220,O$1)</f>
        <v>0</v>
      </c>
      <c r="P37" s="80">
        <f>SUMIFS('ноябрь 2024'!$G$5:$G$2220,'ноябрь 2024'!$D$5:$D$2220,$B37,'ноябрь 2024'!$J$5:$J$2220,P$1)</f>
        <v>0</v>
      </c>
      <c r="Q37" s="80">
        <f>SUMIFS('ноябрь 2024'!$G$5:$G$2220,'ноябрь 2024'!$D$5:$D$2220,$B37,'ноябрь 2024'!$J$5:$J$2220,Q$1)</f>
        <v>0</v>
      </c>
      <c r="R37" s="80">
        <f>SUMIFS('ноябрь 2024'!$G$5:$G$2220,'ноябрь 2024'!$D$5:$D$2220,$B37,'ноябрь 2024'!$J$5:$J$2220,R$1)</f>
        <v>0</v>
      </c>
      <c r="S37" s="80">
        <f>SUMIFS('ноябрь 2024'!$G$5:$G$2220,'ноябрь 2024'!$D$5:$D$2220,$B37,'ноябрь 2024'!$J$5:$J$2220,S$1)</f>
        <v>0</v>
      </c>
      <c r="T37" s="80">
        <f>SUMIFS('ноябрь 2024'!$G$5:$G$2220,'ноябрь 2024'!$D$5:$D$2220,$B37,'ноябрь 2024'!$J$5:$J$2220,T$1)</f>
        <v>0</v>
      </c>
      <c r="U37" s="80">
        <f>SUMIFS('ноябрь 2024'!$G$5:$G$2220,'ноябрь 2024'!$D$5:$D$2220,$B37,'ноябрь 2024'!$J$5:$J$2220,U$1)</f>
        <v>0</v>
      </c>
      <c r="V37" s="80">
        <f>SUMIFS('ноябрь 2024'!$G$5:$G$2220,'ноябрь 2024'!$D$5:$D$2220,$B37,'ноябрь 2024'!$J$5:$J$2220,V$1)</f>
        <v>0</v>
      </c>
      <c r="W37" s="80">
        <f>SUMIFS('ноябрь 2024'!$G$5:$G$2220,'ноябрь 2024'!$D$5:$D$2220,$B37,'ноябрь 2024'!$J$5:$J$2220,W$1)</f>
        <v>0</v>
      </c>
      <c r="X37" s="80">
        <f>SUMIFS('ноябрь 2024'!$G$5:$G$2220,'ноябрь 2024'!$D$5:$D$2220,$B37,'ноябрь 2024'!$J$5:$J$2220,X$1)</f>
        <v>0</v>
      </c>
      <c r="Y37" s="80">
        <f>SUMIFS('ноябрь 2024'!$G$5:$G$2220,'ноябрь 2024'!$D$5:$D$2220,$B37,'ноябрь 2024'!$J$5:$J$2220,Y$1)</f>
        <v>0</v>
      </c>
      <c r="Z37" s="80">
        <f>SUMIFS('ноябрь 2024'!$G$5:$G$2220,'ноябрь 2024'!$D$5:$D$2220,$B37,'ноябрь 2024'!$J$5:$J$2220,Z$1)</f>
        <v>0</v>
      </c>
      <c r="AA37" s="80">
        <f>SUMIFS('ноябрь 2024'!$G$5:$G$2220,'ноябрь 2024'!$D$5:$D$2220,$B37,'ноябрь 2024'!$J$5:$J$2220,AA$1)</f>
        <v>0</v>
      </c>
      <c r="AB37" s="80">
        <f>SUMIFS('ноябрь 2024'!$G$5:$G$2220,'ноябрь 2024'!$D$5:$D$2220,$B37,'ноябрь 2024'!$J$5:$J$2220,AB$1)</f>
        <v>0</v>
      </c>
      <c r="AC37" s="80">
        <f>SUMIFS('ноябрь 2024'!$G$5:$G$2220,'ноябрь 2024'!$D$5:$D$2220,$B37,'ноябрь 2024'!$J$5:$J$2220,AC$1)</f>
        <v>0</v>
      </c>
      <c r="AD37" s="80">
        <f>SUMIFS('ноябрь 2024'!$G$5:$G$2220,'ноябрь 2024'!$D$5:$D$2220,$B37,'ноябрь 2024'!$J$5:$J$2220,AD$1)</f>
        <v>0</v>
      </c>
      <c r="AE37" s="80">
        <f>SUMIFS('ноябрь 2024'!$G$5:$G$2220,'ноябрь 2024'!$D$5:$D$2220,$B37,'ноябрь 2024'!$J$5:$J$2220,AE$1)</f>
        <v>0</v>
      </c>
      <c r="AF37" s="80">
        <f>SUMIFS('ноябрь 2024'!$G$5:$G$2220,'ноябрь 2024'!$D$5:$D$2220,$B37,'ноябрь 2024'!$J$5:$J$2220,AF$1)</f>
        <v>0</v>
      </c>
      <c r="AG37" s="80">
        <f>SUMIFS('ноябрь 2024'!$G$5:$G$2220,'ноябрь 2024'!$D$5:$D$2220,$B37,'ноябрь 2024'!$J$5:$J$2220,AG$1)</f>
        <v>0</v>
      </c>
      <c r="AH37" s="80">
        <f>SUMIFS('ноябрь 2024'!$G$5:$G$2220,'ноябрь 2024'!$D$5:$D$2220,$B37,'ноябрь 2024'!$J$5:$J$2220,AH$1)</f>
        <v>0</v>
      </c>
      <c r="AI37" s="21">
        <f t="shared" si="1"/>
        <v>0</v>
      </c>
    </row>
    <row r="38" spans="2:35" ht="15" customHeight="1" x14ac:dyDescent="0.25">
      <c r="B38" s="150" t="s">
        <v>286</v>
      </c>
      <c r="C38" s="152">
        <v>25</v>
      </c>
      <c r="D38" s="80">
        <f>SUMIFS('ноябрь 2024'!$G$5:$G$2220,'ноябрь 2024'!$D$5:$D$2220,$B38,'ноябрь 2024'!$J$5:$J$2220,D$1)</f>
        <v>0</v>
      </c>
      <c r="E38" s="80">
        <f>SUMIFS('ноябрь 2024'!$G$5:$G$2220,'ноябрь 2024'!$D$5:$D$2220,$B38,'ноябрь 2024'!$J$5:$J$2220,E$1)</f>
        <v>0</v>
      </c>
      <c r="F38" s="80">
        <f>SUMIFS('ноябрь 2024'!$G$5:$G$2220,'ноябрь 2024'!$D$5:$D$2220,$B38,'ноябрь 2024'!$J$5:$J$2220,F$1)</f>
        <v>0</v>
      </c>
      <c r="G38" s="80">
        <f>SUMIFS('ноябрь 2024'!$G$5:$G$2220,'ноябрь 2024'!$D$5:$D$2220,$B38,'ноябрь 2024'!$J$5:$J$2220,G$1)</f>
        <v>0</v>
      </c>
      <c r="H38" s="80">
        <f>SUMIFS('ноябрь 2024'!$G$5:$G$2220,'ноябрь 2024'!$D$5:$D$2220,$B38,'ноябрь 2024'!$J$5:$J$2220,H$1)</f>
        <v>0</v>
      </c>
      <c r="I38" s="80">
        <f>SUMIFS('ноябрь 2024'!$G$5:$G$2220,'ноябрь 2024'!$D$5:$D$2220,$B38,'ноябрь 2024'!$J$5:$J$2220,I$1)</f>
        <v>0</v>
      </c>
      <c r="J38" s="80">
        <f>SUMIFS('ноябрь 2024'!$G$5:$G$2220,'ноябрь 2024'!$D$5:$D$2220,$B38,'ноябрь 2024'!$J$5:$J$2220,J$1)</f>
        <v>0</v>
      </c>
      <c r="K38" s="80">
        <f>SUMIFS('ноябрь 2024'!$G$5:$G$2220,'ноябрь 2024'!$D$5:$D$2220,$B38,'ноябрь 2024'!$J$5:$J$2220,K$1)</f>
        <v>0</v>
      </c>
      <c r="L38" s="80">
        <f>SUMIFS('ноябрь 2024'!$G$5:$G$2220,'ноябрь 2024'!$D$5:$D$2220,$B38,'ноябрь 2024'!$J$5:$J$2220,L$1)</f>
        <v>0</v>
      </c>
      <c r="M38" s="80">
        <f>SUMIFS('ноябрь 2024'!$G$5:$G$2220,'ноябрь 2024'!$D$5:$D$2220,$B38,'ноябрь 2024'!$J$5:$J$2220,M$1)</f>
        <v>0</v>
      </c>
      <c r="N38" s="80">
        <f>SUMIFS('ноябрь 2024'!$G$5:$G$2220,'ноябрь 2024'!$D$5:$D$2220,$B38,'ноябрь 2024'!$J$5:$J$2220,N$1)</f>
        <v>0</v>
      </c>
      <c r="O38" s="80">
        <f>SUMIFS('ноябрь 2024'!$G$5:$G$2220,'ноябрь 2024'!$D$5:$D$2220,$B38,'ноябрь 2024'!$J$5:$J$2220,O$1)</f>
        <v>0</v>
      </c>
      <c r="P38" s="80">
        <f>SUMIFS('ноябрь 2024'!$G$5:$G$2220,'ноябрь 2024'!$D$5:$D$2220,$B38,'ноябрь 2024'!$J$5:$J$2220,P$1)</f>
        <v>0</v>
      </c>
      <c r="Q38" s="80">
        <f>SUMIFS('ноябрь 2024'!$G$5:$G$2220,'ноябрь 2024'!$D$5:$D$2220,$B38,'ноябрь 2024'!$J$5:$J$2220,Q$1)</f>
        <v>0</v>
      </c>
      <c r="R38" s="80">
        <f>SUMIFS('ноябрь 2024'!$G$5:$G$2220,'ноябрь 2024'!$D$5:$D$2220,$B38,'ноябрь 2024'!$J$5:$J$2220,R$1)</f>
        <v>0</v>
      </c>
      <c r="S38" s="80">
        <f>SUMIFS('ноябрь 2024'!$G$5:$G$2220,'ноябрь 2024'!$D$5:$D$2220,$B38,'ноябрь 2024'!$J$5:$J$2220,S$1)</f>
        <v>0</v>
      </c>
      <c r="T38" s="80">
        <f>SUMIFS('ноябрь 2024'!$G$5:$G$2220,'ноябрь 2024'!$D$5:$D$2220,$B38,'ноябрь 2024'!$J$5:$J$2220,T$1)</f>
        <v>0</v>
      </c>
      <c r="U38" s="80">
        <f>SUMIFS('ноябрь 2024'!$G$5:$G$2220,'ноябрь 2024'!$D$5:$D$2220,$B38,'ноябрь 2024'!$J$5:$J$2220,U$1)</f>
        <v>0</v>
      </c>
      <c r="V38" s="80">
        <f>SUMIFS('ноябрь 2024'!$G$5:$G$2220,'ноябрь 2024'!$D$5:$D$2220,$B38,'ноябрь 2024'!$J$5:$J$2220,V$1)</f>
        <v>0</v>
      </c>
      <c r="W38" s="80">
        <f>SUMIFS('ноябрь 2024'!$G$5:$G$2220,'ноябрь 2024'!$D$5:$D$2220,$B38,'ноябрь 2024'!$J$5:$J$2220,W$1)</f>
        <v>0</v>
      </c>
      <c r="X38" s="80">
        <f>SUMIFS('ноябрь 2024'!$G$5:$G$2220,'ноябрь 2024'!$D$5:$D$2220,$B38,'ноябрь 2024'!$J$5:$J$2220,X$1)</f>
        <v>0</v>
      </c>
      <c r="Y38" s="80">
        <f>SUMIFS('ноябрь 2024'!$G$5:$G$2220,'ноябрь 2024'!$D$5:$D$2220,$B38,'ноябрь 2024'!$J$5:$J$2220,Y$1)</f>
        <v>0</v>
      </c>
      <c r="Z38" s="80">
        <f>SUMIFS('ноябрь 2024'!$G$5:$G$2220,'ноябрь 2024'!$D$5:$D$2220,$B38,'ноябрь 2024'!$J$5:$J$2220,Z$1)</f>
        <v>0</v>
      </c>
      <c r="AA38" s="80">
        <f>SUMIFS('ноябрь 2024'!$G$5:$G$2220,'ноябрь 2024'!$D$5:$D$2220,$B38,'ноябрь 2024'!$J$5:$J$2220,AA$1)</f>
        <v>0</v>
      </c>
      <c r="AB38" s="80">
        <f>SUMIFS('ноябрь 2024'!$G$5:$G$2220,'ноябрь 2024'!$D$5:$D$2220,$B38,'ноябрь 2024'!$J$5:$J$2220,AB$1)</f>
        <v>0</v>
      </c>
      <c r="AC38" s="80">
        <f>SUMIFS('ноябрь 2024'!$G$5:$G$2220,'ноябрь 2024'!$D$5:$D$2220,$B38,'ноябрь 2024'!$J$5:$J$2220,AC$1)</f>
        <v>0</v>
      </c>
      <c r="AD38" s="80">
        <f>SUMIFS('ноябрь 2024'!$G$5:$G$2220,'ноябрь 2024'!$D$5:$D$2220,$B38,'ноябрь 2024'!$J$5:$J$2220,AD$1)</f>
        <v>0</v>
      </c>
      <c r="AE38" s="80">
        <f>SUMIFS('ноябрь 2024'!$G$5:$G$2220,'ноябрь 2024'!$D$5:$D$2220,$B38,'ноябрь 2024'!$J$5:$J$2220,AE$1)</f>
        <v>0</v>
      </c>
      <c r="AF38" s="80">
        <f>SUMIFS('ноябрь 2024'!$G$5:$G$2220,'ноябрь 2024'!$D$5:$D$2220,$B38,'ноябрь 2024'!$J$5:$J$2220,AF$1)</f>
        <v>1600</v>
      </c>
      <c r="AG38" s="80">
        <f>SUMIFS('ноябрь 2024'!$G$5:$G$2220,'ноябрь 2024'!$D$5:$D$2220,$B38,'ноябрь 2024'!$J$5:$J$2220,AG$1)</f>
        <v>0</v>
      </c>
      <c r="AH38" s="80">
        <f>SUMIFS('ноябрь 2024'!$G$5:$G$2220,'ноябрь 2024'!$D$5:$D$2220,$B38,'ноябрь 2024'!$J$5:$J$2220,AH$1)</f>
        <v>0</v>
      </c>
      <c r="AI38" s="21">
        <f t="shared" si="1"/>
        <v>1600</v>
      </c>
    </row>
    <row r="39" spans="2:35" ht="15" customHeight="1" x14ac:dyDescent="0.25">
      <c r="B39" s="150" t="s">
        <v>288</v>
      </c>
      <c r="C39" s="153">
        <v>25</v>
      </c>
      <c r="D39" s="80">
        <f>SUMIFS('ноябрь 2024'!$G$5:$G$2220,'ноябрь 2024'!$D$5:$D$2220,$B39,'ноябрь 2024'!$J$5:$J$2220,D$1)</f>
        <v>0</v>
      </c>
      <c r="E39" s="80">
        <f>SUMIFS('ноябрь 2024'!$G$5:$G$2220,'ноябрь 2024'!$D$5:$D$2220,$B39,'ноябрь 2024'!$J$5:$J$2220,E$1)</f>
        <v>0</v>
      </c>
      <c r="F39" s="80">
        <f>SUMIFS('ноябрь 2024'!$G$5:$G$2220,'ноябрь 2024'!$D$5:$D$2220,$B39,'ноябрь 2024'!$J$5:$J$2220,F$1)</f>
        <v>0</v>
      </c>
      <c r="G39" s="80">
        <f>SUMIFS('ноябрь 2024'!$G$5:$G$2220,'ноябрь 2024'!$D$5:$D$2220,$B39,'ноябрь 2024'!$J$5:$J$2220,G$1)</f>
        <v>0</v>
      </c>
      <c r="H39" s="80">
        <f>SUMIFS('ноябрь 2024'!$G$5:$G$2220,'ноябрь 2024'!$D$5:$D$2220,$B39,'ноябрь 2024'!$J$5:$J$2220,H$1)</f>
        <v>0</v>
      </c>
      <c r="I39" s="80">
        <f>SUMIFS('ноябрь 2024'!$G$5:$G$2220,'ноябрь 2024'!$D$5:$D$2220,$B39,'ноябрь 2024'!$J$5:$J$2220,I$1)</f>
        <v>0</v>
      </c>
      <c r="J39" s="80">
        <f>SUMIFS('ноябрь 2024'!$G$5:$G$2220,'ноябрь 2024'!$D$5:$D$2220,$B39,'ноябрь 2024'!$J$5:$J$2220,J$1)</f>
        <v>0</v>
      </c>
      <c r="K39" s="80">
        <f>SUMIFS('ноябрь 2024'!$G$5:$G$2220,'ноябрь 2024'!$D$5:$D$2220,$B39,'ноябрь 2024'!$J$5:$J$2220,K$1)</f>
        <v>0</v>
      </c>
      <c r="L39" s="80">
        <f>SUMIFS('ноябрь 2024'!$G$5:$G$2220,'ноябрь 2024'!$D$5:$D$2220,$B39,'ноябрь 2024'!$J$5:$J$2220,L$1)</f>
        <v>0</v>
      </c>
      <c r="M39" s="80">
        <f>SUMIFS('ноябрь 2024'!$G$5:$G$2220,'ноябрь 2024'!$D$5:$D$2220,$B39,'ноябрь 2024'!$J$5:$J$2220,M$1)</f>
        <v>0</v>
      </c>
      <c r="N39" s="80">
        <f>SUMIFS('ноябрь 2024'!$G$5:$G$2220,'ноябрь 2024'!$D$5:$D$2220,$B39,'ноябрь 2024'!$J$5:$J$2220,N$1)</f>
        <v>0</v>
      </c>
      <c r="O39" s="80">
        <f>SUMIFS('ноябрь 2024'!$G$5:$G$2220,'ноябрь 2024'!$D$5:$D$2220,$B39,'ноябрь 2024'!$J$5:$J$2220,O$1)</f>
        <v>0</v>
      </c>
      <c r="P39" s="80">
        <f>SUMIFS('ноябрь 2024'!$G$5:$G$2220,'ноябрь 2024'!$D$5:$D$2220,$B39,'ноябрь 2024'!$J$5:$J$2220,P$1)</f>
        <v>0</v>
      </c>
      <c r="Q39" s="80">
        <f>SUMIFS('ноябрь 2024'!$G$5:$G$2220,'ноябрь 2024'!$D$5:$D$2220,$B39,'ноябрь 2024'!$J$5:$J$2220,Q$1)</f>
        <v>0</v>
      </c>
      <c r="R39" s="80">
        <f>SUMIFS('ноябрь 2024'!$G$5:$G$2220,'ноябрь 2024'!$D$5:$D$2220,$B39,'ноябрь 2024'!$J$5:$J$2220,R$1)</f>
        <v>0</v>
      </c>
      <c r="S39" s="80">
        <f>SUMIFS('ноябрь 2024'!$G$5:$G$2220,'ноябрь 2024'!$D$5:$D$2220,$B39,'ноябрь 2024'!$J$5:$J$2220,S$1)</f>
        <v>0</v>
      </c>
      <c r="T39" s="80">
        <f>SUMIFS('ноябрь 2024'!$G$5:$G$2220,'ноябрь 2024'!$D$5:$D$2220,$B39,'ноябрь 2024'!$J$5:$J$2220,T$1)</f>
        <v>0</v>
      </c>
      <c r="U39" s="80">
        <f>SUMIFS('ноябрь 2024'!$G$5:$G$2220,'ноябрь 2024'!$D$5:$D$2220,$B39,'ноябрь 2024'!$J$5:$J$2220,U$1)</f>
        <v>0</v>
      </c>
      <c r="V39" s="80">
        <f>SUMIFS('ноябрь 2024'!$G$5:$G$2220,'ноябрь 2024'!$D$5:$D$2220,$B39,'ноябрь 2024'!$J$5:$J$2220,V$1)</f>
        <v>0</v>
      </c>
      <c r="W39" s="80">
        <f>SUMIFS('ноябрь 2024'!$G$5:$G$2220,'ноябрь 2024'!$D$5:$D$2220,$B39,'ноябрь 2024'!$J$5:$J$2220,W$1)</f>
        <v>0</v>
      </c>
      <c r="X39" s="80">
        <f>SUMIFS('ноябрь 2024'!$G$5:$G$2220,'ноябрь 2024'!$D$5:$D$2220,$B39,'ноябрь 2024'!$J$5:$J$2220,X$1)</f>
        <v>0</v>
      </c>
      <c r="Y39" s="80">
        <f>SUMIFS('ноябрь 2024'!$G$5:$G$2220,'ноябрь 2024'!$D$5:$D$2220,$B39,'ноябрь 2024'!$J$5:$J$2220,Y$1)</f>
        <v>0</v>
      </c>
      <c r="Z39" s="80">
        <f>SUMIFS('ноябрь 2024'!$G$5:$G$2220,'ноябрь 2024'!$D$5:$D$2220,$B39,'ноябрь 2024'!$J$5:$J$2220,Z$1)</f>
        <v>0</v>
      </c>
      <c r="AA39" s="80">
        <f>SUMIFS('ноябрь 2024'!$G$5:$G$2220,'ноябрь 2024'!$D$5:$D$2220,$B39,'ноябрь 2024'!$J$5:$J$2220,AA$1)</f>
        <v>0</v>
      </c>
      <c r="AB39" s="80">
        <f>SUMIFS('ноябрь 2024'!$G$5:$G$2220,'ноябрь 2024'!$D$5:$D$2220,$B39,'ноябрь 2024'!$J$5:$J$2220,AB$1)</f>
        <v>0</v>
      </c>
      <c r="AC39" s="80">
        <f>SUMIFS('ноябрь 2024'!$G$5:$G$2220,'ноябрь 2024'!$D$5:$D$2220,$B39,'ноябрь 2024'!$J$5:$J$2220,AC$1)</f>
        <v>0</v>
      </c>
      <c r="AD39" s="80">
        <f>SUMIFS('ноябрь 2024'!$G$5:$G$2220,'ноябрь 2024'!$D$5:$D$2220,$B39,'ноябрь 2024'!$J$5:$J$2220,AD$1)</f>
        <v>0</v>
      </c>
      <c r="AE39" s="80">
        <f>SUMIFS('ноябрь 2024'!$G$5:$G$2220,'ноябрь 2024'!$D$5:$D$2220,$B39,'ноябрь 2024'!$J$5:$J$2220,AE$1)</f>
        <v>0</v>
      </c>
      <c r="AF39" s="80">
        <f>SUMIFS('ноябрь 2024'!$G$5:$G$2220,'ноябрь 2024'!$D$5:$D$2220,$B39,'ноябрь 2024'!$J$5:$J$2220,AF$1)</f>
        <v>0</v>
      </c>
      <c r="AG39" s="80">
        <f>SUMIFS('ноябрь 2024'!$G$5:$G$2220,'ноябрь 2024'!$D$5:$D$2220,$B39,'ноябрь 2024'!$J$5:$J$2220,AG$1)</f>
        <v>0</v>
      </c>
      <c r="AH39" s="80">
        <f>SUMIFS('ноябрь 2024'!$G$5:$G$2220,'ноябрь 2024'!$D$5:$D$2220,$B39,'ноябрь 2024'!$J$5:$J$2220,AH$1)</f>
        <v>0</v>
      </c>
      <c r="AI39" s="21">
        <f t="shared" si="1"/>
        <v>0</v>
      </c>
    </row>
    <row r="40" spans="2:35" ht="15" customHeight="1" x14ac:dyDescent="0.25">
      <c r="B40" s="150" t="s">
        <v>290</v>
      </c>
      <c r="C40" s="149">
        <v>22.68</v>
      </c>
      <c r="D40" s="80">
        <f>SUMIFS('ноябрь 2024'!$G$5:$G$2220,'ноябрь 2024'!$D$5:$D$2220,$B40,'ноябрь 2024'!$J$5:$J$2220,D$1)</f>
        <v>0</v>
      </c>
      <c r="E40" s="80">
        <f>SUMIFS('ноябрь 2024'!$G$5:$G$2220,'ноябрь 2024'!$D$5:$D$2220,$B40,'ноябрь 2024'!$J$5:$J$2220,E$1)</f>
        <v>0</v>
      </c>
      <c r="F40" s="80">
        <f>SUMIFS('ноябрь 2024'!$G$5:$G$2220,'ноябрь 2024'!$D$5:$D$2220,$B40,'ноябрь 2024'!$J$5:$J$2220,F$1)</f>
        <v>0</v>
      </c>
      <c r="G40" s="80">
        <f>SUMIFS('ноябрь 2024'!$G$5:$G$2220,'ноябрь 2024'!$D$5:$D$2220,$B40,'ноябрь 2024'!$J$5:$J$2220,G$1)</f>
        <v>0</v>
      </c>
      <c r="H40" s="80">
        <f>SUMIFS('ноябрь 2024'!$G$5:$G$2220,'ноябрь 2024'!$D$5:$D$2220,$B40,'ноябрь 2024'!$J$5:$J$2220,H$1)</f>
        <v>0</v>
      </c>
      <c r="I40" s="80">
        <f>SUMIFS('ноябрь 2024'!$G$5:$G$2220,'ноябрь 2024'!$D$5:$D$2220,$B40,'ноябрь 2024'!$J$5:$J$2220,I$1)</f>
        <v>0</v>
      </c>
      <c r="J40" s="80">
        <f>SUMIFS('ноябрь 2024'!$G$5:$G$2220,'ноябрь 2024'!$D$5:$D$2220,$B40,'ноябрь 2024'!$J$5:$J$2220,J$1)</f>
        <v>0</v>
      </c>
      <c r="K40" s="80">
        <f>SUMIFS('ноябрь 2024'!$G$5:$G$2220,'ноябрь 2024'!$D$5:$D$2220,$B40,'ноябрь 2024'!$J$5:$J$2220,K$1)</f>
        <v>0</v>
      </c>
      <c r="L40" s="80">
        <f>SUMIFS('ноябрь 2024'!$G$5:$G$2220,'ноябрь 2024'!$D$5:$D$2220,$B40,'ноябрь 2024'!$J$5:$J$2220,L$1)</f>
        <v>0</v>
      </c>
      <c r="M40" s="80">
        <f>SUMIFS('ноябрь 2024'!$G$5:$G$2220,'ноябрь 2024'!$D$5:$D$2220,$B40,'ноябрь 2024'!$J$5:$J$2220,M$1)</f>
        <v>0</v>
      </c>
      <c r="N40" s="80">
        <f>SUMIFS('ноябрь 2024'!$G$5:$G$2220,'ноябрь 2024'!$D$5:$D$2220,$B40,'ноябрь 2024'!$J$5:$J$2220,N$1)</f>
        <v>0</v>
      </c>
      <c r="O40" s="80">
        <f>SUMIFS('ноябрь 2024'!$G$5:$G$2220,'ноябрь 2024'!$D$5:$D$2220,$B40,'ноябрь 2024'!$J$5:$J$2220,O$1)</f>
        <v>0</v>
      </c>
      <c r="P40" s="80">
        <f>SUMIFS('ноябрь 2024'!$G$5:$G$2220,'ноябрь 2024'!$D$5:$D$2220,$B40,'ноябрь 2024'!$J$5:$J$2220,P$1)</f>
        <v>0</v>
      </c>
      <c r="Q40" s="80">
        <f>SUMIFS('ноябрь 2024'!$G$5:$G$2220,'ноябрь 2024'!$D$5:$D$2220,$B40,'ноябрь 2024'!$J$5:$J$2220,Q$1)</f>
        <v>0</v>
      </c>
      <c r="R40" s="80">
        <f>SUMIFS('ноябрь 2024'!$G$5:$G$2220,'ноябрь 2024'!$D$5:$D$2220,$B40,'ноябрь 2024'!$J$5:$J$2220,R$1)</f>
        <v>0</v>
      </c>
      <c r="S40" s="80">
        <f>SUMIFS('ноябрь 2024'!$G$5:$G$2220,'ноябрь 2024'!$D$5:$D$2220,$B40,'ноябрь 2024'!$J$5:$J$2220,S$1)</f>
        <v>0</v>
      </c>
      <c r="T40" s="80">
        <f>SUMIFS('ноябрь 2024'!$G$5:$G$2220,'ноябрь 2024'!$D$5:$D$2220,$B40,'ноябрь 2024'!$J$5:$J$2220,T$1)</f>
        <v>0</v>
      </c>
      <c r="U40" s="80">
        <f>SUMIFS('ноябрь 2024'!$G$5:$G$2220,'ноябрь 2024'!$D$5:$D$2220,$B40,'ноябрь 2024'!$J$5:$J$2220,U$1)</f>
        <v>0</v>
      </c>
      <c r="V40" s="80">
        <f>SUMIFS('ноябрь 2024'!$G$5:$G$2220,'ноябрь 2024'!$D$5:$D$2220,$B40,'ноябрь 2024'!$J$5:$J$2220,V$1)</f>
        <v>0</v>
      </c>
      <c r="W40" s="80">
        <f>SUMIFS('ноябрь 2024'!$G$5:$G$2220,'ноябрь 2024'!$D$5:$D$2220,$B40,'ноябрь 2024'!$J$5:$J$2220,W$1)</f>
        <v>0</v>
      </c>
      <c r="X40" s="80">
        <f>SUMIFS('ноябрь 2024'!$G$5:$G$2220,'ноябрь 2024'!$D$5:$D$2220,$B40,'ноябрь 2024'!$J$5:$J$2220,X$1)</f>
        <v>0</v>
      </c>
      <c r="Y40" s="80">
        <f>SUMIFS('ноябрь 2024'!$G$5:$G$2220,'ноябрь 2024'!$D$5:$D$2220,$B40,'ноябрь 2024'!$J$5:$J$2220,Y$1)</f>
        <v>0</v>
      </c>
      <c r="Z40" s="80">
        <f>SUMIFS('ноябрь 2024'!$G$5:$G$2220,'ноябрь 2024'!$D$5:$D$2220,$B40,'ноябрь 2024'!$J$5:$J$2220,Z$1)</f>
        <v>0</v>
      </c>
      <c r="AA40" s="80">
        <f>SUMIFS('ноябрь 2024'!$G$5:$G$2220,'ноябрь 2024'!$D$5:$D$2220,$B40,'ноябрь 2024'!$J$5:$J$2220,AA$1)</f>
        <v>0</v>
      </c>
      <c r="AB40" s="80">
        <f>SUMIFS('ноябрь 2024'!$G$5:$G$2220,'ноябрь 2024'!$D$5:$D$2220,$B40,'ноябрь 2024'!$J$5:$J$2220,AB$1)</f>
        <v>0</v>
      </c>
      <c r="AC40" s="80">
        <f>SUMIFS('ноябрь 2024'!$G$5:$G$2220,'ноябрь 2024'!$D$5:$D$2220,$B40,'ноябрь 2024'!$J$5:$J$2220,AC$1)</f>
        <v>0</v>
      </c>
      <c r="AD40" s="80">
        <f>SUMIFS('ноябрь 2024'!$G$5:$G$2220,'ноябрь 2024'!$D$5:$D$2220,$B40,'ноябрь 2024'!$J$5:$J$2220,AD$1)</f>
        <v>0</v>
      </c>
      <c r="AE40" s="80">
        <f>SUMIFS('ноябрь 2024'!$G$5:$G$2220,'ноябрь 2024'!$D$5:$D$2220,$B40,'ноябрь 2024'!$J$5:$J$2220,AE$1)</f>
        <v>0</v>
      </c>
      <c r="AF40" s="80">
        <f>SUMIFS('ноябрь 2024'!$G$5:$G$2220,'ноябрь 2024'!$D$5:$D$2220,$B40,'ноябрь 2024'!$J$5:$J$2220,AF$1)</f>
        <v>0</v>
      </c>
      <c r="AG40" s="80">
        <f>SUMIFS('ноябрь 2024'!$G$5:$G$2220,'ноябрь 2024'!$D$5:$D$2220,$B40,'ноябрь 2024'!$J$5:$J$2220,AG$1)</f>
        <v>0</v>
      </c>
      <c r="AH40" s="80">
        <f>SUMIFS('ноябрь 2024'!$G$5:$G$2220,'ноябрь 2024'!$D$5:$D$2220,$B40,'ноябрь 2024'!$J$5:$J$2220,AH$1)</f>
        <v>0</v>
      </c>
      <c r="AI40" s="21">
        <f t="shared" si="1"/>
        <v>0</v>
      </c>
    </row>
    <row r="41" spans="2:35" ht="15" customHeight="1" x14ac:dyDescent="0.25">
      <c r="B41" s="154" t="s">
        <v>292</v>
      </c>
      <c r="C41" s="151">
        <v>25</v>
      </c>
      <c r="D41" s="80">
        <f>SUMIFS('ноябрь 2024'!$G$5:$G$2220,'ноябрь 2024'!$D$5:$D$2220,$B41,'ноябрь 2024'!$J$5:$J$2220,D$1)</f>
        <v>0</v>
      </c>
      <c r="E41" s="80">
        <f>SUMIFS('ноябрь 2024'!$G$5:$G$2220,'ноябрь 2024'!$D$5:$D$2220,$B41,'ноябрь 2024'!$J$5:$J$2220,E$1)</f>
        <v>0</v>
      </c>
      <c r="F41" s="80">
        <f>SUMIFS('ноябрь 2024'!$G$5:$G$2220,'ноябрь 2024'!$D$5:$D$2220,$B41,'ноябрь 2024'!$J$5:$J$2220,F$1)</f>
        <v>0</v>
      </c>
      <c r="G41" s="80">
        <f>SUMIFS('ноябрь 2024'!$G$5:$G$2220,'ноябрь 2024'!$D$5:$D$2220,$B41,'ноябрь 2024'!$J$5:$J$2220,G$1)</f>
        <v>0</v>
      </c>
      <c r="H41" s="80">
        <f>SUMIFS('ноябрь 2024'!$G$5:$G$2220,'ноябрь 2024'!$D$5:$D$2220,$B41,'ноябрь 2024'!$J$5:$J$2220,H$1)</f>
        <v>0</v>
      </c>
      <c r="I41" s="80">
        <f>SUMIFS('ноябрь 2024'!$G$5:$G$2220,'ноябрь 2024'!$D$5:$D$2220,$B41,'ноябрь 2024'!$J$5:$J$2220,I$1)</f>
        <v>0</v>
      </c>
      <c r="J41" s="80">
        <f>SUMIFS('ноябрь 2024'!$G$5:$G$2220,'ноябрь 2024'!$D$5:$D$2220,$B41,'ноябрь 2024'!$J$5:$J$2220,J$1)</f>
        <v>0</v>
      </c>
      <c r="K41" s="80">
        <f>SUMIFS('ноябрь 2024'!$G$5:$G$2220,'ноябрь 2024'!$D$5:$D$2220,$B41,'ноябрь 2024'!$J$5:$J$2220,K$1)</f>
        <v>0</v>
      </c>
      <c r="L41" s="80">
        <f>SUMIFS('ноябрь 2024'!$G$5:$G$2220,'ноябрь 2024'!$D$5:$D$2220,$B41,'ноябрь 2024'!$J$5:$J$2220,L$1)</f>
        <v>0</v>
      </c>
      <c r="M41" s="80">
        <f>SUMIFS('ноябрь 2024'!$G$5:$G$2220,'ноябрь 2024'!$D$5:$D$2220,$B41,'ноябрь 2024'!$J$5:$J$2220,M$1)</f>
        <v>0</v>
      </c>
      <c r="N41" s="80">
        <f>SUMIFS('ноябрь 2024'!$G$5:$G$2220,'ноябрь 2024'!$D$5:$D$2220,$B41,'ноябрь 2024'!$J$5:$J$2220,N$1)</f>
        <v>0</v>
      </c>
      <c r="O41" s="80">
        <f>SUMIFS('ноябрь 2024'!$G$5:$G$2220,'ноябрь 2024'!$D$5:$D$2220,$B41,'ноябрь 2024'!$J$5:$J$2220,O$1)</f>
        <v>0</v>
      </c>
      <c r="P41" s="80">
        <f>SUMIFS('ноябрь 2024'!$G$5:$G$2220,'ноябрь 2024'!$D$5:$D$2220,$B41,'ноябрь 2024'!$J$5:$J$2220,P$1)</f>
        <v>0</v>
      </c>
      <c r="Q41" s="80">
        <f>SUMIFS('ноябрь 2024'!$G$5:$G$2220,'ноябрь 2024'!$D$5:$D$2220,$B41,'ноябрь 2024'!$J$5:$J$2220,Q$1)</f>
        <v>0</v>
      </c>
      <c r="R41" s="80">
        <f>SUMIFS('ноябрь 2024'!$G$5:$G$2220,'ноябрь 2024'!$D$5:$D$2220,$B41,'ноябрь 2024'!$J$5:$J$2220,R$1)</f>
        <v>0</v>
      </c>
      <c r="S41" s="80">
        <f>SUMIFS('ноябрь 2024'!$G$5:$G$2220,'ноябрь 2024'!$D$5:$D$2220,$B41,'ноябрь 2024'!$J$5:$J$2220,S$1)</f>
        <v>0</v>
      </c>
      <c r="T41" s="80">
        <f>SUMIFS('ноябрь 2024'!$G$5:$G$2220,'ноябрь 2024'!$D$5:$D$2220,$B41,'ноябрь 2024'!$J$5:$J$2220,T$1)</f>
        <v>0</v>
      </c>
      <c r="U41" s="80">
        <f>SUMIFS('ноябрь 2024'!$G$5:$G$2220,'ноябрь 2024'!$D$5:$D$2220,$B41,'ноябрь 2024'!$J$5:$J$2220,U$1)</f>
        <v>0</v>
      </c>
      <c r="V41" s="80">
        <f>SUMIFS('ноябрь 2024'!$G$5:$G$2220,'ноябрь 2024'!$D$5:$D$2220,$B41,'ноябрь 2024'!$J$5:$J$2220,V$1)</f>
        <v>0</v>
      </c>
      <c r="W41" s="80">
        <f>SUMIFS('ноябрь 2024'!$G$5:$G$2220,'ноябрь 2024'!$D$5:$D$2220,$B41,'ноябрь 2024'!$J$5:$J$2220,W$1)</f>
        <v>0</v>
      </c>
      <c r="X41" s="80">
        <f>SUMIFS('ноябрь 2024'!$G$5:$G$2220,'ноябрь 2024'!$D$5:$D$2220,$B41,'ноябрь 2024'!$J$5:$J$2220,X$1)</f>
        <v>0</v>
      </c>
      <c r="Y41" s="80">
        <f>SUMIFS('ноябрь 2024'!$G$5:$G$2220,'ноябрь 2024'!$D$5:$D$2220,$B41,'ноябрь 2024'!$J$5:$J$2220,Y$1)</f>
        <v>0</v>
      </c>
      <c r="Z41" s="80">
        <f>SUMIFS('ноябрь 2024'!$G$5:$G$2220,'ноябрь 2024'!$D$5:$D$2220,$B41,'ноябрь 2024'!$J$5:$J$2220,Z$1)</f>
        <v>0</v>
      </c>
      <c r="AA41" s="80">
        <f>SUMIFS('ноябрь 2024'!$G$5:$G$2220,'ноябрь 2024'!$D$5:$D$2220,$B41,'ноябрь 2024'!$J$5:$J$2220,AA$1)</f>
        <v>0</v>
      </c>
      <c r="AB41" s="80">
        <f>SUMIFS('ноябрь 2024'!$G$5:$G$2220,'ноябрь 2024'!$D$5:$D$2220,$B41,'ноябрь 2024'!$J$5:$J$2220,AB$1)</f>
        <v>0</v>
      </c>
      <c r="AC41" s="80">
        <f>SUMIFS('ноябрь 2024'!$G$5:$G$2220,'ноябрь 2024'!$D$5:$D$2220,$B41,'ноябрь 2024'!$J$5:$J$2220,AC$1)</f>
        <v>0</v>
      </c>
      <c r="AD41" s="80">
        <f>SUMIFS('ноябрь 2024'!$G$5:$G$2220,'ноябрь 2024'!$D$5:$D$2220,$B41,'ноябрь 2024'!$J$5:$J$2220,AD$1)</f>
        <v>0</v>
      </c>
      <c r="AE41" s="80">
        <f>SUMIFS('ноябрь 2024'!$G$5:$G$2220,'ноябрь 2024'!$D$5:$D$2220,$B41,'ноябрь 2024'!$J$5:$J$2220,AE$1)</f>
        <v>0</v>
      </c>
      <c r="AF41" s="80">
        <f>SUMIFS('ноябрь 2024'!$G$5:$G$2220,'ноябрь 2024'!$D$5:$D$2220,$B41,'ноябрь 2024'!$J$5:$J$2220,AF$1)</f>
        <v>0</v>
      </c>
      <c r="AG41" s="80">
        <f>SUMIFS('ноябрь 2024'!$G$5:$G$2220,'ноябрь 2024'!$D$5:$D$2220,$B41,'ноябрь 2024'!$J$5:$J$2220,AG$1)</f>
        <v>0</v>
      </c>
      <c r="AH41" s="80">
        <f>SUMIFS('ноябрь 2024'!$G$5:$G$2220,'ноябрь 2024'!$D$5:$D$2220,$B41,'ноябрь 2024'!$J$5:$J$2220,AH$1)</f>
        <v>0</v>
      </c>
      <c r="AI41" s="21">
        <f t="shared" si="1"/>
        <v>0</v>
      </c>
    </row>
    <row r="42" spans="2:35" ht="15" customHeight="1" x14ac:dyDescent="0.25">
      <c r="B42" s="150" t="s">
        <v>294</v>
      </c>
      <c r="C42" s="153">
        <v>25</v>
      </c>
      <c r="D42" s="80">
        <f>SUMIFS('ноябрь 2024'!$G$5:$G$2220,'ноябрь 2024'!$D$5:$D$2220,$B42,'ноябрь 2024'!$J$5:$J$2220,D$1)</f>
        <v>0</v>
      </c>
      <c r="E42" s="80">
        <f>SUMIFS('ноябрь 2024'!$G$5:$G$2220,'ноябрь 2024'!$D$5:$D$2220,$B42,'ноябрь 2024'!$J$5:$J$2220,E$1)</f>
        <v>0</v>
      </c>
      <c r="F42" s="80">
        <f>SUMIFS('ноябрь 2024'!$G$5:$G$2220,'ноябрь 2024'!$D$5:$D$2220,$B42,'ноябрь 2024'!$J$5:$J$2220,F$1)</f>
        <v>0</v>
      </c>
      <c r="G42" s="80">
        <f>SUMIFS('ноябрь 2024'!$G$5:$G$2220,'ноябрь 2024'!$D$5:$D$2220,$B42,'ноябрь 2024'!$J$5:$J$2220,G$1)</f>
        <v>0</v>
      </c>
      <c r="H42" s="80">
        <f>SUMIFS('ноябрь 2024'!$G$5:$G$2220,'ноябрь 2024'!$D$5:$D$2220,$B42,'ноябрь 2024'!$J$5:$J$2220,H$1)</f>
        <v>0</v>
      </c>
      <c r="I42" s="80">
        <f>SUMIFS('ноябрь 2024'!$G$5:$G$2220,'ноябрь 2024'!$D$5:$D$2220,$B42,'ноябрь 2024'!$J$5:$J$2220,I$1)</f>
        <v>0</v>
      </c>
      <c r="J42" s="80">
        <f>SUMIFS('ноябрь 2024'!$G$5:$G$2220,'ноябрь 2024'!$D$5:$D$2220,$B42,'ноябрь 2024'!$J$5:$J$2220,J$1)</f>
        <v>0</v>
      </c>
      <c r="K42" s="80">
        <f>SUMIFS('ноябрь 2024'!$G$5:$G$2220,'ноябрь 2024'!$D$5:$D$2220,$B42,'ноябрь 2024'!$J$5:$J$2220,K$1)</f>
        <v>0</v>
      </c>
      <c r="L42" s="80">
        <f>SUMIFS('ноябрь 2024'!$G$5:$G$2220,'ноябрь 2024'!$D$5:$D$2220,$B42,'ноябрь 2024'!$J$5:$J$2220,L$1)</f>
        <v>0</v>
      </c>
      <c r="M42" s="80">
        <f>SUMIFS('ноябрь 2024'!$G$5:$G$2220,'ноябрь 2024'!$D$5:$D$2220,$B42,'ноябрь 2024'!$J$5:$J$2220,M$1)</f>
        <v>0</v>
      </c>
      <c r="N42" s="80">
        <f>SUMIFS('ноябрь 2024'!$G$5:$G$2220,'ноябрь 2024'!$D$5:$D$2220,$B42,'ноябрь 2024'!$J$5:$J$2220,N$1)</f>
        <v>0</v>
      </c>
      <c r="O42" s="80">
        <f>SUMIFS('ноябрь 2024'!$G$5:$G$2220,'ноябрь 2024'!$D$5:$D$2220,$B42,'ноябрь 2024'!$J$5:$J$2220,O$1)</f>
        <v>0</v>
      </c>
      <c r="P42" s="80">
        <f>SUMIFS('ноябрь 2024'!$G$5:$G$2220,'ноябрь 2024'!$D$5:$D$2220,$B42,'ноябрь 2024'!$J$5:$J$2220,P$1)</f>
        <v>0</v>
      </c>
      <c r="Q42" s="80">
        <f>SUMIFS('ноябрь 2024'!$G$5:$G$2220,'ноябрь 2024'!$D$5:$D$2220,$B42,'ноябрь 2024'!$J$5:$J$2220,Q$1)</f>
        <v>0</v>
      </c>
      <c r="R42" s="80">
        <f>SUMIFS('ноябрь 2024'!$G$5:$G$2220,'ноябрь 2024'!$D$5:$D$2220,$B42,'ноябрь 2024'!$J$5:$J$2220,R$1)</f>
        <v>0</v>
      </c>
      <c r="S42" s="80">
        <f>SUMIFS('ноябрь 2024'!$G$5:$G$2220,'ноябрь 2024'!$D$5:$D$2220,$B42,'ноябрь 2024'!$J$5:$J$2220,S$1)</f>
        <v>0</v>
      </c>
      <c r="T42" s="80">
        <f>SUMIFS('ноябрь 2024'!$G$5:$G$2220,'ноябрь 2024'!$D$5:$D$2220,$B42,'ноябрь 2024'!$J$5:$J$2220,T$1)</f>
        <v>0</v>
      </c>
      <c r="U42" s="80">
        <f>SUMIFS('ноябрь 2024'!$G$5:$G$2220,'ноябрь 2024'!$D$5:$D$2220,$B42,'ноябрь 2024'!$J$5:$J$2220,U$1)</f>
        <v>0</v>
      </c>
      <c r="V42" s="80">
        <f>SUMIFS('ноябрь 2024'!$G$5:$G$2220,'ноябрь 2024'!$D$5:$D$2220,$B42,'ноябрь 2024'!$J$5:$J$2220,V$1)</f>
        <v>0</v>
      </c>
      <c r="W42" s="80">
        <f>SUMIFS('ноябрь 2024'!$G$5:$G$2220,'ноябрь 2024'!$D$5:$D$2220,$B42,'ноябрь 2024'!$J$5:$J$2220,W$1)</f>
        <v>0</v>
      </c>
      <c r="X42" s="80">
        <f>SUMIFS('ноябрь 2024'!$G$5:$G$2220,'ноябрь 2024'!$D$5:$D$2220,$B42,'ноябрь 2024'!$J$5:$J$2220,X$1)</f>
        <v>0</v>
      </c>
      <c r="Y42" s="80">
        <f>SUMIFS('ноябрь 2024'!$G$5:$G$2220,'ноябрь 2024'!$D$5:$D$2220,$B42,'ноябрь 2024'!$J$5:$J$2220,Y$1)</f>
        <v>0</v>
      </c>
      <c r="Z42" s="80">
        <f>SUMIFS('ноябрь 2024'!$G$5:$G$2220,'ноябрь 2024'!$D$5:$D$2220,$B42,'ноябрь 2024'!$J$5:$J$2220,Z$1)</f>
        <v>0</v>
      </c>
      <c r="AA42" s="80">
        <f>SUMIFS('ноябрь 2024'!$G$5:$G$2220,'ноябрь 2024'!$D$5:$D$2220,$B42,'ноябрь 2024'!$J$5:$J$2220,AA$1)</f>
        <v>0</v>
      </c>
      <c r="AB42" s="80">
        <f>SUMIFS('ноябрь 2024'!$G$5:$G$2220,'ноябрь 2024'!$D$5:$D$2220,$B42,'ноябрь 2024'!$J$5:$J$2220,AB$1)</f>
        <v>0</v>
      </c>
      <c r="AC42" s="80">
        <f>SUMIFS('ноябрь 2024'!$G$5:$G$2220,'ноябрь 2024'!$D$5:$D$2220,$B42,'ноябрь 2024'!$J$5:$J$2220,AC$1)</f>
        <v>0</v>
      </c>
      <c r="AD42" s="80">
        <f>SUMIFS('ноябрь 2024'!$G$5:$G$2220,'ноябрь 2024'!$D$5:$D$2220,$B42,'ноябрь 2024'!$J$5:$J$2220,AD$1)</f>
        <v>0</v>
      </c>
      <c r="AE42" s="80">
        <f>SUMIFS('ноябрь 2024'!$G$5:$G$2220,'ноябрь 2024'!$D$5:$D$2220,$B42,'ноябрь 2024'!$J$5:$J$2220,AE$1)</f>
        <v>0</v>
      </c>
      <c r="AF42" s="80">
        <f>SUMIFS('ноябрь 2024'!$G$5:$G$2220,'ноябрь 2024'!$D$5:$D$2220,$B42,'ноябрь 2024'!$J$5:$J$2220,AF$1)</f>
        <v>0</v>
      </c>
      <c r="AG42" s="80">
        <f>SUMIFS('ноябрь 2024'!$G$5:$G$2220,'ноябрь 2024'!$D$5:$D$2220,$B42,'ноябрь 2024'!$J$5:$J$2220,AG$1)</f>
        <v>0</v>
      </c>
      <c r="AH42" s="80">
        <f>SUMIFS('ноябрь 2024'!$G$5:$G$2220,'ноябрь 2024'!$D$5:$D$2220,$B42,'ноябрь 2024'!$J$5:$J$2220,AH$1)</f>
        <v>0</v>
      </c>
      <c r="AI42" s="21">
        <f t="shared" si="1"/>
        <v>0</v>
      </c>
    </row>
    <row r="43" spans="2:35" ht="15" customHeight="1" x14ac:dyDescent="0.25">
      <c r="B43" s="154" t="s">
        <v>468</v>
      </c>
      <c r="C43" s="170">
        <v>25</v>
      </c>
      <c r="D43" s="80">
        <f>SUMIFS('ноябрь 2024'!$G$5:$G$2220,'ноябрь 2024'!$D$5:$D$2220,$B43,'ноябрь 2024'!$J$5:$J$2220,D$1)</f>
        <v>0</v>
      </c>
      <c r="E43" s="80">
        <f>SUMIFS('ноябрь 2024'!$G$5:$G$2220,'ноябрь 2024'!$D$5:$D$2220,$B43,'ноябрь 2024'!$J$5:$J$2220,E$1)</f>
        <v>0</v>
      </c>
      <c r="F43" s="80">
        <f>SUMIFS('ноябрь 2024'!$G$5:$G$2220,'ноябрь 2024'!$D$5:$D$2220,$B43,'ноябрь 2024'!$J$5:$J$2220,F$1)</f>
        <v>0</v>
      </c>
      <c r="G43" s="80">
        <f>SUMIFS('ноябрь 2024'!$G$5:$G$2220,'ноябрь 2024'!$D$5:$D$2220,$B43,'ноябрь 2024'!$J$5:$J$2220,G$1)</f>
        <v>0</v>
      </c>
      <c r="H43" s="80">
        <f>SUMIFS('ноябрь 2024'!$G$5:$G$2220,'ноябрь 2024'!$D$5:$D$2220,$B43,'ноябрь 2024'!$J$5:$J$2220,H$1)</f>
        <v>0</v>
      </c>
      <c r="I43" s="80">
        <f>SUMIFS('ноябрь 2024'!$G$5:$G$2220,'ноябрь 2024'!$D$5:$D$2220,$B43,'ноябрь 2024'!$J$5:$J$2220,I$1)</f>
        <v>0</v>
      </c>
      <c r="J43" s="80">
        <f>SUMIFS('ноябрь 2024'!$G$5:$G$2220,'ноябрь 2024'!$D$5:$D$2220,$B43,'ноябрь 2024'!$J$5:$J$2220,J$1)</f>
        <v>0</v>
      </c>
      <c r="K43" s="80">
        <f>SUMIFS('ноябрь 2024'!$G$5:$G$2220,'ноябрь 2024'!$D$5:$D$2220,$B43,'ноябрь 2024'!$J$5:$J$2220,K$1)</f>
        <v>0</v>
      </c>
      <c r="L43" s="80">
        <f>SUMIFS('ноябрь 2024'!$G$5:$G$2220,'ноябрь 2024'!$D$5:$D$2220,$B43,'ноябрь 2024'!$J$5:$J$2220,L$1)</f>
        <v>0</v>
      </c>
      <c r="M43" s="80">
        <f>SUMIFS('ноябрь 2024'!$G$5:$G$2220,'ноябрь 2024'!$D$5:$D$2220,$B43,'ноябрь 2024'!$J$5:$J$2220,M$1)</f>
        <v>0</v>
      </c>
      <c r="N43" s="80">
        <f>SUMIFS('ноябрь 2024'!$G$5:$G$2220,'ноябрь 2024'!$D$5:$D$2220,$B43,'ноябрь 2024'!$J$5:$J$2220,N$1)</f>
        <v>0</v>
      </c>
      <c r="O43" s="80">
        <f>SUMIFS('ноябрь 2024'!$G$5:$G$2220,'ноябрь 2024'!$D$5:$D$2220,$B43,'ноябрь 2024'!$J$5:$J$2220,O$1)</f>
        <v>0</v>
      </c>
      <c r="P43" s="80">
        <f>SUMIFS('ноябрь 2024'!$G$5:$G$2220,'ноябрь 2024'!$D$5:$D$2220,$B43,'ноябрь 2024'!$J$5:$J$2220,P$1)</f>
        <v>0</v>
      </c>
      <c r="Q43" s="80">
        <f>SUMIFS('ноябрь 2024'!$G$5:$G$2220,'ноябрь 2024'!$D$5:$D$2220,$B43,'ноябрь 2024'!$J$5:$J$2220,Q$1)</f>
        <v>0</v>
      </c>
      <c r="R43" s="80">
        <f>SUMIFS('ноябрь 2024'!$G$5:$G$2220,'ноябрь 2024'!$D$5:$D$2220,$B43,'ноябрь 2024'!$J$5:$J$2220,R$1)</f>
        <v>0</v>
      </c>
      <c r="S43" s="80">
        <f>SUMIFS('ноябрь 2024'!$G$5:$G$2220,'ноябрь 2024'!$D$5:$D$2220,$B43,'ноябрь 2024'!$J$5:$J$2220,S$1)</f>
        <v>0</v>
      </c>
      <c r="T43" s="80">
        <f>SUMIFS('ноябрь 2024'!$G$5:$G$2220,'ноябрь 2024'!$D$5:$D$2220,$B43,'ноябрь 2024'!$J$5:$J$2220,T$1)</f>
        <v>0</v>
      </c>
      <c r="U43" s="80">
        <f>SUMIFS('ноябрь 2024'!$G$5:$G$2220,'ноябрь 2024'!$D$5:$D$2220,$B43,'ноябрь 2024'!$J$5:$J$2220,U$1)</f>
        <v>0</v>
      </c>
      <c r="V43" s="80">
        <f>SUMIFS('ноябрь 2024'!$G$5:$G$2220,'ноябрь 2024'!$D$5:$D$2220,$B43,'ноябрь 2024'!$J$5:$J$2220,V$1)</f>
        <v>0</v>
      </c>
      <c r="W43" s="80">
        <f>SUMIFS('ноябрь 2024'!$G$5:$G$2220,'ноябрь 2024'!$D$5:$D$2220,$B43,'ноябрь 2024'!$J$5:$J$2220,W$1)</f>
        <v>0</v>
      </c>
      <c r="X43" s="80">
        <f>SUMIFS('ноябрь 2024'!$G$5:$G$2220,'ноябрь 2024'!$D$5:$D$2220,$B43,'ноябрь 2024'!$J$5:$J$2220,X$1)</f>
        <v>0</v>
      </c>
      <c r="Y43" s="80">
        <f>SUMIFS('ноябрь 2024'!$G$5:$G$2220,'ноябрь 2024'!$D$5:$D$2220,$B43,'ноябрь 2024'!$J$5:$J$2220,Y$1)</f>
        <v>0</v>
      </c>
      <c r="Z43" s="80">
        <f>SUMIFS('ноябрь 2024'!$G$5:$G$2220,'ноябрь 2024'!$D$5:$D$2220,$B43,'ноябрь 2024'!$J$5:$J$2220,Z$1)</f>
        <v>0</v>
      </c>
      <c r="AA43" s="80">
        <f>SUMIFS('ноябрь 2024'!$G$5:$G$2220,'ноябрь 2024'!$D$5:$D$2220,$B43,'ноябрь 2024'!$J$5:$J$2220,AA$1)</f>
        <v>0</v>
      </c>
      <c r="AB43" s="80">
        <f>SUMIFS('ноябрь 2024'!$G$5:$G$2220,'ноябрь 2024'!$D$5:$D$2220,$B43,'ноябрь 2024'!$J$5:$J$2220,AB$1)</f>
        <v>0</v>
      </c>
      <c r="AC43" s="80">
        <f>SUMIFS('ноябрь 2024'!$G$5:$G$2220,'ноябрь 2024'!$D$5:$D$2220,$B43,'ноябрь 2024'!$J$5:$J$2220,AC$1)</f>
        <v>0</v>
      </c>
      <c r="AD43" s="80">
        <f>SUMIFS('ноябрь 2024'!$G$5:$G$2220,'ноябрь 2024'!$D$5:$D$2220,$B43,'ноябрь 2024'!$J$5:$J$2220,AD$1)</f>
        <v>0</v>
      </c>
      <c r="AE43" s="80">
        <f>SUMIFS('ноябрь 2024'!$G$5:$G$2220,'ноябрь 2024'!$D$5:$D$2220,$B43,'ноябрь 2024'!$J$5:$J$2220,AE$1)</f>
        <v>0</v>
      </c>
      <c r="AF43" s="80">
        <f>SUMIFS('ноябрь 2024'!$G$5:$G$2220,'ноябрь 2024'!$D$5:$D$2220,$B43,'ноябрь 2024'!$J$5:$J$2220,AF$1)</f>
        <v>0</v>
      </c>
      <c r="AG43" s="80">
        <f>SUMIFS('ноябрь 2024'!$G$5:$G$2220,'ноябрь 2024'!$D$5:$D$2220,$B43,'ноябрь 2024'!$J$5:$J$2220,AG$1)</f>
        <v>0</v>
      </c>
      <c r="AH43" s="80">
        <f>SUMIFS('ноябрь 2024'!$G$5:$G$2220,'ноябрь 2024'!$D$5:$D$2220,$B43,'ноябрь 2024'!$J$5:$J$2220,AH$1)</f>
        <v>0</v>
      </c>
      <c r="AI43" s="21">
        <f t="shared" si="1"/>
        <v>0</v>
      </c>
    </row>
    <row r="44" spans="2:35" ht="15" customHeight="1" x14ac:dyDescent="0.25">
      <c r="B44" s="154" t="s">
        <v>296</v>
      </c>
      <c r="C44" s="151">
        <v>25</v>
      </c>
      <c r="D44" s="80">
        <f>SUMIFS('ноябрь 2024'!$G$5:$G$2220,'ноябрь 2024'!$D$5:$D$2220,$B44,'ноябрь 2024'!$J$5:$J$2220,D$1)</f>
        <v>0</v>
      </c>
      <c r="E44" s="80">
        <f>SUMIFS('ноябрь 2024'!$G$5:$G$2220,'ноябрь 2024'!$D$5:$D$2220,$B44,'ноябрь 2024'!$J$5:$J$2220,E$1)</f>
        <v>0</v>
      </c>
      <c r="F44" s="80">
        <f>SUMIFS('ноябрь 2024'!$G$5:$G$2220,'ноябрь 2024'!$D$5:$D$2220,$B44,'ноябрь 2024'!$J$5:$J$2220,F$1)</f>
        <v>0</v>
      </c>
      <c r="G44" s="80">
        <f>SUMIFS('ноябрь 2024'!$G$5:$G$2220,'ноябрь 2024'!$D$5:$D$2220,$B44,'ноябрь 2024'!$J$5:$J$2220,G$1)</f>
        <v>0</v>
      </c>
      <c r="H44" s="80">
        <f>SUMIFS('ноябрь 2024'!$G$5:$G$2220,'ноябрь 2024'!$D$5:$D$2220,$B44,'ноябрь 2024'!$J$5:$J$2220,H$1)</f>
        <v>0</v>
      </c>
      <c r="I44" s="80">
        <f>SUMIFS('ноябрь 2024'!$G$5:$G$2220,'ноябрь 2024'!$D$5:$D$2220,$B44,'ноябрь 2024'!$J$5:$J$2220,I$1)</f>
        <v>0</v>
      </c>
      <c r="J44" s="80">
        <f>SUMIFS('ноябрь 2024'!$G$5:$G$2220,'ноябрь 2024'!$D$5:$D$2220,$B44,'ноябрь 2024'!$J$5:$J$2220,J$1)</f>
        <v>0</v>
      </c>
      <c r="K44" s="80">
        <f>SUMIFS('ноябрь 2024'!$G$5:$G$2220,'ноябрь 2024'!$D$5:$D$2220,$B44,'ноябрь 2024'!$J$5:$J$2220,K$1)</f>
        <v>0</v>
      </c>
      <c r="L44" s="80">
        <f>SUMIFS('ноябрь 2024'!$G$5:$G$2220,'ноябрь 2024'!$D$5:$D$2220,$B44,'ноябрь 2024'!$J$5:$J$2220,L$1)</f>
        <v>0</v>
      </c>
      <c r="M44" s="80">
        <f>SUMIFS('ноябрь 2024'!$G$5:$G$2220,'ноябрь 2024'!$D$5:$D$2220,$B44,'ноябрь 2024'!$J$5:$J$2220,M$1)</f>
        <v>0</v>
      </c>
      <c r="N44" s="80">
        <f>SUMIFS('ноябрь 2024'!$G$5:$G$2220,'ноябрь 2024'!$D$5:$D$2220,$B44,'ноябрь 2024'!$J$5:$J$2220,N$1)</f>
        <v>0</v>
      </c>
      <c r="O44" s="80">
        <f>SUMIFS('ноябрь 2024'!$G$5:$G$2220,'ноябрь 2024'!$D$5:$D$2220,$B44,'ноябрь 2024'!$J$5:$J$2220,O$1)</f>
        <v>0</v>
      </c>
      <c r="P44" s="80">
        <f>SUMIFS('ноябрь 2024'!$G$5:$G$2220,'ноябрь 2024'!$D$5:$D$2220,$B44,'ноябрь 2024'!$J$5:$J$2220,P$1)</f>
        <v>0</v>
      </c>
      <c r="Q44" s="80">
        <f>SUMIFS('ноябрь 2024'!$G$5:$G$2220,'ноябрь 2024'!$D$5:$D$2220,$B44,'ноябрь 2024'!$J$5:$J$2220,Q$1)</f>
        <v>0</v>
      </c>
      <c r="R44" s="80">
        <f>SUMIFS('ноябрь 2024'!$G$5:$G$2220,'ноябрь 2024'!$D$5:$D$2220,$B44,'ноябрь 2024'!$J$5:$J$2220,R$1)</f>
        <v>0</v>
      </c>
      <c r="S44" s="80">
        <f>SUMIFS('ноябрь 2024'!$G$5:$G$2220,'ноябрь 2024'!$D$5:$D$2220,$B44,'ноябрь 2024'!$J$5:$J$2220,S$1)</f>
        <v>0</v>
      </c>
      <c r="T44" s="80">
        <f>SUMIFS('ноябрь 2024'!$G$5:$G$2220,'ноябрь 2024'!$D$5:$D$2220,$B44,'ноябрь 2024'!$J$5:$J$2220,T$1)</f>
        <v>0</v>
      </c>
      <c r="U44" s="80">
        <f>SUMIFS('ноябрь 2024'!$G$5:$G$2220,'ноябрь 2024'!$D$5:$D$2220,$B44,'ноябрь 2024'!$J$5:$J$2220,U$1)</f>
        <v>0</v>
      </c>
      <c r="V44" s="80">
        <f>SUMIFS('ноябрь 2024'!$G$5:$G$2220,'ноябрь 2024'!$D$5:$D$2220,$B44,'ноябрь 2024'!$J$5:$J$2220,V$1)</f>
        <v>0</v>
      </c>
      <c r="W44" s="80">
        <f>SUMIFS('ноябрь 2024'!$G$5:$G$2220,'ноябрь 2024'!$D$5:$D$2220,$B44,'ноябрь 2024'!$J$5:$J$2220,W$1)</f>
        <v>0</v>
      </c>
      <c r="X44" s="80">
        <f>SUMIFS('ноябрь 2024'!$G$5:$G$2220,'ноябрь 2024'!$D$5:$D$2220,$B44,'ноябрь 2024'!$J$5:$J$2220,X$1)</f>
        <v>0</v>
      </c>
      <c r="Y44" s="80">
        <f>SUMIFS('ноябрь 2024'!$G$5:$G$2220,'ноябрь 2024'!$D$5:$D$2220,$B44,'ноябрь 2024'!$J$5:$J$2220,Y$1)</f>
        <v>0</v>
      </c>
      <c r="Z44" s="80">
        <f>SUMIFS('ноябрь 2024'!$G$5:$G$2220,'ноябрь 2024'!$D$5:$D$2220,$B44,'ноябрь 2024'!$J$5:$J$2220,Z$1)</f>
        <v>0</v>
      </c>
      <c r="AA44" s="80">
        <f>SUMIFS('ноябрь 2024'!$G$5:$G$2220,'ноябрь 2024'!$D$5:$D$2220,$B44,'ноябрь 2024'!$J$5:$J$2220,AA$1)</f>
        <v>0</v>
      </c>
      <c r="AB44" s="80">
        <f>SUMIFS('ноябрь 2024'!$G$5:$G$2220,'ноябрь 2024'!$D$5:$D$2220,$B44,'ноябрь 2024'!$J$5:$J$2220,AB$1)</f>
        <v>0</v>
      </c>
      <c r="AC44" s="80">
        <f>SUMIFS('ноябрь 2024'!$G$5:$G$2220,'ноябрь 2024'!$D$5:$D$2220,$B44,'ноябрь 2024'!$J$5:$J$2220,AC$1)</f>
        <v>0</v>
      </c>
      <c r="AD44" s="80">
        <f>SUMIFS('ноябрь 2024'!$G$5:$G$2220,'ноябрь 2024'!$D$5:$D$2220,$B44,'ноябрь 2024'!$J$5:$J$2220,AD$1)</f>
        <v>0</v>
      </c>
      <c r="AE44" s="80">
        <f>SUMIFS('ноябрь 2024'!$G$5:$G$2220,'ноябрь 2024'!$D$5:$D$2220,$B44,'ноябрь 2024'!$J$5:$J$2220,AE$1)</f>
        <v>0</v>
      </c>
      <c r="AF44" s="80">
        <f>SUMIFS('ноябрь 2024'!$G$5:$G$2220,'ноябрь 2024'!$D$5:$D$2220,$B44,'ноябрь 2024'!$J$5:$J$2220,AF$1)</f>
        <v>0</v>
      </c>
      <c r="AG44" s="80">
        <f>SUMIFS('ноябрь 2024'!$G$5:$G$2220,'ноябрь 2024'!$D$5:$D$2220,$B44,'ноябрь 2024'!$J$5:$J$2220,AG$1)</f>
        <v>0</v>
      </c>
      <c r="AH44" s="80">
        <f>SUMIFS('ноябрь 2024'!$G$5:$G$2220,'ноябрь 2024'!$D$5:$D$2220,$B44,'ноябрь 2024'!$J$5:$J$2220,AH$1)</f>
        <v>0</v>
      </c>
      <c r="AI44" s="21">
        <f t="shared" si="1"/>
        <v>0</v>
      </c>
    </row>
    <row r="45" spans="2:35" ht="15" customHeight="1" x14ac:dyDescent="0.25">
      <c r="B45" s="154" t="s">
        <v>298</v>
      </c>
      <c r="C45" s="151">
        <v>18</v>
      </c>
      <c r="D45" s="80">
        <f>SUMIFS('ноябрь 2024'!$G$5:$G$2220,'ноябрь 2024'!$D$5:$D$2220,$B45,'ноябрь 2024'!$J$5:$J$2220,D$1)</f>
        <v>0</v>
      </c>
      <c r="E45" s="80">
        <f>SUMIFS('ноябрь 2024'!$G$5:$G$2220,'ноябрь 2024'!$D$5:$D$2220,$B45,'ноябрь 2024'!$J$5:$J$2220,E$1)</f>
        <v>0</v>
      </c>
      <c r="F45" s="80">
        <f>SUMIFS('ноябрь 2024'!$G$5:$G$2220,'ноябрь 2024'!$D$5:$D$2220,$B45,'ноябрь 2024'!$J$5:$J$2220,F$1)</f>
        <v>0</v>
      </c>
      <c r="G45" s="80">
        <f>SUMIFS('ноябрь 2024'!$G$5:$G$2220,'ноябрь 2024'!$D$5:$D$2220,$B45,'ноябрь 2024'!$J$5:$J$2220,G$1)</f>
        <v>0</v>
      </c>
      <c r="H45" s="80">
        <f>SUMIFS('ноябрь 2024'!$G$5:$G$2220,'ноябрь 2024'!$D$5:$D$2220,$B45,'ноябрь 2024'!$J$5:$J$2220,H$1)</f>
        <v>0</v>
      </c>
      <c r="I45" s="80">
        <f>SUMIFS('ноябрь 2024'!$G$5:$G$2220,'ноябрь 2024'!$D$5:$D$2220,$B45,'ноябрь 2024'!$J$5:$J$2220,I$1)</f>
        <v>0</v>
      </c>
      <c r="J45" s="80">
        <f>SUMIFS('ноябрь 2024'!$G$5:$G$2220,'ноябрь 2024'!$D$5:$D$2220,$B45,'ноябрь 2024'!$J$5:$J$2220,J$1)</f>
        <v>3</v>
      </c>
      <c r="K45" s="80">
        <f>SUMIFS('ноябрь 2024'!$G$5:$G$2220,'ноябрь 2024'!$D$5:$D$2220,$B45,'ноябрь 2024'!$J$5:$J$2220,K$1)</f>
        <v>0</v>
      </c>
      <c r="L45" s="80">
        <f>SUMIFS('ноябрь 2024'!$G$5:$G$2220,'ноябрь 2024'!$D$5:$D$2220,$B45,'ноябрь 2024'!$J$5:$J$2220,L$1)</f>
        <v>0</v>
      </c>
      <c r="M45" s="80">
        <f>SUMIFS('ноябрь 2024'!$G$5:$G$2220,'ноябрь 2024'!$D$5:$D$2220,$B45,'ноябрь 2024'!$J$5:$J$2220,M$1)</f>
        <v>0</v>
      </c>
      <c r="N45" s="80">
        <f>SUMIFS('ноябрь 2024'!$G$5:$G$2220,'ноябрь 2024'!$D$5:$D$2220,$B45,'ноябрь 2024'!$J$5:$J$2220,N$1)</f>
        <v>0</v>
      </c>
      <c r="O45" s="80">
        <f>SUMIFS('ноябрь 2024'!$G$5:$G$2220,'ноябрь 2024'!$D$5:$D$2220,$B45,'ноябрь 2024'!$J$5:$J$2220,O$1)</f>
        <v>0</v>
      </c>
      <c r="P45" s="80">
        <f>SUMIFS('ноябрь 2024'!$G$5:$G$2220,'ноябрь 2024'!$D$5:$D$2220,$B45,'ноябрь 2024'!$J$5:$J$2220,P$1)</f>
        <v>0</v>
      </c>
      <c r="Q45" s="80">
        <f>SUMIFS('ноябрь 2024'!$G$5:$G$2220,'ноябрь 2024'!$D$5:$D$2220,$B45,'ноябрь 2024'!$J$5:$J$2220,Q$1)</f>
        <v>0</v>
      </c>
      <c r="R45" s="80">
        <f>SUMIFS('ноябрь 2024'!$G$5:$G$2220,'ноябрь 2024'!$D$5:$D$2220,$B45,'ноябрь 2024'!$J$5:$J$2220,R$1)</f>
        <v>0</v>
      </c>
      <c r="S45" s="80">
        <f>SUMIFS('ноябрь 2024'!$G$5:$G$2220,'ноябрь 2024'!$D$5:$D$2220,$B45,'ноябрь 2024'!$J$5:$J$2220,S$1)</f>
        <v>0</v>
      </c>
      <c r="T45" s="80">
        <f>SUMIFS('ноябрь 2024'!$G$5:$G$2220,'ноябрь 2024'!$D$5:$D$2220,$B45,'ноябрь 2024'!$J$5:$J$2220,T$1)</f>
        <v>0</v>
      </c>
      <c r="U45" s="80">
        <f>SUMIFS('ноябрь 2024'!$G$5:$G$2220,'ноябрь 2024'!$D$5:$D$2220,$B45,'ноябрь 2024'!$J$5:$J$2220,U$1)</f>
        <v>0</v>
      </c>
      <c r="V45" s="80">
        <f>SUMIFS('ноябрь 2024'!$G$5:$G$2220,'ноябрь 2024'!$D$5:$D$2220,$B45,'ноябрь 2024'!$J$5:$J$2220,V$1)</f>
        <v>0</v>
      </c>
      <c r="W45" s="80">
        <f>SUMIFS('ноябрь 2024'!$G$5:$G$2220,'ноябрь 2024'!$D$5:$D$2220,$B45,'ноябрь 2024'!$J$5:$J$2220,W$1)</f>
        <v>0</v>
      </c>
      <c r="X45" s="80">
        <f>SUMIFS('ноябрь 2024'!$G$5:$G$2220,'ноябрь 2024'!$D$5:$D$2220,$B45,'ноябрь 2024'!$J$5:$J$2220,X$1)</f>
        <v>0</v>
      </c>
      <c r="Y45" s="80">
        <f>SUMIFS('ноябрь 2024'!$G$5:$G$2220,'ноябрь 2024'!$D$5:$D$2220,$B45,'ноябрь 2024'!$J$5:$J$2220,Y$1)</f>
        <v>0</v>
      </c>
      <c r="Z45" s="80">
        <f>SUMIFS('ноябрь 2024'!$G$5:$G$2220,'ноябрь 2024'!$D$5:$D$2220,$B45,'ноябрь 2024'!$J$5:$J$2220,Z$1)</f>
        <v>0</v>
      </c>
      <c r="AA45" s="80">
        <f>SUMIFS('ноябрь 2024'!$G$5:$G$2220,'ноябрь 2024'!$D$5:$D$2220,$B45,'ноябрь 2024'!$J$5:$J$2220,AA$1)</f>
        <v>0</v>
      </c>
      <c r="AB45" s="80">
        <f>SUMIFS('ноябрь 2024'!$G$5:$G$2220,'ноябрь 2024'!$D$5:$D$2220,$B45,'ноябрь 2024'!$J$5:$J$2220,AB$1)</f>
        <v>0</v>
      </c>
      <c r="AC45" s="80">
        <f>SUMIFS('ноябрь 2024'!$G$5:$G$2220,'ноябрь 2024'!$D$5:$D$2220,$B45,'ноябрь 2024'!$J$5:$J$2220,AC$1)</f>
        <v>0</v>
      </c>
      <c r="AD45" s="80">
        <f>SUMIFS('ноябрь 2024'!$G$5:$G$2220,'ноябрь 2024'!$D$5:$D$2220,$B45,'ноябрь 2024'!$J$5:$J$2220,AD$1)</f>
        <v>0</v>
      </c>
      <c r="AE45" s="80">
        <f>SUMIFS('ноябрь 2024'!$G$5:$G$2220,'ноябрь 2024'!$D$5:$D$2220,$B45,'ноябрь 2024'!$J$5:$J$2220,AE$1)</f>
        <v>0</v>
      </c>
      <c r="AF45" s="80">
        <f>SUMIFS('ноябрь 2024'!$G$5:$G$2220,'ноябрь 2024'!$D$5:$D$2220,$B45,'ноябрь 2024'!$J$5:$J$2220,AF$1)</f>
        <v>0</v>
      </c>
      <c r="AG45" s="80">
        <f>SUMIFS('ноябрь 2024'!$G$5:$G$2220,'ноябрь 2024'!$D$5:$D$2220,$B45,'ноябрь 2024'!$J$5:$J$2220,AG$1)</f>
        <v>0</v>
      </c>
      <c r="AH45" s="80">
        <f>SUMIFS('ноябрь 2024'!$G$5:$G$2220,'ноябрь 2024'!$D$5:$D$2220,$B45,'ноябрь 2024'!$J$5:$J$2220,AH$1)</f>
        <v>0</v>
      </c>
      <c r="AI45" s="21">
        <f t="shared" si="1"/>
        <v>3</v>
      </c>
    </row>
    <row r="46" spans="2:35" ht="15" customHeight="1" x14ac:dyDescent="0.25">
      <c r="B46" s="154" t="s">
        <v>300</v>
      </c>
      <c r="C46" s="151">
        <v>20</v>
      </c>
      <c r="D46" s="80">
        <f>SUMIFS('ноябрь 2024'!$G$5:$G$2220,'ноябрь 2024'!$D$5:$D$2220,$B46,'ноябрь 2024'!$J$5:$J$2220,D$1)</f>
        <v>0</v>
      </c>
      <c r="E46" s="80">
        <f>SUMIFS('ноябрь 2024'!$G$5:$G$2220,'ноябрь 2024'!$D$5:$D$2220,$B46,'ноябрь 2024'!$J$5:$J$2220,E$1)</f>
        <v>0</v>
      </c>
      <c r="F46" s="80">
        <f>SUMIFS('ноябрь 2024'!$G$5:$G$2220,'ноябрь 2024'!$D$5:$D$2220,$B46,'ноябрь 2024'!$J$5:$J$2220,F$1)</f>
        <v>0</v>
      </c>
      <c r="G46" s="80">
        <f>SUMIFS('ноябрь 2024'!$G$5:$G$2220,'ноябрь 2024'!$D$5:$D$2220,$B46,'ноябрь 2024'!$J$5:$J$2220,G$1)</f>
        <v>0</v>
      </c>
      <c r="H46" s="80">
        <f>SUMIFS('ноябрь 2024'!$G$5:$G$2220,'ноябрь 2024'!$D$5:$D$2220,$B46,'ноябрь 2024'!$J$5:$J$2220,H$1)</f>
        <v>0</v>
      </c>
      <c r="I46" s="80">
        <f>SUMIFS('ноябрь 2024'!$G$5:$G$2220,'ноябрь 2024'!$D$5:$D$2220,$B46,'ноябрь 2024'!$J$5:$J$2220,I$1)</f>
        <v>0</v>
      </c>
      <c r="J46" s="80">
        <f>SUMIFS('ноябрь 2024'!$G$5:$G$2220,'ноябрь 2024'!$D$5:$D$2220,$B46,'ноябрь 2024'!$J$5:$J$2220,J$1)</f>
        <v>0</v>
      </c>
      <c r="K46" s="80">
        <f>SUMIFS('ноябрь 2024'!$G$5:$G$2220,'ноябрь 2024'!$D$5:$D$2220,$B46,'ноябрь 2024'!$J$5:$J$2220,K$1)</f>
        <v>0</v>
      </c>
      <c r="L46" s="80">
        <f>SUMIFS('ноябрь 2024'!$G$5:$G$2220,'ноябрь 2024'!$D$5:$D$2220,$B46,'ноябрь 2024'!$J$5:$J$2220,L$1)</f>
        <v>0</v>
      </c>
      <c r="M46" s="80">
        <f>SUMIFS('ноябрь 2024'!$G$5:$G$2220,'ноябрь 2024'!$D$5:$D$2220,$B46,'ноябрь 2024'!$J$5:$J$2220,M$1)</f>
        <v>0</v>
      </c>
      <c r="N46" s="80">
        <f>SUMIFS('ноябрь 2024'!$G$5:$G$2220,'ноябрь 2024'!$D$5:$D$2220,$B46,'ноябрь 2024'!$J$5:$J$2220,N$1)</f>
        <v>0</v>
      </c>
      <c r="O46" s="80">
        <f>SUMIFS('ноябрь 2024'!$G$5:$G$2220,'ноябрь 2024'!$D$5:$D$2220,$B46,'ноябрь 2024'!$J$5:$J$2220,O$1)</f>
        <v>0</v>
      </c>
      <c r="P46" s="80">
        <f>SUMIFS('ноябрь 2024'!$G$5:$G$2220,'ноябрь 2024'!$D$5:$D$2220,$B46,'ноябрь 2024'!$J$5:$J$2220,P$1)</f>
        <v>0</v>
      </c>
      <c r="Q46" s="80">
        <f>SUMIFS('ноябрь 2024'!$G$5:$G$2220,'ноябрь 2024'!$D$5:$D$2220,$B46,'ноябрь 2024'!$J$5:$J$2220,Q$1)</f>
        <v>0</v>
      </c>
      <c r="R46" s="80">
        <f>SUMIFS('ноябрь 2024'!$G$5:$G$2220,'ноябрь 2024'!$D$5:$D$2220,$B46,'ноябрь 2024'!$J$5:$J$2220,R$1)</f>
        <v>0</v>
      </c>
      <c r="S46" s="80">
        <f>SUMIFS('ноябрь 2024'!$G$5:$G$2220,'ноябрь 2024'!$D$5:$D$2220,$B46,'ноябрь 2024'!$J$5:$J$2220,S$1)</f>
        <v>0</v>
      </c>
      <c r="T46" s="80">
        <f>SUMIFS('ноябрь 2024'!$G$5:$G$2220,'ноябрь 2024'!$D$5:$D$2220,$B46,'ноябрь 2024'!$J$5:$J$2220,T$1)</f>
        <v>0</v>
      </c>
      <c r="U46" s="80">
        <f>SUMIFS('ноябрь 2024'!$G$5:$G$2220,'ноябрь 2024'!$D$5:$D$2220,$B46,'ноябрь 2024'!$J$5:$J$2220,U$1)</f>
        <v>0</v>
      </c>
      <c r="V46" s="80">
        <f>SUMIFS('ноябрь 2024'!$G$5:$G$2220,'ноябрь 2024'!$D$5:$D$2220,$B46,'ноябрь 2024'!$J$5:$J$2220,V$1)</f>
        <v>0</v>
      </c>
      <c r="W46" s="80">
        <f>SUMIFS('ноябрь 2024'!$G$5:$G$2220,'ноябрь 2024'!$D$5:$D$2220,$B46,'ноябрь 2024'!$J$5:$J$2220,W$1)</f>
        <v>0</v>
      </c>
      <c r="X46" s="80">
        <f>SUMIFS('ноябрь 2024'!$G$5:$G$2220,'ноябрь 2024'!$D$5:$D$2220,$B46,'ноябрь 2024'!$J$5:$J$2220,X$1)</f>
        <v>0</v>
      </c>
      <c r="Y46" s="80">
        <f>SUMIFS('ноябрь 2024'!$G$5:$G$2220,'ноябрь 2024'!$D$5:$D$2220,$B46,'ноябрь 2024'!$J$5:$J$2220,Y$1)</f>
        <v>0</v>
      </c>
      <c r="Z46" s="80">
        <f>SUMIFS('ноябрь 2024'!$G$5:$G$2220,'ноябрь 2024'!$D$5:$D$2220,$B46,'ноябрь 2024'!$J$5:$J$2220,Z$1)</f>
        <v>0</v>
      </c>
      <c r="AA46" s="80">
        <f>SUMIFS('ноябрь 2024'!$G$5:$G$2220,'ноябрь 2024'!$D$5:$D$2220,$B46,'ноябрь 2024'!$J$5:$J$2220,AA$1)</f>
        <v>0</v>
      </c>
      <c r="AB46" s="80">
        <f>SUMIFS('ноябрь 2024'!$G$5:$G$2220,'ноябрь 2024'!$D$5:$D$2220,$B46,'ноябрь 2024'!$J$5:$J$2220,AB$1)</f>
        <v>0</v>
      </c>
      <c r="AC46" s="80">
        <f>SUMIFS('ноябрь 2024'!$G$5:$G$2220,'ноябрь 2024'!$D$5:$D$2220,$B46,'ноябрь 2024'!$J$5:$J$2220,AC$1)</f>
        <v>0</v>
      </c>
      <c r="AD46" s="80">
        <f>SUMIFS('ноябрь 2024'!$G$5:$G$2220,'ноябрь 2024'!$D$5:$D$2220,$B46,'ноябрь 2024'!$J$5:$J$2220,AD$1)</f>
        <v>0</v>
      </c>
      <c r="AE46" s="80">
        <f>SUMIFS('ноябрь 2024'!$G$5:$G$2220,'ноябрь 2024'!$D$5:$D$2220,$B46,'ноябрь 2024'!$J$5:$J$2220,AE$1)</f>
        <v>0</v>
      </c>
      <c r="AF46" s="80">
        <f>SUMIFS('ноябрь 2024'!$G$5:$G$2220,'ноябрь 2024'!$D$5:$D$2220,$B46,'ноябрь 2024'!$J$5:$J$2220,AF$1)</f>
        <v>0</v>
      </c>
      <c r="AG46" s="80">
        <f>SUMIFS('ноябрь 2024'!$G$5:$G$2220,'ноябрь 2024'!$D$5:$D$2220,$B46,'ноябрь 2024'!$J$5:$J$2220,AG$1)</f>
        <v>0</v>
      </c>
      <c r="AH46" s="80">
        <f>SUMIFS('ноябрь 2024'!$G$5:$G$2220,'ноябрь 2024'!$D$5:$D$2220,$B46,'ноябрь 2024'!$J$5:$J$2220,AH$1)</f>
        <v>0</v>
      </c>
      <c r="AI46" s="21">
        <f t="shared" si="1"/>
        <v>0</v>
      </c>
    </row>
    <row r="47" spans="2:35" ht="15" customHeight="1" x14ac:dyDescent="0.25">
      <c r="B47" s="150" t="s">
        <v>302</v>
      </c>
      <c r="C47" s="153">
        <v>20</v>
      </c>
      <c r="D47" s="80">
        <f>SUMIFS('ноябрь 2024'!$G$5:$G$2220,'ноябрь 2024'!$D$5:$D$2220,$B47,'ноябрь 2024'!$J$5:$J$2220,D$1)</f>
        <v>0</v>
      </c>
      <c r="E47" s="80">
        <f>SUMIFS('ноябрь 2024'!$G$5:$G$2220,'ноябрь 2024'!$D$5:$D$2220,$B47,'ноябрь 2024'!$J$5:$J$2220,E$1)</f>
        <v>0</v>
      </c>
      <c r="F47" s="80">
        <f>SUMIFS('ноябрь 2024'!$G$5:$G$2220,'ноябрь 2024'!$D$5:$D$2220,$B47,'ноябрь 2024'!$J$5:$J$2220,F$1)</f>
        <v>0</v>
      </c>
      <c r="G47" s="80">
        <f>SUMIFS('ноябрь 2024'!$G$5:$G$2220,'ноябрь 2024'!$D$5:$D$2220,$B47,'ноябрь 2024'!$J$5:$J$2220,G$1)</f>
        <v>0</v>
      </c>
      <c r="H47" s="80">
        <f>SUMIFS('ноябрь 2024'!$G$5:$G$2220,'ноябрь 2024'!$D$5:$D$2220,$B47,'ноябрь 2024'!$J$5:$J$2220,H$1)</f>
        <v>0</v>
      </c>
      <c r="I47" s="80">
        <f>SUMIFS('ноябрь 2024'!$G$5:$G$2220,'ноябрь 2024'!$D$5:$D$2220,$B47,'ноябрь 2024'!$J$5:$J$2220,I$1)</f>
        <v>0</v>
      </c>
      <c r="J47" s="80">
        <f>SUMIFS('ноябрь 2024'!$G$5:$G$2220,'ноябрь 2024'!$D$5:$D$2220,$B47,'ноябрь 2024'!$J$5:$J$2220,J$1)</f>
        <v>0</v>
      </c>
      <c r="K47" s="80">
        <f>SUMIFS('ноябрь 2024'!$G$5:$G$2220,'ноябрь 2024'!$D$5:$D$2220,$B47,'ноябрь 2024'!$J$5:$J$2220,K$1)</f>
        <v>0</v>
      </c>
      <c r="L47" s="80">
        <f>SUMIFS('ноябрь 2024'!$G$5:$G$2220,'ноябрь 2024'!$D$5:$D$2220,$B47,'ноябрь 2024'!$J$5:$J$2220,L$1)</f>
        <v>0</v>
      </c>
      <c r="M47" s="80">
        <f>SUMIFS('ноябрь 2024'!$G$5:$G$2220,'ноябрь 2024'!$D$5:$D$2220,$B47,'ноябрь 2024'!$J$5:$J$2220,M$1)</f>
        <v>0</v>
      </c>
      <c r="N47" s="80">
        <f>SUMIFS('ноябрь 2024'!$G$5:$G$2220,'ноябрь 2024'!$D$5:$D$2220,$B47,'ноябрь 2024'!$J$5:$J$2220,N$1)</f>
        <v>0</v>
      </c>
      <c r="O47" s="80">
        <f>SUMIFS('ноябрь 2024'!$G$5:$G$2220,'ноябрь 2024'!$D$5:$D$2220,$B47,'ноябрь 2024'!$J$5:$J$2220,O$1)</f>
        <v>0</v>
      </c>
      <c r="P47" s="80">
        <f>SUMIFS('ноябрь 2024'!$G$5:$G$2220,'ноябрь 2024'!$D$5:$D$2220,$B47,'ноябрь 2024'!$J$5:$J$2220,P$1)</f>
        <v>0</v>
      </c>
      <c r="Q47" s="80">
        <f>SUMIFS('ноябрь 2024'!$G$5:$G$2220,'ноябрь 2024'!$D$5:$D$2220,$B47,'ноябрь 2024'!$J$5:$J$2220,Q$1)</f>
        <v>0</v>
      </c>
      <c r="R47" s="80">
        <f>SUMIFS('ноябрь 2024'!$G$5:$G$2220,'ноябрь 2024'!$D$5:$D$2220,$B47,'ноябрь 2024'!$J$5:$J$2220,R$1)</f>
        <v>0</v>
      </c>
      <c r="S47" s="80">
        <f>SUMIFS('ноябрь 2024'!$G$5:$G$2220,'ноябрь 2024'!$D$5:$D$2220,$B47,'ноябрь 2024'!$J$5:$J$2220,S$1)</f>
        <v>0</v>
      </c>
      <c r="T47" s="80">
        <f>SUMIFS('ноябрь 2024'!$G$5:$G$2220,'ноябрь 2024'!$D$5:$D$2220,$B47,'ноябрь 2024'!$J$5:$J$2220,T$1)</f>
        <v>0</v>
      </c>
      <c r="U47" s="80">
        <f>SUMIFS('ноябрь 2024'!$G$5:$G$2220,'ноябрь 2024'!$D$5:$D$2220,$B47,'ноябрь 2024'!$J$5:$J$2220,U$1)</f>
        <v>0</v>
      </c>
      <c r="V47" s="80">
        <f>SUMIFS('ноябрь 2024'!$G$5:$G$2220,'ноябрь 2024'!$D$5:$D$2220,$B47,'ноябрь 2024'!$J$5:$J$2220,V$1)</f>
        <v>0</v>
      </c>
      <c r="W47" s="80">
        <f>SUMIFS('ноябрь 2024'!$G$5:$G$2220,'ноябрь 2024'!$D$5:$D$2220,$B47,'ноябрь 2024'!$J$5:$J$2220,W$1)</f>
        <v>0</v>
      </c>
      <c r="X47" s="80">
        <f>SUMIFS('ноябрь 2024'!$G$5:$G$2220,'ноябрь 2024'!$D$5:$D$2220,$B47,'ноябрь 2024'!$J$5:$J$2220,X$1)</f>
        <v>0</v>
      </c>
      <c r="Y47" s="80">
        <f>SUMIFS('ноябрь 2024'!$G$5:$G$2220,'ноябрь 2024'!$D$5:$D$2220,$B47,'ноябрь 2024'!$J$5:$J$2220,Y$1)</f>
        <v>0</v>
      </c>
      <c r="Z47" s="80">
        <f>SUMIFS('ноябрь 2024'!$G$5:$G$2220,'ноябрь 2024'!$D$5:$D$2220,$B47,'ноябрь 2024'!$J$5:$J$2220,Z$1)</f>
        <v>0</v>
      </c>
      <c r="AA47" s="80">
        <f>SUMIFS('ноябрь 2024'!$G$5:$G$2220,'ноябрь 2024'!$D$5:$D$2220,$B47,'ноябрь 2024'!$J$5:$J$2220,AA$1)</f>
        <v>0</v>
      </c>
      <c r="AB47" s="80">
        <f>SUMIFS('ноябрь 2024'!$G$5:$G$2220,'ноябрь 2024'!$D$5:$D$2220,$B47,'ноябрь 2024'!$J$5:$J$2220,AB$1)</f>
        <v>0</v>
      </c>
      <c r="AC47" s="80">
        <f>SUMIFS('ноябрь 2024'!$G$5:$G$2220,'ноябрь 2024'!$D$5:$D$2220,$B47,'ноябрь 2024'!$J$5:$J$2220,AC$1)</f>
        <v>0</v>
      </c>
      <c r="AD47" s="80">
        <f>SUMIFS('ноябрь 2024'!$G$5:$G$2220,'ноябрь 2024'!$D$5:$D$2220,$B47,'ноябрь 2024'!$J$5:$J$2220,AD$1)</f>
        <v>0</v>
      </c>
      <c r="AE47" s="80">
        <f>SUMIFS('ноябрь 2024'!$G$5:$G$2220,'ноябрь 2024'!$D$5:$D$2220,$B47,'ноябрь 2024'!$J$5:$J$2220,AE$1)</f>
        <v>0</v>
      </c>
      <c r="AF47" s="80">
        <f>SUMIFS('ноябрь 2024'!$G$5:$G$2220,'ноябрь 2024'!$D$5:$D$2220,$B47,'ноябрь 2024'!$J$5:$J$2220,AF$1)</f>
        <v>0</v>
      </c>
      <c r="AG47" s="80">
        <f>SUMIFS('ноябрь 2024'!$G$5:$G$2220,'ноябрь 2024'!$D$5:$D$2220,$B47,'ноябрь 2024'!$J$5:$J$2220,AG$1)</f>
        <v>0</v>
      </c>
      <c r="AH47" s="80">
        <f>SUMIFS('ноябрь 2024'!$G$5:$G$2220,'ноябрь 2024'!$D$5:$D$2220,$B47,'ноябрь 2024'!$J$5:$J$2220,AH$1)</f>
        <v>0</v>
      </c>
      <c r="AI47" s="21">
        <f t="shared" si="1"/>
        <v>0</v>
      </c>
    </row>
    <row r="48" spans="2:35" ht="15" customHeight="1" x14ac:dyDescent="0.25">
      <c r="B48" s="150" t="s">
        <v>304</v>
      </c>
      <c r="C48" s="149">
        <v>20</v>
      </c>
      <c r="D48" s="80">
        <f>SUMIFS('ноябрь 2024'!$G$5:$G$2220,'ноябрь 2024'!$D$5:$D$2220,$B48,'ноябрь 2024'!$J$5:$J$2220,D$1)</f>
        <v>0</v>
      </c>
      <c r="E48" s="80">
        <f>SUMIFS('ноябрь 2024'!$G$5:$G$2220,'ноябрь 2024'!$D$5:$D$2220,$B48,'ноябрь 2024'!$J$5:$J$2220,E$1)</f>
        <v>0</v>
      </c>
      <c r="F48" s="80">
        <f>SUMIFS('ноябрь 2024'!$G$5:$G$2220,'ноябрь 2024'!$D$5:$D$2220,$B48,'ноябрь 2024'!$J$5:$J$2220,F$1)</f>
        <v>0</v>
      </c>
      <c r="G48" s="80">
        <f>SUMIFS('ноябрь 2024'!$G$5:$G$2220,'ноябрь 2024'!$D$5:$D$2220,$B48,'ноябрь 2024'!$J$5:$J$2220,G$1)</f>
        <v>0</v>
      </c>
      <c r="H48" s="80">
        <f>SUMIFS('ноябрь 2024'!$G$5:$G$2220,'ноябрь 2024'!$D$5:$D$2220,$B48,'ноябрь 2024'!$J$5:$J$2220,H$1)</f>
        <v>0</v>
      </c>
      <c r="I48" s="80">
        <f>SUMIFS('ноябрь 2024'!$G$5:$G$2220,'ноябрь 2024'!$D$5:$D$2220,$B48,'ноябрь 2024'!$J$5:$J$2220,I$1)</f>
        <v>0</v>
      </c>
      <c r="J48" s="80">
        <f>SUMIFS('ноябрь 2024'!$G$5:$G$2220,'ноябрь 2024'!$D$5:$D$2220,$B48,'ноябрь 2024'!$J$5:$J$2220,J$1)</f>
        <v>0</v>
      </c>
      <c r="K48" s="80">
        <f>SUMIFS('ноябрь 2024'!$G$5:$G$2220,'ноябрь 2024'!$D$5:$D$2220,$B48,'ноябрь 2024'!$J$5:$J$2220,K$1)</f>
        <v>0</v>
      </c>
      <c r="L48" s="80">
        <f>SUMIFS('ноябрь 2024'!$G$5:$G$2220,'ноябрь 2024'!$D$5:$D$2220,$B48,'ноябрь 2024'!$J$5:$J$2220,L$1)</f>
        <v>0</v>
      </c>
      <c r="M48" s="80">
        <f>SUMIFS('ноябрь 2024'!$G$5:$G$2220,'ноябрь 2024'!$D$5:$D$2220,$B48,'ноябрь 2024'!$J$5:$J$2220,M$1)</f>
        <v>0</v>
      </c>
      <c r="N48" s="80">
        <f>SUMIFS('ноябрь 2024'!$G$5:$G$2220,'ноябрь 2024'!$D$5:$D$2220,$B48,'ноябрь 2024'!$J$5:$J$2220,N$1)</f>
        <v>0</v>
      </c>
      <c r="O48" s="80">
        <f>SUMIFS('ноябрь 2024'!$G$5:$G$2220,'ноябрь 2024'!$D$5:$D$2220,$B48,'ноябрь 2024'!$J$5:$J$2220,O$1)</f>
        <v>0</v>
      </c>
      <c r="P48" s="80">
        <f>SUMIFS('ноябрь 2024'!$G$5:$G$2220,'ноябрь 2024'!$D$5:$D$2220,$B48,'ноябрь 2024'!$J$5:$J$2220,P$1)</f>
        <v>0</v>
      </c>
      <c r="Q48" s="80">
        <f>SUMIFS('ноябрь 2024'!$G$5:$G$2220,'ноябрь 2024'!$D$5:$D$2220,$B48,'ноябрь 2024'!$J$5:$J$2220,Q$1)</f>
        <v>0</v>
      </c>
      <c r="R48" s="80">
        <f>SUMIFS('ноябрь 2024'!$G$5:$G$2220,'ноябрь 2024'!$D$5:$D$2220,$B48,'ноябрь 2024'!$J$5:$J$2220,R$1)</f>
        <v>0</v>
      </c>
      <c r="S48" s="80">
        <f>SUMIFS('ноябрь 2024'!$G$5:$G$2220,'ноябрь 2024'!$D$5:$D$2220,$B48,'ноябрь 2024'!$J$5:$J$2220,S$1)</f>
        <v>0</v>
      </c>
      <c r="T48" s="80">
        <f>SUMIFS('ноябрь 2024'!$G$5:$G$2220,'ноябрь 2024'!$D$5:$D$2220,$B48,'ноябрь 2024'!$J$5:$J$2220,T$1)</f>
        <v>0</v>
      </c>
      <c r="U48" s="80">
        <f>SUMIFS('ноябрь 2024'!$G$5:$G$2220,'ноябрь 2024'!$D$5:$D$2220,$B48,'ноябрь 2024'!$J$5:$J$2220,U$1)</f>
        <v>0</v>
      </c>
      <c r="V48" s="80">
        <f>SUMIFS('ноябрь 2024'!$G$5:$G$2220,'ноябрь 2024'!$D$5:$D$2220,$B48,'ноябрь 2024'!$J$5:$J$2220,V$1)</f>
        <v>0</v>
      </c>
      <c r="W48" s="80">
        <f>SUMIFS('ноябрь 2024'!$G$5:$G$2220,'ноябрь 2024'!$D$5:$D$2220,$B48,'ноябрь 2024'!$J$5:$J$2220,W$1)</f>
        <v>0</v>
      </c>
      <c r="X48" s="80">
        <f>SUMIFS('ноябрь 2024'!$G$5:$G$2220,'ноябрь 2024'!$D$5:$D$2220,$B48,'ноябрь 2024'!$J$5:$J$2220,X$1)</f>
        <v>0</v>
      </c>
      <c r="Y48" s="80">
        <f>SUMIFS('ноябрь 2024'!$G$5:$G$2220,'ноябрь 2024'!$D$5:$D$2220,$B48,'ноябрь 2024'!$J$5:$J$2220,Y$1)</f>
        <v>0</v>
      </c>
      <c r="Z48" s="80">
        <f>SUMIFS('ноябрь 2024'!$G$5:$G$2220,'ноябрь 2024'!$D$5:$D$2220,$B48,'ноябрь 2024'!$J$5:$J$2220,Z$1)</f>
        <v>0</v>
      </c>
      <c r="AA48" s="80">
        <f>SUMIFS('ноябрь 2024'!$G$5:$G$2220,'ноябрь 2024'!$D$5:$D$2220,$B48,'ноябрь 2024'!$J$5:$J$2220,AA$1)</f>
        <v>0</v>
      </c>
      <c r="AB48" s="80">
        <f>SUMIFS('ноябрь 2024'!$G$5:$G$2220,'ноябрь 2024'!$D$5:$D$2220,$B48,'ноябрь 2024'!$J$5:$J$2220,AB$1)</f>
        <v>0</v>
      </c>
      <c r="AC48" s="80">
        <f>SUMIFS('ноябрь 2024'!$G$5:$G$2220,'ноябрь 2024'!$D$5:$D$2220,$B48,'ноябрь 2024'!$J$5:$J$2220,AC$1)</f>
        <v>0</v>
      </c>
      <c r="AD48" s="80">
        <f>SUMIFS('ноябрь 2024'!$G$5:$G$2220,'ноябрь 2024'!$D$5:$D$2220,$B48,'ноябрь 2024'!$J$5:$J$2220,AD$1)</f>
        <v>0</v>
      </c>
      <c r="AE48" s="80">
        <f>SUMIFS('ноябрь 2024'!$G$5:$G$2220,'ноябрь 2024'!$D$5:$D$2220,$B48,'ноябрь 2024'!$J$5:$J$2220,AE$1)</f>
        <v>0</v>
      </c>
      <c r="AF48" s="80">
        <f>SUMIFS('ноябрь 2024'!$G$5:$G$2220,'ноябрь 2024'!$D$5:$D$2220,$B48,'ноябрь 2024'!$J$5:$J$2220,AF$1)</f>
        <v>0</v>
      </c>
      <c r="AG48" s="80">
        <f>SUMIFS('ноябрь 2024'!$G$5:$G$2220,'ноябрь 2024'!$D$5:$D$2220,$B48,'ноябрь 2024'!$J$5:$J$2220,AG$1)</f>
        <v>0</v>
      </c>
      <c r="AH48" s="80">
        <f>SUMIFS('ноябрь 2024'!$G$5:$G$2220,'ноябрь 2024'!$D$5:$D$2220,$B48,'ноябрь 2024'!$J$5:$J$2220,AH$1)</f>
        <v>0</v>
      </c>
      <c r="AI48" s="21">
        <f t="shared" si="1"/>
        <v>0</v>
      </c>
    </row>
    <row r="49" spans="2:35" ht="15" customHeight="1" x14ac:dyDescent="0.25">
      <c r="B49" s="150" t="s">
        <v>306</v>
      </c>
      <c r="C49" s="151">
        <v>20</v>
      </c>
      <c r="D49" s="80">
        <f>SUMIFS('ноябрь 2024'!$G$5:$G$2220,'ноябрь 2024'!$D$5:$D$2220,$B49,'ноябрь 2024'!$J$5:$J$2220,D$1)</f>
        <v>0</v>
      </c>
      <c r="E49" s="80">
        <f>SUMIFS('ноябрь 2024'!$G$5:$G$2220,'ноябрь 2024'!$D$5:$D$2220,$B49,'ноябрь 2024'!$J$5:$J$2220,E$1)</f>
        <v>0</v>
      </c>
      <c r="F49" s="80">
        <f>SUMIFS('ноябрь 2024'!$G$5:$G$2220,'ноябрь 2024'!$D$5:$D$2220,$B49,'ноябрь 2024'!$J$5:$J$2220,F$1)</f>
        <v>0</v>
      </c>
      <c r="G49" s="80">
        <f>SUMIFS('ноябрь 2024'!$G$5:$G$2220,'ноябрь 2024'!$D$5:$D$2220,$B49,'ноябрь 2024'!$J$5:$J$2220,G$1)</f>
        <v>0</v>
      </c>
      <c r="H49" s="80">
        <f>SUMIFS('ноябрь 2024'!$G$5:$G$2220,'ноябрь 2024'!$D$5:$D$2220,$B49,'ноябрь 2024'!$J$5:$J$2220,H$1)</f>
        <v>0</v>
      </c>
      <c r="I49" s="80">
        <f>SUMIFS('ноябрь 2024'!$G$5:$G$2220,'ноябрь 2024'!$D$5:$D$2220,$B49,'ноябрь 2024'!$J$5:$J$2220,I$1)</f>
        <v>0</v>
      </c>
      <c r="J49" s="80">
        <f>SUMIFS('ноябрь 2024'!$G$5:$G$2220,'ноябрь 2024'!$D$5:$D$2220,$B49,'ноябрь 2024'!$J$5:$J$2220,J$1)</f>
        <v>0</v>
      </c>
      <c r="K49" s="80">
        <f>SUMIFS('ноябрь 2024'!$G$5:$G$2220,'ноябрь 2024'!$D$5:$D$2220,$B49,'ноябрь 2024'!$J$5:$J$2220,K$1)</f>
        <v>0</v>
      </c>
      <c r="L49" s="80">
        <f>SUMIFS('ноябрь 2024'!$G$5:$G$2220,'ноябрь 2024'!$D$5:$D$2220,$B49,'ноябрь 2024'!$J$5:$J$2220,L$1)</f>
        <v>0</v>
      </c>
      <c r="M49" s="80">
        <f>SUMIFS('ноябрь 2024'!$G$5:$G$2220,'ноябрь 2024'!$D$5:$D$2220,$B49,'ноябрь 2024'!$J$5:$J$2220,M$1)</f>
        <v>0</v>
      </c>
      <c r="N49" s="80">
        <f>SUMIFS('ноябрь 2024'!$G$5:$G$2220,'ноябрь 2024'!$D$5:$D$2220,$B49,'ноябрь 2024'!$J$5:$J$2220,N$1)</f>
        <v>0</v>
      </c>
      <c r="O49" s="80">
        <f>SUMIFS('ноябрь 2024'!$G$5:$G$2220,'ноябрь 2024'!$D$5:$D$2220,$B49,'ноябрь 2024'!$J$5:$J$2220,O$1)</f>
        <v>0</v>
      </c>
      <c r="P49" s="80">
        <f>SUMIFS('ноябрь 2024'!$G$5:$G$2220,'ноябрь 2024'!$D$5:$D$2220,$B49,'ноябрь 2024'!$J$5:$J$2220,P$1)</f>
        <v>0</v>
      </c>
      <c r="Q49" s="80">
        <f>SUMIFS('ноябрь 2024'!$G$5:$G$2220,'ноябрь 2024'!$D$5:$D$2220,$B49,'ноябрь 2024'!$J$5:$J$2220,Q$1)</f>
        <v>0</v>
      </c>
      <c r="R49" s="80">
        <f>SUMIFS('ноябрь 2024'!$G$5:$G$2220,'ноябрь 2024'!$D$5:$D$2220,$B49,'ноябрь 2024'!$J$5:$J$2220,R$1)</f>
        <v>0</v>
      </c>
      <c r="S49" s="80">
        <f>SUMIFS('ноябрь 2024'!$G$5:$G$2220,'ноябрь 2024'!$D$5:$D$2220,$B49,'ноябрь 2024'!$J$5:$J$2220,S$1)</f>
        <v>0</v>
      </c>
      <c r="T49" s="80">
        <f>SUMIFS('ноябрь 2024'!$G$5:$G$2220,'ноябрь 2024'!$D$5:$D$2220,$B49,'ноябрь 2024'!$J$5:$J$2220,T$1)</f>
        <v>0</v>
      </c>
      <c r="U49" s="80">
        <f>SUMIFS('ноябрь 2024'!$G$5:$G$2220,'ноябрь 2024'!$D$5:$D$2220,$B49,'ноябрь 2024'!$J$5:$J$2220,U$1)</f>
        <v>0</v>
      </c>
      <c r="V49" s="80">
        <f>SUMIFS('ноябрь 2024'!$G$5:$G$2220,'ноябрь 2024'!$D$5:$D$2220,$B49,'ноябрь 2024'!$J$5:$J$2220,V$1)</f>
        <v>0</v>
      </c>
      <c r="W49" s="80">
        <f>SUMIFS('ноябрь 2024'!$G$5:$G$2220,'ноябрь 2024'!$D$5:$D$2220,$B49,'ноябрь 2024'!$J$5:$J$2220,W$1)</f>
        <v>0</v>
      </c>
      <c r="X49" s="80">
        <f>SUMIFS('ноябрь 2024'!$G$5:$G$2220,'ноябрь 2024'!$D$5:$D$2220,$B49,'ноябрь 2024'!$J$5:$J$2220,X$1)</f>
        <v>0</v>
      </c>
      <c r="Y49" s="80">
        <f>SUMIFS('ноябрь 2024'!$G$5:$G$2220,'ноябрь 2024'!$D$5:$D$2220,$B49,'ноябрь 2024'!$J$5:$J$2220,Y$1)</f>
        <v>0</v>
      </c>
      <c r="Z49" s="80">
        <f>SUMIFS('ноябрь 2024'!$G$5:$G$2220,'ноябрь 2024'!$D$5:$D$2220,$B49,'ноябрь 2024'!$J$5:$J$2220,Z$1)</f>
        <v>0</v>
      </c>
      <c r="AA49" s="80">
        <f>SUMIFS('ноябрь 2024'!$G$5:$G$2220,'ноябрь 2024'!$D$5:$D$2220,$B49,'ноябрь 2024'!$J$5:$J$2220,AA$1)</f>
        <v>0</v>
      </c>
      <c r="AB49" s="80">
        <f>SUMIFS('ноябрь 2024'!$G$5:$G$2220,'ноябрь 2024'!$D$5:$D$2220,$B49,'ноябрь 2024'!$J$5:$J$2220,AB$1)</f>
        <v>0</v>
      </c>
      <c r="AC49" s="80">
        <f>SUMIFS('ноябрь 2024'!$G$5:$G$2220,'ноябрь 2024'!$D$5:$D$2220,$B49,'ноябрь 2024'!$J$5:$J$2220,AC$1)</f>
        <v>0</v>
      </c>
      <c r="AD49" s="80">
        <f>SUMIFS('ноябрь 2024'!$G$5:$G$2220,'ноябрь 2024'!$D$5:$D$2220,$B49,'ноябрь 2024'!$J$5:$J$2220,AD$1)</f>
        <v>0</v>
      </c>
      <c r="AE49" s="80">
        <f>SUMIFS('ноябрь 2024'!$G$5:$G$2220,'ноябрь 2024'!$D$5:$D$2220,$B49,'ноябрь 2024'!$J$5:$J$2220,AE$1)</f>
        <v>0</v>
      </c>
      <c r="AF49" s="80">
        <f>SUMIFS('ноябрь 2024'!$G$5:$G$2220,'ноябрь 2024'!$D$5:$D$2220,$B49,'ноябрь 2024'!$J$5:$J$2220,AF$1)</f>
        <v>0</v>
      </c>
      <c r="AG49" s="80">
        <f>SUMIFS('ноябрь 2024'!$G$5:$G$2220,'ноябрь 2024'!$D$5:$D$2220,$B49,'ноябрь 2024'!$J$5:$J$2220,AG$1)</f>
        <v>0</v>
      </c>
      <c r="AH49" s="80">
        <f>SUMIFS('ноябрь 2024'!$G$5:$G$2220,'ноябрь 2024'!$D$5:$D$2220,$B49,'ноябрь 2024'!$J$5:$J$2220,AH$1)</f>
        <v>0</v>
      </c>
      <c r="AI49" s="21">
        <f t="shared" si="1"/>
        <v>0</v>
      </c>
    </row>
    <row r="50" spans="2:35" ht="15" customHeight="1" x14ac:dyDescent="0.25">
      <c r="B50" s="150" t="s">
        <v>308</v>
      </c>
      <c r="C50" s="151">
        <v>14</v>
      </c>
      <c r="D50" s="80">
        <f>SUMIFS('ноябрь 2024'!$G$5:$G$2220,'ноябрь 2024'!$D$5:$D$2220,$B50,'ноябрь 2024'!$J$5:$J$2220,D$1)</f>
        <v>0</v>
      </c>
      <c r="E50" s="80">
        <f>SUMIFS('ноябрь 2024'!$G$5:$G$2220,'ноябрь 2024'!$D$5:$D$2220,$B50,'ноябрь 2024'!$J$5:$J$2220,E$1)</f>
        <v>0</v>
      </c>
      <c r="F50" s="80">
        <f>SUMIFS('ноябрь 2024'!$G$5:$G$2220,'ноябрь 2024'!$D$5:$D$2220,$B50,'ноябрь 2024'!$J$5:$J$2220,F$1)</f>
        <v>0</v>
      </c>
      <c r="G50" s="80">
        <f>SUMIFS('ноябрь 2024'!$G$5:$G$2220,'ноябрь 2024'!$D$5:$D$2220,$B50,'ноябрь 2024'!$J$5:$J$2220,G$1)</f>
        <v>0</v>
      </c>
      <c r="H50" s="80">
        <f>SUMIFS('ноябрь 2024'!$G$5:$G$2220,'ноябрь 2024'!$D$5:$D$2220,$B50,'ноябрь 2024'!$J$5:$J$2220,H$1)</f>
        <v>0</v>
      </c>
      <c r="I50" s="80">
        <f>SUMIFS('ноябрь 2024'!$G$5:$G$2220,'ноябрь 2024'!$D$5:$D$2220,$B50,'ноябрь 2024'!$J$5:$J$2220,I$1)</f>
        <v>0</v>
      </c>
      <c r="J50" s="80">
        <f>SUMIFS('ноябрь 2024'!$G$5:$G$2220,'ноябрь 2024'!$D$5:$D$2220,$B50,'ноябрь 2024'!$J$5:$J$2220,J$1)</f>
        <v>0</v>
      </c>
      <c r="K50" s="80">
        <f>SUMIFS('ноябрь 2024'!$G$5:$G$2220,'ноябрь 2024'!$D$5:$D$2220,$B50,'ноябрь 2024'!$J$5:$J$2220,K$1)</f>
        <v>0</v>
      </c>
      <c r="L50" s="80">
        <f>SUMIFS('ноябрь 2024'!$G$5:$G$2220,'ноябрь 2024'!$D$5:$D$2220,$B50,'ноябрь 2024'!$J$5:$J$2220,L$1)</f>
        <v>0</v>
      </c>
      <c r="M50" s="80">
        <f>SUMIFS('ноябрь 2024'!$G$5:$G$2220,'ноябрь 2024'!$D$5:$D$2220,$B50,'ноябрь 2024'!$J$5:$J$2220,M$1)</f>
        <v>0</v>
      </c>
      <c r="N50" s="80">
        <f>SUMIFS('ноябрь 2024'!$G$5:$G$2220,'ноябрь 2024'!$D$5:$D$2220,$B50,'ноябрь 2024'!$J$5:$J$2220,N$1)</f>
        <v>0</v>
      </c>
      <c r="O50" s="80">
        <f>SUMIFS('ноябрь 2024'!$G$5:$G$2220,'ноябрь 2024'!$D$5:$D$2220,$B50,'ноябрь 2024'!$J$5:$J$2220,O$1)</f>
        <v>0</v>
      </c>
      <c r="P50" s="80">
        <f>SUMIFS('ноябрь 2024'!$G$5:$G$2220,'ноябрь 2024'!$D$5:$D$2220,$B50,'ноябрь 2024'!$J$5:$J$2220,P$1)</f>
        <v>0</v>
      </c>
      <c r="Q50" s="80">
        <f>SUMIFS('ноябрь 2024'!$G$5:$G$2220,'ноябрь 2024'!$D$5:$D$2220,$B50,'ноябрь 2024'!$J$5:$J$2220,Q$1)</f>
        <v>0</v>
      </c>
      <c r="R50" s="80">
        <f>SUMIFS('ноябрь 2024'!$G$5:$G$2220,'ноябрь 2024'!$D$5:$D$2220,$B50,'ноябрь 2024'!$J$5:$J$2220,R$1)</f>
        <v>0</v>
      </c>
      <c r="S50" s="80">
        <f>SUMIFS('ноябрь 2024'!$G$5:$G$2220,'ноябрь 2024'!$D$5:$D$2220,$B50,'ноябрь 2024'!$J$5:$J$2220,S$1)</f>
        <v>0</v>
      </c>
      <c r="T50" s="80">
        <f>SUMIFS('ноябрь 2024'!$G$5:$G$2220,'ноябрь 2024'!$D$5:$D$2220,$B50,'ноябрь 2024'!$J$5:$J$2220,T$1)</f>
        <v>0</v>
      </c>
      <c r="U50" s="80">
        <f>SUMIFS('ноябрь 2024'!$G$5:$G$2220,'ноябрь 2024'!$D$5:$D$2220,$B50,'ноябрь 2024'!$J$5:$J$2220,U$1)</f>
        <v>0</v>
      </c>
      <c r="V50" s="80">
        <f>SUMIFS('ноябрь 2024'!$G$5:$G$2220,'ноябрь 2024'!$D$5:$D$2220,$B50,'ноябрь 2024'!$J$5:$J$2220,V$1)</f>
        <v>0</v>
      </c>
      <c r="W50" s="80">
        <f>SUMIFS('ноябрь 2024'!$G$5:$G$2220,'ноябрь 2024'!$D$5:$D$2220,$B50,'ноябрь 2024'!$J$5:$J$2220,W$1)</f>
        <v>0</v>
      </c>
      <c r="X50" s="80">
        <f>SUMIFS('ноябрь 2024'!$G$5:$G$2220,'ноябрь 2024'!$D$5:$D$2220,$B50,'ноябрь 2024'!$J$5:$J$2220,X$1)</f>
        <v>0</v>
      </c>
      <c r="Y50" s="80">
        <f>SUMIFS('ноябрь 2024'!$G$5:$G$2220,'ноябрь 2024'!$D$5:$D$2220,$B50,'ноябрь 2024'!$J$5:$J$2220,Y$1)</f>
        <v>0</v>
      </c>
      <c r="Z50" s="80">
        <f>SUMIFS('ноябрь 2024'!$G$5:$G$2220,'ноябрь 2024'!$D$5:$D$2220,$B50,'ноябрь 2024'!$J$5:$J$2220,Z$1)</f>
        <v>0</v>
      </c>
      <c r="AA50" s="80">
        <f>SUMIFS('ноябрь 2024'!$G$5:$G$2220,'ноябрь 2024'!$D$5:$D$2220,$B50,'ноябрь 2024'!$J$5:$J$2220,AA$1)</f>
        <v>0</v>
      </c>
      <c r="AB50" s="80">
        <f>SUMIFS('ноябрь 2024'!$G$5:$G$2220,'ноябрь 2024'!$D$5:$D$2220,$B50,'ноябрь 2024'!$J$5:$J$2220,AB$1)</f>
        <v>0</v>
      </c>
      <c r="AC50" s="80">
        <f>SUMIFS('ноябрь 2024'!$G$5:$G$2220,'ноябрь 2024'!$D$5:$D$2220,$B50,'ноябрь 2024'!$J$5:$J$2220,AC$1)</f>
        <v>0</v>
      </c>
      <c r="AD50" s="80">
        <f>SUMIFS('ноябрь 2024'!$G$5:$G$2220,'ноябрь 2024'!$D$5:$D$2220,$B50,'ноябрь 2024'!$J$5:$J$2220,AD$1)</f>
        <v>0</v>
      </c>
      <c r="AE50" s="80">
        <f>SUMIFS('ноябрь 2024'!$G$5:$G$2220,'ноябрь 2024'!$D$5:$D$2220,$B50,'ноябрь 2024'!$J$5:$J$2220,AE$1)</f>
        <v>0</v>
      </c>
      <c r="AF50" s="80">
        <f>SUMIFS('ноябрь 2024'!$G$5:$G$2220,'ноябрь 2024'!$D$5:$D$2220,$B50,'ноябрь 2024'!$J$5:$J$2220,AF$1)</f>
        <v>0</v>
      </c>
      <c r="AG50" s="80">
        <f>SUMIFS('ноябрь 2024'!$G$5:$G$2220,'ноябрь 2024'!$D$5:$D$2220,$B50,'ноябрь 2024'!$J$5:$J$2220,AG$1)</f>
        <v>0</v>
      </c>
      <c r="AH50" s="80">
        <f>SUMIFS('ноябрь 2024'!$G$5:$G$2220,'ноябрь 2024'!$D$5:$D$2220,$B50,'ноябрь 2024'!$J$5:$J$2220,AH$1)</f>
        <v>0</v>
      </c>
      <c r="AI50" s="21">
        <f t="shared" si="1"/>
        <v>0</v>
      </c>
    </row>
    <row r="51" spans="2:35" ht="15" customHeight="1" x14ac:dyDescent="0.25">
      <c r="B51" s="150" t="s">
        <v>310</v>
      </c>
      <c r="C51" s="151">
        <v>25</v>
      </c>
      <c r="D51" s="80">
        <f>SUMIFS('ноябрь 2024'!$G$5:$G$2220,'ноябрь 2024'!$D$5:$D$2220,$B51,'ноябрь 2024'!$J$5:$J$2220,D$1)</f>
        <v>0</v>
      </c>
      <c r="E51" s="80">
        <f>SUMIFS('ноябрь 2024'!$G$5:$G$2220,'ноябрь 2024'!$D$5:$D$2220,$B51,'ноябрь 2024'!$J$5:$J$2220,E$1)</f>
        <v>0</v>
      </c>
      <c r="F51" s="80">
        <f>SUMIFS('ноябрь 2024'!$G$5:$G$2220,'ноябрь 2024'!$D$5:$D$2220,$B51,'ноябрь 2024'!$J$5:$J$2220,F$1)</f>
        <v>0</v>
      </c>
      <c r="G51" s="80">
        <f>SUMIFS('ноябрь 2024'!$G$5:$G$2220,'ноябрь 2024'!$D$5:$D$2220,$B51,'ноябрь 2024'!$J$5:$J$2220,G$1)</f>
        <v>0</v>
      </c>
      <c r="H51" s="80">
        <f>SUMIFS('ноябрь 2024'!$G$5:$G$2220,'ноябрь 2024'!$D$5:$D$2220,$B51,'ноябрь 2024'!$J$5:$J$2220,H$1)</f>
        <v>0</v>
      </c>
      <c r="I51" s="80">
        <f>SUMIFS('ноябрь 2024'!$G$5:$G$2220,'ноябрь 2024'!$D$5:$D$2220,$B51,'ноябрь 2024'!$J$5:$J$2220,I$1)</f>
        <v>0</v>
      </c>
      <c r="J51" s="80">
        <f>SUMIFS('ноябрь 2024'!$G$5:$G$2220,'ноябрь 2024'!$D$5:$D$2220,$B51,'ноябрь 2024'!$J$5:$J$2220,J$1)</f>
        <v>0</v>
      </c>
      <c r="K51" s="80">
        <f>SUMIFS('ноябрь 2024'!$G$5:$G$2220,'ноябрь 2024'!$D$5:$D$2220,$B51,'ноябрь 2024'!$J$5:$J$2220,K$1)</f>
        <v>0</v>
      </c>
      <c r="L51" s="80">
        <f>SUMIFS('ноябрь 2024'!$G$5:$G$2220,'ноябрь 2024'!$D$5:$D$2220,$B51,'ноябрь 2024'!$J$5:$J$2220,L$1)</f>
        <v>0</v>
      </c>
      <c r="M51" s="80">
        <f>SUMIFS('ноябрь 2024'!$G$5:$G$2220,'ноябрь 2024'!$D$5:$D$2220,$B51,'ноябрь 2024'!$J$5:$J$2220,M$1)</f>
        <v>0</v>
      </c>
      <c r="N51" s="80">
        <f>SUMIFS('ноябрь 2024'!$G$5:$G$2220,'ноябрь 2024'!$D$5:$D$2220,$B51,'ноябрь 2024'!$J$5:$J$2220,N$1)</f>
        <v>0</v>
      </c>
      <c r="O51" s="80">
        <f>SUMIFS('ноябрь 2024'!$G$5:$G$2220,'ноябрь 2024'!$D$5:$D$2220,$B51,'ноябрь 2024'!$J$5:$J$2220,O$1)</f>
        <v>0</v>
      </c>
      <c r="P51" s="80">
        <f>SUMIFS('ноябрь 2024'!$G$5:$G$2220,'ноябрь 2024'!$D$5:$D$2220,$B51,'ноябрь 2024'!$J$5:$J$2220,P$1)</f>
        <v>0</v>
      </c>
      <c r="Q51" s="80">
        <f>SUMIFS('ноябрь 2024'!$G$5:$G$2220,'ноябрь 2024'!$D$5:$D$2220,$B51,'ноябрь 2024'!$J$5:$J$2220,Q$1)</f>
        <v>0</v>
      </c>
      <c r="R51" s="80">
        <f>SUMIFS('ноябрь 2024'!$G$5:$G$2220,'ноябрь 2024'!$D$5:$D$2220,$B51,'ноябрь 2024'!$J$5:$J$2220,R$1)</f>
        <v>0</v>
      </c>
      <c r="S51" s="80">
        <f>SUMIFS('ноябрь 2024'!$G$5:$G$2220,'ноябрь 2024'!$D$5:$D$2220,$B51,'ноябрь 2024'!$J$5:$J$2220,S$1)</f>
        <v>0</v>
      </c>
      <c r="T51" s="80">
        <f>SUMIFS('ноябрь 2024'!$G$5:$G$2220,'ноябрь 2024'!$D$5:$D$2220,$B51,'ноябрь 2024'!$J$5:$J$2220,T$1)</f>
        <v>0</v>
      </c>
      <c r="U51" s="80">
        <f>SUMIFS('ноябрь 2024'!$G$5:$G$2220,'ноябрь 2024'!$D$5:$D$2220,$B51,'ноябрь 2024'!$J$5:$J$2220,U$1)</f>
        <v>0</v>
      </c>
      <c r="V51" s="80">
        <f>SUMIFS('ноябрь 2024'!$G$5:$G$2220,'ноябрь 2024'!$D$5:$D$2220,$B51,'ноябрь 2024'!$J$5:$J$2220,V$1)</f>
        <v>0</v>
      </c>
      <c r="W51" s="80">
        <f>SUMIFS('ноябрь 2024'!$G$5:$G$2220,'ноябрь 2024'!$D$5:$D$2220,$B51,'ноябрь 2024'!$J$5:$J$2220,W$1)</f>
        <v>0</v>
      </c>
      <c r="X51" s="80">
        <f>SUMIFS('ноябрь 2024'!$G$5:$G$2220,'ноябрь 2024'!$D$5:$D$2220,$B51,'ноябрь 2024'!$J$5:$J$2220,X$1)</f>
        <v>0</v>
      </c>
      <c r="Y51" s="80">
        <f>SUMIFS('ноябрь 2024'!$G$5:$G$2220,'ноябрь 2024'!$D$5:$D$2220,$B51,'ноябрь 2024'!$J$5:$J$2220,Y$1)</f>
        <v>0</v>
      </c>
      <c r="Z51" s="80">
        <f>SUMIFS('ноябрь 2024'!$G$5:$G$2220,'ноябрь 2024'!$D$5:$D$2220,$B51,'ноябрь 2024'!$J$5:$J$2220,Z$1)</f>
        <v>0</v>
      </c>
      <c r="AA51" s="80">
        <f>SUMIFS('ноябрь 2024'!$G$5:$G$2220,'ноябрь 2024'!$D$5:$D$2220,$B51,'ноябрь 2024'!$J$5:$J$2220,AA$1)</f>
        <v>0</v>
      </c>
      <c r="AB51" s="80">
        <f>SUMIFS('ноябрь 2024'!$G$5:$G$2220,'ноябрь 2024'!$D$5:$D$2220,$B51,'ноябрь 2024'!$J$5:$J$2220,AB$1)</f>
        <v>0</v>
      </c>
      <c r="AC51" s="80">
        <f>SUMIFS('ноябрь 2024'!$G$5:$G$2220,'ноябрь 2024'!$D$5:$D$2220,$B51,'ноябрь 2024'!$J$5:$J$2220,AC$1)</f>
        <v>0</v>
      </c>
      <c r="AD51" s="80">
        <f>SUMIFS('ноябрь 2024'!$G$5:$G$2220,'ноябрь 2024'!$D$5:$D$2220,$B51,'ноябрь 2024'!$J$5:$J$2220,AD$1)</f>
        <v>0</v>
      </c>
      <c r="AE51" s="80">
        <f>SUMIFS('ноябрь 2024'!$G$5:$G$2220,'ноябрь 2024'!$D$5:$D$2220,$B51,'ноябрь 2024'!$J$5:$J$2220,AE$1)</f>
        <v>0</v>
      </c>
      <c r="AF51" s="80">
        <f>SUMIFS('ноябрь 2024'!$G$5:$G$2220,'ноябрь 2024'!$D$5:$D$2220,$B51,'ноябрь 2024'!$J$5:$J$2220,AF$1)</f>
        <v>0</v>
      </c>
      <c r="AG51" s="80">
        <f>SUMIFS('ноябрь 2024'!$G$5:$G$2220,'ноябрь 2024'!$D$5:$D$2220,$B51,'ноябрь 2024'!$J$5:$J$2220,AG$1)</f>
        <v>0</v>
      </c>
      <c r="AH51" s="80">
        <f>SUMIFS('ноябрь 2024'!$G$5:$G$2220,'ноябрь 2024'!$D$5:$D$2220,$B51,'ноябрь 2024'!$J$5:$J$2220,AH$1)</f>
        <v>0</v>
      </c>
      <c r="AI51" s="21">
        <f t="shared" si="1"/>
        <v>0</v>
      </c>
    </row>
    <row r="52" spans="2:35" ht="15" customHeight="1" x14ac:dyDescent="0.25">
      <c r="B52" s="150" t="s">
        <v>316</v>
      </c>
      <c r="C52" s="151">
        <v>20</v>
      </c>
      <c r="D52" s="80">
        <f>SUMIFS('ноябрь 2024'!$G$5:$G$2220,'ноябрь 2024'!$D$5:$D$2220,$B52,'ноябрь 2024'!$J$5:$J$2220,D$1)</f>
        <v>0</v>
      </c>
      <c r="E52" s="80">
        <f>SUMIFS('ноябрь 2024'!$G$5:$G$2220,'ноябрь 2024'!$D$5:$D$2220,$B52,'ноябрь 2024'!$J$5:$J$2220,E$1)</f>
        <v>0</v>
      </c>
      <c r="F52" s="80">
        <f>SUMIFS('ноябрь 2024'!$G$5:$G$2220,'ноябрь 2024'!$D$5:$D$2220,$B52,'ноябрь 2024'!$J$5:$J$2220,F$1)</f>
        <v>0</v>
      </c>
      <c r="G52" s="80">
        <f>SUMIFS('ноябрь 2024'!$G$5:$G$2220,'ноябрь 2024'!$D$5:$D$2220,$B52,'ноябрь 2024'!$J$5:$J$2220,G$1)</f>
        <v>0</v>
      </c>
      <c r="H52" s="80">
        <f>SUMIFS('ноябрь 2024'!$G$5:$G$2220,'ноябрь 2024'!$D$5:$D$2220,$B52,'ноябрь 2024'!$J$5:$J$2220,H$1)</f>
        <v>0</v>
      </c>
      <c r="I52" s="80">
        <f>SUMIFS('ноябрь 2024'!$G$5:$G$2220,'ноябрь 2024'!$D$5:$D$2220,$B52,'ноябрь 2024'!$J$5:$J$2220,I$1)</f>
        <v>0</v>
      </c>
      <c r="J52" s="80">
        <f>SUMIFS('ноябрь 2024'!$G$5:$G$2220,'ноябрь 2024'!$D$5:$D$2220,$B52,'ноябрь 2024'!$J$5:$J$2220,J$1)</f>
        <v>0</v>
      </c>
      <c r="K52" s="80">
        <f>SUMIFS('ноябрь 2024'!$G$5:$G$2220,'ноябрь 2024'!$D$5:$D$2220,$B52,'ноябрь 2024'!$J$5:$J$2220,K$1)</f>
        <v>0</v>
      </c>
      <c r="L52" s="80">
        <f>SUMIFS('ноябрь 2024'!$G$5:$G$2220,'ноябрь 2024'!$D$5:$D$2220,$B52,'ноябрь 2024'!$J$5:$J$2220,L$1)</f>
        <v>0</v>
      </c>
      <c r="M52" s="80">
        <f>SUMIFS('ноябрь 2024'!$G$5:$G$2220,'ноябрь 2024'!$D$5:$D$2220,$B52,'ноябрь 2024'!$J$5:$J$2220,M$1)</f>
        <v>0</v>
      </c>
      <c r="N52" s="80">
        <f>SUMIFS('ноябрь 2024'!$G$5:$G$2220,'ноябрь 2024'!$D$5:$D$2220,$B52,'ноябрь 2024'!$J$5:$J$2220,N$1)</f>
        <v>0</v>
      </c>
      <c r="O52" s="80">
        <f>SUMIFS('ноябрь 2024'!$G$5:$G$2220,'ноябрь 2024'!$D$5:$D$2220,$B52,'ноябрь 2024'!$J$5:$J$2220,O$1)</f>
        <v>0</v>
      </c>
      <c r="P52" s="80">
        <f>SUMIFS('ноябрь 2024'!$G$5:$G$2220,'ноябрь 2024'!$D$5:$D$2220,$B52,'ноябрь 2024'!$J$5:$J$2220,P$1)</f>
        <v>0</v>
      </c>
      <c r="Q52" s="80">
        <f>SUMIFS('ноябрь 2024'!$G$5:$G$2220,'ноябрь 2024'!$D$5:$D$2220,$B52,'ноябрь 2024'!$J$5:$J$2220,Q$1)</f>
        <v>0</v>
      </c>
      <c r="R52" s="80">
        <f>SUMIFS('ноябрь 2024'!$G$5:$G$2220,'ноябрь 2024'!$D$5:$D$2220,$B52,'ноябрь 2024'!$J$5:$J$2220,R$1)</f>
        <v>0</v>
      </c>
      <c r="S52" s="80">
        <f>SUMIFS('ноябрь 2024'!$G$5:$G$2220,'ноябрь 2024'!$D$5:$D$2220,$B52,'ноябрь 2024'!$J$5:$J$2220,S$1)</f>
        <v>0</v>
      </c>
      <c r="T52" s="80">
        <f>SUMIFS('ноябрь 2024'!$G$5:$G$2220,'ноябрь 2024'!$D$5:$D$2220,$B52,'ноябрь 2024'!$J$5:$J$2220,T$1)</f>
        <v>0</v>
      </c>
      <c r="U52" s="80">
        <f>SUMIFS('ноябрь 2024'!$G$5:$G$2220,'ноябрь 2024'!$D$5:$D$2220,$B52,'ноябрь 2024'!$J$5:$J$2220,U$1)</f>
        <v>0</v>
      </c>
      <c r="V52" s="80">
        <f>SUMIFS('ноябрь 2024'!$G$5:$G$2220,'ноябрь 2024'!$D$5:$D$2220,$B52,'ноябрь 2024'!$J$5:$J$2220,V$1)</f>
        <v>0</v>
      </c>
      <c r="W52" s="80">
        <f>SUMIFS('ноябрь 2024'!$G$5:$G$2220,'ноябрь 2024'!$D$5:$D$2220,$B52,'ноябрь 2024'!$J$5:$J$2220,W$1)</f>
        <v>0</v>
      </c>
      <c r="X52" s="80">
        <f>SUMIFS('ноябрь 2024'!$G$5:$G$2220,'ноябрь 2024'!$D$5:$D$2220,$B52,'ноябрь 2024'!$J$5:$J$2220,X$1)</f>
        <v>0</v>
      </c>
      <c r="Y52" s="80">
        <f>SUMIFS('ноябрь 2024'!$G$5:$G$2220,'ноябрь 2024'!$D$5:$D$2220,$B52,'ноябрь 2024'!$J$5:$J$2220,Y$1)</f>
        <v>0</v>
      </c>
      <c r="Z52" s="80">
        <f>SUMIFS('ноябрь 2024'!$G$5:$G$2220,'ноябрь 2024'!$D$5:$D$2220,$B52,'ноябрь 2024'!$J$5:$J$2220,Z$1)</f>
        <v>0</v>
      </c>
      <c r="AA52" s="80">
        <f>SUMIFS('ноябрь 2024'!$G$5:$G$2220,'ноябрь 2024'!$D$5:$D$2220,$B52,'ноябрь 2024'!$J$5:$J$2220,AA$1)</f>
        <v>0</v>
      </c>
      <c r="AB52" s="80">
        <f>SUMIFS('ноябрь 2024'!$G$5:$G$2220,'ноябрь 2024'!$D$5:$D$2220,$B52,'ноябрь 2024'!$J$5:$J$2220,AB$1)</f>
        <v>0</v>
      </c>
      <c r="AC52" s="80">
        <f>SUMIFS('ноябрь 2024'!$G$5:$G$2220,'ноябрь 2024'!$D$5:$D$2220,$B52,'ноябрь 2024'!$J$5:$J$2220,AC$1)</f>
        <v>0</v>
      </c>
      <c r="AD52" s="80">
        <f>SUMIFS('ноябрь 2024'!$G$5:$G$2220,'ноябрь 2024'!$D$5:$D$2220,$B52,'ноябрь 2024'!$J$5:$J$2220,AD$1)</f>
        <v>0</v>
      </c>
      <c r="AE52" s="80">
        <f>SUMIFS('ноябрь 2024'!$G$5:$G$2220,'ноябрь 2024'!$D$5:$D$2220,$B52,'ноябрь 2024'!$J$5:$J$2220,AE$1)</f>
        <v>0</v>
      </c>
      <c r="AF52" s="80">
        <f>SUMIFS('ноябрь 2024'!$G$5:$G$2220,'ноябрь 2024'!$D$5:$D$2220,$B52,'ноябрь 2024'!$J$5:$J$2220,AF$1)</f>
        <v>0</v>
      </c>
      <c r="AG52" s="80">
        <f>SUMIFS('ноябрь 2024'!$G$5:$G$2220,'ноябрь 2024'!$D$5:$D$2220,$B52,'ноябрь 2024'!$J$5:$J$2220,AG$1)</f>
        <v>0</v>
      </c>
      <c r="AH52" s="80">
        <f>SUMIFS('ноябрь 2024'!$G$5:$G$2220,'ноябрь 2024'!$D$5:$D$2220,$B52,'ноябрь 2024'!$J$5:$J$2220,AH$1)</f>
        <v>0</v>
      </c>
      <c r="AI52" s="21">
        <f t="shared" si="1"/>
        <v>0</v>
      </c>
    </row>
    <row r="53" spans="2:35" ht="15" customHeight="1" x14ac:dyDescent="0.25">
      <c r="B53" s="146" t="s">
        <v>317</v>
      </c>
      <c r="C53" s="151">
        <v>20</v>
      </c>
      <c r="D53" s="80">
        <f>SUMIFS('ноябрь 2024'!$G$5:$G$2220,'ноябрь 2024'!$D$5:$D$2220,$B53,'ноябрь 2024'!$J$5:$J$2220,D$1)</f>
        <v>0</v>
      </c>
      <c r="E53" s="80">
        <f>SUMIFS('ноябрь 2024'!$G$5:$G$2220,'ноябрь 2024'!$D$5:$D$2220,$B53,'ноябрь 2024'!$J$5:$J$2220,E$1)</f>
        <v>0</v>
      </c>
      <c r="F53" s="80">
        <f>SUMIFS('ноябрь 2024'!$G$5:$G$2220,'ноябрь 2024'!$D$5:$D$2220,$B53,'ноябрь 2024'!$J$5:$J$2220,F$1)</f>
        <v>0</v>
      </c>
      <c r="G53" s="80">
        <f>SUMIFS('ноябрь 2024'!$G$5:$G$2220,'ноябрь 2024'!$D$5:$D$2220,$B53,'ноябрь 2024'!$J$5:$J$2220,G$1)</f>
        <v>0</v>
      </c>
      <c r="H53" s="80">
        <f>SUMIFS('ноябрь 2024'!$G$5:$G$2220,'ноябрь 2024'!$D$5:$D$2220,$B53,'ноябрь 2024'!$J$5:$J$2220,H$1)</f>
        <v>0</v>
      </c>
      <c r="I53" s="80">
        <f>SUMIFS('ноябрь 2024'!$G$5:$G$2220,'ноябрь 2024'!$D$5:$D$2220,$B53,'ноябрь 2024'!$J$5:$J$2220,I$1)</f>
        <v>0</v>
      </c>
      <c r="J53" s="80">
        <f>SUMIFS('ноябрь 2024'!$G$5:$G$2220,'ноябрь 2024'!$D$5:$D$2220,$B53,'ноябрь 2024'!$J$5:$J$2220,J$1)</f>
        <v>0</v>
      </c>
      <c r="K53" s="80">
        <f>SUMIFS('ноябрь 2024'!$G$5:$G$2220,'ноябрь 2024'!$D$5:$D$2220,$B53,'ноябрь 2024'!$J$5:$J$2220,K$1)</f>
        <v>0</v>
      </c>
      <c r="L53" s="80">
        <f>SUMIFS('ноябрь 2024'!$G$5:$G$2220,'ноябрь 2024'!$D$5:$D$2220,$B53,'ноябрь 2024'!$J$5:$J$2220,L$1)</f>
        <v>0</v>
      </c>
      <c r="M53" s="80">
        <f>SUMIFS('ноябрь 2024'!$G$5:$G$2220,'ноябрь 2024'!$D$5:$D$2220,$B53,'ноябрь 2024'!$J$5:$J$2220,M$1)</f>
        <v>0</v>
      </c>
      <c r="N53" s="80">
        <f>SUMIFS('ноябрь 2024'!$G$5:$G$2220,'ноябрь 2024'!$D$5:$D$2220,$B53,'ноябрь 2024'!$J$5:$J$2220,N$1)</f>
        <v>0</v>
      </c>
      <c r="O53" s="80">
        <f>SUMIFS('ноябрь 2024'!$G$5:$G$2220,'ноябрь 2024'!$D$5:$D$2220,$B53,'ноябрь 2024'!$J$5:$J$2220,O$1)</f>
        <v>0</v>
      </c>
      <c r="P53" s="80">
        <f>SUMIFS('ноябрь 2024'!$G$5:$G$2220,'ноябрь 2024'!$D$5:$D$2220,$B53,'ноябрь 2024'!$J$5:$J$2220,P$1)</f>
        <v>0</v>
      </c>
      <c r="Q53" s="80">
        <f>SUMIFS('ноябрь 2024'!$G$5:$G$2220,'ноябрь 2024'!$D$5:$D$2220,$B53,'ноябрь 2024'!$J$5:$J$2220,Q$1)</f>
        <v>0</v>
      </c>
      <c r="R53" s="80">
        <f>SUMIFS('ноябрь 2024'!$G$5:$G$2220,'ноябрь 2024'!$D$5:$D$2220,$B53,'ноябрь 2024'!$J$5:$J$2220,R$1)</f>
        <v>0</v>
      </c>
      <c r="S53" s="80">
        <f>SUMIFS('ноябрь 2024'!$G$5:$G$2220,'ноябрь 2024'!$D$5:$D$2220,$B53,'ноябрь 2024'!$J$5:$J$2220,S$1)</f>
        <v>0</v>
      </c>
      <c r="T53" s="80">
        <f>SUMIFS('ноябрь 2024'!$G$5:$G$2220,'ноябрь 2024'!$D$5:$D$2220,$B53,'ноябрь 2024'!$J$5:$J$2220,T$1)</f>
        <v>0</v>
      </c>
      <c r="U53" s="80">
        <f>SUMIFS('ноябрь 2024'!$G$5:$G$2220,'ноябрь 2024'!$D$5:$D$2220,$B53,'ноябрь 2024'!$J$5:$J$2220,U$1)</f>
        <v>0</v>
      </c>
      <c r="V53" s="80">
        <f>SUMIFS('ноябрь 2024'!$G$5:$G$2220,'ноябрь 2024'!$D$5:$D$2220,$B53,'ноябрь 2024'!$J$5:$J$2220,V$1)</f>
        <v>0</v>
      </c>
      <c r="W53" s="80">
        <f>SUMIFS('ноябрь 2024'!$G$5:$G$2220,'ноябрь 2024'!$D$5:$D$2220,$B53,'ноябрь 2024'!$J$5:$J$2220,W$1)</f>
        <v>0</v>
      </c>
      <c r="X53" s="80">
        <f>SUMIFS('ноябрь 2024'!$G$5:$G$2220,'ноябрь 2024'!$D$5:$D$2220,$B53,'ноябрь 2024'!$J$5:$J$2220,X$1)</f>
        <v>0</v>
      </c>
      <c r="Y53" s="80">
        <f>SUMIFS('ноябрь 2024'!$G$5:$G$2220,'ноябрь 2024'!$D$5:$D$2220,$B53,'ноябрь 2024'!$J$5:$J$2220,Y$1)</f>
        <v>0</v>
      </c>
      <c r="Z53" s="80">
        <f>SUMIFS('ноябрь 2024'!$G$5:$G$2220,'ноябрь 2024'!$D$5:$D$2220,$B53,'ноябрь 2024'!$J$5:$J$2220,Z$1)</f>
        <v>0</v>
      </c>
      <c r="AA53" s="80">
        <f>SUMIFS('ноябрь 2024'!$G$5:$G$2220,'ноябрь 2024'!$D$5:$D$2220,$B53,'ноябрь 2024'!$J$5:$J$2220,AA$1)</f>
        <v>0</v>
      </c>
      <c r="AB53" s="80">
        <f>SUMIFS('ноябрь 2024'!$G$5:$G$2220,'ноябрь 2024'!$D$5:$D$2220,$B53,'ноябрь 2024'!$J$5:$J$2220,AB$1)</f>
        <v>0</v>
      </c>
      <c r="AC53" s="80">
        <f>SUMIFS('ноябрь 2024'!$G$5:$G$2220,'ноябрь 2024'!$D$5:$D$2220,$B53,'ноябрь 2024'!$J$5:$J$2220,AC$1)</f>
        <v>0</v>
      </c>
      <c r="AD53" s="80">
        <f>SUMIFS('ноябрь 2024'!$G$5:$G$2220,'ноябрь 2024'!$D$5:$D$2220,$B53,'ноябрь 2024'!$J$5:$J$2220,AD$1)</f>
        <v>0</v>
      </c>
      <c r="AE53" s="80">
        <f>SUMIFS('ноябрь 2024'!$G$5:$G$2220,'ноябрь 2024'!$D$5:$D$2220,$B53,'ноябрь 2024'!$J$5:$J$2220,AE$1)</f>
        <v>0</v>
      </c>
      <c r="AF53" s="80">
        <f>SUMIFS('ноябрь 2024'!$G$5:$G$2220,'ноябрь 2024'!$D$5:$D$2220,$B53,'ноябрь 2024'!$J$5:$J$2220,AF$1)</f>
        <v>0</v>
      </c>
      <c r="AG53" s="80">
        <f>SUMIFS('ноябрь 2024'!$G$5:$G$2220,'ноябрь 2024'!$D$5:$D$2220,$B53,'ноябрь 2024'!$J$5:$J$2220,AG$1)</f>
        <v>0</v>
      </c>
      <c r="AH53" s="80">
        <f>SUMIFS('ноябрь 2024'!$G$5:$G$2220,'ноябрь 2024'!$D$5:$D$2220,$B53,'ноябрь 2024'!$J$5:$J$2220,AH$1)</f>
        <v>0</v>
      </c>
      <c r="AI53" s="21">
        <f t="shared" si="1"/>
        <v>0</v>
      </c>
    </row>
    <row r="54" spans="2:35" ht="15" customHeight="1" x14ac:dyDescent="0.25">
      <c r="B54" s="150" t="s">
        <v>318</v>
      </c>
      <c r="C54" s="151">
        <v>20</v>
      </c>
      <c r="D54" s="80">
        <f>SUMIFS('ноябрь 2024'!$G$5:$G$2220,'ноябрь 2024'!$D$5:$D$2220,$B54,'ноябрь 2024'!$J$5:$J$2220,D$1)</f>
        <v>0</v>
      </c>
      <c r="E54" s="80">
        <f>SUMIFS('ноябрь 2024'!$G$5:$G$2220,'ноябрь 2024'!$D$5:$D$2220,$B54,'ноябрь 2024'!$J$5:$J$2220,E$1)</f>
        <v>0</v>
      </c>
      <c r="F54" s="80">
        <f>SUMIFS('ноябрь 2024'!$G$5:$G$2220,'ноябрь 2024'!$D$5:$D$2220,$B54,'ноябрь 2024'!$J$5:$J$2220,F$1)</f>
        <v>0</v>
      </c>
      <c r="G54" s="80">
        <f>SUMIFS('ноябрь 2024'!$G$5:$G$2220,'ноябрь 2024'!$D$5:$D$2220,$B54,'ноябрь 2024'!$J$5:$J$2220,G$1)</f>
        <v>0</v>
      </c>
      <c r="H54" s="80">
        <f>SUMIFS('ноябрь 2024'!$G$5:$G$2220,'ноябрь 2024'!$D$5:$D$2220,$B54,'ноябрь 2024'!$J$5:$J$2220,H$1)</f>
        <v>0</v>
      </c>
      <c r="I54" s="80">
        <f>SUMIFS('ноябрь 2024'!$G$5:$G$2220,'ноябрь 2024'!$D$5:$D$2220,$B54,'ноябрь 2024'!$J$5:$J$2220,I$1)</f>
        <v>0</v>
      </c>
      <c r="J54" s="80">
        <f>SUMIFS('ноябрь 2024'!$G$5:$G$2220,'ноябрь 2024'!$D$5:$D$2220,$B54,'ноябрь 2024'!$J$5:$J$2220,J$1)</f>
        <v>0</v>
      </c>
      <c r="K54" s="80">
        <f>SUMIFS('ноябрь 2024'!$G$5:$G$2220,'ноябрь 2024'!$D$5:$D$2220,$B54,'ноябрь 2024'!$J$5:$J$2220,K$1)</f>
        <v>0</v>
      </c>
      <c r="L54" s="80">
        <f>SUMIFS('ноябрь 2024'!$G$5:$G$2220,'ноябрь 2024'!$D$5:$D$2220,$B54,'ноябрь 2024'!$J$5:$J$2220,L$1)</f>
        <v>0</v>
      </c>
      <c r="M54" s="80">
        <f>SUMIFS('ноябрь 2024'!$G$5:$G$2220,'ноябрь 2024'!$D$5:$D$2220,$B54,'ноябрь 2024'!$J$5:$J$2220,M$1)</f>
        <v>0</v>
      </c>
      <c r="N54" s="80">
        <f>SUMIFS('ноябрь 2024'!$G$5:$G$2220,'ноябрь 2024'!$D$5:$D$2220,$B54,'ноябрь 2024'!$J$5:$J$2220,N$1)</f>
        <v>0</v>
      </c>
      <c r="O54" s="80">
        <f>SUMIFS('ноябрь 2024'!$G$5:$G$2220,'ноябрь 2024'!$D$5:$D$2220,$B54,'ноябрь 2024'!$J$5:$J$2220,O$1)</f>
        <v>0</v>
      </c>
      <c r="P54" s="80">
        <f>SUMIFS('ноябрь 2024'!$G$5:$G$2220,'ноябрь 2024'!$D$5:$D$2220,$B54,'ноябрь 2024'!$J$5:$J$2220,P$1)</f>
        <v>0</v>
      </c>
      <c r="Q54" s="80">
        <f>SUMIFS('ноябрь 2024'!$G$5:$G$2220,'ноябрь 2024'!$D$5:$D$2220,$B54,'ноябрь 2024'!$J$5:$J$2220,Q$1)</f>
        <v>0</v>
      </c>
      <c r="R54" s="80">
        <f>SUMIFS('ноябрь 2024'!$G$5:$G$2220,'ноябрь 2024'!$D$5:$D$2220,$B54,'ноябрь 2024'!$J$5:$J$2220,R$1)</f>
        <v>0</v>
      </c>
      <c r="S54" s="80">
        <f>SUMIFS('ноябрь 2024'!$G$5:$G$2220,'ноябрь 2024'!$D$5:$D$2220,$B54,'ноябрь 2024'!$J$5:$J$2220,S$1)</f>
        <v>0</v>
      </c>
      <c r="T54" s="80">
        <f>SUMIFS('ноябрь 2024'!$G$5:$G$2220,'ноябрь 2024'!$D$5:$D$2220,$B54,'ноябрь 2024'!$J$5:$J$2220,T$1)</f>
        <v>0</v>
      </c>
      <c r="U54" s="80">
        <f>SUMIFS('ноябрь 2024'!$G$5:$G$2220,'ноябрь 2024'!$D$5:$D$2220,$B54,'ноябрь 2024'!$J$5:$J$2220,U$1)</f>
        <v>0</v>
      </c>
      <c r="V54" s="80">
        <f>SUMIFS('ноябрь 2024'!$G$5:$G$2220,'ноябрь 2024'!$D$5:$D$2220,$B54,'ноябрь 2024'!$J$5:$J$2220,V$1)</f>
        <v>0</v>
      </c>
      <c r="W54" s="80">
        <f>SUMIFS('ноябрь 2024'!$G$5:$G$2220,'ноябрь 2024'!$D$5:$D$2220,$B54,'ноябрь 2024'!$J$5:$J$2220,W$1)</f>
        <v>0</v>
      </c>
      <c r="X54" s="80">
        <f>SUMIFS('ноябрь 2024'!$G$5:$G$2220,'ноябрь 2024'!$D$5:$D$2220,$B54,'ноябрь 2024'!$J$5:$J$2220,X$1)</f>
        <v>0</v>
      </c>
      <c r="Y54" s="80">
        <f>SUMIFS('ноябрь 2024'!$G$5:$G$2220,'ноябрь 2024'!$D$5:$D$2220,$B54,'ноябрь 2024'!$J$5:$J$2220,Y$1)</f>
        <v>0</v>
      </c>
      <c r="Z54" s="80">
        <f>SUMIFS('ноябрь 2024'!$G$5:$G$2220,'ноябрь 2024'!$D$5:$D$2220,$B54,'ноябрь 2024'!$J$5:$J$2220,Z$1)</f>
        <v>0</v>
      </c>
      <c r="AA54" s="80">
        <f>SUMIFS('ноябрь 2024'!$G$5:$G$2220,'ноябрь 2024'!$D$5:$D$2220,$B54,'ноябрь 2024'!$J$5:$J$2220,AA$1)</f>
        <v>0</v>
      </c>
      <c r="AB54" s="80">
        <f>SUMIFS('ноябрь 2024'!$G$5:$G$2220,'ноябрь 2024'!$D$5:$D$2220,$B54,'ноябрь 2024'!$J$5:$J$2220,AB$1)</f>
        <v>0</v>
      </c>
      <c r="AC54" s="80">
        <f>SUMIFS('ноябрь 2024'!$G$5:$G$2220,'ноябрь 2024'!$D$5:$D$2220,$B54,'ноябрь 2024'!$J$5:$J$2220,AC$1)</f>
        <v>0</v>
      </c>
      <c r="AD54" s="80">
        <f>SUMIFS('ноябрь 2024'!$G$5:$G$2220,'ноябрь 2024'!$D$5:$D$2220,$B54,'ноябрь 2024'!$J$5:$J$2220,AD$1)</f>
        <v>0</v>
      </c>
      <c r="AE54" s="80">
        <f>SUMIFS('ноябрь 2024'!$G$5:$G$2220,'ноябрь 2024'!$D$5:$D$2220,$B54,'ноябрь 2024'!$J$5:$J$2220,AE$1)</f>
        <v>0</v>
      </c>
      <c r="AF54" s="80">
        <f>SUMIFS('ноябрь 2024'!$G$5:$G$2220,'ноябрь 2024'!$D$5:$D$2220,$B54,'ноябрь 2024'!$J$5:$J$2220,AF$1)</f>
        <v>0</v>
      </c>
      <c r="AG54" s="80">
        <f>SUMIFS('ноябрь 2024'!$G$5:$G$2220,'ноябрь 2024'!$D$5:$D$2220,$B54,'ноябрь 2024'!$J$5:$J$2220,AG$1)</f>
        <v>0</v>
      </c>
      <c r="AH54" s="80">
        <f>SUMIFS('ноябрь 2024'!$G$5:$G$2220,'ноябрь 2024'!$D$5:$D$2220,$B54,'ноябрь 2024'!$J$5:$J$2220,AH$1)</f>
        <v>0</v>
      </c>
      <c r="AI54" s="21">
        <f t="shared" si="1"/>
        <v>0</v>
      </c>
    </row>
    <row r="55" spans="2:35" ht="15" customHeight="1" x14ac:dyDescent="0.25">
      <c r="B55" s="150" t="s">
        <v>319</v>
      </c>
      <c r="C55" s="151">
        <v>20</v>
      </c>
      <c r="D55" s="80">
        <f>SUMIFS('ноябрь 2024'!$G$5:$G$2220,'ноябрь 2024'!$D$5:$D$2220,$B55,'ноябрь 2024'!$J$5:$J$2220,D$1)</f>
        <v>0</v>
      </c>
      <c r="E55" s="80">
        <f>SUMIFS('ноябрь 2024'!$G$5:$G$2220,'ноябрь 2024'!$D$5:$D$2220,$B55,'ноябрь 2024'!$J$5:$J$2220,E$1)</f>
        <v>0</v>
      </c>
      <c r="F55" s="80">
        <f>SUMIFS('ноябрь 2024'!$G$5:$G$2220,'ноябрь 2024'!$D$5:$D$2220,$B55,'ноябрь 2024'!$J$5:$J$2220,F$1)</f>
        <v>0</v>
      </c>
      <c r="G55" s="80">
        <f>SUMIFS('ноябрь 2024'!$G$5:$G$2220,'ноябрь 2024'!$D$5:$D$2220,$B55,'ноябрь 2024'!$J$5:$J$2220,G$1)</f>
        <v>0</v>
      </c>
      <c r="H55" s="80">
        <f>SUMIFS('ноябрь 2024'!$G$5:$G$2220,'ноябрь 2024'!$D$5:$D$2220,$B55,'ноябрь 2024'!$J$5:$J$2220,H$1)</f>
        <v>0</v>
      </c>
      <c r="I55" s="80">
        <f>SUMIFS('ноябрь 2024'!$G$5:$G$2220,'ноябрь 2024'!$D$5:$D$2220,$B55,'ноябрь 2024'!$J$5:$J$2220,I$1)</f>
        <v>0</v>
      </c>
      <c r="J55" s="80">
        <f>SUMIFS('ноябрь 2024'!$G$5:$G$2220,'ноябрь 2024'!$D$5:$D$2220,$B55,'ноябрь 2024'!$J$5:$J$2220,J$1)</f>
        <v>0</v>
      </c>
      <c r="K55" s="80">
        <f>SUMIFS('ноябрь 2024'!$G$5:$G$2220,'ноябрь 2024'!$D$5:$D$2220,$B55,'ноябрь 2024'!$J$5:$J$2220,K$1)</f>
        <v>0</v>
      </c>
      <c r="L55" s="80">
        <f>SUMIFS('ноябрь 2024'!$G$5:$G$2220,'ноябрь 2024'!$D$5:$D$2220,$B55,'ноябрь 2024'!$J$5:$J$2220,L$1)</f>
        <v>0</v>
      </c>
      <c r="M55" s="80">
        <f>SUMIFS('ноябрь 2024'!$G$5:$G$2220,'ноябрь 2024'!$D$5:$D$2220,$B55,'ноябрь 2024'!$J$5:$J$2220,M$1)</f>
        <v>0</v>
      </c>
      <c r="N55" s="80">
        <f>SUMIFS('ноябрь 2024'!$G$5:$G$2220,'ноябрь 2024'!$D$5:$D$2220,$B55,'ноябрь 2024'!$J$5:$J$2220,N$1)</f>
        <v>0</v>
      </c>
      <c r="O55" s="80">
        <f>SUMIFS('ноябрь 2024'!$G$5:$G$2220,'ноябрь 2024'!$D$5:$D$2220,$B55,'ноябрь 2024'!$J$5:$J$2220,O$1)</f>
        <v>0</v>
      </c>
      <c r="P55" s="80">
        <f>SUMIFS('ноябрь 2024'!$G$5:$G$2220,'ноябрь 2024'!$D$5:$D$2220,$B55,'ноябрь 2024'!$J$5:$J$2220,P$1)</f>
        <v>0</v>
      </c>
      <c r="Q55" s="80">
        <f>SUMIFS('ноябрь 2024'!$G$5:$G$2220,'ноябрь 2024'!$D$5:$D$2220,$B55,'ноябрь 2024'!$J$5:$J$2220,Q$1)</f>
        <v>0</v>
      </c>
      <c r="R55" s="80">
        <f>SUMIFS('ноябрь 2024'!$G$5:$G$2220,'ноябрь 2024'!$D$5:$D$2220,$B55,'ноябрь 2024'!$J$5:$J$2220,R$1)</f>
        <v>0</v>
      </c>
      <c r="S55" s="80">
        <f>SUMIFS('ноябрь 2024'!$G$5:$G$2220,'ноябрь 2024'!$D$5:$D$2220,$B55,'ноябрь 2024'!$J$5:$J$2220,S$1)</f>
        <v>0</v>
      </c>
      <c r="T55" s="80">
        <f>SUMIFS('ноябрь 2024'!$G$5:$G$2220,'ноябрь 2024'!$D$5:$D$2220,$B55,'ноябрь 2024'!$J$5:$J$2220,T$1)</f>
        <v>0</v>
      </c>
      <c r="U55" s="80">
        <f>SUMIFS('ноябрь 2024'!$G$5:$G$2220,'ноябрь 2024'!$D$5:$D$2220,$B55,'ноябрь 2024'!$J$5:$J$2220,U$1)</f>
        <v>0</v>
      </c>
      <c r="V55" s="80">
        <f>SUMIFS('ноябрь 2024'!$G$5:$G$2220,'ноябрь 2024'!$D$5:$D$2220,$B55,'ноябрь 2024'!$J$5:$J$2220,V$1)</f>
        <v>0</v>
      </c>
      <c r="W55" s="80">
        <f>SUMIFS('ноябрь 2024'!$G$5:$G$2220,'ноябрь 2024'!$D$5:$D$2220,$B55,'ноябрь 2024'!$J$5:$J$2220,W$1)</f>
        <v>0</v>
      </c>
      <c r="X55" s="80">
        <f>SUMIFS('ноябрь 2024'!$G$5:$G$2220,'ноябрь 2024'!$D$5:$D$2220,$B55,'ноябрь 2024'!$J$5:$J$2220,X$1)</f>
        <v>0</v>
      </c>
      <c r="Y55" s="80">
        <f>SUMIFS('ноябрь 2024'!$G$5:$G$2220,'ноябрь 2024'!$D$5:$D$2220,$B55,'ноябрь 2024'!$J$5:$J$2220,Y$1)</f>
        <v>0</v>
      </c>
      <c r="Z55" s="80">
        <f>SUMIFS('ноябрь 2024'!$G$5:$G$2220,'ноябрь 2024'!$D$5:$D$2220,$B55,'ноябрь 2024'!$J$5:$J$2220,Z$1)</f>
        <v>0</v>
      </c>
      <c r="AA55" s="80">
        <f>SUMIFS('ноябрь 2024'!$G$5:$G$2220,'ноябрь 2024'!$D$5:$D$2220,$B55,'ноябрь 2024'!$J$5:$J$2220,AA$1)</f>
        <v>0</v>
      </c>
      <c r="AB55" s="80">
        <f>SUMIFS('ноябрь 2024'!$G$5:$G$2220,'ноябрь 2024'!$D$5:$D$2220,$B55,'ноябрь 2024'!$J$5:$J$2220,AB$1)</f>
        <v>0</v>
      </c>
      <c r="AC55" s="80">
        <f>SUMIFS('ноябрь 2024'!$G$5:$G$2220,'ноябрь 2024'!$D$5:$D$2220,$B55,'ноябрь 2024'!$J$5:$J$2220,AC$1)</f>
        <v>0</v>
      </c>
      <c r="AD55" s="80">
        <f>SUMIFS('ноябрь 2024'!$G$5:$G$2220,'ноябрь 2024'!$D$5:$D$2220,$B55,'ноябрь 2024'!$J$5:$J$2220,AD$1)</f>
        <v>0</v>
      </c>
      <c r="AE55" s="80">
        <f>SUMIFS('ноябрь 2024'!$G$5:$G$2220,'ноябрь 2024'!$D$5:$D$2220,$B55,'ноябрь 2024'!$J$5:$J$2220,AE$1)</f>
        <v>0</v>
      </c>
      <c r="AF55" s="80">
        <f>SUMIFS('ноябрь 2024'!$G$5:$G$2220,'ноябрь 2024'!$D$5:$D$2220,$B55,'ноябрь 2024'!$J$5:$J$2220,AF$1)</f>
        <v>0</v>
      </c>
      <c r="AG55" s="80">
        <f>SUMIFS('ноябрь 2024'!$G$5:$G$2220,'ноябрь 2024'!$D$5:$D$2220,$B55,'ноябрь 2024'!$J$5:$J$2220,AG$1)</f>
        <v>0</v>
      </c>
      <c r="AH55" s="80">
        <f>SUMIFS('ноябрь 2024'!$G$5:$G$2220,'ноябрь 2024'!$D$5:$D$2220,$B55,'ноябрь 2024'!$J$5:$J$2220,AH$1)</f>
        <v>0</v>
      </c>
      <c r="AI55" s="21">
        <f t="shared" si="1"/>
        <v>0</v>
      </c>
    </row>
    <row r="56" spans="2:35" ht="15" customHeight="1" x14ac:dyDescent="0.25">
      <c r="B56" s="150"/>
      <c r="C56" s="151"/>
      <c r="D56" s="80">
        <f>SUMIFS('ноябрь 2024'!$G$5:$G$2220,'ноябрь 2024'!$D$5:$D$2220,$B56,'ноябрь 2024'!$J$5:$J$2220,D$1)</f>
        <v>0</v>
      </c>
      <c r="E56" s="80">
        <f>SUMIFS('ноябрь 2024'!$G$5:$G$2220,'ноябрь 2024'!$D$5:$D$2220,$B56,'ноябрь 2024'!$J$5:$J$2220,E$1)</f>
        <v>0</v>
      </c>
      <c r="F56" s="80">
        <f>SUMIFS('ноябрь 2024'!$G$5:$G$2220,'ноябрь 2024'!$D$5:$D$2220,$B56,'ноябрь 2024'!$J$5:$J$2220,F$1)</f>
        <v>0</v>
      </c>
      <c r="G56" s="80">
        <f>SUMIFS('ноябрь 2024'!$G$5:$G$2220,'ноябрь 2024'!$D$5:$D$2220,$B56,'ноябрь 2024'!$J$5:$J$2220,G$1)</f>
        <v>0</v>
      </c>
      <c r="H56" s="80">
        <f>SUMIFS('ноябрь 2024'!$G$5:$G$2220,'ноябрь 2024'!$D$5:$D$2220,$B56,'ноябрь 2024'!$J$5:$J$2220,H$1)</f>
        <v>0</v>
      </c>
      <c r="I56" s="80">
        <f>SUMIFS('ноябрь 2024'!$G$5:$G$2220,'ноябрь 2024'!$D$5:$D$2220,$B56,'ноябрь 2024'!$J$5:$J$2220,I$1)</f>
        <v>0</v>
      </c>
      <c r="J56" s="80">
        <f>SUMIFS('ноябрь 2024'!$G$5:$G$2220,'ноябрь 2024'!$D$5:$D$2220,$B56,'ноябрь 2024'!$J$5:$J$2220,J$1)</f>
        <v>0</v>
      </c>
      <c r="K56" s="80">
        <f>SUMIFS('ноябрь 2024'!$G$5:$G$2220,'ноябрь 2024'!$D$5:$D$2220,$B56,'ноябрь 2024'!$J$5:$J$2220,K$1)</f>
        <v>0</v>
      </c>
      <c r="L56" s="80">
        <f>SUMIFS('ноябрь 2024'!$G$5:$G$2220,'ноябрь 2024'!$D$5:$D$2220,$B56,'ноябрь 2024'!$J$5:$J$2220,L$1)</f>
        <v>0</v>
      </c>
      <c r="M56" s="80">
        <f>SUMIFS('ноябрь 2024'!$G$5:$G$2220,'ноябрь 2024'!$D$5:$D$2220,$B56,'ноябрь 2024'!$J$5:$J$2220,M$1)</f>
        <v>0</v>
      </c>
      <c r="N56" s="80">
        <f>SUMIFS('ноябрь 2024'!$G$5:$G$2220,'ноябрь 2024'!$D$5:$D$2220,$B56,'ноябрь 2024'!$J$5:$J$2220,N$1)</f>
        <v>0</v>
      </c>
      <c r="O56" s="80">
        <f>SUMIFS('ноябрь 2024'!$G$5:$G$2220,'ноябрь 2024'!$D$5:$D$2220,$B56,'ноябрь 2024'!$J$5:$J$2220,O$1)</f>
        <v>0</v>
      </c>
      <c r="P56" s="80">
        <f>SUMIFS('ноябрь 2024'!$G$5:$G$2220,'ноябрь 2024'!$D$5:$D$2220,$B56,'ноябрь 2024'!$J$5:$J$2220,P$1)</f>
        <v>0</v>
      </c>
      <c r="Q56" s="80">
        <f>SUMIFS('ноябрь 2024'!$G$5:$G$2220,'ноябрь 2024'!$D$5:$D$2220,$B56,'ноябрь 2024'!$J$5:$J$2220,Q$1)</f>
        <v>0</v>
      </c>
      <c r="R56" s="80">
        <f>SUMIFS('ноябрь 2024'!$G$5:$G$2220,'ноябрь 2024'!$D$5:$D$2220,$B56,'ноябрь 2024'!$J$5:$J$2220,R$1)</f>
        <v>0</v>
      </c>
      <c r="S56" s="80">
        <f>SUMIFS('ноябрь 2024'!$G$5:$G$2220,'ноябрь 2024'!$D$5:$D$2220,$B56,'ноябрь 2024'!$J$5:$J$2220,S$1)</f>
        <v>0</v>
      </c>
      <c r="T56" s="80">
        <f>SUMIFS('ноябрь 2024'!$G$5:$G$2220,'ноябрь 2024'!$D$5:$D$2220,$B56,'ноябрь 2024'!$J$5:$J$2220,T$1)</f>
        <v>0</v>
      </c>
      <c r="U56" s="80">
        <f>SUMIFS('ноябрь 2024'!$G$5:$G$2220,'ноябрь 2024'!$D$5:$D$2220,$B56,'ноябрь 2024'!$J$5:$J$2220,U$1)</f>
        <v>0</v>
      </c>
      <c r="V56" s="80">
        <f>SUMIFS('ноябрь 2024'!$G$5:$G$2220,'ноябрь 2024'!$D$5:$D$2220,$B56,'ноябрь 2024'!$J$5:$J$2220,V$1)</f>
        <v>0</v>
      </c>
      <c r="W56" s="80">
        <f>SUMIFS('ноябрь 2024'!$G$5:$G$2220,'ноябрь 2024'!$D$5:$D$2220,$B56,'ноябрь 2024'!$J$5:$J$2220,W$1)</f>
        <v>0</v>
      </c>
      <c r="X56" s="80">
        <f>SUMIFS('ноябрь 2024'!$G$5:$G$2220,'ноябрь 2024'!$D$5:$D$2220,$B56,'ноябрь 2024'!$J$5:$J$2220,X$1)</f>
        <v>0</v>
      </c>
      <c r="Y56" s="80">
        <f>SUMIFS('ноябрь 2024'!$G$5:$G$2220,'ноябрь 2024'!$D$5:$D$2220,$B56,'ноябрь 2024'!$J$5:$J$2220,Y$1)</f>
        <v>0</v>
      </c>
      <c r="Z56" s="80">
        <f>SUMIFS('ноябрь 2024'!$G$5:$G$2220,'ноябрь 2024'!$D$5:$D$2220,$B56,'ноябрь 2024'!$J$5:$J$2220,Z$1)</f>
        <v>0</v>
      </c>
      <c r="AA56" s="80">
        <f>SUMIFS('ноябрь 2024'!$G$5:$G$2220,'ноябрь 2024'!$D$5:$D$2220,$B56,'ноябрь 2024'!$J$5:$J$2220,AA$1)</f>
        <v>0</v>
      </c>
      <c r="AB56" s="80">
        <f>SUMIFS('ноябрь 2024'!$G$5:$G$2220,'ноябрь 2024'!$D$5:$D$2220,$B56,'ноябрь 2024'!$J$5:$J$2220,AB$1)</f>
        <v>0</v>
      </c>
      <c r="AC56" s="80">
        <f>SUMIFS('ноябрь 2024'!$G$5:$G$2220,'ноябрь 2024'!$D$5:$D$2220,$B56,'ноябрь 2024'!$J$5:$J$2220,AC$1)</f>
        <v>0</v>
      </c>
      <c r="AD56" s="80">
        <f>SUMIFS('ноябрь 2024'!$G$5:$G$2220,'ноябрь 2024'!$D$5:$D$2220,$B56,'ноябрь 2024'!$J$5:$J$2220,AD$1)</f>
        <v>0</v>
      </c>
      <c r="AE56" s="80">
        <f>SUMIFS('ноябрь 2024'!$G$5:$G$2220,'ноябрь 2024'!$D$5:$D$2220,$B56,'ноябрь 2024'!$J$5:$J$2220,AE$1)</f>
        <v>0</v>
      </c>
      <c r="AF56" s="80">
        <f>SUMIFS('ноябрь 2024'!$G$5:$G$2220,'ноябрь 2024'!$D$5:$D$2220,$B56,'ноябрь 2024'!$J$5:$J$2220,AF$1)</f>
        <v>0</v>
      </c>
      <c r="AG56" s="80">
        <f>SUMIFS('ноябрь 2024'!$G$5:$G$2220,'ноябрь 2024'!$D$5:$D$2220,$B56,'ноябрь 2024'!$J$5:$J$2220,AG$1)</f>
        <v>0</v>
      </c>
      <c r="AH56" s="80">
        <f>SUMIFS('ноябрь 2024'!$G$5:$G$2220,'ноябрь 2024'!$D$5:$D$2220,$B56,'ноябрь 2024'!$J$5:$J$2220,AH$1)</f>
        <v>0</v>
      </c>
      <c r="AI56" s="21">
        <f t="shared" si="1"/>
        <v>0</v>
      </c>
    </row>
    <row r="57" spans="2:35" ht="15" customHeight="1" x14ac:dyDescent="0.25">
      <c r="B57" s="150"/>
      <c r="C57" s="151"/>
      <c r="D57" s="80">
        <f>SUMIFS('ноябрь 2024'!$G$5:$G$2220,'ноябрь 2024'!$D$5:$D$2220,$B57,'ноябрь 2024'!$J$5:$J$2220,D$1)</f>
        <v>0</v>
      </c>
      <c r="E57" s="80">
        <f>SUMIFS('ноябрь 2024'!$G$5:$G$2220,'ноябрь 2024'!$D$5:$D$2220,$B57,'ноябрь 2024'!$J$5:$J$2220,E$1)</f>
        <v>0</v>
      </c>
      <c r="F57" s="80">
        <f>SUMIFS('ноябрь 2024'!$G$5:$G$2220,'ноябрь 2024'!$D$5:$D$2220,$B57,'ноябрь 2024'!$J$5:$J$2220,F$1)</f>
        <v>0</v>
      </c>
      <c r="G57" s="80">
        <f>SUMIFS('ноябрь 2024'!$G$5:$G$2220,'ноябрь 2024'!$D$5:$D$2220,$B57,'ноябрь 2024'!$J$5:$J$2220,G$1)</f>
        <v>0</v>
      </c>
      <c r="H57" s="80">
        <f>SUMIFS('ноябрь 2024'!$G$5:$G$2220,'ноябрь 2024'!$D$5:$D$2220,$B57,'ноябрь 2024'!$J$5:$J$2220,H$1)</f>
        <v>0</v>
      </c>
      <c r="I57" s="80">
        <f>SUMIFS('ноябрь 2024'!$G$5:$G$2220,'ноябрь 2024'!$D$5:$D$2220,$B57,'ноябрь 2024'!$J$5:$J$2220,I$1)</f>
        <v>0</v>
      </c>
      <c r="J57" s="80">
        <f>SUMIFS('ноябрь 2024'!$G$5:$G$2220,'ноябрь 2024'!$D$5:$D$2220,$B57,'ноябрь 2024'!$J$5:$J$2220,J$1)</f>
        <v>0</v>
      </c>
      <c r="K57" s="80">
        <f>SUMIFS('ноябрь 2024'!$G$5:$G$2220,'ноябрь 2024'!$D$5:$D$2220,$B57,'ноябрь 2024'!$J$5:$J$2220,K$1)</f>
        <v>0</v>
      </c>
      <c r="L57" s="80">
        <f>SUMIFS('ноябрь 2024'!$G$5:$G$2220,'ноябрь 2024'!$D$5:$D$2220,$B57,'ноябрь 2024'!$J$5:$J$2220,L$1)</f>
        <v>0</v>
      </c>
      <c r="M57" s="80">
        <f>SUMIFS('ноябрь 2024'!$G$5:$G$2220,'ноябрь 2024'!$D$5:$D$2220,$B57,'ноябрь 2024'!$J$5:$J$2220,M$1)</f>
        <v>0</v>
      </c>
      <c r="N57" s="80">
        <f>SUMIFS('ноябрь 2024'!$G$5:$G$2220,'ноябрь 2024'!$D$5:$D$2220,$B57,'ноябрь 2024'!$J$5:$J$2220,N$1)</f>
        <v>0</v>
      </c>
      <c r="O57" s="80">
        <f>SUMIFS('ноябрь 2024'!$G$5:$G$2220,'ноябрь 2024'!$D$5:$D$2220,$B57,'ноябрь 2024'!$J$5:$J$2220,O$1)</f>
        <v>0</v>
      </c>
      <c r="P57" s="80">
        <f>SUMIFS('ноябрь 2024'!$G$5:$G$2220,'ноябрь 2024'!$D$5:$D$2220,$B57,'ноябрь 2024'!$J$5:$J$2220,P$1)</f>
        <v>0</v>
      </c>
      <c r="Q57" s="80">
        <f>SUMIFS('ноябрь 2024'!$G$5:$G$2220,'ноябрь 2024'!$D$5:$D$2220,$B57,'ноябрь 2024'!$J$5:$J$2220,Q$1)</f>
        <v>0</v>
      </c>
      <c r="R57" s="80">
        <f>SUMIFS('ноябрь 2024'!$G$5:$G$2220,'ноябрь 2024'!$D$5:$D$2220,$B57,'ноябрь 2024'!$J$5:$J$2220,R$1)</f>
        <v>0</v>
      </c>
      <c r="S57" s="80">
        <f>SUMIFS('ноябрь 2024'!$G$5:$G$2220,'ноябрь 2024'!$D$5:$D$2220,$B57,'ноябрь 2024'!$J$5:$J$2220,S$1)</f>
        <v>0</v>
      </c>
      <c r="T57" s="80">
        <f>SUMIFS('ноябрь 2024'!$G$5:$G$2220,'ноябрь 2024'!$D$5:$D$2220,$B57,'ноябрь 2024'!$J$5:$J$2220,T$1)</f>
        <v>0</v>
      </c>
      <c r="U57" s="80">
        <f>SUMIFS('ноябрь 2024'!$G$5:$G$2220,'ноябрь 2024'!$D$5:$D$2220,$B57,'ноябрь 2024'!$J$5:$J$2220,U$1)</f>
        <v>0</v>
      </c>
      <c r="V57" s="80">
        <f>SUMIFS('ноябрь 2024'!$G$5:$G$2220,'ноябрь 2024'!$D$5:$D$2220,$B57,'ноябрь 2024'!$J$5:$J$2220,V$1)</f>
        <v>0</v>
      </c>
      <c r="W57" s="80">
        <f>SUMIFS('ноябрь 2024'!$G$5:$G$2220,'ноябрь 2024'!$D$5:$D$2220,$B57,'ноябрь 2024'!$J$5:$J$2220,W$1)</f>
        <v>0</v>
      </c>
      <c r="X57" s="80">
        <f>SUMIFS('ноябрь 2024'!$G$5:$G$2220,'ноябрь 2024'!$D$5:$D$2220,$B57,'ноябрь 2024'!$J$5:$J$2220,X$1)</f>
        <v>0</v>
      </c>
      <c r="Y57" s="80">
        <f>SUMIFS('ноябрь 2024'!$G$5:$G$2220,'ноябрь 2024'!$D$5:$D$2220,$B57,'ноябрь 2024'!$J$5:$J$2220,Y$1)</f>
        <v>0</v>
      </c>
      <c r="Z57" s="80">
        <f>SUMIFS('ноябрь 2024'!$G$5:$G$2220,'ноябрь 2024'!$D$5:$D$2220,$B57,'ноябрь 2024'!$J$5:$J$2220,Z$1)</f>
        <v>0</v>
      </c>
      <c r="AA57" s="80">
        <f>SUMIFS('ноябрь 2024'!$G$5:$G$2220,'ноябрь 2024'!$D$5:$D$2220,$B57,'ноябрь 2024'!$J$5:$J$2220,AA$1)</f>
        <v>0</v>
      </c>
      <c r="AB57" s="80">
        <f>SUMIFS('ноябрь 2024'!$G$5:$G$2220,'ноябрь 2024'!$D$5:$D$2220,$B57,'ноябрь 2024'!$J$5:$J$2220,AB$1)</f>
        <v>0</v>
      </c>
      <c r="AC57" s="80">
        <f>SUMIFS('ноябрь 2024'!$G$5:$G$2220,'ноябрь 2024'!$D$5:$D$2220,$B57,'ноябрь 2024'!$J$5:$J$2220,AC$1)</f>
        <v>0</v>
      </c>
      <c r="AD57" s="80">
        <f>SUMIFS('ноябрь 2024'!$G$5:$G$2220,'ноябрь 2024'!$D$5:$D$2220,$B57,'ноябрь 2024'!$J$5:$J$2220,AD$1)</f>
        <v>0</v>
      </c>
      <c r="AE57" s="80">
        <f>SUMIFS('ноябрь 2024'!$G$5:$G$2220,'ноябрь 2024'!$D$5:$D$2220,$B57,'ноябрь 2024'!$J$5:$J$2220,AE$1)</f>
        <v>0</v>
      </c>
      <c r="AF57" s="80">
        <f>SUMIFS('ноябрь 2024'!$G$5:$G$2220,'ноябрь 2024'!$D$5:$D$2220,$B57,'ноябрь 2024'!$J$5:$J$2220,AF$1)</f>
        <v>0</v>
      </c>
      <c r="AG57" s="80">
        <f>SUMIFS('ноябрь 2024'!$G$5:$G$2220,'ноябрь 2024'!$D$5:$D$2220,$B57,'ноябрь 2024'!$J$5:$J$2220,AG$1)</f>
        <v>0</v>
      </c>
      <c r="AH57" s="80">
        <f>SUMIFS('ноябрь 2024'!$G$5:$G$2220,'ноябрь 2024'!$D$5:$D$2220,$B57,'ноябрь 2024'!$J$5:$J$2220,AH$1)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80">
        <f>SUMIFS('ноябрь 2024'!$G$5:$G$2220,'ноябрь 2024'!$D$5:$D$2220,$B58,'ноябрь 2024'!$J$5:$J$2220,D$1)</f>
        <v>0</v>
      </c>
      <c r="E58" s="80">
        <f>SUMIFS('ноябрь 2024'!$G$5:$G$2220,'ноябрь 2024'!$D$5:$D$2220,$B58,'ноябрь 2024'!$J$5:$J$2220,E$1)</f>
        <v>0</v>
      </c>
      <c r="F58" s="80">
        <f>SUMIFS('ноябрь 2024'!$G$5:$G$2220,'ноябрь 2024'!$D$5:$D$2220,$B58,'ноябрь 2024'!$J$5:$J$2220,F$1)</f>
        <v>0</v>
      </c>
      <c r="G58" s="80">
        <f>SUMIFS('ноябрь 2024'!$G$5:$G$2220,'ноябрь 2024'!$D$5:$D$2220,$B58,'ноябрь 2024'!$J$5:$J$2220,G$1)</f>
        <v>0</v>
      </c>
      <c r="H58" s="80">
        <f>SUMIFS('ноябрь 2024'!$G$5:$G$2220,'ноябрь 2024'!$D$5:$D$2220,$B58,'ноябрь 2024'!$J$5:$J$2220,H$1)</f>
        <v>0</v>
      </c>
      <c r="I58" s="80">
        <f>SUMIFS('ноябрь 2024'!$G$5:$G$2220,'ноябрь 2024'!$D$5:$D$2220,$B58,'ноябрь 2024'!$J$5:$J$2220,I$1)</f>
        <v>0</v>
      </c>
      <c r="J58" s="80">
        <f>SUMIFS('ноябрь 2024'!$G$5:$G$2220,'ноябрь 2024'!$D$5:$D$2220,$B58,'ноябрь 2024'!$J$5:$J$2220,J$1)</f>
        <v>0</v>
      </c>
      <c r="K58" s="80">
        <f>SUMIFS('ноябрь 2024'!$G$5:$G$2220,'ноябрь 2024'!$D$5:$D$2220,$B58,'ноябрь 2024'!$J$5:$J$2220,K$1)</f>
        <v>0</v>
      </c>
      <c r="L58" s="80">
        <f>SUMIFS('ноябрь 2024'!$G$5:$G$2220,'ноябрь 2024'!$D$5:$D$2220,$B58,'ноябрь 2024'!$J$5:$J$2220,L$1)</f>
        <v>0</v>
      </c>
      <c r="M58" s="80">
        <f>SUMIFS('ноябрь 2024'!$G$5:$G$2220,'ноябрь 2024'!$D$5:$D$2220,$B58,'ноябрь 2024'!$J$5:$J$2220,M$1)</f>
        <v>0</v>
      </c>
      <c r="N58" s="80">
        <f>SUMIFS('ноябрь 2024'!$G$5:$G$2220,'ноябрь 2024'!$D$5:$D$2220,$B58,'ноябрь 2024'!$J$5:$J$2220,N$1)</f>
        <v>0</v>
      </c>
      <c r="O58" s="80">
        <f>SUMIFS('ноябрь 2024'!$G$5:$G$2220,'ноябрь 2024'!$D$5:$D$2220,$B58,'ноябрь 2024'!$J$5:$J$2220,O$1)</f>
        <v>0</v>
      </c>
      <c r="P58" s="80">
        <f>SUMIFS('ноябрь 2024'!$G$5:$G$2220,'ноябрь 2024'!$D$5:$D$2220,$B58,'ноябрь 2024'!$J$5:$J$2220,P$1)</f>
        <v>0</v>
      </c>
      <c r="Q58" s="80">
        <f>SUMIFS('ноябрь 2024'!$G$5:$G$2220,'ноябрь 2024'!$D$5:$D$2220,$B58,'ноябрь 2024'!$J$5:$J$2220,Q$1)</f>
        <v>0</v>
      </c>
      <c r="R58" s="80">
        <f>SUMIFS('ноябрь 2024'!$G$5:$G$2220,'ноябрь 2024'!$D$5:$D$2220,$B58,'ноябрь 2024'!$J$5:$J$2220,R$1)</f>
        <v>0</v>
      </c>
      <c r="S58" s="80">
        <f>SUMIFS('ноябрь 2024'!$G$5:$G$2220,'ноябрь 2024'!$D$5:$D$2220,$B58,'ноябрь 2024'!$J$5:$J$2220,S$1)</f>
        <v>0</v>
      </c>
      <c r="T58" s="80">
        <f>SUMIFS('ноябрь 2024'!$G$5:$G$2220,'ноябрь 2024'!$D$5:$D$2220,$B58,'ноябрь 2024'!$J$5:$J$2220,T$1)</f>
        <v>0</v>
      </c>
      <c r="U58" s="80">
        <f>SUMIFS('ноябрь 2024'!$G$5:$G$2220,'ноябрь 2024'!$D$5:$D$2220,$B58,'ноябрь 2024'!$J$5:$J$2220,U$1)</f>
        <v>0</v>
      </c>
      <c r="V58" s="80">
        <f>SUMIFS('ноябрь 2024'!$G$5:$G$2220,'ноябрь 2024'!$D$5:$D$2220,$B58,'ноябрь 2024'!$J$5:$J$2220,V$1)</f>
        <v>0</v>
      </c>
      <c r="W58" s="80">
        <f>SUMIFS('ноябрь 2024'!$G$5:$G$2220,'ноябрь 2024'!$D$5:$D$2220,$B58,'ноябрь 2024'!$J$5:$J$2220,W$1)</f>
        <v>0</v>
      </c>
      <c r="X58" s="80">
        <f>SUMIFS('ноябрь 2024'!$G$5:$G$2220,'ноябрь 2024'!$D$5:$D$2220,$B58,'ноябрь 2024'!$J$5:$J$2220,X$1)</f>
        <v>0</v>
      </c>
      <c r="Y58" s="80">
        <f>SUMIFS('ноябрь 2024'!$G$5:$G$2220,'ноябрь 2024'!$D$5:$D$2220,$B58,'ноябрь 2024'!$J$5:$J$2220,Y$1)</f>
        <v>0</v>
      </c>
      <c r="Z58" s="80">
        <f>SUMIFS('ноябрь 2024'!$G$5:$G$2220,'ноябрь 2024'!$D$5:$D$2220,$B58,'ноябрь 2024'!$J$5:$J$2220,Z$1)</f>
        <v>0</v>
      </c>
      <c r="AA58" s="80">
        <f>SUMIFS('ноябрь 2024'!$G$5:$G$2220,'ноябрь 2024'!$D$5:$D$2220,$B58,'ноябрь 2024'!$J$5:$J$2220,AA$1)</f>
        <v>0</v>
      </c>
      <c r="AB58" s="80">
        <f>SUMIFS('ноябрь 2024'!$G$5:$G$2220,'ноябрь 2024'!$D$5:$D$2220,$B58,'ноябрь 2024'!$J$5:$J$2220,AB$1)</f>
        <v>0</v>
      </c>
      <c r="AC58" s="80">
        <f>SUMIFS('ноябрь 2024'!$G$5:$G$2220,'ноябрь 2024'!$D$5:$D$2220,$B58,'ноябрь 2024'!$J$5:$J$2220,AC$1)</f>
        <v>0</v>
      </c>
      <c r="AD58" s="80">
        <f>SUMIFS('ноябрь 2024'!$G$5:$G$2220,'ноябрь 2024'!$D$5:$D$2220,$B58,'ноябрь 2024'!$J$5:$J$2220,AD$1)</f>
        <v>0</v>
      </c>
      <c r="AE58" s="80">
        <f>SUMIFS('ноябрь 2024'!$G$5:$G$2220,'ноябрь 2024'!$D$5:$D$2220,$B58,'ноябрь 2024'!$J$5:$J$2220,AE$1)</f>
        <v>0</v>
      </c>
      <c r="AF58" s="80">
        <f>SUMIFS('ноябрь 2024'!$G$5:$G$2220,'ноябрь 2024'!$D$5:$D$2220,$B58,'ноябрь 2024'!$J$5:$J$2220,AF$1)</f>
        <v>0</v>
      </c>
      <c r="AG58" s="80">
        <f>SUMIFS('ноябрь 2024'!$G$5:$G$2220,'ноябрь 2024'!$D$5:$D$2220,$B58,'ноябрь 2024'!$J$5:$J$2220,AG$1)</f>
        <v>0</v>
      </c>
      <c r="AH58" s="80">
        <f>SUMIFS('ноябрь 2024'!$G$5:$G$2220,'ноябрь 2024'!$D$5:$D$2220,$B58,'ноябрь 2024'!$J$5:$J$2220,AH$1)</f>
        <v>0</v>
      </c>
      <c r="AI58" s="21">
        <f t="shared" si="1"/>
        <v>0</v>
      </c>
    </row>
    <row r="59" spans="2:35" ht="15" customHeight="1" x14ac:dyDescent="0.25">
      <c r="B59" s="155"/>
      <c r="C59" s="151"/>
      <c r="D59" s="80">
        <f>SUMIFS('ноябрь 2024'!$G$5:$G$2220,'ноябрь 2024'!$D$5:$D$2220,$B59,'ноябрь 2024'!$J$5:$J$2220,D$1)</f>
        <v>0</v>
      </c>
      <c r="E59" s="80">
        <f>SUMIFS('ноябрь 2024'!$G$5:$G$2220,'ноябрь 2024'!$D$5:$D$2220,$B59,'ноябрь 2024'!$J$5:$J$2220,E$1)</f>
        <v>0</v>
      </c>
      <c r="F59" s="80">
        <f>SUMIFS('ноябрь 2024'!$G$5:$G$2220,'ноябрь 2024'!$D$5:$D$2220,$B59,'ноябрь 2024'!$J$5:$J$2220,F$1)</f>
        <v>0</v>
      </c>
      <c r="G59" s="80">
        <f>SUMIFS('ноябрь 2024'!$G$5:$G$2220,'ноябрь 2024'!$D$5:$D$2220,$B59,'ноябрь 2024'!$J$5:$J$2220,G$1)</f>
        <v>0</v>
      </c>
      <c r="H59" s="80">
        <f>SUMIFS('ноябрь 2024'!$G$5:$G$2220,'ноябрь 2024'!$D$5:$D$2220,$B59,'ноябрь 2024'!$J$5:$J$2220,H$1)</f>
        <v>0</v>
      </c>
      <c r="I59" s="80">
        <f>SUMIFS('ноябрь 2024'!$G$5:$G$2220,'ноябрь 2024'!$D$5:$D$2220,$B59,'ноябрь 2024'!$J$5:$J$2220,I$1)</f>
        <v>0</v>
      </c>
      <c r="J59" s="80">
        <f>SUMIFS('ноябрь 2024'!$G$5:$G$2220,'ноябрь 2024'!$D$5:$D$2220,$B59,'ноябрь 2024'!$J$5:$J$2220,J$1)</f>
        <v>0</v>
      </c>
      <c r="K59" s="80">
        <f>SUMIFS('ноябрь 2024'!$G$5:$G$2220,'ноябрь 2024'!$D$5:$D$2220,$B59,'ноябрь 2024'!$J$5:$J$2220,K$1)</f>
        <v>0</v>
      </c>
      <c r="L59" s="80">
        <f>SUMIFS('ноябрь 2024'!$G$5:$G$2220,'ноябрь 2024'!$D$5:$D$2220,$B59,'ноябрь 2024'!$J$5:$J$2220,L$1)</f>
        <v>0</v>
      </c>
      <c r="M59" s="80">
        <f>SUMIFS('ноябрь 2024'!$G$5:$G$2220,'ноябрь 2024'!$D$5:$D$2220,$B59,'ноябрь 2024'!$J$5:$J$2220,M$1)</f>
        <v>0</v>
      </c>
      <c r="N59" s="80">
        <f>SUMIFS('ноябрь 2024'!$G$5:$G$2220,'ноябрь 2024'!$D$5:$D$2220,$B59,'ноябрь 2024'!$J$5:$J$2220,N$1)</f>
        <v>0</v>
      </c>
      <c r="O59" s="80">
        <f>SUMIFS('ноябрь 2024'!$G$5:$G$2220,'ноябрь 2024'!$D$5:$D$2220,$B59,'ноябрь 2024'!$J$5:$J$2220,O$1)</f>
        <v>0</v>
      </c>
      <c r="P59" s="80">
        <f>SUMIFS('ноябрь 2024'!$G$5:$G$2220,'ноябрь 2024'!$D$5:$D$2220,$B59,'ноябрь 2024'!$J$5:$J$2220,P$1)</f>
        <v>0</v>
      </c>
      <c r="Q59" s="80">
        <f>SUMIFS('ноябрь 2024'!$G$5:$G$2220,'ноябрь 2024'!$D$5:$D$2220,$B59,'ноябрь 2024'!$J$5:$J$2220,Q$1)</f>
        <v>0</v>
      </c>
      <c r="R59" s="80">
        <f>SUMIFS('ноябрь 2024'!$G$5:$G$2220,'ноябрь 2024'!$D$5:$D$2220,$B59,'ноябрь 2024'!$J$5:$J$2220,R$1)</f>
        <v>0</v>
      </c>
      <c r="S59" s="80">
        <f>SUMIFS('ноябрь 2024'!$G$5:$G$2220,'ноябрь 2024'!$D$5:$D$2220,$B59,'ноябрь 2024'!$J$5:$J$2220,S$1)</f>
        <v>0</v>
      </c>
      <c r="T59" s="80">
        <f>SUMIFS('ноябрь 2024'!$G$5:$G$2220,'ноябрь 2024'!$D$5:$D$2220,$B59,'ноябрь 2024'!$J$5:$J$2220,T$1)</f>
        <v>0</v>
      </c>
      <c r="U59" s="80">
        <f>SUMIFS('ноябрь 2024'!$G$5:$G$2220,'ноябрь 2024'!$D$5:$D$2220,$B59,'ноябрь 2024'!$J$5:$J$2220,U$1)</f>
        <v>0</v>
      </c>
      <c r="V59" s="80">
        <f>SUMIFS('ноябрь 2024'!$G$5:$G$2220,'ноябрь 2024'!$D$5:$D$2220,$B59,'ноябрь 2024'!$J$5:$J$2220,V$1)</f>
        <v>0</v>
      </c>
      <c r="W59" s="80">
        <f>SUMIFS('ноябрь 2024'!$G$5:$G$2220,'ноябрь 2024'!$D$5:$D$2220,$B59,'ноябрь 2024'!$J$5:$J$2220,W$1)</f>
        <v>0</v>
      </c>
      <c r="X59" s="80">
        <f>SUMIFS('ноябрь 2024'!$G$5:$G$2220,'ноябрь 2024'!$D$5:$D$2220,$B59,'ноябрь 2024'!$J$5:$J$2220,X$1)</f>
        <v>0</v>
      </c>
      <c r="Y59" s="80">
        <f>SUMIFS('ноябрь 2024'!$G$5:$G$2220,'ноябрь 2024'!$D$5:$D$2220,$B59,'ноябрь 2024'!$J$5:$J$2220,Y$1)</f>
        <v>0</v>
      </c>
      <c r="Z59" s="80">
        <f>SUMIFS('ноябрь 2024'!$G$5:$G$2220,'ноябрь 2024'!$D$5:$D$2220,$B59,'ноябрь 2024'!$J$5:$J$2220,Z$1)</f>
        <v>0</v>
      </c>
      <c r="AA59" s="80">
        <f>SUMIFS('ноябрь 2024'!$G$5:$G$2220,'ноябрь 2024'!$D$5:$D$2220,$B59,'ноябрь 2024'!$J$5:$J$2220,AA$1)</f>
        <v>0</v>
      </c>
      <c r="AB59" s="80">
        <f>SUMIFS('ноябрь 2024'!$G$5:$G$2220,'ноябрь 2024'!$D$5:$D$2220,$B59,'ноябрь 2024'!$J$5:$J$2220,AB$1)</f>
        <v>0</v>
      </c>
      <c r="AC59" s="80">
        <f>SUMIFS('ноябрь 2024'!$G$5:$G$2220,'ноябрь 2024'!$D$5:$D$2220,$B59,'ноябрь 2024'!$J$5:$J$2220,AC$1)</f>
        <v>0</v>
      </c>
      <c r="AD59" s="80">
        <f>SUMIFS('ноябрь 2024'!$G$5:$G$2220,'ноябрь 2024'!$D$5:$D$2220,$B59,'ноябрь 2024'!$J$5:$J$2220,AD$1)</f>
        <v>0</v>
      </c>
      <c r="AE59" s="80">
        <f>SUMIFS('ноябрь 2024'!$G$5:$G$2220,'ноябрь 2024'!$D$5:$D$2220,$B59,'ноябрь 2024'!$J$5:$J$2220,AE$1)</f>
        <v>0</v>
      </c>
      <c r="AF59" s="80">
        <f>SUMIFS('ноябрь 2024'!$G$5:$G$2220,'ноябрь 2024'!$D$5:$D$2220,$B59,'ноябрь 2024'!$J$5:$J$2220,AF$1)</f>
        <v>0</v>
      </c>
      <c r="AG59" s="80">
        <f>SUMIFS('ноябрь 2024'!$G$5:$G$2220,'ноябрь 2024'!$D$5:$D$2220,$B59,'ноябрь 2024'!$J$5:$J$2220,AG$1)</f>
        <v>0</v>
      </c>
      <c r="AH59" s="80">
        <f>SUMIFS('ноябрь 2024'!$G$5:$G$2220,'ноябрь 2024'!$D$5:$D$2220,$B59,'ноябрь 2024'!$J$5:$J$2220,AH$1)</f>
        <v>0</v>
      </c>
      <c r="AI59" s="21">
        <f t="shared" si="1"/>
        <v>0</v>
      </c>
    </row>
    <row r="60" spans="2:35" ht="15" customHeight="1" x14ac:dyDescent="0.25">
      <c r="B60" s="155"/>
      <c r="C60" s="151"/>
      <c r="D60" s="80">
        <f>SUMIFS('ноябрь 2024'!$G$5:$G$2220,'ноябрь 2024'!$D$5:$D$2220,$B60,'ноябрь 2024'!$J$5:$J$2220,D$1)</f>
        <v>0</v>
      </c>
      <c r="E60" s="80">
        <f>SUMIFS('ноябрь 2024'!$G$5:$G$2220,'ноябрь 2024'!$D$5:$D$2220,$B60,'ноябрь 2024'!$J$5:$J$2220,E$1)</f>
        <v>0</v>
      </c>
      <c r="F60" s="80">
        <f>SUMIFS('ноябрь 2024'!$G$5:$G$2220,'ноябрь 2024'!$D$5:$D$2220,$B60,'ноябрь 2024'!$J$5:$J$2220,F$1)</f>
        <v>0</v>
      </c>
      <c r="G60" s="80">
        <f>SUMIFS('ноябрь 2024'!$G$5:$G$2220,'ноябрь 2024'!$D$5:$D$2220,$B60,'ноябрь 2024'!$J$5:$J$2220,G$1)</f>
        <v>0</v>
      </c>
      <c r="H60" s="80">
        <f>SUMIFS('ноябрь 2024'!$G$5:$G$2220,'ноябрь 2024'!$D$5:$D$2220,$B60,'ноябрь 2024'!$J$5:$J$2220,H$1)</f>
        <v>0</v>
      </c>
      <c r="I60" s="80">
        <f>SUMIFS('ноябрь 2024'!$G$5:$G$2220,'ноябрь 2024'!$D$5:$D$2220,$B60,'ноябрь 2024'!$J$5:$J$2220,I$1)</f>
        <v>0</v>
      </c>
      <c r="J60" s="80">
        <f>SUMIFS('ноябрь 2024'!$G$5:$G$2220,'ноябрь 2024'!$D$5:$D$2220,$B60,'ноябрь 2024'!$J$5:$J$2220,J$1)</f>
        <v>0</v>
      </c>
      <c r="K60" s="80">
        <f>SUMIFS('ноябрь 2024'!$G$5:$G$2220,'ноябрь 2024'!$D$5:$D$2220,$B60,'ноябрь 2024'!$J$5:$J$2220,K$1)</f>
        <v>0</v>
      </c>
      <c r="L60" s="80">
        <f>SUMIFS('ноябрь 2024'!$G$5:$G$2220,'ноябрь 2024'!$D$5:$D$2220,$B60,'ноябрь 2024'!$J$5:$J$2220,L$1)</f>
        <v>0</v>
      </c>
      <c r="M60" s="80">
        <f>SUMIFS('ноябрь 2024'!$G$5:$G$2220,'ноябрь 2024'!$D$5:$D$2220,$B60,'ноябрь 2024'!$J$5:$J$2220,M$1)</f>
        <v>0</v>
      </c>
      <c r="N60" s="80">
        <f>SUMIFS('ноябрь 2024'!$G$5:$G$2220,'ноябрь 2024'!$D$5:$D$2220,$B60,'ноябрь 2024'!$J$5:$J$2220,N$1)</f>
        <v>0</v>
      </c>
      <c r="O60" s="80">
        <f>SUMIFS('ноябрь 2024'!$G$5:$G$2220,'ноябрь 2024'!$D$5:$D$2220,$B60,'ноябрь 2024'!$J$5:$J$2220,O$1)</f>
        <v>0</v>
      </c>
      <c r="P60" s="80">
        <f>SUMIFS('ноябрь 2024'!$G$5:$G$2220,'ноябрь 2024'!$D$5:$D$2220,$B60,'ноябрь 2024'!$J$5:$J$2220,P$1)</f>
        <v>0</v>
      </c>
      <c r="Q60" s="80">
        <f>SUMIFS('ноябрь 2024'!$G$5:$G$2220,'ноябрь 2024'!$D$5:$D$2220,$B60,'ноябрь 2024'!$J$5:$J$2220,Q$1)</f>
        <v>0</v>
      </c>
      <c r="R60" s="80">
        <f>SUMIFS('ноябрь 2024'!$G$5:$G$2220,'ноябрь 2024'!$D$5:$D$2220,$B60,'ноябрь 2024'!$J$5:$J$2220,R$1)</f>
        <v>0</v>
      </c>
      <c r="S60" s="80">
        <f>SUMIFS('ноябрь 2024'!$G$5:$G$2220,'ноябрь 2024'!$D$5:$D$2220,$B60,'ноябрь 2024'!$J$5:$J$2220,S$1)</f>
        <v>0</v>
      </c>
      <c r="T60" s="80">
        <f>SUMIFS('ноябрь 2024'!$G$5:$G$2220,'ноябрь 2024'!$D$5:$D$2220,$B60,'ноябрь 2024'!$J$5:$J$2220,T$1)</f>
        <v>0</v>
      </c>
      <c r="U60" s="80">
        <f>SUMIFS('ноябрь 2024'!$G$5:$G$2220,'ноябрь 2024'!$D$5:$D$2220,$B60,'ноябрь 2024'!$J$5:$J$2220,U$1)</f>
        <v>0</v>
      </c>
      <c r="V60" s="80">
        <f>SUMIFS('ноябрь 2024'!$G$5:$G$2220,'ноябрь 2024'!$D$5:$D$2220,$B60,'ноябрь 2024'!$J$5:$J$2220,V$1)</f>
        <v>0</v>
      </c>
      <c r="W60" s="80">
        <f>SUMIFS('ноябрь 2024'!$G$5:$G$2220,'ноябрь 2024'!$D$5:$D$2220,$B60,'ноябрь 2024'!$J$5:$J$2220,W$1)</f>
        <v>0</v>
      </c>
      <c r="X60" s="80">
        <f>SUMIFS('ноябрь 2024'!$G$5:$G$2220,'ноябрь 2024'!$D$5:$D$2220,$B60,'ноябрь 2024'!$J$5:$J$2220,X$1)</f>
        <v>0</v>
      </c>
      <c r="Y60" s="80">
        <f>SUMIFS('ноябрь 2024'!$G$5:$G$2220,'ноябрь 2024'!$D$5:$D$2220,$B60,'ноябрь 2024'!$J$5:$J$2220,Y$1)</f>
        <v>0</v>
      </c>
      <c r="Z60" s="80">
        <f>SUMIFS('ноябрь 2024'!$G$5:$G$2220,'ноябрь 2024'!$D$5:$D$2220,$B60,'ноябрь 2024'!$J$5:$J$2220,Z$1)</f>
        <v>0</v>
      </c>
      <c r="AA60" s="80">
        <f>SUMIFS('ноябрь 2024'!$G$5:$G$2220,'ноябрь 2024'!$D$5:$D$2220,$B60,'ноябрь 2024'!$J$5:$J$2220,AA$1)</f>
        <v>0</v>
      </c>
      <c r="AB60" s="80">
        <f>SUMIFS('ноябрь 2024'!$G$5:$G$2220,'ноябрь 2024'!$D$5:$D$2220,$B60,'ноябрь 2024'!$J$5:$J$2220,AB$1)</f>
        <v>0</v>
      </c>
      <c r="AC60" s="80">
        <f>SUMIFS('ноябрь 2024'!$G$5:$G$2220,'ноябрь 2024'!$D$5:$D$2220,$B60,'ноябрь 2024'!$J$5:$J$2220,AC$1)</f>
        <v>0</v>
      </c>
      <c r="AD60" s="80">
        <f>SUMIFS('ноябрь 2024'!$G$5:$G$2220,'ноябрь 2024'!$D$5:$D$2220,$B60,'ноябрь 2024'!$J$5:$J$2220,AD$1)</f>
        <v>0</v>
      </c>
      <c r="AE60" s="80">
        <f>SUMIFS('ноябрь 2024'!$G$5:$G$2220,'ноябрь 2024'!$D$5:$D$2220,$B60,'ноябрь 2024'!$J$5:$J$2220,AE$1)</f>
        <v>0</v>
      </c>
      <c r="AF60" s="80">
        <f>SUMIFS('ноябрь 2024'!$G$5:$G$2220,'ноябрь 2024'!$D$5:$D$2220,$B60,'ноябрь 2024'!$J$5:$J$2220,AF$1)</f>
        <v>0</v>
      </c>
      <c r="AG60" s="80">
        <f>SUMIFS('ноябрь 2024'!$G$5:$G$2220,'ноябрь 2024'!$D$5:$D$2220,$B60,'ноябрь 2024'!$J$5:$J$2220,AG$1)</f>
        <v>0</v>
      </c>
      <c r="AH60" s="80">
        <f>SUMIFS('ноябрь 2024'!$G$5:$G$2220,'ноябрь 2024'!$D$5:$D$2220,$B60,'ноябрь 2024'!$J$5:$J$2220,AH$1)</f>
        <v>0</v>
      </c>
      <c r="AI60" s="21">
        <f t="shared" si="1"/>
        <v>0</v>
      </c>
    </row>
    <row r="61" spans="2:35" ht="15" customHeight="1" x14ac:dyDescent="0.25">
      <c r="B61" s="92" t="s">
        <v>161</v>
      </c>
      <c r="C61" s="91">
        <v>200</v>
      </c>
      <c r="D61" s="80">
        <f>SUMIFS('ноябрь 2024'!$G$5:$G$2220,'ноябрь 2024'!$D$5:$D$2220,$B61,'ноябрь 2024'!$J$5:$J$2220,D$1)</f>
        <v>0</v>
      </c>
      <c r="E61" s="80">
        <f>SUMIFS('ноябрь 2024'!$G$5:$G$2220,'ноябрь 2024'!$D$5:$D$2220,$B61,'ноябрь 2024'!$J$5:$J$2220,E$1)</f>
        <v>0</v>
      </c>
      <c r="F61" s="80">
        <f>SUMIFS('ноябрь 2024'!$G$5:$G$2220,'ноябрь 2024'!$D$5:$D$2220,$B61,'ноябрь 2024'!$J$5:$J$2220,F$1)</f>
        <v>0</v>
      </c>
      <c r="G61" s="80">
        <f>SUMIFS('ноябрь 2024'!$G$5:$G$2220,'ноябрь 2024'!$D$5:$D$2220,$B61,'ноябрь 2024'!$J$5:$J$2220,G$1)</f>
        <v>0</v>
      </c>
      <c r="H61" s="80">
        <f>SUMIFS('ноябрь 2024'!$G$5:$G$2220,'ноябрь 2024'!$D$5:$D$2220,$B61,'ноябрь 2024'!$J$5:$J$2220,H$1)</f>
        <v>0</v>
      </c>
      <c r="I61" s="80">
        <f>SUMIFS('ноябрь 2024'!$G$5:$G$2220,'ноябрь 2024'!$D$5:$D$2220,$B61,'ноябрь 2024'!$J$5:$J$2220,I$1)</f>
        <v>0</v>
      </c>
      <c r="J61" s="80">
        <f>SUMIFS('ноябрь 2024'!$G$5:$G$2220,'ноябрь 2024'!$D$5:$D$2220,$B61,'ноябрь 2024'!$J$5:$J$2220,J$1)</f>
        <v>0</v>
      </c>
      <c r="K61" s="80">
        <f>SUMIFS('ноябрь 2024'!$G$5:$G$2220,'ноябрь 2024'!$D$5:$D$2220,$B61,'ноябрь 2024'!$J$5:$J$2220,K$1)</f>
        <v>0</v>
      </c>
      <c r="L61" s="80">
        <f>SUMIFS('ноябрь 2024'!$G$5:$G$2220,'ноябрь 2024'!$D$5:$D$2220,$B61,'ноябрь 2024'!$J$5:$J$2220,L$1)</f>
        <v>0</v>
      </c>
      <c r="M61" s="80">
        <f>SUMIFS('ноябрь 2024'!$G$5:$G$2220,'ноябрь 2024'!$D$5:$D$2220,$B61,'ноябрь 2024'!$J$5:$J$2220,M$1)</f>
        <v>0</v>
      </c>
      <c r="N61" s="80">
        <f>SUMIFS('ноябрь 2024'!$G$5:$G$2220,'ноябрь 2024'!$D$5:$D$2220,$B61,'ноябрь 2024'!$J$5:$J$2220,N$1)</f>
        <v>0</v>
      </c>
      <c r="O61" s="80">
        <f>SUMIFS('ноябрь 2024'!$G$5:$G$2220,'ноябрь 2024'!$D$5:$D$2220,$B61,'ноябрь 2024'!$J$5:$J$2220,O$1)</f>
        <v>0</v>
      </c>
      <c r="P61" s="80">
        <f>SUMIFS('ноябрь 2024'!$G$5:$G$2220,'ноябрь 2024'!$D$5:$D$2220,$B61,'ноябрь 2024'!$J$5:$J$2220,P$1)</f>
        <v>0</v>
      </c>
      <c r="Q61" s="80">
        <f>SUMIFS('ноябрь 2024'!$G$5:$G$2220,'ноябрь 2024'!$D$5:$D$2220,$B61,'ноябрь 2024'!$J$5:$J$2220,Q$1)</f>
        <v>0</v>
      </c>
      <c r="R61" s="80">
        <f>SUMIFS('ноябрь 2024'!$G$5:$G$2220,'ноябрь 2024'!$D$5:$D$2220,$B61,'ноябрь 2024'!$J$5:$J$2220,R$1)</f>
        <v>0</v>
      </c>
      <c r="S61" s="80">
        <f>SUMIFS('ноябрь 2024'!$G$5:$G$2220,'ноябрь 2024'!$D$5:$D$2220,$B61,'ноябрь 2024'!$J$5:$J$2220,S$1)</f>
        <v>0</v>
      </c>
      <c r="T61" s="80">
        <f>SUMIFS('ноябрь 2024'!$G$5:$G$2220,'ноябрь 2024'!$D$5:$D$2220,$B61,'ноябрь 2024'!$J$5:$J$2220,T$1)</f>
        <v>0</v>
      </c>
      <c r="U61" s="80">
        <f>SUMIFS('ноябрь 2024'!$G$5:$G$2220,'ноябрь 2024'!$D$5:$D$2220,$B61,'ноябрь 2024'!$J$5:$J$2220,U$1)</f>
        <v>0</v>
      </c>
      <c r="V61" s="80">
        <f>SUMIFS('ноябрь 2024'!$G$5:$G$2220,'ноябрь 2024'!$D$5:$D$2220,$B61,'ноябрь 2024'!$J$5:$J$2220,V$1)</f>
        <v>0</v>
      </c>
      <c r="W61" s="80">
        <f>SUMIFS('ноябрь 2024'!$G$5:$G$2220,'ноябрь 2024'!$D$5:$D$2220,$B61,'ноябрь 2024'!$J$5:$J$2220,W$1)</f>
        <v>0</v>
      </c>
      <c r="X61" s="80">
        <f>SUMIFS('ноябрь 2024'!$G$5:$G$2220,'ноябрь 2024'!$D$5:$D$2220,$B61,'ноябрь 2024'!$J$5:$J$2220,X$1)</f>
        <v>0</v>
      </c>
      <c r="Y61" s="80">
        <f>SUMIFS('ноябрь 2024'!$G$5:$G$2220,'ноябрь 2024'!$D$5:$D$2220,$B61,'ноябрь 2024'!$J$5:$J$2220,Y$1)</f>
        <v>0</v>
      </c>
      <c r="Z61" s="80">
        <f>SUMIFS('ноябрь 2024'!$G$5:$G$2220,'ноябрь 2024'!$D$5:$D$2220,$B61,'ноябрь 2024'!$J$5:$J$2220,Z$1)</f>
        <v>0</v>
      </c>
      <c r="AA61" s="80">
        <f>SUMIFS('ноябрь 2024'!$G$5:$G$2220,'ноябрь 2024'!$D$5:$D$2220,$B61,'ноябрь 2024'!$J$5:$J$2220,AA$1)</f>
        <v>0</v>
      </c>
      <c r="AB61" s="80">
        <f>SUMIFS('ноябрь 2024'!$G$5:$G$2220,'ноябрь 2024'!$D$5:$D$2220,$B61,'ноябрь 2024'!$J$5:$J$2220,AB$1)</f>
        <v>0</v>
      </c>
      <c r="AC61" s="80">
        <f>SUMIFS('ноябрь 2024'!$G$5:$G$2220,'ноябрь 2024'!$D$5:$D$2220,$B61,'ноябрь 2024'!$J$5:$J$2220,AC$1)</f>
        <v>0</v>
      </c>
      <c r="AD61" s="80">
        <f>SUMIFS('ноябрь 2024'!$G$5:$G$2220,'ноябрь 2024'!$D$5:$D$2220,$B61,'ноябрь 2024'!$J$5:$J$2220,AD$1)</f>
        <v>0</v>
      </c>
      <c r="AE61" s="80">
        <f>SUMIFS('ноябрь 2024'!$G$5:$G$2220,'ноябрь 2024'!$D$5:$D$2220,$B61,'ноябрь 2024'!$J$5:$J$2220,AE$1)</f>
        <v>0</v>
      </c>
      <c r="AF61" s="80">
        <f>SUMIFS('ноябрь 2024'!$G$5:$G$2220,'ноябрь 2024'!$D$5:$D$2220,$B61,'ноябрь 2024'!$J$5:$J$2220,AF$1)</f>
        <v>0</v>
      </c>
      <c r="AG61" s="80">
        <f>SUMIFS('ноябрь 2024'!$G$5:$G$2220,'ноябрь 2024'!$D$5:$D$2220,$B61,'ноябрь 2024'!$J$5:$J$2220,AG$1)</f>
        <v>0</v>
      </c>
      <c r="AH61" s="80">
        <f>SUMIFS('ноябрь 2024'!$G$5:$G$2220,'ноябрь 2024'!$D$5:$D$2220,$B61,'ноябрь 2024'!$J$5:$J$2220,AH$1)</f>
        <v>0</v>
      </c>
      <c r="AI61" s="21">
        <f t="shared" si="1"/>
        <v>0</v>
      </c>
    </row>
    <row r="62" spans="2:35" ht="15" customHeight="1" x14ac:dyDescent="0.25">
      <c r="B62" s="92" t="s">
        <v>1153</v>
      </c>
      <c r="C62" s="91">
        <v>50</v>
      </c>
      <c r="D62" s="80">
        <f>SUMIFS('ноябрь 2024'!$G$5:$G$2220,'ноябрь 2024'!$D$5:$D$2220,$B62,'ноябрь 2024'!$J$5:$J$2220,D$1)</f>
        <v>0</v>
      </c>
      <c r="E62" s="80">
        <f>SUMIFS('ноябрь 2024'!$G$5:$G$2220,'ноябрь 2024'!$D$5:$D$2220,$B62,'ноябрь 2024'!$J$5:$J$2220,E$1)</f>
        <v>0</v>
      </c>
      <c r="F62" s="80">
        <f>SUMIFS('ноябрь 2024'!$G$5:$G$2220,'ноябрь 2024'!$D$5:$D$2220,$B62,'ноябрь 2024'!$J$5:$J$2220,F$1)</f>
        <v>0</v>
      </c>
      <c r="G62" s="80">
        <f>SUMIFS('ноябрь 2024'!$G$5:$G$2220,'ноябрь 2024'!$D$5:$D$2220,$B62,'ноябрь 2024'!$J$5:$J$2220,G$1)</f>
        <v>0</v>
      </c>
      <c r="H62" s="80">
        <f>SUMIFS('ноябрь 2024'!$G$5:$G$2220,'ноябрь 2024'!$D$5:$D$2220,$B62,'ноябрь 2024'!$J$5:$J$2220,H$1)</f>
        <v>0</v>
      </c>
      <c r="I62" s="80">
        <f>SUMIFS('ноябрь 2024'!$G$5:$G$2220,'ноябрь 2024'!$D$5:$D$2220,$B62,'ноябрь 2024'!$J$5:$J$2220,I$1)</f>
        <v>0</v>
      </c>
      <c r="J62" s="80">
        <f>SUMIFS('ноябрь 2024'!$G$5:$G$2220,'ноябрь 2024'!$D$5:$D$2220,$B62,'ноябрь 2024'!$J$5:$J$2220,J$1)</f>
        <v>0</v>
      </c>
      <c r="K62" s="80">
        <f>SUMIFS('ноябрь 2024'!$G$5:$G$2220,'ноябрь 2024'!$D$5:$D$2220,$B62,'ноябрь 2024'!$J$5:$J$2220,K$1)</f>
        <v>0</v>
      </c>
      <c r="L62" s="80">
        <f>SUMIFS('ноябрь 2024'!$G$5:$G$2220,'ноябрь 2024'!$D$5:$D$2220,$B62,'ноябрь 2024'!$J$5:$J$2220,L$1)</f>
        <v>0</v>
      </c>
      <c r="M62" s="80">
        <f>SUMIFS('ноябрь 2024'!$G$5:$G$2220,'ноябрь 2024'!$D$5:$D$2220,$B62,'ноябрь 2024'!$J$5:$J$2220,M$1)</f>
        <v>0</v>
      </c>
      <c r="N62" s="80">
        <f>SUMIFS('ноябрь 2024'!$G$5:$G$2220,'ноябрь 2024'!$D$5:$D$2220,$B62,'ноябрь 2024'!$J$5:$J$2220,N$1)</f>
        <v>0</v>
      </c>
      <c r="O62" s="80">
        <f>SUMIFS('ноябрь 2024'!$G$5:$G$2220,'ноябрь 2024'!$D$5:$D$2220,$B62,'ноябрь 2024'!$J$5:$J$2220,O$1)</f>
        <v>0</v>
      </c>
      <c r="P62" s="80">
        <f>SUMIFS('ноябрь 2024'!$G$5:$G$2220,'ноябрь 2024'!$D$5:$D$2220,$B62,'ноябрь 2024'!$J$5:$J$2220,P$1)</f>
        <v>0</v>
      </c>
      <c r="Q62" s="80">
        <f>SUMIFS('ноябрь 2024'!$G$5:$G$2220,'ноябрь 2024'!$D$5:$D$2220,$B62,'ноябрь 2024'!$J$5:$J$2220,Q$1)</f>
        <v>0</v>
      </c>
      <c r="R62" s="80">
        <f>SUMIFS('ноябрь 2024'!$G$5:$G$2220,'ноябрь 2024'!$D$5:$D$2220,$B62,'ноябрь 2024'!$J$5:$J$2220,R$1)</f>
        <v>0</v>
      </c>
      <c r="S62" s="80">
        <f>SUMIFS('ноябрь 2024'!$G$5:$G$2220,'ноябрь 2024'!$D$5:$D$2220,$B62,'ноябрь 2024'!$J$5:$J$2220,S$1)</f>
        <v>0</v>
      </c>
      <c r="T62" s="80">
        <f>SUMIFS('ноябрь 2024'!$G$5:$G$2220,'ноябрь 2024'!$D$5:$D$2220,$B62,'ноябрь 2024'!$J$5:$J$2220,T$1)</f>
        <v>0</v>
      </c>
      <c r="U62" s="80">
        <f>SUMIFS('ноябрь 2024'!$G$5:$G$2220,'ноябрь 2024'!$D$5:$D$2220,$B62,'ноябрь 2024'!$J$5:$J$2220,U$1)</f>
        <v>0</v>
      </c>
      <c r="V62" s="80">
        <f>SUMIFS('ноябрь 2024'!$G$5:$G$2220,'ноябрь 2024'!$D$5:$D$2220,$B62,'ноябрь 2024'!$J$5:$J$2220,V$1)</f>
        <v>0</v>
      </c>
      <c r="W62" s="80">
        <f>SUMIFS('ноябрь 2024'!$G$5:$G$2220,'ноябрь 2024'!$D$5:$D$2220,$B62,'ноябрь 2024'!$J$5:$J$2220,W$1)</f>
        <v>0</v>
      </c>
      <c r="X62" s="80">
        <f>SUMIFS('ноябрь 2024'!$G$5:$G$2220,'ноябрь 2024'!$D$5:$D$2220,$B62,'ноябрь 2024'!$J$5:$J$2220,X$1)</f>
        <v>0</v>
      </c>
      <c r="Y62" s="80">
        <f>SUMIFS('ноябрь 2024'!$G$5:$G$2220,'ноябрь 2024'!$D$5:$D$2220,$B62,'ноябрь 2024'!$J$5:$J$2220,Y$1)</f>
        <v>0</v>
      </c>
      <c r="Z62" s="80">
        <f>SUMIFS('ноябрь 2024'!$G$5:$G$2220,'ноябрь 2024'!$D$5:$D$2220,$B62,'ноябрь 2024'!$J$5:$J$2220,Z$1)</f>
        <v>0</v>
      </c>
      <c r="AA62" s="80">
        <f>SUMIFS('ноябрь 2024'!$G$5:$G$2220,'ноябрь 2024'!$D$5:$D$2220,$B62,'ноябрь 2024'!$J$5:$J$2220,AA$1)</f>
        <v>0</v>
      </c>
      <c r="AB62" s="80">
        <f>SUMIFS('ноябрь 2024'!$G$5:$G$2220,'ноябрь 2024'!$D$5:$D$2220,$B62,'ноябрь 2024'!$J$5:$J$2220,AB$1)</f>
        <v>0</v>
      </c>
      <c r="AC62" s="80">
        <f>SUMIFS('ноябрь 2024'!$G$5:$G$2220,'ноябрь 2024'!$D$5:$D$2220,$B62,'ноябрь 2024'!$J$5:$J$2220,AC$1)</f>
        <v>0</v>
      </c>
      <c r="AD62" s="80">
        <f>SUMIFS('ноябрь 2024'!$G$5:$G$2220,'ноябрь 2024'!$D$5:$D$2220,$B62,'ноябрь 2024'!$J$5:$J$2220,AD$1)</f>
        <v>0</v>
      </c>
      <c r="AE62" s="80">
        <f>SUMIFS('ноябрь 2024'!$G$5:$G$2220,'ноябрь 2024'!$D$5:$D$2220,$B62,'ноябрь 2024'!$J$5:$J$2220,AE$1)</f>
        <v>0</v>
      </c>
      <c r="AF62" s="80">
        <f>SUMIFS('ноябрь 2024'!$G$5:$G$2220,'ноябрь 2024'!$D$5:$D$2220,$B62,'ноябрь 2024'!$J$5:$J$2220,AF$1)</f>
        <v>0</v>
      </c>
      <c r="AG62" s="80">
        <f>SUMIFS('ноябрь 2024'!$G$5:$G$2220,'ноябрь 2024'!$D$5:$D$2220,$B62,'ноябрь 2024'!$J$5:$J$2220,AG$1)</f>
        <v>0</v>
      </c>
      <c r="AH62" s="80">
        <f>SUMIFS('ноябрь 2024'!$G$5:$G$2220,'ноябрь 2024'!$D$5:$D$2220,$B62,'ноябрь 2024'!$J$5:$J$2220,AH$1)</f>
        <v>0</v>
      </c>
      <c r="AI62" s="21">
        <f t="shared" si="1"/>
        <v>0</v>
      </c>
    </row>
    <row r="63" spans="2:35" ht="15" customHeight="1" x14ac:dyDescent="0.25">
      <c r="B63" s="93" t="s">
        <v>209</v>
      </c>
      <c r="C63" s="91">
        <v>200</v>
      </c>
      <c r="D63" s="80">
        <f>SUMIFS('ноябрь 2024'!$G$5:$G$2220,'ноябрь 2024'!$D$5:$D$2220,$B63,'ноябрь 2024'!$J$5:$J$2220,D$1)</f>
        <v>0</v>
      </c>
      <c r="E63" s="80">
        <f>SUMIFS('ноябрь 2024'!$G$5:$G$2220,'ноябрь 2024'!$D$5:$D$2220,$B63,'ноябрь 2024'!$J$5:$J$2220,E$1)</f>
        <v>0</v>
      </c>
      <c r="F63" s="80">
        <f>SUMIFS('ноябрь 2024'!$G$5:$G$2220,'ноябрь 2024'!$D$5:$D$2220,$B63,'ноябрь 2024'!$J$5:$J$2220,F$1)</f>
        <v>0</v>
      </c>
      <c r="G63" s="80">
        <f>SUMIFS('ноябрь 2024'!$G$5:$G$2220,'ноябрь 2024'!$D$5:$D$2220,$B63,'ноябрь 2024'!$J$5:$J$2220,G$1)</f>
        <v>0</v>
      </c>
      <c r="H63" s="80">
        <f>SUMIFS('ноябрь 2024'!$G$5:$G$2220,'ноябрь 2024'!$D$5:$D$2220,$B63,'ноябрь 2024'!$J$5:$J$2220,H$1)</f>
        <v>0</v>
      </c>
      <c r="I63" s="80">
        <f>SUMIFS('ноябрь 2024'!$G$5:$G$2220,'ноябрь 2024'!$D$5:$D$2220,$B63,'ноябрь 2024'!$J$5:$J$2220,I$1)</f>
        <v>0</v>
      </c>
      <c r="J63" s="80">
        <f>SUMIFS('ноябрь 2024'!$G$5:$G$2220,'ноябрь 2024'!$D$5:$D$2220,$B63,'ноябрь 2024'!$J$5:$J$2220,J$1)</f>
        <v>0</v>
      </c>
      <c r="K63" s="80">
        <f>SUMIFS('ноябрь 2024'!$G$5:$G$2220,'ноябрь 2024'!$D$5:$D$2220,$B63,'ноябрь 2024'!$J$5:$J$2220,K$1)</f>
        <v>0</v>
      </c>
      <c r="L63" s="80">
        <f>SUMIFS('ноябрь 2024'!$G$5:$G$2220,'ноябрь 2024'!$D$5:$D$2220,$B63,'ноябрь 2024'!$J$5:$J$2220,L$1)</f>
        <v>0</v>
      </c>
      <c r="M63" s="80">
        <f>SUMIFS('ноябрь 2024'!$G$5:$G$2220,'ноябрь 2024'!$D$5:$D$2220,$B63,'ноябрь 2024'!$J$5:$J$2220,M$1)</f>
        <v>0</v>
      </c>
      <c r="N63" s="80">
        <f>SUMIFS('ноябрь 2024'!$G$5:$G$2220,'ноябрь 2024'!$D$5:$D$2220,$B63,'ноябрь 2024'!$J$5:$J$2220,N$1)</f>
        <v>0</v>
      </c>
      <c r="O63" s="80">
        <f>SUMIFS('ноябрь 2024'!$G$5:$G$2220,'ноябрь 2024'!$D$5:$D$2220,$B63,'ноябрь 2024'!$J$5:$J$2220,O$1)</f>
        <v>0</v>
      </c>
      <c r="P63" s="80">
        <f>SUMIFS('ноябрь 2024'!$G$5:$G$2220,'ноябрь 2024'!$D$5:$D$2220,$B63,'ноябрь 2024'!$J$5:$J$2220,P$1)</f>
        <v>0</v>
      </c>
      <c r="Q63" s="80">
        <f>SUMIFS('ноябрь 2024'!$G$5:$G$2220,'ноябрь 2024'!$D$5:$D$2220,$B63,'ноябрь 2024'!$J$5:$J$2220,Q$1)</f>
        <v>0</v>
      </c>
      <c r="R63" s="80">
        <f>SUMIFS('ноябрь 2024'!$G$5:$G$2220,'ноябрь 2024'!$D$5:$D$2220,$B63,'ноябрь 2024'!$J$5:$J$2220,R$1)</f>
        <v>0</v>
      </c>
      <c r="S63" s="80">
        <f>SUMIFS('ноябрь 2024'!$G$5:$G$2220,'ноябрь 2024'!$D$5:$D$2220,$B63,'ноябрь 2024'!$J$5:$J$2220,S$1)</f>
        <v>0</v>
      </c>
      <c r="T63" s="80">
        <f>SUMIFS('ноябрь 2024'!$G$5:$G$2220,'ноябрь 2024'!$D$5:$D$2220,$B63,'ноябрь 2024'!$J$5:$J$2220,T$1)</f>
        <v>0</v>
      </c>
      <c r="U63" s="80">
        <f>SUMIFS('ноябрь 2024'!$G$5:$G$2220,'ноябрь 2024'!$D$5:$D$2220,$B63,'ноябрь 2024'!$J$5:$J$2220,U$1)</f>
        <v>0</v>
      </c>
      <c r="V63" s="80">
        <f>SUMIFS('ноябрь 2024'!$G$5:$G$2220,'ноябрь 2024'!$D$5:$D$2220,$B63,'ноябрь 2024'!$J$5:$J$2220,V$1)</f>
        <v>0</v>
      </c>
      <c r="W63" s="80">
        <f>SUMIFS('ноябрь 2024'!$G$5:$G$2220,'ноябрь 2024'!$D$5:$D$2220,$B63,'ноябрь 2024'!$J$5:$J$2220,W$1)</f>
        <v>0</v>
      </c>
      <c r="X63" s="80">
        <f>SUMIFS('ноябрь 2024'!$G$5:$G$2220,'ноябрь 2024'!$D$5:$D$2220,$B63,'ноябрь 2024'!$J$5:$J$2220,X$1)</f>
        <v>0</v>
      </c>
      <c r="Y63" s="80">
        <f>SUMIFS('ноябрь 2024'!$G$5:$G$2220,'ноябрь 2024'!$D$5:$D$2220,$B63,'ноябрь 2024'!$J$5:$J$2220,Y$1)</f>
        <v>0</v>
      </c>
      <c r="Z63" s="80">
        <f>SUMIFS('ноябрь 2024'!$G$5:$G$2220,'ноябрь 2024'!$D$5:$D$2220,$B63,'ноябрь 2024'!$J$5:$J$2220,Z$1)</f>
        <v>0</v>
      </c>
      <c r="AA63" s="80">
        <f>SUMIFS('ноябрь 2024'!$G$5:$G$2220,'ноябрь 2024'!$D$5:$D$2220,$B63,'ноябрь 2024'!$J$5:$J$2220,AA$1)</f>
        <v>0</v>
      </c>
      <c r="AB63" s="80">
        <f>SUMIFS('ноябрь 2024'!$G$5:$G$2220,'ноябрь 2024'!$D$5:$D$2220,$B63,'ноябрь 2024'!$J$5:$J$2220,AB$1)</f>
        <v>0</v>
      </c>
      <c r="AC63" s="80">
        <f>SUMIFS('ноябрь 2024'!$G$5:$G$2220,'ноябрь 2024'!$D$5:$D$2220,$B63,'ноябрь 2024'!$J$5:$J$2220,AC$1)</f>
        <v>0</v>
      </c>
      <c r="AD63" s="80">
        <f>SUMIFS('ноябрь 2024'!$G$5:$G$2220,'ноябрь 2024'!$D$5:$D$2220,$B63,'ноябрь 2024'!$J$5:$J$2220,AD$1)</f>
        <v>0</v>
      </c>
      <c r="AE63" s="80">
        <f>SUMIFS('ноябрь 2024'!$G$5:$G$2220,'ноябрь 2024'!$D$5:$D$2220,$B63,'ноябрь 2024'!$J$5:$J$2220,AE$1)</f>
        <v>0</v>
      </c>
      <c r="AF63" s="80">
        <f>SUMIFS('ноябрь 2024'!$G$5:$G$2220,'ноябрь 2024'!$D$5:$D$2220,$B63,'ноябрь 2024'!$J$5:$J$2220,AF$1)</f>
        <v>0</v>
      </c>
      <c r="AG63" s="80">
        <f>SUMIFS('ноябрь 2024'!$G$5:$G$2220,'ноябрь 2024'!$D$5:$D$2220,$B63,'ноябрь 2024'!$J$5:$J$2220,AG$1)</f>
        <v>0</v>
      </c>
      <c r="AH63" s="80">
        <f>SUMIFS('ноябрь 2024'!$G$5:$G$2220,'ноябрь 2024'!$D$5:$D$2220,$B63,'ноябрь 2024'!$J$5:$J$2220,AH$1)</f>
        <v>0</v>
      </c>
      <c r="AI63" s="21">
        <f t="shared" si="1"/>
        <v>0</v>
      </c>
    </row>
    <row r="64" spans="2:35" ht="15" customHeight="1" x14ac:dyDescent="0.25">
      <c r="B64" s="93" t="s">
        <v>222</v>
      </c>
      <c r="C64" s="91">
        <v>25</v>
      </c>
      <c r="D64" s="80">
        <f>SUMIFS('ноябрь 2024'!$G$5:$G$2220,'ноябрь 2024'!$D$5:$D$2220,$B64,'ноябрь 2024'!$J$5:$J$2220,D$1)</f>
        <v>0</v>
      </c>
      <c r="E64" s="80">
        <f>SUMIFS('ноябрь 2024'!$G$5:$G$2220,'ноябрь 2024'!$D$5:$D$2220,$B64,'ноябрь 2024'!$J$5:$J$2220,E$1)</f>
        <v>0</v>
      </c>
      <c r="F64" s="80">
        <f>SUMIFS('ноябрь 2024'!$G$5:$G$2220,'ноябрь 2024'!$D$5:$D$2220,$B64,'ноябрь 2024'!$J$5:$J$2220,F$1)</f>
        <v>0</v>
      </c>
      <c r="G64" s="80">
        <f>SUMIFS('ноябрь 2024'!$G$5:$G$2220,'ноябрь 2024'!$D$5:$D$2220,$B64,'ноябрь 2024'!$J$5:$J$2220,G$1)</f>
        <v>0</v>
      </c>
      <c r="H64" s="80">
        <f>SUMIFS('ноябрь 2024'!$G$5:$G$2220,'ноябрь 2024'!$D$5:$D$2220,$B64,'ноябрь 2024'!$J$5:$J$2220,H$1)</f>
        <v>0</v>
      </c>
      <c r="I64" s="80">
        <f>SUMIFS('ноябрь 2024'!$G$5:$G$2220,'ноябрь 2024'!$D$5:$D$2220,$B64,'ноябрь 2024'!$J$5:$J$2220,I$1)</f>
        <v>0</v>
      </c>
      <c r="J64" s="80">
        <f>SUMIFS('ноябрь 2024'!$G$5:$G$2220,'ноябрь 2024'!$D$5:$D$2220,$B64,'ноябрь 2024'!$J$5:$J$2220,J$1)</f>
        <v>0</v>
      </c>
      <c r="K64" s="80">
        <f>SUMIFS('ноябрь 2024'!$G$5:$G$2220,'ноябрь 2024'!$D$5:$D$2220,$B64,'ноябрь 2024'!$J$5:$J$2220,K$1)</f>
        <v>0</v>
      </c>
      <c r="L64" s="80">
        <f>SUMIFS('ноябрь 2024'!$G$5:$G$2220,'ноябрь 2024'!$D$5:$D$2220,$B64,'ноябрь 2024'!$J$5:$J$2220,L$1)</f>
        <v>0</v>
      </c>
      <c r="M64" s="80">
        <f>SUMIFS('ноябрь 2024'!$G$5:$G$2220,'ноябрь 2024'!$D$5:$D$2220,$B64,'ноябрь 2024'!$J$5:$J$2220,M$1)</f>
        <v>0</v>
      </c>
      <c r="N64" s="80">
        <f>SUMIFS('ноябрь 2024'!$G$5:$G$2220,'ноябрь 2024'!$D$5:$D$2220,$B64,'ноябрь 2024'!$J$5:$J$2220,N$1)</f>
        <v>0</v>
      </c>
      <c r="O64" s="80">
        <f>SUMIFS('ноябрь 2024'!$G$5:$G$2220,'ноябрь 2024'!$D$5:$D$2220,$B64,'ноябрь 2024'!$J$5:$J$2220,O$1)</f>
        <v>0</v>
      </c>
      <c r="P64" s="80">
        <f>SUMIFS('ноябрь 2024'!$G$5:$G$2220,'ноябрь 2024'!$D$5:$D$2220,$B64,'ноябрь 2024'!$J$5:$J$2220,P$1)</f>
        <v>0</v>
      </c>
      <c r="Q64" s="80">
        <f>SUMIFS('ноябрь 2024'!$G$5:$G$2220,'ноябрь 2024'!$D$5:$D$2220,$B64,'ноябрь 2024'!$J$5:$J$2220,Q$1)</f>
        <v>0</v>
      </c>
      <c r="R64" s="80">
        <f>SUMIFS('ноябрь 2024'!$G$5:$G$2220,'ноябрь 2024'!$D$5:$D$2220,$B64,'ноябрь 2024'!$J$5:$J$2220,R$1)</f>
        <v>0</v>
      </c>
      <c r="S64" s="80">
        <f>SUMIFS('ноябрь 2024'!$G$5:$G$2220,'ноябрь 2024'!$D$5:$D$2220,$B64,'ноябрь 2024'!$J$5:$J$2220,S$1)</f>
        <v>0</v>
      </c>
      <c r="T64" s="80">
        <f>SUMIFS('ноябрь 2024'!$G$5:$G$2220,'ноябрь 2024'!$D$5:$D$2220,$B64,'ноябрь 2024'!$J$5:$J$2220,T$1)</f>
        <v>0</v>
      </c>
      <c r="U64" s="80">
        <f>SUMIFS('ноябрь 2024'!$G$5:$G$2220,'ноябрь 2024'!$D$5:$D$2220,$B64,'ноябрь 2024'!$J$5:$J$2220,U$1)</f>
        <v>0</v>
      </c>
      <c r="V64" s="80">
        <f>SUMIFS('ноябрь 2024'!$G$5:$G$2220,'ноябрь 2024'!$D$5:$D$2220,$B64,'ноябрь 2024'!$J$5:$J$2220,V$1)</f>
        <v>0</v>
      </c>
      <c r="W64" s="80">
        <f>SUMIFS('ноябрь 2024'!$G$5:$G$2220,'ноябрь 2024'!$D$5:$D$2220,$B64,'ноябрь 2024'!$J$5:$J$2220,W$1)</f>
        <v>0</v>
      </c>
      <c r="X64" s="80">
        <f>SUMIFS('ноябрь 2024'!$G$5:$G$2220,'ноябрь 2024'!$D$5:$D$2220,$B64,'ноябрь 2024'!$J$5:$J$2220,X$1)</f>
        <v>0</v>
      </c>
      <c r="Y64" s="80">
        <f>SUMIFS('ноябрь 2024'!$G$5:$G$2220,'ноябрь 2024'!$D$5:$D$2220,$B64,'ноябрь 2024'!$J$5:$J$2220,Y$1)</f>
        <v>0</v>
      </c>
      <c r="Z64" s="80">
        <f>SUMIFS('ноябрь 2024'!$G$5:$G$2220,'ноябрь 2024'!$D$5:$D$2220,$B64,'ноябрь 2024'!$J$5:$J$2220,Z$1)</f>
        <v>0</v>
      </c>
      <c r="AA64" s="80">
        <f>SUMIFS('ноябрь 2024'!$G$5:$G$2220,'ноябрь 2024'!$D$5:$D$2220,$B64,'ноябрь 2024'!$J$5:$J$2220,AA$1)</f>
        <v>0</v>
      </c>
      <c r="AB64" s="80">
        <f>SUMIFS('ноябрь 2024'!$G$5:$G$2220,'ноябрь 2024'!$D$5:$D$2220,$B64,'ноябрь 2024'!$J$5:$J$2220,AB$1)</f>
        <v>0</v>
      </c>
      <c r="AC64" s="80">
        <f>SUMIFS('ноябрь 2024'!$G$5:$G$2220,'ноябрь 2024'!$D$5:$D$2220,$B64,'ноябрь 2024'!$J$5:$J$2220,AC$1)</f>
        <v>0</v>
      </c>
      <c r="AD64" s="80">
        <f>SUMIFS('ноябрь 2024'!$G$5:$G$2220,'ноябрь 2024'!$D$5:$D$2220,$B64,'ноябрь 2024'!$J$5:$J$2220,AD$1)</f>
        <v>0</v>
      </c>
      <c r="AE64" s="80">
        <f>SUMIFS('ноябрь 2024'!$G$5:$G$2220,'ноябрь 2024'!$D$5:$D$2220,$B64,'ноябрь 2024'!$J$5:$J$2220,AE$1)</f>
        <v>0</v>
      </c>
      <c r="AF64" s="80">
        <f>SUMIFS('ноябрь 2024'!$G$5:$G$2220,'ноябрь 2024'!$D$5:$D$2220,$B64,'ноябрь 2024'!$J$5:$J$2220,AF$1)</f>
        <v>0</v>
      </c>
      <c r="AG64" s="80">
        <f>SUMIFS('ноябрь 2024'!$G$5:$G$2220,'ноябрь 2024'!$D$5:$D$2220,$B64,'ноябрь 2024'!$J$5:$J$2220,AG$1)</f>
        <v>0</v>
      </c>
      <c r="AH64" s="80">
        <f>SUMIFS('ноябрь 2024'!$G$5:$G$2220,'ноябрь 2024'!$D$5:$D$2220,$B64,'ноябрь 2024'!$J$5:$J$2220,AH$1)</f>
        <v>0</v>
      </c>
      <c r="AI64" s="21">
        <f t="shared" si="1"/>
        <v>0</v>
      </c>
    </row>
    <row r="65" spans="2:35" ht="15" customHeight="1" x14ac:dyDescent="0.25">
      <c r="B65" s="93" t="s">
        <v>189</v>
      </c>
      <c r="C65" s="91">
        <v>50</v>
      </c>
      <c r="D65" s="80">
        <f>SUMIFS('ноябрь 2024'!$G$5:$G$2220,'ноябрь 2024'!$D$5:$D$2220,$B65,'ноябрь 2024'!$J$5:$J$2220,D$1)</f>
        <v>0</v>
      </c>
      <c r="E65" s="80">
        <f>SUMIFS('ноябрь 2024'!$G$5:$G$2220,'ноябрь 2024'!$D$5:$D$2220,$B65,'ноябрь 2024'!$J$5:$J$2220,E$1)</f>
        <v>0</v>
      </c>
      <c r="F65" s="80">
        <f>SUMIFS('ноябрь 2024'!$G$5:$G$2220,'ноябрь 2024'!$D$5:$D$2220,$B65,'ноябрь 2024'!$J$5:$J$2220,F$1)</f>
        <v>0</v>
      </c>
      <c r="G65" s="80">
        <f>SUMIFS('ноябрь 2024'!$G$5:$G$2220,'ноябрь 2024'!$D$5:$D$2220,$B65,'ноябрь 2024'!$J$5:$J$2220,G$1)</f>
        <v>0</v>
      </c>
      <c r="H65" s="80">
        <f>SUMIFS('ноябрь 2024'!$G$5:$G$2220,'ноябрь 2024'!$D$5:$D$2220,$B65,'ноябрь 2024'!$J$5:$J$2220,H$1)</f>
        <v>0</v>
      </c>
      <c r="I65" s="80">
        <f>SUMIFS('ноябрь 2024'!$G$5:$G$2220,'ноябрь 2024'!$D$5:$D$2220,$B65,'ноябрь 2024'!$J$5:$J$2220,I$1)</f>
        <v>0</v>
      </c>
      <c r="J65" s="80">
        <f>SUMIFS('ноябрь 2024'!$G$5:$G$2220,'ноябрь 2024'!$D$5:$D$2220,$B65,'ноябрь 2024'!$J$5:$J$2220,J$1)</f>
        <v>0</v>
      </c>
      <c r="K65" s="80">
        <f>SUMIFS('ноябрь 2024'!$G$5:$G$2220,'ноябрь 2024'!$D$5:$D$2220,$B65,'ноябрь 2024'!$J$5:$J$2220,K$1)</f>
        <v>0</v>
      </c>
      <c r="L65" s="80">
        <f>SUMIFS('ноябрь 2024'!$G$5:$G$2220,'ноябрь 2024'!$D$5:$D$2220,$B65,'ноябрь 2024'!$J$5:$J$2220,L$1)</f>
        <v>0</v>
      </c>
      <c r="M65" s="80">
        <f>SUMIFS('ноябрь 2024'!$G$5:$G$2220,'ноябрь 2024'!$D$5:$D$2220,$B65,'ноябрь 2024'!$J$5:$J$2220,M$1)</f>
        <v>0</v>
      </c>
      <c r="N65" s="80">
        <f>SUMIFS('ноябрь 2024'!$G$5:$G$2220,'ноябрь 2024'!$D$5:$D$2220,$B65,'ноябрь 2024'!$J$5:$J$2220,N$1)</f>
        <v>0</v>
      </c>
      <c r="O65" s="80">
        <f>SUMIFS('ноябрь 2024'!$G$5:$G$2220,'ноябрь 2024'!$D$5:$D$2220,$B65,'ноябрь 2024'!$J$5:$J$2220,O$1)</f>
        <v>0</v>
      </c>
      <c r="P65" s="80">
        <f>SUMIFS('ноябрь 2024'!$G$5:$G$2220,'ноябрь 2024'!$D$5:$D$2220,$B65,'ноябрь 2024'!$J$5:$J$2220,P$1)</f>
        <v>0</v>
      </c>
      <c r="Q65" s="80">
        <f>SUMIFS('ноябрь 2024'!$G$5:$G$2220,'ноябрь 2024'!$D$5:$D$2220,$B65,'ноябрь 2024'!$J$5:$J$2220,Q$1)</f>
        <v>0</v>
      </c>
      <c r="R65" s="80">
        <f>SUMIFS('ноябрь 2024'!$G$5:$G$2220,'ноябрь 2024'!$D$5:$D$2220,$B65,'ноябрь 2024'!$J$5:$J$2220,R$1)</f>
        <v>0</v>
      </c>
      <c r="S65" s="80">
        <f>SUMIFS('ноябрь 2024'!$G$5:$G$2220,'ноябрь 2024'!$D$5:$D$2220,$B65,'ноябрь 2024'!$J$5:$J$2220,S$1)</f>
        <v>0</v>
      </c>
      <c r="T65" s="80">
        <f>SUMIFS('ноябрь 2024'!$G$5:$G$2220,'ноябрь 2024'!$D$5:$D$2220,$B65,'ноябрь 2024'!$J$5:$J$2220,T$1)</f>
        <v>0</v>
      </c>
      <c r="U65" s="80">
        <f>SUMIFS('ноябрь 2024'!$G$5:$G$2220,'ноябрь 2024'!$D$5:$D$2220,$B65,'ноябрь 2024'!$J$5:$J$2220,U$1)</f>
        <v>0</v>
      </c>
      <c r="V65" s="80">
        <f>SUMIFS('ноябрь 2024'!$G$5:$G$2220,'ноябрь 2024'!$D$5:$D$2220,$B65,'ноябрь 2024'!$J$5:$J$2220,V$1)</f>
        <v>0</v>
      </c>
      <c r="W65" s="80">
        <f>SUMIFS('ноябрь 2024'!$G$5:$G$2220,'ноябрь 2024'!$D$5:$D$2220,$B65,'ноябрь 2024'!$J$5:$J$2220,W$1)</f>
        <v>0</v>
      </c>
      <c r="X65" s="80">
        <f>SUMIFS('ноябрь 2024'!$G$5:$G$2220,'ноябрь 2024'!$D$5:$D$2220,$B65,'ноябрь 2024'!$J$5:$J$2220,X$1)</f>
        <v>0</v>
      </c>
      <c r="Y65" s="80">
        <f>SUMIFS('ноябрь 2024'!$G$5:$G$2220,'ноябрь 2024'!$D$5:$D$2220,$B65,'ноябрь 2024'!$J$5:$J$2220,Y$1)</f>
        <v>0</v>
      </c>
      <c r="Z65" s="80">
        <f>SUMIFS('ноябрь 2024'!$G$5:$G$2220,'ноябрь 2024'!$D$5:$D$2220,$B65,'ноябрь 2024'!$J$5:$J$2220,Z$1)</f>
        <v>0</v>
      </c>
      <c r="AA65" s="80">
        <f>SUMIFS('ноябрь 2024'!$G$5:$G$2220,'ноябрь 2024'!$D$5:$D$2220,$B65,'ноябрь 2024'!$J$5:$J$2220,AA$1)</f>
        <v>0</v>
      </c>
      <c r="AB65" s="80">
        <f>SUMIFS('ноябрь 2024'!$G$5:$G$2220,'ноябрь 2024'!$D$5:$D$2220,$B65,'ноябрь 2024'!$J$5:$J$2220,AB$1)</f>
        <v>0</v>
      </c>
      <c r="AC65" s="80">
        <f>SUMIFS('ноябрь 2024'!$G$5:$G$2220,'ноябрь 2024'!$D$5:$D$2220,$B65,'ноябрь 2024'!$J$5:$J$2220,AC$1)</f>
        <v>0</v>
      </c>
      <c r="AD65" s="80">
        <f>SUMIFS('ноябрь 2024'!$G$5:$G$2220,'ноябрь 2024'!$D$5:$D$2220,$B65,'ноябрь 2024'!$J$5:$J$2220,AD$1)</f>
        <v>0</v>
      </c>
      <c r="AE65" s="80">
        <f>SUMIFS('ноябрь 2024'!$G$5:$G$2220,'ноябрь 2024'!$D$5:$D$2220,$B65,'ноябрь 2024'!$J$5:$J$2220,AE$1)</f>
        <v>0</v>
      </c>
      <c r="AF65" s="80">
        <f>SUMIFS('ноябрь 2024'!$G$5:$G$2220,'ноябрь 2024'!$D$5:$D$2220,$B65,'ноябрь 2024'!$J$5:$J$2220,AF$1)</f>
        <v>0</v>
      </c>
      <c r="AG65" s="80">
        <f>SUMIFS('ноябрь 2024'!$G$5:$G$2220,'ноябрь 2024'!$D$5:$D$2220,$B65,'ноябрь 2024'!$J$5:$J$2220,AG$1)</f>
        <v>0</v>
      </c>
      <c r="AH65" s="80">
        <f>SUMIFS('ноябрь 2024'!$G$5:$G$2220,'ноябрь 2024'!$D$5:$D$2220,$B65,'ноябрь 2024'!$J$5:$J$2220,AH$1)</f>
        <v>0</v>
      </c>
      <c r="AI65" s="21">
        <f t="shared" si="1"/>
        <v>0</v>
      </c>
    </row>
    <row r="66" spans="2:35" ht="15.75" x14ac:dyDescent="0.25">
      <c r="B66" s="89" t="s">
        <v>159</v>
      </c>
      <c r="C66" s="88">
        <v>200</v>
      </c>
      <c r="D66" s="80">
        <f>SUMIFS('ноябрь 2024'!$G$5:$G$2220,'ноябрь 2024'!$D$5:$D$2220,$B66,'ноябрь 2024'!$J$5:$J$2220,D$1)</f>
        <v>0</v>
      </c>
      <c r="E66" s="80">
        <f>SUMIFS('ноябрь 2024'!$G$5:$G$2220,'ноябрь 2024'!$D$5:$D$2220,$B66,'ноябрь 2024'!$J$5:$J$2220,E$1)</f>
        <v>0</v>
      </c>
      <c r="F66" s="80">
        <f>SUMIFS('ноябрь 2024'!$G$5:$G$2220,'ноябрь 2024'!$D$5:$D$2220,$B66,'ноябрь 2024'!$J$5:$J$2220,F$1)</f>
        <v>0</v>
      </c>
      <c r="G66" s="80">
        <f>SUMIFS('ноябрь 2024'!$G$5:$G$2220,'ноябрь 2024'!$D$5:$D$2220,$B66,'ноябрь 2024'!$J$5:$J$2220,G$1)</f>
        <v>0</v>
      </c>
      <c r="H66" s="80">
        <f>SUMIFS('ноябрь 2024'!$G$5:$G$2220,'ноябрь 2024'!$D$5:$D$2220,$B66,'ноябрь 2024'!$J$5:$J$2220,H$1)</f>
        <v>0</v>
      </c>
      <c r="I66" s="80">
        <f>SUMIFS('ноябрь 2024'!$G$5:$G$2220,'ноябрь 2024'!$D$5:$D$2220,$B66,'ноябрь 2024'!$J$5:$J$2220,I$1)</f>
        <v>0</v>
      </c>
      <c r="J66" s="80">
        <f>SUMIFS('ноябрь 2024'!$G$5:$G$2220,'ноябрь 2024'!$D$5:$D$2220,$B66,'ноябрь 2024'!$J$5:$J$2220,J$1)</f>
        <v>0</v>
      </c>
      <c r="K66" s="80">
        <f>SUMIFS('ноябрь 2024'!$G$5:$G$2220,'ноябрь 2024'!$D$5:$D$2220,$B66,'ноябрь 2024'!$J$5:$J$2220,K$1)</f>
        <v>0</v>
      </c>
      <c r="L66" s="80">
        <f>SUMIFS('ноябрь 2024'!$G$5:$G$2220,'ноябрь 2024'!$D$5:$D$2220,$B66,'ноябрь 2024'!$J$5:$J$2220,L$1)</f>
        <v>0</v>
      </c>
      <c r="M66" s="80">
        <f>SUMIFS('ноябрь 2024'!$G$5:$G$2220,'ноябрь 2024'!$D$5:$D$2220,$B66,'ноябрь 2024'!$J$5:$J$2220,M$1)</f>
        <v>0</v>
      </c>
      <c r="N66" s="80">
        <f>SUMIFS('ноябрь 2024'!$G$5:$G$2220,'ноябрь 2024'!$D$5:$D$2220,$B66,'ноябрь 2024'!$J$5:$J$2220,N$1)</f>
        <v>0</v>
      </c>
      <c r="O66" s="80">
        <f>SUMIFS('ноябрь 2024'!$G$5:$G$2220,'ноябрь 2024'!$D$5:$D$2220,$B66,'ноябрь 2024'!$J$5:$J$2220,O$1)</f>
        <v>0</v>
      </c>
      <c r="P66" s="80">
        <f>SUMIFS('ноябрь 2024'!$G$5:$G$2220,'ноябрь 2024'!$D$5:$D$2220,$B66,'ноябрь 2024'!$J$5:$J$2220,P$1)</f>
        <v>0</v>
      </c>
      <c r="Q66" s="80">
        <f>SUMIFS('ноябрь 2024'!$G$5:$G$2220,'ноябрь 2024'!$D$5:$D$2220,$B66,'ноябрь 2024'!$J$5:$J$2220,Q$1)</f>
        <v>0</v>
      </c>
      <c r="R66" s="80">
        <f>SUMIFS('ноябрь 2024'!$G$5:$G$2220,'ноябрь 2024'!$D$5:$D$2220,$B66,'ноябрь 2024'!$J$5:$J$2220,R$1)</f>
        <v>0</v>
      </c>
      <c r="S66" s="80">
        <f>SUMIFS('ноябрь 2024'!$G$5:$G$2220,'ноябрь 2024'!$D$5:$D$2220,$B66,'ноябрь 2024'!$J$5:$J$2220,S$1)</f>
        <v>0</v>
      </c>
      <c r="T66" s="80">
        <f>SUMIFS('ноябрь 2024'!$G$5:$G$2220,'ноябрь 2024'!$D$5:$D$2220,$B66,'ноябрь 2024'!$J$5:$J$2220,T$1)</f>
        <v>0</v>
      </c>
      <c r="U66" s="80">
        <f>SUMIFS('ноябрь 2024'!$G$5:$G$2220,'ноябрь 2024'!$D$5:$D$2220,$B66,'ноябрь 2024'!$J$5:$J$2220,U$1)</f>
        <v>0</v>
      </c>
      <c r="V66" s="80">
        <f>SUMIFS('ноябрь 2024'!$G$5:$G$2220,'ноябрь 2024'!$D$5:$D$2220,$B66,'ноябрь 2024'!$J$5:$J$2220,V$1)</f>
        <v>0</v>
      </c>
      <c r="W66" s="80">
        <f>SUMIFS('ноябрь 2024'!$G$5:$G$2220,'ноябрь 2024'!$D$5:$D$2220,$B66,'ноябрь 2024'!$J$5:$J$2220,W$1)</f>
        <v>0</v>
      </c>
      <c r="X66" s="80">
        <f>SUMIFS('ноябрь 2024'!$G$5:$G$2220,'ноябрь 2024'!$D$5:$D$2220,$B66,'ноябрь 2024'!$J$5:$J$2220,X$1)</f>
        <v>0</v>
      </c>
      <c r="Y66" s="80">
        <f>SUMIFS('ноябрь 2024'!$G$5:$G$2220,'ноябрь 2024'!$D$5:$D$2220,$B66,'ноябрь 2024'!$J$5:$J$2220,Y$1)</f>
        <v>0</v>
      </c>
      <c r="Z66" s="80">
        <f>SUMIFS('ноябрь 2024'!$G$5:$G$2220,'ноябрь 2024'!$D$5:$D$2220,$B66,'ноябрь 2024'!$J$5:$J$2220,Z$1)</f>
        <v>0</v>
      </c>
      <c r="AA66" s="80">
        <f>SUMIFS('ноябрь 2024'!$G$5:$G$2220,'ноябрь 2024'!$D$5:$D$2220,$B66,'ноябрь 2024'!$J$5:$J$2220,AA$1)</f>
        <v>0</v>
      </c>
      <c r="AB66" s="80">
        <f>SUMIFS('ноябрь 2024'!$G$5:$G$2220,'ноябрь 2024'!$D$5:$D$2220,$B66,'ноябрь 2024'!$J$5:$J$2220,AB$1)</f>
        <v>0</v>
      </c>
      <c r="AC66" s="80">
        <f>SUMIFS('ноябрь 2024'!$G$5:$G$2220,'ноябрь 2024'!$D$5:$D$2220,$B66,'ноябрь 2024'!$J$5:$J$2220,AC$1)</f>
        <v>0</v>
      </c>
      <c r="AD66" s="80">
        <f>SUMIFS('ноябрь 2024'!$G$5:$G$2220,'ноябрь 2024'!$D$5:$D$2220,$B66,'ноябрь 2024'!$J$5:$J$2220,AD$1)</f>
        <v>0</v>
      </c>
      <c r="AE66" s="80">
        <f>SUMIFS('ноябрь 2024'!$G$5:$G$2220,'ноябрь 2024'!$D$5:$D$2220,$B66,'ноябрь 2024'!$J$5:$J$2220,AE$1)</f>
        <v>0</v>
      </c>
      <c r="AF66" s="80">
        <f>SUMIFS('ноябрь 2024'!$G$5:$G$2220,'ноябрь 2024'!$D$5:$D$2220,$B66,'ноябрь 2024'!$J$5:$J$2220,AF$1)</f>
        <v>0</v>
      </c>
      <c r="AG66" s="80">
        <f>SUMIFS('ноябрь 2024'!$G$5:$G$2220,'ноябрь 2024'!$D$5:$D$2220,$B66,'ноябрь 2024'!$J$5:$J$2220,AG$1)</f>
        <v>0</v>
      </c>
      <c r="AH66" s="80">
        <f>SUMIFS('ноябрь 2024'!$G$5:$G$2220,'ноябрь 2024'!$D$5:$D$2220,$B66,'ноябрь 2024'!$J$5:$J$2220,AH$1)</f>
        <v>0</v>
      </c>
      <c r="AI66" s="21">
        <f t="shared" si="1"/>
        <v>0</v>
      </c>
    </row>
    <row r="67" spans="2:35" ht="15.75" x14ac:dyDescent="0.25">
      <c r="B67" s="93" t="s">
        <v>158</v>
      </c>
      <c r="C67" s="91">
        <v>200</v>
      </c>
      <c r="D67" s="80">
        <f>SUMIFS('ноябрь 2024'!$G$5:$G$2220,'ноябрь 2024'!$D$5:$D$2220,$B67,'ноябрь 2024'!$J$5:$J$2220,D$1)</f>
        <v>0</v>
      </c>
      <c r="E67" s="80">
        <f>SUMIFS('ноябрь 2024'!$G$5:$G$2220,'ноябрь 2024'!$D$5:$D$2220,$B67,'ноябрь 2024'!$J$5:$J$2220,E$1)</f>
        <v>0</v>
      </c>
      <c r="F67" s="80">
        <f>SUMIFS('ноябрь 2024'!$G$5:$G$2220,'ноябрь 2024'!$D$5:$D$2220,$B67,'ноябрь 2024'!$J$5:$J$2220,F$1)</f>
        <v>0</v>
      </c>
      <c r="G67" s="80">
        <f>SUMIFS('ноябрь 2024'!$G$5:$G$2220,'ноябрь 2024'!$D$5:$D$2220,$B67,'ноябрь 2024'!$J$5:$J$2220,G$1)</f>
        <v>0</v>
      </c>
      <c r="H67" s="80">
        <f>SUMIFS('ноябрь 2024'!$G$5:$G$2220,'ноябрь 2024'!$D$5:$D$2220,$B67,'ноябрь 2024'!$J$5:$J$2220,H$1)</f>
        <v>0</v>
      </c>
      <c r="I67" s="80">
        <f>SUMIFS('ноябрь 2024'!$G$5:$G$2220,'ноябрь 2024'!$D$5:$D$2220,$B67,'ноябрь 2024'!$J$5:$J$2220,I$1)</f>
        <v>0</v>
      </c>
      <c r="J67" s="80">
        <f>SUMIFS('ноябрь 2024'!$G$5:$G$2220,'ноябрь 2024'!$D$5:$D$2220,$B67,'ноябрь 2024'!$J$5:$J$2220,J$1)</f>
        <v>0</v>
      </c>
      <c r="K67" s="80">
        <f>SUMIFS('ноябрь 2024'!$G$5:$G$2220,'ноябрь 2024'!$D$5:$D$2220,$B67,'ноябрь 2024'!$J$5:$J$2220,K$1)</f>
        <v>0</v>
      </c>
      <c r="L67" s="80">
        <f>SUMIFS('ноябрь 2024'!$G$5:$G$2220,'ноябрь 2024'!$D$5:$D$2220,$B67,'ноябрь 2024'!$J$5:$J$2220,L$1)</f>
        <v>0</v>
      </c>
      <c r="M67" s="80">
        <f>SUMIFS('ноябрь 2024'!$G$5:$G$2220,'ноябрь 2024'!$D$5:$D$2220,$B67,'ноябрь 2024'!$J$5:$J$2220,M$1)</f>
        <v>0</v>
      </c>
      <c r="N67" s="80">
        <f>SUMIFS('ноябрь 2024'!$G$5:$G$2220,'ноябрь 2024'!$D$5:$D$2220,$B67,'ноябрь 2024'!$J$5:$J$2220,N$1)</f>
        <v>0</v>
      </c>
      <c r="O67" s="80">
        <f>SUMIFS('ноябрь 2024'!$G$5:$G$2220,'ноябрь 2024'!$D$5:$D$2220,$B67,'ноябрь 2024'!$J$5:$J$2220,O$1)</f>
        <v>0</v>
      </c>
      <c r="P67" s="80">
        <f>SUMIFS('ноябрь 2024'!$G$5:$G$2220,'ноябрь 2024'!$D$5:$D$2220,$B67,'ноябрь 2024'!$J$5:$J$2220,P$1)</f>
        <v>0</v>
      </c>
      <c r="Q67" s="80">
        <f>SUMIFS('ноябрь 2024'!$G$5:$G$2220,'ноябрь 2024'!$D$5:$D$2220,$B67,'ноябрь 2024'!$J$5:$J$2220,Q$1)</f>
        <v>0</v>
      </c>
      <c r="R67" s="80">
        <f>SUMIFS('ноябрь 2024'!$G$5:$G$2220,'ноябрь 2024'!$D$5:$D$2220,$B67,'ноябрь 2024'!$J$5:$J$2220,R$1)</f>
        <v>0</v>
      </c>
      <c r="S67" s="80">
        <f>SUMIFS('ноябрь 2024'!$G$5:$G$2220,'ноябрь 2024'!$D$5:$D$2220,$B67,'ноябрь 2024'!$J$5:$J$2220,S$1)</f>
        <v>0</v>
      </c>
      <c r="T67" s="80">
        <f>SUMIFS('ноябрь 2024'!$G$5:$G$2220,'ноябрь 2024'!$D$5:$D$2220,$B67,'ноябрь 2024'!$J$5:$J$2220,T$1)</f>
        <v>0</v>
      </c>
      <c r="U67" s="80">
        <f>SUMIFS('ноябрь 2024'!$G$5:$G$2220,'ноябрь 2024'!$D$5:$D$2220,$B67,'ноябрь 2024'!$J$5:$J$2220,U$1)</f>
        <v>0</v>
      </c>
      <c r="V67" s="80">
        <f>SUMIFS('ноябрь 2024'!$G$5:$G$2220,'ноябрь 2024'!$D$5:$D$2220,$B67,'ноябрь 2024'!$J$5:$J$2220,V$1)</f>
        <v>0</v>
      </c>
      <c r="W67" s="80">
        <f>SUMIFS('ноябрь 2024'!$G$5:$G$2220,'ноябрь 2024'!$D$5:$D$2220,$B67,'ноябрь 2024'!$J$5:$J$2220,W$1)</f>
        <v>88</v>
      </c>
      <c r="X67" s="80">
        <f>SUMIFS('ноябрь 2024'!$G$5:$G$2220,'ноябрь 2024'!$D$5:$D$2220,$B67,'ноябрь 2024'!$J$5:$J$2220,X$1)</f>
        <v>0</v>
      </c>
      <c r="Y67" s="80">
        <f>SUMIFS('ноябрь 2024'!$G$5:$G$2220,'ноябрь 2024'!$D$5:$D$2220,$B67,'ноябрь 2024'!$J$5:$J$2220,Y$1)</f>
        <v>88</v>
      </c>
      <c r="Z67" s="80">
        <f>SUMIFS('ноябрь 2024'!$G$5:$G$2220,'ноябрь 2024'!$D$5:$D$2220,$B67,'ноябрь 2024'!$J$5:$J$2220,Z$1)</f>
        <v>0</v>
      </c>
      <c r="AA67" s="80">
        <f>SUMIFS('ноябрь 2024'!$G$5:$G$2220,'ноябрь 2024'!$D$5:$D$2220,$B67,'ноябрь 2024'!$J$5:$J$2220,AA$1)</f>
        <v>0</v>
      </c>
      <c r="AB67" s="80">
        <f>SUMIFS('ноябрь 2024'!$G$5:$G$2220,'ноябрь 2024'!$D$5:$D$2220,$B67,'ноябрь 2024'!$J$5:$J$2220,AB$1)</f>
        <v>0</v>
      </c>
      <c r="AC67" s="80">
        <f>SUMIFS('ноябрь 2024'!$G$5:$G$2220,'ноябрь 2024'!$D$5:$D$2220,$B67,'ноябрь 2024'!$J$5:$J$2220,AC$1)</f>
        <v>0</v>
      </c>
      <c r="AD67" s="80">
        <f>SUMIFS('ноябрь 2024'!$G$5:$G$2220,'ноябрь 2024'!$D$5:$D$2220,$B67,'ноябрь 2024'!$J$5:$J$2220,AD$1)</f>
        <v>88</v>
      </c>
      <c r="AE67" s="80">
        <f>SUMIFS('ноябрь 2024'!$G$5:$G$2220,'ноябрь 2024'!$D$5:$D$2220,$B67,'ноябрь 2024'!$J$5:$J$2220,AE$1)</f>
        <v>0</v>
      </c>
      <c r="AF67" s="80">
        <f>SUMIFS('ноябрь 2024'!$G$5:$G$2220,'ноябрь 2024'!$D$5:$D$2220,$B67,'ноябрь 2024'!$J$5:$J$2220,AF$1)</f>
        <v>0</v>
      </c>
      <c r="AG67" s="80">
        <f>SUMIFS('ноябрь 2024'!$G$5:$G$2220,'ноябрь 2024'!$D$5:$D$2220,$B67,'ноябрь 2024'!$J$5:$J$2220,AG$1)</f>
        <v>0</v>
      </c>
      <c r="AH67" s="80">
        <f>SUMIFS('ноябрь 2024'!$G$5:$G$2220,'ноябрь 2024'!$D$5:$D$2220,$B67,'ноябрь 2024'!$J$5:$J$2220,AH$1)</f>
        <v>0</v>
      </c>
      <c r="AI67" s="21">
        <f t="shared" si="1"/>
        <v>264</v>
      </c>
    </row>
    <row r="68" spans="2:35" ht="15.75" x14ac:dyDescent="0.25">
      <c r="B68" s="93" t="s">
        <v>897</v>
      </c>
      <c r="C68" s="91">
        <v>200</v>
      </c>
      <c r="D68" s="80">
        <f>SUMIFS('ноябрь 2024'!$G$5:$G$2220,'ноябрь 2024'!$D$5:$D$2220,$B68,'ноябрь 2024'!$J$5:$J$2220,D$1)</f>
        <v>0</v>
      </c>
      <c r="E68" s="80">
        <f>SUMIFS('ноябрь 2024'!$G$5:$G$2220,'ноябрь 2024'!$D$5:$D$2220,$B68,'ноябрь 2024'!$J$5:$J$2220,E$1)</f>
        <v>0</v>
      </c>
      <c r="F68" s="80">
        <f>SUMIFS('ноябрь 2024'!$G$5:$G$2220,'ноябрь 2024'!$D$5:$D$2220,$B68,'ноябрь 2024'!$J$5:$J$2220,F$1)</f>
        <v>0</v>
      </c>
      <c r="G68" s="80">
        <f>SUMIFS('ноябрь 2024'!$G$5:$G$2220,'ноябрь 2024'!$D$5:$D$2220,$B68,'ноябрь 2024'!$J$5:$J$2220,G$1)</f>
        <v>0</v>
      </c>
      <c r="H68" s="80">
        <f>SUMIFS('ноябрь 2024'!$G$5:$G$2220,'ноябрь 2024'!$D$5:$D$2220,$B68,'ноябрь 2024'!$J$5:$J$2220,H$1)</f>
        <v>0</v>
      </c>
      <c r="I68" s="80">
        <f>SUMIFS('ноябрь 2024'!$G$5:$G$2220,'ноябрь 2024'!$D$5:$D$2220,$B68,'ноябрь 2024'!$J$5:$J$2220,I$1)</f>
        <v>0</v>
      </c>
      <c r="J68" s="80">
        <f>SUMIFS('ноябрь 2024'!$G$5:$G$2220,'ноябрь 2024'!$D$5:$D$2220,$B68,'ноябрь 2024'!$J$5:$J$2220,J$1)</f>
        <v>0</v>
      </c>
      <c r="K68" s="80">
        <f>SUMIFS('ноябрь 2024'!$G$5:$G$2220,'ноябрь 2024'!$D$5:$D$2220,$B68,'ноябрь 2024'!$J$5:$J$2220,K$1)</f>
        <v>0</v>
      </c>
      <c r="L68" s="80">
        <f>SUMIFS('ноябрь 2024'!$G$5:$G$2220,'ноябрь 2024'!$D$5:$D$2220,$B68,'ноябрь 2024'!$J$5:$J$2220,L$1)</f>
        <v>0</v>
      </c>
      <c r="M68" s="80">
        <f>SUMIFS('ноябрь 2024'!$G$5:$G$2220,'ноябрь 2024'!$D$5:$D$2220,$B68,'ноябрь 2024'!$J$5:$J$2220,M$1)</f>
        <v>0</v>
      </c>
      <c r="N68" s="80">
        <f>SUMIFS('ноябрь 2024'!$G$5:$G$2220,'ноябрь 2024'!$D$5:$D$2220,$B68,'ноябрь 2024'!$J$5:$J$2220,N$1)</f>
        <v>0</v>
      </c>
      <c r="O68" s="80">
        <f>SUMIFS('ноябрь 2024'!$G$5:$G$2220,'ноябрь 2024'!$D$5:$D$2220,$B68,'ноябрь 2024'!$J$5:$J$2220,O$1)</f>
        <v>0</v>
      </c>
      <c r="P68" s="80">
        <f>SUMIFS('ноябрь 2024'!$G$5:$G$2220,'ноябрь 2024'!$D$5:$D$2220,$B68,'ноябрь 2024'!$J$5:$J$2220,P$1)</f>
        <v>0</v>
      </c>
      <c r="Q68" s="80">
        <f>SUMIFS('ноябрь 2024'!$G$5:$G$2220,'ноябрь 2024'!$D$5:$D$2220,$B68,'ноябрь 2024'!$J$5:$J$2220,Q$1)</f>
        <v>0</v>
      </c>
      <c r="R68" s="80">
        <f>SUMIFS('ноябрь 2024'!$G$5:$G$2220,'ноябрь 2024'!$D$5:$D$2220,$B68,'ноябрь 2024'!$J$5:$J$2220,R$1)</f>
        <v>0</v>
      </c>
      <c r="S68" s="80">
        <f>SUMIFS('ноябрь 2024'!$G$5:$G$2220,'ноябрь 2024'!$D$5:$D$2220,$B68,'ноябрь 2024'!$J$5:$J$2220,S$1)</f>
        <v>0</v>
      </c>
      <c r="T68" s="80">
        <f>SUMIFS('ноябрь 2024'!$G$5:$G$2220,'ноябрь 2024'!$D$5:$D$2220,$B68,'ноябрь 2024'!$J$5:$J$2220,T$1)</f>
        <v>0</v>
      </c>
      <c r="U68" s="80">
        <f>SUMIFS('ноябрь 2024'!$G$5:$G$2220,'ноябрь 2024'!$D$5:$D$2220,$B68,'ноябрь 2024'!$J$5:$J$2220,U$1)</f>
        <v>0</v>
      </c>
      <c r="V68" s="80">
        <f>SUMIFS('ноябрь 2024'!$G$5:$G$2220,'ноябрь 2024'!$D$5:$D$2220,$B68,'ноябрь 2024'!$J$5:$J$2220,V$1)</f>
        <v>0</v>
      </c>
      <c r="W68" s="80">
        <f>SUMIFS('ноябрь 2024'!$G$5:$G$2220,'ноябрь 2024'!$D$5:$D$2220,$B68,'ноябрь 2024'!$J$5:$J$2220,W$1)</f>
        <v>0</v>
      </c>
      <c r="X68" s="80">
        <f>SUMIFS('ноябрь 2024'!$G$5:$G$2220,'ноябрь 2024'!$D$5:$D$2220,$B68,'ноябрь 2024'!$J$5:$J$2220,X$1)</f>
        <v>0</v>
      </c>
      <c r="Y68" s="80">
        <f>SUMIFS('ноябрь 2024'!$G$5:$G$2220,'ноябрь 2024'!$D$5:$D$2220,$B68,'ноябрь 2024'!$J$5:$J$2220,Y$1)</f>
        <v>0</v>
      </c>
      <c r="Z68" s="80">
        <f>SUMIFS('ноябрь 2024'!$G$5:$G$2220,'ноябрь 2024'!$D$5:$D$2220,$B68,'ноябрь 2024'!$J$5:$J$2220,Z$1)</f>
        <v>0</v>
      </c>
      <c r="AA68" s="80">
        <f>SUMIFS('ноябрь 2024'!$G$5:$G$2220,'ноябрь 2024'!$D$5:$D$2220,$B68,'ноябрь 2024'!$J$5:$J$2220,AA$1)</f>
        <v>0</v>
      </c>
      <c r="AB68" s="80">
        <f>SUMIFS('ноябрь 2024'!$G$5:$G$2220,'ноябрь 2024'!$D$5:$D$2220,$B68,'ноябрь 2024'!$J$5:$J$2220,AB$1)</f>
        <v>0</v>
      </c>
      <c r="AC68" s="80">
        <f>SUMIFS('ноябрь 2024'!$G$5:$G$2220,'ноябрь 2024'!$D$5:$D$2220,$B68,'ноябрь 2024'!$J$5:$J$2220,AC$1)</f>
        <v>0</v>
      </c>
      <c r="AD68" s="80">
        <f>SUMIFS('ноябрь 2024'!$G$5:$G$2220,'ноябрь 2024'!$D$5:$D$2220,$B68,'ноябрь 2024'!$J$5:$J$2220,AD$1)</f>
        <v>0</v>
      </c>
      <c r="AE68" s="80">
        <f>SUMIFS('ноябрь 2024'!$G$5:$G$2220,'ноябрь 2024'!$D$5:$D$2220,$B68,'ноябрь 2024'!$J$5:$J$2220,AE$1)</f>
        <v>0</v>
      </c>
      <c r="AF68" s="80">
        <f>SUMIFS('ноябрь 2024'!$G$5:$G$2220,'ноябрь 2024'!$D$5:$D$2220,$B68,'ноябрь 2024'!$J$5:$J$2220,AF$1)</f>
        <v>0</v>
      </c>
      <c r="AG68" s="80">
        <f>SUMIFS('ноябрь 2024'!$G$5:$G$2220,'ноябрь 2024'!$D$5:$D$2220,$B68,'ноябрь 2024'!$J$5:$J$2220,AG$1)</f>
        <v>0</v>
      </c>
      <c r="AH68" s="80">
        <f>SUMIFS('ноябрь 2024'!$G$5:$G$2220,'ноябрь 2024'!$D$5:$D$2220,$B68,'ноябрь 2024'!$J$5:$J$2220,AH$1)</f>
        <v>0</v>
      </c>
      <c r="AI68" s="21">
        <f t="shared" si="1"/>
        <v>0</v>
      </c>
    </row>
    <row r="69" spans="2:35" ht="15" customHeight="1" x14ac:dyDescent="0.25">
      <c r="B69" s="93" t="s">
        <v>213</v>
      </c>
      <c r="C69" s="91">
        <v>200</v>
      </c>
      <c r="D69" s="80">
        <f>SUMIFS('ноябрь 2024'!$G$5:$G$2220,'ноябрь 2024'!$D$5:$D$2220,$B69,'ноябрь 2024'!$J$5:$J$2220,D$1)</f>
        <v>0</v>
      </c>
      <c r="E69" s="80">
        <f>SUMIFS('ноябрь 2024'!$G$5:$G$2220,'ноябрь 2024'!$D$5:$D$2220,$B69,'ноябрь 2024'!$J$5:$J$2220,E$1)</f>
        <v>0</v>
      </c>
      <c r="F69" s="80">
        <f>SUMIFS('ноябрь 2024'!$G$5:$G$2220,'ноябрь 2024'!$D$5:$D$2220,$B69,'ноябрь 2024'!$J$5:$J$2220,F$1)</f>
        <v>0</v>
      </c>
      <c r="G69" s="80">
        <f>SUMIFS('ноябрь 2024'!$G$5:$G$2220,'ноябрь 2024'!$D$5:$D$2220,$B69,'ноябрь 2024'!$J$5:$J$2220,G$1)</f>
        <v>0</v>
      </c>
      <c r="H69" s="80">
        <f>SUMIFS('ноябрь 2024'!$G$5:$G$2220,'ноябрь 2024'!$D$5:$D$2220,$B69,'ноябрь 2024'!$J$5:$J$2220,H$1)</f>
        <v>0</v>
      </c>
      <c r="I69" s="80">
        <f>SUMIFS('ноябрь 2024'!$G$5:$G$2220,'ноябрь 2024'!$D$5:$D$2220,$B69,'ноябрь 2024'!$J$5:$J$2220,I$1)</f>
        <v>0</v>
      </c>
      <c r="J69" s="80">
        <f>SUMIFS('ноябрь 2024'!$G$5:$G$2220,'ноябрь 2024'!$D$5:$D$2220,$B69,'ноябрь 2024'!$J$5:$J$2220,J$1)</f>
        <v>0</v>
      </c>
      <c r="K69" s="80">
        <f>SUMIFS('ноябрь 2024'!$G$5:$G$2220,'ноябрь 2024'!$D$5:$D$2220,$B69,'ноябрь 2024'!$J$5:$J$2220,K$1)</f>
        <v>0</v>
      </c>
      <c r="L69" s="80">
        <f>SUMIFS('ноябрь 2024'!$G$5:$G$2220,'ноябрь 2024'!$D$5:$D$2220,$B69,'ноябрь 2024'!$J$5:$J$2220,L$1)</f>
        <v>0</v>
      </c>
      <c r="M69" s="80">
        <f>SUMIFS('ноябрь 2024'!$G$5:$G$2220,'ноябрь 2024'!$D$5:$D$2220,$B69,'ноябрь 2024'!$J$5:$J$2220,M$1)</f>
        <v>0</v>
      </c>
      <c r="N69" s="80">
        <f>SUMIFS('ноябрь 2024'!$G$5:$G$2220,'ноябрь 2024'!$D$5:$D$2220,$B69,'ноябрь 2024'!$J$5:$J$2220,N$1)</f>
        <v>0</v>
      </c>
      <c r="O69" s="80">
        <f>SUMIFS('ноябрь 2024'!$G$5:$G$2220,'ноябрь 2024'!$D$5:$D$2220,$B69,'ноябрь 2024'!$J$5:$J$2220,O$1)</f>
        <v>0</v>
      </c>
      <c r="P69" s="80">
        <f>SUMIFS('ноябрь 2024'!$G$5:$G$2220,'ноябрь 2024'!$D$5:$D$2220,$B69,'ноябрь 2024'!$J$5:$J$2220,P$1)</f>
        <v>0</v>
      </c>
      <c r="Q69" s="80">
        <f>SUMIFS('ноябрь 2024'!$G$5:$G$2220,'ноябрь 2024'!$D$5:$D$2220,$B69,'ноябрь 2024'!$J$5:$J$2220,Q$1)</f>
        <v>0</v>
      </c>
      <c r="R69" s="80">
        <f>SUMIFS('ноябрь 2024'!$G$5:$G$2220,'ноябрь 2024'!$D$5:$D$2220,$B69,'ноябрь 2024'!$J$5:$J$2220,R$1)</f>
        <v>0</v>
      </c>
      <c r="S69" s="80">
        <f>SUMIFS('ноябрь 2024'!$G$5:$G$2220,'ноябрь 2024'!$D$5:$D$2220,$B69,'ноябрь 2024'!$J$5:$J$2220,S$1)</f>
        <v>0</v>
      </c>
      <c r="T69" s="80">
        <f>SUMIFS('ноябрь 2024'!$G$5:$G$2220,'ноябрь 2024'!$D$5:$D$2220,$B69,'ноябрь 2024'!$J$5:$J$2220,T$1)</f>
        <v>0</v>
      </c>
      <c r="U69" s="80">
        <f>SUMIFS('ноябрь 2024'!$G$5:$G$2220,'ноябрь 2024'!$D$5:$D$2220,$B69,'ноябрь 2024'!$J$5:$J$2220,U$1)</f>
        <v>0</v>
      </c>
      <c r="V69" s="80">
        <f>SUMIFS('ноябрь 2024'!$G$5:$G$2220,'ноябрь 2024'!$D$5:$D$2220,$B69,'ноябрь 2024'!$J$5:$J$2220,V$1)</f>
        <v>0</v>
      </c>
      <c r="W69" s="80">
        <f>SUMIFS('ноябрь 2024'!$G$5:$G$2220,'ноябрь 2024'!$D$5:$D$2220,$B69,'ноябрь 2024'!$J$5:$J$2220,W$1)</f>
        <v>0</v>
      </c>
      <c r="X69" s="80">
        <f>SUMIFS('ноябрь 2024'!$G$5:$G$2220,'ноябрь 2024'!$D$5:$D$2220,$B69,'ноябрь 2024'!$J$5:$J$2220,X$1)</f>
        <v>0</v>
      </c>
      <c r="Y69" s="80">
        <f>SUMIFS('ноябрь 2024'!$G$5:$G$2220,'ноябрь 2024'!$D$5:$D$2220,$B69,'ноябрь 2024'!$J$5:$J$2220,Y$1)</f>
        <v>0</v>
      </c>
      <c r="Z69" s="80">
        <f>SUMIFS('ноябрь 2024'!$G$5:$G$2220,'ноябрь 2024'!$D$5:$D$2220,$B69,'ноябрь 2024'!$J$5:$J$2220,Z$1)</f>
        <v>0</v>
      </c>
      <c r="AA69" s="80">
        <f>SUMIFS('ноябрь 2024'!$G$5:$G$2220,'ноябрь 2024'!$D$5:$D$2220,$B69,'ноябрь 2024'!$J$5:$J$2220,AA$1)</f>
        <v>0</v>
      </c>
      <c r="AB69" s="80">
        <f>SUMIFS('ноябрь 2024'!$G$5:$G$2220,'ноябрь 2024'!$D$5:$D$2220,$B69,'ноябрь 2024'!$J$5:$J$2220,AB$1)</f>
        <v>0</v>
      </c>
      <c r="AC69" s="80">
        <f>SUMIFS('ноябрь 2024'!$G$5:$G$2220,'ноябрь 2024'!$D$5:$D$2220,$B69,'ноябрь 2024'!$J$5:$J$2220,AC$1)</f>
        <v>0</v>
      </c>
      <c r="AD69" s="80">
        <f>SUMIFS('ноябрь 2024'!$G$5:$G$2220,'ноябрь 2024'!$D$5:$D$2220,$B69,'ноябрь 2024'!$J$5:$J$2220,AD$1)</f>
        <v>0</v>
      </c>
      <c r="AE69" s="80">
        <f>SUMIFS('ноябрь 2024'!$G$5:$G$2220,'ноябрь 2024'!$D$5:$D$2220,$B69,'ноябрь 2024'!$J$5:$J$2220,AE$1)</f>
        <v>0</v>
      </c>
      <c r="AF69" s="80">
        <f>SUMIFS('ноябрь 2024'!$G$5:$G$2220,'ноябрь 2024'!$D$5:$D$2220,$B69,'ноябрь 2024'!$J$5:$J$2220,AF$1)</f>
        <v>0</v>
      </c>
      <c r="AG69" s="80">
        <f>SUMIFS('ноябрь 2024'!$G$5:$G$2220,'ноябрь 2024'!$D$5:$D$2220,$B69,'ноябрь 2024'!$J$5:$J$2220,AG$1)</f>
        <v>0</v>
      </c>
      <c r="AH69" s="80">
        <f>SUMIFS('ноябрь 2024'!$G$5:$G$2220,'ноябрь 2024'!$D$5:$D$2220,$B69,'ноябрь 2024'!$J$5:$J$2220,AH$1)</f>
        <v>0</v>
      </c>
      <c r="AI69" s="21">
        <f t="shared" si="1"/>
        <v>0</v>
      </c>
    </row>
    <row r="70" spans="2:35" ht="15" customHeight="1" x14ac:dyDescent="0.25">
      <c r="B70" s="93" t="s">
        <v>197</v>
      </c>
      <c r="C70" s="91">
        <v>200</v>
      </c>
      <c r="D70" s="80">
        <f>SUMIFS('ноябрь 2024'!$G$5:$G$2220,'ноябрь 2024'!$D$5:$D$2220,$B70,'ноябрь 2024'!$J$5:$J$2220,D$1)</f>
        <v>0</v>
      </c>
      <c r="E70" s="80">
        <f>SUMIFS('ноябрь 2024'!$G$5:$G$2220,'ноябрь 2024'!$D$5:$D$2220,$B70,'ноябрь 2024'!$J$5:$J$2220,E$1)</f>
        <v>0</v>
      </c>
      <c r="F70" s="80">
        <f>SUMIFS('ноябрь 2024'!$G$5:$G$2220,'ноябрь 2024'!$D$5:$D$2220,$B70,'ноябрь 2024'!$J$5:$J$2220,F$1)</f>
        <v>0</v>
      </c>
      <c r="G70" s="80">
        <f>SUMIFS('ноябрь 2024'!$G$5:$G$2220,'ноябрь 2024'!$D$5:$D$2220,$B70,'ноябрь 2024'!$J$5:$J$2220,G$1)</f>
        <v>0</v>
      </c>
      <c r="H70" s="80">
        <f>SUMIFS('ноябрь 2024'!$G$5:$G$2220,'ноябрь 2024'!$D$5:$D$2220,$B70,'ноябрь 2024'!$J$5:$J$2220,H$1)</f>
        <v>0</v>
      </c>
      <c r="I70" s="80">
        <f>SUMIFS('ноябрь 2024'!$G$5:$G$2220,'ноябрь 2024'!$D$5:$D$2220,$B70,'ноябрь 2024'!$J$5:$J$2220,I$1)</f>
        <v>0</v>
      </c>
      <c r="J70" s="80">
        <f>SUMIFS('ноябрь 2024'!$G$5:$G$2220,'ноябрь 2024'!$D$5:$D$2220,$B70,'ноябрь 2024'!$J$5:$J$2220,J$1)</f>
        <v>0</v>
      </c>
      <c r="K70" s="80">
        <f>SUMIFS('ноябрь 2024'!$G$5:$G$2220,'ноябрь 2024'!$D$5:$D$2220,$B70,'ноябрь 2024'!$J$5:$J$2220,K$1)</f>
        <v>0</v>
      </c>
      <c r="L70" s="80">
        <f>SUMIFS('ноябрь 2024'!$G$5:$G$2220,'ноябрь 2024'!$D$5:$D$2220,$B70,'ноябрь 2024'!$J$5:$J$2220,L$1)</f>
        <v>0</v>
      </c>
      <c r="M70" s="80">
        <f>SUMIFS('ноябрь 2024'!$G$5:$G$2220,'ноябрь 2024'!$D$5:$D$2220,$B70,'ноябрь 2024'!$J$5:$J$2220,M$1)</f>
        <v>0</v>
      </c>
      <c r="N70" s="80">
        <f>SUMIFS('ноябрь 2024'!$G$5:$G$2220,'ноябрь 2024'!$D$5:$D$2220,$B70,'ноябрь 2024'!$J$5:$J$2220,N$1)</f>
        <v>0</v>
      </c>
      <c r="O70" s="80">
        <f>SUMIFS('ноябрь 2024'!$G$5:$G$2220,'ноябрь 2024'!$D$5:$D$2220,$B70,'ноябрь 2024'!$J$5:$J$2220,O$1)</f>
        <v>0</v>
      </c>
      <c r="P70" s="80">
        <f>SUMIFS('ноябрь 2024'!$G$5:$G$2220,'ноябрь 2024'!$D$5:$D$2220,$B70,'ноябрь 2024'!$J$5:$J$2220,P$1)</f>
        <v>0</v>
      </c>
      <c r="Q70" s="80">
        <f>SUMIFS('ноябрь 2024'!$G$5:$G$2220,'ноябрь 2024'!$D$5:$D$2220,$B70,'ноябрь 2024'!$J$5:$J$2220,Q$1)</f>
        <v>0</v>
      </c>
      <c r="R70" s="80">
        <f>SUMIFS('ноябрь 2024'!$G$5:$G$2220,'ноябрь 2024'!$D$5:$D$2220,$B70,'ноябрь 2024'!$J$5:$J$2220,R$1)</f>
        <v>0</v>
      </c>
      <c r="S70" s="80">
        <f>SUMIFS('ноябрь 2024'!$G$5:$G$2220,'ноябрь 2024'!$D$5:$D$2220,$B70,'ноябрь 2024'!$J$5:$J$2220,S$1)</f>
        <v>0</v>
      </c>
      <c r="T70" s="80">
        <f>SUMIFS('ноябрь 2024'!$G$5:$G$2220,'ноябрь 2024'!$D$5:$D$2220,$B70,'ноябрь 2024'!$J$5:$J$2220,T$1)</f>
        <v>0</v>
      </c>
      <c r="U70" s="80">
        <f>SUMIFS('ноябрь 2024'!$G$5:$G$2220,'ноябрь 2024'!$D$5:$D$2220,$B70,'ноябрь 2024'!$J$5:$J$2220,U$1)</f>
        <v>0</v>
      </c>
      <c r="V70" s="80">
        <f>SUMIFS('ноябрь 2024'!$G$5:$G$2220,'ноябрь 2024'!$D$5:$D$2220,$B70,'ноябрь 2024'!$J$5:$J$2220,V$1)</f>
        <v>0</v>
      </c>
      <c r="W70" s="80">
        <f>SUMIFS('ноябрь 2024'!$G$5:$G$2220,'ноябрь 2024'!$D$5:$D$2220,$B70,'ноябрь 2024'!$J$5:$J$2220,W$1)</f>
        <v>0</v>
      </c>
      <c r="X70" s="80">
        <f>SUMIFS('ноябрь 2024'!$G$5:$G$2220,'ноябрь 2024'!$D$5:$D$2220,$B70,'ноябрь 2024'!$J$5:$J$2220,X$1)</f>
        <v>0</v>
      </c>
      <c r="Y70" s="80">
        <f>SUMIFS('ноябрь 2024'!$G$5:$G$2220,'ноябрь 2024'!$D$5:$D$2220,$B70,'ноябрь 2024'!$J$5:$J$2220,Y$1)</f>
        <v>0</v>
      </c>
      <c r="Z70" s="80">
        <f>SUMIFS('ноябрь 2024'!$G$5:$G$2220,'ноябрь 2024'!$D$5:$D$2220,$B70,'ноябрь 2024'!$J$5:$J$2220,Z$1)</f>
        <v>0</v>
      </c>
      <c r="AA70" s="80">
        <f>SUMIFS('ноябрь 2024'!$G$5:$G$2220,'ноябрь 2024'!$D$5:$D$2220,$B70,'ноябрь 2024'!$J$5:$J$2220,AA$1)</f>
        <v>0</v>
      </c>
      <c r="AB70" s="80">
        <f>SUMIFS('ноябрь 2024'!$G$5:$G$2220,'ноябрь 2024'!$D$5:$D$2220,$B70,'ноябрь 2024'!$J$5:$J$2220,AB$1)</f>
        <v>0</v>
      </c>
      <c r="AC70" s="80">
        <f>SUMIFS('ноябрь 2024'!$G$5:$G$2220,'ноябрь 2024'!$D$5:$D$2220,$B70,'ноябрь 2024'!$J$5:$J$2220,AC$1)</f>
        <v>0</v>
      </c>
      <c r="AD70" s="80">
        <f>SUMIFS('ноябрь 2024'!$G$5:$G$2220,'ноябрь 2024'!$D$5:$D$2220,$B70,'ноябрь 2024'!$J$5:$J$2220,AD$1)</f>
        <v>0</v>
      </c>
      <c r="AE70" s="80">
        <f>SUMIFS('ноябрь 2024'!$G$5:$G$2220,'ноябрь 2024'!$D$5:$D$2220,$B70,'ноябрь 2024'!$J$5:$J$2220,AE$1)</f>
        <v>0</v>
      </c>
      <c r="AF70" s="80">
        <f>SUMIFS('ноябрь 2024'!$G$5:$G$2220,'ноябрь 2024'!$D$5:$D$2220,$B70,'ноябрь 2024'!$J$5:$J$2220,AF$1)</f>
        <v>0</v>
      </c>
      <c r="AG70" s="80">
        <f>SUMIFS('ноябрь 2024'!$G$5:$G$2220,'ноябрь 2024'!$D$5:$D$2220,$B70,'ноябрь 2024'!$J$5:$J$2220,AG$1)</f>
        <v>0</v>
      </c>
      <c r="AH70" s="80">
        <f>SUMIFS('ноябрь 2024'!$G$5:$G$2220,'ноябрь 2024'!$D$5:$D$2220,$B70,'ноябрь 2024'!$J$5:$J$2220,AH$1)</f>
        <v>0</v>
      </c>
      <c r="AI70" s="21">
        <f t="shared" si="1"/>
        <v>0</v>
      </c>
    </row>
    <row r="71" spans="2:35" ht="15" customHeight="1" x14ac:dyDescent="0.25">
      <c r="B71" s="93" t="s">
        <v>198</v>
      </c>
      <c r="C71" s="91">
        <v>200</v>
      </c>
      <c r="D71" s="80">
        <f>SUMIFS('ноябрь 2024'!$G$5:$G$2220,'ноябрь 2024'!$D$5:$D$2220,$B71,'ноябрь 2024'!$J$5:$J$2220,D$1)</f>
        <v>0</v>
      </c>
      <c r="E71" s="80">
        <f>SUMIFS('ноябрь 2024'!$G$5:$G$2220,'ноябрь 2024'!$D$5:$D$2220,$B71,'ноябрь 2024'!$J$5:$J$2220,E$1)</f>
        <v>0</v>
      </c>
      <c r="F71" s="80">
        <f>SUMIFS('ноябрь 2024'!$G$5:$G$2220,'ноябрь 2024'!$D$5:$D$2220,$B71,'ноябрь 2024'!$J$5:$J$2220,F$1)</f>
        <v>0</v>
      </c>
      <c r="G71" s="80">
        <f>SUMIFS('ноябрь 2024'!$G$5:$G$2220,'ноябрь 2024'!$D$5:$D$2220,$B71,'ноябрь 2024'!$J$5:$J$2220,G$1)</f>
        <v>0</v>
      </c>
      <c r="H71" s="80">
        <f>SUMIFS('ноябрь 2024'!$G$5:$G$2220,'ноябрь 2024'!$D$5:$D$2220,$B71,'ноябрь 2024'!$J$5:$J$2220,H$1)</f>
        <v>0</v>
      </c>
      <c r="I71" s="80">
        <f>SUMIFS('ноябрь 2024'!$G$5:$G$2220,'ноябрь 2024'!$D$5:$D$2220,$B71,'ноябрь 2024'!$J$5:$J$2220,I$1)</f>
        <v>0</v>
      </c>
      <c r="J71" s="80">
        <f>SUMIFS('ноябрь 2024'!$G$5:$G$2220,'ноябрь 2024'!$D$5:$D$2220,$B71,'ноябрь 2024'!$J$5:$J$2220,J$1)</f>
        <v>0</v>
      </c>
      <c r="K71" s="80">
        <f>SUMIFS('ноябрь 2024'!$G$5:$G$2220,'ноябрь 2024'!$D$5:$D$2220,$B71,'ноябрь 2024'!$J$5:$J$2220,K$1)</f>
        <v>0</v>
      </c>
      <c r="L71" s="80">
        <f>SUMIFS('ноябрь 2024'!$G$5:$G$2220,'ноябрь 2024'!$D$5:$D$2220,$B71,'ноябрь 2024'!$J$5:$J$2220,L$1)</f>
        <v>0</v>
      </c>
      <c r="M71" s="80">
        <f>SUMIFS('ноябрь 2024'!$G$5:$G$2220,'ноябрь 2024'!$D$5:$D$2220,$B71,'ноябрь 2024'!$J$5:$J$2220,M$1)</f>
        <v>0</v>
      </c>
      <c r="N71" s="80">
        <f>SUMIFS('ноябрь 2024'!$G$5:$G$2220,'ноябрь 2024'!$D$5:$D$2220,$B71,'ноябрь 2024'!$J$5:$J$2220,N$1)</f>
        <v>0</v>
      </c>
      <c r="O71" s="80">
        <f>SUMIFS('ноябрь 2024'!$G$5:$G$2220,'ноябрь 2024'!$D$5:$D$2220,$B71,'ноябрь 2024'!$J$5:$J$2220,O$1)</f>
        <v>0</v>
      </c>
      <c r="P71" s="80">
        <f>SUMIFS('ноябрь 2024'!$G$5:$G$2220,'ноябрь 2024'!$D$5:$D$2220,$B71,'ноябрь 2024'!$J$5:$J$2220,P$1)</f>
        <v>0</v>
      </c>
      <c r="Q71" s="80">
        <f>SUMIFS('ноябрь 2024'!$G$5:$G$2220,'ноябрь 2024'!$D$5:$D$2220,$B71,'ноябрь 2024'!$J$5:$J$2220,Q$1)</f>
        <v>0</v>
      </c>
      <c r="R71" s="80">
        <f>SUMIFS('ноябрь 2024'!$G$5:$G$2220,'ноябрь 2024'!$D$5:$D$2220,$B71,'ноябрь 2024'!$J$5:$J$2220,R$1)</f>
        <v>0</v>
      </c>
      <c r="S71" s="80">
        <f>SUMIFS('ноябрь 2024'!$G$5:$G$2220,'ноябрь 2024'!$D$5:$D$2220,$B71,'ноябрь 2024'!$J$5:$J$2220,S$1)</f>
        <v>0</v>
      </c>
      <c r="T71" s="80">
        <f>SUMIFS('ноябрь 2024'!$G$5:$G$2220,'ноябрь 2024'!$D$5:$D$2220,$B71,'ноябрь 2024'!$J$5:$J$2220,T$1)</f>
        <v>0</v>
      </c>
      <c r="U71" s="80">
        <f>SUMIFS('ноябрь 2024'!$G$5:$G$2220,'ноябрь 2024'!$D$5:$D$2220,$B71,'ноябрь 2024'!$J$5:$J$2220,U$1)</f>
        <v>0</v>
      </c>
      <c r="V71" s="80">
        <f>SUMIFS('ноябрь 2024'!$G$5:$G$2220,'ноябрь 2024'!$D$5:$D$2220,$B71,'ноябрь 2024'!$J$5:$J$2220,V$1)</f>
        <v>0</v>
      </c>
      <c r="W71" s="80">
        <f>SUMIFS('ноябрь 2024'!$G$5:$G$2220,'ноябрь 2024'!$D$5:$D$2220,$B71,'ноябрь 2024'!$J$5:$J$2220,W$1)</f>
        <v>0</v>
      </c>
      <c r="X71" s="80">
        <f>SUMIFS('ноябрь 2024'!$G$5:$G$2220,'ноябрь 2024'!$D$5:$D$2220,$B71,'ноябрь 2024'!$J$5:$J$2220,X$1)</f>
        <v>0</v>
      </c>
      <c r="Y71" s="80">
        <f>SUMIFS('ноябрь 2024'!$G$5:$G$2220,'ноябрь 2024'!$D$5:$D$2220,$B71,'ноябрь 2024'!$J$5:$J$2220,Y$1)</f>
        <v>0</v>
      </c>
      <c r="Z71" s="80">
        <f>SUMIFS('ноябрь 2024'!$G$5:$G$2220,'ноябрь 2024'!$D$5:$D$2220,$B71,'ноябрь 2024'!$J$5:$J$2220,Z$1)</f>
        <v>0</v>
      </c>
      <c r="AA71" s="80">
        <f>SUMIFS('ноябрь 2024'!$G$5:$G$2220,'ноябрь 2024'!$D$5:$D$2220,$B71,'ноябрь 2024'!$J$5:$J$2220,AA$1)</f>
        <v>0</v>
      </c>
      <c r="AB71" s="80">
        <f>SUMIFS('ноябрь 2024'!$G$5:$G$2220,'ноябрь 2024'!$D$5:$D$2220,$B71,'ноябрь 2024'!$J$5:$J$2220,AB$1)</f>
        <v>0</v>
      </c>
      <c r="AC71" s="80">
        <f>SUMIFS('ноябрь 2024'!$G$5:$G$2220,'ноябрь 2024'!$D$5:$D$2220,$B71,'ноябрь 2024'!$J$5:$J$2220,AC$1)</f>
        <v>0</v>
      </c>
      <c r="AD71" s="80">
        <f>SUMIFS('ноябрь 2024'!$G$5:$G$2220,'ноябрь 2024'!$D$5:$D$2220,$B71,'ноябрь 2024'!$J$5:$J$2220,AD$1)</f>
        <v>0</v>
      </c>
      <c r="AE71" s="80">
        <f>SUMIFS('ноябрь 2024'!$G$5:$G$2220,'ноябрь 2024'!$D$5:$D$2220,$B71,'ноябрь 2024'!$J$5:$J$2220,AE$1)</f>
        <v>0</v>
      </c>
      <c r="AF71" s="80">
        <f>SUMIFS('ноябрь 2024'!$G$5:$G$2220,'ноябрь 2024'!$D$5:$D$2220,$B71,'ноябрь 2024'!$J$5:$J$2220,AF$1)</f>
        <v>0</v>
      </c>
      <c r="AG71" s="80">
        <f>SUMIFS('ноябрь 2024'!$G$5:$G$2220,'ноябрь 2024'!$D$5:$D$2220,$B71,'ноябрь 2024'!$J$5:$J$2220,AG$1)</f>
        <v>0</v>
      </c>
      <c r="AH71" s="80">
        <f>SUMIFS('ноябрь 2024'!$G$5:$G$2220,'ноябрь 2024'!$D$5:$D$2220,$B71,'ноябрь 2024'!$J$5:$J$2220,AH$1)</f>
        <v>0</v>
      </c>
      <c r="AI71" s="21">
        <f t="shared" si="1"/>
        <v>0</v>
      </c>
    </row>
    <row r="72" spans="2:35" ht="15" customHeight="1" x14ac:dyDescent="0.25">
      <c r="B72" s="93" t="s">
        <v>320</v>
      </c>
      <c r="C72" s="91">
        <v>190</v>
      </c>
      <c r="D72" s="80">
        <f>SUMIFS('ноябрь 2024'!$G$5:$G$2220,'ноябрь 2024'!$D$5:$D$2220,$B72,'ноябрь 2024'!$J$5:$J$2220,D$1)</f>
        <v>0</v>
      </c>
      <c r="E72" s="80">
        <f>SUMIFS('ноябрь 2024'!$G$5:$G$2220,'ноябрь 2024'!$D$5:$D$2220,$B72,'ноябрь 2024'!$J$5:$J$2220,E$1)</f>
        <v>0</v>
      </c>
      <c r="F72" s="80">
        <f>SUMIFS('ноябрь 2024'!$G$5:$G$2220,'ноябрь 2024'!$D$5:$D$2220,$B72,'ноябрь 2024'!$J$5:$J$2220,F$1)</f>
        <v>0</v>
      </c>
      <c r="G72" s="80">
        <f>SUMIFS('ноябрь 2024'!$G$5:$G$2220,'ноябрь 2024'!$D$5:$D$2220,$B72,'ноябрь 2024'!$J$5:$J$2220,G$1)</f>
        <v>0</v>
      </c>
      <c r="H72" s="80">
        <f>SUMIFS('ноябрь 2024'!$G$5:$G$2220,'ноябрь 2024'!$D$5:$D$2220,$B72,'ноябрь 2024'!$J$5:$J$2220,H$1)</f>
        <v>0</v>
      </c>
      <c r="I72" s="80">
        <f>SUMIFS('ноябрь 2024'!$G$5:$G$2220,'ноябрь 2024'!$D$5:$D$2220,$B72,'ноябрь 2024'!$J$5:$J$2220,I$1)</f>
        <v>0</v>
      </c>
      <c r="J72" s="80">
        <f>SUMIFS('ноябрь 2024'!$G$5:$G$2220,'ноябрь 2024'!$D$5:$D$2220,$B72,'ноябрь 2024'!$J$5:$J$2220,J$1)</f>
        <v>0</v>
      </c>
      <c r="K72" s="80">
        <f>SUMIFS('ноябрь 2024'!$G$5:$G$2220,'ноябрь 2024'!$D$5:$D$2220,$B72,'ноябрь 2024'!$J$5:$J$2220,K$1)</f>
        <v>0</v>
      </c>
      <c r="L72" s="80">
        <f>SUMIFS('ноябрь 2024'!$G$5:$G$2220,'ноябрь 2024'!$D$5:$D$2220,$B72,'ноябрь 2024'!$J$5:$J$2220,L$1)</f>
        <v>0</v>
      </c>
      <c r="M72" s="80">
        <f>SUMIFS('ноябрь 2024'!$G$5:$G$2220,'ноябрь 2024'!$D$5:$D$2220,$B72,'ноябрь 2024'!$J$5:$J$2220,M$1)</f>
        <v>0</v>
      </c>
      <c r="N72" s="80">
        <f>SUMIFS('ноябрь 2024'!$G$5:$G$2220,'ноябрь 2024'!$D$5:$D$2220,$B72,'ноябрь 2024'!$J$5:$J$2220,N$1)</f>
        <v>0</v>
      </c>
      <c r="O72" s="80">
        <f>SUMIFS('ноябрь 2024'!$G$5:$G$2220,'ноябрь 2024'!$D$5:$D$2220,$B72,'ноябрь 2024'!$J$5:$J$2220,O$1)</f>
        <v>0</v>
      </c>
      <c r="P72" s="80">
        <f>SUMIFS('ноябрь 2024'!$G$5:$G$2220,'ноябрь 2024'!$D$5:$D$2220,$B72,'ноябрь 2024'!$J$5:$J$2220,P$1)</f>
        <v>0</v>
      </c>
      <c r="Q72" s="80">
        <f>SUMIFS('ноябрь 2024'!$G$5:$G$2220,'ноябрь 2024'!$D$5:$D$2220,$B72,'ноябрь 2024'!$J$5:$J$2220,Q$1)</f>
        <v>0</v>
      </c>
      <c r="R72" s="80">
        <f>SUMIFS('ноябрь 2024'!$G$5:$G$2220,'ноябрь 2024'!$D$5:$D$2220,$B72,'ноябрь 2024'!$J$5:$J$2220,R$1)</f>
        <v>0</v>
      </c>
      <c r="S72" s="80">
        <f>SUMIFS('ноябрь 2024'!$G$5:$G$2220,'ноябрь 2024'!$D$5:$D$2220,$B72,'ноябрь 2024'!$J$5:$J$2220,S$1)</f>
        <v>0</v>
      </c>
      <c r="T72" s="80">
        <f>SUMIFS('ноябрь 2024'!$G$5:$G$2220,'ноябрь 2024'!$D$5:$D$2220,$B72,'ноябрь 2024'!$J$5:$J$2220,T$1)</f>
        <v>0</v>
      </c>
      <c r="U72" s="80">
        <f>SUMIFS('ноябрь 2024'!$G$5:$G$2220,'ноябрь 2024'!$D$5:$D$2220,$B72,'ноябрь 2024'!$J$5:$J$2220,U$1)</f>
        <v>0</v>
      </c>
      <c r="V72" s="80">
        <f>SUMIFS('ноябрь 2024'!$G$5:$G$2220,'ноябрь 2024'!$D$5:$D$2220,$B72,'ноябрь 2024'!$J$5:$J$2220,V$1)</f>
        <v>0</v>
      </c>
      <c r="W72" s="80">
        <f>SUMIFS('ноябрь 2024'!$G$5:$G$2220,'ноябрь 2024'!$D$5:$D$2220,$B72,'ноябрь 2024'!$J$5:$J$2220,W$1)</f>
        <v>0</v>
      </c>
      <c r="X72" s="80">
        <f>SUMIFS('ноябрь 2024'!$G$5:$G$2220,'ноябрь 2024'!$D$5:$D$2220,$B72,'ноябрь 2024'!$J$5:$J$2220,X$1)</f>
        <v>0</v>
      </c>
      <c r="Y72" s="80">
        <f>SUMIFS('ноябрь 2024'!$G$5:$G$2220,'ноябрь 2024'!$D$5:$D$2220,$B72,'ноябрь 2024'!$J$5:$J$2220,Y$1)</f>
        <v>0</v>
      </c>
      <c r="Z72" s="80">
        <f>SUMIFS('ноябрь 2024'!$G$5:$G$2220,'ноябрь 2024'!$D$5:$D$2220,$B72,'ноябрь 2024'!$J$5:$J$2220,Z$1)</f>
        <v>0</v>
      </c>
      <c r="AA72" s="80">
        <f>SUMIFS('ноябрь 2024'!$G$5:$G$2220,'ноябрь 2024'!$D$5:$D$2220,$B72,'ноябрь 2024'!$J$5:$J$2220,AA$1)</f>
        <v>0</v>
      </c>
      <c r="AB72" s="80">
        <f>SUMIFS('ноябрь 2024'!$G$5:$G$2220,'ноябрь 2024'!$D$5:$D$2220,$B72,'ноябрь 2024'!$J$5:$J$2220,AB$1)</f>
        <v>0</v>
      </c>
      <c r="AC72" s="80">
        <f>SUMIFS('ноябрь 2024'!$G$5:$G$2220,'ноябрь 2024'!$D$5:$D$2220,$B72,'ноябрь 2024'!$J$5:$J$2220,AC$1)</f>
        <v>0</v>
      </c>
      <c r="AD72" s="80">
        <f>SUMIFS('ноябрь 2024'!$G$5:$G$2220,'ноябрь 2024'!$D$5:$D$2220,$B72,'ноябрь 2024'!$J$5:$J$2220,AD$1)</f>
        <v>0</v>
      </c>
      <c r="AE72" s="80">
        <f>SUMIFS('ноябрь 2024'!$G$5:$G$2220,'ноябрь 2024'!$D$5:$D$2220,$B72,'ноябрь 2024'!$J$5:$J$2220,AE$1)</f>
        <v>0</v>
      </c>
      <c r="AF72" s="80">
        <f>SUMIFS('ноябрь 2024'!$G$5:$G$2220,'ноябрь 2024'!$D$5:$D$2220,$B72,'ноябрь 2024'!$J$5:$J$2220,AF$1)</f>
        <v>0</v>
      </c>
      <c r="AG72" s="80">
        <f>SUMIFS('ноябрь 2024'!$G$5:$G$2220,'ноябрь 2024'!$D$5:$D$2220,$B72,'ноябрь 2024'!$J$5:$J$2220,AG$1)</f>
        <v>0</v>
      </c>
      <c r="AH72" s="80">
        <f>SUMIFS('ноябрь 2024'!$G$5:$G$2220,'ноябрь 2024'!$D$5:$D$2220,$B72,'ноябрь 2024'!$J$5:$J$2220,AH$1)</f>
        <v>0</v>
      </c>
      <c r="AI72" s="21">
        <f t="shared" si="1"/>
        <v>0</v>
      </c>
    </row>
    <row r="73" spans="2:35" ht="15" customHeight="1" x14ac:dyDescent="0.25">
      <c r="B73" s="93" t="s">
        <v>210</v>
      </c>
      <c r="C73" s="91">
        <v>200</v>
      </c>
      <c r="D73" s="80">
        <f>SUMIFS('ноябрь 2024'!$G$5:$G$2220,'ноябрь 2024'!$D$5:$D$2220,$B73,'ноябрь 2024'!$J$5:$J$2220,D$1)</f>
        <v>0</v>
      </c>
      <c r="E73" s="80">
        <f>SUMIFS('ноябрь 2024'!$G$5:$G$2220,'ноябрь 2024'!$D$5:$D$2220,$B73,'ноябрь 2024'!$J$5:$J$2220,E$1)</f>
        <v>0</v>
      </c>
      <c r="F73" s="80">
        <f>SUMIFS('ноябрь 2024'!$G$5:$G$2220,'ноябрь 2024'!$D$5:$D$2220,$B73,'ноябрь 2024'!$J$5:$J$2220,F$1)</f>
        <v>0</v>
      </c>
      <c r="G73" s="80">
        <f>SUMIFS('ноябрь 2024'!$G$5:$G$2220,'ноябрь 2024'!$D$5:$D$2220,$B73,'ноябрь 2024'!$J$5:$J$2220,G$1)</f>
        <v>0</v>
      </c>
      <c r="H73" s="80">
        <f>SUMIFS('ноябрь 2024'!$G$5:$G$2220,'ноябрь 2024'!$D$5:$D$2220,$B73,'ноябрь 2024'!$J$5:$J$2220,H$1)</f>
        <v>0</v>
      </c>
      <c r="I73" s="80">
        <f>SUMIFS('ноябрь 2024'!$G$5:$G$2220,'ноябрь 2024'!$D$5:$D$2220,$B73,'ноябрь 2024'!$J$5:$J$2220,I$1)</f>
        <v>0</v>
      </c>
      <c r="J73" s="80">
        <f>SUMIFS('ноябрь 2024'!$G$5:$G$2220,'ноябрь 2024'!$D$5:$D$2220,$B73,'ноябрь 2024'!$J$5:$J$2220,J$1)</f>
        <v>0</v>
      </c>
      <c r="K73" s="80">
        <f>SUMIFS('ноябрь 2024'!$G$5:$G$2220,'ноябрь 2024'!$D$5:$D$2220,$B73,'ноябрь 2024'!$J$5:$J$2220,K$1)</f>
        <v>0</v>
      </c>
      <c r="L73" s="80">
        <f>SUMIFS('ноябрь 2024'!$G$5:$G$2220,'ноябрь 2024'!$D$5:$D$2220,$B73,'ноябрь 2024'!$J$5:$J$2220,L$1)</f>
        <v>0</v>
      </c>
      <c r="M73" s="80">
        <f>SUMIFS('ноябрь 2024'!$G$5:$G$2220,'ноябрь 2024'!$D$5:$D$2220,$B73,'ноябрь 2024'!$J$5:$J$2220,M$1)</f>
        <v>0</v>
      </c>
      <c r="N73" s="80">
        <f>SUMIFS('ноябрь 2024'!$G$5:$G$2220,'ноябрь 2024'!$D$5:$D$2220,$B73,'ноябрь 2024'!$J$5:$J$2220,N$1)</f>
        <v>0</v>
      </c>
      <c r="O73" s="80">
        <f>SUMIFS('ноябрь 2024'!$G$5:$G$2220,'ноябрь 2024'!$D$5:$D$2220,$B73,'ноябрь 2024'!$J$5:$J$2220,O$1)</f>
        <v>0</v>
      </c>
      <c r="P73" s="80">
        <f>SUMIFS('ноябрь 2024'!$G$5:$G$2220,'ноябрь 2024'!$D$5:$D$2220,$B73,'ноябрь 2024'!$J$5:$J$2220,P$1)</f>
        <v>0</v>
      </c>
      <c r="Q73" s="80">
        <f>SUMIFS('ноябрь 2024'!$G$5:$G$2220,'ноябрь 2024'!$D$5:$D$2220,$B73,'ноябрь 2024'!$J$5:$J$2220,Q$1)</f>
        <v>0</v>
      </c>
      <c r="R73" s="80">
        <f>SUMIFS('ноябрь 2024'!$G$5:$G$2220,'ноябрь 2024'!$D$5:$D$2220,$B73,'ноябрь 2024'!$J$5:$J$2220,R$1)</f>
        <v>0</v>
      </c>
      <c r="S73" s="80">
        <f>SUMIFS('ноябрь 2024'!$G$5:$G$2220,'ноябрь 2024'!$D$5:$D$2220,$B73,'ноябрь 2024'!$J$5:$J$2220,S$1)</f>
        <v>0</v>
      </c>
      <c r="T73" s="80">
        <f>SUMIFS('ноябрь 2024'!$G$5:$G$2220,'ноябрь 2024'!$D$5:$D$2220,$B73,'ноябрь 2024'!$J$5:$J$2220,T$1)</f>
        <v>0</v>
      </c>
      <c r="U73" s="80">
        <f>SUMIFS('ноябрь 2024'!$G$5:$G$2220,'ноябрь 2024'!$D$5:$D$2220,$B73,'ноябрь 2024'!$J$5:$J$2220,U$1)</f>
        <v>0</v>
      </c>
      <c r="V73" s="80">
        <f>SUMIFS('ноябрь 2024'!$G$5:$G$2220,'ноябрь 2024'!$D$5:$D$2220,$B73,'ноябрь 2024'!$J$5:$J$2220,V$1)</f>
        <v>0</v>
      </c>
      <c r="W73" s="80">
        <f>SUMIFS('ноябрь 2024'!$G$5:$G$2220,'ноябрь 2024'!$D$5:$D$2220,$B73,'ноябрь 2024'!$J$5:$J$2220,W$1)</f>
        <v>0</v>
      </c>
      <c r="X73" s="80">
        <f>SUMIFS('ноябрь 2024'!$G$5:$G$2220,'ноябрь 2024'!$D$5:$D$2220,$B73,'ноябрь 2024'!$J$5:$J$2220,X$1)</f>
        <v>0</v>
      </c>
      <c r="Y73" s="80">
        <f>SUMIFS('ноябрь 2024'!$G$5:$G$2220,'ноябрь 2024'!$D$5:$D$2220,$B73,'ноябрь 2024'!$J$5:$J$2220,Y$1)</f>
        <v>0</v>
      </c>
      <c r="Z73" s="80">
        <f>SUMIFS('ноябрь 2024'!$G$5:$G$2220,'ноябрь 2024'!$D$5:$D$2220,$B73,'ноябрь 2024'!$J$5:$J$2220,Z$1)</f>
        <v>0</v>
      </c>
      <c r="AA73" s="80">
        <f>SUMIFS('ноябрь 2024'!$G$5:$G$2220,'ноябрь 2024'!$D$5:$D$2220,$B73,'ноябрь 2024'!$J$5:$J$2220,AA$1)</f>
        <v>0</v>
      </c>
      <c r="AB73" s="80">
        <f>SUMIFS('ноябрь 2024'!$G$5:$G$2220,'ноябрь 2024'!$D$5:$D$2220,$B73,'ноябрь 2024'!$J$5:$J$2220,AB$1)</f>
        <v>0</v>
      </c>
      <c r="AC73" s="80">
        <f>SUMIFS('ноябрь 2024'!$G$5:$G$2220,'ноябрь 2024'!$D$5:$D$2220,$B73,'ноябрь 2024'!$J$5:$J$2220,AC$1)</f>
        <v>0</v>
      </c>
      <c r="AD73" s="80">
        <f>SUMIFS('ноябрь 2024'!$G$5:$G$2220,'ноябрь 2024'!$D$5:$D$2220,$B73,'ноябрь 2024'!$J$5:$J$2220,AD$1)</f>
        <v>0</v>
      </c>
      <c r="AE73" s="80">
        <f>SUMIFS('ноябрь 2024'!$G$5:$G$2220,'ноябрь 2024'!$D$5:$D$2220,$B73,'ноябрь 2024'!$J$5:$J$2220,AE$1)</f>
        <v>0</v>
      </c>
      <c r="AF73" s="80">
        <f>SUMIFS('ноябрь 2024'!$G$5:$G$2220,'ноябрь 2024'!$D$5:$D$2220,$B73,'ноябрь 2024'!$J$5:$J$2220,AF$1)</f>
        <v>0</v>
      </c>
      <c r="AG73" s="80">
        <f>SUMIFS('ноябрь 2024'!$G$5:$G$2220,'ноябрь 2024'!$D$5:$D$2220,$B73,'ноябрь 2024'!$J$5:$J$2220,AG$1)</f>
        <v>0</v>
      </c>
      <c r="AH73" s="80">
        <f>SUMIFS('ноябрь 2024'!$G$5:$G$2220,'ноябрь 2024'!$D$5:$D$2220,$B73,'ноябрь 2024'!$J$5:$J$2220,AH$1)</f>
        <v>0</v>
      </c>
      <c r="AI73" s="21">
        <f t="shared" si="1"/>
        <v>0</v>
      </c>
    </row>
    <row r="74" spans="2:35" ht="15" customHeight="1" x14ac:dyDescent="0.25">
      <c r="B74" s="93" t="s">
        <v>221</v>
      </c>
      <c r="C74" s="91">
        <v>25</v>
      </c>
      <c r="D74" s="80">
        <f>SUMIFS('ноябрь 2024'!$G$5:$G$2220,'ноябрь 2024'!$D$5:$D$2220,$B74,'ноябрь 2024'!$J$5:$J$2220,D$1)</f>
        <v>0</v>
      </c>
      <c r="E74" s="80">
        <f>SUMIFS('ноябрь 2024'!$G$5:$G$2220,'ноябрь 2024'!$D$5:$D$2220,$B74,'ноябрь 2024'!$J$5:$J$2220,E$1)</f>
        <v>0</v>
      </c>
      <c r="F74" s="80">
        <f>SUMIFS('ноябрь 2024'!$G$5:$G$2220,'ноябрь 2024'!$D$5:$D$2220,$B74,'ноябрь 2024'!$J$5:$J$2220,F$1)</f>
        <v>0</v>
      </c>
      <c r="G74" s="80">
        <f>SUMIFS('ноябрь 2024'!$G$5:$G$2220,'ноябрь 2024'!$D$5:$D$2220,$B74,'ноябрь 2024'!$J$5:$J$2220,G$1)</f>
        <v>0</v>
      </c>
      <c r="H74" s="80">
        <f>SUMIFS('ноябрь 2024'!$G$5:$G$2220,'ноябрь 2024'!$D$5:$D$2220,$B74,'ноябрь 2024'!$J$5:$J$2220,H$1)</f>
        <v>0</v>
      </c>
      <c r="I74" s="80">
        <f>SUMIFS('ноябрь 2024'!$G$5:$G$2220,'ноябрь 2024'!$D$5:$D$2220,$B74,'ноябрь 2024'!$J$5:$J$2220,I$1)</f>
        <v>0</v>
      </c>
      <c r="J74" s="80">
        <f>SUMIFS('ноябрь 2024'!$G$5:$G$2220,'ноябрь 2024'!$D$5:$D$2220,$B74,'ноябрь 2024'!$J$5:$J$2220,J$1)</f>
        <v>0</v>
      </c>
      <c r="K74" s="80">
        <f>SUMIFS('ноябрь 2024'!$G$5:$G$2220,'ноябрь 2024'!$D$5:$D$2220,$B74,'ноябрь 2024'!$J$5:$J$2220,K$1)</f>
        <v>0</v>
      </c>
      <c r="L74" s="80">
        <f>SUMIFS('ноябрь 2024'!$G$5:$G$2220,'ноябрь 2024'!$D$5:$D$2220,$B74,'ноябрь 2024'!$J$5:$J$2220,L$1)</f>
        <v>0</v>
      </c>
      <c r="M74" s="80">
        <f>SUMIFS('ноябрь 2024'!$G$5:$G$2220,'ноябрь 2024'!$D$5:$D$2220,$B74,'ноябрь 2024'!$J$5:$J$2220,M$1)</f>
        <v>0</v>
      </c>
      <c r="N74" s="80">
        <f>SUMIFS('ноябрь 2024'!$G$5:$G$2220,'ноябрь 2024'!$D$5:$D$2220,$B74,'ноябрь 2024'!$J$5:$J$2220,N$1)</f>
        <v>0</v>
      </c>
      <c r="O74" s="80">
        <f>SUMIFS('ноябрь 2024'!$G$5:$G$2220,'ноябрь 2024'!$D$5:$D$2220,$B74,'ноябрь 2024'!$J$5:$J$2220,O$1)</f>
        <v>0</v>
      </c>
      <c r="P74" s="80">
        <f>SUMIFS('ноябрь 2024'!$G$5:$G$2220,'ноябрь 2024'!$D$5:$D$2220,$B74,'ноябрь 2024'!$J$5:$J$2220,P$1)</f>
        <v>0</v>
      </c>
      <c r="Q74" s="80">
        <f>SUMIFS('ноябрь 2024'!$G$5:$G$2220,'ноябрь 2024'!$D$5:$D$2220,$B74,'ноябрь 2024'!$J$5:$J$2220,Q$1)</f>
        <v>0</v>
      </c>
      <c r="R74" s="80">
        <f>SUMIFS('ноябрь 2024'!$G$5:$G$2220,'ноябрь 2024'!$D$5:$D$2220,$B74,'ноябрь 2024'!$J$5:$J$2220,R$1)</f>
        <v>0</v>
      </c>
      <c r="S74" s="80">
        <f>SUMIFS('ноябрь 2024'!$G$5:$G$2220,'ноябрь 2024'!$D$5:$D$2220,$B74,'ноябрь 2024'!$J$5:$J$2220,S$1)</f>
        <v>0</v>
      </c>
      <c r="T74" s="80">
        <f>SUMIFS('ноябрь 2024'!$G$5:$G$2220,'ноябрь 2024'!$D$5:$D$2220,$B74,'ноябрь 2024'!$J$5:$J$2220,T$1)</f>
        <v>0</v>
      </c>
      <c r="U74" s="80">
        <f>SUMIFS('ноябрь 2024'!$G$5:$G$2220,'ноябрь 2024'!$D$5:$D$2220,$B74,'ноябрь 2024'!$J$5:$J$2220,U$1)</f>
        <v>0</v>
      </c>
      <c r="V74" s="80">
        <f>SUMIFS('ноябрь 2024'!$G$5:$G$2220,'ноябрь 2024'!$D$5:$D$2220,$B74,'ноябрь 2024'!$J$5:$J$2220,V$1)</f>
        <v>0</v>
      </c>
      <c r="W74" s="80">
        <f>SUMIFS('ноябрь 2024'!$G$5:$G$2220,'ноябрь 2024'!$D$5:$D$2220,$B74,'ноябрь 2024'!$J$5:$J$2220,W$1)</f>
        <v>0</v>
      </c>
      <c r="X74" s="80">
        <f>SUMIFS('ноябрь 2024'!$G$5:$G$2220,'ноябрь 2024'!$D$5:$D$2220,$B74,'ноябрь 2024'!$J$5:$J$2220,X$1)</f>
        <v>0</v>
      </c>
      <c r="Y74" s="80">
        <f>SUMIFS('ноябрь 2024'!$G$5:$G$2220,'ноябрь 2024'!$D$5:$D$2220,$B74,'ноябрь 2024'!$J$5:$J$2220,Y$1)</f>
        <v>0</v>
      </c>
      <c r="Z74" s="80">
        <f>SUMIFS('ноябрь 2024'!$G$5:$G$2220,'ноябрь 2024'!$D$5:$D$2220,$B74,'ноябрь 2024'!$J$5:$J$2220,Z$1)</f>
        <v>0</v>
      </c>
      <c r="AA74" s="80">
        <f>SUMIFS('ноябрь 2024'!$G$5:$G$2220,'ноябрь 2024'!$D$5:$D$2220,$B74,'ноябрь 2024'!$J$5:$J$2220,AA$1)</f>
        <v>0</v>
      </c>
      <c r="AB74" s="80">
        <f>SUMIFS('ноябрь 2024'!$G$5:$G$2220,'ноябрь 2024'!$D$5:$D$2220,$B74,'ноябрь 2024'!$J$5:$J$2220,AB$1)</f>
        <v>0</v>
      </c>
      <c r="AC74" s="80">
        <f>SUMIFS('ноябрь 2024'!$G$5:$G$2220,'ноябрь 2024'!$D$5:$D$2220,$B74,'ноябрь 2024'!$J$5:$J$2220,AC$1)</f>
        <v>0</v>
      </c>
      <c r="AD74" s="80">
        <f>SUMIFS('ноябрь 2024'!$G$5:$G$2220,'ноябрь 2024'!$D$5:$D$2220,$B74,'ноябрь 2024'!$J$5:$J$2220,AD$1)</f>
        <v>0</v>
      </c>
      <c r="AE74" s="80">
        <f>SUMIFS('ноябрь 2024'!$G$5:$G$2220,'ноябрь 2024'!$D$5:$D$2220,$B74,'ноябрь 2024'!$J$5:$J$2220,AE$1)</f>
        <v>0</v>
      </c>
      <c r="AF74" s="80">
        <f>SUMIFS('ноябрь 2024'!$G$5:$G$2220,'ноябрь 2024'!$D$5:$D$2220,$B74,'ноябрь 2024'!$J$5:$J$2220,AF$1)</f>
        <v>0</v>
      </c>
      <c r="AG74" s="80">
        <f>SUMIFS('ноябрь 2024'!$G$5:$G$2220,'ноябрь 2024'!$D$5:$D$2220,$B74,'ноябрь 2024'!$J$5:$J$2220,AG$1)</f>
        <v>0</v>
      </c>
      <c r="AH74" s="80">
        <f>SUMIFS('ноябрь 2024'!$G$5:$G$2220,'ноябрь 2024'!$D$5:$D$2220,$B74,'ноябрь 2024'!$J$5:$J$2220,AH$1)</f>
        <v>0</v>
      </c>
      <c r="AI74" s="21">
        <f t="shared" si="1"/>
        <v>0</v>
      </c>
    </row>
    <row r="75" spans="2:35" ht="15" customHeight="1" x14ac:dyDescent="0.25">
      <c r="B75" s="93" t="s">
        <v>188</v>
      </c>
      <c r="C75" s="91">
        <v>50</v>
      </c>
      <c r="D75" s="80">
        <f>SUMIFS('ноябрь 2024'!$G$5:$G$2220,'ноябрь 2024'!$D$5:$D$2220,$B75,'ноябрь 2024'!$J$5:$J$2220,D$1)</f>
        <v>0</v>
      </c>
      <c r="E75" s="80">
        <f>SUMIFS('ноябрь 2024'!$G$5:$G$2220,'ноябрь 2024'!$D$5:$D$2220,$B75,'ноябрь 2024'!$J$5:$J$2220,E$1)</f>
        <v>0</v>
      </c>
      <c r="F75" s="80">
        <f>SUMIFS('ноябрь 2024'!$G$5:$G$2220,'ноябрь 2024'!$D$5:$D$2220,$B75,'ноябрь 2024'!$J$5:$J$2220,F$1)</f>
        <v>0</v>
      </c>
      <c r="G75" s="80">
        <f>SUMIFS('ноябрь 2024'!$G$5:$G$2220,'ноябрь 2024'!$D$5:$D$2220,$B75,'ноябрь 2024'!$J$5:$J$2220,G$1)</f>
        <v>0</v>
      </c>
      <c r="H75" s="80">
        <f>SUMIFS('ноябрь 2024'!$G$5:$G$2220,'ноябрь 2024'!$D$5:$D$2220,$B75,'ноябрь 2024'!$J$5:$J$2220,H$1)</f>
        <v>0</v>
      </c>
      <c r="I75" s="80">
        <f>SUMIFS('ноябрь 2024'!$G$5:$G$2220,'ноябрь 2024'!$D$5:$D$2220,$B75,'ноябрь 2024'!$J$5:$J$2220,I$1)</f>
        <v>0</v>
      </c>
      <c r="J75" s="80">
        <f>SUMIFS('ноябрь 2024'!$G$5:$G$2220,'ноябрь 2024'!$D$5:$D$2220,$B75,'ноябрь 2024'!$J$5:$J$2220,J$1)</f>
        <v>0</v>
      </c>
      <c r="K75" s="80">
        <f>SUMIFS('ноябрь 2024'!$G$5:$G$2220,'ноябрь 2024'!$D$5:$D$2220,$B75,'ноябрь 2024'!$J$5:$J$2220,K$1)</f>
        <v>0</v>
      </c>
      <c r="L75" s="80">
        <f>SUMIFS('ноябрь 2024'!$G$5:$G$2220,'ноябрь 2024'!$D$5:$D$2220,$B75,'ноябрь 2024'!$J$5:$J$2220,L$1)</f>
        <v>0</v>
      </c>
      <c r="M75" s="80">
        <f>SUMIFS('ноябрь 2024'!$G$5:$G$2220,'ноябрь 2024'!$D$5:$D$2220,$B75,'ноябрь 2024'!$J$5:$J$2220,M$1)</f>
        <v>0</v>
      </c>
      <c r="N75" s="80">
        <f>SUMIFS('ноябрь 2024'!$G$5:$G$2220,'ноябрь 2024'!$D$5:$D$2220,$B75,'ноябрь 2024'!$J$5:$J$2220,N$1)</f>
        <v>0</v>
      </c>
      <c r="O75" s="80">
        <f>SUMIFS('ноябрь 2024'!$G$5:$G$2220,'ноябрь 2024'!$D$5:$D$2220,$B75,'ноябрь 2024'!$J$5:$J$2220,O$1)</f>
        <v>0</v>
      </c>
      <c r="P75" s="80">
        <f>SUMIFS('ноябрь 2024'!$G$5:$G$2220,'ноябрь 2024'!$D$5:$D$2220,$B75,'ноябрь 2024'!$J$5:$J$2220,P$1)</f>
        <v>0</v>
      </c>
      <c r="Q75" s="80">
        <f>SUMIFS('ноябрь 2024'!$G$5:$G$2220,'ноябрь 2024'!$D$5:$D$2220,$B75,'ноябрь 2024'!$J$5:$J$2220,Q$1)</f>
        <v>0</v>
      </c>
      <c r="R75" s="80">
        <f>SUMIFS('ноябрь 2024'!$G$5:$G$2220,'ноябрь 2024'!$D$5:$D$2220,$B75,'ноябрь 2024'!$J$5:$J$2220,R$1)</f>
        <v>0</v>
      </c>
      <c r="S75" s="80">
        <f>SUMIFS('ноябрь 2024'!$G$5:$G$2220,'ноябрь 2024'!$D$5:$D$2220,$B75,'ноябрь 2024'!$J$5:$J$2220,S$1)</f>
        <v>0</v>
      </c>
      <c r="T75" s="80">
        <f>SUMIFS('ноябрь 2024'!$G$5:$G$2220,'ноябрь 2024'!$D$5:$D$2220,$B75,'ноябрь 2024'!$J$5:$J$2220,T$1)</f>
        <v>0</v>
      </c>
      <c r="U75" s="80">
        <f>SUMIFS('ноябрь 2024'!$G$5:$G$2220,'ноябрь 2024'!$D$5:$D$2220,$B75,'ноябрь 2024'!$J$5:$J$2220,U$1)</f>
        <v>0</v>
      </c>
      <c r="V75" s="80">
        <f>SUMIFS('ноябрь 2024'!$G$5:$G$2220,'ноябрь 2024'!$D$5:$D$2220,$B75,'ноябрь 2024'!$J$5:$J$2220,V$1)</f>
        <v>0</v>
      </c>
      <c r="W75" s="80">
        <f>SUMIFS('ноябрь 2024'!$G$5:$G$2220,'ноябрь 2024'!$D$5:$D$2220,$B75,'ноябрь 2024'!$J$5:$J$2220,W$1)</f>
        <v>0</v>
      </c>
      <c r="X75" s="80">
        <f>SUMIFS('ноябрь 2024'!$G$5:$G$2220,'ноябрь 2024'!$D$5:$D$2220,$B75,'ноябрь 2024'!$J$5:$J$2220,X$1)</f>
        <v>0</v>
      </c>
      <c r="Y75" s="80">
        <f>SUMIFS('ноябрь 2024'!$G$5:$G$2220,'ноябрь 2024'!$D$5:$D$2220,$B75,'ноябрь 2024'!$J$5:$J$2220,Y$1)</f>
        <v>0</v>
      </c>
      <c r="Z75" s="80">
        <f>SUMIFS('ноябрь 2024'!$G$5:$G$2220,'ноябрь 2024'!$D$5:$D$2220,$B75,'ноябрь 2024'!$J$5:$J$2220,Z$1)</f>
        <v>0</v>
      </c>
      <c r="AA75" s="80">
        <f>SUMIFS('ноябрь 2024'!$G$5:$G$2220,'ноябрь 2024'!$D$5:$D$2220,$B75,'ноябрь 2024'!$J$5:$J$2220,AA$1)</f>
        <v>0</v>
      </c>
      <c r="AB75" s="80">
        <f>SUMIFS('ноябрь 2024'!$G$5:$G$2220,'ноябрь 2024'!$D$5:$D$2220,$B75,'ноябрь 2024'!$J$5:$J$2220,AB$1)</f>
        <v>0</v>
      </c>
      <c r="AC75" s="80">
        <f>SUMIFS('ноябрь 2024'!$G$5:$G$2220,'ноябрь 2024'!$D$5:$D$2220,$B75,'ноябрь 2024'!$J$5:$J$2220,AC$1)</f>
        <v>0</v>
      </c>
      <c r="AD75" s="80">
        <f>SUMIFS('ноябрь 2024'!$G$5:$G$2220,'ноябрь 2024'!$D$5:$D$2220,$B75,'ноябрь 2024'!$J$5:$J$2220,AD$1)</f>
        <v>0</v>
      </c>
      <c r="AE75" s="80">
        <f>SUMIFS('ноябрь 2024'!$G$5:$G$2220,'ноябрь 2024'!$D$5:$D$2220,$B75,'ноябрь 2024'!$J$5:$J$2220,AE$1)</f>
        <v>0</v>
      </c>
      <c r="AF75" s="80">
        <f>SUMIFS('ноябрь 2024'!$G$5:$G$2220,'ноябрь 2024'!$D$5:$D$2220,$B75,'ноябрь 2024'!$J$5:$J$2220,AF$1)</f>
        <v>0</v>
      </c>
      <c r="AG75" s="80">
        <f>SUMIFS('ноябрь 2024'!$G$5:$G$2220,'ноябрь 2024'!$D$5:$D$2220,$B75,'ноябрь 2024'!$J$5:$J$2220,AG$1)</f>
        <v>0</v>
      </c>
      <c r="AH75" s="80">
        <f>SUMIFS('ноябрь 2024'!$G$5:$G$2220,'ноябрь 2024'!$D$5:$D$2220,$B75,'ноябрь 2024'!$J$5:$J$2220,AH$1)</f>
        <v>0</v>
      </c>
      <c r="AI75" s="21">
        <f t="shared" si="1"/>
        <v>0</v>
      </c>
    </row>
    <row r="76" spans="2:35" ht="15" customHeight="1" x14ac:dyDescent="0.25">
      <c r="B76" s="93" t="s">
        <v>173</v>
      </c>
      <c r="C76" s="91">
        <v>200</v>
      </c>
      <c r="D76" s="80">
        <f>SUMIFS('ноябрь 2024'!$G$5:$G$2220,'ноябрь 2024'!$D$5:$D$2220,$B76,'ноябрь 2024'!$J$5:$J$2220,D$1)</f>
        <v>0</v>
      </c>
      <c r="E76" s="80">
        <f>SUMIFS('ноябрь 2024'!$G$5:$G$2220,'ноябрь 2024'!$D$5:$D$2220,$B76,'ноябрь 2024'!$J$5:$J$2220,E$1)</f>
        <v>0</v>
      </c>
      <c r="F76" s="80">
        <f>SUMIFS('ноябрь 2024'!$G$5:$G$2220,'ноябрь 2024'!$D$5:$D$2220,$B76,'ноябрь 2024'!$J$5:$J$2220,F$1)</f>
        <v>0</v>
      </c>
      <c r="G76" s="80">
        <f>SUMIFS('ноябрь 2024'!$G$5:$G$2220,'ноябрь 2024'!$D$5:$D$2220,$B76,'ноябрь 2024'!$J$5:$J$2220,G$1)</f>
        <v>0</v>
      </c>
      <c r="H76" s="80">
        <f>SUMIFS('ноябрь 2024'!$G$5:$G$2220,'ноябрь 2024'!$D$5:$D$2220,$B76,'ноябрь 2024'!$J$5:$J$2220,H$1)</f>
        <v>0</v>
      </c>
      <c r="I76" s="80">
        <f>SUMIFS('ноябрь 2024'!$G$5:$G$2220,'ноябрь 2024'!$D$5:$D$2220,$B76,'ноябрь 2024'!$J$5:$J$2220,I$1)</f>
        <v>0</v>
      </c>
      <c r="J76" s="80">
        <f>SUMIFS('ноябрь 2024'!$G$5:$G$2220,'ноябрь 2024'!$D$5:$D$2220,$B76,'ноябрь 2024'!$J$5:$J$2220,J$1)</f>
        <v>0</v>
      </c>
      <c r="K76" s="80">
        <f>SUMIFS('ноябрь 2024'!$G$5:$G$2220,'ноябрь 2024'!$D$5:$D$2220,$B76,'ноябрь 2024'!$J$5:$J$2220,K$1)</f>
        <v>0</v>
      </c>
      <c r="L76" s="80">
        <f>SUMIFS('ноябрь 2024'!$G$5:$G$2220,'ноябрь 2024'!$D$5:$D$2220,$B76,'ноябрь 2024'!$J$5:$J$2220,L$1)</f>
        <v>0</v>
      </c>
      <c r="M76" s="80">
        <f>SUMIFS('ноябрь 2024'!$G$5:$G$2220,'ноябрь 2024'!$D$5:$D$2220,$B76,'ноябрь 2024'!$J$5:$J$2220,M$1)</f>
        <v>0</v>
      </c>
      <c r="N76" s="80">
        <f>SUMIFS('ноябрь 2024'!$G$5:$G$2220,'ноябрь 2024'!$D$5:$D$2220,$B76,'ноябрь 2024'!$J$5:$J$2220,N$1)</f>
        <v>0</v>
      </c>
      <c r="O76" s="80">
        <f>SUMIFS('ноябрь 2024'!$G$5:$G$2220,'ноябрь 2024'!$D$5:$D$2220,$B76,'ноябрь 2024'!$J$5:$J$2220,O$1)</f>
        <v>0</v>
      </c>
      <c r="P76" s="80">
        <f>SUMIFS('ноябрь 2024'!$G$5:$G$2220,'ноябрь 2024'!$D$5:$D$2220,$B76,'ноябрь 2024'!$J$5:$J$2220,P$1)</f>
        <v>0</v>
      </c>
      <c r="Q76" s="80">
        <f>SUMIFS('ноябрь 2024'!$G$5:$G$2220,'ноябрь 2024'!$D$5:$D$2220,$B76,'ноябрь 2024'!$J$5:$J$2220,Q$1)</f>
        <v>0</v>
      </c>
      <c r="R76" s="80">
        <f>SUMIFS('ноябрь 2024'!$G$5:$G$2220,'ноябрь 2024'!$D$5:$D$2220,$B76,'ноябрь 2024'!$J$5:$J$2220,R$1)</f>
        <v>0</v>
      </c>
      <c r="S76" s="80">
        <f>SUMIFS('ноябрь 2024'!$G$5:$G$2220,'ноябрь 2024'!$D$5:$D$2220,$B76,'ноябрь 2024'!$J$5:$J$2220,S$1)</f>
        <v>0</v>
      </c>
      <c r="T76" s="80">
        <f>SUMIFS('ноябрь 2024'!$G$5:$G$2220,'ноябрь 2024'!$D$5:$D$2220,$B76,'ноябрь 2024'!$J$5:$J$2220,T$1)</f>
        <v>0</v>
      </c>
      <c r="U76" s="80">
        <f>SUMIFS('ноябрь 2024'!$G$5:$G$2220,'ноябрь 2024'!$D$5:$D$2220,$B76,'ноябрь 2024'!$J$5:$J$2220,U$1)</f>
        <v>0</v>
      </c>
      <c r="V76" s="80">
        <f>SUMIFS('ноябрь 2024'!$G$5:$G$2220,'ноябрь 2024'!$D$5:$D$2220,$B76,'ноябрь 2024'!$J$5:$J$2220,V$1)</f>
        <v>0</v>
      </c>
      <c r="W76" s="80">
        <f>SUMIFS('ноябрь 2024'!$G$5:$G$2220,'ноябрь 2024'!$D$5:$D$2220,$B76,'ноябрь 2024'!$J$5:$J$2220,W$1)</f>
        <v>0</v>
      </c>
      <c r="X76" s="80">
        <f>SUMIFS('ноябрь 2024'!$G$5:$G$2220,'ноябрь 2024'!$D$5:$D$2220,$B76,'ноябрь 2024'!$J$5:$J$2220,X$1)</f>
        <v>0</v>
      </c>
      <c r="Y76" s="80">
        <f>SUMIFS('ноябрь 2024'!$G$5:$G$2220,'ноябрь 2024'!$D$5:$D$2220,$B76,'ноябрь 2024'!$J$5:$J$2220,Y$1)</f>
        <v>0</v>
      </c>
      <c r="Z76" s="80">
        <f>SUMIFS('ноябрь 2024'!$G$5:$G$2220,'ноябрь 2024'!$D$5:$D$2220,$B76,'ноябрь 2024'!$J$5:$J$2220,Z$1)</f>
        <v>0</v>
      </c>
      <c r="AA76" s="80">
        <f>SUMIFS('ноябрь 2024'!$G$5:$G$2220,'ноябрь 2024'!$D$5:$D$2220,$B76,'ноябрь 2024'!$J$5:$J$2220,AA$1)</f>
        <v>0</v>
      </c>
      <c r="AB76" s="80">
        <f>SUMIFS('ноябрь 2024'!$G$5:$G$2220,'ноябрь 2024'!$D$5:$D$2220,$B76,'ноябрь 2024'!$J$5:$J$2220,AB$1)</f>
        <v>0</v>
      </c>
      <c r="AC76" s="80">
        <f>SUMIFS('ноябрь 2024'!$G$5:$G$2220,'ноябрь 2024'!$D$5:$D$2220,$B76,'ноябрь 2024'!$J$5:$J$2220,AC$1)</f>
        <v>0</v>
      </c>
      <c r="AD76" s="80">
        <f>SUMIFS('ноябрь 2024'!$G$5:$G$2220,'ноябрь 2024'!$D$5:$D$2220,$B76,'ноябрь 2024'!$J$5:$J$2220,AD$1)</f>
        <v>0</v>
      </c>
      <c r="AE76" s="80">
        <f>SUMIFS('ноябрь 2024'!$G$5:$G$2220,'ноябрь 2024'!$D$5:$D$2220,$B76,'ноябрь 2024'!$J$5:$J$2220,AE$1)</f>
        <v>0</v>
      </c>
      <c r="AF76" s="80">
        <f>SUMIFS('ноябрь 2024'!$G$5:$G$2220,'ноябрь 2024'!$D$5:$D$2220,$B76,'ноябрь 2024'!$J$5:$J$2220,AF$1)</f>
        <v>0</v>
      </c>
      <c r="AG76" s="80">
        <f>SUMIFS('ноябрь 2024'!$G$5:$G$2220,'ноябрь 2024'!$D$5:$D$2220,$B76,'ноябрь 2024'!$J$5:$J$2220,AG$1)</f>
        <v>0</v>
      </c>
      <c r="AH76" s="80">
        <f>SUMIFS('ноябрь 2024'!$G$5:$G$2220,'ноябрь 2024'!$D$5:$D$2220,$B76,'ноябрь 2024'!$J$5:$J$2220,AH$1)</f>
        <v>0</v>
      </c>
      <c r="AI76" s="21">
        <f t="shared" si="1"/>
        <v>0</v>
      </c>
    </row>
    <row r="77" spans="2:35" ht="15" customHeight="1" x14ac:dyDescent="0.25">
      <c r="B77" s="93" t="s">
        <v>174</v>
      </c>
      <c r="C77" s="91">
        <v>200</v>
      </c>
      <c r="D77" s="80">
        <f>SUMIFS('ноябрь 2024'!$G$5:$G$2220,'ноябрь 2024'!$D$5:$D$2220,$B77,'ноябрь 2024'!$J$5:$J$2220,D$1)</f>
        <v>0</v>
      </c>
      <c r="E77" s="80">
        <f>SUMIFS('ноябрь 2024'!$G$5:$G$2220,'ноябрь 2024'!$D$5:$D$2220,$B77,'ноябрь 2024'!$J$5:$J$2220,E$1)</f>
        <v>0</v>
      </c>
      <c r="F77" s="80">
        <f>SUMIFS('ноябрь 2024'!$G$5:$G$2220,'ноябрь 2024'!$D$5:$D$2220,$B77,'ноябрь 2024'!$J$5:$J$2220,F$1)</f>
        <v>0</v>
      </c>
      <c r="G77" s="80">
        <f>SUMIFS('ноябрь 2024'!$G$5:$G$2220,'ноябрь 2024'!$D$5:$D$2220,$B77,'ноябрь 2024'!$J$5:$J$2220,G$1)</f>
        <v>0</v>
      </c>
      <c r="H77" s="80">
        <f>SUMIFS('ноябрь 2024'!$G$5:$G$2220,'ноябрь 2024'!$D$5:$D$2220,$B77,'ноябрь 2024'!$J$5:$J$2220,H$1)</f>
        <v>0</v>
      </c>
      <c r="I77" s="80">
        <f>SUMIFS('ноябрь 2024'!$G$5:$G$2220,'ноябрь 2024'!$D$5:$D$2220,$B77,'ноябрь 2024'!$J$5:$J$2220,I$1)</f>
        <v>0</v>
      </c>
      <c r="J77" s="80">
        <f>SUMIFS('ноябрь 2024'!$G$5:$G$2220,'ноябрь 2024'!$D$5:$D$2220,$B77,'ноябрь 2024'!$J$5:$J$2220,J$1)</f>
        <v>0</v>
      </c>
      <c r="K77" s="80">
        <f>SUMIFS('ноябрь 2024'!$G$5:$G$2220,'ноябрь 2024'!$D$5:$D$2220,$B77,'ноябрь 2024'!$J$5:$J$2220,K$1)</f>
        <v>0</v>
      </c>
      <c r="L77" s="80">
        <f>SUMIFS('ноябрь 2024'!$G$5:$G$2220,'ноябрь 2024'!$D$5:$D$2220,$B77,'ноябрь 2024'!$J$5:$J$2220,L$1)</f>
        <v>0</v>
      </c>
      <c r="M77" s="80">
        <f>SUMIFS('ноябрь 2024'!$G$5:$G$2220,'ноябрь 2024'!$D$5:$D$2220,$B77,'ноябрь 2024'!$J$5:$J$2220,M$1)</f>
        <v>0</v>
      </c>
      <c r="N77" s="80">
        <f>SUMIFS('ноябрь 2024'!$G$5:$G$2220,'ноябрь 2024'!$D$5:$D$2220,$B77,'ноябрь 2024'!$J$5:$J$2220,N$1)</f>
        <v>0</v>
      </c>
      <c r="O77" s="80">
        <f>SUMIFS('ноябрь 2024'!$G$5:$G$2220,'ноябрь 2024'!$D$5:$D$2220,$B77,'ноябрь 2024'!$J$5:$J$2220,O$1)</f>
        <v>0</v>
      </c>
      <c r="P77" s="80">
        <f>SUMIFS('ноябрь 2024'!$G$5:$G$2220,'ноябрь 2024'!$D$5:$D$2220,$B77,'ноябрь 2024'!$J$5:$J$2220,P$1)</f>
        <v>0</v>
      </c>
      <c r="Q77" s="80">
        <f>SUMIFS('ноябрь 2024'!$G$5:$G$2220,'ноябрь 2024'!$D$5:$D$2220,$B77,'ноябрь 2024'!$J$5:$J$2220,Q$1)</f>
        <v>0</v>
      </c>
      <c r="R77" s="80">
        <f>SUMIFS('ноябрь 2024'!$G$5:$G$2220,'ноябрь 2024'!$D$5:$D$2220,$B77,'ноябрь 2024'!$J$5:$J$2220,R$1)</f>
        <v>0</v>
      </c>
      <c r="S77" s="80">
        <f>SUMIFS('ноябрь 2024'!$G$5:$G$2220,'ноябрь 2024'!$D$5:$D$2220,$B77,'ноябрь 2024'!$J$5:$J$2220,S$1)</f>
        <v>0</v>
      </c>
      <c r="T77" s="80">
        <f>SUMIFS('ноябрь 2024'!$G$5:$G$2220,'ноябрь 2024'!$D$5:$D$2220,$B77,'ноябрь 2024'!$J$5:$J$2220,T$1)</f>
        <v>0</v>
      </c>
      <c r="U77" s="80">
        <f>SUMIFS('ноябрь 2024'!$G$5:$G$2220,'ноябрь 2024'!$D$5:$D$2220,$B77,'ноябрь 2024'!$J$5:$J$2220,U$1)</f>
        <v>88</v>
      </c>
      <c r="V77" s="80">
        <f>SUMIFS('ноябрь 2024'!$G$5:$G$2220,'ноябрь 2024'!$D$5:$D$2220,$B77,'ноябрь 2024'!$J$5:$J$2220,V$1)</f>
        <v>0</v>
      </c>
      <c r="W77" s="80">
        <f>SUMIFS('ноябрь 2024'!$G$5:$G$2220,'ноябрь 2024'!$D$5:$D$2220,$B77,'ноябрь 2024'!$J$5:$J$2220,W$1)</f>
        <v>0</v>
      </c>
      <c r="X77" s="80">
        <f>SUMIFS('ноябрь 2024'!$G$5:$G$2220,'ноябрь 2024'!$D$5:$D$2220,$B77,'ноябрь 2024'!$J$5:$J$2220,X$1)</f>
        <v>0</v>
      </c>
      <c r="Y77" s="80">
        <f>SUMIFS('ноябрь 2024'!$G$5:$G$2220,'ноябрь 2024'!$D$5:$D$2220,$B77,'ноябрь 2024'!$J$5:$J$2220,Y$1)</f>
        <v>0</v>
      </c>
      <c r="Z77" s="80">
        <f>SUMIFS('ноябрь 2024'!$G$5:$G$2220,'ноябрь 2024'!$D$5:$D$2220,$B77,'ноябрь 2024'!$J$5:$J$2220,Z$1)</f>
        <v>0</v>
      </c>
      <c r="AA77" s="80">
        <f>SUMIFS('ноябрь 2024'!$G$5:$G$2220,'ноябрь 2024'!$D$5:$D$2220,$B77,'ноябрь 2024'!$J$5:$J$2220,AA$1)</f>
        <v>0</v>
      </c>
      <c r="AB77" s="80">
        <f>SUMIFS('ноябрь 2024'!$G$5:$G$2220,'ноябрь 2024'!$D$5:$D$2220,$B77,'ноябрь 2024'!$J$5:$J$2220,AB$1)</f>
        <v>88</v>
      </c>
      <c r="AC77" s="80">
        <f>SUMIFS('ноябрь 2024'!$G$5:$G$2220,'ноябрь 2024'!$D$5:$D$2220,$B77,'ноябрь 2024'!$J$5:$J$2220,AC$1)</f>
        <v>0</v>
      </c>
      <c r="AD77" s="80">
        <f>SUMIFS('ноябрь 2024'!$G$5:$G$2220,'ноябрь 2024'!$D$5:$D$2220,$B77,'ноябрь 2024'!$J$5:$J$2220,AD$1)</f>
        <v>0</v>
      </c>
      <c r="AE77" s="80">
        <f>SUMIFS('ноябрь 2024'!$G$5:$G$2220,'ноябрь 2024'!$D$5:$D$2220,$B77,'ноябрь 2024'!$J$5:$J$2220,AE$1)</f>
        <v>0</v>
      </c>
      <c r="AF77" s="80">
        <f>SUMIFS('ноябрь 2024'!$G$5:$G$2220,'ноябрь 2024'!$D$5:$D$2220,$B77,'ноябрь 2024'!$J$5:$J$2220,AF$1)</f>
        <v>0</v>
      </c>
      <c r="AG77" s="80">
        <f>SUMIFS('ноябрь 2024'!$G$5:$G$2220,'ноябрь 2024'!$D$5:$D$2220,$B77,'ноябрь 2024'!$J$5:$J$2220,AG$1)</f>
        <v>0</v>
      </c>
      <c r="AH77" s="80">
        <f>SUMIFS('ноябрь 2024'!$G$5:$G$2220,'ноябрь 2024'!$D$5:$D$2220,$B77,'ноябрь 2024'!$J$5:$J$2220,AH$1)</f>
        <v>0</v>
      </c>
      <c r="AI77" s="21">
        <f t="shared" si="1"/>
        <v>176</v>
      </c>
    </row>
    <row r="78" spans="2:35" ht="15" customHeight="1" x14ac:dyDescent="0.25">
      <c r="B78" s="93" t="s">
        <v>1458</v>
      </c>
      <c r="C78" s="91">
        <v>200</v>
      </c>
      <c r="D78" s="80">
        <f>SUMIFS('ноябрь 2024'!$G$5:$G$2220,'ноябрь 2024'!$D$5:$D$2220,$B78,'ноябрь 2024'!$J$5:$J$2220,D$1)</f>
        <v>0</v>
      </c>
      <c r="E78" s="80">
        <f>SUMIFS('ноябрь 2024'!$G$5:$G$2220,'ноябрь 2024'!$D$5:$D$2220,$B78,'ноябрь 2024'!$J$5:$J$2220,E$1)</f>
        <v>0</v>
      </c>
      <c r="F78" s="80">
        <f>SUMIFS('ноябрь 2024'!$G$5:$G$2220,'ноябрь 2024'!$D$5:$D$2220,$B78,'ноябрь 2024'!$J$5:$J$2220,F$1)</f>
        <v>0</v>
      </c>
      <c r="G78" s="80">
        <f>SUMIFS('ноябрь 2024'!$G$5:$G$2220,'ноябрь 2024'!$D$5:$D$2220,$B78,'ноябрь 2024'!$J$5:$J$2220,G$1)</f>
        <v>0</v>
      </c>
      <c r="H78" s="80">
        <f>SUMIFS('ноябрь 2024'!$G$5:$G$2220,'ноябрь 2024'!$D$5:$D$2220,$B78,'ноябрь 2024'!$J$5:$J$2220,H$1)</f>
        <v>0</v>
      </c>
      <c r="I78" s="80">
        <f>SUMIFS('ноябрь 2024'!$G$5:$G$2220,'ноябрь 2024'!$D$5:$D$2220,$B78,'ноябрь 2024'!$J$5:$J$2220,I$1)</f>
        <v>0</v>
      </c>
      <c r="J78" s="80">
        <f>SUMIFS('ноябрь 2024'!$G$5:$G$2220,'ноябрь 2024'!$D$5:$D$2220,$B78,'ноябрь 2024'!$J$5:$J$2220,J$1)</f>
        <v>0</v>
      </c>
      <c r="K78" s="80">
        <f>SUMIFS('ноябрь 2024'!$G$5:$G$2220,'ноябрь 2024'!$D$5:$D$2220,$B78,'ноябрь 2024'!$J$5:$J$2220,K$1)</f>
        <v>0</v>
      </c>
      <c r="L78" s="80">
        <f>SUMIFS('ноябрь 2024'!$G$5:$G$2220,'ноябрь 2024'!$D$5:$D$2220,$B78,'ноябрь 2024'!$J$5:$J$2220,L$1)</f>
        <v>0</v>
      </c>
      <c r="M78" s="80">
        <f>SUMIFS('ноябрь 2024'!$G$5:$G$2220,'ноябрь 2024'!$D$5:$D$2220,$B78,'ноябрь 2024'!$J$5:$J$2220,M$1)</f>
        <v>0</v>
      </c>
      <c r="N78" s="80">
        <f>SUMIFS('ноябрь 2024'!$G$5:$G$2220,'ноябрь 2024'!$D$5:$D$2220,$B78,'ноябрь 2024'!$J$5:$J$2220,N$1)</f>
        <v>0</v>
      </c>
      <c r="O78" s="80">
        <f>SUMIFS('ноябрь 2024'!$G$5:$G$2220,'ноябрь 2024'!$D$5:$D$2220,$B78,'ноябрь 2024'!$J$5:$J$2220,O$1)</f>
        <v>0</v>
      </c>
      <c r="P78" s="80">
        <f>SUMIFS('ноябрь 2024'!$G$5:$G$2220,'ноябрь 2024'!$D$5:$D$2220,$B78,'ноябрь 2024'!$J$5:$J$2220,P$1)</f>
        <v>0</v>
      </c>
      <c r="Q78" s="80">
        <f>SUMIFS('ноябрь 2024'!$G$5:$G$2220,'ноябрь 2024'!$D$5:$D$2220,$B78,'ноябрь 2024'!$J$5:$J$2220,Q$1)</f>
        <v>0</v>
      </c>
      <c r="R78" s="80">
        <f>SUMIFS('ноябрь 2024'!$G$5:$G$2220,'ноябрь 2024'!$D$5:$D$2220,$B78,'ноябрь 2024'!$J$5:$J$2220,R$1)</f>
        <v>0</v>
      </c>
      <c r="S78" s="80">
        <f>SUMIFS('ноябрь 2024'!$G$5:$G$2220,'ноябрь 2024'!$D$5:$D$2220,$B78,'ноябрь 2024'!$J$5:$J$2220,S$1)</f>
        <v>0</v>
      </c>
      <c r="T78" s="80">
        <f>SUMIFS('ноябрь 2024'!$G$5:$G$2220,'ноябрь 2024'!$D$5:$D$2220,$B78,'ноябрь 2024'!$J$5:$J$2220,T$1)</f>
        <v>0</v>
      </c>
      <c r="U78" s="80">
        <f>SUMIFS('ноябрь 2024'!$G$5:$G$2220,'ноябрь 2024'!$D$5:$D$2220,$B78,'ноябрь 2024'!$J$5:$J$2220,U$1)</f>
        <v>0</v>
      </c>
      <c r="V78" s="80">
        <f>SUMIFS('ноябрь 2024'!$G$5:$G$2220,'ноябрь 2024'!$D$5:$D$2220,$B78,'ноябрь 2024'!$J$5:$J$2220,V$1)</f>
        <v>0</v>
      </c>
      <c r="W78" s="80">
        <f>SUMIFS('ноябрь 2024'!$G$5:$G$2220,'ноябрь 2024'!$D$5:$D$2220,$B78,'ноябрь 2024'!$J$5:$J$2220,W$1)</f>
        <v>0</v>
      </c>
      <c r="X78" s="80">
        <f>SUMIFS('ноябрь 2024'!$G$5:$G$2220,'ноябрь 2024'!$D$5:$D$2220,$B78,'ноябрь 2024'!$J$5:$J$2220,X$1)</f>
        <v>0</v>
      </c>
      <c r="Y78" s="80">
        <f>SUMIFS('ноябрь 2024'!$G$5:$G$2220,'ноябрь 2024'!$D$5:$D$2220,$B78,'ноябрь 2024'!$J$5:$J$2220,Y$1)</f>
        <v>0</v>
      </c>
      <c r="Z78" s="80">
        <f>SUMIFS('ноябрь 2024'!$G$5:$G$2220,'ноябрь 2024'!$D$5:$D$2220,$B78,'ноябрь 2024'!$J$5:$J$2220,Z$1)</f>
        <v>0</v>
      </c>
      <c r="AA78" s="80">
        <f>SUMIFS('ноябрь 2024'!$G$5:$G$2220,'ноябрь 2024'!$D$5:$D$2220,$B78,'ноябрь 2024'!$J$5:$J$2220,AA$1)</f>
        <v>0</v>
      </c>
      <c r="AB78" s="80">
        <f>SUMIFS('ноябрь 2024'!$G$5:$G$2220,'ноябрь 2024'!$D$5:$D$2220,$B78,'ноябрь 2024'!$J$5:$J$2220,AB$1)</f>
        <v>0</v>
      </c>
      <c r="AC78" s="80">
        <f>SUMIFS('ноябрь 2024'!$G$5:$G$2220,'ноябрь 2024'!$D$5:$D$2220,$B78,'ноябрь 2024'!$J$5:$J$2220,AC$1)</f>
        <v>0</v>
      </c>
      <c r="AD78" s="80">
        <f>SUMIFS('ноябрь 2024'!$G$5:$G$2220,'ноябрь 2024'!$D$5:$D$2220,$B78,'ноябрь 2024'!$J$5:$J$2220,AD$1)</f>
        <v>0</v>
      </c>
      <c r="AE78" s="80">
        <f>SUMIFS('ноябрь 2024'!$G$5:$G$2220,'ноябрь 2024'!$D$5:$D$2220,$B78,'ноябрь 2024'!$J$5:$J$2220,AE$1)</f>
        <v>0</v>
      </c>
      <c r="AF78" s="80">
        <f>SUMIFS('ноябрь 2024'!$G$5:$G$2220,'ноябрь 2024'!$D$5:$D$2220,$B78,'ноябрь 2024'!$J$5:$J$2220,AF$1)</f>
        <v>0</v>
      </c>
      <c r="AG78" s="80">
        <f>SUMIFS('ноябрь 2024'!$G$5:$G$2220,'ноябрь 2024'!$D$5:$D$2220,$B78,'ноябрь 2024'!$J$5:$J$2220,AG$1)</f>
        <v>0</v>
      </c>
      <c r="AH78" s="80">
        <f>SUMIFS('ноябрь 2024'!$G$5:$G$2220,'ноябрь 2024'!$D$5:$D$2220,$B78,'ноябрь 2024'!$J$5:$J$2220,AH$1)</f>
        <v>0</v>
      </c>
      <c r="AI78" s="21">
        <f t="shared" si="1"/>
        <v>0</v>
      </c>
    </row>
    <row r="79" spans="2:35" ht="15" customHeight="1" x14ac:dyDescent="0.25">
      <c r="B79" s="93" t="s">
        <v>321</v>
      </c>
      <c r="C79" s="91">
        <v>190</v>
      </c>
      <c r="D79" s="80">
        <f>SUMIFS('ноябрь 2024'!$G$5:$G$2220,'ноябрь 2024'!$D$5:$D$2220,$B79,'ноябрь 2024'!$J$5:$J$2220,D$1)</f>
        <v>0</v>
      </c>
      <c r="E79" s="80">
        <f>SUMIFS('ноябрь 2024'!$G$5:$G$2220,'ноябрь 2024'!$D$5:$D$2220,$B79,'ноябрь 2024'!$J$5:$J$2220,E$1)</f>
        <v>0</v>
      </c>
      <c r="F79" s="80">
        <f>SUMIFS('ноябрь 2024'!$G$5:$G$2220,'ноябрь 2024'!$D$5:$D$2220,$B79,'ноябрь 2024'!$J$5:$J$2220,F$1)</f>
        <v>0</v>
      </c>
      <c r="G79" s="80">
        <f>SUMIFS('ноябрь 2024'!$G$5:$G$2220,'ноябрь 2024'!$D$5:$D$2220,$B79,'ноябрь 2024'!$J$5:$J$2220,G$1)</f>
        <v>0</v>
      </c>
      <c r="H79" s="80">
        <f>SUMIFS('ноябрь 2024'!$G$5:$G$2220,'ноябрь 2024'!$D$5:$D$2220,$B79,'ноябрь 2024'!$J$5:$J$2220,H$1)</f>
        <v>0</v>
      </c>
      <c r="I79" s="80">
        <f>SUMIFS('ноябрь 2024'!$G$5:$G$2220,'ноябрь 2024'!$D$5:$D$2220,$B79,'ноябрь 2024'!$J$5:$J$2220,I$1)</f>
        <v>0</v>
      </c>
      <c r="J79" s="80">
        <f>SUMIFS('ноябрь 2024'!$G$5:$G$2220,'ноябрь 2024'!$D$5:$D$2220,$B79,'ноябрь 2024'!$J$5:$J$2220,J$1)</f>
        <v>0</v>
      </c>
      <c r="K79" s="80">
        <f>SUMIFS('ноябрь 2024'!$G$5:$G$2220,'ноябрь 2024'!$D$5:$D$2220,$B79,'ноябрь 2024'!$J$5:$J$2220,K$1)</f>
        <v>0</v>
      </c>
      <c r="L79" s="80">
        <f>SUMIFS('ноябрь 2024'!$G$5:$G$2220,'ноябрь 2024'!$D$5:$D$2220,$B79,'ноябрь 2024'!$J$5:$J$2220,L$1)</f>
        <v>0</v>
      </c>
      <c r="M79" s="80">
        <f>SUMIFS('ноябрь 2024'!$G$5:$G$2220,'ноябрь 2024'!$D$5:$D$2220,$B79,'ноябрь 2024'!$J$5:$J$2220,M$1)</f>
        <v>0</v>
      </c>
      <c r="N79" s="80">
        <f>SUMIFS('ноябрь 2024'!$G$5:$G$2220,'ноябрь 2024'!$D$5:$D$2220,$B79,'ноябрь 2024'!$J$5:$J$2220,N$1)</f>
        <v>0</v>
      </c>
      <c r="O79" s="80">
        <f>SUMIFS('ноябрь 2024'!$G$5:$G$2220,'ноябрь 2024'!$D$5:$D$2220,$B79,'ноябрь 2024'!$J$5:$J$2220,O$1)</f>
        <v>0</v>
      </c>
      <c r="P79" s="80">
        <f>SUMIFS('ноябрь 2024'!$G$5:$G$2220,'ноябрь 2024'!$D$5:$D$2220,$B79,'ноябрь 2024'!$J$5:$J$2220,P$1)</f>
        <v>0</v>
      </c>
      <c r="Q79" s="80">
        <f>SUMIFS('ноябрь 2024'!$G$5:$G$2220,'ноябрь 2024'!$D$5:$D$2220,$B79,'ноябрь 2024'!$J$5:$J$2220,Q$1)</f>
        <v>0</v>
      </c>
      <c r="R79" s="80">
        <f>SUMIFS('ноябрь 2024'!$G$5:$G$2220,'ноябрь 2024'!$D$5:$D$2220,$B79,'ноябрь 2024'!$J$5:$J$2220,R$1)</f>
        <v>0</v>
      </c>
      <c r="S79" s="80">
        <f>SUMIFS('ноябрь 2024'!$G$5:$G$2220,'ноябрь 2024'!$D$5:$D$2220,$B79,'ноябрь 2024'!$J$5:$J$2220,S$1)</f>
        <v>0</v>
      </c>
      <c r="T79" s="80">
        <f>SUMIFS('ноябрь 2024'!$G$5:$G$2220,'ноябрь 2024'!$D$5:$D$2220,$B79,'ноябрь 2024'!$J$5:$J$2220,T$1)</f>
        <v>0</v>
      </c>
      <c r="U79" s="80">
        <f>SUMIFS('ноябрь 2024'!$G$5:$G$2220,'ноябрь 2024'!$D$5:$D$2220,$B79,'ноябрь 2024'!$J$5:$J$2220,U$1)</f>
        <v>0</v>
      </c>
      <c r="V79" s="80">
        <f>SUMIFS('ноябрь 2024'!$G$5:$G$2220,'ноябрь 2024'!$D$5:$D$2220,$B79,'ноябрь 2024'!$J$5:$J$2220,V$1)</f>
        <v>0</v>
      </c>
      <c r="W79" s="80">
        <f>SUMIFS('ноябрь 2024'!$G$5:$G$2220,'ноябрь 2024'!$D$5:$D$2220,$B79,'ноябрь 2024'!$J$5:$J$2220,W$1)</f>
        <v>0</v>
      </c>
      <c r="X79" s="80">
        <f>SUMIFS('ноябрь 2024'!$G$5:$G$2220,'ноябрь 2024'!$D$5:$D$2220,$B79,'ноябрь 2024'!$J$5:$J$2220,X$1)</f>
        <v>0</v>
      </c>
      <c r="Y79" s="80">
        <f>SUMIFS('ноябрь 2024'!$G$5:$G$2220,'ноябрь 2024'!$D$5:$D$2220,$B79,'ноябрь 2024'!$J$5:$J$2220,Y$1)</f>
        <v>0</v>
      </c>
      <c r="Z79" s="80">
        <f>SUMIFS('ноябрь 2024'!$G$5:$G$2220,'ноябрь 2024'!$D$5:$D$2220,$B79,'ноябрь 2024'!$J$5:$J$2220,Z$1)</f>
        <v>0</v>
      </c>
      <c r="AA79" s="80">
        <f>SUMIFS('ноябрь 2024'!$G$5:$G$2220,'ноябрь 2024'!$D$5:$D$2220,$B79,'ноябрь 2024'!$J$5:$J$2220,AA$1)</f>
        <v>0</v>
      </c>
      <c r="AB79" s="80">
        <f>SUMIFS('ноябрь 2024'!$G$5:$G$2220,'ноябрь 2024'!$D$5:$D$2220,$B79,'ноябрь 2024'!$J$5:$J$2220,AB$1)</f>
        <v>0</v>
      </c>
      <c r="AC79" s="80">
        <f>SUMIFS('ноябрь 2024'!$G$5:$G$2220,'ноябрь 2024'!$D$5:$D$2220,$B79,'ноябрь 2024'!$J$5:$J$2220,AC$1)</f>
        <v>0</v>
      </c>
      <c r="AD79" s="80">
        <f>SUMIFS('ноябрь 2024'!$G$5:$G$2220,'ноябрь 2024'!$D$5:$D$2220,$B79,'ноябрь 2024'!$J$5:$J$2220,AD$1)</f>
        <v>0</v>
      </c>
      <c r="AE79" s="80">
        <f>SUMIFS('ноябрь 2024'!$G$5:$G$2220,'ноябрь 2024'!$D$5:$D$2220,$B79,'ноябрь 2024'!$J$5:$J$2220,AE$1)</f>
        <v>0</v>
      </c>
      <c r="AF79" s="80">
        <f>SUMIFS('ноябрь 2024'!$G$5:$G$2220,'ноябрь 2024'!$D$5:$D$2220,$B79,'ноябрь 2024'!$J$5:$J$2220,AF$1)</f>
        <v>0</v>
      </c>
      <c r="AG79" s="80">
        <f>SUMIFS('ноябрь 2024'!$G$5:$G$2220,'ноябрь 2024'!$D$5:$D$2220,$B79,'ноябрь 2024'!$J$5:$J$2220,AG$1)</f>
        <v>0</v>
      </c>
      <c r="AH79" s="80">
        <f>SUMIFS('ноябрь 2024'!$G$5:$G$2220,'ноябрь 2024'!$D$5:$D$2220,$B79,'ноябрь 2024'!$J$5:$J$2220,AH$1)</f>
        <v>0</v>
      </c>
      <c r="AI79" s="21">
        <f t="shared" si="1"/>
        <v>0</v>
      </c>
    </row>
    <row r="80" spans="2:35" ht="15" customHeight="1" x14ac:dyDescent="0.25">
      <c r="B80" s="89" t="s">
        <v>199</v>
      </c>
      <c r="C80" s="88">
        <v>180</v>
      </c>
      <c r="D80" s="80">
        <f>SUMIFS('ноябрь 2024'!$G$5:$G$2220,'ноябрь 2024'!$D$5:$D$2220,$B80,'ноябрь 2024'!$J$5:$J$2220,D$1)</f>
        <v>0</v>
      </c>
      <c r="E80" s="80">
        <f>SUMIFS('ноябрь 2024'!$G$5:$G$2220,'ноябрь 2024'!$D$5:$D$2220,$B80,'ноябрь 2024'!$J$5:$J$2220,E$1)</f>
        <v>0</v>
      </c>
      <c r="F80" s="80">
        <f>SUMIFS('ноябрь 2024'!$G$5:$G$2220,'ноябрь 2024'!$D$5:$D$2220,$B80,'ноябрь 2024'!$J$5:$J$2220,F$1)</f>
        <v>0</v>
      </c>
      <c r="G80" s="80">
        <f>SUMIFS('ноябрь 2024'!$G$5:$G$2220,'ноябрь 2024'!$D$5:$D$2220,$B80,'ноябрь 2024'!$J$5:$J$2220,G$1)</f>
        <v>0</v>
      </c>
      <c r="H80" s="80">
        <f>SUMIFS('ноябрь 2024'!$G$5:$G$2220,'ноябрь 2024'!$D$5:$D$2220,$B80,'ноябрь 2024'!$J$5:$J$2220,H$1)</f>
        <v>0</v>
      </c>
      <c r="I80" s="80">
        <f>SUMIFS('ноябрь 2024'!$G$5:$G$2220,'ноябрь 2024'!$D$5:$D$2220,$B80,'ноябрь 2024'!$J$5:$J$2220,I$1)</f>
        <v>0</v>
      </c>
      <c r="J80" s="80">
        <f>SUMIFS('ноябрь 2024'!$G$5:$G$2220,'ноябрь 2024'!$D$5:$D$2220,$B80,'ноябрь 2024'!$J$5:$J$2220,J$1)</f>
        <v>0</v>
      </c>
      <c r="K80" s="80">
        <f>SUMIFS('ноябрь 2024'!$G$5:$G$2220,'ноябрь 2024'!$D$5:$D$2220,$B80,'ноябрь 2024'!$J$5:$J$2220,K$1)</f>
        <v>0</v>
      </c>
      <c r="L80" s="80">
        <f>SUMIFS('ноябрь 2024'!$G$5:$G$2220,'ноябрь 2024'!$D$5:$D$2220,$B80,'ноябрь 2024'!$J$5:$J$2220,L$1)</f>
        <v>0</v>
      </c>
      <c r="M80" s="80">
        <f>SUMIFS('ноябрь 2024'!$G$5:$G$2220,'ноябрь 2024'!$D$5:$D$2220,$B80,'ноябрь 2024'!$J$5:$J$2220,M$1)</f>
        <v>0</v>
      </c>
      <c r="N80" s="80">
        <f>SUMIFS('ноябрь 2024'!$G$5:$G$2220,'ноябрь 2024'!$D$5:$D$2220,$B80,'ноябрь 2024'!$J$5:$J$2220,N$1)</f>
        <v>0</v>
      </c>
      <c r="O80" s="80">
        <f>SUMIFS('ноябрь 2024'!$G$5:$G$2220,'ноябрь 2024'!$D$5:$D$2220,$B80,'ноябрь 2024'!$J$5:$J$2220,O$1)</f>
        <v>0</v>
      </c>
      <c r="P80" s="80">
        <f>SUMIFS('ноябрь 2024'!$G$5:$G$2220,'ноябрь 2024'!$D$5:$D$2220,$B80,'ноябрь 2024'!$J$5:$J$2220,P$1)</f>
        <v>0</v>
      </c>
      <c r="Q80" s="80">
        <f>SUMIFS('ноябрь 2024'!$G$5:$G$2220,'ноябрь 2024'!$D$5:$D$2220,$B80,'ноябрь 2024'!$J$5:$J$2220,Q$1)</f>
        <v>0</v>
      </c>
      <c r="R80" s="80">
        <f>SUMIFS('ноябрь 2024'!$G$5:$G$2220,'ноябрь 2024'!$D$5:$D$2220,$B80,'ноябрь 2024'!$J$5:$J$2220,R$1)</f>
        <v>0</v>
      </c>
      <c r="S80" s="80">
        <f>SUMIFS('ноябрь 2024'!$G$5:$G$2220,'ноябрь 2024'!$D$5:$D$2220,$B80,'ноябрь 2024'!$J$5:$J$2220,S$1)</f>
        <v>0</v>
      </c>
      <c r="T80" s="80">
        <f>SUMIFS('ноябрь 2024'!$G$5:$G$2220,'ноябрь 2024'!$D$5:$D$2220,$B80,'ноябрь 2024'!$J$5:$J$2220,T$1)</f>
        <v>0</v>
      </c>
      <c r="U80" s="80">
        <f>SUMIFS('ноябрь 2024'!$G$5:$G$2220,'ноябрь 2024'!$D$5:$D$2220,$B80,'ноябрь 2024'!$J$5:$J$2220,U$1)</f>
        <v>0</v>
      </c>
      <c r="V80" s="80">
        <f>SUMIFS('ноябрь 2024'!$G$5:$G$2220,'ноябрь 2024'!$D$5:$D$2220,$B80,'ноябрь 2024'!$J$5:$J$2220,V$1)</f>
        <v>0</v>
      </c>
      <c r="W80" s="80">
        <f>SUMIFS('ноябрь 2024'!$G$5:$G$2220,'ноябрь 2024'!$D$5:$D$2220,$B80,'ноябрь 2024'!$J$5:$J$2220,W$1)</f>
        <v>0</v>
      </c>
      <c r="X80" s="80">
        <f>SUMIFS('ноябрь 2024'!$G$5:$G$2220,'ноябрь 2024'!$D$5:$D$2220,$B80,'ноябрь 2024'!$J$5:$J$2220,X$1)</f>
        <v>0</v>
      </c>
      <c r="Y80" s="80">
        <f>SUMIFS('ноябрь 2024'!$G$5:$G$2220,'ноябрь 2024'!$D$5:$D$2220,$B80,'ноябрь 2024'!$J$5:$J$2220,Y$1)</f>
        <v>0</v>
      </c>
      <c r="Z80" s="80">
        <f>SUMIFS('ноябрь 2024'!$G$5:$G$2220,'ноябрь 2024'!$D$5:$D$2220,$B80,'ноябрь 2024'!$J$5:$J$2220,Z$1)</f>
        <v>0</v>
      </c>
      <c r="AA80" s="80">
        <f>SUMIFS('ноябрь 2024'!$G$5:$G$2220,'ноябрь 2024'!$D$5:$D$2220,$B80,'ноябрь 2024'!$J$5:$J$2220,AA$1)</f>
        <v>0</v>
      </c>
      <c r="AB80" s="80">
        <f>SUMIFS('ноябрь 2024'!$G$5:$G$2220,'ноябрь 2024'!$D$5:$D$2220,$B80,'ноябрь 2024'!$J$5:$J$2220,AB$1)</f>
        <v>0</v>
      </c>
      <c r="AC80" s="80">
        <f>SUMIFS('ноябрь 2024'!$G$5:$G$2220,'ноябрь 2024'!$D$5:$D$2220,$B80,'ноябрь 2024'!$J$5:$J$2220,AC$1)</f>
        <v>0</v>
      </c>
      <c r="AD80" s="80">
        <f>SUMIFS('ноябрь 2024'!$G$5:$G$2220,'ноябрь 2024'!$D$5:$D$2220,$B80,'ноябрь 2024'!$J$5:$J$2220,AD$1)</f>
        <v>0</v>
      </c>
      <c r="AE80" s="80">
        <f>SUMIFS('ноябрь 2024'!$G$5:$G$2220,'ноябрь 2024'!$D$5:$D$2220,$B80,'ноябрь 2024'!$J$5:$J$2220,AE$1)</f>
        <v>0</v>
      </c>
      <c r="AF80" s="80">
        <f>SUMIFS('ноябрь 2024'!$G$5:$G$2220,'ноябрь 2024'!$D$5:$D$2220,$B80,'ноябрь 2024'!$J$5:$J$2220,AF$1)</f>
        <v>0</v>
      </c>
      <c r="AG80" s="80">
        <f>SUMIFS('ноябрь 2024'!$G$5:$G$2220,'ноябрь 2024'!$D$5:$D$2220,$B80,'ноябрь 2024'!$J$5:$J$2220,AG$1)</f>
        <v>0</v>
      </c>
      <c r="AH80" s="80">
        <f>SUMIFS('ноябрь 2024'!$G$5:$G$2220,'ноябрь 2024'!$D$5:$D$2220,$B80,'ноябрь 2024'!$J$5:$J$2220,AH$1)</f>
        <v>0</v>
      </c>
      <c r="AI80" s="21">
        <f t="shared" si="1"/>
        <v>0</v>
      </c>
    </row>
    <row r="81" spans="2:35" ht="15" customHeight="1" x14ac:dyDescent="0.25">
      <c r="B81" s="93" t="s">
        <v>200</v>
      </c>
      <c r="C81" s="91">
        <v>190</v>
      </c>
      <c r="D81" s="80">
        <f>SUMIFS('ноябрь 2024'!$G$5:$G$2220,'ноябрь 2024'!$D$5:$D$2220,$B81,'ноябрь 2024'!$J$5:$J$2220,D$1)</f>
        <v>0</v>
      </c>
      <c r="E81" s="80">
        <f>SUMIFS('ноябрь 2024'!$G$5:$G$2220,'ноябрь 2024'!$D$5:$D$2220,$B81,'ноябрь 2024'!$J$5:$J$2220,E$1)</f>
        <v>0</v>
      </c>
      <c r="F81" s="80">
        <f>SUMIFS('ноябрь 2024'!$G$5:$G$2220,'ноябрь 2024'!$D$5:$D$2220,$B81,'ноябрь 2024'!$J$5:$J$2220,F$1)</f>
        <v>0</v>
      </c>
      <c r="G81" s="80">
        <f>SUMIFS('ноябрь 2024'!$G$5:$G$2220,'ноябрь 2024'!$D$5:$D$2220,$B81,'ноябрь 2024'!$J$5:$J$2220,G$1)</f>
        <v>0</v>
      </c>
      <c r="H81" s="80">
        <f>SUMIFS('ноябрь 2024'!$G$5:$G$2220,'ноябрь 2024'!$D$5:$D$2220,$B81,'ноябрь 2024'!$J$5:$J$2220,H$1)</f>
        <v>0</v>
      </c>
      <c r="I81" s="80">
        <f>SUMIFS('ноябрь 2024'!$G$5:$G$2220,'ноябрь 2024'!$D$5:$D$2220,$B81,'ноябрь 2024'!$J$5:$J$2220,I$1)</f>
        <v>0</v>
      </c>
      <c r="J81" s="80">
        <f>SUMIFS('ноябрь 2024'!$G$5:$G$2220,'ноябрь 2024'!$D$5:$D$2220,$B81,'ноябрь 2024'!$J$5:$J$2220,J$1)</f>
        <v>0</v>
      </c>
      <c r="K81" s="80">
        <f>SUMIFS('ноябрь 2024'!$G$5:$G$2220,'ноябрь 2024'!$D$5:$D$2220,$B81,'ноябрь 2024'!$J$5:$J$2220,K$1)</f>
        <v>0</v>
      </c>
      <c r="L81" s="80">
        <f>SUMIFS('ноябрь 2024'!$G$5:$G$2220,'ноябрь 2024'!$D$5:$D$2220,$B81,'ноябрь 2024'!$J$5:$J$2220,L$1)</f>
        <v>0</v>
      </c>
      <c r="M81" s="80">
        <f>SUMIFS('ноябрь 2024'!$G$5:$G$2220,'ноябрь 2024'!$D$5:$D$2220,$B81,'ноябрь 2024'!$J$5:$J$2220,M$1)</f>
        <v>0</v>
      </c>
      <c r="N81" s="80">
        <f>SUMIFS('ноябрь 2024'!$G$5:$G$2220,'ноябрь 2024'!$D$5:$D$2220,$B81,'ноябрь 2024'!$J$5:$J$2220,N$1)</f>
        <v>0</v>
      </c>
      <c r="O81" s="80">
        <f>SUMIFS('ноябрь 2024'!$G$5:$G$2220,'ноябрь 2024'!$D$5:$D$2220,$B81,'ноябрь 2024'!$J$5:$J$2220,O$1)</f>
        <v>0</v>
      </c>
      <c r="P81" s="80">
        <f>SUMIFS('ноябрь 2024'!$G$5:$G$2220,'ноябрь 2024'!$D$5:$D$2220,$B81,'ноябрь 2024'!$J$5:$J$2220,P$1)</f>
        <v>0</v>
      </c>
      <c r="Q81" s="80">
        <f>SUMIFS('ноябрь 2024'!$G$5:$G$2220,'ноябрь 2024'!$D$5:$D$2220,$B81,'ноябрь 2024'!$J$5:$J$2220,Q$1)</f>
        <v>0</v>
      </c>
      <c r="R81" s="80">
        <f>SUMIFS('ноябрь 2024'!$G$5:$G$2220,'ноябрь 2024'!$D$5:$D$2220,$B81,'ноябрь 2024'!$J$5:$J$2220,R$1)</f>
        <v>0</v>
      </c>
      <c r="S81" s="80">
        <f>SUMIFS('ноябрь 2024'!$G$5:$G$2220,'ноябрь 2024'!$D$5:$D$2220,$B81,'ноябрь 2024'!$J$5:$J$2220,S$1)</f>
        <v>0</v>
      </c>
      <c r="T81" s="80">
        <f>SUMIFS('ноябрь 2024'!$G$5:$G$2220,'ноябрь 2024'!$D$5:$D$2220,$B81,'ноябрь 2024'!$J$5:$J$2220,T$1)</f>
        <v>0</v>
      </c>
      <c r="U81" s="80">
        <f>SUMIFS('ноябрь 2024'!$G$5:$G$2220,'ноябрь 2024'!$D$5:$D$2220,$B81,'ноябрь 2024'!$J$5:$J$2220,U$1)</f>
        <v>0</v>
      </c>
      <c r="V81" s="80">
        <f>SUMIFS('ноябрь 2024'!$G$5:$G$2220,'ноябрь 2024'!$D$5:$D$2220,$B81,'ноябрь 2024'!$J$5:$J$2220,V$1)</f>
        <v>0</v>
      </c>
      <c r="W81" s="80">
        <f>SUMIFS('ноябрь 2024'!$G$5:$G$2220,'ноябрь 2024'!$D$5:$D$2220,$B81,'ноябрь 2024'!$J$5:$J$2220,W$1)</f>
        <v>0</v>
      </c>
      <c r="X81" s="80">
        <f>SUMIFS('ноябрь 2024'!$G$5:$G$2220,'ноябрь 2024'!$D$5:$D$2220,$B81,'ноябрь 2024'!$J$5:$J$2220,X$1)</f>
        <v>0</v>
      </c>
      <c r="Y81" s="80">
        <f>SUMIFS('ноябрь 2024'!$G$5:$G$2220,'ноябрь 2024'!$D$5:$D$2220,$B81,'ноябрь 2024'!$J$5:$J$2220,Y$1)</f>
        <v>0</v>
      </c>
      <c r="Z81" s="80">
        <f>SUMIFS('ноябрь 2024'!$G$5:$G$2220,'ноябрь 2024'!$D$5:$D$2220,$B81,'ноябрь 2024'!$J$5:$J$2220,Z$1)</f>
        <v>0</v>
      </c>
      <c r="AA81" s="80">
        <f>SUMIFS('ноябрь 2024'!$G$5:$G$2220,'ноябрь 2024'!$D$5:$D$2220,$B81,'ноябрь 2024'!$J$5:$J$2220,AA$1)</f>
        <v>0</v>
      </c>
      <c r="AB81" s="80">
        <f>SUMIFS('ноябрь 2024'!$G$5:$G$2220,'ноябрь 2024'!$D$5:$D$2220,$B81,'ноябрь 2024'!$J$5:$J$2220,AB$1)</f>
        <v>0</v>
      </c>
      <c r="AC81" s="80">
        <f>SUMIFS('ноябрь 2024'!$G$5:$G$2220,'ноябрь 2024'!$D$5:$D$2220,$B81,'ноябрь 2024'!$J$5:$J$2220,AC$1)</f>
        <v>0</v>
      </c>
      <c r="AD81" s="80">
        <f>SUMIFS('ноябрь 2024'!$G$5:$G$2220,'ноябрь 2024'!$D$5:$D$2220,$B81,'ноябрь 2024'!$J$5:$J$2220,AD$1)</f>
        <v>0</v>
      </c>
      <c r="AE81" s="80">
        <f>SUMIFS('ноябрь 2024'!$G$5:$G$2220,'ноябрь 2024'!$D$5:$D$2220,$B81,'ноябрь 2024'!$J$5:$J$2220,AE$1)</f>
        <v>0</v>
      </c>
      <c r="AF81" s="80">
        <f>SUMIFS('ноябрь 2024'!$G$5:$G$2220,'ноябрь 2024'!$D$5:$D$2220,$B81,'ноябрь 2024'!$J$5:$J$2220,AF$1)</f>
        <v>0</v>
      </c>
      <c r="AG81" s="80">
        <f>SUMIFS('ноябрь 2024'!$G$5:$G$2220,'ноябрь 2024'!$D$5:$D$2220,$B81,'ноябрь 2024'!$J$5:$J$2220,AG$1)</f>
        <v>0</v>
      </c>
      <c r="AH81" s="80">
        <f>SUMIFS('ноябрь 2024'!$G$5:$G$2220,'ноябрь 2024'!$D$5:$D$2220,$B81,'ноябрь 2024'!$J$5:$J$2220,AH$1)</f>
        <v>0</v>
      </c>
      <c r="AI81" s="21">
        <f t="shared" si="1"/>
        <v>0</v>
      </c>
    </row>
    <row r="82" spans="2:35" ht="15" customHeight="1" x14ac:dyDescent="0.25">
      <c r="B82" s="93" t="s">
        <v>201</v>
      </c>
      <c r="C82" s="91">
        <v>190</v>
      </c>
      <c r="D82" s="80">
        <f>SUMIFS('ноябрь 2024'!$G$5:$G$2220,'ноябрь 2024'!$D$5:$D$2220,$B82,'ноябрь 2024'!$J$5:$J$2220,D$1)</f>
        <v>0</v>
      </c>
      <c r="E82" s="80">
        <f>SUMIFS('ноябрь 2024'!$G$5:$G$2220,'ноябрь 2024'!$D$5:$D$2220,$B82,'ноябрь 2024'!$J$5:$J$2220,E$1)</f>
        <v>0</v>
      </c>
      <c r="F82" s="80">
        <f>SUMIFS('ноябрь 2024'!$G$5:$G$2220,'ноябрь 2024'!$D$5:$D$2220,$B82,'ноябрь 2024'!$J$5:$J$2220,F$1)</f>
        <v>0</v>
      </c>
      <c r="G82" s="80">
        <f>SUMIFS('ноябрь 2024'!$G$5:$G$2220,'ноябрь 2024'!$D$5:$D$2220,$B82,'ноябрь 2024'!$J$5:$J$2220,G$1)</f>
        <v>0</v>
      </c>
      <c r="H82" s="80">
        <f>SUMIFS('ноябрь 2024'!$G$5:$G$2220,'ноябрь 2024'!$D$5:$D$2220,$B82,'ноябрь 2024'!$J$5:$J$2220,H$1)</f>
        <v>0</v>
      </c>
      <c r="I82" s="80">
        <f>SUMIFS('ноябрь 2024'!$G$5:$G$2220,'ноябрь 2024'!$D$5:$D$2220,$B82,'ноябрь 2024'!$J$5:$J$2220,I$1)</f>
        <v>0</v>
      </c>
      <c r="J82" s="80">
        <f>SUMIFS('ноябрь 2024'!$G$5:$G$2220,'ноябрь 2024'!$D$5:$D$2220,$B82,'ноябрь 2024'!$J$5:$J$2220,J$1)</f>
        <v>0</v>
      </c>
      <c r="K82" s="80">
        <f>SUMIFS('ноябрь 2024'!$G$5:$G$2220,'ноябрь 2024'!$D$5:$D$2220,$B82,'ноябрь 2024'!$J$5:$J$2220,K$1)</f>
        <v>0</v>
      </c>
      <c r="L82" s="80">
        <f>SUMIFS('ноябрь 2024'!$G$5:$G$2220,'ноябрь 2024'!$D$5:$D$2220,$B82,'ноябрь 2024'!$J$5:$J$2220,L$1)</f>
        <v>0</v>
      </c>
      <c r="M82" s="80">
        <f>SUMIFS('ноябрь 2024'!$G$5:$G$2220,'ноябрь 2024'!$D$5:$D$2220,$B82,'ноябрь 2024'!$J$5:$J$2220,M$1)</f>
        <v>0</v>
      </c>
      <c r="N82" s="80">
        <f>SUMIFS('ноябрь 2024'!$G$5:$G$2220,'ноябрь 2024'!$D$5:$D$2220,$B82,'ноябрь 2024'!$J$5:$J$2220,N$1)</f>
        <v>0</v>
      </c>
      <c r="O82" s="80">
        <f>SUMIFS('ноябрь 2024'!$G$5:$G$2220,'ноябрь 2024'!$D$5:$D$2220,$B82,'ноябрь 2024'!$J$5:$J$2220,O$1)</f>
        <v>0</v>
      </c>
      <c r="P82" s="80">
        <f>SUMIFS('ноябрь 2024'!$G$5:$G$2220,'ноябрь 2024'!$D$5:$D$2220,$B82,'ноябрь 2024'!$J$5:$J$2220,P$1)</f>
        <v>0</v>
      </c>
      <c r="Q82" s="80">
        <f>SUMIFS('ноябрь 2024'!$G$5:$G$2220,'ноябрь 2024'!$D$5:$D$2220,$B82,'ноябрь 2024'!$J$5:$J$2220,Q$1)</f>
        <v>0</v>
      </c>
      <c r="R82" s="80">
        <f>SUMIFS('ноябрь 2024'!$G$5:$G$2220,'ноябрь 2024'!$D$5:$D$2220,$B82,'ноябрь 2024'!$J$5:$J$2220,R$1)</f>
        <v>0</v>
      </c>
      <c r="S82" s="80">
        <f>SUMIFS('ноябрь 2024'!$G$5:$G$2220,'ноябрь 2024'!$D$5:$D$2220,$B82,'ноябрь 2024'!$J$5:$J$2220,S$1)</f>
        <v>0</v>
      </c>
      <c r="T82" s="80">
        <f>SUMIFS('ноябрь 2024'!$G$5:$G$2220,'ноябрь 2024'!$D$5:$D$2220,$B82,'ноябрь 2024'!$J$5:$J$2220,T$1)</f>
        <v>0</v>
      </c>
      <c r="U82" s="80">
        <f>SUMIFS('ноябрь 2024'!$G$5:$G$2220,'ноябрь 2024'!$D$5:$D$2220,$B82,'ноябрь 2024'!$J$5:$J$2220,U$1)</f>
        <v>0</v>
      </c>
      <c r="V82" s="80">
        <f>SUMIFS('ноябрь 2024'!$G$5:$G$2220,'ноябрь 2024'!$D$5:$D$2220,$B82,'ноябрь 2024'!$J$5:$J$2220,V$1)</f>
        <v>80</v>
      </c>
      <c r="W82" s="80">
        <f>SUMIFS('ноябрь 2024'!$G$5:$G$2220,'ноябрь 2024'!$D$5:$D$2220,$B82,'ноябрь 2024'!$J$5:$J$2220,W$1)</f>
        <v>0</v>
      </c>
      <c r="X82" s="80">
        <f>SUMIFS('ноябрь 2024'!$G$5:$G$2220,'ноябрь 2024'!$D$5:$D$2220,$B82,'ноябрь 2024'!$J$5:$J$2220,X$1)</f>
        <v>0</v>
      </c>
      <c r="Y82" s="80">
        <f>SUMIFS('ноябрь 2024'!$G$5:$G$2220,'ноябрь 2024'!$D$5:$D$2220,$B82,'ноябрь 2024'!$J$5:$J$2220,Y$1)</f>
        <v>0</v>
      </c>
      <c r="Z82" s="80">
        <f>SUMIFS('ноябрь 2024'!$G$5:$G$2220,'ноябрь 2024'!$D$5:$D$2220,$B82,'ноябрь 2024'!$J$5:$J$2220,Z$1)</f>
        <v>0</v>
      </c>
      <c r="AA82" s="80">
        <f>SUMIFS('ноябрь 2024'!$G$5:$G$2220,'ноябрь 2024'!$D$5:$D$2220,$B82,'ноябрь 2024'!$J$5:$J$2220,AA$1)</f>
        <v>0</v>
      </c>
      <c r="AB82" s="80">
        <f>SUMIFS('ноябрь 2024'!$G$5:$G$2220,'ноябрь 2024'!$D$5:$D$2220,$B82,'ноябрь 2024'!$J$5:$J$2220,AB$1)</f>
        <v>0</v>
      </c>
      <c r="AC82" s="80">
        <f>SUMIFS('ноябрь 2024'!$G$5:$G$2220,'ноябрь 2024'!$D$5:$D$2220,$B82,'ноябрь 2024'!$J$5:$J$2220,AC$1)</f>
        <v>0</v>
      </c>
      <c r="AD82" s="80">
        <f>SUMIFS('ноябрь 2024'!$G$5:$G$2220,'ноябрь 2024'!$D$5:$D$2220,$B82,'ноябрь 2024'!$J$5:$J$2220,AD$1)</f>
        <v>0</v>
      </c>
      <c r="AE82" s="80">
        <f>SUMIFS('ноябрь 2024'!$G$5:$G$2220,'ноябрь 2024'!$D$5:$D$2220,$B82,'ноябрь 2024'!$J$5:$J$2220,AE$1)</f>
        <v>0</v>
      </c>
      <c r="AF82" s="80">
        <f>SUMIFS('ноябрь 2024'!$G$5:$G$2220,'ноябрь 2024'!$D$5:$D$2220,$B82,'ноябрь 2024'!$J$5:$J$2220,AF$1)</f>
        <v>0</v>
      </c>
      <c r="AG82" s="80">
        <f>SUMIFS('ноябрь 2024'!$G$5:$G$2220,'ноябрь 2024'!$D$5:$D$2220,$B82,'ноябрь 2024'!$J$5:$J$2220,AG$1)</f>
        <v>0</v>
      </c>
      <c r="AH82" s="80">
        <f>SUMIFS('ноябрь 2024'!$G$5:$G$2220,'ноябрь 2024'!$D$5:$D$2220,$B82,'ноябрь 2024'!$J$5:$J$2220,AH$1)</f>
        <v>0</v>
      </c>
      <c r="AI82" s="21">
        <f t="shared" si="1"/>
        <v>80</v>
      </c>
    </row>
    <row r="83" spans="2:35" ht="15" customHeight="1" x14ac:dyDescent="0.25">
      <c r="B83" s="93" t="s">
        <v>1190</v>
      </c>
      <c r="C83" s="91">
        <v>200</v>
      </c>
      <c r="D83" s="80">
        <f>SUMIFS('ноябрь 2024'!$G$5:$G$2220,'ноябрь 2024'!$D$5:$D$2220,$B83,'ноябрь 2024'!$J$5:$J$2220,D$1)</f>
        <v>0</v>
      </c>
      <c r="E83" s="80">
        <f>SUMIFS('ноябрь 2024'!$G$5:$G$2220,'ноябрь 2024'!$D$5:$D$2220,$B83,'ноябрь 2024'!$J$5:$J$2220,E$1)</f>
        <v>0</v>
      </c>
      <c r="F83" s="80">
        <f>SUMIFS('ноябрь 2024'!$G$5:$G$2220,'ноябрь 2024'!$D$5:$D$2220,$B83,'ноябрь 2024'!$J$5:$J$2220,F$1)</f>
        <v>0</v>
      </c>
      <c r="G83" s="80">
        <f>SUMIFS('ноябрь 2024'!$G$5:$G$2220,'ноябрь 2024'!$D$5:$D$2220,$B83,'ноябрь 2024'!$J$5:$J$2220,G$1)</f>
        <v>0</v>
      </c>
      <c r="H83" s="80">
        <f>SUMIFS('ноябрь 2024'!$G$5:$G$2220,'ноябрь 2024'!$D$5:$D$2220,$B83,'ноябрь 2024'!$J$5:$J$2220,H$1)</f>
        <v>0</v>
      </c>
      <c r="I83" s="80">
        <f>SUMIFS('ноябрь 2024'!$G$5:$G$2220,'ноябрь 2024'!$D$5:$D$2220,$B83,'ноябрь 2024'!$J$5:$J$2220,I$1)</f>
        <v>0</v>
      </c>
      <c r="J83" s="80">
        <f>SUMIFS('ноябрь 2024'!$G$5:$G$2220,'ноябрь 2024'!$D$5:$D$2220,$B83,'ноябрь 2024'!$J$5:$J$2220,J$1)</f>
        <v>0</v>
      </c>
      <c r="K83" s="80">
        <f>SUMIFS('ноябрь 2024'!$G$5:$G$2220,'ноябрь 2024'!$D$5:$D$2220,$B83,'ноябрь 2024'!$J$5:$J$2220,K$1)</f>
        <v>0</v>
      </c>
      <c r="L83" s="80">
        <f>SUMIFS('ноябрь 2024'!$G$5:$G$2220,'ноябрь 2024'!$D$5:$D$2220,$B83,'ноябрь 2024'!$J$5:$J$2220,L$1)</f>
        <v>0</v>
      </c>
      <c r="M83" s="80">
        <f>SUMIFS('ноябрь 2024'!$G$5:$G$2220,'ноябрь 2024'!$D$5:$D$2220,$B83,'ноябрь 2024'!$J$5:$J$2220,M$1)</f>
        <v>0</v>
      </c>
      <c r="N83" s="80">
        <f>SUMIFS('ноябрь 2024'!$G$5:$G$2220,'ноябрь 2024'!$D$5:$D$2220,$B83,'ноябрь 2024'!$J$5:$J$2220,N$1)</f>
        <v>0</v>
      </c>
      <c r="O83" s="80">
        <f>SUMIFS('ноябрь 2024'!$G$5:$G$2220,'ноябрь 2024'!$D$5:$D$2220,$B83,'ноябрь 2024'!$J$5:$J$2220,O$1)</f>
        <v>0</v>
      </c>
      <c r="P83" s="80">
        <f>SUMIFS('ноябрь 2024'!$G$5:$G$2220,'ноябрь 2024'!$D$5:$D$2220,$B83,'ноябрь 2024'!$J$5:$J$2220,P$1)</f>
        <v>0</v>
      </c>
      <c r="Q83" s="80">
        <f>SUMIFS('ноябрь 2024'!$G$5:$G$2220,'ноябрь 2024'!$D$5:$D$2220,$B83,'ноябрь 2024'!$J$5:$J$2220,Q$1)</f>
        <v>0</v>
      </c>
      <c r="R83" s="80">
        <f>SUMIFS('ноябрь 2024'!$G$5:$G$2220,'ноябрь 2024'!$D$5:$D$2220,$B83,'ноябрь 2024'!$J$5:$J$2220,R$1)</f>
        <v>0</v>
      </c>
      <c r="S83" s="80">
        <f>SUMIFS('ноябрь 2024'!$G$5:$G$2220,'ноябрь 2024'!$D$5:$D$2220,$B83,'ноябрь 2024'!$J$5:$J$2220,S$1)</f>
        <v>0</v>
      </c>
      <c r="T83" s="80">
        <f>SUMIFS('ноябрь 2024'!$G$5:$G$2220,'ноябрь 2024'!$D$5:$D$2220,$B83,'ноябрь 2024'!$J$5:$J$2220,T$1)</f>
        <v>0</v>
      </c>
      <c r="U83" s="80">
        <f>SUMIFS('ноябрь 2024'!$G$5:$G$2220,'ноябрь 2024'!$D$5:$D$2220,$B83,'ноябрь 2024'!$J$5:$J$2220,U$1)</f>
        <v>0</v>
      </c>
      <c r="V83" s="80">
        <f>SUMIFS('ноябрь 2024'!$G$5:$G$2220,'ноябрь 2024'!$D$5:$D$2220,$B83,'ноябрь 2024'!$J$5:$J$2220,V$1)</f>
        <v>0</v>
      </c>
      <c r="W83" s="80">
        <f>SUMIFS('ноябрь 2024'!$G$5:$G$2220,'ноябрь 2024'!$D$5:$D$2220,$B83,'ноябрь 2024'!$J$5:$J$2220,W$1)</f>
        <v>0</v>
      </c>
      <c r="X83" s="80">
        <f>SUMIFS('ноябрь 2024'!$G$5:$G$2220,'ноябрь 2024'!$D$5:$D$2220,$B83,'ноябрь 2024'!$J$5:$J$2220,X$1)</f>
        <v>0</v>
      </c>
      <c r="Y83" s="80">
        <f>SUMIFS('ноябрь 2024'!$G$5:$G$2220,'ноябрь 2024'!$D$5:$D$2220,$B83,'ноябрь 2024'!$J$5:$J$2220,Y$1)</f>
        <v>0</v>
      </c>
      <c r="Z83" s="80">
        <f>SUMIFS('ноябрь 2024'!$G$5:$G$2220,'ноябрь 2024'!$D$5:$D$2220,$B83,'ноябрь 2024'!$J$5:$J$2220,Z$1)</f>
        <v>0</v>
      </c>
      <c r="AA83" s="80">
        <f>SUMIFS('ноябрь 2024'!$G$5:$G$2220,'ноябрь 2024'!$D$5:$D$2220,$B83,'ноябрь 2024'!$J$5:$J$2220,AA$1)</f>
        <v>0</v>
      </c>
      <c r="AB83" s="80">
        <f>SUMIFS('ноябрь 2024'!$G$5:$G$2220,'ноябрь 2024'!$D$5:$D$2220,$B83,'ноябрь 2024'!$J$5:$J$2220,AB$1)</f>
        <v>0</v>
      </c>
      <c r="AC83" s="80">
        <f>SUMIFS('ноябрь 2024'!$G$5:$G$2220,'ноябрь 2024'!$D$5:$D$2220,$B83,'ноябрь 2024'!$J$5:$J$2220,AC$1)</f>
        <v>0</v>
      </c>
      <c r="AD83" s="80">
        <f>SUMIFS('ноябрь 2024'!$G$5:$G$2220,'ноябрь 2024'!$D$5:$D$2220,$B83,'ноябрь 2024'!$J$5:$J$2220,AD$1)</f>
        <v>0</v>
      </c>
      <c r="AE83" s="80">
        <f>SUMIFS('ноябрь 2024'!$G$5:$G$2220,'ноябрь 2024'!$D$5:$D$2220,$B83,'ноябрь 2024'!$J$5:$J$2220,AE$1)</f>
        <v>0</v>
      </c>
      <c r="AF83" s="80">
        <f>SUMIFS('ноябрь 2024'!$G$5:$G$2220,'ноябрь 2024'!$D$5:$D$2220,$B83,'ноябрь 2024'!$J$5:$J$2220,AF$1)</f>
        <v>0</v>
      </c>
      <c r="AG83" s="80">
        <f>SUMIFS('ноябрь 2024'!$G$5:$G$2220,'ноябрь 2024'!$D$5:$D$2220,$B83,'ноябрь 2024'!$J$5:$J$2220,AG$1)</f>
        <v>0</v>
      </c>
      <c r="AH83" s="80">
        <f>SUMIFS('ноябрь 2024'!$G$5:$G$2220,'ноябрь 2024'!$D$5:$D$2220,$B83,'ноябрь 2024'!$J$5:$J$2220,AH$1)</f>
        <v>0</v>
      </c>
      <c r="AI83" s="21">
        <f t="shared" si="1"/>
        <v>0</v>
      </c>
    </row>
    <row r="84" spans="2:35" ht="15" customHeight="1" x14ac:dyDescent="0.25">
      <c r="B84" s="93" t="s">
        <v>202</v>
      </c>
      <c r="C84" s="91">
        <v>900</v>
      </c>
      <c r="D84" s="80">
        <f>SUMIFS('ноябрь 2024'!$G$5:$G$2220,'ноябрь 2024'!$D$5:$D$2220,$B84,'ноябрь 2024'!$J$5:$J$2220,D$1)</f>
        <v>0</v>
      </c>
      <c r="E84" s="80">
        <f>SUMIFS('ноябрь 2024'!$G$5:$G$2220,'ноябрь 2024'!$D$5:$D$2220,$B84,'ноябрь 2024'!$J$5:$J$2220,E$1)</f>
        <v>0</v>
      </c>
      <c r="F84" s="80">
        <f>SUMIFS('ноябрь 2024'!$G$5:$G$2220,'ноябрь 2024'!$D$5:$D$2220,$B84,'ноябрь 2024'!$J$5:$J$2220,F$1)</f>
        <v>0</v>
      </c>
      <c r="G84" s="80">
        <f>SUMIFS('ноябрь 2024'!$G$5:$G$2220,'ноябрь 2024'!$D$5:$D$2220,$B84,'ноябрь 2024'!$J$5:$J$2220,G$1)</f>
        <v>0</v>
      </c>
      <c r="H84" s="80">
        <f>SUMIFS('ноябрь 2024'!$G$5:$G$2220,'ноябрь 2024'!$D$5:$D$2220,$B84,'ноябрь 2024'!$J$5:$J$2220,H$1)</f>
        <v>0</v>
      </c>
      <c r="I84" s="80">
        <f>SUMIFS('ноябрь 2024'!$G$5:$G$2220,'ноябрь 2024'!$D$5:$D$2220,$B84,'ноябрь 2024'!$J$5:$J$2220,I$1)</f>
        <v>0</v>
      </c>
      <c r="J84" s="80">
        <f>SUMIFS('ноябрь 2024'!$G$5:$G$2220,'ноябрь 2024'!$D$5:$D$2220,$B84,'ноябрь 2024'!$J$5:$J$2220,J$1)</f>
        <v>0</v>
      </c>
      <c r="K84" s="80">
        <f>SUMIFS('ноябрь 2024'!$G$5:$G$2220,'ноябрь 2024'!$D$5:$D$2220,$B84,'ноябрь 2024'!$J$5:$J$2220,K$1)</f>
        <v>0</v>
      </c>
      <c r="L84" s="80">
        <f>SUMIFS('ноябрь 2024'!$G$5:$G$2220,'ноябрь 2024'!$D$5:$D$2220,$B84,'ноябрь 2024'!$J$5:$J$2220,L$1)</f>
        <v>0</v>
      </c>
      <c r="M84" s="80">
        <f>SUMIFS('ноябрь 2024'!$G$5:$G$2220,'ноябрь 2024'!$D$5:$D$2220,$B84,'ноябрь 2024'!$J$5:$J$2220,M$1)</f>
        <v>0</v>
      </c>
      <c r="N84" s="80">
        <f>SUMIFS('ноябрь 2024'!$G$5:$G$2220,'ноябрь 2024'!$D$5:$D$2220,$B84,'ноябрь 2024'!$J$5:$J$2220,N$1)</f>
        <v>0</v>
      </c>
      <c r="O84" s="80">
        <f>SUMIFS('ноябрь 2024'!$G$5:$G$2220,'ноябрь 2024'!$D$5:$D$2220,$B84,'ноябрь 2024'!$J$5:$J$2220,O$1)</f>
        <v>0</v>
      </c>
      <c r="P84" s="80">
        <f>SUMIFS('ноябрь 2024'!$G$5:$G$2220,'ноябрь 2024'!$D$5:$D$2220,$B84,'ноябрь 2024'!$J$5:$J$2220,P$1)</f>
        <v>0</v>
      </c>
      <c r="Q84" s="80">
        <f>SUMIFS('ноябрь 2024'!$G$5:$G$2220,'ноябрь 2024'!$D$5:$D$2220,$B84,'ноябрь 2024'!$J$5:$J$2220,Q$1)</f>
        <v>0</v>
      </c>
      <c r="R84" s="80">
        <f>SUMIFS('ноябрь 2024'!$G$5:$G$2220,'ноябрь 2024'!$D$5:$D$2220,$B84,'ноябрь 2024'!$J$5:$J$2220,R$1)</f>
        <v>0</v>
      </c>
      <c r="S84" s="80">
        <f>SUMIFS('ноябрь 2024'!$G$5:$G$2220,'ноябрь 2024'!$D$5:$D$2220,$B84,'ноябрь 2024'!$J$5:$J$2220,S$1)</f>
        <v>0</v>
      </c>
      <c r="T84" s="80">
        <f>SUMIFS('ноябрь 2024'!$G$5:$G$2220,'ноябрь 2024'!$D$5:$D$2220,$B84,'ноябрь 2024'!$J$5:$J$2220,T$1)</f>
        <v>0</v>
      </c>
      <c r="U84" s="80">
        <f>SUMIFS('ноябрь 2024'!$G$5:$G$2220,'ноябрь 2024'!$D$5:$D$2220,$B84,'ноябрь 2024'!$J$5:$J$2220,U$1)</f>
        <v>0</v>
      </c>
      <c r="V84" s="80">
        <f>SUMIFS('ноябрь 2024'!$G$5:$G$2220,'ноябрь 2024'!$D$5:$D$2220,$B84,'ноябрь 2024'!$J$5:$J$2220,V$1)</f>
        <v>0</v>
      </c>
      <c r="W84" s="80">
        <f>SUMIFS('ноябрь 2024'!$G$5:$G$2220,'ноябрь 2024'!$D$5:$D$2220,$B84,'ноябрь 2024'!$J$5:$J$2220,W$1)</f>
        <v>0</v>
      </c>
      <c r="X84" s="80">
        <f>SUMIFS('ноябрь 2024'!$G$5:$G$2220,'ноябрь 2024'!$D$5:$D$2220,$B84,'ноябрь 2024'!$J$5:$J$2220,X$1)</f>
        <v>0</v>
      </c>
      <c r="Y84" s="80">
        <f>SUMIFS('ноябрь 2024'!$G$5:$G$2220,'ноябрь 2024'!$D$5:$D$2220,$B84,'ноябрь 2024'!$J$5:$J$2220,Y$1)</f>
        <v>0</v>
      </c>
      <c r="Z84" s="80">
        <f>SUMIFS('ноябрь 2024'!$G$5:$G$2220,'ноябрь 2024'!$D$5:$D$2220,$B84,'ноябрь 2024'!$J$5:$J$2220,Z$1)</f>
        <v>0</v>
      </c>
      <c r="AA84" s="80">
        <f>SUMIFS('ноябрь 2024'!$G$5:$G$2220,'ноябрь 2024'!$D$5:$D$2220,$B84,'ноябрь 2024'!$J$5:$J$2220,AA$1)</f>
        <v>0</v>
      </c>
      <c r="AB84" s="80">
        <f>SUMIFS('ноябрь 2024'!$G$5:$G$2220,'ноябрь 2024'!$D$5:$D$2220,$B84,'ноябрь 2024'!$J$5:$J$2220,AB$1)</f>
        <v>0</v>
      </c>
      <c r="AC84" s="80">
        <f>SUMIFS('ноябрь 2024'!$G$5:$G$2220,'ноябрь 2024'!$D$5:$D$2220,$B84,'ноябрь 2024'!$J$5:$J$2220,AC$1)</f>
        <v>0</v>
      </c>
      <c r="AD84" s="80">
        <f>SUMIFS('ноябрь 2024'!$G$5:$G$2220,'ноябрь 2024'!$D$5:$D$2220,$B84,'ноябрь 2024'!$J$5:$J$2220,AD$1)</f>
        <v>0</v>
      </c>
      <c r="AE84" s="80">
        <f>SUMIFS('ноябрь 2024'!$G$5:$G$2220,'ноябрь 2024'!$D$5:$D$2220,$B84,'ноябрь 2024'!$J$5:$J$2220,AE$1)</f>
        <v>0</v>
      </c>
      <c r="AF84" s="80">
        <f>SUMIFS('ноябрь 2024'!$G$5:$G$2220,'ноябрь 2024'!$D$5:$D$2220,$B84,'ноябрь 2024'!$J$5:$J$2220,AF$1)</f>
        <v>0</v>
      </c>
      <c r="AG84" s="80">
        <f>SUMIFS('ноябрь 2024'!$G$5:$G$2220,'ноябрь 2024'!$D$5:$D$2220,$B84,'ноябрь 2024'!$J$5:$J$2220,AG$1)</f>
        <v>0</v>
      </c>
      <c r="AH84" s="80">
        <f>SUMIFS('ноябрь 2024'!$G$5:$G$2220,'ноябрь 2024'!$D$5:$D$2220,$B84,'ноябрь 2024'!$J$5:$J$2220,AH$1)</f>
        <v>0</v>
      </c>
      <c r="AI84" s="21">
        <f t="shared" si="1"/>
        <v>0</v>
      </c>
    </row>
    <row r="85" spans="2:35" ht="15" customHeight="1" x14ac:dyDescent="0.25">
      <c r="B85" s="89" t="s">
        <v>196</v>
      </c>
      <c r="C85" s="88">
        <v>190</v>
      </c>
      <c r="D85" s="80">
        <f>SUMIFS('ноябрь 2024'!$G$5:$G$2220,'ноябрь 2024'!$D$5:$D$2220,$B85,'ноябрь 2024'!$J$5:$J$2220,D$1)</f>
        <v>0</v>
      </c>
      <c r="E85" s="80">
        <f>SUMIFS('ноябрь 2024'!$G$5:$G$2220,'ноябрь 2024'!$D$5:$D$2220,$B85,'ноябрь 2024'!$J$5:$J$2220,E$1)</f>
        <v>0</v>
      </c>
      <c r="F85" s="80">
        <f>SUMIFS('ноябрь 2024'!$G$5:$G$2220,'ноябрь 2024'!$D$5:$D$2220,$B85,'ноябрь 2024'!$J$5:$J$2220,F$1)</f>
        <v>0</v>
      </c>
      <c r="G85" s="80">
        <f>SUMIFS('ноябрь 2024'!$G$5:$G$2220,'ноябрь 2024'!$D$5:$D$2220,$B85,'ноябрь 2024'!$J$5:$J$2220,G$1)</f>
        <v>0</v>
      </c>
      <c r="H85" s="80">
        <f>SUMIFS('ноябрь 2024'!$G$5:$G$2220,'ноябрь 2024'!$D$5:$D$2220,$B85,'ноябрь 2024'!$J$5:$J$2220,H$1)</f>
        <v>0</v>
      </c>
      <c r="I85" s="80">
        <f>SUMIFS('ноябрь 2024'!$G$5:$G$2220,'ноябрь 2024'!$D$5:$D$2220,$B85,'ноябрь 2024'!$J$5:$J$2220,I$1)</f>
        <v>0</v>
      </c>
      <c r="J85" s="80">
        <f>SUMIFS('ноябрь 2024'!$G$5:$G$2220,'ноябрь 2024'!$D$5:$D$2220,$B85,'ноябрь 2024'!$J$5:$J$2220,J$1)</f>
        <v>0</v>
      </c>
      <c r="K85" s="80">
        <f>SUMIFS('ноябрь 2024'!$G$5:$G$2220,'ноябрь 2024'!$D$5:$D$2220,$B85,'ноябрь 2024'!$J$5:$J$2220,K$1)</f>
        <v>0</v>
      </c>
      <c r="L85" s="80">
        <f>SUMIFS('ноябрь 2024'!$G$5:$G$2220,'ноябрь 2024'!$D$5:$D$2220,$B85,'ноябрь 2024'!$J$5:$J$2220,L$1)</f>
        <v>0</v>
      </c>
      <c r="M85" s="80">
        <f>SUMIFS('ноябрь 2024'!$G$5:$G$2220,'ноябрь 2024'!$D$5:$D$2220,$B85,'ноябрь 2024'!$J$5:$J$2220,M$1)</f>
        <v>0</v>
      </c>
      <c r="N85" s="80">
        <f>SUMIFS('ноябрь 2024'!$G$5:$G$2220,'ноябрь 2024'!$D$5:$D$2220,$B85,'ноябрь 2024'!$J$5:$J$2220,N$1)</f>
        <v>0</v>
      </c>
      <c r="O85" s="80">
        <f>SUMIFS('ноябрь 2024'!$G$5:$G$2220,'ноябрь 2024'!$D$5:$D$2220,$B85,'ноябрь 2024'!$J$5:$J$2220,O$1)</f>
        <v>0</v>
      </c>
      <c r="P85" s="80">
        <f>SUMIFS('ноябрь 2024'!$G$5:$G$2220,'ноябрь 2024'!$D$5:$D$2220,$B85,'ноябрь 2024'!$J$5:$J$2220,P$1)</f>
        <v>0</v>
      </c>
      <c r="Q85" s="80">
        <f>SUMIFS('ноябрь 2024'!$G$5:$G$2220,'ноябрь 2024'!$D$5:$D$2220,$B85,'ноябрь 2024'!$J$5:$J$2220,Q$1)</f>
        <v>0</v>
      </c>
      <c r="R85" s="80">
        <f>SUMIFS('ноябрь 2024'!$G$5:$G$2220,'ноябрь 2024'!$D$5:$D$2220,$B85,'ноябрь 2024'!$J$5:$J$2220,R$1)</f>
        <v>0</v>
      </c>
      <c r="S85" s="80">
        <f>SUMIFS('ноябрь 2024'!$G$5:$G$2220,'ноябрь 2024'!$D$5:$D$2220,$B85,'ноябрь 2024'!$J$5:$J$2220,S$1)</f>
        <v>0</v>
      </c>
      <c r="T85" s="80">
        <f>SUMIFS('ноябрь 2024'!$G$5:$G$2220,'ноябрь 2024'!$D$5:$D$2220,$B85,'ноябрь 2024'!$J$5:$J$2220,T$1)</f>
        <v>0</v>
      </c>
      <c r="U85" s="80">
        <f>SUMIFS('ноябрь 2024'!$G$5:$G$2220,'ноябрь 2024'!$D$5:$D$2220,$B85,'ноябрь 2024'!$J$5:$J$2220,U$1)</f>
        <v>0</v>
      </c>
      <c r="V85" s="80">
        <f>SUMIFS('ноябрь 2024'!$G$5:$G$2220,'ноябрь 2024'!$D$5:$D$2220,$B85,'ноябрь 2024'!$J$5:$J$2220,V$1)</f>
        <v>0</v>
      </c>
      <c r="W85" s="80">
        <f>SUMIFS('ноябрь 2024'!$G$5:$G$2220,'ноябрь 2024'!$D$5:$D$2220,$B85,'ноябрь 2024'!$J$5:$J$2220,W$1)</f>
        <v>0</v>
      </c>
      <c r="X85" s="80">
        <f>SUMIFS('ноябрь 2024'!$G$5:$G$2220,'ноябрь 2024'!$D$5:$D$2220,$B85,'ноябрь 2024'!$J$5:$J$2220,X$1)</f>
        <v>0</v>
      </c>
      <c r="Y85" s="80">
        <f>SUMIFS('ноябрь 2024'!$G$5:$G$2220,'ноябрь 2024'!$D$5:$D$2220,$B85,'ноябрь 2024'!$J$5:$J$2220,Y$1)</f>
        <v>0</v>
      </c>
      <c r="Z85" s="80">
        <f>SUMIFS('ноябрь 2024'!$G$5:$G$2220,'ноябрь 2024'!$D$5:$D$2220,$B85,'ноябрь 2024'!$J$5:$J$2220,Z$1)</f>
        <v>0</v>
      </c>
      <c r="AA85" s="80">
        <f>SUMIFS('ноябрь 2024'!$G$5:$G$2220,'ноябрь 2024'!$D$5:$D$2220,$B85,'ноябрь 2024'!$J$5:$J$2220,AA$1)</f>
        <v>0</v>
      </c>
      <c r="AB85" s="80">
        <f>SUMIFS('ноябрь 2024'!$G$5:$G$2220,'ноябрь 2024'!$D$5:$D$2220,$B85,'ноябрь 2024'!$J$5:$J$2220,AB$1)</f>
        <v>0</v>
      </c>
      <c r="AC85" s="80">
        <f>SUMIFS('ноябрь 2024'!$G$5:$G$2220,'ноябрь 2024'!$D$5:$D$2220,$B85,'ноябрь 2024'!$J$5:$J$2220,AC$1)</f>
        <v>0</v>
      </c>
      <c r="AD85" s="80">
        <f>SUMIFS('ноябрь 2024'!$G$5:$G$2220,'ноябрь 2024'!$D$5:$D$2220,$B85,'ноябрь 2024'!$J$5:$J$2220,AD$1)</f>
        <v>0</v>
      </c>
      <c r="AE85" s="80">
        <f>SUMIFS('ноябрь 2024'!$G$5:$G$2220,'ноябрь 2024'!$D$5:$D$2220,$B85,'ноябрь 2024'!$J$5:$J$2220,AE$1)</f>
        <v>0</v>
      </c>
      <c r="AF85" s="80">
        <f>SUMIFS('ноябрь 2024'!$G$5:$G$2220,'ноябрь 2024'!$D$5:$D$2220,$B85,'ноябрь 2024'!$J$5:$J$2220,AF$1)</f>
        <v>0</v>
      </c>
      <c r="AG85" s="80">
        <f>SUMIFS('ноябрь 2024'!$G$5:$G$2220,'ноябрь 2024'!$D$5:$D$2220,$B85,'ноябрь 2024'!$J$5:$J$2220,AG$1)</f>
        <v>0</v>
      </c>
      <c r="AH85" s="80">
        <f>SUMIFS('ноябрь 2024'!$G$5:$G$2220,'ноябрь 2024'!$D$5:$D$2220,$B85,'ноябрь 2024'!$J$5:$J$2220,AH$1)</f>
        <v>0</v>
      </c>
      <c r="AI85" s="21">
        <f t="shared" si="1"/>
        <v>0</v>
      </c>
    </row>
    <row r="86" spans="2:35" ht="15" customHeight="1" x14ac:dyDescent="0.25">
      <c r="B86" s="89" t="s">
        <v>217</v>
      </c>
      <c r="C86" s="88">
        <v>190</v>
      </c>
      <c r="D86" s="80">
        <f>SUMIFS('ноябрь 2024'!$G$5:$G$2220,'ноябрь 2024'!$D$5:$D$2220,$B86,'ноябрь 2024'!$J$5:$J$2220,D$1)</f>
        <v>0</v>
      </c>
      <c r="E86" s="80">
        <f>SUMIFS('ноябрь 2024'!$G$5:$G$2220,'ноябрь 2024'!$D$5:$D$2220,$B86,'ноябрь 2024'!$J$5:$J$2220,E$1)</f>
        <v>0</v>
      </c>
      <c r="F86" s="80">
        <f>SUMIFS('ноябрь 2024'!$G$5:$G$2220,'ноябрь 2024'!$D$5:$D$2220,$B86,'ноябрь 2024'!$J$5:$J$2220,F$1)</f>
        <v>0</v>
      </c>
      <c r="G86" s="80">
        <f>SUMIFS('ноябрь 2024'!$G$5:$G$2220,'ноябрь 2024'!$D$5:$D$2220,$B86,'ноябрь 2024'!$J$5:$J$2220,G$1)</f>
        <v>0</v>
      </c>
      <c r="H86" s="80">
        <f>SUMIFS('ноябрь 2024'!$G$5:$G$2220,'ноябрь 2024'!$D$5:$D$2220,$B86,'ноябрь 2024'!$J$5:$J$2220,H$1)</f>
        <v>0</v>
      </c>
      <c r="I86" s="80">
        <f>SUMIFS('ноябрь 2024'!$G$5:$G$2220,'ноябрь 2024'!$D$5:$D$2220,$B86,'ноябрь 2024'!$J$5:$J$2220,I$1)</f>
        <v>0</v>
      </c>
      <c r="J86" s="80">
        <f>SUMIFS('ноябрь 2024'!$G$5:$G$2220,'ноябрь 2024'!$D$5:$D$2220,$B86,'ноябрь 2024'!$J$5:$J$2220,J$1)</f>
        <v>0</v>
      </c>
      <c r="K86" s="80">
        <f>SUMIFS('ноябрь 2024'!$G$5:$G$2220,'ноябрь 2024'!$D$5:$D$2220,$B86,'ноябрь 2024'!$J$5:$J$2220,K$1)</f>
        <v>0</v>
      </c>
      <c r="L86" s="80">
        <f>SUMIFS('ноябрь 2024'!$G$5:$G$2220,'ноябрь 2024'!$D$5:$D$2220,$B86,'ноябрь 2024'!$J$5:$J$2220,L$1)</f>
        <v>0</v>
      </c>
      <c r="M86" s="80">
        <f>SUMIFS('ноябрь 2024'!$G$5:$G$2220,'ноябрь 2024'!$D$5:$D$2220,$B86,'ноябрь 2024'!$J$5:$J$2220,M$1)</f>
        <v>0</v>
      </c>
      <c r="N86" s="80">
        <f>SUMIFS('ноябрь 2024'!$G$5:$G$2220,'ноябрь 2024'!$D$5:$D$2220,$B86,'ноябрь 2024'!$J$5:$J$2220,N$1)</f>
        <v>0</v>
      </c>
      <c r="O86" s="80">
        <f>SUMIFS('ноябрь 2024'!$G$5:$G$2220,'ноябрь 2024'!$D$5:$D$2220,$B86,'ноябрь 2024'!$J$5:$J$2220,O$1)</f>
        <v>0</v>
      </c>
      <c r="P86" s="80">
        <f>SUMIFS('ноябрь 2024'!$G$5:$G$2220,'ноябрь 2024'!$D$5:$D$2220,$B86,'ноябрь 2024'!$J$5:$J$2220,P$1)</f>
        <v>0</v>
      </c>
      <c r="Q86" s="80">
        <f>SUMIFS('ноябрь 2024'!$G$5:$G$2220,'ноябрь 2024'!$D$5:$D$2220,$B86,'ноябрь 2024'!$J$5:$J$2220,Q$1)</f>
        <v>0</v>
      </c>
      <c r="R86" s="80">
        <f>SUMIFS('ноябрь 2024'!$G$5:$G$2220,'ноябрь 2024'!$D$5:$D$2220,$B86,'ноябрь 2024'!$J$5:$J$2220,R$1)</f>
        <v>0</v>
      </c>
      <c r="S86" s="80">
        <f>SUMIFS('ноябрь 2024'!$G$5:$G$2220,'ноябрь 2024'!$D$5:$D$2220,$B86,'ноябрь 2024'!$J$5:$J$2220,S$1)</f>
        <v>0</v>
      </c>
      <c r="T86" s="80">
        <f>SUMIFS('ноябрь 2024'!$G$5:$G$2220,'ноябрь 2024'!$D$5:$D$2220,$B86,'ноябрь 2024'!$J$5:$J$2220,T$1)</f>
        <v>0</v>
      </c>
      <c r="U86" s="80">
        <f>SUMIFS('ноябрь 2024'!$G$5:$G$2220,'ноябрь 2024'!$D$5:$D$2220,$B86,'ноябрь 2024'!$J$5:$J$2220,U$1)</f>
        <v>0</v>
      </c>
      <c r="V86" s="80">
        <f>SUMIFS('ноябрь 2024'!$G$5:$G$2220,'ноябрь 2024'!$D$5:$D$2220,$B86,'ноябрь 2024'!$J$5:$J$2220,V$1)</f>
        <v>0</v>
      </c>
      <c r="W86" s="80">
        <f>SUMIFS('ноябрь 2024'!$G$5:$G$2220,'ноябрь 2024'!$D$5:$D$2220,$B86,'ноябрь 2024'!$J$5:$J$2220,W$1)</f>
        <v>0</v>
      </c>
      <c r="X86" s="80">
        <f>SUMIFS('ноябрь 2024'!$G$5:$G$2220,'ноябрь 2024'!$D$5:$D$2220,$B86,'ноябрь 2024'!$J$5:$J$2220,X$1)</f>
        <v>0</v>
      </c>
      <c r="Y86" s="80">
        <f>SUMIFS('ноябрь 2024'!$G$5:$G$2220,'ноябрь 2024'!$D$5:$D$2220,$B86,'ноябрь 2024'!$J$5:$J$2220,Y$1)</f>
        <v>0</v>
      </c>
      <c r="Z86" s="80">
        <f>SUMIFS('ноябрь 2024'!$G$5:$G$2220,'ноябрь 2024'!$D$5:$D$2220,$B86,'ноябрь 2024'!$J$5:$J$2220,Z$1)</f>
        <v>0</v>
      </c>
      <c r="AA86" s="80">
        <f>SUMIFS('ноябрь 2024'!$G$5:$G$2220,'ноябрь 2024'!$D$5:$D$2220,$B86,'ноябрь 2024'!$J$5:$J$2220,AA$1)</f>
        <v>0</v>
      </c>
      <c r="AB86" s="80">
        <f>SUMIFS('ноябрь 2024'!$G$5:$G$2220,'ноябрь 2024'!$D$5:$D$2220,$B86,'ноябрь 2024'!$J$5:$J$2220,AB$1)</f>
        <v>0</v>
      </c>
      <c r="AC86" s="80">
        <f>SUMIFS('ноябрь 2024'!$G$5:$G$2220,'ноябрь 2024'!$D$5:$D$2220,$B86,'ноябрь 2024'!$J$5:$J$2220,AC$1)</f>
        <v>0</v>
      </c>
      <c r="AD86" s="80">
        <f>SUMIFS('ноябрь 2024'!$G$5:$G$2220,'ноябрь 2024'!$D$5:$D$2220,$B86,'ноябрь 2024'!$J$5:$J$2220,AD$1)</f>
        <v>0</v>
      </c>
      <c r="AE86" s="80">
        <f>SUMIFS('ноябрь 2024'!$G$5:$G$2220,'ноябрь 2024'!$D$5:$D$2220,$B86,'ноябрь 2024'!$J$5:$J$2220,AE$1)</f>
        <v>0</v>
      </c>
      <c r="AF86" s="80">
        <f>SUMIFS('ноябрь 2024'!$G$5:$G$2220,'ноябрь 2024'!$D$5:$D$2220,$B86,'ноябрь 2024'!$J$5:$J$2220,AF$1)</f>
        <v>0</v>
      </c>
      <c r="AG86" s="80">
        <f>SUMIFS('ноябрь 2024'!$G$5:$G$2220,'ноябрь 2024'!$D$5:$D$2220,$B86,'ноябрь 2024'!$J$5:$J$2220,AG$1)</f>
        <v>0</v>
      </c>
      <c r="AH86" s="80">
        <f>SUMIFS('ноябрь 2024'!$G$5:$G$2220,'ноябрь 2024'!$D$5:$D$2220,$B86,'ноябрь 2024'!$J$5:$J$2220,AH$1)</f>
        <v>0</v>
      </c>
      <c r="AI86" s="21">
        <f t="shared" si="1"/>
        <v>0</v>
      </c>
    </row>
    <row r="87" spans="2:35" ht="15" customHeight="1" x14ac:dyDescent="0.25">
      <c r="B87" s="93" t="s">
        <v>179</v>
      </c>
      <c r="C87" s="88">
        <v>190</v>
      </c>
      <c r="D87" s="80">
        <f>SUMIFS('ноябрь 2024'!$G$5:$G$2220,'ноябрь 2024'!$D$5:$D$2220,$B87,'ноябрь 2024'!$J$5:$J$2220,D$1)</f>
        <v>0</v>
      </c>
      <c r="E87" s="80">
        <f>SUMIFS('ноябрь 2024'!$G$5:$G$2220,'ноябрь 2024'!$D$5:$D$2220,$B87,'ноябрь 2024'!$J$5:$J$2220,E$1)</f>
        <v>0</v>
      </c>
      <c r="F87" s="80">
        <f>SUMIFS('ноябрь 2024'!$G$5:$G$2220,'ноябрь 2024'!$D$5:$D$2220,$B87,'ноябрь 2024'!$J$5:$J$2220,F$1)</f>
        <v>0</v>
      </c>
      <c r="G87" s="80">
        <f>SUMIFS('ноябрь 2024'!$G$5:$G$2220,'ноябрь 2024'!$D$5:$D$2220,$B87,'ноябрь 2024'!$J$5:$J$2220,G$1)</f>
        <v>0</v>
      </c>
      <c r="H87" s="80">
        <f>SUMIFS('ноябрь 2024'!$G$5:$G$2220,'ноябрь 2024'!$D$5:$D$2220,$B87,'ноябрь 2024'!$J$5:$J$2220,H$1)</f>
        <v>0</v>
      </c>
      <c r="I87" s="80">
        <f>SUMIFS('ноябрь 2024'!$G$5:$G$2220,'ноябрь 2024'!$D$5:$D$2220,$B87,'ноябрь 2024'!$J$5:$J$2220,I$1)</f>
        <v>0</v>
      </c>
      <c r="J87" s="80">
        <f>SUMIFS('ноябрь 2024'!$G$5:$G$2220,'ноябрь 2024'!$D$5:$D$2220,$B87,'ноябрь 2024'!$J$5:$J$2220,J$1)</f>
        <v>0</v>
      </c>
      <c r="K87" s="80">
        <f>SUMIFS('ноябрь 2024'!$G$5:$G$2220,'ноябрь 2024'!$D$5:$D$2220,$B87,'ноябрь 2024'!$J$5:$J$2220,K$1)</f>
        <v>0</v>
      </c>
      <c r="L87" s="80">
        <f>SUMIFS('ноябрь 2024'!$G$5:$G$2220,'ноябрь 2024'!$D$5:$D$2220,$B87,'ноябрь 2024'!$J$5:$J$2220,L$1)</f>
        <v>0</v>
      </c>
      <c r="M87" s="80">
        <f>SUMIFS('ноябрь 2024'!$G$5:$G$2220,'ноябрь 2024'!$D$5:$D$2220,$B87,'ноябрь 2024'!$J$5:$J$2220,M$1)</f>
        <v>0</v>
      </c>
      <c r="N87" s="80">
        <f>SUMIFS('ноябрь 2024'!$G$5:$G$2220,'ноябрь 2024'!$D$5:$D$2220,$B87,'ноябрь 2024'!$J$5:$J$2220,N$1)</f>
        <v>0</v>
      </c>
      <c r="O87" s="80">
        <f>SUMIFS('ноябрь 2024'!$G$5:$G$2220,'ноябрь 2024'!$D$5:$D$2220,$B87,'ноябрь 2024'!$J$5:$J$2220,O$1)</f>
        <v>0</v>
      </c>
      <c r="P87" s="80">
        <f>SUMIFS('ноябрь 2024'!$G$5:$G$2220,'ноябрь 2024'!$D$5:$D$2220,$B87,'ноябрь 2024'!$J$5:$J$2220,P$1)</f>
        <v>0</v>
      </c>
      <c r="Q87" s="80">
        <f>SUMIFS('ноябрь 2024'!$G$5:$G$2220,'ноябрь 2024'!$D$5:$D$2220,$B87,'ноябрь 2024'!$J$5:$J$2220,Q$1)</f>
        <v>0</v>
      </c>
      <c r="R87" s="80">
        <f>SUMIFS('ноябрь 2024'!$G$5:$G$2220,'ноябрь 2024'!$D$5:$D$2220,$B87,'ноябрь 2024'!$J$5:$J$2220,R$1)</f>
        <v>0</v>
      </c>
      <c r="S87" s="80">
        <f>SUMIFS('ноябрь 2024'!$G$5:$G$2220,'ноябрь 2024'!$D$5:$D$2220,$B87,'ноябрь 2024'!$J$5:$J$2220,S$1)</f>
        <v>0</v>
      </c>
      <c r="T87" s="80">
        <f>SUMIFS('ноябрь 2024'!$G$5:$G$2220,'ноябрь 2024'!$D$5:$D$2220,$B87,'ноябрь 2024'!$J$5:$J$2220,T$1)</f>
        <v>0</v>
      </c>
      <c r="U87" s="80">
        <f>SUMIFS('ноябрь 2024'!$G$5:$G$2220,'ноябрь 2024'!$D$5:$D$2220,$B87,'ноябрь 2024'!$J$5:$J$2220,U$1)</f>
        <v>0</v>
      </c>
      <c r="V87" s="80">
        <f>SUMIFS('ноябрь 2024'!$G$5:$G$2220,'ноябрь 2024'!$D$5:$D$2220,$B87,'ноябрь 2024'!$J$5:$J$2220,V$1)</f>
        <v>0</v>
      </c>
      <c r="W87" s="80">
        <f>SUMIFS('ноябрь 2024'!$G$5:$G$2220,'ноябрь 2024'!$D$5:$D$2220,$B87,'ноябрь 2024'!$J$5:$J$2220,W$1)</f>
        <v>0</v>
      </c>
      <c r="X87" s="80">
        <f>SUMIFS('ноябрь 2024'!$G$5:$G$2220,'ноябрь 2024'!$D$5:$D$2220,$B87,'ноябрь 2024'!$J$5:$J$2220,X$1)</f>
        <v>0</v>
      </c>
      <c r="Y87" s="80">
        <f>SUMIFS('ноябрь 2024'!$G$5:$G$2220,'ноябрь 2024'!$D$5:$D$2220,$B87,'ноябрь 2024'!$J$5:$J$2220,Y$1)</f>
        <v>0</v>
      </c>
      <c r="Z87" s="80">
        <f>SUMIFS('ноябрь 2024'!$G$5:$G$2220,'ноябрь 2024'!$D$5:$D$2220,$B87,'ноябрь 2024'!$J$5:$J$2220,Z$1)</f>
        <v>0</v>
      </c>
      <c r="AA87" s="80">
        <f>SUMIFS('ноябрь 2024'!$G$5:$G$2220,'ноябрь 2024'!$D$5:$D$2220,$B87,'ноябрь 2024'!$J$5:$J$2220,AA$1)</f>
        <v>0</v>
      </c>
      <c r="AB87" s="80">
        <f>SUMIFS('ноябрь 2024'!$G$5:$G$2220,'ноябрь 2024'!$D$5:$D$2220,$B87,'ноябрь 2024'!$J$5:$J$2220,AB$1)</f>
        <v>0</v>
      </c>
      <c r="AC87" s="80">
        <f>SUMIFS('ноябрь 2024'!$G$5:$G$2220,'ноябрь 2024'!$D$5:$D$2220,$B87,'ноябрь 2024'!$J$5:$J$2220,AC$1)</f>
        <v>0</v>
      </c>
      <c r="AD87" s="80">
        <f>SUMIFS('ноябрь 2024'!$G$5:$G$2220,'ноябрь 2024'!$D$5:$D$2220,$B87,'ноябрь 2024'!$J$5:$J$2220,AD$1)</f>
        <v>0</v>
      </c>
      <c r="AE87" s="80">
        <f>SUMIFS('ноябрь 2024'!$G$5:$G$2220,'ноябрь 2024'!$D$5:$D$2220,$B87,'ноябрь 2024'!$J$5:$J$2220,AE$1)</f>
        <v>0</v>
      </c>
      <c r="AF87" s="80">
        <f>SUMIFS('ноябрь 2024'!$G$5:$G$2220,'ноябрь 2024'!$D$5:$D$2220,$B87,'ноябрь 2024'!$J$5:$J$2220,AF$1)</f>
        <v>0</v>
      </c>
      <c r="AG87" s="80">
        <f>SUMIFS('ноябрь 2024'!$G$5:$G$2220,'ноябрь 2024'!$D$5:$D$2220,$B87,'ноябрь 2024'!$J$5:$J$2220,AG$1)</f>
        <v>0</v>
      </c>
      <c r="AH87" s="80">
        <f>SUMIFS('ноябрь 2024'!$G$5:$G$2220,'ноябрь 2024'!$D$5:$D$2220,$B87,'ноябрь 2024'!$J$5:$J$2220,AH$1)</f>
        <v>0</v>
      </c>
      <c r="AI87" s="21">
        <f t="shared" si="1"/>
        <v>0</v>
      </c>
    </row>
    <row r="88" spans="2:35" ht="15" customHeight="1" x14ac:dyDescent="0.25">
      <c r="B88" s="93" t="s">
        <v>192</v>
      </c>
      <c r="C88" s="91">
        <v>180</v>
      </c>
      <c r="D88" s="80">
        <f>SUMIFS('ноябрь 2024'!$G$5:$G$2220,'ноябрь 2024'!$D$5:$D$2220,$B88,'ноябрь 2024'!$J$5:$J$2220,D$1)</f>
        <v>0</v>
      </c>
      <c r="E88" s="80">
        <f>SUMIFS('ноябрь 2024'!$G$5:$G$2220,'ноябрь 2024'!$D$5:$D$2220,$B88,'ноябрь 2024'!$J$5:$J$2220,E$1)</f>
        <v>0</v>
      </c>
      <c r="F88" s="80">
        <f>SUMIFS('ноябрь 2024'!$G$5:$G$2220,'ноябрь 2024'!$D$5:$D$2220,$B88,'ноябрь 2024'!$J$5:$J$2220,F$1)</f>
        <v>0</v>
      </c>
      <c r="G88" s="80">
        <f>SUMIFS('ноябрь 2024'!$G$5:$G$2220,'ноябрь 2024'!$D$5:$D$2220,$B88,'ноябрь 2024'!$J$5:$J$2220,G$1)</f>
        <v>0</v>
      </c>
      <c r="H88" s="80">
        <f>SUMIFS('ноябрь 2024'!$G$5:$G$2220,'ноябрь 2024'!$D$5:$D$2220,$B88,'ноябрь 2024'!$J$5:$J$2220,H$1)</f>
        <v>0</v>
      </c>
      <c r="I88" s="80">
        <f>SUMIFS('ноябрь 2024'!$G$5:$G$2220,'ноябрь 2024'!$D$5:$D$2220,$B88,'ноябрь 2024'!$J$5:$J$2220,I$1)</f>
        <v>0</v>
      </c>
      <c r="J88" s="80">
        <f>SUMIFS('ноябрь 2024'!$G$5:$G$2220,'ноябрь 2024'!$D$5:$D$2220,$B88,'ноябрь 2024'!$J$5:$J$2220,J$1)</f>
        <v>0</v>
      </c>
      <c r="K88" s="80">
        <f>SUMIFS('ноябрь 2024'!$G$5:$G$2220,'ноябрь 2024'!$D$5:$D$2220,$B88,'ноябрь 2024'!$J$5:$J$2220,K$1)</f>
        <v>0</v>
      </c>
      <c r="L88" s="80">
        <f>SUMIFS('ноябрь 2024'!$G$5:$G$2220,'ноябрь 2024'!$D$5:$D$2220,$B88,'ноябрь 2024'!$J$5:$J$2220,L$1)</f>
        <v>0</v>
      </c>
      <c r="M88" s="80">
        <f>SUMIFS('ноябрь 2024'!$G$5:$G$2220,'ноябрь 2024'!$D$5:$D$2220,$B88,'ноябрь 2024'!$J$5:$J$2220,M$1)</f>
        <v>0</v>
      </c>
      <c r="N88" s="80">
        <f>SUMIFS('ноябрь 2024'!$G$5:$G$2220,'ноябрь 2024'!$D$5:$D$2220,$B88,'ноябрь 2024'!$J$5:$J$2220,N$1)</f>
        <v>0</v>
      </c>
      <c r="O88" s="80">
        <f>SUMIFS('ноябрь 2024'!$G$5:$G$2220,'ноябрь 2024'!$D$5:$D$2220,$B88,'ноябрь 2024'!$J$5:$J$2220,O$1)</f>
        <v>0</v>
      </c>
      <c r="P88" s="80">
        <f>SUMIFS('ноябрь 2024'!$G$5:$G$2220,'ноябрь 2024'!$D$5:$D$2220,$B88,'ноябрь 2024'!$J$5:$J$2220,P$1)</f>
        <v>0</v>
      </c>
      <c r="Q88" s="80">
        <f>SUMIFS('ноябрь 2024'!$G$5:$G$2220,'ноябрь 2024'!$D$5:$D$2220,$B88,'ноябрь 2024'!$J$5:$J$2220,Q$1)</f>
        <v>0</v>
      </c>
      <c r="R88" s="80">
        <f>SUMIFS('ноябрь 2024'!$G$5:$G$2220,'ноябрь 2024'!$D$5:$D$2220,$B88,'ноябрь 2024'!$J$5:$J$2220,R$1)</f>
        <v>0</v>
      </c>
      <c r="S88" s="80">
        <f>SUMIFS('ноябрь 2024'!$G$5:$G$2220,'ноябрь 2024'!$D$5:$D$2220,$B88,'ноябрь 2024'!$J$5:$J$2220,S$1)</f>
        <v>0</v>
      </c>
      <c r="T88" s="80">
        <f>SUMIFS('ноябрь 2024'!$G$5:$G$2220,'ноябрь 2024'!$D$5:$D$2220,$B88,'ноябрь 2024'!$J$5:$J$2220,T$1)</f>
        <v>0</v>
      </c>
      <c r="U88" s="80">
        <f>SUMIFS('ноябрь 2024'!$G$5:$G$2220,'ноябрь 2024'!$D$5:$D$2220,$B88,'ноябрь 2024'!$J$5:$J$2220,U$1)</f>
        <v>0</v>
      </c>
      <c r="V88" s="80">
        <f>SUMIFS('ноябрь 2024'!$G$5:$G$2220,'ноябрь 2024'!$D$5:$D$2220,$B88,'ноябрь 2024'!$J$5:$J$2220,V$1)</f>
        <v>0</v>
      </c>
      <c r="W88" s="80">
        <f>SUMIFS('ноябрь 2024'!$G$5:$G$2220,'ноябрь 2024'!$D$5:$D$2220,$B88,'ноябрь 2024'!$J$5:$J$2220,W$1)</f>
        <v>0</v>
      </c>
      <c r="X88" s="80">
        <f>SUMIFS('ноябрь 2024'!$G$5:$G$2220,'ноябрь 2024'!$D$5:$D$2220,$B88,'ноябрь 2024'!$J$5:$J$2220,X$1)</f>
        <v>0</v>
      </c>
      <c r="Y88" s="80">
        <f>SUMIFS('ноябрь 2024'!$G$5:$G$2220,'ноябрь 2024'!$D$5:$D$2220,$B88,'ноябрь 2024'!$J$5:$J$2220,Y$1)</f>
        <v>0</v>
      </c>
      <c r="Z88" s="80">
        <f>SUMIFS('ноябрь 2024'!$G$5:$G$2220,'ноябрь 2024'!$D$5:$D$2220,$B88,'ноябрь 2024'!$J$5:$J$2220,Z$1)</f>
        <v>0</v>
      </c>
      <c r="AA88" s="80">
        <f>SUMIFS('ноябрь 2024'!$G$5:$G$2220,'ноябрь 2024'!$D$5:$D$2220,$B88,'ноябрь 2024'!$J$5:$J$2220,AA$1)</f>
        <v>0</v>
      </c>
      <c r="AB88" s="80">
        <f>SUMIFS('ноябрь 2024'!$G$5:$G$2220,'ноябрь 2024'!$D$5:$D$2220,$B88,'ноябрь 2024'!$J$5:$J$2220,AB$1)</f>
        <v>0</v>
      </c>
      <c r="AC88" s="80">
        <f>SUMIFS('ноябрь 2024'!$G$5:$G$2220,'ноябрь 2024'!$D$5:$D$2220,$B88,'ноябрь 2024'!$J$5:$J$2220,AC$1)</f>
        <v>0</v>
      </c>
      <c r="AD88" s="80">
        <f>SUMIFS('ноябрь 2024'!$G$5:$G$2220,'ноябрь 2024'!$D$5:$D$2220,$B88,'ноябрь 2024'!$J$5:$J$2220,AD$1)</f>
        <v>0</v>
      </c>
      <c r="AE88" s="80">
        <f>SUMIFS('ноябрь 2024'!$G$5:$G$2220,'ноябрь 2024'!$D$5:$D$2220,$B88,'ноябрь 2024'!$J$5:$J$2220,AE$1)</f>
        <v>0</v>
      </c>
      <c r="AF88" s="80">
        <f>SUMIFS('ноябрь 2024'!$G$5:$G$2220,'ноябрь 2024'!$D$5:$D$2220,$B88,'ноябрь 2024'!$J$5:$J$2220,AF$1)</f>
        <v>0</v>
      </c>
      <c r="AG88" s="80">
        <f>SUMIFS('ноябрь 2024'!$G$5:$G$2220,'ноябрь 2024'!$D$5:$D$2220,$B88,'ноябрь 2024'!$J$5:$J$2220,AG$1)</f>
        <v>0</v>
      </c>
      <c r="AH88" s="80">
        <f>SUMIFS('ноябрь 2024'!$G$5:$G$2220,'ноябрь 2024'!$D$5:$D$2220,$B88,'ноябрь 2024'!$J$5:$J$2220,AH$1)</f>
        <v>0</v>
      </c>
      <c r="AI88" s="21">
        <f t="shared" si="1"/>
        <v>0</v>
      </c>
    </row>
    <row r="89" spans="2:35" ht="15" customHeight="1" x14ac:dyDescent="0.25">
      <c r="B89" s="93" t="s">
        <v>887</v>
      </c>
      <c r="C89" s="91">
        <v>190</v>
      </c>
      <c r="D89" s="80">
        <f>SUMIFS('ноябрь 2024'!$G$5:$G$2220,'ноябрь 2024'!$D$5:$D$2220,$B89,'ноябрь 2024'!$J$5:$J$2220,D$1)</f>
        <v>0</v>
      </c>
      <c r="E89" s="80">
        <f>SUMIFS('ноябрь 2024'!$G$5:$G$2220,'ноябрь 2024'!$D$5:$D$2220,$B89,'ноябрь 2024'!$J$5:$J$2220,E$1)</f>
        <v>0</v>
      </c>
      <c r="F89" s="80">
        <f>SUMIFS('ноябрь 2024'!$G$5:$G$2220,'ноябрь 2024'!$D$5:$D$2220,$B89,'ноябрь 2024'!$J$5:$J$2220,F$1)</f>
        <v>0</v>
      </c>
      <c r="G89" s="80">
        <f>SUMIFS('ноябрь 2024'!$G$5:$G$2220,'ноябрь 2024'!$D$5:$D$2220,$B89,'ноябрь 2024'!$J$5:$J$2220,G$1)</f>
        <v>0</v>
      </c>
      <c r="H89" s="80">
        <f>SUMIFS('ноябрь 2024'!$G$5:$G$2220,'ноябрь 2024'!$D$5:$D$2220,$B89,'ноябрь 2024'!$J$5:$J$2220,H$1)</f>
        <v>0</v>
      </c>
      <c r="I89" s="80">
        <f>SUMIFS('ноябрь 2024'!$G$5:$G$2220,'ноябрь 2024'!$D$5:$D$2220,$B89,'ноябрь 2024'!$J$5:$J$2220,I$1)</f>
        <v>0</v>
      </c>
      <c r="J89" s="80">
        <f>SUMIFS('ноябрь 2024'!$G$5:$G$2220,'ноябрь 2024'!$D$5:$D$2220,$B89,'ноябрь 2024'!$J$5:$J$2220,J$1)</f>
        <v>0</v>
      </c>
      <c r="K89" s="80">
        <f>SUMIFS('ноябрь 2024'!$G$5:$G$2220,'ноябрь 2024'!$D$5:$D$2220,$B89,'ноябрь 2024'!$J$5:$J$2220,K$1)</f>
        <v>0</v>
      </c>
      <c r="L89" s="80">
        <f>SUMIFS('ноябрь 2024'!$G$5:$G$2220,'ноябрь 2024'!$D$5:$D$2220,$B89,'ноябрь 2024'!$J$5:$J$2220,L$1)</f>
        <v>0</v>
      </c>
      <c r="M89" s="80">
        <f>SUMIFS('ноябрь 2024'!$G$5:$G$2220,'ноябрь 2024'!$D$5:$D$2220,$B89,'ноябрь 2024'!$J$5:$J$2220,M$1)</f>
        <v>0</v>
      </c>
      <c r="N89" s="80">
        <f>SUMIFS('ноябрь 2024'!$G$5:$G$2220,'ноябрь 2024'!$D$5:$D$2220,$B89,'ноябрь 2024'!$J$5:$J$2220,N$1)</f>
        <v>0</v>
      </c>
      <c r="O89" s="80">
        <f>SUMIFS('ноябрь 2024'!$G$5:$G$2220,'ноябрь 2024'!$D$5:$D$2220,$B89,'ноябрь 2024'!$J$5:$J$2220,O$1)</f>
        <v>0</v>
      </c>
      <c r="P89" s="80">
        <f>SUMIFS('ноябрь 2024'!$G$5:$G$2220,'ноябрь 2024'!$D$5:$D$2220,$B89,'ноябрь 2024'!$J$5:$J$2220,P$1)</f>
        <v>0</v>
      </c>
      <c r="Q89" s="80">
        <f>SUMIFS('ноябрь 2024'!$G$5:$G$2220,'ноябрь 2024'!$D$5:$D$2220,$B89,'ноябрь 2024'!$J$5:$J$2220,Q$1)</f>
        <v>0</v>
      </c>
      <c r="R89" s="80">
        <f>SUMIFS('ноябрь 2024'!$G$5:$G$2220,'ноябрь 2024'!$D$5:$D$2220,$B89,'ноябрь 2024'!$J$5:$J$2220,R$1)</f>
        <v>0</v>
      </c>
      <c r="S89" s="80">
        <f>SUMIFS('ноябрь 2024'!$G$5:$G$2220,'ноябрь 2024'!$D$5:$D$2220,$B89,'ноябрь 2024'!$J$5:$J$2220,S$1)</f>
        <v>0</v>
      </c>
      <c r="T89" s="80">
        <f>SUMIFS('ноябрь 2024'!$G$5:$G$2220,'ноябрь 2024'!$D$5:$D$2220,$B89,'ноябрь 2024'!$J$5:$J$2220,T$1)</f>
        <v>0</v>
      </c>
      <c r="U89" s="80">
        <f>SUMIFS('ноябрь 2024'!$G$5:$G$2220,'ноябрь 2024'!$D$5:$D$2220,$B89,'ноябрь 2024'!$J$5:$J$2220,U$1)</f>
        <v>0</v>
      </c>
      <c r="V89" s="80">
        <f>SUMIFS('ноябрь 2024'!$G$5:$G$2220,'ноябрь 2024'!$D$5:$D$2220,$B89,'ноябрь 2024'!$J$5:$J$2220,V$1)</f>
        <v>0</v>
      </c>
      <c r="W89" s="80">
        <f>SUMIFS('ноябрь 2024'!$G$5:$G$2220,'ноябрь 2024'!$D$5:$D$2220,$B89,'ноябрь 2024'!$J$5:$J$2220,W$1)</f>
        <v>0</v>
      </c>
      <c r="X89" s="80">
        <f>SUMIFS('ноябрь 2024'!$G$5:$G$2220,'ноябрь 2024'!$D$5:$D$2220,$B89,'ноябрь 2024'!$J$5:$J$2220,X$1)</f>
        <v>0</v>
      </c>
      <c r="Y89" s="80">
        <f>SUMIFS('ноябрь 2024'!$G$5:$G$2220,'ноябрь 2024'!$D$5:$D$2220,$B89,'ноябрь 2024'!$J$5:$J$2220,Y$1)</f>
        <v>0</v>
      </c>
      <c r="Z89" s="80">
        <f>SUMIFS('ноябрь 2024'!$G$5:$G$2220,'ноябрь 2024'!$D$5:$D$2220,$B89,'ноябрь 2024'!$J$5:$J$2220,Z$1)</f>
        <v>0</v>
      </c>
      <c r="AA89" s="80">
        <f>SUMIFS('ноябрь 2024'!$G$5:$G$2220,'ноябрь 2024'!$D$5:$D$2220,$B89,'ноябрь 2024'!$J$5:$J$2220,AA$1)</f>
        <v>0</v>
      </c>
      <c r="AB89" s="80">
        <f>SUMIFS('ноябрь 2024'!$G$5:$G$2220,'ноябрь 2024'!$D$5:$D$2220,$B89,'ноябрь 2024'!$J$5:$J$2220,AB$1)</f>
        <v>0</v>
      </c>
      <c r="AC89" s="80">
        <f>SUMIFS('ноябрь 2024'!$G$5:$G$2220,'ноябрь 2024'!$D$5:$D$2220,$B89,'ноябрь 2024'!$J$5:$J$2220,AC$1)</f>
        <v>0</v>
      </c>
      <c r="AD89" s="80">
        <f>SUMIFS('ноябрь 2024'!$G$5:$G$2220,'ноябрь 2024'!$D$5:$D$2220,$B89,'ноябрь 2024'!$J$5:$J$2220,AD$1)</f>
        <v>0</v>
      </c>
      <c r="AE89" s="80">
        <f>SUMIFS('ноябрь 2024'!$G$5:$G$2220,'ноябрь 2024'!$D$5:$D$2220,$B89,'ноябрь 2024'!$J$5:$J$2220,AE$1)</f>
        <v>0</v>
      </c>
      <c r="AF89" s="80">
        <f>SUMIFS('ноябрь 2024'!$G$5:$G$2220,'ноябрь 2024'!$D$5:$D$2220,$B89,'ноябрь 2024'!$J$5:$J$2220,AF$1)</f>
        <v>0</v>
      </c>
      <c r="AG89" s="80">
        <f>SUMIFS('ноябрь 2024'!$G$5:$G$2220,'ноябрь 2024'!$D$5:$D$2220,$B89,'ноябрь 2024'!$J$5:$J$2220,AG$1)</f>
        <v>0</v>
      </c>
      <c r="AH89" s="80">
        <f>SUMIFS('ноябрь 2024'!$G$5:$G$2220,'ноябрь 2024'!$D$5:$D$2220,$B89,'ноябрь 2024'!$J$5:$J$2220,AH$1)</f>
        <v>0</v>
      </c>
      <c r="AI89" s="21">
        <f t="shared" si="1"/>
        <v>0</v>
      </c>
    </row>
    <row r="90" spans="2:35" ht="15" customHeight="1" x14ac:dyDescent="0.25">
      <c r="B90" s="93" t="s">
        <v>1286</v>
      </c>
      <c r="C90" s="91">
        <v>190</v>
      </c>
      <c r="D90" s="80">
        <f>SUMIFS('ноябрь 2024'!$G$5:$G$2220,'ноябрь 2024'!$D$5:$D$2220,$B90,'ноябрь 2024'!$J$5:$J$2220,D$1)</f>
        <v>0</v>
      </c>
      <c r="E90" s="80">
        <f>SUMIFS('ноябрь 2024'!$G$5:$G$2220,'ноябрь 2024'!$D$5:$D$2220,$B90,'ноябрь 2024'!$J$5:$J$2220,E$1)</f>
        <v>0</v>
      </c>
      <c r="F90" s="80">
        <f>SUMIFS('ноябрь 2024'!$G$5:$G$2220,'ноябрь 2024'!$D$5:$D$2220,$B90,'ноябрь 2024'!$J$5:$J$2220,F$1)</f>
        <v>0</v>
      </c>
      <c r="G90" s="80">
        <f>SUMIFS('ноябрь 2024'!$G$5:$G$2220,'ноябрь 2024'!$D$5:$D$2220,$B90,'ноябрь 2024'!$J$5:$J$2220,G$1)</f>
        <v>0</v>
      </c>
      <c r="H90" s="80">
        <f>SUMIFS('ноябрь 2024'!$G$5:$G$2220,'ноябрь 2024'!$D$5:$D$2220,$B90,'ноябрь 2024'!$J$5:$J$2220,H$1)</f>
        <v>0</v>
      </c>
      <c r="I90" s="80">
        <f>SUMIFS('ноябрь 2024'!$G$5:$G$2220,'ноябрь 2024'!$D$5:$D$2220,$B90,'ноябрь 2024'!$J$5:$J$2220,I$1)</f>
        <v>0</v>
      </c>
      <c r="J90" s="80">
        <f>SUMIFS('ноябрь 2024'!$G$5:$G$2220,'ноябрь 2024'!$D$5:$D$2220,$B90,'ноябрь 2024'!$J$5:$J$2220,J$1)</f>
        <v>0</v>
      </c>
      <c r="K90" s="80">
        <f>SUMIFS('ноябрь 2024'!$G$5:$G$2220,'ноябрь 2024'!$D$5:$D$2220,$B90,'ноябрь 2024'!$J$5:$J$2220,K$1)</f>
        <v>0</v>
      </c>
      <c r="L90" s="80">
        <f>SUMIFS('ноябрь 2024'!$G$5:$G$2220,'ноябрь 2024'!$D$5:$D$2220,$B90,'ноябрь 2024'!$J$5:$J$2220,L$1)</f>
        <v>0</v>
      </c>
      <c r="M90" s="80">
        <f>SUMIFS('ноябрь 2024'!$G$5:$G$2220,'ноябрь 2024'!$D$5:$D$2220,$B90,'ноябрь 2024'!$J$5:$J$2220,M$1)</f>
        <v>0</v>
      </c>
      <c r="N90" s="80">
        <f>SUMIFS('ноябрь 2024'!$G$5:$G$2220,'ноябрь 2024'!$D$5:$D$2220,$B90,'ноябрь 2024'!$J$5:$J$2220,N$1)</f>
        <v>0</v>
      </c>
      <c r="O90" s="80">
        <f>SUMIFS('ноябрь 2024'!$G$5:$G$2220,'ноябрь 2024'!$D$5:$D$2220,$B90,'ноябрь 2024'!$J$5:$J$2220,O$1)</f>
        <v>0</v>
      </c>
      <c r="P90" s="80">
        <f>SUMIFS('ноябрь 2024'!$G$5:$G$2220,'ноябрь 2024'!$D$5:$D$2220,$B90,'ноябрь 2024'!$J$5:$J$2220,P$1)</f>
        <v>0</v>
      </c>
      <c r="Q90" s="80">
        <f>SUMIFS('ноябрь 2024'!$G$5:$G$2220,'ноябрь 2024'!$D$5:$D$2220,$B90,'ноябрь 2024'!$J$5:$J$2220,Q$1)</f>
        <v>0</v>
      </c>
      <c r="R90" s="80">
        <f>SUMIFS('ноябрь 2024'!$G$5:$G$2220,'ноябрь 2024'!$D$5:$D$2220,$B90,'ноябрь 2024'!$J$5:$J$2220,R$1)</f>
        <v>0</v>
      </c>
      <c r="S90" s="80">
        <f>SUMIFS('ноябрь 2024'!$G$5:$G$2220,'ноябрь 2024'!$D$5:$D$2220,$B90,'ноябрь 2024'!$J$5:$J$2220,S$1)</f>
        <v>0</v>
      </c>
      <c r="T90" s="80">
        <f>SUMIFS('ноябрь 2024'!$G$5:$G$2220,'ноябрь 2024'!$D$5:$D$2220,$B90,'ноябрь 2024'!$J$5:$J$2220,T$1)</f>
        <v>0</v>
      </c>
      <c r="U90" s="80">
        <f>SUMIFS('ноябрь 2024'!$G$5:$G$2220,'ноябрь 2024'!$D$5:$D$2220,$B90,'ноябрь 2024'!$J$5:$J$2220,U$1)</f>
        <v>0</v>
      </c>
      <c r="V90" s="80">
        <f>SUMIFS('ноябрь 2024'!$G$5:$G$2220,'ноябрь 2024'!$D$5:$D$2220,$B90,'ноябрь 2024'!$J$5:$J$2220,V$1)</f>
        <v>0</v>
      </c>
      <c r="W90" s="80">
        <f>SUMIFS('ноябрь 2024'!$G$5:$G$2220,'ноябрь 2024'!$D$5:$D$2220,$B90,'ноябрь 2024'!$J$5:$J$2220,W$1)</f>
        <v>0</v>
      </c>
      <c r="X90" s="80">
        <f>SUMIFS('ноябрь 2024'!$G$5:$G$2220,'ноябрь 2024'!$D$5:$D$2220,$B90,'ноябрь 2024'!$J$5:$J$2220,X$1)</f>
        <v>0</v>
      </c>
      <c r="Y90" s="80">
        <f>SUMIFS('ноябрь 2024'!$G$5:$G$2220,'ноябрь 2024'!$D$5:$D$2220,$B90,'ноябрь 2024'!$J$5:$J$2220,Y$1)</f>
        <v>0</v>
      </c>
      <c r="Z90" s="80">
        <f>SUMIFS('ноябрь 2024'!$G$5:$G$2220,'ноябрь 2024'!$D$5:$D$2220,$B90,'ноябрь 2024'!$J$5:$J$2220,Z$1)</f>
        <v>0</v>
      </c>
      <c r="AA90" s="80">
        <f>SUMIFS('ноябрь 2024'!$G$5:$G$2220,'ноябрь 2024'!$D$5:$D$2220,$B90,'ноябрь 2024'!$J$5:$J$2220,AA$1)</f>
        <v>0</v>
      </c>
      <c r="AB90" s="80">
        <f>SUMIFS('ноябрь 2024'!$G$5:$G$2220,'ноябрь 2024'!$D$5:$D$2220,$B90,'ноябрь 2024'!$J$5:$J$2220,AB$1)</f>
        <v>0</v>
      </c>
      <c r="AC90" s="80">
        <f>SUMIFS('ноябрь 2024'!$G$5:$G$2220,'ноябрь 2024'!$D$5:$D$2220,$B90,'ноябрь 2024'!$J$5:$J$2220,AC$1)</f>
        <v>0</v>
      </c>
      <c r="AD90" s="80">
        <f>SUMIFS('ноябрь 2024'!$G$5:$G$2220,'ноябрь 2024'!$D$5:$D$2220,$B90,'ноябрь 2024'!$J$5:$J$2220,AD$1)</f>
        <v>0</v>
      </c>
      <c r="AE90" s="80">
        <f>SUMIFS('ноябрь 2024'!$G$5:$G$2220,'ноябрь 2024'!$D$5:$D$2220,$B90,'ноябрь 2024'!$J$5:$J$2220,AE$1)</f>
        <v>0</v>
      </c>
      <c r="AF90" s="80">
        <f>SUMIFS('ноябрь 2024'!$G$5:$G$2220,'ноябрь 2024'!$D$5:$D$2220,$B90,'ноябрь 2024'!$J$5:$J$2220,AF$1)</f>
        <v>0</v>
      </c>
      <c r="AG90" s="80">
        <f>SUMIFS('ноябрь 2024'!$G$5:$G$2220,'ноябрь 2024'!$D$5:$D$2220,$B90,'ноябрь 2024'!$J$5:$J$2220,AG$1)</f>
        <v>0</v>
      </c>
      <c r="AH90" s="80">
        <f>SUMIFS('ноябрь 2024'!$G$5:$G$2220,'ноябрь 2024'!$D$5:$D$2220,$B90,'ноябрь 2024'!$J$5:$J$2220,AH$1)</f>
        <v>0</v>
      </c>
      <c r="AI90" s="21">
        <f t="shared" si="1"/>
        <v>0</v>
      </c>
    </row>
    <row r="91" spans="2:35" ht="15" customHeight="1" x14ac:dyDescent="0.25">
      <c r="B91" s="93" t="s">
        <v>399</v>
      </c>
      <c r="C91" s="91">
        <v>190</v>
      </c>
      <c r="D91" s="80">
        <f>SUMIFS('ноябрь 2024'!$G$5:$G$2220,'ноябрь 2024'!$D$5:$D$2220,$B91,'ноябрь 2024'!$J$5:$J$2220,D$1)</f>
        <v>0</v>
      </c>
      <c r="E91" s="80">
        <f>SUMIFS('ноябрь 2024'!$G$5:$G$2220,'ноябрь 2024'!$D$5:$D$2220,$B91,'ноябрь 2024'!$J$5:$J$2220,E$1)</f>
        <v>0</v>
      </c>
      <c r="F91" s="80">
        <f>SUMIFS('ноябрь 2024'!$G$5:$G$2220,'ноябрь 2024'!$D$5:$D$2220,$B91,'ноябрь 2024'!$J$5:$J$2220,F$1)</f>
        <v>0</v>
      </c>
      <c r="G91" s="80">
        <f>SUMIFS('ноябрь 2024'!$G$5:$G$2220,'ноябрь 2024'!$D$5:$D$2220,$B91,'ноябрь 2024'!$J$5:$J$2220,G$1)</f>
        <v>0</v>
      </c>
      <c r="H91" s="80">
        <f>SUMIFS('ноябрь 2024'!$G$5:$G$2220,'ноябрь 2024'!$D$5:$D$2220,$B91,'ноябрь 2024'!$J$5:$J$2220,H$1)</f>
        <v>0</v>
      </c>
      <c r="I91" s="80">
        <f>SUMIFS('ноябрь 2024'!$G$5:$G$2220,'ноябрь 2024'!$D$5:$D$2220,$B91,'ноябрь 2024'!$J$5:$J$2220,I$1)</f>
        <v>0</v>
      </c>
      <c r="J91" s="80">
        <f>SUMIFS('ноябрь 2024'!$G$5:$G$2220,'ноябрь 2024'!$D$5:$D$2220,$B91,'ноябрь 2024'!$J$5:$J$2220,J$1)</f>
        <v>0</v>
      </c>
      <c r="K91" s="80">
        <f>SUMIFS('ноябрь 2024'!$G$5:$G$2220,'ноябрь 2024'!$D$5:$D$2220,$B91,'ноябрь 2024'!$J$5:$J$2220,K$1)</f>
        <v>0</v>
      </c>
      <c r="L91" s="80">
        <f>SUMIFS('ноябрь 2024'!$G$5:$G$2220,'ноябрь 2024'!$D$5:$D$2220,$B91,'ноябрь 2024'!$J$5:$J$2220,L$1)</f>
        <v>0</v>
      </c>
      <c r="M91" s="80">
        <f>SUMIFS('ноябрь 2024'!$G$5:$G$2220,'ноябрь 2024'!$D$5:$D$2220,$B91,'ноябрь 2024'!$J$5:$J$2220,M$1)</f>
        <v>0</v>
      </c>
      <c r="N91" s="80">
        <f>SUMIFS('ноябрь 2024'!$G$5:$G$2220,'ноябрь 2024'!$D$5:$D$2220,$B91,'ноябрь 2024'!$J$5:$J$2220,N$1)</f>
        <v>0</v>
      </c>
      <c r="O91" s="80">
        <f>SUMIFS('ноябрь 2024'!$G$5:$G$2220,'ноябрь 2024'!$D$5:$D$2220,$B91,'ноябрь 2024'!$J$5:$J$2220,O$1)</f>
        <v>0</v>
      </c>
      <c r="P91" s="80">
        <f>SUMIFS('ноябрь 2024'!$G$5:$G$2220,'ноябрь 2024'!$D$5:$D$2220,$B91,'ноябрь 2024'!$J$5:$J$2220,P$1)</f>
        <v>0</v>
      </c>
      <c r="Q91" s="80">
        <f>SUMIFS('ноябрь 2024'!$G$5:$G$2220,'ноябрь 2024'!$D$5:$D$2220,$B91,'ноябрь 2024'!$J$5:$J$2220,Q$1)</f>
        <v>0</v>
      </c>
      <c r="R91" s="80">
        <f>SUMIFS('ноябрь 2024'!$G$5:$G$2220,'ноябрь 2024'!$D$5:$D$2220,$B91,'ноябрь 2024'!$J$5:$J$2220,R$1)</f>
        <v>0</v>
      </c>
      <c r="S91" s="80">
        <f>SUMIFS('ноябрь 2024'!$G$5:$G$2220,'ноябрь 2024'!$D$5:$D$2220,$B91,'ноябрь 2024'!$J$5:$J$2220,S$1)</f>
        <v>0</v>
      </c>
      <c r="T91" s="80">
        <f>SUMIFS('ноябрь 2024'!$G$5:$G$2220,'ноябрь 2024'!$D$5:$D$2220,$B91,'ноябрь 2024'!$J$5:$J$2220,T$1)</f>
        <v>0</v>
      </c>
      <c r="U91" s="80">
        <f>SUMIFS('ноябрь 2024'!$G$5:$G$2220,'ноябрь 2024'!$D$5:$D$2220,$B91,'ноябрь 2024'!$J$5:$J$2220,U$1)</f>
        <v>0</v>
      </c>
      <c r="V91" s="80">
        <f>SUMIFS('ноябрь 2024'!$G$5:$G$2220,'ноябрь 2024'!$D$5:$D$2220,$B91,'ноябрь 2024'!$J$5:$J$2220,V$1)</f>
        <v>0</v>
      </c>
      <c r="W91" s="80">
        <f>SUMIFS('ноябрь 2024'!$G$5:$G$2220,'ноябрь 2024'!$D$5:$D$2220,$B91,'ноябрь 2024'!$J$5:$J$2220,W$1)</f>
        <v>0</v>
      </c>
      <c r="X91" s="80">
        <f>SUMIFS('ноябрь 2024'!$G$5:$G$2220,'ноябрь 2024'!$D$5:$D$2220,$B91,'ноябрь 2024'!$J$5:$J$2220,X$1)</f>
        <v>0</v>
      </c>
      <c r="Y91" s="80">
        <f>SUMIFS('ноябрь 2024'!$G$5:$G$2220,'ноябрь 2024'!$D$5:$D$2220,$B91,'ноябрь 2024'!$J$5:$J$2220,Y$1)</f>
        <v>0</v>
      </c>
      <c r="Z91" s="80">
        <f>SUMIFS('ноябрь 2024'!$G$5:$G$2220,'ноябрь 2024'!$D$5:$D$2220,$B91,'ноябрь 2024'!$J$5:$J$2220,Z$1)</f>
        <v>0</v>
      </c>
      <c r="AA91" s="80">
        <f>SUMIFS('ноябрь 2024'!$G$5:$G$2220,'ноябрь 2024'!$D$5:$D$2220,$B91,'ноябрь 2024'!$J$5:$J$2220,AA$1)</f>
        <v>0</v>
      </c>
      <c r="AB91" s="80">
        <f>SUMIFS('ноябрь 2024'!$G$5:$G$2220,'ноябрь 2024'!$D$5:$D$2220,$B91,'ноябрь 2024'!$J$5:$J$2220,AB$1)</f>
        <v>0</v>
      </c>
      <c r="AC91" s="80">
        <f>SUMIFS('ноябрь 2024'!$G$5:$G$2220,'ноябрь 2024'!$D$5:$D$2220,$B91,'ноябрь 2024'!$J$5:$J$2220,AC$1)</f>
        <v>0</v>
      </c>
      <c r="AD91" s="80">
        <f>SUMIFS('ноябрь 2024'!$G$5:$G$2220,'ноябрь 2024'!$D$5:$D$2220,$B91,'ноябрь 2024'!$J$5:$J$2220,AD$1)</f>
        <v>0</v>
      </c>
      <c r="AE91" s="80">
        <f>SUMIFS('ноябрь 2024'!$G$5:$G$2220,'ноябрь 2024'!$D$5:$D$2220,$B91,'ноябрь 2024'!$J$5:$J$2220,AE$1)</f>
        <v>0</v>
      </c>
      <c r="AF91" s="80">
        <f>SUMIFS('ноябрь 2024'!$G$5:$G$2220,'ноябрь 2024'!$D$5:$D$2220,$B91,'ноябрь 2024'!$J$5:$J$2220,AF$1)</f>
        <v>0</v>
      </c>
      <c r="AG91" s="80">
        <f>SUMIFS('ноябрь 2024'!$G$5:$G$2220,'ноябрь 2024'!$D$5:$D$2220,$B91,'ноябрь 2024'!$J$5:$J$2220,AG$1)</f>
        <v>0</v>
      </c>
      <c r="AH91" s="80">
        <f>SUMIFS('ноябрь 2024'!$G$5:$G$2220,'ноябрь 2024'!$D$5:$D$2220,$B91,'ноябрь 2024'!$J$5:$J$2220,AH$1)</f>
        <v>0</v>
      </c>
      <c r="AI91" s="21">
        <f t="shared" si="1"/>
        <v>0</v>
      </c>
    </row>
    <row r="92" spans="2:35" ht="15" customHeight="1" x14ac:dyDescent="0.25">
      <c r="B92" s="93" t="s">
        <v>322</v>
      </c>
      <c r="C92" s="91">
        <v>180</v>
      </c>
      <c r="D92" s="80">
        <f>SUMIFS('ноябрь 2024'!$G$5:$G$2220,'ноябрь 2024'!$D$5:$D$2220,$B92,'ноябрь 2024'!$J$5:$J$2220,D$1)</f>
        <v>0</v>
      </c>
      <c r="E92" s="80">
        <f>SUMIFS('ноябрь 2024'!$G$5:$G$2220,'ноябрь 2024'!$D$5:$D$2220,$B92,'ноябрь 2024'!$J$5:$J$2220,E$1)</f>
        <v>0</v>
      </c>
      <c r="F92" s="80">
        <f>SUMIFS('ноябрь 2024'!$G$5:$G$2220,'ноябрь 2024'!$D$5:$D$2220,$B92,'ноябрь 2024'!$J$5:$J$2220,F$1)</f>
        <v>0</v>
      </c>
      <c r="G92" s="80">
        <f>SUMIFS('ноябрь 2024'!$G$5:$G$2220,'ноябрь 2024'!$D$5:$D$2220,$B92,'ноябрь 2024'!$J$5:$J$2220,G$1)</f>
        <v>0</v>
      </c>
      <c r="H92" s="80">
        <f>SUMIFS('ноябрь 2024'!$G$5:$G$2220,'ноябрь 2024'!$D$5:$D$2220,$B92,'ноябрь 2024'!$J$5:$J$2220,H$1)</f>
        <v>0</v>
      </c>
      <c r="I92" s="80">
        <f>SUMIFS('ноябрь 2024'!$G$5:$G$2220,'ноябрь 2024'!$D$5:$D$2220,$B92,'ноябрь 2024'!$J$5:$J$2220,I$1)</f>
        <v>0</v>
      </c>
      <c r="J92" s="80">
        <f>SUMIFS('ноябрь 2024'!$G$5:$G$2220,'ноябрь 2024'!$D$5:$D$2220,$B92,'ноябрь 2024'!$J$5:$J$2220,J$1)</f>
        <v>0</v>
      </c>
      <c r="K92" s="80">
        <f>SUMIFS('ноябрь 2024'!$G$5:$G$2220,'ноябрь 2024'!$D$5:$D$2220,$B92,'ноябрь 2024'!$J$5:$J$2220,K$1)</f>
        <v>0</v>
      </c>
      <c r="L92" s="80">
        <f>SUMIFS('ноябрь 2024'!$G$5:$G$2220,'ноябрь 2024'!$D$5:$D$2220,$B92,'ноябрь 2024'!$J$5:$J$2220,L$1)</f>
        <v>0</v>
      </c>
      <c r="M92" s="80">
        <f>SUMIFS('ноябрь 2024'!$G$5:$G$2220,'ноябрь 2024'!$D$5:$D$2220,$B92,'ноябрь 2024'!$J$5:$J$2220,M$1)</f>
        <v>0</v>
      </c>
      <c r="N92" s="80">
        <f>SUMIFS('ноябрь 2024'!$G$5:$G$2220,'ноябрь 2024'!$D$5:$D$2220,$B92,'ноябрь 2024'!$J$5:$J$2220,N$1)</f>
        <v>0</v>
      </c>
      <c r="O92" s="80">
        <f>SUMIFS('ноябрь 2024'!$G$5:$G$2220,'ноябрь 2024'!$D$5:$D$2220,$B92,'ноябрь 2024'!$J$5:$J$2220,O$1)</f>
        <v>0</v>
      </c>
      <c r="P92" s="80">
        <f>SUMIFS('ноябрь 2024'!$G$5:$G$2220,'ноябрь 2024'!$D$5:$D$2220,$B92,'ноябрь 2024'!$J$5:$J$2220,P$1)</f>
        <v>0</v>
      </c>
      <c r="Q92" s="80">
        <f>SUMIFS('ноябрь 2024'!$G$5:$G$2220,'ноябрь 2024'!$D$5:$D$2220,$B92,'ноябрь 2024'!$J$5:$J$2220,Q$1)</f>
        <v>0</v>
      </c>
      <c r="R92" s="80">
        <f>SUMIFS('ноябрь 2024'!$G$5:$G$2220,'ноябрь 2024'!$D$5:$D$2220,$B92,'ноябрь 2024'!$J$5:$J$2220,R$1)</f>
        <v>0</v>
      </c>
      <c r="S92" s="80">
        <f>SUMIFS('ноябрь 2024'!$G$5:$G$2220,'ноябрь 2024'!$D$5:$D$2220,$B92,'ноябрь 2024'!$J$5:$J$2220,S$1)</f>
        <v>0</v>
      </c>
      <c r="T92" s="80">
        <f>SUMIFS('ноябрь 2024'!$G$5:$G$2220,'ноябрь 2024'!$D$5:$D$2220,$B92,'ноябрь 2024'!$J$5:$J$2220,T$1)</f>
        <v>0</v>
      </c>
      <c r="U92" s="80">
        <f>SUMIFS('ноябрь 2024'!$G$5:$G$2220,'ноябрь 2024'!$D$5:$D$2220,$B92,'ноябрь 2024'!$J$5:$J$2220,U$1)</f>
        <v>0</v>
      </c>
      <c r="V92" s="80">
        <f>SUMIFS('ноябрь 2024'!$G$5:$G$2220,'ноябрь 2024'!$D$5:$D$2220,$B92,'ноябрь 2024'!$J$5:$J$2220,V$1)</f>
        <v>0</v>
      </c>
      <c r="W92" s="80">
        <f>SUMIFS('ноябрь 2024'!$G$5:$G$2220,'ноябрь 2024'!$D$5:$D$2220,$B92,'ноябрь 2024'!$J$5:$J$2220,W$1)</f>
        <v>0</v>
      </c>
      <c r="X92" s="80">
        <f>SUMIFS('ноябрь 2024'!$G$5:$G$2220,'ноябрь 2024'!$D$5:$D$2220,$B92,'ноябрь 2024'!$J$5:$J$2220,X$1)</f>
        <v>0</v>
      </c>
      <c r="Y92" s="80">
        <f>SUMIFS('ноябрь 2024'!$G$5:$G$2220,'ноябрь 2024'!$D$5:$D$2220,$B92,'ноябрь 2024'!$J$5:$J$2220,Y$1)</f>
        <v>0</v>
      </c>
      <c r="Z92" s="80">
        <f>SUMIFS('ноябрь 2024'!$G$5:$G$2220,'ноябрь 2024'!$D$5:$D$2220,$B92,'ноябрь 2024'!$J$5:$J$2220,Z$1)</f>
        <v>0</v>
      </c>
      <c r="AA92" s="80">
        <f>SUMIFS('ноябрь 2024'!$G$5:$G$2220,'ноябрь 2024'!$D$5:$D$2220,$B92,'ноябрь 2024'!$J$5:$J$2220,AA$1)</f>
        <v>0</v>
      </c>
      <c r="AB92" s="80">
        <f>SUMIFS('ноябрь 2024'!$G$5:$G$2220,'ноябрь 2024'!$D$5:$D$2220,$B92,'ноябрь 2024'!$J$5:$J$2220,AB$1)</f>
        <v>0</v>
      </c>
      <c r="AC92" s="80">
        <f>SUMIFS('ноябрь 2024'!$G$5:$G$2220,'ноябрь 2024'!$D$5:$D$2220,$B92,'ноябрь 2024'!$J$5:$J$2220,AC$1)</f>
        <v>0</v>
      </c>
      <c r="AD92" s="80">
        <f>SUMIFS('ноябрь 2024'!$G$5:$G$2220,'ноябрь 2024'!$D$5:$D$2220,$B92,'ноябрь 2024'!$J$5:$J$2220,AD$1)</f>
        <v>0</v>
      </c>
      <c r="AE92" s="80">
        <f>SUMIFS('ноябрь 2024'!$G$5:$G$2220,'ноябрь 2024'!$D$5:$D$2220,$B92,'ноябрь 2024'!$J$5:$J$2220,AE$1)</f>
        <v>0</v>
      </c>
      <c r="AF92" s="80">
        <f>SUMIFS('ноябрь 2024'!$G$5:$G$2220,'ноябрь 2024'!$D$5:$D$2220,$B92,'ноябрь 2024'!$J$5:$J$2220,AF$1)</f>
        <v>0</v>
      </c>
      <c r="AG92" s="80">
        <f>SUMIFS('ноябрь 2024'!$G$5:$G$2220,'ноябрь 2024'!$D$5:$D$2220,$B92,'ноябрь 2024'!$J$5:$J$2220,AG$1)</f>
        <v>0</v>
      </c>
      <c r="AH92" s="80">
        <f>SUMIFS('ноябрь 2024'!$G$5:$G$2220,'ноябрь 2024'!$D$5:$D$2220,$B92,'ноябрь 2024'!$J$5:$J$2220,AH$1)</f>
        <v>0</v>
      </c>
      <c r="AI92" s="21">
        <f t="shared" si="1"/>
        <v>0</v>
      </c>
    </row>
    <row r="93" spans="2:35" ht="15" customHeight="1" x14ac:dyDescent="0.25">
      <c r="B93" s="93" t="s">
        <v>323</v>
      </c>
      <c r="C93" s="91">
        <v>180</v>
      </c>
      <c r="D93" s="80">
        <f>SUMIFS('ноябрь 2024'!$G$5:$G$2220,'ноябрь 2024'!$D$5:$D$2220,$B93,'ноябрь 2024'!$J$5:$J$2220,D$1)</f>
        <v>0</v>
      </c>
      <c r="E93" s="80">
        <f>SUMIFS('ноябрь 2024'!$G$5:$G$2220,'ноябрь 2024'!$D$5:$D$2220,$B93,'ноябрь 2024'!$J$5:$J$2220,E$1)</f>
        <v>0</v>
      </c>
      <c r="F93" s="80">
        <f>SUMIFS('ноябрь 2024'!$G$5:$G$2220,'ноябрь 2024'!$D$5:$D$2220,$B93,'ноябрь 2024'!$J$5:$J$2220,F$1)</f>
        <v>0</v>
      </c>
      <c r="G93" s="80">
        <f>SUMIFS('ноябрь 2024'!$G$5:$G$2220,'ноябрь 2024'!$D$5:$D$2220,$B93,'ноябрь 2024'!$J$5:$J$2220,G$1)</f>
        <v>0</v>
      </c>
      <c r="H93" s="80">
        <f>SUMIFS('ноябрь 2024'!$G$5:$G$2220,'ноябрь 2024'!$D$5:$D$2220,$B93,'ноябрь 2024'!$J$5:$J$2220,H$1)</f>
        <v>0</v>
      </c>
      <c r="I93" s="80">
        <f>SUMIFS('ноябрь 2024'!$G$5:$G$2220,'ноябрь 2024'!$D$5:$D$2220,$B93,'ноябрь 2024'!$J$5:$J$2220,I$1)</f>
        <v>0</v>
      </c>
      <c r="J93" s="80">
        <f>SUMIFS('ноябрь 2024'!$G$5:$G$2220,'ноябрь 2024'!$D$5:$D$2220,$B93,'ноябрь 2024'!$J$5:$J$2220,J$1)</f>
        <v>0</v>
      </c>
      <c r="K93" s="80">
        <f>SUMIFS('ноябрь 2024'!$G$5:$G$2220,'ноябрь 2024'!$D$5:$D$2220,$B93,'ноябрь 2024'!$J$5:$J$2220,K$1)</f>
        <v>0</v>
      </c>
      <c r="L93" s="80">
        <f>SUMIFS('ноябрь 2024'!$G$5:$G$2220,'ноябрь 2024'!$D$5:$D$2220,$B93,'ноябрь 2024'!$J$5:$J$2220,L$1)</f>
        <v>0</v>
      </c>
      <c r="M93" s="80">
        <f>SUMIFS('ноябрь 2024'!$G$5:$G$2220,'ноябрь 2024'!$D$5:$D$2220,$B93,'ноябрь 2024'!$J$5:$J$2220,M$1)</f>
        <v>0</v>
      </c>
      <c r="N93" s="80">
        <f>SUMIFS('ноябрь 2024'!$G$5:$G$2220,'ноябрь 2024'!$D$5:$D$2220,$B93,'ноябрь 2024'!$J$5:$J$2220,N$1)</f>
        <v>0</v>
      </c>
      <c r="O93" s="80">
        <f>SUMIFS('ноябрь 2024'!$G$5:$G$2220,'ноябрь 2024'!$D$5:$D$2220,$B93,'ноябрь 2024'!$J$5:$J$2220,O$1)</f>
        <v>0</v>
      </c>
      <c r="P93" s="80">
        <f>SUMIFS('ноябрь 2024'!$G$5:$G$2220,'ноябрь 2024'!$D$5:$D$2220,$B93,'ноябрь 2024'!$J$5:$J$2220,P$1)</f>
        <v>0</v>
      </c>
      <c r="Q93" s="80">
        <f>SUMIFS('ноябрь 2024'!$G$5:$G$2220,'ноябрь 2024'!$D$5:$D$2220,$B93,'ноябрь 2024'!$J$5:$J$2220,Q$1)</f>
        <v>0</v>
      </c>
      <c r="R93" s="80">
        <f>SUMIFS('ноябрь 2024'!$G$5:$G$2220,'ноябрь 2024'!$D$5:$D$2220,$B93,'ноябрь 2024'!$J$5:$J$2220,R$1)</f>
        <v>0</v>
      </c>
      <c r="S93" s="80">
        <f>SUMIFS('ноябрь 2024'!$G$5:$G$2220,'ноябрь 2024'!$D$5:$D$2220,$B93,'ноябрь 2024'!$J$5:$J$2220,S$1)</f>
        <v>0</v>
      </c>
      <c r="T93" s="80">
        <f>SUMIFS('ноябрь 2024'!$G$5:$G$2220,'ноябрь 2024'!$D$5:$D$2220,$B93,'ноябрь 2024'!$J$5:$J$2220,T$1)</f>
        <v>0</v>
      </c>
      <c r="U93" s="80">
        <f>SUMIFS('ноябрь 2024'!$G$5:$G$2220,'ноябрь 2024'!$D$5:$D$2220,$B93,'ноябрь 2024'!$J$5:$J$2220,U$1)</f>
        <v>0</v>
      </c>
      <c r="V93" s="80">
        <f>SUMIFS('ноябрь 2024'!$G$5:$G$2220,'ноябрь 2024'!$D$5:$D$2220,$B93,'ноябрь 2024'!$J$5:$J$2220,V$1)</f>
        <v>0</v>
      </c>
      <c r="W93" s="80">
        <f>SUMIFS('ноябрь 2024'!$G$5:$G$2220,'ноябрь 2024'!$D$5:$D$2220,$B93,'ноябрь 2024'!$J$5:$J$2220,W$1)</f>
        <v>0</v>
      </c>
      <c r="X93" s="80">
        <f>SUMIFS('ноябрь 2024'!$G$5:$G$2220,'ноябрь 2024'!$D$5:$D$2220,$B93,'ноябрь 2024'!$J$5:$J$2220,X$1)</f>
        <v>0</v>
      </c>
      <c r="Y93" s="80">
        <f>SUMIFS('ноябрь 2024'!$G$5:$G$2220,'ноябрь 2024'!$D$5:$D$2220,$B93,'ноябрь 2024'!$J$5:$J$2220,Y$1)</f>
        <v>0</v>
      </c>
      <c r="Z93" s="80">
        <f>SUMIFS('ноябрь 2024'!$G$5:$G$2220,'ноябрь 2024'!$D$5:$D$2220,$B93,'ноябрь 2024'!$J$5:$J$2220,Z$1)</f>
        <v>0</v>
      </c>
      <c r="AA93" s="80">
        <f>SUMIFS('ноябрь 2024'!$G$5:$G$2220,'ноябрь 2024'!$D$5:$D$2220,$B93,'ноябрь 2024'!$J$5:$J$2220,AA$1)</f>
        <v>0</v>
      </c>
      <c r="AB93" s="80">
        <f>SUMIFS('ноябрь 2024'!$G$5:$G$2220,'ноябрь 2024'!$D$5:$D$2220,$B93,'ноябрь 2024'!$J$5:$J$2220,AB$1)</f>
        <v>0</v>
      </c>
      <c r="AC93" s="80">
        <f>SUMIFS('ноябрь 2024'!$G$5:$G$2220,'ноябрь 2024'!$D$5:$D$2220,$B93,'ноябрь 2024'!$J$5:$J$2220,AC$1)</f>
        <v>0</v>
      </c>
      <c r="AD93" s="80">
        <f>SUMIFS('ноябрь 2024'!$G$5:$G$2220,'ноябрь 2024'!$D$5:$D$2220,$B93,'ноябрь 2024'!$J$5:$J$2220,AD$1)</f>
        <v>0</v>
      </c>
      <c r="AE93" s="80">
        <f>SUMIFS('ноябрь 2024'!$G$5:$G$2220,'ноябрь 2024'!$D$5:$D$2220,$B93,'ноябрь 2024'!$J$5:$J$2220,AE$1)</f>
        <v>0</v>
      </c>
      <c r="AF93" s="80">
        <f>SUMIFS('ноябрь 2024'!$G$5:$G$2220,'ноябрь 2024'!$D$5:$D$2220,$B93,'ноябрь 2024'!$J$5:$J$2220,AF$1)</f>
        <v>0</v>
      </c>
      <c r="AG93" s="80">
        <f>SUMIFS('ноябрь 2024'!$G$5:$G$2220,'ноябрь 2024'!$D$5:$D$2220,$B93,'ноябрь 2024'!$J$5:$J$2220,AG$1)</f>
        <v>0</v>
      </c>
      <c r="AH93" s="80">
        <f>SUMIFS('ноябрь 2024'!$G$5:$G$2220,'ноябрь 2024'!$D$5:$D$2220,$B93,'ноябрь 2024'!$J$5:$J$2220,AH$1)</f>
        <v>0</v>
      </c>
      <c r="AI93" s="21">
        <f t="shared" si="1"/>
        <v>0</v>
      </c>
    </row>
    <row r="94" spans="2:35" ht="15" customHeight="1" x14ac:dyDescent="0.25">
      <c r="B94" s="93" t="s">
        <v>513</v>
      </c>
      <c r="C94" s="91">
        <v>20</v>
      </c>
      <c r="D94" s="80">
        <f>SUMIFS('ноябрь 2024'!$G$5:$G$2220,'ноябрь 2024'!$D$5:$D$2220,$B94,'ноябрь 2024'!$J$5:$J$2220,D$1)</f>
        <v>0</v>
      </c>
      <c r="E94" s="80">
        <f>SUMIFS('ноябрь 2024'!$G$5:$G$2220,'ноябрь 2024'!$D$5:$D$2220,$B94,'ноябрь 2024'!$J$5:$J$2220,E$1)</f>
        <v>0</v>
      </c>
      <c r="F94" s="80">
        <f>SUMIFS('ноябрь 2024'!$G$5:$G$2220,'ноябрь 2024'!$D$5:$D$2220,$B94,'ноябрь 2024'!$J$5:$J$2220,F$1)</f>
        <v>0</v>
      </c>
      <c r="G94" s="80">
        <f>SUMIFS('ноябрь 2024'!$G$5:$G$2220,'ноябрь 2024'!$D$5:$D$2220,$B94,'ноябрь 2024'!$J$5:$J$2220,G$1)</f>
        <v>0</v>
      </c>
      <c r="H94" s="80">
        <f>SUMIFS('ноябрь 2024'!$G$5:$G$2220,'ноябрь 2024'!$D$5:$D$2220,$B94,'ноябрь 2024'!$J$5:$J$2220,H$1)</f>
        <v>0</v>
      </c>
      <c r="I94" s="80">
        <f>SUMIFS('ноябрь 2024'!$G$5:$G$2220,'ноябрь 2024'!$D$5:$D$2220,$B94,'ноябрь 2024'!$J$5:$J$2220,I$1)</f>
        <v>0</v>
      </c>
      <c r="J94" s="80">
        <f>SUMIFS('ноябрь 2024'!$G$5:$G$2220,'ноябрь 2024'!$D$5:$D$2220,$B94,'ноябрь 2024'!$J$5:$J$2220,J$1)</f>
        <v>0</v>
      </c>
      <c r="K94" s="80">
        <f>SUMIFS('ноябрь 2024'!$G$5:$G$2220,'ноябрь 2024'!$D$5:$D$2220,$B94,'ноябрь 2024'!$J$5:$J$2220,K$1)</f>
        <v>0</v>
      </c>
      <c r="L94" s="80">
        <f>SUMIFS('ноябрь 2024'!$G$5:$G$2220,'ноябрь 2024'!$D$5:$D$2220,$B94,'ноябрь 2024'!$J$5:$J$2220,L$1)</f>
        <v>0</v>
      </c>
      <c r="M94" s="80">
        <f>SUMIFS('ноябрь 2024'!$G$5:$G$2220,'ноябрь 2024'!$D$5:$D$2220,$B94,'ноябрь 2024'!$J$5:$J$2220,M$1)</f>
        <v>0</v>
      </c>
      <c r="N94" s="80">
        <f>SUMIFS('ноябрь 2024'!$G$5:$G$2220,'ноябрь 2024'!$D$5:$D$2220,$B94,'ноябрь 2024'!$J$5:$J$2220,N$1)</f>
        <v>0</v>
      </c>
      <c r="O94" s="80">
        <f>SUMIFS('ноябрь 2024'!$G$5:$G$2220,'ноябрь 2024'!$D$5:$D$2220,$B94,'ноябрь 2024'!$J$5:$J$2220,O$1)</f>
        <v>0</v>
      </c>
      <c r="P94" s="80">
        <f>SUMIFS('ноябрь 2024'!$G$5:$G$2220,'ноябрь 2024'!$D$5:$D$2220,$B94,'ноябрь 2024'!$J$5:$J$2220,P$1)</f>
        <v>0</v>
      </c>
      <c r="Q94" s="80">
        <f>SUMIFS('ноябрь 2024'!$G$5:$G$2220,'ноябрь 2024'!$D$5:$D$2220,$B94,'ноябрь 2024'!$J$5:$J$2220,Q$1)</f>
        <v>0</v>
      </c>
      <c r="R94" s="80">
        <f>SUMIFS('ноябрь 2024'!$G$5:$G$2220,'ноябрь 2024'!$D$5:$D$2220,$B94,'ноябрь 2024'!$J$5:$J$2220,R$1)</f>
        <v>0</v>
      </c>
      <c r="S94" s="80">
        <f>SUMIFS('ноябрь 2024'!$G$5:$G$2220,'ноябрь 2024'!$D$5:$D$2220,$B94,'ноябрь 2024'!$J$5:$J$2220,S$1)</f>
        <v>0</v>
      </c>
      <c r="T94" s="80">
        <f>SUMIFS('ноябрь 2024'!$G$5:$G$2220,'ноябрь 2024'!$D$5:$D$2220,$B94,'ноябрь 2024'!$J$5:$J$2220,T$1)</f>
        <v>0</v>
      </c>
      <c r="U94" s="80">
        <f>SUMIFS('ноябрь 2024'!$G$5:$G$2220,'ноябрь 2024'!$D$5:$D$2220,$B94,'ноябрь 2024'!$J$5:$J$2220,U$1)</f>
        <v>0</v>
      </c>
      <c r="V94" s="80">
        <f>SUMIFS('ноябрь 2024'!$G$5:$G$2220,'ноябрь 2024'!$D$5:$D$2220,$B94,'ноябрь 2024'!$J$5:$J$2220,V$1)</f>
        <v>0</v>
      </c>
      <c r="W94" s="80">
        <f>SUMIFS('ноябрь 2024'!$G$5:$G$2220,'ноябрь 2024'!$D$5:$D$2220,$B94,'ноябрь 2024'!$J$5:$J$2220,W$1)</f>
        <v>0</v>
      </c>
      <c r="X94" s="80">
        <f>SUMIFS('ноябрь 2024'!$G$5:$G$2220,'ноябрь 2024'!$D$5:$D$2220,$B94,'ноябрь 2024'!$J$5:$J$2220,X$1)</f>
        <v>0</v>
      </c>
      <c r="Y94" s="80">
        <f>SUMIFS('ноябрь 2024'!$G$5:$G$2220,'ноябрь 2024'!$D$5:$D$2220,$B94,'ноябрь 2024'!$J$5:$J$2220,Y$1)</f>
        <v>0</v>
      </c>
      <c r="Z94" s="80">
        <f>SUMIFS('ноябрь 2024'!$G$5:$G$2220,'ноябрь 2024'!$D$5:$D$2220,$B94,'ноябрь 2024'!$J$5:$J$2220,Z$1)</f>
        <v>0</v>
      </c>
      <c r="AA94" s="80">
        <f>SUMIFS('ноябрь 2024'!$G$5:$G$2220,'ноябрь 2024'!$D$5:$D$2220,$B94,'ноябрь 2024'!$J$5:$J$2220,AA$1)</f>
        <v>0</v>
      </c>
      <c r="AB94" s="80">
        <f>SUMIFS('ноябрь 2024'!$G$5:$G$2220,'ноябрь 2024'!$D$5:$D$2220,$B94,'ноябрь 2024'!$J$5:$J$2220,AB$1)</f>
        <v>0</v>
      </c>
      <c r="AC94" s="80">
        <f>SUMIFS('ноябрь 2024'!$G$5:$G$2220,'ноябрь 2024'!$D$5:$D$2220,$B94,'ноябрь 2024'!$J$5:$J$2220,AC$1)</f>
        <v>0</v>
      </c>
      <c r="AD94" s="80">
        <f>SUMIFS('ноябрь 2024'!$G$5:$G$2220,'ноябрь 2024'!$D$5:$D$2220,$B94,'ноябрь 2024'!$J$5:$J$2220,AD$1)</f>
        <v>0</v>
      </c>
      <c r="AE94" s="80">
        <f>SUMIFS('ноябрь 2024'!$G$5:$G$2220,'ноябрь 2024'!$D$5:$D$2220,$B94,'ноябрь 2024'!$J$5:$J$2220,AE$1)</f>
        <v>0</v>
      </c>
      <c r="AF94" s="80">
        <f>SUMIFS('ноябрь 2024'!$G$5:$G$2220,'ноябрь 2024'!$D$5:$D$2220,$B94,'ноябрь 2024'!$J$5:$J$2220,AF$1)</f>
        <v>0</v>
      </c>
      <c r="AG94" s="80">
        <f>SUMIFS('ноябрь 2024'!$G$5:$G$2220,'ноябрь 2024'!$D$5:$D$2220,$B94,'ноябрь 2024'!$J$5:$J$2220,AG$1)</f>
        <v>0</v>
      </c>
      <c r="AH94" s="80">
        <f>SUMIFS('ноябрь 2024'!$G$5:$G$2220,'ноябрь 2024'!$D$5:$D$2220,$B94,'ноябрь 2024'!$J$5:$J$2220,AH$1)</f>
        <v>0</v>
      </c>
      <c r="AI94" s="21">
        <f t="shared" si="1"/>
        <v>0</v>
      </c>
    </row>
    <row r="95" spans="2:35" ht="15" customHeight="1" x14ac:dyDescent="0.25">
      <c r="B95" s="93" t="s">
        <v>1489</v>
      </c>
      <c r="C95" s="91">
        <v>25</v>
      </c>
      <c r="D95" s="80">
        <f>SUMIFS('ноябрь 2024'!$G$5:$G$2220,'ноябрь 2024'!$D$5:$D$2220,$B95,'ноябрь 2024'!$J$5:$J$2220,D$1)</f>
        <v>0</v>
      </c>
      <c r="E95" s="80">
        <f>SUMIFS('ноябрь 2024'!$G$5:$G$2220,'ноябрь 2024'!$D$5:$D$2220,$B95,'ноябрь 2024'!$J$5:$J$2220,E$1)</f>
        <v>0</v>
      </c>
      <c r="F95" s="80">
        <f>SUMIFS('ноябрь 2024'!$G$5:$G$2220,'ноябрь 2024'!$D$5:$D$2220,$B95,'ноябрь 2024'!$J$5:$J$2220,F$1)</f>
        <v>0</v>
      </c>
      <c r="G95" s="80">
        <f>SUMIFS('ноябрь 2024'!$G$5:$G$2220,'ноябрь 2024'!$D$5:$D$2220,$B95,'ноябрь 2024'!$J$5:$J$2220,G$1)</f>
        <v>0</v>
      </c>
      <c r="H95" s="80">
        <f>SUMIFS('ноябрь 2024'!$G$5:$G$2220,'ноябрь 2024'!$D$5:$D$2220,$B95,'ноябрь 2024'!$J$5:$J$2220,H$1)</f>
        <v>0</v>
      </c>
      <c r="I95" s="80">
        <f>SUMIFS('ноябрь 2024'!$G$5:$G$2220,'ноябрь 2024'!$D$5:$D$2220,$B95,'ноябрь 2024'!$J$5:$J$2220,I$1)</f>
        <v>0</v>
      </c>
      <c r="J95" s="80">
        <f>SUMIFS('ноябрь 2024'!$G$5:$G$2220,'ноябрь 2024'!$D$5:$D$2220,$B95,'ноябрь 2024'!$J$5:$J$2220,J$1)</f>
        <v>0</v>
      </c>
      <c r="K95" s="80">
        <f>SUMIFS('ноябрь 2024'!$G$5:$G$2220,'ноябрь 2024'!$D$5:$D$2220,$B95,'ноябрь 2024'!$J$5:$J$2220,K$1)</f>
        <v>0</v>
      </c>
      <c r="L95" s="80">
        <f>SUMIFS('ноябрь 2024'!$G$5:$G$2220,'ноябрь 2024'!$D$5:$D$2220,$B95,'ноябрь 2024'!$J$5:$J$2220,L$1)</f>
        <v>0</v>
      </c>
      <c r="M95" s="80">
        <f>SUMIFS('ноябрь 2024'!$G$5:$G$2220,'ноябрь 2024'!$D$5:$D$2220,$B95,'ноябрь 2024'!$J$5:$J$2220,M$1)</f>
        <v>0</v>
      </c>
      <c r="N95" s="80">
        <f>SUMIFS('ноябрь 2024'!$G$5:$G$2220,'ноябрь 2024'!$D$5:$D$2220,$B95,'ноябрь 2024'!$J$5:$J$2220,N$1)</f>
        <v>0</v>
      </c>
      <c r="O95" s="80">
        <f>SUMIFS('ноябрь 2024'!$G$5:$G$2220,'ноябрь 2024'!$D$5:$D$2220,$B95,'ноябрь 2024'!$J$5:$J$2220,O$1)</f>
        <v>0</v>
      </c>
      <c r="P95" s="80">
        <f>SUMIFS('ноябрь 2024'!$G$5:$G$2220,'ноябрь 2024'!$D$5:$D$2220,$B95,'ноябрь 2024'!$J$5:$J$2220,P$1)</f>
        <v>0</v>
      </c>
      <c r="Q95" s="80">
        <f>SUMIFS('ноябрь 2024'!$G$5:$G$2220,'ноябрь 2024'!$D$5:$D$2220,$B95,'ноябрь 2024'!$J$5:$J$2220,Q$1)</f>
        <v>0</v>
      </c>
      <c r="R95" s="80">
        <f>SUMIFS('ноябрь 2024'!$G$5:$G$2220,'ноябрь 2024'!$D$5:$D$2220,$B95,'ноябрь 2024'!$J$5:$J$2220,R$1)</f>
        <v>0</v>
      </c>
      <c r="S95" s="80">
        <f>SUMIFS('ноябрь 2024'!$G$5:$G$2220,'ноябрь 2024'!$D$5:$D$2220,$B95,'ноябрь 2024'!$J$5:$J$2220,S$1)</f>
        <v>0</v>
      </c>
      <c r="T95" s="80">
        <f>SUMIFS('ноябрь 2024'!$G$5:$G$2220,'ноябрь 2024'!$D$5:$D$2220,$B95,'ноябрь 2024'!$J$5:$J$2220,T$1)</f>
        <v>0</v>
      </c>
      <c r="U95" s="80">
        <f>SUMIFS('ноябрь 2024'!$G$5:$G$2220,'ноябрь 2024'!$D$5:$D$2220,$B95,'ноябрь 2024'!$J$5:$J$2220,U$1)</f>
        <v>0</v>
      </c>
      <c r="V95" s="80">
        <f>SUMIFS('ноябрь 2024'!$G$5:$G$2220,'ноябрь 2024'!$D$5:$D$2220,$B95,'ноябрь 2024'!$J$5:$J$2220,V$1)</f>
        <v>0</v>
      </c>
      <c r="W95" s="80">
        <f>SUMIFS('ноябрь 2024'!$G$5:$G$2220,'ноябрь 2024'!$D$5:$D$2220,$B95,'ноябрь 2024'!$J$5:$J$2220,W$1)</f>
        <v>0</v>
      </c>
      <c r="X95" s="80">
        <f>SUMIFS('ноябрь 2024'!$G$5:$G$2220,'ноябрь 2024'!$D$5:$D$2220,$B95,'ноябрь 2024'!$J$5:$J$2220,X$1)</f>
        <v>0</v>
      </c>
      <c r="Y95" s="80">
        <f>SUMIFS('ноябрь 2024'!$G$5:$G$2220,'ноябрь 2024'!$D$5:$D$2220,$B95,'ноябрь 2024'!$J$5:$J$2220,Y$1)</f>
        <v>0</v>
      </c>
      <c r="Z95" s="80">
        <f>SUMIFS('ноябрь 2024'!$G$5:$G$2220,'ноябрь 2024'!$D$5:$D$2220,$B95,'ноябрь 2024'!$J$5:$J$2220,Z$1)</f>
        <v>0</v>
      </c>
      <c r="AA95" s="80">
        <f>SUMIFS('ноябрь 2024'!$G$5:$G$2220,'ноябрь 2024'!$D$5:$D$2220,$B95,'ноябрь 2024'!$J$5:$J$2220,AA$1)</f>
        <v>0</v>
      </c>
      <c r="AB95" s="80">
        <f>SUMIFS('ноябрь 2024'!$G$5:$G$2220,'ноябрь 2024'!$D$5:$D$2220,$B95,'ноябрь 2024'!$J$5:$J$2220,AB$1)</f>
        <v>0</v>
      </c>
      <c r="AC95" s="80">
        <f>SUMIFS('ноябрь 2024'!$G$5:$G$2220,'ноябрь 2024'!$D$5:$D$2220,$B95,'ноябрь 2024'!$J$5:$J$2220,AC$1)</f>
        <v>0</v>
      </c>
      <c r="AD95" s="80">
        <f>SUMIFS('ноябрь 2024'!$G$5:$G$2220,'ноябрь 2024'!$D$5:$D$2220,$B95,'ноябрь 2024'!$J$5:$J$2220,AD$1)</f>
        <v>0</v>
      </c>
      <c r="AE95" s="80">
        <f>SUMIFS('ноябрь 2024'!$G$5:$G$2220,'ноябрь 2024'!$D$5:$D$2220,$B95,'ноябрь 2024'!$J$5:$J$2220,AE$1)</f>
        <v>0</v>
      </c>
      <c r="AF95" s="80">
        <f>SUMIFS('ноябрь 2024'!$G$5:$G$2220,'ноябрь 2024'!$D$5:$D$2220,$B95,'ноябрь 2024'!$J$5:$J$2220,AF$1)</f>
        <v>0</v>
      </c>
      <c r="AG95" s="80">
        <f>SUMIFS('ноябрь 2024'!$G$5:$G$2220,'ноябрь 2024'!$D$5:$D$2220,$B95,'ноябрь 2024'!$J$5:$J$2220,AG$1)</f>
        <v>0</v>
      </c>
      <c r="AH95" s="80">
        <f>SUMIFS('ноябрь 2024'!$G$5:$G$2220,'ноябрь 2024'!$D$5:$D$2220,$B95,'ноябрь 2024'!$J$5:$J$2220,AH$1)</f>
        <v>0</v>
      </c>
      <c r="AI95" s="21">
        <f t="shared" si="1"/>
        <v>0</v>
      </c>
    </row>
    <row r="96" spans="2:35" ht="15" customHeight="1" x14ac:dyDescent="0.25">
      <c r="B96" s="93" t="s">
        <v>203</v>
      </c>
      <c r="C96" s="91">
        <v>180</v>
      </c>
      <c r="D96" s="80">
        <f>SUMIFS('ноябрь 2024'!$G$5:$G$2220,'ноябрь 2024'!$D$5:$D$2220,$B96,'ноябрь 2024'!$J$5:$J$2220,D$1)</f>
        <v>0</v>
      </c>
      <c r="E96" s="80">
        <f>SUMIFS('ноябрь 2024'!$G$5:$G$2220,'ноябрь 2024'!$D$5:$D$2220,$B96,'ноябрь 2024'!$J$5:$J$2220,E$1)</f>
        <v>0</v>
      </c>
      <c r="F96" s="80">
        <f>SUMIFS('ноябрь 2024'!$G$5:$G$2220,'ноябрь 2024'!$D$5:$D$2220,$B96,'ноябрь 2024'!$J$5:$J$2220,F$1)</f>
        <v>0</v>
      </c>
      <c r="G96" s="80">
        <f>SUMIFS('ноябрь 2024'!$G$5:$G$2220,'ноябрь 2024'!$D$5:$D$2220,$B96,'ноябрь 2024'!$J$5:$J$2220,G$1)</f>
        <v>0</v>
      </c>
      <c r="H96" s="80">
        <f>SUMIFS('ноябрь 2024'!$G$5:$G$2220,'ноябрь 2024'!$D$5:$D$2220,$B96,'ноябрь 2024'!$J$5:$J$2220,H$1)</f>
        <v>0</v>
      </c>
      <c r="I96" s="80">
        <f>SUMIFS('ноябрь 2024'!$G$5:$G$2220,'ноябрь 2024'!$D$5:$D$2220,$B96,'ноябрь 2024'!$J$5:$J$2220,I$1)</f>
        <v>0</v>
      </c>
      <c r="J96" s="80">
        <f>SUMIFS('ноябрь 2024'!$G$5:$G$2220,'ноябрь 2024'!$D$5:$D$2220,$B96,'ноябрь 2024'!$J$5:$J$2220,J$1)</f>
        <v>0</v>
      </c>
      <c r="K96" s="80">
        <f>SUMIFS('ноябрь 2024'!$G$5:$G$2220,'ноябрь 2024'!$D$5:$D$2220,$B96,'ноябрь 2024'!$J$5:$J$2220,K$1)</f>
        <v>0</v>
      </c>
      <c r="L96" s="80">
        <f>SUMIFS('ноябрь 2024'!$G$5:$G$2220,'ноябрь 2024'!$D$5:$D$2220,$B96,'ноябрь 2024'!$J$5:$J$2220,L$1)</f>
        <v>0</v>
      </c>
      <c r="M96" s="80">
        <f>SUMIFS('ноябрь 2024'!$G$5:$G$2220,'ноябрь 2024'!$D$5:$D$2220,$B96,'ноябрь 2024'!$J$5:$J$2220,M$1)</f>
        <v>0</v>
      </c>
      <c r="N96" s="80">
        <f>SUMIFS('ноябрь 2024'!$G$5:$G$2220,'ноябрь 2024'!$D$5:$D$2220,$B96,'ноябрь 2024'!$J$5:$J$2220,N$1)</f>
        <v>0</v>
      </c>
      <c r="O96" s="80">
        <f>SUMIFS('ноябрь 2024'!$G$5:$G$2220,'ноябрь 2024'!$D$5:$D$2220,$B96,'ноябрь 2024'!$J$5:$J$2220,O$1)</f>
        <v>0</v>
      </c>
      <c r="P96" s="80">
        <f>SUMIFS('ноябрь 2024'!$G$5:$G$2220,'ноябрь 2024'!$D$5:$D$2220,$B96,'ноябрь 2024'!$J$5:$J$2220,P$1)</f>
        <v>0</v>
      </c>
      <c r="Q96" s="80">
        <f>SUMIFS('ноябрь 2024'!$G$5:$G$2220,'ноябрь 2024'!$D$5:$D$2220,$B96,'ноябрь 2024'!$J$5:$J$2220,Q$1)</f>
        <v>0</v>
      </c>
      <c r="R96" s="80">
        <f>SUMIFS('ноябрь 2024'!$G$5:$G$2220,'ноябрь 2024'!$D$5:$D$2220,$B96,'ноябрь 2024'!$J$5:$J$2220,R$1)</f>
        <v>0</v>
      </c>
      <c r="S96" s="80">
        <f>SUMIFS('ноябрь 2024'!$G$5:$G$2220,'ноябрь 2024'!$D$5:$D$2220,$B96,'ноябрь 2024'!$J$5:$J$2220,S$1)</f>
        <v>0</v>
      </c>
      <c r="T96" s="80">
        <f>SUMIFS('ноябрь 2024'!$G$5:$G$2220,'ноябрь 2024'!$D$5:$D$2220,$B96,'ноябрь 2024'!$J$5:$J$2220,T$1)</f>
        <v>0</v>
      </c>
      <c r="U96" s="80">
        <f>SUMIFS('ноябрь 2024'!$G$5:$G$2220,'ноябрь 2024'!$D$5:$D$2220,$B96,'ноябрь 2024'!$J$5:$J$2220,U$1)</f>
        <v>0</v>
      </c>
      <c r="V96" s="80">
        <f>SUMIFS('ноябрь 2024'!$G$5:$G$2220,'ноябрь 2024'!$D$5:$D$2220,$B96,'ноябрь 2024'!$J$5:$J$2220,V$1)</f>
        <v>0</v>
      </c>
      <c r="W96" s="80">
        <f>SUMIFS('ноябрь 2024'!$G$5:$G$2220,'ноябрь 2024'!$D$5:$D$2220,$B96,'ноябрь 2024'!$J$5:$J$2220,W$1)</f>
        <v>0</v>
      </c>
      <c r="X96" s="80">
        <f>SUMIFS('ноябрь 2024'!$G$5:$G$2220,'ноябрь 2024'!$D$5:$D$2220,$B96,'ноябрь 2024'!$J$5:$J$2220,X$1)</f>
        <v>0</v>
      </c>
      <c r="Y96" s="80">
        <f>SUMIFS('ноябрь 2024'!$G$5:$G$2220,'ноябрь 2024'!$D$5:$D$2220,$B96,'ноябрь 2024'!$J$5:$J$2220,Y$1)</f>
        <v>0</v>
      </c>
      <c r="Z96" s="80">
        <f>SUMIFS('ноябрь 2024'!$G$5:$G$2220,'ноябрь 2024'!$D$5:$D$2220,$B96,'ноябрь 2024'!$J$5:$J$2220,Z$1)</f>
        <v>0</v>
      </c>
      <c r="AA96" s="80">
        <f>SUMIFS('ноябрь 2024'!$G$5:$G$2220,'ноябрь 2024'!$D$5:$D$2220,$B96,'ноябрь 2024'!$J$5:$J$2220,AA$1)</f>
        <v>0</v>
      </c>
      <c r="AB96" s="80">
        <f>SUMIFS('ноябрь 2024'!$G$5:$G$2220,'ноябрь 2024'!$D$5:$D$2220,$B96,'ноябрь 2024'!$J$5:$J$2220,AB$1)</f>
        <v>0</v>
      </c>
      <c r="AC96" s="80">
        <f>SUMIFS('ноябрь 2024'!$G$5:$G$2220,'ноябрь 2024'!$D$5:$D$2220,$B96,'ноябрь 2024'!$J$5:$J$2220,AC$1)</f>
        <v>0</v>
      </c>
      <c r="AD96" s="80">
        <f>SUMIFS('ноябрь 2024'!$G$5:$G$2220,'ноябрь 2024'!$D$5:$D$2220,$B96,'ноябрь 2024'!$J$5:$J$2220,AD$1)</f>
        <v>0</v>
      </c>
      <c r="AE96" s="80">
        <f>SUMIFS('ноябрь 2024'!$G$5:$G$2220,'ноябрь 2024'!$D$5:$D$2220,$B96,'ноябрь 2024'!$J$5:$J$2220,AE$1)</f>
        <v>0</v>
      </c>
      <c r="AF96" s="80">
        <f>SUMIFS('ноябрь 2024'!$G$5:$G$2220,'ноябрь 2024'!$D$5:$D$2220,$B96,'ноябрь 2024'!$J$5:$J$2220,AF$1)</f>
        <v>0</v>
      </c>
      <c r="AG96" s="80">
        <f>SUMIFS('ноябрь 2024'!$G$5:$G$2220,'ноябрь 2024'!$D$5:$D$2220,$B96,'ноябрь 2024'!$J$5:$J$2220,AG$1)</f>
        <v>0</v>
      </c>
      <c r="AH96" s="80">
        <f>SUMIFS('ноябрь 2024'!$G$5:$G$2220,'ноябрь 2024'!$D$5:$D$2220,$B96,'ноябрь 2024'!$J$5:$J$2220,AH$1)</f>
        <v>0</v>
      </c>
      <c r="AI96" s="21">
        <f t="shared" si="1"/>
        <v>0</v>
      </c>
    </row>
    <row r="97" spans="2:35" ht="15" customHeight="1" x14ac:dyDescent="0.25">
      <c r="B97" s="89" t="s">
        <v>204</v>
      </c>
      <c r="C97" s="88">
        <v>200</v>
      </c>
      <c r="D97" s="80">
        <f>SUMIFS('ноябрь 2024'!$G$5:$G$2220,'ноябрь 2024'!$D$5:$D$2220,$B97,'ноябрь 2024'!$J$5:$J$2220,D$1)</f>
        <v>0</v>
      </c>
      <c r="E97" s="80">
        <f>SUMIFS('ноябрь 2024'!$G$5:$G$2220,'ноябрь 2024'!$D$5:$D$2220,$B97,'ноябрь 2024'!$J$5:$J$2220,E$1)</f>
        <v>0</v>
      </c>
      <c r="F97" s="80">
        <f>SUMIFS('ноябрь 2024'!$G$5:$G$2220,'ноябрь 2024'!$D$5:$D$2220,$B97,'ноябрь 2024'!$J$5:$J$2220,F$1)</f>
        <v>0</v>
      </c>
      <c r="G97" s="80">
        <f>SUMIFS('ноябрь 2024'!$G$5:$G$2220,'ноябрь 2024'!$D$5:$D$2220,$B97,'ноябрь 2024'!$J$5:$J$2220,G$1)</f>
        <v>0</v>
      </c>
      <c r="H97" s="80">
        <f>SUMIFS('ноябрь 2024'!$G$5:$G$2220,'ноябрь 2024'!$D$5:$D$2220,$B97,'ноябрь 2024'!$J$5:$J$2220,H$1)</f>
        <v>0</v>
      </c>
      <c r="I97" s="80">
        <f>SUMIFS('ноябрь 2024'!$G$5:$G$2220,'ноябрь 2024'!$D$5:$D$2220,$B97,'ноябрь 2024'!$J$5:$J$2220,I$1)</f>
        <v>0</v>
      </c>
      <c r="J97" s="80">
        <f>SUMIFS('ноябрь 2024'!$G$5:$G$2220,'ноябрь 2024'!$D$5:$D$2220,$B97,'ноябрь 2024'!$J$5:$J$2220,J$1)</f>
        <v>0</v>
      </c>
      <c r="K97" s="80">
        <f>SUMIFS('ноябрь 2024'!$G$5:$G$2220,'ноябрь 2024'!$D$5:$D$2220,$B97,'ноябрь 2024'!$J$5:$J$2220,K$1)</f>
        <v>0</v>
      </c>
      <c r="L97" s="80">
        <f>SUMIFS('ноябрь 2024'!$G$5:$G$2220,'ноябрь 2024'!$D$5:$D$2220,$B97,'ноябрь 2024'!$J$5:$J$2220,L$1)</f>
        <v>0</v>
      </c>
      <c r="M97" s="80">
        <f>SUMIFS('ноябрь 2024'!$G$5:$G$2220,'ноябрь 2024'!$D$5:$D$2220,$B97,'ноябрь 2024'!$J$5:$J$2220,M$1)</f>
        <v>0</v>
      </c>
      <c r="N97" s="80">
        <f>SUMIFS('ноябрь 2024'!$G$5:$G$2220,'ноябрь 2024'!$D$5:$D$2220,$B97,'ноябрь 2024'!$J$5:$J$2220,N$1)</f>
        <v>0</v>
      </c>
      <c r="O97" s="80">
        <f>SUMIFS('ноябрь 2024'!$G$5:$G$2220,'ноябрь 2024'!$D$5:$D$2220,$B97,'ноябрь 2024'!$J$5:$J$2220,O$1)</f>
        <v>0</v>
      </c>
      <c r="P97" s="80">
        <f>SUMIFS('ноябрь 2024'!$G$5:$G$2220,'ноябрь 2024'!$D$5:$D$2220,$B97,'ноябрь 2024'!$J$5:$J$2220,P$1)</f>
        <v>0</v>
      </c>
      <c r="Q97" s="80">
        <f>SUMIFS('ноябрь 2024'!$G$5:$G$2220,'ноябрь 2024'!$D$5:$D$2220,$B97,'ноябрь 2024'!$J$5:$J$2220,Q$1)</f>
        <v>8</v>
      </c>
      <c r="R97" s="80">
        <f>SUMIFS('ноябрь 2024'!$G$5:$G$2220,'ноябрь 2024'!$D$5:$D$2220,$B97,'ноябрь 2024'!$J$5:$J$2220,R$1)</f>
        <v>0</v>
      </c>
      <c r="S97" s="80">
        <f>SUMIFS('ноябрь 2024'!$G$5:$G$2220,'ноябрь 2024'!$D$5:$D$2220,$B97,'ноябрь 2024'!$J$5:$J$2220,S$1)</f>
        <v>0</v>
      </c>
      <c r="T97" s="80">
        <f>SUMIFS('ноябрь 2024'!$G$5:$G$2220,'ноябрь 2024'!$D$5:$D$2220,$B97,'ноябрь 2024'!$J$5:$J$2220,T$1)</f>
        <v>0</v>
      </c>
      <c r="U97" s="80">
        <f>SUMIFS('ноябрь 2024'!$G$5:$G$2220,'ноябрь 2024'!$D$5:$D$2220,$B97,'ноябрь 2024'!$J$5:$J$2220,U$1)</f>
        <v>0</v>
      </c>
      <c r="V97" s="80">
        <f>SUMIFS('ноябрь 2024'!$G$5:$G$2220,'ноябрь 2024'!$D$5:$D$2220,$B97,'ноябрь 2024'!$J$5:$J$2220,V$1)</f>
        <v>0</v>
      </c>
      <c r="W97" s="80">
        <f>SUMIFS('ноябрь 2024'!$G$5:$G$2220,'ноябрь 2024'!$D$5:$D$2220,$B97,'ноябрь 2024'!$J$5:$J$2220,W$1)</f>
        <v>0</v>
      </c>
      <c r="X97" s="80">
        <f>SUMIFS('ноябрь 2024'!$G$5:$G$2220,'ноябрь 2024'!$D$5:$D$2220,$B97,'ноябрь 2024'!$J$5:$J$2220,X$1)</f>
        <v>0</v>
      </c>
      <c r="Y97" s="80">
        <f>SUMIFS('ноябрь 2024'!$G$5:$G$2220,'ноябрь 2024'!$D$5:$D$2220,$B97,'ноябрь 2024'!$J$5:$J$2220,Y$1)</f>
        <v>0</v>
      </c>
      <c r="Z97" s="80">
        <f>SUMIFS('ноябрь 2024'!$G$5:$G$2220,'ноябрь 2024'!$D$5:$D$2220,$B97,'ноябрь 2024'!$J$5:$J$2220,Z$1)</f>
        <v>0</v>
      </c>
      <c r="AA97" s="80">
        <f>SUMIFS('ноябрь 2024'!$G$5:$G$2220,'ноябрь 2024'!$D$5:$D$2220,$B97,'ноябрь 2024'!$J$5:$J$2220,AA$1)</f>
        <v>0</v>
      </c>
      <c r="AB97" s="80">
        <f>SUMIFS('ноябрь 2024'!$G$5:$G$2220,'ноябрь 2024'!$D$5:$D$2220,$B97,'ноябрь 2024'!$J$5:$J$2220,AB$1)</f>
        <v>0</v>
      </c>
      <c r="AC97" s="80">
        <f>SUMIFS('ноябрь 2024'!$G$5:$G$2220,'ноябрь 2024'!$D$5:$D$2220,$B97,'ноябрь 2024'!$J$5:$J$2220,AC$1)</f>
        <v>0</v>
      </c>
      <c r="AD97" s="80">
        <f>SUMIFS('ноябрь 2024'!$G$5:$G$2220,'ноябрь 2024'!$D$5:$D$2220,$B97,'ноябрь 2024'!$J$5:$J$2220,AD$1)</f>
        <v>0</v>
      </c>
      <c r="AE97" s="80">
        <f>SUMIFS('ноябрь 2024'!$G$5:$G$2220,'ноябрь 2024'!$D$5:$D$2220,$B97,'ноябрь 2024'!$J$5:$J$2220,AE$1)</f>
        <v>0</v>
      </c>
      <c r="AF97" s="80">
        <f>SUMIFS('ноябрь 2024'!$G$5:$G$2220,'ноябрь 2024'!$D$5:$D$2220,$B97,'ноябрь 2024'!$J$5:$J$2220,AF$1)</f>
        <v>0</v>
      </c>
      <c r="AG97" s="80">
        <f>SUMIFS('ноябрь 2024'!$G$5:$G$2220,'ноябрь 2024'!$D$5:$D$2220,$B97,'ноябрь 2024'!$J$5:$J$2220,AG$1)</f>
        <v>0</v>
      </c>
      <c r="AH97" s="80">
        <f>SUMIFS('ноябрь 2024'!$G$5:$G$2220,'ноябрь 2024'!$D$5:$D$2220,$B97,'ноябрь 2024'!$J$5:$J$2220,AH$1)</f>
        <v>0</v>
      </c>
      <c r="AI97" s="21">
        <f t="shared" si="1"/>
        <v>8</v>
      </c>
    </row>
    <row r="98" spans="2:35" ht="15" customHeight="1" x14ac:dyDescent="0.25">
      <c r="B98" s="92" t="s">
        <v>175</v>
      </c>
      <c r="C98" s="91">
        <v>180</v>
      </c>
      <c r="D98" s="80">
        <f>SUMIFS('ноябрь 2024'!$G$5:$G$2220,'ноябрь 2024'!$D$5:$D$2220,$B98,'ноябрь 2024'!$J$5:$J$2220,D$1)</f>
        <v>0</v>
      </c>
      <c r="E98" s="80">
        <f>SUMIFS('ноябрь 2024'!$G$5:$G$2220,'ноябрь 2024'!$D$5:$D$2220,$B98,'ноябрь 2024'!$J$5:$J$2220,E$1)</f>
        <v>0</v>
      </c>
      <c r="F98" s="80">
        <f>SUMIFS('ноябрь 2024'!$G$5:$G$2220,'ноябрь 2024'!$D$5:$D$2220,$B98,'ноябрь 2024'!$J$5:$J$2220,F$1)</f>
        <v>0</v>
      </c>
      <c r="G98" s="80">
        <f>SUMIFS('ноябрь 2024'!$G$5:$G$2220,'ноябрь 2024'!$D$5:$D$2220,$B98,'ноябрь 2024'!$J$5:$J$2220,G$1)</f>
        <v>0</v>
      </c>
      <c r="H98" s="80">
        <f>SUMIFS('ноябрь 2024'!$G$5:$G$2220,'ноябрь 2024'!$D$5:$D$2220,$B98,'ноябрь 2024'!$J$5:$J$2220,H$1)</f>
        <v>0</v>
      </c>
      <c r="I98" s="80">
        <f>SUMIFS('ноябрь 2024'!$G$5:$G$2220,'ноябрь 2024'!$D$5:$D$2220,$B98,'ноябрь 2024'!$J$5:$J$2220,I$1)</f>
        <v>0</v>
      </c>
      <c r="J98" s="80">
        <f>SUMIFS('ноябрь 2024'!$G$5:$G$2220,'ноябрь 2024'!$D$5:$D$2220,$B98,'ноябрь 2024'!$J$5:$J$2220,J$1)</f>
        <v>0</v>
      </c>
      <c r="K98" s="80">
        <f>SUMIFS('ноябрь 2024'!$G$5:$G$2220,'ноябрь 2024'!$D$5:$D$2220,$B98,'ноябрь 2024'!$J$5:$J$2220,K$1)</f>
        <v>0</v>
      </c>
      <c r="L98" s="80">
        <f>SUMIFS('ноябрь 2024'!$G$5:$G$2220,'ноябрь 2024'!$D$5:$D$2220,$B98,'ноябрь 2024'!$J$5:$J$2220,L$1)</f>
        <v>0</v>
      </c>
      <c r="M98" s="80">
        <f>SUMIFS('ноябрь 2024'!$G$5:$G$2220,'ноябрь 2024'!$D$5:$D$2220,$B98,'ноябрь 2024'!$J$5:$J$2220,M$1)</f>
        <v>0</v>
      </c>
      <c r="N98" s="80">
        <f>SUMIFS('ноябрь 2024'!$G$5:$G$2220,'ноябрь 2024'!$D$5:$D$2220,$B98,'ноябрь 2024'!$J$5:$J$2220,N$1)</f>
        <v>0</v>
      </c>
      <c r="O98" s="80">
        <f>SUMIFS('ноябрь 2024'!$G$5:$G$2220,'ноябрь 2024'!$D$5:$D$2220,$B98,'ноябрь 2024'!$J$5:$J$2220,O$1)</f>
        <v>0</v>
      </c>
      <c r="P98" s="80">
        <f>SUMIFS('ноябрь 2024'!$G$5:$G$2220,'ноябрь 2024'!$D$5:$D$2220,$B98,'ноябрь 2024'!$J$5:$J$2220,P$1)</f>
        <v>0</v>
      </c>
      <c r="Q98" s="80">
        <f>SUMIFS('ноябрь 2024'!$G$5:$G$2220,'ноябрь 2024'!$D$5:$D$2220,$B98,'ноябрь 2024'!$J$5:$J$2220,Q$1)</f>
        <v>0</v>
      </c>
      <c r="R98" s="80">
        <f>SUMIFS('ноябрь 2024'!$G$5:$G$2220,'ноябрь 2024'!$D$5:$D$2220,$B98,'ноябрь 2024'!$J$5:$J$2220,R$1)</f>
        <v>0</v>
      </c>
      <c r="S98" s="80">
        <f>SUMIFS('ноябрь 2024'!$G$5:$G$2220,'ноябрь 2024'!$D$5:$D$2220,$B98,'ноябрь 2024'!$J$5:$J$2220,S$1)</f>
        <v>0</v>
      </c>
      <c r="T98" s="80">
        <f>SUMIFS('ноябрь 2024'!$G$5:$G$2220,'ноябрь 2024'!$D$5:$D$2220,$B98,'ноябрь 2024'!$J$5:$J$2220,T$1)</f>
        <v>0</v>
      </c>
      <c r="U98" s="80">
        <f>SUMIFS('ноябрь 2024'!$G$5:$G$2220,'ноябрь 2024'!$D$5:$D$2220,$B98,'ноябрь 2024'!$J$5:$J$2220,U$1)</f>
        <v>0</v>
      </c>
      <c r="V98" s="80">
        <f>SUMIFS('ноябрь 2024'!$G$5:$G$2220,'ноябрь 2024'!$D$5:$D$2220,$B98,'ноябрь 2024'!$J$5:$J$2220,V$1)</f>
        <v>0</v>
      </c>
      <c r="W98" s="80">
        <f>SUMIFS('ноябрь 2024'!$G$5:$G$2220,'ноябрь 2024'!$D$5:$D$2220,$B98,'ноябрь 2024'!$J$5:$J$2220,W$1)</f>
        <v>0</v>
      </c>
      <c r="X98" s="80">
        <f>SUMIFS('ноябрь 2024'!$G$5:$G$2220,'ноябрь 2024'!$D$5:$D$2220,$B98,'ноябрь 2024'!$J$5:$J$2220,X$1)</f>
        <v>0</v>
      </c>
      <c r="Y98" s="80">
        <f>SUMIFS('ноябрь 2024'!$G$5:$G$2220,'ноябрь 2024'!$D$5:$D$2220,$B98,'ноябрь 2024'!$J$5:$J$2220,Y$1)</f>
        <v>0</v>
      </c>
      <c r="Z98" s="80">
        <f>SUMIFS('ноябрь 2024'!$G$5:$G$2220,'ноябрь 2024'!$D$5:$D$2220,$B98,'ноябрь 2024'!$J$5:$J$2220,Z$1)</f>
        <v>0</v>
      </c>
      <c r="AA98" s="80">
        <f>SUMIFS('ноябрь 2024'!$G$5:$G$2220,'ноябрь 2024'!$D$5:$D$2220,$B98,'ноябрь 2024'!$J$5:$J$2220,AA$1)</f>
        <v>0</v>
      </c>
      <c r="AB98" s="80">
        <f>SUMIFS('ноябрь 2024'!$G$5:$G$2220,'ноябрь 2024'!$D$5:$D$2220,$B98,'ноябрь 2024'!$J$5:$J$2220,AB$1)</f>
        <v>0</v>
      </c>
      <c r="AC98" s="80">
        <f>SUMIFS('ноябрь 2024'!$G$5:$G$2220,'ноябрь 2024'!$D$5:$D$2220,$B98,'ноябрь 2024'!$J$5:$J$2220,AC$1)</f>
        <v>0</v>
      </c>
      <c r="AD98" s="80">
        <f>SUMIFS('ноябрь 2024'!$G$5:$G$2220,'ноябрь 2024'!$D$5:$D$2220,$B98,'ноябрь 2024'!$J$5:$J$2220,AD$1)</f>
        <v>0</v>
      </c>
      <c r="AE98" s="80">
        <f>SUMIFS('ноябрь 2024'!$G$5:$G$2220,'ноябрь 2024'!$D$5:$D$2220,$B98,'ноябрь 2024'!$J$5:$J$2220,AE$1)</f>
        <v>0</v>
      </c>
      <c r="AF98" s="80">
        <f>SUMIFS('ноябрь 2024'!$G$5:$G$2220,'ноябрь 2024'!$D$5:$D$2220,$B98,'ноябрь 2024'!$J$5:$J$2220,AF$1)</f>
        <v>0</v>
      </c>
      <c r="AG98" s="80">
        <f>SUMIFS('ноябрь 2024'!$G$5:$G$2220,'ноябрь 2024'!$D$5:$D$2220,$B98,'ноябрь 2024'!$J$5:$J$2220,AG$1)</f>
        <v>0</v>
      </c>
      <c r="AH98" s="80">
        <f>SUMIFS('ноябрь 2024'!$G$5:$G$2220,'ноябрь 2024'!$D$5:$D$2220,$B98,'ноябрь 2024'!$J$5:$J$2220,AH$1)</f>
        <v>0</v>
      </c>
      <c r="AI98" s="21">
        <f t="shared" si="1"/>
        <v>0</v>
      </c>
    </row>
    <row r="99" spans="2:35" ht="15" customHeight="1" x14ac:dyDescent="0.25">
      <c r="B99" s="89" t="s">
        <v>176</v>
      </c>
      <c r="C99" s="91">
        <v>200</v>
      </c>
      <c r="D99" s="80">
        <f>SUMIFS('ноябрь 2024'!$G$5:$G$2220,'ноябрь 2024'!$D$5:$D$2220,$B99,'ноябрь 2024'!$J$5:$J$2220,D$1)</f>
        <v>0</v>
      </c>
      <c r="E99" s="80">
        <f>SUMIFS('ноябрь 2024'!$G$5:$G$2220,'ноябрь 2024'!$D$5:$D$2220,$B99,'ноябрь 2024'!$J$5:$J$2220,E$1)</f>
        <v>0</v>
      </c>
      <c r="F99" s="80">
        <f>SUMIFS('ноябрь 2024'!$G$5:$G$2220,'ноябрь 2024'!$D$5:$D$2220,$B99,'ноябрь 2024'!$J$5:$J$2220,F$1)</f>
        <v>0</v>
      </c>
      <c r="G99" s="80">
        <f>SUMIFS('ноябрь 2024'!$G$5:$G$2220,'ноябрь 2024'!$D$5:$D$2220,$B99,'ноябрь 2024'!$J$5:$J$2220,G$1)</f>
        <v>0</v>
      </c>
      <c r="H99" s="80">
        <f>SUMIFS('ноябрь 2024'!$G$5:$G$2220,'ноябрь 2024'!$D$5:$D$2220,$B99,'ноябрь 2024'!$J$5:$J$2220,H$1)</f>
        <v>0</v>
      </c>
      <c r="I99" s="80">
        <f>SUMIFS('ноябрь 2024'!$G$5:$G$2220,'ноябрь 2024'!$D$5:$D$2220,$B99,'ноябрь 2024'!$J$5:$J$2220,I$1)</f>
        <v>0</v>
      </c>
      <c r="J99" s="80">
        <f>SUMIFS('ноябрь 2024'!$G$5:$G$2220,'ноябрь 2024'!$D$5:$D$2220,$B99,'ноябрь 2024'!$J$5:$J$2220,J$1)</f>
        <v>0</v>
      </c>
      <c r="K99" s="80">
        <f>SUMIFS('ноябрь 2024'!$G$5:$G$2220,'ноябрь 2024'!$D$5:$D$2220,$B99,'ноябрь 2024'!$J$5:$J$2220,K$1)</f>
        <v>0</v>
      </c>
      <c r="L99" s="80">
        <f>SUMIFS('ноябрь 2024'!$G$5:$G$2220,'ноябрь 2024'!$D$5:$D$2220,$B99,'ноябрь 2024'!$J$5:$J$2220,L$1)</f>
        <v>0</v>
      </c>
      <c r="M99" s="80">
        <f>SUMIFS('ноябрь 2024'!$G$5:$G$2220,'ноябрь 2024'!$D$5:$D$2220,$B99,'ноябрь 2024'!$J$5:$J$2220,M$1)</f>
        <v>0</v>
      </c>
      <c r="N99" s="80">
        <f>SUMIFS('ноябрь 2024'!$G$5:$G$2220,'ноябрь 2024'!$D$5:$D$2220,$B99,'ноябрь 2024'!$J$5:$J$2220,N$1)</f>
        <v>0</v>
      </c>
      <c r="O99" s="80">
        <f>SUMIFS('ноябрь 2024'!$G$5:$G$2220,'ноябрь 2024'!$D$5:$D$2220,$B99,'ноябрь 2024'!$J$5:$J$2220,O$1)</f>
        <v>0</v>
      </c>
      <c r="P99" s="80">
        <f>SUMIFS('ноябрь 2024'!$G$5:$G$2220,'ноябрь 2024'!$D$5:$D$2220,$B99,'ноябрь 2024'!$J$5:$J$2220,P$1)</f>
        <v>0</v>
      </c>
      <c r="Q99" s="80">
        <f>SUMIFS('ноябрь 2024'!$G$5:$G$2220,'ноябрь 2024'!$D$5:$D$2220,$B99,'ноябрь 2024'!$J$5:$J$2220,Q$1)</f>
        <v>0</v>
      </c>
      <c r="R99" s="80">
        <f>SUMIFS('ноябрь 2024'!$G$5:$G$2220,'ноябрь 2024'!$D$5:$D$2220,$B99,'ноябрь 2024'!$J$5:$J$2220,R$1)</f>
        <v>0</v>
      </c>
      <c r="S99" s="80">
        <f>SUMIFS('ноябрь 2024'!$G$5:$G$2220,'ноябрь 2024'!$D$5:$D$2220,$B99,'ноябрь 2024'!$J$5:$J$2220,S$1)</f>
        <v>0</v>
      </c>
      <c r="T99" s="80">
        <f>SUMIFS('ноябрь 2024'!$G$5:$G$2220,'ноябрь 2024'!$D$5:$D$2220,$B99,'ноябрь 2024'!$J$5:$J$2220,T$1)</f>
        <v>0</v>
      </c>
      <c r="U99" s="80">
        <f>SUMIFS('ноябрь 2024'!$G$5:$G$2220,'ноябрь 2024'!$D$5:$D$2220,$B99,'ноябрь 2024'!$J$5:$J$2220,U$1)</f>
        <v>0</v>
      </c>
      <c r="V99" s="80">
        <f>SUMIFS('ноябрь 2024'!$G$5:$G$2220,'ноябрь 2024'!$D$5:$D$2220,$B99,'ноябрь 2024'!$J$5:$J$2220,V$1)</f>
        <v>0</v>
      </c>
      <c r="W99" s="80">
        <f>SUMIFS('ноябрь 2024'!$G$5:$G$2220,'ноябрь 2024'!$D$5:$D$2220,$B99,'ноябрь 2024'!$J$5:$J$2220,W$1)</f>
        <v>0</v>
      </c>
      <c r="X99" s="80">
        <f>SUMIFS('ноябрь 2024'!$G$5:$G$2220,'ноябрь 2024'!$D$5:$D$2220,$B99,'ноябрь 2024'!$J$5:$J$2220,X$1)</f>
        <v>0</v>
      </c>
      <c r="Y99" s="80">
        <f>SUMIFS('ноябрь 2024'!$G$5:$G$2220,'ноябрь 2024'!$D$5:$D$2220,$B99,'ноябрь 2024'!$J$5:$J$2220,Y$1)</f>
        <v>0</v>
      </c>
      <c r="Z99" s="80">
        <f>SUMIFS('ноябрь 2024'!$G$5:$G$2220,'ноябрь 2024'!$D$5:$D$2220,$B99,'ноябрь 2024'!$J$5:$J$2220,Z$1)</f>
        <v>0</v>
      </c>
      <c r="AA99" s="80">
        <f>SUMIFS('ноябрь 2024'!$G$5:$G$2220,'ноябрь 2024'!$D$5:$D$2220,$B99,'ноябрь 2024'!$J$5:$J$2220,AA$1)</f>
        <v>0</v>
      </c>
      <c r="AB99" s="80">
        <f>SUMIFS('ноябрь 2024'!$G$5:$G$2220,'ноябрь 2024'!$D$5:$D$2220,$B99,'ноябрь 2024'!$J$5:$J$2220,AB$1)</f>
        <v>0</v>
      </c>
      <c r="AC99" s="80">
        <f>SUMIFS('ноябрь 2024'!$G$5:$G$2220,'ноябрь 2024'!$D$5:$D$2220,$B99,'ноябрь 2024'!$J$5:$J$2220,AC$1)</f>
        <v>0</v>
      </c>
      <c r="AD99" s="80">
        <f>SUMIFS('ноябрь 2024'!$G$5:$G$2220,'ноябрь 2024'!$D$5:$D$2220,$B99,'ноябрь 2024'!$J$5:$J$2220,AD$1)</f>
        <v>0</v>
      </c>
      <c r="AE99" s="80">
        <f>SUMIFS('ноябрь 2024'!$G$5:$G$2220,'ноябрь 2024'!$D$5:$D$2220,$B99,'ноябрь 2024'!$J$5:$J$2220,AE$1)</f>
        <v>0</v>
      </c>
      <c r="AF99" s="80">
        <f>SUMIFS('ноябрь 2024'!$G$5:$G$2220,'ноябрь 2024'!$D$5:$D$2220,$B99,'ноябрь 2024'!$J$5:$J$2220,AF$1)</f>
        <v>0</v>
      </c>
      <c r="AG99" s="80">
        <f>SUMIFS('ноябрь 2024'!$G$5:$G$2220,'ноябрь 2024'!$D$5:$D$2220,$B99,'ноябрь 2024'!$J$5:$J$2220,AG$1)</f>
        <v>0</v>
      </c>
      <c r="AH99" s="80">
        <f>SUMIFS('ноябрь 2024'!$G$5:$G$2220,'ноябрь 2024'!$D$5:$D$2220,$B99,'ноябрь 2024'!$J$5:$J$2220,AH$1)</f>
        <v>0</v>
      </c>
      <c r="AI99" s="21">
        <f t="shared" si="1"/>
        <v>0</v>
      </c>
    </row>
    <row r="100" spans="2:35" ht="15" customHeight="1" x14ac:dyDescent="0.25">
      <c r="B100" s="89" t="s">
        <v>205</v>
      </c>
      <c r="C100" s="88">
        <v>185</v>
      </c>
      <c r="D100" s="80">
        <f>SUMIFS('ноябрь 2024'!$G$5:$G$2220,'ноябрь 2024'!$D$5:$D$2220,$B100,'ноябрь 2024'!$J$5:$J$2220,D$1)</f>
        <v>0</v>
      </c>
      <c r="E100" s="80">
        <f>SUMIFS('ноябрь 2024'!$G$5:$G$2220,'ноябрь 2024'!$D$5:$D$2220,$B100,'ноябрь 2024'!$J$5:$J$2220,E$1)</f>
        <v>0</v>
      </c>
      <c r="F100" s="80">
        <f>SUMIFS('ноябрь 2024'!$G$5:$G$2220,'ноябрь 2024'!$D$5:$D$2220,$B100,'ноябрь 2024'!$J$5:$J$2220,F$1)</f>
        <v>0</v>
      </c>
      <c r="G100" s="80">
        <f>SUMIFS('ноябрь 2024'!$G$5:$G$2220,'ноябрь 2024'!$D$5:$D$2220,$B100,'ноябрь 2024'!$J$5:$J$2220,G$1)</f>
        <v>0</v>
      </c>
      <c r="H100" s="80">
        <f>SUMIFS('ноябрь 2024'!$G$5:$G$2220,'ноябрь 2024'!$D$5:$D$2220,$B100,'ноябрь 2024'!$J$5:$J$2220,H$1)</f>
        <v>0</v>
      </c>
      <c r="I100" s="80">
        <f>SUMIFS('ноябрь 2024'!$G$5:$G$2220,'ноябрь 2024'!$D$5:$D$2220,$B100,'ноябрь 2024'!$J$5:$J$2220,I$1)</f>
        <v>0</v>
      </c>
      <c r="J100" s="80">
        <f>SUMIFS('ноябрь 2024'!$G$5:$G$2220,'ноябрь 2024'!$D$5:$D$2220,$B100,'ноябрь 2024'!$J$5:$J$2220,J$1)</f>
        <v>0</v>
      </c>
      <c r="K100" s="80">
        <f>SUMIFS('ноябрь 2024'!$G$5:$G$2220,'ноябрь 2024'!$D$5:$D$2220,$B100,'ноябрь 2024'!$J$5:$J$2220,K$1)</f>
        <v>0</v>
      </c>
      <c r="L100" s="80">
        <f>SUMIFS('ноябрь 2024'!$G$5:$G$2220,'ноябрь 2024'!$D$5:$D$2220,$B100,'ноябрь 2024'!$J$5:$J$2220,L$1)</f>
        <v>0</v>
      </c>
      <c r="M100" s="80">
        <f>SUMIFS('ноябрь 2024'!$G$5:$G$2220,'ноябрь 2024'!$D$5:$D$2220,$B100,'ноябрь 2024'!$J$5:$J$2220,M$1)</f>
        <v>0</v>
      </c>
      <c r="N100" s="80">
        <f>SUMIFS('ноябрь 2024'!$G$5:$G$2220,'ноябрь 2024'!$D$5:$D$2220,$B100,'ноябрь 2024'!$J$5:$J$2220,N$1)</f>
        <v>0</v>
      </c>
      <c r="O100" s="80">
        <f>SUMIFS('ноябрь 2024'!$G$5:$G$2220,'ноябрь 2024'!$D$5:$D$2220,$B100,'ноябрь 2024'!$J$5:$J$2220,O$1)</f>
        <v>0</v>
      </c>
      <c r="P100" s="80">
        <f>SUMIFS('ноябрь 2024'!$G$5:$G$2220,'ноябрь 2024'!$D$5:$D$2220,$B100,'ноябрь 2024'!$J$5:$J$2220,P$1)</f>
        <v>0</v>
      </c>
      <c r="Q100" s="80">
        <f>SUMIFS('ноябрь 2024'!$G$5:$G$2220,'ноябрь 2024'!$D$5:$D$2220,$B100,'ноябрь 2024'!$J$5:$J$2220,Q$1)</f>
        <v>0</v>
      </c>
      <c r="R100" s="80">
        <f>SUMIFS('ноябрь 2024'!$G$5:$G$2220,'ноябрь 2024'!$D$5:$D$2220,$B100,'ноябрь 2024'!$J$5:$J$2220,R$1)</f>
        <v>0</v>
      </c>
      <c r="S100" s="80">
        <f>SUMIFS('ноябрь 2024'!$G$5:$G$2220,'ноябрь 2024'!$D$5:$D$2220,$B100,'ноябрь 2024'!$J$5:$J$2220,S$1)</f>
        <v>0</v>
      </c>
      <c r="T100" s="80">
        <f>SUMIFS('ноябрь 2024'!$G$5:$G$2220,'ноябрь 2024'!$D$5:$D$2220,$B100,'ноябрь 2024'!$J$5:$J$2220,T$1)</f>
        <v>0</v>
      </c>
      <c r="U100" s="80">
        <f>SUMIFS('ноябрь 2024'!$G$5:$G$2220,'ноябрь 2024'!$D$5:$D$2220,$B100,'ноябрь 2024'!$J$5:$J$2220,U$1)</f>
        <v>0</v>
      </c>
      <c r="V100" s="80">
        <f>SUMIFS('ноябрь 2024'!$G$5:$G$2220,'ноябрь 2024'!$D$5:$D$2220,$B100,'ноябрь 2024'!$J$5:$J$2220,V$1)</f>
        <v>0</v>
      </c>
      <c r="W100" s="80">
        <f>SUMIFS('ноябрь 2024'!$G$5:$G$2220,'ноябрь 2024'!$D$5:$D$2220,$B100,'ноябрь 2024'!$J$5:$J$2220,W$1)</f>
        <v>0</v>
      </c>
      <c r="X100" s="80">
        <f>SUMIFS('ноябрь 2024'!$G$5:$G$2220,'ноябрь 2024'!$D$5:$D$2220,$B100,'ноябрь 2024'!$J$5:$J$2220,X$1)</f>
        <v>0</v>
      </c>
      <c r="Y100" s="80">
        <f>SUMIFS('ноябрь 2024'!$G$5:$G$2220,'ноябрь 2024'!$D$5:$D$2220,$B100,'ноябрь 2024'!$J$5:$J$2220,Y$1)</f>
        <v>0</v>
      </c>
      <c r="Z100" s="80">
        <f>SUMIFS('ноябрь 2024'!$G$5:$G$2220,'ноябрь 2024'!$D$5:$D$2220,$B100,'ноябрь 2024'!$J$5:$J$2220,Z$1)</f>
        <v>0</v>
      </c>
      <c r="AA100" s="80">
        <f>SUMIFS('ноябрь 2024'!$G$5:$G$2220,'ноябрь 2024'!$D$5:$D$2220,$B100,'ноябрь 2024'!$J$5:$J$2220,AA$1)</f>
        <v>0</v>
      </c>
      <c r="AB100" s="80">
        <f>SUMIFS('ноябрь 2024'!$G$5:$G$2220,'ноябрь 2024'!$D$5:$D$2220,$B100,'ноябрь 2024'!$J$5:$J$2220,AB$1)</f>
        <v>0</v>
      </c>
      <c r="AC100" s="80">
        <f>SUMIFS('ноябрь 2024'!$G$5:$G$2220,'ноябрь 2024'!$D$5:$D$2220,$B100,'ноябрь 2024'!$J$5:$J$2220,AC$1)</f>
        <v>0</v>
      </c>
      <c r="AD100" s="80">
        <f>SUMIFS('ноябрь 2024'!$G$5:$G$2220,'ноябрь 2024'!$D$5:$D$2220,$B100,'ноябрь 2024'!$J$5:$J$2220,AD$1)</f>
        <v>0</v>
      </c>
      <c r="AE100" s="80">
        <f>SUMIFS('ноябрь 2024'!$G$5:$G$2220,'ноябрь 2024'!$D$5:$D$2220,$B100,'ноябрь 2024'!$J$5:$J$2220,AE$1)</f>
        <v>0</v>
      </c>
      <c r="AF100" s="80">
        <f>SUMIFS('ноябрь 2024'!$G$5:$G$2220,'ноябрь 2024'!$D$5:$D$2220,$B100,'ноябрь 2024'!$J$5:$J$2220,AF$1)</f>
        <v>0</v>
      </c>
      <c r="AG100" s="80">
        <f>SUMIFS('ноябрь 2024'!$G$5:$G$2220,'ноябрь 2024'!$D$5:$D$2220,$B100,'ноябрь 2024'!$J$5:$J$2220,AG$1)</f>
        <v>0</v>
      </c>
      <c r="AH100" s="80">
        <f>SUMIFS('ноябрь 2024'!$G$5:$G$2220,'ноябрь 2024'!$D$5:$D$2220,$B100,'ноябрь 2024'!$J$5:$J$2220,AH$1)</f>
        <v>0</v>
      </c>
      <c r="AI100" s="21">
        <f t="shared" si="1"/>
        <v>0</v>
      </c>
    </row>
    <row r="101" spans="2:35" ht="15" customHeight="1" x14ac:dyDescent="0.25">
      <c r="B101" s="89" t="s">
        <v>206</v>
      </c>
      <c r="C101" s="88">
        <v>185</v>
      </c>
      <c r="D101" s="80">
        <f>SUMIFS('ноябрь 2024'!$G$5:$G$2220,'ноябрь 2024'!$D$5:$D$2220,$B101,'ноябрь 2024'!$J$5:$J$2220,D$1)</f>
        <v>0</v>
      </c>
      <c r="E101" s="80">
        <f>SUMIFS('ноябрь 2024'!$G$5:$G$2220,'ноябрь 2024'!$D$5:$D$2220,$B101,'ноябрь 2024'!$J$5:$J$2220,E$1)</f>
        <v>0</v>
      </c>
      <c r="F101" s="80">
        <f>SUMIFS('ноябрь 2024'!$G$5:$G$2220,'ноябрь 2024'!$D$5:$D$2220,$B101,'ноябрь 2024'!$J$5:$J$2220,F$1)</f>
        <v>0</v>
      </c>
      <c r="G101" s="80">
        <f>SUMIFS('ноябрь 2024'!$G$5:$G$2220,'ноябрь 2024'!$D$5:$D$2220,$B101,'ноябрь 2024'!$J$5:$J$2220,G$1)</f>
        <v>0</v>
      </c>
      <c r="H101" s="80">
        <f>SUMIFS('ноябрь 2024'!$G$5:$G$2220,'ноябрь 2024'!$D$5:$D$2220,$B101,'ноябрь 2024'!$J$5:$J$2220,H$1)</f>
        <v>0</v>
      </c>
      <c r="I101" s="80">
        <f>SUMIFS('ноябрь 2024'!$G$5:$G$2220,'ноябрь 2024'!$D$5:$D$2220,$B101,'ноябрь 2024'!$J$5:$J$2220,I$1)</f>
        <v>0</v>
      </c>
      <c r="J101" s="80">
        <f>SUMIFS('ноябрь 2024'!$G$5:$G$2220,'ноябрь 2024'!$D$5:$D$2220,$B101,'ноябрь 2024'!$J$5:$J$2220,J$1)</f>
        <v>0</v>
      </c>
      <c r="K101" s="80">
        <f>SUMIFS('ноябрь 2024'!$G$5:$G$2220,'ноябрь 2024'!$D$5:$D$2220,$B101,'ноябрь 2024'!$J$5:$J$2220,K$1)</f>
        <v>0</v>
      </c>
      <c r="L101" s="80">
        <f>SUMIFS('ноябрь 2024'!$G$5:$G$2220,'ноябрь 2024'!$D$5:$D$2220,$B101,'ноябрь 2024'!$J$5:$J$2220,L$1)</f>
        <v>0</v>
      </c>
      <c r="M101" s="80">
        <f>SUMIFS('ноябрь 2024'!$G$5:$G$2220,'ноябрь 2024'!$D$5:$D$2220,$B101,'ноябрь 2024'!$J$5:$J$2220,M$1)</f>
        <v>0</v>
      </c>
      <c r="N101" s="80">
        <f>SUMIFS('ноябрь 2024'!$G$5:$G$2220,'ноябрь 2024'!$D$5:$D$2220,$B101,'ноябрь 2024'!$J$5:$J$2220,N$1)</f>
        <v>0</v>
      </c>
      <c r="O101" s="80">
        <f>SUMIFS('ноябрь 2024'!$G$5:$G$2220,'ноябрь 2024'!$D$5:$D$2220,$B101,'ноябрь 2024'!$J$5:$J$2220,O$1)</f>
        <v>0</v>
      </c>
      <c r="P101" s="80">
        <f>SUMIFS('ноябрь 2024'!$G$5:$G$2220,'ноябрь 2024'!$D$5:$D$2220,$B101,'ноябрь 2024'!$J$5:$J$2220,P$1)</f>
        <v>0</v>
      </c>
      <c r="Q101" s="80">
        <f>SUMIFS('ноябрь 2024'!$G$5:$G$2220,'ноябрь 2024'!$D$5:$D$2220,$B101,'ноябрь 2024'!$J$5:$J$2220,Q$1)</f>
        <v>0</v>
      </c>
      <c r="R101" s="80">
        <f>SUMIFS('ноябрь 2024'!$G$5:$G$2220,'ноябрь 2024'!$D$5:$D$2220,$B101,'ноябрь 2024'!$J$5:$J$2220,R$1)</f>
        <v>0</v>
      </c>
      <c r="S101" s="80">
        <f>SUMIFS('ноябрь 2024'!$G$5:$G$2220,'ноябрь 2024'!$D$5:$D$2220,$B101,'ноябрь 2024'!$J$5:$J$2220,S$1)</f>
        <v>0</v>
      </c>
      <c r="T101" s="80">
        <f>SUMIFS('ноябрь 2024'!$G$5:$G$2220,'ноябрь 2024'!$D$5:$D$2220,$B101,'ноябрь 2024'!$J$5:$J$2220,T$1)</f>
        <v>0</v>
      </c>
      <c r="U101" s="80">
        <f>SUMIFS('ноябрь 2024'!$G$5:$G$2220,'ноябрь 2024'!$D$5:$D$2220,$B101,'ноябрь 2024'!$J$5:$J$2220,U$1)</f>
        <v>0</v>
      </c>
      <c r="V101" s="80">
        <f>SUMIFS('ноябрь 2024'!$G$5:$G$2220,'ноябрь 2024'!$D$5:$D$2220,$B101,'ноябрь 2024'!$J$5:$J$2220,V$1)</f>
        <v>0</v>
      </c>
      <c r="W101" s="80">
        <f>SUMIFS('ноябрь 2024'!$G$5:$G$2220,'ноябрь 2024'!$D$5:$D$2220,$B101,'ноябрь 2024'!$J$5:$J$2220,W$1)</f>
        <v>0</v>
      </c>
      <c r="X101" s="80">
        <f>SUMIFS('ноябрь 2024'!$G$5:$G$2220,'ноябрь 2024'!$D$5:$D$2220,$B101,'ноябрь 2024'!$J$5:$J$2220,X$1)</f>
        <v>0</v>
      </c>
      <c r="Y101" s="80">
        <f>SUMIFS('ноябрь 2024'!$G$5:$G$2220,'ноябрь 2024'!$D$5:$D$2220,$B101,'ноябрь 2024'!$J$5:$J$2220,Y$1)</f>
        <v>0</v>
      </c>
      <c r="Z101" s="80">
        <f>SUMIFS('ноябрь 2024'!$G$5:$G$2220,'ноябрь 2024'!$D$5:$D$2220,$B101,'ноябрь 2024'!$J$5:$J$2220,Z$1)</f>
        <v>0</v>
      </c>
      <c r="AA101" s="80">
        <f>SUMIFS('ноябрь 2024'!$G$5:$G$2220,'ноябрь 2024'!$D$5:$D$2220,$B101,'ноябрь 2024'!$J$5:$J$2220,AA$1)</f>
        <v>0</v>
      </c>
      <c r="AB101" s="80">
        <f>SUMIFS('ноябрь 2024'!$G$5:$G$2220,'ноябрь 2024'!$D$5:$D$2220,$B101,'ноябрь 2024'!$J$5:$J$2220,AB$1)</f>
        <v>0</v>
      </c>
      <c r="AC101" s="80">
        <f>SUMIFS('ноябрь 2024'!$G$5:$G$2220,'ноябрь 2024'!$D$5:$D$2220,$B101,'ноябрь 2024'!$J$5:$J$2220,AC$1)</f>
        <v>0</v>
      </c>
      <c r="AD101" s="80">
        <f>SUMIFS('ноябрь 2024'!$G$5:$G$2220,'ноябрь 2024'!$D$5:$D$2220,$B101,'ноябрь 2024'!$J$5:$J$2220,AD$1)</f>
        <v>0</v>
      </c>
      <c r="AE101" s="80">
        <f>SUMIFS('ноябрь 2024'!$G$5:$G$2220,'ноябрь 2024'!$D$5:$D$2220,$B101,'ноябрь 2024'!$J$5:$J$2220,AE$1)</f>
        <v>0</v>
      </c>
      <c r="AF101" s="80">
        <f>SUMIFS('ноябрь 2024'!$G$5:$G$2220,'ноябрь 2024'!$D$5:$D$2220,$B101,'ноябрь 2024'!$J$5:$J$2220,AF$1)</f>
        <v>0</v>
      </c>
      <c r="AG101" s="80">
        <f>SUMIFS('ноябрь 2024'!$G$5:$G$2220,'ноябрь 2024'!$D$5:$D$2220,$B101,'ноябрь 2024'!$J$5:$J$2220,AG$1)</f>
        <v>0</v>
      </c>
      <c r="AH101" s="80">
        <f>SUMIFS('ноябрь 2024'!$G$5:$G$2220,'ноябрь 2024'!$D$5:$D$2220,$B101,'ноябрь 2024'!$J$5:$J$2220,AH$1)</f>
        <v>0</v>
      </c>
      <c r="AI101" s="21">
        <f t="shared" si="1"/>
        <v>0</v>
      </c>
    </row>
    <row r="102" spans="2:35" ht="15" customHeight="1" x14ac:dyDescent="0.25">
      <c r="B102" s="89" t="s">
        <v>324</v>
      </c>
      <c r="C102" s="88">
        <v>180</v>
      </c>
      <c r="D102" s="80">
        <f>SUMIFS('ноябрь 2024'!$G$5:$G$2220,'ноябрь 2024'!$D$5:$D$2220,$B102,'ноябрь 2024'!$J$5:$J$2220,D$1)</f>
        <v>0</v>
      </c>
      <c r="E102" s="80">
        <f>SUMIFS('ноябрь 2024'!$G$5:$G$2220,'ноябрь 2024'!$D$5:$D$2220,$B102,'ноябрь 2024'!$J$5:$J$2220,E$1)</f>
        <v>0</v>
      </c>
      <c r="F102" s="80">
        <f>SUMIFS('ноябрь 2024'!$G$5:$G$2220,'ноябрь 2024'!$D$5:$D$2220,$B102,'ноябрь 2024'!$J$5:$J$2220,F$1)</f>
        <v>0</v>
      </c>
      <c r="G102" s="80">
        <f>SUMIFS('ноябрь 2024'!$G$5:$G$2220,'ноябрь 2024'!$D$5:$D$2220,$B102,'ноябрь 2024'!$J$5:$J$2220,G$1)</f>
        <v>0</v>
      </c>
      <c r="H102" s="80">
        <f>SUMIFS('ноябрь 2024'!$G$5:$G$2220,'ноябрь 2024'!$D$5:$D$2220,$B102,'ноябрь 2024'!$J$5:$J$2220,H$1)</f>
        <v>0</v>
      </c>
      <c r="I102" s="80">
        <f>SUMIFS('ноябрь 2024'!$G$5:$G$2220,'ноябрь 2024'!$D$5:$D$2220,$B102,'ноябрь 2024'!$J$5:$J$2220,I$1)</f>
        <v>0</v>
      </c>
      <c r="J102" s="80">
        <f>SUMIFS('ноябрь 2024'!$G$5:$G$2220,'ноябрь 2024'!$D$5:$D$2220,$B102,'ноябрь 2024'!$J$5:$J$2220,J$1)</f>
        <v>0</v>
      </c>
      <c r="K102" s="80">
        <f>SUMIFS('ноябрь 2024'!$G$5:$G$2220,'ноябрь 2024'!$D$5:$D$2220,$B102,'ноябрь 2024'!$J$5:$J$2220,K$1)</f>
        <v>0</v>
      </c>
      <c r="L102" s="80">
        <f>SUMIFS('ноябрь 2024'!$G$5:$G$2220,'ноябрь 2024'!$D$5:$D$2220,$B102,'ноябрь 2024'!$J$5:$J$2220,L$1)</f>
        <v>0</v>
      </c>
      <c r="M102" s="80">
        <f>SUMIFS('ноябрь 2024'!$G$5:$G$2220,'ноябрь 2024'!$D$5:$D$2220,$B102,'ноябрь 2024'!$J$5:$J$2220,M$1)</f>
        <v>0</v>
      </c>
      <c r="N102" s="80">
        <f>SUMIFS('ноябрь 2024'!$G$5:$G$2220,'ноябрь 2024'!$D$5:$D$2220,$B102,'ноябрь 2024'!$J$5:$J$2220,N$1)</f>
        <v>0</v>
      </c>
      <c r="O102" s="80">
        <f>SUMIFS('ноябрь 2024'!$G$5:$G$2220,'ноябрь 2024'!$D$5:$D$2220,$B102,'ноябрь 2024'!$J$5:$J$2220,O$1)</f>
        <v>0</v>
      </c>
      <c r="P102" s="80">
        <f>SUMIFS('ноябрь 2024'!$G$5:$G$2220,'ноябрь 2024'!$D$5:$D$2220,$B102,'ноябрь 2024'!$J$5:$J$2220,P$1)</f>
        <v>0</v>
      </c>
      <c r="Q102" s="80">
        <f>SUMIFS('ноябрь 2024'!$G$5:$G$2220,'ноябрь 2024'!$D$5:$D$2220,$B102,'ноябрь 2024'!$J$5:$J$2220,Q$1)</f>
        <v>0</v>
      </c>
      <c r="R102" s="80">
        <f>SUMIFS('ноябрь 2024'!$G$5:$G$2220,'ноябрь 2024'!$D$5:$D$2220,$B102,'ноябрь 2024'!$J$5:$J$2220,R$1)</f>
        <v>0</v>
      </c>
      <c r="S102" s="80">
        <f>SUMIFS('ноябрь 2024'!$G$5:$G$2220,'ноябрь 2024'!$D$5:$D$2220,$B102,'ноябрь 2024'!$J$5:$J$2220,S$1)</f>
        <v>0</v>
      </c>
      <c r="T102" s="80">
        <f>SUMIFS('ноябрь 2024'!$G$5:$G$2220,'ноябрь 2024'!$D$5:$D$2220,$B102,'ноябрь 2024'!$J$5:$J$2220,T$1)</f>
        <v>0</v>
      </c>
      <c r="U102" s="80">
        <f>SUMIFS('ноябрь 2024'!$G$5:$G$2220,'ноябрь 2024'!$D$5:$D$2220,$B102,'ноябрь 2024'!$J$5:$J$2220,U$1)</f>
        <v>0</v>
      </c>
      <c r="V102" s="80">
        <f>SUMIFS('ноябрь 2024'!$G$5:$G$2220,'ноябрь 2024'!$D$5:$D$2220,$B102,'ноябрь 2024'!$J$5:$J$2220,V$1)</f>
        <v>0</v>
      </c>
      <c r="W102" s="80">
        <f>SUMIFS('ноябрь 2024'!$G$5:$G$2220,'ноябрь 2024'!$D$5:$D$2220,$B102,'ноябрь 2024'!$J$5:$J$2220,W$1)</f>
        <v>0</v>
      </c>
      <c r="X102" s="80">
        <f>SUMIFS('ноябрь 2024'!$G$5:$G$2220,'ноябрь 2024'!$D$5:$D$2220,$B102,'ноябрь 2024'!$J$5:$J$2220,X$1)</f>
        <v>0</v>
      </c>
      <c r="Y102" s="80">
        <f>SUMIFS('ноябрь 2024'!$G$5:$G$2220,'ноябрь 2024'!$D$5:$D$2220,$B102,'ноябрь 2024'!$J$5:$J$2220,Y$1)</f>
        <v>0</v>
      </c>
      <c r="Z102" s="80">
        <f>SUMIFS('ноябрь 2024'!$G$5:$G$2220,'ноябрь 2024'!$D$5:$D$2220,$B102,'ноябрь 2024'!$J$5:$J$2220,Z$1)</f>
        <v>0</v>
      </c>
      <c r="AA102" s="80">
        <f>SUMIFS('ноябрь 2024'!$G$5:$G$2220,'ноябрь 2024'!$D$5:$D$2220,$B102,'ноябрь 2024'!$J$5:$J$2220,AA$1)</f>
        <v>0</v>
      </c>
      <c r="AB102" s="80">
        <f>SUMIFS('ноябрь 2024'!$G$5:$G$2220,'ноябрь 2024'!$D$5:$D$2220,$B102,'ноябрь 2024'!$J$5:$J$2220,AB$1)</f>
        <v>0</v>
      </c>
      <c r="AC102" s="80">
        <f>SUMIFS('ноябрь 2024'!$G$5:$G$2220,'ноябрь 2024'!$D$5:$D$2220,$B102,'ноябрь 2024'!$J$5:$J$2220,AC$1)</f>
        <v>0</v>
      </c>
      <c r="AD102" s="80">
        <f>SUMIFS('ноябрь 2024'!$G$5:$G$2220,'ноябрь 2024'!$D$5:$D$2220,$B102,'ноябрь 2024'!$J$5:$J$2220,AD$1)</f>
        <v>0</v>
      </c>
      <c r="AE102" s="80">
        <f>SUMIFS('ноябрь 2024'!$G$5:$G$2220,'ноябрь 2024'!$D$5:$D$2220,$B102,'ноябрь 2024'!$J$5:$J$2220,AE$1)</f>
        <v>0</v>
      </c>
      <c r="AF102" s="80">
        <f>SUMIFS('ноябрь 2024'!$G$5:$G$2220,'ноябрь 2024'!$D$5:$D$2220,$B102,'ноябрь 2024'!$J$5:$J$2220,AF$1)</f>
        <v>0</v>
      </c>
      <c r="AG102" s="80">
        <f>SUMIFS('ноябрь 2024'!$G$5:$G$2220,'ноябрь 2024'!$D$5:$D$2220,$B102,'ноябрь 2024'!$J$5:$J$2220,AG$1)</f>
        <v>0</v>
      </c>
      <c r="AH102" s="80">
        <f>SUMIFS('ноябрь 2024'!$G$5:$G$2220,'ноябрь 2024'!$D$5:$D$2220,$B102,'ноябрь 2024'!$J$5:$J$2220,AH$1)</f>
        <v>0</v>
      </c>
      <c r="AI102" s="21">
        <f t="shared" si="1"/>
        <v>0</v>
      </c>
    </row>
    <row r="103" spans="2:35" ht="15" customHeight="1" x14ac:dyDescent="0.25">
      <c r="B103" s="93" t="s">
        <v>325</v>
      </c>
      <c r="C103" s="91">
        <v>200</v>
      </c>
      <c r="D103" s="80">
        <f>SUMIFS('ноябрь 2024'!$G$5:$G$2220,'ноябрь 2024'!$D$5:$D$2220,$B103,'ноябрь 2024'!$J$5:$J$2220,D$1)</f>
        <v>0</v>
      </c>
      <c r="E103" s="80">
        <f>SUMIFS('ноябрь 2024'!$G$5:$G$2220,'ноябрь 2024'!$D$5:$D$2220,$B103,'ноябрь 2024'!$J$5:$J$2220,E$1)</f>
        <v>0</v>
      </c>
      <c r="F103" s="80">
        <f>SUMIFS('ноябрь 2024'!$G$5:$G$2220,'ноябрь 2024'!$D$5:$D$2220,$B103,'ноябрь 2024'!$J$5:$J$2220,F$1)</f>
        <v>0</v>
      </c>
      <c r="G103" s="80">
        <f>SUMIFS('ноябрь 2024'!$G$5:$G$2220,'ноябрь 2024'!$D$5:$D$2220,$B103,'ноябрь 2024'!$J$5:$J$2220,G$1)</f>
        <v>0</v>
      </c>
      <c r="H103" s="80">
        <f>SUMIFS('ноябрь 2024'!$G$5:$G$2220,'ноябрь 2024'!$D$5:$D$2220,$B103,'ноябрь 2024'!$J$5:$J$2220,H$1)</f>
        <v>0</v>
      </c>
      <c r="I103" s="80">
        <f>SUMIFS('ноябрь 2024'!$G$5:$G$2220,'ноябрь 2024'!$D$5:$D$2220,$B103,'ноябрь 2024'!$J$5:$J$2220,I$1)</f>
        <v>0</v>
      </c>
      <c r="J103" s="80">
        <f>SUMIFS('ноябрь 2024'!$G$5:$G$2220,'ноябрь 2024'!$D$5:$D$2220,$B103,'ноябрь 2024'!$J$5:$J$2220,J$1)</f>
        <v>0</v>
      </c>
      <c r="K103" s="80">
        <f>SUMIFS('ноябрь 2024'!$G$5:$G$2220,'ноябрь 2024'!$D$5:$D$2220,$B103,'ноябрь 2024'!$J$5:$J$2220,K$1)</f>
        <v>0</v>
      </c>
      <c r="L103" s="80">
        <f>SUMIFS('ноябрь 2024'!$G$5:$G$2220,'ноябрь 2024'!$D$5:$D$2220,$B103,'ноябрь 2024'!$J$5:$J$2220,L$1)</f>
        <v>0</v>
      </c>
      <c r="M103" s="80">
        <f>SUMIFS('ноябрь 2024'!$G$5:$G$2220,'ноябрь 2024'!$D$5:$D$2220,$B103,'ноябрь 2024'!$J$5:$J$2220,M$1)</f>
        <v>0</v>
      </c>
      <c r="N103" s="80">
        <f>SUMIFS('ноябрь 2024'!$G$5:$G$2220,'ноябрь 2024'!$D$5:$D$2220,$B103,'ноябрь 2024'!$J$5:$J$2220,N$1)</f>
        <v>0</v>
      </c>
      <c r="O103" s="80">
        <f>SUMIFS('ноябрь 2024'!$G$5:$G$2220,'ноябрь 2024'!$D$5:$D$2220,$B103,'ноябрь 2024'!$J$5:$J$2220,O$1)</f>
        <v>0</v>
      </c>
      <c r="P103" s="80">
        <f>SUMIFS('ноябрь 2024'!$G$5:$G$2220,'ноябрь 2024'!$D$5:$D$2220,$B103,'ноябрь 2024'!$J$5:$J$2220,P$1)</f>
        <v>0</v>
      </c>
      <c r="Q103" s="80">
        <f>SUMIFS('ноябрь 2024'!$G$5:$G$2220,'ноябрь 2024'!$D$5:$D$2220,$B103,'ноябрь 2024'!$J$5:$J$2220,Q$1)</f>
        <v>0</v>
      </c>
      <c r="R103" s="80">
        <f>SUMIFS('ноябрь 2024'!$G$5:$G$2220,'ноябрь 2024'!$D$5:$D$2220,$B103,'ноябрь 2024'!$J$5:$J$2220,R$1)</f>
        <v>0</v>
      </c>
      <c r="S103" s="80">
        <f>SUMIFS('ноябрь 2024'!$G$5:$G$2220,'ноябрь 2024'!$D$5:$D$2220,$B103,'ноябрь 2024'!$J$5:$J$2220,S$1)</f>
        <v>0</v>
      </c>
      <c r="T103" s="80">
        <f>SUMIFS('ноябрь 2024'!$G$5:$G$2220,'ноябрь 2024'!$D$5:$D$2220,$B103,'ноябрь 2024'!$J$5:$J$2220,T$1)</f>
        <v>0</v>
      </c>
      <c r="U103" s="80">
        <f>SUMIFS('ноябрь 2024'!$G$5:$G$2220,'ноябрь 2024'!$D$5:$D$2220,$B103,'ноябрь 2024'!$J$5:$J$2220,U$1)</f>
        <v>0</v>
      </c>
      <c r="V103" s="80">
        <f>SUMIFS('ноябрь 2024'!$G$5:$G$2220,'ноябрь 2024'!$D$5:$D$2220,$B103,'ноябрь 2024'!$J$5:$J$2220,V$1)</f>
        <v>0</v>
      </c>
      <c r="W103" s="80">
        <f>SUMIFS('ноябрь 2024'!$G$5:$G$2220,'ноябрь 2024'!$D$5:$D$2220,$B103,'ноябрь 2024'!$J$5:$J$2220,W$1)</f>
        <v>0</v>
      </c>
      <c r="X103" s="80">
        <f>SUMIFS('ноябрь 2024'!$G$5:$G$2220,'ноябрь 2024'!$D$5:$D$2220,$B103,'ноябрь 2024'!$J$5:$J$2220,X$1)</f>
        <v>0</v>
      </c>
      <c r="Y103" s="80">
        <f>SUMIFS('ноябрь 2024'!$G$5:$G$2220,'ноябрь 2024'!$D$5:$D$2220,$B103,'ноябрь 2024'!$J$5:$J$2220,Y$1)</f>
        <v>0</v>
      </c>
      <c r="Z103" s="80">
        <f>SUMIFS('ноябрь 2024'!$G$5:$G$2220,'ноябрь 2024'!$D$5:$D$2220,$B103,'ноябрь 2024'!$J$5:$J$2220,Z$1)</f>
        <v>0</v>
      </c>
      <c r="AA103" s="80">
        <f>SUMIFS('ноябрь 2024'!$G$5:$G$2220,'ноябрь 2024'!$D$5:$D$2220,$B103,'ноябрь 2024'!$J$5:$J$2220,AA$1)</f>
        <v>0</v>
      </c>
      <c r="AB103" s="80">
        <f>SUMIFS('ноябрь 2024'!$G$5:$G$2220,'ноябрь 2024'!$D$5:$D$2220,$B103,'ноябрь 2024'!$J$5:$J$2220,AB$1)</f>
        <v>0</v>
      </c>
      <c r="AC103" s="80">
        <f>SUMIFS('ноябрь 2024'!$G$5:$G$2220,'ноябрь 2024'!$D$5:$D$2220,$B103,'ноябрь 2024'!$J$5:$J$2220,AC$1)</f>
        <v>0</v>
      </c>
      <c r="AD103" s="80">
        <f>SUMIFS('ноябрь 2024'!$G$5:$G$2220,'ноябрь 2024'!$D$5:$D$2220,$B103,'ноябрь 2024'!$J$5:$J$2220,AD$1)</f>
        <v>0</v>
      </c>
      <c r="AE103" s="80">
        <f>SUMIFS('ноябрь 2024'!$G$5:$G$2220,'ноябрь 2024'!$D$5:$D$2220,$B103,'ноябрь 2024'!$J$5:$J$2220,AE$1)</f>
        <v>0</v>
      </c>
      <c r="AF103" s="80">
        <f>SUMIFS('ноябрь 2024'!$G$5:$G$2220,'ноябрь 2024'!$D$5:$D$2220,$B103,'ноябрь 2024'!$J$5:$J$2220,AF$1)</f>
        <v>0</v>
      </c>
      <c r="AG103" s="80">
        <f>SUMIFS('ноябрь 2024'!$G$5:$G$2220,'ноябрь 2024'!$D$5:$D$2220,$B103,'ноябрь 2024'!$J$5:$J$2220,AG$1)</f>
        <v>0</v>
      </c>
      <c r="AH103" s="80">
        <f>SUMIFS('ноябрь 2024'!$G$5:$G$2220,'ноябрь 2024'!$D$5:$D$2220,$B103,'ноябрь 2024'!$J$5:$J$2220,AH$1)</f>
        <v>0</v>
      </c>
      <c r="AI103" s="21">
        <f t="shared" si="1"/>
        <v>0</v>
      </c>
    </row>
    <row r="104" spans="2:35" ht="15" customHeight="1" x14ac:dyDescent="0.25">
      <c r="B104" s="93" t="s">
        <v>190</v>
      </c>
      <c r="C104" s="91">
        <v>200</v>
      </c>
      <c r="D104" s="80">
        <f>SUMIFS('ноябрь 2024'!$G$5:$G$2220,'ноябрь 2024'!$D$5:$D$2220,$B104,'ноябрь 2024'!$J$5:$J$2220,D$1)</f>
        <v>0</v>
      </c>
      <c r="E104" s="80">
        <f>SUMIFS('ноябрь 2024'!$G$5:$G$2220,'ноябрь 2024'!$D$5:$D$2220,$B104,'ноябрь 2024'!$J$5:$J$2220,E$1)</f>
        <v>0</v>
      </c>
      <c r="F104" s="80">
        <f>SUMIFS('ноябрь 2024'!$G$5:$G$2220,'ноябрь 2024'!$D$5:$D$2220,$B104,'ноябрь 2024'!$J$5:$J$2220,F$1)</f>
        <v>0</v>
      </c>
      <c r="G104" s="80">
        <f>SUMIFS('ноябрь 2024'!$G$5:$G$2220,'ноябрь 2024'!$D$5:$D$2220,$B104,'ноябрь 2024'!$J$5:$J$2220,G$1)</f>
        <v>0</v>
      </c>
      <c r="H104" s="80">
        <f>SUMIFS('ноябрь 2024'!$G$5:$G$2220,'ноябрь 2024'!$D$5:$D$2220,$B104,'ноябрь 2024'!$J$5:$J$2220,H$1)</f>
        <v>0</v>
      </c>
      <c r="I104" s="80">
        <f>SUMIFS('ноябрь 2024'!$G$5:$G$2220,'ноябрь 2024'!$D$5:$D$2220,$B104,'ноябрь 2024'!$J$5:$J$2220,I$1)</f>
        <v>0</v>
      </c>
      <c r="J104" s="80">
        <f>SUMIFS('ноябрь 2024'!$G$5:$G$2220,'ноябрь 2024'!$D$5:$D$2220,$B104,'ноябрь 2024'!$J$5:$J$2220,J$1)</f>
        <v>0</v>
      </c>
      <c r="K104" s="80">
        <f>SUMIFS('ноябрь 2024'!$G$5:$G$2220,'ноябрь 2024'!$D$5:$D$2220,$B104,'ноябрь 2024'!$J$5:$J$2220,K$1)</f>
        <v>0</v>
      </c>
      <c r="L104" s="80">
        <f>SUMIFS('ноябрь 2024'!$G$5:$G$2220,'ноябрь 2024'!$D$5:$D$2220,$B104,'ноябрь 2024'!$J$5:$J$2220,L$1)</f>
        <v>0</v>
      </c>
      <c r="M104" s="80">
        <f>SUMIFS('ноябрь 2024'!$G$5:$G$2220,'ноябрь 2024'!$D$5:$D$2220,$B104,'ноябрь 2024'!$J$5:$J$2220,M$1)</f>
        <v>0</v>
      </c>
      <c r="N104" s="80">
        <f>SUMIFS('ноябрь 2024'!$G$5:$G$2220,'ноябрь 2024'!$D$5:$D$2220,$B104,'ноябрь 2024'!$J$5:$J$2220,N$1)</f>
        <v>0</v>
      </c>
      <c r="O104" s="80">
        <f>SUMIFS('ноябрь 2024'!$G$5:$G$2220,'ноябрь 2024'!$D$5:$D$2220,$B104,'ноябрь 2024'!$J$5:$J$2220,O$1)</f>
        <v>0</v>
      </c>
      <c r="P104" s="80">
        <f>SUMIFS('ноябрь 2024'!$G$5:$G$2220,'ноябрь 2024'!$D$5:$D$2220,$B104,'ноябрь 2024'!$J$5:$J$2220,P$1)</f>
        <v>0</v>
      </c>
      <c r="Q104" s="80">
        <f>SUMIFS('ноябрь 2024'!$G$5:$G$2220,'ноябрь 2024'!$D$5:$D$2220,$B104,'ноябрь 2024'!$J$5:$J$2220,Q$1)</f>
        <v>0</v>
      </c>
      <c r="R104" s="80">
        <f>SUMIFS('ноябрь 2024'!$G$5:$G$2220,'ноябрь 2024'!$D$5:$D$2220,$B104,'ноябрь 2024'!$J$5:$J$2220,R$1)</f>
        <v>0</v>
      </c>
      <c r="S104" s="80">
        <f>SUMIFS('ноябрь 2024'!$G$5:$G$2220,'ноябрь 2024'!$D$5:$D$2220,$B104,'ноябрь 2024'!$J$5:$J$2220,S$1)</f>
        <v>0</v>
      </c>
      <c r="T104" s="80">
        <f>SUMIFS('ноябрь 2024'!$G$5:$G$2220,'ноябрь 2024'!$D$5:$D$2220,$B104,'ноябрь 2024'!$J$5:$J$2220,T$1)</f>
        <v>0</v>
      </c>
      <c r="U104" s="80">
        <f>SUMIFS('ноябрь 2024'!$G$5:$G$2220,'ноябрь 2024'!$D$5:$D$2220,$B104,'ноябрь 2024'!$J$5:$J$2220,U$1)</f>
        <v>0</v>
      </c>
      <c r="V104" s="80">
        <f>SUMIFS('ноябрь 2024'!$G$5:$G$2220,'ноябрь 2024'!$D$5:$D$2220,$B104,'ноябрь 2024'!$J$5:$J$2220,V$1)</f>
        <v>0</v>
      </c>
      <c r="W104" s="80">
        <f>SUMIFS('ноябрь 2024'!$G$5:$G$2220,'ноябрь 2024'!$D$5:$D$2220,$B104,'ноябрь 2024'!$J$5:$J$2220,W$1)</f>
        <v>0</v>
      </c>
      <c r="X104" s="80">
        <f>SUMIFS('ноябрь 2024'!$G$5:$G$2220,'ноябрь 2024'!$D$5:$D$2220,$B104,'ноябрь 2024'!$J$5:$J$2220,X$1)</f>
        <v>0</v>
      </c>
      <c r="Y104" s="80">
        <f>SUMIFS('ноябрь 2024'!$G$5:$G$2220,'ноябрь 2024'!$D$5:$D$2220,$B104,'ноябрь 2024'!$J$5:$J$2220,Y$1)</f>
        <v>0</v>
      </c>
      <c r="Z104" s="80">
        <f>SUMIFS('ноябрь 2024'!$G$5:$G$2220,'ноябрь 2024'!$D$5:$D$2220,$B104,'ноябрь 2024'!$J$5:$J$2220,Z$1)</f>
        <v>0</v>
      </c>
      <c r="AA104" s="80">
        <f>SUMIFS('ноябрь 2024'!$G$5:$G$2220,'ноябрь 2024'!$D$5:$D$2220,$B104,'ноябрь 2024'!$J$5:$J$2220,AA$1)</f>
        <v>0</v>
      </c>
      <c r="AB104" s="80">
        <f>SUMIFS('ноябрь 2024'!$G$5:$G$2220,'ноябрь 2024'!$D$5:$D$2220,$B104,'ноябрь 2024'!$J$5:$J$2220,AB$1)</f>
        <v>0</v>
      </c>
      <c r="AC104" s="80">
        <f>SUMIFS('ноябрь 2024'!$G$5:$G$2220,'ноябрь 2024'!$D$5:$D$2220,$B104,'ноябрь 2024'!$J$5:$J$2220,AC$1)</f>
        <v>0</v>
      </c>
      <c r="AD104" s="80">
        <f>SUMIFS('ноябрь 2024'!$G$5:$G$2220,'ноябрь 2024'!$D$5:$D$2220,$B104,'ноябрь 2024'!$J$5:$J$2220,AD$1)</f>
        <v>0</v>
      </c>
      <c r="AE104" s="80">
        <f>SUMIFS('ноябрь 2024'!$G$5:$G$2220,'ноябрь 2024'!$D$5:$D$2220,$B104,'ноябрь 2024'!$J$5:$J$2220,AE$1)</f>
        <v>0</v>
      </c>
      <c r="AF104" s="80">
        <f>SUMIFS('ноябрь 2024'!$G$5:$G$2220,'ноябрь 2024'!$D$5:$D$2220,$B104,'ноябрь 2024'!$J$5:$J$2220,AF$1)</f>
        <v>0</v>
      </c>
      <c r="AG104" s="80">
        <f>SUMIFS('ноябрь 2024'!$G$5:$G$2220,'ноябрь 2024'!$D$5:$D$2220,$B104,'ноябрь 2024'!$J$5:$J$2220,AG$1)</f>
        <v>0</v>
      </c>
      <c r="AH104" s="80">
        <f>SUMIFS('ноябрь 2024'!$G$5:$G$2220,'ноябрь 2024'!$D$5:$D$2220,$B104,'ноябрь 2024'!$J$5:$J$2220,AH$1)</f>
        <v>0</v>
      </c>
      <c r="AI104" s="21">
        <f t="shared" si="1"/>
        <v>0</v>
      </c>
    </row>
    <row r="105" spans="2:35" ht="15" customHeight="1" x14ac:dyDescent="0.25">
      <c r="B105" s="93" t="s">
        <v>326</v>
      </c>
      <c r="C105" s="91">
        <v>200</v>
      </c>
      <c r="D105" s="80">
        <f>SUMIFS('ноябрь 2024'!$G$5:$G$2220,'ноябрь 2024'!$D$5:$D$2220,$B105,'ноябрь 2024'!$J$5:$J$2220,D$1)</f>
        <v>0</v>
      </c>
      <c r="E105" s="80">
        <f>SUMIFS('ноябрь 2024'!$G$5:$G$2220,'ноябрь 2024'!$D$5:$D$2220,$B105,'ноябрь 2024'!$J$5:$J$2220,E$1)</f>
        <v>0</v>
      </c>
      <c r="F105" s="80">
        <f>SUMIFS('ноябрь 2024'!$G$5:$G$2220,'ноябрь 2024'!$D$5:$D$2220,$B105,'ноябрь 2024'!$J$5:$J$2220,F$1)</f>
        <v>0</v>
      </c>
      <c r="G105" s="80">
        <f>SUMIFS('ноябрь 2024'!$G$5:$G$2220,'ноябрь 2024'!$D$5:$D$2220,$B105,'ноябрь 2024'!$J$5:$J$2220,G$1)</f>
        <v>0</v>
      </c>
      <c r="H105" s="80">
        <f>SUMIFS('ноябрь 2024'!$G$5:$G$2220,'ноябрь 2024'!$D$5:$D$2220,$B105,'ноябрь 2024'!$J$5:$J$2220,H$1)</f>
        <v>0</v>
      </c>
      <c r="I105" s="80">
        <f>SUMIFS('ноябрь 2024'!$G$5:$G$2220,'ноябрь 2024'!$D$5:$D$2220,$B105,'ноябрь 2024'!$J$5:$J$2220,I$1)</f>
        <v>0</v>
      </c>
      <c r="J105" s="80">
        <f>SUMIFS('ноябрь 2024'!$G$5:$G$2220,'ноябрь 2024'!$D$5:$D$2220,$B105,'ноябрь 2024'!$J$5:$J$2220,J$1)</f>
        <v>0</v>
      </c>
      <c r="K105" s="80">
        <f>SUMIFS('ноябрь 2024'!$G$5:$G$2220,'ноябрь 2024'!$D$5:$D$2220,$B105,'ноябрь 2024'!$J$5:$J$2220,K$1)</f>
        <v>0</v>
      </c>
      <c r="L105" s="80">
        <f>SUMIFS('ноябрь 2024'!$G$5:$G$2220,'ноябрь 2024'!$D$5:$D$2220,$B105,'ноябрь 2024'!$J$5:$J$2220,L$1)</f>
        <v>0</v>
      </c>
      <c r="M105" s="80">
        <f>SUMIFS('ноябрь 2024'!$G$5:$G$2220,'ноябрь 2024'!$D$5:$D$2220,$B105,'ноябрь 2024'!$J$5:$J$2220,M$1)</f>
        <v>0</v>
      </c>
      <c r="N105" s="80">
        <f>SUMIFS('ноябрь 2024'!$G$5:$G$2220,'ноябрь 2024'!$D$5:$D$2220,$B105,'ноябрь 2024'!$J$5:$J$2220,N$1)</f>
        <v>0</v>
      </c>
      <c r="O105" s="80">
        <f>SUMIFS('ноябрь 2024'!$G$5:$G$2220,'ноябрь 2024'!$D$5:$D$2220,$B105,'ноябрь 2024'!$J$5:$J$2220,O$1)</f>
        <v>0</v>
      </c>
      <c r="P105" s="80">
        <f>SUMIFS('ноябрь 2024'!$G$5:$G$2220,'ноябрь 2024'!$D$5:$D$2220,$B105,'ноябрь 2024'!$J$5:$J$2220,P$1)</f>
        <v>0</v>
      </c>
      <c r="Q105" s="80">
        <f>SUMIFS('ноябрь 2024'!$G$5:$G$2220,'ноябрь 2024'!$D$5:$D$2220,$B105,'ноябрь 2024'!$J$5:$J$2220,Q$1)</f>
        <v>0</v>
      </c>
      <c r="R105" s="80">
        <f>SUMIFS('ноябрь 2024'!$G$5:$G$2220,'ноябрь 2024'!$D$5:$D$2220,$B105,'ноябрь 2024'!$J$5:$J$2220,R$1)</f>
        <v>0</v>
      </c>
      <c r="S105" s="80">
        <f>SUMIFS('ноябрь 2024'!$G$5:$G$2220,'ноябрь 2024'!$D$5:$D$2220,$B105,'ноябрь 2024'!$J$5:$J$2220,S$1)</f>
        <v>0</v>
      </c>
      <c r="T105" s="80">
        <f>SUMIFS('ноябрь 2024'!$G$5:$G$2220,'ноябрь 2024'!$D$5:$D$2220,$B105,'ноябрь 2024'!$J$5:$J$2220,T$1)</f>
        <v>0</v>
      </c>
      <c r="U105" s="80">
        <f>SUMIFS('ноябрь 2024'!$G$5:$G$2220,'ноябрь 2024'!$D$5:$D$2220,$B105,'ноябрь 2024'!$J$5:$J$2220,U$1)</f>
        <v>0</v>
      </c>
      <c r="V105" s="80">
        <f>SUMIFS('ноябрь 2024'!$G$5:$G$2220,'ноябрь 2024'!$D$5:$D$2220,$B105,'ноябрь 2024'!$J$5:$J$2220,V$1)</f>
        <v>0</v>
      </c>
      <c r="W105" s="80">
        <f>SUMIFS('ноябрь 2024'!$G$5:$G$2220,'ноябрь 2024'!$D$5:$D$2220,$B105,'ноябрь 2024'!$J$5:$J$2220,W$1)</f>
        <v>0</v>
      </c>
      <c r="X105" s="80">
        <f>SUMIFS('ноябрь 2024'!$G$5:$G$2220,'ноябрь 2024'!$D$5:$D$2220,$B105,'ноябрь 2024'!$J$5:$J$2220,X$1)</f>
        <v>0</v>
      </c>
      <c r="Y105" s="80">
        <f>SUMIFS('ноябрь 2024'!$G$5:$G$2220,'ноябрь 2024'!$D$5:$D$2220,$B105,'ноябрь 2024'!$J$5:$J$2220,Y$1)</f>
        <v>0</v>
      </c>
      <c r="Z105" s="80">
        <f>SUMIFS('ноябрь 2024'!$G$5:$G$2220,'ноябрь 2024'!$D$5:$D$2220,$B105,'ноябрь 2024'!$J$5:$J$2220,Z$1)</f>
        <v>0</v>
      </c>
      <c r="AA105" s="80">
        <f>SUMIFS('ноябрь 2024'!$G$5:$G$2220,'ноябрь 2024'!$D$5:$D$2220,$B105,'ноябрь 2024'!$J$5:$J$2220,AA$1)</f>
        <v>0</v>
      </c>
      <c r="AB105" s="80">
        <f>SUMIFS('ноябрь 2024'!$G$5:$G$2220,'ноябрь 2024'!$D$5:$D$2220,$B105,'ноябрь 2024'!$J$5:$J$2220,AB$1)</f>
        <v>0</v>
      </c>
      <c r="AC105" s="80">
        <f>SUMIFS('ноябрь 2024'!$G$5:$G$2220,'ноябрь 2024'!$D$5:$D$2220,$B105,'ноябрь 2024'!$J$5:$J$2220,AC$1)</f>
        <v>0</v>
      </c>
      <c r="AD105" s="80">
        <f>SUMIFS('ноябрь 2024'!$G$5:$G$2220,'ноябрь 2024'!$D$5:$D$2220,$B105,'ноябрь 2024'!$J$5:$J$2220,AD$1)</f>
        <v>0</v>
      </c>
      <c r="AE105" s="80">
        <f>SUMIFS('ноябрь 2024'!$G$5:$G$2220,'ноябрь 2024'!$D$5:$D$2220,$B105,'ноябрь 2024'!$J$5:$J$2220,AE$1)</f>
        <v>0</v>
      </c>
      <c r="AF105" s="80">
        <f>SUMIFS('ноябрь 2024'!$G$5:$G$2220,'ноябрь 2024'!$D$5:$D$2220,$B105,'ноябрь 2024'!$J$5:$J$2220,AF$1)</f>
        <v>0</v>
      </c>
      <c r="AG105" s="80">
        <f>SUMIFS('ноябрь 2024'!$G$5:$G$2220,'ноябрь 2024'!$D$5:$D$2220,$B105,'ноябрь 2024'!$J$5:$J$2220,AG$1)</f>
        <v>0</v>
      </c>
      <c r="AH105" s="80">
        <f>SUMIFS('ноябрь 2024'!$G$5:$G$2220,'ноябрь 2024'!$D$5:$D$2220,$B105,'ноябрь 2024'!$J$5:$J$2220,AH$1)</f>
        <v>0</v>
      </c>
      <c r="AI105" s="21">
        <f t="shared" si="1"/>
        <v>0</v>
      </c>
    </row>
    <row r="106" spans="2:35" ht="15" customHeight="1" x14ac:dyDescent="0.25">
      <c r="B106" s="93" t="s">
        <v>327</v>
      </c>
      <c r="C106" s="91">
        <v>200</v>
      </c>
      <c r="D106" s="80">
        <f>SUMIFS('ноябрь 2024'!$G$5:$G$2220,'ноябрь 2024'!$D$5:$D$2220,$B106,'ноябрь 2024'!$J$5:$J$2220,D$1)</f>
        <v>0</v>
      </c>
      <c r="E106" s="80">
        <f>SUMIFS('ноябрь 2024'!$G$5:$G$2220,'ноябрь 2024'!$D$5:$D$2220,$B106,'ноябрь 2024'!$J$5:$J$2220,E$1)</f>
        <v>0</v>
      </c>
      <c r="F106" s="80">
        <f>SUMIFS('ноябрь 2024'!$G$5:$G$2220,'ноябрь 2024'!$D$5:$D$2220,$B106,'ноябрь 2024'!$J$5:$J$2220,F$1)</f>
        <v>0</v>
      </c>
      <c r="G106" s="80">
        <f>SUMIFS('ноябрь 2024'!$G$5:$G$2220,'ноябрь 2024'!$D$5:$D$2220,$B106,'ноябрь 2024'!$J$5:$J$2220,G$1)</f>
        <v>0</v>
      </c>
      <c r="H106" s="80">
        <f>SUMIFS('ноябрь 2024'!$G$5:$G$2220,'ноябрь 2024'!$D$5:$D$2220,$B106,'ноябрь 2024'!$J$5:$J$2220,H$1)</f>
        <v>0</v>
      </c>
      <c r="I106" s="80">
        <f>SUMIFS('ноябрь 2024'!$G$5:$G$2220,'ноябрь 2024'!$D$5:$D$2220,$B106,'ноябрь 2024'!$J$5:$J$2220,I$1)</f>
        <v>0</v>
      </c>
      <c r="J106" s="80">
        <f>SUMIFS('ноябрь 2024'!$G$5:$G$2220,'ноябрь 2024'!$D$5:$D$2220,$B106,'ноябрь 2024'!$J$5:$J$2220,J$1)</f>
        <v>0</v>
      </c>
      <c r="K106" s="80">
        <f>SUMIFS('ноябрь 2024'!$G$5:$G$2220,'ноябрь 2024'!$D$5:$D$2220,$B106,'ноябрь 2024'!$J$5:$J$2220,K$1)</f>
        <v>0</v>
      </c>
      <c r="L106" s="80">
        <f>SUMIFS('ноябрь 2024'!$G$5:$G$2220,'ноябрь 2024'!$D$5:$D$2220,$B106,'ноябрь 2024'!$J$5:$J$2220,L$1)</f>
        <v>0</v>
      </c>
      <c r="M106" s="80">
        <f>SUMIFS('ноябрь 2024'!$G$5:$G$2220,'ноябрь 2024'!$D$5:$D$2220,$B106,'ноябрь 2024'!$J$5:$J$2220,M$1)</f>
        <v>0</v>
      </c>
      <c r="N106" s="80">
        <f>SUMIFS('ноябрь 2024'!$G$5:$G$2220,'ноябрь 2024'!$D$5:$D$2220,$B106,'ноябрь 2024'!$J$5:$J$2220,N$1)</f>
        <v>0</v>
      </c>
      <c r="O106" s="80">
        <f>SUMIFS('ноябрь 2024'!$G$5:$G$2220,'ноябрь 2024'!$D$5:$D$2220,$B106,'ноябрь 2024'!$J$5:$J$2220,O$1)</f>
        <v>0</v>
      </c>
      <c r="P106" s="80">
        <f>SUMIFS('ноябрь 2024'!$G$5:$G$2220,'ноябрь 2024'!$D$5:$D$2220,$B106,'ноябрь 2024'!$J$5:$J$2220,P$1)</f>
        <v>0</v>
      </c>
      <c r="Q106" s="80">
        <f>SUMIFS('ноябрь 2024'!$G$5:$G$2220,'ноябрь 2024'!$D$5:$D$2220,$B106,'ноябрь 2024'!$J$5:$J$2220,Q$1)</f>
        <v>0</v>
      </c>
      <c r="R106" s="80">
        <f>SUMIFS('ноябрь 2024'!$G$5:$G$2220,'ноябрь 2024'!$D$5:$D$2220,$B106,'ноябрь 2024'!$J$5:$J$2220,R$1)</f>
        <v>0</v>
      </c>
      <c r="S106" s="80">
        <f>SUMIFS('ноябрь 2024'!$G$5:$G$2220,'ноябрь 2024'!$D$5:$D$2220,$B106,'ноябрь 2024'!$J$5:$J$2220,S$1)</f>
        <v>0</v>
      </c>
      <c r="T106" s="80">
        <f>SUMIFS('ноябрь 2024'!$G$5:$G$2220,'ноябрь 2024'!$D$5:$D$2220,$B106,'ноябрь 2024'!$J$5:$J$2220,T$1)</f>
        <v>0</v>
      </c>
      <c r="U106" s="80">
        <f>SUMIFS('ноябрь 2024'!$G$5:$G$2220,'ноябрь 2024'!$D$5:$D$2220,$B106,'ноябрь 2024'!$J$5:$J$2220,U$1)</f>
        <v>0</v>
      </c>
      <c r="V106" s="80">
        <f>SUMIFS('ноябрь 2024'!$G$5:$G$2220,'ноябрь 2024'!$D$5:$D$2220,$B106,'ноябрь 2024'!$J$5:$J$2220,V$1)</f>
        <v>0</v>
      </c>
      <c r="W106" s="80">
        <f>SUMIFS('ноябрь 2024'!$G$5:$G$2220,'ноябрь 2024'!$D$5:$D$2220,$B106,'ноябрь 2024'!$J$5:$J$2220,W$1)</f>
        <v>0</v>
      </c>
      <c r="X106" s="80">
        <f>SUMIFS('ноябрь 2024'!$G$5:$G$2220,'ноябрь 2024'!$D$5:$D$2220,$B106,'ноябрь 2024'!$J$5:$J$2220,X$1)</f>
        <v>0</v>
      </c>
      <c r="Y106" s="80">
        <f>SUMIFS('ноябрь 2024'!$G$5:$G$2220,'ноябрь 2024'!$D$5:$D$2220,$B106,'ноябрь 2024'!$J$5:$J$2220,Y$1)</f>
        <v>0</v>
      </c>
      <c r="Z106" s="80">
        <f>SUMIFS('ноябрь 2024'!$G$5:$G$2220,'ноябрь 2024'!$D$5:$D$2220,$B106,'ноябрь 2024'!$J$5:$J$2220,Z$1)</f>
        <v>0</v>
      </c>
      <c r="AA106" s="80">
        <f>SUMIFS('ноябрь 2024'!$G$5:$G$2220,'ноябрь 2024'!$D$5:$D$2220,$B106,'ноябрь 2024'!$J$5:$J$2220,AA$1)</f>
        <v>0</v>
      </c>
      <c r="AB106" s="80">
        <f>SUMIFS('ноябрь 2024'!$G$5:$G$2220,'ноябрь 2024'!$D$5:$D$2220,$B106,'ноябрь 2024'!$J$5:$J$2220,AB$1)</f>
        <v>0</v>
      </c>
      <c r="AC106" s="80">
        <f>SUMIFS('ноябрь 2024'!$G$5:$G$2220,'ноябрь 2024'!$D$5:$D$2220,$B106,'ноябрь 2024'!$J$5:$J$2220,AC$1)</f>
        <v>0</v>
      </c>
      <c r="AD106" s="80">
        <f>SUMIFS('ноябрь 2024'!$G$5:$G$2220,'ноябрь 2024'!$D$5:$D$2220,$B106,'ноябрь 2024'!$J$5:$J$2220,AD$1)</f>
        <v>0</v>
      </c>
      <c r="AE106" s="80">
        <f>SUMIFS('ноябрь 2024'!$G$5:$G$2220,'ноябрь 2024'!$D$5:$D$2220,$B106,'ноябрь 2024'!$J$5:$J$2220,AE$1)</f>
        <v>0</v>
      </c>
      <c r="AF106" s="80">
        <f>SUMIFS('ноябрь 2024'!$G$5:$G$2220,'ноябрь 2024'!$D$5:$D$2220,$B106,'ноябрь 2024'!$J$5:$J$2220,AF$1)</f>
        <v>0</v>
      </c>
      <c r="AG106" s="80">
        <f>SUMIFS('ноябрь 2024'!$G$5:$G$2220,'ноябрь 2024'!$D$5:$D$2220,$B106,'ноябрь 2024'!$J$5:$J$2220,AG$1)</f>
        <v>0</v>
      </c>
      <c r="AH106" s="80">
        <f>SUMIFS('ноябрь 2024'!$G$5:$G$2220,'ноябрь 2024'!$D$5:$D$2220,$B106,'ноябрь 2024'!$J$5:$J$2220,AH$1)</f>
        <v>0</v>
      </c>
      <c r="AI106" s="21">
        <f t="shared" si="1"/>
        <v>0</v>
      </c>
    </row>
    <row r="107" spans="2:35" ht="15" customHeight="1" x14ac:dyDescent="0.25">
      <c r="B107" s="89" t="s">
        <v>223</v>
      </c>
      <c r="C107" s="88">
        <v>25</v>
      </c>
      <c r="D107" s="80">
        <f>SUMIFS('ноябрь 2024'!$G$5:$G$2220,'ноябрь 2024'!$D$5:$D$2220,$B107,'ноябрь 2024'!$J$5:$J$2220,D$1)</f>
        <v>0</v>
      </c>
      <c r="E107" s="80">
        <f>SUMIFS('ноябрь 2024'!$G$5:$G$2220,'ноябрь 2024'!$D$5:$D$2220,$B107,'ноябрь 2024'!$J$5:$J$2220,E$1)</f>
        <v>0</v>
      </c>
      <c r="F107" s="80">
        <f>SUMIFS('ноябрь 2024'!$G$5:$G$2220,'ноябрь 2024'!$D$5:$D$2220,$B107,'ноябрь 2024'!$J$5:$J$2220,F$1)</f>
        <v>0</v>
      </c>
      <c r="G107" s="80">
        <f>SUMIFS('ноябрь 2024'!$G$5:$G$2220,'ноябрь 2024'!$D$5:$D$2220,$B107,'ноябрь 2024'!$J$5:$J$2220,G$1)</f>
        <v>0</v>
      </c>
      <c r="H107" s="80">
        <f>SUMIFS('ноябрь 2024'!$G$5:$G$2220,'ноябрь 2024'!$D$5:$D$2220,$B107,'ноябрь 2024'!$J$5:$J$2220,H$1)</f>
        <v>0</v>
      </c>
      <c r="I107" s="80">
        <f>SUMIFS('ноябрь 2024'!$G$5:$G$2220,'ноябрь 2024'!$D$5:$D$2220,$B107,'ноябрь 2024'!$J$5:$J$2220,I$1)</f>
        <v>0</v>
      </c>
      <c r="J107" s="80">
        <f>SUMIFS('ноябрь 2024'!$G$5:$G$2220,'ноябрь 2024'!$D$5:$D$2220,$B107,'ноябрь 2024'!$J$5:$J$2220,J$1)</f>
        <v>0</v>
      </c>
      <c r="K107" s="80">
        <f>SUMIFS('ноябрь 2024'!$G$5:$G$2220,'ноябрь 2024'!$D$5:$D$2220,$B107,'ноябрь 2024'!$J$5:$J$2220,K$1)</f>
        <v>0</v>
      </c>
      <c r="L107" s="80">
        <f>SUMIFS('ноябрь 2024'!$G$5:$G$2220,'ноябрь 2024'!$D$5:$D$2220,$B107,'ноябрь 2024'!$J$5:$J$2220,L$1)</f>
        <v>0</v>
      </c>
      <c r="M107" s="80">
        <f>SUMIFS('ноябрь 2024'!$G$5:$G$2220,'ноябрь 2024'!$D$5:$D$2220,$B107,'ноябрь 2024'!$J$5:$J$2220,M$1)</f>
        <v>0</v>
      </c>
      <c r="N107" s="80">
        <f>SUMIFS('ноябрь 2024'!$G$5:$G$2220,'ноябрь 2024'!$D$5:$D$2220,$B107,'ноябрь 2024'!$J$5:$J$2220,N$1)</f>
        <v>0</v>
      </c>
      <c r="O107" s="80">
        <f>SUMIFS('ноябрь 2024'!$G$5:$G$2220,'ноябрь 2024'!$D$5:$D$2220,$B107,'ноябрь 2024'!$J$5:$J$2220,O$1)</f>
        <v>0</v>
      </c>
      <c r="P107" s="80">
        <f>SUMIFS('ноябрь 2024'!$G$5:$G$2220,'ноябрь 2024'!$D$5:$D$2220,$B107,'ноябрь 2024'!$J$5:$J$2220,P$1)</f>
        <v>0</v>
      </c>
      <c r="Q107" s="80">
        <f>SUMIFS('ноябрь 2024'!$G$5:$G$2220,'ноябрь 2024'!$D$5:$D$2220,$B107,'ноябрь 2024'!$J$5:$J$2220,Q$1)</f>
        <v>0</v>
      </c>
      <c r="R107" s="80">
        <f>SUMIFS('ноябрь 2024'!$G$5:$G$2220,'ноябрь 2024'!$D$5:$D$2220,$B107,'ноябрь 2024'!$J$5:$J$2220,R$1)</f>
        <v>0</v>
      </c>
      <c r="S107" s="80">
        <f>SUMIFS('ноябрь 2024'!$G$5:$G$2220,'ноябрь 2024'!$D$5:$D$2220,$B107,'ноябрь 2024'!$J$5:$J$2220,S$1)</f>
        <v>0</v>
      </c>
      <c r="T107" s="80">
        <f>SUMIFS('ноябрь 2024'!$G$5:$G$2220,'ноябрь 2024'!$D$5:$D$2220,$B107,'ноябрь 2024'!$J$5:$J$2220,T$1)</f>
        <v>0</v>
      </c>
      <c r="U107" s="80">
        <f>SUMIFS('ноябрь 2024'!$G$5:$G$2220,'ноябрь 2024'!$D$5:$D$2220,$B107,'ноябрь 2024'!$J$5:$J$2220,U$1)</f>
        <v>0</v>
      </c>
      <c r="V107" s="80">
        <f>SUMIFS('ноябрь 2024'!$G$5:$G$2220,'ноябрь 2024'!$D$5:$D$2220,$B107,'ноябрь 2024'!$J$5:$J$2220,V$1)</f>
        <v>0</v>
      </c>
      <c r="W107" s="80">
        <f>SUMIFS('ноябрь 2024'!$G$5:$G$2220,'ноябрь 2024'!$D$5:$D$2220,$B107,'ноябрь 2024'!$J$5:$J$2220,W$1)</f>
        <v>0</v>
      </c>
      <c r="X107" s="80">
        <f>SUMIFS('ноябрь 2024'!$G$5:$G$2220,'ноябрь 2024'!$D$5:$D$2220,$B107,'ноябрь 2024'!$J$5:$J$2220,X$1)</f>
        <v>0</v>
      </c>
      <c r="Y107" s="80">
        <f>SUMIFS('ноябрь 2024'!$G$5:$G$2220,'ноябрь 2024'!$D$5:$D$2220,$B107,'ноябрь 2024'!$J$5:$J$2220,Y$1)</f>
        <v>0</v>
      </c>
      <c r="Z107" s="80">
        <f>SUMIFS('ноябрь 2024'!$G$5:$G$2220,'ноябрь 2024'!$D$5:$D$2220,$B107,'ноябрь 2024'!$J$5:$J$2220,Z$1)</f>
        <v>0</v>
      </c>
      <c r="AA107" s="80">
        <f>SUMIFS('ноябрь 2024'!$G$5:$G$2220,'ноябрь 2024'!$D$5:$D$2220,$B107,'ноябрь 2024'!$J$5:$J$2220,AA$1)</f>
        <v>0</v>
      </c>
      <c r="AB107" s="80">
        <f>SUMIFS('ноябрь 2024'!$G$5:$G$2220,'ноябрь 2024'!$D$5:$D$2220,$B107,'ноябрь 2024'!$J$5:$J$2220,AB$1)</f>
        <v>0</v>
      </c>
      <c r="AC107" s="80">
        <f>SUMIFS('ноябрь 2024'!$G$5:$G$2220,'ноябрь 2024'!$D$5:$D$2220,$B107,'ноябрь 2024'!$J$5:$J$2220,AC$1)</f>
        <v>0</v>
      </c>
      <c r="AD107" s="80">
        <f>SUMIFS('ноябрь 2024'!$G$5:$G$2220,'ноябрь 2024'!$D$5:$D$2220,$B107,'ноябрь 2024'!$J$5:$J$2220,AD$1)</f>
        <v>0</v>
      </c>
      <c r="AE107" s="80">
        <f>SUMIFS('ноябрь 2024'!$G$5:$G$2220,'ноябрь 2024'!$D$5:$D$2220,$B107,'ноябрь 2024'!$J$5:$J$2220,AE$1)</f>
        <v>0</v>
      </c>
      <c r="AF107" s="80">
        <f>SUMIFS('ноябрь 2024'!$G$5:$G$2220,'ноябрь 2024'!$D$5:$D$2220,$B107,'ноябрь 2024'!$J$5:$J$2220,AF$1)</f>
        <v>0</v>
      </c>
      <c r="AG107" s="80">
        <f>SUMIFS('ноябрь 2024'!$G$5:$G$2220,'ноябрь 2024'!$D$5:$D$2220,$B107,'ноябрь 2024'!$J$5:$J$2220,AG$1)</f>
        <v>0</v>
      </c>
      <c r="AH107" s="80">
        <f>SUMIFS('ноябрь 2024'!$G$5:$G$2220,'ноябрь 2024'!$D$5:$D$2220,$B107,'ноябрь 2024'!$J$5:$J$2220,AH$1)</f>
        <v>0</v>
      </c>
      <c r="AI107" s="21">
        <f t="shared" si="1"/>
        <v>0</v>
      </c>
    </row>
    <row r="108" spans="2:35" ht="15" customHeight="1" x14ac:dyDescent="0.25">
      <c r="B108" s="93" t="s">
        <v>328</v>
      </c>
      <c r="C108" s="91">
        <v>50</v>
      </c>
      <c r="D108" s="80">
        <f>SUMIFS('ноябрь 2024'!$G$5:$G$2220,'ноябрь 2024'!$D$5:$D$2220,$B108,'ноябрь 2024'!$J$5:$J$2220,D$1)</f>
        <v>0</v>
      </c>
      <c r="E108" s="80">
        <f>SUMIFS('ноябрь 2024'!$G$5:$G$2220,'ноябрь 2024'!$D$5:$D$2220,$B108,'ноябрь 2024'!$J$5:$J$2220,E$1)</f>
        <v>0</v>
      </c>
      <c r="F108" s="80">
        <f>SUMIFS('ноябрь 2024'!$G$5:$G$2220,'ноябрь 2024'!$D$5:$D$2220,$B108,'ноябрь 2024'!$J$5:$J$2220,F$1)</f>
        <v>0</v>
      </c>
      <c r="G108" s="80">
        <f>SUMIFS('ноябрь 2024'!$G$5:$G$2220,'ноябрь 2024'!$D$5:$D$2220,$B108,'ноябрь 2024'!$J$5:$J$2220,G$1)</f>
        <v>0</v>
      </c>
      <c r="H108" s="80">
        <f>SUMIFS('ноябрь 2024'!$G$5:$G$2220,'ноябрь 2024'!$D$5:$D$2220,$B108,'ноябрь 2024'!$J$5:$J$2220,H$1)</f>
        <v>0</v>
      </c>
      <c r="I108" s="80">
        <f>SUMIFS('ноябрь 2024'!$G$5:$G$2220,'ноябрь 2024'!$D$5:$D$2220,$B108,'ноябрь 2024'!$J$5:$J$2220,I$1)</f>
        <v>0</v>
      </c>
      <c r="J108" s="80">
        <f>SUMIFS('ноябрь 2024'!$G$5:$G$2220,'ноябрь 2024'!$D$5:$D$2220,$B108,'ноябрь 2024'!$J$5:$J$2220,J$1)</f>
        <v>0</v>
      </c>
      <c r="K108" s="80">
        <f>SUMIFS('ноябрь 2024'!$G$5:$G$2220,'ноябрь 2024'!$D$5:$D$2220,$B108,'ноябрь 2024'!$J$5:$J$2220,K$1)</f>
        <v>0</v>
      </c>
      <c r="L108" s="80">
        <f>SUMIFS('ноябрь 2024'!$G$5:$G$2220,'ноябрь 2024'!$D$5:$D$2220,$B108,'ноябрь 2024'!$J$5:$J$2220,L$1)</f>
        <v>0</v>
      </c>
      <c r="M108" s="80">
        <f>SUMIFS('ноябрь 2024'!$G$5:$G$2220,'ноябрь 2024'!$D$5:$D$2220,$B108,'ноябрь 2024'!$J$5:$J$2220,M$1)</f>
        <v>0</v>
      </c>
      <c r="N108" s="80">
        <f>SUMIFS('ноябрь 2024'!$G$5:$G$2220,'ноябрь 2024'!$D$5:$D$2220,$B108,'ноябрь 2024'!$J$5:$J$2220,N$1)</f>
        <v>0</v>
      </c>
      <c r="O108" s="80">
        <f>SUMIFS('ноябрь 2024'!$G$5:$G$2220,'ноябрь 2024'!$D$5:$D$2220,$B108,'ноябрь 2024'!$J$5:$J$2220,O$1)</f>
        <v>0</v>
      </c>
      <c r="P108" s="80">
        <f>SUMIFS('ноябрь 2024'!$G$5:$G$2220,'ноябрь 2024'!$D$5:$D$2220,$B108,'ноябрь 2024'!$J$5:$J$2220,P$1)</f>
        <v>0</v>
      </c>
      <c r="Q108" s="80">
        <f>SUMIFS('ноябрь 2024'!$G$5:$G$2220,'ноябрь 2024'!$D$5:$D$2220,$B108,'ноябрь 2024'!$J$5:$J$2220,Q$1)</f>
        <v>0</v>
      </c>
      <c r="R108" s="80">
        <f>SUMIFS('ноябрь 2024'!$G$5:$G$2220,'ноябрь 2024'!$D$5:$D$2220,$B108,'ноябрь 2024'!$J$5:$J$2220,R$1)</f>
        <v>0</v>
      </c>
      <c r="S108" s="80">
        <f>SUMIFS('ноябрь 2024'!$G$5:$G$2220,'ноябрь 2024'!$D$5:$D$2220,$B108,'ноябрь 2024'!$J$5:$J$2220,S$1)</f>
        <v>0</v>
      </c>
      <c r="T108" s="80">
        <f>SUMIFS('ноябрь 2024'!$G$5:$G$2220,'ноябрь 2024'!$D$5:$D$2220,$B108,'ноябрь 2024'!$J$5:$J$2220,T$1)</f>
        <v>0</v>
      </c>
      <c r="U108" s="80">
        <f>SUMIFS('ноябрь 2024'!$G$5:$G$2220,'ноябрь 2024'!$D$5:$D$2220,$B108,'ноябрь 2024'!$J$5:$J$2220,U$1)</f>
        <v>0</v>
      </c>
      <c r="V108" s="80">
        <f>SUMIFS('ноябрь 2024'!$G$5:$G$2220,'ноябрь 2024'!$D$5:$D$2220,$B108,'ноябрь 2024'!$J$5:$J$2220,V$1)</f>
        <v>0</v>
      </c>
      <c r="W108" s="80">
        <f>SUMIFS('ноябрь 2024'!$G$5:$G$2220,'ноябрь 2024'!$D$5:$D$2220,$B108,'ноябрь 2024'!$J$5:$J$2220,W$1)</f>
        <v>0</v>
      </c>
      <c r="X108" s="80">
        <f>SUMIFS('ноябрь 2024'!$G$5:$G$2220,'ноябрь 2024'!$D$5:$D$2220,$B108,'ноябрь 2024'!$J$5:$J$2220,X$1)</f>
        <v>0</v>
      </c>
      <c r="Y108" s="80">
        <f>SUMIFS('ноябрь 2024'!$G$5:$G$2220,'ноябрь 2024'!$D$5:$D$2220,$B108,'ноябрь 2024'!$J$5:$J$2220,Y$1)</f>
        <v>0</v>
      </c>
      <c r="Z108" s="80">
        <f>SUMIFS('ноябрь 2024'!$G$5:$G$2220,'ноябрь 2024'!$D$5:$D$2220,$B108,'ноябрь 2024'!$J$5:$J$2220,Z$1)</f>
        <v>0</v>
      </c>
      <c r="AA108" s="80">
        <f>SUMIFS('ноябрь 2024'!$G$5:$G$2220,'ноябрь 2024'!$D$5:$D$2220,$B108,'ноябрь 2024'!$J$5:$J$2220,AA$1)</f>
        <v>0</v>
      </c>
      <c r="AB108" s="80">
        <f>SUMIFS('ноябрь 2024'!$G$5:$G$2220,'ноябрь 2024'!$D$5:$D$2220,$B108,'ноябрь 2024'!$J$5:$J$2220,AB$1)</f>
        <v>0</v>
      </c>
      <c r="AC108" s="80">
        <f>SUMIFS('ноябрь 2024'!$G$5:$G$2220,'ноябрь 2024'!$D$5:$D$2220,$B108,'ноябрь 2024'!$J$5:$J$2220,AC$1)</f>
        <v>0</v>
      </c>
      <c r="AD108" s="80">
        <f>SUMIFS('ноябрь 2024'!$G$5:$G$2220,'ноябрь 2024'!$D$5:$D$2220,$B108,'ноябрь 2024'!$J$5:$J$2220,AD$1)</f>
        <v>0</v>
      </c>
      <c r="AE108" s="80">
        <f>SUMIFS('ноябрь 2024'!$G$5:$G$2220,'ноябрь 2024'!$D$5:$D$2220,$B108,'ноябрь 2024'!$J$5:$J$2220,AE$1)</f>
        <v>0</v>
      </c>
      <c r="AF108" s="80">
        <f>SUMIFS('ноябрь 2024'!$G$5:$G$2220,'ноябрь 2024'!$D$5:$D$2220,$B108,'ноябрь 2024'!$J$5:$J$2220,AF$1)</f>
        <v>0</v>
      </c>
      <c r="AG108" s="80">
        <f>SUMIFS('ноябрь 2024'!$G$5:$G$2220,'ноябрь 2024'!$D$5:$D$2220,$B108,'ноябрь 2024'!$J$5:$J$2220,AG$1)</f>
        <v>0</v>
      </c>
      <c r="AH108" s="80">
        <f>SUMIFS('ноябрь 2024'!$G$5:$G$2220,'ноябрь 2024'!$D$5:$D$2220,$B108,'ноябрь 2024'!$J$5:$J$2220,AH$1)</f>
        <v>0</v>
      </c>
      <c r="AI108" s="21">
        <f t="shared" si="1"/>
        <v>0</v>
      </c>
    </row>
    <row r="109" spans="2:35" ht="15" customHeight="1" x14ac:dyDescent="0.25">
      <c r="B109" s="93" t="s">
        <v>195</v>
      </c>
      <c r="C109" s="91">
        <v>180</v>
      </c>
      <c r="D109" s="80">
        <f>SUMIFS('ноябрь 2024'!$G$5:$G$2220,'ноябрь 2024'!$D$5:$D$2220,$B109,'ноябрь 2024'!$J$5:$J$2220,D$1)</f>
        <v>0</v>
      </c>
      <c r="E109" s="80">
        <f>SUMIFS('ноябрь 2024'!$G$5:$G$2220,'ноябрь 2024'!$D$5:$D$2220,$B109,'ноябрь 2024'!$J$5:$J$2220,E$1)</f>
        <v>0</v>
      </c>
      <c r="F109" s="80">
        <f>SUMIFS('ноябрь 2024'!$G$5:$G$2220,'ноябрь 2024'!$D$5:$D$2220,$B109,'ноябрь 2024'!$J$5:$J$2220,F$1)</f>
        <v>0</v>
      </c>
      <c r="G109" s="80">
        <f>SUMIFS('ноябрь 2024'!$G$5:$G$2220,'ноябрь 2024'!$D$5:$D$2220,$B109,'ноябрь 2024'!$J$5:$J$2220,G$1)</f>
        <v>0</v>
      </c>
      <c r="H109" s="80">
        <f>SUMIFS('ноябрь 2024'!$G$5:$G$2220,'ноябрь 2024'!$D$5:$D$2220,$B109,'ноябрь 2024'!$J$5:$J$2220,H$1)</f>
        <v>0</v>
      </c>
      <c r="I109" s="80">
        <f>SUMIFS('ноябрь 2024'!$G$5:$G$2220,'ноябрь 2024'!$D$5:$D$2220,$B109,'ноябрь 2024'!$J$5:$J$2220,I$1)</f>
        <v>0</v>
      </c>
      <c r="J109" s="80">
        <f>SUMIFS('ноябрь 2024'!$G$5:$G$2220,'ноябрь 2024'!$D$5:$D$2220,$B109,'ноябрь 2024'!$J$5:$J$2220,J$1)</f>
        <v>0</v>
      </c>
      <c r="K109" s="80">
        <f>SUMIFS('ноябрь 2024'!$G$5:$G$2220,'ноябрь 2024'!$D$5:$D$2220,$B109,'ноябрь 2024'!$J$5:$J$2220,K$1)</f>
        <v>0</v>
      </c>
      <c r="L109" s="80">
        <f>SUMIFS('ноябрь 2024'!$G$5:$G$2220,'ноябрь 2024'!$D$5:$D$2220,$B109,'ноябрь 2024'!$J$5:$J$2220,L$1)</f>
        <v>0</v>
      </c>
      <c r="M109" s="80">
        <f>SUMIFS('ноябрь 2024'!$G$5:$G$2220,'ноябрь 2024'!$D$5:$D$2220,$B109,'ноябрь 2024'!$J$5:$J$2220,M$1)</f>
        <v>0</v>
      </c>
      <c r="N109" s="80">
        <f>SUMIFS('ноябрь 2024'!$G$5:$G$2220,'ноябрь 2024'!$D$5:$D$2220,$B109,'ноябрь 2024'!$J$5:$J$2220,N$1)</f>
        <v>0</v>
      </c>
      <c r="O109" s="80">
        <f>SUMIFS('ноябрь 2024'!$G$5:$G$2220,'ноябрь 2024'!$D$5:$D$2220,$B109,'ноябрь 2024'!$J$5:$J$2220,O$1)</f>
        <v>0</v>
      </c>
      <c r="P109" s="80">
        <f>SUMIFS('ноябрь 2024'!$G$5:$G$2220,'ноябрь 2024'!$D$5:$D$2220,$B109,'ноябрь 2024'!$J$5:$J$2220,P$1)</f>
        <v>0</v>
      </c>
      <c r="Q109" s="80">
        <f>SUMIFS('ноябрь 2024'!$G$5:$G$2220,'ноябрь 2024'!$D$5:$D$2220,$B109,'ноябрь 2024'!$J$5:$J$2220,Q$1)</f>
        <v>0</v>
      </c>
      <c r="R109" s="80">
        <f>SUMIFS('ноябрь 2024'!$G$5:$G$2220,'ноябрь 2024'!$D$5:$D$2220,$B109,'ноябрь 2024'!$J$5:$J$2220,R$1)</f>
        <v>0</v>
      </c>
      <c r="S109" s="80">
        <f>SUMIFS('ноябрь 2024'!$G$5:$G$2220,'ноябрь 2024'!$D$5:$D$2220,$B109,'ноябрь 2024'!$J$5:$J$2220,S$1)</f>
        <v>0</v>
      </c>
      <c r="T109" s="80">
        <f>SUMIFS('ноябрь 2024'!$G$5:$G$2220,'ноябрь 2024'!$D$5:$D$2220,$B109,'ноябрь 2024'!$J$5:$J$2220,T$1)</f>
        <v>0</v>
      </c>
      <c r="U109" s="80">
        <f>SUMIFS('ноябрь 2024'!$G$5:$G$2220,'ноябрь 2024'!$D$5:$D$2220,$B109,'ноябрь 2024'!$J$5:$J$2220,U$1)</f>
        <v>0</v>
      </c>
      <c r="V109" s="80">
        <f>SUMIFS('ноябрь 2024'!$G$5:$G$2220,'ноябрь 2024'!$D$5:$D$2220,$B109,'ноябрь 2024'!$J$5:$J$2220,V$1)</f>
        <v>0</v>
      </c>
      <c r="W109" s="80">
        <f>SUMIFS('ноябрь 2024'!$G$5:$G$2220,'ноябрь 2024'!$D$5:$D$2220,$B109,'ноябрь 2024'!$J$5:$J$2220,W$1)</f>
        <v>0</v>
      </c>
      <c r="X109" s="80">
        <f>SUMIFS('ноябрь 2024'!$G$5:$G$2220,'ноябрь 2024'!$D$5:$D$2220,$B109,'ноябрь 2024'!$J$5:$J$2220,X$1)</f>
        <v>0</v>
      </c>
      <c r="Y109" s="80">
        <f>SUMIFS('ноябрь 2024'!$G$5:$G$2220,'ноябрь 2024'!$D$5:$D$2220,$B109,'ноябрь 2024'!$J$5:$J$2220,Y$1)</f>
        <v>0</v>
      </c>
      <c r="Z109" s="80">
        <f>SUMIFS('ноябрь 2024'!$G$5:$G$2220,'ноябрь 2024'!$D$5:$D$2220,$B109,'ноябрь 2024'!$J$5:$J$2220,Z$1)</f>
        <v>0</v>
      </c>
      <c r="AA109" s="80">
        <f>SUMIFS('ноябрь 2024'!$G$5:$G$2220,'ноябрь 2024'!$D$5:$D$2220,$B109,'ноябрь 2024'!$J$5:$J$2220,AA$1)</f>
        <v>0</v>
      </c>
      <c r="AB109" s="80">
        <f>SUMIFS('ноябрь 2024'!$G$5:$G$2220,'ноябрь 2024'!$D$5:$D$2220,$B109,'ноябрь 2024'!$J$5:$J$2220,AB$1)</f>
        <v>0</v>
      </c>
      <c r="AC109" s="80">
        <f>SUMIFS('ноябрь 2024'!$G$5:$G$2220,'ноябрь 2024'!$D$5:$D$2220,$B109,'ноябрь 2024'!$J$5:$J$2220,AC$1)</f>
        <v>0</v>
      </c>
      <c r="AD109" s="80">
        <f>SUMIFS('ноябрь 2024'!$G$5:$G$2220,'ноябрь 2024'!$D$5:$D$2220,$B109,'ноябрь 2024'!$J$5:$J$2220,AD$1)</f>
        <v>0</v>
      </c>
      <c r="AE109" s="80">
        <f>SUMIFS('ноябрь 2024'!$G$5:$G$2220,'ноябрь 2024'!$D$5:$D$2220,$B109,'ноябрь 2024'!$J$5:$J$2220,AE$1)</f>
        <v>0</v>
      </c>
      <c r="AF109" s="80">
        <f>SUMIFS('ноябрь 2024'!$G$5:$G$2220,'ноябрь 2024'!$D$5:$D$2220,$B109,'ноябрь 2024'!$J$5:$J$2220,AF$1)</f>
        <v>0</v>
      </c>
      <c r="AG109" s="80">
        <f>SUMIFS('ноябрь 2024'!$G$5:$G$2220,'ноябрь 2024'!$D$5:$D$2220,$B109,'ноябрь 2024'!$J$5:$J$2220,AG$1)</f>
        <v>0</v>
      </c>
      <c r="AH109" s="80">
        <f>SUMIFS('ноябрь 2024'!$G$5:$G$2220,'ноябрь 2024'!$D$5:$D$2220,$B109,'ноябрь 2024'!$J$5:$J$2220,AH$1)</f>
        <v>0</v>
      </c>
      <c r="AI109" s="21">
        <f t="shared" si="1"/>
        <v>0</v>
      </c>
    </row>
    <row r="110" spans="2:35" ht="15" customHeight="1" x14ac:dyDescent="0.25">
      <c r="B110" s="93" t="s">
        <v>214</v>
      </c>
      <c r="C110" s="91">
        <v>185</v>
      </c>
      <c r="D110" s="80">
        <f>SUMIFS('ноябрь 2024'!$G$5:$G$2220,'ноябрь 2024'!$D$5:$D$2220,$B110,'ноябрь 2024'!$J$5:$J$2220,D$1)</f>
        <v>0</v>
      </c>
      <c r="E110" s="80">
        <f>SUMIFS('ноябрь 2024'!$G$5:$G$2220,'ноябрь 2024'!$D$5:$D$2220,$B110,'ноябрь 2024'!$J$5:$J$2220,E$1)</f>
        <v>0</v>
      </c>
      <c r="F110" s="80">
        <f>SUMIFS('ноябрь 2024'!$G$5:$G$2220,'ноябрь 2024'!$D$5:$D$2220,$B110,'ноябрь 2024'!$J$5:$J$2220,F$1)</f>
        <v>0</v>
      </c>
      <c r="G110" s="80">
        <f>SUMIFS('ноябрь 2024'!$G$5:$G$2220,'ноябрь 2024'!$D$5:$D$2220,$B110,'ноябрь 2024'!$J$5:$J$2220,G$1)</f>
        <v>0</v>
      </c>
      <c r="H110" s="80">
        <f>SUMIFS('ноябрь 2024'!$G$5:$G$2220,'ноябрь 2024'!$D$5:$D$2220,$B110,'ноябрь 2024'!$J$5:$J$2220,H$1)</f>
        <v>0</v>
      </c>
      <c r="I110" s="80">
        <f>SUMIFS('ноябрь 2024'!$G$5:$G$2220,'ноябрь 2024'!$D$5:$D$2220,$B110,'ноябрь 2024'!$J$5:$J$2220,I$1)</f>
        <v>0</v>
      </c>
      <c r="J110" s="80">
        <f>SUMIFS('ноябрь 2024'!$G$5:$G$2220,'ноябрь 2024'!$D$5:$D$2220,$B110,'ноябрь 2024'!$J$5:$J$2220,J$1)</f>
        <v>0</v>
      </c>
      <c r="K110" s="80">
        <f>SUMIFS('ноябрь 2024'!$G$5:$G$2220,'ноябрь 2024'!$D$5:$D$2220,$B110,'ноябрь 2024'!$J$5:$J$2220,K$1)</f>
        <v>0</v>
      </c>
      <c r="L110" s="80">
        <f>SUMIFS('ноябрь 2024'!$G$5:$G$2220,'ноябрь 2024'!$D$5:$D$2220,$B110,'ноябрь 2024'!$J$5:$J$2220,L$1)</f>
        <v>0</v>
      </c>
      <c r="M110" s="80">
        <f>SUMIFS('ноябрь 2024'!$G$5:$G$2220,'ноябрь 2024'!$D$5:$D$2220,$B110,'ноябрь 2024'!$J$5:$J$2220,M$1)</f>
        <v>0</v>
      </c>
      <c r="N110" s="80">
        <f>SUMIFS('ноябрь 2024'!$G$5:$G$2220,'ноябрь 2024'!$D$5:$D$2220,$B110,'ноябрь 2024'!$J$5:$J$2220,N$1)</f>
        <v>0</v>
      </c>
      <c r="O110" s="80">
        <f>SUMIFS('ноябрь 2024'!$G$5:$G$2220,'ноябрь 2024'!$D$5:$D$2220,$B110,'ноябрь 2024'!$J$5:$J$2220,O$1)</f>
        <v>0</v>
      </c>
      <c r="P110" s="80">
        <f>SUMIFS('ноябрь 2024'!$G$5:$G$2220,'ноябрь 2024'!$D$5:$D$2220,$B110,'ноябрь 2024'!$J$5:$J$2220,P$1)</f>
        <v>0</v>
      </c>
      <c r="Q110" s="80">
        <f>SUMIFS('ноябрь 2024'!$G$5:$G$2220,'ноябрь 2024'!$D$5:$D$2220,$B110,'ноябрь 2024'!$J$5:$J$2220,Q$1)</f>
        <v>0</v>
      </c>
      <c r="R110" s="80">
        <f>SUMIFS('ноябрь 2024'!$G$5:$G$2220,'ноябрь 2024'!$D$5:$D$2220,$B110,'ноябрь 2024'!$J$5:$J$2220,R$1)</f>
        <v>0</v>
      </c>
      <c r="S110" s="80">
        <f>SUMIFS('ноябрь 2024'!$G$5:$G$2220,'ноябрь 2024'!$D$5:$D$2220,$B110,'ноябрь 2024'!$J$5:$J$2220,S$1)</f>
        <v>0</v>
      </c>
      <c r="T110" s="80">
        <f>SUMIFS('ноябрь 2024'!$G$5:$G$2220,'ноябрь 2024'!$D$5:$D$2220,$B110,'ноябрь 2024'!$J$5:$J$2220,T$1)</f>
        <v>0</v>
      </c>
      <c r="U110" s="80">
        <f>SUMIFS('ноябрь 2024'!$G$5:$G$2220,'ноябрь 2024'!$D$5:$D$2220,$B110,'ноябрь 2024'!$J$5:$J$2220,U$1)</f>
        <v>0</v>
      </c>
      <c r="V110" s="80">
        <f>SUMIFS('ноябрь 2024'!$G$5:$G$2220,'ноябрь 2024'!$D$5:$D$2220,$B110,'ноябрь 2024'!$J$5:$J$2220,V$1)</f>
        <v>0</v>
      </c>
      <c r="W110" s="80">
        <f>SUMIFS('ноябрь 2024'!$G$5:$G$2220,'ноябрь 2024'!$D$5:$D$2220,$B110,'ноябрь 2024'!$J$5:$J$2220,W$1)</f>
        <v>0</v>
      </c>
      <c r="X110" s="80">
        <f>SUMIFS('ноябрь 2024'!$G$5:$G$2220,'ноябрь 2024'!$D$5:$D$2220,$B110,'ноябрь 2024'!$J$5:$J$2220,X$1)</f>
        <v>0</v>
      </c>
      <c r="Y110" s="80">
        <f>SUMIFS('ноябрь 2024'!$G$5:$G$2220,'ноябрь 2024'!$D$5:$D$2220,$B110,'ноябрь 2024'!$J$5:$J$2220,Y$1)</f>
        <v>0</v>
      </c>
      <c r="Z110" s="80">
        <f>SUMIFS('ноябрь 2024'!$G$5:$G$2220,'ноябрь 2024'!$D$5:$D$2220,$B110,'ноябрь 2024'!$J$5:$J$2220,Z$1)</f>
        <v>0</v>
      </c>
      <c r="AA110" s="80">
        <f>SUMIFS('ноябрь 2024'!$G$5:$G$2220,'ноябрь 2024'!$D$5:$D$2220,$B110,'ноябрь 2024'!$J$5:$J$2220,AA$1)</f>
        <v>0</v>
      </c>
      <c r="AB110" s="80">
        <f>SUMIFS('ноябрь 2024'!$G$5:$G$2220,'ноябрь 2024'!$D$5:$D$2220,$B110,'ноябрь 2024'!$J$5:$J$2220,AB$1)</f>
        <v>0</v>
      </c>
      <c r="AC110" s="80">
        <f>SUMIFS('ноябрь 2024'!$G$5:$G$2220,'ноябрь 2024'!$D$5:$D$2220,$B110,'ноябрь 2024'!$J$5:$J$2220,AC$1)</f>
        <v>0</v>
      </c>
      <c r="AD110" s="80">
        <f>SUMIFS('ноябрь 2024'!$G$5:$G$2220,'ноябрь 2024'!$D$5:$D$2220,$B110,'ноябрь 2024'!$J$5:$J$2220,AD$1)</f>
        <v>0</v>
      </c>
      <c r="AE110" s="80">
        <f>SUMIFS('ноябрь 2024'!$G$5:$G$2220,'ноябрь 2024'!$D$5:$D$2220,$B110,'ноябрь 2024'!$J$5:$J$2220,AE$1)</f>
        <v>0</v>
      </c>
      <c r="AF110" s="80">
        <f>SUMIFS('ноябрь 2024'!$G$5:$G$2220,'ноябрь 2024'!$D$5:$D$2220,$B110,'ноябрь 2024'!$J$5:$J$2220,AF$1)</f>
        <v>0</v>
      </c>
      <c r="AG110" s="80">
        <f>SUMIFS('ноябрь 2024'!$G$5:$G$2220,'ноябрь 2024'!$D$5:$D$2220,$B110,'ноябрь 2024'!$J$5:$J$2220,AG$1)</f>
        <v>0</v>
      </c>
      <c r="AH110" s="80">
        <f>SUMIFS('ноябрь 2024'!$G$5:$G$2220,'ноябрь 2024'!$D$5:$D$2220,$B110,'ноябрь 2024'!$J$5:$J$2220,AH$1)</f>
        <v>0</v>
      </c>
      <c r="AI110" s="21">
        <f t="shared" si="1"/>
        <v>0</v>
      </c>
    </row>
    <row r="111" spans="2:35" ht="15" customHeight="1" x14ac:dyDescent="0.25">
      <c r="B111" s="93" t="s">
        <v>1069</v>
      </c>
      <c r="C111" s="91">
        <v>175</v>
      </c>
      <c r="D111" s="80">
        <f>SUMIFS('ноябрь 2024'!$G$5:$G$2220,'ноябрь 2024'!$D$5:$D$2220,$B111,'ноябрь 2024'!$J$5:$J$2220,D$1)</f>
        <v>0</v>
      </c>
      <c r="E111" s="80">
        <f>SUMIFS('ноябрь 2024'!$G$5:$G$2220,'ноябрь 2024'!$D$5:$D$2220,$B111,'ноябрь 2024'!$J$5:$J$2220,E$1)</f>
        <v>0</v>
      </c>
      <c r="F111" s="80">
        <f>SUMIFS('ноябрь 2024'!$G$5:$G$2220,'ноябрь 2024'!$D$5:$D$2220,$B111,'ноябрь 2024'!$J$5:$J$2220,F$1)</f>
        <v>0</v>
      </c>
      <c r="G111" s="80">
        <f>SUMIFS('ноябрь 2024'!$G$5:$G$2220,'ноябрь 2024'!$D$5:$D$2220,$B111,'ноябрь 2024'!$J$5:$J$2220,G$1)</f>
        <v>0</v>
      </c>
      <c r="H111" s="80">
        <f>SUMIFS('ноябрь 2024'!$G$5:$G$2220,'ноябрь 2024'!$D$5:$D$2220,$B111,'ноябрь 2024'!$J$5:$J$2220,H$1)</f>
        <v>0</v>
      </c>
      <c r="I111" s="80">
        <f>SUMIFS('ноябрь 2024'!$G$5:$G$2220,'ноябрь 2024'!$D$5:$D$2220,$B111,'ноябрь 2024'!$J$5:$J$2220,I$1)</f>
        <v>0</v>
      </c>
      <c r="J111" s="80">
        <f>SUMIFS('ноябрь 2024'!$G$5:$G$2220,'ноябрь 2024'!$D$5:$D$2220,$B111,'ноябрь 2024'!$J$5:$J$2220,J$1)</f>
        <v>0</v>
      </c>
      <c r="K111" s="80">
        <f>SUMIFS('ноябрь 2024'!$G$5:$G$2220,'ноябрь 2024'!$D$5:$D$2220,$B111,'ноябрь 2024'!$J$5:$J$2220,K$1)</f>
        <v>0</v>
      </c>
      <c r="L111" s="80">
        <f>SUMIFS('ноябрь 2024'!$G$5:$G$2220,'ноябрь 2024'!$D$5:$D$2220,$B111,'ноябрь 2024'!$J$5:$J$2220,L$1)</f>
        <v>0</v>
      </c>
      <c r="M111" s="80">
        <f>SUMIFS('ноябрь 2024'!$G$5:$G$2220,'ноябрь 2024'!$D$5:$D$2220,$B111,'ноябрь 2024'!$J$5:$J$2220,M$1)</f>
        <v>0</v>
      </c>
      <c r="N111" s="80">
        <f>SUMIFS('ноябрь 2024'!$G$5:$G$2220,'ноябрь 2024'!$D$5:$D$2220,$B111,'ноябрь 2024'!$J$5:$J$2220,N$1)</f>
        <v>0</v>
      </c>
      <c r="O111" s="80">
        <f>SUMIFS('ноябрь 2024'!$G$5:$G$2220,'ноябрь 2024'!$D$5:$D$2220,$B111,'ноябрь 2024'!$J$5:$J$2220,O$1)</f>
        <v>0</v>
      </c>
      <c r="P111" s="80">
        <f>SUMIFS('ноябрь 2024'!$G$5:$G$2220,'ноябрь 2024'!$D$5:$D$2220,$B111,'ноябрь 2024'!$J$5:$J$2220,P$1)</f>
        <v>0</v>
      </c>
      <c r="Q111" s="80">
        <f>SUMIFS('ноябрь 2024'!$G$5:$G$2220,'ноябрь 2024'!$D$5:$D$2220,$B111,'ноябрь 2024'!$J$5:$J$2220,Q$1)</f>
        <v>0</v>
      </c>
      <c r="R111" s="80">
        <f>SUMIFS('ноябрь 2024'!$G$5:$G$2220,'ноябрь 2024'!$D$5:$D$2220,$B111,'ноябрь 2024'!$J$5:$J$2220,R$1)</f>
        <v>0</v>
      </c>
      <c r="S111" s="80">
        <f>SUMIFS('ноябрь 2024'!$G$5:$G$2220,'ноябрь 2024'!$D$5:$D$2220,$B111,'ноябрь 2024'!$J$5:$J$2220,S$1)</f>
        <v>0</v>
      </c>
      <c r="T111" s="80">
        <f>SUMIFS('ноябрь 2024'!$G$5:$G$2220,'ноябрь 2024'!$D$5:$D$2220,$B111,'ноябрь 2024'!$J$5:$J$2220,T$1)</f>
        <v>0</v>
      </c>
      <c r="U111" s="80">
        <f>SUMIFS('ноябрь 2024'!$G$5:$G$2220,'ноябрь 2024'!$D$5:$D$2220,$B111,'ноябрь 2024'!$J$5:$J$2220,U$1)</f>
        <v>0</v>
      </c>
      <c r="V111" s="80">
        <f>SUMIFS('ноябрь 2024'!$G$5:$G$2220,'ноябрь 2024'!$D$5:$D$2220,$B111,'ноябрь 2024'!$J$5:$J$2220,V$1)</f>
        <v>0</v>
      </c>
      <c r="W111" s="80">
        <f>SUMIFS('ноябрь 2024'!$G$5:$G$2220,'ноябрь 2024'!$D$5:$D$2220,$B111,'ноябрь 2024'!$J$5:$J$2220,W$1)</f>
        <v>0</v>
      </c>
      <c r="X111" s="80">
        <f>SUMIFS('ноябрь 2024'!$G$5:$G$2220,'ноябрь 2024'!$D$5:$D$2220,$B111,'ноябрь 2024'!$J$5:$J$2220,X$1)</f>
        <v>0</v>
      </c>
      <c r="Y111" s="80">
        <f>SUMIFS('ноябрь 2024'!$G$5:$G$2220,'ноябрь 2024'!$D$5:$D$2220,$B111,'ноябрь 2024'!$J$5:$J$2220,Y$1)</f>
        <v>0</v>
      </c>
      <c r="Z111" s="80">
        <f>SUMIFS('ноябрь 2024'!$G$5:$G$2220,'ноябрь 2024'!$D$5:$D$2220,$B111,'ноябрь 2024'!$J$5:$J$2220,Z$1)</f>
        <v>0</v>
      </c>
      <c r="AA111" s="80">
        <f>SUMIFS('ноябрь 2024'!$G$5:$G$2220,'ноябрь 2024'!$D$5:$D$2220,$B111,'ноябрь 2024'!$J$5:$J$2220,AA$1)</f>
        <v>0</v>
      </c>
      <c r="AB111" s="80">
        <f>SUMIFS('ноябрь 2024'!$G$5:$G$2220,'ноябрь 2024'!$D$5:$D$2220,$B111,'ноябрь 2024'!$J$5:$J$2220,AB$1)</f>
        <v>0</v>
      </c>
      <c r="AC111" s="80">
        <f>SUMIFS('ноябрь 2024'!$G$5:$G$2220,'ноябрь 2024'!$D$5:$D$2220,$B111,'ноябрь 2024'!$J$5:$J$2220,AC$1)</f>
        <v>0</v>
      </c>
      <c r="AD111" s="80">
        <f>SUMIFS('ноябрь 2024'!$G$5:$G$2220,'ноябрь 2024'!$D$5:$D$2220,$B111,'ноябрь 2024'!$J$5:$J$2220,AD$1)</f>
        <v>0</v>
      </c>
      <c r="AE111" s="80">
        <f>SUMIFS('ноябрь 2024'!$G$5:$G$2220,'ноябрь 2024'!$D$5:$D$2220,$B111,'ноябрь 2024'!$J$5:$J$2220,AE$1)</f>
        <v>0</v>
      </c>
      <c r="AF111" s="80">
        <f>SUMIFS('ноябрь 2024'!$G$5:$G$2220,'ноябрь 2024'!$D$5:$D$2220,$B111,'ноябрь 2024'!$J$5:$J$2220,AF$1)</f>
        <v>0</v>
      </c>
      <c r="AG111" s="80">
        <f>SUMIFS('ноябрь 2024'!$G$5:$G$2220,'ноябрь 2024'!$D$5:$D$2220,$B111,'ноябрь 2024'!$J$5:$J$2220,AG$1)</f>
        <v>0</v>
      </c>
      <c r="AH111" s="80">
        <f>SUMIFS('ноябрь 2024'!$G$5:$G$2220,'ноябрь 2024'!$D$5:$D$2220,$B111,'ноябрь 2024'!$J$5:$J$2220,AH$1)</f>
        <v>0</v>
      </c>
      <c r="AI111" s="21">
        <f t="shared" si="1"/>
        <v>0</v>
      </c>
    </row>
    <row r="112" spans="2:35" ht="15" customHeight="1" x14ac:dyDescent="0.25">
      <c r="B112" s="93" t="s">
        <v>1226</v>
      </c>
      <c r="C112" s="91">
        <v>200</v>
      </c>
      <c r="D112" s="80">
        <f>SUMIFS('ноябрь 2024'!$G$5:$G$2220,'ноябрь 2024'!$D$5:$D$2220,$B112,'ноябрь 2024'!$J$5:$J$2220,D$1)</f>
        <v>0</v>
      </c>
      <c r="E112" s="80">
        <f>SUMIFS('ноябрь 2024'!$G$5:$G$2220,'ноябрь 2024'!$D$5:$D$2220,$B112,'ноябрь 2024'!$J$5:$J$2220,E$1)</f>
        <v>0</v>
      </c>
      <c r="F112" s="80">
        <f>SUMIFS('ноябрь 2024'!$G$5:$G$2220,'ноябрь 2024'!$D$5:$D$2220,$B112,'ноябрь 2024'!$J$5:$J$2220,F$1)</f>
        <v>0</v>
      </c>
      <c r="G112" s="80">
        <f>SUMIFS('ноябрь 2024'!$G$5:$G$2220,'ноябрь 2024'!$D$5:$D$2220,$B112,'ноябрь 2024'!$J$5:$J$2220,G$1)</f>
        <v>0</v>
      </c>
      <c r="H112" s="80">
        <f>SUMIFS('ноябрь 2024'!$G$5:$G$2220,'ноябрь 2024'!$D$5:$D$2220,$B112,'ноябрь 2024'!$J$5:$J$2220,H$1)</f>
        <v>0</v>
      </c>
      <c r="I112" s="80">
        <f>SUMIFS('ноябрь 2024'!$G$5:$G$2220,'ноябрь 2024'!$D$5:$D$2220,$B112,'ноябрь 2024'!$J$5:$J$2220,I$1)</f>
        <v>0</v>
      </c>
      <c r="J112" s="80">
        <f>SUMIFS('ноябрь 2024'!$G$5:$G$2220,'ноябрь 2024'!$D$5:$D$2220,$B112,'ноябрь 2024'!$J$5:$J$2220,J$1)</f>
        <v>0</v>
      </c>
      <c r="K112" s="80">
        <f>SUMIFS('ноябрь 2024'!$G$5:$G$2220,'ноябрь 2024'!$D$5:$D$2220,$B112,'ноябрь 2024'!$J$5:$J$2220,K$1)</f>
        <v>0</v>
      </c>
      <c r="L112" s="80">
        <f>SUMIFS('ноябрь 2024'!$G$5:$G$2220,'ноябрь 2024'!$D$5:$D$2220,$B112,'ноябрь 2024'!$J$5:$J$2220,L$1)</f>
        <v>0</v>
      </c>
      <c r="M112" s="80">
        <f>SUMIFS('ноябрь 2024'!$G$5:$G$2220,'ноябрь 2024'!$D$5:$D$2220,$B112,'ноябрь 2024'!$J$5:$J$2220,M$1)</f>
        <v>0</v>
      </c>
      <c r="N112" s="80">
        <f>SUMIFS('ноябрь 2024'!$G$5:$G$2220,'ноябрь 2024'!$D$5:$D$2220,$B112,'ноябрь 2024'!$J$5:$J$2220,N$1)</f>
        <v>0</v>
      </c>
      <c r="O112" s="80">
        <f>SUMIFS('ноябрь 2024'!$G$5:$G$2220,'ноябрь 2024'!$D$5:$D$2220,$B112,'ноябрь 2024'!$J$5:$J$2220,O$1)</f>
        <v>0</v>
      </c>
      <c r="P112" s="80">
        <f>SUMIFS('ноябрь 2024'!$G$5:$G$2220,'ноябрь 2024'!$D$5:$D$2220,$B112,'ноябрь 2024'!$J$5:$J$2220,P$1)</f>
        <v>0</v>
      </c>
      <c r="Q112" s="80">
        <f>SUMIFS('ноябрь 2024'!$G$5:$G$2220,'ноябрь 2024'!$D$5:$D$2220,$B112,'ноябрь 2024'!$J$5:$J$2220,Q$1)</f>
        <v>0</v>
      </c>
      <c r="R112" s="80">
        <f>SUMIFS('ноябрь 2024'!$G$5:$G$2220,'ноябрь 2024'!$D$5:$D$2220,$B112,'ноябрь 2024'!$J$5:$J$2220,R$1)</f>
        <v>0</v>
      </c>
      <c r="S112" s="80">
        <f>SUMIFS('ноябрь 2024'!$G$5:$G$2220,'ноябрь 2024'!$D$5:$D$2220,$B112,'ноябрь 2024'!$J$5:$J$2220,S$1)</f>
        <v>0</v>
      </c>
      <c r="T112" s="80">
        <f>SUMIFS('ноябрь 2024'!$G$5:$G$2220,'ноябрь 2024'!$D$5:$D$2220,$B112,'ноябрь 2024'!$J$5:$J$2220,T$1)</f>
        <v>0</v>
      </c>
      <c r="U112" s="80">
        <f>SUMIFS('ноябрь 2024'!$G$5:$G$2220,'ноябрь 2024'!$D$5:$D$2220,$B112,'ноябрь 2024'!$J$5:$J$2220,U$1)</f>
        <v>0</v>
      </c>
      <c r="V112" s="80">
        <f>SUMIFS('ноябрь 2024'!$G$5:$G$2220,'ноябрь 2024'!$D$5:$D$2220,$B112,'ноябрь 2024'!$J$5:$J$2220,V$1)</f>
        <v>0</v>
      </c>
      <c r="W112" s="80">
        <f>SUMIFS('ноябрь 2024'!$G$5:$G$2220,'ноябрь 2024'!$D$5:$D$2220,$B112,'ноябрь 2024'!$J$5:$J$2220,W$1)</f>
        <v>0</v>
      </c>
      <c r="X112" s="80">
        <f>SUMIFS('ноябрь 2024'!$G$5:$G$2220,'ноябрь 2024'!$D$5:$D$2220,$B112,'ноябрь 2024'!$J$5:$J$2220,X$1)</f>
        <v>0</v>
      </c>
      <c r="Y112" s="80">
        <f>SUMIFS('ноябрь 2024'!$G$5:$G$2220,'ноябрь 2024'!$D$5:$D$2220,$B112,'ноябрь 2024'!$J$5:$J$2220,Y$1)</f>
        <v>0</v>
      </c>
      <c r="Z112" s="80">
        <f>SUMIFS('ноябрь 2024'!$G$5:$G$2220,'ноябрь 2024'!$D$5:$D$2220,$B112,'ноябрь 2024'!$J$5:$J$2220,Z$1)</f>
        <v>0</v>
      </c>
      <c r="AA112" s="80">
        <f>SUMIFS('ноябрь 2024'!$G$5:$G$2220,'ноябрь 2024'!$D$5:$D$2220,$B112,'ноябрь 2024'!$J$5:$J$2220,AA$1)</f>
        <v>0</v>
      </c>
      <c r="AB112" s="80">
        <f>SUMIFS('ноябрь 2024'!$G$5:$G$2220,'ноябрь 2024'!$D$5:$D$2220,$B112,'ноябрь 2024'!$J$5:$J$2220,AB$1)</f>
        <v>0</v>
      </c>
      <c r="AC112" s="80">
        <f>SUMIFS('ноябрь 2024'!$G$5:$G$2220,'ноябрь 2024'!$D$5:$D$2220,$B112,'ноябрь 2024'!$J$5:$J$2220,AC$1)</f>
        <v>0</v>
      </c>
      <c r="AD112" s="80">
        <f>SUMIFS('ноябрь 2024'!$G$5:$G$2220,'ноябрь 2024'!$D$5:$D$2220,$B112,'ноябрь 2024'!$J$5:$J$2220,AD$1)</f>
        <v>0</v>
      </c>
      <c r="AE112" s="80">
        <f>SUMIFS('ноябрь 2024'!$G$5:$G$2220,'ноябрь 2024'!$D$5:$D$2220,$B112,'ноябрь 2024'!$J$5:$J$2220,AE$1)</f>
        <v>0</v>
      </c>
      <c r="AF112" s="80">
        <f>SUMIFS('ноябрь 2024'!$G$5:$G$2220,'ноябрь 2024'!$D$5:$D$2220,$B112,'ноябрь 2024'!$J$5:$J$2220,AF$1)</f>
        <v>0</v>
      </c>
      <c r="AG112" s="80">
        <f>SUMIFS('ноябрь 2024'!$G$5:$G$2220,'ноябрь 2024'!$D$5:$D$2220,$B112,'ноябрь 2024'!$J$5:$J$2220,AG$1)</f>
        <v>0</v>
      </c>
      <c r="AH112" s="80">
        <f>SUMIFS('ноябрь 2024'!$G$5:$G$2220,'ноябрь 2024'!$D$5:$D$2220,$B112,'ноябрь 2024'!$J$5:$J$2220,AH$1)</f>
        <v>0</v>
      </c>
      <c r="AI112" s="21">
        <f t="shared" si="1"/>
        <v>0</v>
      </c>
    </row>
    <row r="113" spans="2:35" ht="15" customHeight="1" x14ac:dyDescent="0.25">
      <c r="B113" s="93" t="s">
        <v>329</v>
      </c>
      <c r="C113" s="91">
        <v>180</v>
      </c>
      <c r="D113" s="80">
        <f>SUMIFS('ноябрь 2024'!$G$5:$G$2220,'ноябрь 2024'!$D$5:$D$2220,$B113,'ноябрь 2024'!$J$5:$J$2220,D$1)</f>
        <v>0</v>
      </c>
      <c r="E113" s="80">
        <f>SUMIFS('ноябрь 2024'!$G$5:$G$2220,'ноябрь 2024'!$D$5:$D$2220,$B113,'ноябрь 2024'!$J$5:$J$2220,E$1)</f>
        <v>0</v>
      </c>
      <c r="F113" s="80">
        <f>SUMIFS('ноябрь 2024'!$G$5:$G$2220,'ноябрь 2024'!$D$5:$D$2220,$B113,'ноябрь 2024'!$J$5:$J$2220,F$1)</f>
        <v>0</v>
      </c>
      <c r="G113" s="80">
        <f>SUMIFS('ноябрь 2024'!$G$5:$G$2220,'ноябрь 2024'!$D$5:$D$2220,$B113,'ноябрь 2024'!$J$5:$J$2220,G$1)</f>
        <v>0</v>
      </c>
      <c r="H113" s="80">
        <f>SUMIFS('ноябрь 2024'!$G$5:$G$2220,'ноябрь 2024'!$D$5:$D$2220,$B113,'ноябрь 2024'!$J$5:$J$2220,H$1)</f>
        <v>0</v>
      </c>
      <c r="I113" s="80">
        <f>SUMIFS('ноябрь 2024'!$G$5:$G$2220,'ноябрь 2024'!$D$5:$D$2220,$B113,'ноябрь 2024'!$J$5:$J$2220,I$1)</f>
        <v>0</v>
      </c>
      <c r="J113" s="80">
        <f>SUMIFS('ноябрь 2024'!$G$5:$G$2220,'ноябрь 2024'!$D$5:$D$2220,$B113,'ноябрь 2024'!$J$5:$J$2220,J$1)</f>
        <v>0</v>
      </c>
      <c r="K113" s="80">
        <f>SUMIFS('ноябрь 2024'!$G$5:$G$2220,'ноябрь 2024'!$D$5:$D$2220,$B113,'ноябрь 2024'!$J$5:$J$2220,K$1)</f>
        <v>0</v>
      </c>
      <c r="L113" s="80">
        <f>SUMIFS('ноябрь 2024'!$G$5:$G$2220,'ноябрь 2024'!$D$5:$D$2220,$B113,'ноябрь 2024'!$J$5:$J$2220,L$1)</f>
        <v>0</v>
      </c>
      <c r="M113" s="80">
        <f>SUMIFS('ноябрь 2024'!$G$5:$G$2220,'ноябрь 2024'!$D$5:$D$2220,$B113,'ноябрь 2024'!$J$5:$J$2220,M$1)</f>
        <v>0</v>
      </c>
      <c r="N113" s="80">
        <f>SUMIFS('ноябрь 2024'!$G$5:$G$2220,'ноябрь 2024'!$D$5:$D$2220,$B113,'ноябрь 2024'!$J$5:$J$2220,N$1)</f>
        <v>0</v>
      </c>
      <c r="O113" s="80">
        <f>SUMIFS('ноябрь 2024'!$G$5:$G$2220,'ноябрь 2024'!$D$5:$D$2220,$B113,'ноябрь 2024'!$J$5:$J$2220,O$1)</f>
        <v>0</v>
      </c>
      <c r="P113" s="80">
        <f>SUMIFS('ноябрь 2024'!$G$5:$G$2220,'ноябрь 2024'!$D$5:$D$2220,$B113,'ноябрь 2024'!$J$5:$J$2220,P$1)</f>
        <v>0</v>
      </c>
      <c r="Q113" s="80">
        <f>SUMIFS('ноябрь 2024'!$G$5:$G$2220,'ноябрь 2024'!$D$5:$D$2220,$B113,'ноябрь 2024'!$J$5:$J$2220,Q$1)</f>
        <v>0</v>
      </c>
      <c r="R113" s="80">
        <f>SUMIFS('ноябрь 2024'!$G$5:$G$2220,'ноябрь 2024'!$D$5:$D$2220,$B113,'ноябрь 2024'!$J$5:$J$2220,R$1)</f>
        <v>0</v>
      </c>
      <c r="S113" s="80">
        <f>SUMIFS('ноябрь 2024'!$G$5:$G$2220,'ноябрь 2024'!$D$5:$D$2220,$B113,'ноябрь 2024'!$J$5:$J$2220,S$1)</f>
        <v>0</v>
      </c>
      <c r="T113" s="80">
        <f>SUMIFS('ноябрь 2024'!$G$5:$G$2220,'ноябрь 2024'!$D$5:$D$2220,$B113,'ноябрь 2024'!$J$5:$J$2220,T$1)</f>
        <v>0</v>
      </c>
      <c r="U113" s="80">
        <f>SUMIFS('ноябрь 2024'!$G$5:$G$2220,'ноябрь 2024'!$D$5:$D$2220,$B113,'ноябрь 2024'!$J$5:$J$2220,U$1)</f>
        <v>0</v>
      </c>
      <c r="V113" s="80">
        <f>SUMIFS('ноябрь 2024'!$G$5:$G$2220,'ноябрь 2024'!$D$5:$D$2220,$B113,'ноябрь 2024'!$J$5:$J$2220,V$1)</f>
        <v>0</v>
      </c>
      <c r="W113" s="80">
        <f>SUMIFS('ноябрь 2024'!$G$5:$G$2220,'ноябрь 2024'!$D$5:$D$2220,$B113,'ноябрь 2024'!$J$5:$J$2220,W$1)</f>
        <v>0</v>
      </c>
      <c r="X113" s="80">
        <f>SUMIFS('ноябрь 2024'!$G$5:$G$2220,'ноябрь 2024'!$D$5:$D$2220,$B113,'ноябрь 2024'!$J$5:$J$2220,X$1)</f>
        <v>0</v>
      </c>
      <c r="Y113" s="80">
        <f>SUMIFS('ноябрь 2024'!$G$5:$G$2220,'ноябрь 2024'!$D$5:$D$2220,$B113,'ноябрь 2024'!$J$5:$J$2220,Y$1)</f>
        <v>0</v>
      </c>
      <c r="Z113" s="80">
        <f>SUMIFS('ноябрь 2024'!$G$5:$G$2220,'ноябрь 2024'!$D$5:$D$2220,$B113,'ноябрь 2024'!$J$5:$J$2220,Z$1)</f>
        <v>0</v>
      </c>
      <c r="AA113" s="80">
        <f>SUMIFS('ноябрь 2024'!$G$5:$G$2220,'ноябрь 2024'!$D$5:$D$2220,$B113,'ноябрь 2024'!$J$5:$J$2220,AA$1)</f>
        <v>0</v>
      </c>
      <c r="AB113" s="80">
        <f>SUMIFS('ноябрь 2024'!$G$5:$G$2220,'ноябрь 2024'!$D$5:$D$2220,$B113,'ноябрь 2024'!$J$5:$J$2220,AB$1)</f>
        <v>0</v>
      </c>
      <c r="AC113" s="80">
        <f>SUMIFS('ноябрь 2024'!$G$5:$G$2220,'ноябрь 2024'!$D$5:$D$2220,$B113,'ноябрь 2024'!$J$5:$J$2220,AC$1)</f>
        <v>0</v>
      </c>
      <c r="AD113" s="80">
        <f>SUMIFS('ноябрь 2024'!$G$5:$G$2220,'ноябрь 2024'!$D$5:$D$2220,$B113,'ноябрь 2024'!$J$5:$J$2220,AD$1)</f>
        <v>0</v>
      </c>
      <c r="AE113" s="80">
        <f>SUMIFS('ноябрь 2024'!$G$5:$G$2220,'ноябрь 2024'!$D$5:$D$2220,$B113,'ноябрь 2024'!$J$5:$J$2220,AE$1)</f>
        <v>0</v>
      </c>
      <c r="AF113" s="80">
        <f>SUMIFS('ноябрь 2024'!$G$5:$G$2220,'ноябрь 2024'!$D$5:$D$2220,$B113,'ноябрь 2024'!$J$5:$J$2220,AF$1)</f>
        <v>0</v>
      </c>
      <c r="AG113" s="80">
        <f>SUMIFS('ноябрь 2024'!$G$5:$G$2220,'ноябрь 2024'!$D$5:$D$2220,$B113,'ноябрь 2024'!$J$5:$J$2220,AG$1)</f>
        <v>0</v>
      </c>
      <c r="AH113" s="80">
        <f>SUMIFS('ноябрь 2024'!$G$5:$G$2220,'ноябрь 2024'!$D$5:$D$2220,$B113,'ноябрь 2024'!$J$5:$J$2220,AH$1)</f>
        <v>0</v>
      </c>
      <c r="AI113" s="21">
        <f t="shared" si="1"/>
        <v>0</v>
      </c>
    </row>
    <row r="114" spans="2:35" ht="15" customHeight="1" x14ac:dyDescent="0.25">
      <c r="B114" s="93" t="s">
        <v>1778</v>
      </c>
      <c r="C114" s="91">
        <v>200</v>
      </c>
      <c r="D114" s="80">
        <f>SUMIFS('ноябрь 2024'!$G$5:$G$2220,'ноябрь 2024'!$D$5:$D$2220,$B114,'ноябрь 2024'!$J$5:$J$2220,D$1)</f>
        <v>0</v>
      </c>
      <c r="E114" s="80">
        <f>SUMIFS('ноябрь 2024'!$G$5:$G$2220,'ноябрь 2024'!$D$5:$D$2220,$B114,'ноябрь 2024'!$J$5:$J$2220,E$1)</f>
        <v>0</v>
      </c>
      <c r="F114" s="80">
        <f>SUMIFS('ноябрь 2024'!$G$5:$G$2220,'ноябрь 2024'!$D$5:$D$2220,$B114,'ноябрь 2024'!$J$5:$J$2220,F$1)</f>
        <v>0</v>
      </c>
      <c r="G114" s="80">
        <f>SUMIFS('ноябрь 2024'!$G$5:$G$2220,'ноябрь 2024'!$D$5:$D$2220,$B114,'ноябрь 2024'!$J$5:$J$2220,G$1)</f>
        <v>0</v>
      </c>
      <c r="H114" s="80">
        <f>SUMIFS('ноябрь 2024'!$G$5:$G$2220,'ноябрь 2024'!$D$5:$D$2220,$B114,'ноябрь 2024'!$J$5:$J$2220,H$1)</f>
        <v>0</v>
      </c>
      <c r="I114" s="80">
        <f>SUMIFS('ноябрь 2024'!$G$5:$G$2220,'ноябрь 2024'!$D$5:$D$2220,$B114,'ноябрь 2024'!$J$5:$J$2220,I$1)</f>
        <v>0</v>
      </c>
      <c r="J114" s="80">
        <f>SUMIFS('ноябрь 2024'!$G$5:$G$2220,'ноябрь 2024'!$D$5:$D$2220,$B114,'ноябрь 2024'!$J$5:$J$2220,J$1)</f>
        <v>0</v>
      </c>
      <c r="K114" s="80">
        <f>SUMIFS('ноябрь 2024'!$G$5:$G$2220,'ноябрь 2024'!$D$5:$D$2220,$B114,'ноябрь 2024'!$J$5:$J$2220,K$1)</f>
        <v>0</v>
      </c>
      <c r="L114" s="80">
        <f>SUMIFS('ноябрь 2024'!$G$5:$G$2220,'ноябрь 2024'!$D$5:$D$2220,$B114,'ноябрь 2024'!$J$5:$J$2220,L$1)</f>
        <v>0</v>
      </c>
      <c r="M114" s="80">
        <f>SUMIFS('ноябрь 2024'!$G$5:$G$2220,'ноябрь 2024'!$D$5:$D$2220,$B114,'ноябрь 2024'!$J$5:$J$2220,M$1)</f>
        <v>0</v>
      </c>
      <c r="N114" s="80">
        <f>SUMIFS('ноябрь 2024'!$G$5:$G$2220,'ноябрь 2024'!$D$5:$D$2220,$B114,'ноябрь 2024'!$J$5:$J$2220,N$1)</f>
        <v>0</v>
      </c>
      <c r="O114" s="80">
        <f>SUMIFS('ноябрь 2024'!$G$5:$G$2220,'ноябрь 2024'!$D$5:$D$2220,$B114,'ноябрь 2024'!$J$5:$J$2220,O$1)</f>
        <v>0</v>
      </c>
      <c r="P114" s="80">
        <f>SUMIFS('ноябрь 2024'!$G$5:$G$2220,'ноябрь 2024'!$D$5:$D$2220,$B114,'ноябрь 2024'!$J$5:$J$2220,P$1)</f>
        <v>0</v>
      </c>
      <c r="Q114" s="80">
        <f>SUMIFS('ноябрь 2024'!$G$5:$G$2220,'ноябрь 2024'!$D$5:$D$2220,$B114,'ноябрь 2024'!$J$5:$J$2220,Q$1)</f>
        <v>0</v>
      </c>
      <c r="R114" s="80">
        <f>SUMIFS('ноябрь 2024'!$G$5:$G$2220,'ноябрь 2024'!$D$5:$D$2220,$B114,'ноябрь 2024'!$J$5:$J$2220,R$1)</f>
        <v>0</v>
      </c>
      <c r="S114" s="80">
        <f>SUMIFS('ноябрь 2024'!$G$5:$G$2220,'ноябрь 2024'!$D$5:$D$2220,$B114,'ноябрь 2024'!$J$5:$J$2220,S$1)</f>
        <v>0</v>
      </c>
      <c r="T114" s="80">
        <f>SUMIFS('ноябрь 2024'!$G$5:$G$2220,'ноябрь 2024'!$D$5:$D$2220,$B114,'ноябрь 2024'!$J$5:$J$2220,T$1)</f>
        <v>0</v>
      </c>
      <c r="U114" s="80">
        <f>SUMIFS('ноябрь 2024'!$G$5:$G$2220,'ноябрь 2024'!$D$5:$D$2220,$B114,'ноябрь 2024'!$J$5:$J$2220,U$1)</f>
        <v>0</v>
      </c>
      <c r="V114" s="80">
        <f>SUMIFS('ноябрь 2024'!$G$5:$G$2220,'ноябрь 2024'!$D$5:$D$2220,$B114,'ноябрь 2024'!$J$5:$J$2220,V$1)</f>
        <v>0</v>
      </c>
      <c r="W114" s="80">
        <f>SUMIFS('ноябрь 2024'!$G$5:$G$2220,'ноябрь 2024'!$D$5:$D$2220,$B114,'ноябрь 2024'!$J$5:$J$2220,W$1)</f>
        <v>0</v>
      </c>
      <c r="X114" s="80">
        <f>SUMIFS('ноябрь 2024'!$G$5:$G$2220,'ноябрь 2024'!$D$5:$D$2220,$B114,'ноябрь 2024'!$J$5:$J$2220,X$1)</f>
        <v>0</v>
      </c>
      <c r="Y114" s="80">
        <f>SUMIFS('ноябрь 2024'!$G$5:$G$2220,'ноябрь 2024'!$D$5:$D$2220,$B114,'ноябрь 2024'!$J$5:$J$2220,Y$1)</f>
        <v>0</v>
      </c>
      <c r="Z114" s="80">
        <f>SUMIFS('ноябрь 2024'!$G$5:$G$2220,'ноябрь 2024'!$D$5:$D$2220,$B114,'ноябрь 2024'!$J$5:$J$2220,Z$1)</f>
        <v>0</v>
      </c>
      <c r="AA114" s="80">
        <f>SUMIFS('ноябрь 2024'!$G$5:$G$2220,'ноябрь 2024'!$D$5:$D$2220,$B114,'ноябрь 2024'!$J$5:$J$2220,AA$1)</f>
        <v>0</v>
      </c>
      <c r="AB114" s="80">
        <f>SUMIFS('ноябрь 2024'!$G$5:$G$2220,'ноябрь 2024'!$D$5:$D$2220,$B114,'ноябрь 2024'!$J$5:$J$2220,AB$1)</f>
        <v>0</v>
      </c>
      <c r="AC114" s="80">
        <f>SUMIFS('ноябрь 2024'!$G$5:$G$2220,'ноябрь 2024'!$D$5:$D$2220,$B114,'ноябрь 2024'!$J$5:$J$2220,AC$1)</f>
        <v>0</v>
      </c>
      <c r="AD114" s="80">
        <f>SUMIFS('ноябрь 2024'!$G$5:$G$2220,'ноябрь 2024'!$D$5:$D$2220,$B114,'ноябрь 2024'!$J$5:$J$2220,AD$1)</f>
        <v>0</v>
      </c>
      <c r="AE114" s="80">
        <f>SUMIFS('ноябрь 2024'!$G$5:$G$2220,'ноябрь 2024'!$D$5:$D$2220,$B114,'ноябрь 2024'!$J$5:$J$2220,AE$1)</f>
        <v>0</v>
      </c>
      <c r="AF114" s="80">
        <f>SUMIFS('ноябрь 2024'!$G$5:$G$2220,'ноябрь 2024'!$D$5:$D$2220,$B114,'ноябрь 2024'!$J$5:$J$2220,AF$1)</f>
        <v>0</v>
      </c>
      <c r="AG114" s="80">
        <f>SUMIFS('ноябрь 2024'!$G$5:$G$2220,'ноябрь 2024'!$D$5:$D$2220,$B114,'ноябрь 2024'!$J$5:$J$2220,AG$1)</f>
        <v>0</v>
      </c>
      <c r="AH114" s="80">
        <f>SUMIFS('ноябрь 2024'!$G$5:$G$2220,'ноябрь 2024'!$D$5:$D$2220,$B114,'ноябрь 2024'!$J$5:$J$2220,AH$1)</f>
        <v>0</v>
      </c>
      <c r="AI114" s="21">
        <f t="shared" si="1"/>
        <v>0</v>
      </c>
    </row>
    <row r="115" spans="2:35" ht="15" customHeight="1" x14ac:dyDescent="0.25">
      <c r="B115" s="93" t="s">
        <v>344</v>
      </c>
      <c r="C115" s="91">
        <v>185</v>
      </c>
      <c r="D115" s="80">
        <f>SUMIFS('ноябрь 2024'!$G$5:$G$2220,'ноябрь 2024'!$D$5:$D$2220,$B115,'ноябрь 2024'!$J$5:$J$2220,D$1)</f>
        <v>0</v>
      </c>
      <c r="E115" s="80">
        <f>SUMIFS('ноябрь 2024'!$G$5:$G$2220,'ноябрь 2024'!$D$5:$D$2220,$B115,'ноябрь 2024'!$J$5:$J$2220,E$1)</f>
        <v>0</v>
      </c>
      <c r="F115" s="80">
        <f>SUMIFS('ноябрь 2024'!$G$5:$G$2220,'ноябрь 2024'!$D$5:$D$2220,$B115,'ноябрь 2024'!$J$5:$J$2220,F$1)</f>
        <v>0</v>
      </c>
      <c r="G115" s="80">
        <f>SUMIFS('ноябрь 2024'!$G$5:$G$2220,'ноябрь 2024'!$D$5:$D$2220,$B115,'ноябрь 2024'!$J$5:$J$2220,G$1)</f>
        <v>0</v>
      </c>
      <c r="H115" s="80">
        <f>SUMIFS('ноябрь 2024'!$G$5:$G$2220,'ноябрь 2024'!$D$5:$D$2220,$B115,'ноябрь 2024'!$J$5:$J$2220,H$1)</f>
        <v>0</v>
      </c>
      <c r="I115" s="80">
        <f>SUMIFS('ноябрь 2024'!$G$5:$G$2220,'ноябрь 2024'!$D$5:$D$2220,$B115,'ноябрь 2024'!$J$5:$J$2220,I$1)</f>
        <v>0</v>
      </c>
      <c r="J115" s="80">
        <f>SUMIFS('ноябрь 2024'!$G$5:$G$2220,'ноябрь 2024'!$D$5:$D$2220,$B115,'ноябрь 2024'!$J$5:$J$2220,J$1)</f>
        <v>0</v>
      </c>
      <c r="K115" s="80">
        <f>SUMIFS('ноябрь 2024'!$G$5:$G$2220,'ноябрь 2024'!$D$5:$D$2220,$B115,'ноябрь 2024'!$J$5:$J$2220,K$1)</f>
        <v>0</v>
      </c>
      <c r="L115" s="80">
        <f>SUMIFS('ноябрь 2024'!$G$5:$G$2220,'ноябрь 2024'!$D$5:$D$2220,$B115,'ноябрь 2024'!$J$5:$J$2220,L$1)</f>
        <v>0</v>
      </c>
      <c r="M115" s="80">
        <f>SUMIFS('ноябрь 2024'!$G$5:$G$2220,'ноябрь 2024'!$D$5:$D$2220,$B115,'ноябрь 2024'!$J$5:$J$2220,M$1)</f>
        <v>0</v>
      </c>
      <c r="N115" s="80">
        <f>SUMIFS('ноябрь 2024'!$G$5:$G$2220,'ноябрь 2024'!$D$5:$D$2220,$B115,'ноябрь 2024'!$J$5:$J$2220,N$1)</f>
        <v>0</v>
      </c>
      <c r="O115" s="80">
        <f>SUMIFS('ноябрь 2024'!$G$5:$G$2220,'ноябрь 2024'!$D$5:$D$2220,$B115,'ноябрь 2024'!$J$5:$J$2220,O$1)</f>
        <v>0</v>
      </c>
      <c r="P115" s="80">
        <f>SUMIFS('ноябрь 2024'!$G$5:$G$2220,'ноябрь 2024'!$D$5:$D$2220,$B115,'ноябрь 2024'!$J$5:$J$2220,P$1)</f>
        <v>0</v>
      </c>
      <c r="Q115" s="80">
        <f>SUMIFS('ноябрь 2024'!$G$5:$G$2220,'ноябрь 2024'!$D$5:$D$2220,$B115,'ноябрь 2024'!$J$5:$J$2220,Q$1)</f>
        <v>0</v>
      </c>
      <c r="R115" s="80">
        <f>SUMIFS('ноябрь 2024'!$G$5:$G$2220,'ноябрь 2024'!$D$5:$D$2220,$B115,'ноябрь 2024'!$J$5:$J$2220,R$1)</f>
        <v>0</v>
      </c>
      <c r="S115" s="80">
        <f>SUMIFS('ноябрь 2024'!$G$5:$G$2220,'ноябрь 2024'!$D$5:$D$2220,$B115,'ноябрь 2024'!$J$5:$J$2220,S$1)</f>
        <v>0</v>
      </c>
      <c r="T115" s="80">
        <f>SUMIFS('ноябрь 2024'!$G$5:$G$2220,'ноябрь 2024'!$D$5:$D$2220,$B115,'ноябрь 2024'!$J$5:$J$2220,T$1)</f>
        <v>0</v>
      </c>
      <c r="U115" s="80">
        <f>SUMIFS('ноябрь 2024'!$G$5:$G$2220,'ноябрь 2024'!$D$5:$D$2220,$B115,'ноябрь 2024'!$J$5:$J$2220,U$1)</f>
        <v>0</v>
      </c>
      <c r="V115" s="80">
        <f>SUMIFS('ноябрь 2024'!$G$5:$G$2220,'ноябрь 2024'!$D$5:$D$2220,$B115,'ноябрь 2024'!$J$5:$J$2220,V$1)</f>
        <v>0</v>
      </c>
      <c r="W115" s="80">
        <f>SUMIFS('ноябрь 2024'!$G$5:$G$2220,'ноябрь 2024'!$D$5:$D$2220,$B115,'ноябрь 2024'!$J$5:$J$2220,W$1)</f>
        <v>0</v>
      </c>
      <c r="X115" s="80">
        <f>SUMIFS('ноябрь 2024'!$G$5:$G$2220,'ноябрь 2024'!$D$5:$D$2220,$B115,'ноябрь 2024'!$J$5:$J$2220,X$1)</f>
        <v>0</v>
      </c>
      <c r="Y115" s="80">
        <f>SUMIFS('ноябрь 2024'!$G$5:$G$2220,'ноябрь 2024'!$D$5:$D$2220,$B115,'ноябрь 2024'!$J$5:$J$2220,Y$1)</f>
        <v>0</v>
      </c>
      <c r="Z115" s="80">
        <f>SUMIFS('ноябрь 2024'!$G$5:$G$2220,'ноябрь 2024'!$D$5:$D$2220,$B115,'ноябрь 2024'!$J$5:$J$2220,Z$1)</f>
        <v>0</v>
      </c>
      <c r="AA115" s="80">
        <f>SUMIFS('ноябрь 2024'!$G$5:$G$2220,'ноябрь 2024'!$D$5:$D$2220,$B115,'ноябрь 2024'!$J$5:$J$2220,AA$1)</f>
        <v>0</v>
      </c>
      <c r="AB115" s="80">
        <f>SUMIFS('ноябрь 2024'!$G$5:$G$2220,'ноябрь 2024'!$D$5:$D$2220,$B115,'ноябрь 2024'!$J$5:$J$2220,AB$1)</f>
        <v>0</v>
      </c>
      <c r="AC115" s="80">
        <f>SUMIFS('ноябрь 2024'!$G$5:$G$2220,'ноябрь 2024'!$D$5:$D$2220,$B115,'ноябрь 2024'!$J$5:$J$2220,AC$1)</f>
        <v>0</v>
      </c>
      <c r="AD115" s="80">
        <f>SUMIFS('ноябрь 2024'!$G$5:$G$2220,'ноябрь 2024'!$D$5:$D$2220,$B115,'ноябрь 2024'!$J$5:$J$2220,AD$1)</f>
        <v>0</v>
      </c>
      <c r="AE115" s="80">
        <f>SUMIFS('ноябрь 2024'!$G$5:$G$2220,'ноябрь 2024'!$D$5:$D$2220,$B115,'ноябрь 2024'!$J$5:$J$2220,AE$1)</f>
        <v>0</v>
      </c>
      <c r="AF115" s="80">
        <f>SUMIFS('ноябрь 2024'!$G$5:$G$2220,'ноябрь 2024'!$D$5:$D$2220,$B115,'ноябрь 2024'!$J$5:$J$2220,AF$1)</f>
        <v>0</v>
      </c>
      <c r="AG115" s="80">
        <f>SUMIFS('ноябрь 2024'!$G$5:$G$2220,'ноябрь 2024'!$D$5:$D$2220,$B115,'ноябрь 2024'!$J$5:$J$2220,AG$1)</f>
        <v>0</v>
      </c>
      <c r="AH115" s="80">
        <f>SUMIFS('ноябрь 2024'!$G$5:$G$2220,'ноябрь 2024'!$D$5:$D$2220,$B115,'ноябрь 2024'!$J$5:$J$2220,AH$1)</f>
        <v>0</v>
      </c>
      <c r="AI115" s="21">
        <f t="shared" si="1"/>
        <v>0</v>
      </c>
    </row>
    <row r="116" spans="2:35" ht="15" customHeight="1" x14ac:dyDescent="0.25">
      <c r="B116" s="93" t="s">
        <v>400</v>
      </c>
      <c r="C116" s="91">
        <v>185</v>
      </c>
      <c r="D116" s="80">
        <f>SUMIFS('ноябрь 2024'!$G$5:$G$2220,'ноябрь 2024'!$D$5:$D$2220,$B116,'ноябрь 2024'!$J$5:$J$2220,D$1)</f>
        <v>0</v>
      </c>
      <c r="E116" s="80">
        <f>SUMIFS('ноябрь 2024'!$G$5:$G$2220,'ноябрь 2024'!$D$5:$D$2220,$B116,'ноябрь 2024'!$J$5:$J$2220,E$1)</f>
        <v>0</v>
      </c>
      <c r="F116" s="80">
        <f>SUMIFS('ноябрь 2024'!$G$5:$G$2220,'ноябрь 2024'!$D$5:$D$2220,$B116,'ноябрь 2024'!$J$5:$J$2220,F$1)</f>
        <v>0</v>
      </c>
      <c r="G116" s="80">
        <f>SUMIFS('ноябрь 2024'!$G$5:$G$2220,'ноябрь 2024'!$D$5:$D$2220,$B116,'ноябрь 2024'!$J$5:$J$2220,G$1)</f>
        <v>0</v>
      </c>
      <c r="H116" s="80">
        <f>SUMIFS('ноябрь 2024'!$G$5:$G$2220,'ноябрь 2024'!$D$5:$D$2220,$B116,'ноябрь 2024'!$J$5:$J$2220,H$1)</f>
        <v>0</v>
      </c>
      <c r="I116" s="80">
        <f>SUMIFS('ноябрь 2024'!$G$5:$G$2220,'ноябрь 2024'!$D$5:$D$2220,$B116,'ноябрь 2024'!$J$5:$J$2220,I$1)</f>
        <v>0</v>
      </c>
      <c r="J116" s="80">
        <f>SUMIFS('ноябрь 2024'!$G$5:$G$2220,'ноябрь 2024'!$D$5:$D$2220,$B116,'ноябрь 2024'!$J$5:$J$2220,J$1)</f>
        <v>0</v>
      </c>
      <c r="K116" s="80">
        <f>SUMIFS('ноябрь 2024'!$G$5:$G$2220,'ноябрь 2024'!$D$5:$D$2220,$B116,'ноябрь 2024'!$J$5:$J$2220,K$1)</f>
        <v>0</v>
      </c>
      <c r="L116" s="80">
        <f>SUMIFS('ноябрь 2024'!$G$5:$G$2220,'ноябрь 2024'!$D$5:$D$2220,$B116,'ноябрь 2024'!$J$5:$J$2220,L$1)</f>
        <v>0</v>
      </c>
      <c r="M116" s="80">
        <f>SUMIFS('ноябрь 2024'!$G$5:$G$2220,'ноябрь 2024'!$D$5:$D$2220,$B116,'ноябрь 2024'!$J$5:$J$2220,M$1)</f>
        <v>0</v>
      </c>
      <c r="N116" s="80">
        <f>SUMIFS('ноябрь 2024'!$G$5:$G$2220,'ноябрь 2024'!$D$5:$D$2220,$B116,'ноябрь 2024'!$J$5:$J$2220,N$1)</f>
        <v>0</v>
      </c>
      <c r="O116" s="80">
        <f>SUMIFS('ноябрь 2024'!$G$5:$G$2220,'ноябрь 2024'!$D$5:$D$2220,$B116,'ноябрь 2024'!$J$5:$J$2220,O$1)</f>
        <v>0</v>
      </c>
      <c r="P116" s="80">
        <f>SUMIFS('ноябрь 2024'!$G$5:$G$2220,'ноябрь 2024'!$D$5:$D$2220,$B116,'ноябрь 2024'!$J$5:$J$2220,P$1)</f>
        <v>0</v>
      </c>
      <c r="Q116" s="80">
        <f>SUMIFS('ноябрь 2024'!$G$5:$G$2220,'ноябрь 2024'!$D$5:$D$2220,$B116,'ноябрь 2024'!$J$5:$J$2220,Q$1)</f>
        <v>0</v>
      </c>
      <c r="R116" s="80">
        <f>SUMIFS('ноябрь 2024'!$G$5:$G$2220,'ноябрь 2024'!$D$5:$D$2220,$B116,'ноябрь 2024'!$J$5:$J$2220,R$1)</f>
        <v>0</v>
      </c>
      <c r="S116" s="80">
        <f>SUMIFS('ноябрь 2024'!$G$5:$G$2220,'ноябрь 2024'!$D$5:$D$2220,$B116,'ноябрь 2024'!$J$5:$J$2220,S$1)</f>
        <v>0</v>
      </c>
      <c r="T116" s="80">
        <f>SUMIFS('ноябрь 2024'!$G$5:$G$2220,'ноябрь 2024'!$D$5:$D$2220,$B116,'ноябрь 2024'!$J$5:$J$2220,T$1)</f>
        <v>0</v>
      </c>
      <c r="U116" s="80">
        <f>SUMIFS('ноябрь 2024'!$G$5:$G$2220,'ноябрь 2024'!$D$5:$D$2220,$B116,'ноябрь 2024'!$J$5:$J$2220,U$1)</f>
        <v>0</v>
      </c>
      <c r="V116" s="80">
        <f>SUMIFS('ноябрь 2024'!$G$5:$G$2220,'ноябрь 2024'!$D$5:$D$2220,$B116,'ноябрь 2024'!$J$5:$J$2220,V$1)</f>
        <v>0</v>
      </c>
      <c r="W116" s="80">
        <f>SUMIFS('ноябрь 2024'!$G$5:$G$2220,'ноябрь 2024'!$D$5:$D$2220,$B116,'ноябрь 2024'!$J$5:$J$2220,W$1)</f>
        <v>0</v>
      </c>
      <c r="X116" s="80">
        <f>SUMIFS('ноябрь 2024'!$G$5:$G$2220,'ноябрь 2024'!$D$5:$D$2220,$B116,'ноябрь 2024'!$J$5:$J$2220,X$1)</f>
        <v>0</v>
      </c>
      <c r="Y116" s="80">
        <f>SUMIFS('ноябрь 2024'!$G$5:$G$2220,'ноябрь 2024'!$D$5:$D$2220,$B116,'ноябрь 2024'!$J$5:$J$2220,Y$1)</f>
        <v>0</v>
      </c>
      <c r="Z116" s="80">
        <f>SUMIFS('ноябрь 2024'!$G$5:$G$2220,'ноябрь 2024'!$D$5:$D$2220,$B116,'ноябрь 2024'!$J$5:$J$2220,Z$1)</f>
        <v>0</v>
      </c>
      <c r="AA116" s="80">
        <f>SUMIFS('ноябрь 2024'!$G$5:$G$2220,'ноябрь 2024'!$D$5:$D$2220,$B116,'ноябрь 2024'!$J$5:$J$2220,AA$1)</f>
        <v>0</v>
      </c>
      <c r="AB116" s="80">
        <f>SUMIFS('ноябрь 2024'!$G$5:$G$2220,'ноябрь 2024'!$D$5:$D$2220,$B116,'ноябрь 2024'!$J$5:$J$2220,AB$1)</f>
        <v>0</v>
      </c>
      <c r="AC116" s="80">
        <f>SUMIFS('ноябрь 2024'!$G$5:$G$2220,'ноябрь 2024'!$D$5:$D$2220,$B116,'ноябрь 2024'!$J$5:$J$2220,AC$1)</f>
        <v>0</v>
      </c>
      <c r="AD116" s="80">
        <f>SUMIFS('ноябрь 2024'!$G$5:$G$2220,'ноябрь 2024'!$D$5:$D$2220,$B116,'ноябрь 2024'!$J$5:$J$2220,AD$1)</f>
        <v>0</v>
      </c>
      <c r="AE116" s="80">
        <f>SUMIFS('ноябрь 2024'!$G$5:$G$2220,'ноябрь 2024'!$D$5:$D$2220,$B116,'ноябрь 2024'!$J$5:$J$2220,AE$1)</f>
        <v>0</v>
      </c>
      <c r="AF116" s="80">
        <f>SUMIFS('ноябрь 2024'!$G$5:$G$2220,'ноябрь 2024'!$D$5:$D$2220,$B116,'ноябрь 2024'!$J$5:$J$2220,AF$1)</f>
        <v>0</v>
      </c>
      <c r="AG116" s="80">
        <f>SUMIFS('ноябрь 2024'!$G$5:$G$2220,'ноябрь 2024'!$D$5:$D$2220,$B116,'ноябрь 2024'!$J$5:$J$2220,AG$1)</f>
        <v>0</v>
      </c>
      <c r="AH116" s="80">
        <f>SUMIFS('ноябрь 2024'!$G$5:$G$2220,'ноябрь 2024'!$D$5:$D$2220,$B116,'ноябрь 2024'!$J$5:$J$2220,AH$1)</f>
        <v>0</v>
      </c>
      <c r="AI116" s="21">
        <f t="shared" si="1"/>
        <v>0</v>
      </c>
    </row>
    <row r="117" spans="2:35" ht="15" customHeight="1" x14ac:dyDescent="0.25">
      <c r="B117" s="93" t="s">
        <v>330</v>
      </c>
      <c r="C117" s="91">
        <v>180</v>
      </c>
      <c r="D117" s="80">
        <f>SUMIFS('ноябрь 2024'!$G$5:$G$2220,'ноябрь 2024'!$D$5:$D$2220,$B117,'ноябрь 2024'!$J$5:$J$2220,D$1)</f>
        <v>0</v>
      </c>
      <c r="E117" s="80">
        <f>SUMIFS('ноябрь 2024'!$G$5:$G$2220,'ноябрь 2024'!$D$5:$D$2220,$B117,'ноябрь 2024'!$J$5:$J$2220,E$1)</f>
        <v>0</v>
      </c>
      <c r="F117" s="80">
        <f>SUMIFS('ноябрь 2024'!$G$5:$G$2220,'ноябрь 2024'!$D$5:$D$2220,$B117,'ноябрь 2024'!$J$5:$J$2220,F$1)</f>
        <v>0</v>
      </c>
      <c r="G117" s="80">
        <f>SUMIFS('ноябрь 2024'!$G$5:$G$2220,'ноябрь 2024'!$D$5:$D$2220,$B117,'ноябрь 2024'!$J$5:$J$2220,G$1)</f>
        <v>0</v>
      </c>
      <c r="H117" s="80">
        <f>SUMIFS('ноябрь 2024'!$G$5:$G$2220,'ноябрь 2024'!$D$5:$D$2220,$B117,'ноябрь 2024'!$J$5:$J$2220,H$1)</f>
        <v>0</v>
      </c>
      <c r="I117" s="80">
        <f>SUMIFS('ноябрь 2024'!$G$5:$G$2220,'ноябрь 2024'!$D$5:$D$2220,$B117,'ноябрь 2024'!$J$5:$J$2220,I$1)</f>
        <v>0</v>
      </c>
      <c r="J117" s="80">
        <f>SUMIFS('ноябрь 2024'!$G$5:$G$2220,'ноябрь 2024'!$D$5:$D$2220,$B117,'ноябрь 2024'!$J$5:$J$2220,J$1)</f>
        <v>0</v>
      </c>
      <c r="K117" s="80">
        <f>SUMIFS('ноябрь 2024'!$G$5:$G$2220,'ноябрь 2024'!$D$5:$D$2220,$B117,'ноябрь 2024'!$J$5:$J$2220,K$1)</f>
        <v>0</v>
      </c>
      <c r="L117" s="80">
        <f>SUMIFS('ноябрь 2024'!$G$5:$G$2220,'ноябрь 2024'!$D$5:$D$2220,$B117,'ноябрь 2024'!$J$5:$J$2220,L$1)</f>
        <v>0</v>
      </c>
      <c r="M117" s="80">
        <f>SUMIFS('ноябрь 2024'!$G$5:$G$2220,'ноябрь 2024'!$D$5:$D$2220,$B117,'ноябрь 2024'!$J$5:$J$2220,M$1)</f>
        <v>0</v>
      </c>
      <c r="N117" s="80">
        <f>SUMIFS('ноябрь 2024'!$G$5:$G$2220,'ноябрь 2024'!$D$5:$D$2220,$B117,'ноябрь 2024'!$J$5:$J$2220,N$1)</f>
        <v>0</v>
      </c>
      <c r="O117" s="80">
        <f>SUMIFS('ноябрь 2024'!$G$5:$G$2220,'ноябрь 2024'!$D$5:$D$2220,$B117,'ноябрь 2024'!$J$5:$J$2220,O$1)</f>
        <v>0</v>
      </c>
      <c r="P117" s="80">
        <f>SUMIFS('ноябрь 2024'!$G$5:$G$2220,'ноябрь 2024'!$D$5:$D$2220,$B117,'ноябрь 2024'!$J$5:$J$2220,P$1)</f>
        <v>0</v>
      </c>
      <c r="Q117" s="80">
        <f>SUMIFS('ноябрь 2024'!$G$5:$G$2220,'ноябрь 2024'!$D$5:$D$2220,$B117,'ноябрь 2024'!$J$5:$J$2220,Q$1)</f>
        <v>0</v>
      </c>
      <c r="R117" s="80">
        <f>SUMIFS('ноябрь 2024'!$G$5:$G$2220,'ноябрь 2024'!$D$5:$D$2220,$B117,'ноябрь 2024'!$J$5:$J$2220,R$1)</f>
        <v>0</v>
      </c>
      <c r="S117" s="80">
        <f>SUMIFS('ноябрь 2024'!$G$5:$G$2220,'ноябрь 2024'!$D$5:$D$2220,$B117,'ноябрь 2024'!$J$5:$J$2220,S$1)</f>
        <v>0</v>
      </c>
      <c r="T117" s="80">
        <f>SUMIFS('ноябрь 2024'!$G$5:$G$2220,'ноябрь 2024'!$D$5:$D$2220,$B117,'ноябрь 2024'!$J$5:$J$2220,T$1)</f>
        <v>0</v>
      </c>
      <c r="U117" s="80">
        <f>SUMIFS('ноябрь 2024'!$G$5:$G$2220,'ноябрь 2024'!$D$5:$D$2220,$B117,'ноябрь 2024'!$J$5:$J$2220,U$1)</f>
        <v>0</v>
      </c>
      <c r="V117" s="80">
        <f>SUMIFS('ноябрь 2024'!$G$5:$G$2220,'ноябрь 2024'!$D$5:$D$2220,$B117,'ноябрь 2024'!$J$5:$J$2220,V$1)</f>
        <v>0</v>
      </c>
      <c r="W117" s="80">
        <f>SUMIFS('ноябрь 2024'!$G$5:$G$2220,'ноябрь 2024'!$D$5:$D$2220,$B117,'ноябрь 2024'!$J$5:$J$2220,W$1)</f>
        <v>0</v>
      </c>
      <c r="X117" s="80">
        <f>SUMIFS('ноябрь 2024'!$G$5:$G$2220,'ноябрь 2024'!$D$5:$D$2220,$B117,'ноябрь 2024'!$J$5:$J$2220,X$1)</f>
        <v>0</v>
      </c>
      <c r="Y117" s="80">
        <f>SUMIFS('ноябрь 2024'!$G$5:$G$2220,'ноябрь 2024'!$D$5:$D$2220,$B117,'ноябрь 2024'!$J$5:$J$2220,Y$1)</f>
        <v>0</v>
      </c>
      <c r="Z117" s="80">
        <f>SUMIFS('ноябрь 2024'!$G$5:$G$2220,'ноябрь 2024'!$D$5:$D$2220,$B117,'ноябрь 2024'!$J$5:$J$2220,Z$1)</f>
        <v>0</v>
      </c>
      <c r="AA117" s="80">
        <f>SUMIFS('ноябрь 2024'!$G$5:$G$2220,'ноябрь 2024'!$D$5:$D$2220,$B117,'ноябрь 2024'!$J$5:$J$2220,AA$1)</f>
        <v>0</v>
      </c>
      <c r="AB117" s="80">
        <f>SUMIFS('ноябрь 2024'!$G$5:$G$2220,'ноябрь 2024'!$D$5:$D$2220,$B117,'ноябрь 2024'!$J$5:$J$2220,AB$1)</f>
        <v>0</v>
      </c>
      <c r="AC117" s="80">
        <f>SUMIFS('ноябрь 2024'!$G$5:$G$2220,'ноябрь 2024'!$D$5:$D$2220,$B117,'ноябрь 2024'!$J$5:$J$2220,AC$1)</f>
        <v>0</v>
      </c>
      <c r="AD117" s="80">
        <f>SUMIFS('ноябрь 2024'!$G$5:$G$2220,'ноябрь 2024'!$D$5:$D$2220,$B117,'ноябрь 2024'!$J$5:$J$2220,AD$1)</f>
        <v>0</v>
      </c>
      <c r="AE117" s="80">
        <f>SUMIFS('ноябрь 2024'!$G$5:$G$2220,'ноябрь 2024'!$D$5:$D$2220,$B117,'ноябрь 2024'!$J$5:$J$2220,AE$1)</f>
        <v>0</v>
      </c>
      <c r="AF117" s="80">
        <f>SUMIFS('ноябрь 2024'!$G$5:$G$2220,'ноябрь 2024'!$D$5:$D$2220,$B117,'ноябрь 2024'!$J$5:$J$2220,AF$1)</f>
        <v>0</v>
      </c>
      <c r="AG117" s="80">
        <f>SUMIFS('ноябрь 2024'!$G$5:$G$2220,'ноябрь 2024'!$D$5:$D$2220,$B117,'ноябрь 2024'!$J$5:$J$2220,AG$1)</f>
        <v>0</v>
      </c>
      <c r="AH117" s="80">
        <f>SUMIFS('ноябрь 2024'!$G$5:$G$2220,'ноябрь 2024'!$D$5:$D$2220,$B117,'ноябрь 2024'!$J$5:$J$2220,AH$1)</f>
        <v>0</v>
      </c>
      <c r="AI117" s="21">
        <f t="shared" si="1"/>
        <v>0</v>
      </c>
    </row>
    <row r="118" spans="2:35" ht="15" customHeight="1" x14ac:dyDescent="0.25">
      <c r="B118" s="93" t="s">
        <v>331</v>
      </c>
      <c r="C118" s="91">
        <v>200</v>
      </c>
      <c r="D118" s="80">
        <f>SUMIFS('ноябрь 2024'!$G$5:$G$2220,'ноябрь 2024'!$D$5:$D$2220,$B118,'ноябрь 2024'!$J$5:$J$2220,D$1)</f>
        <v>0</v>
      </c>
      <c r="E118" s="80">
        <f>SUMIFS('ноябрь 2024'!$G$5:$G$2220,'ноябрь 2024'!$D$5:$D$2220,$B118,'ноябрь 2024'!$J$5:$J$2220,E$1)</f>
        <v>0</v>
      </c>
      <c r="F118" s="80">
        <f>SUMIFS('ноябрь 2024'!$G$5:$G$2220,'ноябрь 2024'!$D$5:$D$2220,$B118,'ноябрь 2024'!$J$5:$J$2220,F$1)</f>
        <v>0</v>
      </c>
      <c r="G118" s="80">
        <f>SUMIFS('ноябрь 2024'!$G$5:$G$2220,'ноябрь 2024'!$D$5:$D$2220,$B118,'ноябрь 2024'!$J$5:$J$2220,G$1)</f>
        <v>0</v>
      </c>
      <c r="H118" s="80">
        <f>SUMIFS('ноябрь 2024'!$G$5:$G$2220,'ноябрь 2024'!$D$5:$D$2220,$B118,'ноябрь 2024'!$J$5:$J$2220,H$1)</f>
        <v>0</v>
      </c>
      <c r="I118" s="80">
        <f>SUMIFS('ноябрь 2024'!$G$5:$G$2220,'ноябрь 2024'!$D$5:$D$2220,$B118,'ноябрь 2024'!$J$5:$J$2220,I$1)</f>
        <v>0</v>
      </c>
      <c r="J118" s="80">
        <f>SUMIFS('ноябрь 2024'!$G$5:$G$2220,'ноябрь 2024'!$D$5:$D$2220,$B118,'ноябрь 2024'!$J$5:$J$2220,J$1)</f>
        <v>0</v>
      </c>
      <c r="K118" s="80">
        <f>SUMIFS('ноябрь 2024'!$G$5:$G$2220,'ноябрь 2024'!$D$5:$D$2220,$B118,'ноябрь 2024'!$J$5:$J$2220,K$1)</f>
        <v>0</v>
      </c>
      <c r="L118" s="80">
        <f>SUMIFS('ноябрь 2024'!$G$5:$G$2220,'ноябрь 2024'!$D$5:$D$2220,$B118,'ноябрь 2024'!$J$5:$J$2220,L$1)</f>
        <v>0</v>
      </c>
      <c r="M118" s="80">
        <f>SUMIFS('ноябрь 2024'!$G$5:$G$2220,'ноябрь 2024'!$D$5:$D$2220,$B118,'ноябрь 2024'!$J$5:$J$2220,M$1)</f>
        <v>0</v>
      </c>
      <c r="N118" s="80">
        <f>SUMIFS('ноябрь 2024'!$G$5:$G$2220,'ноябрь 2024'!$D$5:$D$2220,$B118,'ноябрь 2024'!$J$5:$J$2220,N$1)</f>
        <v>0</v>
      </c>
      <c r="O118" s="80">
        <f>SUMIFS('ноябрь 2024'!$G$5:$G$2220,'ноябрь 2024'!$D$5:$D$2220,$B118,'ноябрь 2024'!$J$5:$J$2220,O$1)</f>
        <v>0</v>
      </c>
      <c r="P118" s="80">
        <f>SUMIFS('ноябрь 2024'!$G$5:$G$2220,'ноябрь 2024'!$D$5:$D$2220,$B118,'ноябрь 2024'!$J$5:$J$2220,P$1)</f>
        <v>0</v>
      </c>
      <c r="Q118" s="80">
        <f>SUMIFS('ноябрь 2024'!$G$5:$G$2220,'ноябрь 2024'!$D$5:$D$2220,$B118,'ноябрь 2024'!$J$5:$J$2220,Q$1)</f>
        <v>0</v>
      </c>
      <c r="R118" s="80">
        <f>SUMIFS('ноябрь 2024'!$G$5:$G$2220,'ноябрь 2024'!$D$5:$D$2220,$B118,'ноябрь 2024'!$J$5:$J$2220,R$1)</f>
        <v>0</v>
      </c>
      <c r="S118" s="80">
        <f>SUMIFS('ноябрь 2024'!$G$5:$G$2220,'ноябрь 2024'!$D$5:$D$2220,$B118,'ноябрь 2024'!$J$5:$J$2220,S$1)</f>
        <v>0</v>
      </c>
      <c r="T118" s="80">
        <f>SUMIFS('ноябрь 2024'!$G$5:$G$2220,'ноябрь 2024'!$D$5:$D$2220,$B118,'ноябрь 2024'!$J$5:$J$2220,T$1)</f>
        <v>0</v>
      </c>
      <c r="U118" s="80">
        <f>SUMIFS('ноябрь 2024'!$G$5:$G$2220,'ноябрь 2024'!$D$5:$D$2220,$B118,'ноябрь 2024'!$J$5:$J$2220,U$1)</f>
        <v>0</v>
      </c>
      <c r="V118" s="80">
        <f>SUMIFS('ноябрь 2024'!$G$5:$G$2220,'ноябрь 2024'!$D$5:$D$2220,$B118,'ноябрь 2024'!$J$5:$J$2220,V$1)</f>
        <v>0</v>
      </c>
      <c r="W118" s="80">
        <f>SUMIFS('ноябрь 2024'!$G$5:$G$2220,'ноябрь 2024'!$D$5:$D$2220,$B118,'ноябрь 2024'!$J$5:$J$2220,W$1)</f>
        <v>0</v>
      </c>
      <c r="X118" s="80">
        <f>SUMIFS('ноябрь 2024'!$G$5:$G$2220,'ноябрь 2024'!$D$5:$D$2220,$B118,'ноябрь 2024'!$J$5:$J$2220,X$1)</f>
        <v>0</v>
      </c>
      <c r="Y118" s="80">
        <f>SUMIFS('ноябрь 2024'!$G$5:$G$2220,'ноябрь 2024'!$D$5:$D$2220,$B118,'ноябрь 2024'!$J$5:$J$2220,Y$1)</f>
        <v>0</v>
      </c>
      <c r="Z118" s="80">
        <f>SUMIFS('ноябрь 2024'!$G$5:$G$2220,'ноябрь 2024'!$D$5:$D$2220,$B118,'ноябрь 2024'!$J$5:$J$2220,Z$1)</f>
        <v>0</v>
      </c>
      <c r="AA118" s="80">
        <f>SUMIFS('ноябрь 2024'!$G$5:$G$2220,'ноябрь 2024'!$D$5:$D$2220,$B118,'ноябрь 2024'!$J$5:$J$2220,AA$1)</f>
        <v>0</v>
      </c>
      <c r="AB118" s="80">
        <f>SUMIFS('ноябрь 2024'!$G$5:$G$2220,'ноябрь 2024'!$D$5:$D$2220,$B118,'ноябрь 2024'!$J$5:$J$2220,AB$1)</f>
        <v>0</v>
      </c>
      <c r="AC118" s="80">
        <f>SUMIFS('ноябрь 2024'!$G$5:$G$2220,'ноябрь 2024'!$D$5:$D$2220,$B118,'ноябрь 2024'!$J$5:$J$2220,AC$1)</f>
        <v>0</v>
      </c>
      <c r="AD118" s="80">
        <f>SUMIFS('ноябрь 2024'!$G$5:$G$2220,'ноябрь 2024'!$D$5:$D$2220,$B118,'ноябрь 2024'!$J$5:$J$2220,AD$1)</f>
        <v>0</v>
      </c>
      <c r="AE118" s="80">
        <f>SUMIFS('ноябрь 2024'!$G$5:$G$2220,'ноябрь 2024'!$D$5:$D$2220,$B118,'ноябрь 2024'!$J$5:$J$2220,AE$1)</f>
        <v>0</v>
      </c>
      <c r="AF118" s="80">
        <f>SUMIFS('ноябрь 2024'!$G$5:$G$2220,'ноябрь 2024'!$D$5:$D$2220,$B118,'ноябрь 2024'!$J$5:$J$2220,AF$1)</f>
        <v>0</v>
      </c>
      <c r="AG118" s="80">
        <f>SUMIFS('ноябрь 2024'!$G$5:$G$2220,'ноябрь 2024'!$D$5:$D$2220,$B118,'ноябрь 2024'!$J$5:$J$2220,AG$1)</f>
        <v>0</v>
      </c>
      <c r="AH118" s="80">
        <f>SUMIFS('ноябрь 2024'!$G$5:$G$2220,'ноябрь 2024'!$D$5:$D$2220,$B118,'ноябрь 2024'!$J$5:$J$2220,AH$1)</f>
        <v>0</v>
      </c>
      <c r="AI118" s="21">
        <f t="shared" si="1"/>
        <v>0</v>
      </c>
    </row>
    <row r="119" spans="2:35" ht="15" customHeight="1" x14ac:dyDescent="0.25">
      <c r="B119" s="89" t="s">
        <v>164</v>
      </c>
      <c r="C119" s="88">
        <v>950</v>
      </c>
      <c r="D119" s="80">
        <f>SUMIFS('ноябрь 2024'!$G$5:$G$2220,'ноябрь 2024'!$D$5:$D$2220,$B119,'ноябрь 2024'!$J$5:$J$2220,D$1)</f>
        <v>0</v>
      </c>
      <c r="E119" s="80">
        <f>SUMIFS('ноябрь 2024'!$G$5:$G$2220,'ноябрь 2024'!$D$5:$D$2220,$B119,'ноябрь 2024'!$J$5:$J$2220,E$1)</f>
        <v>0</v>
      </c>
      <c r="F119" s="80">
        <f>SUMIFS('ноябрь 2024'!$G$5:$G$2220,'ноябрь 2024'!$D$5:$D$2220,$B119,'ноябрь 2024'!$J$5:$J$2220,F$1)</f>
        <v>0</v>
      </c>
      <c r="G119" s="80">
        <f>SUMIFS('ноябрь 2024'!$G$5:$G$2220,'ноябрь 2024'!$D$5:$D$2220,$B119,'ноябрь 2024'!$J$5:$J$2220,G$1)</f>
        <v>0</v>
      </c>
      <c r="H119" s="80">
        <f>SUMIFS('ноябрь 2024'!$G$5:$G$2220,'ноябрь 2024'!$D$5:$D$2220,$B119,'ноябрь 2024'!$J$5:$J$2220,H$1)</f>
        <v>0</v>
      </c>
      <c r="I119" s="80">
        <f>SUMIFS('ноябрь 2024'!$G$5:$G$2220,'ноябрь 2024'!$D$5:$D$2220,$B119,'ноябрь 2024'!$J$5:$J$2220,I$1)</f>
        <v>0</v>
      </c>
      <c r="J119" s="80">
        <f>SUMIFS('ноябрь 2024'!$G$5:$G$2220,'ноябрь 2024'!$D$5:$D$2220,$B119,'ноябрь 2024'!$J$5:$J$2220,J$1)</f>
        <v>0</v>
      </c>
      <c r="K119" s="80">
        <f>SUMIFS('ноябрь 2024'!$G$5:$G$2220,'ноябрь 2024'!$D$5:$D$2220,$B119,'ноябрь 2024'!$J$5:$J$2220,K$1)</f>
        <v>0</v>
      </c>
      <c r="L119" s="80">
        <f>SUMIFS('ноябрь 2024'!$G$5:$G$2220,'ноябрь 2024'!$D$5:$D$2220,$B119,'ноябрь 2024'!$J$5:$J$2220,L$1)</f>
        <v>0</v>
      </c>
      <c r="M119" s="80">
        <f>SUMIFS('ноябрь 2024'!$G$5:$G$2220,'ноябрь 2024'!$D$5:$D$2220,$B119,'ноябрь 2024'!$J$5:$J$2220,M$1)</f>
        <v>0</v>
      </c>
      <c r="N119" s="80">
        <f>SUMIFS('ноябрь 2024'!$G$5:$G$2220,'ноябрь 2024'!$D$5:$D$2220,$B119,'ноябрь 2024'!$J$5:$J$2220,N$1)</f>
        <v>0</v>
      </c>
      <c r="O119" s="80">
        <f>SUMIFS('ноябрь 2024'!$G$5:$G$2220,'ноябрь 2024'!$D$5:$D$2220,$B119,'ноябрь 2024'!$J$5:$J$2220,O$1)</f>
        <v>0</v>
      </c>
      <c r="P119" s="80">
        <f>SUMIFS('ноябрь 2024'!$G$5:$G$2220,'ноябрь 2024'!$D$5:$D$2220,$B119,'ноябрь 2024'!$J$5:$J$2220,P$1)</f>
        <v>0</v>
      </c>
      <c r="Q119" s="80">
        <f>SUMIFS('ноябрь 2024'!$G$5:$G$2220,'ноябрь 2024'!$D$5:$D$2220,$B119,'ноябрь 2024'!$J$5:$J$2220,Q$1)</f>
        <v>0</v>
      </c>
      <c r="R119" s="80">
        <f>SUMIFS('ноябрь 2024'!$G$5:$G$2220,'ноябрь 2024'!$D$5:$D$2220,$B119,'ноябрь 2024'!$J$5:$J$2220,R$1)</f>
        <v>0</v>
      </c>
      <c r="S119" s="80">
        <f>SUMIFS('ноябрь 2024'!$G$5:$G$2220,'ноябрь 2024'!$D$5:$D$2220,$B119,'ноябрь 2024'!$J$5:$J$2220,S$1)</f>
        <v>0</v>
      </c>
      <c r="T119" s="80">
        <f>SUMIFS('ноябрь 2024'!$G$5:$G$2220,'ноябрь 2024'!$D$5:$D$2220,$B119,'ноябрь 2024'!$J$5:$J$2220,T$1)</f>
        <v>0</v>
      </c>
      <c r="U119" s="80">
        <f>SUMIFS('ноябрь 2024'!$G$5:$G$2220,'ноябрь 2024'!$D$5:$D$2220,$B119,'ноябрь 2024'!$J$5:$J$2220,U$1)</f>
        <v>0</v>
      </c>
      <c r="V119" s="80">
        <f>SUMIFS('ноябрь 2024'!$G$5:$G$2220,'ноябрь 2024'!$D$5:$D$2220,$B119,'ноябрь 2024'!$J$5:$J$2220,V$1)</f>
        <v>0</v>
      </c>
      <c r="W119" s="80">
        <f>SUMIFS('ноябрь 2024'!$G$5:$G$2220,'ноябрь 2024'!$D$5:$D$2220,$B119,'ноябрь 2024'!$J$5:$J$2220,W$1)</f>
        <v>0</v>
      </c>
      <c r="X119" s="80">
        <f>SUMIFS('ноябрь 2024'!$G$5:$G$2220,'ноябрь 2024'!$D$5:$D$2220,$B119,'ноябрь 2024'!$J$5:$J$2220,X$1)</f>
        <v>0</v>
      </c>
      <c r="Y119" s="80">
        <f>SUMIFS('ноябрь 2024'!$G$5:$G$2220,'ноябрь 2024'!$D$5:$D$2220,$B119,'ноябрь 2024'!$J$5:$J$2220,Y$1)</f>
        <v>0</v>
      </c>
      <c r="Z119" s="80">
        <f>SUMIFS('ноябрь 2024'!$G$5:$G$2220,'ноябрь 2024'!$D$5:$D$2220,$B119,'ноябрь 2024'!$J$5:$J$2220,Z$1)</f>
        <v>0</v>
      </c>
      <c r="AA119" s="80">
        <f>SUMIFS('ноябрь 2024'!$G$5:$G$2220,'ноябрь 2024'!$D$5:$D$2220,$B119,'ноябрь 2024'!$J$5:$J$2220,AA$1)</f>
        <v>0</v>
      </c>
      <c r="AB119" s="80">
        <f>SUMIFS('ноябрь 2024'!$G$5:$G$2220,'ноябрь 2024'!$D$5:$D$2220,$B119,'ноябрь 2024'!$J$5:$J$2220,AB$1)</f>
        <v>0</v>
      </c>
      <c r="AC119" s="80">
        <f>SUMIFS('ноябрь 2024'!$G$5:$G$2220,'ноябрь 2024'!$D$5:$D$2220,$B119,'ноябрь 2024'!$J$5:$J$2220,AC$1)</f>
        <v>0</v>
      </c>
      <c r="AD119" s="80">
        <f>SUMIFS('ноябрь 2024'!$G$5:$G$2220,'ноябрь 2024'!$D$5:$D$2220,$B119,'ноябрь 2024'!$J$5:$J$2220,AD$1)</f>
        <v>0</v>
      </c>
      <c r="AE119" s="80">
        <f>SUMIFS('ноябрь 2024'!$G$5:$G$2220,'ноябрь 2024'!$D$5:$D$2220,$B119,'ноябрь 2024'!$J$5:$J$2220,AE$1)</f>
        <v>0</v>
      </c>
      <c r="AF119" s="80">
        <f>SUMIFS('ноябрь 2024'!$G$5:$G$2220,'ноябрь 2024'!$D$5:$D$2220,$B119,'ноябрь 2024'!$J$5:$J$2220,AF$1)</f>
        <v>0</v>
      </c>
      <c r="AG119" s="80">
        <f>SUMIFS('ноябрь 2024'!$G$5:$G$2220,'ноябрь 2024'!$D$5:$D$2220,$B119,'ноябрь 2024'!$J$5:$J$2220,AG$1)</f>
        <v>0</v>
      </c>
      <c r="AH119" s="80">
        <f>SUMIFS('ноябрь 2024'!$G$5:$G$2220,'ноябрь 2024'!$D$5:$D$2220,$B119,'ноябрь 2024'!$J$5:$J$2220,AH$1)</f>
        <v>0</v>
      </c>
      <c r="AI119" s="21">
        <f t="shared" si="1"/>
        <v>0</v>
      </c>
    </row>
    <row r="120" spans="2:35" ht="15" customHeight="1" x14ac:dyDescent="0.25">
      <c r="B120" s="89" t="s">
        <v>193</v>
      </c>
      <c r="C120" s="88">
        <v>180</v>
      </c>
      <c r="D120" s="80">
        <f>SUMIFS('ноябрь 2024'!$G$5:$G$2220,'ноябрь 2024'!$D$5:$D$2220,$B120,'ноябрь 2024'!$J$5:$J$2220,D$1)</f>
        <v>0</v>
      </c>
      <c r="E120" s="80">
        <f>SUMIFS('ноябрь 2024'!$G$5:$G$2220,'ноябрь 2024'!$D$5:$D$2220,$B120,'ноябрь 2024'!$J$5:$J$2220,E$1)</f>
        <v>0</v>
      </c>
      <c r="F120" s="80">
        <f>SUMIFS('ноябрь 2024'!$G$5:$G$2220,'ноябрь 2024'!$D$5:$D$2220,$B120,'ноябрь 2024'!$J$5:$J$2220,F$1)</f>
        <v>0</v>
      </c>
      <c r="G120" s="80">
        <f>SUMIFS('ноябрь 2024'!$G$5:$G$2220,'ноябрь 2024'!$D$5:$D$2220,$B120,'ноябрь 2024'!$J$5:$J$2220,G$1)</f>
        <v>0</v>
      </c>
      <c r="H120" s="80">
        <f>SUMIFS('ноябрь 2024'!$G$5:$G$2220,'ноябрь 2024'!$D$5:$D$2220,$B120,'ноябрь 2024'!$J$5:$J$2220,H$1)</f>
        <v>0</v>
      </c>
      <c r="I120" s="80">
        <f>SUMIFS('ноябрь 2024'!$G$5:$G$2220,'ноябрь 2024'!$D$5:$D$2220,$B120,'ноябрь 2024'!$J$5:$J$2220,I$1)</f>
        <v>0</v>
      </c>
      <c r="J120" s="80">
        <f>SUMIFS('ноябрь 2024'!$G$5:$G$2220,'ноябрь 2024'!$D$5:$D$2220,$B120,'ноябрь 2024'!$J$5:$J$2220,J$1)</f>
        <v>0</v>
      </c>
      <c r="K120" s="80">
        <f>SUMIFS('ноябрь 2024'!$G$5:$G$2220,'ноябрь 2024'!$D$5:$D$2220,$B120,'ноябрь 2024'!$J$5:$J$2220,K$1)</f>
        <v>0</v>
      </c>
      <c r="L120" s="80">
        <f>SUMIFS('ноябрь 2024'!$G$5:$G$2220,'ноябрь 2024'!$D$5:$D$2220,$B120,'ноябрь 2024'!$J$5:$J$2220,L$1)</f>
        <v>0</v>
      </c>
      <c r="M120" s="80">
        <f>SUMIFS('ноябрь 2024'!$G$5:$G$2220,'ноябрь 2024'!$D$5:$D$2220,$B120,'ноябрь 2024'!$J$5:$J$2220,M$1)</f>
        <v>0</v>
      </c>
      <c r="N120" s="80">
        <f>SUMIFS('ноябрь 2024'!$G$5:$G$2220,'ноябрь 2024'!$D$5:$D$2220,$B120,'ноябрь 2024'!$J$5:$J$2220,N$1)</f>
        <v>0</v>
      </c>
      <c r="O120" s="80">
        <f>SUMIFS('ноябрь 2024'!$G$5:$G$2220,'ноябрь 2024'!$D$5:$D$2220,$B120,'ноябрь 2024'!$J$5:$J$2220,O$1)</f>
        <v>0</v>
      </c>
      <c r="P120" s="80">
        <f>SUMIFS('ноябрь 2024'!$G$5:$G$2220,'ноябрь 2024'!$D$5:$D$2220,$B120,'ноябрь 2024'!$J$5:$J$2220,P$1)</f>
        <v>0</v>
      </c>
      <c r="Q120" s="80">
        <f>SUMIFS('ноябрь 2024'!$G$5:$G$2220,'ноябрь 2024'!$D$5:$D$2220,$B120,'ноябрь 2024'!$J$5:$J$2220,Q$1)</f>
        <v>0</v>
      </c>
      <c r="R120" s="80">
        <f>SUMIFS('ноябрь 2024'!$G$5:$G$2220,'ноябрь 2024'!$D$5:$D$2220,$B120,'ноябрь 2024'!$J$5:$J$2220,R$1)</f>
        <v>0</v>
      </c>
      <c r="S120" s="80">
        <f>SUMIFS('ноябрь 2024'!$G$5:$G$2220,'ноябрь 2024'!$D$5:$D$2220,$B120,'ноябрь 2024'!$J$5:$J$2220,S$1)</f>
        <v>0</v>
      </c>
      <c r="T120" s="80">
        <f>SUMIFS('ноябрь 2024'!$G$5:$G$2220,'ноябрь 2024'!$D$5:$D$2220,$B120,'ноябрь 2024'!$J$5:$J$2220,T$1)</f>
        <v>0</v>
      </c>
      <c r="U120" s="80">
        <f>SUMIFS('ноябрь 2024'!$G$5:$G$2220,'ноябрь 2024'!$D$5:$D$2220,$B120,'ноябрь 2024'!$J$5:$J$2220,U$1)</f>
        <v>0</v>
      </c>
      <c r="V120" s="80">
        <f>SUMIFS('ноябрь 2024'!$G$5:$G$2220,'ноябрь 2024'!$D$5:$D$2220,$B120,'ноябрь 2024'!$J$5:$J$2220,V$1)</f>
        <v>0</v>
      </c>
      <c r="W120" s="80">
        <f>SUMIFS('ноябрь 2024'!$G$5:$G$2220,'ноябрь 2024'!$D$5:$D$2220,$B120,'ноябрь 2024'!$J$5:$J$2220,W$1)</f>
        <v>0</v>
      </c>
      <c r="X120" s="80">
        <f>SUMIFS('ноябрь 2024'!$G$5:$G$2220,'ноябрь 2024'!$D$5:$D$2220,$B120,'ноябрь 2024'!$J$5:$J$2220,X$1)</f>
        <v>0</v>
      </c>
      <c r="Y120" s="80">
        <f>SUMIFS('ноябрь 2024'!$G$5:$G$2220,'ноябрь 2024'!$D$5:$D$2220,$B120,'ноябрь 2024'!$J$5:$J$2220,Y$1)</f>
        <v>0</v>
      </c>
      <c r="Z120" s="80">
        <f>SUMIFS('ноябрь 2024'!$G$5:$G$2220,'ноябрь 2024'!$D$5:$D$2220,$B120,'ноябрь 2024'!$J$5:$J$2220,Z$1)</f>
        <v>0</v>
      </c>
      <c r="AA120" s="80">
        <f>SUMIFS('ноябрь 2024'!$G$5:$G$2220,'ноябрь 2024'!$D$5:$D$2220,$B120,'ноябрь 2024'!$J$5:$J$2220,AA$1)</f>
        <v>0</v>
      </c>
      <c r="AB120" s="80">
        <f>SUMIFS('ноябрь 2024'!$G$5:$G$2220,'ноябрь 2024'!$D$5:$D$2220,$B120,'ноябрь 2024'!$J$5:$J$2220,AB$1)</f>
        <v>0</v>
      </c>
      <c r="AC120" s="80">
        <f>SUMIFS('ноябрь 2024'!$G$5:$G$2220,'ноябрь 2024'!$D$5:$D$2220,$B120,'ноябрь 2024'!$J$5:$J$2220,AC$1)</f>
        <v>0</v>
      </c>
      <c r="AD120" s="80">
        <f>SUMIFS('ноябрь 2024'!$G$5:$G$2220,'ноябрь 2024'!$D$5:$D$2220,$B120,'ноябрь 2024'!$J$5:$J$2220,AD$1)</f>
        <v>0</v>
      </c>
      <c r="AE120" s="80">
        <f>SUMIFS('ноябрь 2024'!$G$5:$G$2220,'ноябрь 2024'!$D$5:$D$2220,$B120,'ноябрь 2024'!$J$5:$J$2220,AE$1)</f>
        <v>0</v>
      </c>
      <c r="AF120" s="80">
        <f>SUMIFS('ноябрь 2024'!$G$5:$G$2220,'ноябрь 2024'!$D$5:$D$2220,$B120,'ноябрь 2024'!$J$5:$J$2220,AF$1)</f>
        <v>0</v>
      </c>
      <c r="AG120" s="80">
        <f>SUMIFS('ноябрь 2024'!$G$5:$G$2220,'ноябрь 2024'!$D$5:$D$2220,$B120,'ноябрь 2024'!$J$5:$J$2220,AG$1)</f>
        <v>0</v>
      </c>
      <c r="AH120" s="80">
        <f>SUMIFS('ноябрь 2024'!$G$5:$G$2220,'ноябрь 2024'!$D$5:$D$2220,$B120,'ноябрь 2024'!$J$5:$J$2220,AH$1)</f>
        <v>0</v>
      </c>
      <c r="AI120" s="21">
        <f t="shared" si="1"/>
        <v>0</v>
      </c>
    </row>
    <row r="121" spans="2:35" ht="15" customHeight="1" x14ac:dyDescent="0.25">
      <c r="B121" s="89" t="s">
        <v>1070</v>
      </c>
      <c r="C121" s="88">
        <v>180</v>
      </c>
      <c r="D121" s="80">
        <f>SUMIFS('ноябрь 2024'!$G$5:$G$2220,'ноябрь 2024'!$D$5:$D$2220,$B121,'ноябрь 2024'!$J$5:$J$2220,D$1)</f>
        <v>0</v>
      </c>
      <c r="E121" s="80">
        <f>SUMIFS('ноябрь 2024'!$G$5:$G$2220,'ноябрь 2024'!$D$5:$D$2220,$B121,'ноябрь 2024'!$J$5:$J$2220,E$1)</f>
        <v>0</v>
      </c>
      <c r="F121" s="80">
        <f>SUMIFS('ноябрь 2024'!$G$5:$G$2220,'ноябрь 2024'!$D$5:$D$2220,$B121,'ноябрь 2024'!$J$5:$J$2220,F$1)</f>
        <v>0</v>
      </c>
      <c r="G121" s="80">
        <f>SUMIFS('ноябрь 2024'!$G$5:$G$2220,'ноябрь 2024'!$D$5:$D$2220,$B121,'ноябрь 2024'!$J$5:$J$2220,G$1)</f>
        <v>0</v>
      </c>
      <c r="H121" s="80">
        <f>SUMIFS('ноябрь 2024'!$G$5:$G$2220,'ноябрь 2024'!$D$5:$D$2220,$B121,'ноябрь 2024'!$J$5:$J$2220,H$1)</f>
        <v>0</v>
      </c>
      <c r="I121" s="80">
        <f>SUMIFS('ноябрь 2024'!$G$5:$G$2220,'ноябрь 2024'!$D$5:$D$2220,$B121,'ноябрь 2024'!$J$5:$J$2220,I$1)</f>
        <v>0</v>
      </c>
      <c r="J121" s="80">
        <f>SUMIFS('ноябрь 2024'!$G$5:$G$2220,'ноябрь 2024'!$D$5:$D$2220,$B121,'ноябрь 2024'!$J$5:$J$2220,J$1)</f>
        <v>0</v>
      </c>
      <c r="K121" s="80">
        <f>SUMIFS('ноябрь 2024'!$G$5:$G$2220,'ноябрь 2024'!$D$5:$D$2220,$B121,'ноябрь 2024'!$J$5:$J$2220,K$1)</f>
        <v>0</v>
      </c>
      <c r="L121" s="80">
        <f>SUMIFS('ноябрь 2024'!$G$5:$G$2220,'ноябрь 2024'!$D$5:$D$2220,$B121,'ноябрь 2024'!$J$5:$J$2220,L$1)</f>
        <v>0</v>
      </c>
      <c r="M121" s="80">
        <f>SUMIFS('ноябрь 2024'!$G$5:$G$2220,'ноябрь 2024'!$D$5:$D$2220,$B121,'ноябрь 2024'!$J$5:$J$2220,M$1)</f>
        <v>0</v>
      </c>
      <c r="N121" s="80">
        <f>SUMIFS('ноябрь 2024'!$G$5:$G$2220,'ноябрь 2024'!$D$5:$D$2220,$B121,'ноябрь 2024'!$J$5:$J$2220,N$1)</f>
        <v>0</v>
      </c>
      <c r="O121" s="80">
        <f>SUMIFS('ноябрь 2024'!$G$5:$G$2220,'ноябрь 2024'!$D$5:$D$2220,$B121,'ноябрь 2024'!$J$5:$J$2220,O$1)</f>
        <v>0</v>
      </c>
      <c r="P121" s="80">
        <f>SUMIFS('ноябрь 2024'!$G$5:$G$2220,'ноябрь 2024'!$D$5:$D$2220,$B121,'ноябрь 2024'!$J$5:$J$2220,P$1)</f>
        <v>0</v>
      </c>
      <c r="Q121" s="80">
        <f>SUMIFS('ноябрь 2024'!$G$5:$G$2220,'ноябрь 2024'!$D$5:$D$2220,$B121,'ноябрь 2024'!$J$5:$J$2220,Q$1)</f>
        <v>0</v>
      </c>
      <c r="R121" s="80">
        <f>SUMIFS('ноябрь 2024'!$G$5:$G$2220,'ноябрь 2024'!$D$5:$D$2220,$B121,'ноябрь 2024'!$J$5:$J$2220,R$1)</f>
        <v>0</v>
      </c>
      <c r="S121" s="80">
        <f>SUMIFS('ноябрь 2024'!$G$5:$G$2220,'ноябрь 2024'!$D$5:$D$2220,$B121,'ноябрь 2024'!$J$5:$J$2220,S$1)</f>
        <v>0</v>
      </c>
      <c r="T121" s="80">
        <f>SUMIFS('ноябрь 2024'!$G$5:$G$2220,'ноябрь 2024'!$D$5:$D$2220,$B121,'ноябрь 2024'!$J$5:$J$2220,T$1)</f>
        <v>0</v>
      </c>
      <c r="U121" s="80">
        <f>SUMIFS('ноябрь 2024'!$G$5:$G$2220,'ноябрь 2024'!$D$5:$D$2220,$B121,'ноябрь 2024'!$J$5:$J$2220,U$1)</f>
        <v>0</v>
      </c>
      <c r="V121" s="80">
        <f>SUMIFS('ноябрь 2024'!$G$5:$G$2220,'ноябрь 2024'!$D$5:$D$2220,$B121,'ноябрь 2024'!$J$5:$J$2220,V$1)</f>
        <v>0</v>
      </c>
      <c r="W121" s="80">
        <f>SUMIFS('ноябрь 2024'!$G$5:$G$2220,'ноябрь 2024'!$D$5:$D$2220,$B121,'ноябрь 2024'!$J$5:$J$2220,W$1)</f>
        <v>0</v>
      </c>
      <c r="X121" s="80">
        <f>SUMIFS('ноябрь 2024'!$G$5:$G$2220,'ноябрь 2024'!$D$5:$D$2220,$B121,'ноябрь 2024'!$J$5:$J$2220,X$1)</f>
        <v>0</v>
      </c>
      <c r="Y121" s="80">
        <f>SUMIFS('ноябрь 2024'!$G$5:$G$2220,'ноябрь 2024'!$D$5:$D$2220,$B121,'ноябрь 2024'!$J$5:$J$2220,Y$1)</f>
        <v>0</v>
      </c>
      <c r="Z121" s="80">
        <f>SUMIFS('ноябрь 2024'!$G$5:$G$2220,'ноябрь 2024'!$D$5:$D$2220,$B121,'ноябрь 2024'!$J$5:$J$2220,Z$1)</f>
        <v>0</v>
      </c>
      <c r="AA121" s="80">
        <f>SUMIFS('ноябрь 2024'!$G$5:$G$2220,'ноябрь 2024'!$D$5:$D$2220,$B121,'ноябрь 2024'!$J$5:$J$2220,AA$1)</f>
        <v>0</v>
      </c>
      <c r="AB121" s="80">
        <f>SUMIFS('ноябрь 2024'!$G$5:$G$2220,'ноябрь 2024'!$D$5:$D$2220,$B121,'ноябрь 2024'!$J$5:$J$2220,AB$1)</f>
        <v>0</v>
      </c>
      <c r="AC121" s="80">
        <f>SUMIFS('ноябрь 2024'!$G$5:$G$2220,'ноябрь 2024'!$D$5:$D$2220,$B121,'ноябрь 2024'!$J$5:$J$2220,AC$1)</f>
        <v>0</v>
      </c>
      <c r="AD121" s="80">
        <f>SUMIFS('ноябрь 2024'!$G$5:$G$2220,'ноябрь 2024'!$D$5:$D$2220,$B121,'ноябрь 2024'!$J$5:$J$2220,AD$1)</f>
        <v>0</v>
      </c>
      <c r="AE121" s="80">
        <f>SUMIFS('ноябрь 2024'!$G$5:$G$2220,'ноябрь 2024'!$D$5:$D$2220,$B121,'ноябрь 2024'!$J$5:$J$2220,AE$1)</f>
        <v>0</v>
      </c>
      <c r="AF121" s="80">
        <f>SUMIFS('ноябрь 2024'!$G$5:$G$2220,'ноябрь 2024'!$D$5:$D$2220,$B121,'ноябрь 2024'!$J$5:$J$2220,AF$1)</f>
        <v>0</v>
      </c>
      <c r="AG121" s="80">
        <f>SUMIFS('ноябрь 2024'!$G$5:$G$2220,'ноябрь 2024'!$D$5:$D$2220,$B121,'ноябрь 2024'!$J$5:$J$2220,AG$1)</f>
        <v>0</v>
      </c>
      <c r="AH121" s="80">
        <f>SUMIFS('ноябрь 2024'!$G$5:$G$2220,'ноябрь 2024'!$D$5:$D$2220,$B121,'ноябрь 2024'!$J$5:$J$2220,AH$1)</f>
        <v>0</v>
      </c>
      <c r="AI121" s="21"/>
    </row>
    <row r="122" spans="2:35" ht="15" customHeight="1" x14ac:dyDescent="0.25">
      <c r="B122" s="89" t="s">
        <v>177</v>
      </c>
      <c r="C122" s="88">
        <v>200</v>
      </c>
      <c r="D122" s="80">
        <f>SUMIFS('ноябрь 2024'!$G$5:$G$2220,'ноябрь 2024'!$D$5:$D$2220,$B122,'ноябрь 2024'!$J$5:$J$2220,D$1)</f>
        <v>0</v>
      </c>
      <c r="E122" s="80">
        <f>SUMIFS('ноябрь 2024'!$G$5:$G$2220,'ноябрь 2024'!$D$5:$D$2220,$B122,'ноябрь 2024'!$J$5:$J$2220,E$1)</f>
        <v>0</v>
      </c>
      <c r="F122" s="80">
        <f>SUMIFS('ноябрь 2024'!$G$5:$G$2220,'ноябрь 2024'!$D$5:$D$2220,$B122,'ноябрь 2024'!$J$5:$J$2220,F$1)</f>
        <v>0</v>
      </c>
      <c r="G122" s="80">
        <f>SUMIFS('ноябрь 2024'!$G$5:$G$2220,'ноябрь 2024'!$D$5:$D$2220,$B122,'ноябрь 2024'!$J$5:$J$2220,G$1)</f>
        <v>0</v>
      </c>
      <c r="H122" s="80">
        <f>SUMIFS('ноябрь 2024'!$G$5:$G$2220,'ноябрь 2024'!$D$5:$D$2220,$B122,'ноябрь 2024'!$J$5:$J$2220,H$1)</f>
        <v>0</v>
      </c>
      <c r="I122" s="80">
        <f>SUMIFS('ноябрь 2024'!$G$5:$G$2220,'ноябрь 2024'!$D$5:$D$2220,$B122,'ноябрь 2024'!$J$5:$J$2220,I$1)</f>
        <v>0</v>
      </c>
      <c r="J122" s="80">
        <f>SUMIFS('ноябрь 2024'!$G$5:$G$2220,'ноябрь 2024'!$D$5:$D$2220,$B122,'ноябрь 2024'!$J$5:$J$2220,J$1)</f>
        <v>0</v>
      </c>
      <c r="K122" s="80">
        <f>SUMIFS('ноябрь 2024'!$G$5:$G$2220,'ноябрь 2024'!$D$5:$D$2220,$B122,'ноябрь 2024'!$J$5:$J$2220,K$1)</f>
        <v>0</v>
      </c>
      <c r="L122" s="80">
        <f>SUMIFS('ноябрь 2024'!$G$5:$G$2220,'ноябрь 2024'!$D$5:$D$2220,$B122,'ноябрь 2024'!$J$5:$J$2220,L$1)</f>
        <v>0</v>
      </c>
      <c r="M122" s="80">
        <f>SUMIFS('ноябрь 2024'!$G$5:$G$2220,'ноябрь 2024'!$D$5:$D$2220,$B122,'ноябрь 2024'!$J$5:$J$2220,M$1)</f>
        <v>0</v>
      </c>
      <c r="N122" s="80">
        <f>SUMIFS('ноябрь 2024'!$G$5:$G$2220,'ноябрь 2024'!$D$5:$D$2220,$B122,'ноябрь 2024'!$J$5:$J$2220,N$1)</f>
        <v>0</v>
      </c>
      <c r="O122" s="80">
        <f>SUMIFS('ноябрь 2024'!$G$5:$G$2220,'ноябрь 2024'!$D$5:$D$2220,$B122,'ноябрь 2024'!$J$5:$J$2220,O$1)</f>
        <v>0</v>
      </c>
      <c r="P122" s="80">
        <f>SUMIFS('ноябрь 2024'!$G$5:$G$2220,'ноябрь 2024'!$D$5:$D$2220,$B122,'ноябрь 2024'!$J$5:$J$2220,P$1)</f>
        <v>0</v>
      </c>
      <c r="Q122" s="80">
        <f>SUMIFS('ноябрь 2024'!$G$5:$G$2220,'ноябрь 2024'!$D$5:$D$2220,$B122,'ноябрь 2024'!$J$5:$J$2220,Q$1)</f>
        <v>0</v>
      </c>
      <c r="R122" s="80">
        <f>SUMIFS('ноябрь 2024'!$G$5:$G$2220,'ноябрь 2024'!$D$5:$D$2220,$B122,'ноябрь 2024'!$J$5:$J$2220,R$1)</f>
        <v>0</v>
      </c>
      <c r="S122" s="80">
        <f>SUMIFS('ноябрь 2024'!$G$5:$G$2220,'ноябрь 2024'!$D$5:$D$2220,$B122,'ноябрь 2024'!$J$5:$J$2220,S$1)</f>
        <v>0</v>
      </c>
      <c r="T122" s="80">
        <f>SUMIFS('ноябрь 2024'!$G$5:$G$2220,'ноябрь 2024'!$D$5:$D$2220,$B122,'ноябрь 2024'!$J$5:$J$2220,T$1)</f>
        <v>0</v>
      </c>
      <c r="U122" s="80">
        <f>SUMIFS('ноябрь 2024'!$G$5:$G$2220,'ноябрь 2024'!$D$5:$D$2220,$B122,'ноябрь 2024'!$J$5:$J$2220,U$1)</f>
        <v>0</v>
      </c>
      <c r="V122" s="80">
        <f>SUMIFS('ноябрь 2024'!$G$5:$G$2220,'ноябрь 2024'!$D$5:$D$2220,$B122,'ноябрь 2024'!$J$5:$J$2220,V$1)</f>
        <v>0</v>
      </c>
      <c r="W122" s="80">
        <f>SUMIFS('ноябрь 2024'!$G$5:$G$2220,'ноябрь 2024'!$D$5:$D$2220,$B122,'ноябрь 2024'!$J$5:$J$2220,W$1)</f>
        <v>0</v>
      </c>
      <c r="X122" s="80">
        <f>SUMIFS('ноябрь 2024'!$G$5:$G$2220,'ноябрь 2024'!$D$5:$D$2220,$B122,'ноябрь 2024'!$J$5:$J$2220,X$1)</f>
        <v>0</v>
      </c>
      <c r="Y122" s="80">
        <f>SUMIFS('ноябрь 2024'!$G$5:$G$2220,'ноябрь 2024'!$D$5:$D$2220,$B122,'ноябрь 2024'!$J$5:$J$2220,Y$1)</f>
        <v>0</v>
      </c>
      <c r="Z122" s="80">
        <f>SUMIFS('ноябрь 2024'!$G$5:$G$2220,'ноябрь 2024'!$D$5:$D$2220,$B122,'ноябрь 2024'!$J$5:$J$2220,Z$1)</f>
        <v>0</v>
      </c>
      <c r="AA122" s="80">
        <f>SUMIFS('ноябрь 2024'!$G$5:$G$2220,'ноябрь 2024'!$D$5:$D$2220,$B122,'ноябрь 2024'!$J$5:$J$2220,AA$1)</f>
        <v>0</v>
      </c>
      <c r="AB122" s="80">
        <f>SUMIFS('ноябрь 2024'!$G$5:$G$2220,'ноябрь 2024'!$D$5:$D$2220,$B122,'ноябрь 2024'!$J$5:$J$2220,AB$1)</f>
        <v>0</v>
      </c>
      <c r="AC122" s="80">
        <f>SUMIFS('ноябрь 2024'!$G$5:$G$2220,'ноябрь 2024'!$D$5:$D$2220,$B122,'ноябрь 2024'!$J$5:$J$2220,AC$1)</f>
        <v>0</v>
      </c>
      <c r="AD122" s="80">
        <f>SUMIFS('ноябрь 2024'!$G$5:$G$2220,'ноябрь 2024'!$D$5:$D$2220,$B122,'ноябрь 2024'!$J$5:$J$2220,AD$1)</f>
        <v>0</v>
      </c>
      <c r="AE122" s="80">
        <f>SUMIFS('ноябрь 2024'!$G$5:$G$2220,'ноябрь 2024'!$D$5:$D$2220,$B122,'ноябрь 2024'!$J$5:$J$2220,AE$1)</f>
        <v>0</v>
      </c>
      <c r="AF122" s="80">
        <f>SUMIFS('ноябрь 2024'!$G$5:$G$2220,'ноябрь 2024'!$D$5:$D$2220,$B122,'ноябрь 2024'!$J$5:$J$2220,AF$1)</f>
        <v>0</v>
      </c>
      <c r="AG122" s="80">
        <f>SUMIFS('ноябрь 2024'!$G$5:$G$2220,'ноябрь 2024'!$D$5:$D$2220,$B122,'ноябрь 2024'!$J$5:$J$2220,AG$1)</f>
        <v>0</v>
      </c>
      <c r="AH122" s="80">
        <f>SUMIFS('ноябрь 2024'!$G$5:$G$2220,'ноябрь 2024'!$D$5:$D$2220,$B122,'ноябрь 2024'!$J$5:$J$2220,AH$1)</f>
        <v>0</v>
      </c>
      <c r="AI122" s="21">
        <f t="shared" si="1"/>
        <v>0</v>
      </c>
    </row>
    <row r="123" spans="2:35" ht="15" customHeight="1" x14ac:dyDescent="0.25">
      <c r="B123" s="89" t="s">
        <v>178</v>
      </c>
      <c r="C123" s="88">
        <v>200</v>
      </c>
      <c r="D123" s="80">
        <f>SUMIFS('ноябрь 2024'!$G$5:$G$2220,'ноябрь 2024'!$D$5:$D$2220,$B123,'ноябрь 2024'!$J$5:$J$2220,D$1)</f>
        <v>0</v>
      </c>
      <c r="E123" s="80">
        <f>SUMIFS('ноябрь 2024'!$G$5:$G$2220,'ноябрь 2024'!$D$5:$D$2220,$B123,'ноябрь 2024'!$J$5:$J$2220,E$1)</f>
        <v>0</v>
      </c>
      <c r="F123" s="80">
        <f>SUMIFS('ноябрь 2024'!$G$5:$G$2220,'ноябрь 2024'!$D$5:$D$2220,$B123,'ноябрь 2024'!$J$5:$J$2220,F$1)</f>
        <v>0</v>
      </c>
      <c r="G123" s="80">
        <f>SUMIFS('ноябрь 2024'!$G$5:$G$2220,'ноябрь 2024'!$D$5:$D$2220,$B123,'ноябрь 2024'!$J$5:$J$2220,G$1)</f>
        <v>0</v>
      </c>
      <c r="H123" s="80">
        <f>SUMIFS('ноябрь 2024'!$G$5:$G$2220,'ноябрь 2024'!$D$5:$D$2220,$B123,'ноябрь 2024'!$J$5:$J$2220,H$1)</f>
        <v>0</v>
      </c>
      <c r="I123" s="80">
        <f>SUMIFS('ноябрь 2024'!$G$5:$G$2220,'ноябрь 2024'!$D$5:$D$2220,$B123,'ноябрь 2024'!$J$5:$J$2220,I$1)</f>
        <v>0</v>
      </c>
      <c r="J123" s="80">
        <f>SUMIFS('ноябрь 2024'!$G$5:$G$2220,'ноябрь 2024'!$D$5:$D$2220,$B123,'ноябрь 2024'!$J$5:$J$2220,J$1)</f>
        <v>0</v>
      </c>
      <c r="K123" s="80">
        <f>SUMIFS('ноябрь 2024'!$G$5:$G$2220,'ноябрь 2024'!$D$5:$D$2220,$B123,'ноябрь 2024'!$J$5:$J$2220,K$1)</f>
        <v>0</v>
      </c>
      <c r="L123" s="80">
        <f>SUMIFS('ноябрь 2024'!$G$5:$G$2220,'ноябрь 2024'!$D$5:$D$2220,$B123,'ноябрь 2024'!$J$5:$J$2220,L$1)</f>
        <v>0</v>
      </c>
      <c r="M123" s="80">
        <f>SUMIFS('ноябрь 2024'!$G$5:$G$2220,'ноябрь 2024'!$D$5:$D$2220,$B123,'ноябрь 2024'!$J$5:$J$2220,M$1)</f>
        <v>0</v>
      </c>
      <c r="N123" s="80">
        <f>SUMIFS('ноябрь 2024'!$G$5:$G$2220,'ноябрь 2024'!$D$5:$D$2220,$B123,'ноябрь 2024'!$J$5:$J$2220,N$1)</f>
        <v>0</v>
      </c>
      <c r="O123" s="80">
        <f>SUMIFS('ноябрь 2024'!$G$5:$G$2220,'ноябрь 2024'!$D$5:$D$2220,$B123,'ноябрь 2024'!$J$5:$J$2220,O$1)</f>
        <v>0</v>
      </c>
      <c r="P123" s="80">
        <f>SUMIFS('ноябрь 2024'!$G$5:$G$2220,'ноябрь 2024'!$D$5:$D$2220,$B123,'ноябрь 2024'!$J$5:$J$2220,P$1)</f>
        <v>0</v>
      </c>
      <c r="Q123" s="80">
        <f>SUMIFS('ноябрь 2024'!$G$5:$G$2220,'ноябрь 2024'!$D$5:$D$2220,$B123,'ноябрь 2024'!$J$5:$J$2220,Q$1)</f>
        <v>0</v>
      </c>
      <c r="R123" s="80">
        <f>SUMIFS('ноябрь 2024'!$G$5:$G$2220,'ноябрь 2024'!$D$5:$D$2220,$B123,'ноябрь 2024'!$J$5:$J$2220,R$1)</f>
        <v>0</v>
      </c>
      <c r="S123" s="80">
        <f>SUMIFS('ноябрь 2024'!$G$5:$G$2220,'ноябрь 2024'!$D$5:$D$2220,$B123,'ноябрь 2024'!$J$5:$J$2220,S$1)</f>
        <v>0</v>
      </c>
      <c r="T123" s="80">
        <f>SUMIFS('ноябрь 2024'!$G$5:$G$2220,'ноябрь 2024'!$D$5:$D$2220,$B123,'ноябрь 2024'!$J$5:$J$2220,T$1)</f>
        <v>0</v>
      </c>
      <c r="U123" s="80">
        <f>SUMIFS('ноябрь 2024'!$G$5:$G$2220,'ноябрь 2024'!$D$5:$D$2220,$B123,'ноябрь 2024'!$J$5:$J$2220,U$1)</f>
        <v>0</v>
      </c>
      <c r="V123" s="80">
        <f>SUMIFS('ноябрь 2024'!$G$5:$G$2220,'ноябрь 2024'!$D$5:$D$2220,$B123,'ноябрь 2024'!$J$5:$J$2220,V$1)</f>
        <v>0</v>
      </c>
      <c r="W123" s="80">
        <f>SUMIFS('ноябрь 2024'!$G$5:$G$2220,'ноябрь 2024'!$D$5:$D$2220,$B123,'ноябрь 2024'!$J$5:$J$2220,W$1)</f>
        <v>0</v>
      </c>
      <c r="X123" s="80">
        <f>SUMIFS('ноябрь 2024'!$G$5:$G$2220,'ноябрь 2024'!$D$5:$D$2220,$B123,'ноябрь 2024'!$J$5:$J$2220,X$1)</f>
        <v>0</v>
      </c>
      <c r="Y123" s="80">
        <f>SUMIFS('ноябрь 2024'!$G$5:$G$2220,'ноябрь 2024'!$D$5:$D$2220,$B123,'ноябрь 2024'!$J$5:$J$2220,Y$1)</f>
        <v>0</v>
      </c>
      <c r="Z123" s="80">
        <f>SUMIFS('ноябрь 2024'!$G$5:$G$2220,'ноябрь 2024'!$D$5:$D$2220,$B123,'ноябрь 2024'!$J$5:$J$2220,Z$1)</f>
        <v>0</v>
      </c>
      <c r="AA123" s="80">
        <f>SUMIFS('ноябрь 2024'!$G$5:$G$2220,'ноябрь 2024'!$D$5:$D$2220,$B123,'ноябрь 2024'!$J$5:$J$2220,AA$1)</f>
        <v>0</v>
      </c>
      <c r="AB123" s="80">
        <f>SUMIFS('ноябрь 2024'!$G$5:$G$2220,'ноябрь 2024'!$D$5:$D$2220,$B123,'ноябрь 2024'!$J$5:$J$2220,AB$1)</f>
        <v>0</v>
      </c>
      <c r="AC123" s="80">
        <f>SUMIFS('ноябрь 2024'!$G$5:$G$2220,'ноябрь 2024'!$D$5:$D$2220,$B123,'ноябрь 2024'!$J$5:$J$2220,AC$1)</f>
        <v>0</v>
      </c>
      <c r="AD123" s="80">
        <f>SUMIFS('ноябрь 2024'!$G$5:$G$2220,'ноябрь 2024'!$D$5:$D$2220,$B123,'ноябрь 2024'!$J$5:$J$2220,AD$1)</f>
        <v>0</v>
      </c>
      <c r="AE123" s="80">
        <f>SUMIFS('ноябрь 2024'!$G$5:$G$2220,'ноябрь 2024'!$D$5:$D$2220,$B123,'ноябрь 2024'!$J$5:$J$2220,AE$1)</f>
        <v>0</v>
      </c>
      <c r="AF123" s="80">
        <f>SUMIFS('ноябрь 2024'!$G$5:$G$2220,'ноябрь 2024'!$D$5:$D$2220,$B123,'ноябрь 2024'!$J$5:$J$2220,AF$1)</f>
        <v>0</v>
      </c>
      <c r="AG123" s="80">
        <f>SUMIFS('ноябрь 2024'!$G$5:$G$2220,'ноябрь 2024'!$D$5:$D$2220,$B123,'ноябрь 2024'!$J$5:$J$2220,AG$1)</f>
        <v>0</v>
      </c>
      <c r="AH123" s="80">
        <f>SUMIFS('ноябрь 2024'!$G$5:$G$2220,'ноябрь 2024'!$D$5:$D$2220,$B123,'ноябрь 2024'!$J$5:$J$2220,AH$1)</f>
        <v>0</v>
      </c>
      <c r="AI123" s="21">
        <f t="shared" si="1"/>
        <v>0</v>
      </c>
    </row>
    <row r="124" spans="2:35" ht="15" customHeight="1" x14ac:dyDescent="0.25">
      <c r="B124" s="89" t="s">
        <v>180</v>
      </c>
      <c r="C124" s="88">
        <v>200</v>
      </c>
      <c r="D124" s="80">
        <f>SUMIFS('ноябрь 2024'!$G$5:$G$2220,'ноябрь 2024'!$D$5:$D$2220,$B124,'ноябрь 2024'!$J$5:$J$2220,D$1)</f>
        <v>0</v>
      </c>
      <c r="E124" s="80">
        <f>SUMIFS('ноябрь 2024'!$G$5:$G$2220,'ноябрь 2024'!$D$5:$D$2220,$B124,'ноябрь 2024'!$J$5:$J$2220,E$1)</f>
        <v>0</v>
      </c>
      <c r="F124" s="80">
        <f>SUMIFS('ноябрь 2024'!$G$5:$G$2220,'ноябрь 2024'!$D$5:$D$2220,$B124,'ноябрь 2024'!$J$5:$J$2220,F$1)</f>
        <v>0</v>
      </c>
      <c r="G124" s="80">
        <f>SUMIFS('ноябрь 2024'!$G$5:$G$2220,'ноябрь 2024'!$D$5:$D$2220,$B124,'ноябрь 2024'!$J$5:$J$2220,G$1)</f>
        <v>0</v>
      </c>
      <c r="H124" s="80">
        <f>SUMIFS('ноябрь 2024'!$G$5:$G$2220,'ноябрь 2024'!$D$5:$D$2220,$B124,'ноябрь 2024'!$J$5:$J$2220,H$1)</f>
        <v>0</v>
      </c>
      <c r="I124" s="80">
        <f>SUMIFS('ноябрь 2024'!$G$5:$G$2220,'ноябрь 2024'!$D$5:$D$2220,$B124,'ноябрь 2024'!$J$5:$J$2220,I$1)</f>
        <v>0</v>
      </c>
      <c r="J124" s="80">
        <f>SUMIFS('ноябрь 2024'!$G$5:$G$2220,'ноябрь 2024'!$D$5:$D$2220,$B124,'ноябрь 2024'!$J$5:$J$2220,J$1)</f>
        <v>0</v>
      </c>
      <c r="K124" s="80">
        <f>SUMIFS('ноябрь 2024'!$G$5:$G$2220,'ноябрь 2024'!$D$5:$D$2220,$B124,'ноябрь 2024'!$J$5:$J$2220,K$1)</f>
        <v>0</v>
      </c>
      <c r="L124" s="80">
        <f>SUMIFS('ноябрь 2024'!$G$5:$G$2220,'ноябрь 2024'!$D$5:$D$2220,$B124,'ноябрь 2024'!$J$5:$J$2220,L$1)</f>
        <v>0</v>
      </c>
      <c r="M124" s="80">
        <f>SUMIFS('ноябрь 2024'!$G$5:$G$2220,'ноябрь 2024'!$D$5:$D$2220,$B124,'ноябрь 2024'!$J$5:$J$2220,M$1)</f>
        <v>0</v>
      </c>
      <c r="N124" s="80">
        <f>SUMIFS('ноябрь 2024'!$G$5:$G$2220,'ноябрь 2024'!$D$5:$D$2220,$B124,'ноябрь 2024'!$J$5:$J$2220,N$1)</f>
        <v>0</v>
      </c>
      <c r="O124" s="80">
        <f>SUMIFS('ноябрь 2024'!$G$5:$G$2220,'ноябрь 2024'!$D$5:$D$2220,$B124,'ноябрь 2024'!$J$5:$J$2220,O$1)</f>
        <v>0</v>
      </c>
      <c r="P124" s="80">
        <f>SUMIFS('ноябрь 2024'!$G$5:$G$2220,'ноябрь 2024'!$D$5:$D$2220,$B124,'ноябрь 2024'!$J$5:$J$2220,P$1)</f>
        <v>0</v>
      </c>
      <c r="Q124" s="80">
        <f>SUMIFS('ноябрь 2024'!$G$5:$G$2220,'ноябрь 2024'!$D$5:$D$2220,$B124,'ноябрь 2024'!$J$5:$J$2220,Q$1)</f>
        <v>0</v>
      </c>
      <c r="R124" s="80">
        <f>SUMIFS('ноябрь 2024'!$G$5:$G$2220,'ноябрь 2024'!$D$5:$D$2220,$B124,'ноябрь 2024'!$J$5:$J$2220,R$1)</f>
        <v>0</v>
      </c>
      <c r="S124" s="80">
        <f>SUMIFS('ноябрь 2024'!$G$5:$G$2220,'ноябрь 2024'!$D$5:$D$2220,$B124,'ноябрь 2024'!$J$5:$J$2220,S$1)</f>
        <v>0</v>
      </c>
      <c r="T124" s="80">
        <f>SUMIFS('ноябрь 2024'!$G$5:$G$2220,'ноябрь 2024'!$D$5:$D$2220,$B124,'ноябрь 2024'!$J$5:$J$2220,T$1)</f>
        <v>0</v>
      </c>
      <c r="U124" s="80">
        <f>SUMIFS('ноябрь 2024'!$G$5:$G$2220,'ноябрь 2024'!$D$5:$D$2220,$B124,'ноябрь 2024'!$J$5:$J$2220,U$1)</f>
        <v>0</v>
      </c>
      <c r="V124" s="80">
        <f>SUMIFS('ноябрь 2024'!$G$5:$G$2220,'ноябрь 2024'!$D$5:$D$2220,$B124,'ноябрь 2024'!$J$5:$J$2220,V$1)</f>
        <v>0</v>
      </c>
      <c r="W124" s="80">
        <f>SUMIFS('ноябрь 2024'!$G$5:$G$2220,'ноябрь 2024'!$D$5:$D$2220,$B124,'ноябрь 2024'!$J$5:$J$2220,W$1)</f>
        <v>0</v>
      </c>
      <c r="X124" s="80">
        <f>SUMIFS('ноябрь 2024'!$G$5:$G$2220,'ноябрь 2024'!$D$5:$D$2220,$B124,'ноябрь 2024'!$J$5:$J$2220,X$1)</f>
        <v>0</v>
      </c>
      <c r="Y124" s="80">
        <f>SUMIFS('ноябрь 2024'!$G$5:$G$2220,'ноябрь 2024'!$D$5:$D$2220,$B124,'ноябрь 2024'!$J$5:$J$2220,Y$1)</f>
        <v>0</v>
      </c>
      <c r="Z124" s="80">
        <f>SUMIFS('ноябрь 2024'!$G$5:$G$2220,'ноябрь 2024'!$D$5:$D$2220,$B124,'ноябрь 2024'!$J$5:$J$2220,Z$1)</f>
        <v>0</v>
      </c>
      <c r="AA124" s="80">
        <f>SUMIFS('ноябрь 2024'!$G$5:$G$2220,'ноябрь 2024'!$D$5:$D$2220,$B124,'ноябрь 2024'!$J$5:$J$2220,AA$1)</f>
        <v>0</v>
      </c>
      <c r="AB124" s="80">
        <f>SUMIFS('ноябрь 2024'!$G$5:$G$2220,'ноябрь 2024'!$D$5:$D$2220,$B124,'ноябрь 2024'!$J$5:$J$2220,AB$1)</f>
        <v>0</v>
      </c>
      <c r="AC124" s="80">
        <f>SUMIFS('ноябрь 2024'!$G$5:$G$2220,'ноябрь 2024'!$D$5:$D$2220,$B124,'ноябрь 2024'!$J$5:$J$2220,AC$1)</f>
        <v>0</v>
      </c>
      <c r="AD124" s="80">
        <f>SUMIFS('ноябрь 2024'!$G$5:$G$2220,'ноябрь 2024'!$D$5:$D$2220,$B124,'ноябрь 2024'!$J$5:$J$2220,AD$1)</f>
        <v>0</v>
      </c>
      <c r="AE124" s="80">
        <f>SUMIFS('ноябрь 2024'!$G$5:$G$2220,'ноябрь 2024'!$D$5:$D$2220,$B124,'ноябрь 2024'!$J$5:$J$2220,AE$1)</f>
        <v>0</v>
      </c>
      <c r="AF124" s="80">
        <f>SUMIFS('ноябрь 2024'!$G$5:$G$2220,'ноябрь 2024'!$D$5:$D$2220,$B124,'ноябрь 2024'!$J$5:$J$2220,AF$1)</f>
        <v>0</v>
      </c>
      <c r="AG124" s="80">
        <f>SUMIFS('ноябрь 2024'!$G$5:$G$2220,'ноябрь 2024'!$D$5:$D$2220,$B124,'ноябрь 2024'!$J$5:$J$2220,AG$1)</f>
        <v>0</v>
      </c>
      <c r="AH124" s="80">
        <f>SUMIFS('ноябрь 2024'!$G$5:$G$2220,'ноябрь 2024'!$D$5:$D$2220,$B124,'ноябрь 2024'!$J$5:$J$2220,AH$1)</f>
        <v>0</v>
      </c>
      <c r="AI124" s="21">
        <f t="shared" si="1"/>
        <v>0</v>
      </c>
    </row>
    <row r="125" spans="2:35" ht="15" customHeight="1" x14ac:dyDescent="0.25">
      <c r="B125" s="94" t="s">
        <v>194</v>
      </c>
      <c r="C125" s="95">
        <v>180</v>
      </c>
      <c r="D125" s="80">
        <f>SUMIFS('ноябрь 2024'!$G$5:$G$2220,'ноябрь 2024'!$D$5:$D$2220,$B125,'ноябрь 2024'!$J$5:$J$2220,D$1)</f>
        <v>0</v>
      </c>
      <c r="E125" s="80">
        <f>SUMIFS('ноябрь 2024'!$G$5:$G$2220,'ноябрь 2024'!$D$5:$D$2220,$B125,'ноябрь 2024'!$J$5:$J$2220,E$1)</f>
        <v>0</v>
      </c>
      <c r="F125" s="80">
        <f>SUMIFS('ноябрь 2024'!$G$5:$G$2220,'ноябрь 2024'!$D$5:$D$2220,$B125,'ноябрь 2024'!$J$5:$J$2220,F$1)</f>
        <v>0</v>
      </c>
      <c r="G125" s="80">
        <f>SUMIFS('ноябрь 2024'!$G$5:$G$2220,'ноябрь 2024'!$D$5:$D$2220,$B125,'ноябрь 2024'!$J$5:$J$2220,G$1)</f>
        <v>0</v>
      </c>
      <c r="H125" s="80">
        <f>SUMIFS('ноябрь 2024'!$G$5:$G$2220,'ноябрь 2024'!$D$5:$D$2220,$B125,'ноябрь 2024'!$J$5:$J$2220,H$1)</f>
        <v>0</v>
      </c>
      <c r="I125" s="80">
        <f>SUMIFS('ноябрь 2024'!$G$5:$G$2220,'ноябрь 2024'!$D$5:$D$2220,$B125,'ноябрь 2024'!$J$5:$J$2220,I$1)</f>
        <v>0</v>
      </c>
      <c r="J125" s="80">
        <f>SUMIFS('ноябрь 2024'!$G$5:$G$2220,'ноябрь 2024'!$D$5:$D$2220,$B125,'ноябрь 2024'!$J$5:$J$2220,J$1)</f>
        <v>0</v>
      </c>
      <c r="K125" s="80">
        <f>SUMIFS('ноябрь 2024'!$G$5:$G$2220,'ноябрь 2024'!$D$5:$D$2220,$B125,'ноябрь 2024'!$J$5:$J$2220,K$1)</f>
        <v>0</v>
      </c>
      <c r="L125" s="80">
        <f>SUMIFS('ноябрь 2024'!$G$5:$G$2220,'ноябрь 2024'!$D$5:$D$2220,$B125,'ноябрь 2024'!$J$5:$J$2220,L$1)</f>
        <v>0</v>
      </c>
      <c r="M125" s="80">
        <f>SUMIFS('ноябрь 2024'!$G$5:$G$2220,'ноябрь 2024'!$D$5:$D$2220,$B125,'ноябрь 2024'!$J$5:$J$2220,M$1)</f>
        <v>0</v>
      </c>
      <c r="N125" s="80">
        <f>SUMIFS('ноябрь 2024'!$G$5:$G$2220,'ноябрь 2024'!$D$5:$D$2220,$B125,'ноябрь 2024'!$J$5:$J$2220,N$1)</f>
        <v>0</v>
      </c>
      <c r="O125" s="80">
        <f>SUMIFS('ноябрь 2024'!$G$5:$G$2220,'ноябрь 2024'!$D$5:$D$2220,$B125,'ноябрь 2024'!$J$5:$J$2220,O$1)</f>
        <v>0</v>
      </c>
      <c r="P125" s="80">
        <f>SUMIFS('ноябрь 2024'!$G$5:$G$2220,'ноябрь 2024'!$D$5:$D$2220,$B125,'ноябрь 2024'!$J$5:$J$2220,P$1)</f>
        <v>0</v>
      </c>
      <c r="Q125" s="80">
        <f>SUMIFS('ноябрь 2024'!$G$5:$G$2220,'ноябрь 2024'!$D$5:$D$2220,$B125,'ноябрь 2024'!$J$5:$J$2220,Q$1)</f>
        <v>0</v>
      </c>
      <c r="R125" s="80">
        <f>SUMIFS('ноябрь 2024'!$G$5:$G$2220,'ноябрь 2024'!$D$5:$D$2220,$B125,'ноябрь 2024'!$J$5:$J$2220,R$1)</f>
        <v>0</v>
      </c>
      <c r="S125" s="80">
        <f>SUMIFS('ноябрь 2024'!$G$5:$G$2220,'ноябрь 2024'!$D$5:$D$2220,$B125,'ноябрь 2024'!$J$5:$J$2220,S$1)</f>
        <v>0</v>
      </c>
      <c r="T125" s="80">
        <f>SUMIFS('ноябрь 2024'!$G$5:$G$2220,'ноябрь 2024'!$D$5:$D$2220,$B125,'ноябрь 2024'!$J$5:$J$2220,T$1)</f>
        <v>0</v>
      </c>
      <c r="U125" s="80">
        <f>SUMIFS('ноябрь 2024'!$G$5:$G$2220,'ноябрь 2024'!$D$5:$D$2220,$B125,'ноябрь 2024'!$J$5:$J$2220,U$1)</f>
        <v>0</v>
      </c>
      <c r="V125" s="80">
        <f>SUMIFS('ноябрь 2024'!$G$5:$G$2220,'ноябрь 2024'!$D$5:$D$2220,$B125,'ноябрь 2024'!$J$5:$J$2220,V$1)</f>
        <v>0</v>
      </c>
      <c r="W125" s="80">
        <f>SUMIFS('ноябрь 2024'!$G$5:$G$2220,'ноябрь 2024'!$D$5:$D$2220,$B125,'ноябрь 2024'!$J$5:$J$2220,W$1)</f>
        <v>0</v>
      </c>
      <c r="X125" s="80">
        <f>SUMIFS('ноябрь 2024'!$G$5:$G$2220,'ноябрь 2024'!$D$5:$D$2220,$B125,'ноябрь 2024'!$J$5:$J$2220,X$1)</f>
        <v>0</v>
      </c>
      <c r="Y125" s="80">
        <f>SUMIFS('ноябрь 2024'!$G$5:$G$2220,'ноябрь 2024'!$D$5:$D$2220,$B125,'ноябрь 2024'!$J$5:$J$2220,Y$1)</f>
        <v>0</v>
      </c>
      <c r="Z125" s="80">
        <f>SUMIFS('ноябрь 2024'!$G$5:$G$2220,'ноябрь 2024'!$D$5:$D$2220,$B125,'ноябрь 2024'!$J$5:$J$2220,Z$1)</f>
        <v>0</v>
      </c>
      <c r="AA125" s="80">
        <f>SUMIFS('ноябрь 2024'!$G$5:$G$2220,'ноябрь 2024'!$D$5:$D$2220,$B125,'ноябрь 2024'!$J$5:$J$2220,AA$1)</f>
        <v>0</v>
      </c>
      <c r="AB125" s="80">
        <f>SUMIFS('ноябрь 2024'!$G$5:$G$2220,'ноябрь 2024'!$D$5:$D$2220,$B125,'ноябрь 2024'!$J$5:$J$2220,AB$1)</f>
        <v>0</v>
      </c>
      <c r="AC125" s="80">
        <f>SUMIFS('ноябрь 2024'!$G$5:$G$2220,'ноябрь 2024'!$D$5:$D$2220,$B125,'ноябрь 2024'!$J$5:$J$2220,AC$1)</f>
        <v>0</v>
      </c>
      <c r="AD125" s="80">
        <f>SUMIFS('ноябрь 2024'!$G$5:$G$2220,'ноябрь 2024'!$D$5:$D$2220,$B125,'ноябрь 2024'!$J$5:$J$2220,AD$1)</f>
        <v>0</v>
      </c>
      <c r="AE125" s="80">
        <f>SUMIFS('ноябрь 2024'!$G$5:$G$2220,'ноябрь 2024'!$D$5:$D$2220,$B125,'ноябрь 2024'!$J$5:$J$2220,AE$1)</f>
        <v>0</v>
      </c>
      <c r="AF125" s="80">
        <f>SUMIFS('ноябрь 2024'!$G$5:$G$2220,'ноябрь 2024'!$D$5:$D$2220,$B125,'ноябрь 2024'!$J$5:$J$2220,AF$1)</f>
        <v>0</v>
      </c>
      <c r="AG125" s="80">
        <f>SUMIFS('ноябрь 2024'!$G$5:$G$2220,'ноябрь 2024'!$D$5:$D$2220,$B125,'ноябрь 2024'!$J$5:$J$2220,AG$1)</f>
        <v>0</v>
      </c>
      <c r="AH125" s="80">
        <f>SUMIFS('ноябрь 2024'!$G$5:$G$2220,'ноябрь 2024'!$D$5:$D$2220,$B125,'ноябрь 2024'!$J$5:$J$2220,AH$1)</f>
        <v>0</v>
      </c>
      <c r="AI125" s="21">
        <f t="shared" si="1"/>
        <v>0</v>
      </c>
    </row>
    <row r="126" spans="2:35" ht="15" customHeight="1" x14ac:dyDescent="0.25">
      <c r="B126" s="89" t="s">
        <v>332</v>
      </c>
      <c r="C126" s="91">
        <v>180</v>
      </c>
      <c r="D126" s="80">
        <f>SUMIFS('ноябрь 2024'!$G$5:$G$2220,'ноябрь 2024'!$D$5:$D$2220,$B126,'ноябрь 2024'!$J$5:$J$2220,D$1)</f>
        <v>0</v>
      </c>
      <c r="E126" s="80">
        <f>SUMIFS('ноябрь 2024'!$G$5:$G$2220,'ноябрь 2024'!$D$5:$D$2220,$B126,'ноябрь 2024'!$J$5:$J$2220,E$1)</f>
        <v>0</v>
      </c>
      <c r="F126" s="80">
        <f>SUMIFS('ноябрь 2024'!$G$5:$G$2220,'ноябрь 2024'!$D$5:$D$2220,$B126,'ноябрь 2024'!$J$5:$J$2220,F$1)</f>
        <v>0</v>
      </c>
      <c r="G126" s="80">
        <f>SUMIFS('ноябрь 2024'!$G$5:$G$2220,'ноябрь 2024'!$D$5:$D$2220,$B126,'ноябрь 2024'!$J$5:$J$2220,G$1)</f>
        <v>0</v>
      </c>
      <c r="H126" s="80">
        <f>SUMIFS('ноябрь 2024'!$G$5:$G$2220,'ноябрь 2024'!$D$5:$D$2220,$B126,'ноябрь 2024'!$J$5:$J$2220,H$1)</f>
        <v>0</v>
      </c>
      <c r="I126" s="80">
        <f>SUMIFS('ноябрь 2024'!$G$5:$G$2220,'ноябрь 2024'!$D$5:$D$2220,$B126,'ноябрь 2024'!$J$5:$J$2220,I$1)</f>
        <v>0</v>
      </c>
      <c r="J126" s="80">
        <f>SUMIFS('ноябрь 2024'!$G$5:$G$2220,'ноябрь 2024'!$D$5:$D$2220,$B126,'ноябрь 2024'!$J$5:$J$2220,J$1)</f>
        <v>0</v>
      </c>
      <c r="K126" s="80">
        <f>SUMIFS('ноябрь 2024'!$G$5:$G$2220,'ноябрь 2024'!$D$5:$D$2220,$B126,'ноябрь 2024'!$J$5:$J$2220,K$1)</f>
        <v>0</v>
      </c>
      <c r="L126" s="80">
        <f>SUMIFS('ноябрь 2024'!$G$5:$G$2220,'ноябрь 2024'!$D$5:$D$2220,$B126,'ноябрь 2024'!$J$5:$J$2220,L$1)</f>
        <v>0</v>
      </c>
      <c r="M126" s="80">
        <f>SUMIFS('ноябрь 2024'!$G$5:$G$2220,'ноябрь 2024'!$D$5:$D$2220,$B126,'ноябрь 2024'!$J$5:$J$2220,M$1)</f>
        <v>0</v>
      </c>
      <c r="N126" s="80">
        <f>SUMIFS('ноябрь 2024'!$G$5:$G$2220,'ноябрь 2024'!$D$5:$D$2220,$B126,'ноябрь 2024'!$J$5:$J$2220,N$1)</f>
        <v>0</v>
      </c>
      <c r="O126" s="80">
        <f>SUMIFS('ноябрь 2024'!$G$5:$G$2220,'ноябрь 2024'!$D$5:$D$2220,$B126,'ноябрь 2024'!$J$5:$J$2220,O$1)</f>
        <v>0</v>
      </c>
      <c r="P126" s="80">
        <f>SUMIFS('ноябрь 2024'!$G$5:$G$2220,'ноябрь 2024'!$D$5:$D$2220,$B126,'ноябрь 2024'!$J$5:$J$2220,P$1)</f>
        <v>0</v>
      </c>
      <c r="Q126" s="80">
        <f>SUMIFS('ноябрь 2024'!$G$5:$G$2220,'ноябрь 2024'!$D$5:$D$2220,$B126,'ноябрь 2024'!$J$5:$J$2220,Q$1)</f>
        <v>0</v>
      </c>
      <c r="R126" s="80">
        <f>SUMIFS('ноябрь 2024'!$G$5:$G$2220,'ноябрь 2024'!$D$5:$D$2220,$B126,'ноябрь 2024'!$J$5:$J$2220,R$1)</f>
        <v>0</v>
      </c>
      <c r="S126" s="80">
        <f>SUMIFS('ноябрь 2024'!$G$5:$G$2220,'ноябрь 2024'!$D$5:$D$2220,$B126,'ноябрь 2024'!$J$5:$J$2220,S$1)</f>
        <v>0</v>
      </c>
      <c r="T126" s="80">
        <f>SUMIFS('ноябрь 2024'!$G$5:$G$2220,'ноябрь 2024'!$D$5:$D$2220,$B126,'ноябрь 2024'!$J$5:$J$2220,T$1)</f>
        <v>0</v>
      </c>
      <c r="U126" s="80">
        <f>SUMIFS('ноябрь 2024'!$G$5:$G$2220,'ноябрь 2024'!$D$5:$D$2220,$B126,'ноябрь 2024'!$J$5:$J$2220,U$1)</f>
        <v>0</v>
      </c>
      <c r="V126" s="80">
        <f>SUMIFS('ноябрь 2024'!$G$5:$G$2220,'ноябрь 2024'!$D$5:$D$2220,$B126,'ноябрь 2024'!$J$5:$J$2220,V$1)</f>
        <v>0</v>
      </c>
      <c r="W126" s="80">
        <f>SUMIFS('ноябрь 2024'!$G$5:$G$2220,'ноябрь 2024'!$D$5:$D$2220,$B126,'ноябрь 2024'!$J$5:$J$2220,W$1)</f>
        <v>0</v>
      </c>
      <c r="X126" s="80">
        <f>SUMIFS('ноябрь 2024'!$G$5:$G$2220,'ноябрь 2024'!$D$5:$D$2220,$B126,'ноябрь 2024'!$J$5:$J$2220,X$1)</f>
        <v>0</v>
      </c>
      <c r="Y126" s="80">
        <f>SUMIFS('ноябрь 2024'!$G$5:$G$2220,'ноябрь 2024'!$D$5:$D$2220,$B126,'ноябрь 2024'!$J$5:$J$2220,Y$1)</f>
        <v>0</v>
      </c>
      <c r="Z126" s="80">
        <f>SUMIFS('ноябрь 2024'!$G$5:$G$2220,'ноябрь 2024'!$D$5:$D$2220,$B126,'ноябрь 2024'!$J$5:$J$2220,Z$1)</f>
        <v>0</v>
      </c>
      <c r="AA126" s="80">
        <f>SUMIFS('ноябрь 2024'!$G$5:$G$2220,'ноябрь 2024'!$D$5:$D$2220,$B126,'ноябрь 2024'!$J$5:$J$2220,AA$1)</f>
        <v>0</v>
      </c>
      <c r="AB126" s="80">
        <f>SUMIFS('ноябрь 2024'!$G$5:$G$2220,'ноябрь 2024'!$D$5:$D$2220,$B126,'ноябрь 2024'!$J$5:$J$2220,AB$1)</f>
        <v>0</v>
      </c>
      <c r="AC126" s="80">
        <f>SUMIFS('ноябрь 2024'!$G$5:$G$2220,'ноябрь 2024'!$D$5:$D$2220,$B126,'ноябрь 2024'!$J$5:$J$2220,AC$1)</f>
        <v>0</v>
      </c>
      <c r="AD126" s="80">
        <f>SUMIFS('ноябрь 2024'!$G$5:$G$2220,'ноябрь 2024'!$D$5:$D$2220,$B126,'ноябрь 2024'!$J$5:$J$2220,AD$1)</f>
        <v>0</v>
      </c>
      <c r="AE126" s="80">
        <f>SUMIFS('ноябрь 2024'!$G$5:$G$2220,'ноябрь 2024'!$D$5:$D$2220,$B126,'ноябрь 2024'!$J$5:$J$2220,AE$1)</f>
        <v>0</v>
      </c>
      <c r="AF126" s="80">
        <f>SUMIFS('ноябрь 2024'!$G$5:$G$2220,'ноябрь 2024'!$D$5:$D$2220,$B126,'ноябрь 2024'!$J$5:$J$2220,AF$1)</f>
        <v>0</v>
      </c>
      <c r="AG126" s="80">
        <f>SUMIFS('ноябрь 2024'!$G$5:$G$2220,'ноябрь 2024'!$D$5:$D$2220,$B126,'ноябрь 2024'!$J$5:$J$2220,AG$1)</f>
        <v>0</v>
      </c>
      <c r="AH126" s="80">
        <f>SUMIFS('ноябрь 2024'!$G$5:$G$2220,'ноябрь 2024'!$D$5:$D$2220,$B126,'ноябрь 2024'!$J$5:$J$2220,AH$1)</f>
        <v>0</v>
      </c>
      <c r="AI126" s="21">
        <f t="shared" si="1"/>
        <v>0</v>
      </c>
    </row>
    <row r="127" spans="2:35" ht="15" customHeight="1" x14ac:dyDescent="0.25">
      <c r="B127" s="89" t="s">
        <v>342</v>
      </c>
      <c r="C127" s="91">
        <v>180</v>
      </c>
      <c r="D127" s="80">
        <f>SUMIFS('ноябрь 2024'!$G$5:$G$2220,'ноябрь 2024'!$D$5:$D$2220,$B127,'ноябрь 2024'!$J$5:$J$2220,D$1)</f>
        <v>0</v>
      </c>
      <c r="E127" s="80">
        <f>SUMIFS('ноябрь 2024'!$G$5:$G$2220,'ноябрь 2024'!$D$5:$D$2220,$B127,'ноябрь 2024'!$J$5:$J$2220,E$1)</f>
        <v>0</v>
      </c>
      <c r="F127" s="80">
        <f>SUMIFS('ноябрь 2024'!$G$5:$G$2220,'ноябрь 2024'!$D$5:$D$2220,$B127,'ноябрь 2024'!$J$5:$J$2220,F$1)</f>
        <v>0</v>
      </c>
      <c r="G127" s="80">
        <f>SUMIFS('ноябрь 2024'!$G$5:$G$2220,'ноябрь 2024'!$D$5:$D$2220,$B127,'ноябрь 2024'!$J$5:$J$2220,G$1)</f>
        <v>0</v>
      </c>
      <c r="H127" s="80">
        <f>SUMIFS('ноябрь 2024'!$G$5:$G$2220,'ноябрь 2024'!$D$5:$D$2220,$B127,'ноябрь 2024'!$J$5:$J$2220,H$1)</f>
        <v>0</v>
      </c>
      <c r="I127" s="80">
        <f>SUMIFS('ноябрь 2024'!$G$5:$G$2220,'ноябрь 2024'!$D$5:$D$2220,$B127,'ноябрь 2024'!$J$5:$J$2220,I$1)</f>
        <v>0</v>
      </c>
      <c r="J127" s="80">
        <f>SUMIFS('ноябрь 2024'!$G$5:$G$2220,'ноябрь 2024'!$D$5:$D$2220,$B127,'ноябрь 2024'!$J$5:$J$2220,J$1)</f>
        <v>0</v>
      </c>
      <c r="K127" s="80">
        <f>SUMIFS('ноябрь 2024'!$G$5:$G$2220,'ноябрь 2024'!$D$5:$D$2220,$B127,'ноябрь 2024'!$J$5:$J$2220,K$1)</f>
        <v>0</v>
      </c>
      <c r="L127" s="80">
        <f>SUMIFS('ноябрь 2024'!$G$5:$G$2220,'ноябрь 2024'!$D$5:$D$2220,$B127,'ноябрь 2024'!$J$5:$J$2220,L$1)</f>
        <v>0</v>
      </c>
      <c r="M127" s="80">
        <f>SUMIFS('ноябрь 2024'!$G$5:$G$2220,'ноябрь 2024'!$D$5:$D$2220,$B127,'ноябрь 2024'!$J$5:$J$2220,M$1)</f>
        <v>0</v>
      </c>
      <c r="N127" s="80">
        <f>SUMIFS('ноябрь 2024'!$G$5:$G$2220,'ноябрь 2024'!$D$5:$D$2220,$B127,'ноябрь 2024'!$J$5:$J$2220,N$1)</f>
        <v>0</v>
      </c>
      <c r="O127" s="80">
        <f>SUMIFS('ноябрь 2024'!$G$5:$G$2220,'ноябрь 2024'!$D$5:$D$2220,$B127,'ноябрь 2024'!$J$5:$J$2220,O$1)</f>
        <v>0</v>
      </c>
      <c r="P127" s="80">
        <f>SUMIFS('ноябрь 2024'!$G$5:$G$2220,'ноябрь 2024'!$D$5:$D$2220,$B127,'ноябрь 2024'!$J$5:$J$2220,P$1)</f>
        <v>0</v>
      </c>
      <c r="Q127" s="80">
        <f>SUMIFS('ноябрь 2024'!$G$5:$G$2220,'ноябрь 2024'!$D$5:$D$2220,$B127,'ноябрь 2024'!$J$5:$J$2220,Q$1)</f>
        <v>0</v>
      </c>
      <c r="R127" s="80">
        <f>SUMIFS('ноябрь 2024'!$G$5:$G$2220,'ноябрь 2024'!$D$5:$D$2220,$B127,'ноябрь 2024'!$J$5:$J$2220,R$1)</f>
        <v>0</v>
      </c>
      <c r="S127" s="80">
        <f>SUMIFS('ноябрь 2024'!$G$5:$G$2220,'ноябрь 2024'!$D$5:$D$2220,$B127,'ноябрь 2024'!$J$5:$J$2220,S$1)</f>
        <v>0</v>
      </c>
      <c r="T127" s="80">
        <f>SUMIFS('ноябрь 2024'!$G$5:$G$2220,'ноябрь 2024'!$D$5:$D$2220,$B127,'ноябрь 2024'!$J$5:$J$2220,T$1)</f>
        <v>0</v>
      </c>
      <c r="U127" s="80">
        <f>SUMIFS('ноябрь 2024'!$G$5:$G$2220,'ноябрь 2024'!$D$5:$D$2220,$B127,'ноябрь 2024'!$J$5:$J$2220,U$1)</f>
        <v>0</v>
      </c>
      <c r="V127" s="80">
        <f>SUMIFS('ноябрь 2024'!$G$5:$G$2220,'ноябрь 2024'!$D$5:$D$2220,$B127,'ноябрь 2024'!$J$5:$J$2220,V$1)</f>
        <v>0</v>
      </c>
      <c r="W127" s="80">
        <f>SUMIFS('ноябрь 2024'!$G$5:$G$2220,'ноябрь 2024'!$D$5:$D$2220,$B127,'ноябрь 2024'!$J$5:$J$2220,W$1)</f>
        <v>0</v>
      </c>
      <c r="X127" s="80">
        <f>SUMIFS('ноябрь 2024'!$G$5:$G$2220,'ноябрь 2024'!$D$5:$D$2220,$B127,'ноябрь 2024'!$J$5:$J$2220,X$1)</f>
        <v>0</v>
      </c>
      <c r="Y127" s="80">
        <f>SUMIFS('ноябрь 2024'!$G$5:$G$2220,'ноябрь 2024'!$D$5:$D$2220,$B127,'ноябрь 2024'!$J$5:$J$2220,Y$1)</f>
        <v>0</v>
      </c>
      <c r="Z127" s="80">
        <f>SUMIFS('ноябрь 2024'!$G$5:$G$2220,'ноябрь 2024'!$D$5:$D$2220,$B127,'ноябрь 2024'!$J$5:$J$2220,Z$1)</f>
        <v>0</v>
      </c>
      <c r="AA127" s="80">
        <f>SUMIFS('ноябрь 2024'!$G$5:$G$2220,'ноябрь 2024'!$D$5:$D$2220,$B127,'ноябрь 2024'!$J$5:$J$2220,AA$1)</f>
        <v>0</v>
      </c>
      <c r="AB127" s="80">
        <f>SUMIFS('ноябрь 2024'!$G$5:$G$2220,'ноябрь 2024'!$D$5:$D$2220,$B127,'ноябрь 2024'!$J$5:$J$2220,AB$1)</f>
        <v>0</v>
      </c>
      <c r="AC127" s="80">
        <f>SUMIFS('ноябрь 2024'!$G$5:$G$2220,'ноябрь 2024'!$D$5:$D$2220,$B127,'ноябрь 2024'!$J$5:$J$2220,AC$1)</f>
        <v>0</v>
      </c>
      <c r="AD127" s="80">
        <f>SUMIFS('ноябрь 2024'!$G$5:$G$2220,'ноябрь 2024'!$D$5:$D$2220,$B127,'ноябрь 2024'!$J$5:$J$2220,AD$1)</f>
        <v>0</v>
      </c>
      <c r="AE127" s="80">
        <f>SUMIFS('ноябрь 2024'!$G$5:$G$2220,'ноябрь 2024'!$D$5:$D$2220,$B127,'ноябрь 2024'!$J$5:$J$2220,AE$1)</f>
        <v>0</v>
      </c>
      <c r="AF127" s="80">
        <f>SUMIFS('ноябрь 2024'!$G$5:$G$2220,'ноябрь 2024'!$D$5:$D$2220,$B127,'ноябрь 2024'!$J$5:$J$2220,AF$1)</f>
        <v>0</v>
      </c>
      <c r="AG127" s="80">
        <f>SUMIFS('ноябрь 2024'!$G$5:$G$2220,'ноябрь 2024'!$D$5:$D$2220,$B127,'ноябрь 2024'!$J$5:$J$2220,AG$1)</f>
        <v>0</v>
      </c>
      <c r="AH127" s="80">
        <f>SUMIFS('ноябрь 2024'!$G$5:$G$2220,'ноябрь 2024'!$D$5:$D$2220,$B127,'ноябрь 2024'!$J$5:$J$2220,AH$1)</f>
        <v>0</v>
      </c>
      <c r="AI127" s="21">
        <f t="shared" si="1"/>
        <v>0</v>
      </c>
    </row>
    <row r="128" spans="2:35" ht="15" customHeight="1" x14ac:dyDescent="0.25">
      <c r="B128" s="89" t="s">
        <v>760</v>
      </c>
      <c r="C128" s="91">
        <v>190</v>
      </c>
      <c r="D128" s="80">
        <f>SUMIFS('ноябрь 2024'!$G$5:$G$2220,'ноябрь 2024'!$D$5:$D$2220,$B128,'ноябрь 2024'!$J$5:$J$2220,D$1)</f>
        <v>0</v>
      </c>
      <c r="E128" s="80">
        <f>SUMIFS('ноябрь 2024'!$G$5:$G$2220,'ноябрь 2024'!$D$5:$D$2220,$B128,'ноябрь 2024'!$J$5:$J$2220,E$1)</f>
        <v>0</v>
      </c>
      <c r="F128" s="80">
        <f>SUMIFS('ноябрь 2024'!$G$5:$G$2220,'ноябрь 2024'!$D$5:$D$2220,$B128,'ноябрь 2024'!$J$5:$J$2220,F$1)</f>
        <v>0</v>
      </c>
      <c r="G128" s="80">
        <f>SUMIFS('ноябрь 2024'!$G$5:$G$2220,'ноябрь 2024'!$D$5:$D$2220,$B128,'ноябрь 2024'!$J$5:$J$2220,G$1)</f>
        <v>0</v>
      </c>
      <c r="H128" s="80">
        <f>SUMIFS('ноябрь 2024'!$G$5:$G$2220,'ноябрь 2024'!$D$5:$D$2220,$B128,'ноябрь 2024'!$J$5:$J$2220,H$1)</f>
        <v>0</v>
      </c>
      <c r="I128" s="80">
        <f>SUMIFS('ноябрь 2024'!$G$5:$G$2220,'ноябрь 2024'!$D$5:$D$2220,$B128,'ноябрь 2024'!$J$5:$J$2220,I$1)</f>
        <v>0</v>
      </c>
      <c r="J128" s="80">
        <f>SUMIFS('ноябрь 2024'!$G$5:$G$2220,'ноябрь 2024'!$D$5:$D$2220,$B128,'ноябрь 2024'!$J$5:$J$2220,J$1)</f>
        <v>0</v>
      </c>
      <c r="K128" s="80">
        <f>SUMIFS('ноябрь 2024'!$G$5:$G$2220,'ноябрь 2024'!$D$5:$D$2220,$B128,'ноябрь 2024'!$J$5:$J$2220,K$1)</f>
        <v>0</v>
      </c>
      <c r="L128" s="80">
        <f>SUMIFS('ноябрь 2024'!$G$5:$G$2220,'ноябрь 2024'!$D$5:$D$2220,$B128,'ноябрь 2024'!$J$5:$J$2220,L$1)</f>
        <v>0</v>
      </c>
      <c r="M128" s="80">
        <f>SUMIFS('ноябрь 2024'!$G$5:$G$2220,'ноябрь 2024'!$D$5:$D$2220,$B128,'ноябрь 2024'!$J$5:$J$2220,M$1)</f>
        <v>0</v>
      </c>
      <c r="N128" s="80">
        <f>SUMIFS('ноябрь 2024'!$G$5:$G$2220,'ноябрь 2024'!$D$5:$D$2220,$B128,'ноябрь 2024'!$J$5:$J$2220,N$1)</f>
        <v>0</v>
      </c>
      <c r="O128" s="80">
        <f>SUMIFS('ноябрь 2024'!$G$5:$G$2220,'ноябрь 2024'!$D$5:$D$2220,$B128,'ноябрь 2024'!$J$5:$J$2220,O$1)</f>
        <v>0</v>
      </c>
      <c r="P128" s="80">
        <f>SUMIFS('ноябрь 2024'!$G$5:$G$2220,'ноябрь 2024'!$D$5:$D$2220,$B128,'ноябрь 2024'!$J$5:$J$2220,P$1)</f>
        <v>0</v>
      </c>
      <c r="Q128" s="80">
        <f>SUMIFS('ноябрь 2024'!$G$5:$G$2220,'ноябрь 2024'!$D$5:$D$2220,$B128,'ноябрь 2024'!$J$5:$J$2220,Q$1)</f>
        <v>0</v>
      </c>
      <c r="R128" s="80">
        <f>SUMIFS('ноябрь 2024'!$G$5:$G$2220,'ноябрь 2024'!$D$5:$D$2220,$B128,'ноябрь 2024'!$J$5:$J$2220,R$1)</f>
        <v>0</v>
      </c>
      <c r="S128" s="80">
        <f>SUMIFS('ноябрь 2024'!$G$5:$G$2220,'ноябрь 2024'!$D$5:$D$2220,$B128,'ноябрь 2024'!$J$5:$J$2220,S$1)</f>
        <v>0</v>
      </c>
      <c r="T128" s="80">
        <f>SUMIFS('ноябрь 2024'!$G$5:$G$2220,'ноябрь 2024'!$D$5:$D$2220,$B128,'ноябрь 2024'!$J$5:$J$2220,T$1)</f>
        <v>0</v>
      </c>
      <c r="U128" s="80">
        <f>SUMIFS('ноябрь 2024'!$G$5:$G$2220,'ноябрь 2024'!$D$5:$D$2220,$B128,'ноябрь 2024'!$J$5:$J$2220,U$1)</f>
        <v>0</v>
      </c>
      <c r="V128" s="80">
        <f>SUMIFS('ноябрь 2024'!$G$5:$G$2220,'ноябрь 2024'!$D$5:$D$2220,$B128,'ноябрь 2024'!$J$5:$J$2220,V$1)</f>
        <v>0</v>
      </c>
      <c r="W128" s="80">
        <f>SUMIFS('ноябрь 2024'!$G$5:$G$2220,'ноябрь 2024'!$D$5:$D$2220,$B128,'ноябрь 2024'!$J$5:$J$2220,W$1)</f>
        <v>0</v>
      </c>
      <c r="X128" s="80">
        <f>SUMIFS('ноябрь 2024'!$G$5:$G$2220,'ноябрь 2024'!$D$5:$D$2220,$B128,'ноябрь 2024'!$J$5:$J$2220,X$1)</f>
        <v>0</v>
      </c>
      <c r="Y128" s="80">
        <f>SUMIFS('ноябрь 2024'!$G$5:$G$2220,'ноябрь 2024'!$D$5:$D$2220,$B128,'ноябрь 2024'!$J$5:$J$2220,Y$1)</f>
        <v>0</v>
      </c>
      <c r="Z128" s="80">
        <f>SUMIFS('ноябрь 2024'!$G$5:$G$2220,'ноябрь 2024'!$D$5:$D$2220,$B128,'ноябрь 2024'!$J$5:$J$2220,Z$1)</f>
        <v>0</v>
      </c>
      <c r="AA128" s="80">
        <f>SUMIFS('ноябрь 2024'!$G$5:$G$2220,'ноябрь 2024'!$D$5:$D$2220,$B128,'ноябрь 2024'!$J$5:$J$2220,AA$1)</f>
        <v>0</v>
      </c>
      <c r="AB128" s="80">
        <f>SUMIFS('ноябрь 2024'!$G$5:$G$2220,'ноябрь 2024'!$D$5:$D$2220,$B128,'ноябрь 2024'!$J$5:$J$2220,AB$1)</f>
        <v>0</v>
      </c>
      <c r="AC128" s="80">
        <f>SUMIFS('ноябрь 2024'!$G$5:$G$2220,'ноябрь 2024'!$D$5:$D$2220,$B128,'ноябрь 2024'!$J$5:$J$2220,AC$1)</f>
        <v>0</v>
      </c>
      <c r="AD128" s="80">
        <f>SUMIFS('ноябрь 2024'!$G$5:$G$2220,'ноябрь 2024'!$D$5:$D$2220,$B128,'ноябрь 2024'!$J$5:$J$2220,AD$1)</f>
        <v>0</v>
      </c>
      <c r="AE128" s="80">
        <f>SUMIFS('ноябрь 2024'!$G$5:$G$2220,'ноябрь 2024'!$D$5:$D$2220,$B128,'ноябрь 2024'!$J$5:$J$2220,AE$1)</f>
        <v>0</v>
      </c>
      <c r="AF128" s="80">
        <f>SUMIFS('ноябрь 2024'!$G$5:$G$2220,'ноябрь 2024'!$D$5:$D$2220,$B128,'ноябрь 2024'!$J$5:$J$2220,AF$1)</f>
        <v>0</v>
      </c>
      <c r="AG128" s="80">
        <f>SUMIFS('ноябрь 2024'!$G$5:$G$2220,'ноябрь 2024'!$D$5:$D$2220,$B128,'ноябрь 2024'!$J$5:$J$2220,AG$1)</f>
        <v>0</v>
      </c>
      <c r="AH128" s="80">
        <f>SUMIFS('ноябрь 2024'!$G$5:$G$2220,'ноябрь 2024'!$D$5:$D$2220,$B128,'ноябрь 2024'!$J$5:$J$2220,AH$1)</f>
        <v>0</v>
      </c>
      <c r="AI128" s="21">
        <f t="shared" si="1"/>
        <v>0</v>
      </c>
    </row>
    <row r="129" spans="2:35" ht="15" customHeight="1" x14ac:dyDescent="0.25">
      <c r="B129" s="89" t="s">
        <v>333</v>
      </c>
      <c r="C129" s="91">
        <v>200</v>
      </c>
      <c r="D129" s="80">
        <f>SUMIFS('ноябрь 2024'!$G$5:$G$2220,'ноябрь 2024'!$D$5:$D$2220,$B129,'ноябрь 2024'!$J$5:$J$2220,D$1)</f>
        <v>0</v>
      </c>
      <c r="E129" s="80">
        <f>SUMIFS('ноябрь 2024'!$G$5:$G$2220,'ноябрь 2024'!$D$5:$D$2220,$B129,'ноябрь 2024'!$J$5:$J$2220,E$1)</f>
        <v>0</v>
      </c>
      <c r="F129" s="80">
        <f>SUMIFS('ноябрь 2024'!$G$5:$G$2220,'ноябрь 2024'!$D$5:$D$2220,$B129,'ноябрь 2024'!$J$5:$J$2220,F$1)</f>
        <v>0</v>
      </c>
      <c r="G129" s="80">
        <f>SUMIFS('ноябрь 2024'!$G$5:$G$2220,'ноябрь 2024'!$D$5:$D$2220,$B129,'ноябрь 2024'!$J$5:$J$2220,G$1)</f>
        <v>0</v>
      </c>
      <c r="H129" s="80">
        <f>SUMIFS('ноябрь 2024'!$G$5:$G$2220,'ноябрь 2024'!$D$5:$D$2220,$B129,'ноябрь 2024'!$J$5:$J$2220,H$1)</f>
        <v>0</v>
      </c>
      <c r="I129" s="80">
        <f>SUMIFS('ноябрь 2024'!$G$5:$G$2220,'ноябрь 2024'!$D$5:$D$2220,$B129,'ноябрь 2024'!$J$5:$J$2220,I$1)</f>
        <v>0</v>
      </c>
      <c r="J129" s="80">
        <f>SUMIFS('ноябрь 2024'!$G$5:$G$2220,'ноябрь 2024'!$D$5:$D$2220,$B129,'ноябрь 2024'!$J$5:$J$2220,J$1)</f>
        <v>0</v>
      </c>
      <c r="K129" s="80">
        <f>SUMIFS('ноябрь 2024'!$G$5:$G$2220,'ноябрь 2024'!$D$5:$D$2220,$B129,'ноябрь 2024'!$J$5:$J$2220,K$1)</f>
        <v>0</v>
      </c>
      <c r="L129" s="80">
        <f>SUMIFS('ноябрь 2024'!$G$5:$G$2220,'ноябрь 2024'!$D$5:$D$2220,$B129,'ноябрь 2024'!$J$5:$J$2220,L$1)</f>
        <v>0</v>
      </c>
      <c r="M129" s="80">
        <f>SUMIFS('ноябрь 2024'!$G$5:$G$2220,'ноябрь 2024'!$D$5:$D$2220,$B129,'ноябрь 2024'!$J$5:$J$2220,M$1)</f>
        <v>0</v>
      </c>
      <c r="N129" s="80">
        <f>SUMIFS('ноябрь 2024'!$G$5:$G$2220,'ноябрь 2024'!$D$5:$D$2220,$B129,'ноябрь 2024'!$J$5:$J$2220,N$1)</f>
        <v>0</v>
      </c>
      <c r="O129" s="80">
        <f>SUMIFS('ноябрь 2024'!$G$5:$G$2220,'ноябрь 2024'!$D$5:$D$2220,$B129,'ноябрь 2024'!$J$5:$J$2220,O$1)</f>
        <v>0</v>
      </c>
      <c r="P129" s="80">
        <f>SUMIFS('ноябрь 2024'!$G$5:$G$2220,'ноябрь 2024'!$D$5:$D$2220,$B129,'ноябрь 2024'!$J$5:$J$2220,P$1)</f>
        <v>0</v>
      </c>
      <c r="Q129" s="80">
        <f>SUMIFS('ноябрь 2024'!$G$5:$G$2220,'ноябрь 2024'!$D$5:$D$2220,$B129,'ноябрь 2024'!$J$5:$J$2220,Q$1)</f>
        <v>0</v>
      </c>
      <c r="R129" s="80">
        <f>SUMIFS('ноябрь 2024'!$G$5:$G$2220,'ноябрь 2024'!$D$5:$D$2220,$B129,'ноябрь 2024'!$J$5:$J$2220,R$1)</f>
        <v>0</v>
      </c>
      <c r="S129" s="80">
        <f>SUMIFS('ноябрь 2024'!$G$5:$G$2220,'ноябрь 2024'!$D$5:$D$2220,$B129,'ноябрь 2024'!$J$5:$J$2220,S$1)</f>
        <v>0</v>
      </c>
      <c r="T129" s="80">
        <f>SUMIFS('ноябрь 2024'!$G$5:$G$2220,'ноябрь 2024'!$D$5:$D$2220,$B129,'ноябрь 2024'!$J$5:$J$2220,T$1)</f>
        <v>0</v>
      </c>
      <c r="U129" s="80">
        <f>SUMIFS('ноябрь 2024'!$G$5:$G$2220,'ноябрь 2024'!$D$5:$D$2220,$B129,'ноябрь 2024'!$J$5:$J$2220,U$1)</f>
        <v>0</v>
      </c>
      <c r="V129" s="80">
        <f>SUMIFS('ноябрь 2024'!$G$5:$G$2220,'ноябрь 2024'!$D$5:$D$2220,$B129,'ноябрь 2024'!$J$5:$J$2220,V$1)</f>
        <v>0</v>
      </c>
      <c r="W129" s="80">
        <f>SUMIFS('ноябрь 2024'!$G$5:$G$2220,'ноябрь 2024'!$D$5:$D$2220,$B129,'ноябрь 2024'!$J$5:$J$2220,W$1)</f>
        <v>0</v>
      </c>
      <c r="X129" s="80">
        <f>SUMIFS('ноябрь 2024'!$G$5:$G$2220,'ноябрь 2024'!$D$5:$D$2220,$B129,'ноябрь 2024'!$J$5:$J$2220,X$1)</f>
        <v>0</v>
      </c>
      <c r="Y129" s="80">
        <f>SUMIFS('ноябрь 2024'!$G$5:$G$2220,'ноябрь 2024'!$D$5:$D$2220,$B129,'ноябрь 2024'!$J$5:$J$2220,Y$1)</f>
        <v>0</v>
      </c>
      <c r="Z129" s="80">
        <f>SUMIFS('ноябрь 2024'!$G$5:$G$2220,'ноябрь 2024'!$D$5:$D$2220,$B129,'ноябрь 2024'!$J$5:$J$2220,Z$1)</f>
        <v>0</v>
      </c>
      <c r="AA129" s="80">
        <f>SUMIFS('ноябрь 2024'!$G$5:$G$2220,'ноябрь 2024'!$D$5:$D$2220,$B129,'ноябрь 2024'!$J$5:$J$2220,AA$1)</f>
        <v>0</v>
      </c>
      <c r="AB129" s="80">
        <f>SUMIFS('ноябрь 2024'!$G$5:$G$2220,'ноябрь 2024'!$D$5:$D$2220,$B129,'ноябрь 2024'!$J$5:$J$2220,AB$1)</f>
        <v>0</v>
      </c>
      <c r="AC129" s="80">
        <f>SUMIFS('ноябрь 2024'!$G$5:$G$2220,'ноябрь 2024'!$D$5:$D$2220,$B129,'ноябрь 2024'!$J$5:$J$2220,AC$1)</f>
        <v>0</v>
      </c>
      <c r="AD129" s="80">
        <f>SUMIFS('ноябрь 2024'!$G$5:$G$2220,'ноябрь 2024'!$D$5:$D$2220,$B129,'ноябрь 2024'!$J$5:$J$2220,AD$1)</f>
        <v>0</v>
      </c>
      <c r="AE129" s="80">
        <f>SUMIFS('ноябрь 2024'!$G$5:$G$2220,'ноябрь 2024'!$D$5:$D$2220,$B129,'ноябрь 2024'!$J$5:$J$2220,AE$1)</f>
        <v>0</v>
      </c>
      <c r="AF129" s="80">
        <f>SUMIFS('ноябрь 2024'!$G$5:$G$2220,'ноябрь 2024'!$D$5:$D$2220,$B129,'ноябрь 2024'!$J$5:$J$2220,AF$1)</f>
        <v>0</v>
      </c>
      <c r="AG129" s="80">
        <f>SUMIFS('ноябрь 2024'!$G$5:$G$2220,'ноябрь 2024'!$D$5:$D$2220,$B129,'ноябрь 2024'!$J$5:$J$2220,AG$1)</f>
        <v>0</v>
      </c>
      <c r="AH129" s="80">
        <f>SUMIFS('ноябрь 2024'!$G$5:$G$2220,'ноябрь 2024'!$D$5:$D$2220,$B129,'ноябрь 2024'!$J$5:$J$2220,AH$1)</f>
        <v>0</v>
      </c>
      <c r="AI129" s="21">
        <f t="shared" si="1"/>
        <v>0</v>
      </c>
    </row>
    <row r="130" spans="2:35" ht="15" customHeight="1" x14ac:dyDescent="0.25">
      <c r="B130" s="89" t="s">
        <v>343</v>
      </c>
      <c r="C130" s="91">
        <v>200</v>
      </c>
      <c r="D130" s="80">
        <f>SUMIFS('ноябрь 2024'!$G$5:$G$2220,'ноябрь 2024'!$D$5:$D$2220,$B130,'ноябрь 2024'!$J$5:$J$2220,D$1)</f>
        <v>0</v>
      </c>
      <c r="E130" s="80">
        <f>SUMIFS('ноябрь 2024'!$G$5:$G$2220,'ноябрь 2024'!$D$5:$D$2220,$B130,'ноябрь 2024'!$J$5:$J$2220,E$1)</f>
        <v>0</v>
      </c>
      <c r="F130" s="80">
        <f>SUMIFS('ноябрь 2024'!$G$5:$G$2220,'ноябрь 2024'!$D$5:$D$2220,$B130,'ноябрь 2024'!$J$5:$J$2220,F$1)</f>
        <v>0</v>
      </c>
      <c r="G130" s="80">
        <f>SUMIFS('ноябрь 2024'!$G$5:$G$2220,'ноябрь 2024'!$D$5:$D$2220,$B130,'ноябрь 2024'!$J$5:$J$2220,G$1)</f>
        <v>0</v>
      </c>
      <c r="H130" s="80">
        <f>SUMIFS('ноябрь 2024'!$G$5:$G$2220,'ноябрь 2024'!$D$5:$D$2220,$B130,'ноябрь 2024'!$J$5:$J$2220,H$1)</f>
        <v>0</v>
      </c>
      <c r="I130" s="80">
        <f>SUMIFS('ноябрь 2024'!$G$5:$G$2220,'ноябрь 2024'!$D$5:$D$2220,$B130,'ноябрь 2024'!$J$5:$J$2220,I$1)</f>
        <v>0</v>
      </c>
      <c r="J130" s="80">
        <f>SUMIFS('ноябрь 2024'!$G$5:$G$2220,'ноябрь 2024'!$D$5:$D$2220,$B130,'ноябрь 2024'!$J$5:$J$2220,J$1)</f>
        <v>0</v>
      </c>
      <c r="K130" s="80">
        <f>SUMIFS('ноябрь 2024'!$G$5:$G$2220,'ноябрь 2024'!$D$5:$D$2220,$B130,'ноябрь 2024'!$J$5:$J$2220,K$1)</f>
        <v>0</v>
      </c>
      <c r="L130" s="80">
        <f>SUMIFS('ноябрь 2024'!$G$5:$G$2220,'ноябрь 2024'!$D$5:$D$2220,$B130,'ноябрь 2024'!$J$5:$J$2220,L$1)</f>
        <v>0</v>
      </c>
      <c r="M130" s="80">
        <f>SUMIFS('ноябрь 2024'!$G$5:$G$2220,'ноябрь 2024'!$D$5:$D$2220,$B130,'ноябрь 2024'!$J$5:$J$2220,M$1)</f>
        <v>0</v>
      </c>
      <c r="N130" s="80">
        <f>SUMIFS('ноябрь 2024'!$G$5:$G$2220,'ноябрь 2024'!$D$5:$D$2220,$B130,'ноябрь 2024'!$J$5:$J$2220,N$1)</f>
        <v>0</v>
      </c>
      <c r="O130" s="80">
        <f>SUMIFS('ноябрь 2024'!$G$5:$G$2220,'ноябрь 2024'!$D$5:$D$2220,$B130,'ноябрь 2024'!$J$5:$J$2220,O$1)</f>
        <v>0</v>
      </c>
      <c r="P130" s="80">
        <f>SUMIFS('ноябрь 2024'!$G$5:$G$2220,'ноябрь 2024'!$D$5:$D$2220,$B130,'ноябрь 2024'!$J$5:$J$2220,P$1)</f>
        <v>0</v>
      </c>
      <c r="Q130" s="80">
        <f>SUMIFS('ноябрь 2024'!$G$5:$G$2220,'ноябрь 2024'!$D$5:$D$2220,$B130,'ноябрь 2024'!$J$5:$J$2220,Q$1)</f>
        <v>0</v>
      </c>
      <c r="R130" s="80">
        <f>SUMIFS('ноябрь 2024'!$G$5:$G$2220,'ноябрь 2024'!$D$5:$D$2220,$B130,'ноябрь 2024'!$J$5:$J$2220,R$1)</f>
        <v>0</v>
      </c>
      <c r="S130" s="80">
        <f>SUMIFS('ноябрь 2024'!$G$5:$G$2220,'ноябрь 2024'!$D$5:$D$2220,$B130,'ноябрь 2024'!$J$5:$J$2220,S$1)</f>
        <v>0</v>
      </c>
      <c r="T130" s="80">
        <f>SUMIFS('ноябрь 2024'!$G$5:$G$2220,'ноябрь 2024'!$D$5:$D$2220,$B130,'ноябрь 2024'!$J$5:$J$2220,T$1)</f>
        <v>0</v>
      </c>
      <c r="U130" s="80">
        <f>SUMIFS('ноябрь 2024'!$G$5:$G$2220,'ноябрь 2024'!$D$5:$D$2220,$B130,'ноябрь 2024'!$J$5:$J$2220,U$1)</f>
        <v>0</v>
      </c>
      <c r="V130" s="80">
        <f>SUMIFS('ноябрь 2024'!$G$5:$G$2220,'ноябрь 2024'!$D$5:$D$2220,$B130,'ноябрь 2024'!$J$5:$J$2220,V$1)</f>
        <v>0</v>
      </c>
      <c r="W130" s="80">
        <f>SUMIFS('ноябрь 2024'!$G$5:$G$2220,'ноябрь 2024'!$D$5:$D$2220,$B130,'ноябрь 2024'!$J$5:$J$2220,W$1)</f>
        <v>0</v>
      </c>
      <c r="X130" s="80">
        <f>SUMIFS('ноябрь 2024'!$G$5:$G$2220,'ноябрь 2024'!$D$5:$D$2220,$B130,'ноябрь 2024'!$J$5:$J$2220,X$1)</f>
        <v>0</v>
      </c>
      <c r="Y130" s="80">
        <f>SUMIFS('ноябрь 2024'!$G$5:$G$2220,'ноябрь 2024'!$D$5:$D$2220,$B130,'ноябрь 2024'!$J$5:$J$2220,Y$1)</f>
        <v>0</v>
      </c>
      <c r="Z130" s="80">
        <f>SUMIFS('ноябрь 2024'!$G$5:$G$2220,'ноябрь 2024'!$D$5:$D$2220,$B130,'ноябрь 2024'!$J$5:$J$2220,Z$1)</f>
        <v>0</v>
      </c>
      <c r="AA130" s="80">
        <f>SUMIFS('ноябрь 2024'!$G$5:$G$2220,'ноябрь 2024'!$D$5:$D$2220,$B130,'ноябрь 2024'!$J$5:$J$2220,AA$1)</f>
        <v>0</v>
      </c>
      <c r="AB130" s="80">
        <f>SUMIFS('ноябрь 2024'!$G$5:$G$2220,'ноябрь 2024'!$D$5:$D$2220,$B130,'ноябрь 2024'!$J$5:$J$2220,AB$1)</f>
        <v>0</v>
      </c>
      <c r="AC130" s="80">
        <f>SUMIFS('ноябрь 2024'!$G$5:$G$2220,'ноябрь 2024'!$D$5:$D$2220,$B130,'ноябрь 2024'!$J$5:$J$2220,AC$1)</f>
        <v>0</v>
      </c>
      <c r="AD130" s="80">
        <f>SUMIFS('ноябрь 2024'!$G$5:$G$2220,'ноябрь 2024'!$D$5:$D$2220,$B130,'ноябрь 2024'!$J$5:$J$2220,AD$1)</f>
        <v>0</v>
      </c>
      <c r="AE130" s="80">
        <f>SUMIFS('ноябрь 2024'!$G$5:$G$2220,'ноябрь 2024'!$D$5:$D$2220,$B130,'ноябрь 2024'!$J$5:$J$2220,AE$1)</f>
        <v>0</v>
      </c>
      <c r="AF130" s="80">
        <f>SUMIFS('ноябрь 2024'!$G$5:$G$2220,'ноябрь 2024'!$D$5:$D$2220,$B130,'ноябрь 2024'!$J$5:$J$2220,AF$1)</f>
        <v>0</v>
      </c>
      <c r="AG130" s="80">
        <f>SUMIFS('ноябрь 2024'!$G$5:$G$2220,'ноябрь 2024'!$D$5:$D$2220,$B130,'ноябрь 2024'!$J$5:$J$2220,AG$1)</f>
        <v>0</v>
      </c>
      <c r="AH130" s="80">
        <f>SUMIFS('ноябрь 2024'!$G$5:$G$2220,'ноябрь 2024'!$D$5:$D$2220,$B130,'ноябрь 2024'!$J$5:$J$2220,AH$1)</f>
        <v>0</v>
      </c>
      <c r="AI130" s="21">
        <f t="shared" si="1"/>
        <v>0</v>
      </c>
    </row>
    <row r="131" spans="2:35" ht="15" customHeight="1" x14ac:dyDescent="0.25">
      <c r="B131" s="89" t="s">
        <v>207</v>
      </c>
      <c r="C131" s="91">
        <v>180</v>
      </c>
      <c r="D131" s="80">
        <f>SUMIFS('ноябрь 2024'!$G$5:$G$2220,'ноябрь 2024'!$D$5:$D$2220,$B131,'ноябрь 2024'!$J$5:$J$2220,D$1)</f>
        <v>0</v>
      </c>
      <c r="E131" s="80">
        <f>SUMIFS('ноябрь 2024'!$G$5:$G$2220,'ноябрь 2024'!$D$5:$D$2220,$B131,'ноябрь 2024'!$J$5:$J$2220,E$1)</f>
        <v>0</v>
      </c>
      <c r="F131" s="80">
        <f>SUMIFS('ноябрь 2024'!$G$5:$G$2220,'ноябрь 2024'!$D$5:$D$2220,$B131,'ноябрь 2024'!$J$5:$J$2220,F$1)</f>
        <v>0</v>
      </c>
      <c r="G131" s="80">
        <f>SUMIFS('ноябрь 2024'!$G$5:$G$2220,'ноябрь 2024'!$D$5:$D$2220,$B131,'ноябрь 2024'!$J$5:$J$2220,G$1)</f>
        <v>0</v>
      </c>
      <c r="H131" s="80">
        <f>SUMIFS('ноябрь 2024'!$G$5:$G$2220,'ноябрь 2024'!$D$5:$D$2220,$B131,'ноябрь 2024'!$J$5:$J$2220,H$1)</f>
        <v>0</v>
      </c>
      <c r="I131" s="80">
        <f>SUMIFS('ноябрь 2024'!$G$5:$G$2220,'ноябрь 2024'!$D$5:$D$2220,$B131,'ноябрь 2024'!$J$5:$J$2220,I$1)</f>
        <v>0</v>
      </c>
      <c r="J131" s="80">
        <f>SUMIFS('ноябрь 2024'!$G$5:$G$2220,'ноябрь 2024'!$D$5:$D$2220,$B131,'ноябрь 2024'!$J$5:$J$2220,J$1)</f>
        <v>0</v>
      </c>
      <c r="K131" s="80">
        <f>SUMIFS('ноябрь 2024'!$G$5:$G$2220,'ноябрь 2024'!$D$5:$D$2220,$B131,'ноябрь 2024'!$J$5:$J$2220,K$1)</f>
        <v>0</v>
      </c>
      <c r="L131" s="80">
        <f>SUMIFS('ноябрь 2024'!$G$5:$G$2220,'ноябрь 2024'!$D$5:$D$2220,$B131,'ноябрь 2024'!$J$5:$J$2220,L$1)</f>
        <v>0</v>
      </c>
      <c r="M131" s="80">
        <f>SUMIFS('ноябрь 2024'!$G$5:$G$2220,'ноябрь 2024'!$D$5:$D$2220,$B131,'ноябрь 2024'!$J$5:$J$2220,M$1)</f>
        <v>0</v>
      </c>
      <c r="N131" s="80">
        <f>SUMIFS('ноябрь 2024'!$G$5:$G$2220,'ноябрь 2024'!$D$5:$D$2220,$B131,'ноябрь 2024'!$J$5:$J$2220,N$1)</f>
        <v>0</v>
      </c>
      <c r="O131" s="80">
        <f>SUMIFS('ноябрь 2024'!$G$5:$G$2220,'ноябрь 2024'!$D$5:$D$2220,$B131,'ноябрь 2024'!$J$5:$J$2220,O$1)</f>
        <v>0</v>
      </c>
      <c r="P131" s="80">
        <f>SUMIFS('ноябрь 2024'!$G$5:$G$2220,'ноябрь 2024'!$D$5:$D$2220,$B131,'ноябрь 2024'!$J$5:$J$2220,P$1)</f>
        <v>0</v>
      </c>
      <c r="Q131" s="80">
        <f>SUMIFS('ноябрь 2024'!$G$5:$G$2220,'ноябрь 2024'!$D$5:$D$2220,$B131,'ноябрь 2024'!$J$5:$J$2220,Q$1)</f>
        <v>0</v>
      </c>
      <c r="R131" s="80">
        <f>SUMIFS('ноябрь 2024'!$G$5:$G$2220,'ноябрь 2024'!$D$5:$D$2220,$B131,'ноябрь 2024'!$J$5:$J$2220,R$1)</f>
        <v>0</v>
      </c>
      <c r="S131" s="80">
        <f>SUMIFS('ноябрь 2024'!$G$5:$G$2220,'ноябрь 2024'!$D$5:$D$2220,$B131,'ноябрь 2024'!$J$5:$J$2220,S$1)</f>
        <v>0</v>
      </c>
      <c r="T131" s="80">
        <f>SUMIFS('ноябрь 2024'!$G$5:$G$2220,'ноябрь 2024'!$D$5:$D$2220,$B131,'ноябрь 2024'!$J$5:$J$2220,T$1)</f>
        <v>0</v>
      </c>
      <c r="U131" s="80">
        <f>SUMIFS('ноябрь 2024'!$G$5:$G$2220,'ноябрь 2024'!$D$5:$D$2220,$B131,'ноябрь 2024'!$J$5:$J$2220,U$1)</f>
        <v>0</v>
      </c>
      <c r="V131" s="80">
        <f>SUMIFS('ноябрь 2024'!$G$5:$G$2220,'ноябрь 2024'!$D$5:$D$2220,$B131,'ноябрь 2024'!$J$5:$J$2220,V$1)</f>
        <v>0</v>
      </c>
      <c r="W131" s="80">
        <f>SUMIFS('ноябрь 2024'!$G$5:$G$2220,'ноябрь 2024'!$D$5:$D$2220,$B131,'ноябрь 2024'!$J$5:$J$2220,W$1)</f>
        <v>0</v>
      </c>
      <c r="X131" s="80">
        <f>SUMIFS('ноябрь 2024'!$G$5:$G$2220,'ноябрь 2024'!$D$5:$D$2220,$B131,'ноябрь 2024'!$J$5:$J$2220,X$1)</f>
        <v>0</v>
      </c>
      <c r="Y131" s="80">
        <f>SUMIFS('ноябрь 2024'!$G$5:$G$2220,'ноябрь 2024'!$D$5:$D$2220,$B131,'ноябрь 2024'!$J$5:$J$2220,Y$1)</f>
        <v>0</v>
      </c>
      <c r="Z131" s="80">
        <f>SUMIFS('ноябрь 2024'!$G$5:$G$2220,'ноябрь 2024'!$D$5:$D$2220,$B131,'ноябрь 2024'!$J$5:$J$2220,Z$1)</f>
        <v>0</v>
      </c>
      <c r="AA131" s="80">
        <f>SUMIFS('ноябрь 2024'!$G$5:$G$2220,'ноябрь 2024'!$D$5:$D$2220,$B131,'ноябрь 2024'!$J$5:$J$2220,AA$1)</f>
        <v>0</v>
      </c>
      <c r="AB131" s="80">
        <f>SUMIFS('ноябрь 2024'!$G$5:$G$2220,'ноябрь 2024'!$D$5:$D$2220,$B131,'ноябрь 2024'!$J$5:$J$2220,AB$1)</f>
        <v>0</v>
      </c>
      <c r="AC131" s="80">
        <f>SUMIFS('ноябрь 2024'!$G$5:$G$2220,'ноябрь 2024'!$D$5:$D$2220,$B131,'ноябрь 2024'!$J$5:$J$2220,AC$1)</f>
        <v>0</v>
      </c>
      <c r="AD131" s="80">
        <f>SUMIFS('ноябрь 2024'!$G$5:$G$2220,'ноябрь 2024'!$D$5:$D$2220,$B131,'ноябрь 2024'!$J$5:$J$2220,AD$1)</f>
        <v>0</v>
      </c>
      <c r="AE131" s="80">
        <f>SUMIFS('ноябрь 2024'!$G$5:$G$2220,'ноябрь 2024'!$D$5:$D$2220,$B131,'ноябрь 2024'!$J$5:$J$2220,AE$1)</f>
        <v>0</v>
      </c>
      <c r="AF131" s="80">
        <f>SUMIFS('ноябрь 2024'!$G$5:$G$2220,'ноябрь 2024'!$D$5:$D$2220,$B131,'ноябрь 2024'!$J$5:$J$2220,AF$1)</f>
        <v>0</v>
      </c>
      <c r="AG131" s="80">
        <f>SUMIFS('ноябрь 2024'!$G$5:$G$2220,'ноябрь 2024'!$D$5:$D$2220,$B131,'ноябрь 2024'!$J$5:$J$2220,AG$1)</f>
        <v>0</v>
      </c>
      <c r="AH131" s="80">
        <f>SUMIFS('ноябрь 2024'!$G$5:$G$2220,'ноябрь 2024'!$D$5:$D$2220,$B131,'ноябрь 2024'!$J$5:$J$2220,AH$1)</f>
        <v>0</v>
      </c>
      <c r="AI131" s="21">
        <f t="shared" si="1"/>
        <v>0</v>
      </c>
    </row>
    <row r="132" spans="2:35" ht="15" customHeight="1" x14ac:dyDescent="0.25">
      <c r="B132" s="93" t="s">
        <v>621</v>
      </c>
      <c r="C132" s="91">
        <v>180</v>
      </c>
      <c r="D132" s="80">
        <f>SUMIFS('ноябрь 2024'!$G$5:$G$2220,'ноябрь 2024'!$D$5:$D$2220,$B132,'ноябрь 2024'!$J$5:$J$2220,D$1)</f>
        <v>0</v>
      </c>
      <c r="E132" s="80">
        <f>SUMIFS('ноябрь 2024'!$G$5:$G$2220,'ноябрь 2024'!$D$5:$D$2220,$B132,'ноябрь 2024'!$J$5:$J$2220,E$1)</f>
        <v>0</v>
      </c>
      <c r="F132" s="80">
        <f>SUMIFS('ноябрь 2024'!$G$5:$G$2220,'ноябрь 2024'!$D$5:$D$2220,$B132,'ноябрь 2024'!$J$5:$J$2220,F$1)</f>
        <v>0</v>
      </c>
      <c r="G132" s="80">
        <f>SUMIFS('ноябрь 2024'!$G$5:$G$2220,'ноябрь 2024'!$D$5:$D$2220,$B132,'ноябрь 2024'!$J$5:$J$2220,G$1)</f>
        <v>0</v>
      </c>
      <c r="H132" s="80">
        <f>SUMIFS('ноябрь 2024'!$G$5:$G$2220,'ноябрь 2024'!$D$5:$D$2220,$B132,'ноябрь 2024'!$J$5:$J$2220,H$1)</f>
        <v>0</v>
      </c>
      <c r="I132" s="80">
        <f>SUMIFS('ноябрь 2024'!$G$5:$G$2220,'ноябрь 2024'!$D$5:$D$2220,$B132,'ноябрь 2024'!$J$5:$J$2220,I$1)</f>
        <v>0</v>
      </c>
      <c r="J132" s="80">
        <f>SUMIFS('ноябрь 2024'!$G$5:$G$2220,'ноябрь 2024'!$D$5:$D$2220,$B132,'ноябрь 2024'!$J$5:$J$2220,J$1)</f>
        <v>0</v>
      </c>
      <c r="K132" s="80">
        <f>SUMIFS('ноябрь 2024'!$G$5:$G$2220,'ноябрь 2024'!$D$5:$D$2220,$B132,'ноябрь 2024'!$J$5:$J$2220,K$1)</f>
        <v>0</v>
      </c>
      <c r="L132" s="80">
        <f>SUMIFS('ноябрь 2024'!$G$5:$G$2220,'ноябрь 2024'!$D$5:$D$2220,$B132,'ноябрь 2024'!$J$5:$J$2220,L$1)</f>
        <v>0</v>
      </c>
      <c r="M132" s="80">
        <f>SUMIFS('ноябрь 2024'!$G$5:$G$2220,'ноябрь 2024'!$D$5:$D$2220,$B132,'ноябрь 2024'!$J$5:$J$2220,M$1)</f>
        <v>0</v>
      </c>
      <c r="N132" s="80">
        <f>SUMIFS('ноябрь 2024'!$G$5:$G$2220,'ноябрь 2024'!$D$5:$D$2220,$B132,'ноябрь 2024'!$J$5:$J$2220,N$1)</f>
        <v>0</v>
      </c>
      <c r="O132" s="80">
        <f>SUMIFS('ноябрь 2024'!$G$5:$G$2220,'ноябрь 2024'!$D$5:$D$2220,$B132,'ноябрь 2024'!$J$5:$J$2220,O$1)</f>
        <v>0</v>
      </c>
      <c r="P132" s="80">
        <f>SUMIFS('ноябрь 2024'!$G$5:$G$2220,'ноябрь 2024'!$D$5:$D$2220,$B132,'ноябрь 2024'!$J$5:$J$2220,P$1)</f>
        <v>0</v>
      </c>
      <c r="Q132" s="80">
        <f>SUMIFS('ноябрь 2024'!$G$5:$G$2220,'ноябрь 2024'!$D$5:$D$2220,$B132,'ноябрь 2024'!$J$5:$J$2220,Q$1)</f>
        <v>0</v>
      </c>
      <c r="R132" s="80">
        <f>SUMIFS('ноябрь 2024'!$G$5:$G$2220,'ноябрь 2024'!$D$5:$D$2220,$B132,'ноябрь 2024'!$J$5:$J$2220,R$1)</f>
        <v>0</v>
      </c>
      <c r="S132" s="80">
        <f>SUMIFS('ноябрь 2024'!$G$5:$G$2220,'ноябрь 2024'!$D$5:$D$2220,$B132,'ноябрь 2024'!$J$5:$J$2220,S$1)</f>
        <v>0</v>
      </c>
      <c r="T132" s="80">
        <f>SUMIFS('ноябрь 2024'!$G$5:$G$2220,'ноябрь 2024'!$D$5:$D$2220,$B132,'ноябрь 2024'!$J$5:$J$2220,T$1)</f>
        <v>0</v>
      </c>
      <c r="U132" s="80">
        <f>SUMIFS('ноябрь 2024'!$G$5:$G$2220,'ноябрь 2024'!$D$5:$D$2220,$B132,'ноябрь 2024'!$J$5:$J$2220,U$1)</f>
        <v>0</v>
      </c>
      <c r="V132" s="80">
        <f>SUMIFS('ноябрь 2024'!$G$5:$G$2220,'ноябрь 2024'!$D$5:$D$2220,$B132,'ноябрь 2024'!$J$5:$J$2220,V$1)</f>
        <v>0</v>
      </c>
      <c r="W132" s="80">
        <f>SUMIFS('ноябрь 2024'!$G$5:$G$2220,'ноябрь 2024'!$D$5:$D$2220,$B132,'ноябрь 2024'!$J$5:$J$2220,W$1)</f>
        <v>0</v>
      </c>
      <c r="X132" s="80">
        <f>SUMIFS('ноябрь 2024'!$G$5:$G$2220,'ноябрь 2024'!$D$5:$D$2220,$B132,'ноябрь 2024'!$J$5:$J$2220,X$1)</f>
        <v>0</v>
      </c>
      <c r="Y132" s="80">
        <f>SUMIFS('ноябрь 2024'!$G$5:$G$2220,'ноябрь 2024'!$D$5:$D$2220,$B132,'ноябрь 2024'!$J$5:$J$2220,Y$1)</f>
        <v>0</v>
      </c>
      <c r="Z132" s="80">
        <f>SUMIFS('ноябрь 2024'!$G$5:$G$2220,'ноябрь 2024'!$D$5:$D$2220,$B132,'ноябрь 2024'!$J$5:$J$2220,Z$1)</f>
        <v>0</v>
      </c>
      <c r="AA132" s="80">
        <f>SUMIFS('ноябрь 2024'!$G$5:$G$2220,'ноябрь 2024'!$D$5:$D$2220,$B132,'ноябрь 2024'!$J$5:$J$2220,AA$1)</f>
        <v>0</v>
      </c>
      <c r="AB132" s="80">
        <f>SUMIFS('ноябрь 2024'!$G$5:$G$2220,'ноябрь 2024'!$D$5:$D$2220,$B132,'ноябрь 2024'!$J$5:$J$2220,AB$1)</f>
        <v>0</v>
      </c>
      <c r="AC132" s="80">
        <f>SUMIFS('ноябрь 2024'!$G$5:$G$2220,'ноябрь 2024'!$D$5:$D$2220,$B132,'ноябрь 2024'!$J$5:$J$2220,AC$1)</f>
        <v>0</v>
      </c>
      <c r="AD132" s="80">
        <f>SUMIFS('ноябрь 2024'!$G$5:$G$2220,'ноябрь 2024'!$D$5:$D$2220,$B132,'ноябрь 2024'!$J$5:$J$2220,AD$1)</f>
        <v>0</v>
      </c>
      <c r="AE132" s="80">
        <f>SUMIFS('ноябрь 2024'!$G$5:$G$2220,'ноябрь 2024'!$D$5:$D$2220,$B132,'ноябрь 2024'!$J$5:$J$2220,AE$1)</f>
        <v>0</v>
      </c>
      <c r="AF132" s="80">
        <f>SUMIFS('ноябрь 2024'!$G$5:$G$2220,'ноябрь 2024'!$D$5:$D$2220,$B132,'ноябрь 2024'!$J$5:$J$2220,AF$1)</f>
        <v>0</v>
      </c>
      <c r="AG132" s="80">
        <f>SUMIFS('ноябрь 2024'!$G$5:$G$2220,'ноябрь 2024'!$D$5:$D$2220,$B132,'ноябрь 2024'!$J$5:$J$2220,AG$1)</f>
        <v>0</v>
      </c>
      <c r="AH132" s="80">
        <f>SUMIFS('ноябрь 2024'!$G$5:$G$2220,'ноябрь 2024'!$D$5:$D$2220,$B132,'ноябрь 2024'!$J$5:$J$2220,AH$1)</f>
        <v>0</v>
      </c>
      <c r="AI132" s="21">
        <f t="shared" si="1"/>
        <v>0</v>
      </c>
    </row>
    <row r="133" spans="2:35" ht="15" customHeight="1" x14ac:dyDescent="0.25">
      <c r="B133" s="93" t="s">
        <v>191</v>
      </c>
      <c r="C133" s="91">
        <v>190</v>
      </c>
      <c r="D133" s="80">
        <f>SUMIFS('ноябрь 2024'!$G$5:$G$2220,'ноябрь 2024'!$D$5:$D$2220,$B133,'ноябрь 2024'!$J$5:$J$2220,D$1)</f>
        <v>0</v>
      </c>
      <c r="E133" s="80">
        <f>SUMIFS('ноябрь 2024'!$G$5:$G$2220,'ноябрь 2024'!$D$5:$D$2220,$B133,'ноябрь 2024'!$J$5:$J$2220,E$1)</f>
        <v>0</v>
      </c>
      <c r="F133" s="80">
        <f>SUMIFS('ноябрь 2024'!$G$5:$G$2220,'ноябрь 2024'!$D$5:$D$2220,$B133,'ноябрь 2024'!$J$5:$J$2220,F$1)</f>
        <v>0</v>
      </c>
      <c r="G133" s="80">
        <f>SUMIFS('ноябрь 2024'!$G$5:$G$2220,'ноябрь 2024'!$D$5:$D$2220,$B133,'ноябрь 2024'!$J$5:$J$2220,G$1)</f>
        <v>0</v>
      </c>
      <c r="H133" s="80">
        <f>SUMIFS('ноябрь 2024'!$G$5:$G$2220,'ноябрь 2024'!$D$5:$D$2220,$B133,'ноябрь 2024'!$J$5:$J$2220,H$1)</f>
        <v>0</v>
      </c>
      <c r="I133" s="80">
        <f>SUMIFS('ноябрь 2024'!$G$5:$G$2220,'ноябрь 2024'!$D$5:$D$2220,$B133,'ноябрь 2024'!$J$5:$J$2220,I$1)</f>
        <v>0</v>
      </c>
      <c r="J133" s="80">
        <f>SUMIFS('ноябрь 2024'!$G$5:$G$2220,'ноябрь 2024'!$D$5:$D$2220,$B133,'ноябрь 2024'!$J$5:$J$2220,J$1)</f>
        <v>0</v>
      </c>
      <c r="K133" s="80">
        <f>SUMIFS('ноябрь 2024'!$G$5:$G$2220,'ноябрь 2024'!$D$5:$D$2220,$B133,'ноябрь 2024'!$J$5:$J$2220,K$1)</f>
        <v>0</v>
      </c>
      <c r="L133" s="80">
        <f>SUMIFS('ноябрь 2024'!$G$5:$G$2220,'ноябрь 2024'!$D$5:$D$2220,$B133,'ноябрь 2024'!$J$5:$J$2220,L$1)</f>
        <v>0</v>
      </c>
      <c r="M133" s="80">
        <f>SUMIFS('ноябрь 2024'!$G$5:$G$2220,'ноябрь 2024'!$D$5:$D$2220,$B133,'ноябрь 2024'!$J$5:$J$2220,M$1)</f>
        <v>0</v>
      </c>
      <c r="N133" s="80">
        <f>SUMIFS('ноябрь 2024'!$G$5:$G$2220,'ноябрь 2024'!$D$5:$D$2220,$B133,'ноябрь 2024'!$J$5:$J$2220,N$1)</f>
        <v>0</v>
      </c>
      <c r="O133" s="80">
        <f>SUMIFS('ноябрь 2024'!$G$5:$G$2220,'ноябрь 2024'!$D$5:$D$2220,$B133,'ноябрь 2024'!$J$5:$J$2220,O$1)</f>
        <v>0</v>
      </c>
      <c r="P133" s="80">
        <f>SUMIFS('ноябрь 2024'!$G$5:$G$2220,'ноябрь 2024'!$D$5:$D$2220,$B133,'ноябрь 2024'!$J$5:$J$2220,P$1)</f>
        <v>0</v>
      </c>
      <c r="Q133" s="80">
        <f>SUMIFS('ноябрь 2024'!$G$5:$G$2220,'ноябрь 2024'!$D$5:$D$2220,$B133,'ноябрь 2024'!$J$5:$J$2220,Q$1)</f>
        <v>0</v>
      </c>
      <c r="R133" s="80">
        <f>SUMIFS('ноябрь 2024'!$G$5:$G$2220,'ноябрь 2024'!$D$5:$D$2220,$B133,'ноябрь 2024'!$J$5:$J$2220,R$1)</f>
        <v>0</v>
      </c>
      <c r="S133" s="80">
        <f>SUMIFS('ноябрь 2024'!$G$5:$G$2220,'ноябрь 2024'!$D$5:$D$2220,$B133,'ноябрь 2024'!$J$5:$J$2220,S$1)</f>
        <v>0</v>
      </c>
      <c r="T133" s="80">
        <f>SUMIFS('ноябрь 2024'!$G$5:$G$2220,'ноябрь 2024'!$D$5:$D$2220,$B133,'ноябрь 2024'!$J$5:$J$2220,T$1)</f>
        <v>0</v>
      </c>
      <c r="U133" s="80">
        <f>SUMIFS('ноябрь 2024'!$G$5:$G$2220,'ноябрь 2024'!$D$5:$D$2220,$B133,'ноябрь 2024'!$J$5:$J$2220,U$1)</f>
        <v>0</v>
      </c>
      <c r="V133" s="80">
        <f>SUMIFS('ноябрь 2024'!$G$5:$G$2220,'ноябрь 2024'!$D$5:$D$2220,$B133,'ноябрь 2024'!$J$5:$J$2220,V$1)</f>
        <v>0</v>
      </c>
      <c r="W133" s="80">
        <f>SUMIFS('ноябрь 2024'!$G$5:$G$2220,'ноябрь 2024'!$D$5:$D$2220,$B133,'ноябрь 2024'!$J$5:$J$2220,W$1)</f>
        <v>0</v>
      </c>
      <c r="X133" s="80">
        <f>SUMIFS('ноябрь 2024'!$G$5:$G$2220,'ноябрь 2024'!$D$5:$D$2220,$B133,'ноябрь 2024'!$J$5:$J$2220,X$1)</f>
        <v>0</v>
      </c>
      <c r="Y133" s="80">
        <f>SUMIFS('ноябрь 2024'!$G$5:$G$2220,'ноябрь 2024'!$D$5:$D$2220,$B133,'ноябрь 2024'!$J$5:$J$2220,Y$1)</f>
        <v>0</v>
      </c>
      <c r="Z133" s="80">
        <f>SUMIFS('ноябрь 2024'!$G$5:$G$2220,'ноябрь 2024'!$D$5:$D$2220,$B133,'ноябрь 2024'!$J$5:$J$2220,Z$1)</f>
        <v>0</v>
      </c>
      <c r="AA133" s="80">
        <f>SUMIFS('ноябрь 2024'!$G$5:$G$2220,'ноябрь 2024'!$D$5:$D$2220,$B133,'ноябрь 2024'!$J$5:$J$2220,AA$1)</f>
        <v>0</v>
      </c>
      <c r="AB133" s="80">
        <f>SUMIFS('ноябрь 2024'!$G$5:$G$2220,'ноябрь 2024'!$D$5:$D$2220,$B133,'ноябрь 2024'!$J$5:$J$2220,AB$1)</f>
        <v>0</v>
      </c>
      <c r="AC133" s="80">
        <f>SUMIFS('ноябрь 2024'!$G$5:$G$2220,'ноябрь 2024'!$D$5:$D$2220,$B133,'ноябрь 2024'!$J$5:$J$2220,AC$1)</f>
        <v>0</v>
      </c>
      <c r="AD133" s="80">
        <f>SUMIFS('ноябрь 2024'!$G$5:$G$2220,'ноябрь 2024'!$D$5:$D$2220,$B133,'ноябрь 2024'!$J$5:$J$2220,AD$1)</f>
        <v>0</v>
      </c>
      <c r="AE133" s="80">
        <f>SUMIFS('ноябрь 2024'!$G$5:$G$2220,'ноябрь 2024'!$D$5:$D$2220,$B133,'ноябрь 2024'!$J$5:$J$2220,AE$1)</f>
        <v>0</v>
      </c>
      <c r="AF133" s="80">
        <f>SUMIFS('ноябрь 2024'!$G$5:$G$2220,'ноябрь 2024'!$D$5:$D$2220,$B133,'ноябрь 2024'!$J$5:$J$2220,AF$1)</f>
        <v>0</v>
      </c>
      <c r="AG133" s="80">
        <f>SUMIFS('ноябрь 2024'!$G$5:$G$2220,'ноябрь 2024'!$D$5:$D$2220,$B133,'ноябрь 2024'!$J$5:$J$2220,AG$1)</f>
        <v>0</v>
      </c>
      <c r="AH133" s="80">
        <f>SUMIFS('ноябрь 2024'!$G$5:$G$2220,'ноябрь 2024'!$D$5:$D$2220,$B133,'ноябрь 2024'!$J$5:$J$2220,AH$1)</f>
        <v>0</v>
      </c>
      <c r="AI133" s="21">
        <f t="shared" si="1"/>
        <v>0</v>
      </c>
    </row>
    <row r="134" spans="2:35" ht="15" customHeight="1" x14ac:dyDescent="0.25">
      <c r="B134" s="93" t="s">
        <v>334</v>
      </c>
      <c r="C134" s="91">
        <v>190</v>
      </c>
      <c r="D134" s="80">
        <f>SUMIFS('ноябрь 2024'!$G$5:$G$2220,'ноябрь 2024'!$D$5:$D$2220,$B134,'ноябрь 2024'!$J$5:$J$2220,D$1)</f>
        <v>0</v>
      </c>
      <c r="E134" s="80">
        <f>SUMIFS('ноябрь 2024'!$G$5:$G$2220,'ноябрь 2024'!$D$5:$D$2220,$B134,'ноябрь 2024'!$J$5:$J$2220,E$1)</f>
        <v>0</v>
      </c>
      <c r="F134" s="80">
        <f>SUMIFS('ноябрь 2024'!$G$5:$G$2220,'ноябрь 2024'!$D$5:$D$2220,$B134,'ноябрь 2024'!$J$5:$J$2220,F$1)</f>
        <v>0</v>
      </c>
      <c r="G134" s="80">
        <f>SUMIFS('ноябрь 2024'!$G$5:$G$2220,'ноябрь 2024'!$D$5:$D$2220,$B134,'ноябрь 2024'!$J$5:$J$2220,G$1)</f>
        <v>0</v>
      </c>
      <c r="H134" s="80">
        <f>SUMIFS('ноябрь 2024'!$G$5:$G$2220,'ноябрь 2024'!$D$5:$D$2220,$B134,'ноябрь 2024'!$J$5:$J$2220,H$1)</f>
        <v>0</v>
      </c>
      <c r="I134" s="80">
        <f>SUMIFS('ноябрь 2024'!$G$5:$G$2220,'ноябрь 2024'!$D$5:$D$2220,$B134,'ноябрь 2024'!$J$5:$J$2220,I$1)</f>
        <v>0</v>
      </c>
      <c r="J134" s="80">
        <f>SUMIFS('ноябрь 2024'!$G$5:$G$2220,'ноябрь 2024'!$D$5:$D$2220,$B134,'ноябрь 2024'!$J$5:$J$2220,J$1)</f>
        <v>0</v>
      </c>
      <c r="K134" s="80">
        <f>SUMIFS('ноябрь 2024'!$G$5:$G$2220,'ноябрь 2024'!$D$5:$D$2220,$B134,'ноябрь 2024'!$J$5:$J$2220,K$1)</f>
        <v>0</v>
      </c>
      <c r="L134" s="80">
        <f>SUMIFS('ноябрь 2024'!$G$5:$G$2220,'ноябрь 2024'!$D$5:$D$2220,$B134,'ноябрь 2024'!$J$5:$J$2220,L$1)</f>
        <v>0</v>
      </c>
      <c r="M134" s="80">
        <f>SUMIFS('ноябрь 2024'!$G$5:$G$2220,'ноябрь 2024'!$D$5:$D$2220,$B134,'ноябрь 2024'!$J$5:$J$2220,M$1)</f>
        <v>0</v>
      </c>
      <c r="N134" s="80">
        <f>SUMIFS('ноябрь 2024'!$G$5:$G$2220,'ноябрь 2024'!$D$5:$D$2220,$B134,'ноябрь 2024'!$J$5:$J$2220,N$1)</f>
        <v>0</v>
      </c>
      <c r="O134" s="80">
        <f>SUMIFS('ноябрь 2024'!$G$5:$G$2220,'ноябрь 2024'!$D$5:$D$2220,$B134,'ноябрь 2024'!$J$5:$J$2220,O$1)</f>
        <v>0</v>
      </c>
      <c r="P134" s="80">
        <f>SUMIFS('ноябрь 2024'!$G$5:$G$2220,'ноябрь 2024'!$D$5:$D$2220,$B134,'ноябрь 2024'!$J$5:$J$2220,P$1)</f>
        <v>0</v>
      </c>
      <c r="Q134" s="80">
        <f>SUMIFS('ноябрь 2024'!$G$5:$G$2220,'ноябрь 2024'!$D$5:$D$2220,$B134,'ноябрь 2024'!$J$5:$J$2220,Q$1)</f>
        <v>0</v>
      </c>
      <c r="R134" s="80">
        <f>SUMIFS('ноябрь 2024'!$G$5:$G$2220,'ноябрь 2024'!$D$5:$D$2220,$B134,'ноябрь 2024'!$J$5:$J$2220,R$1)</f>
        <v>0</v>
      </c>
      <c r="S134" s="80">
        <f>SUMIFS('ноябрь 2024'!$G$5:$G$2220,'ноябрь 2024'!$D$5:$D$2220,$B134,'ноябрь 2024'!$J$5:$J$2220,S$1)</f>
        <v>0</v>
      </c>
      <c r="T134" s="80">
        <f>SUMIFS('ноябрь 2024'!$G$5:$G$2220,'ноябрь 2024'!$D$5:$D$2220,$B134,'ноябрь 2024'!$J$5:$J$2220,T$1)</f>
        <v>0</v>
      </c>
      <c r="U134" s="80">
        <f>SUMIFS('ноябрь 2024'!$G$5:$G$2220,'ноябрь 2024'!$D$5:$D$2220,$B134,'ноябрь 2024'!$J$5:$J$2220,U$1)</f>
        <v>0</v>
      </c>
      <c r="V134" s="80">
        <f>SUMIFS('ноябрь 2024'!$G$5:$G$2220,'ноябрь 2024'!$D$5:$D$2220,$B134,'ноябрь 2024'!$J$5:$J$2220,V$1)</f>
        <v>0</v>
      </c>
      <c r="W134" s="80">
        <f>SUMIFS('ноябрь 2024'!$G$5:$G$2220,'ноябрь 2024'!$D$5:$D$2220,$B134,'ноябрь 2024'!$J$5:$J$2220,W$1)</f>
        <v>0</v>
      </c>
      <c r="X134" s="80">
        <f>SUMIFS('ноябрь 2024'!$G$5:$G$2220,'ноябрь 2024'!$D$5:$D$2220,$B134,'ноябрь 2024'!$J$5:$J$2220,X$1)</f>
        <v>0</v>
      </c>
      <c r="Y134" s="80">
        <f>SUMIFS('ноябрь 2024'!$G$5:$G$2220,'ноябрь 2024'!$D$5:$D$2220,$B134,'ноябрь 2024'!$J$5:$J$2220,Y$1)</f>
        <v>0</v>
      </c>
      <c r="Z134" s="80">
        <f>SUMIFS('ноябрь 2024'!$G$5:$G$2220,'ноябрь 2024'!$D$5:$D$2220,$B134,'ноябрь 2024'!$J$5:$J$2220,Z$1)</f>
        <v>0</v>
      </c>
      <c r="AA134" s="80">
        <f>SUMIFS('ноябрь 2024'!$G$5:$G$2220,'ноябрь 2024'!$D$5:$D$2220,$B134,'ноябрь 2024'!$J$5:$J$2220,AA$1)</f>
        <v>0</v>
      </c>
      <c r="AB134" s="80">
        <f>SUMIFS('ноябрь 2024'!$G$5:$G$2220,'ноябрь 2024'!$D$5:$D$2220,$B134,'ноябрь 2024'!$J$5:$J$2220,AB$1)</f>
        <v>0</v>
      </c>
      <c r="AC134" s="80">
        <f>SUMIFS('ноябрь 2024'!$G$5:$G$2220,'ноябрь 2024'!$D$5:$D$2220,$B134,'ноябрь 2024'!$J$5:$J$2220,AC$1)</f>
        <v>0</v>
      </c>
      <c r="AD134" s="80">
        <f>SUMIFS('ноябрь 2024'!$G$5:$G$2220,'ноябрь 2024'!$D$5:$D$2220,$B134,'ноябрь 2024'!$J$5:$J$2220,AD$1)</f>
        <v>0</v>
      </c>
      <c r="AE134" s="80">
        <f>SUMIFS('ноябрь 2024'!$G$5:$G$2220,'ноябрь 2024'!$D$5:$D$2220,$B134,'ноябрь 2024'!$J$5:$J$2220,AE$1)</f>
        <v>0</v>
      </c>
      <c r="AF134" s="80">
        <f>SUMIFS('ноябрь 2024'!$G$5:$G$2220,'ноябрь 2024'!$D$5:$D$2220,$B134,'ноябрь 2024'!$J$5:$J$2220,AF$1)</f>
        <v>0</v>
      </c>
      <c r="AG134" s="80">
        <f>SUMIFS('ноябрь 2024'!$G$5:$G$2220,'ноябрь 2024'!$D$5:$D$2220,$B134,'ноябрь 2024'!$J$5:$J$2220,AG$1)</f>
        <v>0</v>
      </c>
      <c r="AH134" s="80">
        <f>SUMIFS('ноябрь 2024'!$G$5:$G$2220,'ноябрь 2024'!$D$5:$D$2220,$B134,'ноябрь 2024'!$J$5:$J$2220,AH$1)</f>
        <v>0</v>
      </c>
      <c r="AI134" s="21">
        <f t="shared" si="1"/>
        <v>0</v>
      </c>
    </row>
    <row r="135" spans="2:35" ht="16.899999999999999" customHeight="1" x14ac:dyDescent="0.25">
      <c r="B135" s="89" t="s">
        <v>335</v>
      </c>
      <c r="C135" s="88">
        <v>200</v>
      </c>
      <c r="D135" s="80">
        <f>SUMIFS('ноябрь 2024'!$G$5:$G$2220,'ноябрь 2024'!$D$5:$D$2220,$B135,'ноябрь 2024'!$J$5:$J$2220,D$1)</f>
        <v>0</v>
      </c>
      <c r="E135" s="80">
        <f>SUMIFS('ноябрь 2024'!$G$5:$G$2220,'ноябрь 2024'!$D$5:$D$2220,$B135,'ноябрь 2024'!$J$5:$J$2220,E$1)</f>
        <v>0</v>
      </c>
      <c r="F135" s="80">
        <f>SUMIFS('ноябрь 2024'!$G$5:$G$2220,'ноябрь 2024'!$D$5:$D$2220,$B135,'ноябрь 2024'!$J$5:$J$2220,F$1)</f>
        <v>0</v>
      </c>
      <c r="G135" s="80">
        <f>SUMIFS('ноябрь 2024'!$G$5:$G$2220,'ноябрь 2024'!$D$5:$D$2220,$B135,'ноябрь 2024'!$J$5:$J$2220,G$1)</f>
        <v>0</v>
      </c>
      <c r="H135" s="80">
        <f>SUMIFS('ноябрь 2024'!$G$5:$G$2220,'ноябрь 2024'!$D$5:$D$2220,$B135,'ноябрь 2024'!$J$5:$J$2220,H$1)</f>
        <v>0</v>
      </c>
      <c r="I135" s="80">
        <f>SUMIFS('ноябрь 2024'!$G$5:$G$2220,'ноябрь 2024'!$D$5:$D$2220,$B135,'ноябрь 2024'!$J$5:$J$2220,I$1)</f>
        <v>0</v>
      </c>
      <c r="J135" s="80">
        <f>SUMIFS('ноябрь 2024'!$G$5:$G$2220,'ноябрь 2024'!$D$5:$D$2220,$B135,'ноябрь 2024'!$J$5:$J$2220,J$1)</f>
        <v>0</v>
      </c>
      <c r="K135" s="80">
        <f>SUMIFS('ноябрь 2024'!$G$5:$G$2220,'ноябрь 2024'!$D$5:$D$2220,$B135,'ноябрь 2024'!$J$5:$J$2220,K$1)</f>
        <v>0</v>
      </c>
      <c r="L135" s="80">
        <f>SUMIFS('ноябрь 2024'!$G$5:$G$2220,'ноябрь 2024'!$D$5:$D$2220,$B135,'ноябрь 2024'!$J$5:$J$2220,L$1)</f>
        <v>0</v>
      </c>
      <c r="M135" s="80">
        <f>SUMIFS('ноябрь 2024'!$G$5:$G$2220,'ноябрь 2024'!$D$5:$D$2220,$B135,'ноябрь 2024'!$J$5:$J$2220,M$1)</f>
        <v>0</v>
      </c>
      <c r="N135" s="80">
        <f>SUMIFS('ноябрь 2024'!$G$5:$G$2220,'ноябрь 2024'!$D$5:$D$2220,$B135,'ноябрь 2024'!$J$5:$J$2220,N$1)</f>
        <v>0</v>
      </c>
      <c r="O135" s="80">
        <f>SUMIFS('ноябрь 2024'!$G$5:$G$2220,'ноябрь 2024'!$D$5:$D$2220,$B135,'ноябрь 2024'!$J$5:$J$2220,O$1)</f>
        <v>0</v>
      </c>
      <c r="P135" s="80">
        <f>SUMIFS('ноябрь 2024'!$G$5:$G$2220,'ноябрь 2024'!$D$5:$D$2220,$B135,'ноябрь 2024'!$J$5:$J$2220,P$1)</f>
        <v>0</v>
      </c>
      <c r="Q135" s="80">
        <f>SUMIFS('ноябрь 2024'!$G$5:$G$2220,'ноябрь 2024'!$D$5:$D$2220,$B135,'ноябрь 2024'!$J$5:$J$2220,Q$1)</f>
        <v>0</v>
      </c>
      <c r="R135" s="80">
        <f>SUMIFS('ноябрь 2024'!$G$5:$G$2220,'ноябрь 2024'!$D$5:$D$2220,$B135,'ноябрь 2024'!$J$5:$J$2220,R$1)</f>
        <v>0</v>
      </c>
      <c r="S135" s="80">
        <f>SUMIFS('ноябрь 2024'!$G$5:$G$2220,'ноябрь 2024'!$D$5:$D$2220,$B135,'ноябрь 2024'!$J$5:$J$2220,S$1)</f>
        <v>0</v>
      </c>
      <c r="T135" s="80">
        <f>SUMIFS('ноябрь 2024'!$G$5:$G$2220,'ноябрь 2024'!$D$5:$D$2220,$B135,'ноябрь 2024'!$J$5:$J$2220,T$1)</f>
        <v>0</v>
      </c>
      <c r="U135" s="80">
        <f>SUMIFS('ноябрь 2024'!$G$5:$G$2220,'ноябрь 2024'!$D$5:$D$2220,$B135,'ноябрь 2024'!$J$5:$J$2220,U$1)</f>
        <v>0</v>
      </c>
      <c r="V135" s="80">
        <f>SUMIFS('ноябрь 2024'!$G$5:$G$2220,'ноябрь 2024'!$D$5:$D$2220,$B135,'ноябрь 2024'!$J$5:$J$2220,V$1)</f>
        <v>0</v>
      </c>
      <c r="W135" s="80">
        <f>SUMIFS('ноябрь 2024'!$G$5:$G$2220,'ноябрь 2024'!$D$5:$D$2220,$B135,'ноябрь 2024'!$J$5:$J$2220,W$1)</f>
        <v>0</v>
      </c>
      <c r="X135" s="80">
        <f>SUMIFS('ноябрь 2024'!$G$5:$G$2220,'ноябрь 2024'!$D$5:$D$2220,$B135,'ноябрь 2024'!$J$5:$J$2220,X$1)</f>
        <v>0</v>
      </c>
      <c r="Y135" s="80">
        <f>SUMIFS('ноябрь 2024'!$G$5:$G$2220,'ноябрь 2024'!$D$5:$D$2220,$B135,'ноябрь 2024'!$J$5:$J$2220,Y$1)</f>
        <v>0</v>
      </c>
      <c r="Z135" s="80">
        <f>SUMIFS('ноябрь 2024'!$G$5:$G$2220,'ноябрь 2024'!$D$5:$D$2220,$B135,'ноябрь 2024'!$J$5:$J$2220,Z$1)</f>
        <v>0</v>
      </c>
      <c r="AA135" s="80">
        <f>SUMIFS('ноябрь 2024'!$G$5:$G$2220,'ноябрь 2024'!$D$5:$D$2220,$B135,'ноябрь 2024'!$J$5:$J$2220,AA$1)</f>
        <v>0</v>
      </c>
      <c r="AB135" s="80">
        <f>SUMIFS('ноябрь 2024'!$G$5:$G$2220,'ноябрь 2024'!$D$5:$D$2220,$B135,'ноябрь 2024'!$J$5:$J$2220,AB$1)</f>
        <v>0</v>
      </c>
      <c r="AC135" s="80">
        <f>SUMIFS('ноябрь 2024'!$G$5:$G$2220,'ноябрь 2024'!$D$5:$D$2220,$B135,'ноябрь 2024'!$J$5:$J$2220,AC$1)</f>
        <v>0</v>
      </c>
      <c r="AD135" s="80">
        <f>SUMIFS('ноябрь 2024'!$G$5:$G$2220,'ноябрь 2024'!$D$5:$D$2220,$B135,'ноябрь 2024'!$J$5:$J$2220,AD$1)</f>
        <v>0</v>
      </c>
      <c r="AE135" s="80">
        <f>SUMIFS('ноябрь 2024'!$G$5:$G$2220,'ноябрь 2024'!$D$5:$D$2220,$B135,'ноябрь 2024'!$J$5:$J$2220,AE$1)</f>
        <v>0</v>
      </c>
      <c r="AF135" s="80">
        <f>SUMIFS('ноябрь 2024'!$G$5:$G$2220,'ноябрь 2024'!$D$5:$D$2220,$B135,'ноябрь 2024'!$J$5:$J$2220,AF$1)</f>
        <v>0</v>
      </c>
      <c r="AG135" s="80">
        <f>SUMIFS('ноябрь 2024'!$G$5:$G$2220,'ноябрь 2024'!$D$5:$D$2220,$B135,'ноябрь 2024'!$J$5:$J$2220,AG$1)</f>
        <v>0</v>
      </c>
      <c r="AH135" s="80">
        <f>SUMIFS('ноябрь 2024'!$G$5:$G$2220,'ноябрь 2024'!$D$5:$D$2220,$B135,'ноябрь 2024'!$J$5:$J$2220,AH$1)</f>
        <v>0</v>
      </c>
      <c r="AI135" s="21">
        <f t="shared" si="1"/>
        <v>0</v>
      </c>
    </row>
    <row r="136" spans="2:35" ht="16.899999999999999" customHeight="1" x14ac:dyDescent="0.25">
      <c r="B136" s="89" t="s">
        <v>340</v>
      </c>
      <c r="C136" s="88">
        <v>200</v>
      </c>
      <c r="D136" s="80">
        <f>SUMIFS('ноябрь 2024'!$G$5:$G$2220,'ноябрь 2024'!$D$5:$D$2220,$B136,'ноябрь 2024'!$J$5:$J$2220,D$1)</f>
        <v>0</v>
      </c>
      <c r="E136" s="80">
        <f>SUMIFS('ноябрь 2024'!$G$5:$G$2220,'ноябрь 2024'!$D$5:$D$2220,$B136,'ноябрь 2024'!$J$5:$J$2220,E$1)</f>
        <v>0</v>
      </c>
      <c r="F136" s="80">
        <f>SUMIFS('ноябрь 2024'!$G$5:$G$2220,'ноябрь 2024'!$D$5:$D$2220,$B136,'ноябрь 2024'!$J$5:$J$2220,F$1)</f>
        <v>0</v>
      </c>
      <c r="G136" s="80">
        <f>SUMIFS('ноябрь 2024'!$G$5:$G$2220,'ноябрь 2024'!$D$5:$D$2220,$B136,'ноябрь 2024'!$J$5:$J$2220,G$1)</f>
        <v>0</v>
      </c>
      <c r="H136" s="80">
        <f>SUMIFS('ноябрь 2024'!$G$5:$G$2220,'ноябрь 2024'!$D$5:$D$2220,$B136,'ноябрь 2024'!$J$5:$J$2220,H$1)</f>
        <v>0</v>
      </c>
      <c r="I136" s="80">
        <f>SUMIFS('ноябрь 2024'!$G$5:$G$2220,'ноябрь 2024'!$D$5:$D$2220,$B136,'ноябрь 2024'!$J$5:$J$2220,I$1)</f>
        <v>0</v>
      </c>
      <c r="J136" s="80">
        <f>SUMIFS('ноябрь 2024'!$G$5:$G$2220,'ноябрь 2024'!$D$5:$D$2220,$B136,'ноябрь 2024'!$J$5:$J$2220,J$1)</f>
        <v>0</v>
      </c>
      <c r="K136" s="80">
        <f>SUMIFS('ноябрь 2024'!$G$5:$G$2220,'ноябрь 2024'!$D$5:$D$2220,$B136,'ноябрь 2024'!$J$5:$J$2220,K$1)</f>
        <v>0</v>
      </c>
      <c r="L136" s="80">
        <f>SUMIFS('ноябрь 2024'!$G$5:$G$2220,'ноябрь 2024'!$D$5:$D$2220,$B136,'ноябрь 2024'!$J$5:$J$2220,L$1)</f>
        <v>0</v>
      </c>
      <c r="M136" s="80">
        <f>SUMIFS('ноябрь 2024'!$G$5:$G$2220,'ноябрь 2024'!$D$5:$D$2220,$B136,'ноябрь 2024'!$J$5:$J$2220,M$1)</f>
        <v>0</v>
      </c>
      <c r="N136" s="80">
        <f>SUMIFS('ноябрь 2024'!$G$5:$G$2220,'ноябрь 2024'!$D$5:$D$2220,$B136,'ноябрь 2024'!$J$5:$J$2220,N$1)</f>
        <v>0</v>
      </c>
      <c r="O136" s="80">
        <f>SUMIFS('ноябрь 2024'!$G$5:$G$2220,'ноябрь 2024'!$D$5:$D$2220,$B136,'ноябрь 2024'!$J$5:$J$2220,O$1)</f>
        <v>0</v>
      </c>
      <c r="P136" s="80">
        <f>SUMIFS('ноябрь 2024'!$G$5:$G$2220,'ноябрь 2024'!$D$5:$D$2220,$B136,'ноябрь 2024'!$J$5:$J$2220,P$1)</f>
        <v>0</v>
      </c>
      <c r="Q136" s="80">
        <f>SUMIFS('ноябрь 2024'!$G$5:$G$2220,'ноябрь 2024'!$D$5:$D$2220,$B136,'ноябрь 2024'!$J$5:$J$2220,Q$1)</f>
        <v>0</v>
      </c>
      <c r="R136" s="80">
        <f>SUMIFS('ноябрь 2024'!$G$5:$G$2220,'ноябрь 2024'!$D$5:$D$2220,$B136,'ноябрь 2024'!$J$5:$J$2220,R$1)</f>
        <v>0</v>
      </c>
      <c r="S136" s="80">
        <f>SUMIFS('ноябрь 2024'!$G$5:$G$2220,'ноябрь 2024'!$D$5:$D$2220,$B136,'ноябрь 2024'!$J$5:$J$2220,S$1)</f>
        <v>0</v>
      </c>
      <c r="T136" s="80">
        <f>SUMIFS('ноябрь 2024'!$G$5:$G$2220,'ноябрь 2024'!$D$5:$D$2220,$B136,'ноябрь 2024'!$J$5:$J$2220,T$1)</f>
        <v>0</v>
      </c>
      <c r="U136" s="80">
        <f>SUMIFS('ноябрь 2024'!$G$5:$G$2220,'ноябрь 2024'!$D$5:$D$2220,$B136,'ноябрь 2024'!$J$5:$J$2220,U$1)</f>
        <v>0</v>
      </c>
      <c r="V136" s="80">
        <f>SUMIFS('ноябрь 2024'!$G$5:$G$2220,'ноябрь 2024'!$D$5:$D$2220,$B136,'ноябрь 2024'!$J$5:$J$2220,V$1)</f>
        <v>0</v>
      </c>
      <c r="W136" s="80">
        <f>SUMIFS('ноябрь 2024'!$G$5:$G$2220,'ноябрь 2024'!$D$5:$D$2220,$B136,'ноябрь 2024'!$J$5:$J$2220,W$1)</f>
        <v>0</v>
      </c>
      <c r="X136" s="80">
        <f>SUMIFS('ноябрь 2024'!$G$5:$G$2220,'ноябрь 2024'!$D$5:$D$2220,$B136,'ноябрь 2024'!$J$5:$J$2220,X$1)</f>
        <v>0</v>
      </c>
      <c r="Y136" s="80">
        <f>SUMIFS('ноябрь 2024'!$G$5:$G$2220,'ноябрь 2024'!$D$5:$D$2220,$B136,'ноябрь 2024'!$J$5:$J$2220,Y$1)</f>
        <v>0</v>
      </c>
      <c r="Z136" s="80">
        <f>SUMIFS('ноябрь 2024'!$G$5:$G$2220,'ноябрь 2024'!$D$5:$D$2220,$B136,'ноябрь 2024'!$J$5:$J$2220,Z$1)</f>
        <v>0</v>
      </c>
      <c r="AA136" s="80">
        <f>SUMIFS('ноябрь 2024'!$G$5:$G$2220,'ноябрь 2024'!$D$5:$D$2220,$B136,'ноябрь 2024'!$J$5:$J$2220,AA$1)</f>
        <v>0</v>
      </c>
      <c r="AB136" s="80">
        <f>SUMIFS('ноябрь 2024'!$G$5:$G$2220,'ноябрь 2024'!$D$5:$D$2220,$B136,'ноябрь 2024'!$J$5:$J$2220,AB$1)</f>
        <v>0</v>
      </c>
      <c r="AC136" s="80">
        <f>SUMIFS('ноябрь 2024'!$G$5:$G$2220,'ноябрь 2024'!$D$5:$D$2220,$B136,'ноябрь 2024'!$J$5:$J$2220,AC$1)</f>
        <v>0</v>
      </c>
      <c r="AD136" s="80">
        <f>SUMIFS('ноябрь 2024'!$G$5:$G$2220,'ноябрь 2024'!$D$5:$D$2220,$B136,'ноябрь 2024'!$J$5:$J$2220,AD$1)</f>
        <v>40</v>
      </c>
      <c r="AE136" s="80">
        <f>SUMIFS('ноябрь 2024'!$G$5:$G$2220,'ноябрь 2024'!$D$5:$D$2220,$B136,'ноябрь 2024'!$J$5:$J$2220,AE$1)</f>
        <v>0</v>
      </c>
      <c r="AF136" s="80">
        <f>SUMIFS('ноябрь 2024'!$G$5:$G$2220,'ноябрь 2024'!$D$5:$D$2220,$B136,'ноябрь 2024'!$J$5:$J$2220,AF$1)</f>
        <v>0</v>
      </c>
      <c r="AG136" s="80">
        <f>SUMIFS('ноябрь 2024'!$G$5:$G$2220,'ноябрь 2024'!$D$5:$D$2220,$B136,'ноябрь 2024'!$J$5:$J$2220,AG$1)</f>
        <v>0</v>
      </c>
      <c r="AH136" s="80">
        <f>SUMIFS('ноябрь 2024'!$G$5:$G$2220,'ноябрь 2024'!$D$5:$D$2220,$B136,'ноябрь 2024'!$J$5:$J$2220,AH$1)</f>
        <v>0</v>
      </c>
      <c r="AI136" s="21">
        <f t="shared" si="1"/>
        <v>40</v>
      </c>
    </row>
    <row r="137" spans="2:35" ht="16.899999999999999" customHeight="1" x14ac:dyDescent="0.25">
      <c r="B137" s="89" t="s">
        <v>336</v>
      </c>
      <c r="C137" s="88">
        <v>200</v>
      </c>
      <c r="D137" s="80">
        <f>SUMIFS('ноябрь 2024'!$G$5:$G$2220,'ноябрь 2024'!$D$5:$D$2220,$B137,'ноябрь 2024'!$J$5:$J$2220,D$1)</f>
        <v>0</v>
      </c>
      <c r="E137" s="80">
        <f>SUMIFS('ноябрь 2024'!$G$5:$G$2220,'ноябрь 2024'!$D$5:$D$2220,$B137,'ноябрь 2024'!$J$5:$J$2220,E$1)</f>
        <v>0</v>
      </c>
      <c r="F137" s="80">
        <f>SUMIFS('ноябрь 2024'!$G$5:$G$2220,'ноябрь 2024'!$D$5:$D$2220,$B137,'ноябрь 2024'!$J$5:$J$2220,F$1)</f>
        <v>0</v>
      </c>
      <c r="G137" s="80">
        <f>SUMIFS('ноябрь 2024'!$G$5:$G$2220,'ноябрь 2024'!$D$5:$D$2220,$B137,'ноябрь 2024'!$J$5:$J$2220,G$1)</f>
        <v>0</v>
      </c>
      <c r="H137" s="80">
        <f>SUMIFS('ноябрь 2024'!$G$5:$G$2220,'ноябрь 2024'!$D$5:$D$2220,$B137,'ноябрь 2024'!$J$5:$J$2220,H$1)</f>
        <v>0</v>
      </c>
      <c r="I137" s="80">
        <f>SUMIFS('ноябрь 2024'!$G$5:$G$2220,'ноябрь 2024'!$D$5:$D$2220,$B137,'ноябрь 2024'!$J$5:$J$2220,I$1)</f>
        <v>0</v>
      </c>
      <c r="J137" s="80">
        <f>SUMIFS('ноябрь 2024'!$G$5:$G$2220,'ноябрь 2024'!$D$5:$D$2220,$B137,'ноябрь 2024'!$J$5:$J$2220,J$1)</f>
        <v>0</v>
      </c>
      <c r="K137" s="80">
        <f>SUMIFS('ноябрь 2024'!$G$5:$G$2220,'ноябрь 2024'!$D$5:$D$2220,$B137,'ноябрь 2024'!$J$5:$J$2220,K$1)</f>
        <v>0</v>
      </c>
      <c r="L137" s="80">
        <f>SUMIFS('ноябрь 2024'!$G$5:$G$2220,'ноябрь 2024'!$D$5:$D$2220,$B137,'ноябрь 2024'!$J$5:$J$2220,L$1)</f>
        <v>0</v>
      </c>
      <c r="M137" s="80">
        <f>SUMIFS('ноябрь 2024'!$G$5:$G$2220,'ноябрь 2024'!$D$5:$D$2220,$B137,'ноябрь 2024'!$J$5:$J$2220,M$1)</f>
        <v>0</v>
      </c>
      <c r="N137" s="80">
        <f>SUMIFS('ноябрь 2024'!$G$5:$G$2220,'ноябрь 2024'!$D$5:$D$2220,$B137,'ноябрь 2024'!$J$5:$J$2220,N$1)</f>
        <v>0</v>
      </c>
      <c r="O137" s="80">
        <f>SUMIFS('ноябрь 2024'!$G$5:$G$2220,'ноябрь 2024'!$D$5:$D$2220,$B137,'ноябрь 2024'!$J$5:$J$2220,O$1)</f>
        <v>0</v>
      </c>
      <c r="P137" s="80">
        <f>SUMIFS('ноябрь 2024'!$G$5:$G$2220,'ноябрь 2024'!$D$5:$D$2220,$B137,'ноябрь 2024'!$J$5:$J$2220,P$1)</f>
        <v>0</v>
      </c>
      <c r="Q137" s="80">
        <f>SUMIFS('ноябрь 2024'!$G$5:$G$2220,'ноябрь 2024'!$D$5:$D$2220,$B137,'ноябрь 2024'!$J$5:$J$2220,Q$1)</f>
        <v>0</v>
      </c>
      <c r="R137" s="80">
        <f>SUMIFS('ноябрь 2024'!$G$5:$G$2220,'ноябрь 2024'!$D$5:$D$2220,$B137,'ноябрь 2024'!$J$5:$J$2220,R$1)</f>
        <v>0</v>
      </c>
      <c r="S137" s="80">
        <f>SUMIFS('ноябрь 2024'!$G$5:$G$2220,'ноябрь 2024'!$D$5:$D$2220,$B137,'ноябрь 2024'!$J$5:$J$2220,S$1)</f>
        <v>0</v>
      </c>
      <c r="T137" s="80">
        <f>SUMIFS('ноябрь 2024'!$G$5:$G$2220,'ноябрь 2024'!$D$5:$D$2220,$B137,'ноябрь 2024'!$J$5:$J$2220,T$1)</f>
        <v>0</v>
      </c>
      <c r="U137" s="80">
        <f>SUMIFS('ноябрь 2024'!$G$5:$G$2220,'ноябрь 2024'!$D$5:$D$2220,$B137,'ноябрь 2024'!$J$5:$J$2220,U$1)</f>
        <v>0</v>
      </c>
      <c r="V137" s="80">
        <f>SUMIFS('ноябрь 2024'!$G$5:$G$2220,'ноябрь 2024'!$D$5:$D$2220,$B137,'ноябрь 2024'!$J$5:$J$2220,V$1)</f>
        <v>0</v>
      </c>
      <c r="W137" s="80">
        <f>SUMIFS('ноябрь 2024'!$G$5:$G$2220,'ноябрь 2024'!$D$5:$D$2220,$B137,'ноябрь 2024'!$J$5:$J$2220,W$1)</f>
        <v>0</v>
      </c>
      <c r="X137" s="80">
        <f>SUMIFS('ноябрь 2024'!$G$5:$G$2220,'ноябрь 2024'!$D$5:$D$2220,$B137,'ноябрь 2024'!$J$5:$J$2220,X$1)</f>
        <v>0</v>
      </c>
      <c r="Y137" s="80">
        <f>SUMIFS('ноябрь 2024'!$G$5:$G$2220,'ноябрь 2024'!$D$5:$D$2220,$B137,'ноябрь 2024'!$J$5:$J$2220,Y$1)</f>
        <v>0</v>
      </c>
      <c r="Z137" s="80">
        <f>SUMIFS('ноябрь 2024'!$G$5:$G$2220,'ноябрь 2024'!$D$5:$D$2220,$B137,'ноябрь 2024'!$J$5:$J$2220,Z$1)</f>
        <v>0</v>
      </c>
      <c r="AA137" s="80">
        <f>SUMIFS('ноябрь 2024'!$G$5:$G$2220,'ноябрь 2024'!$D$5:$D$2220,$B137,'ноябрь 2024'!$J$5:$J$2220,AA$1)</f>
        <v>0</v>
      </c>
      <c r="AB137" s="80">
        <f>SUMIFS('ноябрь 2024'!$G$5:$G$2220,'ноябрь 2024'!$D$5:$D$2220,$B137,'ноябрь 2024'!$J$5:$J$2220,AB$1)</f>
        <v>0</v>
      </c>
      <c r="AC137" s="80">
        <f>SUMIFS('ноябрь 2024'!$G$5:$G$2220,'ноябрь 2024'!$D$5:$D$2220,$B137,'ноябрь 2024'!$J$5:$J$2220,AC$1)</f>
        <v>0</v>
      </c>
      <c r="AD137" s="80">
        <f>SUMIFS('ноябрь 2024'!$G$5:$G$2220,'ноябрь 2024'!$D$5:$D$2220,$B137,'ноябрь 2024'!$J$5:$J$2220,AD$1)</f>
        <v>0</v>
      </c>
      <c r="AE137" s="80">
        <f>SUMIFS('ноябрь 2024'!$G$5:$G$2220,'ноябрь 2024'!$D$5:$D$2220,$B137,'ноябрь 2024'!$J$5:$J$2220,AE$1)</f>
        <v>0</v>
      </c>
      <c r="AF137" s="80">
        <f>SUMIFS('ноябрь 2024'!$G$5:$G$2220,'ноябрь 2024'!$D$5:$D$2220,$B137,'ноябрь 2024'!$J$5:$J$2220,AF$1)</f>
        <v>0</v>
      </c>
      <c r="AG137" s="80">
        <f>SUMIFS('ноябрь 2024'!$G$5:$G$2220,'ноябрь 2024'!$D$5:$D$2220,$B137,'ноябрь 2024'!$J$5:$J$2220,AG$1)</f>
        <v>0</v>
      </c>
      <c r="AH137" s="80">
        <f>SUMIFS('ноябрь 2024'!$G$5:$G$2220,'ноябрь 2024'!$D$5:$D$2220,$B137,'ноябрь 2024'!$J$5:$J$2220,AH$1)</f>
        <v>0</v>
      </c>
      <c r="AI137" s="21">
        <f t="shared" si="1"/>
        <v>0</v>
      </c>
    </row>
    <row r="138" spans="2:35" ht="15" customHeight="1" x14ac:dyDescent="0.25">
      <c r="B138" s="89" t="s">
        <v>341</v>
      </c>
      <c r="C138" s="88">
        <v>200</v>
      </c>
      <c r="D138" s="80">
        <f>SUMIFS('ноябрь 2024'!$G$5:$G$2220,'ноябрь 2024'!$D$5:$D$2220,$B138,'ноябрь 2024'!$J$5:$J$2220,D$1)</f>
        <v>44</v>
      </c>
      <c r="E138" s="80">
        <f>SUMIFS('ноябрь 2024'!$G$5:$G$2220,'ноябрь 2024'!$D$5:$D$2220,$B138,'ноябрь 2024'!$J$5:$J$2220,E$1)</f>
        <v>0</v>
      </c>
      <c r="F138" s="80">
        <f>SUMIFS('ноябрь 2024'!$G$5:$G$2220,'ноябрь 2024'!$D$5:$D$2220,$B138,'ноябрь 2024'!$J$5:$J$2220,F$1)</f>
        <v>0</v>
      </c>
      <c r="G138" s="80">
        <f>SUMIFS('ноябрь 2024'!$G$5:$G$2220,'ноябрь 2024'!$D$5:$D$2220,$B138,'ноябрь 2024'!$J$5:$J$2220,G$1)</f>
        <v>0</v>
      </c>
      <c r="H138" s="80">
        <f>SUMIFS('ноябрь 2024'!$G$5:$G$2220,'ноябрь 2024'!$D$5:$D$2220,$B138,'ноябрь 2024'!$J$5:$J$2220,H$1)</f>
        <v>0</v>
      </c>
      <c r="I138" s="80">
        <f>SUMIFS('ноябрь 2024'!$G$5:$G$2220,'ноябрь 2024'!$D$5:$D$2220,$B138,'ноябрь 2024'!$J$5:$J$2220,I$1)</f>
        <v>0</v>
      </c>
      <c r="J138" s="80">
        <f>SUMIFS('ноябрь 2024'!$G$5:$G$2220,'ноябрь 2024'!$D$5:$D$2220,$B138,'ноябрь 2024'!$J$5:$J$2220,J$1)</f>
        <v>0</v>
      </c>
      <c r="K138" s="80">
        <f>SUMIFS('ноябрь 2024'!$G$5:$G$2220,'ноябрь 2024'!$D$5:$D$2220,$B138,'ноябрь 2024'!$J$5:$J$2220,K$1)</f>
        <v>0</v>
      </c>
      <c r="L138" s="80">
        <f>SUMIFS('ноябрь 2024'!$G$5:$G$2220,'ноябрь 2024'!$D$5:$D$2220,$B138,'ноябрь 2024'!$J$5:$J$2220,L$1)</f>
        <v>0</v>
      </c>
      <c r="M138" s="80">
        <f>SUMIFS('ноябрь 2024'!$G$5:$G$2220,'ноябрь 2024'!$D$5:$D$2220,$B138,'ноябрь 2024'!$J$5:$J$2220,M$1)</f>
        <v>0</v>
      </c>
      <c r="N138" s="80">
        <f>SUMIFS('ноябрь 2024'!$G$5:$G$2220,'ноябрь 2024'!$D$5:$D$2220,$B138,'ноябрь 2024'!$J$5:$J$2220,N$1)</f>
        <v>0</v>
      </c>
      <c r="O138" s="80">
        <f>SUMIFS('ноябрь 2024'!$G$5:$G$2220,'ноябрь 2024'!$D$5:$D$2220,$B138,'ноябрь 2024'!$J$5:$J$2220,O$1)</f>
        <v>0</v>
      </c>
      <c r="P138" s="80">
        <f>SUMIFS('ноябрь 2024'!$G$5:$G$2220,'ноябрь 2024'!$D$5:$D$2220,$B138,'ноябрь 2024'!$J$5:$J$2220,P$1)</f>
        <v>0</v>
      </c>
      <c r="Q138" s="80">
        <f>SUMIFS('ноябрь 2024'!$G$5:$G$2220,'ноябрь 2024'!$D$5:$D$2220,$B138,'ноябрь 2024'!$J$5:$J$2220,Q$1)</f>
        <v>0</v>
      </c>
      <c r="R138" s="80">
        <f>SUMIFS('ноябрь 2024'!$G$5:$G$2220,'ноябрь 2024'!$D$5:$D$2220,$B138,'ноябрь 2024'!$J$5:$J$2220,R$1)</f>
        <v>0</v>
      </c>
      <c r="S138" s="80">
        <f>SUMIFS('ноябрь 2024'!$G$5:$G$2220,'ноябрь 2024'!$D$5:$D$2220,$B138,'ноябрь 2024'!$J$5:$J$2220,S$1)</f>
        <v>0</v>
      </c>
      <c r="T138" s="80">
        <f>SUMIFS('ноябрь 2024'!$G$5:$G$2220,'ноябрь 2024'!$D$5:$D$2220,$B138,'ноябрь 2024'!$J$5:$J$2220,T$1)</f>
        <v>0</v>
      </c>
      <c r="U138" s="80">
        <f>SUMIFS('ноябрь 2024'!$G$5:$G$2220,'ноябрь 2024'!$D$5:$D$2220,$B138,'ноябрь 2024'!$J$5:$J$2220,U$1)</f>
        <v>0</v>
      </c>
      <c r="V138" s="80">
        <f>SUMIFS('ноябрь 2024'!$G$5:$G$2220,'ноябрь 2024'!$D$5:$D$2220,$B138,'ноябрь 2024'!$J$5:$J$2220,V$1)</f>
        <v>0</v>
      </c>
      <c r="W138" s="80">
        <f>SUMIFS('ноябрь 2024'!$G$5:$G$2220,'ноябрь 2024'!$D$5:$D$2220,$B138,'ноябрь 2024'!$J$5:$J$2220,W$1)</f>
        <v>0</v>
      </c>
      <c r="X138" s="80">
        <f>SUMIFS('ноябрь 2024'!$G$5:$G$2220,'ноябрь 2024'!$D$5:$D$2220,$B138,'ноябрь 2024'!$J$5:$J$2220,X$1)</f>
        <v>0</v>
      </c>
      <c r="Y138" s="80">
        <f>SUMIFS('ноябрь 2024'!$G$5:$G$2220,'ноябрь 2024'!$D$5:$D$2220,$B138,'ноябрь 2024'!$J$5:$J$2220,Y$1)</f>
        <v>0</v>
      </c>
      <c r="Z138" s="80">
        <f>SUMIFS('ноябрь 2024'!$G$5:$G$2220,'ноябрь 2024'!$D$5:$D$2220,$B138,'ноябрь 2024'!$J$5:$J$2220,Z$1)</f>
        <v>0</v>
      </c>
      <c r="AA138" s="80">
        <f>SUMIFS('ноябрь 2024'!$G$5:$G$2220,'ноябрь 2024'!$D$5:$D$2220,$B138,'ноябрь 2024'!$J$5:$J$2220,AA$1)</f>
        <v>0</v>
      </c>
      <c r="AB138" s="80">
        <f>SUMIFS('ноябрь 2024'!$G$5:$G$2220,'ноябрь 2024'!$D$5:$D$2220,$B138,'ноябрь 2024'!$J$5:$J$2220,AB$1)</f>
        <v>0</v>
      </c>
      <c r="AC138" s="80">
        <f>SUMIFS('ноябрь 2024'!$G$5:$G$2220,'ноябрь 2024'!$D$5:$D$2220,$B138,'ноябрь 2024'!$J$5:$J$2220,AC$1)</f>
        <v>0</v>
      </c>
      <c r="AD138" s="80">
        <f>SUMIFS('ноябрь 2024'!$G$5:$G$2220,'ноябрь 2024'!$D$5:$D$2220,$B138,'ноябрь 2024'!$J$5:$J$2220,AD$1)</f>
        <v>0</v>
      </c>
      <c r="AE138" s="80">
        <f>SUMIFS('ноябрь 2024'!$G$5:$G$2220,'ноябрь 2024'!$D$5:$D$2220,$B138,'ноябрь 2024'!$J$5:$J$2220,AE$1)</f>
        <v>0</v>
      </c>
      <c r="AF138" s="80">
        <f>SUMIFS('ноябрь 2024'!$G$5:$G$2220,'ноябрь 2024'!$D$5:$D$2220,$B138,'ноябрь 2024'!$J$5:$J$2220,AF$1)</f>
        <v>0</v>
      </c>
      <c r="AG138" s="80">
        <f>SUMIFS('ноябрь 2024'!$G$5:$G$2220,'ноябрь 2024'!$D$5:$D$2220,$B138,'ноябрь 2024'!$J$5:$J$2220,AG$1)</f>
        <v>0</v>
      </c>
      <c r="AH138" s="80">
        <f>SUMIFS('ноябрь 2024'!$G$5:$G$2220,'ноябрь 2024'!$D$5:$D$2220,$B138,'ноябрь 2024'!$J$5:$J$2220,AH$1)</f>
        <v>0</v>
      </c>
      <c r="AI138" s="21">
        <f t="shared" si="1"/>
        <v>44</v>
      </c>
    </row>
    <row r="139" spans="2:35" ht="15" customHeight="1" x14ac:dyDescent="0.25">
      <c r="B139" s="89" t="s">
        <v>337</v>
      </c>
      <c r="C139" s="88">
        <v>200</v>
      </c>
      <c r="D139" s="80">
        <f>SUMIFS('ноябрь 2024'!$G$5:$G$2220,'ноябрь 2024'!$D$5:$D$2220,$B139,'ноябрь 2024'!$J$5:$J$2220,D$1)</f>
        <v>0</v>
      </c>
      <c r="E139" s="80">
        <f>SUMIFS('ноябрь 2024'!$G$5:$G$2220,'ноябрь 2024'!$D$5:$D$2220,$B139,'ноябрь 2024'!$J$5:$J$2220,E$1)</f>
        <v>0</v>
      </c>
      <c r="F139" s="80">
        <f>SUMIFS('ноябрь 2024'!$G$5:$G$2220,'ноябрь 2024'!$D$5:$D$2220,$B139,'ноябрь 2024'!$J$5:$J$2220,F$1)</f>
        <v>0</v>
      </c>
      <c r="G139" s="80">
        <f>SUMIFS('ноябрь 2024'!$G$5:$G$2220,'ноябрь 2024'!$D$5:$D$2220,$B139,'ноябрь 2024'!$J$5:$J$2220,G$1)</f>
        <v>0</v>
      </c>
      <c r="H139" s="80">
        <f>SUMIFS('ноябрь 2024'!$G$5:$G$2220,'ноябрь 2024'!$D$5:$D$2220,$B139,'ноябрь 2024'!$J$5:$J$2220,H$1)</f>
        <v>0</v>
      </c>
      <c r="I139" s="80">
        <f>SUMIFS('ноябрь 2024'!$G$5:$G$2220,'ноябрь 2024'!$D$5:$D$2220,$B139,'ноябрь 2024'!$J$5:$J$2220,I$1)</f>
        <v>0</v>
      </c>
      <c r="J139" s="80">
        <f>SUMIFS('ноябрь 2024'!$G$5:$G$2220,'ноябрь 2024'!$D$5:$D$2220,$B139,'ноябрь 2024'!$J$5:$J$2220,J$1)</f>
        <v>0</v>
      </c>
      <c r="K139" s="80">
        <f>SUMIFS('ноябрь 2024'!$G$5:$G$2220,'ноябрь 2024'!$D$5:$D$2220,$B139,'ноябрь 2024'!$J$5:$J$2220,K$1)</f>
        <v>0</v>
      </c>
      <c r="L139" s="80">
        <f>SUMIFS('ноябрь 2024'!$G$5:$G$2220,'ноябрь 2024'!$D$5:$D$2220,$B139,'ноябрь 2024'!$J$5:$J$2220,L$1)</f>
        <v>0</v>
      </c>
      <c r="M139" s="80">
        <f>SUMIFS('ноябрь 2024'!$G$5:$G$2220,'ноябрь 2024'!$D$5:$D$2220,$B139,'ноябрь 2024'!$J$5:$J$2220,M$1)</f>
        <v>0</v>
      </c>
      <c r="N139" s="80">
        <f>SUMIFS('ноябрь 2024'!$G$5:$G$2220,'ноябрь 2024'!$D$5:$D$2220,$B139,'ноябрь 2024'!$J$5:$J$2220,N$1)</f>
        <v>0</v>
      </c>
      <c r="O139" s="80">
        <f>SUMIFS('ноябрь 2024'!$G$5:$G$2220,'ноябрь 2024'!$D$5:$D$2220,$B139,'ноябрь 2024'!$J$5:$J$2220,O$1)</f>
        <v>0</v>
      </c>
      <c r="P139" s="80">
        <f>SUMIFS('ноябрь 2024'!$G$5:$G$2220,'ноябрь 2024'!$D$5:$D$2220,$B139,'ноябрь 2024'!$J$5:$J$2220,P$1)</f>
        <v>0</v>
      </c>
      <c r="Q139" s="80">
        <f>SUMIFS('ноябрь 2024'!$G$5:$G$2220,'ноябрь 2024'!$D$5:$D$2220,$B139,'ноябрь 2024'!$J$5:$J$2220,Q$1)</f>
        <v>0</v>
      </c>
      <c r="R139" s="80">
        <f>SUMIFS('ноябрь 2024'!$G$5:$G$2220,'ноябрь 2024'!$D$5:$D$2220,$B139,'ноябрь 2024'!$J$5:$J$2220,R$1)</f>
        <v>0</v>
      </c>
      <c r="S139" s="80">
        <f>SUMIFS('ноябрь 2024'!$G$5:$G$2220,'ноябрь 2024'!$D$5:$D$2220,$B139,'ноябрь 2024'!$J$5:$J$2220,S$1)</f>
        <v>0</v>
      </c>
      <c r="T139" s="80">
        <f>SUMIFS('ноябрь 2024'!$G$5:$G$2220,'ноябрь 2024'!$D$5:$D$2220,$B139,'ноябрь 2024'!$J$5:$J$2220,T$1)</f>
        <v>0</v>
      </c>
      <c r="U139" s="80">
        <f>SUMIFS('ноябрь 2024'!$G$5:$G$2220,'ноябрь 2024'!$D$5:$D$2220,$B139,'ноябрь 2024'!$J$5:$J$2220,U$1)</f>
        <v>0</v>
      </c>
      <c r="V139" s="80">
        <f>SUMIFS('ноябрь 2024'!$G$5:$G$2220,'ноябрь 2024'!$D$5:$D$2220,$B139,'ноябрь 2024'!$J$5:$J$2220,V$1)</f>
        <v>0</v>
      </c>
      <c r="W139" s="80">
        <f>SUMIFS('ноябрь 2024'!$G$5:$G$2220,'ноябрь 2024'!$D$5:$D$2220,$B139,'ноябрь 2024'!$J$5:$J$2220,W$1)</f>
        <v>0</v>
      </c>
      <c r="X139" s="80">
        <f>SUMIFS('ноябрь 2024'!$G$5:$G$2220,'ноябрь 2024'!$D$5:$D$2220,$B139,'ноябрь 2024'!$J$5:$J$2220,X$1)</f>
        <v>0</v>
      </c>
      <c r="Y139" s="80">
        <f>SUMIFS('ноябрь 2024'!$G$5:$G$2220,'ноябрь 2024'!$D$5:$D$2220,$B139,'ноябрь 2024'!$J$5:$J$2220,Y$1)</f>
        <v>0</v>
      </c>
      <c r="Z139" s="80">
        <f>SUMIFS('ноябрь 2024'!$G$5:$G$2220,'ноябрь 2024'!$D$5:$D$2220,$B139,'ноябрь 2024'!$J$5:$J$2220,Z$1)</f>
        <v>0</v>
      </c>
      <c r="AA139" s="80">
        <f>SUMIFS('ноябрь 2024'!$G$5:$G$2220,'ноябрь 2024'!$D$5:$D$2220,$B139,'ноябрь 2024'!$J$5:$J$2220,AA$1)</f>
        <v>0</v>
      </c>
      <c r="AB139" s="80">
        <f>SUMIFS('ноябрь 2024'!$G$5:$G$2220,'ноябрь 2024'!$D$5:$D$2220,$B139,'ноябрь 2024'!$J$5:$J$2220,AB$1)</f>
        <v>0</v>
      </c>
      <c r="AC139" s="80">
        <f>SUMIFS('ноябрь 2024'!$G$5:$G$2220,'ноябрь 2024'!$D$5:$D$2220,$B139,'ноябрь 2024'!$J$5:$J$2220,AC$1)</f>
        <v>0</v>
      </c>
      <c r="AD139" s="80">
        <f>SUMIFS('ноябрь 2024'!$G$5:$G$2220,'ноябрь 2024'!$D$5:$D$2220,$B139,'ноябрь 2024'!$J$5:$J$2220,AD$1)</f>
        <v>0</v>
      </c>
      <c r="AE139" s="80">
        <f>SUMIFS('ноябрь 2024'!$G$5:$G$2220,'ноябрь 2024'!$D$5:$D$2220,$B139,'ноябрь 2024'!$J$5:$J$2220,AE$1)</f>
        <v>0</v>
      </c>
      <c r="AF139" s="80">
        <f>SUMIFS('ноябрь 2024'!$G$5:$G$2220,'ноябрь 2024'!$D$5:$D$2220,$B139,'ноябрь 2024'!$J$5:$J$2220,AF$1)</f>
        <v>0</v>
      </c>
      <c r="AG139" s="80">
        <f>SUMIFS('ноябрь 2024'!$G$5:$G$2220,'ноябрь 2024'!$D$5:$D$2220,$B139,'ноябрь 2024'!$J$5:$J$2220,AG$1)</f>
        <v>0</v>
      </c>
      <c r="AH139" s="80">
        <f>SUMIFS('ноябрь 2024'!$G$5:$G$2220,'ноябрь 2024'!$D$5:$D$2220,$B139,'ноябрь 2024'!$J$5:$J$2220,AH$1)</f>
        <v>0</v>
      </c>
      <c r="AI139" s="21">
        <f t="shared" si="1"/>
        <v>0</v>
      </c>
    </row>
    <row r="140" spans="2:35" ht="15" customHeight="1" x14ac:dyDescent="0.25">
      <c r="B140" s="89" t="s">
        <v>338</v>
      </c>
      <c r="C140" s="88">
        <v>200</v>
      </c>
      <c r="D140" s="80">
        <f>SUMIFS('ноябрь 2024'!$G$5:$G$2220,'ноябрь 2024'!$D$5:$D$2220,$B140,'ноябрь 2024'!$J$5:$J$2220,D$1)</f>
        <v>0</v>
      </c>
      <c r="E140" s="80">
        <f>SUMIFS('ноябрь 2024'!$G$5:$G$2220,'ноябрь 2024'!$D$5:$D$2220,$B140,'ноябрь 2024'!$J$5:$J$2220,E$1)</f>
        <v>0</v>
      </c>
      <c r="F140" s="80">
        <f>SUMIFS('ноябрь 2024'!$G$5:$G$2220,'ноябрь 2024'!$D$5:$D$2220,$B140,'ноябрь 2024'!$J$5:$J$2220,F$1)</f>
        <v>0</v>
      </c>
      <c r="G140" s="80">
        <f>SUMIFS('ноябрь 2024'!$G$5:$G$2220,'ноябрь 2024'!$D$5:$D$2220,$B140,'ноябрь 2024'!$J$5:$J$2220,G$1)</f>
        <v>0</v>
      </c>
      <c r="H140" s="80">
        <f>SUMIFS('ноябрь 2024'!$G$5:$G$2220,'ноябрь 2024'!$D$5:$D$2220,$B140,'ноябрь 2024'!$J$5:$J$2220,H$1)</f>
        <v>0</v>
      </c>
      <c r="I140" s="80">
        <f>SUMIFS('ноябрь 2024'!$G$5:$G$2220,'ноябрь 2024'!$D$5:$D$2220,$B140,'ноябрь 2024'!$J$5:$J$2220,I$1)</f>
        <v>0</v>
      </c>
      <c r="J140" s="80">
        <f>SUMIFS('ноябрь 2024'!$G$5:$G$2220,'ноябрь 2024'!$D$5:$D$2220,$B140,'ноябрь 2024'!$J$5:$J$2220,J$1)</f>
        <v>0</v>
      </c>
      <c r="K140" s="80">
        <f>SUMIFS('ноябрь 2024'!$G$5:$G$2220,'ноябрь 2024'!$D$5:$D$2220,$B140,'ноябрь 2024'!$J$5:$J$2220,K$1)</f>
        <v>0</v>
      </c>
      <c r="L140" s="80">
        <f>SUMIFS('ноябрь 2024'!$G$5:$G$2220,'ноябрь 2024'!$D$5:$D$2220,$B140,'ноябрь 2024'!$J$5:$J$2220,L$1)</f>
        <v>0</v>
      </c>
      <c r="M140" s="80">
        <f>SUMIFS('ноябрь 2024'!$G$5:$G$2220,'ноябрь 2024'!$D$5:$D$2220,$B140,'ноябрь 2024'!$J$5:$J$2220,M$1)</f>
        <v>0</v>
      </c>
      <c r="N140" s="80">
        <f>SUMIFS('ноябрь 2024'!$G$5:$G$2220,'ноябрь 2024'!$D$5:$D$2220,$B140,'ноябрь 2024'!$J$5:$J$2220,N$1)</f>
        <v>0</v>
      </c>
      <c r="O140" s="80">
        <f>SUMIFS('ноябрь 2024'!$G$5:$G$2220,'ноябрь 2024'!$D$5:$D$2220,$B140,'ноябрь 2024'!$J$5:$J$2220,O$1)</f>
        <v>0</v>
      </c>
      <c r="P140" s="80">
        <f>SUMIFS('ноябрь 2024'!$G$5:$G$2220,'ноябрь 2024'!$D$5:$D$2220,$B140,'ноябрь 2024'!$J$5:$J$2220,P$1)</f>
        <v>0</v>
      </c>
      <c r="Q140" s="80">
        <f>SUMIFS('ноябрь 2024'!$G$5:$G$2220,'ноябрь 2024'!$D$5:$D$2220,$B140,'ноябрь 2024'!$J$5:$J$2220,Q$1)</f>
        <v>0</v>
      </c>
      <c r="R140" s="80">
        <f>SUMIFS('ноябрь 2024'!$G$5:$G$2220,'ноябрь 2024'!$D$5:$D$2220,$B140,'ноябрь 2024'!$J$5:$J$2220,R$1)</f>
        <v>0</v>
      </c>
      <c r="S140" s="80">
        <f>SUMIFS('ноябрь 2024'!$G$5:$G$2220,'ноябрь 2024'!$D$5:$D$2220,$B140,'ноябрь 2024'!$J$5:$J$2220,S$1)</f>
        <v>0</v>
      </c>
      <c r="T140" s="80">
        <f>SUMIFS('ноябрь 2024'!$G$5:$G$2220,'ноябрь 2024'!$D$5:$D$2220,$B140,'ноябрь 2024'!$J$5:$J$2220,T$1)</f>
        <v>0</v>
      </c>
      <c r="U140" s="80">
        <f>SUMIFS('ноябрь 2024'!$G$5:$G$2220,'ноябрь 2024'!$D$5:$D$2220,$B140,'ноябрь 2024'!$J$5:$J$2220,U$1)</f>
        <v>0</v>
      </c>
      <c r="V140" s="80">
        <f>SUMIFS('ноябрь 2024'!$G$5:$G$2220,'ноябрь 2024'!$D$5:$D$2220,$B140,'ноябрь 2024'!$J$5:$J$2220,V$1)</f>
        <v>0</v>
      </c>
      <c r="W140" s="80">
        <f>SUMIFS('ноябрь 2024'!$G$5:$G$2220,'ноябрь 2024'!$D$5:$D$2220,$B140,'ноябрь 2024'!$J$5:$J$2220,W$1)</f>
        <v>0</v>
      </c>
      <c r="X140" s="80">
        <f>SUMIFS('ноябрь 2024'!$G$5:$G$2220,'ноябрь 2024'!$D$5:$D$2220,$B140,'ноябрь 2024'!$J$5:$J$2220,X$1)</f>
        <v>0</v>
      </c>
      <c r="Y140" s="80">
        <f>SUMIFS('ноябрь 2024'!$G$5:$G$2220,'ноябрь 2024'!$D$5:$D$2220,$B140,'ноябрь 2024'!$J$5:$J$2220,Y$1)</f>
        <v>0</v>
      </c>
      <c r="Z140" s="80">
        <f>SUMIFS('ноябрь 2024'!$G$5:$G$2220,'ноябрь 2024'!$D$5:$D$2220,$B140,'ноябрь 2024'!$J$5:$J$2220,Z$1)</f>
        <v>0</v>
      </c>
      <c r="AA140" s="80">
        <f>SUMIFS('ноябрь 2024'!$G$5:$G$2220,'ноябрь 2024'!$D$5:$D$2220,$B140,'ноябрь 2024'!$J$5:$J$2220,AA$1)</f>
        <v>0</v>
      </c>
      <c r="AB140" s="80">
        <f>SUMIFS('ноябрь 2024'!$G$5:$G$2220,'ноябрь 2024'!$D$5:$D$2220,$B140,'ноябрь 2024'!$J$5:$J$2220,AB$1)</f>
        <v>0</v>
      </c>
      <c r="AC140" s="80">
        <f>SUMIFS('ноябрь 2024'!$G$5:$G$2220,'ноябрь 2024'!$D$5:$D$2220,$B140,'ноябрь 2024'!$J$5:$J$2220,AC$1)</f>
        <v>0</v>
      </c>
      <c r="AD140" s="80">
        <f>SUMIFS('ноябрь 2024'!$G$5:$G$2220,'ноябрь 2024'!$D$5:$D$2220,$B140,'ноябрь 2024'!$J$5:$J$2220,AD$1)</f>
        <v>0</v>
      </c>
      <c r="AE140" s="80">
        <f>SUMIFS('ноябрь 2024'!$G$5:$G$2220,'ноябрь 2024'!$D$5:$D$2220,$B140,'ноябрь 2024'!$J$5:$J$2220,AE$1)</f>
        <v>0</v>
      </c>
      <c r="AF140" s="80">
        <f>SUMIFS('ноябрь 2024'!$G$5:$G$2220,'ноябрь 2024'!$D$5:$D$2220,$B140,'ноябрь 2024'!$J$5:$J$2220,AF$1)</f>
        <v>0</v>
      </c>
      <c r="AG140" s="80">
        <f>SUMIFS('ноябрь 2024'!$G$5:$G$2220,'ноябрь 2024'!$D$5:$D$2220,$B140,'ноябрь 2024'!$J$5:$J$2220,AG$1)</f>
        <v>0</v>
      </c>
      <c r="AH140" s="80">
        <f>SUMIFS('ноябрь 2024'!$G$5:$G$2220,'ноябрь 2024'!$D$5:$D$2220,$B140,'ноябрь 2024'!$J$5:$J$2220,AH$1)</f>
        <v>0</v>
      </c>
      <c r="AI140" s="21">
        <f t="shared" si="1"/>
        <v>0</v>
      </c>
    </row>
    <row r="141" spans="2:35" ht="15" customHeight="1" x14ac:dyDescent="0.25">
      <c r="B141" s="89" t="s">
        <v>1441</v>
      </c>
      <c r="C141" s="88">
        <v>1000</v>
      </c>
      <c r="D141" s="80">
        <f>SUMIFS('ноябрь 2024'!$G$5:$G$2220,'ноябрь 2024'!$D$5:$D$2220,$B141,'ноябрь 2024'!$J$5:$J$2220,D$1)</f>
        <v>0</v>
      </c>
      <c r="E141" s="80">
        <f>SUMIFS('ноябрь 2024'!$G$5:$G$2220,'ноябрь 2024'!$D$5:$D$2220,$B141,'ноябрь 2024'!$J$5:$J$2220,E$1)</f>
        <v>0</v>
      </c>
      <c r="F141" s="80">
        <f>SUMIFS('ноябрь 2024'!$G$5:$G$2220,'ноябрь 2024'!$D$5:$D$2220,$B141,'ноябрь 2024'!$J$5:$J$2220,F$1)</f>
        <v>0</v>
      </c>
      <c r="G141" s="80">
        <f>SUMIFS('ноябрь 2024'!$G$5:$G$2220,'ноябрь 2024'!$D$5:$D$2220,$B141,'ноябрь 2024'!$J$5:$J$2220,G$1)</f>
        <v>0</v>
      </c>
      <c r="H141" s="80">
        <f>SUMIFS('ноябрь 2024'!$G$5:$G$2220,'ноябрь 2024'!$D$5:$D$2220,$B141,'ноябрь 2024'!$J$5:$J$2220,H$1)</f>
        <v>0</v>
      </c>
      <c r="I141" s="80">
        <f>SUMIFS('ноябрь 2024'!$G$5:$G$2220,'ноябрь 2024'!$D$5:$D$2220,$B141,'ноябрь 2024'!$J$5:$J$2220,I$1)</f>
        <v>0</v>
      </c>
      <c r="J141" s="80">
        <f>SUMIFS('ноябрь 2024'!$G$5:$G$2220,'ноябрь 2024'!$D$5:$D$2220,$B141,'ноябрь 2024'!$J$5:$J$2220,J$1)</f>
        <v>0</v>
      </c>
      <c r="K141" s="80">
        <f>SUMIFS('ноябрь 2024'!$G$5:$G$2220,'ноябрь 2024'!$D$5:$D$2220,$B141,'ноябрь 2024'!$J$5:$J$2220,K$1)</f>
        <v>0</v>
      </c>
      <c r="L141" s="80">
        <f>SUMIFS('ноябрь 2024'!$G$5:$G$2220,'ноябрь 2024'!$D$5:$D$2220,$B141,'ноябрь 2024'!$J$5:$J$2220,L$1)</f>
        <v>0</v>
      </c>
      <c r="M141" s="80">
        <f>SUMIFS('ноябрь 2024'!$G$5:$G$2220,'ноябрь 2024'!$D$5:$D$2220,$B141,'ноябрь 2024'!$J$5:$J$2220,M$1)</f>
        <v>0</v>
      </c>
      <c r="N141" s="80">
        <f>SUMIFS('ноябрь 2024'!$G$5:$G$2220,'ноябрь 2024'!$D$5:$D$2220,$B141,'ноябрь 2024'!$J$5:$J$2220,N$1)</f>
        <v>0</v>
      </c>
      <c r="O141" s="80">
        <f>SUMIFS('ноябрь 2024'!$G$5:$G$2220,'ноябрь 2024'!$D$5:$D$2220,$B141,'ноябрь 2024'!$J$5:$J$2220,O$1)</f>
        <v>0</v>
      </c>
      <c r="P141" s="80">
        <f>SUMIFS('ноябрь 2024'!$G$5:$G$2220,'ноябрь 2024'!$D$5:$D$2220,$B141,'ноябрь 2024'!$J$5:$J$2220,P$1)</f>
        <v>0</v>
      </c>
      <c r="Q141" s="80">
        <f>SUMIFS('ноябрь 2024'!$G$5:$G$2220,'ноябрь 2024'!$D$5:$D$2220,$B141,'ноябрь 2024'!$J$5:$J$2220,Q$1)</f>
        <v>0</v>
      </c>
      <c r="R141" s="80">
        <f>SUMIFS('ноябрь 2024'!$G$5:$G$2220,'ноябрь 2024'!$D$5:$D$2220,$B141,'ноябрь 2024'!$J$5:$J$2220,R$1)</f>
        <v>0</v>
      </c>
      <c r="S141" s="80">
        <f>SUMIFS('ноябрь 2024'!$G$5:$G$2220,'ноябрь 2024'!$D$5:$D$2220,$B141,'ноябрь 2024'!$J$5:$J$2220,S$1)</f>
        <v>0</v>
      </c>
      <c r="T141" s="80">
        <f>SUMIFS('ноябрь 2024'!$G$5:$G$2220,'ноябрь 2024'!$D$5:$D$2220,$B141,'ноябрь 2024'!$J$5:$J$2220,T$1)</f>
        <v>0</v>
      </c>
      <c r="U141" s="80">
        <f>SUMIFS('ноябрь 2024'!$G$5:$G$2220,'ноябрь 2024'!$D$5:$D$2220,$B141,'ноябрь 2024'!$J$5:$J$2220,U$1)</f>
        <v>0</v>
      </c>
      <c r="V141" s="80">
        <f>SUMIFS('ноябрь 2024'!$G$5:$G$2220,'ноябрь 2024'!$D$5:$D$2220,$B141,'ноябрь 2024'!$J$5:$J$2220,V$1)</f>
        <v>0</v>
      </c>
      <c r="W141" s="80">
        <f>SUMIFS('ноябрь 2024'!$G$5:$G$2220,'ноябрь 2024'!$D$5:$D$2220,$B141,'ноябрь 2024'!$J$5:$J$2220,W$1)</f>
        <v>0</v>
      </c>
      <c r="X141" s="80">
        <f>SUMIFS('ноябрь 2024'!$G$5:$G$2220,'ноябрь 2024'!$D$5:$D$2220,$B141,'ноябрь 2024'!$J$5:$J$2220,X$1)</f>
        <v>0</v>
      </c>
      <c r="Y141" s="80">
        <f>SUMIFS('ноябрь 2024'!$G$5:$G$2220,'ноябрь 2024'!$D$5:$D$2220,$B141,'ноябрь 2024'!$J$5:$J$2220,Y$1)</f>
        <v>0</v>
      </c>
      <c r="Z141" s="80">
        <f>SUMIFS('ноябрь 2024'!$G$5:$G$2220,'ноябрь 2024'!$D$5:$D$2220,$B141,'ноябрь 2024'!$J$5:$J$2220,Z$1)</f>
        <v>0</v>
      </c>
      <c r="AA141" s="80">
        <f>SUMIFS('ноябрь 2024'!$G$5:$G$2220,'ноябрь 2024'!$D$5:$D$2220,$B141,'ноябрь 2024'!$J$5:$J$2220,AA$1)</f>
        <v>0</v>
      </c>
      <c r="AB141" s="80">
        <f>SUMIFS('ноябрь 2024'!$G$5:$G$2220,'ноябрь 2024'!$D$5:$D$2220,$B141,'ноябрь 2024'!$J$5:$J$2220,AB$1)</f>
        <v>0</v>
      </c>
      <c r="AC141" s="80">
        <f>SUMIFS('ноябрь 2024'!$G$5:$G$2220,'ноябрь 2024'!$D$5:$D$2220,$B141,'ноябрь 2024'!$J$5:$J$2220,AC$1)</f>
        <v>0</v>
      </c>
      <c r="AD141" s="80">
        <f>SUMIFS('ноябрь 2024'!$G$5:$G$2220,'ноябрь 2024'!$D$5:$D$2220,$B141,'ноябрь 2024'!$J$5:$J$2220,AD$1)</f>
        <v>0</v>
      </c>
      <c r="AE141" s="80">
        <f>SUMIFS('ноябрь 2024'!$G$5:$G$2220,'ноябрь 2024'!$D$5:$D$2220,$B141,'ноябрь 2024'!$J$5:$J$2220,AE$1)</f>
        <v>0</v>
      </c>
      <c r="AF141" s="80">
        <f>SUMIFS('ноябрь 2024'!$G$5:$G$2220,'ноябрь 2024'!$D$5:$D$2220,$B141,'ноябрь 2024'!$J$5:$J$2220,AF$1)</f>
        <v>0</v>
      </c>
      <c r="AG141" s="80">
        <f>SUMIFS('ноябрь 2024'!$G$5:$G$2220,'ноябрь 2024'!$D$5:$D$2220,$B141,'ноябрь 2024'!$J$5:$J$2220,AG$1)</f>
        <v>0</v>
      </c>
      <c r="AH141" s="80">
        <f>SUMIFS('ноябрь 2024'!$G$5:$G$2220,'ноябрь 2024'!$D$5:$D$2220,$B141,'ноябрь 2024'!$J$5:$J$2220,AH$1)</f>
        <v>0</v>
      </c>
      <c r="AI141" s="21">
        <f t="shared" si="1"/>
        <v>0</v>
      </c>
    </row>
    <row r="142" spans="2:35" ht="15" customHeight="1" x14ac:dyDescent="0.25">
      <c r="B142" s="89" t="s">
        <v>211</v>
      </c>
      <c r="C142" s="88">
        <v>200</v>
      </c>
      <c r="D142" s="80">
        <f>SUMIFS('ноябрь 2024'!$G$5:$G$2220,'ноябрь 2024'!$D$5:$D$2220,$B142,'ноябрь 2024'!$J$5:$J$2220,D$1)</f>
        <v>0</v>
      </c>
      <c r="E142" s="80">
        <f>SUMIFS('ноябрь 2024'!$G$5:$G$2220,'ноябрь 2024'!$D$5:$D$2220,$B142,'ноябрь 2024'!$J$5:$J$2220,E$1)</f>
        <v>0</v>
      </c>
      <c r="F142" s="80">
        <f>SUMIFS('ноябрь 2024'!$G$5:$G$2220,'ноябрь 2024'!$D$5:$D$2220,$B142,'ноябрь 2024'!$J$5:$J$2220,F$1)</f>
        <v>0</v>
      </c>
      <c r="G142" s="80">
        <f>SUMIFS('ноябрь 2024'!$G$5:$G$2220,'ноябрь 2024'!$D$5:$D$2220,$B142,'ноябрь 2024'!$J$5:$J$2220,G$1)</f>
        <v>0</v>
      </c>
      <c r="H142" s="80">
        <f>SUMIFS('ноябрь 2024'!$G$5:$G$2220,'ноябрь 2024'!$D$5:$D$2220,$B142,'ноябрь 2024'!$J$5:$J$2220,H$1)</f>
        <v>0</v>
      </c>
      <c r="I142" s="80">
        <f>SUMIFS('ноябрь 2024'!$G$5:$G$2220,'ноябрь 2024'!$D$5:$D$2220,$B142,'ноябрь 2024'!$J$5:$J$2220,I$1)</f>
        <v>0</v>
      </c>
      <c r="J142" s="80">
        <f>SUMIFS('ноябрь 2024'!$G$5:$G$2220,'ноябрь 2024'!$D$5:$D$2220,$B142,'ноябрь 2024'!$J$5:$J$2220,J$1)</f>
        <v>0</v>
      </c>
      <c r="K142" s="80">
        <f>SUMIFS('ноябрь 2024'!$G$5:$G$2220,'ноябрь 2024'!$D$5:$D$2220,$B142,'ноябрь 2024'!$J$5:$J$2220,K$1)</f>
        <v>0</v>
      </c>
      <c r="L142" s="80">
        <f>SUMIFS('ноябрь 2024'!$G$5:$G$2220,'ноябрь 2024'!$D$5:$D$2220,$B142,'ноябрь 2024'!$J$5:$J$2220,L$1)</f>
        <v>0</v>
      </c>
      <c r="M142" s="80">
        <f>SUMIFS('ноябрь 2024'!$G$5:$G$2220,'ноябрь 2024'!$D$5:$D$2220,$B142,'ноябрь 2024'!$J$5:$J$2220,M$1)</f>
        <v>0</v>
      </c>
      <c r="N142" s="80">
        <f>SUMIFS('ноябрь 2024'!$G$5:$G$2220,'ноябрь 2024'!$D$5:$D$2220,$B142,'ноябрь 2024'!$J$5:$J$2220,N$1)</f>
        <v>0</v>
      </c>
      <c r="O142" s="80">
        <f>SUMIFS('ноябрь 2024'!$G$5:$G$2220,'ноябрь 2024'!$D$5:$D$2220,$B142,'ноябрь 2024'!$J$5:$J$2220,O$1)</f>
        <v>0</v>
      </c>
      <c r="P142" s="80">
        <f>SUMIFS('ноябрь 2024'!$G$5:$G$2220,'ноябрь 2024'!$D$5:$D$2220,$B142,'ноябрь 2024'!$J$5:$J$2220,P$1)</f>
        <v>0</v>
      </c>
      <c r="Q142" s="80">
        <f>SUMIFS('ноябрь 2024'!$G$5:$G$2220,'ноябрь 2024'!$D$5:$D$2220,$B142,'ноябрь 2024'!$J$5:$J$2220,Q$1)</f>
        <v>0</v>
      </c>
      <c r="R142" s="80">
        <f>SUMIFS('ноябрь 2024'!$G$5:$G$2220,'ноябрь 2024'!$D$5:$D$2220,$B142,'ноябрь 2024'!$J$5:$J$2220,R$1)</f>
        <v>0</v>
      </c>
      <c r="S142" s="80">
        <f>SUMIFS('ноябрь 2024'!$G$5:$G$2220,'ноябрь 2024'!$D$5:$D$2220,$B142,'ноябрь 2024'!$J$5:$J$2220,S$1)</f>
        <v>0</v>
      </c>
      <c r="T142" s="80">
        <f>SUMIFS('ноябрь 2024'!$G$5:$G$2220,'ноябрь 2024'!$D$5:$D$2220,$B142,'ноябрь 2024'!$J$5:$J$2220,T$1)</f>
        <v>0</v>
      </c>
      <c r="U142" s="80">
        <f>SUMIFS('ноябрь 2024'!$G$5:$G$2220,'ноябрь 2024'!$D$5:$D$2220,$B142,'ноябрь 2024'!$J$5:$J$2220,U$1)</f>
        <v>0</v>
      </c>
      <c r="V142" s="80">
        <f>SUMIFS('ноябрь 2024'!$G$5:$G$2220,'ноябрь 2024'!$D$5:$D$2220,$B142,'ноябрь 2024'!$J$5:$J$2220,V$1)</f>
        <v>0</v>
      </c>
      <c r="W142" s="80">
        <f>SUMIFS('ноябрь 2024'!$G$5:$G$2220,'ноябрь 2024'!$D$5:$D$2220,$B142,'ноябрь 2024'!$J$5:$J$2220,W$1)</f>
        <v>0</v>
      </c>
      <c r="X142" s="80">
        <f>SUMIFS('ноябрь 2024'!$G$5:$G$2220,'ноябрь 2024'!$D$5:$D$2220,$B142,'ноябрь 2024'!$J$5:$J$2220,X$1)</f>
        <v>0</v>
      </c>
      <c r="Y142" s="80">
        <f>SUMIFS('ноябрь 2024'!$G$5:$G$2220,'ноябрь 2024'!$D$5:$D$2220,$B142,'ноябрь 2024'!$J$5:$J$2220,Y$1)</f>
        <v>0</v>
      </c>
      <c r="Z142" s="80">
        <f>SUMIFS('ноябрь 2024'!$G$5:$G$2220,'ноябрь 2024'!$D$5:$D$2220,$B142,'ноябрь 2024'!$J$5:$J$2220,Z$1)</f>
        <v>0</v>
      </c>
      <c r="AA142" s="80">
        <f>SUMIFS('ноябрь 2024'!$G$5:$G$2220,'ноябрь 2024'!$D$5:$D$2220,$B142,'ноябрь 2024'!$J$5:$J$2220,AA$1)</f>
        <v>0</v>
      </c>
      <c r="AB142" s="80">
        <f>SUMIFS('ноябрь 2024'!$G$5:$G$2220,'ноябрь 2024'!$D$5:$D$2220,$B142,'ноябрь 2024'!$J$5:$J$2220,AB$1)</f>
        <v>0</v>
      </c>
      <c r="AC142" s="80">
        <f>SUMIFS('ноябрь 2024'!$G$5:$G$2220,'ноябрь 2024'!$D$5:$D$2220,$B142,'ноябрь 2024'!$J$5:$J$2220,AC$1)</f>
        <v>0</v>
      </c>
      <c r="AD142" s="80">
        <f>SUMIFS('ноябрь 2024'!$G$5:$G$2220,'ноябрь 2024'!$D$5:$D$2220,$B142,'ноябрь 2024'!$J$5:$J$2220,AD$1)</f>
        <v>0</v>
      </c>
      <c r="AE142" s="80">
        <f>SUMIFS('ноябрь 2024'!$G$5:$G$2220,'ноябрь 2024'!$D$5:$D$2220,$B142,'ноябрь 2024'!$J$5:$J$2220,AE$1)</f>
        <v>0</v>
      </c>
      <c r="AF142" s="80">
        <f>SUMIFS('ноябрь 2024'!$G$5:$G$2220,'ноябрь 2024'!$D$5:$D$2220,$B142,'ноябрь 2024'!$J$5:$J$2220,AF$1)</f>
        <v>0</v>
      </c>
      <c r="AG142" s="80">
        <f>SUMIFS('ноябрь 2024'!$G$5:$G$2220,'ноябрь 2024'!$D$5:$D$2220,$B142,'ноябрь 2024'!$J$5:$J$2220,AG$1)</f>
        <v>0</v>
      </c>
      <c r="AH142" s="80">
        <f>SUMIFS('ноябрь 2024'!$G$5:$G$2220,'ноябрь 2024'!$D$5:$D$2220,$B142,'ноябрь 2024'!$J$5:$J$2220,AH$1)</f>
        <v>0</v>
      </c>
      <c r="AI142" s="21">
        <f t="shared" si="1"/>
        <v>0</v>
      </c>
    </row>
    <row r="143" spans="2:35" ht="15" customHeight="1" x14ac:dyDescent="0.25">
      <c r="B143" s="89" t="s">
        <v>339</v>
      </c>
      <c r="C143" s="88">
        <v>200</v>
      </c>
      <c r="D143" s="80">
        <f>SUMIFS('ноябрь 2024'!$G$5:$G$2220,'ноябрь 2024'!$D$5:$D$2220,$B143,'ноябрь 2024'!$J$5:$J$2220,D$1)</f>
        <v>0</v>
      </c>
      <c r="E143" s="80">
        <f>SUMIFS('ноябрь 2024'!$G$5:$G$2220,'ноябрь 2024'!$D$5:$D$2220,$B143,'ноябрь 2024'!$J$5:$J$2220,E$1)</f>
        <v>0</v>
      </c>
      <c r="F143" s="80">
        <f>SUMIFS('ноябрь 2024'!$G$5:$G$2220,'ноябрь 2024'!$D$5:$D$2220,$B143,'ноябрь 2024'!$J$5:$J$2220,F$1)</f>
        <v>0</v>
      </c>
      <c r="G143" s="80">
        <f>SUMIFS('ноябрь 2024'!$G$5:$G$2220,'ноябрь 2024'!$D$5:$D$2220,$B143,'ноябрь 2024'!$J$5:$J$2220,G$1)</f>
        <v>0</v>
      </c>
      <c r="H143" s="80">
        <f>SUMIFS('ноябрь 2024'!$G$5:$G$2220,'ноябрь 2024'!$D$5:$D$2220,$B143,'ноябрь 2024'!$J$5:$J$2220,H$1)</f>
        <v>0</v>
      </c>
      <c r="I143" s="80">
        <f>SUMIFS('ноябрь 2024'!$G$5:$G$2220,'ноябрь 2024'!$D$5:$D$2220,$B143,'ноябрь 2024'!$J$5:$J$2220,I$1)</f>
        <v>0</v>
      </c>
      <c r="J143" s="80">
        <f>SUMIFS('ноябрь 2024'!$G$5:$G$2220,'ноябрь 2024'!$D$5:$D$2220,$B143,'ноябрь 2024'!$J$5:$J$2220,J$1)</f>
        <v>0</v>
      </c>
      <c r="K143" s="80">
        <f>SUMIFS('ноябрь 2024'!$G$5:$G$2220,'ноябрь 2024'!$D$5:$D$2220,$B143,'ноябрь 2024'!$J$5:$J$2220,K$1)</f>
        <v>0</v>
      </c>
      <c r="L143" s="80">
        <f>SUMIFS('ноябрь 2024'!$G$5:$G$2220,'ноябрь 2024'!$D$5:$D$2220,$B143,'ноябрь 2024'!$J$5:$J$2220,L$1)</f>
        <v>0</v>
      </c>
      <c r="M143" s="80">
        <f>SUMIFS('ноябрь 2024'!$G$5:$G$2220,'ноябрь 2024'!$D$5:$D$2220,$B143,'ноябрь 2024'!$J$5:$J$2220,M$1)</f>
        <v>0</v>
      </c>
      <c r="N143" s="80">
        <f>SUMIFS('ноябрь 2024'!$G$5:$G$2220,'ноябрь 2024'!$D$5:$D$2220,$B143,'ноябрь 2024'!$J$5:$J$2220,N$1)</f>
        <v>0</v>
      </c>
      <c r="O143" s="80">
        <f>SUMIFS('ноябрь 2024'!$G$5:$G$2220,'ноябрь 2024'!$D$5:$D$2220,$B143,'ноябрь 2024'!$J$5:$J$2220,O$1)</f>
        <v>0</v>
      </c>
      <c r="P143" s="80">
        <f>SUMIFS('ноябрь 2024'!$G$5:$G$2220,'ноябрь 2024'!$D$5:$D$2220,$B143,'ноябрь 2024'!$J$5:$J$2220,P$1)</f>
        <v>0</v>
      </c>
      <c r="Q143" s="80">
        <f>SUMIFS('ноябрь 2024'!$G$5:$G$2220,'ноябрь 2024'!$D$5:$D$2220,$B143,'ноябрь 2024'!$J$5:$J$2220,Q$1)</f>
        <v>0</v>
      </c>
      <c r="R143" s="80">
        <f>SUMIFS('ноябрь 2024'!$G$5:$G$2220,'ноябрь 2024'!$D$5:$D$2220,$B143,'ноябрь 2024'!$J$5:$J$2220,R$1)</f>
        <v>0</v>
      </c>
      <c r="S143" s="80">
        <f>SUMIFS('ноябрь 2024'!$G$5:$G$2220,'ноябрь 2024'!$D$5:$D$2220,$B143,'ноябрь 2024'!$J$5:$J$2220,S$1)</f>
        <v>0</v>
      </c>
      <c r="T143" s="80">
        <f>SUMIFS('ноябрь 2024'!$G$5:$G$2220,'ноябрь 2024'!$D$5:$D$2220,$B143,'ноябрь 2024'!$J$5:$J$2220,T$1)</f>
        <v>0</v>
      </c>
      <c r="U143" s="80">
        <f>SUMIFS('ноябрь 2024'!$G$5:$G$2220,'ноябрь 2024'!$D$5:$D$2220,$B143,'ноябрь 2024'!$J$5:$J$2220,U$1)</f>
        <v>0</v>
      </c>
      <c r="V143" s="80">
        <f>SUMIFS('ноябрь 2024'!$G$5:$G$2220,'ноябрь 2024'!$D$5:$D$2220,$B143,'ноябрь 2024'!$J$5:$J$2220,V$1)</f>
        <v>0</v>
      </c>
      <c r="W143" s="80">
        <f>SUMIFS('ноябрь 2024'!$G$5:$G$2220,'ноябрь 2024'!$D$5:$D$2220,$B143,'ноябрь 2024'!$J$5:$J$2220,W$1)</f>
        <v>0</v>
      </c>
      <c r="X143" s="80">
        <f>SUMIFS('ноябрь 2024'!$G$5:$G$2220,'ноябрь 2024'!$D$5:$D$2220,$B143,'ноябрь 2024'!$J$5:$J$2220,X$1)</f>
        <v>0</v>
      </c>
      <c r="Y143" s="80">
        <f>SUMIFS('ноябрь 2024'!$G$5:$G$2220,'ноябрь 2024'!$D$5:$D$2220,$B143,'ноябрь 2024'!$J$5:$J$2220,Y$1)</f>
        <v>0</v>
      </c>
      <c r="Z143" s="80">
        <f>SUMIFS('ноябрь 2024'!$G$5:$G$2220,'ноябрь 2024'!$D$5:$D$2220,$B143,'ноябрь 2024'!$J$5:$J$2220,Z$1)</f>
        <v>0</v>
      </c>
      <c r="AA143" s="80">
        <f>SUMIFS('ноябрь 2024'!$G$5:$G$2220,'ноябрь 2024'!$D$5:$D$2220,$B143,'ноябрь 2024'!$J$5:$J$2220,AA$1)</f>
        <v>0</v>
      </c>
      <c r="AB143" s="80">
        <f>SUMIFS('ноябрь 2024'!$G$5:$G$2220,'ноябрь 2024'!$D$5:$D$2220,$B143,'ноябрь 2024'!$J$5:$J$2220,AB$1)</f>
        <v>0</v>
      </c>
      <c r="AC143" s="80">
        <f>SUMIFS('ноябрь 2024'!$G$5:$G$2220,'ноябрь 2024'!$D$5:$D$2220,$B143,'ноябрь 2024'!$J$5:$J$2220,AC$1)</f>
        <v>0</v>
      </c>
      <c r="AD143" s="80">
        <f>SUMIFS('ноябрь 2024'!$G$5:$G$2220,'ноябрь 2024'!$D$5:$D$2220,$B143,'ноябрь 2024'!$J$5:$J$2220,AD$1)</f>
        <v>0</v>
      </c>
      <c r="AE143" s="80">
        <f>SUMIFS('ноябрь 2024'!$G$5:$G$2220,'ноябрь 2024'!$D$5:$D$2220,$B143,'ноябрь 2024'!$J$5:$J$2220,AE$1)</f>
        <v>0</v>
      </c>
      <c r="AF143" s="80">
        <f>SUMIFS('ноябрь 2024'!$G$5:$G$2220,'ноябрь 2024'!$D$5:$D$2220,$B143,'ноябрь 2024'!$J$5:$J$2220,AF$1)</f>
        <v>0</v>
      </c>
      <c r="AG143" s="80">
        <f>SUMIFS('ноябрь 2024'!$G$5:$G$2220,'ноябрь 2024'!$D$5:$D$2220,$B143,'ноябрь 2024'!$J$5:$J$2220,AG$1)</f>
        <v>0</v>
      </c>
      <c r="AH143" s="80">
        <f>SUMIFS('ноябрь 2024'!$G$5:$G$2220,'ноябрь 2024'!$D$5:$D$2220,$B143,'ноябрь 2024'!$J$5:$J$2220,AH$1)</f>
        <v>0</v>
      </c>
      <c r="AI143" s="21">
        <f t="shared" si="1"/>
        <v>0</v>
      </c>
    </row>
    <row r="144" spans="2:35" ht="15" customHeight="1" x14ac:dyDescent="0.25">
      <c r="B144" s="89" t="s">
        <v>215</v>
      </c>
      <c r="C144" s="91">
        <v>200</v>
      </c>
      <c r="D144" s="80">
        <f>SUMIFS('ноябрь 2024'!$G$5:$G$2220,'ноябрь 2024'!$D$5:$D$2220,$B144,'ноябрь 2024'!$J$5:$J$2220,D$1)</f>
        <v>0</v>
      </c>
      <c r="E144" s="80">
        <f>SUMIFS('ноябрь 2024'!$G$5:$G$2220,'ноябрь 2024'!$D$5:$D$2220,$B144,'ноябрь 2024'!$J$5:$J$2220,E$1)</f>
        <v>0</v>
      </c>
      <c r="F144" s="80">
        <f>SUMIFS('ноябрь 2024'!$G$5:$G$2220,'ноябрь 2024'!$D$5:$D$2220,$B144,'ноябрь 2024'!$J$5:$J$2220,F$1)</f>
        <v>0</v>
      </c>
      <c r="G144" s="80">
        <f>SUMIFS('ноябрь 2024'!$G$5:$G$2220,'ноябрь 2024'!$D$5:$D$2220,$B144,'ноябрь 2024'!$J$5:$J$2220,G$1)</f>
        <v>0</v>
      </c>
      <c r="H144" s="80">
        <f>SUMIFS('ноябрь 2024'!$G$5:$G$2220,'ноябрь 2024'!$D$5:$D$2220,$B144,'ноябрь 2024'!$J$5:$J$2220,H$1)</f>
        <v>0</v>
      </c>
      <c r="I144" s="80">
        <f>SUMIFS('ноябрь 2024'!$G$5:$G$2220,'ноябрь 2024'!$D$5:$D$2220,$B144,'ноябрь 2024'!$J$5:$J$2220,I$1)</f>
        <v>0</v>
      </c>
      <c r="J144" s="80">
        <f>SUMIFS('ноябрь 2024'!$G$5:$G$2220,'ноябрь 2024'!$D$5:$D$2220,$B144,'ноябрь 2024'!$J$5:$J$2220,J$1)</f>
        <v>0</v>
      </c>
      <c r="K144" s="80">
        <f>SUMIFS('ноябрь 2024'!$G$5:$G$2220,'ноябрь 2024'!$D$5:$D$2220,$B144,'ноябрь 2024'!$J$5:$J$2220,K$1)</f>
        <v>0</v>
      </c>
      <c r="L144" s="80">
        <f>SUMIFS('ноябрь 2024'!$G$5:$G$2220,'ноябрь 2024'!$D$5:$D$2220,$B144,'ноябрь 2024'!$J$5:$J$2220,L$1)</f>
        <v>0</v>
      </c>
      <c r="M144" s="80">
        <f>SUMIFS('ноябрь 2024'!$G$5:$G$2220,'ноябрь 2024'!$D$5:$D$2220,$B144,'ноябрь 2024'!$J$5:$J$2220,M$1)</f>
        <v>0</v>
      </c>
      <c r="N144" s="80">
        <f>SUMIFS('ноябрь 2024'!$G$5:$G$2220,'ноябрь 2024'!$D$5:$D$2220,$B144,'ноябрь 2024'!$J$5:$J$2220,N$1)</f>
        <v>0</v>
      </c>
      <c r="O144" s="80">
        <f>SUMIFS('ноябрь 2024'!$G$5:$G$2220,'ноябрь 2024'!$D$5:$D$2220,$B144,'ноябрь 2024'!$J$5:$J$2220,O$1)</f>
        <v>0</v>
      </c>
      <c r="P144" s="80">
        <f>SUMIFS('ноябрь 2024'!$G$5:$G$2220,'ноябрь 2024'!$D$5:$D$2220,$B144,'ноябрь 2024'!$J$5:$J$2220,P$1)</f>
        <v>0</v>
      </c>
      <c r="Q144" s="80">
        <f>SUMIFS('ноябрь 2024'!$G$5:$G$2220,'ноябрь 2024'!$D$5:$D$2220,$B144,'ноябрь 2024'!$J$5:$J$2220,Q$1)</f>
        <v>0</v>
      </c>
      <c r="R144" s="80">
        <f>SUMIFS('ноябрь 2024'!$G$5:$G$2220,'ноябрь 2024'!$D$5:$D$2220,$B144,'ноябрь 2024'!$J$5:$J$2220,R$1)</f>
        <v>0</v>
      </c>
      <c r="S144" s="80">
        <f>SUMIFS('ноябрь 2024'!$G$5:$G$2220,'ноябрь 2024'!$D$5:$D$2220,$B144,'ноябрь 2024'!$J$5:$J$2220,S$1)</f>
        <v>0</v>
      </c>
      <c r="T144" s="80">
        <f>SUMIFS('ноябрь 2024'!$G$5:$G$2220,'ноябрь 2024'!$D$5:$D$2220,$B144,'ноябрь 2024'!$J$5:$J$2220,T$1)</f>
        <v>0</v>
      </c>
      <c r="U144" s="80">
        <f>SUMIFS('ноябрь 2024'!$G$5:$G$2220,'ноябрь 2024'!$D$5:$D$2220,$B144,'ноябрь 2024'!$J$5:$J$2220,U$1)</f>
        <v>0</v>
      </c>
      <c r="V144" s="80">
        <f>SUMIFS('ноябрь 2024'!$G$5:$G$2220,'ноябрь 2024'!$D$5:$D$2220,$B144,'ноябрь 2024'!$J$5:$J$2220,V$1)</f>
        <v>0</v>
      </c>
      <c r="W144" s="80">
        <f>SUMIFS('ноябрь 2024'!$G$5:$G$2220,'ноябрь 2024'!$D$5:$D$2220,$B144,'ноябрь 2024'!$J$5:$J$2220,W$1)</f>
        <v>0</v>
      </c>
      <c r="X144" s="80">
        <f>SUMIFS('ноябрь 2024'!$G$5:$G$2220,'ноябрь 2024'!$D$5:$D$2220,$B144,'ноябрь 2024'!$J$5:$J$2220,X$1)</f>
        <v>0</v>
      </c>
      <c r="Y144" s="80">
        <f>SUMIFS('ноябрь 2024'!$G$5:$G$2220,'ноябрь 2024'!$D$5:$D$2220,$B144,'ноябрь 2024'!$J$5:$J$2220,Y$1)</f>
        <v>0</v>
      </c>
      <c r="Z144" s="80">
        <f>SUMIFS('ноябрь 2024'!$G$5:$G$2220,'ноябрь 2024'!$D$5:$D$2220,$B144,'ноябрь 2024'!$J$5:$J$2220,Z$1)</f>
        <v>0</v>
      </c>
      <c r="AA144" s="80">
        <f>SUMIFS('ноябрь 2024'!$G$5:$G$2220,'ноябрь 2024'!$D$5:$D$2220,$B144,'ноябрь 2024'!$J$5:$J$2220,AA$1)</f>
        <v>0</v>
      </c>
      <c r="AB144" s="80">
        <f>SUMIFS('ноябрь 2024'!$G$5:$G$2220,'ноябрь 2024'!$D$5:$D$2220,$B144,'ноябрь 2024'!$J$5:$J$2220,AB$1)</f>
        <v>0</v>
      </c>
      <c r="AC144" s="80">
        <f>SUMIFS('ноябрь 2024'!$G$5:$G$2220,'ноябрь 2024'!$D$5:$D$2220,$B144,'ноябрь 2024'!$J$5:$J$2220,AC$1)</f>
        <v>0</v>
      </c>
      <c r="AD144" s="80">
        <f>SUMIFS('ноябрь 2024'!$G$5:$G$2220,'ноябрь 2024'!$D$5:$D$2220,$B144,'ноябрь 2024'!$J$5:$J$2220,AD$1)</f>
        <v>0</v>
      </c>
      <c r="AE144" s="80">
        <f>SUMIFS('ноябрь 2024'!$G$5:$G$2220,'ноябрь 2024'!$D$5:$D$2220,$B144,'ноябрь 2024'!$J$5:$J$2220,AE$1)</f>
        <v>0</v>
      </c>
      <c r="AF144" s="80">
        <f>SUMIFS('ноябрь 2024'!$G$5:$G$2220,'ноябрь 2024'!$D$5:$D$2220,$B144,'ноябрь 2024'!$J$5:$J$2220,AF$1)</f>
        <v>0</v>
      </c>
      <c r="AG144" s="80">
        <f>SUMIFS('ноябрь 2024'!$G$5:$G$2220,'ноябрь 2024'!$D$5:$D$2220,$B144,'ноябрь 2024'!$J$5:$J$2220,AG$1)</f>
        <v>0</v>
      </c>
      <c r="AH144" s="80">
        <f>SUMIFS('ноябрь 2024'!$G$5:$G$2220,'ноябрь 2024'!$D$5:$D$2220,$B144,'ноябрь 2024'!$J$5:$J$2220,AH$1)</f>
        <v>0</v>
      </c>
      <c r="AI144" s="21">
        <f t="shared" si="1"/>
        <v>0</v>
      </c>
    </row>
    <row r="145" spans="2:35" ht="15" customHeight="1" x14ac:dyDescent="0.25">
      <c r="B145" s="89" t="s">
        <v>585</v>
      </c>
      <c r="C145" s="91">
        <v>200</v>
      </c>
      <c r="D145" s="80">
        <f>SUMIFS('ноябрь 2024'!$G$5:$G$2220,'ноябрь 2024'!$D$5:$D$2220,$B145,'ноябрь 2024'!$J$5:$J$2220,D$1)</f>
        <v>0</v>
      </c>
      <c r="E145" s="80">
        <f>SUMIFS('ноябрь 2024'!$G$5:$G$2220,'ноябрь 2024'!$D$5:$D$2220,$B145,'ноябрь 2024'!$J$5:$J$2220,E$1)</f>
        <v>0</v>
      </c>
      <c r="F145" s="80">
        <f>SUMIFS('ноябрь 2024'!$G$5:$G$2220,'ноябрь 2024'!$D$5:$D$2220,$B145,'ноябрь 2024'!$J$5:$J$2220,F$1)</f>
        <v>0</v>
      </c>
      <c r="G145" s="80">
        <f>SUMIFS('ноябрь 2024'!$G$5:$G$2220,'ноябрь 2024'!$D$5:$D$2220,$B145,'ноябрь 2024'!$J$5:$J$2220,G$1)</f>
        <v>0</v>
      </c>
      <c r="H145" s="80">
        <f>SUMIFS('ноябрь 2024'!$G$5:$G$2220,'ноябрь 2024'!$D$5:$D$2220,$B145,'ноябрь 2024'!$J$5:$J$2220,H$1)</f>
        <v>0</v>
      </c>
      <c r="I145" s="80">
        <f>SUMIFS('ноябрь 2024'!$G$5:$G$2220,'ноябрь 2024'!$D$5:$D$2220,$B145,'ноябрь 2024'!$J$5:$J$2220,I$1)</f>
        <v>0</v>
      </c>
      <c r="J145" s="80">
        <f>SUMIFS('ноябрь 2024'!$G$5:$G$2220,'ноябрь 2024'!$D$5:$D$2220,$B145,'ноябрь 2024'!$J$5:$J$2220,J$1)</f>
        <v>0</v>
      </c>
      <c r="K145" s="80">
        <f>SUMIFS('ноябрь 2024'!$G$5:$G$2220,'ноябрь 2024'!$D$5:$D$2220,$B145,'ноябрь 2024'!$J$5:$J$2220,K$1)</f>
        <v>0</v>
      </c>
      <c r="L145" s="80">
        <f>SUMIFS('ноябрь 2024'!$G$5:$G$2220,'ноябрь 2024'!$D$5:$D$2220,$B145,'ноябрь 2024'!$J$5:$J$2220,L$1)</f>
        <v>0</v>
      </c>
      <c r="M145" s="80">
        <f>SUMIFS('ноябрь 2024'!$G$5:$G$2220,'ноябрь 2024'!$D$5:$D$2220,$B145,'ноябрь 2024'!$J$5:$J$2220,M$1)</f>
        <v>0</v>
      </c>
      <c r="N145" s="80">
        <f>SUMIFS('ноябрь 2024'!$G$5:$G$2220,'ноябрь 2024'!$D$5:$D$2220,$B145,'ноябрь 2024'!$J$5:$J$2220,N$1)</f>
        <v>0</v>
      </c>
      <c r="O145" s="80">
        <f>SUMIFS('ноябрь 2024'!$G$5:$G$2220,'ноябрь 2024'!$D$5:$D$2220,$B145,'ноябрь 2024'!$J$5:$J$2220,O$1)</f>
        <v>0</v>
      </c>
      <c r="P145" s="80">
        <f>SUMIFS('ноябрь 2024'!$G$5:$G$2220,'ноябрь 2024'!$D$5:$D$2220,$B145,'ноябрь 2024'!$J$5:$J$2220,P$1)</f>
        <v>0</v>
      </c>
      <c r="Q145" s="80">
        <f>SUMIFS('ноябрь 2024'!$G$5:$G$2220,'ноябрь 2024'!$D$5:$D$2220,$B145,'ноябрь 2024'!$J$5:$J$2220,Q$1)</f>
        <v>0</v>
      </c>
      <c r="R145" s="80">
        <f>SUMIFS('ноябрь 2024'!$G$5:$G$2220,'ноябрь 2024'!$D$5:$D$2220,$B145,'ноябрь 2024'!$J$5:$J$2220,R$1)</f>
        <v>0</v>
      </c>
      <c r="S145" s="80">
        <f>SUMIFS('ноябрь 2024'!$G$5:$G$2220,'ноябрь 2024'!$D$5:$D$2220,$B145,'ноябрь 2024'!$J$5:$J$2220,S$1)</f>
        <v>0</v>
      </c>
      <c r="T145" s="80">
        <f>SUMIFS('ноябрь 2024'!$G$5:$G$2220,'ноябрь 2024'!$D$5:$D$2220,$B145,'ноябрь 2024'!$J$5:$J$2220,T$1)</f>
        <v>0</v>
      </c>
      <c r="U145" s="80">
        <f>SUMIFS('ноябрь 2024'!$G$5:$G$2220,'ноябрь 2024'!$D$5:$D$2220,$B145,'ноябрь 2024'!$J$5:$J$2220,U$1)</f>
        <v>0</v>
      </c>
      <c r="V145" s="80">
        <f>SUMIFS('ноябрь 2024'!$G$5:$G$2220,'ноябрь 2024'!$D$5:$D$2220,$B145,'ноябрь 2024'!$J$5:$J$2220,V$1)</f>
        <v>0</v>
      </c>
      <c r="W145" s="80">
        <f>SUMIFS('ноябрь 2024'!$G$5:$G$2220,'ноябрь 2024'!$D$5:$D$2220,$B145,'ноябрь 2024'!$J$5:$J$2220,W$1)</f>
        <v>0</v>
      </c>
      <c r="X145" s="80">
        <f>SUMIFS('ноябрь 2024'!$G$5:$G$2220,'ноябрь 2024'!$D$5:$D$2220,$B145,'ноябрь 2024'!$J$5:$J$2220,X$1)</f>
        <v>0</v>
      </c>
      <c r="Y145" s="80">
        <f>SUMIFS('ноябрь 2024'!$G$5:$G$2220,'ноябрь 2024'!$D$5:$D$2220,$B145,'ноябрь 2024'!$J$5:$J$2220,Y$1)</f>
        <v>0</v>
      </c>
      <c r="Z145" s="80">
        <f>SUMIFS('ноябрь 2024'!$G$5:$G$2220,'ноябрь 2024'!$D$5:$D$2220,$B145,'ноябрь 2024'!$J$5:$J$2220,Z$1)</f>
        <v>0</v>
      </c>
      <c r="AA145" s="80">
        <f>SUMIFS('ноябрь 2024'!$G$5:$G$2220,'ноябрь 2024'!$D$5:$D$2220,$B145,'ноябрь 2024'!$J$5:$J$2220,AA$1)</f>
        <v>0</v>
      </c>
      <c r="AB145" s="80">
        <f>SUMIFS('ноябрь 2024'!$G$5:$G$2220,'ноябрь 2024'!$D$5:$D$2220,$B145,'ноябрь 2024'!$J$5:$J$2220,AB$1)</f>
        <v>0</v>
      </c>
      <c r="AC145" s="80">
        <f>SUMIFS('ноябрь 2024'!$G$5:$G$2220,'ноябрь 2024'!$D$5:$D$2220,$B145,'ноябрь 2024'!$J$5:$J$2220,AC$1)</f>
        <v>0</v>
      </c>
      <c r="AD145" s="80">
        <f>SUMIFS('ноябрь 2024'!$G$5:$G$2220,'ноябрь 2024'!$D$5:$D$2220,$B145,'ноябрь 2024'!$J$5:$J$2220,AD$1)</f>
        <v>0</v>
      </c>
      <c r="AE145" s="80">
        <f>SUMIFS('ноябрь 2024'!$G$5:$G$2220,'ноябрь 2024'!$D$5:$D$2220,$B145,'ноябрь 2024'!$J$5:$J$2220,AE$1)</f>
        <v>0</v>
      </c>
      <c r="AF145" s="80">
        <f>SUMIFS('ноябрь 2024'!$G$5:$G$2220,'ноябрь 2024'!$D$5:$D$2220,$B145,'ноябрь 2024'!$J$5:$J$2220,AF$1)</f>
        <v>0</v>
      </c>
      <c r="AG145" s="80">
        <f>SUMIFS('ноябрь 2024'!$G$5:$G$2220,'ноябрь 2024'!$D$5:$D$2220,$B145,'ноябрь 2024'!$J$5:$J$2220,AG$1)</f>
        <v>0</v>
      </c>
      <c r="AH145" s="80">
        <f>SUMIFS('ноябрь 2024'!$G$5:$G$2220,'ноябрь 2024'!$D$5:$D$2220,$B145,'ноябрь 2024'!$J$5:$J$2220,AH$1)</f>
        <v>0</v>
      </c>
      <c r="AI145" s="21">
        <f t="shared" si="1"/>
        <v>0</v>
      </c>
    </row>
    <row r="146" spans="2:35" ht="15" customHeight="1" x14ac:dyDescent="0.25">
      <c r="B146" s="93" t="s">
        <v>186</v>
      </c>
      <c r="C146" s="91">
        <v>25</v>
      </c>
      <c r="D146" s="80">
        <f>SUMIFS('ноябрь 2024'!$G$5:$G$2220,'ноябрь 2024'!$D$5:$D$2220,$B146,'ноябрь 2024'!$J$5:$J$2220,D$1)</f>
        <v>0</v>
      </c>
      <c r="E146" s="80">
        <f>SUMIFS('ноябрь 2024'!$G$5:$G$2220,'ноябрь 2024'!$D$5:$D$2220,$B146,'ноябрь 2024'!$J$5:$J$2220,E$1)</f>
        <v>0</v>
      </c>
      <c r="F146" s="80">
        <f>SUMIFS('ноябрь 2024'!$G$5:$G$2220,'ноябрь 2024'!$D$5:$D$2220,$B146,'ноябрь 2024'!$J$5:$J$2220,F$1)</f>
        <v>0</v>
      </c>
      <c r="G146" s="80">
        <f>SUMIFS('ноябрь 2024'!$G$5:$G$2220,'ноябрь 2024'!$D$5:$D$2220,$B146,'ноябрь 2024'!$J$5:$J$2220,G$1)</f>
        <v>0</v>
      </c>
      <c r="H146" s="80">
        <f>SUMIFS('ноябрь 2024'!$G$5:$G$2220,'ноябрь 2024'!$D$5:$D$2220,$B146,'ноябрь 2024'!$J$5:$J$2220,H$1)</f>
        <v>0</v>
      </c>
      <c r="I146" s="80">
        <f>SUMIFS('ноябрь 2024'!$G$5:$G$2220,'ноябрь 2024'!$D$5:$D$2220,$B146,'ноябрь 2024'!$J$5:$J$2220,I$1)</f>
        <v>0</v>
      </c>
      <c r="J146" s="80">
        <f>SUMIFS('ноябрь 2024'!$G$5:$G$2220,'ноябрь 2024'!$D$5:$D$2220,$B146,'ноябрь 2024'!$J$5:$J$2220,J$1)</f>
        <v>0</v>
      </c>
      <c r="K146" s="80">
        <f>SUMIFS('ноябрь 2024'!$G$5:$G$2220,'ноябрь 2024'!$D$5:$D$2220,$B146,'ноябрь 2024'!$J$5:$J$2220,K$1)</f>
        <v>0</v>
      </c>
      <c r="L146" s="80">
        <f>SUMIFS('ноябрь 2024'!$G$5:$G$2220,'ноябрь 2024'!$D$5:$D$2220,$B146,'ноябрь 2024'!$J$5:$J$2220,L$1)</f>
        <v>0</v>
      </c>
      <c r="M146" s="80">
        <f>SUMIFS('ноябрь 2024'!$G$5:$G$2220,'ноябрь 2024'!$D$5:$D$2220,$B146,'ноябрь 2024'!$J$5:$J$2220,M$1)</f>
        <v>0</v>
      </c>
      <c r="N146" s="80">
        <f>SUMIFS('ноябрь 2024'!$G$5:$G$2220,'ноябрь 2024'!$D$5:$D$2220,$B146,'ноябрь 2024'!$J$5:$J$2220,N$1)</f>
        <v>0</v>
      </c>
      <c r="O146" s="80">
        <f>SUMIFS('ноябрь 2024'!$G$5:$G$2220,'ноябрь 2024'!$D$5:$D$2220,$B146,'ноябрь 2024'!$J$5:$J$2220,O$1)</f>
        <v>0</v>
      </c>
      <c r="P146" s="80">
        <f>SUMIFS('ноябрь 2024'!$G$5:$G$2220,'ноябрь 2024'!$D$5:$D$2220,$B146,'ноябрь 2024'!$J$5:$J$2220,P$1)</f>
        <v>0</v>
      </c>
      <c r="Q146" s="80">
        <f>SUMIFS('ноябрь 2024'!$G$5:$G$2220,'ноябрь 2024'!$D$5:$D$2220,$B146,'ноябрь 2024'!$J$5:$J$2220,Q$1)</f>
        <v>0</v>
      </c>
      <c r="R146" s="80">
        <f>SUMIFS('ноябрь 2024'!$G$5:$G$2220,'ноябрь 2024'!$D$5:$D$2220,$B146,'ноябрь 2024'!$J$5:$J$2220,R$1)</f>
        <v>0</v>
      </c>
      <c r="S146" s="80">
        <f>SUMIFS('ноябрь 2024'!$G$5:$G$2220,'ноябрь 2024'!$D$5:$D$2220,$B146,'ноябрь 2024'!$J$5:$J$2220,S$1)</f>
        <v>0</v>
      </c>
      <c r="T146" s="80">
        <f>SUMIFS('ноябрь 2024'!$G$5:$G$2220,'ноябрь 2024'!$D$5:$D$2220,$B146,'ноябрь 2024'!$J$5:$J$2220,T$1)</f>
        <v>0</v>
      </c>
      <c r="U146" s="80">
        <f>SUMIFS('ноябрь 2024'!$G$5:$G$2220,'ноябрь 2024'!$D$5:$D$2220,$B146,'ноябрь 2024'!$J$5:$J$2220,U$1)</f>
        <v>0</v>
      </c>
      <c r="V146" s="80">
        <f>SUMIFS('ноябрь 2024'!$G$5:$G$2220,'ноябрь 2024'!$D$5:$D$2220,$B146,'ноябрь 2024'!$J$5:$J$2220,V$1)</f>
        <v>0</v>
      </c>
      <c r="W146" s="80">
        <f>SUMIFS('ноябрь 2024'!$G$5:$G$2220,'ноябрь 2024'!$D$5:$D$2220,$B146,'ноябрь 2024'!$J$5:$J$2220,W$1)</f>
        <v>0</v>
      </c>
      <c r="X146" s="80">
        <f>SUMIFS('ноябрь 2024'!$G$5:$G$2220,'ноябрь 2024'!$D$5:$D$2220,$B146,'ноябрь 2024'!$J$5:$J$2220,X$1)</f>
        <v>0</v>
      </c>
      <c r="Y146" s="80">
        <f>SUMIFS('ноябрь 2024'!$G$5:$G$2220,'ноябрь 2024'!$D$5:$D$2220,$B146,'ноябрь 2024'!$J$5:$J$2220,Y$1)</f>
        <v>0</v>
      </c>
      <c r="Z146" s="80">
        <f>SUMIFS('ноябрь 2024'!$G$5:$G$2220,'ноябрь 2024'!$D$5:$D$2220,$B146,'ноябрь 2024'!$J$5:$J$2220,Z$1)</f>
        <v>0</v>
      </c>
      <c r="AA146" s="80">
        <f>SUMIFS('ноябрь 2024'!$G$5:$G$2220,'ноябрь 2024'!$D$5:$D$2220,$B146,'ноябрь 2024'!$J$5:$J$2220,AA$1)</f>
        <v>0</v>
      </c>
      <c r="AB146" s="80">
        <f>SUMIFS('ноябрь 2024'!$G$5:$G$2220,'ноябрь 2024'!$D$5:$D$2220,$B146,'ноябрь 2024'!$J$5:$J$2220,AB$1)</f>
        <v>0</v>
      </c>
      <c r="AC146" s="80">
        <f>SUMIFS('ноябрь 2024'!$G$5:$G$2220,'ноябрь 2024'!$D$5:$D$2220,$B146,'ноябрь 2024'!$J$5:$J$2220,AC$1)</f>
        <v>0</v>
      </c>
      <c r="AD146" s="80">
        <f>SUMIFS('ноябрь 2024'!$G$5:$G$2220,'ноябрь 2024'!$D$5:$D$2220,$B146,'ноябрь 2024'!$J$5:$J$2220,AD$1)</f>
        <v>0</v>
      </c>
      <c r="AE146" s="80">
        <f>SUMIFS('ноябрь 2024'!$G$5:$G$2220,'ноябрь 2024'!$D$5:$D$2220,$B146,'ноябрь 2024'!$J$5:$J$2220,AE$1)</f>
        <v>0</v>
      </c>
      <c r="AF146" s="80">
        <f>SUMIFS('ноябрь 2024'!$G$5:$G$2220,'ноябрь 2024'!$D$5:$D$2220,$B146,'ноябрь 2024'!$J$5:$J$2220,AF$1)</f>
        <v>0</v>
      </c>
      <c r="AG146" s="80">
        <f>SUMIFS('ноябрь 2024'!$G$5:$G$2220,'ноябрь 2024'!$D$5:$D$2220,$B146,'ноябрь 2024'!$J$5:$J$2220,AG$1)</f>
        <v>0</v>
      </c>
      <c r="AH146" s="80">
        <f>SUMIFS('ноябрь 2024'!$G$5:$G$2220,'ноябрь 2024'!$D$5:$D$2220,$B146,'ноябрь 2024'!$J$5:$J$2220,AH$1)</f>
        <v>0</v>
      </c>
      <c r="AI146" s="21">
        <f t="shared" si="1"/>
        <v>0</v>
      </c>
    </row>
    <row r="147" spans="2:35" ht="15" customHeight="1" x14ac:dyDescent="0.25">
      <c r="B147" s="89" t="s">
        <v>184</v>
      </c>
      <c r="C147" s="88">
        <v>25</v>
      </c>
      <c r="D147" s="80">
        <f>SUMIFS('ноябрь 2024'!$G$5:$G$2220,'ноябрь 2024'!$D$5:$D$2220,$B147,'ноябрь 2024'!$J$5:$J$2220,D$1)</f>
        <v>0</v>
      </c>
      <c r="E147" s="80">
        <f>SUMIFS('ноябрь 2024'!$G$5:$G$2220,'ноябрь 2024'!$D$5:$D$2220,$B147,'ноябрь 2024'!$J$5:$J$2220,E$1)</f>
        <v>0</v>
      </c>
      <c r="F147" s="80">
        <f>SUMIFS('ноябрь 2024'!$G$5:$G$2220,'ноябрь 2024'!$D$5:$D$2220,$B147,'ноябрь 2024'!$J$5:$J$2220,F$1)</f>
        <v>0</v>
      </c>
      <c r="G147" s="80">
        <f>SUMIFS('ноябрь 2024'!$G$5:$G$2220,'ноябрь 2024'!$D$5:$D$2220,$B147,'ноябрь 2024'!$J$5:$J$2220,G$1)</f>
        <v>0</v>
      </c>
      <c r="H147" s="80">
        <f>SUMIFS('ноябрь 2024'!$G$5:$G$2220,'ноябрь 2024'!$D$5:$D$2220,$B147,'ноябрь 2024'!$J$5:$J$2220,H$1)</f>
        <v>0</v>
      </c>
      <c r="I147" s="80">
        <f>SUMIFS('ноябрь 2024'!$G$5:$G$2220,'ноябрь 2024'!$D$5:$D$2220,$B147,'ноябрь 2024'!$J$5:$J$2220,I$1)</f>
        <v>0</v>
      </c>
      <c r="J147" s="80">
        <f>SUMIFS('ноябрь 2024'!$G$5:$G$2220,'ноябрь 2024'!$D$5:$D$2220,$B147,'ноябрь 2024'!$J$5:$J$2220,J$1)</f>
        <v>0</v>
      </c>
      <c r="K147" s="80">
        <f>SUMIFS('ноябрь 2024'!$G$5:$G$2220,'ноябрь 2024'!$D$5:$D$2220,$B147,'ноябрь 2024'!$J$5:$J$2220,K$1)</f>
        <v>0</v>
      </c>
      <c r="L147" s="80">
        <f>SUMIFS('ноябрь 2024'!$G$5:$G$2220,'ноябрь 2024'!$D$5:$D$2220,$B147,'ноябрь 2024'!$J$5:$J$2220,L$1)</f>
        <v>0</v>
      </c>
      <c r="M147" s="80">
        <f>SUMIFS('ноябрь 2024'!$G$5:$G$2220,'ноябрь 2024'!$D$5:$D$2220,$B147,'ноябрь 2024'!$J$5:$J$2220,M$1)</f>
        <v>0</v>
      </c>
      <c r="N147" s="80">
        <f>SUMIFS('ноябрь 2024'!$G$5:$G$2220,'ноябрь 2024'!$D$5:$D$2220,$B147,'ноябрь 2024'!$J$5:$J$2220,N$1)</f>
        <v>0</v>
      </c>
      <c r="O147" s="80">
        <f>SUMIFS('ноябрь 2024'!$G$5:$G$2220,'ноябрь 2024'!$D$5:$D$2220,$B147,'ноябрь 2024'!$J$5:$J$2220,O$1)</f>
        <v>0</v>
      </c>
      <c r="P147" s="80">
        <f>SUMIFS('ноябрь 2024'!$G$5:$G$2220,'ноябрь 2024'!$D$5:$D$2220,$B147,'ноябрь 2024'!$J$5:$J$2220,P$1)</f>
        <v>0</v>
      </c>
      <c r="Q147" s="80">
        <f>SUMIFS('ноябрь 2024'!$G$5:$G$2220,'ноябрь 2024'!$D$5:$D$2220,$B147,'ноябрь 2024'!$J$5:$J$2220,Q$1)</f>
        <v>0</v>
      </c>
      <c r="R147" s="80">
        <f>SUMIFS('ноябрь 2024'!$G$5:$G$2220,'ноябрь 2024'!$D$5:$D$2220,$B147,'ноябрь 2024'!$J$5:$J$2220,R$1)</f>
        <v>0</v>
      </c>
      <c r="S147" s="80">
        <f>SUMIFS('ноябрь 2024'!$G$5:$G$2220,'ноябрь 2024'!$D$5:$D$2220,$B147,'ноябрь 2024'!$J$5:$J$2220,S$1)</f>
        <v>0</v>
      </c>
      <c r="T147" s="80">
        <f>SUMIFS('ноябрь 2024'!$G$5:$G$2220,'ноябрь 2024'!$D$5:$D$2220,$B147,'ноябрь 2024'!$J$5:$J$2220,T$1)</f>
        <v>0</v>
      </c>
      <c r="U147" s="80">
        <f>SUMIFS('ноябрь 2024'!$G$5:$G$2220,'ноябрь 2024'!$D$5:$D$2220,$B147,'ноябрь 2024'!$J$5:$J$2220,U$1)</f>
        <v>0</v>
      </c>
      <c r="V147" s="80">
        <f>SUMIFS('ноябрь 2024'!$G$5:$G$2220,'ноябрь 2024'!$D$5:$D$2220,$B147,'ноябрь 2024'!$J$5:$J$2220,V$1)</f>
        <v>0</v>
      </c>
      <c r="W147" s="80">
        <f>SUMIFS('ноябрь 2024'!$G$5:$G$2220,'ноябрь 2024'!$D$5:$D$2220,$B147,'ноябрь 2024'!$J$5:$J$2220,W$1)</f>
        <v>0</v>
      </c>
      <c r="X147" s="80">
        <f>SUMIFS('ноябрь 2024'!$G$5:$G$2220,'ноябрь 2024'!$D$5:$D$2220,$B147,'ноябрь 2024'!$J$5:$J$2220,X$1)</f>
        <v>0</v>
      </c>
      <c r="Y147" s="80">
        <f>SUMIFS('ноябрь 2024'!$G$5:$G$2220,'ноябрь 2024'!$D$5:$D$2220,$B147,'ноябрь 2024'!$J$5:$J$2220,Y$1)</f>
        <v>0</v>
      </c>
      <c r="Z147" s="80">
        <f>SUMIFS('ноябрь 2024'!$G$5:$G$2220,'ноябрь 2024'!$D$5:$D$2220,$B147,'ноябрь 2024'!$J$5:$J$2220,Z$1)</f>
        <v>0</v>
      </c>
      <c r="AA147" s="80">
        <f>SUMIFS('ноябрь 2024'!$G$5:$G$2220,'ноябрь 2024'!$D$5:$D$2220,$B147,'ноябрь 2024'!$J$5:$J$2220,AA$1)</f>
        <v>0</v>
      </c>
      <c r="AB147" s="80">
        <f>SUMIFS('ноябрь 2024'!$G$5:$G$2220,'ноябрь 2024'!$D$5:$D$2220,$B147,'ноябрь 2024'!$J$5:$J$2220,AB$1)</f>
        <v>0</v>
      </c>
      <c r="AC147" s="80">
        <f>SUMIFS('ноябрь 2024'!$G$5:$G$2220,'ноябрь 2024'!$D$5:$D$2220,$B147,'ноябрь 2024'!$J$5:$J$2220,AC$1)</f>
        <v>0</v>
      </c>
      <c r="AD147" s="80">
        <f>SUMIFS('ноябрь 2024'!$G$5:$G$2220,'ноябрь 2024'!$D$5:$D$2220,$B147,'ноябрь 2024'!$J$5:$J$2220,AD$1)</f>
        <v>0</v>
      </c>
      <c r="AE147" s="80">
        <f>SUMIFS('ноябрь 2024'!$G$5:$G$2220,'ноябрь 2024'!$D$5:$D$2220,$B147,'ноябрь 2024'!$J$5:$J$2220,AE$1)</f>
        <v>0</v>
      </c>
      <c r="AF147" s="80">
        <f>SUMIFS('ноябрь 2024'!$G$5:$G$2220,'ноябрь 2024'!$D$5:$D$2220,$B147,'ноябрь 2024'!$J$5:$J$2220,AF$1)</f>
        <v>0</v>
      </c>
      <c r="AG147" s="80">
        <f>SUMIFS('ноябрь 2024'!$G$5:$G$2220,'ноябрь 2024'!$D$5:$D$2220,$B147,'ноябрь 2024'!$J$5:$J$2220,AG$1)</f>
        <v>0</v>
      </c>
      <c r="AH147" s="80">
        <f>SUMIFS('ноябрь 2024'!$G$5:$G$2220,'ноябрь 2024'!$D$5:$D$2220,$B147,'ноябрь 2024'!$J$5:$J$2220,AH$1)</f>
        <v>0</v>
      </c>
      <c r="AI147" s="21">
        <f t="shared" si="1"/>
        <v>0</v>
      </c>
    </row>
    <row r="148" spans="2:35" ht="15" customHeight="1" x14ac:dyDescent="0.25">
      <c r="B148" s="89" t="s">
        <v>185</v>
      </c>
      <c r="C148" s="88">
        <v>25</v>
      </c>
      <c r="D148" s="80">
        <f>SUMIFS('ноябрь 2024'!$G$5:$G$2220,'ноябрь 2024'!$D$5:$D$2220,$B148,'ноябрь 2024'!$J$5:$J$2220,D$1)</f>
        <v>0</v>
      </c>
      <c r="E148" s="80">
        <f>SUMIFS('ноябрь 2024'!$G$5:$G$2220,'ноябрь 2024'!$D$5:$D$2220,$B148,'ноябрь 2024'!$J$5:$J$2220,E$1)</f>
        <v>0</v>
      </c>
      <c r="F148" s="80">
        <f>SUMIFS('ноябрь 2024'!$G$5:$G$2220,'ноябрь 2024'!$D$5:$D$2220,$B148,'ноябрь 2024'!$J$5:$J$2220,F$1)</f>
        <v>0</v>
      </c>
      <c r="G148" s="80">
        <f>SUMIFS('ноябрь 2024'!$G$5:$G$2220,'ноябрь 2024'!$D$5:$D$2220,$B148,'ноябрь 2024'!$J$5:$J$2220,G$1)</f>
        <v>0</v>
      </c>
      <c r="H148" s="80">
        <f>SUMIFS('ноябрь 2024'!$G$5:$G$2220,'ноябрь 2024'!$D$5:$D$2220,$B148,'ноябрь 2024'!$J$5:$J$2220,H$1)</f>
        <v>0</v>
      </c>
      <c r="I148" s="80">
        <f>SUMIFS('ноябрь 2024'!$G$5:$G$2220,'ноябрь 2024'!$D$5:$D$2220,$B148,'ноябрь 2024'!$J$5:$J$2220,I$1)</f>
        <v>0</v>
      </c>
      <c r="J148" s="80">
        <f>SUMIFS('ноябрь 2024'!$G$5:$G$2220,'ноябрь 2024'!$D$5:$D$2220,$B148,'ноябрь 2024'!$J$5:$J$2220,J$1)</f>
        <v>0</v>
      </c>
      <c r="K148" s="80">
        <f>SUMIFS('ноябрь 2024'!$G$5:$G$2220,'ноябрь 2024'!$D$5:$D$2220,$B148,'ноябрь 2024'!$J$5:$J$2220,K$1)</f>
        <v>0</v>
      </c>
      <c r="L148" s="80">
        <f>SUMIFS('ноябрь 2024'!$G$5:$G$2220,'ноябрь 2024'!$D$5:$D$2220,$B148,'ноябрь 2024'!$J$5:$J$2220,L$1)</f>
        <v>0</v>
      </c>
      <c r="M148" s="80">
        <f>SUMIFS('ноябрь 2024'!$G$5:$G$2220,'ноябрь 2024'!$D$5:$D$2220,$B148,'ноябрь 2024'!$J$5:$J$2220,M$1)</f>
        <v>0</v>
      </c>
      <c r="N148" s="80">
        <f>SUMIFS('ноябрь 2024'!$G$5:$G$2220,'ноябрь 2024'!$D$5:$D$2220,$B148,'ноябрь 2024'!$J$5:$J$2220,N$1)</f>
        <v>0</v>
      </c>
      <c r="O148" s="80">
        <f>SUMIFS('ноябрь 2024'!$G$5:$G$2220,'ноябрь 2024'!$D$5:$D$2220,$B148,'ноябрь 2024'!$J$5:$J$2220,O$1)</f>
        <v>0</v>
      </c>
      <c r="P148" s="80">
        <f>SUMIFS('ноябрь 2024'!$G$5:$G$2220,'ноябрь 2024'!$D$5:$D$2220,$B148,'ноябрь 2024'!$J$5:$J$2220,P$1)</f>
        <v>0</v>
      </c>
      <c r="Q148" s="80">
        <f>SUMIFS('ноябрь 2024'!$G$5:$G$2220,'ноябрь 2024'!$D$5:$D$2220,$B148,'ноябрь 2024'!$J$5:$J$2220,Q$1)</f>
        <v>0</v>
      </c>
      <c r="R148" s="80">
        <f>SUMIFS('ноябрь 2024'!$G$5:$G$2220,'ноябрь 2024'!$D$5:$D$2220,$B148,'ноябрь 2024'!$J$5:$J$2220,R$1)</f>
        <v>0</v>
      </c>
      <c r="S148" s="80">
        <f>SUMIFS('ноябрь 2024'!$G$5:$G$2220,'ноябрь 2024'!$D$5:$D$2220,$B148,'ноябрь 2024'!$J$5:$J$2220,S$1)</f>
        <v>0</v>
      </c>
      <c r="T148" s="80">
        <f>SUMIFS('ноябрь 2024'!$G$5:$G$2220,'ноябрь 2024'!$D$5:$D$2220,$B148,'ноябрь 2024'!$J$5:$J$2220,T$1)</f>
        <v>0</v>
      </c>
      <c r="U148" s="80">
        <f>SUMIFS('ноябрь 2024'!$G$5:$G$2220,'ноябрь 2024'!$D$5:$D$2220,$B148,'ноябрь 2024'!$J$5:$J$2220,U$1)</f>
        <v>0</v>
      </c>
      <c r="V148" s="80">
        <f>SUMIFS('ноябрь 2024'!$G$5:$G$2220,'ноябрь 2024'!$D$5:$D$2220,$B148,'ноябрь 2024'!$J$5:$J$2220,V$1)</f>
        <v>0</v>
      </c>
      <c r="W148" s="80">
        <f>SUMIFS('ноябрь 2024'!$G$5:$G$2220,'ноябрь 2024'!$D$5:$D$2220,$B148,'ноябрь 2024'!$J$5:$J$2220,W$1)</f>
        <v>0</v>
      </c>
      <c r="X148" s="80">
        <f>SUMIFS('ноябрь 2024'!$G$5:$G$2220,'ноябрь 2024'!$D$5:$D$2220,$B148,'ноябрь 2024'!$J$5:$J$2220,X$1)</f>
        <v>0</v>
      </c>
      <c r="Y148" s="80">
        <f>SUMIFS('ноябрь 2024'!$G$5:$G$2220,'ноябрь 2024'!$D$5:$D$2220,$B148,'ноябрь 2024'!$J$5:$J$2220,Y$1)</f>
        <v>0</v>
      </c>
      <c r="Z148" s="80">
        <f>SUMIFS('ноябрь 2024'!$G$5:$G$2220,'ноябрь 2024'!$D$5:$D$2220,$B148,'ноябрь 2024'!$J$5:$J$2220,Z$1)</f>
        <v>0</v>
      </c>
      <c r="AA148" s="80">
        <f>SUMIFS('ноябрь 2024'!$G$5:$G$2220,'ноябрь 2024'!$D$5:$D$2220,$B148,'ноябрь 2024'!$J$5:$J$2220,AA$1)</f>
        <v>0</v>
      </c>
      <c r="AB148" s="80">
        <f>SUMIFS('ноябрь 2024'!$G$5:$G$2220,'ноябрь 2024'!$D$5:$D$2220,$B148,'ноябрь 2024'!$J$5:$J$2220,AB$1)</f>
        <v>0</v>
      </c>
      <c r="AC148" s="80">
        <f>SUMIFS('ноябрь 2024'!$G$5:$G$2220,'ноябрь 2024'!$D$5:$D$2220,$B148,'ноябрь 2024'!$J$5:$J$2220,AC$1)</f>
        <v>0</v>
      </c>
      <c r="AD148" s="80">
        <f>SUMIFS('ноябрь 2024'!$G$5:$G$2220,'ноябрь 2024'!$D$5:$D$2220,$B148,'ноябрь 2024'!$J$5:$J$2220,AD$1)</f>
        <v>0</v>
      </c>
      <c r="AE148" s="80">
        <f>SUMIFS('ноябрь 2024'!$G$5:$G$2220,'ноябрь 2024'!$D$5:$D$2220,$B148,'ноябрь 2024'!$J$5:$J$2220,AE$1)</f>
        <v>0</v>
      </c>
      <c r="AF148" s="80">
        <f>SUMIFS('ноябрь 2024'!$G$5:$G$2220,'ноябрь 2024'!$D$5:$D$2220,$B148,'ноябрь 2024'!$J$5:$J$2220,AF$1)</f>
        <v>0</v>
      </c>
      <c r="AG148" s="80">
        <f>SUMIFS('ноябрь 2024'!$G$5:$G$2220,'ноябрь 2024'!$D$5:$D$2220,$B148,'ноябрь 2024'!$J$5:$J$2220,AG$1)</f>
        <v>0</v>
      </c>
      <c r="AH148" s="80">
        <f>SUMIFS('ноябрь 2024'!$G$5:$G$2220,'ноябрь 2024'!$D$5:$D$2220,$B148,'ноябрь 2024'!$J$5:$J$2220,AH$1)</f>
        <v>0</v>
      </c>
      <c r="AI148" s="21">
        <f t="shared" si="1"/>
        <v>0</v>
      </c>
    </row>
    <row r="149" spans="2:35" ht="15" customHeight="1" x14ac:dyDescent="0.25">
      <c r="B149" s="89" t="s">
        <v>212</v>
      </c>
      <c r="C149" s="88">
        <v>25</v>
      </c>
      <c r="D149" s="80">
        <f>SUMIFS('ноябрь 2024'!$G$5:$G$2220,'ноябрь 2024'!$D$5:$D$2220,$B149,'ноябрь 2024'!$J$5:$J$2220,D$1)</f>
        <v>0</v>
      </c>
      <c r="E149" s="80">
        <f>SUMIFS('ноябрь 2024'!$G$5:$G$2220,'ноябрь 2024'!$D$5:$D$2220,$B149,'ноябрь 2024'!$J$5:$J$2220,E$1)</f>
        <v>0</v>
      </c>
      <c r="F149" s="80">
        <f>SUMIFS('ноябрь 2024'!$G$5:$G$2220,'ноябрь 2024'!$D$5:$D$2220,$B149,'ноябрь 2024'!$J$5:$J$2220,F$1)</f>
        <v>0</v>
      </c>
      <c r="G149" s="80">
        <f>SUMIFS('ноябрь 2024'!$G$5:$G$2220,'ноябрь 2024'!$D$5:$D$2220,$B149,'ноябрь 2024'!$J$5:$J$2220,G$1)</f>
        <v>0</v>
      </c>
      <c r="H149" s="80">
        <f>SUMIFS('ноябрь 2024'!$G$5:$G$2220,'ноябрь 2024'!$D$5:$D$2220,$B149,'ноябрь 2024'!$J$5:$J$2220,H$1)</f>
        <v>0</v>
      </c>
      <c r="I149" s="80">
        <f>SUMIFS('ноябрь 2024'!$G$5:$G$2220,'ноябрь 2024'!$D$5:$D$2220,$B149,'ноябрь 2024'!$J$5:$J$2220,I$1)</f>
        <v>0</v>
      </c>
      <c r="J149" s="80">
        <f>SUMIFS('ноябрь 2024'!$G$5:$G$2220,'ноябрь 2024'!$D$5:$D$2220,$B149,'ноябрь 2024'!$J$5:$J$2220,J$1)</f>
        <v>0</v>
      </c>
      <c r="K149" s="80">
        <f>SUMIFS('ноябрь 2024'!$G$5:$G$2220,'ноябрь 2024'!$D$5:$D$2220,$B149,'ноябрь 2024'!$J$5:$J$2220,K$1)</f>
        <v>0</v>
      </c>
      <c r="L149" s="80">
        <f>SUMIFS('ноябрь 2024'!$G$5:$G$2220,'ноябрь 2024'!$D$5:$D$2220,$B149,'ноябрь 2024'!$J$5:$J$2220,L$1)</f>
        <v>0</v>
      </c>
      <c r="M149" s="80">
        <f>SUMIFS('ноябрь 2024'!$G$5:$G$2220,'ноябрь 2024'!$D$5:$D$2220,$B149,'ноябрь 2024'!$J$5:$J$2220,M$1)</f>
        <v>0</v>
      </c>
      <c r="N149" s="80">
        <f>SUMIFS('ноябрь 2024'!$G$5:$G$2220,'ноябрь 2024'!$D$5:$D$2220,$B149,'ноябрь 2024'!$J$5:$J$2220,N$1)</f>
        <v>0</v>
      </c>
      <c r="O149" s="80">
        <f>SUMIFS('ноябрь 2024'!$G$5:$G$2220,'ноябрь 2024'!$D$5:$D$2220,$B149,'ноябрь 2024'!$J$5:$J$2220,O$1)</f>
        <v>0</v>
      </c>
      <c r="P149" s="80">
        <f>SUMIFS('ноябрь 2024'!$G$5:$G$2220,'ноябрь 2024'!$D$5:$D$2220,$B149,'ноябрь 2024'!$J$5:$J$2220,P$1)</f>
        <v>0</v>
      </c>
      <c r="Q149" s="80">
        <f>SUMIFS('ноябрь 2024'!$G$5:$G$2220,'ноябрь 2024'!$D$5:$D$2220,$B149,'ноябрь 2024'!$J$5:$J$2220,Q$1)</f>
        <v>0</v>
      </c>
      <c r="R149" s="80">
        <f>SUMIFS('ноябрь 2024'!$G$5:$G$2220,'ноябрь 2024'!$D$5:$D$2220,$B149,'ноябрь 2024'!$J$5:$J$2220,R$1)</f>
        <v>0</v>
      </c>
      <c r="S149" s="80">
        <f>SUMIFS('ноябрь 2024'!$G$5:$G$2220,'ноябрь 2024'!$D$5:$D$2220,$B149,'ноябрь 2024'!$J$5:$J$2220,S$1)</f>
        <v>0</v>
      </c>
      <c r="T149" s="80">
        <f>SUMIFS('ноябрь 2024'!$G$5:$G$2220,'ноябрь 2024'!$D$5:$D$2220,$B149,'ноябрь 2024'!$J$5:$J$2220,T$1)</f>
        <v>0</v>
      </c>
      <c r="U149" s="80">
        <f>SUMIFS('ноябрь 2024'!$G$5:$G$2220,'ноябрь 2024'!$D$5:$D$2220,$B149,'ноябрь 2024'!$J$5:$J$2220,U$1)</f>
        <v>0</v>
      </c>
      <c r="V149" s="80">
        <f>SUMIFS('ноябрь 2024'!$G$5:$G$2220,'ноябрь 2024'!$D$5:$D$2220,$B149,'ноябрь 2024'!$J$5:$J$2220,V$1)</f>
        <v>0</v>
      </c>
      <c r="W149" s="80">
        <f>SUMIFS('ноябрь 2024'!$G$5:$G$2220,'ноябрь 2024'!$D$5:$D$2220,$B149,'ноябрь 2024'!$J$5:$J$2220,W$1)</f>
        <v>0</v>
      </c>
      <c r="X149" s="80">
        <f>SUMIFS('ноябрь 2024'!$G$5:$G$2220,'ноябрь 2024'!$D$5:$D$2220,$B149,'ноябрь 2024'!$J$5:$J$2220,X$1)</f>
        <v>0</v>
      </c>
      <c r="Y149" s="80">
        <f>SUMIFS('ноябрь 2024'!$G$5:$G$2220,'ноябрь 2024'!$D$5:$D$2220,$B149,'ноябрь 2024'!$J$5:$J$2220,Y$1)</f>
        <v>0</v>
      </c>
      <c r="Z149" s="80">
        <f>SUMIFS('ноябрь 2024'!$G$5:$G$2220,'ноябрь 2024'!$D$5:$D$2220,$B149,'ноябрь 2024'!$J$5:$J$2220,Z$1)</f>
        <v>0</v>
      </c>
      <c r="AA149" s="80">
        <f>SUMIFS('ноябрь 2024'!$G$5:$G$2220,'ноябрь 2024'!$D$5:$D$2220,$B149,'ноябрь 2024'!$J$5:$J$2220,AA$1)</f>
        <v>0</v>
      </c>
      <c r="AB149" s="80">
        <f>SUMIFS('ноябрь 2024'!$G$5:$G$2220,'ноябрь 2024'!$D$5:$D$2220,$B149,'ноябрь 2024'!$J$5:$J$2220,AB$1)</f>
        <v>0</v>
      </c>
      <c r="AC149" s="80">
        <f>SUMIFS('ноябрь 2024'!$G$5:$G$2220,'ноябрь 2024'!$D$5:$D$2220,$B149,'ноябрь 2024'!$J$5:$J$2220,AC$1)</f>
        <v>0</v>
      </c>
      <c r="AD149" s="80">
        <f>SUMIFS('ноябрь 2024'!$G$5:$G$2220,'ноябрь 2024'!$D$5:$D$2220,$B149,'ноябрь 2024'!$J$5:$J$2220,AD$1)</f>
        <v>0</v>
      </c>
      <c r="AE149" s="80">
        <f>SUMIFS('ноябрь 2024'!$G$5:$G$2220,'ноябрь 2024'!$D$5:$D$2220,$B149,'ноябрь 2024'!$J$5:$J$2220,AE$1)</f>
        <v>0</v>
      </c>
      <c r="AF149" s="80">
        <f>SUMIFS('ноябрь 2024'!$G$5:$G$2220,'ноябрь 2024'!$D$5:$D$2220,$B149,'ноябрь 2024'!$J$5:$J$2220,AF$1)</f>
        <v>0</v>
      </c>
      <c r="AG149" s="80">
        <f>SUMIFS('ноябрь 2024'!$G$5:$G$2220,'ноябрь 2024'!$D$5:$D$2220,$B149,'ноябрь 2024'!$J$5:$J$2220,AG$1)</f>
        <v>0</v>
      </c>
      <c r="AH149" s="80">
        <f>SUMIFS('ноябрь 2024'!$G$5:$G$2220,'ноябрь 2024'!$D$5:$D$2220,$B149,'ноябрь 2024'!$J$5:$J$2220,AH$1)</f>
        <v>0</v>
      </c>
      <c r="AI149" s="21">
        <f t="shared" si="1"/>
        <v>0</v>
      </c>
    </row>
    <row r="150" spans="2:35" ht="15" customHeight="1" x14ac:dyDescent="0.25">
      <c r="B150" s="89" t="s">
        <v>994</v>
      </c>
      <c r="C150" s="88">
        <v>200</v>
      </c>
      <c r="D150" s="80">
        <f>SUMIFS('ноябрь 2024'!$G$5:$G$2220,'ноябрь 2024'!$D$5:$D$2220,$B150,'ноябрь 2024'!$J$5:$J$2220,D$1)</f>
        <v>0</v>
      </c>
      <c r="E150" s="80">
        <f>SUMIFS('ноябрь 2024'!$G$5:$G$2220,'ноябрь 2024'!$D$5:$D$2220,$B150,'ноябрь 2024'!$J$5:$J$2220,E$1)</f>
        <v>0</v>
      </c>
      <c r="F150" s="80">
        <f>SUMIFS('ноябрь 2024'!$G$5:$G$2220,'ноябрь 2024'!$D$5:$D$2220,$B150,'ноябрь 2024'!$J$5:$J$2220,F$1)</f>
        <v>0</v>
      </c>
      <c r="G150" s="80">
        <f>SUMIFS('ноябрь 2024'!$G$5:$G$2220,'ноябрь 2024'!$D$5:$D$2220,$B150,'ноябрь 2024'!$J$5:$J$2220,G$1)</f>
        <v>0</v>
      </c>
      <c r="H150" s="80">
        <f>SUMIFS('ноябрь 2024'!$G$5:$G$2220,'ноябрь 2024'!$D$5:$D$2220,$B150,'ноябрь 2024'!$J$5:$J$2220,H$1)</f>
        <v>0</v>
      </c>
      <c r="I150" s="80">
        <f>SUMIFS('ноябрь 2024'!$G$5:$G$2220,'ноябрь 2024'!$D$5:$D$2220,$B150,'ноябрь 2024'!$J$5:$J$2220,I$1)</f>
        <v>0</v>
      </c>
      <c r="J150" s="80">
        <f>SUMIFS('ноябрь 2024'!$G$5:$G$2220,'ноябрь 2024'!$D$5:$D$2220,$B150,'ноябрь 2024'!$J$5:$J$2220,J$1)</f>
        <v>0</v>
      </c>
      <c r="K150" s="80">
        <f>SUMIFS('ноябрь 2024'!$G$5:$G$2220,'ноябрь 2024'!$D$5:$D$2220,$B150,'ноябрь 2024'!$J$5:$J$2220,K$1)</f>
        <v>0</v>
      </c>
      <c r="L150" s="80">
        <f>SUMIFS('ноябрь 2024'!$G$5:$G$2220,'ноябрь 2024'!$D$5:$D$2220,$B150,'ноябрь 2024'!$J$5:$J$2220,L$1)</f>
        <v>0</v>
      </c>
      <c r="M150" s="80">
        <f>SUMIFS('ноябрь 2024'!$G$5:$G$2220,'ноябрь 2024'!$D$5:$D$2220,$B150,'ноябрь 2024'!$J$5:$J$2220,M$1)</f>
        <v>0</v>
      </c>
      <c r="N150" s="80">
        <f>SUMIFS('ноябрь 2024'!$G$5:$G$2220,'ноябрь 2024'!$D$5:$D$2220,$B150,'ноябрь 2024'!$J$5:$J$2220,N$1)</f>
        <v>0</v>
      </c>
      <c r="O150" s="80">
        <f>SUMIFS('ноябрь 2024'!$G$5:$G$2220,'ноябрь 2024'!$D$5:$D$2220,$B150,'ноябрь 2024'!$J$5:$J$2220,O$1)</f>
        <v>0</v>
      </c>
      <c r="P150" s="80">
        <f>SUMIFS('ноябрь 2024'!$G$5:$G$2220,'ноябрь 2024'!$D$5:$D$2220,$B150,'ноябрь 2024'!$J$5:$J$2220,P$1)</f>
        <v>0</v>
      </c>
      <c r="Q150" s="80">
        <f>SUMIFS('ноябрь 2024'!$G$5:$G$2220,'ноябрь 2024'!$D$5:$D$2220,$B150,'ноябрь 2024'!$J$5:$J$2220,Q$1)</f>
        <v>0</v>
      </c>
      <c r="R150" s="80">
        <f>SUMIFS('ноябрь 2024'!$G$5:$G$2220,'ноябрь 2024'!$D$5:$D$2220,$B150,'ноябрь 2024'!$J$5:$J$2220,R$1)</f>
        <v>0</v>
      </c>
      <c r="S150" s="80">
        <f>SUMIFS('ноябрь 2024'!$G$5:$G$2220,'ноябрь 2024'!$D$5:$D$2220,$B150,'ноябрь 2024'!$J$5:$J$2220,S$1)</f>
        <v>0</v>
      </c>
      <c r="T150" s="80">
        <f>SUMIFS('ноябрь 2024'!$G$5:$G$2220,'ноябрь 2024'!$D$5:$D$2220,$B150,'ноябрь 2024'!$J$5:$J$2220,T$1)</f>
        <v>0</v>
      </c>
      <c r="U150" s="80">
        <f>SUMIFS('ноябрь 2024'!$G$5:$G$2220,'ноябрь 2024'!$D$5:$D$2220,$B150,'ноябрь 2024'!$J$5:$J$2220,U$1)</f>
        <v>0</v>
      </c>
      <c r="V150" s="80">
        <f>SUMIFS('ноябрь 2024'!$G$5:$G$2220,'ноябрь 2024'!$D$5:$D$2220,$B150,'ноябрь 2024'!$J$5:$J$2220,V$1)</f>
        <v>0</v>
      </c>
      <c r="W150" s="80">
        <f>SUMIFS('ноябрь 2024'!$G$5:$G$2220,'ноябрь 2024'!$D$5:$D$2220,$B150,'ноябрь 2024'!$J$5:$J$2220,W$1)</f>
        <v>0</v>
      </c>
      <c r="X150" s="80">
        <f>SUMIFS('ноябрь 2024'!$G$5:$G$2220,'ноябрь 2024'!$D$5:$D$2220,$B150,'ноябрь 2024'!$J$5:$J$2220,X$1)</f>
        <v>0</v>
      </c>
      <c r="Y150" s="80">
        <f>SUMIFS('ноябрь 2024'!$G$5:$G$2220,'ноябрь 2024'!$D$5:$D$2220,$B150,'ноябрь 2024'!$J$5:$J$2220,Y$1)</f>
        <v>0</v>
      </c>
      <c r="Z150" s="80">
        <f>SUMIFS('ноябрь 2024'!$G$5:$G$2220,'ноябрь 2024'!$D$5:$D$2220,$B150,'ноябрь 2024'!$J$5:$J$2220,Z$1)</f>
        <v>0</v>
      </c>
      <c r="AA150" s="80">
        <f>SUMIFS('ноябрь 2024'!$G$5:$G$2220,'ноябрь 2024'!$D$5:$D$2220,$B150,'ноябрь 2024'!$J$5:$J$2220,AA$1)</f>
        <v>0</v>
      </c>
      <c r="AB150" s="80">
        <f>SUMIFS('ноябрь 2024'!$G$5:$G$2220,'ноябрь 2024'!$D$5:$D$2220,$B150,'ноябрь 2024'!$J$5:$J$2220,AB$1)</f>
        <v>0</v>
      </c>
      <c r="AC150" s="80">
        <f>SUMIFS('ноябрь 2024'!$G$5:$G$2220,'ноябрь 2024'!$D$5:$D$2220,$B150,'ноябрь 2024'!$J$5:$J$2220,AC$1)</f>
        <v>0</v>
      </c>
      <c r="AD150" s="80">
        <f>SUMIFS('ноябрь 2024'!$G$5:$G$2220,'ноябрь 2024'!$D$5:$D$2220,$B150,'ноябрь 2024'!$J$5:$J$2220,AD$1)</f>
        <v>0</v>
      </c>
      <c r="AE150" s="80">
        <f>SUMIFS('ноябрь 2024'!$G$5:$G$2220,'ноябрь 2024'!$D$5:$D$2220,$B150,'ноябрь 2024'!$J$5:$J$2220,AE$1)</f>
        <v>0</v>
      </c>
      <c r="AF150" s="80">
        <f>SUMIFS('ноябрь 2024'!$G$5:$G$2220,'ноябрь 2024'!$D$5:$D$2220,$B150,'ноябрь 2024'!$J$5:$J$2220,AF$1)</f>
        <v>0</v>
      </c>
      <c r="AG150" s="80">
        <f>SUMIFS('ноябрь 2024'!$G$5:$G$2220,'ноябрь 2024'!$D$5:$D$2220,$B150,'ноябрь 2024'!$J$5:$J$2220,AG$1)</f>
        <v>0</v>
      </c>
      <c r="AH150" s="80">
        <f>SUMIFS('ноябрь 2024'!$G$5:$G$2220,'ноябрь 2024'!$D$5:$D$2220,$B150,'ноябрь 2024'!$J$5:$J$2220,AH$1)</f>
        <v>0</v>
      </c>
      <c r="AI150" s="21">
        <f>SUM(D150:AH150)</f>
        <v>0</v>
      </c>
    </row>
    <row r="151" spans="2:35" ht="15" customHeight="1" x14ac:dyDescent="0.25">
      <c r="B151" s="89" t="s">
        <v>1118</v>
      </c>
      <c r="C151" s="88">
        <v>175</v>
      </c>
      <c r="D151" s="80">
        <f>SUMIFS('ноябрь 2024'!$G$5:$G$2220,'ноябрь 2024'!$D$5:$D$2220,$B151,'ноябрь 2024'!$J$5:$J$2220,D$1)</f>
        <v>0</v>
      </c>
      <c r="E151" s="80">
        <f>SUMIFS('ноябрь 2024'!$G$5:$G$2220,'ноябрь 2024'!$D$5:$D$2220,$B151,'ноябрь 2024'!$J$5:$J$2220,E$1)</f>
        <v>0</v>
      </c>
      <c r="F151" s="80">
        <f>SUMIFS('ноябрь 2024'!$G$5:$G$2220,'ноябрь 2024'!$D$5:$D$2220,$B151,'ноябрь 2024'!$J$5:$J$2220,F$1)</f>
        <v>0</v>
      </c>
      <c r="G151" s="80">
        <f>SUMIFS('ноябрь 2024'!$G$5:$G$2220,'ноябрь 2024'!$D$5:$D$2220,$B151,'ноябрь 2024'!$J$5:$J$2220,G$1)</f>
        <v>0</v>
      </c>
      <c r="H151" s="80">
        <f>SUMIFS('ноябрь 2024'!$G$5:$G$2220,'ноябрь 2024'!$D$5:$D$2220,$B151,'ноябрь 2024'!$J$5:$J$2220,H$1)</f>
        <v>0</v>
      </c>
      <c r="I151" s="80">
        <f>SUMIFS('ноябрь 2024'!$G$5:$G$2220,'ноябрь 2024'!$D$5:$D$2220,$B151,'ноябрь 2024'!$J$5:$J$2220,I$1)</f>
        <v>0</v>
      </c>
      <c r="J151" s="80">
        <f>SUMIFS('ноябрь 2024'!$G$5:$G$2220,'ноябрь 2024'!$D$5:$D$2220,$B151,'ноябрь 2024'!$J$5:$J$2220,J$1)</f>
        <v>0</v>
      </c>
      <c r="K151" s="80">
        <f>SUMIFS('ноябрь 2024'!$G$5:$G$2220,'ноябрь 2024'!$D$5:$D$2220,$B151,'ноябрь 2024'!$J$5:$J$2220,K$1)</f>
        <v>0</v>
      </c>
      <c r="L151" s="80">
        <f>SUMIFS('ноябрь 2024'!$G$5:$G$2220,'ноябрь 2024'!$D$5:$D$2220,$B151,'ноябрь 2024'!$J$5:$J$2220,L$1)</f>
        <v>0</v>
      </c>
      <c r="M151" s="80">
        <f>SUMIFS('ноябрь 2024'!$G$5:$G$2220,'ноябрь 2024'!$D$5:$D$2220,$B151,'ноябрь 2024'!$J$5:$J$2220,M$1)</f>
        <v>0</v>
      </c>
      <c r="N151" s="80">
        <f>SUMIFS('ноябрь 2024'!$G$5:$G$2220,'ноябрь 2024'!$D$5:$D$2220,$B151,'ноябрь 2024'!$J$5:$J$2220,N$1)</f>
        <v>0</v>
      </c>
      <c r="O151" s="80">
        <f>SUMIFS('ноябрь 2024'!$G$5:$G$2220,'ноябрь 2024'!$D$5:$D$2220,$B151,'ноябрь 2024'!$J$5:$J$2220,O$1)</f>
        <v>0</v>
      </c>
      <c r="P151" s="80">
        <f>SUMIFS('ноябрь 2024'!$G$5:$G$2220,'ноябрь 2024'!$D$5:$D$2220,$B151,'ноябрь 2024'!$J$5:$J$2220,P$1)</f>
        <v>0</v>
      </c>
      <c r="Q151" s="80">
        <f>SUMIFS('ноябрь 2024'!$G$5:$G$2220,'ноябрь 2024'!$D$5:$D$2220,$B151,'ноябрь 2024'!$J$5:$J$2220,Q$1)</f>
        <v>0</v>
      </c>
      <c r="R151" s="80">
        <f>SUMIFS('ноябрь 2024'!$G$5:$G$2220,'ноябрь 2024'!$D$5:$D$2220,$B151,'ноябрь 2024'!$J$5:$J$2220,R$1)</f>
        <v>0</v>
      </c>
      <c r="S151" s="80">
        <f>SUMIFS('ноябрь 2024'!$G$5:$G$2220,'ноябрь 2024'!$D$5:$D$2220,$B151,'ноябрь 2024'!$J$5:$J$2220,S$1)</f>
        <v>0</v>
      </c>
      <c r="T151" s="80">
        <f>SUMIFS('ноябрь 2024'!$G$5:$G$2220,'ноябрь 2024'!$D$5:$D$2220,$B151,'ноябрь 2024'!$J$5:$J$2220,T$1)</f>
        <v>0</v>
      </c>
      <c r="U151" s="80">
        <f>SUMIFS('ноябрь 2024'!$G$5:$G$2220,'ноябрь 2024'!$D$5:$D$2220,$B151,'ноябрь 2024'!$J$5:$J$2220,U$1)</f>
        <v>0</v>
      </c>
      <c r="V151" s="80">
        <f>SUMIFS('ноябрь 2024'!$G$5:$G$2220,'ноябрь 2024'!$D$5:$D$2220,$B151,'ноябрь 2024'!$J$5:$J$2220,V$1)</f>
        <v>0</v>
      </c>
      <c r="W151" s="80">
        <f>SUMIFS('ноябрь 2024'!$G$5:$G$2220,'ноябрь 2024'!$D$5:$D$2220,$B151,'ноябрь 2024'!$J$5:$J$2220,W$1)</f>
        <v>0</v>
      </c>
      <c r="X151" s="80">
        <f>SUMIFS('ноябрь 2024'!$G$5:$G$2220,'ноябрь 2024'!$D$5:$D$2220,$B151,'ноябрь 2024'!$J$5:$J$2220,X$1)</f>
        <v>0</v>
      </c>
      <c r="Y151" s="80">
        <f>SUMIFS('ноябрь 2024'!$G$5:$G$2220,'ноябрь 2024'!$D$5:$D$2220,$B151,'ноябрь 2024'!$J$5:$J$2220,Y$1)</f>
        <v>0</v>
      </c>
      <c r="Z151" s="80">
        <f>SUMIFS('ноябрь 2024'!$G$5:$G$2220,'ноябрь 2024'!$D$5:$D$2220,$B151,'ноябрь 2024'!$J$5:$J$2220,Z$1)</f>
        <v>0</v>
      </c>
      <c r="AA151" s="80">
        <f>SUMIFS('ноябрь 2024'!$G$5:$G$2220,'ноябрь 2024'!$D$5:$D$2220,$B151,'ноябрь 2024'!$J$5:$J$2220,AA$1)</f>
        <v>0</v>
      </c>
      <c r="AB151" s="80">
        <f>SUMIFS('ноябрь 2024'!$G$5:$G$2220,'ноябрь 2024'!$D$5:$D$2220,$B151,'ноябрь 2024'!$J$5:$J$2220,AB$1)</f>
        <v>0</v>
      </c>
      <c r="AC151" s="80">
        <f>SUMIFS('ноябрь 2024'!$G$5:$G$2220,'ноябрь 2024'!$D$5:$D$2220,$B151,'ноябрь 2024'!$J$5:$J$2220,AC$1)</f>
        <v>0</v>
      </c>
      <c r="AD151" s="80">
        <f>SUMIFS('ноябрь 2024'!$G$5:$G$2220,'ноябрь 2024'!$D$5:$D$2220,$B151,'ноябрь 2024'!$J$5:$J$2220,AD$1)</f>
        <v>0</v>
      </c>
      <c r="AE151" s="80">
        <f>SUMIFS('ноябрь 2024'!$G$5:$G$2220,'ноябрь 2024'!$D$5:$D$2220,$B151,'ноябрь 2024'!$J$5:$J$2220,AE$1)</f>
        <v>0</v>
      </c>
      <c r="AF151" s="80">
        <f>SUMIFS('ноябрь 2024'!$G$5:$G$2220,'ноябрь 2024'!$D$5:$D$2220,$B151,'ноябрь 2024'!$J$5:$J$2220,AF$1)</f>
        <v>0</v>
      </c>
      <c r="AG151" s="80">
        <f>SUMIFS('ноябрь 2024'!$G$5:$G$2220,'ноябрь 2024'!$D$5:$D$2220,$B151,'ноябрь 2024'!$J$5:$J$2220,AG$1)</f>
        <v>0</v>
      </c>
      <c r="AH151" s="80">
        <f>SUMIFS('ноябрь 2024'!$G$5:$G$2220,'ноябрь 2024'!$D$5:$D$2220,$B151,'ноябрь 2024'!$J$5:$J$2220,AH$1)</f>
        <v>0</v>
      </c>
      <c r="AI151" s="21">
        <f>SUM(D151:AH151)</f>
        <v>0</v>
      </c>
    </row>
    <row r="152" spans="2:35" ht="15" customHeight="1" x14ac:dyDescent="0.25">
      <c r="B152" s="89" t="s">
        <v>1705</v>
      </c>
      <c r="C152" s="88">
        <v>950</v>
      </c>
      <c r="D152" s="80">
        <f>SUMIFS('ноябрь 2024'!$G$5:$G$2220,'ноябрь 2024'!$D$5:$D$2220,$B152,'ноябрь 2024'!$J$5:$J$2220,D$1)</f>
        <v>0</v>
      </c>
      <c r="E152" s="80">
        <f>SUMIFS('ноябрь 2024'!$G$5:$G$2220,'ноябрь 2024'!$D$5:$D$2220,$B152,'ноябрь 2024'!$J$5:$J$2220,E$1)</f>
        <v>0</v>
      </c>
      <c r="F152" s="80">
        <f>SUMIFS('ноябрь 2024'!$G$5:$G$2220,'ноябрь 2024'!$D$5:$D$2220,$B152,'ноябрь 2024'!$J$5:$J$2220,F$1)</f>
        <v>0</v>
      </c>
      <c r="G152" s="80">
        <f>SUMIFS('ноябрь 2024'!$G$5:$G$2220,'ноябрь 2024'!$D$5:$D$2220,$B152,'ноябрь 2024'!$J$5:$J$2220,G$1)</f>
        <v>0</v>
      </c>
      <c r="H152" s="80">
        <f>SUMIFS('ноябрь 2024'!$G$5:$G$2220,'ноябрь 2024'!$D$5:$D$2220,$B152,'ноябрь 2024'!$J$5:$J$2220,H$1)</f>
        <v>0</v>
      </c>
      <c r="I152" s="80">
        <f>SUMIFS('ноябрь 2024'!$G$5:$G$2220,'ноябрь 2024'!$D$5:$D$2220,$B152,'ноябрь 2024'!$J$5:$J$2220,I$1)</f>
        <v>0</v>
      </c>
      <c r="J152" s="80">
        <f>SUMIFS('ноябрь 2024'!$G$5:$G$2220,'ноябрь 2024'!$D$5:$D$2220,$B152,'ноябрь 2024'!$J$5:$J$2220,J$1)</f>
        <v>0</v>
      </c>
      <c r="K152" s="80">
        <f>SUMIFS('ноябрь 2024'!$G$5:$G$2220,'ноябрь 2024'!$D$5:$D$2220,$B152,'ноябрь 2024'!$J$5:$J$2220,K$1)</f>
        <v>0</v>
      </c>
      <c r="L152" s="80">
        <f>SUMIFS('ноябрь 2024'!$G$5:$G$2220,'ноябрь 2024'!$D$5:$D$2220,$B152,'ноябрь 2024'!$J$5:$J$2220,L$1)</f>
        <v>0</v>
      </c>
      <c r="M152" s="80">
        <f>SUMIFS('ноябрь 2024'!$G$5:$G$2220,'ноябрь 2024'!$D$5:$D$2220,$B152,'ноябрь 2024'!$J$5:$J$2220,M$1)</f>
        <v>0</v>
      </c>
      <c r="N152" s="80">
        <f>SUMIFS('ноябрь 2024'!$G$5:$G$2220,'ноябрь 2024'!$D$5:$D$2220,$B152,'ноябрь 2024'!$J$5:$J$2220,N$1)</f>
        <v>0</v>
      </c>
      <c r="O152" s="80">
        <f>SUMIFS('ноябрь 2024'!$G$5:$G$2220,'ноябрь 2024'!$D$5:$D$2220,$B152,'ноябрь 2024'!$J$5:$J$2220,O$1)</f>
        <v>0</v>
      </c>
      <c r="P152" s="80">
        <f>SUMIFS('ноябрь 2024'!$G$5:$G$2220,'ноябрь 2024'!$D$5:$D$2220,$B152,'ноябрь 2024'!$J$5:$J$2220,P$1)</f>
        <v>0</v>
      </c>
      <c r="Q152" s="80">
        <f>SUMIFS('ноябрь 2024'!$G$5:$G$2220,'ноябрь 2024'!$D$5:$D$2220,$B152,'ноябрь 2024'!$J$5:$J$2220,Q$1)</f>
        <v>0</v>
      </c>
      <c r="R152" s="80">
        <f>SUMIFS('ноябрь 2024'!$G$5:$G$2220,'ноябрь 2024'!$D$5:$D$2220,$B152,'ноябрь 2024'!$J$5:$J$2220,R$1)</f>
        <v>0</v>
      </c>
      <c r="S152" s="80">
        <f>SUMIFS('ноябрь 2024'!$G$5:$G$2220,'ноябрь 2024'!$D$5:$D$2220,$B152,'ноябрь 2024'!$J$5:$J$2220,S$1)</f>
        <v>0</v>
      </c>
      <c r="T152" s="80">
        <f>SUMIFS('ноябрь 2024'!$G$5:$G$2220,'ноябрь 2024'!$D$5:$D$2220,$B152,'ноябрь 2024'!$J$5:$J$2220,T$1)</f>
        <v>0</v>
      </c>
      <c r="U152" s="80">
        <f>SUMIFS('ноябрь 2024'!$G$5:$G$2220,'ноябрь 2024'!$D$5:$D$2220,$B152,'ноябрь 2024'!$J$5:$J$2220,U$1)</f>
        <v>0</v>
      </c>
      <c r="V152" s="80">
        <f>SUMIFS('ноябрь 2024'!$G$5:$G$2220,'ноябрь 2024'!$D$5:$D$2220,$B152,'ноябрь 2024'!$J$5:$J$2220,V$1)</f>
        <v>0</v>
      </c>
      <c r="W152" s="80">
        <f>SUMIFS('ноябрь 2024'!$G$5:$G$2220,'ноябрь 2024'!$D$5:$D$2220,$B152,'ноябрь 2024'!$J$5:$J$2220,W$1)</f>
        <v>0</v>
      </c>
      <c r="X152" s="80">
        <f>SUMIFS('ноябрь 2024'!$G$5:$G$2220,'ноябрь 2024'!$D$5:$D$2220,$B152,'ноябрь 2024'!$J$5:$J$2220,X$1)</f>
        <v>0</v>
      </c>
      <c r="Y152" s="80">
        <f>SUMIFS('ноябрь 2024'!$G$5:$G$2220,'ноябрь 2024'!$D$5:$D$2220,$B152,'ноябрь 2024'!$J$5:$J$2220,Y$1)</f>
        <v>0</v>
      </c>
      <c r="Z152" s="80">
        <f>SUMIFS('ноябрь 2024'!$G$5:$G$2220,'ноябрь 2024'!$D$5:$D$2220,$B152,'ноябрь 2024'!$J$5:$J$2220,Z$1)</f>
        <v>0</v>
      </c>
      <c r="AA152" s="80">
        <f>SUMIFS('ноябрь 2024'!$G$5:$G$2220,'ноябрь 2024'!$D$5:$D$2220,$B152,'ноябрь 2024'!$J$5:$J$2220,AA$1)</f>
        <v>0</v>
      </c>
      <c r="AB152" s="80">
        <f>SUMIFS('ноябрь 2024'!$G$5:$G$2220,'ноябрь 2024'!$D$5:$D$2220,$B152,'ноябрь 2024'!$J$5:$J$2220,AB$1)</f>
        <v>0</v>
      </c>
      <c r="AC152" s="80">
        <f>SUMIFS('ноябрь 2024'!$G$5:$G$2220,'ноябрь 2024'!$D$5:$D$2220,$B152,'ноябрь 2024'!$J$5:$J$2220,AC$1)</f>
        <v>0</v>
      </c>
      <c r="AD152" s="80">
        <f>SUMIFS('ноябрь 2024'!$G$5:$G$2220,'ноябрь 2024'!$D$5:$D$2220,$B152,'ноябрь 2024'!$J$5:$J$2220,AD$1)</f>
        <v>0</v>
      </c>
      <c r="AE152" s="80">
        <f>SUMIFS('ноябрь 2024'!$G$5:$G$2220,'ноябрь 2024'!$D$5:$D$2220,$B152,'ноябрь 2024'!$J$5:$J$2220,AE$1)</f>
        <v>0</v>
      </c>
      <c r="AF152" s="80">
        <f>SUMIFS('ноябрь 2024'!$G$5:$G$2220,'ноябрь 2024'!$D$5:$D$2220,$B152,'ноябрь 2024'!$J$5:$J$2220,AF$1)</f>
        <v>0</v>
      </c>
      <c r="AG152" s="80">
        <f>SUMIFS('ноябрь 2024'!$G$5:$G$2220,'ноябрь 2024'!$D$5:$D$2220,$B152,'ноябрь 2024'!$J$5:$J$2220,AG$1)</f>
        <v>0</v>
      </c>
      <c r="AH152" s="80">
        <f>SUMIFS('ноябрь 2024'!$G$5:$G$2220,'ноябрь 2024'!$D$5:$D$2220,$B152,'ноябрь 2024'!$J$5:$J$2220,AH$1)</f>
        <v>0</v>
      </c>
      <c r="AI152" s="21">
        <f t="shared" ref="AI152:AI153" si="2">SUM(D152:AH152)</f>
        <v>0</v>
      </c>
    </row>
    <row r="153" spans="2:35" ht="15" customHeight="1" x14ac:dyDescent="0.25">
      <c r="B153" s="89" t="s">
        <v>1587</v>
      </c>
      <c r="C153" s="88">
        <v>200</v>
      </c>
      <c r="D153" s="80">
        <f>SUMIFS('ноябрь 2024'!$G$5:$G$2220,'ноябрь 2024'!$D$5:$D$2220,$B153,'ноябрь 2024'!$J$5:$J$2220,D$1)</f>
        <v>0</v>
      </c>
      <c r="E153" s="80">
        <f>SUMIFS('октябрь 2024'!$G$5:$G$2162,'октябрь 2024'!$D$5:$D$2162,$B153,'октябрь 2024'!$J$5:$J$2162,E$1)</f>
        <v>0</v>
      </c>
      <c r="F153" s="80">
        <f>SUMIFS('октябрь 2024'!$G$5:$G$2162,'октябрь 2024'!$D$5:$D$2162,$B153,'октябрь 2024'!$J$5:$J$2162,F$1)</f>
        <v>0</v>
      </c>
      <c r="G153" s="80">
        <f>SUMIFS('октябрь 2024'!$G$5:$G$2162,'октябрь 2024'!$D$5:$D$2162,$B153,'октябрь 2024'!$J$5:$J$2162,G$1)</f>
        <v>0</v>
      </c>
      <c r="H153" s="80">
        <f>SUMIFS('октябрь 2024'!$G$5:$G$2162,'октябрь 2024'!$D$5:$D$2162,$B153,'октябрь 2024'!$J$5:$J$2162,H$1)</f>
        <v>0</v>
      </c>
      <c r="I153" s="80">
        <f>SUMIFS('октябрь 2024'!$G$5:$G$2162,'октябрь 2024'!$D$5:$D$2162,$B153,'октябрь 2024'!$J$5:$J$2162,I$1)</f>
        <v>0</v>
      </c>
      <c r="J153" s="80">
        <f>SUMIFS('октябрь 2024'!$G$5:$G$2162,'октябрь 2024'!$D$5:$D$2162,$B153,'октябрь 2024'!$J$5:$J$2162,J$1)</f>
        <v>0</v>
      </c>
      <c r="K153" s="80">
        <f>SUMIFS('октябрь 2024'!$G$5:$G$2162,'октябрь 2024'!$D$5:$D$2162,$B153,'октябрь 2024'!$J$5:$J$2162,K$1)</f>
        <v>0</v>
      </c>
      <c r="L153" s="80">
        <f>SUMIFS('октябрь 2024'!$G$5:$G$2162,'октябрь 2024'!$D$5:$D$2162,$B153,'октябрь 2024'!$J$5:$J$2162,L$1)</f>
        <v>0</v>
      </c>
      <c r="M153" s="80">
        <f>SUMIFS('октябрь 2024'!$G$5:$G$2162,'октябрь 2024'!$D$5:$D$2162,$B153,'октябрь 2024'!$J$5:$J$2162,M$1)</f>
        <v>0</v>
      </c>
      <c r="N153" s="80">
        <f>SUMIFS('октябрь 2024'!$G$5:$G$2162,'октябрь 2024'!$D$5:$D$2162,$B153,'октябрь 2024'!$J$5:$J$2162,N$1)</f>
        <v>0</v>
      </c>
      <c r="O153" s="80">
        <f>SUMIFS('октябрь 2024'!$G$5:$G$2162,'октябрь 2024'!$D$5:$D$2162,$B153,'октябрь 2024'!$J$5:$J$2162,O$1)</f>
        <v>0</v>
      </c>
      <c r="P153" s="80">
        <f>SUMIFS('октябрь 2024'!$G$5:$G$2162,'октябрь 2024'!$D$5:$D$2162,$B153,'октябрь 2024'!$J$5:$J$2162,P$1)</f>
        <v>0</v>
      </c>
      <c r="Q153" s="80">
        <f>SUMIFS('октябрь 2024'!$G$5:$G$2162,'октябрь 2024'!$D$5:$D$2162,$B153,'октябрь 2024'!$J$5:$J$2162,Q$1)</f>
        <v>0</v>
      </c>
      <c r="R153" s="80">
        <f>SUMIFS('октябрь 2024'!$G$5:$G$2162,'октябрь 2024'!$D$5:$D$2162,$B153,'октябрь 2024'!$J$5:$J$2162,R$1)</f>
        <v>0</v>
      </c>
      <c r="S153" s="80">
        <f>SUMIFS('октябрь 2024'!$G$5:$G$2162,'октябрь 2024'!$D$5:$D$2162,$B153,'октябрь 2024'!$J$5:$J$2162,S$1)</f>
        <v>0</v>
      </c>
      <c r="T153" s="80">
        <f>SUMIFS('октябрь 2024'!$G$5:$G$2162,'октябрь 2024'!$D$5:$D$2162,$B153,'октябрь 2024'!$J$5:$J$2162,T$1)</f>
        <v>0</v>
      </c>
      <c r="U153" s="80">
        <f>SUMIFS('октябрь 2024'!$G$5:$G$2162,'октябрь 2024'!$D$5:$D$2162,$B153,'октябрь 2024'!$J$5:$J$2162,U$1)</f>
        <v>0</v>
      </c>
      <c r="V153" s="80">
        <f>SUMIFS('октябрь 2024'!$G$5:$G$2162,'октябрь 2024'!$D$5:$D$2162,$B153,'октябрь 2024'!$J$5:$J$2162,V$1)</f>
        <v>0</v>
      </c>
      <c r="W153" s="80">
        <f>SUMIFS('октябрь 2024'!$G$5:$G$2162,'октябрь 2024'!$D$5:$D$2162,$B153,'октябрь 2024'!$J$5:$J$2162,W$1)</f>
        <v>0</v>
      </c>
      <c r="X153" s="80">
        <f>SUMIFS('октябрь 2024'!$G$5:$G$2162,'октябрь 2024'!$D$5:$D$2162,$B153,'октябрь 2024'!$J$5:$J$2162,X$1)</f>
        <v>0</v>
      </c>
      <c r="Y153" s="80">
        <f>SUMIFS('октябрь 2024'!$G$5:$G$2162,'октябрь 2024'!$D$5:$D$2162,$B153,'октябрь 2024'!$J$5:$J$2162,Y$1)</f>
        <v>0</v>
      </c>
      <c r="Z153" s="80">
        <f>SUMIFS('октябрь 2024'!$G$5:$G$2162,'октябрь 2024'!$D$5:$D$2162,$B153,'октябрь 2024'!$J$5:$J$2162,Z$1)</f>
        <v>0</v>
      </c>
      <c r="AA153" s="80">
        <f>SUMIFS('октябрь 2024'!$G$5:$G$2162,'октябрь 2024'!$D$5:$D$2162,$B153,'октябрь 2024'!$J$5:$J$2162,AA$1)</f>
        <v>0</v>
      </c>
      <c r="AB153" s="80">
        <f>SUMIFS('октябрь 2024'!$G$5:$G$2162,'октябрь 2024'!$D$5:$D$2162,$B153,'октябрь 2024'!$J$5:$J$2162,AB$1)</f>
        <v>0</v>
      </c>
      <c r="AC153" s="80">
        <f>SUMIFS('октябрь 2024'!$G$5:$G$2162,'октябрь 2024'!$D$5:$D$2162,$B153,'октябрь 2024'!$J$5:$J$2162,AC$1)</f>
        <v>0</v>
      </c>
      <c r="AD153" s="80">
        <f>SUMIFS('октябрь 2024'!$G$5:$G$2162,'октябрь 2024'!$D$5:$D$2162,$B153,'октябрь 2024'!$J$5:$J$2162,AD$1)</f>
        <v>0</v>
      </c>
      <c r="AE153" s="80">
        <f>SUMIFS('октябрь 2024'!$G$5:$G$2162,'октябрь 2024'!$D$5:$D$2162,$B153,'октябрь 2024'!$J$5:$J$2162,AE$1)</f>
        <v>0</v>
      </c>
      <c r="AF153" s="80">
        <f>SUMIFS('октябрь 2024'!$G$5:$G$2162,'октябрь 2024'!$D$5:$D$2162,$B153,'октябрь 2024'!$J$5:$J$2162,AF$1)</f>
        <v>0</v>
      </c>
      <c r="AG153" s="80">
        <f>SUMIFS('октябрь 2024'!$G$5:$G$2162,'октябрь 2024'!$D$5:$D$2162,$B153,'октябрь 2024'!$J$5:$J$2162,AG$1)</f>
        <v>0</v>
      </c>
      <c r="AH153" s="80">
        <f>SUMIFS('октябрь 2024'!$G$5:$G$2162,'октябрь 2024'!$D$5:$D$2162,$B153,'октябрь 2024'!$J$5:$J$2162,AH$1)</f>
        <v>0</v>
      </c>
      <c r="AI153" s="21">
        <f t="shared" si="2"/>
        <v>0</v>
      </c>
    </row>
    <row r="154" spans="2:35" ht="15" customHeight="1" x14ac:dyDescent="0.25">
      <c r="B154" s="89"/>
      <c r="C154" s="88"/>
      <c r="D154" s="80">
        <f>SUMIFS('ноябрь 2024'!$G$5:$G$2220,'ноябрь 2024'!$D$5:$D$2220,$B154,'ноябрь 2024'!$J$5:$J$2220,D$1)</f>
        <v>0</v>
      </c>
      <c r="E154" s="80">
        <f>SUMIFS('октябрь 2024'!$G$5:$G$2162,'октябрь 2024'!$D$5:$D$2162,$B154,'октябрь 2024'!$J$5:$J$2162,E$1)</f>
        <v>0</v>
      </c>
      <c r="F154" s="80">
        <f>SUMIFS('октябрь 2024'!$G$5:$G$2162,'октябрь 2024'!$D$5:$D$2162,$B154,'октябрь 2024'!$J$5:$J$2162,F$1)</f>
        <v>0</v>
      </c>
      <c r="G154" s="80">
        <f>SUMIFS('октябрь 2024'!$G$5:$G$2162,'октябрь 2024'!$D$5:$D$2162,$B154,'октябрь 2024'!$J$5:$J$2162,G$1)</f>
        <v>0</v>
      </c>
      <c r="H154" s="80">
        <f>SUMIFS('октябрь 2024'!$G$5:$G$2162,'октябрь 2024'!$D$5:$D$2162,$B154,'октябрь 2024'!$J$5:$J$2162,H$1)</f>
        <v>0</v>
      </c>
      <c r="I154" s="80">
        <f>SUMIFS('октябрь 2024'!$G$5:$G$2162,'октябрь 2024'!$D$5:$D$2162,$B154,'октябрь 2024'!$J$5:$J$2162,I$1)</f>
        <v>0</v>
      </c>
      <c r="J154" s="80">
        <f>SUMIFS('октябрь 2024'!$G$5:$G$2162,'октябрь 2024'!$D$5:$D$2162,$B154,'октябрь 2024'!$J$5:$J$2162,J$1)</f>
        <v>0</v>
      </c>
      <c r="K154" s="80">
        <f>SUMIFS('октябрь 2024'!$G$5:$G$2162,'октябрь 2024'!$D$5:$D$2162,$B154,'октябрь 2024'!$J$5:$J$2162,K$1)</f>
        <v>0</v>
      </c>
      <c r="L154" s="80">
        <f>SUMIFS('октябрь 2024'!$G$5:$G$2162,'октябрь 2024'!$D$5:$D$2162,$B154,'октябрь 2024'!$J$5:$J$2162,L$1)</f>
        <v>0</v>
      </c>
      <c r="M154" s="80">
        <f>SUMIFS('октябрь 2024'!$G$5:$G$2162,'октябрь 2024'!$D$5:$D$2162,$B154,'октябрь 2024'!$J$5:$J$2162,M$1)</f>
        <v>0</v>
      </c>
      <c r="N154" s="80">
        <f>SUMIFS('октябрь 2024'!$G$5:$G$2162,'октябрь 2024'!$D$5:$D$2162,$B154,'октябрь 2024'!$J$5:$J$2162,N$1)</f>
        <v>0</v>
      </c>
      <c r="O154" s="80">
        <f>SUMIFS('октябрь 2024'!$G$5:$G$2162,'октябрь 2024'!$D$5:$D$2162,$B154,'октябрь 2024'!$J$5:$J$2162,O$1)</f>
        <v>0</v>
      </c>
      <c r="P154" s="80">
        <f>SUMIFS('октябрь 2024'!$G$5:$G$2162,'октябрь 2024'!$D$5:$D$2162,$B154,'октябрь 2024'!$J$5:$J$2162,P$1)</f>
        <v>0</v>
      </c>
      <c r="Q154" s="80">
        <f>SUMIFS('октябрь 2024'!$G$5:$G$2162,'октябрь 2024'!$D$5:$D$2162,$B154,'октябрь 2024'!$J$5:$J$2162,Q$1)</f>
        <v>0</v>
      </c>
      <c r="R154" s="80">
        <f>SUMIFS('октябрь 2024'!$G$5:$G$2162,'октябрь 2024'!$D$5:$D$2162,$B154,'октябрь 2024'!$J$5:$J$2162,R$1)</f>
        <v>0</v>
      </c>
      <c r="S154" s="80">
        <f>SUMIFS('октябрь 2024'!$G$5:$G$2162,'октябрь 2024'!$D$5:$D$2162,$B154,'октябрь 2024'!$J$5:$J$2162,S$1)</f>
        <v>0</v>
      </c>
      <c r="T154" s="80">
        <f>SUMIFS('октябрь 2024'!$G$5:$G$2162,'октябрь 2024'!$D$5:$D$2162,$B154,'октябрь 2024'!$J$5:$J$2162,T$1)</f>
        <v>0</v>
      </c>
      <c r="U154" s="80">
        <f>SUMIFS('октябрь 2024'!$G$5:$G$2162,'октябрь 2024'!$D$5:$D$2162,$B154,'октябрь 2024'!$J$5:$J$2162,U$1)</f>
        <v>0</v>
      </c>
      <c r="V154" s="80">
        <f>SUMIFS('октябрь 2024'!$G$5:$G$2162,'октябрь 2024'!$D$5:$D$2162,$B154,'октябрь 2024'!$J$5:$J$2162,V$1)</f>
        <v>0</v>
      </c>
      <c r="W154" s="80">
        <f>SUMIFS('октябрь 2024'!$G$5:$G$2162,'октябрь 2024'!$D$5:$D$2162,$B154,'октябрь 2024'!$J$5:$J$2162,W$1)</f>
        <v>0</v>
      </c>
      <c r="X154" s="80">
        <f>SUMIFS('октябрь 2024'!$G$5:$G$2162,'октябрь 2024'!$D$5:$D$2162,$B154,'октябрь 2024'!$J$5:$J$2162,X$1)</f>
        <v>0</v>
      </c>
      <c r="Y154" s="80">
        <f>SUMIFS('октябрь 2024'!$G$5:$G$2162,'октябрь 2024'!$D$5:$D$2162,$B154,'октябрь 2024'!$J$5:$J$2162,Y$1)</f>
        <v>0</v>
      </c>
      <c r="Z154" s="80">
        <f>SUMIFS('октябрь 2024'!$G$5:$G$2162,'октябрь 2024'!$D$5:$D$2162,$B154,'октябрь 2024'!$J$5:$J$2162,Z$1)</f>
        <v>0</v>
      </c>
      <c r="AA154" s="80">
        <f>SUMIFS('октябрь 2024'!$G$5:$G$2162,'октябрь 2024'!$D$5:$D$2162,$B154,'октябрь 2024'!$J$5:$J$2162,AA$1)</f>
        <v>0</v>
      </c>
      <c r="AB154" s="80">
        <f>SUMIFS('октябрь 2024'!$G$5:$G$2162,'октябрь 2024'!$D$5:$D$2162,$B154,'октябрь 2024'!$J$5:$J$2162,AB$1)</f>
        <v>0</v>
      </c>
      <c r="AC154" s="80">
        <f>SUMIFS('октябрь 2024'!$G$5:$G$2162,'октябрь 2024'!$D$5:$D$2162,$B154,'октябрь 2024'!$J$5:$J$2162,AC$1)</f>
        <v>0</v>
      </c>
      <c r="AD154" s="80">
        <f>SUMIFS('октябрь 2024'!$G$5:$G$2162,'октябрь 2024'!$D$5:$D$2162,$B154,'октябрь 2024'!$J$5:$J$2162,AD$1)</f>
        <v>0</v>
      </c>
      <c r="AE154" s="80">
        <f>SUMIFS('октябрь 2024'!$G$5:$G$2162,'октябрь 2024'!$D$5:$D$2162,$B154,'октябрь 2024'!$J$5:$J$2162,AE$1)</f>
        <v>0</v>
      </c>
      <c r="AF154" s="80">
        <f>SUMIFS('октябрь 2024'!$G$5:$G$2162,'октябрь 2024'!$D$5:$D$2162,$B154,'октябрь 2024'!$J$5:$J$2162,AF$1)</f>
        <v>0</v>
      </c>
      <c r="AG154" s="80">
        <f>SUMIFS('октябрь 2024'!$G$5:$G$2162,'октябрь 2024'!$D$5:$D$2162,$B154,'октябрь 2024'!$J$5:$J$2162,AG$1)</f>
        <v>0</v>
      </c>
      <c r="AH154" s="80">
        <f>SUMIFS('октябрь 2024'!$G$5:$G$2162,'октябрь 2024'!$D$5:$D$2162,$B154,'октябрь 2024'!$J$5:$J$2162,AH$1)</f>
        <v>0</v>
      </c>
      <c r="AI154" s="21">
        <f>SUM(D154:AH154)</f>
        <v>0</v>
      </c>
    </row>
    <row r="155" spans="2:35" ht="15" hidden="1" customHeight="1" x14ac:dyDescent="0.25">
      <c r="B155" s="89"/>
      <c r="C155" s="88"/>
      <c r="D155" s="80">
        <f>SUMIFS('октябрь 2024'!$G$5:$G$2162,'октябрь 2024'!$D$5:$D$2162,$B155,'октябрь 2024'!$J$5:$J$2162,D$1)</f>
        <v>0</v>
      </c>
      <c r="E155" s="80">
        <f>SUMIFS('октябрь 2024'!$G$5:$G$2162,'октябрь 2024'!$D$5:$D$2162,$B155,'октябрь 2024'!$J$5:$J$2162,E$1)</f>
        <v>0</v>
      </c>
      <c r="F155" s="80">
        <f>SUMIFS('октябрь 2024'!$G$5:$G$2162,'октябрь 2024'!$D$5:$D$2162,$B155,'октябрь 2024'!$J$5:$J$2162,F$1)</f>
        <v>0</v>
      </c>
      <c r="G155" s="80">
        <f>SUMIFS('октябрь 2024'!$G$5:$G$2162,'октябрь 2024'!$D$5:$D$2162,$B155,'октябрь 2024'!$J$5:$J$2162,G$1)</f>
        <v>0</v>
      </c>
      <c r="H155" s="80">
        <f>SUMIFS('октябрь 2024'!$G$5:$G$2162,'октябрь 2024'!$D$5:$D$2162,$B155,'октябрь 2024'!$J$5:$J$2162,H$1)</f>
        <v>0</v>
      </c>
      <c r="I155" s="80">
        <f>SUMIFS('октябрь 2024'!$G$5:$G$2162,'октябрь 2024'!$D$5:$D$2162,$B155,'октябрь 2024'!$J$5:$J$2162,I$1)</f>
        <v>0</v>
      </c>
      <c r="J155" s="80">
        <f>SUMIFS('октябрь 2024'!$G$5:$G$2162,'октябрь 2024'!$D$5:$D$2162,$B155,'октябрь 2024'!$J$5:$J$2162,J$1)</f>
        <v>0</v>
      </c>
      <c r="K155" s="80">
        <f>SUMIFS('октябрь 2024'!$G$5:$G$2162,'октябрь 2024'!$D$5:$D$2162,$B155,'октябрь 2024'!$J$5:$J$2162,K$1)</f>
        <v>0</v>
      </c>
      <c r="L155" s="80">
        <f>SUMIFS('октябрь 2024'!$G$5:$G$2162,'октябрь 2024'!$D$5:$D$2162,$B155,'октябрь 2024'!$J$5:$J$2162,L$1)</f>
        <v>0</v>
      </c>
      <c r="M155" s="80">
        <f>SUMIFS('октябрь 2024'!$G$5:$G$2162,'октябрь 2024'!$D$5:$D$2162,$B155,'октябрь 2024'!$J$5:$J$2162,M$1)</f>
        <v>0</v>
      </c>
      <c r="N155" s="80">
        <f>SUMIFS('октябрь 2024'!$G$5:$G$2162,'октябрь 2024'!$D$5:$D$2162,$B155,'октябрь 2024'!$J$5:$J$2162,N$1)</f>
        <v>0</v>
      </c>
      <c r="O155" s="80">
        <f>SUMIFS('октябрь 2024'!$G$5:$G$2162,'октябрь 2024'!$D$5:$D$2162,$B155,'октябрь 2024'!$J$5:$J$2162,O$1)</f>
        <v>0</v>
      </c>
      <c r="P155" s="80">
        <f>SUMIFS('октябрь 2024'!$G$5:$G$2162,'октябрь 2024'!$D$5:$D$2162,$B155,'октябрь 2024'!$J$5:$J$2162,P$1)</f>
        <v>0</v>
      </c>
      <c r="Q155" s="80">
        <f>SUMIFS('октябрь 2024'!$G$5:$G$2162,'октябрь 2024'!$D$5:$D$2162,$B155,'октябрь 2024'!$J$5:$J$2162,Q$1)</f>
        <v>0</v>
      </c>
      <c r="R155" s="80">
        <f>SUMIFS('октябрь 2024'!$G$5:$G$2162,'октябрь 2024'!$D$5:$D$2162,$B155,'октябрь 2024'!$J$5:$J$2162,R$1)</f>
        <v>0</v>
      </c>
      <c r="S155" s="80">
        <f>SUMIFS('октябрь 2024'!$G$5:$G$2162,'октябрь 2024'!$D$5:$D$2162,$B155,'октябрь 2024'!$J$5:$J$2162,S$1)</f>
        <v>0</v>
      </c>
      <c r="T155" s="80">
        <f>SUMIFS('октябрь 2024'!$G$5:$G$2162,'октябрь 2024'!$D$5:$D$2162,$B155,'октябрь 2024'!$J$5:$J$2162,T$1)</f>
        <v>0</v>
      </c>
      <c r="U155" s="80">
        <f>SUMIFS('октябрь 2024'!$G$5:$G$2162,'октябрь 2024'!$D$5:$D$2162,$B155,'октябрь 2024'!$J$5:$J$2162,U$1)</f>
        <v>0</v>
      </c>
      <c r="V155" s="80">
        <f>SUMIFS('октябрь 2024'!$G$5:$G$2162,'октябрь 2024'!$D$5:$D$2162,$B155,'октябрь 2024'!$J$5:$J$2162,V$1)</f>
        <v>0</v>
      </c>
      <c r="W155" s="80">
        <f>SUMIFS('октябрь 2024'!$G$5:$G$2162,'октябрь 2024'!$D$5:$D$2162,$B155,'октябрь 2024'!$J$5:$J$2162,W$1)</f>
        <v>0</v>
      </c>
      <c r="X155" s="80">
        <f>SUMIFS('октябрь 2024'!$G$5:$G$2162,'октябрь 2024'!$D$5:$D$2162,$B155,'октябрь 2024'!$J$5:$J$2162,X$1)</f>
        <v>0</v>
      </c>
      <c r="Y155" s="80">
        <f>SUMIFS('октябрь 2024'!$G$5:$G$2162,'октябрь 2024'!$D$5:$D$2162,$B155,'октябрь 2024'!$J$5:$J$2162,Y$1)</f>
        <v>0</v>
      </c>
      <c r="Z155" s="80">
        <f>SUMIFS('октябрь 2024'!$G$5:$G$2162,'октябрь 2024'!$D$5:$D$2162,$B155,'октябрь 2024'!$J$5:$J$2162,Z$1)</f>
        <v>0</v>
      </c>
      <c r="AA155" s="80">
        <f>SUMIFS('октябрь 2024'!$G$5:$G$2162,'октябрь 2024'!$D$5:$D$2162,$B155,'октябрь 2024'!$J$5:$J$2162,AA$1)</f>
        <v>0</v>
      </c>
      <c r="AB155" s="80">
        <f>SUMIFS('октябрь 2024'!$G$5:$G$2162,'октябрь 2024'!$D$5:$D$2162,$B155,'октябрь 2024'!$J$5:$J$2162,AB$1)</f>
        <v>0</v>
      </c>
      <c r="AC155" s="80">
        <f>SUMIFS('октябрь 2024'!$G$5:$G$2162,'октябрь 2024'!$D$5:$D$2162,$B155,'октябрь 2024'!$J$5:$J$2162,AC$1)</f>
        <v>0</v>
      </c>
      <c r="AD155" s="80">
        <f>SUMIFS('октябрь 2024'!$G$5:$G$2162,'октябрь 2024'!$D$5:$D$2162,$B155,'октябрь 2024'!$J$5:$J$2162,AD$1)</f>
        <v>0</v>
      </c>
      <c r="AE155" s="80">
        <f>SUMIFS('октябрь 2024'!$G$5:$G$2162,'октябрь 2024'!$D$5:$D$2162,$B155,'октябрь 2024'!$J$5:$J$2162,AE$1)</f>
        <v>0</v>
      </c>
      <c r="AF155" s="80">
        <f>SUMIFS('октябрь 2024'!$G$5:$G$2162,'октябрь 2024'!$D$5:$D$2162,$B155,'октябрь 2024'!$J$5:$J$2162,AF$1)</f>
        <v>0</v>
      </c>
      <c r="AG155" s="80">
        <f>SUMIFS('октябрь 2024'!$G$5:$G$2162,'октябрь 2024'!$D$5:$D$2162,$B155,'октябрь 2024'!$J$5:$J$2162,AG$1)</f>
        <v>0</v>
      </c>
      <c r="AH155" s="80">
        <f>SUMIFS('октябрь 2024'!$G$5:$G$2162,'октябрь 2024'!$D$5:$D$2162,$B155,'октябрь 2024'!$J$5:$J$2162,AH$1)</f>
        <v>0</v>
      </c>
      <c r="AI155" s="87"/>
    </row>
    <row r="156" spans="2:35" ht="15" hidden="1" customHeight="1" x14ac:dyDescent="0.25">
      <c r="B156" s="89"/>
      <c r="C156" s="88"/>
      <c r="D156" s="80">
        <f>SUMIFS('октябрь 2024'!$G$5:$G$2162,'октябрь 2024'!$D$5:$D$2162,$B156,'октябрь 2024'!$J$5:$J$2162,D$1)</f>
        <v>0</v>
      </c>
      <c r="E156" s="80">
        <f>SUMIFS('октябрь 2024'!$G$5:$G$2162,'октябрь 2024'!$D$5:$D$2162,$B156,'октябрь 2024'!$J$5:$J$2162,E$1)</f>
        <v>0</v>
      </c>
      <c r="F156" s="80">
        <f>SUMIFS('октябрь 2024'!$G$5:$G$2162,'октябрь 2024'!$D$5:$D$2162,$B156,'октябрь 2024'!$J$5:$J$2162,F$1)</f>
        <v>0</v>
      </c>
      <c r="G156" s="80">
        <f>SUMIFS('октябрь 2024'!$G$5:$G$2162,'октябрь 2024'!$D$5:$D$2162,$B156,'октябрь 2024'!$J$5:$J$2162,G$1)</f>
        <v>0</v>
      </c>
      <c r="H156" s="80">
        <f>SUMIFS('октябрь 2024'!$G$5:$G$2162,'октябрь 2024'!$D$5:$D$2162,$B156,'октябрь 2024'!$J$5:$J$2162,H$1)</f>
        <v>0</v>
      </c>
      <c r="I156" s="80">
        <f>SUMIFS('октябрь 2024'!$G$5:$G$2162,'октябрь 2024'!$D$5:$D$2162,$B156,'октябрь 2024'!$J$5:$J$2162,I$1)</f>
        <v>0</v>
      </c>
      <c r="J156" s="80">
        <f>SUMIFS('октябрь 2024'!$G$5:$G$2162,'октябрь 2024'!$D$5:$D$2162,$B156,'октябрь 2024'!$J$5:$J$2162,J$1)</f>
        <v>0</v>
      </c>
      <c r="K156" s="80">
        <f>SUMIFS('октябрь 2024'!$G$5:$G$2162,'октябрь 2024'!$D$5:$D$2162,$B156,'октябрь 2024'!$J$5:$J$2162,K$1)</f>
        <v>0</v>
      </c>
      <c r="L156" s="80">
        <f>SUMIFS('октябрь 2024'!$G$5:$G$2162,'октябрь 2024'!$D$5:$D$2162,$B156,'октябрь 2024'!$J$5:$J$2162,L$1)</f>
        <v>0</v>
      </c>
      <c r="M156" s="80">
        <f>SUMIFS('октябрь 2024'!$G$5:$G$2162,'октябрь 2024'!$D$5:$D$2162,$B156,'октябрь 2024'!$J$5:$J$2162,M$1)</f>
        <v>0</v>
      </c>
      <c r="N156" s="80">
        <f>SUMIFS('октябрь 2024'!$G$5:$G$2162,'октябрь 2024'!$D$5:$D$2162,$B156,'октябрь 2024'!$J$5:$J$2162,N$1)</f>
        <v>0</v>
      </c>
      <c r="O156" s="80">
        <f>SUMIFS('октябрь 2024'!$G$5:$G$2162,'октябрь 2024'!$D$5:$D$2162,$B156,'октябрь 2024'!$J$5:$J$2162,O$1)</f>
        <v>0</v>
      </c>
      <c r="P156" s="80">
        <f>SUMIFS('октябрь 2024'!$G$5:$G$2162,'октябрь 2024'!$D$5:$D$2162,$B156,'октябрь 2024'!$J$5:$J$2162,P$1)</f>
        <v>0</v>
      </c>
      <c r="Q156" s="80">
        <f>SUMIFS('октябрь 2024'!$G$5:$G$2162,'октябрь 2024'!$D$5:$D$2162,$B156,'октябрь 2024'!$J$5:$J$2162,Q$1)</f>
        <v>0</v>
      </c>
      <c r="R156" s="80">
        <f>SUMIFS('октябрь 2024'!$G$5:$G$2162,'октябрь 2024'!$D$5:$D$2162,$B156,'октябрь 2024'!$J$5:$J$2162,R$1)</f>
        <v>0</v>
      </c>
      <c r="S156" s="80">
        <f>SUMIFS('октябрь 2024'!$G$5:$G$2162,'октябрь 2024'!$D$5:$D$2162,$B156,'октябрь 2024'!$J$5:$J$2162,S$1)</f>
        <v>0</v>
      </c>
      <c r="T156" s="80">
        <f>SUMIFS('октябрь 2024'!$G$5:$G$2162,'октябрь 2024'!$D$5:$D$2162,$B156,'октябрь 2024'!$J$5:$J$2162,T$1)</f>
        <v>0</v>
      </c>
      <c r="U156" s="80">
        <f>SUMIFS('октябрь 2024'!$G$5:$G$2162,'октябрь 2024'!$D$5:$D$2162,$B156,'октябрь 2024'!$J$5:$J$2162,U$1)</f>
        <v>0</v>
      </c>
      <c r="V156" s="80">
        <f>SUMIFS('октябрь 2024'!$G$5:$G$2162,'октябрь 2024'!$D$5:$D$2162,$B156,'октябрь 2024'!$J$5:$J$2162,V$1)</f>
        <v>0</v>
      </c>
      <c r="W156" s="80">
        <f>SUMIFS('октябрь 2024'!$G$5:$G$2162,'октябрь 2024'!$D$5:$D$2162,$B156,'октябрь 2024'!$J$5:$J$2162,W$1)</f>
        <v>0</v>
      </c>
      <c r="X156" s="80">
        <f>SUMIFS('октябрь 2024'!$G$5:$G$2162,'октябрь 2024'!$D$5:$D$2162,$B156,'октябрь 2024'!$J$5:$J$2162,X$1)</f>
        <v>0</v>
      </c>
      <c r="Y156" s="80">
        <f>SUMIFS('октябрь 2024'!$G$5:$G$2162,'октябрь 2024'!$D$5:$D$2162,$B156,'октябрь 2024'!$J$5:$J$2162,Y$1)</f>
        <v>0</v>
      </c>
      <c r="Z156" s="80">
        <f>SUMIFS('октябрь 2024'!$G$5:$G$2162,'октябрь 2024'!$D$5:$D$2162,$B156,'октябрь 2024'!$J$5:$J$2162,Z$1)</f>
        <v>0</v>
      </c>
      <c r="AA156" s="80">
        <f>SUMIFS('октябрь 2024'!$G$5:$G$2162,'октябрь 2024'!$D$5:$D$2162,$B156,'октябрь 2024'!$J$5:$J$2162,AA$1)</f>
        <v>0</v>
      </c>
      <c r="AB156" s="80">
        <f>SUMIFS('октябрь 2024'!$G$5:$G$2162,'октябрь 2024'!$D$5:$D$2162,$B156,'октябрь 2024'!$J$5:$J$2162,AB$1)</f>
        <v>0</v>
      </c>
      <c r="AC156" s="80">
        <f>SUMIFS('октябрь 2024'!$G$5:$G$2162,'октябрь 2024'!$D$5:$D$2162,$B156,'октябрь 2024'!$J$5:$J$2162,AC$1)</f>
        <v>0</v>
      </c>
      <c r="AD156" s="80">
        <f>SUMIFS('октябрь 2024'!$G$5:$G$2162,'октябрь 2024'!$D$5:$D$2162,$B156,'октябрь 2024'!$J$5:$J$2162,AD$1)</f>
        <v>0</v>
      </c>
      <c r="AE156" s="80">
        <f>SUMIFS('октябрь 2024'!$G$5:$G$2162,'октябрь 2024'!$D$5:$D$2162,$B156,'октябрь 2024'!$J$5:$J$2162,AE$1)</f>
        <v>0</v>
      </c>
      <c r="AF156" s="80">
        <f>SUMIFS('октябрь 2024'!$G$5:$G$2162,'октябрь 2024'!$D$5:$D$2162,$B156,'октябрь 2024'!$J$5:$J$2162,AF$1)</f>
        <v>0</v>
      </c>
      <c r="AG156" s="80">
        <f>SUMIFS('октябрь 2024'!$G$5:$G$2162,'октябрь 2024'!$D$5:$D$2162,$B156,'октябрь 2024'!$J$5:$J$2162,AG$1)</f>
        <v>0</v>
      </c>
      <c r="AH156" s="80">
        <f>SUMIFS('октябрь 2024'!$G$5:$G$2162,'октябрь 2024'!$D$5:$D$2162,$B156,'октябрь 2024'!$J$5:$J$2162,AH$1)</f>
        <v>0</v>
      </c>
      <c r="AI156" s="87"/>
    </row>
    <row r="157" spans="2:35" ht="15" hidden="1" customHeight="1" x14ac:dyDescent="0.25">
      <c r="B157" s="93"/>
      <c r="C157" s="88"/>
      <c r="D157" s="80">
        <f>SUMIFS('октябрь 2024'!$G$5:$G$2162,'октябрь 2024'!$D$5:$D$2162,$B157,'октябрь 2024'!$J$5:$J$2162,D$1)</f>
        <v>0</v>
      </c>
      <c r="E157" s="80">
        <f>SUMIFS('октябрь 2024'!$G$5:$G$2162,'октябрь 2024'!$D$5:$D$2162,$B157,'октябрь 2024'!$J$5:$J$2162,E$1)</f>
        <v>0</v>
      </c>
      <c r="F157" s="80">
        <f>SUMIFS('октябрь 2024'!$G$5:$G$2162,'октябрь 2024'!$D$5:$D$2162,$B157,'октябрь 2024'!$J$5:$J$2162,F$1)</f>
        <v>0</v>
      </c>
      <c r="G157" s="80">
        <f>SUMIFS('октябрь 2024'!$G$5:$G$2162,'октябрь 2024'!$D$5:$D$2162,$B157,'октябрь 2024'!$J$5:$J$2162,G$1)</f>
        <v>0</v>
      </c>
      <c r="H157" s="80">
        <f>SUMIFS('октябрь 2024'!$G$5:$G$2162,'октябрь 2024'!$D$5:$D$2162,$B157,'октябрь 2024'!$J$5:$J$2162,H$1)</f>
        <v>0</v>
      </c>
      <c r="I157" s="80">
        <f>SUMIFS('октябрь 2024'!$G$5:$G$2162,'октябрь 2024'!$D$5:$D$2162,$B157,'октябрь 2024'!$J$5:$J$2162,I$1)</f>
        <v>0</v>
      </c>
      <c r="J157" s="80">
        <f>SUMIFS('октябрь 2024'!$G$5:$G$2162,'октябрь 2024'!$D$5:$D$2162,$B157,'октябрь 2024'!$J$5:$J$2162,J$1)</f>
        <v>0</v>
      </c>
      <c r="K157" s="80">
        <f>SUMIFS('октябрь 2024'!$G$5:$G$2162,'октябрь 2024'!$D$5:$D$2162,$B157,'октябрь 2024'!$J$5:$J$2162,K$1)</f>
        <v>0</v>
      </c>
      <c r="L157" s="80">
        <f>SUMIFS('октябрь 2024'!$G$5:$G$2162,'октябрь 2024'!$D$5:$D$2162,$B157,'октябрь 2024'!$J$5:$J$2162,L$1)</f>
        <v>0</v>
      </c>
      <c r="M157" s="80">
        <f>SUMIFS('октябрь 2024'!$G$5:$G$2162,'октябрь 2024'!$D$5:$D$2162,$B157,'октябрь 2024'!$J$5:$J$2162,M$1)</f>
        <v>0</v>
      </c>
      <c r="N157" s="80">
        <f>SUMIFS('октябрь 2024'!$G$5:$G$2162,'октябрь 2024'!$D$5:$D$2162,$B157,'октябрь 2024'!$J$5:$J$2162,N$1)</f>
        <v>0</v>
      </c>
      <c r="O157" s="80">
        <f>SUMIFS('октябрь 2024'!$G$5:$G$2162,'октябрь 2024'!$D$5:$D$2162,$B157,'октябрь 2024'!$J$5:$J$2162,O$1)</f>
        <v>0</v>
      </c>
      <c r="P157" s="80">
        <f>SUMIFS('октябрь 2024'!$G$5:$G$2162,'октябрь 2024'!$D$5:$D$2162,$B157,'октябрь 2024'!$J$5:$J$2162,P$1)</f>
        <v>0</v>
      </c>
      <c r="Q157" s="80">
        <f>SUMIFS('октябрь 2024'!$G$5:$G$2162,'октябрь 2024'!$D$5:$D$2162,$B157,'октябрь 2024'!$J$5:$J$2162,Q$1)</f>
        <v>0</v>
      </c>
      <c r="R157" s="80">
        <f>SUMIFS('октябрь 2024'!$G$5:$G$2162,'октябрь 2024'!$D$5:$D$2162,$B157,'октябрь 2024'!$J$5:$J$2162,R$1)</f>
        <v>0</v>
      </c>
      <c r="S157" s="80">
        <f>SUMIFS('октябрь 2024'!$G$5:$G$2162,'октябрь 2024'!$D$5:$D$2162,$B157,'октябрь 2024'!$J$5:$J$2162,S$1)</f>
        <v>0</v>
      </c>
      <c r="T157" s="80">
        <f>SUMIFS('октябрь 2024'!$G$5:$G$2162,'октябрь 2024'!$D$5:$D$2162,$B157,'октябрь 2024'!$J$5:$J$2162,T$1)</f>
        <v>0</v>
      </c>
      <c r="U157" s="80">
        <f>SUMIFS('октябрь 2024'!$G$5:$G$2162,'октябрь 2024'!$D$5:$D$2162,$B157,'октябрь 2024'!$J$5:$J$2162,U$1)</f>
        <v>0</v>
      </c>
      <c r="V157" s="80">
        <f>SUMIFS('октябрь 2024'!$G$5:$G$2162,'октябрь 2024'!$D$5:$D$2162,$B157,'октябрь 2024'!$J$5:$J$2162,V$1)</f>
        <v>0</v>
      </c>
      <c r="W157" s="80">
        <f>SUMIFS('октябрь 2024'!$G$5:$G$2162,'октябрь 2024'!$D$5:$D$2162,$B157,'октябрь 2024'!$J$5:$J$2162,W$1)</f>
        <v>0</v>
      </c>
      <c r="X157" s="80">
        <f>SUMIFS('октябрь 2024'!$G$5:$G$2162,'октябрь 2024'!$D$5:$D$2162,$B157,'октябрь 2024'!$J$5:$J$2162,X$1)</f>
        <v>0</v>
      </c>
      <c r="Y157" s="80">
        <f>SUMIFS('октябрь 2024'!$G$5:$G$2162,'октябрь 2024'!$D$5:$D$2162,$B157,'октябрь 2024'!$J$5:$J$2162,Y$1)</f>
        <v>0</v>
      </c>
      <c r="Z157" s="80">
        <f>SUMIFS('октябрь 2024'!$G$5:$G$2162,'октябрь 2024'!$D$5:$D$2162,$B157,'октябрь 2024'!$J$5:$J$2162,Z$1)</f>
        <v>0</v>
      </c>
      <c r="AA157" s="80">
        <f>SUMIFS('октябрь 2024'!$G$5:$G$2162,'октябрь 2024'!$D$5:$D$2162,$B157,'октябрь 2024'!$J$5:$J$2162,AA$1)</f>
        <v>0</v>
      </c>
      <c r="AB157" s="80">
        <f>SUMIFS('октябрь 2024'!$G$5:$G$2162,'октябрь 2024'!$D$5:$D$2162,$B157,'октябрь 2024'!$J$5:$J$2162,AB$1)</f>
        <v>0</v>
      </c>
      <c r="AC157" s="80">
        <f>SUMIFS('октябрь 2024'!$G$5:$G$2162,'октябрь 2024'!$D$5:$D$2162,$B157,'октябрь 2024'!$J$5:$J$2162,AC$1)</f>
        <v>0</v>
      </c>
      <c r="AD157" s="80">
        <f>SUMIFS('октябрь 2024'!$G$5:$G$2162,'октябрь 2024'!$D$5:$D$2162,$B157,'октябрь 2024'!$J$5:$J$2162,AD$1)</f>
        <v>0</v>
      </c>
      <c r="AE157" s="80">
        <f>SUMIFS('октябрь 2024'!$G$5:$G$2162,'октябрь 2024'!$D$5:$D$2162,$B157,'октябрь 2024'!$J$5:$J$2162,AE$1)</f>
        <v>0</v>
      </c>
      <c r="AF157" s="80">
        <f>SUMIFS('октябрь 2024'!$G$5:$G$2162,'октябрь 2024'!$D$5:$D$2162,$B157,'октябрь 2024'!$J$5:$J$2162,AF$1)</f>
        <v>0</v>
      </c>
      <c r="AG157" s="80">
        <f>SUMIFS('октябрь 2024'!$G$5:$G$2162,'октябрь 2024'!$D$5:$D$2162,$B157,'октябрь 2024'!$J$5:$J$2162,AG$1)</f>
        <v>0</v>
      </c>
      <c r="AH157" s="80">
        <f>SUMIFS('октябрь 2024'!$G$5:$G$2162,'октябрь 2024'!$D$5:$D$2162,$B157,'октябрь 2024'!$J$5:$J$2162,AH$1)</f>
        <v>0</v>
      </c>
      <c r="AI157" s="87"/>
    </row>
    <row r="158" spans="2:35" ht="15" hidden="1" customHeight="1" x14ac:dyDescent="0.25">
      <c r="B158" s="93"/>
      <c r="C158" s="91"/>
      <c r="D158" s="80">
        <f>SUMIFS('октябрь 2024'!$G$5:$G$2162,'октябрь 2024'!$D$5:$D$2162,$B158,'октябрь 2024'!$J$5:$J$2162,D$1)</f>
        <v>0</v>
      </c>
      <c r="E158" s="80">
        <f>SUMIFS('октябрь 2024'!$G$5:$G$2162,'октябрь 2024'!$D$5:$D$2162,$B158,'октябрь 2024'!$J$5:$J$2162,E$1)</f>
        <v>0</v>
      </c>
      <c r="F158" s="80">
        <f>SUMIFS('октябрь 2024'!$G$5:$G$2162,'октябрь 2024'!$D$5:$D$2162,$B158,'октябрь 2024'!$J$5:$J$2162,F$1)</f>
        <v>0</v>
      </c>
      <c r="G158" s="80">
        <f>SUMIFS('октябрь 2024'!$G$5:$G$2162,'октябрь 2024'!$D$5:$D$2162,$B158,'октябрь 2024'!$J$5:$J$2162,G$1)</f>
        <v>0</v>
      </c>
      <c r="H158" s="80">
        <f>SUMIFS('октябрь 2024'!$G$5:$G$2162,'октябрь 2024'!$D$5:$D$2162,$B158,'октябрь 2024'!$J$5:$J$2162,H$1)</f>
        <v>0</v>
      </c>
      <c r="I158" s="80">
        <f>SUMIFS('октябрь 2024'!$G$5:$G$2162,'октябрь 2024'!$D$5:$D$2162,$B158,'октябрь 2024'!$J$5:$J$2162,I$1)</f>
        <v>0</v>
      </c>
      <c r="J158" s="80">
        <f>SUMIFS('октябрь 2024'!$G$5:$G$2162,'октябрь 2024'!$D$5:$D$2162,$B158,'октябрь 2024'!$J$5:$J$2162,J$1)</f>
        <v>0</v>
      </c>
      <c r="K158" s="80">
        <f>SUMIFS('октябрь 2024'!$G$5:$G$2162,'октябрь 2024'!$D$5:$D$2162,$B158,'октябрь 2024'!$J$5:$J$2162,K$1)</f>
        <v>0</v>
      </c>
      <c r="L158" s="80">
        <f>SUMIFS('октябрь 2024'!$G$5:$G$2162,'октябрь 2024'!$D$5:$D$2162,$B158,'октябрь 2024'!$J$5:$J$2162,L$1)</f>
        <v>0</v>
      </c>
      <c r="M158" s="80">
        <f>SUMIFS('октябрь 2024'!$G$5:$G$2162,'октябрь 2024'!$D$5:$D$2162,$B158,'октябрь 2024'!$J$5:$J$2162,M$1)</f>
        <v>0</v>
      </c>
      <c r="N158" s="80">
        <f>SUMIFS('октябрь 2024'!$G$5:$G$2162,'октябрь 2024'!$D$5:$D$2162,$B158,'октябрь 2024'!$J$5:$J$2162,N$1)</f>
        <v>0</v>
      </c>
      <c r="O158" s="80">
        <f>SUMIFS('октябрь 2024'!$G$5:$G$2162,'октябрь 2024'!$D$5:$D$2162,$B158,'октябрь 2024'!$J$5:$J$2162,O$1)</f>
        <v>0</v>
      </c>
      <c r="P158" s="80">
        <f>SUMIFS('октябрь 2024'!$G$5:$G$2162,'октябрь 2024'!$D$5:$D$2162,$B158,'октябрь 2024'!$J$5:$J$2162,P$1)</f>
        <v>0</v>
      </c>
      <c r="Q158" s="80">
        <f>SUMIFS('октябрь 2024'!$G$5:$G$2162,'октябрь 2024'!$D$5:$D$2162,$B158,'октябрь 2024'!$J$5:$J$2162,Q$1)</f>
        <v>0</v>
      </c>
      <c r="R158" s="80">
        <f>SUMIFS('октябрь 2024'!$G$5:$G$2162,'октябрь 2024'!$D$5:$D$2162,$B158,'октябрь 2024'!$J$5:$J$2162,R$1)</f>
        <v>0</v>
      </c>
      <c r="S158" s="80">
        <f>SUMIFS('октябрь 2024'!$G$5:$G$2162,'октябрь 2024'!$D$5:$D$2162,$B158,'октябрь 2024'!$J$5:$J$2162,S$1)</f>
        <v>0</v>
      </c>
      <c r="T158" s="80">
        <f>SUMIFS('октябрь 2024'!$G$5:$G$2162,'октябрь 2024'!$D$5:$D$2162,$B158,'октябрь 2024'!$J$5:$J$2162,T$1)</f>
        <v>0</v>
      </c>
      <c r="U158" s="80">
        <f>SUMIFS('октябрь 2024'!$G$5:$G$2162,'октябрь 2024'!$D$5:$D$2162,$B158,'октябрь 2024'!$J$5:$J$2162,U$1)</f>
        <v>0</v>
      </c>
      <c r="V158" s="80">
        <f>SUMIFS('октябрь 2024'!$G$5:$G$2162,'октябрь 2024'!$D$5:$D$2162,$B158,'октябрь 2024'!$J$5:$J$2162,V$1)</f>
        <v>0</v>
      </c>
      <c r="W158" s="80">
        <f>SUMIFS('октябрь 2024'!$G$5:$G$2162,'октябрь 2024'!$D$5:$D$2162,$B158,'октябрь 2024'!$J$5:$J$2162,W$1)</f>
        <v>0</v>
      </c>
      <c r="X158" s="80">
        <f>SUMIFS('октябрь 2024'!$G$5:$G$2162,'октябрь 2024'!$D$5:$D$2162,$B158,'октябрь 2024'!$J$5:$J$2162,X$1)</f>
        <v>0</v>
      </c>
      <c r="Y158" s="80">
        <f>SUMIFS('октябрь 2024'!$G$5:$G$2162,'октябрь 2024'!$D$5:$D$2162,$B158,'октябрь 2024'!$J$5:$J$2162,Y$1)</f>
        <v>0</v>
      </c>
      <c r="Z158" s="80">
        <f>SUMIFS('октябрь 2024'!$G$5:$G$2162,'октябрь 2024'!$D$5:$D$2162,$B158,'октябрь 2024'!$J$5:$J$2162,Z$1)</f>
        <v>0</v>
      </c>
      <c r="AA158" s="80">
        <f>SUMIFS('октябрь 2024'!$G$5:$G$2162,'октябрь 2024'!$D$5:$D$2162,$B158,'октябрь 2024'!$J$5:$J$2162,AA$1)</f>
        <v>0</v>
      </c>
      <c r="AB158" s="80">
        <f>SUMIFS('октябрь 2024'!$G$5:$G$2162,'октябрь 2024'!$D$5:$D$2162,$B158,'октябрь 2024'!$J$5:$J$2162,AB$1)</f>
        <v>0</v>
      </c>
      <c r="AC158" s="80">
        <f>SUMIFS('октябрь 2024'!$G$5:$G$2162,'октябрь 2024'!$D$5:$D$2162,$B158,'октябрь 2024'!$J$5:$J$2162,AC$1)</f>
        <v>0</v>
      </c>
      <c r="AD158" s="80">
        <f>SUMIFS('октябрь 2024'!$G$5:$G$2162,'октябрь 2024'!$D$5:$D$2162,$B158,'октябрь 2024'!$J$5:$J$2162,AD$1)</f>
        <v>0</v>
      </c>
      <c r="AE158" s="80">
        <f>SUMIFS('октябрь 2024'!$G$5:$G$2162,'октябрь 2024'!$D$5:$D$2162,$B158,'октябрь 2024'!$J$5:$J$2162,AE$1)</f>
        <v>0</v>
      </c>
      <c r="AF158" s="80">
        <f>SUMIFS('октябрь 2024'!$G$5:$G$2162,'октябрь 2024'!$D$5:$D$2162,$B158,'октябрь 2024'!$J$5:$J$2162,AF$1)</f>
        <v>0</v>
      </c>
      <c r="AG158" s="80">
        <f>SUMIFS('октябрь 2024'!$G$5:$G$2162,'октябрь 2024'!$D$5:$D$2162,$B158,'октябрь 2024'!$J$5:$J$2162,AG$1)</f>
        <v>0</v>
      </c>
      <c r="AH158" s="80">
        <f>SUMIFS('октябрь 2024'!$G$5:$G$2162,'октябрь 2024'!$D$5:$D$2162,$B158,'октябрь 2024'!$J$5:$J$2162,AH$1)</f>
        <v>0</v>
      </c>
      <c r="AI158" s="87"/>
    </row>
    <row r="159" spans="2:35" ht="15" hidden="1" customHeight="1" x14ac:dyDescent="0.25">
      <c r="B159" s="89"/>
      <c r="C159" s="88"/>
      <c r="D159" s="80">
        <f>SUMIFS('октябрь 2024'!$G$5:$G$2162,'октябрь 2024'!$D$5:$D$2162,$B159,'октябрь 2024'!$J$5:$J$2162,D$1)</f>
        <v>0</v>
      </c>
      <c r="E159" s="80">
        <f>SUMIFS('октябрь 2024'!$G$5:$G$2162,'октябрь 2024'!$D$5:$D$2162,$B159,'октябрь 2024'!$J$5:$J$2162,E$1)</f>
        <v>0</v>
      </c>
      <c r="F159" s="80">
        <f>SUMIFS('октябрь 2024'!$G$5:$G$2162,'октябрь 2024'!$D$5:$D$2162,$B159,'октябрь 2024'!$J$5:$J$2162,F$1)</f>
        <v>0</v>
      </c>
      <c r="G159" s="80">
        <f>SUMIFS('октябрь 2024'!$G$5:$G$2162,'октябрь 2024'!$D$5:$D$2162,$B159,'октябрь 2024'!$J$5:$J$2162,G$1)</f>
        <v>0</v>
      </c>
      <c r="H159" s="80">
        <f>SUMIFS('октябрь 2024'!$G$5:$G$2162,'октябрь 2024'!$D$5:$D$2162,$B159,'октябрь 2024'!$J$5:$J$2162,H$1)</f>
        <v>0</v>
      </c>
      <c r="I159" s="80">
        <f>SUMIFS('октябрь 2024'!$G$5:$G$2162,'октябрь 2024'!$D$5:$D$2162,$B159,'октябрь 2024'!$J$5:$J$2162,I$1)</f>
        <v>0</v>
      </c>
      <c r="J159" s="80">
        <f>SUMIFS('октябрь 2024'!$G$5:$G$2162,'октябрь 2024'!$D$5:$D$2162,$B159,'октябрь 2024'!$J$5:$J$2162,J$1)</f>
        <v>0</v>
      </c>
      <c r="K159" s="80">
        <f>SUMIFS('октябрь 2024'!$G$5:$G$2162,'октябрь 2024'!$D$5:$D$2162,$B159,'октябрь 2024'!$J$5:$J$2162,K$1)</f>
        <v>0</v>
      </c>
      <c r="L159" s="80">
        <f>SUMIFS('октябрь 2024'!$G$5:$G$2162,'октябрь 2024'!$D$5:$D$2162,$B159,'октябрь 2024'!$J$5:$J$2162,L$1)</f>
        <v>0</v>
      </c>
      <c r="M159" s="80">
        <f>SUMIFS('октябрь 2024'!$G$5:$G$2162,'октябрь 2024'!$D$5:$D$2162,$B159,'октябрь 2024'!$J$5:$J$2162,M$1)</f>
        <v>0</v>
      </c>
      <c r="N159" s="80">
        <f>SUMIFS('октябрь 2024'!$G$5:$G$2162,'октябрь 2024'!$D$5:$D$2162,$B159,'октябрь 2024'!$J$5:$J$2162,N$1)</f>
        <v>0</v>
      </c>
      <c r="O159" s="80">
        <f>SUMIFS('октябрь 2024'!$G$5:$G$2162,'октябрь 2024'!$D$5:$D$2162,$B159,'октябрь 2024'!$J$5:$J$2162,O$1)</f>
        <v>0</v>
      </c>
      <c r="P159" s="80">
        <f>SUMIFS('октябрь 2024'!$G$5:$G$2162,'октябрь 2024'!$D$5:$D$2162,$B159,'октябрь 2024'!$J$5:$J$2162,P$1)</f>
        <v>0</v>
      </c>
      <c r="Q159" s="80">
        <f>SUMIFS('октябрь 2024'!$G$5:$G$2162,'октябрь 2024'!$D$5:$D$2162,$B159,'октябрь 2024'!$J$5:$J$2162,Q$1)</f>
        <v>0</v>
      </c>
      <c r="R159" s="80">
        <f>SUMIFS('октябрь 2024'!$G$5:$G$2162,'октябрь 2024'!$D$5:$D$2162,$B159,'октябрь 2024'!$J$5:$J$2162,R$1)</f>
        <v>0</v>
      </c>
      <c r="S159" s="80">
        <f>SUMIFS('октябрь 2024'!$G$5:$G$2162,'октябрь 2024'!$D$5:$D$2162,$B159,'октябрь 2024'!$J$5:$J$2162,S$1)</f>
        <v>0</v>
      </c>
      <c r="T159" s="80">
        <f>SUMIFS('октябрь 2024'!$G$5:$G$2162,'октябрь 2024'!$D$5:$D$2162,$B159,'октябрь 2024'!$J$5:$J$2162,T$1)</f>
        <v>0</v>
      </c>
      <c r="U159" s="80">
        <f>SUMIFS('октябрь 2024'!$G$5:$G$2162,'октябрь 2024'!$D$5:$D$2162,$B159,'октябрь 2024'!$J$5:$J$2162,U$1)</f>
        <v>0</v>
      </c>
      <c r="V159" s="80">
        <f>SUMIFS('октябрь 2024'!$G$5:$G$2162,'октябрь 2024'!$D$5:$D$2162,$B159,'октябрь 2024'!$J$5:$J$2162,V$1)</f>
        <v>0</v>
      </c>
      <c r="W159" s="80">
        <f>SUMIFS('октябрь 2024'!$G$5:$G$2162,'октябрь 2024'!$D$5:$D$2162,$B159,'октябрь 2024'!$J$5:$J$2162,W$1)</f>
        <v>0</v>
      </c>
      <c r="X159" s="80">
        <f>SUMIFS('октябрь 2024'!$G$5:$G$2162,'октябрь 2024'!$D$5:$D$2162,$B159,'октябрь 2024'!$J$5:$J$2162,X$1)</f>
        <v>0</v>
      </c>
      <c r="Y159" s="80">
        <f>SUMIFS('октябрь 2024'!$G$5:$G$2162,'октябрь 2024'!$D$5:$D$2162,$B159,'октябрь 2024'!$J$5:$J$2162,Y$1)</f>
        <v>0</v>
      </c>
      <c r="Z159" s="80">
        <f>SUMIFS('октябрь 2024'!$G$5:$G$2162,'октябрь 2024'!$D$5:$D$2162,$B159,'октябрь 2024'!$J$5:$J$2162,Z$1)</f>
        <v>0</v>
      </c>
      <c r="AA159" s="80">
        <f>SUMIFS('октябрь 2024'!$G$5:$G$2162,'октябрь 2024'!$D$5:$D$2162,$B159,'октябрь 2024'!$J$5:$J$2162,AA$1)</f>
        <v>0</v>
      </c>
      <c r="AB159" s="80">
        <f>SUMIFS('октябрь 2024'!$G$5:$G$2162,'октябрь 2024'!$D$5:$D$2162,$B159,'октябрь 2024'!$J$5:$J$2162,AB$1)</f>
        <v>0</v>
      </c>
      <c r="AC159" s="80">
        <f>SUMIFS('октябрь 2024'!$G$5:$G$2162,'октябрь 2024'!$D$5:$D$2162,$B159,'октябрь 2024'!$J$5:$J$2162,AC$1)</f>
        <v>0</v>
      </c>
      <c r="AD159" s="80">
        <f>SUMIFS('октябрь 2024'!$G$5:$G$2162,'октябрь 2024'!$D$5:$D$2162,$B159,'октябрь 2024'!$J$5:$J$2162,AD$1)</f>
        <v>0</v>
      </c>
      <c r="AE159" s="80">
        <f>SUMIFS('октябрь 2024'!$G$5:$G$2162,'октябрь 2024'!$D$5:$D$2162,$B159,'октябрь 2024'!$J$5:$J$2162,AE$1)</f>
        <v>0</v>
      </c>
      <c r="AF159" s="80">
        <f>SUMIFS('октябрь 2024'!$G$5:$G$2162,'октябрь 2024'!$D$5:$D$2162,$B159,'октябрь 2024'!$J$5:$J$2162,AF$1)</f>
        <v>0</v>
      </c>
      <c r="AG159" s="80">
        <f>SUMIFS('октябрь 2024'!$G$5:$G$2162,'октябрь 2024'!$D$5:$D$2162,$B159,'октябрь 2024'!$J$5:$J$2162,AG$1)</f>
        <v>0</v>
      </c>
      <c r="AH159" s="80">
        <f>SUMIFS('октябрь 2024'!$G$5:$G$2162,'октябрь 2024'!$D$5:$D$2162,$B159,'октябрь 2024'!$J$5:$J$2162,AH$1)</f>
        <v>0</v>
      </c>
      <c r="AI159" s="87"/>
    </row>
    <row r="160" spans="2:35" ht="15" hidden="1" customHeight="1" x14ac:dyDescent="0.25">
      <c r="B160" s="92"/>
      <c r="C160" s="91"/>
      <c r="D160" s="80">
        <f>SUMIFS('октябрь 2024'!$G$5:$G$2162,'октябрь 2024'!$D$5:$D$2162,$B160,'октябрь 2024'!$J$5:$J$2162,D$1)</f>
        <v>0</v>
      </c>
      <c r="E160" s="80">
        <f>SUMIFS('октябрь 2024'!$G$5:$G$2162,'октябрь 2024'!$D$5:$D$2162,$B160,'октябрь 2024'!$J$5:$J$2162,E$1)</f>
        <v>0</v>
      </c>
      <c r="F160" s="80">
        <f>SUMIFS('октябрь 2024'!$G$5:$G$2162,'октябрь 2024'!$D$5:$D$2162,$B160,'октябрь 2024'!$J$5:$J$2162,F$1)</f>
        <v>0</v>
      </c>
      <c r="G160" s="80">
        <f>SUMIFS('октябрь 2024'!$G$5:$G$2162,'октябрь 2024'!$D$5:$D$2162,$B160,'октябрь 2024'!$J$5:$J$2162,G$1)</f>
        <v>0</v>
      </c>
      <c r="H160" s="80">
        <f>SUMIFS('октябрь 2024'!$G$5:$G$2162,'октябрь 2024'!$D$5:$D$2162,$B160,'октябрь 2024'!$J$5:$J$2162,H$1)</f>
        <v>0</v>
      </c>
      <c r="I160" s="80">
        <f>SUMIFS('октябрь 2024'!$G$5:$G$2162,'октябрь 2024'!$D$5:$D$2162,$B160,'октябрь 2024'!$J$5:$J$2162,I$1)</f>
        <v>0</v>
      </c>
      <c r="J160" s="80">
        <f>SUMIFS('октябрь 2024'!$G$5:$G$2162,'октябрь 2024'!$D$5:$D$2162,$B160,'октябрь 2024'!$J$5:$J$2162,J$1)</f>
        <v>0</v>
      </c>
      <c r="K160" s="80">
        <f>SUMIFS('октябрь 2024'!$G$5:$G$2162,'октябрь 2024'!$D$5:$D$2162,$B160,'октябрь 2024'!$J$5:$J$2162,K$1)</f>
        <v>0</v>
      </c>
      <c r="L160" s="80">
        <f>SUMIFS('октябрь 2024'!$G$5:$G$2162,'октябрь 2024'!$D$5:$D$2162,$B160,'октябрь 2024'!$J$5:$J$2162,L$1)</f>
        <v>0</v>
      </c>
      <c r="M160" s="80">
        <f>SUMIFS('октябрь 2024'!$G$5:$G$2162,'октябрь 2024'!$D$5:$D$2162,$B160,'октябрь 2024'!$J$5:$J$2162,M$1)</f>
        <v>0</v>
      </c>
      <c r="N160" s="80">
        <f>SUMIFS('октябрь 2024'!$G$5:$G$2162,'октябрь 2024'!$D$5:$D$2162,$B160,'октябрь 2024'!$J$5:$J$2162,N$1)</f>
        <v>0</v>
      </c>
      <c r="O160" s="80">
        <f>SUMIFS('октябрь 2024'!$G$5:$G$2162,'октябрь 2024'!$D$5:$D$2162,$B160,'октябрь 2024'!$J$5:$J$2162,O$1)</f>
        <v>0</v>
      </c>
      <c r="P160" s="80">
        <f>SUMIFS('октябрь 2024'!$G$5:$G$2162,'октябрь 2024'!$D$5:$D$2162,$B160,'октябрь 2024'!$J$5:$J$2162,P$1)</f>
        <v>0</v>
      </c>
      <c r="Q160" s="80">
        <f>SUMIFS('октябрь 2024'!$G$5:$G$2162,'октябрь 2024'!$D$5:$D$2162,$B160,'октябрь 2024'!$J$5:$J$2162,Q$1)</f>
        <v>0</v>
      </c>
      <c r="R160" s="80">
        <f>SUMIFS('октябрь 2024'!$G$5:$G$2162,'октябрь 2024'!$D$5:$D$2162,$B160,'октябрь 2024'!$J$5:$J$2162,R$1)</f>
        <v>0</v>
      </c>
      <c r="S160" s="80">
        <f>SUMIFS('октябрь 2024'!$G$5:$G$2162,'октябрь 2024'!$D$5:$D$2162,$B160,'октябрь 2024'!$J$5:$J$2162,S$1)</f>
        <v>0</v>
      </c>
      <c r="T160" s="80">
        <f>SUMIFS('октябрь 2024'!$G$5:$G$2162,'октябрь 2024'!$D$5:$D$2162,$B160,'октябрь 2024'!$J$5:$J$2162,T$1)</f>
        <v>0</v>
      </c>
      <c r="U160" s="80">
        <f>SUMIFS('октябрь 2024'!$G$5:$G$2162,'октябрь 2024'!$D$5:$D$2162,$B160,'октябрь 2024'!$J$5:$J$2162,U$1)</f>
        <v>0</v>
      </c>
      <c r="V160" s="80">
        <f>SUMIFS('октябрь 2024'!$G$5:$G$2162,'октябрь 2024'!$D$5:$D$2162,$B160,'октябрь 2024'!$J$5:$J$2162,V$1)</f>
        <v>0</v>
      </c>
      <c r="W160" s="80">
        <f>SUMIFS('октябрь 2024'!$G$5:$G$2162,'октябрь 2024'!$D$5:$D$2162,$B160,'октябрь 2024'!$J$5:$J$2162,W$1)</f>
        <v>0</v>
      </c>
      <c r="X160" s="80">
        <f>SUMIFS('октябрь 2024'!$G$5:$G$2162,'октябрь 2024'!$D$5:$D$2162,$B160,'октябрь 2024'!$J$5:$J$2162,X$1)</f>
        <v>0</v>
      </c>
      <c r="Y160" s="80">
        <f>SUMIFS('октябрь 2024'!$G$5:$G$2162,'октябрь 2024'!$D$5:$D$2162,$B160,'октябрь 2024'!$J$5:$J$2162,Y$1)</f>
        <v>0</v>
      </c>
      <c r="Z160" s="80">
        <f>SUMIFS('октябрь 2024'!$G$5:$G$2162,'октябрь 2024'!$D$5:$D$2162,$B160,'октябрь 2024'!$J$5:$J$2162,Z$1)</f>
        <v>0</v>
      </c>
      <c r="AA160" s="80">
        <f>SUMIFS('октябрь 2024'!$G$5:$G$2162,'октябрь 2024'!$D$5:$D$2162,$B160,'октябрь 2024'!$J$5:$J$2162,AA$1)</f>
        <v>0</v>
      </c>
      <c r="AB160" s="80">
        <f>SUMIFS('октябрь 2024'!$G$5:$G$2162,'октябрь 2024'!$D$5:$D$2162,$B160,'октябрь 2024'!$J$5:$J$2162,AB$1)</f>
        <v>0</v>
      </c>
      <c r="AC160" s="80">
        <f>SUMIFS('октябрь 2024'!$G$5:$G$2162,'октябрь 2024'!$D$5:$D$2162,$B160,'октябрь 2024'!$J$5:$J$2162,AC$1)</f>
        <v>0</v>
      </c>
      <c r="AD160" s="80">
        <f>SUMIFS('октябрь 2024'!$G$5:$G$2162,'октябрь 2024'!$D$5:$D$2162,$B160,'октябрь 2024'!$J$5:$J$2162,AD$1)</f>
        <v>0</v>
      </c>
      <c r="AE160" s="80">
        <f>SUMIFS('октябрь 2024'!$G$5:$G$2162,'октябрь 2024'!$D$5:$D$2162,$B160,'октябрь 2024'!$J$5:$J$2162,AE$1)</f>
        <v>0</v>
      </c>
      <c r="AF160" s="80">
        <f>SUMIFS('октябрь 2024'!$G$5:$G$2162,'октябрь 2024'!$D$5:$D$2162,$B160,'октябрь 2024'!$J$5:$J$2162,AF$1)</f>
        <v>0</v>
      </c>
      <c r="AG160" s="80">
        <f>SUMIFS('октябрь 2024'!$G$5:$G$2162,'октябрь 2024'!$D$5:$D$2162,$B160,'октябрь 2024'!$J$5:$J$2162,AG$1)</f>
        <v>0</v>
      </c>
      <c r="AH160" s="80">
        <f>SUMIFS('октябрь 2024'!$G$5:$G$2162,'октябрь 2024'!$D$5:$D$2162,$B160,'октябрь 2024'!$J$5:$J$2162,AH$1)</f>
        <v>0</v>
      </c>
      <c r="AI160" s="87"/>
    </row>
    <row r="161" spans="2:35" ht="15" hidden="1" customHeight="1" x14ac:dyDescent="0.25">
      <c r="B161" s="89"/>
      <c r="C161" s="91"/>
      <c r="D161" s="80">
        <f>SUMIFS('октябрь 2024'!$G$5:$G$2162,'октябрь 2024'!$D$5:$D$2162,$B161,'октябрь 2024'!$J$5:$J$2162,D$1)</f>
        <v>0</v>
      </c>
      <c r="E161" s="80">
        <f>SUMIFS('октябрь 2024'!$G$5:$G$2162,'октябрь 2024'!$D$5:$D$2162,$B161,'октябрь 2024'!$J$5:$J$2162,E$1)</f>
        <v>0</v>
      </c>
      <c r="F161" s="80">
        <f>SUMIFS('октябрь 2024'!$G$5:$G$2162,'октябрь 2024'!$D$5:$D$2162,$B161,'октябрь 2024'!$J$5:$J$2162,F$1)</f>
        <v>0</v>
      </c>
      <c r="G161" s="80">
        <f>SUMIFS('октябрь 2024'!$G$5:$G$2162,'октябрь 2024'!$D$5:$D$2162,$B161,'октябрь 2024'!$J$5:$J$2162,G$1)</f>
        <v>0</v>
      </c>
      <c r="H161" s="80">
        <f>SUMIFS('октябрь 2024'!$G$5:$G$2162,'октябрь 2024'!$D$5:$D$2162,$B161,'октябрь 2024'!$J$5:$J$2162,H$1)</f>
        <v>0</v>
      </c>
      <c r="I161" s="80">
        <f>SUMIFS('октябрь 2024'!$G$5:$G$2162,'октябрь 2024'!$D$5:$D$2162,$B161,'октябрь 2024'!$J$5:$J$2162,I$1)</f>
        <v>0</v>
      </c>
      <c r="J161" s="80">
        <f>SUMIFS('октябрь 2024'!$G$5:$G$2162,'октябрь 2024'!$D$5:$D$2162,$B161,'октябрь 2024'!$J$5:$J$2162,J$1)</f>
        <v>0</v>
      </c>
      <c r="K161" s="80">
        <f>SUMIFS('октябрь 2024'!$G$5:$G$2162,'октябрь 2024'!$D$5:$D$2162,$B161,'октябрь 2024'!$J$5:$J$2162,K$1)</f>
        <v>0</v>
      </c>
      <c r="L161" s="80">
        <f>SUMIFS('октябрь 2024'!$G$5:$G$2162,'октябрь 2024'!$D$5:$D$2162,$B161,'октябрь 2024'!$J$5:$J$2162,L$1)</f>
        <v>0</v>
      </c>
      <c r="M161" s="80">
        <f>SUMIFS('октябрь 2024'!$G$5:$G$2162,'октябрь 2024'!$D$5:$D$2162,$B161,'октябрь 2024'!$J$5:$J$2162,M$1)</f>
        <v>0</v>
      </c>
      <c r="N161" s="80">
        <f>SUMIFS('октябрь 2024'!$G$5:$G$2162,'октябрь 2024'!$D$5:$D$2162,$B161,'октябрь 2024'!$J$5:$J$2162,N$1)</f>
        <v>0</v>
      </c>
      <c r="O161" s="80">
        <f>SUMIFS('октябрь 2024'!$G$5:$G$2162,'октябрь 2024'!$D$5:$D$2162,$B161,'октябрь 2024'!$J$5:$J$2162,O$1)</f>
        <v>0</v>
      </c>
      <c r="P161" s="80">
        <f>SUMIFS('октябрь 2024'!$G$5:$G$2162,'октябрь 2024'!$D$5:$D$2162,$B161,'октябрь 2024'!$J$5:$J$2162,P$1)</f>
        <v>0</v>
      </c>
      <c r="Q161" s="80">
        <f>SUMIFS('октябрь 2024'!$G$5:$G$2162,'октябрь 2024'!$D$5:$D$2162,$B161,'октябрь 2024'!$J$5:$J$2162,Q$1)</f>
        <v>0</v>
      </c>
      <c r="R161" s="80">
        <f>SUMIFS('октябрь 2024'!$G$5:$G$2162,'октябрь 2024'!$D$5:$D$2162,$B161,'октябрь 2024'!$J$5:$J$2162,R$1)</f>
        <v>0</v>
      </c>
      <c r="S161" s="80">
        <f>SUMIFS('октябрь 2024'!$G$5:$G$2162,'октябрь 2024'!$D$5:$D$2162,$B161,'октябрь 2024'!$J$5:$J$2162,S$1)</f>
        <v>0</v>
      </c>
      <c r="T161" s="80">
        <f>SUMIFS('октябрь 2024'!$G$5:$G$2162,'октябрь 2024'!$D$5:$D$2162,$B161,'октябрь 2024'!$J$5:$J$2162,T$1)</f>
        <v>0</v>
      </c>
      <c r="U161" s="80">
        <f>SUMIFS('октябрь 2024'!$G$5:$G$2162,'октябрь 2024'!$D$5:$D$2162,$B161,'октябрь 2024'!$J$5:$J$2162,U$1)</f>
        <v>0</v>
      </c>
      <c r="V161" s="80">
        <f>SUMIFS('октябрь 2024'!$G$5:$G$2162,'октябрь 2024'!$D$5:$D$2162,$B161,'октябрь 2024'!$J$5:$J$2162,V$1)</f>
        <v>0</v>
      </c>
      <c r="W161" s="80">
        <f>SUMIFS('октябрь 2024'!$G$5:$G$2162,'октябрь 2024'!$D$5:$D$2162,$B161,'октябрь 2024'!$J$5:$J$2162,W$1)</f>
        <v>0</v>
      </c>
      <c r="X161" s="80">
        <f>SUMIFS('октябрь 2024'!$G$5:$G$2162,'октябрь 2024'!$D$5:$D$2162,$B161,'октябрь 2024'!$J$5:$J$2162,X$1)</f>
        <v>0</v>
      </c>
      <c r="Y161" s="80">
        <f>SUMIFS('октябрь 2024'!$G$5:$G$2162,'октябрь 2024'!$D$5:$D$2162,$B161,'октябрь 2024'!$J$5:$J$2162,Y$1)</f>
        <v>0</v>
      </c>
      <c r="Z161" s="80">
        <f>SUMIFS('октябрь 2024'!$G$5:$G$2162,'октябрь 2024'!$D$5:$D$2162,$B161,'октябрь 2024'!$J$5:$J$2162,Z$1)</f>
        <v>0</v>
      </c>
      <c r="AA161" s="80">
        <f>SUMIFS('октябрь 2024'!$G$5:$G$2162,'октябрь 2024'!$D$5:$D$2162,$B161,'октябрь 2024'!$J$5:$J$2162,AA$1)</f>
        <v>0</v>
      </c>
      <c r="AB161" s="80">
        <f>SUMIFS('октябрь 2024'!$G$5:$G$2162,'октябрь 2024'!$D$5:$D$2162,$B161,'октябрь 2024'!$J$5:$J$2162,AB$1)</f>
        <v>0</v>
      </c>
      <c r="AC161" s="80">
        <f>SUMIFS('октябрь 2024'!$G$5:$G$2162,'октябрь 2024'!$D$5:$D$2162,$B161,'октябрь 2024'!$J$5:$J$2162,AC$1)</f>
        <v>0</v>
      </c>
      <c r="AD161" s="80">
        <f>SUMIFS('октябрь 2024'!$G$5:$G$2162,'октябрь 2024'!$D$5:$D$2162,$B161,'октябрь 2024'!$J$5:$J$2162,AD$1)</f>
        <v>0</v>
      </c>
      <c r="AE161" s="80">
        <f>SUMIFS('октябрь 2024'!$G$5:$G$2162,'октябрь 2024'!$D$5:$D$2162,$B161,'октябрь 2024'!$J$5:$J$2162,AE$1)</f>
        <v>0</v>
      </c>
      <c r="AF161" s="80">
        <f>SUMIFS('октябрь 2024'!$G$5:$G$2162,'октябрь 2024'!$D$5:$D$2162,$B161,'октябрь 2024'!$J$5:$J$2162,AF$1)</f>
        <v>0</v>
      </c>
      <c r="AG161" s="80">
        <f>SUMIFS('октябрь 2024'!$G$5:$G$2162,'октябрь 2024'!$D$5:$D$2162,$B161,'октябрь 2024'!$J$5:$J$2162,AG$1)</f>
        <v>0</v>
      </c>
      <c r="AH161" s="80">
        <f>SUMIFS('октябрь 2024'!$G$5:$G$2162,'октябрь 2024'!$D$5:$D$2162,$B161,'октябрь 2024'!$J$5:$J$2162,AH$1)</f>
        <v>0</v>
      </c>
      <c r="AI161" s="87"/>
    </row>
    <row r="162" spans="2:35" ht="15" hidden="1" customHeight="1" x14ac:dyDescent="0.25">
      <c r="B162" s="89"/>
      <c r="C162" s="88"/>
      <c r="D162" s="80">
        <f>SUMIFS('октябрь 2024'!$G$5:$G$2162,'октябрь 2024'!$D$5:$D$2162,$B162,'октябрь 2024'!$J$5:$J$2162,D$1)</f>
        <v>0</v>
      </c>
      <c r="E162" s="80">
        <f>SUMIFS('октябрь 2024'!$G$5:$G$2162,'октябрь 2024'!$D$5:$D$2162,$B162,'октябрь 2024'!$J$5:$J$2162,E$1)</f>
        <v>0</v>
      </c>
      <c r="F162" s="80">
        <f>SUMIFS('октябрь 2024'!$G$5:$G$2162,'октябрь 2024'!$D$5:$D$2162,$B162,'октябрь 2024'!$J$5:$J$2162,F$1)</f>
        <v>0</v>
      </c>
      <c r="G162" s="80">
        <f>SUMIFS('октябрь 2024'!$G$5:$G$2162,'октябрь 2024'!$D$5:$D$2162,$B162,'октябрь 2024'!$J$5:$J$2162,G$1)</f>
        <v>0</v>
      </c>
      <c r="H162" s="80">
        <f>SUMIFS('октябрь 2024'!$G$5:$G$2162,'октябрь 2024'!$D$5:$D$2162,$B162,'октябрь 2024'!$J$5:$J$2162,H$1)</f>
        <v>0</v>
      </c>
      <c r="I162" s="80">
        <f>SUMIFS('октябрь 2024'!$G$5:$G$2162,'октябрь 2024'!$D$5:$D$2162,$B162,'октябрь 2024'!$J$5:$J$2162,I$1)</f>
        <v>0</v>
      </c>
      <c r="J162" s="80">
        <f>SUMIFS('октябрь 2024'!$G$5:$G$2162,'октябрь 2024'!$D$5:$D$2162,$B162,'октябрь 2024'!$J$5:$J$2162,J$1)</f>
        <v>0</v>
      </c>
      <c r="K162" s="80">
        <f>SUMIFS('октябрь 2024'!$G$5:$G$2162,'октябрь 2024'!$D$5:$D$2162,$B162,'октябрь 2024'!$J$5:$J$2162,K$1)</f>
        <v>0</v>
      </c>
      <c r="L162" s="80">
        <f>SUMIFS('октябрь 2024'!$G$5:$G$2162,'октябрь 2024'!$D$5:$D$2162,$B162,'октябрь 2024'!$J$5:$J$2162,L$1)</f>
        <v>0</v>
      </c>
      <c r="M162" s="80">
        <f>SUMIFS('октябрь 2024'!$G$5:$G$2162,'октябрь 2024'!$D$5:$D$2162,$B162,'октябрь 2024'!$J$5:$J$2162,M$1)</f>
        <v>0</v>
      </c>
      <c r="N162" s="80">
        <f>SUMIFS('октябрь 2024'!$G$5:$G$2162,'октябрь 2024'!$D$5:$D$2162,$B162,'октябрь 2024'!$J$5:$J$2162,N$1)</f>
        <v>0</v>
      </c>
      <c r="O162" s="80">
        <f>SUMIFS('октябрь 2024'!$G$5:$G$2162,'октябрь 2024'!$D$5:$D$2162,$B162,'октябрь 2024'!$J$5:$J$2162,O$1)</f>
        <v>0</v>
      </c>
      <c r="P162" s="80">
        <f>SUMIFS('октябрь 2024'!$G$5:$G$2162,'октябрь 2024'!$D$5:$D$2162,$B162,'октябрь 2024'!$J$5:$J$2162,P$1)</f>
        <v>0</v>
      </c>
      <c r="Q162" s="80">
        <f>SUMIFS('октябрь 2024'!$G$5:$G$2162,'октябрь 2024'!$D$5:$D$2162,$B162,'октябрь 2024'!$J$5:$J$2162,Q$1)</f>
        <v>0</v>
      </c>
      <c r="R162" s="80">
        <f>SUMIFS('октябрь 2024'!$G$5:$G$2162,'октябрь 2024'!$D$5:$D$2162,$B162,'октябрь 2024'!$J$5:$J$2162,R$1)</f>
        <v>0</v>
      </c>
      <c r="S162" s="80">
        <f>SUMIFS('октябрь 2024'!$G$5:$G$2162,'октябрь 2024'!$D$5:$D$2162,$B162,'октябрь 2024'!$J$5:$J$2162,S$1)</f>
        <v>0</v>
      </c>
      <c r="T162" s="80">
        <f>SUMIFS('октябрь 2024'!$G$5:$G$2162,'октябрь 2024'!$D$5:$D$2162,$B162,'октябрь 2024'!$J$5:$J$2162,T$1)</f>
        <v>0</v>
      </c>
      <c r="U162" s="80">
        <f>SUMIFS('октябрь 2024'!$G$5:$G$2162,'октябрь 2024'!$D$5:$D$2162,$B162,'октябрь 2024'!$J$5:$J$2162,U$1)</f>
        <v>0</v>
      </c>
      <c r="V162" s="80">
        <f>SUMIFS('октябрь 2024'!$G$5:$G$2162,'октябрь 2024'!$D$5:$D$2162,$B162,'октябрь 2024'!$J$5:$J$2162,V$1)</f>
        <v>0</v>
      </c>
      <c r="W162" s="80">
        <f>SUMIFS('октябрь 2024'!$G$5:$G$2162,'октябрь 2024'!$D$5:$D$2162,$B162,'октябрь 2024'!$J$5:$J$2162,W$1)</f>
        <v>0</v>
      </c>
      <c r="X162" s="80">
        <f>SUMIFS('октябрь 2024'!$G$5:$G$2162,'октябрь 2024'!$D$5:$D$2162,$B162,'октябрь 2024'!$J$5:$J$2162,X$1)</f>
        <v>0</v>
      </c>
      <c r="Y162" s="80">
        <f>SUMIFS('октябрь 2024'!$G$5:$G$2162,'октябрь 2024'!$D$5:$D$2162,$B162,'октябрь 2024'!$J$5:$J$2162,Y$1)</f>
        <v>0</v>
      </c>
      <c r="Z162" s="80">
        <f>SUMIFS('октябрь 2024'!$G$5:$G$2162,'октябрь 2024'!$D$5:$D$2162,$B162,'октябрь 2024'!$J$5:$J$2162,Z$1)</f>
        <v>0</v>
      </c>
      <c r="AA162" s="80">
        <f>SUMIFS('октябрь 2024'!$G$5:$G$2162,'октябрь 2024'!$D$5:$D$2162,$B162,'октябрь 2024'!$J$5:$J$2162,AA$1)</f>
        <v>0</v>
      </c>
      <c r="AB162" s="80">
        <f>SUMIFS('октябрь 2024'!$G$5:$G$2162,'октябрь 2024'!$D$5:$D$2162,$B162,'октябрь 2024'!$J$5:$J$2162,AB$1)</f>
        <v>0</v>
      </c>
      <c r="AC162" s="80">
        <f>SUMIFS('октябрь 2024'!$G$5:$G$2162,'октябрь 2024'!$D$5:$D$2162,$B162,'октябрь 2024'!$J$5:$J$2162,AC$1)</f>
        <v>0</v>
      </c>
      <c r="AD162" s="80">
        <f>SUMIFS('октябрь 2024'!$G$5:$G$2162,'октябрь 2024'!$D$5:$D$2162,$B162,'октябрь 2024'!$J$5:$J$2162,AD$1)</f>
        <v>0</v>
      </c>
      <c r="AE162" s="80">
        <f>SUMIFS('октябрь 2024'!$G$5:$G$2162,'октябрь 2024'!$D$5:$D$2162,$B162,'октябрь 2024'!$J$5:$J$2162,AE$1)</f>
        <v>0</v>
      </c>
      <c r="AF162" s="80">
        <f>SUMIFS('октябрь 2024'!$G$5:$G$2162,'октябрь 2024'!$D$5:$D$2162,$B162,'октябрь 2024'!$J$5:$J$2162,AF$1)</f>
        <v>0</v>
      </c>
      <c r="AG162" s="80">
        <f>SUMIFS('октябрь 2024'!$G$5:$G$2162,'октябрь 2024'!$D$5:$D$2162,$B162,'октябрь 2024'!$J$5:$J$2162,AG$1)</f>
        <v>0</v>
      </c>
      <c r="AH162" s="80">
        <f>SUMIFS('октябрь 2024'!$G$5:$G$2162,'октябрь 2024'!$D$5:$D$2162,$B162,'октябрь 2024'!$J$5:$J$2162,AH$1)</f>
        <v>0</v>
      </c>
      <c r="AI162" s="87"/>
    </row>
    <row r="163" spans="2:35" ht="15" hidden="1" customHeight="1" x14ac:dyDescent="0.25">
      <c r="B163" s="89"/>
      <c r="C163" s="88"/>
      <c r="D163" s="80">
        <f>SUMIFS('октябрь 2024'!$G$5:$G$2162,'октябрь 2024'!$D$5:$D$2162,$B163,'октябрь 2024'!$J$5:$J$2162,D$1)</f>
        <v>0</v>
      </c>
      <c r="E163" s="80">
        <f>SUMIFS('октябрь 2024'!$G$5:$G$2162,'октябрь 2024'!$D$5:$D$2162,$B163,'октябрь 2024'!$J$5:$J$2162,E$1)</f>
        <v>0</v>
      </c>
      <c r="F163" s="80">
        <f>SUMIFS('октябрь 2024'!$G$5:$G$2162,'октябрь 2024'!$D$5:$D$2162,$B163,'октябрь 2024'!$J$5:$J$2162,F$1)</f>
        <v>0</v>
      </c>
      <c r="G163" s="80">
        <f>SUMIFS('октябрь 2024'!$G$5:$G$2162,'октябрь 2024'!$D$5:$D$2162,$B163,'октябрь 2024'!$J$5:$J$2162,G$1)</f>
        <v>0</v>
      </c>
      <c r="H163" s="80">
        <f>SUMIFS('октябрь 2024'!$G$5:$G$2162,'октябрь 2024'!$D$5:$D$2162,$B163,'октябрь 2024'!$J$5:$J$2162,H$1)</f>
        <v>0</v>
      </c>
      <c r="I163" s="80">
        <f>SUMIFS('октябрь 2024'!$G$5:$G$2162,'октябрь 2024'!$D$5:$D$2162,$B163,'октябрь 2024'!$J$5:$J$2162,I$1)</f>
        <v>0</v>
      </c>
      <c r="J163" s="80">
        <f>SUMIFS('октябрь 2024'!$G$5:$G$2162,'октябрь 2024'!$D$5:$D$2162,$B163,'октябрь 2024'!$J$5:$J$2162,J$1)</f>
        <v>0</v>
      </c>
      <c r="K163" s="80">
        <f>SUMIFS('октябрь 2024'!$G$5:$G$2162,'октябрь 2024'!$D$5:$D$2162,$B163,'октябрь 2024'!$J$5:$J$2162,K$1)</f>
        <v>0</v>
      </c>
      <c r="L163" s="80">
        <f>SUMIFS('октябрь 2024'!$G$5:$G$2162,'октябрь 2024'!$D$5:$D$2162,$B163,'октябрь 2024'!$J$5:$J$2162,L$1)</f>
        <v>0</v>
      </c>
      <c r="M163" s="80">
        <f>SUMIFS('октябрь 2024'!$G$5:$G$2162,'октябрь 2024'!$D$5:$D$2162,$B163,'октябрь 2024'!$J$5:$J$2162,M$1)</f>
        <v>0</v>
      </c>
      <c r="N163" s="80">
        <f>SUMIFS('октябрь 2024'!$G$5:$G$2162,'октябрь 2024'!$D$5:$D$2162,$B163,'октябрь 2024'!$J$5:$J$2162,N$1)</f>
        <v>0</v>
      </c>
      <c r="O163" s="80">
        <f>SUMIFS('октябрь 2024'!$G$5:$G$2162,'октябрь 2024'!$D$5:$D$2162,$B163,'октябрь 2024'!$J$5:$J$2162,O$1)</f>
        <v>0</v>
      </c>
      <c r="P163" s="80">
        <f>SUMIFS('октябрь 2024'!$G$5:$G$2162,'октябрь 2024'!$D$5:$D$2162,$B163,'октябрь 2024'!$J$5:$J$2162,P$1)</f>
        <v>0</v>
      </c>
      <c r="Q163" s="80">
        <f>SUMIFS('октябрь 2024'!$G$5:$G$2162,'октябрь 2024'!$D$5:$D$2162,$B163,'октябрь 2024'!$J$5:$J$2162,Q$1)</f>
        <v>0</v>
      </c>
      <c r="R163" s="80">
        <f>SUMIFS('октябрь 2024'!$G$5:$G$2162,'октябрь 2024'!$D$5:$D$2162,$B163,'октябрь 2024'!$J$5:$J$2162,R$1)</f>
        <v>0</v>
      </c>
      <c r="S163" s="80">
        <f>SUMIFS('октябрь 2024'!$G$5:$G$2162,'октябрь 2024'!$D$5:$D$2162,$B163,'октябрь 2024'!$J$5:$J$2162,S$1)</f>
        <v>0</v>
      </c>
      <c r="T163" s="80">
        <f>SUMIFS('октябрь 2024'!$G$5:$G$2162,'октябрь 2024'!$D$5:$D$2162,$B163,'октябрь 2024'!$J$5:$J$2162,T$1)</f>
        <v>0</v>
      </c>
      <c r="U163" s="80">
        <f>SUMIFS('октябрь 2024'!$G$5:$G$2162,'октябрь 2024'!$D$5:$D$2162,$B163,'октябрь 2024'!$J$5:$J$2162,U$1)</f>
        <v>0</v>
      </c>
      <c r="V163" s="80">
        <f>SUMIFS('октябрь 2024'!$G$5:$G$2162,'октябрь 2024'!$D$5:$D$2162,$B163,'октябрь 2024'!$J$5:$J$2162,V$1)</f>
        <v>0</v>
      </c>
      <c r="W163" s="80">
        <f>SUMIFS('октябрь 2024'!$G$5:$G$2162,'октябрь 2024'!$D$5:$D$2162,$B163,'октябрь 2024'!$J$5:$J$2162,W$1)</f>
        <v>0</v>
      </c>
      <c r="X163" s="80">
        <f>SUMIFS('октябрь 2024'!$G$5:$G$2162,'октябрь 2024'!$D$5:$D$2162,$B163,'октябрь 2024'!$J$5:$J$2162,X$1)</f>
        <v>0</v>
      </c>
      <c r="Y163" s="80">
        <f>SUMIFS('октябрь 2024'!$G$5:$G$2162,'октябрь 2024'!$D$5:$D$2162,$B163,'октябрь 2024'!$J$5:$J$2162,Y$1)</f>
        <v>0</v>
      </c>
      <c r="Z163" s="80">
        <f>SUMIFS('октябрь 2024'!$G$5:$G$2162,'октябрь 2024'!$D$5:$D$2162,$B163,'октябрь 2024'!$J$5:$J$2162,Z$1)</f>
        <v>0</v>
      </c>
      <c r="AA163" s="80">
        <f>SUMIFS('октябрь 2024'!$G$5:$G$2162,'октябрь 2024'!$D$5:$D$2162,$B163,'октябрь 2024'!$J$5:$J$2162,AA$1)</f>
        <v>0</v>
      </c>
      <c r="AB163" s="80">
        <f>SUMIFS('октябрь 2024'!$G$5:$G$2162,'октябрь 2024'!$D$5:$D$2162,$B163,'октябрь 2024'!$J$5:$J$2162,AB$1)</f>
        <v>0</v>
      </c>
      <c r="AC163" s="80">
        <f>SUMIFS('октябрь 2024'!$G$5:$G$2162,'октябрь 2024'!$D$5:$D$2162,$B163,'октябрь 2024'!$J$5:$J$2162,AC$1)</f>
        <v>0</v>
      </c>
      <c r="AD163" s="80">
        <f>SUMIFS('октябрь 2024'!$G$5:$G$2162,'октябрь 2024'!$D$5:$D$2162,$B163,'октябрь 2024'!$J$5:$J$2162,AD$1)</f>
        <v>0</v>
      </c>
      <c r="AE163" s="80">
        <f>SUMIFS('октябрь 2024'!$G$5:$G$2162,'октябрь 2024'!$D$5:$D$2162,$B163,'октябрь 2024'!$J$5:$J$2162,AE$1)</f>
        <v>0</v>
      </c>
      <c r="AF163" s="80">
        <f>SUMIFS('октябрь 2024'!$G$5:$G$2162,'октябрь 2024'!$D$5:$D$2162,$B163,'октябрь 2024'!$J$5:$J$2162,AF$1)</f>
        <v>0</v>
      </c>
      <c r="AG163" s="80">
        <f>SUMIFS('октябрь 2024'!$G$5:$G$2162,'октябрь 2024'!$D$5:$D$2162,$B163,'октябрь 2024'!$J$5:$J$2162,AG$1)</f>
        <v>0</v>
      </c>
      <c r="AH163" s="80">
        <f>SUMIFS('октябрь 2024'!$G$5:$G$2162,'октябрь 2024'!$D$5:$D$2162,$B163,'октябрь 2024'!$J$5:$J$2162,AH$1)</f>
        <v>0</v>
      </c>
      <c r="AI163" s="87"/>
    </row>
    <row r="164" spans="2:35" ht="15" hidden="1" customHeight="1" x14ac:dyDescent="0.25">
      <c r="B164" s="89"/>
      <c r="C164" s="88"/>
      <c r="D164" s="80">
        <f>SUMIFS('октябрь 2024'!$G$5:$G$2162,'октябрь 2024'!$D$5:$D$2162,$B164,'октябрь 2024'!$J$5:$J$2162,D$1)</f>
        <v>0</v>
      </c>
      <c r="E164" s="80">
        <f>SUMIFS('октябрь 2024'!$G$5:$G$2162,'октябрь 2024'!$D$5:$D$2162,$B164,'октябрь 2024'!$J$5:$J$2162,E$1)</f>
        <v>0</v>
      </c>
      <c r="F164" s="80">
        <f>SUMIFS('октябрь 2024'!$G$5:$G$2162,'октябрь 2024'!$D$5:$D$2162,$B164,'октябрь 2024'!$J$5:$J$2162,F$1)</f>
        <v>0</v>
      </c>
      <c r="G164" s="80">
        <f>SUMIFS('октябрь 2024'!$G$5:$G$2162,'октябрь 2024'!$D$5:$D$2162,$B164,'октябрь 2024'!$J$5:$J$2162,G$1)</f>
        <v>0</v>
      </c>
      <c r="H164" s="80">
        <f>SUMIFS('октябрь 2024'!$G$5:$G$2162,'октябрь 2024'!$D$5:$D$2162,$B164,'октябрь 2024'!$J$5:$J$2162,H$1)</f>
        <v>0</v>
      </c>
      <c r="I164" s="80">
        <f>SUMIFS('октябрь 2024'!$G$5:$G$2162,'октябрь 2024'!$D$5:$D$2162,$B164,'октябрь 2024'!$J$5:$J$2162,I$1)</f>
        <v>0</v>
      </c>
      <c r="J164" s="80">
        <f>SUMIFS('октябрь 2024'!$G$5:$G$2162,'октябрь 2024'!$D$5:$D$2162,$B164,'октябрь 2024'!$J$5:$J$2162,J$1)</f>
        <v>0</v>
      </c>
      <c r="K164" s="80">
        <f>SUMIFS('октябрь 2024'!$G$5:$G$2162,'октябрь 2024'!$D$5:$D$2162,$B164,'октябрь 2024'!$J$5:$J$2162,K$1)</f>
        <v>0</v>
      </c>
      <c r="L164" s="80">
        <f>SUMIFS('октябрь 2024'!$G$5:$G$2162,'октябрь 2024'!$D$5:$D$2162,$B164,'октябрь 2024'!$J$5:$J$2162,L$1)</f>
        <v>0</v>
      </c>
      <c r="M164" s="80">
        <f>SUMIFS('октябрь 2024'!$G$5:$G$2162,'октябрь 2024'!$D$5:$D$2162,$B164,'октябрь 2024'!$J$5:$J$2162,M$1)</f>
        <v>0</v>
      </c>
      <c r="N164" s="80">
        <f>SUMIFS('октябрь 2024'!$G$5:$G$2162,'октябрь 2024'!$D$5:$D$2162,$B164,'октябрь 2024'!$J$5:$J$2162,N$1)</f>
        <v>0</v>
      </c>
      <c r="O164" s="80">
        <f>SUMIFS('октябрь 2024'!$G$5:$G$2162,'октябрь 2024'!$D$5:$D$2162,$B164,'октябрь 2024'!$J$5:$J$2162,O$1)</f>
        <v>0</v>
      </c>
      <c r="P164" s="80">
        <f>SUMIFS('октябрь 2024'!$G$5:$G$2162,'октябрь 2024'!$D$5:$D$2162,$B164,'октябрь 2024'!$J$5:$J$2162,P$1)</f>
        <v>0</v>
      </c>
      <c r="Q164" s="80">
        <f>SUMIFS('октябрь 2024'!$G$5:$G$2162,'октябрь 2024'!$D$5:$D$2162,$B164,'октябрь 2024'!$J$5:$J$2162,Q$1)</f>
        <v>0</v>
      </c>
      <c r="R164" s="80">
        <f>SUMIFS('октябрь 2024'!$G$5:$G$2162,'октябрь 2024'!$D$5:$D$2162,$B164,'октябрь 2024'!$J$5:$J$2162,R$1)</f>
        <v>0</v>
      </c>
      <c r="S164" s="80">
        <f>SUMIFS('октябрь 2024'!$G$5:$G$2162,'октябрь 2024'!$D$5:$D$2162,$B164,'октябрь 2024'!$J$5:$J$2162,S$1)</f>
        <v>0</v>
      </c>
      <c r="T164" s="80">
        <f>SUMIFS('октябрь 2024'!$G$5:$G$2162,'октябрь 2024'!$D$5:$D$2162,$B164,'октябрь 2024'!$J$5:$J$2162,T$1)</f>
        <v>0</v>
      </c>
      <c r="U164" s="80">
        <f>SUMIFS('октябрь 2024'!$G$5:$G$2162,'октябрь 2024'!$D$5:$D$2162,$B164,'октябрь 2024'!$J$5:$J$2162,U$1)</f>
        <v>0</v>
      </c>
      <c r="V164" s="80">
        <f>SUMIFS('октябрь 2024'!$G$5:$G$2162,'октябрь 2024'!$D$5:$D$2162,$B164,'октябрь 2024'!$J$5:$J$2162,V$1)</f>
        <v>0</v>
      </c>
      <c r="W164" s="80">
        <f>SUMIFS('октябрь 2024'!$G$5:$G$2162,'октябрь 2024'!$D$5:$D$2162,$B164,'октябрь 2024'!$J$5:$J$2162,W$1)</f>
        <v>0</v>
      </c>
      <c r="X164" s="80">
        <f>SUMIFS('октябрь 2024'!$G$5:$G$2162,'октябрь 2024'!$D$5:$D$2162,$B164,'октябрь 2024'!$J$5:$J$2162,X$1)</f>
        <v>0</v>
      </c>
      <c r="Y164" s="80">
        <f>SUMIFS('октябрь 2024'!$G$5:$G$2162,'октябрь 2024'!$D$5:$D$2162,$B164,'октябрь 2024'!$J$5:$J$2162,Y$1)</f>
        <v>0</v>
      </c>
      <c r="Z164" s="80">
        <f>SUMIFS('октябрь 2024'!$G$5:$G$2162,'октябрь 2024'!$D$5:$D$2162,$B164,'октябрь 2024'!$J$5:$J$2162,Z$1)</f>
        <v>0</v>
      </c>
      <c r="AA164" s="80">
        <f>SUMIFS('октябрь 2024'!$G$5:$G$2162,'октябрь 2024'!$D$5:$D$2162,$B164,'октябрь 2024'!$J$5:$J$2162,AA$1)</f>
        <v>0</v>
      </c>
      <c r="AB164" s="80">
        <f>SUMIFS('октябрь 2024'!$G$5:$G$2162,'октябрь 2024'!$D$5:$D$2162,$B164,'октябрь 2024'!$J$5:$J$2162,AB$1)</f>
        <v>0</v>
      </c>
      <c r="AC164" s="80">
        <f>SUMIFS('октябрь 2024'!$G$5:$G$2162,'октябрь 2024'!$D$5:$D$2162,$B164,'октябрь 2024'!$J$5:$J$2162,AC$1)</f>
        <v>0</v>
      </c>
      <c r="AD164" s="80">
        <f>SUMIFS('октябрь 2024'!$G$5:$G$2162,'октябрь 2024'!$D$5:$D$2162,$B164,'октябрь 2024'!$J$5:$J$2162,AD$1)</f>
        <v>0</v>
      </c>
      <c r="AE164" s="80">
        <f>SUMIFS('октябрь 2024'!$G$5:$G$2162,'октябрь 2024'!$D$5:$D$2162,$B164,'октябрь 2024'!$J$5:$J$2162,AE$1)</f>
        <v>0</v>
      </c>
      <c r="AF164" s="80">
        <f>SUMIFS('октябрь 2024'!$G$5:$G$2162,'октябрь 2024'!$D$5:$D$2162,$B164,'октябрь 2024'!$J$5:$J$2162,AF$1)</f>
        <v>0</v>
      </c>
      <c r="AG164" s="80">
        <f>SUMIFS('октябрь 2024'!$G$5:$G$2162,'октябрь 2024'!$D$5:$D$2162,$B164,'октябрь 2024'!$J$5:$J$2162,AG$1)</f>
        <v>0</v>
      </c>
      <c r="AH164" s="80">
        <f>SUMIFS('октябрь 2024'!$G$5:$G$2162,'октябрь 2024'!$D$5:$D$2162,$B164,'октябрь 2024'!$J$5:$J$2162,AH$1)</f>
        <v>0</v>
      </c>
      <c r="AI164" s="87"/>
    </row>
    <row r="165" spans="2:35" ht="15" hidden="1" customHeight="1" x14ac:dyDescent="0.25">
      <c r="B165" s="93"/>
      <c r="C165" s="91"/>
      <c r="D165" s="80">
        <f>SUMIFS('октябрь 2024'!$G$5:$G$2162,'октябрь 2024'!$D$5:$D$2162,$B165,'октябрь 2024'!$J$5:$J$2162,D$1)</f>
        <v>0</v>
      </c>
      <c r="E165" s="80">
        <f>SUMIFS('октябрь 2024'!$G$5:$G$2162,'октябрь 2024'!$D$5:$D$2162,$B165,'октябрь 2024'!$J$5:$J$2162,E$1)</f>
        <v>0</v>
      </c>
      <c r="F165" s="80">
        <f>SUMIFS('октябрь 2024'!$G$5:$G$2162,'октябрь 2024'!$D$5:$D$2162,$B165,'октябрь 2024'!$J$5:$J$2162,F$1)</f>
        <v>0</v>
      </c>
      <c r="G165" s="80">
        <f>SUMIFS('октябрь 2024'!$G$5:$G$2162,'октябрь 2024'!$D$5:$D$2162,$B165,'октябрь 2024'!$J$5:$J$2162,G$1)</f>
        <v>0</v>
      </c>
      <c r="H165" s="80">
        <f>SUMIFS('октябрь 2024'!$G$5:$G$2162,'октябрь 2024'!$D$5:$D$2162,$B165,'октябрь 2024'!$J$5:$J$2162,H$1)</f>
        <v>0</v>
      </c>
      <c r="I165" s="80">
        <f>SUMIFS('октябрь 2024'!$G$5:$G$2162,'октябрь 2024'!$D$5:$D$2162,$B165,'октябрь 2024'!$J$5:$J$2162,I$1)</f>
        <v>0</v>
      </c>
      <c r="J165" s="80">
        <f>SUMIFS('октябрь 2024'!$G$5:$G$2162,'октябрь 2024'!$D$5:$D$2162,$B165,'октябрь 2024'!$J$5:$J$2162,J$1)</f>
        <v>0</v>
      </c>
      <c r="K165" s="80">
        <f>SUMIFS('октябрь 2024'!$G$5:$G$2162,'октябрь 2024'!$D$5:$D$2162,$B165,'октябрь 2024'!$J$5:$J$2162,K$1)</f>
        <v>0</v>
      </c>
      <c r="L165" s="80">
        <f>SUMIFS('октябрь 2024'!$G$5:$G$2162,'октябрь 2024'!$D$5:$D$2162,$B165,'октябрь 2024'!$J$5:$J$2162,L$1)</f>
        <v>0</v>
      </c>
      <c r="M165" s="80">
        <f>SUMIFS('октябрь 2024'!$G$5:$G$2162,'октябрь 2024'!$D$5:$D$2162,$B165,'октябрь 2024'!$J$5:$J$2162,M$1)</f>
        <v>0</v>
      </c>
      <c r="N165" s="80">
        <f>SUMIFS('октябрь 2024'!$G$5:$G$2162,'октябрь 2024'!$D$5:$D$2162,$B165,'октябрь 2024'!$J$5:$J$2162,N$1)</f>
        <v>0</v>
      </c>
      <c r="O165" s="80">
        <f>SUMIFS('октябрь 2024'!$G$5:$G$2162,'октябрь 2024'!$D$5:$D$2162,$B165,'октябрь 2024'!$J$5:$J$2162,O$1)</f>
        <v>0</v>
      </c>
      <c r="P165" s="80">
        <f>SUMIFS('октябрь 2024'!$G$5:$G$2162,'октябрь 2024'!$D$5:$D$2162,$B165,'октябрь 2024'!$J$5:$J$2162,P$1)</f>
        <v>0</v>
      </c>
      <c r="Q165" s="80">
        <f>SUMIFS('октябрь 2024'!$G$5:$G$2162,'октябрь 2024'!$D$5:$D$2162,$B165,'октябрь 2024'!$J$5:$J$2162,Q$1)</f>
        <v>0</v>
      </c>
      <c r="R165" s="80">
        <f>SUMIFS('октябрь 2024'!$G$5:$G$2162,'октябрь 2024'!$D$5:$D$2162,$B165,'октябрь 2024'!$J$5:$J$2162,R$1)</f>
        <v>0</v>
      </c>
      <c r="S165" s="80">
        <f>SUMIFS('октябрь 2024'!$G$5:$G$2162,'октябрь 2024'!$D$5:$D$2162,$B165,'октябрь 2024'!$J$5:$J$2162,S$1)</f>
        <v>0</v>
      </c>
      <c r="T165" s="80">
        <f>SUMIFS('октябрь 2024'!$G$5:$G$2162,'октябрь 2024'!$D$5:$D$2162,$B165,'октябрь 2024'!$J$5:$J$2162,T$1)</f>
        <v>0</v>
      </c>
      <c r="U165" s="80">
        <f>SUMIFS('октябрь 2024'!$G$5:$G$2162,'октябрь 2024'!$D$5:$D$2162,$B165,'октябрь 2024'!$J$5:$J$2162,U$1)</f>
        <v>0</v>
      </c>
      <c r="V165" s="80">
        <f>SUMIFS('октябрь 2024'!$G$5:$G$2162,'октябрь 2024'!$D$5:$D$2162,$B165,'октябрь 2024'!$J$5:$J$2162,V$1)</f>
        <v>0</v>
      </c>
      <c r="W165" s="80">
        <f>SUMIFS('октябрь 2024'!$G$5:$G$2162,'октябрь 2024'!$D$5:$D$2162,$B165,'октябрь 2024'!$J$5:$J$2162,W$1)</f>
        <v>0</v>
      </c>
      <c r="X165" s="80">
        <f>SUMIFS('октябрь 2024'!$G$5:$G$2162,'октябрь 2024'!$D$5:$D$2162,$B165,'октябрь 2024'!$J$5:$J$2162,X$1)</f>
        <v>0</v>
      </c>
      <c r="Y165" s="80">
        <f>SUMIFS('октябрь 2024'!$G$5:$G$2162,'октябрь 2024'!$D$5:$D$2162,$B165,'октябрь 2024'!$J$5:$J$2162,Y$1)</f>
        <v>0</v>
      </c>
      <c r="Z165" s="80">
        <f>SUMIFS('октябрь 2024'!$G$5:$G$2162,'октябрь 2024'!$D$5:$D$2162,$B165,'октябрь 2024'!$J$5:$J$2162,Z$1)</f>
        <v>0</v>
      </c>
      <c r="AA165" s="80">
        <f>SUMIFS('октябрь 2024'!$G$5:$G$2162,'октябрь 2024'!$D$5:$D$2162,$B165,'октябрь 2024'!$J$5:$J$2162,AA$1)</f>
        <v>0</v>
      </c>
      <c r="AB165" s="80">
        <f>SUMIFS('октябрь 2024'!$G$5:$G$2162,'октябрь 2024'!$D$5:$D$2162,$B165,'октябрь 2024'!$J$5:$J$2162,AB$1)</f>
        <v>0</v>
      </c>
      <c r="AC165" s="80">
        <f>SUMIFS('октябрь 2024'!$G$5:$G$2162,'октябрь 2024'!$D$5:$D$2162,$B165,'октябрь 2024'!$J$5:$J$2162,AC$1)</f>
        <v>0</v>
      </c>
      <c r="AD165" s="80">
        <f>SUMIFS('октябрь 2024'!$G$5:$G$2162,'октябрь 2024'!$D$5:$D$2162,$B165,'октябрь 2024'!$J$5:$J$2162,AD$1)</f>
        <v>0</v>
      </c>
      <c r="AE165" s="80">
        <f>SUMIFS('октябрь 2024'!$G$5:$G$2162,'октябрь 2024'!$D$5:$D$2162,$B165,'октябрь 2024'!$J$5:$J$2162,AE$1)</f>
        <v>0</v>
      </c>
      <c r="AF165" s="80">
        <f>SUMIFS('октябрь 2024'!$G$5:$G$2162,'октябрь 2024'!$D$5:$D$2162,$B165,'октябрь 2024'!$J$5:$J$2162,AF$1)</f>
        <v>0</v>
      </c>
      <c r="AG165" s="80">
        <f>SUMIFS('октябрь 2024'!$G$5:$G$2162,'октябрь 2024'!$D$5:$D$2162,$B165,'октябрь 2024'!$J$5:$J$2162,AG$1)</f>
        <v>0</v>
      </c>
      <c r="AH165" s="80">
        <f>SUMIFS('октябрь 2024'!$G$5:$G$2162,'октябрь 2024'!$D$5:$D$2162,$B165,'октябрь 2024'!$J$5:$J$2162,AH$1)</f>
        <v>0</v>
      </c>
      <c r="AI165" s="87"/>
    </row>
    <row r="166" spans="2:35" ht="15" hidden="1" customHeight="1" x14ac:dyDescent="0.25">
      <c r="B166" s="93"/>
      <c r="C166" s="91"/>
      <c r="D166" s="80">
        <f>SUMIFS('октябрь 2024'!$G$5:$G$2162,'октябрь 2024'!$D$5:$D$2162,$B166,'октябрь 2024'!$J$5:$J$2162,D$1)</f>
        <v>0</v>
      </c>
      <c r="E166" s="80">
        <f>SUMIFS('октябрь 2024'!$G$5:$G$2162,'октябрь 2024'!$D$5:$D$2162,$B166,'октябрь 2024'!$J$5:$J$2162,E$1)</f>
        <v>0</v>
      </c>
      <c r="F166" s="80">
        <f>SUMIFS('октябрь 2024'!$G$5:$G$2162,'октябрь 2024'!$D$5:$D$2162,$B166,'октябрь 2024'!$J$5:$J$2162,F$1)</f>
        <v>0</v>
      </c>
      <c r="G166" s="80">
        <f>SUMIFS('октябрь 2024'!$G$5:$G$2162,'октябрь 2024'!$D$5:$D$2162,$B166,'октябрь 2024'!$J$5:$J$2162,G$1)</f>
        <v>0</v>
      </c>
      <c r="H166" s="80">
        <f>SUMIFS('октябрь 2024'!$G$5:$G$2162,'октябрь 2024'!$D$5:$D$2162,$B166,'октябрь 2024'!$J$5:$J$2162,H$1)</f>
        <v>0</v>
      </c>
      <c r="I166" s="80">
        <f>SUMIFS('октябрь 2024'!$G$5:$G$2162,'октябрь 2024'!$D$5:$D$2162,$B166,'октябрь 2024'!$J$5:$J$2162,I$1)</f>
        <v>0</v>
      </c>
      <c r="J166" s="80">
        <f>SUMIFS('октябрь 2024'!$G$5:$G$2162,'октябрь 2024'!$D$5:$D$2162,$B166,'октябрь 2024'!$J$5:$J$2162,J$1)</f>
        <v>0</v>
      </c>
      <c r="K166" s="80">
        <f>SUMIFS('октябрь 2024'!$G$5:$G$2162,'октябрь 2024'!$D$5:$D$2162,$B166,'октябрь 2024'!$J$5:$J$2162,K$1)</f>
        <v>0</v>
      </c>
      <c r="L166" s="80">
        <f>SUMIFS('октябрь 2024'!$G$5:$G$2162,'октябрь 2024'!$D$5:$D$2162,$B166,'октябрь 2024'!$J$5:$J$2162,L$1)</f>
        <v>0</v>
      </c>
      <c r="M166" s="80">
        <f>SUMIFS('октябрь 2024'!$G$5:$G$2162,'октябрь 2024'!$D$5:$D$2162,$B166,'октябрь 2024'!$J$5:$J$2162,M$1)</f>
        <v>0</v>
      </c>
      <c r="N166" s="80">
        <f>SUMIFS('октябрь 2024'!$G$5:$G$2162,'октябрь 2024'!$D$5:$D$2162,$B166,'октябрь 2024'!$J$5:$J$2162,N$1)</f>
        <v>0</v>
      </c>
      <c r="O166" s="80">
        <f>SUMIFS('октябрь 2024'!$G$5:$G$2162,'октябрь 2024'!$D$5:$D$2162,$B166,'октябрь 2024'!$J$5:$J$2162,O$1)</f>
        <v>0</v>
      </c>
      <c r="P166" s="80">
        <f>SUMIFS('октябрь 2024'!$G$5:$G$2162,'октябрь 2024'!$D$5:$D$2162,$B166,'октябрь 2024'!$J$5:$J$2162,P$1)</f>
        <v>0</v>
      </c>
      <c r="Q166" s="80">
        <f>SUMIFS('октябрь 2024'!$G$5:$G$2162,'октябрь 2024'!$D$5:$D$2162,$B166,'октябрь 2024'!$J$5:$J$2162,Q$1)</f>
        <v>0</v>
      </c>
      <c r="R166" s="80">
        <f>SUMIFS('октябрь 2024'!$G$5:$G$2162,'октябрь 2024'!$D$5:$D$2162,$B166,'октябрь 2024'!$J$5:$J$2162,R$1)</f>
        <v>0</v>
      </c>
      <c r="S166" s="80">
        <f>SUMIFS('октябрь 2024'!$G$5:$G$2162,'октябрь 2024'!$D$5:$D$2162,$B166,'октябрь 2024'!$J$5:$J$2162,S$1)</f>
        <v>0</v>
      </c>
      <c r="T166" s="80">
        <f>SUMIFS('октябрь 2024'!$G$5:$G$2162,'октябрь 2024'!$D$5:$D$2162,$B166,'октябрь 2024'!$J$5:$J$2162,T$1)</f>
        <v>0</v>
      </c>
      <c r="U166" s="80">
        <f>SUMIFS('октябрь 2024'!$G$5:$G$2162,'октябрь 2024'!$D$5:$D$2162,$B166,'октябрь 2024'!$J$5:$J$2162,U$1)</f>
        <v>0</v>
      </c>
      <c r="V166" s="80">
        <f>SUMIFS('октябрь 2024'!$G$5:$G$2162,'октябрь 2024'!$D$5:$D$2162,$B166,'октябрь 2024'!$J$5:$J$2162,V$1)</f>
        <v>0</v>
      </c>
      <c r="W166" s="80">
        <f>SUMIFS('октябрь 2024'!$G$5:$G$2162,'октябрь 2024'!$D$5:$D$2162,$B166,'октябрь 2024'!$J$5:$J$2162,W$1)</f>
        <v>0</v>
      </c>
      <c r="X166" s="80">
        <f>SUMIFS('октябрь 2024'!$G$5:$G$2162,'октябрь 2024'!$D$5:$D$2162,$B166,'октябрь 2024'!$J$5:$J$2162,X$1)</f>
        <v>0</v>
      </c>
      <c r="Y166" s="80">
        <f>SUMIFS('октябрь 2024'!$G$5:$G$2162,'октябрь 2024'!$D$5:$D$2162,$B166,'октябрь 2024'!$J$5:$J$2162,Y$1)</f>
        <v>0</v>
      </c>
      <c r="Z166" s="80">
        <f>SUMIFS('октябрь 2024'!$G$5:$G$2162,'октябрь 2024'!$D$5:$D$2162,$B166,'октябрь 2024'!$J$5:$J$2162,Z$1)</f>
        <v>0</v>
      </c>
      <c r="AA166" s="80">
        <f>SUMIFS('октябрь 2024'!$G$5:$G$2162,'октябрь 2024'!$D$5:$D$2162,$B166,'октябрь 2024'!$J$5:$J$2162,AA$1)</f>
        <v>0</v>
      </c>
      <c r="AB166" s="80">
        <f>SUMIFS('октябрь 2024'!$G$5:$G$2162,'октябрь 2024'!$D$5:$D$2162,$B166,'октябрь 2024'!$J$5:$J$2162,AB$1)</f>
        <v>0</v>
      </c>
      <c r="AC166" s="80">
        <f>SUMIFS('октябрь 2024'!$G$5:$G$2162,'октябрь 2024'!$D$5:$D$2162,$B166,'октябрь 2024'!$J$5:$J$2162,AC$1)</f>
        <v>0</v>
      </c>
      <c r="AD166" s="80">
        <f>SUMIFS('октябрь 2024'!$G$5:$G$2162,'октябрь 2024'!$D$5:$D$2162,$B166,'октябрь 2024'!$J$5:$J$2162,AD$1)</f>
        <v>0</v>
      </c>
      <c r="AE166" s="80">
        <f>SUMIFS('октябрь 2024'!$G$5:$G$2162,'октябрь 2024'!$D$5:$D$2162,$B166,'октябрь 2024'!$J$5:$J$2162,AE$1)</f>
        <v>0</v>
      </c>
      <c r="AF166" s="80">
        <f>SUMIFS('октябрь 2024'!$G$5:$G$2162,'октябрь 2024'!$D$5:$D$2162,$B166,'октябрь 2024'!$J$5:$J$2162,AF$1)</f>
        <v>0</v>
      </c>
      <c r="AG166" s="80">
        <f>SUMIFS('октябрь 2024'!$G$5:$G$2162,'октябрь 2024'!$D$5:$D$2162,$B166,'октябрь 2024'!$J$5:$J$2162,AG$1)</f>
        <v>0</v>
      </c>
      <c r="AH166" s="80">
        <f>SUMIFS('октябрь 2024'!$G$5:$G$2162,'октябрь 2024'!$D$5:$D$2162,$B166,'октябрь 2024'!$J$5:$J$2162,AH$1)</f>
        <v>0</v>
      </c>
      <c r="AI166" s="87"/>
    </row>
    <row r="167" spans="2:35" ht="15" hidden="1" customHeight="1" x14ac:dyDescent="0.25">
      <c r="B167" s="93"/>
      <c r="C167" s="91"/>
      <c r="D167" s="80">
        <f>SUMIFS('октябрь 2024'!$G$5:$G$2162,'октябрь 2024'!$D$5:$D$2162,$B167,'октябрь 2024'!$J$5:$J$2162,D$1)</f>
        <v>0</v>
      </c>
      <c r="E167" s="80">
        <f>SUMIFS('октябрь 2024'!$G$5:$G$2162,'октябрь 2024'!$D$5:$D$2162,$B167,'октябрь 2024'!$J$5:$J$2162,E$1)</f>
        <v>0</v>
      </c>
      <c r="F167" s="80">
        <f>SUMIFS('октябрь 2024'!$G$5:$G$2162,'октябрь 2024'!$D$5:$D$2162,$B167,'октябрь 2024'!$J$5:$J$2162,F$1)</f>
        <v>0</v>
      </c>
      <c r="G167" s="80">
        <f>SUMIFS('октябрь 2024'!$G$5:$G$2162,'октябрь 2024'!$D$5:$D$2162,$B167,'октябрь 2024'!$J$5:$J$2162,G$1)</f>
        <v>0</v>
      </c>
      <c r="H167" s="80">
        <f>SUMIFS('октябрь 2024'!$G$5:$G$2162,'октябрь 2024'!$D$5:$D$2162,$B167,'октябрь 2024'!$J$5:$J$2162,H$1)</f>
        <v>0</v>
      </c>
      <c r="I167" s="80">
        <f>SUMIFS('октябрь 2024'!$G$5:$G$2162,'октябрь 2024'!$D$5:$D$2162,$B167,'октябрь 2024'!$J$5:$J$2162,I$1)</f>
        <v>0</v>
      </c>
      <c r="J167" s="80">
        <f>SUMIFS('октябрь 2024'!$G$5:$G$2162,'октябрь 2024'!$D$5:$D$2162,$B167,'октябрь 2024'!$J$5:$J$2162,J$1)</f>
        <v>0</v>
      </c>
      <c r="K167" s="80">
        <f>SUMIFS('октябрь 2024'!$G$5:$G$2162,'октябрь 2024'!$D$5:$D$2162,$B167,'октябрь 2024'!$J$5:$J$2162,K$1)</f>
        <v>0</v>
      </c>
      <c r="L167" s="80">
        <f>SUMIFS('октябрь 2024'!$G$5:$G$2162,'октябрь 2024'!$D$5:$D$2162,$B167,'октябрь 2024'!$J$5:$J$2162,L$1)</f>
        <v>0</v>
      </c>
      <c r="M167" s="80">
        <f>SUMIFS('октябрь 2024'!$G$5:$G$2162,'октябрь 2024'!$D$5:$D$2162,$B167,'октябрь 2024'!$J$5:$J$2162,M$1)</f>
        <v>0</v>
      </c>
      <c r="N167" s="80">
        <f>SUMIFS('октябрь 2024'!$G$5:$G$2162,'октябрь 2024'!$D$5:$D$2162,$B167,'октябрь 2024'!$J$5:$J$2162,N$1)</f>
        <v>0</v>
      </c>
      <c r="O167" s="80">
        <f>SUMIFS('октябрь 2024'!$G$5:$G$2162,'октябрь 2024'!$D$5:$D$2162,$B167,'октябрь 2024'!$J$5:$J$2162,O$1)</f>
        <v>0</v>
      </c>
      <c r="P167" s="80">
        <f>SUMIFS('октябрь 2024'!$G$5:$G$2162,'октябрь 2024'!$D$5:$D$2162,$B167,'октябрь 2024'!$J$5:$J$2162,P$1)</f>
        <v>0</v>
      </c>
      <c r="Q167" s="80">
        <f>SUMIFS('октябрь 2024'!$G$5:$G$2162,'октябрь 2024'!$D$5:$D$2162,$B167,'октябрь 2024'!$J$5:$J$2162,Q$1)</f>
        <v>0</v>
      </c>
      <c r="R167" s="80">
        <f>SUMIFS('октябрь 2024'!$G$5:$G$2162,'октябрь 2024'!$D$5:$D$2162,$B167,'октябрь 2024'!$J$5:$J$2162,R$1)</f>
        <v>0</v>
      </c>
      <c r="S167" s="80">
        <f>SUMIFS('октябрь 2024'!$G$5:$G$2162,'октябрь 2024'!$D$5:$D$2162,$B167,'октябрь 2024'!$J$5:$J$2162,S$1)</f>
        <v>0</v>
      </c>
      <c r="T167" s="80">
        <f>SUMIFS('октябрь 2024'!$G$5:$G$2162,'октябрь 2024'!$D$5:$D$2162,$B167,'октябрь 2024'!$J$5:$J$2162,T$1)</f>
        <v>0</v>
      </c>
      <c r="U167" s="80">
        <f>SUMIFS('октябрь 2024'!$G$5:$G$2162,'октябрь 2024'!$D$5:$D$2162,$B167,'октябрь 2024'!$J$5:$J$2162,U$1)</f>
        <v>0</v>
      </c>
      <c r="V167" s="80">
        <f>SUMIFS('октябрь 2024'!$G$5:$G$2162,'октябрь 2024'!$D$5:$D$2162,$B167,'октябрь 2024'!$J$5:$J$2162,V$1)</f>
        <v>0</v>
      </c>
      <c r="W167" s="80">
        <f>SUMIFS('октябрь 2024'!$G$5:$G$2162,'октябрь 2024'!$D$5:$D$2162,$B167,'октябрь 2024'!$J$5:$J$2162,W$1)</f>
        <v>0</v>
      </c>
      <c r="X167" s="80">
        <f>SUMIFS('октябрь 2024'!$G$5:$G$2162,'октябрь 2024'!$D$5:$D$2162,$B167,'октябрь 2024'!$J$5:$J$2162,X$1)</f>
        <v>0</v>
      </c>
      <c r="Y167" s="80">
        <f>SUMIFS('октябрь 2024'!$G$5:$G$2162,'октябрь 2024'!$D$5:$D$2162,$B167,'октябрь 2024'!$J$5:$J$2162,Y$1)</f>
        <v>0</v>
      </c>
      <c r="Z167" s="80">
        <f>SUMIFS('октябрь 2024'!$G$5:$G$2162,'октябрь 2024'!$D$5:$D$2162,$B167,'октябрь 2024'!$J$5:$J$2162,Z$1)</f>
        <v>0</v>
      </c>
      <c r="AA167" s="80">
        <f>SUMIFS('октябрь 2024'!$G$5:$G$2162,'октябрь 2024'!$D$5:$D$2162,$B167,'октябрь 2024'!$J$5:$J$2162,AA$1)</f>
        <v>0</v>
      </c>
      <c r="AB167" s="80">
        <f>SUMIFS('октябрь 2024'!$G$5:$G$2162,'октябрь 2024'!$D$5:$D$2162,$B167,'октябрь 2024'!$J$5:$J$2162,AB$1)</f>
        <v>0</v>
      </c>
      <c r="AC167" s="80">
        <f>SUMIFS('октябрь 2024'!$G$5:$G$2162,'октябрь 2024'!$D$5:$D$2162,$B167,'октябрь 2024'!$J$5:$J$2162,AC$1)</f>
        <v>0</v>
      </c>
      <c r="AD167" s="80">
        <f>SUMIFS('октябрь 2024'!$G$5:$G$2162,'октябрь 2024'!$D$5:$D$2162,$B167,'октябрь 2024'!$J$5:$J$2162,AD$1)</f>
        <v>0</v>
      </c>
      <c r="AE167" s="80">
        <f>SUMIFS('октябрь 2024'!$G$5:$G$2162,'октябрь 2024'!$D$5:$D$2162,$B167,'октябрь 2024'!$J$5:$J$2162,AE$1)</f>
        <v>0</v>
      </c>
      <c r="AF167" s="80">
        <f>SUMIFS('октябрь 2024'!$G$5:$G$2162,'октябрь 2024'!$D$5:$D$2162,$B167,'октябрь 2024'!$J$5:$J$2162,AF$1)</f>
        <v>0</v>
      </c>
      <c r="AG167" s="80">
        <f>SUMIFS('октябрь 2024'!$G$5:$G$2162,'октябрь 2024'!$D$5:$D$2162,$B167,'октябрь 2024'!$J$5:$J$2162,AG$1)</f>
        <v>0</v>
      </c>
      <c r="AH167" s="80">
        <f>SUMIFS('октябрь 2024'!$G$5:$G$2162,'октябрь 2024'!$D$5:$D$2162,$B167,'октябрь 2024'!$J$5:$J$2162,AH$1)</f>
        <v>0</v>
      </c>
      <c r="AI167" s="87"/>
    </row>
    <row r="168" spans="2:35" ht="15" hidden="1" customHeight="1" x14ac:dyDescent="0.25">
      <c r="B168" s="89"/>
      <c r="C168" s="88"/>
      <c r="D168" s="80">
        <f>SUMIFS('октябрь 2024'!$G$5:$G$2162,'октябрь 2024'!$D$5:$D$2162,$B168,'октябрь 2024'!$J$5:$J$2162,D$1)</f>
        <v>0</v>
      </c>
      <c r="E168" s="80">
        <f>SUMIFS('октябрь 2024'!$G$5:$G$2162,'октябрь 2024'!$D$5:$D$2162,$B168,'октябрь 2024'!$J$5:$J$2162,E$1)</f>
        <v>0</v>
      </c>
      <c r="F168" s="80">
        <f>SUMIFS('октябрь 2024'!$G$5:$G$2162,'октябрь 2024'!$D$5:$D$2162,$B168,'октябрь 2024'!$J$5:$J$2162,F$1)</f>
        <v>0</v>
      </c>
      <c r="G168" s="80">
        <f>SUMIFS('октябрь 2024'!$G$5:$G$2162,'октябрь 2024'!$D$5:$D$2162,$B168,'октябрь 2024'!$J$5:$J$2162,G$1)</f>
        <v>0</v>
      </c>
      <c r="H168" s="80">
        <f>SUMIFS('октябрь 2024'!$G$5:$G$2162,'октябрь 2024'!$D$5:$D$2162,$B168,'октябрь 2024'!$J$5:$J$2162,H$1)</f>
        <v>0</v>
      </c>
      <c r="I168" s="80">
        <f>SUMIFS('октябрь 2024'!$G$5:$G$2162,'октябрь 2024'!$D$5:$D$2162,$B168,'октябрь 2024'!$J$5:$J$2162,I$1)</f>
        <v>0</v>
      </c>
      <c r="J168" s="80">
        <f>SUMIFS('октябрь 2024'!$G$5:$G$2162,'октябрь 2024'!$D$5:$D$2162,$B168,'октябрь 2024'!$J$5:$J$2162,J$1)</f>
        <v>0</v>
      </c>
      <c r="K168" s="80">
        <f>SUMIFS('октябрь 2024'!$G$5:$G$2162,'октябрь 2024'!$D$5:$D$2162,$B168,'октябрь 2024'!$J$5:$J$2162,K$1)</f>
        <v>0</v>
      </c>
      <c r="L168" s="80">
        <f>SUMIFS('октябрь 2024'!$G$5:$G$2162,'октябрь 2024'!$D$5:$D$2162,$B168,'октябрь 2024'!$J$5:$J$2162,L$1)</f>
        <v>0</v>
      </c>
      <c r="M168" s="80">
        <f>SUMIFS('октябрь 2024'!$G$5:$G$2162,'октябрь 2024'!$D$5:$D$2162,$B168,'октябрь 2024'!$J$5:$J$2162,M$1)</f>
        <v>0</v>
      </c>
      <c r="N168" s="80">
        <f>SUMIFS('октябрь 2024'!$G$5:$G$2162,'октябрь 2024'!$D$5:$D$2162,$B168,'октябрь 2024'!$J$5:$J$2162,N$1)</f>
        <v>0</v>
      </c>
      <c r="O168" s="80">
        <f>SUMIFS('октябрь 2024'!$G$5:$G$2162,'октябрь 2024'!$D$5:$D$2162,$B168,'октябрь 2024'!$J$5:$J$2162,O$1)</f>
        <v>0</v>
      </c>
      <c r="P168" s="80">
        <f>SUMIFS('октябрь 2024'!$G$5:$G$2162,'октябрь 2024'!$D$5:$D$2162,$B168,'октябрь 2024'!$J$5:$J$2162,P$1)</f>
        <v>0</v>
      </c>
      <c r="Q168" s="80">
        <f>SUMIFS('октябрь 2024'!$G$5:$G$2162,'октябрь 2024'!$D$5:$D$2162,$B168,'октябрь 2024'!$J$5:$J$2162,Q$1)</f>
        <v>0</v>
      </c>
      <c r="R168" s="80">
        <f>SUMIFS('октябрь 2024'!$G$5:$G$2162,'октябрь 2024'!$D$5:$D$2162,$B168,'октябрь 2024'!$J$5:$J$2162,R$1)</f>
        <v>0</v>
      </c>
      <c r="S168" s="80">
        <f>SUMIFS('октябрь 2024'!$G$5:$G$2162,'октябрь 2024'!$D$5:$D$2162,$B168,'октябрь 2024'!$J$5:$J$2162,S$1)</f>
        <v>0</v>
      </c>
      <c r="T168" s="80">
        <f>SUMIFS('октябрь 2024'!$G$5:$G$2162,'октябрь 2024'!$D$5:$D$2162,$B168,'октябрь 2024'!$J$5:$J$2162,T$1)</f>
        <v>0</v>
      </c>
      <c r="U168" s="80">
        <f>SUMIFS('октябрь 2024'!$G$5:$G$2162,'октябрь 2024'!$D$5:$D$2162,$B168,'октябрь 2024'!$J$5:$J$2162,U$1)</f>
        <v>0</v>
      </c>
      <c r="V168" s="80">
        <f>SUMIFS('октябрь 2024'!$G$5:$G$2162,'октябрь 2024'!$D$5:$D$2162,$B168,'октябрь 2024'!$J$5:$J$2162,V$1)</f>
        <v>0</v>
      </c>
      <c r="W168" s="80">
        <f>SUMIFS('октябрь 2024'!$G$5:$G$2162,'октябрь 2024'!$D$5:$D$2162,$B168,'октябрь 2024'!$J$5:$J$2162,W$1)</f>
        <v>0</v>
      </c>
      <c r="X168" s="80">
        <f>SUMIFS('октябрь 2024'!$G$5:$G$2162,'октябрь 2024'!$D$5:$D$2162,$B168,'октябрь 2024'!$J$5:$J$2162,X$1)</f>
        <v>0</v>
      </c>
      <c r="Y168" s="80">
        <f>SUMIFS('октябрь 2024'!$G$5:$G$2162,'октябрь 2024'!$D$5:$D$2162,$B168,'октябрь 2024'!$J$5:$J$2162,Y$1)</f>
        <v>0</v>
      </c>
      <c r="Z168" s="80">
        <f>SUMIFS('октябрь 2024'!$G$5:$G$2162,'октябрь 2024'!$D$5:$D$2162,$B168,'октябрь 2024'!$J$5:$J$2162,Z$1)</f>
        <v>0</v>
      </c>
      <c r="AA168" s="80">
        <f>SUMIFS('октябрь 2024'!$G$5:$G$2162,'октябрь 2024'!$D$5:$D$2162,$B168,'октябрь 2024'!$J$5:$J$2162,AA$1)</f>
        <v>0</v>
      </c>
      <c r="AB168" s="80">
        <f>SUMIFS('октябрь 2024'!$G$5:$G$2162,'октябрь 2024'!$D$5:$D$2162,$B168,'октябрь 2024'!$J$5:$J$2162,AB$1)</f>
        <v>0</v>
      </c>
      <c r="AC168" s="80">
        <f>SUMIFS('октябрь 2024'!$G$5:$G$2162,'октябрь 2024'!$D$5:$D$2162,$B168,'октябрь 2024'!$J$5:$J$2162,AC$1)</f>
        <v>0</v>
      </c>
      <c r="AD168" s="80">
        <f>SUMIFS('октябрь 2024'!$G$5:$G$2162,'октябрь 2024'!$D$5:$D$2162,$B168,'октябрь 2024'!$J$5:$J$2162,AD$1)</f>
        <v>0</v>
      </c>
      <c r="AE168" s="80">
        <f>SUMIFS('октябрь 2024'!$G$5:$G$2162,'октябрь 2024'!$D$5:$D$2162,$B168,'октябрь 2024'!$J$5:$J$2162,AE$1)</f>
        <v>0</v>
      </c>
      <c r="AF168" s="80">
        <f>SUMIFS('октябрь 2024'!$G$5:$G$2162,'октябрь 2024'!$D$5:$D$2162,$B168,'октябрь 2024'!$J$5:$J$2162,AF$1)</f>
        <v>0</v>
      </c>
      <c r="AG168" s="80">
        <f>SUMIFS('октябрь 2024'!$G$5:$G$2162,'октябрь 2024'!$D$5:$D$2162,$B168,'октябрь 2024'!$J$5:$J$2162,AG$1)</f>
        <v>0</v>
      </c>
      <c r="AH168" s="80">
        <f>SUMIFS('октябрь 2024'!$G$5:$G$2162,'октябрь 2024'!$D$5:$D$2162,$B168,'октябрь 2024'!$J$5:$J$2162,AH$1)</f>
        <v>0</v>
      </c>
      <c r="AI168" s="87"/>
    </row>
    <row r="169" spans="2:35" ht="15" hidden="1" customHeight="1" x14ac:dyDescent="0.25">
      <c r="B169" s="89"/>
      <c r="C169" s="88"/>
      <c r="D169" s="80">
        <f>SUMIFS('октябрь 2024'!$G$5:$G$2162,'октябрь 2024'!$D$5:$D$2162,$B169,'октябрь 2024'!$J$5:$J$2162,D$1)</f>
        <v>0</v>
      </c>
      <c r="E169" s="80">
        <f>SUMIFS('октябрь 2024'!$G$5:$G$2162,'октябрь 2024'!$D$5:$D$2162,$B169,'октябрь 2024'!$J$5:$J$2162,E$1)</f>
        <v>0</v>
      </c>
      <c r="F169" s="80">
        <f>SUMIFS('октябрь 2024'!$G$5:$G$2162,'октябрь 2024'!$D$5:$D$2162,$B169,'октябрь 2024'!$J$5:$J$2162,F$1)</f>
        <v>0</v>
      </c>
      <c r="G169" s="80">
        <f>SUMIFS('октябрь 2024'!$G$5:$G$2162,'октябрь 2024'!$D$5:$D$2162,$B169,'октябрь 2024'!$J$5:$J$2162,G$1)</f>
        <v>0</v>
      </c>
      <c r="H169" s="80">
        <f>SUMIFS('октябрь 2024'!$G$5:$G$2162,'октябрь 2024'!$D$5:$D$2162,$B169,'октябрь 2024'!$J$5:$J$2162,H$1)</f>
        <v>0</v>
      </c>
      <c r="I169" s="80">
        <f>SUMIFS('октябрь 2024'!$G$5:$G$2162,'октябрь 2024'!$D$5:$D$2162,$B169,'октябрь 2024'!$J$5:$J$2162,I$1)</f>
        <v>0</v>
      </c>
      <c r="J169" s="80">
        <f>SUMIFS('октябрь 2024'!$G$5:$G$2162,'октябрь 2024'!$D$5:$D$2162,$B169,'октябрь 2024'!$J$5:$J$2162,J$1)</f>
        <v>0</v>
      </c>
      <c r="K169" s="80">
        <f>SUMIFS('октябрь 2024'!$G$5:$G$2162,'октябрь 2024'!$D$5:$D$2162,$B169,'октябрь 2024'!$J$5:$J$2162,K$1)</f>
        <v>0</v>
      </c>
      <c r="L169" s="80">
        <f>SUMIFS('октябрь 2024'!$G$5:$G$2162,'октябрь 2024'!$D$5:$D$2162,$B169,'октябрь 2024'!$J$5:$J$2162,L$1)</f>
        <v>0</v>
      </c>
      <c r="M169" s="80">
        <f>SUMIFS('октябрь 2024'!$G$5:$G$2162,'октябрь 2024'!$D$5:$D$2162,$B169,'октябрь 2024'!$J$5:$J$2162,M$1)</f>
        <v>0</v>
      </c>
      <c r="N169" s="80">
        <f>SUMIFS('октябрь 2024'!$G$5:$G$2162,'октябрь 2024'!$D$5:$D$2162,$B169,'октябрь 2024'!$J$5:$J$2162,N$1)</f>
        <v>0</v>
      </c>
      <c r="O169" s="80">
        <f>SUMIFS('октябрь 2024'!$G$5:$G$2162,'октябрь 2024'!$D$5:$D$2162,$B169,'октябрь 2024'!$J$5:$J$2162,O$1)</f>
        <v>0</v>
      </c>
      <c r="P169" s="80">
        <f>SUMIFS('октябрь 2024'!$G$5:$G$2162,'октябрь 2024'!$D$5:$D$2162,$B169,'октябрь 2024'!$J$5:$J$2162,P$1)</f>
        <v>0</v>
      </c>
      <c r="Q169" s="80">
        <f>SUMIFS('октябрь 2024'!$G$5:$G$2162,'октябрь 2024'!$D$5:$D$2162,$B169,'октябрь 2024'!$J$5:$J$2162,Q$1)</f>
        <v>0</v>
      </c>
      <c r="R169" s="80">
        <f>SUMIFS('октябрь 2024'!$G$5:$G$2162,'октябрь 2024'!$D$5:$D$2162,$B169,'октябрь 2024'!$J$5:$J$2162,R$1)</f>
        <v>0</v>
      </c>
      <c r="S169" s="80">
        <f>SUMIFS('октябрь 2024'!$G$5:$G$2162,'октябрь 2024'!$D$5:$D$2162,$B169,'октябрь 2024'!$J$5:$J$2162,S$1)</f>
        <v>0</v>
      </c>
      <c r="T169" s="80">
        <f>SUMIFS('октябрь 2024'!$G$5:$G$2162,'октябрь 2024'!$D$5:$D$2162,$B169,'октябрь 2024'!$J$5:$J$2162,T$1)</f>
        <v>0</v>
      </c>
      <c r="U169" s="80">
        <f>SUMIFS('октябрь 2024'!$G$5:$G$2162,'октябрь 2024'!$D$5:$D$2162,$B169,'октябрь 2024'!$J$5:$J$2162,U$1)</f>
        <v>0</v>
      </c>
      <c r="V169" s="80">
        <f>SUMIFS('октябрь 2024'!$G$5:$G$2162,'октябрь 2024'!$D$5:$D$2162,$B169,'октябрь 2024'!$J$5:$J$2162,V$1)</f>
        <v>0</v>
      </c>
      <c r="W169" s="80">
        <f>SUMIFS('октябрь 2024'!$G$5:$G$2162,'октябрь 2024'!$D$5:$D$2162,$B169,'октябрь 2024'!$J$5:$J$2162,W$1)</f>
        <v>0</v>
      </c>
      <c r="X169" s="80">
        <f>SUMIFS('октябрь 2024'!$G$5:$G$2162,'октябрь 2024'!$D$5:$D$2162,$B169,'октябрь 2024'!$J$5:$J$2162,X$1)</f>
        <v>0</v>
      </c>
      <c r="Y169" s="80">
        <f>SUMIFS('октябрь 2024'!$G$5:$G$2162,'октябрь 2024'!$D$5:$D$2162,$B169,'октябрь 2024'!$J$5:$J$2162,Y$1)</f>
        <v>0</v>
      </c>
      <c r="Z169" s="80">
        <f>SUMIFS('октябрь 2024'!$G$5:$G$2162,'октябрь 2024'!$D$5:$D$2162,$B169,'октябрь 2024'!$J$5:$J$2162,Z$1)</f>
        <v>0</v>
      </c>
      <c r="AA169" s="80">
        <f>SUMIFS('октябрь 2024'!$G$5:$G$2162,'октябрь 2024'!$D$5:$D$2162,$B169,'октябрь 2024'!$J$5:$J$2162,AA$1)</f>
        <v>0</v>
      </c>
      <c r="AB169" s="80">
        <f>SUMIFS('октябрь 2024'!$G$5:$G$2162,'октябрь 2024'!$D$5:$D$2162,$B169,'октябрь 2024'!$J$5:$J$2162,AB$1)</f>
        <v>0</v>
      </c>
      <c r="AC169" s="80">
        <f>SUMIFS('октябрь 2024'!$G$5:$G$2162,'октябрь 2024'!$D$5:$D$2162,$B169,'октябрь 2024'!$J$5:$J$2162,AC$1)</f>
        <v>0</v>
      </c>
      <c r="AD169" s="80">
        <f>SUMIFS('октябрь 2024'!$G$5:$G$2162,'октябрь 2024'!$D$5:$D$2162,$B169,'октябрь 2024'!$J$5:$J$2162,AD$1)</f>
        <v>0</v>
      </c>
      <c r="AE169" s="80">
        <f>SUMIFS('октябрь 2024'!$G$5:$G$2162,'октябрь 2024'!$D$5:$D$2162,$B169,'октябрь 2024'!$J$5:$J$2162,AE$1)</f>
        <v>0</v>
      </c>
      <c r="AF169" s="80">
        <f>SUMIFS('октябрь 2024'!$G$5:$G$2162,'октябрь 2024'!$D$5:$D$2162,$B169,'октябрь 2024'!$J$5:$J$2162,AF$1)</f>
        <v>0</v>
      </c>
      <c r="AG169" s="80">
        <f>SUMIFS('октябрь 2024'!$G$5:$G$2162,'октябрь 2024'!$D$5:$D$2162,$B169,'октябрь 2024'!$J$5:$J$2162,AG$1)</f>
        <v>0</v>
      </c>
      <c r="AH169" s="80">
        <f>SUMIFS('октябрь 2024'!$G$5:$G$2162,'октябрь 2024'!$D$5:$D$2162,$B169,'октябрь 2024'!$J$5:$J$2162,AH$1)</f>
        <v>0</v>
      </c>
      <c r="AI169" s="87"/>
    </row>
    <row r="170" spans="2:35" ht="15" hidden="1" customHeight="1" x14ac:dyDescent="0.25">
      <c r="B170" s="89"/>
      <c r="C170" s="88"/>
      <c r="D170" s="80">
        <f>SUMIFS('октябрь 2024'!$G$5:$G$2162,'октябрь 2024'!$D$5:$D$2162,$B170,'октябрь 2024'!$J$5:$J$2162,D$1)</f>
        <v>0</v>
      </c>
      <c r="E170" s="80">
        <f>SUMIFS('октябрь 2024'!$G$5:$G$2162,'октябрь 2024'!$D$5:$D$2162,$B170,'октябрь 2024'!$J$5:$J$2162,E$1)</f>
        <v>0</v>
      </c>
      <c r="F170" s="80">
        <f>SUMIFS('октябрь 2024'!$G$5:$G$2162,'октябрь 2024'!$D$5:$D$2162,$B170,'октябрь 2024'!$J$5:$J$2162,F$1)</f>
        <v>0</v>
      </c>
      <c r="G170" s="80">
        <f>SUMIFS('октябрь 2024'!$G$5:$G$2162,'октябрь 2024'!$D$5:$D$2162,$B170,'октябрь 2024'!$J$5:$J$2162,G$1)</f>
        <v>0</v>
      </c>
      <c r="H170" s="80">
        <f>SUMIFS('октябрь 2024'!$G$5:$G$2162,'октябрь 2024'!$D$5:$D$2162,$B170,'октябрь 2024'!$J$5:$J$2162,H$1)</f>
        <v>0</v>
      </c>
      <c r="I170" s="80">
        <f>SUMIFS('октябрь 2024'!$G$5:$G$2162,'октябрь 2024'!$D$5:$D$2162,$B170,'октябрь 2024'!$J$5:$J$2162,I$1)</f>
        <v>0</v>
      </c>
      <c r="J170" s="80">
        <f>SUMIFS('октябрь 2024'!$G$5:$G$2162,'октябрь 2024'!$D$5:$D$2162,$B170,'октябрь 2024'!$J$5:$J$2162,J$1)</f>
        <v>0</v>
      </c>
      <c r="K170" s="80">
        <f>SUMIFS('октябрь 2024'!$G$5:$G$2162,'октябрь 2024'!$D$5:$D$2162,$B170,'октябрь 2024'!$J$5:$J$2162,K$1)</f>
        <v>0</v>
      </c>
      <c r="L170" s="80">
        <f>SUMIFS('октябрь 2024'!$G$5:$G$2162,'октябрь 2024'!$D$5:$D$2162,$B170,'октябрь 2024'!$J$5:$J$2162,L$1)</f>
        <v>0</v>
      </c>
      <c r="M170" s="80">
        <f>SUMIFS('октябрь 2024'!$G$5:$G$2162,'октябрь 2024'!$D$5:$D$2162,$B170,'октябрь 2024'!$J$5:$J$2162,M$1)</f>
        <v>0</v>
      </c>
      <c r="N170" s="80">
        <f>SUMIFS('октябрь 2024'!$G$5:$G$2162,'октябрь 2024'!$D$5:$D$2162,$B170,'октябрь 2024'!$J$5:$J$2162,N$1)</f>
        <v>0</v>
      </c>
      <c r="O170" s="80">
        <f>SUMIFS('октябрь 2024'!$G$5:$G$2162,'октябрь 2024'!$D$5:$D$2162,$B170,'октябрь 2024'!$J$5:$J$2162,O$1)</f>
        <v>0</v>
      </c>
      <c r="P170" s="80">
        <f>SUMIFS('октябрь 2024'!$G$5:$G$2162,'октябрь 2024'!$D$5:$D$2162,$B170,'октябрь 2024'!$J$5:$J$2162,P$1)</f>
        <v>0</v>
      </c>
      <c r="Q170" s="80">
        <f>SUMIFS('октябрь 2024'!$G$5:$G$2162,'октябрь 2024'!$D$5:$D$2162,$B170,'октябрь 2024'!$J$5:$J$2162,Q$1)</f>
        <v>0</v>
      </c>
      <c r="R170" s="80">
        <f>SUMIFS('октябрь 2024'!$G$5:$G$2162,'октябрь 2024'!$D$5:$D$2162,$B170,'октябрь 2024'!$J$5:$J$2162,R$1)</f>
        <v>0</v>
      </c>
      <c r="S170" s="80">
        <f>SUMIFS('октябрь 2024'!$G$5:$G$2162,'октябрь 2024'!$D$5:$D$2162,$B170,'октябрь 2024'!$J$5:$J$2162,S$1)</f>
        <v>0</v>
      </c>
      <c r="T170" s="80">
        <f>SUMIFS('октябрь 2024'!$G$5:$G$2162,'октябрь 2024'!$D$5:$D$2162,$B170,'октябрь 2024'!$J$5:$J$2162,T$1)</f>
        <v>0</v>
      </c>
      <c r="U170" s="80">
        <f>SUMIFS('октябрь 2024'!$G$5:$G$2162,'октябрь 2024'!$D$5:$D$2162,$B170,'октябрь 2024'!$J$5:$J$2162,U$1)</f>
        <v>0</v>
      </c>
      <c r="V170" s="80">
        <f>SUMIFS('октябрь 2024'!$G$5:$G$2162,'октябрь 2024'!$D$5:$D$2162,$B170,'октябрь 2024'!$J$5:$J$2162,V$1)</f>
        <v>0</v>
      </c>
      <c r="W170" s="80">
        <f>SUMIFS('октябрь 2024'!$G$5:$G$2162,'октябрь 2024'!$D$5:$D$2162,$B170,'октябрь 2024'!$J$5:$J$2162,W$1)</f>
        <v>0</v>
      </c>
      <c r="X170" s="80">
        <f>SUMIFS('октябрь 2024'!$G$5:$G$2162,'октябрь 2024'!$D$5:$D$2162,$B170,'октябрь 2024'!$J$5:$J$2162,X$1)</f>
        <v>0</v>
      </c>
      <c r="Y170" s="80">
        <f>SUMIFS('октябрь 2024'!$G$5:$G$2162,'октябрь 2024'!$D$5:$D$2162,$B170,'октябрь 2024'!$J$5:$J$2162,Y$1)</f>
        <v>0</v>
      </c>
      <c r="Z170" s="80">
        <f>SUMIFS('октябрь 2024'!$G$5:$G$2162,'октябрь 2024'!$D$5:$D$2162,$B170,'октябрь 2024'!$J$5:$J$2162,Z$1)</f>
        <v>0</v>
      </c>
      <c r="AA170" s="80">
        <f>SUMIFS('октябрь 2024'!$G$5:$G$2162,'октябрь 2024'!$D$5:$D$2162,$B170,'октябрь 2024'!$J$5:$J$2162,AA$1)</f>
        <v>0</v>
      </c>
      <c r="AB170" s="80">
        <f>SUMIFS('октябрь 2024'!$G$5:$G$2162,'октябрь 2024'!$D$5:$D$2162,$B170,'октябрь 2024'!$J$5:$J$2162,AB$1)</f>
        <v>0</v>
      </c>
      <c r="AC170" s="80">
        <f>SUMIFS('октябрь 2024'!$G$5:$G$2162,'октябрь 2024'!$D$5:$D$2162,$B170,'октябрь 2024'!$J$5:$J$2162,AC$1)</f>
        <v>0</v>
      </c>
      <c r="AD170" s="80">
        <f>SUMIFS('октябрь 2024'!$G$5:$G$2162,'октябрь 2024'!$D$5:$D$2162,$B170,'октябрь 2024'!$J$5:$J$2162,AD$1)</f>
        <v>0</v>
      </c>
      <c r="AE170" s="80">
        <f>SUMIFS('октябрь 2024'!$G$5:$G$2162,'октябрь 2024'!$D$5:$D$2162,$B170,'октябрь 2024'!$J$5:$J$2162,AE$1)</f>
        <v>0</v>
      </c>
      <c r="AF170" s="80">
        <f>SUMIFS('октябрь 2024'!$G$5:$G$2162,'октябрь 2024'!$D$5:$D$2162,$B170,'октябрь 2024'!$J$5:$J$2162,AF$1)</f>
        <v>0</v>
      </c>
      <c r="AG170" s="80">
        <f>SUMIFS('октябрь 2024'!$G$5:$G$2162,'октябрь 2024'!$D$5:$D$2162,$B170,'октябрь 2024'!$J$5:$J$2162,AG$1)</f>
        <v>0</v>
      </c>
      <c r="AH170" s="80">
        <f>SUMIFS('октябрь 2024'!$G$5:$G$2162,'октябрь 2024'!$D$5:$D$2162,$B170,'октябрь 2024'!$J$5:$J$2162,AH$1)</f>
        <v>0</v>
      </c>
      <c r="AI170" s="87"/>
    </row>
    <row r="171" spans="2:35" ht="15" hidden="1" customHeight="1" x14ac:dyDescent="0.25">
      <c r="B171" s="94"/>
      <c r="C171" s="95"/>
      <c r="D171" s="80">
        <f>SUMIFS('октябрь 2024'!$G$5:$G$2162,'октябрь 2024'!$D$5:$D$2162,$B171,'октябрь 2024'!$J$5:$J$2162,D$1)</f>
        <v>0</v>
      </c>
      <c r="E171" s="80">
        <f>SUMIFS('октябрь 2024'!$G$5:$G$2162,'октябрь 2024'!$D$5:$D$2162,$B171,'октябрь 2024'!$J$5:$J$2162,E$1)</f>
        <v>0</v>
      </c>
      <c r="F171" s="80">
        <f>SUMIFS('октябрь 2024'!$G$5:$G$2162,'октябрь 2024'!$D$5:$D$2162,$B171,'октябрь 2024'!$J$5:$J$2162,F$1)</f>
        <v>0</v>
      </c>
      <c r="G171" s="80">
        <f>SUMIFS('октябрь 2024'!$G$5:$G$2162,'октябрь 2024'!$D$5:$D$2162,$B171,'октябрь 2024'!$J$5:$J$2162,G$1)</f>
        <v>0</v>
      </c>
      <c r="H171" s="80">
        <f>SUMIFS('октябрь 2024'!$G$5:$G$2162,'октябрь 2024'!$D$5:$D$2162,$B171,'октябрь 2024'!$J$5:$J$2162,H$1)</f>
        <v>0</v>
      </c>
      <c r="I171" s="80">
        <f>SUMIFS('октябрь 2024'!$G$5:$G$2162,'октябрь 2024'!$D$5:$D$2162,$B171,'октябрь 2024'!$J$5:$J$2162,I$1)</f>
        <v>0</v>
      </c>
      <c r="J171" s="80">
        <f>SUMIFS('октябрь 2024'!$G$5:$G$2162,'октябрь 2024'!$D$5:$D$2162,$B171,'октябрь 2024'!$J$5:$J$2162,J$1)</f>
        <v>0</v>
      </c>
      <c r="K171" s="80">
        <f>SUMIFS('октябрь 2024'!$G$5:$G$2162,'октябрь 2024'!$D$5:$D$2162,$B171,'октябрь 2024'!$J$5:$J$2162,K$1)</f>
        <v>0</v>
      </c>
      <c r="L171" s="80">
        <f>SUMIFS('октябрь 2024'!$G$5:$G$2162,'октябрь 2024'!$D$5:$D$2162,$B171,'октябрь 2024'!$J$5:$J$2162,L$1)</f>
        <v>0</v>
      </c>
      <c r="M171" s="80">
        <f>SUMIFS('октябрь 2024'!$G$5:$G$2162,'октябрь 2024'!$D$5:$D$2162,$B171,'октябрь 2024'!$J$5:$J$2162,M$1)</f>
        <v>0</v>
      </c>
      <c r="N171" s="80">
        <f>SUMIFS('октябрь 2024'!$G$5:$G$2162,'октябрь 2024'!$D$5:$D$2162,$B171,'октябрь 2024'!$J$5:$J$2162,N$1)</f>
        <v>0</v>
      </c>
      <c r="O171" s="80">
        <f>SUMIFS('октябрь 2024'!$G$5:$G$2162,'октябрь 2024'!$D$5:$D$2162,$B171,'октябрь 2024'!$J$5:$J$2162,O$1)</f>
        <v>0</v>
      </c>
      <c r="P171" s="80">
        <f>SUMIFS('октябрь 2024'!$G$5:$G$2162,'октябрь 2024'!$D$5:$D$2162,$B171,'октябрь 2024'!$J$5:$J$2162,P$1)</f>
        <v>0</v>
      </c>
      <c r="Q171" s="80">
        <f>SUMIFS('октябрь 2024'!$G$5:$G$2162,'октябрь 2024'!$D$5:$D$2162,$B171,'октябрь 2024'!$J$5:$J$2162,Q$1)</f>
        <v>0</v>
      </c>
      <c r="R171" s="80">
        <f>SUMIFS('октябрь 2024'!$G$5:$G$2162,'октябрь 2024'!$D$5:$D$2162,$B171,'октябрь 2024'!$J$5:$J$2162,R$1)</f>
        <v>0</v>
      </c>
      <c r="S171" s="80">
        <f>SUMIFS('октябрь 2024'!$G$5:$G$2162,'октябрь 2024'!$D$5:$D$2162,$B171,'октябрь 2024'!$J$5:$J$2162,S$1)</f>
        <v>0</v>
      </c>
      <c r="T171" s="80">
        <f>SUMIFS('октябрь 2024'!$G$5:$G$2162,'октябрь 2024'!$D$5:$D$2162,$B171,'октябрь 2024'!$J$5:$J$2162,T$1)</f>
        <v>0</v>
      </c>
      <c r="U171" s="80">
        <f>SUMIFS('октябрь 2024'!$G$5:$G$2162,'октябрь 2024'!$D$5:$D$2162,$B171,'октябрь 2024'!$J$5:$J$2162,U$1)</f>
        <v>0</v>
      </c>
      <c r="V171" s="80">
        <f>SUMIFS('октябрь 2024'!$G$5:$G$2162,'октябрь 2024'!$D$5:$D$2162,$B171,'октябрь 2024'!$J$5:$J$2162,V$1)</f>
        <v>0</v>
      </c>
      <c r="W171" s="80">
        <f>SUMIFS('октябрь 2024'!$G$5:$G$2162,'октябрь 2024'!$D$5:$D$2162,$B171,'октябрь 2024'!$J$5:$J$2162,W$1)</f>
        <v>0</v>
      </c>
      <c r="X171" s="80">
        <f>SUMIFS('октябрь 2024'!$G$5:$G$2162,'октябрь 2024'!$D$5:$D$2162,$B171,'октябрь 2024'!$J$5:$J$2162,X$1)</f>
        <v>0</v>
      </c>
      <c r="Y171" s="80">
        <f>SUMIFS('октябрь 2024'!$G$5:$G$2162,'октябрь 2024'!$D$5:$D$2162,$B171,'октябрь 2024'!$J$5:$J$2162,Y$1)</f>
        <v>0</v>
      </c>
      <c r="Z171" s="80">
        <f>SUMIFS('октябрь 2024'!$G$5:$G$2162,'октябрь 2024'!$D$5:$D$2162,$B171,'октябрь 2024'!$J$5:$J$2162,Z$1)</f>
        <v>0</v>
      </c>
      <c r="AA171" s="80">
        <f>SUMIFS('октябрь 2024'!$G$5:$G$2162,'октябрь 2024'!$D$5:$D$2162,$B171,'октябрь 2024'!$J$5:$J$2162,AA$1)</f>
        <v>0</v>
      </c>
      <c r="AB171" s="80">
        <f>SUMIFS('октябрь 2024'!$G$5:$G$2162,'октябрь 2024'!$D$5:$D$2162,$B171,'октябрь 2024'!$J$5:$J$2162,AB$1)</f>
        <v>0</v>
      </c>
      <c r="AC171" s="80">
        <f>SUMIFS('октябрь 2024'!$G$5:$G$2162,'октябрь 2024'!$D$5:$D$2162,$B171,'октябрь 2024'!$J$5:$J$2162,AC$1)</f>
        <v>0</v>
      </c>
      <c r="AD171" s="80">
        <f>SUMIFS('октябрь 2024'!$G$5:$G$2162,'октябрь 2024'!$D$5:$D$2162,$B171,'октябрь 2024'!$J$5:$J$2162,AD$1)</f>
        <v>0</v>
      </c>
      <c r="AE171" s="80">
        <f>SUMIFS('октябрь 2024'!$G$5:$G$2162,'октябрь 2024'!$D$5:$D$2162,$B171,'октябрь 2024'!$J$5:$J$2162,AE$1)</f>
        <v>0</v>
      </c>
      <c r="AF171" s="80">
        <f>SUMIFS('октябрь 2024'!$G$5:$G$2162,'октябрь 2024'!$D$5:$D$2162,$B171,'октябрь 2024'!$J$5:$J$2162,AF$1)</f>
        <v>0</v>
      </c>
      <c r="AG171" s="80">
        <f>SUMIFS('октябрь 2024'!$G$5:$G$2162,'октябрь 2024'!$D$5:$D$2162,$B171,'октябрь 2024'!$J$5:$J$2162,AG$1)</f>
        <v>0</v>
      </c>
      <c r="AH171" s="80">
        <f>SUMIFS('октябрь 2024'!$G$5:$G$2162,'октябрь 2024'!$D$5:$D$2162,$B171,'октябрь 2024'!$J$5:$J$2162,AH$1)</f>
        <v>0</v>
      </c>
      <c r="AI171" s="87"/>
    </row>
    <row r="172" spans="2:35" ht="15" hidden="1" customHeight="1" x14ac:dyDescent="0.25">
      <c r="B172" s="89"/>
      <c r="C172" s="91"/>
      <c r="D172" s="80">
        <f>SUMIFS('октябрь 2024'!$G$5:$G$2162,'октябрь 2024'!$D$5:$D$2162,$B172,'октябрь 2024'!$J$5:$J$2162,D$1)</f>
        <v>0</v>
      </c>
      <c r="E172" s="80">
        <f>SUMIFS('октябрь 2024'!$G$5:$G$2162,'октябрь 2024'!$D$5:$D$2162,$B172,'октябрь 2024'!$J$5:$J$2162,E$1)</f>
        <v>0</v>
      </c>
      <c r="F172" s="80">
        <f>SUMIFS('октябрь 2024'!$G$5:$G$2162,'октябрь 2024'!$D$5:$D$2162,$B172,'октябрь 2024'!$J$5:$J$2162,F$1)</f>
        <v>0</v>
      </c>
      <c r="G172" s="80">
        <f>SUMIFS('октябрь 2024'!$G$5:$G$2162,'октябрь 2024'!$D$5:$D$2162,$B172,'октябрь 2024'!$J$5:$J$2162,G$1)</f>
        <v>0</v>
      </c>
      <c r="H172" s="80">
        <f>SUMIFS('октябрь 2024'!$G$5:$G$2162,'октябрь 2024'!$D$5:$D$2162,$B172,'октябрь 2024'!$J$5:$J$2162,H$1)</f>
        <v>0</v>
      </c>
      <c r="I172" s="80">
        <f>SUMIFS('октябрь 2024'!$G$5:$G$2162,'октябрь 2024'!$D$5:$D$2162,$B172,'октябрь 2024'!$J$5:$J$2162,I$1)</f>
        <v>0</v>
      </c>
      <c r="J172" s="80">
        <f>SUMIFS('октябрь 2024'!$G$5:$G$2162,'октябрь 2024'!$D$5:$D$2162,$B172,'октябрь 2024'!$J$5:$J$2162,J$1)</f>
        <v>0</v>
      </c>
      <c r="K172" s="80">
        <f>SUMIFS('октябрь 2024'!$G$5:$G$2162,'октябрь 2024'!$D$5:$D$2162,$B172,'октябрь 2024'!$J$5:$J$2162,K$1)</f>
        <v>0</v>
      </c>
      <c r="L172" s="80">
        <f>SUMIFS('октябрь 2024'!$G$5:$G$2162,'октябрь 2024'!$D$5:$D$2162,$B172,'октябрь 2024'!$J$5:$J$2162,L$1)</f>
        <v>0</v>
      </c>
      <c r="M172" s="80">
        <f>SUMIFS('октябрь 2024'!$G$5:$G$2162,'октябрь 2024'!$D$5:$D$2162,$B172,'октябрь 2024'!$J$5:$J$2162,M$1)</f>
        <v>0</v>
      </c>
      <c r="N172" s="80">
        <f>SUMIFS('октябрь 2024'!$G$5:$G$2162,'октябрь 2024'!$D$5:$D$2162,$B172,'октябрь 2024'!$J$5:$J$2162,N$1)</f>
        <v>0</v>
      </c>
      <c r="O172" s="80">
        <f>SUMIFS('октябрь 2024'!$G$5:$G$2162,'октябрь 2024'!$D$5:$D$2162,$B172,'октябрь 2024'!$J$5:$J$2162,O$1)</f>
        <v>0</v>
      </c>
      <c r="P172" s="80">
        <f>SUMIFS('октябрь 2024'!$G$5:$G$2162,'октябрь 2024'!$D$5:$D$2162,$B172,'октябрь 2024'!$J$5:$J$2162,P$1)</f>
        <v>0</v>
      </c>
      <c r="Q172" s="80">
        <f>SUMIFS('октябрь 2024'!$G$5:$G$2162,'октябрь 2024'!$D$5:$D$2162,$B172,'октябрь 2024'!$J$5:$J$2162,Q$1)</f>
        <v>0</v>
      </c>
      <c r="R172" s="80">
        <f>SUMIFS('октябрь 2024'!$G$5:$G$2162,'октябрь 2024'!$D$5:$D$2162,$B172,'октябрь 2024'!$J$5:$J$2162,R$1)</f>
        <v>0</v>
      </c>
      <c r="S172" s="80">
        <f>SUMIFS('октябрь 2024'!$G$5:$G$2162,'октябрь 2024'!$D$5:$D$2162,$B172,'октябрь 2024'!$J$5:$J$2162,S$1)</f>
        <v>0</v>
      </c>
      <c r="T172" s="80">
        <f>SUMIFS('октябрь 2024'!$G$5:$G$2162,'октябрь 2024'!$D$5:$D$2162,$B172,'октябрь 2024'!$J$5:$J$2162,T$1)</f>
        <v>0</v>
      </c>
      <c r="U172" s="80">
        <f>SUMIFS('октябрь 2024'!$G$5:$G$2162,'октябрь 2024'!$D$5:$D$2162,$B172,'октябрь 2024'!$J$5:$J$2162,U$1)</f>
        <v>0</v>
      </c>
      <c r="V172" s="80">
        <f>SUMIFS('октябрь 2024'!$G$5:$G$2162,'октябрь 2024'!$D$5:$D$2162,$B172,'октябрь 2024'!$J$5:$J$2162,V$1)</f>
        <v>0</v>
      </c>
      <c r="W172" s="80">
        <f>SUMIFS('октябрь 2024'!$G$5:$G$2162,'октябрь 2024'!$D$5:$D$2162,$B172,'октябрь 2024'!$J$5:$J$2162,W$1)</f>
        <v>0</v>
      </c>
      <c r="X172" s="80">
        <f>SUMIFS('октябрь 2024'!$G$5:$G$2162,'октябрь 2024'!$D$5:$D$2162,$B172,'октябрь 2024'!$J$5:$J$2162,X$1)</f>
        <v>0</v>
      </c>
      <c r="Y172" s="80">
        <f>SUMIFS('октябрь 2024'!$G$5:$G$2162,'октябрь 2024'!$D$5:$D$2162,$B172,'октябрь 2024'!$J$5:$J$2162,Y$1)</f>
        <v>0</v>
      </c>
      <c r="Z172" s="80">
        <f>SUMIFS('октябрь 2024'!$G$5:$G$2162,'октябрь 2024'!$D$5:$D$2162,$B172,'октябрь 2024'!$J$5:$J$2162,Z$1)</f>
        <v>0</v>
      </c>
      <c r="AA172" s="80">
        <f>SUMIFS('октябрь 2024'!$G$5:$G$2162,'октябрь 2024'!$D$5:$D$2162,$B172,'октябрь 2024'!$J$5:$J$2162,AA$1)</f>
        <v>0</v>
      </c>
      <c r="AB172" s="80">
        <f>SUMIFS('октябрь 2024'!$G$5:$G$2162,'октябрь 2024'!$D$5:$D$2162,$B172,'октябрь 2024'!$J$5:$J$2162,AB$1)</f>
        <v>0</v>
      </c>
      <c r="AC172" s="80">
        <f>SUMIFS('октябрь 2024'!$G$5:$G$2162,'октябрь 2024'!$D$5:$D$2162,$B172,'октябрь 2024'!$J$5:$J$2162,AC$1)</f>
        <v>0</v>
      </c>
      <c r="AD172" s="80">
        <f>SUMIFS('октябрь 2024'!$G$5:$G$2162,'октябрь 2024'!$D$5:$D$2162,$B172,'октябрь 2024'!$J$5:$J$2162,AD$1)</f>
        <v>0</v>
      </c>
      <c r="AE172" s="80">
        <f>SUMIFS('октябрь 2024'!$G$5:$G$2162,'октябрь 2024'!$D$5:$D$2162,$B172,'октябрь 2024'!$J$5:$J$2162,AE$1)</f>
        <v>0</v>
      </c>
      <c r="AF172" s="80">
        <f>SUMIFS('октябрь 2024'!$G$5:$G$2162,'октябрь 2024'!$D$5:$D$2162,$B172,'октябрь 2024'!$J$5:$J$2162,AF$1)</f>
        <v>0</v>
      </c>
      <c r="AG172" s="80">
        <f>SUMIFS('октябрь 2024'!$G$5:$G$2162,'октябрь 2024'!$D$5:$D$2162,$B172,'октябрь 2024'!$J$5:$J$2162,AG$1)</f>
        <v>0</v>
      </c>
      <c r="AH172" s="80">
        <f>SUMIFS('октябрь 2024'!$G$5:$G$2162,'октябрь 2024'!$D$5:$D$2162,$B172,'октябрь 2024'!$J$5:$J$2162,AH$1)</f>
        <v>0</v>
      </c>
      <c r="AI172" s="87"/>
    </row>
    <row r="173" spans="2:35" ht="15" hidden="1" customHeight="1" x14ac:dyDescent="0.25">
      <c r="B173" s="89"/>
      <c r="C173" s="88"/>
      <c r="D173" s="80">
        <f>SUMIFS('октябрь 2024'!$G$5:$G$2162,'октябрь 2024'!$D$5:$D$2162,$B173,'октябрь 2024'!$J$5:$J$2162,D$1)</f>
        <v>0</v>
      </c>
      <c r="E173" s="80">
        <f>SUMIFS('октябрь 2024'!$G$5:$G$2162,'октябрь 2024'!$D$5:$D$2162,$B173,'октябрь 2024'!$J$5:$J$2162,E$1)</f>
        <v>0</v>
      </c>
      <c r="F173" s="80">
        <f>SUMIFS('октябрь 2024'!$G$5:$G$2162,'октябрь 2024'!$D$5:$D$2162,$B173,'октябрь 2024'!$J$5:$J$2162,F$1)</f>
        <v>0</v>
      </c>
      <c r="G173" s="80">
        <f>SUMIFS('октябрь 2024'!$G$5:$G$2162,'октябрь 2024'!$D$5:$D$2162,$B173,'октябрь 2024'!$J$5:$J$2162,G$1)</f>
        <v>0</v>
      </c>
      <c r="H173" s="80">
        <f>SUMIFS('октябрь 2024'!$G$5:$G$2162,'октябрь 2024'!$D$5:$D$2162,$B173,'октябрь 2024'!$J$5:$J$2162,H$1)</f>
        <v>0</v>
      </c>
      <c r="I173" s="80">
        <f>SUMIFS('октябрь 2024'!$G$5:$G$2162,'октябрь 2024'!$D$5:$D$2162,$B173,'октябрь 2024'!$J$5:$J$2162,I$1)</f>
        <v>0</v>
      </c>
      <c r="J173" s="80">
        <f>SUMIFS('октябрь 2024'!$G$5:$G$2162,'октябрь 2024'!$D$5:$D$2162,$B173,'октябрь 2024'!$J$5:$J$2162,J$1)</f>
        <v>0</v>
      </c>
      <c r="K173" s="80">
        <f>SUMIFS('октябрь 2024'!$G$5:$G$2162,'октябрь 2024'!$D$5:$D$2162,$B173,'октябрь 2024'!$J$5:$J$2162,K$1)</f>
        <v>0</v>
      </c>
      <c r="L173" s="80">
        <f>SUMIFS('октябрь 2024'!$G$5:$G$2162,'октябрь 2024'!$D$5:$D$2162,$B173,'октябрь 2024'!$J$5:$J$2162,L$1)</f>
        <v>0</v>
      </c>
      <c r="M173" s="80">
        <f>SUMIFS('октябрь 2024'!$G$5:$G$2162,'октябрь 2024'!$D$5:$D$2162,$B173,'октябрь 2024'!$J$5:$J$2162,M$1)</f>
        <v>0</v>
      </c>
      <c r="N173" s="80">
        <f>SUMIFS('октябрь 2024'!$G$5:$G$2162,'октябрь 2024'!$D$5:$D$2162,$B173,'октябрь 2024'!$J$5:$J$2162,N$1)</f>
        <v>0</v>
      </c>
      <c r="O173" s="80">
        <f>SUMIFS('октябрь 2024'!$G$5:$G$2162,'октябрь 2024'!$D$5:$D$2162,$B173,'октябрь 2024'!$J$5:$J$2162,O$1)</f>
        <v>0</v>
      </c>
      <c r="P173" s="80">
        <f>SUMIFS('октябрь 2024'!$G$5:$G$2162,'октябрь 2024'!$D$5:$D$2162,$B173,'октябрь 2024'!$J$5:$J$2162,P$1)</f>
        <v>0</v>
      </c>
      <c r="Q173" s="80">
        <f>SUMIFS('октябрь 2024'!$G$5:$G$2162,'октябрь 2024'!$D$5:$D$2162,$B173,'октябрь 2024'!$J$5:$J$2162,Q$1)</f>
        <v>0</v>
      </c>
      <c r="R173" s="80">
        <f>SUMIFS('октябрь 2024'!$G$5:$G$2162,'октябрь 2024'!$D$5:$D$2162,$B173,'октябрь 2024'!$J$5:$J$2162,R$1)</f>
        <v>0</v>
      </c>
      <c r="S173" s="80">
        <f>SUMIFS('октябрь 2024'!$G$5:$G$2162,'октябрь 2024'!$D$5:$D$2162,$B173,'октябрь 2024'!$J$5:$J$2162,S$1)</f>
        <v>0</v>
      </c>
      <c r="T173" s="80">
        <f>SUMIFS('октябрь 2024'!$G$5:$G$2162,'октябрь 2024'!$D$5:$D$2162,$B173,'октябрь 2024'!$J$5:$J$2162,T$1)</f>
        <v>0</v>
      </c>
      <c r="U173" s="80">
        <f>SUMIFS('октябрь 2024'!$G$5:$G$2162,'октябрь 2024'!$D$5:$D$2162,$B173,'октябрь 2024'!$J$5:$J$2162,U$1)</f>
        <v>0</v>
      </c>
      <c r="V173" s="80">
        <f>SUMIFS('октябрь 2024'!$G$5:$G$2162,'октябрь 2024'!$D$5:$D$2162,$B173,'октябрь 2024'!$J$5:$J$2162,V$1)</f>
        <v>0</v>
      </c>
      <c r="W173" s="80">
        <f>SUMIFS('октябрь 2024'!$G$5:$G$2162,'октябрь 2024'!$D$5:$D$2162,$B173,'октябрь 2024'!$J$5:$J$2162,W$1)</f>
        <v>0</v>
      </c>
      <c r="X173" s="80">
        <f>SUMIFS('октябрь 2024'!$G$5:$G$2162,'октябрь 2024'!$D$5:$D$2162,$B173,'октябрь 2024'!$J$5:$J$2162,X$1)</f>
        <v>0</v>
      </c>
      <c r="Y173" s="80">
        <f>SUMIFS('октябрь 2024'!$G$5:$G$2162,'октябрь 2024'!$D$5:$D$2162,$B173,'октябрь 2024'!$J$5:$J$2162,Y$1)</f>
        <v>0</v>
      </c>
      <c r="Z173" s="80">
        <f>SUMIFS('октябрь 2024'!$G$5:$G$2162,'октябрь 2024'!$D$5:$D$2162,$B173,'октябрь 2024'!$J$5:$J$2162,Z$1)</f>
        <v>0</v>
      </c>
      <c r="AA173" s="80">
        <f>SUMIFS('октябрь 2024'!$G$5:$G$2162,'октябрь 2024'!$D$5:$D$2162,$B173,'октябрь 2024'!$J$5:$J$2162,AA$1)</f>
        <v>0</v>
      </c>
      <c r="AB173" s="80">
        <f>SUMIFS('октябрь 2024'!$G$5:$G$2162,'октябрь 2024'!$D$5:$D$2162,$B173,'октябрь 2024'!$J$5:$J$2162,AB$1)</f>
        <v>0</v>
      </c>
      <c r="AC173" s="80">
        <f>SUMIFS('октябрь 2024'!$G$5:$G$2162,'октябрь 2024'!$D$5:$D$2162,$B173,'октябрь 2024'!$J$5:$J$2162,AC$1)</f>
        <v>0</v>
      </c>
      <c r="AD173" s="80">
        <f>SUMIFS('октябрь 2024'!$G$5:$G$2162,'октябрь 2024'!$D$5:$D$2162,$B173,'октябрь 2024'!$J$5:$J$2162,AD$1)</f>
        <v>0</v>
      </c>
      <c r="AE173" s="80">
        <f>SUMIFS('октябрь 2024'!$G$5:$G$2162,'октябрь 2024'!$D$5:$D$2162,$B173,'октябрь 2024'!$J$5:$J$2162,AE$1)</f>
        <v>0</v>
      </c>
      <c r="AF173" s="80">
        <f>SUMIFS('октябрь 2024'!$G$5:$G$2162,'октябрь 2024'!$D$5:$D$2162,$B173,'октябрь 2024'!$J$5:$J$2162,AF$1)</f>
        <v>0</v>
      </c>
      <c r="AG173" s="80">
        <f>SUMIFS('октябрь 2024'!$G$5:$G$2162,'октябрь 2024'!$D$5:$D$2162,$B173,'октябрь 2024'!$J$5:$J$2162,AG$1)</f>
        <v>0</v>
      </c>
      <c r="AH173" s="80">
        <f>SUMIFS('октябрь 2024'!$G$5:$G$2162,'октябрь 2024'!$D$5:$D$2162,$B173,'октябрь 2024'!$J$5:$J$2162,AH$1)</f>
        <v>0</v>
      </c>
      <c r="AI173" s="87"/>
    </row>
    <row r="174" spans="2:35" ht="15" hidden="1" customHeight="1" x14ac:dyDescent="0.25">
      <c r="B174" s="89"/>
      <c r="C174" s="88"/>
      <c r="D174" s="80">
        <f>SUMIFS('октябрь 2024'!$G$5:$G$2162,'октябрь 2024'!$D$5:$D$2162,$B174,'октябрь 2024'!$J$5:$J$2162,D$1)</f>
        <v>0</v>
      </c>
      <c r="E174" s="80">
        <f>SUMIFS('октябрь 2024'!$G$5:$G$2162,'октябрь 2024'!$D$5:$D$2162,$B174,'октябрь 2024'!$J$5:$J$2162,E$1)</f>
        <v>0</v>
      </c>
      <c r="F174" s="80">
        <f>SUMIFS('октябрь 2024'!$G$5:$G$2162,'октябрь 2024'!$D$5:$D$2162,$B174,'октябрь 2024'!$J$5:$J$2162,F$1)</f>
        <v>0</v>
      </c>
      <c r="G174" s="80">
        <f>SUMIFS('октябрь 2024'!$G$5:$G$2162,'октябрь 2024'!$D$5:$D$2162,$B174,'октябрь 2024'!$J$5:$J$2162,G$1)</f>
        <v>0</v>
      </c>
      <c r="H174" s="80">
        <f>SUMIFS('октябрь 2024'!$G$5:$G$2162,'октябрь 2024'!$D$5:$D$2162,$B174,'октябрь 2024'!$J$5:$J$2162,H$1)</f>
        <v>0</v>
      </c>
      <c r="I174" s="80">
        <f>SUMIFS('октябрь 2024'!$G$5:$G$2162,'октябрь 2024'!$D$5:$D$2162,$B174,'октябрь 2024'!$J$5:$J$2162,I$1)</f>
        <v>0</v>
      </c>
      <c r="J174" s="80">
        <f>SUMIFS('октябрь 2024'!$G$5:$G$2162,'октябрь 2024'!$D$5:$D$2162,$B174,'октябрь 2024'!$J$5:$J$2162,J$1)</f>
        <v>0</v>
      </c>
      <c r="K174" s="80">
        <f>SUMIFS('октябрь 2024'!$G$5:$G$2162,'октябрь 2024'!$D$5:$D$2162,$B174,'октябрь 2024'!$J$5:$J$2162,K$1)</f>
        <v>0</v>
      </c>
      <c r="L174" s="80">
        <f>SUMIFS('октябрь 2024'!$G$5:$G$2162,'октябрь 2024'!$D$5:$D$2162,$B174,'октябрь 2024'!$J$5:$J$2162,L$1)</f>
        <v>0</v>
      </c>
      <c r="M174" s="80">
        <f>SUMIFS('октябрь 2024'!$G$5:$G$2162,'октябрь 2024'!$D$5:$D$2162,$B174,'октябрь 2024'!$J$5:$J$2162,M$1)</f>
        <v>0</v>
      </c>
      <c r="N174" s="80">
        <f>SUMIFS('октябрь 2024'!$G$5:$G$2162,'октябрь 2024'!$D$5:$D$2162,$B174,'октябрь 2024'!$J$5:$J$2162,N$1)</f>
        <v>0</v>
      </c>
      <c r="O174" s="80">
        <f>SUMIFS('октябрь 2024'!$G$5:$G$2162,'октябрь 2024'!$D$5:$D$2162,$B174,'октябрь 2024'!$J$5:$J$2162,O$1)</f>
        <v>0</v>
      </c>
      <c r="P174" s="80">
        <f>SUMIFS('октябрь 2024'!$G$5:$G$2162,'октябрь 2024'!$D$5:$D$2162,$B174,'октябрь 2024'!$J$5:$J$2162,P$1)</f>
        <v>0</v>
      </c>
      <c r="Q174" s="80">
        <f>SUMIFS('октябрь 2024'!$G$5:$G$2162,'октябрь 2024'!$D$5:$D$2162,$B174,'октябрь 2024'!$J$5:$J$2162,Q$1)</f>
        <v>0</v>
      </c>
      <c r="R174" s="80">
        <f>SUMIFS('октябрь 2024'!$G$5:$G$2162,'октябрь 2024'!$D$5:$D$2162,$B174,'октябрь 2024'!$J$5:$J$2162,R$1)</f>
        <v>0</v>
      </c>
      <c r="S174" s="80">
        <f>SUMIFS('октябрь 2024'!$G$5:$G$2162,'октябрь 2024'!$D$5:$D$2162,$B174,'октябрь 2024'!$J$5:$J$2162,S$1)</f>
        <v>0</v>
      </c>
      <c r="T174" s="80">
        <f>SUMIFS('октябрь 2024'!$G$5:$G$2162,'октябрь 2024'!$D$5:$D$2162,$B174,'октябрь 2024'!$J$5:$J$2162,T$1)</f>
        <v>0</v>
      </c>
      <c r="U174" s="80">
        <f>SUMIFS('октябрь 2024'!$G$5:$G$2162,'октябрь 2024'!$D$5:$D$2162,$B174,'октябрь 2024'!$J$5:$J$2162,U$1)</f>
        <v>0</v>
      </c>
      <c r="V174" s="80">
        <f>SUMIFS('октябрь 2024'!$G$5:$G$2162,'октябрь 2024'!$D$5:$D$2162,$B174,'октябрь 2024'!$J$5:$J$2162,V$1)</f>
        <v>0</v>
      </c>
      <c r="W174" s="80">
        <f>SUMIFS('октябрь 2024'!$G$5:$G$2162,'октябрь 2024'!$D$5:$D$2162,$B174,'октябрь 2024'!$J$5:$J$2162,W$1)</f>
        <v>0</v>
      </c>
      <c r="X174" s="80">
        <f>SUMIFS('октябрь 2024'!$G$5:$G$2162,'октябрь 2024'!$D$5:$D$2162,$B174,'октябрь 2024'!$J$5:$J$2162,X$1)</f>
        <v>0</v>
      </c>
      <c r="Y174" s="80">
        <f>SUMIFS('октябрь 2024'!$G$5:$G$2162,'октябрь 2024'!$D$5:$D$2162,$B174,'октябрь 2024'!$J$5:$J$2162,Y$1)</f>
        <v>0</v>
      </c>
      <c r="Z174" s="80">
        <f>SUMIFS('октябрь 2024'!$G$5:$G$2162,'октябрь 2024'!$D$5:$D$2162,$B174,'октябрь 2024'!$J$5:$J$2162,Z$1)</f>
        <v>0</v>
      </c>
      <c r="AA174" s="80">
        <f>SUMIFS('октябрь 2024'!$G$5:$G$2162,'октябрь 2024'!$D$5:$D$2162,$B174,'октябрь 2024'!$J$5:$J$2162,AA$1)</f>
        <v>0</v>
      </c>
      <c r="AB174" s="80">
        <f>SUMIFS('октябрь 2024'!$G$5:$G$2162,'октябрь 2024'!$D$5:$D$2162,$B174,'октябрь 2024'!$J$5:$J$2162,AB$1)</f>
        <v>0</v>
      </c>
      <c r="AC174" s="80">
        <f>SUMIFS('октябрь 2024'!$G$5:$G$2162,'октябрь 2024'!$D$5:$D$2162,$B174,'октябрь 2024'!$J$5:$J$2162,AC$1)</f>
        <v>0</v>
      </c>
      <c r="AD174" s="80">
        <f>SUMIFS('октябрь 2024'!$G$5:$G$2162,'октябрь 2024'!$D$5:$D$2162,$B174,'октябрь 2024'!$J$5:$J$2162,AD$1)</f>
        <v>0</v>
      </c>
      <c r="AE174" s="80">
        <f>SUMIFS('октябрь 2024'!$G$5:$G$2162,'октябрь 2024'!$D$5:$D$2162,$B174,'октябрь 2024'!$J$5:$J$2162,AE$1)</f>
        <v>0</v>
      </c>
      <c r="AF174" s="80">
        <f>SUMIFS('октябрь 2024'!$G$5:$G$2162,'октябрь 2024'!$D$5:$D$2162,$B174,'октябрь 2024'!$J$5:$J$2162,AF$1)</f>
        <v>0</v>
      </c>
      <c r="AG174" s="80">
        <f>SUMIFS('октябрь 2024'!$G$5:$G$2162,'октябрь 2024'!$D$5:$D$2162,$B174,'октябрь 2024'!$J$5:$J$2162,AG$1)</f>
        <v>0</v>
      </c>
      <c r="AH174" s="80">
        <f>SUMIFS('октябрь 2024'!$G$5:$G$2162,'октябрь 2024'!$D$5:$D$2162,$B174,'октябрь 2024'!$J$5:$J$2162,AH$1)</f>
        <v>0</v>
      </c>
      <c r="AI174" s="87"/>
    </row>
    <row r="175" spans="2:35" ht="15" hidden="1" customHeight="1" x14ac:dyDescent="0.25">
      <c r="B175" s="89"/>
      <c r="C175" s="90"/>
      <c r="D175" s="80">
        <f>SUMIFS('октябрь 2024'!$G$5:$G$2162,'октябрь 2024'!$D$5:$D$2162,$B175,'октябрь 2024'!$J$5:$J$2162,D$1)</f>
        <v>0</v>
      </c>
      <c r="E175" s="80">
        <f>SUMIFS('октябрь 2024'!$G$5:$G$2162,'октябрь 2024'!$D$5:$D$2162,$B175,'октябрь 2024'!$J$5:$J$2162,E$1)</f>
        <v>0</v>
      </c>
      <c r="F175" s="80">
        <f>SUMIFS('октябрь 2024'!$G$5:$G$2162,'октябрь 2024'!$D$5:$D$2162,$B175,'октябрь 2024'!$J$5:$J$2162,F$1)</f>
        <v>0</v>
      </c>
      <c r="G175" s="80">
        <f>SUMIFS('октябрь 2024'!$G$5:$G$2162,'октябрь 2024'!$D$5:$D$2162,$B175,'октябрь 2024'!$J$5:$J$2162,G$1)</f>
        <v>0</v>
      </c>
      <c r="H175" s="80">
        <f>SUMIFS('октябрь 2024'!$G$5:$G$2162,'октябрь 2024'!$D$5:$D$2162,$B175,'октябрь 2024'!$J$5:$J$2162,H$1)</f>
        <v>0</v>
      </c>
      <c r="I175" s="80">
        <f>SUMIFS('октябрь 2024'!$G$5:$G$2162,'октябрь 2024'!$D$5:$D$2162,$B175,'октябрь 2024'!$J$5:$J$2162,I$1)</f>
        <v>0</v>
      </c>
      <c r="J175" s="80">
        <f>SUMIFS('октябрь 2024'!$G$5:$G$2162,'октябрь 2024'!$D$5:$D$2162,$B175,'октябрь 2024'!$J$5:$J$2162,J$1)</f>
        <v>0</v>
      </c>
      <c r="K175" s="80">
        <f>SUMIFS('октябрь 2024'!$G$5:$G$2162,'октябрь 2024'!$D$5:$D$2162,$B175,'октябрь 2024'!$J$5:$J$2162,K$1)</f>
        <v>0</v>
      </c>
      <c r="L175" s="80">
        <f>SUMIFS('октябрь 2024'!$G$5:$G$2162,'октябрь 2024'!$D$5:$D$2162,$B175,'октябрь 2024'!$J$5:$J$2162,L$1)</f>
        <v>0</v>
      </c>
      <c r="M175" s="80">
        <f>SUMIFS('октябрь 2024'!$G$5:$G$2162,'октябрь 2024'!$D$5:$D$2162,$B175,'октябрь 2024'!$J$5:$J$2162,M$1)</f>
        <v>0</v>
      </c>
      <c r="N175" s="80">
        <f>SUMIFS('октябрь 2024'!$G$5:$G$2162,'октябрь 2024'!$D$5:$D$2162,$B175,'октябрь 2024'!$J$5:$J$2162,N$1)</f>
        <v>0</v>
      </c>
      <c r="O175" s="80">
        <f>SUMIFS('октябрь 2024'!$G$5:$G$2162,'октябрь 2024'!$D$5:$D$2162,$B175,'октябрь 2024'!$J$5:$J$2162,O$1)</f>
        <v>0</v>
      </c>
      <c r="P175" s="80">
        <f>SUMIFS('октябрь 2024'!$G$5:$G$2162,'октябрь 2024'!$D$5:$D$2162,$B175,'октябрь 2024'!$J$5:$J$2162,P$1)</f>
        <v>0</v>
      </c>
      <c r="Q175" s="80">
        <f>SUMIFS('октябрь 2024'!$G$5:$G$2162,'октябрь 2024'!$D$5:$D$2162,$B175,'октябрь 2024'!$J$5:$J$2162,Q$1)</f>
        <v>0</v>
      </c>
      <c r="R175" s="80">
        <f>SUMIFS('октябрь 2024'!$G$5:$G$2162,'октябрь 2024'!$D$5:$D$2162,$B175,'октябрь 2024'!$J$5:$J$2162,R$1)</f>
        <v>0</v>
      </c>
      <c r="S175" s="80">
        <f>SUMIFS('октябрь 2024'!$G$5:$G$2162,'октябрь 2024'!$D$5:$D$2162,$B175,'октябрь 2024'!$J$5:$J$2162,S$1)</f>
        <v>0</v>
      </c>
      <c r="T175" s="80">
        <f>SUMIFS('октябрь 2024'!$G$5:$G$2162,'октябрь 2024'!$D$5:$D$2162,$B175,'октябрь 2024'!$J$5:$J$2162,T$1)</f>
        <v>0</v>
      </c>
      <c r="U175" s="80">
        <f>SUMIFS('октябрь 2024'!$G$5:$G$2162,'октябрь 2024'!$D$5:$D$2162,$B175,'октябрь 2024'!$J$5:$J$2162,U$1)</f>
        <v>0</v>
      </c>
      <c r="V175" s="80">
        <f>SUMIFS('октябрь 2024'!$G$5:$G$2162,'октябрь 2024'!$D$5:$D$2162,$B175,'октябрь 2024'!$J$5:$J$2162,V$1)</f>
        <v>0</v>
      </c>
      <c r="W175" s="80">
        <f>SUMIFS('октябрь 2024'!$G$5:$G$2162,'октябрь 2024'!$D$5:$D$2162,$B175,'октябрь 2024'!$J$5:$J$2162,W$1)</f>
        <v>0</v>
      </c>
      <c r="X175" s="80">
        <f>SUMIFS('октябрь 2024'!$G$5:$G$2162,'октябрь 2024'!$D$5:$D$2162,$B175,'октябрь 2024'!$J$5:$J$2162,X$1)</f>
        <v>0</v>
      </c>
      <c r="Y175" s="80">
        <f>SUMIFS('октябрь 2024'!$G$5:$G$2162,'октябрь 2024'!$D$5:$D$2162,$B175,'октябрь 2024'!$J$5:$J$2162,Y$1)</f>
        <v>0</v>
      </c>
      <c r="Z175" s="80">
        <f>SUMIFS('октябрь 2024'!$G$5:$G$2162,'октябрь 2024'!$D$5:$D$2162,$B175,'октябрь 2024'!$J$5:$J$2162,Z$1)</f>
        <v>0</v>
      </c>
      <c r="AA175" s="80">
        <f>SUMIFS('октябрь 2024'!$G$5:$G$2162,'октябрь 2024'!$D$5:$D$2162,$B175,'октябрь 2024'!$J$5:$J$2162,AA$1)</f>
        <v>0</v>
      </c>
      <c r="AB175" s="80">
        <f>SUMIFS('октябрь 2024'!$G$5:$G$2162,'октябрь 2024'!$D$5:$D$2162,$B175,'октябрь 2024'!$J$5:$J$2162,AB$1)</f>
        <v>0</v>
      </c>
      <c r="AC175" s="80">
        <f>SUMIFS('октябрь 2024'!$G$5:$G$2162,'октябрь 2024'!$D$5:$D$2162,$B175,'октябрь 2024'!$J$5:$J$2162,AC$1)</f>
        <v>0</v>
      </c>
      <c r="AD175" s="80">
        <f>SUMIFS('октябрь 2024'!$G$5:$G$2162,'октябрь 2024'!$D$5:$D$2162,$B175,'октябрь 2024'!$J$5:$J$2162,AD$1)</f>
        <v>0</v>
      </c>
      <c r="AE175" s="80">
        <f>SUMIFS('октябрь 2024'!$G$5:$G$2162,'октябрь 2024'!$D$5:$D$2162,$B175,'октябрь 2024'!$J$5:$J$2162,AE$1)</f>
        <v>0</v>
      </c>
      <c r="AF175" s="80">
        <f>SUMIFS('октябрь 2024'!$G$5:$G$2162,'октябрь 2024'!$D$5:$D$2162,$B175,'октябрь 2024'!$J$5:$J$2162,AF$1)</f>
        <v>0</v>
      </c>
      <c r="AG175" s="80">
        <f>SUMIFS('октябрь 2024'!$G$5:$G$2162,'октябрь 2024'!$D$5:$D$2162,$B175,'октябрь 2024'!$J$5:$J$2162,AG$1)</f>
        <v>0</v>
      </c>
      <c r="AH175" s="80">
        <f>SUMIFS('октябрь 2024'!$G$5:$G$2162,'октябрь 2024'!$D$5:$D$2162,$B175,'октябрь 2024'!$J$5:$J$2162,AH$1)</f>
        <v>0</v>
      </c>
      <c r="AI175" s="87"/>
    </row>
    <row r="176" spans="2:35" ht="15" hidden="1" customHeight="1" x14ac:dyDescent="0.25">
      <c r="B176" s="89"/>
      <c r="C176" s="91"/>
      <c r="D176" s="80">
        <f>SUMIFS('октябрь 2024'!$G$5:$G$2162,'октябрь 2024'!$D$5:$D$2162,$B176,'октябрь 2024'!$J$5:$J$2162,D$1)</f>
        <v>0</v>
      </c>
      <c r="E176" s="80">
        <f>SUMIFS('октябрь 2024'!$G$5:$G$2162,'октябрь 2024'!$D$5:$D$2162,$B176,'октябрь 2024'!$J$5:$J$2162,E$1)</f>
        <v>0</v>
      </c>
      <c r="F176" s="80">
        <f>SUMIFS('октябрь 2024'!$G$5:$G$2162,'октябрь 2024'!$D$5:$D$2162,$B176,'октябрь 2024'!$J$5:$J$2162,F$1)</f>
        <v>0</v>
      </c>
      <c r="G176" s="80">
        <f>SUMIFS('октябрь 2024'!$G$5:$G$2162,'октябрь 2024'!$D$5:$D$2162,$B176,'октябрь 2024'!$J$5:$J$2162,G$1)</f>
        <v>0</v>
      </c>
      <c r="H176" s="80">
        <f>SUMIFS('октябрь 2024'!$G$5:$G$2162,'октябрь 2024'!$D$5:$D$2162,$B176,'октябрь 2024'!$J$5:$J$2162,H$1)</f>
        <v>0</v>
      </c>
      <c r="I176" s="80">
        <f>SUMIFS('октябрь 2024'!$G$5:$G$2162,'октябрь 2024'!$D$5:$D$2162,$B176,'октябрь 2024'!$J$5:$J$2162,I$1)</f>
        <v>0</v>
      </c>
      <c r="J176" s="80">
        <f>SUMIFS('октябрь 2024'!$G$5:$G$2162,'октябрь 2024'!$D$5:$D$2162,$B176,'октябрь 2024'!$J$5:$J$2162,J$1)</f>
        <v>0</v>
      </c>
      <c r="K176" s="80">
        <f>SUMIFS('октябрь 2024'!$G$5:$G$2162,'октябрь 2024'!$D$5:$D$2162,$B176,'октябрь 2024'!$J$5:$J$2162,K$1)</f>
        <v>0</v>
      </c>
      <c r="L176" s="80">
        <f>SUMIFS('октябрь 2024'!$G$5:$G$2162,'октябрь 2024'!$D$5:$D$2162,$B176,'октябрь 2024'!$J$5:$J$2162,L$1)</f>
        <v>0</v>
      </c>
      <c r="M176" s="80">
        <f>SUMIFS('октябрь 2024'!$G$5:$G$2162,'октябрь 2024'!$D$5:$D$2162,$B176,'октябрь 2024'!$J$5:$J$2162,M$1)</f>
        <v>0</v>
      </c>
      <c r="N176" s="80">
        <f>SUMIFS('октябрь 2024'!$G$5:$G$2162,'октябрь 2024'!$D$5:$D$2162,$B176,'октябрь 2024'!$J$5:$J$2162,N$1)</f>
        <v>0</v>
      </c>
      <c r="O176" s="80">
        <f>SUMIFS('октябрь 2024'!$G$5:$G$2162,'октябрь 2024'!$D$5:$D$2162,$B176,'октябрь 2024'!$J$5:$J$2162,O$1)</f>
        <v>0</v>
      </c>
      <c r="P176" s="80">
        <f>SUMIFS('октябрь 2024'!$G$5:$G$2162,'октябрь 2024'!$D$5:$D$2162,$B176,'октябрь 2024'!$J$5:$J$2162,P$1)</f>
        <v>0</v>
      </c>
      <c r="Q176" s="80">
        <f>SUMIFS('октябрь 2024'!$G$5:$G$2162,'октябрь 2024'!$D$5:$D$2162,$B176,'октябрь 2024'!$J$5:$J$2162,Q$1)</f>
        <v>0</v>
      </c>
      <c r="R176" s="80">
        <f>SUMIFS('октябрь 2024'!$G$5:$G$2162,'октябрь 2024'!$D$5:$D$2162,$B176,'октябрь 2024'!$J$5:$J$2162,R$1)</f>
        <v>0</v>
      </c>
      <c r="S176" s="80">
        <f>SUMIFS('октябрь 2024'!$G$5:$G$2162,'октябрь 2024'!$D$5:$D$2162,$B176,'октябрь 2024'!$J$5:$J$2162,S$1)</f>
        <v>0</v>
      </c>
      <c r="T176" s="80">
        <f>SUMIFS('октябрь 2024'!$G$5:$G$2162,'октябрь 2024'!$D$5:$D$2162,$B176,'октябрь 2024'!$J$5:$J$2162,T$1)</f>
        <v>0</v>
      </c>
      <c r="U176" s="80">
        <f>SUMIFS('октябрь 2024'!$G$5:$G$2162,'октябрь 2024'!$D$5:$D$2162,$B176,'октябрь 2024'!$J$5:$J$2162,U$1)</f>
        <v>0</v>
      </c>
      <c r="V176" s="80">
        <f>SUMIFS('октябрь 2024'!$G$5:$G$2162,'октябрь 2024'!$D$5:$D$2162,$B176,'октябрь 2024'!$J$5:$J$2162,V$1)</f>
        <v>0</v>
      </c>
      <c r="W176" s="80">
        <f>SUMIFS('октябрь 2024'!$G$5:$G$2162,'октябрь 2024'!$D$5:$D$2162,$B176,'октябрь 2024'!$J$5:$J$2162,W$1)</f>
        <v>0</v>
      </c>
      <c r="X176" s="80">
        <f>SUMIFS('октябрь 2024'!$G$5:$G$2162,'октябрь 2024'!$D$5:$D$2162,$B176,'октябрь 2024'!$J$5:$J$2162,X$1)</f>
        <v>0</v>
      </c>
      <c r="Y176" s="80">
        <f>SUMIFS('октябрь 2024'!$G$5:$G$2162,'октябрь 2024'!$D$5:$D$2162,$B176,'октябрь 2024'!$J$5:$J$2162,Y$1)</f>
        <v>0</v>
      </c>
      <c r="Z176" s="80">
        <f>SUMIFS('октябрь 2024'!$G$5:$G$2162,'октябрь 2024'!$D$5:$D$2162,$B176,'октябрь 2024'!$J$5:$J$2162,Z$1)</f>
        <v>0</v>
      </c>
      <c r="AA176" s="80">
        <f>SUMIFS('октябрь 2024'!$G$5:$G$2162,'октябрь 2024'!$D$5:$D$2162,$B176,'октябрь 2024'!$J$5:$J$2162,AA$1)</f>
        <v>0</v>
      </c>
      <c r="AB176" s="80">
        <f>SUMIFS('октябрь 2024'!$G$5:$G$2162,'октябрь 2024'!$D$5:$D$2162,$B176,'октябрь 2024'!$J$5:$J$2162,AB$1)</f>
        <v>0</v>
      </c>
      <c r="AC176" s="80">
        <f>SUMIFS('октябрь 2024'!$G$5:$G$2162,'октябрь 2024'!$D$5:$D$2162,$B176,'октябрь 2024'!$J$5:$J$2162,AC$1)</f>
        <v>0</v>
      </c>
      <c r="AD176" s="80">
        <f>SUMIFS('октябрь 2024'!$G$5:$G$2162,'октябрь 2024'!$D$5:$D$2162,$B176,'октябрь 2024'!$J$5:$J$2162,AD$1)</f>
        <v>0</v>
      </c>
      <c r="AE176" s="80">
        <f>SUMIFS('октябрь 2024'!$G$5:$G$2162,'октябрь 2024'!$D$5:$D$2162,$B176,'октябрь 2024'!$J$5:$J$2162,AE$1)</f>
        <v>0</v>
      </c>
      <c r="AF176" s="80">
        <f>SUMIFS('октябрь 2024'!$G$5:$G$2162,'октябрь 2024'!$D$5:$D$2162,$B176,'октябрь 2024'!$J$5:$J$2162,AF$1)</f>
        <v>0</v>
      </c>
      <c r="AG176" s="80">
        <f>SUMIFS('октябрь 2024'!$G$5:$G$2162,'октябрь 2024'!$D$5:$D$2162,$B176,'октябрь 2024'!$J$5:$J$2162,AG$1)</f>
        <v>0</v>
      </c>
      <c r="AH176" s="80">
        <f>SUMIFS('октябрь 2024'!$G$5:$G$2162,'октябрь 2024'!$D$5:$D$2162,$B176,'октябрь 2024'!$J$5:$J$2162,AH$1)</f>
        <v>0</v>
      </c>
      <c r="AI176" s="87"/>
    </row>
    <row r="177" spans="2:35" ht="15" hidden="1" customHeight="1" x14ac:dyDescent="0.25">
      <c r="B177" s="93"/>
      <c r="C177" s="91"/>
      <c r="D177" s="80">
        <f>SUMIFS('октябрь 2024'!$G$5:$G$2162,'октябрь 2024'!$D$5:$D$2162,$B177,'октябрь 2024'!$J$5:$J$2162,D$1)</f>
        <v>0</v>
      </c>
      <c r="E177" s="80">
        <f>SUMIFS('октябрь 2024'!$G$5:$G$2162,'октябрь 2024'!$D$5:$D$2162,$B177,'октябрь 2024'!$J$5:$J$2162,E$1)</f>
        <v>0</v>
      </c>
      <c r="F177" s="80">
        <f>SUMIFS('октябрь 2024'!$G$5:$G$2162,'октябрь 2024'!$D$5:$D$2162,$B177,'октябрь 2024'!$J$5:$J$2162,F$1)</f>
        <v>0</v>
      </c>
      <c r="G177" s="80">
        <f>SUMIFS('октябрь 2024'!$G$5:$G$2162,'октябрь 2024'!$D$5:$D$2162,$B177,'октябрь 2024'!$J$5:$J$2162,G$1)</f>
        <v>0</v>
      </c>
      <c r="H177" s="80">
        <f>SUMIFS('октябрь 2024'!$G$5:$G$2162,'октябрь 2024'!$D$5:$D$2162,$B177,'октябрь 2024'!$J$5:$J$2162,H$1)</f>
        <v>0</v>
      </c>
      <c r="I177" s="80">
        <f>SUMIFS('октябрь 2024'!$G$5:$G$2162,'октябрь 2024'!$D$5:$D$2162,$B177,'октябрь 2024'!$J$5:$J$2162,I$1)</f>
        <v>0</v>
      </c>
      <c r="J177" s="80">
        <f>SUMIFS('октябрь 2024'!$G$5:$G$2162,'октябрь 2024'!$D$5:$D$2162,$B177,'октябрь 2024'!$J$5:$J$2162,J$1)</f>
        <v>0</v>
      </c>
      <c r="K177" s="80">
        <f>SUMIFS('октябрь 2024'!$G$5:$G$2162,'октябрь 2024'!$D$5:$D$2162,$B177,'октябрь 2024'!$J$5:$J$2162,K$1)</f>
        <v>0</v>
      </c>
      <c r="L177" s="80">
        <f>SUMIFS('октябрь 2024'!$G$5:$G$2162,'октябрь 2024'!$D$5:$D$2162,$B177,'октябрь 2024'!$J$5:$J$2162,L$1)</f>
        <v>0</v>
      </c>
      <c r="M177" s="80">
        <f>SUMIFS('октябрь 2024'!$G$5:$G$2162,'октябрь 2024'!$D$5:$D$2162,$B177,'октябрь 2024'!$J$5:$J$2162,M$1)</f>
        <v>0</v>
      </c>
      <c r="N177" s="80">
        <f>SUMIFS('октябрь 2024'!$G$5:$G$2162,'октябрь 2024'!$D$5:$D$2162,$B177,'октябрь 2024'!$J$5:$J$2162,N$1)</f>
        <v>0</v>
      </c>
      <c r="O177" s="80">
        <f>SUMIFS('октябрь 2024'!$G$5:$G$2162,'октябрь 2024'!$D$5:$D$2162,$B177,'октябрь 2024'!$J$5:$J$2162,O$1)</f>
        <v>0</v>
      </c>
      <c r="P177" s="80">
        <f>SUMIFS('октябрь 2024'!$G$5:$G$2162,'октябрь 2024'!$D$5:$D$2162,$B177,'октябрь 2024'!$J$5:$J$2162,P$1)</f>
        <v>0</v>
      </c>
      <c r="Q177" s="80">
        <f>SUMIFS('октябрь 2024'!$G$5:$G$2162,'октябрь 2024'!$D$5:$D$2162,$B177,'октябрь 2024'!$J$5:$J$2162,Q$1)</f>
        <v>0</v>
      </c>
      <c r="R177" s="80">
        <f>SUMIFS('октябрь 2024'!$G$5:$G$2162,'октябрь 2024'!$D$5:$D$2162,$B177,'октябрь 2024'!$J$5:$J$2162,R$1)</f>
        <v>0</v>
      </c>
      <c r="S177" s="80">
        <f>SUMIFS('октябрь 2024'!$G$5:$G$2162,'октябрь 2024'!$D$5:$D$2162,$B177,'октябрь 2024'!$J$5:$J$2162,S$1)</f>
        <v>0</v>
      </c>
      <c r="T177" s="80">
        <f>SUMIFS('октябрь 2024'!$G$5:$G$2162,'октябрь 2024'!$D$5:$D$2162,$B177,'октябрь 2024'!$J$5:$J$2162,T$1)</f>
        <v>0</v>
      </c>
      <c r="U177" s="80">
        <f>SUMIFS('октябрь 2024'!$G$5:$G$2162,'октябрь 2024'!$D$5:$D$2162,$B177,'октябрь 2024'!$J$5:$J$2162,U$1)</f>
        <v>0</v>
      </c>
      <c r="V177" s="80">
        <f>SUMIFS('октябрь 2024'!$G$5:$G$2162,'октябрь 2024'!$D$5:$D$2162,$B177,'октябрь 2024'!$J$5:$J$2162,V$1)</f>
        <v>0</v>
      </c>
      <c r="W177" s="80">
        <f>SUMIFS('октябрь 2024'!$G$5:$G$2162,'октябрь 2024'!$D$5:$D$2162,$B177,'октябрь 2024'!$J$5:$J$2162,W$1)</f>
        <v>0</v>
      </c>
      <c r="X177" s="80">
        <f>SUMIFS('октябрь 2024'!$G$5:$G$2162,'октябрь 2024'!$D$5:$D$2162,$B177,'октябрь 2024'!$J$5:$J$2162,X$1)</f>
        <v>0</v>
      </c>
      <c r="Y177" s="80">
        <f>SUMIFS('октябрь 2024'!$G$5:$G$2162,'октябрь 2024'!$D$5:$D$2162,$B177,'октябрь 2024'!$J$5:$J$2162,Y$1)</f>
        <v>0</v>
      </c>
      <c r="Z177" s="80">
        <f>SUMIFS('октябрь 2024'!$G$5:$G$2162,'октябрь 2024'!$D$5:$D$2162,$B177,'октябрь 2024'!$J$5:$J$2162,Z$1)</f>
        <v>0</v>
      </c>
      <c r="AA177" s="80">
        <f>SUMIFS('октябрь 2024'!$G$5:$G$2162,'октябрь 2024'!$D$5:$D$2162,$B177,'октябрь 2024'!$J$5:$J$2162,AA$1)</f>
        <v>0</v>
      </c>
      <c r="AB177" s="80">
        <f>SUMIFS('октябрь 2024'!$G$5:$G$2162,'октябрь 2024'!$D$5:$D$2162,$B177,'октябрь 2024'!$J$5:$J$2162,AB$1)</f>
        <v>0</v>
      </c>
      <c r="AC177" s="80">
        <f>SUMIFS('октябрь 2024'!$G$5:$G$2162,'октябрь 2024'!$D$5:$D$2162,$B177,'октябрь 2024'!$J$5:$J$2162,AC$1)</f>
        <v>0</v>
      </c>
      <c r="AD177" s="80">
        <f>SUMIFS('октябрь 2024'!$G$5:$G$2162,'октябрь 2024'!$D$5:$D$2162,$B177,'октябрь 2024'!$J$5:$J$2162,AD$1)</f>
        <v>0</v>
      </c>
      <c r="AE177" s="80">
        <f>SUMIFS('октябрь 2024'!$G$5:$G$2162,'октябрь 2024'!$D$5:$D$2162,$B177,'октябрь 2024'!$J$5:$J$2162,AE$1)</f>
        <v>0</v>
      </c>
      <c r="AF177" s="80">
        <f>SUMIFS('октябрь 2024'!$G$5:$G$2162,'октябрь 2024'!$D$5:$D$2162,$B177,'октябрь 2024'!$J$5:$J$2162,AF$1)</f>
        <v>0</v>
      </c>
      <c r="AG177" s="80">
        <f>SUMIFS('октябрь 2024'!$G$5:$G$2162,'октябрь 2024'!$D$5:$D$2162,$B177,'октябрь 2024'!$J$5:$J$2162,AG$1)</f>
        <v>0</v>
      </c>
      <c r="AH177" s="80">
        <f>SUMIFS('октябрь 2024'!$G$5:$G$2162,'октябрь 2024'!$D$5:$D$2162,$B177,'октябрь 2024'!$J$5:$J$2162,AH$1)</f>
        <v>0</v>
      </c>
      <c r="AI177" s="87"/>
    </row>
    <row r="178" spans="2:35" ht="15" hidden="1" customHeight="1" x14ac:dyDescent="0.25">
      <c r="B178" s="89"/>
      <c r="C178" s="88"/>
      <c r="D178" s="80">
        <f>SUMIFS('октябрь 2024'!$G$5:$G$2162,'октябрь 2024'!$D$5:$D$2162,$B178,'октябрь 2024'!$J$5:$J$2162,D$1)</f>
        <v>0</v>
      </c>
      <c r="E178" s="80">
        <f>SUMIFS('октябрь 2024'!$G$5:$G$2162,'октябрь 2024'!$D$5:$D$2162,$B178,'октябрь 2024'!$J$5:$J$2162,E$1)</f>
        <v>0</v>
      </c>
      <c r="F178" s="80">
        <f>SUMIFS('октябрь 2024'!$G$5:$G$2162,'октябрь 2024'!$D$5:$D$2162,$B178,'октябрь 2024'!$J$5:$J$2162,F$1)</f>
        <v>0</v>
      </c>
      <c r="G178" s="80">
        <f>SUMIFS('октябрь 2024'!$G$5:$G$2162,'октябрь 2024'!$D$5:$D$2162,$B178,'октябрь 2024'!$J$5:$J$2162,G$1)</f>
        <v>0</v>
      </c>
      <c r="H178" s="80">
        <f>SUMIFS('октябрь 2024'!$G$5:$G$2162,'октябрь 2024'!$D$5:$D$2162,$B178,'октябрь 2024'!$J$5:$J$2162,H$1)</f>
        <v>0</v>
      </c>
      <c r="I178" s="80">
        <f>SUMIFS('октябрь 2024'!$G$5:$G$2162,'октябрь 2024'!$D$5:$D$2162,$B178,'октябрь 2024'!$J$5:$J$2162,I$1)</f>
        <v>0</v>
      </c>
      <c r="J178" s="80">
        <f>SUMIFS('октябрь 2024'!$G$5:$G$2162,'октябрь 2024'!$D$5:$D$2162,$B178,'октябрь 2024'!$J$5:$J$2162,J$1)</f>
        <v>0</v>
      </c>
      <c r="K178" s="80">
        <f>SUMIFS('октябрь 2024'!$G$5:$G$2162,'октябрь 2024'!$D$5:$D$2162,$B178,'октябрь 2024'!$J$5:$J$2162,K$1)</f>
        <v>0</v>
      </c>
      <c r="L178" s="80">
        <f>SUMIFS('октябрь 2024'!$G$5:$G$2162,'октябрь 2024'!$D$5:$D$2162,$B178,'октябрь 2024'!$J$5:$J$2162,L$1)</f>
        <v>0</v>
      </c>
      <c r="M178" s="80">
        <f>SUMIFS('октябрь 2024'!$G$5:$G$2162,'октябрь 2024'!$D$5:$D$2162,$B178,'октябрь 2024'!$J$5:$J$2162,M$1)</f>
        <v>0</v>
      </c>
      <c r="N178" s="80">
        <f>SUMIFS('октябрь 2024'!$G$5:$G$2162,'октябрь 2024'!$D$5:$D$2162,$B178,'октябрь 2024'!$J$5:$J$2162,N$1)</f>
        <v>0</v>
      </c>
      <c r="O178" s="80">
        <f>SUMIFS('октябрь 2024'!$G$5:$G$2162,'октябрь 2024'!$D$5:$D$2162,$B178,'октябрь 2024'!$J$5:$J$2162,O$1)</f>
        <v>0</v>
      </c>
      <c r="P178" s="80">
        <f>SUMIFS('октябрь 2024'!$G$5:$G$2162,'октябрь 2024'!$D$5:$D$2162,$B178,'октябрь 2024'!$J$5:$J$2162,P$1)</f>
        <v>0</v>
      </c>
      <c r="Q178" s="80">
        <f>SUMIFS('октябрь 2024'!$G$5:$G$2162,'октябрь 2024'!$D$5:$D$2162,$B178,'октябрь 2024'!$J$5:$J$2162,Q$1)</f>
        <v>0</v>
      </c>
      <c r="R178" s="80">
        <f>SUMIFS('октябрь 2024'!$G$5:$G$2162,'октябрь 2024'!$D$5:$D$2162,$B178,'октябрь 2024'!$J$5:$J$2162,R$1)</f>
        <v>0</v>
      </c>
      <c r="S178" s="80">
        <f>SUMIFS('октябрь 2024'!$G$5:$G$2162,'октябрь 2024'!$D$5:$D$2162,$B178,'октябрь 2024'!$J$5:$J$2162,S$1)</f>
        <v>0</v>
      </c>
      <c r="T178" s="80">
        <f>SUMIFS('октябрь 2024'!$G$5:$G$2162,'октябрь 2024'!$D$5:$D$2162,$B178,'октябрь 2024'!$J$5:$J$2162,T$1)</f>
        <v>0</v>
      </c>
      <c r="U178" s="80">
        <f>SUMIFS('октябрь 2024'!$G$5:$G$2162,'октябрь 2024'!$D$5:$D$2162,$B178,'октябрь 2024'!$J$5:$J$2162,U$1)</f>
        <v>0</v>
      </c>
      <c r="V178" s="80">
        <f>SUMIFS('октябрь 2024'!$G$5:$G$2162,'октябрь 2024'!$D$5:$D$2162,$B178,'октябрь 2024'!$J$5:$J$2162,V$1)</f>
        <v>0</v>
      </c>
      <c r="W178" s="80">
        <f>SUMIFS('октябрь 2024'!$G$5:$G$2162,'октябрь 2024'!$D$5:$D$2162,$B178,'октябрь 2024'!$J$5:$J$2162,W$1)</f>
        <v>0</v>
      </c>
      <c r="X178" s="80">
        <f>SUMIFS('октябрь 2024'!$G$5:$G$2162,'октябрь 2024'!$D$5:$D$2162,$B178,'октябрь 2024'!$J$5:$J$2162,X$1)</f>
        <v>0</v>
      </c>
      <c r="Y178" s="80">
        <f>SUMIFS('октябрь 2024'!$G$5:$G$2162,'октябрь 2024'!$D$5:$D$2162,$B178,'октябрь 2024'!$J$5:$J$2162,Y$1)</f>
        <v>0</v>
      </c>
      <c r="Z178" s="80">
        <f>SUMIFS('октябрь 2024'!$G$5:$G$2162,'октябрь 2024'!$D$5:$D$2162,$B178,'октябрь 2024'!$J$5:$J$2162,Z$1)</f>
        <v>0</v>
      </c>
      <c r="AA178" s="80">
        <f>SUMIFS('октябрь 2024'!$G$5:$G$2162,'октябрь 2024'!$D$5:$D$2162,$B178,'октябрь 2024'!$J$5:$J$2162,AA$1)</f>
        <v>0</v>
      </c>
      <c r="AB178" s="80">
        <f>SUMIFS('октябрь 2024'!$G$5:$G$2162,'октябрь 2024'!$D$5:$D$2162,$B178,'октябрь 2024'!$J$5:$J$2162,AB$1)</f>
        <v>0</v>
      </c>
      <c r="AC178" s="80">
        <f>SUMIFS('октябрь 2024'!$G$5:$G$2162,'октябрь 2024'!$D$5:$D$2162,$B178,'октябрь 2024'!$J$5:$J$2162,AC$1)</f>
        <v>0</v>
      </c>
      <c r="AD178" s="80">
        <f>SUMIFS('октябрь 2024'!$G$5:$G$2162,'октябрь 2024'!$D$5:$D$2162,$B178,'октябрь 2024'!$J$5:$J$2162,AD$1)</f>
        <v>0</v>
      </c>
      <c r="AE178" s="80">
        <f>SUMIFS('октябрь 2024'!$G$5:$G$2162,'октябрь 2024'!$D$5:$D$2162,$B178,'октябрь 2024'!$J$5:$J$2162,AE$1)</f>
        <v>0</v>
      </c>
      <c r="AF178" s="80">
        <f>SUMIFS('октябрь 2024'!$G$5:$G$2162,'октябрь 2024'!$D$5:$D$2162,$B178,'октябрь 2024'!$J$5:$J$2162,AF$1)</f>
        <v>0</v>
      </c>
      <c r="AG178" s="80">
        <f>SUMIFS('октябрь 2024'!$G$5:$G$2162,'октябрь 2024'!$D$5:$D$2162,$B178,'октябрь 2024'!$J$5:$J$2162,AG$1)</f>
        <v>0</v>
      </c>
      <c r="AH178" s="80">
        <f>SUMIFS('октябрь 2024'!$G$5:$G$2162,'октябрь 2024'!$D$5:$D$2162,$B178,'октябрь 2024'!$J$5:$J$2162,AH$1)</f>
        <v>0</v>
      </c>
      <c r="AI178" s="87"/>
    </row>
    <row r="179" spans="2:35" ht="15" hidden="1" customHeight="1" x14ac:dyDescent="0.25">
      <c r="B179" s="89"/>
      <c r="C179" s="91"/>
      <c r="D179" s="80">
        <f>SUMIFS('октябрь 2024'!$G$5:$G$2162,'октябрь 2024'!$D$5:$D$2162,$B179,'октябрь 2024'!$J$5:$J$2162,D$1)</f>
        <v>0</v>
      </c>
      <c r="E179" s="80">
        <f>SUMIFS('октябрь 2024'!$G$5:$G$2162,'октябрь 2024'!$D$5:$D$2162,$B179,'октябрь 2024'!$J$5:$J$2162,E$1)</f>
        <v>0</v>
      </c>
      <c r="F179" s="80">
        <f>SUMIFS('октябрь 2024'!$G$5:$G$2162,'октябрь 2024'!$D$5:$D$2162,$B179,'октябрь 2024'!$J$5:$J$2162,F$1)</f>
        <v>0</v>
      </c>
      <c r="G179" s="80">
        <f>SUMIFS('октябрь 2024'!$G$5:$G$2162,'октябрь 2024'!$D$5:$D$2162,$B179,'октябрь 2024'!$J$5:$J$2162,G$1)</f>
        <v>0</v>
      </c>
      <c r="H179" s="80">
        <f>SUMIFS('октябрь 2024'!$G$5:$G$2162,'октябрь 2024'!$D$5:$D$2162,$B179,'октябрь 2024'!$J$5:$J$2162,H$1)</f>
        <v>0</v>
      </c>
      <c r="I179" s="80">
        <f>SUMIFS('октябрь 2024'!$G$5:$G$2162,'октябрь 2024'!$D$5:$D$2162,$B179,'октябрь 2024'!$J$5:$J$2162,I$1)</f>
        <v>0</v>
      </c>
      <c r="J179" s="80">
        <f>SUMIFS('октябрь 2024'!$G$5:$G$2162,'октябрь 2024'!$D$5:$D$2162,$B179,'октябрь 2024'!$J$5:$J$2162,J$1)</f>
        <v>0</v>
      </c>
      <c r="K179" s="80">
        <f>SUMIFS('октябрь 2024'!$G$5:$G$2162,'октябрь 2024'!$D$5:$D$2162,$B179,'октябрь 2024'!$J$5:$J$2162,K$1)</f>
        <v>0</v>
      </c>
      <c r="L179" s="80">
        <f>SUMIFS('октябрь 2024'!$G$5:$G$2162,'октябрь 2024'!$D$5:$D$2162,$B179,'октябрь 2024'!$J$5:$J$2162,L$1)</f>
        <v>0</v>
      </c>
      <c r="M179" s="80">
        <f>SUMIFS('октябрь 2024'!$G$5:$G$2162,'октябрь 2024'!$D$5:$D$2162,$B179,'октябрь 2024'!$J$5:$J$2162,M$1)</f>
        <v>0</v>
      </c>
      <c r="N179" s="80">
        <f>SUMIFS('октябрь 2024'!$G$5:$G$2162,'октябрь 2024'!$D$5:$D$2162,$B179,'октябрь 2024'!$J$5:$J$2162,N$1)</f>
        <v>0</v>
      </c>
      <c r="O179" s="80">
        <f>SUMIFS('октябрь 2024'!$G$5:$G$2162,'октябрь 2024'!$D$5:$D$2162,$B179,'октябрь 2024'!$J$5:$J$2162,O$1)</f>
        <v>0</v>
      </c>
      <c r="P179" s="80">
        <f>SUMIFS('октябрь 2024'!$G$5:$G$2162,'октябрь 2024'!$D$5:$D$2162,$B179,'октябрь 2024'!$J$5:$J$2162,P$1)</f>
        <v>0</v>
      </c>
      <c r="Q179" s="80">
        <f>SUMIFS('октябрь 2024'!$G$5:$G$2162,'октябрь 2024'!$D$5:$D$2162,$B179,'октябрь 2024'!$J$5:$J$2162,Q$1)</f>
        <v>0</v>
      </c>
      <c r="R179" s="80">
        <f>SUMIFS('октябрь 2024'!$G$5:$G$2162,'октябрь 2024'!$D$5:$D$2162,$B179,'октябрь 2024'!$J$5:$J$2162,R$1)</f>
        <v>0</v>
      </c>
      <c r="S179" s="80">
        <f>SUMIFS('октябрь 2024'!$G$5:$G$2162,'октябрь 2024'!$D$5:$D$2162,$B179,'октябрь 2024'!$J$5:$J$2162,S$1)</f>
        <v>0</v>
      </c>
      <c r="T179" s="80">
        <f>SUMIFS('октябрь 2024'!$G$5:$G$2162,'октябрь 2024'!$D$5:$D$2162,$B179,'октябрь 2024'!$J$5:$J$2162,T$1)</f>
        <v>0</v>
      </c>
      <c r="U179" s="80">
        <f>SUMIFS('октябрь 2024'!$G$5:$G$2162,'октябрь 2024'!$D$5:$D$2162,$B179,'октябрь 2024'!$J$5:$J$2162,U$1)</f>
        <v>0</v>
      </c>
      <c r="V179" s="80">
        <f>SUMIFS('октябрь 2024'!$G$5:$G$2162,'октябрь 2024'!$D$5:$D$2162,$B179,'октябрь 2024'!$J$5:$J$2162,V$1)</f>
        <v>0</v>
      </c>
      <c r="W179" s="80">
        <f>SUMIFS('октябрь 2024'!$G$5:$G$2162,'октябрь 2024'!$D$5:$D$2162,$B179,'октябрь 2024'!$J$5:$J$2162,W$1)</f>
        <v>0</v>
      </c>
      <c r="X179" s="80">
        <f>SUMIFS('октябрь 2024'!$G$5:$G$2162,'октябрь 2024'!$D$5:$D$2162,$B179,'октябрь 2024'!$J$5:$J$2162,X$1)</f>
        <v>0</v>
      </c>
      <c r="Y179" s="80">
        <f>SUMIFS('октябрь 2024'!$G$5:$G$2162,'октябрь 2024'!$D$5:$D$2162,$B179,'октябрь 2024'!$J$5:$J$2162,Y$1)</f>
        <v>0</v>
      </c>
      <c r="Z179" s="80">
        <f>SUMIFS('октябрь 2024'!$G$5:$G$2162,'октябрь 2024'!$D$5:$D$2162,$B179,'октябрь 2024'!$J$5:$J$2162,Z$1)</f>
        <v>0</v>
      </c>
      <c r="AA179" s="80">
        <f>SUMIFS('октябрь 2024'!$G$5:$G$2162,'октябрь 2024'!$D$5:$D$2162,$B179,'октябрь 2024'!$J$5:$J$2162,AA$1)</f>
        <v>0</v>
      </c>
      <c r="AB179" s="80">
        <f>SUMIFS('октябрь 2024'!$G$5:$G$2162,'октябрь 2024'!$D$5:$D$2162,$B179,'октябрь 2024'!$J$5:$J$2162,AB$1)</f>
        <v>0</v>
      </c>
      <c r="AC179" s="80">
        <f>SUMIFS('октябрь 2024'!$G$5:$G$2162,'октябрь 2024'!$D$5:$D$2162,$B179,'октябрь 2024'!$J$5:$J$2162,AC$1)</f>
        <v>0</v>
      </c>
      <c r="AD179" s="80">
        <f>SUMIFS('октябрь 2024'!$G$5:$G$2162,'октябрь 2024'!$D$5:$D$2162,$B179,'октябрь 2024'!$J$5:$J$2162,AD$1)</f>
        <v>0</v>
      </c>
      <c r="AE179" s="80">
        <f>SUMIFS('октябрь 2024'!$G$5:$G$2162,'октябрь 2024'!$D$5:$D$2162,$B179,'октябрь 2024'!$J$5:$J$2162,AE$1)</f>
        <v>0</v>
      </c>
      <c r="AF179" s="80">
        <f>SUMIFS('октябрь 2024'!$G$5:$G$2162,'октябрь 2024'!$D$5:$D$2162,$B179,'октябрь 2024'!$J$5:$J$2162,AF$1)</f>
        <v>0</v>
      </c>
      <c r="AG179" s="80">
        <f>SUMIFS('октябрь 2024'!$G$5:$G$2162,'октябрь 2024'!$D$5:$D$2162,$B179,'октябрь 2024'!$J$5:$J$2162,AG$1)</f>
        <v>0</v>
      </c>
      <c r="AH179" s="80">
        <f>SUMIFS('октябрь 2024'!$G$5:$G$2162,'октябрь 2024'!$D$5:$D$2162,$B179,'октябрь 2024'!$J$5:$J$2162,AH$1)</f>
        <v>0</v>
      </c>
      <c r="AI179" s="87"/>
    </row>
    <row r="180" spans="2:35" ht="15" hidden="1" customHeight="1" x14ac:dyDescent="0.25">
      <c r="B180" s="89"/>
      <c r="C180" s="91"/>
      <c r="D180" s="80">
        <f>SUMIFS('октябрь 2024'!$G$5:$G$2162,'октябрь 2024'!$D$5:$D$2162,$B180,'октябрь 2024'!$J$5:$J$2162,D$1)</f>
        <v>0</v>
      </c>
      <c r="E180" s="80">
        <f>SUMIFS('октябрь 2024'!$G$5:$G$2162,'октябрь 2024'!$D$5:$D$2162,$B180,'октябрь 2024'!$J$5:$J$2162,E$1)</f>
        <v>0</v>
      </c>
      <c r="F180" s="80">
        <f>SUMIFS('октябрь 2024'!$G$5:$G$2162,'октябрь 2024'!$D$5:$D$2162,$B180,'октябрь 2024'!$J$5:$J$2162,F$1)</f>
        <v>0</v>
      </c>
      <c r="G180" s="80">
        <f>SUMIFS('октябрь 2024'!$G$5:$G$2162,'октябрь 2024'!$D$5:$D$2162,$B180,'октябрь 2024'!$J$5:$J$2162,G$1)</f>
        <v>0</v>
      </c>
      <c r="H180" s="80">
        <f>SUMIFS('октябрь 2024'!$G$5:$G$2162,'октябрь 2024'!$D$5:$D$2162,$B180,'октябрь 2024'!$J$5:$J$2162,H$1)</f>
        <v>0</v>
      </c>
      <c r="I180" s="80">
        <f>SUMIFS('октябрь 2024'!$G$5:$G$2162,'октябрь 2024'!$D$5:$D$2162,$B180,'октябрь 2024'!$J$5:$J$2162,I$1)</f>
        <v>0</v>
      </c>
      <c r="J180" s="80">
        <f>SUMIFS('октябрь 2024'!$G$5:$G$2162,'октябрь 2024'!$D$5:$D$2162,$B180,'октябрь 2024'!$J$5:$J$2162,J$1)</f>
        <v>0</v>
      </c>
      <c r="K180" s="80">
        <f>SUMIFS('октябрь 2024'!$G$5:$G$2162,'октябрь 2024'!$D$5:$D$2162,$B180,'октябрь 2024'!$J$5:$J$2162,K$1)</f>
        <v>0</v>
      </c>
      <c r="L180" s="80">
        <f>SUMIFS('октябрь 2024'!$G$5:$G$2162,'октябрь 2024'!$D$5:$D$2162,$B180,'октябрь 2024'!$J$5:$J$2162,L$1)</f>
        <v>0</v>
      </c>
      <c r="M180" s="80">
        <f>SUMIFS('октябрь 2024'!$G$5:$G$2162,'октябрь 2024'!$D$5:$D$2162,$B180,'октябрь 2024'!$J$5:$J$2162,M$1)</f>
        <v>0</v>
      </c>
      <c r="N180" s="80">
        <f>SUMIFS('октябрь 2024'!$G$5:$G$2162,'октябрь 2024'!$D$5:$D$2162,$B180,'октябрь 2024'!$J$5:$J$2162,N$1)</f>
        <v>0</v>
      </c>
      <c r="O180" s="80">
        <f>SUMIFS('октябрь 2024'!$G$5:$G$2162,'октябрь 2024'!$D$5:$D$2162,$B180,'октябрь 2024'!$J$5:$J$2162,O$1)</f>
        <v>0</v>
      </c>
      <c r="P180" s="80">
        <f>SUMIFS('октябрь 2024'!$G$5:$G$2162,'октябрь 2024'!$D$5:$D$2162,$B180,'октябрь 2024'!$J$5:$J$2162,P$1)</f>
        <v>0</v>
      </c>
      <c r="Q180" s="80">
        <f>SUMIFS('октябрь 2024'!$G$5:$G$2162,'октябрь 2024'!$D$5:$D$2162,$B180,'октябрь 2024'!$J$5:$J$2162,Q$1)</f>
        <v>0</v>
      </c>
      <c r="R180" s="80">
        <f>SUMIFS('октябрь 2024'!$G$5:$G$2162,'октябрь 2024'!$D$5:$D$2162,$B180,'октябрь 2024'!$J$5:$J$2162,R$1)</f>
        <v>0</v>
      </c>
      <c r="S180" s="80">
        <f>SUMIFS('октябрь 2024'!$G$5:$G$2162,'октябрь 2024'!$D$5:$D$2162,$B180,'октябрь 2024'!$J$5:$J$2162,S$1)</f>
        <v>0</v>
      </c>
      <c r="T180" s="80">
        <f>SUMIFS('октябрь 2024'!$G$5:$G$2162,'октябрь 2024'!$D$5:$D$2162,$B180,'октябрь 2024'!$J$5:$J$2162,T$1)</f>
        <v>0</v>
      </c>
      <c r="U180" s="80">
        <f>SUMIFS('октябрь 2024'!$G$5:$G$2162,'октябрь 2024'!$D$5:$D$2162,$B180,'октябрь 2024'!$J$5:$J$2162,U$1)</f>
        <v>0</v>
      </c>
      <c r="V180" s="80">
        <f>SUMIFS('октябрь 2024'!$G$5:$G$2162,'октябрь 2024'!$D$5:$D$2162,$B180,'октябрь 2024'!$J$5:$J$2162,V$1)</f>
        <v>0</v>
      </c>
      <c r="W180" s="80">
        <f>SUMIFS('октябрь 2024'!$G$5:$G$2162,'октябрь 2024'!$D$5:$D$2162,$B180,'октябрь 2024'!$J$5:$J$2162,W$1)</f>
        <v>0</v>
      </c>
      <c r="X180" s="80">
        <f>SUMIFS('октябрь 2024'!$G$5:$G$2162,'октябрь 2024'!$D$5:$D$2162,$B180,'октябрь 2024'!$J$5:$J$2162,X$1)</f>
        <v>0</v>
      </c>
      <c r="Y180" s="80">
        <f>SUMIFS('октябрь 2024'!$G$5:$G$2162,'октябрь 2024'!$D$5:$D$2162,$B180,'октябрь 2024'!$J$5:$J$2162,Y$1)</f>
        <v>0</v>
      </c>
      <c r="Z180" s="80">
        <f>SUMIFS('октябрь 2024'!$G$5:$G$2162,'октябрь 2024'!$D$5:$D$2162,$B180,'октябрь 2024'!$J$5:$J$2162,Z$1)</f>
        <v>0</v>
      </c>
      <c r="AA180" s="80">
        <f>SUMIFS('октябрь 2024'!$G$5:$G$2162,'октябрь 2024'!$D$5:$D$2162,$B180,'октябрь 2024'!$J$5:$J$2162,AA$1)</f>
        <v>0</v>
      </c>
      <c r="AB180" s="80">
        <f>SUMIFS('октябрь 2024'!$G$5:$G$2162,'октябрь 2024'!$D$5:$D$2162,$B180,'октябрь 2024'!$J$5:$J$2162,AB$1)</f>
        <v>0</v>
      </c>
      <c r="AC180" s="80">
        <f>SUMIFS('октябрь 2024'!$G$5:$G$2162,'октябрь 2024'!$D$5:$D$2162,$B180,'октябрь 2024'!$J$5:$J$2162,AC$1)</f>
        <v>0</v>
      </c>
      <c r="AD180" s="80">
        <f>SUMIFS('октябрь 2024'!$G$5:$G$2162,'октябрь 2024'!$D$5:$D$2162,$B180,'октябрь 2024'!$J$5:$J$2162,AD$1)</f>
        <v>0</v>
      </c>
      <c r="AE180" s="80">
        <f>SUMIFS('октябрь 2024'!$G$5:$G$2162,'октябрь 2024'!$D$5:$D$2162,$B180,'октябрь 2024'!$J$5:$J$2162,AE$1)</f>
        <v>0</v>
      </c>
      <c r="AF180" s="80">
        <f>SUMIFS('октябрь 2024'!$G$5:$G$2162,'октябрь 2024'!$D$5:$D$2162,$B180,'октябрь 2024'!$J$5:$J$2162,AF$1)</f>
        <v>0</v>
      </c>
      <c r="AG180" s="80">
        <f>SUMIFS('октябрь 2024'!$G$5:$G$2162,'октябрь 2024'!$D$5:$D$2162,$B180,'октябрь 2024'!$J$5:$J$2162,AG$1)</f>
        <v>0</v>
      </c>
      <c r="AH180" s="80">
        <f>SUMIFS('октябрь 2024'!$G$5:$G$2162,'октябрь 2024'!$D$5:$D$2162,$B180,'октябрь 2024'!$J$5:$J$2162,AH$1)</f>
        <v>0</v>
      </c>
      <c r="AI180" s="87"/>
    </row>
    <row r="181" spans="2:35" ht="15" hidden="1" customHeight="1" x14ac:dyDescent="0.25">
      <c r="B181" s="89"/>
      <c r="C181" s="91"/>
      <c r="D181" s="80">
        <f>SUMIFS('октябрь 2024'!$G$5:$G$2162,'октябрь 2024'!$D$5:$D$2162,$B181,'октябрь 2024'!$J$5:$J$2162,D$1)</f>
        <v>0</v>
      </c>
      <c r="E181" s="80">
        <f>SUMIFS('октябрь 2024'!$G$5:$G$2162,'октябрь 2024'!$D$5:$D$2162,$B181,'октябрь 2024'!$J$5:$J$2162,E$1)</f>
        <v>0</v>
      </c>
      <c r="F181" s="80">
        <f>SUMIFS('октябрь 2024'!$G$5:$G$2162,'октябрь 2024'!$D$5:$D$2162,$B181,'октябрь 2024'!$J$5:$J$2162,F$1)</f>
        <v>0</v>
      </c>
      <c r="G181" s="80">
        <f>SUMIFS('октябрь 2024'!$G$5:$G$2162,'октябрь 2024'!$D$5:$D$2162,$B181,'октябрь 2024'!$J$5:$J$2162,G$1)</f>
        <v>0</v>
      </c>
      <c r="H181" s="80">
        <f>SUMIFS('октябрь 2024'!$G$5:$G$2162,'октябрь 2024'!$D$5:$D$2162,$B181,'октябрь 2024'!$J$5:$J$2162,H$1)</f>
        <v>0</v>
      </c>
      <c r="I181" s="80">
        <f>SUMIFS('октябрь 2024'!$G$5:$G$2162,'октябрь 2024'!$D$5:$D$2162,$B181,'октябрь 2024'!$J$5:$J$2162,I$1)</f>
        <v>0</v>
      </c>
      <c r="J181" s="80">
        <f>SUMIFS('октябрь 2024'!$G$5:$G$2162,'октябрь 2024'!$D$5:$D$2162,$B181,'октябрь 2024'!$J$5:$J$2162,J$1)</f>
        <v>0</v>
      </c>
      <c r="K181" s="80">
        <f>SUMIFS('октябрь 2024'!$G$5:$G$2162,'октябрь 2024'!$D$5:$D$2162,$B181,'октябрь 2024'!$J$5:$J$2162,K$1)</f>
        <v>0</v>
      </c>
      <c r="L181" s="80">
        <f>SUMIFS('октябрь 2024'!$G$5:$G$2162,'октябрь 2024'!$D$5:$D$2162,$B181,'октябрь 2024'!$J$5:$J$2162,L$1)</f>
        <v>0</v>
      </c>
      <c r="M181" s="80">
        <f>SUMIFS('октябрь 2024'!$G$5:$G$2162,'октябрь 2024'!$D$5:$D$2162,$B181,'октябрь 2024'!$J$5:$J$2162,M$1)</f>
        <v>0</v>
      </c>
      <c r="N181" s="80">
        <f>SUMIFS('октябрь 2024'!$G$5:$G$2162,'октябрь 2024'!$D$5:$D$2162,$B181,'октябрь 2024'!$J$5:$J$2162,N$1)</f>
        <v>0</v>
      </c>
      <c r="O181" s="80">
        <f>SUMIFS('октябрь 2024'!$G$5:$G$2162,'октябрь 2024'!$D$5:$D$2162,$B181,'октябрь 2024'!$J$5:$J$2162,O$1)</f>
        <v>0</v>
      </c>
      <c r="P181" s="80">
        <f>SUMIFS('октябрь 2024'!$G$5:$G$2162,'октябрь 2024'!$D$5:$D$2162,$B181,'октябрь 2024'!$J$5:$J$2162,P$1)</f>
        <v>0</v>
      </c>
      <c r="Q181" s="80">
        <f>SUMIFS('октябрь 2024'!$G$5:$G$2162,'октябрь 2024'!$D$5:$D$2162,$B181,'октябрь 2024'!$J$5:$J$2162,Q$1)</f>
        <v>0</v>
      </c>
      <c r="R181" s="80">
        <f>SUMIFS('октябрь 2024'!$G$5:$G$2162,'октябрь 2024'!$D$5:$D$2162,$B181,'октябрь 2024'!$J$5:$J$2162,R$1)</f>
        <v>0</v>
      </c>
      <c r="S181" s="80">
        <f>SUMIFS('октябрь 2024'!$G$5:$G$2162,'октябрь 2024'!$D$5:$D$2162,$B181,'октябрь 2024'!$J$5:$J$2162,S$1)</f>
        <v>0</v>
      </c>
      <c r="T181" s="80">
        <f>SUMIFS('октябрь 2024'!$G$5:$G$2162,'октябрь 2024'!$D$5:$D$2162,$B181,'октябрь 2024'!$J$5:$J$2162,T$1)</f>
        <v>0</v>
      </c>
      <c r="U181" s="80">
        <f>SUMIFS('октябрь 2024'!$G$5:$G$2162,'октябрь 2024'!$D$5:$D$2162,$B181,'октябрь 2024'!$J$5:$J$2162,U$1)</f>
        <v>0</v>
      </c>
      <c r="V181" s="80">
        <f>SUMIFS('октябрь 2024'!$G$5:$G$2162,'октябрь 2024'!$D$5:$D$2162,$B181,'октябрь 2024'!$J$5:$J$2162,V$1)</f>
        <v>0</v>
      </c>
      <c r="W181" s="80">
        <f>SUMIFS('октябрь 2024'!$G$5:$G$2162,'октябрь 2024'!$D$5:$D$2162,$B181,'октябрь 2024'!$J$5:$J$2162,W$1)</f>
        <v>0</v>
      </c>
      <c r="X181" s="80">
        <f>SUMIFS('октябрь 2024'!$G$5:$G$2162,'октябрь 2024'!$D$5:$D$2162,$B181,'октябрь 2024'!$J$5:$J$2162,X$1)</f>
        <v>0</v>
      </c>
      <c r="Y181" s="80">
        <f>SUMIFS('октябрь 2024'!$G$5:$G$2162,'октябрь 2024'!$D$5:$D$2162,$B181,'октябрь 2024'!$J$5:$J$2162,Y$1)</f>
        <v>0</v>
      </c>
      <c r="Z181" s="80">
        <f>SUMIFS('октябрь 2024'!$G$5:$G$2162,'октябрь 2024'!$D$5:$D$2162,$B181,'октябрь 2024'!$J$5:$J$2162,Z$1)</f>
        <v>0</v>
      </c>
      <c r="AA181" s="80">
        <f>SUMIFS('октябрь 2024'!$G$5:$G$2162,'октябрь 2024'!$D$5:$D$2162,$B181,'октябрь 2024'!$J$5:$J$2162,AA$1)</f>
        <v>0</v>
      </c>
      <c r="AB181" s="80">
        <f>SUMIFS('октябрь 2024'!$G$5:$G$2162,'октябрь 2024'!$D$5:$D$2162,$B181,'октябрь 2024'!$J$5:$J$2162,AB$1)</f>
        <v>0</v>
      </c>
      <c r="AC181" s="80">
        <f>SUMIFS('октябрь 2024'!$G$5:$G$2162,'октябрь 2024'!$D$5:$D$2162,$B181,'октябрь 2024'!$J$5:$J$2162,AC$1)</f>
        <v>0</v>
      </c>
      <c r="AD181" s="80">
        <f>SUMIFS('октябрь 2024'!$G$5:$G$2162,'октябрь 2024'!$D$5:$D$2162,$B181,'октябрь 2024'!$J$5:$J$2162,AD$1)</f>
        <v>0</v>
      </c>
      <c r="AE181" s="80">
        <f>SUMIFS('октябрь 2024'!$G$5:$G$2162,'октябрь 2024'!$D$5:$D$2162,$B181,'октябрь 2024'!$J$5:$J$2162,AE$1)</f>
        <v>0</v>
      </c>
      <c r="AF181" s="80">
        <f>SUMIFS('октябрь 2024'!$G$5:$G$2162,'октябрь 2024'!$D$5:$D$2162,$B181,'октябрь 2024'!$J$5:$J$2162,AF$1)</f>
        <v>0</v>
      </c>
      <c r="AG181" s="80">
        <f>SUMIFS('октябрь 2024'!$G$5:$G$2162,'октябрь 2024'!$D$5:$D$2162,$B181,'октябрь 2024'!$J$5:$J$2162,AG$1)</f>
        <v>0</v>
      </c>
      <c r="AH181" s="80">
        <f>SUMIFS('октябрь 2024'!$G$5:$G$2162,'октябрь 2024'!$D$5:$D$2162,$B181,'октябрь 2024'!$J$5:$J$2162,AH$1)</f>
        <v>0</v>
      </c>
      <c r="AI181" s="87"/>
    </row>
    <row r="182" spans="2:35" ht="15" hidden="1" customHeight="1" x14ac:dyDescent="0.25">
      <c r="B182" s="89"/>
      <c r="C182" s="91"/>
      <c r="D182" s="80">
        <f>SUMIFS('октябрь 2024'!$G$5:$G$2162,'октябрь 2024'!$D$5:$D$2162,$B182,'октябрь 2024'!$J$5:$J$2162,D$1)</f>
        <v>0</v>
      </c>
      <c r="E182" s="80">
        <f>SUMIFS('октябрь 2024'!$G$5:$G$2162,'октябрь 2024'!$D$5:$D$2162,$B182,'октябрь 2024'!$J$5:$J$2162,E$1)</f>
        <v>0</v>
      </c>
      <c r="F182" s="80">
        <f>SUMIFS('октябрь 2024'!$G$5:$G$2162,'октябрь 2024'!$D$5:$D$2162,$B182,'октябрь 2024'!$J$5:$J$2162,F$1)</f>
        <v>0</v>
      </c>
      <c r="G182" s="80">
        <f>SUMIFS('октябрь 2024'!$G$5:$G$2162,'октябрь 2024'!$D$5:$D$2162,$B182,'октябрь 2024'!$J$5:$J$2162,G$1)</f>
        <v>0</v>
      </c>
      <c r="H182" s="80">
        <f>SUMIFS('октябрь 2024'!$G$5:$G$2162,'октябрь 2024'!$D$5:$D$2162,$B182,'октябрь 2024'!$J$5:$J$2162,H$1)</f>
        <v>0</v>
      </c>
      <c r="I182" s="80">
        <f>SUMIFS('октябрь 2024'!$G$5:$G$2162,'октябрь 2024'!$D$5:$D$2162,$B182,'октябрь 2024'!$J$5:$J$2162,I$1)</f>
        <v>0</v>
      </c>
      <c r="J182" s="80">
        <f>SUMIFS('октябрь 2024'!$G$5:$G$2162,'октябрь 2024'!$D$5:$D$2162,$B182,'октябрь 2024'!$J$5:$J$2162,J$1)</f>
        <v>0</v>
      </c>
      <c r="K182" s="80">
        <f>SUMIFS('октябрь 2024'!$G$5:$G$2162,'октябрь 2024'!$D$5:$D$2162,$B182,'октябрь 2024'!$J$5:$J$2162,K$1)</f>
        <v>0</v>
      </c>
      <c r="L182" s="80">
        <f>SUMIFS('октябрь 2024'!$G$5:$G$2162,'октябрь 2024'!$D$5:$D$2162,$B182,'октябрь 2024'!$J$5:$J$2162,L$1)</f>
        <v>0</v>
      </c>
      <c r="M182" s="80">
        <f>SUMIFS('октябрь 2024'!$G$5:$G$2162,'октябрь 2024'!$D$5:$D$2162,$B182,'октябрь 2024'!$J$5:$J$2162,M$1)</f>
        <v>0</v>
      </c>
      <c r="N182" s="80">
        <f>SUMIFS('октябрь 2024'!$G$5:$G$2162,'октябрь 2024'!$D$5:$D$2162,$B182,'октябрь 2024'!$J$5:$J$2162,N$1)</f>
        <v>0</v>
      </c>
      <c r="O182" s="80">
        <f>SUMIFS('октябрь 2024'!$G$5:$G$2162,'октябрь 2024'!$D$5:$D$2162,$B182,'октябрь 2024'!$J$5:$J$2162,O$1)</f>
        <v>0</v>
      </c>
      <c r="P182" s="80">
        <f>SUMIFS('октябрь 2024'!$G$5:$G$2162,'октябрь 2024'!$D$5:$D$2162,$B182,'октябрь 2024'!$J$5:$J$2162,P$1)</f>
        <v>0</v>
      </c>
      <c r="Q182" s="80">
        <f>SUMIFS('октябрь 2024'!$G$5:$G$2162,'октябрь 2024'!$D$5:$D$2162,$B182,'октябрь 2024'!$J$5:$J$2162,Q$1)</f>
        <v>0</v>
      </c>
      <c r="R182" s="80">
        <f>SUMIFS('октябрь 2024'!$G$5:$G$2162,'октябрь 2024'!$D$5:$D$2162,$B182,'октябрь 2024'!$J$5:$J$2162,R$1)</f>
        <v>0</v>
      </c>
      <c r="S182" s="80">
        <f>SUMIFS('октябрь 2024'!$G$5:$G$2162,'октябрь 2024'!$D$5:$D$2162,$B182,'октябрь 2024'!$J$5:$J$2162,S$1)</f>
        <v>0</v>
      </c>
      <c r="T182" s="80">
        <f>SUMIFS('октябрь 2024'!$G$5:$G$2162,'октябрь 2024'!$D$5:$D$2162,$B182,'октябрь 2024'!$J$5:$J$2162,T$1)</f>
        <v>0</v>
      </c>
      <c r="U182" s="80">
        <f>SUMIFS('октябрь 2024'!$G$5:$G$2162,'октябрь 2024'!$D$5:$D$2162,$B182,'октябрь 2024'!$J$5:$J$2162,U$1)</f>
        <v>0</v>
      </c>
      <c r="V182" s="80">
        <f>SUMIFS('октябрь 2024'!$G$5:$G$2162,'октябрь 2024'!$D$5:$D$2162,$B182,'октябрь 2024'!$J$5:$J$2162,V$1)</f>
        <v>0</v>
      </c>
      <c r="W182" s="80">
        <f>SUMIFS('октябрь 2024'!$G$5:$G$2162,'октябрь 2024'!$D$5:$D$2162,$B182,'октябрь 2024'!$J$5:$J$2162,W$1)</f>
        <v>0</v>
      </c>
      <c r="X182" s="80">
        <f>SUMIFS('октябрь 2024'!$G$5:$G$2162,'октябрь 2024'!$D$5:$D$2162,$B182,'октябрь 2024'!$J$5:$J$2162,X$1)</f>
        <v>0</v>
      </c>
      <c r="Y182" s="80">
        <f>SUMIFS('октябрь 2024'!$G$5:$G$2162,'октябрь 2024'!$D$5:$D$2162,$B182,'октябрь 2024'!$J$5:$J$2162,Y$1)</f>
        <v>0</v>
      </c>
      <c r="Z182" s="80">
        <f>SUMIFS('октябрь 2024'!$G$5:$G$2162,'октябрь 2024'!$D$5:$D$2162,$B182,'октябрь 2024'!$J$5:$J$2162,Z$1)</f>
        <v>0</v>
      </c>
      <c r="AA182" s="80">
        <f>SUMIFS('октябрь 2024'!$G$5:$G$2162,'октябрь 2024'!$D$5:$D$2162,$B182,'октябрь 2024'!$J$5:$J$2162,AA$1)</f>
        <v>0</v>
      </c>
      <c r="AB182" s="80">
        <f>SUMIFS('октябрь 2024'!$G$5:$G$2162,'октябрь 2024'!$D$5:$D$2162,$B182,'октябрь 2024'!$J$5:$J$2162,AB$1)</f>
        <v>0</v>
      </c>
      <c r="AC182" s="80">
        <f>SUMIFS('октябрь 2024'!$G$5:$G$2162,'октябрь 2024'!$D$5:$D$2162,$B182,'октябрь 2024'!$J$5:$J$2162,AC$1)</f>
        <v>0</v>
      </c>
      <c r="AD182" s="80">
        <f>SUMIFS('октябрь 2024'!$G$5:$G$2162,'октябрь 2024'!$D$5:$D$2162,$B182,'октябрь 2024'!$J$5:$J$2162,AD$1)</f>
        <v>0</v>
      </c>
      <c r="AE182" s="80">
        <f>SUMIFS('октябрь 2024'!$G$5:$G$2162,'октябрь 2024'!$D$5:$D$2162,$B182,'октябрь 2024'!$J$5:$J$2162,AE$1)</f>
        <v>0</v>
      </c>
      <c r="AF182" s="80">
        <f>SUMIFS('октябрь 2024'!$G$5:$G$2162,'октябрь 2024'!$D$5:$D$2162,$B182,'октябрь 2024'!$J$5:$J$2162,AF$1)</f>
        <v>0</v>
      </c>
      <c r="AG182" s="80">
        <f>SUMIFS('октябрь 2024'!$G$5:$G$2162,'октябрь 2024'!$D$5:$D$2162,$B182,'октябрь 2024'!$J$5:$J$2162,AG$1)</f>
        <v>0</v>
      </c>
      <c r="AH182" s="80">
        <f>SUMIFS('октябрь 2024'!$G$5:$G$2162,'октябрь 2024'!$D$5:$D$2162,$B182,'октябрь 2024'!$J$5:$J$2162,AH$1)</f>
        <v>0</v>
      </c>
      <c r="AI182" s="87"/>
    </row>
    <row r="183" spans="2:35" ht="15" hidden="1" customHeight="1" x14ac:dyDescent="0.25">
      <c r="B183" s="89"/>
      <c r="C183" s="91"/>
      <c r="D183" s="80">
        <f>SUMIFS('октябрь 2024'!$G$5:$G$2162,'октябрь 2024'!$D$5:$D$2162,$B183,'октябрь 2024'!$J$5:$J$2162,D$1)</f>
        <v>0</v>
      </c>
      <c r="E183" s="80">
        <f>SUMIFS('октябрь 2024'!$G$5:$G$2162,'октябрь 2024'!$D$5:$D$2162,$B183,'октябрь 2024'!$J$5:$J$2162,E$1)</f>
        <v>0</v>
      </c>
      <c r="F183" s="80">
        <f>SUMIFS('октябрь 2024'!$G$5:$G$2162,'октябрь 2024'!$D$5:$D$2162,$B183,'октябрь 2024'!$J$5:$J$2162,F$1)</f>
        <v>0</v>
      </c>
      <c r="G183" s="80">
        <f>SUMIFS('октябрь 2024'!$G$5:$G$2162,'октябрь 2024'!$D$5:$D$2162,$B183,'октябрь 2024'!$J$5:$J$2162,G$1)</f>
        <v>0</v>
      </c>
      <c r="H183" s="80">
        <f>SUMIFS('октябрь 2024'!$G$5:$G$2162,'октябрь 2024'!$D$5:$D$2162,$B183,'октябрь 2024'!$J$5:$J$2162,H$1)</f>
        <v>0</v>
      </c>
      <c r="I183" s="80">
        <f>SUMIFS('октябрь 2024'!$G$5:$G$2162,'октябрь 2024'!$D$5:$D$2162,$B183,'октябрь 2024'!$J$5:$J$2162,I$1)</f>
        <v>0</v>
      </c>
      <c r="J183" s="80">
        <f>SUMIFS('октябрь 2024'!$G$5:$G$2162,'октябрь 2024'!$D$5:$D$2162,$B183,'октябрь 2024'!$J$5:$J$2162,J$1)</f>
        <v>0</v>
      </c>
      <c r="K183" s="80">
        <f>SUMIFS('октябрь 2024'!$G$5:$G$2162,'октябрь 2024'!$D$5:$D$2162,$B183,'октябрь 2024'!$J$5:$J$2162,K$1)</f>
        <v>0</v>
      </c>
      <c r="L183" s="80">
        <f>SUMIFS('октябрь 2024'!$G$5:$G$2162,'октябрь 2024'!$D$5:$D$2162,$B183,'октябрь 2024'!$J$5:$J$2162,L$1)</f>
        <v>0</v>
      </c>
      <c r="M183" s="80">
        <f>SUMIFS('октябрь 2024'!$G$5:$G$2162,'октябрь 2024'!$D$5:$D$2162,$B183,'октябрь 2024'!$J$5:$J$2162,M$1)</f>
        <v>0</v>
      </c>
      <c r="N183" s="80">
        <f>SUMIFS('октябрь 2024'!$G$5:$G$2162,'октябрь 2024'!$D$5:$D$2162,$B183,'октябрь 2024'!$J$5:$J$2162,N$1)</f>
        <v>0</v>
      </c>
      <c r="O183" s="80">
        <f>SUMIFS('октябрь 2024'!$G$5:$G$2162,'октябрь 2024'!$D$5:$D$2162,$B183,'октябрь 2024'!$J$5:$J$2162,O$1)</f>
        <v>0</v>
      </c>
      <c r="P183" s="80">
        <f>SUMIFS('октябрь 2024'!$G$5:$G$2162,'октябрь 2024'!$D$5:$D$2162,$B183,'октябрь 2024'!$J$5:$J$2162,P$1)</f>
        <v>0</v>
      </c>
      <c r="Q183" s="80">
        <f>SUMIFS('октябрь 2024'!$G$5:$G$2162,'октябрь 2024'!$D$5:$D$2162,$B183,'октябрь 2024'!$J$5:$J$2162,Q$1)</f>
        <v>0</v>
      </c>
      <c r="R183" s="80">
        <f>SUMIFS('октябрь 2024'!$G$5:$G$2162,'октябрь 2024'!$D$5:$D$2162,$B183,'октябрь 2024'!$J$5:$J$2162,R$1)</f>
        <v>0</v>
      </c>
      <c r="S183" s="80">
        <f>SUMIFS('октябрь 2024'!$G$5:$G$2162,'октябрь 2024'!$D$5:$D$2162,$B183,'октябрь 2024'!$J$5:$J$2162,S$1)</f>
        <v>0</v>
      </c>
      <c r="T183" s="80">
        <f>SUMIFS('октябрь 2024'!$G$5:$G$2162,'октябрь 2024'!$D$5:$D$2162,$B183,'октябрь 2024'!$J$5:$J$2162,T$1)</f>
        <v>0</v>
      </c>
      <c r="U183" s="80">
        <f>SUMIFS('октябрь 2024'!$G$5:$G$2162,'октябрь 2024'!$D$5:$D$2162,$B183,'октябрь 2024'!$J$5:$J$2162,U$1)</f>
        <v>0</v>
      </c>
      <c r="V183" s="80">
        <f>SUMIFS('октябрь 2024'!$G$5:$G$2162,'октябрь 2024'!$D$5:$D$2162,$B183,'октябрь 2024'!$J$5:$J$2162,V$1)</f>
        <v>0</v>
      </c>
      <c r="W183" s="80">
        <f>SUMIFS('октябрь 2024'!$G$5:$G$2162,'октябрь 2024'!$D$5:$D$2162,$B183,'октябрь 2024'!$J$5:$J$2162,W$1)</f>
        <v>0</v>
      </c>
      <c r="X183" s="80">
        <f>SUMIFS('октябрь 2024'!$G$5:$G$2162,'октябрь 2024'!$D$5:$D$2162,$B183,'октябрь 2024'!$J$5:$J$2162,X$1)</f>
        <v>0</v>
      </c>
      <c r="Y183" s="80">
        <f>SUMIFS('октябрь 2024'!$G$5:$G$2162,'октябрь 2024'!$D$5:$D$2162,$B183,'октябрь 2024'!$J$5:$J$2162,Y$1)</f>
        <v>0</v>
      </c>
      <c r="Z183" s="80">
        <f>SUMIFS('октябрь 2024'!$G$5:$G$2162,'октябрь 2024'!$D$5:$D$2162,$B183,'октябрь 2024'!$J$5:$J$2162,Z$1)</f>
        <v>0</v>
      </c>
      <c r="AA183" s="80">
        <f>SUMIFS('октябрь 2024'!$G$5:$G$2162,'октябрь 2024'!$D$5:$D$2162,$B183,'октябрь 2024'!$J$5:$J$2162,AA$1)</f>
        <v>0</v>
      </c>
      <c r="AB183" s="80">
        <f>SUMIFS('октябрь 2024'!$G$5:$G$2162,'октябрь 2024'!$D$5:$D$2162,$B183,'октябрь 2024'!$J$5:$J$2162,AB$1)</f>
        <v>0</v>
      </c>
      <c r="AC183" s="80">
        <f>SUMIFS('октябрь 2024'!$G$5:$G$2162,'октябрь 2024'!$D$5:$D$2162,$B183,'октябрь 2024'!$J$5:$J$2162,AC$1)</f>
        <v>0</v>
      </c>
      <c r="AD183" s="80">
        <f>SUMIFS('октябрь 2024'!$G$5:$G$2162,'октябрь 2024'!$D$5:$D$2162,$B183,'октябрь 2024'!$J$5:$J$2162,AD$1)</f>
        <v>0</v>
      </c>
      <c r="AE183" s="80">
        <f>SUMIFS('октябрь 2024'!$G$5:$G$2162,'октябрь 2024'!$D$5:$D$2162,$B183,'октябрь 2024'!$J$5:$J$2162,AE$1)</f>
        <v>0</v>
      </c>
      <c r="AF183" s="80">
        <f>SUMIFS('октябрь 2024'!$G$5:$G$2162,'октябрь 2024'!$D$5:$D$2162,$B183,'октябрь 2024'!$J$5:$J$2162,AF$1)</f>
        <v>0</v>
      </c>
      <c r="AG183" s="80">
        <f>SUMIFS('октябрь 2024'!$G$5:$G$2162,'октябрь 2024'!$D$5:$D$2162,$B183,'октябрь 2024'!$J$5:$J$2162,AG$1)</f>
        <v>0</v>
      </c>
      <c r="AH183" s="80">
        <f>SUMIFS('октябрь 2024'!$G$5:$G$2162,'октябрь 2024'!$D$5:$D$2162,$B183,'октябрь 2024'!$J$5:$J$2162,AH$1)</f>
        <v>0</v>
      </c>
      <c r="AI183" s="87"/>
    </row>
    <row r="184" spans="2:35" ht="15" hidden="1" customHeight="1" x14ac:dyDescent="0.25">
      <c r="B184" s="89"/>
      <c r="C184" s="88"/>
      <c r="D184" s="80">
        <f>SUMIFS('октябрь 2024'!$G$5:$G$2162,'октябрь 2024'!$D$5:$D$2162,$B184,'октябрь 2024'!$J$5:$J$2162,D$1)</f>
        <v>0</v>
      </c>
      <c r="E184" s="80">
        <f>SUMIFS('октябрь 2024'!$G$5:$G$2162,'октябрь 2024'!$D$5:$D$2162,$B184,'октябрь 2024'!$J$5:$J$2162,E$1)</f>
        <v>0</v>
      </c>
      <c r="F184" s="80">
        <f>SUMIFS('октябрь 2024'!$G$5:$G$2162,'октябрь 2024'!$D$5:$D$2162,$B184,'октябрь 2024'!$J$5:$J$2162,F$1)</f>
        <v>0</v>
      </c>
      <c r="G184" s="80">
        <f>SUMIFS('октябрь 2024'!$G$5:$G$2162,'октябрь 2024'!$D$5:$D$2162,$B184,'октябрь 2024'!$J$5:$J$2162,G$1)</f>
        <v>0</v>
      </c>
      <c r="H184" s="80">
        <f>SUMIFS('октябрь 2024'!$G$5:$G$2162,'октябрь 2024'!$D$5:$D$2162,$B184,'октябрь 2024'!$J$5:$J$2162,H$1)</f>
        <v>0</v>
      </c>
      <c r="I184" s="80">
        <f>SUMIFS('октябрь 2024'!$G$5:$G$2162,'октябрь 2024'!$D$5:$D$2162,$B184,'октябрь 2024'!$J$5:$J$2162,I$1)</f>
        <v>0</v>
      </c>
      <c r="J184" s="80">
        <f>SUMIFS('октябрь 2024'!$G$5:$G$2162,'октябрь 2024'!$D$5:$D$2162,$B184,'октябрь 2024'!$J$5:$J$2162,J$1)</f>
        <v>0</v>
      </c>
      <c r="K184" s="80">
        <f>SUMIFS('октябрь 2024'!$G$5:$G$2162,'октябрь 2024'!$D$5:$D$2162,$B184,'октябрь 2024'!$J$5:$J$2162,K$1)</f>
        <v>0</v>
      </c>
      <c r="L184" s="80">
        <f>SUMIFS('октябрь 2024'!$G$5:$G$2162,'октябрь 2024'!$D$5:$D$2162,$B184,'октябрь 2024'!$J$5:$J$2162,L$1)</f>
        <v>0</v>
      </c>
      <c r="M184" s="80">
        <f>SUMIFS('октябрь 2024'!$G$5:$G$2162,'октябрь 2024'!$D$5:$D$2162,$B184,'октябрь 2024'!$J$5:$J$2162,M$1)</f>
        <v>0</v>
      </c>
      <c r="N184" s="80">
        <f>SUMIFS('октябрь 2024'!$G$5:$G$2162,'октябрь 2024'!$D$5:$D$2162,$B184,'октябрь 2024'!$J$5:$J$2162,N$1)</f>
        <v>0</v>
      </c>
      <c r="O184" s="80">
        <f>SUMIFS('октябрь 2024'!$G$5:$G$2162,'октябрь 2024'!$D$5:$D$2162,$B184,'октябрь 2024'!$J$5:$J$2162,O$1)</f>
        <v>0</v>
      </c>
      <c r="P184" s="80">
        <f>SUMIFS('октябрь 2024'!$G$5:$G$2162,'октябрь 2024'!$D$5:$D$2162,$B184,'октябрь 2024'!$J$5:$J$2162,P$1)</f>
        <v>0</v>
      </c>
      <c r="Q184" s="80">
        <f>SUMIFS('октябрь 2024'!$G$5:$G$2162,'октябрь 2024'!$D$5:$D$2162,$B184,'октябрь 2024'!$J$5:$J$2162,Q$1)</f>
        <v>0</v>
      </c>
      <c r="R184" s="80">
        <f>SUMIFS('октябрь 2024'!$G$5:$G$2162,'октябрь 2024'!$D$5:$D$2162,$B184,'октябрь 2024'!$J$5:$J$2162,R$1)</f>
        <v>0</v>
      </c>
      <c r="S184" s="80">
        <f>SUMIFS('октябрь 2024'!$G$5:$G$2162,'октябрь 2024'!$D$5:$D$2162,$B184,'октябрь 2024'!$J$5:$J$2162,S$1)</f>
        <v>0</v>
      </c>
      <c r="T184" s="80">
        <f>SUMIFS('октябрь 2024'!$G$5:$G$2162,'октябрь 2024'!$D$5:$D$2162,$B184,'октябрь 2024'!$J$5:$J$2162,T$1)</f>
        <v>0</v>
      </c>
      <c r="U184" s="80">
        <f>SUMIFS('октябрь 2024'!$G$5:$G$2162,'октябрь 2024'!$D$5:$D$2162,$B184,'октябрь 2024'!$J$5:$J$2162,U$1)</f>
        <v>0</v>
      </c>
      <c r="V184" s="80">
        <f>SUMIFS('октябрь 2024'!$G$5:$G$2162,'октябрь 2024'!$D$5:$D$2162,$B184,'октябрь 2024'!$J$5:$J$2162,V$1)</f>
        <v>0</v>
      </c>
      <c r="W184" s="80">
        <f>SUMIFS('октябрь 2024'!$G$5:$G$2162,'октябрь 2024'!$D$5:$D$2162,$B184,'октябрь 2024'!$J$5:$J$2162,W$1)</f>
        <v>0</v>
      </c>
      <c r="X184" s="80">
        <f>SUMIFS('октябрь 2024'!$G$5:$G$2162,'октябрь 2024'!$D$5:$D$2162,$B184,'октябрь 2024'!$J$5:$J$2162,X$1)</f>
        <v>0</v>
      </c>
      <c r="Y184" s="80">
        <f>SUMIFS('октябрь 2024'!$G$5:$G$2162,'октябрь 2024'!$D$5:$D$2162,$B184,'октябрь 2024'!$J$5:$J$2162,Y$1)</f>
        <v>0</v>
      </c>
      <c r="Z184" s="80">
        <f>SUMIFS('октябрь 2024'!$G$5:$G$2162,'октябрь 2024'!$D$5:$D$2162,$B184,'октябрь 2024'!$J$5:$J$2162,Z$1)</f>
        <v>0</v>
      </c>
      <c r="AA184" s="80">
        <f>SUMIFS('октябрь 2024'!$G$5:$G$2162,'октябрь 2024'!$D$5:$D$2162,$B184,'октябрь 2024'!$J$5:$J$2162,AA$1)</f>
        <v>0</v>
      </c>
      <c r="AB184" s="80">
        <f>SUMIFS('октябрь 2024'!$G$5:$G$2162,'октябрь 2024'!$D$5:$D$2162,$B184,'октябрь 2024'!$J$5:$J$2162,AB$1)</f>
        <v>0</v>
      </c>
      <c r="AC184" s="80">
        <f>SUMIFS('октябрь 2024'!$G$5:$G$2162,'октябрь 2024'!$D$5:$D$2162,$B184,'октябрь 2024'!$J$5:$J$2162,AC$1)</f>
        <v>0</v>
      </c>
      <c r="AD184" s="80">
        <f>SUMIFS('октябрь 2024'!$G$5:$G$2162,'октябрь 2024'!$D$5:$D$2162,$B184,'октябрь 2024'!$J$5:$J$2162,AD$1)</f>
        <v>0</v>
      </c>
      <c r="AE184" s="80">
        <f>SUMIFS('октябрь 2024'!$G$5:$G$2162,'октябрь 2024'!$D$5:$D$2162,$B184,'октябрь 2024'!$J$5:$J$2162,AE$1)</f>
        <v>0</v>
      </c>
      <c r="AF184" s="80">
        <f>SUMIFS('октябрь 2024'!$G$5:$G$2162,'октябрь 2024'!$D$5:$D$2162,$B184,'октябрь 2024'!$J$5:$J$2162,AF$1)</f>
        <v>0</v>
      </c>
      <c r="AG184" s="80">
        <f>SUMIFS('октябрь 2024'!$G$5:$G$2162,'октябрь 2024'!$D$5:$D$2162,$B184,'октябрь 2024'!$J$5:$J$2162,AG$1)</f>
        <v>0</v>
      </c>
      <c r="AH184" s="80">
        <f>SUMIFS('октябрь 2024'!$G$5:$G$2162,'октябрь 2024'!$D$5:$D$2162,$B184,'октябрь 2024'!$J$5:$J$2162,AH$1)</f>
        <v>0</v>
      </c>
      <c r="AI184" s="87"/>
    </row>
    <row r="185" spans="2:35" ht="15" hidden="1" customHeight="1" x14ac:dyDescent="0.25">
      <c r="B185" s="89"/>
      <c r="C185" s="88"/>
      <c r="D185" s="80">
        <f>SUMIFS('октябрь 2024'!$G$5:$G$2162,'октябрь 2024'!$D$5:$D$2162,$B185,'октябрь 2024'!$J$5:$J$2162,D$1)</f>
        <v>0</v>
      </c>
      <c r="E185" s="80">
        <f>SUMIFS('октябрь 2024'!$G$5:$G$2162,'октябрь 2024'!$D$5:$D$2162,$B185,'октябрь 2024'!$J$5:$J$2162,E$1)</f>
        <v>0</v>
      </c>
      <c r="F185" s="80">
        <f>SUMIFS('октябрь 2024'!$G$5:$G$2162,'октябрь 2024'!$D$5:$D$2162,$B185,'октябрь 2024'!$J$5:$J$2162,F$1)</f>
        <v>0</v>
      </c>
      <c r="G185" s="80">
        <f>SUMIFS('октябрь 2024'!$G$5:$G$2162,'октябрь 2024'!$D$5:$D$2162,$B185,'октябрь 2024'!$J$5:$J$2162,G$1)</f>
        <v>0</v>
      </c>
      <c r="H185" s="80">
        <f>SUMIFS('октябрь 2024'!$G$5:$G$2162,'октябрь 2024'!$D$5:$D$2162,$B185,'октябрь 2024'!$J$5:$J$2162,H$1)</f>
        <v>0</v>
      </c>
      <c r="I185" s="80">
        <f>SUMIFS('октябрь 2024'!$G$5:$G$2162,'октябрь 2024'!$D$5:$D$2162,$B185,'октябрь 2024'!$J$5:$J$2162,I$1)</f>
        <v>0</v>
      </c>
      <c r="J185" s="80">
        <f>SUMIFS('октябрь 2024'!$G$5:$G$2162,'октябрь 2024'!$D$5:$D$2162,$B185,'октябрь 2024'!$J$5:$J$2162,J$1)</f>
        <v>0</v>
      </c>
      <c r="K185" s="80">
        <f>SUMIFS('октябрь 2024'!$G$5:$G$2162,'октябрь 2024'!$D$5:$D$2162,$B185,'октябрь 2024'!$J$5:$J$2162,K$1)</f>
        <v>0</v>
      </c>
      <c r="L185" s="80">
        <f>SUMIFS('октябрь 2024'!$G$5:$G$2162,'октябрь 2024'!$D$5:$D$2162,$B185,'октябрь 2024'!$J$5:$J$2162,L$1)</f>
        <v>0</v>
      </c>
      <c r="M185" s="80">
        <f>SUMIFS('октябрь 2024'!$G$5:$G$2162,'октябрь 2024'!$D$5:$D$2162,$B185,'октябрь 2024'!$J$5:$J$2162,M$1)</f>
        <v>0</v>
      </c>
      <c r="N185" s="80">
        <f>SUMIFS('октябрь 2024'!$G$5:$G$2162,'октябрь 2024'!$D$5:$D$2162,$B185,'октябрь 2024'!$J$5:$J$2162,N$1)</f>
        <v>0</v>
      </c>
      <c r="O185" s="80">
        <f>SUMIFS('октябрь 2024'!$G$5:$G$2162,'октябрь 2024'!$D$5:$D$2162,$B185,'октябрь 2024'!$J$5:$J$2162,O$1)</f>
        <v>0</v>
      </c>
      <c r="P185" s="80">
        <f>SUMIFS('октябрь 2024'!$G$5:$G$2162,'октябрь 2024'!$D$5:$D$2162,$B185,'октябрь 2024'!$J$5:$J$2162,P$1)</f>
        <v>0</v>
      </c>
      <c r="Q185" s="80">
        <f>SUMIFS('октябрь 2024'!$G$5:$G$2162,'октябрь 2024'!$D$5:$D$2162,$B185,'октябрь 2024'!$J$5:$J$2162,Q$1)</f>
        <v>0</v>
      </c>
      <c r="R185" s="80">
        <f>SUMIFS('октябрь 2024'!$G$5:$G$2162,'октябрь 2024'!$D$5:$D$2162,$B185,'октябрь 2024'!$J$5:$J$2162,R$1)</f>
        <v>0</v>
      </c>
      <c r="S185" s="80">
        <f>SUMIFS('октябрь 2024'!$G$5:$G$2162,'октябрь 2024'!$D$5:$D$2162,$B185,'октябрь 2024'!$J$5:$J$2162,S$1)</f>
        <v>0</v>
      </c>
      <c r="T185" s="80">
        <f>SUMIFS('октябрь 2024'!$G$5:$G$2162,'октябрь 2024'!$D$5:$D$2162,$B185,'октябрь 2024'!$J$5:$J$2162,T$1)</f>
        <v>0</v>
      </c>
      <c r="U185" s="80">
        <f>SUMIFS('октябрь 2024'!$G$5:$G$2162,'октябрь 2024'!$D$5:$D$2162,$B185,'октябрь 2024'!$J$5:$J$2162,U$1)</f>
        <v>0</v>
      </c>
      <c r="V185" s="80">
        <f>SUMIFS('октябрь 2024'!$G$5:$G$2162,'октябрь 2024'!$D$5:$D$2162,$B185,'октябрь 2024'!$J$5:$J$2162,V$1)</f>
        <v>0</v>
      </c>
      <c r="W185" s="80">
        <f>SUMIFS('октябрь 2024'!$G$5:$G$2162,'октябрь 2024'!$D$5:$D$2162,$B185,'октябрь 2024'!$J$5:$J$2162,W$1)</f>
        <v>0</v>
      </c>
      <c r="X185" s="80">
        <f>SUMIFS('октябрь 2024'!$G$5:$G$2162,'октябрь 2024'!$D$5:$D$2162,$B185,'октябрь 2024'!$J$5:$J$2162,X$1)</f>
        <v>0</v>
      </c>
      <c r="Y185" s="80">
        <f>SUMIFS('октябрь 2024'!$G$5:$G$2162,'октябрь 2024'!$D$5:$D$2162,$B185,'октябрь 2024'!$J$5:$J$2162,Y$1)</f>
        <v>0</v>
      </c>
      <c r="Z185" s="80">
        <f>SUMIFS('октябрь 2024'!$G$5:$G$2162,'октябрь 2024'!$D$5:$D$2162,$B185,'октябрь 2024'!$J$5:$J$2162,Z$1)</f>
        <v>0</v>
      </c>
      <c r="AA185" s="80">
        <f>SUMIFS('октябрь 2024'!$G$5:$G$2162,'октябрь 2024'!$D$5:$D$2162,$B185,'октябрь 2024'!$J$5:$J$2162,AA$1)</f>
        <v>0</v>
      </c>
      <c r="AB185" s="80">
        <f>SUMIFS('октябрь 2024'!$G$5:$G$2162,'октябрь 2024'!$D$5:$D$2162,$B185,'октябрь 2024'!$J$5:$J$2162,AB$1)</f>
        <v>0</v>
      </c>
      <c r="AC185" s="80">
        <f>SUMIFS('октябрь 2024'!$G$5:$G$2162,'октябрь 2024'!$D$5:$D$2162,$B185,'октябрь 2024'!$J$5:$J$2162,AC$1)</f>
        <v>0</v>
      </c>
      <c r="AD185" s="80">
        <f>SUMIFS('октябрь 2024'!$G$5:$G$2162,'октябрь 2024'!$D$5:$D$2162,$B185,'октябрь 2024'!$J$5:$J$2162,AD$1)</f>
        <v>0</v>
      </c>
      <c r="AE185" s="80">
        <f>SUMIFS('октябрь 2024'!$G$5:$G$2162,'октябрь 2024'!$D$5:$D$2162,$B185,'октябрь 2024'!$J$5:$J$2162,AE$1)</f>
        <v>0</v>
      </c>
      <c r="AF185" s="80">
        <f>SUMIFS('октябрь 2024'!$G$5:$G$2162,'октябрь 2024'!$D$5:$D$2162,$B185,'октябрь 2024'!$J$5:$J$2162,AF$1)</f>
        <v>0</v>
      </c>
      <c r="AG185" s="80">
        <f>SUMIFS('октябрь 2024'!$G$5:$G$2162,'октябрь 2024'!$D$5:$D$2162,$B185,'октябрь 2024'!$J$5:$J$2162,AG$1)</f>
        <v>0</v>
      </c>
      <c r="AH185" s="80">
        <f>SUMIFS('октябрь 2024'!$G$5:$G$2162,'октябрь 2024'!$D$5:$D$2162,$B185,'октябрь 2024'!$J$5:$J$2162,AH$1)</f>
        <v>0</v>
      </c>
      <c r="AI185" s="87"/>
    </row>
    <row r="186" spans="2:35" ht="15" hidden="1" customHeight="1" x14ac:dyDescent="0.25">
      <c r="B186" s="89"/>
      <c r="C186" s="88"/>
      <c r="D186" s="80">
        <f>SUMIFS('октябрь 2024'!$G$5:$G$2162,'октябрь 2024'!$D$5:$D$2162,$B186,'октябрь 2024'!$J$5:$J$2162,D$1)</f>
        <v>0</v>
      </c>
      <c r="E186" s="80">
        <f>SUMIFS('октябрь 2024'!$G$5:$G$2162,'октябрь 2024'!$D$5:$D$2162,$B186,'октябрь 2024'!$J$5:$J$2162,E$1)</f>
        <v>0</v>
      </c>
      <c r="F186" s="80">
        <f>SUMIFS('октябрь 2024'!$G$5:$G$2162,'октябрь 2024'!$D$5:$D$2162,$B186,'октябрь 2024'!$J$5:$J$2162,F$1)</f>
        <v>0</v>
      </c>
      <c r="G186" s="80">
        <f>SUMIFS('октябрь 2024'!$G$5:$G$2162,'октябрь 2024'!$D$5:$D$2162,$B186,'октябрь 2024'!$J$5:$J$2162,G$1)</f>
        <v>0</v>
      </c>
      <c r="H186" s="80">
        <f>SUMIFS('октябрь 2024'!$G$5:$G$2162,'октябрь 2024'!$D$5:$D$2162,$B186,'октябрь 2024'!$J$5:$J$2162,H$1)</f>
        <v>0</v>
      </c>
      <c r="I186" s="80">
        <f>SUMIFS('октябрь 2024'!$G$5:$G$2162,'октябрь 2024'!$D$5:$D$2162,$B186,'октябрь 2024'!$J$5:$J$2162,I$1)</f>
        <v>0</v>
      </c>
      <c r="J186" s="80">
        <f>SUMIFS('октябрь 2024'!$G$5:$G$2162,'октябрь 2024'!$D$5:$D$2162,$B186,'октябрь 2024'!$J$5:$J$2162,J$1)</f>
        <v>0</v>
      </c>
      <c r="K186" s="80">
        <f>SUMIFS('октябрь 2024'!$G$5:$G$2162,'октябрь 2024'!$D$5:$D$2162,$B186,'октябрь 2024'!$J$5:$J$2162,K$1)</f>
        <v>0</v>
      </c>
      <c r="L186" s="80">
        <f>SUMIFS('октябрь 2024'!$G$5:$G$2162,'октябрь 2024'!$D$5:$D$2162,$B186,'октябрь 2024'!$J$5:$J$2162,L$1)</f>
        <v>0</v>
      </c>
      <c r="M186" s="80">
        <f>SUMIFS('октябрь 2024'!$G$5:$G$2162,'октябрь 2024'!$D$5:$D$2162,$B186,'октябрь 2024'!$J$5:$J$2162,M$1)</f>
        <v>0</v>
      </c>
      <c r="N186" s="80">
        <f>SUMIFS('октябрь 2024'!$G$5:$G$2162,'октябрь 2024'!$D$5:$D$2162,$B186,'октябрь 2024'!$J$5:$J$2162,N$1)</f>
        <v>0</v>
      </c>
      <c r="O186" s="80">
        <f>SUMIFS('октябрь 2024'!$G$5:$G$2162,'октябрь 2024'!$D$5:$D$2162,$B186,'октябрь 2024'!$J$5:$J$2162,O$1)</f>
        <v>0</v>
      </c>
      <c r="P186" s="80">
        <f>SUMIFS('октябрь 2024'!$G$5:$G$2162,'октябрь 2024'!$D$5:$D$2162,$B186,'октябрь 2024'!$J$5:$J$2162,P$1)</f>
        <v>0</v>
      </c>
      <c r="Q186" s="80">
        <f>SUMIFS('октябрь 2024'!$G$5:$G$2162,'октябрь 2024'!$D$5:$D$2162,$B186,'октябрь 2024'!$J$5:$J$2162,Q$1)</f>
        <v>0</v>
      </c>
      <c r="R186" s="80">
        <f>SUMIFS('октябрь 2024'!$G$5:$G$2162,'октябрь 2024'!$D$5:$D$2162,$B186,'октябрь 2024'!$J$5:$J$2162,R$1)</f>
        <v>0</v>
      </c>
      <c r="S186" s="80">
        <f>SUMIFS('октябрь 2024'!$G$5:$G$2162,'октябрь 2024'!$D$5:$D$2162,$B186,'октябрь 2024'!$J$5:$J$2162,S$1)</f>
        <v>0</v>
      </c>
      <c r="T186" s="80">
        <f>SUMIFS('октябрь 2024'!$G$5:$G$2162,'октябрь 2024'!$D$5:$D$2162,$B186,'октябрь 2024'!$J$5:$J$2162,T$1)</f>
        <v>0</v>
      </c>
      <c r="U186" s="80">
        <f>SUMIFS('октябрь 2024'!$G$5:$G$2162,'октябрь 2024'!$D$5:$D$2162,$B186,'октябрь 2024'!$J$5:$J$2162,U$1)</f>
        <v>0</v>
      </c>
      <c r="V186" s="80">
        <f>SUMIFS('октябрь 2024'!$G$5:$G$2162,'октябрь 2024'!$D$5:$D$2162,$B186,'октябрь 2024'!$J$5:$J$2162,V$1)</f>
        <v>0</v>
      </c>
      <c r="W186" s="80">
        <f>SUMIFS('октябрь 2024'!$G$5:$G$2162,'октябрь 2024'!$D$5:$D$2162,$B186,'октябрь 2024'!$J$5:$J$2162,W$1)</f>
        <v>0</v>
      </c>
      <c r="X186" s="80">
        <f>SUMIFS('октябрь 2024'!$G$5:$G$2162,'октябрь 2024'!$D$5:$D$2162,$B186,'октябрь 2024'!$J$5:$J$2162,X$1)</f>
        <v>0</v>
      </c>
      <c r="Y186" s="80">
        <f>SUMIFS('октябрь 2024'!$G$5:$G$2162,'октябрь 2024'!$D$5:$D$2162,$B186,'октябрь 2024'!$J$5:$J$2162,Y$1)</f>
        <v>0</v>
      </c>
      <c r="Z186" s="80">
        <f>SUMIFS('октябрь 2024'!$G$5:$G$2162,'октябрь 2024'!$D$5:$D$2162,$B186,'октябрь 2024'!$J$5:$J$2162,Z$1)</f>
        <v>0</v>
      </c>
      <c r="AA186" s="80">
        <f>SUMIFS('октябрь 2024'!$G$5:$G$2162,'октябрь 2024'!$D$5:$D$2162,$B186,'октябрь 2024'!$J$5:$J$2162,AA$1)</f>
        <v>0</v>
      </c>
      <c r="AB186" s="80">
        <f>SUMIFS('октябрь 2024'!$G$5:$G$2162,'октябрь 2024'!$D$5:$D$2162,$B186,'октябрь 2024'!$J$5:$J$2162,AB$1)</f>
        <v>0</v>
      </c>
      <c r="AC186" s="80">
        <f>SUMIFS('октябрь 2024'!$G$5:$G$2162,'октябрь 2024'!$D$5:$D$2162,$B186,'октябрь 2024'!$J$5:$J$2162,AC$1)</f>
        <v>0</v>
      </c>
      <c r="AD186" s="80">
        <f>SUMIFS('октябрь 2024'!$G$5:$G$2162,'октябрь 2024'!$D$5:$D$2162,$B186,'октябрь 2024'!$J$5:$J$2162,AD$1)</f>
        <v>0</v>
      </c>
      <c r="AE186" s="80">
        <f>SUMIFS('октябрь 2024'!$G$5:$G$2162,'октябрь 2024'!$D$5:$D$2162,$B186,'октябрь 2024'!$J$5:$J$2162,AE$1)</f>
        <v>0</v>
      </c>
      <c r="AF186" s="80">
        <f>SUMIFS('октябрь 2024'!$G$5:$G$2162,'октябрь 2024'!$D$5:$D$2162,$B186,'октябрь 2024'!$J$5:$J$2162,AF$1)</f>
        <v>0</v>
      </c>
      <c r="AG186" s="80">
        <f>SUMIFS('октябрь 2024'!$G$5:$G$2162,'октябрь 2024'!$D$5:$D$2162,$B186,'октябрь 2024'!$J$5:$J$2162,AG$1)</f>
        <v>0</v>
      </c>
      <c r="AH186" s="80">
        <f>SUMIFS('октябрь 2024'!$G$5:$G$2162,'октябрь 2024'!$D$5:$D$2162,$B186,'октябрь 2024'!$J$5:$J$2162,AH$1)</f>
        <v>0</v>
      </c>
      <c r="AI186" s="87"/>
    </row>
    <row r="187" spans="2:35" ht="15" hidden="1" customHeight="1" x14ac:dyDescent="0.25">
      <c r="B187" s="89"/>
      <c r="C187" s="88"/>
      <c r="D187" s="80">
        <f>SUMIFS('октябрь 2024'!$G$5:$G$2162,'октябрь 2024'!$D$5:$D$2162,$B187,'октябрь 2024'!$J$5:$J$2162,D$1)</f>
        <v>0</v>
      </c>
      <c r="E187" s="80">
        <f>SUMIFS('октябрь 2024'!$G$5:$G$2162,'октябрь 2024'!$D$5:$D$2162,$B187,'октябрь 2024'!$J$5:$J$2162,E$1)</f>
        <v>0</v>
      </c>
      <c r="F187" s="80">
        <f>SUMIFS('октябрь 2024'!$G$5:$G$2162,'октябрь 2024'!$D$5:$D$2162,$B187,'октябрь 2024'!$J$5:$J$2162,F$1)</f>
        <v>0</v>
      </c>
      <c r="G187" s="80">
        <f>SUMIFS('октябрь 2024'!$G$5:$G$2162,'октябрь 2024'!$D$5:$D$2162,$B187,'октябрь 2024'!$J$5:$J$2162,G$1)</f>
        <v>0</v>
      </c>
      <c r="H187" s="80">
        <f>SUMIFS('октябрь 2024'!$G$5:$G$2162,'октябрь 2024'!$D$5:$D$2162,$B187,'октябрь 2024'!$J$5:$J$2162,H$1)</f>
        <v>0</v>
      </c>
      <c r="I187" s="80">
        <f>SUMIFS('октябрь 2024'!$G$5:$G$2162,'октябрь 2024'!$D$5:$D$2162,$B187,'октябрь 2024'!$J$5:$J$2162,I$1)</f>
        <v>0</v>
      </c>
      <c r="J187" s="80">
        <f>SUMIFS('октябрь 2024'!$G$5:$G$2162,'октябрь 2024'!$D$5:$D$2162,$B187,'октябрь 2024'!$J$5:$J$2162,J$1)</f>
        <v>0</v>
      </c>
      <c r="K187" s="80">
        <f>SUMIFS('октябрь 2024'!$G$5:$G$2162,'октябрь 2024'!$D$5:$D$2162,$B187,'октябрь 2024'!$J$5:$J$2162,K$1)</f>
        <v>0</v>
      </c>
      <c r="L187" s="80">
        <f>SUMIFS('октябрь 2024'!$G$5:$G$2162,'октябрь 2024'!$D$5:$D$2162,$B187,'октябрь 2024'!$J$5:$J$2162,L$1)</f>
        <v>0</v>
      </c>
      <c r="M187" s="80">
        <f>SUMIFS('октябрь 2024'!$G$5:$G$2162,'октябрь 2024'!$D$5:$D$2162,$B187,'октябрь 2024'!$J$5:$J$2162,M$1)</f>
        <v>0</v>
      </c>
      <c r="N187" s="80">
        <f>SUMIFS('октябрь 2024'!$G$5:$G$2162,'октябрь 2024'!$D$5:$D$2162,$B187,'октябрь 2024'!$J$5:$J$2162,N$1)</f>
        <v>0</v>
      </c>
      <c r="O187" s="80">
        <f>SUMIFS('октябрь 2024'!$G$5:$G$2162,'октябрь 2024'!$D$5:$D$2162,$B187,'октябрь 2024'!$J$5:$J$2162,O$1)</f>
        <v>0</v>
      </c>
      <c r="P187" s="80">
        <f>SUMIFS('октябрь 2024'!$G$5:$G$2162,'октябрь 2024'!$D$5:$D$2162,$B187,'октябрь 2024'!$J$5:$J$2162,P$1)</f>
        <v>0</v>
      </c>
      <c r="Q187" s="80">
        <f>SUMIFS('октябрь 2024'!$G$5:$G$2162,'октябрь 2024'!$D$5:$D$2162,$B187,'октябрь 2024'!$J$5:$J$2162,Q$1)</f>
        <v>0</v>
      </c>
      <c r="R187" s="80">
        <f>SUMIFS('октябрь 2024'!$G$5:$G$2162,'октябрь 2024'!$D$5:$D$2162,$B187,'октябрь 2024'!$J$5:$J$2162,R$1)</f>
        <v>0</v>
      </c>
      <c r="S187" s="80">
        <f>SUMIFS('октябрь 2024'!$G$5:$G$2162,'октябрь 2024'!$D$5:$D$2162,$B187,'октябрь 2024'!$J$5:$J$2162,S$1)</f>
        <v>0</v>
      </c>
      <c r="T187" s="80">
        <f>SUMIFS('октябрь 2024'!$G$5:$G$2162,'октябрь 2024'!$D$5:$D$2162,$B187,'октябрь 2024'!$J$5:$J$2162,T$1)</f>
        <v>0</v>
      </c>
      <c r="U187" s="80">
        <f>SUMIFS('октябрь 2024'!$G$5:$G$2162,'октябрь 2024'!$D$5:$D$2162,$B187,'октябрь 2024'!$J$5:$J$2162,U$1)</f>
        <v>0</v>
      </c>
      <c r="V187" s="80">
        <f>SUMIFS('октябрь 2024'!$G$5:$G$2162,'октябрь 2024'!$D$5:$D$2162,$B187,'октябрь 2024'!$J$5:$J$2162,V$1)</f>
        <v>0</v>
      </c>
      <c r="W187" s="80">
        <f>SUMIFS('октябрь 2024'!$G$5:$G$2162,'октябрь 2024'!$D$5:$D$2162,$B187,'октябрь 2024'!$J$5:$J$2162,W$1)</f>
        <v>0</v>
      </c>
      <c r="X187" s="80">
        <f>SUMIFS('октябрь 2024'!$G$5:$G$2162,'октябрь 2024'!$D$5:$D$2162,$B187,'октябрь 2024'!$J$5:$J$2162,X$1)</f>
        <v>0</v>
      </c>
      <c r="Y187" s="80">
        <f>SUMIFS('октябрь 2024'!$G$5:$G$2162,'октябрь 2024'!$D$5:$D$2162,$B187,'октябрь 2024'!$J$5:$J$2162,Y$1)</f>
        <v>0</v>
      </c>
      <c r="Z187" s="80">
        <f>SUMIFS('октябрь 2024'!$G$5:$G$2162,'октябрь 2024'!$D$5:$D$2162,$B187,'октябрь 2024'!$J$5:$J$2162,Z$1)</f>
        <v>0</v>
      </c>
      <c r="AA187" s="80">
        <f>SUMIFS('октябрь 2024'!$G$5:$G$2162,'октябрь 2024'!$D$5:$D$2162,$B187,'октябрь 2024'!$J$5:$J$2162,AA$1)</f>
        <v>0</v>
      </c>
      <c r="AB187" s="80">
        <f>SUMIFS('октябрь 2024'!$G$5:$G$2162,'октябрь 2024'!$D$5:$D$2162,$B187,'октябрь 2024'!$J$5:$J$2162,AB$1)</f>
        <v>0</v>
      </c>
      <c r="AC187" s="80">
        <f>SUMIFS('октябрь 2024'!$G$5:$G$2162,'октябрь 2024'!$D$5:$D$2162,$B187,'октябрь 2024'!$J$5:$J$2162,AC$1)</f>
        <v>0</v>
      </c>
      <c r="AD187" s="80">
        <f>SUMIFS('октябрь 2024'!$G$5:$G$2162,'октябрь 2024'!$D$5:$D$2162,$B187,'октябрь 2024'!$J$5:$J$2162,AD$1)</f>
        <v>0</v>
      </c>
      <c r="AE187" s="80">
        <f>SUMIFS('октябрь 2024'!$G$5:$G$2162,'октябрь 2024'!$D$5:$D$2162,$B187,'октябрь 2024'!$J$5:$J$2162,AE$1)</f>
        <v>0</v>
      </c>
      <c r="AF187" s="80">
        <f>SUMIFS('октябрь 2024'!$G$5:$G$2162,'октябрь 2024'!$D$5:$D$2162,$B187,'октябрь 2024'!$J$5:$J$2162,AF$1)</f>
        <v>0</v>
      </c>
      <c r="AG187" s="80">
        <f>SUMIFS('октябрь 2024'!$G$5:$G$2162,'октябрь 2024'!$D$5:$D$2162,$B187,'октябрь 2024'!$J$5:$J$2162,AG$1)</f>
        <v>0</v>
      </c>
      <c r="AH187" s="80">
        <f>SUMIFS('октябрь 2024'!$G$5:$G$2162,'октябрь 2024'!$D$5:$D$2162,$B187,'октябрь 2024'!$J$5:$J$2162,AH$1)</f>
        <v>0</v>
      </c>
      <c r="AI187" s="87"/>
    </row>
    <row r="188" spans="2:35" ht="15" hidden="1" customHeight="1" x14ac:dyDescent="0.25">
      <c r="B188" s="89"/>
      <c r="C188" s="88"/>
      <c r="D188" s="80">
        <f>SUMIFS('октябрь 2024'!$G$5:$G$2162,'октябрь 2024'!$D$5:$D$2162,$B188,'октябрь 2024'!$J$5:$J$2162,D$1)</f>
        <v>0</v>
      </c>
      <c r="E188" s="80">
        <f>SUMIFS('октябрь 2024'!$G$5:$G$2162,'октябрь 2024'!$D$5:$D$2162,$B188,'октябрь 2024'!$J$5:$J$2162,E$1)</f>
        <v>0</v>
      </c>
      <c r="F188" s="80">
        <f>SUMIFS('октябрь 2024'!$G$5:$G$2162,'октябрь 2024'!$D$5:$D$2162,$B188,'октябрь 2024'!$J$5:$J$2162,F$1)</f>
        <v>0</v>
      </c>
      <c r="G188" s="80">
        <f>SUMIFS('октябрь 2024'!$G$5:$G$2162,'октябрь 2024'!$D$5:$D$2162,$B188,'октябрь 2024'!$J$5:$J$2162,G$1)</f>
        <v>0</v>
      </c>
      <c r="H188" s="80">
        <f>SUMIFS('октябрь 2024'!$G$5:$G$2162,'октябрь 2024'!$D$5:$D$2162,$B188,'октябрь 2024'!$J$5:$J$2162,H$1)</f>
        <v>0</v>
      </c>
      <c r="I188" s="80">
        <f>SUMIFS('октябрь 2024'!$G$5:$G$2162,'октябрь 2024'!$D$5:$D$2162,$B188,'октябрь 2024'!$J$5:$J$2162,I$1)</f>
        <v>0</v>
      </c>
      <c r="J188" s="80">
        <f>SUMIFS('октябрь 2024'!$G$5:$G$2162,'октябрь 2024'!$D$5:$D$2162,$B188,'октябрь 2024'!$J$5:$J$2162,J$1)</f>
        <v>0</v>
      </c>
      <c r="K188" s="80">
        <f>SUMIFS('октябрь 2024'!$G$5:$G$2162,'октябрь 2024'!$D$5:$D$2162,$B188,'октябрь 2024'!$J$5:$J$2162,K$1)</f>
        <v>0</v>
      </c>
      <c r="L188" s="80">
        <f>SUMIFS('октябрь 2024'!$G$5:$G$2162,'октябрь 2024'!$D$5:$D$2162,$B188,'октябрь 2024'!$J$5:$J$2162,L$1)</f>
        <v>0</v>
      </c>
      <c r="M188" s="80">
        <f>SUMIFS('октябрь 2024'!$G$5:$G$2162,'октябрь 2024'!$D$5:$D$2162,$B188,'октябрь 2024'!$J$5:$J$2162,M$1)</f>
        <v>0</v>
      </c>
      <c r="N188" s="80">
        <f>SUMIFS('октябрь 2024'!$G$5:$G$2162,'октябрь 2024'!$D$5:$D$2162,$B188,'октябрь 2024'!$J$5:$J$2162,N$1)</f>
        <v>0</v>
      </c>
      <c r="O188" s="80">
        <f>SUMIFS('октябрь 2024'!$G$5:$G$2162,'октябрь 2024'!$D$5:$D$2162,$B188,'октябрь 2024'!$J$5:$J$2162,O$1)</f>
        <v>0</v>
      </c>
      <c r="P188" s="80">
        <f>SUMIFS('октябрь 2024'!$G$5:$G$2162,'октябрь 2024'!$D$5:$D$2162,$B188,'октябрь 2024'!$J$5:$J$2162,P$1)</f>
        <v>0</v>
      </c>
      <c r="Q188" s="80">
        <f>SUMIFS('октябрь 2024'!$G$5:$G$2162,'октябрь 2024'!$D$5:$D$2162,$B188,'октябрь 2024'!$J$5:$J$2162,Q$1)</f>
        <v>0</v>
      </c>
      <c r="R188" s="80">
        <f>SUMIFS('октябрь 2024'!$G$5:$G$2162,'октябрь 2024'!$D$5:$D$2162,$B188,'октябрь 2024'!$J$5:$J$2162,R$1)</f>
        <v>0</v>
      </c>
      <c r="S188" s="80">
        <f>SUMIFS('октябрь 2024'!$G$5:$G$2162,'октябрь 2024'!$D$5:$D$2162,$B188,'октябрь 2024'!$J$5:$J$2162,S$1)</f>
        <v>0</v>
      </c>
      <c r="T188" s="80">
        <f>SUMIFS('октябрь 2024'!$G$5:$G$2162,'октябрь 2024'!$D$5:$D$2162,$B188,'октябрь 2024'!$J$5:$J$2162,T$1)</f>
        <v>0</v>
      </c>
      <c r="U188" s="80">
        <f>SUMIFS('октябрь 2024'!$G$5:$G$2162,'октябрь 2024'!$D$5:$D$2162,$B188,'октябрь 2024'!$J$5:$J$2162,U$1)</f>
        <v>0</v>
      </c>
      <c r="V188" s="80">
        <f>SUMIFS('октябрь 2024'!$G$5:$G$2162,'октябрь 2024'!$D$5:$D$2162,$B188,'октябрь 2024'!$J$5:$J$2162,V$1)</f>
        <v>0</v>
      </c>
      <c r="W188" s="80">
        <f>SUMIFS('октябрь 2024'!$G$5:$G$2162,'октябрь 2024'!$D$5:$D$2162,$B188,'октябрь 2024'!$J$5:$J$2162,W$1)</f>
        <v>0</v>
      </c>
      <c r="X188" s="80">
        <f>SUMIFS('октябрь 2024'!$G$5:$G$2162,'октябрь 2024'!$D$5:$D$2162,$B188,'октябрь 2024'!$J$5:$J$2162,X$1)</f>
        <v>0</v>
      </c>
      <c r="Y188" s="80">
        <f>SUMIFS('октябрь 2024'!$G$5:$G$2162,'октябрь 2024'!$D$5:$D$2162,$B188,'октябрь 2024'!$J$5:$J$2162,Y$1)</f>
        <v>0</v>
      </c>
      <c r="Z188" s="80">
        <f>SUMIFS('октябрь 2024'!$G$5:$G$2162,'октябрь 2024'!$D$5:$D$2162,$B188,'октябрь 2024'!$J$5:$J$2162,Z$1)</f>
        <v>0</v>
      </c>
      <c r="AA188" s="80">
        <f>SUMIFS('октябрь 2024'!$G$5:$G$2162,'октябрь 2024'!$D$5:$D$2162,$B188,'октябрь 2024'!$J$5:$J$2162,AA$1)</f>
        <v>0</v>
      </c>
      <c r="AB188" s="80">
        <f>SUMIFS('октябрь 2024'!$G$5:$G$2162,'октябрь 2024'!$D$5:$D$2162,$B188,'октябрь 2024'!$J$5:$J$2162,AB$1)</f>
        <v>0</v>
      </c>
      <c r="AC188" s="80">
        <f>SUMIFS('октябрь 2024'!$G$5:$G$2162,'октябрь 2024'!$D$5:$D$2162,$B188,'октябрь 2024'!$J$5:$J$2162,AC$1)</f>
        <v>0</v>
      </c>
      <c r="AD188" s="80">
        <f>SUMIFS('октябрь 2024'!$G$5:$G$2162,'октябрь 2024'!$D$5:$D$2162,$B188,'октябрь 2024'!$J$5:$J$2162,AD$1)</f>
        <v>0</v>
      </c>
      <c r="AE188" s="80">
        <f>SUMIFS('октябрь 2024'!$G$5:$G$2162,'октябрь 2024'!$D$5:$D$2162,$B188,'октябрь 2024'!$J$5:$J$2162,AE$1)</f>
        <v>0</v>
      </c>
      <c r="AF188" s="80">
        <f>SUMIFS('октябрь 2024'!$G$5:$G$2162,'октябрь 2024'!$D$5:$D$2162,$B188,'октябрь 2024'!$J$5:$J$2162,AF$1)</f>
        <v>0</v>
      </c>
      <c r="AG188" s="80">
        <f>SUMIFS('октябрь 2024'!$G$5:$G$2162,'октябрь 2024'!$D$5:$D$2162,$B188,'октябрь 2024'!$J$5:$J$2162,AG$1)</f>
        <v>0</v>
      </c>
      <c r="AH188" s="80">
        <f>SUMIFS('октябрь 2024'!$G$5:$G$2162,'октябрь 2024'!$D$5:$D$2162,$B188,'октябрь 2024'!$J$5:$J$2162,AH$1)</f>
        <v>0</v>
      </c>
      <c r="AI188" s="87"/>
    </row>
    <row r="189" spans="2:35" ht="15" hidden="1" customHeight="1" x14ac:dyDescent="0.25">
      <c r="B189" s="89"/>
      <c r="C189" s="88"/>
      <c r="D189" s="80">
        <f>SUMIFS('октябрь 2024'!$G$5:$G$2162,'октябрь 2024'!$D$5:$D$2162,$B189,'октябрь 2024'!$J$5:$J$2162,D$1)</f>
        <v>0</v>
      </c>
      <c r="E189" s="80">
        <f>SUMIFS('октябрь 2024'!$G$5:$G$2162,'октябрь 2024'!$D$5:$D$2162,$B189,'октябрь 2024'!$J$5:$J$2162,E$1)</f>
        <v>0</v>
      </c>
      <c r="F189" s="80">
        <f>SUMIFS('октябрь 2024'!$G$5:$G$2162,'октябрь 2024'!$D$5:$D$2162,$B189,'октябрь 2024'!$J$5:$J$2162,F$1)</f>
        <v>0</v>
      </c>
      <c r="G189" s="80">
        <f>SUMIFS('октябрь 2024'!$G$5:$G$2162,'октябрь 2024'!$D$5:$D$2162,$B189,'октябрь 2024'!$J$5:$J$2162,G$1)</f>
        <v>0</v>
      </c>
      <c r="H189" s="80">
        <f>SUMIFS('октябрь 2024'!$G$5:$G$2162,'октябрь 2024'!$D$5:$D$2162,$B189,'октябрь 2024'!$J$5:$J$2162,H$1)</f>
        <v>0</v>
      </c>
      <c r="I189" s="80">
        <f>SUMIFS('октябрь 2024'!$G$5:$G$2162,'октябрь 2024'!$D$5:$D$2162,$B189,'октябрь 2024'!$J$5:$J$2162,I$1)</f>
        <v>0</v>
      </c>
      <c r="J189" s="80">
        <f>SUMIFS('октябрь 2024'!$G$5:$G$2162,'октябрь 2024'!$D$5:$D$2162,$B189,'октябрь 2024'!$J$5:$J$2162,J$1)</f>
        <v>0</v>
      </c>
      <c r="K189" s="80">
        <f>SUMIFS('октябрь 2024'!$G$5:$G$2162,'октябрь 2024'!$D$5:$D$2162,$B189,'октябрь 2024'!$J$5:$J$2162,K$1)</f>
        <v>0</v>
      </c>
      <c r="L189" s="80">
        <f>SUMIFS('октябрь 2024'!$G$5:$G$2162,'октябрь 2024'!$D$5:$D$2162,$B189,'октябрь 2024'!$J$5:$J$2162,L$1)</f>
        <v>0</v>
      </c>
      <c r="M189" s="80">
        <f>SUMIFS('октябрь 2024'!$G$5:$G$2162,'октябрь 2024'!$D$5:$D$2162,$B189,'октябрь 2024'!$J$5:$J$2162,M$1)</f>
        <v>0</v>
      </c>
      <c r="N189" s="80">
        <f>SUMIFS('октябрь 2024'!$G$5:$G$2162,'октябрь 2024'!$D$5:$D$2162,$B189,'октябрь 2024'!$J$5:$J$2162,N$1)</f>
        <v>0</v>
      </c>
      <c r="O189" s="80">
        <f>SUMIFS('октябрь 2024'!$G$5:$G$2162,'октябрь 2024'!$D$5:$D$2162,$B189,'октябрь 2024'!$J$5:$J$2162,O$1)</f>
        <v>0</v>
      </c>
      <c r="P189" s="80">
        <f>SUMIFS('октябрь 2024'!$G$5:$G$2162,'октябрь 2024'!$D$5:$D$2162,$B189,'октябрь 2024'!$J$5:$J$2162,P$1)</f>
        <v>0</v>
      </c>
      <c r="Q189" s="80">
        <f>SUMIFS('октябрь 2024'!$G$5:$G$2162,'октябрь 2024'!$D$5:$D$2162,$B189,'октябрь 2024'!$J$5:$J$2162,Q$1)</f>
        <v>0</v>
      </c>
      <c r="R189" s="80">
        <f>SUMIFS('октябрь 2024'!$G$5:$G$2162,'октябрь 2024'!$D$5:$D$2162,$B189,'октябрь 2024'!$J$5:$J$2162,R$1)</f>
        <v>0</v>
      </c>
      <c r="S189" s="80">
        <f>SUMIFS('октябрь 2024'!$G$5:$G$2162,'октябрь 2024'!$D$5:$D$2162,$B189,'октябрь 2024'!$J$5:$J$2162,S$1)</f>
        <v>0</v>
      </c>
      <c r="T189" s="80">
        <f>SUMIFS('октябрь 2024'!$G$5:$G$2162,'октябрь 2024'!$D$5:$D$2162,$B189,'октябрь 2024'!$J$5:$J$2162,T$1)</f>
        <v>0</v>
      </c>
      <c r="U189" s="80">
        <f>SUMIFS('октябрь 2024'!$G$5:$G$2162,'октябрь 2024'!$D$5:$D$2162,$B189,'октябрь 2024'!$J$5:$J$2162,U$1)</f>
        <v>0</v>
      </c>
      <c r="V189" s="80">
        <f>SUMIFS('октябрь 2024'!$G$5:$G$2162,'октябрь 2024'!$D$5:$D$2162,$B189,'октябрь 2024'!$J$5:$J$2162,V$1)</f>
        <v>0</v>
      </c>
      <c r="W189" s="80">
        <f>SUMIFS('октябрь 2024'!$G$5:$G$2162,'октябрь 2024'!$D$5:$D$2162,$B189,'октябрь 2024'!$J$5:$J$2162,W$1)</f>
        <v>0</v>
      </c>
      <c r="X189" s="80">
        <f>SUMIFS('октябрь 2024'!$G$5:$G$2162,'октябрь 2024'!$D$5:$D$2162,$B189,'октябрь 2024'!$J$5:$J$2162,X$1)</f>
        <v>0</v>
      </c>
      <c r="Y189" s="80">
        <f>SUMIFS('октябрь 2024'!$G$5:$G$2162,'октябрь 2024'!$D$5:$D$2162,$B189,'октябрь 2024'!$J$5:$J$2162,Y$1)</f>
        <v>0</v>
      </c>
      <c r="Z189" s="80">
        <f>SUMIFS('октябрь 2024'!$G$5:$G$2162,'октябрь 2024'!$D$5:$D$2162,$B189,'октябрь 2024'!$J$5:$J$2162,Z$1)</f>
        <v>0</v>
      </c>
      <c r="AA189" s="80">
        <f>SUMIFS('октябрь 2024'!$G$5:$G$2162,'октябрь 2024'!$D$5:$D$2162,$B189,'октябрь 2024'!$J$5:$J$2162,AA$1)</f>
        <v>0</v>
      </c>
      <c r="AB189" s="80">
        <f>SUMIFS('октябрь 2024'!$G$5:$G$2162,'октябрь 2024'!$D$5:$D$2162,$B189,'октябрь 2024'!$J$5:$J$2162,AB$1)</f>
        <v>0</v>
      </c>
      <c r="AC189" s="80">
        <f>SUMIFS('октябрь 2024'!$G$5:$G$2162,'октябрь 2024'!$D$5:$D$2162,$B189,'октябрь 2024'!$J$5:$J$2162,AC$1)</f>
        <v>0</v>
      </c>
      <c r="AD189" s="80">
        <f>SUMIFS('октябрь 2024'!$G$5:$G$2162,'октябрь 2024'!$D$5:$D$2162,$B189,'октябрь 2024'!$J$5:$J$2162,AD$1)</f>
        <v>0</v>
      </c>
      <c r="AE189" s="80">
        <f>SUMIFS('октябрь 2024'!$G$5:$G$2162,'октябрь 2024'!$D$5:$D$2162,$B189,'октябрь 2024'!$J$5:$J$2162,AE$1)</f>
        <v>0</v>
      </c>
      <c r="AF189" s="80">
        <f>SUMIFS('октябрь 2024'!$G$5:$G$2162,'октябрь 2024'!$D$5:$D$2162,$B189,'октябрь 2024'!$J$5:$J$2162,AF$1)</f>
        <v>0</v>
      </c>
      <c r="AG189" s="80">
        <f>SUMIFS('октябрь 2024'!$G$5:$G$2162,'октябрь 2024'!$D$5:$D$2162,$B189,'октябрь 2024'!$J$5:$J$2162,AG$1)</f>
        <v>0</v>
      </c>
      <c r="AH189" s="80">
        <f>SUMIFS('октябрь 2024'!$G$5:$G$2162,'октябрь 2024'!$D$5:$D$2162,$B189,'октябрь 2024'!$J$5:$J$2162,AH$1)</f>
        <v>0</v>
      </c>
      <c r="AI189" s="87"/>
    </row>
    <row r="190" spans="2:35" ht="15" hidden="1" customHeight="1" x14ac:dyDescent="0.25">
      <c r="B190" s="89"/>
      <c r="C190" s="88"/>
      <c r="D190" s="80">
        <f>SUMIFS('октябрь 2024'!$G$5:$G$2162,'октябрь 2024'!$D$5:$D$2162,$B190,'октябрь 2024'!$J$5:$J$2162,D$1)</f>
        <v>0</v>
      </c>
      <c r="E190" s="80">
        <f>SUMIFS('октябрь 2024'!$G$5:$G$2162,'октябрь 2024'!$D$5:$D$2162,$B190,'октябрь 2024'!$J$5:$J$2162,E$1)</f>
        <v>0</v>
      </c>
      <c r="F190" s="80">
        <f>SUMIFS('октябрь 2024'!$G$5:$G$2162,'октябрь 2024'!$D$5:$D$2162,$B190,'октябрь 2024'!$J$5:$J$2162,F$1)</f>
        <v>0</v>
      </c>
      <c r="G190" s="80">
        <f>SUMIFS('октябрь 2024'!$G$5:$G$2162,'октябрь 2024'!$D$5:$D$2162,$B190,'октябрь 2024'!$J$5:$J$2162,G$1)</f>
        <v>0</v>
      </c>
      <c r="H190" s="80">
        <f>SUMIFS('октябрь 2024'!$G$5:$G$2162,'октябрь 2024'!$D$5:$D$2162,$B190,'октябрь 2024'!$J$5:$J$2162,H$1)</f>
        <v>0</v>
      </c>
      <c r="I190" s="80">
        <f>SUMIFS('октябрь 2024'!$G$5:$G$2162,'октябрь 2024'!$D$5:$D$2162,$B190,'октябрь 2024'!$J$5:$J$2162,I$1)</f>
        <v>0</v>
      </c>
      <c r="J190" s="80">
        <f>SUMIFS('октябрь 2024'!$G$5:$G$2162,'октябрь 2024'!$D$5:$D$2162,$B190,'октябрь 2024'!$J$5:$J$2162,J$1)</f>
        <v>0</v>
      </c>
      <c r="K190" s="80">
        <f>SUMIFS('октябрь 2024'!$G$5:$G$2162,'октябрь 2024'!$D$5:$D$2162,$B190,'октябрь 2024'!$J$5:$J$2162,K$1)</f>
        <v>0</v>
      </c>
      <c r="L190" s="80">
        <f>SUMIFS('октябрь 2024'!$G$5:$G$2162,'октябрь 2024'!$D$5:$D$2162,$B190,'октябрь 2024'!$J$5:$J$2162,L$1)</f>
        <v>0</v>
      </c>
      <c r="M190" s="80">
        <f>SUMIFS('октябрь 2024'!$G$5:$G$2162,'октябрь 2024'!$D$5:$D$2162,$B190,'октябрь 2024'!$J$5:$J$2162,M$1)</f>
        <v>0</v>
      </c>
      <c r="N190" s="80">
        <f>SUMIFS('октябрь 2024'!$G$5:$G$2162,'октябрь 2024'!$D$5:$D$2162,$B190,'октябрь 2024'!$J$5:$J$2162,N$1)</f>
        <v>0</v>
      </c>
      <c r="O190" s="80">
        <f>SUMIFS('октябрь 2024'!$G$5:$G$2162,'октябрь 2024'!$D$5:$D$2162,$B190,'октябрь 2024'!$J$5:$J$2162,O$1)</f>
        <v>0</v>
      </c>
      <c r="P190" s="80">
        <f>SUMIFS('октябрь 2024'!$G$5:$G$2162,'октябрь 2024'!$D$5:$D$2162,$B190,'октябрь 2024'!$J$5:$J$2162,P$1)</f>
        <v>0</v>
      </c>
      <c r="Q190" s="80">
        <f>SUMIFS('октябрь 2024'!$G$5:$G$2162,'октябрь 2024'!$D$5:$D$2162,$B190,'октябрь 2024'!$J$5:$J$2162,Q$1)</f>
        <v>0</v>
      </c>
      <c r="R190" s="80">
        <f>SUMIFS('октябрь 2024'!$G$5:$G$2162,'октябрь 2024'!$D$5:$D$2162,$B190,'октябрь 2024'!$J$5:$J$2162,R$1)</f>
        <v>0</v>
      </c>
      <c r="S190" s="80">
        <f>SUMIFS('октябрь 2024'!$G$5:$G$2162,'октябрь 2024'!$D$5:$D$2162,$B190,'октябрь 2024'!$J$5:$J$2162,S$1)</f>
        <v>0</v>
      </c>
      <c r="T190" s="80">
        <f>SUMIFS('октябрь 2024'!$G$5:$G$2162,'октябрь 2024'!$D$5:$D$2162,$B190,'октябрь 2024'!$J$5:$J$2162,T$1)</f>
        <v>0</v>
      </c>
      <c r="U190" s="80">
        <f>SUMIFS('октябрь 2024'!$G$5:$G$2162,'октябрь 2024'!$D$5:$D$2162,$B190,'октябрь 2024'!$J$5:$J$2162,U$1)</f>
        <v>0</v>
      </c>
      <c r="V190" s="80">
        <f>SUMIFS('октябрь 2024'!$G$5:$G$2162,'октябрь 2024'!$D$5:$D$2162,$B190,'октябрь 2024'!$J$5:$J$2162,V$1)</f>
        <v>0</v>
      </c>
      <c r="W190" s="80">
        <f>SUMIFS('октябрь 2024'!$G$5:$G$2162,'октябрь 2024'!$D$5:$D$2162,$B190,'октябрь 2024'!$J$5:$J$2162,W$1)</f>
        <v>0</v>
      </c>
      <c r="X190" s="80">
        <f>SUMIFS('октябрь 2024'!$G$5:$G$2162,'октябрь 2024'!$D$5:$D$2162,$B190,'октябрь 2024'!$J$5:$J$2162,X$1)</f>
        <v>0</v>
      </c>
      <c r="Y190" s="80">
        <f>SUMIFS('октябрь 2024'!$G$5:$G$2162,'октябрь 2024'!$D$5:$D$2162,$B190,'октябрь 2024'!$J$5:$J$2162,Y$1)</f>
        <v>0</v>
      </c>
      <c r="Z190" s="80">
        <f>SUMIFS('октябрь 2024'!$G$5:$G$2162,'октябрь 2024'!$D$5:$D$2162,$B190,'октябрь 2024'!$J$5:$J$2162,Z$1)</f>
        <v>0</v>
      </c>
      <c r="AA190" s="80">
        <f>SUMIFS('октябрь 2024'!$G$5:$G$2162,'октябрь 2024'!$D$5:$D$2162,$B190,'октябрь 2024'!$J$5:$J$2162,AA$1)</f>
        <v>0</v>
      </c>
      <c r="AB190" s="80">
        <f>SUMIFS('октябрь 2024'!$G$5:$G$2162,'октябрь 2024'!$D$5:$D$2162,$B190,'октябрь 2024'!$J$5:$J$2162,AB$1)</f>
        <v>0</v>
      </c>
      <c r="AC190" s="80">
        <f>SUMIFS('октябрь 2024'!$G$5:$G$2162,'октябрь 2024'!$D$5:$D$2162,$B190,'октябрь 2024'!$J$5:$J$2162,AC$1)</f>
        <v>0</v>
      </c>
      <c r="AD190" s="80">
        <f>SUMIFS('октябрь 2024'!$G$5:$G$2162,'октябрь 2024'!$D$5:$D$2162,$B190,'октябрь 2024'!$J$5:$J$2162,AD$1)</f>
        <v>0</v>
      </c>
      <c r="AE190" s="80">
        <f>SUMIFS('октябрь 2024'!$G$5:$G$2162,'октябрь 2024'!$D$5:$D$2162,$B190,'октябрь 2024'!$J$5:$J$2162,AE$1)</f>
        <v>0</v>
      </c>
      <c r="AF190" s="80">
        <f>SUMIFS('октябрь 2024'!$G$5:$G$2162,'октябрь 2024'!$D$5:$D$2162,$B190,'октябрь 2024'!$J$5:$J$2162,AF$1)</f>
        <v>0</v>
      </c>
      <c r="AG190" s="80">
        <f>SUMIFS('октябрь 2024'!$G$5:$G$2162,'октябрь 2024'!$D$5:$D$2162,$B190,'октябрь 2024'!$J$5:$J$2162,AG$1)</f>
        <v>0</v>
      </c>
      <c r="AH190" s="80">
        <f>SUMIFS('октябрь 2024'!$G$5:$G$2162,'октябрь 2024'!$D$5:$D$2162,$B190,'октябрь 2024'!$J$5:$J$2162,AH$1)</f>
        <v>0</v>
      </c>
      <c r="AI190" s="87"/>
    </row>
    <row r="191" spans="2:35" ht="15" hidden="1" customHeight="1" x14ac:dyDescent="0.25">
      <c r="B191" s="89"/>
      <c r="C191" s="88"/>
      <c r="D191" s="80">
        <f>SUMIFS('октябрь 2024'!$G$5:$G$2162,'октябрь 2024'!$D$5:$D$2162,$B191,'октябрь 2024'!$J$5:$J$2162,D$1)</f>
        <v>0</v>
      </c>
      <c r="E191" s="80">
        <f>SUMIFS('октябрь 2024'!$G$5:$G$2162,'октябрь 2024'!$D$5:$D$2162,$B191,'октябрь 2024'!$J$5:$J$2162,E$1)</f>
        <v>0</v>
      </c>
      <c r="F191" s="80">
        <f>SUMIFS('октябрь 2024'!$G$5:$G$2162,'октябрь 2024'!$D$5:$D$2162,$B191,'октябрь 2024'!$J$5:$J$2162,F$1)</f>
        <v>0</v>
      </c>
      <c r="G191" s="80">
        <f>SUMIFS('октябрь 2024'!$G$5:$G$2162,'октябрь 2024'!$D$5:$D$2162,$B191,'октябрь 2024'!$J$5:$J$2162,G$1)</f>
        <v>0</v>
      </c>
      <c r="H191" s="80">
        <f>SUMIFS('октябрь 2024'!$G$5:$G$2162,'октябрь 2024'!$D$5:$D$2162,$B191,'октябрь 2024'!$J$5:$J$2162,H$1)</f>
        <v>0</v>
      </c>
      <c r="I191" s="80">
        <f>SUMIFS('октябрь 2024'!$G$5:$G$2162,'октябрь 2024'!$D$5:$D$2162,$B191,'октябрь 2024'!$J$5:$J$2162,I$1)</f>
        <v>0</v>
      </c>
      <c r="J191" s="80">
        <f>SUMIFS('октябрь 2024'!$G$5:$G$2162,'октябрь 2024'!$D$5:$D$2162,$B191,'октябрь 2024'!$J$5:$J$2162,J$1)</f>
        <v>0</v>
      </c>
      <c r="K191" s="80">
        <f>SUMIFS('октябрь 2024'!$G$5:$G$2162,'октябрь 2024'!$D$5:$D$2162,$B191,'октябрь 2024'!$J$5:$J$2162,K$1)</f>
        <v>0</v>
      </c>
      <c r="L191" s="80">
        <f>SUMIFS('октябрь 2024'!$G$5:$G$2162,'октябрь 2024'!$D$5:$D$2162,$B191,'октябрь 2024'!$J$5:$J$2162,L$1)</f>
        <v>0</v>
      </c>
      <c r="M191" s="80">
        <f>SUMIFS('октябрь 2024'!$G$5:$G$2162,'октябрь 2024'!$D$5:$D$2162,$B191,'октябрь 2024'!$J$5:$J$2162,M$1)</f>
        <v>0</v>
      </c>
      <c r="N191" s="80">
        <f>SUMIFS('октябрь 2024'!$G$5:$G$2162,'октябрь 2024'!$D$5:$D$2162,$B191,'октябрь 2024'!$J$5:$J$2162,N$1)</f>
        <v>0</v>
      </c>
      <c r="O191" s="80">
        <f>SUMIFS('октябрь 2024'!$G$5:$G$2162,'октябрь 2024'!$D$5:$D$2162,$B191,'октябрь 2024'!$J$5:$J$2162,O$1)</f>
        <v>0</v>
      </c>
      <c r="P191" s="80">
        <f>SUMIFS('октябрь 2024'!$G$5:$G$2162,'октябрь 2024'!$D$5:$D$2162,$B191,'октябрь 2024'!$J$5:$J$2162,P$1)</f>
        <v>0</v>
      </c>
      <c r="Q191" s="80">
        <f>SUMIFS('октябрь 2024'!$G$5:$G$2162,'октябрь 2024'!$D$5:$D$2162,$B191,'октябрь 2024'!$J$5:$J$2162,Q$1)</f>
        <v>0</v>
      </c>
      <c r="R191" s="80">
        <f>SUMIFS('октябрь 2024'!$G$5:$G$2162,'октябрь 2024'!$D$5:$D$2162,$B191,'октябрь 2024'!$J$5:$J$2162,R$1)</f>
        <v>0</v>
      </c>
      <c r="S191" s="80">
        <f>SUMIFS('октябрь 2024'!$G$5:$G$2162,'октябрь 2024'!$D$5:$D$2162,$B191,'октябрь 2024'!$J$5:$J$2162,S$1)</f>
        <v>0</v>
      </c>
      <c r="T191" s="80">
        <f>SUMIFS('октябрь 2024'!$G$5:$G$2162,'октябрь 2024'!$D$5:$D$2162,$B191,'октябрь 2024'!$J$5:$J$2162,T$1)</f>
        <v>0</v>
      </c>
      <c r="U191" s="80">
        <f>SUMIFS('октябрь 2024'!$G$5:$G$2162,'октябрь 2024'!$D$5:$D$2162,$B191,'октябрь 2024'!$J$5:$J$2162,U$1)</f>
        <v>0</v>
      </c>
      <c r="V191" s="80">
        <f>SUMIFS('октябрь 2024'!$G$5:$G$2162,'октябрь 2024'!$D$5:$D$2162,$B191,'октябрь 2024'!$J$5:$J$2162,V$1)</f>
        <v>0</v>
      </c>
      <c r="W191" s="80">
        <f>SUMIFS('октябрь 2024'!$G$5:$G$2162,'октябрь 2024'!$D$5:$D$2162,$B191,'октябрь 2024'!$J$5:$J$2162,W$1)</f>
        <v>0</v>
      </c>
      <c r="X191" s="80">
        <f>SUMIFS('октябрь 2024'!$G$5:$G$2162,'октябрь 2024'!$D$5:$D$2162,$B191,'октябрь 2024'!$J$5:$J$2162,X$1)</f>
        <v>0</v>
      </c>
      <c r="Y191" s="80">
        <f>SUMIFS('октябрь 2024'!$G$5:$G$2162,'октябрь 2024'!$D$5:$D$2162,$B191,'октябрь 2024'!$J$5:$J$2162,Y$1)</f>
        <v>0</v>
      </c>
      <c r="Z191" s="80">
        <f>SUMIFS('октябрь 2024'!$G$5:$G$2162,'октябрь 2024'!$D$5:$D$2162,$B191,'октябрь 2024'!$J$5:$J$2162,Z$1)</f>
        <v>0</v>
      </c>
      <c r="AA191" s="80">
        <f>SUMIFS('октябрь 2024'!$G$5:$G$2162,'октябрь 2024'!$D$5:$D$2162,$B191,'октябрь 2024'!$J$5:$J$2162,AA$1)</f>
        <v>0</v>
      </c>
      <c r="AB191" s="80">
        <f>SUMIFS('октябрь 2024'!$G$5:$G$2162,'октябрь 2024'!$D$5:$D$2162,$B191,'октябрь 2024'!$J$5:$J$2162,AB$1)</f>
        <v>0</v>
      </c>
      <c r="AC191" s="80">
        <f>SUMIFS('октябрь 2024'!$G$5:$G$2162,'октябрь 2024'!$D$5:$D$2162,$B191,'октябрь 2024'!$J$5:$J$2162,AC$1)</f>
        <v>0</v>
      </c>
      <c r="AD191" s="80">
        <f>SUMIFS('октябрь 2024'!$G$5:$G$2162,'октябрь 2024'!$D$5:$D$2162,$B191,'октябрь 2024'!$J$5:$J$2162,AD$1)</f>
        <v>0</v>
      </c>
      <c r="AE191" s="80">
        <f>SUMIFS('октябрь 2024'!$G$5:$G$2162,'октябрь 2024'!$D$5:$D$2162,$B191,'октябрь 2024'!$J$5:$J$2162,AE$1)</f>
        <v>0</v>
      </c>
      <c r="AF191" s="80">
        <f>SUMIFS('октябрь 2024'!$G$5:$G$2162,'октябрь 2024'!$D$5:$D$2162,$B191,'октябрь 2024'!$J$5:$J$2162,AF$1)</f>
        <v>0</v>
      </c>
      <c r="AG191" s="80">
        <f>SUMIFS('октябрь 2024'!$G$5:$G$2162,'октябрь 2024'!$D$5:$D$2162,$B191,'октябрь 2024'!$J$5:$J$2162,AG$1)</f>
        <v>0</v>
      </c>
      <c r="AH191" s="80">
        <f>SUMIFS('октябрь 2024'!$G$5:$G$2162,'октябрь 2024'!$D$5:$D$2162,$B191,'октябрь 2024'!$J$5:$J$2162,AH$1)</f>
        <v>0</v>
      </c>
      <c r="AI191" s="87"/>
    </row>
    <row r="192" spans="2:35" ht="15" hidden="1" customHeight="1" x14ac:dyDescent="0.25">
      <c r="B192" s="89"/>
      <c r="C192" s="88"/>
      <c r="D192" s="80">
        <f>SUMIFS('октябрь 2024'!$G$5:$G$2162,'октябрь 2024'!$D$5:$D$2162,$B192,'октябрь 2024'!$J$5:$J$2162,D$1)</f>
        <v>0</v>
      </c>
      <c r="E192" s="80">
        <f>SUMIFS('октябрь 2024'!$G$5:$G$2162,'октябрь 2024'!$D$5:$D$2162,$B192,'октябрь 2024'!$J$5:$J$2162,E$1)</f>
        <v>0</v>
      </c>
      <c r="F192" s="80">
        <f>SUMIFS('октябрь 2024'!$G$5:$G$2162,'октябрь 2024'!$D$5:$D$2162,$B192,'октябрь 2024'!$J$5:$J$2162,F$1)</f>
        <v>0</v>
      </c>
      <c r="G192" s="80">
        <f>SUMIFS('октябрь 2024'!$G$5:$G$2162,'октябрь 2024'!$D$5:$D$2162,$B192,'октябрь 2024'!$J$5:$J$2162,G$1)</f>
        <v>0</v>
      </c>
      <c r="H192" s="80">
        <f>SUMIFS('октябрь 2024'!$G$5:$G$2162,'октябрь 2024'!$D$5:$D$2162,$B192,'октябрь 2024'!$J$5:$J$2162,H$1)</f>
        <v>0</v>
      </c>
      <c r="I192" s="80">
        <f>SUMIFS('октябрь 2024'!$G$5:$G$2162,'октябрь 2024'!$D$5:$D$2162,$B192,'октябрь 2024'!$J$5:$J$2162,I$1)</f>
        <v>0</v>
      </c>
      <c r="J192" s="80">
        <f>SUMIFS('октябрь 2024'!$G$5:$G$2162,'октябрь 2024'!$D$5:$D$2162,$B192,'октябрь 2024'!$J$5:$J$2162,J$1)</f>
        <v>0</v>
      </c>
      <c r="K192" s="80">
        <f>SUMIFS('октябрь 2024'!$G$5:$G$2162,'октябрь 2024'!$D$5:$D$2162,$B192,'октябрь 2024'!$J$5:$J$2162,K$1)</f>
        <v>0</v>
      </c>
      <c r="L192" s="80">
        <f>SUMIFS('октябрь 2024'!$G$5:$G$2162,'октябрь 2024'!$D$5:$D$2162,$B192,'октябрь 2024'!$J$5:$J$2162,L$1)</f>
        <v>0</v>
      </c>
      <c r="M192" s="80">
        <f>SUMIFS('октябрь 2024'!$G$5:$G$2162,'октябрь 2024'!$D$5:$D$2162,$B192,'октябрь 2024'!$J$5:$J$2162,M$1)</f>
        <v>0</v>
      </c>
      <c r="N192" s="80">
        <f>SUMIFS('октябрь 2024'!$G$5:$G$2162,'октябрь 2024'!$D$5:$D$2162,$B192,'октябрь 2024'!$J$5:$J$2162,N$1)</f>
        <v>0</v>
      </c>
      <c r="O192" s="80">
        <f>SUMIFS('октябрь 2024'!$G$5:$G$2162,'октябрь 2024'!$D$5:$D$2162,$B192,'октябрь 2024'!$J$5:$J$2162,O$1)</f>
        <v>0</v>
      </c>
      <c r="P192" s="80">
        <f>SUMIFS('октябрь 2024'!$G$5:$G$2162,'октябрь 2024'!$D$5:$D$2162,$B192,'октябрь 2024'!$J$5:$J$2162,P$1)</f>
        <v>0</v>
      </c>
      <c r="Q192" s="80">
        <f>SUMIFS('октябрь 2024'!$G$5:$G$2162,'октябрь 2024'!$D$5:$D$2162,$B192,'октябрь 2024'!$J$5:$J$2162,Q$1)</f>
        <v>0</v>
      </c>
      <c r="R192" s="80">
        <f>SUMIFS('октябрь 2024'!$G$5:$G$2162,'октябрь 2024'!$D$5:$D$2162,$B192,'октябрь 2024'!$J$5:$J$2162,R$1)</f>
        <v>0</v>
      </c>
      <c r="S192" s="80">
        <f>SUMIFS('октябрь 2024'!$G$5:$G$2162,'октябрь 2024'!$D$5:$D$2162,$B192,'октябрь 2024'!$J$5:$J$2162,S$1)</f>
        <v>0</v>
      </c>
      <c r="T192" s="80">
        <f>SUMIFS('октябрь 2024'!$G$5:$G$2162,'октябрь 2024'!$D$5:$D$2162,$B192,'октябрь 2024'!$J$5:$J$2162,T$1)</f>
        <v>0</v>
      </c>
      <c r="U192" s="80">
        <f>SUMIFS('октябрь 2024'!$G$5:$G$2162,'октябрь 2024'!$D$5:$D$2162,$B192,'октябрь 2024'!$J$5:$J$2162,U$1)</f>
        <v>0</v>
      </c>
      <c r="V192" s="80">
        <f>SUMIFS('октябрь 2024'!$G$5:$G$2162,'октябрь 2024'!$D$5:$D$2162,$B192,'октябрь 2024'!$J$5:$J$2162,V$1)</f>
        <v>0</v>
      </c>
      <c r="W192" s="80">
        <f>SUMIFS('октябрь 2024'!$G$5:$G$2162,'октябрь 2024'!$D$5:$D$2162,$B192,'октябрь 2024'!$J$5:$J$2162,W$1)</f>
        <v>0</v>
      </c>
      <c r="X192" s="80">
        <f>SUMIFS('октябрь 2024'!$G$5:$G$2162,'октябрь 2024'!$D$5:$D$2162,$B192,'октябрь 2024'!$J$5:$J$2162,X$1)</f>
        <v>0</v>
      </c>
      <c r="Y192" s="80">
        <f>SUMIFS('октябрь 2024'!$G$5:$G$2162,'октябрь 2024'!$D$5:$D$2162,$B192,'октябрь 2024'!$J$5:$J$2162,Y$1)</f>
        <v>0</v>
      </c>
      <c r="Z192" s="80">
        <f>SUMIFS('октябрь 2024'!$G$5:$G$2162,'октябрь 2024'!$D$5:$D$2162,$B192,'октябрь 2024'!$J$5:$J$2162,Z$1)</f>
        <v>0</v>
      </c>
      <c r="AA192" s="80">
        <f>SUMIFS('октябрь 2024'!$G$5:$G$2162,'октябрь 2024'!$D$5:$D$2162,$B192,'октябрь 2024'!$J$5:$J$2162,AA$1)</f>
        <v>0</v>
      </c>
      <c r="AB192" s="80">
        <f>SUMIFS('октябрь 2024'!$G$5:$G$2162,'октябрь 2024'!$D$5:$D$2162,$B192,'октябрь 2024'!$J$5:$J$2162,AB$1)</f>
        <v>0</v>
      </c>
      <c r="AC192" s="80">
        <f>SUMIFS('октябрь 2024'!$G$5:$G$2162,'октябрь 2024'!$D$5:$D$2162,$B192,'октябрь 2024'!$J$5:$J$2162,AC$1)</f>
        <v>0</v>
      </c>
      <c r="AD192" s="80">
        <f>SUMIFS('октябрь 2024'!$G$5:$G$2162,'октябрь 2024'!$D$5:$D$2162,$B192,'октябрь 2024'!$J$5:$J$2162,AD$1)</f>
        <v>0</v>
      </c>
      <c r="AE192" s="80">
        <f>SUMIFS('октябрь 2024'!$G$5:$G$2162,'октябрь 2024'!$D$5:$D$2162,$B192,'октябрь 2024'!$J$5:$J$2162,AE$1)</f>
        <v>0</v>
      </c>
      <c r="AF192" s="80">
        <f>SUMIFS('октябрь 2024'!$G$5:$G$2162,'октябрь 2024'!$D$5:$D$2162,$B192,'октябрь 2024'!$J$5:$J$2162,AF$1)</f>
        <v>0</v>
      </c>
      <c r="AG192" s="80">
        <f>SUMIFS('октябрь 2024'!$G$5:$G$2162,'октябрь 2024'!$D$5:$D$2162,$B192,'октябрь 2024'!$J$5:$J$2162,AG$1)</f>
        <v>0</v>
      </c>
      <c r="AH192" s="80">
        <f>SUMIFS('октябрь 2024'!$G$5:$G$2162,'октябрь 2024'!$D$5:$D$2162,$B192,'октябрь 2024'!$J$5:$J$2162,AH$1)</f>
        <v>0</v>
      </c>
      <c r="AI192" s="87"/>
    </row>
    <row r="193" spans="2:35" ht="15" hidden="1" customHeight="1" x14ac:dyDescent="0.25">
      <c r="B193" s="89"/>
      <c r="C193" s="88"/>
      <c r="D193" s="80">
        <f>SUMIFS('октябрь 2024'!$G$5:$G$2162,'октябрь 2024'!$D$5:$D$2162,$B193,'октябрь 2024'!$J$5:$J$2162,D$1)</f>
        <v>0</v>
      </c>
      <c r="E193" s="80">
        <f>SUMIFS('октябрь 2024'!$G$5:$G$2162,'октябрь 2024'!$D$5:$D$2162,$B193,'октябрь 2024'!$J$5:$J$2162,E$1)</f>
        <v>0</v>
      </c>
      <c r="F193" s="80">
        <f>SUMIFS('октябрь 2024'!$G$5:$G$2162,'октябрь 2024'!$D$5:$D$2162,$B193,'октябрь 2024'!$J$5:$J$2162,F$1)</f>
        <v>0</v>
      </c>
      <c r="G193" s="80">
        <f>SUMIFS('октябрь 2024'!$G$5:$G$2162,'октябрь 2024'!$D$5:$D$2162,$B193,'октябрь 2024'!$J$5:$J$2162,G$1)</f>
        <v>0</v>
      </c>
      <c r="H193" s="80">
        <f>SUMIFS('октябрь 2024'!$G$5:$G$2162,'октябрь 2024'!$D$5:$D$2162,$B193,'октябрь 2024'!$J$5:$J$2162,H$1)</f>
        <v>0</v>
      </c>
      <c r="I193" s="80">
        <f>SUMIFS('октябрь 2024'!$G$5:$G$2162,'октябрь 2024'!$D$5:$D$2162,$B193,'октябрь 2024'!$J$5:$J$2162,I$1)</f>
        <v>0</v>
      </c>
      <c r="J193" s="80">
        <f>SUMIFS('октябрь 2024'!$G$5:$G$2162,'октябрь 2024'!$D$5:$D$2162,$B193,'октябрь 2024'!$J$5:$J$2162,J$1)</f>
        <v>0</v>
      </c>
      <c r="K193" s="80">
        <f>SUMIFS('октябрь 2024'!$G$5:$G$2162,'октябрь 2024'!$D$5:$D$2162,$B193,'октябрь 2024'!$J$5:$J$2162,K$1)</f>
        <v>0</v>
      </c>
      <c r="L193" s="80">
        <f>SUMIFS('октябрь 2024'!$G$5:$G$2162,'октябрь 2024'!$D$5:$D$2162,$B193,'октябрь 2024'!$J$5:$J$2162,L$1)</f>
        <v>0</v>
      </c>
      <c r="M193" s="80">
        <f>SUMIFS('октябрь 2024'!$G$5:$G$2162,'октябрь 2024'!$D$5:$D$2162,$B193,'октябрь 2024'!$J$5:$J$2162,M$1)</f>
        <v>0</v>
      </c>
      <c r="N193" s="80">
        <f>SUMIFS('октябрь 2024'!$G$5:$G$2162,'октябрь 2024'!$D$5:$D$2162,$B193,'октябрь 2024'!$J$5:$J$2162,N$1)</f>
        <v>0</v>
      </c>
      <c r="O193" s="80">
        <f>SUMIFS('октябрь 2024'!$G$5:$G$2162,'октябрь 2024'!$D$5:$D$2162,$B193,'октябрь 2024'!$J$5:$J$2162,O$1)</f>
        <v>0</v>
      </c>
      <c r="P193" s="80">
        <f>SUMIFS('октябрь 2024'!$G$5:$G$2162,'октябрь 2024'!$D$5:$D$2162,$B193,'октябрь 2024'!$J$5:$J$2162,P$1)</f>
        <v>0</v>
      </c>
      <c r="Q193" s="80">
        <f>SUMIFS('октябрь 2024'!$G$5:$G$2162,'октябрь 2024'!$D$5:$D$2162,$B193,'октябрь 2024'!$J$5:$J$2162,Q$1)</f>
        <v>0</v>
      </c>
      <c r="R193" s="80">
        <f>SUMIFS('октябрь 2024'!$G$5:$G$2162,'октябрь 2024'!$D$5:$D$2162,$B193,'октябрь 2024'!$J$5:$J$2162,R$1)</f>
        <v>0</v>
      </c>
      <c r="S193" s="80">
        <f>SUMIFS('октябрь 2024'!$G$5:$G$2162,'октябрь 2024'!$D$5:$D$2162,$B193,'октябрь 2024'!$J$5:$J$2162,S$1)</f>
        <v>0</v>
      </c>
      <c r="T193" s="80">
        <f>SUMIFS('октябрь 2024'!$G$5:$G$2162,'октябрь 2024'!$D$5:$D$2162,$B193,'октябрь 2024'!$J$5:$J$2162,T$1)</f>
        <v>0</v>
      </c>
      <c r="U193" s="80">
        <f>SUMIFS('октябрь 2024'!$G$5:$G$2162,'октябрь 2024'!$D$5:$D$2162,$B193,'октябрь 2024'!$J$5:$J$2162,U$1)</f>
        <v>0</v>
      </c>
      <c r="V193" s="80">
        <f>SUMIFS('октябрь 2024'!$G$5:$G$2162,'октябрь 2024'!$D$5:$D$2162,$B193,'октябрь 2024'!$J$5:$J$2162,V$1)</f>
        <v>0</v>
      </c>
      <c r="W193" s="80">
        <f>SUMIFS('октябрь 2024'!$G$5:$G$2162,'октябрь 2024'!$D$5:$D$2162,$B193,'октябрь 2024'!$J$5:$J$2162,W$1)</f>
        <v>0</v>
      </c>
      <c r="X193" s="80">
        <f>SUMIFS('октябрь 2024'!$G$5:$G$2162,'октябрь 2024'!$D$5:$D$2162,$B193,'октябрь 2024'!$J$5:$J$2162,X$1)</f>
        <v>0</v>
      </c>
      <c r="Y193" s="80">
        <f>SUMIFS('октябрь 2024'!$G$5:$G$2162,'октябрь 2024'!$D$5:$D$2162,$B193,'октябрь 2024'!$J$5:$J$2162,Y$1)</f>
        <v>0</v>
      </c>
      <c r="Z193" s="80">
        <f>SUMIFS('октябрь 2024'!$G$5:$G$2162,'октябрь 2024'!$D$5:$D$2162,$B193,'октябрь 2024'!$J$5:$J$2162,Z$1)</f>
        <v>0</v>
      </c>
      <c r="AA193" s="80">
        <f>SUMIFS('октябрь 2024'!$G$5:$G$2162,'октябрь 2024'!$D$5:$D$2162,$B193,'октябрь 2024'!$J$5:$J$2162,AA$1)</f>
        <v>0</v>
      </c>
      <c r="AB193" s="80">
        <f>SUMIFS('октябрь 2024'!$G$5:$G$2162,'октябрь 2024'!$D$5:$D$2162,$B193,'октябрь 2024'!$J$5:$J$2162,AB$1)</f>
        <v>0</v>
      </c>
      <c r="AC193" s="80">
        <f>SUMIFS('октябрь 2024'!$G$5:$G$2162,'октябрь 2024'!$D$5:$D$2162,$B193,'октябрь 2024'!$J$5:$J$2162,AC$1)</f>
        <v>0</v>
      </c>
      <c r="AD193" s="80">
        <f>SUMIFS('октябрь 2024'!$G$5:$G$2162,'октябрь 2024'!$D$5:$D$2162,$B193,'октябрь 2024'!$J$5:$J$2162,AD$1)</f>
        <v>0</v>
      </c>
      <c r="AE193" s="80">
        <f>SUMIFS('октябрь 2024'!$G$5:$G$2162,'октябрь 2024'!$D$5:$D$2162,$B193,'октябрь 2024'!$J$5:$J$2162,AE$1)</f>
        <v>0</v>
      </c>
      <c r="AF193" s="80">
        <f>SUMIFS('октябрь 2024'!$G$5:$G$2162,'октябрь 2024'!$D$5:$D$2162,$B193,'октябрь 2024'!$J$5:$J$2162,AF$1)</f>
        <v>0</v>
      </c>
      <c r="AG193" s="80">
        <f>SUMIFS('октябрь 2024'!$G$5:$G$2162,'октябрь 2024'!$D$5:$D$2162,$B193,'октябрь 2024'!$J$5:$J$2162,AG$1)</f>
        <v>0</v>
      </c>
      <c r="AH193" s="80">
        <f>SUMIFS('октябрь 2024'!$G$5:$G$2162,'октябрь 2024'!$D$5:$D$2162,$B193,'октябрь 2024'!$J$5:$J$2162,AH$1)</f>
        <v>0</v>
      </c>
      <c r="AI193" s="87"/>
    </row>
    <row r="194" spans="2:35" ht="15" hidden="1" customHeight="1" x14ac:dyDescent="0.25">
      <c r="B194" s="89"/>
      <c r="C194" s="88"/>
      <c r="D194" s="80">
        <f>SUMIFS('октябрь 2024'!$G$5:$G$2162,'октябрь 2024'!$D$5:$D$2162,$B194,'октябрь 2024'!$J$5:$J$2162,D$1)</f>
        <v>0</v>
      </c>
      <c r="E194" s="80">
        <f>SUMIFS('октябрь 2024'!$G$5:$G$2162,'октябрь 2024'!$D$5:$D$2162,$B194,'октябрь 2024'!$J$5:$J$2162,E$1)</f>
        <v>0</v>
      </c>
      <c r="F194" s="80">
        <f>SUMIFS('октябрь 2024'!$G$5:$G$2162,'октябрь 2024'!$D$5:$D$2162,$B194,'октябрь 2024'!$J$5:$J$2162,F$1)</f>
        <v>0</v>
      </c>
      <c r="G194" s="80">
        <f>SUMIFS('октябрь 2024'!$G$5:$G$2162,'октябрь 2024'!$D$5:$D$2162,$B194,'октябрь 2024'!$J$5:$J$2162,G$1)</f>
        <v>0</v>
      </c>
      <c r="H194" s="80">
        <f>SUMIFS('октябрь 2024'!$G$5:$G$2162,'октябрь 2024'!$D$5:$D$2162,$B194,'октябрь 2024'!$J$5:$J$2162,H$1)</f>
        <v>0</v>
      </c>
      <c r="I194" s="80">
        <f>SUMIFS('октябрь 2024'!$G$5:$G$2162,'октябрь 2024'!$D$5:$D$2162,$B194,'октябрь 2024'!$J$5:$J$2162,I$1)</f>
        <v>0</v>
      </c>
      <c r="J194" s="80">
        <f>SUMIFS('октябрь 2024'!$G$5:$G$2162,'октябрь 2024'!$D$5:$D$2162,$B194,'октябрь 2024'!$J$5:$J$2162,J$1)</f>
        <v>0</v>
      </c>
      <c r="K194" s="80">
        <f>SUMIFS('октябрь 2024'!$G$5:$G$2162,'октябрь 2024'!$D$5:$D$2162,$B194,'октябрь 2024'!$J$5:$J$2162,K$1)</f>
        <v>0</v>
      </c>
      <c r="L194" s="80">
        <f>SUMIFS('октябрь 2024'!$G$5:$G$2162,'октябрь 2024'!$D$5:$D$2162,$B194,'октябрь 2024'!$J$5:$J$2162,L$1)</f>
        <v>0</v>
      </c>
      <c r="M194" s="80">
        <f>SUMIFS('октябрь 2024'!$G$5:$G$2162,'октябрь 2024'!$D$5:$D$2162,$B194,'октябрь 2024'!$J$5:$J$2162,M$1)</f>
        <v>0</v>
      </c>
      <c r="N194" s="80">
        <f>SUMIFS('октябрь 2024'!$G$5:$G$2162,'октябрь 2024'!$D$5:$D$2162,$B194,'октябрь 2024'!$J$5:$J$2162,N$1)</f>
        <v>0</v>
      </c>
      <c r="O194" s="80">
        <f>SUMIFS('октябрь 2024'!$G$5:$G$2162,'октябрь 2024'!$D$5:$D$2162,$B194,'октябрь 2024'!$J$5:$J$2162,O$1)</f>
        <v>0</v>
      </c>
      <c r="P194" s="80">
        <f>SUMIFS('октябрь 2024'!$G$5:$G$2162,'октябрь 2024'!$D$5:$D$2162,$B194,'октябрь 2024'!$J$5:$J$2162,P$1)</f>
        <v>0</v>
      </c>
      <c r="Q194" s="80">
        <f>SUMIFS('октябрь 2024'!$G$5:$G$2162,'октябрь 2024'!$D$5:$D$2162,$B194,'октябрь 2024'!$J$5:$J$2162,Q$1)</f>
        <v>0</v>
      </c>
      <c r="R194" s="80">
        <f>SUMIFS('октябрь 2024'!$G$5:$G$2162,'октябрь 2024'!$D$5:$D$2162,$B194,'октябрь 2024'!$J$5:$J$2162,R$1)</f>
        <v>0</v>
      </c>
      <c r="S194" s="80">
        <f>SUMIFS('октябрь 2024'!$G$5:$G$2162,'октябрь 2024'!$D$5:$D$2162,$B194,'октябрь 2024'!$J$5:$J$2162,S$1)</f>
        <v>0</v>
      </c>
      <c r="T194" s="80">
        <f>SUMIFS('октябрь 2024'!$G$5:$G$2162,'октябрь 2024'!$D$5:$D$2162,$B194,'октябрь 2024'!$J$5:$J$2162,T$1)</f>
        <v>0</v>
      </c>
      <c r="U194" s="80">
        <f>SUMIFS('октябрь 2024'!$G$5:$G$2162,'октябрь 2024'!$D$5:$D$2162,$B194,'октябрь 2024'!$J$5:$J$2162,U$1)</f>
        <v>0</v>
      </c>
      <c r="V194" s="80">
        <f>SUMIFS('октябрь 2024'!$G$5:$G$2162,'октябрь 2024'!$D$5:$D$2162,$B194,'октябрь 2024'!$J$5:$J$2162,V$1)</f>
        <v>0</v>
      </c>
      <c r="W194" s="80">
        <f>SUMIFS('октябрь 2024'!$G$5:$G$2162,'октябрь 2024'!$D$5:$D$2162,$B194,'октябрь 2024'!$J$5:$J$2162,W$1)</f>
        <v>0</v>
      </c>
      <c r="X194" s="80">
        <f>SUMIFS('октябрь 2024'!$G$5:$G$2162,'октябрь 2024'!$D$5:$D$2162,$B194,'октябрь 2024'!$J$5:$J$2162,X$1)</f>
        <v>0</v>
      </c>
      <c r="Y194" s="80">
        <f>SUMIFS('октябрь 2024'!$G$5:$G$2162,'октябрь 2024'!$D$5:$D$2162,$B194,'октябрь 2024'!$J$5:$J$2162,Y$1)</f>
        <v>0</v>
      </c>
      <c r="Z194" s="80">
        <f>SUMIFS('октябрь 2024'!$G$5:$G$2162,'октябрь 2024'!$D$5:$D$2162,$B194,'октябрь 2024'!$J$5:$J$2162,Z$1)</f>
        <v>0</v>
      </c>
      <c r="AA194" s="80">
        <f>SUMIFS('октябрь 2024'!$G$5:$G$2162,'октябрь 2024'!$D$5:$D$2162,$B194,'октябрь 2024'!$J$5:$J$2162,AA$1)</f>
        <v>0</v>
      </c>
      <c r="AB194" s="80">
        <f>SUMIFS('октябрь 2024'!$G$5:$G$2162,'октябрь 2024'!$D$5:$D$2162,$B194,'октябрь 2024'!$J$5:$J$2162,AB$1)</f>
        <v>0</v>
      </c>
      <c r="AC194" s="80">
        <f>SUMIFS('октябрь 2024'!$G$5:$G$2162,'октябрь 2024'!$D$5:$D$2162,$B194,'октябрь 2024'!$J$5:$J$2162,AC$1)</f>
        <v>0</v>
      </c>
      <c r="AD194" s="80">
        <f>SUMIFS('октябрь 2024'!$G$5:$G$2162,'октябрь 2024'!$D$5:$D$2162,$B194,'октябрь 2024'!$J$5:$J$2162,AD$1)</f>
        <v>0</v>
      </c>
      <c r="AE194" s="80">
        <f>SUMIFS('октябрь 2024'!$G$5:$G$2162,'октябрь 2024'!$D$5:$D$2162,$B194,'октябрь 2024'!$J$5:$J$2162,AE$1)</f>
        <v>0</v>
      </c>
      <c r="AF194" s="80">
        <f>SUMIFS('октябрь 2024'!$G$5:$G$2162,'октябрь 2024'!$D$5:$D$2162,$B194,'октябрь 2024'!$J$5:$J$2162,AF$1)</f>
        <v>0</v>
      </c>
      <c r="AG194" s="80">
        <f>SUMIFS('октябрь 2024'!$G$5:$G$2162,'октябрь 2024'!$D$5:$D$2162,$B194,'октябрь 2024'!$J$5:$J$2162,AG$1)</f>
        <v>0</v>
      </c>
      <c r="AH194" s="80">
        <f>SUMIFS('октябрь 2024'!$G$5:$G$2162,'октябрь 2024'!$D$5:$D$2162,$B194,'октябрь 2024'!$J$5:$J$2162,AH$1)</f>
        <v>0</v>
      </c>
      <c r="AI194" s="87"/>
    </row>
    <row r="195" spans="2:35" ht="15" hidden="1" customHeight="1" x14ac:dyDescent="0.25">
      <c r="B195" s="89"/>
      <c r="C195" s="88"/>
      <c r="D195" s="80">
        <f>SUMIFS('октябрь 2024'!$G$5:$G$2162,'октябрь 2024'!$D$5:$D$2162,$B195,'октябрь 2024'!$J$5:$J$2162,D$1)</f>
        <v>0</v>
      </c>
      <c r="E195" s="80">
        <f>SUMIFS('октябрь 2024'!$G$5:$G$2162,'октябрь 2024'!$D$5:$D$2162,$B195,'октябрь 2024'!$J$5:$J$2162,E$1)</f>
        <v>0</v>
      </c>
      <c r="F195" s="80">
        <f>SUMIFS('октябрь 2024'!$G$5:$G$2162,'октябрь 2024'!$D$5:$D$2162,$B195,'октябрь 2024'!$J$5:$J$2162,F$1)</f>
        <v>0</v>
      </c>
      <c r="G195" s="80">
        <f>SUMIFS('октябрь 2024'!$G$5:$G$2162,'октябрь 2024'!$D$5:$D$2162,$B195,'октябрь 2024'!$J$5:$J$2162,G$1)</f>
        <v>0</v>
      </c>
      <c r="H195" s="80">
        <f>SUMIFS('октябрь 2024'!$G$5:$G$2162,'октябрь 2024'!$D$5:$D$2162,$B195,'октябрь 2024'!$J$5:$J$2162,H$1)</f>
        <v>0</v>
      </c>
      <c r="I195" s="80">
        <f>SUMIFS('октябрь 2024'!$G$5:$G$2162,'октябрь 2024'!$D$5:$D$2162,$B195,'октябрь 2024'!$J$5:$J$2162,I$1)</f>
        <v>0</v>
      </c>
      <c r="J195" s="80">
        <f>SUMIFS('октябрь 2024'!$G$5:$G$2162,'октябрь 2024'!$D$5:$D$2162,$B195,'октябрь 2024'!$J$5:$J$2162,J$1)</f>
        <v>0</v>
      </c>
      <c r="K195" s="80">
        <f>SUMIFS('октябрь 2024'!$G$5:$G$2162,'октябрь 2024'!$D$5:$D$2162,$B195,'октябрь 2024'!$J$5:$J$2162,K$1)</f>
        <v>0</v>
      </c>
      <c r="L195" s="80">
        <f>SUMIFS('октябрь 2024'!$G$5:$G$2162,'октябрь 2024'!$D$5:$D$2162,$B195,'октябрь 2024'!$J$5:$J$2162,L$1)</f>
        <v>0</v>
      </c>
      <c r="M195" s="80">
        <f>SUMIFS('октябрь 2024'!$G$5:$G$2162,'октябрь 2024'!$D$5:$D$2162,$B195,'октябрь 2024'!$J$5:$J$2162,M$1)</f>
        <v>0</v>
      </c>
      <c r="N195" s="80">
        <f>SUMIFS('октябрь 2024'!$G$5:$G$2162,'октябрь 2024'!$D$5:$D$2162,$B195,'октябрь 2024'!$J$5:$J$2162,N$1)</f>
        <v>0</v>
      </c>
      <c r="O195" s="80">
        <f>SUMIFS('октябрь 2024'!$G$5:$G$2162,'октябрь 2024'!$D$5:$D$2162,$B195,'октябрь 2024'!$J$5:$J$2162,O$1)</f>
        <v>0</v>
      </c>
      <c r="P195" s="80">
        <f>SUMIFS('октябрь 2024'!$G$5:$G$2162,'октябрь 2024'!$D$5:$D$2162,$B195,'октябрь 2024'!$J$5:$J$2162,P$1)</f>
        <v>0</v>
      </c>
      <c r="Q195" s="80">
        <f>SUMIFS('октябрь 2024'!$G$5:$G$2162,'октябрь 2024'!$D$5:$D$2162,$B195,'октябрь 2024'!$J$5:$J$2162,Q$1)</f>
        <v>0</v>
      </c>
      <c r="R195" s="80">
        <f>SUMIFS('октябрь 2024'!$G$5:$G$2162,'октябрь 2024'!$D$5:$D$2162,$B195,'октябрь 2024'!$J$5:$J$2162,R$1)</f>
        <v>0</v>
      </c>
      <c r="S195" s="80">
        <f>SUMIFS('октябрь 2024'!$G$5:$G$2162,'октябрь 2024'!$D$5:$D$2162,$B195,'октябрь 2024'!$J$5:$J$2162,S$1)</f>
        <v>0</v>
      </c>
      <c r="T195" s="80">
        <f>SUMIFS('октябрь 2024'!$G$5:$G$2162,'октябрь 2024'!$D$5:$D$2162,$B195,'октябрь 2024'!$J$5:$J$2162,T$1)</f>
        <v>0</v>
      </c>
      <c r="U195" s="80">
        <f>SUMIFS('октябрь 2024'!$G$5:$G$2162,'октябрь 2024'!$D$5:$D$2162,$B195,'октябрь 2024'!$J$5:$J$2162,U$1)</f>
        <v>0</v>
      </c>
      <c r="V195" s="80">
        <f>SUMIFS('октябрь 2024'!$G$5:$G$2162,'октябрь 2024'!$D$5:$D$2162,$B195,'октябрь 2024'!$J$5:$J$2162,V$1)</f>
        <v>0</v>
      </c>
      <c r="W195" s="80">
        <f>SUMIFS('октябрь 2024'!$G$5:$G$2162,'октябрь 2024'!$D$5:$D$2162,$B195,'октябрь 2024'!$J$5:$J$2162,W$1)</f>
        <v>0</v>
      </c>
      <c r="X195" s="80">
        <f>SUMIFS('октябрь 2024'!$G$5:$G$2162,'октябрь 2024'!$D$5:$D$2162,$B195,'октябрь 2024'!$J$5:$J$2162,X$1)</f>
        <v>0</v>
      </c>
      <c r="Y195" s="80">
        <f>SUMIFS('октябрь 2024'!$G$5:$G$2162,'октябрь 2024'!$D$5:$D$2162,$B195,'октябрь 2024'!$J$5:$J$2162,Y$1)</f>
        <v>0</v>
      </c>
      <c r="Z195" s="80">
        <f>SUMIFS('октябрь 2024'!$G$5:$G$2162,'октябрь 2024'!$D$5:$D$2162,$B195,'октябрь 2024'!$J$5:$J$2162,Z$1)</f>
        <v>0</v>
      </c>
      <c r="AA195" s="80">
        <f>SUMIFS('октябрь 2024'!$G$5:$G$2162,'октябрь 2024'!$D$5:$D$2162,$B195,'октябрь 2024'!$J$5:$J$2162,AA$1)</f>
        <v>0</v>
      </c>
      <c r="AB195" s="80">
        <f>SUMIFS('октябрь 2024'!$G$5:$G$2162,'октябрь 2024'!$D$5:$D$2162,$B195,'октябрь 2024'!$J$5:$J$2162,AB$1)</f>
        <v>0</v>
      </c>
      <c r="AC195" s="80">
        <f>SUMIFS('октябрь 2024'!$G$5:$G$2162,'октябрь 2024'!$D$5:$D$2162,$B195,'октябрь 2024'!$J$5:$J$2162,AC$1)</f>
        <v>0</v>
      </c>
      <c r="AD195" s="80">
        <f>SUMIFS('октябрь 2024'!$G$5:$G$2162,'октябрь 2024'!$D$5:$D$2162,$B195,'октябрь 2024'!$J$5:$J$2162,AD$1)</f>
        <v>0</v>
      </c>
      <c r="AE195" s="80">
        <f>SUMIFS('октябрь 2024'!$G$5:$G$2162,'октябрь 2024'!$D$5:$D$2162,$B195,'октябрь 2024'!$J$5:$J$2162,AE$1)</f>
        <v>0</v>
      </c>
      <c r="AF195" s="80">
        <f>SUMIFS('октябрь 2024'!$G$5:$G$2162,'октябрь 2024'!$D$5:$D$2162,$B195,'октябрь 2024'!$J$5:$J$2162,AF$1)</f>
        <v>0</v>
      </c>
      <c r="AG195" s="80">
        <f>SUMIFS('октябрь 2024'!$G$5:$G$2162,'октябрь 2024'!$D$5:$D$2162,$B195,'октябрь 2024'!$J$5:$J$2162,AG$1)</f>
        <v>0</v>
      </c>
      <c r="AH195" s="80">
        <f>SUMIFS('октябрь 2024'!$G$5:$G$2162,'октябрь 2024'!$D$5:$D$2162,$B195,'октябрь 2024'!$J$5:$J$2162,AH$1)</f>
        <v>0</v>
      </c>
      <c r="AI195" s="87"/>
    </row>
    <row r="196" spans="2:35" ht="15" hidden="1" customHeight="1" x14ac:dyDescent="0.25">
      <c r="B196" s="89"/>
      <c r="C196" s="88"/>
      <c r="D196" s="80">
        <f>SUMIFS('октябрь 2024'!$G$5:$G$2162,'октябрь 2024'!$D$5:$D$2162,$B196,'октябрь 2024'!$J$5:$J$2162,D$1)</f>
        <v>0</v>
      </c>
      <c r="E196" s="80">
        <f>SUMIFS('октябрь 2024'!$G$5:$G$2162,'октябрь 2024'!$D$5:$D$2162,$B196,'октябрь 2024'!$J$5:$J$2162,E$1)</f>
        <v>0</v>
      </c>
      <c r="F196" s="80">
        <f>SUMIFS('октябрь 2024'!$G$5:$G$2162,'октябрь 2024'!$D$5:$D$2162,$B196,'октябрь 2024'!$J$5:$J$2162,F$1)</f>
        <v>0</v>
      </c>
      <c r="G196" s="80">
        <f>SUMIFS('октябрь 2024'!$G$5:$G$2162,'октябрь 2024'!$D$5:$D$2162,$B196,'октябрь 2024'!$J$5:$J$2162,G$1)</f>
        <v>0</v>
      </c>
      <c r="H196" s="80">
        <f>SUMIFS('октябрь 2024'!$G$5:$G$2162,'октябрь 2024'!$D$5:$D$2162,$B196,'октябрь 2024'!$J$5:$J$2162,H$1)</f>
        <v>0</v>
      </c>
      <c r="I196" s="80">
        <f>SUMIFS('октябрь 2024'!$G$5:$G$2162,'октябрь 2024'!$D$5:$D$2162,$B196,'октябрь 2024'!$J$5:$J$2162,I$1)</f>
        <v>0</v>
      </c>
      <c r="J196" s="80">
        <f>SUMIFS('октябрь 2024'!$G$5:$G$2162,'октябрь 2024'!$D$5:$D$2162,$B196,'октябрь 2024'!$J$5:$J$2162,J$1)</f>
        <v>0</v>
      </c>
      <c r="K196" s="80">
        <f>SUMIFS('октябрь 2024'!$G$5:$G$2162,'октябрь 2024'!$D$5:$D$2162,$B196,'октябрь 2024'!$J$5:$J$2162,K$1)</f>
        <v>0</v>
      </c>
      <c r="L196" s="80">
        <f>SUMIFS('октябрь 2024'!$G$5:$G$2162,'октябрь 2024'!$D$5:$D$2162,$B196,'октябрь 2024'!$J$5:$J$2162,L$1)</f>
        <v>0</v>
      </c>
      <c r="M196" s="80">
        <f>SUMIFS('октябрь 2024'!$G$5:$G$2162,'октябрь 2024'!$D$5:$D$2162,$B196,'октябрь 2024'!$J$5:$J$2162,M$1)</f>
        <v>0</v>
      </c>
      <c r="N196" s="80">
        <f>SUMIFS('октябрь 2024'!$G$5:$G$2162,'октябрь 2024'!$D$5:$D$2162,$B196,'октябрь 2024'!$J$5:$J$2162,N$1)</f>
        <v>0</v>
      </c>
      <c r="O196" s="80">
        <f>SUMIFS('октябрь 2024'!$G$5:$G$2162,'октябрь 2024'!$D$5:$D$2162,$B196,'октябрь 2024'!$J$5:$J$2162,O$1)</f>
        <v>0</v>
      </c>
      <c r="P196" s="80">
        <f>SUMIFS('октябрь 2024'!$G$5:$G$2162,'октябрь 2024'!$D$5:$D$2162,$B196,'октябрь 2024'!$J$5:$J$2162,P$1)</f>
        <v>0</v>
      </c>
      <c r="Q196" s="80">
        <f>SUMIFS('октябрь 2024'!$G$5:$G$2162,'октябрь 2024'!$D$5:$D$2162,$B196,'октябрь 2024'!$J$5:$J$2162,Q$1)</f>
        <v>0</v>
      </c>
      <c r="R196" s="80">
        <f>SUMIFS('октябрь 2024'!$G$5:$G$2162,'октябрь 2024'!$D$5:$D$2162,$B196,'октябрь 2024'!$J$5:$J$2162,R$1)</f>
        <v>0</v>
      </c>
      <c r="S196" s="80">
        <f>SUMIFS('октябрь 2024'!$G$5:$G$2162,'октябрь 2024'!$D$5:$D$2162,$B196,'октябрь 2024'!$J$5:$J$2162,S$1)</f>
        <v>0</v>
      </c>
      <c r="T196" s="80">
        <f>SUMIFS('октябрь 2024'!$G$5:$G$2162,'октябрь 2024'!$D$5:$D$2162,$B196,'октябрь 2024'!$J$5:$J$2162,T$1)</f>
        <v>0</v>
      </c>
      <c r="U196" s="80">
        <f>SUMIFS('октябрь 2024'!$G$5:$G$2162,'октябрь 2024'!$D$5:$D$2162,$B196,'октябрь 2024'!$J$5:$J$2162,U$1)</f>
        <v>0</v>
      </c>
      <c r="V196" s="80">
        <f>SUMIFS('октябрь 2024'!$G$5:$G$2162,'октябрь 2024'!$D$5:$D$2162,$B196,'октябрь 2024'!$J$5:$J$2162,V$1)</f>
        <v>0</v>
      </c>
      <c r="W196" s="80">
        <f>SUMIFS('октябрь 2024'!$G$5:$G$2162,'октябрь 2024'!$D$5:$D$2162,$B196,'октябрь 2024'!$J$5:$J$2162,W$1)</f>
        <v>0</v>
      </c>
      <c r="X196" s="80">
        <f>SUMIFS('октябрь 2024'!$G$5:$G$2162,'октябрь 2024'!$D$5:$D$2162,$B196,'октябрь 2024'!$J$5:$J$2162,X$1)</f>
        <v>0</v>
      </c>
      <c r="Y196" s="80">
        <f>SUMIFS('октябрь 2024'!$G$5:$G$2162,'октябрь 2024'!$D$5:$D$2162,$B196,'октябрь 2024'!$J$5:$J$2162,Y$1)</f>
        <v>0</v>
      </c>
      <c r="Z196" s="80">
        <f>SUMIFS('октябрь 2024'!$G$5:$G$2162,'октябрь 2024'!$D$5:$D$2162,$B196,'октябрь 2024'!$J$5:$J$2162,Z$1)</f>
        <v>0</v>
      </c>
      <c r="AA196" s="80">
        <f>SUMIFS('октябрь 2024'!$G$5:$G$2162,'октябрь 2024'!$D$5:$D$2162,$B196,'октябрь 2024'!$J$5:$J$2162,AA$1)</f>
        <v>0</v>
      </c>
      <c r="AB196" s="80">
        <f>SUMIFS('октябрь 2024'!$G$5:$G$2162,'октябрь 2024'!$D$5:$D$2162,$B196,'октябрь 2024'!$J$5:$J$2162,AB$1)</f>
        <v>0</v>
      </c>
      <c r="AC196" s="80">
        <f>SUMIFS('октябрь 2024'!$G$5:$G$2162,'октябрь 2024'!$D$5:$D$2162,$B196,'октябрь 2024'!$J$5:$J$2162,AC$1)</f>
        <v>0</v>
      </c>
      <c r="AD196" s="80">
        <f>SUMIFS('октябрь 2024'!$G$5:$G$2162,'октябрь 2024'!$D$5:$D$2162,$B196,'октябрь 2024'!$J$5:$J$2162,AD$1)</f>
        <v>0</v>
      </c>
      <c r="AE196" s="80">
        <f>SUMIFS('октябрь 2024'!$G$5:$G$2162,'октябрь 2024'!$D$5:$D$2162,$B196,'октябрь 2024'!$J$5:$J$2162,AE$1)</f>
        <v>0</v>
      </c>
      <c r="AF196" s="80">
        <f>SUMIFS('октябрь 2024'!$G$5:$G$2162,'октябрь 2024'!$D$5:$D$2162,$B196,'октябрь 2024'!$J$5:$J$2162,AF$1)</f>
        <v>0</v>
      </c>
      <c r="AG196" s="80">
        <f>SUMIFS('октябрь 2024'!$G$5:$G$2162,'октябрь 2024'!$D$5:$D$2162,$B196,'октябрь 2024'!$J$5:$J$2162,AG$1)</f>
        <v>0</v>
      </c>
      <c r="AH196" s="80">
        <f>SUMIFS('октябрь 2024'!$G$5:$G$2162,'октябрь 2024'!$D$5:$D$2162,$B196,'октябрь 2024'!$J$5:$J$2162,AH$1)</f>
        <v>0</v>
      </c>
      <c r="AI196" s="87"/>
    </row>
    <row r="197" spans="2:35" ht="15" hidden="1" customHeight="1" x14ac:dyDescent="0.25">
      <c r="B197" s="89"/>
      <c r="C197" s="88"/>
      <c r="D197" s="80">
        <f>SUMIFS('октябрь 2024'!$G$5:$G$2162,'октябрь 2024'!$D$5:$D$2162,$B197,'октябрь 2024'!$J$5:$J$2162,D$1)</f>
        <v>0</v>
      </c>
      <c r="E197" s="80">
        <f>SUMIFS('октябрь 2024'!$G$5:$G$2162,'октябрь 2024'!$D$5:$D$2162,$B197,'октябрь 2024'!$J$5:$J$2162,E$1)</f>
        <v>0</v>
      </c>
      <c r="F197" s="80">
        <f>SUMIFS('октябрь 2024'!$G$5:$G$2162,'октябрь 2024'!$D$5:$D$2162,$B197,'октябрь 2024'!$J$5:$J$2162,F$1)</f>
        <v>0</v>
      </c>
      <c r="G197" s="80">
        <f>SUMIFS('октябрь 2024'!$G$5:$G$2162,'октябрь 2024'!$D$5:$D$2162,$B197,'октябрь 2024'!$J$5:$J$2162,G$1)</f>
        <v>0</v>
      </c>
      <c r="H197" s="80">
        <f>SUMIFS('октябрь 2024'!$G$5:$G$2162,'октябрь 2024'!$D$5:$D$2162,$B197,'октябрь 2024'!$J$5:$J$2162,H$1)</f>
        <v>0</v>
      </c>
      <c r="I197" s="80">
        <f>SUMIFS('октябрь 2024'!$G$5:$G$2162,'октябрь 2024'!$D$5:$D$2162,$B197,'октябрь 2024'!$J$5:$J$2162,I$1)</f>
        <v>0</v>
      </c>
      <c r="J197" s="80">
        <f>SUMIFS('октябрь 2024'!$G$5:$G$2162,'октябрь 2024'!$D$5:$D$2162,$B197,'октябрь 2024'!$J$5:$J$2162,J$1)</f>
        <v>0</v>
      </c>
      <c r="K197" s="80">
        <f>SUMIFS('октябрь 2024'!$G$5:$G$2162,'октябрь 2024'!$D$5:$D$2162,$B197,'октябрь 2024'!$J$5:$J$2162,K$1)</f>
        <v>0</v>
      </c>
      <c r="L197" s="80">
        <f>SUMIFS('октябрь 2024'!$G$5:$G$2162,'октябрь 2024'!$D$5:$D$2162,$B197,'октябрь 2024'!$J$5:$J$2162,L$1)</f>
        <v>0</v>
      </c>
      <c r="M197" s="80">
        <f>SUMIFS('октябрь 2024'!$G$5:$G$2162,'октябрь 2024'!$D$5:$D$2162,$B197,'октябрь 2024'!$J$5:$J$2162,M$1)</f>
        <v>0</v>
      </c>
      <c r="N197" s="80">
        <f>SUMIFS('октябрь 2024'!$G$5:$G$2162,'октябрь 2024'!$D$5:$D$2162,$B197,'октябрь 2024'!$J$5:$J$2162,N$1)</f>
        <v>0</v>
      </c>
      <c r="O197" s="80">
        <f>SUMIFS('октябрь 2024'!$G$5:$G$2162,'октябрь 2024'!$D$5:$D$2162,$B197,'октябрь 2024'!$J$5:$J$2162,O$1)</f>
        <v>0</v>
      </c>
      <c r="P197" s="80">
        <f>SUMIFS('октябрь 2024'!$G$5:$G$2162,'октябрь 2024'!$D$5:$D$2162,$B197,'октябрь 2024'!$J$5:$J$2162,P$1)</f>
        <v>0</v>
      </c>
      <c r="Q197" s="80">
        <f>SUMIFS('октябрь 2024'!$G$5:$G$2162,'октябрь 2024'!$D$5:$D$2162,$B197,'октябрь 2024'!$J$5:$J$2162,Q$1)</f>
        <v>0</v>
      </c>
      <c r="R197" s="80">
        <f>SUMIFS('октябрь 2024'!$G$5:$G$2162,'октябрь 2024'!$D$5:$D$2162,$B197,'октябрь 2024'!$J$5:$J$2162,R$1)</f>
        <v>0</v>
      </c>
      <c r="S197" s="80">
        <f>SUMIFS('октябрь 2024'!$G$5:$G$2162,'октябрь 2024'!$D$5:$D$2162,$B197,'октябрь 2024'!$J$5:$J$2162,S$1)</f>
        <v>0</v>
      </c>
      <c r="T197" s="80">
        <f>SUMIFS('октябрь 2024'!$G$5:$G$2162,'октябрь 2024'!$D$5:$D$2162,$B197,'октябрь 2024'!$J$5:$J$2162,T$1)</f>
        <v>0</v>
      </c>
      <c r="U197" s="80">
        <f>SUMIFS('октябрь 2024'!$G$5:$G$2162,'октябрь 2024'!$D$5:$D$2162,$B197,'октябрь 2024'!$J$5:$J$2162,U$1)</f>
        <v>0</v>
      </c>
      <c r="V197" s="80">
        <f>SUMIFS('октябрь 2024'!$G$5:$G$2162,'октябрь 2024'!$D$5:$D$2162,$B197,'октябрь 2024'!$J$5:$J$2162,V$1)</f>
        <v>0</v>
      </c>
      <c r="W197" s="80">
        <f>SUMIFS('октябрь 2024'!$G$5:$G$2162,'октябрь 2024'!$D$5:$D$2162,$B197,'октябрь 2024'!$J$5:$J$2162,W$1)</f>
        <v>0</v>
      </c>
      <c r="X197" s="80">
        <f>SUMIFS('октябрь 2024'!$G$5:$G$2162,'октябрь 2024'!$D$5:$D$2162,$B197,'октябрь 2024'!$J$5:$J$2162,X$1)</f>
        <v>0</v>
      </c>
      <c r="Y197" s="80">
        <f>SUMIFS('октябрь 2024'!$G$5:$G$2162,'октябрь 2024'!$D$5:$D$2162,$B197,'октябрь 2024'!$J$5:$J$2162,Y$1)</f>
        <v>0</v>
      </c>
      <c r="Z197" s="80">
        <f>SUMIFS('октябрь 2024'!$G$5:$G$2162,'октябрь 2024'!$D$5:$D$2162,$B197,'октябрь 2024'!$J$5:$J$2162,Z$1)</f>
        <v>0</v>
      </c>
      <c r="AA197" s="80">
        <f>SUMIFS('октябрь 2024'!$G$5:$G$2162,'октябрь 2024'!$D$5:$D$2162,$B197,'октябрь 2024'!$J$5:$J$2162,AA$1)</f>
        <v>0</v>
      </c>
      <c r="AB197" s="80">
        <f>SUMIFS('октябрь 2024'!$G$5:$G$2162,'октябрь 2024'!$D$5:$D$2162,$B197,'октябрь 2024'!$J$5:$J$2162,AB$1)</f>
        <v>0</v>
      </c>
      <c r="AC197" s="80">
        <f>SUMIFS('октябрь 2024'!$G$5:$G$2162,'октябрь 2024'!$D$5:$D$2162,$B197,'октябрь 2024'!$J$5:$J$2162,AC$1)</f>
        <v>0</v>
      </c>
      <c r="AD197" s="80">
        <f>SUMIFS('октябрь 2024'!$G$5:$G$2162,'октябрь 2024'!$D$5:$D$2162,$B197,'октябрь 2024'!$J$5:$J$2162,AD$1)</f>
        <v>0</v>
      </c>
      <c r="AE197" s="80">
        <f>SUMIFS('октябрь 2024'!$G$5:$G$2162,'октябрь 2024'!$D$5:$D$2162,$B197,'октябрь 2024'!$J$5:$J$2162,AE$1)</f>
        <v>0</v>
      </c>
      <c r="AF197" s="80">
        <f>SUMIFS('октябрь 2024'!$G$5:$G$2162,'октябрь 2024'!$D$5:$D$2162,$B197,'октябрь 2024'!$J$5:$J$2162,AF$1)</f>
        <v>0</v>
      </c>
      <c r="AG197" s="80">
        <f>SUMIFS('октябрь 2024'!$G$5:$G$2162,'октябрь 2024'!$D$5:$D$2162,$B197,'октябрь 2024'!$J$5:$J$2162,AG$1)</f>
        <v>0</v>
      </c>
      <c r="AH197" s="80">
        <f>SUMIFS('октябрь 2024'!$G$5:$G$2162,'октябрь 2024'!$D$5:$D$2162,$B197,'октябрь 2024'!$J$5:$J$2162,AH$1)</f>
        <v>0</v>
      </c>
      <c r="AI197" s="87"/>
    </row>
    <row r="198" spans="2:35" ht="15" hidden="1" customHeight="1" x14ac:dyDescent="0.25">
      <c r="B198" s="89"/>
      <c r="C198" s="88"/>
      <c r="D198" s="80">
        <f>SUMIFS('октябрь 2024'!$G$5:$G$2162,'октябрь 2024'!$D$5:$D$2162,$B198,'октябрь 2024'!$J$5:$J$2162,D$1)</f>
        <v>0</v>
      </c>
      <c r="E198" s="80">
        <f>SUMIFS('октябрь 2024'!$G$5:$G$2162,'октябрь 2024'!$D$5:$D$2162,$B198,'октябрь 2024'!$J$5:$J$2162,E$1)</f>
        <v>0</v>
      </c>
      <c r="F198" s="80">
        <f>SUMIFS('октябрь 2024'!$G$5:$G$2162,'октябрь 2024'!$D$5:$D$2162,$B198,'октябрь 2024'!$J$5:$J$2162,F$1)</f>
        <v>0</v>
      </c>
      <c r="G198" s="80">
        <f>SUMIFS('октябрь 2024'!$G$5:$G$2162,'октябрь 2024'!$D$5:$D$2162,$B198,'октябрь 2024'!$J$5:$J$2162,G$1)</f>
        <v>0</v>
      </c>
      <c r="H198" s="80">
        <f>SUMIFS('октябрь 2024'!$G$5:$G$2162,'октябрь 2024'!$D$5:$D$2162,$B198,'октябрь 2024'!$J$5:$J$2162,H$1)</f>
        <v>0</v>
      </c>
      <c r="I198" s="80">
        <f>SUMIFS('октябрь 2024'!$G$5:$G$2162,'октябрь 2024'!$D$5:$D$2162,$B198,'октябрь 2024'!$J$5:$J$2162,I$1)</f>
        <v>0</v>
      </c>
      <c r="J198" s="80">
        <f>SUMIFS('октябрь 2024'!$G$5:$G$2162,'октябрь 2024'!$D$5:$D$2162,$B198,'октябрь 2024'!$J$5:$J$2162,J$1)</f>
        <v>0</v>
      </c>
      <c r="K198" s="80">
        <f>SUMIFS('октябрь 2024'!$G$5:$G$2162,'октябрь 2024'!$D$5:$D$2162,$B198,'октябрь 2024'!$J$5:$J$2162,K$1)</f>
        <v>0</v>
      </c>
      <c r="L198" s="80">
        <f>SUMIFS('октябрь 2024'!$G$5:$G$2162,'октябрь 2024'!$D$5:$D$2162,$B198,'октябрь 2024'!$J$5:$J$2162,L$1)</f>
        <v>0</v>
      </c>
      <c r="M198" s="80">
        <f>SUMIFS('октябрь 2024'!$G$5:$G$2162,'октябрь 2024'!$D$5:$D$2162,$B198,'октябрь 2024'!$J$5:$J$2162,M$1)</f>
        <v>0</v>
      </c>
      <c r="N198" s="80">
        <f>SUMIFS('октябрь 2024'!$G$5:$G$2162,'октябрь 2024'!$D$5:$D$2162,$B198,'октябрь 2024'!$J$5:$J$2162,N$1)</f>
        <v>0</v>
      </c>
      <c r="O198" s="80">
        <f>SUMIFS('октябрь 2024'!$G$5:$G$2162,'октябрь 2024'!$D$5:$D$2162,$B198,'октябрь 2024'!$J$5:$J$2162,O$1)</f>
        <v>0</v>
      </c>
      <c r="P198" s="80">
        <f>SUMIFS('октябрь 2024'!$G$5:$G$2162,'октябрь 2024'!$D$5:$D$2162,$B198,'октябрь 2024'!$J$5:$J$2162,P$1)</f>
        <v>0</v>
      </c>
      <c r="Q198" s="80">
        <f>SUMIFS('октябрь 2024'!$G$5:$G$2162,'октябрь 2024'!$D$5:$D$2162,$B198,'октябрь 2024'!$J$5:$J$2162,Q$1)</f>
        <v>0</v>
      </c>
      <c r="R198" s="80">
        <f>SUMIFS('октябрь 2024'!$G$5:$G$2162,'октябрь 2024'!$D$5:$D$2162,$B198,'октябрь 2024'!$J$5:$J$2162,R$1)</f>
        <v>0</v>
      </c>
      <c r="S198" s="80">
        <f>SUMIFS('октябрь 2024'!$G$5:$G$2162,'октябрь 2024'!$D$5:$D$2162,$B198,'октябрь 2024'!$J$5:$J$2162,S$1)</f>
        <v>0</v>
      </c>
      <c r="T198" s="80">
        <f>SUMIFS('октябрь 2024'!$G$5:$G$2162,'октябрь 2024'!$D$5:$D$2162,$B198,'октябрь 2024'!$J$5:$J$2162,T$1)</f>
        <v>0</v>
      </c>
      <c r="U198" s="80">
        <f>SUMIFS('октябрь 2024'!$G$5:$G$2162,'октябрь 2024'!$D$5:$D$2162,$B198,'октябрь 2024'!$J$5:$J$2162,U$1)</f>
        <v>0</v>
      </c>
      <c r="V198" s="80">
        <f>SUMIFS('октябрь 2024'!$G$5:$G$2162,'октябрь 2024'!$D$5:$D$2162,$B198,'октябрь 2024'!$J$5:$J$2162,V$1)</f>
        <v>0</v>
      </c>
      <c r="W198" s="80">
        <f>SUMIFS('октябрь 2024'!$G$5:$G$2162,'октябрь 2024'!$D$5:$D$2162,$B198,'октябрь 2024'!$J$5:$J$2162,W$1)</f>
        <v>0</v>
      </c>
      <c r="X198" s="80">
        <f>SUMIFS('октябрь 2024'!$G$5:$G$2162,'октябрь 2024'!$D$5:$D$2162,$B198,'октябрь 2024'!$J$5:$J$2162,X$1)</f>
        <v>0</v>
      </c>
      <c r="Y198" s="80">
        <f>SUMIFS('октябрь 2024'!$G$5:$G$2162,'октябрь 2024'!$D$5:$D$2162,$B198,'октябрь 2024'!$J$5:$J$2162,Y$1)</f>
        <v>0</v>
      </c>
      <c r="Z198" s="80">
        <f>SUMIFS('октябрь 2024'!$G$5:$G$2162,'октябрь 2024'!$D$5:$D$2162,$B198,'октябрь 2024'!$J$5:$J$2162,Z$1)</f>
        <v>0</v>
      </c>
      <c r="AA198" s="80">
        <f>SUMIFS('октябрь 2024'!$G$5:$G$2162,'октябрь 2024'!$D$5:$D$2162,$B198,'октябрь 2024'!$J$5:$J$2162,AA$1)</f>
        <v>0</v>
      </c>
      <c r="AB198" s="80">
        <f>SUMIFS('октябрь 2024'!$G$5:$G$2162,'октябрь 2024'!$D$5:$D$2162,$B198,'октябрь 2024'!$J$5:$J$2162,AB$1)</f>
        <v>0</v>
      </c>
      <c r="AC198" s="80">
        <f>SUMIFS('октябрь 2024'!$G$5:$G$2162,'октябрь 2024'!$D$5:$D$2162,$B198,'октябрь 2024'!$J$5:$J$2162,AC$1)</f>
        <v>0</v>
      </c>
      <c r="AD198" s="80">
        <f>SUMIFS('октябрь 2024'!$G$5:$G$2162,'октябрь 2024'!$D$5:$D$2162,$B198,'октябрь 2024'!$J$5:$J$2162,AD$1)</f>
        <v>0</v>
      </c>
      <c r="AE198" s="80">
        <f>SUMIFS('октябрь 2024'!$G$5:$G$2162,'октябрь 2024'!$D$5:$D$2162,$B198,'октябрь 2024'!$J$5:$J$2162,AE$1)</f>
        <v>0</v>
      </c>
      <c r="AF198" s="80">
        <f>SUMIFS('октябрь 2024'!$G$5:$G$2162,'октябрь 2024'!$D$5:$D$2162,$B198,'октябрь 2024'!$J$5:$J$2162,AF$1)</f>
        <v>0</v>
      </c>
      <c r="AG198" s="80">
        <f>SUMIFS('октябрь 2024'!$G$5:$G$2162,'октябрь 2024'!$D$5:$D$2162,$B198,'октябрь 2024'!$J$5:$J$2162,AG$1)</f>
        <v>0</v>
      </c>
      <c r="AH198" s="80">
        <f>SUMIFS('октябрь 2024'!$G$5:$G$2162,'октябрь 2024'!$D$5:$D$2162,$B198,'октябрь 2024'!$J$5:$J$2162,AH$1)</f>
        <v>0</v>
      </c>
      <c r="AI198" s="87"/>
    </row>
    <row r="199" spans="2:35" ht="15" hidden="1" customHeight="1" x14ac:dyDescent="0.25">
      <c r="B199" s="89"/>
      <c r="C199" s="88"/>
      <c r="D199" s="80">
        <f>SUMIFS('октябрь 2024'!$G$5:$G$2162,'октябрь 2024'!$D$5:$D$2162,$B199,'октябрь 2024'!$J$5:$J$2162,D$1)</f>
        <v>0</v>
      </c>
      <c r="E199" s="80">
        <f>SUMIFS('октябрь 2024'!$G$5:$G$2162,'октябрь 2024'!$D$5:$D$2162,$B199,'октябрь 2024'!$J$5:$J$2162,E$1)</f>
        <v>0</v>
      </c>
      <c r="F199" s="80">
        <f>SUMIFS('октябрь 2024'!$G$5:$G$2162,'октябрь 2024'!$D$5:$D$2162,$B199,'октябрь 2024'!$J$5:$J$2162,F$1)</f>
        <v>0</v>
      </c>
      <c r="G199" s="80">
        <f>SUMIFS('октябрь 2024'!$G$5:$G$2162,'октябрь 2024'!$D$5:$D$2162,$B199,'октябрь 2024'!$J$5:$J$2162,G$1)</f>
        <v>0</v>
      </c>
      <c r="H199" s="80">
        <f>SUMIFS('октябрь 2024'!$G$5:$G$2162,'октябрь 2024'!$D$5:$D$2162,$B199,'октябрь 2024'!$J$5:$J$2162,H$1)</f>
        <v>0</v>
      </c>
      <c r="I199" s="80">
        <f>SUMIFS('октябрь 2024'!$G$5:$G$2162,'октябрь 2024'!$D$5:$D$2162,$B199,'октябрь 2024'!$J$5:$J$2162,I$1)</f>
        <v>0</v>
      </c>
      <c r="J199" s="80">
        <f>SUMIFS('октябрь 2024'!$G$5:$G$2162,'октябрь 2024'!$D$5:$D$2162,$B199,'октябрь 2024'!$J$5:$J$2162,J$1)</f>
        <v>0</v>
      </c>
      <c r="K199" s="80">
        <f>SUMIFS('октябрь 2024'!$G$5:$G$2162,'октябрь 2024'!$D$5:$D$2162,$B199,'октябрь 2024'!$J$5:$J$2162,K$1)</f>
        <v>0</v>
      </c>
      <c r="L199" s="80">
        <f>SUMIFS('октябрь 2024'!$G$5:$G$2162,'октябрь 2024'!$D$5:$D$2162,$B199,'октябрь 2024'!$J$5:$J$2162,L$1)</f>
        <v>0</v>
      </c>
      <c r="M199" s="80">
        <f>SUMIFS('октябрь 2024'!$G$5:$G$2162,'октябрь 2024'!$D$5:$D$2162,$B199,'октябрь 2024'!$J$5:$J$2162,M$1)</f>
        <v>0</v>
      </c>
      <c r="N199" s="80">
        <f>SUMIFS('октябрь 2024'!$G$5:$G$2162,'октябрь 2024'!$D$5:$D$2162,$B199,'октябрь 2024'!$J$5:$J$2162,N$1)</f>
        <v>0</v>
      </c>
      <c r="O199" s="80">
        <f>SUMIFS('октябрь 2024'!$G$5:$G$2162,'октябрь 2024'!$D$5:$D$2162,$B199,'октябрь 2024'!$J$5:$J$2162,O$1)</f>
        <v>0</v>
      </c>
      <c r="P199" s="80">
        <f>SUMIFS('октябрь 2024'!$G$5:$G$2162,'октябрь 2024'!$D$5:$D$2162,$B199,'октябрь 2024'!$J$5:$J$2162,P$1)</f>
        <v>0</v>
      </c>
      <c r="Q199" s="80">
        <f>SUMIFS('октябрь 2024'!$G$5:$G$2162,'октябрь 2024'!$D$5:$D$2162,$B199,'октябрь 2024'!$J$5:$J$2162,Q$1)</f>
        <v>0</v>
      </c>
      <c r="R199" s="80">
        <f>SUMIFS('октябрь 2024'!$G$5:$G$2162,'октябрь 2024'!$D$5:$D$2162,$B199,'октябрь 2024'!$J$5:$J$2162,R$1)</f>
        <v>0</v>
      </c>
      <c r="S199" s="80">
        <f>SUMIFS('октябрь 2024'!$G$5:$G$2162,'октябрь 2024'!$D$5:$D$2162,$B199,'октябрь 2024'!$J$5:$J$2162,S$1)</f>
        <v>0</v>
      </c>
      <c r="T199" s="80">
        <f>SUMIFS('октябрь 2024'!$G$5:$G$2162,'октябрь 2024'!$D$5:$D$2162,$B199,'октябрь 2024'!$J$5:$J$2162,T$1)</f>
        <v>0</v>
      </c>
      <c r="U199" s="80">
        <f>SUMIFS('октябрь 2024'!$G$5:$G$2162,'октябрь 2024'!$D$5:$D$2162,$B199,'октябрь 2024'!$J$5:$J$2162,U$1)</f>
        <v>0</v>
      </c>
      <c r="V199" s="80">
        <f>SUMIFS('октябрь 2024'!$G$5:$G$2162,'октябрь 2024'!$D$5:$D$2162,$B199,'октябрь 2024'!$J$5:$J$2162,V$1)</f>
        <v>0</v>
      </c>
      <c r="W199" s="80">
        <f>SUMIFS('октябрь 2024'!$G$5:$G$2162,'октябрь 2024'!$D$5:$D$2162,$B199,'октябрь 2024'!$J$5:$J$2162,W$1)</f>
        <v>0</v>
      </c>
      <c r="X199" s="80">
        <f>SUMIFS('октябрь 2024'!$G$5:$G$2162,'октябрь 2024'!$D$5:$D$2162,$B199,'октябрь 2024'!$J$5:$J$2162,X$1)</f>
        <v>0</v>
      </c>
      <c r="Y199" s="80">
        <f>SUMIFS('октябрь 2024'!$G$5:$G$2162,'октябрь 2024'!$D$5:$D$2162,$B199,'октябрь 2024'!$J$5:$J$2162,Y$1)</f>
        <v>0</v>
      </c>
      <c r="Z199" s="80">
        <f>SUMIFS('октябрь 2024'!$G$5:$G$2162,'октябрь 2024'!$D$5:$D$2162,$B199,'октябрь 2024'!$J$5:$J$2162,Z$1)</f>
        <v>0</v>
      </c>
      <c r="AA199" s="80">
        <f>SUMIFS('октябрь 2024'!$G$5:$G$2162,'октябрь 2024'!$D$5:$D$2162,$B199,'октябрь 2024'!$J$5:$J$2162,AA$1)</f>
        <v>0</v>
      </c>
      <c r="AB199" s="80">
        <f>SUMIFS('октябрь 2024'!$G$5:$G$2162,'октябрь 2024'!$D$5:$D$2162,$B199,'октябрь 2024'!$J$5:$J$2162,AB$1)</f>
        <v>0</v>
      </c>
      <c r="AC199" s="80">
        <f>SUMIFS('октябрь 2024'!$G$5:$G$2162,'октябрь 2024'!$D$5:$D$2162,$B199,'октябрь 2024'!$J$5:$J$2162,AC$1)</f>
        <v>0</v>
      </c>
      <c r="AD199" s="80">
        <f>SUMIFS('октябрь 2024'!$G$5:$G$2162,'октябрь 2024'!$D$5:$D$2162,$B199,'октябрь 2024'!$J$5:$J$2162,AD$1)</f>
        <v>0</v>
      </c>
      <c r="AE199" s="80">
        <f>SUMIFS('октябрь 2024'!$G$5:$G$2162,'октябрь 2024'!$D$5:$D$2162,$B199,'октябрь 2024'!$J$5:$J$2162,AE$1)</f>
        <v>0</v>
      </c>
      <c r="AF199" s="80">
        <f>SUMIFS('октябрь 2024'!$G$5:$G$2162,'октябрь 2024'!$D$5:$D$2162,$B199,'октябрь 2024'!$J$5:$J$2162,AF$1)</f>
        <v>0</v>
      </c>
      <c r="AG199" s="80">
        <f>SUMIFS('октябрь 2024'!$G$5:$G$2162,'октябрь 2024'!$D$5:$D$2162,$B199,'октябрь 2024'!$J$5:$J$2162,AG$1)</f>
        <v>0</v>
      </c>
      <c r="AH199" s="80">
        <f>SUMIFS('октябрь 2024'!$G$5:$G$2162,'октябрь 2024'!$D$5:$D$2162,$B199,'октябрь 2024'!$J$5:$J$2162,AH$1)</f>
        <v>0</v>
      </c>
      <c r="AI199" s="87"/>
    </row>
    <row r="200" spans="2:35" ht="15" hidden="1" customHeight="1" x14ac:dyDescent="0.25">
      <c r="B200" s="89"/>
      <c r="C200" s="88"/>
      <c r="D200" s="80">
        <f>SUMIFS('октябрь 2024'!$G$5:$G$2162,'октябрь 2024'!$D$5:$D$2162,$B200,'октябрь 2024'!$J$5:$J$2162,D$1)</f>
        <v>0</v>
      </c>
      <c r="E200" s="80">
        <f>SUMIFS('октябрь 2024'!$G$5:$G$2162,'октябрь 2024'!$D$5:$D$2162,$B200,'октябрь 2024'!$J$5:$J$2162,E$1)</f>
        <v>0</v>
      </c>
      <c r="F200" s="80">
        <f>SUMIFS('октябрь 2024'!$G$5:$G$2162,'октябрь 2024'!$D$5:$D$2162,$B200,'октябрь 2024'!$J$5:$J$2162,F$1)</f>
        <v>0</v>
      </c>
      <c r="G200" s="80">
        <f>SUMIFS('октябрь 2024'!$G$5:$G$2162,'октябрь 2024'!$D$5:$D$2162,$B200,'октябрь 2024'!$J$5:$J$2162,G$1)</f>
        <v>0</v>
      </c>
      <c r="H200" s="80">
        <f>SUMIFS('октябрь 2024'!$G$5:$G$2162,'октябрь 2024'!$D$5:$D$2162,$B200,'октябрь 2024'!$J$5:$J$2162,H$1)</f>
        <v>0</v>
      </c>
      <c r="I200" s="80">
        <f>SUMIFS('октябрь 2024'!$G$5:$G$2162,'октябрь 2024'!$D$5:$D$2162,$B200,'октябрь 2024'!$J$5:$J$2162,I$1)</f>
        <v>0</v>
      </c>
      <c r="J200" s="80">
        <f>SUMIFS('октябрь 2024'!$G$5:$G$2162,'октябрь 2024'!$D$5:$D$2162,$B200,'октябрь 2024'!$J$5:$J$2162,J$1)</f>
        <v>0</v>
      </c>
      <c r="K200" s="80">
        <f>SUMIFS('октябрь 2024'!$G$5:$G$2162,'октябрь 2024'!$D$5:$D$2162,$B200,'октябрь 2024'!$J$5:$J$2162,K$1)</f>
        <v>0</v>
      </c>
      <c r="L200" s="80">
        <f>SUMIFS('октябрь 2024'!$G$5:$G$2162,'октябрь 2024'!$D$5:$D$2162,$B200,'октябрь 2024'!$J$5:$J$2162,L$1)</f>
        <v>0</v>
      </c>
      <c r="M200" s="80">
        <f>SUMIFS('октябрь 2024'!$G$5:$G$2162,'октябрь 2024'!$D$5:$D$2162,$B200,'октябрь 2024'!$J$5:$J$2162,M$1)</f>
        <v>0</v>
      </c>
      <c r="N200" s="80">
        <f>SUMIFS('октябрь 2024'!$G$5:$G$2162,'октябрь 2024'!$D$5:$D$2162,$B200,'октябрь 2024'!$J$5:$J$2162,N$1)</f>
        <v>0</v>
      </c>
      <c r="O200" s="80">
        <f>SUMIFS('октябрь 2024'!$G$5:$G$2162,'октябрь 2024'!$D$5:$D$2162,$B200,'октябрь 2024'!$J$5:$J$2162,O$1)</f>
        <v>0</v>
      </c>
      <c r="P200" s="80">
        <f>SUMIFS('октябрь 2024'!$G$5:$G$2162,'октябрь 2024'!$D$5:$D$2162,$B200,'октябрь 2024'!$J$5:$J$2162,P$1)</f>
        <v>0</v>
      </c>
      <c r="Q200" s="80">
        <f>SUMIFS('октябрь 2024'!$G$5:$G$2162,'октябрь 2024'!$D$5:$D$2162,$B200,'октябрь 2024'!$J$5:$J$2162,Q$1)</f>
        <v>0</v>
      </c>
      <c r="R200" s="80">
        <f>SUMIFS('октябрь 2024'!$G$5:$G$2162,'октябрь 2024'!$D$5:$D$2162,$B200,'октябрь 2024'!$J$5:$J$2162,R$1)</f>
        <v>0</v>
      </c>
      <c r="S200" s="80">
        <f>SUMIFS('октябрь 2024'!$G$5:$G$2162,'октябрь 2024'!$D$5:$D$2162,$B200,'октябрь 2024'!$J$5:$J$2162,S$1)</f>
        <v>0</v>
      </c>
      <c r="T200" s="80">
        <f>SUMIFS('октябрь 2024'!$G$5:$G$2162,'октябрь 2024'!$D$5:$D$2162,$B200,'октябрь 2024'!$J$5:$J$2162,T$1)</f>
        <v>0</v>
      </c>
      <c r="U200" s="80">
        <f>SUMIFS('октябрь 2024'!$G$5:$G$2162,'октябрь 2024'!$D$5:$D$2162,$B200,'октябрь 2024'!$J$5:$J$2162,U$1)</f>
        <v>0</v>
      </c>
      <c r="V200" s="80">
        <f>SUMIFS('октябрь 2024'!$G$5:$G$2162,'октябрь 2024'!$D$5:$D$2162,$B200,'октябрь 2024'!$J$5:$J$2162,V$1)</f>
        <v>0</v>
      </c>
      <c r="W200" s="80">
        <f>SUMIFS('октябрь 2024'!$G$5:$G$2162,'октябрь 2024'!$D$5:$D$2162,$B200,'октябрь 2024'!$J$5:$J$2162,W$1)</f>
        <v>0</v>
      </c>
      <c r="X200" s="80">
        <f>SUMIFS('октябрь 2024'!$G$5:$G$2162,'октябрь 2024'!$D$5:$D$2162,$B200,'октябрь 2024'!$J$5:$J$2162,X$1)</f>
        <v>0</v>
      </c>
      <c r="Y200" s="80">
        <f>SUMIFS('октябрь 2024'!$G$5:$G$2162,'октябрь 2024'!$D$5:$D$2162,$B200,'октябрь 2024'!$J$5:$J$2162,Y$1)</f>
        <v>0</v>
      </c>
      <c r="Z200" s="80">
        <f>SUMIFS('октябрь 2024'!$G$5:$G$2162,'октябрь 2024'!$D$5:$D$2162,$B200,'октябрь 2024'!$J$5:$J$2162,Z$1)</f>
        <v>0</v>
      </c>
      <c r="AA200" s="80">
        <f>SUMIFS('октябрь 2024'!$G$5:$G$2162,'октябрь 2024'!$D$5:$D$2162,$B200,'октябрь 2024'!$J$5:$J$2162,AA$1)</f>
        <v>0</v>
      </c>
      <c r="AB200" s="80">
        <f>SUMIFS('октябрь 2024'!$G$5:$G$2162,'октябрь 2024'!$D$5:$D$2162,$B200,'октябрь 2024'!$J$5:$J$2162,AB$1)</f>
        <v>0</v>
      </c>
      <c r="AC200" s="80">
        <f>SUMIFS('октябрь 2024'!$G$5:$G$2162,'октябрь 2024'!$D$5:$D$2162,$B200,'октябрь 2024'!$J$5:$J$2162,AC$1)</f>
        <v>0</v>
      </c>
      <c r="AD200" s="80">
        <f>SUMIFS('октябрь 2024'!$G$5:$G$2162,'октябрь 2024'!$D$5:$D$2162,$B200,'октябрь 2024'!$J$5:$J$2162,AD$1)</f>
        <v>0</v>
      </c>
      <c r="AE200" s="80">
        <f>SUMIFS('октябрь 2024'!$G$5:$G$2162,'октябрь 2024'!$D$5:$D$2162,$B200,'октябрь 2024'!$J$5:$J$2162,AE$1)</f>
        <v>0</v>
      </c>
      <c r="AF200" s="80">
        <f>SUMIFS('октябрь 2024'!$G$5:$G$2162,'октябрь 2024'!$D$5:$D$2162,$B200,'октябрь 2024'!$J$5:$J$2162,AF$1)</f>
        <v>0</v>
      </c>
      <c r="AG200" s="80">
        <f>SUMIFS('октябрь 2024'!$G$5:$G$2162,'октябрь 2024'!$D$5:$D$2162,$B200,'октябрь 2024'!$J$5:$J$2162,AG$1)</f>
        <v>0</v>
      </c>
      <c r="AH200" s="80">
        <f>SUMIFS('октябрь 2024'!$G$5:$G$2162,'октябрь 2024'!$D$5:$D$2162,$B200,'октябрь 2024'!$J$5:$J$2162,AH$1)</f>
        <v>0</v>
      </c>
      <c r="AI200" s="87"/>
    </row>
    <row r="201" spans="2:35" ht="15" hidden="1" customHeight="1" x14ac:dyDescent="0.25">
      <c r="B201" s="89"/>
      <c r="C201" s="88"/>
      <c r="D201" s="80">
        <f>SUMIFS('октябрь 2024'!$G$5:$G$2162,'октябрь 2024'!$D$5:$D$2162,$B201,'октябрь 2024'!$J$5:$J$2162,D$1)</f>
        <v>0</v>
      </c>
      <c r="E201" s="80">
        <f>SUMIFS('октябрь 2024'!$G$5:$G$2162,'октябрь 2024'!$D$5:$D$2162,$B201,'октябрь 2024'!$J$5:$J$2162,E$1)</f>
        <v>0</v>
      </c>
      <c r="F201" s="80">
        <f>SUMIFS('октябрь 2024'!$G$5:$G$2162,'октябрь 2024'!$D$5:$D$2162,$B201,'октябрь 2024'!$J$5:$J$2162,F$1)</f>
        <v>0</v>
      </c>
      <c r="G201" s="80">
        <f>SUMIFS('октябрь 2024'!$G$5:$G$2162,'октябрь 2024'!$D$5:$D$2162,$B201,'октябрь 2024'!$J$5:$J$2162,G$1)</f>
        <v>0</v>
      </c>
      <c r="H201" s="80">
        <f>SUMIFS('октябрь 2024'!$G$5:$G$2162,'октябрь 2024'!$D$5:$D$2162,$B201,'октябрь 2024'!$J$5:$J$2162,H$1)</f>
        <v>0</v>
      </c>
      <c r="I201" s="80">
        <f>SUMIFS('октябрь 2024'!$G$5:$G$2162,'октябрь 2024'!$D$5:$D$2162,$B201,'октябрь 2024'!$J$5:$J$2162,I$1)</f>
        <v>0</v>
      </c>
      <c r="J201" s="80">
        <f>SUMIFS('октябрь 2024'!$G$5:$G$2162,'октябрь 2024'!$D$5:$D$2162,$B201,'октябрь 2024'!$J$5:$J$2162,J$1)</f>
        <v>0</v>
      </c>
      <c r="K201" s="80">
        <f>SUMIFS('октябрь 2024'!$G$5:$G$2162,'октябрь 2024'!$D$5:$D$2162,$B201,'октябрь 2024'!$J$5:$J$2162,K$1)</f>
        <v>0</v>
      </c>
      <c r="L201" s="80">
        <f>SUMIFS('октябрь 2024'!$G$5:$G$2162,'октябрь 2024'!$D$5:$D$2162,$B201,'октябрь 2024'!$J$5:$J$2162,L$1)</f>
        <v>0</v>
      </c>
      <c r="M201" s="80">
        <f>SUMIFS('октябрь 2024'!$G$5:$G$2162,'октябрь 2024'!$D$5:$D$2162,$B201,'октябрь 2024'!$J$5:$J$2162,M$1)</f>
        <v>0</v>
      </c>
      <c r="N201" s="80">
        <f>SUMIFS('октябрь 2024'!$G$5:$G$2162,'октябрь 2024'!$D$5:$D$2162,$B201,'октябрь 2024'!$J$5:$J$2162,N$1)</f>
        <v>0</v>
      </c>
      <c r="O201" s="80">
        <f>SUMIFS('октябрь 2024'!$G$5:$G$2162,'октябрь 2024'!$D$5:$D$2162,$B201,'октябрь 2024'!$J$5:$J$2162,O$1)</f>
        <v>0</v>
      </c>
      <c r="P201" s="80">
        <f>SUMIFS('октябрь 2024'!$G$5:$G$2162,'октябрь 2024'!$D$5:$D$2162,$B201,'октябрь 2024'!$J$5:$J$2162,P$1)</f>
        <v>0</v>
      </c>
      <c r="Q201" s="80">
        <f>SUMIFS('октябрь 2024'!$G$5:$G$2162,'октябрь 2024'!$D$5:$D$2162,$B201,'октябрь 2024'!$J$5:$J$2162,Q$1)</f>
        <v>0</v>
      </c>
      <c r="R201" s="80">
        <f>SUMIFS('октябрь 2024'!$G$5:$G$2162,'октябрь 2024'!$D$5:$D$2162,$B201,'октябрь 2024'!$J$5:$J$2162,R$1)</f>
        <v>0</v>
      </c>
      <c r="S201" s="80">
        <f>SUMIFS('октябрь 2024'!$G$5:$G$2162,'октябрь 2024'!$D$5:$D$2162,$B201,'октябрь 2024'!$J$5:$J$2162,S$1)</f>
        <v>0</v>
      </c>
      <c r="T201" s="80">
        <f>SUMIFS('октябрь 2024'!$G$5:$G$2162,'октябрь 2024'!$D$5:$D$2162,$B201,'октябрь 2024'!$J$5:$J$2162,T$1)</f>
        <v>0</v>
      </c>
      <c r="U201" s="80">
        <f>SUMIFS('октябрь 2024'!$G$5:$G$2162,'октябрь 2024'!$D$5:$D$2162,$B201,'октябрь 2024'!$J$5:$J$2162,U$1)</f>
        <v>0</v>
      </c>
      <c r="V201" s="80">
        <f>SUMIFS('октябрь 2024'!$G$5:$G$2162,'октябрь 2024'!$D$5:$D$2162,$B201,'октябрь 2024'!$J$5:$J$2162,V$1)</f>
        <v>0</v>
      </c>
      <c r="W201" s="80">
        <f>SUMIFS('октябрь 2024'!$G$5:$G$2162,'октябрь 2024'!$D$5:$D$2162,$B201,'октябрь 2024'!$J$5:$J$2162,W$1)</f>
        <v>0</v>
      </c>
      <c r="X201" s="80">
        <f>SUMIFS('октябрь 2024'!$G$5:$G$2162,'октябрь 2024'!$D$5:$D$2162,$B201,'октябрь 2024'!$J$5:$J$2162,X$1)</f>
        <v>0</v>
      </c>
      <c r="Y201" s="80">
        <f>SUMIFS('октябрь 2024'!$G$5:$G$2162,'октябрь 2024'!$D$5:$D$2162,$B201,'октябрь 2024'!$J$5:$J$2162,Y$1)</f>
        <v>0</v>
      </c>
      <c r="Z201" s="80">
        <f>SUMIFS('октябрь 2024'!$G$5:$G$2162,'октябрь 2024'!$D$5:$D$2162,$B201,'октябрь 2024'!$J$5:$J$2162,Z$1)</f>
        <v>0</v>
      </c>
      <c r="AA201" s="80">
        <f>SUMIFS('октябрь 2024'!$G$5:$G$2162,'октябрь 2024'!$D$5:$D$2162,$B201,'октябрь 2024'!$J$5:$J$2162,AA$1)</f>
        <v>0</v>
      </c>
      <c r="AB201" s="80">
        <f>SUMIFS('октябрь 2024'!$G$5:$G$2162,'октябрь 2024'!$D$5:$D$2162,$B201,'октябрь 2024'!$J$5:$J$2162,AB$1)</f>
        <v>0</v>
      </c>
      <c r="AC201" s="80">
        <f>SUMIFS('октябрь 2024'!$G$5:$G$2162,'октябрь 2024'!$D$5:$D$2162,$B201,'октябрь 2024'!$J$5:$J$2162,AC$1)</f>
        <v>0</v>
      </c>
      <c r="AD201" s="80">
        <f>SUMIFS('октябрь 2024'!$G$5:$G$2162,'октябрь 2024'!$D$5:$D$2162,$B201,'октябрь 2024'!$J$5:$J$2162,AD$1)</f>
        <v>0</v>
      </c>
      <c r="AE201" s="80">
        <f>SUMIFS('октябрь 2024'!$G$5:$G$2162,'октябрь 2024'!$D$5:$D$2162,$B201,'октябрь 2024'!$J$5:$J$2162,AE$1)</f>
        <v>0</v>
      </c>
      <c r="AF201" s="80">
        <f>SUMIFS('октябрь 2024'!$G$5:$G$2162,'октябрь 2024'!$D$5:$D$2162,$B201,'октябрь 2024'!$J$5:$J$2162,AF$1)</f>
        <v>0</v>
      </c>
      <c r="AG201" s="80">
        <f>SUMIFS('октябрь 2024'!$G$5:$G$2162,'октябрь 2024'!$D$5:$D$2162,$B201,'октябрь 2024'!$J$5:$J$2162,AG$1)</f>
        <v>0</v>
      </c>
      <c r="AH201" s="80">
        <f>SUMIFS('октябрь 2024'!$G$5:$G$2162,'октябрь 2024'!$D$5:$D$2162,$B201,'октябрь 2024'!$J$5:$J$2162,AH$1)</f>
        <v>0</v>
      </c>
      <c r="AI201" s="87"/>
    </row>
    <row r="202" spans="2:35" ht="15" hidden="1" customHeight="1" x14ac:dyDescent="0.25">
      <c r="B202" s="89"/>
      <c r="C202" s="88"/>
      <c r="D202" s="80">
        <f>SUMIFS('октябрь 2024'!$G$5:$G$2162,'октябрь 2024'!$D$5:$D$2162,$B202,'октябрь 2024'!$J$5:$J$2162,D$1)</f>
        <v>0</v>
      </c>
      <c r="E202" s="80">
        <f>SUMIFS('октябрь 2024'!$G$5:$G$2162,'октябрь 2024'!$D$5:$D$2162,$B202,'октябрь 2024'!$J$5:$J$2162,E$1)</f>
        <v>0</v>
      </c>
      <c r="F202" s="80">
        <f>SUMIFS('октябрь 2024'!$G$5:$G$2162,'октябрь 2024'!$D$5:$D$2162,$B202,'октябрь 2024'!$J$5:$J$2162,F$1)</f>
        <v>0</v>
      </c>
      <c r="G202" s="80">
        <f>SUMIFS('октябрь 2024'!$G$5:$G$2162,'октябрь 2024'!$D$5:$D$2162,$B202,'октябрь 2024'!$J$5:$J$2162,G$1)</f>
        <v>0</v>
      </c>
      <c r="H202" s="80">
        <f>SUMIFS('октябрь 2024'!$G$5:$G$2162,'октябрь 2024'!$D$5:$D$2162,$B202,'октябрь 2024'!$J$5:$J$2162,H$1)</f>
        <v>0</v>
      </c>
      <c r="I202" s="80">
        <f>SUMIFS('октябрь 2024'!$G$5:$G$2162,'октябрь 2024'!$D$5:$D$2162,$B202,'октябрь 2024'!$J$5:$J$2162,I$1)</f>
        <v>0</v>
      </c>
      <c r="J202" s="80">
        <f>SUMIFS('октябрь 2024'!$G$5:$G$2162,'октябрь 2024'!$D$5:$D$2162,$B202,'октябрь 2024'!$J$5:$J$2162,J$1)</f>
        <v>0</v>
      </c>
      <c r="K202" s="80">
        <f>SUMIFS('октябрь 2024'!$G$5:$G$2162,'октябрь 2024'!$D$5:$D$2162,$B202,'октябрь 2024'!$J$5:$J$2162,K$1)</f>
        <v>0</v>
      </c>
      <c r="L202" s="80">
        <f>SUMIFS('октябрь 2024'!$G$5:$G$2162,'октябрь 2024'!$D$5:$D$2162,$B202,'октябрь 2024'!$J$5:$J$2162,L$1)</f>
        <v>0</v>
      </c>
      <c r="M202" s="80">
        <f>SUMIFS('октябрь 2024'!$G$5:$G$2162,'октябрь 2024'!$D$5:$D$2162,$B202,'октябрь 2024'!$J$5:$J$2162,M$1)</f>
        <v>0</v>
      </c>
      <c r="N202" s="80">
        <f>SUMIFS('октябрь 2024'!$G$5:$G$2162,'октябрь 2024'!$D$5:$D$2162,$B202,'октябрь 2024'!$J$5:$J$2162,N$1)</f>
        <v>0</v>
      </c>
      <c r="O202" s="80">
        <f>SUMIFS('октябрь 2024'!$G$5:$G$2162,'октябрь 2024'!$D$5:$D$2162,$B202,'октябрь 2024'!$J$5:$J$2162,O$1)</f>
        <v>0</v>
      </c>
      <c r="P202" s="80">
        <f>SUMIFS('октябрь 2024'!$G$5:$G$2162,'октябрь 2024'!$D$5:$D$2162,$B202,'октябрь 2024'!$J$5:$J$2162,P$1)</f>
        <v>0</v>
      </c>
      <c r="Q202" s="80">
        <f>SUMIFS('октябрь 2024'!$G$5:$G$2162,'октябрь 2024'!$D$5:$D$2162,$B202,'октябрь 2024'!$J$5:$J$2162,Q$1)</f>
        <v>0</v>
      </c>
      <c r="R202" s="80">
        <f>SUMIFS('октябрь 2024'!$G$5:$G$2162,'октябрь 2024'!$D$5:$D$2162,$B202,'октябрь 2024'!$J$5:$J$2162,R$1)</f>
        <v>0</v>
      </c>
      <c r="S202" s="80">
        <f>SUMIFS('октябрь 2024'!$G$5:$G$2162,'октябрь 2024'!$D$5:$D$2162,$B202,'октябрь 2024'!$J$5:$J$2162,S$1)</f>
        <v>0</v>
      </c>
      <c r="T202" s="80">
        <f>SUMIFS('октябрь 2024'!$G$5:$G$2162,'октябрь 2024'!$D$5:$D$2162,$B202,'октябрь 2024'!$J$5:$J$2162,T$1)</f>
        <v>0</v>
      </c>
      <c r="U202" s="80">
        <f>SUMIFS('октябрь 2024'!$G$5:$G$2162,'октябрь 2024'!$D$5:$D$2162,$B202,'октябрь 2024'!$J$5:$J$2162,U$1)</f>
        <v>0</v>
      </c>
      <c r="V202" s="80">
        <f>SUMIFS('октябрь 2024'!$G$5:$G$2162,'октябрь 2024'!$D$5:$D$2162,$B202,'октябрь 2024'!$J$5:$J$2162,V$1)</f>
        <v>0</v>
      </c>
      <c r="W202" s="80">
        <f>SUMIFS('октябрь 2024'!$G$5:$G$2162,'октябрь 2024'!$D$5:$D$2162,$B202,'октябрь 2024'!$J$5:$J$2162,W$1)</f>
        <v>0</v>
      </c>
      <c r="X202" s="80">
        <f>SUMIFS('октябрь 2024'!$G$5:$G$2162,'октябрь 2024'!$D$5:$D$2162,$B202,'октябрь 2024'!$J$5:$J$2162,X$1)</f>
        <v>0</v>
      </c>
      <c r="Y202" s="80">
        <f>SUMIFS('октябрь 2024'!$G$5:$G$2162,'октябрь 2024'!$D$5:$D$2162,$B202,'октябрь 2024'!$J$5:$J$2162,Y$1)</f>
        <v>0</v>
      </c>
      <c r="Z202" s="80">
        <f>SUMIFS('октябрь 2024'!$G$5:$G$2162,'октябрь 2024'!$D$5:$D$2162,$B202,'октябрь 2024'!$J$5:$J$2162,Z$1)</f>
        <v>0</v>
      </c>
      <c r="AA202" s="80">
        <f>SUMIFS('октябрь 2024'!$G$5:$G$2162,'октябрь 2024'!$D$5:$D$2162,$B202,'октябрь 2024'!$J$5:$J$2162,AA$1)</f>
        <v>0</v>
      </c>
      <c r="AB202" s="80">
        <f>SUMIFS('октябрь 2024'!$G$5:$G$2162,'октябрь 2024'!$D$5:$D$2162,$B202,'октябрь 2024'!$J$5:$J$2162,AB$1)</f>
        <v>0</v>
      </c>
      <c r="AC202" s="80">
        <f>SUMIFS('октябрь 2024'!$G$5:$G$2162,'октябрь 2024'!$D$5:$D$2162,$B202,'октябрь 2024'!$J$5:$J$2162,AC$1)</f>
        <v>0</v>
      </c>
      <c r="AD202" s="80">
        <f>SUMIFS('октябрь 2024'!$G$5:$G$2162,'октябрь 2024'!$D$5:$D$2162,$B202,'октябрь 2024'!$J$5:$J$2162,AD$1)</f>
        <v>0</v>
      </c>
      <c r="AE202" s="80">
        <f>SUMIFS('октябрь 2024'!$G$5:$G$2162,'октябрь 2024'!$D$5:$D$2162,$B202,'октябрь 2024'!$J$5:$J$2162,AE$1)</f>
        <v>0</v>
      </c>
      <c r="AF202" s="80">
        <f>SUMIFS('октябрь 2024'!$G$5:$G$2162,'октябрь 2024'!$D$5:$D$2162,$B202,'октябрь 2024'!$J$5:$J$2162,AF$1)</f>
        <v>0</v>
      </c>
      <c r="AG202" s="80">
        <f>SUMIFS('октябрь 2024'!$G$5:$G$2162,'октябрь 2024'!$D$5:$D$2162,$B202,'октябрь 2024'!$J$5:$J$2162,AG$1)</f>
        <v>0</v>
      </c>
      <c r="AH202" s="80">
        <f>SUMIFS('октябрь 2024'!$G$5:$G$2162,'октябрь 2024'!$D$5:$D$2162,$B202,'октябрь 2024'!$J$5:$J$2162,AH$1)</f>
        <v>0</v>
      </c>
      <c r="AI202" s="87"/>
    </row>
    <row r="203" spans="2:35" ht="15" hidden="1" customHeight="1" x14ac:dyDescent="0.25">
      <c r="B203" s="89"/>
      <c r="C203" s="88"/>
      <c r="D203" s="80">
        <f>SUMIFS('октябрь 2024'!$G$5:$G$2162,'октябрь 2024'!$D$5:$D$2162,$B203,'октябрь 2024'!$J$5:$J$2162,D$1)</f>
        <v>0</v>
      </c>
      <c r="E203" s="80">
        <f>SUMIFS('октябрь 2024'!$G$5:$G$2162,'октябрь 2024'!$D$5:$D$2162,$B203,'октябрь 2024'!$J$5:$J$2162,E$1)</f>
        <v>0</v>
      </c>
      <c r="F203" s="80">
        <f>SUMIFS('октябрь 2024'!$G$5:$G$2162,'октябрь 2024'!$D$5:$D$2162,$B203,'октябрь 2024'!$J$5:$J$2162,F$1)</f>
        <v>0</v>
      </c>
      <c r="G203" s="80">
        <f>SUMIFS('октябрь 2024'!$G$5:$G$2162,'октябрь 2024'!$D$5:$D$2162,$B203,'октябрь 2024'!$J$5:$J$2162,G$1)</f>
        <v>0</v>
      </c>
      <c r="H203" s="80">
        <f>SUMIFS('октябрь 2024'!$G$5:$G$2162,'октябрь 2024'!$D$5:$D$2162,$B203,'октябрь 2024'!$J$5:$J$2162,H$1)</f>
        <v>0</v>
      </c>
      <c r="I203" s="80">
        <f>SUMIFS('октябрь 2024'!$G$5:$G$2162,'октябрь 2024'!$D$5:$D$2162,$B203,'октябрь 2024'!$J$5:$J$2162,I$1)</f>
        <v>0</v>
      </c>
      <c r="J203" s="80">
        <f>SUMIFS('октябрь 2024'!$G$5:$G$2162,'октябрь 2024'!$D$5:$D$2162,$B203,'октябрь 2024'!$J$5:$J$2162,J$1)</f>
        <v>0</v>
      </c>
      <c r="K203" s="80">
        <f>SUMIFS('октябрь 2024'!$G$5:$G$2162,'октябрь 2024'!$D$5:$D$2162,$B203,'октябрь 2024'!$J$5:$J$2162,K$1)</f>
        <v>0</v>
      </c>
      <c r="L203" s="80">
        <f>SUMIFS('октябрь 2024'!$G$5:$G$2162,'октябрь 2024'!$D$5:$D$2162,$B203,'октябрь 2024'!$J$5:$J$2162,L$1)</f>
        <v>0</v>
      </c>
      <c r="M203" s="80">
        <f>SUMIFS('октябрь 2024'!$G$5:$G$2162,'октябрь 2024'!$D$5:$D$2162,$B203,'октябрь 2024'!$J$5:$J$2162,M$1)</f>
        <v>0</v>
      </c>
      <c r="N203" s="80">
        <f>SUMIFS('октябрь 2024'!$G$5:$G$2162,'октябрь 2024'!$D$5:$D$2162,$B203,'октябрь 2024'!$J$5:$J$2162,N$1)</f>
        <v>0</v>
      </c>
      <c r="O203" s="80">
        <f>SUMIFS('октябрь 2024'!$G$5:$G$2162,'октябрь 2024'!$D$5:$D$2162,$B203,'октябрь 2024'!$J$5:$J$2162,O$1)</f>
        <v>0</v>
      </c>
      <c r="P203" s="80">
        <f>SUMIFS('октябрь 2024'!$G$5:$G$2162,'октябрь 2024'!$D$5:$D$2162,$B203,'октябрь 2024'!$J$5:$J$2162,P$1)</f>
        <v>0</v>
      </c>
      <c r="Q203" s="80">
        <f>SUMIFS('октябрь 2024'!$G$5:$G$2162,'октябрь 2024'!$D$5:$D$2162,$B203,'октябрь 2024'!$J$5:$J$2162,Q$1)</f>
        <v>0</v>
      </c>
      <c r="R203" s="80">
        <f>SUMIFS('октябрь 2024'!$G$5:$G$2162,'октябрь 2024'!$D$5:$D$2162,$B203,'октябрь 2024'!$J$5:$J$2162,R$1)</f>
        <v>0</v>
      </c>
      <c r="S203" s="80">
        <f>SUMIFS('октябрь 2024'!$G$5:$G$2162,'октябрь 2024'!$D$5:$D$2162,$B203,'октябрь 2024'!$J$5:$J$2162,S$1)</f>
        <v>0</v>
      </c>
      <c r="T203" s="80">
        <f>SUMIFS('октябрь 2024'!$G$5:$G$2162,'октябрь 2024'!$D$5:$D$2162,$B203,'октябрь 2024'!$J$5:$J$2162,T$1)</f>
        <v>0</v>
      </c>
      <c r="U203" s="80">
        <f>SUMIFS('октябрь 2024'!$G$5:$G$2162,'октябрь 2024'!$D$5:$D$2162,$B203,'октябрь 2024'!$J$5:$J$2162,U$1)</f>
        <v>0</v>
      </c>
      <c r="V203" s="80">
        <f>SUMIFS('октябрь 2024'!$G$5:$G$2162,'октябрь 2024'!$D$5:$D$2162,$B203,'октябрь 2024'!$J$5:$J$2162,V$1)</f>
        <v>0</v>
      </c>
      <c r="W203" s="80">
        <f>SUMIFS('октябрь 2024'!$G$5:$G$2162,'октябрь 2024'!$D$5:$D$2162,$B203,'октябрь 2024'!$J$5:$J$2162,W$1)</f>
        <v>0</v>
      </c>
      <c r="X203" s="80">
        <f>SUMIFS('октябрь 2024'!$G$5:$G$2162,'октябрь 2024'!$D$5:$D$2162,$B203,'октябрь 2024'!$J$5:$J$2162,X$1)</f>
        <v>0</v>
      </c>
      <c r="Y203" s="80">
        <f>SUMIFS('октябрь 2024'!$G$5:$G$2162,'октябрь 2024'!$D$5:$D$2162,$B203,'октябрь 2024'!$J$5:$J$2162,Y$1)</f>
        <v>0</v>
      </c>
      <c r="Z203" s="80">
        <f>SUMIFS('октябрь 2024'!$G$5:$G$2162,'октябрь 2024'!$D$5:$D$2162,$B203,'октябрь 2024'!$J$5:$J$2162,Z$1)</f>
        <v>0</v>
      </c>
      <c r="AA203" s="80">
        <f>SUMIFS('октябрь 2024'!$G$5:$G$2162,'октябрь 2024'!$D$5:$D$2162,$B203,'октябрь 2024'!$J$5:$J$2162,AA$1)</f>
        <v>0</v>
      </c>
      <c r="AB203" s="80">
        <f>SUMIFS('октябрь 2024'!$G$5:$G$2162,'октябрь 2024'!$D$5:$D$2162,$B203,'октябрь 2024'!$J$5:$J$2162,AB$1)</f>
        <v>0</v>
      </c>
      <c r="AC203" s="80">
        <f>SUMIFS('октябрь 2024'!$G$5:$G$2162,'октябрь 2024'!$D$5:$D$2162,$B203,'октябрь 2024'!$J$5:$J$2162,AC$1)</f>
        <v>0</v>
      </c>
      <c r="AD203" s="80">
        <f>SUMIFS('октябрь 2024'!$G$5:$G$2162,'октябрь 2024'!$D$5:$D$2162,$B203,'октябрь 2024'!$J$5:$J$2162,AD$1)</f>
        <v>0</v>
      </c>
      <c r="AE203" s="80">
        <f>SUMIFS('октябрь 2024'!$G$5:$G$2162,'октябрь 2024'!$D$5:$D$2162,$B203,'октябрь 2024'!$J$5:$J$2162,AE$1)</f>
        <v>0</v>
      </c>
      <c r="AF203" s="80">
        <f>SUMIFS('октябрь 2024'!$G$5:$G$2162,'октябрь 2024'!$D$5:$D$2162,$B203,'октябрь 2024'!$J$5:$J$2162,AF$1)</f>
        <v>0</v>
      </c>
      <c r="AG203" s="80">
        <f>SUMIFS('октябрь 2024'!$G$5:$G$2162,'октябрь 2024'!$D$5:$D$2162,$B203,'октябрь 2024'!$J$5:$J$2162,AG$1)</f>
        <v>0</v>
      </c>
      <c r="AH203" s="80">
        <f>SUMIFS('октябрь 2024'!$G$5:$G$2162,'октябрь 2024'!$D$5:$D$2162,$B203,'октябрь 2024'!$J$5:$J$2162,AH$1)</f>
        <v>0</v>
      </c>
      <c r="AI203" s="87"/>
    </row>
    <row r="204" spans="2:35" ht="15" hidden="1" customHeight="1" x14ac:dyDescent="0.25">
      <c r="B204" s="89"/>
      <c r="C204" s="88"/>
      <c r="D204" s="80">
        <f>SUMIFS('октябрь 2024'!$G$5:$G$2162,'октябрь 2024'!$D$5:$D$2162,$B204,'октябрь 2024'!$J$5:$J$2162,D$1)</f>
        <v>0</v>
      </c>
      <c r="E204" s="80">
        <f>SUMIFS('октябрь 2024'!$G$5:$G$2162,'октябрь 2024'!$D$5:$D$2162,$B204,'октябрь 2024'!$J$5:$J$2162,E$1)</f>
        <v>0</v>
      </c>
      <c r="F204" s="80">
        <f>SUMIFS('октябрь 2024'!$G$5:$G$2162,'октябрь 2024'!$D$5:$D$2162,$B204,'октябрь 2024'!$J$5:$J$2162,F$1)</f>
        <v>0</v>
      </c>
      <c r="G204" s="80">
        <f>SUMIFS('октябрь 2024'!$G$5:$G$2162,'октябрь 2024'!$D$5:$D$2162,$B204,'октябрь 2024'!$J$5:$J$2162,G$1)</f>
        <v>0</v>
      </c>
      <c r="H204" s="80">
        <f>SUMIFS('октябрь 2024'!$G$5:$G$2162,'октябрь 2024'!$D$5:$D$2162,$B204,'октябрь 2024'!$J$5:$J$2162,H$1)</f>
        <v>0</v>
      </c>
      <c r="I204" s="80">
        <f>SUMIFS('октябрь 2024'!$G$5:$G$2162,'октябрь 2024'!$D$5:$D$2162,$B204,'октябрь 2024'!$J$5:$J$2162,I$1)</f>
        <v>0</v>
      </c>
      <c r="J204" s="80">
        <f>SUMIFS('октябрь 2024'!$G$5:$G$2162,'октябрь 2024'!$D$5:$D$2162,$B204,'октябрь 2024'!$J$5:$J$2162,J$1)</f>
        <v>0</v>
      </c>
      <c r="K204" s="80">
        <f>SUMIFS('октябрь 2024'!$G$5:$G$2162,'октябрь 2024'!$D$5:$D$2162,$B204,'октябрь 2024'!$J$5:$J$2162,K$1)</f>
        <v>0</v>
      </c>
      <c r="L204" s="80">
        <f>SUMIFS('октябрь 2024'!$G$5:$G$2162,'октябрь 2024'!$D$5:$D$2162,$B204,'октябрь 2024'!$J$5:$J$2162,L$1)</f>
        <v>0</v>
      </c>
      <c r="M204" s="80">
        <f>SUMIFS('октябрь 2024'!$G$5:$G$2162,'октябрь 2024'!$D$5:$D$2162,$B204,'октябрь 2024'!$J$5:$J$2162,M$1)</f>
        <v>0</v>
      </c>
      <c r="N204" s="80">
        <f>SUMIFS('октябрь 2024'!$G$5:$G$2162,'октябрь 2024'!$D$5:$D$2162,$B204,'октябрь 2024'!$J$5:$J$2162,N$1)</f>
        <v>0</v>
      </c>
      <c r="O204" s="80">
        <f>SUMIFS('октябрь 2024'!$G$5:$G$2162,'октябрь 2024'!$D$5:$D$2162,$B204,'октябрь 2024'!$J$5:$J$2162,O$1)</f>
        <v>0</v>
      </c>
      <c r="P204" s="80">
        <f>SUMIFS('октябрь 2024'!$G$5:$G$2162,'октябрь 2024'!$D$5:$D$2162,$B204,'октябрь 2024'!$J$5:$J$2162,P$1)</f>
        <v>0</v>
      </c>
      <c r="Q204" s="80">
        <f>SUMIFS('октябрь 2024'!$G$5:$G$2162,'октябрь 2024'!$D$5:$D$2162,$B204,'октябрь 2024'!$J$5:$J$2162,Q$1)</f>
        <v>0</v>
      </c>
      <c r="R204" s="80">
        <f>SUMIFS('октябрь 2024'!$G$5:$G$2162,'октябрь 2024'!$D$5:$D$2162,$B204,'октябрь 2024'!$J$5:$J$2162,R$1)</f>
        <v>0</v>
      </c>
      <c r="S204" s="80">
        <f>SUMIFS('октябрь 2024'!$G$5:$G$2162,'октябрь 2024'!$D$5:$D$2162,$B204,'октябрь 2024'!$J$5:$J$2162,S$1)</f>
        <v>0</v>
      </c>
      <c r="T204" s="80">
        <f>SUMIFS('октябрь 2024'!$G$5:$G$2162,'октябрь 2024'!$D$5:$D$2162,$B204,'октябрь 2024'!$J$5:$J$2162,T$1)</f>
        <v>0</v>
      </c>
      <c r="U204" s="80">
        <f>SUMIFS('октябрь 2024'!$G$5:$G$2162,'октябрь 2024'!$D$5:$D$2162,$B204,'октябрь 2024'!$J$5:$J$2162,U$1)</f>
        <v>0</v>
      </c>
      <c r="V204" s="80">
        <f>SUMIFS('октябрь 2024'!$G$5:$G$2162,'октябрь 2024'!$D$5:$D$2162,$B204,'октябрь 2024'!$J$5:$J$2162,V$1)</f>
        <v>0</v>
      </c>
      <c r="W204" s="80">
        <f>SUMIFS('октябрь 2024'!$G$5:$G$2162,'октябрь 2024'!$D$5:$D$2162,$B204,'октябрь 2024'!$J$5:$J$2162,W$1)</f>
        <v>0</v>
      </c>
      <c r="X204" s="80">
        <f>SUMIFS('октябрь 2024'!$G$5:$G$2162,'октябрь 2024'!$D$5:$D$2162,$B204,'октябрь 2024'!$J$5:$J$2162,X$1)</f>
        <v>0</v>
      </c>
      <c r="Y204" s="80">
        <f>SUMIFS('октябрь 2024'!$G$5:$G$2162,'октябрь 2024'!$D$5:$D$2162,$B204,'октябрь 2024'!$J$5:$J$2162,Y$1)</f>
        <v>0</v>
      </c>
      <c r="Z204" s="80">
        <f>SUMIFS('октябрь 2024'!$G$5:$G$2162,'октябрь 2024'!$D$5:$D$2162,$B204,'октябрь 2024'!$J$5:$J$2162,Z$1)</f>
        <v>0</v>
      </c>
      <c r="AA204" s="80">
        <f>SUMIFS('октябрь 2024'!$G$5:$G$2162,'октябрь 2024'!$D$5:$D$2162,$B204,'октябрь 2024'!$J$5:$J$2162,AA$1)</f>
        <v>0</v>
      </c>
      <c r="AB204" s="80">
        <f>SUMIFS('октябрь 2024'!$G$5:$G$2162,'октябрь 2024'!$D$5:$D$2162,$B204,'октябрь 2024'!$J$5:$J$2162,AB$1)</f>
        <v>0</v>
      </c>
      <c r="AC204" s="80">
        <f>SUMIFS('октябрь 2024'!$G$5:$G$2162,'октябрь 2024'!$D$5:$D$2162,$B204,'октябрь 2024'!$J$5:$J$2162,AC$1)</f>
        <v>0</v>
      </c>
      <c r="AD204" s="80">
        <f>SUMIFS('октябрь 2024'!$G$5:$G$2162,'октябрь 2024'!$D$5:$D$2162,$B204,'октябрь 2024'!$J$5:$J$2162,AD$1)</f>
        <v>0</v>
      </c>
      <c r="AE204" s="80">
        <f>SUMIFS('октябрь 2024'!$G$5:$G$2162,'октябрь 2024'!$D$5:$D$2162,$B204,'октябрь 2024'!$J$5:$J$2162,AE$1)</f>
        <v>0</v>
      </c>
      <c r="AF204" s="80">
        <f>SUMIFS('октябрь 2024'!$G$5:$G$2162,'октябрь 2024'!$D$5:$D$2162,$B204,'октябрь 2024'!$J$5:$J$2162,AF$1)</f>
        <v>0</v>
      </c>
      <c r="AG204" s="80">
        <f>SUMIFS('октябрь 2024'!$G$5:$G$2162,'октябрь 2024'!$D$5:$D$2162,$B204,'октябрь 2024'!$J$5:$J$2162,AG$1)</f>
        <v>0</v>
      </c>
      <c r="AH204" s="80">
        <f>SUMIFS('октябрь 2024'!$G$5:$G$2162,'октябрь 2024'!$D$5:$D$2162,$B204,'октябрь 2024'!$J$5:$J$2162,AH$1)</f>
        <v>0</v>
      </c>
      <c r="AI204" s="87"/>
    </row>
    <row r="205" spans="2:35" ht="15" hidden="1" customHeight="1" x14ac:dyDescent="0.25">
      <c r="B205" s="89"/>
      <c r="C205" s="88"/>
      <c r="D205" s="80">
        <f>SUMIFS('октябрь 2024'!$G$5:$G$2162,'октябрь 2024'!$D$5:$D$2162,$B205,'октябрь 2024'!$J$5:$J$2162,D$1)</f>
        <v>0</v>
      </c>
      <c r="E205" s="80">
        <f>SUMIFS('октябрь 2024'!$G$5:$G$2162,'октябрь 2024'!$D$5:$D$2162,$B205,'октябрь 2024'!$J$5:$J$2162,E$1)</f>
        <v>0</v>
      </c>
      <c r="F205" s="80">
        <f>SUMIFS('октябрь 2024'!$G$5:$G$2162,'октябрь 2024'!$D$5:$D$2162,$B205,'октябрь 2024'!$J$5:$J$2162,F$1)</f>
        <v>0</v>
      </c>
      <c r="G205" s="80">
        <f>SUMIFS('октябрь 2024'!$G$5:$G$2162,'октябрь 2024'!$D$5:$D$2162,$B205,'октябрь 2024'!$J$5:$J$2162,G$1)</f>
        <v>0</v>
      </c>
      <c r="H205" s="80">
        <f>SUMIFS('октябрь 2024'!$G$5:$G$2162,'октябрь 2024'!$D$5:$D$2162,$B205,'октябрь 2024'!$J$5:$J$2162,H$1)</f>
        <v>0</v>
      </c>
      <c r="I205" s="80">
        <f>SUMIFS('октябрь 2024'!$G$5:$G$2162,'октябрь 2024'!$D$5:$D$2162,$B205,'октябрь 2024'!$J$5:$J$2162,I$1)</f>
        <v>0</v>
      </c>
      <c r="J205" s="80">
        <f>SUMIFS('октябрь 2024'!$G$5:$G$2162,'октябрь 2024'!$D$5:$D$2162,$B205,'октябрь 2024'!$J$5:$J$2162,J$1)</f>
        <v>0</v>
      </c>
      <c r="K205" s="80">
        <f>SUMIFS('октябрь 2024'!$G$5:$G$2162,'октябрь 2024'!$D$5:$D$2162,$B205,'октябрь 2024'!$J$5:$J$2162,K$1)</f>
        <v>0</v>
      </c>
      <c r="L205" s="80">
        <f>SUMIFS('октябрь 2024'!$G$5:$G$2162,'октябрь 2024'!$D$5:$D$2162,$B205,'октябрь 2024'!$J$5:$J$2162,L$1)</f>
        <v>0</v>
      </c>
      <c r="M205" s="80">
        <f>SUMIFS('октябрь 2024'!$G$5:$G$2162,'октябрь 2024'!$D$5:$D$2162,$B205,'октябрь 2024'!$J$5:$J$2162,M$1)</f>
        <v>0</v>
      </c>
      <c r="N205" s="80">
        <f>SUMIFS('октябрь 2024'!$G$5:$G$2162,'октябрь 2024'!$D$5:$D$2162,$B205,'октябрь 2024'!$J$5:$J$2162,N$1)</f>
        <v>0</v>
      </c>
      <c r="O205" s="80">
        <f>SUMIFS('октябрь 2024'!$G$5:$G$2162,'октябрь 2024'!$D$5:$D$2162,$B205,'октябрь 2024'!$J$5:$J$2162,O$1)</f>
        <v>0</v>
      </c>
      <c r="P205" s="80">
        <f>SUMIFS('октябрь 2024'!$G$5:$G$2162,'октябрь 2024'!$D$5:$D$2162,$B205,'октябрь 2024'!$J$5:$J$2162,P$1)</f>
        <v>0</v>
      </c>
      <c r="Q205" s="80">
        <f>SUMIFS('октябрь 2024'!$G$5:$G$2162,'октябрь 2024'!$D$5:$D$2162,$B205,'октябрь 2024'!$J$5:$J$2162,Q$1)</f>
        <v>0</v>
      </c>
      <c r="R205" s="80">
        <f>SUMIFS('октябрь 2024'!$G$5:$G$2162,'октябрь 2024'!$D$5:$D$2162,$B205,'октябрь 2024'!$J$5:$J$2162,R$1)</f>
        <v>0</v>
      </c>
      <c r="S205" s="80">
        <f>SUMIFS('октябрь 2024'!$G$5:$G$2162,'октябрь 2024'!$D$5:$D$2162,$B205,'октябрь 2024'!$J$5:$J$2162,S$1)</f>
        <v>0</v>
      </c>
      <c r="T205" s="80">
        <f>SUMIFS('октябрь 2024'!$G$5:$G$2162,'октябрь 2024'!$D$5:$D$2162,$B205,'октябрь 2024'!$J$5:$J$2162,T$1)</f>
        <v>0</v>
      </c>
      <c r="U205" s="80">
        <f>SUMIFS('октябрь 2024'!$G$5:$G$2162,'октябрь 2024'!$D$5:$D$2162,$B205,'октябрь 2024'!$J$5:$J$2162,U$1)</f>
        <v>0</v>
      </c>
      <c r="V205" s="80">
        <f>SUMIFS('октябрь 2024'!$G$5:$G$2162,'октябрь 2024'!$D$5:$D$2162,$B205,'октябрь 2024'!$J$5:$J$2162,V$1)</f>
        <v>0</v>
      </c>
      <c r="W205" s="80">
        <f>SUMIFS('октябрь 2024'!$G$5:$G$2162,'октябрь 2024'!$D$5:$D$2162,$B205,'октябрь 2024'!$J$5:$J$2162,W$1)</f>
        <v>0</v>
      </c>
      <c r="X205" s="80">
        <f>SUMIFS('октябрь 2024'!$G$5:$G$2162,'октябрь 2024'!$D$5:$D$2162,$B205,'октябрь 2024'!$J$5:$J$2162,X$1)</f>
        <v>0</v>
      </c>
      <c r="Y205" s="80">
        <f>SUMIFS('октябрь 2024'!$G$5:$G$2162,'октябрь 2024'!$D$5:$D$2162,$B205,'октябрь 2024'!$J$5:$J$2162,Y$1)</f>
        <v>0</v>
      </c>
      <c r="Z205" s="80">
        <f>SUMIFS('октябрь 2024'!$G$5:$G$2162,'октябрь 2024'!$D$5:$D$2162,$B205,'октябрь 2024'!$J$5:$J$2162,Z$1)</f>
        <v>0</v>
      </c>
      <c r="AA205" s="80">
        <f>SUMIFS('октябрь 2024'!$G$5:$G$2162,'октябрь 2024'!$D$5:$D$2162,$B205,'октябрь 2024'!$J$5:$J$2162,AA$1)</f>
        <v>0</v>
      </c>
      <c r="AB205" s="80">
        <f>SUMIFS('октябрь 2024'!$G$5:$G$2162,'октябрь 2024'!$D$5:$D$2162,$B205,'октябрь 2024'!$J$5:$J$2162,AB$1)</f>
        <v>0</v>
      </c>
      <c r="AC205" s="80">
        <f>SUMIFS('октябрь 2024'!$G$5:$G$2162,'октябрь 2024'!$D$5:$D$2162,$B205,'октябрь 2024'!$J$5:$J$2162,AC$1)</f>
        <v>0</v>
      </c>
      <c r="AD205" s="80">
        <f>SUMIFS('октябрь 2024'!$G$5:$G$2162,'октябрь 2024'!$D$5:$D$2162,$B205,'октябрь 2024'!$J$5:$J$2162,AD$1)</f>
        <v>0</v>
      </c>
      <c r="AE205" s="80">
        <f>SUMIFS('октябрь 2024'!$G$5:$G$2162,'октябрь 2024'!$D$5:$D$2162,$B205,'октябрь 2024'!$J$5:$J$2162,AE$1)</f>
        <v>0</v>
      </c>
      <c r="AF205" s="80">
        <f>SUMIFS('октябрь 2024'!$G$5:$G$2162,'октябрь 2024'!$D$5:$D$2162,$B205,'октябрь 2024'!$J$5:$J$2162,AF$1)</f>
        <v>0</v>
      </c>
      <c r="AG205" s="80">
        <f>SUMIFS('октябрь 2024'!$G$5:$G$2162,'октябрь 2024'!$D$5:$D$2162,$B205,'октябрь 2024'!$J$5:$J$2162,AG$1)</f>
        <v>0</v>
      </c>
      <c r="AH205" s="80">
        <f>SUMIFS('октябрь 2024'!$G$5:$G$2162,'октябрь 2024'!$D$5:$D$2162,$B205,'октябрь 2024'!$J$5:$J$2162,AH$1)</f>
        <v>0</v>
      </c>
      <c r="AI205" s="87"/>
    </row>
    <row r="206" spans="2:35" ht="15" hidden="1" customHeight="1" x14ac:dyDescent="0.25">
      <c r="B206" s="89"/>
      <c r="C206" s="88"/>
      <c r="D206" s="80">
        <f>SUMIFS('октябрь 2024'!$G$5:$G$2162,'октябрь 2024'!$D$5:$D$2162,$B206,'октябрь 2024'!$J$5:$J$2162,D$1)</f>
        <v>0</v>
      </c>
      <c r="E206" s="80">
        <f>SUMIFS('октябрь 2024'!$G$5:$G$2162,'октябрь 2024'!$D$5:$D$2162,$B206,'октябрь 2024'!$J$5:$J$2162,E$1)</f>
        <v>0</v>
      </c>
      <c r="F206" s="80">
        <f>SUMIFS('октябрь 2024'!$G$5:$G$2162,'октябрь 2024'!$D$5:$D$2162,$B206,'октябрь 2024'!$J$5:$J$2162,F$1)</f>
        <v>0</v>
      </c>
      <c r="G206" s="80">
        <f>SUMIFS('октябрь 2024'!$G$5:$G$2162,'октябрь 2024'!$D$5:$D$2162,$B206,'октябрь 2024'!$J$5:$J$2162,G$1)</f>
        <v>0</v>
      </c>
      <c r="H206" s="80">
        <f>SUMIFS('октябрь 2024'!$G$5:$G$2162,'октябрь 2024'!$D$5:$D$2162,$B206,'октябрь 2024'!$J$5:$J$2162,H$1)</f>
        <v>0</v>
      </c>
      <c r="I206" s="80">
        <f>SUMIFS('октябрь 2024'!$G$5:$G$2162,'октябрь 2024'!$D$5:$D$2162,$B206,'октябрь 2024'!$J$5:$J$2162,I$1)</f>
        <v>0</v>
      </c>
      <c r="J206" s="80">
        <f>SUMIFS('октябрь 2024'!$G$5:$G$2162,'октябрь 2024'!$D$5:$D$2162,$B206,'октябрь 2024'!$J$5:$J$2162,J$1)</f>
        <v>0</v>
      </c>
      <c r="K206" s="80">
        <f>SUMIFS('октябрь 2024'!$G$5:$G$2162,'октябрь 2024'!$D$5:$D$2162,$B206,'октябрь 2024'!$J$5:$J$2162,K$1)</f>
        <v>0</v>
      </c>
      <c r="L206" s="80">
        <f>SUMIFS('октябрь 2024'!$G$5:$G$2162,'октябрь 2024'!$D$5:$D$2162,$B206,'октябрь 2024'!$J$5:$J$2162,L$1)</f>
        <v>0</v>
      </c>
      <c r="M206" s="80">
        <f>SUMIFS('октябрь 2024'!$G$5:$G$2162,'октябрь 2024'!$D$5:$D$2162,$B206,'октябрь 2024'!$J$5:$J$2162,M$1)</f>
        <v>0</v>
      </c>
      <c r="N206" s="80">
        <f>SUMIFS('октябрь 2024'!$G$5:$G$2162,'октябрь 2024'!$D$5:$D$2162,$B206,'октябрь 2024'!$J$5:$J$2162,N$1)</f>
        <v>0</v>
      </c>
      <c r="O206" s="80">
        <f>SUMIFS('октябрь 2024'!$G$5:$G$2162,'октябрь 2024'!$D$5:$D$2162,$B206,'октябрь 2024'!$J$5:$J$2162,O$1)</f>
        <v>0</v>
      </c>
      <c r="P206" s="80">
        <f>SUMIFS('октябрь 2024'!$G$5:$G$2162,'октябрь 2024'!$D$5:$D$2162,$B206,'октябрь 2024'!$J$5:$J$2162,P$1)</f>
        <v>0</v>
      </c>
      <c r="Q206" s="80">
        <f>SUMIFS('октябрь 2024'!$G$5:$G$2162,'октябрь 2024'!$D$5:$D$2162,$B206,'октябрь 2024'!$J$5:$J$2162,Q$1)</f>
        <v>0</v>
      </c>
      <c r="R206" s="80">
        <f>SUMIFS('октябрь 2024'!$G$5:$G$2162,'октябрь 2024'!$D$5:$D$2162,$B206,'октябрь 2024'!$J$5:$J$2162,R$1)</f>
        <v>0</v>
      </c>
      <c r="S206" s="80">
        <f>SUMIFS('октябрь 2024'!$G$5:$G$2162,'октябрь 2024'!$D$5:$D$2162,$B206,'октябрь 2024'!$J$5:$J$2162,S$1)</f>
        <v>0</v>
      </c>
      <c r="T206" s="80">
        <f>SUMIFS('октябрь 2024'!$G$5:$G$2162,'октябрь 2024'!$D$5:$D$2162,$B206,'октябрь 2024'!$J$5:$J$2162,T$1)</f>
        <v>0</v>
      </c>
      <c r="U206" s="80">
        <f>SUMIFS('октябрь 2024'!$G$5:$G$2162,'октябрь 2024'!$D$5:$D$2162,$B206,'октябрь 2024'!$J$5:$J$2162,U$1)</f>
        <v>0</v>
      </c>
      <c r="V206" s="80">
        <f>SUMIFS('октябрь 2024'!$G$5:$G$2162,'октябрь 2024'!$D$5:$D$2162,$B206,'октябрь 2024'!$J$5:$J$2162,V$1)</f>
        <v>0</v>
      </c>
      <c r="W206" s="80">
        <f>SUMIFS('октябрь 2024'!$G$5:$G$2162,'октябрь 2024'!$D$5:$D$2162,$B206,'октябрь 2024'!$J$5:$J$2162,W$1)</f>
        <v>0</v>
      </c>
      <c r="X206" s="80">
        <f>SUMIFS('октябрь 2024'!$G$5:$G$2162,'октябрь 2024'!$D$5:$D$2162,$B206,'октябрь 2024'!$J$5:$J$2162,X$1)</f>
        <v>0</v>
      </c>
      <c r="Y206" s="80">
        <f>SUMIFS('октябрь 2024'!$G$5:$G$2162,'октябрь 2024'!$D$5:$D$2162,$B206,'октябрь 2024'!$J$5:$J$2162,Y$1)</f>
        <v>0</v>
      </c>
      <c r="Z206" s="80">
        <f>SUMIFS('октябрь 2024'!$G$5:$G$2162,'октябрь 2024'!$D$5:$D$2162,$B206,'октябрь 2024'!$J$5:$J$2162,Z$1)</f>
        <v>0</v>
      </c>
      <c r="AA206" s="80">
        <f>SUMIFS('октябрь 2024'!$G$5:$G$2162,'октябрь 2024'!$D$5:$D$2162,$B206,'октябрь 2024'!$J$5:$J$2162,AA$1)</f>
        <v>0</v>
      </c>
      <c r="AB206" s="80">
        <f>SUMIFS('октябрь 2024'!$G$5:$G$2162,'октябрь 2024'!$D$5:$D$2162,$B206,'октябрь 2024'!$J$5:$J$2162,AB$1)</f>
        <v>0</v>
      </c>
      <c r="AC206" s="80">
        <f>SUMIFS('октябрь 2024'!$G$5:$G$2162,'октябрь 2024'!$D$5:$D$2162,$B206,'октябрь 2024'!$J$5:$J$2162,AC$1)</f>
        <v>0</v>
      </c>
      <c r="AD206" s="80">
        <f>SUMIFS('октябрь 2024'!$G$5:$G$2162,'октябрь 2024'!$D$5:$D$2162,$B206,'октябрь 2024'!$J$5:$J$2162,AD$1)</f>
        <v>0</v>
      </c>
      <c r="AE206" s="80">
        <f>SUMIFS('октябрь 2024'!$G$5:$G$2162,'октябрь 2024'!$D$5:$D$2162,$B206,'октябрь 2024'!$J$5:$J$2162,AE$1)</f>
        <v>0</v>
      </c>
      <c r="AF206" s="80">
        <f>SUMIFS('октябрь 2024'!$G$5:$G$2162,'октябрь 2024'!$D$5:$D$2162,$B206,'октябрь 2024'!$J$5:$J$2162,AF$1)</f>
        <v>0</v>
      </c>
      <c r="AG206" s="80">
        <f>SUMIFS('октябрь 2024'!$G$5:$G$2162,'октябрь 2024'!$D$5:$D$2162,$B206,'октябрь 2024'!$J$5:$J$2162,AG$1)</f>
        <v>0</v>
      </c>
      <c r="AH206" s="80">
        <f>SUMIFS('октябрь 2024'!$G$5:$G$2162,'октябрь 2024'!$D$5:$D$2162,$B206,'октябрь 2024'!$J$5:$J$2162,AH$1)</f>
        <v>0</v>
      </c>
      <c r="AI206" s="87"/>
    </row>
    <row r="207" spans="2:35" ht="15" hidden="1" customHeight="1" x14ac:dyDescent="0.25">
      <c r="B207" s="89"/>
      <c r="C207" s="88"/>
      <c r="D207" s="80">
        <f>SUMIFS('октябрь 2024'!$G$5:$G$2162,'октябрь 2024'!$D$5:$D$2162,$B207,'октябрь 2024'!$J$5:$J$2162,D$1)</f>
        <v>0</v>
      </c>
      <c r="E207" s="80">
        <f>SUMIFS('октябрь 2024'!$G$5:$G$2162,'октябрь 2024'!$D$5:$D$2162,$B207,'октябрь 2024'!$J$5:$J$2162,E$1)</f>
        <v>0</v>
      </c>
      <c r="F207" s="80">
        <f>SUMIFS('октябрь 2024'!$G$5:$G$2162,'октябрь 2024'!$D$5:$D$2162,$B207,'октябрь 2024'!$J$5:$J$2162,F$1)</f>
        <v>0</v>
      </c>
      <c r="G207" s="80">
        <f>SUMIFS('октябрь 2024'!$G$5:$G$2162,'октябрь 2024'!$D$5:$D$2162,$B207,'октябрь 2024'!$J$5:$J$2162,G$1)</f>
        <v>0</v>
      </c>
      <c r="H207" s="80">
        <f>SUMIFS('октябрь 2024'!$G$5:$G$2162,'октябрь 2024'!$D$5:$D$2162,$B207,'октябрь 2024'!$J$5:$J$2162,H$1)</f>
        <v>0</v>
      </c>
      <c r="I207" s="80">
        <f>SUMIFS('октябрь 2024'!$G$5:$G$2162,'октябрь 2024'!$D$5:$D$2162,$B207,'октябрь 2024'!$J$5:$J$2162,I$1)</f>
        <v>0</v>
      </c>
      <c r="J207" s="80">
        <f>SUMIFS('октябрь 2024'!$G$5:$G$2162,'октябрь 2024'!$D$5:$D$2162,$B207,'октябрь 2024'!$J$5:$J$2162,J$1)</f>
        <v>0</v>
      </c>
      <c r="K207" s="80">
        <f>SUMIFS('октябрь 2024'!$G$5:$G$2162,'октябрь 2024'!$D$5:$D$2162,$B207,'октябрь 2024'!$J$5:$J$2162,K$1)</f>
        <v>0</v>
      </c>
      <c r="L207" s="80">
        <f>SUMIFS('октябрь 2024'!$G$5:$G$2162,'октябрь 2024'!$D$5:$D$2162,$B207,'октябрь 2024'!$J$5:$J$2162,L$1)</f>
        <v>0</v>
      </c>
      <c r="M207" s="80">
        <f>SUMIFS('октябрь 2024'!$G$5:$G$2162,'октябрь 2024'!$D$5:$D$2162,$B207,'октябрь 2024'!$J$5:$J$2162,M$1)</f>
        <v>0</v>
      </c>
      <c r="N207" s="80">
        <f>SUMIFS('октябрь 2024'!$G$5:$G$2162,'октябрь 2024'!$D$5:$D$2162,$B207,'октябрь 2024'!$J$5:$J$2162,N$1)</f>
        <v>0</v>
      </c>
      <c r="O207" s="80">
        <f>SUMIFS('октябрь 2024'!$G$5:$G$2162,'октябрь 2024'!$D$5:$D$2162,$B207,'октябрь 2024'!$J$5:$J$2162,O$1)</f>
        <v>0</v>
      </c>
      <c r="P207" s="80">
        <f>SUMIFS('октябрь 2024'!$G$5:$G$2162,'октябрь 2024'!$D$5:$D$2162,$B207,'октябрь 2024'!$J$5:$J$2162,P$1)</f>
        <v>0</v>
      </c>
      <c r="Q207" s="80">
        <f>SUMIFS('октябрь 2024'!$G$5:$G$2162,'октябрь 2024'!$D$5:$D$2162,$B207,'октябрь 2024'!$J$5:$J$2162,Q$1)</f>
        <v>0</v>
      </c>
      <c r="R207" s="80">
        <f>SUMIFS('октябрь 2024'!$G$5:$G$2162,'октябрь 2024'!$D$5:$D$2162,$B207,'октябрь 2024'!$J$5:$J$2162,R$1)</f>
        <v>0</v>
      </c>
      <c r="S207" s="80">
        <f>SUMIFS('октябрь 2024'!$G$5:$G$2162,'октябрь 2024'!$D$5:$D$2162,$B207,'октябрь 2024'!$J$5:$J$2162,S$1)</f>
        <v>0</v>
      </c>
      <c r="T207" s="80">
        <f>SUMIFS('октябрь 2024'!$G$5:$G$2162,'октябрь 2024'!$D$5:$D$2162,$B207,'октябрь 2024'!$J$5:$J$2162,T$1)</f>
        <v>0</v>
      </c>
      <c r="U207" s="80">
        <f>SUMIFS('октябрь 2024'!$G$5:$G$2162,'октябрь 2024'!$D$5:$D$2162,$B207,'октябрь 2024'!$J$5:$J$2162,U$1)</f>
        <v>0</v>
      </c>
      <c r="V207" s="80">
        <f>SUMIFS('октябрь 2024'!$G$5:$G$2162,'октябрь 2024'!$D$5:$D$2162,$B207,'октябрь 2024'!$J$5:$J$2162,V$1)</f>
        <v>0</v>
      </c>
      <c r="W207" s="80">
        <f>SUMIFS('октябрь 2024'!$G$5:$G$2162,'октябрь 2024'!$D$5:$D$2162,$B207,'октябрь 2024'!$J$5:$J$2162,W$1)</f>
        <v>0</v>
      </c>
      <c r="X207" s="80">
        <f>SUMIFS('октябрь 2024'!$G$5:$G$2162,'октябрь 2024'!$D$5:$D$2162,$B207,'октябрь 2024'!$J$5:$J$2162,X$1)</f>
        <v>0</v>
      </c>
      <c r="Y207" s="80">
        <f>SUMIFS('октябрь 2024'!$G$5:$G$2162,'октябрь 2024'!$D$5:$D$2162,$B207,'октябрь 2024'!$J$5:$J$2162,Y$1)</f>
        <v>0</v>
      </c>
      <c r="Z207" s="80">
        <f>SUMIFS('октябрь 2024'!$G$5:$G$2162,'октябрь 2024'!$D$5:$D$2162,$B207,'октябрь 2024'!$J$5:$J$2162,Z$1)</f>
        <v>0</v>
      </c>
      <c r="AA207" s="80">
        <f>SUMIFS('октябрь 2024'!$G$5:$G$2162,'октябрь 2024'!$D$5:$D$2162,$B207,'октябрь 2024'!$J$5:$J$2162,AA$1)</f>
        <v>0</v>
      </c>
      <c r="AB207" s="80">
        <f>SUMIFS('октябрь 2024'!$G$5:$G$2162,'октябрь 2024'!$D$5:$D$2162,$B207,'октябрь 2024'!$J$5:$J$2162,AB$1)</f>
        <v>0</v>
      </c>
      <c r="AC207" s="80">
        <f>SUMIFS('октябрь 2024'!$G$5:$G$2162,'октябрь 2024'!$D$5:$D$2162,$B207,'октябрь 2024'!$J$5:$J$2162,AC$1)</f>
        <v>0</v>
      </c>
      <c r="AD207" s="80">
        <f>SUMIFS('октябрь 2024'!$G$5:$G$2162,'октябрь 2024'!$D$5:$D$2162,$B207,'октябрь 2024'!$J$5:$J$2162,AD$1)</f>
        <v>0</v>
      </c>
      <c r="AE207" s="80">
        <f>SUMIFS('октябрь 2024'!$G$5:$G$2162,'октябрь 2024'!$D$5:$D$2162,$B207,'октябрь 2024'!$J$5:$J$2162,AE$1)</f>
        <v>0</v>
      </c>
      <c r="AF207" s="80">
        <f>SUMIFS('октябрь 2024'!$G$5:$G$2162,'октябрь 2024'!$D$5:$D$2162,$B207,'октябрь 2024'!$J$5:$J$2162,AF$1)</f>
        <v>0</v>
      </c>
      <c r="AG207" s="80">
        <f>SUMIFS('октябрь 2024'!$G$5:$G$2162,'октябрь 2024'!$D$5:$D$2162,$B207,'октябрь 2024'!$J$5:$J$2162,AG$1)</f>
        <v>0</v>
      </c>
      <c r="AH207" s="80">
        <f>SUMIFS('октябрь 2024'!$G$5:$G$2162,'октябрь 2024'!$D$5:$D$2162,$B207,'октябрь 2024'!$J$5:$J$2162,AH$1)</f>
        <v>0</v>
      </c>
      <c r="AI207" s="87"/>
    </row>
    <row r="208" spans="2:35" ht="15" hidden="1" customHeight="1" x14ac:dyDescent="0.25">
      <c r="B208" s="89"/>
      <c r="C208" s="88"/>
      <c r="D208" s="80">
        <f>SUMIFS('октябрь 2024'!$G$5:$G$2162,'октябрь 2024'!$D$5:$D$2162,$B208,'октябрь 2024'!$J$5:$J$2162,D$1)</f>
        <v>0</v>
      </c>
      <c r="E208" s="80">
        <f>SUMIFS('октябрь 2024'!$G$5:$G$2162,'октябрь 2024'!$D$5:$D$2162,$B208,'октябрь 2024'!$J$5:$J$2162,E$1)</f>
        <v>0</v>
      </c>
      <c r="F208" s="80">
        <f>SUMIFS('октябрь 2024'!$G$5:$G$2162,'октябрь 2024'!$D$5:$D$2162,$B208,'октябрь 2024'!$J$5:$J$2162,F$1)</f>
        <v>0</v>
      </c>
      <c r="G208" s="80">
        <f>SUMIFS('октябрь 2024'!$G$5:$G$2162,'октябрь 2024'!$D$5:$D$2162,$B208,'октябрь 2024'!$J$5:$J$2162,G$1)</f>
        <v>0</v>
      </c>
      <c r="H208" s="80">
        <f>SUMIFS('октябрь 2024'!$G$5:$G$2162,'октябрь 2024'!$D$5:$D$2162,$B208,'октябрь 2024'!$J$5:$J$2162,H$1)</f>
        <v>0</v>
      </c>
      <c r="I208" s="80">
        <f>SUMIFS('октябрь 2024'!$G$5:$G$2162,'октябрь 2024'!$D$5:$D$2162,$B208,'октябрь 2024'!$J$5:$J$2162,I$1)</f>
        <v>0</v>
      </c>
      <c r="J208" s="80">
        <f>SUMIFS('октябрь 2024'!$G$5:$G$2162,'октябрь 2024'!$D$5:$D$2162,$B208,'октябрь 2024'!$J$5:$J$2162,J$1)</f>
        <v>0</v>
      </c>
      <c r="K208" s="80">
        <f>SUMIFS('октябрь 2024'!$G$5:$G$2162,'октябрь 2024'!$D$5:$D$2162,$B208,'октябрь 2024'!$J$5:$J$2162,K$1)</f>
        <v>0</v>
      </c>
      <c r="L208" s="80">
        <f>SUMIFS('октябрь 2024'!$G$5:$G$2162,'октябрь 2024'!$D$5:$D$2162,$B208,'октябрь 2024'!$J$5:$J$2162,L$1)</f>
        <v>0</v>
      </c>
      <c r="M208" s="80">
        <f>SUMIFS('октябрь 2024'!$G$5:$G$2162,'октябрь 2024'!$D$5:$D$2162,$B208,'октябрь 2024'!$J$5:$J$2162,M$1)</f>
        <v>0</v>
      </c>
      <c r="N208" s="80">
        <f>SUMIFS('октябрь 2024'!$G$5:$G$2162,'октябрь 2024'!$D$5:$D$2162,$B208,'октябрь 2024'!$J$5:$J$2162,N$1)</f>
        <v>0</v>
      </c>
      <c r="O208" s="80">
        <f>SUMIFS('октябрь 2024'!$G$5:$G$2162,'октябрь 2024'!$D$5:$D$2162,$B208,'октябрь 2024'!$J$5:$J$2162,O$1)</f>
        <v>0</v>
      </c>
      <c r="P208" s="80">
        <f>SUMIFS('октябрь 2024'!$G$5:$G$2162,'октябрь 2024'!$D$5:$D$2162,$B208,'октябрь 2024'!$J$5:$J$2162,P$1)</f>
        <v>0</v>
      </c>
      <c r="Q208" s="80">
        <f>SUMIFS('октябрь 2024'!$G$5:$G$2162,'октябрь 2024'!$D$5:$D$2162,$B208,'октябрь 2024'!$J$5:$J$2162,Q$1)</f>
        <v>0</v>
      </c>
      <c r="R208" s="80">
        <f>SUMIFS('октябрь 2024'!$G$5:$G$2162,'октябрь 2024'!$D$5:$D$2162,$B208,'октябрь 2024'!$J$5:$J$2162,R$1)</f>
        <v>0</v>
      </c>
      <c r="S208" s="80">
        <f>SUMIFS('октябрь 2024'!$G$5:$G$2162,'октябрь 2024'!$D$5:$D$2162,$B208,'октябрь 2024'!$J$5:$J$2162,S$1)</f>
        <v>0</v>
      </c>
      <c r="T208" s="80">
        <f>SUMIFS('октябрь 2024'!$G$5:$G$2162,'октябрь 2024'!$D$5:$D$2162,$B208,'октябрь 2024'!$J$5:$J$2162,T$1)</f>
        <v>0</v>
      </c>
      <c r="U208" s="80">
        <f>SUMIFS('октябрь 2024'!$G$5:$G$2162,'октябрь 2024'!$D$5:$D$2162,$B208,'октябрь 2024'!$J$5:$J$2162,U$1)</f>
        <v>0</v>
      </c>
      <c r="V208" s="80">
        <f>SUMIFS('октябрь 2024'!$G$5:$G$2162,'октябрь 2024'!$D$5:$D$2162,$B208,'октябрь 2024'!$J$5:$J$2162,V$1)</f>
        <v>0</v>
      </c>
      <c r="W208" s="80">
        <f>SUMIFS('октябрь 2024'!$G$5:$G$2162,'октябрь 2024'!$D$5:$D$2162,$B208,'октябрь 2024'!$J$5:$J$2162,W$1)</f>
        <v>0</v>
      </c>
      <c r="X208" s="80">
        <f>SUMIFS('октябрь 2024'!$G$5:$G$2162,'октябрь 2024'!$D$5:$D$2162,$B208,'октябрь 2024'!$J$5:$J$2162,X$1)</f>
        <v>0</v>
      </c>
      <c r="Y208" s="80">
        <f>SUMIFS('октябрь 2024'!$G$5:$G$2162,'октябрь 2024'!$D$5:$D$2162,$B208,'октябрь 2024'!$J$5:$J$2162,Y$1)</f>
        <v>0</v>
      </c>
      <c r="Z208" s="80">
        <f>SUMIFS('октябрь 2024'!$G$5:$G$2162,'октябрь 2024'!$D$5:$D$2162,$B208,'октябрь 2024'!$J$5:$J$2162,Z$1)</f>
        <v>0</v>
      </c>
      <c r="AA208" s="80">
        <f>SUMIFS('октябрь 2024'!$G$5:$G$2162,'октябрь 2024'!$D$5:$D$2162,$B208,'октябрь 2024'!$J$5:$J$2162,AA$1)</f>
        <v>0</v>
      </c>
      <c r="AB208" s="80">
        <f>SUMIFS('октябрь 2024'!$G$5:$G$2162,'октябрь 2024'!$D$5:$D$2162,$B208,'октябрь 2024'!$J$5:$J$2162,AB$1)</f>
        <v>0</v>
      </c>
      <c r="AC208" s="80">
        <f>SUMIFS('октябрь 2024'!$G$5:$G$2162,'октябрь 2024'!$D$5:$D$2162,$B208,'октябрь 2024'!$J$5:$J$2162,AC$1)</f>
        <v>0</v>
      </c>
      <c r="AD208" s="80">
        <f>SUMIFS('октябрь 2024'!$G$5:$G$2162,'октябрь 2024'!$D$5:$D$2162,$B208,'октябрь 2024'!$J$5:$J$2162,AD$1)</f>
        <v>0</v>
      </c>
      <c r="AE208" s="80">
        <f>SUMIFS('октябрь 2024'!$G$5:$G$2162,'октябрь 2024'!$D$5:$D$2162,$B208,'октябрь 2024'!$J$5:$J$2162,AE$1)</f>
        <v>0</v>
      </c>
      <c r="AF208" s="80">
        <f>SUMIFS('октябрь 2024'!$G$5:$G$2162,'октябрь 2024'!$D$5:$D$2162,$B208,'октябрь 2024'!$J$5:$J$2162,AF$1)</f>
        <v>0</v>
      </c>
      <c r="AG208" s="80">
        <f>SUMIFS('октябрь 2024'!$G$5:$G$2162,'октябрь 2024'!$D$5:$D$2162,$B208,'октябрь 2024'!$J$5:$J$2162,AG$1)</f>
        <v>0</v>
      </c>
      <c r="AH208" s="80">
        <f>SUMIFS('октябрь 2024'!$G$5:$G$2162,'октябрь 2024'!$D$5:$D$2162,$B208,'октябрь 2024'!$J$5:$J$2162,AH$1)</f>
        <v>0</v>
      </c>
      <c r="AI208" s="87"/>
    </row>
    <row r="209" spans="2:35" ht="15" hidden="1" customHeight="1" x14ac:dyDescent="0.25">
      <c r="B209" s="89"/>
      <c r="C209" s="88"/>
      <c r="D209" s="80">
        <f>SUMIFS('октябрь 2024'!$G$5:$G$2162,'октябрь 2024'!$D$5:$D$2162,$B209,'октябрь 2024'!$J$5:$J$2162,D$1)</f>
        <v>0</v>
      </c>
      <c r="E209" s="80">
        <f>SUMIFS('октябрь 2024'!$G$5:$G$2162,'октябрь 2024'!$D$5:$D$2162,$B209,'октябрь 2024'!$J$5:$J$2162,E$1)</f>
        <v>0</v>
      </c>
      <c r="F209" s="80">
        <f>SUMIFS('октябрь 2024'!$G$5:$G$2162,'октябрь 2024'!$D$5:$D$2162,$B209,'октябрь 2024'!$J$5:$J$2162,F$1)</f>
        <v>0</v>
      </c>
      <c r="G209" s="80">
        <f>SUMIFS('октябрь 2024'!$G$5:$G$2162,'октябрь 2024'!$D$5:$D$2162,$B209,'октябрь 2024'!$J$5:$J$2162,G$1)</f>
        <v>0</v>
      </c>
      <c r="H209" s="80">
        <f>SUMIFS('октябрь 2024'!$G$5:$G$2162,'октябрь 2024'!$D$5:$D$2162,$B209,'октябрь 2024'!$J$5:$J$2162,H$1)</f>
        <v>0</v>
      </c>
      <c r="I209" s="80">
        <f>SUMIFS('октябрь 2024'!$G$5:$G$2162,'октябрь 2024'!$D$5:$D$2162,$B209,'октябрь 2024'!$J$5:$J$2162,I$1)</f>
        <v>0</v>
      </c>
      <c r="J209" s="80">
        <f>SUMIFS('октябрь 2024'!$G$5:$G$2162,'октябрь 2024'!$D$5:$D$2162,$B209,'октябрь 2024'!$J$5:$J$2162,J$1)</f>
        <v>0</v>
      </c>
      <c r="K209" s="80">
        <f>SUMIFS('октябрь 2024'!$G$5:$G$2162,'октябрь 2024'!$D$5:$D$2162,$B209,'октябрь 2024'!$J$5:$J$2162,K$1)</f>
        <v>0</v>
      </c>
      <c r="L209" s="80">
        <f>SUMIFS('октябрь 2024'!$G$5:$G$2162,'октябрь 2024'!$D$5:$D$2162,$B209,'октябрь 2024'!$J$5:$J$2162,L$1)</f>
        <v>0</v>
      </c>
      <c r="M209" s="80">
        <f>SUMIFS('октябрь 2024'!$G$5:$G$2162,'октябрь 2024'!$D$5:$D$2162,$B209,'октябрь 2024'!$J$5:$J$2162,M$1)</f>
        <v>0</v>
      </c>
      <c r="N209" s="80">
        <f>SUMIFS('октябрь 2024'!$G$5:$G$2162,'октябрь 2024'!$D$5:$D$2162,$B209,'октябрь 2024'!$J$5:$J$2162,N$1)</f>
        <v>0</v>
      </c>
      <c r="O209" s="80">
        <f>SUMIFS('октябрь 2024'!$G$5:$G$2162,'октябрь 2024'!$D$5:$D$2162,$B209,'октябрь 2024'!$J$5:$J$2162,O$1)</f>
        <v>0</v>
      </c>
      <c r="P209" s="80">
        <f>SUMIFS('октябрь 2024'!$G$5:$G$2162,'октябрь 2024'!$D$5:$D$2162,$B209,'октябрь 2024'!$J$5:$J$2162,P$1)</f>
        <v>0</v>
      </c>
      <c r="Q209" s="80">
        <f>SUMIFS('октябрь 2024'!$G$5:$G$2162,'октябрь 2024'!$D$5:$D$2162,$B209,'октябрь 2024'!$J$5:$J$2162,Q$1)</f>
        <v>0</v>
      </c>
      <c r="R209" s="80">
        <f>SUMIFS('октябрь 2024'!$G$5:$G$2162,'октябрь 2024'!$D$5:$D$2162,$B209,'октябрь 2024'!$J$5:$J$2162,R$1)</f>
        <v>0</v>
      </c>
      <c r="S209" s="80">
        <f>SUMIFS('октябрь 2024'!$G$5:$G$2162,'октябрь 2024'!$D$5:$D$2162,$B209,'октябрь 2024'!$J$5:$J$2162,S$1)</f>
        <v>0</v>
      </c>
      <c r="T209" s="80">
        <f>SUMIFS('октябрь 2024'!$G$5:$G$2162,'октябрь 2024'!$D$5:$D$2162,$B209,'октябрь 2024'!$J$5:$J$2162,T$1)</f>
        <v>0</v>
      </c>
      <c r="U209" s="80">
        <f>SUMIFS('октябрь 2024'!$G$5:$G$2162,'октябрь 2024'!$D$5:$D$2162,$B209,'октябрь 2024'!$J$5:$J$2162,U$1)</f>
        <v>0</v>
      </c>
      <c r="V209" s="80">
        <f>SUMIFS('октябрь 2024'!$G$5:$G$2162,'октябрь 2024'!$D$5:$D$2162,$B209,'октябрь 2024'!$J$5:$J$2162,V$1)</f>
        <v>0</v>
      </c>
      <c r="W209" s="80">
        <f>SUMIFS('октябрь 2024'!$G$5:$G$2162,'октябрь 2024'!$D$5:$D$2162,$B209,'октябрь 2024'!$J$5:$J$2162,W$1)</f>
        <v>0</v>
      </c>
      <c r="X209" s="80">
        <f>SUMIFS('октябрь 2024'!$G$5:$G$2162,'октябрь 2024'!$D$5:$D$2162,$B209,'октябрь 2024'!$J$5:$J$2162,X$1)</f>
        <v>0</v>
      </c>
      <c r="Y209" s="80">
        <f>SUMIFS('октябрь 2024'!$G$5:$G$2162,'октябрь 2024'!$D$5:$D$2162,$B209,'октябрь 2024'!$J$5:$J$2162,Y$1)</f>
        <v>0</v>
      </c>
      <c r="Z209" s="80">
        <f>SUMIFS('октябрь 2024'!$G$5:$G$2162,'октябрь 2024'!$D$5:$D$2162,$B209,'октябрь 2024'!$J$5:$J$2162,Z$1)</f>
        <v>0</v>
      </c>
      <c r="AA209" s="80">
        <f>SUMIFS('октябрь 2024'!$G$5:$G$2162,'октябрь 2024'!$D$5:$D$2162,$B209,'октябрь 2024'!$J$5:$J$2162,AA$1)</f>
        <v>0</v>
      </c>
      <c r="AB209" s="80">
        <f>SUMIFS('октябрь 2024'!$G$5:$G$2162,'октябрь 2024'!$D$5:$D$2162,$B209,'октябрь 2024'!$J$5:$J$2162,AB$1)</f>
        <v>0</v>
      </c>
      <c r="AC209" s="80">
        <f>SUMIFS('октябрь 2024'!$G$5:$G$2162,'октябрь 2024'!$D$5:$D$2162,$B209,'октябрь 2024'!$J$5:$J$2162,AC$1)</f>
        <v>0</v>
      </c>
      <c r="AD209" s="80">
        <f>SUMIFS('октябрь 2024'!$G$5:$G$2162,'октябрь 2024'!$D$5:$D$2162,$B209,'октябрь 2024'!$J$5:$J$2162,AD$1)</f>
        <v>0</v>
      </c>
      <c r="AE209" s="80">
        <f>SUMIFS('октябрь 2024'!$G$5:$G$2162,'октябрь 2024'!$D$5:$D$2162,$B209,'октябрь 2024'!$J$5:$J$2162,AE$1)</f>
        <v>0</v>
      </c>
      <c r="AF209" s="80">
        <f>SUMIFS('октябрь 2024'!$G$5:$G$2162,'октябрь 2024'!$D$5:$D$2162,$B209,'октябрь 2024'!$J$5:$J$2162,AF$1)</f>
        <v>0</v>
      </c>
      <c r="AG209" s="80">
        <f>SUMIFS('октябрь 2024'!$G$5:$G$2162,'октябрь 2024'!$D$5:$D$2162,$B209,'октябрь 2024'!$J$5:$J$2162,AG$1)</f>
        <v>0</v>
      </c>
      <c r="AH209" s="80">
        <f>SUMIFS('октябрь 2024'!$G$5:$G$2162,'октябрь 2024'!$D$5:$D$2162,$B209,'октябрь 2024'!$J$5:$J$2162,AH$1)</f>
        <v>0</v>
      </c>
      <c r="AI209" s="87"/>
    </row>
    <row r="210" spans="2:35" ht="15" hidden="1" customHeight="1" x14ac:dyDescent="0.25">
      <c r="B210" s="89"/>
      <c r="C210" s="88"/>
      <c r="D210" s="80">
        <f>SUMIFS('октябрь 2024'!$G$5:$G$2162,'октябрь 2024'!$D$5:$D$2162,$B210,'октябрь 2024'!$J$5:$J$2162,D$1)</f>
        <v>0</v>
      </c>
      <c r="E210" s="80">
        <f>SUMIFS('октябрь 2024'!$G$5:$G$2162,'октябрь 2024'!$D$5:$D$2162,$B210,'октябрь 2024'!$J$5:$J$2162,E$1)</f>
        <v>0</v>
      </c>
      <c r="F210" s="80">
        <f>SUMIFS('октябрь 2024'!$G$5:$G$2162,'октябрь 2024'!$D$5:$D$2162,$B210,'октябрь 2024'!$J$5:$J$2162,F$1)</f>
        <v>0</v>
      </c>
      <c r="G210" s="80">
        <f>SUMIFS('октябрь 2024'!$G$5:$G$2162,'октябрь 2024'!$D$5:$D$2162,$B210,'октябрь 2024'!$J$5:$J$2162,G$1)</f>
        <v>0</v>
      </c>
      <c r="H210" s="80">
        <f>SUMIFS('октябрь 2024'!$G$5:$G$2162,'октябрь 2024'!$D$5:$D$2162,$B210,'октябрь 2024'!$J$5:$J$2162,H$1)</f>
        <v>0</v>
      </c>
      <c r="I210" s="80">
        <f>SUMIFS('октябрь 2024'!$G$5:$G$2162,'октябрь 2024'!$D$5:$D$2162,$B210,'октябрь 2024'!$J$5:$J$2162,I$1)</f>
        <v>0</v>
      </c>
      <c r="J210" s="80">
        <f>SUMIFS('октябрь 2024'!$G$5:$G$2162,'октябрь 2024'!$D$5:$D$2162,$B210,'октябрь 2024'!$J$5:$J$2162,J$1)</f>
        <v>0</v>
      </c>
      <c r="K210" s="80">
        <f>SUMIFS('октябрь 2024'!$G$5:$G$2162,'октябрь 2024'!$D$5:$D$2162,$B210,'октябрь 2024'!$J$5:$J$2162,K$1)</f>
        <v>0</v>
      </c>
      <c r="L210" s="80">
        <f>SUMIFS('октябрь 2024'!$G$5:$G$2162,'октябрь 2024'!$D$5:$D$2162,$B210,'октябрь 2024'!$J$5:$J$2162,L$1)</f>
        <v>0</v>
      </c>
      <c r="M210" s="80">
        <f>SUMIFS('октябрь 2024'!$G$5:$G$2162,'октябрь 2024'!$D$5:$D$2162,$B210,'октябрь 2024'!$J$5:$J$2162,M$1)</f>
        <v>0</v>
      </c>
      <c r="N210" s="80">
        <f>SUMIFS('октябрь 2024'!$G$5:$G$2162,'октябрь 2024'!$D$5:$D$2162,$B210,'октябрь 2024'!$J$5:$J$2162,N$1)</f>
        <v>0</v>
      </c>
      <c r="O210" s="80">
        <f>SUMIFS('октябрь 2024'!$G$5:$G$2162,'октябрь 2024'!$D$5:$D$2162,$B210,'октябрь 2024'!$J$5:$J$2162,O$1)</f>
        <v>0</v>
      </c>
      <c r="P210" s="80">
        <f>SUMIFS('октябрь 2024'!$G$5:$G$2162,'октябрь 2024'!$D$5:$D$2162,$B210,'октябрь 2024'!$J$5:$J$2162,P$1)</f>
        <v>0</v>
      </c>
      <c r="Q210" s="80">
        <f>SUMIFS('октябрь 2024'!$G$5:$G$2162,'октябрь 2024'!$D$5:$D$2162,$B210,'октябрь 2024'!$J$5:$J$2162,Q$1)</f>
        <v>0</v>
      </c>
      <c r="R210" s="80">
        <f>SUMIFS('октябрь 2024'!$G$5:$G$2162,'октябрь 2024'!$D$5:$D$2162,$B210,'октябрь 2024'!$J$5:$J$2162,R$1)</f>
        <v>0</v>
      </c>
      <c r="S210" s="80">
        <f>SUMIFS('октябрь 2024'!$G$5:$G$2162,'октябрь 2024'!$D$5:$D$2162,$B210,'октябрь 2024'!$J$5:$J$2162,S$1)</f>
        <v>0</v>
      </c>
      <c r="T210" s="80">
        <f>SUMIFS('октябрь 2024'!$G$5:$G$2162,'октябрь 2024'!$D$5:$D$2162,$B210,'октябрь 2024'!$J$5:$J$2162,T$1)</f>
        <v>0</v>
      </c>
      <c r="U210" s="80">
        <f>SUMIFS('октябрь 2024'!$G$5:$G$2162,'октябрь 2024'!$D$5:$D$2162,$B210,'октябрь 2024'!$J$5:$J$2162,U$1)</f>
        <v>0</v>
      </c>
      <c r="V210" s="80">
        <f>SUMIFS('октябрь 2024'!$G$5:$G$2162,'октябрь 2024'!$D$5:$D$2162,$B210,'октябрь 2024'!$J$5:$J$2162,V$1)</f>
        <v>0</v>
      </c>
      <c r="W210" s="80">
        <f>SUMIFS('октябрь 2024'!$G$5:$G$2162,'октябрь 2024'!$D$5:$D$2162,$B210,'октябрь 2024'!$J$5:$J$2162,W$1)</f>
        <v>0</v>
      </c>
      <c r="X210" s="80">
        <f>SUMIFS('октябрь 2024'!$G$5:$G$2162,'октябрь 2024'!$D$5:$D$2162,$B210,'октябрь 2024'!$J$5:$J$2162,X$1)</f>
        <v>0</v>
      </c>
      <c r="Y210" s="80">
        <f>SUMIFS('октябрь 2024'!$G$5:$G$2162,'октябрь 2024'!$D$5:$D$2162,$B210,'октябрь 2024'!$J$5:$J$2162,Y$1)</f>
        <v>0</v>
      </c>
      <c r="Z210" s="80">
        <f>SUMIFS('октябрь 2024'!$G$5:$G$2162,'октябрь 2024'!$D$5:$D$2162,$B210,'октябрь 2024'!$J$5:$J$2162,Z$1)</f>
        <v>0</v>
      </c>
      <c r="AA210" s="80">
        <f>SUMIFS('октябрь 2024'!$G$5:$G$2162,'октябрь 2024'!$D$5:$D$2162,$B210,'октябрь 2024'!$J$5:$J$2162,AA$1)</f>
        <v>0</v>
      </c>
      <c r="AB210" s="80">
        <f>SUMIFS('октябрь 2024'!$G$5:$G$2162,'октябрь 2024'!$D$5:$D$2162,$B210,'октябрь 2024'!$J$5:$J$2162,AB$1)</f>
        <v>0</v>
      </c>
      <c r="AC210" s="80">
        <f>SUMIFS('октябрь 2024'!$G$5:$G$2162,'октябрь 2024'!$D$5:$D$2162,$B210,'октябрь 2024'!$J$5:$J$2162,AC$1)</f>
        <v>0</v>
      </c>
      <c r="AD210" s="80">
        <f>SUMIFS('октябрь 2024'!$G$5:$G$2162,'октябрь 2024'!$D$5:$D$2162,$B210,'октябрь 2024'!$J$5:$J$2162,AD$1)</f>
        <v>0</v>
      </c>
      <c r="AE210" s="80">
        <f>SUMIFS('октябрь 2024'!$G$5:$G$2162,'октябрь 2024'!$D$5:$D$2162,$B210,'октябрь 2024'!$J$5:$J$2162,AE$1)</f>
        <v>0</v>
      </c>
      <c r="AF210" s="80">
        <f>SUMIFS('октябрь 2024'!$G$5:$G$2162,'октябрь 2024'!$D$5:$D$2162,$B210,'октябрь 2024'!$J$5:$J$2162,AF$1)</f>
        <v>0</v>
      </c>
      <c r="AG210" s="80">
        <f>SUMIFS('октябрь 2024'!$G$5:$G$2162,'октябрь 2024'!$D$5:$D$2162,$B210,'октябрь 2024'!$J$5:$J$2162,AG$1)</f>
        <v>0</v>
      </c>
      <c r="AH210" s="80">
        <f>SUMIFS('октябрь 2024'!$G$5:$G$2162,'октябрь 2024'!$D$5:$D$2162,$B210,'октябрь 2024'!$J$5:$J$2162,AH$1)</f>
        <v>0</v>
      </c>
      <c r="AI210" s="87"/>
    </row>
    <row r="211" spans="2:35" ht="15" hidden="1" customHeight="1" x14ac:dyDescent="0.25">
      <c r="B211" s="89"/>
      <c r="C211" s="88"/>
      <c r="D211" s="80">
        <f>SUMIFS('октябрь 2024'!$G$5:$G$2162,'октябрь 2024'!$D$5:$D$2162,$B211,'октябрь 2024'!$J$5:$J$2162,D$1)</f>
        <v>0</v>
      </c>
      <c r="E211" s="80">
        <f>SUMIFS('октябрь 2024'!$G$5:$G$2162,'октябрь 2024'!$D$5:$D$2162,$B211,'октябрь 2024'!$J$5:$J$2162,E$1)</f>
        <v>0</v>
      </c>
      <c r="F211" s="80">
        <f>SUMIFS('октябрь 2024'!$G$5:$G$2162,'октябрь 2024'!$D$5:$D$2162,$B211,'октябрь 2024'!$J$5:$J$2162,F$1)</f>
        <v>0</v>
      </c>
      <c r="G211" s="80">
        <f>SUMIFS('октябрь 2024'!$G$5:$G$2162,'октябрь 2024'!$D$5:$D$2162,$B211,'октябрь 2024'!$J$5:$J$2162,G$1)</f>
        <v>0</v>
      </c>
      <c r="H211" s="80">
        <f>SUMIFS('октябрь 2024'!$G$5:$G$2162,'октябрь 2024'!$D$5:$D$2162,$B211,'октябрь 2024'!$J$5:$J$2162,H$1)</f>
        <v>0</v>
      </c>
      <c r="I211" s="80">
        <f>SUMIFS('октябрь 2024'!$G$5:$G$2162,'октябрь 2024'!$D$5:$D$2162,$B211,'октябрь 2024'!$J$5:$J$2162,I$1)</f>
        <v>0</v>
      </c>
      <c r="J211" s="80">
        <f>SUMIFS('октябрь 2024'!$G$5:$G$2162,'октябрь 2024'!$D$5:$D$2162,$B211,'октябрь 2024'!$J$5:$J$2162,J$1)</f>
        <v>0</v>
      </c>
      <c r="K211" s="80">
        <f>SUMIFS('октябрь 2024'!$G$5:$G$2162,'октябрь 2024'!$D$5:$D$2162,$B211,'октябрь 2024'!$J$5:$J$2162,K$1)</f>
        <v>0</v>
      </c>
      <c r="L211" s="80">
        <f>SUMIFS('октябрь 2024'!$G$5:$G$2162,'октябрь 2024'!$D$5:$D$2162,$B211,'октябрь 2024'!$J$5:$J$2162,L$1)</f>
        <v>0</v>
      </c>
      <c r="M211" s="80">
        <f>SUMIFS('октябрь 2024'!$G$5:$G$2162,'октябрь 2024'!$D$5:$D$2162,$B211,'октябрь 2024'!$J$5:$J$2162,M$1)</f>
        <v>0</v>
      </c>
      <c r="N211" s="80">
        <f>SUMIFS('октябрь 2024'!$G$5:$G$2162,'октябрь 2024'!$D$5:$D$2162,$B211,'октябрь 2024'!$J$5:$J$2162,N$1)</f>
        <v>0</v>
      </c>
      <c r="O211" s="80">
        <f>SUMIFS('октябрь 2024'!$G$5:$G$2162,'октябрь 2024'!$D$5:$D$2162,$B211,'октябрь 2024'!$J$5:$J$2162,O$1)</f>
        <v>0</v>
      </c>
      <c r="P211" s="80">
        <f>SUMIFS('октябрь 2024'!$G$5:$G$2162,'октябрь 2024'!$D$5:$D$2162,$B211,'октябрь 2024'!$J$5:$J$2162,P$1)</f>
        <v>0</v>
      </c>
      <c r="Q211" s="80">
        <f>SUMIFS('октябрь 2024'!$G$5:$G$2162,'октябрь 2024'!$D$5:$D$2162,$B211,'октябрь 2024'!$J$5:$J$2162,Q$1)</f>
        <v>0</v>
      </c>
      <c r="R211" s="80">
        <f>SUMIFS('октябрь 2024'!$G$5:$G$2162,'октябрь 2024'!$D$5:$D$2162,$B211,'октябрь 2024'!$J$5:$J$2162,R$1)</f>
        <v>0</v>
      </c>
      <c r="S211" s="80">
        <f>SUMIFS('октябрь 2024'!$G$5:$G$2162,'октябрь 2024'!$D$5:$D$2162,$B211,'октябрь 2024'!$J$5:$J$2162,S$1)</f>
        <v>0</v>
      </c>
      <c r="T211" s="80">
        <f>SUMIFS('октябрь 2024'!$G$5:$G$2162,'октябрь 2024'!$D$5:$D$2162,$B211,'октябрь 2024'!$J$5:$J$2162,T$1)</f>
        <v>0</v>
      </c>
      <c r="U211" s="80">
        <f>SUMIFS('октябрь 2024'!$G$5:$G$2162,'октябрь 2024'!$D$5:$D$2162,$B211,'октябрь 2024'!$J$5:$J$2162,U$1)</f>
        <v>0</v>
      </c>
      <c r="V211" s="80">
        <f>SUMIFS('октябрь 2024'!$G$5:$G$2162,'октябрь 2024'!$D$5:$D$2162,$B211,'октябрь 2024'!$J$5:$J$2162,V$1)</f>
        <v>0</v>
      </c>
      <c r="W211" s="80">
        <f>SUMIFS('октябрь 2024'!$G$5:$G$2162,'октябрь 2024'!$D$5:$D$2162,$B211,'октябрь 2024'!$J$5:$J$2162,W$1)</f>
        <v>0</v>
      </c>
      <c r="X211" s="80">
        <f>SUMIFS('октябрь 2024'!$G$5:$G$2162,'октябрь 2024'!$D$5:$D$2162,$B211,'октябрь 2024'!$J$5:$J$2162,X$1)</f>
        <v>0</v>
      </c>
      <c r="Y211" s="80">
        <f>SUMIFS('октябрь 2024'!$G$5:$G$2162,'октябрь 2024'!$D$5:$D$2162,$B211,'октябрь 2024'!$J$5:$J$2162,Y$1)</f>
        <v>0</v>
      </c>
      <c r="Z211" s="80">
        <f>SUMIFS('октябрь 2024'!$G$5:$G$2162,'октябрь 2024'!$D$5:$D$2162,$B211,'октябрь 2024'!$J$5:$J$2162,Z$1)</f>
        <v>0</v>
      </c>
      <c r="AA211" s="80">
        <f>SUMIFS('октябрь 2024'!$G$5:$G$2162,'октябрь 2024'!$D$5:$D$2162,$B211,'октябрь 2024'!$J$5:$J$2162,AA$1)</f>
        <v>0</v>
      </c>
      <c r="AB211" s="80">
        <f>SUMIFS('октябрь 2024'!$G$5:$G$2162,'октябрь 2024'!$D$5:$D$2162,$B211,'октябрь 2024'!$J$5:$J$2162,AB$1)</f>
        <v>0</v>
      </c>
      <c r="AC211" s="80">
        <f>SUMIFS('октябрь 2024'!$G$5:$G$2162,'октябрь 2024'!$D$5:$D$2162,$B211,'октябрь 2024'!$J$5:$J$2162,AC$1)</f>
        <v>0</v>
      </c>
      <c r="AD211" s="80">
        <f>SUMIFS('октябрь 2024'!$G$5:$G$2162,'октябрь 2024'!$D$5:$D$2162,$B211,'октябрь 2024'!$J$5:$J$2162,AD$1)</f>
        <v>0</v>
      </c>
      <c r="AE211" s="80">
        <f>SUMIFS('октябрь 2024'!$G$5:$G$2162,'октябрь 2024'!$D$5:$D$2162,$B211,'октябрь 2024'!$J$5:$J$2162,AE$1)</f>
        <v>0</v>
      </c>
      <c r="AF211" s="80">
        <f>SUMIFS('октябрь 2024'!$G$5:$G$2162,'октябрь 2024'!$D$5:$D$2162,$B211,'октябрь 2024'!$J$5:$J$2162,AF$1)</f>
        <v>0</v>
      </c>
      <c r="AG211" s="80">
        <f>SUMIFS('октябрь 2024'!$G$5:$G$2162,'октябрь 2024'!$D$5:$D$2162,$B211,'октябрь 2024'!$J$5:$J$2162,AG$1)</f>
        <v>0</v>
      </c>
      <c r="AH211" s="80">
        <f>SUMIFS('октябрь 2024'!$G$5:$G$2162,'октябрь 2024'!$D$5:$D$2162,$B211,'октябрь 2024'!$J$5:$J$2162,AH$1)</f>
        <v>0</v>
      </c>
      <c r="AI211" s="87"/>
    </row>
    <row r="212" spans="2:35" ht="15" hidden="1" customHeight="1" x14ac:dyDescent="0.25">
      <c r="B212" s="89"/>
      <c r="C212" s="88"/>
      <c r="D212" s="80">
        <f>SUMIFS('октябрь 2024'!$G$5:$G$2162,'октябрь 2024'!$D$5:$D$2162,$B212,'октябрь 2024'!$J$5:$J$2162,D$1)</f>
        <v>0</v>
      </c>
      <c r="E212" s="80">
        <f>SUMIFS('октябрь 2024'!$G$5:$G$2162,'октябрь 2024'!$D$5:$D$2162,$B212,'октябрь 2024'!$J$5:$J$2162,E$1)</f>
        <v>0</v>
      </c>
      <c r="F212" s="80">
        <f>SUMIFS('октябрь 2024'!$G$5:$G$2162,'октябрь 2024'!$D$5:$D$2162,$B212,'октябрь 2024'!$J$5:$J$2162,F$1)</f>
        <v>0</v>
      </c>
      <c r="G212" s="80">
        <f>SUMIFS('октябрь 2024'!$G$5:$G$2162,'октябрь 2024'!$D$5:$D$2162,$B212,'октябрь 2024'!$J$5:$J$2162,G$1)</f>
        <v>0</v>
      </c>
      <c r="H212" s="80">
        <f>SUMIFS('октябрь 2024'!$G$5:$G$2162,'октябрь 2024'!$D$5:$D$2162,$B212,'октябрь 2024'!$J$5:$J$2162,H$1)</f>
        <v>0</v>
      </c>
      <c r="I212" s="80">
        <f>SUMIFS('октябрь 2024'!$G$5:$G$2162,'октябрь 2024'!$D$5:$D$2162,$B212,'октябрь 2024'!$J$5:$J$2162,I$1)</f>
        <v>0</v>
      </c>
      <c r="J212" s="80">
        <f>SUMIFS('октябрь 2024'!$G$5:$G$2162,'октябрь 2024'!$D$5:$D$2162,$B212,'октябрь 2024'!$J$5:$J$2162,J$1)</f>
        <v>0</v>
      </c>
      <c r="K212" s="80">
        <f>SUMIFS('октябрь 2024'!$G$5:$G$2162,'октябрь 2024'!$D$5:$D$2162,$B212,'октябрь 2024'!$J$5:$J$2162,K$1)</f>
        <v>0</v>
      </c>
      <c r="L212" s="80">
        <f>SUMIFS('октябрь 2024'!$G$5:$G$2162,'октябрь 2024'!$D$5:$D$2162,$B212,'октябрь 2024'!$J$5:$J$2162,L$1)</f>
        <v>0</v>
      </c>
      <c r="M212" s="80">
        <f>SUMIFS('октябрь 2024'!$G$5:$G$2162,'октябрь 2024'!$D$5:$D$2162,$B212,'октябрь 2024'!$J$5:$J$2162,M$1)</f>
        <v>0</v>
      </c>
      <c r="N212" s="80">
        <f>SUMIFS('октябрь 2024'!$G$5:$G$2162,'октябрь 2024'!$D$5:$D$2162,$B212,'октябрь 2024'!$J$5:$J$2162,N$1)</f>
        <v>0</v>
      </c>
      <c r="O212" s="80">
        <f>SUMIFS('октябрь 2024'!$G$5:$G$2162,'октябрь 2024'!$D$5:$D$2162,$B212,'октябрь 2024'!$J$5:$J$2162,O$1)</f>
        <v>0</v>
      </c>
      <c r="P212" s="80">
        <f>SUMIFS('октябрь 2024'!$G$5:$G$2162,'октябрь 2024'!$D$5:$D$2162,$B212,'октябрь 2024'!$J$5:$J$2162,P$1)</f>
        <v>0</v>
      </c>
      <c r="Q212" s="80">
        <f>SUMIFS('октябрь 2024'!$G$5:$G$2162,'октябрь 2024'!$D$5:$D$2162,$B212,'октябрь 2024'!$J$5:$J$2162,Q$1)</f>
        <v>0</v>
      </c>
      <c r="R212" s="80">
        <f>SUMIFS('октябрь 2024'!$G$5:$G$2162,'октябрь 2024'!$D$5:$D$2162,$B212,'октябрь 2024'!$J$5:$J$2162,R$1)</f>
        <v>0</v>
      </c>
      <c r="S212" s="80">
        <f>SUMIFS('октябрь 2024'!$G$5:$G$2162,'октябрь 2024'!$D$5:$D$2162,$B212,'октябрь 2024'!$J$5:$J$2162,S$1)</f>
        <v>0</v>
      </c>
      <c r="T212" s="80">
        <f>SUMIFS('октябрь 2024'!$G$5:$G$2162,'октябрь 2024'!$D$5:$D$2162,$B212,'октябрь 2024'!$J$5:$J$2162,T$1)</f>
        <v>0</v>
      </c>
      <c r="U212" s="80">
        <f>SUMIFS('октябрь 2024'!$G$5:$G$2162,'октябрь 2024'!$D$5:$D$2162,$B212,'октябрь 2024'!$J$5:$J$2162,U$1)</f>
        <v>0</v>
      </c>
      <c r="V212" s="80">
        <f>SUMIFS('октябрь 2024'!$G$5:$G$2162,'октябрь 2024'!$D$5:$D$2162,$B212,'октябрь 2024'!$J$5:$J$2162,V$1)</f>
        <v>0</v>
      </c>
      <c r="W212" s="80">
        <f>SUMIFS('октябрь 2024'!$G$5:$G$2162,'октябрь 2024'!$D$5:$D$2162,$B212,'октябрь 2024'!$J$5:$J$2162,W$1)</f>
        <v>0</v>
      </c>
      <c r="X212" s="80">
        <f>SUMIFS('октябрь 2024'!$G$5:$G$2162,'октябрь 2024'!$D$5:$D$2162,$B212,'октябрь 2024'!$J$5:$J$2162,X$1)</f>
        <v>0</v>
      </c>
      <c r="Y212" s="80">
        <f>SUMIFS('октябрь 2024'!$G$5:$G$2162,'октябрь 2024'!$D$5:$D$2162,$B212,'октябрь 2024'!$J$5:$J$2162,Y$1)</f>
        <v>0</v>
      </c>
      <c r="Z212" s="80">
        <f>SUMIFS('октябрь 2024'!$G$5:$G$2162,'октябрь 2024'!$D$5:$D$2162,$B212,'октябрь 2024'!$J$5:$J$2162,Z$1)</f>
        <v>0</v>
      </c>
      <c r="AA212" s="80">
        <f>SUMIFS('октябрь 2024'!$G$5:$G$2162,'октябрь 2024'!$D$5:$D$2162,$B212,'октябрь 2024'!$J$5:$J$2162,AA$1)</f>
        <v>0</v>
      </c>
      <c r="AB212" s="80">
        <f>SUMIFS('октябрь 2024'!$G$5:$G$2162,'октябрь 2024'!$D$5:$D$2162,$B212,'октябрь 2024'!$J$5:$J$2162,AB$1)</f>
        <v>0</v>
      </c>
      <c r="AC212" s="80">
        <f>SUMIFS('октябрь 2024'!$G$5:$G$2162,'октябрь 2024'!$D$5:$D$2162,$B212,'октябрь 2024'!$J$5:$J$2162,AC$1)</f>
        <v>0</v>
      </c>
      <c r="AD212" s="80">
        <f>SUMIFS('октябрь 2024'!$G$5:$G$2162,'октябрь 2024'!$D$5:$D$2162,$B212,'октябрь 2024'!$J$5:$J$2162,AD$1)</f>
        <v>0</v>
      </c>
      <c r="AE212" s="80">
        <f>SUMIFS('октябрь 2024'!$G$5:$G$2162,'октябрь 2024'!$D$5:$D$2162,$B212,'октябрь 2024'!$J$5:$J$2162,AE$1)</f>
        <v>0</v>
      </c>
      <c r="AF212" s="80">
        <f>SUMIFS('октябрь 2024'!$G$5:$G$2162,'октябрь 2024'!$D$5:$D$2162,$B212,'октябрь 2024'!$J$5:$J$2162,AF$1)</f>
        <v>0</v>
      </c>
      <c r="AG212" s="80">
        <f>SUMIFS('октябрь 2024'!$G$5:$G$2162,'октябрь 2024'!$D$5:$D$2162,$B212,'октябрь 2024'!$J$5:$J$2162,AG$1)</f>
        <v>0</v>
      </c>
      <c r="AH212" s="80">
        <f>SUMIFS('октябрь 2024'!$G$5:$G$2162,'октябрь 2024'!$D$5:$D$2162,$B212,'октябрь 2024'!$J$5:$J$2162,AH$1)</f>
        <v>0</v>
      </c>
      <c r="AI212" s="87"/>
    </row>
    <row r="213" spans="2:35" ht="15" hidden="1" customHeight="1" x14ac:dyDescent="0.25">
      <c r="B213" s="89"/>
      <c r="C213" s="88"/>
      <c r="D213" s="80">
        <f>SUMIFS('февраль 2024'!$G$6:$G$1413,'февраль 2024'!$D$6:$D$1413,$B213,'февраль 2024'!$J$6:$J$1413,D$1)</f>
        <v>0</v>
      </c>
      <c r="E213" s="80">
        <f>SUMIFS('февраль 2024'!$G$6:$G$1413,'февраль 2024'!$D$6:$D$1413,$B213,'февраль 2024'!$J$6:$J$1413,E$1)</f>
        <v>0</v>
      </c>
      <c r="F213" s="80">
        <f>SUMIFS('февраль 2024'!$G$6:$G$1413,'февраль 2024'!$D$6:$D$1413,$B213,'февраль 2024'!$J$6:$J$1413,F$1)</f>
        <v>0</v>
      </c>
      <c r="G213" s="80">
        <f>SUMIFS('февраль 2024'!$G$6:$G$1413,'февраль 2024'!$D$6:$D$1413,$B213,'февраль 2024'!$J$6:$J$1413,G$1)</f>
        <v>0</v>
      </c>
      <c r="H213" s="80">
        <f>SUMIFS('февраль 2024'!$G$6:$G$1413,'февраль 2024'!$D$6:$D$1413,$B213,'февраль 2024'!$J$6:$J$1413,H$1)</f>
        <v>0</v>
      </c>
      <c r="I213" s="80">
        <f>SUMIFS('февраль 2024'!$G$6:$G$1413,'февраль 2024'!$D$6:$D$1413,$B213,'февраль 2024'!$J$6:$J$1413,I$1)</f>
        <v>0</v>
      </c>
      <c r="J213" s="80">
        <f>SUMIFS('февраль 2024'!$G$6:$G$1413,'февраль 2024'!$D$6:$D$1413,$B213,'февраль 2024'!$J$6:$J$1413,J$1)</f>
        <v>0</v>
      </c>
      <c r="K213" s="80">
        <f>SUMIFS('февраль 2024'!$G$6:$G$1413,'февраль 2024'!$D$6:$D$1413,$B213,'февраль 2024'!$J$6:$J$1413,K$1)</f>
        <v>0</v>
      </c>
      <c r="L213" s="80">
        <f>SUMIFS('февраль 2024'!$G$6:$G$1413,'февраль 2024'!$D$6:$D$1413,$B213,'февраль 2024'!$J$6:$J$1413,L$1)</f>
        <v>0</v>
      </c>
      <c r="M213" s="80">
        <f>SUMIFS('февраль 2024'!$G$6:$G$1413,'февраль 2024'!$D$6:$D$1413,$B213,'февраль 2024'!$J$6:$J$1413,M$1)</f>
        <v>0</v>
      </c>
      <c r="N213" s="80">
        <f>SUMIFS('февраль 2024'!$G$6:$G$1413,'февраль 2024'!$D$6:$D$1413,$B213,'февраль 2024'!$J$6:$J$1413,N$1)</f>
        <v>0</v>
      </c>
      <c r="O213" s="80">
        <f>SUMIFS('февраль 2024'!$G$6:$G$1413,'февраль 2024'!$D$6:$D$1413,$B213,'февраль 2024'!$J$6:$J$1413,O$1)</f>
        <v>0</v>
      </c>
      <c r="P213" s="80">
        <f>SUMIFS('февраль 2024'!$G$6:$G$1413,'февраль 2024'!$D$6:$D$1413,$B213,'февраль 2024'!$J$6:$J$1413,P$1)</f>
        <v>0</v>
      </c>
      <c r="Q213" s="80">
        <f>SUMIFS('февраль 2024'!$G$6:$G$1413,'февраль 2024'!$D$6:$D$1413,$B213,'февраль 2024'!$J$6:$J$1413,Q$1)</f>
        <v>0</v>
      </c>
      <c r="R213" s="80">
        <f>SUMIFS('февраль 2024'!$G$6:$G$1413,'февраль 2024'!$D$6:$D$1413,$B213,'февраль 2024'!$J$6:$J$1413,R$1)</f>
        <v>0</v>
      </c>
      <c r="S213" s="80">
        <f>SUMIFS('февраль 2024'!$G$6:$G$1413,'февраль 2024'!$D$6:$D$1413,$B213,'февраль 2024'!$J$6:$J$1413,S$1)</f>
        <v>0</v>
      </c>
      <c r="T213" s="80">
        <f>SUMIFS('февраль 2024'!$G$6:$G$1413,'февраль 2024'!$D$6:$D$1413,$B213,'февраль 2024'!$J$6:$J$1413,T$1)</f>
        <v>0</v>
      </c>
      <c r="U213" s="80">
        <f>SUMIFS('февраль 2024'!$G$6:$G$1413,'февраль 2024'!$D$6:$D$1413,$B213,'февраль 2024'!$J$6:$J$1413,U$1)</f>
        <v>0</v>
      </c>
      <c r="V213" s="80">
        <f>SUMIFS('февраль 2024'!$G$6:$G$1413,'февраль 2024'!$D$6:$D$1413,$B213,'февраль 2024'!$J$6:$J$1413,V$1)</f>
        <v>0</v>
      </c>
      <c r="W213" s="80">
        <f>SUMIFS('февраль 2024'!$G$6:$G$1413,'февраль 2024'!$D$6:$D$1413,$B213,'февраль 2024'!$J$6:$J$1413,W$1)</f>
        <v>0</v>
      </c>
      <c r="X213" s="80">
        <f>SUMIFS('февраль 2024'!$G$6:$G$1413,'февраль 2024'!$D$6:$D$1413,$B213,'февраль 2024'!$J$6:$J$1413,X$1)</f>
        <v>0</v>
      </c>
      <c r="Y213" s="80">
        <f>SUMIFS('февраль 2024'!$G$6:$G$1413,'февраль 2024'!$D$6:$D$1413,$B213,'февраль 2024'!$J$6:$J$1413,Y$1)</f>
        <v>0</v>
      </c>
      <c r="Z213" s="80">
        <f>SUMIFS('февраль 2024'!$G$6:$G$1413,'февраль 2024'!$D$6:$D$1413,$B213,'февраль 2024'!$J$6:$J$1413,Z$1)</f>
        <v>0</v>
      </c>
      <c r="AA213" s="80">
        <f>SUMIFS('февраль 2024'!$G$6:$G$1413,'февраль 2024'!$D$6:$D$1413,$B213,'февраль 2024'!$J$6:$J$1413,AA$1)</f>
        <v>0</v>
      </c>
      <c r="AB213" s="80">
        <f>SUMIFS('февраль 2024'!$G$6:$G$1413,'февраль 2024'!$D$6:$D$1413,$B213,'февраль 2024'!$J$6:$J$1413,AB$1)</f>
        <v>0</v>
      </c>
      <c r="AC213" s="80">
        <f>SUMIFS('февраль 2024'!$G$6:$G$1413,'февраль 2024'!$D$6:$D$1413,$B213,'февраль 2024'!$J$6:$J$1413,AC$1)</f>
        <v>0</v>
      </c>
      <c r="AD213" s="80">
        <f>SUMIFS('февраль 2024'!$G$6:$G$1413,'февраль 2024'!$D$6:$D$1413,$B213,'февраль 2024'!$J$6:$J$1413,AD$1)</f>
        <v>0</v>
      </c>
      <c r="AE213" s="80">
        <f>SUMIFS('февраль 2024'!$G$6:$G$1413,'февраль 2024'!$D$6:$D$1413,$B213,'февраль 2024'!$J$6:$J$1413,AE$1)</f>
        <v>0</v>
      </c>
      <c r="AF213" s="80">
        <f>SUMIFS('февраль 2024'!$G$6:$G$1413,'февраль 2024'!$D$6:$D$1413,$B213,'февраль 2024'!$J$6:$J$1413,AF$1)</f>
        <v>0</v>
      </c>
      <c r="AG213" s="80">
        <f>SUMIFS('февраль 2024'!$G$6:$G$1413,'февраль 2024'!$D$6:$D$1413,$B213,'февраль 2024'!$J$6:$J$1413,AG$1)</f>
        <v>0</v>
      </c>
      <c r="AH213" s="80">
        <f>SUMIFS('февраль 2024'!$G$6:$G$1413,'февраль 2024'!$D$6:$D$1413,$B213,'февраль 2024'!$J$6:$J$1413,AH$1)</f>
        <v>0</v>
      </c>
      <c r="AI213" s="87"/>
    </row>
    <row r="214" spans="2:35" ht="15" hidden="1" customHeight="1" x14ac:dyDescent="0.25">
      <c r="B214" s="89"/>
      <c r="C214" s="88"/>
      <c r="D214" s="80">
        <f>SUMIFS('февраль 2024'!$G$6:$G$1413,'февраль 2024'!$D$6:$D$1413,$B214,'февраль 2024'!$J$6:$J$1413,D$1)</f>
        <v>0</v>
      </c>
      <c r="E214" s="80">
        <f>SUMIFS('февраль 2024'!$G$6:$G$1413,'февраль 2024'!$D$6:$D$1413,$B214,'февраль 2024'!$J$6:$J$1413,E$1)</f>
        <v>0</v>
      </c>
      <c r="F214" s="80">
        <f>SUMIFS('февраль 2024'!$G$6:$G$1413,'февраль 2024'!$D$6:$D$1413,$B214,'февраль 2024'!$J$6:$J$1413,F$1)</f>
        <v>0</v>
      </c>
      <c r="G214" s="80">
        <f>SUMIFS('февраль 2024'!$G$6:$G$1413,'февраль 2024'!$D$6:$D$1413,$B214,'февраль 2024'!$J$6:$J$1413,G$1)</f>
        <v>0</v>
      </c>
      <c r="H214" s="80">
        <f>SUMIFS('февраль 2024'!$G$6:$G$1413,'февраль 2024'!$D$6:$D$1413,$B214,'февраль 2024'!$J$6:$J$1413,H$1)</f>
        <v>0</v>
      </c>
      <c r="I214" s="80">
        <f>SUMIFS('февраль 2024'!$G$6:$G$1413,'февраль 2024'!$D$6:$D$1413,$B214,'февраль 2024'!$J$6:$J$1413,I$1)</f>
        <v>0</v>
      </c>
      <c r="J214" s="80">
        <f>SUMIFS('февраль 2024'!$G$6:$G$1413,'февраль 2024'!$D$6:$D$1413,$B214,'февраль 2024'!$J$6:$J$1413,J$1)</f>
        <v>0</v>
      </c>
      <c r="K214" s="80">
        <f>SUMIFS('февраль 2024'!$G$6:$G$1413,'февраль 2024'!$D$6:$D$1413,$B214,'февраль 2024'!$J$6:$J$1413,K$1)</f>
        <v>0</v>
      </c>
      <c r="L214" s="80">
        <f>SUMIFS('февраль 2024'!$G$6:$G$1413,'февраль 2024'!$D$6:$D$1413,$B214,'февраль 2024'!$J$6:$J$1413,L$1)</f>
        <v>0</v>
      </c>
      <c r="M214" s="80">
        <f>SUMIFS('февраль 2024'!$G$6:$G$1413,'февраль 2024'!$D$6:$D$1413,$B214,'февраль 2024'!$J$6:$J$1413,M$1)</f>
        <v>0</v>
      </c>
      <c r="N214" s="80">
        <f>SUMIFS('февраль 2024'!$G$6:$G$1413,'февраль 2024'!$D$6:$D$1413,$B214,'февраль 2024'!$J$6:$J$1413,N$1)</f>
        <v>0</v>
      </c>
      <c r="O214" s="80">
        <f>SUMIFS('февраль 2024'!$G$6:$G$1413,'февраль 2024'!$D$6:$D$1413,$B214,'февраль 2024'!$J$6:$J$1413,O$1)</f>
        <v>0</v>
      </c>
      <c r="P214" s="80">
        <f>SUMIFS('февраль 2024'!$G$6:$G$1413,'февраль 2024'!$D$6:$D$1413,$B214,'февраль 2024'!$J$6:$J$1413,P$1)</f>
        <v>0</v>
      </c>
      <c r="Q214" s="80">
        <f>SUMIFS('февраль 2024'!$G$6:$G$1413,'февраль 2024'!$D$6:$D$1413,$B214,'февраль 2024'!$J$6:$J$1413,Q$1)</f>
        <v>0</v>
      </c>
      <c r="R214" s="80">
        <f>SUMIFS('февраль 2024'!$G$6:$G$1413,'февраль 2024'!$D$6:$D$1413,$B214,'февраль 2024'!$J$6:$J$1413,R$1)</f>
        <v>0</v>
      </c>
      <c r="S214" s="80">
        <f>SUMIFS('февраль 2024'!$G$6:$G$1413,'февраль 2024'!$D$6:$D$1413,$B214,'февраль 2024'!$J$6:$J$1413,S$1)</f>
        <v>0</v>
      </c>
      <c r="T214" s="80">
        <f>SUMIFS('февраль 2024'!$G$6:$G$1413,'февраль 2024'!$D$6:$D$1413,$B214,'февраль 2024'!$J$6:$J$1413,T$1)</f>
        <v>0</v>
      </c>
      <c r="U214" s="80">
        <f>SUMIFS('февраль 2024'!$G$6:$G$1413,'февраль 2024'!$D$6:$D$1413,$B214,'февраль 2024'!$J$6:$J$1413,U$1)</f>
        <v>0</v>
      </c>
      <c r="V214" s="80">
        <f>SUMIFS('февраль 2024'!$G$6:$G$1413,'февраль 2024'!$D$6:$D$1413,$B214,'февраль 2024'!$J$6:$J$1413,V$1)</f>
        <v>0</v>
      </c>
      <c r="W214" s="80">
        <f>SUMIFS('февраль 2024'!$G$6:$G$1413,'февраль 2024'!$D$6:$D$1413,$B214,'февраль 2024'!$J$6:$J$1413,W$1)</f>
        <v>0</v>
      </c>
      <c r="X214" s="80">
        <f>SUMIFS('февраль 2024'!$G$6:$G$1413,'февраль 2024'!$D$6:$D$1413,$B214,'февраль 2024'!$J$6:$J$1413,X$1)</f>
        <v>0</v>
      </c>
      <c r="Y214" s="80">
        <f>SUMIFS('февраль 2024'!$G$6:$G$1413,'февраль 2024'!$D$6:$D$1413,$B214,'февраль 2024'!$J$6:$J$1413,Y$1)</f>
        <v>0</v>
      </c>
      <c r="Z214" s="80">
        <f>SUMIFS('февраль 2024'!$G$6:$G$1413,'февраль 2024'!$D$6:$D$1413,$B214,'февраль 2024'!$J$6:$J$1413,Z$1)</f>
        <v>0</v>
      </c>
      <c r="AA214" s="80">
        <f>SUMIFS('февраль 2024'!$G$6:$G$1413,'февраль 2024'!$D$6:$D$1413,$B214,'февраль 2024'!$J$6:$J$1413,AA$1)</f>
        <v>0</v>
      </c>
      <c r="AB214" s="80">
        <f>SUMIFS('февраль 2024'!$G$6:$G$1413,'февраль 2024'!$D$6:$D$1413,$B214,'февраль 2024'!$J$6:$J$1413,AB$1)</f>
        <v>0</v>
      </c>
      <c r="AC214" s="80">
        <f>SUMIFS('февраль 2024'!$G$6:$G$1413,'февраль 2024'!$D$6:$D$1413,$B214,'февраль 2024'!$J$6:$J$1413,AC$1)</f>
        <v>0</v>
      </c>
      <c r="AD214" s="80">
        <f>SUMIFS('февраль 2024'!$G$6:$G$1413,'февраль 2024'!$D$6:$D$1413,$B214,'февраль 2024'!$J$6:$J$1413,AD$1)</f>
        <v>0</v>
      </c>
      <c r="AE214" s="80">
        <f>SUMIFS('февраль 2024'!$G$6:$G$1413,'февраль 2024'!$D$6:$D$1413,$B214,'февраль 2024'!$J$6:$J$1413,AE$1)</f>
        <v>0</v>
      </c>
      <c r="AF214" s="80">
        <f>SUMIFS('февраль 2024'!$G$6:$G$1413,'февраль 2024'!$D$6:$D$1413,$B214,'февраль 2024'!$J$6:$J$1413,AF$1)</f>
        <v>0</v>
      </c>
      <c r="AG214" s="80">
        <f>SUMIFS('февраль 2024'!$G$6:$G$1413,'февраль 2024'!$D$6:$D$1413,$B214,'февраль 2024'!$J$6:$J$1413,AG$1)</f>
        <v>0</v>
      </c>
      <c r="AH214" s="80">
        <f>SUMIFS('февраль 2024'!$G$6:$G$1413,'февраль 2024'!$D$6:$D$1413,$B214,'февраль 2024'!$J$6:$J$1413,AH$1)</f>
        <v>0</v>
      </c>
      <c r="AI214" s="87"/>
    </row>
    <row r="215" spans="2:35" ht="15" hidden="1" customHeight="1" x14ac:dyDescent="0.25">
      <c r="B215" s="89"/>
      <c r="C215" s="88"/>
      <c r="D215" s="80">
        <f>SUMIFS('февраль 2024'!$G$6:$G$1413,'февраль 2024'!$D$6:$D$1413,$B215,'февраль 2024'!$J$6:$J$1413,D$1)</f>
        <v>0</v>
      </c>
      <c r="E215" s="80">
        <f>SUMIFS('февраль 2024'!$G$6:$G$1413,'февраль 2024'!$D$6:$D$1413,$B215,'февраль 2024'!$J$6:$J$1413,E$1)</f>
        <v>0</v>
      </c>
      <c r="F215" s="80">
        <f>SUMIFS('февраль 2024'!$G$6:$G$1413,'февраль 2024'!$D$6:$D$1413,$B215,'февраль 2024'!$J$6:$J$1413,F$1)</f>
        <v>0</v>
      </c>
      <c r="G215" s="80">
        <f>SUMIFS('февраль 2024'!$G$6:$G$1413,'февраль 2024'!$D$6:$D$1413,$B215,'февраль 2024'!$J$6:$J$1413,G$1)</f>
        <v>0</v>
      </c>
      <c r="H215" s="80">
        <f>SUMIFS('февраль 2024'!$G$6:$G$1413,'февраль 2024'!$D$6:$D$1413,$B215,'февраль 2024'!$J$6:$J$1413,H$1)</f>
        <v>0</v>
      </c>
      <c r="I215" s="80">
        <f>SUMIFS('февраль 2024'!$G$6:$G$1413,'февраль 2024'!$D$6:$D$1413,$B215,'февраль 2024'!$J$6:$J$1413,I$1)</f>
        <v>0</v>
      </c>
      <c r="J215" s="80">
        <f>SUMIFS('февраль 2024'!$G$6:$G$1413,'февраль 2024'!$D$6:$D$1413,$B215,'февраль 2024'!$J$6:$J$1413,J$1)</f>
        <v>0</v>
      </c>
      <c r="K215" s="80">
        <f>SUMIFS('февраль 2024'!$G$6:$G$1413,'февраль 2024'!$D$6:$D$1413,$B215,'февраль 2024'!$J$6:$J$1413,K$1)</f>
        <v>0</v>
      </c>
      <c r="L215" s="80">
        <f>SUMIFS('февраль 2024'!$G$6:$G$1413,'февраль 2024'!$D$6:$D$1413,$B215,'февраль 2024'!$J$6:$J$1413,L$1)</f>
        <v>0</v>
      </c>
      <c r="M215" s="80">
        <f>SUMIFS('февраль 2024'!$G$6:$G$1413,'февраль 2024'!$D$6:$D$1413,$B215,'февраль 2024'!$J$6:$J$1413,M$1)</f>
        <v>0</v>
      </c>
      <c r="N215" s="80">
        <f>SUMIFS('февраль 2024'!$G$6:$G$1413,'февраль 2024'!$D$6:$D$1413,$B215,'февраль 2024'!$J$6:$J$1413,N$1)</f>
        <v>0</v>
      </c>
      <c r="O215" s="80">
        <f>SUMIFS('февраль 2024'!$G$6:$G$1413,'февраль 2024'!$D$6:$D$1413,$B215,'февраль 2024'!$J$6:$J$1413,O$1)</f>
        <v>0</v>
      </c>
      <c r="P215" s="80">
        <f>SUMIFS('февраль 2024'!$G$6:$G$1413,'февраль 2024'!$D$6:$D$1413,$B215,'февраль 2024'!$J$6:$J$1413,P$1)</f>
        <v>0</v>
      </c>
      <c r="Q215" s="80">
        <f>SUMIFS('февраль 2024'!$G$6:$G$1413,'февраль 2024'!$D$6:$D$1413,$B215,'февраль 2024'!$J$6:$J$1413,Q$1)</f>
        <v>0</v>
      </c>
      <c r="R215" s="80">
        <f>SUMIFS('февраль 2024'!$G$6:$G$1413,'февраль 2024'!$D$6:$D$1413,$B215,'февраль 2024'!$J$6:$J$1413,R$1)</f>
        <v>0</v>
      </c>
      <c r="S215" s="80">
        <f>SUMIFS('февраль 2024'!$G$6:$G$1413,'февраль 2024'!$D$6:$D$1413,$B215,'февраль 2024'!$J$6:$J$1413,S$1)</f>
        <v>0</v>
      </c>
      <c r="T215" s="80">
        <f>SUMIFS('февраль 2024'!$G$6:$G$1413,'февраль 2024'!$D$6:$D$1413,$B215,'февраль 2024'!$J$6:$J$1413,T$1)</f>
        <v>0</v>
      </c>
      <c r="U215" s="80">
        <f>SUMIFS('февраль 2024'!$G$6:$G$1413,'февраль 2024'!$D$6:$D$1413,$B215,'февраль 2024'!$J$6:$J$1413,U$1)</f>
        <v>0</v>
      </c>
      <c r="V215" s="80">
        <f>SUMIFS('февраль 2024'!$G$6:$G$1413,'февраль 2024'!$D$6:$D$1413,$B215,'февраль 2024'!$J$6:$J$1413,V$1)</f>
        <v>0</v>
      </c>
      <c r="W215" s="80">
        <f>SUMIFS('февраль 2024'!$G$6:$G$1413,'февраль 2024'!$D$6:$D$1413,$B215,'февраль 2024'!$J$6:$J$1413,W$1)</f>
        <v>0</v>
      </c>
      <c r="X215" s="80">
        <f>SUMIFS('февраль 2024'!$G$6:$G$1413,'февраль 2024'!$D$6:$D$1413,$B215,'февраль 2024'!$J$6:$J$1413,X$1)</f>
        <v>0</v>
      </c>
      <c r="Y215" s="80">
        <f>SUMIFS('февраль 2024'!$G$6:$G$1413,'февраль 2024'!$D$6:$D$1413,$B215,'февраль 2024'!$J$6:$J$1413,Y$1)</f>
        <v>0</v>
      </c>
      <c r="Z215" s="80">
        <f>SUMIFS('февраль 2024'!$G$6:$G$1413,'февраль 2024'!$D$6:$D$1413,$B215,'февраль 2024'!$J$6:$J$1413,Z$1)</f>
        <v>0</v>
      </c>
      <c r="AA215" s="80">
        <f>SUMIFS('февраль 2024'!$G$6:$G$1413,'февраль 2024'!$D$6:$D$1413,$B215,'февраль 2024'!$J$6:$J$1413,AA$1)</f>
        <v>0</v>
      </c>
      <c r="AB215" s="80">
        <f>SUMIFS('февраль 2024'!$G$6:$G$1413,'февраль 2024'!$D$6:$D$1413,$B215,'февраль 2024'!$J$6:$J$1413,AB$1)</f>
        <v>0</v>
      </c>
      <c r="AC215" s="80">
        <f>SUMIFS('февраль 2024'!$G$6:$G$1413,'февраль 2024'!$D$6:$D$1413,$B215,'февраль 2024'!$J$6:$J$1413,AC$1)</f>
        <v>0</v>
      </c>
      <c r="AD215" s="80">
        <f>SUMIFS('февраль 2024'!$G$6:$G$1413,'февраль 2024'!$D$6:$D$1413,$B215,'февраль 2024'!$J$6:$J$1413,AD$1)</f>
        <v>0</v>
      </c>
      <c r="AE215" s="80">
        <f>SUMIFS('февраль 2024'!$G$6:$G$1413,'февраль 2024'!$D$6:$D$1413,$B215,'февраль 2024'!$J$6:$J$1413,AE$1)</f>
        <v>0</v>
      </c>
      <c r="AF215" s="80">
        <f>SUMIFS('февраль 2024'!$G$6:$G$1413,'февраль 2024'!$D$6:$D$1413,$B215,'февраль 2024'!$J$6:$J$1413,AF$1)</f>
        <v>0</v>
      </c>
      <c r="AG215" s="80">
        <f>SUMIFS('февраль 2024'!$G$6:$G$1413,'февраль 2024'!$D$6:$D$1413,$B215,'февраль 2024'!$J$6:$J$1413,AG$1)</f>
        <v>0</v>
      </c>
      <c r="AH215" s="80">
        <f>SUMIFS('февраль 2024'!$G$6:$G$1413,'февраль 2024'!$D$6:$D$1413,$B215,'февраль 2024'!$J$6:$J$1413,AH$1)</f>
        <v>0</v>
      </c>
      <c r="AI215" s="87"/>
    </row>
    <row r="216" spans="2:35" ht="15" hidden="1" customHeight="1" x14ac:dyDescent="0.25">
      <c r="B216" s="89"/>
      <c r="C216" s="88"/>
      <c r="D216" s="80">
        <f>SUMIFS('февраль 2024'!$G$6:$G$1413,'февраль 2024'!$D$6:$D$1413,$B216,'февраль 2024'!$J$6:$J$1413,D$1)</f>
        <v>0</v>
      </c>
      <c r="E216" s="80">
        <f>SUMIFS('февраль 2024'!$G$6:$G$1413,'февраль 2024'!$D$6:$D$1413,$B216,'февраль 2024'!$J$6:$J$1413,E$1)</f>
        <v>0</v>
      </c>
      <c r="F216" s="80">
        <f>SUMIFS('февраль 2024'!$G$6:$G$1413,'февраль 2024'!$D$6:$D$1413,$B216,'февраль 2024'!$J$6:$J$1413,F$1)</f>
        <v>0</v>
      </c>
      <c r="G216" s="80">
        <f>SUMIFS('февраль 2024'!$G$6:$G$1413,'февраль 2024'!$D$6:$D$1413,$B216,'февраль 2024'!$J$6:$J$1413,G$1)</f>
        <v>0</v>
      </c>
      <c r="H216" s="80">
        <f>SUMIFS('февраль 2024'!$G$6:$G$1413,'февраль 2024'!$D$6:$D$1413,$B216,'февраль 2024'!$J$6:$J$1413,H$1)</f>
        <v>0</v>
      </c>
      <c r="I216" s="80">
        <f>SUMIFS('февраль 2024'!$G$6:$G$1413,'февраль 2024'!$D$6:$D$1413,$B216,'февраль 2024'!$J$6:$J$1413,I$1)</f>
        <v>0</v>
      </c>
      <c r="J216" s="80">
        <f>SUMIFS('февраль 2024'!$G$6:$G$1413,'февраль 2024'!$D$6:$D$1413,$B216,'февраль 2024'!$J$6:$J$1413,J$1)</f>
        <v>0</v>
      </c>
      <c r="K216" s="80">
        <f>SUMIFS('февраль 2024'!$G$6:$G$1413,'февраль 2024'!$D$6:$D$1413,$B216,'февраль 2024'!$J$6:$J$1413,K$1)</f>
        <v>0</v>
      </c>
      <c r="L216" s="80">
        <f>SUMIFS('февраль 2024'!$G$6:$G$1413,'февраль 2024'!$D$6:$D$1413,$B216,'февраль 2024'!$J$6:$J$1413,L$1)</f>
        <v>0</v>
      </c>
      <c r="M216" s="80">
        <f>SUMIFS('февраль 2024'!$G$6:$G$1413,'февраль 2024'!$D$6:$D$1413,$B216,'февраль 2024'!$J$6:$J$1413,M$1)</f>
        <v>0</v>
      </c>
      <c r="N216" s="80">
        <f>SUMIFS('февраль 2024'!$G$6:$G$1413,'февраль 2024'!$D$6:$D$1413,$B216,'февраль 2024'!$J$6:$J$1413,N$1)</f>
        <v>0</v>
      </c>
      <c r="O216" s="80">
        <f>SUMIFS('февраль 2024'!$G$6:$G$1413,'февраль 2024'!$D$6:$D$1413,$B216,'февраль 2024'!$J$6:$J$1413,O$1)</f>
        <v>0</v>
      </c>
      <c r="P216" s="80">
        <f>SUMIFS('февраль 2024'!$G$6:$G$1413,'февраль 2024'!$D$6:$D$1413,$B216,'февраль 2024'!$J$6:$J$1413,P$1)</f>
        <v>0</v>
      </c>
      <c r="Q216" s="80">
        <f>SUMIFS('февраль 2024'!$G$6:$G$1413,'февраль 2024'!$D$6:$D$1413,$B216,'февраль 2024'!$J$6:$J$1413,Q$1)</f>
        <v>0</v>
      </c>
      <c r="R216" s="80">
        <f>SUMIFS('февраль 2024'!$G$6:$G$1413,'февраль 2024'!$D$6:$D$1413,$B216,'февраль 2024'!$J$6:$J$1413,R$1)</f>
        <v>0</v>
      </c>
      <c r="S216" s="80">
        <f>SUMIFS('февраль 2024'!$G$6:$G$1413,'февраль 2024'!$D$6:$D$1413,$B216,'февраль 2024'!$J$6:$J$1413,S$1)</f>
        <v>0</v>
      </c>
      <c r="T216" s="80">
        <f>SUMIFS('февраль 2024'!$G$6:$G$1413,'февраль 2024'!$D$6:$D$1413,$B216,'февраль 2024'!$J$6:$J$1413,T$1)</f>
        <v>0</v>
      </c>
      <c r="U216" s="80">
        <f>SUMIFS('февраль 2024'!$G$6:$G$1413,'февраль 2024'!$D$6:$D$1413,$B216,'февраль 2024'!$J$6:$J$1413,U$1)</f>
        <v>0</v>
      </c>
      <c r="V216" s="80">
        <f>SUMIFS('февраль 2024'!$G$6:$G$1413,'февраль 2024'!$D$6:$D$1413,$B216,'февраль 2024'!$J$6:$J$1413,V$1)</f>
        <v>0</v>
      </c>
      <c r="W216" s="80">
        <f>SUMIFS('февраль 2024'!$G$6:$G$1413,'февраль 2024'!$D$6:$D$1413,$B216,'февраль 2024'!$J$6:$J$1413,W$1)</f>
        <v>0</v>
      </c>
      <c r="X216" s="80">
        <f>SUMIFS('февраль 2024'!$G$6:$G$1413,'февраль 2024'!$D$6:$D$1413,$B216,'февраль 2024'!$J$6:$J$1413,X$1)</f>
        <v>0</v>
      </c>
      <c r="Y216" s="80">
        <f>SUMIFS('февраль 2024'!$G$6:$G$1413,'февраль 2024'!$D$6:$D$1413,$B216,'февраль 2024'!$J$6:$J$1413,Y$1)</f>
        <v>0</v>
      </c>
      <c r="Z216" s="80">
        <f>SUMIFS('февраль 2024'!$G$6:$G$1413,'февраль 2024'!$D$6:$D$1413,$B216,'февраль 2024'!$J$6:$J$1413,Z$1)</f>
        <v>0</v>
      </c>
      <c r="AA216" s="80">
        <f>SUMIFS('февраль 2024'!$G$6:$G$1413,'февраль 2024'!$D$6:$D$1413,$B216,'февраль 2024'!$J$6:$J$1413,AA$1)</f>
        <v>0</v>
      </c>
      <c r="AB216" s="80">
        <f>SUMIFS('февраль 2024'!$G$6:$G$1413,'февраль 2024'!$D$6:$D$1413,$B216,'февраль 2024'!$J$6:$J$1413,AB$1)</f>
        <v>0</v>
      </c>
      <c r="AC216" s="80">
        <f>SUMIFS('февраль 2024'!$G$6:$G$1413,'февраль 2024'!$D$6:$D$1413,$B216,'февраль 2024'!$J$6:$J$1413,AC$1)</f>
        <v>0</v>
      </c>
      <c r="AD216" s="80">
        <f>SUMIFS('февраль 2024'!$G$6:$G$1413,'февраль 2024'!$D$6:$D$1413,$B216,'февраль 2024'!$J$6:$J$1413,AD$1)</f>
        <v>0</v>
      </c>
      <c r="AE216" s="80">
        <f>SUMIFS('февраль 2024'!$G$6:$G$1413,'февраль 2024'!$D$6:$D$1413,$B216,'февраль 2024'!$J$6:$J$1413,AE$1)</f>
        <v>0</v>
      </c>
      <c r="AF216" s="80">
        <f>SUMIFS('февраль 2024'!$G$6:$G$1413,'февраль 2024'!$D$6:$D$1413,$B216,'февраль 2024'!$J$6:$J$1413,AF$1)</f>
        <v>0</v>
      </c>
      <c r="AG216" s="80">
        <f>SUMIFS('февраль 2024'!$G$6:$G$1413,'февраль 2024'!$D$6:$D$1413,$B216,'февраль 2024'!$J$6:$J$1413,AG$1)</f>
        <v>0</v>
      </c>
      <c r="AH216" s="80">
        <f>SUMIFS('февраль 2024'!$G$6:$G$1413,'февраль 2024'!$D$6:$D$1413,$B216,'февраль 2024'!$J$6:$J$1413,AH$1)</f>
        <v>0</v>
      </c>
      <c r="AI216" s="87"/>
    </row>
    <row r="217" spans="2:35" ht="15" hidden="1" customHeight="1" x14ac:dyDescent="0.25">
      <c r="B217" s="89"/>
      <c r="C217" s="88"/>
      <c r="D217" s="80">
        <f>SUMIFS('февраль 2024'!$G$6:$G$1413,'февраль 2024'!$D$6:$D$1413,$B217,'февраль 2024'!$J$6:$J$1413,D$1)</f>
        <v>0</v>
      </c>
      <c r="E217" s="80">
        <f>SUMIFS('февраль 2024'!$G$6:$G$1413,'февраль 2024'!$D$6:$D$1413,$B217,'февраль 2024'!$J$6:$J$1413,E$1)</f>
        <v>0</v>
      </c>
      <c r="F217" s="80">
        <f>SUMIFS('февраль 2024'!$G$6:$G$1413,'февраль 2024'!$D$6:$D$1413,$B217,'февраль 2024'!$J$6:$J$1413,F$1)</f>
        <v>0</v>
      </c>
      <c r="G217" s="80">
        <f>SUMIFS('февраль 2024'!$G$6:$G$1413,'февраль 2024'!$D$6:$D$1413,$B217,'февраль 2024'!$J$6:$J$1413,G$1)</f>
        <v>0</v>
      </c>
      <c r="H217" s="80">
        <f>SUMIFS('февраль 2024'!$G$6:$G$1413,'февраль 2024'!$D$6:$D$1413,$B217,'февраль 2024'!$J$6:$J$1413,H$1)</f>
        <v>0</v>
      </c>
      <c r="I217" s="80">
        <f>SUMIFS('февраль 2024'!$G$6:$G$1413,'февраль 2024'!$D$6:$D$1413,$B217,'февраль 2024'!$J$6:$J$1413,I$1)</f>
        <v>0</v>
      </c>
      <c r="J217" s="80">
        <f>SUMIFS('февраль 2024'!$G$6:$G$1413,'февраль 2024'!$D$6:$D$1413,$B217,'февраль 2024'!$J$6:$J$1413,J$1)</f>
        <v>0</v>
      </c>
      <c r="K217" s="80">
        <f>SUMIFS('февраль 2024'!$G$6:$G$1413,'февраль 2024'!$D$6:$D$1413,$B217,'февраль 2024'!$J$6:$J$1413,K$1)</f>
        <v>0</v>
      </c>
      <c r="L217" s="80">
        <f>SUMIFS('февраль 2024'!$G$6:$G$1413,'февраль 2024'!$D$6:$D$1413,$B217,'февраль 2024'!$J$6:$J$1413,L$1)</f>
        <v>0</v>
      </c>
      <c r="M217" s="80">
        <f>SUMIFS('февраль 2024'!$G$6:$G$1413,'февраль 2024'!$D$6:$D$1413,$B217,'февраль 2024'!$J$6:$J$1413,M$1)</f>
        <v>0</v>
      </c>
      <c r="N217" s="80">
        <f>SUMIFS('февраль 2024'!$G$6:$G$1413,'февраль 2024'!$D$6:$D$1413,$B217,'февраль 2024'!$J$6:$J$1413,N$1)</f>
        <v>0</v>
      </c>
      <c r="O217" s="80">
        <f>SUMIFS('февраль 2024'!$G$6:$G$1413,'февраль 2024'!$D$6:$D$1413,$B217,'февраль 2024'!$J$6:$J$1413,O$1)</f>
        <v>0</v>
      </c>
      <c r="P217" s="80">
        <f>SUMIFS('февраль 2024'!$G$6:$G$1413,'февраль 2024'!$D$6:$D$1413,$B217,'февраль 2024'!$J$6:$J$1413,P$1)</f>
        <v>0</v>
      </c>
      <c r="Q217" s="80">
        <f>SUMIFS('февраль 2024'!$G$6:$G$1413,'февраль 2024'!$D$6:$D$1413,$B217,'февраль 2024'!$J$6:$J$1413,Q$1)</f>
        <v>0</v>
      </c>
      <c r="R217" s="80">
        <f>SUMIFS('февраль 2024'!$G$6:$G$1413,'февраль 2024'!$D$6:$D$1413,$B217,'февраль 2024'!$J$6:$J$1413,R$1)</f>
        <v>0</v>
      </c>
      <c r="S217" s="80">
        <f>SUMIFS('февраль 2024'!$G$6:$G$1413,'февраль 2024'!$D$6:$D$1413,$B217,'февраль 2024'!$J$6:$J$1413,S$1)</f>
        <v>0</v>
      </c>
      <c r="T217" s="80">
        <f>SUMIFS('февраль 2024'!$G$6:$G$1413,'февраль 2024'!$D$6:$D$1413,$B217,'февраль 2024'!$J$6:$J$1413,T$1)</f>
        <v>0</v>
      </c>
      <c r="U217" s="80">
        <f>SUMIFS('февраль 2024'!$G$6:$G$1413,'февраль 2024'!$D$6:$D$1413,$B217,'февраль 2024'!$J$6:$J$1413,U$1)</f>
        <v>0</v>
      </c>
      <c r="V217" s="80">
        <f>SUMIFS('февраль 2024'!$G$6:$G$1413,'февраль 2024'!$D$6:$D$1413,$B217,'февраль 2024'!$J$6:$J$1413,V$1)</f>
        <v>0</v>
      </c>
      <c r="W217" s="80">
        <f>SUMIFS('февраль 2024'!$G$6:$G$1413,'февраль 2024'!$D$6:$D$1413,$B217,'февраль 2024'!$J$6:$J$1413,W$1)</f>
        <v>0</v>
      </c>
      <c r="X217" s="80">
        <f>SUMIFS('февраль 2024'!$G$6:$G$1413,'февраль 2024'!$D$6:$D$1413,$B217,'февраль 2024'!$J$6:$J$1413,X$1)</f>
        <v>0</v>
      </c>
      <c r="Y217" s="80">
        <f>SUMIFS('февраль 2024'!$G$6:$G$1413,'февраль 2024'!$D$6:$D$1413,$B217,'февраль 2024'!$J$6:$J$1413,Y$1)</f>
        <v>0</v>
      </c>
      <c r="Z217" s="80">
        <f>SUMIFS('февраль 2024'!$G$6:$G$1413,'февраль 2024'!$D$6:$D$1413,$B217,'февраль 2024'!$J$6:$J$1413,Z$1)</f>
        <v>0</v>
      </c>
      <c r="AA217" s="80">
        <f>SUMIFS('февраль 2024'!$G$6:$G$1413,'февраль 2024'!$D$6:$D$1413,$B217,'февраль 2024'!$J$6:$J$1413,AA$1)</f>
        <v>0</v>
      </c>
      <c r="AB217" s="80">
        <f>SUMIFS('февраль 2024'!$G$6:$G$1413,'февраль 2024'!$D$6:$D$1413,$B217,'февраль 2024'!$J$6:$J$1413,AB$1)</f>
        <v>0</v>
      </c>
      <c r="AC217" s="80">
        <f>SUMIFS('февраль 2024'!$G$6:$G$1413,'февраль 2024'!$D$6:$D$1413,$B217,'февраль 2024'!$J$6:$J$1413,AC$1)</f>
        <v>0</v>
      </c>
      <c r="AD217" s="80">
        <f>SUMIFS('февраль 2024'!$G$6:$G$1413,'февраль 2024'!$D$6:$D$1413,$B217,'февраль 2024'!$J$6:$J$1413,AD$1)</f>
        <v>0</v>
      </c>
      <c r="AE217" s="80">
        <f>SUMIFS('февраль 2024'!$G$6:$G$1413,'февраль 2024'!$D$6:$D$1413,$B217,'февраль 2024'!$J$6:$J$1413,AE$1)</f>
        <v>0</v>
      </c>
      <c r="AF217" s="80">
        <f>SUMIFS('февраль 2024'!$G$6:$G$1413,'февраль 2024'!$D$6:$D$1413,$B217,'февраль 2024'!$J$6:$J$1413,AF$1)</f>
        <v>0</v>
      </c>
      <c r="AG217" s="80">
        <f>SUMIFS('февраль 2024'!$G$6:$G$1413,'февраль 2024'!$D$6:$D$1413,$B217,'февраль 2024'!$J$6:$J$1413,AG$1)</f>
        <v>0</v>
      </c>
      <c r="AH217" s="80">
        <f>SUMIFS('февраль 2024'!$G$6:$G$1413,'февраль 2024'!$D$6:$D$1413,$B217,'февраль 2024'!$J$6:$J$1413,AH$1)</f>
        <v>0</v>
      </c>
      <c r="AI217" s="87"/>
    </row>
    <row r="218" spans="2:35" ht="15" hidden="1" customHeight="1" thickBot="1" x14ac:dyDescent="0.3">
      <c r="B218" s="89"/>
      <c r="C218" s="96"/>
      <c r="D218" s="80">
        <f>SUMIFS('февраль 2024'!$G$6:$G$1413,'февраль 2024'!$D$6:$D$1413,$B218,'февраль 2024'!$J$6:$J$1413,D$1)</f>
        <v>0</v>
      </c>
      <c r="E218" s="80">
        <f>SUMIFS('февраль 2024'!$G$6:$G$1413,'февраль 2024'!$D$6:$D$1413,$B218,'февраль 2024'!$J$6:$J$1413,E$1)</f>
        <v>0</v>
      </c>
      <c r="F218" s="80">
        <f>SUMIFS('февраль 2024'!$G$6:$G$1413,'февраль 2024'!$D$6:$D$1413,$B218,'февраль 2024'!$J$6:$J$1413,F$1)</f>
        <v>0</v>
      </c>
      <c r="G218" s="80">
        <f>SUMIFS('февраль 2024'!$G$6:$G$1413,'февраль 2024'!$D$6:$D$1413,$B218,'февраль 2024'!$J$6:$J$1413,G$1)</f>
        <v>0</v>
      </c>
      <c r="H218" s="80">
        <f>SUMIFS('февраль 2024'!$G$6:$G$1413,'февраль 2024'!$D$6:$D$1413,$B218,'февраль 2024'!$J$6:$J$1413,H$1)</f>
        <v>0</v>
      </c>
      <c r="I218" s="80">
        <f>SUMIFS('февраль 2024'!$G$6:$G$1413,'февраль 2024'!$D$6:$D$1413,$B218,'февраль 2024'!$J$6:$J$1413,I$1)</f>
        <v>0</v>
      </c>
      <c r="J218" s="80">
        <f>SUMIFS('февраль 2024'!$G$6:$G$1413,'февраль 2024'!$D$6:$D$1413,$B218,'февраль 2024'!$J$6:$J$1413,J$1)</f>
        <v>0</v>
      </c>
      <c r="K218" s="80">
        <f>SUMIFS('февраль 2024'!$G$6:$G$1413,'февраль 2024'!$D$6:$D$1413,$B218,'февраль 2024'!$J$6:$J$1413,K$1)</f>
        <v>0</v>
      </c>
      <c r="L218" s="80">
        <f>SUMIFS('февраль 2024'!$G$6:$G$1413,'февраль 2024'!$D$6:$D$1413,$B218,'февраль 2024'!$J$6:$J$1413,L$1)</f>
        <v>0</v>
      </c>
      <c r="M218" s="80">
        <f>SUMIFS('февраль 2024'!$G$6:$G$1413,'февраль 2024'!$D$6:$D$1413,$B218,'февраль 2024'!$J$6:$J$1413,M$1)</f>
        <v>0</v>
      </c>
      <c r="N218" s="80">
        <f>SUMIFS('февраль 2024'!$G$6:$G$1413,'февраль 2024'!$D$6:$D$1413,$B218,'февраль 2024'!$J$6:$J$1413,N$1)</f>
        <v>0</v>
      </c>
      <c r="O218" s="80">
        <f>SUMIFS('февраль 2024'!$G$6:$G$1413,'февраль 2024'!$D$6:$D$1413,$B218,'февраль 2024'!$J$6:$J$1413,O$1)</f>
        <v>0</v>
      </c>
      <c r="P218" s="80">
        <f>SUMIFS('февраль 2024'!$G$6:$G$1413,'февраль 2024'!$D$6:$D$1413,$B218,'февраль 2024'!$J$6:$J$1413,P$1)</f>
        <v>0</v>
      </c>
      <c r="Q218" s="80">
        <f>SUMIFS('февраль 2024'!$G$6:$G$1413,'февраль 2024'!$D$6:$D$1413,$B218,'февраль 2024'!$J$6:$J$1413,Q$1)</f>
        <v>0</v>
      </c>
      <c r="R218" s="80">
        <f>SUMIFS('февраль 2024'!$G$6:$G$1413,'февраль 2024'!$D$6:$D$1413,$B218,'февраль 2024'!$J$6:$J$1413,R$1)</f>
        <v>0</v>
      </c>
      <c r="S218" s="80">
        <f>SUMIFS('февраль 2024'!$G$6:$G$1413,'февраль 2024'!$D$6:$D$1413,$B218,'февраль 2024'!$J$6:$J$1413,S$1)</f>
        <v>0</v>
      </c>
      <c r="T218" s="80">
        <f>SUMIFS('февраль 2024'!$G$6:$G$1413,'февраль 2024'!$D$6:$D$1413,$B218,'февраль 2024'!$J$6:$J$1413,T$1)</f>
        <v>0</v>
      </c>
      <c r="U218" s="80">
        <f>SUMIFS('февраль 2024'!$G$6:$G$1413,'февраль 2024'!$D$6:$D$1413,$B218,'февраль 2024'!$J$6:$J$1413,U$1)</f>
        <v>0</v>
      </c>
      <c r="V218" s="80">
        <f>SUMIFS('февраль 2024'!$G$6:$G$1413,'февраль 2024'!$D$6:$D$1413,$B218,'февраль 2024'!$J$6:$J$1413,V$1)</f>
        <v>0</v>
      </c>
      <c r="W218" s="80">
        <f>SUMIFS('февраль 2024'!$G$6:$G$1413,'февраль 2024'!$D$6:$D$1413,$B218,'февраль 2024'!$J$6:$J$1413,W$1)</f>
        <v>0</v>
      </c>
      <c r="X218" s="80">
        <f>SUMIFS('февраль 2024'!$G$6:$G$1413,'февраль 2024'!$D$6:$D$1413,$B218,'февраль 2024'!$J$6:$J$1413,X$1)</f>
        <v>0</v>
      </c>
      <c r="Y218" s="80">
        <f>SUMIFS('февраль 2024'!$G$6:$G$1413,'февраль 2024'!$D$6:$D$1413,$B218,'февраль 2024'!$J$6:$J$1413,Y$1)</f>
        <v>0</v>
      </c>
      <c r="Z218" s="80">
        <f>SUMIFS('февраль 2024'!$G$6:$G$1413,'февраль 2024'!$D$6:$D$1413,$B218,'февраль 2024'!$J$6:$J$1413,Z$1)</f>
        <v>0</v>
      </c>
      <c r="AA218" s="80">
        <f>SUMIFS('февраль 2024'!$G$6:$G$1413,'февраль 2024'!$D$6:$D$1413,$B218,'февраль 2024'!$J$6:$J$1413,AA$1)</f>
        <v>0</v>
      </c>
      <c r="AB218" s="80">
        <f>SUMIFS('февраль 2024'!$G$6:$G$1413,'февраль 2024'!$D$6:$D$1413,$B218,'февраль 2024'!$J$6:$J$1413,AB$1)</f>
        <v>0</v>
      </c>
      <c r="AC218" s="80">
        <f>SUMIFS('февраль 2024'!$G$6:$G$1413,'февраль 2024'!$D$6:$D$1413,$B218,'февраль 2024'!$J$6:$J$1413,AC$1)</f>
        <v>0</v>
      </c>
      <c r="AD218" s="80">
        <f>SUMIFS('февраль 2024'!$G$6:$G$1413,'февраль 2024'!$D$6:$D$1413,$B218,'февраль 2024'!$J$6:$J$1413,AD$1)</f>
        <v>0</v>
      </c>
      <c r="AE218" s="80">
        <f>SUMIFS('февраль 2024'!$G$6:$G$1413,'февраль 2024'!$D$6:$D$1413,$B218,'февраль 2024'!$J$6:$J$1413,AE$1)</f>
        <v>0</v>
      </c>
      <c r="AF218" s="80">
        <f>SUMIFS('февраль 2024'!$G$6:$G$1413,'февраль 2024'!$D$6:$D$1413,$B218,'февраль 2024'!$J$6:$J$1413,AF$1)</f>
        <v>0</v>
      </c>
      <c r="AG218" s="80">
        <f>SUMIFS('февраль 2024'!$G$6:$G$1413,'февраль 2024'!$D$6:$D$1413,$B218,'февраль 2024'!$J$6:$J$1413,AG$1)</f>
        <v>0</v>
      </c>
      <c r="AH218" s="80">
        <f>SUMIFS('февраль 2024'!$G$6:$G$1413,'февраль 2024'!$D$6:$D$1413,$B218,'февраль 2024'!$J$6:$J$1413,AH$1)</f>
        <v>0</v>
      </c>
      <c r="AI218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000-000000000000}">
          <x14:formula1>
            <xm:f>справочник!$E$1:$E$2+справочник!$E$2:$E$37</xm:f>
          </x14:formula1>
          <xm:sqref>B199:B218</xm:sqref>
        </x14:dataValidation>
        <x14:dataValidation type="list" allowBlank="1" showInputMessage="1" showErrorMessage="1" xr:uid="{00000000-0002-0000-1000-000001000000}">
          <x14:formula1>
            <xm:f>справочник!$E$2:$E$155</xm:f>
          </x14:formula1>
          <xm:sqref>B3:B198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I218"/>
  <sheetViews>
    <sheetView showZeros="0" zoomScale="70" zoomScaleNormal="70" workbookViewId="0">
      <selection activeCell="B12" sqref="B12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45566</v>
      </c>
      <c r="C1" s="72"/>
      <c r="D1" s="73">
        <f>B1</f>
        <v>45566</v>
      </c>
      <c r="E1" s="73">
        <f>D1+1</f>
        <v>45567</v>
      </c>
      <c r="F1" s="73">
        <f t="shared" ref="F1:AH1" si="0">E1+1</f>
        <v>45568</v>
      </c>
      <c r="G1" s="73">
        <f t="shared" si="0"/>
        <v>45569</v>
      </c>
      <c r="H1" s="73">
        <f t="shared" si="0"/>
        <v>45570</v>
      </c>
      <c r="I1" s="73">
        <f t="shared" si="0"/>
        <v>45571</v>
      </c>
      <c r="J1" s="73">
        <f t="shared" si="0"/>
        <v>45572</v>
      </c>
      <c r="K1" s="73">
        <f t="shared" si="0"/>
        <v>45573</v>
      </c>
      <c r="L1" s="73">
        <f t="shared" si="0"/>
        <v>45574</v>
      </c>
      <c r="M1" s="73">
        <f t="shared" si="0"/>
        <v>45575</v>
      </c>
      <c r="N1" s="73">
        <f t="shared" si="0"/>
        <v>45576</v>
      </c>
      <c r="O1" s="73">
        <f t="shared" si="0"/>
        <v>45577</v>
      </c>
      <c r="P1" s="73">
        <f t="shared" si="0"/>
        <v>45578</v>
      </c>
      <c r="Q1" s="73">
        <f t="shared" si="0"/>
        <v>45579</v>
      </c>
      <c r="R1" s="73">
        <f t="shared" si="0"/>
        <v>45580</v>
      </c>
      <c r="S1" s="73">
        <f t="shared" si="0"/>
        <v>45581</v>
      </c>
      <c r="T1" s="73">
        <f t="shared" si="0"/>
        <v>45582</v>
      </c>
      <c r="U1" s="73">
        <f t="shared" si="0"/>
        <v>45583</v>
      </c>
      <c r="V1" s="73">
        <f t="shared" si="0"/>
        <v>45584</v>
      </c>
      <c r="W1" s="73">
        <f t="shared" si="0"/>
        <v>45585</v>
      </c>
      <c r="X1" s="73">
        <f t="shared" si="0"/>
        <v>45586</v>
      </c>
      <c r="Y1" s="73">
        <f t="shared" si="0"/>
        <v>45587</v>
      </c>
      <c r="Z1" s="73">
        <f t="shared" si="0"/>
        <v>45588</v>
      </c>
      <c r="AA1" s="73">
        <f t="shared" si="0"/>
        <v>45589</v>
      </c>
      <c r="AB1" s="73">
        <f t="shared" si="0"/>
        <v>45590</v>
      </c>
      <c r="AC1" s="73">
        <f t="shared" si="0"/>
        <v>45591</v>
      </c>
      <c r="AD1" s="73">
        <f t="shared" si="0"/>
        <v>45592</v>
      </c>
      <c r="AE1" s="73">
        <f t="shared" si="0"/>
        <v>45593</v>
      </c>
      <c r="AF1" s="73">
        <f t="shared" si="0"/>
        <v>45594</v>
      </c>
      <c r="AG1" s="73">
        <f t="shared" si="0"/>
        <v>45595</v>
      </c>
      <c r="AH1" s="73">
        <f t="shared" si="0"/>
        <v>45596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SUMIFS('октябрь 2024'!$G$5:$G$2162,'октябрь 2024'!$D$5:$D$2162,$B3,'октябрь 2024'!$J$5:$J$2162,D$1)</f>
        <v>0</v>
      </c>
      <c r="E3" s="80">
        <f>SUMIFS('октябрь 2024'!$G$5:$G$2162,'октябрь 2024'!$D$5:$D$2162,$B3,'октябрь 2024'!$J$5:$J$2162,E$1)</f>
        <v>0</v>
      </c>
      <c r="F3" s="80">
        <f>SUMIFS('октябрь 2024'!$G$5:$G$2162,'октябрь 2024'!$D$5:$D$2162,$B3,'октябрь 2024'!$J$5:$J$2162,F$1)</f>
        <v>0</v>
      </c>
      <c r="G3" s="80">
        <f>SUMIFS('октябрь 2024'!$G$5:$G$2162,'октябрь 2024'!$D$5:$D$2162,$B3,'октябрь 2024'!$J$5:$J$2162,G$1)</f>
        <v>0</v>
      </c>
      <c r="H3" s="80">
        <f>SUMIFS('октябрь 2024'!$G$5:$G$2162,'октябрь 2024'!$D$5:$D$2162,$B3,'октябрь 2024'!$J$5:$J$2162,H$1)</f>
        <v>0</v>
      </c>
      <c r="I3" s="80">
        <f>SUMIFS('октябрь 2024'!$G$5:$G$2162,'октябрь 2024'!$D$5:$D$2162,$B3,'октябрь 2024'!$J$5:$J$2162,I$1)</f>
        <v>0</v>
      </c>
      <c r="J3" s="80">
        <f>SUMIFS('октябрь 2024'!$G$5:$G$2162,'октябрь 2024'!$D$5:$D$2162,$B3,'октябрь 2024'!$J$5:$J$2162,J$1)</f>
        <v>0</v>
      </c>
      <c r="K3" s="80">
        <f>SUMIFS('октябрь 2024'!$G$5:$G$2162,'октябрь 2024'!$D$5:$D$2162,$B3,'октябрь 2024'!$J$5:$J$2162,K$1)</f>
        <v>0</v>
      </c>
      <c r="L3" s="80">
        <f>SUMIFS('октябрь 2024'!$G$5:$G$2162,'октябрь 2024'!$D$5:$D$2162,$B3,'октябрь 2024'!$J$5:$J$2162,L$1)</f>
        <v>0</v>
      </c>
      <c r="M3" s="80">
        <f>SUMIFS('октябрь 2024'!$G$5:$G$2162,'октябрь 2024'!$D$5:$D$2162,$B3,'октябрь 2024'!$J$5:$J$2162,M$1)</f>
        <v>0</v>
      </c>
      <c r="N3" s="80">
        <f>SUMIFS('октябрь 2024'!$G$5:$G$2162,'октябрь 2024'!$D$5:$D$2162,$B3,'октябрь 2024'!$J$5:$J$2162,N$1)</f>
        <v>0</v>
      </c>
      <c r="O3" s="80">
        <f>SUMIFS('октябрь 2024'!$G$5:$G$2162,'октябрь 2024'!$D$5:$D$2162,$B3,'октябрь 2024'!$J$5:$J$2162,O$1)</f>
        <v>0</v>
      </c>
      <c r="P3" s="80">
        <f>SUMIFS('октябрь 2024'!$G$5:$G$2162,'октябрь 2024'!$D$5:$D$2162,$B3,'октябрь 2024'!$J$5:$J$2162,P$1)</f>
        <v>0</v>
      </c>
      <c r="Q3" s="80">
        <f>SUMIFS('октябрь 2024'!$G$5:$G$2162,'октябрь 2024'!$D$5:$D$2162,$B3,'октябрь 2024'!$J$5:$J$2162,Q$1)</f>
        <v>0</v>
      </c>
      <c r="R3" s="80">
        <f>SUMIFS('октябрь 2024'!$G$5:$G$2162,'октябрь 2024'!$D$5:$D$2162,$B3,'октябрь 2024'!$J$5:$J$2162,R$1)</f>
        <v>0</v>
      </c>
      <c r="S3" s="80">
        <f>SUMIFS('октябрь 2024'!$G$5:$G$2162,'октябрь 2024'!$D$5:$D$2162,$B3,'октябрь 2024'!$J$5:$J$2162,S$1)</f>
        <v>0</v>
      </c>
      <c r="T3" s="80">
        <f>SUMIFS('октябрь 2024'!$G$5:$G$2162,'октябрь 2024'!$D$5:$D$2162,$B3,'октябрь 2024'!$J$5:$J$2162,T$1)</f>
        <v>0</v>
      </c>
      <c r="U3" s="80">
        <f>SUMIFS('октябрь 2024'!$G$5:$G$2162,'октябрь 2024'!$D$5:$D$2162,$B3,'октябрь 2024'!$J$5:$J$2162,U$1)</f>
        <v>0</v>
      </c>
      <c r="V3" s="80">
        <f>SUMIFS('октябрь 2024'!$G$5:$G$2162,'октябрь 2024'!$D$5:$D$2162,$B3,'октябрь 2024'!$J$5:$J$2162,V$1)</f>
        <v>0</v>
      </c>
      <c r="W3" s="80">
        <f>SUMIFS('октябрь 2024'!$G$5:$G$2162,'октябрь 2024'!$D$5:$D$2162,$B3,'октябрь 2024'!$J$5:$J$2162,W$1)</f>
        <v>0</v>
      </c>
      <c r="X3" s="80">
        <f>SUMIFS('октябрь 2024'!$G$5:$G$2162,'октябрь 2024'!$D$5:$D$2162,$B3,'октябрь 2024'!$J$5:$J$2162,X$1)</f>
        <v>0</v>
      </c>
      <c r="Y3" s="80">
        <f>SUMIFS('октябрь 2024'!$G$5:$G$2162,'октябрь 2024'!$D$5:$D$2162,$B3,'октябрь 2024'!$J$5:$J$2162,Y$1)</f>
        <v>0</v>
      </c>
      <c r="Z3" s="80">
        <f>SUMIFS('октябрь 2024'!$G$5:$G$2162,'октябрь 2024'!$D$5:$D$2162,$B3,'октябрь 2024'!$J$5:$J$2162,Z$1)</f>
        <v>0</v>
      </c>
      <c r="AA3" s="80">
        <f>SUMIFS('октябрь 2024'!$G$5:$G$2162,'октябрь 2024'!$D$5:$D$2162,$B3,'октябрь 2024'!$J$5:$J$2162,AA$1)</f>
        <v>0</v>
      </c>
      <c r="AB3" s="80">
        <f>SUMIFS('октябрь 2024'!$G$5:$G$2162,'октябрь 2024'!$D$5:$D$2162,$B3,'октябрь 2024'!$J$5:$J$2162,AB$1)</f>
        <v>0</v>
      </c>
      <c r="AC3" s="80">
        <f>SUMIFS('октябрь 2024'!$G$5:$G$2162,'октябрь 2024'!$D$5:$D$2162,$B3,'октябрь 2024'!$J$5:$J$2162,AC$1)</f>
        <v>0</v>
      </c>
      <c r="AD3" s="80">
        <f>SUMIFS('октябрь 2024'!$G$5:$G$2162,'октябрь 2024'!$D$5:$D$2162,$B3,'октябрь 2024'!$J$5:$J$2162,AD$1)</f>
        <v>0</v>
      </c>
      <c r="AE3" s="80">
        <f>SUMIFS('октябрь 2024'!$G$5:$G$2162,'октябрь 2024'!$D$5:$D$2162,$B3,'октябрь 2024'!$J$5:$J$2162,AE$1)</f>
        <v>0</v>
      </c>
      <c r="AF3" s="80">
        <f>SUMIFS('октябрь 2024'!$G$5:$G$2162,'октябрь 2024'!$D$5:$D$2162,$B3,'октябрь 2024'!$J$5:$J$2162,AF$1)</f>
        <v>0</v>
      </c>
      <c r="AG3" s="80">
        <f>SUMIFS('октябрь 2024'!$G$5:$G$2162,'октябрь 2024'!$D$5:$D$2162,$B3,'октябрь 2024'!$J$5:$J$2162,AG$1)</f>
        <v>0</v>
      </c>
      <c r="AH3" s="80">
        <f>SUMIFS('октябрь 2024'!$G$5:$G$2162,'октябрь 2024'!$D$5:$D$2162,$B3,'октябрь 2024'!$J$5:$J$2162,AH$1)</f>
        <v>0</v>
      </c>
      <c r="AI3" s="49">
        <f t="shared" ref="AI3:AI149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SUMIFS('октябрь 2024'!$G$5:$G$2162,'октябрь 2024'!$D$5:$D$2162,$B4,'октябрь 2024'!$J$5:$J$2162,D$1)</f>
        <v>0</v>
      </c>
      <c r="E4" s="80">
        <f>SUMIFS('октябрь 2024'!$G$5:$G$2162,'октябрь 2024'!$D$5:$D$2162,$B4,'октябрь 2024'!$J$5:$J$2162,E$1)</f>
        <v>0</v>
      </c>
      <c r="F4" s="80">
        <f>SUMIFS('октябрь 2024'!$G$5:$G$2162,'октябрь 2024'!$D$5:$D$2162,$B4,'октябрь 2024'!$J$5:$J$2162,F$1)</f>
        <v>0</v>
      </c>
      <c r="G4" s="80">
        <f>SUMIFS('октябрь 2024'!$G$5:$G$2162,'октябрь 2024'!$D$5:$D$2162,$B4,'октябрь 2024'!$J$5:$J$2162,G$1)</f>
        <v>0</v>
      </c>
      <c r="H4" s="80">
        <f>SUMIFS('октябрь 2024'!$G$5:$G$2162,'октябрь 2024'!$D$5:$D$2162,$B4,'октябрь 2024'!$J$5:$J$2162,H$1)</f>
        <v>0</v>
      </c>
      <c r="I4" s="80">
        <f>SUMIFS('октябрь 2024'!$G$5:$G$2162,'октябрь 2024'!$D$5:$D$2162,$B4,'октябрь 2024'!$J$5:$J$2162,I$1)</f>
        <v>0</v>
      </c>
      <c r="J4" s="80">
        <f>SUMIFS('октябрь 2024'!$G$5:$G$2162,'октябрь 2024'!$D$5:$D$2162,$B4,'октябрь 2024'!$J$5:$J$2162,J$1)</f>
        <v>0</v>
      </c>
      <c r="K4" s="80">
        <f>SUMIFS('октябрь 2024'!$G$5:$G$2162,'октябрь 2024'!$D$5:$D$2162,$B4,'октябрь 2024'!$J$5:$J$2162,K$1)</f>
        <v>0</v>
      </c>
      <c r="L4" s="80">
        <f>SUMIFS('октябрь 2024'!$G$5:$G$2162,'октябрь 2024'!$D$5:$D$2162,$B4,'октябрь 2024'!$J$5:$J$2162,L$1)</f>
        <v>0</v>
      </c>
      <c r="M4" s="80">
        <f>SUMIFS('октябрь 2024'!$G$5:$G$2162,'октябрь 2024'!$D$5:$D$2162,$B4,'октябрь 2024'!$J$5:$J$2162,M$1)</f>
        <v>0</v>
      </c>
      <c r="N4" s="80">
        <f>SUMIFS('октябрь 2024'!$G$5:$G$2162,'октябрь 2024'!$D$5:$D$2162,$B4,'октябрь 2024'!$J$5:$J$2162,N$1)</f>
        <v>0</v>
      </c>
      <c r="O4" s="80">
        <f>SUMIFS('октябрь 2024'!$G$5:$G$2162,'октябрь 2024'!$D$5:$D$2162,$B4,'октябрь 2024'!$J$5:$J$2162,O$1)</f>
        <v>0</v>
      </c>
      <c r="P4" s="80">
        <f>SUMIFS('октябрь 2024'!$G$5:$G$2162,'октябрь 2024'!$D$5:$D$2162,$B4,'октябрь 2024'!$J$5:$J$2162,P$1)</f>
        <v>0</v>
      </c>
      <c r="Q4" s="80">
        <f>SUMIFS('октябрь 2024'!$G$5:$G$2162,'октябрь 2024'!$D$5:$D$2162,$B4,'октябрь 2024'!$J$5:$J$2162,Q$1)</f>
        <v>0</v>
      </c>
      <c r="R4" s="80">
        <f>SUMIFS('октябрь 2024'!$G$5:$G$2162,'октябрь 2024'!$D$5:$D$2162,$B4,'октябрь 2024'!$J$5:$J$2162,R$1)</f>
        <v>0</v>
      </c>
      <c r="S4" s="80">
        <f>SUMIFS('октябрь 2024'!$G$5:$G$2162,'октябрь 2024'!$D$5:$D$2162,$B4,'октябрь 2024'!$J$5:$J$2162,S$1)</f>
        <v>0</v>
      </c>
      <c r="T4" s="80">
        <f>SUMIFS('октябрь 2024'!$G$5:$G$2162,'октябрь 2024'!$D$5:$D$2162,$B4,'октябрь 2024'!$J$5:$J$2162,T$1)</f>
        <v>0</v>
      </c>
      <c r="U4" s="80">
        <f>SUMIFS('октябрь 2024'!$G$5:$G$2162,'октябрь 2024'!$D$5:$D$2162,$B4,'октябрь 2024'!$J$5:$J$2162,U$1)</f>
        <v>0</v>
      </c>
      <c r="V4" s="80">
        <f>SUMIFS('октябрь 2024'!$G$5:$G$2162,'октябрь 2024'!$D$5:$D$2162,$B4,'октябрь 2024'!$J$5:$J$2162,V$1)</f>
        <v>0</v>
      </c>
      <c r="W4" s="80">
        <f>SUMIFS('октябрь 2024'!$G$5:$G$2162,'октябрь 2024'!$D$5:$D$2162,$B4,'октябрь 2024'!$J$5:$J$2162,W$1)</f>
        <v>0</v>
      </c>
      <c r="X4" s="80">
        <f>SUMIFS('октябрь 2024'!$G$5:$G$2162,'октябрь 2024'!$D$5:$D$2162,$B4,'октябрь 2024'!$J$5:$J$2162,X$1)</f>
        <v>0</v>
      </c>
      <c r="Y4" s="80">
        <f>SUMIFS('октябрь 2024'!$G$5:$G$2162,'октябрь 2024'!$D$5:$D$2162,$B4,'октябрь 2024'!$J$5:$J$2162,Y$1)</f>
        <v>0</v>
      </c>
      <c r="Z4" s="80">
        <f>SUMIFS('октябрь 2024'!$G$5:$G$2162,'октябрь 2024'!$D$5:$D$2162,$B4,'октябрь 2024'!$J$5:$J$2162,Z$1)</f>
        <v>0</v>
      </c>
      <c r="AA4" s="80">
        <f>SUMIFS('октябрь 2024'!$G$5:$G$2162,'октябрь 2024'!$D$5:$D$2162,$B4,'октябрь 2024'!$J$5:$J$2162,AA$1)</f>
        <v>0</v>
      </c>
      <c r="AB4" s="80">
        <f>SUMIFS('октябрь 2024'!$G$5:$G$2162,'октябрь 2024'!$D$5:$D$2162,$B4,'октябрь 2024'!$J$5:$J$2162,AB$1)</f>
        <v>0</v>
      </c>
      <c r="AC4" s="80">
        <f>SUMIFS('октябрь 2024'!$G$5:$G$2162,'октябрь 2024'!$D$5:$D$2162,$B4,'октябрь 2024'!$J$5:$J$2162,AC$1)</f>
        <v>0</v>
      </c>
      <c r="AD4" s="80">
        <f>SUMIFS('октябрь 2024'!$G$5:$G$2162,'октябрь 2024'!$D$5:$D$2162,$B4,'октябрь 2024'!$J$5:$J$2162,AD$1)</f>
        <v>0</v>
      </c>
      <c r="AE4" s="80">
        <f>SUMIFS('октябрь 2024'!$G$5:$G$2162,'октябрь 2024'!$D$5:$D$2162,$B4,'октябрь 2024'!$J$5:$J$2162,AE$1)</f>
        <v>0</v>
      </c>
      <c r="AF4" s="80">
        <f>SUMIFS('октябрь 2024'!$G$5:$G$2162,'октябрь 2024'!$D$5:$D$2162,$B4,'октябрь 2024'!$J$5:$J$2162,AF$1)</f>
        <v>0</v>
      </c>
      <c r="AG4" s="80">
        <f>SUMIFS('октябрь 2024'!$G$5:$G$2162,'октябрь 2024'!$D$5:$D$2162,$B4,'октябрь 2024'!$J$5:$J$2162,AG$1)</f>
        <v>0</v>
      </c>
      <c r="AH4" s="80">
        <f>SUMIFS('октябрь 2024'!$G$5:$G$2162,'октябрь 2024'!$D$5:$D$2162,$B4,'октябрь 2024'!$J$5:$J$2162,AH$1)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SUMIFS('октябрь 2024'!$G$5:$G$2162,'октябрь 2024'!$D$5:$D$2162,$B5,'октябрь 2024'!$J$5:$J$2162,D$1)</f>
        <v>0</v>
      </c>
      <c r="E5" s="80">
        <f>SUMIFS('октябрь 2024'!$G$5:$G$2162,'октябрь 2024'!$D$5:$D$2162,$B5,'октябрь 2024'!$J$5:$J$2162,E$1)</f>
        <v>0</v>
      </c>
      <c r="F5" s="80">
        <f>SUMIFS('октябрь 2024'!$G$5:$G$2162,'октябрь 2024'!$D$5:$D$2162,$B5,'октябрь 2024'!$J$5:$J$2162,F$1)</f>
        <v>0</v>
      </c>
      <c r="G5" s="80">
        <f>SUMIFS('октябрь 2024'!$G$5:$G$2162,'октябрь 2024'!$D$5:$D$2162,$B5,'октябрь 2024'!$J$5:$J$2162,G$1)</f>
        <v>0</v>
      </c>
      <c r="H5" s="80">
        <f>SUMIFS('октябрь 2024'!$G$5:$G$2162,'октябрь 2024'!$D$5:$D$2162,$B5,'октябрь 2024'!$J$5:$J$2162,H$1)</f>
        <v>0</v>
      </c>
      <c r="I5" s="80">
        <f>SUMIFS('октябрь 2024'!$G$5:$G$2162,'октябрь 2024'!$D$5:$D$2162,$B5,'октябрь 2024'!$J$5:$J$2162,I$1)</f>
        <v>0</v>
      </c>
      <c r="J5" s="80">
        <f>SUMIFS('октябрь 2024'!$G$5:$G$2162,'октябрь 2024'!$D$5:$D$2162,$B5,'октябрь 2024'!$J$5:$J$2162,J$1)</f>
        <v>0</v>
      </c>
      <c r="K5" s="80">
        <f>SUMIFS('октябрь 2024'!$G$5:$G$2162,'октябрь 2024'!$D$5:$D$2162,$B5,'октябрь 2024'!$J$5:$J$2162,K$1)</f>
        <v>0</v>
      </c>
      <c r="L5" s="80">
        <f>SUMIFS('октябрь 2024'!$G$5:$G$2162,'октябрь 2024'!$D$5:$D$2162,$B5,'октябрь 2024'!$J$5:$J$2162,L$1)</f>
        <v>0</v>
      </c>
      <c r="M5" s="80">
        <f>SUMIFS('октябрь 2024'!$G$5:$G$2162,'октябрь 2024'!$D$5:$D$2162,$B5,'октябрь 2024'!$J$5:$J$2162,M$1)</f>
        <v>0</v>
      </c>
      <c r="N5" s="80">
        <f>SUMIFS('октябрь 2024'!$G$5:$G$2162,'октябрь 2024'!$D$5:$D$2162,$B5,'октябрь 2024'!$J$5:$J$2162,N$1)</f>
        <v>0</v>
      </c>
      <c r="O5" s="80">
        <f>SUMIFS('октябрь 2024'!$G$5:$G$2162,'октябрь 2024'!$D$5:$D$2162,$B5,'октябрь 2024'!$J$5:$J$2162,O$1)</f>
        <v>0</v>
      </c>
      <c r="P5" s="80">
        <f>SUMIFS('октябрь 2024'!$G$5:$G$2162,'октябрь 2024'!$D$5:$D$2162,$B5,'октябрь 2024'!$J$5:$J$2162,P$1)</f>
        <v>0</v>
      </c>
      <c r="Q5" s="80">
        <f>SUMIFS('октябрь 2024'!$G$5:$G$2162,'октябрь 2024'!$D$5:$D$2162,$B5,'октябрь 2024'!$J$5:$J$2162,Q$1)</f>
        <v>0</v>
      </c>
      <c r="R5" s="80">
        <f>SUMIFS('октябрь 2024'!$G$5:$G$2162,'октябрь 2024'!$D$5:$D$2162,$B5,'октябрь 2024'!$J$5:$J$2162,R$1)</f>
        <v>0</v>
      </c>
      <c r="S5" s="80">
        <f>SUMIFS('октябрь 2024'!$G$5:$G$2162,'октябрь 2024'!$D$5:$D$2162,$B5,'октябрь 2024'!$J$5:$J$2162,S$1)</f>
        <v>0</v>
      </c>
      <c r="T5" s="80">
        <f>SUMIFS('октябрь 2024'!$G$5:$G$2162,'октябрь 2024'!$D$5:$D$2162,$B5,'октябрь 2024'!$J$5:$J$2162,T$1)</f>
        <v>0</v>
      </c>
      <c r="U5" s="80">
        <f>SUMIFS('октябрь 2024'!$G$5:$G$2162,'октябрь 2024'!$D$5:$D$2162,$B5,'октябрь 2024'!$J$5:$J$2162,U$1)</f>
        <v>0</v>
      </c>
      <c r="V5" s="80">
        <f>SUMIFS('октябрь 2024'!$G$5:$G$2162,'октябрь 2024'!$D$5:$D$2162,$B5,'октябрь 2024'!$J$5:$J$2162,V$1)</f>
        <v>0</v>
      </c>
      <c r="W5" s="80">
        <f>SUMIFS('октябрь 2024'!$G$5:$G$2162,'октябрь 2024'!$D$5:$D$2162,$B5,'октябрь 2024'!$J$5:$J$2162,W$1)</f>
        <v>0</v>
      </c>
      <c r="X5" s="80">
        <f>SUMIFS('октябрь 2024'!$G$5:$G$2162,'октябрь 2024'!$D$5:$D$2162,$B5,'октябрь 2024'!$J$5:$J$2162,X$1)</f>
        <v>0</v>
      </c>
      <c r="Y5" s="80">
        <f>SUMIFS('октябрь 2024'!$G$5:$G$2162,'октябрь 2024'!$D$5:$D$2162,$B5,'октябрь 2024'!$J$5:$J$2162,Y$1)</f>
        <v>0</v>
      </c>
      <c r="Z5" s="80">
        <f>SUMIFS('октябрь 2024'!$G$5:$G$2162,'октябрь 2024'!$D$5:$D$2162,$B5,'октябрь 2024'!$J$5:$J$2162,Z$1)</f>
        <v>0</v>
      </c>
      <c r="AA5" s="80">
        <f>SUMIFS('октябрь 2024'!$G$5:$G$2162,'октябрь 2024'!$D$5:$D$2162,$B5,'октябрь 2024'!$J$5:$J$2162,AA$1)</f>
        <v>0</v>
      </c>
      <c r="AB5" s="80">
        <f>SUMIFS('октябрь 2024'!$G$5:$G$2162,'октябрь 2024'!$D$5:$D$2162,$B5,'октябрь 2024'!$J$5:$J$2162,AB$1)</f>
        <v>0</v>
      </c>
      <c r="AC5" s="80">
        <f>SUMIFS('октябрь 2024'!$G$5:$G$2162,'октябрь 2024'!$D$5:$D$2162,$B5,'октябрь 2024'!$J$5:$J$2162,AC$1)</f>
        <v>0</v>
      </c>
      <c r="AD5" s="80">
        <f>SUMIFS('октябрь 2024'!$G$5:$G$2162,'октябрь 2024'!$D$5:$D$2162,$B5,'октябрь 2024'!$J$5:$J$2162,AD$1)</f>
        <v>0</v>
      </c>
      <c r="AE5" s="80">
        <f>SUMIFS('октябрь 2024'!$G$5:$G$2162,'октябрь 2024'!$D$5:$D$2162,$B5,'октябрь 2024'!$J$5:$J$2162,AE$1)</f>
        <v>0</v>
      </c>
      <c r="AF5" s="80">
        <f>SUMIFS('октябрь 2024'!$G$5:$G$2162,'октябрь 2024'!$D$5:$D$2162,$B5,'октябрь 2024'!$J$5:$J$2162,AF$1)</f>
        <v>0</v>
      </c>
      <c r="AG5" s="80">
        <f>SUMIFS('октябрь 2024'!$G$5:$G$2162,'октябрь 2024'!$D$5:$D$2162,$B5,'октябрь 2024'!$J$5:$J$2162,AG$1)</f>
        <v>0</v>
      </c>
      <c r="AH5" s="80">
        <f>SUMIFS('октябрь 2024'!$G$5:$G$2162,'октябрь 2024'!$D$5:$D$2162,$B5,'октябрь 2024'!$J$5:$J$2162,AH$1)</f>
        <v>0</v>
      </c>
      <c r="AI5" s="21">
        <f t="shared" si="1"/>
        <v>0</v>
      </c>
    </row>
    <row r="6" spans="2:35" ht="15" customHeight="1" x14ac:dyDescent="0.25">
      <c r="B6" s="81" t="s">
        <v>281</v>
      </c>
      <c r="C6" s="82">
        <v>22.7</v>
      </c>
      <c r="D6" s="80">
        <f>SUMIFS('октябрь 2024'!$G$5:$G$2162,'октябрь 2024'!$D$5:$D$2162,$B6,'октябрь 2024'!$J$5:$J$2162,D$1)</f>
        <v>0</v>
      </c>
      <c r="E6" s="80">
        <f>SUMIFS('октябрь 2024'!$G$5:$G$2162,'октябрь 2024'!$D$5:$D$2162,$B6,'октябрь 2024'!$J$5:$J$2162,E$1)</f>
        <v>0</v>
      </c>
      <c r="F6" s="80">
        <f>SUMIFS('октябрь 2024'!$G$5:$G$2162,'октябрь 2024'!$D$5:$D$2162,$B6,'октябрь 2024'!$J$5:$J$2162,F$1)</f>
        <v>0</v>
      </c>
      <c r="G6" s="80">
        <f>SUMIFS('октябрь 2024'!$G$5:$G$2162,'октябрь 2024'!$D$5:$D$2162,$B6,'октябрь 2024'!$J$5:$J$2162,G$1)</f>
        <v>0</v>
      </c>
      <c r="H6" s="80">
        <f>SUMIFS('октябрь 2024'!$G$5:$G$2162,'октябрь 2024'!$D$5:$D$2162,$B6,'октябрь 2024'!$J$5:$J$2162,H$1)</f>
        <v>0</v>
      </c>
      <c r="I6" s="80">
        <f>SUMIFS('октябрь 2024'!$G$5:$G$2162,'октябрь 2024'!$D$5:$D$2162,$B6,'октябрь 2024'!$J$5:$J$2162,I$1)</f>
        <v>0</v>
      </c>
      <c r="J6" s="80">
        <f>SUMIFS('октябрь 2024'!$G$5:$G$2162,'октябрь 2024'!$D$5:$D$2162,$B6,'октябрь 2024'!$J$5:$J$2162,J$1)</f>
        <v>0</v>
      </c>
      <c r="K6" s="80">
        <f>SUMIFS('октябрь 2024'!$G$5:$G$2162,'октябрь 2024'!$D$5:$D$2162,$B6,'октябрь 2024'!$J$5:$J$2162,K$1)</f>
        <v>0</v>
      </c>
      <c r="L6" s="80">
        <f>SUMIFS('октябрь 2024'!$G$5:$G$2162,'октябрь 2024'!$D$5:$D$2162,$B6,'октябрь 2024'!$J$5:$J$2162,L$1)</f>
        <v>0</v>
      </c>
      <c r="M6" s="80">
        <f>SUMIFS('октябрь 2024'!$G$5:$G$2162,'октябрь 2024'!$D$5:$D$2162,$B6,'октябрь 2024'!$J$5:$J$2162,M$1)</f>
        <v>0</v>
      </c>
      <c r="N6" s="80">
        <f>SUMIFS('октябрь 2024'!$G$5:$G$2162,'октябрь 2024'!$D$5:$D$2162,$B6,'октябрь 2024'!$J$5:$J$2162,N$1)</f>
        <v>0</v>
      </c>
      <c r="O6" s="80">
        <f>SUMIFS('октябрь 2024'!$G$5:$G$2162,'октябрь 2024'!$D$5:$D$2162,$B6,'октябрь 2024'!$J$5:$J$2162,O$1)</f>
        <v>0</v>
      </c>
      <c r="P6" s="80">
        <f>SUMIFS('октябрь 2024'!$G$5:$G$2162,'октябрь 2024'!$D$5:$D$2162,$B6,'октябрь 2024'!$J$5:$J$2162,P$1)</f>
        <v>0</v>
      </c>
      <c r="Q6" s="80">
        <f>SUMIFS('октябрь 2024'!$G$5:$G$2162,'октябрь 2024'!$D$5:$D$2162,$B6,'октябрь 2024'!$J$5:$J$2162,Q$1)</f>
        <v>0</v>
      </c>
      <c r="R6" s="80">
        <f>SUMIFS('октябрь 2024'!$G$5:$G$2162,'октябрь 2024'!$D$5:$D$2162,$B6,'октябрь 2024'!$J$5:$J$2162,R$1)</f>
        <v>0</v>
      </c>
      <c r="S6" s="80">
        <f>SUMIFS('октябрь 2024'!$G$5:$G$2162,'октябрь 2024'!$D$5:$D$2162,$B6,'октябрь 2024'!$J$5:$J$2162,S$1)</f>
        <v>0</v>
      </c>
      <c r="T6" s="80">
        <f>SUMIFS('октябрь 2024'!$G$5:$G$2162,'октябрь 2024'!$D$5:$D$2162,$B6,'октябрь 2024'!$J$5:$J$2162,T$1)</f>
        <v>0</v>
      </c>
      <c r="U6" s="80">
        <f>SUMIFS('октябрь 2024'!$G$5:$G$2162,'октябрь 2024'!$D$5:$D$2162,$B6,'октябрь 2024'!$J$5:$J$2162,U$1)</f>
        <v>0</v>
      </c>
      <c r="V6" s="80">
        <f>SUMIFS('октябрь 2024'!$G$5:$G$2162,'октябрь 2024'!$D$5:$D$2162,$B6,'октябрь 2024'!$J$5:$J$2162,V$1)</f>
        <v>0</v>
      </c>
      <c r="W6" s="80">
        <f>SUMIFS('октябрь 2024'!$G$5:$G$2162,'октябрь 2024'!$D$5:$D$2162,$B6,'октябрь 2024'!$J$5:$J$2162,W$1)</f>
        <v>0</v>
      </c>
      <c r="X6" s="80">
        <f>SUMIFS('октябрь 2024'!$G$5:$G$2162,'октябрь 2024'!$D$5:$D$2162,$B6,'октябрь 2024'!$J$5:$J$2162,X$1)</f>
        <v>0</v>
      </c>
      <c r="Y6" s="80">
        <f>SUMIFS('октябрь 2024'!$G$5:$G$2162,'октябрь 2024'!$D$5:$D$2162,$B6,'октябрь 2024'!$J$5:$J$2162,Y$1)</f>
        <v>0</v>
      </c>
      <c r="Z6" s="80">
        <f>SUMIFS('октябрь 2024'!$G$5:$G$2162,'октябрь 2024'!$D$5:$D$2162,$B6,'октябрь 2024'!$J$5:$J$2162,Z$1)</f>
        <v>0</v>
      </c>
      <c r="AA6" s="80">
        <f>SUMIFS('октябрь 2024'!$G$5:$G$2162,'октябрь 2024'!$D$5:$D$2162,$B6,'октябрь 2024'!$J$5:$J$2162,AA$1)</f>
        <v>0</v>
      </c>
      <c r="AB6" s="80">
        <f>SUMIFS('октябрь 2024'!$G$5:$G$2162,'октябрь 2024'!$D$5:$D$2162,$B6,'октябрь 2024'!$J$5:$J$2162,AB$1)</f>
        <v>0</v>
      </c>
      <c r="AC6" s="80">
        <f>SUMIFS('октябрь 2024'!$G$5:$G$2162,'октябрь 2024'!$D$5:$D$2162,$B6,'октябрь 2024'!$J$5:$J$2162,AC$1)</f>
        <v>0</v>
      </c>
      <c r="AD6" s="80">
        <f>SUMIFS('октябрь 2024'!$G$5:$G$2162,'октябрь 2024'!$D$5:$D$2162,$B6,'октябрь 2024'!$J$5:$J$2162,AD$1)</f>
        <v>0</v>
      </c>
      <c r="AE6" s="80">
        <f>SUMIFS('октябрь 2024'!$G$5:$G$2162,'октябрь 2024'!$D$5:$D$2162,$B6,'октябрь 2024'!$J$5:$J$2162,AE$1)</f>
        <v>0</v>
      </c>
      <c r="AF6" s="80">
        <f>SUMIFS('октябрь 2024'!$G$5:$G$2162,'октябрь 2024'!$D$5:$D$2162,$B6,'октябрь 2024'!$J$5:$J$2162,AF$1)</f>
        <v>0</v>
      </c>
      <c r="AG6" s="80">
        <f>SUMIFS('октябрь 2024'!$G$5:$G$2162,'октябрь 2024'!$D$5:$D$2162,$B6,'октябрь 2024'!$J$5:$J$2162,AG$1)</f>
        <v>0</v>
      </c>
      <c r="AH6" s="80">
        <f>SUMIFS('октябрь 2024'!$G$5:$G$2162,'октябрь 2024'!$D$5:$D$2162,$B6,'октябрь 2024'!$J$5:$J$2162,AH$1)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SUMIFS('октябрь 2024'!$G$5:$G$2162,'октябрь 2024'!$D$5:$D$2162,$B7,'октябрь 2024'!$J$5:$J$2162,D$1)</f>
        <v>0</v>
      </c>
      <c r="E7" s="80">
        <f>SUMIFS('октябрь 2024'!$G$5:$G$2162,'октябрь 2024'!$D$5:$D$2162,$B7,'октябрь 2024'!$J$5:$J$2162,E$1)</f>
        <v>0</v>
      </c>
      <c r="F7" s="80">
        <f>SUMIFS('октябрь 2024'!$G$5:$G$2162,'октябрь 2024'!$D$5:$D$2162,$B7,'октябрь 2024'!$J$5:$J$2162,F$1)</f>
        <v>0</v>
      </c>
      <c r="G7" s="80">
        <f>SUMIFS('октябрь 2024'!$G$5:$G$2162,'октябрь 2024'!$D$5:$D$2162,$B7,'октябрь 2024'!$J$5:$J$2162,G$1)</f>
        <v>0</v>
      </c>
      <c r="H7" s="80">
        <f>SUMIFS('октябрь 2024'!$G$5:$G$2162,'октябрь 2024'!$D$5:$D$2162,$B7,'октябрь 2024'!$J$5:$J$2162,H$1)</f>
        <v>0</v>
      </c>
      <c r="I7" s="80">
        <f>SUMIFS('октябрь 2024'!$G$5:$G$2162,'октябрь 2024'!$D$5:$D$2162,$B7,'октябрь 2024'!$J$5:$J$2162,I$1)</f>
        <v>0</v>
      </c>
      <c r="J7" s="80">
        <f>SUMIFS('октябрь 2024'!$G$5:$G$2162,'октябрь 2024'!$D$5:$D$2162,$B7,'октябрь 2024'!$J$5:$J$2162,J$1)</f>
        <v>0</v>
      </c>
      <c r="K7" s="80">
        <f>SUMIFS('октябрь 2024'!$G$5:$G$2162,'октябрь 2024'!$D$5:$D$2162,$B7,'октябрь 2024'!$J$5:$J$2162,K$1)</f>
        <v>0</v>
      </c>
      <c r="L7" s="80">
        <f>SUMIFS('октябрь 2024'!$G$5:$G$2162,'октябрь 2024'!$D$5:$D$2162,$B7,'октябрь 2024'!$J$5:$J$2162,L$1)</f>
        <v>0</v>
      </c>
      <c r="M7" s="80">
        <f>SUMIFS('октябрь 2024'!$G$5:$G$2162,'октябрь 2024'!$D$5:$D$2162,$B7,'октябрь 2024'!$J$5:$J$2162,M$1)</f>
        <v>0</v>
      </c>
      <c r="N7" s="80">
        <f>SUMIFS('октябрь 2024'!$G$5:$G$2162,'октябрь 2024'!$D$5:$D$2162,$B7,'октябрь 2024'!$J$5:$J$2162,N$1)</f>
        <v>0</v>
      </c>
      <c r="O7" s="80">
        <f>SUMIFS('октябрь 2024'!$G$5:$G$2162,'октябрь 2024'!$D$5:$D$2162,$B7,'октябрь 2024'!$J$5:$J$2162,O$1)</f>
        <v>0</v>
      </c>
      <c r="P7" s="80">
        <f>SUMIFS('октябрь 2024'!$G$5:$G$2162,'октябрь 2024'!$D$5:$D$2162,$B7,'октябрь 2024'!$J$5:$J$2162,P$1)</f>
        <v>0</v>
      </c>
      <c r="Q7" s="80">
        <f>SUMIFS('октябрь 2024'!$G$5:$G$2162,'октябрь 2024'!$D$5:$D$2162,$B7,'октябрь 2024'!$J$5:$J$2162,Q$1)</f>
        <v>0</v>
      </c>
      <c r="R7" s="80">
        <f>SUMIFS('октябрь 2024'!$G$5:$G$2162,'октябрь 2024'!$D$5:$D$2162,$B7,'октябрь 2024'!$J$5:$J$2162,R$1)</f>
        <v>0</v>
      </c>
      <c r="S7" s="80">
        <f>SUMIFS('октябрь 2024'!$G$5:$G$2162,'октябрь 2024'!$D$5:$D$2162,$B7,'октябрь 2024'!$J$5:$J$2162,S$1)</f>
        <v>0</v>
      </c>
      <c r="T7" s="80">
        <f>SUMIFS('октябрь 2024'!$G$5:$G$2162,'октябрь 2024'!$D$5:$D$2162,$B7,'октябрь 2024'!$J$5:$J$2162,T$1)</f>
        <v>0</v>
      </c>
      <c r="U7" s="80">
        <f>SUMIFS('октябрь 2024'!$G$5:$G$2162,'октябрь 2024'!$D$5:$D$2162,$B7,'октябрь 2024'!$J$5:$J$2162,U$1)</f>
        <v>0</v>
      </c>
      <c r="V7" s="80">
        <f>SUMIFS('октябрь 2024'!$G$5:$G$2162,'октябрь 2024'!$D$5:$D$2162,$B7,'октябрь 2024'!$J$5:$J$2162,V$1)</f>
        <v>0</v>
      </c>
      <c r="W7" s="80">
        <f>SUMIFS('октябрь 2024'!$G$5:$G$2162,'октябрь 2024'!$D$5:$D$2162,$B7,'октябрь 2024'!$J$5:$J$2162,W$1)</f>
        <v>0</v>
      </c>
      <c r="X7" s="80">
        <f>SUMIFS('октябрь 2024'!$G$5:$G$2162,'октябрь 2024'!$D$5:$D$2162,$B7,'октябрь 2024'!$J$5:$J$2162,X$1)</f>
        <v>0</v>
      </c>
      <c r="Y7" s="80">
        <f>SUMIFS('октябрь 2024'!$G$5:$G$2162,'октябрь 2024'!$D$5:$D$2162,$B7,'октябрь 2024'!$J$5:$J$2162,Y$1)</f>
        <v>0</v>
      </c>
      <c r="Z7" s="80">
        <f>SUMIFS('октябрь 2024'!$G$5:$G$2162,'октябрь 2024'!$D$5:$D$2162,$B7,'октябрь 2024'!$J$5:$J$2162,Z$1)</f>
        <v>0</v>
      </c>
      <c r="AA7" s="80">
        <f>SUMIFS('октябрь 2024'!$G$5:$G$2162,'октябрь 2024'!$D$5:$D$2162,$B7,'октябрь 2024'!$J$5:$J$2162,AA$1)</f>
        <v>0</v>
      </c>
      <c r="AB7" s="80">
        <f>SUMIFS('октябрь 2024'!$G$5:$G$2162,'октябрь 2024'!$D$5:$D$2162,$B7,'октябрь 2024'!$J$5:$J$2162,AB$1)</f>
        <v>0</v>
      </c>
      <c r="AC7" s="80">
        <f>SUMIFS('октябрь 2024'!$G$5:$G$2162,'октябрь 2024'!$D$5:$D$2162,$B7,'октябрь 2024'!$J$5:$J$2162,AC$1)</f>
        <v>0</v>
      </c>
      <c r="AD7" s="80">
        <f>SUMIFS('октябрь 2024'!$G$5:$G$2162,'октябрь 2024'!$D$5:$D$2162,$B7,'октябрь 2024'!$J$5:$J$2162,AD$1)</f>
        <v>0</v>
      </c>
      <c r="AE7" s="80">
        <f>SUMIFS('октябрь 2024'!$G$5:$G$2162,'октябрь 2024'!$D$5:$D$2162,$B7,'октябрь 2024'!$J$5:$J$2162,AE$1)</f>
        <v>0</v>
      </c>
      <c r="AF7" s="80">
        <f>SUMIFS('октябрь 2024'!$G$5:$G$2162,'октябрь 2024'!$D$5:$D$2162,$B7,'октябрь 2024'!$J$5:$J$2162,AF$1)</f>
        <v>0</v>
      </c>
      <c r="AG7" s="80">
        <f>SUMIFS('октябрь 2024'!$G$5:$G$2162,'октябрь 2024'!$D$5:$D$2162,$B7,'октябрь 2024'!$J$5:$J$2162,AG$1)</f>
        <v>0</v>
      </c>
      <c r="AH7" s="80">
        <f>SUMIFS('октябрь 2024'!$G$5:$G$2162,'октябрь 2024'!$D$5:$D$2162,$B7,'октябрь 2024'!$J$5:$J$2162,AH$1)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SUMIFS('октябрь 2024'!$G$5:$G$2162,'октябрь 2024'!$D$5:$D$2162,$B8,'октябрь 2024'!$J$5:$J$2162,D$1)</f>
        <v>0</v>
      </c>
      <c r="E8" s="80">
        <f>SUMIFS('октябрь 2024'!$G$5:$G$2162,'октябрь 2024'!$D$5:$D$2162,$B8,'октябрь 2024'!$J$5:$J$2162,E$1)</f>
        <v>0</v>
      </c>
      <c r="F8" s="80">
        <f>SUMIFS('октябрь 2024'!$G$5:$G$2162,'октябрь 2024'!$D$5:$D$2162,$B8,'октябрь 2024'!$J$5:$J$2162,F$1)</f>
        <v>0</v>
      </c>
      <c r="G8" s="80">
        <f>SUMIFS('октябрь 2024'!$G$5:$G$2162,'октябрь 2024'!$D$5:$D$2162,$B8,'октябрь 2024'!$J$5:$J$2162,G$1)</f>
        <v>0</v>
      </c>
      <c r="H8" s="80">
        <f>SUMIFS('октябрь 2024'!$G$5:$G$2162,'октябрь 2024'!$D$5:$D$2162,$B8,'октябрь 2024'!$J$5:$J$2162,H$1)</f>
        <v>0</v>
      </c>
      <c r="I8" s="80">
        <f>SUMIFS('октябрь 2024'!$G$5:$G$2162,'октябрь 2024'!$D$5:$D$2162,$B8,'октябрь 2024'!$J$5:$J$2162,I$1)</f>
        <v>0</v>
      </c>
      <c r="J8" s="80">
        <f>SUMIFS('октябрь 2024'!$G$5:$G$2162,'октябрь 2024'!$D$5:$D$2162,$B8,'октябрь 2024'!$J$5:$J$2162,J$1)</f>
        <v>0</v>
      </c>
      <c r="K8" s="80">
        <f>SUMIFS('октябрь 2024'!$G$5:$G$2162,'октябрь 2024'!$D$5:$D$2162,$B8,'октябрь 2024'!$J$5:$J$2162,K$1)</f>
        <v>0</v>
      </c>
      <c r="L8" s="80">
        <f>SUMIFS('октябрь 2024'!$G$5:$G$2162,'октябрь 2024'!$D$5:$D$2162,$B8,'октябрь 2024'!$J$5:$J$2162,L$1)</f>
        <v>0</v>
      </c>
      <c r="M8" s="80">
        <f>SUMIFS('октябрь 2024'!$G$5:$G$2162,'октябрь 2024'!$D$5:$D$2162,$B8,'октябрь 2024'!$J$5:$J$2162,M$1)</f>
        <v>0</v>
      </c>
      <c r="N8" s="80">
        <f>SUMIFS('октябрь 2024'!$G$5:$G$2162,'октябрь 2024'!$D$5:$D$2162,$B8,'октябрь 2024'!$J$5:$J$2162,N$1)</f>
        <v>0</v>
      </c>
      <c r="O8" s="80">
        <f>SUMIFS('октябрь 2024'!$G$5:$G$2162,'октябрь 2024'!$D$5:$D$2162,$B8,'октябрь 2024'!$J$5:$J$2162,O$1)</f>
        <v>0</v>
      </c>
      <c r="P8" s="80">
        <f>SUMIFS('октябрь 2024'!$G$5:$G$2162,'октябрь 2024'!$D$5:$D$2162,$B8,'октябрь 2024'!$J$5:$J$2162,P$1)</f>
        <v>0</v>
      </c>
      <c r="Q8" s="80">
        <f>SUMIFS('октябрь 2024'!$G$5:$G$2162,'октябрь 2024'!$D$5:$D$2162,$B8,'октябрь 2024'!$J$5:$J$2162,Q$1)</f>
        <v>0</v>
      </c>
      <c r="R8" s="80">
        <f>SUMIFS('октябрь 2024'!$G$5:$G$2162,'октябрь 2024'!$D$5:$D$2162,$B8,'октябрь 2024'!$J$5:$J$2162,R$1)</f>
        <v>0</v>
      </c>
      <c r="S8" s="80">
        <f>SUMIFS('октябрь 2024'!$G$5:$G$2162,'октябрь 2024'!$D$5:$D$2162,$B8,'октябрь 2024'!$J$5:$J$2162,S$1)</f>
        <v>0</v>
      </c>
      <c r="T8" s="80">
        <f>SUMIFS('октябрь 2024'!$G$5:$G$2162,'октябрь 2024'!$D$5:$D$2162,$B8,'октябрь 2024'!$J$5:$J$2162,T$1)</f>
        <v>0</v>
      </c>
      <c r="U8" s="80">
        <f>SUMIFS('октябрь 2024'!$G$5:$G$2162,'октябрь 2024'!$D$5:$D$2162,$B8,'октябрь 2024'!$J$5:$J$2162,U$1)</f>
        <v>0</v>
      </c>
      <c r="V8" s="80">
        <f>SUMIFS('октябрь 2024'!$G$5:$G$2162,'октябрь 2024'!$D$5:$D$2162,$B8,'октябрь 2024'!$J$5:$J$2162,V$1)</f>
        <v>0</v>
      </c>
      <c r="W8" s="80">
        <f>SUMIFS('октябрь 2024'!$G$5:$G$2162,'октябрь 2024'!$D$5:$D$2162,$B8,'октябрь 2024'!$J$5:$J$2162,W$1)</f>
        <v>0</v>
      </c>
      <c r="X8" s="80">
        <f>SUMIFS('октябрь 2024'!$G$5:$G$2162,'октябрь 2024'!$D$5:$D$2162,$B8,'октябрь 2024'!$J$5:$J$2162,X$1)</f>
        <v>0</v>
      </c>
      <c r="Y8" s="80">
        <f>SUMIFS('октябрь 2024'!$G$5:$G$2162,'октябрь 2024'!$D$5:$D$2162,$B8,'октябрь 2024'!$J$5:$J$2162,Y$1)</f>
        <v>0</v>
      </c>
      <c r="Z8" s="80">
        <f>SUMIFS('октябрь 2024'!$G$5:$G$2162,'октябрь 2024'!$D$5:$D$2162,$B8,'октябрь 2024'!$J$5:$J$2162,Z$1)</f>
        <v>0</v>
      </c>
      <c r="AA8" s="80">
        <f>SUMIFS('октябрь 2024'!$G$5:$G$2162,'октябрь 2024'!$D$5:$D$2162,$B8,'октябрь 2024'!$J$5:$J$2162,AA$1)</f>
        <v>0</v>
      </c>
      <c r="AB8" s="80">
        <f>SUMIFS('октябрь 2024'!$G$5:$G$2162,'октябрь 2024'!$D$5:$D$2162,$B8,'октябрь 2024'!$J$5:$J$2162,AB$1)</f>
        <v>0</v>
      </c>
      <c r="AC8" s="80">
        <f>SUMIFS('октябрь 2024'!$G$5:$G$2162,'октябрь 2024'!$D$5:$D$2162,$B8,'октябрь 2024'!$J$5:$J$2162,AC$1)</f>
        <v>0</v>
      </c>
      <c r="AD8" s="80">
        <f>SUMIFS('октябрь 2024'!$G$5:$G$2162,'октябрь 2024'!$D$5:$D$2162,$B8,'октябрь 2024'!$J$5:$J$2162,AD$1)</f>
        <v>0</v>
      </c>
      <c r="AE8" s="80">
        <f>SUMIFS('октябрь 2024'!$G$5:$G$2162,'октябрь 2024'!$D$5:$D$2162,$B8,'октябрь 2024'!$J$5:$J$2162,AE$1)</f>
        <v>0</v>
      </c>
      <c r="AF8" s="80">
        <f>SUMIFS('октябрь 2024'!$G$5:$G$2162,'октябрь 2024'!$D$5:$D$2162,$B8,'октябрь 2024'!$J$5:$J$2162,AF$1)</f>
        <v>0</v>
      </c>
      <c r="AG8" s="80">
        <f>SUMIFS('октябрь 2024'!$G$5:$G$2162,'октябрь 2024'!$D$5:$D$2162,$B8,'октябрь 2024'!$J$5:$J$2162,AG$1)</f>
        <v>0</v>
      </c>
      <c r="AH8" s="80">
        <f>SUMIFS('октябрь 2024'!$G$5:$G$2162,'октябрь 2024'!$D$5:$D$2162,$B8,'октябрь 2024'!$J$5:$J$2162,AH$1)</f>
        <v>0</v>
      </c>
      <c r="AI8" s="21">
        <f t="shared" si="1"/>
        <v>0</v>
      </c>
    </row>
    <row r="9" spans="2:35" ht="15" customHeight="1" x14ac:dyDescent="0.25">
      <c r="B9" s="81" t="s">
        <v>287</v>
      </c>
      <c r="C9" s="82">
        <v>25</v>
      </c>
      <c r="D9" s="80">
        <f>SUMIFS('октябрь 2024'!$G$5:$G$2162,'октябрь 2024'!$D$5:$D$2162,$B9,'октябрь 2024'!$J$5:$J$2162,D$1)</f>
        <v>0</v>
      </c>
      <c r="E9" s="80">
        <f>SUMIFS('октябрь 2024'!$G$5:$G$2162,'октябрь 2024'!$D$5:$D$2162,$B9,'октябрь 2024'!$J$5:$J$2162,E$1)</f>
        <v>0</v>
      </c>
      <c r="F9" s="80">
        <f>SUMIFS('октябрь 2024'!$G$5:$G$2162,'октябрь 2024'!$D$5:$D$2162,$B9,'октябрь 2024'!$J$5:$J$2162,F$1)</f>
        <v>0</v>
      </c>
      <c r="G9" s="80">
        <f>SUMIFS('октябрь 2024'!$G$5:$G$2162,'октябрь 2024'!$D$5:$D$2162,$B9,'октябрь 2024'!$J$5:$J$2162,G$1)</f>
        <v>520</v>
      </c>
      <c r="H9" s="80">
        <f>SUMIFS('октябрь 2024'!$G$5:$G$2162,'октябрь 2024'!$D$5:$D$2162,$B9,'октябрь 2024'!$J$5:$J$2162,H$1)</f>
        <v>0</v>
      </c>
      <c r="I9" s="80">
        <f>SUMIFS('октябрь 2024'!$G$5:$G$2162,'октябрь 2024'!$D$5:$D$2162,$B9,'октябрь 2024'!$J$5:$J$2162,I$1)</f>
        <v>0</v>
      </c>
      <c r="J9" s="80">
        <f>SUMIFS('октябрь 2024'!$G$5:$G$2162,'октябрь 2024'!$D$5:$D$2162,$B9,'октябрь 2024'!$J$5:$J$2162,J$1)</f>
        <v>0</v>
      </c>
      <c r="K9" s="80">
        <f>SUMIFS('октябрь 2024'!$G$5:$G$2162,'октябрь 2024'!$D$5:$D$2162,$B9,'октябрь 2024'!$J$5:$J$2162,K$1)</f>
        <v>0</v>
      </c>
      <c r="L9" s="80">
        <f>SUMIFS('октябрь 2024'!$G$5:$G$2162,'октябрь 2024'!$D$5:$D$2162,$B9,'октябрь 2024'!$J$5:$J$2162,L$1)</f>
        <v>0</v>
      </c>
      <c r="M9" s="80">
        <f>SUMIFS('октябрь 2024'!$G$5:$G$2162,'октябрь 2024'!$D$5:$D$2162,$B9,'октябрь 2024'!$J$5:$J$2162,M$1)</f>
        <v>0</v>
      </c>
      <c r="N9" s="80">
        <f>SUMIFS('октябрь 2024'!$G$5:$G$2162,'октябрь 2024'!$D$5:$D$2162,$B9,'октябрь 2024'!$J$5:$J$2162,N$1)</f>
        <v>0</v>
      </c>
      <c r="O9" s="80">
        <f>SUMIFS('октябрь 2024'!$G$5:$G$2162,'октябрь 2024'!$D$5:$D$2162,$B9,'октябрь 2024'!$J$5:$J$2162,O$1)</f>
        <v>0</v>
      </c>
      <c r="P9" s="80">
        <f>SUMIFS('октябрь 2024'!$G$5:$G$2162,'октябрь 2024'!$D$5:$D$2162,$B9,'октябрь 2024'!$J$5:$J$2162,P$1)</f>
        <v>0</v>
      </c>
      <c r="Q9" s="80">
        <f>SUMIFS('октябрь 2024'!$G$5:$G$2162,'октябрь 2024'!$D$5:$D$2162,$B9,'октябрь 2024'!$J$5:$J$2162,Q$1)</f>
        <v>0</v>
      </c>
      <c r="R9" s="80">
        <f>SUMIFS('октябрь 2024'!$G$5:$G$2162,'октябрь 2024'!$D$5:$D$2162,$B9,'октябрь 2024'!$J$5:$J$2162,R$1)</f>
        <v>0</v>
      </c>
      <c r="S9" s="80">
        <f>SUMIFS('октябрь 2024'!$G$5:$G$2162,'октябрь 2024'!$D$5:$D$2162,$B9,'октябрь 2024'!$J$5:$J$2162,S$1)</f>
        <v>0</v>
      </c>
      <c r="T9" s="80">
        <f>SUMIFS('октябрь 2024'!$G$5:$G$2162,'октябрь 2024'!$D$5:$D$2162,$B9,'октябрь 2024'!$J$5:$J$2162,T$1)</f>
        <v>0</v>
      </c>
      <c r="U9" s="80">
        <f>SUMIFS('октябрь 2024'!$G$5:$G$2162,'октябрь 2024'!$D$5:$D$2162,$B9,'октябрь 2024'!$J$5:$J$2162,U$1)</f>
        <v>800</v>
      </c>
      <c r="V9" s="80">
        <f>SUMIFS('октябрь 2024'!$G$5:$G$2162,'октябрь 2024'!$D$5:$D$2162,$B9,'октябрь 2024'!$J$5:$J$2162,V$1)</f>
        <v>0</v>
      </c>
      <c r="W9" s="80">
        <f>SUMIFS('октябрь 2024'!$G$5:$G$2162,'октябрь 2024'!$D$5:$D$2162,$B9,'октябрь 2024'!$J$5:$J$2162,W$1)</f>
        <v>0</v>
      </c>
      <c r="X9" s="80">
        <f>SUMIFS('октябрь 2024'!$G$5:$G$2162,'октябрь 2024'!$D$5:$D$2162,$B9,'октябрь 2024'!$J$5:$J$2162,X$1)</f>
        <v>0</v>
      </c>
      <c r="Y9" s="80">
        <f>SUMIFS('октябрь 2024'!$G$5:$G$2162,'октябрь 2024'!$D$5:$D$2162,$B9,'октябрь 2024'!$J$5:$J$2162,Y$1)</f>
        <v>0</v>
      </c>
      <c r="Z9" s="80">
        <f>SUMIFS('октябрь 2024'!$G$5:$G$2162,'октябрь 2024'!$D$5:$D$2162,$B9,'октябрь 2024'!$J$5:$J$2162,Z$1)</f>
        <v>0</v>
      </c>
      <c r="AA9" s="80">
        <f>SUMIFS('октябрь 2024'!$G$5:$G$2162,'октябрь 2024'!$D$5:$D$2162,$B9,'октябрь 2024'!$J$5:$J$2162,AA$1)</f>
        <v>0</v>
      </c>
      <c r="AB9" s="80">
        <f>SUMIFS('октябрь 2024'!$G$5:$G$2162,'октябрь 2024'!$D$5:$D$2162,$B9,'октябрь 2024'!$J$5:$J$2162,AB$1)</f>
        <v>0</v>
      </c>
      <c r="AC9" s="80">
        <f>SUMIFS('октябрь 2024'!$G$5:$G$2162,'октябрь 2024'!$D$5:$D$2162,$B9,'октябрь 2024'!$J$5:$J$2162,AC$1)</f>
        <v>0</v>
      </c>
      <c r="AD9" s="80">
        <f>SUMIFS('октябрь 2024'!$G$5:$G$2162,'октябрь 2024'!$D$5:$D$2162,$B9,'октябрь 2024'!$J$5:$J$2162,AD$1)</f>
        <v>0</v>
      </c>
      <c r="AE9" s="80">
        <f>SUMIFS('октябрь 2024'!$G$5:$G$2162,'октябрь 2024'!$D$5:$D$2162,$B9,'октябрь 2024'!$J$5:$J$2162,AE$1)</f>
        <v>0</v>
      </c>
      <c r="AF9" s="80">
        <f>SUMIFS('октябрь 2024'!$G$5:$G$2162,'октябрь 2024'!$D$5:$D$2162,$B9,'октябрь 2024'!$J$5:$J$2162,AF$1)</f>
        <v>0</v>
      </c>
      <c r="AG9" s="80">
        <f>SUMIFS('октябрь 2024'!$G$5:$G$2162,'октябрь 2024'!$D$5:$D$2162,$B9,'октябрь 2024'!$J$5:$J$2162,AG$1)</f>
        <v>0</v>
      </c>
      <c r="AH9" s="80">
        <f>SUMIFS('октябрь 2024'!$G$5:$G$2162,'октябрь 2024'!$D$5:$D$2162,$B9,'октябрь 2024'!$J$5:$J$2162,AH$1)</f>
        <v>0</v>
      </c>
      <c r="AI9" s="21">
        <f t="shared" si="1"/>
        <v>1320</v>
      </c>
    </row>
    <row r="10" spans="2:35" ht="15" customHeight="1" x14ac:dyDescent="0.25">
      <c r="B10" s="81" t="s">
        <v>289</v>
      </c>
      <c r="C10" s="82">
        <v>25</v>
      </c>
      <c r="D10" s="80">
        <f>SUMIFS('октябрь 2024'!$G$5:$G$2162,'октябрь 2024'!$D$5:$D$2162,$B10,'октябрь 2024'!$J$5:$J$2162,D$1)</f>
        <v>0</v>
      </c>
      <c r="E10" s="80">
        <f>SUMIFS('октябрь 2024'!$G$5:$G$2162,'октябрь 2024'!$D$5:$D$2162,$B10,'октябрь 2024'!$J$5:$J$2162,E$1)</f>
        <v>0</v>
      </c>
      <c r="F10" s="80">
        <f>SUMIFS('октябрь 2024'!$G$5:$G$2162,'октябрь 2024'!$D$5:$D$2162,$B10,'октябрь 2024'!$J$5:$J$2162,F$1)</f>
        <v>0</v>
      </c>
      <c r="G10" s="80">
        <f>SUMIFS('октябрь 2024'!$G$5:$G$2162,'октябрь 2024'!$D$5:$D$2162,$B10,'октябрь 2024'!$J$5:$J$2162,G$1)</f>
        <v>0</v>
      </c>
      <c r="H10" s="80">
        <f>SUMIFS('октябрь 2024'!$G$5:$G$2162,'октябрь 2024'!$D$5:$D$2162,$B10,'октябрь 2024'!$J$5:$J$2162,H$1)</f>
        <v>0</v>
      </c>
      <c r="I10" s="80">
        <f>SUMIFS('октябрь 2024'!$G$5:$G$2162,'октябрь 2024'!$D$5:$D$2162,$B10,'октябрь 2024'!$J$5:$J$2162,I$1)</f>
        <v>0</v>
      </c>
      <c r="J10" s="80">
        <f>SUMIFS('октябрь 2024'!$G$5:$G$2162,'октябрь 2024'!$D$5:$D$2162,$B10,'октябрь 2024'!$J$5:$J$2162,J$1)</f>
        <v>0</v>
      </c>
      <c r="K10" s="80">
        <f>SUMIFS('октябрь 2024'!$G$5:$G$2162,'октябрь 2024'!$D$5:$D$2162,$B10,'октябрь 2024'!$J$5:$J$2162,K$1)</f>
        <v>0</v>
      </c>
      <c r="L10" s="80">
        <f>SUMIFS('октябрь 2024'!$G$5:$G$2162,'октябрь 2024'!$D$5:$D$2162,$B10,'октябрь 2024'!$J$5:$J$2162,L$1)</f>
        <v>0</v>
      </c>
      <c r="M10" s="80">
        <f>SUMIFS('октябрь 2024'!$G$5:$G$2162,'октябрь 2024'!$D$5:$D$2162,$B10,'октябрь 2024'!$J$5:$J$2162,M$1)</f>
        <v>0</v>
      </c>
      <c r="N10" s="80">
        <f>SUMIFS('октябрь 2024'!$G$5:$G$2162,'октябрь 2024'!$D$5:$D$2162,$B10,'октябрь 2024'!$J$5:$J$2162,N$1)</f>
        <v>0</v>
      </c>
      <c r="O10" s="80">
        <f>SUMIFS('октябрь 2024'!$G$5:$G$2162,'октябрь 2024'!$D$5:$D$2162,$B10,'октябрь 2024'!$J$5:$J$2162,O$1)</f>
        <v>0</v>
      </c>
      <c r="P10" s="80">
        <f>SUMIFS('октябрь 2024'!$G$5:$G$2162,'октябрь 2024'!$D$5:$D$2162,$B10,'октябрь 2024'!$J$5:$J$2162,P$1)</f>
        <v>0</v>
      </c>
      <c r="Q10" s="80">
        <f>SUMIFS('октябрь 2024'!$G$5:$G$2162,'октябрь 2024'!$D$5:$D$2162,$B10,'октябрь 2024'!$J$5:$J$2162,Q$1)</f>
        <v>0</v>
      </c>
      <c r="R10" s="80">
        <f>SUMIFS('октябрь 2024'!$G$5:$G$2162,'октябрь 2024'!$D$5:$D$2162,$B10,'октябрь 2024'!$J$5:$J$2162,R$1)</f>
        <v>0</v>
      </c>
      <c r="S10" s="80">
        <f>SUMIFS('октябрь 2024'!$G$5:$G$2162,'октябрь 2024'!$D$5:$D$2162,$B10,'октябрь 2024'!$J$5:$J$2162,S$1)</f>
        <v>0</v>
      </c>
      <c r="T10" s="80">
        <f>SUMIFS('октябрь 2024'!$G$5:$G$2162,'октябрь 2024'!$D$5:$D$2162,$B10,'октябрь 2024'!$J$5:$J$2162,T$1)</f>
        <v>0</v>
      </c>
      <c r="U10" s="80">
        <f>SUMIFS('октябрь 2024'!$G$5:$G$2162,'октябрь 2024'!$D$5:$D$2162,$B10,'октябрь 2024'!$J$5:$J$2162,U$1)</f>
        <v>0</v>
      </c>
      <c r="V10" s="80">
        <f>SUMIFS('октябрь 2024'!$G$5:$G$2162,'октябрь 2024'!$D$5:$D$2162,$B10,'октябрь 2024'!$J$5:$J$2162,V$1)</f>
        <v>0</v>
      </c>
      <c r="W10" s="80">
        <f>SUMIFS('октябрь 2024'!$G$5:$G$2162,'октябрь 2024'!$D$5:$D$2162,$B10,'октябрь 2024'!$J$5:$J$2162,W$1)</f>
        <v>0</v>
      </c>
      <c r="X10" s="80">
        <f>SUMIFS('октябрь 2024'!$G$5:$G$2162,'октябрь 2024'!$D$5:$D$2162,$B10,'октябрь 2024'!$J$5:$J$2162,X$1)</f>
        <v>0</v>
      </c>
      <c r="Y10" s="80">
        <f>SUMIFS('октябрь 2024'!$G$5:$G$2162,'октябрь 2024'!$D$5:$D$2162,$B10,'октябрь 2024'!$J$5:$J$2162,Y$1)</f>
        <v>0</v>
      </c>
      <c r="Z10" s="80">
        <f>SUMIFS('октябрь 2024'!$G$5:$G$2162,'октябрь 2024'!$D$5:$D$2162,$B10,'октябрь 2024'!$J$5:$J$2162,Z$1)</f>
        <v>0</v>
      </c>
      <c r="AA10" s="80">
        <f>SUMIFS('октябрь 2024'!$G$5:$G$2162,'октябрь 2024'!$D$5:$D$2162,$B10,'октябрь 2024'!$J$5:$J$2162,AA$1)</f>
        <v>0</v>
      </c>
      <c r="AB10" s="80">
        <f>SUMIFS('октябрь 2024'!$G$5:$G$2162,'октябрь 2024'!$D$5:$D$2162,$B10,'октябрь 2024'!$J$5:$J$2162,AB$1)</f>
        <v>800</v>
      </c>
      <c r="AC10" s="80">
        <f>SUMIFS('октябрь 2024'!$G$5:$G$2162,'октябрь 2024'!$D$5:$D$2162,$B10,'октябрь 2024'!$J$5:$J$2162,AC$1)</f>
        <v>0</v>
      </c>
      <c r="AD10" s="80">
        <f>SUMIFS('октябрь 2024'!$G$5:$G$2162,'октябрь 2024'!$D$5:$D$2162,$B10,'октябрь 2024'!$J$5:$J$2162,AD$1)</f>
        <v>0</v>
      </c>
      <c r="AE10" s="80">
        <f>SUMIFS('октябрь 2024'!$G$5:$G$2162,'октябрь 2024'!$D$5:$D$2162,$B10,'октябрь 2024'!$J$5:$J$2162,AE$1)</f>
        <v>0</v>
      </c>
      <c r="AF10" s="80">
        <f>SUMIFS('октябрь 2024'!$G$5:$G$2162,'октябрь 2024'!$D$5:$D$2162,$B10,'октябрь 2024'!$J$5:$J$2162,AF$1)</f>
        <v>0</v>
      </c>
      <c r="AG10" s="80">
        <f>SUMIFS('октябрь 2024'!$G$5:$G$2162,'октябрь 2024'!$D$5:$D$2162,$B10,'октябрь 2024'!$J$5:$J$2162,AG$1)</f>
        <v>0</v>
      </c>
      <c r="AH10" s="80">
        <f>SUMIFS('октябрь 2024'!$G$5:$G$2162,'октябрь 2024'!$D$5:$D$2162,$B10,'октябрь 2024'!$J$5:$J$2162,AH$1)</f>
        <v>0</v>
      </c>
      <c r="AI10" s="21">
        <f t="shared" si="1"/>
        <v>800</v>
      </c>
    </row>
    <row r="11" spans="2:35" ht="15" customHeight="1" x14ac:dyDescent="0.25">
      <c r="B11" s="84" t="s">
        <v>291</v>
      </c>
      <c r="C11" s="85">
        <v>22.68</v>
      </c>
      <c r="D11" s="80">
        <f>SUMIFS('октябрь 2024'!$G$5:$G$2162,'октябрь 2024'!$D$5:$D$2162,$B11,'октябрь 2024'!$J$5:$J$2162,D$1)</f>
        <v>0</v>
      </c>
      <c r="E11" s="80">
        <f>SUMIFS('октябрь 2024'!$G$5:$G$2162,'октябрь 2024'!$D$5:$D$2162,$B11,'октябрь 2024'!$J$5:$J$2162,E$1)</f>
        <v>0</v>
      </c>
      <c r="F11" s="80">
        <f>SUMIFS('октябрь 2024'!$G$5:$G$2162,'октябрь 2024'!$D$5:$D$2162,$B11,'октябрь 2024'!$J$5:$J$2162,F$1)</f>
        <v>0</v>
      </c>
      <c r="G11" s="80">
        <f>SUMIFS('октябрь 2024'!$G$5:$G$2162,'октябрь 2024'!$D$5:$D$2162,$B11,'октябрь 2024'!$J$5:$J$2162,G$1)</f>
        <v>0</v>
      </c>
      <c r="H11" s="80">
        <f>SUMIFS('октябрь 2024'!$G$5:$G$2162,'октябрь 2024'!$D$5:$D$2162,$B11,'октябрь 2024'!$J$5:$J$2162,H$1)</f>
        <v>0</v>
      </c>
      <c r="I11" s="80">
        <f>SUMIFS('октябрь 2024'!$G$5:$G$2162,'октябрь 2024'!$D$5:$D$2162,$B11,'октябрь 2024'!$J$5:$J$2162,I$1)</f>
        <v>0</v>
      </c>
      <c r="J11" s="80">
        <f>SUMIFS('октябрь 2024'!$G$5:$G$2162,'октябрь 2024'!$D$5:$D$2162,$B11,'октябрь 2024'!$J$5:$J$2162,J$1)</f>
        <v>0</v>
      </c>
      <c r="K11" s="80">
        <f>SUMIFS('октябрь 2024'!$G$5:$G$2162,'октябрь 2024'!$D$5:$D$2162,$B11,'октябрь 2024'!$J$5:$J$2162,K$1)</f>
        <v>0</v>
      </c>
      <c r="L11" s="80">
        <f>SUMIFS('октябрь 2024'!$G$5:$G$2162,'октябрь 2024'!$D$5:$D$2162,$B11,'октябрь 2024'!$J$5:$J$2162,L$1)</f>
        <v>0</v>
      </c>
      <c r="M11" s="80">
        <f>SUMIFS('октябрь 2024'!$G$5:$G$2162,'октябрь 2024'!$D$5:$D$2162,$B11,'октябрь 2024'!$J$5:$J$2162,M$1)</f>
        <v>0</v>
      </c>
      <c r="N11" s="80">
        <f>SUMIFS('октябрь 2024'!$G$5:$G$2162,'октябрь 2024'!$D$5:$D$2162,$B11,'октябрь 2024'!$J$5:$J$2162,N$1)</f>
        <v>0</v>
      </c>
      <c r="O11" s="80">
        <f>SUMIFS('октябрь 2024'!$G$5:$G$2162,'октябрь 2024'!$D$5:$D$2162,$B11,'октябрь 2024'!$J$5:$J$2162,O$1)</f>
        <v>0</v>
      </c>
      <c r="P11" s="80">
        <f>SUMIFS('октябрь 2024'!$G$5:$G$2162,'октябрь 2024'!$D$5:$D$2162,$B11,'октябрь 2024'!$J$5:$J$2162,P$1)</f>
        <v>0</v>
      </c>
      <c r="Q11" s="80">
        <f>SUMIFS('октябрь 2024'!$G$5:$G$2162,'октябрь 2024'!$D$5:$D$2162,$B11,'октябрь 2024'!$J$5:$J$2162,Q$1)</f>
        <v>0</v>
      </c>
      <c r="R11" s="80">
        <f>SUMIFS('октябрь 2024'!$G$5:$G$2162,'октябрь 2024'!$D$5:$D$2162,$B11,'октябрь 2024'!$J$5:$J$2162,R$1)</f>
        <v>0</v>
      </c>
      <c r="S11" s="80">
        <f>SUMIFS('октябрь 2024'!$G$5:$G$2162,'октябрь 2024'!$D$5:$D$2162,$B11,'октябрь 2024'!$J$5:$J$2162,S$1)</f>
        <v>0</v>
      </c>
      <c r="T11" s="80">
        <f>SUMIFS('октябрь 2024'!$G$5:$G$2162,'октябрь 2024'!$D$5:$D$2162,$B11,'октябрь 2024'!$J$5:$J$2162,T$1)</f>
        <v>0</v>
      </c>
      <c r="U11" s="80">
        <f>SUMIFS('октябрь 2024'!$G$5:$G$2162,'октябрь 2024'!$D$5:$D$2162,$B11,'октябрь 2024'!$J$5:$J$2162,U$1)</f>
        <v>0</v>
      </c>
      <c r="V11" s="80">
        <f>SUMIFS('октябрь 2024'!$G$5:$G$2162,'октябрь 2024'!$D$5:$D$2162,$B11,'октябрь 2024'!$J$5:$J$2162,V$1)</f>
        <v>0</v>
      </c>
      <c r="W11" s="80">
        <f>SUMIFS('октябрь 2024'!$G$5:$G$2162,'октябрь 2024'!$D$5:$D$2162,$B11,'октябрь 2024'!$J$5:$J$2162,W$1)</f>
        <v>0</v>
      </c>
      <c r="X11" s="80">
        <f>SUMIFS('октябрь 2024'!$G$5:$G$2162,'октябрь 2024'!$D$5:$D$2162,$B11,'октябрь 2024'!$J$5:$J$2162,X$1)</f>
        <v>0</v>
      </c>
      <c r="Y11" s="80">
        <f>SUMIFS('октябрь 2024'!$G$5:$G$2162,'октябрь 2024'!$D$5:$D$2162,$B11,'октябрь 2024'!$J$5:$J$2162,Y$1)</f>
        <v>0</v>
      </c>
      <c r="Z11" s="80">
        <f>SUMIFS('октябрь 2024'!$G$5:$G$2162,'октябрь 2024'!$D$5:$D$2162,$B11,'октябрь 2024'!$J$5:$J$2162,Z$1)</f>
        <v>0</v>
      </c>
      <c r="AA11" s="80">
        <f>SUMIFS('октябрь 2024'!$G$5:$G$2162,'октябрь 2024'!$D$5:$D$2162,$B11,'октябрь 2024'!$J$5:$J$2162,AA$1)</f>
        <v>0</v>
      </c>
      <c r="AB11" s="80">
        <f>SUMIFS('октябрь 2024'!$G$5:$G$2162,'октябрь 2024'!$D$5:$D$2162,$B11,'октябрь 2024'!$J$5:$J$2162,AB$1)</f>
        <v>0</v>
      </c>
      <c r="AC11" s="80">
        <f>SUMIFS('октябрь 2024'!$G$5:$G$2162,'октябрь 2024'!$D$5:$D$2162,$B11,'октябрь 2024'!$J$5:$J$2162,AC$1)</f>
        <v>0</v>
      </c>
      <c r="AD11" s="80">
        <f>SUMIFS('октябрь 2024'!$G$5:$G$2162,'октябрь 2024'!$D$5:$D$2162,$B11,'октябрь 2024'!$J$5:$J$2162,AD$1)</f>
        <v>0</v>
      </c>
      <c r="AE11" s="80">
        <f>SUMIFS('октябрь 2024'!$G$5:$G$2162,'октябрь 2024'!$D$5:$D$2162,$B11,'октябрь 2024'!$J$5:$J$2162,AE$1)</f>
        <v>0</v>
      </c>
      <c r="AF11" s="80">
        <f>SUMIFS('октябрь 2024'!$G$5:$G$2162,'октябрь 2024'!$D$5:$D$2162,$B11,'октябрь 2024'!$J$5:$J$2162,AF$1)</f>
        <v>0</v>
      </c>
      <c r="AG11" s="80">
        <f>SUMIFS('октябрь 2024'!$G$5:$G$2162,'октябрь 2024'!$D$5:$D$2162,$B11,'октябрь 2024'!$J$5:$J$2162,AG$1)</f>
        <v>0</v>
      </c>
      <c r="AH11" s="80">
        <f>SUMIFS('октябрь 2024'!$G$5:$G$2162,'октябрь 2024'!$D$5:$D$2162,$B11,'октябрь 2024'!$J$5:$J$2162,AH$1)</f>
        <v>0</v>
      </c>
      <c r="AI11" s="21">
        <f t="shared" si="1"/>
        <v>0</v>
      </c>
    </row>
    <row r="12" spans="2:35" ht="15" customHeight="1" x14ac:dyDescent="0.25">
      <c r="B12" s="84" t="s">
        <v>1880</v>
      </c>
      <c r="C12" s="85">
        <v>22.7</v>
      </c>
      <c r="D12" s="80">
        <f>SUMIFS('октябрь 2024'!$G$5:$G$2162,'октябрь 2024'!$D$5:$D$2162,$B12,'октябрь 2024'!$J$5:$J$2162,D$1)</f>
        <v>0</v>
      </c>
      <c r="E12" s="80">
        <f>SUMIFS('октябрь 2024'!$G$5:$G$2162,'октябрь 2024'!$D$5:$D$2162,$B12,'октябрь 2024'!$J$5:$J$2162,E$1)</f>
        <v>0</v>
      </c>
      <c r="F12" s="80">
        <f>SUMIFS('октябрь 2024'!$G$5:$G$2162,'октябрь 2024'!$D$5:$D$2162,$B12,'октябрь 2024'!$J$5:$J$2162,F$1)</f>
        <v>0</v>
      </c>
      <c r="G12" s="80">
        <f>SUMIFS('октябрь 2024'!$G$5:$G$2162,'октябрь 2024'!$D$5:$D$2162,$B12,'октябрь 2024'!$J$5:$J$2162,G$1)</f>
        <v>0</v>
      </c>
      <c r="H12" s="80">
        <f>SUMIFS('октябрь 2024'!$G$5:$G$2162,'октябрь 2024'!$D$5:$D$2162,$B12,'октябрь 2024'!$J$5:$J$2162,H$1)</f>
        <v>0</v>
      </c>
      <c r="I12" s="80">
        <f>SUMIFS('октябрь 2024'!$G$5:$G$2162,'октябрь 2024'!$D$5:$D$2162,$B12,'октябрь 2024'!$J$5:$J$2162,I$1)</f>
        <v>0</v>
      </c>
      <c r="J12" s="80">
        <f>SUMIFS('октябрь 2024'!$G$5:$G$2162,'октябрь 2024'!$D$5:$D$2162,$B12,'октябрь 2024'!$J$5:$J$2162,J$1)</f>
        <v>0</v>
      </c>
      <c r="K12" s="80">
        <f>SUMIFS('октябрь 2024'!$G$5:$G$2162,'октябрь 2024'!$D$5:$D$2162,$B12,'октябрь 2024'!$J$5:$J$2162,K$1)</f>
        <v>0</v>
      </c>
      <c r="L12" s="80">
        <f>SUMIFS('октябрь 2024'!$G$5:$G$2162,'октябрь 2024'!$D$5:$D$2162,$B12,'октябрь 2024'!$J$5:$J$2162,L$1)</f>
        <v>0</v>
      </c>
      <c r="M12" s="80">
        <f>SUMIFS('октябрь 2024'!$G$5:$G$2162,'октябрь 2024'!$D$5:$D$2162,$B12,'октябрь 2024'!$J$5:$J$2162,M$1)</f>
        <v>0</v>
      </c>
      <c r="N12" s="80">
        <f>SUMIFS('октябрь 2024'!$G$5:$G$2162,'октябрь 2024'!$D$5:$D$2162,$B12,'октябрь 2024'!$J$5:$J$2162,N$1)</f>
        <v>0</v>
      </c>
      <c r="O12" s="80">
        <f>SUMIFS('октябрь 2024'!$G$5:$G$2162,'октябрь 2024'!$D$5:$D$2162,$B12,'октябрь 2024'!$J$5:$J$2162,O$1)</f>
        <v>0</v>
      </c>
      <c r="P12" s="80">
        <f>SUMIFS('октябрь 2024'!$G$5:$G$2162,'октябрь 2024'!$D$5:$D$2162,$B12,'октябрь 2024'!$J$5:$J$2162,P$1)</f>
        <v>0</v>
      </c>
      <c r="Q12" s="80">
        <f>SUMIFS('октябрь 2024'!$G$5:$G$2162,'октябрь 2024'!$D$5:$D$2162,$B12,'октябрь 2024'!$J$5:$J$2162,Q$1)</f>
        <v>0</v>
      </c>
      <c r="R12" s="80">
        <f>SUMIFS('октябрь 2024'!$G$5:$G$2162,'октябрь 2024'!$D$5:$D$2162,$B12,'октябрь 2024'!$J$5:$J$2162,R$1)</f>
        <v>0</v>
      </c>
      <c r="S12" s="80">
        <f>SUMIFS('октябрь 2024'!$G$5:$G$2162,'октябрь 2024'!$D$5:$D$2162,$B12,'октябрь 2024'!$J$5:$J$2162,S$1)</f>
        <v>0</v>
      </c>
      <c r="T12" s="80">
        <f>SUMIFS('октябрь 2024'!$G$5:$G$2162,'октябрь 2024'!$D$5:$D$2162,$B12,'октябрь 2024'!$J$5:$J$2162,T$1)</f>
        <v>0</v>
      </c>
      <c r="U12" s="80">
        <f>SUMIFS('октябрь 2024'!$G$5:$G$2162,'октябрь 2024'!$D$5:$D$2162,$B12,'октябрь 2024'!$J$5:$J$2162,U$1)</f>
        <v>0</v>
      </c>
      <c r="V12" s="80">
        <f>SUMIFS('октябрь 2024'!$G$5:$G$2162,'октябрь 2024'!$D$5:$D$2162,$B12,'октябрь 2024'!$J$5:$J$2162,V$1)</f>
        <v>0</v>
      </c>
      <c r="W12" s="80">
        <f>SUMIFS('октябрь 2024'!$G$5:$G$2162,'октябрь 2024'!$D$5:$D$2162,$B12,'октябрь 2024'!$J$5:$J$2162,W$1)</f>
        <v>0</v>
      </c>
      <c r="X12" s="80">
        <f>SUMIFS('октябрь 2024'!$G$5:$G$2162,'октябрь 2024'!$D$5:$D$2162,$B12,'октябрь 2024'!$J$5:$J$2162,X$1)</f>
        <v>0</v>
      </c>
      <c r="Y12" s="80">
        <f>SUMIFS('октябрь 2024'!$G$5:$G$2162,'октябрь 2024'!$D$5:$D$2162,$B12,'октябрь 2024'!$J$5:$J$2162,Y$1)</f>
        <v>0</v>
      </c>
      <c r="Z12" s="80">
        <f>SUMIFS('октябрь 2024'!$G$5:$G$2162,'октябрь 2024'!$D$5:$D$2162,$B12,'октябрь 2024'!$J$5:$J$2162,Z$1)</f>
        <v>700</v>
      </c>
      <c r="AA12" s="80">
        <f>SUMIFS('октябрь 2024'!$G$5:$G$2162,'октябрь 2024'!$D$5:$D$2162,$B12,'октябрь 2024'!$J$5:$J$2162,AA$1)</f>
        <v>0</v>
      </c>
      <c r="AB12" s="80">
        <f>SUMIFS('октябрь 2024'!$G$5:$G$2162,'октябрь 2024'!$D$5:$D$2162,$B12,'октябрь 2024'!$J$5:$J$2162,AB$1)</f>
        <v>0</v>
      </c>
      <c r="AC12" s="80">
        <f>SUMIFS('октябрь 2024'!$G$5:$G$2162,'октябрь 2024'!$D$5:$D$2162,$B12,'октябрь 2024'!$J$5:$J$2162,AC$1)</f>
        <v>0</v>
      </c>
      <c r="AD12" s="80">
        <f>SUMIFS('октябрь 2024'!$G$5:$G$2162,'октябрь 2024'!$D$5:$D$2162,$B12,'октябрь 2024'!$J$5:$J$2162,AD$1)</f>
        <v>0</v>
      </c>
      <c r="AE12" s="80">
        <f>SUMIFS('октябрь 2024'!$G$5:$G$2162,'октябрь 2024'!$D$5:$D$2162,$B12,'октябрь 2024'!$J$5:$J$2162,AE$1)</f>
        <v>0</v>
      </c>
      <c r="AF12" s="80">
        <f>SUMIFS('октябрь 2024'!$G$5:$G$2162,'октябрь 2024'!$D$5:$D$2162,$B12,'октябрь 2024'!$J$5:$J$2162,AF$1)</f>
        <v>0</v>
      </c>
      <c r="AG12" s="80">
        <f>SUMIFS('октябрь 2024'!$G$5:$G$2162,'октябрь 2024'!$D$5:$D$2162,$B12,'октябрь 2024'!$J$5:$J$2162,AG$1)</f>
        <v>0</v>
      </c>
      <c r="AH12" s="80">
        <f>SUMIFS('октябрь 2024'!$G$5:$G$2162,'октябрь 2024'!$D$5:$D$2162,$B12,'октябрь 2024'!$J$5:$J$2162,AH$1)</f>
        <v>0</v>
      </c>
      <c r="AI12" s="21">
        <f t="shared" si="1"/>
        <v>700</v>
      </c>
    </row>
    <row r="13" spans="2:35" ht="15" customHeight="1" x14ac:dyDescent="0.25">
      <c r="B13" s="84" t="s">
        <v>1043</v>
      </c>
      <c r="C13" s="85">
        <v>25</v>
      </c>
      <c r="D13" s="80">
        <f>SUMIFS('октябрь 2024'!$G$5:$G$2162,'октябрь 2024'!$D$5:$D$2162,$B13,'октябрь 2024'!$J$5:$J$2162,D$1)</f>
        <v>0</v>
      </c>
      <c r="E13" s="80">
        <f>SUMIFS('октябрь 2024'!$G$5:$G$2162,'октябрь 2024'!$D$5:$D$2162,$B13,'октябрь 2024'!$J$5:$J$2162,E$1)</f>
        <v>0</v>
      </c>
      <c r="F13" s="80">
        <f>SUMIFS('октябрь 2024'!$G$5:$G$2162,'октябрь 2024'!$D$5:$D$2162,$B13,'октябрь 2024'!$J$5:$J$2162,F$1)</f>
        <v>0</v>
      </c>
      <c r="G13" s="80">
        <f>SUMIFS('октябрь 2024'!$G$5:$G$2162,'октябрь 2024'!$D$5:$D$2162,$B13,'октябрь 2024'!$J$5:$J$2162,G$1)</f>
        <v>0</v>
      </c>
      <c r="H13" s="80">
        <f>SUMIFS('октябрь 2024'!$G$5:$G$2162,'октябрь 2024'!$D$5:$D$2162,$B13,'октябрь 2024'!$J$5:$J$2162,H$1)</f>
        <v>0</v>
      </c>
      <c r="I13" s="80">
        <f>SUMIFS('октябрь 2024'!$G$5:$G$2162,'октябрь 2024'!$D$5:$D$2162,$B13,'октябрь 2024'!$J$5:$J$2162,I$1)</f>
        <v>0</v>
      </c>
      <c r="J13" s="80">
        <f>SUMIFS('октябрь 2024'!$G$5:$G$2162,'октябрь 2024'!$D$5:$D$2162,$B13,'октябрь 2024'!$J$5:$J$2162,J$1)</f>
        <v>0</v>
      </c>
      <c r="K13" s="80">
        <f>SUMIFS('октябрь 2024'!$G$5:$G$2162,'октябрь 2024'!$D$5:$D$2162,$B13,'октябрь 2024'!$J$5:$J$2162,K$1)</f>
        <v>0</v>
      </c>
      <c r="L13" s="80">
        <f>SUMIFS('октябрь 2024'!$G$5:$G$2162,'октябрь 2024'!$D$5:$D$2162,$B13,'октябрь 2024'!$J$5:$J$2162,L$1)</f>
        <v>0</v>
      </c>
      <c r="M13" s="80">
        <f>SUMIFS('октябрь 2024'!$G$5:$G$2162,'октябрь 2024'!$D$5:$D$2162,$B13,'октябрь 2024'!$J$5:$J$2162,M$1)</f>
        <v>0</v>
      </c>
      <c r="N13" s="80">
        <f>SUMIFS('октябрь 2024'!$G$5:$G$2162,'октябрь 2024'!$D$5:$D$2162,$B13,'октябрь 2024'!$J$5:$J$2162,N$1)</f>
        <v>0</v>
      </c>
      <c r="O13" s="80">
        <f>SUMIFS('октябрь 2024'!$G$5:$G$2162,'октябрь 2024'!$D$5:$D$2162,$B13,'октябрь 2024'!$J$5:$J$2162,O$1)</f>
        <v>0</v>
      </c>
      <c r="P13" s="80">
        <f>SUMIFS('октябрь 2024'!$G$5:$G$2162,'октябрь 2024'!$D$5:$D$2162,$B13,'октябрь 2024'!$J$5:$J$2162,P$1)</f>
        <v>0</v>
      </c>
      <c r="Q13" s="80">
        <f>SUMIFS('октябрь 2024'!$G$5:$G$2162,'октябрь 2024'!$D$5:$D$2162,$B13,'октябрь 2024'!$J$5:$J$2162,Q$1)</f>
        <v>0</v>
      </c>
      <c r="R13" s="80">
        <f>SUMIFS('октябрь 2024'!$G$5:$G$2162,'октябрь 2024'!$D$5:$D$2162,$B13,'октябрь 2024'!$J$5:$J$2162,R$1)</f>
        <v>0</v>
      </c>
      <c r="S13" s="80">
        <f>SUMIFS('октябрь 2024'!$G$5:$G$2162,'октябрь 2024'!$D$5:$D$2162,$B13,'октябрь 2024'!$J$5:$J$2162,S$1)</f>
        <v>0</v>
      </c>
      <c r="T13" s="80">
        <f>SUMIFS('октябрь 2024'!$G$5:$G$2162,'октябрь 2024'!$D$5:$D$2162,$B13,'октябрь 2024'!$J$5:$J$2162,T$1)</f>
        <v>0</v>
      </c>
      <c r="U13" s="80">
        <f>SUMIFS('октябрь 2024'!$G$5:$G$2162,'октябрь 2024'!$D$5:$D$2162,$B13,'октябрь 2024'!$J$5:$J$2162,U$1)</f>
        <v>0</v>
      </c>
      <c r="V13" s="80">
        <f>SUMIFS('октябрь 2024'!$G$5:$G$2162,'октябрь 2024'!$D$5:$D$2162,$B13,'октябрь 2024'!$J$5:$J$2162,V$1)</f>
        <v>0</v>
      </c>
      <c r="W13" s="80">
        <f>SUMIFS('октябрь 2024'!$G$5:$G$2162,'октябрь 2024'!$D$5:$D$2162,$B13,'октябрь 2024'!$J$5:$J$2162,W$1)</f>
        <v>0</v>
      </c>
      <c r="X13" s="80">
        <f>SUMIFS('октябрь 2024'!$G$5:$G$2162,'октябрь 2024'!$D$5:$D$2162,$B13,'октябрь 2024'!$J$5:$J$2162,X$1)</f>
        <v>0</v>
      </c>
      <c r="Y13" s="80">
        <f>SUMIFS('октябрь 2024'!$G$5:$G$2162,'октябрь 2024'!$D$5:$D$2162,$B13,'октябрь 2024'!$J$5:$J$2162,Y$1)</f>
        <v>0</v>
      </c>
      <c r="Z13" s="80">
        <f>SUMIFS('октябрь 2024'!$G$5:$G$2162,'октябрь 2024'!$D$5:$D$2162,$B13,'октябрь 2024'!$J$5:$J$2162,Z$1)</f>
        <v>0</v>
      </c>
      <c r="AA13" s="80">
        <f>SUMIFS('октябрь 2024'!$G$5:$G$2162,'октябрь 2024'!$D$5:$D$2162,$B13,'октябрь 2024'!$J$5:$J$2162,AA$1)</f>
        <v>0</v>
      </c>
      <c r="AB13" s="80">
        <f>SUMIFS('октябрь 2024'!$G$5:$G$2162,'октябрь 2024'!$D$5:$D$2162,$B13,'октябрь 2024'!$J$5:$J$2162,AB$1)</f>
        <v>0</v>
      </c>
      <c r="AC13" s="80">
        <f>SUMIFS('октябрь 2024'!$G$5:$G$2162,'октябрь 2024'!$D$5:$D$2162,$B13,'октябрь 2024'!$J$5:$J$2162,AC$1)</f>
        <v>0</v>
      </c>
      <c r="AD13" s="80">
        <f>SUMIFS('октябрь 2024'!$G$5:$G$2162,'октябрь 2024'!$D$5:$D$2162,$B13,'октябрь 2024'!$J$5:$J$2162,AD$1)</f>
        <v>0</v>
      </c>
      <c r="AE13" s="80">
        <f>SUMIFS('октябрь 2024'!$G$5:$G$2162,'октябрь 2024'!$D$5:$D$2162,$B13,'октябрь 2024'!$J$5:$J$2162,AE$1)</f>
        <v>0</v>
      </c>
      <c r="AF13" s="80">
        <f>SUMIFS('октябрь 2024'!$G$5:$G$2162,'октябрь 2024'!$D$5:$D$2162,$B13,'октябрь 2024'!$J$5:$J$2162,AF$1)</f>
        <v>0</v>
      </c>
      <c r="AG13" s="80">
        <f>SUMIFS('октябрь 2024'!$G$5:$G$2162,'октябрь 2024'!$D$5:$D$2162,$B13,'октябрь 2024'!$J$5:$J$2162,AG$1)</f>
        <v>0</v>
      </c>
      <c r="AH13" s="80">
        <f>SUMIFS('октябрь 2024'!$G$5:$G$2162,'октябрь 2024'!$D$5:$D$2162,$B13,'октябрь 2024'!$J$5:$J$2162,AH$1)</f>
        <v>0</v>
      </c>
      <c r="AI13" s="21">
        <f t="shared" si="1"/>
        <v>0</v>
      </c>
    </row>
    <row r="14" spans="2:35" ht="15" customHeight="1" x14ac:dyDescent="0.25">
      <c r="B14" s="84" t="s">
        <v>1097</v>
      </c>
      <c r="C14" s="85">
        <v>25</v>
      </c>
      <c r="D14" s="80">
        <f>SUMIFS('октябрь 2024'!$G$5:$G$2162,'октябрь 2024'!$D$5:$D$2162,$B14,'октябрь 2024'!$J$5:$J$2162,D$1)</f>
        <v>1400</v>
      </c>
      <c r="E14" s="80">
        <f>SUMIFS('октябрь 2024'!$G$5:$G$2162,'октябрь 2024'!$D$5:$D$2162,$B14,'октябрь 2024'!$J$5:$J$2162,E$1)</f>
        <v>0</v>
      </c>
      <c r="F14" s="80">
        <f>SUMIFS('октябрь 2024'!$G$5:$G$2162,'октябрь 2024'!$D$5:$D$2162,$B14,'октябрь 2024'!$J$5:$J$2162,F$1)</f>
        <v>0</v>
      </c>
      <c r="G14" s="80">
        <f>SUMIFS('октябрь 2024'!$G$5:$G$2162,'октябрь 2024'!$D$5:$D$2162,$B14,'октябрь 2024'!$J$5:$J$2162,G$1)</f>
        <v>0</v>
      </c>
      <c r="H14" s="80">
        <f>SUMIFS('октябрь 2024'!$G$5:$G$2162,'октябрь 2024'!$D$5:$D$2162,$B14,'октябрь 2024'!$J$5:$J$2162,H$1)</f>
        <v>0</v>
      </c>
      <c r="I14" s="80">
        <f>SUMIFS('октябрь 2024'!$G$5:$G$2162,'октябрь 2024'!$D$5:$D$2162,$B14,'октябрь 2024'!$J$5:$J$2162,I$1)</f>
        <v>0</v>
      </c>
      <c r="J14" s="80">
        <f>SUMIFS('октябрь 2024'!$G$5:$G$2162,'октябрь 2024'!$D$5:$D$2162,$B14,'октябрь 2024'!$J$5:$J$2162,J$1)</f>
        <v>1600</v>
      </c>
      <c r="K14" s="80">
        <f>SUMIFS('октябрь 2024'!$G$5:$G$2162,'октябрь 2024'!$D$5:$D$2162,$B14,'октябрь 2024'!$J$5:$J$2162,K$1)</f>
        <v>0</v>
      </c>
      <c r="L14" s="80">
        <f>SUMIFS('октябрь 2024'!$G$5:$G$2162,'октябрь 2024'!$D$5:$D$2162,$B14,'октябрь 2024'!$J$5:$J$2162,L$1)</f>
        <v>0</v>
      </c>
      <c r="M14" s="80">
        <f>SUMIFS('октябрь 2024'!$G$5:$G$2162,'октябрь 2024'!$D$5:$D$2162,$B14,'октябрь 2024'!$J$5:$J$2162,M$1)</f>
        <v>0</v>
      </c>
      <c r="N14" s="80">
        <f>SUMIFS('октябрь 2024'!$G$5:$G$2162,'октябрь 2024'!$D$5:$D$2162,$B14,'октябрь 2024'!$J$5:$J$2162,N$1)</f>
        <v>805</v>
      </c>
      <c r="O14" s="80">
        <f>SUMIFS('октябрь 2024'!$G$5:$G$2162,'октябрь 2024'!$D$5:$D$2162,$B14,'октябрь 2024'!$J$5:$J$2162,O$1)</f>
        <v>0</v>
      </c>
      <c r="P14" s="80">
        <f>SUMIFS('октябрь 2024'!$G$5:$G$2162,'октябрь 2024'!$D$5:$D$2162,$B14,'октябрь 2024'!$J$5:$J$2162,P$1)</f>
        <v>0</v>
      </c>
      <c r="Q14" s="80">
        <f>SUMIFS('октябрь 2024'!$G$5:$G$2162,'октябрь 2024'!$D$5:$D$2162,$B14,'октябрь 2024'!$J$5:$J$2162,Q$1)</f>
        <v>0</v>
      </c>
      <c r="R14" s="80">
        <f>SUMIFS('октябрь 2024'!$G$5:$G$2162,'октябрь 2024'!$D$5:$D$2162,$B14,'октябрь 2024'!$J$5:$J$2162,R$1)</f>
        <v>700</v>
      </c>
      <c r="S14" s="80">
        <f>SUMIFS('октябрь 2024'!$G$5:$G$2162,'октябрь 2024'!$D$5:$D$2162,$B14,'октябрь 2024'!$J$5:$J$2162,S$1)</f>
        <v>0</v>
      </c>
      <c r="T14" s="80">
        <f>SUMIFS('октябрь 2024'!$G$5:$G$2162,'октябрь 2024'!$D$5:$D$2162,$B14,'октябрь 2024'!$J$5:$J$2162,T$1)</f>
        <v>0</v>
      </c>
      <c r="U14" s="80">
        <f>SUMIFS('октябрь 2024'!$G$5:$G$2162,'октябрь 2024'!$D$5:$D$2162,$B14,'октябрь 2024'!$J$5:$J$2162,U$1)</f>
        <v>805</v>
      </c>
      <c r="V14" s="80">
        <f>SUMIFS('октябрь 2024'!$G$5:$G$2162,'октябрь 2024'!$D$5:$D$2162,$B14,'октябрь 2024'!$J$5:$J$2162,V$1)</f>
        <v>0</v>
      </c>
      <c r="W14" s="80">
        <f>SUMIFS('октябрь 2024'!$G$5:$G$2162,'октябрь 2024'!$D$5:$D$2162,$B14,'октябрь 2024'!$J$5:$J$2162,W$1)</f>
        <v>0</v>
      </c>
      <c r="X14" s="80">
        <f>SUMIFS('октябрь 2024'!$G$5:$G$2162,'октябрь 2024'!$D$5:$D$2162,$B14,'октябрь 2024'!$J$5:$J$2162,X$1)</f>
        <v>805</v>
      </c>
      <c r="Y14" s="80">
        <f>SUMIFS('октябрь 2024'!$G$5:$G$2162,'октябрь 2024'!$D$5:$D$2162,$B14,'октябрь 2024'!$J$5:$J$2162,Y$1)</f>
        <v>0</v>
      </c>
      <c r="Z14" s="80">
        <f>SUMIFS('октябрь 2024'!$G$5:$G$2162,'октябрь 2024'!$D$5:$D$2162,$B14,'октябрь 2024'!$J$5:$J$2162,Z$1)</f>
        <v>700</v>
      </c>
      <c r="AA14" s="80">
        <f>SUMIFS('октябрь 2024'!$G$5:$G$2162,'октябрь 2024'!$D$5:$D$2162,$B14,'октябрь 2024'!$J$5:$J$2162,AA$1)</f>
        <v>0</v>
      </c>
      <c r="AB14" s="80">
        <f>SUMIFS('октябрь 2024'!$G$5:$G$2162,'октябрь 2024'!$D$5:$D$2162,$B14,'октябрь 2024'!$J$5:$J$2162,AB$1)</f>
        <v>805</v>
      </c>
      <c r="AC14" s="80">
        <f>SUMIFS('октябрь 2024'!$G$5:$G$2162,'октябрь 2024'!$D$5:$D$2162,$B14,'октябрь 2024'!$J$5:$J$2162,AC$1)</f>
        <v>0</v>
      </c>
      <c r="AD14" s="80">
        <f>SUMIFS('октябрь 2024'!$G$5:$G$2162,'октябрь 2024'!$D$5:$D$2162,$B14,'октябрь 2024'!$J$5:$J$2162,AD$1)</f>
        <v>0</v>
      </c>
      <c r="AE14" s="80">
        <f>SUMIFS('октябрь 2024'!$G$5:$G$2162,'октябрь 2024'!$D$5:$D$2162,$B14,'октябрь 2024'!$J$5:$J$2162,AE$1)</f>
        <v>805</v>
      </c>
      <c r="AF14" s="80">
        <f>SUMIFS('октябрь 2024'!$G$5:$G$2162,'октябрь 2024'!$D$5:$D$2162,$B14,'октябрь 2024'!$J$5:$J$2162,AF$1)</f>
        <v>0</v>
      </c>
      <c r="AG14" s="80">
        <f>SUMIFS('октябрь 2024'!$G$5:$G$2162,'октябрь 2024'!$D$5:$D$2162,$B14,'октябрь 2024'!$J$5:$J$2162,AG$1)</f>
        <v>0</v>
      </c>
      <c r="AH14" s="80">
        <f>SUMIFS('октябрь 2024'!$G$5:$G$2162,'октябрь 2024'!$D$5:$D$2162,$B14,'октябрь 2024'!$J$5:$J$2162,AH$1)</f>
        <v>0</v>
      </c>
      <c r="AI14" s="21">
        <f t="shared" si="1"/>
        <v>8425</v>
      </c>
    </row>
    <row r="15" spans="2:35" ht="15" customHeight="1" x14ac:dyDescent="0.25">
      <c r="B15" s="84" t="s">
        <v>295</v>
      </c>
      <c r="C15" s="85">
        <v>22.7</v>
      </c>
      <c r="D15" s="80">
        <f>SUMIFS('октябрь 2024'!$G$5:$G$2162,'октябрь 2024'!$D$5:$D$2162,$B15,'октябрь 2024'!$J$5:$J$2162,D$1)</f>
        <v>0</v>
      </c>
      <c r="E15" s="80">
        <f>SUMIFS('октябрь 2024'!$G$5:$G$2162,'октябрь 2024'!$D$5:$D$2162,$B15,'октябрь 2024'!$J$5:$J$2162,E$1)</f>
        <v>0</v>
      </c>
      <c r="F15" s="80">
        <f>SUMIFS('октябрь 2024'!$G$5:$G$2162,'октябрь 2024'!$D$5:$D$2162,$B15,'октябрь 2024'!$J$5:$J$2162,F$1)</f>
        <v>0</v>
      </c>
      <c r="G15" s="80">
        <f>SUMIFS('октябрь 2024'!$G$5:$G$2162,'октябрь 2024'!$D$5:$D$2162,$B15,'октябрь 2024'!$J$5:$J$2162,G$1)</f>
        <v>0</v>
      </c>
      <c r="H15" s="80">
        <f>SUMIFS('октябрь 2024'!$G$5:$G$2162,'октябрь 2024'!$D$5:$D$2162,$B15,'октябрь 2024'!$J$5:$J$2162,H$1)</f>
        <v>0</v>
      </c>
      <c r="I15" s="80">
        <f>SUMIFS('октябрь 2024'!$G$5:$G$2162,'октябрь 2024'!$D$5:$D$2162,$B15,'октябрь 2024'!$J$5:$J$2162,I$1)</f>
        <v>0</v>
      </c>
      <c r="J15" s="80">
        <f>SUMIFS('октябрь 2024'!$G$5:$G$2162,'октябрь 2024'!$D$5:$D$2162,$B15,'октябрь 2024'!$J$5:$J$2162,J$1)</f>
        <v>0</v>
      </c>
      <c r="K15" s="80">
        <f>SUMIFS('октябрь 2024'!$G$5:$G$2162,'октябрь 2024'!$D$5:$D$2162,$B15,'октябрь 2024'!$J$5:$J$2162,K$1)</f>
        <v>0</v>
      </c>
      <c r="L15" s="80">
        <f>SUMIFS('октябрь 2024'!$G$5:$G$2162,'октябрь 2024'!$D$5:$D$2162,$B15,'октябрь 2024'!$J$5:$J$2162,L$1)</f>
        <v>0</v>
      </c>
      <c r="M15" s="80">
        <f>SUMIFS('октябрь 2024'!$G$5:$G$2162,'октябрь 2024'!$D$5:$D$2162,$B15,'октябрь 2024'!$J$5:$J$2162,M$1)</f>
        <v>0</v>
      </c>
      <c r="N15" s="80">
        <f>SUMIFS('октябрь 2024'!$G$5:$G$2162,'октябрь 2024'!$D$5:$D$2162,$B15,'октябрь 2024'!$J$5:$J$2162,N$1)</f>
        <v>0</v>
      </c>
      <c r="O15" s="80">
        <f>SUMIFS('октябрь 2024'!$G$5:$G$2162,'октябрь 2024'!$D$5:$D$2162,$B15,'октябрь 2024'!$J$5:$J$2162,O$1)</f>
        <v>0</v>
      </c>
      <c r="P15" s="80">
        <f>SUMIFS('октябрь 2024'!$G$5:$G$2162,'октябрь 2024'!$D$5:$D$2162,$B15,'октябрь 2024'!$J$5:$J$2162,P$1)</f>
        <v>0</v>
      </c>
      <c r="Q15" s="80">
        <f>SUMIFS('октябрь 2024'!$G$5:$G$2162,'октябрь 2024'!$D$5:$D$2162,$B15,'октябрь 2024'!$J$5:$J$2162,Q$1)</f>
        <v>0</v>
      </c>
      <c r="R15" s="80">
        <f>SUMIFS('октябрь 2024'!$G$5:$G$2162,'октябрь 2024'!$D$5:$D$2162,$B15,'октябрь 2024'!$J$5:$J$2162,R$1)</f>
        <v>0</v>
      </c>
      <c r="S15" s="80">
        <f>SUMIFS('октябрь 2024'!$G$5:$G$2162,'октябрь 2024'!$D$5:$D$2162,$B15,'октябрь 2024'!$J$5:$J$2162,S$1)</f>
        <v>0</v>
      </c>
      <c r="T15" s="80">
        <f>SUMIFS('октябрь 2024'!$G$5:$G$2162,'октябрь 2024'!$D$5:$D$2162,$B15,'октябрь 2024'!$J$5:$J$2162,T$1)</f>
        <v>0</v>
      </c>
      <c r="U15" s="80">
        <f>SUMIFS('октябрь 2024'!$G$5:$G$2162,'октябрь 2024'!$D$5:$D$2162,$B15,'октябрь 2024'!$J$5:$J$2162,U$1)</f>
        <v>0</v>
      </c>
      <c r="V15" s="80">
        <f>SUMIFS('октябрь 2024'!$G$5:$G$2162,'октябрь 2024'!$D$5:$D$2162,$B15,'октябрь 2024'!$J$5:$J$2162,V$1)</f>
        <v>0</v>
      </c>
      <c r="W15" s="80">
        <f>SUMIFS('октябрь 2024'!$G$5:$G$2162,'октябрь 2024'!$D$5:$D$2162,$B15,'октябрь 2024'!$J$5:$J$2162,W$1)</f>
        <v>0</v>
      </c>
      <c r="X15" s="80">
        <f>SUMIFS('октябрь 2024'!$G$5:$G$2162,'октябрь 2024'!$D$5:$D$2162,$B15,'октябрь 2024'!$J$5:$J$2162,X$1)</f>
        <v>0</v>
      </c>
      <c r="Y15" s="80">
        <f>SUMIFS('октябрь 2024'!$G$5:$G$2162,'октябрь 2024'!$D$5:$D$2162,$B15,'октябрь 2024'!$J$5:$J$2162,Y$1)</f>
        <v>0</v>
      </c>
      <c r="Z15" s="80">
        <f>SUMIFS('октябрь 2024'!$G$5:$G$2162,'октябрь 2024'!$D$5:$D$2162,$B15,'октябрь 2024'!$J$5:$J$2162,Z$1)</f>
        <v>0</v>
      </c>
      <c r="AA15" s="80">
        <f>SUMIFS('октябрь 2024'!$G$5:$G$2162,'октябрь 2024'!$D$5:$D$2162,$B15,'октябрь 2024'!$J$5:$J$2162,AA$1)</f>
        <v>0</v>
      </c>
      <c r="AB15" s="80">
        <f>SUMIFS('октябрь 2024'!$G$5:$G$2162,'октябрь 2024'!$D$5:$D$2162,$B15,'октябрь 2024'!$J$5:$J$2162,AB$1)</f>
        <v>0</v>
      </c>
      <c r="AC15" s="80">
        <f>SUMIFS('октябрь 2024'!$G$5:$G$2162,'октябрь 2024'!$D$5:$D$2162,$B15,'октябрь 2024'!$J$5:$J$2162,AC$1)</f>
        <v>0</v>
      </c>
      <c r="AD15" s="80">
        <f>SUMIFS('октябрь 2024'!$G$5:$G$2162,'октябрь 2024'!$D$5:$D$2162,$B15,'октябрь 2024'!$J$5:$J$2162,AD$1)</f>
        <v>0</v>
      </c>
      <c r="AE15" s="80">
        <f>SUMIFS('октябрь 2024'!$G$5:$G$2162,'октябрь 2024'!$D$5:$D$2162,$B15,'октябрь 2024'!$J$5:$J$2162,AE$1)</f>
        <v>0</v>
      </c>
      <c r="AF15" s="80">
        <f>SUMIFS('октябрь 2024'!$G$5:$G$2162,'октябрь 2024'!$D$5:$D$2162,$B15,'октябрь 2024'!$J$5:$J$2162,AF$1)</f>
        <v>0</v>
      </c>
      <c r="AG15" s="80">
        <f>SUMIFS('октябрь 2024'!$G$5:$G$2162,'октябрь 2024'!$D$5:$D$2162,$B15,'октябрь 2024'!$J$5:$J$2162,AG$1)</f>
        <v>0</v>
      </c>
      <c r="AH15" s="80">
        <f>SUMIFS('октябрь 2024'!$G$5:$G$2162,'октябрь 2024'!$D$5:$D$2162,$B15,'октябрь 2024'!$J$5:$J$2162,AH$1)</f>
        <v>0</v>
      </c>
      <c r="AI15" s="21">
        <f t="shared" si="1"/>
        <v>0</v>
      </c>
    </row>
    <row r="16" spans="2:35" ht="15" customHeight="1" x14ac:dyDescent="0.25">
      <c r="B16" s="81" t="s">
        <v>297</v>
      </c>
      <c r="C16" s="82">
        <v>22.7</v>
      </c>
      <c r="D16" s="80">
        <f>SUMIFS('октябрь 2024'!$G$5:$G$2162,'октябрь 2024'!$D$5:$D$2162,$B16,'октябрь 2024'!$J$5:$J$2162,D$1)</f>
        <v>0</v>
      </c>
      <c r="E16" s="80">
        <f>SUMIFS('октябрь 2024'!$G$5:$G$2162,'октябрь 2024'!$D$5:$D$2162,$B16,'октябрь 2024'!$J$5:$J$2162,E$1)</f>
        <v>0</v>
      </c>
      <c r="F16" s="80">
        <f>SUMIFS('октябрь 2024'!$G$5:$G$2162,'октябрь 2024'!$D$5:$D$2162,$B16,'октябрь 2024'!$J$5:$J$2162,F$1)</f>
        <v>0</v>
      </c>
      <c r="G16" s="80">
        <f>SUMIFS('октябрь 2024'!$G$5:$G$2162,'октябрь 2024'!$D$5:$D$2162,$B16,'октябрь 2024'!$J$5:$J$2162,G$1)</f>
        <v>0</v>
      </c>
      <c r="H16" s="80">
        <f>SUMIFS('октябрь 2024'!$G$5:$G$2162,'октябрь 2024'!$D$5:$D$2162,$B16,'октябрь 2024'!$J$5:$J$2162,H$1)</f>
        <v>0</v>
      </c>
      <c r="I16" s="80">
        <f>SUMIFS('октябрь 2024'!$G$5:$G$2162,'октябрь 2024'!$D$5:$D$2162,$B16,'октябрь 2024'!$J$5:$J$2162,I$1)</f>
        <v>0</v>
      </c>
      <c r="J16" s="80">
        <f>SUMIFS('октябрь 2024'!$G$5:$G$2162,'октябрь 2024'!$D$5:$D$2162,$B16,'октябрь 2024'!$J$5:$J$2162,J$1)</f>
        <v>0</v>
      </c>
      <c r="K16" s="80">
        <f>SUMIFS('октябрь 2024'!$G$5:$G$2162,'октябрь 2024'!$D$5:$D$2162,$B16,'октябрь 2024'!$J$5:$J$2162,K$1)</f>
        <v>0</v>
      </c>
      <c r="L16" s="80">
        <f>SUMIFS('октябрь 2024'!$G$5:$G$2162,'октябрь 2024'!$D$5:$D$2162,$B16,'октябрь 2024'!$J$5:$J$2162,L$1)</f>
        <v>0</v>
      </c>
      <c r="M16" s="80">
        <f>SUMIFS('октябрь 2024'!$G$5:$G$2162,'октябрь 2024'!$D$5:$D$2162,$B16,'октябрь 2024'!$J$5:$J$2162,M$1)</f>
        <v>0</v>
      </c>
      <c r="N16" s="80">
        <f>SUMIFS('октябрь 2024'!$G$5:$G$2162,'октябрь 2024'!$D$5:$D$2162,$B16,'октябрь 2024'!$J$5:$J$2162,N$1)</f>
        <v>0</v>
      </c>
      <c r="O16" s="80">
        <f>SUMIFS('октябрь 2024'!$G$5:$G$2162,'октябрь 2024'!$D$5:$D$2162,$B16,'октябрь 2024'!$J$5:$J$2162,O$1)</f>
        <v>0</v>
      </c>
      <c r="P16" s="80">
        <f>SUMIFS('октябрь 2024'!$G$5:$G$2162,'октябрь 2024'!$D$5:$D$2162,$B16,'октябрь 2024'!$J$5:$J$2162,P$1)</f>
        <v>0</v>
      </c>
      <c r="Q16" s="80">
        <f>SUMIFS('октябрь 2024'!$G$5:$G$2162,'октябрь 2024'!$D$5:$D$2162,$B16,'октябрь 2024'!$J$5:$J$2162,Q$1)</f>
        <v>0</v>
      </c>
      <c r="R16" s="80">
        <f>SUMIFS('октябрь 2024'!$G$5:$G$2162,'октябрь 2024'!$D$5:$D$2162,$B16,'октябрь 2024'!$J$5:$J$2162,R$1)</f>
        <v>0</v>
      </c>
      <c r="S16" s="80">
        <f>SUMIFS('октябрь 2024'!$G$5:$G$2162,'октябрь 2024'!$D$5:$D$2162,$B16,'октябрь 2024'!$J$5:$J$2162,S$1)</f>
        <v>0</v>
      </c>
      <c r="T16" s="80">
        <f>SUMIFS('октябрь 2024'!$G$5:$G$2162,'октябрь 2024'!$D$5:$D$2162,$B16,'октябрь 2024'!$J$5:$J$2162,T$1)</f>
        <v>0</v>
      </c>
      <c r="U16" s="80">
        <f>SUMIFS('октябрь 2024'!$G$5:$G$2162,'октябрь 2024'!$D$5:$D$2162,$B16,'октябрь 2024'!$J$5:$J$2162,U$1)</f>
        <v>0</v>
      </c>
      <c r="V16" s="80">
        <f>SUMIFS('октябрь 2024'!$G$5:$G$2162,'октябрь 2024'!$D$5:$D$2162,$B16,'октябрь 2024'!$J$5:$J$2162,V$1)</f>
        <v>0</v>
      </c>
      <c r="W16" s="80">
        <f>SUMIFS('октябрь 2024'!$G$5:$G$2162,'октябрь 2024'!$D$5:$D$2162,$B16,'октябрь 2024'!$J$5:$J$2162,W$1)</f>
        <v>0</v>
      </c>
      <c r="X16" s="80">
        <f>SUMIFS('октябрь 2024'!$G$5:$G$2162,'октябрь 2024'!$D$5:$D$2162,$B16,'октябрь 2024'!$J$5:$J$2162,X$1)</f>
        <v>0</v>
      </c>
      <c r="Y16" s="80">
        <f>SUMIFS('октябрь 2024'!$G$5:$G$2162,'октябрь 2024'!$D$5:$D$2162,$B16,'октябрь 2024'!$J$5:$J$2162,Y$1)</f>
        <v>0</v>
      </c>
      <c r="Z16" s="80">
        <f>SUMIFS('октябрь 2024'!$G$5:$G$2162,'октябрь 2024'!$D$5:$D$2162,$B16,'октябрь 2024'!$J$5:$J$2162,Z$1)</f>
        <v>0</v>
      </c>
      <c r="AA16" s="80">
        <f>SUMIFS('октябрь 2024'!$G$5:$G$2162,'октябрь 2024'!$D$5:$D$2162,$B16,'октябрь 2024'!$J$5:$J$2162,AA$1)</f>
        <v>0</v>
      </c>
      <c r="AB16" s="80">
        <f>SUMIFS('октябрь 2024'!$G$5:$G$2162,'октябрь 2024'!$D$5:$D$2162,$B16,'октябрь 2024'!$J$5:$J$2162,AB$1)</f>
        <v>0</v>
      </c>
      <c r="AC16" s="80">
        <f>SUMIFS('октябрь 2024'!$G$5:$G$2162,'октябрь 2024'!$D$5:$D$2162,$B16,'октябрь 2024'!$J$5:$J$2162,AC$1)</f>
        <v>0</v>
      </c>
      <c r="AD16" s="80">
        <f>SUMIFS('октябрь 2024'!$G$5:$G$2162,'октябрь 2024'!$D$5:$D$2162,$B16,'октябрь 2024'!$J$5:$J$2162,AD$1)</f>
        <v>0</v>
      </c>
      <c r="AE16" s="80">
        <f>SUMIFS('октябрь 2024'!$G$5:$G$2162,'октябрь 2024'!$D$5:$D$2162,$B16,'октябрь 2024'!$J$5:$J$2162,AE$1)</f>
        <v>0</v>
      </c>
      <c r="AF16" s="80">
        <f>SUMIFS('октябрь 2024'!$G$5:$G$2162,'октябрь 2024'!$D$5:$D$2162,$B16,'октябрь 2024'!$J$5:$J$2162,AF$1)</f>
        <v>0</v>
      </c>
      <c r="AG16" s="80">
        <f>SUMIFS('октябрь 2024'!$G$5:$G$2162,'октябрь 2024'!$D$5:$D$2162,$B16,'октябрь 2024'!$J$5:$J$2162,AG$1)</f>
        <v>0</v>
      </c>
      <c r="AH16" s="80">
        <f>SUMIFS('октябрь 2024'!$G$5:$G$2162,'октябрь 2024'!$D$5:$D$2162,$B16,'октябрь 2024'!$J$5:$J$2162,AH$1)</f>
        <v>0</v>
      </c>
      <c r="AI16" s="21">
        <f t="shared" si="1"/>
        <v>0</v>
      </c>
    </row>
    <row r="17" spans="2:35" ht="15" customHeight="1" x14ac:dyDescent="0.25">
      <c r="B17" s="84" t="s">
        <v>299</v>
      </c>
      <c r="C17" s="85">
        <v>22.7</v>
      </c>
      <c r="D17" s="80">
        <f>SUMIFS('октябрь 2024'!$G$5:$G$2162,'октябрь 2024'!$D$5:$D$2162,$B17,'октябрь 2024'!$J$5:$J$2162,D$1)</f>
        <v>0</v>
      </c>
      <c r="E17" s="80">
        <f>SUMIFS('октябрь 2024'!$G$5:$G$2162,'октябрь 2024'!$D$5:$D$2162,$B17,'октябрь 2024'!$J$5:$J$2162,E$1)</f>
        <v>0</v>
      </c>
      <c r="F17" s="80">
        <f>SUMIFS('октябрь 2024'!$G$5:$G$2162,'октябрь 2024'!$D$5:$D$2162,$B17,'октябрь 2024'!$J$5:$J$2162,F$1)</f>
        <v>0</v>
      </c>
      <c r="G17" s="80">
        <f>SUMIFS('октябрь 2024'!$G$5:$G$2162,'октябрь 2024'!$D$5:$D$2162,$B17,'октябрь 2024'!$J$5:$J$2162,G$1)</f>
        <v>0</v>
      </c>
      <c r="H17" s="80">
        <f>SUMIFS('октябрь 2024'!$G$5:$G$2162,'октябрь 2024'!$D$5:$D$2162,$B17,'октябрь 2024'!$J$5:$J$2162,H$1)</f>
        <v>0</v>
      </c>
      <c r="I17" s="80">
        <f>SUMIFS('октябрь 2024'!$G$5:$G$2162,'октябрь 2024'!$D$5:$D$2162,$B17,'октябрь 2024'!$J$5:$J$2162,I$1)</f>
        <v>0</v>
      </c>
      <c r="J17" s="80">
        <f>SUMIFS('октябрь 2024'!$G$5:$G$2162,'октябрь 2024'!$D$5:$D$2162,$B17,'октябрь 2024'!$J$5:$J$2162,J$1)</f>
        <v>0</v>
      </c>
      <c r="K17" s="80">
        <f>SUMIFS('октябрь 2024'!$G$5:$G$2162,'октябрь 2024'!$D$5:$D$2162,$B17,'октябрь 2024'!$J$5:$J$2162,K$1)</f>
        <v>0</v>
      </c>
      <c r="L17" s="80">
        <f>SUMIFS('октябрь 2024'!$G$5:$G$2162,'октябрь 2024'!$D$5:$D$2162,$B17,'октябрь 2024'!$J$5:$J$2162,L$1)</f>
        <v>0</v>
      </c>
      <c r="M17" s="80">
        <f>SUMIFS('октябрь 2024'!$G$5:$G$2162,'октябрь 2024'!$D$5:$D$2162,$B17,'октябрь 2024'!$J$5:$J$2162,M$1)</f>
        <v>0</v>
      </c>
      <c r="N17" s="80">
        <f>SUMIFS('октябрь 2024'!$G$5:$G$2162,'октябрь 2024'!$D$5:$D$2162,$B17,'октябрь 2024'!$J$5:$J$2162,N$1)</f>
        <v>0</v>
      </c>
      <c r="O17" s="80">
        <f>SUMIFS('октябрь 2024'!$G$5:$G$2162,'октябрь 2024'!$D$5:$D$2162,$B17,'октябрь 2024'!$J$5:$J$2162,O$1)</f>
        <v>0</v>
      </c>
      <c r="P17" s="80">
        <f>SUMIFS('октябрь 2024'!$G$5:$G$2162,'октябрь 2024'!$D$5:$D$2162,$B17,'октябрь 2024'!$J$5:$J$2162,P$1)</f>
        <v>0</v>
      </c>
      <c r="Q17" s="80">
        <f>SUMIFS('октябрь 2024'!$G$5:$G$2162,'октябрь 2024'!$D$5:$D$2162,$B17,'октябрь 2024'!$J$5:$J$2162,Q$1)</f>
        <v>0</v>
      </c>
      <c r="R17" s="80">
        <f>SUMIFS('октябрь 2024'!$G$5:$G$2162,'октябрь 2024'!$D$5:$D$2162,$B17,'октябрь 2024'!$J$5:$J$2162,R$1)</f>
        <v>0</v>
      </c>
      <c r="S17" s="80">
        <f>SUMIFS('октябрь 2024'!$G$5:$G$2162,'октябрь 2024'!$D$5:$D$2162,$B17,'октябрь 2024'!$J$5:$J$2162,S$1)</f>
        <v>0</v>
      </c>
      <c r="T17" s="80">
        <f>SUMIFS('октябрь 2024'!$G$5:$G$2162,'октябрь 2024'!$D$5:$D$2162,$B17,'октябрь 2024'!$J$5:$J$2162,T$1)</f>
        <v>0</v>
      </c>
      <c r="U17" s="80">
        <f>SUMIFS('октябрь 2024'!$G$5:$G$2162,'октябрь 2024'!$D$5:$D$2162,$B17,'октябрь 2024'!$J$5:$J$2162,U$1)</f>
        <v>0</v>
      </c>
      <c r="V17" s="80">
        <f>SUMIFS('октябрь 2024'!$G$5:$G$2162,'октябрь 2024'!$D$5:$D$2162,$B17,'октябрь 2024'!$J$5:$J$2162,V$1)</f>
        <v>0</v>
      </c>
      <c r="W17" s="80">
        <f>SUMIFS('октябрь 2024'!$G$5:$G$2162,'октябрь 2024'!$D$5:$D$2162,$B17,'октябрь 2024'!$J$5:$J$2162,W$1)</f>
        <v>0</v>
      </c>
      <c r="X17" s="80">
        <f>SUMIFS('октябрь 2024'!$G$5:$G$2162,'октябрь 2024'!$D$5:$D$2162,$B17,'октябрь 2024'!$J$5:$J$2162,X$1)</f>
        <v>0</v>
      </c>
      <c r="Y17" s="80">
        <f>SUMIFS('октябрь 2024'!$G$5:$G$2162,'октябрь 2024'!$D$5:$D$2162,$B17,'октябрь 2024'!$J$5:$J$2162,Y$1)</f>
        <v>0</v>
      </c>
      <c r="Z17" s="80">
        <f>SUMIFS('октябрь 2024'!$G$5:$G$2162,'октябрь 2024'!$D$5:$D$2162,$B17,'октябрь 2024'!$J$5:$J$2162,Z$1)</f>
        <v>0</v>
      </c>
      <c r="AA17" s="80">
        <f>SUMIFS('октябрь 2024'!$G$5:$G$2162,'октябрь 2024'!$D$5:$D$2162,$B17,'октябрь 2024'!$J$5:$J$2162,AA$1)</f>
        <v>0</v>
      </c>
      <c r="AB17" s="80">
        <f>SUMIFS('октябрь 2024'!$G$5:$G$2162,'октябрь 2024'!$D$5:$D$2162,$B17,'октябрь 2024'!$J$5:$J$2162,AB$1)</f>
        <v>0</v>
      </c>
      <c r="AC17" s="80">
        <f>SUMIFS('октябрь 2024'!$G$5:$G$2162,'октябрь 2024'!$D$5:$D$2162,$B17,'октябрь 2024'!$J$5:$J$2162,AC$1)</f>
        <v>0</v>
      </c>
      <c r="AD17" s="80">
        <f>SUMIFS('октябрь 2024'!$G$5:$G$2162,'октябрь 2024'!$D$5:$D$2162,$B17,'октябрь 2024'!$J$5:$J$2162,AD$1)</f>
        <v>0</v>
      </c>
      <c r="AE17" s="80">
        <f>SUMIFS('октябрь 2024'!$G$5:$G$2162,'октябрь 2024'!$D$5:$D$2162,$B17,'октябрь 2024'!$J$5:$J$2162,AE$1)</f>
        <v>0</v>
      </c>
      <c r="AF17" s="80">
        <f>SUMIFS('октябрь 2024'!$G$5:$G$2162,'октябрь 2024'!$D$5:$D$2162,$B17,'октябрь 2024'!$J$5:$J$2162,AF$1)</f>
        <v>0</v>
      </c>
      <c r="AG17" s="80">
        <f>SUMIFS('октябрь 2024'!$G$5:$G$2162,'октябрь 2024'!$D$5:$D$2162,$B17,'октябрь 2024'!$J$5:$J$2162,AG$1)</f>
        <v>0</v>
      </c>
      <c r="AH17" s="80">
        <f>SUMIFS('октябрь 2024'!$G$5:$G$2162,'октябрь 2024'!$D$5:$D$2162,$B17,'октябрь 2024'!$J$5:$J$2162,AH$1)</f>
        <v>0</v>
      </c>
      <c r="AI17" s="21">
        <f t="shared" si="1"/>
        <v>0</v>
      </c>
    </row>
    <row r="18" spans="2:35" ht="15" customHeight="1" x14ac:dyDescent="0.25">
      <c r="B18" s="84" t="s">
        <v>301</v>
      </c>
      <c r="C18" s="85">
        <v>25</v>
      </c>
      <c r="D18" s="80">
        <f>SUMIFS('октябрь 2024'!$G$5:$G$2162,'октябрь 2024'!$D$5:$D$2162,$B18,'октябрь 2024'!$J$5:$J$2162,D$1)</f>
        <v>0</v>
      </c>
      <c r="E18" s="80">
        <f>SUMIFS('октябрь 2024'!$G$5:$G$2162,'октябрь 2024'!$D$5:$D$2162,$B18,'октябрь 2024'!$J$5:$J$2162,E$1)</f>
        <v>0</v>
      </c>
      <c r="F18" s="80">
        <f>SUMIFS('октябрь 2024'!$G$5:$G$2162,'октябрь 2024'!$D$5:$D$2162,$B18,'октябрь 2024'!$J$5:$J$2162,F$1)</f>
        <v>0</v>
      </c>
      <c r="G18" s="80">
        <f>SUMIFS('октябрь 2024'!$G$5:$G$2162,'октябрь 2024'!$D$5:$D$2162,$B18,'октябрь 2024'!$J$5:$J$2162,G$1)</f>
        <v>0</v>
      </c>
      <c r="H18" s="80">
        <f>SUMIFS('октябрь 2024'!$G$5:$G$2162,'октябрь 2024'!$D$5:$D$2162,$B18,'октябрь 2024'!$J$5:$J$2162,H$1)</f>
        <v>0</v>
      </c>
      <c r="I18" s="80">
        <f>SUMIFS('октябрь 2024'!$G$5:$G$2162,'октябрь 2024'!$D$5:$D$2162,$B18,'октябрь 2024'!$J$5:$J$2162,I$1)</f>
        <v>0</v>
      </c>
      <c r="J18" s="80">
        <f>SUMIFS('октябрь 2024'!$G$5:$G$2162,'октябрь 2024'!$D$5:$D$2162,$B18,'октябрь 2024'!$J$5:$J$2162,J$1)</f>
        <v>0</v>
      </c>
      <c r="K18" s="80">
        <f>SUMIFS('октябрь 2024'!$G$5:$G$2162,'октябрь 2024'!$D$5:$D$2162,$B18,'октябрь 2024'!$J$5:$J$2162,K$1)</f>
        <v>0</v>
      </c>
      <c r="L18" s="80">
        <f>SUMIFS('октябрь 2024'!$G$5:$G$2162,'октябрь 2024'!$D$5:$D$2162,$B18,'октябрь 2024'!$J$5:$J$2162,L$1)</f>
        <v>0</v>
      </c>
      <c r="M18" s="80">
        <f>SUMIFS('октябрь 2024'!$G$5:$G$2162,'октябрь 2024'!$D$5:$D$2162,$B18,'октябрь 2024'!$J$5:$J$2162,M$1)</f>
        <v>0</v>
      </c>
      <c r="N18" s="80">
        <f>SUMIFS('октябрь 2024'!$G$5:$G$2162,'октябрь 2024'!$D$5:$D$2162,$B18,'октябрь 2024'!$J$5:$J$2162,N$1)</f>
        <v>0</v>
      </c>
      <c r="O18" s="80">
        <f>SUMIFS('октябрь 2024'!$G$5:$G$2162,'октябрь 2024'!$D$5:$D$2162,$B18,'октябрь 2024'!$J$5:$J$2162,O$1)</f>
        <v>0</v>
      </c>
      <c r="P18" s="80">
        <f>SUMIFS('октябрь 2024'!$G$5:$G$2162,'октябрь 2024'!$D$5:$D$2162,$B18,'октябрь 2024'!$J$5:$J$2162,P$1)</f>
        <v>0</v>
      </c>
      <c r="Q18" s="80">
        <f>SUMIFS('октябрь 2024'!$G$5:$G$2162,'октябрь 2024'!$D$5:$D$2162,$B18,'октябрь 2024'!$J$5:$J$2162,Q$1)</f>
        <v>0</v>
      </c>
      <c r="R18" s="80">
        <f>SUMIFS('октябрь 2024'!$G$5:$G$2162,'октябрь 2024'!$D$5:$D$2162,$B18,'октябрь 2024'!$J$5:$J$2162,R$1)</f>
        <v>0</v>
      </c>
      <c r="S18" s="80">
        <f>SUMIFS('октябрь 2024'!$G$5:$G$2162,'октябрь 2024'!$D$5:$D$2162,$B18,'октябрь 2024'!$J$5:$J$2162,S$1)</f>
        <v>0</v>
      </c>
      <c r="T18" s="80">
        <f>SUMIFS('октябрь 2024'!$G$5:$G$2162,'октябрь 2024'!$D$5:$D$2162,$B18,'октябрь 2024'!$J$5:$J$2162,T$1)</f>
        <v>0</v>
      </c>
      <c r="U18" s="80">
        <f>SUMIFS('октябрь 2024'!$G$5:$G$2162,'октябрь 2024'!$D$5:$D$2162,$B18,'октябрь 2024'!$J$5:$J$2162,U$1)</f>
        <v>0</v>
      </c>
      <c r="V18" s="80">
        <f>SUMIFS('октябрь 2024'!$G$5:$G$2162,'октябрь 2024'!$D$5:$D$2162,$B18,'октябрь 2024'!$J$5:$J$2162,V$1)</f>
        <v>0</v>
      </c>
      <c r="W18" s="80">
        <f>SUMIFS('октябрь 2024'!$G$5:$G$2162,'октябрь 2024'!$D$5:$D$2162,$B18,'октябрь 2024'!$J$5:$J$2162,W$1)</f>
        <v>0</v>
      </c>
      <c r="X18" s="80">
        <f>SUMIFS('октябрь 2024'!$G$5:$G$2162,'октябрь 2024'!$D$5:$D$2162,$B18,'октябрь 2024'!$J$5:$J$2162,X$1)</f>
        <v>0</v>
      </c>
      <c r="Y18" s="80">
        <f>SUMIFS('октябрь 2024'!$G$5:$G$2162,'октябрь 2024'!$D$5:$D$2162,$B18,'октябрь 2024'!$J$5:$J$2162,Y$1)</f>
        <v>0</v>
      </c>
      <c r="Z18" s="80">
        <f>SUMIFS('октябрь 2024'!$G$5:$G$2162,'октябрь 2024'!$D$5:$D$2162,$B18,'октябрь 2024'!$J$5:$J$2162,Z$1)</f>
        <v>0</v>
      </c>
      <c r="AA18" s="80">
        <f>SUMIFS('октябрь 2024'!$G$5:$G$2162,'октябрь 2024'!$D$5:$D$2162,$B18,'октябрь 2024'!$J$5:$J$2162,AA$1)</f>
        <v>0</v>
      </c>
      <c r="AB18" s="80">
        <f>SUMIFS('октябрь 2024'!$G$5:$G$2162,'октябрь 2024'!$D$5:$D$2162,$B18,'октябрь 2024'!$J$5:$J$2162,AB$1)</f>
        <v>0</v>
      </c>
      <c r="AC18" s="80">
        <f>SUMIFS('октябрь 2024'!$G$5:$G$2162,'октябрь 2024'!$D$5:$D$2162,$B18,'октябрь 2024'!$J$5:$J$2162,AC$1)</f>
        <v>0</v>
      </c>
      <c r="AD18" s="80">
        <f>SUMIFS('октябрь 2024'!$G$5:$G$2162,'октябрь 2024'!$D$5:$D$2162,$B18,'октябрь 2024'!$J$5:$J$2162,AD$1)</f>
        <v>0</v>
      </c>
      <c r="AE18" s="80">
        <f>SUMIFS('октябрь 2024'!$G$5:$G$2162,'октябрь 2024'!$D$5:$D$2162,$B18,'октябрь 2024'!$J$5:$J$2162,AE$1)</f>
        <v>0</v>
      </c>
      <c r="AF18" s="80">
        <f>SUMIFS('октябрь 2024'!$G$5:$G$2162,'октябрь 2024'!$D$5:$D$2162,$B18,'октябрь 2024'!$J$5:$J$2162,AF$1)</f>
        <v>0</v>
      </c>
      <c r="AG18" s="80">
        <f>SUMIFS('октябрь 2024'!$G$5:$G$2162,'октябрь 2024'!$D$5:$D$2162,$B18,'октябрь 2024'!$J$5:$J$2162,AG$1)</f>
        <v>0</v>
      </c>
      <c r="AH18" s="80">
        <f>SUMIFS('октябрь 2024'!$G$5:$G$2162,'октябрь 2024'!$D$5:$D$2162,$B18,'октябрь 2024'!$J$5:$J$2162,AH$1)</f>
        <v>0</v>
      </c>
      <c r="AI18" s="21">
        <f t="shared" si="1"/>
        <v>0</v>
      </c>
    </row>
    <row r="19" spans="2:35" ht="15" customHeight="1" x14ac:dyDescent="0.25">
      <c r="B19" s="81" t="s">
        <v>303</v>
      </c>
      <c r="C19" s="82">
        <v>25</v>
      </c>
      <c r="D19" s="80">
        <f>SUMIFS('октябрь 2024'!$G$5:$G$2162,'октябрь 2024'!$D$5:$D$2162,$B19,'октябрь 2024'!$J$5:$J$2162,D$1)</f>
        <v>0</v>
      </c>
      <c r="E19" s="80">
        <f>SUMIFS('октябрь 2024'!$G$5:$G$2162,'октябрь 2024'!$D$5:$D$2162,$B19,'октябрь 2024'!$J$5:$J$2162,E$1)</f>
        <v>0</v>
      </c>
      <c r="F19" s="80">
        <f>SUMIFS('октябрь 2024'!$G$5:$G$2162,'октябрь 2024'!$D$5:$D$2162,$B19,'октябрь 2024'!$J$5:$J$2162,F$1)</f>
        <v>0</v>
      </c>
      <c r="G19" s="80">
        <f>SUMIFS('октябрь 2024'!$G$5:$G$2162,'октябрь 2024'!$D$5:$D$2162,$B19,'октябрь 2024'!$J$5:$J$2162,G$1)</f>
        <v>0</v>
      </c>
      <c r="H19" s="80">
        <f>SUMIFS('октябрь 2024'!$G$5:$G$2162,'октябрь 2024'!$D$5:$D$2162,$B19,'октябрь 2024'!$J$5:$J$2162,H$1)</f>
        <v>0</v>
      </c>
      <c r="I19" s="80">
        <f>SUMIFS('октябрь 2024'!$G$5:$G$2162,'октябрь 2024'!$D$5:$D$2162,$B19,'октябрь 2024'!$J$5:$J$2162,I$1)</f>
        <v>0</v>
      </c>
      <c r="J19" s="80">
        <f>SUMIFS('октябрь 2024'!$G$5:$G$2162,'октябрь 2024'!$D$5:$D$2162,$B19,'октябрь 2024'!$J$5:$J$2162,J$1)</f>
        <v>0</v>
      </c>
      <c r="K19" s="80">
        <f>SUMIFS('октябрь 2024'!$G$5:$G$2162,'октябрь 2024'!$D$5:$D$2162,$B19,'октябрь 2024'!$J$5:$J$2162,K$1)</f>
        <v>0</v>
      </c>
      <c r="L19" s="80">
        <f>SUMIFS('октябрь 2024'!$G$5:$G$2162,'октябрь 2024'!$D$5:$D$2162,$B19,'октябрь 2024'!$J$5:$J$2162,L$1)</f>
        <v>0</v>
      </c>
      <c r="M19" s="80">
        <f>SUMIFS('октябрь 2024'!$G$5:$G$2162,'октябрь 2024'!$D$5:$D$2162,$B19,'октябрь 2024'!$J$5:$J$2162,M$1)</f>
        <v>0</v>
      </c>
      <c r="N19" s="80">
        <f>SUMIFS('октябрь 2024'!$G$5:$G$2162,'октябрь 2024'!$D$5:$D$2162,$B19,'октябрь 2024'!$J$5:$J$2162,N$1)</f>
        <v>0</v>
      </c>
      <c r="O19" s="80">
        <f>SUMIFS('октябрь 2024'!$G$5:$G$2162,'октябрь 2024'!$D$5:$D$2162,$B19,'октябрь 2024'!$J$5:$J$2162,O$1)</f>
        <v>0</v>
      </c>
      <c r="P19" s="80">
        <f>SUMIFS('октябрь 2024'!$G$5:$G$2162,'октябрь 2024'!$D$5:$D$2162,$B19,'октябрь 2024'!$J$5:$J$2162,P$1)</f>
        <v>0</v>
      </c>
      <c r="Q19" s="80">
        <f>SUMIFS('октябрь 2024'!$G$5:$G$2162,'октябрь 2024'!$D$5:$D$2162,$B19,'октябрь 2024'!$J$5:$J$2162,Q$1)</f>
        <v>0</v>
      </c>
      <c r="R19" s="80">
        <f>SUMIFS('октябрь 2024'!$G$5:$G$2162,'октябрь 2024'!$D$5:$D$2162,$B19,'октябрь 2024'!$J$5:$J$2162,R$1)</f>
        <v>0</v>
      </c>
      <c r="S19" s="80">
        <f>SUMIFS('октябрь 2024'!$G$5:$G$2162,'октябрь 2024'!$D$5:$D$2162,$B19,'октябрь 2024'!$J$5:$J$2162,S$1)</f>
        <v>0</v>
      </c>
      <c r="T19" s="80">
        <f>SUMIFS('октябрь 2024'!$G$5:$G$2162,'октябрь 2024'!$D$5:$D$2162,$B19,'октябрь 2024'!$J$5:$J$2162,T$1)</f>
        <v>0</v>
      </c>
      <c r="U19" s="80">
        <f>SUMIFS('октябрь 2024'!$G$5:$G$2162,'октябрь 2024'!$D$5:$D$2162,$B19,'октябрь 2024'!$J$5:$J$2162,U$1)</f>
        <v>0</v>
      </c>
      <c r="V19" s="80">
        <f>SUMIFS('октябрь 2024'!$G$5:$G$2162,'октябрь 2024'!$D$5:$D$2162,$B19,'октябрь 2024'!$J$5:$J$2162,V$1)</f>
        <v>0</v>
      </c>
      <c r="W19" s="80">
        <f>SUMIFS('октябрь 2024'!$G$5:$G$2162,'октябрь 2024'!$D$5:$D$2162,$B19,'октябрь 2024'!$J$5:$J$2162,W$1)</f>
        <v>0</v>
      </c>
      <c r="X19" s="80">
        <f>SUMIFS('октябрь 2024'!$G$5:$G$2162,'октябрь 2024'!$D$5:$D$2162,$B19,'октябрь 2024'!$J$5:$J$2162,X$1)</f>
        <v>0</v>
      </c>
      <c r="Y19" s="80">
        <f>SUMIFS('октябрь 2024'!$G$5:$G$2162,'октябрь 2024'!$D$5:$D$2162,$B19,'октябрь 2024'!$J$5:$J$2162,Y$1)</f>
        <v>0</v>
      </c>
      <c r="Z19" s="80">
        <f>SUMIFS('октябрь 2024'!$G$5:$G$2162,'октябрь 2024'!$D$5:$D$2162,$B19,'октябрь 2024'!$J$5:$J$2162,Z$1)</f>
        <v>0</v>
      </c>
      <c r="AA19" s="80">
        <f>SUMIFS('октябрь 2024'!$G$5:$G$2162,'октябрь 2024'!$D$5:$D$2162,$B19,'октябрь 2024'!$J$5:$J$2162,AA$1)</f>
        <v>0</v>
      </c>
      <c r="AB19" s="80">
        <f>SUMIFS('октябрь 2024'!$G$5:$G$2162,'октябрь 2024'!$D$5:$D$2162,$B19,'октябрь 2024'!$J$5:$J$2162,AB$1)</f>
        <v>0</v>
      </c>
      <c r="AC19" s="80">
        <f>SUMIFS('октябрь 2024'!$G$5:$G$2162,'октябрь 2024'!$D$5:$D$2162,$B19,'октябрь 2024'!$J$5:$J$2162,AC$1)</f>
        <v>0</v>
      </c>
      <c r="AD19" s="80">
        <f>SUMIFS('октябрь 2024'!$G$5:$G$2162,'октябрь 2024'!$D$5:$D$2162,$B19,'октябрь 2024'!$J$5:$J$2162,AD$1)</f>
        <v>0</v>
      </c>
      <c r="AE19" s="80">
        <f>SUMIFS('октябрь 2024'!$G$5:$G$2162,'октябрь 2024'!$D$5:$D$2162,$B19,'октябрь 2024'!$J$5:$J$2162,AE$1)</f>
        <v>0</v>
      </c>
      <c r="AF19" s="80">
        <f>SUMIFS('октябрь 2024'!$G$5:$G$2162,'октябрь 2024'!$D$5:$D$2162,$B19,'октябрь 2024'!$J$5:$J$2162,AF$1)</f>
        <v>0</v>
      </c>
      <c r="AG19" s="80">
        <f>SUMIFS('октябрь 2024'!$G$5:$G$2162,'октябрь 2024'!$D$5:$D$2162,$B19,'октябрь 2024'!$J$5:$J$2162,AG$1)</f>
        <v>0</v>
      </c>
      <c r="AH19" s="80">
        <f>SUMIFS('октябрь 2024'!$G$5:$G$2162,'октябрь 2024'!$D$5:$D$2162,$B19,'октябрь 2024'!$J$5:$J$2162,AH$1)</f>
        <v>0</v>
      </c>
      <c r="AI19" s="21">
        <f t="shared" si="1"/>
        <v>0</v>
      </c>
    </row>
    <row r="20" spans="2:35" ht="15" customHeight="1" x14ac:dyDescent="0.25">
      <c r="B20" s="81" t="s">
        <v>305</v>
      </c>
      <c r="C20" s="82">
        <v>25</v>
      </c>
      <c r="D20" s="80">
        <f>SUMIFS('октябрь 2024'!$G$5:$G$2162,'октябрь 2024'!$D$5:$D$2162,$B20,'октябрь 2024'!$J$5:$J$2162,D$1)</f>
        <v>1600</v>
      </c>
      <c r="E20" s="80">
        <f>SUMIFS('октябрь 2024'!$G$5:$G$2162,'октябрь 2024'!$D$5:$D$2162,$B20,'октябрь 2024'!$J$5:$J$2162,E$1)</f>
        <v>0</v>
      </c>
      <c r="F20" s="80">
        <f>SUMIFS('октябрь 2024'!$G$5:$G$2162,'октябрь 2024'!$D$5:$D$2162,$B20,'октябрь 2024'!$J$5:$J$2162,F$1)</f>
        <v>0</v>
      </c>
      <c r="G20" s="80">
        <f>SUMIFS('октябрь 2024'!$G$5:$G$2162,'октябрь 2024'!$D$5:$D$2162,$B20,'октябрь 2024'!$J$5:$J$2162,G$1)</f>
        <v>0</v>
      </c>
      <c r="H20" s="80">
        <f>SUMIFS('октябрь 2024'!$G$5:$G$2162,'октябрь 2024'!$D$5:$D$2162,$B20,'октябрь 2024'!$J$5:$J$2162,H$1)</f>
        <v>0</v>
      </c>
      <c r="I20" s="80">
        <f>SUMIFS('октябрь 2024'!$G$5:$G$2162,'октябрь 2024'!$D$5:$D$2162,$B20,'октябрь 2024'!$J$5:$J$2162,I$1)</f>
        <v>0</v>
      </c>
      <c r="J20" s="80">
        <f>SUMIFS('октябрь 2024'!$G$5:$G$2162,'октябрь 2024'!$D$5:$D$2162,$B20,'октябрь 2024'!$J$5:$J$2162,J$1)</f>
        <v>0</v>
      </c>
      <c r="K20" s="80">
        <f>SUMIFS('октябрь 2024'!$G$5:$G$2162,'октябрь 2024'!$D$5:$D$2162,$B20,'октябрь 2024'!$J$5:$J$2162,K$1)</f>
        <v>0</v>
      </c>
      <c r="L20" s="80">
        <f>SUMIFS('октябрь 2024'!$G$5:$G$2162,'октябрь 2024'!$D$5:$D$2162,$B20,'октябрь 2024'!$J$5:$J$2162,L$1)</f>
        <v>0</v>
      </c>
      <c r="M20" s="80">
        <f>SUMIFS('октябрь 2024'!$G$5:$G$2162,'октябрь 2024'!$D$5:$D$2162,$B20,'октябрь 2024'!$J$5:$J$2162,M$1)</f>
        <v>0</v>
      </c>
      <c r="N20" s="80">
        <f>SUMIFS('октябрь 2024'!$G$5:$G$2162,'октябрь 2024'!$D$5:$D$2162,$B20,'октябрь 2024'!$J$5:$J$2162,N$1)</f>
        <v>0</v>
      </c>
      <c r="O20" s="80">
        <f>SUMIFS('октябрь 2024'!$G$5:$G$2162,'октябрь 2024'!$D$5:$D$2162,$B20,'октябрь 2024'!$J$5:$J$2162,O$1)</f>
        <v>0</v>
      </c>
      <c r="P20" s="80">
        <f>SUMIFS('октябрь 2024'!$G$5:$G$2162,'октябрь 2024'!$D$5:$D$2162,$B20,'октябрь 2024'!$J$5:$J$2162,P$1)</f>
        <v>0</v>
      </c>
      <c r="Q20" s="80">
        <f>SUMIFS('октябрь 2024'!$G$5:$G$2162,'октябрь 2024'!$D$5:$D$2162,$B20,'октябрь 2024'!$J$5:$J$2162,Q$1)</f>
        <v>0</v>
      </c>
      <c r="R20" s="80">
        <f>SUMIFS('октябрь 2024'!$G$5:$G$2162,'октябрь 2024'!$D$5:$D$2162,$B20,'октябрь 2024'!$J$5:$J$2162,R$1)</f>
        <v>0</v>
      </c>
      <c r="S20" s="80">
        <f>SUMIFS('октябрь 2024'!$G$5:$G$2162,'октябрь 2024'!$D$5:$D$2162,$B20,'октябрь 2024'!$J$5:$J$2162,S$1)</f>
        <v>0</v>
      </c>
      <c r="T20" s="80">
        <f>SUMIFS('октябрь 2024'!$G$5:$G$2162,'октябрь 2024'!$D$5:$D$2162,$B20,'октябрь 2024'!$J$5:$J$2162,T$1)</f>
        <v>0</v>
      </c>
      <c r="U20" s="80">
        <f>SUMIFS('октябрь 2024'!$G$5:$G$2162,'октябрь 2024'!$D$5:$D$2162,$B20,'октябрь 2024'!$J$5:$J$2162,U$1)</f>
        <v>0</v>
      </c>
      <c r="V20" s="80">
        <f>SUMIFS('октябрь 2024'!$G$5:$G$2162,'октябрь 2024'!$D$5:$D$2162,$B20,'октябрь 2024'!$J$5:$J$2162,V$1)</f>
        <v>0</v>
      </c>
      <c r="W20" s="80">
        <f>SUMIFS('октябрь 2024'!$G$5:$G$2162,'октябрь 2024'!$D$5:$D$2162,$B20,'октябрь 2024'!$J$5:$J$2162,W$1)</f>
        <v>0</v>
      </c>
      <c r="X20" s="80">
        <f>SUMIFS('октябрь 2024'!$G$5:$G$2162,'октябрь 2024'!$D$5:$D$2162,$B20,'октябрь 2024'!$J$5:$J$2162,X$1)</f>
        <v>0</v>
      </c>
      <c r="Y20" s="80">
        <f>SUMIFS('октябрь 2024'!$G$5:$G$2162,'октябрь 2024'!$D$5:$D$2162,$B20,'октябрь 2024'!$J$5:$J$2162,Y$1)</f>
        <v>0</v>
      </c>
      <c r="Z20" s="80">
        <f>SUMIFS('октябрь 2024'!$G$5:$G$2162,'октябрь 2024'!$D$5:$D$2162,$B20,'октябрь 2024'!$J$5:$J$2162,Z$1)</f>
        <v>0</v>
      </c>
      <c r="AA20" s="80">
        <f>SUMIFS('октябрь 2024'!$G$5:$G$2162,'октябрь 2024'!$D$5:$D$2162,$B20,'октябрь 2024'!$J$5:$J$2162,AA$1)</f>
        <v>0</v>
      </c>
      <c r="AB20" s="80">
        <f>SUMIFS('октябрь 2024'!$G$5:$G$2162,'октябрь 2024'!$D$5:$D$2162,$B20,'октябрь 2024'!$J$5:$J$2162,AB$1)</f>
        <v>0</v>
      </c>
      <c r="AC20" s="80">
        <f>SUMIFS('октябрь 2024'!$G$5:$G$2162,'октябрь 2024'!$D$5:$D$2162,$B20,'октябрь 2024'!$J$5:$J$2162,AC$1)</f>
        <v>0</v>
      </c>
      <c r="AD20" s="80">
        <f>SUMIFS('октябрь 2024'!$G$5:$G$2162,'октябрь 2024'!$D$5:$D$2162,$B20,'октябрь 2024'!$J$5:$J$2162,AD$1)</f>
        <v>0</v>
      </c>
      <c r="AE20" s="80">
        <f>SUMIFS('октябрь 2024'!$G$5:$G$2162,'октябрь 2024'!$D$5:$D$2162,$B20,'октябрь 2024'!$J$5:$J$2162,AE$1)</f>
        <v>0</v>
      </c>
      <c r="AF20" s="80">
        <f>SUMIFS('октябрь 2024'!$G$5:$G$2162,'октябрь 2024'!$D$5:$D$2162,$B20,'октябрь 2024'!$J$5:$J$2162,AF$1)</f>
        <v>0</v>
      </c>
      <c r="AG20" s="80">
        <f>SUMIFS('октябрь 2024'!$G$5:$G$2162,'октябрь 2024'!$D$5:$D$2162,$B20,'октябрь 2024'!$J$5:$J$2162,AG$1)</f>
        <v>0</v>
      </c>
      <c r="AH20" s="80">
        <f>SUMIFS('октябрь 2024'!$G$5:$G$2162,'октябрь 2024'!$D$5:$D$2162,$B20,'октябрь 2024'!$J$5:$J$2162,AH$1)</f>
        <v>0</v>
      </c>
      <c r="AI20" s="21">
        <f t="shared" si="1"/>
        <v>1600</v>
      </c>
    </row>
    <row r="21" spans="2:35" ht="15" customHeight="1" x14ac:dyDescent="0.25">
      <c r="B21" s="81" t="s">
        <v>307</v>
      </c>
      <c r="C21" s="82">
        <v>25</v>
      </c>
      <c r="D21" s="80">
        <f>SUMIFS('октябрь 2024'!$G$5:$G$2162,'октябрь 2024'!$D$5:$D$2162,$B21,'октябрь 2024'!$J$5:$J$2162,D$1)</f>
        <v>0</v>
      </c>
      <c r="E21" s="80">
        <f>SUMIFS('октябрь 2024'!$G$5:$G$2162,'октябрь 2024'!$D$5:$D$2162,$B21,'октябрь 2024'!$J$5:$J$2162,E$1)</f>
        <v>0</v>
      </c>
      <c r="F21" s="80">
        <f>SUMIFS('октябрь 2024'!$G$5:$G$2162,'октябрь 2024'!$D$5:$D$2162,$B21,'октябрь 2024'!$J$5:$J$2162,F$1)</f>
        <v>0</v>
      </c>
      <c r="G21" s="80">
        <f>SUMIFS('октябрь 2024'!$G$5:$G$2162,'октябрь 2024'!$D$5:$D$2162,$B21,'октябрь 2024'!$J$5:$J$2162,G$1)</f>
        <v>0</v>
      </c>
      <c r="H21" s="80">
        <f>SUMIFS('октябрь 2024'!$G$5:$G$2162,'октябрь 2024'!$D$5:$D$2162,$B21,'октябрь 2024'!$J$5:$J$2162,H$1)</f>
        <v>0</v>
      </c>
      <c r="I21" s="80">
        <f>SUMIFS('октябрь 2024'!$G$5:$G$2162,'октябрь 2024'!$D$5:$D$2162,$B21,'октябрь 2024'!$J$5:$J$2162,I$1)</f>
        <v>0</v>
      </c>
      <c r="J21" s="80">
        <f>SUMIFS('октябрь 2024'!$G$5:$G$2162,'октябрь 2024'!$D$5:$D$2162,$B21,'октябрь 2024'!$J$5:$J$2162,J$1)</f>
        <v>0</v>
      </c>
      <c r="K21" s="80">
        <f>SUMIFS('октябрь 2024'!$G$5:$G$2162,'октябрь 2024'!$D$5:$D$2162,$B21,'октябрь 2024'!$J$5:$J$2162,K$1)</f>
        <v>0</v>
      </c>
      <c r="L21" s="80">
        <f>SUMIFS('октябрь 2024'!$G$5:$G$2162,'октябрь 2024'!$D$5:$D$2162,$B21,'октябрь 2024'!$J$5:$J$2162,L$1)</f>
        <v>0</v>
      </c>
      <c r="M21" s="80">
        <f>SUMIFS('октябрь 2024'!$G$5:$G$2162,'октябрь 2024'!$D$5:$D$2162,$B21,'октябрь 2024'!$J$5:$J$2162,M$1)</f>
        <v>0</v>
      </c>
      <c r="N21" s="80">
        <f>SUMIFS('октябрь 2024'!$G$5:$G$2162,'октябрь 2024'!$D$5:$D$2162,$B21,'октябрь 2024'!$J$5:$J$2162,N$1)</f>
        <v>0</v>
      </c>
      <c r="O21" s="80">
        <f>SUMIFS('октябрь 2024'!$G$5:$G$2162,'октябрь 2024'!$D$5:$D$2162,$B21,'октябрь 2024'!$J$5:$J$2162,O$1)</f>
        <v>0</v>
      </c>
      <c r="P21" s="80">
        <f>SUMIFS('октябрь 2024'!$G$5:$G$2162,'октябрь 2024'!$D$5:$D$2162,$B21,'октябрь 2024'!$J$5:$J$2162,P$1)</f>
        <v>0</v>
      </c>
      <c r="Q21" s="80">
        <f>SUMIFS('октябрь 2024'!$G$5:$G$2162,'октябрь 2024'!$D$5:$D$2162,$B21,'октябрь 2024'!$J$5:$J$2162,Q$1)</f>
        <v>0</v>
      </c>
      <c r="R21" s="80">
        <f>SUMIFS('октябрь 2024'!$G$5:$G$2162,'октябрь 2024'!$D$5:$D$2162,$B21,'октябрь 2024'!$J$5:$J$2162,R$1)</f>
        <v>0</v>
      </c>
      <c r="S21" s="80">
        <f>SUMIFS('октябрь 2024'!$G$5:$G$2162,'октябрь 2024'!$D$5:$D$2162,$B21,'октябрь 2024'!$J$5:$J$2162,S$1)</f>
        <v>0</v>
      </c>
      <c r="T21" s="80">
        <f>SUMIFS('октябрь 2024'!$G$5:$G$2162,'октябрь 2024'!$D$5:$D$2162,$B21,'октябрь 2024'!$J$5:$J$2162,T$1)</f>
        <v>0</v>
      </c>
      <c r="U21" s="80">
        <f>SUMIFS('октябрь 2024'!$G$5:$G$2162,'октябрь 2024'!$D$5:$D$2162,$B21,'октябрь 2024'!$J$5:$J$2162,U$1)</f>
        <v>0</v>
      </c>
      <c r="V21" s="80">
        <f>SUMIFS('октябрь 2024'!$G$5:$G$2162,'октябрь 2024'!$D$5:$D$2162,$B21,'октябрь 2024'!$J$5:$J$2162,V$1)</f>
        <v>0</v>
      </c>
      <c r="W21" s="80">
        <f>SUMIFS('октябрь 2024'!$G$5:$G$2162,'октябрь 2024'!$D$5:$D$2162,$B21,'октябрь 2024'!$J$5:$J$2162,W$1)</f>
        <v>0</v>
      </c>
      <c r="X21" s="80">
        <f>SUMIFS('октябрь 2024'!$G$5:$G$2162,'октябрь 2024'!$D$5:$D$2162,$B21,'октябрь 2024'!$J$5:$J$2162,X$1)</f>
        <v>0</v>
      </c>
      <c r="Y21" s="80">
        <f>SUMIFS('октябрь 2024'!$G$5:$G$2162,'октябрь 2024'!$D$5:$D$2162,$B21,'октябрь 2024'!$J$5:$J$2162,Y$1)</f>
        <v>0</v>
      </c>
      <c r="Z21" s="80">
        <f>SUMIFS('октябрь 2024'!$G$5:$G$2162,'октябрь 2024'!$D$5:$D$2162,$B21,'октябрь 2024'!$J$5:$J$2162,Z$1)</f>
        <v>0</v>
      </c>
      <c r="AA21" s="80">
        <f>SUMIFS('октябрь 2024'!$G$5:$G$2162,'октябрь 2024'!$D$5:$D$2162,$B21,'октябрь 2024'!$J$5:$J$2162,AA$1)</f>
        <v>0</v>
      </c>
      <c r="AB21" s="80">
        <f>SUMIFS('октябрь 2024'!$G$5:$G$2162,'октябрь 2024'!$D$5:$D$2162,$B21,'октябрь 2024'!$J$5:$J$2162,AB$1)</f>
        <v>0</v>
      </c>
      <c r="AC21" s="80">
        <f>SUMIFS('октябрь 2024'!$G$5:$G$2162,'октябрь 2024'!$D$5:$D$2162,$B21,'октябрь 2024'!$J$5:$J$2162,AC$1)</f>
        <v>0</v>
      </c>
      <c r="AD21" s="80">
        <f>SUMIFS('октябрь 2024'!$G$5:$G$2162,'октябрь 2024'!$D$5:$D$2162,$B21,'октябрь 2024'!$J$5:$J$2162,AD$1)</f>
        <v>0</v>
      </c>
      <c r="AE21" s="80">
        <f>SUMIFS('октябрь 2024'!$G$5:$G$2162,'октябрь 2024'!$D$5:$D$2162,$B21,'октябрь 2024'!$J$5:$J$2162,AE$1)</f>
        <v>0</v>
      </c>
      <c r="AF21" s="80">
        <f>SUMIFS('октябрь 2024'!$G$5:$G$2162,'октябрь 2024'!$D$5:$D$2162,$B21,'октябрь 2024'!$J$5:$J$2162,AF$1)</f>
        <v>0</v>
      </c>
      <c r="AG21" s="80">
        <f>SUMIFS('октябрь 2024'!$G$5:$G$2162,'октябрь 2024'!$D$5:$D$2162,$B21,'октябрь 2024'!$J$5:$J$2162,AG$1)</f>
        <v>0</v>
      </c>
      <c r="AH21" s="80">
        <f>SUMIFS('октябрь 2024'!$G$5:$G$2162,'октябрь 2024'!$D$5:$D$2162,$B21,'октябрь 2024'!$J$5:$J$2162,AH$1)</f>
        <v>0</v>
      </c>
      <c r="AI21" s="21">
        <f t="shared" si="1"/>
        <v>0</v>
      </c>
    </row>
    <row r="22" spans="2:35" ht="15" customHeight="1" x14ac:dyDescent="0.25">
      <c r="B22" s="81" t="s">
        <v>309</v>
      </c>
      <c r="C22" s="82">
        <v>25</v>
      </c>
      <c r="D22" s="80">
        <f>SUMIFS('октябрь 2024'!$G$5:$G$2162,'октябрь 2024'!$D$5:$D$2162,$B22,'октябрь 2024'!$J$5:$J$2162,D$1)</f>
        <v>0</v>
      </c>
      <c r="E22" s="80">
        <f>SUMIFS('октябрь 2024'!$G$5:$G$2162,'октябрь 2024'!$D$5:$D$2162,$B22,'октябрь 2024'!$J$5:$J$2162,E$1)</f>
        <v>0</v>
      </c>
      <c r="F22" s="80">
        <f>SUMIFS('октябрь 2024'!$G$5:$G$2162,'октябрь 2024'!$D$5:$D$2162,$B22,'октябрь 2024'!$J$5:$J$2162,F$1)</f>
        <v>0</v>
      </c>
      <c r="G22" s="80">
        <f>SUMIFS('октябрь 2024'!$G$5:$G$2162,'октябрь 2024'!$D$5:$D$2162,$B22,'октябрь 2024'!$J$5:$J$2162,G$1)</f>
        <v>0</v>
      </c>
      <c r="H22" s="80">
        <f>SUMIFS('октябрь 2024'!$G$5:$G$2162,'октябрь 2024'!$D$5:$D$2162,$B22,'октябрь 2024'!$J$5:$J$2162,H$1)</f>
        <v>0</v>
      </c>
      <c r="I22" s="80">
        <f>SUMIFS('октябрь 2024'!$G$5:$G$2162,'октябрь 2024'!$D$5:$D$2162,$B22,'октябрь 2024'!$J$5:$J$2162,I$1)</f>
        <v>0</v>
      </c>
      <c r="J22" s="80">
        <f>SUMIFS('октябрь 2024'!$G$5:$G$2162,'октябрь 2024'!$D$5:$D$2162,$B22,'октябрь 2024'!$J$5:$J$2162,J$1)</f>
        <v>0</v>
      </c>
      <c r="K22" s="80">
        <f>SUMIFS('октябрь 2024'!$G$5:$G$2162,'октябрь 2024'!$D$5:$D$2162,$B22,'октябрь 2024'!$J$5:$J$2162,K$1)</f>
        <v>0</v>
      </c>
      <c r="L22" s="80">
        <f>SUMIFS('октябрь 2024'!$G$5:$G$2162,'октябрь 2024'!$D$5:$D$2162,$B22,'октябрь 2024'!$J$5:$J$2162,L$1)</f>
        <v>0</v>
      </c>
      <c r="M22" s="80">
        <f>SUMIFS('октябрь 2024'!$G$5:$G$2162,'октябрь 2024'!$D$5:$D$2162,$B22,'октябрь 2024'!$J$5:$J$2162,M$1)</f>
        <v>0</v>
      </c>
      <c r="N22" s="80">
        <f>SUMIFS('октябрь 2024'!$G$5:$G$2162,'октябрь 2024'!$D$5:$D$2162,$B22,'октябрь 2024'!$J$5:$J$2162,N$1)</f>
        <v>0</v>
      </c>
      <c r="O22" s="80">
        <f>SUMIFS('октябрь 2024'!$G$5:$G$2162,'октябрь 2024'!$D$5:$D$2162,$B22,'октябрь 2024'!$J$5:$J$2162,O$1)</f>
        <v>0</v>
      </c>
      <c r="P22" s="80">
        <f>SUMIFS('октябрь 2024'!$G$5:$G$2162,'октябрь 2024'!$D$5:$D$2162,$B22,'октябрь 2024'!$J$5:$J$2162,P$1)</f>
        <v>0</v>
      </c>
      <c r="Q22" s="80">
        <f>SUMIFS('октябрь 2024'!$G$5:$G$2162,'октябрь 2024'!$D$5:$D$2162,$B22,'октябрь 2024'!$J$5:$J$2162,Q$1)</f>
        <v>0</v>
      </c>
      <c r="R22" s="80">
        <f>SUMIFS('октябрь 2024'!$G$5:$G$2162,'октябрь 2024'!$D$5:$D$2162,$B22,'октябрь 2024'!$J$5:$J$2162,R$1)</f>
        <v>0</v>
      </c>
      <c r="S22" s="80">
        <f>SUMIFS('октябрь 2024'!$G$5:$G$2162,'октябрь 2024'!$D$5:$D$2162,$B22,'октябрь 2024'!$J$5:$J$2162,S$1)</f>
        <v>0</v>
      </c>
      <c r="T22" s="80">
        <f>SUMIFS('октябрь 2024'!$G$5:$G$2162,'октябрь 2024'!$D$5:$D$2162,$B22,'октябрь 2024'!$J$5:$J$2162,T$1)</f>
        <v>0</v>
      </c>
      <c r="U22" s="80">
        <f>SUMIFS('октябрь 2024'!$G$5:$G$2162,'октябрь 2024'!$D$5:$D$2162,$B22,'октябрь 2024'!$J$5:$J$2162,U$1)</f>
        <v>0</v>
      </c>
      <c r="V22" s="80">
        <f>SUMIFS('октябрь 2024'!$G$5:$G$2162,'октябрь 2024'!$D$5:$D$2162,$B22,'октябрь 2024'!$J$5:$J$2162,V$1)</f>
        <v>0</v>
      </c>
      <c r="W22" s="80">
        <f>SUMIFS('октябрь 2024'!$G$5:$G$2162,'октябрь 2024'!$D$5:$D$2162,$B22,'октябрь 2024'!$J$5:$J$2162,W$1)</f>
        <v>0</v>
      </c>
      <c r="X22" s="80">
        <f>SUMIFS('октябрь 2024'!$G$5:$G$2162,'октябрь 2024'!$D$5:$D$2162,$B22,'октябрь 2024'!$J$5:$J$2162,X$1)</f>
        <v>0</v>
      </c>
      <c r="Y22" s="80">
        <f>SUMIFS('октябрь 2024'!$G$5:$G$2162,'октябрь 2024'!$D$5:$D$2162,$B22,'октябрь 2024'!$J$5:$J$2162,Y$1)</f>
        <v>0</v>
      </c>
      <c r="Z22" s="80">
        <f>SUMIFS('октябрь 2024'!$G$5:$G$2162,'октябрь 2024'!$D$5:$D$2162,$B22,'октябрь 2024'!$J$5:$J$2162,Z$1)</f>
        <v>0</v>
      </c>
      <c r="AA22" s="80">
        <f>SUMIFS('октябрь 2024'!$G$5:$G$2162,'октябрь 2024'!$D$5:$D$2162,$B22,'октябрь 2024'!$J$5:$J$2162,AA$1)</f>
        <v>0</v>
      </c>
      <c r="AB22" s="80">
        <f>SUMIFS('октябрь 2024'!$G$5:$G$2162,'октябрь 2024'!$D$5:$D$2162,$B22,'октябрь 2024'!$J$5:$J$2162,AB$1)</f>
        <v>0</v>
      </c>
      <c r="AC22" s="80">
        <f>SUMIFS('октябрь 2024'!$G$5:$G$2162,'октябрь 2024'!$D$5:$D$2162,$B22,'октябрь 2024'!$J$5:$J$2162,AC$1)</f>
        <v>0</v>
      </c>
      <c r="AD22" s="80">
        <f>SUMIFS('октябрь 2024'!$G$5:$G$2162,'октябрь 2024'!$D$5:$D$2162,$B22,'октябрь 2024'!$J$5:$J$2162,AD$1)</f>
        <v>0</v>
      </c>
      <c r="AE22" s="80">
        <f>SUMIFS('октябрь 2024'!$G$5:$G$2162,'октябрь 2024'!$D$5:$D$2162,$B22,'октябрь 2024'!$J$5:$J$2162,AE$1)</f>
        <v>0</v>
      </c>
      <c r="AF22" s="80">
        <f>SUMIFS('октябрь 2024'!$G$5:$G$2162,'октябрь 2024'!$D$5:$D$2162,$B22,'октябрь 2024'!$J$5:$J$2162,AF$1)</f>
        <v>0</v>
      </c>
      <c r="AG22" s="80">
        <f>SUMIFS('октябрь 2024'!$G$5:$G$2162,'октябрь 2024'!$D$5:$D$2162,$B22,'октябрь 2024'!$J$5:$J$2162,AG$1)</f>
        <v>0</v>
      </c>
      <c r="AH22" s="80">
        <f>SUMIFS('октябрь 2024'!$G$5:$G$2162,'октябрь 2024'!$D$5:$D$2162,$B22,'октябрь 2024'!$J$5:$J$2162,AH$1)</f>
        <v>0</v>
      </c>
      <c r="AI22" s="21">
        <f t="shared" si="1"/>
        <v>0</v>
      </c>
    </row>
    <row r="23" spans="2:35" ht="15" customHeight="1" x14ac:dyDescent="0.25">
      <c r="B23" s="84" t="s">
        <v>311</v>
      </c>
      <c r="C23" s="103">
        <v>25</v>
      </c>
      <c r="D23" s="80">
        <f>SUMIFS('октябрь 2024'!$G$5:$G$2162,'октябрь 2024'!$D$5:$D$2162,$B23,'октябрь 2024'!$J$5:$J$2162,D$1)</f>
        <v>0</v>
      </c>
      <c r="E23" s="80">
        <f>SUMIFS('октябрь 2024'!$G$5:$G$2162,'октябрь 2024'!$D$5:$D$2162,$B23,'октябрь 2024'!$J$5:$J$2162,E$1)</f>
        <v>0</v>
      </c>
      <c r="F23" s="80">
        <f>SUMIFS('октябрь 2024'!$G$5:$G$2162,'октябрь 2024'!$D$5:$D$2162,$B23,'октябрь 2024'!$J$5:$J$2162,F$1)</f>
        <v>0</v>
      </c>
      <c r="G23" s="80">
        <f>SUMIFS('октябрь 2024'!$G$5:$G$2162,'октябрь 2024'!$D$5:$D$2162,$B23,'октябрь 2024'!$J$5:$J$2162,G$1)</f>
        <v>0</v>
      </c>
      <c r="H23" s="80">
        <f>SUMIFS('октябрь 2024'!$G$5:$G$2162,'октябрь 2024'!$D$5:$D$2162,$B23,'октябрь 2024'!$J$5:$J$2162,H$1)</f>
        <v>0</v>
      </c>
      <c r="I23" s="80">
        <f>SUMIFS('октябрь 2024'!$G$5:$G$2162,'октябрь 2024'!$D$5:$D$2162,$B23,'октябрь 2024'!$J$5:$J$2162,I$1)</f>
        <v>0</v>
      </c>
      <c r="J23" s="80">
        <f>SUMIFS('октябрь 2024'!$G$5:$G$2162,'октябрь 2024'!$D$5:$D$2162,$B23,'октябрь 2024'!$J$5:$J$2162,J$1)</f>
        <v>0</v>
      </c>
      <c r="K23" s="80">
        <f>SUMIFS('октябрь 2024'!$G$5:$G$2162,'октябрь 2024'!$D$5:$D$2162,$B23,'октябрь 2024'!$J$5:$J$2162,K$1)</f>
        <v>0</v>
      </c>
      <c r="L23" s="80">
        <f>SUMIFS('октябрь 2024'!$G$5:$G$2162,'октябрь 2024'!$D$5:$D$2162,$B23,'октябрь 2024'!$J$5:$J$2162,L$1)</f>
        <v>0</v>
      </c>
      <c r="M23" s="80">
        <f>SUMIFS('октябрь 2024'!$G$5:$G$2162,'октябрь 2024'!$D$5:$D$2162,$B23,'октябрь 2024'!$J$5:$J$2162,M$1)</f>
        <v>0</v>
      </c>
      <c r="N23" s="80">
        <f>SUMIFS('октябрь 2024'!$G$5:$G$2162,'октябрь 2024'!$D$5:$D$2162,$B23,'октябрь 2024'!$J$5:$J$2162,N$1)</f>
        <v>0</v>
      </c>
      <c r="O23" s="80">
        <f>SUMIFS('октябрь 2024'!$G$5:$G$2162,'октябрь 2024'!$D$5:$D$2162,$B23,'октябрь 2024'!$J$5:$J$2162,O$1)</f>
        <v>0</v>
      </c>
      <c r="P23" s="80">
        <f>SUMIFS('октябрь 2024'!$G$5:$G$2162,'октябрь 2024'!$D$5:$D$2162,$B23,'октябрь 2024'!$J$5:$J$2162,P$1)</f>
        <v>0</v>
      </c>
      <c r="Q23" s="80">
        <f>SUMIFS('октябрь 2024'!$G$5:$G$2162,'октябрь 2024'!$D$5:$D$2162,$B23,'октябрь 2024'!$J$5:$J$2162,Q$1)</f>
        <v>0</v>
      </c>
      <c r="R23" s="80">
        <f>SUMIFS('октябрь 2024'!$G$5:$G$2162,'октябрь 2024'!$D$5:$D$2162,$B23,'октябрь 2024'!$J$5:$J$2162,R$1)</f>
        <v>0</v>
      </c>
      <c r="S23" s="80">
        <f>SUMIFS('октябрь 2024'!$G$5:$G$2162,'октябрь 2024'!$D$5:$D$2162,$B23,'октябрь 2024'!$J$5:$J$2162,S$1)</f>
        <v>0</v>
      </c>
      <c r="T23" s="80">
        <f>SUMIFS('октябрь 2024'!$G$5:$G$2162,'октябрь 2024'!$D$5:$D$2162,$B23,'октябрь 2024'!$J$5:$J$2162,T$1)</f>
        <v>0</v>
      </c>
      <c r="U23" s="80">
        <f>SUMIFS('октябрь 2024'!$G$5:$G$2162,'октябрь 2024'!$D$5:$D$2162,$B23,'октябрь 2024'!$J$5:$J$2162,U$1)</f>
        <v>0</v>
      </c>
      <c r="V23" s="80">
        <f>SUMIFS('октябрь 2024'!$G$5:$G$2162,'октябрь 2024'!$D$5:$D$2162,$B23,'октябрь 2024'!$J$5:$J$2162,V$1)</f>
        <v>0</v>
      </c>
      <c r="W23" s="80">
        <f>SUMIFS('октябрь 2024'!$G$5:$G$2162,'октябрь 2024'!$D$5:$D$2162,$B23,'октябрь 2024'!$J$5:$J$2162,W$1)</f>
        <v>0</v>
      </c>
      <c r="X23" s="80">
        <f>SUMIFS('октябрь 2024'!$G$5:$G$2162,'октябрь 2024'!$D$5:$D$2162,$B23,'октябрь 2024'!$J$5:$J$2162,X$1)</f>
        <v>0</v>
      </c>
      <c r="Y23" s="80">
        <f>SUMIFS('октябрь 2024'!$G$5:$G$2162,'октябрь 2024'!$D$5:$D$2162,$B23,'октябрь 2024'!$J$5:$J$2162,Y$1)</f>
        <v>0</v>
      </c>
      <c r="Z23" s="80">
        <f>SUMIFS('октябрь 2024'!$G$5:$G$2162,'октябрь 2024'!$D$5:$D$2162,$B23,'октябрь 2024'!$J$5:$J$2162,Z$1)</f>
        <v>0</v>
      </c>
      <c r="AA23" s="80">
        <f>SUMIFS('октябрь 2024'!$G$5:$G$2162,'октябрь 2024'!$D$5:$D$2162,$B23,'октябрь 2024'!$J$5:$J$2162,AA$1)</f>
        <v>0</v>
      </c>
      <c r="AB23" s="80">
        <f>SUMIFS('октябрь 2024'!$G$5:$G$2162,'октябрь 2024'!$D$5:$D$2162,$B23,'октябрь 2024'!$J$5:$J$2162,AB$1)</f>
        <v>0</v>
      </c>
      <c r="AC23" s="80">
        <f>SUMIFS('октябрь 2024'!$G$5:$G$2162,'октябрь 2024'!$D$5:$D$2162,$B23,'октябрь 2024'!$J$5:$J$2162,AC$1)</f>
        <v>0</v>
      </c>
      <c r="AD23" s="80">
        <f>SUMIFS('октябрь 2024'!$G$5:$G$2162,'октябрь 2024'!$D$5:$D$2162,$B23,'октябрь 2024'!$J$5:$J$2162,AD$1)</f>
        <v>0</v>
      </c>
      <c r="AE23" s="80">
        <f>SUMIFS('октябрь 2024'!$G$5:$G$2162,'октябрь 2024'!$D$5:$D$2162,$B23,'октябрь 2024'!$J$5:$J$2162,AE$1)</f>
        <v>0</v>
      </c>
      <c r="AF23" s="80">
        <f>SUMIFS('октябрь 2024'!$G$5:$G$2162,'октябрь 2024'!$D$5:$D$2162,$B23,'октябрь 2024'!$J$5:$J$2162,AF$1)</f>
        <v>0</v>
      </c>
      <c r="AG23" s="80">
        <f>SUMIFS('октябрь 2024'!$G$5:$G$2162,'октябрь 2024'!$D$5:$D$2162,$B23,'октябрь 2024'!$J$5:$J$2162,AG$1)</f>
        <v>0</v>
      </c>
      <c r="AH23" s="80">
        <f>SUMIFS('октябрь 2024'!$G$5:$G$2162,'октябрь 2024'!$D$5:$D$2162,$B23,'октябрь 2024'!$J$5:$J$2162,AH$1)</f>
        <v>0</v>
      </c>
      <c r="AI23" s="21">
        <f t="shared" si="1"/>
        <v>0</v>
      </c>
    </row>
    <row r="24" spans="2:35" ht="15" customHeight="1" x14ac:dyDescent="0.25">
      <c r="B24" s="84" t="s">
        <v>312</v>
      </c>
      <c r="C24" s="82">
        <v>25</v>
      </c>
      <c r="D24" s="80">
        <f>SUMIFS('октябрь 2024'!$G$5:$G$2162,'октябрь 2024'!$D$5:$D$2162,$B24,'октябрь 2024'!$J$5:$J$2162,D$1)</f>
        <v>0</v>
      </c>
      <c r="E24" s="80">
        <f>SUMIFS('октябрь 2024'!$G$5:$G$2162,'октябрь 2024'!$D$5:$D$2162,$B24,'октябрь 2024'!$J$5:$J$2162,E$1)</f>
        <v>0</v>
      </c>
      <c r="F24" s="80">
        <f>SUMIFS('октябрь 2024'!$G$5:$G$2162,'октябрь 2024'!$D$5:$D$2162,$B24,'октябрь 2024'!$J$5:$J$2162,F$1)</f>
        <v>0</v>
      </c>
      <c r="G24" s="80">
        <f>SUMIFS('октябрь 2024'!$G$5:$G$2162,'октябрь 2024'!$D$5:$D$2162,$B24,'октябрь 2024'!$J$5:$J$2162,G$1)</f>
        <v>0</v>
      </c>
      <c r="H24" s="80">
        <f>SUMIFS('октябрь 2024'!$G$5:$G$2162,'октябрь 2024'!$D$5:$D$2162,$B24,'октябрь 2024'!$J$5:$J$2162,H$1)</f>
        <v>0</v>
      </c>
      <c r="I24" s="80">
        <f>SUMIFS('октябрь 2024'!$G$5:$G$2162,'октябрь 2024'!$D$5:$D$2162,$B24,'октябрь 2024'!$J$5:$J$2162,I$1)</f>
        <v>0</v>
      </c>
      <c r="J24" s="80">
        <f>SUMIFS('октябрь 2024'!$G$5:$G$2162,'октябрь 2024'!$D$5:$D$2162,$B24,'октябрь 2024'!$J$5:$J$2162,J$1)</f>
        <v>0</v>
      </c>
      <c r="K24" s="80">
        <f>SUMIFS('октябрь 2024'!$G$5:$G$2162,'октябрь 2024'!$D$5:$D$2162,$B24,'октябрь 2024'!$J$5:$J$2162,K$1)</f>
        <v>0</v>
      </c>
      <c r="L24" s="80">
        <f>SUMIFS('октябрь 2024'!$G$5:$G$2162,'октябрь 2024'!$D$5:$D$2162,$B24,'октябрь 2024'!$J$5:$J$2162,L$1)</f>
        <v>0</v>
      </c>
      <c r="M24" s="80">
        <f>SUMIFS('октябрь 2024'!$G$5:$G$2162,'октябрь 2024'!$D$5:$D$2162,$B24,'октябрь 2024'!$J$5:$J$2162,M$1)</f>
        <v>0</v>
      </c>
      <c r="N24" s="80">
        <f>SUMIFS('октябрь 2024'!$G$5:$G$2162,'октябрь 2024'!$D$5:$D$2162,$B24,'октябрь 2024'!$J$5:$J$2162,N$1)</f>
        <v>0</v>
      </c>
      <c r="O24" s="80">
        <f>SUMIFS('октябрь 2024'!$G$5:$G$2162,'октябрь 2024'!$D$5:$D$2162,$B24,'октябрь 2024'!$J$5:$J$2162,O$1)</f>
        <v>0</v>
      </c>
      <c r="P24" s="80">
        <f>SUMIFS('октябрь 2024'!$G$5:$G$2162,'октябрь 2024'!$D$5:$D$2162,$B24,'октябрь 2024'!$J$5:$J$2162,P$1)</f>
        <v>0</v>
      </c>
      <c r="Q24" s="80">
        <f>SUMIFS('октябрь 2024'!$G$5:$G$2162,'октябрь 2024'!$D$5:$D$2162,$B24,'октябрь 2024'!$J$5:$J$2162,Q$1)</f>
        <v>0</v>
      </c>
      <c r="R24" s="80">
        <f>SUMIFS('октябрь 2024'!$G$5:$G$2162,'октябрь 2024'!$D$5:$D$2162,$B24,'октябрь 2024'!$J$5:$J$2162,R$1)</f>
        <v>0</v>
      </c>
      <c r="S24" s="80">
        <f>SUMIFS('октябрь 2024'!$G$5:$G$2162,'октябрь 2024'!$D$5:$D$2162,$B24,'октябрь 2024'!$J$5:$J$2162,S$1)</f>
        <v>0</v>
      </c>
      <c r="T24" s="80">
        <f>SUMIFS('октябрь 2024'!$G$5:$G$2162,'октябрь 2024'!$D$5:$D$2162,$B24,'октябрь 2024'!$J$5:$J$2162,T$1)</f>
        <v>0</v>
      </c>
      <c r="U24" s="80">
        <f>SUMIFS('октябрь 2024'!$G$5:$G$2162,'октябрь 2024'!$D$5:$D$2162,$B24,'октябрь 2024'!$J$5:$J$2162,U$1)</f>
        <v>0</v>
      </c>
      <c r="V24" s="80">
        <f>SUMIFS('октябрь 2024'!$G$5:$G$2162,'октябрь 2024'!$D$5:$D$2162,$B24,'октябрь 2024'!$J$5:$J$2162,V$1)</f>
        <v>0</v>
      </c>
      <c r="W24" s="80">
        <f>SUMIFS('октябрь 2024'!$G$5:$G$2162,'октябрь 2024'!$D$5:$D$2162,$B24,'октябрь 2024'!$J$5:$J$2162,W$1)</f>
        <v>0</v>
      </c>
      <c r="X24" s="80">
        <f>SUMIFS('октябрь 2024'!$G$5:$G$2162,'октябрь 2024'!$D$5:$D$2162,$B24,'октябрь 2024'!$J$5:$J$2162,X$1)</f>
        <v>0</v>
      </c>
      <c r="Y24" s="80">
        <f>SUMIFS('октябрь 2024'!$G$5:$G$2162,'октябрь 2024'!$D$5:$D$2162,$B24,'октябрь 2024'!$J$5:$J$2162,Y$1)</f>
        <v>0</v>
      </c>
      <c r="Z24" s="80">
        <f>SUMIFS('октябрь 2024'!$G$5:$G$2162,'октябрь 2024'!$D$5:$D$2162,$B24,'октябрь 2024'!$J$5:$J$2162,Z$1)</f>
        <v>0</v>
      </c>
      <c r="AA24" s="80">
        <f>SUMIFS('октябрь 2024'!$G$5:$G$2162,'октябрь 2024'!$D$5:$D$2162,$B24,'октябрь 2024'!$J$5:$J$2162,AA$1)</f>
        <v>0</v>
      </c>
      <c r="AB24" s="80">
        <f>SUMIFS('октябрь 2024'!$G$5:$G$2162,'октябрь 2024'!$D$5:$D$2162,$B24,'октябрь 2024'!$J$5:$J$2162,AB$1)</f>
        <v>0</v>
      </c>
      <c r="AC24" s="80">
        <f>SUMIFS('октябрь 2024'!$G$5:$G$2162,'октябрь 2024'!$D$5:$D$2162,$B24,'октябрь 2024'!$J$5:$J$2162,AC$1)</f>
        <v>0</v>
      </c>
      <c r="AD24" s="80">
        <f>SUMIFS('октябрь 2024'!$G$5:$G$2162,'октябрь 2024'!$D$5:$D$2162,$B24,'октябрь 2024'!$J$5:$J$2162,AD$1)</f>
        <v>0</v>
      </c>
      <c r="AE24" s="80">
        <f>SUMIFS('октябрь 2024'!$G$5:$G$2162,'октябрь 2024'!$D$5:$D$2162,$B24,'октябрь 2024'!$J$5:$J$2162,AE$1)</f>
        <v>0</v>
      </c>
      <c r="AF24" s="80">
        <f>SUMIFS('октябрь 2024'!$G$5:$G$2162,'октябрь 2024'!$D$5:$D$2162,$B24,'октябрь 2024'!$J$5:$J$2162,AF$1)</f>
        <v>0</v>
      </c>
      <c r="AG24" s="80">
        <f>SUMIFS('октябрь 2024'!$G$5:$G$2162,'октябрь 2024'!$D$5:$D$2162,$B24,'октябрь 2024'!$J$5:$J$2162,AG$1)</f>
        <v>0</v>
      </c>
      <c r="AH24" s="80">
        <f>SUMIFS('октябрь 2024'!$G$5:$G$2162,'октябрь 2024'!$D$5:$D$2162,$B24,'октябрь 2024'!$J$5:$J$2162,AH$1)</f>
        <v>0</v>
      </c>
      <c r="AI24" s="21">
        <f t="shared" si="1"/>
        <v>0</v>
      </c>
    </row>
    <row r="25" spans="2:35" ht="15" customHeight="1" x14ac:dyDescent="0.25">
      <c r="B25" s="84" t="s">
        <v>313</v>
      </c>
      <c r="C25" s="82">
        <v>25</v>
      </c>
      <c r="D25" s="80">
        <f>SUMIFS('октябрь 2024'!$G$5:$G$2162,'октябрь 2024'!$D$5:$D$2162,$B25,'октябрь 2024'!$J$5:$J$2162,D$1)</f>
        <v>0</v>
      </c>
      <c r="E25" s="80">
        <f>SUMIFS('октябрь 2024'!$G$5:$G$2162,'октябрь 2024'!$D$5:$D$2162,$B25,'октябрь 2024'!$J$5:$J$2162,E$1)</f>
        <v>0</v>
      </c>
      <c r="F25" s="80">
        <f>SUMIFS('октябрь 2024'!$G$5:$G$2162,'октябрь 2024'!$D$5:$D$2162,$B25,'октябрь 2024'!$J$5:$J$2162,F$1)</f>
        <v>0</v>
      </c>
      <c r="G25" s="80">
        <f>SUMIFS('октябрь 2024'!$G$5:$G$2162,'октябрь 2024'!$D$5:$D$2162,$B25,'октябрь 2024'!$J$5:$J$2162,G$1)</f>
        <v>0</v>
      </c>
      <c r="H25" s="80">
        <f>SUMIFS('октябрь 2024'!$G$5:$G$2162,'октябрь 2024'!$D$5:$D$2162,$B25,'октябрь 2024'!$J$5:$J$2162,H$1)</f>
        <v>0</v>
      </c>
      <c r="I25" s="80">
        <f>SUMIFS('октябрь 2024'!$G$5:$G$2162,'октябрь 2024'!$D$5:$D$2162,$B25,'октябрь 2024'!$J$5:$J$2162,I$1)</f>
        <v>0</v>
      </c>
      <c r="J25" s="80">
        <f>SUMIFS('октябрь 2024'!$G$5:$G$2162,'октябрь 2024'!$D$5:$D$2162,$B25,'октябрь 2024'!$J$5:$J$2162,J$1)</f>
        <v>0</v>
      </c>
      <c r="K25" s="80">
        <f>SUMIFS('октябрь 2024'!$G$5:$G$2162,'октябрь 2024'!$D$5:$D$2162,$B25,'октябрь 2024'!$J$5:$J$2162,K$1)</f>
        <v>0</v>
      </c>
      <c r="L25" s="80">
        <f>SUMIFS('октябрь 2024'!$G$5:$G$2162,'октябрь 2024'!$D$5:$D$2162,$B25,'октябрь 2024'!$J$5:$J$2162,L$1)</f>
        <v>0</v>
      </c>
      <c r="M25" s="80">
        <f>SUMIFS('октябрь 2024'!$G$5:$G$2162,'октябрь 2024'!$D$5:$D$2162,$B25,'октябрь 2024'!$J$5:$J$2162,M$1)</f>
        <v>0</v>
      </c>
      <c r="N25" s="80">
        <f>SUMIFS('октябрь 2024'!$G$5:$G$2162,'октябрь 2024'!$D$5:$D$2162,$B25,'октябрь 2024'!$J$5:$J$2162,N$1)</f>
        <v>0</v>
      </c>
      <c r="O25" s="80">
        <f>SUMIFS('октябрь 2024'!$G$5:$G$2162,'октябрь 2024'!$D$5:$D$2162,$B25,'октябрь 2024'!$J$5:$J$2162,O$1)</f>
        <v>0</v>
      </c>
      <c r="P25" s="80">
        <f>SUMIFS('октябрь 2024'!$G$5:$G$2162,'октябрь 2024'!$D$5:$D$2162,$B25,'октябрь 2024'!$J$5:$J$2162,P$1)</f>
        <v>0</v>
      </c>
      <c r="Q25" s="80">
        <f>SUMIFS('октябрь 2024'!$G$5:$G$2162,'октябрь 2024'!$D$5:$D$2162,$B25,'октябрь 2024'!$J$5:$J$2162,Q$1)</f>
        <v>0</v>
      </c>
      <c r="R25" s="80">
        <f>SUMIFS('октябрь 2024'!$G$5:$G$2162,'октябрь 2024'!$D$5:$D$2162,$B25,'октябрь 2024'!$J$5:$J$2162,R$1)</f>
        <v>0</v>
      </c>
      <c r="S25" s="80">
        <f>SUMIFS('октябрь 2024'!$G$5:$G$2162,'октябрь 2024'!$D$5:$D$2162,$B25,'октябрь 2024'!$J$5:$J$2162,S$1)</f>
        <v>0</v>
      </c>
      <c r="T25" s="80">
        <f>SUMIFS('октябрь 2024'!$G$5:$G$2162,'октябрь 2024'!$D$5:$D$2162,$B25,'октябрь 2024'!$J$5:$J$2162,T$1)</f>
        <v>0</v>
      </c>
      <c r="U25" s="80">
        <f>SUMIFS('октябрь 2024'!$G$5:$G$2162,'октябрь 2024'!$D$5:$D$2162,$B25,'октябрь 2024'!$J$5:$J$2162,U$1)</f>
        <v>0</v>
      </c>
      <c r="V25" s="80">
        <f>SUMIFS('октябрь 2024'!$G$5:$G$2162,'октябрь 2024'!$D$5:$D$2162,$B25,'октябрь 2024'!$J$5:$J$2162,V$1)</f>
        <v>0</v>
      </c>
      <c r="W25" s="80">
        <f>SUMIFS('октябрь 2024'!$G$5:$G$2162,'октябрь 2024'!$D$5:$D$2162,$B25,'октябрь 2024'!$J$5:$J$2162,W$1)</f>
        <v>0</v>
      </c>
      <c r="X25" s="80">
        <f>SUMIFS('октябрь 2024'!$G$5:$G$2162,'октябрь 2024'!$D$5:$D$2162,$B25,'октябрь 2024'!$J$5:$J$2162,X$1)</f>
        <v>0</v>
      </c>
      <c r="Y25" s="80">
        <f>SUMIFS('октябрь 2024'!$G$5:$G$2162,'октябрь 2024'!$D$5:$D$2162,$B25,'октябрь 2024'!$J$5:$J$2162,Y$1)</f>
        <v>0</v>
      </c>
      <c r="Z25" s="80">
        <f>SUMIFS('октябрь 2024'!$G$5:$G$2162,'октябрь 2024'!$D$5:$D$2162,$B25,'октябрь 2024'!$J$5:$J$2162,Z$1)</f>
        <v>0</v>
      </c>
      <c r="AA25" s="80">
        <f>SUMIFS('октябрь 2024'!$G$5:$G$2162,'октябрь 2024'!$D$5:$D$2162,$B25,'октябрь 2024'!$J$5:$J$2162,AA$1)</f>
        <v>0</v>
      </c>
      <c r="AB25" s="80">
        <f>SUMIFS('октябрь 2024'!$G$5:$G$2162,'октябрь 2024'!$D$5:$D$2162,$B25,'октябрь 2024'!$J$5:$J$2162,AB$1)</f>
        <v>0</v>
      </c>
      <c r="AC25" s="80">
        <f>SUMIFS('октябрь 2024'!$G$5:$G$2162,'октябрь 2024'!$D$5:$D$2162,$B25,'октябрь 2024'!$J$5:$J$2162,AC$1)</f>
        <v>0</v>
      </c>
      <c r="AD25" s="80">
        <f>SUMIFS('октябрь 2024'!$G$5:$G$2162,'октябрь 2024'!$D$5:$D$2162,$B25,'октябрь 2024'!$J$5:$J$2162,AD$1)</f>
        <v>0</v>
      </c>
      <c r="AE25" s="80">
        <f>SUMIFS('октябрь 2024'!$G$5:$G$2162,'октябрь 2024'!$D$5:$D$2162,$B25,'октябрь 2024'!$J$5:$J$2162,AE$1)</f>
        <v>0</v>
      </c>
      <c r="AF25" s="80">
        <f>SUMIFS('октябрь 2024'!$G$5:$G$2162,'октябрь 2024'!$D$5:$D$2162,$B25,'октябрь 2024'!$J$5:$J$2162,AF$1)</f>
        <v>0</v>
      </c>
      <c r="AG25" s="80">
        <f>SUMIFS('октябрь 2024'!$G$5:$G$2162,'октябрь 2024'!$D$5:$D$2162,$B25,'октябрь 2024'!$J$5:$J$2162,AG$1)</f>
        <v>0</v>
      </c>
      <c r="AH25" s="80">
        <f>SUMIFS('октябрь 2024'!$G$5:$G$2162,'октябрь 2024'!$D$5:$D$2162,$B25,'октябрь 2024'!$J$5:$J$2162,AH$1)</f>
        <v>0</v>
      </c>
      <c r="AI25" s="21">
        <f t="shared" si="1"/>
        <v>0</v>
      </c>
    </row>
    <row r="26" spans="2:35" ht="15" customHeight="1" x14ac:dyDescent="0.25">
      <c r="B26" s="84" t="s">
        <v>314</v>
      </c>
      <c r="C26" s="82">
        <v>25</v>
      </c>
      <c r="D26" s="80">
        <f>SUMIFS('октябрь 2024'!$G$5:$G$2162,'октябрь 2024'!$D$5:$D$2162,$B26,'октябрь 2024'!$J$5:$J$2162,D$1)</f>
        <v>0</v>
      </c>
      <c r="E26" s="80">
        <f>SUMIFS('октябрь 2024'!$G$5:$G$2162,'октябрь 2024'!$D$5:$D$2162,$B26,'октябрь 2024'!$J$5:$J$2162,E$1)</f>
        <v>0</v>
      </c>
      <c r="F26" s="80">
        <f>SUMIFS('октябрь 2024'!$G$5:$G$2162,'октябрь 2024'!$D$5:$D$2162,$B26,'октябрь 2024'!$J$5:$J$2162,F$1)</f>
        <v>0</v>
      </c>
      <c r="G26" s="80">
        <f>SUMIFS('октябрь 2024'!$G$5:$G$2162,'октябрь 2024'!$D$5:$D$2162,$B26,'октябрь 2024'!$J$5:$J$2162,G$1)</f>
        <v>0</v>
      </c>
      <c r="H26" s="80">
        <f>SUMIFS('октябрь 2024'!$G$5:$G$2162,'октябрь 2024'!$D$5:$D$2162,$B26,'октябрь 2024'!$J$5:$J$2162,H$1)</f>
        <v>0</v>
      </c>
      <c r="I26" s="80">
        <f>SUMIFS('октябрь 2024'!$G$5:$G$2162,'октябрь 2024'!$D$5:$D$2162,$B26,'октябрь 2024'!$J$5:$J$2162,I$1)</f>
        <v>0</v>
      </c>
      <c r="J26" s="80">
        <f>SUMIFS('октябрь 2024'!$G$5:$G$2162,'октябрь 2024'!$D$5:$D$2162,$B26,'октябрь 2024'!$J$5:$J$2162,J$1)</f>
        <v>0</v>
      </c>
      <c r="K26" s="80">
        <f>SUMIFS('октябрь 2024'!$G$5:$G$2162,'октябрь 2024'!$D$5:$D$2162,$B26,'октябрь 2024'!$J$5:$J$2162,K$1)</f>
        <v>0</v>
      </c>
      <c r="L26" s="80">
        <f>SUMIFS('октябрь 2024'!$G$5:$G$2162,'октябрь 2024'!$D$5:$D$2162,$B26,'октябрь 2024'!$J$5:$J$2162,L$1)</f>
        <v>0</v>
      </c>
      <c r="M26" s="80">
        <f>SUMIFS('октябрь 2024'!$G$5:$G$2162,'октябрь 2024'!$D$5:$D$2162,$B26,'октябрь 2024'!$J$5:$J$2162,M$1)</f>
        <v>0</v>
      </c>
      <c r="N26" s="80">
        <f>SUMIFS('октябрь 2024'!$G$5:$G$2162,'октябрь 2024'!$D$5:$D$2162,$B26,'октябрь 2024'!$J$5:$J$2162,N$1)</f>
        <v>0</v>
      </c>
      <c r="O26" s="80">
        <f>SUMIFS('октябрь 2024'!$G$5:$G$2162,'октябрь 2024'!$D$5:$D$2162,$B26,'октябрь 2024'!$J$5:$J$2162,O$1)</f>
        <v>0</v>
      </c>
      <c r="P26" s="80">
        <f>SUMIFS('октябрь 2024'!$G$5:$G$2162,'октябрь 2024'!$D$5:$D$2162,$B26,'октябрь 2024'!$J$5:$J$2162,P$1)</f>
        <v>0</v>
      </c>
      <c r="Q26" s="80">
        <f>SUMIFS('октябрь 2024'!$G$5:$G$2162,'октябрь 2024'!$D$5:$D$2162,$B26,'октябрь 2024'!$J$5:$J$2162,Q$1)</f>
        <v>0</v>
      </c>
      <c r="R26" s="80">
        <f>SUMIFS('октябрь 2024'!$G$5:$G$2162,'октябрь 2024'!$D$5:$D$2162,$B26,'октябрь 2024'!$J$5:$J$2162,R$1)</f>
        <v>0</v>
      </c>
      <c r="S26" s="80">
        <f>SUMIFS('октябрь 2024'!$G$5:$G$2162,'октябрь 2024'!$D$5:$D$2162,$B26,'октябрь 2024'!$J$5:$J$2162,S$1)</f>
        <v>0</v>
      </c>
      <c r="T26" s="80">
        <f>SUMIFS('октябрь 2024'!$G$5:$G$2162,'октябрь 2024'!$D$5:$D$2162,$B26,'октябрь 2024'!$J$5:$J$2162,T$1)</f>
        <v>0</v>
      </c>
      <c r="U26" s="80">
        <f>SUMIFS('октябрь 2024'!$G$5:$G$2162,'октябрь 2024'!$D$5:$D$2162,$B26,'октябрь 2024'!$J$5:$J$2162,U$1)</f>
        <v>0</v>
      </c>
      <c r="V26" s="80">
        <f>SUMIFS('октябрь 2024'!$G$5:$G$2162,'октябрь 2024'!$D$5:$D$2162,$B26,'октябрь 2024'!$J$5:$J$2162,V$1)</f>
        <v>0</v>
      </c>
      <c r="W26" s="80">
        <f>SUMIFS('октябрь 2024'!$G$5:$G$2162,'октябрь 2024'!$D$5:$D$2162,$B26,'октябрь 2024'!$J$5:$J$2162,W$1)</f>
        <v>0</v>
      </c>
      <c r="X26" s="80">
        <f>SUMIFS('октябрь 2024'!$G$5:$G$2162,'октябрь 2024'!$D$5:$D$2162,$B26,'октябрь 2024'!$J$5:$J$2162,X$1)</f>
        <v>0</v>
      </c>
      <c r="Y26" s="80">
        <f>SUMIFS('октябрь 2024'!$G$5:$G$2162,'октябрь 2024'!$D$5:$D$2162,$B26,'октябрь 2024'!$J$5:$J$2162,Y$1)</f>
        <v>0</v>
      </c>
      <c r="Z26" s="80">
        <f>SUMIFS('октябрь 2024'!$G$5:$G$2162,'октябрь 2024'!$D$5:$D$2162,$B26,'октябрь 2024'!$J$5:$J$2162,Z$1)</f>
        <v>0</v>
      </c>
      <c r="AA26" s="80">
        <f>SUMIFS('октябрь 2024'!$G$5:$G$2162,'октябрь 2024'!$D$5:$D$2162,$B26,'октябрь 2024'!$J$5:$J$2162,AA$1)</f>
        <v>0</v>
      </c>
      <c r="AB26" s="80">
        <f>SUMIFS('октябрь 2024'!$G$5:$G$2162,'октябрь 2024'!$D$5:$D$2162,$B26,'октябрь 2024'!$J$5:$J$2162,AB$1)</f>
        <v>0</v>
      </c>
      <c r="AC26" s="80">
        <f>SUMIFS('октябрь 2024'!$G$5:$G$2162,'октябрь 2024'!$D$5:$D$2162,$B26,'октябрь 2024'!$J$5:$J$2162,AC$1)</f>
        <v>0</v>
      </c>
      <c r="AD26" s="80">
        <f>SUMIFS('октябрь 2024'!$G$5:$G$2162,'октябрь 2024'!$D$5:$D$2162,$B26,'октябрь 2024'!$J$5:$J$2162,AD$1)</f>
        <v>0</v>
      </c>
      <c r="AE26" s="80">
        <f>SUMIFS('октябрь 2024'!$G$5:$G$2162,'октябрь 2024'!$D$5:$D$2162,$B26,'октябрь 2024'!$J$5:$J$2162,AE$1)</f>
        <v>0</v>
      </c>
      <c r="AF26" s="80">
        <f>SUMIFS('октябрь 2024'!$G$5:$G$2162,'октябрь 2024'!$D$5:$D$2162,$B26,'октябрь 2024'!$J$5:$J$2162,AF$1)</f>
        <v>0</v>
      </c>
      <c r="AG26" s="80">
        <f>SUMIFS('октябрь 2024'!$G$5:$G$2162,'октябрь 2024'!$D$5:$D$2162,$B26,'октябрь 2024'!$J$5:$J$2162,AG$1)</f>
        <v>0</v>
      </c>
      <c r="AH26" s="80">
        <f>SUMIFS('октябрь 2024'!$G$5:$G$2162,'октябрь 2024'!$D$5:$D$2162,$B26,'октябрь 2024'!$J$5:$J$2162,AH$1)</f>
        <v>0</v>
      </c>
      <c r="AI26" s="21">
        <f t="shared" si="1"/>
        <v>0</v>
      </c>
    </row>
    <row r="27" spans="2:35" ht="15" customHeight="1" x14ac:dyDescent="0.25">
      <c r="B27" s="84" t="s">
        <v>315</v>
      </c>
      <c r="C27" s="82">
        <v>25</v>
      </c>
      <c r="D27" s="80">
        <f>SUMIFS('октябрь 2024'!$G$5:$G$2162,'октябрь 2024'!$D$5:$D$2162,$B27,'октябрь 2024'!$J$5:$J$2162,D$1)</f>
        <v>0</v>
      </c>
      <c r="E27" s="80">
        <f>SUMIFS('октябрь 2024'!$G$5:$G$2162,'октябрь 2024'!$D$5:$D$2162,$B27,'октябрь 2024'!$J$5:$J$2162,E$1)</f>
        <v>0</v>
      </c>
      <c r="F27" s="80">
        <f>SUMIFS('октябрь 2024'!$G$5:$G$2162,'октябрь 2024'!$D$5:$D$2162,$B27,'октябрь 2024'!$J$5:$J$2162,F$1)</f>
        <v>0</v>
      </c>
      <c r="G27" s="80">
        <f>SUMIFS('октябрь 2024'!$G$5:$G$2162,'октябрь 2024'!$D$5:$D$2162,$B27,'октябрь 2024'!$J$5:$J$2162,G$1)</f>
        <v>0</v>
      </c>
      <c r="H27" s="80">
        <f>SUMIFS('октябрь 2024'!$G$5:$G$2162,'октябрь 2024'!$D$5:$D$2162,$B27,'октябрь 2024'!$J$5:$J$2162,H$1)</f>
        <v>0</v>
      </c>
      <c r="I27" s="80">
        <f>SUMIFS('октябрь 2024'!$G$5:$G$2162,'октябрь 2024'!$D$5:$D$2162,$B27,'октябрь 2024'!$J$5:$J$2162,I$1)</f>
        <v>0</v>
      </c>
      <c r="J27" s="80">
        <f>SUMIFS('октябрь 2024'!$G$5:$G$2162,'октябрь 2024'!$D$5:$D$2162,$B27,'октябрь 2024'!$J$5:$J$2162,J$1)</f>
        <v>0</v>
      </c>
      <c r="K27" s="80">
        <f>SUMIFS('октябрь 2024'!$G$5:$G$2162,'октябрь 2024'!$D$5:$D$2162,$B27,'октябрь 2024'!$J$5:$J$2162,K$1)</f>
        <v>0</v>
      </c>
      <c r="L27" s="80">
        <f>SUMIFS('октябрь 2024'!$G$5:$G$2162,'октябрь 2024'!$D$5:$D$2162,$B27,'октябрь 2024'!$J$5:$J$2162,L$1)</f>
        <v>0</v>
      </c>
      <c r="M27" s="80">
        <f>SUMIFS('октябрь 2024'!$G$5:$G$2162,'октябрь 2024'!$D$5:$D$2162,$B27,'октябрь 2024'!$J$5:$J$2162,M$1)</f>
        <v>0</v>
      </c>
      <c r="N27" s="80">
        <f>SUMIFS('октябрь 2024'!$G$5:$G$2162,'октябрь 2024'!$D$5:$D$2162,$B27,'октябрь 2024'!$J$5:$J$2162,N$1)</f>
        <v>0</v>
      </c>
      <c r="O27" s="80">
        <f>SUMIFS('октябрь 2024'!$G$5:$G$2162,'октябрь 2024'!$D$5:$D$2162,$B27,'октябрь 2024'!$J$5:$J$2162,O$1)</f>
        <v>0</v>
      </c>
      <c r="P27" s="80">
        <f>SUMIFS('октябрь 2024'!$G$5:$G$2162,'октябрь 2024'!$D$5:$D$2162,$B27,'октябрь 2024'!$J$5:$J$2162,P$1)</f>
        <v>0</v>
      </c>
      <c r="Q27" s="80">
        <f>SUMIFS('октябрь 2024'!$G$5:$G$2162,'октябрь 2024'!$D$5:$D$2162,$B27,'октябрь 2024'!$J$5:$J$2162,Q$1)</f>
        <v>0</v>
      </c>
      <c r="R27" s="80">
        <f>SUMIFS('октябрь 2024'!$G$5:$G$2162,'октябрь 2024'!$D$5:$D$2162,$B27,'октябрь 2024'!$J$5:$J$2162,R$1)</f>
        <v>0</v>
      </c>
      <c r="S27" s="80">
        <f>SUMIFS('октябрь 2024'!$G$5:$G$2162,'октябрь 2024'!$D$5:$D$2162,$B27,'октябрь 2024'!$J$5:$J$2162,S$1)</f>
        <v>0</v>
      </c>
      <c r="T27" s="80">
        <f>SUMIFS('октябрь 2024'!$G$5:$G$2162,'октябрь 2024'!$D$5:$D$2162,$B27,'октябрь 2024'!$J$5:$J$2162,T$1)</f>
        <v>0</v>
      </c>
      <c r="U27" s="80">
        <f>SUMIFS('октябрь 2024'!$G$5:$G$2162,'октябрь 2024'!$D$5:$D$2162,$B27,'октябрь 2024'!$J$5:$J$2162,U$1)</f>
        <v>0</v>
      </c>
      <c r="V27" s="80">
        <f>SUMIFS('октябрь 2024'!$G$5:$G$2162,'октябрь 2024'!$D$5:$D$2162,$B27,'октябрь 2024'!$J$5:$J$2162,V$1)</f>
        <v>0</v>
      </c>
      <c r="W27" s="80">
        <f>SUMIFS('октябрь 2024'!$G$5:$G$2162,'октябрь 2024'!$D$5:$D$2162,$B27,'октябрь 2024'!$J$5:$J$2162,W$1)</f>
        <v>0</v>
      </c>
      <c r="X27" s="80">
        <f>SUMIFS('октябрь 2024'!$G$5:$G$2162,'октябрь 2024'!$D$5:$D$2162,$B27,'октябрь 2024'!$J$5:$J$2162,X$1)</f>
        <v>0</v>
      </c>
      <c r="Y27" s="80">
        <f>SUMIFS('октябрь 2024'!$G$5:$G$2162,'октябрь 2024'!$D$5:$D$2162,$B27,'октябрь 2024'!$J$5:$J$2162,Y$1)</f>
        <v>0</v>
      </c>
      <c r="Z27" s="80">
        <f>SUMIFS('октябрь 2024'!$G$5:$G$2162,'октябрь 2024'!$D$5:$D$2162,$B27,'октябрь 2024'!$J$5:$J$2162,Z$1)</f>
        <v>0</v>
      </c>
      <c r="AA27" s="80">
        <f>SUMIFS('октябрь 2024'!$G$5:$G$2162,'октябрь 2024'!$D$5:$D$2162,$B27,'октябрь 2024'!$J$5:$J$2162,AA$1)</f>
        <v>0</v>
      </c>
      <c r="AB27" s="80">
        <f>SUMIFS('октябрь 2024'!$G$5:$G$2162,'октябрь 2024'!$D$5:$D$2162,$B27,'октябрь 2024'!$J$5:$J$2162,AB$1)</f>
        <v>0</v>
      </c>
      <c r="AC27" s="80">
        <f>SUMIFS('октябрь 2024'!$G$5:$G$2162,'октябрь 2024'!$D$5:$D$2162,$B27,'октябрь 2024'!$J$5:$J$2162,AC$1)</f>
        <v>0</v>
      </c>
      <c r="AD27" s="80">
        <f>SUMIFS('октябрь 2024'!$G$5:$G$2162,'октябрь 2024'!$D$5:$D$2162,$B27,'октябрь 2024'!$J$5:$J$2162,AD$1)</f>
        <v>0</v>
      </c>
      <c r="AE27" s="80">
        <f>SUMIFS('октябрь 2024'!$G$5:$G$2162,'октябрь 2024'!$D$5:$D$2162,$B27,'октябрь 2024'!$J$5:$J$2162,AE$1)</f>
        <v>0</v>
      </c>
      <c r="AF27" s="80">
        <f>SUMIFS('октябрь 2024'!$G$5:$G$2162,'октябрь 2024'!$D$5:$D$2162,$B27,'октябрь 2024'!$J$5:$J$2162,AF$1)</f>
        <v>0</v>
      </c>
      <c r="AG27" s="80">
        <f>SUMIFS('октябрь 2024'!$G$5:$G$2162,'октябрь 2024'!$D$5:$D$2162,$B27,'октябрь 2024'!$J$5:$J$2162,AG$1)</f>
        <v>0</v>
      </c>
      <c r="AH27" s="80">
        <f>SUMIFS('октябрь 2024'!$G$5:$G$2162,'октябрь 2024'!$D$5:$D$2162,$B27,'октябрь 2024'!$J$5:$J$2162,AH$1)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80">
        <f>SUMIFS('октябрь 2024'!$G$5:$G$2162,'октябрь 2024'!$D$5:$D$2162,$B28,'октябрь 2024'!$J$5:$J$2162,D$1)</f>
        <v>0</v>
      </c>
      <c r="E28" s="80">
        <f>SUMIFS('октябрь 2024'!$G$5:$G$2162,'октябрь 2024'!$D$5:$D$2162,$B28,'октябрь 2024'!$J$5:$J$2162,E$1)</f>
        <v>0</v>
      </c>
      <c r="F28" s="80">
        <f>SUMIFS('октябрь 2024'!$G$5:$G$2162,'октябрь 2024'!$D$5:$D$2162,$B28,'октябрь 2024'!$J$5:$J$2162,F$1)</f>
        <v>0</v>
      </c>
      <c r="G28" s="80">
        <f>SUMIFS('октябрь 2024'!$G$5:$G$2162,'октябрь 2024'!$D$5:$D$2162,$B28,'октябрь 2024'!$J$5:$J$2162,G$1)</f>
        <v>0</v>
      </c>
      <c r="H28" s="80">
        <f>SUMIFS('октябрь 2024'!$G$5:$G$2162,'октябрь 2024'!$D$5:$D$2162,$B28,'октябрь 2024'!$J$5:$J$2162,H$1)</f>
        <v>0</v>
      </c>
      <c r="I28" s="80">
        <f>SUMIFS('октябрь 2024'!$G$5:$G$2162,'октябрь 2024'!$D$5:$D$2162,$B28,'октябрь 2024'!$J$5:$J$2162,I$1)</f>
        <v>0</v>
      </c>
      <c r="J28" s="80">
        <f>SUMIFS('октябрь 2024'!$G$5:$G$2162,'октябрь 2024'!$D$5:$D$2162,$B28,'октябрь 2024'!$J$5:$J$2162,J$1)</f>
        <v>0</v>
      </c>
      <c r="K28" s="80">
        <f>SUMIFS('октябрь 2024'!$G$5:$G$2162,'октябрь 2024'!$D$5:$D$2162,$B28,'октябрь 2024'!$J$5:$J$2162,K$1)</f>
        <v>0</v>
      </c>
      <c r="L28" s="80">
        <f>SUMIFS('октябрь 2024'!$G$5:$G$2162,'октябрь 2024'!$D$5:$D$2162,$B28,'октябрь 2024'!$J$5:$J$2162,L$1)</f>
        <v>0</v>
      </c>
      <c r="M28" s="80">
        <f>SUMIFS('октябрь 2024'!$G$5:$G$2162,'октябрь 2024'!$D$5:$D$2162,$B28,'октябрь 2024'!$J$5:$J$2162,M$1)</f>
        <v>0</v>
      </c>
      <c r="N28" s="80">
        <f>SUMIFS('октябрь 2024'!$G$5:$G$2162,'октябрь 2024'!$D$5:$D$2162,$B28,'октябрь 2024'!$J$5:$J$2162,N$1)</f>
        <v>0</v>
      </c>
      <c r="O28" s="80">
        <f>SUMIFS('октябрь 2024'!$G$5:$G$2162,'октябрь 2024'!$D$5:$D$2162,$B28,'октябрь 2024'!$J$5:$J$2162,O$1)</f>
        <v>0</v>
      </c>
      <c r="P28" s="80">
        <f>SUMIFS('октябрь 2024'!$G$5:$G$2162,'октябрь 2024'!$D$5:$D$2162,$B28,'октябрь 2024'!$J$5:$J$2162,P$1)</f>
        <v>0</v>
      </c>
      <c r="Q28" s="80">
        <f>SUMIFS('октябрь 2024'!$G$5:$G$2162,'октябрь 2024'!$D$5:$D$2162,$B28,'октябрь 2024'!$J$5:$J$2162,Q$1)</f>
        <v>0</v>
      </c>
      <c r="R28" s="80">
        <f>SUMIFS('октябрь 2024'!$G$5:$G$2162,'октябрь 2024'!$D$5:$D$2162,$B28,'октябрь 2024'!$J$5:$J$2162,R$1)</f>
        <v>0</v>
      </c>
      <c r="S28" s="80">
        <f>SUMIFS('октябрь 2024'!$G$5:$G$2162,'октябрь 2024'!$D$5:$D$2162,$B28,'октябрь 2024'!$J$5:$J$2162,S$1)</f>
        <v>0</v>
      </c>
      <c r="T28" s="80">
        <f>SUMIFS('октябрь 2024'!$G$5:$G$2162,'октябрь 2024'!$D$5:$D$2162,$B28,'октябрь 2024'!$J$5:$J$2162,T$1)</f>
        <v>0</v>
      </c>
      <c r="U28" s="80">
        <f>SUMIFS('октябрь 2024'!$G$5:$G$2162,'октябрь 2024'!$D$5:$D$2162,$B28,'октябрь 2024'!$J$5:$J$2162,U$1)</f>
        <v>0</v>
      </c>
      <c r="V28" s="80">
        <f>SUMIFS('октябрь 2024'!$G$5:$G$2162,'октябрь 2024'!$D$5:$D$2162,$B28,'октябрь 2024'!$J$5:$J$2162,V$1)</f>
        <v>0</v>
      </c>
      <c r="W28" s="80">
        <f>SUMIFS('октябрь 2024'!$G$5:$G$2162,'октябрь 2024'!$D$5:$D$2162,$B28,'октябрь 2024'!$J$5:$J$2162,W$1)</f>
        <v>0</v>
      </c>
      <c r="X28" s="80">
        <f>SUMIFS('октябрь 2024'!$G$5:$G$2162,'октябрь 2024'!$D$5:$D$2162,$B28,'октябрь 2024'!$J$5:$J$2162,X$1)</f>
        <v>0</v>
      </c>
      <c r="Y28" s="80">
        <f>SUMIFS('октябрь 2024'!$G$5:$G$2162,'октябрь 2024'!$D$5:$D$2162,$B28,'октябрь 2024'!$J$5:$J$2162,Y$1)</f>
        <v>0</v>
      </c>
      <c r="Z28" s="80">
        <f>SUMIFS('октябрь 2024'!$G$5:$G$2162,'октябрь 2024'!$D$5:$D$2162,$B28,'октябрь 2024'!$J$5:$J$2162,Z$1)</f>
        <v>0</v>
      </c>
      <c r="AA28" s="80">
        <f>SUMIFS('октябрь 2024'!$G$5:$G$2162,'октябрь 2024'!$D$5:$D$2162,$B28,'октябрь 2024'!$J$5:$J$2162,AA$1)</f>
        <v>0</v>
      </c>
      <c r="AB28" s="80">
        <f>SUMIFS('октябрь 2024'!$G$5:$G$2162,'октябрь 2024'!$D$5:$D$2162,$B28,'октябрь 2024'!$J$5:$J$2162,AB$1)</f>
        <v>0</v>
      </c>
      <c r="AC28" s="80">
        <f>SUMIFS('октябрь 2024'!$G$5:$G$2162,'октябрь 2024'!$D$5:$D$2162,$B28,'октябрь 2024'!$J$5:$J$2162,AC$1)</f>
        <v>0</v>
      </c>
      <c r="AD28" s="80">
        <f>SUMIFS('октябрь 2024'!$G$5:$G$2162,'октябрь 2024'!$D$5:$D$2162,$B28,'октябрь 2024'!$J$5:$J$2162,AD$1)</f>
        <v>0</v>
      </c>
      <c r="AE28" s="80">
        <f>SUMIFS('октябрь 2024'!$G$5:$G$2162,'октябрь 2024'!$D$5:$D$2162,$B28,'октябрь 2024'!$J$5:$J$2162,AE$1)</f>
        <v>0</v>
      </c>
      <c r="AF28" s="80">
        <f>SUMIFS('октябрь 2024'!$G$5:$G$2162,'октябрь 2024'!$D$5:$D$2162,$B28,'октябрь 2024'!$J$5:$J$2162,AF$1)</f>
        <v>0</v>
      </c>
      <c r="AG28" s="80">
        <f>SUMIFS('октябрь 2024'!$G$5:$G$2162,'октябрь 2024'!$D$5:$D$2162,$B28,'октябрь 2024'!$J$5:$J$2162,AG$1)</f>
        <v>0</v>
      </c>
      <c r="AH28" s="80">
        <f>SUMIFS('октябрь 2024'!$G$5:$G$2162,'октябрь 2024'!$D$5:$D$2162,$B28,'октябрь 2024'!$J$5:$J$2162,AH$1)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80">
        <f>SUMIFS('октябрь 2024'!$G$5:$G$2162,'октябрь 2024'!$D$5:$D$2162,$B29,'октябрь 2024'!$J$5:$J$2162,D$1)</f>
        <v>0</v>
      </c>
      <c r="E29" s="80">
        <f>SUMIFS('октябрь 2024'!$G$5:$G$2162,'октябрь 2024'!$D$5:$D$2162,$B29,'октябрь 2024'!$J$5:$J$2162,E$1)</f>
        <v>0</v>
      </c>
      <c r="F29" s="80">
        <f>SUMIFS('октябрь 2024'!$G$5:$G$2162,'октябрь 2024'!$D$5:$D$2162,$B29,'октябрь 2024'!$J$5:$J$2162,F$1)</f>
        <v>0</v>
      </c>
      <c r="G29" s="80">
        <f>SUMIFS('октябрь 2024'!$G$5:$G$2162,'октябрь 2024'!$D$5:$D$2162,$B29,'октябрь 2024'!$J$5:$J$2162,G$1)</f>
        <v>0</v>
      </c>
      <c r="H29" s="80">
        <f>SUMIFS('октябрь 2024'!$G$5:$G$2162,'октябрь 2024'!$D$5:$D$2162,$B29,'октябрь 2024'!$J$5:$J$2162,H$1)</f>
        <v>0</v>
      </c>
      <c r="I29" s="80">
        <f>SUMIFS('октябрь 2024'!$G$5:$G$2162,'октябрь 2024'!$D$5:$D$2162,$B29,'октябрь 2024'!$J$5:$J$2162,I$1)</f>
        <v>0</v>
      </c>
      <c r="J29" s="80">
        <f>SUMIFS('октябрь 2024'!$G$5:$G$2162,'октябрь 2024'!$D$5:$D$2162,$B29,'октябрь 2024'!$J$5:$J$2162,J$1)</f>
        <v>0</v>
      </c>
      <c r="K29" s="80">
        <f>SUMIFS('октябрь 2024'!$G$5:$G$2162,'октябрь 2024'!$D$5:$D$2162,$B29,'октябрь 2024'!$J$5:$J$2162,K$1)</f>
        <v>0</v>
      </c>
      <c r="L29" s="80">
        <f>SUMIFS('октябрь 2024'!$G$5:$G$2162,'октябрь 2024'!$D$5:$D$2162,$B29,'октябрь 2024'!$J$5:$J$2162,L$1)</f>
        <v>0</v>
      </c>
      <c r="M29" s="80">
        <f>SUMIFS('октябрь 2024'!$G$5:$G$2162,'октябрь 2024'!$D$5:$D$2162,$B29,'октябрь 2024'!$J$5:$J$2162,M$1)</f>
        <v>0</v>
      </c>
      <c r="N29" s="80">
        <f>SUMIFS('октябрь 2024'!$G$5:$G$2162,'октябрь 2024'!$D$5:$D$2162,$B29,'октябрь 2024'!$J$5:$J$2162,N$1)</f>
        <v>0</v>
      </c>
      <c r="O29" s="80">
        <f>SUMIFS('октябрь 2024'!$G$5:$G$2162,'октябрь 2024'!$D$5:$D$2162,$B29,'октябрь 2024'!$J$5:$J$2162,O$1)</f>
        <v>0</v>
      </c>
      <c r="P29" s="80">
        <f>SUMIFS('октябрь 2024'!$G$5:$G$2162,'октябрь 2024'!$D$5:$D$2162,$B29,'октябрь 2024'!$J$5:$J$2162,P$1)</f>
        <v>0</v>
      </c>
      <c r="Q29" s="80">
        <f>SUMIFS('октябрь 2024'!$G$5:$G$2162,'октябрь 2024'!$D$5:$D$2162,$B29,'октябрь 2024'!$J$5:$J$2162,Q$1)</f>
        <v>0</v>
      </c>
      <c r="R29" s="80">
        <f>SUMIFS('октябрь 2024'!$G$5:$G$2162,'октябрь 2024'!$D$5:$D$2162,$B29,'октябрь 2024'!$J$5:$J$2162,R$1)</f>
        <v>0</v>
      </c>
      <c r="S29" s="80">
        <f>SUMIFS('октябрь 2024'!$G$5:$G$2162,'октябрь 2024'!$D$5:$D$2162,$B29,'октябрь 2024'!$J$5:$J$2162,S$1)</f>
        <v>0</v>
      </c>
      <c r="T29" s="80">
        <f>SUMIFS('октябрь 2024'!$G$5:$G$2162,'октябрь 2024'!$D$5:$D$2162,$B29,'октябрь 2024'!$J$5:$J$2162,T$1)</f>
        <v>0</v>
      </c>
      <c r="U29" s="80">
        <f>SUMIFS('октябрь 2024'!$G$5:$G$2162,'октябрь 2024'!$D$5:$D$2162,$B29,'октябрь 2024'!$J$5:$J$2162,U$1)</f>
        <v>0</v>
      </c>
      <c r="V29" s="80">
        <f>SUMIFS('октябрь 2024'!$G$5:$G$2162,'октябрь 2024'!$D$5:$D$2162,$B29,'октябрь 2024'!$J$5:$J$2162,V$1)</f>
        <v>0</v>
      </c>
      <c r="W29" s="80">
        <f>SUMIFS('октябрь 2024'!$G$5:$G$2162,'октябрь 2024'!$D$5:$D$2162,$B29,'октябрь 2024'!$J$5:$J$2162,W$1)</f>
        <v>0</v>
      </c>
      <c r="X29" s="80">
        <f>SUMIFS('октябрь 2024'!$G$5:$G$2162,'октябрь 2024'!$D$5:$D$2162,$B29,'октябрь 2024'!$J$5:$J$2162,X$1)</f>
        <v>0</v>
      </c>
      <c r="Y29" s="80">
        <f>SUMIFS('октябрь 2024'!$G$5:$G$2162,'октябрь 2024'!$D$5:$D$2162,$B29,'октябрь 2024'!$J$5:$J$2162,Y$1)</f>
        <v>0</v>
      </c>
      <c r="Z29" s="80">
        <f>SUMIFS('октябрь 2024'!$G$5:$G$2162,'октябрь 2024'!$D$5:$D$2162,$B29,'октябрь 2024'!$J$5:$J$2162,Z$1)</f>
        <v>0</v>
      </c>
      <c r="AA29" s="80">
        <f>SUMIFS('октябрь 2024'!$G$5:$G$2162,'октябрь 2024'!$D$5:$D$2162,$B29,'октябрь 2024'!$J$5:$J$2162,AA$1)</f>
        <v>0</v>
      </c>
      <c r="AB29" s="80">
        <f>SUMIFS('октябрь 2024'!$G$5:$G$2162,'октябрь 2024'!$D$5:$D$2162,$B29,'октябрь 2024'!$J$5:$J$2162,AB$1)</f>
        <v>0</v>
      </c>
      <c r="AC29" s="80">
        <f>SUMIFS('октябрь 2024'!$G$5:$G$2162,'октябрь 2024'!$D$5:$D$2162,$B29,'октябрь 2024'!$J$5:$J$2162,AC$1)</f>
        <v>0</v>
      </c>
      <c r="AD29" s="80">
        <f>SUMIFS('октябрь 2024'!$G$5:$G$2162,'октябрь 2024'!$D$5:$D$2162,$B29,'октябрь 2024'!$J$5:$J$2162,AD$1)</f>
        <v>0</v>
      </c>
      <c r="AE29" s="80">
        <f>SUMIFS('октябрь 2024'!$G$5:$G$2162,'октябрь 2024'!$D$5:$D$2162,$B29,'октябрь 2024'!$J$5:$J$2162,AE$1)</f>
        <v>0</v>
      </c>
      <c r="AF29" s="80">
        <f>SUMIFS('октябрь 2024'!$G$5:$G$2162,'октябрь 2024'!$D$5:$D$2162,$B29,'октябрь 2024'!$J$5:$J$2162,AF$1)</f>
        <v>0</v>
      </c>
      <c r="AG29" s="80">
        <f>SUMIFS('октябрь 2024'!$G$5:$G$2162,'октябрь 2024'!$D$5:$D$2162,$B29,'октябрь 2024'!$J$5:$J$2162,AG$1)</f>
        <v>0</v>
      </c>
      <c r="AH29" s="80">
        <f>SUMIFS('октябрь 2024'!$G$5:$G$2162,'октябрь 2024'!$D$5:$D$2162,$B29,'октябрь 2024'!$J$5:$J$2162,AH$1)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SUMIFS('октябрь 2024'!$G$5:$G$2162,'октябрь 2024'!$D$5:$D$2162,$B30,'октябрь 2024'!$J$5:$J$2162,D$1)</f>
        <v>0</v>
      </c>
      <c r="E30" s="80">
        <f>SUMIFS('октябрь 2024'!$G$5:$G$2162,'октябрь 2024'!$D$5:$D$2162,$B30,'октябрь 2024'!$J$5:$J$2162,E$1)</f>
        <v>0</v>
      </c>
      <c r="F30" s="80">
        <f>SUMIFS('октябрь 2024'!$G$5:$G$2162,'октябрь 2024'!$D$5:$D$2162,$B30,'октябрь 2024'!$J$5:$J$2162,F$1)</f>
        <v>0</v>
      </c>
      <c r="G30" s="80">
        <f>SUMIFS('октябрь 2024'!$G$5:$G$2162,'октябрь 2024'!$D$5:$D$2162,$B30,'октябрь 2024'!$J$5:$J$2162,G$1)</f>
        <v>0</v>
      </c>
      <c r="H30" s="80">
        <f>SUMIFS('октябрь 2024'!$G$5:$G$2162,'октябрь 2024'!$D$5:$D$2162,$B30,'октябрь 2024'!$J$5:$J$2162,H$1)</f>
        <v>0</v>
      </c>
      <c r="I30" s="80">
        <f>SUMIFS('октябрь 2024'!$G$5:$G$2162,'октябрь 2024'!$D$5:$D$2162,$B30,'октябрь 2024'!$J$5:$J$2162,I$1)</f>
        <v>0</v>
      </c>
      <c r="J30" s="80">
        <f>SUMIFS('октябрь 2024'!$G$5:$G$2162,'октябрь 2024'!$D$5:$D$2162,$B30,'октябрь 2024'!$J$5:$J$2162,J$1)</f>
        <v>0</v>
      </c>
      <c r="K30" s="80">
        <f>SUMIFS('октябрь 2024'!$G$5:$G$2162,'октябрь 2024'!$D$5:$D$2162,$B30,'октябрь 2024'!$J$5:$J$2162,K$1)</f>
        <v>0</v>
      </c>
      <c r="L30" s="80">
        <f>SUMIFS('октябрь 2024'!$G$5:$G$2162,'октябрь 2024'!$D$5:$D$2162,$B30,'октябрь 2024'!$J$5:$J$2162,L$1)</f>
        <v>0</v>
      </c>
      <c r="M30" s="80">
        <f>SUMIFS('октябрь 2024'!$G$5:$G$2162,'октябрь 2024'!$D$5:$D$2162,$B30,'октябрь 2024'!$J$5:$J$2162,M$1)</f>
        <v>0</v>
      </c>
      <c r="N30" s="80">
        <f>SUMIFS('октябрь 2024'!$G$5:$G$2162,'октябрь 2024'!$D$5:$D$2162,$B30,'октябрь 2024'!$J$5:$J$2162,N$1)</f>
        <v>0</v>
      </c>
      <c r="O30" s="80">
        <f>SUMIFS('октябрь 2024'!$G$5:$G$2162,'октябрь 2024'!$D$5:$D$2162,$B30,'октябрь 2024'!$J$5:$J$2162,O$1)</f>
        <v>0</v>
      </c>
      <c r="P30" s="80">
        <f>SUMIFS('октябрь 2024'!$G$5:$G$2162,'октябрь 2024'!$D$5:$D$2162,$B30,'октябрь 2024'!$J$5:$J$2162,P$1)</f>
        <v>0</v>
      </c>
      <c r="Q30" s="80">
        <f>SUMIFS('октябрь 2024'!$G$5:$G$2162,'октябрь 2024'!$D$5:$D$2162,$B30,'октябрь 2024'!$J$5:$J$2162,Q$1)</f>
        <v>0</v>
      </c>
      <c r="R30" s="80">
        <f>SUMIFS('октябрь 2024'!$G$5:$G$2162,'октябрь 2024'!$D$5:$D$2162,$B30,'октябрь 2024'!$J$5:$J$2162,R$1)</f>
        <v>0</v>
      </c>
      <c r="S30" s="80">
        <f>SUMIFS('октябрь 2024'!$G$5:$G$2162,'октябрь 2024'!$D$5:$D$2162,$B30,'октябрь 2024'!$J$5:$J$2162,S$1)</f>
        <v>0</v>
      </c>
      <c r="T30" s="80">
        <f>SUMIFS('октябрь 2024'!$G$5:$G$2162,'октябрь 2024'!$D$5:$D$2162,$B30,'октябрь 2024'!$J$5:$J$2162,T$1)</f>
        <v>0</v>
      </c>
      <c r="U30" s="80">
        <f>SUMIFS('октябрь 2024'!$G$5:$G$2162,'октябрь 2024'!$D$5:$D$2162,$B30,'октябрь 2024'!$J$5:$J$2162,U$1)</f>
        <v>0</v>
      </c>
      <c r="V30" s="80">
        <f>SUMIFS('октябрь 2024'!$G$5:$G$2162,'октябрь 2024'!$D$5:$D$2162,$B30,'октябрь 2024'!$J$5:$J$2162,V$1)</f>
        <v>0</v>
      </c>
      <c r="W30" s="80">
        <f>SUMIFS('октябрь 2024'!$G$5:$G$2162,'октябрь 2024'!$D$5:$D$2162,$B30,'октябрь 2024'!$J$5:$J$2162,W$1)</f>
        <v>0</v>
      </c>
      <c r="X30" s="80">
        <f>SUMIFS('октябрь 2024'!$G$5:$G$2162,'октябрь 2024'!$D$5:$D$2162,$B30,'октябрь 2024'!$J$5:$J$2162,X$1)</f>
        <v>0</v>
      </c>
      <c r="Y30" s="80">
        <f>SUMIFS('октябрь 2024'!$G$5:$G$2162,'октябрь 2024'!$D$5:$D$2162,$B30,'октябрь 2024'!$J$5:$J$2162,Y$1)</f>
        <v>0</v>
      </c>
      <c r="Z30" s="80">
        <f>SUMIFS('октябрь 2024'!$G$5:$G$2162,'октябрь 2024'!$D$5:$D$2162,$B30,'октябрь 2024'!$J$5:$J$2162,Z$1)</f>
        <v>0</v>
      </c>
      <c r="AA30" s="80">
        <f>SUMIFS('октябрь 2024'!$G$5:$G$2162,'октябрь 2024'!$D$5:$D$2162,$B30,'октябрь 2024'!$J$5:$J$2162,AA$1)</f>
        <v>0</v>
      </c>
      <c r="AB30" s="80">
        <f>SUMIFS('октябрь 2024'!$G$5:$G$2162,'октябрь 2024'!$D$5:$D$2162,$B30,'октябрь 2024'!$J$5:$J$2162,AB$1)</f>
        <v>0</v>
      </c>
      <c r="AC30" s="80">
        <f>SUMIFS('октябрь 2024'!$G$5:$G$2162,'октябрь 2024'!$D$5:$D$2162,$B30,'октябрь 2024'!$J$5:$J$2162,AC$1)</f>
        <v>0</v>
      </c>
      <c r="AD30" s="80">
        <f>SUMIFS('октябрь 2024'!$G$5:$G$2162,'октябрь 2024'!$D$5:$D$2162,$B30,'октябрь 2024'!$J$5:$J$2162,AD$1)</f>
        <v>0</v>
      </c>
      <c r="AE30" s="80">
        <f>SUMIFS('октябрь 2024'!$G$5:$G$2162,'октябрь 2024'!$D$5:$D$2162,$B30,'октябрь 2024'!$J$5:$J$2162,AE$1)</f>
        <v>0</v>
      </c>
      <c r="AF30" s="80">
        <f>SUMIFS('октябрь 2024'!$G$5:$G$2162,'октябрь 2024'!$D$5:$D$2162,$B30,'октябрь 2024'!$J$5:$J$2162,AF$1)</f>
        <v>0</v>
      </c>
      <c r="AG30" s="80">
        <f>SUMIFS('октябрь 2024'!$G$5:$G$2162,'октябрь 2024'!$D$5:$D$2162,$B30,'октябрь 2024'!$J$5:$J$2162,AG$1)</f>
        <v>0</v>
      </c>
      <c r="AH30" s="80">
        <f>SUMIFS('октябрь 2024'!$G$5:$G$2162,'октябрь 2024'!$D$5:$D$2162,$B30,'октябрь 2024'!$J$5:$J$2162,AH$1)</f>
        <v>0</v>
      </c>
      <c r="AI30" s="21">
        <f t="shared" si="1"/>
        <v>0</v>
      </c>
    </row>
    <row r="31" spans="2:35" ht="15" customHeight="1" x14ac:dyDescent="0.25">
      <c r="B31" s="84"/>
      <c r="C31" s="82"/>
      <c r="D31" s="80">
        <f>SUMIFS('октябрь 2024'!$G$5:$G$2162,'октябрь 2024'!$D$5:$D$2162,$B31,'октябрь 2024'!$J$5:$J$2162,D$1)</f>
        <v>0</v>
      </c>
      <c r="E31" s="80">
        <f>SUMIFS('октябрь 2024'!$G$5:$G$2162,'октябрь 2024'!$D$5:$D$2162,$B31,'октябрь 2024'!$J$5:$J$2162,E$1)</f>
        <v>0</v>
      </c>
      <c r="F31" s="80">
        <f>SUMIFS('октябрь 2024'!$G$5:$G$2162,'октябрь 2024'!$D$5:$D$2162,$B31,'октябрь 2024'!$J$5:$J$2162,F$1)</f>
        <v>0</v>
      </c>
      <c r="G31" s="80">
        <f>SUMIFS('октябрь 2024'!$G$5:$G$2162,'октябрь 2024'!$D$5:$D$2162,$B31,'октябрь 2024'!$J$5:$J$2162,G$1)</f>
        <v>0</v>
      </c>
      <c r="H31" s="80">
        <f>SUMIFS('октябрь 2024'!$G$5:$G$2162,'октябрь 2024'!$D$5:$D$2162,$B31,'октябрь 2024'!$J$5:$J$2162,H$1)</f>
        <v>0</v>
      </c>
      <c r="I31" s="80">
        <f>SUMIFS('октябрь 2024'!$G$5:$G$2162,'октябрь 2024'!$D$5:$D$2162,$B31,'октябрь 2024'!$J$5:$J$2162,I$1)</f>
        <v>0</v>
      </c>
      <c r="J31" s="80">
        <f>SUMIFS('октябрь 2024'!$G$5:$G$2162,'октябрь 2024'!$D$5:$D$2162,$B31,'октябрь 2024'!$J$5:$J$2162,J$1)</f>
        <v>0</v>
      </c>
      <c r="K31" s="80">
        <f>SUMIFS('октябрь 2024'!$G$5:$G$2162,'октябрь 2024'!$D$5:$D$2162,$B31,'октябрь 2024'!$J$5:$J$2162,K$1)</f>
        <v>0</v>
      </c>
      <c r="L31" s="80">
        <f>SUMIFS('октябрь 2024'!$G$5:$G$2162,'октябрь 2024'!$D$5:$D$2162,$B31,'октябрь 2024'!$J$5:$J$2162,L$1)</f>
        <v>0</v>
      </c>
      <c r="M31" s="80">
        <f>SUMIFS('октябрь 2024'!$G$5:$G$2162,'октябрь 2024'!$D$5:$D$2162,$B31,'октябрь 2024'!$J$5:$J$2162,M$1)</f>
        <v>0</v>
      </c>
      <c r="N31" s="80">
        <f>SUMIFS('октябрь 2024'!$G$5:$G$2162,'октябрь 2024'!$D$5:$D$2162,$B31,'октябрь 2024'!$J$5:$J$2162,N$1)</f>
        <v>0</v>
      </c>
      <c r="O31" s="80">
        <f>SUMIFS('октябрь 2024'!$G$5:$G$2162,'октябрь 2024'!$D$5:$D$2162,$B31,'октябрь 2024'!$J$5:$J$2162,O$1)</f>
        <v>0</v>
      </c>
      <c r="P31" s="80">
        <f>SUMIFS('октябрь 2024'!$G$5:$G$2162,'октябрь 2024'!$D$5:$D$2162,$B31,'октябрь 2024'!$J$5:$J$2162,P$1)</f>
        <v>0</v>
      </c>
      <c r="Q31" s="80">
        <f>SUMIFS('октябрь 2024'!$G$5:$G$2162,'октябрь 2024'!$D$5:$D$2162,$B31,'октябрь 2024'!$J$5:$J$2162,Q$1)</f>
        <v>0</v>
      </c>
      <c r="R31" s="80">
        <f>SUMIFS('октябрь 2024'!$G$5:$G$2162,'октябрь 2024'!$D$5:$D$2162,$B31,'октябрь 2024'!$J$5:$J$2162,R$1)</f>
        <v>0</v>
      </c>
      <c r="S31" s="80">
        <f>SUMIFS('октябрь 2024'!$G$5:$G$2162,'октябрь 2024'!$D$5:$D$2162,$B31,'октябрь 2024'!$J$5:$J$2162,S$1)</f>
        <v>0</v>
      </c>
      <c r="T31" s="80">
        <f>SUMIFS('октябрь 2024'!$G$5:$G$2162,'октябрь 2024'!$D$5:$D$2162,$B31,'октябрь 2024'!$J$5:$J$2162,T$1)</f>
        <v>0</v>
      </c>
      <c r="U31" s="80">
        <f>SUMIFS('октябрь 2024'!$G$5:$G$2162,'октябрь 2024'!$D$5:$D$2162,$B31,'октябрь 2024'!$J$5:$J$2162,U$1)</f>
        <v>0</v>
      </c>
      <c r="V31" s="80">
        <f>SUMIFS('октябрь 2024'!$G$5:$G$2162,'октябрь 2024'!$D$5:$D$2162,$B31,'октябрь 2024'!$J$5:$J$2162,V$1)</f>
        <v>0</v>
      </c>
      <c r="W31" s="80">
        <f>SUMIFS('октябрь 2024'!$G$5:$G$2162,'октябрь 2024'!$D$5:$D$2162,$B31,'октябрь 2024'!$J$5:$J$2162,W$1)</f>
        <v>0</v>
      </c>
      <c r="X31" s="80">
        <f>SUMIFS('октябрь 2024'!$G$5:$G$2162,'октябрь 2024'!$D$5:$D$2162,$B31,'октябрь 2024'!$J$5:$J$2162,X$1)</f>
        <v>0</v>
      </c>
      <c r="Y31" s="80">
        <f>SUMIFS('октябрь 2024'!$G$5:$G$2162,'октябрь 2024'!$D$5:$D$2162,$B31,'октябрь 2024'!$J$5:$J$2162,Y$1)</f>
        <v>0</v>
      </c>
      <c r="Z31" s="80">
        <f>SUMIFS('октябрь 2024'!$G$5:$G$2162,'октябрь 2024'!$D$5:$D$2162,$B31,'октябрь 2024'!$J$5:$J$2162,Z$1)</f>
        <v>0</v>
      </c>
      <c r="AA31" s="80">
        <f>SUMIFS('октябрь 2024'!$G$5:$G$2162,'октябрь 2024'!$D$5:$D$2162,$B31,'октябрь 2024'!$J$5:$J$2162,AA$1)</f>
        <v>0</v>
      </c>
      <c r="AB31" s="80">
        <f>SUMIFS('октябрь 2024'!$G$5:$G$2162,'октябрь 2024'!$D$5:$D$2162,$B31,'октябрь 2024'!$J$5:$J$2162,AB$1)</f>
        <v>0</v>
      </c>
      <c r="AC31" s="80">
        <f>SUMIFS('октябрь 2024'!$G$5:$G$2162,'октябрь 2024'!$D$5:$D$2162,$B31,'октябрь 2024'!$J$5:$J$2162,AC$1)</f>
        <v>0</v>
      </c>
      <c r="AD31" s="80">
        <f>SUMIFS('октябрь 2024'!$G$5:$G$2162,'октябрь 2024'!$D$5:$D$2162,$B31,'октябрь 2024'!$J$5:$J$2162,AD$1)</f>
        <v>0</v>
      </c>
      <c r="AE31" s="80">
        <f>SUMIFS('октябрь 2024'!$G$5:$G$2162,'октябрь 2024'!$D$5:$D$2162,$B31,'октябрь 2024'!$J$5:$J$2162,AE$1)</f>
        <v>0</v>
      </c>
      <c r="AF31" s="80">
        <f>SUMIFS('октябрь 2024'!$G$5:$G$2162,'октябрь 2024'!$D$5:$D$2162,$B31,'октябрь 2024'!$J$5:$J$2162,AF$1)</f>
        <v>0</v>
      </c>
      <c r="AG31" s="80">
        <f>SUMIFS('октябрь 2024'!$G$5:$G$2162,'октябрь 2024'!$D$5:$D$2162,$B31,'октябрь 2024'!$J$5:$J$2162,AG$1)</f>
        <v>0</v>
      </c>
      <c r="AH31" s="80">
        <f>SUMIFS('октябрь 2024'!$G$5:$G$2162,'октябрь 2024'!$D$5:$D$2162,$B31,'октябрь 2024'!$J$5:$J$2162,AH$1)</f>
        <v>0</v>
      </c>
      <c r="AI31" s="21">
        <f t="shared" si="1"/>
        <v>0</v>
      </c>
    </row>
    <row r="32" spans="2:35" ht="15" customHeight="1" x14ac:dyDescent="0.25">
      <c r="B32" s="84"/>
      <c r="C32" s="82"/>
      <c r="D32" s="80">
        <f>SUMIFS('октябрь 2024'!$G$5:$G$2162,'октябрь 2024'!$D$5:$D$2162,$B32,'октябрь 2024'!$J$5:$J$2162,D$1)</f>
        <v>0</v>
      </c>
      <c r="E32" s="80">
        <f>SUMIFS('октябрь 2024'!$G$5:$G$2162,'октябрь 2024'!$D$5:$D$2162,$B32,'октябрь 2024'!$J$5:$J$2162,E$1)</f>
        <v>0</v>
      </c>
      <c r="F32" s="80">
        <f>SUMIFS('октябрь 2024'!$G$5:$G$2162,'октябрь 2024'!$D$5:$D$2162,$B32,'октябрь 2024'!$J$5:$J$2162,F$1)</f>
        <v>0</v>
      </c>
      <c r="G32" s="80">
        <f>SUMIFS('октябрь 2024'!$G$5:$G$2162,'октябрь 2024'!$D$5:$D$2162,$B32,'октябрь 2024'!$J$5:$J$2162,G$1)</f>
        <v>0</v>
      </c>
      <c r="H32" s="80">
        <f>SUMIFS('октябрь 2024'!$G$5:$G$2162,'октябрь 2024'!$D$5:$D$2162,$B32,'октябрь 2024'!$J$5:$J$2162,H$1)</f>
        <v>0</v>
      </c>
      <c r="I32" s="80">
        <f>SUMIFS('октябрь 2024'!$G$5:$G$2162,'октябрь 2024'!$D$5:$D$2162,$B32,'октябрь 2024'!$J$5:$J$2162,I$1)</f>
        <v>0</v>
      </c>
      <c r="J32" s="80">
        <f>SUMIFS('октябрь 2024'!$G$5:$G$2162,'октябрь 2024'!$D$5:$D$2162,$B32,'октябрь 2024'!$J$5:$J$2162,J$1)</f>
        <v>0</v>
      </c>
      <c r="K32" s="80">
        <f>SUMIFS('октябрь 2024'!$G$5:$G$2162,'октябрь 2024'!$D$5:$D$2162,$B32,'октябрь 2024'!$J$5:$J$2162,K$1)</f>
        <v>0</v>
      </c>
      <c r="L32" s="80">
        <f>SUMIFS('октябрь 2024'!$G$5:$G$2162,'октябрь 2024'!$D$5:$D$2162,$B32,'октябрь 2024'!$J$5:$J$2162,L$1)</f>
        <v>0</v>
      </c>
      <c r="M32" s="80">
        <f>SUMIFS('октябрь 2024'!$G$5:$G$2162,'октябрь 2024'!$D$5:$D$2162,$B32,'октябрь 2024'!$J$5:$J$2162,M$1)</f>
        <v>0</v>
      </c>
      <c r="N32" s="80">
        <f>SUMIFS('октябрь 2024'!$G$5:$G$2162,'октябрь 2024'!$D$5:$D$2162,$B32,'октябрь 2024'!$J$5:$J$2162,N$1)</f>
        <v>0</v>
      </c>
      <c r="O32" s="80">
        <f>SUMIFS('октябрь 2024'!$G$5:$G$2162,'октябрь 2024'!$D$5:$D$2162,$B32,'октябрь 2024'!$J$5:$J$2162,O$1)</f>
        <v>0</v>
      </c>
      <c r="P32" s="80">
        <f>SUMIFS('октябрь 2024'!$G$5:$G$2162,'октябрь 2024'!$D$5:$D$2162,$B32,'октябрь 2024'!$J$5:$J$2162,P$1)</f>
        <v>0</v>
      </c>
      <c r="Q32" s="80">
        <f>SUMIFS('октябрь 2024'!$G$5:$G$2162,'октябрь 2024'!$D$5:$D$2162,$B32,'октябрь 2024'!$J$5:$J$2162,Q$1)</f>
        <v>0</v>
      </c>
      <c r="R32" s="80">
        <f>SUMIFS('октябрь 2024'!$G$5:$G$2162,'октябрь 2024'!$D$5:$D$2162,$B32,'октябрь 2024'!$J$5:$J$2162,R$1)</f>
        <v>0</v>
      </c>
      <c r="S32" s="80">
        <f>SUMIFS('октябрь 2024'!$G$5:$G$2162,'октябрь 2024'!$D$5:$D$2162,$B32,'октябрь 2024'!$J$5:$J$2162,S$1)</f>
        <v>0</v>
      </c>
      <c r="T32" s="80">
        <f>SUMIFS('октябрь 2024'!$G$5:$G$2162,'октябрь 2024'!$D$5:$D$2162,$B32,'октябрь 2024'!$J$5:$J$2162,T$1)</f>
        <v>0</v>
      </c>
      <c r="U32" s="80">
        <f>SUMIFS('октябрь 2024'!$G$5:$G$2162,'октябрь 2024'!$D$5:$D$2162,$B32,'октябрь 2024'!$J$5:$J$2162,U$1)</f>
        <v>0</v>
      </c>
      <c r="V32" s="80">
        <f>SUMIFS('октябрь 2024'!$G$5:$G$2162,'октябрь 2024'!$D$5:$D$2162,$B32,'октябрь 2024'!$J$5:$J$2162,V$1)</f>
        <v>0</v>
      </c>
      <c r="W32" s="80">
        <f>SUMIFS('октябрь 2024'!$G$5:$G$2162,'октябрь 2024'!$D$5:$D$2162,$B32,'октябрь 2024'!$J$5:$J$2162,W$1)</f>
        <v>0</v>
      </c>
      <c r="X32" s="80">
        <f>SUMIFS('октябрь 2024'!$G$5:$G$2162,'октябрь 2024'!$D$5:$D$2162,$B32,'октябрь 2024'!$J$5:$J$2162,X$1)</f>
        <v>0</v>
      </c>
      <c r="Y32" s="80">
        <f>SUMIFS('октябрь 2024'!$G$5:$G$2162,'октябрь 2024'!$D$5:$D$2162,$B32,'октябрь 2024'!$J$5:$J$2162,Y$1)</f>
        <v>0</v>
      </c>
      <c r="Z32" s="80">
        <f>SUMIFS('октябрь 2024'!$G$5:$G$2162,'октябрь 2024'!$D$5:$D$2162,$B32,'октябрь 2024'!$J$5:$J$2162,Z$1)</f>
        <v>0</v>
      </c>
      <c r="AA32" s="80">
        <f>SUMIFS('октябрь 2024'!$G$5:$G$2162,'октябрь 2024'!$D$5:$D$2162,$B32,'октябрь 2024'!$J$5:$J$2162,AA$1)</f>
        <v>0</v>
      </c>
      <c r="AB32" s="80">
        <f>SUMIFS('октябрь 2024'!$G$5:$G$2162,'октябрь 2024'!$D$5:$D$2162,$B32,'октябрь 2024'!$J$5:$J$2162,AB$1)</f>
        <v>0</v>
      </c>
      <c r="AC32" s="80">
        <f>SUMIFS('октябрь 2024'!$G$5:$G$2162,'октябрь 2024'!$D$5:$D$2162,$B32,'октябрь 2024'!$J$5:$J$2162,AC$1)</f>
        <v>0</v>
      </c>
      <c r="AD32" s="80">
        <f>SUMIFS('октябрь 2024'!$G$5:$G$2162,'октябрь 2024'!$D$5:$D$2162,$B32,'октябрь 2024'!$J$5:$J$2162,AD$1)</f>
        <v>0</v>
      </c>
      <c r="AE32" s="80">
        <f>SUMIFS('октябрь 2024'!$G$5:$G$2162,'октябрь 2024'!$D$5:$D$2162,$B32,'октябрь 2024'!$J$5:$J$2162,AE$1)</f>
        <v>0</v>
      </c>
      <c r="AF32" s="80">
        <f>SUMIFS('октябрь 2024'!$G$5:$G$2162,'октябрь 2024'!$D$5:$D$2162,$B32,'октябрь 2024'!$J$5:$J$2162,AF$1)</f>
        <v>0</v>
      </c>
      <c r="AG32" s="80">
        <f>SUMIFS('октябрь 2024'!$G$5:$G$2162,'октябрь 2024'!$D$5:$D$2162,$B32,'октябрь 2024'!$J$5:$J$2162,AG$1)</f>
        <v>0</v>
      </c>
      <c r="AH32" s="80">
        <f>SUMIFS('октябрь 2024'!$G$5:$G$2162,'октябрь 2024'!$D$5:$D$2162,$B32,'октябрь 2024'!$J$5:$J$2162,AH$1)</f>
        <v>0</v>
      </c>
      <c r="AI32" s="21">
        <f t="shared" si="1"/>
        <v>0</v>
      </c>
    </row>
    <row r="33" spans="2:35" ht="15" customHeight="1" x14ac:dyDescent="0.25">
      <c r="B33" s="142" t="s">
        <v>276</v>
      </c>
      <c r="C33" s="143">
        <v>25</v>
      </c>
      <c r="D33" s="80">
        <f>SUMIFS('октябрь 2024'!$G$5:$G$2162,'октябрь 2024'!$D$5:$D$2162,$B33,'октябрь 2024'!$J$5:$J$2162,D$1)</f>
        <v>0</v>
      </c>
      <c r="E33" s="80">
        <f>SUMIFS('октябрь 2024'!$G$5:$G$2162,'октябрь 2024'!$D$5:$D$2162,$B33,'октябрь 2024'!$J$5:$J$2162,E$1)</f>
        <v>0</v>
      </c>
      <c r="F33" s="80">
        <f>SUMIFS('октябрь 2024'!$G$5:$G$2162,'октябрь 2024'!$D$5:$D$2162,$B33,'октябрь 2024'!$J$5:$J$2162,F$1)</f>
        <v>0</v>
      </c>
      <c r="G33" s="80">
        <f>SUMIFS('октябрь 2024'!$G$5:$G$2162,'октябрь 2024'!$D$5:$D$2162,$B33,'октябрь 2024'!$J$5:$J$2162,G$1)</f>
        <v>0</v>
      </c>
      <c r="H33" s="80">
        <f>SUMIFS('октябрь 2024'!$G$5:$G$2162,'октябрь 2024'!$D$5:$D$2162,$B33,'октябрь 2024'!$J$5:$J$2162,H$1)</f>
        <v>0</v>
      </c>
      <c r="I33" s="80">
        <f>SUMIFS('октябрь 2024'!$G$5:$G$2162,'октябрь 2024'!$D$5:$D$2162,$B33,'октябрь 2024'!$J$5:$J$2162,I$1)</f>
        <v>0</v>
      </c>
      <c r="J33" s="80">
        <f>SUMIFS('октябрь 2024'!$G$5:$G$2162,'октябрь 2024'!$D$5:$D$2162,$B33,'октябрь 2024'!$J$5:$J$2162,J$1)</f>
        <v>0</v>
      </c>
      <c r="K33" s="80">
        <f>SUMIFS('октябрь 2024'!$G$5:$G$2162,'октябрь 2024'!$D$5:$D$2162,$B33,'октябрь 2024'!$J$5:$J$2162,K$1)</f>
        <v>0</v>
      </c>
      <c r="L33" s="80">
        <f>SUMIFS('октябрь 2024'!$G$5:$G$2162,'октябрь 2024'!$D$5:$D$2162,$B33,'октябрь 2024'!$J$5:$J$2162,L$1)</f>
        <v>0</v>
      </c>
      <c r="M33" s="80">
        <f>SUMIFS('октябрь 2024'!$G$5:$G$2162,'октябрь 2024'!$D$5:$D$2162,$B33,'октябрь 2024'!$J$5:$J$2162,M$1)</f>
        <v>0</v>
      </c>
      <c r="N33" s="80">
        <f>SUMIFS('октябрь 2024'!$G$5:$G$2162,'октябрь 2024'!$D$5:$D$2162,$B33,'октябрь 2024'!$J$5:$J$2162,N$1)</f>
        <v>0</v>
      </c>
      <c r="O33" s="80">
        <f>SUMIFS('октябрь 2024'!$G$5:$G$2162,'октябрь 2024'!$D$5:$D$2162,$B33,'октябрь 2024'!$J$5:$J$2162,O$1)</f>
        <v>0</v>
      </c>
      <c r="P33" s="80">
        <f>SUMIFS('октябрь 2024'!$G$5:$G$2162,'октябрь 2024'!$D$5:$D$2162,$B33,'октябрь 2024'!$J$5:$J$2162,P$1)</f>
        <v>0</v>
      </c>
      <c r="Q33" s="80">
        <f>SUMIFS('октябрь 2024'!$G$5:$G$2162,'октябрь 2024'!$D$5:$D$2162,$B33,'октябрь 2024'!$J$5:$J$2162,Q$1)</f>
        <v>0</v>
      </c>
      <c r="R33" s="80">
        <f>SUMIFS('октябрь 2024'!$G$5:$G$2162,'октябрь 2024'!$D$5:$D$2162,$B33,'октябрь 2024'!$J$5:$J$2162,R$1)</f>
        <v>0</v>
      </c>
      <c r="S33" s="80">
        <f>SUMIFS('октябрь 2024'!$G$5:$G$2162,'октябрь 2024'!$D$5:$D$2162,$B33,'октябрь 2024'!$J$5:$J$2162,S$1)</f>
        <v>0</v>
      </c>
      <c r="T33" s="80">
        <f>SUMIFS('октябрь 2024'!$G$5:$G$2162,'октябрь 2024'!$D$5:$D$2162,$B33,'октябрь 2024'!$J$5:$J$2162,T$1)</f>
        <v>0</v>
      </c>
      <c r="U33" s="80">
        <f>SUMIFS('октябрь 2024'!$G$5:$G$2162,'октябрь 2024'!$D$5:$D$2162,$B33,'октябрь 2024'!$J$5:$J$2162,U$1)</f>
        <v>0</v>
      </c>
      <c r="V33" s="80">
        <f>SUMIFS('октябрь 2024'!$G$5:$G$2162,'октябрь 2024'!$D$5:$D$2162,$B33,'октябрь 2024'!$J$5:$J$2162,V$1)</f>
        <v>0</v>
      </c>
      <c r="W33" s="80">
        <f>SUMIFS('октябрь 2024'!$G$5:$G$2162,'октябрь 2024'!$D$5:$D$2162,$B33,'октябрь 2024'!$J$5:$J$2162,W$1)</f>
        <v>0</v>
      </c>
      <c r="X33" s="80">
        <f>SUMIFS('октябрь 2024'!$G$5:$G$2162,'октябрь 2024'!$D$5:$D$2162,$B33,'октябрь 2024'!$J$5:$J$2162,X$1)</f>
        <v>0</v>
      </c>
      <c r="Y33" s="80">
        <f>SUMIFS('октябрь 2024'!$G$5:$G$2162,'октябрь 2024'!$D$5:$D$2162,$B33,'октябрь 2024'!$J$5:$J$2162,Y$1)</f>
        <v>0</v>
      </c>
      <c r="Z33" s="80">
        <f>SUMIFS('октябрь 2024'!$G$5:$G$2162,'октябрь 2024'!$D$5:$D$2162,$B33,'октябрь 2024'!$J$5:$J$2162,Z$1)</f>
        <v>0</v>
      </c>
      <c r="AA33" s="80">
        <f>SUMIFS('октябрь 2024'!$G$5:$G$2162,'октябрь 2024'!$D$5:$D$2162,$B33,'октябрь 2024'!$J$5:$J$2162,AA$1)</f>
        <v>0</v>
      </c>
      <c r="AB33" s="80">
        <f>SUMIFS('октябрь 2024'!$G$5:$G$2162,'октябрь 2024'!$D$5:$D$2162,$B33,'октябрь 2024'!$J$5:$J$2162,AB$1)</f>
        <v>0</v>
      </c>
      <c r="AC33" s="80">
        <f>SUMIFS('октябрь 2024'!$G$5:$G$2162,'октябрь 2024'!$D$5:$D$2162,$B33,'октябрь 2024'!$J$5:$J$2162,AC$1)</f>
        <v>0</v>
      </c>
      <c r="AD33" s="80">
        <f>SUMIFS('октябрь 2024'!$G$5:$G$2162,'октябрь 2024'!$D$5:$D$2162,$B33,'октябрь 2024'!$J$5:$J$2162,AD$1)</f>
        <v>0</v>
      </c>
      <c r="AE33" s="80">
        <f>SUMIFS('октябрь 2024'!$G$5:$G$2162,'октябрь 2024'!$D$5:$D$2162,$B33,'октябрь 2024'!$J$5:$J$2162,AE$1)</f>
        <v>0</v>
      </c>
      <c r="AF33" s="80">
        <f>SUMIFS('октябрь 2024'!$G$5:$G$2162,'октябрь 2024'!$D$5:$D$2162,$B33,'октябрь 2024'!$J$5:$J$2162,AF$1)</f>
        <v>0</v>
      </c>
      <c r="AG33" s="80">
        <f>SUMIFS('октябрь 2024'!$G$5:$G$2162,'октябрь 2024'!$D$5:$D$2162,$B33,'октябрь 2024'!$J$5:$J$2162,AG$1)</f>
        <v>0</v>
      </c>
      <c r="AH33" s="80">
        <f>SUMIFS('октябрь 2024'!$G$5:$G$2162,'октябрь 2024'!$D$5:$D$2162,$B33,'октябрь 2024'!$J$5:$J$2162,AH$1)</f>
        <v>0</v>
      </c>
      <c r="AI33" s="21">
        <f t="shared" si="1"/>
        <v>0</v>
      </c>
    </row>
    <row r="34" spans="2:35" ht="15" customHeight="1" x14ac:dyDescent="0.25">
      <c r="B34" s="146" t="s">
        <v>278</v>
      </c>
      <c r="C34" s="143">
        <v>25</v>
      </c>
      <c r="D34" s="80">
        <f>SUMIFS('октябрь 2024'!$G$5:$G$2162,'октябрь 2024'!$D$5:$D$2162,$B34,'октябрь 2024'!$J$5:$J$2162,D$1)</f>
        <v>0</v>
      </c>
      <c r="E34" s="80">
        <f>SUMIFS('октябрь 2024'!$G$5:$G$2162,'октябрь 2024'!$D$5:$D$2162,$B34,'октябрь 2024'!$J$5:$J$2162,E$1)</f>
        <v>0</v>
      </c>
      <c r="F34" s="80">
        <f>SUMIFS('октябрь 2024'!$G$5:$G$2162,'октябрь 2024'!$D$5:$D$2162,$B34,'октябрь 2024'!$J$5:$J$2162,F$1)</f>
        <v>0</v>
      </c>
      <c r="G34" s="80">
        <f>SUMIFS('октябрь 2024'!$G$5:$G$2162,'октябрь 2024'!$D$5:$D$2162,$B34,'октябрь 2024'!$J$5:$J$2162,G$1)</f>
        <v>0</v>
      </c>
      <c r="H34" s="80">
        <f>SUMIFS('октябрь 2024'!$G$5:$G$2162,'октябрь 2024'!$D$5:$D$2162,$B34,'октябрь 2024'!$J$5:$J$2162,H$1)</f>
        <v>0</v>
      </c>
      <c r="I34" s="80">
        <f>SUMIFS('октябрь 2024'!$G$5:$G$2162,'октябрь 2024'!$D$5:$D$2162,$B34,'октябрь 2024'!$J$5:$J$2162,I$1)</f>
        <v>0</v>
      </c>
      <c r="J34" s="80">
        <f>SUMIFS('октябрь 2024'!$G$5:$G$2162,'октябрь 2024'!$D$5:$D$2162,$B34,'октябрь 2024'!$J$5:$J$2162,J$1)</f>
        <v>0</v>
      </c>
      <c r="K34" s="80">
        <f>SUMIFS('октябрь 2024'!$G$5:$G$2162,'октябрь 2024'!$D$5:$D$2162,$B34,'октябрь 2024'!$J$5:$J$2162,K$1)</f>
        <v>0</v>
      </c>
      <c r="L34" s="80">
        <f>SUMIFS('октябрь 2024'!$G$5:$G$2162,'октябрь 2024'!$D$5:$D$2162,$B34,'октябрь 2024'!$J$5:$J$2162,L$1)</f>
        <v>0</v>
      </c>
      <c r="M34" s="80">
        <f>SUMIFS('октябрь 2024'!$G$5:$G$2162,'октябрь 2024'!$D$5:$D$2162,$B34,'октябрь 2024'!$J$5:$J$2162,M$1)</f>
        <v>0</v>
      </c>
      <c r="N34" s="80">
        <f>SUMIFS('октябрь 2024'!$G$5:$G$2162,'октябрь 2024'!$D$5:$D$2162,$B34,'октябрь 2024'!$J$5:$J$2162,N$1)</f>
        <v>0</v>
      </c>
      <c r="O34" s="80">
        <f>SUMIFS('октябрь 2024'!$G$5:$G$2162,'октябрь 2024'!$D$5:$D$2162,$B34,'октябрь 2024'!$J$5:$J$2162,O$1)</f>
        <v>0</v>
      </c>
      <c r="P34" s="80">
        <f>SUMIFS('октябрь 2024'!$G$5:$G$2162,'октябрь 2024'!$D$5:$D$2162,$B34,'октябрь 2024'!$J$5:$J$2162,P$1)</f>
        <v>0</v>
      </c>
      <c r="Q34" s="80">
        <f>SUMIFS('октябрь 2024'!$G$5:$G$2162,'октябрь 2024'!$D$5:$D$2162,$B34,'октябрь 2024'!$J$5:$J$2162,Q$1)</f>
        <v>0</v>
      </c>
      <c r="R34" s="80">
        <f>SUMIFS('октябрь 2024'!$G$5:$G$2162,'октябрь 2024'!$D$5:$D$2162,$B34,'октябрь 2024'!$J$5:$J$2162,R$1)</f>
        <v>0</v>
      </c>
      <c r="S34" s="80">
        <f>SUMIFS('октябрь 2024'!$G$5:$G$2162,'октябрь 2024'!$D$5:$D$2162,$B34,'октябрь 2024'!$J$5:$J$2162,S$1)</f>
        <v>0</v>
      </c>
      <c r="T34" s="80">
        <f>SUMIFS('октябрь 2024'!$G$5:$G$2162,'октябрь 2024'!$D$5:$D$2162,$B34,'октябрь 2024'!$J$5:$J$2162,T$1)</f>
        <v>0</v>
      </c>
      <c r="U34" s="80">
        <f>SUMIFS('октябрь 2024'!$G$5:$G$2162,'октябрь 2024'!$D$5:$D$2162,$B34,'октябрь 2024'!$J$5:$J$2162,U$1)</f>
        <v>0</v>
      </c>
      <c r="V34" s="80">
        <f>SUMIFS('октябрь 2024'!$G$5:$G$2162,'октябрь 2024'!$D$5:$D$2162,$B34,'октябрь 2024'!$J$5:$J$2162,V$1)</f>
        <v>0</v>
      </c>
      <c r="W34" s="80">
        <f>SUMIFS('октябрь 2024'!$G$5:$G$2162,'октябрь 2024'!$D$5:$D$2162,$B34,'октябрь 2024'!$J$5:$J$2162,W$1)</f>
        <v>0</v>
      </c>
      <c r="X34" s="80">
        <f>SUMIFS('октябрь 2024'!$G$5:$G$2162,'октябрь 2024'!$D$5:$D$2162,$B34,'октябрь 2024'!$J$5:$J$2162,X$1)</f>
        <v>0</v>
      </c>
      <c r="Y34" s="80">
        <f>SUMIFS('октябрь 2024'!$G$5:$G$2162,'октябрь 2024'!$D$5:$D$2162,$B34,'октябрь 2024'!$J$5:$J$2162,Y$1)</f>
        <v>0</v>
      </c>
      <c r="Z34" s="80">
        <f>SUMIFS('октябрь 2024'!$G$5:$G$2162,'октябрь 2024'!$D$5:$D$2162,$B34,'октябрь 2024'!$J$5:$J$2162,Z$1)</f>
        <v>0</v>
      </c>
      <c r="AA34" s="80">
        <f>SUMIFS('октябрь 2024'!$G$5:$G$2162,'октябрь 2024'!$D$5:$D$2162,$B34,'октябрь 2024'!$J$5:$J$2162,AA$1)</f>
        <v>0</v>
      </c>
      <c r="AB34" s="80">
        <f>SUMIFS('октябрь 2024'!$G$5:$G$2162,'октябрь 2024'!$D$5:$D$2162,$B34,'октябрь 2024'!$J$5:$J$2162,AB$1)</f>
        <v>0</v>
      </c>
      <c r="AC34" s="80">
        <f>SUMIFS('октябрь 2024'!$G$5:$G$2162,'октябрь 2024'!$D$5:$D$2162,$B34,'октябрь 2024'!$J$5:$J$2162,AC$1)</f>
        <v>0</v>
      </c>
      <c r="AD34" s="80">
        <f>SUMIFS('октябрь 2024'!$G$5:$G$2162,'октябрь 2024'!$D$5:$D$2162,$B34,'октябрь 2024'!$J$5:$J$2162,AD$1)</f>
        <v>0</v>
      </c>
      <c r="AE34" s="80">
        <f>SUMIFS('октябрь 2024'!$G$5:$G$2162,'октябрь 2024'!$D$5:$D$2162,$B34,'октябрь 2024'!$J$5:$J$2162,AE$1)</f>
        <v>0</v>
      </c>
      <c r="AF34" s="80">
        <f>SUMIFS('октябрь 2024'!$G$5:$G$2162,'октябрь 2024'!$D$5:$D$2162,$B34,'октябрь 2024'!$J$5:$J$2162,AF$1)</f>
        <v>0</v>
      </c>
      <c r="AG34" s="80">
        <f>SUMIFS('октябрь 2024'!$G$5:$G$2162,'октябрь 2024'!$D$5:$D$2162,$B34,'октябрь 2024'!$J$5:$J$2162,AG$1)</f>
        <v>0</v>
      </c>
      <c r="AH34" s="80">
        <f>SUMIFS('октябрь 2024'!$G$5:$G$2162,'октябрь 2024'!$D$5:$D$2162,$B34,'октябрь 2024'!$J$5:$J$2162,AH$1)</f>
        <v>0</v>
      </c>
      <c r="AI34" s="21">
        <f t="shared" si="1"/>
        <v>0</v>
      </c>
    </row>
    <row r="35" spans="2:35" ht="15" customHeight="1" x14ac:dyDescent="0.25">
      <c r="B35" s="147" t="s">
        <v>280</v>
      </c>
      <c r="C35" s="143">
        <v>25</v>
      </c>
      <c r="D35" s="80">
        <f>SUMIFS('октябрь 2024'!$G$5:$G$2162,'октябрь 2024'!$D$5:$D$2162,$B35,'октябрь 2024'!$J$5:$J$2162,D$1)</f>
        <v>0</v>
      </c>
      <c r="E35" s="80">
        <f>SUMIFS('октябрь 2024'!$G$5:$G$2162,'октябрь 2024'!$D$5:$D$2162,$B35,'октябрь 2024'!$J$5:$J$2162,E$1)</f>
        <v>0</v>
      </c>
      <c r="F35" s="80">
        <f>SUMIFS('октябрь 2024'!$G$5:$G$2162,'октябрь 2024'!$D$5:$D$2162,$B35,'октябрь 2024'!$J$5:$J$2162,F$1)</f>
        <v>0</v>
      </c>
      <c r="G35" s="80">
        <f>SUMIFS('октябрь 2024'!$G$5:$G$2162,'октябрь 2024'!$D$5:$D$2162,$B35,'октябрь 2024'!$J$5:$J$2162,G$1)</f>
        <v>0</v>
      </c>
      <c r="H35" s="80">
        <f>SUMIFS('октябрь 2024'!$G$5:$G$2162,'октябрь 2024'!$D$5:$D$2162,$B35,'октябрь 2024'!$J$5:$J$2162,H$1)</f>
        <v>0</v>
      </c>
      <c r="I35" s="80">
        <f>SUMIFS('октябрь 2024'!$G$5:$G$2162,'октябрь 2024'!$D$5:$D$2162,$B35,'октябрь 2024'!$J$5:$J$2162,I$1)</f>
        <v>0</v>
      </c>
      <c r="J35" s="80">
        <f>SUMIFS('октябрь 2024'!$G$5:$G$2162,'октябрь 2024'!$D$5:$D$2162,$B35,'октябрь 2024'!$J$5:$J$2162,J$1)</f>
        <v>0</v>
      </c>
      <c r="K35" s="80">
        <f>SUMIFS('октябрь 2024'!$G$5:$G$2162,'октябрь 2024'!$D$5:$D$2162,$B35,'октябрь 2024'!$J$5:$J$2162,K$1)</f>
        <v>0</v>
      </c>
      <c r="L35" s="80">
        <f>SUMIFS('октябрь 2024'!$G$5:$G$2162,'октябрь 2024'!$D$5:$D$2162,$B35,'октябрь 2024'!$J$5:$J$2162,L$1)</f>
        <v>0</v>
      </c>
      <c r="M35" s="80">
        <f>SUMIFS('октябрь 2024'!$G$5:$G$2162,'октябрь 2024'!$D$5:$D$2162,$B35,'октябрь 2024'!$J$5:$J$2162,M$1)</f>
        <v>0</v>
      </c>
      <c r="N35" s="80">
        <f>SUMIFS('октябрь 2024'!$G$5:$G$2162,'октябрь 2024'!$D$5:$D$2162,$B35,'октябрь 2024'!$J$5:$J$2162,N$1)</f>
        <v>0</v>
      </c>
      <c r="O35" s="80">
        <f>SUMIFS('октябрь 2024'!$G$5:$G$2162,'октябрь 2024'!$D$5:$D$2162,$B35,'октябрь 2024'!$J$5:$J$2162,O$1)</f>
        <v>0</v>
      </c>
      <c r="P35" s="80">
        <f>SUMIFS('октябрь 2024'!$G$5:$G$2162,'октябрь 2024'!$D$5:$D$2162,$B35,'октябрь 2024'!$J$5:$J$2162,P$1)</f>
        <v>0</v>
      </c>
      <c r="Q35" s="80">
        <f>SUMIFS('октябрь 2024'!$G$5:$G$2162,'октябрь 2024'!$D$5:$D$2162,$B35,'октябрь 2024'!$J$5:$J$2162,Q$1)</f>
        <v>0</v>
      </c>
      <c r="R35" s="80">
        <f>SUMIFS('октябрь 2024'!$G$5:$G$2162,'октябрь 2024'!$D$5:$D$2162,$B35,'октябрь 2024'!$J$5:$J$2162,R$1)</f>
        <v>0</v>
      </c>
      <c r="S35" s="80">
        <f>SUMIFS('октябрь 2024'!$G$5:$G$2162,'октябрь 2024'!$D$5:$D$2162,$B35,'октябрь 2024'!$J$5:$J$2162,S$1)</f>
        <v>0</v>
      </c>
      <c r="T35" s="80">
        <f>SUMIFS('октябрь 2024'!$G$5:$G$2162,'октябрь 2024'!$D$5:$D$2162,$B35,'октябрь 2024'!$J$5:$J$2162,T$1)</f>
        <v>0</v>
      </c>
      <c r="U35" s="80">
        <f>SUMIFS('октябрь 2024'!$G$5:$G$2162,'октябрь 2024'!$D$5:$D$2162,$B35,'октябрь 2024'!$J$5:$J$2162,U$1)</f>
        <v>0</v>
      </c>
      <c r="V35" s="80">
        <f>SUMIFS('октябрь 2024'!$G$5:$G$2162,'октябрь 2024'!$D$5:$D$2162,$B35,'октябрь 2024'!$J$5:$J$2162,V$1)</f>
        <v>0</v>
      </c>
      <c r="W35" s="80">
        <f>SUMIFS('октябрь 2024'!$G$5:$G$2162,'октябрь 2024'!$D$5:$D$2162,$B35,'октябрь 2024'!$J$5:$J$2162,W$1)</f>
        <v>0</v>
      </c>
      <c r="X35" s="80">
        <f>SUMIFS('октябрь 2024'!$G$5:$G$2162,'октябрь 2024'!$D$5:$D$2162,$B35,'октябрь 2024'!$J$5:$J$2162,X$1)</f>
        <v>0</v>
      </c>
      <c r="Y35" s="80">
        <f>SUMIFS('октябрь 2024'!$G$5:$G$2162,'октябрь 2024'!$D$5:$D$2162,$B35,'октябрь 2024'!$J$5:$J$2162,Y$1)</f>
        <v>0</v>
      </c>
      <c r="Z35" s="80">
        <f>SUMIFS('октябрь 2024'!$G$5:$G$2162,'октябрь 2024'!$D$5:$D$2162,$B35,'октябрь 2024'!$J$5:$J$2162,Z$1)</f>
        <v>0</v>
      </c>
      <c r="AA35" s="80">
        <f>SUMIFS('октябрь 2024'!$G$5:$G$2162,'октябрь 2024'!$D$5:$D$2162,$B35,'октябрь 2024'!$J$5:$J$2162,AA$1)</f>
        <v>0</v>
      </c>
      <c r="AB35" s="80">
        <f>SUMIFS('октябрь 2024'!$G$5:$G$2162,'октябрь 2024'!$D$5:$D$2162,$B35,'октябрь 2024'!$J$5:$J$2162,AB$1)</f>
        <v>0</v>
      </c>
      <c r="AC35" s="80">
        <f>SUMIFS('октябрь 2024'!$G$5:$G$2162,'октябрь 2024'!$D$5:$D$2162,$B35,'октябрь 2024'!$J$5:$J$2162,AC$1)</f>
        <v>0</v>
      </c>
      <c r="AD35" s="80">
        <f>SUMIFS('октябрь 2024'!$G$5:$G$2162,'октябрь 2024'!$D$5:$D$2162,$B35,'октябрь 2024'!$J$5:$J$2162,AD$1)</f>
        <v>0</v>
      </c>
      <c r="AE35" s="80">
        <f>SUMIFS('октябрь 2024'!$G$5:$G$2162,'октябрь 2024'!$D$5:$D$2162,$B35,'октябрь 2024'!$J$5:$J$2162,AE$1)</f>
        <v>0</v>
      </c>
      <c r="AF35" s="80">
        <f>SUMIFS('октябрь 2024'!$G$5:$G$2162,'октябрь 2024'!$D$5:$D$2162,$B35,'октябрь 2024'!$J$5:$J$2162,AF$1)</f>
        <v>0</v>
      </c>
      <c r="AG35" s="80">
        <f>SUMIFS('октябрь 2024'!$G$5:$G$2162,'октябрь 2024'!$D$5:$D$2162,$B35,'октябрь 2024'!$J$5:$J$2162,AG$1)</f>
        <v>0</v>
      </c>
      <c r="AH35" s="80">
        <f>SUMIFS('октябрь 2024'!$G$5:$G$2162,'октябрь 2024'!$D$5:$D$2162,$B35,'октябрь 2024'!$J$5:$J$2162,AH$1)</f>
        <v>0</v>
      </c>
      <c r="AI35" s="21">
        <f t="shared" si="1"/>
        <v>0</v>
      </c>
    </row>
    <row r="36" spans="2:35" ht="15" customHeight="1" x14ac:dyDescent="0.25">
      <c r="B36" s="148" t="s">
        <v>282</v>
      </c>
      <c r="C36" s="149">
        <v>25</v>
      </c>
      <c r="D36" s="80">
        <f>SUMIFS('октябрь 2024'!$G$5:$G$2162,'октябрь 2024'!$D$5:$D$2162,$B36,'октябрь 2024'!$J$5:$J$2162,D$1)</f>
        <v>0</v>
      </c>
      <c r="E36" s="80">
        <f>SUMIFS('октябрь 2024'!$G$5:$G$2162,'октябрь 2024'!$D$5:$D$2162,$B36,'октябрь 2024'!$J$5:$J$2162,E$1)</f>
        <v>0</v>
      </c>
      <c r="F36" s="80">
        <f>SUMIFS('октябрь 2024'!$G$5:$G$2162,'октябрь 2024'!$D$5:$D$2162,$B36,'октябрь 2024'!$J$5:$J$2162,F$1)</f>
        <v>0</v>
      </c>
      <c r="G36" s="80">
        <f>SUMIFS('октябрь 2024'!$G$5:$G$2162,'октябрь 2024'!$D$5:$D$2162,$B36,'октябрь 2024'!$J$5:$J$2162,G$1)</f>
        <v>0</v>
      </c>
      <c r="H36" s="80">
        <f>SUMIFS('октябрь 2024'!$G$5:$G$2162,'октябрь 2024'!$D$5:$D$2162,$B36,'октябрь 2024'!$J$5:$J$2162,H$1)</f>
        <v>0</v>
      </c>
      <c r="I36" s="80">
        <f>SUMIFS('октябрь 2024'!$G$5:$G$2162,'октябрь 2024'!$D$5:$D$2162,$B36,'октябрь 2024'!$J$5:$J$2162,I$1)</f>
        <v>0</v>
      </c>
      <c r="J36" s="80">
        <f>SUMIFS('октябрь 2024'!$G$5:$G$2162,'октябрь 2024'!$D$5:$D$2162,$B36,'октябрь 2024'!$J$5:$J$2162,J$1)</f>
        <v>0</v>
      </c>
      <c r="K36" s="80">
        <f>SUMIFS('октябрь 2024'!$G$5:$G$2162,'октябрь 2024'!$D$5:$D$2162,$B36,'октябрь 2024'!$J$5:$J$2162,K$1)</f>
        <v>0</v>
      </c>
      <c r="L36" s="80">
        <f>SUMIFS('октябрь 2024'!$G$5:$G$2162,'октябрь 2024'!$D$5:$D$2162,$B36,'октябрь 2024'!$J$5:$J$2162,L$1)</f>
        <v>0</v>
      </c>
      <c r="M36" s="80">
        <f>SUMIFS('октябрь 2024'!$G$5:$G$2162,'октябрь 2024'!$D$5:$D$2162,$B36,'октябрь 2024'!$J$5:$J$2162,M$1)</f>
        <v>0</v>
      </c>
      <c r="N36" s="80">
        <f>SUMIFS('октябрь 2024'!$G$5:$G$2162,'октябрь 2024'!$D$5:$D$2162,$B36,'октябрь 2024'!$J$5:$J$2162,N$1)</f>
        <v>0</v>
      </c>
      <c r="O36" s="80">
        <f>SUMIFS('октябрь 2024'!$G$5:$G$2162,'октябрь 2024'!$D$5:$D$2162,$B36,'октябрь 2024'!$J$5:$J$2162,O$1)</f>
        <v>0</v>
      </c>
      <c r="P36" s="80">
        <f>SUMIFS('октябрь 2024'!$G$5:$G$2162,'октябрь 2024'!$D$5:$D$2162,$B36,'октябрь 2024'!$J$5:$J$2162,P$1)</f>
        <v>0</v>
      </c>
      <c r="Q36" s="80">
        <f>SUMIFS('октябрь 2024'!$G$5:$G$2162,'октябрь 2024'!$D$5:$D$2162,$B36,'октябрь 2024'!$J$5:$J$2162,Q$1)</f>
        <v>0</v>
      </c>
      <c r="R36" s="80">
        <f>SUMIFS('октябрь 2024'!$G$5:$G$2162,'октябрь 2024'!$D$5:$D$2162,$B36,'октябрь 2024'!$J$5:$J$2162,R$1)</f>
        <v>0</v>
      </c>
      <c r="S36" s="80">
        <f>SUMIFS('октябрь 2024'!$G$5:$G$2162,'октябрь 2024'!$D$5:$D$2162,$B36,'октябрь 2024'!$J$5:$J$2162,S$1)</f>
        <v>0</v>
      </c>
      <c r="T36" s="80">
        <f>SUMIFS('октябрь 2024'!$G$5:$G$2162,'октябрь 2024'!$D$5:$D$2162,$B36,'октябрь 2024'!$J$5:$J$2162,T$1)</f>
        <v>0</v>
      </c>
      <c r="U36" s="80">
        <f>SUMIFS('октябрь 2024'!$G$5:$G$2162,'октябрь 2024'!$D$5:$D$2162,$B36,'октябрь 2024'!$J$5:$J$2162,U$1)</f>
        <v>0</v>
      </c>
      <c r="V36" s="80">
        <f>SUMIFS('октябрь 2024'!$G$5:$G$2162,'октябрь 2024'!$D$5:$D$2162,$B36,'октябрь 2024'!$J$5:$J$2162,V$1)</f>
        <v>0</v>
      </c>
      <c r="W36" s="80">
        <f>SUMIFS('октябрь 2024'!$G$5:$G$2162,'октябрь 2024'!$D$5:$D$2162,$B36,'октябрь 2024'!$J$5:$J$2162,W$1)</f>
        <v>0</v>
      </c>
      <c r="X36" s="80">
        <f>SUMIFS('октябрь 2024'!$G$5:$G$2162,'октябрь 2024'!$D$5:$D$2162,$B36,'октябрь 2024'!$J$5:$J$2162,X$1)</f>
        <v>0</v>
      </c>
      <c r="Y36" s="80">
        <f>SUMIFS('октябрь 2024'!$G$5:$G$2162,'октябрь 2024'!$D$5:$D$2162,$B36,'октябрь 2024'!$J$5:$J$2162,Y$1)</f>
        <v>0</v>
      </c>
      <c r="Z36" s="80">
        <f>SUMIFS('октябрь 2024'!$G$5:$G$2162,'октябрь 2024'!$D$5:$D$2162,$B36,'октябрь 2024'!$J$5:$J$2162,Z$1)</f>
        <v>0</v>
      </c>
      <c r="AA36" s="80">
        <f>SUMIFS('октябрь 2024'!$G$5:$G$2162,'октябрь 2024'!$D$5:$D$2162,$B36,'октябрь 2024'!$J$5:$J$2162,AA$1)</f>
        <v>0</v>
      </c>
      <c r="AB36" s="80">
        <f>SUMIFS('октябрь 2024'!$G$5:$G$2162,'октябрь 2024'!$D$5:$D$2162,$B36,'октябрь 2024'!$J$5:$J$2162,AB$1)</f>
        <v>0</v>
      </c>
      <c r="AC36" s="80">
        <f>SUMIFS('октябрь 2024'!$G$5:$G$2162,'октябрь 2024'!$D$5:$D$2162,$B36,'октябрь 2024'!$J$5:$J$2162,AC$1)</f>
        <v>0</v>
      </c>
      <c r="AD36" s="80">
        <f>SUMIFS('октябрь 2024'!$G$5:$G$2162,'октябрь 2024'!$D$5:$D$2162,$B36,'октябрь 2024'!$J$5:$J$2162,AD$1)</f>
        <v>0</v>
      </c>
      <c r="AE36" s="80">
        <f>SUMIFS('октябрь 2024'!$G$5:$G$2162,'октябрь 2024'!$D$5:$D$2162,$B36,'октябрь 2024'!$J$5:$J$2162,AE$1)</f>
        <v>0</v>
      </c>
      <c r="AF36" s="80">
        <f>SUMIFS('октябрь 2024'!$G$5:$G$2162,'октябрь 2024'!$D$5:$D$2162,$B36,'октябрь 2024'!$J$5:$J$2162,AF$1)</f>
        <v>0</v>
      </c>
      <c r="AG36" s="80">
        <f>SUMIFS('октябрь 2024'!$G$5:$G$2162,'октябрь 2024'!$D$5:$D$2162,$B36,'октябрь 2024'!$J$5:$J$2162,AG$1)</f>
        <v>0</v>
      </c>
      <c r="AH36" s="80">
        <f>SUMIFS('октябрь 2024'!$G$5:$G$2162,'октябрь 2024'!$D$5:$D$2162,$B36,'октябрь 2024'!$J$5:$J$2162,AH$1)</f>
        <v>0</v>
      </c>
      <c r="AI36" s="21">
        <f t="shared" si="1"/>
        <v>0</v>
      </c>
    </row>
    <row r="37" spans="2:35" ht="15" customHeight="1" x14ac:dyDescent="0.25">
      <c r="B37" s="150" t="s">
        <v>284</v>
      </c>
      <c r="C37" s="151">
        <v>22.68</v>
      </c>
      <c r="D37" s="80">
        <f>SUMIFS('октябрь 2024'!$G$5:$G$2162,'октябрь 2024'!$D$5:$D$2162,$B37,'октябрь 2024'!$J$5:$J$2162,D$1)</f>
        <v>0</v>
      </c>
      <c r="E37" s="80">
        <f>SUMIFS('октябрь 2024'!$G$5:$G$2162,'октябрь 2024'!$D$5:$D$2162,$B37,'октябрь 2024'!$J$5:$J$2162,E$1)</f>
        <v>0</v>
      </c>
      <c r="F37" s="80">
        <f>SUMIFS('октябрь 2024'!$G$5:$G$2162,'октябрь 2024'!$D$5:$D$2162,$B37,'октябрь 2024'!$J$5:$J$2162,F$1)</f>
        <v>0</v>
      </c>
      <c r="G37" s="80">
        <f>SUMIFS('октябрь 2024'!$G$5:$G$2162,'октябрь 2024'!$D$5:$D$2162,$B37,'октябрь 2024'!$J$5:$J$2162,G$1)</f>
        <v>0</v>
      </c>
      <c r="H37" s="80">
        <f>SUMIFS('октябрь 2024'!$G$5:$G$2162,'октябрь 2024'!$D$5:$D$2162,$B37,'октябрь 2024'!$J$5:$J$2162,H$1)</f>
        <v>0</v>
      </c>
      <c r="I37" s="80">
        <f>SUMIFS('октябрь 2024'!$G$5:$G$2162,'октябрь 2024'!$D$5:$D$2162,$B37,'октябрь 2024'!$J$5:$J$2162,I$1)</f>
        <v>0</v>
      </c>
      <c r="J37" s="80">
        <f>SUMIFS('октябрь 2024'!$G$5:$G$2162,'октябрь 2024'!$D$5:$D$2162,$B37,'октябрь 2024'!$J$5:$J$2162,J$1)</f>
        <v>0</v>
      </c>
      <c r="K37" s="80">
        <f>SUMIFS('октябрь 2024'!$G$5:$G$2162,'октябрь 2024'!$D$5:$D$2162,$B37,'октябрь 2024'!$J$5:$J$2162,K$1)</f>
        <v>0</v>
      </c>
      <c r="L37" s="80">
        <f>SUMIFS('октябрь 2024'!$G$5:$G$2162,'октябрь 2024'!$D$5:$D$2162,$B37,'октябрь 2024'!$J$5:$J$2162,L$1)</f>
        <v>0</v>
      </c>
      <c r="M37" s="80">
        <f>SUMIFS('октябрь 2024'!$G$5:$G$2162,'октябрь 2024'!$D$5:$D$2162,$B37,'октябрь 2024'!$J$5:$J$2162,M$1)</f>
        <v>0</v>
      </c>
      <c r="N37" s="80">
        <f>SUMIFS('октябрь 2024'!$G$5:$G$2162,'октябрь 2024'!$D$5:$D$2162,$B37,'октябрь 2024'!$J$5:$J$2162,N$1)</f>
        <v>0</v>
      </c>
      <c r="O37" s="80">
        <f>SUMIFS('октябрь 2024'!$G$5:$G$2162,'октябрь 2024'!$D$5:$D$2162,$B37,'октябрь 2024'!$J$5:$J$2162,O$1)</f>
        <v>0</v>
      </c>
      <c r="P37" s="80">
        <f>SUMIFS('октябрь 2024'!$G$5:$G$2162,'октябрь 2024'!$D$5:$D$2162,$B37,'октябрь 2024'!$J$5:$J$2162,P$1)</f>
        <v>0</v>
      </c>
      <c r="Q37" s="80">
        <f>SUMIFS('октябрь 2024'!$G$5:$G$2162,'октябрь 2024'!$D$5:$D$2162,$B37,'октябрь 2024'!$J$5:$J$2162,Q$1)</f>
        <v>0</v>
      </c>
      <c r="R37" s="80">
        <f>SUMIFS('октябрь 2024'!$G$5:$G$2162,'октябрь 2024'!$D$5:$D$2162,$B37,'октябрь 2024'!$J$5:$J$2162,R$1)</f>
        <v>0</v>
      </c>
      <c r="S37" s="80">
        <f>SUMIFS('октябрь 2024'!$G$5:$G$2162,'октябрь 2024'!$D$5:$D$2162,$B37,'октябрь 2024'!$J$5:$J$2162,S$1)</f>
        <v>0</v>
      </c>
      <c r="T37" s="80">
        <f>SUMIFS('октябрь 2024'!$G$5:$G$2162,'октябрь 2024'!$D$5:$D$2162,$B37,'октябрь 2024'!$J$5:$J$2162,T$1)</f>
        <v>0</v>
      </c>
      <c r="U37" s="80">
        <f>SUMIFS('октябрь 2024'!$G$5:$G$2162,'октябрь 2024'!$D$5:$D$2162,$B37,'октябрь 2024'!$J$5:$J$2162,U$1)</f>
        <v>0</v>
      </c>
      <c r="V37" s="80">
        <f>SUMIFS('октябрь 2024'!$G$5:$G$2162,'октябрь 2024'!$D$5:$D$2162,$B37,'октябрь 2024'!$J$5:$J$2162,V$1)</f>
        <v>0</v>
      </c>
      <c r="W37" s="80">
        <f>SUMIFS('октябрь 2024'!$G$5:$G$2162,'октябрь 2024'!$D$5:$D$2162,$B37,'октябрь 2024'!$J$5:$J$2162,W$1)</f>
        <v>0</v>
      </c>
      <c r="X37" s="80">
        <f>SUMIFS('октябрь 2024'!$G$5:$G$2162,'октябрь 2024'!$D$5:$D$2162,$B37,'октябрь 2024'!$J$5:$J$2162,X$1)</f>
        <v>0</v>
      </c>
      <c r="Y37" s="80">
        <f>SUMIFS('октябрь 2024'!$G$5:$G$2162,'октябрь 2024'!$D$5:$D$2162,$B37,'октябрь 2024'!$J$5:$J$2162,Y$1)</f>
        <v>0</v>
      </c>
      <c r="Z37" s="80">
        <f>SUMIFS('октябрь 2024'!$G$5:$G$2162,'октябрь 2024'!$D$5:$D$2162,$B37,'октябрь 2024'!$J$5:$J$2162,Z$1)</f>
        <v>0</v>
      </c>
      <c r="AA37" s="80">
        <f>SUMIFS('октябрь 2024'!$G$5:$G$2162,'октябрь 2024'!$D$5:$D$2162,$B37,'октябрь 2024'!$J$5:$J$2162,AA$1)</f>
        <v>0</v>
      </c>
      <c r="AB37" s="80">
        <f>SUMIFS('октябрь 2024'!$G$5:$G$2162,'октябрь 2024'!$D$5:$D$2162,$B37,'октябрь 2024'!$J$5:$J$2162,AB$1)</f>
        <v>0</v>
      </c>
      <c r="AC37" s="80">
        <f>SUMIFS('октябрь 2024'!$G$5:$G$2162,'октябрь 2024'!$D$5:$D$2162,$B37,'октябрь 2024'!$J$5:$J$2162,AC$1)</f>
        <v>0</v>
      </c>
      <c r="AD37" s="80">
        <f>SUMIFS('октябрь 2024'!$G$5:$G$2162,'октябрь 2024'!$D$5:$D$2162,$B37,'октябрь 2024'!$J$5:$J$2162,AD$1)</f>
        <v>0</v>
      </c>
      <c r="AE37" s="80">
        <f>SUMIFS('октябрь 2024'!$G$5:$G$2162,'октябрь 2024'!$D$5:$D$2162,$B37,'октябрь 2024'!$J$5:$J$2162,AE$1)</f>
        <v>0</v>
      </c>
      <c r="AF37" s="80">
        <f>SUMIFS('октябрь 2024'!$G$5:$G$2162,'октябрь 2024'!$D$5:$D$2162,$B37,'октябрь 2024'!$J$5:$J$2162,AF$1)</f>
        <v>0</v>
      </c>
      <c r="AG37" s="80">
        <f>SUMIFS('октябрь 2024'!$G$5:$G$2162,'октябрь 2024'!$D$5:$D$2162,$B37,'октябрь 2024'!$J$5:$J$2162,AG$1)</f>
        <v>0</v>
      </c>
      <c r="AH37" s="80">
        <f>SUMIFS('октябрь 2024'!$G$5:$G$2162,'октябрь 2024'!$D$5:$D$2162,$B37,'октябрь 2024'!$J$5:$J$2162,AH$1)</f>
        <v>0</v>
      </c>
      <c r="AI37" s="21">
        <f t="shared" si="1"/>
        <v>0</v>
      </c>
    </row>
    <row r="38" spans="2:35" ht="15" customHeight="1" x14ac:dyDescent="0.25">
      <c r="B38" s="150" t="s">
        <v>286</v>
      </c>
      <c r="C38" s="152">
        <v>25</v>
      </c>
      <c r="D38" s="80">
        <f>SUMIFS('октябрь 2024'!$G$5:$G$2162,'октябрь 2024'!$D$5:$D$2162,$B38,'октябрь 2024'!$J$5:$J$2162,D$1)</f>
        <v>0</v>
      </c>
      <c r="E38" s="80">
        <f>SUMIFS('октябрь 2024'!$G$5:$G$2162,'октябрь 2024'!$D$5:$D$2162,$B38,'октябрь 2024'!$J$5:$J$2162,E$1)</f>
        <v>0</v>
      </c>
      <c r="F38" s="80">
        <f>SUMIFS('октябрь 2024'!$G$5:$G$2162,'октябрь 2024'!$D$5:$D$2162,$B38,'октябрь 2024'!$J$5:$J$2162,F$1)</f>
        <v>0</v>
      </c>
      <c r="G38" s="80">
        <f>SUMIFS('октябрь 2024'!$G$5:$G$2162,'октябрь 2024'!$D$5:$D$2162,$B38,'октябрь 2024'!$J$5:$J$2162,G$1)</f>
        <v>800</v>
      </c>
      <c r="H38" s="80">
        <f>SUMIFS('октябрь 2024'!$G$5:$G$2162,'октябрь 2024'!$D$5:$D$2162,$B38,'октябрь 2024'!$J$5:$J$2162,H$1)</f>
        <v>0</v>
      </c>
      <c r="I38" s="80">
        <f>SUMIFS('октябрь 2024'!$G$5:$G$2162,'октябрь 2024'!$D$5:$D$2162,$B38,'октябрь 2024'!$J$5:$J$2162,I$1)</f>
        <v>0</v>
      </c>
      <c r="J38" s="80">
        <f>SUMIFS('октябрь 2024'!$G$5:$G$2162,'октябрь 2024'!$D$5:$D$2162,$B38,'октябрь 2024'!$J$5:$J$2162,J$1)</f>
        <v>0</v>
      </c>
      <c r="K38" s="80">
        <f>SUMIFS('октябрь 2024'!$G$5:$G$2162,'октябрь 2024'!$D$5:$D$2162,$B38,'октябрь 2024'!$J$5:$J$2162,K$1)</f>
        <v>0</v>
      </c>
      <c r="L38" s="80">
        <f>SUMIFS('октябрь 2024'!$G$5:$G$2162,'октябрь 2024'!$D$5:$D$2162,$B38,'октябрь 2024'!$J$5:$J$2162,L$1)</f>
        <v>800</v>
      </c>
      <c r="M38" s="80">
        <f>SUMIFS('октябрь 2024'!$G$5:$G$2162,'октябрь 2024'!$D$5:$D$2162,$B38,'октябрь 2024'!$J$5:$J$2162,M$1)</f>
        <v>0</v>
      </c>
      <c r="N38" s="80">
        <f>SUMIFS('октябрь 2024'!$G$5:$G$2162,'октябрь 2024'!$D$5:$D$2162,$B38,'октябрь 2024'!$J$5:$J$2162,N$1)</f>
        <v>800</v>
      </c>
      <c r="O38" s="80">
        <f>SUMIFS('октябрь 2024'!$G$5:$G$2162,'октябрь 2024'!$D$5:$D$2162,$B38,'октябрь 2024'!$J$5:$J$2162,O$1)</f>
        <v>0</v>
      </c>
      <c r="P38" s="80">
        <f>SUMIFS('октябрь 2024'!$G$5:$G$2162,'октябрь 2024'!$D$5:$D$2162,$B38,'октябрь 2024'!$J$5:$J$2162,P$1)</f>
        <v>0</v>
      </c>
      <c r="Q38" s="80">
        <f>SUMIFS('октябрь 2024'!$G$5:$G$2162,'октябрь 2024'!$D$5:$D$2162,$B38,'октябрь 2024'!$J$5:$J$2162,Q$1)</f>
        <v>0</v>
      </c>
      <c r="R38" s="80">
        <f>SUMIFS('октябрь 2024'!$G$5:$G$2162,'октябрь 2024'!$D$5:$D$2162,$B38,'октябрь 2024'!$J$5:$J$2162,R$1)</f>
        <v>800</v>
      </c>
      <c r="S38" s="80">
        <f>SUMIFS('октябрь 2024'!$G$5:$G$2162,'октябрь 2024'!$D$5:$D$2162,$B38,'октябрь 2024'!$J$5:$J$2162,S$1)</f>
        <v>800</v>
      </c>
      <c r="T38" s="80">
        <f>SUMIFS('октябрь 2024'!$G$5:$G$2162,'октябрь 2024'!$D$5:$D$2162,$B38,'октябрь 2024'!$J$5:$J$2162,T$1)</f>
        <v>0</v>
      </c>
      <c r="U38" s="80">
        <f>SUMIFS('октябрь 2024'!$G$5:$G$2162,'октябрь 2024'!$D$5:$D$2162,$B38,'октябрь 2024'!$J$5:$J$2162,U$1)</f>
        <v>0</v>
      </c>
      <c r="V38" s="80">
        <f>SUMIFS('октябрь 2024'!$G$5:$G$2162,'октябрь 2024'!$D$5:$D$2162,$B38,'октябрь 2024'!$J$5:$J$2162,V$1)</f>
        <v>0</v>
      </c>
      <c r="W38" s="80">
        <f>SUMIFS('октябрь 2024'!$G$5:$G$2162,'октябрь 2024'!$D$5:$D$2162,$B38,'октябрь 2024'!$J$5:$J$2162,W$1)</f>
        <v>0</v>
      </c>
      <c r="X38" s="80">
        <f>SUMIFS('октябрь 2024'!$G$5:$G$2162,'октябрь 2024'!$D$5:$D$2162,$B38,'октябрь 2024'!$J$5:$J$2162,X$1)</f>
        <v>0</v>
      </c>
      <c r="Y38" s="80">
        <f>SUMIFS('октябрь 2024'!$G$5:$G$2162,'октябрь 2024'!$D$5:$D$2162,$B38,'октябрь 2024'!$J$5:$J$2162,Y$1)</f>
        <v>0</v>
      </c>
      <c r="Z38" s="80">
        <f>SUMIFS('октябрь 2024'!$G$5:$G$2162,'октябрь 2024'!$D$5:$D$2162,$B38,'октябрь 2024'!$J$5:$J$2162,Z$1)</f>
        <v>0</v>
      </c>
      <c r="AA38" s="80">
        <f>SUMIFS('октябрь 2024'!$G$5:$G$2162,'октябрь 2024'!$D$5:$D$2162,$B38,'октябрь 2024'!$J$5:$J$2162,AA$1)</f>
        <v>0</v>
      </c>
      <c r="AB38" s="80">
        <f>SUMIFS('октябрь 2024'!$G$5:$G$2162,'октябрь 2024'!$D$5:$D$2162,$B38,'октябрь 2024'!$J$5:$J$2162,AB$1)</f>
        <v>0</v>
      </c>
      <c r="AC38" s="80">
        <f>SUMIFS('октябрь 2024'!$G$5:$G$2162,'октябрь 2024'!$D$5:$D$2162,$B38,'октябрь 2024'!$J$5:$J$2162,AC$1)</f>
        <v>0</v>
      </c>
      <c r="AD38" s="80">
        <f>SUMIFS('октябрь 2024'!$G$5:$G$2162,'октябрь 2024'!$D$5:$D$2162,$B38,'октябрь 2024'!$J$5:$J$2162,AD$1)</f>
        <v>0</v>
      </c>
      <c r="AE38" s="80">
        <f>SUMIFS('октябрь 2024'!$G$5:$G$2162,'октябрь 2024'!$D$5:$D$2162,$B38,'октябрь 2024'!$J$5:$J$2162,AE$1)</f>
        <v>0</v>
      </c>
      <c r="AF38" s="80">
        <f>SUMIFS('октябрь 2024'!$G$5:$G$2162,'октябрь 2024'!$D$5:$D$2162,$B38,'октябрь 2024'!$J$5:$J$2162,AF$1)</f>
        <v>0</v>
      </c>
      <c r="AG38" s="80">
        <f>SUMIFS('октябрь 2024'!$G$5:$G$2162,'октябрь 2024'!$D$5:$D$2162,$B38,'октябрь 2024'!$J$5:$J$2162,AG$1)</f>
        <v>0</v>
      </c>
      <c r="AH38" s="80">
        <f>SUMIFS('октябрь 2024'!$G$5:$G$2162,'октябрь 2024'!$D$5:$D$2162,$B38,'октябрь 2024'!$J$5:$J$2162,AH$1)</f>
        <v>0</v>
      </c>
      <c r="AI38" s="21">
        <f t="shared" si="1"/>
        <v>4000</v>
      </c>
    </row>
    <row r="39" spans="2:35" ht="15" customHeight="1" x14ac:dyDescent="0.25">
      <c r="B39" s="150" t="s">
        <v>288</v>
      </c>
      <c r="C39" s="153">
        <v>25</v>
      </c>
      <c r="D39" s="80">
        <f>SUMIFS('октябрь 2024'!$G$5:$G$2162,'октябрь 2024'!$D$5:$D$2162,$B39,'октябрь 2024'!$J$5:$J$2162,D$1)</f>
        <v>0</v>
      </c>
      <c r="E39" s="80">
        <f>SUMIFS('октябрь 2024'!$G$5:$G$2162,'октябрь 2024'!$D$5:$D$2162,$B39,'октябрь 2024'!$J$5:$J$2162,E$1)</f>
        <v>0</v>
      </c>
      <c r="F39" s="80">
        <f>SUMIFS('октябрь 2024'!$G$5:$G$2162,'октябрь 2024'!$D$5:$D$2162,$B39,'октябрь 2024'!$J$5:$J$2162,F$1)</f>
        <v>0</v>
      </c>
      <c r="G39" s="80">
        <f>SUMIFS('октябрь 2024'!$G$5:$G$2162,'октябрь 2024'!$D$5:$D$2162,$B39,'октябрь 2024'!$J$5:$J$2162,G$1)</f>
        <v>0</v>
      </c>
      <c r="H39" s="80">
        <f>SUMIFS('октябрь 2024'!$G$5:$G$2162,'октябрь 2024'!$D$5:$D$2162,$B39,'октябрь 2024'!$J$5:$J$2162,H$1)</f>
        <v>0</v>
      </c>
      <c r="I39" s="80">
        <f>SUMIFS('октябрь 2024'!$G$5:$G$2162,'октябрь 2024'!$D$5:$D$2162,$B39,'октябрь 2024'!$J$5:$J$2162,I$1)</f>
        <v>0</v>
      </c>
      <c r="J39" s="80">
        <f>SUMIFS('октябрь 2024'!$G$5:$G$2162,'октябрь 2024'!$D$5:$D$2162,$B39,'октябрь 2024'!$J$5:$J$2162,J$1)</f>
        <v>0</v>
      </c>
      <c r="K39" s="80">
        <f>SUMIFS('октябрь 2024'!$G$5:$G$2162,'октябрь 2024'!$D$5:$D$2162,$B39,'октябрь 2024'!$J$5:$J$2162,K$1)</f>
        <v>0</v>
      </c>
      <c r="L39" s="80">
        <f>SUMIFS('октябрь 2024'!$G$5:$G$2162,'октябрь 2024'!$D$5:$D$2162,$B39,'октябрь 2024'!$J$5:$J$2162,L$1)</f>
        <v>0</v>
      </c>
      <c r="M39" s="80">
        <f>SUMIFS('октябрь 2024'!$G$5:$G$2162,'октябрь 2024'!$D$5:$D$2162,$B39,'октябрь 2024'!$J$5:$J$2162,M$1)</f>
        <v>0</v>
      </c>
      <c r="N39" s="80">
        <f>SUMIFS('октябрь 2024'!$G$5:$G$2162,'октябрь 2024'!$D$5:$D$2162,$B39,'октябрь 2024'!$J$5:$J$2162,N$1)</f>
        <v>0</v>
      </c>
      <c r="O39" s="80">
        <f>SUMIFS('октябрь 2024'!$G$5:$G$2162,'октябрь 2024'!$D$5:$D$2162,$B39,'октябрь 2024'!$J$5:$J$2162,O$1)</f>
        <v>0</v>
      </c>
      <c r="P39" s="80">
        <f>SUMIFS('октябрь 2024'!$G$5:$G$2162,'октябрь 2024'!$D$5:$D$2162,$B39,'октябрь 2024'!$J$5:$J$2162,P$1)</f>
        <v>0</v>
      </c>
      <c r="Q39" s="80">
        <f>SUMIFS('октябрь 2024'!$G$5:$G$2162,'октябрь 2024'!$D$5:$D$2162,$B39,'октябрь 2024'!$J$5:$J$2162,Q$1)</f>
        <v>0</v>
      </c>
      <c r="R39" s="80">
        <f>SUMIFS('октябрь 2024'!$G$5:$G$2162,'октябрь 2024'!$D$5:$D$2162,$B39,'октябрь 2024'!$J$5:$J$2162,R$1)</f>
        <v>0</v>
      </c>
      <c r="S39" s="80">
        <f>SUMIFS('октябрь 2024'!$G$5:$G$2162,'октябрь 2024'!$D$5:$D$2162,$B39,'октябрь 2024'!$J$5:$J$2162,S$1)</f>
        <v>0</v>
      </c>
      <c r="T39" s="80">
        <f>SUMIFS('октябрь 2024'!$G$5:$G$2162,'октябрь 2024'!$D$5:$D$2162,$B39,'октябрь 2024'!$J$5:$J$2162,T$1)</f>
        <v>0</v>
      </c>
      <c r="U39" s="80">
        <f>SUMIFS('октябрь 2024'!$G$5:$G$2162,'октябрь 2024'!$D$5:$D$2162,$B39,'октябрь 2024'!$J$5:$J$2162,U$1)</f>
        <v>0</v>
      </c>
      <c r="V39" s="80">
        <f>SUMIFS('октябрь 2024'!$G$5:$G$2162,'октябрь 2024'!$D$5:$D$2162,$B39,'октябрь 2024'!$J$5:$J$2162,V$1)</f>
        <v>0</v>
      </c>
      <c r="W39" s="80">
        <f>SUMIFS('октябрь 2024'!$G$5:$G$2162,'октябрь 2024'!$D$5:$D$2162,$B39,'октябрь 2024'!$J$5:$J$2162,W$1)</f>
        <v>0</v>
      </c>
      <c r="X39" s="80">
        <f>SUMIFS('октябрь 2024'!$G$5:$G$2162,'октябрь 2024'!$D$5:$D$2162,$B39,'октябрь 2024'!$J$5:$J$2162,X$1)</f>
        <v>0</v>
      </c>
      <c r="Y39" s="80">
        <f>SUMIFS('октябрь 2024'!$G$5:$G$2162,'октябрь 2024'!$D$5:$D$2162,$B39,'октябрь 2024'!$J$5:$J$2162,Y$1)</f>
        <v>0</v>
      </c>
      <c r="Z39" s="80">
        <f>SUMIFS('октябрь 2024'!$G$5:$G$2162,'октябрь 2024'!$D$5:$D$2162,$B39,'октябрь 2024'!$J$5:$J$2162,Z$1)</f>
        <v>0</v>
      </c>
      <c r="AA39" s="80">
        <f>SUMIFS('октябрь 2024'!$G$5:$G$2162,'октябрь 2024'!$D$5:$D$2162,$B39,'октябрь 2024'!$J$5:$J$2162,AA$1)</f>
        <v>0</v>
      </c>
      <c r="AB39" s="80">
        <f>SUMIFS('октябрь 2024'!$G$5:$G$2162,'октябрь 2024'!$D$5:$D$2162,$B39,'октябрь 2024'!$J$5:$J$2162,AB$1)</f>
        <v>0</v>
      </c>
      <c r="AC39" s="80">
        <f>SUMIFS('октябрь 2024'!$G$5:$G$2162,'октябрь 2024'!$D$5:$D$2162,$B39,'октябрь 2024'!$J$5:$J$2162,AC$1)</f>
        <v>0</v>
      </c>
      <c r="AD39" s="80">
        <f>SUMIFS('октябрь 2024'!$G$5:$G$2162,'октябрь 2024'!$D$5:$D$2162,$B39,'октябрь 2024'!$J$5:$J$2162,AD$1)</f>
        <v>0</v>
      </c>
      <c r="AE39" s="80">
        <f>SUMIFS('октябрь 2024'!$G$5:$G$2162,'октябрь 2024'!$D$5:$D$2162,$B39,'октябрь 2024'!$J$5:$J$2162,AE$1)</f>
        <v>0</v>
      </c>
      <c r="AF39" s="80">
        <f>SUMIFS('октябрь 2024'!$G$5:$G$2162,'октябрь 2024'!$D$5:$D$2162,$B39,'октябрь 2024'!$J$5:$J$2162,AF$1)</f>
        <v>0</v>
      </c>
      <c r="AG39" s="80">
        <f>SUMIFS('октябрь 2024'!$G$5:$G$2162,'октябрь 2024'!$D$5:$D$2162,$B39,'октябрь 2024'!$J$5:$J$2162,AG$1)</f>
        <v>0</v>
      </c>
      <c r="AH39" s="80">
        <f>SUMIFS('октябрь 2024'!$G$5:$G$2162,'октябрь 2024'!$D$5:$D$2162,$B39,'октябрь 2024'!$J$5:$J$2162,AH$1)</f>
        <v>0</v>
      </c>
      <c r="AI39" s="21">
        <f t="shared" si="1"/>
        <v>0</v>
      </c>
    </row>
    <row r="40" spans="2:35" ht="15" customHeight="1" x14ac:dyDescent="0.25">
      <c r="B40" s="150" t="s">
        <v>290</v>
      </c>
      <c r="C40" s="149">
        <v>22.68</v>
      </c>
      <c r="D40" s="80">
        <f>SUMIFS('октябрь 2024'!$G$5:$G$2162,'октябрь 2024'!$D$5:$D$2162,$B40,'октябрь 2024'!$J$5:$J$2162,D$1)</f>
        <v>0</v>
      </c>
      <c r="E40" s="80">
        <f>SUMIFS('октябрь 2024'!$G$5:$G$2162,'октябрь 2024'!$D$5:$D$2162,$B40,'октябрь 2024'!$J$5:$J$2162,E$1)</f>
        <v>0</v>
      </c>
      <c r="F40" s="80">
        <f>SUMIFS('октябрь 2024'!$G$5:$G$2162,'октябрь 2024'!$D$5:$D$2162,$B40,'октябрь 2024'!$J$5:$J$2162,F$1)</f>
        <v>0</v>
      </c>
      <c r="G40" s="80">
        <f>SUMIFS('октябрь 2024'!$G$5:$G$2162,'октябрь 2024'!$D$5:$D$2162,$B40,'октябрь 2024'!$J$5:$J$2162,G$1)</f>
        <v>0</v>
      </c>
      <c r="H40" s="80">
        <f>SUMIFS('октябрь 2024'!$G$5:$G$2162,'октябрь 2024'!$D$5:$D$2162,$B40,'октябрь 2024'!$J$5:$J$2162,H$1)</f>
        <v>0</v>
      </c>
      <c r="I40" s="80">
        <f>SUMIFS('октябрь 2024'!$G$5:$G$2162,'октябрь 2024'!$D$5:$D$2162,$B40,'октябрь 2024'!$J$5:$J$2162,I$1)</f>
        <v>0</v>
      </c>
      <c r="J40" s="80">
        <f>SUMIFS('октябрь 2024'!$G$5:$G$2162,'октябрь 2024'!$D$5:$D$2162,$B40,'октябрь 2024'!$J$5:$J$2162,J$1)</f>
        <v>0</v>
      </c>
      <c r="K40" s="80">
        <f>SUMIFS('октябрь 2024'!$G$5:$G$2162,'октябрь 2024'!$D$5:$D$2162,$B40,'октябрь 2024'!$J$5:$J$2162,K$1)</f>
        <v>0</v>
      </c>
      <c r="L40" s="80">
        <f>SUMIFS('октябрь 2024'!$G$5:$G$2162,'октябрь 2024'!$D$5:$D$2162,$B40,'октябрь 2024'!$J$5:$J$2162,L$1)</f>
        <v>0</v>
      </c>
      <c r="M40" s="80">
        <f>SUMIFS('октябрь 2024'!$G$5:$G$2162,'октябрь 2024'!$D$5:$D$2162,$B40,'октябрь 2024'!$J$5:$J$2162,M$1)</f>
        <v>0</v>
      </c>
      <c r="N40" s="80">
        <f>SUMIFS('октябрь 2024'!$G$5:$G$2162,'октябрь 2024'!$D$5:$D$2162,$B40,'октябрь 2024'!$J$5:$J$2162,N$1)</f>
        <v>0</v>
      </c>
      <c r="O40" s="80">
        <f>SUMIFS('октябрь 2024'!$G$5:$G$2162,'октябрь 2024'!$D$5:$D$2162,$B40,'октябрь 2024'!$J$5:$J$2162,O$1)</f>
        <v>0</v>
      </c>
      <c r="P40" s="80">
        <f>SUMIFS('октябрь 2024'!$G$5:$G$2162,'октябрь 2024'!$D$5:$D$2162,$B40,'октябрь 2024'!$J$5:$J$2162,P$1)</f>
        <v>0</v>
      </c>
      <c r="Q40" s="80">
        <f>SUMIFS('октябрь 2024'!$G$5:$G$2162,'октябрь 2024'!$D$5:$D$2162,$B40,'октябрь 2024'!$J$5:$J$2162,Q$1)</f>
        <v>0</v>
      </c>
      <c r="R40" s="80">
        <f>SUMIFS('октябрь 2024'!$G$5:$G$2162,'октябрь 2024'!$D$5:$D$2162,$B40,'октябрь 2024'!$J$5:$J$2162,R$1)</f>
        <v>0</v>
      </c>
      <c r="S40" s="80">
        <f>SUMIFS('октябрь 2024'!$G$5:$G$2162,'октябрь 2024'!$D$5:$D$2162,$B40,'октябрь 2024'!$J$5:$J$2162,S$1)</f>
        <v>0</v>
      </c>
      <c r="T40" s="80">
        <f>SUMIFS('октябрь 2024'!$G$5:$G$2162,'октябрь 2024'!$D$5:$D$2162,$B40,'октябрь 2024'!$J$5:$J$2162,T$1)</f>
        <v>0</v>
      </c>
      <c r="U40" s="80">
        <f>SUMIFS('октябрь 2024'!$G$5:$G$2162,'октябрь 2024'!$D$5:$D$2162,$B40,'октябрь 2024'!$J$5:$J$2162,U$1)</f>
        <v>0</v>
      </c>
      <c r="V40" s="80">
        <f>SUMIFS('октябрь 2024'!$G$5:$G$2162,'октябрь 2024'!$D$5:$D$2162,$B40,'октябрь 2024'!$J$5:$J$2162,V$1)</f>
        <v>0</v>
      </c>
      <c r="W40" s="80">
        <f>SUMIFS('октябрь 2024'!$G$5:$G$2162,'октябрь 2024'!$D$5:$D$2162,$B40,'октябрь 2024'!$J$5:$J$2162,W$1)</f>
        <v>0</v>
      </c>
      <c r="X40" s="80">
        <f>SUMIFS('октябрь 2024'!$G$5:$G$2162,'октябрь 2024'!$D$5:$D$2162,$B40,'октябрь 2024'!$J$5:$J$2162,X$1)</f>
        <v>0</v>
      </c>
      <c r="Y40" s="80">
        <f>SUMIFS('октябрь 2024'!$G$5:$G$2162,'октябрь 2024'!$D$5:$D$2162,$B40,'октябрь 2024'!$J$5:$J$2162,Y$1)</f>
        <v>0</v>
      </c>
      <c r="Z40" s="80">
        <f>SUMIFS('октябрь 2024'!$G$5:$G$2162,'октябрь 2024'!$D$5:$D$2162,$B40,'октябрь 2024'!$J$5:$J$2162,Z$1)</f>
        <v>0</v>
      </c>
      <c r="AA40" s="80">
        <f>SUMIFS('октябрь 2024'!$G$5:$G$2162,'октябрь 2024'!$D$5:$D$2162,$B40,'октябрь 2024'!$J$5:$J$2162,AA$1)</f>
        <v>0</v>
      </c>
      <c r="AB40" s="80">
        <f>SUMIFS('октябрь 2024'!$G$5:$G$2162,'октябрь 2024'!$D$5:$D$2162,$B40,'октябрь 2024'!$J$5:$J$2162,AB$1)</f>
        <v>0</v>
      </c>
      <c r="AC40" s="80">
        <f>SUMIFS('октябрь 2024'!$G$5:$G$2162,'октябрь 2024'!$D$5:$D$2162,$B40,'октябрь 2024'!$J$5:$J$2162,AC$1)</f>
        <v>0</v>
      </c>
      <c r="AD40" s="80">
        <f>SUMIFS('октябрь 2024'!$G$5:$G$2162,'октябрь 2024'!$D$5:$D$2162,$B40,'октябрь 2024'!$J$5:$J$2162,AD$1)</f>
        <v>0</v>
      </c>
      <c r="AE40" s="80">
        <f>SUMIFS('октябрь 2024'!$G$5:$G$2162,'октябрь 2024'!$D$5:$D$2162,$B40,'октябрь 2024'!$J$5:$J$2162,AE$1)</f>
        <v>0</v>
      </c>
      <c r="AF40" s="80">
        <f>SUMIFS('октябрь 2024'!$G$5:$G$2162,'октябрь 2024'!$D$5:$D$2162,$B40,'октябрь 2024'!$J$5:$J$2162,AF$1)</f>
        <v>0</v>
      </c>
      <c r="AG40" s="80">
        <f>SUMIFS('октябрь 2024'!$G$5:$G$2162,'октябрь 2024'!$D$5:$D$2162,$B40,'октябрь 2024'!$J$5:$J$2162,AG$1)</f>
        <v>0</v>
      </c>
      <c r="AH40" s="80">
        <f>SUMIFS('октябрь 2024'!$G$5:$G$2162,'октябрь 2024'!$D$5:$D$2162,$B40,'октябрь 2024'!$J$5:$J$2162,AH$1)</f>
        <v>0</v>
      </c>
      <c r="AI40" s="21">
        <f t="shared" si="1"/>
        <v>0</v>
      </c>
    </row>
    <row r="41" spans="2:35" ht="15" customHeight="1" x14ac:dyDescent="0.25">
      <c r="B41" s="154" t="s">
        <v>292</v>
      </c>
      <c r="C41" s="151">
        <v>25</v>
      </c>
      <c r="D41" s="80">
        <f>SUMIFS('октябрь 2024'!$G$5:$G$2162,'октябрь 2024'!$D$5:$D$2162,$B41,'октябрь 2024'!$J$5:$J$2162,D$1)</f>
        <v>0</v>
      </c>
      <c r="E41" s="80">
        <f>SUMIFS('октябрь 2024'!$G$5:$G$2162,'октябрь 2024'!$D$5:$D$2162,$B41,'октябрь 2024'!$J$5:$J$2162,E$1)</f>
        <v>0</v>
      </c>
      <c r="F41" s="80">
        <f>SUMIFS('октябрь 2024'!$G$5:$G$2162,'октябрь 2024'!$D$5:$D$2162,$B41,'октябрь 2024'!$J$5:$J$2162,F$1)</f>
        <v>0</v>
      </c>
      <c r="G41" s="80">
        <f>SUMIFS('октябрь 2024'!$G$5:$G$2162,'октябрь 2024'!$D$5:$D$2162,$B41,'октябрь 2024'!$J$5:$J$2162,G$1)</f>
        <v>0</v>
      </c>
      <c r="H41" s="80">
        <f>SUMIFS('октябрь 2024'!$G$5:$G$2162,'октябрь 2024'!$D$5:$D$2162,$B41,'октябрь 2024'!$J$5:$J$2162,H$1)</f>
        <v>0</v>
      </c>
      <c r="I41" s="80">
        <f>SUMIFS('октябрь 2024'!$G$5:$G$2162,'октябрь 2024'!$D$5:$D$2162,$B41,'октябрь 2024'!$J$5:$J$2162,I$1)</f>
        <v>0</v>
      </c>
      <c r="J41" s="80">
        <f>SUMIFS('октябрь 2024'!$G$5:$G$2162,'октябрь 2024'!$D$5:$D$2162,$B41,'октябрь 2024'!$J$5:$J$2162,J$1)</f>
        <v>0</v>
      </c>
      <c r="K41" s="80">
        <f>SUMIFS('октябрь 2024'!$G$5:$G$2162,'октябрь 2024'!$D$5:$D$2162,$B41,'октябрь 2024'!$J$5:$J$2162,K$1)</f>
        <v>0</v>
      </c>
      <c r="L41" s="80">
        <f>SUMIFS('октябрь 2024'!$G$5:$G$2162,'октябрь 2024'!$D$5:$D$2162,$B41,'октябрь 2024'!$J$5:$J$2162,L$1)</f>
        <v>0</v>
      </c>
      <c r="M41" s="80">
        <f>SUMIFS('октябрь 2024'!$G$5:$G$2162,'октябрь 2024'!$D$5:$D$2162,$B41,'октябрь 2024'!$J$5:$J$2162,M$1)</f>
        <v>0</v>
      </c>
      <c r="N41" s="80">
        <f>SUMIFS('октябрь 2024'!$G$5:$G$2162,'октябрь 2024'!$D$5:$D$2162,$B41,'октябрь 2024'!$J$5:$J$2162,N$1)</f>
        <v>0</v>
      </c>
      <c r="O41" s="80">
        <f>SUMIFS('октябрь 2024'!$G$5:$G$2162,'октябрь 2024'!$D$5:$D$2162,$B41,'октябрь 2024'!$J$5:$J$2162,O$1)</f>
        <v>0</v>
      </c>
      <c r="P41" s="80">
        <f>SUMIFS('октябрь 2024'!$G$5:$G$2162,'октябрь 2024'!$D$5:$D$2162,$B41,'октябрь 2024'!$J$5:$J$2162,P$1)</f>
        <v>0</v>
      </c>
      <c r="Q41" s="80">
        <f>SUMIFS('октябрь 2024'!$G$5:$G$2162,'октябрь 2024'!$D$5:$D$2162,$B41,'октябрь 2024'!$J$5:$J$2162,Q$1)</f>
        <v>0</v>
      </c>
      <c r="R41" s="80">
        <f>SUMIFS('октябрь 2024'!$G$5:$G$2162,'октябрь 2024'!$D$5:$D$2162,$B41,'октябрь 2024'!$J$5:$J$2162,R$1)</f>
        <v>0</v>
      </c>
      <c r="S41" s="80">
        <f>SUMIFS('октябрь 2024'!$G$5:$G$2162,'октябрь 2024'!$D$5:$D$2162,$B41,'октябрь 2024'!$J$5:$J$2162,S$1)</f>
        <v>0</v>
      </c>
      <c r="T41" s="80">
        <f>SUMIFS('октябрь 2024'!$G$5:$G$2162,'октябрь 2024'!$D$5:$D$2162,$B41,'октябрь 2024'!$J$5:$J$2162,T$1)</f>
        <v>0</v>
      </c>
      <c r="U41" s="80">
        <f>SUMIFS('октябрь 2024'!$G$5:$G$2162,'октябрь 2024'!$D$5:$D$2162,$B41,'октябрь 2024'!$J$5:$J$2162,U$1)</f>
        <v>0</v>
      </c>
      <c r="V41" s="80">
        <f>SUMIFS('октябрь 2024'!$G$5:$G$2162,'октябрь 2024'!$D$5:$D$2162,$B41,'октябрь 2024'!$J$5:$J$2162,V$1)</f>
        <v>0</v>
      </c>
      <c r="W41" s="80">
        <f>SUMIFS('октябрь 2024'!$G$5:$G$2162,'октябрь 2024'!$D$5:$D$2162,$B41,'октябрь 2024'!$J$5:$J$2162,W$1)</f>
        <v>0</v>
      </c>
      <c r="X41" s="80">
        <f>SUMIFS('октябрь 2024'!$G$5:$G$2162,'октябрь 2024'!$D$5:$D$2162,$B41,'октябрь 2024'!$J$5:$J$2162,X$1)</f>
        <v>0</v>
      </c>
      <c r="Y41" s="80">
        <f>SUMIFS('октябрь 2024'!$G$5:$G$2162,'октябрь 2024'!$D$5:$D$2162,$B41,'октябрь 2024'!$J$5:$J$2162,Y$1)</f>
        <v>0</v>
      </c>
      <c r="Z41" s="80">
        <f>SUMIFS('октябрь 2024'!$G$5:$G$2162,'октябрь 2024'!$D$5:$D$2162,$B41,'октябрь 2024'!$J$5:$J$2162,Z$1)</f>
        <v>0</v>
      </c>
      <c r="AA41" s="80">
        <f>SUMIFS('октябрь 2024'!$G$5:$G$2162,'октябрь 2024'!$D$5:$D$2162,$B41,'октябрь 2024'!$J$5:$J$2162,AA$1)</f>
        <v>0</v>
      </c>
      <c r="AB41" s="80">
        <f>SUMIFS('октябрь 2024'!$G$5:$G$2162,'октябрь 2024'!$D$5:$D$2162,$B41,'октябрь 2024'!$J$5:$J$2162,AB$1)</f>
        <v>0</v>
      </c>
      <c r="AC41" s="80">
        <f>SUMIFS('октябрь 2024'!$G$5:$G$2162,'октябрь 2024'!$D$5:$D$2162,$B41,'октябрь 2024'!$J$5:$J$2162,AC$1)</f>
        <v>0</v>
      </c>
      <c r="AD41" s="80">
        <f>SUMIFS('октябрь 2024'!$G$5:$G$2162,'октябрь 2024'!$D$5:$D$2162,$B41,'октябрь 2024'!$J$5:$J$2162,AD$1)</f>
        <v>0</v>
      </c>
      <c r="AE41" s="80">
        <f>SUMIFS('октябрь 2024'!$G$5:$G$2162,'октябрь 2024'!$D$5:$D$2162,$B41,'октябрь 2024'!$J$5:$J$2162,AE$1)</f>
        <v>0</v>
      </c>
      <c r="AF41" s="80">
        <f>SUMIFS('октябрь 2024'!$G$5:$G$2162,'октябрь 2024'!$D$5:$D$2162,$B41,'октябрь 2024'!$J$5:$J$2162,AF$1)</f>
        <v>0</v>
      </c>
      <c r="AG41" s="80">
        <f>SUMIFS('октябрь 2024'!$G$5:$G$2162,'октябрь 2024'!$D$5:$D$2162,$B41,'октябрь 2024'!$J$5:$J$2162,AG$1)</f>
        <v>0</v>
      </c>
      <c r="AH41" s="80">
        <f>SUMIFS('октябрь 2024'!$G$5:$G$2162,'октябрь 2024'!$D$5:$D$2162,$B41,'октябрь 2024'!$J$5:$J$2162,AH$1)</f>
        <v>0</v>
      </c>
      <c r="AI41" s="21">
        <f t="shared" si="1"/>
        <v>0</v>
      </c>
    </row>
    <row r="42" spans="2:35" ht="15" customHeight="1" x14ac:dyDescent="0.25">
      <c r="B42" s="150" t="s">
        <v>294</v>
      </c>
      <c r="C42" s="153">
        <v>25</v>
      </c>
      <c r="D42" s="80">
        <f>SUMIFS('октябрь 2024'!$G$5:$G$2162,'октябрь 2024'!$D$5:$D$2162,$B42,'октябрь 2024'!$J$5:$J$2162,D$1)</f>
        <v>0</v>
      </c>
      <c r="E42" s="80">
        <f>SUMIFS('октябрь 2024'!$G$5:$G$2162,'октябрь 2024'!$D$5:$D$2162,$B42,'октябрь 2024'!$J$5:$J$2162,E$1)</f>
        <v>0</v>
      </c>
      <c r="F42" s="80">
        <f>SUMIFS('октябрь 2024'!$G$5:$G$2162,'октябрь 2024'!$D$5:$D$2162,$B42,'октябрь 2024'!$J$5:$J$2162,F$1)</f>
        <v>0</v>
      </c>
      <c r="G42" s="80">
        <f>SUMIFS('октябрь 2024'!$G$5:$G$2162,'октябрь 2024'!$D$5:$D$2162,$B42,'октябрь 2024'!$J$5:$J$2162,G$1)</f>
        <v>0</v>
      </c>
      <c r="H42" s="80">
        <f>SUMIFS('октябрь 2024'!$G$5:$G$2162,'октябрь 2024'!$D$5:$D$2162,$B42,'октябрь 2024'!$J$5:$J$2162,H$1)</f>
        <v>0</v>
      </c>
      <c r="I42" s="80">
        <f>SUMIFS('октябрь 2024'!$G$5:$G$2162,'октябрь 2024'!$D$5:$D$2162,$B42,'октябрь 2024'!$J$5:$J$2162,I$1)</f>
        <v>0</v>
      </c>
      <c r="J42" s="80">
        <f>SUMIFS('октябрь 2024'!$G$5:$G$2162,'октябрь 2024'!$D$5:$D$2162,$B42,'октябрь 2024'!$J$5:$J$2162,J$1)</f>
        <v>0</v>
      </c>
      <c r="K42" s="80">
        <f>SUMIFS('октябрь 2024'!$G$5:$G$2162,'октябрь 2024'!$D$5:$D$2162,$B42,'октябрь 2024'!$J$5:$J$2162,K$1)</f>
        <v>0</v>
      </c>
      <c r="L42" s="80">
        <f>SUMIFS('октябрь 2024'!$G$5:$G$2162,'октябрь 2024'!$D$5:$D$2162,$B42,'октябрь 2024'!$J$5:$J$2162,L$1)</f>
        <v>0</v>
      </c>
      <c r="M42" s="80">
        <f>SUMIFS('октябрь 2024'!$G$5:$G$2162,'октябрь 2024'!$D$5:$D$2162,$B42,'октябрь 2024'!$J$5:$J$2162,M$1)</f>
        <v>0</v>
      </c>
      <c r="N42" s="80">
        <f>SUMIFS('октябрь 2024'!$G$5:$G$2162,'октябрь 2024'!$D$5:$D$2162,$B42,'октябрь 2024'!$J$5:$J$2162,N$1)</f>
        <v>0</v>
      </c>
      <c r="O42" s="80">
        <f>SUMIFS('октябрь 2024'!$G$5:$G$2162,'октябрь 2024'!$D$5:$D$2162,$B42,'октябрь 2024'!$J$5:$J$2162,O$1)</f>
        <v>0</v>
      </c>
      <c r="P42" s="80">
        <f>SUMIFS('октябрь 2024'!$G$5:$G$2162,'октябрь 2024'!$D$5:$D$2162,$B42,'октябрь 2024'!$J$5:$J$2162,P$1)</f>
        <v>0</v>
      </c>
      <c r="Q42" s="80">
        <f>SUMIFS('октябрь 2024'!$G$5:$G$2162,'октябрь 2024'!$D$5:$D$2162,$B42,'октябрь 2024'!$J$5:$J$2162,Q$1)</f>
        <v>0</v>
      </c>
      <c r="R42" s="80">
        <f>SUMIFS('октябрь 2024'!$G$5:$G$2162,'октябрь 2024'!$D$5:$D$2162,$B42,'октябрь 2024'!$J$5:$J$2162,R$1)</f>
        <v>0</v>
      </c>
      <c r="S42" s="80">
        <f>SUMIFS('октябрь 2024'!$G$5:$G$2162,'октябрь 2024'!$D$5:$D$2162,$B42,'октябрь 2024'!$J$5:$J$2162,S$1)</f>
        <v>0</v>
      </c>
      <c r="T42" s="80">
        <f>SUMIFS('октябрь 2024'!$G$5:$G$2162,'октябрь 2024'!$D$5:$D$2162,$B42,'октябрь 2024'!$J$5:$J$2162,T$1)</f>
        <v>0</v>
      </c>
      <c r="U42" s="80">
        <f>SUMIFS('октябрь 2024'!$G$5:$G$2162,'октябрь 2024'!$D$5:$D$2162,$B42,'октябрь 2024'!$J$5:$J$2162,U$1)</f>
        <v>0</v>
      </c>
      <c r="V42" s="80">
        <f>SUMIFS('октябрь 2024'!$G$5:$G$2162,'октябрь 2024'!$D$5:$D$2162,$B42,'октябрь 2024'!$J$5:$J$2162,V$1)</f>
        <v>0</v>
      </c>
      <c r="W42" s="80">
        <f>SUMIFS('октябрь 2024'!$G$5:$G$2162,'октябрь 2024'!$D$5:$D$2162,$B42,'октябрь 2024'!$J$5:$J$2162,W$1)</f>
        <v>0</v>
      </c>
      <c r="X42" s="80">
        <f>SUMIFS('октябрь 2024'!$G$5:$G$2162,'октябрь 2024'!$D$5:$D$2162,$B42,'октябрь 2024'!$J$5:$J$2162,X$1)</f>
        <v>0</v>
      </c>
      <c r="Y42" s="80">
        <f>SUMIFS('октябрь 2024'!$G$5:$G$2162,'октябрь 2024'!$D$5:$D$2162,$B42,'октябрь 2024'!$J$5:$J$2162,Y$1)</f>
        <v>0</v>
      </c>
      <c r="Z42" s="80">
        <f>SUMIFS('октябрь 2024'!$G$5:$G$2162,'октябрь 2024'!$D$5:$D$2162,$B42,'октябрь 2024'!$J$5:$J$2162,Z$1)</f>
        <v>0</v>
      </c>
      <c r="AA42" s="80">
        <f>SUMIFS('октябрь 2024'!$G$5:$G$2162,'октябрь 2024'!$D$5:$D$2162,$B42,'октябрь 2024'!$J$5:$J$2162,AA$1)</f>
        <v>0</v>
      </c>
      <c r="AB42" s="80">
        <f>SUMIFS('октябрь 2024'!$G$5:$G$2162,'октябрь 2024'!$D$5:$D$2162,$B42,'октябрь 2024'!$J$5:$J$2162,AB$1)</f>
        <v>0</v>
      </c>
      <c r="AC42" s="80">
        <f>SUMIFS('октябрь 2024'!$G$5:$G$2162,'октябрь 2024'!$D$5:$D$2162,$B42,'октябрь 2024'!$J$5:$J$2162,AC$1)</f>
        <v>0</v>
      </c>
      <c r="AD42" s="80">
        <f>SUMIFS('октябрь 2024'!$G$5:$G$2162,'октябрь 2024'!$D$5:$D$2162,$B42,'октябрь 2024'!$J$5:$J$2162,AD$1)</f>
        <v>0</v>
      </c>
      <c r="AE42" s="80">
        <f>SUMIFS('октябрь 2024'!$G$5:$G$2162,'октябрь 2024'!$D$5:$D$2162,$B42,'октябрь 2024'!$J$5:$J$2162,AE$1)</f>
        <v>0</v>
      </c>
      <c r="AF42" s="80">
        <f>SUMIFS('октябрь 2024'!$G$5:$G$2162,'октябрь 2024'!$D$5:$D$2162,$B42,'октябрь 2024'!$J$5:$J$2162,AF$1)</f>
        <v>0</v>
      </c>
      <c r="AG42" s="80">
        <f>SUMIFS('октябрь 2024'!$G$5:$G$2162,'октябрь 2024'!$D$5:$D$2162,$B42,'октябрь 2024'!$J$5:$J$2162,AG$1)</f>
        <v>0</v>
      </c>
      <c r="AH42" s="80">
        <f>SUMIFS('октябрь 2024'!$G$5:$G$2162,'октябрь 2024'!$D$5:$D$2162,$B42,'октябрь 2024'!$J$5:$J$2162,AH$1)</f>
        <v>0</v>
      </c>
      <c r="AI42" s="21">
        <f t="shared" si="1"/>
        <v>0</v>
      </c>
    </row>
    <row r="43" spans="2:35" ht="15" customHeight="1" x14ac:dyDescent="0.25">
      <c r="B43" s="154" t="s">
        <v>468</v>
      </c>
      <c r="C43" s="170">
        <v>25</v>
      </c>
      <c r="D43" s="80">
        <f>SUMIFS('октябрь 2024'!$G$5:$G$2162,'октябрь 2024'!$D$5:$D$2162,$B43,'октябрь 2024'!$J$5:$J$2162,D$1)</f>
        <v>0</v>
      </c>
      <c r="E43" s="80">
        <f>SUMIFS('октябрь 2024'!$G$5:$G$2162,'октябрь 2024'!$D$5:$D$2162,$B43,'октябрь 2024'!$J$5:$J$2162,E$1)</f>
        <v>0</v>
      </c>
      <c r="F43" s="80">
        <f>SUMIFS('октябрь 2024'!$G$5:$G$2162,'октябрь 2024'!$D$5:$D$2162,$B43,'октябрь 2024'!$J$5:$J$2162,F$1)</f>
        <v>0</v>
      </c>
      <c r="G43" s="80">
        <f>SUMIFS('октябрь 2024'!$G$5:$G$2162,'октябрь 2024'!$D$5:$D$2162,$B43,'октябрь 2024'!$J$5:$J$2162,G$1)</f>
        <v>0</v>
      </c>
      <c r="H43" s="80">
        <f>SUMIFS('октябрь 2024'!$G$5:$G$2162,'октябрь 2024'!$D$5:$D$2162,$B43,'октябрь 2024'!$J$5:$J$2162,H$1)</f>
        <v>0</v>
      </c>
      <c r="I43" s="80">
        <f>SUMIFS('октябрь 2024'!$G$5:$G$2162,'октябрь 2024'!$D$5:$D$2162,$B43,'октябрь 2024'!$J$5:$J$2162,I$1)</f>
        <v>0</v>
      </c>
      <c r="J43" s="80">
        <f>SUMIFS('октябрь 2024'!$G$5:$G$2162,'октябрь 2024'!$D$5:$D$2162,$B43,'октябрь 2024'!$J$5:$J$2162,J$1)</f>
        <v>0</v>
      </c>
      <c r="K43" s="80">
        <f>SUMIFS('октябрь 2024'!$G$5:$G$2162,'октябрь 2024'!$D$5:$D$2162,$B43,'октябрь 2024'!$J$5:$J$2162,K$1)</f>
        <v>0</v>
      </c>
      <c r="L43" s="80">
        <f>SUMIFS('октябрь 2024'!$G$5:$G$2162,'октябрь 2024'!$D$5:$D$2162,$B43,'октябрь 2024'!$J$5:$J$2162,L$1)</f>
        <v>0</v>
      </c>
      <c r="M43" s="80">
        <f>SUMIFS('октябрь 2024'!$G$5:$G$2162,'октябрь 2024'!$D$5:$D$2162,$B43,'октябрь 2024'!$J$5:$J$2162,M$1)</f>
        <v>0</v>
      </c>
      <c r="N43" s="80">
        <f>SUMIFS('октябрь 2024'!$G$5:$G$2162,'октябрь 2024'!$D$5:$D$2162,$B43,'октябрь 2024'!$J$5:$J$2162,N$1)</f>
        <v>0</v>
      </c>
      <c r="O43" s="80">
        <f>SUMIFS('октябрь 2024'!$G$5:$G$2162,'октябрь 2024'!$D$5:$D$2162,$B43,'октябрь 2024'!$J$5:$J$2162,O$1)</f>
        <v>0</v>
      </c>
      <c r="P43" s="80">
        <f>SUMIFS('октябрь 2024'!$G$5:$G$2162,'октябрь 2024'!$D$5:$D$2162,$B43,'октябрь 2024'!$J$5:$J$2162,P$1)</f>
        <v>0</v>
      </c>
      <c r="Q43" s="80">
        <f>SUMIFS('октябрь 2024'!$G$5:$G$2162,'октябрь 2024'!$D$5:$D$2162,$B43,'октябрь 2024'!$J$5:$J$2162,Q$1)</f>
        <v>0</v>
      </c>
      <c r="R43" s="80">
        <f>SUMIFS('октябрь 2024'!$G$5:$G$2162,'октябрь 2024'!$D$5:$D$2162,$B43,'октябрь 2024'!$J$5:$J$2162,R$1)</f>
        <v>0</v>
      </c>
      <c r="S43" s="80">
        <f>SUMIFS('октябрь 2024'!$G$5:$G$2162,'октябрь 2024'!$D$5:$D$2162,$B43,'октябрь 2024'!$J$5:$J$2162,S$1)</f>
        <v>0</v>
      </c>
      <c r="T43" s="80">
        <f>SUMIFS('октябрь 2024'!$G$5:$G$2162,'октябрь 2024'!$D$5:$D$2162,$B43,'октябрь 2024'!$J$5:$J$2162,T$1)</f>
        <v>0</v>
      </c>
      <c r="U43" s="80">
        <f>SUMIFS('октябрь 2024'!$G$5:$G$2162,'октябрь 2024'!$D$5:$D$2162,$B43,'октябрь 2024'!$J$5:$J$2162,U$1)</f>
        <v>0</v>
      </c>
      <c r="V43" s="80">
        <f>SUMIFS('октябрь 2024'!$G$5:$G$2162,'октябрь 2024'!$D$5:$D$2162,$B43,'октябрь 2024'!$J$5:$J$2162,V$1)</f>
        <v>0</v>
      </c>
      <c r="W43" s="80">
        <f>SUMIFS('октябрь 2024'!$G$5:$G$2162,'октябрь 2024'!$D$5:$D$2162,$B43,'октябрь 2024'!$J$5:$J$2162,W$1)</f>
        <v>0</v>
      </c>
      <c r="X43" s="80">
        <f>SUMIFS('октябрь 2024'!$G$5:$G$2162,'октябрь 2024'!$D$5:$D$2162,$B43,'октябрь 2024'!$J$5:$J$2162,X$1)</f>
        <v>0</v>
      </c>
      <c r="Y43" s="80">
        <f>SUMIFS('октябрь 2024'!$G$5:$G$2162,'октябрь 2024'!$D$5:$D$2162,$B43,'октябрь 2024'!$J$5:$J$2162,Y$1)</f>
        <v>0</v>
      </c>
      <c r="Z43" s="80">
        <f>SUMIFS('октябрь 2024'!$G$5:$G$2162,'октябрь 2024'!$D$5:$D$2162,$B43,'октябрь 2024'!$J$5:$J$2162,Z$1)</f>
        <v>0</v>
      </c>
      <c r="AA43" s="80">
        <f>SUMIFS('октябрь 2024'!$G$5:$G$2162,'октябрь 2024'!$D$5:$D$2162,$B43,'октябрь 2024'!$J$5:$J$2162,AA$1)</f>
        <v>0</v>
      </c>
      <c r="AB43" s="80">
        <f>SUMIFS('октябрь 2024'!$G$5:$G$2162,'октябрь 2024'!$D$5:$D$2162,$B43,'октябрь 2024'!$J$5:$J$2162,AB$1)</f>
        <v>0</v>
      </c>
      <c r="AC43" s="80">
        <f>SUMIFS('октябрь 2024'!$G$5:$G$2162,'октябрь 2024'!$D$5:$D$2162,$B43,'октябрь 2024'!$J$5:$J$2162,AC$1)</f>
        <v>0</v>
      </c>
      <c r="AD43" s="80">
        <f>SUMIFS('октябрь 2024'!$G$5:$G$2162,'октябрь 2024'!$D$5:$D$2162,$B43,'октябрь 2024'!$J$5:$J$2162,AD$1)</f>
        <v>0</v>
      </c>
      <c r="AE43" s="80">
        <f>SUMIFS('октябрь 2024'!$G$5:$G$2162,'октябрь 2024'!$D$5:$D$2162,$B43,'октябрь 2024'!$J$5:$J$2162,AE$1)</f>
        <v>0</v>
      </c>
      <c r="AF43" s="80">
        <f>SUMIFS('октябрь 2024'!$G$5:$G$2162,'октябрь 2024'!$D$5:$D$2162,$B43,'октябрь 2024'!$J$5:$J$2162,AF$1)</f>
        <v>0</v>
      </c>
      <c r="AG43" s="80">
        <f>SUMIFS('октябрь 2024'!$G$5:$G$2162,'октябрь 2024'!$D$5:$D$2162,$B43,'октябрь 2024'!$J$5:$J$2162,AG$1)</f>
        <v>0</v>
      </c>
      <c r="AH43" s="80">
        <f>SUMIFS('октябрь 2024'!$G$5:$G$2162,'октябрь 2024'!$D$5:$D$2162,$B43,'октябрь 2024'!$J$5:$J$2162,AH$1)</f>
        <v>0</v>
      </c>
      <c r="AI43" s="21">
        <f t="shared" si="1"/>
        <v>0</v>
      </c>
    </row>
    <row r="44" spans="2:35" ht="15" customHeight="1" x14ac:dyDescent="0.25">
      <c r="B44" s="154" t="s">
        <v>296</v>
      </c>
      <c r="C44" s="151">
        <v>25</v>
      </c>
      <c r="D44" s="80">
        <f>SUMIFS('октябрь 2024'!$G$5:$G$2162,'октябрь 2024'!$D$5:$D$2162,$B44,'октябрь 2024'!$J$5:$J$2162,D$1)</f>
        <v>0</v>
      </c>
      <c r="E44" s="80">
        <f>SUMIFS('октябрь 2024'!$G$5:$G$2162,'октябрь 2024'!$D$5:$D$2162,$B44,'октябрь 2024'!$J$5:$J$2162,E$1)</f>
        <v>0</v>
      </c>
      <c r="F44" s="80">
        <f>SUMIFS('октябрь 2024'!$G$5:$G$2162,'октябрь 2024'!$D$5:$D$2162,$B44,'октябрь 2024'!$J$5:$J$2162,F$1)</f>
        <v>0</v>
      </c>
      <c r="G44" s="80">
        <f>SUMIFS('октябрь 2024'!$G$5:$G$2162,'октябрь 2024'!$D$5:$D$2162,$B44,'октябрь 2024'!$J$5:$J$2162,G$1)</f>
        <v>0</v>
      </c>
      <c r="H44" s="80">
        <f>SUMIFS('октябрь 2024'!$G$5:$G$2162,'октябрь 2024'!$D$5:$D$2162,$B44,'октябрь 2024'!$J$5:$J$2162,H$1)</f>
        <v>0</v>
      </c>
      <c r="I44" s="80">
        <f>SUMIFS('октябрь 2024'!$G$5:$G$2162,'октябрь 2024'!$D$5:$D$2162,$B44,'октябрь 2024'!$J$5:$J$2162,I$1)</f>
        <v>0</v>
      </c>
      <c r="J44" s="80">
        <f>SUMIFS('октябрь 2024'!$G$5:$G$2162,'октябрь 2024'!$D$5:$D$2162,$B44,'октябрь 2024'!$J$5:$J$2162,J$1)</f>
        <v>0</v>
      </c>
      <c r="K44" s="80">
        <f>SUMIFS('октябрь 2024'!$G$5:$G$2162,'октябрь 2024'!$D$5:$D$2162,$B44,'октябрь 2024'!$J$5:$J$2162,K$1)</f>
        <v>0</v>
      </c>
      <c r="L44" s="80">
        <f>SUMIFS('октябрь 2024'!$G$5:$G$2162,'октябрь 2024'!$D$5:$D$2162,$B44,'октябрь 2024'!$J$5:$J$2162,L$1)</f>
        <v>0</v>
      </c>
      <c r="M44" s="80">
        <f>SUMIFS('октябрь 2024'!$G$5:$G$2162,'октябрь 2024'!$D$5:$D$2162,$B44,'октябрь 2024'!$J$5:$J$2162,M$1)</f>
        <v>0</v>
      </c>
      <c r="N44" s="80">
        <f>SUMIFS('октябрь 2024'!$G$5:$G$2162,'октябрь 2024'!$D$5:$D$2162,$B44,'октябрь 2024'!$J$5:$J$2162,N$1)</f>
        <v>0</v>
      </c>
      <c r="O44" s="80">
        <f>SUMIFS('октябрь 2024'!$G$5:$G$2162,'октябрь 2024'!$D$5:$D$2162,$B44,'октябрь 2024'!$J$5:$J$2162,O$1)</f>
        <v>0</v>
      </c>
      <c r="P44" s="80">
        <f>SUMIFS('октябрь 2024'!$G$5:$G$2162,'октябрь 2024'!$D$5:$D$2162,$B44,'октябрь 2024'!$J$5:$J$2162,P$1)</f>
        <v>0</v>
      </c>
      <c r="Q44" s="80">
        <f>SUMIFS('октябрь 2024'!$G$5:$G$2162,'октябрь 2024'!$D$5:$D$2162,$B44,'октябрь 2024'!$J$5:$J$2162,Q$1)</f>
        <v>0</v>
      </c>
      <c r="R44" s="80">
        <f>SUMIFS('октябрь 2024'!$G$5:$G$2162,'октябрь 2024'!$D$5:$D$2162,$B44,'октябрь 2024'!$J$5:$J$2162,R$1)</f>
        <v>0</v>
      </c>
      <c r="S44" s="80">
        <f>SUMIFS('октябрь 2024'!$G$5:$G$2162,'октябрь 2024'!$D$5:$D$2162,$B44,'октябрь 2024'!$J$5:$J$2162,S$1)</f>
        <v>0</v>
      </c>
      <c r="T44" s="80">
        <f>SUMIFS('октябрь 2024'!$G$5:$G$2162,'октябрь 2024'!$D$5:$D$2162,$B44,'октябрь 2024'!$J$5:$J$2162,T$1)</f>
        <v>0</v>
      </c>
      <c r="U44" s="80">
        <f>SUMIFS('октябрь 2024'!$G$5:$G$2162,'октябрь 2024'!$D$5:$D$2162,$B44,'октябрь 2024'!$J$5:$J$2162,U$1)</f>
        <v>0</v>
      </c>
      <c r="V44" s="80">
        <f>SUMIFS('октябрь 2024'!$G$5:$G$2162,'октябрь 2024'!$D$5:$D$2162,$B44,'октябрь 2024'!$J$5:$J$2162,V$1)</f>
        <v>0</v>
      </c>
      <c r="W44" s="80">
        <f>SUMIFS('октябрь 2024'!$G$5:$G$2162,'октябрь 2024'!$D$5:$D$2162,$B44,'октябрь 2024'!$J$5:$J$2162,W$1)</f>
        <v>0</v>
      </c>
      <c r="X44" s="80">
        <f>SUMIFS('октябрь 2024'!$G$5:$G$2162,'октябрь 2024'!$D$5:$D$2162,$B44,'октябрь 2024'!$J$5:$J$2162,X$1)</f>
        <v>0</v>
      </c>
      <c r="Y44" s="80">
        <f>SUMIFS('октябрь 2024'!$G$5:$G$2162,'октябрь 2024'!$D$5:$D$2162,$B44,'октябрь 2024'!$J$5:$J$2162,Y$1)</f>
        <v>0</v>
      </c>
      <c r="Z44" s="80">
        <f>SUMIFS('октябрь 2024'!$G$5:$G$2162,'октябрь 2024'!$D$5:$D$2162,$B44,'октябрь 2024'!$J$5:$J$2162,Z$1)</f>
        <v>0</v>
      </c>
      <c r="AA44" s="80">
        <f>SUMIFS('октябрь 2024'!$G$5:$G$2162,'октябрь 2024'!$D$5:$D$2162,$B44,'октябрь 2024'!$J$5:$J$2162,AA$1)</f>
        <v>0</v>
      </c>
      <c r="AB44" s="80">
        <f>SUMIFS('октябрь 2024'!$G$5:$G$2162,'октябрь 2024'!$D$5:$D$2162,$B44,'октябрь 2024'!$J$5:$J$2162,AB$1)</f>
        <v>0</v>
      </c>
      <c r="AC44" s="80">
        <f>SUMIFS('октябрь 2024'!$G$5:$G$2162,'октябрь 2024'!$D$5:$D$2162,$B44,'октябрь 2024'!$J$5:$J$2162,AC$1)</f>
        <v>0</v>
      </c>
      <c r="AD44" s="80">
        <f>SUMIFS('октябрь 2024'!$G$5:$G$2162,'октябрь 2024'!$D$5:$D$2162,$B44,'октябрь 2024'!$J$5:$J$2162,AD$1)</f>
        <v>0</v>
      </c>
      <c r="AE44" s="80">
        <f>SUMIFS('октябрь 2024'!$G$5:$G$2162,'октябрь 2024'!$D$5:$D$2162,$B44,'октябрь 2024'!$J$5:$J$2162,AE$1)</f>
        <v>0</v>
      </c>
      <c r="AF44" s="80">
        <f>SUMIFS('октябрь 2024'!$G$5:$G$2162,'октябрь 2024'!$D$5:$D$2162,$B44,'октябрь 2024'!$J$5:$J$2162,AF$1)</f>
        <v>0</v>
      </c>
      <c r="AG44" s="80">
        <f>SUMIFS('октябрь 2024'!$G$5:$G$2162,'октябрь 2024'!$D$5:$D$2162,$B44,'октябрь 2024'!$J$5:$J$2162,AG$1)</f>
        <v>0</v>
      </c>
      <c r="AH44" s="80">
        <f>SUMIFS('октябрь 2024'!$G$5:$G$2162,'октябрь 2024'!$D$5:$D$2162,$B44,'октябрь 2024'!$J$5:$J$2162,AH$1)</f>
        <v>0</v>
      </c>
      <c r="AI44" s="21">
        <f t="shared" si="1"/>
        <v>0</v>
      </c>
    </row>
    <row r="45" spans="2:35" ht="15" customHeight="1" x14ac:dyDescent="0.25">
      <c r="B45" s="154" t="s">
        <v>298</v>
      </c>
      <c r="C45" s="151">
        <v>18</v>
      </c>
      <c r="D45" s="80">
        <f>SUMIFS('октябрь 2024'!$G$5:$G$2162,'октябрь 2024'!$D$5:$D$2162,$B45,'октябрь 2024'!$J$5:$J$2162,D$1)</f>
        <v>0</v>
      </c>
      <c r="E45" s="80">
        <f>SUMIFS('октябрь 2024'!$G$5:$G$2162,'октябрь 2024'!$D$5:$D$2162,$B45,'октябрь 2024'!$J$5:$J$2162,E$1)</f>
        <v>0</v>
      </c>
      <c r="F45" s="80">
        <f>SUMIFS('октябрь 2024'!$G$5:$G$2162,'октябрь 2024'!$D$5:$D$2162,$B45,'октябрь 2024'!$J$5:$J$2162,F$1)</f>
        <v>0</v>
      </c>
      <c r="G45" s="80">
        <f>SUMIFS('октябрь 2024'!$G$5:$G$2162,'октябрь 2024'!$D$5:$D$2162,$B45,'октябрь 2024'!$J$5:$J$2162,G$1)</f>
        <v>0</v>
      </c>
      <c r="H45" s="80">
        <f>SUMIFS('октябрь 2024'!$G$5:$G$2162,'октябрь 2024'!$D$5:$D$2162,$B45,'октябрь 2024'!$J$5:$J$2162,H$1)</f>
        <v>0</v>
      </c>
      <c r="I45" s="80">
        <f>SUMIFS('октябрь 2024'!$G$5:$G$2162,'октябрь 2024'!$D$5:$D$2162,$B45,'октябрь 2024'!$J$5:$J$2162,I$1)</f>
        <v>0</v>
      </c>
      <c r="J45" s="80">
        <f>SUMIFS('октябрь 2024'!$G$5:$G$2162,'октябрь 2024'!$D$5:$D$2162,$B45,'октябрь 2024'!$J$5:$J$2162,J$1)</f>
        <v>0</v>
      </c>
      <c r="K45" s="80">
        <f>SUMIFS('октябрь 2024'!$G$5:$G$2162,'октябрь 2024'!$D$5:$D$2162,$B45,'октябрь 2024'!$J$5:$J$2162,K$1)</f>
        <v>0</v>
      </c>
      <c r="L45" s="80">
        <f>SUMIFS('октябрь 2024'!$G$5:$G$2162,'октябрь 2024'!$D$5:$D$2162,$B45,'октябрь 2024'!$J$5:$J$2162,L$1)</f>
        <v>120</v>
      </c>
      <c r="M45" s="80">
        <f>SUMIFS('октябрь 2024'!$G$5:$G$2162,'октябрь 2024'!$D$5:$D$2162,$B45,'октябрь 2024'!$J$5:$J$2162,M$1)</f>
        <v>0</v>
      </c>
      <c r="N45" s="80">
        <f>SUMIFS('октябрь 2024'!$G$5:$G$2162,'октябрь 2024'!$D$5:$D$2162,$B45,'октябрь 2024'!$J$5:$J$2162,N$1)</f>
        <v>0</v>
      </c>
      <c r="O45" s="80">
        <f>SUMIFS('октябрь 2024'!$G$5:$G$2162,'октябрь 2024'!$D$5:$D$2162,$B45,'октябрь 2024'!$J$5:$J$2162,O$1)</f>
        <v>0</v>
      </c>
      <c r="P45" s="80">
        <f>SUMIFS('октябрь 2024'!$G$5:$G$2162,'октябрь 2024'!$D$5:$D$2162,$B45,'октябрь 2024'!$J$5:$J$2162,P$1)</f>
        <v>0</v>
      </c>
      <c r="Q45" s="80">
        <f>SUMIFS('октябрь 2024'!$G$5:$G$2162,'октябрь 2024'!$D$5:$D$2162,$B45,'октябрь 2024'!$J$5:$J$2162,Q$1)</f>
        <v>0</v>
      </c>
      <c r="R45" s="80">
        <f>SUMIFS('октябрь 2024'!$G$5:$G$2162,'октябрь 2024'!$D$5:$D$2162,$B45,'октябрь 2024'!$J$5:$J$2162,R$1)</f>
        <v>0</v>
      </c>
      <c r="S45" s="80">
        <f>SUMIFS('октябрь 2024'!$G$5:$G$2162,'октябрь 2024'!$D$5:$D$2162,$B45,'октябрь 2024'!$J$5:$J$2162,S$1)</f>
        <v>0</v>
      </c>
      <c r="T45" s="80">
        <f>SUMIFS('октябрь 2024'!$G$5:$G$2162,'октябрь 2024'!$D$5:$D$2162,$B45,'октябрь 2024'!$J$5:$J$2162,T$1)</f>
        <v>0</v>
      </c>
      <c r="U45" s="80">
        <f>SUMIFS('октябрь 2024'!$G$5:$G$2162,'октябрь 2024'!$D$5:$D$2162,$B45,'октябрь 2024'!$J$5:$J$2162,U$1)</f>
        <v>0</v>
      </c>
      <c r="V45" s="80">
        <f>SUMIFS('октябрь 2024'!$G$5:$G$2162,'октябрь 2024'!$D$5:$D$2162,$B45,'октябрь 2024'!$J$5:$J$2162,V$1)</f>
        <v>0</v>
      </c>
      <c r="W45" s="80">
        <f>SUMIFS('октябрь 2024'!$G$5:$G$2162,'октябрь 2024'!$D$5:$D$2162,$B45,'октябрь 2024'!$J$5:$J$2162,W$1)</f>
        <v>0</v>
      </c>
      <c r="X45" s="80">
        <f>SUMIFS('октябрь 2024'!$G$5:$G$2162,'октябрь 2024'!$D$5:$D$2162,$B45,'октябрь 2024'!$J$5:$J$2162,X$1)</f>
        <v>0</v>
      </c>
      <c r="Y45" s="80">
        <f>SUMIFS('октябрь 2024'!$G$5:$G$2162,'октябрь 2024'!$D$5:$D$2162,$B45,'октябрь 2024'!$J$5:$J$2162,Y$1)</f>
        <v>0</v>
      </c>
      <c r="Z45" s="80">
        <f>SUMIFS('октябрь 2024'!$G$5:$G$2162,'октябрь 2024'!$D$5:$D$2162,$B45,'октябрь 2024'!$J$5:$J$2162,Z$1)</f>
        <v>0</v>
      </c>
      <c r="AA45" s="80">
        <f>SUMIFS('октябрь 2024'!$G$5:$G$2162,'октябрь 2024'!$D$5:$D$2162,$B45,'октябрь 2024'!$J$5:$J$2162,AA$1)</f>
        <v>0</v>
      </c>
      <c r="AB45" s="80">
        <f>SUMIFS('октябрь 2024'!$G$5:$G$2162,'октябрь 2024'!$D$5:$D$2162,$B45,'октябрь 2024'!$J$5:$J$2162,AB$1)</f>
        <v>0</v>
      </c>
      <c r="AC45" s="80">
        <f>SUMIFS('октябрь 2024'!$G$5:$G$2162,'октябрь 2024'!$D$5:$D$2162,$B45,'октябрь 2024'!$J$5:$J$2162,AC$1)</f>
        <v>0</v>
      </c>
      <c r="AD45" s="80">
        <f>SUMIFS('октябрь 2024'!$G$5:$G$2162,'октябрь 2024'!$D$5:$D$2162,$B45,'октябрь 2024'!$J$5:$J$2162,AD$1)</f>
        <v>0</v>
      </c>
      <c r="AE45" s="80">
        <f>SUMIFS('октябрь 2024'!$G$5:$G$2162,'октябрь 2024'!$D$5:$D$2162,$B45,'октябрь 2024'!$J$5:$J$2162,AE$1)</f>
        <v>0</v>
      </c>
      <c r="AF45" s="80">
        <f>SUMIFS('октябрь 2024'!$G$5:$G$2162,'октябрь 2024'!$D$5:$D$2162,$B45,'октябрь 2024'!$J$5:$J$2162,AF$1)</f>
        <v>0</v>
      </c>
      <c r="AG45" s="80">
        <f>SUMIFS('октябрь 2024'!$G$5:$G$2162,'октябрь 2024'!$D$5:$D$2162,$B45,'октябрь 2024'!$J$5:$J$2162,AG$1)</f>
        <v>0</v>
      </c>
      <c r="AH45" s="80">
        <f>SUMIFS('октябрь 2024'!$G$5:$G$2162,'октябрь 2024'!$D$5:$D$2162,$B45,'октябрь 2024'!$J$5:$J$2162,AH$1)</f>
        <v>0</v>
      </c>
      <c r="AI45" s="21">
        <f t="shared" si="1"/>
        <v>120</v>
      </c>
    </row>
    <row r="46" spans="2:35" ht="15" customHeight="1" x14ac:dyDescent="0.25">
      <c r="B46" s="154" t="s">
        <v>300</v>
      </c>
      <c r="C46" s="151">
        <v>20</v>
      </c>
      <c r="D46" s="80">
        <f>SUMIFS('октябрь 2024'!$G$5:$G$2162,'октябрь 2024'!$D$5:$D$2162,$B46,'октябрь 2024'!$J$5:$J$2162,D$1)</f>
        <v>0</v>
      </c>
      <c r="E46" s="80">
        <f>SUMIFS('октябрь 2024'!$G$5:$G$2162,'октябрь 2024'!$D$5:$D$2162,$B46,'октябрь 2024'!$J$5:$J$2162,E$1)</f>
        <v>0</v>
      </c>
      <c r="F46" s="80">
        <f>SUMIFS('октябрь 2024'!$G$5:$G$2162,'октябрь 2024'!$D$5:$D$2162,$B46,'октябрь 2024'!$J$5:$J$2162,F$1)</f>
        <v>0</v>
      </c>
      <c r="G46" s="80">
        <f>SUMIFS('октябрь 2024'!$G$5:$G$2162,'октябрь 2024'!$D$5:$D$2162,$B46,'октябрь 2024'!$J$5:$J$2162,G$1)</f>
        <v>0</v>
      </c>
      <c r="H46" s="80">
        <f>SUMIFS('октябрь 2024'!$G$5:$G$2162,'октябрь 2024'!$D$5:$D$2162,$B46,'октябрь 2024'!$J$5:$J$2162,H$1)</f>
        <v>0</v>
      </c>
      <c r="I46" s="80">
        <f>SUMIFS('октябрь 2024'!$G$5:$G$2162,'октябрь 2024'!$D$5:$D$2162,$B46,'октябрь 2024'!$J$5:$J$2162,I$1)</f>
        <v>0</v>
      </c>
      <c r="J46" s="80">
        <f>SUMIFS('октябрь 2024'!$G$5:$G$2162,'октябрь 2024'!$D$5:$D$2162,$B46,'октябрь 2024'!$J$5:$J$2162,J$1)</f>
        <v>0</v>
      </c>
      <c r="K46" s="80">
        <f>SUMIFS('октябрь 2024'!$G$5:$G$2162,'октябрь 2024'!$D$5:$D$2162,$B46,'октябрь 2024'!$J$5:$J$2162,K$1)</f>
        <v>0</v>
      </c>
      <c r="L46" s="80">
        <f>SUMIFS('октябрь 2024'!$G$5:$G$2162,'октябрь 2024'!$D$5:$D$2162,$B46,'октябрь 2024'!$J$5:$J$2162,L$1)</f>
        <v>0</v>
      </c>
      <c r="M46" s="80">
        <f>SUMIFS('октябрь 2024'!$G$5:$G$2162,'октябрь 2024'!$D$5:$D$2162,$B46,'октябрь 2024'!$J$5:$J$2162,M$1)</f>
        <v>0</v>
      </c>
      <c r="N46" s="80">
        <f>SUMIFS('октябрь 2024'!$G$5:$G$2162,'октябрь 2024'!$D$5:$D$2162,$B46,'октябрь 2024'!$J$5:$J$2162,N$1)</f>
        <v>0</v>
      </c>
      <c r="O46" s="80">
        <f>SUMIFS('октябрь 2024'!$G$5:$G$2162,'октябрь 2024'!$D$5:$D$2162,$B46,'октябрь 2024'!$J$5:$J$2162,O$1)</f>
        <v>0</v>
      </c>
      <c r="P46" s="80">
        <f>SUMIFS('октябрь 2024'!$G$5:$G$2162,'октябрь 2024'!$D$5:$D$2162,$B46,'октябрь 2024'!$J$5:$J$2162,P$1)</f>
        <v>0</v>
      </c>
      <c r="Q46" s="80">
        <f>SUMIFS('октябрь 2024'!$G$5:$G$2162,'октябрь 2024'!$D$5:$D$2162,$B46,'октябрь 2024'!$J$5:$J$2162,Q$1)</f>
        <v>0</v>
      </c>
      <c r="R46" s="80">
        <f>SUMIFS('октябрь 2024'!$G$5:$G$2162,'октябрь 2024'!$D$5:$D$2162,$B46,'октябрь 2024'!$J$5:$J$2162,R$1)</f>
        <v>0</v>
      </c>
      <c r="S46" s="80">
        <f>SUMIFS('октябрь 2024'!$G$5:$G$2162,'октябрь 2024'!$D$5:$D$2162,$B46,'октябрь 2024'!$J$5:$J$2162,S$1)</f>
        <v>0</v>
      </c>
      <c r="T46" s="80">
        <f>SUMIFS('октябрь 2024'!$G$5:$G$2162,'октябрь 2024'!$D$5:$D$2162,$B46,'октябрь 2024'!$J$5:$J$2162,T$1)</f>
        <v>0</v>
      </c>
      <c r="U46" s="80">
        <f>SUMIFS('октябрь 2024'!$G$5:$G$2162,'октябрь 2024'!$D$5:$D$2162,$B46,'октябрь 2024'!$J$5:$J$2162,U$1)</f>
        <v>0</v>
      </c>
      <c r="V46" s="80">
        <f>SUMIFS('октябрь 2024'!$G$5:$G$2162,'октябрь 2024'!$D$5:$D$2162,$B46,'октябрь 2024'!$J$5:$J$2162,V$1)</f>
        <v>0</v>
      </c>
      <c r="W46" s="80">
        <f>SUMIFS('октябрь 2024'!$G$5:$G$2162,'октябрь 2024'!$D$5:$D$2162,$B46,'октябрь 2024'!$J$5:$J$2162,W$1)</f>
        <v>0</v>
      </c>
      <c r="X46" s="80">
        <f>SUMIFS('октябрь 2024'!$G$5:$G$2162,'октябрь 2024'!$D$5:$D$2162,$B46,'октябрь 2024'!$J$5:$J$2162,X$1)</f>
        <v>0</v>
      </c>
      <c r="Y46" s="80">
        <f>SUMIFS('октябрь 2024'!$G$5:$G$2162,'октябрь 2024'!$D$5:$D$2162,$B46,'октябрь 2024'!$J$5:$J$2162,Y$1)</f>
        <v>0</v>
      </c>
      <c r="Z46" s="80">
        <f>SUMIFS('октябрь 2024'!$G$5:$G$2162,'октябрь 2024'!$D$5:$D$2162,$B46,'октябрь 2024'!$J$5:$J$2162,Z$1)</f>
        <v>0</v>
      </c>
      <c r="AA46" s="80">
        <f>SUMIFS('октябрь 2024'!$G$5:$G$2162,'октябрь 2024'!$D$5:$D$2162,$B46,'октябрь 2024'!$J$5:$J$2162,AA$1)</f>
        <v>0</v>
      </c>
      <c r="AB46" s="80">
        <f>SUMIFS('октябрь 2024'!$G$5:$G$2162,'октябрь 2024'!$D$5:$D$2162,$B46,'октябрь 2024'!$J$5:$J$2162,AB$1)</f>
        <v>0</v>
      </c>
      <c r="AC46" s="80">
        <f>SUMIFS('октябрь 2024'!$G$5:$G$2162,'октябрь 2024'!$D$5:$D$2162,$B46,'октябрь 2024'!$J$5:$J$2162,AC$1)</f>
        <v>0</v>
      </c>
      <c r="AD46" s="80">
        <f>SUMIFS('октябрь 2024'!$G$5:$G$2162,'октябрь 2024'!$D$5:$D$2162,$B46,'октябрь 2024'!$J$5:$J$2162,AD$1)</f>
        <v>0</v>
      </c>
      <c r="AE46" s="80">
        <f>SUMIFS('октябрь 2024'!$G$5:$G$2162,'октябрь 2024'!$D$5:$D$2162,$B46,'октябрь 2024'!$J$5:$J$2162,AE$1)</f>
        <v>0</v>
      </c>
      <c r="AF46" s="80">
        <f>SUMIFS('октябрь 2024'!$G$5:$G$2162,'октябрь 2024'!$D$5:$D$2162,$B46,'октябрь 2024'!$J$5:$J$2162,AF$1)</f>
        <v>0</v>
      </c>
      <c r="AG46" s="80">
        <f>SUMIFS('октябрь 2024'!$G$5:$G$2162,'октябрь 2024'!$D$5:$D$2162,$B46,'октябрь 2024'!$J$5:$J$2162,AG$1)</f>
        <v>0</v>
      </c>
      <c r="AH46" s="80">
        <f>SUMIFS('октябрь 2024'!$G$5:$G$2162,'октябрь 2024'!$D$5:$D$2162,$B46,'октябрь 2024'!$J$5:$J$2162,AH$1)</f>
        <v>0</v>
      </c>
      <c r="AI46" s="21">
        <f t="shared" si="1"/>
        <v>0</v>
      </c>
    </row>
    <row r="47" spans="2:35" ht="15" customHeight="1" x14ac:dyDescent="0.25">
      <c r="B47" s="150" t="s">
        <v>302</v>
      </c>
      <c r="C47" s="153">
        <v>20</v>
      </c>
      <c r="D47" s="80">
        <f>SUMIFS('октябрь 2024'!$G$5:$G$2162,'октябрь 2024'!$D$5:$D$2162,$B47,'октябрь 2024'!$J$5:$J$2162,D$1)</f>
        <v>0</v>
      </c>
      <c r="E47" s="80">
        <f>SUMIFS('октябрь 2024'!$G$5:$G$2162,'октябрь 2024'!$D$5:$D$2162,$B47,'октябрь 2024'!$J$5:$J$2162,E$1)</f>
        <v>0</v>
      </c>
      <c r="F47" s="80">
        <f>SUMIFS('октябрь 2024'!$G$5:$G$2162,'октябрь 2024'!$D$5:$D$2162,$B47,'октябрь 2024'!$J$5:$J$2162,F$1)</f>
        <v>0</v>
      </c>
      <c r="G47" s="80">
        <f>SUMIFS('октябрь 2024'!$G$5:$G$2162,'октябрь 2024'!$D$5:$D$2162,$B47,'октябрь 2024'!$J$5:$J$2162,G$1)</f>
        <v>0</v>
      </c>
      <c r="H47" s="80">
        <f>SUMIFS('октябрь 2024'!$G$5:$G$2162,'октябрь 2024'!$D$5:$D$2162,$B47,'октябрь 2024'!$J$5:$J$2162,H$1)</f>
        <v>0</v>
      </c>
      <c r="I47" s="80">
        <f>SUMIFS('октябрь 2024'!$G$5:$G$2162,'октябрь 2024'!$D$5:$D$2162,$B47,'октябрь 2024'!$J$5:$J$2162,I$1)</f>
        <v>0</v>
      </c>
      <c r="J47" s="80">
        <f>SUMIFS('октябрь 2024'!$G$5:$G$2162,'октябрь 2024'!$D$5:$D$2162,$B47,'октябрь 2024'!$J$5:$J$2162,J$1)</f>
        <v>0</v>
      </c>
      <c r="K47" s="80">
        <f>SUMIFS('октябрь 2024'!$G$5:$G$2162,'октябрь 2024'!$D$5:$D$2162,$B47,'октябрь 2024'!$J$5:$J$2162,K$1)</f>
        <v>0</v>
      </c>
      <c r="L47" s="80">
        <f>SUMIFS('октябрь 2024'!$G$5:$G$2162,'октябрь 2024'!$D$5:$D$2162,$B47,'октябрь 2024'!$J$5:$J$2162,L$1)</f>
        <v>0</v>
      </c>
      <c r="M47" s="80">
        <f>SUMIFS('октябрь 2024'!$G$5:$G$2162,'октябрь 2024'!$D$5:$D$2162,$B47,'октябрь 2024'!$J$5:$J$2162,M$1)</f>
        <v>0</v>
      </c>
      <c r="N47" s="80">
        <f>SUMIFS('октябрь 2024'!$G$5:$G$2162,'октябрь 2024'!$D$5:$D$2162,$B47,'октябрь 2024'!$J$5:$J$2162,N$1)</f>
        <v>0</v>
      </c>
      <c r="O47" s="80">
        <f>SUMIFS('октябрь 2024'!$G$5:$G$2162,'октябрь 2024'!$D$5:$D$2162,$B47,'октябрь 2024'!$J$5:$J$2162,O$1)</f>
        <v>0</v>
      </c>
      <c r="P47" s="80">
        <f>SUMIFS('октябрь 2024'!$G$5:$G$2162,'октябрь 2024'!$D$5:$D$2162,$B47,'октябрь 2024'!$J$5:$J$2162,P$1)</f>
        <v>0</v>
      </c>
      <c r="Q47" s="80">
        <f>SUMIFS('октябрь 2024'!$G$5:$G$2162,'октябрь 2024'!$D$5:$D$2162,$B47,'октябрь 2024'!$J$5:$J$2162,Q$1)</f>
        <v>0</v>
      </c>
      <c r="R47" s="80">
        <f>SUMIFS('октябрь 2024'!$G$5:$G$2162,'октябрь 2024'!$D$5:$D$2162,$B47,'октябрь 2024'!$J$5:$J$2162,R$1)</f>
        <v>0</v>
      </c>
      <c r="S47" s="80">
        <f>SUMIFS('октябрь 2024'!$G$5:$G$2162,'октябрь 2024'!$D$5:$D$2162,$B47,'октябрь 2024'!$J$5:$J$2162,S$1)</f>
        <v>0</v>
      </c>
      <c r="T47" s="80">
        <f>SUMIFS('октябрь 2024'!$G$5:$G$2162,'октябрь 2024'!$D$5:$D$2162,$B47,'октябрь 2024'!$J$5:$J$2162,T$1)</f>
        <v>0</v>
      </c>
      <c r="U47" s="80">
        <f>SUMIFS('октябрь 2024'!$G$5:$G$2162,'октябрь 2024'!$D$5:$D$2162,$B47,'октябрь 2024'!$J$5:$J$2162,U$1)</f>
        <v>0</v>
      </c>
      <c r="V47" s="80">
        <f>SUMIFS('октябрь 2024'!$G$5:$G$2162,'октябрь 2024'!$D$5:$D$2162,$B47,'октябрь 2024'!$J$5:$J$2162,V$1)</f>
        <v>0</v>
      </c>
      <c r="W47" s="80">
        <f>SUMIFS('октябрь 2024'!$G$5:$G$2162,'октябрь 2024'!$D$5:$D$2162,$B47,'октябрь 2024'!$J$5:$J$2162,W$1)</f>
        <v>0</v>
      </c>
      <c r="X47" s="80">
        <f>SUMIFS('октябрь 2024'!$G$5:$G$2162,'октябрь 2024'!$D$5:$D$2162,$B47,'октябрь 2024'!$J$5:$J$2162,X$1)</f>
        <v>0</v>
      </c>
      <c r="Y47" s="80">
        <f>SUMIFS('октябрь 2024'!$G$5:$G$2162,'октябрь 2024'!$D$5:$D$2162,$B47,'октябрь 2024'!$J$5:$J$2162,Y$1)</f>
        <v>0</v>
      </c>
      <c r="Z47" s="80">
        <f>SUMIFS('октябрь 2024'!$G$5:$G$2162,'октябрь 2024'!$D$5:$D$2162,$B47,'октябрь 2024'!$J$5:$J$2162,Z$1)</f>
        <v>0</v>
      </c>
      <c r="AA47" s="80">
        <f>SUMIFS('октябрь 2024'!$G$5:$G$2162,'октябрь 2024'!$D$5:$D$2162,$B47,'октябрь 2024'!$J$5:$J$2162,AA$1)</f>
        <v>0</v>
      </c>
      <c r="AB47" s="80">
        <f>SUMIFS('октябрь 2024'!$G$5:$G$2162,'октябрь 2024'!$D$5:$D$2162,$B47,'октябрь 2024'!$J$5:$J$2162,AB$1)</f>
        <v>0</v>
      </c>
      <c r="AC47" s="80">
        <f>SUMIFS('октябрь 2024'!$G$5:$G$2162,'октябрь 2024'!$D$5:$D$2162,$B47,'октябрь 2024'!$J$5:$J$2162,AC$1)</f>
        <v>0</v>
      </c>
      <c r="AD47" s="80">
        <f>SUMIFS('октябрь 2024'!$G$5:$G$2162,'октябрь 2024'!$D$5:$D$2162,$B47,'октябрь 2024'!$J$5:$J$2162,AD$1)</f>
        <v>0</v>
      </c>
      <c r="AE47" s="80">
        <f>SUMIFS('октябрь 2024'!$G$5:$G$2162,'октябрь 2024'!$D$5:$D$2162,$B47,'октябрь 2024'!$J$5:$J$2162,AE$1)</f>
        <v>0</v>
      </c>
      <c r="AF47" s="80">
        <f>SUMIFS('октябрь 2024'!$G$5:$G$2162,'октябрь 2024'!$D$5:$D$2162,$B47,'октябрь 2024'!$J$5:$J$2162,AF$1)</f>
        <v>0</v>
      </c>
      <c r="AG47" s="80">
        <f>SUMIFS('октябрь 2024'!$G$5:$G$2162,'октябрь 2024'!$D$5:$D$2162,$B47,'октябрь 2024'!$J$5:$J$2162,AG$1)</f>
        <v>0</v>
      </c>
      <c r="AH47" s="80">
        <f>SUMIFS('октябрь 2024'!$G$5:$G$2162,'октябрь 2024'!$D$5:$D$2162,$B47,'октябрь 2024'!$J$5:$J$2162,AH$1)</f>
        <v>0</v>
      </c>
      <c r="AI47" s="21">
        <f t="shared" si="1"/>
        <v>0</v>
      </c>
    </row>
    <row r="48" spans="2:35" ht="15" customHeight="1" x14ac:dyDescent="0.25">
      <c r="B48" s="150" t="s">
        <v>304</v>
      </c>
      <c r="C48" s="149">
        <v>20</v>
      </c>
      <c r="D48" s="80">
        <f>SUMIFS('октябрь 2024'!$G$5:$G$2162,'октябрь 2024'!$D$5:$D$2162,$B48,'октябрь 2024'!$J$5:$J$2162,D$1)</f>
        <v>0</v>
      </c>
      <c r="E48" s="80">
        <f>SUMIFS('октябрь 2024'!$G$5:$G$2162,'октябрь 2024'!$D$5:$D$2162,$B48,'октябрь 2024'!$J$5:$J$2162,E$1)</f>
        <v>0</v>
      </c>
      <c r="F48" s="80">
        <f>SUMIFS('октябрь 2024'!$G$5:$G$2162,'октябрь 2024'!$D$5:$D$2162,$B48,'октябрь 2024'!$J$5:$J$2162,F$1)</f>
        <v>0</v>
      </c>
      <c r="G48" s="80">
        <f>SUMIFS('октябрь 2024'!$G$5:$G$2162,'октябрь 2024'!$D$5:$D$2162,$B48,'октябрь 2024'!$J$5:$J$2162,G$1)</f>
        <v>0</v>
      </c>
      <c r="H48" s="80">
        <f>SUMIFS('октябрь 2024'!$G$5:$G$2162,'октябрь 2024'!$D$5:$D$2162,$B48,'октябрь 2024'!$J$5:$J$2162,H$1)</f>
        <v>0</v>
      </c>
      <c r="I48" s="80">
        <f>SUMIFS('октябрь 2024'!$G$5:$G$2162,'октябрь 2024'!$D$5:$D$2162,$B48,'октябрь 2024'!$J$5:$J$2162,I$1)</f>
        <v>0</v>
      </c>
      <c r="J48" s="80">
        <f>SUMIFS('октябрь 2024'!$G$5:$G$2162,'октябрь 2024'!$D$5:$D$2162,$B48,'октябрь 2024'!$J$5:$J$2162,J$1)</f>
        <v>0</v>
      </c>
      <c r="K48" s="80">
        <f>SUMIFS('октябрь 2024'!$G$5:$G$2162,'октябрь 2024'!$D$5:$D$2162,$B48,'октябрь 2024'!$J$5:$J$2162,K$1)</f>
        <v>0</v>
      </c>
      <c r="L48" s="80">
        <f>SUMIFS('октябрь 2024'!$G$5:$G$2162,'октябрь 2024'!$D$5:$D$2162,$B48,'октябрь 2024'!$J$5:$J$2162,L$1)</f>
        <v>0</v>
      </c>
      <c r="M48" s="80">
        <f>SUMIFS('октябрь 2024'!$G$5:$G$2162,'октябрь 2024'!$D$5:$D$2162,$B48,'октябрь 2024'!$J$5:$J$2162,M$1)</f>
        <v>0</v>
      </c>
      <c r="N48" s="80">
        <f>SUMIFS('октябрь 2024'!$G$5:$G$2162,'октябрь 2024'!$D$5:$D$2162,$B48,'октябрь 2024'!$J$5:$J$2162,N$1)</f>
        <v>0</v>
      </c>
      <c r="O48" s="80">
        <f>SUMIFS('октябрь 2024'!$G$5:$G$2162,'октябрь 2024'!$D$5:$D$2162,$B48,'октябрь 2024'!$J$5:$J$2162,O$1)</f>
        <v>0</v>
      </c>
      <c r="P48" s="80">
        <f>SUMIFS('октябрь 2024'!$G$5:$G$2162,'октябрь 2024'!$D$5:$D$2162,$B48,'октябрь 2024'!$J$5:$J$2162,P$1)</f>
        <v>0</v>
      </c>
      <c r="Q48" s="80">
        <f>SUMIFS('октябрь 2024'!$G$5:$G$2162,'октябрь 2024'!$D$5:$D$2162,$B48,'октябрь 2024'!$J$5:$J$2162,Q$1)</f>
        <v>0</v>
      </c>
      <c r="R48" s="80">
        <f>SUMIFS('октябрь 2024'!$G$5:$G$2162,'октябрь 2024'!$D$5:$D$2162,$B48,'октябрь 2024'!$J$5:$J$2162,R$1)</f>
        <v>0</v>
      </c>
      <c r="S48" s="80">
        <f>SUMIFS('октябрь 2024'!$G$5:$G$2162,'октябрь 2024'!$D$5:$D$2162,$B48,'октябрь 2024'!$J$5:$J$2162,S$1)</f>
        <v>0</v>
      </c>
      <c r="T48" s="80">
        <f>SUMIFS('октябрь 2024'!$G$5:$G$2162,'октябрь 2024'!$D$5:$D$2162,$B48,'октябрь 2024'!$J$5:$J$2162,T$1)</f>
        <v>0</v>
      </c>
      <c r="U48" s="80">
        <f>SUMIFS('октябрь 2024'!$G$5:$G$2162,'октябрь 2024'!$D$5:$D$2162,$B48,'октябрь 2024'!$J$5:$J$2162,U$1)</f>
        <v>0</v>
      </c>
      <c r="V48" s="80">
        <f>SUMIFS('октябрь 2024'!$G$5:$G$2162,'октябрь 2024'!$D$5:$D$2162,$B48,'октябрь 2024'!$J$5:$J$2162,V$1)</f>
        <v>0</v>
      </c>
      <c r="W48" s="80">
        <f>SUMIFS('октябрь 2024'!$G$5:$G$2162,'октябрь 2024'!$D$5:$D$2162,$B48,'октябрь 2024'!$J$5:$J$2162,W$1)</f>
        <v>0</v>
      </c>
      <c r="X48" s="80">
        <f>SUMIFS('октябрь 2024'!$G$5:$G$2162,'октябрь 2024'!$D$5:$D$2162,$B48,'октябрь 2024'!$J$5:$J$2162,X$1)</f>
        <v>0</v>
      </c>
      <c r="Y48" s="80">
        <f>SUMIFS('октябрь 2024'!$G$5:$G$2162,'октябрь 2024'!$D$5:$D$2162,$B48,'октябрь 2024'!$J$5:$J$2162,Y$1)</f>
        <v>0</v>
      </c>
      <c r="Z48" s="80">
        <f>SUMIFS('октябрь 2024'!$G$5:$G$2162,'октябрь 2024'!$D$5:$D$2162,$B48,'октябрь 2024'!$J$5:$J$2162,Z$1)</f>
        <v>0</v>
      </c>
      <c r="AA48" s="80">
        <f>SUMIFS('октябрь 2024'!$G$5:$G$2162,'октябрь 2024'!$D$5:$D$2162,$B48,'октябрь 2024'!$J$5:$J$2162,AA$1)</f>
        <v>0</v>
      </c>
      <c r="AB48" s="80">
        <f>SUMIFS('октябрь 2024'!$G$5:$G$2162,'октябрь 2024'!$D$5:$D$2162,$B48,'октябрь 2024'!$J$5:$J$2162,AB$1)</f>
        <v>0</v>
      </c>
      <c r="AC48" s="80">
        <f>SUMIFS('октябрь 2024'!$G$5:$G$2162,'октябрь 2024'!$D$5:$D$2162,$B48,'октябрь 2024'!$J$5:$J$2162,AC$1)</f>
        <v>0</v>
      </c>
      <c r="AD48" s="80">
        <f>SUMIFS('октябрь 2024'!$G$5:$G$2162,'октябрь 2024'!$D$5:$D$2162,$B48,'октябрь 2024'!$J$5:$J$2162,AD$1)</f>
        <v>0</v>
      </c>
      <c r="AE48" s="80">
        <f>SUMIFS('октябрь 2024'!$G$5:$G$2162,'октябрь 2024'!$D$5:$D$2162,$B48,'октябрь 2024'!$J$5:$J$2162,AE$1)</f>
        <v>0</v>
      </c>
      <c r="AF48" s="80">
        <f>SUMIFS('октябрь 2024'!$G$5:$G$2162,'октябрь 2024'!$D$5:$D$2162,$B48,'октябрь 2024'!$J$5:$J$2162,AF$1)</f>
        <v>0</v>
      </c>
      <c r="AG48" s="80">
        <f>SUMIFS('октябрь 2024'!$G$5:$G$2162,'октябрь 2024'!$D$5:$D$2162,$B48,'октябрь 2024'!$J$5:$J$2162,AG$1)</f>
        <v>0</v>
      </c>
      <c r="AH48" s="80">
        <f>SUMIFS('октябрь 2024'!$G$5:$G$2162,'октябрь 2024'!$D$5:$D$2162,$B48,'октябрь 2024'!$J$5:$J$2162,AH$1)</f>
        <v>0</v>
      </c>
      <c r="AI48" s="21">
        <f t="shared" si="1"/>
        <v>0</v>
      </c>
    </row>
    <row r="49" spans="2:35" ht="15" customHeight="1" x14ac:dyDescent="0.25">
      <c r="B49" s="150" t="s">
        <v>306</v>
      </c>
      <c r="C49" s="151">
        <v>20</v>
      </c>
      <c r="D49" s="80">
        <f>SUMIFS('октябрь 2024'!$G$5:$G$2162,'октябрь 2024'!$D$5:$D$2162,$B49,'октябрь 2024'!$J$5:$J$2162,D$1)</f>
        <v>0</v>
      </c>
      <c r="E49" s="80">
        <f>SUMIFS('октябрь 2024'!$G$5:$G$2162,'октябрь 2024'!$D$5:$D$2162,$B49,'октябрь 2024'!$J$5:$J$2162,E$1)</f>
        <v>0</v>
      </c>
      <c r="F49" s="80">
        <f>SUMIFS('октябрь 2024'!$G$5:$G$2162,'октябрь 2024'!$D$5:$D$2162,$B49,'октябрь 2024'!$J$5:$J$2162,F$1)</f>
        <v>0</v>
      </c>
      <c r="G49" s="80">
        <f>SUMIFS('октябрь 2024'!$G$5:$G$2162,'октябрь 2024'!$D$5:$D$2162,$B49,'октябрь 2024'!$J$5:$J$2162,G$1)</f>
        <v>0</v>
      </c>
      <c r="H49" s="80">
        <f>SUMIFS('октябрь 2024'!$G$5:$G$2162,'октябрь 2024'!$D$5:$D$2162,$B49,'октябрь 2024'!$J$5:$J$2162,H$1)</f>
        <v>0</v>
      </c>
      <c r="I49" s="80">
        <f>SUMIFS('октябрь 2024'!$G$5:$G$2162,'октябрь 2024'!$D$5:$D$2162,$B49,'октябрь 2024'!$J$5:$J$2162,I$1)</f>
        <v>0</v>
      </c>
      <c r="J49" s="80">
        <f>SUMIFS('октябрь 2024'!$G$5:$G$2162,'октябрь 2024'!$D$5:$D$2162,$B49,'октябрь 2024'!$J$5:$J$2162,J$1)</f>
        <v>0</v>
      </c>
      <c r="K49" s="80">
        <f>SUMIFS('октябрь 2024'!$G$5:$G$2162,'октябрь 2024'!$D$5:$D$2162,$B49,'октябрь 2024'!$J$5:$J$2162,K$1)</f>
        <v>0</v>
      </c>
      <c r="L49" s="80">
        <f>SUMIFS('октябрь 2024'!$G$5:$G$2162,'октябрь 2024'!$D$5:$D$2162,$B49,'октябрь 2024'!$J$5:$J$2162,L$1)</f>
        <v>0</v>
      </c>
      <c r="M49" s="80">
        <f>SUMIFS('октябрь 2024'!$G$5:$G$2162,'октябрь 2024'!$D$5:$D$2162,$B49,'октябрь 2024'!$J$5:$J$2162,M$1)</f>
        <v>0</v>
      </c>
      <c r="N49" s="80">
        <f>SUMIFS('октябрь 2024'!$G$5:$G$2162,'октябрь 2024'!$D$5:$D$2162,$B49,'октябрь 2024'!$J$5:$J$2162,N$1)</f>
        <v>0</v>
      </c>
      <c r="O49" s="80">
        <f>SUMIFS('октябрь 2024'!$G$5:$G$2162,'октябрь 2024'!$D$5:$D$2162,$B49,'октябрь 2024'!$J$5:$J$2162,O$1)</f>
        <v>0</v>
      </c>
      <c r="P49" s="80">
        <f>SUMIFS('октябрь 2024'!$G$5:$G$2162,'октябрь 2024'!$D$5:$D$2162,$B49,'октябрь 2024'!$J$5:$J$2162,P$1)</f>
        <v>0</v>
      </c>
      <c r="Q49" s="80">
        <f>SUMIFS('октябрь 2024'!$G$5:$G$2162,'октябрь 2024'!$D$5:$D$2162,$B49,'октябрь 2024'!$J$5:$J$2162,Q$1)</f>
        <v>0</v>
      </c>
      <c r="R49" s="80">
        <f>SUMIFS('октябрь 2024'!$G$5:$G$2162,'октябрь 2024'!$D$5:$D$2162,$B49,'октябрь 2024'!$J$5:$J$2162,R$1)</f>
        <v>0</v>
      </c>
      <c r="S49" s="80">
        <f>SUMIFS('октябрь 2024'!$G$5:$G$2162,'октябрь 2024'!$D$5:$D$2162,$B49,'октябрь 2024'!$J$5:$J$2162,S$1)</f>
        <v>0</v>
      </c>
      <c r="T49" s="80">
        <f>SUMIFS('октябрь 2024'!$G$5:$G$2162,'октябрь 2024'!$D$5:$D$2162,$B49,'октябрь 2024'!$J$5:$J$2162,T$1)</f>
        <v>0</v>
      </c>
      <c r="U49" s="80">
        <f>SUMIFS('октябрь 2024'!$G$5:$G$2162,'октябрь 2024'!$D$5:$D$2162,$B49,'октябрь 2024'!$J$5:$J$2162,U$1)</f>
        <v>0</v>
      </c>
      <c r="V49" s="80">
        <f>SUMIFS('октябрь 2024'!$G$5:$G$2162,'октябрь 2024'!$D$5:$D$2162,$B49,'октябрь 2024'!$J$5:$J$2162,V$1)</f>
        <v>0</v>
      </c>
      <c r="W49" s="80">
        <f>SUMIFS('октябрь 2024'!$G$5:$G$2162,'октябрь 2024'!$D$5:$D$2162,$B49,'октябрь 2024'!$J$5:$J$2162,W$1)</f>
        <v>0</v>
      </c>
      <c r="X49" s="80">
        <f>SUMIFS('октябрь 2024'!$G$5:$G$2162,'октябрь 2024'!$D$5:$D$2162,$B49,'октябрь 2024'!$J$5:$J$2162,X$1)</f>
        <v>0</v>
      </c>
      <c r="Y49" s="80">
        <f>SUMIFS('октябрь 2024'!$G$5:$G$2162,'октябрь 2024'!$D$5:$D$2162,$B49,'октябрь 2024'!$J$5:$J$2162,Y$1)</f>
        <v>0</v>
      </c>
      <c r="Z49" s="80">
        <f>SUMIFS('октябрь 2024'!$G$5:$G$2162,'октябрь 2024'!$D$5:$D$2162,$B49,'октябрь 2024'!$J$5:$J$2162,Z$1)</f>
        <v>0</v>
      </c>
      <c r="AA49" s="80">
        <f>SUMIFS('октябрь 2024'!$G$5:$G$2162,'октябрь 2024'!$D$5:$D$2162,$B49,'октябрь 2024'!$J$5:$J$2162,AA$1)</f>
        <v>0</v>
      </c>
      <c r="AB49" s="80">
        <f>SUMIFS('октябрь 2024'!$G$5:$G$2162,'октябрь 2024'!$D$5:$D$2162,$B49,'октябрь 2024'!$J$5:$J$2162,AB$1)</f>
        <v>0</v>
      </c>
      <c r="AC49" s="80">
        <f>SUMIFS('октябрь 2024'!$G$5:$G$2162,'октябрь 2024'!$D$5:$D$2162,$B49,'октябрь 2024'!$J$5:$J$2162,AC$1)</f>
        <v>0</v>
      </c>
      <c r="AD49" s="80">
        <f>SUMIFS('октябрь 2024'!$G$5:$G$2162,'октябрь 2024'!$D$5:$D$2162,$B49,'октябрь 2024'!$J$5:$J$2162,AD$1)</f>
        <v>0</v>
      </c>
      <c r="AE49" s="80">
        <f>SUMIFS('октябрь 2024'!$G$5:$G$2162,'октябрь 2024'!$D$5:$D$2162,$B49,'октябрь 2024'!$J$5:$J$2162,AE$1)</f>
        <v>0</v>
      </c>
      <c r="AF49" s="80">
        <f>SUMIFS('октябрь 2024'!$G$5:$G$2162,'октябрь 2024'!$D$5:$D$2162,$B49,'октябрь 2024'!$J$5:$J$2162,AF$1)</f>
        <v>0</v>
      </c>
      <c r="AG49" s="80">
        <f>SUMIFS('октябрь 2024'!$G$5:$G$2162,'октябрь 2024'!$D$5:$D$2162,$B49,'октябрь 2024'!$J$5:$J$2162,AG$1)</f>
        <v>0</v>
      </c>
      <c r="AH49" s="80">
        <f>SUMIFS('октябрь 2024'!$G$5:$G$2162,'октябрь 2024'!$D$5:$D$2162,$B49,'октябрь 2024'!$J$5:$J$2162,AH$1)</f>
        <v>0</v>
      </c>
      <c r="AI49" s="21">
        <f t="shared" si="1"/>
        <v>0</v>
      </c>
    </row>
    <row r="50" spans="2:35" ht="15" customHeight="1" x14ac:dyDescent="0.25">
      <c r="B50" s="150" t="s">
        <v>308</v>
      </c>
      <c r="C50" s="151">
        <v>14</v>
      </c>
      <c r="D50" s="80">
        <f>SUMIFS('октябрь 2024'!$G$5:$G$2162,'октябрь 2024'!$D$5:$D$2162,$B50,'октябрь 2024'!$J$5:$J$2162,D$1)</f>
        <v>0</v>
      </c>
      <c r="E50" s="80">
        <f>SUMIFS('октябрь 2024'!$G$5:$G$2162,'октябрь 2024'!$D$5:$D$2162,$B50,'октябрь 2024'!$J$5:$J$2162,E$1)</f>
        <v>0</v>
      </c>
      <c r="F50" s="80">
        <f>SUMIFS('октябрь 2024'!$G$5:$G$2162,'октябрь 2024'!$D$5:$D$2162,$B50,'октябрь 2024'!$J$5:$J$2162,F$1)</f>
        <v>0</v>
      </c>
      <c r="G50" s="80">
        <f>SUMIFS('октябрь 2024'!$G$5:$G$2162,'октябрь 2024'!$D$5:$D$2162,$B50,'октябрь 2024'!$J$5:$J$2162,G$1)</f>
        <v>0</v>
      </c>
      <c r="H50" s="80">
        <f>SUMIFS('октябрь 2024'!$G$5:$G$2162,'октябрь 2024'!$D$5:$D$2162,$B50,'октябрь 2024'!$J$5:$J$2162,H$1)</f>
        <v>0</v>
      </c>
      <c r="I50" s="80">
        <f>SUMIFS('октябрь 2024'!$G$5:$G$2162,'октябрь 2024'!$D$5:$D$2162,$B50,'октябрь 2024'!$J$5:$J$2162,I$1)</f>
        <v>0</v>
      </c>
      <c r="J50" s="80">
        <f>SUMIFS('октябрь 2024'!$G$5:$G$2162,'октябрь 2024'!$D$5:$D$2162,$B50,'октябрь 2024'!$J$5:$J$2162,J$1)</f>
        <v>0</v>
      </c>
      <c r="K50" s="80">
        <f>SUMIFS('октябрь 2024'!$G$5:$G$2162,'октябрь 2024'!$D$5:$D$2162,$B50,'октябрь 2024'!$J$5:$J$2162,K$1)</f>
        <v>0</v>
      </c>
      <c r="L50" s="80">
        <f>SUMIFS('октябрь 2024'!$G$5:$G$2162,'октябрь 2024'!$D$5:$D$2162,$B50,'октябрь 2024'!$J$5:$J$2162,L$1)</f>
        <v>0</v>
      </c>
      <c r="M50" s="80">
        <f>SUMIFS('октябрь 2024'!$G$5:$G$2162,'октябрь 2024'!$D$5:$D$2162,$B50,'октябрь 2024'!$J$5:$J$2162,M$1)</f>
        <v>0</v>
      </c>
      <c r="N50" s="80">
        <f>SUMIFS('октябрь 2024'!$G$5:$G$2162,'октябрь 2024'!$D$5:$D$2162,$B50,'октябрь 2024'!$J$5:$J$2162,N$1)</f>
        <v>0</v>
      </c>
      <c r="O50" s="80">
        <f>SUMIFS('октябрь 2024'!$G$5:$G$2162,'октябрь 2024'!$D$5:$D$2162,$B50,'октябрь 2024'!$J$5:$J$2162,O$1)</f>
        <v>0</v>
      </c>
      <c r="P50" s="80">
        <f>SUMIFS('октябрь 2024'!$G$5:$G$2162,'октябрь 2024'!$D$5:$D$2162,$B50,'октябрь 2024'!$J$5:$J$2162,P$1)</f>
        <v>0</v>
      </c>
      <c r="Q50" s="80">
        <f>SUMIFS('октябрь 2024'!$G$5:$G$2162,'октябрь 2024'!$D$5:$D$2162,$B50,'октябрь 2024'!$J$5:$J$2162,Q$1)</f>
        <v>0</v>
      </c>
      <c r="R50" s="80">
        <f>SUMIFS('октябрь 2024'!$G$5:$G$2162,'октябрь 2024'!$D$5:$D$2162,$B50,'октябрь 2024'!$J$5:$J$2162,R$1)</f>
        <v>0</v>
      </c>
      <c r="S50" s="80">
        <f>SUMIFS('октябрь 2024'!$G$5:$G$2162,'октябрь 2024'!$D$5:$D$2162,$B50,'октябрь 2024'!$J$5:$J$2162,S$1)</f>
        <v>0</v>
      </c>
      <c r="T50" s="80">
        <f>SUMIFS('октябрь 2024'!$G$5:$G$2162,'октябрь 2024'!$D$5:$D$2162,$B50,'октябрь 2024'!$J$5:$J$2162,T$1)</f>
        <v>0</v>
      </c>
      <c r="U50" s="80">
        <f>SUMIFS('октябрь 2024'!$G$5:$G$2162,'октябрь 2024'!$D$5:$D$2162,$B50,'октябрь 2024'!$J$5:$J$2162,U$1)</f>
        <v>0</v>
      </c>
      <c r="V50" s="80">
        <f>SUMIFS('октябрь 2024'!$G$5:$G$2162,'октябрь 2024'!$D$5:$D$2162,$B50,'октябрь 2024'!$J$5:$J$2162,V$1)</f>
        <v>0</v>
      </c>
      <c r="W50" s="80">
        <f>SUMIFS('октябрь 2024'!$G$5:$G$2162,'октябрь 2024'!$D$5:$D$2162,$B50,'октябрь 2024'!$J$5:$J$2162,W$1)</f>
        <v>0</v>
      </c>
      <c r="X50" s="80">
        <f>SUMIFS('октябрь 2024'!$G$5:$G$2162,'октябрь 2024'!$D$5:$D$2162,$B50,'октябрь 2024'!$J$5:$J$2162,X$1)</f>
        <v>0</v>
      </c>
      <c r="Y50" s="80">
        <f>SUMIFS('октябрь 2024'!$G$5:$G$2162,'октябрь 2024'!$D$5:$D$2162,$B50,'октябрь 2024'!$J$5:$J$2162,Y$1)</f>
        <v>0</v>
      </c>
      <c r="Z50" s="80">
        <f>SUMIFS('октябрь 2024'!$G$5:$G$2162,'октябрь 2024'!$D$5:$D$2162,$B50,'октябрь 2024'!$J$5:$J$2162,Z$1)</f>
        <v>0</v>
      </c>
      <c r="AA50" s="80">
        <f>SUMIFS('октябрь 2024'!$G$5:$G$2162,'октябрь 2024'!$D$5:$D$2162,$B50,'октябрь 2024'!$J$5:$J$2162,AA$1)</f>
        <v>0</v>
      </c>
      <c r="AB50" s="80">
        <f>SUMIFS('октябрь 2024'!$G$5:$G$2162,'октябрь 2024'!$D$5:$D$2162,$B50,'октябрь 2024'!$J$5:$J$2162,AB$1)</f>
        <v>0</v>
      </c>
      <c r="AC50" s="80">
        <f>SUMIFS('октябрь 2024'!$G$5:$G$2162,'октябрь 2024'!$D$5:$D$2162,$B50,'октябрь 2024'!$J$5:$J$2162,AC$1)</f>
        <v>0</v>
      </c>
      <c r="AD50" s="80">
        <f>SUMIFS('октябрь 2024'!$G$5:$G$2162,'октябрь 2024'!$D$5:$D$2162,$B50,'октябрь 2024'!$J$5:$J$2162,AD$1)</f>
        <v>0</v>
      </c>
      <c r="AE50" s="80">
        <f>SUMIFS('октябрь 2024'!$G$5:$G$2162,'октябрь 2024'!$D$5:$D$2162,$B50,'октябрь 2024'!$J$5:$J$2162,AE$1)</f>
        <v>0</v>
      </c>
      <c r="AF50" s="80">
        <f>SUMIFS('октябрь 2024'!$G$5:$G$2162,'октябрь 2024'!$D$5:$D$2162,$B50,'октябрь 2024'!$J$5:$J$2162,AF$1)</f>
        <v>0</v>
      </c>
      <c r="AG50" s="80">
        <f>SUMIFS('октябрь 2024'!$G$5:$G$2162,'октябрь 2024'!$D$5:$D$2162,$B50,'октябрь 2024'!$J$5:$J$2162,AG$1)</f>
        <v>0</v>
      </c>
      <c r="AH50" s="80">
        <f>SUMIFS('октябрь 2024'!$G$5:$G$2162,'октябрь 2024'!$D$5:$D$2162,$B50,'октябрь 2024'!$J$5:$J$2162,AH$1)</f>
        <v>0</v>
      </c>
      <c r="AI50" s="21">
        <f t="shared" si="1"/>
        <v>0</v>
      </c>
    </row>
    <row r="51" spans="2:35" ht="15" customHeight="1" x14ac:dyDescent="0.25">
      <c r="B51" s="150" t="s">
        <v>310</v>
      </c>
      <c r="C51" s="151">
        <v>25</v>
      </c>
      <c r="D51" s="80">
        <f>SUMIFS('октябрь 2024'!$G$5:$G$2162,'октябрь 2024'!$D$5:$D$2162,$B51,'октябрь 2024'!$J$5:$J$2162,D$1)</f>
        <v>0</v>
      </c>
      <c r="E51" s="80">
        <f>SUMIFS('октябрь 2024'!$G$5:$G$2162,'октябрь 2024'!$D$5:$D$2162,$B51,'октябрь 2024'!$J$5:$J$2162,E$1)</f>
        <v>0</v>
      </c>
      <c r="F51" s="80">
        <f>SUMIFS('октябрь 2024'!$G$5:$G$2162,'октябрь 2024'!$D$5:$D$2162,$B51,'октябрь 2024'!$J$5:$J$2162,F$1)</f>
        <v>0</v>
      </c>
      <c r="G51" s="80">
        <f>SUMIFS('октябрь 2024'!$G$5:$G$2162,'октябрь 2024'!$D$5:$D$2162,$B51,'октябрь 2024'!$J$5:$J$2162,G$1)</f>
        <v>0</v>
      </c>
      <c r="H51" s="80">
        <f>SUMIFS('октябрь 2024'!$G$5:$G$2162,'октябрь 2024'!$D$5:$D$2162,$B51,'октябрь 2024'!$J$5:$J$2162,H$1)</f>
        <v>0</v>
      </c>
      <c r="I51" s="80">
        <f>SUMIFS('октябрь 2024'!$G$5:$G$2162,'октябрь 2024'!$D$5:$D$2162,$B51,'октябрь 2024'!$J$5:$J$2162,I$1)</f>
        <v>0</v>
      </c>
      <c r="J51" s="80">
        <f>SUMIFS('октябрь 2024'!$G$5:$G$2162,'октябрь 2024'!$D$5:$D$2162,$B51,'октябрь 2024'!$J$5:$J$2162,J$1)</f>
        <v>0</v>
      </c>
      <c r="K51" s="80">
        <f>SUMIFS('октябрь 2024'!$G$5:$G$2162,'октябрь 2024'!$D$5:$D$2162,$B51,'октябрь 2024'!$J$5:$J$2162,K$1)</f>
        <v>0</v>
      </c>
      <c r="L51" s="80">
        <f>SUMIFS('октябрь 2024'!$G$5:$G$2162,'октябрь 2024'!$D$5:$D$2162,$B51,'октябрь 2024'!$J$5:$J$2162,L$1)</f>
        <v>0</v>
      </c>
      <c r="M51" s="80">
        <f>SUMIFS('октябрь 2024'!$G$5:$G$2162,'октябрь 2024'!$D$5:$D$2162,$B51,'октябрь 2024'!$J$5:$J$2162,M$1)</f>
        <v>0</v>
      </c>
      <c r="N51" s="80">
        <f>SUMIFS('октябрь 2024'!$G$5:$G$2162,'октябрь 2024'!$D$5:$D$2162,$B51,'октябрь 2024'!$J$5:$J$2162,N$1)</f>
        <v>0</v>
      </c>
      <c r="O51" s="80">
        <f>SUMIFS('октябрь 2024'!$G$5:$G$2162,'октябрь 2024'!$D$5:$D$2162,$B51,'октябрь 2024'!$J$5:$J$2162,O$1)</f>
        <v>0</v>
      </c>
      <c r="P51" s="80">
        <f>SUMIFS('октябрь 2024'!$G$5:$G$2162,'октябрь 2024'!$D$5:$D$2162,$B51,'октябрь 2024'!$J$5:$J$2162,P$1)</f>
        <v>0</v>
      </c>
      <c r="Q51" s="80">
        <f>SUMIFS('октябрь 2024'!$G$5:$G$2162,'октябрь 2024'!$D$5:$D$2162,$B51,'октябрь 2024'!$J$5:$J$2162,Q$1)</f>
        <v>0</v>
      </c>
      <c r="R51" s="80">
        <f>SUMIFS('октябрь 2024'!$G$5:$G$2162,'октябрь 2024'!$D$5:$D$2162,$B51,'октябрь 2024'!$J$5:$J$2162,R$1)</f>
        <v>0</v>
      </c>
      <c r="S51" s="80">
        <f>SUMIFS('октябрь 2024'!$G$5:$G$2162,'октябрь 2024'!$D$5:$D$2162,$B51,'октябрь 2024'!$J$5:$J$2162,S$1)</f>
        <v>0</v>
      </c>
      <c r="T51" s="80">
        <f>SUMIFS('октябрь 2024'!$G$5:$G$2162,'октябрь 2024'!$D$5:$D$2162,$B51,'октябрь 2024'!$J$5:$J$2162,T$1)</f>
        <v>0</v>
      </c>
      <c r="U51" s="80">
        <f>SUMIFS('октябрь 2024'!$G$5:$G$2162,'октябрь 2024'!$D$5:$D$2162,$B51,'октябрь 2024'!$J$5:$J$2162,U$1)</f>
        <v>0</v>
      </c>
      <c r="V51" s="80">
        <f>SUMIFS('октябрь 2024'!$G$5:$G$2162,'октябрь 2024'!$D$5:$D$2162,$B51,'октябрь 2024'!$J$5:$J$2162,V$1)</f>
        <v>0</v>
      </c>
      <c r="W51" s="80">
        <f>SUMIFS('октябрь 2024'!$G$5:$G$2162,'октябрь 2024'!$D$5:$D$2162,$B51,'октябрь 2024'!$J$5:$J$2162,W$1)</f>
        <v>0</v>
      </c>
      <c r="X51" s="80">
        <f>SUMIFS('октябрь 2024'!$G$5:$G$2162,'октябрь 2024'!$D$5:$D$2162,$B51,'октябрь 2024'!$J$5:$J$2162,X$1)</f>
        <v>0</v>
      </c>
      <c r="Y51" s="80">
        <f>SUMIFS('октябрь 2024'!$G$5:$G$2162,'октябрь 2024'!$D$5:$D$2162,$B51,'октябрь 2024'!$J$5:$J$2162,Y$1)</f>
        <v>0</v>
      </c>
      <c r="Z51" s="80">
        <f>SUMIFS('октябрь 2024'!$G$5:$G$2162,'октябрь 2024'!$D$5:$D$2162,$B51,'октябрь 2024'!$J$5:$J$2162,Z$1)</f>
        <v>0</v>
      </c>
      <c r="AA51" s="80">
        <f>SUMIFS('октябрь 2024'!$G$5:$G$2162,'октябрь 2024'!$D$5:$D$2162,$B51,'октябрь 2024'!$J$5:$J$2162,AA$1)</f>
        <v>0</v>
      </c>
      <c r="AB51" s="80">
        <f>SUMIFS('октябрь 2024'!$G$5:$G$2162,'октябрь 2024'!$D$5:$D$2162,$B51,'октябрь 2024'!$J$5:$J$2162,AB$1)</f>
        <v>0</v>
      </c>
      <c r="AC51" s="80">
        <f>SUMIFS('октябрь 2024'!$G$5:$G$2162,'октябрь 2024'!$D$5:$D$2162,$B51,'октябрь 2024'!$J$5:$J$2162,AC$1)</f>
        <v>0</v>
      </c>
      <c r="AD51" s="80">
        <f>SUMIFS('октябрь 2024'!$G$5:$G$2162,'октябрь 2024'!$D$5:$D$2162,$B51,'октябрь 2024'!$J$5:$J$2162,AD$1)</f>
        <v>0</v>
      </c>
      <c r="AE51" s="80">
        <f>SUMIFS('октябрь 2024'!$G$5:$G$2162,'октябрь 2024'!$D$5:$D$2162,$B51,'октябрь 2024'!$J$5:$J$2162,AE$1)</f>
        <v>0</v>
      </c>
      <c r="AF51" s="80">
        <f>SUMIFS('октябрь 2024'!$G$5:$G$2162,'октябрь 2024'!$D$5:$D$2162,$B51,'октябрь 2024'!$J$5:$J$2162,AF$1)</f>
        <v>0</v>
      </c>
      <c r="AG51" s="80">
        <f>SUMIFS('октябрь 2024'!$G$5:$G$2162,'октябрь 2024'!$D$5:$D$2162,$B51,'октябрь 2024'!$J$5:$J$2162,AG$1)</f>
        <v>0</v>
      </c>
      <c r="AH51" s="80">
        <f>SUMIFS('октябрь 2024'!$G$5:$G$2162,'октябрь 2024'!$D$5:$D$2162,$B51,'октябрь 2024'!$J$5:$J$2162,AH$1)</f>
        <v>0</v>
      </c>
      <c r="AI51" s="21">
        <f t="shared" si="1"/>
        <v>0</v>
      </c>
    </row>
    <row r="52" spans="2:35" ht="15" customHeight="1" x14ac:dyDescent="0.25">
      <c r="B52" s="150" t="s">
        <v>316</v>
      </c>
      <c r="C52" s="151">
        <v>20</v>
      </c>
      <c r="D52" s="80">
        <f>SUMIFS('октябрь 2024'!$G$5:$G$2162,'октябрь 2024'!$D$5:$D$2162,$B52,'октябрь 2024'!$J$5:$J$2162,D$1)</f>
        <v>0</v>
      </c>
      <c r="E52" s="80">
        <f>SUMIFS('октябрь 2024'!$G$5:$G$2162,'октябрь 2024'!$D$5:$D$2162,$B52,'октябрь 2024'!$J$5:$J$2162,E$1)</f>
        <v>0</v>
      </c>
      <c r="F52" s="80">
        <f>SUMIFS('октябрь 2024'!$G$5:$G$2162,'октябрь 2024'!$D$5:$D$2162,$B52,'октябрь 2024'!$J$5:$J$2162,F$1)</f>
        <v>0</v>
      </c>
      <c r="G52" s="80">
        <f>SUMIFS('октябрь 2024'!$G$5:$G$2162,'октябрь 2024'!$D$5:$D$2162,$B52,'октябрь 2024'!$J$5:$J$2162,G$1)</f>
        <v>0</v>
      </c>
      <c r="H52" s="80">
        <f>SUMIFS('октябрь 2024'!$G$5:$G$2162,'октябрь 2024'!$D$5:$D$2162,$B52,'октябрь 2024'!$J$5:$J$2162,H$1)</f>
        <v>0</v>
      </c>
      <c r="I52" s="80">
        <f>SUMIFS('октябрь 2024'!$G$5:$G$2162,'октябрь 2024'!$D$5:$D$2162,$B52,'октябрь 2024'!$J$5:$J$2162,I$1)</f>
        <v>0</v>
      </c>
      <c r="J52" s="80">
        <f>SUMIFS('октябрь 2024'!$G$5:$G$2162,'октябрь 2024'!$D$5:$D$2162,$B52,'октябрь 2024'!$J$5:$J$2162,J$1)</f>
        <v>0</v>
      </c>
      <c r="K52" s="80">
        <f>SUMIFS('октябрь 2024'!$G$5:$G$2162,'октябрь 2024'!$D$5:$D$2162,$B52,'октябрь 2024'!$J$5:$J$2162,K$1)</f>
        <v>0</v>
      </c>
      <c r="L52" s="80">
        <f>SUMIFS('октябрь 2024'!$G$5:$G$2162,'октябрь 2024'!$D$5:$D$2162,$B52,'октябрь 2024'!$J$5:$J$2162,L$1)</f>
        <v>0</v>
      </c>
      <c r="M52" s="80">
        <f>SUMIFS('октябрь 2024'!$G$5:$G$2162,'октябрь 2024'!$D$5:$D$2162,$B52,'октябрь 2024'!$J$5:$J$2162,M$1)</f>
        <v>0</v>
      </c>
      <c r="N52" s="80">
        <f>SUMIFS('октябрь 2024'!$G$5:$G$2162,'октябрь 2024'!$D$5:$D$2162,$B52,'октябрь 2024'!$J$5:$J$2162,N$1)</f>
        <v>0</v>
      </c>
      <c r="O52" s="80">
        <f>SUMIFS('октябрь 2024'!$G$5:$G$2162,'октябрь 2024'!$D$5:$D$2162,$B52,'октябрь 2024'!$J$5:$J$2162,O$1)</f>
        <v>0</v>
      </c>
      <c r="P52" s="80">
        <f>SUMIFS('октябрь 2024'!$G$5:$G$2162,'октябрь 2024'!$D$5:$D$2162,$B52,'октябрь 2024'!$J$5:$J$2162,P$1)</f>
        <v>0</v>
      </c>
      <c r="Q52" s="80">
        <f>SUMIFS('октябрь 2024'!$G$5:$G$2162,'октябрь 2024'!$D$5:$D$2162,$B52,'октябрь 2024'!$J$5:$J$2162,Q$1)</f>
        <v>0</v>
      </c>
      <c r="R52" s="80">
        <f>SUMIFS('октябрь 2024'!$G$5:$G$2162,'октябрь 2024'!$D$5:$D$2162,$B52,'октябрь 2024'!$J$5:$J$2162,R$1)</f>
        <v>0</v>
      </c>
      <c r="S52" s="80">
        <f>SUMIFS('октябрь 2024'!$G$5:$G$2162,'октябрь 2024'!$D$5:$D$2162,$B52,'октябрь 2024'!$J$5:$J$2162,S$1)</f>
        <v>0</v>
      </c>
      <c r="T52" s="80">
        <f>SUMIFS('октябрь 2024'!$G$5:$G$2162,'октябрь 2024'!$D$5:$D$2162,$B52,'октябрь 2024'!$J$5:$J$2162,T$1)</f>
        <v>0</v>
      </c>
      <c r="U52" s="80">
        <f>SUMIFS('октябрь 2024'!$G$5:$G$2162,'октябрь 2024'!$D$5:$D$2162,$B52,'октябрь 2024'!$J$5:$J$2162,U$1)</f>
        <v>0</v>
      </c>
      <c r="V52" s="80">
        <f>SUMIFS('октябрь 2024'!$G$5:$G$2162,'октябрь 2024'!$D$5:$D$2162,$B52,'октябрь 2024'!$J$5:$J$2162,V$1)</f>
        <v>0</v>
      </c>
      <c r="W52" s="80">
        <f>SUMIFS('октябрь 2024'!$G$5:$G$2162,'октябрь 2024'!$D$5:$D$2162,$B52,'октябрь 2024'!$J$5:$J$2162,W$1)</f>
        <v>0</v>
      </c>
      <c r="X52" s="80">
        <f>SUMIFS('октябрь 2024'!$G$5:$G$2162,'октябрь 2024'!$D$5:$D$2162,$B52,'октябрь 2024'!$J$5:$J$2162,X$1)</f>
        <v>0</v>
      </c>
      <c r="Y52" s="80">
        <f>SUMIFS('октябрь 2024'!$G$5:$G$2162,'октябрь 2024'!$D$5:$D$2162,$B52,'октябрь 2024'!$J$5:$J$2162,Y$1)</f>
        <v>0</v>
      </c>
      <c r="Z52" s="80">
        <f>SUMIFS('октябрь 2024'!$G$5:$G$2162,'октябрь 2024'!$D$5:$D$2162,$B52,'октябрь 2024'!$J$5:$J$2162,Z$1)</f>
        <v>0</v>
      </c>
      <c r="AA52" s="80">
        <f>SUMIFS('октябрь 2024'!$G$5:$G$2162,'октябрь 2024'!$D$5:$D$2162,$B52,'октябрь 2024'!$J$5:$J$2162,AA$1)</f>
        <v>0</v>
      </c>
      <c r="AB52" s="80">
        <f>SUMIFS('октябрь 2024'!$G$5:$G$2162,'октябрь 2024'!$D$5:$D$2162,$B52,'октябрь 2024'!$J$5:$J$2162,AB$1)</f>
        <v>0</v>
      </c>
      <c r="AC52" s="80">
        <f>SUMIFS('октябрь 2024'!$G$5:$G$2162,'октябрь 2024'!$D$5:$D$2162,$B52,'октябрь 2024'!$J$5:$J$2162,AC$1)</f>
        <v>0</v>
      </c>
      <c r="AD52" s="80">
        <f>SUMIFS('октябрь 2024'!$G$5:$G$2162,'октябрь 2024'!$D$5:$D$2162,$B52,'октябрь 2024'!$J$5:$J$2162,AD$1)</f>
        <v>0</v>
      </c>
      <c r="AE52" s="80">
        <f>SUMIFS('октябрь 2024'!$G$5:$G$2162,'октябрь 2024'!$D$5:$D$2162,$B52,'октябрь 2024'!$J$5:$J$2162,AE$1)</f>
        <v>0</v>
      </c>
      <c r="AF52" s="80">
        <f>SUMIFS('октябрь 2024'!$G$5:$G$2162,'октябрь 2024'!$D$5:$D$2162,$B52,'октябрь 2024'!$J$5:$J$2162,AF$1)</f>
        <v>0</v>
      </c>
      <c r="AG52" s="80">
        <f>SUMIFS('октябрь 2024'!$G$5:$G$2162,'октябрь 2024'!$D$5:$D$2162,$B52,'октябрь 2024'!$J$5:$J$2162,AG$1)</f>
        <v>0</v>
      </c>
      <c r="AH52" s="80">
        <f>SUMIFS('октябрь 2024'!$G$5:$G$2162,'октябрь 2024'!$D$5:$D$2162,$B52,'октябрь 2024'!$J$5:$J$2162,AH$1)</f>
        <v>0</v>
      </c>
      <c r="AI52" s="21">
        <f t="shared" si="1"/>
        <v>0</v>
      </c>
    </row>
    <row r="53" spans="2:35" ht="15" customHeight="1" x14ac:dyDescent="0.25">
      <c r="B53" s="146" t="s">
        <v>317</v>
      </c>
      <c r="C53" s="151">
        <v>20</v>
      </c>
      <c r="D53" s="80">
        <f>SUMIFS('октябрь 2024'!$G$5:$G$2162,'октябрь 2024'!$D$5:$D$2162,$B53,'октябрь 2024'!$J$5:$J$2162,D$1)</f>
        <v>0</v>
      </c>
      <c r="E53" s="80">
        <f>SUMIFS('октябрь 2024'!$G$5:$G$2162,'октябрь 2024'!$D$5:$D$2162,$B53,'октябрь 2024'!$J$5:$J$2162,E$1)</f>
        <v>0</v>
      </c>
      <c r="F53" s="80">
        <f>SUMIFS('октябрь 2024'!$G$5:$G$2162,'октябрь 2024'!$D$5:$D$2162,$B53,'октябрь 2024'!$J$5:$J$2162,F$1)</f>
        <v>0</v>
      </c>
      <c r="G53" s="80">
        <f>SUMIFS('октябрь 2024'!$G$5:$G$2162,'октябрь 2024'!$D$5:$D$2162,$B53,'октябрь 2024'!$J$5:$J$2162,G$1)</f>
        <v>0</v>
      </c>
      <c r="H53" s="80">
        <f>SUMIFS('октябрь 2024'!$G$5:$G$2162,'октябрь 2024'!$D$5:$D$2162,$B53,'октябрь 2024'!$J$5:$J$2162,H$1)</f>
        <v>0</v>
      </c>
      <c r="I53" s="80">
        <f>SUMIFS('октябрь 2024'!$G$5:$G$2162,'октябрь 2024'!$D$5:$D$2162,$B53,'октябрь 2024'!$J$5:$J$2162,I$1)</f>
        <v>0</v>
      </c>
      <c r="J53" s="80">
        <f>SUMIFS('октябрь 2024'!$G$5:$G$2162,'октябрь 2024'!$D$5:$D$2162,$B53,'октябрь 2024'!$J$5:$J$2162,J$1)</f>
        <v>0</v>
      </c>
      <c r="K53" s="80">
        <f>SUMIFS('октябрь 2024'!$G$5:$G$2162,'октябрь 2024'!$D$5:$D$2162,$B53,'октябрь 2024'!$J$5:$J$2162,K$1)</f>
        <v>0</v>
      </c>
      <c r="L53" s="80">
        <f>SUMIFS('октябрь 2024'!$G$5:$G$2162,'октябрь 2024'!$D$5:$D$2162,$B53,'октябрь 2024'!$J$5:$J$2162,L$1)</f>
        <v>0</v>
      </c>
      <c r="M53" s="80">
        <f>SUMIFS('октябрь 2024'!$G$5:$G$2162,'октябрь 2024'!$D$5:$D$2162,$B53,'октябрь 2024'!$J$5:$J$2162,M$1)</f>
        <v>0</v>
      </c>
      <c r="N53" s="80">
        <f>SUMIFS('октябрь 2024'!$G$5:$G$2162,'октябрь 2024'!$D$5:$D$2162,$B53,'октябрь 2024'!$J$5:$J$2162,N$1)</f>
        <v>0</v>
      </c>
      <c r="O53" s="80">
        <f>SUMIFS('октябрь 2024'!$G$5:$G$2162,'октябрь 2024'!$D$5:$D$2162,$B53,'октябрь 2024'!$J$5:$J$2162,O$1)</f>
        <v>0</v>
      </c>
      <c r="P53" s="80">
        <f>SUMIFS('октябрь 2024'!$G$5:$G$2162,'октябрь 2024'!$D$5:$D$2162,$B53,'октябрь 2024'!$J$5:$J$2162,P$1)</f>
        <v>0</v>
      </c>
      <c r="Q53" s="80">
        <f>SUMIFS('октябрь 2024'!$G$5:$G$2162,'октябрь 2024'!$D$5:$D$2162,$B53,'октябрь 2024'!$J$5:$J$2162,Q$1)</f>
        <v>0</v>
      </c>
      <c r="R53" s="80">
        <f>SUMIFS('октябрь 2024'!$G$5:$G$2162,'октябрь 2024'!$D$5:$D$2162,$B53,'октябрь 2024'!$J$5:$J$2162,R$1)</f>
        <v>0</v>
      </c>
      <c r="S53" s="80">
        <f>SUMIFS('октябрь 2024'!$G$5:$G$2162,'октябрь 2024'!$D$5:$D$2162,$B53,'октябрь 2024'!$J$5:$J$2162,S$1)</f>
        <v>0</v>
      </c>
      <c r="T53" s="80">
        <f>SUMIFS('октябрь 2024'!$G$5:$G$2162,'октябрь 2024'!$D$5:$D$2162,$B53,'октябрь 2024'!$J$5:$J$2162,T$1)</f>
        <v>0</v>
      </c>
      <c r="U53" s="80">
        <f>SUMIFS('октябрь 2024'!$G$5:$G$2162,'октябрь 2024'!$D$5:$D$2162,$B53,'октябрь 2024'!$J$5:$J$2162,U$1)</f>
        <v>0</v>
      </c>
      <c r="V53" s="80">
        <f>SUMIFS('октябрь 2024'!$G$5:$G$2162,'октябрь 2024'!$D$5:$D$2162,$B53,'октябрь 2024'!$J$5:$J$2162,V$1)</f>
        <v>0</v>
      </c>
      <c r="W53" s="80">
        <f>SUMIFS('октябрь 2024'!$G$5:$G$2162,'октябрь 2024'!$D$5:$D$2162,$B53,'октябрь 2024'!$J$5:$J$2162,W$1)</f>
        <v>0</v>
      </c>
      <c r="X53" s="80">
        <f>SUMIFS('октябрь 2024'!$G$5:$G$2162,'октябрь 2024'!$D$5:$D$2162,$B53,'октябрь 2024'!$J$5:$J$2162,X$1)</f>
        <v>0</v>
      </c>
      <c r="Y53" s="80">
        <f>SUMIFS('октябрь 2024'!$G$5:$G$2162,'октябрь 2024'!$D$5:$D$2162,$B53,'октябрь 2024'!$J$5:$J$2162,Y$1)</f>
        <v>0</v>
      </c>
      <c r="Z53" s="80">
        <f>SUMIFS('октябрь 2024'!$G$5:$G$2162,'октябрь 2024'!$D$5:$D$2162,$B53,'октябрь 2024'!$J$5:$J$2162,Z$1)</f>
        <v>0</v>
      </c>
      <c r="AA53" s="80">
        <f>SUMIFS('октябрь 2024'!$G$5:$G$2162,'октябрь 2024'!$D$5:$D$2162,$B53,'октябрь 2024'!$J$5:$J$2162,AA$1)</f>
        <v>0</v>
      </c>
      <c r="AB53" s="80">
        <f>SUMIFS('октябрь 2024'!$G$5:$G$2162,'октябрь 2024'!$D$5:$D$2162,$B53,'октябрь 2024'!$J$5:$J$2162,AB$1)</f>
        <v>0</v>
      </c>
      <c r="AC53" s="80">
        <f>SUMIFS('октябрь 2024'!$G$5:$G$2162,'октябрь 2024'!$D$5:$D$2162,$B53,'октябрь 2024'!$J$5:$J$2162,AC$1)</f>
        <v>0</v>
      </c>
      <c r="AD53" s="80">
        <f>SUMIFS('октябрь 2024'!$G$5:$G$2162,'октябрь 2024'!$D$5:$D$2162,$B53,'октябрь 2024'!$J$5:$J$2162,AD$1)</f>
        <v>0</v>
      </c>
      <c r="AE53" s="80">
        <f>SUMIFS('октябрь 2024'!$G$5:$G$2162,'октябрь 2024'!$D$5:$D$2162,$B53,'октябрь 2024'!$J$5:$J$2162,AE$1)</f>
        <v>0</v>
      </c>
      <c r="AF53" s="80">
        <f>SUMIFS('октябрь 2024'!$G$5:$G$2162,'октябрь 2024'!$D$5:$D$2162,$B53,'октябрь 2024'!$J$5:$J$2162,AF$1)</f>
        <v>0</v>
      </c>
      <c r="AG53" s="80">
        <f>SUMIFS('октябрь 2024'!$G$5:$G$2162,'октябрь 2024'!$D$5:$D$2162,$B53,'октябрь 2024'!$J$5:$J$2162,AG$1)</f>
        <v>0</v>
      </c>
      <c r="AH53" s="80">
        <f>SUMIFS('октябрь 2024'!$G$5:$G$2162,'октябрь 2024'!$D$5:$D$2162,$B53,'октябрь 2024'!$J$5:$J$2162,AH$1)</f>
        <v>0</v>
      </c>
      <c r="AI53" s="21">
        <f t="shared" si="1"/>
        <v>0</v>
      </c>
    </row>
    <row r="54" spans="2:35" ht="15" customHeight="1" x14ac:dyDescent="0.25">
      <c r="B54" s="150" t="s">
        <v>318</v>
      </c>
      <c r="C54" s="151">
        <v>20</v>
      </c>
      <c r="D54" s="80">
        <f>SUMIFS('октябрь 2024'!$G$5:$G$2162,'октябрь 2024'!$D$5:$D$2162,$B54,'октябрь 2024'!$J$5:$J$2162,D$1)</f>
        <v>0</v>
      </c>
      <c r="E54" s="80">
        <f>SUMIFS('октябрь 2024'!$G$5:$G$2162,'октябрь 2024'!$D$5:$D$2162,$B54,'октябрь 2024'!$J$5:$J$2162,E$1)</f>
        <v>0</v>
      </c>
      <c r="F54" s="80">
        <f>SUMIFS('октябрь 2024'!$G$5:$G$2162,'октябрь 2024'!$D$5:$D$2162,$B54,'октябрь 2024'!$J$5:$J$2162,F$1)</f>
        <v>0</v>
      </c>
      <c r="G54" s="80">
        <f>SUMIFS('октябрь 2024'!$G$5:$G$2162,'октябрь 2024'!$D$5:$D$2162,$B54,'октябрь 2024'!$J$5:$J$2162,G$1)</f>
        <v>0</v>
      </c>
      <c r="H54" s="80">
        <f>SUMIFS('октябрь 2024'!$G$5:$G$2162,'октябрь 2024'!$D$5:$D$2162,$B54,'октябрь 2024'!$J$5:$J$2162,H$1)</f>
        <v>0</v>
      </c>
      <c r="I54" s="80">
        <f>SUMIFS('октябрь 2024'!$G$5:$G$2162,'октябрь 2024'!$D$5:$D$2162,$B54,'октябрь 2024'!$J$5:$J$2162,I$1)</f>
        <v>0</v>
      </c>
      <c r="J54" s="80">
        <f>SUMIFS('октябрь 2024'!$G$5:$G$2162,'октябрь 2024'!$D$5:$D$2162,$B54,'октябрь 2024'!$J$5:$J$2162,J$1)</f>
        <v>0</v>
      </c>
      <c r="K54" s="80">
        <f>SUMIFS('октябрь 2024'!$G$5:$G$2162,'октябрь 2024'!$D$5:$D$2162,$B54,'октябрь 2024'!$J$5:$J$2162,K$1)</f>
        <v>0</v>
      </c>
      <c r="L54" s="80">
        <f>SUMIFS('октябрь 2024'!$G$5:$G$2162,'октябрь 2024'!$D$5:$D$2162,$B54,'октябрь 2024'!$J$5:$J$2162,L$1)</f>
        <v>0</v>
      </c>
      <c r="M54" s="80">
        <f>SUMIFS('октябрь 2024'!$G$5:$G$2162,'октябрь 2024'!$D$5:$D$2162,$B54,'октябрь 2024'!$J$5:$J$2162,M$1)</f>
        <v>0</v>
      </c>
      <c r="N54" s="80">
        <f>SUMIFS('октябрь 2024'!$G$5:$G$2162,'октябрь 2024'!$D$5:$D$2162,$B54,'октябрь 2024'!$J$5:$J$2162,N$1)</f>
        <v>0</v>
      </c>
      <c r="O54" s="80">
        <f>SUMIFS('октябрь 2024'!$G$5:$G$2162,'октябрь 2024'!$D$5:$D$2162,$B54,'октябрь 2024'!$J$5:$J$2162,O$1)</f>
        <v>0</v>
      </c>
      <c r="P54" s="80">
        <f>SUMIFS('октябрь 2024'!$G$5:$G$2162,'октябрь 2024'!$D$5:$D$2162,$B54,'октябрь 2024'!$J$5:$J$2162,P$1)</f>
        <v>0</v>
      </c>
      <c r="Q54" s="80">
        <f>SUMIFS('октябрь 2024'!$G$5:$G$2162,'октябрь 2024'!$D$5:$D$2162,$B54,'октябрь 2024'!$J$5:$J$2162,Q$1)</f>
        <v>0</v>
      </c>
      <c r="R54" s="80">
        <f>SUMIFS('октябрь 2024'!$G$5:$G$2162,'октябрь 2024'!$D$5:$D$2162,$B54,'октябрь 2024'!$J$5:$J$2162,R$1)</f>
        <v>0</v>
      </c>
      <c r="S54" s="80">
        <f>SUMIFS('октябрь 2024'!$G$5:$G$2162,'октябрь 2024'!$D$5:$D$2162,$B54,'октябрь 2024'!$J$5:$J$2162,S$1)</f>
        <v>0</v>
      </c>
      <c r="T54" s="80">
        <f>SUMIFS('октябрь 2024'!$G$5:$G$2162,'октябрь 2024'!$D$5:$D$2162,$B54,'октябрь 2024'!$J$5:$J$2162,T$1)</f>
        <v>0</v>
      </c>
      <c r="U54" s="80">
        <f>SUMIFS('октябрь 2024'!$G$5:$G$2162,'октябрь 2024'!$D$5:$D$2162,$B54,'октябрь 2024'!$J$5:$J$2162,U$1)</f>
        <v>0</v>
      </c>
      <c r="V54" s="80">
        <f>SUMIFS('октябрь 2024'!$G$5:$G$2162,'октябрь 2024'!$D$5:$D$2162,$B54,'октябрь 2024'!$J$5:$J$2162,V$1)</f>
        <v>0</v>
      </c>
      <c r="W54" s="80">
        <f>SUMIFS('октябрь 2024'!$G$5:$G$2162,'октябрь 2024'!$D$5:$D$2162,$B54,'октябрь 2024'!$J$5:$J$2162,W$1)</f>
        <v>0</v>
      </c>
      <c r="X54" s="80">
        <f>SUMIFS('октябрь 2024'!$G$5:$G$2162,'октябрь 2024'!$D$5:$D$2162,$B54,'октябрь 2024'!$J$5:$J$2162,X$1)</f>
        <v>0</v>
      </c>
      <c r="Y54" s="80">
        <f>SUMIFS('октябрь 2024'!$G$5:$G$2162,'октябрь 2024'!$D$5:$D$2162,$B54,'октябрь 2024'!$J$5:$J$2162,Y$1)</f>
        <v>0</v>
      </c>
      <c r="Z54" s="80">
        <f>SUMIFS('октябрь 2024'!$G$5:$G$2162,'октябрь 2024'!$D$5:$D$2162,$B54,'октябрь 2024'!$J$5:$J$2162,Z$1)</f>
        <v>0</v>
      </c>
      <c r="AA54" s="80">
        <f>SUMIFS('октябрь 2024'!$G$5:$G$2162,'октябрь 2024'!$D$5:$D$2162,$B54,'октябрь 2024'!$J$5:$J$2162,AA$1)</f>
        <v>0</v>
      </c>
      <c r="AB54" s="80">
        <f>SUMIFS('октябрь 2024'!$G$5:$G$2162,'октябрь 2024'!$D$5:$D$2162,$B54,'октябрь 2024'!$J$5:$J$2162,AB$1)</f>
        <v>0</v>
      </c>
      <c r="AC54" s="80">
        <f>SUMIFS('октябрь 2024'!$G$5:$G$2162,'октябрь 2024'!$D$5:$D$2162,$B54,'октябрь 2024'!$J$5:$J$2162,AC$1)</f>
        <v>0</v>
      </c>
      <c r="AD54" s="80">
        <f>SUMIFS('октябрь 2024'!$G$5:$G$2162,'октябрь 2024'!$D$5:$D$2162,$B54,'октябрь 2024'!$J$5:$J$2162,AD$1)</f>
        <v>0</v>
      </c>
      <c r="AE54" s="80">
        <f>SUMIFS('октябрь 2024'!$G$5:$G$2162,'октябрь 2024'!$D$5:$D$2162,$B54,'октябрь 2024'!$J$5:$J$2162,AE$1)</f>
        <v>0</v>
      </c>
      <c r="AF54" s="80">
        <f>SUMIFS('октябрь 2024'!$G$5:$G$2162,'октябрь 2024'!$D$5:$D$2162,$B54,'октябрь 2024'!$J$5:$J$2162,AF$1)</f>
        <v>0</v>
      </c>
      <c r="AG54" s="80">
        <f>SUMIFS('октябрь 2024'!$G$5:$G$2162,'октябрь 2024'!$D$5:$D$2162,$B54,'октябрь 2024'!$J$5:$J$2162,AG$1)</f>
        <v>0</v>
      </c>
      <c r="AH54" s="80">
        <f>SUMIFS('октябрь 2024'!$G$5:$G$2162,'октябрь 2024'!$D$5:$D$2162,$B54,'октябрь 2024'!$J$5:$J$2162,AH$1)</f>
        <v>0</v>
      </c>
      <c r="AI54" s="21">
        <f t="shared" si="1"/>
        <v>0</v>
      </c>
    </row>
    <row r="55" spans="2:35" ht="15" customHeight="1" x14ac:dyDescent="0.25">
      <c r="B55" s="150" t="s">
        <v>319</v>
      </c>
      <c r="C55" s="151">
        <v>20</v>
      </c>
      <c r="D55" s="80">
        <f>SUMIFS('октябрь 2024'!$G$5:$G$2162,'октябрь 2024'!$D$5:$D$2162,$B55,'октябрь 2024'!$J$5:$J$2162,D$1)</f>
        <v>0</v>
      </c>
      <c r="E55" s="80">
        <f>SUMIFS('октябрь 2024'!$G$5:$G$2162,'октябрь 2024'!$D$5:$D$2162,$B55,'октябрь 2024'!$J$5:$J$2162,E$1)</f>
        <v>0</v>
      </c>
      <c r="F55" s="80">
        <f>SUMIFS('октябрь 2024'!$G$5:$G$2162,'октябрь 2024'!$D$5:$D$2162,$B55,'октябрь 2024'!$J$5:$J$2162,F$1)</f>
        <v>0</v>
      </c>
      <c r="G55" s="80">
        <f>SUMIFS('октябрь 2024'!$G$5:$G$2162,'октябрь 2024'!$D$5:$D$2162,$B55,'октябрь 2024'!$J$5:$J$2162,G$1)</f>
        <v>0</v>
      </c>
      <c r="H55" s="80">
        <f>SUMIFS('октябрь 2024'!$G$5:$G$2162,'октябрь 2024'!$D$5:$D$2162,$B55,'октябрь 2024'!$J$5:$J$2162,H$1)</f>
        <v>0</v>
      </c>
      <c r="I55" s="80">
        <f>SUMIFS('октябрь 2024'!$G$5:$G$2162,'октябрь 2024'!$D$5:$D$2162,$B55,'октябрь 2024'!$J$5:$J$2162,I$1)</f>
        <v>0</v>
      </c>
      <c r="J55" s="80">
        <f>SUMIFS('октябрь 2024'!$G$5:$G$2162,'октябрь 2024'!$D$5:$D$2162,$B55,'октябрь 2024'!$J$5:$J$2162,J$1)</f>
        <v>0</v>
      </c>
      <c r="K55" s="80">
        <f>SUMIFS('октябрь 2024'!$G$5:$G$2162,'октябрь 2024'!$D$5:$D$2162,$B55,'октябрь 2024'!$J$5:$J$2162,K$1)</f>
        <v>0</v>
      </c>
      <c r="L55" s="80">
        <f>SUMIFS('октябрь 2024'!$G$5:$G$2162,'октябрь 2024'!$D$5:$D$2162,$B55,'октябрь 2024'!$J$5:$J$2162,L$1)</f>
        <v>0</v>
      </c>
      <c r="M55" s="80">
        <f>SUMIFS('октябрь 2024'!$G$5:$G$2162,'октябрь 2024'!$D$5:$D$2162,$B55,'октябрь 2024'!$J$5:$J$2162,M$1)</f>
        <v>0</v>
      </c>
      <c r="N55" s="80">
        <f>SUMIFS('октябрь 2024'!$G$5:$G$2162,'октябрь 2024'!$D$5:$D$2162,$B55,'октябрь 2024'!$J$5:$J$2162,N$1)</f>
        <v>0</v>
      </c>
      <c r="O55" s="80">
        <f>SUMIFS('октябрь 2024'!$G$5:$G$2162,'октябрь 2024'!$D$5:$D$2162,$B55,'октябрь 2024'!$J$5:$J$2162,O$1)</f>
        <v>0</v>
      </c>
      <c r="P55" s="80">
        <f>SUMIFS('октябрь 2024'!$G$5:$G$2162,'октябрь 2024'!$D$5:$D$2162,$B55,'октябрь 2024'!$J$5:$J$2162,P$1)</f>
        <v>0</v>
      </c>
      <c r="Q55" s="80">
        <f>SUMIFS('октябрь 2024'!$G$5:$G$2162,'октябрь 2024'!$D$5:$D$2162,$B55,'октябрь 2024'!$J$5:$J$2162,Q$1)</f>
        <v>0</v>
      </c>
      <c r="R55" s="80">
        <f>SUMIFS('октябрь 2024'!$G$5:$G$2162,'октябрь 2024'!$D$5:$D$2162,$B55,'октябрь 2024'!$J$5:$J$2162,R$1)</f>
        <v>0</v>
      </c>
      <c r="S55" s="80">
        <f>SUMIFS('октябрь 2024'!$G$5:$G$2162,'октябрь 2024'!$D$5:$D$2162,$B55,'октябрь 2024'!$J$5:$J$2162,S$1)</f>
        <v>0</v>
      </c>
      <c r="T55" s="80">
        <f>SUMIFS('октябрь 2024'!$G$5:$G$2162,'октябрь 2024'!$D$5:$D$2162,$B55,'октябрь 2024'!$J$5:$J$2162,T$1)</f>
        <v>0</v>
      </c>
      <c r="U55" s="80">
        <f>SUMIFS('октябрь 2024'!$G$5:$G$2162,'октябрь 2024'!$D$5:$D$2162,$B55,'октябрь 2024'!$J$5:$J$2162,U$1)</f>
        <v>0</v>
      </c>
      <c r="V55" s="80">
        <f>SUMIFS('октябрь 2024'!$G$5:$G$2162,'октябрь 2024'!$D$5:$D$2162,$B55,'октябрь 2024'!$J$5:$J$2162,V$1)</f>
        <v>0</v>
      </c>
      <c r="W55" s="80">
        <f>SUMIFS('октябрь 2024'!$G$5:$G$2162,'октябрь 2024'!$D$5:$D$2162,$B55,'октябрь 2024'!$J$5:$J$2162,W$1)</f>
        <v>0</v>
      </c>
      <c r="X55" s="80">
        <f>SUMIFS('октябрь 2024'!$G$5:$G$2162,'октябрь 2024'!$D$5:$D$2162,$B55,'октябрь 2024'!$J$5:$J$2162,X$1)</f>
        <v>0</v>
      </c>
      <c r="Y55" s="80">
        <f>SUMIFS('октябрь 2024'!$G$5:$G$2162,'октябрь 2024'!$D$5:$D$2162,$B55,'октябрь 2024'!$J$5:$J$2162,Y$1)</f>
        <v>0</v>
      </c>
      <c r="Z55" s="80">
        <f>SUMIFS('октябрь 2024'!$G$5:$G$2162,'октябрь 2024'!$D$5:$D$2162,$B55,'октябрь 2024'!$J$5:$J$2162,Z$1)</f>
        <v>0</v>
      </c>
      <c r="AA55" s="80">
        <f>SUMIFS('октябрь 2024'!$G$5:$G$2162,'октябрь 2024'!$D$5:$D$2162,$B55,'октябрь 2024'!$J$5:$J$2162,AA$1)</f>
        <v>0</v>
      </c>
      <c r="AB55" s="80">
        <f>SUMIFS('октябрь 2024'!$G$5:$G$2162,'октябрь 2024'!$D$5:$D$2162,$B55,'октябрь 2024'!$J$5:$J$2162,AB$1)</f>
        <v>0</v>
      </c>
      <c r="AC55" s="80">
        <f>SUMIFS('октябрь 2024'!$G$5:$G$2162,'октябрь 2024'!$D$5:$D$2162,$B55,'октябрь 2024'!$J$5:$J$2162,AC$1)</f>
        <v>0</v>
      </c>
      <c r="AD55" s="80">
        <f>SUMIFS('октябрь 2024'!$G$5:$G$2162,'октябрь 2024'!$D$5:$D$2162,$B55,'октябрь 2024'!$J$5:$J$2162,AD$1)</f>
        <v>0</v>
      </c>
      <c r="AE55" s="80">
        <f>SUMIFS('октябрь 2024'!$G$5:$G$2162,'октябрь 2024'!$D$5:$D$2162,$B55,'октябрь 2024'!$J$5:$J$2162,AE$1)</f>
        <v>0</v>
      </c>
      <c r="AF55" s="80">
        <f>SUMIFS('октябрь 2024'!$G$5:$G$2162,'октябрь 2024'!$D$5:$D$2162,$B55,'октябрь 2024'!$J$5:$J$2162,AF$1)</f>
        <v>0</v>
      </c>
      <c r="AG55" s="80">
        <f>SUMIFS('октябрь 2024'!$G$5:$G$2162,'октябрь 2024'!$D$5:$D$2162,$B55,'октябрь 2024'!$J$5:$J$2162,AG$1)</f>
        <v>0</v>
      </c>
      <c r="AH55" s="80">
        <f>SUMIFS('октябрь 2024'!$G$5:$G$2162,'октябрь 2024'!$D$5:$D$2162,$B55,'октябрь 2024'!$J$5:$J$2162,AH$1)</f>
        <v>0</v>
      </c>
      <c r="AI55" s="21">
        <f t="shared" si="1"/>
        <v>0</v>
      </c>
    </row>
    <row r="56" spans="2:35" ht="15" customHeight="1" x14ac:dyDescent="0.25">
      <c r="B56" s="150"/>
      <c r="C56" s="151"/>
      <c r="D56" s="80">
        <f>SUMIFS('октябрь 2024'!$G$5:$G$2162,'октябрь 2024'!$D$5:$D$2162,$B56,'октябрь 2024'!$J$5:$J$2162,D$1)</f>
        <v>0</v>
      </c>
      <c r="E56" s="80">
        <f>SUMIFS('октябрь 2024'!$G$5:$G$2162,'октябрь 2024'!$D$5:$D$2162,$B56,'октябрь 2024'!$J$5:$J$2162,E$1)</f>
        <v>0</v>
      </c>
      <c r="F56" s="80">
        <f>SUMIFS('октябрь 2024'!$G$5:$G$2162,'октябрь 2024'!$D$5:$D$2162,$B56,'октябрь 2024'!$J$5:$J$2162,F$1)</f>
        <v>0</v>
      </c>
      <c r="G56" s="80">
        <f>SUMIFS('октябрь 2024'!$G$5:$G$2162,'октябрь 2024'!$D$5:$D$2162,$B56,'октябрь 2024'!$J$5:$J$2162,G$1)</f>
        <v>0</v>
      </c>
      <c r="H56" s="80">
        <f>SUMIFS('октябрь 2024'!$G$5:$G$2162,'октябрь 2024'!$D$5:$D$2162,$B56,'октябрь 2024'!$J$5:$J$2162,H$1)</f>
        <v>0</v>
      </c>
      <c r="I56" s="80">
        <f>SUMIFS('октябрь 2024'!$G$5:$G$2162,'октябрь 2024'!$D$5:$D$2162,$B56,'октябрь 2024'!$J$5:$J$2162,I$1)</f>
        <v>0</v>
      </c>
      <c r="J56" s="80">
        <f>SUMIFS('октябрь 2024'!$G$5:$G$2162,'октябрь 2024'!$D$5:$D$2162,$B56,'октябрь 2024'!$J$5:$J$2162,J$1)</f>
        <v>0</v>
      </c>
      <c r="K56" s="80">
        <f>SUMIFS('октябрь 2024'!$G$5:$G$2162,'октябрь 2024'!$D$5:$D$2162,$B56,'октябрь 2024'!$J$5:$J$2162,K$1)</f>
        <v>0</v>
      </c>
      <c r="L56" s="80">
        <f>SUMIFS('октябрь 2024'!$G$5:$G$2162,'октябрь 2024'!$D$5:$D$2162,$B56,'октябрь 2024'!$J$5:$J$2162,L$1)</f>
        <v>0</v>
      </c>
      <c r="M56" s="80">
        <f>SUMIFS('октябрь 2024'!$G$5:$G$2162,'октябрь 2024'!$D$5:$D$2162,$B56,'октябрь 2024'!$J$5:$J$2162,M$1)</f>
        <v>0</v>
      </c>
      <c r="N56" s="80">
        <f>SUMIFS('октябрь 2024'!$G$5:$G$2162,'октябрь 2024'!$D$5:$D$2162,$B56,'октябрь 2024'!$J$5:$J$2162,N$1)</f>
        <v>0</v>
      </c>
      <c r="O56" s="80">
        <f>SUMIFS('октябрь 2024'!$G$5:$G$2162,'октябрь 2024'!$D$5:$D$2162,$B56,'октябрь 2024'!$J$5:$J$2162,O$1)</f>
        <v>0</v>
      </c>
      <c r="P56" s="80">
        <f>SUMIFS('октябрь 2024'!$G$5:$G$2162,'октябрь 2024'!$D$5:$D$2162,$B56,'октябрь 2024'!$J$5:$J$2162,P$1)</f>
        <v>0</v>
      </c>
      <c r="Q56" s="80">
        <f>SUMIFS('октябрь 2024'!$G$5:$G$2162,'октябрь 2024'!$D$5:$D$2162,$B56,'октябрь 2024'!$J$5:$J$2162,Q$1)</f>
        <v>0</v>
      </c>
      <c r="R56" s="80">
        <f>SUMIFS('октябрь 2024'!$G$5:$G$2162,'октябрь 2024'!$D$5:$D$2162,$B56,'октябрь 2024'!$J$5:$J$2162,R$1)</f>
        <v>0</v>
      </c>
      <c r="S56" s="80">
        <f>SUMIFS('октябрь 2024'!$G$5:$G$2162,'октябрь 2024'!$D$5:$D$2162,$B56,'октябрь 2024'!$J$5:$J$2162,S$1)</f>
        <v>0</v>
      </c>
      <c r="T56" s="80">
        <f>SUMIFS('октябрь 2024'!$G$5:$G$2162,'октябрь 2024'!$D$5:$D$2162,$B56,'октябрь 2024'!$J$5:$J$2162,T$1)</f>
        <v>0</v>
      </c>
      <c r="U56" s="80">
        <f>SUMIFS('октябрь 2024'!$G$5:$G$2162,'октябрь 2024'!$D$5:$D$2162,$B56,'октябрь 2024'!$J$5:$J$2162,U$1)</f>
        <v>0</v>
      </c>
      <c r="V56" s="80">
        <f>SUMIFS('октябрь 2024'!$G$5:$G$2162,'октябрь 2024'!$D$5:$D$2162,$B56,'октябрь 2024'!$J$5:$J$2162,V$1)</f>
        <v>0</v>
      </c>
      <c r="W56" s="80">
        <f>SUMIFS('октябрь 2024'!$G$5:$G$2162,'октябрь 2024'!$D$5:$D$2162,$B56,'октябрь 2024'!$J$5:$J$2162,W$1)</f>
        <v>0</v>
      </c>
      <c r="X56" s="80">
        <f>SUMIFS('октябрь 2024'!$G$5:$G$2162,'октябрь 2024'!$D$5:$D$2162,$B56,'октябрь 2024'!$J$5:$J$2162,X$1)</f>
        <v>0</v>
      </c>
      <c r="Y56" s="80">
        <f>SUMIFS('октябрь 2024'!$G$5:$G$2162,'октябрь 2024'!$D$5:$D$2162,$B56,'октябрь 2024'!$J$5:$J$2162,Y$1)</f>
        <v>0</v>
      </c>
      <c r="Z56" s="80">
        <f>SUMIFS('октябрь 2024'!$G$5:$G$2162,'октябрь 2024'!$D$5:$D$2162,$B56,'октябрь 2024'!$J$5:$J$2162,Z$1)</f>
        <v>0</v>
      </c>
      <c r="AA56" s="80">
        <f>SUMIFS('октябрь 2024'!$G$5:$G$2162,'октябрь 2024'!$D$5:$D$2162,$B56,'октябрь 2024'!$J$5:$J$2162,AA$1)</f>
        <v>0</v>
      </c>
      <c r="AB56" s="80">
        <f>SUMIFS('октябрь 2024'!$G$5:$G$2162,'октябрь 2024'!$D$5:$D$2162,$B56,'октябрь 2024'!$J$5:$J$2162,AB$1)</f>
        <v>0</v>
      </c>
      <c r="AC56" s="80">
        <f>SUMIFS('октябрь 2024'!$G$5:$G$2162,'октябрь 2024'!$D$5:$D$2162,$B56,'октябрь 2024'!$J$5:$J$2162,AC$1)</f>
        <v>0</v>
      </c>
      <c r="AD56" s="80">
        <f>SUMIFS('октябрь 2024'!$G$5:$G$2162,'октябрь 2024'!$D$5:$D$2162,$B56,'октябрь 2024'!$J$5:$J$2162,AD$1)</f>
        <v>0</v>
      </c>
      <c r="AE56" s="80">
        <f>SUMIFS('октябрь 2024'!$G$5:$G$2162,'октябрь 2024'!$D$5:$D$2162,$B56,'октябрь 2024'!$J$5:$J$2162,AE$1)</f>
        <v>0</v>
      </c>
      <c r="AF56" s="80">
        <f>SUMIFS('октябрь 2024'!$G$5:$G$2162,'октябрь 2024'!$D$5:$D$2162,$B56,'октябрь 2024'!$J$5:$J$2162,AF$1)</f>
        <v>0</v>
      </c>
      <c r="AG56" s="80">
        <f>SUMIFS('октябрь 2024'!$G$5:$G$2162,'октябрь 2024'!$D$5:$D$2162,$B56,'октябрь 2024'!$J$5:$J$2162,AG$1)</f>
        <v>0</v>
      </c>
      <c r="AH56" s="80">
        <f>SUMIFS('октябрь 2024'!$G$5:$G$2162,'октябрь 2024'!$D$5:$D$2162,$B56,'октябрь 2024'!$J$5:$J$2162,AH$1)</f>
        <v>0</v>
      </c>
      <c r="AI56" s="21">
        <f t="shared" si="1"/>
        <v>0</v>
      </c>
    </row>
    <row r="57" spans="2:35" ht="15" customHeight="1" x14ac:dyDescent="0.25">
      <c r="B57" s="150"/>
      <c r="C57" s="151"/>
      <c r="D57" s="80">
        <f>SUMIFS('октябрь 2024'!$G$5:$G$2162,'октябрь 2024'!$D$5:$D$2162,$B57,'октябрь 2024'!$J$5:$J$2162,D$1)</f>
        <v>0</v>
      </c>
      <c r="E57" s="80">
        <f>SUMIFS('октябрь 2024'!$G$5:$G$2162,'октябрь 2024'!$D$5:$D$2162,$B57,'октябрь 2024'!$J$5:$J$2162,E$1)</f>
        <v>0</v>
      </c>
      <c r="F57" s="80">
        <f>SUMIFS('октябрь 2024'!$G$5:$G$2162,'октябрь 2024'!$D$5:$D$2162,$B57,'октябрь 2024'!$J$5:$J$2162,F$1)</f>
        <v>0</v>
      </c>
      <c r="G57" s="80">
        <f>SUMIFS('октябрь 2024'!$G$5:$G$2162,'октябрь 2024'!$D$5:$D$2162,$B57,'октябрь 2024'!$J$5:$J$2162,G$1)</f>
        <v>0</v>
      </c>
      <c r="H57" s="80">
        <f>SUMIFS('октябрь 2024'!$G$5:$G$2162,'октябрь 2024'!$D$5:$D$2162,$B57,'октябрь 2024'!$J$5:$J$2162,H$1)</f>
        <v>0</v>
      </c>
      <c r="I57" s="80">
        <f>SUMIFS('октябрь 2024'!$G$5:$G$2162,'октябрь 2024'!$D$5:$D$2162,$B57,'октябрь 2024'!$J$5:$J$2162,I$1)</f>
        <v>0</v>
      </c>
      <c r="J57" s="80">
        <f>SUMIFS('октябрь 2024'!$G$5:$G$2162,'октябрь 2024'!$D$5:$D$2162,$B57,'октябрь 2024'!$J$5:$J$2162,J$1)</f>
        <v>0</v>
      </c>
      <c r="K57" s="80">
        <f>SUMIFS('октябрь 2024'!$G$5:$G$2162,'октябрь 2024'!$D$5:$D$2162,$B57,'октябрь 2024'!$J$5:$J$2162,K$1)</f>
        <v>0</v>
      </c>
      <c r="L57" s="80">
        <f>SUMIFS('октябрь 2024'!$G$5:$G$2162,'октябрь 2024'!$D$5:$D$2162,$B57,'октябрь 2024'!$J$5:$J$2162,L$1)</f>
        <v>0</v>
      </c>
      <c r="M57" s="80">
        <f>SUMIFS('октябрь 2024'!$G$5:$G$2162,'октябрь 2024'!$D$5:$D$2162,$B57,'октябрь 2024'!$J$5:$J$2162,M$1)</f>
        <v>0</v>
      </c>
      <c r="N57" s="80">
        <f>SUMIFS('октябрь 2024'!$G$5:$G$2162,'октябрь 2024'!$D$5:$D$2162,$B57,'октябрь 2024'!$J$5:$J$2162,N$1)</f>
        <v>0</v>
      </c>
      <c r="O57" s="80">
        <f>SUMIFS('октябрь 2024'!$G$5:$G$2162,'октябрь 2024'!$D$5:$D$2162,$B57,'октябрь 2024'!$J$5:$J$2162,O$1)</f>
        <v>0</v>
      </c>
      <c r="P57" s="80">
        <f>SUMIFS('октябрь 2024'!$G$5:$G$2162,'октябрь 2024'!$D$5:$D$2162,$B57,'октябрь 2024'!$J$5:$J$2162,P$1)</f>
        <v>0</v>
      </c>
      <c r="Q57" s="80">
        <f>SUMIFS('октябрь 2024'!$G$5:$G$2162,'октябрь 2024'!$D$5:$D$2162,$B57,'октябрь 2024'!$J$5:$J$2162,Q$1)</f>
        <v>0</v>
      </c>
      <c r="R57" s="80">
        <f>SUMIFS('октябрь 2024'!$G$5:$G$2162,'октябрь 2024'!$D$5:$D$2162,$B57,'октябрь 2024'!$J$5:$J$2162,R$1)</f>
        <v>0</v>
      </c>
      <c r="S57" s="80">
        <f>SUMIFS('октябрь 2024'!$G$5:$G$2162,'октябрь 2024'!$D$5:$D$2162,$B57,'октябрь 2024'!$J$5:$J$2162,S$1)</f>
        <v>0</v>
      </c>
      <c r="T57" s="80">
        <f>SUMIFS('октябрь 2024'!$G$5:$G$2162,'октябрь 2024'!$D$5:$D$2162,$B57,'октябрь 2024'!$J$5:$J$2162,T$1)</f>
        <v>0</v>
      </c>
      <c r="U57" s="80">
        <f>SUMIFS('октябрь 2024'!$G$5:$G$2162,'октябрь 2024'!$D$5:$D$2162,$B57,'октябрь 2024'!$J$5:$J$2162,U$1)</f>
        <v>0</v>
      </c>
      <c r="V57" s="80">
        <f>SUMIFS('октябрь 2024'!$G$5:$G$2162,'октябрь 2024'!$D$5:$D$2162,$B57,'октябрь 2024'!$J$5:$J$2162,V$1)</f>
        <v>0</v>
      </c>
      <c r="W57" s="80">
        <f>SUMIFS('октябрь 2024'!$G$5:$G$2162,'октябрь 2024'!$D$5:$D$2162,$B57,'октябрь 2024'!$J$5:$J$2162,W$1)</f>
        <v>0</v>
      </c>
      <c r="X57" s="80">
        <f>SUMIFS('октябрь 2024'!$G$5:$G$2162,'октябрь 2024'!$D$5:$D$2162,$B57,'октябрь 2024'!$J$5:$J$2162,X$1)</f>
        <v>0</v>
      </c>
      <c r="Y57" s="80">
        <f>SUMIFS('октябрь 2024'!$G$5:$G$2162,'октябрь 2024'!$D$5:$D$2162,$B57,'октябрь 2024'!$J$5:$J$2162,Y$1)</f>
        <v>0</v>
      </c>
      <c r="Z57" s="80">
        <f>SUMIFS('октябрь 2024'!$G$5:$G$2162,'октябрь 2024'!$D$5:$D$2162,$B57,'октябрь 2024'!$J$5:$J$2162,Z$1)</f>
        <v>0</v>
      </c>
      <c r="AA57" s="80">
        <f>SUMIFS('октябрь 2024'!$G$5:$G$2162,'октябрь 2024'!$D$5:$D$2162,$B57,'октябрь 2024'!$J$5:$J$2162,AA$1)</f>
        <v>0</v>
      </c>
      <c r="AB57" s="80">
        <f>SUMIFS('октябрь 2024'!$G$5:$G$2162,'октябрь 2024'!$D$5:$D$2162,$B57,'октябрь 2024'!$J$5:$J$2162,AB$1)</f>
        <v>0</v>
      </c>
      <c r="AC57" s="80">
        <f>SUMIFS('октябрь 2024'!$G$5:$G$2162,'октябрь 2024'!$D$5:$D$2162,$B57,'октябрь 2024'!$J$5:$J$2162,AC$1)</f>
        <v>0</v>
      </c>
      <c r="AD57" s="80">
        <f>SUMIFS('октябрь 2024'!$G$5:$G$2162,'октябрь 2024'!$D$5:$D$2162,$B57,'октябрь 2024'!$J$5:$J$2162,AD$1)</f>
        <v>0</v>
      </c>
      <c r="AE57" s="80">
        <f>SUMIFS('октябрь 2024'!$G$5:$G$2162,'октябрь 2024'!$D$5:$D$2162,$B57,'октябрь 2024'!$J$5:$J$2162,AE$1)</f>
        <v>0</v>
      </c>
      <c r="AF57" s="80">
        <f>SUMIFS('октябрь 2024'!$G$5:$G$2162,'октябрь 2024'!$D$5:$D$2162,$B57,'октябрь 2024'!$J$5:$J$2162,AF$1)</f>
        <v>0</v>
      </c>
      <c r="AG57" s="80">
        <f>SUMIFS('октябрь 2024'!$G$5:$G$2162,'октябрь 2024'!$D$5:$D$2162,$B57,'октябрь 2024'!$J$5:$J$2162,AG$1)</f>
        <v>0</v>
      </c>
      <c r="AH57" s="80">
        <f>SUMIFS('октябрь 2024'!$G$5:$G$2162,'октябрь 2024'!$D$5:$D$2162,$B57,'октябрь 2024'!$J$5:$J$2162,AH$1)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80">
        <f>SUMIFS('октябрь 2024'!$G$5:$G$2162,'октябрь 2024'!$D$5:$D$2162,$B58,'октябрь 2024'!$J$5:$J$2162,D$1)</f>
        <v>0</v>
      </c>
      <c r="E58" s="80">
        <f>SUMIFS('октябрь 2024'!$G$5:$G$2162,'октябрь 2024'!$D$5:$D$2162,$B58,'октябрь 2024'!$J$5:$J$2162,E$1)</f>
        <v>0</v>
      </c>
      <c r="F58" s="80">
        <f>SUMIFS('октябрь 2024'!$G$5:$G$2162,'октябрь 2024'!$D$5:$D$2162,$B58,'октябрь 2024'!$J$5:$J$2162,F$1)</f>
        <v>0</v>
      </c>
      <c r="G58" s="80">
        <f>SUMIFS('октябрь 2024'!$G$5:$G$2162,'октябрь 2024'!$D$5:$D$2162,$B58,'октябрь 2024'!$J$5:$J$2162,G$1)</f>
        <v>0</v>
      </c>
      <c r="H58" s="80">
        <f>SUMIFS('октябрь 2024'!$G$5:$G$2162,'октябрь 2024'!$D$5:$D$2162,$B58,'октябрь 2024'!$J$5:$J$2162,H$1)</f>
        <v>0</v>
      </c>
      <c r="I58" s="80">
        <f>SUMIFS('октябрь 2024'!$G$5:$G$2162,'октябрь 2024'!$D$5:$D$2162,$B58,'октябрь 2024'!$J$5:$J$2162,I$1)</f>
        <v>0</v>
      </c>
      <c r="J58" s="80">
        <f>SUMIFS('октябрь 2024'!$G$5:$G$2162,'октябрь 2024'!$D$5:$D$2162,$B58,'октябрь 2024'!$J$5:$J$2162,J$1)</f>
        <v>0</v>
      </c>
      <c r="K58" s="80">
        <f>SUMIFS('октябрь 2024'!$G$5:$G$2162,'октябрь 2024'!$D$5:$D$2162,$B58,'октябрь 2024'!$J$5:$J$2162,K$1)</f>
        <v>0</v>
      </c>
      <c r="L58" s="80">
        <f>SUMIFS('октябрь 2024'!$G$5:$G$2162,'октябрь 2024'!$D$5:$D$2162,$B58,'октябрь 2024'!$J$5:$J$2162,L$1)</f>
        <v>0</v>
      </c>
      <c r="M58" s="80">
        <f>SUMIFS('октябрь 2024'!$G$5:$G$2162,'октябрь 2024'!$D$5:$D$2162,$B58,'октябрь 2024'!$J$5:$J$2162,M$1)</f>
        <v>0</v>
      </c>
      <c r="N58" s="80">
        <f>SUMIFS('октябрь 2024'!$G$5:$G$2162,'октябрь 2024'!$D$5:$D$2162,$B58,'октябрь 2024'!$J$5:$J$2162,N$1)</f>
        <v>0</v>
      </c>
      <c r="O58" s="80">
        <f>SUMIFS('октябрь 2024'!$G$5:$G$2162,'октябрь 2024'!$D$5:$D$2162,$B58,'октябрь 2024'!$J$5:$J$2162,O$1)</f>
        <v>0</v>
      </c>
      <c r="P58" s="80">
        <f>SUMIFS('октябрь 2024'!$G$5:$G$2162,'октябрь 2024'!$D$5:$D$2162,$B58,'октябрь 2024'!$J$5:$J$2162,P$1)</f>
        <v>0</v>
      </c>
      <c r="Q58" s="80">
        <f>SUMIFS('октябрь 2024'!$G$5:$G$2162,'октябрь 2024'!$D$5:$D$2162,$B58,'октябрь 2024'!$J$5:$J$2162,Q$1)</f>
        <v>0</v>
      </c>
      <c r="R58" s="80">
        <f>SUMIFS('октябрь 2024'!$G$5:$G$2162,'октябрь 2024'!$D$5:$D$2162,$B58,'октябрь 2024'!$J$5:$J$2162,R$1)</f>
        <v>0</v>
      </c>
      <c r="S58" s="80">
        <f>SUMIFS('октябрь 2024'!$G$5:$G$2162,'октябрь 2024'!$D$5:$D$2162,$B58,'октябрь 2024'!$J$5:$J$2162,S$1)</f>
        <v>0</v>
      </c>
      <c r="T58" s="80">
        <f>SUMIFS('октябрь 2024'!$G$5:$G$2162,'октябрь 2024'!$D$5:$D$2162,$B58,'октябрь 2024'!$J$5:$J$2162,T$1)</f>
        <v>0</v>
      </c>
      <c r="U58" s="80">
        <f>SUMIFS('октябрь 2024'!$G$5:$G$2162,'октябрь 2024'!$D$5:$D$2162,$B58,'октябрь 2024'!$J$5:$J$2162,U$1)</f>
        <v>0</v>
      </c>
      <c r="V58" s="80">
        <f>SUMIFS('октябрь 2024'!$G$5:$G$2162,'октябрь 2024'!$D$5:$D$2162,$B58,'октябрь 2024'!$J$5:$J$2162,V$1)</f>
        <v>0</v>
      </c>
      <c r="W58" s="80">
        <f>SUMIFS('октябрь 2024'!$G$5:$G$2162,'октябрь 2024'!$D$5:$D$2162,$B58,'октябрь 2024'!$J$5:$J$2162,W$1)</f>
        <v>0</v>
      </c>
      <c r="X58" s="80">
        <f>SUMIFS('октябрь 2024'!$G$5:$G$2162,'октябрь 2024'!$D$5:$D$2162,$B58,'октябрь 2024'!$J$5:$J$2162,X$1)</f>
        <v>0</v>
      </c>
      <c r="Y58" s="80">
        <f>SUMIFS('октябрь 2024'!$G$5:$G$2162,'октябрь 2024'!$D$5:$D$2162,$B58,'октябрь 2024'!$J$5:$J$2162,Y$1)</f>
        <v>0</v>
      </c>
      <c r="Z58" s="80">
        <f>SUMIFS('октябрь 2024'!$G$5:$G$2162,'октябрь 2024'!$D$5:$D$2162,$B58,'октябрь 2024'!$J$5:$J$2162,Z$1)</f>
        <v>0</v>
      </c>
      <c r="AA58" s="80">
        <f>SUMIFS('октябрь 2024'!$G$5:$G$2162,'октябрь 2024'!$D$5:$D$2162,$B58,'октябрь 2024'!$J$5:$J$2162,AA$1)</f>
        <v>0</v>
      </c>
      <c r="AB58" s="80">
        <f>SUMIFS('октябрь 2024'!$G$5:$G$2162,'октябрь 2024'!$D$5:$D$2162,$B58,'октябрь 2024'!$J$5:$J$2162,AB$1)</f>
        <v>0</v>
      </c>
      <c r="AC58" s="80">
        <f>SUMIFS('октябрь 2024'!$G$5:$G$2162,'октябрь 2024'!$D$5:$D$2162,$B58,'октябрь 2024'!$J$5:$J$2162,AC$1)</f>
        <v>0</v>
      </c>
      <c r="AD58" s="80">
        <f>SUMIFS('октябрь 2024'!$G$5:$G$2162,'октябрь 2024'!$D$5:$D$2162,$B58,'октябрь 2024'!$J$5:$J$2162,AD$1)</f>
        <v>0</v>
      </c>
      <c r="AE58" s="80">
        <f>SUMIFS('октябрь 2024'!$G$5:$G$2162,'октябрь 2024'!$D$5:$D$2162,$B58,'октябрь 2024'!$J$5:$J$2162,AE$1)</f>
        <v>0</v>
      </c>
      <c r="AF58" s="80">
        <f>SUMIFS('октябрь 2024'!$G$5:$G$2162,'октябрь 2024'!$D$5:$D$2162,$B58,'октябрь 2024'!$J$5:$J$2162,AF$1)</f>
        <v>0</v>
      </c>
      <c r="AG58" s="80">
        <f>SUMIFS('октябрь 2024'!$G$5:$G$2162,'октябрь 2024'!$D$5:$D$2162,$B58,'октябрь 2024'!$J$5:$J$2162,AG$1)</f>
        <v>0</v>
      </c>
      <c r="AH58" s="80">
        <f>SUMIFS('октябрь 2024'!$G$5:$G$2162,'октябрь 2024'!$D$5:$D$2162,$B58,'октябрь 2024'!$J$5:$J$2162,AH$1)</f>
        <v>0</v>
      </c>
      <c r="AI58" s="21">
        <f t="shared" si="1"/>
        <v>0</v>
      </c>
    </row>
    <row r="59" spans="2:35" ht="15" customHeight="1" x14ac:dyDescent="0.25">
      <c r="B59" s="155"/>
      <c r="C59" s="151"/>
      <c r="D59" s="80">
        <f>SUMIFS('октябрь 2024'!$G$5:$G$2162,'октябрь 2024'!$D$5:$D$2162,$B59,'октябрь 2024'!$J$5:$J$2162,D$1)</f>
        <v>0</v>
      </c>
      <c r="E59" s="80">
        <f>SUMIFS('октябрь 2024'!$G$5:$G$2162,'октябрь 2024'!$D$5:$D$2162,$B59,'октябрь 2024'!$J$5:$J$2162,E$1)</f>
        <v>0</v>
      </c>
      <c r="F59" s="80">
        <f>SUMIFS('октябрь 2024'!$G$5:$G$2162,'октябрь 2024'!$D$5:$D$2162,$B59,'октябрь 2024'!$J$5:$J$2162,F$1)</f>
        <v>0</v>
      </c>
      <c r="G59" s="80">
        <f>SUMIFS('октябрь 2024'!$G$5:$G$2162,'октябрь 2024'!$D$5:$D$2162,$B59,'октябрь 2024'!$J$5:$J$2162,G$1)</f>
        <v>0</v>
      </c>
      <c r="H59" s="80">
        <f>SUMIFS('октябрь 2024'!$G$5:$G$2162,'октябрь 2024'!$D$5:$D$2162,$B59,'октябрь 2024'!$J$5:$J$2162,H$1)</f>
        <v>0</v>
      </c>
      <c r="I59" s="80">
        <f>SUMIFS('октябрь 2024'!$G$5:$G$2162,'октябрь 2024'!$D$5:$D$2162,$B59,'октябрь 2024'!$J$5:$J$2162,I$1)</f>
        <v>0</v>
      </c>
      <c r="J59" s="80">
        <f>SUMIFS('октябрь 2024'!$G$5:$G$2162,'октябрь 2024'!$D$5:$D$2162,$B59,'октябрь 2024'!$J$5:$J$2162,J$1)</f>
        <v>0</v>
      </c>
      <c r="K59" s="80">
        <f>SUMIFS('октябрь 2024'!$G$5:$G$2162,'октябрь 2024'!$D$5:$D$2162,$B59,'октябрь 2024'!$J$5:$J$2162,K$1)</f>
        <v>0</v>
      </c>
      <c r="L59" s="80">
        <f>SUMIFS('октябрь 2024'!$G$5:$G$2162,'октябрь 2024'!$D$5:$D$2162,$B59,'октябрь 2024'!$J$5:$J$2162,L$1)</f>
        <v>0</v>
      </c>
      <c r="M59" s="80">
        <f>SUMIFS('октябрь 2024'!$G$5:$G$2162,'октябрь 2024'!$D$5:$D$2162,$B59,'октябрь 2024'!$J$5:$J$2162,M$1)</f>
        <v>0</v>
      </c>
      <c r="N59" s="80">
        <f>SUMIFS('октябрь 2024'!$G$5:$G$2162,'октябрь 2024'!$D$5:$D$2162,$B59,'октябрь 2024'!$J$5:$J$2162,N$1)</f>
        <v>0</v>
      </c>
      <c r="O59" s="80">
        <f>SUMIFS('октябрь 2024'!$G$5:$G$2162,'октябрь 2024'!$D$5:$D$2162,$B59,'октябрь 2024'!$J$5:$J$2162,O$1)</f>
        <v>0</v>
      </c>
      <c r="P59" s="80">
        <f>SUMIFS('октябрь 2024'!$G$5:$G$2162,'октябрь 2024'!$D$5:$D$2162,$B59,'октябрь 2024'!$J$5:$J$2162,P$1)</f>
        <v>0</v>
      </c>
      <c r="Q59" s="80">
        <f>SUMIFS('октябрь 2024'!$G$5:$G$2162,'октябрь 2024'!$D$5:$D$2162,$B59,'октябрь 2024'!$J$5:$J$2162,Q$1)</f>
        <v>0</v>
      </c>
      <c r="R59" s="80">
        <f>SUMIFS('октябрь 2024'!$G$5:$G$2162,'октябрь 2024'!$D$5:$D$2162,$B59,'октябрь 2024'!$J$5:$J$2162,R$1)</f>
        <v>0</v>
      </c>
      <c r="S59" s="80">
        <f>SUMIFS('октябрь 2024'!$G$5:$G$2162,'октябрь 2024'!$D$5:$D$2162,$B59,'октябрь 2024'!$J$5:$J$2162,S$1)</f>
        <v>0</v>
      </c>
      <c r="T59" s="80">
        <f>SUMIFS('октябрь 2024'!$G$5:$G$2162,'октябрь 2024'!$D$5:$D$2162,$B59,'октябрь 2024'!$J$5:$J$2162,T$1)</f>
        <v>0</v>
      </c>
      <c r="U59" s="80">
        <f>SUMIFS('октябрь 2024'!$G$5:$G$2162,'октябрь 2024'!$D$5:$D$2162,$B59,'октябрь 2024'!$J$5:$J$2162,U$1)</f>
        <v>0</v>
      </c>
      <c r="V59" s="80">
        <f>SUMIFS('октябрь 2024'!$G$5:$G$2162,'октябрь 2024'!$D$5:$D$2162,$B59,'октябрь 2024'!$J$5:$J$2162,V$1)</f>
        <v>0</v>
      </c>
      <c r="W59" s="80">
        <f>SUMIFS('октябрь 2024'!$G$5:$G$2162,'октябрь 2024'!$D$5:$D$2162,$B59,'октябрь 2024'!$J$5:$J$2162,W$1)</f>
        <v>0</v>
      </c>
      <c r="X59" s="80">
        <f>SUMIFS('октябрь 2024'!$G$5:$G$2162,'октябрь 2024'!$D$5:$D$2162,$B59,'октябрь 2024'!$J$5:$J$2162,X$1)</f>
        <v>0</v>
      </c>
      <c r="Y59" s="80">
        <f>SUMIFS('октябрь 2024'!$G$5:$G$2162,'октябрь 2024'!$D$5:$D$2162,$B59,'октябрь 2024'!$J$5:$J$2162,Y$1)</f>
        <v>0</v>
      </c>
      <c r="Z59" s="80">
        <f>SUMIFS('октябрь 2024'!$G$5:$G$2162,'октябрь 2024'!$D$5:$D$2162,$B59,'октябрь 2024'!$J$5:$J$2162,Z$1)</f>
        <v>0</v>
      </c>
      <c r="AA59" s="80">
        <f>SUMIFS('октябрь 2024'!$G$5:$G$2162,'октябрь 2024'!$D$5:$D$2162,$B59,'октябрь 2024'!$J$5:$J$2162,AA$1)</f>
        <v>0</v>
      </c>
      <c r="AB59" s="80">
        <f>SUMIFS('октябрь 2024'!$G$5:$G$2162,'октябрь 2024'!$D$5:$D$2162,$B59,'октябрь 2024'!$J$5:$J$2162,AB$1)</f>
        <v>0</v>
      </c>
      <c r="AC59" s="80">
        <f>SUMIFS('октябрь 2024'!$G$5:$G$2162,'октябрь 2024'!$D$5:$D$2162,$B59,'октябрь 2024'!$J$5:$J$2162,AC$1)</f>
        <v>0</v>
      </c>
      <c r="AD59" s="80">
        <f>SUMIFS('октябрь 2024'!$G$5:$G$2162,'октябрь 2024'!$D$5:$D$2162,$B59,'октябрь 2024'!$J$5:$J$2162,AD$1)</f>
        <v>0</v>
      </c>
      <c r="AE59" s="80">
        <f>SUMIFS('октябрь 2024'!$G$5:$G$2162,'октябрь 2024'!$D$5:$D$2162,$B59,'октябрь 2024'!$J$5:$J$2162,AE$1)</f>
        <v>0</v>
      </c>
      <c r="AF59" s="80">
        <f>SUMIFS('октябрь 2024'!$G$5:$G$2162,'октябрь 2024'!$D$5:$D$2162,$B59,'октябрь 2024'!$J$5:$J$2162,AF$1)</f>
        <v>0</v>
      </c>
      <c r="AG59" s="80">
        <f>SUMIFS('октябрь 2024'!$G$5:$G$2162,'октябрь 2024'!$D$5:$D$2162,$B59,'октябрь 2024'!$J$5:$J$2162,AG$1)</f>
        <v>0</v>
      </c>
      <c r="AH59" s="80">
        <f>SUMIFS('октябрь 2024'!$G$5:$G$2162,'октябрь 2024'!$D$5:$D$2162,$B59,'октябрь 2024'!$J$5:$J$2162,AH$1)</f>
        <v>0</v>
      </c>
      <c r="AI59" s="21">
        <f t="shared" si="1"/>
        <v>0</v>
      </c>
    </row>
    <row r="60" spans="2:35" ht="15" customHeight="1" x14ac:dyDescent="0.25">
      <c r="B60" s="155"/>
      <c r="C60" s="151"/>
      <c r="D60" s="80">
        <f>SUMIFS('октябрь 2024'!$G$5:$G$2162,'октябрь 2024'!$D$5:$D$2162,$B60,'октябрь 2024'!$J$5:$J$2162,D$1)</f>
        <v>0</v>
      </c>
      <c r="E60" s="80">
        <f>SUMIFS('октябрь 2024'!$G$5:$G$2162,'октябрь 2024'!$D$5:$D$2162,$B60,'октябрь 2024'!$J$5:$J$2162,E$1)</f>
        <v>0</v>
      </c>
      <c r="F60" s="80">
        <f>SUMIFS('октябрь 2024'!$G$5:$G$2162,'октябрь 2024'!$D$5:$D$2162,$B60,'октябрь 2024'!$J$5:$J$2162,F$1)</f>
        <v>0</v>
      </c>
      <c r="G60" s="80">
        <f>SUMIFS('октябрь 2024'!$G$5:$G$2162,'октябрь 2024'!$D$5:$D$2162,$B60,'октябрь 2024'!$J$5:$J$2162,G$1)</f>
        <v>0</v>
      </c>
      <c r="H60" s="80">
        <f>SUMIFS('октябрь 2024'!$G$5:$G$2162,'октябрь 2024'!$D$5:$D$2162,$B60,'октябрь 2024'!$J$5:$J$2162,H$1)</f>
        <v>0</v>
      </c>
      <c r="I60" s="80">
        <f>SUMIFS('октябрь 2024'!$G$5:$G$2162,'октябрь 2024'!$D$5:$D$2162,$B60,'октябрь 2024'!$J$5:$J$2162,I$1)</f>
        <v>0</v>
      </c>
      <c r="J60" s="80">
        <f>SUMIFS('октябрь 2024'!$G$5:$G$2162,'октябрь 2024'!$D$5:$D$2162,$B60,'октябрь 2024'!$J$5:$J$2162,J$1)</f>
        <v>0</v>
      </c>
      <c r="K60" s="80">
        <f>SUMIFS('октябрь 2024'!$G$5:$G$2162,'октябрь 2024'!$D$5:$D$2162,$B60,'октябрь 2024'!$J$5:$J$2162,K$1)</f>
        <v>0</v>
      </c>
      <c r="L60" s="80">
        <f>SUMIFS('октябрь 2024'!$G$5:$G$2162,'октябрь 2024'!$D$5:$D$2162,$B60,'октябрь 2024'!$J$5:$J$2162,L$1)</f>
        <v>0</v>
      </c>
      <c r="M60" s="80">
        <f>SUMIFS('октябрь 2024'!$G$5:$G$2162,'октябрь 2024'!$D$5:$D$2162,$B60,'октябрь 2024'!$J$5:$J$2162,M$1)</f>
        <v>0</v>
      </c>
      <c r="N60" s="80">
        <f>SUMIFS('октябрь 2024'!$G$5:$G$2162,'октябрь 2024'!$D$5:$D$2162,$B60,'октябрь 2024'!$J$5:$J$2162,N$1)</f>
        <v>0</v>
      </c>
      <c r="O60" s="80">
        <f>SUMIFS('октябрь 2024'!$G$5:$G$2162,'октябрь 2024'!$D$5:$D$2162,$B60,'октябрь 2024'!$J$5:$J$2162,O$1)</f>
        <v>0</v>
      </c>
      <c r="P60" s="80">
        <f>SUMIFS('октябрь 2024'!$G$5:$G$2162,'октябрь 2024'!$D$5:$D$2162,$B60,'октябрь 2024'!$J$5:$J$2162,P$1)</f>
        <v>0</v>
      </c>
      <c r="Q60" s="80">
        <f>SUMIFS('октябрь 2024'!$G$5:$G$2162,'октябрь 2024'!$D$5:$D$2162,$B60,'октябрь 2024'!$J$5:$J$2162,Q$1)</f>
        <v>0</v>
      </c>
      <c r="R60" s="80">
        <f>SUMIFS('октябрь 2024'!$G$5:$G$2162,'октябрь 2024'!$D$5:$D$2162,$B60,'октябрь 2024'!$J$5:$J$2162,R$1)</f>
        <v>0</v>
      </c>
      <c r="S60" s="80">
        <f>SUMIFS('октябрь 2024'!$G$5:$G$2162,'октябрь 2024'!$D$5:$D$2162,$B60,'октябрь 2024'!$J$5:$J$2162,S$1)</f>
        <v>0</v>
      </c>
      <c r="T60" s="80">
        <f>SUMIFS('октябрь 2024'!$G$5:$G$2162,'октябрь 2024'!$D$5:$D$2162,$B60,'октябрь 2024'!$J$5:$J$2162,T$1)</f>
        <v>0</v>
      </c>
      <c r="U60" s="80">
        <f>SUMIFS('октябрь 2024'!$G$5:$G$2162,'октябрь 2024'!$D$5:$D$2162,$B60,'октябрь 2024'!$J$5:$J$2162,U$1)</f>
        <v>0</v>
      </c>
      <c r="V60" s="80">
        <f>SUMIFS('октябрь 2024'!$G$5:$G$2162,'октябрь 2024'!$D$5:$D$2162,$B60,'октябрь 2024'!$J$5:$J$2162,V$1)</f>
        <v>0</v>
      </c>
      <c r="W60" s="80">
        <f>SUMIFS('октябрь 2024'!$G$5:$G$2162,'октябрь 2024'!$D$5:$D$2162,$B60,'октябрь 2024'!$J$5:$J$2162,W$1)</f>
        <v>0</v>
      </c>
      <c r="X60" s="80">
        <f>SUMIFS('октябрь 2024'!$G$5:$G$2162,'октябрь 2024'!$D$5:$D$2162,$B60,'октябрь 2024'!$J$5:$J$2162,X$1)</f>
        <v>0</v>
      </c>
      <c r="Y60" s="80">
        <f>SUMIFS('октябрь 2024'!$G$5:$G$2162,'октябрь 2024'!$D$5:$D$2162,$B60,'октябрь 2024'!$J$5:$J$2162,Y$1)</f>
        <v>0</v>
      </c>
      <c r="Z60" s="80">
        <f>SUMIFS('октябрь 2024'!$G$5:$G$2162,'октябрь 2024'!$D$5:$D$2162,$B60,'октябрь 2024'!$J$5:$J$2162,Z$1)</f>
        <v>0</v>
      </c>
      <c r="AA60" s="80">
        <f>SUMIFS('октябрь 2024'!$G$5:$G$2162,'октябрь 2024'!$D$5:$D$2162,$B60,'октябрь 2024'!$J$5:$J$2162,AA$1)</f>
        <v>0</v>
      </c>
      <c r="AB60" s="80">
        <f>SUMIFS('октябрь 2024'!$G$5:$G$2162,'октябрь 2024'!$D$5:$D$2162,$B60,'октябрь 2024'!$J$5:$J$2162,AB$1)</f>
        <v>0</v>
      </c>
      <c r="AC60" s="80">
        <f>SUMIFS('октябрь 2024'!$G$5:$G$2162,'октябрь 2024'!$D$5:$D$2162,$B60,'октябрь 2024'!$J$5:$J$2162,AC$1)</f>
        <v>0</v>
      </c>
      <c r="AD60" s="80">
        <f>SUMIFS('октябрь 2024'!$G$5:$G$2162,'октябрь 2024'!$D$5:$D$2162,$B60,'октябрь 2024'!$J$5:$J$2162,AD$1)</f>
        <v>0</v>
      </c>
      <c r="AE60" s="80">
        <f>SUMIFS('октябрь 2024'!$G$5:$G$2162,'октябрь 2024'!$D$5:$D$2162,$B60,'октябрь 2024'!$J$5:$J$2162,AE$1)</f>
        <v>0</v>
      </c>
      <c r="AF60" s="80">
        <f>SUMIFS('октябрь 2024'!$G$5:$G$2162,'октябрь 2024'!$D$5:$D$2162,$B60,'октябрь 2024'!$J$5:$J$2162,AF$1)</f>
        <v>0</v>
      </c>
      <c r="AG60" s="80">
        <f>SUMIFS('октябрь 2024'!$G$5:$G$2162,'октябрь 2024'!$D$5:$D$2162,$B60,'октябрь 2024'!$J$5:$J$2162,AG$1)</f>
        <v>0</v>
      </c>
      <c r="AH60" s="80">
        <f>SUMIFS('октябрь 2024'!$G$5:$G$2162,'октябрь 2024'!$D$5:$D$2162,$B60,'октябрь 2024'!$J$5:$J$2162,AH$1)</f>
        <v>0</v>
      </c>
      <c r="AI60" s="21">
        <f t="shared" si="1"/>
        <v>0</v>
      </c>
    </row>
    <row r="61" spans="2:35" ht="15" customHeight="1" x14ac:dyDescent="0.25">
      <c r="B61" s="92" t="s">
        <v>161</v>
      </c>
      <c r="C61" s="91">
        <v>200</v>
      </c>
      <c r="D61" s="80">
        <f>SUMIFS('октябрь 2024'!$G$5:$G$2162,'октябрь 2024'!$D$5:$D$2162,$B61,'октябрь 2024'!$J$5:$J$2162,D$1)</f>
        <v>0</v>
      </c>
      <c r="E61" s="80">
        <f>SUMIFS('октябрь 2024'!$G$5:$G$2162,'октябрь 2024'!$D$5:$D$2162,$B61,'октябрь 2024'!$J$5:$J$2162,E$1)</f>
        <v>0</v>
      </c>
      <c r="F61" s="80">
        <f>SUMIFS('октябрь 2024'!$G$5:$G$2162,'октябрь 2024'!$D$5:$D$2162,$B61,'октябрь 2024'!$J$5:$J$2162,F$1)</f>
        <v>0</v>
      </c>
      <c r="G61" s="80">
        <f>SUMIFS('октябрь 2024'!$G$5:$G$2162,'октябрь 2024'!$D$5:$D$2162,$B61,'октябрь 2024'!$J$5:$J$2162,G$1)</f>
        <v>0</v>
      </c>
      <c r="H61" s="80">
        <f>SUMIFS('октябрь 2024'!$G$5:$G$2162,'октябрь 2024'!$D$5:$D$2162,$B61,'октябрь 2024'!$J$5:$J$2162,H$1)</f>
        <v>0</v>
      </c>
      <c r="I61" s="80">
        <f>SUMIFS('октябрь 2024'!$G$5:$G$2162,'октябрь 2024'!$D$5:$D$2162,$B61,'октябрь 2024'!$J$5:$J$2162,I$1)</f>
        <v>0</v>
      </c>
      <c r="J61" s="80">
        <f>SUMIFS('октябрь 2024'!$G$5:$G$2162,'октябрь 2024'!$D$5:$D$2162,$B61,'октябрь 2024'!$J$5:$J$2162,J$1)</f>
        <v>0</v>
      </c>
      <c r="K61" s="80">
        <f>SUMIFS('октябрь 2024'!$G$5:$G$2162,'октябрь 2024'!$D$5:$D$2162,$B61,'октябрь 2024'!$J$5:$J$2162,K$1)</f>
        <v>0</v>
      </c>
      <c r="L61" s="80">
        <f>SUMIFS('октябрь 2024'!$G$5:$G$2162,'октябрь 2024'!$D$5:$D$2162,$B61,'октябрь 2024'!$J$5:$J$2162,L$1)</f>
        <v>0</v>
      </c>
      <c r="M61" s="80">
        <f>SUMIFS('октябрь 2024'!$G$5:$G$2162,'октябрь 2024'!$D$5:$D$2162,$B61,'октябрь 2024'!$J$5:$J$2162,M$1)</f>
        <v>0</v>
      </c>
      <c r="N61" s="80">
        <f>SUMIFS('октябрь 2024'!$G$5:$G$2162,'октябрь 2024'!$D$5:$D$2162,$B61,'октябрь 2024'!$J$5:$J$2162,N$1)</f>
        <v>0</v>
      </c>
      <c r="O61" s="80">
        <f>SUMIFS('октябрь 2024'!$G$5:$G$2162,'октябрь 2024'!$D$5:$D$2162,$B61,'октябрь 2024'!$J$5:$J$2162,O$1)</f>
        <v>0</v>
      </c>
      <c r="P61" s="80">
        <f>SUMIFS('октябрь 2024'!$G$5:$G$2162,'октябрь 2024'!$D$5:$D$2162,$B61,'октябрь 2024'!$J$5:$J$2162,P$1)</f>
        <v>0</v>
      </c>
      <c r="Q61" s="80">
        <f>SUMIFS('октябрь 2024'!$G$5:$G$2162,'октябрь 2024'!$D$5:$D$2162,$B61,'октябрь 2024'!$J$5:$J$2162,Q$1)</f>
        <v>0</v>
      </c>
      <c r="R61" s="80">
        <f>SUMIFS('октябрь 2024'!$G$5:$G$2162,'октябрь 2024'!$D$5:$D$2162,$B61,'октябрь 2024'!$J$5:$J$2162,R$1)</f>
        <v>0</v>
      </c>
      <c r="S61" s="80">
        <f>SUMIFS('октябрь 2024'!$G$5:$G$2162,'октябрь 2024'!$D$5:$D$2162,$B61,'октябрь 2024'!$J$5:$J$2162,S$1)</f>
        <v>0</v>
      </c>
      <c r="T61" s="80">
        <f>SUMIFS('октябрь 2024'!$G$5:$G$2162,'октябрь 2024'!$D$5:$D$2162,$B61,'октябрь 2024'!$J$5:$J$2162,T$1)</f>
        <v>0</v>
      </c>
      <c r="U61" s="80">
        <f>SUMIFS('октябрь 2024'!$G$5:$G$2162,'октябрь 2024'!$D$5:$D$2162,$B61,'октябрь 2024'!$J$5:$J$2162,U$1)</f>
        <v>0</v>
      </c>
      <c r="V61" s="80">
        <f>SUMIFS('октябрь 2024'!$G$5:$G$2162,'октябрь 2024'!$D$5:$D$2162,$B61,'октябрь 2024'!$J$5:$J$2162,V$1)</f>
        <v>0</v>
      </c>
      <c r="W61" s="80">
        <f>SUMIFS('октябрь 2024'!$G$5:$G$2162,'октябрь 2024'!$D$5:$D$2162,$B61,'октябрь 2024'!$J$5:$J$2162,W$1)</f>
        <v>0</v>
      </c>
      <c r="X61" s="80">
        <f>SUMIFS('октябрь 2024'!$G$5:$G$2162,'октябрь 2024'!$D$5:$D$2162,$B61,'октябрь 2024'!$J$5:$J$2162,X$1)</f>
        <v>0</v>
      </c>
      <c r="Y61" s="80">
        <f>SUMIFS('октябрь 2024'!$G$5:$G$2162,'октябрь 2024'!$D$5:$D$2162,$B61,'октябрь 2024'!$J$5:$J$2162,Y$1)</f>
        <v>0</v>
      </c>
      <c r="Z61" s="80">
        <f>SUMIFS('октябрь 2024'!$G$5:$G$2162,'октябрь 2024'!$D$5:$D$2162,$B61,'октябрь 2024'!$J$5:$J$2162,Z$1)</f>
        <v>0</v>
      </c>
      <c r="AA61" s="80">
        <f>SUMIFS('октябрь 2024'!$G$5:$G$2162,'октябрь 2024'!$D$5:$D$2162,$B61,'октябрь 2024'!$J$5:$J$2162,AA$1)</f>
        <v>0</v>
      </c>
      <c r="AB61" s="80">
        <f>SUMIFS('октябрь 2024'!$G$5:$G$2162,'октябрь 2024'!$D$5:$D$2162,$B61,'октябрь 2024'!$J$5:$J$2162,AB$1)</f>
        <v>0</v>
      </c>
      <c r="AC61" s="80">
        <f>SUMIFS('октябрь 2024'!$G$5:$G$2162,'октябрь 2024'!$D$5:$D$2162,$B61,'октябрь 2024'!$J$5:$J$2162,AC$1)</f>
        <v>0</v>
      </c>
      <c r="AD61" s="80">
        <f>SUMIFS('октябрь 2024'!$G$5:$G$2162,'октябрь 2024'!$D$5:$D$2162,$B61,'октябрь 2024'!$J$5:$J$2162,AD$1)</f>
        <v>0</v>
      </c>
      <c r="AE61" s="80">
        <f>SUMIFS('октябрь 2024'!$G$5:$G$2162,'октябрь 2024'!$D$5:$D$2162,$B61,'октябрь 2024'!$J$5:$J$2162,AE$1)</f>
        <v>0</v>
      </c>
      <c r="AF61" s="80">
        <f>SUMIFS('октябрь 2024'!$G$5:$G$2162,'октябрь 2024'!$D$5:$D$2162,$B61,'октябрь 2024'!$J$5:$J$2162,AF$1)</f>
        <v>0</v>
      </c>
      <c r="AG61" s="80">
        <f>SUMIFS('октябрь 2024'!$G$5:$G$2162,'октябрь 2024'!$D$5:$D$2162,$B61,'октябрь 2024'!$J$5:$J$2162,AG$1)</f>
        <v>0</v>
      </c>
      <c r="AH61" s="80">
        <f>SUMIFS('октябрь 2024'!$G$5:$G$2162,'октябрь 2024'!$D$5:$D$2162,$B61,'октябрь 2024'!$J$5:$J$2162,AH$1)</f>
        <v>0</v>
      </c>
      <c r="AI61" s="21">
        <f t="shared" si="1"/>
        <v>0</v>
      </c>
    </row>
    <row r="62" spans="2:35" ht="15" customHeight="1" x14ac:dyDescent="0.25">
      <c r="B62" s="92" t="s">
        <v>1153</v>
      </c>
      <c r="C62" s="91">
        <v>50</v>
      </c>
      <c r="D62" s="80">
        <f>SUMIFS('октябрь 2024'!$G$5:$G$2162,'октябрь 2024'!$D$5:$D$2162,$B62,'октябрь 2024'!$J$5:$J$2162,D$1)</f>
        <v>0</v>
      </c>
      <c r="E62" s="80">
        <f>SUMIFS('октябрь 2024'!$G$5:$G$2162,'октябрь 2024'!$D$5:$D$2162,$B62,'октябрь 2024'!$J$5:$J$2162,E$1)</f>
        <v>0</v>
      </c>
      <c r="F62" s="80">
        <f>SUMIFS('октябрь 2024'!$G$5:$G$2162,'октябрь 2024'!$D$5:$D$2162,$B62,'октябрь 2024'!$J$5:$J$2162,F$1)</f>
        <v>0</v>
      </c>
      <c r="G62" s="80">
        <f>SUMIFS('октябрь 2024'!$G$5:$G$2162,'октябрь 2024'!$D$5:$D$2162,$B62,'октябрь 2024'!$J$5:$J$2162,G$1)</f>
        <v>0</v>
      </c>
      <c r="H62" s="80">
        <f>SUMIFS('октябрь 2024'!$G$5:$G$2162,'октябрь 2024'!$D$5:$D$2162,$B62,'октябрь 2024'!$J$5:$J$2162,H$1)</f>
        <v>0</v>
      </c>
      <c r="I62" s="80">
        <f>SUMIFS('октябрь 2024'!$G$5:$G$2162,'октябрь 2024'!$D$5:$D$2162,$B62,'октябрь 2024'!$J$5:$J$2162,I$1)</f>
        <v>0</v>
      </c>
      <c r="J62" s="80">
        <f>SUMIFS('октябрь 2024'!$G$5:$G$2162,'октябрь 2024'!$D$5:$D$2162,$B62,'октябрь 2024'!$J$5:$J$2162,J$1)</f>
        <v>0</v>
      </c>
      <c r="K62" s="80">
        <f>SUMIFS('октябрь 2024'!$G$5:$G$2162,'октябрь 2024'!$D$5:$D$2162,$B62,'октябрь 2024'!$J$5:$J$2162,K$1)</f>
        <v>0</v>
      </c>
      <c r="L62" s="80">
        <f>SUMIFS('октябрь 2024'!$G$5:$G$2162,'октябрь 2024'!$D$5:$D$2162,$B62,'октябрь 2024'!$J$5:$J$2162,L$1)</f>
        <v>0</v>
      </c>
      <c r="M62" s="80">
        <f>SUMIFS('октябрь 2024'!$G$5:$G$2162,'октябрь 2024'!$D$5:$D$2162,$B62,'октябрь 2024'!$J$5:$J$2162,M$1)</f>
        <v>0</v>
      </c>
      <c r="N62" s="80">
        <f>SUMIFS('октябрь 2024'!$G$5:$G$2162,'октябрь 2024'!$D$5:$D$2162,$B62,'октябрь 2024'!$J$5:$J$2162,N$1)</f>
        <v>0</v>
      </c>
      <c r="O62" s="80">
        <f>SUMIFS('октябрь 2024'!$G$5:$G$2162,'октябрь 2024'!$D$5:$D$2162,$B62,'октябрь 2024'!$J$5:$J$2162,O$1)</f>
        <v>0</v>
      </c>
      <c r="P62" s="80">
        <f>SUMIFS('октябрь 2024'!$G$5:$G$2162,'октябрь 2024'!$D$5:$D$2162,$B62,'октябрь 2024'!$J$5:$J$2162,P$1)</f>
        <v>0</v>
      </c>
      <c r="Q62" s="80">
        <f>SUMIFS('октябрь 2024'!$G$5:$G$2162,'октябрь 2024'!$D$5:$D$2162,$B62,'октябрь 2024'!$J$5:$J$2162,Q$1)</f>
        <v>0</v>
      </c>
      <c r="R62" s="80">
        <f>SUMIFS('октябрь 2024'!$G$5:$G$2162,'октябрь 2024'!$D$5:$D$2162,$B62,'октябрь 2024'!$J$5:$J$2162,R$1)</f>
        <v>0</v>
      </c>
      <c r="S62" s="80">
        <f>SUMIFS('октябрь 2024'!$G$5:$G$2162,'октябрь 2024'!$D$5:$D$2162,$B62,'октябрь 2024'!$J$5:$J$2162,S$1)</f>
        <v>0</v>
      </c>
      <c r="T62" s="80">
        <f>SUMIFS('октябрь 2024'!$G$5:$G$2162,'октябрь 2024'!$D$5:$D$2162,$B62,'октябрь 2024'!$J$5:$J$2162,T$1)</f>
        <v>0</v>
      </c>
      <c r="U62" s="80">
        <f>SUMIFS('октябрь 2024'!$G$5:$G$2162,'октябрь 2024'!$D$5:$D$2162,$B62,'октябрь 2024'!$J$5:$J$2162,U$1)</f>
        <v>0</v>
      </c>
      <c r="V62" s="80">
        <f>SUMIFS('октябрь 2024'!$G$5:$G$2162,'октябрь 2024'!$D$5:$D$2162,$B62,'октябрь 2024'!$J$5:$J$2162,V$1)</f>
        <v>0</v>
      </c>
      <c r="W62" s="80">
        <f>SUMIFS('октябрь 2024'!$G$5:$G$2162,'октябрь 2024'!$D$5:$D$2162,$B62,'октябрь 2024'!$J$5:$J$2162,W$1)</f>
        <v>0</v>
      </c>
      <c r="X62" s="80">
        <f>SUMIFS('октябрь 2024'!$G$5:$G$2162,'октябрь 2024'!$D$5:$D$2162,$B62,'октябрь 2024'!$J$5:$J$2162,X$1)</f>
        <v>0</v>
      </c>
      <c r="Y62" s="80">
        <f>SUMIFS('октябрь 2024'!$G$5:$G$2162,'октябрь 2024'!$D$5:$D$2162,$B62,'октябрь 2024'!$J$5:$J$2162,Y$1)</f>
        <v>0</v>
      </c>
      <c r="Z62" s="80">
        <f>SUMIFS('октябрь 2024'!$G$5:$G$2162,'октябрь 2024'!$D$5:$D$2162,$B62,'октябрь 2024'!$J$5:$J$2162,Z$1)</f>
        <v>0</v>
      </c>
      <c r="AA62" s="80">
        <f>SUMIFS('октябрь 2024'!$G$5:$G$2162,'октябрь 2024'!$D$5:$D$2162,$B62,'октябрь 2024'!$J$5:$J$2162,AA$1)</f>
        <v>0</v>
      </c>
      <c r="AB62" s="80">
        <f>SUMIFS('октябрь 2024'!$G$5:$G$2162,'октябрь 2024'!$D$5:$D$2162,$B62,'октябрь 2024'!$J$5:$J$2162,AB$1)</f>
        <v>0</v>
      </c>
      <c r="AC62" s="80">
        <f>SUMIFS('октябрь 2024'!$G$5:$G$2162,'октябрь 2024'!$D$5:$D$2162,$B62,'октябрь 2024'!$J$5:$J$2162,AC$1)</f>
        <v>0</v>
      </c>
      <c r="AD62" s="80">
        <f>SUMIFS('октябрь 2024'!$G$5:$G$2162,'октябрь 2024'!$D$5:$D$2162,$B62,'октябрь 2024'!$J$5:$J$2162,AD$1)</f>
        <v>0</v>
      </c>
      <c r="AE62" s="80">
        <f>SUMIFS('октябрь 2024'!$G$5:$G$2162,'октябрь 2024'!$D$5:$D$2162,$B62,'октябрь 2024'!$J$5:$J$2162,AE$1)</f>
        <v>0</v>
      </c>
      <c r="AF62" s="80">
        <f>SUMIFS('октябрь 2024'!$G$5:$G$2162,'октябрь 2024'!$D$5:$D$2162,$B62,'октябрь 2024'!$J$5:$J$2162,AF$1)</f>
        <v>0</v>
      </c>
      <c r="AG62" s="80">
        <f>SUMIFS('октябрь 2024'!$G$5:$G$2162,'октябрь 2024'!$D$5:$D$2162,$B62,'октябрь 2024'!$J$5:$J$2162,AG$1)</f>
        <v>0</v>
      </c>
      <c r="AH62" s="80">
        <f>SUMIFS('октябрь 2024'!$G$5:$G$2162,'октябрь 2024'!$D$5:$D$2162,$B62,'октябрь 2024'!$J$5:$J$2162,AH$1)</f>
        <v>0</v>
      </c>
      <c r="AI62" s="21">
        <f t="shared" si="1"/>
        <v>0</v>
      </c>
    </row>
    <row r="63" spans="2:35" ht="15" customHeight="1" x14ac:dyDescent="0.25">
      <c r="B63" s="93" t="s">
        <v>209</v>
      </c>
      <c r="C63" s="91">
        <v>200</v>
      </c>
      <c r="D63" s="80">
        <f>SUMIFS('октябрь 2024'!$G$5:$G$2162,'октябрь 2024'!$D$5:$D$2162,$B63,'октябрь 2024'!$J$5:$J$2162,D$1)</f>
        <v>0</v>
      </c>
      <c r="E63" s="80">
        <f>SUMIFS('октябрь 2024'!$G$5:$G$2162,'октябрь 2024'!$D$5:$D$2162,$B63,'октябрь 2024'!$J$5:$J$2162,E$1)</f>
        <v>0</v>
      </c>
      <c r="F63" s="80">
        <f>SUMIFS('октябрь 2024'!$G$5:$G$2162,'октябрь 2024'!$D$5:$D$2162,$B63,'октябрь 2024'!$J$5:$J$2162,F$1)</f>
        <v>0</v>
      </c>
      <c r="G63" s="80">
        <f>SUMIFS('октябрь 2024'!$G$5:$G$2162,'октябрь 2024'!$D$5:$D$2162,$B63,'октябрь 2024'!$J$5:$J$2162,G$1)</f>
        <v>0</v>
      </c>
      <c r="H63" s="80">
        <f>SUMIFS('октябрь 2024'!$G$5:$G$2162,'октябрь 2024'!$D$5:$D$2162,$B63,'октябрь 2024'!$J$5:$J$2162,H$1)</f>
        <v>0</v>
      </c>
      <c r="I63" s="80">
        <f>SUMIFS('октябрь 2024'!$G$5:$G$2162,'октябрь 2024'!$D$5:$D$2162,$B63,'октябрь 2024'!$J$5:$J$2162,I$1)</f>
        <v>0</v>
      </c>
      <c r="J63" s="80">
        <f>SUMIFS('октябрь 2024'!$G$5:$G$2162,'октябрь 2024'!$D$5:$D$2162,$B63,'октябрь 2024'!$J$5:$J$2162,J$1)</f>
        <v>0</v>
      </c>
      <c r="K63" s="80">
        <f>SUMIFS('октябрь 2024'!$G$5:$G$2162,'октябрь 2024'!$D$5:$D$2162,$B63,'октябрь 2024'!$J$5:$J$2162,K$1)</f>
        <v>0</v>
      </c>
      <c r="L63" s="80">
        <f>SUMIFS('октябрь 2024'!$G$5:$G$2162,'октябрь 2024'!$D$5:$D$2162,$B63,'октябрь 2024'!$J$5:$J$2162,L$1)</f>
        <v>0</v>
      </c>
      <c r="M63" s="80">
        <f>SUMIFS('октябрь 2024'!$G$5:$G$2162,'октябрь 2024'!$D$5:$D$2162,$B63,'октябрь 2024'!$J$5:$J$2162,M$1)</f>
        <v>0</v>
      </c>
      <c r="N63" s="80">
        <f>SUMIFS('октябрь 2024'!$G$5:$G$2162,'октябрь 2024'!$D$5:$D$2162,$B63,'октябрь 2024'!$J$5:$J$2162,N$1)</f>
        <v>0</v>
      </c>
      <c r="O63" s="80">
        <f>SUMIFS('октябрь 2024'!$G$5:$G$2162,'октябрь 2024'!$D$5:$D$2162,$B63,'октябрь 2024'!$J$5:$J$2162,O$1)</f>
        <v>0</v>
      </c>
      <c r="P63" s="80">
        <f>SUMIFS('октябрь 2024'!$G$5:$G$2162,'октябрь 2024'!$D$5:$D$2162,$B63,'октябрь 2024'!$J$5:$J$2162,P$1)</f>
        <v>0</v>
      </c>
      <c r="Q63" s="80">
        <f>SUMIFS('октябрь 2024'!$G$5:$G$2162,'октябрь 2024'!$D$5:$D$2162,$B63,'октябрь 2024'!$J$5:$J$2162,Q$1)</f>
        <v>0</v>
      </c>
      <c r="R63" s="80">
        <f>SUMIFS('октябрь 2024'!$G$5:$G$2162,'октябрь 2024'!$D$5:$D$2162,$B63,'октябрь 2024'!$J$5:$J$2162,R$1)</f>
        <v>0</v>
      </c>
      <c r="S63" s="80">
        <f>SUMIFS('октябрь 2024'!$G$5:$G$2162,'октябрь 2024'!$D$5:$D$2162,$B63,'октябрь 2024'!$J$5:$J$2162,S$1)</f>
        <v>0</v>
      </c>
      <c r="T63" s="80">
        <f>SUMIFS('октябрь 2024'!$G$5:$G$2162,'октябрь 2024'!$D$5:$D$2162,$B63,'октябрь 2024'!$J$5:$J$2162,T$1)</f>
        <v>0</v>
      </c>
      <c r="U63" s="80">
        <f>SUMIFS('октябрь 2024'!$G$5:$G$2162,'октябрь 2024'!$D$5:$D$2162,$B63,'октябрь 2024'!$J$5:$J$2162,U$1)</f>
        <v>0</v>
      </c>
      <c r="V63" s="80">
        <f>SUMIFS('октябрь 2024'!$G$5:$G$2162,'октябрь 2024'!$D$5:$D$2162,$B63,'октябрь 2024'!$J$5:$J$2162,V$1)</f>
        <v>0</v>
      </c>
      <c r="W63" s="80">
        <f>SUMIFS('октябрь 2024'!$G$5:$G$2162,'октябрь 2024'!$D$5:$D$2162,$B63,'октябрь 2024'!$J$5:$J$2162,W$1)</f>
        <v>0</v>
      </c>
      <c r="X63" s="80">
        <f>SUMIFS('октябрь 2024'!$G$5:$G$2162,'октябрь 2024'!$D$5:$D$2162,$B63,'октябрь 2024'!$J$5:$J$2162,X$1)</f>
        <v>0</v>
      </c>
      <c r="Y63" s="80">
        <f>SUMIFS('октябрь 2024'!$G$5:$G$2162,'октябрь 2024'!$D$5:$D$2162,$B63,'октябрь 2024'!$J$5:$J$2162,Y$1)</f>
        <v>0</v>
      </c>
      <c r="Z63" s="80">
        <f>SUMIFS('октябрь 2024'!$G$5:$G$2162,'октябрь 2024'!$D$5:$D$2162,$B63,'октябрь 2024'!$J$5:$J$2162,Z$1)</f>
        <v>0</v>
      </c>
      <c r="AA63" s="80">
        <f>SUMIFS('октябрь 2024'!$G$5:$G$2162,'октябрь 2024'!$D$5:$D$2162,$B63,'октябрь 2024'!$J$5:$J$2162,AA$1)</f>
        <v>0</v>
      </c>
      <c r="AB63" s="80">
        <f>SUMIFS('октябрь 2024'!$G$5:$G$2162,'октябрь 2024'!$D$5:$D$2162,$B63,'октябрь 2024'!$J$5:$J$2162,AB$1)</f>
        <v>0</v>
      </c>
      <c r="AC63" s="80">
        <f>SUMIFS('октябрь 2024'!$G$5:$G$2162,'октябрь 2024'!$D$5:$D$2162,$B63,'октябрь 2024'!$J$5:$J$2162,AC$1)</f>
        <v>0</v>
      </c>
      <c r="AD63" s="80">
        <f>SUMIFS('октябрь 2024'!$G$5:$G$2162,'октябрь 2024'!$D$5:$D$2162,$B63,'октябрь 2024'!$J$5:$J$2162,AD$1)</f>
        <v>0</v>
      </c>
      <c r="AE63" s="80">
        <f>SUMIFS('октябрь 2024'!$G$5:$G$2162,'октябрь 2024'!$D$5:$D$2162,$B63,'октябрь 2024'!$J$5:$J$2162,AE$1)</f>
        <v>0</v>
      </c>
      <c r="AF63" s="80">
        <f>SUMIFS('октябрь 2024'!$G$5:$G$2162,'октябрь 2024'!$D$5:$D$2162,$B63,'октябрь 2024'!$J$5:$J$2162,AF$1)</f>
        <v>0</v>
      </c>
      <c r="AG63" s="80">
        <f>SUMIFS('октябрь 2024'!$G$5:$G$2162,'октябрь 2024'!$D$5:$D$2162,$B63,'октябрь 2024'!$J$5:$J$2162,AG$1)</f>
        <v>0</v>
      </c>
      <c r="AH63" s="80">
        <f>SUMIFS('октябрь 2024'!$G$5:$G$2162,'октябрь 2024'!$D$5:$D$2162,$B63,'октябрь 2024'!$J$5:$J$2162,AH$1)</f>
        <v>0</v>
      </c>
      <c r="AI63" s="21">
        <f t="shared" si="1"/>
        <v>0</v>
      </c>
    </row>
    <row r="64" spans="2:35" ht="15" customHeight="1" x14ac:dyDescent="0.25">
      <c r="B64" s="93" t="s">
        <v>222</v>
      </c>
      <c r="C64" s="91">
        <v>25</v>
      </c>
      <c r="D64" s="80">
        <f>SUMIFS('октябрь 2024'!$G$5:$G$2162,'октябрь 2024'!$D$5:$D$2162,$B64,'октябрь 2024'!$J$5:$J$2162,D$1)</f>
        <v>0</v>
      </c>
      <c r="E64" s="80">
        <f>SUMIFS('октябрь 2024'!$G$5:$G$2162,'октябрь 2024'!$D$5:$D$2162,$B64,'октябрь 2024'!$J$5:$J$2162,E$1)</f>
        <v>0</v>
      </c>
      <c r="F64" s="80">
        <f>SUMIFS('октябрь 2024'!$G$5:$G$2162,'октябрь 2024'!$D$5:$D$2162,$B64,'октябрь 2024'!$J$5:$J$2162,F$1)</f>
        <v>0</v>
      </c>
      <c r="G64" s="80">
        <f>SUMIFS('октябрь 2024'!$G$5:$G$2162,'октябрь 2024'!$D$5:$D$2162,$B64,'октябрь 2024'!$J$5:$J$2162,G$1)</f>
        <v>0</v>
      </c>
      <c r="H64" s="80">
        <f>SUMIFS('октябрь 2024'!$G$5:$G$2162,'октябрь 2024'!$D$5:$D$2162,$B64,'октябрь 2024'!$J$5:$J$2162,H$1)</f>
        <v>0</v>
      </c>
      <c r="I64" s="80">
        <f>SUMIFS('октябрь 2024'!$G$5:$G$2162,'октябрь 2024'!$D$5:$D$2162,$B64,'октябрь 2024'!$J$5:$J$2162,I$1)</f>
        <v>0</v>
      </c>
      <c r="J64" s="80">
        <f>SUMIFS('октябрь 2024'!$G$5:$G$2162,'октябрь 2024'!$D$5:$D$2162,$B64,'октябрь 2024'!$J$5:$J$2162,J$1)</f>
        <v>0</v>
      </c>
      <c r="K64" s="80">
        <f>SUMIFS('октябрь 2024'!$G$5:$G$2162,'октябрь 2024'!$D$5:$D$2162,$B64,'октябрь 2024'!$J$5:$J$2162,K$1)</f>
        <v>0</v>
      </c>
      <c r="L64" s="80">
        <f>SUMIFS('октябрь 2024'!$G$5:$G$2162,'октябрь 2024'!$D$5:$D$2162,$B64,'октябрь 2024'!$J$5:$J$2162,L$1)</f>
        <v>0</v>
      </c>
      <c r="M64" s="80">
        <f>SUMIFS('октябрь 2024'!$G$5:$G$2162,'октябрь 2024'!$D$5:$D$2162,$B64,'октябрь 2024'!$J$5:$J$2162,M$1)</f>
        <v>0</v>
      </c>
      <c r="N64" s="80">
        <f>SUMIFS('октябрь 2024'!$G$5:$G$2162,'октябрь 2024'!$D$5:$D$2162,$B64,'октябрь 2024'!$J$5:$J$2162,N$1)</f>
        <v>0</v>
      </c>
      <c r="O64" s="80">
        <f>SUMIFS('октябрь 2024'!$G$5:$G$2162,'октябрь 2024'!$D$5:$D$2162,$B64,'октябрь 2024'!$J$5:$J$2162,O$1)</f>
        <v>0</v>
      </c>
      <c r="P64" s="80">
        <f>SUMIFS('октябрь 2024'!$G$5:$G$2162,'октябрь 2024'!$D$5:$D$2162,$B64,'октябрь 2024'!$J$5:$J$2162,P$1)</f>
        <v>0</v>
      </c>
      <c r="Q64" s="80">
        <f>SUMIFS('октябрь 2024'!$G$5:$G$2162,'октябрь 2024'!$D$5:$D$2162,$B64,'октябрь 2024'!$J$5:$J$2162,Q$1)</f>
        <v>0</v>
      </c>
      <c r="R64" s="80">
        <f>SUMIFS('октябрь 2024'!$G$5:$G$2162,'октябрь 2024'!$D$5:$D$2162,$B64,'октябрь 2024'!$J$5:$J$2162,R$1)</f>
        <v>0</v>
      </c>
      <c r="S64" s="80">
        <f>SUMIFS('октябрь 2024'!$G$5:$G$2162,'октябрь 2024'!$D$5:$D$2162,$B64,'октябрь 2024'!$J$5:$J$2162,S$1)</f>
        <v>0</v>
      </c>
      <c r="T64" s="80">
        <f>SUMIFS('октябрь 2024'!$G$5:$G$2162,'октябрь 2024'!$D$5:$D$2162,$B64,'октябрь 2024'!$J$5:$J$2162,T$1)</f>
        <v>0</v>
      </c>
      <c r="U64" s="80">
        <f>SUMIFS('октябрь 2024'!$G$5:$G$2162,'октябрь 2024'!$D$5:$D$2162,$B64,'октябрь 2024'!$J$5:$J$2162,U$1)</f>
        <v>0</v>
      </c>
      <c r="V64" s="80">
        <f>SUMIFS('октябрь 2024'!$G$5:$G$2162,'октябрь 2024'!$D$5:$D$2162,$B64,'октябрь 2024'!$J$5:$J$2162,V$1)</f>
        <v>0</v>
      </c>
      <c r="W64" s="80">
        <f>SUMIFS('октябрь 2024'!$G$5:$G$2162,'октябрь 2024'!$D$5:$D$2162,$B64,'октябрь 2024'!$J$5:$J$2162,W$1)</f>
        <v>0</v>
      </c>
      <c r="X64" s="80">
        <f>SUMIFS('октябрь 2024'!$G$5:$G$2162,'октябрь 2024'!$D$5:$D$2162,$B64,'октябрь 2024'!$J$5:$J$2162,X$1)</f>
        <v>0</v>
      </c>
      <c r="Y64" s="80">
        <f>SUMIFS('октябрь 2024'!$G$5:$G$2162,'октябрь 2024'!$D$5:$D$2162,$B64,'октябрь 2024'!$J$5:$J$2162,Y$1)</f>
        <v>0</v>
      </c>
      <c r="Z64" s="80">
        <f>SUMIFS('октябрь 2024'!$G$5:$G$2162,'октябрь 2024'!$D$5:$D$2162,$B64,'октябрь 2024'!$J$5:$J$2162,Z$1)</f>
        <v>0</v>
      </c>
      <c r="AA64" s="80">
        <f>SUMIFS('октябрь 2024'!$G$5:$G$2162,'октябрь 2024'!$D$5:$D$2162,$B64,'октябрь 2024'!$J$5:$J$2162,AA$1)</f>
        <v>0</v>
      </c>
      <c r="AB64" s="80">
        <f>SUMIFS('октябрь 2024'!$G$5:$G$2162,'октябрь 2024'!$D$5:$D$2162,$B64,'октябрь 2024'!$J$5:$J$2162,AB$1)</f>
        <v>0</v>
      </c>
      <c r="AC64" s="80">
        <f>SUMIFS('октябрь 2024'!$G$5:$G$2162,'октябрь 2024'!$D$5:$D$2162,$B64,'октябрь 2024'!$J$5:$J$2162,AC$1)</f>
        <v>0</v>
      </c>
      <c r="AD64" s="80">
        <f>SUMIFS('октябрь 2024'!$G$5:$G$2162,'октябрь 2024'!$D$5:$D$2162,$B64,'октябрь 2024'!$J$5:$J$2162,AD$1)</f>
        <v>0</v>
      </c>
      <c r="AE64" s="80">
        <f>SUMIFS('октябрь 2024'!$G$5:$G$2162,'октябрь 2024'!$D$5:$D$2162,$B64,'октябрь 2024'!$J$5:$J$2162,AE$1)</f>
        <v>0</v>
      </c>
      <c r="AF64" s="80">
        <f>SUMIFS('октябрь 2024'!$G$5:$G$2162,'октябрь 2024'!$D$5:$D$2162,$B64,'октябрь 2024'!$J$5:$J$2162,AF$1)</f>
        <v>0</v>
      </c>
      <c r="AG64" s="80">
        <f>SUMIFS('октябрь 2024'!$G$5:$G$2162,'октябрь 2024'!$D$5:$D$2162,$B64,'октябрь 2024'!$J$5:$J$2162,AG$1)</f>
        <v>0</v>
      </c>
      <c r="AH64" s="80">
        <f>SUMIFS('октябрь 2024'!$G$5:$G$2162,'октябрь 2024'!$D$5:$D$2162,$B64,'октябрь 2024'!$J$5:$J$2162,AH$1)</f>
        <v>0</v>
      </c>
      <c r="AI64" s="21">
        <f t="shared" si="1"/>
        <v>0</v>
      </c>
    </row>
    <row r="65" spans="2:35" ht="15" customHeight="1" x14ac:dyDescent="0.25">
      <c r="B65" s="93" t="s">
        <v>189</v>
      </c>
      <c r="C65" s="91">
        <v>50</v>
      </c>
      <c r="D65" s="80">
        <f>SUMIFS('октябрь 2024'!$G$5:$G$2162,'октябрь 2024'!$D$5:$D$2162,$B65,'октябрь 2024'!$J$5:$J$2162,D$1)</f>
        <v>0</v>
      </c>
      <c r="E65" s="80">
        <f>SUMIFS('октябрь 2024'!$G$5:$G$2162,'октябрь 2024'!$D$5:$D$2162,$B65,'октябрь 2024'!$J$5:$J$2162,E$1)</f>
        <v>0</v>
      </c>
      <c r="F65" s="80">
        <f>SUMIFS('октябрь 2024'!$G$5:$G$2162,'октябрь 2024'!$D$5:$D$2162,$B65,'октябрь 2024'!$J$5:$J$2162,F$1)</f>
        <v>0</v>
      </c>
      <c r="G65" s="80">
        <f>SUMIFS('октябрь 2024'!$G$5:$G$2162,'октябрь 2024'!$D$5:$D$2162,$B65,'октябрь 2024'!$J$5:$J$2162,G$1)</f>
        <v>0</v>
      </c>
      <c r="H65" s="80">
        <f>SUMIFS('октябрь 2024'!$G$5:$G$2162,'октябрь 2024'!$D$5:$D$2162,$B65,'октябрь 2024'!$J$5:$J$2162,H$1)</f>
        <v>0</v>
      </c>
      <c r="I65" s="80">
        <f>SUMIFS('октябрь 2024'!$G$5:$G$2162,'октябрь 2024'!$D$5:$D$2162,$B65,'октябрь 2024'!$J$5:$J$2162,I$1)</f>
        <v>0</v>
      </c>
      <c r="J65" s="80">
        <f>SUMIFS('октябрь 2024'!$G$5:$G$2162,'октябрь 2024'!$D$5:$D$2162,$B65,'октябрь 2024'!$J$5:$J$2162,J$1)</f>
        <v>0</v>
      </c>
      <c r="K65" s="80">
        <f>SUMIFS('октябрь 2024'!$G$5:$G$2162,'октябрь 2024'!$D$5:$D$2162,$B65,'октябрь 2024'!$J$5:$J$2162,K$1)</f>
        <v>0</v>
      </c>
      <c r="L65" s="80">
        <f>SUMIFS('октябрь 2024'!$G$5:$G$2162,'октябрь 2024'!$D$5:$D$2162,$B65,'октябрь 2024'!$J$5:$J$2162,L$1)</f>
        <v>0</v>
      </c>
      <c r="M65" s="80">
        <f>SUMIFS('октябрь 2024'!$G$5:$G$2162,'октябрь 2024'!$D$5:$D$2162,$B65,'октябрь 2024'!$J$5:$J$2162,M$1)</f>
        <v>0</v>
      </c>
      <c r="N65" s="80">
        <f>SUMIFS('октябрь 2024'!$G$5:$G$2162,'октябрь 2024'!$D$5:$D$2162,$B65,'октябрь 2024'!$J$5:$J$2162,N$1)</f>
        <v>0</v>
      </c>
      <c r="O65" s="80">
        <f>SUMIFS('октябрь 2024'!$G$5:$G$2162,'октябрь 2024'!$D$5:$D$2162,$B65,'октябрь 2024'!$J$5:$J$2162,O$1)</f>
        <v>0</v>
      </c>
      <c r="P65" s="80">
        <f>SUMIFS('октябрь 2024'!$G$5:$G$2162,'октябрь 2024'!$D$5:$D$2162,$B65,'октябрь 2024'!$J$5:$J$2162,P$1)</f>
        <v>0</v>
      </c>
      <c r="Q65" s="80">
        <f>SUMIFS('октябрь 2024'!$G$5:$G$2162,'октябрь 2024'!$D$5:$D$2162,$B65,'октябрь 2024'!$J$5:$J$2162,Q$1)</f>
        <v>0</v>
      </c>
      <c r="R65" s="80">
        <f>SUMIFS('октябрь 2024'!$G$5:$G$2162,'октябрь 2024'!$D$5:$D$2162,$B65,'октябрь 2024'!$J$5:$J$2162,R$1)</f>
        <v>0</v>
      </c>
      <c r="S65" s="80">
        <f>SUMIFS('октябрь 2024'!$G$5:$G$2162,'октябрь 2024'!$D$5:$D$2162,$B65,'октябрь 2024'!$J$5:$J$2162,S$1)</f>
        <v>0</v>
      </c>
      <c r="T65" s="80">
        <f>SUMIFS('октябрь 2024'!$G$5:$G$2162,'октябрь 2024'!$D$5:$D$2162,$B65,'октябрь 2024'!$J$5:$J$2162,T$1)</f>
        <v>0</v>
      </c>
      <c r="U65" s="80">
        <f>SUMIFS('октябрь 2024'!$G$5:$G$2162,'октябрь 2024'!$D$5:$D$2162,$B65,'октябрь 2024'!$J$5:$J$2162,U$1)</f>
        <v>0</v>
      </c>
      <c r="V65" s="80">
        <f>SUMIFS('октябрь 2024'!$G$5:$G$2162,'октябрь 2024'!$D$5:$D$2162,$B65,'октябрь 2024'!$J$5:$J$2162,V$1)</f>
        <v>0</v>
      </c>
      <c r="W65" s="80">
        <f>SUMIFS('октябрь 2024'!$G$5:$G$2162,'октябрь 2024'!$D$5:$D$2162,$B65,'октябрь 2024'!$J$5:$J$2162,W$1)</f>
        <v>0</v>
      </c>
      <c r="X65" s="80">
        <f>SUMIFS('октябрь 2024'!$G$5:$G$2162,'октябрь 2024'!$D$5:$D$2162,$B65,'октябрь 2024'!$J$5:$J$2162,X$1)</f>
        <v>0</v>
      </c>
      <c r="Y65" s="80">
        <f>SUMIFS('октябрь 2024'!$G$5:$G$2162,'октябрь 2024'!$D$5:$D$2162,$B65,'октябрь 2024'!$J$5:$J$2162,Y$1)</f>
        <v>0</v>
      </c>
      <c r="Z65" s="80">
        <f>SUMIFS('октябрь 2024'!$G$5:$G$2162,'октябрь 2024'!$D$5:$D$2162,$B65,'октябрь 2024'!$J$5:$J$2162,Z$1)</f>
        <v>0</v>
      </c>
      <c r="AA65" s="80">
        <f>SUMIFS('октябрь 2024'!$G$5:$G$2162,'октябрь 2024'!$D$5:$D$2162,$B65,'октябрь 2024'!$J$5:$J$2162,AA$1)</f>
        <v>0</v>
      </c>
      <c r="AB65" s="80">
        <f>SUMIFS('октябрь 2024'!$G$5:$G$2162,'октябрь 2024'!$D$5:$D$2162,$B65,'октябрь 2024'!$J$5:$J$2162,AB$1)</f>
        <v>0</v>
      </c>
      <c r="AC65" s="80">
        <f>SUMIFS('октябрь 2024'!$G$5:$G$2162,'октябрь 2024'!$D$5:$D$2162,$B65,'октябрь 2024'!$J$5:$J$2162,AC$1)</f>
        <v>0</v>
      </c>
      <c r="AD65" s="80">
        <f>SUMIFS('октябрь 2024'!$G$5:$G$2162,'октябрь 2024'!$D$5:$D$2162,$B65,'октябрь 2024'!$J$5:$J$2162,AD$1)</f>
        <v>0</v>
      </c>
      <c r="AE65" s="80">
        <f>SUMIFS('октябрь 2024'!$G$5:$G$2162,'октябрь 2024'!$D$5:$D$2162,$B65,'октябрь 2024'!$J$5:$J$2162,AE$1)</f>
        <v>0</v>
      </c>
      <c r="AF65" s="80">
        <f>SUMIFS('октябрь 2024'!$G$5:$G$2162,'октябрь 2024'!$D$5:$D$2162,$B65,'октябрь 2024'!$J$5:$J$2162,AF$1)</f>
        <v>0</v>
      </c>
      <c r="AG65" s="80">
        <f>SUMIFS('октябрь 2024'!$G$5:$G$2162,'октябрь 2024'!$D$5:$D$2162,$B65,'октябрь 2024'!$J$5:$J$2162,AG$1)</f>
        <v>0</v>
      </c>
      <c r="AH65" s="80">
        <f>SUMIFS('октябрь 2024'!$G$5:$G$2162,'октябрь 2024'!$D$5:$D$2162,$B65,'октябрь 2024'!$J$5:$J$2162,AH$1)</f>
        <v>0</v>
      </c>
      <c r="AI65" s="21">
        <f t="shared" si="1"/>
        <v>0</v>
      </c>
    </row>
    <row r="66" spans="2:35" ht="15.75" x14ac:dyDescent="0.25">
      <c r="B66" s="89" t="s">
        <v>159</v>
      </c>
      <c r="C66" s="88">
        <v>200</v>
      </c>
      <c r="D66" s="80">
        <f>SUMIFS('октябрь 2024'!$G$5:$G$2162,'октябрь 2024'!$D$5:$D$2162,$B66,'октябрь 2024'!$J$5:$J$2162,D$1)</f>
        <v>0</v>
      </c>
      <c r="E66" s="80">
        <f>SUMIFS('октябрь 2024'!$G$5:$G$2162,'октябрь 2024'!$D$5:$D$2162,$B66,'октябрь 2024'!$J$5:$J$2162,E$1)</f>
        <v>0</v>
      </c>
      <c r="F66" s="80">
        <f>SUMIFS('октябрь 2024'!$G$5:$G$2162,'октябрь 2024'!$D$5:$D$2162,$B66,'октябрь 2024'!$J$5:$J$2162,F$1)</f>
        <v>0</v>
      </c>
      <c r="G66" s="80">
        <f>SUMIFS('октябрь 2024'!$G$5:$G$2162,'октябрь 2024'!$D$5:$D$2162,$B66,'октябрь 2024'!$J$5:$J$2162,G$1)</f>
        <v>0</v>
      </c>
      <c r="H66" s="80">
        <f>SUMIFS('октябрь 2024'!$G$5:$G$2162,'октябрь 2024'!$D$5:$D$2162,$B66,'октябрь 2024'!$J$5:$J$2162,H$1)</f>
        <v>0</v>
      </c>
      <c r="I66" s="80">
        <f>SUMIFS('октябрь 2024'!$G$5:$G$2162,'октябрь 2024'!$D$5:$D$2162,$B66,'октябрь 2024'!$J$5:$J$2162,I$1)</f>
        <v>0</v>
      </c>
      <c r="J66" s="80">
        <f>SUMIFS('октябрь 2024'!$G$5:$G$2162,'октябрь 2024'!$D$5:$D$2162,$B66,'октябрь 2024'!$J$5:$J$2162,J$1)</f>
        <v>0</v>
      </c>
      <c r="K66" s="80">
        <f>SUMIFS('октябрь 2024'!$G$5:$G$2162,'октябрь 2024'!$D$5:$D$2162,$B66,'октябрь 2024'!$J$5:$J$2162,K$1)</f>
        <v>0</v>
      </c>
      <c r="L66" s="80">
        <f>SUMIFS('октябрь 2024'!$G$5:$G$2162,'октябрь 2024'!$D$5:$D$2162,$B66,'октябрь 2024'!$J$5:$J$2162,L$1)</f>
        <v>0</v>
      </c>
      <c r="M66" s="80">
        <f>SUMIFS('октябрь 2024'!$G$5:$G$2162,'октябрь 2024'!$D$5:$D$2162,$B66,'октябрь 2024'!$J$5:$J$2162,M$1)</f>
        <v>0</v>
      </c>
      <c r="N66" s="80">
        <f>SUMIFS('октябрь 2024'!$G$5:$G$2162,'октябрь 2024'!$D$5:$D$2162,$B66,'октябрь 2024'!$J$5:$J$2162,N$1)</f>
        <v>0</v>
      </c>
      <c r="O66" s="80">
        <f>SUMIFS('октябрь 2024'!$G$5:$G$2162,'октябрь 2024'!$D$5:$D$2162,$B66,'октябрь 2024'!$J$5:$J$2162,O$1)</f>
        <v>0</v>
      </c>
      <c r="P66" s="80">
        <f>SUMIFS('октябрь 2024'!$G$5:$G$2162,'октябрь 2024'!$D$5:$D$2162,$B66,'октябрь 2024'!$J$5:$J$2162,P$1)</f>
        <v>0</v>
      </c>
      <c r="Q66" s="80">
        <f>SUMIFS('октябрь 2024'!$G$5:$G$2162,'октябрь 2024'!$D$5:$D$2162,$B66,'октябрь 2024'!$J$5:$J$2162,Q$1)</f>
        <v>0</v>
      </c>
      <c r="R66" s="80">
        <f>SUMIFS('октябрь 2024'!$G$5:$G$2162,'октябрь 2024'!$D$5:$D$2162,$B66,'октябрь 2024'!$J$5:$J$2162,R$1)</f>
        <v>0</v>
      </c>
      <c r="S66" s="80">
        <f>SUMIFS('октябрь 2024'!$G$5:$G$2162,'октябрь 2024'!$D$5:$D$2162,$B66,'октябрь 2024'!$J$5:$J$2162,S$1)</f>
        <v>0</v>
      </c>
      <c r="T66" s="80">
        <f>SUMIFS('октябрь 2024'!$G$5:$G$2162,'октябрь 2024'!$D$5:$D$2162,$B66,'октябрь 2024'!$J$5:$J$2162,T$1)</f>
        <v>0</v>
      </c>
      <c r="U66" s="80">
        <f>SUMIFS('октябрь 2024'!$G$5:$G$2162,'октябрь 2024'!$D$5:$D$2162,$B66,'октябрь 2024'!$J$5:$J$2162,U$1)</f>
        <v>0</v>
      </c>
      <c r="V66" s="80">
        <f>SUMIFS('октябрь 2024'!$G$5:$G$2162,'октябрь 2024'!$D$5:$D$2162,$B66,'октябрь 2024'!$J$5:$J$2162,V$1)</f>
        <v>0</v>
      </c>
      <c r="W66" s="80">
        <f>SUMIFS('октябрь 2024'!$G$5:$G$2162,'октябрь 2024'!$D$5:$D$2162,$B66,'октябрь 2024'!$J$5:$J$2162,W$1)</f>
        <v>0</v>
      </c>
      <c r="X66" s="80">
        <f>SUMIFS('октябрь 2024'!$G$5:$G$2162,'октябрь 2024'!$D$5:$D$2162,$B66,'октябрь 2024'!$J$5:$J$2162,X$1)</f>
        <v>0</v>
      </c>
      <c r="Y66" s="80">
        <f>SUMIFS('октябрь 2024'!$G$5:$G$2162,'октябрь 2024'!$D$5:$D$2162,$B66,'октябрь 2024'!$J$5:$J$2162,Y$1)</f>
        <v>0</v>
      </c>
      <c r="Z66" s="80">
        <f>SUMIFS('октябрь 2024'!$G$5:$G$2162,'октябрь 2024'!$D$5:$D$2162,$B66,'октябрь 2024'!$J$5:$J$2162,Z$1)</f>
        <v>0</v>
      </c>
      <c r="AA66" s="80">
        <f>SUMIFS('октябрь 2024'!$G$5:$G$2162,'октябрь 2024'!$D$5:$D$2162,$B66,'октябрь 2024'!$J$5:$J$2162,AA$1)</f>
        <v>0</v>
      </c>
      <c r="AB66" s="80">
        <f>SUMIFS('октябрь 2024'!$G$5:$G$2162,'октябрь 2024'!$D$5:$D$2162,$B66,'октябрь 2024'!$J$5:$J$2162,AB$1)</f>
        <v>0</v>
      </c>
      <c r="AC66" s="80">
        <f>SUMIFS('октябрь 2024'!$G$5:$G$2162,'октябрь 2024'!$D$5:$D$2162,$B66,'октябрь 2024'!$J$5:$J$2162,AC$1)</f>
        <v>0</v>
      </c>
      <c r="AD66" s="80">
        <f>SUMIFS('октябрь 2024'!$G$5:$G$2162,'октябрь 2024'!$D$5:$D$2162,$B66,'октябрь 2024'!$J$5:$J$2162,AD$1)</f>
        <v>0</v>
      </c>
      <c r="AE66" s="80">
        <f>SUMIFS('октябрь 2024'!$G$5:$G$2162,'октябрь 2024'!$D$5:$D$2162,$B66,'октябрь 2024'!$J$5:$J$2162,AE$1)</f>
        <v>0</v>
      </c>
      <c r="AF66" s="80">
        <f>SUMIFS('октябрь 2024'!$G$5:$G$2162,'октябрь 2024'!$D$5:$D$2162,$B66,'октябрь 2024'!$J$5:$J$2162,AF$1)</f>
        <v>0</v>
      </c>
      <c r="AG66" s="80">
        <f>SUMIFS('октябрь 2024'!$G$5:$G$2162,'октябрь 2024'!$D$5:$D$2162,$B66,'октябрь 2024'!$J$5:$J$2162,AG$1)</f>
        <v>0</v>
      </c>
      <c r="AH66" s="80">
        <f>SUMIFS('октябрь 2024'!$G$5:$G$2162,'октябрь 2024'!$D$5:$D$2162,$B66,'октябрь 2024'!$J$5:$J$2162,AH$1)</f>
        <v>0</v>
      </c>
      <c r="AI66" s="21">
        <f t="shared" si="1"/>
        <v>0</v>
      </c>
    </row>
    <row r="67" spans="2:35" ht="15.75" x14ac:dyDescent="0.25">
      <c r="B67" s="93" t="s">
        <v>158</v>
      </c>
      <c r="C67" s="91">
        <v>200</v>
      </c>
      <c r="D67" s="80">
        <f>SUMIFS('октябрь 2024'!$G$5:$G$2162,'октябрь 2024'!$D$5:$D$2162,$B67,'октябрь 2024'!$J$5:$J$2162,D$1)</f>
        <v>0</v>
      </c>
      <c r="E67" s="80">
        <f>SUMIFS('октябрь 2024'!$G$5:$G$2162,'октябрь 2024'!$D$5:$D$2162,$B67,'октябрь 2024'!$J$5:$J$2162,E$1)</f>
        <v>0</v>
      </c>
      <c r="F67" s="80">
        <f>SUMIFS('октябрь 2024'!$G$5:$G$2162,'октябрь 2024'!$D$5:$D$2162,$B67,'октябрь 2024'!$J$5:$J$2162,F$1)</f>
        <v>0</v>
      </c>
      <c r="G67" s="80">
        <f>SUMIFS('октябрь 2024'!$G$5:$G$2162,'октябрь 2024'!$D$5:$D$2162,$B67,'октябрь 2024'!$J$5:$J$2162,G$1)</f>
        <v>0</v>
      </c>
      <c r="H67" s="80">
        <f>SUMIFS('октябрь 2024'!$G$5:$G$2162,'октябрь 2024'!$D$5:$D$2162,$B67,'октябрь 2024'!$J$5:$J$2162,H$1)</f>
        <v>0</v>
      </c>
      <c r="I67" s="80">
        <f>SUMIFS('октябрь 2024'!$G$5:$G$2162,'октябрь 2024'!$D$5:$D$2162,$B67,'октябрь 2024'!$J$5:$J$2162,I$1)</f>
        <v>0</v>
      </c>
      <c r="J67" s="80">
        <f>SUMIFS('октябрь 2024'!$G$5:$G$2162,'октябрь 2024'!$D$5:$D$2162,$B67,'октябрь 2024'!$J$5:$J$2162,J$1)</f>
        <v>0</v>
      </c>
      <c r="K67" s="80">
        <f>SUMIFS('октябрь 2024'!$G$5:$G$2162,'октябрь 2024'!$D$5:$D$2162,$B67,'октябрь 2024'!$J$5:$J$2162,K$1)</f>
        <v>0</v>
      </c>
      <c r="L67" s="80">
        <f>SUMIFS('октябрь 2024'!$G$5:$G$2162,'октябрь 2024'!$D$5:$D$2162,$B67,'октябрь 2024'!$J$5:$J$2162,L$1)</f>
        <v>0</v>
      </c>
      <c r="M67" s="80">
        <f>SUMIFS('октябрь 2024'!$G$5:$G$2162,'октябрь 2024'!$D$5:$D$2162,$B67,'октябрь 2024'!$J$5:$J$2162,M$1)</f>
        <v>0</v>
      </c>
      <c r="N67" s="80">
        <f>SUMIFS('октябрь 2024'!$G$5:$G$2162,'октябрь 2024'!$D$5:$D$2162,$B67,'октябрь 2024'!$J$5:$J$2162,N$1)</f>
        <v>0</v>
      </c>
      <c r="O67" s="80">
        <f>SUMIFS('октябрь 2024'!$G$5:$G$2162,'октябрь 2024'!$D$5:$D$2162,$B67,'октябрь 2024'!$J$5:$J$2162,O$1)</f>
        <v>0</v>
      </c>
      <c r="P67" s="80">
        <f>SUMIFS('октябрь 2024'!$G$5:$G$2162,'октябрь 2024'!$D$5:$D$2162,$B67,'октябрь 2024'!$J$5:$J$2162,P$1)</f>
        <v>0</v>
      </c>
      <c r="Q67" s="80">
        <f>SUMIFS('октябрь 2024'!$G$5:$G$2162,'октябрь 2024'!$D$5:$D$2162,$B67,'октябрь 2024'!$J$5:$J$2162,Q$1)</f>
        <v>0</v>
      </c>
      <c r="R67" s="80">
        <f>SUMIFS('октябрь 2024'!$G$5:$G$2162,'октябрь 2024'!$D$5:$D$2162,$B67,'октябрь 2024'!$J$5:$J$2162,R$1)</f>
        <v>0</v>
      </c>
      <c r="S67" s="80">
        <f>SUMIFS('октябрь 2024'!$G$5:$G$2162,'октябрь 2024'!$D$5:$D$2162,$B67,'октябрь 2024'!$J$5:$J$2162,S$1)</f>
        <v>0</v>
      </c>
      <c r="T67" s="80">
        <f>SUMIFS('октябрь 2024'!$G$5:$G$2162,'октябрь 2024'!$D$5:$D$2162,$B67,'октябрь 2024'!$J$5:$J$2162,T$1)</f>
        <v>0</v>
      </c>
      <c r="U67" s="80">
        <f>SUMIFS('октябрь 2024'!$G$5:$G$2162,'октябрь 2024'!$D$5:$D$2162,$B67,'октябрь 2024'!$J$5:$J$2162,U$1)</f>
        <v>0</v>
      </c>
      <c r="V67" s="80">
        <f>SUMIFS('октябрь 2024'!$G$5:$G$2162,'октябрь 2024'!$D$5:$D$2162,$B67,'октябрь 2024'!$J$5:$J$2162,V$1)</f>
        <v>0</v>
      </c>
      <c r="W67" s="80">
        <f>SUMIFS('октябрь 2024'!$G$5:$G$2162,'октябрь 2024'!$D$5:$D$2162,$B67,'октябрь 2024'!$J$5:$J$2162,W$1)</f>
        <v>0</v>
      </c>
      <c r="X67" s="80">
        <f>SUMIFS('октябрь 2024'!$G$5:$G$2162,'октябрь 2024'!$D$5:$D$2162,$B67,'октябрь 2024'!$J$5:$J$2162,X$1)</f>
        <v>0</v>
      </c>
      <c r="Y67" s="80">
        <f>SUMIFS('октябрь 2024'!$G$5:$G$2162,'октябрь 2024'!$D$5:$D$2162,$B67,'октябрь 2024'!$J$5:$J$2162,Y$1)</f>
        <v>0</v>
      </c>
      <c r="Z67" s="80">
        <f>SUMIFS('октябрь 2024'!$G$5:$G$2162,'октябрь 2024'!$D$5:$D$2162,$B67,'октябрь 2024'!$J$5:$J$2162,Z$1)</f>
        <v>0</v>
      </c>
      <c r="AA67" s="80">
        <f>SUMIFS('октябрь 2024'!$G$5:$G$2162,'октябрь 2024'!$D$5:$D$2162,$B67,'октябрь 2024'!$J$5:$J$2162,AA$1)</f>
        <v>0</v>
      </c>
      <c r="AB67" s="80">
        <f>SUMIFS('октябрь 2024'!$G$5:$G$2162,'октябрь 2024'!$D$5:$D$2162,$B67,'октябрь 2024'!$J$5:$J$2162,AB$1)</f>
        <v>0</v>
      </c>
      <c r="AC67" s="80">
        <f>SUMIFS('октябрь 2024'!$G$5:$G$2162,'октябрь 2024'!$D$5:$D$2162,$B67,'октябрь 2024'!$J$5:$J$2162,AC$1)</f>
        <v>0</v>
      </c>
      <c r="AD67" s="80">
        <f>SUMIFS('октябрь 2024'!$G$5:$G$2162,'октябрь 2024'!$D$5:$D$2162,$B67,'октябрь 2024'!$J$5:$J$2162,AD$1)</f>
        <v>0</v>
      </c>
      <c r="AE67" s="80">
        <f>SUMIFS('октябрь 2024'!$G$5:$G$2162,'октябрь 2024'!$D$5:$D$2162,$B67,'октябрь 2024'!$J$5:$J$2162,AE$1)</f>
        <v>0</v>
      </c>
      <c r="AF67" s="80">
        <f>SUMIFS('октябрь 2024'!$G$5:$G$2162,'октябрь 2024'!$D$5:$D$2162,$B67,'октябрь 2024'!$J$5:$J$2162,AF$1)</f>
        <v>0</v>
      </c>
      <c r="AG67" s="80">
        <f>SUMIFS('октябрь 2024'!$G$5:$G$2162,'октябрь 2024'!$D$5:$D$2162,$B67,'октябрь 2024'!$J$5:$J$2162,AG$1)</f>
        <v>0</v>
      </c>
      <c r="AH67" s="80">
        <f>SUMIFS('октябрь 2024'!$G$5:$G$2162,'октябрь 2024'!$D$5:$D$2162,$B67,'октябрь 2024'!$J$5:$J$2162,AH$1)</f>
        <v>0</v>
      </c>
      <c r="AI67" s="21">
        <f t="shared" si="1"/>
        <v>0</v>
      </c>
    </row>
    <row r="68" spans="2:35" ht="15.75" x14ac:dyDescent="0.25">
      <c r="B68" s="93" t="s">
        <v>897</v>
      </c>
      <c r="C68" s="91">
        <v>200</v>
      </c>
      <c r="D68" s="80">
        <f>SUMIFS('октябрь 2024'!$G$5:$G$2162,'октябрь 2024'!$D$5:$D$2162,$B68,'октябрь 2024'!$J$5:$J$2162,D$1)</f>
        <v>0</v>
      </c>
      <c r="E68" s="80">
        <f>SUMIFS('октябрь 2024'!$G$5:$G$2162,'октябрь 2024'!$D$5:$D$2162,$B68,'октябрь 2024'!$J$5:$J$2162,E$1)</f>
        <v>0</v>
      </c>
      <c r="F68" s="80">
        <f>SUMIFS('октябрь 2024'!$G$5:$G$2162,'октябрь 2024'!$D$5:$D$2162,$B68,'октябрь 2024'!$J$5:$J$2162,F$1)</f>
        <v>80</v>
      </c>
      <c r="G68" s="80">
        <f>SUMIFS('октябрь 2024'!$G$5:$G$2162,'октябрь 2024'!$D$5:$D$2162,$B68,'октябрь 2024'!$J$5:$J$2162,G$1)</f>
        <v>0</v>
      </c>
      <c r="H68" s="80">
        <f>SUMIFS('октябрь 2024'!$G$5:$G$2162,'октябрь 2024'!$D$5:$D$2162,$B68,'октябрь 2024'!$J$5:$J$2162,H$1)</f>
        <v>0</v>
      </c>
      <c r="I68" s="80">
        <f>SUMIFS('октябрь 2024'!$G$5:$G$2162,'октябрь 2024'!$D$5:$D$2162,$B68,'октябрь 2024'!$J$5:$J$2162,I$1)</f>
        <v>0</v>
      </c>
      <c r="J68" s="80">
        <f>SUMIFS('октябрь 2024'!$G$5:$G$2162,'октябрь 2024'!$D$5:$D$2162,$B68,'октябрь 2024'!$J$5:$J$2162,J$1)</f>
        <v>0</v>
      </c>
      <c r="K68" s="80">
        <f>SUMIFS('октябрь 2024'!$G$5:$G$2162,'октябрь 2024'!$D$5:$D$2162,$B68,'октябрь 2024'!$J$5:$J$2162,K$1)</f>
        <v>0</v>
      </c>
      <c r="L68" s="80">
        <f>SUMIFS('октябрь 2024'!$G$5:$G$2162,'октябрь 2024'!$D$5:$D$2162,$B68,'октябрь 2024'!$J$5:$J$2162,L$1)</f>
        <v>0</v>
      </c>
      <c r="M68" s="80">
        <f>SUMIFS('октябрь 2024'!$G$5:$G$2162,'октябрь 2024'!$D$5:$D$2162,$B68,'октябрь 2024'!$J$5:$J$2162,M$1)</f>
        <v>0</v>
      </c>
      <c r="N68" s="80">
        <f>SUMIFS('октябрь 2024'!$G$5:$G$2162,'октябрь 2024'!$D$5:$D$2162,$B68,'октябрь 2024'!$J$5:$J$2162,N$1)</f>
        <v>0</v>
      </c>
      <c r="O68" s="80">
        <f>SUMIFS('октябрь 2024'!$G$5:$G$2162,'октябрь 2024'!$D$5:$D$2162,$B68,'октябрь 2024'!$J$5:$J$2162,O$1)</f>
        <v>0</v>
      </c>
      <c r="P68" s="80">
        <f>SUMIFS('октябрь 2024'!$G$5:$G$2162,'октябрь 2024'!$D$5:$D$2162,$B68,'октябрь 2024'!$J$5:$J$2162,P$1)</f>
        <v>0</v>
      </c>
      <c r="Q68" s="80">
        <f>SUMIFS('октябрь 2024'!$G$5:$G$2162,'октябрь 2024'!$D$5:$D$2162,$B68,'октябрь 2024'!$J$5:$J$2162,Q$1)</f>
        <v>0</v>
      </c>
      <c r="R68" s="80">
        <f>SUMIFS('октябрь 2024'!$G$5:$G$2162,'октябрь 2024'!$D$5:$D$2162,$B68,'октябрь 2024'!$J$5:$J$2162,R$1)</f>
        <v>0</v>
      </c>
      <c r="S68" s="80">
        <f>SUMIFS('октябрь 2024'!$G$5:$G$2162,'октябрь 2024'!$D$5:$D$2162,$B68,'октябрь 2024'!$J$5:$J$2162,S$1)</f>
        <v>0</v>
      </c>
      <c r="T68" s="80">
        <f>SUMIFS('октябрь 2024'!$G$5:$G$2162,'октябрь 2024'!$D$5:$D$2162,$B68,'октябрь 2024'!$J$5:$J$2162,T$1)</f>
        <v>0</v>
      </c>
      <c r="U68" s="80">
        <f>SUMIFS('октябрь 2024'!$G$5:$G$2162,'октябрь 2024'!$D$5:$D$2162,$B68,'октябрь 2024'!$J$5:$J$2162,U$1)</f>
        <v>0</v>
      </c>
      <c r="V68" s="80">
        <f>SUMIFS('октябрь 2024'!$G$5:$G$2162,'октябрь 2024'!$D$5:$D$2162,$B68,'октябрь 2024'!$J$5:$J$2162,V$1)</f>
        <v>0</v>
      </c>
      <c r="W68" s="80">
        <f>SUMIFS('октябрь 2024'!$G$5:$G$2162,'октябрь 2024'!$D$5:$D$2162,$B68,'октябрь 2024'!$J$5:$J$2162,W$1)</f>
        <v>0</v>
      </c>
      <c r="X68" s="80">
        <f>SUMIFS('октябрь 2024'!$G$5:$G$2162,'октябрь 2024'!$D$5:$D$2162,$B68,'октябрь 2024'!$J$5:$J$2162,X$1)</f>
        <v>0</v>
      </c>
      <c r="Y68" s="80">
        <f>SUMIFS('октябрь 2024'!$G$5:$G$2162,'октябрь 2024'!$D$5:$D$2162,$B68,'октябрь 2024'!$J$5:$J$2162,Y$1)</f>
        <v>0</v>
      </c>
      <c r="Z68" s="80">
        <f>SUMIFS('октябрь 2024'!$G$5:$G$2162,'октябрь 2024'!$D$5:$D$2162,$B68,'октябрь 2024'!$J$5:$J$2162,Z$1)</f>
        <v>0</v>
      </c>
      <c r="AA68" s="80">
        <f>SUMIFS('октябрь 2024'!$G$5:$G$2162,'октябрь 2024'!$D$5:$D$2162,$B68,'октябрь 2024'!$J$5:$J$2162,AA$1)</f>
        <v>80</v>
      </c>
      <c r="AB68" s="80">
        <f>SUMIFS('октябрь 2024'!$G$5:$G$2162,'октябрь 2024'!$D$5:$D$2162,$B68,'октябрь 2024'!$J$5:$J$2162,AB$1)</f>
        <v>80</v>
      </c>
      <c r="AC68" s="80">
        <f>SUMIFS('октябрь 2024'!$G$5:$G$2162,'октябрь 2024'!$D$5:$D$2162,$B68,'октябрь 2024'!$J$5:$J$2162,AC$1)</f>
        <v>0</v>
      </c>
      <c r="AD68" s="80">
        <f>SUMIFS('октябрь 2024'!$G$5:$G$2162,'октябрь 2024'!$D$5:$D$2162,$B68,'октябрь 2024'!$J$5:$J$2162,AD$1)</f>
        <v>0</v>
      </c>
      <c r="AE68" s="80">
        <f>SUMIFS('октябрь 2024'!$G$5:$G$2162,'октябрь 2024'!$D$5:$D$2162,$B68,'октябрь 2024'!$J$5:$J$2162,AE$1)</f>
        <v>0</v>
      </c>
      <c r="AF68" s="80">
        <f>SUMIFS('октябрь 2024'!$G$5:$G$2162,'октябрь 2024'!$D$5:$D$2162,$B68,'октябрь 2024'!$J$5:$J$2162,AF$1)</f>
        <v>0</v>
      </c>
      <c r="AG68" s="80">
        <f>SUMIFS('октябрь 2024'!$G$5:$G$2162,'октябрь 2024'!$D$5:$D$2162,$B68,'октябрь 2024'!$J$5:$J$2162,AG$1)</f>
        <v>0</v>
      </c>
      <c r="AH68" s="80">
        <f>SUMIFS('октябрь 2024'!$G$5:$G$2162,'октябрь 2024'!$D$5:$D$2162,$B68,'октябрь 2024'!$J$5:$J$2162,AH$1)</f>
        <v>0</v>
      </c>
      <c r="AI68" s="21">
        <f t="shared" si="1"/>
        <v>240</v>
      </c>
    </row>
    <row r="69" spans="2:35" ht="15" customHeight="1" x14ac:dyDescent="0.25">
      <c r="B69" s="93" t="s">
        <v>213</v>
      </c>
      <c r="C69" s="91">
        <v>200</v>
      </c>
      <c r="D69" s="80">
        <f>SUMIFS('октябрь 2024'!$G$5:$G$2162,'октябрь 2024'!$D$5:$D$2162,$B69,'октябрь 2024'!$J$5:$J$2162,D$1)</f>
        <v>0</v>
      </c>
      <c r="E69" s="80">
        <f>SUMIFS('октябрь 2024'!$G$5:$G$2162,'октябрь 2024'!$D$5:$D$2162,$B69,'октябрь 2024'!$J$5:$J$2162,E$1)</f>
        <v>0</v>
      </c>
      <c r="F69" s="80">
        <f>SUMIFS('октябрь 2024'!$G$5:$G$2162,'октябрь 2024'!$D$5:$D$2162,$B69,'октябрь 2024'!$J$5:$J$2162,F$1)</f>
        <v>0</v>
      </c>
      <c r="G69" s="80">
        <f>SUMIFS('октябрь 2024'!$G$5:$G$2162,'октябрь 2024'!$D$5:$D$2162,$B69,'октябрь 2024'!$J$5:$J$2162,G$1)</f>
        <v>0</v>
      </c>
      <c r="H69" s="80">
        <f>SUMIFS('октябрь 2024'!$G$5:$G$2162,'октябрь 2024'!$D$5:$D$2162,$B69,'октябрь 2024'!$J$5:$J$2162,H$1)</f>
        <v>0</v>
      </c>
      <c r="I69" s="80">
        <f>SUMIFS('октябрь 2024'!$G$5:$G$2162,'октябрь 2024'!$D$5:$D$2162,$B69,'октябрь 2024'!$J$5:$J$2162,I$1)</f>
        <v>0</v>
      </c>
      <c r="J69" s="80">
        <f>SUMIFS('октябрь 2024'!$G$5:$G$2162,'октябрь 2024'!$D$5:$D$2162,$B69,'октябрь 2024'!$J$5:$J$2162,J$1)</f>
        <v>0</v>
      </c>
      <c r="K69" s="80">
        <f>SUMIFS('октябрь 2024'!$G$5:$G$2162,'октябрь 2024'!$D$5:$D$2162,$B69,'октябрь 2024'!$J$5:$J$2162,K$1)</f>
        <v>0</v>
      </c>
      <c r="L69" s="80">
        <f>SUMIFS('октябрь 2024'!$G$5:$G$2162,'октябрь 2024'!$D$5:$D$2162,$B69,'октябрь 2024'!$J$5:$J$2162,L$1)</f>
        <v>0</v>
      </c>
      <c r="M69" s="80">
        <f>SUMIFS('октябрь 2024'!$G$5:$G$2162,'октябрь 2024'!$D$5:$D$2162,$B69,'октябрь 2024'!$J$5:$J$2162,M$1)</f>
        <v>0</v>
      </c>
      <c r="N69" s="80">
        <f>SUMIFS('октябрь 2024'!$G$5:$G$2162,'октябрь 2024'!$D$5:$D$2162,$B69,'октябрь 2024'!$J$5:$J$2162,N$1)</f>
        <v>0</v>
      </c>
      <c r="O69" s="80">
        <f>SUMIFS('октябрь 2024'!$G$5:$G$2162,'октябрь 2024'!$D$5:$D$2162,$B69,'октябрь 2024'!$J$5:$J$2162,O$1)</f>
        <v>0</v>
      </c>
      <c r="P69" s="80">
        <f>SUMIFS('октябрь 2024'!$G$5:$G$2162,'октябрь 2024'!$D$5:$D$2162,$B69,'октябрь 2024'!$J$5:$J$2162,P$1)</f>
        <v>0</v>
      </c>
      <c r="Q69" s="80">
        <f>SUMIFS('октябрь 2024'!$G$5:$G$2162,'октябрь 2024'!$D$5:$D$2162,$B69,'октябрь 2024'!$J$5:$J$2162,Q$1)</f>
        <v>0</v>
      </c>
      <c r="R69" s="80">
        <f>SUMIFS('октябрь 2024'!$G$5:$G$2162,'октябрь 2024'!$D$5:$D$2162,$B69,'октябрь 2024'!$J$5:$J$2162,R$1)</f>
        <v>0</v>
      </c>
      <c r="S69" s="80">
        <f>SUMIFS('октябрь 2024'!$G$5:$G$2162,'октябрь 2024'!$D$5:$D$2162,$B69,'октябрь 2024'!$J$5:$J$2162,S$1)</f>
        <v>0</v>
      </c>
      <c r="T69" s="80">
        <f>SUMIFS('октябрь 2024'!$G$5:$G$2162,'октябрь 2024'!$D$5:$D$2162,$B69,'октябрь 2024'!$J$5:$J$2162,T$1)</f>
        <v>0</v>
      </c>
      <c r="U69" s="80">
        <f>SUMIFS('октябрь 2024'!$G$5:$G$2162,'октябрь 2024'!$D$5:$D$2162,$B69,'октябрь 2024'!$J$5:$J$2162,U$1)</f>
        <v>0</v>
      </c>
      <c r="V69" s="80">
        <f>SUMIFS('октябрь 2024'!$G$5:$G$2162,'октябрь 2024'!$D$5:$D$2162,$B69,'октябрь 2024'!$J$5:$J$2162,V$1)</f>
        <v>0</v>
      </c>
      <c r="W69" s="80">
        <f>SUMIFS('октябрь 2024'!$G$5:$G$2162,'октябрь 2024'!$D$5:$D$2162,$B69,'октябрь 2024'!$J$5:$J$2162,W$1)</f>
        <v>0</v>
      </c>
      <c r="X69" s="80">
        <f>SUMIFS('октябрь 2024'!$G$5:$G$2162,'октябрь 2024'!$D$5:$D$2162,$B69,'октябрь 2024'!$J$5:$J$2162,X$1)</f>
        <v>0</v>
      </c>
      <c r="Y69" s="80">
        <f>SUMIFS('октябрь 2024'!$G$5:$G$2162,'октябрь 2024'!$D$5:$D$2162,$B69,'октябрь 2024'!$J$5:$J$2162,Y$1)</f>
        <v>0</v>
      </c>
      <c r="Z69" s="80">
        <f>SUMIFS('октябрь 2024'!$G$5:$G$2162,'октябрь 2024'!$D$5:$D$2162,$B69,'октябрь 2024'!$J$5:$J$2162,Z$1)</f>
        <v>0</v>
      </c>
      <c r="AA69" s="80">
        <f>SUMIFS('октябрь 2024'!$G$5:$G$2162,'октябрь 2024'!$D$5:$D$2162,$B69,'октябрь 2024'!$J$5:$J$2162,AA$1)</f>
        <v>0</v>
      </c>
      <c r="AB69" s="80">
        <f>SUMIFS('октябрь 2024'!$G$5:$G$2162,'октябрь 2024'!$D$5:$D$2162,$B69,'октябрь 2024'!$J$5:$J$2162,AB$1)</f>
        <v>0</v>
      </c>
      <c r="AC69" s="80">
        <f>SUMIFS('октябрь 2024'!$G$5:$G$2162,'октябрь 2024'!$D$5:$D$2162,$B69,'октябрь 2024'!$J$5:$J$2162,AC$1)</f>
        <v>0</v>
      </c>
      <c r="AD69" s="80">
        <f>SUMIFS('октябрь 2024'!$G$5:$G$2162,'октябрь 2024'!$D$5:$D$2162,$B69,'октябрь 2024'!$J$5:$J$2162,AD$1)</f>
        <v>0</v>
      </c>
      <c r="AE69" s="80">
        <f>SUMIFS('октябрь 2024'!$G$5:$G$2162,'октябрь 2024'!$D$5:$D$2162,$B69,'октябрь 2024'!$J$5:$J$2162,AE$1)</f>
        <v>0</v>
      </c>
      <c r="AF69" s="80">
        <f>SUMIFS('октябрь 2024'!$G$5:$G$2162,'октябрь 2024'!$D$5:$D$2162,$B69,'октябрь 2024'!$J$5:$J$2162,AF$1)</f>
        <v>0</v>
      </c>
      <c r="AG69" s="80">
        <f>SUMIFS('октябрь 2024'!$G$5:$G$2162,'октябрь 2024'!$D$5:$D$2162,$B69,'октябрь 2024'!$J$5:$J$2162,AG$1)</f>
        <v>0</v>
      </c>
      <c r="AH69" s="80">
        <f>SUMIFS('октябрь 2024'!$G$5:$G$2162,'октябрь 2024'!$D$5:$D$2162,$B69,'октябрь 2024'!$J$5:$J$2162,AH$1)</f>
        <v>0</v>
      </c>
      <c r="AI69" s="21">
        <f t="shared" si="1"/>
        <v>0</v>
      </c>
    </row>
    <row r="70" spans="2:35" ht="15" customHeight="1" x14ac:dyDescent="0.25">
      <c r="B70" s="93" t="s">
        <v>197</v>
      </c>
      <c r="C70" s="91">
        <v>200</v>
      </c>
      <c r="D70" s="80">
        <f>SUMIFS('октябрь 2024'!$G$5:$G$2162,'октябрь 2024'!$D$5:$D$2162,$B70,'октябрь 2024'!$J$5:$J$2162,D$1)</f>
        <v>0</v>
      </c>
      <c r="E70" s="80">
        <f>SUMIFS('октябрь 2024'!$G$5:$G$2162,'октябрь 2024'!$D$5:$D$2162,$B70,'октябрь 2024'!$J$5:$J$2162,E$1)</f>
        <v>0</v>
      </c>
      <c r="F70" s="80">
        <f>SUMIFS('октябрь 2024'!$G$5:$G$2162,'октябрь 2024'!$D$5:$D$2162,$B70,'октябрь 2024'!$J$5:$J$2162,F$1)</f>
        <v>0</v>
      </c>
      <c r="G70" s="80">
        <f>SUMIFS('октябрь 2024'!$G$5:$G$2162,'октябрь 2024'!$D$5:$D$2162,$B70,'октябрь 2024'!$J$5:$J$2162,G$1)</f>
        <v>0</v>
      </c>
      <c r="H70" s="80">
        <f>SUMIFS('октябрь 2024'!$G$5:$G$2162,'октябрь 2024'!$D$5:$D$2162,$B70,'октябрь 2024'!$J$5:$J$2162,H$1)</f>
        <v>0</v>
      </c>
      <c r="I70" s="80">
        <f>SUMIFS('октябрь 2024'!$G$5:$G$2162,'октябрь 2024'!$D$5:$D$2162,$B70,'октябрь 2024'!$J$5:$J$2162,I$1)</f>
        <v>0</v>
      </c>
      <c r="J70" s="80">
        <f>SUMIFS('октябрь 2024'!$G$5:$G$2162,'октябрь 2024'!$D$5:$D$2162,$B70,'октябрь 2024'!$J$5:$J$2162,J$1)</f>
        <v>0</v>
      </c>
      <c r="K70" s="80">
        <f>SUMIFS('октябрь 2024'!$G$5:$G$2162,'октябрь 2024'!$D$5:$D$2162,$B70,'октябрь 2024'!$J$5:$J$2162,K$1)</f>
        <v>0</v>
      </c>
      <c r="L70" s="80">
        <f>SUMIFS('октябрь 2024'!$G$5:$G$2162,'октябрь 2024'!$D$5:$D$2162,$B70,'октябрь 2024'!$J$5:$J$2162,L$1)</f>
        <v>0</v>
      </c>
      <c r="M70" s="80">
        <f>SUMIFS('октябрь 2024'!$G$5:$G$2162,'октябрь 2024'!$D$5:$D$2162,$B70,'октябрь 2024'!$J$5:$J$2162,M$1)</f>
        <v>0</v>
      </c>
      <c r="N70" s="80">
        <f>SUMIFS('октябрь 2024'!$G$5:$G$2162,'октябрь 2024'!$D$5:$D$2162,$B70,'октябрь 2024'!$J$5:$J$2162,N$1)</f>
        <v>0</v>
      </c>
      <c r="O70" s="80">
        <f>SUMIFS('октябрь 2024'!$G$5:$G$2162,'октябрь 2024'!$D$5:$D$2162,$B70,'октябрь 2024'!$J$5:$J$2162,O$1)</f>
        <v>0</v>
      </c>
      <c r="P70" s="80">
        <f>SUMIFS('октябрь 2024'!$G$5:$G$2162,'октябрь 2024'!$D$5:$D$2162,$B70,'октябрь 2024'!$J$5:$J$2162,P$1)</f>
        <v>0</v>
      </c>
      <c r="Q70" s="80">
        <f>SUMIFS('октябрь 2024'!$G$5:$G$2162,'октябрь 2024'!$D$5:$D$2162,$B70,'октябрь 2024'!$J$5:$J$2162,Q$1)</f>
        <v>0</v>
      </c>
      <c r="R70" s="80">
        <f>SUMIFS('октябрь 2024'!$G$5:$G$2162,'октябрь 2024'!$D$5:$D$2162,$B70,'октябрь 2024'!$J$5:$J$2162,R$1)</f>
        <v>0</v>
      </c>
      <c r="S70" s="80">
        <f>SUMIFS('октябрь 2024'!$G$5:$G$2162,'октябрь 2024'!$D$5:$D$2162,$B70,'октябрь 2024'!$J$5:$J$2162,S$1)</f>
        <v>0</v>
      </c>
      <c r="T70" s="80">
        <f>SUMIFS('октябрь 2024'!$G$5:$G$2162,'октябрь 2024'!$D$5:$D$2162,$B70,'октябрь 2024'!$J$5:$J$2162,T$1)</f>
        <v>0</v>
      </c>
      <c r="U70" s="80">
        <f>SUMIFS('октябрь 2024'!$G$5:$G$2162,'октябрь 2024'!$D$5:$D$2162,$B70,'октябрь 2024'!$J$5:$J$2162,U$1)</f>
        <v>0</v>
      </c>
      <c r="V70" s="80">
        <f>SUMIFS('октябрь 2024'!$G$5:$G$2162,'октябрь 2024'!$D$5:$D$2162,$B70,'октябрь 2024'!$J$5:$J$2162,V$1)</f>
        <v>0</v>
      </c>
      <c r="W70" s="80">
        <f>SUMIFS('октябрь 2024'!$G$5:$G$2162,'октябрь 2024'!$D$5:$D$2162,$B70,'октябрь 2024'!$J$5:$J$2162,W$1)</f>
        <v>0</v>
      </c>
      <c r="X70" s="80">
        <f>SUMIFS('октябрь 2024'!$G$5:$G$2162,'октябрь 2024'!$D$5:$D$2162,$B70,'октябрь 2024'!$J$5:$J$2162,X$1)</f>
        <v>0</v>
      </c>
      <c r="Y70" s="80">
        <f>SUMIFS('октябрь 2024'!$G$5:$G$2162,'октябрь 2024'!$D$5:$D$2162,$B70,'октябрь 2024'!$J$5:$J$2162,Y$1)</f>
        <v>0</v>
      </c>
      <c r="Z70" s="80">
        <f>SUMIFS('октябрь 2024'!$G$5:$G$2162,'октябрь 2024'!$D$5:$D$2162,$B70,'октябрь 2024'!$J$5:$J$2162,Z$1)</f>
        <v>0</v>
      </c>
      <c r="AA70" s="80">
        <f>SUMIFS('октябрь 2024'!$G$5:$G$2162,'октябрь 2024'!$D$5:$D$2162,$B70,'октябрь 2024'!$J$5:$J$2162,AA$1)</f>
        <v>0</v>
      </c>
      <c r="AB70" s="80">
        <f>SUMIFS('октябрь 2024'!$G$5:$G$2162,'октябрь 2024'!$D$5:$D$2162,$B70,'октябрь 2024'!$J$5:$J$2162,AB$1)</f>
        <v>0</v>
      </c>
      <c r="AC70" s="80">
        <f>SUMIFS('октябрь 2024'!$G$5:$G$2162,'октябрь 2024'!$D$5:$D$2162,$B70,'октябрь 2024'!$J$5:$J$2162,AC$1)</f>
        <v>0</v>
      </c>
      <c r="AD70" s="80">
        <f>SUMIFS('октябрь 2024'!$G$5:$G$2162,'октябрь 2024'!$D$5:$D$2162,$B70,'октябрь 2024'!$J$5:$J$2162,AD$1)</f>
        <v>0</v>
      </c>
      <c r="AE70" s="80">
        <f>SUMIFS('октябрь 2024'!$G$5:$G$2162,'октябрь 2024'!$D$5:$D$2162,$B70,'октябрь 2024'!$J$5:$J$2162,AE$1)</f>
        <v>0</v>
      </c>
      <c r="AF70" s="80">
        <f>SUMIFS('октябрь 2024'!$G$5:$G$2162,'октябрь 2024'!$D$5:$D$2162,$B70,'октябрь 2024'!$J$5:$J$2162,AF$1)</f>
        <v>0</v>
      </c>
      <c r="AG70" s="80">
        <f>SUMIFS('октябрь 2024'!$G$5:$G$2162,'октябрь 2024'!$D$5:$D$2162,$B70,'октябрь 2024'!$J$5:$J$2162,AG$1)</f>
        <v>0</v>
      </c>
      <c r="AH70" s="80">
        <f>SUMIFS('октябрь 2024'!$G$5:$G$2162,'октябрь 2024'!$D$5:$D$2162,$B70,'октябрь 2024'!$J$5:$J$2162,AH$1)</f>
        <v>0</v>
      </c>
      <c r="AI70" s="21">
        <f t="shared" si="1"/>
        <v>0</v>
      </c>
    </row>
    <row r="71" spans="2:35" ht="15" customHeight="1" x14ac:dyDescent="0.25">
      <c r="B71" s="93" t="s">
        <v>198</v>
      </c>
      <c r="C71" s="91">
        <v>200</v>
      </c>
      <c r="D71" s="80">
        <f>SUMIFS('октябрь 2024'!$G$5:$G$2162,'октябрь 2024'!$D$5:$D$2162,$B71,'октябрь 2024'!$J$5:$J$2162,D$1)</f>
        <v>0</v>
      </c>
      <c r="E71" s="80">
        <f>SUMIFS('октябрь 2024'!$G$5:$G$2162,'октябрь 2024'!$D$5:$D$2162,$B71,'октябрь 2024'!$J$5:$J$2162,E$1)</f>
        <v>0</v>
      </c>
      <c r="F71" s="80">
        <f>SUMIFS('октябрь 2024'!$G$5:$G$2162,'октябрь 2024'!$D$5:$D$2162,$B71,'октябрь 2024'!$J$5:$J$2162,F$1)</f>
        <v>0</v>
      </c>
      <c r="G71" s="80">
        <f>SUMIFS('октябрь 2024'!$G$5:$G$2162,'октябрь 2024'!$D$5:$D$2162,$B71,'октябрь 2024'!$J$5:$J$2162,G$1)</f>
        <v>0</v>
      </c>
      <c r="H71" s="80">
        <f>SUMIFS('октябрь 2024'!$G$5:$G$2162,'октябрь 2024'!$D$5:$D$2162,$B71,'октябрь 2024'!$J$5:$J$2162,H$1)</f>
        <v>0</v>
      </c>
      <c r="I71" s="80">
        <f>SUMIFS('октябрь 2024'!$G$5:$G$2162,'октябрь 2024'!$D$5:$D$2162,$B71,'октябрь 2024'!$J$5:$J$2162,I$1)</f>
        <v>0</v>
      </c>
      <c r="J71" s="80">
        <f>SUMIFS('октябрь 2024'!$G$5:$G$2162,'октябрь 2024'!$D$5:$D$2162,$B71,'октябрь 2024'!$J$5:$J$2162,J$1)</f>
        <v>0</v>
      </c>
      <c r="K71" s="80">
        <f>SUMIFS('октябрь 2024'!$G$5:$G$2162,'октябрь 2024'!$D$5:$D$2162,$B71,'октябрь 2024'!$J$5:$J$2162,K$1)</f>
        <v>0</v>
      </c>
      <c r="L71" s="80">
        <f>SUMIFS('октябрь 2024'!$G$5:$G$2162,'октябрь 2024'!$D$5:$D$2162,$B71,'октябрь 2024'!$J$5:$J$2162,L$1)</f>
        <v>0</v>
      </c>
      <c r="M71" s="80">
        <f>SUMIFS('октябрь 2024'!$G$5:$G$2162,'октябрь 2024'!$D$5:$D$2162,$B71,'октябрь 2024'!$J$5:$J$2162,M$1)</f>
        <v>0</v>
      </c>
      <c r="N71" s="80">
        <f>SUMIFS('октябрь 2024'!$G$5:$G$2162,'октябрь 2024'!$D$5:$D$2162,$B71,'октябрь 2024'!$J$5:$J$2162,N$1)</f>
        <v>0</v>
      </c>
      <c r="O71" s="80">
        <f>SUMIFS('октябрь 2024'!$G$5:$G$2162,'октябрь 2024'!$D$5:$D$2162,$B71,'октябрь 2024'!$J$5:$J$2162,O$1)</f>
        <v>0</v>
      </c>
      <c r="P71" s="80">
        <f>SUMIFS('октябрь 2024'!$G$5:$G$2162,'октябрь 2024'!$D$5:$D$2162,$B71,'октябрь 2024'!$J$5:$J$2162,P$1)</f>
        <v>0</v>
      </c>
      <c r="Q71" s="80">
        <f>SUMIFS('октябрь 2024'!$G$5:$G$2162,'октябрь 2024'!$D$5:$D$2162,$B71,'октябрь 2024'!$J$5:$J$2162,Q$1)</f>
        <v>0</v>
      </c>
      <c r="R71" s="80">
        <f>SUMIFS('октябрь 2024'!$G$5:$G$2162,'октябрь 2024'!$D$5:$D$2162,$B71,'октябрь 2024'!$J$5:$J$2162,R$1)</f>
        <v>0</v>
      </c>
      <c r="S71" s="80">
        <f>SUMIFS('октябрь 2024'!$G$5:$G$2162,'октябрь 2024'!$D$5:$D$2162,$B71,'октябрь 2024'!$J$5:$J$2162,S$1)</f>
        <v>0</v>
      </c>
      <c r="T71" s="80">
        <f>SUMIFS('октябрь 2024'!$G$5:$G$2162,'октябрь 2024'!$D$5:$D$2162,$B71,'октябрь 2024'!$J$5:$J$2162,T$1)</f>
        <v>0</v>
      </c>
      <c r="U71" s="80">
        <f>SUMIFS('октябрь 2024'!$G$5:$G$2162,'октябрь 2024'!$D$5:$D$2162,$B71,'октябрь 2024'!$J$5:$J$2162,U$1)</f>
        <v>0</v>
      </c>
      <c r="V71" s="80">
        <f>SUMIFS('октябрь 2024'!$G$5:$G$2162,'октябрь 2024'!$D$5:$D$2162,$B71,'октябрь 2024'!$J$5:$J$2162,V$1)</f>
        <v>0</v>
      </c>
      <c r="W71" s="80">
        <f>SUMIFS('октябрь 2024'!$G$5:$G$2162,'октябрь 2024'!$D$5:$D$2162,$B71,'октябрь 2024'!$J$5:$J$2162,W$1)</f>
        <v>0</v>
      </c>
      <c r="X71" s="80">
        <f>SUMIFS('октябрь 2024'!$G$5:$G$2162,'октябрь 2024'!$D$5:$D$2162,$B71,'октябрь 2024'!$J$5:$J$2162,X$1)</f>
        <v>0</v>
      </c>
      <c r="Y71" s="80">
        <f>SUMIFS('октябрь 2024'!$G$5:$G$2162,'октябрь 2024'!$D$5:$D$2162,$B71,'октябрь 2024'!$J$5:$J$2162,Y$1)</f>
        <v>0</v>
      </c>
      <c r="Z71" s="80">
        <f>SUMIFS('октябрь 2024'!$G$5:$G$2162,'октябрь 2024'!$D$5:$D$2162,$B71,'октябрь 2024'!$J$5:$J$2162,Z$1)</f>
        <v>0</v>
      </c>
      <c r="AA71" s="80">
        <f>SUMIFS('октябрь 2024'!$G$5:$G$2162,'октябрь 2024'!$D$5:$D$2162,$B71,'октябрь 2024'!$J$5:$J$2162,AA$1)</f>
        <v>0</v>
      </c>
      <c r="AB71" s="80">
        <f>SUMIFS('октябрь 2024'!$G$5:$G$2162,'октябрь 2024'!$D$5:$D$2162,$B71,'октябрь 2024'!$J$5:$J$2162,AB$1)</f>
        <v>0</v>
      </c>
      <c r="AC71" s="80">
        <f>SUMIFS('октябрь 2024'!$G$5:$G$2162,'октябрь 2024'!$D$5:$D$2162,$B71,'октябрь 2024'!$J$5:$J$2162,AC$1)</f>
        <v>0</v>
      </c>
      <c r="AD71" s="80">
        <f>SUMIFS('октябрь 2024'!$G$5:$G$2162,'октябрь 2024'!$D$5:$D$2162,$B71,'октябрь 2024'!$J$5:$J$2162,AD$1)</f>
        <v>0</v>
      </c>
      <c r="AE71" s="80">
        <f>SUMIFS('октябрь 2024'!$G$5:$G$2162,'октябрь 2024'!$D$5:$D$2162,$B71,'октябрь 2024'!$J$5:$J$2162,AE$1)</f>
        <v>0</v>
      </c>
      <c r="AF71" s="80">
        <f>SUMIFS('октябрь 2024'!$G$5:$G$2162,'октябрь 2024'!$D$5:$D$2162,$B71,'октябрь 2024'!$J$5:$J$2162,AF$1)</f>
        <v>0</v>
      </c>
      <c r="AG71" s="80">
        <f>SUMIFS('октябрь 2024'!$G$5:$G$2162,'октябрь 2024'!$D$5:$D$2162,$B71,'октябрь 2024'!$J$5:$J$2162,AG$1)</f>
        <v>0</v>
      </c>
      <c r="AH71" s="80">
        <f>SUMIFS('октябрь 2024'!$G$5:$G$2162,'октябрь 2024'!$D$5:$D$2162,$B71,'октябрь 2024'!$J$5:$J$2162,AH$1)</f>
        <v>0</v>
      </c>
      <c r="AI71" s="21">
        <f t="shared" si="1"/>
        <v>0</v>
      </c>
    </row>
    <row r="72" spans="2:35" ht="15" customHeight="1" x14ac:dyDescent="0.25">
      <c r="B72" s="93" t="s">
        <v>320</v>
      </c>
      <c r="C72" s="91">
        <v>190</v>
      </c>
      <c r="D72" s="80">
        <f>SUMIFS('октябрь 2024'!$G$5:$G$2162,'октябрь 2024'!$D$5:$D$2162,$B72,'октябрь 2024'!$J$5:$J$2162,D$1)</f>
        <v>0</v>
      </c>
      <c r="E72" s="80">
        <f>SUMIFS('октябрь 2024'!$G$5:$G$2162,'октябрь 2024'!$D$5:$D$2162,$B72,'октябрь 2024'!$J$5:$J$2162,E$1)</f>
        <v>0</v>
      </c>
      <c r="F72" s="80">
        <f>SUMIFS('октябрь 2024'!$G$5:$G$2162,'октябрь 2024'!$D$5:$D$2162,$B72,'октябрь 2024'!$J$5:$J$2162,F$1)</f>
        <v>0</v>
      </c>
      <c r="G72" s="80">
        <f>SUMIFS('октябрь 2024'!$G$5:$G$2162,'октябрь 2024'!$D$5:$D$2162,$B72,'октябрь 2024'!$J$5:$J$2162,G$1)</f>
        <v>0</v>
      </c>
      <c r="H72" s="80">
        <f>SUMIFS('октябрь 2024'!$G$5:$G$2162,'октябрь 2024'!$D$5:$D$2162,$B72,'октябрь 2024'!$J$5:$J$2162,H$1)</f>
        <v>0</v>
      </c>
      <c r="I72" s="80">
        <f>SUMIFS('октябрь 2024'!$G$5:$G$2162,'октябрь 2024'!$D$5:$D$2162,$B72,'октябрь 2024'!$J$5:$J$2162,I$1)</f>
        <v>0</v>
      </c>
      <c r="J72" s="80">
        <f>SUMIFS('октябрь 2024'!$G$5:$G$2162,'октябрь 2024'!$D$5:$D$2162,$B72,'октябрь 2024'!$J$5:$J$2162,J$1)</f>
        <v>0</v>
      </c>
      <c r="K72" s="80">
        <f>SUMIFS('октябрь 2024'!$G$5:$G$2162,'октябрь 2024'!$D$5:$D$2162,$B72,'октябрь 2024'!$J$5:$J$2162,K$1)</f>
        <v>0</v>
      </c>
      <c r="L72" s="80">
        <f>SUMIFS('октябрь 2024'!$G$5:$G$2162,'октябрь 2024'!$D$5:$D$2162,$B72,'октябрь 2024'!$J$5:$J$2162,L$1)</f>
        <v>0</v>
      </c>
      <c r="M72" s="80">
        <f>SUMIFS('октябрь 2024'!$G$5:$G$2162,'октябрь 2024'!$D$5:$D$2162,$B72,'октябрь 2024'!$J$5:$J$2162,M$1)</f>
        <v>0</v>
      </c>
      <c r="N72" s="80">
        <f>SUMIFS('октябрь 2024'!$G$5:$G$2162,'октябрь 2024'!$D$5:$D$2162,$B72,'октябрь 2024'!$J$5:$J$2162,N$1)</f>
        <v>0</v>
      </c>
      <c r="O72" s="80">
        <f>SUMIFS('октябрь 2024'!$G$5:$G$2162,'октябрь 2024'!$D$5:$D$2162,$B72,'октябрь 2024'!$J$5:$J$2162,O$1)</f>
        <v>0</v>
      </c>
      <c r="P72" s="80">
        <f>SUMIFS('октябрь 2024'!$G$5:$G$2162,'октябрь 2024'!$D$5:$D$2162,$B72,'октябрь 2024'!$J$5:$J$2162,P$1)</f>
        <v>0</v>
      </c>
      <c r="Q72" s="80">
        <f>SUMIFS('октябрь 2024'!$G$5:$G$2162,'октябрь 2024'!$D$5:$D$2162,$B72,'октябрь 2024'!$J$5:$J$2162,Q$1)</f>
        <v>0</v>
      </c>
      <c r="R72" s="80">
        <f>SUMIFS('октябрь 2024'!$G$5:$G$2162,'октябрь 2024'!$D$5:$D$2162,$B72,'октябрь 2024'!$J$5:$J$2162,R$1)</f>
        <v>0</v>
      </c>
      <c r="S72" s="80">
        <f>SUMIFS('октябрь 2024'!$G$5:$G$2162,'октябрь 2024'!$D$5:$D$2162,$B72,'октябрь 2024'!$J$5:$J$2162,S$1)</f>
        <v>0</v>
      </c>
      <c r="T72" s="80">
        <f>SUMIFS('октябрь 2024'!$G$5:$G$2162,'октябрь 2024'!$D$5:$D$2162,$B72,'октябрь 2024'!$J$5:$J$2162,T$1)</f>
        <v>0</v>
      </c>
      <c r="U72" s="80">
        <f>SUMIFS('октябрь 2024'!$G$5:$G$2162,'октябрь 2024'!$D$5:$D$2162,$B72,'октябрь 2024'!$J$5:$J$2162,U$1)</f>
        <v>0</v>
      </c>
      <c r="V72" s="80">
        <f>SUMIFS('октябрь 2024'!$G$5:$G$2162,'октябрь 2024'!$D$5:$D$2162,$B72,'октябрь 2024'!$J$5:$J$2162,V$1)</f>
        <v>0</v>
      </c>
      <c r="W72" s="80">
        <f>SUMIFS('октябрь 2024'!$G$5:$G$2162,'октябрь 2024'!$D$5:$D$2162,$B72,'октябрь 2024'!$J$5:$J$2162,W$1)</f>
        <v>0</v>
      </c>
      <c r="X72" s="80">
        <f>SUMIFS('октябрь 2024'!$G$5:$G$2162,'октябрь 2024'!$D$5:$D$2162,$B72,'октябрь 2024'!$J$5:$J$2162,X$1)</f>
        <v>0</v>
      </c>
      <c r="Y72" s="80">
        <f>SUMIFS('октябрь 2024'!$G$5:$G$2162,'октябрь 2024'!$D$5:$D$2162,$B72,'октябрь 2024'!$J$5:$J$2162,Y$1)</f>
        <v>0</v>
      </c>
      <c r="Z72" s="80">
        <f>SUMIFS('октябрь 2024'!$G$5:$G$2162,'октябрь 2024'!$D$5:$D$2162,$B72,'октябрь 2024'!$J$5:$J$2162,Z$1)</f>
        <v>0</v>
      </c>
      <c r="AA72" s="80">
        <f>SUMIFS('октябрь 2024'!$G$5:$G$2162,'октябрь 2024'!$D$5:$D$2162,$B72,'октябрь 2024'!$J$5:$J$2162,AA$1)</f>
        <v>0</v>
      </c>
      <c r="AB72" s="80">
        <f>SUMIFS('октябрь 2024'!$G$5:$G$2162,'октябрь 2024'!$D$5:$D$2162,$B72,'октябрь 2024'!$J$5:$J$2162,AB$1)</f>
        <v>0</v>
      </c>
      <c r="AC72" s="80">
        <f>SUMIFS('октябрь 2024'!$G$5:$G$2162,'октябрь 2024'!$D$5:$D$2162,$B72,'октябрь 2024'!$J$5:$J$2162,AC$1)</f>
        <v>0</v>
      </c>
      <c r="AD72" s="80">
        <f>SUMIFS('октябрь 2024'!$G$5:$G$2162,'октябрь 2024'!$D$5:$D$2162,$B72,'октябрь 2024'!$J$5:$J$2162,AD$1)</f>
        <v>0</v>
      </c>
      <c r="AE72" s="80">
        <f>SUMIFS('октябрь 2024'!$G$5:$G$2162,'октябрь 2024'!$D$5:$D$2162,$B72,'октябрь 2024'!$J$5:$J$2162,AE$1)</f>
        <v>0</v>
      </c>
      <c r="AF72" s="80">
        <f>SUMIFS('октябрь 2024'!$G$5:$G$2162,'октябрь 2024'!$D$5:$D$2162,$B72,'октябрь 2024'!$J$5:$J$2162,AF$1)</f>
        <v>0</v>
      </c>
      <c r="AG72" s="80">
        <f>SUMIFS('октябрь 2024'!$G$5:$G$2162,'октябрь 2024'!$D$5:$D$2162,$B72,'октябрь 2024'!$J$5:$J$2162,AG$1)</f>
        <v>0</v>
      </c>
      <c r="AH72" s="80">
        <f>SUMIFS('октябрь 2024'!$G$5:$G$2162,'октябрь 2024'!$D$5:$D$2162,$B72,'октябрь 2024'!$J$5:$J$2162,AH$1)</f>
        <v>0</v>
      </c>
      <c r="AI72" s="21">
        <f t="shared" si="1"/>
        <v>0</v>
      </c>
    </row>
    <row r="73" spans="2:35" ht="15" customHeight="1" x14ac:dyDescent="0.25">
      <c r="B73" s="93" t="s">
        <v>210</v>
      </c>
      <c r="C73" s="91">
        <v>200</v>
      </c>
      <c r="D73" s="80">
        <f>SUMIFS('октябрь 2024'!$G$5:$G$2162,'октябрь 2024'!$D$5:$D$2162,$B73,'октябрь 2024'!$J$5:$J$2162,D$1)</f>
        <v>0</v>
      </c>
      <c r="E73" s="80">
        <f>SUMIFS('октябрь 2024'!$G$5:$G$2162,'октябрь 2024'!$D$5:$D$2162,$B73,'октябрь 2024'!$J$5:$J$2162,E$1)</f>
        <v>0</v>
      </c>
      <c r="F73" s="80">
        <f>SUMIFS('октябрь 2024'!$G$5:$G$2162,'октябрь 2024'!$D$5:$D$2162,$B73,'октябрь 2024'!$J$5:$J$2162,F$1)</f>
        <v>0</v>
      </c>
      <c r="G73" s="80">
        <f>SUMIFS('октябрь 2024'!$G$5:$G$2162,'октябрь 2024'!$D$5:$D$2162,$B73,'октябрь 2024'!$J$5:$J$2162,G$1)</f>
        <v>0</v>
      </c>
      <c r="H73" s="80">
        <f>SUMIFS('октябрь 2024'!$G$5:$G$2162,'октябрь 2024'!$D$5:$D$2162,$B73,'октябрь 2024'!$J$5:$J$2162,H$1)</f>
        <v>0</v>
      </c>
      <c r="I73" s="80">
        <f>SUMIFS('октябрь 2024'!$G$5:$G$2162,'октябрь 2024'!$D$5:$D$2162,$B73,'октябрь 2024'!$J$5:$J$2162,I$1)</f>
        <v>0</v>
      </c>
      <c r="J73" s="80">
        <f>SUMIFS('октябрь 2024'!$G$5:$G$2162,'октябрь 2024'!$D$5:$D$2162,$B73,'октябрь 2024'!$J$5:$J$2162,J$1)</f>
        <v>0</v>
      </c>
      <c r="K73" s="80">
        <f>SUMIFS('октябрь 2024'!$G$5:$G$2162,'октябрь 2024'!$D$5:$D$2162,$B73,'октябрь 2024'!$J$5:$J$2162,K$1)</f>
        <v>0</v>
      </c>
      <c r="L73" s="80">
        <f>SUMIFS('октябрь 2024'!$G$5:$G$2162,'октябрь 2024'!$D$5:$D$2162,$B73,'октябрь 2024'!$J$5:$J$2162,L$1)</f>
        <v>0</v>
      </c>
      <c r="M73" s="80">
        <f>SUMIFS('октябрь 2024'!$G$5:$G$2162,'октябрь 2024'!$D$5:$D$2162,$B73,'октябрь 2024'!$J$5:$J$2162,M$1)</f>
        <v>0</v>
      </c>
      <c r="N73" s="80">
        <f>SUMIFS('октябрь 2024'!$G$5:$G$2162,'октябрь 2024'!$D$5:$D$2162,$B73,'октябрь 2024'!$J$5:$J$2162,N$1)</f>
        <v>0</v>
      </c>
      <c r="O73" s="80">
        <f>SUMIFS('октябрь 2024'!$G$5:$G$2162,'октябрь 2024'!$D$5:$D$2162,$B73,'октябрь 2024'!$J$5:$J$2162,O$1)</f>
        <v>0</v>
      </c>
      <c r="P73" s="80">
        <f>SUMIFS('октябрь 2024'!$G$5:$G$2162,'октябрь 2024'!$D$5:$D$2162,$B73,'октябрь 2024'!$J$5:$J$2162,P$1)</f>
        <v>0</v>
      </c>
      <c r="Q73" s="80">
        <f>SUMIFS('октябрь 2024'!$G$5:$G$2162,'октябрь 2024'!$D$5:$D$2162,$B73,'октябрь 2024'!$J$5:$J$2162,Q$1)</f>
        <v>0</v>
      </c>
      <c r="R73" s="80">
        <f>SUMIFS('октябрь 2024'!$G$5:$G$2162,'октябрь 2024'!$D$5:$D$2162,$B73,'октябрь 2024'!$J$5:$J$2162,R$1)</f>
        <v>0</v>
      </c>
      <c r="S73" s="80">
        <f>SUMIFS('октябрь 2024'!$G$5:$G$2162,'октябрь 2024'!$D$5:$D$2162,$B73,'октябрь 2024'!$J$5:$J$2162,S$1)</f>
        <v>0</v>
      </c>
      <c r="T73" s="80">
        <f>SUMIFS('октябрь 2024'!$G$5:$G$2162,'октябрь 2024'!$D$5:$D$2162,$B73,'октябрь 2024'!$J$5:$J$2162,T$1)</f>
        <v>0</v>
      </c>
      <c r="U73" s="80">
        <f>SUMIFS('октябрь 2024'!$G$5:$G$2162,'октябрь 2024'!$D$5:$D$2162,$B73,'октябрь 2024'!$J$5:$J$2162,U$1)</f>
        <v>0</v>
      </c>
      <c r="V73" s="80">
        <f>SUMIFS('октябрь 2024'!$G$5:$G$2162,'октябрь 2024'!$D$5:$D$2162,$B73,'октябрь 2024'!$J$5:$J$2162,V$1)</f>
        <v>0</v>
      </c>
      <c r="W73" s="80">
        <f>SUMIFS('октябрь 2024'!$G$5:$G$2162,'октябрь 2024'!$D$5:$D$2162,$B73,'октябрь 2024'!$J$5:$J$2162,W$1)</f>
        <v>0</v>
      </c>
      <c r="X73" s="80">
        <f>SUMIFS('октябрь 2024'!$G$5:$G$2162,'октябрь 2024'!$D$5:$D$2162,$B73,'октябрь 2024'!$J$5:$J$2162,X$1)</f>
        <v>0</v>
      </c>
      <c r="Y73" s="80">
        <f>SUMIFS('октябрь 2024'!$G$5:$G$2162,'октябрь 2024'!$D$5:$D$2162,$B73,'октябрь 2024'!$J$5:$J$2162,Y$1)</f>
        <v>0</v>
      </c>
      <c r="Z73" s="80">
        <f>SUMIFS('октябрь 2024'!$G$5:$G$2162,'октябрь 2024'!$D$5:$D$2162,$B73,'октябрь 2024'!$J$5:$J$2162,Z$1)</f>
        <v>0</v>
      </c>
      <c r="AA73" s="80">
        <f>SUMIFS('октябрь 2024'!$G$5:$G$2162,'октябрь 2024'!$D$5:$D$2162,$B73,'октябрь 2024'!$J$5:$J$2162,AA$1)</f>
        <v>0</v>
      </c>
      <c r="AB73" s="80">
        <f>SUMIFS('октябрь 2024'!$G$5:$G$2162,'октябрь 2024'!$D$5:$D$2162,$B73,'октябрь 2024'!$J$5:$J$2162,AB$1)</f>
        <v>0</v>
      </c>
      <c r="AC73" s="80">
        <f>SUMIFS('октябрь 2024'!$G$5:$G$2162,'октябрь 2024'!$D$5:$D$2162,$B73,'октябрь 2024'!$J$5:$J$2162,AC$1)</f>
        <v>0</v>
      </c>
      <c r="AD73" s="80">
        <f>SUMIFS('октябрь 2024'!$G$5:$G$2162,'октябрь 2024'!$D$5:$D$2162,$B73,'октябрь 2024'!$J$5:$J$2162,AD$1)</f>
        <v>0</v>
      </c>
      <c r="AE73" s="80">
        <f>SUMIFS('октябрь 2024'!$G$5:$G$2162,'октябрь 2024'!$D$5:$D$2162,$B73,'октябрь 2024'!$J$5:$J$2162,AE$1)</f>
        <v>0</v>
      </c>
      <c r="AF73" s="80">
        <f>SUMIFS('октябрь 2024'!$G$5:$G$2162,'октябрь 2024'!$D$5:$D$2162,$B73,'октябрь 2024'!$J$5:$J$2162,AF$1)</f>
        <v>0</v>
      </c>
      <c r="AG73" s="80">
        <f>SUMIFS('октябрь 2024'!$G$5:$G$2162,'октябрь 2024'!$D$5:$D$2162,$B73,'октябрь 2024'!$J$5:$J$2162,AG$1)</f>
        <v>0</v>
      </c>
      <c r="AH73" s="80">
        <f>SUMIFS('октябрь 2024'!$G$5:$G$2162,'октябрь 2024'!$D$5:$D$2162,$B73,'октябрь 2024'!$J$5:$J$2162,AH$1)</f>
        <v>0</v>
      </c>
      <c r="AI73" s="21">
        <f t="shared" si="1"/>
        <v>0</v>
      </c>
    </row>
    <row r="74" spans="2:35" ht="15" customHeight="1" x14ac:dyDescent="0.25">
      <c r="B74" s="93" t="s">
        <v>221</v>
      </c>
      <c r="C74" s="91">
        <v>25</v>
      </c>
      <c r="D74" s="80">
        <f>SUMIFS('октябрь 2024'!$G$5:$G$2162,'октябрь 2024'!$D$5:$D$2162,$B74,'октябрь 2024'!$J$5:$J$2162,D$1)</f>
        <v>0</v>
      </c>
      <c r="E74" s="80">
        <f>SUMIFS('октябрь 2024'!$G$5:$G$2162,'октябрь 2024'!$D$5:$D$2162,$B74,'октябрь 2024'!$J$5:$J$2162,E$1)</f>
        <v>0</v>
      </c>
      <c r="F74" s="80">
        <f>SUMIFS('октябрь 2024'!$G$5:$G$2162,'октябрь 2024'!$D$5:$D$2162,$B74,'октябрь 2024'!$J$5:$J$2162,F$1)</f>
        <v>0</v>
      </c>
      <c r="G74" s="80">
        <f>SUMIFS('октябрь 2024'!$G$5:$G$2162,'октябрь 2024'!$D$5:$D$2162,$B74,'октябрь 2024'!$J$5:$J$2162,G$1)</f>
        <v>0</v>
      </c>
      <c r="H74" s="80">
        <f>SUMIFS('октябрь 2024'!$G$5:$G$2162,'октябрь 2024'!$D$5:$D$2162,$B74,'октябрь 2024'!$J$5:$J$2162,H$1)</f>
        <v>0</v>
      </c>
      <c r="I74" s="80">
        <f>SUMIFS('октябрь 2024'!$G$5:$G$2162,'октябрь 2024'!$D$5:$D$2162,$B74,'октябрь 2024'!$J$5:$J$2162,I$1)</f>
        <v>0</v>
      </c>
      <c r="J74" s="80">
        <f>SUMIFS('октябрь 2024'!$G$5:$G$2162,'октябрь 2024'!$D$5:$D$2162,$B74,'октябрь 2024'!$J$5:$J$2162,J$1)</f>
        <v>0</v>
      </c>
      <c r="K74" s="80">
        <f>SUMIFS('октябрь 2024'!$G$5:$G$2162,'октябрь 2024'!$D$5:$D$2162,$B74,'октябрь 2024'!$J$5:$J$2162,K$1)</f>
        <v>0</v>
      </c>
      <c r="L74" s="80">
        <f>SUMIFS('октябрь 2024'!$G$5:$G$2162,'октябрь 2024'!$D$5:$D$2162,$B74,'октябрь 2024'!$J$5:$J$2162,L$1)</f>
        <v>0</v>
      </c>
      <c r="M74" s="80">
        <f>SUMIFS('октябрь 2024'!$G$5:$G$2162,'октябрь 2024'!$D$5:$D$2162,$B74,'октябрь 2024'!$J$5:$J$2162,M$1)</f>
        <v>0</v>
      </c>
      <c r="N74" s="80">
        <f>SUMIFS('октябрь 2024'!$G$5:$G$2162,'октябрь 2024'!$D$5:$D$2162,$B74,'октябрь 2024'!$J$5:$J$2162,N$1)</f>
        <v>0</v>
      </c>
      <c r="O74" s="80">
        <f>SUMIFS('октябрь 2024'!$G$5:$G$2162,'октябрь 2024'!$D$5:$D$2162,$B74,'октябрь 2024'!$J$5:$J$2162,O$1)</f>
        <v>0</v>
      </c>
      <c r="P74" s="80">
        <f>SUMIFS('октябрь 2024'!$G$5:$G$2162,'октябрь 2024'!$D$5:$D$2162,$B74,'октябрь 2024'!$J$5:$J$2162,P$1)</f>
        <v>0</v>
      </c>
      <c r="Q74" s="80">
        <f>SUMIFS('октябрь 2024'!$G$5:$G$2162,'октябрь 2024'!$D$5:$D$2162,$B74,'октябрь 2024'!$J$5:$J$2162,Q$1)</f>
        <v>0</v>
      </c>
      <c r="R74" s="80">
        <f>SUMIFS('октябрь 2024'!$G$5:$G$2162,'октябрь 2024'!$D$5:$D$2162,$B74,'октябрь 2024'!$J$5:$J$2162,R$1)</f>
        <v>0</v>
      </c>
      <c r="S74" s="80">
        <f>SUMIFS('октябрь 2024'!$G$5:$G$2162,'октябрь 2024'!$D$5:$D$2162,$B74,'октябрь 2024'!$J$5:$J$2162,S$1)</f>
        <v>0</v>
      </c>
      <c r="T74" s="80">
        <f>SUMIFS('октябрь 2024'!$G$5:$G$2162,'октябрь 2024'!$D$5:$D$2162,$B74,'октябрь 2024'!$J$5:$J$2162,T$1)</f>
        <v>0</v>
      </c>
      <c r="U74" s="80">
        <f>SUMIFS('октябрь 2024'!$G$5:$G$2162,'октябрь 2024'!$D$5:$D$2162,$B74,'октябрь 2024'!$J$5:$J$2162,U$1)</f>
        <v>0</v>
      </c>
      <c r="V74" s="80">
        <f>SUMIFS('октябрь 2024'!$G$5:$G$2162,'октябрь 2024'!$D$5:$D$2162,$B74,'октябрь 2024'!$J$5:$J$2162,V$1)</f>
        <v>0</v>
      </c>
      <c r="W74" s="80">
        <f>SUMIFS('октябрь 2024'!$G$5:$G$2162,'октябрь 2024'!$D$5:$D$2162,$B74,'октябрь 2024'!$J$5:$J$2162,W$1)</f>
        <v>0</v>
      </c>
      <c r="X74" s="80">
        <f>SUMIFS('октябрь 2024'!$G$5:$G$2162,'октябрь 2024'!$D$5:$D$2162,$B74,'октябрь 2024'!$J$5:$J$2162,X$1)</f>
        <v>0</v>
      </c>
      <c r="Y74" s="80">
        <f>SUMIFS('октябрь 2024'!$G$5:$G$2162,'октябрь 2024'!$D$5:$D$2162,$B74,'октябрь 2024'!$J$5:$J$2162,Y$1)</f>
        <v>0</v>
      </c>
      <c r="Z74" s="80">
        <f>SUMIFS('октябрь 2024'!$G$5:$G$2162,'октябрь 2024'!$D$5:$D$2162,$B74,'октябрь 2024'!$J$5:$J$2162,Z$1)</f>
        <v>0</v>
      </c>
      <c r="AA74" s="80">
        <f>SUMIFS('октябрь 2024'!$G$5:$G$2162,'октябрь 2024'!$D$5:$D$2162,$B74,'октябрь 2024'!$J$5:$J$2162,AA$1)</f>
        <v>0</v>
      </c>
      <c r="AB74" s="80">
        <f>SUMIFS('октябрь 2024'!$G$5:$G$2162,'октябрь 2024'!$D$5:$D$2162,$B74,'октябрь 2024'!$J$5:$J$2162,AB$1)</f>
        <v>0</v>
      </c>
      <c r="AC74" s="80">
        <f>SUMIFS('октябрь 2024'!$G$5:$G$2162,'октябрь 2024'!$D$5:$D$2162,$B74,'октябрь 2024'!$J$5:$J$2162,AC$1)</f>
        <v>0</v>
      </c>
      <c r="AD74" s="80">
        <f>SUMIFS('октябрь 2024'!$G$5:$G$2162,'октябрь 2024'!$D$5:$D$2162,$B74,'октябрь 2024'!$J$5:$J$2162,AD$1)</f>
        <v>0</v>
      </c>
      <c r="AE74" s="80">
        <f>SUMIFS('октябрь 2024'!$G$5:$G$2162,'октябрь 2024'!$D$5:$D$2162,$B74,'октябрь 2024'!$J$5:$J$2162,AE$1)</f>
        <v>0</v>
      </c>
      <c r="AF74" s="80">
        <f>SUMIFS('октябрь 2024'!$G$5:$G$2162,'октябрь 2024'!$D$5:$D$2162,$B74,'октябрь 2024'!$J$5:$J$2162,AF$1)</f>
        <v>0</v>
      </c>
      <c r="AG74" s="80">
        <f>SUMIFS('октябрь 2024'!$G$5:$G$2162,'октябрь 2024'!$D$5:$D$2162,$B74,'октябрь 2024'!$J$5:$J$2162,AG$1)</f>
        <v>0</v>
      </c>
      <c r="AH74" s="80">
        <f>SUMIFS('октябрь 2024'!$G$5:$G$2162,'октябрь 2024'!$D$5:$D$2162,$B74,'октябрь 2024'!$J$5:$J$2162,AH$1)</f>
        <v>0</v>
      </c>
      <c r="AI74" s="21">
        <f t="shared" si="1"/>
        <v>0</v>
      </c>
    </row>
    <row r="75" spans="2:35" ht="15" customHeight="1" x14ac:dyDescent="0.25">
      <c r="B75" s="93" t="s">
        <v>188</v>
      </c>
      <c r="C75" s="91">
        <v>50</v>
      </c>
      <c r="D75" s="80">
        <f>SUMIFS('октябрь 2024'!$G$5:$G$2162,'октябрь 2024'!$D$5:$D$2162,$B75,'октябрь 2024'!$J$5:$J$2162,D$1)</f>
        <v>0</v>
      </c>
      <c r="E75" s="80">
        <f>SUMIFS('октябрь 2024'!$G$5:$G$2162,'октябрь 2024'!$D$5:$D$2162,$B75,'октябрь 2024'!$J$5:$J$2162,E$1)</f>
        <v>0</v>
      </c>
      <c r="F75" s="80">
        <f>SUMIFS('октябрь 2024'!$G$5:$G$2162,'октябрь 2024'!$D$5:$D$2162,$B75,'октябрь 2024'!$J$5:$J$2162,F$1)</f>
        <v>0</v>
      </c>
      <c r="G75" s="80">
        <f>SUMIFS('октябрь 2024'!$G$5:$G$2162,'октябрь 2024'!$D$5:$D$2162,$B75,'октябрь 2024'!$J$5:$J$2162,G$1)</f>
        <v>0</v>
      </c>
      <c r="H75" s="80">
        <f>SUMIFS('октябрь 2024'!$G$5:$G$2162,'октябрь 2024'!$D$5:$D$2162,$B75,'октябрь 2024'!$J$5:$J$2162,H$1)</f>
        <v>0</v>
      </c>
      <c r="I75" s="80">
        <f>SUMIFS('октябрь 2024'!$G$5:$G$2162,'октябрь 2024'!$D$5:$D$2162,$B75,'октябрь 2024'!$J$5:$J$2162,I$1)</f>
        <v>0</v>
      </c>
      <c r="J75" s="80">
        <f>SUMIFS('октябрь 2024'!$G$5:$G$2162,'октябрь 2024'!$D$5:$D$2162,$B75,'октябрь 2024'!$J$5:$J$2162,J$1)</f>
        <v>0</v>
      </c>
      <c r="K75" s="80">
        <f>SUMIFS('октябрь 2024'!$G$5:$G$2162,'октябрь 2024'!$D$5:$D$2162,$B75,'октябрь 2024'!$J$5:$J$2162,K$1)</f>
        <v>0</v>
      </c>
      <c r="L75" s="80">
        <f>SUMIFS('октябрь 2024'!$G$5:$G$2162,'октябрь 2024'!$D$5:$D$2162,$B75,'октябрь 2024'!$J$5:$J$2162,L$1)</f>
        <v>0</v>
      </c>
      <c r="M75" s="80">
        <f>SUMIFS('октябрь 2024'!$G$5:$G$2162,'октябрь 2024'!$D$5:$D$2162,$B75,'октябрь 2024'!$J$5:$J$2162,M$1)</f>
        <v>0</v>
      </c>
      <c r="N75" s="80">
        <f>SUMIFS('октябрь 2024'!$G$5:$G$2162,'октябрь 2024'!$D$5:$D$2162,$B75,'октябрь 2024'!$J$5:$J$2162,N$1)</f>
        <v>0</v>
      </c>
      <c r="O75" s="80">
        <f>SUMIFS('октябрь 2024'!$G$5:$G$2162,'октябрь 2024'!$D$5:$D$2162,$B75,'октябрь 2024'!$J$5:$J$2162,O$1)</f>
        <v>0</v>
      </c>
      <c r="P75" s="80">
        <f>SUMIFS('октябрь 2024'!$G$5:$G$2162,'октябрь 2024'!$D$5:$D$2162,$B75,'октябрь 2024'!$J$5:$J$2162,P$1)</f>
        <v>0</v>
      </c>
      <c r="Q75" s="80">
        <f>SUMIFS('октябрь 2024'!$G$5:$G$2162,'октябрь 2024'!$D$5:$D$2162,$B75,'октябрь 2024'!$J$5:$J$2162,Q$1)</f>
        <v>0</v>
      </c>
      <c r="R75" s="80">
        <f>SUMIFS('октябрь 2024'!$G$5:$G$2162,'октябрь 2024'!$D$5:$D$2162,$B75,'октябрь 2024'!$J$5:$J$2162,R$1)</f>
        <v>0</v>
      </c>
      <c r="S75" s="80">
        <f>SUMIFS('октябрь 2024'!$G$5:$G$2162,'октябрь 2024'!$D$5:$D$2162,$B75,'октябрь 2024'!$J$5:$J$2162,S$1)</f>
        <v>0</v>
      </c>
      <c r="T75" s="80">
        <f>SUMIFS('октябрь 2024'!$G$5:$G$2162,'октябрь 2024'!$D$5:$D$2162,$B75,'октябрь 2024'!$J$5:$J$2162,T$1)</f>
        <v>0</v>
      </c>
      <c r="U75" s="80">
        <f>SUMIFS('октябрь 2024'!$G$5:$G$2162,'октябрь 2024'!$D$5:$D$2162,$B75,'октябрь 2024'!$J$5:$J$2162,U$1)</f>
        <v>0</v>
      </c>
      <c r="V75" s="80">
        <f>SUMIFS('октябрь 2024'!$G$5:$G$2162,'октябрь 2024'!$D$5:$D$2162,$B75,'октябрь 2024'!$J$5:$J$2162,V$1)</f>
        <v>0</v>
      </c>
      <c r="W75" s="80">
        <f>SUMIFS('октябрь 2024'!$G$5:$G$2162,'октябрь 2024'!$D$5:$D$2162,$B75,'октябрь 2024'!$J$5:$J$2162,W$1)</f>
        <v>0</v>
      </c>
      <c r="X75" s="80">
        <f>SUMIFS('октябрь 2024'!$G$5:$G$2162,'октябрь 2024'!$D$5:$D$2162,$B75,'октябрь 2024'!$J$5:$J$2162,X$1)</f>
        <v>0</v>
      </c>
      <c r="Y75" s="80">
        <f>SUMIFS('октябрь 2024'!$G$5:$G$2162,'октябрь 2024'!$D$5:$D$2162,$B75,'октябрь 2024'!$J$5:$J$2162,Y$1)</f>
        <v>0</v>
      </c>
      <c r="Z75" s="80">
        <f>SUMIFS('октябрь 2024'!$G$5:$G$2162,'октябрь 2024'!$D$5:$D$2162,$B75,'октябрь 2024'!$J$5:$J$2162,Z$1)</f>
        <v>0</v>
      </c>
      <c r="AA75" s="80">
        <f>SUMIFS('октябрь 2024'!$G$5:$G$2162,'октябрь 2024'!$D$5:$D$2162,$B75,'октябрь 2024'!$J$5:$J$2162,AA$1)</f>
        <v>0</v>
      </c>
      <c r="AB75" s="80">
        <f>SUMIFS('октябрь 2024'!$G$5:$G$2162,'октябрь 2024'!$D$5:$D$2162,$B75,'октябрь 2024'!$J$5:$J$2162,AB$1)</f>
        <v>0</v>
      </c>
      <c r="AC75" s="80">
        <f>SUMIFS('октябрь 2024'!$G$5:$G$2162,'октябрь 2024'!$D$5:$D$2162,$B75,'октябрь 2024'!$J$5:$J$2162,AC$1)</f>
        <v>0</v>
      </c>
      <c r="AD75" s="80">
        <f>SUMIFS('октябрь 2024'!$G$5:$G$2162,'октябрь 2024'!$D$5:$D$2162,$B75,'октябрь 2024'!$J$5:$J$2162,AD$1)</f>
        <v>0</v>
      </c>
      <c r="AE75" s="80">
        <f>SUMIFS('октябрь 2024'!$G$5:$G$2162,'октябрь 2024'!$D$5:$D$2162,$B75,'октябрь 2024'!$J$5:$J$2162,AE$1)</f>
        <v>0</v>
      </c>
      <c r="AF75" s="80">
        <f>SUMIFS('октябрь 2024'!$G$5:$G$2162,'октябрь 2024'!$D$5:$D$2162,$B75,'октябрь 2024'!$J$5:$J$2162,AF$1)</f>
        <v>0</v>
      </c>
      <c r="AG75" s="80">
        <f>SUMIFS('октябрь 2024'!$G$5:$G$2162,'октябрь 2024'!$D$5:$D$2162,$B75,'октябрь 2024'!$J$5:$J$2162,AG$1)</f>
        <v>0</v>
      </c>
      <c r="AH75" s="80">
        <f>SUMIFS('октябрь 2024'!$G$5:$G$2162,'октябрь 2024'!$D$5:$D$2162,$B75,'октябрь 2024'!$J$5:$J$2162,AH$1)</f>
        <v>0</v>
      </c>
      <c r="AI75" s="21">
        <f t="shared" si="1"/>
        <v>0</v>
      </c>
    </row>
    <row r="76" spans="2:35" ht="15" customHeight="1" x14ac:dyDescent="0.25">
      <c r="B76" s="93" t="s">
        <v>173</v>
      </c>
      <c r="C76" s="91">
        <v>200</v>
      </c>
      <c r="D76" s="80">
        <f>SUMIFS('октябрь 2024'!$G$5:$G$2162,'октябрь 2024'!$D$5:$D$2162,$B76,'октябрь 2024'!$J$5:$J$2162,D$1)</f>
        <v>0</v>
      </c>
      <c r="E76" s="80">
        <f>SUMIFS('октябрь 2024'!$G$5:$G$2162,'октябрь 2024'!$D$5:$D$2162,$B76,'октябрь 2024'!$J$5:$J$2162,E$1)</f>
        <v>0</v>
      </c>
      <c r="F76" s="80">
        <f>SUMIFS('октябрь 2024'!$G$5:$G$2162,'октябрь 2024'!$D$5:$D$2162,$B76,'октябрь 2024'!$J$5:$J$2162,F$1)</f>
        <v>0</v>
      </c>
      <c r="G76" s="80">
        <f>SUMIFS('октябрь 2024'!$G$5:$G$2162,'октябрь 2024'!$D$5:$D$2162,$B76,'октябрь 2024'!$J$5:$J$2162,G$1)</f>
        <v>0</v>
      </c>
      <c r="H76" s="80">
        <f>SUMIFS('октябрь 2024'!$G$5:$G$2162,'октябрь 2024'!$D$5:$D$2162,$B76,'октябрь 2024'!$J$5:$J$2162,H$1)</f>
        <v>0</v>
      </c>
      <c r="I76" s="80">
        <f>SUMIFS('октябрь 2024'!$G$5:$G$2162,'октябрь 2024'!$D$5:$D$2162,$B76,'октябрь 2024'!$J$5:$J$2162,I$1)</f>
        <v>0</v>
      </c>
      <c r="J76" s="80">
        <f>SUMIFS('октябрь 2024'!$G$5:$G$2162,'октябрь 2024'!$D$5:$D$2162,$B76,'октябрь 2024'!$J$5:$J$2162,J$1)</f>
        <v>0</v>
      </c>
      <c r="K76" s="80">
        <f>SUMIFS('октябрь 2024'!$G$5:$G$2162,'октябрь 2024'!$D$5:$D$2162,$B76,'октябрь 2024'!$J$5:$J$2162,K$1)</f>
        <v>0</v>
      </c>
      <c r="L76" s="80">
        <f>SUMIFS('октябрь 2024'!$G$5:$G$2162,'октябрь 2024'!$D$5:$D$2162,$B76,'октябрь 2024'!$J$5:$J$2162,L$1)</f>
        <v>0</v>
      </c>
      <c r="M76" s="80">
        <f>SUMIFS('октябрь 2024'!$G$5:$G$2162,'октябрь 2024'!$D$5:$D$2162,$B76,'октябрь 2024'!$J$5:$J$2162,M$1)</f>
        <v>0</v>
      </c>
      <c r="N76" s="80">
        <f>SUMIFS('октябрь 2024'!$G$5:$G$2162,'октябрь 2024'!$D$5:$D$2162,$B76,'октябрь 2024'!$J$5:$J$2162,N$1)</f>
        <v>0</v>
      </c>
      <c r="O76" s="80">
        <f>SUMIFS('октябрь 2024'!$G$5:$G$2162,'октябрь 2024'!$D$5:$D$2162,$B76,'октябрь 2024'!$J$5:$J$2162,O$1)</f>
        <v>0</v>
      </c>
      <c r="P76" s="80">
        <f>SUMIFS('октябрь 2024'!$G$5:$G$2162,'октябрь 2024'!$D$5:$D$2162,$B76,'октябрь 2024'!$J$5:$J$2162,P$1)</f>
        <v>0</v>
      </c>
      <c r="Q76" s="80">
        <f>SUMIFS('октябрь 2024'!$G$5:$G$2162,'октябрь 2024'!$D$5:$D$2162,$B76,'октябрь 2024'!$J$5:$J$2162,Q$1)</f>
        <v>0</v>
      </c>
      <c r="R76" s="80">
        <f>SUMIFS('октябрь 2024'!$G$5:$G$2162,'октябрь 2024'!$D$5:$D$2162,$B76,'октябрь 2024'!$J$5:$J$2162,R$1)</f>
        <v>0</v>
      </c>
      <c r="S76" s="80">
        <f>SUMIFS('октябрь 2024'!$G$5:$G$2162,'октябрь 2024'!$D$5:$D$2162,$B76,'октябрь 2024'!$J$5:$J$2162,S$1)</f>
        <v>0</v>
      </c>
      <c r="T76" s="80">
        <f>SUMIFS('октябрь 2024'!$G$5:$G$2162,'октябрь 2024'!$D$5:$D$2162,$B76,'октябрь 2024'!$J$5:$J$2162,T$1)</f>
        <v>0</v>
      </c>
      <c r="U76" s="80">
        <f>SUMIFS('октябрь 2024'!$G$5:$G$2162,'октябрь 2024'!$D$5:$D$2162,$B76,'октябрь 2024'!$J$5:$J$2162,U$1)</f>
        <v>0</v>
      </c>
      <c r="V76" s="80">
        <f>SUMIFS('октябрь 2024'!$G$5:$G$2162,'октябрь 2024'!$D$5:$D$2162,$B76,'октябрь 2024'!$J$5:$J$2162,V$1)</f>
        <v>0</v>
      </c>
      <c r="W76" s="80">
        <f>SUMIFS('октябрь 2024'!$G$5:$G$2162,'октябрь 2024'!$D$5:$D$2162,$B76,'октябрь 2024'!$J$5:$J$2162,W$1)</f>
        <v>0</v>
      </c>
      <c r="X76" s="80">
        <f>SUMIFS('октябрь 2024'!$G$5:$G$2162,'октябрь 2024'!$D$5:$D$2162,$B76,'октябрь 2024'!$J$5:$J$2162,X$1)</f>
        <v>0</v>
      </c>
      <c r="Y76" s="80">
        <f>SUMIFS('октябрь 2024'!$G$5:$G$2162,'октябрь 2024'!$D$5:$D$2162,$B76,'октябрь 2024'!$J$5:$J$2162,Y$1)</f>
        <v>0</v>
      </c>
      <c r="Z76" s="80">
        <f>SUMIFS('октябрь 2024'!$G$5:$G$2162,'октябрь 2024'!$D$5:$D$2162,$B76,'октябрь 2024'!$J$5:$J$2162,Z$1)</f>
        <v>0</v>
      </c>
      <c r="AA76" s="80">
        <f>SUMIFS('октябрь 2024'!$G$5:$G$2162,'октябрь 2024'!$D$5:$D$2162,$B76,'октябрь 2024'!$J$5:$J$2162,AA$1)</f>
        <v>0</v>
      </c>
      <c r="AB76" s="80">
        <f>SUMIFS('октябрь 2024'!$G$5:$G$2162,'октябрь 2024'!$D$5:$D$2162,$B76,'октябрь 2024'!$J$5:$J$2162,AB$1)</f>
        <v>0</v>
      </c>
      <c r="AC76" s="80">
        <f>SUMIFS('октябрь 2024'!$G$5:$G$2162,'октябрь 2024'!$D$5:$D$2162,$B76,'октябрь 2024'!$J$5:$J$2162,AC$1)</f>
        <v>0</v>
      </c>
      <c r="AD76" s="80">
        <f>SUMIFS('октябрь 2024'!$G$5:$G$2162,'октябрь 2024'!$D$5:$D$2162,$B76,'октябрь 2024'!$J$5:$J$2162,AD$1)</f>
        <v>0</v>
      </c>
      <c r="AE76" s="80">
        <f>SUMIFS('октябрь 2024'!$G$5:$G$2162,'октябрь 2024'!$D$5:$D$2162,$B76,'октябрь 2024'!$J$5:$J$2162,AE$1)</f>
        <v>0</v>
      </c>
      <c r="AF76" s="80">
        <f>SUMIFS('октябрь 2024'!$G$5:$G$2162,'октябрь 2024'!$D$5:$D$2162,$B76,'октябрь 2024'!$J$5:$J$2162,AF$1)</f>
        <v>0</v>
      </c>
      <c r="AG76" s="80">
        <f>SUMIFS('октябрь 2024'!$G$5:$G$2162,'октябрь 2024'!$D$5:$D$2162,$B76,'октябрь 2024'!$J$5:$J$2162,AG$1)</f>
        <v>0</v>
      </c>
      <c r="AH76" s="80">
        <f>SUMIFS('октябрь 2024'!$G$5:$G$2162,'октябрь 2024'!$D$5:$D$2162,$B76,'октябрь 2024'!$J$5:$J$2162,AH$1)</f>
        <v>0</v>
      </c>
      <c r="AI76" s="21">
        <f t="shared" si="1"/>
        <v>0</v>
      </c>
    </row>
    <row r="77" spans="2:35" ht="15" customHeight="1" x14ac:dyDescent="0.25">
      <c r="B77" s="93" t="s">
        <v>174</v>
      </c>
      <c r="C77" s="91">
        <v>200</v>
      </c>
      <c r="D77" s="80">
        <f>SUMIFS('октябрь 2024'!$G$5:$G$2162,'октябрь 2024'!$D$5:$D$2162,$B77,'октябрь 2024'!$J$5:$J$2162,D$1)</f>
        <v>0</v>
      </c>
      <c r="E77" s="80">
        <f>SUMIFS('октябрь 2024'!$G$5:$G$2162,'октябрь 2024'!$D$5:$D$2162,$B77,'октябрь 2024'!$J$5:$J$2162,E$1)</f>
        <v>0</v>
      </c>
      <c r="F77" s="80">
        <f>SUMIFS('октябрь 2024'!$G$5:$G$2162,'октябрь 2024'!$D$5:$D$2162,$B77,'октябрь 2024'!$J$5:$J$2162,F$1)</f>
        <v>0</v>
      </c>
      <c r="G77" s="80">
        <f>SUMIFS('октябрь 2024'!$G$5:$G$2162,'октябрь 2024'!$D$5:$D$2162,$B77,'октябрь 2024'!$J$5:$J$2162,G$1)</f>
        <v>0</v>
      </c>
      <c r="H77" s="80">
        <f>SUMIFS('октябрь 2024'!$G$5:$G$2162,'октябрь 2024'!$D$5:$D$2162,$B77,'октябрь 2024'!$J$5:$J$2162,H$1)</f>
        <v>0</v>
      </c>
      <c r="I77" s="80">
        <f>SUMIFS('октябрь 2024'!$G$5:$G$2162,'октябрь 2024'!$D$5:$D$2162,$B77,'октябрь 2024'!$J$5:$J$2162,I$1)</f>
        <v>0</v>
      </c>
      <c r="J77" s="80">
        <f>SUMIFS('октябрь 2024'!$G$5:$G$2162,'октябрь 2024'!$D$5:$D$2162,$B77,'октябрь 2024'!$J$5:$J$2162,J$1)</f>
        <v>0</v>
      </c>
      <c r="K77" s="80">
        <f>SUMIFS('октябрь 2024'!$G$5:$G$2162,'октябрь 2024'!$D$5:$D$2162,$B77,'октябрь 2024'!$J$5:$J$2162,K$1)</f>
        <v>0</v>
      </c>
      <c r="L77" s="80">
        <f>SUMIFS('октябрь 2024'!$G$5:$G$2162,'октябрь 2024'!$D$5:$D$2162,$B77,'октябрь 2024'!$J$5:$J$2162,L$1)</f>
        <v>0</v>
      </c>
      <c r="M77" s="80">
        <f>SUMIFS('октябрь 2024'!$G$5:$G$2162,'октябрь 2024'!$D$5:$D$2162,$B77,'октябрь 2024'!$J$5:$J$2162,M$1)</f>
        <v>0</v>
      </c>
      <c r="N77" s="80">
        <f>SUMIFS('октябрь 2024'!$G$5:$G$2162,'октябрь 2024'!$D$5:$D$2162,$B77,'октябрь 2024'!$J$5:$J$2162,N$1)</f>
        <v>0</v>
      </c>
      <c r="O77" s="80">
        <f>SUMIFS('октябрь 2024'!$G$5:$G$2162,'октябрь 2024'!$D$5:$D$2162,$B77,'октябрь 2024'!$J$5:$J$2162,O$1)</f>
        <v>0</v>
      </c>
      <c r="P77" s="80">
        <f>SUMIFS('октябрь 2024'!$G$5:$G$2162,'октябрь 2024'!$D$5:$D$2162,$B77,'октябрь 2024'!$J$5:$J$2162,P$1)</f>
        <v>0</v>
      </c>
      <c r="Q77" s="80">
        <f>SUMIFS('октябрь 2024'!$G$5:$G$2162,'октябрь 2024'!$D$5:$D$2162,$B77,'октябрь 2024'!$J$5:$J$2162,Q$1)</f>
        <v>0</v>
      </c>
      <c r="R77" s="80">
        <f>SUMIFS('октябрь 2024'!$G$5:$G$2162,'октябрь 2024'!$D$5:$D$2162,$B77,'октябрь 2024'!$J$5:$J$2162,R$1)</f>
        <v>0</v>
      </c>
      <c r="S77" s="80">
        <f>SUMIFS('октябрь 2024'!$G$5:$G$2162,'октябрь 2024'!$D$5:$D$2162,$B77,'октябрь 2024'!$J$5:$J$2162,S$1)</f>
        <v>0</v>
      </c>
      <c r="T77" s="80">
        <f>SUMIFS('октябрь 2024'!$G$5:$G$2162,'октябрь 2024'!$D$5:$D$2162,$B77,'октябрь 2024'!$J$5:$J$2162,T$1)</f>
        <v>0</v>
      </c>
      <c r="U77" s="80">
        <f>SUMIFS('октябрь 2024'!$G$5:$G$2162,'октябрь 2024'!$D$5:$D$2162,$B77,'октябрь 2024'!$J$5:$J$2162,U$1)</f>
        <v>0</v>
      </c>
      <c r="V77" s="80">
        <f>SUMIFS('октябрь 2024'!$G$5:$G$2162,'октябрь 2024'!$D$5:$D$2162,$B77,'октябрь 2024'!$J$5:$J$2162,V$1)</f>
        <v>0</v>
      </c>
      <c r="W77" s="80">
        <f>SUMIFS('октябрь 2024'!$G$5:$G$2162,'октябрь 2024'!$D$5:$D$2162,$B77,'октябрь 2024'!$J$5:$J$2162,W$1)</f>
        <v>0</v>
      </c>
      <c r="X77" s="80">
        <f>SUMIFS('октябрь 2024'!$G$5:$G$2162,'октябрь 2024'!$D$5:$D$2162,$B77,'октябрь 2024'!$J$5:$J$2162,X$1)</f>
        <v>0</v>
      </c>
      <c r="Y77" s="80">
        <f>SUMIFS('октябрь 2024'!$G$5:$G$2162,'октябрь 2024'!$D$5:$D$2162,$B77,'октябрь 2024'!$J$5:$J$2162,Y$1)</f>
        <v>0</v>
      </c>
      <c r="Z77" s="80">
        <f>SUMIFS('октябрь 2024'!$G$5:$G$2162,'октябрь 2024'!$D$5:$D$2162,$B77,'октябрь 2024'!$J$5:$J$2162,Z$1)</f>
        <v>0</v>
      </c>
      <c r="AA77" s="80">
        <f>SUMIFS('октябрь 2024'!$G$5:$G$2162,'октябрь 2024'!$D$5:$D$2162,$B77,'октябрь 2024'!$J$5:$J$2162,AA$1)</f>
        <v>0</v>
      </c>
      <c r="AB77" s="80">
        <f>SUMIFS('октябрь 2024'!$G$5:$G$2162,'октябрь 2024'!$D$5:$D$2162,$B77,'октябрь 2024'!$J$5:$J$2162,AB$1)</f>
        <v>0</v>
      </c>
      <c r="AC77" s="80">
        <f>SUMIFS('октябрь 2024'!$G$5:$G$2162,'октябрь 2024'!$D$5:$D$2162,$B77,'октябрь 2024'!$J$5:$J$2162,AC$1)</f>
        <v>0</v>
      </c>
      <c r="AD77" s="80">
        <f>SUMIFS('октябрь 2024'!$G$5:$G$2162,'октябрь 2024'!$D$5:$D$2162,$B77,'октябрь 2024'!$J$5:$J$2162,AD$1)</f>
        <v>0</v>
      </c>
      <c r="AE77" s="80">
        <f>SUMIFS('октябрь 2024'!$G$5:$G$2162,'октябрь 2024'!$D$5:$D$2162,$B77,'октябрь 2024'!$J$5:$J$2162,AE$1)</f>
        <v>88</v>
      </c>
      <c r="AF77" s="80">
        <f>SUMIFS('октябрь 2024'!$G$5:$G$2162,'октябрь 2024'!$D$5:$D$2162,$B77,'октябрь 2024'!$J$5:$J$2162,AF$1)</f>
        <v>0</v>
      </c>
      <c r="AG77" s="80">
        <f>SUMIFS('октябрь 2024'!$G$5:$G$2162,'октябрь 2024'!$D$5:$D$2162,$B77,'октябрь 2024'!$J$5:$J$2162,AG$1)</f>
        <v>0</v>
      </c>
      <c r="AH77" s="80">
        <f>SUMIFS('октябрь 2024'!$G$5:$G$2162,'октябрь 2024'!$D$5:$D$2162,$B77,'октябрь 2024'!$J$5:$J$2162,AH$1)</f>
        <v>0</v>
      </c>
      <c r="AI77" s="21">
        <f t="shared" si="1"/>
        <v>88</v>
      </c>
    </row>
    <row r="78" spans="2:35" ht="15" customHeight="1" x14ac:dyDescent="0.25">
      <c r="B78" s="93" t="s">
        <v>1458</v>
      </c>
      <c r="C78" s="91">
        <v>200</v>
      </c>
      <c r="D78" s="80">
        <f>SUMIFS('октябрь 2024'!$G$5:$G$2162,'октябрь 2024'!$D$5:$D$2162,$B78,'октябрь 2024'!$J$5:$J$2162,D$1)</f>
        <v>0</v>
      </c>
      <c r="E78" s="80">
        <f>SUMIFS('октябрь 2024'!$G$5:$G$2162,'октябрь 2024'!$D$5:$D$2162,$B78,'октябрь 2024'!$J$5:$J$2162,E$1)</f>
        <v>0</v>
      </c>
      <c r="F78" s="80">
        <f>SUMIFS('октябрь 2024'!$G$5:$G$2162,'октябрь 2024'!$D$5:$D$2162,$B78,'октябрь 2024'!$J$5:$J$2162,F$1)</f>
        <v>0</v>
      </c>
      <c r="G78" s="80">
        <f>SUMIFS('октябрь 2024'!$G$5:$G$2162,'октябрь 2024'!$D$5:$D$2162,$B78,'октябрь 2024'!$J$5:$J$2162,G$1)</f>
        <v>0</v>
      </c>
      <c r="H78" s="80">
        <f>SUMIFS('октябрь 2024'!$G$5:$G$2162,'октябрь 2024'!$D$5:$D$2162,$B78,'октябрь 2024'!$J$5:$J$2162,H$1)</f>
        <v>0</v>
      </c>
      <c r="I78" s="80">
        <f>SUMIFS('октябрь 2024'!$G$5:$G$2162,'октябрь 2024'!$D$5:$D$2162,$B78,'октябрь 2024'!$J$5:$J$2162,I$1)</f>
        <v>0</v>
      </c>
      <c r="J78" s="80">
        <f>SUMIFS('октябрь 2024'!$G$5:$G$2162,'октябрь 2024'!$D$5:$D$2162,$B78,'октябрь 2024'!$J$5:$J$2162,J$1)</f>
        <v>0</v>
      </c>
      <c r="K78" s="80">
        <f>SUMIFS('октябрь 2024'!$G$5:$G$2162,'октябрь 2024'!$D$5:$D$2162,$B78,'октябрь 2024'!$J$5:$J$2162,K$1)</f>
        <v>0</v>
      </c>
      <c r="L78" s="80">
        <f>SUMIFS('октябрь 2024'!$G$5:$G$2162,'октябрь 2024'!$D$5:$D$2162,$B78,'октябрь 2024'!$J$5:$J$2162,L$1)</f>
        <v>0</v>
      </c>
      <c r="M78" s="80">
        <f>SUMIFS('октябрь 2024'!$G$5:$G$2162,'октябрь 2024'!$D$5:$D$2162,$B78,'октябрь 2024'!$J$5:$J$2162,M$1)</f>
        <v>0</v>
      </c>
      <c r="N78" s="80">
        <f>SUMIFS('октябрь 2024'!$G$5:$G$2162,'октябрь 2024'!$D$5:$D$2162,$B78,'октябрь 2024'!$J$5:$J$2162,N$1)</f>
        <v>0</v>
      </c>
      <c r="O78" s="80">
        <f>SUMIFS('октябрь 2024'!$G$5:$G$2162,'октябрь 2024'!$D$5:$D$2162,$B78,'октябрь 2024'!$J$5:$J$2162,O$1)</f>
        <v>0</v>
      </c>
      <c r="P78" s="80">
        <f>SUMIFS('октябрь 2024'!$G$5:$G$2162,'октябрь 2024'!$D$5:$D$2162,$B78,'октябрь 2024'!$J$5:$J$2162,P$1)</f>
        <v>0</v>
      </c>
      <c r="Q78" s="80">
        <f>SUMIFS('октябрь 2024'!$G$5:$G$2162,'октябрь 2024'!$D$5:$D$2162,$B78,'октябрь 2024'!$J$5:$J$2162,Q$1)</f>
        <v>0</v>
      </c>
      <c r="R78" s="80">
        <f>SUMIFS('октябрь 2024'!$G$5:$G$2162,'октябрь 2024'!$D$5:$D$2162,$B78,'октябрь 2024'!$J$5:$J$2162,R$1)</f>
        <v>0</v>
      </c>
      <c r="S78" s="80">
        <f>SUMIFS('октябрь 2024'!$G$5:$G$2162,'октябрь 2024'!$D$5:$D$2162,$B78,'октябрь 2024'!$J$5:$J$2162,S$1)</f>
        <v>0</v>
      </c>
      <c r="T78" s="80">
        <f>SUMIFS('октябрь 2024'!$G$5:$G$2162,'октябрь 2024'!$D$5:$D$2162,$B78,'октябрь 2024'!$J$5:$J$2162,T$1)</f>
        <v>0</v>
      </c>
      <c r="U78" s="80">
        <f>SUMIFS('октябрь 2024'!$G$5:$G$2162,'октябрь 2024'!$D$5:$D$2162,$B78,'октябрь 2024'!$J$5:$J$2162,U$1)</f>
        <v>0</v>
      </c>
      <c r="V78" s="80">
        <f>SUMIFS('октябрь 2024'!$G$5:$G$2162,'октябрь 2024'!$D$5:$D$2162,$B78,'октябрь 2024'!$J$5:$J$2162,V$1)</f>
        <v>0</v>
      </c>
      <c r="W78" s="80">
        <f>SUMIFS('октябрь 2024'!$G$5:$G$2162,'октябрь 2024'!$D$5:$D$2162,$B78,'октябрь 2024'!$J$5:$J$2162,W$1)</f>
        <v>0</v>
      </c>
      <c r="X78" s="80">
        <f>SUMIFS('октябрь 2024'!$G$5:$G$2162,'октябрь 2024'!$D$5:$D$2162,$B78,'октябрь 2024'!$J$5:$J$2162,X$1)</f>
        <v>0</v>
      </c>
      <c r="Y78" s="80">
        <f>SUMIFS('октябрь 2024'!$G$5:$G$2162,'октябрь 2024'!$D$5:$D$2162,$B78,'октябрь 2024'!$J$5:$J$2162,Y$1)</f>
        <v>0</v>
      </c>
      <c r="Z78" s="80">
        <f>SUMIFS('октябрь 2024'!$G$5:$G$2162,'октябрь 2024'!$D$5:$D$2162,$B78,'октябрь 2024'!$J$5:$J$2162,Z$1)</f>
        <v>0</v>
      </c>
      <c r="AA78" s="80">
        <f>SUMIFS('октябрь 2024'!$G$5:$G$2162,'октябрь 2024'!$D$5:$D$2162,$B78,'октябрь 2024'!$J$5:$J$2162,AA$1)</f>
        <v>0</v>
      </c>
      <c r="AB78" s="80">
        <f>SUMIFS('октябрь 2024'!$G$5:$G$2162,'октябрь 2024'!$D$5:$D$2162,$B78,'октябрь 2024'!$J$5:$J$2162,AB$1)</f>
        <v>0</v>
      </c>
      <c r="AC78" s="80">
        <f>SUMIFS('октябрь 2024'!$G$5:$G$2162,'октябрь 2024'!$D$5:$D$2162,$B78,'октябрь 2024'!$J$5:$J$2162,AC$1)</f>
        <v>0</v>
      </c>
      <c r="AD78" s="80">
        <f>SUMIFS('октябрь 2024'!$G$5:$G$2162,'октябрь 2024'!$D$5:$D$2162,$B78,'октябрь 2024'!$J$5:$J$2162,AD$1)</f>
        <v>0</v>
      </c>
      <c r="AE78" s="80">
        <f>SUMIFS('октябрь 2024'!$G$5:$G$2162,'октябрь 2024'!$D$5:$D$2162,$B78,'октябрь 2024'!$J$5:$J$2162,AE$1)</f>
        <v>0</v>
      </c>
      <c r="AF78" s="80">
        <f>SUMIFS('октябрь 2024'!$G$5:$G$2162,'октябрь 2024'!$D$5:$D$2162,$B78,'октябрь 2024'!$J$5:$J$2162,AF$1)</f>
        <v>0</v>
      </c>
      <c r="AG78" s="80">
        <f>SUMIFS('октябрь 2024'!$G$5:$G$2162,'октябрь 2024'!$D$5:$D$2162,$B78,'октябрь 2024'!$J$5:$J$2162,AG$1)</f>
        <v>0</v>
      </c>
      <c r="AH78" s="80">
        <f>SUMIFS('октябрь 2024'!$G$5:$G$2162,'октябрь 2024'!$D$5:$D$2162,$B78,'октябрь 2024'!$J$5:$J$2162,AH$1)</f>
        <v>0</v>
      </c>
      <c r="AI78" s="21">
        <f t="shared" si="1"/>
        <v>0</v>
      </c>
    </row>
    <row r="79" spans="2:35" ht="15" customHeight="1" x14ac:dyDescent="0.25">
      <c r="B79" s="93" t="s">
        <v>321</v>
      </c>
      <c r="C79" s="91">
        <v>190</v>
      </c>
      <c r="D79" s="80">
        <f>SUMIFS('октябрь 2024'!$G$5:$G$2162,'октябрь 2024'!$D$5:$D$2162,$B79,'октябрь 2024'!$J$5:$J$2162,D$1)</f>
        <v>0</v>
      </c>
      <c r="E79" s="80">
        <f>SUMIFS('октябрь 2024'!$G$5:$G$2162,'октябрь 2024'!$D$5:$D$2162,$B79,'октябрь 2024'!$J$5:$J$2162,E$1)</f>
        <v>0</v>
      </c>
      <c r="F79" s="80">
        <f>SUMIFS('октябрь 2024'!$G$5:$G$2162,'октябрь 2024'!$D$5:$D$2162,$B79,'октябрь 2024'!$J$5:$J$2162,F$1)</f>
        <v>0</v>
      </c>
      <c r="G79" s="80">
        <f>SUMIFS('октябрь 2024'!$G$5:$G$2162,'октябрь 2024'!$D$5:$D$2162,$B79,'октябрь 2024'!$J$5:$J$2162,G$1)</f>
        <v>0</v>
      </c>
      <c r="H79" s="80">
        <f>SUMIFS('октябрь 2024'!$G$5:$G$2162,'октябрь 2024'!$D$5:$D$2162,$B79,'октябрь 2024'!$J$5:$J$2162,H$1)</f>
        <v>0</v>
      </c>
      <c r="I79" s="80">
        <f>SUMIFS('октябрь 2024'!$G$5:$G$2162,'октябрь 2024'!$D$5:$D$2162,$B79,'октябрь 2024'!$J$5:$J$2162,I$1)</f>
        <v>0</v>
      </c>
      <c r="J79" s="80">
        <f>SUMIFS('октябрь 2024'!$G$5:$G$2162,'октябрь 2024'!$D$5:$D$2162,$B79,'октябрь 2024'!$J$5:$J$2162,J$1)</f>
        <v>0</v>
      </c>
      <c r="K79" s="80">
        <f>SUMIFS('октябрь 2024'!$G$5:$G$2162,'октябрь 2024'!$D$5:$D$2162,$B79,'октябрь 2024'!$J$5:$J$2162,K$1)</f>
        <v>0</v>
      </c>
      <c r="L79" s="80">
        <f>SUMIFS('октябрь 2024'!$G$5:$G$2162,'октябрь 2024'!$D$5:$D$2162,$B79,'октябрь 2024'!$J$5:$J$2162,L$1)</f>
        <v>0</v>
      </c>
      <c r="M79" s="80">
        <f>SUMIFS('октябрь 2024'!$G$5:$G$2162,'октябрь 2024'!$D$5:$D$2162,$B79,'октябрь 2024'!$J$5:$J$2162,M$1)</f>
        <v>0</v>
      </c>
      <c r="N79" s="80">
        <f>SUMIFS('октябрь 2024'!$G$5:$G$2162,'октябрь 2024'!$D$5:$D$2162,$B79,'октябрь 2024'!$J$5:$J$2162,N$1)</f>
        <v>0</v>
      </c>
      <c r="O79" s="80">
        <f>SUMIFS('октябрь 2024'!$G$5:$G$2162,'октябрь 2024'!$D$5:$D$2162,$B79,'октябрь 2024'!$J$5:$J$2162,O$1)</f>
        <v>0</v>
      </c>
      <c r="P79" s="80">
        <f>SUMIFS('октябрь 2024'!$G$5:$G$2162,'октябрь 2024'!$D$5:$D$2162,$B79,'октябрь 2024'!$J$5:$J$2162,P$1)</f>
        <v>0</v>
      </c>
      <c r="Q79" s="80">
        <f>SUMIFS('октябрь 2024'!$G$5:$G$2162,'октябрь 2024'!$D$5:$D$2162,$B79,'октябрь 2024'!$J$5:$J$2162,Q$1)</f>
        <v>0</v>
      </c>
      <c r="R79" s="80">
        <f>SUMIFS('октябрь 2024'!$G$5:$G$2162,'октябрь 2024'!$D$5:$D$2162,$B79,'октябрь 2024'!$J$5:$J$2162,R$1)</f>
        <v>0</v>
      </c>
      <c r="S79" s="80">
        <f>SUMIFS('октябрь 2024'!$G$5:$G$2162,'октябрь 2024'!$D$5:$D$2162,$B79,'октябрь 2024'!$J$5:$J$2162,S$1)</f>
        <v>0</v>
      </c>
      <c r="T79" s="80">
        <f>SUMIFS('октябрь 2024'!$G$5:$G$2162,'октябрь 2024'!$D$5:$D$2162,$B79,'октябрь 2024'!$J$5:$J$2162,T$1)</f>
        <v>0</v>
      </c>
      <c r="U79" s="80">
        <f>SUMIFS('октябрь 2024'!$G$5:$G$2162,'октябрь 2024'!$D$5:$D$2162,$B79,'октябрь 2024'!$J$5:$J$2162,U$1)</f>
        <v>0</v>
      </c>
      <c r="V79" s="80">
        <f>SUMIFS('октябрь 2024'!$G$5:$G$2162,'октябрь 2024'!$D$5:$D$2162,$B79,'октябрь 2024'!$J$5:$J$2162,V$1)</f>
        <v>0</v>
      </c>
      <c r="W79" s="80">
        <f>SUMIFS('октябрь 2024'!$G$5:$G$2162,'октябрь 2024'!$D$5:$D$2162,$B79,'октябрь 2024'!$J$5:$J$2162,W$1)</f>
        <v>0</v>
      </c>
      <c r="X79" s="80">
        <f>SUMIFS('октябрь 2024'!$G$5:$G$2162,'октябрь 2024'!$D$5:$D$2162,$B79,'октябрь 2024'!$J$5:$J$2162,X$1)</f>
        <v>0</v>
      </c>
      <c r="Y79" s="80">
        <f>SUMIFS('октябрь 2024'!$G$5:$G$2162,'октябрь 2024'!$D$5:$D$2162,$B79,'октябрь 2024'!$J$5:$J$2162,Y$1)</f>
        <v>0</v>
      </c>
      <c r="Z79" s="80">
        <f>SUMIFS('октябрь 2024'!$G$5:$G$2162,'октябрь 2024'!$D$5:$D$2162,$B79,'октябрь 2024'!$J$5:$J$2162,Z$1)</f>
        <v>0</v>
      </c>
      <c r="AA79" s="80">
        <f>SUMIFS('октябрь 2024'!$G$5:$G$2162,'октябрь 2024'!$D$5:$D$2162,$B79,'октябрь 2024'!$J$5:$J$2162,AA$1)</f>
        <v>0</v>
      </c>
      <c r="AB79" s="80">
        <f>SUMIFS('октябрь 2024'!$G$5:$G$2162,'октябрь 2024'!$D$5:$D$2162,$B79,'октябрь 2024'!$J$5:$J$2162,AB$1)</f>
        <v>0</v>
      </c>
      <c r="AC79" s="80">
        <f>SUMIFS('октябрь 2024'!$G$5:$G$2162,'октябрь 2024'!$D$5:$D$2162,$B79,'октябрь 2024'!$J$5:$J$2162,AC$1)</f>
        <v>0</v>
      </c>
      <c r="AD79" s="80">
        <f>SUMIFS('октябрь 2024'!$G$5:$G$2162,'октябрь 2024'!$D$5:$D$2162,$B79,'октябрь 2024'!$J$5:$J$2162,AD$1)</f>
        <v>0</v>
      </c>
      <c r="AE79" s="80">
        <f>SUMIFS('октябрь 2024'!$G$5:$G$2162,'октябрь 2024'!$D$5:$D$2162,$B79,'октябрь 2024'!$J$5:$J$2162,AE$1)</f>
        <v>0</v>
      </c>
      <c r="AF79" s="80">
        <f>SUMIFS('октябрь 2024'!$G$5:$G$2162,'октябрь 2024'!$D$5:$D$2162,$B79,'октябрь 2024'!$J$5:$J$2162,AF$1)</f>
        <v>0</v>
      </c>
      <c r="AG79" s="80">
        <f>SUMIFS('октябрь 2024'!$G$5:$G$2162,'октябрь 2024'!$D$5:$D$2162,$B79,'октябрь 2024'!$J$5:$J$2162,AG$1)</f>
        <v>0</v>
      </c>
      <c r="AH79" s="80">
        <f>SUMIFS('октябрь 2024'!$G$5:$G$2162,'октябрь 2024'!$D$5:$D$2162,$B79,'октябрь 2024'!$J$5:$J$2162,AH$1)</f>
        <v>0</v>
      </c>
      <c r="AI79" s="21">
        <f t="shared" si="1"/>
        <v>0</v>
      </c>
    </row>
    <row r="80" spans="2:35" ht="15" customHeight="1" x14ac:dyDescent="0.25">
      <c r="B80" s="89" t="s">
        <v>199</v>
      </c>
      <c r="C80" s="88">
        <v>180</v>
      </c>
      <c r="D80" s="80">
        <f>SUMIFS('октябрь 2024'!$G$5:$G$2162,'октябрь 2024'!$D$5:$D$2162,$B80,'октябрь 2024'!$J$5:$J$2162,D$1)</f>
        <v>0</v>
      </c>
      <c r="E80" s="80">
        <f>SUMIFS('октябрь 2024'!$G$5:$G$2162,'октябрь 2024'!$D$5:$D$2162,$B80,'октябрь 2024'!$J$5:$J$2162,E$1)</f>
        <v>0</v>
      </c>
      <c r="F80" s="80">
        <f>SUMIFS('октябрь 2024'!$G$5:$G$2162,'октябрь 2024'!$D$5:$D$2162,$B80,'октябрь 2024'!$J$5:$J$2162,F$1)</f>
        <v>0</v>
      </c>
      <c r="G80" s="80">
        <f>SUMIFS('октябрь 2024'!$G$5:$G$2162,'октябрь 2024'!$D$5:$D$2162,$B80,'октябрь 2024'!$J$5:$J$2162,G$1)</f>
        <v>0</v>
      </c>
      <c r="H80" s="80">
        <f>SUMIFS('октябрь 2024'!$G$5:$G$2162,'октябрь 2024'!$D$5:$D$2162,$B80,'октябрь 2024'!$J$5:$J$2162,H$1)</f>
        <v>0</v>
      </c>
      <c r="I80" s="80">
        <f>SUMIFS('октябрь 2024'!$G$5:$G$2162,'октябрь 2024'!$D$5:$D$2162,$B80,'октябрь 2024'!$J$5:$J$2162,I$1)</f>
        <v>0</v>
      </c>
      <c r="J80" s="80">
        <f>SUMIFS('октябрь 2024'!$G$5:$G$2162,'октябрь 2024'!$D$5:$D$2162,$B80,'октябрь 2024'!$J$5:$J$2162,J$1)</f>
        <v>0</v>
      </c>
      <c r="K80" s="80">
        <f>SUMIFS('октябрь 2024'!$G$5:$G$2162,'октябрь 2024'!$D$5:$D$2162,$B80,'октябрь 2024'!$J$5:$J$2162,K$1)</f>
        <v>0</v>
      </c>
      <c r="L80" s="80">
        <f>SUMIFS('октябрь 2024'!$G$5:$G$2162,'октябрь 2024'!$D$5:$D$2162,$B80,'октябрь 2024'!$J$5:$J$2162,L$1)</f>
        <v>0</v>
      </c>
      <c r="M80" s="80">
        <f>SUMIFS('октябрь 2024'!$G$5:$G$2162,'октябрь 2024'!$D$5:$D$2162,$B80,'октябрь 2024'!$J$5:$J$2162,M$1)</f>
        <v>0</v>
      </c>
      <c r="N80" s="80">
        <f>SUMIFS('октябрь 2024'!$G$5:$G$2162,'октябрь 2024'!$D$5:$D$2162,$B80,'октябрь 2024'!$J$5:$J$2162,N$1)</f>
        <v>0</v>
      </c>
      <c r="O80" s="80">
        <f>SUMIFS('октябрь 2024'!$G$5:$G$2162,'октябрь 2024'!$D$5:$D$2162,$B80,'октябрь 2024'!$J$5:$J$2162,O$1)</f>
        <v>0</v>
      </c>
      <c r="P80" s="80">
        <f>SUMIFS('октябрь 2024'!$G$5:$G$2162,'октябрь 2024'!$D$5:$D$2162,$B80,'октябрь 2024'!$J$5:$J$2162,P$1)</f>
        <v>0</v>
      </c>
      <c r="Q80" s="80">
        <f>SUMIFS('октябрь 2024'!$G$5:$G$2162,'октябрь 2024'!$D$5:$D$2162,$B80,'октябрь 2024'!$J$5:$J$2162,Q$1)</f>
        <v>0</v>
      </c>
      <c r="R80" s="80">
        <f>SUMIFS('октябрь 2024'!$G$5:$G$2162,'октябрь 2024'!$D$5:$D$2162,$B80,'октябрь 2024'!$J$5:$J$2162,R$1)</f>
        <v>0</v>
      </c>
      <c r="S80" s="80">
        <f>SUMIFS('октябрь 2024'!$G$5:$G$2162,'октябрь 2024'!$D$5:$D$2162,$B80,'октябрь 2024'!$J$5:$J$2162,S$1)</f>
        <v>0</v>
      </c>
      <c r="T80" s="80">
        <f>SUMIFS('октябрь 2024'!$G$5:$G$2162,'октябрь 2024'!$D$5:$D$2162,$B80,'октябрь 2024'!$J$5:$J$2162,T$1)</f>
        <v>0</v>
      </c>
      <c r="U80" s="80">
        <f>SUMIFS('октябрь 2024'!$G$5:$G$2162,'октябрь 2024'!$D$5:$D$2162,$B80,'октябрь 2024'!$J$5:$J$2162,U$1)</f>
        <v>0</v>
      </c>
      <c r="V80" s="80">
        <f>SUMIFS('октябрь 2024'!$G$5:$G$2162,'октябрь 2024'!$D$5:$D$2162,$B80,'октябрь 2024'!$J$5:$J$2162,V$1)</f>
        <v>0</v>
      </c>
      <c r="W80" s="80">
        <f>SUMIFS('октябрь 2024'!$G$5:$G$2162,'октябрь 2024'!$D$5:$D$2162,$B80,'октябрь 2024'!$J$5:$J$2162,W$1)</f>
        <v>0</v>
      </c>
      <c r="X80" s="80">
        <f>SUMIFS('октябрь 2024'!$G$5:$G$2162,'октябрь 2024'!$D$5:$D$2162,$B80,'октябрь 2024'!$J$5:$J$2162,X$1)</f>
        <v>0</v>
      </c>
      <c r="Y80" s="80">
        <f>SUMIFS('октябрь 2024'!$G$5:$G$2162,'октябрь 2024'!$D$5:$D$2162,$B80,'октябрь 2024'!$J$5:$J$2162,Y$1)</f>
        <v>0</v>
      </c>
      <c r="Z80" s="80">
        <f>SUMIFS('октябрь 2024'!$G$5:$G$2162,'октябрь 2024'!$D$5:$D$2162,$B80,'октябрь 2024'!$J$5:$J$2162,Z$1)</f>
        <v>0</v>
      </c>
      <c r="AA80" s="80">
        <f>SUMIFS('октябрь 2024'!$G$5:$G$2162,'октябрь 2024'!$D$5:$D$2162,$B80,'октябрь 2024'!$J$5:$J$2162,AA$1)</f>
        <v>0</v>
      </c>
      <c r="AB80" s="80">
        <f>SUMIFS('октябрь 2024'!$G$5:$G$2162,'октябрь 2024'!$D$5:$D$2162,$B80,'октябрь 2024'!$J$5:$J$2162,AB$1)</f>
        <v>0</v>
      </c>
      <c r="AC80" s="80">
        <f>SUMIFS('октябрь 2024'!$G$5:$G$2162,'октябрь 2024'!$D$5:$D$2162,$B80,'октябрь 2024'!$J$5:$J$2162,AC$1)</f>
        <v>0</v>
      </c>
      <c r="AD80" s="80">
        <f>SUMIFS('октябрь 2024'!$G$5:$G$2162,'октябрь 2024'!$D$5:$D$2162,$B80,'октябрь 2024'!$J$5:$J$2162,AD$1)</f>
        <v>0</v>
      </c>
      <c r="AE80" s="80">
        <f>SUMIFS('октябрь 2024'!$G$5:$G$2162,'октябрь 2024'!$D$5:$D$2162,$B80,'октябрь 2024'!$J$5:$J$2162,AE$1)</f>
        <v>0</v>
      </c>
      <c r="AF80" s="80">
        <f>SUMIFS('октябрь 2024'!$G$5:$G$2162,'октябрь 2024'!$D$5:$D$2162,$B80,'октябрь 2024'!$J$5:$J$2162,AF$1)</f>
        <v>0</v>
      </c>
      <c r="AG80" s="80">
        <f>SUMIFS('октябрь 2024'!$G$5:$G$2162,'октябрь 2024'!$D$5:$D$2162,$B80,'октябрь 2024'!$J$5:$J$2162,AG$1)</f>
        <v>0</v>
      </c>
      <c r="AH80" s="80">
        <f>SUMIFS('октябрь 2024'!$G$5:$G$2162,'октябрь 2024'!$D$5:$D$2162,$B80,'октябрь 2024'!$J$5:$J$2162,AH$1)</f>
        <v>0</v>
      </c>
      <c r="AI80" s="21">
        <f t="shared" si="1"/>
        <v>0</v>
      </c>
    </row>
    <row r="81" spans="2:35" ht="15" customHeight="1" x14ac:dyDescent="0.25">
      <c r="B81" s="93" t="s">
        <v>200</v>
      </c>
      <c r="C81" s="91">
        <v>190</v>
      </c>
      <c r="D81" s="80">
        <f>SUMIFS('октябрь 2024'!$G$5:$G$2162,'октябрь 2024'!$D$5:$D$2162,$B81,'октябрь 2024'!$J$5:$J$2162,D$1)</f>
        <v>0</v>
      </c>
      <c r="E81" s="80">
        <f>SUMIFS('октябрь 2024'!$G$5:$G$2162,'октябрь 2024'!$D$5:$D$2162,$B81,'октябрь 2024'!$J$5:$J$2162,E$1)</f>
        <v>0</v>
      </c>
      <c r="F81" s="80">
        <f>SUMIFS('октябрь 2024'!$G$5:$G$2162,'октябрь 2024'!$D$5:$D$2162,$B81,'октябрь 2024'!$J$5:$J$2162,F$1)</f>
        <v>0</v>
      </c>
      <c r="G81" s="80">
        <f>SUMIFS('октябрь 2024'!$G$5:$G$2162,'октябрь 2024'!$D$5:$D$2162,$B81,'октябрь 2024'!$J$5:$J$2162,G$1)</f>
        <v>0</v>
      </c>
      <c r="H81" s="80">
        <f>SUMIFS('октябрь 2024'!$G$5:$G$2162,'октябрь 2024'!$D$5:$D$2162,$B81,'октябрь 2024'!$J$5:$J$2162,H$1)</f>
        <v>0</v>
      </c>
      <c r="I81" s="80">
        <f>SUMIFS('октябрь 2024'!$G$5:$G$2162,'октябрь 2024'!$D$5:$D$2162,$B81,'октябрь 2024'!$J$5:$J$2162,I$1)</f>
        <v>0</v>
      </c>
      <c r="J81" s="80">
        <f>SUMIFS('октябрь 2024'!$G$5:$G$2162,'октябрь 2024'!$D$5:$D$2162,$B81,'октябрь 2024'!$J$5:$J$2162,J$1)</f>
        <v>0</v>
      </c>
      <c r="K81" s="80">
        <f>SUMIFS('октябрь 2024'!$G$5:$G$2162,'октябрь 2024'!$D$5:$D$2162,$B81,'октябрь 2024'!$J$5:$J$2162,K$1)</f>
        <v>0</v>
      </c>
      <c r="L81" s="80">
        <f>SUMIFS('октябрь 2024'!$G$5:$G$2162,'октябрь 2024'!$D$5:$D$2162,$B81,'октябрь 2024'!$J$5:$J$2162,L$1)</f>
        <v>0</v>
      </c>
      <c r="M81" s="80">
        <f>SUMIFS('октябрь 2024'!$G$5:$G$2162,'октябрь 2024'!$D$5:$D$2162,$B81,'октябрь 2024'!$J$5:$J$2162,M$1)</f>
        <v>0</v>
      </c>
      <c r="N81" s="80">
        <f>SUMIFS('октябрь 2024'!$G$5:$G$2162,'октябрь 2024'!$D$5:$D$2162,$B81,'октябрь 2024'!$J$5:$J$2162,N$1)</f>
        <v>0</v>
      </c>
      <c r="O81" s="80">
        <f>SUMIFS('октябрь 2024'!$G$5:$G$2162,'октябрь 2024'!$D$5:$D$2162,$B81,'октябрь 2024'!$J$5:$J$2162,O$1)</f>
        <v>0</v>
      </c>
      <c r="P81" s="80">
        <f>SUMIFS('октябрь 2024'!$G$5:$G$2162,'октябрь 2024'!$D$5:$D$2162,$B81,'октябрь 2024'!$J$5:$J$2162,P$1)</f>
        <v>0</v>
      </c>
      <c r="Q81" s="80">
        <f>SUMIFS('октябрь 2024'!$G$5:$G$2162,'октябрь 2024'!$D$5:$D$2162,$B81,'октябрь 2024'!$J$5:$J$2162,Q$1)</f>
        <v>0</v>
      </c>
      <c r="R81" s="80">
        <f>SUMIFS('октябрь 2024'!$G$5:$G$2162,'октябрь 2024'!$D$5:$D$2162,$B81,'октябрь 2024'!$J$5:$J$2162,R$1)</f>
        <v>0</v>
      </c>
      <c r="S81" s="80">
        <f>SUMIFS('октябрь 2024'!$G$5:$G$2162,'октябрь 2024'!$D$5:$D$2162,$B81,'октябрь 2024'!$J$5:$J$2162,S$1)</f>
        <v>0</v>
      </c>
      <c r="T81" s="80">
        <f>SUMIFS('октябрь 2024'!$G$5:$G$2162,'октябрь 2024'!$D$5:$D$2162,$B81,'октябрь 2024'!$J$5:$J$2162,T$1)</f>
        <v>0</v>
      </c>
      <c r="U81" s="80">
        <f>SUMIFS('октябрь 2024'!$G$5:$G$2162,'октябрь 2024'!$D$5:$D$2162,$B81,'октябрь 2024'!$J$5:$J$2162,U$1)</f>
        <v>0</v>
      </c>
      <c r="V81" s="80">
        <f>SUMIFS('октябрь 2024'!$G$5:$G$2162,'октябрь 2024'!$D$5:$D$2162,$B81,'октябрь 2024'!$J$5:$J$2162,V$1)</f>
        <v>0</v>
      </c>
      <c r="W81" s="80">
        <f>SUMIFS('октябрь 2024'!$G$5:$G$2162,'октябрь 2024'!$D$5:$D$2162,$B81,'октябрь 2024'!$J$5:$J$2162,W$1)</f>
        <v>0</v>
      </c>
      <c r="X81" s="80">
        <f>SUMIFS('октябрь 2024'!$G$5:$G$2162,'октябрь 2024'!$D$5:$D$2162,$B81,'октябрь 2024'!$J$5:$J$2162,X$1)</f>
        <v>0</v>
      </c>
      <c r="Y81" s="80">
        <f>SUMIFS('октябрь 2024'!$G$5:$G$2162,'октябрь 2024'!$D$5:$D$2162,$B81,'октябрь 2024'!$J$5:$J$2162,Y$1)</f>
        <v>0</v>
      </c>
      <c r="Z81" s="80">
        <f>SUMIFS('октябрь 2024'!$G$5:$G$2162,'октябрь 2024'!$D$5:$D$2162,$B81,'октябрь 2024'!$J$5:$J$2162,Z$1)</f>
        <v>0</v>
      </c>
      <c r="AA81" s="80">
        <f>SUMIFS('октябрь 2024'!$G$5:$G$2162,'октябрь 2024'!$D$5:$D$2162,$B81,'октябрь 2024'!$J$5:$J$2162,AA$1)</f>
        <v>0</v>
      </c>
      <c r="AB81" s="80">
        <f>SUMIFS('октябрь 2024'!$G$5:$G$2162,'октябрь 2024'!$D$5:$D$2162,$B81,'октябрь 2024'!$J$5:$J$2162,AB$1)</f>
        <v>0</v>
      </c>
      <c r="AC81" s="80">
        <f>SUMIFS('октябрь 2024'!$G$5:$G$2162,'октябрь 2024'!$D$5:$D$2162,$B81,'октябрь 2024'!$J$5:$J$2162,AC$1)</f>
        <v>0</v>
      </c>
      <c r="AD81" s="80">
        <f>SUMIFS('октябрь 2024'!$G$5:$G$2162,'октябрь 2024'!$D$5:$D$2162,$B81,'октябрь 2024'!$J$5:$J$2162,AD$1)</f>
        <v>0</v>
      </c>
      <c r="AE81" s="80">
        <f>SUMIFS('октябрь 2024'!$G$5:$G$2162,'октябрь 2024'!$D$5:$D$2162,$B81,'октябрь 2024'!$J$5:$J$2162,AE$1)</f>
        <v>0</v>
      </c>
      <c r="AF81" s="80">
        <f>SUMIFS('октябрь 2024'!$G$5:$G$2162,'октябрь 2024'!$D$5:$D$2162,$B81,'октябрь 2024'!$J$5:$J$2162,AF$1)</f>
        <v>0</v>
      </c>
      <c r="AG81" s="80">
        <f>SUMIFS('октябрь 2024'!$G$5:$G$2162,'октябрь 2024'!$D$5:$D$2162,$B81,'октябрь 2024'!$J$5:$J$2162,AG$1)</f>
        <v>0</v>
      </c>
      <c r="AH81" s="80">
        <f>SUMIFS('октябрь 2024'!$G$5:$G$2162,'октябрь 2024'!$D$5:$D$2162,$B81,'октябрь 2024'!$J$5:$J$2162,AH$1)</f>
        <v>0</v>
      </c>
      <c r="AI81" s="21">
        <f t="shared" si="1"/>
        <v>0</v>
      </c>
    </row>
    <row r="82" spans="2:35" ht="15" customHeight="1" x14ac:dyDescent="0.25">
      <c r="B82" s="93" t="s">
        <v>201</v>
      </c>
      <c r="C82" s="91">
        <v>190</v>
      </c>
      <c r="D82" s="80">
        <f>SUMIFS('октябрь 2024'!$G$5:$G$2162,'октябрь 2024'!$D$5:$D$2162,$B82,'октябрь 2024'!$J$5:$J$2162,D$1)</f>
        <v>0</v>
      </c>
      <c r="E82" s="80">
        <f>SUMIFS('октябрь 2024'!$G$5:$G$2162,'октябрь 2024'!$D$5:$D$2162,$B82,'октябрь 2024'!$J$5:$J$2162,E$1)</f>
        <v>0</v>
      </c>
      <c r="F82" s="80">
        <f>SUMIFS('октябрь 2024'!$G$5:$G$2162,'октябрь 2024'!$D$5:$D$2162,$B82,'октябрь 2024'!$J$5:$J$2162,F$1)</f>
        <v>0</v>
      </c>
      <c r="G82" s="80">
        <f>SUMIFS('октябрь 2024'!$G$5:$G$2162,'октябрь 2024'!$D$5:$D$2162,$B82,'октябрь 2024'!$J$5:$J$2162,G$1)</f>
        <v>0</v>
      </c>
      <c r="H82" s="80">
        <f>SUMIFS('октябрь 2024'!$G$5:$G$2162,'октябрь 2024'!$D$5:$D$2162,$B82,'октябрь 2024'!$J$5:$J$2162,H$1)</f>
        <v>0</v>
      </c>
      <c r="I82" s="80">
        <f>SUMIFS('октябрь 2024'!$G$5:$G$2162,'октябрь 2024'!$D$5:$D$2162,$B82,'октябрь 2024'!$J$5:$J$2162,I$1)</f>
        <v>0</v>
      </c>
      <c r="J82" s="80">
        <f>SUMIFS('октябрь 2024'!$G$5:$G$2162,'октябрь 2024'!$D$5:$D$2162,$B82,'октябрь 2024'!$J$5:$J$2162,J$1)</f>
        <v>0</v>
      </c>
      <c r="K82" s="80">
        <f>SUMIFS('октябрь 2024'!$G$5:$G$2162,'октябрь 2024'!$D$5:$D$2162,$B82,'октябрь 2024'!$J$5:$J$2162,K$1)</f>
        <v>0</v>
      </c>
      <c r="L82" s="80">
        <f>SUMIFS('октябрь 2024'!$G$5:$G$2162,'октябрь 2024'!$D$5:$D$2162,$B82,'октябрь 2024'!$J$5:$J$2162,L$1)</f>
        <v>0</v>
      </c>
      <c r="M82" s="80">
        <f>SUMIFS('октябрь 2024'!$G$5:$G$2162,'октябрь 2024'!$D$5:$D$2162,$B82,'октябрь 2024'!$J$5:$J$2162,M$1)</f>
        <v>0</v>
      </c>
      <c r="N82" s="80">
        <f>SUMIFS('октябрь 2024'!$G$5:$G$2162,'октябрь 2024'!$D$5:$D$2162,$B82,'октябрь 2024'!$J$5:$J$2162,N$1)</f>
        <v>0</v>
      </c>
      <c r="O82" s="80">
        <f>SUMIFS('октябрь 2024'!$G$5:$G$2162,'октябрь 2024'!$D$5:$D$2162,$B82,'октябрь 2024'!$J$5:$J$2162,O$1)</f>
        <v>0</v>
      </c>
      <c r="P82" s="80">
        <f>SUMIFS('октябрь 2024'!$G$5:$G$2162,'октябрь 2024'!$D$5:$D$2162,$B82,'октябрь 2024'!$J$5:$J$2162,P$1)</f>
        <v>0</v>
      </c>
      <c r="Q82" s="80">
        <f>SUMIFS('октябрь 2024'!$G$5:$G$2162,'октябрь 2024'!$D$5:$D$2162,$B82,'октябрь 2024'!$J$5:$J$2162,Q$1)</f>
        <v>0</v>
      </c>
      <c r="R82" s="80">
        <f>SUMIFS('октябрь 2024'!$G$5:$G$2162,'октябрь 2024'!$D$5:$D$2162,$B82,'октябрь 2024'!$J$5:$J$2162,R$1)</f>
        <v>0</v>
      </c>
      <c r="S82" s="80">
        <f>SUMIFS('октябрь 2024'!$G$5:$G$2162,'октябрь 2024'!$D$5:$D$2162,$B82,'октябрь 2024'!$J$5:$J$2162,S$1)</f>
        <v>0</v>
      </c>
      <c r="T82" s="80">
        <f>SUMIFS('октябрь 2024'!$G$5:$G$2162,'октябрь 2024'!$D$5:$D$2162,$B82,'октябрь 2024'!$J$5:$J$2162,T$1)</f>
        <v>0</v>
      </c>
      <c r="U82" s="80">
        <f>SUMIFS('октябрь 2024'!$G$5:$G$2162,'октябрь 2024'!$D$5:$D$2162,$B82,'октябрь 2024'!$J$5:$J$2162,U$1)</f>
        <v>0</v>
      </c>
      <c r="V82" s="80">
        <f>SUMIFS('октябрь 2024'!$G$5:$G$2162,'октябрь 2024'!$D$5:$D$2162,$B82,'октябрь 2024'!$J$5:$J$2162,V$1)</f>
        <v>0</v>
      </c>
      <c r="W82" s="80">
        <f>SUMIFS('октябрь 2024'!$G$5:$G$2162,'октябрь 2024'!$D$5:$D$2162,$B82,'октябрь 2024'!$J$5:$J$2162,W$1)</f>
        <v>0</v>
      </c>
      <c r="X82" s="80">
        <f>SUMIFS('октябрь 2024'!$G$5:$G$2162,'октябрь 2024'!$D$5:$D$2162,$B82,'октябрь 2024'!$J$5:$J$2162,X$1)</f>
        <v>0</v>
      </c>
      <c r="Y82" s="80">
        <f>SUMIFS('октябрь 2024'!$G$5:$G$2162,'октябрь 2024'!$D$5:$D$2162,$B82,'октябрь 2024'!$J$5:$J$2162,Y$1)</f>
        <v>0</v>
      </c>
      <c r="Z82" s="80">
        <f>SUMIFS('октябрь 2024'!$G$5:$G$2162,'октябрь 2024'!$D$5:$D$2162,$B82,'октябрь 2024'!$J$5:$J$2162,Z$1)</f>
        <v>0</v>
      </c>
      <c r="AA82" s="80">
        <f>SUMIFS('октябрь 2024'!$G$5:$G$2162,'октябрь 2024'!$D$5:$D$2162,$B82,'октябрь 2024'!$J$5:$J$2162,AA$1)</f>
        <v>0</v>
      </c>
      <c r="AB82" s="80">
        <f>SUMIFS('октябрь 2024'!$G$5:$G$2162,'октябрь 2024'!$D$5:$D$2162,$B82,'октябрь 2024'!$J$5:$J$2162,AB$1)</f>
        <v>0</v>
      </c>
      <c r="AC82" s="80">
        <f>SUMIFS('октябрь 2024'!$G$5:$G$2162,'октябрь 2024'!$D$5:$D$2162,$B82,'октябрь 2024'!$J$5:$J$2162,AC$1)</f>
        <v>0</v>
      </c>
      <c r="AD82" s="80">
        <f>SUMIFS('октябрь 2024'!$G$5:$G$2162,'октябрь 2024'!$D$5:$D$2162,$B82,'октябрь 2024'!$J$5:$J$2162,AD$1)</f>
        <v>0</v>
      </c>
      <c r="AE82" s="80">
        <f>SUMIFS('октябрь 2024'!$G$5:$G$2162,'октябрь 2024'!$D$5:$D$2162,$B82,'октябрь 2024'!$J$5:$J$2162,AE$1)</f>
        <v>0</v>
      </c>
      <c r="AF82" s="80">
        <f>SUMIFS('октябрь 2024'!$G$5:$G$2162,'октябрь 2024'!$D$5:$D$2162,$B82,'октябрь 2024'!$J$5:$J$2162,AF$1)</f>
        <v>0</v>
      </c>
      <c r="AG82" s="80">
        <f>SUMIFS('октябрь 2024'!$G$5:$G$2162,'октябрь 2024'!$D$5:$D$2162,$B82,'октябрь 2024'!$J$5:$J$2162,AG$1)</f>
        <v>0</v>
      </c>
      <c r="AH82" s="80">
        <f>SUMIFS('октябрь 2024'!$G$5:$G$2162,'октябрь 2024'!$D$5:$D$2162,$B82,'октябрь 2024'!$J$5:$J$2162,AH$1)</f>
        <v>0</v>
      </c>
      <c r="AI82" s="21">
        <f t="shared" si="1"/>
        <v>0</v>
      </c>
    </row>
    <row r="83" spans="2:35" ht="15" customHeight="1" x14ac:dyDescent="0.25">
      <c r="B83" s="93" t="s">
        <v>1190</v>
      </c>
      <c r="C83" s="91">
        <v>200</v>
      </c>
      <c r="D83" s="80">
        <f>SUMIFS('октябрь 2024'!$G$5:$G$2162,'октябрь 2024'!$D$5:$D$2162,$B83,'октябрь 2024'!$J$5:$J$2162,D$1)</f>
        <v>0</v>
      </c>
      <c r="E83" s="80">
        <f>SUMIFS('октябрь 2024'!$G$5:$G$2162,'октябрь 2024'!$D$5:$D$2162,$B83,'октябрь 2024'!$J$5:$J$2162,E$1)</f>
        <v>0</v>
      </c>
      <c r="F83" s="80">
        <f>SUMIFS('октябрь 2024'!$G$5:$G$2162,'октябрь 2024'!$D$5:$D$2162,$B83,'октябрь 2024'!$J$5:$J$2162,F$1)</f>
        <v>0</v>
      </c>
      <c r="G83" s="80">
        <f>SUMIFS('октябрь 2024'!$G$5:$G$2162,'октябрь 2024'!$D$5:$D$2162,$B83,'октябрь 2024'!$J$5:$J$2162,G$1)</f>
        <v>0</v>
      </c>
      <c r="H83" s="80">
        <f>SUMIFS('октябрь 2024'!$G$5:$G$2162,'октябрь 2024'!$D$5:$D$2162,$B83,'октябрь 2024'!$J$5:$J$2162,H$1)</f>
        <v>0</v>
      </c>
      <c r="I83" s="80">
        <f>SUMIFS('октябрь 2024'!$G$5:$G$2162,'октябрь 2024'!$D$5:$D$2162,$B83,'октябрь 2024'!$J$5:$J$2162,I$1)</f>
        <v>0</v>
      </c>
      <c r="J83" s="80">
        <f>SUMIFS('октябрь 2024'!$G$5:$G$2162,'октябрь 2024'!$D$5:$D$2162,$B83,'октябрь 2024'!$J$5:$J$2162,J$1)</f>
        <v>0</v>
      </c>
      <c r="K83" s="80">
        <f>SUMIFS('октябрь 2024'!$G$5:$G$2162,'октябрь 2024'!$D$5:$D$2162,$B83,'октябрь 2024'!$J$5:$J$2162,K$1)</f>
        <v>0</v>
      </c>
      <c r="L83" s="80">
        <f>SUMIFS('октябрь 2024'!$G$5:$G$2162,'октябрь 2024'!$D$5:$D$2162,$B83,'октябрь 2024'!$J$5:$J$2162,L$1)</f>
        <v>60</v>
      </c>
      <c r="M83" s="80">
        <f>SUMIFS('октябрь 2024'!$G$5:$G$2162,'октябрь 2024'!$D$5:$D$2162,$B83,'октябрь 2024'!$J$5:$J$2162,M$1)</f>
        <v>0</v>
      </c>
      <c r="N83" s="80">
        <f>SUMIFS('октябрь 2024'!$G$5:$G$2162,'октябрь 2024'!$D$5:$D$2162,$B83,'октябрь 2024'!$J$5:$J$2162,N$1)</f>
        <v>0</v>
      </c>
      <c r="O83" s="80">
        <f>SUMIFS('октябрь 2024'!$G$5:$G$2162,'октябрь 2024'!$D$5:$D$2162,$B83,'октябрь 2024'!$J$5:$J$2162,O$1)</f>
        <v>0</v>
      </c>
      <c r="P83" s="80">
        <f>SUMIFS('октябрь 2024'!$G$5:$G$2162,'октябрь 2024'!$D$5:$D$2162,$B83,'октябрь 2024'!$J$5:$J$2162,P$1)</f>
        <v>0</v>
      </c>
      <c r="Q83" s="80">
        <f>SUMIFS('октябрь 2024'!$G$5:$G$2162,'октябрь 2024'!$D$5:$D$2162,$B83,'октябрь 2024'!$J$5:$J$2162,Q$1)</f>
        <v>0</v>
      </c>
      <c r="R83" s="80">
        <f>SUMIFS('октябрь 2024'!$G$5:$G$2162,'октябрь 2024'!$D$5:$D$2162,$B83,'октябрь 2024'!$J$5:$J$2162,R$1)</f>
        <v>0</v>
      </c>
      <c r="S83" s="80">
        <f>SUMIFS('октябрь 2024'!$G$5:$G$2162,'октябрь 2024'!$D$5:$D$2162,$B83,'октябрь 2024'!$J$5:$J$2162,S$1)</f>
        <v>0</v>
      </c>
      <c r="T83" s="80">
        <f>SUMIFS('октябрь 2024'!$G$5:$G$2162,'октябрь 2024'!$D$5:$D$2162,$B83,'октябрь 2024'!$J$5:$J$2162,T$1)</f>
        <v>68</v>
      </c>
      <c r="U83" s="80">
        <f>SUMIFS('октябрь 2024'!$G$5:$G$2162,'октябрь 2024'!$D$5:$D$2162,$B83,'октябрь 2024'!$J$5:$J$2162,U$1)</f>
        <v>0</v>
      </c>
      <c r="V83" s="80">
        <f>SUMIFS('октябрь 2024'!$G$5:$G$2162,'октябрь 2024'!$D$5:$D$2162,$B83,'октябрь 2024'!$J$5:$J$2162,V$1)</f>
        <v>0</v>
      </c>
      <c r="W83" s="80">
        <f>SUMIFS('октябрь 2024'!$G$5:$G$2162,'октябрь 2024'!$D$5:$D$2162,$B83,'октябрь 2024'!$J$5:$J$2162,W$1)</f>
        <v>0</v>
      </c>
      <c r="X83" s="80">
        <f>SUMIFS('октябрь 2024'!$G$5:$G$2162,'октябрь 2024'!$D$5:$D$2162,$B83,'октябрь 2024'!$J$5:$J$2162,X$1)</f>
        <v>0</v>
      </c>
      <c r="Y83" s="80">
        <f>SUMIFS('октябрь 2024'!$G$5:$G$2162,'октябрь 2024'!$D$5:$D$2162,$B83,'октябрь 2024'!$J$5:$J$2162,Y$1)</f>
        <v>0</v>
      </c>
      <c r="Z83" s="80">
        <f>SUMIFS('октябрь 2024'!$G$5:$G$2162,'октябрь 2024'!$D$5:$D$2162,$B83,'октябрь 2024'!$J$5:$J$2162,Z$1)</f>
        <v>0</v>
      </c>
      <c r="AA83" s="80">
        <f>SUMIFS('октябрь 2024'!$G$5:$G$2162,'октябрь 2024'!$D$5:$D$2162,$B83,'октябрь 2024'!$J$5:$J$2162,AA$1)</f>
        <v>0</v>
      </c>
      <c r="AB83" s="80">
        <f>SUMIFS('октябрь 2024'!$G$5:$G$2162,'октябрь 2024'!$D$5:$D$2162,$B83,'октябрь 2024'!$J$5:$J$2162,AB$1)</f>
        <v>0</v>
      </c>
      <c r="AC83" s="80">
        <f>SUMIFS('октябрь 2024'!$G$5:$G$2162,'октябрь 2024'!$D$5:$D$2162,$B83,'октябрь 2024'!$J$5:$J$2162,AC$1)</f>
        <v>0</v>
      </c>
      <c r="AD83" s="80">
        <f>SUMIFS('октябрь 2024'!$G$5:$G$2162,'октябрь 2024'!$D$5:$D$2162,$B83,'октябрь 2024'!$J$5:$J$2162,AD$1)</f>
        <v>0</v>
      </c>
      <c r="AE83" s="80">
        <f>SUMIFS('октябрь 2024'!$G$5:$G$2162,'октябрь 2024'!$D$5:$D$2162,$B83,'октябрь 2024'!$J$5:$J$2162,AE$1)</f>
        <v>0</v>
      </c>
      <c r="AF83" s="80">
        <f>SUMIFS('октябрь 2024'!$G$5:$G$2162,'октябрь 2024'!$D$5:$D$2162,$B83,'октябрь 2024'!$J$5:$J$2162,AF$1)</f>
        <v>0</v>
      </c>
      <c r="AG83" s="80">
        <f>SUMIFS('октябрь 2024'!$G$5:$G$2162,'октябрь 2024'!$D$5:$D$2162,$B83,'октябрь 2024'!$J$5:$J$2162,AG$1)</f>
        <v>0</v>
      </c>
      <c r="AH83" s="80">
        <f>SUMIFS('октябрь 2024'!$G$5:$G$2162,'октябрь 2024'!$D$5:$D$2162,$B83,'октябрь 2024'!$J$5:$J$2162,AH$1)</f>
        <v>0</v>
      </c>
      <c r="AI83" s="21">
        <f t="shared" si="1"/>
        <v>128</v>
      </c>
    </row>
    <row r="84" spans="2:35" ht="15" customHeight="1" x14ac:dyDescent="0.25">
      <c r="B84" s="93" t="s">
        <v>202</v>
      </c>
      <c r="C84" s="91">
        <v>900</v>
      </c>
      <c r="D84" s="80">
        <f>SUMIFS('октябрь 2024'!$G$5:$G$2162,'октябрь 2024'!$D$5:$D$2162,$B84,'октябрь 2024'!$J$5:$J$2162,D$1)</f>
        <v>0</v>
      </c>
      <c r="E84" s="80">
        <f>SUMIFS('октябрь 2024'!$G$5:$G$2162,'октябрь 2024'!$D$5:$D$2162,$B84,'октябрь 2024'!$J$5:$J$2162,E$1)</f>
        <v>0</v>
      </c>
      <c r="F84" s="80">
        <f>SUMIFS('октябрь 2024'!$G$5:$G$2162,'октябрь 2024'!$D$5:$D$2162,$B84,'октябрь 2024'!$J$5:$J$2162,F$1)</f>
        <v>0</v>
      </c>
      <c r="G84" s="80">
        <f>SUMIFS('октябрь 2024'!$G$5:$G$2162,'октябрь 2024'!$D$5:$D$2162,$B84,'октябрь 2024'!$J$5:$J$2162,G$1)</f>
        <v>0</v>
      </c>
      <c r="H84" s="80">
        <f>SUMIFS('октябрь 2024'!$G$5:$G$2162,'октябрь 2024'!$D$5:$D$2162,$B84,'октябрь 2024'!$J$5:$J$2162,H$1)</f>
        <v>0</v>
      </c>
      <c r="I84" s="80">
        <f>SUMIFS('октябрь 2024'!$G$5:$G$2162,'октябрь 2024'!$D$5:$D$2162,$B84,'октябрь 2024'!$J$5:$J$2162,I$1)</f>
        <v>0</v>
      </c>
      <c r="J84" s="80">
        <f>SUMIFS('октябрь 2024'!$G$5:$G$2162,'октябрь 2024'!$D$5:$D$2162,$B84,'октябрь 2024'!$J$5:$J$2162,J$1)</f>
        <v>0</v>
      </c>
      <c r="K84" s="80">
        <f>SUMIFS('октябрь 2024'!$G$5:$G$2162,'октябрь 2024'!$D$5:$D$2162,$B84,'октябрь 2024'!$J$5:$J$2162,K$1)</f>
        <v>0</v>
      </c>
      <c r="L84" s="80">
        <f>SUMIFS('октябрь 2024'!$G$5:$G$2162,'октябрь 2024'!$D$5:$D$2162,$B84,'октябрь 2024'!$J$5:$J$2162,L$1)</f>
        <v>0</v>
      </c>
      <c r="M84" s="80">
        <f>SUMIFS('октябрь 2024'!$G$5:$G$2162,'октябрь 2024'!$D$5:$D$2162,$B84,'октябрь 2024'!$J$5:$J$2162,M$1)</f>
        <v>0</v>
      </c>
      <c r="N84" s="80">
        <f>SUMIFS('октябрь 2024'!$G$5:$G$2162,'октябрь 2024'!$D$5:$D$2162,$B84,'октябрь 2024'!$J$5:$J$2162,N$1)</f>
        <v>0</v>
      </c>
      <c r="O84" s="80">
        <f>SUMIFS('октябрь 2024'!$G$5:$G$2162,'октябрь 2024'!$D$5:$D$2162,$B84,'октябрь 2024'!$J$5:$J$2162,O$1)</f>
        <v>0</v>
      </c>
      <c r="P84" s="80">
        <f>SUMIFS('октябрь 2024'!$G$5:$G$2162,'октябрь 2024'!$D$5:$D$2162,$B84,'октябрь 2024'!$J$5:$J$2162,P$1)</f>
        <v>0</v>
      </c>
      <c r="Q84" s="80">
        <f>SUMIFS('октябрь 2024'!$G$5:$G$2162,'октябрь 2024'!$D$5:$D$2162,$B84,'октябрь 2024'!$J$5:$J$2162,Q$1)</f>
        <v>0</v>
      </c>
      <c r="R84" s="80">
        <f>SUMIFS('октябрь 2024'!$G$5:$G$2162,'октябрь 2024'!$D$5:$D$2162,$B84,'октябрь 2024'!$J$5:$J$2162,R$1)</f>
        <v>0</v>
      </c>
      <c r="S84" s="80">
        <f>SUMIFS('октябрь 2024'!$G$5:$G$2162,'октябрь 2024'!$D$5:$D$2162,$B84,'октябрь 2024'!$J$5:$J$2162,S$1)</f>
        <v>0</v>
      </c>
      <c r="T84" s="80">
        <f>SUMIFS('октябрь 2024'!$G$5:$G$2162,'октябрь 2024'!$D$5:$D$2162,$B84,'октябрь 2024'!$J$5:$J$2162,T$1)</f>
        <v>0</v>
      </c>
      <c r="U84" s="80">
        <f>SUMIFS('октябрь 2024'!$G$5:$G$2162,'октябрь 2024'!$D$5:$D$2162,$B84,'октябрь 2024'!$J$5:$J$2162,U$1)</f>
        <v>0</v>
      </c>
      <c r="V84" s="80">
        <f>SUMIFS('октябрь 2024'!$G$5:$G$2162,'октябрь 2024'!$D$5:$D$2162,$B84,'октябрь 2024'!$J$5:$J$2162,V$1)</f>
        <v>0</v>
      </c>
      <c r="W84" s="80">
        <f>SUMIFS('октябрь 2024'!$G$5:$G$2162,'октябрь 2024'!$D$5:$D$2162,$B84,'октябрь 2024'!$J$5:$J$2162,W$1)</f>
        <v>0</v>
      </c>
      <c r="X84" s="80">
        <f>SUMIFS('октябрь 2024'!$G$5:$G$2162,'октябрь 2024'!$D$5:$D$2162,$B84,'октябрь 2024'!$J$5:$J$2162,X$1)</f>
        <v>0</v>
      </c>
      <c r="Y84" s="80">
        <f>SUMIFS('октябрь 2024'!$G$5:$G$2162,'октябрь 2024'!$D$5:$D$2162,$B84,'октябрь 2024'!$J$5:$J$2162,Y$1)</f>
        <v>0</v>
      </c>
      <c r="Z84" s="80">
        <f>SUMIFS('октябрь 2024'!$G$5:$G$2162,'октябрь 2024'!$D$5:$D$2162,$B84,'октябрь 2024'!$J$5:$J$2162,Z$1)</f>
        <v>0</v>
      </c>
      <c r="AA84" s="80">
        <f>SUMIFS('октябрь 2024'!$G$5:$G$2162,'октябрь 2024'!$D$5:$D$2162,$B84,'октябрь 2024'!$J$5:$J$2162,AA$1)</f>
        <v>0</v>
      </c>
      <c r="AB84" s="80">
        <f>SUMIFS('октябрь 2024'!$G$5:$G$2162,'октябрь 2024'!$D$5:$D$2162,$B84,'октябрь 2024'!$J$5:$J$2162,AB$1)</f>
        <v>0</v>
      </c>
      <c r="AC84" s="80">
        <f>SUMIFS('октябрь 2024'!$G$5:$G$2162,'октябрь 2024'!$D$5:$D$2162,$B84,'октябрь 2024'!$J$5:$J$2162,AC$1)</f>
        <v>0</v>
      </c>
      <c r="AD84" s="80">
        <f>SUMIFS('октябрь 2024'!$G$5:$G$2162,'октябрь 2024'!$D$5:$D$2162,$B84,'октябрь 2024'!$J$5:$J$2162,AD$1)</f>
        <v>0</v>
      </c>
      <c r="AE84" s="80">
        <f>SUMIFS('октябрь 2024'!$G$5:$G$2162,'октябрь 2024'!$D$5:$D$2162,$B84,'октябрь 2024'!$J$5:$J$2162,AE$1)</f>
        <v>0</v>
      </c>
      <c r="AF84" s="80">
        <f>SUMIFS('октябрь 2024'!$G$5:$G$2162,'октябрь 2024'!$D$5:$D$2162,$B84,'октябрь 2024'!$J$5:$J$2162,AF$1)</f>
        <v>0</v>
      </c>
      <c r="AG84" s="80">
        <f>SUMIFS('октябрь 2024'!$G$5:$G$2162,'октябрь 2024'!$D$5:$D$2162,$B84,'октябрь 2024'!$J$5:$J$2162,AG$1)</f>
        <v>0</v>
      </c>
      <c r="AH84" s="80">
        <f>SUMIFS('октябрь 2024'!$G$5:$G$2162,'октябрь 2024'!$D$5:$D$2162,$B84,'октябрь 2024'!$J$5:$J$2162,AH$1)</f>
        <v>0</v>
      </c>
      <c r="AI84" s="21">
        <f t="shared" si="1"/>
        <v>0</v>
      </c>
    </row>
    <row r="85" spans="2:35" ht="15" customHeight="1" x14ac:dyDescent="0.25">
      <c r="B85" s="89" t="s">
        <v>196</v>
      </c>
      <c r="C85" s="88">
        <v>190</v>
      </c>
      <c r="D85" s="80">
        <f>SUMIFS('октябрь 2024'!$G$5:$G$2162,'октябрь 2024'!$D$5:$D$2162,$B85,'октябрь 2024'!$J$5:$J$2162,D$1)</f>
        <v>0</v>
      </c>
      <c r="E85" s="80">
        <f>SUMIFS('октябрь 2024'!$G$5:$G$2162,'октябрь 2024'!$D$5:$D$2162,$B85,'октябрь 2024'!$J$5:$J$2162,E$1)</f>
        <v>0</v>
      </c>
      <c r="F85" s="80">
        <f>SUMIFS('октябрь 2024'!$G$5:$G$2162,'октябрь 2024'!$D$5:$D$2162,$B85,'октябрь 2024'!$J$5:$J$2162,F$1)</f>
        <v>0</v>
      </c>
      <c r="G85" s="80">
        <f>SUMIFS('октябрь 2024'!$G$5:$G$2162,'октябрь 2024'!$D$5:$D$2162,$B85,'октябрь 2024'!$J$5:$J$2162,G$1)</f>
        <v>0</v>
      </c>
      <c r="H85" s="80">
        <f>SUMIFS('октябрь 2024'!$G$5:$G$2162,'октябрь 2024'!$D$5:$D$2162,$B85,'октябрь 2024'!$J$5:$J$2162,H$1)</f>
        <v>0</v>
      </c>
      <c r="I85" s="80">
        <f>SUMIFS('октябрь 2024'!$G$5:$G$2162,'октябрь 2024'!$D$5:$D$2162,$B85,'октябрь 2024'!$J$5:$J$2162,I$1)</f>
        <v>0</v>
      </c>
      <c r="J85" s="80">
        <f>SUMIFS('октябрь 2024'!$G$5:$G$2162,'октябрь 2024'!$D$5:$D$2162,$B85,'октябрь 2024'!$J$5:$J$2162,J$1)</f>
        <v>0</v>
      </c>
      <c r="K85" s="80">
        <f>SUMIFS('октябрь 2024'!$G$5:$G$2162,'октябрь 2024'!$D$5:$D$2162,$B85,'октябрь 2024'!$J$5:$J$2162,K$1)</f>
        <v>0</v>
      </c>
      <c r="L85" s="80">
        <f>SUMIFS('октябрь 2024'!$G$5:$G$2162,'октябрь 2024'!$D$5:$D$2162,$B85,'октябрь 2024'!$J$5:$J$2162,L$1)</f>
        <v>0</v>
      </c>
      <c r="M85" s="80">
        <f>SUMIFS('октябрь 2024'!$G$5:$G$2162,'октябрь 2024'!$D$5:$D$2162,$B85,'октябрь 2024'!$J$5:$J$2162,M$1)</f>
        <v>0</v>
      </c>
      <c r="N85" s="80">
        <f>SUMIFS('октябрь 2024'!$G$5:$G$2162,'октябрь 2024'!$D$5:$D$2162,$B85,'октябрь 2024'!$J$5:$J$2162,N$1)</f>
        <v>0</v>
      </c>
      <c r="O85" s="80">
        <f>SUMIFS('октябрь 2024'!$G$5:$G$2162,'октябрь 2024'!$D$5:$D$2162,$B85,'октябрь 2024'!$J$5:$J$2162,O$1)</f>
        <v>0</v>
      </c>
      <c r="P85" s="80">
        <f>SUMIFS('октябрь 2024'!$G$5:$G$2162,'октябрь 2024'!$D$5:$D$2162,$B85,'октябрь 2024'!$J$5:$J$2162,P$1)</f>
        <v>0</v>
      </c>
      <c r="Q85" s="80">
        <f>SUMIFS('октябрь 2024'!$G$5:$G$2162,'октябрь 2024'!$D$5:$D$2162,$B85,'октябрь 2024'!$J$5:$J$2162,Q$1)</f>
        <v>0</v>
      </c>
      <c r="R85" s="80">
        <f>SUMIFS('октябрь 2024'!$G$5:$G$2162,'октябрь 2024'!$D$5:$D$2162,$B85,'октябрь 2024'!$J$5:$J$2162,R$1)</f>
        <v>0</v>
      </c>
      <c r="S85" s="80">
        <f>SUMIFS('октябрь 2024'!$G$5:$G$2162,'октябрь 2024'!$D$5:$D$2162,$B85,'октябрь 2024'!$J$5:$J$2162,S$1)</f>
        <v>0</v>
      </c>
      <c r="T85" s="80">
        <f>SUMIFS('октябрь 2024'!$G$5:$G$2162,'октябрь 2024'!$D$5:$D$2162,$B85,'октябрь 2024'!$J$5:$J$2162,T$1)</f>
        <v>0</v>
      </c>
      <c r="U85" s="80">
        <f>SUMIFS('октябрь 2024'!$G$5:$G$2162,'октябрь 2024'!$D$5:$D$2162,$B85,'октябрь 2024'!$J$5:$J$2162,U$1)</f>
        <v>0</v>
      </c>
      <c r="V85" s="80">
        <f>SUMIFS('октябрь 2024'!$G$5:$G$2162,'октябрь 2024'!$D$5:$D$2162,$B85,'октябрь 2024'!$J$5:$J$2162,V$1)</f>
        <v>0</v>
      </c>
      <c r="W85" s="80">
        <f>SUMIFS('октябрь 2024'!$G$5:$G$2162,'октябрь 2024'!$D$5:$D$2162,$B85,'октябрь 2024'!$J$5:$J$2162,W$1)</f>
        <v>0</v>
      </c>
      <c r="X85" s="80">
        <f>SUMIFS('октябрь 2024'!$G$5:$G$2162,'октябрь 2024'!$D$5:$D$2162,$B85,'октябрь 2024'!$J$5:$J$2162,X$1)</f>
        <v>0</v>
      </c>
      <c r="Y85" s="80">
        <f>SUMIFS('октябрь 2024'!$G$5:$G$2162,'октябрь 2024'!$D$5:$D$2162,$B85,'октябрь 2024'!$J$5:$J$2162,Y$1)</f>
        <v>0</v>
      </c>
      <c r="Z85" s="80">
        <f>SUMIFS('октябрь 2024'!$G$5:$G$2162,'октябрь 2024'!$D$5:$D$2162,$B85,'октябрь 2024'!$J$5:$J$2162,Z$1)</f>
        <v>0</v>
      </c>
      <c r="AA85" s="80">
        <f>SUMIFS('октябрь 2024'!$G$5:$G$2162,'октябрь 2024'!$D$5:$D$2162,$B85,'октябрь 2024'!$J$5:$J$2162,AA$1)</f>
        <v>0</v>
      </c>
      <c r="AB85" s="80">
        <f>SUMIFS('октябрь 2024'!$G$5:$G$2162,'октябрь 2024'!$D$5:$D$2162,$B85,'октябрь 2024'!$J$5:$J$2162,AB$1)</f>
        <v>0</v>
      </c>
      <c r="AC85" s="80">
        <f>SUMIFS('октябрь 2024'!$G$5:$G$2162,'октябрь 2024'!$D$5:$D$2162,$B85,'октябрь 2024'!$J$5:$J$2162,AC$1)</f>
        <v>0</v>
      </c>
      <c r="AD85" s="80">
        <f>SUMIFS('октябрь 2024'!$G$5:$G$2162,'октябрь 2024'!$D$5:$D$2162,$B85,'октябрь 2024'!$J$5:$J$2162,AD$1)</f>
        <v>0</v>
      </c>
      <c r="AE85" s="80">
        <f>SUMIFS('октябрь 2024'!$G$5:$G$2162,'октябрь 2024'!$D$5:$D$2162,$B85,'октябрь 2024'!$J$5:$J$2162,AE$1)</f>
        <v>0</v>
      </c>
      <c r="AF85" s="80">
        <f>SUMIFS('октябрь 2024'!$G$5:$G$2162,'октябрь 2024'!$D$5:$D$2162,$B85,'октябрь 2024'!$J$5:$J$2162,AF$1)</f>
        <v>0</v>
      </c>
      <c r="AG85" s="80">
        <f>SUMIFS('октябрь 2024'!$G$5:$G$2162,'октябрь 2024'!$D$5:$D$2162,$B85,'октябрь 2024'!$J$5:$J$2162,AG$1)</f>
        <v>0</v>
      </c>
      <c r="AH85" s="80">
        <f>SUMIFS('октябрь 2024'!$G$5:$G$2162,'октябрь 2024'!$D$5:$D$2162,$B85,'октябрь 2024'!$J$5:$J$2162,AH$1)</f>
        <v>0</v>
      </c>
      <c r="AI85" s="21">
        <f t="shared" si="1"/>
        <v>0</v>
      </c>
    </row>
    <row r="86" spans="2:35" ht="15" customHeight="1" x14ac:dyDescent="0.25">
      <c r="B86" s="89" t="s">
        <v>217</v>
      </c>
      <c r="C86" s="88">
        <v>190</v>
      </c>
      <c r="D86" s="80">
        <f>SUMIFS('октябрь 2024'!$G$5:$G$2162,'октябрь 2024'!$D$5:$D$2162,$B86,'октябрь 2024'!$J$5:$J$2162,D$1)</f>
        <v>0</v>
      </c>
      <c r="E86" s="80">
        <f>SUMIFS('октябрь 2024'!$G$5:$G$2162,'октябрь 2024'!$D$5:$D$2162,$B86,'октябрь 2024'!$J$5:$J$2162,E$1)</f>
        <v>0</v>
      </c>
      <c r="F86" s="80">
        <f>SUMIFS('октябрь 2024'!$G$5:$G$2162,'октябрь 2024'!$D$5:$D$2162,$B86,'октябрь 2024'!$J$5:$J$2162,F$1)</f>
        <v>0</v>
      </c>
      <c r="G86" s="80">
        <f>SUMIFS('октябрь 2024'!$G$5:$G$2162,'октябрь 2024'!$D$5:$D$2162,$B86,'октябрь 2024'!$J$5:$J$2162,G$1)</f>
        <v>0</v>
      </c>
      <c r="H86" s="80">
        <f>SUMIFS('октябрь 2024'!$G$5:$G$2162,'октябрь 2024'!$D$5:$D$2162,$B86,'октябрь 2024'!$J$5:$J$2162,H$1)</f>
        <v>0</v>
      </c>
      <c r="I86" s="80">
        <f>SUMIFS('октябрь 2024'!$G$5:$G$2162,'октябрь 2024'!$D$5:$D$2162,$B86,'октябрь 2024'!$J$5:$J$2162,I$1)</f>
        <v>0</v>
      </c>
      <c r="J86" s="80">
        <f>SUMIFS('октябрь 2024'!$G$5:$G$2162,'октябрь 2024'!$D$5:$D$2162,$B86,'октябрь 2024'!$J$5:$J$2162,J$1)</f>
        <v>0</v>
      </c>
      <c r="K86" s="80">
        <f>SUMIFS('октябрь 2024'!$G$5:$G$2162,'октябрь 2024'!$D$5:$D$2162,$B86,'октябрь 2024'!$J$5:$J$2162,K$1)</f>
        <v>0</v>
      </c>
      <c r="L86" s="80">
        <f>SUMIFS('октябрь 2024'!$G$5:$G$2162,'октябрь 2024'!$D$5:$D$2162,$B86,'октябрь 2024'!$J$5:$J$2162,L$1)</f>
        <v>0</v>
      </c>
      <c r="M86" s="80">
        <f>SUMIFS('октябрь 2024'!$G$5:$G$2162,'октябрь 2024'!$D$5:$D$2162,$B86,'октябрь 2024'!$J$5:$J$2162,M$1)</f>
        <v>0</v>
      </c>
      <c r="N86" s="80">
        <f>SUMIFS('октябрь 2024'!$G$5:$G$2162,'октябрь 2024'!$D$5:$D$2162,$B86,'октябрь 2024'!$J$5:$J$2162,N$1)</f>
        <v>0</v>
      </c>
      <c r="O86" s="80">
        <f>SUMIFS('октябрь 2024'!$G$5:$G$2162,'октябрь 2024'!$D$5:$D$2162,$B86,'октябрь 2024'!$J$5:$J$2162,O$1)</f>
        <v>0</v>
      </c>
      <c r="P86" s="80">
        <f>SUMIFS('октябрь 2024'!$G$5:$G$2162,'октябрь 2024'!$D$5:$D$2162,$B86,'октябрь 2024'!$J$5:$J$2162,P$1)</f>
        <v>0</v>
      </c>
      <c r="Q86" s="80">
        <f>SUMIFS('октябрь 2024'!$G$5:$G$2162,'октябрь 2024'!$D$5:$D$2162,$B86,'октябрь 2024'!$J$5:$J$2162,Q$1)</f>
        <v>0</v>
      </c>
      <c r="R86" s="80">
        <f>SUMIFS('октябрь 2024'!$G$5:$G$2162,'октябрь 2024'!$D$5:$D$2162,$B86,'октябрь 2024'!$J$5:$J$2162,R$1)</f>
        <v>0</v>
      </c>
      <c r="S86" s="80">
        <f>SUMIFS('октябрь 2024'!$G$5:$G$2162,'октябрь 2024'!$D$5:$D$2162,$B86,'октябрь 2024'!$J$5:$J$2162,S$1)</f>
        <v>0</v>
      </c>
      <c r="T86" s="80">
        <f>SUMIFS('октябрь 2024'!$G$5:$G$2162,'октябрь 2024'!$D$5:$D$2162,$B86,'октябрь 2024'!$J$5:$J$2162,T$1)</f>
        <v>0</v>
      </c>
      <c r="U86" s="80">
        <f>SUMIFS('октябрь 2024'!$G$5:$G$2162,'октябрь 2024'!$D$5:$D$2162,$B86,'октябрь 2024'!$J$5:$J$2162,U$1)</f>
        <v>0</v>
      </c>
      <c r="V86" s="80">
        <f>SUMIFS('октябрь 2024'!$G$5:$G$2162,'октябрь 2024'!$D$5:$D$2162,$B86,'октябрь 2024'!$J$5:$J$2162,V$1)</f>
        <v>0</v>
      </c>
      <c r="W86" s="80">
        <f>SUMIFS('октябрь 2024'!$G$5:$G$2162,'октябрь 2024'!$D$5:$D$2162,$B86,'октябрь 2024'!$J$5:$J$2162,W$1)</f>
        <v>0</v>
      </c>
      <c r="X86" s="80">
        <f>SUMIFS('октябрь 2024'!$G$5:$G$2162,'октябрь 2024'!$D$5:$D$2162,$B86,'октябрь 2024'!$J$5:$J$2162,X$1)</f>
        <v>0</v>
      </c>
      <c r="Y86" s="80">
        <f>SUMIFS('октябрь 2024'!$G$5:$G$2162,'октябрь 2024'!$D$5:$D$2162,$B86,'октябрь 2024'!$J$5:$J$2162,Y$1)</f>
        <v>0</v>
      </c>
      <c r="Z86" s="80">
        <f>SUMIFS('октябрь 2024'!$G$5:$G$2162,'октябрь 2024'!$D$5:$D$2162,$B86,'октябрь 2024'!$J$5:$J$2162,Z$1)</f>
        <v>0</v>
      </c>
      <c r="AA86" s="80">
        <f>SUMIFS('октябрь 2024'!$G$5:$G$2162,'октябрь 2024'!$D$5:$D$2162,$B86,'октябрь 2024'!$J$5:$J$2162,AA$1)</f>
        <v>0</v>
      </c>
      <c r="AB86" s="80">
        <f>SUMIFS('октябрь 2024'!$G$5:$G$2162,'октябрь 2024'!$D$5:$D$2162,$B86,'октябрь 2024'!$J$5:$J$2162,AB$1)</f>
        <v>0</v>
      </c>
      <c r="AC86" s="80">
        <f>SUMIFS('октябрь 2024'!$G$5:$G$2162,'октябрь 2024'!$D$5:$D$2162,$B86,'октябрь 2024'!$J$5:$J$2162,AC$1)</f>
        <v>0</v>
      </c>
      <c r="AD86" s="80">
        <f>SUMIFS('октябрь 2024'!$G$5:$G$2162,'октябрь 2024'!$D$5:$D$2162,$B86,'октябрь 2024'!$J$5:$J$2162,AD$1)</f>
        <v>0</v>
      </c>
      <c r="AE86" s="80">
        <f>SUMIFS('октябрь 2024'!$G$5:$G$2162,'октябрь 2024'!$D$5:$D$2162,$B86,'октябрь 2024'!$J$5:$J$2162,AE$1)</f>
        <v>0</v>
      </c>
      <c r="AF86" s="80">
        <f>SUMIFS('октябрь 2024'!$G$5:$G$2162,'октябрь 2024'!$D$5:$D$2162,$B86,'октябрь 2024'!$J$5:$J$2162,AF$1)</f>
        <v>0</v>
      </c>
      <c r="AG86" s="80">
        <f>SUMIFS('октябрь 2024'!$G$5:$G$2162,'октябрь 2024'!$D$5:$D$2162,$B86,'октябрь 2024'!$J$5:$J$2162,AG$1)</f>
        <v>0</v>
      </c>
      <c r="AH86" s="80">
        <f>SUMIFS('октябрь 2024'!$G$5:$G$2162,'октябрь 2024'!$D$5:$D$2162,$B86,'октябрь 2024'!$J$5:$J$2162,AH$1)</f>
        <v>0</v>
      </c>
      <c r="AI86" s="21">
        <f t="shared" si="1"/>
        <v>0</v>
      </c>
    </row>
    <row r="87" spans="2:35" ht="15" customHeight="1" x14ac:dyDescent="0.25">
      <c r="B87" s="93" t="s">
        <v>179</v>
      </c>
      <c r="C87" s="88">
        <v>190</v>
      </c>
      <c r="D87" s="80">
        <f>SUMIFS('октябрь 2024'!$G$5:$G$2162,'октябрь 2024'!$D$5:$D$2162,$B87,'октябрь 2024'!$J$5:$J$2162,D$1)</f>
        <v>0</v>
      </c>
      <c r="E87" s="80">
        <f>SUMIFS('октябрь 2024'!$G$5:$G$2162,'октябрь 2024'!$D$5:$D$2162,$B87,'октябрь 2024'!$J$5:$J$2162,E$1)</f>
        <v>0</v>
      </c>
      <c r="F87" s="80">
        <f>SUMIFS('октябрь 2024'!$G$5:$G$2162,'октябрь 2024'!$D$5:$D$2162,$B87,'октябрь 2024'!$J$5:$J$2162,F$1)</f>
        <v>0</v>
      </c>
      <c r="G87" s="80">
        <f>SUMIFS('октябрь 2024'!$G$5:$G$2162,'октябрь 2024'!$D$5:$D$2162,$B87,'октябрь 2024'!$J$5:$J$2162,G$1)</f>
        <v>0</v>
      </c>
      <c r="H87" s="80">
        <f>SUMIFS('октябрь 2024'!$G$5:$G$2162,'октябрь 2024'!$D$5:$D$2162,$B87,'октябрь 2024'!$J$5:$J$2162,H$1)</f>
        <v>0</v>
      </c>
      <c r="I87" s="80">
        <f>SUMIFS('октябрь 2024'!$G$5:$G$2162,'октябрь 2024'!$D$5:$D$2162,$B87,'октябрь 2024'!$J$5:$J$2162,I$1)</f>
        <v>0</v>
      </c>
      <c r="J87" s="80">
        <f>SUMIFS('октябрь 2024'!$G$5:$G$2162,'октябрь 2024'!$D$5:$D$2162,$B87,'октябрь 2024'!$J$5:$J$2162,J$1)</f>
        <v>0</v>
      </c>
      <c r="K87" s="80">
        <f>SUMIFS('октябрь 2024'!$G$5:$G$2162,'октябрь 2024'!$D$5:$D$2162,$B87,'октябрь 2024'!$J$5:$J$2162,K$1)</f>
        <v>0</v>
      </c>
      <c r="L87" s="80">
        <f>SUMIFS('октябрь 2024'!$G$5:$G$2162,'октябрь 2024'!$D$5:$D$2162,$B87,'октябрь 2024'!$J$5:$J$2162,L$1)</f>
        <v>0</v>
      </c>
      <c r="M87" s="80">
        <f>SUMIFS('октябрь 2024'!$G$5:$G$2162,'октябрь 2024'!$D$5:$D$2162,$B87,'октябрь 2024'!$J$5:$J$2162,M$1)</f>
        <v>0</v>
      </c>
      <c r="N87" s="80">
        <f>SUMIFS('октябрь 2024'!$G$5:$G$2162,'октябрь 2024'!$D$5:$D$2162,$B87,'октябрь 2024'!$J$5:$J$2162,N$1)</f>
        <v>0</v>
      </c>
      <c r="O87" s="80">
        <f>SUMIFS('октябрь 2024'!$G$5:$G$2162,'октябрь 2024'!$D$5:$D$2162,$B87,'октябрь 2024'!$J$5:$J$2162,O$1)</f>
        <v>0</v>
      </c>
      <c r="P87" s="80">
        <f>SUMIFS('октябрь 2024'!$G$5:$G$2162,'октябрь 2024'!$D$5:$D$2162,$B87,'октябрь 2024'!$J$5:$J$2162,P$1)</f>
        <v>0</v>
      </c>
      <c r="Q87" s="80">
        <f>SUMIFS('октябрь 2024'!$G$5:$G$2162,'октябрь 2024'!$D$5:$D$2162,$B87,'октябрь 2024'!$J$5:$J$2162,Q$1)</f>
        <v>0</v>
      </c>
      <c r="R87" s="80">
        <f>SUMIFS('октябрь 2024'!$G$5:$G$2162,'октябрь 2024'!$D$5:$D$2162,$B87,'октябрь 2024'!$J$5:$J$2162,R$1)</f>
        <v>0</v>
      </c>
      <c r="S87" s="80">
        <f>SUMIFS('октябрь 2024'!$G$5:$G$2162,'октябрь 2024'!$D$5:$D$2162,$B87,'октябрь 2024'!$J$5:$J$2162,S$1)</f>
        <v>0</v>
      </c>
      <c r="T87" s="80">
        <f>SUMIFS('октябрь 2024'!$G$5:$G$2162,'октябрь 2024'!$D$5:$D$2162,$B87,'октябрь 2024'!$J$5:$J$2162,T$1)</f>
        <v>0</v>
      </c>
      <c r="U87" s="80">
        <f>SUMIFS('октябрь 2024'!$G$5:$G$2162,'октябрь 2024'!$D$5:$D$2162,$B87,'октябрь 2024'!$J$5:$J$2162,U$1)</f>
        <v>0</v>
      </c>
      <c r="V87" s="80">
        <f>SUMIFS('октябрь 2024'!$G$5:$G$2162,'октябрь 2024'!$D$5:$D$2162,$B87,'октябрь 2024'!$J$5:$J$2162,V$1)</f>
        <v>0</v>
      </c>
      <c r="W87" s="80">
        <f>SUMIFS('октябрь 2024'!$G$5:$G$2162,'октябрь 2024'!$D$5:$D$2162,$B87,'октябрь 2024'!$J$5:$J$2162,W$1)</f>
        <v>0</v>
      </c>
      <c r="X87" s="80">
        <f>SUMIFS('октябрь 2024'!$G$5:$G$2162,'октябрь 2024'!$D$5:$D$2162,$B87,'октябрь 2024'!$J$5:$J$2162,X$1)</f>
        <v>0</v>
      </c>
      <c r="Y87" s="80">
        <f>SUMIFS('октябрь 2024'!$G$5:$G$2162,'октябрь 2024'!$D$5:$D$2162,$B87,'октябрь 2024'!$J$5:$J$2162,Y$1)</f>
        <v>0</v>
      </c>
      <c r="Z87" s="80">
        <f>SUMIFS('октябрь 2024'!$G$5:$G$2162,'октябрь 2024'!$D$5:$D$2162,$B87,'октябрь 2024'!$J$5:$J$2162,Z$1)</f>
        <v>0</v>
      </c>
      <c r="AA87" s="80">
        <f>SUMIFS('октябрь 2024'!$G$5:$G$2162,'октябрь 2024'!$D$5:$D$2162,$B87,'октябрь 2024'!$J$5:$J$2162,AA$1)</f>
        <v>0</v>
      </c>
      <c r="AB87" s="80">
        <f>SUMIFS('октябрь 2024'!$G$5:$G$2162,'октябрь 2024'!$D$5:$D$2162,$B87,'октябрь 2024'!$J$5:$J$2162,AB$1)</f>
        <v>0</v>
      </c>
      <c r="AC87" s="80">
        <f>SUMIFS('октябрь 2024'!$G$5:$G$2162,'октябрь 2024'!$D$5:$D$2162,$B87,'октябрь 2024'!$J$5:$J$2162,AC$1)</f>
        <v>0</v>
      </c>
      <c r="AD87" s="80">
        <f>SUMIFS('октябрь 2024'!$G$5:$G$2162,'октябрь 2024'!$D$5:$D$2162,$B87,'октябрь 2024'!$J$5:$J$2162,AD$1)</f>
        <v>0</v>
      </c>
      <c r="AE87" s="80">
        <f>SUMIFS('октябрь 2024'!$G$5:$G$2162,'октябрь 2024'!$D$5:$D$2162,$B87,'октябрь 2024'!$J$5:$J$2162,AE$1)</f>
        <v>0</v>
      </c>
      <c r="AF87" s="80">
        <f>SUMIFS('октябрь 2024'!$G$5:$G$2162,'октябрь 2024'!$D$5:$D$2162,$B87,'октябрь 2024'!$J$5:$J$2162,AF$1)</f>
        <v>0</v>
      </c>
      <c r="AG87" s="80">
        <f>SUMIFS('октябрь 2024'!$G$5:$G$2162,'октябрь 2024'!$D$5:$D$2162,$B87,'октябрь 2024'!$J$5:$J$2162,AG$1)</f>
        <v>0</v>
      </c>
      <c r="AH87" s="80">
        <f>SUMIFS('октябрь 2024'!$G$5:$G$2162,'октябрь 2024'!$D$5:$D$2162,$B87,'октябрь 2024'!$J$5:$J$2162,AH$1)</f>
        <v>0</v>
      </c>
      <c r="AI87" s="21">
        <f t="shared" si="1"/>
        <v>0</v>
      </c>
    </row>
    <row r="88" spans="2:35" ht="15" customHeight="1" x14ac:dyDescent="0.25">
      <c r="B88" s="93" t="s">
        <v>192</v>
      </c>
      <c r="C88" s="91">
        <v>180</v>
      </c>
      <c r="D88" s="80">
        <f>SUMIFS('октябрь 2024'!$G$5:$G$2162,'октябрь 2024'!$D$5:$D$2162,$B88,'октябрь 2024'!$J$5:$J$2162,D$1)</f>
        <v>0</v>
      </c>
      <c r="E88" s="80">
        <f>SUMIFS('октябрь 2024'!$G$5:$G$2162,'октябрь 2024'!$D$5:$D$2162,$B88,'октябрь 2024'!$J$5:$J$2162,E$1)</f>
        <v>0</v>
      </c>
      <c r="F88" s="80">
        <f>SUMIFS('октябрь 2024'!$G$5:$G$2162,'октябрь 2024'!$D$5:$D$2162,$B88,'октябрь 2024'!$J$5:$J$2162,F$1)</f>
        <v>0</v>
      </c>
      <c r="G88" s="80">
        <f>SUMIFS('октябрь 2024'!$G$5:$G$2162,'октябрь 2024'!$D$5:$D$2162,$B88,'октябрь 2024'!$J$5:$J$2162,G$1)</f>
        <v>0</v>
      </c>
      <c r="H88" s="80">
        <f>SUMIFS('октябрь 2024'!$G$5:$G$2162,'октябрь 2024'!$D$5:$D$2162,$B88,'октябрь 2024'!$J$5:$J$2162,H$1)</f>
        <v>0</v>
      </c>
      <c r="I88" s="80">
        <f>SUMIFS('октябрь 2024'!$G$5:$G$2162,'октябрь 2024'!$D$5:$D$2162,$B88,'октябрь 2024'!$J$5:$J$2162,I$1)</f>
        <v>0</v>
      </c>
      <c r="J88" s="80">
        <f>SUMIFS('октябрь 2024'!$G$5:$G$2162,'октябрь 2024'!$D$5:$D$2162,$B88,'октябрь 2024'!$J$5:$J$2162,J$1)</f>
        <v>0</v>
      </c>
      <c r="K88" s="80">
        <f>SUMIFS('октябрь 2024'!$G$5:$G$2162,'октябрь 2024'!$D$5:$D$2162,$B88,'октябрь 2024'!$J$5:$J$2162,K$1)</f>
        <v>0</v>
      </c>
      <c r="L88" s="80">
        <f>SUMIFS('октябрь 2024'!$G$5:$G$2162,'октябрь 2024'!$D$5:$D$2162,$B88,'октябрь 2024'!$J$5:$J$2162,L$1)</f>
        <v>0</v>
      </c>
      <c r="M88" s="80">
        <f>SUMIFS('октябрь 2024'!$G$5:$G$2162,'октябрь 2024'!$D$5:$D$2162,$B88,'октябрь 2024'!$J$5:$J$2162,M$1)</f>
        <v>0</v>
      </c>
      <c r="N88" s="80">
        <f>SUMIFS('октябрь 2024'!$G$5:$G$2162,'октябрь 2024'!$D$5:$D$2162,$B88,'октябрь 2024'!$J$5:$J$2162,N$1)</f>
        <v>0</v>
      </c>
      <c r="O88" s="80">
        <f>SUMIFS('октябрь 2024'!$G$5:$G$2162,'октябрь 2024'!$D$5:$D$2162,$B88,'октябрь 2024'!$J$5:$J$2162,O$1)</f>
        <v>0</v>
      </c>
      <c r="P88" s="80">
        <f>SUMIFS('октябрь 2024'!$G$5:$G$2162,'октябрь 2024'!$D$5:$D$2162,$B88,'октябрь 2024'!$J$5:$J$2162,P$1)</f>
        <v>0</v>
      </c>
      <c r="Q88" s="80">
        <f>SUMIFS('октябрь 2024'!$G$5:$G$2162,'октябрь 2024'!$D$5:$D$2162,$B88,'октябрь 2024'!$J$5:$J$2162,Q$1)</f>
        <v>0</v>
      </c>
      <c r="R88" s="80">
        <f>SUMIFS('октябрь 2024'!$G$5:$G$2162,'октябрь 2024'!$D$5:$D$2162,$B88,'октябрь 2024'!$J$5:$J$2162,R$1)</f>
        <v>0</v>
      </c>
      <c r="S88" s="80">
        <f>SUMIFS('октябрь 2024'!$G$5:$G$2162,'октябрь 2024'!$D$5:$D$2162,$B88,'октябрь 2024'!$J$5:$J$2162,S$1)</f>
        <v>0</v>
      </c>
      <c r="T88" s="80">
        <f>SUMIFS('октябрь 2024'!$G$5:$G$2162,'октябрь 2024'!$D$5:$D$2162,$B88,'октябрь 2024'!$J$5:$J$2162,T$1)</f>
        <v>0</v>
      </c>
      <c r="U88" s="80">
        <f>SUMIFS('октябрь 2024'!$G$5:$G$2162,'октябрь 2024'!$D$5:$D$2162,$B88,'октябрь 2024'!$J$5:$J$2162,U$1)</f>
        <v>0</v>
      </c>
      <c r="V88" s="80">
        <f>SUMIFS('октябрь 2024'!$G$5:$G$2162,'октябрь 2024'!$D$5:$D$2162,$B88,'октябрь 2024'!$J$5:$J$2162,V$1)</f>
        <v>0</v>
      </c>
      <c r="W88" s="80">
        <f>SUMIFS('октябрь 2024'!$G$5:$G$2162,'октябрь 2024'!$D$5:$D$2162,$B88,'октябрь 2024'!$J$5:$J$2162,W$1)</f>
        <v>0</v>
      </c>
      <c r="X88" s="80">
        <f>SUMIFS('октябрь 2024'!$G$5:$G$2162,'октябрь 2024'!$D$5:$D$2162,$B88,'октябрь 2024'!$J$5:$J$2162,X$1)</f>
        <v>0</v>
      </c>
      <c r="Y88" s="80">
        <f>SUMIFS('октябрь 2024'!$G$5:$G$2162,'октябрь 2024'!$D$5:$D$2162,$B88,'октябрь 2024'!$J$5:$J$2162,Y$1)</f>
        <v>0</v>
      </c>
      <c r="Z88" s="80">
        <f>SUMIFS('октябрь 2024'!$G$5:$G$2162,'октябрь 2024'!$D$5:$D$2162,$B88,'октябрь 2024'!$J$5:$J$2162,Z$1)</f>
        <v>0</v>
      </c>
      <c r="AA88" s="80">
        <f>SUMIFS('октябрь 2024'!$G$5:$G$2162,'октябрь 2024'!$D$5:$D$2162,$B88,'октябрь 2024'!$J$5:$J$2162,AA$1)</f>
        <v>0</v>
      </c>
      <c r="AB88" s="80">
        <f>SUMIFS('октябрь 2024'!$G$5:$G$2162,'октябрь 2024'!$D$5:$D$2162,$B88,'октябрь 2024'!$J$5:$J$2162,AB$1)</f>
        <v>0</v>
      </c>
      <c r="AC88" s="80">
        <f>SUMIFS('октябрь 2024'!$G$5:$G$2162,'октябрь 2024'!$D$5:$D$2162,$B88,'октябрь 2024'!$J$5:$J$2162,AC$1)</f>
        <v>0</v>
      </c>
      <c r="AD88" s="80">
        <f>SUMIFS('октябрь 2024'!$G$5:$G$2162,'октябрь 2024'!$D$5:$D$2162,$B88,'октябрь 2024'!$J$5:$J$2162,AD$1)</f>
        <v>0</v>
      </c>
      <c r="AE88" s="80">
        <f>SUMIFS('октябрь 2024'!$G$5:$G$2162,'октябрь 2024'!$D$5:$D$2162,$B88,'октябрь 2024'!$J$5:$J$2162,AE$1)</f>
        <v>0</v>
      </c>
      <c r="AF88" s="80">
        <f>SUMIFS('октябрь 2024'!$G$5:$G$2162,'октябрь 2024'!$D$5:$D$2162,$B88,'октябрь 2024'!$J$5:$J$2162,AF$1)</f>
        <v>0</v>
      </c>
      <c r="AG88" s="80">
        <f>SUMIFS('октябрь 2024'!$G$5:$G$2162,'октябрь 2024'!$D$5:$D$2162,$B88,'октябрь 2024'!$J$5:$J$2162,AG$1)</f>
        <v>0</v>
      </c>
      <c r="AH88" s="80">
        <f>SUMIFS('октябрь 2024'!$G$5:$G$2162,'октябрь 2024'!$D$5:$D$2162,$B88,'октябрь 2024'!$J$5:$J$2162,AH$1)</f>
        <v>0</v>
      </c>
      <c r="AI88" s="21">
        <f t="shared" si="1"/>
        <v>0</v>
      </c>
    </row>
    <row r="89" spans="2:35" ht="15" customHeight="1" x14ac:dyDescent="0.25">
      <c r="B89" s="93" t="s">
        <v>887</v>
      </c>
      <c r="C89" s="91">
        <v>190</v>
      </c>
      <c r="D89" s="80">
        <f>SUMIFS('октябрь 2024'!$G$5:$G$2162,'октябрь 2024'!$D$5:$D$2162,$B89,'октябрь 2024'!$J$5:$J$2162,D$1)</f>
        <v>0</v>
      </c>
      <c r="E89" s="80">
        <f>SUMIFS('октябрь 2024'!$G$5:$G$2162,'октябрь 2024'!$D$5:$D$2162,$B89,'октябрь 2024'!$J$5:$J$2162,E$1)</f>
        <v>0</v>
      </c>
      <c r="F89" s="80">
        <f>SUMIFS('октябрь 2024'!$G$5:$G$2162,'октябрь 2024'!$D$5:$D$2162,$B89,'октябрь 2024'!$J$5:$J$2162,F$1)</f>
        <v>0</v>
      </c>
      <c r="G89" s="80">
        <f>SUMIFS('октябрь 2024'!$G$5:$G$2162,'октябрь 2024'!$D$5:$D$2162,$B89,'октябрь 2024'!$J$5:$J$2162,G$1)</f>
        <v>0</v>
      </c>
      <c r="H89" s="80">
        <f>SUMIFS('октябрь 2024'!$G$5:$G$2162,'октябрь 2024'!$D$5:$D$2162,$B89,'октябрь 2024'!$J$5:$J$2162,H$1)</f>
        <v>0</v>
      </c>
      <c r="I89" s="80">
        <f>SUMIFS('октябрь 2024'!$G$5:$G$2162,'октябрь 2024'!$D$5:$D$2162,$B89,'октябрь 2024'!$J$5:$J$2162,I$1)</f>
        <v>0</v>
      </c>
      <c r="J89" s="80">
        <f>SUMIFS('октябрь 2024'!$G$5:$G$2162,'октябрь 2024'!$D$5:$D$2162,$B89,'октябрь 2024'!$J$5:$J$2162,J$1)</f>
        <v>0</v>
      </c>
      <c r="K89" s="80">
        <f>SUMIFS('октябрь 2024'!$G$5:$G$2162,'октябрь 2024'!$D$5:$D$2162,$B89,'октябрь 2024'!$J$5:$J$2162,K$1)</f>
        <v>0</v>
      </c>
      <c r="L89" s="80">
        <f>SUMIFS('октябрь 2024'!$G$5:$G$2162,'октябрь 2024'!$D$5:$D$2162,$B89,'октябрь 2024'!$J$5:$J$2162,L$1)</f>
        <v>0</v>
      </c>
      <c r="M89" s="80">
        <f>SUMIFS('октябрь 2024'!$G$5:$G$2162,'октябрь 2024'!$D$5:$D$2162,$B89,'октябрь 2024'!$J$5:$J$2162,M$1)</f>
        <v>0</v>
      </c>
      <c r="N89" s="80">
        <f>SUMIFS('октябрь 2024'!$G$5:$G$2162,'октябрь 2024'!$D$5:$D$2162,$B89,'октябрь 2024'!$J$5:$J$2162,N$1)</f>
        <v>0</v>
      </c>
      <c r="O89" s="80">
        <f>SUMIFS('октябрь 2024'!$G$5:$G$2162,'октябрь 2024'!$D$5:$D$2162,$B89,'октябрь 2024'!$J$5:$J$2162,O$1)</f>
        <v>0</v>
      </c>
      <c r="P89" s="80">
        <f>SUMIFS('октябрь 2024'!$G$5:$G$2162,'октябрь 2024'!$D$5:$D$2162,$B89,'октябрь 2024'!$J$5:$J$2162,P$1)</f>
        <v>0</v>
      </c>
      <c r="Q89" s="80">
        <f>SUMIFS('октябрь 2024'!$G$5:$G$2162,'октябрь 2024'!$D$5:$D$2162,$B89,'октябрь 2024'!$J$5:$J$2162,Q$1)</f>
        <v>0</v>
      </c>
      <c r="R89" s="80">
        <f>SUMIFS('октябрь 2024'!$G$5:$G$2162,'октябрь 2024'!$D$5:$D$2162,$B89,'октябрь 2024'!$J$5:$J$2162,R$1)</f>
        <v>0</v>
      </c>
      <c r="S89" s="80">
        <f>SUMIFS('октябрь 2024'!$G$5:$G$2162,'октябрь 2024'!$D$5:$D$2162,$B89,'октябрь 2024'!$J$5:$J$2162,S$1)</f>
        <v>0</v>
      </c>
      <c r="T89" s="80">
        <f>SUMIFS('октябрь 2024'!$G$5:$G$2162,'октябрь 2024'!$D$5:$D$2162,$B89,'октябрь 2024'!$J$5:$J$2162,T$1)</f>
        <v>0</v>
      </c>
      <c r="U89" s="80">
        <f>SUMIFS('октябрь 2024'!$G$5:$G$2162,'октябрь 2024'!$D$5:$D$2162,$B89,'октябрь 2024'!$J$5:$J$2162,U$1)</f>
        <v>0</v>
      </c>
      <c r="V89" s="80">
        <f>SUMIFS('октябрь 2024'!$G$5:$G$2162,'октябрь 2024'!$D$5:$D$2162,$B89,'октябрь 2024'!$J$5:$J$2162,V$1)</f>
        <v>0</v>
      </c>
      <c r="W89" s="80">
        <f>SUMIFS('октябрь 2024'!$G$5:$G$2162,'октябрь 2024'!$D$5:$D$2162,$B89,'октябрь 2024'!$J$5:$J$2162,W$1)</f>
        <v>0</v>
      </c>
      <c r="X89" s="80">
        <f>SUMIFS('октябрь 2024'!$G$5:$G$2162,'октябрь 2024'!$D$5:$D$2162,$B89,'октябрь 2024'!$J$5:$J$2162,X$1)</f>
        <v>0</v>
      </c>
      <c r="Y89" s="80">
        <f>SUMIFS('октябрь 2024'!$G$5:$G$2162,'октябрь 2024'!$D$5:$D$2162,$B89,'октябрь 2024'!$J$5:$J$2162,Y$1)</f>
        <v>0</v>
      </c>
      <c r="Z89" s="80">
        <f>SUMIFS('октябрь 2024'!$G$5:$G$2162,'октябрь 2024'!$D$5:$D$2162,$B89,'октябрь 2024'!$J$5:$J$2162,Z$1)</f>
        <v>0</v>
      </c>
      <c r="AA89" s="80">
        <f>SUMIFS('октябрь 2024'!$G$5:$G$2162,'октябрь 2024'!$D$5:$D$2162,$B89,'октябрь 2024'!$J$5:$J$2162,AA$1)</f>
        <v>0</v>
      </c>
      <c r="AB89" s="80">
        <f>SUMIFS('октябрь 2024'!$G$5:$G$2162,'октябрь 2024'!$D$5:$D$2162,$B89,'октябрь 2024'!$J$5:$J$2162,AB$1)</f>
        <v>0</v>
      </c>
      <c r="AC89" s="80">
        <f>SUMIFS('октябрь 2024'!$G$5:$G$2162,'октябрь 2024'!$D$5:$D$2162,$B89,'октябрь 2024'!$J$5:$J$2162,AC$1)</f>
        <v>0</v>
      </c>
      <c r="AD89" s="80">
        <f>SUMIFS('октябрь 2024'!$G$5:$G$2162,'октябрь 2024'!$D$5:$D$2162,$B89,'октябрь 2024'!$J$5:$J$2162,AD$1)</f>
        <v>0</v>
      </c>
      <c r="AE89" s="80">
        <f>SUMIFS('октябрь 2024'!$G$5:$G$2162,'октябрь 2024'!$D$5:$D$2162,$B89,'октябрь 2024'!$J$5:$J$2162,AE$1)</f>
        <v>0</v>
      </c>
      <c r="AF89" s="80">
        <f>SUMIFS('октябрь 2024'!$G$5:$G$2162,'октябрь 2024'!$D$5:$D$2162,$B89,'октябрь 2024'!$J$5:$J$2162,AF$1)</f>
        <v>0</v>
      </c>
      <c r="AG89" s="80">
        <f>SUMIFS('октябрь 2024'!$G$5:$G$2162,'октябрь 2024'!$D$5:$D$2162,$B89,'октябрь 2024'!$J$5:$J$2162,AG$1)</f>
        <v>0</v>
      </c>
      <c r="AH89" s="80">
        <f>SUMIFS('октябрь 2024'!$G$5:$G$2162,'октябрь 2024'!$D$5:$D$2162,$B89,'октябрь 2024'!$J$5:$J$2162,AH$1)</f>
        <v>0</v>
      </c>
      <c r="AI89" s="21">
        <f t="shared" si="1"/>
        <v>0</v>
      </c>
    </row>
    <row r="90" spans="2:35" ht="15" customHeight="1" x14ac:dyDescent="0.25">
      <c r="B90" s="93" t="s">
        <v>1286</v>
      </c>
      <c r="C90" s="91">
        <v>190</v>
      </c>
      <c r="D90" s="80">
        <f>SUMIFS('октябрь 2024'!$G$5:$G$2162,'октябрь 2024'!$D$5:$D$2162,$B90,'октябрь 2024'!$J$5:$J$2162,D$1)</f>
        <v>0</v>
      </c>
      <c r="E90" s="80">
        <f>SUMIFS('октябрь 2024'!$G$5:$G$2162,'октябрь 2024'!$D$5:$D$2162,$B90,'октябрь 2024'!$J$5:$J$2162,E$1)</f>
        <v>0</v>
      </c>
      <c r="F90" s="80">
        <f>SUMIFS('октябрь 2024'!$G$5:$G$2162,'октябрь 2024'!$D$5:$D$2162,$B90,'октябрь 2024'!$J$5:$J$2162,F$1)</f>
        <v>0</v>
      </c>
      <c r="G90" s="80">
        <f>SUMIFS('октябрь 2024'!$G$5:$G$2162,'октябрь 2024'!$D$5:$D$2162,$B90,'октябрь 2024'!$J$5:$J$2162,G$1)</f>
        <v>0</v>
      </c>
      <c r="H90" s="80">
        <f>SUMIFS('октябрь 2024'!$G$5:$G$2162,'октябрь 2024'!$D$5:$D$2162,$B90,'октябрь 2024'!$J$5:$J$2162,H$1)</f>
        <v>0</v>
      </c>
      <c r="I90" s="80">
        <f>SUMIFS('октябрь 2024'!$G$5:$G$2162,'октябрь 2024'!$D$5:$D$2162,$B90,'октябрь 2024'!$J$5:$J$2162,I$1)</f>
        <v>0</v>
      </c>
      <c r="J90" s="80">
        <f>SUMIFS('октябрь 2024'!$G$5:$G$2162,'октябрь 2024'!$D$5:$D$2162,$B90,'октябрь 2024'!$J$5:$J$2162,J$1)</f>
        <v>0</v>
      </c>
      <c r="K90" s="80">
        <f>SUMIFS('октябрь 2024'!$G$5:$G$2162,'октябрь 2024'!$D$5:$D$2162,$B90,'октябрь 2024'!$J$5:$J$2162,K$1)</f>
        <v>0</v>
      </c>
      <c r="L90" s="80">
        <f>SUMIFS('октябрь 2024'!$G$5:$G$2162,'октябрь 2024'!$D$5:$D$2162,$B90,'октябрь 2024'!$J$5:$J$2162,L$1)</f>
        <v>0</v>
      </c>
      <c r="M90" s="80">
        <f>SUMIFS('октябрь 2024'!$G$5:$G$2162,'октябрь 2024'!$D$5:$D$2162,$B90,'октябрь 2024'!$J$5:$J$2162,M$1)</f>
        <v>0</v>
      </c>
      <c r="N90" s="80">
        <f>SUMIFS('октябрь 2024'!$G$5:$G$2162,'октябрь 2024'!$D$5:$D$2162,$B90,'октябрь 2024'!$J$5:$J$2162,N$1)</f>
        <v>0</v>
      </c>
      <c r="O90" s="80">
        <f>SUMIFS('октябрь 2024'!$G$5:$G$2162,'октябрь 2024'!$D$5:$D$2162,$B90,'октябрь 2024'!$J$5:$J$2162,O$1)</f>
        <v>0</v>
      </c>
      <c r="P90" s="80">
        <f>SUMIFS('октябрь 2024'!$G$5:$G$2162,'октябрь 2024'!$D$5:$D$2162,$B90,'октябрь 2024'!$J$5:$J$2162,P$1)</f>
        <v>0</v>
      </c>
      <c r="Q90" s="80">
        <f>SUMIFS('октябрь 2024'!$G$5:$G$2162,'октябрь 2024'!$D$5:$D$2162,$B90,'октябрь 2024'!$J$5:$J$2162,Q$1)</f>
        <v>0</v>
      </c>
      <c r="R90" s="80">
        <f>SUMIFS('октябрь 2024'!$G$5:$G$2162,'октябрь 2024'!$D$5:$D$2162,$B90,'октябрь 2024'!$J$5:$J$2162,R$1)</f>
        <v>0</v>
      </c>
      <c r="S90" s="80">
        <f>SUMIFS('октябрь 2024'!$G$5:$G$2162,'октябрь 2024'!$D$5:$D$2162,$B90,'октябрь 2024'!$J$5:$J$2162,S$1)</f>
        <v>0</v>
      </c>
      <c r="T90" s="80">
        <f>SUMIFS('октябрь 2024'!$G$5:$G$2162,'октябрь 2024'!$D$5:$D$2162,$B90,'октябрь 2024'!$J$5:$J$2162,T$1)</f>
        <v>0</v>
      </c>
      <c r="U90" s="80">
        <f>SUMIFS('октябрь 2024'!$G$5:$G$2162,'октябрь 2024'!$D$5:$D$2162,$B90,'октябрь 2024'!$J$5:$J$2162,U$1)</f>
        <v>0</v>
      </c>
      <c r="V90" s="80">
        <f>SUMIFS('октябрь 2024'!$G$5:$G$2162,'октябрь 2024'!$D$5:$D$2162,$B90,'октябрь 2024'!$J$5:$J$2162,V$1)</f>
        <v>0</v>
      </c>
      <c r="W90" s="80">
        <f>SUMIFS('октябрь 2024'!$G$5:$G$2162,'октябрь 2024'!$D$5:$D$2162,$B90,'октябрь 2024'!$J$5:$J$2162,W$1)</f>
        <v>0</v>
      </c>
      <c r="X90" s="80">
        <f>SUMIFS('октябрь 2024'!$G$5:$G$2162,'октябрь 2024'!$D$5:$D$2162,$B90,'октябрь 2024'!$J$5:$J$2162,X$1)</f>
        <v>0</v>
      </c>
      <c r="Y90" s="80">
        <f>SUMIFS('октябрь 2024'!$G$5:$G$2162,'октябрь 2024'!$D$5:$D$2162,$B90,'октябрь 2024'!$J$5:$J$2162,Y$1)</f>
        <v>0</v>
      </c>
      <c r="Z90" s="80">
        <f>SUMIFS('октябрь 2024'!$G$5:$G$2162,'октябрь 2024'!$D$5:$D$2162,$B90,'октябрь 2024'!$J$5:$J$2162,Z$1)</f>
        <v>0</v>
      </c>
      <c r="AA90" s="80">
        <f>SUMIFS('октябрь 2024'!$G$5:$G$2162,'октябрь 2024'!$D$5:$D$2162,$B90,'октябрь 2024'!$J$5:$J$2162,AA$1)</f>
        <v>0</v>
      </c>
      <c r="AB90" s="80">
        <f>SUMIFS('октябрь 2024'!$G$5:$G$2162,'октябрь 2024'!$D$5:$D$2162,$B90,'октябрь 2024'!$J$5:$J$2162,AB$1)</f>
        <v>0</v>
      </c>
      <c r="AC90" s="80">
        <f>SUMIFS('октябрь 2024'!$G$5:$G$2162,'октябрь 2024'!$D$5:$D$2162,$B90,'октябрь 2024'!$J$5:$J$2162,AC$1)</f>
        <v>0</v>
      </c>
      <c r="AD90" s="80">
        <f>SUMIFS('октябрь 2024'!$G$5:$G$2162,'октябрь 2024'!$D$5:$D$2162,$B90,'октябрь 2024'!$J$5:$J$2162,AD$1)</f>
        <v>0</v>
      </c>
      <c r="AE90" s="80">
        <f>SUMIFS('октябрь 2024'!$G$5:$G$2162,'октябрь 2024'!$D$5:$D$2162,$B90,'октябрь 2024'!$J$5:$J$2162,AE$1)</f>
        <v>0</v>
      </c>
      <c r="AF90" s="80">
        <f>SUMIFS('октябрь 2024'!$G$5:$G$2162,'октябрь 2024'!$D$5:$D$2162,$B90,'октябрь 2024'!$J$5:$J$2162,AF$1)</f>
        <v>0</v>
      </c>
      <c r="AG90" s="80">
        <f>SUMIFS('октябрь 2024'!$G$5:$G$2162,'октябрь 2024'!$D$5:$D$2162,$B90,'октябрь 2024'!$J$5:$J$2162,AG$1)</f>
        <v>0</v>
      </c>
      <c r="AH90" s="80">
        <f>SUMIFS('октябрь 2024'!$G$5:$G$2162,'октябрь 2024'!$D$5:$D$2162,$B90,'октябрь 2024'!$J$5:$J$2162,AH$1)</f>
        <v>0</v>
      </c>
      <c r="AI90" s="21">
        <f t="shared" si="1"/>
        <v>0</v>
      </c>
    </row>
    <row r="91" spans="2:35" ht="15" customHeight="1" x14ac:dyDescent="0.25">
      <c r="B91" s="93" t="s">
        <v>399</v>
      </c>
      <c r="C91" s="91">
        <v>190</v>
      </c>
      <c r="D91" s="80">
        <f>SUMIFS('октябрь 2024'!$G$5:$G$2162,'октябрь 2024'!$D$5:$D$2162,$B91,'октябрь 2024'!$J$5:$J$2162,D$1)</f>
        <v>0</v>
      </c>
      <c r="E91" s="80">
        <f>SUMIFS('октябрь 2024'!$G$5:$G$2162,'октябрь 2024'!$D$5:$D$2162,$B91,'октябрь 2024'!$J$5:$J$2162,E$1)</f>
        <v>0</v>
      </c>
      <c r="F91" s="80">
        <f>SUMIFS('октябрь 2024'!$G$5:$G$2162,'октябрь 2024'!$D$5:$D$2162,$B91,'октябрь 2024'!$J$5:$J$2162,F$1)</f>
        <v>0</v>
      </c>
      <c r="G91" s="80">
        <f>SUMIFS('октябрь 2024'!$G$5:$G$2162,'октябрь 2024'!$D$5:$D$2162,$B91,'октябрь 2024'!$J$5:$J$2162,G$1)</f>
        <v>0</v>
      </c>
      <c r="H91" s="80">
        <f>SUMIFS('октябрь 2024'!$G$5:$G$2162,'октябрь 2024'!$D$5:$D$2162,$B91,'октябрь 2024'!$J$5:$J$2162,H$1)</f>
        <v>0</v>
      </c>
      <c r="I91" s="80">
        <f>SUMIFS('октябрь 2024'!$G$5:$G$2162,'октябрь 2024'!$D$5:$D$2162,$B91,'октябрь 2024'!$J$5:$J$2162,I$1)</f>
        <v>0</v>
      </c>
      <c r="J91" s="80">
        <f>SUMIFS('октябрь 2024'!$G$5:$G$2162,'октябрь 2024'!$D$5:$D$2162,$B91,'октябрь 2024'!$J$5:$J$2162,J$1)</f>
        <v>0</v>
      </c>
      <c r="K91" s="80">
        <f>SUMIFS('октябрь 2024'!$G$5:$G$2162,'октябрь 2024'!$D$5:$D$2162,$B91,'октябрь 2024'!$J$5:$J$2162,K$1)</f>
        <v>0</v>
      </c>
      <c r="L91" s="80">
        <f>SUMIFS('октябрь 2024'!$G$5:$G$2162,'октябрь 2024'!$D$5:$D$2162,$B91,'октябрь 2024'!$J$5:$J$2162,L$1)</f>
        <v>0</v>
      </c>
      <c r="M91" s="80">
        <f>SUMIFS('октябрь 2024'!$G$5:$G$2162,'октябрь 2024'!$D$5:$D$2162,$B91,'октябрь 2024'!$J$5:$J$2162,M$1)</f>
        <v>0</v>
      </c>
      <c r="N91" s="80">
        <f>SUMIFS('октябрь 2024'!$G$5:$G$2162,'октябрь 2024'!$D$5:$D$2162,$B91,'октябрь 2024'!$J$5:$J$2162,N$1)</f>
        <v>0</v>
      </c>
      <c r="O91" s="80">
        <f>SUMIFS('октябрь 2024'!$G$5:$G$2162,'октябрь 2024'!$D$5:$D$2162,$B91,'октябрь 2024'!$J$5:$J$2162,O$1)</f>
        <v>0</v>
      </c>
      <c r="P91" s="80">
        <f>SUMIFS('октябрь 2024'!$G$5:$G$2162,'октябрь 2024'!$D$5:$D$2162,$B91,'октябрь 2024'!$J$5:$J$2162,P$1)</f>
        <v>0</v>
      </c>
      <c r="Q91" s="80">
        <f>SUMIFS('октябрь 2024'!$G$5:$G$2162,'октябрь 2024'!$D$5:$D$2162,$B91,'октябрь 2024'!$J$5:$J$2162,Q$1)</f>
        <v>0</v>
      </c>
      <c r="R91" s="80">
        <f>SUMIFS('октябрь 2024'!$G$5:$G$2162,'октябрь 2024'!$D$5:$D$2162,$B91,'октябрь 2024'!$J$5:$J$2162,R$1)</f>
        <v>0</v>
      </c>
      <c r="S91" s="80">
        <f>SUMIFS('октябрь 2024'!$G$5:$G$2162,'октябрь 2024'!$D$5:$D$2162,$B91,'октябрь 2024'!$J$5:$J$2162,S$1)</f>
        <v>0</v>
      </c>
      <c r="T91" s="80">
        <f>SUMIFS('октябрь 2024'!$G$5:$G$2162,'октябрь 2024'!$D$5:$D$2162,$B91,'октябрь 2024'!$J$5:$J$2162,T$1)</f>
        <v>0</v>
      </c>
      <c r="U91" s="80">
        <f>SUMIFS('октябрь 2024'!$G$5:$G$2162,'октябрь 2024'!$D$5:$D$2162,$B91,'октябрь 2024'!$J$5:$J$2162,U$1)</f>
        <v>0</v>
      </c>
      <c r="V91" s="80">
        <f>SUMIFS('октябрь 2024'!$G$5:$G$2162,'октябрь 2024'!$D$5:$D$2162,$B91,'октябрь 2024'!$J$5:$J$2162,V$1)</f>
        <v>0</v>
      </c>
      <c r="W91" s="80">
        <f>SUMIFS('октябрь 2024'!$G$5:$G$2162,'октябрь 2024'!$D$5:$D$2162,$B91,'октябрь 2024'!$J$5:$J$2162,W$1)</f>
        <v>0</v>
      </c>
      <c r="X91" s="80">
        <f>SUMIFS('октябрь 2024'!$G$5:$G$2162,'октябрь 2024'!$D$5:$D$2162,$B91,'октябрь 2024'!$J$5:$J$2162,X$1)</f>
        <v>0</v>
      </c>
      <c r="Y91" s="80">
        <f>SUMIFS('октябрь 2024'!$G$5:$G$2162,'октябрь 2024'!$D$5:$D$2162,$B91,'октябрь 2024'!$J$5:$J$2162,Y$1)</f>
        <v>0</v>
      </c>
      <c r="Z91" s="80">
        <f>SUMIFS('октябрь 2024'!$G$5:$G$2162,'октябрь 2024'!$D$5:$D$2162,$B91,'октябрь 2024'!$J$5:$J$2162,Z$1)</f>
        <v>0</v>
      </c>
      <c r="AA91" s="80">
        <f>SUMIFS('октябрь 2024'!$G$5:$G$2162,'октябрь 2024'!$D$5:$D$2162,$B91,'октябрь 2024'!$J$5:$J$2162,AA$1)</f>
        <v>0</v>
      </c>
      <c r="AB91" s="80">
        <f>SUMIFS('октябрь 2024'!$G$5:$G$2162,'октябрь 2024'!$D$5:$D$2162,$B91,'октябрь 2024'!$J$5:$J$2162,AB$1)</f>
        <v>0</v>
      </c>
      <c r="AC91" s="80">
        <f>SUMIFS('октябрь 2024'!$G$5:$G$2162,'октябрь 2024'!$D$5:$D$2162,$B91,'октябрь 2024'!$J$5:$J$2162,AC$1)</f>
        <v>0</v>
      </c>
      <c r="AD91" s="80">
        <f>SUMIFS('октябрь 2024'!$G$5:$G$2162,'октябрь 2024'!$D$5:$D$2162,$B91,'октябрь 2024'!$J$5:$J$2162,AD$1)</f>
        <v>0</v>
      </c>
      <c r="AE91" s="80">
        <f>SUMIFS('октябрь 2024'!$G$5:$G$2162,'октябрь 2024'!$D$5:$D$2162,$B91,'октябрь 2024'!$J$5:$J$2162,AE$1)</f>
        <v>0</v>
      </c>
      <c r="AF91" s="80">
        <f>SUMIFS('октябрь 2024'!$G$5:$G$2162,'октябрь 2024'!$D$5:$D$2162,$B91,'октябрь 2024'!$J$5:$J$2162,AF$1)</f>
        <v>0</v>
      </c>
      <c r="AG91" s="80">
        <f>SUMIFS('октябрь 2024'!$G$5:$G$2162,'октябрь 2024'!$D$5:$D$2162,$B91,'октябрь 2024'!$J$5:$J$2162,AG$1)</f>
        <v>0</v>
      </c>
      <c r="AH91" s="80">
        <f>SUMIFS('октябрь 2024'!$G$5:$G$2162,'октябрь 2024'!$D$5:$D$2162,$B91,'октябрь 2024'!$J$5:$J$2162,AH$1)</f>
        <v>0</v>
      </c>
      <c r="AI91" s="21">
        <f t="shared" si="1"/>
        <v>0</v>
      </c>
    </row>
    <row r="92" spans="2:35" ht="15" customHeight="1" x14ac:dyDescent="0.25">
      <c r="B92" s="93" t="s">
        <v>322</v>
      </c>
      <c r="C92" s="91">
        <v>180</v>
      </c>
      <c r="D92" s="80">
        <f>SUMIFS('октябрь 2024'!$G$5:$G$2162,'октябрь 2024'!$D$5:$D$2162,$B92,'октябрь 2024'!$J$5:$J$2162,D$1)</f>
        <v>0</v>
      </c>
      <c r="E92" s="80">
        <f>SUMIFS('октябрь 2024'!$G$5:$G$2162,'октябрь 2024'!$D$5:$D$2162,$B92,'октябрь 2024'!$J$5:$J$2162,E$1)</f>
        <v>0</v>
      </c>
      <c r="F92" s="80">
        <f>SUMIFS('октябрь 2024'!$G$5:$G$2162,'октябрь 2024'!$D$5:$D$2162,$B92,'октябрь 2024'!$J$5:$J$2162,F$1)</f>
        <v>0</v>
      </c>
      <c r="G92" s="80">
        <f>SUMIFS('октябрь 2024'!$G$5:$G$2162,'октябрь 2024'!$D$5:$D$2162,$B92,'октябрь 2024'!$J$5:$J$2162,G$1)</f>
        <v>0</v>
      </c>
      <c r="H92" s="80">
        <f>SUMIFS('октябрь 2024'!$G$5:$G$2162,'октябрь 2024'!$D$5:$D$2162,$B92,'октябрь 2024'!$J$5:$J$2162,H$1)</f>
        <v>0</v>
      </c>
      <c r="I92" s="80">
        <f>SUMIFS('октябрь 2024'!$G$5:$G$2162,'октябрь 2024'!$D$5:$D$2162,$B92,'октябрь 2024'!$J$5:$J$2162,I$1)</f>
        <v>0</v>
      </c>
      <c r="J92" s="80">
        <f>SUMIFS('октябрь 2024'!$G$5:$G$2162,'октябрь 2024'!$D$5:$D$2162,$B92,'октябрь 2024'!$J$5:$J$2162,J$1)</f>
        <v>0</v>
      </c>
      <c r="K92" s="80">
        <f>SUMIFS('октябрь 2024'!$G$5:$G$2162,'октябрь 2024'!$D$5:$D$2162,$B92,'октябрь 2024'!$J$5:$J$2162,K$1)</f>
        <v>0</v>
      </c>
      <c r="L92" s="80">
        <f>SUMIFS('октябрь 2024'!$G$5:$G$2162,'октябрь 2024'!$D$5:$D$2162,$B92,'октябрь 2024'!$J$5:$J$2162,L$1)</f>
        <v>0</v>
      </c>
      <c r="M92" s="80">
        <f>SUMIFS('октябрь 2024'!$G$5:$G$2162,'октябрь 2024'!$D$5:$D$2162,$B92,'октябрь 2024'!$J$5:$J$2162,M$1)</f>
        <v>0</v>
      </c>
      <c r="N92" s="80">
        <f>SUMIFS('октябрь 2024'!$G$5:$G$2162,'октябрь 2024'!$D$5:$D$2162,$B92,'октябрь 2024'!$J$5:$J$2162,N$1)</f>
        <v>0</v>
      </c>
      <c r="O92" s="80">
        <f>SUMIFS('октябрь 2024'!$G$5:$G$2162,'октябрь 2024'!$D$5:$D$2162,$B92,'октябрь 2024'!$J$5:$J$2162,O$1)</f>
        <v>0</v>
      </c>
      <c r="P92" s="80">
        <f>SUMIFS('октябрь 2024'!$G$5:$G$2162,'октябрь 2024'!$D$5:$D$2162,$B92,'октябрь 2024'!$J$5:$J$2162,P$1)</f>
        <v>0</v>
      </c>
      <c r="Q92" s="80">
        <f>SUMIFS('октябрь 2024'!$G$5:$G$2162,'октябрь 2024'!$D$5:$D$2162,$B92,'октябрь 2024'!$J$5:$J$2162,Q$1)</f>
        <v>0</v>
      </c>
      <c r="R92" s="80">
        <f>SUMIFS('октябрь 2024'!$G$5:$G$2162,'октябрь 2024'!$D$5:$D$2162,$B92,'октябрь 2024'!$J$5:$J$2162,R$1)</f>
        <v>0</v>
      </c>
      <c r="S92" s="80">
        <f>SUMIFS('октябрь 2024'!$G$5:$G$2162,'октябрь 2024'!$D$5:$D$2162,$B92,'октябрь 2024'!$J$5:$J$2162,S$1)</f>
        <v>0</v>
      </c>
      <c r="T92" s="80">
        <f>SUMIFS('октябрь 2024'!$G$5:$G$2162,'октябрь 2024'!$D$5:$D$2162,$B92,'октябрь 2024'!$J$5:$J$2162,T$1)</f>
        <v>0</v>
      </c>
      <c r="U92" s="80">
        <f>SUMIFS('октябрь 2024'!$G$5:$G$2162,'октябрь 2024'!$D$5:$D$2162,$B92,'октябрь 2024'!$J$5:$J$2162,U$1)</f>
        <v>0</v>
      </c>
      <c r="V92" s="80">
        <f>SUMIFS('октябрь 2024'!$G$5:$G$2162,'октябрь 2024'!$D$5:$D$2162,$B92,'октябрь 2024'!$J$5:$J$2162,V$1)</f>
        <v>0</v>
      </c>
      <c r="W92" s="80">
        <f>SUMIFS('октябрь 2024'!$G$5:$G$2162,'октябрь 2024'!$D$5:$D$2162,$B92,'октябрь 2024'!$J$5:$J$2162,W$1)</f>
        <v>0</v>
      </c>
      <c r="X92" s="80">
        <f>SUMIFS('октябрь 2024'!$G$5:$G$2162,'октябрь 2024'!$D$5:$D$2162,$B92,'октябрь 2024'!$J$5:$J$2162,X$1)</f>
        <v>0</v>
      </c>
      <c r="Y92" s="80">
        <f>SUMIFS('октябрь 2024'!$G$5:$G$2162,'октябрь 2024'!$D$5:$D$2162,$B92,'октябрь 2024'!$J$5:$J$2162,Y$1)</f>
        <v>0</v>
      </c>
      <c r="Z92" s="80">
        <f>SUMIFS('октябрь 2024'!$G$5:$G$2162,'октябрь 2024'!$D$5:$D$2162,$B92,'октябрь 2024'!$J$5:$J$2162,Z$1)</f>
        <v>0</v>
      </c>
      <c r="AA92" s="80">
        <f>SUMIFS('октябрь 2024'!$G$5:$G$2162,'октябрь 2024'!$D$5:$D$2162,$B92,'октябрь 2024'!$J$5:$J$2162,AA$1)</f>
        <v>0</v>
      </c>
      <c r="AB92" s="80">
        <f>SUMIFS('октябрь 2024'!$G$5:$G$2162,'октябрь 2024'!$D$5:$D$2162,$B92,'октябрь 2024'!$J$5:$J$2162,AB$1)</f>
        <v>0</v>
      </c>
      <c r="AC92" s="80">
        <f>SUMIFS('октябрь 2024'!$G$5:$G$2162,'октябрь 2024'!$D$5:$D$2162,$B92,'октябрь 2024'!$J$5:$J$2162,AC$1)</f>
        <v>0</v>
      </c>
      <c r="AD92" s="80">
        <f>SUMIFS('октябрь 2024'!$G$5:$G$2162,'октябрь 2024'!$D$5:$D$2162,$B92,'октябрь 2024'!$J$5:$J$2162,AD$1)</f>
        <v>0</v>
      </c>
      <c r="AE92" s="80">
        <f>SUMIFS('октябрь 2024'!$G$5:$G$2162,'октябрь 2024'!$D$5:$D$2162,$B92,'октябрь 2024'!$J$5:$J$2162,AE$1)</f>
        <v>0</v>
      </c>
      <c r="AF92" s="80">
        <f>SUMIFS('октябрь 2024'!$G$5:$G$2162,'октябрь 2024'!$D$5:$D$2162,$B92,'октябрь 2024'!$J$5:$J$2162,AF$1)</f>
        <v>0</v>
      </c>
      <c r="AG92" s="80">
        <f>SUMIFS('октябрь 2024'!$G$5:$G$2162,'октябрь 2024'!$D$5:$D$2162,$B92,'октябрь 2024'!$J$5:$J$2162,AG$1)</f>
        <v>0</v>
      </c>
      <c r="AH92" s="80">
        <f>SUMIFS('октябрь 2024'!$G$5:$G$2162,'октябрь 2024'!$D$5:$D$2162,$B92,'октябрь 2024'!$J$5:$J$2162,AH$1)</f>
        <v>0</v>
      </c>
      <c r="AI92" s="21">
        <f t="shared" si="1"/>
        <v>0</v>
      </c>
    </row>
    <row r="93" spans="2:35" ht="15" customHeight="1" x14ac:dyDescent="0.25">
      <c r="B93" s="93" t="s">
        <v>323</v>
      </c>
      <c r="C93" s="91">
        <v>180</v>
      </c>
      <c r="D93" s="80">
        <f>SUMIFS('октябрь 2024'!$G$5:$G$2162,'октябрь 2024'!$D$5:$D$2162,$B93,'октябрь 2024'!$J$5:$J$2162,D$1)</f>
        <v>0</v>
      </c>
      <c r="E93" s="80">
        <f>SUMIFS('октябрь 2024'!$G$5:$G$2162,'октябрь 2024'!$D$5:$D$2162,$B93,'октябрь 2024'!$J$5:$J$2162,E$1)</f>
        <v>0</v>
      </c>
      <c r="F93" s="80">
        <f>SUMIFS('октябрь 2024'!$G$5:$G$2162,'октябрь 2024'!$D$5:$D$2162,$B93,'октябрь 2024'!$J$5:$J$2162,F$1)</f>
        <v>0</v>
      </c>
      <c r="G93" s="80">
        <f>SUMIFS('октябрь 2024'!$G$5:$G$2162,'октябрь 2024'!$D$5:$D$2162,$B93,'октябрь 2024'!$J$5:$J$2162,G$1)</f>
        <v>0</v>
      </c>
      <c r="H93" s="80">
        <f>SUMIFS('октябрь 2024'!$G$5:$G$2162,'октябрь 2024'!$D$5:$D$2162,$B93,'октябрь 2024'!$J$5:$J$2162,H$1)</f>
        <v>0</v>
      </c>
      <c r="I93" s="80">
        <f>SUMIFS('октябрь 2024'!$G$5:$G$2162,'октябрь 2024'!$D$5:$D$2162,$B93,'октябрь 2024'!$J$5:$J$2162,I$1)</f>
        <v>0</v>
      </c>
      <c r="J93" s="80">
        <f>SUMIFS('октябрь 2024'!$G$5:$G$2162,'октябрь 2024'!$D$5:$D$2162,$B93,'октябрь 2024'!$J$5:$J$2162,J$1)</f>
        <v>0</v>
      </c>
      <c r="K93" s="80">
        <f>SUMIFS('октябрь 2024'!$G$5:$G$2162,'октябрь 2024'!$D$5:$D$2162,$B93,'октябрь 2024'!$J$5:$J$2162,K$1)</f>
        <v>0</v>
      </c>
      <c r="L93" s="80">
        <f>SUMIFS('октябрь 2024'!$G$5:$G$2162,'октябрь 2024'!$D$5:$D$2162,$B93,'октябрь 2024'!$J$5:$J$2162,L$1)</f>
        <v>0</v>
      </c>
      <c r="M93" s="80">
        <f>SUMIFS('октябрь 2024'!$G$5:$G$2162,'октябрь 2024'!$D$5:$D$2162,$B93,'октябрь 2024'!$J$5:$J$2162,M$1)</f>
        <v>0</v>
      </c>
      <c r="N93" s="80">
        <f>SUMIFS('октябрь 2024'!$G$5:$G$2162,'октябрь 2024'!$D$5:$D$2162,$B93,'октябрь 2024'!$J$5:$J$2162,N$1)</f>
        <v>0</v>
      </c>
      <c r="O93" s="80">
        <f>SUMIFS('октябрь 2024'!$G$5:$G$2162,'октябрь 2024'!$D$5:$D$2162,$B93,'октябрь 2024'!$J$5:$J$2162,O$1)</f>
        <v>0</v>
      </c>
      <c r="P93" s="80">
        <f>SUMIFS('октябрь 2024'!$G$5:$G$2162,'октябрь 2024'!$D$5:$D$2162,$B93,'октябрь 2024'!$J$5:$J$2162,P$1)</f>
        <v>0</v>
      </c>
      <c r="Q93" s="80">
        <f>SUMIFS('октябрь 2024'!$G$5:$G$2162,'октябрь 2024'!$D$5:$D$2162,$B93,'октябрь 2024'!$J$5:$J$2162,Q$1)</f>
        <v>0</v>
      </c>
      <c r="R93" s="80">
        <f>SUMIFS('октябрь 2024'!$G$5:$G$2162,'октябрь 2024'!$D$5:$D$2162,$B93,'октябрь 2024'!$J$5:$J$2162,R$1)</f>
        <v>0</v>
      </c>
      <c r="S93" s="80">
        <f>SUMIFS('октябрь 2024'!$G$5:$G$2162,'октябрь 2024'!$D$5:$D$2162,$B93,'октябрь 2024'!$J$5:$J$2162,S$1)</f>
        <v>0</v>
      </c>
      <c r="T93" s="80">
        <f>SUMIFS('октябрь 2024'!$G$5:$G$2162,'октябрь 2024'!$D$5:$D$2162,$B93,'октябрь 2024'!$J$5:$J$2162,T$1)</f>
        <v>0</v>
      </c>
      <c r="U93" s="80">
        <f>SUMIFS('октябрь 2024'!$G$5:$G$2162,'октябрь 2024'!$D$5:$D$2162,$B93,'октябрь 2024'!$J$5:$J$2162,U$1)</f>
        <v>0</v>
      </c>
      <c r="V93" s="80">
        <f>SUMIFS('октябрь 2024'!$G$5:$G$2162,'октябрь 2024'!$D$5:$D$2162,$B93,'октябрь 2024'!$J$5:$J$2162,V$1)</f>
        <v>0</v>
      </c>
      <c r="W93" s="80">
        <f>SUMIFS('октябрь 2024'!$G$5:$G$2162,'октябрь 2024'!$D$5:$D$2162,$B93,'октябрь 2024'!$J$5:$J$2162,W$1)</f>
        <v>0</v>
      </c>
      <c r="X93" s="80">
        <f>SUMIFS('октябрь 2024'!$G$5:$G$2162,'октябрь 2024'!$D$5:$D$2162,$B93,'октябрь 2024'!$J$5:$J$2162,X$1)</f>
        <v>0</v>
      </c>
      <c r="Y93" s="80">
        <f>SUMIFS('октябрь 2024'!$G$5:$G$2162,'октябрь 2024'!$D$5:$D$2162,$B93,'октябрь 2024'!$J$5:$J$2162,Y$1)</f>
        <v>0</v>
      </c>
      <c r="Z93" s="80">
        <f>SUMIFS('октябрь 2024'!$G$5:$G$2162,'октябрь 2024'!$D$5:$D$2162,$B93,'октябрь 2024'!$J$5:$J$2162,Z$1)</f>
        <v>0</v>
      </c>
      <c r="AA93" s="80">
        <f>SUMIFS('октябрь 2024'!$G$5:$G$2162,'октябрь 2024'!$D$5:$D$2162,$B93,'октябрь 2024'!$J$5:$J$2162,AA$1)</f>
        <v>0</v>
      </c>
      <c r="AB93" s="80">
        <f>SUMIFS('октябрь 2024'!$G$5:$G$2162,'октябрь 2024'!$D$5:$D$2162,$B93,'октябрь 2024'!$J$5:$J$2162,AB$1)</f>
        <v>0</v>
      </c>
      <c r="AC93" s="80">
        <f>SUMIFS('октябрь 2024'!$G$5:$G$2162,'октябрь 2024'!$D$5:$D$2162,$B93,'октябрь 2024'!$J$5:$J$2162,AC$1)</f>
        <v>0</v>
      </c>
      <c r="AD93" s="80">
        <f>SUMIFS('октябрь 2024'!$G$5:$G$2162,'октябрь 2024'!$D$5:$D$2162,$B93,'октябрь 2024'!$J$5:$J$2162,AD$1)</f>
        <v>0</v>
      </c>
      <c r="AE93" s="80">
        <f>SUMIFS('октябрь 2024'!$G$5:$G$2162,'октябрь 2024'!$D$5:$D$2162,$B93,'октябрь 2024'!$J$5:$J$2162,AE$1)</f>
        <v>0</v>
      </c>
      <c r="AF93" s="80">
        <f>SUMIFS('октябрь 2024'!$G$5:$G$2162,'октябрь 2024'!$D$5:$D$2162,$B93,'октябрь 2024'!$J$5:$J$2162,AF$1)</f>
        <v>0</v>
      </c>
      <c r="AG93" s="80">
        <f>SUMIFS('октябрь 2024'!$G$5:$G$2162,'октябрь 2024'!$D$5:$D$2162,$B93,'октябрь 2024'!$J$5:$J$2162,AG$1)</f>
        <v>0</v>
      </c>
      <c r="AH93" s="80">
        <f>SUMIFS('октябрь 2024'!$G$5:$G$2162,'октябрь 2024'!$D$5:$D$2162,$B93,'октябрь 2024'!$J$5:$J$2162,AH$1)</f>
        <v>0</v>
      </c>
      <c r="AI93" s="21">
        <f t="shared" si="1"/>
        <v>0</v>
      </c>
    </row>
    <row r="94" spans="2:35" ht="15" customHeight="1" x14ac:dyDescent="0.25">
      <c r="B94" s="93" t="s">
        <v>513</v>
      </c>
      <c r="C94" s="91">
        <v>20</v>
      </c>
      <c r="D94" s="80">
        <f>SUMIFS('октябрь 2024'!$G$5:$G$2162,'октябрь 2024'!$D$5:$D$2162,$B94,'октябрь 2024'!$J$5:$J$2162,D$1)</f>
        <v>0</v>
      </c>
      <c r="E94" s="80">
        <f>SUMIFS('октябрь 2024'!$G$5:$G$2162,'октябрь 2024'!$D$5:$D$2162,$B94,'октябрь 2024'!$J$5:$J$2162,E$1)</f>
        <v>0</v>
      </c>
      <c r="F94" s="80">
        <f>SUMIFS('октябрь 2024'!$G$5:$G$2162,'октябрь 2024'!$D$5:$D$2162,$B94,'октябрь 2024'!$J$5:$J$2162,F$1)</f>
        <v>0</v>
      </c>
      <c r="G94" s="80">
        <f>SUMIFS('октябрь 2024'!$G$5:$G$2162,'октябрь 2024'!$D$5:$D$2162,$B94,'октябрь 2024'!$J$5:$J$2162,G$1)</f>
        <v>0</v>
      </c>
      <c r="H94" s="80">
        <f>SUMIFS('октябрь 2024'!$G$5:$G$2162,'октябрь 2024'!$D$5:$D$2162,$B94,'октябрь 2024'!$J$5:$J$2162,H$1)</f>
        <v>0</v>
      </c>
      <c r="I94" s="80">
        <f>SUMIFS('октябрь 2024'!$G$5:$G$2162,'октябрь 2024'!$D$5:$D$2162,$B94,'октябрь 2024'!$J$5:$J$2162,I$1)</f>
        <v>0</v>
      </c>
      <c r="J94" s="80">
        <f>SUMIFS('октябрь 2024'!$G$5:$G$2162,'октябрь 2024'!$D$5:$D$2162,$B94,'октябрь 2024'!$J$5:$J$2162,J$1)</f>
        <v>0</v>
      </c>
      <c r="K94" s="80">
        <f>SUMIFS('октябрь 2024'!$G$5:$G$2162,'октябрь 2024'!$D$5:$D$2162,$B94,'октябрь 2024'!$J$5:$J$2162,K$1)</f>
        <v>0</v>
      </c>
      <c r="L94" s="80">
        <f>SUMIFS('октябрь 2024'!$G$5:$G$2162,'октябрь 2024'!$D$5:$D$2162,$B94,'октябрь 2024'!$J$5:$J$2162,L$1)</f>
        <v>0</v>
      </c>
      <c r="M94" s="80">
        <f>SUMIFS('октябрь 2024'!$G$5:$G$2162,'октябрь 2024'!$D$5:$D$2162,$B94,'октябрь 2024'!$J$5:$J$2162,M$1)</f>
        <v>0</v>
      </c>
      <c r="N94" s="80">
        <f>SUMIFS('октябрь 2024'!$G$5:$G$2162,'октябрь 2024'!$D$5:$D$2162,$B94,'октябрь 2024'!$J$5:$J$2162,N$1)</f>
        <v>0</v>
      </c>
      <c r="O94" s="80">
        <f>SUMIFS('октябрь 2024'!$G$5:$G$2162,'октябрь 2024'!$D$5:$D$2162,$B94,'октябрь 2024'!$J$5:$J$2162,O$1)</f>
        <v>0</v>
      </c>
      <c r="P94" s="80">
        <f>SUMIFS('октябрь 2024'!$G$5:$G$2162,'октябрь 2024'!$D$5:$D$2162,$B94,'октябрь 2024'!$J$5:$J$2162,P$1)</f>
        <v>0</v>
      </c>
      <c r="Q94" s="80">
        <f>SUMIFS('октябрь 2024'!$G$5:$G$2162,'октябрь 2024'!$D$5:$D$2162,$B94,'октябрь 2024'!$J$5:$J$2162,Q$1)</f>
        <v>0</v>
      </c>
      <c r="R94" s="80">
        <f>SUMIFS('октябрь 2024'!$G$5:$G$2162,'октябрь 2024'!$D$5:$D$2162,$B94,'октябрь 2024'!$J$5:$J$2162,R$1)</f>
        <v>0</v>
      </c>
      <c r="S94" s="80">
        <f>SUMIFS('октябрь 2024'!$G$5:$G$2162,'октябрь 2024'!$D$5:$D$2162,$B94,'октябрь 2024'!$J$5:$J$2162,S$1)</f>
        <v>0</v>
      </c>
      <c r="T94" s="80">
        <f>SUMIFS('октябрь 2024'!$G$5:$G$2162,'октябрь 2024'!$D$5:$D$2162,$B94,'октябрь 2024'!$J$5:$J$2162,T$1)</f>
        <v>0</v>
      </c>
      <c r="U94" s="80">
        <f>SUMIFS('октябрь 2024'!$G$5:$G$2162,'октябрь 2024'!$D$5:$D$2162,$B94,'октябрь 2024'!$J$5:$J$2162,U$1)</f>
        <v>0</v>
      </c>
      <c r="V94" s="80">
        <f>SUMIFS('октябрь 2024'!$G$5:$G$2162,'октябрь 2024'!$D$5:$D$2162,$B94,'октябрь 2024'!$J$5:$J$2162,V$1)</f>
        <v>0</v>
      </c>
      <c r="W94" s="80">
        <f>SUMIFS('октябрь 2024'!$G$5:$G$2162,'октябрь 2024'!$D$5:$D$2162,$B94,'октябрь 2024'!$J$5:$J$2162,W$1)</f>
        <v>0</v>
      </c>
      <c r="X94" s="80">
        <f>SUMIFS('октябрь 2024'!$G$5:$G$2162,'октябрь 2024'!$D$5:$D$2162,$B94,'октябрь 2024'!$J$5:$J$2162,X$1)</f>
        <v>0</v>
      </c>
      <c r="Y94" s="80">
        <f>SUMIFS('октябрь 2024'!$G$5:$G$2162,'октябрь 2024'!$D$5:$D$2162,$B94,'октябрь 2024'!$J$5:$J$2162,Y$1)</f>
        <v>0</v>
      </c>
      <c r="Z94" s="80">
        <f>SUMIFS('октябрь 2024'!$G$5:$G$2162,'октябрь 2024'!$D$5:$D$2162,$B94,'октябрь 2024'!$J$5:$J$2162,Z$1)</f>
        <v>0</v>
      </c>
      <c r="AA94" s="80">
        <f>SUMIFS('октябрь 2024'!$G$5:$G$2162,'октябрь 2024'!$D$5:$D$2162,$B94,'октябрь 2024'!$J$5:$J$2162,AA$1)</f>
        <v>0</v>
      </c>
      <c r="AB94" s="80">
        <f>SUMIFS('октябрь 2024'!$G$5:$G$2162,'октябрь 2024'!$D$5:$D$2162,$B94,'октябрь 2024'!$J$5:$J$2162,AB$1)</f>
        <v>0</v>
      </c>
      <c r="AC94" s="80">
        <f>SUMIFS('октябрь 2024'!$G$5:$G$2162,'октябрь 2024'!$D$5:$D$2162,$B94,'октябрь 2024'!$J$5:$J$2162,AC$1)</f>
        <v>0</v>
      </c>
      <c r="AD94" s="80">
        <f>SUMIFS('октябрь 2024'!$G$5:$G$2162,'октябрь 2024'!$D$5:$D$2162,$B94,'октябрь 2024'!$J$5:$J$2162,AD$1)</f>
        <v>0</v>
      </c>
      <c r="AE94" s="80">
        <f>SUMIFS('октябрь 2024'!$G$5:$G$2162,'октябрь 2024'!$D$5:$D$2162,$B94,'октябрь 2024'!$J$5:$J$2162,AE$1)</f>
        <v>0</v>
      </c>
      <c r="AF94" s="80">
        <f>SUMIFS('октябрь 2024'!$G$5:$G$2162,'октябрь 2024'!$D$5:$D$2162,$B94,'октябрь 2024'!$J$5:$J$2162,AF$1)</f>
        <v>0</v>
      </c>
      <c r="AG94" s="80">
        <f>SUMIFS('октябрь 2024'!$G$5:$G$2162,'октябрь 2024'!$D$5:$D$2162,$B94,'октябрь 2024'!$J$5:$J$2162,AG$1)</f>
        <v>0</v>
      </c>
      <c r="AH94" s="80">
        <f>SUMIFS('октябрь 2024'!$G$5:$G$2162,'октябрь 2024'!$D$5:$D$2162,$B94,'октябрь 2024'!$J$5:$J$2162,AH$1)</f>
        <v>0</v>
      </c>
      <c r="AI94" s="21">
        <f t="shared" si="1"/>
        <v>0</v>
      </c>
    </row>
    <row r="95" spans="2:35" ht="15" customHeight="1" x14ac:dyDescent="0.25">
      <c r="B95" s="93" t="s">
        <v>1489</v>
      </c>
      <c r="C95" s="91">
        <v>25</v>
      </c>
      <c r="D95" s="80">
        <f>SUMIFS('октябрь 2024'!$G$5:$G$2162,'октябрь 2024'!$D$5:$D$2162,$B95,'октябрь 2024'!$J$5:$J$2162,D$1)</f>
        <v>0</v>
      </c>
      <c r="E95" s="80">
        <f>SUMIFS('октябрь 2024'!$G$5:$G$2162,'октябрь 2024'!$D$5:$D$2162,$B95,'октябрь 2024'!$J$5:$J$2162,E$1)</f>
        <v>0</v>
      </c>
      <c r="F95" s="80">
        <f>SUMIFS('октябрь 2024'!$G$5:$G$2162,'октябрь 2024'!$D$5:$D$2162,$B95,'октябрь 2024'!$J$5:$J$2162,F$1)</f>
        <v>0</v>
      </c>
      <c r="G95" s="80">
        <f>SUMIFS('октябрь 2024'!$G$5:$G$2162,'октябрь 2024'!$D$5:$D$2162,$B95,'октябрь 2024'!$J$5:$J$2162,G$1)</f>
        <v>0</v>
      </c>
      <c r="H95" s="80">
        <f>SUMIFS('октябрь 2024'!$G$5:$G$2162,'октябрь 2024'!$D$5:$D$2162,$B95,'октябрь 2024'!$J$5:$J$2162,H$1)</f>
        <v>0</v>
      </c>
      <c r="I95" s="80">
        <f>SUMIFS('октябрь 2024'!$G$5:$G$2162,'октябрь 2024'!$D$5:$D$2162,$B95,'октябрь 2024'!$J$5:$J$2162,I$1)</f>
        <v>0</v>
      </c>
      <c r="J95" s="80">
        <f>SUMIFS('октябрь 2024'!$G$5:$G$2162,'октябрь 2024'!$D$5:$D$2162,$B95,'октябрь 2024'!$J$5:$J$2162,J$1)</f>
        <v>0</v>
      </c>
      <c r="K95" s="80">
        <f>SUMIFS('октябрь 2024'!$G$5:$G$2162,'октябрь 2024'!$D$5:$D$2162,$B95,'октябрь 2024'!$J$5:$J$2162,K$1)</f>
        <v>0</v>
      </c>
      <c r="L95" s="80">
        <f>SUMIFS('октябрь 2024'!$G$5:$G$2162,'октябрь 2024'!$D$5:$D$2162,$B95,'октябрь 2024'!$J$5:$J$2162,L$1)</f>
        <v>0</v>
      </c>
      <c r="M95" s="80">
        <f>SUMIFS('октябрь 2024'!$G$5:$G$2162,'октябрь 2024'!$D$5:$D$2162,$B95,'октябрь 2024'!$J$5:$J$2162,M$1)</f>
        <v>0</v>
      </c>
      <c r="N95" s="80">
        <f>SUMIFS('октябрь 2024'!$G$5:$G$2162,'октябрь 2024'!$D$5:$D$2162,$B95,'октябрь 2024'!$J$5:$J$2162,N$1)</f>
        <v>0</v>
      </c>
      <c r="O95" s="80">
        <f>SUMIFS('октябрь 2024'!$G$5:$G$2162,'октябрь 2024'!$D$5:$D$2162,$B95,'октябрь 2024'!$J$5:$J$2162,O$1)</f>
        <v>0</v>
      </c>
      <c r="P95" s="80">
        <f>SUMIFS('октябрь 2024'!$G$5:$G$2162,'октябрь 2024'!$D$5:$D$2162,$B95,'октябрь 2024'!$J$5:$J$2162,P$1)</f>
        <v>0</v>
      </c>
      <c r="Q95" s="80">
        <f>SUMIFS('октябрь 2024'!$G$5:$G$2162,'октябрь 2024'!$D$5:$D$2162,$B95,'октябрь 2024'!$J$5:$J$2162,Q$1)</f>
        <v>0</v>
      </c>
      <c r="R95" s="80">
        <f>SUMIFS('октябрь 2024'!$G$5:$G$2162,'октябрь 2024'!$D$5:$D$2162,$B95,'октябрь 2024'!$J$5:$J$2162,R$1)</f>
        <v>0</v>
      </c>
      <c r="S95" s="80">
        <f>SUMIFS('октябрь 2024'!$G$5:$G$2162,'октябрь 2024'!$D$5:$D$2162,$B95,'октябрь 2024'!$J$5:$J$2162,S$1)</f>
        <v>0</v>
      </c>
      <c r="T95" s="80">
        <f>SUMIFS('октябрь 2024'!$G$5:$G$2162,'октябрь 2024'!$D$5:$D$2162,$B95,'октябрь 2024'!$J$5:$J$2162,T$1)</f>
        <v>0</v>
      </c>
      <c r="U95" s="80">
        <f>SUMIFS('октябрь 2024'!$G$5:$G$2162,'октябрь 2024'!$D$5:$D$2162,$B95,'октябрь 2024'!$J$5:$J$2162,U$1)</f>
        <v>0</v>
      </c>
      <c r="V95" s="80">
        <f>SUMIFS('октябрь 2024'!$G$5:$G$2162,'октябрь 2024'!$D$5:$D$2162,$B95,'октябрь 2024'!$J$5:$J$2162,V$1)</f>
        <v>0</v>
      </c>
      <c r="W95" s="80">
        <f>SUMIFS('октябрь 2024'!$G$5:$G$2162,'октябрь 2024'!$D$5:$D$2162,$B95,'октябрь 2024'!$J$5:$J$2162,W$1)</f>
        <v>0</v>
      </c>
      <c r="X95" s="80">
        <f>SUMIFS('октябрь 2024'!$G$5:$G$2162,'октябрь 2024'!$D$5:$D$2162,$B95,'октябрь 2024'!$J$5:$J$2162,X$1)</f>
        <v>0</v>
      </c>
      <c r="Y95" s="80">
        <f>SUMIFS('октябрь 2024'!$G$5:$G$2162,'октябрь 2024'!$D$5:$D$2162,$B95,'октябрь 2024'!$J$5:$J$2162,Y$1)</f>
        <v>0</v>
      </c>
      <c r="Z95" s="80">
        <f>SUMIFS('октябрь 2024'!$G$5:$G$2162,'октябрь 2024'!$D$5:$D$2162,$B95,'октябрь 2024'!$J$5:$J$2162,Z$1)</f>
        <v>0</v>
      </c>
      <c r="AA95" s="80">
        <f>SUMIFS('октябрь 2024'!$G$5:$G$2162,'октябрь 2024'!$D$5:$D$2162,$B95,'октябрь 2024'!$J$5:$J$2162,AA$1)</f>
        <v>0</v>
      </c>
      <c r="AB95" s="80">
        <f>SUMIFS('октябрь 2024'!$G$5:$G$2162,'октябрь 2024'!$D$5:$D$2162,$B95,'октябрь 2024'!$J$5:$J$2162,AB$1)</f>
        <v>0</v>
      </c>
      <c r="AC95" s="80">
        <f>SUMIFS('октябрь 2024'!$G$5:$G$2162,'октябрь 2024'!$D$5:$D$2162,$B95,'октябрь 2024'!$J$5:$J$2162,AC$1)</f>
        <v>0</v>
      </c>
      <c r="AD95" s="80">
        <f>SUMIFS('октябрь 2024'!$G$5:$G$2162,'октябрь 2024'!$D$5:$D$2162,$B95,'октябрь 2024'!$J$5:$J$2162,AD$1)</f>
        <v>0</v>
      </c>
      <c r="AE95" s="80">
        <f>SUMIFS('октябрь 2024'!$G$5:$G$2162,'октябрь 2024'!$D$5:$D$2162,$B95,'октябрь 2024'!$J$5:$J$2162,AE$1)</f>
        <v>0</v>
      </c>
      <c r="AF95" s="80">
        <f>SUMIFS('октябрь 2024'!$G$5:$G$2162,'октябрь 2024'!$D$5:$D$2162,$B95,'октябрь 2024'!$J$5:$J$2162,AF$1)</f>
        <v>0</v>
      </c>
      <c r="AG95" s="80">
        <f>SUMIFS('октябрь 2024'!$G$5:$G$2162,'октябрь 2024'!$D$5:$D$2162,$B95,'октябрь 2024'!$J$5:$J$2162,AG$1)</f>
        <v>0</v>
      </c>
      <c r="AH95" s="80">
        <f>SUMIFS('октябрь 2024'!$G$5:$G$2162,'октябрь 2024'!$D$5:$D$2162,$B95,'октябрь 2024'!$J$5:$J$2162,AH$1)</f>
        <v>0</v>
      </c>
      <c r="AI95" s="21">
        <f t="shared" si="1"/>
        <v>0</v>
      </c>
    </row>
    <row r="96" spans="2:35" ht="15" customHeight="1" x14ac:dyDescent="0.25">
      <c r="B96" s="93" t="s">
        <v>203</v>
      </c>
      <c r="C96" s="91">
        <v>180</v>
      </c>
      <c r="D96" s="80">
        <f>SUMIFS('октябрь 2024'!$G$5:$G$2162,'октябрь 2024'!$D$5:$D$2162,$B96,'октябрь 2024'!$J$5:$J$2162,D$1)</f>
        <v>0</v>
      </c>
      <c r="E96" s="80">
        <f>SUMIFS('октябрь 2024'!$G$5:$G$2162,'октябрь 2024'!$D$5:$D$2162,$B96,'октябрь 2024'!$J$5:$J$2162,E$1)</f>
        <v>0</v>
      </c>
      <c r="F96" s="80">
        <f>SUMIFS('октябрь 2024'!$G$5:$G$2162,'октябрь 2024'!$D$5:$D$2162,$B96,'октябрь 2024'!$J$5:$J$2162,F$1)</f>
        <v>0</v>
      </c>
      <c r="G96" s="80">
        <f>SUMIFS('октябрь 2024'!$G$5:$G$2162,'октябрь 2024'!$D$5:$D$2162,$B96,'октябрь 2024'!$J$5:$J$2162,G$1)</f>
        <v>0</v>
      </c>
      <c r="H96" s="80">
        <f>SUMIFS('октябрь 2024'!$G$5:$G$2162,'октябрь 2024'!$D$5:$D$2162,$B96,'октябрь 2024'!$J$5:$J$2162,H$1)</f>
        <v>0</v>
      </c>
      <c r="I96" s="80">
        <f>SUMIFS('октябрь 2024'!$G$5:$G$2162,'октябрь 2024'!$D$5:$D$2162,$B96,'октябрь 2024'!$J$5:$J$2162,I$1)</f>
        <v>0</v>
      </c>
      <c r="J96" s="80">
        <f>SUMIFS('октябрь 2024'!$G$5:$G$2162,'октябрь 2024'!$D$5:$D$2162,$B96,'октябрь 2024'!$J$5:$J$2162,J$1)</f>
        <v>0</v>
      </c>
      <c r="K96" s="80">
        <f>SUMIFS('октябрь 2024'!$G$5:$G$2162,'октябрь 2024'!$D$5:$D$2162,$B96,'октябрь 2024'!$J$5:$J$2162,K$1)</f>
        <v>0</v>
      </c>
      <c r="L96" s="80">
        <f>SUMIFS('октябрь 2024'!$G$5:$G$2162,'октябрь 2024'!$D$5:$D$2162,$B96,'октябрь 2024'!$J$5:$J$2162,L$1)</f>
        <v>0</v>
      </c>
      <c r="M96" s="80">
        <f>SUMIFS('октябрь 2024'!$G$5:$G$2162,'октябрь 2024'!$D$5:$D$2162,$B96,'октябрь 2024'!$J$5:$J$2162,M$1)</f>
        <v>0</v>
      </c>
      <c r="N96" s="80">
        <f>SUMIFS('октябрь 2024'!$G$5:$G$2162,'октябрь 2024'!$D$5:$D$2162,$B96,'октябрь 2024'!$J$5:$J$2162,N$1)</f>
        <v>0</v>
      </c>
      <c r="O96" s="80">
        <f>SUMIFS('октябрь 2024'!$G$5:$G$2162,'октябрь 2024'!$D$5:$D$2162,$B96,'октябрь 2024'!$J$5:$J$2162,O$1)</f>
        <v>0</v>
      </c>
      <c r="P96" s="80">
        <f>SUMIFS('октябрь 2024'!$G$5:$G$2162,'октябрь 2024'!$D$5:$D$2162,$B96,'октябрь 2024'!$J$5:$J$2162,P$1)</f>
        <v>0</v>
      </c>
      <c r="Q96" s="80">
        <f>SUMIFS('октябрь 2024'!$G$5:$G$2162,'октябрь 2024'!$D$5:$D$2162,$B96,'октябрь 2024'!$J$5:$J$2162,Q$1)</f>
        <v>0</v>
      </c>
      <c r="R96" s="80">
        <f>SUMIFS('октябрь 2024'!$G$5:$G$2162,'октябрь 2024'!$D$5:$D$2162,$B96,'октябрь 2024'!$J$5:$J$2162,R$1)</f>
        <v>0</v>
      </c>
      <c r="S96" s="80">
        <f>SUMIFS('октябрь 2024'!$G$5:$G$2162,'октябрь 2024'!$D$5:$D$2162,$B96,'октябрь 2024'!$J$5:$J$2162,S$1)</f>
        <v>0</v>
      </c>
      <c r="T96" s="80">
        <f>SUMIFS('октябрь 2024'!$G$5:$G$2162,'октябрь 2024'!$D$5:$D$2162,$B96,'октябрь 2024'!$J$5:$J$2162,T$1)</f>
        <v>0</v>
      </c>
      <c r="U96" s="80">
        <f>SUMIFS('октябрь 2024'!$G$5:$G$2162,'октябрь 2024'!$D$5:$D$2162,$B96,'октябрь 2024'!$J$5:$J$2162,U$1)</f>
        <v>0</v>
      </c>
      <c r="V96" s="80">
        <f>SUMIFS('октябрь 2024'!$G$5:$G$2162,'октябрь 2024'!$D$5:$D$2162,$B96,'октябрь 2024'!$J$5:$J$2162,V$1)</f>
        <v>0</v>
      </c>
      <c r="W96" s="80">
        <f>SUMIFS('октябрь 2024'!$G$5:$G$2162,'октябрь 2024'!$D$5:$D$2162,$B96,'октябрь 2024'!$J$5:$J$2162,W$1)</f>
        <v>0</v>
      </c>
      <c r="X96" s="80">
        <f>SUMIFS('октябрь 2024'!$G$5:$G$2162,'октябрь 2024'!$D$5:$D$2162,$B96,'октябрь 2024'!$J$5:$J$2162,X$1)</f>
        <v>0</v>
      </c>
      <c r="Y96" s="80">
        <f>SUMIFS('октябрь 2024'!$G$5:$G$2162,'октябрь 2024'!$D$5:$D$2162,$B96,'октябрь 2024'!$J$5:$J$2162,Y$1)</f>
        <v>0</v>
      </c>
      <c r="Z96" s="80">
        <f>SUMIFS('октябрь 2024'!$G$5:$G$2162,'октябрь 2024'!$D$5:$D$2162,$B96,'октябрь 2024'!$J$5:$J$2162,Z$1)</f>
        <v>0</v>
      </c>
      <c r="AA96" s="80">
        <f>SUMIFS('октябрь 2024'!$G$5:$G$2162,'октябрь 2024'!$D$5:$D$2162,$B96,'октябрь 2024'!$J$5:$J$2162,AA$1)</f>
        <v>0</v>
      </c>
      <c r="AB96" s="80">
        <f>SUMIFS('октябрь 2024'!$G$5:$G$2162,'октябрь 2024'!$D$5:$D$2162,$B96,'октябрь 2024'!$J$5:$J$2162,AB$1)</f>
        <v>0</v>
      </c>
      <c r="AC96" s="80">
        <f>SUMIFS('октябрь 2024'!$G$5:$G$2162,'октябрь 2024'!$D$5:$D$2162,$B96,'октябрь 2024'!$J$5:$J$2162,AC$1)</f>
        <v>0</v>
      </c>
      <c r="AD96" s="80">
        <f>SUMIFS('октябрь 2024'!$G$5:$G$2162,'октябрь 2024'!$D$5:$D$2162,$B96,'октябрь 2024'!$J$5:$J$2162,AD$1)</f>
        <v>0</v>
      </c>
      <c r="AE96" s="80">
        <f>SUMIFS('октябрь 2024'!$G$5:$G$2162,'октябрь 2024'!$D$5:$D$2162,$B96,'октябрь 2024'!$J$5:$J$2162,AE$1)</f>
        <v>0</v>
      </c>
      <c r="AF96" s="80">
        <f>SUMIFS('октябрь 2024'!$G$5:$G$2162,'октябрь 2024'!$D$5:$D$2162,$B96,'октябрь 2024'!$J$5:$J$2162,AF$1)</f>
        <v>0</v>
      </c>
      <c r="AG96" s="80">
        <f>SUMIFS('октябрь 2024'!$G$5:$G$2162,'октябрь 2024'!$D$5:$D$2162,$B96,'октябрь 2024'!$J$5:$J$2162,AG$1)</f>
        <v>0</v>
      </c>
      <c r="AH96" s="80">
        <f>SUMIFS('октябрь 2024'!$G$5:$G$2162,'октябрь 2024'!$D$5:$D$2162,$B96,'октябрь 2024'!$J$5:$J$2162,AH$1)</f>
        <v>0</v>
      </c>
      <c r="AI96" s="21">
        <f t="shared" si="1"/>
        <v>0</v>
      </c>
    </row>
    <row r="97" spans="2:35" ht="15" customHeight="1" x14ac:dyDescent="0.25">
      <c r="B97" s="89" t="s">
        <v>204</v>
      </c>
      <c r="C97" s="88">
        <v>200</v>
      </c>
      <c r="D97" s="80">
        <f>SUMIFS('октябрь 2024'!$G$5:$G$2162,'октябрь 2024'!$D$5:$D$2162,$B97,'октябрь 2024'!$J$5:$J$2162,D$1)</f>
        <v>0</v>
      </c>
      <c r="E97" s="80">
        <f>SUMIFS('октябрь 2024'!$G$5:$G$2162,'октябрь 2024'!$D$5:$D$2162,$B97,'октябрь 2024'!$J$5:$J$2162,E$1)</f>
        <v>0</v>
      </c>
      <c r="F97" s="80">
        <f>SUMIFS('октябрь 2024'!$G$5:$G$2162,'октябрь 2024'!$D$5:$D$2162,$B97,'октябрь 2024'!$J$5:$J$2162,F$1)</f>
        <v>0</v>
      </c>
      <c r="G97" s="80">
        <f>SUMIFS('октябрь 2024'!$G$5:$G$2162,'октябрь 2024'!$D$5:$D$2162,$B97,'октябрь 2024'!$J$5:$J$2162,G$1)</f>
        <v>32</v>
      </c>
      <c r="H97" s="80">
        <f>SUMIFS('октябрь 2024'!$G$5:$G$2162,'октябрь 2024'!$D$5:$D$2162,$B97,'октябрь 2024'!$J$5:$J$2162,H$1)</f>
        <v>0</v>
      </c>
      <c r="I97" s="80">
        <f>SUMIFS('октябрь 2024'!$G$5:$G$2162,'октябрь 2024'!$D$5:$D$2162,$B97,'октябрь 2024'!$J$5:$J$2162,I$1)</f>
        <v>0</v>
      </c>
      <c r="J97" s="80">
        <f>SUMIFS('октябрь 2024'!$G$5:$G$2162,'октябрь 2024'!$D$5:$D$2162,$B97,'октябрь 2024'!$J$5:$J$2162,J$1)</f>
        <v>0</v>
      </c>
      <c r="K97" s="80">
        <f>SUMIFS('октябрь 2024'!$G$5:$G$2162,'октябрь 2024'!$D$5:$D$2162,$B97,'октябрь 2024'!$J$5:$J$2162,K$1)</f>
        <v>0</v>
      </c>
      <c r="L97" s="80">
        <f>SUMIFS('октябрь 2024'!$G$5:$G$2162,'октябрь 2024'!$D$5:$D$2162,$B97,'октябрь 2024'!$J$5:$J$2162,L$1)</f>
        <v>0</v>
      </c>
      <c r="M97" s="80">
        <f>SUMIFS('октябрь 2024'!$G$5:$G$2162,'октябрь 2024'!$D$5:$D$2162,$B97,'октябрь 2024'!$J$5:$J$2162,M$1)</f>
        <v>0</v>
      </c>
      <c r="N97" s="80">
        <f>SUMIFS('октябрь 2024'!$G$5:$G$2162,'октябрь 2024'!$D$5:$D$2162,$B97,'октябрь 2024'!$J$5:$J$2162,N$1)</f>
        <v>0</v>
      </c>
      <c r="O97" s="80">
        <f>SUMIFS('октябрь 2024'!$G$5:$G$2162,'октябрь 2024'!$D$5:$D$2162,$B97,'октябрь 2024'!$J$5:$J$2162,O$1)</f>
        <v>0</v>
      </c>
      <c r="P97" s="80">
        <f>SUMIFS('октябрь 2024'!$G$5:$G$2162,'октябрь 2024'!$D$5:$D$2162,$B97,'октябрь 2024'!$J$5:$J$2162,P$1)</f>
        <v>0</v>
      </c>
      <c r="Q97" s="80">
        <f>SUMIFS('октябрь 2024'!$G$5:$G$2162,'октябрь 2024'!$D$5:$D$2162,$B97,'октябрь 2024'!$J$5:$J$2162,Q$1)</f>
        <v>0</v>
      </c>
      <c r="R97" s="80">
        <f>SUMIFS('октябрь 2024'!$G$5:$G$2162,'октябрь 2024'!$D$5:$D$2162,$B97,'октябрь 2024'!$J$5:$J$2162,R$1)</f>
        <v>0</v>
      </c>
      <c r="S97" s="80">
        <f>SUMIFS('октябрь 2024'!$G$5:$G$2162,'октябрь 2024'!$D$5:$D$2162,$B97,'октябрь 2024'!$J$5:$J$2162,S$1)</f>
        <v>0</v>
      </c>
      <c r="T97" s="80">
        <f>SUMIFS('октябрь 2024'!$G$5:$G$2162,'октябрь 2024'!$D$5:$D$2162,$B97,'октябрь 2024'!$J$5:$J$2162,T$1)</f>
        <v>0</v>
      </c>
      <c r="U97" s="80">
        <f>SUMIFS('октябрь 2024'!$G$5:$G$2162,'октябрь 2024'!$D$5:$D$2162,$B97,'октябрь 2024'!$J$5:$J$2162,U$1)</f>
        <v>0</v>
      </c>
      <c r="V97" s="80">
        <f>SUMIFS('октябрь 2024'!$G$5:$G$2162,'октябрь 2024'!$D$5:$D$2162,$B97,'октябрь 2024'!$J$5:$J$2162,V$1)</f>
        <v>0</v>
      </c>
      <c r="W97" s="80">
        <f>SUMIFS('октябрь 2024'!$G$5:$G$2162,'октябрь 2024'!$D$5:$D$2162,$B97,'октябрь 2024'!$J$5:$J$2162,W$1)</f>
        <v>0</v>
      </c>
      <c r="X97" s="80">
        <f>SUMIFS('октябрь 2024'!$G$5:$G$2162,'октябрь 2024'!$D$5:$D$2162,$B97,'октябрь 2024'!$J$5:$J$2162,X$1)</f>
        <v>0</v>
      </c>
      <c r="Y97" s="80">
        <f>SUMIFS('октябрь 2024'!$G$5:$G$2162,'октябрь 2024'!$D$5:$D$2162,$B97,'октябрь 2024'!$J$5:$J$2162,Y$1)</f>
        <v>0</v>
      </c>
      <c r="Z97" s="80">
        <f>SUMIFS('октябрь 2024'!$G$5:$G$2162,'октябрь 2024'!$D$5:$D$2162,$B97,'октябрь 2024'!$J$5:$J$2162,Z$1)</f>
        <v>0</v>
      </c>
      <c r="AA97" s="80">
        <f>SUMIFS('октябрь 2024'!$G$5:$G$2162,'октябрь 2024'!$D$5:$D$2162,$B97,'октябрь 2024'!$J$5:$J$2162,AA$1)</f>
        <v>0</v>
      </c>
      <c r="AB97" s="80">
        <f>SUMIFS('октябрь 2024'!$G$5:$G$2162,'октябрь 2024'!$D$5:$D$2162,$B97,'октябрь 2024'!$J$5:$J$2162,AB$1)</f>
        <v>0</v>
      </c>
      <c r="AC97" s="80">
        <f>SUMIFS('октябрь 2024'!$G$5:$G$2162,'октябрь 2024'!$D$5:$D$2162,$B97,'октябрь 2024'!$J$5:$J$2162,AC$1)</f>
        <v>0</v>
      </c>
      <c r="AD97" s="80">
        <f>SUMIFS('октябрь 2024'!$G$5:$G$2162,'октябрь 2024'!$D$5:$D$2162,$B97,'октябрь 2024'!$J$5:$J$2162,AD$1)</f>
        <v>0</v>
      </c>
      <c r="AE97" s="80">
        <f>SUMIFS('октябрь 2024'!$G$5:$G$2162,'октябрь 2024'!$D$5:$D$2162,$B97,'октябрь 2024'!$J$5:$J$2162,AE$1)</f>
        <v>0</v>
      </c>
      <c r="AF97" s="80">
        <f>SUMIFS('октябрь 2024'!$G$5:$G$2162,'октябрь 2024'!$D$5:$D$2162,$B97,'октябрь 2024'!$J$5:$J$2162,AF$1)</f>
        <v>0</v>
      </c>
      <c r="AG97" s="80">
        <f>SUMIFS('октябрь 2024'!$G$5:$G$2162,'октябрь 2024'!$D$5:$D$2162,$B97,'октябрь 2024'!$J$5:$J$2162,AG$1)</f>
        <v>0</v>
      </c>
      <c r="AH97" s="80">
        <f>SUMIFS('октябрь 2024'!$G$5:$G$2162,'октябрь 2024'!$D$5:$D$2162,$B97,'октябрь 2024'!$J$5:$J$2162,AH$1)</f>
        <v>0</v>
      </c>
      <c r="AI97" s="21">
        <f t="shared" si="1"/>
        <v>32</v>
      </c>
    </row>
    <row r="98" spans="2:35" ht="15" customHeight="1" x14ac:dyDescent="0.25">
      <c r="B98" s="92" t="s">
        <v>175</v>
      </c>
      <c r="C98" s="91">
        <v>180</v>
      </c>
      <c r="D98" s="80">
        <f>SUMIFS('октябрь 2024'!$G$5:$G$2162,'октябрь 2024'!$D$5:$D$2162,$B98,'октябрь 2024'!$J$5:$J$2162,D$1)</f>
        <v>0</v>
      </c>
      <c r="E98" s="80">
        <f>SUMIFS('октябрь 2024'!$G$5:$G$2162,'октябрь 2024'!$D$5:$D$2162,$B98,'октябрь 2024'!$J$5:$J$2162,E$1)</f>
        <v>0</v>
      </c>
      <c r="F98" s="80">
        <f>SUMIFS('октябрь 2024'!$G$5:$G$2162,'октябрь 2024'!$D$5:$D$2162,$B98,'октябрь 2024'!$J$5:$J$2162,F$1)</f>
        <v>0</v>
      </c>
      <c r="G98" s="80">
        <f>SUMIFS('октябрь 2024'!$G$5:$G$2162,'октябрь 2024'!$D$5:$D$2162,$B98,'октябрь 2024'!$J$5:$J$2162,G$1)</f>
        <v>0</v>
      </c>
      <c r="H98" s="80">
        <f>SUMIFS('октябрь 2024'!$G$5:$G$2162,'октябрь 2024'!$D$5:$D$2162,$B98,'октябрь 2024'!$J$5:$J$2162,H$1)</f>
        <v>0</v>
      </c>
      <c r="I98" s="80">
        <f>SUMIFS('октябрь 2024'!$G$5:$G$2162,'октябрь 2024'!$D$5:$D$2162,$B98,'октябрь 2024'!$J$5:$J$2162,I$1)</f>
        <v>0</v>
      </c>
      <c r="J98" s="80">
        <f>SUMIFS('октябрь 2024'!$G$5:$G$2162,'октябрь 2024'!$D$5:$D$2162,$B98,'октябрь 2024'!$J$5:$J$2162,J$1)</f>
        <v>0</v>
      </c>
      <c r="K98" s="80">
        <f>SUMIFS('октябрь 2024'!$G$5:$G$2162,'октябрь 2024'!$D$5:$D$2162,$B98,'октябрь 2024'!$J$5:$J$2162,K$1)</f>
        <v>0</v>
      </c>
      <c r="L98" s="80">
        <f>SUMIFS('октябрь 2024'!$G$5:$G$2162,'октябрь 2024'!$D$5:$D$2162,$B98,'октябрь 2024'!$J$5:$J$2162,L$1)</f>
        <v>0</v>
      </c>
      <c r="M98" s="80">
        <f>SUMIFS('октябрь 2024'!$G$5:$G$2162,'октябрь 2024'!$D$5:$D$2162,$B98,'октябрь 2024'!$J$5:$J$2162,M$1)</f>
        <v>0</v>
      </c>
      <c r="N98" s="80">
        <f>SUMIFS('октябрь 2024'!$G$5:$G$2162,'октябрь 2024'!$D$5:$D$2162,$B98,'октябрь 2024'!$J$5:$J$2162,N$1)</f>
        <v>0</v>
      </c>
      <c r="O98" s="80">
        <f>SUMIFS('октябрь 2024'!$G$5:$G$2162,'октябрь 2024'!$D$5:$D$2162,$B98,'октябрь 2024'!$J$5:$J$2162,O$1)</f>
        <v>0</v>
      </c>
      <c r="P98" s="80">
        <f>SUMIFS('октябрь 2024'!$G$5:$G$2162,'октябрь 2024'!$D$5:$D$2162,$B98,'октябрь 2024'!$J$5:$J$2162,P$1)</f>
        <v>0</v>
      </c>
      <c r="Q98" s="80">
        <f>SUMIFS('октябрь 2024'!$G$5:$G$2162,'октябрь 2024'!$D$5:$D$2162,$B98,'октябрь 2024'!$J$5:$J$2162,Q$1)</f>
        <v>0</v>
      </c>
      <c r="R98" s="80">
        <f>SUMIFS('октябрь 2024'!$G$5:$G$2162,'октябрь 2024'!$D$5:$D$2162,$B98,'октябрь 2024'!$J$5:$J$2162,R$1)</f>
        <v>0</v>
      </c>
      <c r="S98" s="80">
        <f>SUMIFS('октябрь 2024'!$G$5:$G$2162,'октябрь 2024'!$D$5:$D$2162,$B98,'октябрь 2024'!$J$5:$J$2162,S$1)</f>
        <v>0</v>
      </c>
      <c r="T98" s="80">
        <f>SUMIFS('октябрь 2024'!$G$5:$G$2162,'октябрь 2024'!$D$5:$D$2162,$B98,'октябрь 2024'!$J$5:$J$2162,T$1)</f>
        <v>0</v>
      </c>
      <c r="U98" s="80">
        <f>SUMIFS('октябрь 2024'!$G$5:$G$2162,'октябрь 2024'!$D$5:$D$2162,$B98,'октябрь 2024'!$J$5:$J$2162,U$1)</f>
        <v>0</v>
      </c>
      <c r="V98" s="80">
        <f>SUMIFS('октябрь 2024'!$G$5:$G$2162,'октябрь 2024'!$D$5:$D$2162,$B98,'октябрь 2024'!$J$5:$J$2162,V$1)</f>
        <v>0</v>
      </c>
      <c r="W98" s="80">
        <f>SUMIFS('октябрь 2024'!$G$5:$G$2162,'октябрь 2024'!$D$5:$D$2162,$B98,'октябрь 2024'!$J$5:$J$2162,W$1)</f>
        <v>0</v>
      </c>
      <c r="X98" s="80">
        <f>SUMIFS('октябрь 2024'!$G$5:$G$2162,'октябрь 2024'!$D$5:$D$2162,$B98,'октябрь 2024'!$J$5:$J$2162,X$1)</f>
        <v>0</v>
      </c>
      <c r="Y98" s="80">
        <f>SUMIFS('октябрь 2024'!$G$5:$G$2162,'октябрь 2024'!$D$5:$D$2162,$B98,'октябрь 2024'!$J$5:$J$2162,Y$1)</f>
        <v>0</v>
      </c>
      <c r="Z98" s="80">
        <f>SUMIFS('октябрь 2024'!$G$5:$G$2162,'октябрь 2024'!$D$5:$D$2162,$B98,'октябрь 2024'!$J$5:$J$2162,Z$1)</f>
        <v>0</v>
      </c>
      <c r="AA98" s="80">
        <f>SUMIFS('октябрь 2024'!$G$5:$G$2162,'октябрь 2024'!$D$5:$D$2162,$B98,'октябрь 2024'!$J$5:$J$2162,AA$1)</f>
        <v>0</v>
      </c>
      <c r="AB98" s="80">
        <f>SUMIFS('октябрь 2024'!$G$5:$G$2162,'октябрь 2024'!$D$5:$D$2162,$B98,'октябрь 2024'!$J$5:$J$2162,AB$1)</f>
        <v>0</v>
      </c>
      <c r="AC98" s="80">
        <f>SUMIFS('октябрь 2024'!$G$5:$G$2162,'октябрь 2024'!$D$5:$D$2162,$B98,'октябрь 2024'!$J$5:$J$2162,AC$1)</f>
        <v>0</v>
      </c>
      <c r="AD98" s="80">
        <f>SUMIFS('октябрь 2024'!$G$5:$G$2162,'октябрь 2024'!$D$5:$D$2162,$B98,'октябрь 2024'!$J$5:$J$2162,AD$1)</f>
        <v>0</v>
      </c>
      <c r="AE98" s="80">
        <f>SUMIFS('октябрь 2024'!$G$5:$G$2162,'октябрь 2024'!$D$5:$D$2162,$B98,'октябрь 2024'!$J$5:$J$2162,AE$1)</f>
        <v>0</v>
      </c>
      <c r="AF98" s="80">
        <f>SUMIFS('октябрь 2024'!$G$5:$G$2162,'октябрь 2024'!$D$5:$D$2162,$B98,'октябрь 2024'!$J$5:$J$2162,AF$1)</f>
        <v>0</v>
      </c>
      <c r="AG98" s="80">
        <f>SUMIFS('октябрь 2024'!$G$5:$G$2162,'октябрь 2024'!$D$5:$D$2162,$B98,'октябрь 2024'!$J$5:$J$2162,AG$1)</f>
        <v>0</v>
      </c>
      <c r="AH98" s="80">
        <f>SUMIFS('октябрь 2024'!$G$5:$G$2162,'октябрь 2024'!$D$5:$D$2162,$B98,'октябрь 2024'!$J$5:$J$2162,AH$1)</f>
        <v>0</v>
      </c>
      <c r="AI98" s="21">
        <f t="shared" si="1"/>
        <v>0</v>
      </c>
    </row>
    <row r="99" spans="2:35" ht="15" customHeight="1" x14ac:dyDescent="0.25">
      <c r="B99" s="89" t="s">
        <v>176</v>
      </c>
      <c r="C99" s="91">
        <v>200</v>
      </c>
      <c r="D99" s="80">
        <f>SUMIFS('октябрь 2024'!$G$5:$G$2162,'октябрь 2024'!$D$5:$D$2162,$B99,'октябрь 2024'!$J$5:$J$2162,D$1)</f>
        <v>0</v>
      </c>
      <c r="E99" s="80">
        <f>SUMIFS('октябрь 2024'!$G$5:$G$2162,'октябрь 2024'!$D$5:$D$2162,$B99,'октябрь 2024'!$J$5:$J$2162,E$1)</f>
        <v>0</v>
      </c>
      <c r="F99" s="80">
        <f>SUMIFS('октябрь 2024'!$G$5:$G$2162,'октябрь 2024'!$D$5:$D$2162,$B99,'октябрь 2024'!$J$5:$J$2162,F$1)</f>
        <v>0</v>
      </c>
      <c r="G99" s="80">
        <f>SUMIFS('октябрь 2024'!$G$5:$G$2162,'октябрь 2024'!$D$5:$D$2162,$B99,'октябрь 2024'!$J$5:$J$2162,G$1)</f>
        <v>0</v>
      </c>
      <c r="H99" s="80">
        <f>SUMIFS('октябрь 2024'!$G$5:$G$2162,'октябрь 2024'!$D$5:$D$2162,$B99,'октябрь 2024'!$J$5:$J$2162,H$1)</f>
        <v>0</v>
      </c>
      <c r="I99" s="80">
        <f>SUMIFS('октябрь 2024'!$G$5:$G$2162,'октябрь 2024'!$D$5:$D$2162,$B99,'октябрь 2024'!$J$5:$J$2162,I$1)</f>
        <v>0</v>
      </c>
      <c r="J99" s="80">
        <f>SUMIFS('октябрь 2024'!$G$5:$G$2162,'октябрь 2024'!$D$5:$D$2162,$B99,'октябрь 2024'!$J$5:$J$2162,J$1)</f>
        <v>0</v>
      </c>
      <c r="K99" s="80">
        <f>SUMIFS('октябрь 2024'!$G$5:$G$2162,'октябрь 2024'!$D$5:$D$2162,$B99,'октябрь 2024'!$J$5:$J$2162,K$1)</f>
        <v>0</v>
      </c>
      <c r="L99" s="80">
        <f>SUMIFS('октябрь 2024'!$G$5:$G$2162,'октябрь 2024'!$D$5:$D$2162,$B99,'октябрь 2024'!$J$5:$J$2162,L$1)</f>
        <v>0</v>
      </c>
      <c r="M99" s="80">
        <f>SUMIFS('октябрь 2024'!$G$5:$G$2162,'октябрь 2024'!$D$5:$D$2162,$B99,'октябрь 2024'!$J$5:$J$2162,M$1)</f>
        <v>0</v>
      </c>
      <c r="N99" s="80">
        <f>SUMIFS('октябрь 2024'!$G$5:$G$2162,'октябрь 2024'!$D$5:$D$2162,$B99,'октябрь 2024'!$J$5:$J$2162,N$1)</f>
        <v>0</v>
      </c>
      <c r="O99" s="80">
        <f>SUMIFS('октябрь 2024'!$G$5:$G$2162,'октябрь 2024'!$D$5:$D$2162,$B99,'октябрь 2024'!$J$5:$J$2162,O$1)</f>
        <v>0</v>
      </c>
      <c r="P99" s="80">
        <f>SUMIFS('октябрь 2024'!$G$5:$G$2162,'октябрь 2024'!$D$5:$D$2162,$B99,'октябрь 2024'!$J$5:$J$2162,P$1)</f>
        <v>0</v>
      </c>
      <c r="Q99" s="80">
        <f>SUMIFS('октябрь 2024'!$G$5:$G$2162,'октябрь 2024'!$D$5:$D$2162,$B99,'октябрь 2024'!$J$5:$J$2162,Q$1)</f>
        <v>0</v>
      </c>
      <c r="R99" s="80">
        <f>SUMIFS('октябрь 2024'!$G$5:$G$2162,'октябрь 2024'!$D$5:$D$2162,$B99,'октябрь 2024'!$J$5:$J$2162,R$1)</f>
        <v>0</v>
      </c>
      <c r="S99" s="80">
        <f>SUMIFS('октябрь 2024'!$G$5:$G$2162,'октябрь 2024'!$D$5:$D$2162,$B99,'октябрь 2024'!$J$5:$J$2162,S$1)</f>
        <v>0</v>
      </c>
      <c r="T99" s="80">
        <f>SUMIFS('октябрь 2024'!$G$5:$G$2162,'октябрь 2024'!$D$5:$D$2162,$B99,'октябрь 2024'!$J$5:$J$2162,T$1)</f>
        <v>0</v>
      </c>
      <c r="U99" s="80">
        <f>SUMIFS('октябрь 2024'!$G$5:$G$2162,'октябрь 2024'!$D$5:$D$2162,$B99,'октябрь 2024'!$J$5:$J$2162,U$1)</f>
        <v>0</v>
      </c>
      <c r="V99" s="80">
        <f>SUMIFS('октябрь 2024'!$G$5:$G$2162,'октябрь 2024'!$D$5:$D$2162,$B99,'октябрь 2024'!$J$5:$J$2162,V$1)</f>
        <v>0</v>
      </c>
      <c r="W99" s="80">
        <f>SUMIFS('октябрь 2024'!$G$5:$G$2162,'октябрь 2024'!$D$5:$D$2162,$B99,'октябрь 2024'!$J$5:$J$2162,W$1)</f>
        <v>0</v>
      </c>
      <c r="X99" s="80">
        <f>SUMIFS('октябрь 2024'!$G$5:$G$2162,'октябрь 2024'!$D$5:$D$2162,$B99,'октябрь 2024'!$J$5:$J$2162,X$1)</f>
        <v>0</v>
      </c>
      <c r="Y99" s="80">
        <f>SUMIFS('октябрь 2024'!$G$5:$G$2162,'октябрь 2024'!$D$5:$D$2162,$B99,'октябрь 2024'!$J$5:$J$2162,Y$1)</f>
        <v>0</v>
      </c>
      <c r="Z99" s="80">
        <f>SUMIFS('октябрь 2024'!$G$5:$G$2162,'октябрь 2024'!$D$5:$D$2162,$B99,'октябрь 2024'!$J$5:$J$2162,Z$1)</f>
        <v>0</v>
      </c>
      <c r="AA99" s="80">
        <f>SUMIFS('октябрь 2024'!$G$5:$G$2162,'октябрь 2024'!$D$5:$D$2162,$B99,'октябрь 2024'!$J$5:$J$2162,AA$1)</f>
        <v>0</v>
      </c>
      <c r="AB99" s="80">
        <f>SUMIFS('октябрь 2024'!$G$5:$G$2162,'октябрь 2024'!$D$5:$D$2162,$B99,'октябрь 2024'!$J$5:$J$2162,AB$1)</f>
        <v>0</v>
      </c>
      <c r="AC99" s="80">
        <f>SUMIFS('октябрь 2024'!$G$5:$G$2162,'октябрь 2024'!$D$5:$D$2162,$B99,'октябрь 2024'!$J$5:$J$2162,AC$1)</f>
        <v>0</v>
      </c>
      <c r="AD99" s="80">
        <f>SUMIFS('октябрь 2024'!$G$5:$G$2162,'октябрь 2024'!$D$5:$D$2162,$B99,'октябрь 2024'!$J$5:$J$2162,AD$1)</f>
        <v>0</v>
      </c>
      <c r="AE99" s="80">
        <f>SUMIFS('октябрь 2024'!$G$5:$G$2162,'октябрь 2024'!$D$5:$D$2162,$B99,'октябрь 2024'!$J$5:$J$2162,AE$1)</f>
        <v>0</v>
      </c>
      <c r="AF99" s="80">
        <f>SUMIFS('октябрь 2024'!$G$5:$G$2162,'октябрь 2024'!$D$5:$D$2162,$B99,'октябрь 2024'!$J$5:$J$2162,AF$1)</f>
        <v>0</v>
      </c>
      <c r="AG99" s="80">
        <f>SUMIFS('октябрь 2024'!$G$5:$G$2162,'октябрь 2024'!$D$5:$D$2162,$B99,'октябрь 2024'!$J$5:$J$2162,AG$1)</f>
        <v>0</v>
      </c>
      <c r="AH99" s="80">
        <f>SUMIFS('октябрь 2024'!$G$5:$G$2162,'октябрь 2024'!$D$5:$D$2162,$B99,'октябрь 2024'!$J$5:$J$2162,AH$1)</f>
        <v>0</v>
      </c>
      <c r="AI99" s="21">
        <f t="shared" si="1"/>
        <v>0</v>
      </c>
    </row>
    <row r="100" spans="2:35" ht="15" customHeight="1" x14ac:dyDescent="0.25">
      <c r="B100" s="89" t="s">
        <v>205</v>
      </c>
      <c r="C100" s="88">
        <v>185</v>
      </c>
      <c r="D100" s="80">
        <f>SUMIFS('октябрь 2024'!$G$5:$G$2162,'октябрь 2024'!$D$5:$D$2162,$B100,'октябрь 2024'!$J$5:$J$2162,D$1)</f>
        <v>88</v>
      </c>
      <c r="E100" s="80">
        <f>SUMIFS('октябрь 2024'!$G$5:$G$2162,'октябрь 2024'!$D$5:$D$2162,$B100,'октябрь 2024'!$J$5:$J$2162,E$1)</f>
        <v>0</v>
      </c>
      <c r="F100" s="80">
        <f>SUMIFS('октябрь 2024'!$G$5:$G$2162,'октябрь 2024'!$D$5:$D$2162,$B100,'октябрь 2024'!$J$5:$J$2162,F$1)</f>
        <v>0</v>
      </c>
      <c r="G100" s="80">
        <f>SUMIFS('октябрь 2024'!$G$5:$G$2162,'октябрь 2024'!$D$5:$D$2162,$B100,'октябрь 2024'!$J$5:$J$2162,G$1)</f>
        <v>0</v>
      </c>
      <c r="H100" s="80">
        <f>SUMIFS('октябрь 2024'!$G$5:$G$2162,'октябрь 2024'!$D$5:$D$2162,$B100,'октябрь 2024'!$J$5:$J$2162,H$1)</f>
        <v>0</v>
      </c>
      <c r="I100" s="80">
        <f>SUMIFS('октябрь 2024'!$G$5:$G$2162,'октябрь 2024'!$D$5:$D$2162,$B100,'октябрь 2024'!$J$5:$J$2162,I$1)</f>
        <v>0</v>
      </c>
      <c r="J100" s="80">
        <f>SUMIFS('октябрь 2024'!$G$5:$G$2162,'октябрь 2024'!$D$5:$D$2162,$B100,'октябрь 2024'!$J$5:$J$2162,J$1)</f>
        <v>0</v>
      </c>
      <c r="K100" s="80">
        <f>SUMIFS('октябрь 2024'!$G$5:$G$2162,'октябрь 2024'!$D$5:$D$2162,$B100,'октябрь 2024'!$J$5:$J$2162,K$1)</f>
        <v>0</v>
      </c>
      <c r="L100" s="80">
        <f>SUMIFS('октябрь 2024'!$G$5:$G$2162,'октябрь 2024'!$D$5:$D$2162,$B100,'октябрь 2024'!$J$5:$J$2162,L$1)</f>
        <v>0</v>
      </c>
      <c r="M100" s="80">
        <f>SUMIFS('октябрь 2024'!$G$5:$G$2162,'октябрь 2024'!$D$5:$D$2162,$B100,'октябрь 2024'!$J$5:$J$2162,M$1)</f>
        <v>0</v>
      </c>
      <c r="N100" s="80">
        <f>SUMIFS('октябрь 2024'!$G$5:$G$2162,'октябрь 2024'!$D$5:$D$2162,$B100,'октябрь 2024'!$J$5:$J$2162,N$1)</f>
        <v>0</v>
      </c>
      <c r="O100" s="80">
        <f>SUMIFS('октябрь 2024'!$G$5:$G$2162,'октябрь 2024'!$D$5:$D$2162,$B100,'октябрь 2024'!$J$5:$J$2162,O$1)</f>
        <v>0</v>
      </c>
      <c r="P100" s="80">
        <f>SUMIFS('октябрь 2024'!$G$5:$G$2162,'октябрь 2024'!$D$5:$D$2162,$B100,'октябрь 2024'!$J$5:$J$2162,P$1)</f>
        <v>0</v>
      </c>
      <c r="Q100" s="80">
        <f>SUMIFS('октябрь 2024'!$G$5:$G$2162,'октябрь 2024'!$D$5:$D$2162,$B100,'октябрь 2024'!$J$5:$J$2162,Q$1)</f>
        <v>0</v>
      </c>
      <c r="R100" s="80">
        <f>SUMIFS('октябрь 2024'!$G$5:$G$2162,'октябрь 2024'!$D$5:$D$2162,$B100,'октябрь 2024'!$J$5:$J$2162,R$1)</f>
        <v>0</v>
      </c>
      <c r="S100" s="80">
        <f>SUMIFS('октябрь 2024'!$G$5:$G$2162,'октябрь 2024'!$D$5:$D$2162,$B100,'октябрь 2024'!$J$5:$J$2162,S$1)</f>
        <v>0</v>
      </c>
      <c r="T100" s="80">
        <f>SUMIFS('октябрь 2024'!$G$5:$G$2162,'октябрь 2024'!$D$5:$D$2162,$B100,'октябрь 2024'!$J$5:$J$2162,T$1)</f>
        <v>0</v>
      </c>
      <c r="U100" s="80">
        <f>SUMIFS('октябрь 2024'!$G$5:$G$2162,'октябрь 2024'!$D$5:$D$2162,$B100,'октябрь 2024'!$J$5:$J$2162,U$1)</f>
        <v>0</v>
      </c>
      <c r="V100" s="80">
        <f>SUMIFS('октябрь 2024'!$G$5:$G$2162,'октябрь 2024'!$D$5:$D$2162,$B100,'октябрь 2024'!$J$5:$J$2162,V$1)</f>
        <v>0</v>
      </c>
      <c r="W100" s="80">
        <f>SUMIFS('октябрь 2024'!$G$5:$G$2162,'октябрь 2024'!$D$5:$D$2162,$B100,'октябрь 2024'!$J$5:$J$2162,W$1)</f>
        <v>0</v>
      </c>
      <c r="X100" s="80">
        <f>SUMIFS('октябрь 2024'!$G$5:$G$2162,'октябрь 2024'!$D$5:$D$2162,$B100,'октябрь 2024'!$J$5:$J$2162,X$1)</f>
        <v>0</v>
      </c>
      <c r="Y100" s="80">
        <f>SUMIFS('октябрь 2024'!$G$5:$G$2162,'октябрь 2024'!$D$5:$D$2162,$B100,'октябрь 2024'!$J$5:$J$2162,Y$1)</f>
        <v>0</v>
      </c>
      <c r="Z100" s="80">
        <f>SUMIFS('октябрь 2024'!$G$5:$G$2162,'октябрь 2024'!$D$5:$D$2162,$B100,'октябрь 2024'!$J$5:$J$2162,Z$1)</f>
        <v>0</v>
      </c>
      <c r="AA100" s="80">
        <f>SUMIFS('октябрь 2024'!$G$5:$G$2162,'октябрь 2024'!$D$5:$D$2162,$B100,'октябрь 2024'!$J$5:$J$2162,AA$1)</f>
        <v>0</v>
      </c>
      <c r="AB100" s="80">
        <f>SUMIFS('октябрь 2024'!$G$5:$G$2162,'октябрь 2024'!$D$5:$D$2162,$B100,'октябрь 2024'!$J$5:$J$2162,AB$1)</f>
        <v>80</v>
      </c>
      <c r="AC100" s="80">
        <f>SUMIFS('октябрь 2024'!$G$5:$G$2162,'октябрь 2024'!$D$5:$D$2162,$B100,'октябрь 2024'!$J$5:$J$2162,AC$1)</f>
        <v>0</v>
      </c>
      <c r="AD100" s="80">
        <f>SUMIFS('октябрь 2024'!$G$5:$G$2162,'октябрь 2024'!$D$5:$D$2162,$B100,'октябрь 2024'!$J$5:$J$2162,AD$1)</f>
        <v>0</v>
      </c>
      <c r="AE100" s="80">
        <f>SUMIFS('октябрь 2024'!$G$5:$G$2162,'октябрь 2024'!$D$5:$D$2162,$B100,'октябрь 2024'!$J$5:$J$2162,AE$1)</f>
        <v>0</v>
      </c>
      <c r="AF100" s="80">
        <f>SUMIFS('октябрь 2024'!$G$5:$G$2162,'октябрь 2024'!$D$5:$D$2162,$B100,'октябрь 2024'!$J$5:$J$2162,AF$1)</f>
        <v>0</v>
      </c>
      <c r="AG100" s="80">
        <f>SUMIFS('октябрь 2024'!$G$5:$G$2162,'октябрь 2024'!$D$5:$D$2162,$B100,'октябрь 2024'!$J$5:$J$2162,AG$1)</f>
        <v>0</v>
      </c>
      <c r="AH100" s="80">
        <f>SUMIFS('октябрь 2024'!$G$5:$G$2162,'октябрь 2024'!$D$5:$D$2162,$B100,'октябрь 2024'!$J$5:$J$2162,AH$1)</f>
        <v>0</v>
      </c>
      <c r="AI100" s="21">
        <f t="shared" si="1"/>
        <v>168</v>
      </c>
    </row>
    <row r="101" spans="2:35" ht="15" customHeight="1" x14ac:dyDescent="0.25">
      <c r="B101" s="89" t="s">
        <v>206</v>
      </c>
      <c r="C101" s="88">
        <v>185</v>
      </c>
      <c r="D101" s="80">
        <f>SUMIFS('октябрь 2024'!$G$5:$G$2162,'октябрь 2024'!$D$5:$D$2162,$B101,'октябрь 2024'!$J$5:$J$2162,D$1)</f>
        <v>0</v>
      </c>
      <c r="E101" s="80">
        <f>SUMIFS('октябрь 2024'!$G$5:$G$2162,'октябрь 2024'!$D$5:$D$2162,$B101,'октябрь 2024'!$J$5:$J$2162,E$1)</f>
        <v>0</v>
      </c>
      <c r="F101" s="80">
        <f>SUMIFS('октябрь 2024'!$G$5:$G$2162,'октябрь 2024'!$D$5:$D$2162,$B101,'октябрь 2024'!$J$5:$J$2162,F$1)</f>
        <v>0</v>
      </c>
      <c r="G101" s="80">
        <f>SUMIFS('октябрь 2024'!$G$5:$G$2162,'октябрь 2024'!$D$5:$D$2162,$B101,'октябрь 2024'!$J$5:$J$2162,G$1)</f>
        <v>0</v>
      </c>
      <c r="H101" s="80">
        <f>SUMIFS('октябрь 2024'!$G$5:$G$2162,'октябрь 2024'!$D$5:$D$2162,$B101,'октябрь 2024'!$J$5:$J$2162,H$1)</f>
        <v>0</v>
      </c>
      <c r="I101" s="80">
        <f>SUMIFS('октябрь 2024'!$G$5:$G$2162,'октябрь 2024'!$D$5:$D$2162,$B101,'октябрь 2024'!$J$5:$J$2162,I$1)</f>
        <v>0</v>
      </c>
      <c r="J101" s="80">
        <f>SUMIFS('октябрь 2024'!$G$5:$G$2162,'октябрь 2024'!$D$5:$D$2162,$B101,'октябрь 2024'!$J$5:$J$2162,J$1)</f>
        <v>0</v>
      </c>
      <c r="K101" s="80">
        <f>SUMIFS('октябрь 2024'!$G$5:$G$2162,'октябрь 2024'!$D$5:$D$2162,$B101,'октябрь 2024'!$J$5:$J$2162,K$1)</f>
        <v>0</v>
      </c>
      <c r="L101" s="80">
        <f>SUMIFS('октябрь 2024'!$G$5:$G$2162,'октябрь 2024'!$D$5:$D$2162,$B101,'октябрь 2024'!$J$5:$J$2162,L$1)</f>
        <v>0</v>
      </c>
      <c r="M101" s="80">
        <f>SUMIFS('октябрь 2024'!$G$5:$G$2162,'октябрь 2024'!$D$5:$D$2162,$B101,'октябрь 2024'!$J$5:$J$2162,M$1)</f>
        <v>0</v>
      </c>
      <c r="N101" s="80">
        <f>SUMIFS('октябрь 2024'!$G$5:$G$2162,'октябрь 2024'!$D$5:$D$2162,$B101,'октябрь 2024'!$J$5:$J$2162,N$1)</f>
        <v>0</v>
      </c>
      <c r="O101" s="80">
        <f>SUMIFS('октябрь 2024'!$G$5:$G$2162,'октябрь 2024'!$D$5:$D$2162,$B101,'октябрь 2024'!$J$5:$J$2162,O$1)</f>
        <v>0</v>
      </c>
      <c r="P101" s="80">
        <f>SUMIFS('октябрь 2024'!$G$5:$G$2162,'октябрь 2024'!$D$5:$D$2162,$B101,'октябрь 2024'!$J$5:$J$2162,P$1)</f>
        <v>0</v>
      </c>
      <c r="Q101" s="80">
        <f>SUMIFS('октябрь 2024'!$G$5:$G$2162,'октябрь 2024'!$D$5:$D$2162,$B101,'октябрь 2024'!$J$5:$J$2162,Q$1)</f>
        <v>0</v>
      </c>
      <c r="R101" s="80">
        <f>SUMIFS('октябрь 2024'!$G$5:$G$2162,'октябрь 2024'!$D$5:$D$2162,$B101,'октябрь 2024'!$J$5:$J$2162,R$1)</f>
        <v>0</v>
      </c>
      <c r="S101" s="80">
        <f>SUMIFS('октябрь 2024'!$G$5:$G$2162,'октябрь 2024'!$D$5:$D$2162,$B101,'октябрь 2024'!$J$5:$J$2162,S$1)</f>
        <v>0</v>
      </c>
      <c r="T101" s="80">
        <f>SUMIFS('октябрь 2024'!$G$5:$G$2162,'октябрь 2024'!$D$5:$D$2162,$B101,'октябрь 2024'!$J$5:$J$2162,T$1)</f>
        <v>0</v>
      </c>
      <c r="U101" s="80">
        <f>SUMIFS('октябрь 2024'!$G$5:$G$2162,'октябрь 2024'!$D$5:$D$2162,$B101,'октябрь 2024'!$J$5:$J$2162,U$1)</f>
        <v>0</v>
      </c>
      <c r="V101" s="80">
        <f>SUMIFS('октябрь 2024'!$G$5:$G$2162,'октябрь 2024'!$D$5:$D$2162,$B101,'октябрь 2024'!$J$5:$J$2162,V$1)</f>
        <v>0</v>
      </c>
      <c r="W101" s="80">
        <f>SUMIFS('октябрь 2024'!$G$5:$G$2162,'октябрь 2024'!$D$5:$D$2162,$B101,'октябрь 2024'!$J$5:$J$2162,W$1)</f>
        <v>0</v>
      </c>
      <c r="X101" s="80">
        <f>SUMIFS('октябрь 2024'!$G$5:$G$2162,'октябрь 2024'!$D$5:$D$2162,$B101,'октябрь 2024'!$J$5:$J$2162,X$1)</f>
        <v>0</v>
      </c>
      <c r="Y101" s="80">
        <f>SUMIFS('октябрь 2024'!$G$5:$G$2162,'октябрь 2024'!$D$5:$D$2162,$B101,'октябрь 2024'!$J$5:$J$2162,Y$1)</f>
        <v>0</v>
      </c>
      <c r="Z101" s="80">
        <f>SUMIFS('октябрь 2024'!$G$5:$G$2162,'октябрь 2024'!$D$5:$D$2162,$B101,'октябрь 2024'!$J$5:$J$2162,Z$1)</f>
        <v>0</v>
      </c>
      <c r="AA101" s="80">
        <f>SUMIFS('октябрь 2024'!$G$5:$G$2162,'октябрь 2024'!$D$5:$D$2162,$B101,'октябрь 2024'!$J$5:$J$2162,AA$1)</f>
        <v>0</v>
      </c>
      <c r="AB101" s="80">
        <f>SUMIFS('октябрь 2024'!$G$5:$G$2162,'октябрь 2024'!$D$5:$D$2162,$B101,'октябрь 2024'!$J$5:$J$2162,AB$1)</f>
        <v>0</v>
      </c>
      <c r="AC101" s="80">
        <f>SUMIFS('октябрь 2024'!$G$5:$G$2162,'октябрь 2024'!$D$5:$D$2162,$B101,'октябрь 2024'!$J$5:$J$2162,AC$1)</f>
        <v>0</v>
      </c>
      <c r="AD101" s="80">
        <f>SUMIFS('октябрь 2024'!$G$5:$G$2162,'октябрь 2024'!$D$5:$D$2162,$B101,'октябрь 2024'!$J$5:$J$2162,AD$1)</f>
        <v>0</v>
      </c>
      <c r="AE101" s="80">
        <f>SUMIFS('октябрь 2024'!$G$5:$G$2162,'октябрь 2024'!$D$5:$D$2162,$B101,'октябрь 2024'!$J$5:$J$2162,AE$1)</f>
        <v>0</v>
      </c>
      <c r="AF101" s="80">
        <f>SUMIFS('октябрь 2024'!$G$5:$G$2162,'октябрь 2024'!$D$5:$D$2162,$B101,'октябрь 2024'!$J$5:$J$2162,AF$1)</f>
        <v>0</v>
      </c>
      <c r="AG101" s="80">
        <f>SUMIFS('октябрь 2024'!$G$5:$G$2162,'октябрь 2024'!$D$5:$D$2162,$B101,'октябрь 2024'!$J$5:$J$2162,AG$1)</f>
        <v>0</v>
      </c>
      <c r="AH101" s="80">
        <f>SUMIFS('октябрь 2024'!$G$5:$G$2162,'октябрь 2024'!$D$5:$D$2162,$B101,'октябрь 2024'!$J$5:$J$2162,AH$1)</f>
        <v>0</v>
      </c>
      <c r="AI101" s="21">
        <f t="shared" si="1"/>
        <v>0</v>
      </c>
    </row>
    <row r="102" spans="2:35" ht="15" customHeight="1" x14ac:dyDescent="0.25">
      <c r="B102" s="89" t="s">
        <v>324</v>
      </c>
      <c r="C102" s="88">
        <v>180</v>
      </c>
      <c r="D102" s="80">
        <f>SUMIFS('октябрь 2024'!$G$5:$G$2162,'октябрь 2024'!$D$5:$D$2162,$B102,'октябрь 2024'!$J$5:$J$2162,D$1)</f>
        <v>0</v>
      </c>
      <c r="E102" s="80">
        <f>SUMIFS('октябрь 2024'!$G$5:$G$2162,'октябрь 2024'!$D$5:$D$2162,$B102,'октябрь 2024'!$J$5:$J$2162,E$1)</f>
        <v>0</v>
      </c>
      <c r="F102" s="80">
        <f>SUMIFS('октябрь 2024'!$G$5:$G$2162,'октябрь 2024'!$D$5:$D$2162,$B102,'октябрь 2024'!$J$5:$J$2162,F$1)</f>
        <v>0</v>
      </c>
      <c r="G102" s="80">
        <f>SUMIFS('октябрь 2024'!$G$5:$G$2162,'октябрь 2024'!$D$5:$D$2162,$B102,'октябрь 2024'!$J$5:$J$2162,G$1)</f>
        <v>0</v>
      </c>
      <c r="H102" s="80">
        <f>SUMIFS('октябрь 2024'!$G$5:$G$2162,'октябрь 2024'!$D$5:$D$2162,$B102,'октябрь 2024'!$J$5:$J$2162,H$1)</f>
        <v>0</v>
      </c>
      <c r="I102" s="80">
        <f>SUMIFS('октябрь 2024'!$G$5:$G$2162,'октябрь 2024'!$D$5:$D$2162,$B102,'октябрь 2024'!$J$5:$J$2162,I$1)</f>
        <v>0</v>
      </c>
      <c r="J102" s="80">
        <f>SUMIFS('октябрь 2024'!$G$5:$G$2162,'октябрь 2024'!$D$5:$D$2162,$B102,'октябрь 2024'!$J$5:$J$2162,J$1)</f>
        <v>0</v>
      </c>
      <c r="K102" s="80">
        <f>SUMIFS('октябрь 2024'!$G$5:$G$2162,'октябрь 2024'!$D$5:$D$2162,$B102,'октябрь 2024'!$J$5:$J$2162,K$1)</f>
        <v>0</v>
      </c>
      <c r="L102" s="80">
        <f>SUMIFS('октябрь 2024'!$G$5:$G$2162,'октябрь 2024'!$D$5:$D$2162,$B102,'октябрь 2024'!$J$5:$J$2162,L$1)</f>
        <v>0</v>
      </c>
      <c r="M102" s="80">
        <f>SUMIFS('октябрь 2024'!$G$5:$G$2162,'октябрь 2024'!$D$5:$D$2162,$B102,'октябрь 2024'!$J$5:$J$2162,M$1)</f>
        <v>0</v>
      </c>
      <c r="N102" s="80">
        <f>SUMIFS('октябрь 2024'!$G$5:$G$2162,'октябрь 2024'!$D$5:$D$2162,$B102,'октябрь 2024'!$J$5:$J$2162,N$1)</f>
        <v>0</v>
      </c>
      <c r="O102" s="80">
        <f>SUMIFS('октябрь 2024'!$G$5:$G$2162,'октябрь 2024'!$D$5:$D$2162,$B102,'октябрь 2024'!$J$5:$J$2162,O$1)</f>
        <v>0</v>
      </c>
      <c r="P102" s="80">
        <f>SUMIFS('октябрь 2024'!$G$5:$G$2162,'октябрь 2024'!$D$5:$D$2162,$B102,'октябрь 2024'!$J$5:$J$2162,P$1)</f>
        <v>0</v>
      </c>
      <c r="Q102" s="80">
        <f>SUMIFS('октябрь 2024'!$G$5:$G$2162,'октябрь 2024'!$D$5:$D$2162,$B102,'октябрь 2024'!$J$5:$J$2162,Q$1)</f>
        <v>0</v>
      </c>
      <c r="R102" s="80">
        <f>SUMIFS('октябрь 2024'!$G$5:$G$2162,'октябрь 2024'!$D$5:$D$2162,$B102,'октябрь 2024'!$J$5:$J$2162,R$1)</f>
        <v>0</v>
      </c>
      <c r="S102" s="80">
        <f>SUMIFS('октябрь 2024'!$G$5:$G$2162,'октябрь 2024'!$D$5:$D$2162,$B102,'октябрь 2024'!$J$5:$J$2162,S$1)</f>
        <v>0</v>
      </c>
      <c r="T102" s="80">
        <f>SUMIFS('октябрь 2024'!$G$5:$G$2162,'октябрь 2024'!$D$5:$D$2162,$B102,'октябрь 2024'!$J$5:$J$2162,T$1)</f>
        <v>0</v>
      </c>
      <c r="U102" s="80">
        <f>SUMIFS('октябрь 2024'!$G$5:$G$2162,'октябрь 2024'!$D$5:$D$2162,$B102,'октябрь 2024'!$J$5:$J$2162,U$1)</f>
        <v>0</v>
      </c>
      <c r="V102" s="80">
        <f>SUMIFS('октябрь 2024'!$G$5:$G$2162,'октябрь 2024'!$D$5:$D$2162,$B102,'октябрь 2024'!$J$5:$J$2162,V$1)</f>
        <v>0</v>
      </c>
      <c r="W102" s="80">
        <f>SUMIFS('октябрь 2024'!$G$5:$G$2162,'октябрь 2024'!$D$5:$D$2162,$B102,'октябрь 2024'!$J$5:$J$2162,W$1)</f>
        <v>0</v>
      </c>
      <c r="X102" s="80">
        <f>SUMIFS('октябрь 2024'!$G$5:$G$2162,'октябрь 2024'!$D$5:$D$2162,$B102,'октябрь 2024'!$J$5:$J$2162,X$1)</f>
        <v>0</v>
      </c>
      <c r="Y102" s="80">
        <f>SUMIFS('октябрь 2024'!$G$5:$G$2162,'октябрь 2024'!$D$5:$D$2162,$B102,'октябрь 2024'!$J$5:$J$2162,Y$1)</f>
        <v>0</v>
      </c>
      <c r="Z102" s="80">
        <f>SUMIFS('октябрь 2024'!$G$5:$G$2162,'октябрь 2024'!$D$5:$D$2162,$B102,'октябрь 2024'!$J$5:$J$2162,Z$1)</f>
        <v>0</v>
      </c>
      <c r="AA102" s="80">
        <f>SUMIFS('октябрь 2024'!$G$5:$G$2162,'октябрь 2024'!$D$5:$D$2162,$B102,'октябрь 2024'!$J$5:$J$2162,AA$1)</f>
        <v>0</v>
      </c>
      <c r="AB102" s="80">
        <f>SUMIFS('октябрь 2024'!$G$5:$G$2162,'октябрь 2024'!$D$5:$D$2162,$B102,'октябрь 2024'!$J$5:$J$2162,AB$1)</f>
        <v>0</v>
      </c>
      <c r="AC102" s="80">
        <f>SUMIFS('октябрь 2024'!$G$5:$G$2162,'октябрь 2024'!$D$5:$D$2162,$B102,'октябрь 2024'!$J$5:$J$2162,AC$1)</f>
        <v>0</v>
      </c>
      <c r="AD102" s="80">
        <f>SUMIFS('октябрь 2024'!$G$5:$G$2162,'октябрь 2024'!$D$5:$D$2162,$B102,'октябрь 2024'!$J$5:$J$2162,AD$1)</f>
        <v>0</v>
      </c>
      <c r="AE102" s="80">
        <f>SUMIFS('октябрь 2024'!$G$5:$G$2162,'октябрь 2024'!$D$5:$D$2162,$B102,'октябрь 2024'!$J$5:$J$2162,AE$1)</f>
        <v>0</v>
      </c>
      <c r="AF102" s="80">
        <f>SUMIFS('октябрь 2024'!$G$5:$G$2162,'октябрь 2024'!$D$5:$D$2162,$B102,'октябрь 2024'!$J$5:$J$2162,AF$1)</f>
        <v>0</v>
      </c>
      <c r="AG102" s="80">
        <f>SUMIFS('октябрь 2024'!$G$5:$G$2162,'октябрь 2024'!$D$5:$D$2162,$B102,'октябрь 2024'!$J$5:$J$2162,AG$1)</f>
        <v>0</v>
      </c>
      <c r="AH102" s="80">
        <f>SUMIFS('октябрь 2024'!$G$5:$G$2162,'октябрь 2024'!$D$5:$D$2162,$B102,'октябрь 2024'!$J$5:$J$2162,AH$1)</f>
        <v>0</v>
      </c>
      <c r="AI102" s="21">
        <f t="shared" si="1"/>
        <v>0</v>
      </c>
    </row>
    <row r="103" spans="2:35" ht="15" customHeight="1" x14ac:dyDescent="0.25">
      <c r="B103" s="93" t="s">
        <v>325</v>
      </c>
      <c r="C103" s="91">
        <v>200</v>
      </c>
      <c r="D103" s="80">
        <f>SUMIFS('октябрь 2024'!$G$5:$G$2162,'октябрь 2024'!$D$5:$D$2162,$B103,'октябрь 2024'!$J$5:$J$2162,D$1)</f>
        <v>0</v>
      </c>
      <c r="E103" s="80">
        <f>SUMIFS('октябрь 2024'!$G$5:$G$2162,'октябрь 2024'!$D$5:$D$2162,$B103,'октябрь 2024'!$J$5:$J$2162,E$1)</f>
        <v>0</v>
      </c>
      <c r="F103" s="80">
        <f>SUMIFS('октябрь 2024'!$G$5:$G$2162,'октябрь 2024'!$D$5:$D$2162,$B103,'октябрь 2024'!$J$5:$J$2162,F$1)</f>
        <v>0</v>
      </c>
      <c r="G103" s="80">
        <f>SUMIFS('октябрь 2024'!$G$5:$G$2162,'октябрь 2024'!$D$5:$D$2162,$B103,'октябрь 2024'!$J$5:$J$2162,G$1)</f>
        <v>0</v>
      </c>
      <c r="H103" s="80">
        <f>SUMIFS('октябрь 2024'!$G$5:$G$2162,'октябрь 2024'!$D$5:$D$2162,$B103,'октябрь 2024'!$J$5:$J$2162,H$1)</f>
        <v>0</v>
      </c>
      <c r="I103" s="80">
        <f>SUMIFS('октябрь 2024'!$G$5:$G$2162,'октябрь 2024'!$D$5:$D$2162,$B103,'октябрь 2024'!$J$5:$J$2162,I$1)</f>
        <v>0</v>
      </c>
      <c r="J103" s="80">
        <f>SUMIFS('октябрь 2024'!$G$5:$G$2162,'октябрь 2024'!$D$5:$D$2162,$B103,'октябрь 2024'!$J$5:$J$2162,J$1)</f>
        <v>0</v>
      </c>
      <c r="K103" s="80">
        <f>SUMIFS('октябрь 2024'!$G$5:$G$2162,'октябрь 2024'!$D$5:$D$2162,$B103,'октябрь 2024'!$J$5:$J$2162,K$1)</f>
        <v>0</v>
      </c>
      <c r="L103" s="80">
        <f>SUMIFS('октябрь 2024'!$G$5:$G$2162,'октябрь 2024'!$D$5:$D$2162,$B103,'октябрь 2024'!$J$5:$J$2162,L$1)</f>
        <v>0</v>
      </c>
      <c r="M103" s="80">
        <f>SUMIFS('октябрь 2024'!$G$5:$G$2162,'октябрь 2024'!$D$5:$D$2162,$B103,'октябрь 2024'!$J$5:$J$2162,M$1)</f>
        <v>0</v>
      </c>
      <c r="N103" s="80">
        <f>SUMIFS('октябрь 2024'!$G$5:$G$2162,'октябрь 2024'!$D$5:$D$2162,$B103,'октябрь 2024'!$J$5:$J$2162,N$1)</f>
        <v>0</v>
      </c>
      <c r="O103" s="80">
        <f>SUMIFS('октябрь 2024'!$G$5:$G$2162,'октябрь 2024'!$D$5:$D$2162,$B103,'октябрь 2024'!$J$5:$J$2162,O$1)</f>
        <v>0</v>
      </c>
      <c r="P103" s="80">
        <f>SUMIFS('октябрь 2024'!$G$5:$G$2162,'октябрь 2024'!$D$5:$D$2162,$B103,'октябрь 2024'!$J$5:$J$2162,P$1)</f>
        <v>0</v>
      </c>
      <c r="Q103" s="80">
        <f>SUMIFS('октябрь 2024'!$G$5:$G$2162,'октябрь 2024'!$D$5:$D$2162,$B103,'октябрь 2024'!$J$5:$J$2162,Q$1)</f>
        <v>0</v>
      </c>
      <c r="R103" s="80">
        <f>SUMIFS('октябрь 2024'!$G$5:$G$2162,'октябрь 2024'!$D$5:$D$2162,$B103,'октябрь 2024'!$J$5:$J$2162,R$1)</f>
        <v>0</v>
      </c>
      <c r="S103" s="80">
        <f>SUMIFS('октябрь 2024'!$G$5:$G$2162,'октябрь 2024'!$D$5:$D$2162,$B103,'октябрь 2024'!$J$5:$J$2162,S$1)</f>
        <v>0</v>
      </c>
      <c r="T103" s="80">
        <f>SUMIFS('октябрь 2024'!$G$5:$G$2162,'октябрь 2024'!$D$5:$D$2162,$B103,'октябрь 2024'!$J$5:$J$2162,T$1)</f>
        <v>0</v>
      </c>
      <c r="U103" s="80">
        <f>SUMIFS('октябрь 2024'!$G$5:$G$2162,'октябрь 2024'!$D$5:$D$2162,$B103,'октябрь 2024'!$J$5:$J$2162,U$1)</f>
        <v>0</v>
      </c>
      <c r="V103" s="80">
        <f>SUMIFS('октябрь 2024'!$G$5:$G$2162,'октябрь 2024'!$D$5:$D$2162,$B103,'октябрь 2024'!$J$5:$J$2162,V$1)</f>
        <v>0</v>
      </c>
      <c r="W103" s="80">
        <f>SUMIFS('октябрь 2024'!$G$5:$G$2162,'октябрь 2024'!$D$5:$D$2162,$B103,'октябрь 2024'!$J$5:$J$2162,W$1)</f>
        <v>0</v>
      </c>
      <c r="X103" s="80">
        <f>SUMIFS('октябрь 2024'!$G$5:$G$2162,'октябрь 2024'!$D$5:$D$2162,$B103,'октябрь 2024'!$J$5:$J$2162,X$1)</f>
        <v>0</v>
      </c>
      <c r="Y103" s="80">
        <f>SUMIFS('октябрь 2024'!$G$5:$G$2162,'октябрь 2024'!$D$5:$D$2162,$B103,'октябрь 2024'!$J$5:$J$2162,Y$1)</f>
        <v>0</v>
      </c>
      <c r="Z103" s="80">
        <f>SUMIFS('октябрь 2024'!$G$5:$G$2162,'октябрь 2024'!$D$5:$D$2162,$B103,'октябрь 2024'!$J$5:$J$2162,Z$1)</f>
        <v>0</v>
      </c>
      <c r="AA103" s="80">
        <f>SUMIFS('октябрь 2024'!$G$5:$G$2162,'октябрь 2024'!$D$5:$D$2162,$B103,'октябрь 2024'!$J$5:$J$2162,AA$1)</f>
        <v>0</v>
      </c>
      <c r="AB103" s="80">
        <f>SUMIFS('октябрь 2024'!$G$5:$G$2162,'октябрь 2024'!$D$5:$D$2162,$B103,'октябрь 2024'!$J$5:$J$2162,AB$1)</f>
        <v>0</v>
      </c>
      <c r="AC103" s="80">
        <f>SUMIFS('октябрь 2024'!$G$5:$G$2162,'октябрь 2024'!$D$5:$D$2162,$B103,'октябрь 2024'!$J$5:$J$2162,AC$1)</f>
        <v>0</v>
      </c>
      <c r="AD103" s="80">
        <f>SUMIFS('октябрь 2024'!$G$5:$G$2162,'октябрь 2024'!$D$5:$D$2162,$B103,'октябрь 2024'!$J$5:$J$2162,AD$1)</f>
        <v>0</v>
      </c>
      <c r="AE103" s="80">
        <f>SUMIFS('октябрь 2024'!$G$5:$G$2162,'октябрь 2024'!$D$5:$D$2162,$B103,'октябрь 2024'!$J$5:$J$2162,AE$1)</f>
        <v>0</v>
      </c>
      <c r="AF103" s="80">
        <f>SUMIFS('октябрь 2024'!$G$5:$G$2162,'октябрь 2024'!$D$5:$D$2162,$B103,'октябрь 2024'!$J$5:$J$2162,AF$1)</f>
        <v>0</v>
      </c>
      <c r="AG103" s="80">
        <f>SUMIFS('октябрь 2024'!$G$5:$G$2162,'октябрь 2024'!$D$5:$D$2162,$B103,'октябрь 2024'!$J$5:$J$2162,AG$1)</f>
        <v>0</v>
      </c>
      <c r="AH103" s="80">
        <f>SUMIFS('октябрь 2024'!$G$5:$G$2162,'октябрь 2024'!$D$5:$D$2162,$B103,'октябрь 2024'!$J$5:$J$2162,AH$1)</f>
        <v>0</v>
      </c>
      <c r="AI103" s="21">
        <f t="shared" si="1"/>
        <v>0</v>
      </c>
    </row>
    <row r="104" spans="2:35" ht="15" customHeight="1" x14ac:dyDescent="0.25">
      <c r="B104" s="93" t="s">
        <v>190</v>
      </c>
      <c r="C104" s="91">
        <v>200</v>
      </c>
      <c r="D104" s="80">
        <f>SUMIFS('октябрь 2024'!$G$5:$G$2162,'октябрь 2024'!$D$5:$D$2162,$B104,'октябрь 2024'!$J$5:$J$2162,D$1)</f>
        <v>0</v>
      </c>
      <c r="E104" s="80">
        <f>SUMIFS('октябрь 2024'!$G$5:$G$2162,'октябрь 2024'!$D$5:$D$2162,$B104,'октябрь 2024'!$J$5:$J$2162,E$1)</f>
        <v>0</v>
      </c>
      <c r="F104" s="80">
        <f>SUMIFS('октябрь 2024'!$G$5:$G$2162,'октябрь 2024'!$D$5:$D$2162,$B104,'октябрь 2024'!$J$5:$J$2162,F$1)</f>
        <v>0</v>
      </c>
      <c r="G104" s="80">
        <f>SUMIFS('октябрь 2024'!$G$5:$G$2162,'октябрь 2024'!$D$5:$D$2162,$B104,'октябрь 2024'!$J$5:$J$2162,G$1)</f>
        <v>0</v>
      </c>
      <c r="H104" s="80">
        <f>SUMIFS('октябрь 2024'!$G$5:$G$2162,'октябрь 2024'!$D$5:$D$2162,$B104,'октябрь 2024'!$J$5:$J$2162,H$1)</f>
        <v>0</v>
      </c>
      <c r="I104" s="80">
        <f>SUMIFS('октябрь 2024'!$G$5:$G$2162,'октябрь 2024'!$D$5:$D$2162,$B104,'октябрь 2024'!$J$5:$J$2162,I$1)</f>
        <v>0</v>
      </c>
      <c r="J104" s="80">
        <f>SUMIFS('октябрь 2024'!$G$5:$G$2162,'октябрь 2024'!$D$5:$D$2162,$B104,'октябрь 2024'!$J$5:$J$2162,J$1)</f>
        <v>0</v>
      </c>
      <c r="K104" s="80">
        <f>SUMIFS('октябрь 2024'!$G$5:$G$2162,'октябрь 2024'!$D$5:$D$2162,$B104,'октябрь 2024'!$J$5:$J$2162,K$1)</f>
        <v>0</v>
      </c>
      <c r="L104" s="80">
        <f>SUMIFS('октябрь 2024'!$G$5:$G$2162,'октябрь 2024'!$D$5:$D$2162,$B104,'октябрь 2024'!$J$5:$J$2162,L$1)</f>
        <v>0</v>
      </c>
      <c r="M104" s="80">
        <f>SUMIFS('октябрь 2024'!$G$5:$G$2162,'октябрь 2024'!$D$5:$D$2162,$B104,'октябрь 2024'!$J$5:$J$2162,M$1)</f>
        <v>0</v>
      </c>
      <c r="N104" s="80">
        <f>SUMIFS('октябрь 2024'!$G$5:$G$2162,'октябрь 2024'!$D$5:$D$2162,$B104,'октябрь 2024'!$J$5:$J$2162,N$1)</f>
        <v>0</v>
      </c>
      <c r="O104" s="80">
        <f>SUMIFS('октябрь 2024'!$G$5:$G$2162,'октябрь 2024'!$D$5:$D$2162,$B104,'октябрь 2024'!$J$5:$J$2162,O$1)</f>
        <v>0</v>
      </c>
      <c r="P104" s="80">
        <f>SUMIFS('октябрь 2024'!$G$5:$G$2162,'октябрь 2024'!$D$5:$D$2162,$B104,'октябрь 2024'!$J$5:$J$2162,P$1)</f>
        <v>0</v>
      </c>
      <c r="Q104" s="80">
        <f>SUMIFS('октябрь 2024'!$G$5:$G$2162,'октябрь 2024'!$D$5:$D$2162,$B104,'октябрь 2024'!$J$5:$J$2162,Q$1)</f>
        <v>0</v>
      </c>
      <c r="R104" s="80">
        <f>SUMIFS('октябрь 2024'!$G$5:$G$2162,'октябрь 2024'!$D$5:$D$2162,$B104,'октябрь 2024'!$J$5:$J$2162,R$1)</f>
        <v>0</v>
      </c>
      <c r="S104" s="80">
        <f>SUMIFS('октябрь 2024'!$G$5:$G$2162,'октябрь 2024'!$D$5:$D$2162,$B104,'октябрь 2024'!$J$5:$J$2162,S$1)</f>
        <v>0</v>
      </c>
      <c r="T104" s="80">
        <f>SUMIFS('октябрь 2024'!$G$5:$G$2162,'октябрь 2024'!$D$5:$D$2162,$B104,'октябрь 2024'!$J$5:$J$2162,T$1)</f>
        <v>0</v>
      </c>
      <c r="U104" s="80">
        <f>SUMIFS('октябрь 2024'!$G$5:$G$2162,'октябрь 2024'!$D$5:$D$2162,$B104,'октябрь 2024'!$J$5:$J$2162,U$1)</f>
        <v>0</v>
      </c>
      <c r="V104" s="80">
        <f>SUMIFS('октябрь 2024'!$G$5:$G$2162,'октябрь 2024'!$D$5:$D$2162,$B104,'октябрь 2024'!$J$5:$J$2162,V$1)</f>
        <v>0</v>
      </c>
      <c r="W104" s="80">
        <f>SUMIFS('октябрь 2024'!$G$5:$G$2162,'октябрь 2024'!$D$5:$D$2162,$B104,'октябрь 2024'!$J$5:$J$2162,W$1)</f>
        <v>0</v>
      </c>
      <c r="X104" s="80">
        <f>SUMIFS('октябрь 2024'!$G$5:$G$2162,'октябрь 2024'!$D$5:$D$2162,$B104,'октябрь 2024'!$J$5:$J$2162,X$1)</f>
        <v>0</v>
      </c>
      <c r="Y104" s="80">
        <f>SUMIFS('октябрь 2024'!$G$5:$G$2162,'октябрь 2024'!$D$5:$D$2162,$B104,'октябрь 2024'!$J$5:$J$2162,Y$1)</f>
        <v>0</v>
      </c>
      <c r="Z104" s="80">
        <f>SUMIFS('октябрь 2024'!$G$5:$G$2162,'октябрь 2024'!$D$5:$D$2162,$B104,'октябрь 2024'!$J$5:$J$2162,Z$1)</f>
        <v>0</v>
      </c>
      <c r="AA104" s="80">
        <f>SUMIFS('октябрь 2024'!$G$5:$G$2162,'октябрь 2024'!$D$5:$D$2162,$B104,'октябрь 2024'!$J$5:$J$2162,AA$1)</f>
        <v>0</v>
      </c>
      <c r="AB104" s="80">
        <f>SUMIFS('октябрь 2024'!$G$5:$G$2162,'октябрь 2024'!$D$5:$D$2162,$B104,'октябрь 2024'!$J$5:$J$2162,AB$1)</f>
        <v>0</v>
      </c>
      <c r="AC104" s="80">
        <f>SUMIFS('октябрь 2024'!$G$5:$G$2162,'октябрь 2024'!$D$5:$D$2162,$B104,'октябрь 2024'!$J$5:$J$2162,AC$1)</f>
        <v>0</v>
      </c>
      <c r="AD104" s="80">
        <f>SUMIFS('октябрь 2024'!$G$5:$G$2162,'октябрь 2024'!$D$5:$D$2162,$B104,'октябрь 2024'!$J$5:$J$2162,AD$1)</f>
        <v>0</v>
      </c>
      <c r="AE104" s="80">
        <f>SUMIFS('октябрь 2024'!$G$5:$G$2162,'октябрь 2024'!$D$5:$D$2162,$B104,'октябрь 2024'!$J$5:$J$2162,AE$1)</f>
        <v>0</v>
      </c>
      <c r="AF104" s="80">
        <f>SUMIFS('октябрь 2024'!$G$5:$G$2162,'октябрь 2024'!$D$5:$D$2162,$B104,'октябрь 2024'!$J$5:$J$2162,AF$1)</f>
        <v>0</v>
      </c>
      <c r="AG104" s="80">
        <f>SUMIFS('октябрь 2024'!$G$5:$G$2162,'октябрь 2024'!$D$5:$D$2162,$B104,'октябрь 2024'!$J$5:$J$2162,AG$1)</f>
        <v>0</v>
      </c>
      <c r="AH104" s="80">
        <f>SUMIFS('октябрь 2024'!$G$5:$G$2162,'октябрь 2024'!$D$5:$D$2162,$B104,'октябрь 2024'!$J$5:$J$2162,AH$1)</f>
        <v>0</v>
      </c>
      <c r="AI104" s="21">
        <f t="shared" si="1"/>
        <v>0</v>
      </c>
    </row>
    <row r="105" spans="2:35" ht="15" customHeight="1" x14ac:dyDescent="0.25">
      <c r="B105" s="93" t="s">
        <v>326</v>
      </c>
      <c r="C105" s="91">
        <v>200</v>
      </c>
      <c r="D105" s="80">
        <f>SUMIFS('октябрь 2024'!$G$5:$G$2162,'октябрь 2024'!$D$5:$D$2162,$B105,'октябрь 2024'!$J$5:$J$2162,D$1)</f>
        <v>0</v>
      </c>
      <c r="E105" s="80">
        <f>SUMIFS('октябрь 2024'!$G$5:$G$2162,'октябрь 2024'!$D$5:$D$2162,$B105,'октябрь 2024'!$J$5:$J$2162,E$1)</f>
        <v>0</v>
      </c>
      <c r="F105" s="80">
        <f>SUMIFS('октябрь 2024'!$G$5:$G$2162,'октябрь 2024'!$D$5:$D$2162,$B105,'октябрь 2024'!$J$5:$J$2162,F$1)</f>
        <v>0</v>
      </c>
      <c r="G105" s="80">
        <f>SUMIFS('октябрь 2024'!$G$5:$G$2162,'октябрь 2024'!$D$5:$D$2162,$B105,'октябрь 2024'!$J$5:$J$2162,G$1)</f>
        <v>0</v>
      </c>
      <c r="H105" s="80">
        <f>SUMIFS('октябрь 2024'!$G$5:$G$2162,'октябрь 2024'!$D$5:$D$2162,$B105,'октябрь 2024'!$J$5:$J$2162,H$1)</f>
        <v>0</v>
      </c>
      <c r="I105" s="80">
        <f>SUMIFS('октябрь 2024'!$G$5:$G$2162,'октябрь 2024'!$D$5:$D$2162,$B105,'октябрь 2024'!$J$5:$J$2162,I$1)</f>
        <v>0</v>
      </c>
      <c r="J105" s="80">
        <f>SUMIFS('октябрь 2024'!$G$5:$G$2162,'октябрь 2024'!$D$5:$D$2162,$B105,'октябрь 2024'!$J$5:$J$2162,J$1)</f>
        <v>0</v>
      </c>
      <c r="K105" s="80">
        <f>SUMIFS('октябрь 2024'!$G$5:$G$2162,'октябрь 2024'!$D$5:$D$2162,$B105,'октябрь 2024'!$J$5:$J$2162,K$1)</f>
        <v>0</v>
      </c>
      <c r="L105" s="80">
        <f>SUMIFS('октябрь 2024'!$G$5:$G$2162,'октябрь 2024'!$D$5:$D$2162,$B105,'октябрь 2024'!$J$5:$J$2162,L$1)</f>
        <v>0</v>
      </c>
      <c r="M105" s="80">
        <f>SUMIFS('октябрь 2024'!$G$5:$G$2162,'октябрь 2024'!$D$5:$D$2162,$B105,'октябрь 2024'!$J$5:$J$2162,M$1)</f>
        <v>0</v>
      </c>
      <c r="N105" s="80">
        <f>SUMIFS('октябрь 2024'!$G$5:$G$2162,'октябрь 2024'!$D$5:$D$2162,$B105,'октябрь 2024'!$J$5:$J$2162,N$1)</f>
        <v>0</v>
      </c>
      <c r="O105" s="80">
        <f>SUMIFS('октябрь 2024'!$G$5:$G$2162,'октябрь 2024'!$D$5:$D$2162,$B105,'октябрь 2024'!$J$5:$J$2162,O$1)</f>
        <v>0</v>
      </c>
      <c r="P105" s="80">
        <f>SUMIFS('октябрь 2024'!$G$5:$G$2162,'октябрь 2024'!$D$5:$D$2162,$B105,'октябрь 2024'!$J$5:$J$2162,P$1)</f>
        <v>0</v>
      </c>
      <c r="Q105" s="80">
        <f>SUMIFS('октябрь 2024'!$G$5:$G$2162,'октябрь 2024'!$D$5:$D$2162,$B105,'октябрь 2024'!$J$5:$J$2162,Q$1)</f>
        <v>0</v>
      </c>
      <c r="R105" s="80">
        <f>SUMIFS('октябрь 2024'!$G$5:$G$2162,'октябрь 2024'!$D$5:$D$2162,$B105,'октябрь 2024'!$J$5:$J$2162,R$1)</f>
        <v>0</v>
      </c>
      <c r="S105" s="80">
        <f>SUMIFS('октябрь 2024'!$G$5:$G$2162,'октябрь 2024'!$D$5:$D$2162,$B105,'октябрь 2024'!$J$5:$J$2162,S$1)</f>
        <v>0</v>
      </c>
      <c r="T105" s="80">
        <f>SUMIFS('октябрь 2024'!$G$5:$G$2162,'октябрь 2024'!$D$5:$D$2162,$B105,'октябрь 2024'!$J$5:$J$2162,T$1)</f>
        <v>0</v>
      </c>
      <c r="U105" s="80">
        <f>SUMIFS('октябрь 2024'!$G$5:$G$2162,'октябрь 2024'!$D$5:$D$2162,$B105,'октябрь 2024'!$J$5:$J$2162,U$1)</f>
        <v>0</v>
      </c>
      <c r="V105" s="80">
        <f>SUMIFS('октябрь 2024'!$G$5:$G$2162,'октябрь 2024'!$D$5:$D$2162,$B105,'октябрь 2024'!$J$5:$J$2162,V$1)</f>
        <v>0</v>
      </c>
      <c r="W105" s="80">
        <f>SUMIFS('октябрь 2024'!$G$5:$G$2162,'октябрь 2024'!$D$5:$D$2162,$B105,'октябрь 2024'!$J$5:$J$2162,W$1)</f>
        <v>0</v>
      </c>
      <c r="X105" s="80">
        <f>SUMIFS('октябрь 2024'!$G$5:$G$2162,'октябрь 2024'!$D$5:$D$2162,$B105,'октябрь 2024'!$J$5:$J$2162,X$1)</f>
        <v>0</v>
      </c>
      <c r="Y105" s="80">
        <f>SUMIFS('октябрь 2024'!$G$5:$G$2162,'октябрь 2024'!$D$5:$D$2162,$B105,'октябрь 2024'!$J$5:$J$2162,Y$1)</f>
        <v>0</v>
      </c>
      <c r="Z105" s="80">
        <f>SUMIFS('октябрь 2024'!$G$5:$G$2162,'октябрь 2024'!$D$5:$D$2162,$B105,'октябрь 2024'!$J$5:$J$2162,Z$1)</f>
        <v>0</v>
      </c>
      <c r="AA105" s="80">
        <f>SUMIFS('октябрь 2024'!$G$5:$G$2162,'октябрь 2024'!$D$5:$D$2162,$B105,'октябрь 2024'!$J$5:$J$2162,AA$1)</f>
        <v>0</v>
      </c>
      <c r="AB105" s="80">
        <f>SUMIFS('октябрь 2024'!$G$5:$G$2162,'октябрь 2024'!$D$5:$D$2162,$B105,'октябрь 2024'!$J$5:$J$2162,AB$1)</f>
        <v>0</v>
      </c>
      <c r="AC105" s="80">
        <f>SUMIFS('октябрь 2024'!$G$5:$G$2162,'октябрь 2024'!$D$5:$D$2162,$B105,'октябрь 2024'!$J$5:$J$2162,AC$1)</f>
        <v>0</v>
      </c>
      <c r="AD105" s="80">
        <f>SUMIFS('октябрь 2024'!$G$5:$G$2162,'октябрь 2024'!$D$5:$D$2162,$B105,'октябрь 2024'!$J$5:$J$2162,AD$1)</f>
        <v>0</v>
      </c>
      <c r="AE105" s="80">
        <f>SUMIFS('октябрь 2024'!$G$5:$G$2162,'октябрь 2024'!$D$5:$D$2162,$B105,'октябрь 2024'!$J$5:$J$2162,AE$1)</f>
        <v>0</v>
      </c>
      <c r="AF105" s="80">
        <f>SUMIFS('октябрь 2024'!$G$5:$G$2162,'октябрь 2024'!$D$5:$D$2162,$B105,'октябрь 2024'!$J$5:$J$2162,AF$1)</f>
        <v>0</v>
      </c>
      <c r="AG105" s="80">
        <f>SUMIFS('октябрь 2024'!$G$5:$G$2162,'октябрь 2024'!$D$5:$D$2162,$B105,'октябрь 2024'!$J$5:$J$2162,AG$1)</f>
        <v>0</v>
      </c>
      <c r="AH105" s="80">
        <f>SUMIFS('октябрь 2024'!$G$5:$G$2162,'октябрь 2024'!$D$5:$D$2162,$B105,'октябрь 2024'!$J$5:$J$2162,AH$1)</f>
        <v>0</v>
      </c>
      <c r="AI105" s="21">
        <f t="shared" si="1"/>
        <v>0</v>
      </c>
    </row>
    <row r="106" spans="2:35" ht="15" customHeight="1" x14ac:dyDescent="0.25">
      <c r="B106" s="93" t="s">
        <v>327</v>
      </c>
      <c r="C106" s="91">
        <v>200</v>
      </c>
      <c r="D106" s="80">
        <f>SUMIFS('октябрь 2024'!$G$5:$G$2162,'октябрь 2024'!$D$5:$D$2162,$B106,'октябрь 2024'!$J$5:$J$2162,D$1)</f>
        <v>0</v>
      </c>
      <c r="E106" s="80">
        <f>SUMIFS('октябрь 2024'!$G$5:$G$2162,'октябрь 2024'!$D$5:$D$2162,$B106,'октябрь 2024'!$J$5:$J$2162,E$1)</f>
        <v>0</v>
      </c>
      <c r="F106" s="80">
        <f>SUMIFS('октябрь 2024'!$G$5:$G$2162,'октябрь 2024'!$D$5:$D$2162,$B106,'октябрь 2024'!$J$5:$J$2162,F$1)</f>
        <v>0</v>
      </c>
      <c r="G106" s="80">
        <f>SUMIFS('октябрь 2024'!$G$5:$G$2162,'октябрь 2024'!$D$5:$D$2162,$B106,'октябрь 2024'!$J$5:$J$2162,G$1)</f>
        <v>0</v>
      </c>
      <c r="H106" s="80">
        <f>SUMIFS('октябрь 2024'!$G$5:$G$2162,'октябрь 2024'!$D$5:$D$2162,$B106,'октябрь 2024'!$J$5:$J$2162,H$1)</f>
        <v>0</v>
      </c>
      <c r="I106" s="80">
        <f>SUMIFS('октябрь 2024'!$G$5:$G$2162,'октябрь 2024'!$D$5:$D$2162,$B106,'октябрь 2024'!$J$5:$J$2162,I$1)</f>
        <v>0</v>
      </c>
      <c r="J106" s="80">
        <f>SUMIFS('октябрь 2024'!$G$5:$G$2162,'октябрь 2024'!$D$5:$D$2162,$B106,'октябрь 2024'!$J$5:$J$2162,J$1)</f>
        <v>0</v>
      </c>
      <c r="K106" s="80">
        <f>SUMIFS('октябрь 2024'!$G$5:$G$2162,'октябрь 2024'!$D$5:$D$2162,$B106,'октябрь 2024'!$J$5:$J$2162,K$1)</f>
        <v>0</v>
      </c>
      <c r="L106" s="80">
        <f>SUMIFS('октябрь 2024'!$G$5:$G$2162,'октябрь 2024'!$D$5:$D$2162,$B106,'октябрь 2024'!$J$5:$J$2162,L$1)</f>
        <v>0</v>
      </c>
      <c r="M106" s="80">
        <f>SUMIFS('октябрь 2024'!$G$5:$G$2162,'октябрь 2024'!$D$5:$D$2162,$B106,'октябрь 2024'!$J$5:$J$2162,M$1)</f>
        <v>0</v>
      </c>
      <c r="N106" s="80">
        <f>SUMIFS('октябрь 2024'!$G$5:$G$2162,'октябрь 2024'!$D$5:$D$2162,$B106,'октябрь 2024'!$J$5:$J$2162,N$1)</f>
        <v>0</v>
      </c>
      <c r="O106" s="80">
        <f>SUMIFS('октябрь 2024'!$G$5:$G$2162,'октябрь 2024'!$D$5:$D$2162,$B106,'октябрь 2024'!$J$5:$J$2162,O$1)</f>
        <v>0</v>
      </c>
      <c r="P106" s="80">
        <f>SUMIFS('октябрь 2024'!$G$5:$G$2162,'октябрь 2024'!$D$5:$D$2162,$B106,'октябрь 2024'!$J$5:$J$2162,P$1)</f>
        <v>0</v>
      </c>
      <c r="Q106" s="80">
        <f>SUMIFS('октябрь 2024'!$G$5:$G$2162,'октябрь 2024'!$D$5:$D$2162,$B106,'октябрь 2024'!$J$5:$J$2162,Q$1)</f>
        <v>0</v>
      </c>
      <c r="R106" s="80">
        <f>SUMIFS('октябрь 2024'!$G$5:$G$2162,'октябрь 2024'!$D$5:$D$2162,$B106,'октябрь 2024'!$J$5:$J$2162,R$1)</f>
        <v>0</v>
      </c>
      <c r="S106" s="80">
        <f>SUMIFS('октябрь 2024'!$G$5:$G$2162,'октябрь 2024'!$D$5:$D$2162,$B106,'октябрь 2024'!$J$5:$J$2162,S$1)</f>
        <v>0</v>
      </c>
      <c r="T106" s="80">
        <f>SUMIFS('октябрь 2024'!$G$5:$G$2162,'октябрь 2024'!$D$5:$D$2162,$B106,'октябрь 2024'!$J$5:$J$2162,T$1)</f>
        <v>0</v>
      </c>
      <c r="U106" s="80">
        <f>SUMIFS('октябрь 2024'!$G$5:$G$2162,'октябрь 2024'!$D$5:$D$2162,$B106,'октябрь 2024'!$J$5:$J$2162,U$1)</f>
        <v>0</v>
      </c>
      <c r="V106" s="80">
        <f>SUMIFS('октябрь 2024'!$G$5:$G$2162,'октябрь 2024'!$D$5:$D$2162,$B106,'октябрь 2024'!$J$5:$J$2162,V$1)</f>
        <v>0</v>
      </c>
      <c r="W106" s="80">
        <f>SUMIFS('октябрь 2024'!$G$5:$G$2162,'октябрь 2024'!$D$5:$D$2162,$B106,'октябрь 2024'!$J$5:$J$2162,W$1)</f>
        <v>0</v>
      </c>
      <c r="X106" s="80">
        <f>SUMIFS('октябрь 2024'!$G$5:$G$2162,'октябрь 2024'!$D$5:$D$2162,$B106,'октябрь 2024'!$J$5:$J$2162,X$1)</f>
        <v>0</v>
      </c>
      <c r="Y106" s="80">
        <f>SUMIFS('октябрь 2024'!$G$5:$G$2162,'октябрь 2024'!$D$5:$D$2162,$B106,'октябрь 2024'!$J$5:$J$2162,Y$1)</f>
        <v>0</v>
      </c>
      <c r="Z106" s="80">
        <f>SUMIFS('октябрь 2024'!$G$5:$G$2162,'октябрь 2024'!$D$5:$D$2162,$B106,'октябрь 2024'!$J$5:$J$2162,Z$1)</f>
        <v>0</v>
      </c>
      <c r="AA106" s="80">
        <f>SUMIFS('октябрь 2024'!$G$5:$G$2162,'октябрь 2024'!$D$5:$D$2162,$B106,'октябрь 2024'!$J$5:$J$2162,AA$1)</f>
        <v>0</v>
      </c>
      <c r="AB106" s="80">
        <f>SUMIFS('октябрь 2024'!$G$5:$G$2162,'октябрь 2024'!$D$5:$D$2162,$B106,'октябрь 2024'!$J$5:$J$2162,AB$1)</f>
        <v>0</v>
      </c>
      <c r="AC106" s="80">
        <f>SUMIFS('октябрь 2024'!$G$5:$G$2162,'октябрь 2024'!$D$5:$D$2162,$B106,'октябрь 2024'!$J$5:$J$2162,AC$1)</f>
        <v>0</v>
      </c>
      <c r="AD106" s="80">
        <f>SUMIFS('октябрь 2024'!$G$5:$G$2162,'октябрь 2024'!$D$5:$D$2162,$B106,'октябрь 2024'!$J$5:$J$2162,AD$1)</f>
        <v>0</v>
      </c>
      <c r="AE106" s="80">
        <f>SUMIFS('октябрь 2024'!$G$5:$G$2162,'октябрь 2024'!$D$5:$D$2162,$B106,'октябрь 2024'!$J$5:$J$2162,AE$1)</f>
        <v>0</v>
      </c>
      <c r="AF106" s="80">
        <f>SUMIFS('октябрь 2024'!$G$5:$G$2162,'октябрь 2024'!$D$5:$D$2162,$B106,'октябрь 2024'!$J$5:$J$2162,AF$1)</f>
        <v>0</v>
      </c>
      <c r="AG106" s="80">
        <f>SUMIFS('октябрь 2024'!$G$5:$G$2162,'октябрь 2024'!$D$5:$D$2162,$B106,'октябрь 2024'!$J$5:$J$2162,AG$1)</f>
        <v>0</v>
      </c>
      <c r="AH106" s="80">
        <f>SUMIFS('октябрь 2024'!$G$5:$G$2162,'октябрь 2024'!$D$5:$D$2162,$B106,'октябрь 2024'!$J$5:$J$2162,AH$1)</f>
        <v>0</v>
      </c>
      <c r="AI106" s="21">
        <f t="shared" si="1"/>
        <v>0</v>
      </c>
    </row>
    <row r="107" spans="2:35" ht="15" customHeight="1" x14ac:dyDescent="0.25">
      <c r="B107" s="89" t="s">
        <v>223</v>
      </c>
      <c r="C107" s="88">
        <v>25</v>
      </c>
      <c r="D107" s="80">
        <f>SUMIFS('октябрь 2024'!$G$5:$G$2162,'октябрь 2024'!$D$5:$D$2162,$B107,'октябрь 2024'!$J$5:$J$2162,D$1)</f>
        <v>0</v>
      </c>
      <c r="E107" s="80">
        <f>SUMIFS('октябрь 2024'!$G$5:$G$2162,'октябрь 2024'!$D$5:$D$2162,$B107,'октябрь 2024'!$J$5:$J$2162,E$1)</f>
        <v>0</v>
      </c>
      <c r="F107" s="80">
        <f>SUMIFS('октябрь 2024'!$G$5:$G$2162,'октябрь 2024'!$D$5:$D$2162,$B107,'октябрь 2024'!$J$5:$J$2162,F$1)</f>
        <v>0</v>
      </c>
      <c r="G107" s="80">
        <f>SUMIFS('октябрь 2024'!$G$5:$G$2162,'октябрь 2024'!$D$5:$D$2162,$B107,'октябрь 2024'!$J$5:$J$2162,G$1)</f>
        <v>0</v>
      </c>
      <c r="H107" s="80">
        <f>SUMIFS('октябрь 2024'!$G$5:$G$2162,'октябрь 2024'!$D$5:$D$2162,$B107,'октябрь 2024'!$J$5:$J$2162,H$1)</f>
        <v>0</v>
      </c>
      <c r="I107" s="80">
        <f>SUMIFS('октябрь 2024'!$G$5:$G$2162,'октябрь 2024'!$D$5:$D$2162,$B107,'октябрь 2024'!$J$5:$J$2162,I$1)</f>
        <v>0</v>
      </c>
      <c r="J107" s="80">
        <f>SUMIFS('октябрь 2024'!$G$5:$G$2162,'октябрь 2024'!$D$5:$D$2162,$B107,'октябрь 2024'!$J$5:$J$2162,J$1)</f>
        <v>0</v>
      </c>
      <c r="K107" s="80">
        <f>SUMIFS('октябрь 2024'!$G$5:$G$2162,'октябрь 2024'!$D$5:$D$2162,$B107,'октябрь 2024'!$J$5:$J$2162,K$1)</f>
        <v>0</v>
      </c>
      <c r="L107" s="80">
        <f>SUMIFS('октябрь 2024'!$G$5:$G$2162,'октябрь 2024'!$D$5:$D$2162,$B107,'октябрь 2024'!$J$5:$J$2162,L$1)</f>
        <v>0</v>
      </c>
      <c r="M107" s="80">
        <f>SUMIFS('октябрь 2024'!$G$5:$G$2162,'октябрь 2024'!$D$5:$D$2162,$B107,'октябрь 2024'!$J$5:$J$2162,M$1)</f>
        <v>0</v>
      </c>
      <c r="N107" s="80">
        <f>SUMIFS('октябрь 2024'!$G$5:$G$2162,'октябрь 2024'!$D$5:$D$2162,$B107,'октябрь 2024'!$J$5:$J$2162,N$1)</f>
        <v>0</v>
      </c>
      <c r="O107" s="80">
        <f>SUMIFS('октябрь 2024'!$G$5:$G$2162,'октябрь 2024'!$D$5:$D$2162,$B107,'октябрь 2024'!$J$5:$J$2162,O$1)</f>
        <v>0</v>
      </c>
      <c r="P107" s="80">
        <f>SUMIFS('октябрь 2024'!$G$5:$G$2162,'октябрь 2024'!$D$5:$D$2162,$B107,'октябрь 2024'!$J$5:$J$2162,P$1)</f>
        <v>0</v>
      </c>
      <c r="Q107" s="80">
        <f>SUMIFS('октябрь 2024'!$G$5:$G$2162,'октябрь 2024'!$D$5:$D$2162,$B107,'октябрь 2024'!$J$5:$J$2162,Q$1)</f>
        <v>0</v>
      </c>
      <c r="R107" s="80">
        <f>SUMIFS('октябрь 2024'!$G$5:$G$2162,'октябрь 2024'!$D$5:$D$2162,$B107,'октябрь 2024'!$J$5:$J$2162,R$1)</f>
        <v>0</v>
      </c>
      <c r="S107" s="80">
        <f>SUMIFS('октябрь 2024'!$G$5:$G$2162,'октябрь 2024'!$D$5:$D$2162,$B107,'октябрь 2024'!$J$5:$J$2162,S$1)</f>
        <v>0</v>
      </c>
      <c r="T107" s="80">
        <f>SUMIFS('октябрь 2024'!$G$5:$G$2162,'октябрь 2024'!$D$5:$D$2162,$B107,'октябрь 2024'!$J$5:$J$2162,T$1)</f>
        <v>0</v>
      </c>
      <c r="U107" s="80">
        <f>SUMIFS('октябрь 2024'!$G$5:$G$2162,'октябрь 2024'!$D$5:$D$2162,$B107,'октябрь 2024'!$J$5:$J$2162,U$1)</f>
        <v>0</v>
      </c>
      <c r="V107" s="80">
        <f>SUMIFS('октябрь 2024'!$G$5:$G$2162,'октябрь 2024'!$D$5:$D$2162,$B107,'октябрь 2024'!$J$5:$J$2162,V$1)</f>
        <v>0</v>
      </c>
      <c r="W107" s="80">
        <f>SUMIFS('октябрь 2024'!$G$5:$G$2162,'октябрь 2024'!$D$5:$D$2162,$B107,'октябрь 2024'!$J$5:$J$2162,W$1)</f>
        <v>0</v>
      </c>
      <c r="X107" s="80">
        <f>SUMIFS('октябрь 2024'!$G$5:$G$2162,'октябрь 2024'!$D$5:$D$2162,$B107,'октябрь 2024'!$J$5:$J$2162,X$1)</f>
        <v>0</v>
      </c>
      <c r="Y107" s="80">
        <f>SUMIFS('октябрь 2024'!$G$5:$G$2162,'октябрь 2024'!$D$5:$D$2162,$B107,'октябрь 2024'!$J$5:$J$2162,Y$1)</f>
        <v>0</v>
      </c>
      <c r="Z107" s="80">
        <f>SUMIFS('октябрь 2024'!$G$5:$G$2162,'октябрь 2024'!$D$5:$D$2162,$B107,'октябрь 2024'!$J$5:$J$2162,Z$1)</f>
        <v>0</v>
      </c>
      <c r="AA107" s="80">
        <f>SUMIFS('октябрь 2024'!$G$5:$G$2162,'октябрь 2024'!$D$5:$D$2162,$B107,'октябрь 2024'!$J$5:$J$2162,AA$1)</f>
        <v>0</v>
      </c>
      <c r="AB107" s="80">
        <f>SUMIFS('октябрь 2024'!$G$5:$G$2162,'октябрь 2024'!$D$5:$D$2162,$B107,'октябрь 2024'!$J$5:$J$2162,AB$1)</f>
        <v>0</v>
      </c>
      <c r="AC107" s="80">
        <f>SUMIFS('октябрь 2024'!$G$5:$G$2162,'октябрь 2024'!$D$5:$D$2162,$B107,'октябрь 2024'!$J$5:$J$2162,AC$1)</f>
        <v>0</v>
      </c>
      <c r="AD107" s="80">
        <f>SUMIFS('октябрь 2024'!$G$5:$G$2162,'октябрь 2024'!$D$5:$D$2162,$B107,'октябрь 2024'!$J$5:$J$2162,AD$1)</f>
        <v>0</v>
      </c>
      <c r="AE107" s="80">
        <f>SUMIFS('октябрь 2024'!$G$5:$G$2162,'октябрь 2024'!$D$5:$D$2162,$B107,'октябрь 2024'!$J$5:$J$2162,AE$1)</f>
        <v>0</v>
      </c>
      <c r="AF107" s="80">
        <f>SUMIFS('октябрь 2024'!$G$5:$G$2162,'октябрь 2024'!$D$5:$D$2162,$B107,'октябрь 2024'!$J$5:$J$2162,AF$1)</f>
        <v>0</v>
      </c>
      <c r="AG107" s="80">
        <f>SUMIFS('октябрь 2024'!$G$5:$G$2162,'октябрь 2024'!$D$5:$D$2162,$B107,'октябрь 2024'!$J$5:$J$2162,AG$1)</f>
        <v>0</v>
      </c>
      <c r="AH107" s="80">
        <f>SUMIFS('октябрь 2024'!$G$5:$G$2162,'октябрь 2024'!$D$5:$D$2162,$B107,'октябрь 2024'!$J$5:$J$2162,AH$1)</f>
        <v>0</v>
      </c>
      <c r="AI107" s="21">
        <f t="shared" si="1"/>
        <v>0</v>
      </c>
    </row>
    <row r="108" spans="2:35" ht="15" customHeight="1" x14ac:dyDescent="0.25">
      <c r="B108" s="93" t="s">
        <v>328</v>
      </c>
      <c r="C108" s="91">
        <v>50</v>
      </c>
      <c r="D108" s="80">
        <f>SUMIFS('октябрь 2024'!$G$5:$G$2162,'октябрь 2024'!$D$5:$D$2162,$B108,'октябрь 2024'!$J$5:$J$2162,D$1)</f>
        <v>0</v>
      </c>
      <c r="E108" s="80">
        <f>SUMIFS('октябрь 2024'!$G$5:$G$2162,'октябрь 2024'!$D$5:$D$2162,$B108,'октябрь 2024'!$J$5:$J$2162,E$1)</f>
        <v>0</v>
      </c>
      <c r="F108" s="80">
        <f>SUMIFS('октябрь 2024'!$G$5:$G$2162,'октябрь 2024'!$D$5:$D$2162,$B108,'октябрь 2024'!$J$5:$J$2162,F$1)</f>
        <v>0</v>
      </c>
      <c r="G108" s="80">
        <f>SUMIFS('октябрь 2024'!$G$5:$G$2162,'октябрь 2024'!$D$5:$D$2162,$B108,'октябрь 2024'!$J$5:$J$2162,G$1)</f>
        <v>0</v>
      </c>
      <c r="H108" s="80">
        <f>SUMIFS('октябрь 2024'!$G$5:$G$2162,'октябрь 2024'!$D$5:$D$2162,$B108,'октябрь 2024'!$J$5:$J$2162,H$1)</f>
        <v>0</v>
      </c>
      <c r="I108" s="80">
        <f>SUMIFS('октябрь 2024'!$G$5:$G$2162,'октябрь 2024'!$D$5:$D$2162,$B108,'октябрь 2024'!$J$5:$J$2162,I$1)</f>
        <v>0</v>
      </c>
      <c r="J108" s="80">
        <f>SUMIFS('октябрь 2024'!$G$5:$G$2162,'октябрь 2024'!$D$5:$D$2162,$B108,'октябрь 2024'!$J$5:$J$2162,J$1)</f>
        <v>0</v>
      </c>
      <c r="K108" s="80">
        <f>SUMIFS('октябрь 2024'!$G$5:$G$2162,'октябрь 2024'!$D$5:$D$2162,$B108,'октябрь 2024'!$J$5:$J$2162,K$1)</f>
        <v>0</v>
      </c>
      <c r="L108" s="80">
        <f>SUMIFS('октябрь 2024'!$G$5:$G$2162,'октябрь 2024'!$D$5:$D$2162,$B108,'октябрь 2024'!$J$5:$J$2162,L$1)</f>
        <v>0</v>
      </c>
      <c r="M108" s="80">
        <f>SUMIFS('октябрь 2024'!$G$5:$G$2162,'октябрь 2024'!$D$5:$D$2162,$B108,'октябрь 2024'!$J$5:$J$2162,M$1)</f>
        <v>0</v>
      </c>
      <c r="N108" s="80">
        <f>SUMIFS('октябрь 2024'!$G$5:$G$2162,'октябрь 2024'!$D$5:$D$2162,$B108,'октябрь 2024'!$J$5:$J$2162,N$1)</f>
        <v>0</v>
      </c>
      <c r="O108" s="80">
        <f>SUMIFS('октябрь 2024'!$G$5:$G$2162,'октябрь 2024'!$D$5:$D$2162,$B108,'октябрь 2024'!$J$5:$J$2162,O$1)</f>
        <v>0</v>
      </c>
      <c r="P108" s="80">
        <f>SUMIFS('октябрь 2024'!$G$5:$G$2162,'октябрь 2024'!$D$5:$D$2162,$B108,'октябрь 2024'!$J$5:$J$2162,P$1)</f>
        <v>0</v>
      </c>
      <c r="Q108" s="80">
        <f>SUMIFS('октябрь 2024'!$G$5:$G$2162,'октябрь 2024'!$D$5:$D$2162,$B108,'октябрь 2024'!$J$5:$J$2162,Q$1)</f>
        <v>0</v>
      </c>
      <c r="R108" s="80">
        <f>SUMIFS('октябрь 2024'!$G$5:$G$2162,'октябрь 2024'!$D$5:$D$2162,$B108,'октябрь 2024'!$J$5:$J$2162,R$1)</f>
        <v>0</v>
      </c>
      <c r="S108" s="80">
        <f>SUMIFS('октябрь 2024'!$G$5:$G$2162,'октябрь 2024'!$D$5:$D$2162,$B108,'октябрь 2024'!$J$5:$J$2162,S$1)</f>
        <v>0</v>
      </c>
      <c r="T108" s="80">
        <f>SUMIFS('октябрь 2024'!$G$5:$G$2162,'октябрь 2024'!$D$5:$D$2162,$B108,'октябрь 2024'!$J$5:$J$2162,T$1)</f>
        <v>0</v>
      </c>
      <c r="U108" s="80">
        <f>SUMIFS('октябрь 2024'!$G$5:$G$2162,'октябрь 2024'!$D$5:$D$2162,$B108,'октябрь 2024'!$J$5:$J$2162,U$1)</f>
        <v>0</v>
      </c>
      <c r="V108" s="80">
        <f>SUMIFS('октябрь 2024'!$G$5:$G$2162,'октябрь 2024'!$D$5:$D$2162,$B108,'октябрь 2024'!$J$5:$J$2162,V$1)</f>
        <v>0</v>
      </c>
      <c r="W108" s="80">
        <f>SUMIFS('октябрь 2024'!$G$5:$G$2162,'октябрь 2024'!$D$5:$D$2162,$B108,'октябрь 2024'!$J$5:$J$2162,W$1)</f>
        <v>0</v>
      </c>
      <c r="X108" s="80">
        <f>SUMIFS('октябрь 2024'!$G$5:$G$2162,'октябрь 2024'!$D$5:$D$2162,$B108,'октябрь 2024'!$J$5:$J$2162,X$1)</f>
        <v>0</v>
      </c>
      <c r="Y108" s="80">
        <f>SUMIFS('октябрь 2024'!$G$5:$G$2162,'октябрь 2024'!$D$5:$D$2162,$B108,'октябрь 2024'!$J$5:$J$2162,Y$1)</f>
        <v>0</v>
      </c>
      <c r="Z108" s="80">
        <f>SUMIFS('октябрь 2024'!$G$5:$G$2162,'октябрь 2024'!$D$5:$D$2162,$B108,'октябрь 2024'!$J$5:$J$2162,Z$1)</f>
        <v>0</v>
      </c>
      <c r="AA108" s="80">
        <f>SUMIFS('октябрь 2024'!$G$5:$G$2162,'октябрь 2024'!$D$5:$D$2162,$B108,'октябрь 2024'!$J$5:$J$2162,AA$1)</f>
        <v>0</v>
      </c>
      <c r="AB108" s="80">
        <f>SUMIFS('октябрь 2024'!$G$5:$G$2162,'октябрь 2024'!$D$5:$D$2162,$B108,'октябрь 2024'!$J$5:$J$2162,AB$1)</f>
        <v>0</v>
      </c>
      <c r="AC108" s="80">
        <f>SUMIFS('октябрь 2024'!$G$5:$G$2162,'октябрь 2024'!$D$5:$D$2162,$B108,'октябрь 2024'!$J$5:$J$2162,AC$1)</f>
        <v>0</v>
      </c>
      <c r="AD108" s="80">
        <f>SUMIFS('октябрь 2024'!$G$5:$G$2162,'октябрь 2024'!$D$5:$D$2162,$B108,'октябрь 2024'!$J$5:$J$2162,AD$1)</f>
        <v>0</v>
      </c>
      <c r="AE108" s="80">
        <f>SUMIFS('октябрь 2024'!$G$5:$G$2162,'октябрь 2024'!$D$5:$D$2162,$B108,'октябрь 2024'!$J$5:$J$2162,AE$1)</f>
        <v>0</v>
      </c>
      <c r="AF108" s="80">
        <f>SUMIFS('октябрь 2024'!$G$5:$G$2162,'октябрь 2024'!$D$5:$D$2162,$B108,'октябрь 2024'!$J$5:$J$2162,AF$1)</f>
        <v>0</v>
      </c>
      <c r="AG108" s="80">
        <f>SUMIFS('октябрь 2024'!$G$5:$G$2162,'октябрь 2024'!$D$5:$D$2162,$B108,'октябрь 2024'!$J$5:$J$2162,AG$1)</f>
        <v>0</v>
      </c>
      <c r="AH108" s="80">
        <f>SUMIFS('октябрь 2024'!$G$5:$G$2162,'октябрь 2024'!$D$5:$D$2162,$B108,'октябрь 2024'!$J$5:$J$2162,AH$1)</f>
        <v>0</v>
      </c>
      <c r="AI108" s="21">
        <f t="shared" si="1"/>
        <v>0</v>
      </c>
    </row>
    <row r="109" spans="2:35" ht="15" customHeight="1" x14ac:dyDescent="0.25">
      <c r="B109" s="93" t="s">
        <v>195</v>
      </c>
      <c r="C109" s="91">
        <v>180</v>
      </c>
      <c r="D109" s="80">
        <f>SUMIFS('октябрь 2024'!$G$5:$G$2162,'октябрь 2024'!$D$5:$D$2162,$B109,'октябрь 2024'!$J$5:$J$2162,D$1)</f>
        <v>0</v>
      </c>
      <c r="E109" s="80">
        <f>SUMIFS('октябрь 2024'!$G$5:$G$2162,'октябрь 2024'!$D$5:$D$2162,$B109,'октябрь 2024'!$J$5:$J$2162,E$1)</f>
        <v>0</v>
      </c>
      <c r="F109" s="80">
        <f>SUMIFS('октябрь 2024'!$G$5:$G$2162,'октябрь 2024'!$D$5:$D$2162,$B109,'октябрь 2024'!$J$5:$J$2162,F$1)</f>
        <v>0</v>
      </c>
      <c r="G109" s="80">
        <f>SUMIFS('октябрь 2024'!$G$5:$G$2162,'октябрь 2024'!$D$5:$D$2162,$B109,'октябрь 2024'!$J$5:$J$2162,G$1)</f>
        <v>0</v>
      </c>
      <c r="H109" s="80">
        <f>SUMIFS('октябрь 2024'!$G$5:$G$2162,'октябрь 2024'!$D$5:$D$2162,$B109,'октябрь 2024'!$J$5:$J$2162,H$1)</f>
        <v>0</v>
      </c>
      <c r="I109" s="80">
        <f>SUMIFS('октябрь 2024'!$G$5:$G$2162,'октябрь 2024'!$D$5:$D$2162,$B109,'октябрь 2024'!$J$5:$J$2162,I$1)</f>
        <v>0</v>
      </c>
      <c r="J109" s="80">
        <f>SUMIFS('октябрь 2024'!$G$5:$G$2162,'октябрь 2024'!$D$5:$D$2162,$B109,'октябрь 2024'!$J$5:$J$2162,J$1)</f>
        <v>0</v>
      </c>
      <c r="K109" s="80">
        <f>SUMIFS('октябрь 2024'!$G$5:$G$2162,'октябрь 2024'!$D$5:$D$2162,$B109,'октябрь 2024'!$J$5:$J$2162,K$1)</f>
        <v>0</v>
      </c>
      <c r="L109" s="80">
        <f>SUMIFS('октябрь 2024'!$G$5:$G$2162,'октябрь 2024'!$D$5:$D$2162,$B109,'октябрь 2024'!$J$5:$J$2162,L$1)</f>
        <v>0</v>
      </c>
      <c r="M109" s="80">
        <f>SUMIFS('октябрь 2024'!$G$5:$G$2162,'октябрь 2024'!$D$5:$D$2162,$B109,'октябрь 2024'!$J$5:$J$2162,M$1)</f>
        <v>0</v>
      </c>
      <c r="N109" s="80">
        <f>SUMIFS('октябрь 2024'!$G$5:$G$2162,'октябрь 2024'!$D$5:$D$2162,$B109,'октябрь 2024'!$J$5:$J$2162,N$1)</f>
        <v>0</v>
      </c>
      <c r="O109" s="80">
        <f>SUMIFS('октябрь 2024'!$G$5:$G$2162,'октябрь 2024'!$D$5:$D$2162,$B109,'октябрь 2024'!$J$5:$J$2162,O$1)</f>
        <v>0</v>
      </c>
      <c r="P109" s="80">
        <f>SUMIFS('октябрь 2024'!$G$5:$G$2162,'октябрь 2024'!$D$5:$D$2162,$B109,'октябрь 2024'!$J$5:$J$2162,P$1)</f>
        <v>0</v>
      </c>
      <c r="Q109" s="80">
        <f>SUMIFS('октябрь 2024'!$G$5:$G$2162,'октябрь 2024'!$D$5:$D$2162,$B109,'октябрь 2024'!$J$5:$J$2162,Q$1)</f>
        <v>0</v>
      </c>
      <c r="R109" s="80">
        <f>SUMIFS('октябрь 2024'!$G$5:$G$2162,'октябрь 2024'!$D$5:$D$2162,$B109,'октябрь 2024'!$J$5:$J$2162,R$1)</f>
        <v>0</v>
      </c>
      <c r="S109" s="80">
        <f>SUMIFS('октябрь 2024'!$G$5:$G$2162,'октябрь 2024'!$D$5:$D$2162,$B109,'октябрь 2024'!$J$5:$J$2162,S$1)</f>
        <v>0</v>
      </c>
      <c r="T109" s="80">
        <f>SUMIFS('октябрь 2024'!$G$5:$G$2162,'октябрь 2024'!$D$5:$D$2162,$B109,'октябрь 2024'!$J$5:$J$2162,T$1)</f>
        <v>0</v>
      </c>
      <c r="U109" s="80">
        <f>SUMIFS('октябрь 2024'!$G$5:$G$2162,'октябрь 2024'!$D$5:$D$2162,$B109,'октябрь 2024'!$J$5:$J$2162,U$1)</f>
        <v>0</v>
      </c>
      <c r="V109" s="80">
        <f>SUMIFS('октябрь 2024'!$G$5:$G$2162,'октябрь 2024'!$D$5:$D$2162,$B109,'октябрь 2024'!$J$5:$J$2162,V$1)</f>
        <v>0</v>
      </c>
      <c r="W109" s="80">
        <f>SUMIFS('октябрь 2024'!$G$5:$G$2162,'октябрь 2024'!$D$5:$D$2162,$B109,'октябрь 2024'!$J$5:$J$2162,W$1)</f>
        <v>0</v>
      </c>
      <c r="X109" s="80">
        <f>SUMIFS('октябрь 2024'!$G$5:$G$2162,'октябрь 2024'!$D$5:$D$2162,$B109,'октябрь 2024'!$J$5:$J$2162,X$1)</f>
        <v>0</v>
      </c>
      <c r="Y109" s="80">
        <f>SUMIFS('октябрь 2024'!$G$5:$G$2162,'октябрь 2024'!$D$5:$D$2162,$B109,'октябрь 2024'!$J$5:$J$2162,Y$1)</f>
        <v>0</v>
      </c>
      <c r="Z109" s="80">
        <f>SUMIFS('октябрь 2024'!$G$5:$G$2162,'октябрь 2024'!$D$5:$D$2162,$B109,'октябрь 2024'!$J$5:$J$2162,Z$1)</f>
        <v>0</v>
      </c>
      <c r="AA109" s="80">
        <f>SUMIFS('октябрь 2024'!$G$5:$G$2162,'октябрь 2024'!$D$5:$D$2162,$B109,'октябрь 2024'!$J$5:$J$2162,AA$1)</f>
        <v>0</v>
      </c>
      <c r="AB109" s="80">
        <f>SUMIFS('октябрь 2024'!$G$5:$G$2162,'октябрь 2024'!$D$5:$D$2162,$B109,'октябрь 2024'!$J$5:$J$2162,AB$1)</f>
        <v>0</v>
      </c>
      <c r="AC109" s="80">
        <f>SUMIFS('октябрь 2024'!$G$5:$G$2162,'октябрь 2024'!$D$5:$D$2162,$B109,'октябрь 2024'!$J$5:$J$2162,AC$1)</f>
        <v>0</v>
      </c>
      <c r="AD109" s="80">
        <f>SUMIFS('октябрь 2024'!$G$5:$G$2162,'октябрь 2024'!$D$5:$D$2162,$B109,'октябрь 2024'!$J$5:$J$2162,AD$1)</f>
        <v>0</v>
      </c>
      <c r="AE109" s="80">
        <f>SUMIFS('октябрь 2024'!$G$5:$G$2162,'октябрь 2024'!$D$5:$D$2162,$B109,'октябрь 2024'!$J$5:$J$2162,AE$1)</f>
        <v>0</v>
      </c>
      <c r="AF109" s="80">
        <f>SUMIFS('октябрь 2024'!$G$5:$G$2162,'октябрь 2024'!$D$5:$D$2162,$B109,'октябрь 2024'!$J$5:$J$2162,AF$1)</f>
        <v>0</v>
      </c>
      <c r="AG109" s="80">
        <f>SUMIFS('октябрь 2024'!$G$5:$G$2162,'октябрь 2024'!$D$5:$D$2162,$B109,'октябрь 2024'!$J$5:$J$2162,AG$1)</f>
        <v>0</v>
      </c>
      <c r="AH109" s="80">
        <f>SUMIFS('октябрь 2024'!$G$5:$G$2162,'октябрь 2024'!$D$5:$D$2162,$B109,'октябрь 2024'!$J$5:$J$2162,AH$1)</f>
        <v>0</v>
      </c>
      <c r="AI109" s="21">
        <f t="shared" si="1"/>
        <v>0</v>
      </c>
    </row>
    <row r="110" spans="2:35" ht="15" customHeight="1" x14ac:dyDescent="0.25">
      <c r="B110" s="93" t="s">
        <v>214</v>
      </c>
      <c r="C110" s="91">
        <v>185</v>
      </c>
      <c r="D110" s="80">
        <f>SUMIFS('октябрь 2024'!$G$5:$G$2162,'октябрь 2024'!$D$5:$D$2162,$B110,'октябрь 2024'!$J$5:$J$2162,D$1)</f>
        <v>0</v>
      </c>
      <c r="E110" s="80">
        <f>SUMIFS('октябрь 2024'!$G$5:$G$2162,'октябрь 2024'!$D$5:$D$2162,$B110,'октябрь 2024'!$J$5:$J$2162,E$1)</f>
        <v>0</v>
      </c>
      <c r="F110" s="80">
        <f>SUMIFS('октябрь 2024'!$G$5:$G$2162,'октябрь 2024'!$D$5:$D$2162,$B110,'октябрь 2024'!$J$5:$J$2162,F$1)</f>
        <v>0</v>
      </c>
      <c r="G110" s="80">
        <f>SUMIFS('октябрь 2024'!$G$5:$G$2162,'октябрь 2024'!$D$5:$D$2162,$B110,'октябрь 2024'!$J$5:$J$2162,G$1)</f>
        <v>0</v>
      </c>
      <c r="H110" s="80">
        <f>SUMIFS('октябрь 2024'!$G$5:$G$2162,'октябрь 2024'!$D$5:$D$2162,$B110,'октябрь 2024'!$J$5:$J$2162,H$1)</f>
        <v>0</v>
      </c>
      <c r="I110" s="80">
        <f>SUMIFS('октябрь 2024'!$G$5:$G$2162,'октябрь 2024'!$D$5:$D$2162,$B110,'октябрь 2024'!$J$5:$J$2162,I$1)</f>
        <v>0</v>
      </c>
      <c r="J110" s="80">
        <f>SUMIFS('октябрь 2024'!$G$5:$G$2162,'октябрь 2024'!$D$5:$D$2162,$B110,'октябрь 2024'!$J$5:$J$2162,J$1)</f>
        <v>0</v>
      </c>
      <c r="K110" s="80">
        <f>SUMIFS('октябрь 2024'!$G$5:$G$2162,'октябрь 2024'!$D$5:$D$2162,$B110,'октябрь 2024'!$J$5:$J$2162,K$1)</f>
        <v>0</v>
      </c>
      <c r="L110" s="80">
        <f>SUMIFS('октябрь 2024'!$G$5:$G$2162,'октябрь 2024'!$D$5:$D$2162,$B110,'октябрь 2024'!$J$5:$J$2162,L$1)</f>
        <v>0</v>
      </c>
      <c r="M110" s="80">
        <f>SUMIFS('октябрь 2024'!$G$5:$G$2162,'октябрь 2024'!$D$5:$D$2162,$B110,'октябрь 2024'!$J$5:$J$2162,M$1)</f>
        <v>0</v>
      </c>
      <c r="N110" s="80">
        <f>SUMIFS('октябрь 2024'!$G$5:$G$2162,'октябрь 2024'!$D$5:$D$2162,$B110,'октябрь 2024'!$J$5:$J$2162,N$1)</f>
        <v>0</v>
      </c>
      <c r="O110" s="80">
        <f>SUMIFS('октябрь 2024'!$G$5:$G$2162,'октябрь 2024'!$D$5:$D$2162,$B110,'октябрь 2024'!$J$5:$J$2162,O$1)</f>
        <v>0</v>
      </c>
      <c r="P110" s="80">
        <f>SUMIFS('октябрь 2024'!$G$5:$G$2162,'октябрь 2024'!$D$5:$D$2162,$B110,'октябрь 2024'!$J$5:$J$2162,P$1)</f>
        <v>0</v>
      </c>
      <c r="Q110" s="80">
        <f>SUMIFS('октябрь 2024'!$G$5:$G$2162,'октябрь 2024'!$D$5:$D$2162,$B110,'октябрь 2024'!$J$5:$J$2162,Q$1)</f>
        <v>0</v>
      </c>
      <c r="R110" s="80">
        <f>SUMIFS('октябрь 2024'!$G$5:$G$2162,'октябрь 2024'!$D$5:$D$2162,$B110,'октябрь 2024'!$J$5:$J$2162,R$1)</f>
        <v>0</v>
      </c>
      <c r="S110" s="80">
        <f>SUMIFS('октябрь 2024'!$G$5:$G$2162,'октябрь 2024'!$D$5:$D$2162,$B110,'октябрь 2024'!$J$5:$J$2162,S$1)</f>
        <v>0</v>
      </c>
      <c r="T110" s="80">
        <f>SUMIFS('октябрь 2024'!$G$5:$G$2162,'октябрь 2024'!$D$5:$D$2162,$B110,'октябрь 2024'!$J$5:$J$2162,T$1)</f>
        <v>0</v>
      </c>
      <c r="U110" s="80">
        <f>SUMIFS('октябрь 2024'!$G$5:$G$2162,'октябрь 2024'!$D$5:$D$2162,$B110,'октябрь 2024'!$J$5:$J$2162,U$1)</f>
        <v>0</v>
      </c>
      <c r="V110" s="80">
        <f>SUMIFS('октябрь 2024'!$G$5:$G$2162,'октябрь 2024'!$D$5:$D$2162,$B110,'октябрь 2024'!$J$5:$J$2162,V$1)</f>
        <v>0</v>
      </c>
      <c r="W110" s="80">
        <f>SUMIFS('октябрь 2024'!$G$5:$G$2162,'октябрь 2024'!$D$5:$D$2162,$B110,'октябрь 2024'!$J$5:$J$2162,W$1)</f>
        <v>0</v>
      </c>
      <c r="X110" s="80">
        <f>SUMIFS('октябрь 2024'!$G$5:$G$2162,'октябрь 2024'!$D$5:$D$2162,$B110,'октябрь 2024'!$J$5:$J$2162,X$1)</f>
        <v>0</v>
      </c>
      <c r="Y110" s="80">
        <f>SUMIFS('октябрь 2024'!$G$5:$G$2162,'октябрь 2024'!$D$5:$D$2162,$B110,'октябрь 2024'!$J$5:$J$2162,Y$1)</f>
        <v>0</v>
      </c>
      <c r="Z110" s="80">
        <f>SUMIFS('октябрь 2024'!$G$5:$G$2162,'октябрь 2024'!$D$5:$D$2162,$B110,'октябрь 2024'!$J$5:$J$2162,Z$1)</f>
        <v>0</v>
      </c>
      <c r="AA110" s="80">
        <f>SUMIFS('октябрь 2024'!$G$5:$G$2162,'октябрь 2024'!$D$5:$D$2162,$B110,'октябрь 2024'!$J$5:$J$2162,AA$1)</f>
        <v>0</v>
      </c>
      <c r="AB110" s="80">
        <f>SUMIFS('октябрь 2024'!$G$5:$G$2162,'октябрь 2024'!$D$5:$D$2162,$B110,'октябрь 2024'!$J$5:$J$2162,AB$1)</f>
        <v>0</v>
      </c>
      <c r="AC110" s="80">
        <f>SUMIFS('октябрь 2024'!$G$5:$G$2162,'октябрь 2024'!$D$5:$D$2162,$B110,'октябрь 2024'!$J$5:$J$2162,AC$1)</f>
        <v>0</v>
      </c>
      <c r="AD110" s="80">
        <f>SUMIFS('октябрь 2024'!$G$5:$G$2162,'октябрь 2024'!$D$5:$D$2162,$B110,'октябрь 2024'!$J$5:$J$2162,AD$1)</f>
        <v>0</v>
      </c>
      <c r="AE110" s="80">
        <f>SUMIFS('октябрь 2024'!$G$5:$G$2162,'октябрь 2024'!$D$5:$D$2162,$B110,'октябрь 2024'!$J$5:$J$2162,AE$1)</f>
        <v>0</v>
      </c>
      <c r="AF110" s="80">
        <f>SUMIFS('октябрь 2024'!$G$5:$G$2162,'октябрь 2024'!$D$5:$D$2162,$B110,'октябрь 2024'!$J$5:$J$2162,AF$1)</f>
        <v>0</v>
      </c>
      <c r="AG110" s="80">
        <f>SUMIFS('октябрь 2024'!$G$5:$G$2162,'октябрь 2024'!$D$5:$D$2162,$B110,'октябрь 2024'!$J$5:$J$2162,AG$1)</f>
        <v>0</v>
      </c>
      <c r="AH110" s="80">
        <f>SUMIFS('октябрь 2024'!$G$5:$G$2162,'октябрь 2024'!$D$5:$D$2162,$B110,'октябрь 2024'!$J$5:$J$2162,AH$1)</f>
        <v>0</v>
      </c>
      <c r="AI110" s="21">
        <f t="shared" si="1"/>
        <v>0</v>
      </c>
    </row>
    <row r="111" spans="2:35" ht="15" customHeight="1" x14ac:dyDescent="0.25">
      <c r="B111" s="93" t="s">
        <v>1069</v>
      </c>
      <c r="C111" s="91">
        <v>175</v>
      </c>
      <c r="D111" s="80">
        <f>SUMIFS('октябрь 2024'!$G$5:$G$2162,'октябрь 2024'!$D$5:$D$2162,$B111,'октябрь 2024'!$J$5:$J$2162,D$1)</f>
        <v>0</v>
      </c>
      <c r="E111" s="80">
        <f>SUMIFS('октябрь 2024'!$G$5:$G$2162,'октябрь 2024'!$D$5:$D$2162,$B111,'октябрь 2024'!$J$5:$J$2162,E$1)</f>
        <v>0</v>
      </c>
      <c r="F111" s="80">
        <f>SUMIFS('октябрь 2024'!$G$5:$G$2162,'октябрь 2024'!$D$5:$D$2162,$B111,'октябрь 2024'!$J$5:$J$2162,F$1)</f>
        <v>80</v>
      </c>
      <c r="G111" s="80">
        <f>SUMIFS('октябрь 2024'!$G$5:$G$2162,'октябрь 2024'!$D$5:$D$2162,$B111,'октябрь 2024'!$J$5:$J$2162,G$1)</f>
        <v>0</v>
      </c>
      <c r="H111" s="80">
        <f>SUMIFS('октябрь 2024'!$G$5:$G$2162,'октябрь 2024'!$D$5:$D$2162,$B111,'октябрь 2024'!$J$5:$J$2162,H$1)</f>
        <v>0</v>
      </c>
      <c r="I111" s="80">
        <f>SUMIFS('октябрь 2024'!$G$5:$G$2162,'октябрь 2024'!$D$5:$D$2162,$B111,'октябрь 2024'!$J$5:$J$2162,I$1)</f>
        <v>0</v>
      </c>
      <c r="J111" s="80">
        <f>SUMIFS('октябрь 2024'!$G$5:$G$2162,'октябрь 2024'!$D$5:$D$2162,$B111,'октябрь 2024'!$J$5:$J$2162,J$1)</f>
        <v>0</v>
      </c>
      <c r="K111" s="80">
        <f>SUMIFS('октябрь 2024'!$G$5:$G$2162,'октябрь 2024'!$D$5:$D$2162,$B111,'октябрь 2024'!$J$5:$J$2162,K$1)</f>
        <v>0</v>
      </c>
      <c r="L111" s="80">
        <f>SUMIFS('октябрь 2024'!$G$5:$G$2162,'октябрь 2024'!$D$5:$D$2162,$B111,'октябрь 2024'!$J$5:$J$2162,L$1)</f>
        <v>0</v>
      </c>
      <c r="M111" s="80">
        <f>SUMIFS('октябрь 2024'!$G$5:$G$2162,'октябрь 2024'!$D$5:$D$2162,$B111,'октябрь 2024'!$J$5:$J$2162,M$1)</f>
        <v>0</v>
      </c>
      <c r="N111" s="80">
        <f>SUMIFS('октябрь 2024'!$G$5:$G$2162,'октябрь 2024'!$D$5:$D$2162,$B111,'октябрь 2024'!$J$5:$J$2162,N$1)</f>
        <v>0</v>
      </c>
      <c r="O111" s="80">
        <f>SUMIFS('октябрь 2024'!$G$5:$G$2162,'октябрь 2024'!$D$5:$D$2162,$B111,'октябрь 2024'!$J$5:$J$2162,O$1)</f>
        <v>0</v>
      </c>
      <c r="P111" s="80">
        <f>SUMIFS('октябрь 2024'!$G$5:$G$2162,'октябрь 2024'!$D$5:$D$2162,$B111,'октябрь 2024'!$J$5:$J$2162,P$1)</f>
        <v>0</v>
      </c>
      <c r="Q111" s="80">
        <f>SUMIFS('октябрь 2024'!$G$5:$G$2162,'октябрь 2024'!$D$5:$D$2162,$B111,'октябрь 2024'!$J$5:$J$2162,Q$1)</f>
        <v>0</v>
      </c>
      <c r="R111" s="80">
        <f>SUMIFS('октябрь 2024'!$G$5:$G$2162,'октябрь 2024'!$D$5:$D$2162,$B111,'октябрь 2024'!$J$5:$J$2162,R$1)</f>
        <v>0</v>
      </c>
      <c r="S111" s="80">
        <f>SUMIFS('октябрь 2024'!$G$5:$G$2162,'октябрь 2024'!$D$5:$D$2162,$B111,'октябрь 2024'!$J$5:$J$2162,S$1)</f>
        <v>0</v>
      </c>
      <c r="T111" s="80">
        <f>SUMIFS('октябрь 2024'!$G$5:$G$2162,'октябрь 2024'!$D$5:$D$2162,$B111,'октябрь 2024'!$J$5:$J$2162,T$1)</f>
        <v>0</v>
      </c>
      <c r="U111" s="80">
        <f>SUMIFS('октябрь 2024'!$G$5:$G$2162,'октябрь 2024'!$D$5:$D$2162,$B111,'октябрь 2024'!$J$5:$J$2162,U$1)</f>
        <v>0</v>
      </c>
      <c r="V111" s="80">
        <f>SUMIFS('октябрь 2024'!$G$5:$G$2162,'октябрь 2024'!$D$5:$D$2162,$B111,'октябрь 2024'!$J$5:$J$2162,V$1)</f>
        <v>0</v>
      </c>
      <c r="W111" s="80">
        <f>SUMIFS('октябрь 2024'!$G$5:$G$2162,'октябрь 2024'!$D$5:$D$2162,$B111,'октябрь 2024'!$J$5:$J$2162,W$1)</f>
        <v>0</v>
      </c>
      <c r="X111" s="80">
        <f>SUMIFS('октябрь 2024'!$G$5:$G$2162,'октябрь 2024'!$D$5:$D$2162,$B111,'октябрь 2024'!$J$5:$J$2162,X$1)</f>
        <v>0</v>
      </c>
      <c r="Y111" s="80">
        <f>SUMIFS('октябрь 2024'!$G$5:$G$2162,'октябрь 2024'!$D$5:$D$2162,$B111,'октябрь 2024'!$J$5:$J$2162,Y$1)</f>
        <v>0</v>
      </c>
      <c r="Z111" s="80">
        <f>SUMIFS('октябрь 2024'!$G$5:$G$2162,'октябрь 2024'!$D$5:$D$2162,$B111,'октябрь 2024'!$J$5:$J$2162,Z$1)</f>
        <v>0</v>
      </c>
      <c r="AA111" s="80">
        <f>SUMIFS('октябрь 2024'!$G$5:$G$2162,'октябрь 2024'!$D$5:$D$2162,$B111,'октябрь 2024'!$J$5:$J$2162,AA$1)</f>
        <v>80</v>
      </c>
      <c r="AB111" s="80">
        <f>SUMIFS('октябрь 2024'!$G$5:$G$2162,'октябрь 2024'!$D$5:$D$2162,$B111,'октябрь 2024'!$J$5:$J$2162,AB$1)</f>
        <v>0</v>
      </c>
      <c r="AC111" s="80">
        <f>SUMIFS('октябрь 2024'!$G$5:$G$2162,'октябрь 2024'!$D$5:$D$2162,$B111,'октябрь 2024'!$J$5:$J$2162,AC$1)</f>
        <v>0</v>
      </c>
      <c r="AD111" s="80">
        <f>SUMIFS('октябрь 2024'!$G$5:$G$2162,'октябрь 2024'!$D$5:$D$2162,$B111,'октябрь 2024'!$J$5:$J$2162,AD$1)</f>
        <v>0</v>
      </c>
      <c r="AE111" s="80">
        <f>SUMIFS('октябрь 2024'!$G$5:$G$2162,'октябрь 2024'!$D$5:$D$2162,$B111,'октябрь 2024'!$J$5:$J$2162,AE$1)</f>
        <v>0</v>
      </c>
      <c r="AF111" s="80">
        <f>SUMIFS('октябрь 2024'!$G$5:$G$2162,'октябрь 2024'!$D$5:$D$2162,$B111,'октябрь 2024'!$J$5:$J$2162,AF$1)</f>
        <v>0</v>
      </c>
      <c r="AG111" s="80">
        <f>SUMIFS('октябрь 2024'!$G$5:$G$2162,'октябрь 2024'!$D$5:$D$2162,$B111,'октябрь 2024'!$J$5:$J$2162,AG$1)</f>
        <v>0</v>
      </c>
      <c r="AH111" s="80">
        <f>SUMIFS('октябрь 2024'!$G$5:$G$2162,'октябрь 2024'!$D$5:$D$2162,$B111,'октябрь 2024'!$J$5:$J$2162,AH$1)</f>
        <v>0</v>
      </c>
      <c r="AI111" s="21">
        <f t="shared" si="1"/>
        <v>160</v>
      </c>
    </row>
    <row r="112" spans="2:35" ht="15" customHeight="1" x14ac:dyDescent="0.25">
      <c r="B112" s="93" t="s">
        <v>1226</v>
      </c>
      <c r="C112" s="91">
        <v>200</v>
      </c>
      <c r="D112" s="80">
        <f>SUMIFS('октябрь 2024'!$G$5:$G$2162,'октябрь 2024'!$D$5:$D$2162,$B112,'октябрь 2024'!$J$5:$J$2162,D$1)</f>
        <v>0</v>
      </c>
      <c r="E112" s="80">
        <f>SUMIFS('октябрь 2024'!$G$5:$G$2162,'октябрь 2024'!$D$5:$D$2162,$B112,'октябрь 2024'!$J$5:$J$2162,E$1)</f>
        <v>0</v>
      </c>
      <c r="F112" s="80">
        <f>SUMIFS('октябрь 2024'!$G$5:$G$2162,'октябрь 2024'!$D$5:$D$2162,$B112,'октябрь 2024'!$J$5:$J$2162,F$1)</f>
        <v>0</v>
      </c>
      <c r="G112" s="80">
        <f>SUMIFS('октябрь 2024'!$G$5:$G$2162,'октябрь 2024'!$D$5:$D$2162,$B112,'октябрь 2024'!$J$5:$J$2162,G$1)</f>
        <v>0</v>
      </c>
      <c r="H112" s="80">
        <f>SUMIFS('октябрь 2024'!$G$5:$G$2162,'октябрь 2024'!$D$5:$D$2162,$B112,'октябрь 2024'!$J$5:$J$2162,H$1)</f>
        <v>0</v>
      </c>
      <c r="I112" s="80">
        <f>SUMIFS('октябрь 2024'!$G$5:$G$2162,'октябрь 2024'!$D$5:$D$2162,$B112,'октябрь 2024'!$J$5:$J$2162,I$1)</f>
        <v>0</v>
      </c>
      <c r="J112" s="80">
        <f>SUMIFS('октябрь 2024'!$G$5:$G$2162,'октябрь 2024'!$D$5:$D$2162,$B112,'октябрь 2024'!$J$5:$J$2162,J$1)</f>
        <v>0</v>
      </c>
      <c r="K112" s="80">
        <f>SUMIFS('октябрь 2024'!$G$5:$G$2162,'октябрь 2024'!$D$5:$D$2162,$B112,'октябрь 2024'!$J$5:$J$2162,K$1)</f>
        <v>0</v>
      </c>
      <c r="L112" s="80">
        <f>SUMIFS('октябрь 2024'!$G$5:$G$2162,'октябрь 2024'!$D$5:$D$2162,$B112,'октябрь 2024'!$J$5:$J$2162,L$1)</f>
        <v>0</v>
      </c>
      <c r="M112" s="80">
        <f>SUMIFS('октябрь 2024'!$G$5:$G$2162,'октябрь 2024'!$D$5:$D$2162,$B112,'октябрь 2024'!$J$5:$J$2162,M$1)</f>
        <v>0</v>
      </c>
      <c r="N112" s="80">
        <f>SUMIFS('октябрь 2024'!$G$5:$G$2162,'октябрь 2024'!$D$5:$D$2162,$B112,'октябрь 2024'!$J$5:$J$2162,N$1)</f>
        <v>0</v>
      </c>
      <c r="O112" s="80">
        <f>SUMIFS('октябрь 2024'!$G$5:$G$2162,'октябрь 2024'!$D$5:$D$2162,$B112,'октябрь 2024'!$J$5:$J$2162,O$1)</f>
        <v>0</v>
      </c>
      <c r="P112" s="80">
        <f>SUMIFS('октябрь 2024'!$G$5:$G$2162,'октябрь 2024'!$D$5:$D$2162,$B112,'октябрь 2024'!$J$5:$J$2162,P$1)</f>
        <v>0</v>
      </c>
      <c r="Q112" s="80">
        <f>SUMIFS('октябрь 2024'!$G$5:$G$2162,'октябрь 2024'!$D$5:$D$2162,$B112,'октябрь 2024'!$J$5:$J$2162,Q$1)</f>
        <v>0</v>
      </c>
      <c r="R112" s="80">
        <f>SUMIFS('октябрь 2024'!$G$5:$G$2162,'октябрь 2024'!$D$5:$D$2162,$B112,'октябрь 2024'!$J$5:$J$2162,R$1)</f>
        <v>0</v>
      </c>
      <c r="S112" s="80">
        <f>SUMIFS('октябрь 2024'!$G$5:$G$2162,'октябрь 2024'!$D$5:$D$2162,$B112,'октябрь 2024'!$J$5:$J$2162,S$1)</f>
        <v>0</v>
      </c>
      <c r="T112" s="80">
        <f>SUMIFS('октябрь 2024'!$G$5:$G$2162,'октябрь 2024'!$D$5:$D$2162,$B112,'октябрь 2024'!$J$5:$J$2162,T$1)</f>
        <v>0</v>
      </c>
      <c r="U112" s="80">
        <f>SUMIFS('октябрь 2024'!$G$5:$G$2162,'октябрь 2024'!$D$5:$D$2162,$B112,'октябрь 2024'!$J$5:$J$2162,U$1)</f>
        <v>0</v>
      </c>
      <c r="V112" s="80">
        <f>SUMIFS('октябрь 2024'!$G$5:$G$2162,'октябрь 2024'!$D$5:$D$2162,$B112,'октябрь 2024'!$J$5:$J$2162,V$1)</f>
        <v>0</v>
      </c>
      <c r="W112" s="80">
        <f>SUMIFS('октябрь 2024'!$G$5:$G$2162,'октябрь 2024'!$D$5:$D$2162,$B112,'октябрь 2024'!$J$5:$J$2162,W$1)</f>
        <v>0</v>
      </c>
      <c r="X112" s="80">
        <f>SUMIFS('октябрь 2024'!$G$5:$G$2162,'октябрь 2024'!$D$5:$D$2162,$B112,'октябрь 2024'!$J$5:$J$2162,X$1)</f>
        <v>0</v>
      </c>
      <c r="Y112" s="80">
        <f>SUMIFS('октябрь 2024'!$G$5:$G$2162,'октябрь 2024'!$D$5:$D$2162,$B112,'октябрь 2024'!$J$5:$J$2162,Y$1)</f>
        <v>0</v>
      </c>
      <c r="Z112" s="80">
        <f>SUMIFS('октябрь 2024'!$G$5:$G$2162,'октябрь 2024'!$D$5:$D$2162,$B112,'октябрь 2024'!$J$5:$J$2162,Z$1)</f>
        <v>0</v>
      </c>
      <c r="AA112" s="80">
        <f>SUMIFS('октябрь 2024'!$G$5:$G$2162,'октябрь 2024'!$D$5:$D$2162,$B112,'октябрь 2024'!$J$5:$J$2162,AA$1)</f>
        <v>0</v>
      </c>
      <c r="AB112" s="80">
        <f>SUMIFS('октябрь 2024'!$G$5:$G$2162,'октябрь 2024'!$D$5:$D$2162,$B112,'октябрь 2024'!$J$5:$J$2162,AB$1)</f>
        <v>0</v>
      </c>
      <c r="AC112" s="80">
        <f>SUMIFS('октябрь 2024'!$G$5:$G$2162,'октябрь 2024'!$D$5:$D$2162,$B112,'октябрь 2024'!$J$5:$J$2162,AC$1)</f>
        <v>0</v>
      </c>
      <c r="AD112" s="80">
        <f>SUMIFS('октябрь 2024'!$G$5:$G$2162,'октябрь 2024'!$D$5:$D$2162,$B112,'октябрь 2024'!$J$5:$J$2162,AD$1)</f>
        <v>0</v>
      </c>
      <c r="AE112" s="80">
        <f>SUMIFS('октябрь 2024'!$G$5:$G$2162,'октябрь 2024'!$D$5:$D$2162,$B112,'октябрь 2024'!$J$5:$J$2162,AE$1)</f>
        <v>0</v>
      </c>
      <c r="AF112" s="80">
        <f>SUMIFS('октябрь 2024'!$G$5:$G$2162,'октябрь 2024'!$D$5:$D$2162,$B112,'октябрь 2024'!$J$5:$J$2162,AF$1)</f>
        <v>0</v>
      </c>
      <c r="AG112" s="80">
        <f>SUMIFS('октябрь 2024'!$G$5:$G$2162,'октябрь 2024'!$D$5:$D$2162,$B112,'октябрь 2024'!$J$5:$J$2162,AG$1)</f>
        <v>0</v>
      </c>
      <c r="AH112" s="80">
        <f>SUMIFS('октябрь 2024'!$G$5:$G$2162,'октябрь 2024'!$D$5:$D$2162,$B112,'октябрь 2024'!$J$5:$J$2162,AH$1)</f>
        <v>0</v>
      </c>
      <c r="AI112" s="21">
        <f t="shared" si="1"/>
        <v>0</v>
      </c>
    </row>
    <row r="113" spans="2:35" ht="15" customHeight="1" x14ac:dyDescent="0.25">
      <c r="B113" s="93" t="s">
        <v>329</v>
      </c>
      <c r="C113" s="91">
        <v>180</v>
      </c>
      <c r="D113" s="80">
        <f>SUMIFS('октябрь 2024'!$G$5:$G$2162,'октябрь 2024'!$D$5:$D$2162,$B113,'октябрь 2024'!$J$5:$J$2162,D$1)</f>
        <v>0</v>
      </c>
      <c r="E113" s="80">
        <f>SUMIFS('октябрь 2024'!$G$5:$G$2162,'октябрь 2024'!$D$5:$D$2162,$B113,'октябрь 2024'!$J$5:$J$2162,E$1)</f>
        <v>0</v>
      </c>
      <c r="F113" s="80">
        <f>SUMIFS('октябрь 2024'!$G$5:$G$2162,'октябрь 2024'!$D$5:$D$2162,$B113,'октябрь 2024'!$J$5:$J$2162,F$1)</f>
        <v>0</v>
      </c>
      <c r="G113" s="80">
        <f>SUMIFS('октябрь 2024'!$G$5:$G$2162,'октябрь 2024'!$D$5:$D$2162,$B113,'октябрь 2024'!$J$5:$J$2162,G$1)</f>
        <v>0</v>
      </c>
      <c r="H113" s="80">
        <f>SUMIFS('октябрь 2024'!$G$5:$G$2162,'октябрь 2024'!$D$5:$D$2162,$B113,'октябрь 2024'!$J$5:$J$2162,H$1)</f>
        <v>0</v>
      </c>
      <c r="I113" s="80">
        <f>SUMIFS('октябрь 2024'!$G$5:$G$2162,'октябрь 2024'!$D$5:$D$2162,$B113,'октябрь 2024'!$J$5:$J$2162,I$1)</f>
        <v>0</v>
      </c>
      <c r="J113" s="80">
        <f>SUMIFS('октябрь 2024'!$G$5:$G$2162,'октябрь 2024'!$D$5:$D$2162,$B113,'октябрь 2024'!$J$5:$J$2162,J$1)</f>
        <v>0</v>
      </c>
      <c r="K113" s="80">
        <f>SUMIFS('октябрь 2024'!$G$5:$G$2162,'октябрь 2024'!$D$5:$D$2162,$B113,'октябрь 2024'!$J$5:$J$2162,K$1)</f>
        <v>0</v>
      </c>
      <c r="L113" s="80">
        <f>SUMIFS('октябрь 2024'!$G$5:$G$2162,'октябрь 2024'!$D$5:$D$2162,$B113,'октябрь 2024'!$J$5:$J$2162,L$1)</f>
        <v>0</v>
      </c>
      <c r="M113" s="80">
        <f>SUMIFS('октябрь 2024'!$G$5:$G$2162,'октябрь 2024'!$D$5:$D$2162,$B113,'октябрь 2024'!$J$5:$J$2162,M$1)</f>
        <v>0</v>
      </c>
      <c r="N113" s="80">
        <f>SUMIFS('октябрь 2024'!$G$5:$G$2162,'октябрь 2024'!$D$5:$D$2162,$B113,'октябрь 2024'!$J$5:$J$2162,N$1)</f>
        <v>0</v>
      </c>
      <c r="O113" s="80">
        <f>SUMIFS('октябрь 2024'!$G$5:$G$2162,'октябрь 2024'!$D$5:$D$2162,$B113,'октябрь 2024'!$J$5:$J$2162,O$1)</f>
        <v>0</v>
      </c>
      <c r="P113" s="80">
        <f>SUMIFS('октябрь 2024'!$G$5:$G$2162,'октябрь 2024'!$D$5:$D$2162,$B113,'октябрь 2024'!$J$5:$J$2162,P$1)</f>
        <v>0</v>
      </c>
      <c r="Q113" s="80">
        <f>SUMIFS('октябрь 2024'!$G$5:$G$2162,'октябрь 2024'!$D$5:$D$2162,$B113,'октябрь 2024'!$J$5:$J$2162,Q$1)</f>
        <v>0</v>
      </c>
      <c r="R113" s="80">
        <f>SUMIFS('октябрь 2024'!$G$5:$G$2162,'октябрь 2024'!$D$5:$D$2162,$B113,'октябрь 2024'!$J$5:$J$2162,R$1)</f>
        <v>0</v>
      </c>
      <c r="S113" s="80">
        <f>SUMIFS('октябрь 2024'!$G$5:$G$2162,'октябрь 2024'!$D$5:$D$2162,$B113,'октябрь 2024'!$J$5:$J$2162,S$1)</f>
        <v>0</v>
      </c>
      <c r="T113" s="80">
        <f>SUMIFS('октябрь 2024'!$G$5:$G$2162,'октябрь 2024'!$D$5:$D$2162,$B113,'октябрь 2024'!$J$5:$J$2162,T$1)</f>
        <v>0</v>
      </c>
      <c r="U113" s="80">
        <f>SUMIFS('октябрь 2024'!$G$5:$G$2162,'октябрь 2024'!$D$5:$D$2162,$B113,'октябрь 2024'!$J$5:$J$2162,U$1)</f>
        <v>0</v>
      </c>
      <c r="V113" s="80">
        <f>SUMIFS('октябрь 2024'!$G$5:$G$2162,'октябрь 2024'!$D$5:$D$2162,$B113,'октябрь 2024'!$J$5:$J$2162,V$1)</f>
        <v>0</v>
      </c>
      <c r="W113" s="80">
        <f>SUMIFS('октябрь 2024'!$G$5:$G$2162,'октябрь 2024'!$D$5:$D$2162,$B113,'октябрь 2024'!$J$5:$J$2162,W$1)</f>
        <v>0</v>
      </c>
      <c r="X113" s="80">
        <f>SUMIFS('октябрь 2024'!$G$5:$G$2162,'октябрь 2024'!$D$5:$D$2162,$B113,'октябрь 2024'!$J$5:$J$2162,X$1)</f>
        <v>0</v>
      </c>
      <c r="Y113" s="80">
        <f>SUMIFS('октябрь 2024'!$G$5:$G$2162,'октябрь 2024'!$D$5:$D$2162,$B113,'октябрь 2024'!$J$5:$J$2162,Y$1)</f>
        <v>0</v>
      </c>
      <c r="Z113" s="80">
        <f>SUMIFS('октябрь 2024'!$G$5:$G$2162,'октябрь 2024'!$D$5:$D$2162,$B113,'октябрь 2024'!$J$5:$J$2162,Z$1)</f>
        <v>0</v>
      </c>
      <c r="AA113" s="80">
        <f>SUMIFS('октябрь 2024'!$G$5:$G$2162,'октябрь 2024'!$D$5:$D$2162,$B113,'октябрь 2024'!$J$5:$J$2162,AA$1)</f>
        <v>0</v>
      </c>
      <c r="AB113" s="80">
        <f>SUMIFS('октябрь 2024'!$G$5:$G$2162,'октябрь 2024'!$D$5:$D$2162,$B113,'октябрь 2024'!$J$5:$J$2162,AB$1)</f>
        <v>0</v>
      </c>
      <c r="AC113" s="80">
        <f>SUMIFS('октябрь 2024'!$G$5:$G$2162,'октябрь 2024'!$D$5:$D$2162,$B113,'октябрь 2024'!$J$5:$J$2162,AC$1)</f>
        <v>0</v>
      </c>
      <c r="AD113" s="80">
        <f>SUMIFS('октябрь 2024'!$G$5:$G$2162,'октябрь 2024'!$D$5:$D$2162,$B113,'октябрь 2024'!$J$5:$J$2162,AD$1)</f>
        <v>0</v>
      </c>
      <c r="AE113" s="80">
        <f>SUMIFS('октябрь 2024'!$G$5:$G$2162,'октябрь 2024'!$D$5:$D$2162,$B113,'октябрь 2024'!$J$5:$J$2162,AE$1)</f>
        <v>0</v>
      </c>
      <c r="AF113" s="80">
        <f>SUMIFS('октябрь 2024'!$G$5:$G$2162,'октябрь 2024'!$D$5:$D$2162,$B113,'октябрь 2024'!$J$5:$J$2162,AF$1)</f>
        <v>0</v>
      </c>
      <c r="AG113" s="80">
        <f>SUMIFS('октябрь 2024'!$G$5:$G$2162,'октябрь 2024'!$D$5:$D$2162,$B113,'октябрь 2024'!$J$5:$J$2162,AG$1)</f>
        <v>0</v>
      </c>
      <c r="AH113" s="80">
        <f>SUMIFS('октябрь 2024'!$G$5:$G$2162,'октябрь 2024'!$D$5:$D$2162,$B113,'октябрь 2024'!$J$5:$J$2162,AH$1)</f>
        <v>0</v>
      </c>
      <c r="AI113" s="21">
        <f t="shared" si="1"/>
        <v>0</v>
      </c>
    </row>
    <row r="114" spans="2:35" ht="15" customHeight="1" x14ac:dyDescent="0.25">
      <c r="B114" s="93" t="s">
        <v>1778</v>
      </c>
      <c r="C114" s="91">
        <v>200</v>
      </c>
      <c r="D114" s="80">
        <f>SUMIFS('октябрь 2024'!$G$5:$G$2162,'октябрь 2024'!$D$5:$D$2162,$B114,'октябрь 2024'!$J$5:$J$2162,D$1)</f>
        <v>0</v>
      </c>
      <c r="E114" s="80">
        <f>SUMIFS('октябрь 2024'!$G$5:$G$2162,'октябрь 2024'!$D$5:$D$2162,$B114,'октябрь 2024'!$J$5:$J$2162,E$1)</f>
        <v>0</v>
      </c>
      <c r="F114" s="80">
        <f>SUMIFS('октябрь 2024'!$G$5:$G$2162,'октябрь 2024'!$D$5:$D$2162,$B114,'октябрь 2024'!$J$5:$J$2162,F$1)</f>
        <v>0</v>
      </c>
      <c r="G114" s="80">
        <f>SUMIFS('октябрь 2024'!$G$5:$G$2162,'октябрь 2024'!$D$5:$D$2162,$B114,'октябрь 2024'!$J$5:$J$2162,G$1)</f>
        <v>0</v>
      </c>
      <c r="H114" s="80">
        <f>SUMIFS('октябрь 2024'!$G$5:$G$2162,'октябрь 2024'!$D$5:$D$2162,$B114,'октябрь 2024'!$J$5:$J$2162,H$1)</f>
        <v>0</v>
      </c>
      <c r="I114" s="80">
        <f>SUMIFS('октябрь 2024'!$G$5:$G$2162,'октябрь 2024'!$D$5:$D$2162,$B114,'октябрь 2024'!$J$5:$J$2162,I$1)</f>
        <v>0</v>
      </c>
      <c r="J114" s="80">
        <f>SUMIFS('октябрь 2024'!$G$5:$G$2162,'октябрь 2024'!$D$5:$D$2162,$B114,'октябрь 2024'!$J$5:$J$2162,J$1)</f>
        <v>0</v>
      </c>
      <c r="K114" s="80">
        <f>SUMIFS('октябрь 2024'!$G$5:$G$2162,'октябрь 2024'!$D$5:$D$2162,$B114,'октябрь 2024'!$J$5:$J$2162,K$1)</f>
        <v>0</v>
      </c>
      <c r="L114" s="80">
        <f>SUMIFS('октябрь 2024'!$G$5:$G$2162,'октябрь 2024'!$D$5:$D$2162,$B114,'октябрь 2024'!$J$5:$J$2162,L$1)</f>
        <v>0</v>
      </c>
      <c r="M114" s="80">
        <f>SUMIFS('октябрь 2024'!$G$5:$G$2162,'октябрь 2024'!$D$5:$D$2162,$B114,'октябрь 2024'!$J$5:$J$2162,M$1)</f>
        <v>0</v>
      </c>
      <c r="N114" s="80">
        <f>SUMIFS('октябрь 2024'!$G$5:$G$2162,'октябрь 2024'!$D$5:$D$2162,$B114,'октябрь 2024'!$J$5:$J$2162,N$1)</f>
        <v>0</v>
      </c>
      <c r="O114" s="80">
        <f>SUMIFS('октябрь 2024'!$G$5:$G$2162,'октябрь 2024'!$D$5:$D$2162,$B114,'октябрь 2024'!$J$5:$J$2162,O$1)</f>
        <v>0</v>
      </c>
      <c r="P114" s="80">
        <f>SUMIFS('октябрь 2024'!$G$5:$G$2162,'октябрь 2024'!$D$5:$D$2162,$B114,'октябрь 2024'!$J$5:$J$2162,P$1)</f>
        <v>0</v>
      </c>
      <c r="Q114" s="80">
        <f>SUMIFS('октябрь 2024'!$G$5:$G$2162,'октябрь 2024'!$D$5:$D$2162,$B114,'октябрь 2024'!$J$5:$J$2162,Q$1)</f>
        <v>0</v>
      </c>
      <c r="R114" s="80">
        <f>SUMIFS('октябрь 2024'!$G$5:$G$2162,'октябрь 2024'!$D$5:$D$2162,$B114,'октябрь 2024'!$J$5:$J$2162,R$1)</f>
        <v>0</v>
      </c>
      <c r="S114" s="80">
        <f>SUMIFS('октябрь 2024'!$G$5:$G$2162,'октябрь 2024'!$D$5:$D$2162,$B114,'октябрь 2024'!$J$5:$J$2162,S$1)</f>
        <v>0</v>
      </c>
      <c r="T114" s="80">
        <f>SUMIFS('октябрь 2024'!$G$5:$G$2162,'октябрь 2024'!$D$5:$D$2162,$B114,'октябрь 2024'!$J$5:$J$2162,T$1)</f>
        <v>0</v>
      </c>
      <c r="U114" s="80">
        <f>SUMIFS('октябрь 2024'!$G$5:$G$2162,'октябрь 2024'!$D$5:$D$2162,$B114,'октябрь 2024'!$J$5:$J$2162,U$1)</f>
        <v>0</v>
      </c>
      <c r="V114" s="80">
        <f>SUMIFS('октябрь 2024'!$G$5:$G$2162,'октябрь 2024'!$D$5:$D$2162,$B114,'октябрь 2024'!$J$5:$J$2162,V$1)</f>
        <v>0</v>
      </c>
      <c r="W114" s="80">
        <f>SUMIFS('октябрь 2024'!$G$5:$G$2162,'октябрь 2024'!$D$5:$D$2162,$B114,'октябрь 2024'!$J$5:$J$2162,W$1)</f>
        <v>0</v>
      </c>
      <c r="X114" s="80">
        <f>SUMIFS('октябрь 2024'!$G$5:$G$2162,'октябрь 2024'!$D$5:$D$2162,$B114,'октябрь 2024'!$J$5:$J$2162,X$1)</f>
        <v>0</v>
      </c>
      <c r="Y114" s="80">
        <f>SUMIFS('октябрь 2024'!$G$5:$G$2162,'октябрь 2024'!$D$5:$D$2162,$B114,'октябрь 2024'!$J$5:$J$2162,Y$1)</f>
        <v>0</v>
      </c>
      <c r="Z114" s="80">
        <f>SUMIFS('октябрь 2024'!$G$5:$G$2162,'октябрь 2024'!$D$5:$D$2162,$B114,'октябрь 2024'!$J$5:$J$2162,Z$1)</f>
        <v>0</v>
      </c>
      <c r="AA114" s="80">
        <f>SUMIFS('октябрь 2024'!$G$5:$G$2162,'октябрь 2024'!$D$5:$D$2162,$B114,'октябрь 2024'!$J$5:$J$2162,AA$1)</f>
        <v>0</v>
      </c>
      <c r="AB114" s="80">
        <f>SUMIFS('октябрь 2024'!$G$5:$G$2162,'октябрь 2024'!$D$5:$D$2162,$B114,'октябрь 2024'!$J$5:$J$2162,AB$1)</f>
        <v>0</v>
      </c>
      <c r="AC114" s="80">
        <f>SUMIFS('октябрь 2024'!$G$5:$G$2162,'октябрь 2024'!$D$5:$D$2162,$B114,'октябрь 2024'!$J$5:$J$2162,AC$1)</f>
        <v>0</v>
      </c>
      <c r="AD114" s="80">
        <f>SUMIFS('октябрь 2024'!$G$5:$G$2162,'октябрь 2024'!$D$5:$D$2162,$B114,'октябрь 2024'!$J$5:$J$2162,AD$1)</f>
        <v>0</v>
      </c>
      <c r="AE114" s="80">
        <f>SUMIFS('октябрь 2024'!$G$5:$G$2162,'октябрь 2024'!$D$5:$D$2162,$B114,'октябрь 2024'!$J$5:$J$2162,AE$1)</f>
        <v>0</v>
      </c>
      <c r="AF114" s="80">
        <f>SUMIFS('октябрь 2024'!$G$5:$G$2162,'октябрь 2024'!$D$5:$D$2162,$B114,'октябрь 2024'!$J$5:$J$2162,AF$1)</f>
        <v>0</v>
      </c>
      <c r="AG114" s="80">
        <f>SUMIFS('октябрь 2024'!$G$5:$G$2162,'октябрь 2024'!$D$5:$D$2162,$B114,'октябрь 2024'!$J$5:$J$2162,AG$1)</f>
        <v>0</v>
      </c>
      <c r="AH114" s="80">
        <f>SUMIFS('октябрь 2024'!$G$5:$G$2162,'октябрь 2024'!$D$5:$D$2162,$B114,'октябрь 2024'!$J$5:$J$2162,AH$1)</f>
        <v>0</v>
      </c>
      <c r="AI114" s="21">
        <f t="shared" si="1"/>
        <v>0</v>
      </c>
    </row>
    <row r="115" spans="2:35" ht="15" customHeight="1" x14ac:dyDescent="0.25">
      <c r="B115" s="93" t="s">
        <v>344</v>
      </c>
      <c r="C115" s="91">
        <v>185</v>
      </c>
      <c r="D115" s="80">
        <f>SUMIFS('октябрь 2024'!$G$5:$G$2162,'октябрь 2024'!$D$5:$D$2162,$B115,'октябрь 2024'!$J$5:$J$2162,D$1)</f>
        <v>0</v>
      </c>
      <c r="E115" s="80">
        <f>SUMIFS('октябрь 2024'!$G$5:$G$2162,'октябрь 2024'!$D$5:$D$2162,$B115,'октябрь 2024'!$J$5:$J$2162,E$1)</f>
        <v>0</v>
      </c>
      <c r="F115" s="80">
        <f>SUMIFS('октябрь 2024'!$G$5:$G$2162,'октябрь 2024'!$D$5:$D$2162,$B115,'октябрь 2024'!$J$5:$J$2162,F$1)</f>
        <v>0</v>
      </c>
      <c r="G115" s="80">
        <f>SUMIFS('октябрь 2024'!$G$5:$G$2162,'октябрь 2024'!$D$5:$D$2162,$B115,'октябрь 2024'!$J$5:$J$2162,G$1)</f>
        <v>0</v>
      </c>
      <c r="H115" s="80">
        <f>SUMIFS('октябрь 2024'!$G$5:$G$2162,'октябрь 2024'!$D$5:$D$2162,$B115,'октябрь 2024'!$J$5:$J$2162,H$1)</f>
        <v>0</v>
      </c>
      <c r="I115" s="80">
        <f>SUMIFS('октябрь 2024'!$G$5:$G$2162,'октябрь 2024'!$D$5:$D$2162,$B115,'октябрь 2024'!$J$5:$J$2162,I$1)</f>
        <v>0</v>
      </c>
      <c r="J115" s="80">
        <f>SUMIFS('октябрь 2024'!$G$5:$G$2162,'октябрь 2024'!$D$5:$D$2162,$B115,'октябрь 2024'!$J$5:$J$2162,J$1)</f>
        <v>0</v>
      </c>
      <c r="K115" s="80">
        <f>SUMIFS('октябрь 2024'!$G$5:$G$2162,'октябрь 2024'!$D$5:$D$2162,$B115,'октябрь 2024'!$J$5:$J$2162,K$1)</f>
        <v>0</v>
      </c>
      <c r="L115" s="80">
        <f>SUMIFS('октябрь 2024'!$G$5:$G$2162,'октябрь 2024'!$D$5:$D$2162,$B115,'октябрь 2024'!$J$5:$J$2162,L$1)</f>
        <v>0</v>
      </c>
      <c r="M115" s="80">
        <f>SUMIFS('октябрь 2024'!$G$5:$G$2162,'октябрь 2024'!$D$5:$D$2162,$B115,'октябрь 2024'!$J$5:$J$2162,M$1)</f>
        <v>0</v>
      </c>
      <c r="N115" s="80">
        <f>SUMIFS('октябрь 2024'!$G$5:$G$2162,'октябрь 2024'!$D$5:$D$2162,$B115,'октябрь 2024'!$J$5:$J$2162,N$1)</f>
        <v>0</v>
      </c>
      <c r="O115" s="80">
        <f>SUMIFS('октябрь 2024'!$G$5:$G$2162,'октябрь 2024'!$D$5:$D$2162,$B115,'октябрь 2024'!$J$5:$J$2162,O$1)</f>
        <v>0</v>
      </c>
      <c r="P115" s="80">
        <f>SUMIFS('октябрь 2024'!$G$5:$G$2162,'октябрь 2024'!$D$5:$D$2162,$B115,'октябрь 2024'!$J$5:$J$2162,P$1)</f>
        <v>0</v>
      </c>
      <c r="Q115" s="80">
        <f>SUMIFS('октябрь 2024'!$G$5:$G$2162,'октябрь 2024'!$D$5:$D$2162,$B115,'октябрь 2024'!$J$5:$J$2162,Q$1)</f>
        <v>0</v>
      </c>
      <c r="R115" s="80">
        <f>SUMIFS('октябрь 2024'!$G$5:$G$2162,'октябрь 2024'!$D$5:$D$2162,$B115,'октябрь 2024'!$J$5:$J$2162,R$1)</f>
        <v>0</v>
      </c>
      <c r="S115" s="80">
        <f>SUMIFS('октябрь 2024'!$G$5:$G$2162,'октябрь 2024'!$D$5:$D$2162,$B115,'октябрь 2024'!$J$5:$J$2162,S$1)</f>
        <v>0</v>
      </c>
      <c r="T115" s="80">
        <f>SUMIFS('октябрь 2024'!$G$5:$G$2162,'октябрь 2024'!$D$5:$D$2162,$B115,'октябрь 2024'!$J$5:$J$2162,T$1)</f>
        <v>0</v>
      </c>
      <c r="U115" s="80">
        <f>SUMIFS('октябрь 2024'!$G$5:$G$2162,'октябрь 2024'!$D$5:$D$2162,$B115,'октябрь 2024'!$J$5:$J$2162,U$1)</f>
        <v>0</v>
      </c>
      <c r="V115" s="80">
        <f>SUMIFS('октябрь 2024'!$G$5:$G$2162,'октябрь 2024'!$D$5:$D$2162,$B115,'октябрь 2024'!$J$5:$J$2162,V$1)</f>
        <v>0</v>
      </c>
      <c r="W115" s="80">
        <f>SUMIFS('октябрь 2024'!$G$5:$G$2162,'октябрь 2024'!$D$5:$D$2162,$B115,'октябрь 2024'!$J$5:$J$2162,W$1)</f>
        <v>0</v>
      </c>
      <c r="X115" s="80">
        <f>SUMIFS('октябрь 2024'!$G$5:$G$2162,'октябрь 2024'!$D$5:$D$2162,$B115,'октябрь 2024'!$J$5:$J$2162,X$1)</f>
        <v>0</v>
      </c>
      <c r="Y115" s="80">
        <f>SUMIFS('октябрь 2024'!$G$5:$G$2162,'октябрь 2024'!$D$5:$D$2162,$B115,'октябрь 2024'!$J$5:$J$2162,Y$1)</f>
        <v>0</v>
      </c>
      <c r="Z115" s="80">
        <f>SUMIFS('октябрь 2024'!$G$5:$G$2162,'октябрь 2024'!$D$5:$D$2162,$B115,'октябрь 2024'!$J$5:$J$2162,Z$1)</f>
        <v>0</v>
      </c>
      <c r="AA115" s="80">
        <f>SUMIFS('октябрь 2024'!$G$5:$G$2162,'октябрь 2024'!$D$5:$D$2162,$B115,'октябрь 2024'!$J$5:$J$2162,AA$1)</f>
        <v>0</v>
      </c>
      <c r="AB115" s="80">
        <f>SUMIFS('октябрь 2024'!$G$5:$G$2162,'октябрь 2024'!$D$5:$D$2162,$B115,'октябрь 2024'!$J$5:$J$2162,AB$1)</f>
        <v>0</v>
      </c>
      <c r="AC115" s="80">
        <f>SUMIFS('октябрь 2024'!$G$5:$G$2162,'октябрь 2024'!$D$5:$D$2162,$B115,'октябрь 2024'!$J$5:$J$2162,AC$1)</f>
        <v>0</v>
      </c>
      <c r="AD115" s="80">
        <f>SUMIFS('октябрь 2024'!$G$5:$G$2162,'октябрь 2024'!$D$5:$D$2162,$B115,'октябрь 2024'!$J$5:$J$2162,AD$1)</f>
        <v>0</v>
      </c>
      <c r="AE115" s="80">
        <f>SUMIFS('октябрь 2024'!$G$5:$G$2162,'октябрь 2024'!$D$5:$D$2162,$B115,'октябрь 2024'!$J$5:$J$2162,AE$1)</f>
        <v>0</v>
      </c>
      <c r="AF115" s="80">
        <f>SUMIFS('октябрь 2024'!$G$5:$G$2162,'октябрь 2024'!$D$5:$D$2162,$B115,'октябрь 2024'!$J$5:$J$2162,AF$1)</f>
        <v>0</v>
      </c>
      <c r="AG115" s="80">
        <f>SUMIFS('октябрь 2024'!$G$5:$G$2162,'октябрь 2024'!$D$5:$D$2162,$B115,'октябрь 2024'!$J$5:$J$2162,AG$1)</f>
        <v>0</v>
      </c>
      <c r="AH115" s="80">
        <f>SUMIFS('октябрь 2024'!$G$5:$G$2162,'октябрь 2024'!$D$5:$D$2162,$B115,'октябрь 2024'!$J$5:$J$2162,AH$1)</f>
        <v>0</v>
      </c>
      <c r="AI115" s="21">
        <f t="shared" si="1"/>
        <v>0</v>
      </c>
    </row>
    <row r="116" spans="2:35" ht="15" customHeight="1" x14ac:dyDescent="0.25">
      <c r="B116" s="93" t="s">
        <v>400</v>
      </c>
      <c r="C116" s="91">
        <v>185</v>
      </c>
      <c r="D116" s="80">
        <f>SUMIFS('октябрь 2024'!$G$5:$G$2162,'октябрь 2024'!$D$5:$D$2162,$B116,'октябрь 2024'!$J$5:$J$2162,D$1)</f>
        <v>0</v>
      </c>
      <c r="E116" s="80">
        <f>SUMIFS('октябрь 2024'!$G$5:$G$2162,'октябрь 2024'!$D$5:$D$2162,$B116,'октябрь 2024'!$J$5:$J$2162,E$1)</f>
        <v>0</v>
      </c>
      <c r="F116" s="80">
        <f>SUMIFS('октябрь 2024'!$G$5:$G$2162,'октябрь 2024'!$D$5:$D$2162,$B116,'октябрь 2024'!$J$5:$J$2162,F$1)</f>
        <v>0</v>
      </c>
      <c r="G116" s="80">
        <f>SUMIFS('октябрь 2024'!$G$5:$G$2162,'октябрь 2024'!$D$5:$D$2162,$B116,'октябрь 2024'!$J$5:$J$2162,G$1)</f>
        <v>0</v>
      </c>
      <c r="H116" s="80">
        <f>SUMIFS('октябрь 2024'!$G$5:$G$2162,'октябрь 2024'!$D$5:$D$2162,$B116,'октябрь 2024'!$J$5:$J$2162,H$1)</f>
        <v>0</v>
      </c>
      <c r="I116" s="80">
        <f>SUMIFS('октябрь 2024'!$G$5:$G$2162,'октябрь 2024'!$D$5:$D$2162,$B116,'октябрь 2024'!$J$5:$J$2162,I$1)</f>
        <v>0</v>
      </c>
      <c r="J116" s="80">
        <f>SUMIFS('октябрь 2024'!$G$5:$G$2162,'октябрь 2024'!$D$5:$D$2162,$B116,'октябрь 2024'!$J$5:$J$2162,J$1)</f>
        <v>0</v>
      </c>
      <c r="K116" s="80">
        <f>SUMIFS('октябрь 2024'!$G$5:$G$2162,'октябрь 2024'!$D$5:$D$2162,$B116,'октябрь 2024'!$J$5:$J$2162,K$1)</f>
        <v>0</v>
      </c>
      <c r="L116" s="80">
        <f>SUMIFS('октябрь 2024'!$G$5:$G$2162,'октябрь 2024'!$D$5:$D$2162,$B116,'октябрь 2024'!$J$5:$J$2162,L$1)</f>
        <v>0</v>
      </c>
      <c r="M116" s="80">
        <f>SUMIFS('октябрь 2024'!$G$5:$G$2162,'октябрь 2024'!$D$5:$D$2162,$B116,'октябрь 2024'!$J$5:$J$2162,M$1)</f>
        <v>0</v>
      </c>
      <c r="N116" s="80">
        <f>SUMIFS('октябрь 2024'!$G$5:$G$2162,'октябрь 2024'!$D$5:$D$2162,$B116,'октябрь 2024'!$J$5:$J$2162,N$1)</f>
        <v>0</v>
      </c>
      <c r="O116" s="80">
        <f>SUMIFS('октябрь 2024'!$G$5:$G$2162,'октябрь 2024'!$D$5:$D$2162,$B116,'октябрь 2024'!$J$5:$J$2162,O$1)</f>
        <v>0</v>
      </c>
      <c r="P116" s="80">
        <f>SUMIFS('октябрь 2024'!$G$5:$G$2162,'октябрь 2024'!$D$5:$D$2162,$B116,'октябрь 2024'!$J$5:$J$2162,P$1)</f>
        <v>0</v>
      </c>
      <c r="Q116" s="80">
        <f>SUMIFS('октябрь 2024'!$G$5:$G$2162,'октябрь 2024'!$D$5:$D$2162,$B116,'октябрь 2024'!$J$5:$J$2162,Q$1)</f>
        <v>0</v>
      </c>
      <c r="R116" s="80">
        <f>SUMIFS('октябрь 2024'!$G$5:$G$2162,'октябрь 2024'!$D$5:$D$2162,$B116,'октябрь 2024'!$J$5:$J$2162,R$1)</f>
        <v>0</v>
      </c>
      <c r="S116" s="80">
        <f>SUMIFS('октябрь 2024'!$G$5:$G$2162,'октябрь 2024'!$D$5:$D$2162,$B116,'октябрь 2024'!$J$5:$J$2162,S$1)</f>
        <v>0</v>
      </c>
      <c r="T116" s="80">
        <f>SUMIFS('октябрь 2024'!$G$5:$G$2162,'октябрь 2024'!$D$5:$D$2162,$B116,'октябрь 2024'!$J$5:$J$2162,T$1)</f>
        <v>0</v>
      </c>
      <c r="U116" s="80">
        <f>SUMIFS('октябрь 2024'!$G$5:$G$2162,'октябрь 2024'!$D$5:$D$2162,$B116,'октябрь 2024'!$J$5:$J$2162,U$1)</f>
        <v>0</v>
      </c>
      <c r="V116" s="80">
        <f>SUMIFS('октябрь 2024'!$G$5:$G$2162,'октябрь 2024'!$D$5:$D$2162,$B116,'октябрь 2024'!$J$5:$J$2162,V$1)</f>
        <v>0</v>
      </c>
      <c r="W116" s="80">
        <f>SUMIFS('октябрь 2024'!$G$5:$G$2162,'октябрь 2024'!$D$5:$D$2162,$B116,'октябрь 2024'!$J$5:$J$2162,W$1)</f>
        <v>0</v>
      </c>
      <c r="X116" s="80">
        <f>SUMIFS('октябрь 2024'!$G$5:$G$2162,'октябрь 2024'!$D$5:$D$2162,$B116,'октябрь 2024'!$J$5:$J$2162,X$1)</f>
        <v>0</v>
      </c>
      <c r="Y116" s="80">
        <f>SUMIFS('октябрь 2024'!$G$5:$G$2162,'октябрь 2024'!$D$5:$D$2162,$B116,'октябрь 2024'!$J$5:$J$2162,Y$1)</f>
        <v>0</v>
      </c>
      <c r="Z116" s="80">
        <f>SUMIFS('октябрь 2024'!$G$5:$G$2162,'октябрь 2024'!$D$5:$D$2162,$B116,'октябрь 2024'!$J$5:$J$2162,Z$1)</f>
        <v>0</v>
      </c>
      <c r="AA116" s="80">
        <f>SUMIFS('октябрь 2024'!$G$5:$G$2162,'октябрь 2024'!$D$5:$D$2162,$B116,'октябрь 2024'!$J$5:$J$2162,AA$1)</f>
        <v>0</v>
      </c>
      <c r="AB116" s="80">
        <f>SUMIFS('октябрь 2024'!$G$5:$G$2162,'октябрь 2024'!$D$5:$D$2162,$B116,'октябрь 2024'!$J$5:$J$2162,AB$1)</f>
        <v>0</v>
      </c>
      <c r="AC116" s="80">
        <f>SUMIFS('октябрь 2024'!$G$5:$G$2162,'октябрь 2024'!$D$5:$D$2162,$B116,'октябрь 2024'!$J$5:$J$2162,AC$1)</f>
        <v>0</v>
      </c>
      <c r="AD116" s="80">
        <f>SUMIFS('октябрь 2024'!$G$5:$G$2162,'октябрь 2024'!$D$5:$D$2162,$B116,'октябрь 2024'!$J$5:$J$2162,AD$1)</f>
        <v>0</v>
      </c>
      <c r="AE116" s="80">
        <f>SUMIFS('октябрь 2024'!$G$5:$G$2162,'октябрь 2024'!$D$5:$D$2162,$B116,'октябрь 2024'!$J$5:$J$2162,AE$1)</f>
        <v>0</v>
      </c>
      <c r="AF116" s="80">
        <f>SUMIFS('октябрь 2024'!$G$5:$G$2162,'октябрь 2024'!$D$5:$D$2162,$B116,'октябрь 2024'!$J$5:$J$2162,AF$1)</f>
        <v>0</v>
      </c>
      <c r="AG116" s="80">
        <f>SUMIFS('октябрь 2024'!$G$5:$G$2162,'октябрь 2024'!$D$5:$D$2162,$B116,'октябрь 2024'!$J$5:$J$2162,AG$1)</f>
        <v>0</v>
      </c>
      <c r="AH116" s="80">
        <f>SUMIFS('октябрь 2024'!$G$5:$G$2162,'октябрь 2024'!$D$5:$D$2162,$B116,'октябрь 2024'!$J$5:$J$2162,AH$1)</f>
        <v>0</v>
      </c>
      <c r="AI116" s="21">
        <f t="shared" si="1"/>
        <v>0</v>
      </c>
    </row>
    <row r="117" spans="2:35" ht="15" customHeight="1" x14ac:dyDescent="0.25">
      <c r="B117" s="93" t="s">
        <v>330</v>
      </c>
      <c r="C117" s="91">
        <v>180</v>
      </c>
      <c r="D117" s="80">
        <f>SUMIFS('октябрь 2024'!$G$5:$G$2162,'октябрь 2024'!$D$5:$D$2162,$B117,'октябрь 2024'!$J$5:$J$2162,D$1)</f>
        <v>0</v>
      </c>
      <c r="E117" s="80">
        <f>SUMIFS('октябрь 2024'!$G$5:$G$2162,'октябрь 2024'!$D$5:$D$2162,$B117,'октябрь 2024'!$J$5:$J$2162,E$1)</f>
        <v>0</v>
      </c>
      <c r="F117" s="80">
        <f>SUMIFS('октябрь 2024'!$G$5:$G$2162,'октябрь 2024'!$D$5:$D$2162,$B117,'октябрь 2024'!$J$5:$J$2162,F$1)</f>
        <v>0</v>
      </c>
      <c r="G117" s="80">
        <f>SUMIFS('октябрь 2024'!$G$5:$G$2162,'октябрь 2024'!$D$5:$D$2162,$B117,'октябрь 2024'!$J$5:$J$2162,G$1)</f>
        <v>0</v>
      </c>
      <c r="H117" s="80">
        <f>SUMIFS('октябрь 2024'!$G$5:$G$2162,'октябрь 2024'!$D$5:$D$2162,$B117,'октябрь 2024'!$J$5:$J$2162,H$1)</f>
        <v>0</v>
      </c>
      <c r="I117" s="80">
        <f>SUMIFS('октябрь 2024'!$G$5:$G$2162,'октябрь 2024'!$D$5:$D$2162,$B117,'октябрь 2024'!$J$5:$J$2162,I$1)</f>
        <v>0</v>
      </c>
      <c r="J117" s="80">
        <f>SUMIFS('октябрь 2024'!$G$5:$G$2162,'октябрь 2024'!$D$5:$D$2162,$B117,'октябрь 2024'!$J$5:$J$2162,J$1)</f>
        <v>0</v>
      </c>
      <c r="K117" s="80">
        <f>SUMIFS('октябрь 2024'!$G$5:$G$2162,'октябрь 2024'!$D$5:$D$2162,$B117,'октябрь 2024'!$J$5:$J$2162,K$1)</f>
        <v>0</v>
      </c>
      <c r="L117" s="80">
        <f>SUMIFS('октябрь 2024'!$G$5:$G$2162,'октябрь 2024'!$D$5:$D$2162,$B117,'октябрь 2024'!$J$5:$J$2162,L$1)</f>
        <v>0</v>
      </c>
      <c r="M117" s="80">
        <f>SUMIFS('октябрь 2024'!$G$5:$G$2162,'октябрь 2024'!$D$5:$D$2162,$B117,'октябрь 2024'!$J$5:$J$2162,M$1)</f>
        <v>0</v>
      </c>
      <c r="N117" s="80">
        <f>SUMIFS('октябрь 2024'!$G$5:$G$2162,'октябрь 2024'!$D$5:$D$2162,$B117,'октябрь 2024'!$J$5:$J$2162,N$1)</f>
        <v>0</v>
      </c>
      <c r="O117" s="80">
        <f>SUMIFS('октябрь 2024'!$G$5:$G$2162,'октябрь 2024'!$D$5:$D$2162,$B117,'октябрь 2024'!$J$5:$J$2162,O$1)</f>
        <v>0</v>
      </c>
      <c r="P117" s="80">
        <f>SUMIFS('октябрь 2024'!$G$5:$G$2162,'октябрь 2024'!$D$5:$D$2162,$B117,'октябрь 2024'!$J$5:$J$2162,P$1)</f>
        <v>0</v>
      </c>
      <c r="Q117" s="80">
        <f>SUMIFS('октябрь 2024'!$G$5:$G$2162,'октябрь 2024'!$D$5:$D$2162,$B117,'октябрь 2024'!$J$5:$J$2162,Q$1)</f>
        <v>0</v>
      </c>
      <c r="R117" s="80">
        <f>SUMIFS('октябрь 2024'!$G$5:$G$2162,'октябрь 2024'!$D$5:$D$2162,$B117,'октябрь 2024'!$J$5:$J$2162,R$1)</f>
        <v>0</v>
      </c>
      <c r="S117" s="80">
        <f>SUMIFS('октябрь 2024'!$G$5:$G$2162,'октябрь 2024'!$D$5:$D$2162,$B117,'октябрь 2024'!$J$5:$J$2162,S$1)</f>
        <v>0</v>
      </c>
      <c r="T117" s="80">
        <f>SUMIFS('октябрь 2024'!$G$5:$G$2162,'октябрь 2024'!$D$5:$D$2162,$B117,'октябрь 2024'!$J$5:$J$2162,T$1)</f>
        <v>0</v>
      </c>
      <c r="U117" s="80">
        <f>SUMIFS('октябрь 2024'!$G$5:$G$2162,'октябрь 2024'!$D$5:$D$2162,$B117,'октябрь 2024'!$J$5:$J$2162,U$1)</f>
        <v>0</v>
      </c>
      <c r="V117" s="80">
        <f>SUMIFS('октябрь 2024'!$G$5:$G$2162,'октябрь 2024'!$D$5:$D$2162,$B117,'октябрь 2024'!$J$5:$J$2162,V$1)</f>
        <v>0</v>
      </c>
      <c r="W117" s="80">
        <f>SUMIFS('октябрь 2024'!$G$5:$G$2162,'октябрь 2024'!$D$5:$D$2162,$B117,'октябрь 2024'!$J$5:$J$2162,W$1)</f>
        <v>0</v>
      </c>
      <c r="X117" s="80">
        <f>SUMIFS('октябрь 2024'!$G$5:$G$2162,'октябрь 2024'!$D$5:$D$2162,$B117,'октябрь 2024'!$J$5:$J$2162,X$1)</f>
        <v>0</v>
      </c>
      <c r="Y117" s="80">
        <f>SUMIFS('октябрь 2024'!$G$5:$G$2162,'октябрь 2024'!$D$5:$D$2162,$B117,'октябрь 2024'!$J$5:$J$2162,Y$1)</f>
        <v>0</v>
      </c>
      <c r="Z117" s="80">
        <f>SUMIFS('октябрь 2024'!$G$5:$G$2162,'октябрь 2024'!$D$5:$D$2162,$B117,'октябрь 2024'!$J$5:$J$2162,Z$1)</f>
        <v>0</v>
      </c>
      <c r="AA117" s="80">
        <f>SUMIFS('октябрь 2024'!$G$5:$G$2162,'октябрь 2024'!$D$5:$D$2162,$B117,'октябрь 2024'!$J$5:$J$2162,AA$1)</f>
        <v>0</v>
      </c>
      <c r="AB117" s="80">
        <f>SUMIFS('октябрь 2024'!$G$5:$G$2162,'октябрь 2024'!$D$5:$D$2162,$B117,'октябрь 2024'!$J$5:$J$2162,AB$1)</f>
        <v>0</v>
      </c>
      <c r="AC117" s="80">
        <f>SUMIFS('октябрь 2024'!$G$5:$G$2162,'октябрь 2024'!$D$5:$D$2162,$B117,'октябрь 2024'!$J$5:$J$2162,AC$1)</f>
        <v>0</v>
      </c>
      <c r="AD117" s="80">
        <f>SUMIFS('октябрь 2024'!$G$5:$G$2162,'октябрь 2024'!$D$5:$D$2162,$B117,'октябрь 2024'!$J$5:$J$2162,AD$1)</f>
        <v>0</v>
      </c>
      <c r="AE117" s="80">
        <f>SUMIFS('октябрь 2024'!$G$5:$G$2162,'октябрь 2024'!$D$5:$D$2162,$B117,'октябрь 2024'!$J$5:$J$2162,AE$1)</f>
        <v>0</v>
      </c>
      <c r="AF117" s="80">
        <f>SUMIFS('октябрь 2024'!$G$5:$G$2162,'октябрь 2024'!$D$5:$D$2162,$B117,'октябрь 2024'!$J$5:$J$2162,AF$1)</f>
        <v>0</v>
      </c>
      <c r="AG117" s="80">
        <f>SUMIFS('октябрь 2024'!$G$5:$G$2162,'октябрь 2024'!$D$5:$D$2162,$B117,'октябрь 2024'!$J$5:$J$2162,AG$1)</f>
        <v>0</v>
      </c>
      <c r="AH117" s="80">
        <f>SUMIFS('октябрь 2024'!$G$5:$G$2162,'октябрь 2024'!$D$5:$D$2162,$B117,'октябрь 2024'!$J$5:$J$2162,AH$1)</f>
        <v>0</v>
      </c>
      <c r="AI117" s="21">
        <f t="shared" si="1"/>
        <v>0</v>
      </c>
    </row>
    <row r="118" spans="2:35" ht="15" customHeight="1" x14ac:dyDescent="0.25">
      <c r="B118" s="93" t="s">
        <v>331</v>
      </c>
      <c r="C118" s="91">
        <v>200</v>
      </c>
      <c r="D118" s="80">
        <f>SUMIFS('октябрь 2024'!$G$5:$G$2162,'октябрь 2024'!$D$5:$D$2162,$B118,'октябрь 2024'!$J$5:$J$2162,D$1)</f>
        <v>0</v>
      </c>
      <c r="E118" s="80">
        <f>SUMIFS('октябрь 2024'!$G$5:$G$2162,'октябрь 2024'!$D$5:$D$2162,$B118,'октябрь 2024'!$J$5:$J$2162,E$1)</f>
        <v>0</v>
      </c>
      <c r="F118" s="80">
        <f>SUMIFS('октябрь 2024'!$G$5:$G$2162,'октябрь 2024'!$D$5:$D$2162,$B118,'октябрь 2024'!$J$5:$J$2162,F$1)</f>
        <v>0</v>
      </c>
      <c r="G118" s="80">
        <f>SUMIFS('октябрь 2024'!$G$5:$G$2162,'октябрь 2024'!$D$5:$D$2162,$B118,'октябрь 2024'!$J$5:$J$2162,G$1)</f>
        <v>0</v>
      </c>
      <c r="H118" s="80">
        <f>SUMIFS('октябрь 2024'!$G$5:$G$2162,'октябрь 2024'!$D$5:$D$2162,$B118,'октябрь 2024'!$J$5:$J$2162,H$1)</f>
        <v>0</v>
      </c>
      <c r="I118" s="80">
        <f>SUMIFS('октябрь 2024'!$G$5:$G$2162,'октябрь 2024'!$D$5:$D$2162,$B118,'октябрь 2024'!$J$5:$J$2162,I$1)</f>
        <v>0</v>
      </c>
      <c r="J118" s="80">
        <f>SUMIFS('октябрь 2024'!$G$5:$G$2162,'октябрь 2024'!$D$5:$D$2162,$B118,'октябрь 2024'!$J$5:$J$2162,J$1)</f>
        <v>0</v>
      </c>
      <c r="K118" s="80">
        <f>SUMIFS('октябрь 2024'!$G$5:$G$2162,'октябрь 2024'!$D$5:$D$2162,$B118,'октябрь 2024'!$J$5:$J$2162,K$1)</f>
        <v>0</v>
      </c>
      <c r="L118" s="80">
        <f>SUMIFS('октябрь 2024'!$G$5:$G$2162,'октябрь 2024'!$D$5:$D$2162,$B118,'октябрь 2024'!$J$5:$J$2162,L$1)</f>
        <v>0</v>
      </c>
      <c r="M118" s="80">
        <f>SUMIFS('октябрь 2024'!$G$5:$G$2162,'октябрь 2024'!$D$5:$D$2162,$B118,'октябрь 2024'!$J$5:$J$2162,M$1)</f>
        <v>0</v>
      </c>
      <c r="N118" s="80">
        <f>SUMIFS('октябрь 2024'!$G$5:$G$2162,'октябрь 2024'!$D$5:$D$2162,$B118,'октябрь 2024'!$J$5:$J$2162,N$1)</f>
        <v>0</v>
      </c>
      <c r="O118" s="80">
        <f>SUMIFS('октябрь 2024'!$G$5:$G$2162,'октябрь 2024'!$D$5:$D$2162,$B118,'октябрь 2024'!$J$5:$J$2162,O$1)</f>
        <v>0</v>
      </c>
      <c r="P118" s="80">
        <f>SUMIFS('октябрь 2024'!$G$5:$G$2162,'октябрь 2024'!$D$5:$D$2162,$B118,'октябрь 2024'!$J$5:$J$2162,P$1)</f>
        <v>0</v>
      </c>
      <c r="Q118" s="80">
        <f>SUMIFS('октябрь 2024'!$G$5:$G$2162,'октябрь 2024'!$D$5:$D$2162,$B118,'октябрь 2024'!$J$5:$J$2162,Q$1)</f>
        <v>0</v>
      </c>
      <c r="R118" s="80">
        <f>SUMIFS('октябрь 2024'!$G$5:$G$2162,'октябрь 2024'!$D$5:$D$2162,$B118,'октябрь 2024'!$J$5:$J$2162,R$1)</f>
        <v>0</v>
      </c>
      <c r="S118" s="80">
        <f>SUMIFS('октябрь 2024'!$G$5:$G$2162,'октябрь 2024'!$D$5:$D$2162,$B118,'октябрь 2024'!$J$5:$J$2162,S$1)</f>
        <v>0</v>
      </c>
      <c r="T118" s="80">
        <f>SUMIFS('октябрь 2024'!$G$5:$G$2162,'октябрь 2024'!$D$5:$D$2162,$B118,'октябрь 2024'!$J$5:$J$2162,T$1)</f>
        <v>0</v>
      </c>
      <c r="U118" s="80">
        <f>SUMIFS('октябрь 2024'!$G$5:$G$2162,'октябрь 2024'!$D$5:$D$2162,$B118,'октябрь 2024'!$J$5:$J$2162,U$1)</f>
        <v>0</v>
      </c>
      <c r="V118" s="80">
        <f>SUMIFS('октябрь 2024'!$G$5:$G$2162,'октябрь 2024'!$D$5:$D$2162,$B118,'октябрь 2024'!$J$5:$J$2162,V$1)</f>
        <v>0</v>
      </c>
      <c r="W118" s="80">
        <f>SUMIFS('октябрь 2024'!$G$5:$G$2162,'октябрь 2024'!$D$5:$D$2162,$B118,'октябрь 2024'!$J$5:$J$2162,W$1)</f>
        <v>0</v>
      </c>
      <c r="X118" s="80">
        <f>SUMIFS('октябрь 2024'!$G$5:$G$2162,'октябрь 2024'!$D$5:$D$2162,$B118,'октябрь 2024'!$J$5:$J$2162,X$1)</f>
        <v>0</v>
      </c>
      <c r="Y118" s="80">
        <f>SUMIFS('октябрь 2024'!$G$5:$G$2162,'октябрь 2024'!$D$5:$D$2162,$B118,'октябрь 2024'!$J$5:$J$2162,Y$1)</f>
        <v>0</v>
      </c>
      <c r="Z118" s="80">
        <f>SUMIFS('октябрь 2024'!$G$5:$G$2162,'октябрь 2024'!$D$5:$D$2162,$B118,'октябрь 2024'!$J$5:$J$2162,Z$1)</f>
        <v>0</v>
      </c>
      <c r="AA118" s="80">
        <f>SUMIFS('октябрь 2024'!$G$5:$G$2162,'октябрь 2024'!$D$5:$D$2162,$B118,'октябрь 2024'!$J$5:$J$2162,AA$1)</f>
        <v>0</v>
      </c>
      <c r="AB118" s="80">
        <f>SUMIFS('октябрь 2024'!$G$5:$G$2162,'октябрь 2024'!$D$5:$D$2162,$B118,'октябрь 2024'!$J$5:$J$2162,AB$1)</f>
        <v>0</v>
      </c>
      <c r="AC118" s="80">
        <f>SUMIFS('октябрь 2024'!$G$5:$G$2162,'октябрь 2024'!$D$5:$D$2162,$B118,'октябрь 2024'!$J$5:$J$2162,AC$1)</f>
        <v>0</v>
      </c>
      <c r="AD118" s="80">
        <f>SUMIFS('октябрь 2024'!$G$5:$G$2162,'октябрь 2024'!$D$5:$D$2162,$B118,'октябрь 2024'!$J$5:$J$2162,AD$1)</f>
        <v>0</v>
      </c>
      <c r="AE118" s="80">
        <f>SUMIFS('октябрь 2024'!$G$5:$G$2162,'октябрь 2024'!$D$5:$D$2162,$B118,'октябрь 2024'!$J$5:$J$2162,AE$1)</f>
        <v>0</v>
      </c>
      <c r="AF118" s="80">
        <f>SUMIFS('октябрь 2024'!$G$5:$G$2162,'октябрь 2024'!$D$5:$D$2162,$B118,'октябрь 2024'!$J$5:$J$2162,AF$1)</f>
        <v>0</v>
      </c>
      <c r="AG118" s="80">
        <f>SUMIFS('октябрь 2024'!$G$5:$G$2162,'октябрь 2024'!$D$5:$D$2162,$B118,'октябрь 2024'!$J$5:$J$2162,AG$1)</f>
        <v>0</v>
      </c>
      <c r="AH118" s="80">
        <f>SUMIFS('октябрь 2024'!$G$5:$G$2162,'октябрь 2024'!$D$5:$D$2162,$B118,'октябрь 2024'!$J$5:$J$2162,AH$1)</f>
        <v>0</v>
      </c>
      <c r="AI118" s="21">
        <f t="shared" si="1"/>
        <v>0</v>
      </c>
    </row>
    <row r="119" spans="2:35" ht="15" customHeight="1" x14ac:dyDescent="0.25">
      <c r="B119" s="89" t="s">
        <v>164</v>
      </c>
      <c r="C119" s="88">
        <v>950</v>
      </c>
      <c r="D119" s="80">
        <f>SUMIFS('октябрь 2024'!$G$5:$G$2162,'октябрь 2024'!$D$5:$D$2162,$B119,'октябрь 2024'!$J$5:$J$2162,D$1)</f>
        <v>0</v>
      </c>
      <c r="E119" s="80">
        <f>SUMIFS('октябрь 2024'!$G$5:$G$2162,'октябрь 2024'!$D$5:$D$2162,$B119,'октябрь 2024'!$J$5:$J$2162,E$1)</f>
        <v>0</v>
      </c>
      <c r="F119" s="80">
        <f>SUMIFS('октябрь 2024'!$G$5:$G$2162,'октябрь 2024'!$D$5:$D$2162,$B119,'октябрь 2024'!$J$5:$J$2162,F$1)</f>
        <v>0</v>
      </c>
      <c r="G119" s="80">
        <f>SUMIFS('октябрь 2024'!$G$5:$G$2162,'октябрь 2024'!$D$5:$D$2162,$B119,'октябрь 2024'!$J$5:$J$2162,G$1)</f>
        <v>0</v>
      </c>
      <c r="H119" s="80">
        <f>SUMIFS('октябрь 2024'!$G$5:$G$2162,'октябрь 2024'!$D$5:$D$2162,$B119,'октябрь 2024'!$J$5:$J$2162,H$1)</f>
        <v>0</v>
      </c>
      <c r="I119" s="80">
        <f>SUMIFS('октябрь 2024'!$G$5:$G$2162,'октябрь 2024'!$D$5:$D$2162,$B119,'октябрь 2024'!$J$5:$J$2162,I$1)</f>
        <v>0</v>
      </c>
      <c r="J119" s="80">
        <f>SUMIFS('октябрь 2024'!$G$5:$G$2162,'октябрь 2024'!$D$5:$D$2162,$B119,'октябрь 2024'!$J$5:$J$2162,J$1)</f>
        <v>0</v>
      </c>
      <c r="K119" s="80">
        <f>SUMIFS('октябрь 2024'!$G$5:$G$2162,'октябрь 2024'!$D$5:$D$2162,$B119,'октябрь 2024'!$J$5:$J$2162,K$1)</f>
        <v>0</v>
      </c>
      <c r="L119" s="80">
        <f>SUMIFS('октябрь 2024'!$G$5:$G$2162,'октябрь 2024'!$D$5:$D$2162,$B119,'октябрь 2024'!$J$5:$J$2162,L$1)</f>
        <v>0</v>
      </c>
      <c r="M119" s="80">
        <f>SUMIFS('октябрь 2024'!$G$5:$G$2162,'октябрь 2024'!$D$5:$D$2162,$B119,'октябрь 2024'!$J$5:$J$2162,M$1)</f>
        <v>0</v>
      </c>
      <c r="N119" s="80">
        <f>SUMIFS('октябрь 2024'!$G$5:$G$2162,'октябрь 2024'!$D$5:$D$2162,$B119,'октябрь 2024'!$J$5:$J$2162,N$1)</f>
        <v>0</v>
      </c>
      <c r="O119" s="80">
        <f>SUMIFS('октябрь 2024'!$G$5:$G$2162,'октябрь 2024'!$D$5:$D$2162,$B119,'октябрь 2024'!$J$5:$J$2162,O$1)</f>
        <v>0</v>
      </c>
      <c r="P119" s="80">
        <f>SUMIFS('октябрь 2024'!$G$5:$G$2162,'октябрь 2024'!$D$5:$D$2162,$B119,'октябрь 2024'!$J$5:$J$2162,P$1)</f>
        <v>0</v>
      </c>
      <c r="Q119" s="80">
        <f>SUMIFS('октябрь 2024'!$G$5:$G$2162,'октябрь 2024'!$D$5:$D$2162,$B119,'октябрь 2024'!$J$5:$J$2162,Q$1)</f>
        <v>0</v>
      </c>
      <c r="R119" s="80">
        <f>SUMIFS('октябрь 2024'!$G$5:$G$2162,'октябрь 2024'!$D$5:$D$2162,$B119,'октябрь 2024'!$J$5:$J$2162,R$1)</f>
        <v>0</v>
      </c>
      <c r="S119" s="80">
        <f>SUMIFS('октябрь 2024'!$G$5:$G$2162,'октябрь 2024'!$D$5:$D$2162,$B119,'октябрь 2024'!$J$5:$J$2162,S$1)</f>
        <v>0</v>
      </c>
      <c r="T119" s="80">
        <f>SUMIFS('октябрь 2024'!$G$5:$G$2162,'октябрь 2024'!$D$5:$D$2162,$B119,'октябрь 2024'!$J$5:$J$2162,T$1)</f>
        <v>0</v>
      </c>
      <c r="U119" s="80">
        <f>SUMIFS('октябрь 2024'!$G$5:$G$2162,'октябрь 2024'!$D$5:$D$2162,$B119,'октябрь 2024'!$J$5:$J$2162,U$1)</f>
        <v>0</v>
      </c>
      <c r="V119" s="80">
        <f>SUMIFS('октябрь 2024'!$G$5:$G$2162,'октябрь 2024'!$D$5:$D$2162,$B119,'октябрь 2024'!$J$5:$J$2162,V$1)</f>
        <v>0</v>
      </c>
      <c r="W119" s="80">
        <f>SUMIFS('октябрь 2024'!$G$5:$G$2162,'октябрь 2024'!$D$5:$D$2162,$B119,'октябрь 2024'!$J$5:$J$2162,W$1)</f>
        <v>0</v>
      </c>
      <c r="X119" s="80">
        <f>SUMIFS('октябрь 2024'!$G$5:$G$2162,'октябрь 2024'!$D$5:$D$2162,$B119,'октябрь 2024'!$J$5:$J$2162,X$1)</f>
        <v>0</v>
      </c>
      <c r="Y119" s="80">
        <f>SUMIFS('октябрь 2024'!$G$5:$G$2162,'октябрь 2024'!$D$5:$D$2162,$B119,'октябрь 2024'!$J$5:$J$2162,Y$1)</f>
        <v>0</v>
      </c>
      <c r="Z119" s="80">
        <f>SUMIFS('октябрь 2024'!$G$5:$G$2162,'октябрь 2024'!$D$5:$D$2162,$B119,'октябрь 2024'!$J$5:$J$2162,Z$1)</f>
        <v>0</v>
      </c>
      <c r="AA119" s="80">
        <f>SUMIFS('октябрь 2024'!$G$5:$G$2162,'октябрь 2024'!$D$5:$D$2162,$B119,'октябрь 2024'!$J$5:$J$2162,AA$1)</f>
        <v>0</v>
      </c>
      <c r="AB119" s="80">
        <f>SUMIFS('октябрь 2024'!$G$5:$G$2162,'октябрь 2024'!$D$5:$D$2162,$B119,'октябрь 2024'!$J$5:$J$2162,AB$1)</f>
        <v>0</v>
      </c>
      <c r="AC119" s="80">
        <f>SUMIFS('октябрь 2024'!$G$5:$G$2162,'октябрь 2024'!$D$5:$D$2162,$B119,'октябрь 2024'!$J$5:$J$2162,AC$1)</f>
        <v>0</v>
      </c>
      <c r="AD119" s="80">
        <f>SUMIFS('октябрь 2024'!$G$5:$G$2162,'октябрь 2024'!$D$5:$D$2162,$B119,'октябрь 2024'!$J$5:$J$2162,AD$1)</f>
        <v>0</v>
      </c>
      <c r="AE119" s="80">
        <f>SUMIFS('октябрь 2024'!$G$5:$G$2162,'октябрь 2024'!$D$5:$D$2162,$B119,'октябрь 2024'!$J$5:$J$2162,AE$1)</f>
        <v>0</v>
      </c>
      <c r="AF119" s="80">
        <f>SUMIFS('октябрь 2024'!$G$5:$G$2162,'октябрь 2024'!$D$5:$D$2162,$B119,'октябрь 2024'!$J$5:$J$2162,AF$1)</f>
        <v>0</v>
      </c>
      <c r="AG119" s="80">
        <f>SUMIFS('октябрь 2024'!$G$5:$G$2162,'октябрь 2024'!$D$5:$D$2162,$B119,'октябрь 2024'!$J$5:$J$2162,AG$1)</f>
        <v>0</v>
      </c>
      <c r="AH119" s="80">
        <f>SUMIFS('октябрь 2024'!$G$5:$G$2162,'октябрь 2024'!$D$5:$D$2162,$B119,'октябрь 2024'!$J$5:$J$2162,AH$1)</f>
        <v>0</v>
      </c>
      <c r="AI119" s="21">
        <f t="shared" si="1"/>
        <v>0</v>
      </c>
    </row>
    <row r="120" spans="2:35" ht="15" customHeight="1" x14ac:dyDescent="0.25">
      <c r="B120" s="89" t="s">
        <v>193</v>
      </c>
      <c r="C120" s="88">
        <v>180</v>
      </c>
      <c r="D120" s="80">
        <f>SUMIFS('октябрь 2024'!$G$5:$G$2162,'октябрь 2024'!$D$5:$D$2162,$B120,'октябрь 2024'!$J$5:$J$2162,D$1)</f>
        <v>0</v>
      </c>
      <c r="E120" s="80">
        <f>SUMIFS('октябрь 2024'!$G$5:$G$2162,'октябрь 2024'!$D$5:$D$2162,$B120,'октябрь 2024'!$J$5:$J$2162,E$1)</f>
        <v>0</v>
      </c>
      <c r="F120" s="80">
        <f>SUMIFS('октябрь 2024'!$G$5:$G$2162,'октябрь 2024'!$D$5:$D$2162,$B120,'октябрь 2024'!$J$5:$J$2162,F$1)</f>
        <v>0</v>
      </c>
      <c r="G120" s="80">
        <f>SUMIFS('октябрь 2024'!$G$5:$G$2162,'октябрь 2024'!$D$5:$D$2162,$B120,'октябрь 2024'!$J$5:$J$2162,G$1)</f>
        <v>0</v>
      </c>
      <c r="H120" s="80">
        <f>SUMIFS('октябрь 2024'!$G$5:$G$2162,'октябрь 2024'!$D$5:$D$2162,$B120,'октябрь 2024'!$J$5:$J$2162,H$1)</f>
        <v>0</v>
      </c>
      <c r="I120" s="80">
        <f>SUMIFS('октябрь 2024'!$G$5:$G$2162,'октябрь 2024'!$D$5:$D$2162,$B120,'октябрь 2024'!$J$5:$J$2162,I$1)</f>
        <v>0</v>
      </c>
      <c r="J120" s="80">
        <f>SUMIFS('октябрь 2024'!$G$5:$G$2162,'октябрь 2024'!$D$5:$D$2162,$B120,'октябрь 2024'!$J$5:$J$2162,J$1)</f>
        <v>0</v>
      </c>
      <c r="K120" s="80">
        <f>SUMIFS('октябрь 2024'!$G$5:$G$2162,'октябрь 2024'!$D$5:$D$2162,$B120,'октябрь 2024'!$J$5:$J$2162,K$1)</f>
        <v>0</v>
      </c>
      <c r="L120" s="80">
        <f>SUMIFS('октябрь 2024'!$G$5:$G$2162,'октябрь 2024'!$D$5:$D$2162,$B120,'октябрь 2024'!$J$5:$J$2162,L$1)</f>
        <v>0</v>
      </c>
      <c r="M120" s="80">
        <f>SUMIFS('октябрь 2024'!$G$5:$G$2162,'октябрь 2024'!$D$5:$D$2162,$B120,'октябрь 2024'!$J$5:$J$2162,M$1)</f>
        <v>0</v>
      </c>
      <c r="N120" s="80">
        <f>SUMIFS('октябрь 2024'!$G$5:$G$2162,'октябрь 2024'!$D$5:$D$2162,$B120,'октябрь 2024'!$J$5:$J$2162,N$1)</f>
        <v>0</v>
      </c>
      <c r="O120" s="80">
        <f>SUMIFS('октябрь 2024'!$G$5:$G$2162,'октябрь 2024'!$D$5:$D$2162,$B120,'октябрь 2024'!$J$5:$J$2162,O$1)</f>
        <v>0</v>
      </c>
      <c r="P120" s="80">
        <f>SUMIFS('октябрь 2024'!$G$5:$G$2162,'октябрь 2024'!$D$5:$D$2162,$B120,'октябрь 2024'!$J$5:$J$2162,P$1)</f>
        <v>0</v>
      </c>
      <c r="Q120" s="80">
        <f>SUMIFS('октябрь 2024'!$G$5:$G$2162,'октябрь 2024'!$D$5:$D$2162,$B120,'октябрь 2024'!$J$5:$J$2162,Q$1)</f>
        <v>0</v>
      </c>
      <c r="R120" s="80">
        <f>SUMIFS('октябрь 2024'!$G$5:$G$2162,'октябрь 2024'!$D$5:$D$2162,$B120,'октябрь 2024'!$J$5:$J$2162,R$1)</f>
        <v>0</v>
      </c>
      <c r="S120" s="80">
        <f>SUMIFS('октябрь 2024'!$G$5:$G$2162,'октябрь 2024'!$D$5:$D$2162,$B120,'октябрь 2024'!$J$5:$J$2162,S$1)</f>
        <v>0</v>
      </c>
      <c r="T120" s="80">
        <f>SUMIFS('октябрь 2024'!$G$5:$G$2162,'октябрь 2024'!$D$5:$D$2162,$B120,'октябрь 2024'!$J$5:$J$2162,T$1)</f>
        <v>0</v>
      </c>
      <c r="U120" s="80">
        <f>SUMIFS('октябрь 2024'!$G$5:$G$2162,'октябрь 2024'!$D$5:$D$2162,$B120,'октябрь 2024'!$J$5:$J$2162,U$1)</f>
        <v>0</v>
      </c>
      <c r="V120" s="80">
        <f>SUMIFS('октябрь 2024'!$G$5:$G$2162,'октябрь 2024'!$D$5:$D$2162,$B120,'октябрь 2024'!$J$5:$J$2162,V$1)</f>
        <v>0</v>
      </c>
      <c r="W120" s="80">
        <f>SUMIFS('октябрь 2024'!$G$5:$G$2162,'октябрь 2024'!$D$5:$D$2162,$B120,'октябрь 2024'!$J$5:$J$2162,W$1)</f>
        <v>0</v>
      </c>
      <c r="X120" s="80">
        <f>SUMIFS('октябрь 2024'!$G$5:$G$2162,'октябрь 2024'!$D$5:$D$2162,$B120,'октябрь 2024'!$J$5:$J$2162,X$1)</f>
        <v>0</v>
      </c>
      <c r="Y120" s="80">
        <f>SUMIFS('октябрь 2024'!$G$5:$G$2162,'октябрь 2024'!$D$5:$D$2162,$B120,'октябрь 2024'!$J$5:$J$2162,Y$1)</f>
        <v>0</v>
      </c>
      <c r="Z120" s="80">
        <f>SUMIFS('октябрь 2024'!$G$5:$G$2162,'октябрь 2024'!$D$5:$D$2162,$B120,'октябрь 2024'!$J$5:$J$2162,Z$1)</f>
        <v>0</v>
      </c>
      <c r="AA120" s="80">
        <f>SUMIFS('октябрь 2024'!$G$5:$G$2162,'октябрь 2024'!$D$5:$D$2162,$B120,'октябрь 2024'!$J$5:$J$2162,AA$1)</f>
        <v>0</v>
      </c>
      <c r="AB120" s="80">
        <f>SUMIFS('октябрь 2024'!$G$5:$G$2162,'октябрь 2024'!$D$5:$D$2162,$B120,'октябрь 2024'!$J$5:$J$2162,AB$1)</f>
        <v>0</v>
      </c>
      <c r="AC120" s="80">
        <f>SUMIFS('октябрь 2024'!$G$5:$G$2162,'октябрь 2024'!$D$5:$D$2162,$B120,'октябрь 2024'!$J$5:$J$2162,AC$1)</f>
        <v>0</v>
      </c>
      <c r="AD120" s="80">
        <f>SUMIFS('октябрь 2024'!$G$5:$G$2162,'октябрь 2024'!$D$5:$D$2162,$B120,'октябрь 2024'!$J$5:$J$2162,AD$1)</f>
        <v>0</v>
      </c>
      <c r="AE120" s="80">
        <f>SUMIFS('октябрь 2024'!$G$5:$G$2162,'октябрь 2024'!$D$5:$D$2162,$B120,'октябрь 2024'!$J$5:$J$2162,AE$1)</f>
        <v>0</v>
      </c>
      <c r="AF120" s="80">
        <f>SUMIFS('октябрь 2024'!$G$5:$G$2162,'октябрь 2024'!$D$5:$D$2162,$B120,'октябрь 2024'!$J$5:$J$2162,AF$1)</f>
        <v>0</v>
      </c>
      <c r="AG120" s="80">
        <f>SUMIFS('октябрь 2024'!$G$5:$G$2162,'октябрь 2024'!$D$5:$D$2162,$B120,'октябрь 2024'!$J$5:$J$2162,AG$1)</f>
        <v>0</v>
      </c>
      <c r="AH120" s="80">
        <f>SUMIFS('октябрь 2024'!$G$5:$G$2162,'октябрь 2024'!$D$5:$D$2162,$B120,'октябрь 2024'!$J$5:$J$2162,AH$1)</f>
        <v>0</v>
      </c>
      <c r="AI120" s="21">
        <f t="shared" si="1"/>
        <v>0</v>
      </c>
    </row>
    <row r="121" spans="2:35" ht="15" customHeight="1" x14ac:dyDescent="0.25">
      <c r="B121" s="89" t="s">
        <v>1070</v>
      </c>
      <c r="C121" s="88">
        <v>180</v>
      </c>
      <c r="D121" s="80">
        <f>SUMIFS('октябрь 2024'!$G$5:$G$2162,'октябрь 2024'!$D$5:$D$2162,$B121,'октябрь 2024'!$J$5:$J$2162,D$1)</f>
        <v>0</v>
      </c>
      <c r="E121" s="80">
        <f>SUMIFS('октябрь 2024'!$G$5:$G$2162,'октябрь 2024'!$D$5:$D$2162,$B121,'октябрь 2024'!$J$5:$J$2162,E$1)</f>
        <v>0</v>
      </c>
      <c r="F121" s="80">
        <f>SUMIFS('октябрь 2024'!$G$5:$G$2162,'октябрь 2024'!$D$5:$D$2162,$B121,'октябрь 2024'!$J$5:$J$2162,F$1)</f>
        <v>0</v>
      </c>
      <c r="G121" s="80">
        <f>SUMIFS('октябрь 2024'!$G$5:$G$2162,'октябрь 2024'!$D$5:$D$2162,$B121,'октябрь 2024'!$J$5:$J$2162,G$1)</f>
        <v>0</v>
      </c>
      <c r="H121" s="80">
        <f>SUMIFS('октябрь 2024'!$G$5:$G$2162,'октябрь 2024'!$D$5:$D$2162,$B121,'октябрь 2024'!$J$5:$J$2162,H$1)</f>
        <v>0</v>
      </c>
      <c r="I121" s="80">
        <f>SUMIFS('октябрь 2024'!$G$5:$G$2162,'октябрь 2024'!$D$5:$D$2162,$B121,'октябрь 2024'!$J$5:$J$2162,I$1)</f>
        <v>0</v>
      </c>
      <c r="J121" s="80">
        <f>SUMIFS('октябрь 2024'!$G$5:$G$2162,'октябрь 2024'!$D$5:$D$2162,$B121,'октябрь 2024'!$J$5:$J$2162,J$1)</f>
        <v>0</v>
      </c>
      <c r="K121" s="80">
        <f>SUMIFS('октябрь 2024'!$G$5:$G$2162,'октябрь 2024'!$D$5:$D$2162,$B121,'октябрь 2024'!$J$5:$J$2162,K$1)</f>
        <v>0</v>
      </c>
      <c r="L121" s="80">
        <f>SUMIFS('октябрь 2024'!$G$5:$G$2162,'октябрь 2024'!$D$5:$D$2162,$B121,'октябрь 2024'!$J$5:$J$2162,L$1)</f>
        <v>0</v>
      </c>
      <c r="M121" s="80">
        <f>SUMIFS('октябрь 2024'!$G$5:$G$2162,'октябрь 2024'!$D$5:$D$2162,$B121,'октябрь 2024'!$J$5:$J$2162,M$1)</f>
        <v>0</v>
      </c>
      <c r="N121" s="80">
        <f>SUMIFS('октябрь 2024'!$G$5:$G$2162,'октябрь 2024'!$D$5:$D$2162,$B121,'октябрь 2024'!$J$5:$J$2162,N$1)</f>
        <v>0</v>
      </c>
      <c r="O121" s="80">
        <f>SUMIFS('октябрь 2024'!$G$5:$G$2162,'октябрь 2024'!$D$5:$D$2162,$B121,'октябрь 2024'!$J$5:$J$2162,O$1)</f>
        <v>0</v>
      </c>
      <c r="P121" s="80">
        <f>SUMIFS('октябрь 2024'!$G$5:$G$2162,'октябрь 2024'!$D$5:$D$2162,$B121,'октябрь 2024'!$J$5:$J$2162,P$1)</f>
        <v>0</v>
      </c>
      <c r="Q121" s="80">
        <f>SUMIFS('октябрь 2024'!$G$5:$G$2162,'октябрь 2024'!$D$5:$D$2162,$B121,'октябрь 2024'!$J$5:$J$2162,Q$1)</f>
        <v>0</v>
      </c>
      <c r="R121" s="80">
        <f>SUMIFS('октябрь 2024'!$G$5:$G$2162,'октябрь 2024'!$D$5:$D$2162,$B121,'октябрь 2024'!$J$5:$J$2162,R$1)</f>
        <v>0</v>
      </c>
      <c r="S121" s="80">
        <f>SUMIFS('октябрь 2024'!$G$5:$G$2162,'октябрь 2024'!$D$5:$D$2162,$B121,'октябрь 2024'!$J$5:$J$2162,S$1)</f>
        <v>0</v>
      </c>
      <c r="T121" s="80">
        <f>SUMIFS('октябрь 2024'!$G$5:$G$2162,'октябрь 2024'!$D$5:$D$2162,$B121,'октябрь 2024'!$J$5:$J$2162,T$1)</f>
        <v>0</v>
      </c>
      <c r="U121" s="80">
        <f>SUMIFS('октябрь 2024'!$G$5:$G$2162,'октябрь 2024'!$D$5:$D$2162,$B121,'октябрь 2024'!$J$5:$J$2162,U$1)</f>
        <v>0</v>
      </c>
      <c r="V121" s="80">
        <f>SUMIFS('октябрь 2024'!$G$5:$G$2162,'октябрь 2024'!$D$5:$D$2162,$B121,'октябрь 2024'!$J$5:$J$2162,V$1)</f>
        <v>0</v>
      </c>
      <c r="W121" s="80">
        <f>SUMIFS('октябрь 2024'!$G$5:$G$2162,'октябрь 2024'!$D$5:$D$2162,$B121,'октябрь 2024'!$J$5:$J$2162,W$1)</f>
        <v>0</v>
      </c>
      <c r="X121" s="80">
        <f>SUMIFS('октябрь 2024'!$G$5:$G$2162,'октябрь 2024'!$D$5:$D$2162,$B121,'октябрь 2024'!$J$5:$J$2162,X$1)</f>
        <v>0</v>
      </c>
      <c r="Y121" s="80">
        <f>SUMIFS('октябрь 2024'!$G$5:$G$2162,'октябрь 2024'!$D$5:$D$2162,$B121,'октябрь 2024'!$J$5:$J$2162,Y$1)</f>
        <v>0</v>
      </c>
      <c r="Z121" s="80">
        <f>SUMIFS('октябрь 2024'!$G$5:$G$2162,'октябрь 2024'!$D$5:$D$2162,$B121,'октябрь 2024'!$J$5:$J$2162,Z$1)</f>
        <v>0</v>
      </c>
      <c r="AA121" s="80">
        <f>SUMIFS('октябрь 2024'!$G$5:$G$2162,'октябрь 2024'!$D$5:$D$2162,$B121,'октябрь 2024'!$J$5:$J$2162,AA$1)</f>
        <v>0</v>
      </c>
      <c r="AB121" s="80">
        <f>SUMIFS('октябрь 2024'!$G$5:$G$2162,'октябрь 2024'!$D$5:$D$2162,$B121,'октябрь 2024'!$J$5:$J$2162,AB$1)</f>
        <v>0</v>
      </c>
      <c r="AC121" s="80">
        <f>SUMIFS('октябрь 2024'!$G$5:$G$2162,'октябрь 2024'!$D$5:$D$2162,$B121,'октябрь 2024'!$J$5:$J$2162,AC$1)</f>
        <v>0</v>
      </c>
      <c r="AD121" s="80">
        <f>SUMIFS('октябрь 2024'!$G$5:$G$2162,'октябрь 2024'!$D$5:$D$2162,$B121,'октябрь 2024'!$J$5:$J$2162,AD$1)</f>
        <v>0</v>
      </c>
      <c r="AE121" s="80">
        <f>SUMIFS('октябрь 2024'!$G$5:$G$2162,'октябрь 2024'!$D$5:$D$2162,$B121,'октябрь 2024'!$J$5:$J$2162,AE$1)</f>
        <v>0</v>
      </c>
      <c r="AF121" s="80">
        <f>SUMIFS('октябрь 2024'!$G$5:$G$2162,'октябрь 2024'!$D$5:$D$2162,$B121,'октябрь 2024'!$J$5:$J$2162,AF$1)</f>
        <v>0</v>
      </c>
      <c r="AG121" s="80">
        <f>SUMIFS('октябрь 2024'!$G$5:$G$2162,'октябрь 2024'!$D$5:$D$2162,$B121,'октябрь 2024'!$J$5:$J$2162,AG$1)</f>
        <v>0</v>
      </c>
      <c r="AH121" s="80">
        <f>SUMIFS('октябрь 2024'!$G$5:$G$2162,'октябрь 2024'!$D$5:$D$2162,$B121,'октябрь 2024'!$J$5:$J$2162,AH$1)</f>
        <v>0</v>
      </c>
      <c r="AI121" s="21"/>
    </row>
    <row r="122" spans="2:35" ht="15" customHeight="1" x14ac:dyDescent="0.25">
      <c r="B122" s="89" t="s">
        <v>177</v>
      </c>
      <c r="C122" s="88">
        <v>200</v>
      </c>
      <c r="D122" s="80">
        <f>SUMIFS('октябрь 2024'!$G$5:$G$2162,'октябрь 2024'!$D$5:$D$2162,$B122,'октябрь 2024'!$J$5:$J$2162,D$1)</f>
        <v>0</v>
      </c>
      <c r="E122" s="80">
        <f>SUMIFS('октябрь 2024'!$G$5:$G$2162,'октябрь 2024'!$D$5:$D$2162,$B122,'октябрь 2024'!$J$5:$J$2162,E$1)</f>
        <v>0</v>
      </c>
      <c r="F122" s="80">
        <f>SUMIFS('октябрь 2024'!$G$5:$G$2162,'октябрь 2024'!$D$5:$D$2162,$B122,'октябрь 2024'!$J$5:$J$2162,F$1)</f>
        <v>0</v>
      </c>
      <c r="G122" s="80">
        <f>SUMIFS('октябрь 2024'!$G$5:$G$2162,'октябрь 2024'!$D$5:$D$2162,$B122,'октябрь 2024'!$J$5:$J$2162,G$1)</f>
        <v>0</v>
      </c>
      <c r="H122" s="80">
        <f>SUMIFS('октябрь 2024'!$G$5:$G$2162,'октябрь 2024'!$D$5:$D$2162,$B122,'октябрь 2024'!$J$5:$J$2162,H$1)</f>
        <v>0</v>
      </c>
      <c r="I122" s="80">
        <f>SUMIFS('октябрь 2024'!$G$5:$G$2162,'октябрь 2024'!$D$5:$D$2162,$B122,'октябрь 2024'!$J$5:$J$2162,I$1)</f>
        <v>0</v>
      </c>
      <c r="J122" s="80">
        <f>SUMIFS('октябрь 2024'!$G$5:$G$2162,'октябрь 2024'!$D$5:$D$2162,$B122,'октябрь 2024'!$J$5:$J$2162,J$1)</f>
        <v>0</v>
      </c>
      <c r="K122" s="80">
        <f>SUMIFS('октябрь 2024'!$G$5:$G$2162,'октябрь 2024'!$D$5:$D$2162,$B122,'октябрь 2024'!$J$5:$J$2162,K$1)</f>
        <v>0</v>
      </c>
      <c r="L122" s="80">
        <f>SUMIFS('октябрь 2024'!$G$5:$G$2162,'октябрь 2024'!$D$5:$D$2162,$B122,'октябрь 2024'!$J$5:$J$2162,L$1)</f>
        <v>0</v>
      </c>
      <c r="M122" s="80">
        <f>SUMIFS('октябрь 2024'!$G$5:$G$2162,'октябрь 2024'!$D$5:$D$2162,$B122,'октябрь 2024'!$J$5:$J$2162,M$1)</f>
        <v>0</v>
      </c>
      <c r="N122" s="80">
        <f>SUMIFS('октябрь 2024'!$G$5:$G$2162,'октябрь 2024'!$D$5:$D$2162,$B122,'октябрь 2024'!$J$5:$J$2162,N$1)</f>
        <v>0</v>
      </c>
      <c r="O122" s="80">
        <f>SUMIFS('октябрь 2024'!$G$5:$G$2162,'октябрь 2024'!$D$5:$D$2162,$B122,'октябрь 2024'!$J$5:$J$2162,O$1)</f>
        <v>0</v>
      </c>
      <c r="P122" s="80">
        <f>SUMIFS('октябрь 2024'!$G$5:$G$2162,'октябрь 2024'!$D$5:$D$2162,$B122,'октябрь 2024'!$J$5:$J$2162,P$1)</f>
        <v>0</v>
      </c>
      <c r="Q122" s="80">
        <f>SUMIFS('октябрь 2024'!$G$5:$G$2162,'октябрь 2024'!$D$5:$D$2162,$B122,'октябрь 2024'!$J$5:$J$2162,Q$1)</f>
        <v>0</v>
      </c>
      <c r="R122" s="80">
        <f>SUMIFS('октябрь 2024'!$G$5:$G$2162,'октябрь 2024'!$D$5:$D$2162,$B122,'октябрь 2024'!$J$5:$J$2162,R$1)</f>
        <v>0</v>
      </c>
      <c r="S122" s="80">
        <f>SUMIFS('октябрь 2024'!$G$5:$G$2162,'октябрь 2024'!$D$5:$D$2162,$B122,'октябрь 2024'!$J$5:$J$2162,S$1)</f>
        <v>0</v>
      </c>
      <c r="T122" s="80">
        <f>SUMIFS('октябрь 2024'!$G$5:$G$2162,'октябрь 2024'!$D$5:$D$2162,$B122,'октябрь 2024'!$J$5:$J$2162,T$1)</f>
        <v>0</v>
      </c>
      <c r="U122" s="80">
        <f>SUMIFS('октябрь 2024'!$G$5:$G$2162,'октябрь 2024'!$D$5:$D$2162,$B122,'октябрь 2024'!$J$5:$J$2162,U$1)</f>
        <v>0</v>
      </c>
      <c r="V122" s="80">
        <f>SUMIFS('октябрь 2024'!$G$5:$G$2162,'октябрь 2024'!$D$5:$D$2162,$B122,'октябрь 2024'!$J$5:$J$2162,V$1)</f>
        <v>0</v>
      </c>
      <c r="W122" s="80">
        <f>SUMIFS('октябрь 2024'!$G$5:$G$2162,'октябрь 2024'!$D$5:$D$2162,$B122,'октябрь 2024'!$J$5:$J$2162,W$1)</f>
        <v>0</v>
      </c>
      <c r="X122" s="80">
        <f>SUMIFS('октябрь 2024'!$G$5:$G$2162,'октябрь 2024'!$D$5:$D$2162,$B122,'октябрь 2024'!$J$5:$J$2162,X$1)</f>
        <v>0</v>
      </c>
      <c r="Y122" s="80">
        <f>SUMIFS('октябрь 2024'!$G$5:$G$2162,'октябрь 2024'!$D$5:$D$2162,$B122,'октябрь 2024'!$J$5:$J$2162,Y$1)</f>
        <v>0</v>
      </c>
      <c r="Z122" s="80">
        <f>SUMIFS('октябрь 2024'!$G$5:$G$2162,'октябрь 2024'!$D$5:$D$2162,$B122,'октябрь 2024'!$J$5:$J$2162,Z$1)</f>
        <v>0</v>
      </c>
      <c r="AA122" s="80">
        <f>SUMIFS('октябрь 2024'!$G$5:$G$2162,'октябрь 2024'!$D$5:$D$2162,$B122,'октябрь 2024'!$J$5:$J$2162,AA$1)</f>
        <v>0</v>
      </c>
      <c r="AB122" s="80">
        <f>SUMIFS('октябрь 2024'!$G$5:$G$2162,'октябрь 2024'!$D$5:$D$2162,$B122,'октябрь 2024'!$J$5:$J$2162,AB$1)</f>
        <v>0</v>
      </c>
      <c r="AC122" s="80">
        <f>SUMIFS('октябрь 2024'!$G$5:$G$2162,'октябрь 2024'!$D$5:$D$2162,$B122,'октябрь 2024'!$J$5:$J$2162,AC$1)</f>
        <v>0</v>
      </c>
      <c r="AD122" s="80">
        <f>SUMIFS('октябрь 2024'!$G$5:$G$2162,'октябрь 2024'!$D$5:$D$2162,$B122,'октябрь 2024'!$J$5:$J$2162,AD$1)</f>
        <v>0</v>
      </c>
      <c r="AE122" s="80">
        <f>SUMIFS('октябрь 2024'!$G$5:$G$2162,'октябрь 2024'!$D$5:$D$2162,$B122,'октябрь 2024'!$J$5:$J$2162,AE$1)</f>
        <v>0</v>
      </c>
      <c r="AF122" s="80">
        <f>SUMIFS('октябрь 2024'!$G$5:$G$2162,'октябрь 2024'!$D$5:$D$2162,$B122,'октябрь 2024'!$J$5:$J$2162,AF$1)</f>
        <v>0</v>
      </c>
      <c r="AG122" s="80">
        <f>SUMIFS('октябрь 2024'!$G$5:$G$2162,'октябрь 2024'!$D$5:$D$2162,$B122,'октябрь 2024'!$J$5:$J$2162,AG$1)</f>
        <v>0</v>
      </c>
      <c r="AH122" s="80">
        <f>SUMIFS('октябрь 2024'!$G$5:$G$2162,'октябрь 2024'!$D$5:$D$2162,$B122,'октябрь 2024'!$J$5:$J$2162,AH$1)</f>
        <v>0</v>
      </c>
      <c r="AI122" s="21">
        <f t="shared" si="1"/>
        <v>0</v>
      </c>
    </row>
    <row r="123" spans="2:35" ht="15" customHeight="1" x14ac:dyDescent="0.25">
      <c r="B123" s="89" t="s">
        <v>178</v>
      </c>
      <c r="C123" s="88">
        <v>200</v>
      </c>
      <c r="D123" s="80">
        <f>SUMIFS('октябрь 2024'!$G$5:$G$2162,'октябрь 2024'!$D$5:$D$2162,$B123,'октябрь 2024'!$J$5:$J$2162,D$1)</f>
        <v>0</v>
      </c>
      <c r="E123" s="80">
        <f>SUMIFS('октябрь 2024'!$G$5:$G$2162,'октябрь 2024'!$D$5:$D$2162,$B123,'октябрь 2024'!$J$5:$J$2162,E$1)</f>
        <v>0</v>
      </c>
      <c r="F123" s="80">
        <f>SUMIFS('октябрь 2024'!$G$5:$G$2162,'октябрь 2024'!$D$5:$D$2162,$B123,'октябрь 2024'!$J$5:$J$2162,F$1)</f>
        <v>0</v>
      </c>
      <c r="G123" s="80">
        <f>SUMIFS('октябрь 2024'!$G$5:$G$2162,'октябрь 2024'!$D$5:$D$2162,$B123,'октябрь 2024'!$J$5:$J$2162,G$1)</f>
        <v>0</v>
      </c>
      <c r="H123" s="80">
        <f>SUMIFS('октябрь 2024'!$G$5:$G$2162,'октябрь 2024'!$D$5:$D$2162,$B123,'октябрь 2024'!$J$5:$J$2162,H$1)</f>
        <v>0</v>
      </c>
      <c r="I123" s="80">
        <f>SUMIFS('октябрь 2024'!$G$5:$G$2162,'октябрь 2024'!$D$5:$D$2162,$B123,'октябрь 2024'!$J$5:$J$2162,I$1)</f>
        <v>0</v>
      </c>
      <c r="J123" s="80">
        <f>SUMIFS('октябрь 2024'!$G$5:$G$2162,'октябрь 2024'!$D$5:$D$2162,$B123,'октябрь 2024'!$J$5:$J$2162,J$1)</f>
        <v>0</v>
      </c>
      <c r="K123" s="80">
        <f>SUMIFS('октябрь 2024'!$G$5:$G$2162,'октябрь 2024'!$D$5:$D$2162,$B123,'октябрь 2024'!$J$5:$J$2162,K$1)</f>
        <v>0</v>
      </c>
      <c r="L123" s="80">
        <f>SUMIFS('октябрь 2024'!$G$5:$G$2162,'октябрь 2024'!$D$5:$D$2162,$B123,'октябрь 2024'!$J$5:$J$2162,L$1)</f>
        <v>16</v>
      </c>
      <c r="M123" s="80">
        <f>SUMIFS('октябрь 2024'!$G$5:$G$2162,'октябрь 2024'!$D$5:$D$2162,$B123,'октябрь 2024'!$J$5:$J$2162,M$1)</f>
        <v>0</v>
      </c>
      <c r="N123" s="80">
        <f>SUMIFS('октябрь 2024'!$G$5:$G$2162,'октябрь 2024'!$D$5:$D$2162,$B123,'октябрь 2024'!$J$5:$J$2162,N$1)</f>
        <v>0</v>
      </c>
      <c r="O123" s="80">
        <f>SUMIFS('октябрь 2024'!$G$5:$G$2162,'октябрь 2024'!$D$5:$D$2162,$B123,'октябрь 2024'!$J$5:$J$2162,O$1)</f>
        <v>0</v>
      </c>
      <c r="P123" s="80">
        <f>SUMIFS('октябрь 2024'!$G$5:$G$2162,'октябрь 2024'!$D$5:$D$2162,$B123,'октябрь 2024'!$J$5:$J$2162,P$1)</f>
        <v>0</v>
      </c>
      <c r="Q123" s="80">
        <f>SUMIFS('октябрь 2024'!$G$5:$G$2162,'октябрь 2024'!$D$5:$D$2162,$B123,'октябрь 2024'!$J$5:$J$2162,Q$1)</f>
        <v>0</v>
      </c>
      <c r="R123" s="80">
        <f>SUMIFS('октябрь 2024'!$G$5:$G$2162,'октябрь 2024'!$D$5:$D$2162,$B123,'октябрь 2024'!$J$5:$J$2162,R$1)</f>
        <v>0</v>
      </c>
      <c r="S123" s="80">
        <f>SUMIFS('октябрь 2024'!$G$5:$G$2162,'октябрь 2024'!$D$5:$D$2162,$B123,'октябрь 2024'!$J$5:$J$2162,S$1)</f>
        <v>0</v>
      </c>
      <c r="T123" s="80">
        <f>SUMIFS('октябрь 2024'!$G$5:$G$2162,'октябрь 2024'!$D$5:$D$2162,$B123,'октябрь 2024'!$J$5:$J$2162,T$1)</f>
        <v>20</v>
      </c>
      <c r="U123" s="80">
        <f>SUMIFS('октябрь 2024'!$G$5:$G$2162,'октябрь 2024'!$D$5:$D$2162,$B123,'октябрь 2024'!$J$5:$J$2162,U$1)</f>
        <v>0</v>
      </c>
      <c r="V123" s="80">
        <f>SUMIFS('октябрь 2024'!$G$5:$G$2162,'октябрь 2024'!$D$5:$D$2162,$B123,'октябрь 2024'!$J$5:$J$2162,V$1)</f>
        <v>0</v>
      </c>
      <c r="W123" s="80">
        <f>SUMIFS('октябрь 2024'!$G$5:$G$2162,'октябрь 2024'!$D$5:$D$2162,$B123,'октябрь 2024'!$J$5:$J$2162,W$1)</f>
        <v>0</v>
      </c>
      <c r="X123" s="80">
        <f>SUMIFS('октябрь 2024'!$G$5:$G$2162,'октябрь 2024'!$D$5:$D$2162,$B123,'октябрь 2024'!$J$5:$J$2162,X$1)</f>
        <v>0</v>
      </c>
      <c r="Y123" s="80">
        <f>SUMIFS('октябрь 2024'!$G$5:$G$2162,'октябрь 2024'!$D$5:$D$2162,$B123,'октябрь 2024'!$J$5:$J$2162,Y$1)</f>
        <v>0</v>
      </c>
      <c r="Z123" s="80">
        <f>SUMIFS('октябрь 2024'!$G$5:$G$2162,'октябрь 2024'!$D$5:$D$2162,$B123,'октябрь 2024'!$J$5:$J$2162,Z$1)</f>
        <v>0</v>
      </c>
      <c r="AA123" s="80">
        <f>SUMIFS('октябрь 2024'!$G$5:$G$2162,'октябрь 2024'!$D$5:$D$2162,$B123,'октябрь 2024'!$J$5:$J$2162,AA$1)</f>
        <v>0</v>
      </c>
      <c r="AB123" s="80">
        <f>SUMIFS('октябрь 2024'!$G$5:$G$2162,'октябрь 2024'!$D$5:$D$2162,$B123,'октябрь 2024'!$J$5:$J$2162,AB$1)</f>
        <v>0</v>
      </c>
      <c r="AC123" s="80">
        <f>SUMIFS('октябрь 2024'!$G$5:$G$2162,'октябрь 2024'!$D$5:$D$2162,$B123,'октябрь 2024'!$J$5:$J$2162,AC$1)</f>
        <v>0</v>
      </c>
      <c r="AD123" s="80">
        <f>SUMIFS('октябрь 2024'!$G$5:$G$2162,'октябрь 2024'!$D$5:$D$2162,$B123,'октябрь 2024'!$J$5:$J$2162,AD$1)</f>
        <v>0</v>
      </c>
      <c r="AE123" s="80">
        <f>SUMIFS('октябрь 2024'!$G$5:$G$2162,'октябрь 2024'!$D$5:$D$2162,$B123,'октябрь 2024'!$J$5:$J$2162,AE$1)</f>
        <v>0</v>
      </c>
      <c r="AF123" s="80">
        <f>SUMIFS('октябрь 2024'!$G$5:$G$2162,'октябрь 2024'!$D$5:$D$2162,$B123,'октябрь 2024'!$J$5:$J$2162,AF$1)</f>
        <v>0</v>
      </c>
      <c r="AG123" s="80">
        <f>SUMIFS('октябрь 2024'!$G$5:$G$2162,'октябрь 2024'!$D$5:$D$2162,$B123,'октябрь 2024'!$J$5:$J$2162,AG$1)</f>
        <v>0</v>
      </c>
      <c r="AH123" s="80">
        <f>SUMIFS('октябрь 2024'!$G$5:$G$2162,'октябрь 2024'!$D$5:$D$2162,$B123,'октябрь 2024'!$J$5:$J$2162,AH$1)</f>
        <v>0</v>
      </c>
      <c r="AI123" s="21">
        <f t="shared" si="1"/>
        <v>36</v>
      </c>
    </row>
    <row r="124" spans="2:35" ht="15" customHeight="1" x14ac:dyDescent="0.25">
      <c r="B124" s="89" t="s">
        <v>180</v>
      </c>
      <c r="C124" s="88">
        <v>200</v>
      </c>
      <c r="D124" s="80">
        <f>SUMIFS('октябрь 2024'!$G$5:$G$2162,'октябрь 2024'!$D$5:$D$2162,$B124,'октябрь 2024'!$J$5:$J$2162,D$1)</f>
        <v>0</v>
      </c>
      <c r="E124" s="80">
        <f>SUMIFS('октябрь 2024'!$G$5:$G$2162,'октябрь 2024'!$D$5:$D$2162,$B124,'октябрь 2024'!$J$5:$J$2162,E$1)</f>
        <v>0</v>
      </c>
      <c r="F124" s="80">
        <f>SUMIFS('октябрь 2024'!$G$5:$G$2162,'октябрь 2024'!$D$5:$D$2162,$B124,'октябрь 2024'!$J$5:$J$2162,F$1)</f>
        <v>0</v>
      </c>
      <c r="G124" s="80">
        <f>SUMIFS('октябрь 2024'!$G$5:$G$2162,'октябрь 2024'!$D$5:$D$2162,$B124,'октябрь 2024'!$J$5:$J$2162,G$1)</f>
        <v>0</v>
      </c>
      <c r="H124" s="80">
        <f>SUMIFS('октябрь 2024'!$G$5:$G$2162,'октябрь 2024'!$D$5:$D$2162,$B124,'октябрь 2024'!$J$5:$J$2162,H$1)</f>
        <v>0</v>
      </c>
      <c r="I124" s="80">
        <f>SUMIFS('октябрь 2024'!$G$5:$G$2162,'октябрь 2024'!$D$5:$D$2162,$B124,'октябрь 2024'!$J$5:$J$2162,I$1)</f>
        <v>0</v>
      </c>
      <c r="J124" s="80">
        <f>SUMIFS('октябрь 2024'!$G$5:$G$2162,'октябрь 2024'!$D$5:$D$2162,$B124,'октябрь 2024'!$J$5:$J$2162,J$1)</f>
        <v>0</v>
      </c>
      <c r="K124" s="80">
        <f>SUMIFS('октябрь 2024'!$G$5:$G$2162,'октябрь 2024'!$D$5:$D$2162,$B124,'октябрь 2024'!$J$5:$J$2162,K$1)</f>
        <v>0</v>
      </c>
      <c r="L124" s="80">
        <f>SUMIFS('октябрь 2024'!$G$5:$G$2162,'октябрь 2024'!$D$5:$D$2162,$B124,'октябрь 2024'!$J$5:$J$2162,L$1)</f>
        <v>0</v>
      </c>
      <c r="M124" s="80">
        <f>SUMIFS('октябрь 2024'!$G$5:$G$2162,'октябрь 2024'!$D$5:$D$2162,$B124,'октябрь 2024'!$J$5:$J$2162,M$1)</f>
        <v>0</v>
      </c>
      <c r="N124" s="80">
        <f>SUMIFS('октябрь 2024'!$G$5:$G$2162,'октябрь 2024'!$D$5:$D$2162,$B124,'октябрь 2024'!$J$5:$J$2162,N$1)</f>
        <v>0</v>
      </c>
      <c r="O124" s="80">
        <f>SUMIFS('октябрь 2024'!$G$5:$G$2162,'октябрь 2024'!$D$5:$D$2162,$B124,'октябрь 2024'!$J$5:$J$2162,O$1)</f>
        <v>0</v>
      </c>
      <c r="P124" s="80">
        <f>SUMIFS('октябрь 2024'!$G$5:$G$2162,'октябрь 2024'!$D$5:$D$2162,$B124,'октябрь 2024'!$J$5:$J$2162,P$1)</f>
        <v>0</v>
      </c>
      <c r="Q124" s="80">
        <f>SUMIFS('октябрь 2024'!$G$5:$G$2162,'октябрь 2024'!$D$5:$D$2162,$B124,'октябрь 2024'!$J$5:$J$2162,Q$1)</f>
        <v>0</v>
      </c>
      <c r="R124" s="80">
        <f>SUMIFS('октябрь 2024'!$G$5:$G$2162,'октябрь 2024'!$D$5:$D$2162,$B124,'октябрь 2024'!$J$5:$J$2162,R$1)</f>
        <v>0</v>
      </c>
      <c r="S124" s="80">
        <f>SUMIFS('октябрь 2024'!$G$5:$G$2162,'октябрь 2024'!$D$5:$D$2162,$B124,'октябрь 2024'!$J$5:$J$2162,S$1)</f>
        <v>0</v>
      </c>
      <c r="T124" s="80">
        <f>SUMIFS('октябрь 2024'!$G$5:$G$2162,'октябрь 2024'!$D$5:$D$2162,$B124,'октябрь 2024'!$J$5:$J$2162,T$1)</f>
        <v>0</v>
      </c>
      <c r="U124" s="80">
        <f>SUMIFS('октябрь 2024'!$G$5:$G$2162,'октябрь 2024'!$D$5:$D$2162,$B124,'октябрь 2024'!$J$5:$J$2162,U$1)</f>
        <v>0</v>
      </c>
      <c r="V124" s="80">
        <f>SUMIFS('октябрь 2024'!$G$5:$G$2162,'октябрь 2024'!$D$5:$D$2162,$B124,'октябрь 2024'!$J$5:$J$2162,V$1)</f>
        <v>0</v>
      </c>
      <c r="W124" s="80">
        <f>SUMIFS('октябрь 2024'!$G$5:$G$2162,'октябрь 2024'!$D$5:$D$2162,$B124,'октябрь 2024'!$J$5:$J$2162,W$1)</f>
        <v>0</v>
      </c>
      <c r="X124" s="80">
        <f>SUMIFS('октябрь 2024'!$G$5:$G$2162,'октябрь 2024'!$D$5:$D$2162,$B124,'октябрь 2024'!$J$5:$J$2162,X$1)</f>
        <v>0</v>
      </c>
      <c r="Y124" s="80">
        <f>SUMIFS('октябрь 2024'!$G$5:$G$2162,'октябрь 2024'!$D$5:$D$2162,$B124,'октябрь 2024'!$J$5:$J$2162,Y$1)</f>
        <v>0</v>
      </c>
      <c r="Z124" s="80">
        <f>SUMIFS('октябрь 2024'!$G$5:$G$2162,'октябрь 2024'!$D$5:$D$2162,$B124,'октябрь 2024'!$J$5:$J$2162,Z$1)</f>
        <v>0</v>
      </c>
      <c r="AA124" s="80">
        <f>SUMIFS('октябрь 2024'!$G$5:$G$2162,'октябрь 2024'!$D$5:$D$2162,$B124,'октябрь 2024'!$J$5:$J$2162,AA$1)</f>
        <v>0</v>
      </c>
      <c r="AB124" s="80">
        <f>SUMIFS('октябрь 2024'!$G$5:$G$2162,'октябрь 2024'!$D$5:$D$2162,$B124,'октябрь 2024'!$J$5:$J$2162,AB$1)</f>
        <v>0</v>
      </c>
      <c r="AC124" s="80">
        <f>SUMIFS('октябрь 2024'!$G$5:$G$2162,'октябрь 2024'!$D$5:$D$2162,$B124,'октябрь 2024'!$J$5:$J$2162,AC$1)</f>
        <v>0</v>
      </c>
      <c r="AD124" s="80">
        <f>SUMIFS('октябрь 2024'!$G$5:$G$2162,'октябрь 2024'!$D$5:$D$2162,$B124,'октябрь 2024'!$J$5:$J$2162,AD$1)</f>
        <v>0</v>
      </c>
      <c r="AE124" s="80">
        <f>SUMIFS('октябрь 2024'!$G$5:$G$2162,'октябрь 2024'!$D$5:$D$2162,$B124,'октябрь 2024'!$J$5:$J$2162,AE$1)</f>
        <v>0</v>
      </c>
      <c r="AF124" s="80">
        <f>SUMIFS('октябрь 2024'!$G$5:$G$2162,'октябрь 2024'!$D$5:$D$2162,$B124,'октябрь 2024'!$J$5:$J$2162,AF$1)</f>
        <v>0</v>
      </c>
      <c r="AG124" s="80">
        <f>SUMIFS('октябрь 2024'!$G$5:$G$2162,'октябрь 2024'!$D$5:$D$2162,$B124,'октябрь 2024'!$J$5:$J$2162,AG$1)</f>
        <v>0</v>
      </c>
      <c r="AH124" s="80">
        <f>SUMIFS('октябрь 2024'!$G$5:$G$2162,'октябрь 2024'!$D$5:$D$2162,$B124,'октябрь 2024'!$J$5:$J$2162,AH$1)</f>
        <v>0</v>
      </c>
      <c r="AI124" s="21">
        <f t="shared" si="1"/>
        <v>0</v>
      </c>
    </row>
    <row r="125" spans="2:35" ht="15" customHeight="1" x14ac:dyDescent="0.25">
      <c r="B125" s="94" t="s">
        <v>194</v>
      </c>
      <c r="C125" s="95">
        <v>180</v>
      </c>
      <c r="D125" s="80">
        <f>SUMIFS('октябрь 2024'!$G$5:$G$2162,'октябрь 2024'!$D$5:$D$2162,$B125,'октябрь 2024'!$J$5:$J$2162,D$1)</f>
        <v>0</v>
      </c>
      <c r="E125" s="80">
        <f>SUMIFS('октябрь 2024'!$G$5:$G$2162,'октябрь 2024'!$D$5:$D$2162,$B125,'октябрь 2024'!$J$5:$J$2162,E$1)</f>
        <v>0</v>
      </c>
      <c r="F125" s="80">
        <f>SUMIFS('октябрь 2024'!$G$5:$G$2162,'октябрь 2024'!$D$5:$D$2162,$B125,'октябрь 2024'!$J$5:$J$2162,F$1)</f>
        <v>0</v>
      </c>
      <c r="G125" s="80">
        <f>SUMIFS('октябрь 2024'!$G$5:$G$2162,'октябрь 2024'!$D$5:$D$2162,$B125,'октябрь 2024'!$J$5:$J$2162,G$1)</f>
        <v>0</v>
      </c>
      <c r="H125" s="80">
        <f>SUMIFS('октябрь 2024'!$G$5:$G$2162,'октябрь 2024'!$D$5:$D$2162,$B125,'октябрь 2024'!$J$5:$J$2162,H$1)</f>
        <v>0</v>
      </c>
      <c r="I125" s="80">
        <f>SUMIFS('октябрь 2024'!$G$5:$G$2162,'октябрь 2024'!$D$5:$D$2162,$B125,'октябрь 2024'!$J$5:$J$2162,I$1)</f>
        <v>0</v>
      </c>
      <c r="J125" s="80">
        <f>SUMIFS('октябрь 2024'!$G$5:$G$2162,'октябрь 2024'!$D$5:$D$2162,$B125,'октябрь 2024'!$J$5:$J$2162,J$1)</f>
        <v>0</v>
      </c>
      <c r="K125" s="80">
        <f>SUMIFS('октябрь 2024'!$G$5:$G$2162,'октябрь 2024'!$D$5:$D$2162,$B125,'октябрь 2024'!$J$5:$J$2162,K$1)</f>
        <v>0</v>
      </c>
      <c r="L125" s="80">
        <f>SUMIFS('октябрь 2024'!$G$5:$G$2162,'октябрь 2024'!$D$5:$D$2162,$B125,'октябрь 2024'!$J$5:$J$2162,L$1)</f>
        <v>0</v>
      </c>
      <c r="M125" s="80">
        <f>SUMIFS('октябрь 2024'!$G$5:$G$2162,'октябрь 2024'!$D$5:$D$2162,$B125,'октябрь 2024'!$J$5:$J$2162,M$1)</f>
        <v>0</v>
      </c>
      <c r="N125" s="80">
        <f>SUMIFS('октябрь 2024'!$G$5:$G$2162,'октябрь 2024'!$D$5:$D$2162,$B125,'октябрь 2024'!$J$5:$J$2162,N$1)</f>
        <v>0</v>
      </c>
      <c r="O125" s="80">
        <f>SUMIFS('октябрь 2024'!$G$5:$G$2162,'октябрь 2024'!$D$5:$D$2162,$B125,'октябрь 2024'!$J$5:$J$2162,O$1)</f>
        <v>0</v>
      </c>
      <c r="P125" s="80">
        <f>SUMIFS('октябрь 2024'!$G$5:$G$2162,'октябрь 2024'!$D$5:$D$2162,$B125,'октябрь 2024'!$J$5:$J$2162,P$1)</f>
        <v>0</v>
      </c>
      <c r="Q125" s="80">
        <f>SUMIFS('октябрь 2024'!$G$5:$G$2162,'октябрь 2024'!$D$5:$D$2162,$B125,'октябрь 2024'!$J$5:$J$2162,Q$1)</f>
        <v>0</v>
      </c>
      <c r="R125" s="80">
        <f>SUMIFS('октябрь 2024'!$G$5:$G$2162,'октябрь 2024'!$D$5:$D$2162,$B125,'октябрь 2024'!$J$5:$J$2162,R$1)</f>
        <v>0</v>
      </c>
      <c r="S125" s="80">
        <f>SUMIFS('октябрь 2024'!$G$5:$G$2162,'октябрь 2024'!$D$5:$D$2162,$B125,'октябрь 2024'!$J$5:$J$2162,S$1)</f>
        <v>0</v>
      </c>
      <c r="T125" s="80">
        <f>SUMIFS('октябрь 2024'!$G$5:$G$2162,'октябрь 2024'!$D$5:$D$2162,$B125,'октябрь 2024'!$J$5:$J$2162,T$1)</f>
        <v>0</v>
      </c>
      <c r="U125" s="80">
        <f>SUMIFS('октябрь 2024'!$G$5:$G$2162,'октябрь 2024'!$D$5:$D$2162,$B125,'октябрь 2024'!$J$5:$J$2162,U$1)</f>
        <v>0</v>
      </c>
      <c r="V125" s="80">
        <f>SUMIFS('октябрь 2024'!$G$5:$G$2162,'октябрь 2024'!$D$5:$D$2162,$B125,'октябрь 2024'!$J$5:$J$2162,V$1)</f>
        <v>0</v>
      </c>
      <c r="W125" s="80">
        <f>SUMIFS('октябрь 2024'!$G$5:$G$2162,'октябрь 2024'!$D$5:$D$2162,$B125,'октябрь 2024'!$J$5:$J$2162,W$1)</f>
        <v>0</v>
      </c>
      <c r="X125" s="80">
        <f>SUMIFS('октябрь 2024'!$G$5:$G$2162,'октябрь 2024'!$D$5:$D$2162,$B125,'октябрь 2024'!$J$5:$J$2162,X$1)</f>
        <v>0</v>
      </c>
      <c r="Y125" s="80">
        <f>SUMIFS('октябрь 2024'!$G$5:$G$2162,'октябрь 2024'!$D$5:$D$2162,$B125,'октябрь 2024'!$J$5:$J$2162,Y$1)</f>
        <v>0</v>
      </c>
      <c r="Z125" s="80">
        <f>SUMIFS('октябрь 2024'!$G$5:$G$2162,'октябрь 2024'!$D$5:$D$2162,$B125,'октябрь 2024'!$J$5:$J$2162,Z$1)</f>
        <v>0</v>
      </c>
      <c r="AA125" s="80">
        <f>SUMIFS('октябрь 2024'!$G$5:$G$2162,'октябрь 2024'!$D$5:$D$2162,$B125,'октябрь 2024'!$J$5:$J$2162,AA$1)</f>
        <v>0</v>
      </c>
      <c r="AB125" s="80">
        <f>SUMIFS('октябрь 2024'!$G$5:$G$2162,'октябрь 2024'!$D$5:$D$2162,$B125,'октябрь 2024'!$J$5:$J$2162,AB$1)</f>
        <v>0</v>
      </c>
      <c r="AC125" s="80">
        <f>SUMIFS('октябрь 2024'!$G$5:$G$2162,'октябрь 2024'!$D$5:$D$2162,$B125,'октябрь 2024'!$J$5:$J$2162,AC$1)</f>
        <v>0</v>
      </c>
      <c r="AD125" s="80">
        <f>SUMIFS('октябрь 2024'!$G$5:$G$2162,'октябрь 2024'!$D$5:$D$2162,$B125,'октябрь 2024'!$J$5:$J$2162,AD$1)</f>
        <v>0</v>
      </c>
      <c r="AE125" s="80">
        <f>SUMIFS('октябрь 2024'!$G$5:$G$2162,'октябрь 2024'!$D$5:$D$2162,$B125,'октябрь 2024'!$J$5:$J$2162,AE$1)</f>
        <v>0</v>
      </c>
      <c r="AF125" s="80">
        <f>SUMIFS('октябрь 2024'!$G$5:$G$2162,'октябрь 2024'!$D$5:$D$2162,$B125,'октябрь 2024'!$J$5:$J$2162,AF$1)</f>
        <v>0</v>
      </c>
      <c r="AG125" s="80">
        <f>SUMIFS('октябрь 2024'!$G$5:$G$2162,'октябрь 2024'!$D$5:$D$2162,$B125,'октябрь 2024'!$J$5:$J$2162,AG$1)</f>
        <v>0</v>
      </c>
      <c r="AH125" s="80">
        <f>SUMIFS('октябрь 2024'!$G$5:$G$2162,'октябрь 2024'!$D$5:$D$2162,$B125,'октябрь 2024'!$J$5:$J$2162,AH$1)</f>
        <v>0</v>
      </c>
      <c r="AI125" s="21">
        <f t="shared" si="1"/>
        <v>0</v>
      </c>
    </row>
    <row r="126" spans="2:35" ht="15" customHeight="1" x14ac:dyDescent="0.25">
      <c r="B126" s="89" t="s">
        <v>332</v>
      </c>
      <c r="C126" s="91">
        <v>180</v>
      </c>
      <c r="D126" s="80">
        <f>SUMIFS('октябрь 2024'!$G$5:$G$2162,'октябрь 2024'!$D$5:$D$2162,$B126,'октябрь 2024'!$J$5:$J$2162,D$1)</f>
        <v>0</v>
      </c>
      <c r="E126" s="80">
        <f>SUMIFS('октябрь 2024'!$G$5:$G$2162,'октябрь 2024'!$D$5:$D$2162,$B126,'октябрь 2024'!$J$5:$J$2162,E$1)</f>
        <v>0</v>
      </c>
      <c r="F126" s="80">
        <f>SUMIFS('октябрь 2024'!$G$5:$G$2162,'октябрь 2024'!$D$5:$D$2162,$B126,'октябрь 2024'!$J$5:$J$2162,F$1)</f>
        <v>0</v>
      </c>
      <c r="G126" s="80">
        <f>SUMIFS('октябрь 2024'!$G$5:$G$2162,'октябрь 2024'!$D$5:$D$2162,$B126,'октябрь 2024'!$J$5:$J$2162,G$1)</f>
        <v>0</v>
      </c>
      <c r="H126" s="80">
        <f>SUMIFS('октябрь 2024'!$G$5:$G$2162,'октябрь 2024'!$D$5:$D$2162,$B126,'октябрь 2024'!$J$5:$J$2162,H$1)</f>
        <v>0</v>
      </c>
      <c r="I126" s="80">
        <f>SUMIFS('октябрь 2024'!$G$5:$G$2162,'октябрь 2024'!$D$5:$D$2162,$B126,'октябрь 2024'!$J$5:$J$2162,I$1)</f>
        <v>0</v>
      </c>
      <c r="J126" s="80">
        <f>SUMIFS('октябрь 2024'!$G$5:$G$2162,'октябрь 2024'!$D$5:$D$2162,$B126,'октябрь 2024'!$J$5:$J$2162,J$1)</f>
        <v>0</v>
      </c>
      <c r="K126" s="80">
        <f>SUMIFS('октябрь 2024'!$G$5:$G$2162,'октябрь 2024'!$D$5:$D$2162,$B126,'октябрь 2024'!$J$5:$J$2162,K$1)</f>
        <v>0</v>
      </c>
      <c r="L126" s="80">
        <f>SUMIFS('октябрь 2024'!$G$5:$G$2162,'октябрь 2024'!$D$5:$D$2162,$B126,'октябрь 2024'!$J$5:$J$2162,L$1)</f>
        <v>0</v>
      </c>
      <c r="M126" s="80">
        <f>SUMIFS('октябрь 2024'!$G$5:$G$2162,'октябрь 2024'!$D$5:$D$2162,$B126,'октябрь 2024'!$J$5:$J$2162,M$1)</f>
        <v>0</v>
      </c>
      <c r="N126" s="80">
        <f>SUMIFS('октябрь 2024'!$G$5:$G$2162,'октябрь 2024'!$D$5:$D$2162,$B126,'октябрь 2024'!$J$5:$J$2162,N$1)</f>
        <v>0</v>
      </c>
      <c r="O126" s="80">
        <f>SUMIFS('октябрь 2024'!$G$5:$G$2162,'октябрь 2024'!$D$5:$D$2162,$B126,'октябрь 2024'!$J$5:$J$2162,O$1)</f>
        <v>0</v>
      </c>
      <c r="P126" s="80">
        <f>SUMIFS('октябрь 2024'!$G$5:$G$2162,'октябрь 2024'!$D$5:$D$2162,$B126,'октябрь 2024'!$J$5:$J$2162,P$1)</f>
        <v>0</v>
      </c>
      <c r="Q126" s="80">
        <f>SUMIFS('октябрь 2024'!$G$5:$G$2162,'октябрь 2024'!$D$5:$D$2162,$B126,'октябрь 2024'!$J$5:$J$2162,Q$1)</f>
        <v>0</v>
      </c>
      <c r="R126" s="80">
        <f>SUMIFS('октябрь 2024'!$G$5:$G$2162,'октябрь 2024'!$D$5:$D$2162,$B126,'октябрь 2024'!$J$5:$J$2162,R$1)</f>
        <v>0</v>
      </c>
      <c r="S126" s="80">
        <f>SUMIFS('октябрь 2024'!$G$5:$G$2162,'октябрь 2024'!$D$5:$D$2162,$B126,'октябрь 2024'!$J$5:$J$2162,S$1)</f>
        <v>0</v>
      </c>
      <c r="T126" s="80">
        <f>SUMIFS('октябрь 2024'!$G$5:$G$2162,'октябрь 2024'!$D$5:$D$2162,$B126,'октябрь 2024'!$J$5:$J$2162,T$1)</f>
        <v>0</v>
      </c>
      <c r="U126" s="80">
        <f>SUMIFS('октябрь 2024'!$G$5:$G$2162,'октябрь 2024'!$D$5:$D$2162,$B126,'октябрь 2024'!$J$5:$J$2162,U$1)</f>
        <v>0</v>
      </c>
      <c r="V126" s="80">
        <f>SUMIFS('октябрь 2024'!$G$5:$G$2162,'октябрь 2024'!$D$5:$D$2162,$B126,'октябрь 2024'!$J$5:$J$2162,V$1)</f>
        <v>0</v>
      </c>
      <c r="W126" s="80">
        <f>SUMIFS('октябрь 2024'!$G$5:$G$2162,'октябрь 2024'!$D$5:$D$2162,$B126,'октябрь 2024'!$J$5:$J$2162,W$1)</f>
        <v>0</v>
      </c>
      <c r="X126" s="80">
        <f>SUMIFS('октябрь 2024'!$G$5:$G$2162,'октябрь 2024'!$D$5:$D$2162,$B126,'октябрь 2024'!$J$5:$J$2162,X$1)</f>
        <v>0</v>
      </c>
      <c r="Y126" s="80">
        <f>SUMIFS('октябрь 2024'!$G$5:$G$2162,'октябрь 2024'!$D$5:$D$2162,$B126,'октябрь 2024'!$J$5:$J$2162,Y$1)</f>
        <v>0</v>
      </c>
      <c r="Z126" s="80">
        <f>SUMIFS('октябрь 2024'!$G$5:$G$2162,'октябрь 2024'!$D$5:$D$2162,$B126,'октябрь 2024'!$J$5:$J$2162,Z$1)</f>
        <v>0</v>
      </c>
      <c r="AA126" s="80">
        <f>SUMIFS('октябрь 2024'!$G$5:$G$2162,'октябрь 2024'!$D$5:$D$2162,$B126,'октябрь 2024'!$J$5:$J$2162,AA$1)</f>
        <v>0</v>
      </c>
      <c r="AB126" s="80">
        <f>SUMIFS('октябрь 2024'!$G$5:$G$2162,'октябрь 2024'!$D$5:$D$2162,$B126,'октябрь 2024'!$J$5:$J$2162,AB$1)</f>
        <v>0</v>
      </c>
      <c r="AC126" s="80">
        <f>SUMIFS('октябрь 2024'!$G$5:$G$2162,'октябрь 2024'!$D$5:$D$2162,$B126,'октябрь 2024'!$J$5:$J$2162,AC$1)</f>
        <v>0</v>
      </c>
      <c r="AD126" s="80">
        <f>SUMIFS('октябрь 2024'!$G$5:$G$2162,'октябрь 2024'!$D$5:$D$2162,$B126,'октябрь 2024'!$J$5:$J$2162,AD$1)</f>
        <v>0</v>
      </c>
      <c r="AE126" s="80">
        <f>SUMIFS('октябрь 2024'!$G$5:$G$2162,'октябрь 2024'!$D$5:$D$2162,$B126,'октябрь 2024'!$J$5:$J$2162,AE$1)</f>
        <v>0</v>
      </c>
      <c r="AF126" s="80">
        <f>SUMIFS('октябрь 2024'!$G$5:$G$2162,'октябрь 2024'!$D$5:$D$2162,$B126,'октябрь 2024'!$J$5:$J$2162,AF$1)</f>
        <v>0</v>
      </c>
      <c r="AG126" s="80">
        <f>SUMIFS('октябрь 2024'!$G$5:$G$2162,'октябрь 2024'!$D$5:$D$2162,$B126,'октябрь 2024'!$J$5:$J$2162,AG$1)</f>
        <v>0</v>
      </c>
      <c r="AH126" s="80">
        <f>SUMIFS('октябрь 2024'!$G$5:$G$2162,'октябрь 2024'!$D$5:$D$2162,$B126,'октябрь 2024'!$J$5:$J$2162,AH$1)</f>
        <v>0</v>
      </c>
      <c r="AI126" s="21">
        <f t="shared" si="1"/>
        <v>0</v>
      </c>
    </row>
    <row r="127" spans="2:35" ht="15" customHeight="1" x14ac:dyDescent="0.25">
      <c r="B127" s="89" t="s">
        <v>342</v>
      </c>
      <c r="C127" s="91">
        <v>180</v>
      </c>
      <c r="D127" s="80">
        <f>SUMIFS('октябрь 2024'!$G$5:$G$2162,'октябрь 2024'!$D$5:$D$2162,$B127,'октябрь 2024'!$J$5:$J$2162,D$1)</f>
        <v>0</v>
      </c>
      <c r="E127" s="80">
        <f>SUMIFS('октябрь 2024'!$G$5:$G$2162,'октябрь 2024'!$D$5:$D$2162,$B127,'октябрь 2024'!$J$5:$J$2162,E$1)</f>
        <v>0</v>
      </c>
      <c r="F127" s="80">
        <f>SUMIFS('октябрь 2024'!$G$5:$G$2162,'октябрь 2024'!$D$5:$D$2162,$B127,'октябрь 2024'!$J$5:$J$2162,F$1)</f>
        <v>0</v>
      </c>
      <c r="G127" s="80">
        <f>SUMIFS('октябрь 2024'!$G$5:$G$2162,'октябрь 2024'!$D$5:$D$2162,$B127,'октябрь 2024'!$J$5:$J$2162,G$1)</f>
        <v>0</v>
      </c>
      <c r="H127" s="80">
        <f>SUMIFS('октябрь 2024'!$G$5:$G$2162,'октябрь 2024'!$D$5:$D$2162,$B127,'октябрь 2024'!$J$5:$J$2162,H$1)</f>
        <v>0</v>
      </c>
      <c r="I127" s="80">
        <f>SUMIFS('октябрь 2024'!$G$5:$G$2162,'октябрь 2024'!$D$5:$D$2162,$B127,'октябрь 2024'!$J$5:$J$2162,I$1)</f>
        <v>0</v>
      </c>
      <c r="J127" s="80">
        <f>SUMIFS('октябрь 2024'!$G$5:$G$2162,'октябрь 2024'!$D$5:$D$2162,$B127,'октябрь 2024'!$J$5:$J$2162,J$1)</f>
        <v>0</v>
      </c>
      <c r="K127" s="80">
        <f>SUMIFS('октябрь 2024'!$G$5:$G$2162,'октябрь 2024'!$D$5:$D$2162,$B127,'октябрь 2024'!$J$5:$J$2162,K$1)</f>
        <v>0</v>
      </c>
      <c r="L127" s="80">
        <f>SUMIFS('октябрь 2024'!$G$5:$G$2162,'октябрь 2024'!$D$5:$D$2162,$B127,'октябрь 2024'!$J$5:$J$2162,L$1)</f>
        <v>0</v>
      </c>
      <c r="M127" s="80">
        <f>SUMIFS('октябрь 2024'!$G$5:$G$2162,'октябрь 2024'!$D$5:$D$2162,$B127,'октябрь 2024'!$J$5:$J$2162,M$1)</f>
        <v>0</v>
      </c>
      <c r="N127" s="80">
        <f>SUMIFS('октябрь 2024'!$G$5:$G$2162,'октябрь 2024'!$D$5:$D$2162,$B127,'октябрь 2024'!$J$5:$J$2162,N$1)</f>
        <v>0</v>
      </c>
      <c r="O127" s="80">
        <f>SUMIFS('октябрь 2024'!$G$5:$G$2162,'октябрь 2024'!$D$5:$D$2162,$B127,'октябрь 2024'!$J$5:$J$2162,O$1)</f>
        <v>0</v>
      </c>
      <c r="P127" s="80">
        <f>SUMIFS('октябрь 2024'!$G$5:$G$2162,'октябрь 2024'!$D$5:$D$2162,$B127,'октябрь 2024'!$J$5:$J$2162,P$1)</f>
        <v>0</v>
      </c>
      <c r="Q127" s="80">
        <f>SUMIFS('октябрь 2024'!$G$5:$G$2162,'октябрь 2024'!$D$5:$D$2162,$B127,'октябрь 2024'!$J$5:$J$2162,Q$1)</f>
        <v>0</v>
      </c>
      <c r="R127" s="80">
        <f>SUMIFS('октябрь 2024'!$G$5:$G$2162,'октябрь 2024'!$D$5:$D$2162,$B127,'октябрь 2024'!$J$5:$J$2162,R$1)</f>
        <v>0</v>
      </c>
      <c r="S127" s="80">
        <f>SUMIFS('октябрь 2024'!$G$5:$G$2162,'октябрь 2024'!$D$5:$D$2162,$B127,'октябрь 2024'!$J$5:$J$2162,S$1)</f>
        <v>0</v>
      </c>
      <c r="T127" s="80">
        <f>SUMIFS('октябрь 2024'!$G$5:$G$2162,'октябрь 2024'!$D$5:$D$2162,$B127,'октябрь 2024'!$J$5:$J$2162,T$1)</f>
        <v>0</v>
      </c>
      <c r="U127" s="80">
        <f>SUMIFS('октябрь 2024'!$G$5:$G$2162,'октябрь 2024'!$D$5:$D$2162,$B127,'октябрь 2024'!$J$5:$J$2162,U$1)</f>
        <v>0</v>
      </c>
      <c r="V127" s="80">
        <f>SUMIFS('октябрь 2024'!$G$5:$G$2162,'октябрь 2024'!$D$5:$D$2162,$B127,'октябрь 2024'!$J$5:$J$2162,V$1)</f>
        <v>0</v>
      </c>
      <c r="W127" s="80">
        <f>SUMIFS('октябрь 2024'!$G$5:$G$2162,'октябрь 2024'!$D$5:$D$2162,$B127,'октябрь 2024'!$J$5:$J$2162,W$1)</f>
        <v>0</v>
      </c>
      <c r="X127" s="80">
        <f>SUMIFS('октябрь 2024'!$G$5:$G$2162,'октябрь 2024'!$D$5:$D$2162,$B127,'октябрь 2024'!$J$5:$J$2162,X$1)</f>
        <v>0</v>
      </c>
      <c r="Y127" s="80">
        <f>SUMIFS('октябрь 2024'!$G$5:$G$2162,'октябрь 2024'!$D$5:$D$2162,$B127,'октябрь 2024'!$J$5:$J$2162,Y$1)</f>
        <v>0</v>
      </c>
      <c r="Z127" s="80">
        <f>SUMIFS('октябрь 2024'!$G$5:$G$2162,'октябрь 2024'!$D$5:$D$2162,$B127,'октябрь 2024'!$J$5:$J$2162,Z$1)</f>
        <v>0</v>
      </c>
      <c r="AA127" s="80">
        <f>SUMIFS('октябрь 2024'!$G$5:$G$2162,'октябрь 2024'!$D$5:$D$2162,$B127,'октябрь 2024'!$J$5:$J$2162,AA$1)</f>
        <v>0</v>
      </c>
      <c r="AB127" s="80">
        <f>SUMIFS('октябрь 2024'!$G$5:$G$2162,'октябрь 2024'!$D$5:$D$2162,$B127,'октябрь 2024'!$J$5:$J$2162,AB$1)</f>
        <v>0</v>
      </c>
      <c r="AC127" s="80">
        <f>SUMIFS('октябрь 2024'!$G$5:$G$2162,'октябрь 2024'!$D$5:$D$2162,$B127,'октябрь 2024'!$J$5:$J$2162,AC$1)</f>
        <v>0</v>
      </c>
      <c r="AD127" s="80">
        <f>SUMIFS('октябрь 2024'!$G$5:$G$2162,'октябрь 2024'!$D$5:$D$2162,$B127,'октябрь 2024'!$J$5:$J$2162,AD$1)</f>
        <v>0</v>
      </c>
      <c r="AE127" s="80">
        <f>SUMIFS('октябрь 2024'!$G$5:$G$2162,'октябрь 2024'!$D$5:$D$2162,$B127,'октябрь 2024'!$J$5:$J$2162,AE$1)</f>
        <v>0</v>
      </c>
      <c r="AF127" s="80">
        <f>SUMIFS('октябрь 2024'!$G$5:$G$2162,'октябрь 2024'!$D$5:$D$2162,$B127,'октябрь 2024'!$J$5:$J$2162,AF$1)</f>
        <v>0</v>
      </c>
      <c r="AG127" s="80">
        <f>SUMIFS('октябрь 2024'!$G$5:$G$2162,'октябрь 2024'!$D$5:$D$2162,$B127,'октябрь 2024'!$J$5:$J$2162,AG$1)</f>
        <v>0</v>
      </c>
      <c r="AH127" s="80">
        <f>SUMIFS('октябрь 2024'!$G$5:$G$2162,'октябрь 2024'!$D$5:$D$2162,$B127,'октябрь 2024'!$J$5:$J$2162,AH$1)</f>
        <v>0</v>
      </c>
      <c r="AI127" s="21">
        <f t="shared" si="1"/>
        <v>0</v>
      </c>
    </row>
    <row r="128" spans="2:35" ht="15" customHeight="1" x14ac:dyDescent="0.25">
      <c r="B128" s="89" t="s">
        <v>760</v>
      </c>
      <c r="C128" s="91">
        <v>190</v>
      </c>
      <c r="D128" s="80">
        <f>SUMIFS('октябрь 2024'!$G$5:$G$2162,'октябрь 2024'!$D$5:$D$2162,$B128,'октябрь 2024'!$J$5:$J$2162,D$1)</f>
        <v>0</v>
      </c>
      <c r="E128" s="80">
        <f>SUMIFS('октябрь 2024'!$G$5:$G$2162,'октябрь 2024'!$D$5:$D$2162,$B128,'октябрь 2024'!$J$5:$J$2162,E$1)</f>
        <v>0</v>
      </c>
      <c r="F128" s="80">
        <f>SUMIFS('октябрь 2024'!$G$5:$G$2162,'октябрь 2024'!$D$5:$D$2162,$B128,'октябрь 2024'!$J$5:$J$2162,F$1)</f>
        <v>0</v>
      </c>
      <c r="G128" s="80">
        <f>SUMIFS('октябрь 2024'!$G$5:$G$2162,'октябрь 2024'!$D$5:$D$2162,$B128,'октябрь 2024'!$J$5:$J$2162,G$1)</f>
        <v>0</v>
      </c>
      <c r="H128" s="80">
        <f>SUMIFS('октябрь 2024'!$G$5:$G$2162,'октябрь 2024'!$D$5:$D$2162,$B128,'октябрь 2024'!$J$5:$J$2162,H$1)</f>
        <v>0</v>
      </c>
      <c r="I128" s="80">
        <f>SUMIFS('октябрь 2024'!$G$5:$G$2162,'октябрь 2024'!$D$5:$D$2162,$B128,'октябрь 2024'!$J$5:$J$2162,I$1)</f>
        <v>0</v>
      </c>
      <c r="J128" s="80">
        <f>SUMIFS('октябрь 2024'!$G$5:$G$2162,'октябрь 2024'!$D$5:$D$2162,$B128,'октябрь 2024'!$J$5:$J$2162,J$1)</f>
        <v>0</v>
      </c>
      <c r="K128" s="80">
        <f>SUMIFS('октябрь 2024'!$G$5:$G$2162,'октябрь 2024'!$D$5:$D$2162,$B128,'октябрь 2024'!$J$5:$J$2162,K$1)</f>
        <v>0</v>
      </c>
      <c r="L128" s="80">
        <f>SUMIFS('октябрь 2024'!$G$5:$G$2162,'октябрь 2024'!$D$5:$D$2162,$B128,'октябрь 2024'!$J$5:$J$2162,L$1)</f>
        <v>0</v>
      </c>
      <c r="M128" s="80">
        <f>SUMIFS('октябрь 2024'!$G$5:$G$2162,'октябрь 2024'!$D$5:$D$2162,$B128,'октябрь 2024'!$J$5:$J$2162,M$1)</f>
        <v>0</v>
      </c>
      <c r="N128" s="80">
        <f>SUMIFS('октябрь 2024'!$G$5:$G$2162,'октябрь 2024'!$D$5:$D$2162,$B128,'октябрь 2024'!$J$5:$J$2162,N$1)</f>
        <v>0</v>
      </c>
      <c r="O128" s="80">
        <f>SUMIFS('октябрь 2024'!$G$5:$G$2162,'октябрь 2024'!$D$5:$D$2162,$B128,'октябрь 2024'!$J$5:$J$2162,O$1)</f>
        <v>0</v>
      </c>
      <c r="P128" s="80">
        <f>SUMIFS('октябрь 2024'!$G$5:$G$2162,'октябрь 2024'!$D$5:$D$2162,$B128,'октябрь 2024'!$J$5:$J$2162,P$1)</f>
        <v>0</v>
      </c>
      <c r="Q128" s="80">
        <f>SUMIFS('октябрь 2024'!$G$5:$G$2162,'октябрь 2024'!$D$5:$D$2162,$B128,'октябрь 2024'!$J$5:$J$2162,Q$1)</f>
        <v>0</v>
      </c>
      <c r="R128" s="80">
        <f>SUMIFS('октябрь 2024'!$G$5:$G$2162,'октябрь 2024'!$D$5:$D$2162,$B128,'октябрь 2024'!$J$5:$J$2162,R$1)</f>
        <v>0</v>
      </c>
      <c r="S128" s="80">
        <f>SUMIFS('октябрь 2024'!$G$5:$G$2162,'октябрь 2024'!$D$5:$D$2162,$B128,'октябрь 2024'!$J$5:$J$2162,S$1)</f>
        <v>0</v>
      </c>
      <c r="T128" s="80">
        <f>SUMIFS('октябрь 2024'!$G$5:$G$2162,'октябрь 2024'!$D$5:$D$2162,$B128,'октябрь 2024'!$J$5:$J$2162,T$1)</f>
        <v>0</v>
      </c>
      <c r="U128" s="80">
        <f>SUMIFS('октябрь 2024'!$G$5:$G$2162,'октябрь 2024'!$D$5:$D$2162,$B128,'октябрь 2024'!$J$5:$J$2162,U$1)</f>
        <v>0</v>
      </c>
      <c r="V128" s="80">
        <f>SUMIFS('октябрь 2024'!$G$5:$G$2162,'октябрь 2024'!$D$5:$D$2162,$B128,'октябрь 2024'!$J$5:$J$2162,V$1)</f>
        <v>0</v>
      </c>
      <c r="W128" s="80">
        <f>SUMIFS('октябрь 2024'!$G$5:$G$2162,'октябрь 2024'!$D$5:$D$2162,$B128,'октябрь 2024'!$J$5:$J$2162,W$1)</f>
        <v>0</v>
      </c>
      <c r="X128" s="80">
        <f>SUMIFS('октябрь 2024'!$G$5:$G$2162,'октябрь 2024'!$D$5:$D$2162,$B128,'октябрь 2024'!$J$5:$J$2162,X$1)</f>
        <v>0</v>
      </c>
      <c r="Y128" s="80">
        <f>SUMIFS('октябрь 2024'!$G$5:$G$2162,'октябрь 2024'!$D$5:$D$2162,$B128,'октябрь 2024'!$J$5:$J$2162,Y$1)</f>
        <v>0</v>
      </c>
      <c r="Z128" s="80">
        <f>SUMIFS('октябрь 2024'!$G$5:$G$2162,'октябрь 2024'!$D$5:$D$2162,$B128,'октябрь 2024'!$J$5:$J$2162,Z$1)</f>
        <v>0</v>
      </c>
      <c r="AA128" s="80">
        <f>SUMIFS('октябрь 2024'!$G$5:$G$2162,'октябрь 2024'!$D$5:$D$2162,$B128,'октябрь 2024'!$J$5:$J$2162,AA$1)</f>
        <v>0</v>
      </c>
      <c r="AB128" s="80">
        <f>SUMIFS('октябрь 2024'!$G$5:$G$2162,'октябрь 2024'!$D$5:$D$2162,$B128,'октябрь 2024'!$J$5:$J$2162,AB$1)</f>
        <v>0</v>
      </c>
      <c r="AC128" s="80">
        <f>SUMIFS('октябрь 2024'!$G$5:$G$2162,'октябрь 2024'!$D$5:$D$2162,$B128,'октябрь 2024'!$J$5:$J$2162,AC$1)</f>
        <v>0</v>
      </c>
      <c r="AD128" s="80">
        <f>SUMIFS('октябрь 2024'!$G$5:$G$2162,'октябрь 2024'!$D$5:$D$2162,$B128,'октябрь 2024'!$J$5:$J$2162,AD$1)</f>
        <v>0</v>
      </c>
      <c r="AE128" s="80">
        <f>SUMIFS('октябрь 2024'!$G$5:$G$2162,'октябрь 2024'!$D$5:$D$2162,$B128,'октябрь 2024'!$J$5:$J$2162,AE$1)</f>
        <v>0</v>
      </c>
      <c r="AF128" s="80">
        <f>SUMIFS('октябрь 2024'!$G$5:$G$2162,'октябрь 2024'!$D$5:$D$2162,$B128,'октябрь 2024'!$J$5:$J$2162,AF$1)</f>
        <v>0</v>
      </c>
      <c r="AG128" s="80">
        <f>SUMIFS('октябрь 2024'!$G$5:$G$2162,'октябрь 2024'!$D$5:$D$2162,$B128,'октябрь 2024'!$J$5:$J$2162,AG$1)</f>
        <v>0</v>
      </c>
      <c r="AH128" s="80">
        <f>SUMIFS('октябрь 2024'!$G$5:$G$2162,'октябрь 2024'!$D$5:$D$2162,$B128,'октябрь 2024'!$J$5:$J$2162,AH$1)</f>
        <v>0</v>
      </c>
      <c r="AI128" s="21">
        <f t="shared" si="1"/>
        <v>0</v>
      </c>
    </row>
    <row r="129" spans="2:35" ht="15" customHeight="1" x14ac:dyDescent="0.25">
      <c r="B129" s="89" t="s">
        <v>333</v>
      </c>
      <c r="C129" s="91">
        <v>200</v>
      </c>
      <c r="D129" s="80">
        <f>SUMIFS('октябрь 2024'!$G$5:$G$2162,'октябрь 2024'!$D$5:$D$2162,$B129,'октябрь 2024'!$J$5:$J$2162,D$1)</f>
        <v>0</v>
      </c>
      <c r="E129" s="80">
        <f>SUMIFS('октябрь 2024'!$G$5:$G$2162,'октябрь 2024'!$D$5:$D$2162,$B129,'октябрь 2024'!$J$5:$J$2162,E$1)</f>
        <v>0</v>
      </c>
      <c r="F129" s="80">
        <f>SUMIFS('октябрь 2024'!$G$5:$G$2162,'октябрь 2024'!$D$5:$D$2162,$B129,'октябрь 2024'!$J$5:$J$2162,F$1)</f>
        <v>0</v>
      </c>
      <c r="G129" s="80">
        <f>SUMIFS('октябрь 2024'!$G$5:$G$2162,'октябрь 2024'!$D$5:$D$2162,$B129,'октябрь 2024'!$J$5:$J$2162,G$1)</f>
        <v>0</v>
      </c>
      <c r="H129" s="80">
        <f>SUMIFS('октябрь 2024'!$G$5:$G$2162,'октябрь 2024'!$D$5:$D$2162,$B129,'октябрь 2024'!$J$5:$J$2162,H$1)</f>
        <v>0</v>
      </c>
      <c r="I129" s="80">
        <f>SUMIFS('октябрь 2024'!$G$5:$G$2162,'октябрь 2024'!$D$5:$D$2162,$B129,'октябрь 2024'!$J$5:$J$2162,I$1)</f>
        <v>0</v>
      </c>
      <c r="J129" s="80">
        <f>SUMIFS('октябрь 2024'!$G$5:$G$2162,'октябрь 2024'!$D$5:$D$2162,$B129,'октябрь 2024'!$J$5:$J$2162,J$1)</f>
        <v>0</v>
      </c>
      <c r="K129" s="80">
        <f>SUMIFS('октябрь 2024'!$G$5:$G$2162,'октябрь 2024'!$D$5:$D$2162,$B129,'октябрь 2024'!$J$5:$J$2162,K$1)</f>
        <v>0</v>
      </c>
      <c r="L129" s="80">
        <f>SUMIFS('октябрь 2024'!$G$5:$G$2162,'октябрь 2024'!$D$5:$D$2162,$B129,'октябрь 2024'!$J$5:$J$2162,L$1)</f>
        <v>0</v>
      </c>
      <c r="M129" s="80">
        <f>SUMIFS('октябрь 2024'!$G$5:$G$2162,'октябрь 2024'!$D$5:$D$2162,$B129,'октябрь 2024'!$J$5:$J$2162,M$1)</f>
        <v>0</v>
      </c>
      <c r="N129" s="80">
        <f>SUMIFS('октябрь 2024'!$G$5:$G$2162,'октябрь 2024'!$D$5:$D$2162,$B129,'октябрь 2024'!$J$5:$J$2162,N$1)</f>
        <v>0</v>
      </c>
      <c r="O129" s="80">
        <f>SUMIFS('октябрь 2024'!$G$5:$G$2162,'октябрь 2024'!$D$5:$D$2162,$B129,'октябрь 2024'!$J$5:$J$2162,O$1)</f>
        <v>0</v>
      </c>
      <c r="P129" s="80">
        <f>SUMIFS('октябрь 2024'!$G$5:$G$2162,'октябрь 2024'!$D$5:$D$2162,$B129,'октябрь 2024'!$J$5:$J$2162,P$1)</f>
        <v>0</v>
      </c>
      <c r="Q129" s="80">
        <f>SUMIFS('октябрь 2024'!$G$5:$G$2162,'октябрь 2024'!$D$5:$D$2162,$B129,'октябрь 2024'!$J$5:$J$2162,Q$1)</f>
        <v>0</v>
      </c>
      <c r="R129" s="80">
        <f>SUMIFS('октябрь 2024'!$G$5:$G$2162,'октябрь 2024'!$D$5:$D$2162,$B129,'октябрь 2024'!$J$5:$J$2162,R$1)</f>
        <v>0</v>
      </c>
      <c r="S129" s="80">
        <f>SUMIFS('октябрь 2024'!$G$5:$G$2162,'октябрь 2024'!$D$5:$D$2162,$B129,'октябрь 2024'!$J$5:$J$2162,S$1)</f>
        <v>0</v>
      </c>
      <c r="T129" s="80">
        <f>SUMIFS('октябрь 2024'!$G$5:$G$2162,'октябрь 2024'!$D$5:$D$2162,$B129,'октябрь 2024'!$J$5:$J$2162,T$1)</f>
        <v>0</v>
      </c>
      <c r="U129" s="80">
        <f>SUMIFS('октябрь 2024'!$G$5:$G$2162,'октябрь 2024'!$D$5:$D$2162,$B129,'октябрь 2024'!$J$5:$J$2162,U$1)</f>
        <v>0</v>
      </c>
      <c r="V129" s="80">
        <f>SUMIFS('октябрь 2024'!$G$5:$G$2162,'октябрь 2024'!$D$5:$D$2162,$B129,'октябрь 2024'!$J$5:$J$2162,V$1)</f>
        <v>0</v>
      </c>
      <c r="W129" s="80">
        <f>SUMIFS('октябрь 2024'!$G$5:$G$2162,'октябрь 2024'!$D$5:$D$2162,$B129,'октябрь 2024'!$J$5:$J$2162,W$1)</f>
        <v>0</v>
      </c>
      <c r="X129" s="80">
        <f>SUMIFS('октябрь 2024'!$G$5:$G$2162,'октябрь 2024'!$D$5:$D$2162,$B129,'октябрь 2024'!$J$5:$J$2162,X$1)</f>
        <v>0</v>
      </c>
      <c r="Y129" s="80">
        <f>SUMIFS('октябрь 2024'!$G$5:$G$2162,'октябрь 2024'!$D$5:$D$2162,$B129,'октябрь 2024'!$J$5:$J$2162,Y$1)</f>
        <v>0</v>
      </c>
      <c r="Z129" s="80">
        <f>SUMIFS('октябрь 2024'!$G$5:$G$2162,'октябрь 2024'!$D$5:$D$2162,$B129,'октябрь 2024'!$J$5:$J$2162,Z$1)</f>
        <v>0</v>
      </c>
      <c r="AA129" s="80">
        <f>SUMIFS('октябрь 2024'!$G$5:$G$2162,'октябрь 2024'!$D$5:$D$2162,$B129,'октябрь 2024'!$J$5:$J$2162,AA$1)</f>
        <v>0</v>
      </c>
      <c r="AB129" s="80">
        <f>SUMIFS('октябрь 2024'!$G$5:$G$2162,'октябрь 2024'!$D$5:$D$2162,$B129,'октябрь 2024'!$J$5:$J$2162,AB$1)</f>
        <v>0</v>
      </c>
      <c r="AC129" s="80">
        <f>SUMIFS('октябрь 2024'!$G$5:$G$2162,'октябрь 2024'!$D$5:$D$2162,$B129,'октябрь 2024'!$J$5:$J$2162,AC$1)</f>
        <v>0</v>
      </c>
      <c r="AD129" s="80">
        <f>SUMIFS('октябрь 2024'!$G$5:$G$2162,'октябрь 2024'!$D$5:$D$2162,$B129,'октябрь 2024'!$J$5:$J$2162,AD$1)</f>
        <v>0</v>
      </c>
      <c r="AE129" s="80">
        <f>SUMIFS('октябрь 2024'!$G$5:$G$2162,'октябрь 2024'!$D$5:$D$2162,$B129,'октябрь 2024'!$J$5:$J$2162,AE$1)</f>
        <v>0</v>
      </c>
      <c r="AF129" s="80">
        <f>SUMIFS('октябрь 2024'!$G$5:$G$2162,'октябрь 2024'!$D$5:$D$2162,$B129,'октябрь 2024'!$J$5:$J$2162,AF$1)</f>
        <v>0</v>
      </c>
      <c r="AG129" s="80">
        <f>SUMIFS('октябрь 2024'!$G$5:$G$2162,'октябрь 2024'!$D$5:$D$2162,$B129,'октябрь 2024'!$J$5:$J$2162,AG$1)</f>
        <v>0</v>
      </c>
      <c r="AH129" s="80">
        <f>SUMIFS('октябрь 2024'!$G$5:$G$2162,'октябрь 2024'!$D$5:$D$2162,$B129,'октябрь 2024'!$J$5:$J$2162,AH$1)</f>
        <v>0</v>
      </c>
      <c r="AI129" s="21">
        <f t="shared" si="1"/>
        <v>0</v>
      </c>
    </row>
    <row r="130" spans="2:35" ht="15" customHeight="1" x14ac:dyDescent="0.25">
      <c r="B130" s="89" t="s">
        <v>343</v>
      </c>
      <c r="C130" s="91">
        <v>200</v>
      </c>
      <c r="D130" s="80">
        <f>SUMIFS('октябрь 2024'!$G$5:$G$2162,'октябрь 2024'!$D$5:$D$2162,$B130,'октябрь 2024'!$J$5:$J$2162,D$1)</f>
        <v>0</v>
      </c>
      <c r="E130" s="80">
        <f>SUMIFS('октябрь 2024'!$G$5:$G$2162,'октябрь 2024'!$D$5:$D$2162,$B130,'октябрь 2024'!$J$5:$J$2162,E$1)</f>
        <v>0</v>
      </c>
      <c r="F130" s="80">
        <f>SUMIFS('октябрь 2024'!$G$5:$G$2162,'октябрь 2024'!$D$5:$D$2162,$B130,'октябрь 2024'!$J$5:$J$2162,F$1)</f>
        <v>0</v>
      </c>
      <c r="G130" s="80">
        <f>SUMIFS('октябрь 2024'!$G$5:$G$2162,'октябрь 2024'!$D$5:$D$2162,$B130,'октябрь 2024'!$J$5:$J$2162,G$1)</f>
        <v>0</v>
      </c>
      <c r="H130" s="80">
        <f>SUMIFS('октябрь 2024'!$G$5:$G$2162,'октябрь 2024'!$D$5:$D$2162,$B130,'октябрь 2024'!$J$5:$J$2162,H$1)</f>
        <v>0</v>
      </c>
      <c r="I130" s="80">
        <f>SUMIFS('октябрь 2024'!$G$5:$G$2162,'октябрь 2024'!$D$5:$D$2162,$B130,'октябрь 2024'!$J$5:$J$2162,I$1)</f>
        <v>0</v>
      </c>
      <c r="J130" s="80">
        <f>SUMIFS('октябрь 2024'!$G$5:$G$2162,'октябрь 2024'!$D$5:$D$2162,$B130,'октябрь 2024'!$J$5:$J$2162,J$1)</f>
        <v>0</v>
      </c>
      <c r="K130" s="80">
        <f>SUMIFS('октябрь 2024'!$G$5:$G$2162,'октябрь 2024'!$D$5:$D$2162,$B130,'октябрь 2024'!$J$5:$J$2162,K$1)</f>
        <v>0</v>
      </c>
      <c r="L130" s="80">
        <f>SUMIFS('октябрь 2024'!$G$5:$G$2162,'октябрь 2024'!$D$5:$D$2162,$B130,'октябрь 2024'!$J$5:$J$2162,L$1)</f>
        <v>0</v>
      </c>
      <c r="M130" s="80">
        <f>SUMIFS('октябрь 2024'!$G$5:$G$2162,'октябрь 2024'!$D$5:$D$2162,$B130,'октябрь 2024'!$J$5:$J$2162,M$1)</f>
        <v>0</v>
      </c>
      <c r="N130" s="80">
        <f>SUMIFS('октябрь 2024'!$G$5:$G$2162,'октябрь 2024'!$D$5:$D$2162,$B130,'октябрь 2024'!$J$5:$J$2162,N$1)</f>
        <v>0</v>
      </c>
      <c r="O130" s="80">
        <f>SUMIFS('октябрь 2024'!$G$5:$G$2162,'октябрь 2024'!$D$5:$D$2162,$B130,'октябрь 2024'!$J$5:$J$2162,O$1)</f>
        <v>0</v>
      </c>
      <c r="P130" s="80">
        <f>SUMIFS('октябрь 2024'!$G$5:$G$2162,'октябрь 2024'!$D$5:$D$2162,$B130,'октябрь 2024'!$J$5:$J$2162,P$1)</f>
        <v>0</v>
      </c>
      <c r="Q130" s="80">
        <f>SUMIFS('октябрь 2024'!$G$5:$G$2162,'октябрь 2024'!$D$5:$D$2162,$B130,'октябрь 2024'!$J$5:$J$2162,Q$1)</f>
        <v>0</v>
      </c>
      <c r="R130" s="80">
        <f>SUMIFS('октябрь 2024'!$G$5:$G$2162,'октябрь 2024'!$D$5:$D$2162,$B130,'октябрь 2024'!$J$5:$J$2162,R$1)</f>
        <v>0</v>
      </c>
      <c r="S130" s="80">
        <f>SUMIFS('октябрь 2024'!$G$5:$G$2162,'октябрь 2024'!$D$5:$D$2162,$B130,'октябрь 2024'!$J$5:$J$2162,S$1)</f>
        <v>0</v>
      </c>
      <c r="T130" s="80">
        <f>SUMIFS('октябрь 2024'!$G$5:$G$2162,'октябрь 2024'!$D$5:$D$2162,$B130,'октябрь 2024'!$J$5:$J$2162,T$1)</f>
        <v>0</v>
      </c>
      <c r="U130" s="80">
        <f>SUMIFS('октябрь 2024'!$G$5:$G$2162,'октябрь 2024'!$D$5:$D$2162,$B130,'октябрь 2024'!$J$5:$J$2162,U$1)</f>
        <v>0</v>
      </c>
      <c r="V130" s="80">
        <f>SUMIFS('октябрь 2024'!$G$5:$G$2162,'октябрь 2024'!$D$5:$D$2162,$B130,'октябрь 2024'!$J$5:$J$2162,V$1)</f>
        <v>0</v>
      </c>
      <c r="W130" s="80">
        <f>SUMIFS('октябрь 2024'!$G$5:$G$2162,'октябрь 2024'!$D$5:$D$2162,$B130,'октябрь 2024'!$J$5:$J$2162,W$1)</f>
        <v>0</v>
      </c>
      <c r="X130" s="80">
        <f>SUMIFS('октябрь 2024'!$G$5:$G$2162,'октябрь 2024'!$D$5:$D$2162,$B130,'октябрь 2024'!$J$5:$J$2162,X$1)</f>
        <v>0</v>
      </c>
      <c r="Y130" s="80">
        <f>SUMIFS('октябрь 2024'!$G$5:$G$2162,'октябрь 2024'!$D$5:$D$2162,$B130,'октябрь 2024'!$J$5:$J$2162,Y$1)</f>
        <v>0</v>
      </c>
      <c r="Z130" s="80">
        <f>SUMIFS('октябрь 2024'!$G$5:$G$2162,'октябрь 2024'!$D$5:$D$2162,$B130,'октябрь 2024'!$J$5:$J$2162,Z$1)</f>
        <v>0</v>
      </c>
      <c r="AA130" s="80">
        <f>SUMIFS('октябрь 2024'!$G$5:$G$2162,'октябрь 2024'!$D$5:$D$2162,$B130,'октябрь 2024'!$J$5:$J$2162,AA$1)</f>
        <v>0</v>
      </c>
      <c r="AB130" s="80">
        <f>SUMIFS('октябрь 2024'!$G$5:$G$2162,'октябрь 2024'!$D$5:$D$2162,$B130,'октябрь 2024'!$J$5:$J$2162,AB$1)</f>
        <v>0</v>
      </c>
      <c r="AC130" s="80">
        <f>SUMIFS('октябрь 2024'!$G$5:$G$2162,'октябрь 2024'!$D$5:$D$2162,$B130,'октябрь 2024'!$J$5:$J$2162,AC$1)</f>
        <v>0</v>
      </c>
      <c r="AD130" s="80">
        <f>SUMIFS('октябрь 2024'!$G$5:$G$2162,'октябрь 2024'!$D$5:$D$2162,$B130,'октябрь 2024'!$J$5:$J$2162,AD$1)</f>
        <v>0</v>
      </c>
      <c r="AE130" s="80">
        <f>SUMIFS('октябрь 2024'!$G$5:$G$2162,'октябрь 2024'!$D$5:$D$2162,$B130,'октябрь 2024'!$J$5:$J$2162,AE$1)</f>
        <v>0</v>
      </c>
      <c r="AF130" s="80">
        <f>SUMIFS('октябрь 2024'!$G$5:$G$2162,'октябрь 2024'!$D$5:$D$2162,$B130,'октябрь 2024'!$J$5:$J$2162,AF$1)</f>
        <v>0</v>
      </c>
      <c r="AG130" s="80">
        <f>SUMIFS('октябрь 2024'!$G$5:$G$2162,'октябрь 2024'!$D$5:$D$2162,$B130,'октябрь 2024'!$J$5:$J$2162,AG$1)</f>
        <v>0</v>
      </c>
      <c r="AH130" s="80">
        <f>SUMIFS('октябрь 2024'!$G$5:$G$2162,'октябрь 2024'!$D$5:$D$2162,$B130,'октябрь 2024'!$J$5:$J$2162,AH$1)</f>
        <v>0</v>
      </c>
      <c r="AI130" s="21">
        <f t="shared" si="1"/>
        <v>0</v>
      </c>
    </row>
    <row r="131" spans="2:35" ht="15" customHeight="1" x14ac:dyDescent="0.25">
      <c r="B131" s="89" t="s">
        <v>207</v>
      </c>
      <c r="C131" s="91">
        <v>180</v>
      </c>
      <c r="D131" s="80">
        <f>SUMIFS('октябрь 2024'!$G$5:$G$2162,'октябрь 2024'!$D$5:$D$2162,$B131,'октябрь 2024'!$J$5:$J$2162,D$1)</f>
        <v>0</v>
      </c>
      <c r="E131" s="80">
        <f>SUMIFS('октябрь 2024'!$G$5:$G$2162,'октябрь 2024'!$D$5:$D$2162,$B131,'октябрь 2024'!$J$5:$J$2162,E$1)</f>
        <v>0</v>
      </c>
      <c r="F131" s="80">
        <f>SUMIFS('октябрь 2024'!$G$5:$G$2162,'октябрь 2024'!$D$5:$D$2162,$B131,'октябрь 2024'!$J$5:$J$2162,F$1)</f>
        <v>0</v>
      </c>
      <c r="G131" s="80">
        <f>SUMIFS('октябрь 2024'!$G$5:$G$2162,'октябрь 2024'!$D$5:$D$2162,$B131,'октябрь 2024'!$J$5:$J$2162,G$1)</f>
        <v>0</v>
      </c>
      <c r="H131" s="80">
        <f>SUMIFS('октябрь 2024'!$G$5:$G$2162,'октябрь 2024'!$D$5:$D$2162,$B131,'октябрь 2024'!$J$5:$J$2162,H$1)</f>
        <v>0</v>
      </c>
      <c r="I131" s="80">
        <f>SUMIFS('октябрь 2024'!$G$5:$G$2162,'октябрь 2024'!$D$5:$D$2162,$B131,'октябрь 2024'!$J$5:$J$2162,I$1)</f>
        <v>0</v>
      </c>
      <c r="J131" s="80">
        <f>SUMIFS('октябрь 2024'!$G$5:$G$2162,'октябрь 2024'!$D$5:$D$2162,$B131,'октябрь 2024'!$J$5:$J$2162,J$1)</f>
        <v>0</v>
      </c>
      <c r="K131" s="80">
        <f>SUMIFS('октябрь 2024'!$G$5:$G$2162,'октябрь 2024'!$D$5:$D$2162,$B131,'октябрь 2024'!$J$5:$J$2162,K$1)</f>
        <v>0</v>
      </c>
      <c r="L131" s="80">
        <f>SUMIFS('октябрь 2024'!$G$5:$G$2162,'октябрь 2024'!$D$5:$D$2162,$B131,'октябрь 2024'!$J$5:$J$2162,L$1)</f>
        <v>0</v>
      </c>
      <c r="M131" s="80">
        <f>SUMIFS('октябрь 2024'!$G$5:$G$2162,'октябрь 2024'!$D$5:$D$2162,$B131,'октябрь 2024'!$J$5:$J$2162,M$1)</f>
        <v>0</v>
      </c>
      <c r="N131" s="80">
        <f>SUMIFS('октябрь 2024'!$G$5:$G$2162,'октябрь 2024'!$D$5:$D$2162,$B131,'октябрь 2024'!$J$5:$J$2162,N$1)</f>
        <v>0</v>
      </c>
      <c r="O131" s="80">
        <f>SUMIFS('октябрь 2024'!$G$5:$G$2162,'октябрь 2024'!$D$5:$D$2162,$B131,'октябрь 2024'!$J$5:$J$2162,O$1)</f>
        <v>0</v>
      </c>
      <c r="P131" s="80">
        <f>SUMIFS('октябрь 2024'!$G$5:$G$2162,'октябрь 2024'!$D$5:$D$2162,$B131,'октябрь 2024'!$J$5:$J$2162,P$1)</f>
        <v>0</v>
      </c>
      <c r="Q131" s="80">
        <f>SUMIFS('октябрь 2024'!$G$5:$G$2162,'октябрь 2024'!$D$5:$D$2162,$B131,'октябрь 2024'!$J$5:$J$2162,Q$1)</f>
        <v>0</v>
      </c>
      <c r="R131" s="80">
        <f>SUMIFS('октябрь 2024'!$G$5:$G$2162,'октябрь 2024'!$D$5:$D$2162,$B131,'октябрь 2024'!$J$5:$J$2162,R$1)</f>
        <v>0</v>
      </c>
      <c r="S131" s="80">
        <f>SUMIFS('октябрь 2024'!$G$5:$G$2162,'октябрь 2024'!$D$5:$D$2162,$B131,'октябрь 2024'!$J$5:$J$2162,S$1)</f>
        <v>0</v>
      </c>
      <c r="T131" s="80">
        <f>SUMIFS('октябрь 2024'!$G$5:$G$2162,'октябрь 2024'!$D$5:$D$2162,$B131,'октябрь 2024'!$J$5:$J$2162,T$1)</f>
        <v>0</v>
      </c>
      <c r="U131" s="80">
        <f>SUMIFS('октябрь 2024'!$G$5:$G$2162,'октябрь 2024'!$D$5:$D$2162,$B131,'октябрь 2024'!$J$5:$J$2162,U$1)</f>
        <v>0</v>
      </c>
      <c r="V131" s="80">
        <f>SUMIFS('октябрь 2024'!$G$5:$G$2162,'октябрь 2024'!$D$5:$D$2162,$B131,'октябрь 2024'!$J$5:$J$2162,V$1)</f>
        <v>0</v>
      </c>
      <c r="W131" s="80">
        <f>SUMIFS('октябрь 2024'!$G$5:$G$2162,'октябрь 2024'!$D$5:$D$2162,$B131,'октябрь 2024'!$J$5:$J$2162,W$1)</f>
        <v>0</v>
      </c>
      <c r="X131" s="80">
        <f>SUMIFS('октябрь 2024'!$G$5:$G$2162,'октябрь 2024'!$D$5:$D$2162,$B131,'октябрь 2024'!$J$5:$J$2162,X$1)</f>
        <v>0</v>
      </c>
      <c r="Y131" s="80">
        <f>SUMIFS('октябрь 2024'!$G$5:$G$2162,'октябрь 2024'!$D$5:$D$2162,$B131,'октябрь 2024'!$J$5:$J$2162,Y$1)</f>
        <v>0</v>
      </c>
      <c r="Z131" s="80">
        <f>SUMIFS('октябрь 2024'!$G$5:$G$2162,'октябрь 2024'!$D$5:$D$2162,$B131,'октябрь 2024'!$J$5:$J$2162,Z$1)</f>
        <v>0</v>
      </c>
      <c r="AA131" s="80">
        <f>SUMIFS('октябрь 2024'!$G$5:$G$2162,'октябрь 2024'!$D$5:$D$2162,$B131,'октябрь 2024'!$J$5:$J$2162,AA$1)</f>
        <v>0</v>
      </c>
      <c r="AB131" s="80">
        <f>SUMIFS('октябрь 2024'!$G$5:$G$2162,'октябрь 2024'!$D$5:$D$2162,$B131,'октябрь 2024'!$J$5:$J$2162,AB$1)</f>
        <v>0</v>
      </c>
      <c r="AC131" s="80">
        <f>SUMIFS('октябрь 2024'!$G$5:$G$2162,'октябрь 2024'!$D$5:$D$2162,$B131,'октябрь 2024'!$J$5:$J$2162,AC$1)</f>
        <v>0</v>
      </c>
      <c r="AD131" s="80">
        <f>SUMIFS('октябрь 2024'!$G$5:$G$2162,'октябрь 2024'!$D$5:$D$2162,$B131,'октябрь 2024'!$J$5:$J$2162,AD$1)</f>
        <v>0</v>
      </c>
      <c r="AE131" s="80">
        <f>SUMIFS('октябрь 2024'!$G$5:$G$2162,'октябрь 2024'!$D$5:$D$2162,$B131,'октябрь 2024'!$J$5:$J$2162,AE$1)</f>
        <v>0</v>
      </c>
      <c r="AF131" s="80">
        <f>SUMIFS('октябрь 2024'!$G$5:$G$2162,'октябрь 2024'!$D$5:$D$2162,$B131,'октябрь 2024'!$J$5:$J$2162,AF$1)</f>
        <v>0</v>
      </c>
      <c r="AG131" s="80">
        <f>SUMIFS('октябрь 2024'!$G$5:$G$2162,'октябрь 2024'!$D$5:$D$2162,$B131,'октябрь 2024'!$J$5:$J$2162,AG$1)</f>
        <v>0</v>
      </c>
      <c r="AH131" s="80">
        <f>SUMIFS('октябрь 2024'!$G$5:$G$2162,'октябрь 2024'!$D$5:$D$2162,$B131,'октябрь 2024'!$J$5:$J$2162,AH$1)</f>
        <v>0</v>
      </c>
      <c r="AI131" s="21">
        <f t="shared" si="1"/>
        <v>0</v>
      </c>
    </row>
    <row r="132" spans="2:35" ht="15" customHeight="1" x14ac:dyDescent="0.25">
      <c r="B132" s="93" t="s">
        <v>621</v>
      </c>
      <c r="C132" s="91">
        <v>180</v>
      </c>
      <c r="D132" s="80">
        <f>SUMIFS('октябрь 2024'!$G$5:$G$2162,'октябрь 2024'!$D$5:$D$2162,$B132,'октябрь 2024'!$J$5:$J$2162,D$1)</f>
        <v>0</v>
      </c>
      <c r="E132" s="80">
        <f>SUMIFS('октябрь 2024'!$G$5:$G$2162,'октябрь 2024'!$D$5:$D$2162,$B132,'октябрь 2024'!$J$5:$J$2162,E$1)</f>
        <v>0</v>
      </c>
      <c r="F132" s="80">
        <f>SUMIFS('октябрь 2024'!$G$5:$G$2162,'октябрь 2024'!$D$5:$D$2162,$B132,'октябрь 2024'!$J$5:$J$2162,F$1)</f>
        <v>0</v>
      </c>
      <c r="G132" s="80">
        <f>SUMIFS('октябрь 2024'!$G$5:$G$2162,'октябрь 2024'!$D$5:$D$2162,$B132,'октябрь 2024'!$J$5:$J$2162,G$1)</f>
        <v>0</v>
      </c>
      <c r="H132" s="80">
        <f>SUMIFS('октябрь 2024'!$G$5:$G$2162,'октябрь 2024'!$D$5:$D$2162,$B132,'октябрь 2024'!$J$5:$J$2162,H$1)</f>
        <v>0</v>
      </c>
      <c r="I132" s="80">
        <f>SUMIFS('октябрь 2024'!$G$5:$G$2162,'октябрь 2024'!$D$5:$D$2162,$B132,'октябрь 2024'!$J$5:$J$2162,I$1)</f>
        <v>0</v>
      </c>
      <c r="J132" s="80">
        <f>SUMIFS('октябрь 2024'!$G$5:$G$2162,'октябрь 2024'!$D$5:$D$2162,$B132,'октябрь 2024'!$J$5:$J$2162,J$1)</f>
        <v>0</v>
      </c>
      <c r="K132" s="80">
        <f>SUMIFS('октябрь 2024'!$G$5:$G$2162,'октябрь 2024'!$D$5:$D$2162,$B132,'октябрь 2024'!$J$5:$J$2162,K$1)</f>
        <v>0</v>
      </c>
      <c r="L132" s="80">
        <f>SUMIFS('октябрь 2024'!$G$5:$G$2162,'октябрь 2024'!$D$5:$D$2162,$B132,'октябрь 2024'!$J$5:$J$2162,L$1)</f>
        <v>0</v>
      </c>
      <c r="M132" s="80">
        <f>SUMIFS('октябрь 2024'!$G$5:$G$2162,'октябрь 2024'!$D$5:$D$2162,$B132,'октябрь 2024'!$J$5:$J$2162,M$1)</f>
        <v>0</v>
      </c>
      <c r="N132" s="80">
        <f>SUMIFS('октябрь 2024'!$G$5:$G$2162,'октябрь 2024'!$D$5:$D$2162,$B132,'октябрь 2024'!$J$5:$J$2162,N$1)</f>
        <v>0</v>
      </c>
      <c r="O132" s="80">
        <f>SUMIFS('октябрь 2024'!$G$5:$G$2162,'октябрь 2024'!$D$5:$D$2162,$B132,'октябрь 2024'!$J$5:$J$2162,O$1)</f>
        <v>0</v>
      </c>
      <c r="P132" s="80">
        <f>SUMIFS('октябрь 2024'!$G$5:$G$2162,'октябрь 2024'!$D$5:$D$2162,$B132,'октябрь 2024'!$J$5:$J$2162,P$1)</f>
        <v>0</v>
      </c>
      <c r="Q132" s="80">
        <f>SUMIFS('октябрь 2024'!$G$5:$G$2162,'октябрь 2024'!$D$5:$D$2162,$B132,'октябрь 2024'!$J$5:$J$2162,Q$1)</f>
        <v>0</v>
      </c>
      <c r="R132" s="80">
        <f>SUMIFS('октябрь 2024'!$G$5:$G$2162,'октябрь 2024'!$D$5:$D$2162,$B132,'октябрь 2024'!$J$5:$J$2162,R$1)</f>
        <v>0</v>
      </c>
      <c r="S132" s="80">
        <f>SUMIFS('октябрь 2024'!$G$5:$G$2162,'октябрь 2024'!$D$5:$D$2162,$B132,'октябрь 2024'!$J$5:$J$2162,S$1)</f>
        <v>0</v>
      </c>
      <c r="T132" s="80">
        <f>SUMIFS('октябрь 2024'!$G$5:$G$2162,'октябрь 2024'!$D$5:$D$2162,$B132,'октябрь 2024'!$J$5:$J$2162,T$1)</f>
        <v>0</v>
      </c>
      <c r="U132" s="80">
        <f>SUMIFS('октябрь 2024'!$G$5:$G$2162,'октябрь 2024'!$D$5:$D$2162,$B132,'октябрь 2024'!$J$5:$J$2162,U$1)</f>
        <v>0</v>
      </c>
      <c r="V132" s="80">
        <f>SUMIFS('октябрь 2024'!$G$5:$G$2162,'октябрь 2024'!$D$5:$D$2162,$B132,'октябрь 2024'!$J$5:$J$2162,V$1)</f>
        <v>0</v>
      </c>
      <c r="W132" s="80">
        <f>SUMIFS('октябрь 2024'!$G$5:$G$2162,'октябрь 2024'!$D$5:$D$2162,$B132,'октябрь 2024'!$J$5:$J$2162,W$1)</f>
        <v>0</v>
      </c>
      <c r="X132" s="80">
        <f>SUMIFS('октябрь 2024'!$G$5:$G$2162,'октябрь 2024'!$D$5:$D$2162,$B132,'октябрь 2024'!$J$5:$J$2162,X$1)</f>
        <v>0</v>
      </c>
      <c r="Y132" s="80">
        <f>SUMIFS('октябрь 2024'!$G$5:$G$2162,'октябрь 2024'!$D$5:$D$2162,$B132,'октябрь 2024'!$J$5:$J$2162,Y$1)</f>
        <v>0</v>
      </c>
      <c r="Z132" s="80">
        <f>SUMIFS('октябрь 2024'!$G$5:$G$2162,'октябрь 2024'!$D$5:$D$2162,$B132,'октябрь 2024'!$J$5:$J$2162,Z$1)</f>
        <v>0</v>
      </c>
      <c r="AA132" s="80">
        <f>SUMIFS('октябрь 2024'!$G$5:$G$2162,'октябрь 2024'!$D$5:$D$2162,$B132,'октябрь 2024'!$J$5:$J$2162,AA$1)</f>
        <v>0</v>
      </c>
      <c r="AB132" s="80">
        <f>SUMIFS('октябрь 2024'!$G$5:$G$2162,'октябрь 2024'!$D$5:$D$2162,$B132,'октябрь 2024'!$J$5:$J$2162,AB$1)</f>
        <v>0</v>
      </c>
      <c r="AC132" s="80">
        <f>SUMIFS('октябрь 2024'!$G$5:$G$2162,'октябрь 2024'!$D$5:$D$2162,$B132,'октябрь 2024'!$J$5:$J$2162,AC$1)</f>
        <v>0</v>
      </c>
      <c r="AD132" s="80">
        <f>SUMIFS('октябрь 2024'!$G$5:$G$2162,'октябрь 2024'!$D$5:$D$2162,$B132,'октябрь 2024'!$J$5:$J$2162,AD$1)</f>
        <v>0</v>
      </c>
      <c r="AE132" s="80">
        <f>SUMIFS('октябрь 2024'!$G$5:$G$2162,'октябрь 2024'!$D$5:$D$2162,$B132,'октябрь 2024'!$J$5:$J$2162,AE$1)</f>
        <v>0</v>
      </c>
      <c r="AF132" s="80">
        <f>SUMIFS('октябрь 2024'!$G$5:$G$2162,'октябрь 2024'!$D$5:$D$2162,$B132,'октябрь 2024'!$J$5:$J$2162,AF$1)</f>
        <v>0</v>
      </c>
      <c r="AG132" s="80">
        <f>SUMIFS('октябрь 2024'!$G$5:$G$2162,'октябрь 2024'!$D$5:$D$2162,$B132,'октябрь 2024'!$J$5:$J$2162,AG$1)</f>
        <v>0</v>
      </c>
      <c r="AH132" s="80">
        <f>SUMIFS('октябрь 2024'!$G$5:$G$2162,'октябрь 2024'!$D$5:$D$2162,$B132,'октябрь 2024'!$J$5:$J$2162,AH$1)</f>
        <v>0</v>
      </c>
      <c r="AI132" s="21">
        <f t="shared" si="1"/>
        <v>0</v>
      </c>
    </row>
    <row r="133" spans="2:35" ht="15" customHeight="1" x14ac:dyDescent="0.25">
      <c r="B133" s="93" t="s">
        <v>191</v>
      </c>
      <c r="C133" s="91">
        <v>190</v>
      </c>
      <c r="D133" s="80">
        <f>SUMIFS('октябрь 2024'!$G$5:$G$2162,'октябрь 2024'!$D$5:$D$2162,$B133,'октябрь 2024'!$J$5:$J$2162,D$1)</f>
        <v>0</v>
      </c>
      <c r="E133" s="80">
        <f>SUMIFS('октябрь 2024'!$G$5:$G$2162,'октябрь 2024'!$D$5:$D$2162,$B133,'октябрь 2024'!$J$5:$J$2162,E$1)</f>
        <v>0</v>
      </c>
      <c r="F133" s="80">
        <f>SUMIFS('октябрь 2024'!$G$5:$G$2162,'октябрь 2024'!$D$5:$D$2162,$B133,'октябрь 2024'!$J$5:$J$2162,F$1)</f>
        <v>0</v>
      </c>
      <c r="G133" s="80">
        <f>SUMIFS('октябрь 2024'!$G$5:$G$2162,'октябрь 2024'!$D$5:$D$2162,$B133,'октябрь 2024'!$J$5:$J$2162,G$1)</f>
        <v>0</v>
      </c>
      <c r="H133" s="80">
        <f>SUMIFS('октябрь 2024'!$G$5:$G$2162,'октябрь 2024'!$D$5:$D$2162,$B133,'октябрь 2024'!$J$5:$J$2162,H$1)</f>
        <v>0</v>
      </c>
      <c r="I133" s="80">
        <f>SUMIFS('октябрь 2024'!$G$5:$G$2162,'октябрь 2024'!$D$5:$D$2162,$B133,'октябрь 2024'!$J$5:$J$2162,I$1)</f>
        <v>0</v>
      </c>
      <c r="J133" s="80">
        <f>SUMIFS('октябрь 2024'!$G$5:$G$2162,'октябрь 2024'!$D$5:$D$2162,$B133,'октябрь 2024'!$J$5:$J$2162,J$1)</f>
        <v>0</v>
      </c>
      <c r="K133" s="80">
        <f>SUMIFS('октябрь 2024'!$G$5:$G$2162,'октябрь 2024'!$D$5:$D$2162,$B133,'октябрь 2024'!$J$5:$J$2162,K$1)</f>
        <v>0</v>
      </c>
      <c r="L133" s="80">
        <f>SUMIFS('октябрь 2024'!$G$5:$G$2162,'октябрь 2024'!$D$5:$D$2162,$B133,'октябрь 2024'!$J$5:$J$2162,L$1)</f>
        <v>0</v>
      </c>
      <c r="M133" s="80">
        <f>SUMIFS('октябрь 2024'!$G$5:$G$2162,'октябрь 2024'!$D$5:$D$2162,$B133,'октябрь 2024'!$J$5:$J$2162,M$1)</f>
        <v>0</v>
      </c>
      <c r="N133" s="80">
        <f>SUMIFS('октябрь 2024'!$G$5:$G$2162,'октябрь 2024'!$D$5:$D$2162,$B133,'октябрь 2024'!$J$5:$J$2162,N$1)</f>
        <v>0</v>
      </c>
      <c r="O133" s="80">
        <f>SUMIFS('октябрь 2024'!$G$5:$G$2162,'октябрь 2024'!$D$5:$D$2162,$B133,'октябрь 2024'!$J$5:$J$2162,O$1)</f>
        <v>0</v>
      </c>
      <c r="P133" s="80">
        <f>SUMIFS('октябрь 2024'!$G$5:$G$2162,'октябрь 2024'!$D$5:$D$2162,$B133,'октябрь 2024'!$J$5:$J$2162,P$1)</f>
        <v>0</v>
      </c>
      <c r="Q133" s="80">
        <f>SUMIFS('октябрь 2024'!$G$5:$G$2162,'октябрь 2024'!$D$5:$D$2162,$B133,'октябрь 2024'!$J$5:$J$2162,Q$1)</f>
        <v>0</v>
      </c>
      <c r="R133" s="80">
        <f>SUMIFS('октябрь 2024'!$G$5:$G$2162,'октябрь 2024'!$D$5:$D$2162,$B133,'октябрь 2024'!$J$5:$J$2162,R$1)</f>
        <v>0</v>
      </c>
      <c r="S133" s="80">
        <f>SUMIFS('октябрь 2024'!$G$5:$G$2162,'октябрь 2024'!$D$5:$D$2162,$B133,'октябрь 2024'!$J$5:$J$2162,S$1)</f>
        <v>0</v>
      </c>
      <c r="T133" s="80">
        <f>SUMIFS('октябрь 2024'!$G$5:$G$2162,'октябрь 2024'!$D$5:$D$2162,$B133,'октябрь 2024'!$J$5:$J$2162,T$1)</f>
        <v>0</v>
      </c>
      <c r="U133" s="80">
        <f>SUMIFS('октябрь 2024'!$G$5:$G$2162,'октябрь 2024'!$D$5:$D$2162,$B133,'октябрь 2024'!$J$5:$J$2162,U$1)</f>
        <v>0</v>
      </c>
      <c r="V133" s="80">
        <f>SUMIFS('октябрь 2024'!$G$5:$G$2162,'октябрь 2024'!$D$5:$D$2162,$B133,'октябрь 2024'!$J$5:$J$2162,V$1)</f>
        <v>0</v>
      </c>
      <c r="W133" s="80">
        <f>SUMIFS('октябрь 2024'!$G$5:$G$2162,'октябрь 2024'!$D$5:$D$2162,$B133,'октябрь 2024'!$J$5:$J$2162,W$1)</f>
        <v>0</v>
      </c>
      <c r="X133" s="80">
        <f>SUMIFS('октябрь 2024'!$G$5:$G$2162,'октябрь 2024'!$D$5:$D$2162,$B133,'октябрь 2024'!$J$5:$J$2162,X$1)</f>
        <v>0</v>
      </c>
      <c r="Y133" s="80">
        <f>SUMIFS('октябрь 2024'!$G$5:$G$2162,'октябрь 2024'!$D$5:$D$2162,$B133,'октябрь 2024'!$J$5:$J$2162,Y$1)</f>
        <v>0</v>
      </c>
      <c r="Z133" s="80">
        <f>SUMIFS('октябрь 2024'!$G$5:$G$2162,'октябрь 2024'!$D$5:$D$2162,$B133,'октябрь 2024'!$J$5:$J$2162,Z$1)</f>
        <v>0</v>
      </c>
      <c r="AA133" s="80">
        <f>SUMIFS('октябрь 2024'!$G$5:$G$2162,'октябрь 2024'!$D$5:$D$2162,$B133,'октябрь 2024'!$J$5:$J$2162,AA$1)</f>
        <v>0</v>
      </c>
      <c r="AB133" s="80">
        <f>SUMIFS('октябрь 2024'!$G$5:$G$2162,'октябрь 2024'!$D$5:$D$2162,$B133,'октябрь 2024'!$J$5:$J$2162,AB$1)</f>
        <v>0</v>
      </c>
      <c r="AC133" s="80">
        <f>SUMIFS('октябрь 2024'!$G$5:$G$2162,'октябрь 2024'!$D$5:$D$2162,$B133,'октябрь 2024'!$J$5:$J$2162,AC$1)</f>
        <v>0</v>
      </c>
      <c r="AD133" s="80">
        <f>SUMIFS('октябрь 2024'!$G$5:$G$2162,'октябрь 2024'!$D$5:$D$2162,$B133,'октябрь 2024'!$J$5:$J$2162,AD$1)</f>
        <v>0</v>
      </c>
      <c r="AE133" s="80">
        <f>SUMIFS('октябрь 2024'!$G$5:$G$2162,'октябрь 2024'!$D$5:$D$2162,$B133,'октябрь 2024'!$J$5:$J$2162,AE$1)</f>
        <v>0</v>
      </c>
      <c r="AF133" s="80">
        <f>SUMIFS('октябрь 2024'!$G$5:$G$2162,'октябрь 2024'!$D$5:$D$2162,$B133,'октябрь 2024'!$J$5:$J$2162,AF$1)</f>
        <v>0</v>
      </c>
      <c r="AG133" s="80">
        <f>SUMIFS('октябрь 2024'!$G$5:$G$2162,'октябрь 2024'!$D$5:$D$2162,$B133,'октябрь 2024'!$J$5:$J$2162,AG$1)</f>
        <v>0</v>
      </c>
      <c r="AH133" s="80">
        <f>SUMIFS('октябрь 2024'!$G$5:$G$2162,'октябрь 2024'!$D$5:$D$2162,$B133,'октябрь 2024'!$J$5:$J$2162,AH$1)</f>
        <v>0</v>
      </c>
      <c r="AI133" s="21">
        <f t="shared" si="1"/>
        <v>0</v>
      </c>
    </row>
    <row r="134" spans="2:35" ht="15" customHeight="1" x14ac:dyDescent="0.25">
      <c r="B134" s="93" t="s">
        <v>334</v>
      </c>
      <c r="C134" s="91">
        <v>190</v>
      </c>
      <c r="D134" s="80">
        <f>SUMIFS('октябрь 2024'!$G$5:$G$2162,'октябрь 2024'!$D$5:$D$2162,$B134,'октябрь 2024'!$J$5:$J$2162,D$1)</f>
        <v>0</v>
      </c>
      <c r="E134" s="80">
        <f>SUMIFS('октябрь 2024'!$G$5:$G$2162,'октябрь 2024'!$D$5:$D$2162,$B134,'октябрь 2024'!$J$5:$J$2162,E$1)</f>
        <v>0</v>
      </c>
      <c r="F134" s="80">
        <f>SUMIFS('октябрь 2024'!$G$5:$G$2162,'октябрь 2024'!$D$5:$D$2162,$B134,'октябрь 2024'!$J$5:$J$2162,F$1)</f>
        <v>0</v>
      </c>
      <c r="G134" s="80">
        <f>SUMIFS('октябрь 2024'!$G$5:$G$2162,'октябрь 2024'!$D$5:$D$2162,$B134,'октябрь 2024'!$J$5:$J$2162,G$1)</f>
        <v>0</v>
      </c>
      <c r="H134" s="80">
        <f>SUMIFS('октябрь 2024'!$G$5:$G$2162,'октябрь 2024'!$D$5:$D$2162,$B134,'октябрь 2024'!$J$5:$J$2162,H$1)</f>
        <v>0</v>
      </c>
      <c r="I134" s="80">
        <f>SUMIFS('октябрь 2024'!$G$5:$G$2162,'октябрь 2024'!$D$5:$D$2162,$B134,'октябрь 2024'!$J$5:$J$2162,I$1)</f>
        <v>0</v>
      </c>
      <c r="J134" s="80">
        <f>SUMIFS('октябрь 2024'!$G$5:$G$2162,'октябрь 2024'!$D$5:$D$2162,$B134,'октябрь 2024'!$J$5:$J$2162,J$1)</f>
        <v>0</v>
      </c>
      <c r="K134" s="80">
        <f>SUMIFS('октябрь 2024'!$G$5:$G$2162,'октябрь 2024'!$D$5:$D$2162,$B134,'октябрь 2024'!$J$5:$J$2162,K$1)</f>
        <v>0</v>
      </c>
      <c r="L134" s="80">
        <f>SUMIFS('октябрь 2024'!$G$5:$G$2162,'октябрь 2024'!$D$5:$D$2162,$B134,'октябрь 2024'!$J$5:$J$2162,L$1)</f>
        <v>0</v>
      </c>
      <c r="M134" s="80">
        <f>SUMIFS('октябрь 2024'!$G$5:$G$2162,'октябрь 2024'!$D$5:$D$2162,$B134,'октябрь 2024'!$J$5:$J$2162,M$1)</f>
        <v>0</v>
      </c>
      <c r="N134" s="80">
        <f>SUMIFS('октябрь 2024'!$G$5:$G$2162,'октябрь 2024'!$D$5:$D$2162,$B134,'октябрь 2024'!$J$5:$J$2162,N$1)</f>
        <v>0</v>
      </c>
      <c r="O134" s="80">
        <f>SUMIFS('октябрь 2024'!$G$5:$G$2162,'октябрь 2024'!$D$5:$D$2162,$B134,'октябрь 2024'!$J$5:$J$2162,O$1)</f>
        <v>0</v>
      </c>
      <c r="P134" s="80">
        <f>SUMIFS('октябрь 2024'!$G$5:$G$2162,'октябрь 2024'!$D$5:$D$2162,$B134,'октябрь 2024'!$J$5:$J$2162,P$1)</f>
        <v>0</v>
      </c>
      <c r="Q134" s="80">
        <f>SUMIFS('октябрь 2024'!$G$5:$G$2162,'октябрь 2024'!$D$5:$D$2162,$B134,'октябрь 2024'!$J$5:$J$2162,Q$1)</f>
        <v>0</v>
      </c>
      <c r="R134" s="80">
        <f>SUMIFS('октябрь 2024'!$G$5:$G$2162,'октябрь 2024'!$D$5:$D$2162,$B134,'октябрь 2024'!$J$5:$J$2162,R$1)</f>
        <v>0</v>
      </c>
      <c r="S134" s="80">
        <f>SUMIFS('октябрь 2024'!$G$5:$G$2162,'октябрь 2024'!$D$5:$D$2162,$B134,'октябрь 2024'!$J$5:$J$2162,S$1)</f>
        <v>0</v>
      </c>
      <c r="T134" s="80">
        <f>SUMIFS('октябрь 2024'!$G$5:$G$2162,'октябрь 2024'!$D$5:$D$2162,$B134,'октябрь 2024'!$J$5:$J$2162,T$1)</f>
        <v>0</v>
      </c>
      <c r="U134" s="80">
        <f>SUMIFS('октябрь 2024'!$G$5:$G$2162,'октябрь 2024'!$D$5:$D$2162,$B134,'октябрь 2024'!$J$5:$J$2162,U$1)</f>
        <v>0</v>
      </c>
      <c r="V134" s="80">
        <f>SUMIFS('октябрь 2024'!$G$5:$G$2162,'октябрь 2024'!$D$5:$D$2162,$B134,'октябрь 2024'!$J$5:$J$2162,V$1)</f>
        <v>0</v>
      </c>
      <c r="W134" s="80">
        <f>SUMIFS('октябрь 2024'!$G$5:$G$2162,'октябрь 2024'!$D$5:$D$2162,$B134,'октябрь 2024'!$J$5:$J$2162,W$1)</f>
        <v>0</v>
      </c>
      <c r="X134" s="80">
        <f>SUMIFS('октябрь 2024'!$G$5:$G$2162,'октябрь 2024'!$D$5:$D$2162,$B134,'октябрь 2024'!$J$5:$J$2162,X$1)</f>
        <v>0</v>
      </c>
      <c r="Y134" s="80">
        <f>SUMIFS('октябрь 2024'!$G$5:$G$2162,'октябрь 2024'!$D$5:$D$2162,$B134,'октябрь 2024'!$J$5:$J$2162,Y$1)</f>
        <v>0</v>
      </c>
      <c r="Z134" s="80">
        <f>SUMIFS('октябрь 2024'!$G$5:$G$2162,'октябрь 2024'!$D$5:$D$2162,$B134,'октябрь 2024'!$J$5:$J$2162,Z$1)</f>
        <v>0</v>
      </c>
      <c r="AA134" s="80">
        <f>SUMIFS('октябрь 2024'!$G$5:$G$2162,'октябрь 2024'!$D$5:$D$2162,$B134,'октябрь 2024'!$J$5:$J$2162,AA$1)</f>
        <v>0</v>
      </c>
      <c r="AB134" s="80">
        <f>SUMIFS('октябрь 2024'!$G$5:$G$2162,'октябрь 2024'!$D$5:$D$2162,$B134,'октябрь 2024'!$J$5:$J$2162,AB$1)</f>
        <v>0</v>
      </c>
      <c r="AC134" s="80">
        <f>SUMIFS('октябрь 2024'!$G$5:$G$2162,'октябрь 2024'!$D$5:$D$2162,$B134,'октябрь 2024'!$J$5:$J$2162,AC$1)</f>
        <v>0</v>
      </c>
      <c r="AD134" s="80">
        <f>SUMIFS('октябрь 2024'!$G$5:$G$2162,'октябрь 2024'!$D$5:$D$2162,$B134,'октябрь 2024'!$J$5:$J$2162,AD$1)</f>
        <v>0</v>
      </c>
      <c r="AE134" s="80">
        <f>SUMIFS('октябрь 2024'!$G$5:$G$2162,'октябрь 2024'!$D$5:$D$2162,$B134,'октябрь 2024'!$J$5:$J$2162,AE$1)</f>
        <v>0</v>
      </c>
      <c r="AF134" s="80">
        <f>SUMIFS('октябрь 2024'!$G$5:$G$2162,'октябрь 2024'!$D$5:$D$2162,$B134,'октябрь 2024'!$J$5:$J$2162,AF$1)</f>
        <v>0</v>
      </c>
      <c r="AG134" s="80">
        <f>SUMIFS('октябрь 2024'!$G$5:$G$2162,'октябрь 2024'!$D$5:$D$2162,$B134,'октябрь 2024'!$J$5:$J$2162,AG$1)</f>
        <v>0</v>
      </c>
      <c r="AH134" s="80">
        <f>SUMIFS('октябрь 2024'!$G$5:$G$2162,'октябрь 2024'!$D$5:$D$2162,$B134,'октябрь 2024'!$J$5:$J$2162,AH$1)</f>
        <v>0</v>
      </c>
      <c r="AI134" s="21">
        <f t="shared" si="1"/>
        <v>0</v>
      </c>
    </row>
    <row r="135" spans="2:35" ht="16.899999999999999" customHeight="1" x14ac:dyDescent="0.25">
      <c r="B135" s="89" t="s">
        <v>335</v>
      </c>
      <c r="C135" s="88">
        <v>200</v>
      </c>
      <c r="D135" s="80">
        <f>SUMIFS('октябрь 2024'!$G$5:$G$2162,'октябрь 2024'!$D$5:$D$2162,$B135,'октябрь 2024'!$J$5:$J$2162,D$1)</f>
        <v>0</v>
      </c>
      <c r="E135" s="80">
        <f>SUMIFS('октябрь 2024'!$G$5:$G$2162,'октябрь 2024'!$D$5:$D$2162,$B135,'октябрь 2024'!$J$5:$J$2162,E$1)</f>
        <v>0</v>
      </c>
      <c r="F135" s="80">
        <f>SUMIFS('октябрь 2024'!$G$5:$G$2162,'октябрь 2024'!$D$5:$D$2162,$B135,'октябрь 2024'!$J$5:$J$2162,F$1)</f>
        <v>0</v>
      </c>
      <c r="G135" s="80">
        <f>SUMIFS('октябрь 2024'!$G$5:$G$2162,'октябрь 2024'!$D$5:$D$2162,$B135,'октябрь 2024'!$J$5:$J$2162,G$1)</f>
        <v>0</v>
      </c>
      <c r="H135" s="80">
        <f>SUMIFS('октябрь 2024'!$G$5:$G$2162,'октябрь 2024'!$D$5:$D$2162,$B135,'октябрь 2024'!$J$5:$J$2162,H$1)</f>
        <v>0</v>
      </c>
      <c r="I135" s="80">
        <f>SUMIFS('октябрь 2024'!$G$5:$G$2162,'октябрь 2024'!$D$5:$D$2162,$B135,'октябрь 2024'!$J$5:$J$2162,I$1)</f>
        <v>0</v>
      </c>
      <c r="J135" s="80">
        <f>SUMIFS('октябрь 2024'!$G$5:$G$2162,'октябрь 2024'!$D$5:$D$2162,$B135,'октябрь 2024'!$J$5:$J$2162,J$1)</f>
        <v>0</v>
      </c>
      <c r="K135" s="80">
        <f>SUMIFS('октябрь 2024'!$G$5:$G$2162,'октябрь 2024'!$D$5:$D$2162,$B135,'октябрь 2024'!$J$5:$J$2162,K$1)</f>
        <v>0</v>
      </c>
      <c r="L135" s="80">
        <f>SUMIFS('октябрь 2024'!$G$5:$G$2162,'октябрь 2024'!$D$5:$D$2162,$B135,'октябрь 2024'!$J$5:$J$2162,L$1)</f>
        <v>0</v>
      </c>
      <c r="M135" s="80">
        <f>SUMIFS('октябрь 2024'!$G$5:$G$2162,'октябрь 2024'!$D$5:$D$2162,$B135,'октябрь 2024'!$J$5:$J$2162,M$1)</f>
        <v>0</v>
      </c>
      <c r="N135" s="80">
        <f>SUMIFS('октябрь 2024'!$G$5:$G$2162,'октябрь 2024'!$D$5:$D$2162,$B135,'октябрь 2024'!$J$5:$J$2162,N$1)</f>
        <v>0</v>
      </c>
      <c r="O135" s="80">
        <f>SUMIFS('октябрь 2024'!$G$5:$G$2162,'октябрь 2024'!$D$5:$D$2162,$B135,'октябрь 2024'!$J$5:$J$2162,O$1)</f>
        <v>0</v>
      </c>
      <c r="P135" s="80">
        <f>SUMIFS('октябрь 2024'!$G$5:$G$2162,'октябрь 2024'!$D$5:$D$2162,$B135,'октябрь 2024'!$J$5:$J$2162,P$1)</f>
        <v>0</v>
      </c>
      <c r="Q135" s="80">
        <f>SUMIFS('октябрь 2024'!$G$5:$G$2162,'октябрь 2024'!$D$5:$D$2162,$B135,'октябрь 2024'!$J$5:$J$2162,Q$1)</f>
        <v>0</v>
      </c>
      <c r="R135" s="80">
        <f>SUMIFS('октябрь 2024'!$G$5:$G$2162,'октябрь 2024'!$D$5:$D$2162,$B135,'октябрь 2024'!$J$5:$J$2162,R$1)</f>
        <v>0</v>
      </c>
      <c r="S135" s="80">
        <f>SUMIFS('октябрь 2024'!$G$5:$G$2162,'октябрь 2024'!$D$5:$D$2162,$B135,'октябрь 2024'!$J$5:$J$2162,S$1)</f>
        <v>0</v>
      </c>
      <c r="T135" s="80">
        <f>SUMIFS('октябрь 2024'!$G$5:$G$2162,'октябрь 2024'!$D$5:$D$2162,$B135,'октябрь 2024'!$J$5:$J$2162,T$1)</f>
        <v>0</v>
      </c>
      <c r="U135" s="80">
        <f>SUMIFS('октябрь 2024'!$G$5:$G$2162,'октябрь 2024'!$D$5:$D$2162,$B135,'октябрь 2024'!$J$5:$J$2162,U$1)</f>
        <v>0</v>
      </c>
      <c r="V135" s="80">
        <f>SUMIFS('октябрь 2024'!$G$5:$G$2162,'октябрь 2024'!$D$5:$D$2162,$B135,'октябрь 2024'!$J$5:$J$2162,V$1)</f>
        <v>0</v>
      </c>
      <c r="W135" s="80">
        <f>SUMIFS('октябрь 2024'!$G$5:$G$2162,'октябрь 2024'!$D$5:$D$2162,$B135,'октябрь 2024'!$J$5:$J$2162,W$1)</f>
        <v>0</v>
      </c>
      <c r="X135" s="80">
        <f>SUMIFS('октябрь 2024'!$G$5:$G$2162,'октябрь 2024'!$D$5:$D$2162,$B135,'октябрь 2024'!$J$5:$J$2162,X$1)</f>
        <v>0</v>
      </c>
      <c r="Y135" s="80">
        <f>SUMIFS('октябрь 2024'!$G$5:$G$2162,'октябрь 2024'!$D$5:$D$2162,$B135,'октябрь 2024'!$J$5:$J$2162,Y$1)</f>
        <v>0</v>
      </c>
      <c r="Z135" s="80">
        <f>SUMIFS('октябрь 2024'!$G$5:$G$2162,'октябрь 2024'!$D$5:$D$2162,$B135,'октябрь 2024'!$J$5:$J$2162,Z$1)</f>
        <v>0</v>
      </c>
      <c r="AA135" s="80">
        <f>SUMIFS('октябрь 2024'!$G$5:$G$2162,'октябрь 2024'!$D$5:$D$2162,$B135,'октябрь 2024'!$J$5:$J$2162,AA$1)</f>
        <v>0</v>
      </c>
      <c r="AB135" s="80">
        <f>SUMIFS('октябрь 2024'!$G$5:$G$2162,'октябрь 2024'!$D$5:$D$2162,$B135,'октябрь 2024'!$J$5:$J$2162,AB$1)</f>
        <v>0</v>
      </c>
      <c r="AC135" s="80">
        <f>SUMIFS('октябрь 2024'!$G$5:$G$2162,'октябрь 2024'!$D$5:$D$2162,$B135,'октябрь 2024'!$J$5:$J$2162,AC$1)</f>
        <v>0</v>
      </c>
      <c r="AD135" s="80">
        <f>SUMIFS('октябрь 2024'!$G$5:$G$2162,'октябрь 2024'!$D$5:$D$2162,$B135,'октябрь 2024'!$J$5:$J$2162,AD$1)</f>
        <v>0</v>
      </c>
      <c r="AE135" s="80">
        <f>SUMIFS('октябрь 2024'!$G$5:$G$2162,'октябрь 2024'!$D$5:$D$2162,$B135,'октябрь 2024'!$J$5:$J$2162,AE$1)</f>
        <v>0</v>
      </c>
      <c r="AF135" s="80">
        <f>SUMIFS('октябрь 2024'!$G$5:$G$2162,'октябрь 2024'!$D$5:$D$2162,$B135,'октябрь 2024'!$J$5:$J$2162,AF$1)</f>
        <v>0</v>
      </c>
      <c r="AG135" s="80">
        <f>SUMIFS('октябрь 2024'!$G$5:$G$2162,'октябрь 2024'!$D$5:$D$2162,$B135,'октябрь 2024'!$J$5:$J$2162,AG$1)</f>
        <v>0</v>
      </c>
      <c r="AH135" s="80">
        <f>SUMIFS('октябрь 2024'!$G$5:$G$2162,'октябрь 2024'!$D$5:$D$2162,$B135,'октябрь 2024'!$J$5:$J$2162,AH$1)</f>
        <v>0</v>
      </c>
      <c r="AI135" s="21">
        <f t="shared" si="1"/>
        <v>0</v>
      </c>
    </row>
    <row r="136" spans="2:35" ht="16.899999999999999" customHeight="1" x14ac:dyDescent="0.25">
      <c r="B136" s="89" t="s">
        <v>340</v>
      </c>
      <c r="C136" s="88">
        <v>200</v>
      </c>
      <c r="D136" s="80">
        <f>SUMIFS('октябрь 2024'!$G$5:$G$2162,'октябрь 2024'!$D$5:$D$2162,$B136,'октябрь 2024'!$J$5:$J$2162,D$1)</f>
        <v>0</v>
      </c>
      <c r="E136" s="80">
        <f>SUMIFS('октябрь 2024'!$G$5:$G$2162,'октябрь 2024'!$D$5:$D$2162,$B136,'октябрь 2024'!$J$5:$J$2162,E$1)</f>
        <v>0</v>
      </c>
      <c r="F136" s="80">
        <f>SUMIFS('октябрь 2024'!$G$5:$G$2162,'октябрь 2024'!$D$5:$D$2162,$B136,'октябрь 2024'!$J$5:$J$2162,F$1)</f>
        <v>0</v>
      </c>
      <c r="G136" s="80">
        <f>SUMIFS('октябрь 2024'!$G$5:$G$2162,'октябрь 2024'!$D$5:$D$2162,$B136,'октябрь 2024'!$J$5:$J$2162,G$1)</f>
        <v>0</v>
      </c>
      <c r="H136" s="80">
        <f>SUMIFS('октябрь 2024'!$G$5:$G$2162,'октябрь 2024'!$D$5:$D$2162,$B136,'октябрь 2024'!$J$5:$J$2162,H$1)</f>
        <v>0</v>
      </c>
      <c r="I136" s="80">
        <f>SUMIFS('октябрь 2024'!$G$5:$G$2162,'октябрь 2024'!$D$5:$D$2162,$B136,'октябрь 2024'!$J$5:$J$2162,I$1)</f>
        <v>0</v>
      </c>
      <c r="J136" s="80">
        <f>SUMIFS('октябрь 2024'!$G$5:$G$2162,'октябрь 2024'!$D$5:$D$2162,$B136,'октябрь 2024'!$J$5:$J$2162,J$1)</f>
        <v>0</v>
      </c>
      <c r="K136" s="80">
        <f>SUMIFS('октябрь 2024'!$G$5:$G$2162,'октябрь 2024'!$D$5:$D$2162,$B136,'октябрь 2024'!$J$5:$J$2162,K$1)</f>
        <v>0</v>
      </c>
      <c r="L136" s="80">
        <f>SUMIFS('октябрь 2024'!$G$5:$G$2162,'октябрь 2024'!$D$5:$D$2162,$B136,'октябрь 2024'!$J$5:$J$2162,L$1)</f>
        <v>0</v>
      </c>
      <c r="M136" s="80">
        <f>SUMIFS('октябрь 2024'!$G$5:$G$2162,'октябрь 2024'!$D$5:$D$2162,$B136,'октябрь 2024'!$J$5:$J$2162,M$1)</f>
        <v>0</v>
      </c>
      <c r="N136" s="80">
        <f>SUMIFS('октябрь 2024'!$G$5:$G$2162,'октябрь 2024'!$D$5:$D$2162,$B136,'октябрь 2024'!$J$5:$J$2162,N$1)</f>
        <v>0</v>
      </c>
      <c r="O136" s="80">
        <f>SUMIFS('октябрь 2024'!$G$5:$G$2162,'октябрь 2024'!$D$5:$D$2162,$B136,'октябрь 2024'!$J$5:$J$2162,O$1)</f>
        <v>0</v>
      </c>
      <c r="P136" s="80">
        <f>SUMIFS('октябрь 2024'!$G$5:$G$2162,'октябрь 2024'!$D$5:$D$2162,$B136,'октябрь 2024'!$J$5:$J$2162,P$1)</f>
        <v>0</v>
      </c>
      <c r="Q136" s="80">
        <f>SUMIFS('октябрь 2024'!$G$5:$G$2162,'октябрь 2024'!$D$5:$D$2162,$B136,'октябрь 2024'!$J$5:$J$2162,Q$1)</f>
        <v>0</v>
      </c>
      <c r="R136" s="80">
        <f>SUMIFS('октябрь 2024'!$G$5:$G$2162,'октябрь 2024'!$D$5:$D$2162,$B136,'октябрь 2024'!$J$5:$J$2162,R$1)</f>
        <v>0</v>
      </c>
      <c r="S136" s="80">
        <f>SUMIFS('октябрь 2024'!$G$5:$G$2162,'октябрь 2024'!$D$5:$D$2162,$B136,'октябрь 2024'!$J$5:$J$2162,S$1)</f>
        <v>0</v>
      </c>
      <c r="T136" s="80">
        <f>SUMIFS('октябрь 2024'!$G$5:$G$2162,'октябрь 2024'!$D$5:$D$2162,$B136,'октябрь 2024'!$J$5:$J$2162,T$1)</f>
        <v>0</v>
      </c>
      <c r="U136" s="80">
        <f>SUMIFS('октябрь 2024'!$G$5:$G$2162,'октябрь 2024'!$D$5:$D$2162,$B136,'октябрь 2024'!$J$5:$J$2162,U$1)</f>
        <v>0</v>
      </c>
      <c r="V136" s="80">
        <f>SUMIFS('октябрь 2024'!$G$5:$G$2162,'октябрь 2024'!$D$5:$D$2162,$B136,'октябрь 2024'!$J$5:$J$2162,V$1)</f>
        <v>0</v>
      </c>
      <c r="W136" s="80">
        <f>SUMIFS('октябрь 2024'!$G$5:$G$2162,'октябрь 2024'!$D$5:$D$2162,$B136,'октябрь 2024'!$J$5:$J$2162,W$1)</f>
        <v>0</v>
      </c>
      <c r="X136" s="80">
        <f>SUMIFS('октябрь 2024'!$G$5:$G$2162,'октябрь 2024'!$D$5:$D$2162,$B136,'октябрь 2024'!$J$5:$J$2162,X$1)</f>
        <v>0</v>
      </c>
      <c r="Y136" s="80">
        <f>SUMIFS('октябрь 2024'!$G$5:$G$2162,'октябрь 2024'!$D$5:$D$2162,$B136,'октябрь 2024'!$J$5:$J$2162,Y$1)</f>
        <v>0</v>
      </c>
      <c r="Z136" s="80">
        <f>SUMIFS('октябрь 2024'!$G$5:$G$2162,'октябрь 2024'!$D$5:$D$2162,$B136,'октябрь 2024'!$J$5:$J$2162,Z$1)</f>
        <v>0</v>
      </c>
      <c r="AA136" s="80">
        <f>SUMIFS('октябрь 2024'!$G$5:$G$2162,'октябрь 2024'!$D$5:$D$2162,$B136,'октябрь 2024'!$J$5:$J$2162,AA$1)</f>
        <v>0</v>
      </c>
      <c r="AB136" s="80">
        <f>SUMIFS('октябрь 2024'!$G$5:$G$2162,'октябрь 2024'!$D$5:$D$2162,$B136,'октябрь 2024'!$J$5:$J$2162,AB$1)</f>
        <v>0</v>
      </c>
      <c r="AC136" s="80">
        <f>SUMIFS('октябрь 2024'!$G$5:$G$2162,'октябрь 2024'!$D$5:$D$2162,$B136,'октябрь 2024'!$J$5:$J$2162,AC$1)</f>
        <v>0</v>
      </c>
      <c r="AD136" s="80">
        <f>SUMIFS('октябрь 2024'!$G$5:$G$2162,'октябрь 2024'!$D$5:$D$2162,$B136,'октябрь 2024'!$J$5:$J$2162,AD$1)</f>
        <v>0</v>
      </c>
      <c r="AE136" s="80">
        <f>SUMIFS('октябрь 2024'!$G$5:$G$2162,'октябрь 2024'!$D$5:$D$2162,$B136,'октябрь 2024'!$J$5:$J$2162,AE$1)</f>
        <v>0</v>
      </c>
      <c r="AF136" s="80">
        <f>SUMIFS('октябрь 2024'!$G$5:$G$2162,'октябрь 2024'!$D$5:$D$2162,$B136,'октябрь 2024'!$J$5:$J$2162,AF$1)</f>
        <v>0</v>
      </c>
      <c r="AG136" s="80">
        <f>SUMIFS('октябрь 2024'!$G$5:$G$2162,'октябрь 2024'!$D$5:$D$2162,$B136,'октябрь 2024'!$J$5:$J$2162,AG$1)</f>
        <v>0</v>
      </c>
      <c r="AH136" s="80">
        <f>SUMIFS('октябрь 2024'!$G$5:$G$2162,'октябрь 2024'!$D$5:$D$2162,$B136,'октябрь 2024'!$J$5:$J$2162,AH$1)</f>
        <v>0</v>
      </c>
      <c r="AI136" s="21">
        <f t="shared" si="1"/>
        <v>0</v>
      </c>
    </row>
    <row r="137" spans="2:35" ht="16.899999999999999" customHeight="1" x14ac:dyDescent="0.25">
      <c r="B137" s="89" t="s">
        <v>336</v>
      </c>
      <c r="C137" s="88">
        <v>200</v>
      </c>
      <c r="D137" s="80">
        <f>SUMIFS('октябрь 2024'!$G$5:$G$2162,'октябрь 2024'!$D$5:$D$2162,$B137,'октябрь 2024'!$J$5:$J$2162,D$1)</f>
        <v>0</v>
      </c>
      <c r="E137" s="80">
        <f>SUMIFS('октябрь 2024'!$G$5:$G$2162,'октябрь 2024'!$D$5:$D$2162,$B137,'октябрь 2024'!$J$5:$J$2162,E$1)</f>
        <v>0</v>
      </c>
      <c r="F137" s="80">
        <f>SUMIFS('октябрь 2024'!$G$5:$G$2162,'октябрь 2024'!$D$5:$D$2162,$B137,'октябрь 2024'!$J$5:$J$2162,F$1)</f>
        <v>0</v>
      </c>
      <c r="G137" s="80">
        <f>SUMIFS('октябрь 2024'!$G$5:$G$2162,'октябрь 2024'!$D$5:$D$2162,$B137,'октябрь 2024'!$J$5:$J$2162,G$1)</f>
        <v>0</v>
      </c>
      <c r="H137" s="80">
        <f>SUMIFS('октябрь 2024'!$G$5:$G$2162,'октябрь 2024'!$D$5:$D$2162,$B137,'октябрь 2024'!$J$5:$J$2162,H$1)</f>
        <v>0</v>
      </c>
      <c r="I137" s="80">
        <f>SUMIFS('октябрь 2024'!$G$5:$G$2162,'октябрь 2024'!$D$5:$D$2162,$B137,'октябрь 2024'!$J$5:$J$2162,I$1)</f>
        <v>0</v>
      </c>
      <c r="J137" s="80">
        <f>SUMIFS('октябрь 2024'!$G$5:$G$2162,'октябрь 2024'!$D$5:$D$2162,$B137,'октябрь 2024'!$J$5:$J$2162,J$1)</f>
        <v>0</v>
      </c>
      <c r="K137" s="80">
        <f>SUMIFS('октябрь 2024'!$G$5:$G$2162,'октябрь 2024'!$D$5:$D$2162,$B137,'октябрь 2024'!$J$5:$J$2162,K$1)</f>
        <v>0</v>
      </c>
      <c r="L137" s="80">
        <f>SUMIFS('октябрь 2024'!$G$5:$G$2162,'октябрь 2024'!$D$5:$D$2162,$B137,'октябрь 2024'!$J$5:$J$2162,L$1)</f>
        <v>0</v>
      </c>
      <c r="M137" s="80">
        <f>SUMIFS('октябрь 2024'!$G$5:$G$2162,'октябрь 2024'!$D$5:$D$2162,$B137,'октябрь 2024'!$J$5:$J$2162,M$1)</f>
        <v>0</v>
      </c>
      <c r="N137" s="80">
        <f>SUMIFS('октябрь 2024'!$G$5:$G$2162,'октябрь 2024'!$D$5:$D$2162,$B137,'октябрь 2024'!$J$5:$J$2162,N$1)</f>
        <v>0</v>
      </c>
      <c r="O137" s="80">
        <f>SUMIFS('октябрь 2024'!$G$5:$G$2162,'октябрь 2024'!$D$5:$D$2162,$B137,'октябрь 2024'!$J$5:$J$2162,O$1)</f>
        <v>0</v>
      </c>
      <c r="P137" s="80">
        <f>SUMIFS('октябрь 2024'!$G$5:$G$2162,'октябрь 2024'!$D$5:$D$2162,$B137,'октябрь 2024'!$J$5:$J$2162,P$1)</f>
        <v>0</v>
      </c>
      <c r="Q137" s="80">
        <f>SUMIFS('октябрь 2024'!$G$5:$G$2162,'октябрь 2024'!$D$5:$D$2162,$B137,'октябрь 2024'!$J$5:$J$2162,Q$1)</f>
        <v>0</v>
      </c>
      <c r="R137" s="80">
        <f>SUMIFS('октябрь 2024'!$G$5:$G$2162,'октябрь 2024'!$D$5:$D$2162,$B137,'октябрь 2024'!$J$5:$J$2162,R$1)</f>
        <v>0</v>
      </c>
      <c r="S137" s="80">
        <f>SUMIFS('октябрь 2024'!$G$5:$G$2162,'октябрь 2024'!$D$5:$D$2162,$B137,'октябрь 2024'!$J$5:$J$2162,S$1)</f>
        <v>0</v>
      </c>
      <c r="T137" s="80">
        <f>SUMIFS('октябрь 2024'!$G$5:$G$2162,'октябрь 2024'!$D$5:$D$2162,$B137,'октябрь 2024'!$J$5:$J$2162,T$1)</f>
        <v>0</v>
      </c>
      <c r="U137" s="80">
        <f>SUMIFS('октябрь 2024'!$G$5:$G$2162,'октябрь 2024'!$D$5:$D$2162,$B137,'октябрь 2024'!$J$5:$J$2162,U$1)</f>
        <v>0</v>
      </c>
      <c r="V137" s="80">
        <f>SUMIFS('октябрь 2024'!$G$5:$G$2162,'октябрь 2024'!$D$5:$D$2162,$B137,'октябрь 2024'!$J$5:$J$2162,V$1)</f>
        <v>0</v>
      </c>
      <c r="W137" s="80">
        <f>SUMIFS('октябрь 2024'!$G$5:$G$2162,'октябрь 2024'!$D$5:$D$2162,$B137,'октябрь 2024'!$J$5:$J$2162,W$1)</f>
        <v>0</v>
      </c>
      <c r="X137" s="80">
        <f>SUMIFS('октябрь 2024'!$G$5:$G$2162,'октябрь 2024'!$D$5:$D$2162,$B137,'октябрь 2024'!$J$5:$J$2162,X$1)</f>
        <v>0</v>
      </c>
      <c r="Y137" s="80">
        <f>SUMIFS('октябрь 2024'!$G$5:$G$2162,'октябрь 2024'!$D$5:$D$2162,$B137,'октябрь 2024'!$J$5:$J$2162,Y$1)</f>
        <v>0</v>
      </c>
      <c r="Z137" s="80">
        <f>SUMIFS('октябрь 2024'!$G$5:$G$2162,'октябрь 2024'!$D$5:$D$2162,$B137,'октябрь 2024'!$J$5:$J$2162,Z$1)</f>
        <v>0</v>
      </c>
      <c r="AA137" s="80">
        <f>SUMIFS('октябрь 2024'!$G$5:$G$2162,'октябрь 2024'!$D$5:$D$2162,$B137,'октябрь 2024'!$J$5:$J$2162,AA$1)</f>
        <v>0</v>
      </c>
      <c r="AB137" s="80">
        <f>SUMIFS('октябрь 2024'!$G$5:$G$2162,'октябрь 2024'!$D$5:$D$2162,$B137,'октябрь 2024'!$J$5:$J$2162,AB$1)</f>
        <v>0</v>
      </c>
      <c r="AC137" s="80">
        <f>SUMIFS('октябрь 2024'!$G$5:$G$2162,'октябрь 2024'!$D$5:$D$2162,$B137,'октябрь 2024'!$J$5:$J$2162,AC$1)</f>
        <v>0</v>
      </c>
      <c r="AD137" s="80">
        <f>SUMIFS('октябрь 2024'!$G$5:$G$2162,'октябрь 2024'!$D$5:$D$2162,$B137,'октябрь 2024'!$J$5:$J$2162,AD$1)</f>
        <v>0</v>
      </c>
      <c r="AE137" s="80">
        <f>SUMIFS('октябрь 2024'!$G$5:$G$2162,'октябрь 2024'!$D$5:$D$2162,$B137,'октябрь 2024'!$J$5:$J$2162,AE$1)</f>
        <v>0</v>
      </c>
      <c r="AF137" s="80">
        <f>SUMIFS('октябрь 2024'!$G$5:$G$2162,'октябрь 2024'!$D$5:$D$2162,$B137,'октябрь 2024'!$J$5:$J$2162,AF$1)</f>
        <v>0</v>
      </c>
      <c r="AG137" s="80">
        <f>SUMIFS('октябрь 2024'!$G$5:$G$2162,'октябрь 2024'!$D$5:$D$2162,$B137,'октябрь 2024'!$J$5:$J$2162,AG$1)</f>
        <v>88</v>
      </c>
      <c r="AH137" s="80">
        <f>SUMIFS('октябрь 2024'!$G$5:$G$2162,'октябрь 2024'!$D$5:$D$2162,$B137,'октябрь 2024'!$J$5:$J$2162,AH$1)</f>
        <v>0</v>
      </c>
      <c r="AI137" s="21">
        <f t="shared" si="1"/>
        <v>88</v>
      </c>
    </row>
    <row r="138" spans="2:35" ht="15" customHeight="1" x14ac:dyDescent="0.25">
      <c r="B138" s="89" t="s">
        <v>341</v>
      </c>
      <c r="C138" s="88">
        <v>200</v>
      </c>
      <c r="D138" s="80">
        <f>SUMIFS('октябрь 2024'!$G$5:$G$2162,'октябрь 2024'!$D$5:$D$2162,$B138,'октябрь 2024'!$J$5:$J$2162,D$1)</f>
        <v>0</v>
      </c>
      <c r="E138" s="80">
        <f>SUMIFS('октябрь 2024'!$G$5:$G$2162,'октябрь 2024'!$D$5:$D$2162,$B138,'октябрь 2024'!$J$5:$J$2162,E$1)</f>
        <v>0</v>
      </c>
      <c r="F138" s="80">
        <f>SUMIFS('октябрь 2024'!$G$5:$G$2162,'октябрь 2024'!$D$5:$D$2162,$B138,'октябрь 2024'!$J$5:$J$2162,F$1)</f>
        <v>0</v>
      </c>
      <c r="G138" s="80">
        <f>SUMIFS('октябрь 2024'!$G$5:$G$2162,'октябрь 2024'!$D$5:$D$2162,$B138,'октябрь 2024'!$J$5:$J$2162,G$1)</f>
        <v>0</v>
      </c>
      <c r="H138" s="80">
        <f>SUMIFS('октябрь 2024'!$G$5:$G$2162,'октябрь 2024'!$D$5:$D$2162,$B138,'октябрь 2024'!$J$5:$J$2162,H$1)</f>
        <v>0</v>
      </c>
      <c r="I138" s="80">
        <f>SUMIFS('октябрь 2024'!$G$5:$G$2162,'октябрь 2024'!$D$5:$D$2162,$B138,'октябрь 2024'!$J$5:$J$2162,I$1)</f>
        <v>0</v>
      </c>
      <c r="J138" s="80">
        <f>SUMIFS('октябрь 2024'!$G$5:$G$2162,'октябрь 2024'!$D$5:$D$2162,$B138,'октябрь 2024'!$J$5:$J$2162,J$1)</f>
        <v>0</v>
      </c>
      <c r="K138" s="80">
        <f>SUMIFS('октябрь 2024'!$G$5:$G$2162,'октябрь 2024'!$D$5:$D$2162,$B138,'октябрь 2024'!$J$5:$J$2162,K$1)</f>
        <v>0</v>
      </c>
      <c r="L138" s="80">
        <f>SUMIFS('октябрь 2024'!$G$5:$G$2162,'октябрь 2024'!$D$5:$D$2162,$B138,'октябрь 2024'!$J$5:$J$2162,L$1)</f>
        <v>0</v>
      </c>
      <c r="M138" s="80">
        <f>SUMIFS('октябрь 2024'!$G$5:$G$2162,'октябрь 2024'!$D$5:$D$2162,$B138,'октябрь 2024'!$J$5:$J$2162,M$1)</f>
        <v>0</v>
      </c>
      <c r="N138" s="80">
        <f>SUMIFS('октябрь 2024'!$G$5:$G$2162,'октябрь 2024'!$D$5:$D$2162,$B138,'октябрь 2024'!$J$5:$J$2162,N$1)</f>
        <v>0</v>
      </c>
      <c r="O138" s="80">
        <f>SUMIFS('октябрь 2024'!$G$5:$G$2162,'октябрь 2024'!$D$5:$D$2162,$B138,'октябрь 2024'!$J$5:$J$2162,O$1)</f>
        <v>0</v>
      </c>
      <c r="P138" s="80">
        <f>SUMIFS('октябрь 2024'!$G$5:$G$2162,'октябрь 2024'!$D$5:$D$2162,$B138,'октябрь 2024'!$J$5:$J$2162,P$1)</f>
        <v>0</v>
      </c>
      <c r="Q138" s="80">
        <f>SUMIFS('октябрь 2024'!$G$5:$G$2162,'октябрь 2024'!$D$5:$D$2162,$B138,'октябрь 2024'!$J$5:$J$2162,Q$1)</f>
        <v>0</v>
      </c>
      <c r="R138" s="80">
        <f>SUMIFS('октябрь 2024'!$G$5:$G$2162,'октябрь 2024'!$D$5:$D$2162,$B138,'октябрь 2024'!$J$5:$J$2162,R$1)</f>
        <v>0</v>
      </c>
      <c r="S138" s="80">
        <f>SUMIFS('октябрь 2024'!$G$5:$G$2162,'октябрь 2024'!$D$5:$D$2162,$B138,'октябрь 2024'!$J$5:$J$2162,S$1)</f>
        <v>0</v>
      </c>
      <c r="T138" s="80">
        <f>SUMIFS('октябрь 2024'!$G$5:$G$2162,'октябрь 2024'!$D$5:$D$2162,$B138,'октябрь 2024'!$J$5:$J$2162,T$1)</f>
        <v>0</v>
      </c>
      <c r="U138" s="80">
        <f>SUMIFS('октябрь 2024'!$G$5:$G$2162,'октябрь 2024'!$D$5:$D$2162,$B138,'октябрь 2024'!$J$5:$J$2162,U$1)</f>
        <v>0</v>
      </c>
      <c r="V138" s="80">
        <f>SUMIFS('октябрь 2024'!$G$5:$G$2162,'октябрь 2024'!$D$5:$D$2162,$B138,'октябрь 2024'!$J$5:$J$2162,V$1)</f>
        <v>0</v>
      </c>
      <c r="W138" s="80">
        <f>SUMIFS('октябрь 2024'!$G$5:$G$2162,'октябрь 2024'!$D$5:$D$2162,$B138,'октябрь 2024'!$J$5:$J$2162,W$1)</f>
        <v>0</v>
      </c>
      <c r="X138" s="80">
        <f>SUMIFS('октябрь 2024'!$G$5:$G$2162,'октябрь 2024'!$D$5:$D$2162,$B138,'октябрь 2024'!$J$5:$J$2162,X$1)</f>
        <v>0</v>
      </c>
      <c r="Y138" s="80">
        <f>SUMIFS('октябрь 2024'!$G$5:$G$2162,'октябрь 2024'!$D$5:$D$2162,$B138,'октябрь 2024'!$J$5:$J$2162,Y$1)</f>
        <v>0</v>
      </c>
      <c r="Z138" s="80">
        <f>SUMIFS('октябрь 2024'!$G$5:$G$2162,'октябрь 2024'!$D$5:$D$2162,$B138,'октябрь 2024'!$J$5:$J$2162,Z$1)</f>
        <v>0</v>
      </c>
      <c r="AA138" s="80">
        <f>SUMIFS('октябрь 2024'!$G$5:$G$2162,'октябрь 2024'!$D$5:$D$2162,$B138,'октябрь 2024'!$J$5:$J$2162,AA$1)</f>
        <v>0</v>
      </c>
      <c r="AB138" s="80">
        <f>SUMIFS('октябрь 2024'!$G$5:$G$2162,'октябрь 2024'!$D$5:$D$2162,$B138,'октябрь 2024'!$J$5:$J$2162,AB$1)</f>
        <v>0</v>
      </c>
      <c r="AC138" s="80">
        <f>SUMIFS('октябрь 2024'!$G$5:$G$2162,'октябрь 2024'!$D$5:$D$2162,$B138,'октябрь 2024'!$J$5:$J$2162,AC$1)</f>
        <v>0</v>
      </c>
      <c r="AD138" s="80">
        <f>SUMIFS('октябрь 2024'!$G$5:$G$2162,'октябрь 2024'!$D$5:$D$2162,$B138,'октябрь 2024'!$J$5:$J$2162,AD$1)</f>
        <v>0</v>
      </c>
      <c r="AE138" s="80">
        <f>SUMIFS('октябрь 2024'!$G$5:$G$2162,'октябрь 2024'!$D$5:$D$2162,$B138,'октябрь 2024'!$J$5:$J$2162,AE$1)</f>
        <v>0</v>
      </c>
      <c r="AF138" s="80">
        <f>SUMIFS('октябрь 2024'!$G$5:$G$2162,'октябрь 2024'!$D$5:$D$2162,$B138,'октябрь 2024'!$J$5:$J$2162,AF$1)</f>
        <v>0</v>
      </c>
      <c r="AG138" s="80">
        <f>SUMIFS('октябрь 2024'!$G$5:$G$2162,'октябрь 2024'!$D$5:$D$2162,$B138,'октябрь 2024'!$J$5:$J$2162,AG$1)</f>
        <v>0</v>
      </c>
      <c r="AH138" s="80">
        <f>SUMIFS('октябрь 2024'!$G$5:$G$2162,'октябрь 2024'!$D$5:$D$2162,$B138,'октябрь 2024'!$J$5:$J$2162,AH$1)</f>
        <v>0</v>
      </c>
      <c r="AI138" s="21">
        <f t="shared" si="1"/>
        <v>0</v>
      </c>
    </row>
    <row r="139" spans="2:35" ht="15" customHeight="1" x14ac:dyDescent="0.25">
      <c r="B139" s="89" t="s">
        <v>337</v>
      </c>
      <c r="C139" s="88">
        <v>200</v>
      </c>
      <c r="D139" s="80">
        <f>SUMIFS('октябрь 2024'!$G$5:$G$2162,'октябрь 2024'!$D$5:$D$2162,$B139,'октябрь 2024'!$J$5:$J$2162,D$1)</f>
        <v>0</v>
      </c>
      <c r="E139" s="80">
        <f>SUMIFS('октябрь 2024'!$G$5:$G$2162,'октябрь 2024'!$D$5:$D$2162,$B139,'октябрь 2024'!$J$5:$J$2162,E$1)</f>
        <v>0</v>
      </c>
      <c r="F139" s="80">
        <f>SUMIFS('октябрь 2024'!$G$5:$G$2162,'октябрь 2024'!$D$5:$D$2162,$B139,'октябрь 2024'!$J$5:$J$2162,F$1)</f>
        <v>0</v>
      </c>
      <c r="G139" s="80">
        <f>SUMIFS('октябрь 2024'!$G$5:$G$2162,'октябрь 2024'!$D$5:$D$2162,$B139,'октябрь 2024'!$J$5:$J$2162,G$1)</f>
        <v>0</v>
      </c>
      <c r="H139" s="80">
        <f>SUMIFS('октябрь 2024'!$G$5:$G$2162,'октябрь 2024'!$D$5:$D$2162,$B139,'октябрь 2024'!$J$5:$J$2162,H$1)</f>
        <v>0</v>
      </c>
      <c r="I139" s="80">
        <f>SUMIFS('октябрь 2024'!$G$5:$G$2162,'октябрь 2024'!$D$5:$D$2162,$B139,'октябрь 2024'!$J$5:$J$2162,I$1)</f>
        <v>0</v>
      </c>
      <c r="J139" s="80">
        <f>SUMIFS('октябрь 2024'!$G$5:$G$2162,'октябрь 2024'!$D$5:$D$2162,$B139,'октябрь 2024'!$J$5:$J$2162,J$1)</f>
        <v>0</v>
      </c>
      <c r="K139" s="80">
        <f>SUMIFS('октябрь 2024'!$G$5:$G$2162,'октябрь 2024'!$D$5:$D$2162,$B139,'октябрь 2024'!$J$5:$J$2162,K$1)</f>
        <v>0</v>
      </c>
      <c r="L139" s="80">
        <f>SUMIFS('октябрь 2024'!$G$5:$G$2162,'октябрь 2024'!$D$5:$D$2162,$B139,'октябрь 2024'!$J$5:$J$2162,L$1)</f>
        <v>0</v>
      </c>
      <c r="M139" s="80">
        <f>SUMIFS('октябрь 2024'!$G$5:$G$2162,'октябрь 2024'!$D$5:$D$2162,$B139,'октябрь 2024'!$J$5:$J$2162,M$1)</f>
        <v>0</v>
      </c>
      <c r="N139" s="80">
        <f>SUMIFS('октябрь 2024'!$G$5:$G$2162,'октябрь 2024'!$D$5:$D$2162,$B139,'октябрь 2024'!$J$5:$J$2162,N$1)</f>
        <v>0</v>
      </c>
      <c r="O139" s="80">
        <f>SUMIFS('октябрь 2024'!$G$5:$G$2162,'октябрь 2024'!$D$5:$D$2162,$B139,'октябрь 2024'!$J$5:$J$2162,O$1)</f>
        <v>0</v>
      </c>
      <c r="P139" s="80">
        <f>SUMIFS('октябрь 2024'!$G$5:$G$2162,'октябрь 2024'!$D$5:$D$2162,$B139,'октябрь 2024'!$J$5:$J$2162,P$1)</f>
        <v>0</v>
      </c>
      <c r="Q139" s="80">
        <f>SUMIFS('октябрь 2024'!$G$5:$G$2162,'октябрь 2024'!$D$5:$D$2162,$B139,'октябрь 2024'!$J$5:$J$2162,Q$1)</f>
        <v>0</v>
      </c>
      <c r="R139" s="80">
        <f>SUMIFS('октябрь 2024'!$G$5:$G$2162,'октябрь 2024'!$D$5:$D$2162,$B139,'октябрь 2024'!$J$5:$J$2162,R$1)</f>
        <v>0</v>
      </c>
      <c r="S139" s="80">
        <f>SUMIFS('октябрь 2024'!$G$5:$G$2162,'октябрь 2024'!$D$5:$D$2162,$B139,'октябрь 2024'!$J$5:$J$2162,S$1)</f>
        <v>0</v>
      </c>
      <c r="T139" s="80">
        <f>SUMIFS('октябрь 2024'!$G$5:$G$2162,'октябрь 2024'!$D$5:$D$2162,$B139,'октябрь 2024'!$J$5:$J$2162,T$1)</f>
        <v>0</v>
      </c>
      <c r="U139" s="80">
        <f>SUMIFS('октябрь 2024'!$G$5:$G$2162,'октябрь 2024'!$D$5:$D$2162,$B139,'октябрь 2024'!$J$5:$J$2162,U$1)</f>
        <v>0</v>
      </c>
      <c r="V139" s="80">
        <f>SUMIFS('октябрь 2024'!$G$5:$G$2162,'октябрь 2024'!$D$5:$D$2162,$B139,'октябрь 2024'!$J$5:$J$2162,V$1)</f>
        <v>0</v>
      </c>
      <c r="W139" s="80">
        <f>SUMIFS('октябрь 2024'!$G$5:$G$2162,'октябрь 2024'!$D$5:$D$2162,$B139,'октябрь 2024'!$J$5:$J$2162,W$1)</f>
        <v>0</v>
      </c>
      <c r="X139" s="80">
        <f>SUMIFS('октябрь 2024'!$G$5:$G$2162,'октябрь 2024'!$D$5:$D$2162,$B139,'октябрь 2024'!$J$5:$J$2162,X$1)</f>
        <v>0</v>
      </c>
      <c r="Y139" s="80">
        <f>SUMIFS('октябрь 2024'!$G$5:$G$2162,'октябрь 2024'!$D$5:$D$2162,$B139,'октябрь 2024'!$J$5:$J$2162,Y$1)</f>
        <v>0</v>
      </c>
      <c r="Z139" s="80">
        <f>SUMIFS('октябрь 2024'!$G$5:$G$2162,'октябрь 2024'!$D$5:$D$2162,$B139,'октябрь 2024'!$J$5:$J$2162,Z$1)</f>
        <v>0</v>
      </c>
      <c r="AA139" s="80">
        <f>SUMIFS('октябрь 2024'!$G$5:$G$2162,'октябрь 2024'!$D$5:$D$2162,$B139,'октябрь 2024'!$J$5:$J$2162,AA$1)</f>
        <v>0</v>
      </c>
      <c r="AB139" s="80">
        <f>SUMIFS('октябрь 2024'!$G$5:$G$2162,'октябрь 2024'!$D$5:$D$2162,$B139,'октябрь 2024'!$J$5:$J$2162,AB$1)</f>
        <v>0</v>
      </c>
      <c r="AC139" s="80">
        <f>SUMIFS('октябрь 2024'!$G$5:$G$2162,'октябрь 2024'!$D$5:$D$2162,$B139,'октябрь 2024'!$J$5:$J$2162,AC$1)</f>
        <v>0</v>
      </c>
      <c r="AD139" s="80">
        <f>SUMIFS('октябрь 2024'!$G$5:$G$2162,'октябрь 2024'!$D$5:$D$2162,$B139,'октябрь 2024'!$J$5:$J$2162,AD$1)</f>
        <v>0</v>
      </c>
      <c r="AE139" s="80">
        <f>SUMIFS('октябрь 2024'!$G$5:$G$2162,'октябрь 2024'!$D$5:$D$2162,$B139,'октябрь 2024'!$J$5:$J$2162,AE$1)</f>
        <v>0</v>
      </c>
      <c r="AF139" s="80">
        <f>SUMIFS('октябрь 2024'!$G$5:$G$2162,'октябрь 2024'!$D$5:$D$2162,$B139,'октябрь 2024'!$J$5:$J$2162,AF$1)</f>
        <v>0</v>
      </c>
      <c r="AG139" s="80">
        <f>SUMIFS('октябрь 2024'!$G$5:$G$2162,'октябрь 2024'!$D$5:$D$2162,$B139,'октябрь 2024'!$J$5:$J$2162,AG$1)</f>
        <v>0</v>
      </c>
      <c r="AH139" s="80">
        <f>SUMIFS('октябрь 2024'!$G$5:$G$2162,'октябрь 2024'!$D$5:$D$2162,$B139,'октябрь 2024'!$J$5:$J$2162,AH$1)</f>
        <v>0</v>
      </c>
      <c r="AI139" s="21">
        <f t="shared" si="1"/>
        <v>0</v>
      </c>
    </row>
    <row r="140" spans="2:35" ht="15" customHeight="1" x14ac:dyDescent="0.25">
      <c r="B140" s="89" t="s">
        <v>338</v>
      </c>
      <c r="C140" s="88">
        <v>200</v>
      </c>
      <c r="D140" s="80">
        <f>SUMIFS('октябрь 2024'!$G$5:$G$2162,'октябрь 2024'!$D$5:$D$2162,$B140,'октябрь 2024'!$J$5:$J$2162,D$1)</f>
        <v>0</v>
      </c>
      <c r="E140" s="80">
        <f>SUMIFS('октябрь 2024'!$G$5:$G$2162,'октябрь 2024'!$D$5:$D$2162,$B140,'октябрь 2024'!$J$5:$J$2162,E$1)</f>
        <v>0</v>
      </c>
      <c r="F140" s="80">
        <f>SUMIFS('октябрь 2024'!$G$5:$G$2162,'октябрь 2024'!$D$5:$D$2162,$B140,'октябрь 2024'!$J$5:$J$2162,F$1)</f>
        <v>0</v>
      </c>
      <c r="G140" s="80">
        <f>SUMIFS('октябрь 2024'!$G$5:$G$2162,'октябрь 2024'!$D$5:$D$2162,$B140,'октябрь 2024'!$J$5:$J$2162,G$1)</f>
        <v>0</v>
      </c>
      <c r="H140" s="80">
        <f>SUMIFS('октябрь 2024'!$G$5:$G$2162,'октябрь 2024'!$D$5:$D$2162,$B140,'октябрь 2024'!$J$5:$J$2162,H$1)</f>
        <v>0</v>
      </c>
      <c r="I140" s="80">
        <f>SUMIFS('октябрь 2024'!$G$5:$G$2162,'октябрь 2024'!$D$5:$D$2162,$B140,'октябрь 2024'!$J$5:$J$2162,I$1)</f>
        <v>0</v>
      </c>
      <c r="J140" s="80">
        <f>SUMIFS('октябрь 2024'!$G$5:$G$2162,'октябрь 2024'!$D$5:$D$2162,$B140,'октябрь 2024'!$J$5:$J$2162,J$1)</f>
        <v>0</v>
      </c>
      <c r="K140" s="80">
        <f>SUMIFS('октябрь 2024'!$G$5:$G$2162,'октябрь 2024'!$D$5:$D$2162,$B140,'октябрь 2024'!$J$5:$J$2162,K$1)</f>
        <v>0</v>
      </c>
      <c r="L140" s="80">
        <f>SUMIFS('октябрь 2024'!$G$5:$G$2162,'октябрь 2024'!$D$5:$D$2162,$B140,'октябрь 2024'!$J$5:$J$2162,L$1)</f>
        <v>0</v>
      </c>
      <c r="M140" s="80">
        <f>SUMIFS('октябрь 2024'!$G$5:$G$2162,'октябрь 2024'!$D$5:$D$2162,$B140,'октябрь 2024'!$J$5:$J$2162,M$1)</f>
        <v>0</v>
      </c>
      <c r="N140" s="80">
        <f>SUMIFS('октябрь 2024'!$G$5:$G$2162,'октябрь 2024'!$D$5:$D$2162,$B140,'октябрь 2024'!$J$5:$J$2162,N$1)</f>
        <v>0</v>
      </c>
      <c r="O140" s="80">
        <f>SUMIFS('октябрь 2024'!$G$5:$G$2162,'октябрь 2024'!$D$5:$D$2162,$B140,'октябрь 2024'!$J$5:$J$2162,O$1)</f>
        <v>0</v>
      </c>
      <c r="P140" s="80">
        <f>SUMIFS('октябрь 2024'!$G$5:$G$2162,'октябрь 2024'!$D$5:$D$2162,$B140,'октябрь 2024'!$J$5:$J$2162,P$1)</f>
        <v>0</v>
      </c>
      <c r="Q140" s="80">
        <f>SUMIFS('октябрь 2024'!$G$5:$G$2162,'октябрь 2024'!$D$5:$D$2162,$B140,'октябрь 2024'!$J$5:$J$2162,Q$1)</f>
        <v>0</v>
      </c>
      <c r="R140" s="80">
        <f>SUMIFS('октябрь 2024'!$G$5:$G$2162,'октябрь 2024'!$D$5:$D$2162,$B140,'октябрь 2024'!$J$5:$J$2162,R$1)</f>
        <v>0</v>
      </c>
      <c r="S140" s="80">
        <f>SUMIFS('октябрь 2024'!$G$5:$G$2162,'октябрь 2024'!$D$5:$D$2162,$B140,'октябрь 2024'!$J$5:$J$2162,S$1)</f>
        <v>0</v>
      </c>
      <c r="T140" s="80">
        <f>SUMIFS('октябрь 2024'!$G$5:$G$2162,'октябрь 2024'!$D$5:$D$2162,$B140,'октябрь 2024'!$J$5:$J$2162,T$1)</f>
        <v>0</v>
      </c>
      <c r="U140" s="80">
        <f>SUMIFS('октябрь 2024'!$G$5:$G$2162,'октябрь 2024'!$D$5:$D$2162,$B140,'октябрь 2024'!$J$5:$J$2162,U$1)</f>
        <v>0</v>
      </c>
      <c r="V140" s="80">
        <f>SUMIFS('октябрь 2024'!$G$5:$G$2162,'октябрь 2024'!$D$5:$D$2162,$B140,'октябрь 2024'!$J$5:$J$2162,V$1)</f>
        <v>0</v>
      </c>
      <c r="W140" s="80">
        <f>SUMIFS('октябрь 2024'!$G$5:$G$2162,'октябрь 2024'!$D$5:$D$2162,$B140,'октябрь 2024'!$J$5:$J$2162,W$1)</f>
        <v>0</v>
      </c>
      <c r="X140" s="80">
        <f>SUMIFS('октябрь 2024'!$G$5:$G$2162,'октябрь 2024'!$D$5:$D$2162,$B140,'октябрь 2024'!$J$5:$J$2162,X$1)</f>
        <v>0</v>
      </c>
      <c r="Y140" s="80">
        <f>SUMIFS('октябрь 2024'!$G$5:$G$2162,'октябрь 2024'!$D$5:$D$2162,$B140,'октябрь 2024'!$J$5:$J$2162,Y$1)</f>
        <v>0</v>
      </c>
      <c r="Z140" s="80">
        <f>SUMIFS('октябрь 2024'!$G$5:$G$2162,'октябрь 2024'!$D$5:$D$2162,$B140,'октябрь 2024'!$J$5:$J$2162,Z$1)</f>
        <v>0</v>
      </c>
      <c r="AA140" s="80">
        <f>SUMIFS('октябрь 2024'!$G$5:$G$2162,'октябрь 2024'!$D$5:$D$2162,$B140,'октябрь 2024'!$J$5:$J$2162,AA$1)</f>
        <v>0</v>
      </c>
      <c r="AB140" s="80">
        <f>SUMIFS('октябрь 2024'!$G$5:$G$2162,'октябрь 2024'!$D$5:$D$2162,$B140,'октябрь 2024'!$J$5:$J$2162,AB$1)</f>
        <v>0</v>
      </c>
      <c r="AC140" s="80">
        <f>SUMIFS('октябрь 2024'!$G$5:$G$2162,'октябрь 2024'!$D$5:$D$2162,$B140,'октябрь 2024'!$J$5:$J$2162,AC$1)</f>
        <v>0</v>
      </c>
      <c r="AD140" s="80">
        <f>SUMIFS('октябрь 2024'!$G$5:$G$2162,'октябрь 2024'!$D$5:$D$2162,$B140,'октябрь 2024'!$J$5:$J$2162,AD$1)</f>
        <v>0</v>
      </c>
      <c r="AE140" s="80">
        <f>SUMIFS('октябрь 2024'!$G$5:$G$2162,'октябрь 2024'!$D$5:$D$2162,$B140,'октябрь 2024'!$J$5:$J$2162,AE$1)</f>
        <v>0</v>
      </c>
      <c r="AF140" s="80">
        <f>SUMIFS('октябрь 2024'!$G$5:$G$2162,'октябрь 2024'!$D$5:$D$2162,$B140,'октябрь 2024'!$J$5:$J$2162,AF$1)</f>
        <v>0</v>
      </c>
      <c r="AG140" s="80">
        <f>SUMIFS('октябрь 2024'!$G$5:$G$2162,'октябрь 2024'!$D$5:$D$2162,$B140,'октябрь 2024'!$J$5:$J$2162,AG$1)</f>
        <v>0</v>
      </c>
      <c r="AH140" s="80">
        <f>SUMIFS('октябрь 2024'!$G$5:$G$2162,'октябрь 2024'!$D$5:$D$2162,$B140,'октябрь 2024'!$J$5:$J$2162,AH$1)</f>
        <v>0</v>
      </c>
      <c r="AI140" s="21">
        <f t="shared" si="1"/>
        <v>0</v>
      </c>
    </row>
    <row r="141" spans="2:35" ht="15" customHeight="1" x14ac:dyDescent="0.25">
      <c r="B141" s="89" t="s">
        <v>1441</v>
      </c>
      <c r="C141" s="88">
        <v>1000</v>
      </c>
      <c r="D141" s="80">
        <f>SUMIFS('октябрь 2024'!$G$5:$G$2162,'октябрь 2024'!$D$5:$D$2162,$B141,'октябрь 2024'!$J$5:$J$2162,D$1)</f>
        <v>0</v>
      </c>
      <c r="E141" s="80">
        <f>SUMIFS('октябрь 2024'!$G$5:$G$2162,'октябрь 2024'!$D$5:$D$2162,$B141,'октябрь 2024'!$J$5:$J$2162,E$1)</f>
        <v>0</v>
      </c>
      <c r="F141" s="80">
        <f>SUMIFS('октябрь 2024'!$G$5:$G$2162,'октябрь 2024'!$D$5:$D$2162,$B141,'октябрь 2024'!$J$5:$J$2162,F$1)</f>
        <v>0</v>
      </c>
      <c r="G141" s="80">
        <f>SUMIFS('октябрь 2024'!$G$5:$G$2162,'октябрь 2024'!$D$5:$D$2162,$B141,'октябрь 2024'!$J$5:$J$2162,G$1)</f>
        <v>0</v>
      </c>
      <c r="H141" s="80">
        <f>SUMIFS('октябрь 2024'!$G$5:$G$2162,'октябрь 2024'!$D$5:$D$2162,$B141,'октябрь 2024'!$J$5:$J$2162,H$1)</f>
        <v>0</v>
      </c>
      <c r="I141" s="80">
        <f>SUMIFS('октябрь 2024'!$G$5:$G$2162,'октябрь 2024'!$D$5:$D$2162,$B141,'октябрь 2024'!$J$5:$J$2162,I$1)</f>
        <v>0</v>
      </c>
      <c r="J141" s="80">
        <f>SUMIFS('октябрь 2024'!$G$5:$G$2162,'октябрь 2024'!$D$5:$D$2162,$B141,'октябрь 2024'!$J$5:$J$2162,J$1)</f>
        <v>0</v>
      </c>
      <c r="K141" s="80">
        <f>SUMIFS('октябрь 2024'!$G$5:$G$2162,'октябрь 2024'!$D$5:$D$2162,$B141,'октябрь 2024'!$J$5:$J$2162,K$1)</f>
        <v>0</v>
      </c>
      <c r="L141" s="80">
        <f>SUMIFS('октябрь 2024'!$G$5:$G$2162,'октябрь 2024'!$D$5:$D$2162,$B141,'октябрь 2024'!$J$5:$J$2162,L$1)</f>
        <v>0</v>
      </c>
      <c r="M141" s="80">
        <f>SUMIFS('октябрь 2024'!$G$5:$G$2162,'октябрь 2024'!$D$5:$D$2162,$B141,'октябрь 2024'!$J$5:$J$2162,M$1)</f>
        <v>0</v>
      </c>
      <c r="N141" s="80">
        <f>SUMIFS('октябрь 2024'!$G$5:$G$2162,'октябрь 2024'!$D$5:$D$2162,$B141,'октябрь 2024'!$J$5:$J$2162,N$1)</f>
        <v>0</v>
      </c>
      <c r="O141" s="80">
        <f>SUMIFS('октябрь 2024'!$G$5:$G$2162,'октябрь 2024'!$D$5:$D$2162,$B141,'октябрь 2024'!$J$5:$J$2162,O$1)</f>
        <v>0</v>
      </c>
      <c r="P141" s="80">
        <f>SUMIFS('октябрь 2024'!$G$5:$G$2162,'октябрь 2024'!$D$5:$D$2162,$B141,'октябрь 2024'!$J$5:$J$2162,P$1)</f>
        <v>0</v>
      </c>
      <c r="Q141" s="80">
        <f>SUMIFS('октябрь 2024'!$G$5:$G$2162,'октябрь 2024'!$D$5:$D$2162,$B141,'октябрь 2024'!$J$5:$J$2162,Q$1)</f>
        <v>0</v>
      </c>
      <c r="R141" s="80">
        <f>SUMIFS('октябрь 2024'!$G$5:$G$2162,'октябрь 2024'!$D$5:$D$2162,$B141,'октябрь 2024'!$J$5:$J$2162,R$1)</f>
        <v>0</v>
      </c>
      <c r="S141" s="80">
        <f>SUMIFS('октябрь 2024'!$G$5:$G$2162,'октябрь 2024'!$D$5:$D$2162,$B141,'октябрь 2024'!$J$5:$J$2162,S$1)</f>
        <v>0</v>
      </c>
      <c r="T141" s="80">
        <f>SUMIFS('октябрь 2024'!$G$5:$G$2162,'октябрь 2024'!$D$5:$D$2162,$B141,'октябрь 2024'!$J$5:$J$2162,T$1)</f>
        <v>0</v>
      </c>
      <c r="U141" s="80">
        <f>SUMIFS('октябрь 2024'!$G$5:$G$2162,'октябрь 2024'!$D$5:$D$2162,$B141,'октябрь 2024'!$J$5:$J$2162,U$1)</f>
        <v>0</v>
      </c>
      <c r="V141" s="80">
        <f>SUMIFS('октябрь 2024'!$G$5:$G$2162,'октябрь 2024'!$D$5:$D$2162,$B141,'октябрь 2024'!$J$5:$J$2162,V$1)</f>
        <v>0</v>
      </c>
      <c r="W141" s="80">
        <f>SUMIFS('октябрь 2024'!$G$5:$G$2162,'октябрь 2024'!$D$5:$D$2162,$B141,'октябрь 2024'!$J$5:$J$2162,W$1)</f>
        <v>0</v>
      </c>
      <c r="X141" s="80">
        <f>SUMIFS('октябрь 2024'!$G$5:$G$2162,'октябрь 2024'!$D$5:$D$2162,$B141,'октябрь 2024'!$J$5:$J$2162,X$1)</f>
        <v>0</v>
      </c>
      <c r="Y141" s="80">
        <f>SUMIFS('октябрь 2024'!$G$5:$G$2162,'октябрь 2024'!$D$5:$D$2162,$B141,'октябрь 2024'!$J$5:$J$2162,Y$1)</f>
        <v>0</v>
      </c>
      <c r="Z141" s="80">
        <f>SUMIFS('октябрь 2024'!$G$5:$G$2162,'октябрь 2024'!$D$5:$D$2162,$B141,'октябрь 2024'!$J$5:$J$2162,Z$1)</f>
        <v>0</v>
      </c>
      <c r="AA141" s="80">
        <f>SUMIFS('октябрь 2024'!$G$5:$G$2162,'октябрь 2024'!$D$5:$D$2162,$B141,'октябрь 2024'!$J$5:$J$2162,AA$1)</f>
        <v>0</v>
      </c>
      <c r="AB141" s="80">
        <f>SUMIFS('октябрь 2024'!$G$5:$G$2162,'октябрь 2024'!$D$5:$D$2162,$B141,'октябрь 2024'!$J$5:$J$2162,AB$1)</f>
        <v>0</v>
      </c>
      <c r="AC141" s="80">
        <f>SUMIFS('октябрь 2024'!$G$5:$G$2162,'октябрь 2024'!$D$5:$D$2162,$B141,'октябрь 2024'!$J$5:$J$2162,AC$1)</f>
        <v>0</v>
      </c>
      <c r="AD141" s="80">
        <f>SUMIFS('октябрь 2024'!$G$5:$G$2162,'октябрь 2024'!$D$5:$D$2162,$B141,'октябрь 2024'!$J$5:$J$2162,AD$1)</f>
        <v>0</v>
      </c>
      <c r="AE141" s="80">
        <f>SUMIFS('октябрь 2024'!$G$5:$G$2162,'октябрь 2024'!$D$5:$D$2162,$B141,'октябрь 2024'!$J$5:$J$2162,AE$1)</f>
        <v>0</v>
      </c>
      <c r="AF141" s="80">
        <f>SUMIFS('октябрь 2024'!$G$5:$G$2162,'октябрь 2024'!$D$5:$D$2162,$B141,'октябрь 2024'!$J$5:$J$2162,AF$1)</f>
        <v>0</v>
      </c>
      <c r="AG141" s="80">
        <f>SUMIFS('октябрь 2024'!$G$5:$G$2162,'октябрь 2024'!$D$5:$D$2162,$B141,'октябрь 2024'!$J$5:$J$2162,AG$1)</f>
        <v>0</v>
      </c>
      <c r="AH141" s="80">
        <f>SUMIFS('октябрь 2024'!$G$5:$G$2162,'октябрь 2024'!$D$5:$D$2162,$B141,'октябрь 2024'!$J$5:$J$2162,AH$1)</f>
        <v>0</v>
      </c>
      <c r="AI141" s="21">
        <f t="shared" si="1"/>
        <v>0</v>
      </c>
    </row>
    <row r="142" spans="2:35" ht="15" customHeight="1" x14ac:dyDescent="0.25">
      <c r="B142" s="89" t="s">
        <v>211</v>
      </c>
      <c r="C142" s="88">
        <v>200</v>
      </c>
      <c r="D142" s="80">
        <f>SUMIFS('октябрь 2024'!$G$5:$G$2162,'октябрь 2024'!$D$5:$D$2162,$B142,'октябрь 2024'!$J$5:$J$2162,D$1)</f>
        <v>0</v>
      </c>
      <c r="E142" s="80">
        <f>SUMIFS('октябрь 2024'!$G$5:$G$2162,'октябрь 2024'!$D$5:$D$2162,$B142,'октябрь 2024'!$J$5:$J$2162,E$1)</f>
        <v>0</v>
      </c>
      <c r="F142" s="80">
        <f>SUMIFS('октябрь 2024'!$G$5:$G$2162,'октябрь 2024'!$D$5:$D$2162,$B142,'октябрь 2024'!$J$5:$J$2162,F$1)</f>
        <v>0</v>
      </c>
      <c r="G142" s="80">
        <f>SUMIFS('октябрь 2024'!$G$5:$G$2162,'октябрь 2024'!$D$5:$D$2162,$B142,'октябрь 2024'!$J$5:$J$2162,G$1)</f>
        <v>0</v>
      </c>
      <c r="H142" s="80">
        <f>SUMIFS('октябрь 2024'!$G$5:$G$2162,'октябрь 2024'!$D$5:$D$2162,$B142,'октябрь 2024'!$J$5:$J$2162,H$1)</f>
        <v>0</v>
      </c>
      <c r="I142" s="80">
        <f>SUMIFS('октябрь 2024'!$G$5:$G$2162,'октябрь 2024'!$D$5:$D$2162,$B142,'октябрь 2024'!$J$5:$J$2162,I$1)</f>
        <v>0</v>
      </c>
      <c r="J142" s="80">
        <f>SUMIFS('октябрь 2024'!$G$5:$G$2162,'октябрь 2024'!$D$5:$D$2162,$B142,'октябрь 2024'!$J$5:$J$2162,J$1)</f>
        <v>0</v>
      </c>
      <c r="K142" s="80">
        <f>SUMIFS('октябрь 2024'!$G$5:$G$2162,'октябрь 2024'!$D$5:$D$2162,$B142,'октябрь 2024'!$J$5:$J$2162,K$1)</f>
        <v>0</v>
      </c>
      <c r="L142" s="80">
        <f>SUMIFS('октябрь 2024'!$G$5:$G$2162,'октябрь 2024'!$D$5:$D$2162,$B142,'октябрь 2024'!$J$5:$J$2162,L$1)</f>
        <v>0</v>
      </c>
      <c r="M142" s="80">
        <f>SUMIFS('октябрь 2024'!$G$5:$G$2162,'октябрь 2024'!$D$5:$D$2162,$B142,'октябрь 2024'!$J$5:$J$2162,M$1)</f>
        <v>0</v>
      </c>
      <c r="N142" s="80">
        <f>SUMIFS('октябрь 2024'!$G$5:$G$2162,'октябрь 2024'!$D$5:$D$2162,$B142,'октябрь 2024'!$J$5:$J$2162,N$1)</f>
        <v>0</v>
      </c>
      <c r="O142" s="80">
        <f>SUMIFS('октябрь 2024'!$G$5:$G$2162,'октябрь 2024'!$D$5:$D$2162,$B142,'октябрь 2024'!$J$5:$J$2162,O$1)</f>
        <v>0</v>
      </c>
      <c r="P142" s="80">
        <f>SUMIFS('октябрь 2024'!$G$5:$G$2162,'октябрь 2024'!$D$5:$D$2162,$B142,'октябрь 2024'!$J$5:$J$2162,P$1)</f>
        <v>0</v>
      </c>
      <c r="Q142" s="80">
        <f>SUMIFS('октябрь 2024'!$G$5:$G$2162,'октябрь 2024'!$D$5:$D$2162,$B142,'октябрь 2024'!$J$5:$J$2162,Q$1)</f>
        <v>0</v>
      </c>
      <c r="R142" s="80">
        <f>SUMIFS('октябрь 2024'!$G$5:$G$2162,'октябрь 2024'!$D$5:$D$2162,$B142,'октябрь 2024'!$J$5:$J$2162,R$1)</f>
        <v>0</v>
      </c>
      <c r="S142" s="80">
        <f>SUMIFS('октябрь 2024'!$G$5:$G$2162,'октябрь 2024'!$D$5:$D$2162,$B142,'октябрь 2024'!$J$5:$J$2162,S$1)</f>
        <v>0</v>
      </c>
      <c r="T142" s="80">
        <f>SUMIFS('октябрь 2024'!$G$5:$G$2162,'октябрь 2024'!$D$5:$D$2162,$B142,'октябрь 2024'!$J$5:$J$2162,T$1)</f>
        <v>0</v>
      </c>
      <c r="U142" s="80">
        <f>SUMIFS('октябрь 2024'!$G$5:$G$2162,'октябрь 2024'!$D$5:$D$2162,$B142,'октябрь 2024'!$J$5:$J$2162,U$1)</f>
        <v>0</v>
      </c>
      <c r="V142" s="80">
        <f>SUMIFS('октябрь 2024'!$G$5:$G$2162,'октябрь 2024'!$D$5:$D$2162,$B142,'октябрь 2024'!$J$5:$J$2162,V$1)</f>
        <v>0</v>
      </c>
      <c r="W142" s="80">
        <f>SUMIFS('октябрь 2024'!$G$5:$G$2162,'октябрь 2024'!$D$5:$D$2162,$B142,'октябрь 2024'!$J$5:$J$2162,W$1)</f>
        <v>0</v>
      </c>
      <c r="X142" s="80">
        <f>SUMIFS('октябрь 2024'!$G$5:$G$2162,'октябрь 2024'!$D$5:$D$2162,$B142,'октябрь 2024'!$J$5:$J$2162,X$1)</f>
        <v>0</v>
      </c>
      <c r="Y142" s="80">
        <f>SUMIFS('октябрь 2024'!$G$5:$G$2162,'октябрь 2024'!$D$5:$D$2162,$B142,'октябрь 2024'!$J$5:$J$2162,Y$1)</f>
        <v>0</v>
      </c>
      <c r="Z142" s="80">
        <f>SUMIFS('октябрь 2024'!$G$5:$G$2162,'октябрь 2024'!$D$5:$D$2162,$B142,'октябрь 2024'!$J$5:$J$2162,Z$1)</f>
        <v>0</v>
      </c>
      <c r="AA142" s="80">
        <f>SUMIFS('октябрь 2024'!$G$5:$G$2162,'октябрь 2024'!$D$5:$D$2162,$B142,'октябрь 2024'!$J$5:$J$2162,AA$1)</f>
        <v>0</v>
      </c>
      <c r="AB142" s="80">
        <f>SUMIFS('октябрь 2024'!$G$5:$G$2162,'октябрь 2024'!$D$5:$D$2162,$B142,'октябрь 2024'!$J$5:$J$2162,AB$1)</f>
        <v>0</v>
      </c>
      <c r="AC142" s="80">
        <f>SUMIFS('октябрь 2024'!$G$5:$G$2162,'октябрь 2024'!$D$5:$D$2162,$B142,'октябрь 2024'!$J$5:$J$2162,AC$1)</f>
        <v>0</v>
      </c>
      <c r="AD142" s="80">
        <f>SUMIFS('октябрь 2024'!$G$5:$G$2162,'октябрь 2024'!$D$5:$D$2162,$B142,'октябрь 2024'!$J$5:$J$2162,AD$1)</f>
        <v>0</v>
      </c>
      <c r="AE142" s="80">
        <f>SUMIFS('октябрь 2024'!$G$5:$G$2162,'октябрь 2024'!$D$5:$D$2162,$B142,'октябрь 2024'!$J$5:$J$2162,AE$1)</f>
        <v>0</v>
      </c>
      <c r="AF142" s="80">
        <f>SUMIFS('октябрь 2024'!$G$5:$G$2162,'октябрь 2024'!$D$5:$D$2162,$B142,'октябрь 2024'!$J$5:$J$2162,AF$1)</f>
        <v>0</v>
      </c>
      <c r="AG142" s="80">
        <f>SUMIFS('октябрь 2024'!$G$5:$G$2162,'октябрь 2024'!$D$5:$D$2162,$B142,'октябрь 2024'!$J$5:$J$2162,AG$1)</f>
        <v>0</v>
      </c>
      <c r="AH142" s="80">
        <f>SUMIFS('октябрь 2024'!$G$5:$G$2162,'октябрь 2024'!$D$5:$D$2162,$B142,'октябрь 2024'!$J$5:$J$2162,AH$1)</f>
        <v>0</v>
      </c>
      <c r="AI142" s="21">
        <f t="shared" si="1"/>
        <v>0</v>
      </c>
    </row>
    <row r="143" spans="2:35" ht="15" customHeight="1" x14ac:dyDescent="0.25">
      <c r="B143" s="89" t="s">
        <v>339</v>
      </c>
      <c r="C143" s="88">
        <v>200</v>
      </c>
      <c r="D143" s="80">
        <f>SUMIFS('октябрь 2024'!$G$5:$G$2162,'октябрь 2024'!$D$5:$D$2162,$B143,'октябрь 2024'!$J$5:$J$2162,D$1)</f>
        <v>0</v>
      </c>
      <c r="E143" s="80">
        <f>SUMIFS('октябрь 2024'!$G$5:$G$2162,'октябрь 2024'!$D$5:$D$2162,$B143,'октябрь 2024'!$J$5:$J$2162,E$1)</f>
        <v>0</v>
      </c>
      <c r="F143" s="80">
        <f>SUMIFS('октябрь 2024'!$G$5:$G$2162,'октябрь 2024'!$D$5:$D$2162,$B143,'октябрь 2024'!$J$5:$J$2162,F$1)</f>
        <v>0</v>
      </c>
      <c r="G143" s="80">
        <f>SUMIFS('октябрь 2024'!$G$5:$G$2162,'октябрь 2024'!$D$5:$D$2162,$B143,'октябрь 2024'!$J$5:$J$2162,G$1)</f>
        <v>0</v>
      </c>
      <c r="H143" s="80">
        <f>SUMIFS('октябрь 2024'!$G$5:$G$2162,'октябрь 2024'!$D$5:$D$2162,$B143,'октябрь 2024'!$J$5:$J$2162,H$1)</f>
        <v>0</v>
      </c>
      <c r="I143" s="80">
        <f>SUMIFS('октябрь 2024'!$G$5:$G$2162,'октябрь 2024'!$D$5:$D$2162,$B143,'октябрь 2024'!$J$5:$J$2162,I$1)</f>
        <v>0</v>
      </c>
      <c r="J143" s="80">
        <f>SUMIFS('октябрь 2024'!$G$5:$G$2162,'октябрь 2024'!$D$5:$D$2162,$B143,'октябрь 2024'!$J$5:$J$2162,J$1)</f>
        <v>0</v>
      </c>
      <c r="K143" s="80">
        <f>SUMIFS('октябрь 2024'!$G$5:$G$2162,'октябрь 2024'!$D$5:$D$2162,$B143,'октябрь 2024'!$J$5:$J$2162,K$1)</f>
        <v>0</v>
      </c>
      <c r="L143" s="80">
        <f>SUMIFS('октябрь 2024'!$G$5:$G$2162,'октябрь 2024'!$D$5:$D$2162,$B143,'октябрь 2024'!$J$5:$J$2162,L$1)</f>
        <v>0</v>
      </c>
      <c r="M143" s="80">
        <f>SUMIFS('октябрь 2024'!$G$5:$G$2162,'октябрь 2024'!$D$5:$D$2162,$B143,'октябрь 2024'!$J$5:$J$2162,M$1)</f>
        <v>0</v>
      </c>
      <c r="N143" s="80">
        <f>SUMIFS('октябрь 2024'!$G$5:$G$2162,'октябрь 2024'!$D$5:$D$2162,$B143,'октябрь 2024'!$J$5:$J$2162,N$1)</f>
        <v>0</v>
      </c>
      <c r="O143" s="80">
        <f>SUMIFS('октябрь 2024'!$G$5:$G$2162,'октябрь 2024'!$D$5:$D$2162,$B143,'октябрь 2024'!$J$5:$J$2162,O$1)</f>
        <v>0</v>
      </c>
      <c r="P143" s="80">
        <f>SUMIFS('октябрь 2024'!$G$5:$G$2162,'октябрь 2024'!$D$5:$D$2162,$B143,'октябрь 2024'!$J$5:$J$2162,P$1)</f>
        <v>0</v>
      </c>
      <c r="Q143" s="80">
        <f>SUMIFS('октябрь 2024'!$G$5:$G$2162,'октябрь 2024'!$D$5:$D$2162,$B143,'октябрь 2024'!$J$5:$J$2162,Q$1)</f>
        <v>0</v>
      </c>
      <c r="R143" s="80">
        <f>SUMIFS('октябрь 2024'!$G$5:$G$2162,'октябрь 2024'!$D$5:$D$2162,$B143,'октябрь 2024'!$J$5:$J$2162,R$1)</f>
        <v>0</v>
      </c>
      <c r="S143" s="80">
        <f>SUMIFS('октябрь 2024'!$G$5:$G$2162,'октябрь 2024'!$D$5:$D$2162,$B143,'октябрь 2024'!$J$5:$J$2162,S$1)</f>
        <v>0</v>
      </c>
      <c r="T143" s="80">
        <f>SUMIFS('октябрь 2024'!$G$5:$G$2162,'октябрь 2024'!$D$5:$D$2162,$B143,'октябрь 2024'!$J$5:$J$2162,T$1)</f>
        <v>0</v>
      </c>
      <c r="U143" s="80">
        <f>SUMIFS('октябрь 2024'!$G$5:$G$2162,'октябрь 2024'!$D$5:$D$2162,$B143,'октябрь 2024'!$J$5:$J$2162,U$1)</f>
        <v>0</v>
      </c>
      <c r="V143" s="80">
        <f>SUMIFS('октябрь 2024'!$G$5:$G$2162,'октябрь 2024'!$D$5:$D$2162,$B143,'октябрь 2024'!$J$5:$J$2162,V$1)</f>
        <v>0</v>
      </c>
      <c r="W143" s="80">
        <f>SUMIFS('октябрь 2024'!$G$5:$G$2162,'октябрь 2024'!$D$5:$D$2162,$B143,'октябрь 2024'!$J$5:$J$2162,W$1)</f>
        <v>0</v>
      </c>
      <c r="X143" s="80">
        <f>SUMIFS('октябрь 2024'!$G$5:$G$2162,'октябрь 2024'!$D$5:$D$2162,$B143,'октябрь 2024'!$J$5:$J$2162,X$1)</f>
        <v>0</v>
      </c>
      <c r="Y143" s="80">
        <f>SUMIFS('октябрь 2024'!$G$5:$G$2162,'октябрь 2024'!$D$5:$D$2162,$B143,'октябрь 2024'!$J$5:$J$2162,Y$1)</f>
        <v>0</v>
      </c>
      <c r="Z143" s="80">
        <f>SUMIFS('октябрь 2024'!$G$5:$G$2162,'октябрь 2024'!$D$5:$D$2162,$B143,'октябрь 2024'!$J$5:$J$2162,Z$1)</f>
        <v>0</v>
      </c>
      <c r="AA143" s="80">
        <f>SUMIFS('октябрь 2024'!$G$5:$G$2162,'октябрь 2024'!$D$5:$D$2162,$B143,'октябрь 2024'!$J$5:$J$2162,AA$1)</f>
        <v>0</v>
      </c>
      <c r="AB143" s="80">
        <f>SUMIFS('октябрь 2024'!$G$5:$G$2162,'октябрь 2024'!$D$5:$D$2162,$B143,'октябрь 2024'!$J$5:$J$2162,AB$1)</f>
        <v>0</v>
      </c>
      <c r="AC143" s="80">
        <f>SUMIFS('октябрь 2024'!$G$5:$G$2162,'октябрь 2024'!$D$5:$D$2162,$B143,'октябрь 2024'!$J$5:$J$2162,AC$1)</f>
        <v>0</v>
      </c>
      <c r="AD143" s="80">
        <f>SUMIFS('октябрь 2024'!$G$5:$G$2162,'октябрь 2024'!$D$5:$D$2162,$B143,'октябрь 2024'!$J$5:$J$2162,AD$1)</f>
        <v>0</v>
      </c>
      <c r="AE143" s="80">
        <f>SUMIFS('октябрь 2024'!$G$5:$G$2162,'октябрь 2024'!$D$5:$D$2162,$B143,'октябрь 2024'!$J$5:$J$2162,AE$1)</f>
        <v>0</v>
      </c>
      <c r="AF143" s="80">
        <f>SUMIFS('октябрь 2024'!$G$5:$G$2162,'октябрь 2024'!$D$5:$D$2162,$B143,'октябрь 2024'!$J$5:$J$2162,AF$1)</f>
        <v>0</v>
      </c>
      <c r="AG143" s="80">
        <f>SUMIFS('октябрь 2024'!$G$5:$G$2162,'октябрь 2024'!$D$5:$D$2162,$B143,'октябрь 2024'!$J$5:$J$2162,AG$1)</f>
        <v>0</v>
      </c>
      <c r="AH143" s="80">
        <f>SUMIFS('октябрь 2024'!$G$5:$G$2162,'октябрь 2024'!$D$5:$D$2162,$B143,'октябрь 2024'!$J$5:$J$2162,AH$1)</f>
        <v>0</v>
      </c>
      <c r="AI143" s="21">
        <f t="shared" si="1"/>
        <v>0</v>
      </c>
    </row>
    <row r="144" spans="2:35" ht="15" customHeight="1" x14ac:dyDescent="0.25">
      <c r="B144" s="89" t="s">
        <v>215</v>
      </c>
      <c r="C144" s="91">
        <v>200</v>
      </c>
      <c r="D144" s="80">
        <f>SUMIFS('октябрь 2024'!$G$5:$G$2162,'октябрь 2024'!$D$5:$D$2162,$B144,'октябрь 2024'!$J$5:$J$2162,D$1)</f>
        <v>0</v>
      </c>
      <c r="E144" s="80">
        <f>SUMIFS('октябрь 2024'!$G$5:$G$2162,'октябрь 2024'!$D$5:$D$2162,$B144,'октябрь 2024'!$J$5:$J$2162,E$1)</f>
        <v>0</v>
      </c>
      <c r="F144" s="80">
        <f>SUMIFS('октябрь 2024'!$G$5:$G$2162,'октябрь 2024'!$D$5:$D$2162,$B144,'октябрь 2024'!$J$5:$J$2162,F$1)</f>
        <v>0</v>
      </c>
      <c r="G144" s="80">
        <f>SUMIFS('октябрь 2024'!$G$5:$G$2162,'октябрь 2024'!$D$5:$D$2162,$B144,'октябрь 2024'!$J$5:$J$2162,G$1)</f>
        <v>0</v>
      </c>
      <c r="H144" s="80">
        <f>SUMIFS('октябрь 2024'!$G$5:$G$2162,'октябрь 2024'!$D$5:$D$2162,$B144,'октябрь 2024'!$J$5:$J$2162,H$1)</f>
        <v>0</v>
      </c>
      <c r="I144" s="80">
        <f>SUMIFS('октябрь 2024'!$G$5:$G$2162,'октябрь 2024'!$D$5:$D$2162,$B144,'октябрь 2024'!$J$5:$J$2162,I$1)</f>
        <v>0</v>
      </c>
      <c r="J144" s="80">
        <f>SUMIFS('октябрь 2024'!$G$5:$G$2162,'октябрь 2024'!$D$5:$D$2162,$B144,'октябрь 2024'!$J$5:$J$2162,J$1)</f>
        <v>0</v>
      </c>
      <c r="K144" s="80">
        <f>SUMIFS('октябрь 2024'!$G$5:$G$2162,'октябрь 2024'!$D$5:$D$2162,$B144,'октябрь 2024'!$J$5:$J$2162,K$1)</f>
        <v>0</v>
      </c>
      <c r="L144" s="80">
        <f>SUMIFS('октябрь 2024'!$G$5:$G$2162,'октябрь 2024'!$D$5:$D$2162,$B144,'октябрь 2024'!$J$5:$J$2162,L$1)</f>
        <v>0</v>
      </c>
      <c r="M144" s="80">
        <f>SUMIFS('октябрь 2024'!$G$5:$G$2162,'октябрь 2024'!$D$5:$D$2162,$B144,'октябрь 2024'!$J$5:$J$2162,M$1)</f>
        <v>0</v>
      </c>
      <c r="N144" s="80">
        <f>SUMIFS('октябрь 2024'!$G$5:$G$2162,'октябрь 2024'!$D$5:$D$2162,$B144,'октябрь 2024'!$J$5:$J$2162,N$1)</f>
        <v>0</v>
      </c>
      <c r="O144" s="80">
        <f>SUMIFS('октябрь 2024'!$G$5:$G$2162,'октябрь 2024'!$D$5:$D$2162,$B144,'октябрь 2024'!$J$5:$J$2162,O$1)</f>
        <v>0</v>
      </c>
      <c r="P144" s="80">
        <f>SUMIFS('октябрь 2024'!$G$5:$G$2162,'октябрь 2024'!$D$5:$D$2162,$B144,'октябрь 2024'!$J$5:$J$2162,P$1)</f>
        <v>0</v>
      </c>
      <c r="Q144" s="80">
        <f>SUMIFS('октябрь 2024'!$G$5:$G$2162,'октябрь 2024'!$D$5:$D$2162,$B144,'октябрь 2024'!$J$5:$J$2162,Q$1)</f>
        <v>0</v>
      </c>
      <c r="R144" s="80">
        <f>SUMIFS('октябрь 2024'!$G$5:$G$2162,'октябрь 2024'!$D$5:$D$2162,$B144,'октябрь 2024'!$J$5:$J$2162,R$1)</f>
        <v>0</v>
      </c>
      <c r="S144" s="80">
        <f>SUMIFS('октябрь 2024'!$G$5:$G$2162,'октябрь 2024'!$D$5:$D$2162,$B144,'октябрь 2024'!$J$5:$J$2162,S$1)</f>
        <v>0</v>
      </c>
      <c r="T144" s="80">
        <f>SUMIFS('октябрь 2024'!$G$5:$G$2162,'октябрь 2024'!$D$5:$D$2162,$B144,'октябрь 2024'!$J$5:$J$2162,T$1)</f>
        <v>0</v>
      </c>
      <c r="U144" s="80">
        <f>SUMIFS('октябрь 2024'!$G$5:$G$2162,'октябрь 2024'!$D$5:$D$2162,$B144,'октябрь 2024'!$J$5:$J$2162,U$1)</f>
        <v>0</v>
      </c>
      <c r="V144" s="80">
        <f>SUMIFS('октябрь 2024'!$G$5:$G$2162,'октябрь 2024'!$D$5:$D$2162,$B144,'октябрь 2024'!$J$5:$J$2162,V$1)</f>
        <v>0</v>
      </c>
      <c r="W144" s="80">
        <f>SUMIFS('октябрь 2024'!$G$5:$G$2162,'октябрь 2024'!$D$5:$D$2162,$B144,'октябрь 2024'!$J$5:$J$2162,W$1)</f>
        <v>0</v>
      </c>
      <c r="X144" s="80">
        <f>SUMIFS('октябрь 2024'!$G$5:$G$2162,'октябрь 2024'!$D$5:$D$2162,$B144,'октябрь 2024'!$J$5:$J$2162,X$1)</f>
        <v>0</v>
      </c>
      <c r="Y144" s="80">
        <f>SUMIFS('октябрь 2024'!$G$5:$G$2162,'октябрь 2024'!$D$5:$D$2162,$B144,'октябрь 2024'!$J$5:$J$2162,Y$1)</f>
        <v>0</v>
      </c>
      <c r="Z144" s="80">
        <f>SUMIFS('октябрь 2024'!$G$5:$G$2162,'октябрь 2024'!$D$5:$D$2162,$B144,'октябрь 2024'!$J$5:$J$2162,Z$1)</f>
        <v>0</v>
      </c>
      <c r="AA144" s="80">
        <f>SUMIFS('октябрь 2024'!$G$5:$G$2162,'октябрь 2024'!$D$5:$D$2162,$B144,'октябрь 2024'!$J$5:$J$2162,AA$1)</f>
        <v>0</v>
      </c>
      <c r="AB144" s="80">
        <f>SUMIFS('октябрь 2024'!$G$5:$G$2162,'октябрь 2024'!$D$5:$D$2162,$B144,'октябрь 2024'!$J$5:$J$2162,AB$1)</f>
        <v>0</v>
      </c>
      <c r="AC144" s="80">
        <f>SUMIFS('октябрь 2024'!$G$5:$G$2162,'октябрь 2024'!$D$5:$D$2162,$B144,'октябрь 2024'!$J$5:$J$2162,AC$1)</f>
        <v>0</v>
      </c>
      <c r="AD144" s="80">
        <f>SUMIFS('октябрь 2024'!$G$5:$G$2162,'октябрь 2024'!$D$5:$D$2162,$B144,'октябрь 2024'!$J$5:$J$2162,AD$1)</f>
        <v>0</v>
      </c>
      <c r="AE144" s="80">
        <f>SUMIFS('октябрь 2024'!$G$5:$G$2162,'октябрь 2024'!$D$5:$D$2162,$B144,'октябрь 2024'!$J$5:$J$2162,AE$1)</f>
        <v>0</v>
      </c>
      <c r="AF144" s="80">
        <f>SUMIFS('октябрь 2024'!$G$5:$G$2162,'октябрь 2024'!$D$5:$D$2162,$B144,'октябрь 2024'!$J$5:$J$2162,AF$1)</f>
        <v>0</v>
      </c>
      <c r="AG144" s="80">
        <f>SUMIFS('октябрь 2024'!$G$5:$G$2162,'октябрь 2024'!$D$5:$D$2162,$B144,'октябрь 2024'!$J$5:$J$2162,AG$1)</f>
        <v>0</v>
      </c>
      <c r="AH144" s="80">
        <f>SUMIFS('октябрь 2024'!$G$5:$G$2162,'октябрь 2024'!$D$5:$D$2162,$B144,'октябрь 2024'!$J$5:$J$2162,AH$1)</f>
        <v>0</v>
      </c>
      <c r="AI144" s="21">
        <f t="shared" si="1"/>
        <v>0</v>
      </c>
    </row>
    <row r="145" spans="2:35" ht="15" customHeight="1" x14ac:dyDescent="0.25">
      <c r="B145" s="89" t="s">
        <v>585</v>
      </c>
      <c r="C145" s="91">
        <v>200</v>
      </c>
      <c r="D145" s="80">
        <f>SUMIFS('октябрь 2024'!$G$5:$G$2162,'октябрь 2024'!$D$5:$D$2162,$B145,'октябрь 2024'!$J$5:$J$2162,D$1)</f>
        <v>0</v>
      </c>
      <c r="E145" s="80">
        <f>SUMIFS('октябрь 2024'!$G$5:$G$2162,'октябрь 2024'!$D$5:$D$2162,$B145,'октябрь 2024'!$J$5:$J$2162,E$1)</f>
        <v>0</v>
      </c>
      <c r="F145" s="80">
        <f>SUMIFS('октябрь 2024'!$G$5:$G$2162,'октябрь 2024'!$D$5:$D$2162,$B145,'октябрь 2024'!$J$5:$J$2162,F$1)</f>
        <v>0</v>
      </c>
      <c r="G145" s="80">
        <f>SUMIFS('октябрь 2024'!$G$5:$G$2162,'октябрь 2024'!$D$5:$D$2162,$B145,'октябрь 2024'!$J$5:$J$2162,G$1)</f>
        <v>0</v>
      </c>
      <c r="H145" s="80">
        <f>SUMIFS('октябрь 2024'!$G$5:$G$2162,'октябрь 2024'!$D$5:$D$2162,$B145,'октябрь 2024'!$J$5:$J$2162,H$1)</f>
        <v>0</v>
      </c>
      <c r="I145" s="80">
        <f>SUMIFS('октябрь 2024'!$G$5:$G$2162,'октябрь 2024'!$D$5:$D$2162,$B145,'октябрь 2024'!$J$5:$J$2162,I$1)</f>
        <v>0</v>
      </c>
      <c r="J145" s="80">
        <f>SUMIFS('октябрь 2024'!$G$5:$G$2162,'октябрь 2024'!$D$5:$D$2162,$B145,'октябрь 2024'!$J$5:$J$2162,J$1)</f>
        <v>0</v>
      </c>
      <c r="K145" s="80">
        <f>SUMIFS('октябрь 2024'!$G$5:$G$2162,'октябрь 2024'!$D$5:$D$2162,$B145,'октябрь 2024'!$J$5:$J$2162,K$1)</f>
        <v>0</v>
      </c>
      <c r="L145" s="80">
        <f>SUMIFS('октябрь 2024'!$G$5:$G$2162,'октябрь 2024'!$D$5:$D$2162,$B145,'октябрь 2024'!$J$5:$J$2162,L$1)</f>
        <v>0</v>
      </c>
      <c r="M145" s="80">
        <f>SUMIFS('октябрь 2024'!$G$5:$G$2162,'октябрь 2024'!$D$5:$D$2162,$B145,'октябрь 2024'!$J$5:$J$2162,M$1)</f>
        <v>0</v>
      </c>
      <c r="N145" s="80">
        <f>SUMIFS('октябрь 2024'!$G$5:$G$2162,'октябрь 2024'!$D$5:$D$2162,$B145,'октябрь 2024'!$J$5:$J$2162,N$1)</f>
        <v>0</v>
      </c>
      <c r="O145" s="80">
        <f>SUMIFS('октябрь 2024'!$G$5:$G$2162,'октябрь 2024'!$D$5:$D$2162,$B145,'октябрь 2024'!$J$5:$J$2162,O$1)</f>
        <v>0</v>
      </c>
      <c r="P145" s="80">
        <f>SUMIFS('октябрь 2024'!$G$5:$G$2162,'октябрь 2024'!$D$5:$D$2162,$B145,'октябрь 2024'!$J$5:$J$2162,P$1)</f>
        <v>0</v>
      </c>
      <c r="Q145" s="80">
        <f>SUMIFS('октябрь 2024'!$G$5:$G$2162,'октябрь 2024'!$D$5:$D$2162,$B145,'октябрь 2024'!$J$5:$J$2162,Q$1)</f>
        <v>0</v>
      </c>
      <c r="R145" s="80">
        <f>SUMIFS('октябрь 2024'!$G$5:$G$2162,'октябрь 2024'!$D$5:$D$2162,$B145,'октябрь 2024'!$J$5:$J$2162,R$1)</f>
        <v>0</v>
      </c>
      <c r="S145" s="80">
        <f>SUMIFS('октябрь 2024'!$G$5:$G$2162,'октябрь 2024'!$D$5:$D$2162,$B145,'октябрь 2024'!$J$5:$J$2162,S$1)</f>
        <v>0</v>
      </c>
      <c r="T145" s="80">
        <f>SUMIFS('октябрь 2024'!$G$5:$G$2162,'октябрь 2024'!$D$5:$D$2162,$B145,'октябрь 2024'!$J$5:$J$2162,T$1)</f>
        <v>0</v>
      </c>
      <c r="U145" s="80">
        <f>SUMIFS('октябрь 2024'!$G$5:$G$2162,'октябрь 2024'!$D$5:$D$2162,$B145,'октябрь 2024'!$J$5:$J$2162,U$1)</f>
        <v>0</v>
      </c>
      <c r="V145" s="80">
        <f>SUMIFS('октябрь 2024'!$G$5:$G$2162,'октябрь 2024'!$D$5:$D$2162,$B145,'октябрь 2024'!$J$5:$J$2162,V$1)</f>
        <v>0</v>
      </c>
      <c r="W145" s="80">
        <f>SUMIFS('октябрь 2024'!$G$5:$G$2162,'октябрь 2024'!$D$5:$D$2162,$B145,'октябрь 2024'!$J$5:$J$2162,W$1)</f>
        <v>0</v>
      </c>
      <c r="X145" s="80">
        <f>SUMIFS('октябрь 2024'!$G$5:$G$2162,'октябрь 2024'!$D$5:$D$2162,$B145,'октябрь 2024'!$J$5:$J$2162,X$1)</f>
        <v>0</v>
      </c>
      <c r="Y145" s="80">
        <f>SUMIFS('октябрь 2024'!$G$5:$G$2162,'октябрь 2024'!$D$5:$D$2162,$B145,'октябрь 2024'!$J$5:$J$2162,Y$1)</f>
        <v>0</v>
      </c>
      <c r="Z145" s="80">
        <f>SUMIFS('октябрь 2024'!$G$5:$G$2162,'октябрь 2024'!$D$5:$D$2162,$B145,'октябрь 2024'!$J$5:$J$2162,Z$1)</f>
        <v>0</v>
      </c>
      <c r="AA145" s="80">
        <f>SUMIFS('октябрь 2024'!$G$5:$G$2162,'октябрь 2024'!$D$5:$D$2162,$B145,'октябрь 2024'!$J$5:$J$2162,AA$1)</f>
        <v>0</v>
      </c>
      <c r="AB145" s="80">
        <f>SUMIFS('октябрь 2024'!$G$5:$G$2162,'октябрь 2024'!$D$5:$D$2162,$B145,'октябрь 2024'!$J$5:$J$2162,AB$1)</f>
        <v>0</v>
      </c>
      <c r="AC145" s="80">
        <f>SUMIFS('октябрь 2024'!$G$5:$G$2162,'октябрь 2024'!$D$5:$D$2162,$B145,'октябрь 2024'!$J$5:$J$2162,AC$1)</f>
        <v>0</v>
      </c>
      <c r="AD145" s="80">
        <f>SUMIFS('октябрь 2024'!$G$5:$G$2162,'октябрь 2024'!$D$5:$D$2162,$B145,'октябрь 2024'!$J$5:$J$2162,AD$1)</f>
        <v>0</v>
      </c>
      <c r="AE145" s="80">
        <f>SUMIFS('октябрь 2024'!$G$5:$G$2162,'октябрь 2024'!$D$5:$D$2162,$B145,'октябрь 2024'!$J$5:$J$2162,AE$1)</f>
        <v>0</v>
      </c>
      <c r="AF145" s="80">
        <f>SUMIFS('октябрь 2024'!$G$5:$G$2162,'октябрь 2024'!$D$5:$D$2162,$B145,'октябрь 2024'!$J$5:$J$2162,AF$1)</f>
        <v>0</v>
      </c>
      <c r="AG145" s="80">
        <f>SUMIFS('октябрь 2024'!$G$5:$G$2162,'октябрь 2024'!$D$5:$D$2162,$B145,'октябрь 2024'!$J$5:$J$2162,AG$1)</f>
        <v>0</v>
      </c>
      <c r="AH145" s="80">
        <f>SUMIFS('октябрь 2024'!$G$5:$G$2162,'октябрь 2024'!$D$5:$D$2162,$B145,'октябрь 2024'!$J$5:$J$2162,AH$1)</f>
        <v>0</v>
      </c>
      <c r="AI145" s="21">
        <f t="shared" si="1"/>
        <v>0</v>
      </c>
    </row>
    <row r="146" spans="2:35" ht="15" customHeight="1" x14ac:dyDescent="0.25">
      <c r="B146" s="93" t="s">
        <v>186</v>
      </c>
      <c r="C146" s="91">
        <v>25</v>
      </c>
      <c r="D146" s="80">
        <f>SUMIFS('октябрь 2024'!$G$5:$G$2162,'октябрь 2024'!$D$5:$D$2162,$B146,'октябрь 2024'!$J$5:$J$2162,D$1)</f>
        <v>0</v>
      </c>
      <c r="E146" s="80">
        <f>SUMIFS('октябрь 2024'!$G$5:$G$2162,'октябрь 2024'!$D$5:$D$2162,$B146,'октябрь 2024'!$J$5:$J$2162,E$1)</f>
        <v>0</v>
      </c>
      <c r="F146" s="80">
        <f>SUMIFS('октябрь 2024'!$G$5:$G$2162,'октябрь 2024'!$D$5:$D$2162,$B146,'октябрь 2024'!$J$5:$J$2162,F$1)</f>
        <v>0</v>
      </c>
      <c r="G146" s="80">
        <f>SUMIFS('октябрь 2024'!$G$5:$G$2162,'октябрь 2024'!$D$5:$D$2162,$B146,'октябрь 2024'!$J$5:$J$2162,G$1)</f>
        <v>0</v>
      </c>
      <c r="H146" s="80">
        <f>SUMIFS('октябрь 2024'!$G$5:$G$2162,'октябрь 2024'!$D$5:$D$2162,$B146,'октябрь 2024'!$J$5:$J$2162,H$1)</f>
        <v>0</v>
      </c>
      <c r="I146" s="80">
        <f>SUMIFS('октябрь 2024'!$G$5:$G$2162,'октябрь 2024'!$D$5:$D$2162,$B146,'октябрь 2024'!$J$5:$J$2162,I$1)</f>
        <v>0</v>
      </c>
      <c r="J146" s="80">
        <f>SUMIFS('октябрь 2024'!$G$5:$G$2162,'октябрь 2024'!$D$5:$D$2162,$B146,'октябрь 2024'!$J$5:$J$2162,J$1)</f>
        <v>0</v>
      </c>
      <c r="K146" s="80">
        <f>SUMIFS('октябрь 2024'!$G$5:$G$2162,'октябрь 2024'!$D$5:$D$2162,$B146,'октябрь 2024'!$J$5:$J$2162,K$1)</f>
        <v>0</v>
      </c>
      <c r="L146" s="80">
        <f>SUMIFS('октябрь 2024'!$G$5:$G$2162,'октябрь 2024'!$D$5:$D$2162,$B146,'октябрь 2024'!$J$5:$J$2162,L$1)</f>
        <v>0</v>
      </c>
      <c r="M146" s="80">
        <f>SUMIFS('октябрь 2024'!$G$5:$G$2162,'октябрь 2024'!$D$5:$D$2162,$B146,'октябрь 2024'!$J$5:$J$2162,M$1)</f>
        <v>0</v>
      </c>
      <c r="N146" s="80">
        <f>SUMIFS('октябрь 2024'!$G$5:$G$2162,'октябрь 2024'!$D$5:$D$2162,$B146,'октябрь 2024'!$J$5:$J$2162,N$1)</f>
        <v>0</v>
      </c>
      <c r="O146" s="80">
        <f>SUMIFS('октябрь 2024'!$G$5:$G$2162,'октябрь 2024'!$D$5:$D$2162,$B146,'октябрь 2024'!$J$5:$J$2162,O$1)</f>
        <v>0</v>
      </c>
      <c r="P146" s="80">
        <f>SUMIFS('октябрь 2024'!$G$5:$G$2162,'октябрь 2024'!$D$5:$D$2162,$B146,'октябрь 2024'!$J$5:$J$2162,P$1)</f>
        <v>0</v>
      </c>
      <c r="Q146" s="80">
        <f>SUMIFS('октябрь 2024'!$G$5:$G$2162,'октябрь 2024'!$D$5:$D$2162,$B146,'октябрь 2024'!$J$5:$J$2162,Q$1)</f>
        <v>0</v>
      </c>
      <c r="R146" s="80">
        <f>SUMIFS('октябрь 2024'!$G$5:$G$2162,'октябрь 2024'!$D$5:$D$2162,$B146,'октябрь 2024'!$J$5:$J$2162,R$1)</f>
        <v>0</v>
      </c>
      <c r="S146" s="80">
        <f>SUMIFS('октябрь 2024'!$G$5:$G$2162,'октябрь 2024'!$D$5:$D$2162,$B146,'октябрь 2024'!$J$5:$J$2162,S$1)</f>
        <v>0</v>
      </c>
      <c r="T146" s="80">
        <f>SUMIFS('октябрь 2024'!$G$5:$G$2162,'октябрь 2024'!$D$5:$D$2162,$B146,'октябрь 2024'!$J$5:$J$2162,T$1)</f>
        <v>0</v>
      </c>
      <c r="U146" s="80">
        <f>SUMIFS('октябрь 2024'!$G$5:$G$2162,'октябрь 2024'!$D$5:$D$2162,$B146,'октябрь 2024'!$J$5:$J$2162,U$1)</f>
        <v>0</v>
      </c>
      <c r="V146" s="80">
        <f>SUMIFS('октябрь 2024'!$G$5:$G$2162,'октябрь 2024'!$D$5:$D$2162,$B146,'октябрь 2024'!$J$5:$J$2162,V$1)</f>
        <v>0</v>
      </c>
      <c r="W146" s="80">
        <f>SUMIFS('октябрь 2024'!$G$5:$G$2162,'октябрь 2024'!$D$5:$D$2162,$B146,'октябрь 2024'!$J$5:$J$2162,W$1)</f>
        <v>0</v>
      </c>
      <c r="X146" s="80">
        <f>SUMIFS('октябрь 2024'!$G$5:$G$2162,'октябрь 2024'!$D$5:$D$2162,$B146,'октябрь 2024'!$J$5:$J$2162,X$1)</f>
        <v>0</v>
      </c>
      <c r="Y146" s="80">
        <f>SUMIFS('октябрь 2024'!$G$5:$G$2162,'октябрь 2024'!$D$5:$D$2162,$B146,'октябрь 2024'!$J$5:$J$2162,Y$1)</f>
        <v>0</v>
      </c>
      <c r="Z146" s="80">
        <f>SUMIFS('октябрь 2024'!$G$5:$G$2162,'октябрь 2024'!$D$5:$D$2162,$B146,'октябрь 2024'!$J$5:$J$2162,Z$1)</f>
        <v>0</v>
      </c>
      <c r="AA146" s="80">
        <f>SUMIFS('октябрь 2024'!$G$5:$G$2162,'октябрь 2024'!$D$5:$D$2162,$B146,'октябрь 2024'!$J$5:$J$2162,AA$1)</f>
        <v>0</v>
      </c>
      <c r="AB146" s="80">
        <f>SUMIFS('октябрь 2024'!$G$5:$G$2162,'октябрь 2024'!$D$5:$D$2162,$B146,'октябрь 2024'!$J$5:$J$2162,AB$1)</f>
        <v>0</v>
      </c>
      <c r="AC146" s="80">
        <f>SUMIFS('октябрь 2024'!$G$5:$G$2162,'октябрь 2024'!$D$5:$D$2162,$B146,'октябрь 2024'!$J$5:$J$2162,AC$1)</f>
        <v>0</v>
      </c>
      <c r="AD146" s="80">
        <f>SUMIFS('октябрь 2024'!$G$5:$G$2162,'октябрь 2024'!$D$5:$D$2162,$B146,'октябрь 2024'!$J$5:$J$2162,AD$1)</f>
        <v>0</v>
      </c>
      <c r="AE146" s="80">
        <f>SUMIFS('октябрь 2024'!$G$5:$G$2162,'октябрь 2024'!$D$5:$D$2162,$B146,'октябрь 2024'!$J$5:$J$2162,AE$1)</f>
        <v>0</v>
      </c>
      <c r="AF146" s="80">
        <f>SUMIFS('октябрь 2024'!$G$5:$G$2162,'октябрь 2024'!$D$5:$D$2162,$B146,'октябрь 2024'!$J$5:$J$2162,AF$1)</f>
        <v>0</v>
      </c>
      <c r="AG146" s="80">
        <f>SUMIFS('октябрь 2024'!$G$5:$G$2162,'октябрь 2024'!$D$5:$D$2162,$B146,'октябрь 2024'!$J$5:$J$2162,AG$1)</f>
        <v>0</v>
      </c>
      <c r="AH146" s="80">
        <f>SUMIFS('октябрь 2024'!$G$5:$G$2162,'октябрь 2024'!$D$5:$D$2162,$B146,'октябрь 2024'!$J$5:$J$2162,AH$1)</f>
        <v>0</v>
      </c>
      <c r="AI146" s="21">
        <f t="shared" si="1"/>
        <v>0</v>
      </c>
    </row>
    <row r="147" spans="2:35" ht="15" customHeight="1" x14ac:dyDescent="0.25">
      <c r="B147" s="89" t="s">
        <v>184</v>
      </c>
      <c r="C147" s="88">
        <v>25</v>
      </c>
      <c r="D147" s="80">
        <f>SUMIFS('октябрь 2024'!$G$5:$G$2162,'октябрь 2024'!$D$5:$D$2162,$B147,'октябрь 2024'!$J$5:$J$2162,D$1)</f>
        <v>0</v>
      </c>
      <c r="E147" s="80">
        <f>SUMIFS('октябрь 2024'!$G$5:$G$2162,'октябрь 2024'!$D$5:$D$2162,$B147,'октябрь 2024'!$J$5:$J$2162,E$1)</f>
        <v>0</v>
      </c>
      <c r="F147" s="80">
        <f>SUMIFS('октябрь 2024'!$G$5:$G$2162,'октябрь 2024'!$D$5:$D$2162,$B147,'октябрь 2024'!$J$5:$J$2162,F$1)</f>
        <v>0</v>
      </c>
      <c r="G147" s="80">
        <f>SUMIFS('октябрь 2024'!$G$5:$G$2162,'октябрь 2024'!$D$5:$D$2162,$B147,'октябрь 2024'!$J$5:$J$2162,G$1)</f>
        <v>0</v>
      </c>
      <c r="H147" s="80">
        <f>SUMIFS('октябрь 2024'!$G$5:$G$2162,'октябрь 2024'!$D$5:$D$2162,$B147,'октябрь 2024'!$J$5:$J$2162,H$1)</f>
        <v>0</v>
      </c>
      <c r="I147" s="80">
        <f>SUMIFS('октябрь 2024'!$G$5:$G$2162,'октябрь 2024'!$D$5:$D$2162,$B147,'октябрь 2024'!$J$5:$J$2162,I$1)</f>
        <v>0</v>
      </c>
      <c r="J147" s="80">
        <f>SUMIFS('октябрь 2024'!$G$5:$G$2162,'октябрь 2024'!$D$5:$D$2162,$B147,'октябрь 2024'!$J$5:$J$2162,J$1)</f>
        <v>0</v>
      </c>
      <c r="K147" s="80">
        <f>SUMIFS('октябрь 2024'!$G$5:$G$2162,'октябрь 2024'!$D$5:$D$2162,$B147,'октябрь 2024'!$J$5:$J$2162,K$1)</f>
        <v>0</v>
      </c>
      <c r="L147" s="80">
        <f>SUMIFS('октябрь 2024'!$G$5:$G$2162,'октябрь 2024'!$D$5:$D$2162,$B147,'октябрь 2024'!$J$5:$J$2162,L$1)</f>
        <v>0</v>
      </c>
      <c r="M147" s="80">
        <f>SUMIFS('октябрь 2024'!$G$5:$G$2162,'октябрь 2024'!$D$5:$D$2162,$B147,'октябрь 2024'!$J$5:$J$2162,M$1)</f>
        <v>0</v>
      </c>
      <c r="N147" s="80">
        <f>SUMIFS('октябрь 2024'!$G$5:$G$2162,'октябрь 2024'!$D$5:$D$2162,$B147,'октябрь 2024'!$J$5:$J$2162,N$1)</f>
        <v>0</v>
      </c>
      <c r="O147" s="80">
        <f>SUMIFS('октябрь 2024'!$G$5:$G$2162,'октябрь 2024'!$D$5:$D$2162,$B147,'октябрь 2024'!$J$5:$J$2162,O$1)</f>
        <v>0</v>
      </c>
      <c r="P147" s="80">
        <f>SUMIFS('октябрь 2024'!$G$5:$G$2162,'октябрь 2024'!$D$5:$D$2162,$B147,'октябрь 2024'!$J$5:$J$2162,P$1)</f>
        <v>0</v>
      </c>
      <c r="Q147" s="80">
        <f>SUMIFS('октябрь 2024'!$G$5:$G$2162,'октябрь 2024'!$D$5:$D$2162,$B147,'октябрь 2024'!$J$5:$J$2162,Q$1)</f>
        <v>0</v>
      </c>
      <c r="R147" s="80">
        <f>SUMIFS('октябрь 2024'!$G$5:$G$2162,'октябрь 2024'!$D$5:$D$2162,$B147,'октябрь 2024'!$J$5:$J$2162,R$1)</f>
        <v>0</v>
      </c>
      <c r="S147" s="80">
        <f>SUMIFS('октябрь 2024'!$G$5:$G$2162,'октябрь 2024'!$D$5:$D$2162,$B147,'октябрь 2024'!$J$5:$J$2162,S$1)</f>
        <v>0</v>
      </c>
      <c r="T147" s="80">
        <f>SUMIFS('октябрь 2024'!$G$5:$G$2162,'октябрь 2024'!$D$5:$D$2162,$B147,'октябрь 2024'!$J$5:$J$2162,T$1)</f>
        <v>0</v>
      </c>
      <c r="U147" s="80">
        <f>SUMIFS('октябрь 2024'!$G$5:$G$2162,'октябрь 2024'!$D$5:$D$2162,$B147,'октябрь 2024'!$J$5:$J$2162,U$1)</f>
        <v>0</v>
      </c>
      <c r="V147" s="80">
        <f>SUMIFS('октябрь 2024'!$G$5:$G$2162,'октябрь 2024'!$D$5:$D$2162,$B147,'октябрь 2024'!$J$5:$J$2162,V$1)</f>
        <v>0</v>
      </c>
      <c r="W147" s="80">
        <f>SUMIFS('октябрь 2024'!$G$5:$G$2162,'октябрь 2024'!$D$5:$D$2162,$B147,'октябрь 2024'!$J$5:$J$2162,W$1)</f>
        <v>0</v>
      </c>
      <c r="X147" s="80">
        <f>SUMIFS('октябрь 2024'!$G$5:$G$2162,'октябрь 2024'!$D$5:$D$2162,$B147,'октябрь 2024'!$J$5:$J$2162,X$1)</f>
        <v>0</v>
      </c>
      <c r="Y147" s="80">
        <f>SUMIFS('октябрь 2024'!$G$5:$G$2162,'октябрь 2024'!$D$5:$D$2162,$B147,'октябрь 2024'!$J$5:$J$2162,Y$1)</f>
        <v>0</v>
      </c>
      <c r="Z147" s="80">
        <f>SUMIFS('октябрь 2024'!$G$5:$G$2162,'октябрь 2024'!$D$5:$D$2162,$B147,'октябрь 2024'!$J$5:$J$2162,Z$1)</f>
        <v>0</v>
      </c>
      <c r="AA147" s="80">
        <f>SUMIFS('октябрь 2024'!$G$5:$G$2162,'октябрь 2024'!$D$5:$D$2162,$B147,'октябрь 2024'!$J$5:$J$2162,AA$1)</f>
        <v>0</v>
      </c>
      <c r="AB147" s="80">
        <f>SUMIFS('октябрь 2024'!$G$5:$G$2162,'октябрь 2024'!$D$5:$D$2162,$B147,'октябрь 2024'!$J$5:$J$2162,AB$1)</f>
        <v>0</v>
      </c>
      <c r="AC147" s="80">
        <f>SUMIFS('октябрь 2024'!$G$5:$G$2162,'октябрь 2024'!$D$5:$D$2162,$B147,'октябрь 2024'!$J$5:$J$2162,AC$1)</f>
        <v>0</v>
      </c>
      <c r="AD147" s="80">
        <f>SUMIFS('октябрь 2024'!$G$5:$G$2162,'октябрь 2024'!$D$5:$D$2162,$B147,'октябрь 2024'!$J$5:$J$2162,AD$1)</f>
        <v>0</v>
      </c>
      <c r="AE147" s="80">
        <f>SUMIFS('октябрь 2024'!$G$5:$G$2162,'октябрь 2024'!$D$5:$D$2162,$B147,'октябрь 2024'!$J$5:$J$2162,AE$1)</f>
        <v>0</v>
      </c>
      <c r="AF147" s="80">
        <f>SUMIFS('октябрь 2024'!$G$5:$G$2162,'октябрь 2024'!$D$5:$D$2162,$B147,'октябрь 2024'!$J$5:$J$2162,AF$1)</f>
        <v>0</v>
      </c>
      <c r="AG147" s="80">
        <f>SUMIFS('октябрь 2024'!$G$5:$G$2162,'октябрь 2024'!$D$5:$D$2162,$B147,'октябрь 2024'!$J$5:$J$2162,AG$1)</f>
        <v>0</v>
      </c>
      <c r="AH147" s="80">
        <f>SUMIFS('октябрь 2024'!$G$5:$G$2162,'октябрь 2024'!$D$5:$D$2162,$B147,'октябрь 2024'!$J$5:$J$2162,AH$1)</f>
        <v>0</v>
      </c>
      <c r="AI147" s="21">
        <f t="shared" si="1"/>
        <v>0</v>
      </c>
    </row>
    <row r="148" spans="2:35" ht="15" customHeight="1" x14ac:dyDescent="0.25">
      <c r="B148" s="89" t="s">
        <v>185</v>
      </c>
      <c r="C148" s="88">
        <v>25</v>
      </c>
      <c r="D148" s="80">
        <f>SUMIFS('октябрь 2024'!$G$5:$G$2162,'октябрь 2024'!$D$5:$D$2162,$B148,'октябрь 2024'!$J$5:$J$2162,D$1)</f>
        <v>0</v>
      </c>
      <c r="E148" s="80">
        <f>SUMIFS('октябрь 2024'!$G$5:$G$2162,'октябрь 2024'!$D$5:$D$2162,$B148,'октябрь 2024'!$J$5:$J$2162,E$1)</f>
        <v>0</v>
      </c>
      <c r="F148" s="80">
        <f>SUMIFS('октябрь 2024'!$G$5:$G$2162,'октябрь 2024'!$D$5:$D$2162,$B148,'октябрь 2024'!$J$5:$J$2162,F$1)</f>
        <v>0</v>
      </c>
      <c r="G148" s="80">
        <f>SUMIFS('октябрь 2024'!$G$5:$G$2162,'октябрь 2024'!$D$5:$D$2162,$B148,'октябрь 2024'!$J$5:$J$2162,G$1)</f>
        <v>0</v>
      </c>
      <c r="H148" s="80">
        <f>SUMIFS('октябрь 2024'!$G$5:$G$2162,'октябрь 2024'!$D$5:$D$2162,$B148,'октябрь 2024'!$J$5:$J$2162,H$1)</f>
        <v>0</v>
      </c>
      <c r="I148" s="80">
        <f>SUMIFS('октябрь 2024'!$G$5:$G$2162,'октябрь 2024'!$D$5:$D$2162,$B148,'октябрь 2024'!$J$5:$J$2162,I$1)</f>
        <v>0</v>
      </c>
      <c r="J148" s="80">
        <f>SUMIFS('октябрь 2024'!$G$5:$G$2162,'октябрь 2024'!$D$5:$D$2162,$B148,'октябрь 2024'!$J$5:$J$2162,J$1)</f>
        <v>0</v>
      </c>
      <c r="K148" s="80">
        <f>SUMIFS('октябрь 2024'!$G$5:$G$2162,'октябрь 2024'!$D$5:$D$2162,$B148,'октябрь 2024'!$J$5:$J$2162,K$1)</f>
        <v>0</v>
      </c>
      <c r="L148" s="80">
        <f>SUMIFS('октябрь 2024'!$G$5:$G$2162,'октябрь 2024'!$D$5:$D$2162,$B148,'октябрь 2024'!$J$5:$J$2162,L$1)</f>
        <v>0</v>
      </c>
      <c r="M148" s="80">
        <f>SUMIFS('октябрь 2024'!$G$5:$G$2162,'октябрь 2024'!$D$5:$D$2162,$B148,'октябрь 2024'!$J$5:$J$2162,M$1)</f>
        <v>0</v>
      </c>
      <c r="N148" s="80">
        <f>SUMIFS('октябрь 2024'!$G$5:$G$2162,'октябрь 2024'!$D$5:$D$2162,$B148,'октябрь 2024'!$J$5:$J$2162,N$1)</f>
        <v>0</v>
      </c>
      <c r="O148" s="80">
        <f>SUMIFS('октябрь 2024'!$G$5:$G$2162,'октябрь 2024'!$D$5:$D$2162,$B148,'октябрь 2024'!$J$5:$J$2162,O$1)</f>
        <v>0</v>
      </c>
      <c r="P148" s="80">
        <f>SUMIFS('октябрь 2024'!$G$5:$G$2162,'октябрь 2024'!$D$5:$D$2162,$B148,'октябрь 2024'!$J$5:$J$2162,P$1)</f>
        <v>0</v>
      </c>
      <c r="Q148" s="80">
        <f>SUMIFS('октябрь 2024'!$G$5:$G$2162,'октябрь 2024'!$D$5:$D$2162,$B148,'октябрь 2024'!$J$5:$J$2162,Q$1)</f>
        <v>0</v>
      </c>
      <c r="R148" s="80">
        <f>SUMIFS('октябрь 2024'!$G$5:$G$2162,'октябрь 2024'!$D$5:$D$2162,$B148,'октябрь 2024'!$J$5:$J$2162,R$1)</f>
        <v>0</v>
      </c>
      <c r="S148" s="80">
        <f>SUMIFS('октябрь 2024'!$G$5:$G$2162,'октябрь 2024'!$D$5:$D$2162,$B148,'октябрь 2024'!$J$5:$J$2162,S$1)</f>
        <v>0</v>
      </c>
      <c r="T148" s="80">
        <f>SUMIFS('октябрь 2024'!$G$5:$G$2162,'октябрь 2024'!$D$5:$D$2162,$B148,'октябрь 2024'!$J$5:$J$2162,T$1)</f>
        <v>0</v>
      </c>
      <c r="U148" s="80">
        <f>SUMIFS('октябрь 2024'!$G$5:$G$2162,'октябрь 2024'!$D$5:$D$2162,$B148,'октябрь 2024'!$J$5:$J$2162,U$1)</f>
        <v>0</v>
      </c>
      <c r="V148" s="80">
        <f>SUMIFS('октябрь 2024'!$G$5:$G$2162,'октябрь 2024'!$D$5:$D$2162,$B148,'октябрь 2024'!$J$5:$J$2162,V$1)</f>
        <v>0</v>
      </c>
      <c r="W148" s="80">
        <f>SUMIFS('октябрь 2024'!$G$5:$G$2162,'октябрь 2024'!$D$5:$D$2162,$B148,'октябрь 2024'!$J$5:$J$2162,W$1)</f>
        <v>0</v>
      </c>
      <c r="X148" s="80">
        <f>SUMIFS('октябрь 2024'!$G$5:$G$2162,'октябрь 2024'!$D$5:$D$2162,$B148,'октябрь 2024'!$J$5:$J$2162,X$1)</f>
        <v>0</v>
      </c>
      <c r="Y148" s="80">
        <f>SUMIFS('октябрь 2024'!$G$5:$G$2162,'октябрь 2024'!$D$5:$D$2162,$B148,'октябрь 2024'!$J$5:$J$2162,Y$1)</f>
        <v>0</v>
      </c>
      <c r="Z148" s="80">
        <f>SUMIFS('октябрь 2024'!$G$5:$G$2162,'октябрь 2024'!$D$5:$D$2162,$B148,'октябрь 2024'!$J$5:$J$2162,Z$1)</f>
        <v>0</v>
      </c>
      <c r="AA148" s="80">
        <f>SUMIFS('октябрь 2024'!$G$5:$G$2162,'октябрь 2024'!$D$5:$D$2162,$B148,'октябрь 2024'!$J$5:$J$2162,AA$1)</f>
        <v>0</v>
      </c>
      <c r="AB148" s="80">
        <f>SUMIFS('октябрь 2024'!$G$5:$G$2162,'октябрь 2024'!$D$5:$D$2162,$B148,'октябрь 2024'!$J$5:$J$2162,AB$1)</f>
        <v>0</v>
      </c>
      <c r="AC148" s="80">
        <f>SUMIFS('октябрь 2024'!$G$5:$G$2162,'октябрь 2024'!$D$5:$D$2162,$B148,'октябрь 2024'!$J$5:$J$2162,AC$1)</f>
        <v>0</v>
      </c>
      <c r="AD148" s="80">
        <f>SUMIFS('октябрь 2024'!$G$5:$G$2162,'октябрь 2024'!$D$5:$D$2162,$B148,'октябрь 2024'!$J$5:$J$2162,AD$1)</f>
        <v>0</v>
      </c>
      <c r="AE148" s="80">
        <f>SUMIFS('октябрь 2024'!$G$5:$G$2162,'октябрь 2024'!$D$5:$D$2162,$B148,'октябрь 2024'!$J$5:$J$2162,AE$1)</f>
        <v>0</v>
      </c>
      <c r="AF148" s="80">
        <f>SUMIFS('октябрь 2024'!$G$5:$G$2162,'октябрь 2024'!$D$5:$D$2162,$B148,'октябрь 2024'!$J$5:$J$2162,AF$1)</f>
        <v>0</v>
      </c>
      <c r="AG148" s="80">
        <f>SUMIFS('октябрь 2024'!$G$5:$G$2162,'октябрь 2024'!$D$5:$D$2162,$B148,'октябрь 2024'!$J$5:$J$2162,AG$1)</f>
        <v>0</v>
      </c>
      <c r="AH148" s="80">
        <f>SUMIFS('октябрь 2024'!$G$5:$G$2162,'октябрь 2024'!$D$5:$D$2162,$B148,'октябрь 2024'!$J$5:$J$2162,AH$1)</f>
        <v>0</v>
      </c>
      <c r="AI148" s="21">
        <f t="shared" si="1"/>
        <v>0</v>
      </c>
    </row>
    <row r="149" spans="2:35" ht="15" customHeight="1" x14ac:dyDescent="0.25">
      <c r="B149" s="89" t="s">
        <v>212</v>
      </c>
      <c r="C149" s="88">
        <v>25</v>
      </c>
      <c r="D149" s="80">
        <f>SUMIFS('октябрь 2024'!$G$5:$G$2162,'октябрь 2024'!$D$5:$D$2162,$B149,'октябрь 2024'!$J$5:$J$2162,D$1)</f>
        <v>0</v>
      </c>
      <c r="E149" s="80">
        <f>SUMIFS('октябрь 2024'!$G$5:$G$2162,'октябрь 2024'!$D$5:$D$2162,$B149,'октябрь 2024'!$J$5:$J$2162,E$1)</f>
        <v>0</v>
      </c>
      <c r="F149" s="80">
        <f>SUMIFS('октябрь 2024'!$G$5:$G$2162,'октябрь 2024'!$D$5:$D$2162,$B149,'октябрь 2024'!$J$5:$J$2162,F$1)</f>
        <v>0</v>
      </c>
      <c r="G149" s="80">
        <f>SUMIFS('октябрь 2024'!$G$5:$G$2162,'октябрь 2024'!$D$5:$D$2162,$B149,'октябрь 2024'!$J$5:$J$2162,G$1)</f>
        <v>0</v>
      </c>
      <c r="H149" s="80">
        <f>SUMIFS('октябрь 2024'!$G$5:$G$2162,'октябрь 2024'!$D$5:$D$2162,$B149,'октябрь 2024'!$J$5:$J$2162,H$1)</f>
        <v>0</v>
      </c>
      <c r="I149" s="80">
        <f>SUMIFS('октябрь 2024'!$G$5:$G$2162,'октябрь 2024'!$D$5:$D$2162,$B149,'октябрь 2024'!$J$5:$J$2162,I$1)</f>
        <v>0</v>
      </c>
      <c r="J149" s="80">
        <f>SUMIFS('октябрь 2024'!$G$5:$G$2162,'октябрь 2024'!$D$5:$D$2162,$B149,'октябрь 2024'!$J$5:$J$2162,J$1)</f>
        <v>0</v>
      </c>
      <c r="K149" s="80">
        <f>SUMIFS('октябрь 2024'!$G$5:$G$2162,'октябрь 2024'!$D$5:$D$2162,$B149,'октябрь 2024'!$J$5:$J$2162,K$1)</f>
        <v>0</v>
      </c>
      <c r="L149" s="80">
        <f>SUMIFS('октябрь 2024'!$G$5:$G$2162,'октябрь 2024'!$D$5:$D$2162,$B149,'октябрь 2024'!$J$5:$J$2162,L$1)</f>
        <v>0</v>
      </c>
      <c r="M149" s="80">
        <f>SUMIFS('октябрь 2024'!$G$5:$G$2162,'октябрь 2024'!$D$5:$D$2162,$B149,'октябрь 2024'!$J$5:$J$2162,M$1)</f>
        <v>0</v>
      </c>
      <c r="N149" s="80">
        <f>SUMIFS('октябрь 2024'!$G$5:$G$2162,'октябрь 2024'!$D$5:$D$2162,$B149,'октябрь 2024'!$J$5:$J$2162,N$1)</f>
        <v>0</v>
      </c>
      <c r="O149" s="80">
        <f>SUMIFS('октябрь 2024'!$G$5:$G$2162,'октябрь 2024'!$D$5:$D$2162,$B149,'октябрь 2024'!$J$5:$J$2162,O$1)</f>
        <v>0</v>
      </c>
      <c r="P149" s="80">
        <f>SUMIFS('октябрь 2024'!$G$5:$G$2162,'октябрь 2024'!$D$5:$D$2162,$B149,'октябрь 2024'!$J$5:$J$2162,P$1)</f>
        <v>0</v>
      </c>
      <c r="Q149" s="80">
        <f>SUMIFS('октябрь 2024'!$G$5:$G$2162,'октябрь 2024'!$D$5:$D$2162,$B149,'октябрь 2024'!$J$5:$J$2162,Q$1)</f>
        <v>0</v>
      </c>
      <c r="R149" s="80">
        <f>SUMIFS('октябрь 2024'!$G$5:$G$2162,'октябрь 2024'!$D$5:$D$2162,$B149,'октябрь 2024'!$J$5:$J$2162,R$1)</f>
        <v>0</v>
      </c>
      <c r="S149" s="80">
        <f>SUMIFS('октябрь 2024'!$G$5:$G$2162,'октябрь 2024'!$D$5:$D$2162,$B149,'октябрь 2024'!$J$5:$J$2162,S$1)</f>
        <v>0</v>
      </c>
      <c r="T149" s="80">
        <f>SUMIFS('октябрь 2024'!$G$5:$G$2162,'октябрь 2024'!$D$5:$D$2162,$B149,'октябрь 2024'!$J$5:$J$2162,T$1)</f>
        <v>0</v>
      </c>
      <c r="U149" s="80">
        <f>SUMIFS('октябрь 2024'!$G$5:$G$2162,'октябрь 2024'!$D$5:$D$2162,$B149,'октябрь 2024'!$J$5:$J$2162,U$1)</f>
        <v>0</v>
      </c>
      <c r="V149" s="80">
        <f>SUMIFS('октябрь 2024'!$G$5:$G$2162,'октябрь 2024'!$D$5:$D$2162,$B149,'октябрь 2024'!$J$5:$J$2162,V$1)</f>
        <v>0</v>
      </c>
      <c r="W149" s="80">
        <f>SUMIFS('октябрь 2024'!$G$5:$G$2162,'октябрь 2024'!$D$5:$D$2162,$B149,'октябрь 2024'!$J$5:$J$2162,W$1)</f>
        <v>0</v>
      </c>
      <c r="X149" s="80">
        <f>SUMIFS('октябрь 2024'!$G$5:$G$2162,'октябрь 2024'!$D$5:$D$2162,$B149,'октябрь 2024'!$J$5:$J$2162,X$1)</f>
        <v>0</v>
      </c>
      <c r="Y149" s="80">
        <f>SUMIFS('октябрь 2024'!$G$5:$G$2162,'октябрь 2024'!$D$5:$D$2162,$B149,'октябрь 2024'!$J$5:$J$2162,Y$1)</f>
        <v>0</v>
      </c>
      <c r="Z149" s="80">
        <f>SUMIFS('октябрь 2024'!$G$5:$G$2162,'октябрь 2024'!$D$5:$D$2162,$B149,'октябрь 2024'!$J$5:$J$2162,Z$1)</f>
        <v>0</v>
      </c>
      <c r="AA149" s="80">
        <f>SUMIFS('октябрь 2024'!$G$5:$G$2162,'октябрь 2024'!$D$5:$D$2162,$B149,'октябрь 2024'!$J$5:$J$2162,AA$1)</f>
        <v>0</v>
      </c>
      <c r="AB149" s="80">
        <f>SUMIFS('октябрь 2024'!$G$5:$G$2162,'октябрь 2024'!$D$5:$D$2162,$B149,'октябрь 2024'!$J$5:$J$2162,AB$1)</f>
        <v>0</v>
      </c>
      <c r="AC149" s="80">
        <f>SUMIFS('октябрь 2024'!$G$5:$G$2162,'октябрь 2024'!$D$5:$D$2162,$B149,'октябрь 2024'!$J$5:$J$2162,AC$1)</f>
        <v>0</v>
      </c>
      <c r="AD149" s="80">
        <f>SUMIFS('октябрь 2024'!$G$5:$G$2162,'октябрь 2024'!$D$5:$D$2162,$B149,'октябрь 2024'!$J$5:$J$2162,AD$1)</f>
        <v>0</v>
      </c>
      <c r="AE149" s="80">
        <f>SUMIFS('октябрь 2024'!$G$5:$G$2162,'октябрь 2024'!$D$5:$D$2162,$B149,'октябрь 2024'!$J$5:$J$2162,AE$1)</f>
        <v>0</v>
      </c>
      <c r="AF149" s="80">
        <f>SUMIFS('октябрь 2024'!$G$5:$G$2162,'октябрь 2024'!$D$5:$D$2162,$B149,'октябрь 2024'!$J$5:$J$2162,AF$1)</f>
        <v>0</v>
      </c>
      <c r="AG149" s="80">
        <f>SUMIFS('октябрь 2024'!$G$5:$G$2162,'октябрь 2024'!$D$5:$D$2162,$B149,'октябрь 2024'!$J$5:$J$2162,AG$1)</f>
        <v>0</v>
      </c>
      <c r="AH149" s="80">
        <f>SUMIFS('октябрь 2024'!$G$5:$G$2162,'октябрь 2024'!$D$5:$D$2162,$B149,'октябрь 2024'!$J$5:$J$2162,AH$1)</f>
        <v>0</v>
      </c>
      <c r="AI149" s="21">
        <f t="shared" si="1"/>
        <v>0</v>
      </c>
    </row>
    <row r="150" spans="2:35" ht="15" customHeight="1" x14ac:dyDescent="0.25">
      <c r="B150" s="89" t="s">
        <v>994</v>
      </c>
      <c r="C150" s="88">
        <v>200</v>
      </c>
      <c r="D150" s="80">
        <f>SUMIFS('октябрь 2024'!$G$5:$G$2162,'октябрь 2024'!$D$5:$D$2162,$B150,'октябрь 2024'!$J$5:$J$2162,D$1)</f>
        <v>0</v>
      </c>
      <c r="E150" s="80">
        <f>SUMIFS('октябрь 2024'!$G$5:$G$2162,'октябрь 2024'!$D$5:$D$2162,$B150,'октябрь 2024'!$J$5:$J$2162,E$1)</f>
        <v>0</v>
      </c>
      <c r="F150" s="80">
        <f>SUMIFS('октябрь 2024'!$G$5:$G$2162,'октябрь 2024'!$D$5:$D$2162,$B150,'октябрь 2024'!$J$5:$J$2162,F$1)</f>
        <v>0</v>
      </c>
      <c r="G150" s="80">
        <f>SUMIFS('октябрь 2024'!$G$5:$G$2162,'октябрь 2024'!$D$5:$D$2162,$B150,'октябрь 2024'!$J$5:$J$2162,G$1)</f>
        <v>0</v>
      </c>
      <c r="H150" s="80">
        <f>SUMIFS('октябрь 2024'!$G$5:$G$2162,'октябрь 2024'!$D$5:$D$2162,$B150,'октябрь 2024'!$J$5:$J$2162,H$1)</f>
        <v>0</v>
      </c>
      <c r="I150" s="80">
        <f>SUMIFS('октябрь 2024'!$G$5:$G$2162,'октябрь 2024'!$D$5:$D$2162,$B150,'октябрь 2024'!$J$5:$J$2162,I$1)</f>
        <v>0</v>
      </c>
      <c r="J150" s="80">
        <f>SUMIFS('октябрь 2024'!$G$5:$G$2162,'октябрь 2024'!$D$5:$D$2162,$B150,'октябрь 2024'!$J$5:$J$2162,J$1)</f>
        <v>0</v>
      </c>
      <c r="K150" s="80">
        <f>SUMIFS('октябрь 2024'!$G$5:$G$2162,'октябрь 2024'!$D$5:$D$2162,$B150,'октябрь 2024'!$J$5:$J$2162,K$1)</f>
        <v>0</v>
      </c>
      <c r="L150" s="80">
        <f>SUMIFS('октябрь 2024'!$G$5:$G$2162,'октябрь 2024'!$D$5:$D$2162,$B150,'октябрь 2024'!$J$5:$J$2162,L$1)</f>
        <v>0</v>
      </c>
      <c r="M150" s="80">
        <f>SUMIFS('октябрь 2024'!$G$5:$G$2162,'октябрь 2024'!$D$5:$D$2162,$B150,'октябрь 2024'!$J$5:$J$2162,M$1)</f>
        <v>0</v>
      </c>
      <c r="N150" s="80">
        <f>SUMIFS('октябрь 2024'!$G$5:$G$2162,'октябрь 2024'!$D$5:$D$2162,$B150,'октябрь 2024'!$J$5:$J$2162,N$1)</f>
        <v>0</v>
      </c>
      <c r="O150" s="80">
        <f>SUMIFS('октябрь 2024'!$G$5:$G$2162,'октябрь 2024'!$D$5:$D$2162,$B150,'октябрь 2024'!$J$5:$J$2162,O$1)</f>
        <v>0</v>
      </c>
      <c r="P150" s="80">
        <f>SUMIFS('октябрь 2024'!$G$5:$G$2162,'октябрь 2024'!$D$5:$D$2162,$B150,'октябрь 2024'!$J$5:$J$2162,P$1)</f>
        <v>0</v>
      </c>
      <c r="Q150" s="80">
        <f>SUMIFS('октябрь 2024'!$G$5:$G$2162,'октябрь 2024'!$D$5:$D$2162,$B150,'октябрь 2024'!$J$5:$J$2162,Q$1)</f>
        <v>0</v>
      </c>
      <c r="R150" s="80">
        <f>SUMIFS('октябрь 2024'!$G$5:$G$2162,'октябрь 2024'!$D$5:$D$2162,$B150,'октябрь 2024'!$J$5:$J$2162,R$1)</f>
        <v>0</v>
      </c>
      <c r="S150" s="80">
        <f>SUMIFS('октябрь 2024'!$G$5:$G$2162,'октябрь 2024'!$D$5:$D$2162,$B150,'октябрь 2024'!$J$5:$J$2162,S$1)</f>
        <v>0</v>
      </c>
      <c r="T150" s="80">
        <f>SUMIFS('октябрь 2024'!$G$5:$G$2162,'октябрь 2024'!$D$5:$D$2162,$B150,'октябрь 2024'!$J$5:$J$2162,T$1)</f>
        <v>0</v>
      </c>
      <c r="U150" s="80">
        <f>SUMIFS('октябрь 2024'!$G$5:$G$2162,'октябрь 2024'!$D$5:$D$2162,$B150,'октябрь 2024'!$J$5:$J$2162,U$1)</f>
        <v>0</v>
      </c>
      <c r="V150" s="80">
        <f>SUMIFS('октябрь 2024'!$G$5:$G$2162,'октябрь 2024'!$D$5:$D$2162,$B150,'октябрь 2024'!$J$5:$J$2162,V$1)</f>
        <v>0</v>
      </c>
      <c r="W150" s="80">
        <f>SUMIFS('октябрь 2024'!$G$5:$G$2162,'октябрь 2024'!$D$5:$D$2162,$B150,'октябрь 2024'!$J$5:$J$2162,W$1)</f>
        <v>0</v>
      </c>
      <c r="X150" s="80">
        <f>SUMIFS('октябрь 2024'!$G$5:$G$2162,'октябрь 2024'!$D$5:$D$2162,$B150,'октябрь 2024'!$J$5:$J$2162,X$1)</f>
        <v>0</v>
      </c>
      <c r="Y150" s="80">
        <f>SUMIFS('октябрь 2024'!$G$5:$G$2162,'октябрь 2024'!$D$5:$D$2162,$B150,'октябрь 2024'!$J$5:$J$2162,Y$1)</f>
        <v>0</v>
      </c>
      <c r="Z150" s="80">
        <f>SUMIFS('октябрь 2024'!$G$5:$G$2162,'октябрь 2024'!$D$5:$D$2162,$B150,'октябрь 2024'!$J$5:$J$2162,Z$1)</f>
        <v>0</v>
      </c>
      <c r="AA150" s="80">
        <f>SUMIFS('октябрь 2024'!$G$5:$G$2162,'октябрь 2024'!$D$5:$D$2162,$B150,'октябрь 2024'!$J$5:$J$2162,AA$1)</f>
        <v>0</v>
      </c>
      <c r="AB150" s="80">
        <f>SUMIFS('октябрь 2024'!$G$5:$G$2162,'октябрь 2024'!$D$5:$D$2162,$B150,'октябрь 2024'!$J$5:$J$2162,AB$1)</f>
        <v>0</v>
      </c>
      <c r="AC150" s="80">
        <f>SUMIFS('октябрь 2024'!$G$5:$G$2162,'октябрь 2024'!$D$5:$D$2162,$B150,'октябрь 2024'!$J$5:$J$2162,AC$1)</f>
        <v>0</v>
      </c>
      <c r="AD150" s="80">
        <f>SUMIFS('октябрь 2024'!$G$5:$G$2162,'октябрь 2024'!$D$5:$D$2162,$B150,'октябрь 2024'!$J$5:$J$2162,AD$1)</f>
        <v>0</v>
      </c>
      <c r="AE150" s="80">
        <f>SUMIFS('октябрь 2024'!$G$5:$G$2162,'октябрь 2024'!$D$5:$D$2162,$B150,'октябрь 2024'!$J$5:$J$2162,AE$1)</f>
        <v>0</v>
      </c>
      <c r="AF150" s="80">
        <f>SUMIFS('октябрь 2024'!$G$5:$G$2162,'октябрь 2024'!$D$5:$D$2162,$B150,'октябрь 2024'!$J$5:$J$2162,AF$1)</f>
        <v>0</v>
      </c>
      <c r="AG150" s="80">
        <f>SUMIFS('октябрь 2024'!$G$5:$G$2162,'октябрь 2024'!$D$5:$D$2162,$B150,'октябрь 2024'!$J$5:$J$2162,AG$1)</f>
        <v>0</v>
      </c>
      <c r="AH150" s="80">
        <f>SUMIFS('октябрь 2024'!$G$5:$G$2162,'октябрь 2024'!$D$5:$D$2162,$B150,'октябрь 2024'!$J$5:$J$2162,AH$1)</f>
        <v>0</v>
      </c>
      <c r="AI150" s="21">
        <f>SUM(D150:AH150)</f>
        <v>0</v>
      </c>
    </row>
    <row r="151" spans="2:35" ht="15" customHeight="1" x14ac:dyDescent="0.25">
      <c r="B151" s="89" t="s">
        <v>1118</v>
      </c>
      <c r="C151" s="88">
        <v>175</v>
      </c>
      <c r="D151" s="80">
        <f>SUMIFS('октябрь 2024'!$G$5:$G$2162,'октябрь 2024'!$D$5:$D$2162,$B151,'октябрь 2024'!$J$5:$J$2162,D$1)</f>
        <v>0</v>
      </c>
      <c r="E151" s="80">
        <f>SUMIFS('октябрь 2024'!$G$5:$G$2162,'октябрь 2024'!$D$5:$D$2162,$B151,'октябрь 2024'!$J$5:$J$2162,E$1)</f>
        <v>0</v>
      </c>
      <c r="F151" s="80">
        <f>SUMIFS('октябрь 2024'!$G$5:$G$2162,'октябрь 2024'!$D$5:$D$2162,$B151,'октябрь 2024'!$J$5:$J$2162,F$1)</f>
        <v>0</v>
      </c>
      <c r="G151" s="80">
        <f>SUMIFS('октябрь 2024'!$G$5:$G$2162,'октябрь 2024'!$D$5:$D$2162,$B151,'октябрь 2024'!$J$5:$J$2162,G$1)</f>
        <v>0</v>
      </c>
      <c r="H151" s="80">
        <f>SUMIFS('октябрь 2024'!$G$5:$G$2162,'октябрь 2024'!$D$5:$D$2162,$B151,'октябрь 2024'!$J$5:$J$2162,H$1)</f>
        <v>0</v>
      </c>
      <c r="I151" s="80">
        <f>SUMIFS('октябрь 2024'!$G$5:$G$2162,'октябрь 2024'!$D$5:$D$2162,$B151,'октябрь 2024'!$J$5:$J$2162,I$1)</f>
        <v>0</v>
      </c>
      <c r="J151" s="80">
        <f>SUMIFS('октябрь 2024'!$G$5:$G$2162,'октябрь 2024'!$D$5:$D$2162,$B151,'октябрь 2024'!$J$5:$J$2162,J$1)</f>
        <v>0</v>
      </c>
      <c r="K151" s="80">
        <f>SUMIFS('октябрь 2024'!$G$5:$G$2162,'октябрь 2024'!$D$5:$D$2162,$B151,'октябрь 2024'!$J$5:$J$2162,K$1)</f>
        <v>0</v>
      </c>
      <c r="L151" s="80">
        <f>SUMIFS('октябрь 2024'!$G$5:$G$2162,'октябрь 2024'!$D$5:$D$2162,$B151,'октябрь 2024'!$J$5:$J$2162,L$1)</f>
        <v>0</v>
      </c>
      <c r="M151" s="80">
        <f>SUMIFS('октябрь 2024'!$G$5:$G$2162,'октябрь 2024'!$D$5:$D$2162,$B151,'октябрь 2024'!$J$5:$J$2162,M$1)</f>
        <v>0</v>
      </c>
      <c r="N151" s="80">
        <f>SUMIFS('октябрь 2024'!$G$5:$G$2162,'октябрь 2024'!$D$5:$D$2162,$B151,'октябрь 2024'!$J$5:$J$2162,N$1)</f>
        <v>0</v>
      </c>
      <c r="O151" s="80">
        <f>SUMIFS('октябрь 2024'!$G$5:$G$2162,'октябрь 2024'!$D$5:$D$2162,$B151,'октябрь 2024'!$J$5:$J$2162,O$1)</f>
        <v>0</v>
      </c>
      <c r="P151" s="80">
        <f>SUMIFS('октябрь 2024'!$G$5:$G$2162,'октябрь 2024'!$D$5:$D$2162,$B151,'октябрь 2024'!$J$5:$J$2162,P$1)</f>
        <v>0</v>
      </c>
      <c r="Q151" s="80">
        <f>SUMIFS('октябрь 2024'!$G$5:$G$2162,'октябрь 2024'!$D$5:$D$2162,$B151,'октябрь 2024'!$J$5:$J$2162,Q$1)</f>
        <v>0</v>
      </c>
      <c r="R151" s="80">
        <f>SUMIFS('октябрь 2024'!$G$5:$G$2162,'октябрь 2024'!$D$5:$D$2162,$B151,'октябрь 2024'!$J$5:$J$2162,R$1)</f>
        <v>0</v>
      </c>
      <c r="S151" s="80">
        <f>SUMIFS('октябрь 2024'!$G$5:$G$2162,'октябрь 2024'!$D$5:$D$2162,$B151,'октябрь 2024'!$J$5:$J$2162,S$1)</f>
        <v>0</v>
      </c>
      <c r="T151" s="80">
        <f>SUMIFS('октябрь 2024'!$G$5:$G$2162,'октябрь 2024'!$D$5:$D$2162,$B151,'октябрь 2024'!$J$5:$J$2162,T$1)</f>
        <v>0</v>
      </c>
      <c r="U151" s="80">
        <f>SUMIFS('октябрь 2024'!$G$5:$G$2162,'октябрь 2024'!$D$5:$D$2162,$B151,'октябрь 2024'!$J$5:$J$2162,U$1)</f>
        <v>0</v>
      </c>
      <c r="V151" s="80">
        <f>SUMIFS('октябрь 2024'!$G$5:$G$2162,'октябрь 2024'!$D$5:$D$2162,$B151,'октябрь 2024'!$J$5:$J$2162,V$1)</f>
        <v>0</v>
      </c>
      <c r="W151" s="80">
        <f>SUMIFS('октябрь 2024'!$G$5:$G$2162,'октябрь 2024'!$D$5:$D$2162,$B151,'октябрь 2024'!$J$5:$J$2162,W$1)</f>
        <v>0</v>
      </c>
      <c r="X151" s="80">
        <f>SUMIFS('октябрь 2024'!$G$5:$G$2162,'октябрь 2024'!$D$5:$D$2162,$B151,'октябрь 2024'!$J$5:$J$2162,X$1)</f>
        <v>0</v>
      </c>
      <c r="Y151" s="80">
        <f>SUMIFS('октябрь 2024'!$G$5:$G$2162,'октябрь 2024'!$D$5:$D$2162,$B151,'октябрь 2024'!$J$5:$J$2162,Y$1)</f>
        <v>0</v>
      </c>
      <c r="Z151" s="80">
        <f>SUMIFS('октябрь 2024'!$G$5:$G$2162,'октябрь 2024'!$D$5:$D$2162,$B151,'октябрь 2024'!$J$5:$J$2162,Z$1)</f>
        <v>0</v>
      </c>
      <c r="AA151" s="80">
        <f>SUMIFS('октябрь 2024'!$G$5:$G$2162,'октябрь 2024'!$D$5:$D$2162,$B151,'октябрь 2024'!$J$5:$J$2162,AA$1)</f>
        <v>0</v>
      </c>
      <c r="AB151" s="80">
        <f>SUMIFS('октябрь 2024'!$G$5:$G$2162,'октябрь 2024'!$D$5:$D$2162,$B151,'октябрь 2024'!$J$5:$J$2162,AB$1)</f>
        <v>0</v>
      </c>
      <c r="AC151" s="80">
        <f>SUMIFS('октябрь 2024'!$G$5:$G$2162,'октябрь 2024'!$D$5:$D$2162,$B151,'октябрь 2024'!$J$5:$J$2162,AC$1)</f>
        <v>0</v>
      </c>
      <c r="AD151" s="80">
        <f>SUMIFS('октябрь 2024'!$G$5:$G$2162,'октябрь 2024'!$D$5:$D$2162,$B151,'октябрь 2024'!$J$5:$J$2162,AD$1)</f>
        <v>0</v>
      </c>
      <c r="AE151" s="80">
        <f>SUMIFS('октябрь 2024'!$G$5:$G$2162,'октябрь 2024'!$D$5:$D$2162,$B151,'октябрь 2024'!$J$5:$J$2162,AE$1)</f>
        <v>0</v>
      </c>
      <c r="AF151" s="80">
        <f>SUMIFS('октябрь 2024'!$G$5:$G$2162,'октябрь 2024'!$D$5:$D$2162,$B151,'октябрь 2024'!$J$5:$J$2162,AF$1)</f>
        <v>0</v>
      </c>
      <c r="AG151" s="80">
        <f>SUMIFS('октябрь 2024'!$G$5:$G$2162,'октябрь 2024'!$D$5:$D$2162,$B151,'октябрь 2024'!$J$5:$J$2162,AG$1)</f>
        <v>0</v>
      </c>
      <c r="AH151" s="80">
        <f>SUMIFS('октябрь 2024'!$G$5:$G$2162,'октябрь 2024'!$D$5:$D$2162,$B151,'октябрь 2024'!$J$5:$J$2162,AH$1)</f>
        <v>0</v>
      </c>
      <c r="AI151" s="21">
        <f>SUM(D151:AH151)</f>
        <v>0</v>
      </c>
    </row>
    <row r="152" spans="2:35" ht="15" customHeight="1" x14ac:dyDescent="0.25">
      <c r="B152" s="89" t="s">
        <v>1705</v>
      </c>
      <c r="C152" s="88">
        <v>950</v>
      </c>
      <c r="D152" s="80">
        <f>SUMIFS('октябрь 2024'!$G$5:$G$2162,'октябрь 2024'!$D$5:$D$2162,$B152,'октябрь 2024'!$J$5:$J$2162,D$1)</f>
        <v>0</v>
      </c>
      <c r="E152" s="80">
        <f>SUMIFS('октябрь 2024'!$G$5:$G$2162,'октябрь 2024'!$D$5:$D$2162,$B152,'октябрь 2024'!$J$5:$J$2162,E$1)</f>
        <v>0</v>
      </c>
      <c r="F152" s="80">
        <f>SUMIFS('октябрь 2024'!$G$5:$G$2162,'октябрь 2024'!$D$5:$D$2162,$B152,'октябрь 2024'!$J$5:$J$2162,F$1)</f>
        <v>0</v>
      </c>
      <c r="G152" s="80">
        <f>SUMIFS('октябрь 2024'!$G$5:$G$2162,'октябрь 2024'!$D$5:$D$2162,$B152,'октябрь 2024'!$J$5:$J$2162,G$1)</f>
        <v>0</v>
      </c>
      <c r="H152" s="80">
        <f>SUMIFS('октябрь 2024'!$G$5:$G$2162,'октябрь 2024'!$D$5:$D$2162,$B152,'октябрь 2024'!$J$5:$J$2162,H$1)</f>
        <v>0</v>
      </c>
      <c r="I152" s="80">
        <f>SUMIFS('октябрь 2024'!$G$5:$G$2162,'октябрь 2024'!$D$5:$D$2162,$B152,'октябрь 2024'!$J$5:$J$2162,I$1)</f>
        <v>0</v>
      </c>
      <c r="J152" s="80">
        <f>SUMIFS('октябрь 2024'!$G$5:$G$2162,'октябрь 2024'!$D$5:$D$2162,$B152,'октябрь 2024'!$J$5:$J$2162,J$1)</f>
        <v>0</v>
      </c>
      <c r="K152" s="80">
        <f>SUMIFS('октябрь 2024'!$G$5:$G$2162,'октябрь 2024'!$D$5:$D$2162,$B152,'октябрь 2024'!$J$5:$J$2162,K$1)</f>
        <v>0</v>
      </c>
      <c r="L152" s="80">
        <f>SUMIFS('октябрь 2024'!$G$5:$G$2162,'октябрь 2024'!$D$5:$D$2162,$B152,'октябрь 2024'!$J$5:$J$2162,L$1)</f>
        <v>0</v>
      </c>
      <c r="M152" s="80">
        <f>SUMIFS('октябрь 2024'!$G$5:$G$2162,'октябрь 2024'!$D$5:$D$2162,$B152,'октябрь 2024'!$J$5:$J$2162,M$1)</f>
        <v>0</v>
      </c>
      <c r="N152" s="80">
        <f>SUMIFS('октябрь 2024'!$G$5:$G$2162,'октябрь 2024'!$D$5:$D$2162,$B152,'октябрь 2024'!$J$5:$J$2162,N$1)</f>
        <v>0</v>
      </c>
      <c r="O152" s="80">
        <f>SUMIFS('октябрь 2024'!$G$5:$G$2162,'октябрь 2024'!$D$5:$D$2162,$B152,'октябрь 2024'!$J$5:$J$2162,O$1)</f>
        <v>0</v>
      </c>
      <c r="P152" s="80">
        <f>SUMIFS('октябрь 2024'!$G$5:$G$2162,'октябрь 2024'!$D$5:$D$2162,$B152,'октябрь 2024'!$J$5:$J$2162,P$1)</f>
        <v>0</v>
      </c>
      <c r="Q152" s="80">
        <f>SUMIFS('октябрь 2024'!$G$5:$G$2162,'октябрь 2024'!$D$5:$D$2162,$B152,'октябрь 2024'!$J$5:$J$2162,Q$1)</f>
        <v>0</v>
      </c>
      <c r="R152" s="80">
        <f>SUMIFS('октябрь 2024'!$G$5:$G$2162,'октябрь 2024'!$D$5:$D$2162,$B152,'октябрь 2024'!$J$5:$J$2162,R$1)</f>
        <v>0</v>
      </c>
      <c r="S152" s="80">
        <f>SUMIFS('октябрь 2024'!$G$5:$G$2162,'октябрь 2024'!$D$5:$D$2162,$B152,'октябрь 2024'!$J$5:$J$2162,S$1)</f>
        <v>20</v>
      </c>
      <c r="T152" s="80">
        <f>SUMIFS('октябрь 2024'!$G$5:$G$2162,'октябрь 2024'!$D$5:$D$2162,$B152,'октябрь 2024'!$J$5:$J$2162,T$1)</f>
        <v>21</v>
      </c>
      <c r="U152" s="80">
        <f>SUMIFS('октябрь 2024'!$G$5:$G$2162,'октябрь 2024'!$D$5:$D$2162,$B152,'октябрь 2024'!$J$5:$J$2162,U$1)</f>
        <v>0</v>
      </c>
      <c r="V152" s="80">
        <f>SUMIFS('октябрь 2024'!$G$5:$G$2162,'октябрь 2024'!$D$5:$D$2162,$B152,'октябрь 2024'!$J$5:$J$2162,V$1)</f>
        <v>0</v>
      </c>
      <c r="W152" s="80">
        <f>SUMIFS('октябрь 2024'!$G$5:$G$2162,'октябрь 2024'!$D$5:$D$2162,$B152,'октябрь 2024'!$J$5:$J$2162,W$1)</f>
        <v>0</v>
      </c>
      <c r="X152" s="80">
        <f>SUMIFS('октябрь 2024'!$G$5:$G$2162,'октябрь 2024'!$D$5:$D$2162,$B152,'октябрь 2024'!$J$5:$J$2162,X$1)</f>
        <v>0</v>
      </c>
      <c r="Y152" s="80">
        <f>SUMIFS('октябрь 2024'!$G$5:$G$2162,'октябрь 2024'!$D$5:$D$2162,$B152,'октябрь 2024'!$J$5:$J$2162,Y$1)</f>
        <v>40</v>
      </c>
      <c r="Z152" s="80">
        <f>SUMIFS('октябрь 2024'!$G$5:$G$2162,'октябрь 2024'!$D$5:$D$2162,$B152,'октябрь 2024'!$J$5:$J$2162,Z$1)</f>
        <v>0</v>
      </c>
      <c r="AA152" s="80">
        <f>SUMIFS('октябрь 2024'!$G$5:$G$2162,'октябрь 2024'!$D$5:$D$2162,$B152,'октябрь 2024'!$J$5:$J$2162,AA$1)</f>
        <v>0</v>
      </c>
      <c r="AB152" s="80">
        <f>SUMIFS('октябрь 2024'!$G$5:$G$2162,'октябрь 2024'!$D$5:$D$2162,$B152,'октябрь 2024'!$J$5:$J$2162,AB$1)</f>
        <v>0</v>
      </c>
      <c r="AC152" s="80">
        <f>SUMIFS('октябрь 2024'!$G$5:$G$2162,'октябрь 2024'!$D$5:$D$2162,$B152,'октябрь 2024'!$J$5:$J$2162,AC$1)</f>
        <v>0</v>
      </c>
      <c r="AD152" s="80">
        <f>SUMIFS('октябрь 2024'!$G$5:$G$2162,'октябрь 2024'!$D$5:$D$2162,$B152,'октябрь 2024'!$J$5:$J$2162,AD$1)</f>
        <v>0</v>
      </c>
      <c r="AE152" s="80">
        <f>SUMIFS('октябрь 2024'!$G$5:$G$2162,'октябрь 2024'!$D$5:$D$2162,$B152,'октябрь 2024'!$J$5:$J$2162,AE$1)</f>
        <v>0</v>
      </c>
      <c r="AF152" s="80">
        <f>SUMIFS('октябрь 2024'!$G$5:$G$2162,'октябрь 2024'!$D$5:$D$2162,$B152,'октябрь 2024'!$J$5:$J$2162,AF$1)</f>
        <v>0</v>
      </c>
      <c r="AG152" s="80">
        <f>SUMIFS('октябрь 2024'!$G$5:$G$2162,'октябрь 2024'!$D$5:$D$2162,$B152,'октябрь 2024'!$J$5:$J$2162,AG$1)</f>
        <v>0</v>
      </c>
      <c r="AH152" s="80">
        <f>SUMIFS('октябрь 2024'!$G$5:$G$2162,'октябрь 2024'!$D$5:$D$2162,$B152,'октябрь 2024'!$J$5:$J$2162,AH$1)</f>
        <v>0</v>
      </c>
      <c r="AI152" s="21">
        <f t="shared" ref="AI152:AI153" si="2">SUM(D152:AH152)</f>
        <v>81</v>
      </c>
    </row>
    <row r="153" spans="2:35" ht="15" customHeight="1" x14ac:dyDescent="0.25">
      <c r="B153" s="89" t="s">
        <v>1587</v>
      </c>
      <c r="C153" s="88">
        <v>200</v>
      </c>
      <c r="D153" s="80">
        <f>SUMIFS('октябрь 2024'!$G$5:$G$2162,'октябрь 2024'!$D$5:$D$2162,$B153,'октябрь 2024'!$J$5:$J$2162,D$1)</f>
        <v>0</v>
      </c>
      <c r="E153" s="80">
        <f>SUMIFS('октябрь 2024'!$G$5:$G$2162,'октябрь 2024'!$D$5:$D$2162,$B153,'октябрь 2024'!$J$5:$J$2162,E$1)</f>
        <v>0</v>
      </c>
      <c r="F153" s="80">
        <f>SUMIFS('октябрь 2024'!$G$5:$G$2162,'октябрь 2024'!$D$5:$D$2162,$B153,'октябрь 2024'!$J$5:$J$2162,F$1)</f>
        <v>0</v>
      </c>
      <c r="G153" s="80">
        <f>SUMIFS('октябрь 2024'!$G$5:$G$2162,'октябрь 2024'!$D$5:$D$2162,$B153,'октябрь 2024'!$J$5:$J$2162,G$1)</f>
        <v>0</v>
      </c>
      <c r="H153" s="80">
        <f>SUMIFS('октябрь 2024'!$G$5:$G$2162,'октябрь 2024'!$D$5:$D$2162,$B153,'октябрь 2024'!$J$5:$J$2162,H$1)</f>
        <v>0</v>
      </c>
      <c r="I153" s="80">
        <f>SUMIFS('октябрь 2024'!$G$5:$G$2162,'октябрь 2024'!$D$5:$D$2162,$B153,'октябрь 2024'!$J$5:$J$2162,I$1)</f>
        <v>0</v>
      </c>
      <c r="J153" s="80">
        <f>SUMIFS('октябрь 2024'!$G$5:$G$2162,'октябрь 2024'!$D$5:$D$2162,$B153,'октябрь 2024'!$J$5:$J$2162,J$1)</f>
        <v>0</v>
      </c>
      <c r="K153" s="80">
        <f>SUMIFS('октябрь 2024'!$G$5:$G$2162,'октябрь 2024'!$D$5:$D$2162,$B153,'октябрь 2024'!$J$5:$J$2162,K$1)</f>
        <v>0</v>
      </c>
      <c r="L153" s="80">
        <f>SUMIFS('октябрь 2024'!$G$5:$G$2162,'октябрь 2024'!$D$5:$D$2162,$B153,'октябрь 2024'!$J$5:$J$2162,L$1)</f>
        <v>0</v>
      </c>
      <c r="M153" s="80">
        <f>SUMIFS('октябрь 2024'!$G$5:$G$2162,'октябрь 2024'!$D$5:$D$2162,$B153,'октябрь 2024'!$J$5:$J$2162,M$1)</f>
        <v>0</v>
      </c>
      <c r="N153" s="80">
        <f>SUMIFS('октябрь 2024'!$G$5:$G$2162,'октябрь 2024'!$D$5:$D$2162,$B153,'октябрь 2024'!$J$5:$J$2162,N$1)</f>
        <v>0</v>
      </c>
      <c r="O153" s="80">
        <f>SUMIFS('октябрь 2024'!$G$5:$G$2162,'октябрь 2024'!$D$5:$D$2162,$B153,'октябрь 2024'!$J$5:$J$2162,O$1)</f>
        <v>0</v>
      </c>
      <c r="P153" s="80">
        <f>SUMIFS('октябрь 2024'!$G$5:$G$2162,'октябрь 2024'!$D$5:$D$2162,$B153,'октябрь 2024'!$J$5:$J$2162,P$1)</f>
        <v>0</v>
      </c>
      <c r="Q153" s="80">
        <f>SUMIFS('октябрь 2024'!$G$5:$G$2162,'октябрь 2024'!$D$5:$D$2162,$B153,'октябрь 2024'!$J$5:$J$2162,Q$1)</f>
        <v>0</v>
      </c>
      <c r="R153" s="80">
        <f>SUMIFS('октябрь 2024'!$G$5:$G$2162,'октябрь 2024'!$D$5:$D$2162,$B153,'октябрь 2024'!$J$5:$J$2162,R$1)</f>
        <v>0</v>
      </c>
      <c r="S153" s="80">
        <f>SUMIFS('октябрь 2024'!$G$5:$G$2162,'октябрь 2024'!$D$5:$D$2162,$B153,'октябрь 2024'!$J$5:$J$2162,S$1)</f>
        <v>0</v>
      </c>
      <c r="T153" s="80">
        <f>SUMIFS('октябрь 2024'!$G$5:$G$2162,'октябрь 2024'!$D$5:$D$2162,$B153,'октябрь 2024'!$J$5:$J$2162,T$1)</f>
        <v>0</v>
      </c>
      <c r="U153" s="80">
        <f>SUMIFS('октябрь 2024'!$G$5:$G$2162,'октябрь 2024'!$D$5:$D$2162,$B153,'октябрь 2024'!$J$5:$J$2162,U$1)</f>
        <v>0</v>
      </c>
      <c r="V153" s="80">
        <f>SUMIFS('октябрь 2024'!$G$5:$G$2162,'октябрь 2024'!$D$5:$D$2162,$B153,'октябрь 2024'!$J$5:$J$2162,V$1)</f>
        <v>0</v>
      </c>
      <c r="W153" s="80">
        <f>SUMIFS('октябрь 2024'!$G$5:$G$2162,'октябрь 2024'!$D$5:$D$2162,$B153,'октябрь 2024'!$J$5:$J$2162,W$1)</f>
        <v>0</v>
      </c>
      <c r="X153" s="80">
        <f>SUMIFS('октябрь 2024'!$G$5:$G$2162,'октябрь 2024'!$D$5:$D$2162,$B153,'октябрь 2024'!$J$5:$J$2162,X$1)</f>
        <v>0</v>
      </c>
      <c r="Y153" s="80">
        <f>SUMIFS('октябрь 2024'!$G$5:$G$2162,'октябрь 2024'!$D$5:$D$2162,$B153,'октябрь 2024'!$J$5:$J$2162,Y$1)</f>
        <v>0</v>
      </c>
      <c r="Z153" s="80">
        <f>SUMIFS('октябрь 2024'!$G$5:$G$2162,'октябрь 2024'!$D$5:$D$2162,$B153,'октябрь 2024'!$J$5:$J$2162,Z$1)</f>
        <v>0</v>
      </c>
      <c r="AA153" s="80">
        <f>SUMIFS('октябрь 2024'!$G$5:$G$2162,'октябрь 2024'!$D$5:$D$2162,$B153,'октябрь 2024'!$J$5:$J$2162,AA$1)</f>
        <v>0</v>
      </c>
      <c r="AB153" s="80">
        <f>SUMIFS('октябрь 2024'!$G$5:$G$2162,'октябрь 2024'!$D$5:$D$2162,$B153,'октябрь 2024'!$J$5:$J$2162,AB$1)</f>
        <v>0</v>
      </c>
      <c r="AC153" s="80">
        <f>SUMIFS('октябрь 2024'!$G$5:$G$2162,'октябрь 2024'!$D$5:$D$2162,$B153,'октябрь 2024'!$J$5:$J$2162,AC$1)</f>
        <v>0</v>
      </c>
      <c r="AD153" s="80">
        <f>SUMIFS('октябрь 2024'!$G$5:$G$2162,'октябрь 2024'!$D$5:$D$2162,$B153,'октябрь 2024'!$J$5:$J$2162,AD$1)</f>
        <v>0</v>
      </c>
      <c r="AE153" s="80">
        <f>SUMIFS('октябрь 2024'!$G$5:$G$2162,'октябрь 2024'!$D$5:$D$2162,$B153,'октябрь 2024'!$J$5:$J$2162,AE$1)</f>
        <v>0</v>
      </c>
      <c r="AF153" s="80">
        <f>SUMIFS('октябрь 2024'!$G$5:$G$2162,'октябрь 2024'!$D$5:$D$2162,$B153,'октябрь 2024'!$J$5:$J$2162,AF$1)</f>
        <v>0</v>
      </c>
      <c r="AG153" s="80">
        <f>SUMIFS('октябрь 2024'!$G$5:$G$2162,'октябрь 2024'!$D$5:$D$2162,$B153,'октябрь 2024'!$J$5:$J$2162,AG$1)</f>
        <v>0</v>
      </c>
      <c r="AH153" s="80">
        <f>SUMIFS('октябрь 2024'!$G$5:$G$2162,'октябрь 2024'!$D$5:$D$2162,$B153,'октябрь 2024'!$J$5:$J$2162,AH$1)</f>
        <v>0</v>
      </c>
      <c r="AI153" s="21">
        <f t="shared" si="2"/>
        <v>0</v>
      </c>
    </row>
    <row r="154" spans="2:35" ht="15" customHeight="1" x14ac:dyDescent="0.25">
      <c r="B154" s="89"/>
      <c r="C154" s="88"/>
      <c r="D154" s="80">
        <f>SUMIFS('октябрь 2024'!$G$5:$G$2162,'октябрь 2024'!$D$5:$D$2162,$B154,'октябрь 2024'!$J$5:$J$2162,D$1)</f>
        <v>0</v>
      </c>
      <c r="E154" s="80">
        <f>SUMIFS('октябрь 2024'!$G$5:$G$2162,'октябрь 2024'!$D$5:$D$2162,$B154,'октябрь 2024'!$J$5:$J$2162,E$1)</f>
        <v>0</v>
      </c>
      <c r="F154" s="80">
        <f>SUMIFS('октябрь 2024'!$G$5:$G$2162,'октябрь 2024'!$D$5:$D$2162,$B154,'октябрь 2024'!$J$5:$J$2162,F$1)</f>
        <v>0</v>
      </c>
      <c r="G154" s="80">
        <f>SUMIFS('октябрь 2024'!$G$5:$G$2162,'октябрь 2024'!$D$5:$D$2162,$B154,'октябрь 2024'!$J$5:$J$2162,G$1)</f>
        <v>0</v>
      </c>
      <c r="H154" s="80">
        <f>SUMIFS('октябрь 2024'!$G$5:$G$2162,'октябрь 2024'!$D$5:$D$2162,$B154,'октябрь 2024'!$J$5:$J$2162,H$1)</f>
        <v>0</v>
      </c>
      <c r="I154" s="80">
        <f>SUMIFS('октябрь 2024'!$G$5:$G$2162,'октябрь 2024'!$D$5:$D$2162,$B154,'октябрь 2024'!$J$5:$J$2162,I$1)</f>
        <v>0</v>
      </c>
      <c r="J154" s="80">
        <f>SUMIFS('октябрь 2024'!$G$5:$G$2162,'октябрь 2024'!$D$5:$D$2162,$B154,'октябрь 2024'!$J$5:$J$2162,J$1)</f>
        <v>0</v>
      </c>
      <c r="K154" s="80">
        <f>SUMIFS('октябрь 2024'!$G$5:$G$2162,'октябрь 2024'!$D$5:$D$2162,$B154,'октябрь 2024'!$J$5:$J$2162,K$1)</f>
        <v>0</v>
      </c>
      <c r="L154" s="80">
        <f>SUMIFS('октябрь 2024'!$G$5:$G$2162,'октябрь 2024'!$D$5:$D$2162,$B154,'октябрь 2024'!$J$5:$J$2162,L$1)</f>
        <v>0</v>
      </c>
      <c r="M154" s="80">
        <f>SUMIFS('октябрь 2024'!$G$5:$G$2162,'октябрь 2024'!$D$5:$D$2162,$B154,'октябрь 2024'!$J$5:$J$2162,M$1)</f>
        <v>0</v>
      </c>
      <c r="N154" s="80">
        <f>SUMIFS('октябрь 2024'!$G$5:$G$2162,'октябрь 2024'!$D$5:$D$2162,$B154,'октябрь 2024'!$J$5:$J$2162,N$1)</f>
        <v>0</v>
      </c>
      <c r="O154" s="80">
        <f>SUMIFS('октябрь 2024'!$G$5:$G$2162,'октябрь 2024'!$D$5:$D$2162,$B154,'октябрь 2024'!$J$5:$J$2162,O$1)</f>
        <v>0</v>
      </c>
      <c r="P154" s="80">
        <f>SUMIFS('октябрь 2024'!$G$5:$G$2162,'октябрь 2024'!$D$5:$D$2162,$B154,'октябрь 2024'!$J$5:$J$2162,P$1)</f>
        <v>0</v>
      </c>
      <c r="Q154" s="80">
        <f>SUMIFS('октябрь 2024'!$G$5:$G$2162,'октябрь 2024'!$D$5:$D$2162,$B154,'октябрь 2024'!$J$5:$J$2162,Q$1)</f>
        <v>0</v>
      </c>
      <c r="R154" s="80">
        <f>SUMIFS('октябрь 2024'!$G$5:$G$2162,'октябрь 2024'!$D$5:$D$2162,$B154,'октябрь 2024'!$J$5:$J$2162,R$1)</f>
        <v>0</v>
      </c>
      <c r="S154" s="80">
        <f>SUMIFS('октябрь 2024'!$G$5:$G$2162,'октябрь 2024'!$D$5:$D$2162,$B154,'октябрь 2024'!$J$5:$J$2162,S$1)</f>
        <v>0</v>
      </c>
      <c r="T154" s="80">
        <f>SUMIFS('октябрь 2024'!$G$5:$G$2162,'октябрь 2024'!$D$5:$D$2162,$B154,'октябрь 2024'!$J$5:$J$2162,T$1)</f>
        <v>0</v>
      </c>
      <c r="U154" s="80">
        <f>SUMIFS('октябрь 2024'!$G$5:$G$2162,'октябрь 2024'!$D$5:$D$2162,$B154,'октябрь 2024'!$J$5:$J$2162,U$1)</f>
        <v>0</v>
      </c>
      <c r="V154" s="80">
        <f>SUMIFS('октябрь 2024'!$G$5:$G$2162,'октябрь 2024'!$D$5:$D$2162,$B154,'октябрь 2024'!$J$5:$J$2162,V$1)</f>
        <v>0</v>
      </c>
      <c r="W154" s="80">
        <f>SUMIFS('октябрь 2024'!$G$5:$G$2162,'октябрь 2024'!$D$5:$D$2162,$B154,'октябрь 2024'!$J$5:$J$2162,W$1)</f>
        <v>0</v>
      </c>
      <c r="X154" s="80">
        <f>SUMIFS('октябрь 2024'!$G$5:$G$2162,'октябрь 2024'!$D$5:$D$2162,$B154,'октябрь 2024'!$J$5:$J$2162,X$1)</f>
        <v>0</v>
      </c>
      <c r="Y154" s="80">
        <f>SUMIFS('октябрь 2024'!$G$5:$G$2162,'октябрь 2024'!$D$5:$D$2162,$B154,'октябрь 2024'!$J$5:$J$2162,Y$1)</f>
        <v>0</v>
      </c>
      <c r="Z154" s="80">
        <f>SUMIFS('октябрь 2024'!$G$5:$G$2162,'октябрь 2024'!$D$5:$D$2162,$B154,'октябрь 2024'!$J$5:$J$2162,Z$1)</f>
        <v>0</v>
      </c>
      <c r="AA154" s="80">
        <f>SUMIFS('октябрь 2024'!$G$5:$G$2162,'октябрь 2024'!$D$5:$D$2162,$B154,'октябрь 2024'!$J$5:$J$2162,AA$1)</f>
        <v>0</v>
      </c>
      <c r="AB154" s="80">
        <f>SUMIFS('октябрь 2024'!$G$5:$G$2162,'октябрь 2024'!$D$5:$D$2162,$B154,'октябрь 2024'!$J$5:$J$2162,AB$1)</f>
        <v>0</v>
      </c>
      <c r="AC154" s="80">
        <f>SUMIFS('октябрь 2024'!$G$5:$G$2162,'октябрь 2024'!$D$5:$D$2162,$B154,'октябрь 2024'!$J$5:$J$2162,AC$1)</f>
        <v>0</v>
      </c>
      <c r="AD154" s="80">
        <f>SUMIFS('октябрь 2024'!$G$5:$G$2162,'октябрь 2024'!$D$5:$D$2162,$B154,'октябрь 2024'!$J$5:$J$2162,AD$1)</f>
        <v>0</v>
      </c>
      <c r="AE154" s="80">
        <f>SUMIFS('октябрь 2024'!$G$5:$G$2162,'октябрь 2024'!$D$5:$D$2162,$B154,'октябрь 2024'!$J$5:$J$2162,AE$1)</f>
        <v>0</v>
      </c>
      <c r="AF154" s="80">
        <f>SUMIFS('октябрь 2024'!$G$5:$G$2162,'октябрь 2024'!$D$5:$D$2162,$B154,'октябрь 2024'!$J$5:$J$2162,AF$1)</f>
        <v>0</v>
      </c>
      <c r="AG154" s="80">
        <f>SUMIFS('октябрь 2024'!$G$5:$G$2162,'октябрь 2024'!$D$5:$D$2162,$B154,'октябрь 2024'!$J$5:$J$2162,AG$1)</f>
        <v>0</v>
      </c>
      <c r="AH154" s="80">
        <f>SUMIFS('октябрь 2024'!$G$5:$G$2162,'октябрь 2024'!$D$5:$D$2162,$B154,'октябрь 2024'!$J$5:$J$2162,AH$1)</f>
        <v>0</v>
      </c>
      <c r="AI154" s="21">
        <f>SUM(D154:AH154)</f>
        <v>0</v>
      </c>
    </row>
    <row r="155" spans="2:35" ht="15" hidden="1" customHeight="1" x14ac:dyDescent="0.25">
      <c r="B155" s="89"/>
      <c r="C155" s="88"/>
      <c r="D155" s="80">
        <f>SUMIFS('октябрь 2024'!$G$5:$G$2162,'октябрь 2024'!$D$5:$D$2162,$B155,'октябрь 2024'!$J$5:$J$2162,D$1)</f>
        <v>0</v>
      </c>
      <c r="E155" s="80">
        <f>SUMIFS('октябрь 2024'!$G$5:$G$2162,'октябрь 2024'!$D$5:$D$2162,$B155,'октябрь 2024'!$J$5:$J$2162,E$1)</f>
        <v>0</v>
      </c>
      <c r="F155" s="80">
        <f>SUMIFS('октябрь 2024'!$G$5:$G$2162,'октябрь 2024'!$D$5:$D$2162,$B155,'октябрь 2024'!$J$5:$J$2162,F$1)</f>
        <v>0</v>
      </c>
      <c r="G155" s="80">
        <f>SUMIFS('октябрь 2024'!$G$5:$G$2162,'октябрь 2024'!$D$5:$D$2162,$B155,'октябрь 2024'!$J$5:$J$2162,G$1)</f>
        <v>0</v>
      </c>
      <c r="H155" s="80">
        <f>SUMIFS('октябрь 2024'!$G$5:$G$2162,'октябрь 2024'!$D$5:$D$2162,$B155,'октябрь 2024'!$J$5:$J$2162,H$1)</f>
        <v>0</v>
      </c>
      <c r="I155" s="80">
        <f>SUMIFS('октябрь 2024'!$G$5:$G$2162,'октябрь 2024'!$D$5:$D$2162,$B155,'октябрь 2024'!$J$5:$J$2162,I$1)</f>
        <v>0</v>
      </c>
      <c r="J155" s="80">
        <f>SUMIFS('октябрь 2024'!$G$5:$G$2162,'октябрь 2024'!$D$5:$D$2162,$B155,'октябрь 2024'!$J$5:$J$2162,J$1)</f>
        <v>0</v>
      </c>
      <c r="K155" s="80">
        <f>SUMIFS('октябрь 2024'!$G$5:$G$2162,'октябрь 2024'!$D$5:$D$2162,$B155,'октябрь 2024'!$J$5:$J$2162,K$1)</f>
        <v>0</v>
      </c>
      <c r="L155" s="80">
        <f>SUMIFS('октябрь 2024'!$G$5:$G$2162,'октябрь 2024'!$D$5:$D$2162,$B155,'октябрь 2024'!$J$5:$J$2162,L$1)</f>
        <v>0</v>
      </c>
      <c r="M155" s="80">
        <f>SUMIFS('октябрь 2024'!$G$5:$G$2162,'октябрь 2024'!$D$5:$D$2162,$B155,'октябрь 2024'!$J$5:$J$2162,M$1)</f>
        <v>0</v>
      </c>
      <c r="N155" s="80">
        <f>SUMIFS('октябрь 2024'!$G$5:$G$2162,'октябрь 2024'!$D$5:$D$2162,$B155,'октябрь 2024'!$J$5:$J$2162,N$1)</f>
        <v>0</v>
      </c>
      <c r="O155" s="80">
        <f>SUMIFS('октябрь 2024'!$G$5:$G$2162,'октябрь 2024'!$D$5:$D$2162,$B155,'октябрь 2024'!$J$5:$J$2162,O$1)</f>
        <v>0</v>
      </c>
      <c r="P155" s="80">
        <f>SUMIFS('октябрь 2024'!$G$5:$G$2162,'октябрь 2024'!$D$5:$D$2162,$B155,'октябрь 2024'!$J$5:$J$2162,P$1)</f>
        <v>0</v>
      </c>
      <c r="Q155" s="80">
        <f>SUMIFS('октябрь 2024'!$G$5:$G$2162,'октябрь 2024'!$D$5:$D$2162,$B155,'октябрь 2024'!$J$5:$J$2162,Q$1)</f>
        <v>0</v>
      </c>
      <c r="R155" s="80">
        <f>SUMIFS('октябрь 2024'!$G$5:$G$2162,'октябрь 2024'!$D$5:$D$2162,$B155,'октябрь 2024'!$J$5:$J$2162,R$1)</f>
        <v>0</v>
      </c>
      <c r="S155" s="80">
        <f>SUMIFS('октябрь 2024'!$G$5:$G$2162,'октябрь 2024'!$D$5:$D$2162,$B155,'октябрь 2024'!$J$5:$J$2162,S$1)</f>
        <v>0</v>
      </c>
      <c r="T155" s="80">
        <f>SUMIFS('октябрь 2024'!$G$5:$G$2162,'октябрь 2024'!$D$5:$D$2162,$B155,'октябрь 2024'!$J$5:$J$2162,T$1)</f>
        <v>0</v>
      </c>
      <c r="U155" s="80">
        <f>SUMIFS('октябрь 2024'!$G$5:$G$2162,'октябрь 2024'!$D$5:$D$2162,$B155,'октябрь 2024'!$J$5:$J$2162,U$1)</f>
        <v>0</v>
      </c>
      <c r="V155" s="80">
        <f>SUMIFS('октябрь 2024'!$G$5:$G$2162,'октябрь 2024'!$D$5:$D$2162,$B155,'октябрь 2024'!$J$5:$J$2162,V$1)</f>
        <v>0</v>
      </c>
      <c r="W155" s="80">
        <f>SUMIFS('октябрь 2024'!$G$5:$G$2162,'октябрь 2024'!$D$5:$D$2162,$B155,'октябрь 2024'!$J$5:$J$2162,W$1)</f>
        <v>0</v>
      </c>
      <c r="X155" s="80">
        <f>SUMIFS('октябрь 2024'!$G$5:$G$2162,'октябрь 2024'!$D$5:$D$2162,$B155,'октябрь 2024'!$J$5:$J$2162,X$1)</f>
        <v>0</v>
      </c>
      <c r="Y155" s="80">
        <f>SUMIFS('октябрь 2024'!$G$5:$G$2162,'октябрь 2024'!$D$5:$D$2162,$B155,'октябрь 2024'!$J$5:$J$2162,Y$1)</f>
        <v>0</v>
      </c>
      <c r="Z155" s="80">
        <f>SUMIFS('октябрь 2024'!$G$5:$G$2162,'октябрь 2024'!$D$5:$D$2162,$B155,'октябрь 2024'!$J$5:$J$2162,Z$1)</f>
        <v>0</v>
      </c>
      <c r="AA155" s="80">
        <f>SUMIFS('октябрь 2024'!$G$5:$G$2162,'октябрь 2024'!$D$5:$D$2162,$B155,'октябрь 2024'!$J$5:$J$2162,AA$1)</f>
        <v>0</v>
      </c>
      <c r="AB155" s="80">
        <f>SUMIFS('октябрь 2024'!$G$5:$G$2162,'октябрь 2024'!$D$5:$D$2162,$B155,'октябрь 2024'!$J$5:$J$2162,AB$1)</f>
        <v>0</v>
      </c>
      <c r="AC155" s="80">
        <f>SUMIFS('октябрь 2024'!$G$5:$G$2162,'октябрь 2024'!$D$5:$D$2162,$B155,'октябрь 2024'!$J$5:$J$2162,AC$1)</f>
        <v>0</v>
      </c>
      <c r="AD155" s="80">
        <f>SUMIFS('октябрь 2024'!$G$5:$G$2162,'октябрь 2024'!$D$5:$D$2162,$B155,'октябрь 2024'!$J$5:$J$2162,AD$1)</f>
        <v>0</v>
      </c>
      <c r="AE155" s="80">
        <f>SUMIFS('октябрь 2024'!$G$5:$G$2162,'октябрь 2024'!$D$5:$D$2162,$B155,'октябрь 2024'!$J$5:$J$2162,AE$1)</f>
        <v>0</v>
      </c>
      <c r="AF155" s="80">
        <f>SUMIFS('октябрь 2024'!$G$5:$G$2162,'октябрь 2024'!$D$5:$D$2162,$B155,'октябрь 2024'!$J$5:$J$2162,AF$1)</f>
        <v>0</v>
      </c>
      <c r="AG155" s="80">
        <f>SUMIFS('октябрь 2024'!$G$5:$G$2162,'октябрь 2024'!$D$5:$D$2162,$B155,'октябрь 2024'!$J$5:$J$2162,AG$1)</f>
        <v>0</v>
      </c>
      <c r="AH155" s="80">
        <f>SUMIFS('октябрь 2024'!$G$5:$G$2162,'октябрь 2024'!$D$5:$D$2162,$B155,'октябрь 2024'!$J$5:$J$2162,AH$1)</f>
        <v>0</v>
      </c>
      <c r="AI155" s="87"/>
    </row>
    <row r="156" spans="2:35" ht="15" hidden="1" customHeight="1" x14ac:dyDescent="0.25">
      <c r="B156" s="89"/>
      <c r="C156" s="88"/>
      <c r="D156" s="80">
        <f>SUMIFS('октябрь 2024'!$G$5:$G$2162,'октябрь 2024'!$D$5:$D$2162,$B156,'октябрь 2024'!$J$5:$J$2162,D$1)</f>
        <v>0</v>
      </c>
      <c r="E156" s="80">
        <f>SUMIFS('октябрь 2024'!$G$5:$G$2162,'октябрь 2024'!$D$5:$D$2162,$B156,'октябрь 2024'!$J$5:$J$2162,E$1)</f>
        <v>0</v>
      </c>
      <c r="F156" s="80">
        <f>SUMIFS('октябрь 2024'!$G$5:$G$2162,'октябрь 2024'!$D$5:$D$2162,$B156,'октябрь 2024'!$J$5:$J$2162,F$1)</f>
        <v>0</v>
      </c>
      <c r="G156" s="80">
        <f>SUMIFS('октябрь 2024'!$G$5:$G$2162,'октябрь 2024'!$D$5:$D$2162,$B156,'октябрь 2024'!$J$5:$J$2162,G$1)</f>
        <v>0</v>
      </c>
      <c r="H156" s="80">
        <f>SUMIFS('октябрь 2024'!$G$5:$G$2162,'октябрь 2024'!$D$5:$D$2162,$B156,'октябрь 2024'!$J$5:$J$2162,H$1)</f>
        <v>0</v>
      </c>
      <c r="I156" s="80">
        <f>SUMIFS('октябрь 2024'!$G$5:$G$2162,'октябрь 2024'!$D$5:$D$2162,$B156,'октябрь 2024'!$J$5:$J$2162,I$1)</f>
        <v>0</v>
      </c>
      <c r="J156" s="80">
        <f>SUMIFS('октябрь 2024'!$G$5:$G$2162,'октябрь 2024'!$D$5:$D$2162,$B156,'октябрь 2024'!$J$5:$J$2162,J$1)</f>
        <v>0</v>
      </c>
      <c r="K156" s="80">
        <f>SUMIFS('октябрь 2024'!$G$5:$G$2162,'октябрь 2024'!$D$5:$D$2162,$B156,'октябрь 2024'!$J$5:$J$2162,K$1)</f>
        <v>0</v>
      </c>
      <c r="L156" s="80">
        <f>SUMIFS('октябрь 2024'!$G$5:$G$2162,'октябрь 2024'!$D$5:$D$2162,$B156,'октябрь 2024'!$J$5:$J$2162,L$1)</f>
        <v>0</v>
      </c>
      <c r="M156" s="80">
        <f>SUMIFS('октябрь 2024'!$G$5:$G$2162,'октябрь 2024'!$D$5:$D$2162,$B156,'октябрь 2024'!$J$5:$J$2162,M$1)</f>
        <v>0</v>
      </c>
      <c r="N156" s="80">
        <f>SUMIFS('октябрь 2024'!$G$5:$G$2162,'октябрь 2024'!$D$5:$D$2162,$B156,'октябрь 2024'!$J$5:$J$2162,N$1)</f>
        <v>0</v>
      </c>
      <c r="O156" s="80">
        <f>SUMIFS('октябрь 2024'!$G$5:$G$2162,'октябрь 2024'!$D$5:$D$2162,$B156,'октябрь 2024'!$J$5:$J$2162,O$1)</f>
        <v>0</v>
      </c>
      <c r="P156" s="80">
        <f>SUMIFS('октябрь 2024'!$G$5:$G$2162,'октябрь 2024'!$D$5:$D$2162,$B156,'октябрь 2024'!$J$5:$J$2162,P$1)</f>
        <v>0</v>
      </c>
      <c r="Q156" s="80">
        <f>SUMIFS('октябрь 2024'!$G$5:$G$2162,'октябрь 2024'!$D$5:$D$2162,$B156,'октябрь 2024'!$J$5:$J$2162,Q$1)</f>
        <v>0</v>
      </c>
      <c r="R156" s="80">
        <f>SUMIFS('октябрь 2024'!$G$5:$G$2162,'октябрь 2024'!$D$5:$D$2162,$B156,'октябрь 2024'!$J$5:$J$2162,R$1)</f>
        <v>0</v>
      </c>
      <c r="S156" s="80">
        <f>SUMIFS('октябрь 2024'!$G$5:$G$2162,'октябрь 2024'!$D$5:$D$2162,$B156,'октябрь 2024'!$J$5:$J$2162,S$1)</f>
        <v>0</v>
      </c>
      <c r="T156" s="80">
        <f>SUMIFS('октябрь 2024'!$G$5:$G$2162,'октябрь 2024'!$D$5:$D$2162,$B156,'октябрь 2024'!$J$5:$J$2162,T$1)</f>
        <v>0</v>
      </c>
      <c r="U156" s="80">
        <f>SUMIFS('октябрь 2024'!$G$5:$G$2162,'октябрь 2024'!$D$5:$D$2162,$B156,'октябрь 2024'!$J$5:$J$2162,U$1)</f>
        <v>0</v>
      </c>
      <c r="V156" s="80">
        <f>SUMIFS('октябрь 2024'!$G$5:$G$2162,'октябрь 2024'!$D$5:$D$2162,$B156,'октябрь 2024'!$J$5:$J$2162,V$1)</f>
        <v>0</v>
      </c>
      <c r="W156" s="80">
        <f>SUMIFS('октябрь 2024'!$G$5:$G$2162,'октябрь 2024'!$D$5:$D$2162,$B156,'октябрь 2024'!$J$5:$J$2162,W$1)</f>
        <v>0</v>
      </c>
      <c r="X156" s="80">
        <f>SUMIFS('октябрь 2024'!$G$5:$G$2162,'октябрь 2024'!$D$5:$D$2162,$B156,'октябрь 2024'!$J$5:$J$2162,X$1)</f>
        <v>0</v>
      </c>
      <c r="Y156" s="80">
        <f>SUMIFS('октябрь 2024'!$G$5:$G$2162,'октябрь 2024'!$D$5:$D$2162,$B156,'октябрь 2024'!$J$5:$J$2162,Y$1)</f>
        <v>0</v>
      </c>
      <c r="Z156" s="80">
        <f>SUMIFS('октябрь 2024'!$G$5:$G$2162,'октябрь 2024'!$D$5:$D$2162,$B156,'октябрь 2024'!$J$5:$J$2162,Z$1)</f>
        <v>0</v>
      </c>
      <c r="AA156" s="80">
        <f>SUMIFS('октябрь 2024'!$G$5:$G$2162,'октябрь 2024'!$D$5:$D$2162,$B156,'октябрь 2024'!$J$5:$J$2162,AA$1)</f>
        <v>0</v>
      </c>
      <c r="AB156" s="80">
        <f>SUMIFS('октябрь 2024'!$G$5:$G$2162,'октябрь 2024'!$D$5:$D$2162,$B156,'октябрь 2024'!$J$5:$J$2162,AB$1)</f>
        <v>0</v>
      </c>
      <c r="AC156" s="80">
        <f>SUMIFS('октябрь 2024'!$G$5:$G$2162,'октябрь 2024'!$D$5:$D$2162,$B156,'октябрь 2024'!$J$5:$J$2162,AC$1)</f>
        <v>0</v>
      </c>
      <c r="AD156" s="80">
        <f>SUMIFS('октябрь 2024'!$G$5:$G$2162,'октябрь 2024'!$D$5:$D$2162,$B156,'октябрь 2024'!$J$5:$J$2162,AD$1)</f>
        <v>0</v>
      </c>
      <c r="AE156" s="80">
        <f>SUMIFS('октябрь 2024'!$G$5:$G$2162,'октябрь 2024'!$D$5:$D$2162,$B156,'октябрь 2024'!$J$5:$J$2162,AE$1)</f>
        <v>0</v>
      </c>
      <c r="AF156" s="80">
        <f>SUMIFS('октябрь 2024'!$G$5:$G$2162,'октябрь 2024'!$D$5:$D$2162,$B156,'октябрь 2024'!$J$5:$J$2162,AF$1)</f>
        <v>0</v>
      </c>
      <c r="AG156" s="80">
        <f>SUMIFS('октябрь 2024'!$G$5:$G$2162,'октябрь 2024'!$D$5:$D$2162,$B156,'октябрь 2024'!$J$5:$J$2162,AG$1)</f>
        <v>0</v>
      </c>
      <c r="AH156" s="80">
        <f>SUMIFS('октябрь 2024'!$G$5:$G$2162,'октябрь 2024'!$D$5:$D$2162,$B156,'октябрь 2024'!$J$5:$J$2162,AH$1)</f>
        <v>0</v>
      </c>
      <c r="AI156" s="87"/>
    </row>
    <row r="157" spans="2:35" ht="15" hidden="1" customHeight="1" x14ac:dyDescent="0.25">
      <c r="B157" s="93"/>
      <c r="C157" s="88"/>
      <c r="D157" s="80">
        <f>SUMIFS('октябрь 2024'!$G$5:$G$2162,'октябрь 2024'!$D$5:$D$2162,$B157,'октябрь 2024'!$J$5:$J$2162,D$1)</f>
        <v>0</v>
      </c>
      <c r="E157" s="80">
        <f>SUMIFS('октябрь 2024'!$G$5:$G$2162,'октябрь 2024'!$D$5:$D$2162,$B157,'октябрь 2024'!$J$5:$J$2162,E$1)</f>
        <v>0</v>
      </c>
      <c r="F157" s="80">
        <f>SUMIFS('октябрь 2024'!$G$5:$G$2162,'октябрь 2024'!$D$5:$D$2162,$B157,'октябрь 2024'!$J$5:$J$2162,F$1)</f>
        <v>0</v>
      </c>
      <c r="G157" s="80">
        <f>SUMIFS('октябрь 2024'!$G$5:$G$2162,'октябрь 2024'!$D$5:$D$2162,$B157,'октябрь 2024'!$J$5:$J$2162,G$1)</f>
        <v>0</v>
      </c>
      <c r="H157" s="80">
        <f>SUMIFS('октябрь 2024'!$G$5:$G$2162,'октябрь 2024'!$D$5:$D$2162,$B157,'октябрь 2024'!$J$5:$J$2162,H$1)</f>
        <v>0</v>
      </c>
      <c r="I157" s="80">
        <f>SUMIFS('октябрь 2024'!$G$5:$G$2162,'октябрь 2024'!$D$5:$D$2162,$B157,'октябрь 2024'!$J$5:$J$2162,I$1)</f>
        <v>0</v>
      </c>
      <c r="J157" s="80">
        <f>SUMIFS('октябрь 2024'!$G$5:$G$2162,'октябрь 2024'!$D$5:$D$2162,$B157,'октябрь 2024'!$J$5:$J$2162,J$1)</f>
        <v>0</v>
      </c>
      <c r="K157" s="80">
        <f>SUMIFS('октябрь 2024'!$G$5:$G$2162,'октябрь 2024'!$D$5:$D$2162,$B157,'октябрь 2024'!$J$5:$J$2162,K$1)</f>
        <v>0</v>
      </c>
      <c r="L157" s="80">
        <f>SUMIFS('октябрь 2024'!$G$5:$G$2162,'октябрь 2024'!$D$5:$D$2162,$B157,'октябрь 2024'!$J$5:$J$2162,L$1)</f>
        <v>0</v>
      </c>
      <c r="M157" s="80">
        <f>SUMIFS('октябрь 2024'!$G$5:$G$2162,'октябрь 2024'!$D$5:$D$2162,$B157,'октябрь 2024'!$J$5:$J$2162,M$1)</f>
        <v>0</v>
      </c>
      <c r="N157" s="80">
        <f>SUMIFS('октябрь 2024'!$G$5:$G$2162,'октябрь 2024'!$D$5:$D$2162,$B157,'октябрь 2024'!$J$5:$J$2162,N$1)</f>
        <v>0</v>
      </c>
      <c r="O157" s="80">
        <f>SUMIFS('октябрь 2024'!$G$5:$G$2162,'октябрь 2024'!$D$5:$D$2162,$B157,'октябрь 2024'!$J$5:$J$2162,O$1)</f>
        <v>0</v>
      </c>
      <c r="P157" s="80">
        <f>SUMIFS('октябрь 2024'!$G$5:$G$2162,'октябрь 2024'!$D$5:$D$2162,$B157,'октябрь 2024'!$J$5:$J$2162,P$1)</f>
        <v>0</v>
      </c>
      <c r="Q157" s="80">
        <f>SUMIFS('октябрь 2024'!$G$5:$G$2162,'октябрь 2024'!$D$5:$D$2162,$B157,'октябрь 2024'!$J$5:$J$2162,Q$1)</f>
        <v>0</v>
      </c>
      <c r="R157" s="80">
        <f>SUMIFS('октябрь 2024'!$G$5:$G$2162,'октябрь 2024'!$D$5:$D$2162,$B157,'октябрь 2024'!$J$5:$J$2162,R$1)</f>
        <v>0</v>
      </c>
      <c r="S157" s="80">
        <f>SUMIFS('октябрь 2024'!$G$5:$G$2162,'октябрь 2024'!$D$5:$D$2162,$B157,'октябрь 2024'!$J$5:$J$2162,S$1)</f>
        <v>0</v>
      </c>
      <c r="T157" s="80">
        <f>SUMIFS('октябрь 2024'!$G$5:$G$2162,'октябрь 2024'!$D$5:$D$2162,$B157,'октябрь 2024'!$J$5:$J$2162,T$1)</f>
        <v>0</v>
      </c>
      <c r="U157" s="80">
        <f>SUMIFS('октябрь 2024'!$G$5:$G$2162,'октябрь 2024'!$D$5:$D$2162,$B157,'октябрь 2024'!$J$5:$J$2162,U$1)</f>
        <v>0</v>
      </c>
      <c r="V157" s="80">
        <f>SUMIFS('октябрь 2024'!$G$5:$G$2162,'октябрь 2024'!$D$5:$D$2162,$B157,'октябрь 2024'!$J$5:$J$2162,V$1)</f>
        <v>0</v>
      </c>
      <c r="W157" s="80">
        <f>SUMIFS('октябрь 2024'!$G$5:$G$2162,'октябрь 2024'!$D$5:$D$2162,$B157,'октябрь 2024'!$J$5:$J$2162,W$1)</f>
        <v>0</v>
      </c>
      <c r="X157" s="80">
        <f>SUMIFS('октябрь 2024'!$G$5:$G$2162,'октябрь 2024'!$D$5:$D$2162,$B157,'октябрь 2024'!$J$5:$J$2162,X$1)</f>
        <v>0</v>
      </c>
      <c r="Y157" s="80">
        <f>SUMIFS('октябрь 2024'!$G$5:$G$2162,'октябрь 2024'!$D$5:$D$2162,$B157,'октябрь 2024'!$J$5:$J$2162,Y$1)</f>
        <v>0</v>
      </c>
      <c r="Z157" s="80">
        <f>SUMIFS('октябрь 2024'!$G$5:$G$2162,'октябрь 2024'!$D$5:$D$2162,$B157,'октябрь 2024'!$J$5:$J$2162,Z$1)</f>
        <v>0</v>
      </c>
      <c r="AA157" s="80">
        <f>SUMIFS('октябрь 2024'!$G$5:$G$2162,'октябрь 2024'!$D$5:$D$2162,$B157,'октябрь 2024'!$J$5:$J$2162,AA$1)</f>
        <v>0</v>
      </c>
      <c r="AB157" s="80">
        <f>SUMIFS('октябрь 2024'!$G$5:$G$2162,'октябрь 2024'!$D$5:$D$2162,$B157,'октябрь 2024'!$J$5:$J$2162,AB$1)</f>
        <v>0</v>
      </c>
      <c r="AC157" s="80">
        <f>SUMIFS('октябрь 2024'!$G$5:$G$2162,'октябрь 2024'!$D$5:$D$2162,$B157,'октябрь 2024'!$J$5:$J$2162,AC$1)</f>
        <v>0</v>
      </c>
      <c r="AD157" s="80">
        <f>SUMIFS('октябрь 2024'!$G$5:$G$2162,'октябрь 2024'!$D$5:$D$2162,$B157,'октябрь 2024'!$J$5:$J$2162,AD$1)</f>
        <v>0</v>
      </c>
      <c r="AE157" s="80">
        <f>SUMIFS('октябрь 2024'!$G$5:$G$2162,'октябрь 2024'!$D$5:$D$2162,$B157,'октябрь 2024'!$J$5:$J$2162,AE$1)</f>
        <v>0</v>
      </c>
      <c r="AF157" s="80">
        <f>SUMIFS('октябрь 2024'!$G$5:$G$2162,'октябрь 2024'!$D$5:$D$2162,$B157,'октябрь 2024'!$J$5:$J$2162,AF$1)</f>
        <v>0</v>
      </c>
      <c r="AG157" s="80">
        <f>SUMIFS('октябрь 2024'!$G$5:$G$2162,'октябрь 2024'!$D$5:$D$2162,$B157,'октябрь 2024'!$J$5:$J$2162,AG$1)</f>
        <v>0</v>
      </c>
      <c r="AH157" s="80">
        <f>SUMIFS('октябрь 2024'!$G$5:$G$2162,'октябрь 2024'!$D$5:$D$2162,$B157,'октябрь 2024'!$J$5:$J$2162,AH$1)</f>
        <v>0</v>
      </c>
      <c r="AI157" s="87"/>
    </row>
    <row r="158" spans="2:35" ht="15" hidden="1" customHeight="1" x14ac:dyDescent="0.25">
      <c r="B158" s="93"/>
      <c r="C158" s="91"/>
      <c r="D158" s="80">
        <f>SUMIFS('октябрь 2024'!$G$5:$G$2162,'октябрь 2024'!$D$5:$D$2162,$B158,'октябрь 2024'!$J$5:$J$2162,D$1)</f>
        <v>0</v>
      </c>
      <c r="E158" s="80">
        <f>SUMIFS('октябрь 2024'!$G$5:$G$2162,'октябрь 2024'!$D$5:$D$2162,$B158,'октябрь 2024'!$J$5:$J$2162,E$1)</f>
        <v>0</v>
      </c>
      <c r="F158" s="80">
        <f>SUMIFS('октябрь 2024'!$G$5:$G$2162,'октябрь 2024'!$D$5:$D$2162,$B158,'октябрь 2024'!$J$5:$J$2162,F$1)</f>
        <v>0</v>
      </c>
      <c r="G158" s="80">
        <f>SUMIFS('октябрь 2024'!$G$5:$G$2162,'октябрь 2024'!$D$5:$D$2162,$B158,'октябрь 2024'!$J$5:$J$2162,G$1)</f>
        <v>0</v>
      </c>
      <c r="H158" s="80">
        <f>SUMIFS('октябрь 2024'!$G$5:$G$2162,'октябрь 2024'!$D$5:$D$2162,$B158,'октябрь 2024'!$J$5:$J$2162,H$1)</f>
        <v>0</v>
      </c>
      <c r="I158" s="80">
        <f>SUMIFS('октябрь 2024'!$G$5:$G$2162,'октябрь 2024'!$D$5:$D$2162,$B158,'октябрь 2024'!$J$5:$J$2162,I$1)</f>
        <v>0</v>
      </c>
      <c r="J158" s="80">
        <f>SUMIFS('октябрь 2024'!$G$5:$G$2162,'октябрь 2024'!$D$5:$D$2162,$B158,'октябрь 2024'!$J$5:$J$2162,J$1)</f>
        <v>0</v>
      </c>
      <c r="K158" s="80">
        <f>SUMIFS('октябрь 2024'!$G$5:$G$2162,'октябрь 2024'!$D$5:$D$2162,$B158,'октябрь 2024'!$J$5:$J$2162,K$1)</f>
        <v>0</v>
      </c>
      <c r="L158" s="80">
        <f>SUMIFS('октябрь 2024'!$G$5:$G$2162,'октябрь 2024'!$D$5:$D$2162,$B158,'октябрь 2024'!$J$5:$J$2162,L$1)</f>
        <v>0</v>
      </c>
      <c r="M158" s="80">
        <f>SUMIFS('октябрь 2024'!$G$5:$G$2162,'октябрь 2024'!$D$5:$D$2162,$B158,'октябрь 2024'!$J$5:$J$2162,M$1)</f>
        <v>0</v>
      </c>
      <c r="N158" s="80">
        <f>SUMIFS('октябрь 2024'!$G$5:$G$2162,'октябрь 2024'!$D$5:$D$2162,$B158,'октябрь 2024'!$J$5:$J$2162,N$1)</f>
        <v>0</v>
      </c>
      <c r="O158" s="80">
        <f>SUMIFS('октябрь 2024'!$G$5:$G$2162,'октябрь 2024'!$D$5:$D$2162,$B158,'октябрь 2024'!$J$5:$J$2162,O$1)</f>
        <v>0</v>
      </c>
      <c r="P158" s="80">
        <f>SUMIFS('октябрь 2024'!$G$5:$G$2162,'октябрь 2024'!$D$5:$D$2162,$B158,'октябрь 2024'!$J$5:$J$2162,P$1)</f>
        <v>0</v>
      </c>
      <c r="Q158" s="80">
        <f>SUMIFS('октябрь 2024'!$G$5:$G$2162,'октябрь 2024'!$D$5:$D$2162,$B158,'октябрь 2024'!$J$5:$J$2162,Q$1)</f>
        <v>0</v>
      </c>
      <c r="R158" s="80">
        <f>SUMIFS('октябрь 2024'!$G$5:$G$2162,'октябрь 2024'!$D$5:$D$2162,$B158,'октябрь 2024'!$J$5:$J$2162,R$1)</f>
        <v>0</v>
      </c>
      <c r="S158" s="80">
        <f>SUMIFS('октябрь 2024'!$G$5:$G$2162,'октябрь 2024'!$D$5:$D$2162,$B158,'октябрь 2024'!$J$5:$J$2162,S$1)</f>
        <v>0</v>
      </c>
      <c r="T158" s="80">
        <f>SUMIFS('октябрь 2024'!$G$5:$G$2162,'октябрь 2024'!$D$5:$D$2162,$B158,'октябрь 2024'!$J$5:$J$2162,T$1)</f>
        <v>0</v>
      </c>
      <c r="U158" s="80">
        <f>SUMIFS('октябрь 2024'!$G$5:$G$2162,'октябрь 2024'!$D$5:$D$2162,$B158,'октябрь 2024'!$J$5:$J$2162,U$1)</f>
        <v>0</v>
      </c>
      <c r="V158" s="80">
        <f>SUMIFS('октябрь 2024'!$G$5:$G$2162,'октябрь 2024'!$D$5:$D$2162,$B158,'октябрь 2024'!$J$5:$J$2162,V$1)</f>
        <v>0</v>
      </c>
      <c r="W158" s="80">
        <f>SUMIFS('октябрь 2024'!$G$5:$G$2162,'октябрь 2024'!$D$5:$D$2162,$B158,'октябрь 2024'!$J$5:$J$2162,W$1)</f>
        <v>0</v>
      </c>
      <c r="X158" s="80">
        <f>SUMIFS('октябрь 2024'!$G$5:$G$2162,'октябрь 2024'!$D$5:$D$2162,$B158,'октябрь 2024'!$J$5:$J$2162,X$1)</f>
        <v>0</v>
      </c>
      <c r="Y158" s="80">
        <f>SUMIFS('октябрь 2024'!$G$5:$G$2162,'октябрь 2024'!$D$5:$D$2162,$B158,'октябрь 2024'!$J$5:$J$2162,Y$1)</f>
        <v>0</v>
      </c>
      <c r="Z158" s="80">
        <f>SUMIFS('октябрь 2024'!$G$5:$G$2162,'октябрь 2024'!$D$5:$D$2162,$B158,'октябрь 2024'!$J$5:$J$2162,Z$1)</f>
        <v>0</v>
      </c>
      <c r="AA158" s="80">
        <f>SUMIFS('октябрь 2024'!$G$5:$G$2162,'октябрь 2024'!$D$5:$D$2162,$B158,'октябрь 2024'!$J$5:$J$2162,AA$1)</f>
        <v>0</v>
      </c>
      <c r="AB158" s="80">
        <f>SUMIFS('октябрь 2024'!$G$5:$G$2162,'октябрь 2024'!$D$5:$D$2162,$B158,'октябрь 2024'!$J$5:$J$2162,AB$1)</f>
        <v>0</v>
      </c>
      <c r="AC158" s="80">
        <f>SUMIFS('октябрь 2024'!$G$5:$G$2162,'октябрь 2024'!$D$5:$D$2162,$B158,'октябрь 2024'!$J$5:$J$2162,AC$1)</f>
        <v>0</v>
      </c>
      <c r="AD158" s="80">
        <f>SUMIFS('октябрь 2024'!$G$5:$G$2162,'октябрь 2024'!$D$5:$D$2162,$B158,'октябрь 2024'!$J$5:$J$2162,AD$1)</f>
        <v>0</v>
      </c>
      <c r="AE158" s="80">
        <f>SUMIFS('октябрь 2024'!$G$5:$G$2162,'октябрь 2024'!$D$5:$D$2162,$B158,'октябрь 2024'!$J$5:$J$2162,AE$1)</f>
        <v>0</v>
      </c>
      <c r="AF158" s="80">
        <f>SUMIFS('октябрь 2024'!$G$5:$G$2162,'октябрь 2024'!$D$5:$D$2162,$B158,'октябрь 2024'!$J$5:$J$2162,AF$1)</f>
        <v>0</v>
      </c>
      <c r="AG158" s="80">
        <f>SUMIFS('октябрь 2024'!$G$5:$G$2162,'октябрь 2024'!$D$5:$D$2162,$B158,'октябрь 2024'!$J$5:$J$2162,AG$1)</f>
        <v>0</v>
      </c>
      <c r="AH158" s="80">
        <f>SUMIFS('октябрь 2024'!$G$5:$G$2162,'октябрь 2024'!$D$5:$D$2162,$B158,'октябрь 2024'!$J$5:$J$2162,AH$1)</f>
        <v>0</v>
      </c>
      <c r="AI158" s="87"/>
    </row>
    <row r="159" spans="2:35" ht="15" hidden="1" customHeight="1" x14ac:dyDescent="0.25">
      <c r="B159" s="89"/>
      <c r="C159" s="88"/>
      <c r="D159" s="80">
        <f>SUMIFS('октябрь 2024'!$G$5:$G$2162,'октябрь 2024'!$D$5:$D$2162,$B159,'октябрь 2024'!$J$5:$J$2162,D$1)</f>
        <v>0</v>
      </c>
      <c r="E159" s="80">
        <f>SUMIFS('октябрь 2024'!$G$5:$G$2162,'октябрь 2024'!$D$5:$D$2162,$B159,'октябрь 2024'!$J$5:$J$2162,E$1)</f>
        <v>0</v>
      </c>
      <c r="F159" s="80">
        <f>SUMIFS('октябрь 2024'!$G$5:$G$2162,'октябрь 2024'!$D$5:$D$2162,$B159,'октябрь 2024'!$J$5:$J$2162,F$1)</f>
        <v>0</v>
      </c>
      <c r="G159" s="80">
        <f>SUMIFS('октябрь 2024'!$G$5:$G$2162,'октябрь 2024'!$D$5:$D$2162,$B159,'октябрь 2024'!$J$5:$J$2162,G$1)</f>
        <v>0</v>
      </c>
      <c r="H159" s="80">
        <f>SUMIFS('октябрь 2024'!$G$5:$G$2162,'октябрь 2024'!$D$5:$D$2162,$B159,'октябрь 2024'!$J$5:$J$2162,H$1)</f>
        <v>0</v>
      </c>
      <c r="I159" s="80">
        <f>SUMIFS('октябрь 2024'!$G$5:$G$2162,'октябрь 2024'!$D$5:$D$2162,$B159,'октябрь 2024'!$J$5:$J$2162,I$1)</f>
        <v>0</v>
      </c>
      <c r="J159" s="80">
        <f>SUMIFS('октябрь 2024'!$G$5:$G$2162,'октябрь 2024'!$D$5:$D$2162,$B159,'октябрь 2024'!$J$5:$J$2162,J$1)</f>
        <v>0</v>
      </c>
      <c r="K159" s="80">
        <f>SUMIFS('октябрь 2024'!$G$5:$G$2162,'октябрь 2024'!$D$5:$D$2162,$B159,'октябрь 2024'!$J$5:$J$2162,K$1)</f>
        <v>0</v>
      </c>
      <c r="L159" s="80">
        <f>SUMIFS('октябрь 2024'!$G$5:$G$2162,'октябрь 2024'!$D$5:$D$2162,$B159,'октябрь 2024'!$J$5:$J$2162,L$1)</f>
        <v>0</v>
      </c>
      <c r="M159" s="80">
        <f>SUMIFS('октябрь 2024'!$G$5:$G$2162,'октябрь 2024'!$D$5:$D$2162,$B159,'октябрь 2024'!$J$5:$J$2162,M$1)</f>
        <v>0</v>
      </c>
      <c r="N159" s="80">
        <f>SUMIFS('октябрь 2024'!$G$5:$G$2162,'октябрь 2024'!$D$5:$D$2162,$B159,'октябрь 2024'!$J$5:$J$2162,N$1)</f>
        <v>0</v>
      </c>
      <c r="O159" s="80">
        <f>SUMIFS('октябрь 2024'!$G$5:$G$2162,'октябрь 2024'!$D$5:$D$2162,$B159,'октябрь 2024'!$J$5:$J$2162,O$1)</f>
        <v>0</v>
      </c>
      <c r="P159" s="80">
        <f>SUMIFS('октябрь 2024'!$G$5:$G$2162,'октябрь 2024'!$D$5:$D$2162,$B159,'октябрь 2024'!$J$5:$J$2162,P$1)</f>
        <v>0</v>
      </c>
      <c r="Q159" s="80">
        <f>SUMIFS('октябрь 2024'!$G$5:$G$2162,'октябрь 2024'!$D$5:$D$2162,$B159,'октябрь 2024'!$J$5:$J$2162,Q$1)</f>
        <v>0</v>
      </c>
      <c r="R159" s="80">
        <f>SUMIFS('октябрь 2024'!$G$5:$G$2162,'октябрь 2024'!$D$5:$D$2162,$B159,'октябрь 2024'!$J$5:$J$2162,R$1)</f>
        <v>0</v>
      </c>
      <c r="S159" s="80">
        <f>SUMIFS('октябрь 2024'!$G$5:$G$2162,'октябрь 2024'!$D$5:$D$2162,$B159,'октябрь 2024'!$J$5:$J$2162,S$1)</f>
        <v>0</v>
      </c>
      <c r="T159" s="80">
        <f>SUMIFS('октябрь 2024'!$G$5:$G$2162,'октябрь 2024'!$D$5:$D$2162,$B159,'октябрь 2024'!$J$5:$J$2162,T$1)</f>
        <v>0</v>
      </c>
      <c r="U159" s="80">
        <f>SUMIFS('октябрь 2024'!$G$5:$G$2162,'октябрь 2024'!$D$5:$D$2162,$B159,'октябрь 2024'!$J$5:$J$2162,U$1)</f>
        <v>0</v>
      </c>
      <c r="V159" s="80">
        <f>SUMIFS('октябрь 2024'!$G$5:$G$2162,'октябрь 2024'!$D$5:$D$2162,$B159,'октябрь 2024'!$J$5:$J$2162,V$1)</f>
        <v>0</v>
      </c>
      <c r="W159" s="80">
        <f>SUMIFS('октябрь 2024'!$G$5:$G$2162,'октябрь 2024'!$D$5:$D$2162,$B159,'октябрь 2024'!$J$5:$J$2162,W$1)</f>
        <v>0</v>
      </c>
      <c r="X159" s="80">
        <f>SUMIFS('октябрь 2024'!$G$5:$G$2162,'октябрь 2024'!$D$5:$D$2162,$B159,'октябрь 2024'!$J$5:$J$2162,X$1)</f>
        <v>0</v>
      </c>
      <c r="Y159" s="80">
        <f>SUMIFS('октябрь 2024'!$G$5:$G$2162,'октябрь 2024'!$D$5:$D$2162,$B159,'октябрь 2024'!$J$5:$J$2162,Y$1)</f>
        <v>0</v>
      </c>
      <c r="Z159" s="80">
        <f>SUMIFS('октябрь 2024'!$G$5:$G$2162,'октябрь 2024'!$D$5:$D$2162,$B159,'октябрь 2024'!$J$5:$J$2162,Z$1)</f>
        <v>0</v>
      </c>
      <c r="AA159" s="80">
        <f>SUMIFS('октябрь 2024'!$G$5:$G$2162,'октябрь 2024'!$D$5:$D$2162,$B159,'октябрь 2024'!$J$5:$J$2162,AA$1)</f>
        <v>0</v>
      </c>
      <c r="AB159" s="80">
        <f>SUMIFS('октябрь 2024'!$G$5:$G$2162,'октябрь 2024'!$D$5:$D$2162,$B159,'октябрь 2024'!$J$5:$J$2162,AB$1)</f>
        <v>0</v>
      </c>
      <c r="AC159" s="80">
        <f>SUMIFS('октябрь 2024'!$G$5:$G$2162,'октябрь 2024'!$D$5:$D$2162,$B159,'октябрь 2024'!$J$5:$J$2162,AC$1)</f>
        <v>0</v>
      </c>
      <c r="AD159" s="80">
        <f>SUMIFS('октябрь 2024'!$G$5:$G$2162,'октябрь 2024'!$D$5:$D$2162,$B159,'октябрь 2024'!$J$5:$J$2162,AD$1)</f>
        <v>0</v>
      </c>
      <c r="AE159" s="80">
        <f>SUMIFS('октябрь 2024'!$G$5:$G$2162,'октябрь 2024'!$D$5:$D$2162,$B159,'октябрь 2024'!$J$5:$J$2162,AE$1)</f>
        <v>0</v>
      </c>
      <c r="AF159" s="80">
        <f>SUMIFS('октябрь 2024'!$G$5:$G$2162,'октябрь 2024'!$D$5:$D$2162,$B159,'октябрь 2024'!$J$5:$J$2162,AF$1)</f>
        <v>0</v>
      </c>
      <c r="AG159" s="80">
        <f>SUMIFS('октябрь 2024'!$G$5:$G$2162,'октябрь 2024'!$D$5:$D$2162,$B159,'октябрь 2024'!$J$5:$J$2162,AG$1)</f>
        <v>0</v>
      </c>
      <c r="AH159" s="80">
        <f>SUMIFS('октябрь 2024'!$G$5:$G$2162,'октябрь 2024'!$D$5:$D$2162,$B159,'октябрь 2024'!$J$5:$J$2162,AH$1)</f>
        <v>0</v>
      </c>
      <c r="AI159" s="87"/>
    </row>
    <row r="160" spans="2:35" ht="15" hidden="1" customHeight="1" x14ac:dyDescent="0.25">
      <c r="B160" s="92"/>
      <c r="C160" s="91"/>
      <c r="D160" s="80">
        <f>SUMIFS('октябрь 2024'!$G$5:$G$2162,'октябрь 2024'!$D$5:$D$2162,$B160,'октябрь 2024'!$J$5:$J$2162,D$1)</f>
        <v>0</v>
      </c>
      <c r="E160" s="80">
        <f>SUMIFS('октябрь 2024'!$G$5:$G$2162,'октябрь 2024'!$D$5:$D$2162,$B160,'октябрь 2024'!$J$5:$J$2162,E$1)</f>
        <v>0</v>
      </c>
      <c r="F160" s="80">
        <f>SUMIFS('октябрь 2024'!$G$5:$G$2162,'октябрь 2024'!$D$5:$D$2162,$B160,'октябрь 2024'!$J$5:$J$2162,F$1)</f>
        <v>0</v>
      </c>
      <c r="G160" s="80">
        <f>SUMIFS('октябрь 2024'!$G$5:$G$2162,'октябрь 2024'!$D$5:$D$2162,$B160,'октябрь 2024'!$J$5:$J$2162,G$1)</f>
        <v>0</v>
      </c>
      <c r="H160" s="80">
        <f>SUMIFS('октябрь 2024'!$G$5:$G$2162,'октябрь 2024'!$D$5:$D$2162,$B160,'октябрь 2024'!$J$5:$J$2162,H$1)</f>
        <v>0</v>
      </c>
      <c r="I160" s="80">
        <f>SUMIFS('октябрь 2024'!$G$5:$G$2162,'октябрь 2024'!$D$5:$D$2162,$B160,'октябрь 2024'!$J$5:$J$2162,I$1)</f>
        <v>0</v>
      </c>
      <c r="J160" s="80">
        <f>SUMIFS('октябрь 2024'!$G$5:$G$2162,'октябрь 2024'!$D$5:$D$2162,$B160,'октябрь 2024'!$J$5:$J$2162,J$1)</f>
        <v>0</v>
      </c>
      <c r="K160" s="80">
        <f>SUMIFS('октябрь 2024'!$G$5:$G$2162,'октябрь 2024'!$D$5:$D$2162,$B160,'октябрь 2024'!$J$5:$J$2162,K$1)</f>
        <v>0</v>
      </c>
      <c r="L160" s="80">
        <f>SUMIFS('октябрь 2024'!$G$5:$G$2162,'октябрь 2024'!$D$5:$D$2162,$B160,'октябрь 2024'!$J$5:$J$2162,L$1)</f>
        <v>0</v>
      </c>
      <c r="M160" s="80">
        <f>SUMIFS('октябрь 2024'!$G$5:$G$2162,'октябрь 2024'!$D$5:$D$2162,$B160,'октябрь 2024'!$J$5:$J$2162,M$1)</f>
        <v>0</v>
      </c>
      <c r="N160" s="80">
        <f>SUMIFS('октябрь 2024'!$G$5:$G$2162,'октябрь 2024'!$D$5:$D$2162,$B160,'октябрь 2024'!$J$5:$J$2162,N$1)</f>
        <v>0</v>
      </c>
      <c r="O160" s="80">
        <f>SUMIFS('октябрь 2024'!$G$5:$G$2162,'октябрь 2024'!$D$5:$D$2162,$B160,'октябрь 2024'!$J$5:$J$2162,O$1)</f>
        <v>0</v>
      </c>
      <c r="P160" s="80">
        <f>SUMIFS('октябрь 2024'!$G$5:$G$2162,'октябрь 2024'!$D$5:$D$2162,$B160,'октябрь 2024'!$J$5:$J$2162,P$1)</f>
        <v>0</v>
      </c>
      <c r="Q160" s="80">
        <f>SUMIFS('октябрь 2024'!$G$5:$G$2162,'октябрь 2024'!$D$5:$D$2162,$B160,'октябрь 2024'!$J$5:$J$2162,Q$1)</f>
        <v>0</v>
      </c>
      <c r="R160" s="80">
        <f>SUMIFS('октябрь 2024'!$G$5:$G$2162,'октябрь 2024'!$D$5:$D$2162,$B160,'октябрь 2024'!$J$5:$J$2162,R$1)</f>
        <v>0</v>
      </c>
      <c r="S160" s="80">
        <f>SUMIFS('октябрь 2024'!$G$5:$G$2162,'октябрь 2024'!$D$5:$D$2162,$B160,'октябрь 2024'!$J$5:$J$2162,S$1)</f>
        <v>0</v>
      </c>
      <c r="T160" s="80">
        <f>SUMIFS('октябрь 2024'!$G$5:$G$2162,'октябрь 2024'!$D$5:$D$2162,$B160,'октябрь 2024'!$J$5:$J$2162,T$1)</f>
        <v>0</v>
      </c>
      <c r="U160" s="80">
        <f>SUMIFS('октябрь 2024'!$G$5:$G$2162,'октябрь 2024'!$D$5:$D$2162,$B160,'октябрь 2024'!$J$5:$J$2162,U$1)</f>
        <v>0</v>
      </c>
      <c r="V160" s="80">
        <f>SUMIFS('октябрь 2024'!$G$5:$G$2162,'октябрь 2024'!$D$5:$D$2162,$B160,'октябрь 2024'!$J$5:$J$2162,V$1)</f>
        <v>0</v>
      </c>
      <c r="W160" s="80">
        <f>SUMIFS('октябрь 2024'!$G$5:$G$2162,'октябрь 2024'!$D$5:$D$2162,$B160,'октябрь 2024'!$J$5:$J$2162,W$1)</f>
        <v>0</v>
      </c>
      <c r="X160" s="80">
        <f>SUMIFS('октябрь 2024'!$G$5:$G$2162,'октябрь 2024'!$D$5:$D$2162,$B160,'октябрь 2024'!$J$5:$J$2162,X$1)</f>
        <v>0</v>
      </c>
      <c r="Y160" s="80">
        <f>SUMIFS('октябрь 2024'!$G$5:$G$2162,'октябрь 2024'!$D$5:$D$2162,$B160,'октябрь 2024'!$J$5:$J$2162,Y$1)</f>
        <v>0</v>
      </c>
      <c r="Z160" s="80">
        <f>SUMIFS('октябрь 2024'!$G$5:$G$2162,'октябрь 2024'!$D$5:$D$2162,$B160,'октябрь 2024'!$J$5:$J$2162,Z$1)</f>
        <v>0</v>
      </c>
      <c r="AA160" s="80">
        <f>SUMIFS('октябрь 2024'!$G$5:$G$2162,'октябрь 2024'!$D$5:$D$2162,$B160,'октябрь 2024'!$J$5:$J$2162,AA$1)</f>
        <v>0</v>
      </c>
      <c r="AB160" s="80">
        <f>SUMIFS('октябрь 2024'!$G$5:$G$2162,'октябрь 2024'!$D$5:$D$2162,$B160,'октябрь 2024'!$J$5:$J$2162,AB$1)</f>
        <v>0</v>
      </c>
      <c r="AC160" s="80">
        <f>SUMIFS('октябрь 2024'!$G$5:$G$2162,'октябрь 2024'!$D$5:$D$2162,$B160,'октябрь 2024'!$J$5:$J$2162,AC$1)</f>
        <v>0</v>
      </c>
      <c r="AD160" s="80">
        <f>SUMIFS('октябрь 2024'!$G$5:$G$2162,'октябрь 2024'!$D$5:$D$2162,$B160,'октябрь 2024'!$J$5:$J$2162,AD$1)</f>
        <v>0</v>
      </c>
      <c r="AE160" s="80">
        <f>SUMIFS('октябрь 2024'!$G$5:$G$2162,'октябрь 2024'!$D$5:$D$2162,$B160,'октябрь 2024'!$J$5:$J$2162,AE$1)</f>
        <v>0</v>
      </c>
      <c r="AF160" s="80">
        <f>SUMIFS('октябрь 2024'!$G$5:$G$2162,'октябрь 2024'!$D$5:$D$2162,$B160,'октябрь 2024'!$J$5:$J$2162,AF$1)</f>
        <v>0</v>
      </c>
      <c r="AG160" s="80">
        <f>SUMIFS('октябрь 2024'!$G$5:$G$2162,'октябрь 2024'!$D$5:$D$2162,$B160,'октябрь 2024'!$J$5:$J$2162,AG$1)</f>
        <v>0</v>
      </c>
      <c r="AH160" s="80">
        <f>SUMIFS('октябрь 2024'!$G$5:$G$2162,'октябрь 2024'!$D$5:$D$2162,$B160,'октябрь 2024'!$J$5:$J$2162,AH$1)</f>
        <v>0</v>
      </c>
      <c r="AI160" s="87"/>
    </row>
    <row r="161" spans="2:35" ht="15" hidden="1" customHeight="1" x14ac:dyDescent="0.25">
      <c r="B161" s="89"/>
      <c r="C161" s="91"/>
      <c r="D161" s="80">
        <f>SUMIFS('октябрь 2024'!$G$5:$G$2162,'октябрь 2024'!$D$5:$D$2162,$B161,'октябрь 2024'!$J$5:$J$2162,D$1)</f>
        <v>0</v>
      </c>
      <c r="E161" s="80">
        <f>SUMIFS('октябрь 2024'!$G$5:$G$2162,'октябрь 2024'!$D$5:$D$2162,$B161,'октябрь 2024'!$J$5:$J$2162,E$1)</f>
        <v>0</v>
      </c>
      <c r="F161" s="80">
        <f>SUMIFS('октябрь 2024'!$G$5:$G$2162,'октябрь 2024'!$D$5:$D$2162,$B161,'октябрь 2024'!$J$5:$J$2162,F$1)</f>
        <v>0</v>
      </c>
      <c r="G161" s="80">
        <f>SUMIFS('октябрь 2024'!$G$5:$G$2162,'октябрь 2024'!$D$5:$D$2162,$B161,'октябрь 2024'!$J$5:$J$2162,G$1)</f>
        <v>0</v>
      </c>
      <c r="H161" s="80">
        <f>SUMIFS('октябрь 2024'!$G$5:$G$2162,'октябрь 2024'!$D$5:$D$2162,$B161,'октябрь 2024'!$J$5:$J$2162,H$1)</f>
        <v>0</v>
      </c>
      <c r="I161" s="80">
        <f>SUMIFS('октябрь 2024'!$G$5:$G$2162,'октябрь 2024'!$D$5:$D$2162,$B161,'октябрь 2024'!$J$5:$J$2162,I$1)</f>
        <v>0</v>
      </c>
      <c r="J161" s="80">
        <f>SUMIFS('октябрь 2024'!$G$5:$G$2162,'октябрь 2024'!$D$5:$D$2162,$B161,'октябрь 2024'!$J$5:$J$2162,J$1)</f>
        <v>0</v>
      </c>
      <c r="K161" s="80">
        <f>SUMIFS('октябрь 2024'!$G$5:$G$2162,'октябрь 2024'!$D$5:$D$2162,$B161,'октябрь 2024'!$J$5:$J$2162,K$1)</f>
        <v>0</v>
      </c>
      <c r="L161" s="80">
        <f>SUMIFS('октябрь 2024'!$G$5:$G$2162,'октябрь 2024'!$D$5:$D$2162,$B161,'октябрь 2024'!$J$5:$J$2162,L$1)</f>
        <v>0</v>
      </c>
      <c r="M161" s="80">
        <f>SUMIFS('октябрь 2024'!$G$5:$G$2162,'октябрь 2024'!$D$5:$D$2162,$B161,'октябрь 2024'!$J$5:$J$2162,M$1)</f>
        <v>0</v>
      </c>
      <c r="N161" s="80">
        <f>SUMIFS('октябрь 2024'!$G$5:$G$2162,'октябрь 2024'!$D$5:$D$2162,$B161,'октябрь 2024'!$J$5:$J$2162,N$1)</f>
        <v>0</v>
      </c>
      <c r="O161" s="80">
        <f>SUMIFS('октябрь 2024'!$G$5:$G$2162,'октябрь 2024'!$D$5:$D$2162,$B161,'октябрь 2024'!$J$5:$J$2162,O$1)</f>
        <v>0</v>
      </c>
      <c r="P161" s="80">
        <f>SUMIFS('октябрь 2024'!$G$5:$G$2162,'октябрь 2024'!$D$5:$D$2162,$B161,'октябрь 2024'!$J$5:$J$2162,P$1)</f>
        <v>0</v>
      </c>
      <c r="Q161" s="80">
        <f>SUMIFS('октябрь 2024'!$G$5:$G$2162,'октябрь 2024'!$D$5:$D$2162,$B161,'октябрь 2024'!$J$5:$J$2162,Q$1)</f>
        <v>0</v>
      </c>
      <c r="R161" s="80">
        <f>SUMIFS('октябрь 2024'!$G$5:$G$2162,'октябрь 2024'!$D$5:$D$2162,$B161,'октябрь 2024'!$J$5:$J$2162,R$1)</f>
        <v>0</v>
      </c>
      <c r="S161" s="80">
        <f>SUMIFS('октябрь 2024'!$G$5:$G$2162,'октябрь 2024'!$D$5:$D$2162,$B161,'октябрь 2024'!$J$5:$J$2162,S$1)</f>
        <v>0</v>
      </c>
      <c r="T161" s="80">
        <f>SUMIFS('октябрь 2024'!$G$5:$G$2162,'октябрь 2024'!$D$5:$D$2162,$B161,'октябрь 2024'!$J$5:$J$2162,T$1)</f>
        <v>0</v>
      </c>
      <c r="U161" s="80">
        <f>SUMIFS('октябрь 2024'!$G$5:$G$2162,'октябрь 2024'!$D$5:$D$2162,$B161,'октябрь 2024'!$J$5:$J$2162,U$1)</f>
        <v>0</v>
      </c>
      <c r="V161" s="80">
        <f>SUMIFS('октябрь 2024'!$G$5:$G$2162,'октябрь 2024'!$D$5:$D$2162,$B161,'октябрь 2024'!$J$5:$J$2162,V$1)</f>
        <v>0</v>
      </c>
      <c r="W161" s="80">
        <f>SUMIFS('октябрь 2024'!$G$5:$G$2162,'октябрь 2024'!$D$5:$D$2162,$B161,'октябрь 2024'!$J$5:$J$2162,W$1)</f>
        <v>0</v>
      </c>
      <c r="X161" s="80">
        <f>SUMIFS('октябрь 2024'!$G$5:$G$2162,'октябрь 2024'!$D$5:$D$2162,$B161,'октябрь 2024'!$J$5:$J$2162,X$1)</f>
        <v>0</v>
      </c>
      <c r="Y161" s="80">
        <f>SUMIFS('октябрь 2024'!$G$5:$G$2162,'октябрь 2024'!$D$5:$D$2162,$B161,'октябрь 2024'!$J$5:$J$2162,Y$1)</f>
        <v>0</v>
      </c>
      <c r="Z161" s="80">
        <f>SUMIFS('октябрь 2024'!$G$5:$G$2162,'октябрь 2024'!$D$5:$D$2162,$B161,'октябрь 2024'!$J$5:$J$2162,Z$1)</f>
        <v>0</v>
      </c>
      <c r="AA161" s="80">
        <f>SUMIFS('октябрь 2024'!$G$5:$G$2162,'октябрь 2024'!$D$5:$D$2162,$B161,'октябрь 2024'!$J$5:$J$2162,AA$1)</f>
        <v>0</v>
      </c>
      <c r="AB161" s="80">
        <f>SUMIFS('октябрь 2024'!$G$5:$G$2162,'октябрь 2024'!$D$5:$D$2162,$B161,'октябрь 2024'!$J$5:$J$2162,AB$1)</f>
        <v>0</v>
      </c>
      <c r="AC161" s="80">
        <f>SUMIFS('октябрь 2024'!$G$5:$G$2162,'октябрь 2024'!$D$5:$D$2162,$B161,'октябрь 2024'!$J$5:$J$2162,AC$1)</f>
        <v>0</v>
      </c>
      <c r="AD161" s="80">
        <f>SUMIFS('октябрь 2024'!$G$5:$G$2162,'октябрь 2024'!$D$5:$D$2162,$B161,'октябрь 2024'!$J$5:$J$2162,AD$1)</f>
        <v>0</v>
      </c>
      <c r="AE161" s="80">
        <f>SUMIFS('октябрь 2024'!$G$5:$G$2162,'октябрь 2024'!$D$5:$D$2162,$B161,'октябрь 2024'!$J$5:$J$2162,AE$1)</f>
        <v>0</v>
      </c>
      <c r="AF161" s="80">
        <f>SUMIFS('октябрь 2024'!$G$5:$G$2162,'октябрь 2024'!$D$5:$D$2162,$B161,'октябрь 2024'!$J$5:$J$2162,AF$1)</f>
        <v>0</v>
      </c>
      <c r="AG161" s="80">
        <f>SUMIFS('октябрь 2024'!$G$5:$G$2162,'октябрь 2024'!$D$5:$D$2162,$B161,'октябрь 2024'!$J$5:$J$2162,AG$1)</f>
        <v>0</v>
      </c>
      <c r="AH161" s="80">
        <f>SUMIFS('октябрь 2024'!$G$5:$G$2162,'октябрь 2024'!$D$5:$D$2162,$B161,'октябрь 2024'!$J$5:$J$2162,AH$1)</f>
        <v>0</v>
      </c>
      <c r="AI161" s="87"/>
    </row>
    <row r="162" spans="2:35" ht="15" hidden="1" customHeight="1" x14ac:dyDescent="0.25">
      <c r="B162" s="89"/>
      <c r="C162" s="88"/>
      <c r="D162" s="80">
        <f>SUMIFS('октябрь 2024'!$G$5:$G$2162,'октябрь 2024'!$D$5:$D$2162,$B162,'октябрь 2024'!$J$5:$J$2162,D$1)</f>
        <v>0</v>
      </c>
      <c r="E162" s="80">
        <f>SUMIFS('октябрь 2024'!$G$5:$G$2162,'октябрь 2024'!$D$5:$D$2162,$B162,'октябрь 2024'!$J$5:$J$2162,E$1)</f>
        <v>0</v>
      </c>
      <c r="F162" s="80">
        <f>SUMIFS('октябрь 2024'!$G$5:$G$2162,'октябрь 2024'!$D$5:$D$2162,$B162,'октябрь 2024'!$J$5:$J$2162,F$1)</f>
        <v>0</v>
      </c>
      <c r="G162" s="80">
        <f>SUMIFS('октябрь 2024'!$G$5:$G$2162,'октябрь 2024'!$D$5:$D$2162,$B162,'октябрь 2024'!$J$5:$J$2162,G$1)</f>
        <v>0</v>
      </c>
      <c r="H162" s="80">
        <f>SUMIFS('октябрь 2024'!$G$5:$G$2162,'октябрь 2024'!$D$5:$D$2162,$B162,'октябрь 2024'!$J$5:$J$2162,H$1)</f>
        <v>0</v>
      </c>
      <c r="I162" s="80">
        <f>SUMIFS('октябрь 2024'!$G$5:$G$2162,'октябрь 2024'!$D$5:$D$2162,$B162,'октябрь 2024'!$J$5:$J$2162,I$1)</f>
        <v>0</v>
      </c>
      <c r="J162" s="80">
        <f>SUMIFS('октябрь 2024'!$G$5:$G$2162,'октябрь 2024'!$D$5:$D$2162,$B162,'октябрь 2024'!$J$5:$J$2162,J$1)</f>
        <v>0</v>
      </c>
      <c r="K162" s="80">
        <f>SUMIFS('октябрь 2024'!$G$5:$G$2162,'октябрь 2024'!$D$5:$D$2162,$B162,'октябрь 2024'!$J$5:$J$2162,K$1)</f>
        <v>0</v>
      </c>
      <c r="L162" s="80">
        <f>SUMIFS('октябрь 2024'!$G$5:$G$2162,'октябрь 2024'!$D$5:$D$2162,$B162,'октябрь 2024'!$J$5:$J$2162,L$1)</f>
        <v>0</v>
      </c>
      <c r="M162" s="80">
        <f>SUMIFS('октябрь 2024'!$G$5:$G$2162,'октябрь 2024'!$D$5:$D$2162,$B162,'октябрь 2024'!$J$5:$J$2162,M$1)</f>
        <v>0</v>
      </c>
      <c r="N162" s="80">
        <f>SUMIFS('октябрь 2024'!$G$5:$G$2162,'октябрь 2024'!$D$5:$D$2162,$B162,'октябрь 2024'!$J$5:$J$2162,N$1)</f>
        <v>0</v>
      </c>
      <c r="O162" s="80">
        <f>SUMIFS('октябрь 2024'!$G$5:$G$2162,'октябрь 2024'!$D$5:$D$2162,$B162,'октябрь 2024'!$J$5:$J$2162,O$1)</f>
        <v>0</v>
      </c>
      <c r="P162" s="80">
        <f>SUMIFS('октябрь 2024'!$G$5:$G$2162,'октябрь 2024'!$D$5:$D$2162,$B162,'октябрь 2024'!$J$5:$J$2162,P$1)</f>
        <v>0</v>
      </c>
      <c r="Q162" s="80">
        <f>SUMIFS('октябрь 2024'!$G$5:$G$2162,'октябрь 2024'!$D$5:$D$2162,$B162,'октябрь 2024'!$J$5:$J$2162,Q$1)</f>
        <v>0</v>
      </c>
      <c r="R162" s="80">
        <f>SUMIFS('октябрь 2024'!$G$5:$G$2162,'октябрь 2024'!$D$5:$D$2162,$B162,'октябрь 2024'!$J$5:$J$2162,R$1)</f>
        <v>0</v>
      </c>
      <c r="S162" s="80">
        <f>SUMIFS('октябрь 2024'!$G$5:$G$2162,'октябрь 2024'!$D$5:$D$2162,$B162,'октябрь 2024'!$J$5:$J$2162,S$1)</f>
        <v>0</v>
      </c>
      <c r="T162" s="80">
        <f>SUMIFS('октябрь 2024'!$G$5:$G$2162,'октябрь 2024'!$D$5:$D$2162,$B162,'октябрь 2024'!$J$5:$J$2162,T$1)</f>
        <v>0</v>
      </c>
      <c r="U162" s="80">
        <f>SUMIFS('октябрь 2024'!$G$5:$G$2162,'октябрь 2024'!$D$5:$D$2162,$B162,'октябрь 2024'!$J$5:$J$2162,U$1)</f>
        <v>0</v>
      </c>
      <c r="V162" s="80">
        <f>SUMIFS('октябрь 2024'!$G$5:$G$2162,'октябрь 2024'!$D$5:$D$2162,$B162,'октябрь 2024'!$J$5:$J$2162,V$1)</f>
        <v>0</v>
      </c>
      <c r="W162" s="80">
        <f>SUMIFS('октябрь 2024'!$G$5:$G$2162,'октябрь 2024'!$D$5:$D$2162,$B162,'октябрь 2024'!$J$5:$J$2162,W$1)</f>
        <v>0</v>
      </c>
      <c r="X162" s="80">
        <f>SUMIFS('октябрь 2024'!$G$5:$G$2162,'октябрь 2024'!$D$5:$D$2162,$B162,'октябрь 2024'!$J$5:$J$2162,X$1)</f>
        <v>0</v>
      </c>
      <c r="Y162" s="80">
        <f>SUMIFS('октябрь 2024'!$G$5:$G$2162,'октябрь 2024'!$D$5:$D$2162,$B162,'октябрь 2024'!$J$5:$J$2162,Y$1)</f>
        <v>0</v>
      </c>
      <c r="Z162" s="80">
        <f>SUMIFS('октябрь 2024'!$G$5:$G$2162,'октябрь 2024'!$D$5:$D$2162,$B162,'октябрь 2024'!$J$5:$J$2162,Z$1)</f>
        <v>0</v>
      </c>
      <c r="AA162" s="80">
        <f>SUMIFS('октябрь 2024'!$G$5:$G$2162,'октябрь 2024'!$D$5:$D$2162,$B162,'октябрь 2024'!$J$5:$J$2162,AA$1)</f>
        <v>0</v>
      </c>
      <c r="AB162" s="80">
        <f>SUMIFS('октябрь 2024'!$G$5:$G$2162,'октябрь 2024'!$D$5:$D$2162,$B162,'октябрь 2024'!$J$5:$J$2162,AB$1)</f>
        <v>0</v>
      </c>
      <c r="AC162" s="80">
        <f>SUMIFS('октябрь 2024'!$G$5:$G$2162,'октябрь 2024'!$D$5:$D$2162,$B162,'октябрь 2024'!$J$5:$J$2162,AC$1)</f>
        <v>0</v>
      </c>
      <c r="AD162" s="80">
        <f>SUMIFS('октябрь 2024'!$G$5:$G$2162,'октябрь 2024'!$D$5:$D$2162,$B162,'октябрь 2024'!$J$5:$J$2162,AD$1)</f>
        <v>0</v>
      </c>
      <c r="AE162" s="80">
        <f>SUMIFS('октябрь 2024'!$G$5:$G$2162,'октябрь 2024'!$D$5:$D$2162,$B162,'октябрь 2024'!$J$5:$J$2162,AE$1)</f>
        <v>0</v>
      </c>
      <c r="AF162" s="80">
        <f>SUMIFS('октябрь 2024'!$G$5:$G$2162,'октябрь 2024'!$D$5:$D$2162,$B162,'октябрь 2024'!$J$5:$J$2162,AF$1)</f>
        <v>0</v>
      </c>
      <c r="AG162" s="80">
        <f>SUMIFS('октябрь 2024'!$G$5:$G$2162,'октябрь 2024'!$D$5:$D$2162,$B162,'октябрь 2024'!$J$5:$J$2162,AG$1)</f>
        <v>0</v>
      </c>
      <c r="AH162" s="80">
        <f>SUMIFS('октябрь 2024'!$G$5:$G$2162,'октябрь 2024'!$D$5:$D$2162,$B162,'октябрь 2024'!$J$5:$J$2162,AH$1)</f>
        <v>0</v>
      </c>
      <c r="AI162" s="87"/>
    </row>
    <row r="163" spans="2:35" ht="15" hidden="1" customHeight="1" x14ac:dyDescent="0.25">
      <c r="B163" s="89"/>
      <c r="C163" s="88"/>
      <c r="D163" s="80">
        <f>SUMIFS('октябрь 2024'!$G$5:$G$2162,'октябрь 2024'!$D$5:$D$2162,$B163,'октябрь 2024'!$J$5:$J$2162,D$1)</f>
        <v>0</v>
      </c>
      <c r="E163" s="80">
        <f>SUMIFS('октябрь 2024'!$G$5:$G$2162,'октябрь 2024'!$D$5:$D$2162,$B163,'октябрь 2024'!$J$5:$J$2162,E$1)</f>
        <v>0</v>
      </c>
      <c r="F163" s="80">
        <f>SUMIFS('октябрь 2024'!$G$5:$G$2162,'октябрь 2024'!$D$5:$D$2162,$B163,'октябрь 2024'!$J$5:$J$2162,F$1)</f>
        <v>0</v>
      </c>
      <c r="G163" s="80">
        <f>SUMIFS('октябрь 2024'!$G$5:$G$2162,'октябрь 2024'!$D$5:$D$2162,$B163,'октябрь 2024'!$J$5:$J$2162,G$1)</f>
        <v>0</v>
      </c>
      <c r="H163" s="80">
        <f>SUMIFS('октябрь 2024'!$G$5:$G$2162,'октябрь 2024'!$D$5:$D$2162,$B163,'октябрь 2024'!$J$5:$J$2162,H$1)</f>
        <v>0</v>
      </c>
      <c r="I163" s="80">
        <f>SUMIFS('октябрь 2024'!$G$5:$G$2162,'октябрь 2024'!$D$5:$D$2162,$B163,'октябрь 2024'!$J$5:$J$2162,I$1)</f>
        <v>0</v>
      </c>
      <c r="J163" s="80">
        <f>SUMIFS('октябрь 2024'!$G$5:$G$2162,'октябрь 2024'!$D$5:$D$2162,$B163,'октябрь 2024'!$J$5:$J$2162,J$1)</f>
        <v>0</v>
      </c>
      <c r="K163" s="80">
        <f>SUMIFS('октябрь 2024'!$G$5:$G$2162,'октябрь 2024'!$D$5:$D$2162,$B163,'октябрь 2024'!$J$5:$J$2162,K$1)</f>
        <v>0</v>
      </c>
      <c r="L163" s="80">
        <f>SUMIFS('октябрь 2024'!$G$5:$G$2162,'октябрь 2024'!$D$5:$D$2162,$B163,'октябрь 2024'!$J$5:$J$2162,L$1)</f>
        <v>0</v>
      </c>
      <c r="M163" s="80">
        <f>SUMIFS('октябрь 2024'!$G$5:$G$2162,'октябрь 2024'!$D$5:$D$2162,$B163,'октябрь 2024'!$J$5:$J$2162,M$1)</f>
        <v>0</v>
      </c>
      <c r="N163" s="80">
        <f>SUMIFS('октябрь 2024'!$G$5:$G$2162,'октябрь 2024'!$D$5:$D$2162,$B163,'октябрь 2024'!$J$5:$J$2162,N$1)</f>
        <v>0</v>
      </c>
      <c r="O163" s="80">
        <f>SUMIFS('октябрь 2024'!$G$5:$G$2162,'октябрь 2024'!$D$5:$D$2162,$B163,'октябрь 2024'!$J$5:$J$2162,O$1)</f>
        <v>0</v>
      </c>
      <c r="P163" s="80">
        <f>SUMIFS('октябрь 2024'!$G$5:$G$2162,'октябрь 2024'!$D$5:$D$2162,$B163,'октябрь 2024'!$J$5:$J$2162,P$1)</f>
        <v>0</v>
      </c>
      <c r="Q163" s="80">
        <f>SUMIFS('октябрь 2024'!$G$5:$G$2162,'октябрь 2024'!$D$5:$D$2162,$B163,'октябрь 2024'!$J$5:$J$2162,Q$1)</f>
        <v>0</v>
      </c>
      <c r="R163" s="80">
        <f>SUMIFS('октябрь 2024'!$G$5:$G$2162,'октябрь 2024'!$D$5:$D$2162,$B163,'октябрь 2024'!$J$5:$J$2162,R$1)</f>
        <v>0</v>
      </c>
      <c r="S163" s="80">
        <f>SUMIFS('октябрь 2024'!$G$5:$G$2162,'октябрь 2024'!$D$5:$D$2162,$B163,'октябрь 2024'!$J$5:$J$2162,S$1)</f>
        <v>0</v>
      </c>
      <c r="T163" s="80">
        <f>SUMIFS('октябрь 2024'!$G$5:$G$2162,'октябрь 2024'!$D$5:$D$2162,$B163,'октябрь 2024'!$J$5:$J$2162,T$1)</f>
        <v>0</v>
      </c>
      <c r="U163" s="80">
        <f>SUMIFS('октябрь 2024'!$G$5:$G$2162,'октябрь 2024'!$D$5:$D$2162,$B163,'октябрь 2024'!$J$5:$J$2162,U$1)</f>
        <v>0</v>
      </c>
      <c r="V163" s="80">
        <f>SUMIFS('октябрь 2024'!$G$5:$G$2162,'октябрь 2024'!$D$5:$D$2162,$B163,'октябрь 2024'!$J$5:$J$2162,V$1)</f>
        <v>0</v>
      </c>
      <c r="W163" s="80">
        <f>SUMIFS('октябрь 2024'!$G$5:$G$2162,'октябрь 2024'!$D$5:$D$2162,$B163,'октябрь 2024'!$J$5:$J$2162,W$1)</f>
        <v>0</v>
      </c>
      <c r="X163" s="80">
        <f>SUMIFS('октябрь 2024'!$G$5:$G$2162,'октябрь 2024'!$D$5:$D$2162,$B163,'октябрь 2024'!$J$5:$J$2162,X$1)</f>
        <v>0</v>
      </c>
      <c r="Y163" s="80">
        <f>SUMIFS('октябрь 2024'!$G$5:$G$2162,'октябрь 2024'!$D$5:$D$2162,$B163,'октябрь 2024'!$J$5:$J$2162,Y$1)</f>
        <v>0</v>
      </c>
      <c r="Z163" s="80">
        <f>SUMIFS('октябрь 2024'!$G$5:$G$2162,'октябрь 2024'!$D$5:$D$2162,$B163,'октябрь 2024'!$J$5:$J$2162,Z$1)</f>
        <v>0</v>
      </c>
      <c r="AA163" s="80">
        <f>SUMIFS('октябрь 2024'!$G$5:$G$2162,'октябрь 2024'!$D$5:$D$2162,$B163,'октябрь 2024'!$J$5:$J$2162,AA$1)</f>
        <v>0</v>
      </c>
      <c r="AB163" s="80">
        <f>SUMIFS('октябрь 2024'!$G$5:$G$2162,'октябрь 2024'!$D$5:$D$2162,$B163,'октябрь 2024'!$J$5:$J$2162,AB$1)</f>
        <v>0</v>
      </c>
      <c r="AC163" s="80">
        <f>SUMIFS('октябрь 2024'!$G$5:$G$2162,'октябрь 2024'!$D$5:$D$2162,$B163,'октябрь 2024'!$J$5:$J$2162,AC$1)</f>
        <v>0</v>
      </c>
      <c r="AD163" s="80">
        <f>SUMIFS('октябрь 2024'!$G$5:$G$2162,'октябрь 2024'!$D$5:$D$2162,$B163,'октябрь 2024'!$J$5:$J$2162,AD$1)</f>
        <v>0</v>
      </c>
      <c r="AE163" s="80">
        <f>SUMIFS('октябрь 2024'!$G$5:$G$2162,'октябрь 2024'!$D$5:$D$2162,$B163,'октябрь 2024'!$J$5:$J$2162,AE$1)</f>
        <v>0</v>
      </c>
      <c r="AF163" s="80">
        <f>SUMIFS('октябрь 2024'!$G$5:$G$2162,'октябрь 2024'!$D$5:$D$2162,$B163,'октябрь 2024'!$J$5:$J$2162,AF$1)</f>
        <v>0</v>
      </c>
      <c r="AG163" s="80">
        <f>SUMIFS('октябрь 2024'!$G$5:$G$2162,'октябрь 2024'!$D$5:$D$2162,$B163,'октябрь 2024'!$J$5:$J$2162,AG$1)</f>
        <v>0</v>
      </c>
      <c r="AH163" s="80">
        <f>SUMIFS('октябрь 2024'!$G$5:$G$2162,'октябрь 2024'!$D$5:$D$2162,$B163,'октябрь 2024'!$J$5:$J$2162,AH$1)</f>
        <v>0</v>
      </c>
      <c r="AI163" s="87"/>
    </row>
    <row r="164" spans="2:35" ht="15" hidden="1" customHeight="1" x14ac:dyDescent="0.25">
      <c r="B164" s="89"/>
      <c r="C164" s="88"/>
      <c r="D164" s="80">
        <f>SUMIFS('октябрь 2024'!$G$5:$G$2162,'октябрь 2024'!$D$5:$D$2162,$B164,'октябрь 2024'!$J$5:$J$2162,D$1)</f>
        <v>0</v>
      </c>
      <c r="E164" s="80">
        <f>SUMIFS('октябрь 2024'!$G$5:$G$2162,'октябрь 2024'!$D$5:$D$2162,$B164,'октябрь 2024'!$J$5:$J$2162,E$1)</f>
        <v>0</v>
      </c>
      <c r="F164" s="80">
        <f>SUMIFS('октябрь 2024'!$G$5:$G$2162,'октябрь 2024'!$D$5:$D$2162,$B164,'октябрь 2024'!$J$5:$J$2162,F$1)</f>
        <v>0</v>
      </c>
      <c r="G164" s="80">
        <f>SUMIFS('октябрь 2024'!$G$5:$G$2162,'октябрь 2024'!$D$5:$D$2162,$B164,'октябрь 2024'!$J$5:$J$2162,G$1)</f>
        <v>0</v>
      </c>
      <c r="H164" s="80">
        <f>SUMIFS('октябрь 2024'!$G$5:$G$2162,'октябрь 2024'!$D$5:$D$2162,$B164,'октябрь 2024'!$J$5:$J$2162,H$1)</f>
        <v>0</v>
      </c>
      <c r="I164" s="80">
        <f>SUMIFS('октябрь 2024'!$G$5:$G$2162,'октябрь 2024'!$D$5:$D$2162,$B164,'октябрь 2024'!$J$5:$J$2162,I$1)</f>
        <v>0</v>
      </c>
      <c r="J164" s="80">
        <f>SUMIFS('октябрь 2024'!$G$5:$G$2162,'октябрь 2024'!$D$5:$D$2162,$B164,'октябрь 2024'!$J$5:$J$2162,J$1)</f>
        <v>0</v>
      </c>
      <c r="K164" s="80">
        <f>SUMIFS('октябрь 2024'!$G$5:$G$2162,'октябрь 2024'!$D$5:$D$2162,$B164,'октябрь 2024'!$J$5:$J$2162,K$1)</f>
        <v>0</v>
      </c>
      <c r="L164" s="80">
        <f>SUMIFS('октябрь 2024'!$G$5:$G$2162,'октябрь 2024'!$D$5:$D$2162,$B164,'октябрь 2024'!$J$5:$J$2162,L$1)</f>
        <v>0</v>
      </c>
      <c r="M164" s="80">
        <f>SUMIFS('октябрь 2024'!$G$5:$G$2162,'октябрь 2024'!$D$5:$D$2162,$B164,'октябрь 2024'!$J$5:$J$2162,M$1)</f>
        <v>0</v>
      </c>
      <c r="N164" s="80">
        <f>SUMIFS('октябрь 2024'!$G$5:$G$2162,'октябрь 2024'!$D$5:$D$2162,$B164,'октябрь 2024'!$J$5:$J$2162,N$1)</f>
        <v>0</v>
      </c>
      <c r="O164" s="80">
        <f>SUMIFS('октябрь 2024'!$G$5:$G$2162,'октябрь 2024'!$D$5:$D$2162,$B164,'октябрь 2024'!$J$5:$J$2162,O$1)</f>
        <v>0</v>
      </c>
      <c r="P164" s="80">
        <f>SUMIFS('октябрь 2024'!$G$5:$G$2162,'октябрь 2024'!$D$5:$D$2162,$B164,'октябрь 2024'!$J$5:$J$2162,P$1)</f>
        <v>0</v>
      </c>
      <c r="Q164" s="80">
        <f>SUMIFS('октябрь 2024'!$G$5:$G$2162,'октябрь 2024'!$D$5:$D$2162,$B164,'октябрь 2024'!$J$5:$J$2162,Q$1)</f>
        <v>0</v>
      </c>
      <c r="R164" s="80">
        <f>SUMIFS('октябрь 2024'!$G$5:$G$2162,'октябрь 2024'!$D$5:$D$2162,$B164,'октябрь 2024'!$J$5:$J$2162,R$1)</f>
        <v>0</v>
      </c>
      <c r="S164" s="80">
        <f>SUMIFS('октябрь 2024'!$G$5:$G$2162,'октябрь 2024'!$D$5:$D$2162,$B164,'октябрь 2024'!$J$5:$J$2162,S$1)</f>
        <v>0</v>
      </c>
      <c r="T164" s="80">
        <f>SUMIFS('октябрь 2024'!$G$5:$G$2162,'октябрь 2024'!$D$5:$D$2162,$B164,'октябрь 2024'!$J$5:$J$2162,T$1)</f>
        <v>0</v>
      </c>
      <c r="U164" s="80">
        <f>SUMIFS('октябрь 2024'!$G$5:$G$2162,'октябрь 2024'!$D$5:$D$2162,$B164,'октябрь 2024'!$J$5:$J$2162,U$1)</f>
        <v>0</v>
      </c>
      <c r="V164" s="80">
        <f>SUMIFS('октябрь 2024'!$G$5:$G$2162,'октябрь 2024'!$D$5:$D$2162,$B164,'октябрь 2024'!$J$5:$J$2162,V$1)</f>
        <v>0</v>
      </c>
      <c r="W164" s="80">
        <f>SUMIFS('октябрь 2024'!$G$5:$G$2162,'октябрь 2024'!$D$5:$D$2162,$B164,'октябрь 2024'!$J$5:$J$2162,W$1)</f>
        <v>0</v>
      </c>
      <c r="X164" s="80">
        <f>SUMIFS('октябрь 2024'!$G$5:$G$2162,'октябрь 2024'!$D$5:$D$2162,$B164,'октябрь 2024'!$J$5:$J$2162,X$1)</f>
        <v>0</v>
      </c>
      <c r="Y164" s="80">
        <f>SUMIFS('октябрь 2024'!$G$5:$G$2162,'октябрь 2024'!$D$5:$D$2162,$B164,'октябрь 2024'!$J$5:$J$2162,Y$1)</f>
        <v>0</v>
      </c>
      <c r="Z164" s="80">
        <f>SUMIFS('октябрь 2024'!$G$5:$G$2162,'октябрь 2024'!$D$5:$D$2162,$B164,'октябрь 2024'!$J$5:$J$2162,Z$1)</f>
        <v>0</v>
      </c>
      <c r="AA164" s="80">
        <f>SUMIFS('октябрь 2024'!$G$5:$G$2162,'октябрь 2024'!$D$5:$D$2162,$B164,'октябрь 2024'!$J$5:$J$2162,AA$1)</f>
        <v>0</v>
      </c>
      <c r="AB164" s="80">
        <f>SUMIFS('октябрь 2024'!$G$5:$G$2162,'октябрь 2024'!$D$5:$D$2162,$B164,'октябрь 2024'!$J$5:$J$2162,AB$1)</f>
        <v>0</v>
      </c>
      <c r="AC164" s="80">
        <f>SUMIFS('октябрь 2024'!$G$5:$G$2162,'октябрь 2024'!$D$5:$D$2162,$B164,'октябрь 2024'!$J$5:$J$2162,AC$1)</f>
        <v>0</v>
      </c>
      <c r="AD164" s="80">
        <f>SUMIFS('октябрь 2024'!$G$5:$G$2162,'октябрь 2024'!$D$5:$D$2162,$B164,'октябрь 2024'!$J$5:$J$2162,AD$1)</f>
        <v>0</v>
      </c>
      <c r="AE164" s="80">
        <f>SUMIFS('октябрь 2024'!$G$5:$G$2162,'октябрь 2024'!$D$5:$D$2162,$B164,'октябрь 2024'!$J$5:$J$2162,AE$1)</f>
        <v>0</v>
      </c>
      <c r="AF164" s="80">
        <f>SUMIFS('октябрь 2024'!$G$5:$G$2162,'октябрь 2024'!$D$5:$D$2162,$B164,'октябрь 2024'!$J$5:$J$2162,AF$1)</f>
        <v>0</v>
      </c>
      <c r="AG164" s="80">
        <f>SUMIFS('октябрь 2024'!$G$5:$G$2162,'октябрь 2024'!$D$5:$D$2162,$B164,'октябрь 2024'!$J$5:$J$2162,AG$1)</f>
        <v>0</v>
      </c>
      <c r="AH164" s="80">
        <f>SUMIFS('октябрь 2024'!$G$5:$G$2162,'октябрь 2024'!$D$5:$D$2162,$B164,'октябрь 2024'!$J$5:$J$2162,AH$1)</f>
        <v>0</v>
      </c>
      <c r="AI164" s="87"/>
    </row>
    <row r="165" spans="2:35" ht="15" hidden="1" customHeight="1" x14ac:dyDescent="0.25">
      <c r="B165" s="93"/>
      <c r="C165" s="91"/>
      <c r="D165" s="80">
        <f>SUMIFS('октябрь 2024'!$G$5:$G$2162,'октябрь 2024'!$D$5:$D$2162,$B165,'октябрь 2024'!$J$5:$J$2162,D$1)</f>
        <v>0</v>
      </c>
      <c r="E165" s="80">
        <f>SUMIFS('октябрь 2024'!$G$5:$G$2162,'октябрь 2024'!$D$5:$D$2162,$B165,'октябрь 2024'!$J$5:$J$2162,E$1)</f>
        <v>0</v>
      </c>
      <c r="F165" s="80">
        <f>SUMIFS('октябрь 2024'!$G$5:$G$2162,'октябрь 2024'!$D$5:$D$2162,$B165,'октябрь 2024'!$J$5:$J$2162,F$1)</f>
        <v>0</v>
      </c>
      <c r="G165" s="80">
        <f>SUMIFS('октябрь 2024'!$G$5:$G$2162,'октябрь 2024'!$D$5:$D$2162,$B165,'октябрь 2024'!$J$5:$J$2162,G$1)</f>
        <v>0</v>
      </c>
      <c r="H165" s="80">
        <f>SUMIFS('октябрь 2024'!$G$5:$G$2162,'октябрь 2024'!$D$5:$D$2162,$B165,'октябрь 2024'!$J$5:$J$2162,H$1)</f>
        <v>0</v>
      </c>
      <c r="I165" s="80">
        <f>SUMIFS('октябрь 2024'!$G$5:$G$2162,'октябрь 2024'!$D$5:$D$2162,$B165,'октябрь 2024'!$J$5:$J$2162,I$1)</f>
        <v>0</v>
      </c>
      <c r="J165" s="80">
        <f>SUMIFS('октябрь 2024'!$G$5:$G$2162,'октябрь 2024'!$D$5:$D$2162,$B165,'октябрь 2024'!$J$5:$J$2162,J$1)</f>
        <v>0</v>
      </c>
      <c r="K165" s="80">
        <f>SUMIFS('октябрь 2024'!$G$5:$G$2162,'октябрь 2024'!$D$5:$D$2162,$B165,'октябрь 2024'!$J$5:$J$2162,K$1)</f>
        <v>0</v>
      </c>
      <c r="L165" s="80">
        <f>SUMIFS('октябрь 2024'!$G$5:$G$2162,'октябрь 2024'!$D$5:$D$2162,$B165,'октябрь 2024'!$J$5:$J$2162,L$1)</f>
        <v>0</v>
      </c>
      <c r="M165" s="80">
        <f>SUMIFS('октябрь 2024'!$G$5:$G$2162,'октябрь 2024'!$D$5:$D$2162,$B165,'октябрь 2024'!$J$5:$J$2162,M$1)</f>
        <v>0</v>
      </c>
      <c r="N165" s="80">
        <f>SUMIFS('октябрь 2024'!$G$5:$G$2162,'октябрь 2024'!$D$5:$D$2162,$B165,'октябрь 2024'!$J$5:$J$2162,N$1)</f>
        <v>0</v>
      </c>
      <c r="O165" s="80">
        <f>SUMIFS('октябрь 2024'!$G$5:$G$2162,'октябрь 2024'!$D$5:$D$2162,$B165,'октябрь 2024'!$J$5:$J$2162,O$1)</f>
        <v>0</v>
      </c>
      <c r="P165" s="80">
        <f>SUMIFS('октябрь 2024'!$G$5:$G$2162,'октябрь 2024'!$D$5:$D$2162,$B165,'октябрь 2024'!$J$5:$J$2162,P$1)</f>
        <v>0</v>
      </c>
      <c r="Q165" s="80">
        <f>SUMIFS('октябрь 2024'!$G$5:$G$2162,'октябрь 2024'!$D$5:$D$2162,$B165,'октябрь 2024'!$J$5:$J$2162,Q$1)</f>
        <v>0</v>
      </c>
      <c r="R165" s="80">
        <f>SUMIFS('октябрь 2024'!$G$5:$G$2162,'октябрь 2024'!$D$5:$D$2162,$B165,'октябрь 2024'!$J$5:$J$2162,R$1)</f>
        <v>0</v>
      </c>
      <c r="S165" s="80">
        <f>SUMIFS('октябрь 2024'!$G$5:$G$2162,'октябрь 2024'!$D$5:$D$2162,$B165,'октябрь 2024'!$J$5:$J$2162,S$1)</f>
        <v>0</v>
      </c>
      <c r="T165" s="80">
        <f>SUMIFS('октябрь 2024'!$G$5:$G$2162,'октябрь 2024'!$D$5:$D$2162,$B165,'октябрь 2024'!$J$5:$J$2162,T$1)</f>
        <v>0</v>
      </c>
      <c r="U165" s="80">
        <f>SUMIFS('октябрь 2024'!$G$5:$G$2162,'октябрь 2024'!$D$5:$D$2162,$B165,'октябрь 2024'!$J$5:$J$2162,U$1)</f>
        <v>0</v>
      </c>
      <c r="V165" s="80">
        <f>SUMIFS('октябрь 2024'!$G$5:$G$2162,'октябрь 2024'!$D$5:$D$2162,$B165,'октябрь 2024'!$J$5:$J$2162,V$1)</f>
        <v>0</v>
      </c>
      <c r="W165" s="80">
        <f>SUMIFS('октябрь 2024'!$G$5:$G$2162,'октябрь 2024'!$D$5:$D$2162,$B165,'октябрь 2024'!$J$5:$J$2162,W$1)</f>
        <v>0</v>
      </c>
      <c r="X165" s="80">
        <f>SUMIFS('октябрь 2024'!$G$5:$G$2162,'октябрь 2024'!$D$5:$D$2162,$B165,'октябрь 2024'!$J$5:$J$2162,X$1)</f>
        <v>0</v>
      </c>
      <c r="Y165" s="80">
        <f>SUMIFS('октябрь 2024'!$G$5:$G$2162,'октябрь 2024'!$D$5:$D$2162,$B165,'октябрь 2024'!$J$5:$J$2162,Y$1)</f>
        <v>0</v>
      </c>
      <c r="Z165" s="80">
        <f>SUMIFS('октябрь 2024'!$G$5:$G$2162,'октябрь 2024'!$D$5:$D$2162,$B165,'октябрь 2024'!$J$5:$J$2162,Z$1)</f>
        <v>0</v>
      </c>
      <c r="AA165" s="80">
        <f>SUMIFS('октябрь 2024'!$G$5:$G$2162,'октябрь 2024'!$D$5:$D$2162,$B165,'октябрь 2024'!$J$5:$J$2162,AA$1)</f>
        <v>0</v>
      </c>
      <c r="AB165" s="80">
        <f>SUMIFS('октябрь 2024'!$G$5:$G$2162,'октябрь 2024'!$D$5:$D$2162,$B165,'октябрь 2024'!$J$5:$J$2162,AB$1)</f>
        <v>0</v>
      </c>
      <c r="AC165" s="80">
        <f>SUMIFS('октябрь 2024'!$G$5:$G$2162,'октябрь 2024'!$D$5:$D$2162,$B165,'октябрь 2024'!$J$5:$J$2162,AC$1)</f>
        <v>0</v>
      </c>
      <c r="AD165" s="80">
        <f>SUMIFS('октябрь 2024'!$G$5:$G$2162,'октябрь 2024'!$D$5:$D$2162,$B165,'октябрь 2024'!$J$5:$J$2162,AD$1)</f>
        <v>0</v>
      </c>
      <c r="AE165" s="80">
        <f>SUMIFS('октябрь 2024'!$G$5:$G$2162,'октябрь 2024'!$D$5:$D$2162,$B165,'октябрь 2024'!$J$5:$J$2162,AE$1)</f>
        <v>0</v>
      </c>
      <c r="AF165" s="80">
        <f>SUMIFS('октябрь 2024'!$G$5:$G$2162,'октябрь 2024'!$D$5:$D$2162,$B165,'октябрь 2024'!$J$5:$J$2162,AF$1)</f>
        <v>0</v>
      </c>
      <c r="AG165" s="80">
        <f>SUMIFS('октябрь 2024'!$G$5:$G$2162,'октябрь 2024'!$D$5:$D$2162,$B165,'октябрь 2024'!$J$5:$J$2162,AG$1)</f>
        <v>0</v>
      </c>
      <c r="AH165" s="80">
        <f>SUMIFS('октябрь 2024'!$G$5:$G$2162,'октябрь 2024'!$D$5:$D$2162,$B165,'октябрь 2024'!$J$5:$J$2162,AH$1)</f>
        <v>0</v>
      </c>
      <c r="AI165" s="87"/>
    </row>
    <row r="166" spans="2:35" ht="15" hidden="1" customHeight="1" x14ac:dyDescent="0.25">
      <c r="B166" s="93"/>
      <c r="C166" s="91"/>
      <c r="D166" s="80">
        <f>SUMIFS('октябрь 2024'!$G$5:$G$2162,'октябрь 2024'!$D$5:$D$2162,$B166,'октябрь 2024'!$J$5:$J$2162,D$1)</f>
        <v>0</v>
      </c>
      <c r="E166" s="80">
        <f>SUMIFS('октябрь 2024'!$G$5:$G$2162,'октябрь 2024'!$D$5:$D$2162,$B166,'октябрь 2024'!$J$5:$J$2162,E$1)</f>
        <v>0</v>
      </c>
      <c r="F166" s="80">
        <f>SUMIFS('октябрь 2024'!$G$5:$G$2162,'октябрь 2024'!$D$5:$D$2162,$B166,'октябрь 2024'!$J$5:$J$2162,F$1)</f>
        <v>0</v>
      </c>
      <c r="G166" s="80">
        <f>SUMIFS('октябрь 2024'!$G$5:$G$2162,'октябрь 2024'!$D$5:$D$2162,$B166,'октябрь 2024'!$J$5:$J$2162,G$1)</f>
        <v>0</v>
      </c>
      <c r="H166" s="80">
        <f>SUMIFS('октябрь 2024'!$G$5:$G$2162,'октябрь 2024'!$D$5:$D$2162,$B166,'октябрь 2024'!$J$5:$J$2162,H$1)</f>
        <v>0</v>
      </c>
      <c r="I166" s="80">
        <f>SUMIFS('октябрь 2024'!$G$5:$G$2162,'октябрь 2024'!$D$5:$D$2162,$B166,'октябрь 2024'!$J$5:$J$2162,I$1)</f>
        <v>0</v>
      </c>
      <c r="J166" s="80">
        <f>SUMIFS('октябрь 2024'!$G$5:$G$2162,'октябрь 2024'!$D$5:$D$2162,$B166,'октябрь 2024'!$J$5:$J$2162,J$1)</f>
        <v>0</v>
      </c>
      <c r="K166" s="80">
        <f>SUMIFS('октябрь 2024'!$G$5:$G$2162,'октябрь 2024'!$D$5:$D$2162,$B166,'октябрь 2024'!$J$5:$J$2162,K$1)</f>
        <v>0</v>
      </c>
      <c r="L166" s="80">
        <f>SUMIFS('октябрь 2024'!$G$5:$G$2162,'октябрь 2024'!$D$5:$D$2162,$B166,'октябрь 2024'!$J$5:$J$2162,L$1)</f>
        <v>0</v>
      </c>
      <c r="M166" s="80">
        <f>SUMIFS('октябрь 2024'!$G$5:$G$2162,'октябрь 2024'!$D$5:$D$2162,$B166,'октябрь 2024'!$J$5:$J$2162,M$1)</f>
        <v>0</v>
      </c>
      <c r="N166" s="80">
        <f>SUMIFS('октябрь 2024'!$G$5:$G$2162,'октябрь 2024'!$D$5:$D$2162,$B166,'октябрь 2024'!$J$5:$J$2162,N$1)</f>
        <v>0</v>
      </c>
      <c r="O166" s="80">
        <f>SUMIFS('октябрь 2024'!$G$5:$G$2162,'октябрь 2024'!$D$5:$D$2162,$B166,'октябрь 2024'!$J$5:$J$2162,O$1)</f>
        <v>0</v>
      </c>
      <c r="P166" s="80">
        <f>SUMIFS('октябрь 2024'!$G$5:$G$2162,'октябрь 2024'!$D$5:$D$2162,$B166,'октябрь 2024'!$J$5:$J$2162,P$1)</f>
        <v>0</v>
      </c>
      <c r="Q166" s="80">
        <f>SUMIFS('октябрь 2024'!$G$5:$G$2162,'октябрь 2024'!$D$5:$D$2162,$B166,'октябрь 2024'!$J$5:$J$2162,Q$1)</f>
        <v>0</v>
      </c>
      <c r="R166" s="80">
        <f>SUMIFS('октябрь 2024'!$G$5:$G$2162,'октябрь 2024'!$D$5:$D$2162,$B166,'октябрь 2024'!$J$5:$J$2162,R$1)</f>
        <v>0</v>
      </c>
      <c r="S166" s="80">
        <f>SUMIFS('октябрь 2024'!$G$5:$G$2162,'октябрь 2024'!$D$5:$D$2162,$B166,'октябрь 2024'!$J$5:$J$2162,S$1)</f>
        <v>0</v>
      </c>
      <c r="T166" s="80">
        <f>SUMIFS('октябрь 2024'!$G$5:$G$2162,'октябрь 2024'!$D$5:$D$2162,$B166,'октябрь 2024'!$J$5:$J$2162,T$1)</f>
        <v>0</v>
      </c>
      <c r="U166" s="80">
        <f>SUMIFS('октябрь 2024'!$G$5:$G$2162,'октябрь 2024'!$D$5:$D$2162,$B166,'октябрь 2024'!$J$5:$J$2162,U$1)</f>
        <v>0</v>
      </c>
      <c r="V166" s="80">
        <f>SUMIFS('октябрь 2024'!$G$5:$G$2162,'октябрь 2024'!$D$5:$D$2162,$B166,'октябрь 2024'!$J$5:$J$2162,V$1)</f>
        <v>0</v>
      </c>
      <c r="W166" s="80">
        <f>SUMIFS('октябрь 2024'!$G$5:$G$2162,'октябрь 2024'!$D$5:$D$2162,$B166,'октябрь 2024'!$J$5:$J$2162,W$1)</f>
        <v>0</v>
      </c>
      <c r="X166" s="80">
        <f>SUMIFS('октябрь 2024'!$G$5:$G$2162,'октябрь 2024'!$D$5:$D$2162,$B166,'октябрь 2024'!$J$5:$J$2162,X$1)</f>
        <v>0</v>
      </c>
      <c r="Y166" s="80">
        <f>SUMIFS('октябрь 2024'!$G$5:$G$2162,'октябрь 2024'!$D$5:$D$2162,$B166,'октябрь 2024'!$J$5:$J$2162,Y$1)</f>
        <v>0</v>
      </c>
      <c r="Z166" s="80">
        <f>SUMIFS('октябрь 2024'!$G$5:$G$2162,'октябрь 2024'!$D$5:$D$2162,$B166,'октябрь 2024'!$J$5:$J$2162,Z$1)</f>
        <v>0</v>
      </c>
      <c r="AA166" s="80">
        <f>SUMIFS('октябрь 2024'!$G$5:$G$2162,'октябрь 2024'!$D$5:$D$2162,$B166,'октябрь 2024'!$J$5:$J$2162,AA$1)</f>
        <v>0</v>
      </c>
      <c r="AB166" s="80">
        <f>SUMIFS('октябрь 2024'!$G$5:$G$2162,'октябрь 2024'!$D$5:$D$2162,$B166,'октябрь 2024'!$J$5:$J$2162,AB$1)</f>
        <v>0</v>
      </c>
      <c r="AC166" s="80">
        <f>SUMIFS('октябрь 2024'!$G$5:$G$2162,'октябрь 2024'!$D$5:$D$2162,$B166,'октябрь 2024'!$J$5:$J$2162,AC$1)</f>
        <v>0</v>
      </c>
      <c r="AD166" s="80">
        <f>SUMIFS('октябрь 2024'!$G$5:$G$2162,'октябрь 2024'!$D$5:$D$2162,$B166,'октябрь 2024'!$J$5:$J$2162,AD$1)</f>
        <v>0</v>
      </c>
      <c r="AE166" s="80">
        <f>SUMIFS('октябрь 2024'!$G$5:$G$2162,'октябрь 2024'!$D$5:$D$2162,$B166,'октябрь 2024'!$J$5:$J$2162,AE$1)</f>
        <v>0</v>
      </c>
      <c r="AF166" s="80">
        <f>SUMIFS('октябрь 2024'!$G$5:$G$2162,'октябрь 2024'!$D$5:$D$2162,$B166,'октябрь 2024'!$J$5:$J$2162,AF$1)</f>
        <v>0</v>
      </c>
      <c r="AG166" s="80">
        <f>SUMIFS('октябрь 2024'!$G$5:$G$2162,'октябрь 2024'!$D$5:$D$2162,$B166,'октябрь 2024'!$J$5:$J$2162,AG$1)</f>
        <v>0</v>
      </c>
      <c r="AH166" s="80">
        <f>SUMIFS('октябрь 2024'!$G$5:$G$2162,'октябрь 2024'!$D$5:$D$2162,$B166,'октябрь 2024'!$J$5:$J$2162,AH$1)</f>
        <v>0</v>
      </c>
      <c r="AI166" s="87"/>
    </row>
    <row r="167" spans="2:35" ht="15" hidden="1" customHeight="1" x14ac:dyDescent="0.25">
      <c r="B167" s="93"/>
      <c r="C167" s="91"/>
      <c r="D167" s="80">
        <f>SUMIFS('октябрь 2024'!$G$5:$G$2162,'октябрь 2024'!$D$5:$D$2162,$B167,'октябрь 2024'!$J$5:$J$2162,D$1)</f>
        <v>0</v>
      </c>
      <c r="E167" s="80">
        <f>SUMIFS('октябрь 2024'!$G$5:$G$2162,'октябрь 2024'!$D$5:$D$2162,$B167,'октябрь 2024'!$J$5:$J$2162,E$1)</f>
        <v>0</v>
      </c>
      <c r="F167" s="80">
        <f>SUMIFS('октябрь 2024'!$G$5:$G$2162,'октябрь 2024'!$D$5:$D$2162,$B167,'октябрь 2024'!$J$5:$J$2162,F$1)</f>
        <v>0</v>
      </c>
      <c r="G167" s="80">
        <f>SUMIFS('октябрь 2024'!$G$5:$G$2162,'октябрь 2024'!$D$5:$D$2162,$B167,'октябрь 2024'!$J$5:$J$2162,G$1)</f>
        <v>0</v>
      </c>
      <c r="H167" s="80">
        <f>SUMIFS('октябрь 2024'!$G$5:$G$2162,'октябрь 2024'!$D$5:$D$2162,$B167,'октябрь 2024'!$J$5:$J$2162,H$1)</f>
        <v>0</v>
      </c>
      <c r="I167" s="80">
        <f>SUMIFS('октябрь 2024'!$G$5:$G$2162,'октябрь 2024'!$D$5:$D$2162,$B167,'октябрь 2024'!$J$5:$J$2162,I$1)</f>
        <v>0</v>
      </c>
      <c r="J167" s="80">
        <f>SUMIFS('октябрь 2024'!$G$5:$G$2162,'октябрь 2024'!$D$5:$D$2162,$B167,'октябрь 2024'!$J$5:$J$2162,J$1)</f>
        <v>0</v>
      </c>
      <c r="K167" s="80">
        <f>SUMIFS('октябрь 2024'!$G$5:$G$2162,'октябрь 2024'!$D$5:$D$2162,$B167,'октябрь 2024'!$J$5:$J$2162,K$1)</f>
        <v>0</v>
      </c>
      <c r="L167" s="80">
        <f>SUMIFS('октябрь 2024'!$G$5:$G$2162,'октябрь 2024'!$D$5:$D$2162,$B167,'октябрь 2024'!$J$5:$J$2162,L$1)</f>
        <v>0</v>
      </c>
      <c r="M167" s="80">
        <f>SUMIFS('октябрь 2024'!$G$5:$G$2162,'октябрь 2024'!$D$5:$D$2162,$B167,'октябрь 2024'!$J$5:$J$2162,M$1)</f>
        <v>0</v>
      </c>
      <c r="N167" s="80">
        <f>SUMIFS('октябрь 2024'!$G$5:$G$2162,'октябрь 2024'!$D$5:$D$2162,$B167,'октябрь 2024'!$J$5:$J$2162,N$1)</f>
        <v>0</v>
      </c>
      <c r="O167" s="80">
        <f>SUMIFS('октябрь 2024'!$G$5:$G$2162,'октябрь 2024'!$D$5:$D$2162,$B167,'октябрь 2024'!$J$5:$J$2162,O$1)</f>
        <v>0</v>
      </c>
      <c r="P167" s="80">
        <f>SUMIFS('октябрь 2024'!$G$5:$G$2162,'октябрь 2024'!$D$5:$D$2162,$B167,'октябрь 2024'!$J$5:$J$2162,P$1)</f>
        <v>0</v>
      </c>
      <c r="Q167" s="80">
        <f>SUMIFS('октябрь 2024'!$G$5:$G$2162,'октябрь 2024'!$D$5:$D$2162,$B167,'октябрь 2024'!$J$5:$J$2162,Q$1)</f>
        <v>0</v>
      </c>
      <c r="R167" s="80">
        <f>SUMIFS('октябрь 2024'!$G$5:$G$2162,'октябрь 2024'!$D$5:$D$2162,$B167,'октябрь 2024'!$J$5:$J$2162,R$1)</f>
        <v>0</v>
      </c>
      <c r="S167" s="80">
        <f>SUMIFS('октябрь 2024'!$G$5:$G$2162,'октябрь 2024'!$D$5:$D$2162,$B167,'октябрь 2024'!$J$5:$J$2162,S$1)</f>
        <v>0</v>
      </c>
      <c r="T167" s="80">
        <f>SUMIFS('октябрь 2024'!$G$5:$G$2162,'октябрь 2024'!$D$5:$D$2162,$B167,'октябрь 2024'!$J$5:$J$2162,T$1)</f>
        <v>0</v>
      </c>
      <c r="U167" s="80">
        <f>SUMIFS('октябрь 2024'!$G$5:$G$2162,'октябрь 2024'!$D$5:$D$2162,$B167,'октябрь 2024'!$J$5:$J$2162,U$1)</f>
        <v>0</v>
      </c>
      <c r="V167" s="80">
        <f>SUMIFS('октябрь 2024'!$G$5:$G$2162,'октябрь 2024'!$D$5:$D$2162,$B167,'октябрь 2024'!$J$5:$J$2162,V$1)</f>
        <v>0</v>
      </c>
      <c r="W167" s="80">
        <f>SUMIFS('октябрь 2024'!$G$5:$G$2162,'октябрь 2024'!$D$5:$D$2162,$B167,'октябрь 2024'!$J$5:$J$2162,W$1)</f>
        <v>0</v>
      </c>
      <c r="X167" s="80">
        <f>SUMIFS('октябрь 2024'!$G$5:$G$2162,'октябрь 2024'!$D$5:$D$2162,$B167,'октябрь 2024'!$J$5:$J$2162,X$1)</f>
        <v>0</v>
      </c>
      <c r="Y167" s="80">
        <f>SUMIFS('октябрь 2024'!$G$5:$G$2162,'октябрь 2024'!$D$5:$D$2162,$B167,'октябрь 2024'!$J$5:$J$2162,Y$1)</f>
        <v>0</v>
      </c>
      <c r="Z167" s="80">
        <f>SUMIFS('октябрь 2024'!$G$5:$G$2162,'октябрь 2024'!$D$5:$D$2162,$B167,'октябрь 2024'!$J$5:$J$2162,Z$1)</f>
        <v>0</v>
      </c>
      <c r="AA167" s="80">
        <f>SUMIFS('октябрь 2024'!$G$5:$G$2162,'октябрь 2024'!$D$5:$D$2162,$B167,'октябрь 2024'!$J$5:$J$2162,AA$1)</f>
        <v>0</v>
      </c>
      <c r="AB167" s="80">
        <f>SUMIFS('октябрь 2024'!$G$5:$G$2162,'октябрь 2024'!$D$5:$D$2162,$B167,'октябрь 2024'!$J$5:$J$2162,AB$1)</f>
        <v>0</v>
      </c>
      <c r="AC167" s="80">
        <f>SUMIFS('октябрь 2024'!$G$5:$G$2162,'октябрь 2024'!$D$5:$D$2162,$B167,'октябрь 2024'!$J$5:$J$2162,AC$1)</f>
        <v>0</v>
      </c>
      <c r="AD167" s="80">
        <f>SUMIFS('октябрь 2024'!$G$5:$G$2162,'октябрь 2024'!$D$5:$D$2162,$B167,'октябрь 2024'!$J$5:$J$2162,AD$1)</f>
        <v>0</v>
      </c>
      <c r="AE167" s="80">
        <f>SUMIFS('октябрь 2024'!$G$5:$G$2162,'октябрь 2024'!$D$5:$D$2162,$B167,'октябрь 2024'!$J$5:$J$2162,AE$1)</f>
        <v>0</v>
      </c>
      <c r="AF167" s="80">
        <f>SUMIFS('октябрь 2024'!$G$5:$G$2162,'октябрь 2024'!$D$5:$D$2162,$B167,'октябрь 2024'!$J$5:$J$2162,AF$1)</f>
        <v>0</v>
      </c>
      <c r="AG167" s="80">
        <f>SUMIFS('октябрь 2024'!$G$5:$G$2162,'октябрь 2024'!$D$5:$D$2162,$B167,'октябрь 2024'!$J$5:$J$2162,AG$1)</f>
        <v>0</v>
      </c>
      <c r="AH167" s="80">
        <f>SUMIFS('октябрь 2024'!$G$5:$G$2162,'октябрь 2024'!$D$5:$D$2162,$B167,'октябрь 2024'!$J$5:$J$2162,AH$1)</f>
        <v>0</v>
      </c>
      <c r="AI167" s="87"/>
    </row>
    <row r="168" spans="2:35" ht="15" hidden="1" customHeight="1" x14ac:dyDescent="0.25">
      <c r="B168" s="89"/>
      <c r="C168" s="88"/>
      <c r="D168" s="80">
        <f>SUMIFS('октябрь 2024'!$G$5:$G$2162,'октябрь 2024'!$D$5:$D$2162,$B168,'октябрь 2024'!$J$5:$J$2162,D$1)</f>
        <v>0</v>
      </c>
      <c r="E168" s="80">
        <f>SUMIFS('октябрь 2024'!$G$5:$G$2162,'октябрь 2024'!$D$5:$D$2162,$B168,'октябрь 2024'!$J$5:$J$2162,E$1)</f>
        <v>0</v>
      </c>
      <c r="F168" s="80">
        <f>SUMIFS('октябрь 2024'!$G$5:$G$2162,'октябрь 2024'!$D$5:$D$2162,$B168,'октябрь 2024'!$J$5:$J$2162,F$1)</f>
        <v>0</v>
      </c>
      <c r="G168" s="80">
        <f>SUMIFS('октябрь 2024'!$G$5:$G$2162,'октябрь 2024'!$D$5:$D$2162,$B168,'октябрь 2024'!$J$5:$J$2162,G$1)</f>
        <v>0</v>
      </c>
      <c r="H168" s="80">
        <f>SUMIFS('октябрь 2024'!$G$5:$G$2162,'октябрь 2024'!$D$5:$D$2162,$B168,'октябрь 2024'!$J$5:$J$2162,H$1)</f>
        <v>0</v>
      </c>
      <c r="I168" s="80">
        <f>SUMIFS('октябрь 2024'!$G$5:$G$2162,'октябрь 2024'!$D$5:$D$2162,$B168,'октябрь 2024'!$J$5:$J$2162,I$1)</f>
        <v>0</v>
      </c>
      <c r="J168" s="80">
        <f>SUMIFS('октябрь 2024'!$G$5:$G$2162,'октябрь 2024'!$D$5:$D$2162,$B168,'октябрь 2024'!$J$5:$J$2162,J$1)</f>
        <v>0</v>
      </c>
      <c r="K168" s="80">
        <f>SUMIFS('октябрь 2024'!$G$5:$G$2162,'октябрь 2024'!$D$5:$D$2162,$B168,'октябрь 2024'!$J$5:$J$2162,K$1)</f>
        <v>0</v>
      </c>
      <c r="L168" s="80">
        <f>SUMIFS('октябрь 2024'!$G$5:$G$2162,'октябрь 2024'!$D$5:$D$2162,$B168,'октябрь 2024'!$J$5:$J$2162,L$1)</f>
        <v>0</v>
      </c>
      <c r="M168" s="80">
        <f>SUMIFS('октябрь 2024'!$G$5:$G$2162,'октябрь 2024'!$D$5:$D$2162,$B168,'октябрь 2024'!$J$5:$J$2162,M$1)</f>
        <v>0</v>
      </c>
      <c r="N168" s="80">
        <f>SUMIFS('октябрь 2024'!$G$5:$G$2162,'октябрь 2024'!$D$5:$D$2162,$B168,'октябрь 2024'!$J$5:$J$2162,N$1)</f>
        <v>0</v>
      </c>
      <c r="O168" s="80">
        <f>SUMIFS('октябрь 2024'!$G$5:$G$2162,'октябрь 2024'!$D$5:$D$2162,$B168,'октябрь 2024'!$J$5:$J$2162,O$1)</f>
        <v>0</v>
      </c>
      <c r="P168" s="80">
        <f>SUMIFS('октябрь 2024'!$G$5:$G$2162,'октябрь 2024'!$D$5:$D$2162,$B168,'октябрь 2024'!$J$5:$J$2162,P$1)</f>
        <v>0</v>
      </c>
      <c r="Q168" s="80">
        <f>SUMIFS('октябрь 2024'!$G$5:$G$2162,'октябрь 2024'!$D$5:$D$2162,$B168,'октябрь 2024'!$J$5:$J$2162,Q$1)</f>
        <v>0</v>
      </c>
      <c r="R168" s="80">
        <f>SUMIFS('октябрь 2024'!$G$5:$G$2162,'октябрь 2024'!$D$5:$D$2162,$B168,'октябрь 2024'!$J$5:$J$2162,R$1)</f>
        <v>0</v>
      </c>
      <c r="S168" s="80">
        <f>SUMIFS('октябрь 2024'!$G$5:$G$2162,'октябрь 2024'!$D$5:$D$2162,$B168,'октябрь 2024'!$J$5:$J$2162,S$1)</f>
        <v>0</v>
      </c>
      <c r="T168" s="80">
        <f>SUMIFS('октябрь 2024'!$G$5:$G$2162,'октябрь 2024'!$D$5:$D$2162,$B168,'октябрь 2024'!$J$5:$J$2162,T$1)</f>
        <v>0</v>
      </c>
      <c r="U168" s="80">
        <f>SUMIFS('октябрь 2024'!$G$5:$G$2162,'октябрь 2024'!$D$5:$D$2162,$B168,'октябрь 2024'!$J$5:$J$2162,U$1)</f>
        <v>0</v>
      </c>
      <c r="V168" s="80">
        <f>SUMIFS('октябрь 2024'!$G$5:$G$2162,'октябрь 2024'!$D$5:$D$2162,$B168,'октябрь 2024'!$J$5:$J$2162,V$1)</f>
        <v>0</v>
      </c>
      <c r="W168" s="80">
        <f>SUMIFS('октябрь 2024'!$G$5:$G$2162,'октябрь 2024'!$D$5:$D$2162,$B168,'октябрь 2024'!$J$5:$J$2162,W$1)</f>
        <v>0</v>
      </c>
      <c r="X168" s="80">
        <f>SUMIFS('октябрь 2024'!$G$5:$G$2162,'октябрь 2024'!$D$5:$D$2162,$B168,'октябрь 2024'!$J$5:$J$2162,X$1)</f>
        <v>0</v>
      </c>
      <c r="Y168" s="80">
        <f>SUMIFS('октябрь 2024'!$G$5:$G$2162,'октябрь 2024'!$D$5:$D$2162,$B168,'октябрь 2024'!$J$5:$J$2162,Y$1)</f>
        <v>0</v>
      </c>
      <c r="Z168" s="80">
        <f>SUMIFS('октябрь 2024'!$G$5:$G$2162,'октябрь 2024'!$D$5:$D$2162,$B168,'октябрь 2024'!$J$5:$J$2162,Z$1)</f>
        <v>0</v>
      </c>
      <c r="AA168" s="80">
        <f>SUMIFS('октябрь 2024'!$G$5:$G$2162,'октябрь 2024'!$D$5:$D$2162,$B168,'октябрь 2024'!$J$5:$J$2162,AA$1)</f>
        <v>0</v>
      </c>
      <c r="AB168" s="80">
        <f>SUMIFS('октябрь 2024'!$G$5:$G$2162,'октябрь 2024'!$D$5:$D$2162,$B168,'октябрь 2024'!$J$5:$J$2162,AB$1)</f>
        <v>0</v>
      </c>
      <c r="AC168" s="80">
        <f>SUMIFS('октябрь 2024'!$G$5:$G$2162,'октябрь 2024'!$D$5:$D$2162,$B168,'октябрь 2024'!$J$5:$J$2162,AC$1)</f>
        <v>0</v>
      </c>
      <c r="AD168" s="80">
        <f>SUMIFS('октябрь 2024'!$G$5:$G$2162,'октябрь 2024'!$D$5:$D$2162,$B168,'октябрь 2024'!$J$5:$J$2162,AD$1)</f>
        <v>0</v>
      </c>
      <c r="AE168" s="80">
        <f>SUMIFS('октябрь 2024'!$G$5:$G$2162,'октябрь 2024'!$D$5:$D$2162,$B168,'октябрь 2024'!$J$5:$J$2162,AE$1)</f>
        <v>0</v>
      </c>
      <c r="AF168" s="80">
        <f>SUMIFS('октябрь 2024'!$G$5:$G$2162,'октябрь 2024'!$D$5:$D$2162,$B168,'октябрь 2024'!$J$5:$J$2162,AF$1)</f>
        <v>0</v>
      </c>
      <c r="AG168" s="80">
        <f>SUMIFS('октябрь 2024'!$G$5:$G$2162,'октябрь 2024'!$D$5:$D$2162,$B168,'октябрь 2024'!$J$5:$J$2162,AG$1)</f>
        <v>0</v>
      </c>
      <c r="AH168" s="80">
        <f>SUMIFS('октябрь 2024'!$G$5:$G$2162,'октябрь 2024'!$D$5:$D$2162,$B168,'октябрь 2024'!$J$5:$J$2162,AH$1)</f>
        <v>0</v>
      </c>
      <c r="AI168" s="87"/>
    </row>
    <row r="169" spans="2:35" ht="15" hidden="1" customHeight="1" x14ac:dyDescent="0.25">
      <c r="B169" s="89"/>
      <c r="C169" s="88"/>
      <c r="D169" s="80">
        <f>SUMIFS('октябрь 2024'!$G$5:$G$2162,'октябрь 2024'!$D$5:$D$2162,$B169,'октябрь 2024'!$J$5:$J$2162,D$1)</f>
        <v>0</v>
      </c>
      <c r="E169" s="80">
        <f>SUMIFS('октябрь 2024'!$G$5:$G$2162,'октябрь 2024'!$D$5:$D$2162,$B169,'октябрь 2024'!$J$5:$J$2162,E$1)</f>
        <v>0</v>
      </c>
      <c r="F169" s="80">
        <f>SUMIFS('октябрь 2024'!$G$5:$G$2162,'октябрь 2024'!$D$5:$D$2162,$B169,'октябрь 2024'!$J$5:$J$2162,F$1)</f>
        <v>0</v>
      </c>
      <c r="G169" s="80">
        <f>SUMIFS('октябрь 2024'!$G$5:$G$2162,'октябрь 2024'!$D$5:$D$2162,$B169,'октябрь 2024'!$J$5:$J$2162,G$1)</f>
        <v>0</v>
      </c>
      <c r="H169" s="80">
        <f>SUMIFS('октябрь 2024'!$G$5:$G$2162,'октябрь 2024'!$D$5:$D$2162,$B169,'октябрь 2024'!$J$5:$J$2162,H$1)</f>
        <v>0</v>
      </c>
      <c r="I169" s="80">
        <f>SUMIFS('октябрь 2024'!$G$5:$G$2162,'октябрь 2024'!$D$5:$D$2162,$B169,'октябрь 2024'!$J$5:$J$2162,I$1)</f>
        <v>0</v>
      </c>
      <c r="J169" s="80">
        <f>SUMIFS('октябрь 2024'!$G$5:$G$2162,'октябрь 2024'!$D$5:$D$2162,$B169,'октябрь 2024'!$J$5:$J$2162,J$1)</f>
        <v>0</v>
      </c>
      <c r="K169" s="80">
        <f>SUMIFS('октябрь 2024'!$G$5:$G$2162,'октябрь 2024'!$D$5:$D$2162,$B169,'октябрь 2024'!$J$5:$J$2162,K$1)</f>
        <v>0</v>
      </c>
      <c r="L169" s="80">
        <f>SUMIFS('октябрь 2024'!$G$5:$G$2162,'октябрь 2024'!$D$5:$D$2162,$B169,'октябрь 2024'!$J$5:$J$2162,L$1)</f>
        <v>0</v>
      </c>
      <c r="M169" s="80">
        <f>SUMIFS('октябрь 2024'!$G$5:$G$2162,'октябрь 2024'!$D$5:$D$2162,$B169,'октябрь 2024'!$J$5:$J$2162,M$1)</f>
        <v>0</v>
      </c>
      <c r="N169" s="80">
        <f>SUMIFS('октябрь 2024'!$G$5:$G$2162,'октябрь 2024'!$D$5:$D$2162,$B169,'октябрь 2024'!$J$5:$J$2162,N$1)</f>
        <v>0</v>
      </c>
      <c r="O169" s="80">
        <f>SUMIFS('октябрь 2024'!$G$5:$G$2162,'октябрь 2024'!$D$5:$D$2162,$B169,'октябрь 2024'!$J$5:$J$2162,O$1)</f>
        <v>0</v>
      </c>
      <c r="P169" s="80">
        <f>SUMIFS('октябрь 2024'!$G$5:$G$2162,'октябрь 2024'!$D$5:$D$2162,$B169,'октябрь 2024'!$J$5:$J$2162,P$1)</f>
        <v>0</v>
      </c>
      <c r="Q169" s="80">
        <f>SUMIFS('октябрь 2024'!$G$5:$G$2162,'октябрь 2024'!$D$5:$D$2162,$B169,'октябрь 2024'!$J$5:$J$2162,Q$1)</f>
        <v>0</v>
      </c>
      <c r="R169" s="80">
        <f>SUMIFS('октябрь 2024'!$G$5:$G$2162,'октябрь 2024'!$D$5:$D$2162,$B169,'октябрь 2024'!$J$5:$J$2162,R$1)</f>
        <v>0</v>
      </c>
      <c r="S169" s="80">
        <f>SUMIFS('октябрь 2024'!$G$5:$G$2162,'октябрь 2024'!$D$5:$D$2162,$B169,'октябрь 2024'!$J$5:$J$2162,S$1)</f>
        <v>0</v>
      </c>
      <c r="T169" s="80">
        <f>SUMIFS('октябрь 2024'!$G$5:$G$2162,'октябрь 2024'!$D$5:$D$2162,$B169,'октябрь 2024'!$J$5:$J$2162,T$1)</f>
        <v>0</v>
      </c>
      <c r="U169" s="80">
        <f>SUMIFS('октябрь 2024'!$G$5:$G$2162,'октябрь 2024'!$D$5:$D$2162,$B169,'октябрь 2024'!$J$5:$J$2162,U$1)</f>
        <v>0</v>
      </c>
      <c r="V169" s="80">
        <f>SUMIFS('октябрь 2024'!$G$5:$G$2162,'октябрь 2024'!$D$5:$D$2162,$B169,'октябрь 2024'!$J$5:$J$2162,V$1)</f>
        <v>0</v>
      </c>
      <c r="W169" s="80">
        <f>SUMIFS('октябрь 2024'!$G$5:$G$2162,'октябрь 2024'!$D$5:$D$2162,$B169,'октябрь 2024'!$J$5:$J$2162,W$1)</f>
        <v>0</v>
      </c>
      <c r="X169" s="80">
        <f>SUMIFS('октябрь 2024'!$G$5:$G$2162,'октябрь 2024'!$D$5:$D$2162,$B169,'октябрь 2024'!$J$5:$J$2162,X$1)</f>
        <v>0</v>
      </c>
      <c r="Y169" s="80">
        <f>SUMIFS('октябрь 2024'!$G$5:$G$2162,'октябрь 2024'!$D$5:$D$2162,$B169,'октябрь 2024'!$J$5:$J$2162,Y$1)</f>
        <v>0</v>
      </c>
      <c r="Z169" s="80">
        <f>SUMIFS('октябрь 2024'!$G$5:$G$2162,'октябрь 2024'!$D$5:$D$2162,$B169,'октябрь 2024'!$J$5:$J$2162,Z$1)</f>
        <v>0</v>
      </c>
      <c r="AA169" s="80">
        <f>SUMIFS('октябрь 2024'!$G$5:$G$2162,'октябрь 2024'!$D$5:$D$2162,$B169,'октябрь 2024'!$J$5:$J$2162,AA$1)</f>
        <v>0</v>
      </c>
      <c r="AB169" s="80">
        <f>SUMIFS('октябрь 2024'!$G$5:$G$2162,'октябрь 2024'!$D$5:$D$2162,$B169,'октябрь 2024'!$J$5:$J$2162,AB$1)</f>
        <v>0</v>
      </c>
      <c r="AC169" s="80">
        <f>SUMIFS('октябрь 2024'!$G$5:$G$2162,'октябрь 2024'!$D$5:$D$2162,$B169,'октябрь 2024'!$J$5:$J$2162,AC$1)</f>
        <v>0</v>
      </c>
      <c r="AD169" s="80">
        <f>SUMIFS('октябрь 2024'!$G$5:$G$2162,'октябрь 2024'!$D$5:$D$2162,$B169,'октябрь 2024'!$J$5:$J$2162,AD$1)</f>
        <v>0</v>
      </c>
      <c r="AE169" s="80">
        <f>SUMIFS('октябрь 2024'!$G$5:$G$2162,'октябрь 2024'!$D$5:$D$2162,$B169,'октябрь 2024'!$J$5:$J$2162,AE$1)</f>
        <v>0</v>
      </c>
      <c r="AF169" s="80">
        <f>SUMIFS('октябрь 2024'!$G$5:$G$2162,'октябрь 2024'!$D$5:$D$2162,$B169,'октябрь 2024'!$J$5:$J$2162,AF$1)</f>
        <v>0</v>
      </c>
      <c r="AG169" s="80">
        <f>SUMIFS('октябрь 2024'!$G$5:$G$2162,'октябрь 2024'!$D$5:$D$2162,$B169,'октябрь 2024'!$J$5:$J$2162,AG$1)</f>
        <v>0</v>
      </c>
      <c r="AH169" s="80">
        <f>SUMIFS('октябрь 2024'!$G$5:$G$2162,'октябрь 2024'!$D$5:$D$2162,$B169,'октябрь 2024'!$J$5:$J$2162,AH$1)</f>
        <v>0</v>
      </c>
      <c r="AI169" s="87"/>
    </row>
    <row r="170" spans="2:35" ht="15" hidden="1" customHeight="1" x14ac:dyDescent="0.25">
      <c r="B170" s="89"/>
      <c r="C170" s="88"/>
      <c r="D170" s="80">
        <f>SUMIFS('октябрь 2024'!$G$5:$G$2162,'октябрь 2024'!$D$5:$D$2162,$B170,'октябрь 2024'!$J$5:$J$2162,D$1)</f>
        <v>0</v>
      </c>
      <c r="E170" s="80">
        <f>SUMIFS('октябрь 2024'!$G$5:$G$2162,'октябрь 2024'!$D$5:$D$2162,$B170,'октябрь 2024'!$J$5:$J$2162,E$1)</f>
        <v>0</v>
      </c>
      <c r="F170" s="80">
        <f>SUMIFS('октябрь 2024'!$G$5:$G$2162,'октябрь 2024'!$D$5:$D$2162,$B170,'октябрь 2024'!$J$5:$J$2162,F$1)</f>
        <v>0</v>
      </c>
      <c r="G170" s="80">
        <f>SUMIFS('октябрь 2024'!$G$5:$G$2162,'октябрь 2024'!$D$5:$D$2162,$B170,'октябрь 2024'!$J$5:$J$2162,G$1)</f>
        <v>0</v>
      </c>
      <c r="H170" s="80">
        <f>SUMIFS('октябрь 2024'!$G$5:$G$2162,'октябрь 2024'!$D$5:$D$2162,$B170,'октябрь 2024'!$J$5:$J$2162,H$1)</f>
        <v>0</v>
      </c>
      <c r="I170" s="80">
        <f>SUMIFS('октябрь 2024'!$G$5:$G$2162,'октябрь 2024'!$D$5:$D$2162,$B170,'октябрь 2024'!$J$5:$J$2162,I$1)</f>
        <v>0</v>
      </c>
      <c r="J170" s="80">
        <f>SUMIFS('октябрь 2024'!$G$5:$G$2162,'октябрь 2024'!$D$5:$D$2162,$B170,'октябрь 2024'!$J$5:$J$2162,J$1)</f>
        <v>0</v>
      </c>
      <c r="K170" s="80">
        <f>SUMIFS('октябрь 2024'!$G$5:$G$2162,'октябрь 2024'!$D$5:$D$2162,$B170,'октябрь 2024'!$J$5:$J$2162,K$1)</f>
        <v>0</v>
      </c>
      <c r="L170" s="80">
        <f>SUMIFS('октябрь 2024'!$G$5:$G$2162,'октябрь 2024'!$D$5:$D$2162,$B170,'октябрь 2024'!$J$5:$J$2162,L$1)</f>
        <v>0</v>
      </c>
      <c r="M170" s="80">
        <f>SUMIFS('октябрь 2024'!$G$5:$G$2162,'октябрь 2024'!$D$5:$D$2162,$B170,'октябрь 2024'!$J$5:$J$2162,M$1)</f>
        <v>0</v>
      </c>
      <c r="N170" s="80">
        <f>SUMIFS('октябрь 2024'!$G$5:$G$2162,'октябрь 2024'!$D$5:$D$2162,$B170,'октябрь 2024'!$J$5:$J$2162,N$1)</f>
        <v>0</v>
      </c>
      <c r="O170" s="80">
        <f>SUMIFS('октябрь 2024'!$G$5:$G$2162,'октябрь 2024'!$D$5:$D$2162,$B170,'октябрь 2024'!$J$5:$J$2162,O$1)</f>
        <v>0</v>
      </c>
      <c r="P170" s="80">
        <f>SUMIFS('октябрь 2024'!$G$5:$G$2162,'октябрь 2024'!$D$5:$D$2162,$B170,'октябрь 2024'!$J$5:$J$2162,P$1)</f>
        <v>0</v>
      </c>
      <c r="Q170" s="80">
        <f>SUMIFS('октябрь 2024'!$G$5:$G$2162,'октябрь 2024'!$D$5:$D$2162,$B170,'октябрь 2024'!$J$5:$J$2162,Q$1)</f>
        <v>0</v>
      </c>
      <c r="R170" s="80">
        <f>SUMIFS('октябрь 2024'!$G$5:$G$2162,'октябрь 2024'!$D$5:$D$2162,$B170,'октябрь 2024'!$J$5:$J$2162,R$1)</f>
        <v>0</v>
      </c>
      <c r="S170" s="80">
        <f>SUMIFS('октябрь 2024'!$G$5:$G$2162,'октябрь 2024'!$D$5:$D$2162,$B170,'октябрь 2024'!$J$5:$J$2162,S$1)</f>
        <v>0</v>
      </c>
      <c r="T170" s="80">
        <f>SUMIFS('октябрь 2024'!$G$5:$G$2162,'октябрь 2024'!$D$5:$D$2162,$B170,'октябрь 2024'!$J$5:$J$2162,T$1)</f>
        <v>0</v>
      </c>
      <c r="U170" s="80">
        <f>SUMIFS('октябрь 2024'!$G$5:$G$2162,'октябрь 2024'!$D$5:$D$2162,$B170,'октябрь 2024'!$J$5:$J$2162,U$1)</f>
        <v>0</v>
      </c>
      <c r="V170" s="80">
        <f>SUMIFS('октябрь 2024'!$G$5:$G$2162,'октябрь 2024'!$D$5:$D$2162,$B170,'октябрь 2024'!$J$5:$J$2162,V$1)</f>
        <v>0</v>
      </c>
      <c r="W170" s="80">
        <f>SUMIFS('октябрь 2024'!$G$5:$G$2162,'октябрь 2024'!$D$5:$D$2162,$B170,'октябрь 2024'!$J$5:$J$2162,W$1)</f>
        <v>0</v>
      </c>
      <c r="X170" s="80">
        <f>SUMIFS('октябрь 2024'!$G$5:$G$2162,'октябрь 2024'!$D$5:$D$2162,$B170,'октябрь 2024'!$J$5:$J$2162,X$1)</f>
        <v>0</v>
      </c>
      <c r="Y170" s="80">
        <f>SUMIFS('октябрь 2024'!$G$5:$G$2162,'октябрь 2024'!$D$5:$D$2162,$B170,'октябрь 2024'!$J$5:$J$2162,Y$1)</f>
        <v>0</v>
      </c>
      <c r="Z170" s="80">
        <f>SUMIFS('октябрь 2024'!$G$5:$G$2162,'октябрь 2024'!$D$5:$D$2162,$B170,'октябрь 2024'!$J$5:$J$2162,Z$1)</f>
        <v>0</v>
      </c>
      <c r="AA170" s="80">
        <f>SUMIFS('октябрь 2024'!$G$5:$G$2162,'октябрь 2024'!$D$5:$D$2162,$B170,'октябрь 2024'!$J$5:$J$2162,AA$1)</f>
        <v>0</v>
      </c>
      <c r="AB170" s="80">
        <f>SUMIFS('октябрь 2024'!$G$5:$G$2162,'октябрь 2024'!$D$5:$D$2162,$B170,'октябрь 2024'!$J$5:$J$2162,AB$1)</f>
        <v>0</v>
      </c>
      <c r="AC170" s="80">
        <f>SUMIFS('октябрь 2024'!$G$5:$G$2162,'октябрь 2024'!$D$5:$D$2162,$B170,'октябрь 2024'!$J$5:$J$2162,AC$1)</f>
        <v>0</v>
      </c>
      <c r="AD170" s="80">
        <f>SUMIFS('октябрь 2024'!$G$5:$G$2162,'октябрь 2024'!$D$5:$D$2162,$B170,'октябрь 2024'!$J$5:$J$2162,AD$1)</f>
        <v>0</v>
      </c>
      <c r="AE170" s="80">
        <f>SUMIFS('октябрь 2024'!$G$5:$G$2162,'октябрь 2024'!$D$5:$D$2162,$B170,'октябрь 2024'!$J$5:$J$2162,AE$1)</f>
        <v>0</v>
      </c>
      <c r="AF170" s="80">
        <f>SUMIFS('октябрь 2024'!$G$5:$G$2162,'октябрь 2024'!$D$5:$D$2162,$B170,'октябрь 2024'!$J$5:$J$2162,AF$1)</f>
        <v>0</v>
      </c>
      <c r="AG170" s="80">
        <f>SUMIFS('октябрь 2024'!$G$5:$G$2162,'октябрь 2024'!$D$5:$D$2162,$B170,'октябрь 2024'!$J$5:$J$2162,AG$1)</f>
        <v>0</v>
      </c>
      <c r="AH170" s="80">
        <f>SUMIFS('октябрь 2024'!$G$5:$G$2162,'октябрь 2024'!$D$5:$D$2162,$B170,'октябрь 2024'!$J$5:$J$2162,AH$1)</f>
        <v>0</v>
      </c>
      <c r="AI170" s="87"/>
    </row>
    <row r="171" spans="2:35" ht="15" hidden="1" customHeight="1" x14ac:dyDescent="0.25">
      <c r="B171" s="94"/>
      <c r="C171" s="95"/>
      <c r="D171" s="80">
        <f>SUMIFS('октябрь 2024'!$G$5:$G$2162,'октябрь 2024'!$D$5:$D$2162,$B171,'октябрь 2024'!$J$5:$J$2162,D$1)</f>
        <v>0</v>
      </c>
      <c r="E171" s="80">
        <f>SUMIFS('октябрь 2024'!$G$5:$G$2162,'октябрь 2024'!$D$5:$D$2162,$B171,'октябрь 2024'!$J$5:$J$2162,E$1)</f>
        <v>0</v>
      </c>
      <c r="F171" s="80">
        <f>SUMIFS('октябрь 2024'!$G$5:$G$2162,'октябрь 2024'!$D$5:$D$2162,$B171,'октябрь 2024'!$J$5:$J$2162,F$1)</f>
        <v>0</v>
      </c>
      <c r="G171" s="80">
        <f>SUMIFS('октябрь 2024'!$G$5:$G$2162,'октябрь 2024'!$D$5:$D$2162,$B171,'октябрь 2024'!$J$5:$J$2162,G$1)</f>
        <v>0</v>
      </c>
      <c r="H171" s="80">
        <f>SUMIFS('октябрь 2024'!$G$5:$G$2162,'октябрь 2024'!$D$5:$D$2162,$B171,'октябрь 2024'!$J$5:$J$2162,H$1)</f>
        <v>0</v>
      </c>
      <c r="I171" s="80">
        <f>SUMIFS('октябрь 2024'!$G$5:$G$2162,'октябрь 2024'!$D$5:$D$2162,$B171,'октябрь 2024'!$J$5:$J$2162,I$1)</f>
        <v>0</v>
      </c>
      <c r="J171" s="80">
        <f>SUMIFS('октябрь 2024'!$G$5:$G$2162,'октябрь 2024'!$D$5:$D$2162,$B171,'октябрь 2024'!$J$5:$J$2162,J$1)</f>
        <v>0</v>
      </c>
      <c r="K171" s="80">
        <f>SUMIFS('октябрь 2024'!$G$5:$G$2162,'октябрь 2024'!$D$5:$D$2162,$B171,'октябрь 2024'!$J$5:$J$2162,K$1)</f>
        <v>0</v>
      </c>
      <c r="L171" s="80">
        <f>SUMIFS('октябрь 2024'!$G$5:$G$2162,'октябрь 2024'!$D$5:$D$2162,$B171,'октябрь 2024'!$J$5:$J$2162,L$1)</f>
        <v>0</v>
      </c>
      <c r="M171" s="80">
        <f>SUMIFS('октябрь 2024'!$G$5:$G$2162,'октябрь 2024'!$D$5:$D$2162,$B171,'октябрь 2024'!$J$5:$J$2162,M$1)</f>
        <v>0</v>
      </c>
      <c r="N171" s="80">
        <f>SUMIFS('октябрь 2024'!$G$5:$G$2162,'октябрь 2024'!$D$5:$D$2162,$B171,'октябрь 2024'!$J$5:$J$2162,N$1)</f>
        <v>0</v>
      </c>
      <c r="O171" s="80">
        <f>SUMIFS('октябрь 2024'!$G$5:$G$2162,'октябрь 2024'!$D$5:$D$2162,$B171,'октябрь 2024'!$J$5:$J$2162,O$1)</f>
        <v>0</v>
      </c>
      <c r="P171" s="80">
        <f>SUMIFS('октябрь 2024'!$G$5:$G$2162,'октябрь 2024'!$D$5:$D$2162,$B171,'октябрь 2024'!$J$5:$J$2162,P$1)</f>
        <v>0</v>
      </c>
      <c r="Q171" s="80">
        <f>SUMIFS('октябрь 2024'!$G$5:$G$2162,'октябрь 2024'!$D$5:$D$2162,$B171,'октябрь 2024'!$J$5:$J$2162,Q$1)</f>
        <v>0</v>
      </c>
      <c r="R171" s="80">
        <f>SUMIFS('октябрь 2024'!$G$5:$G$2162,'октябрь 2024'!$D$5:$D$2162,$B171,'октябрь 2024'!$J$5:$J$2162,R$1)</f>
        <v>0</v>
      </c>
      <c r="S171" s="80">
        <f>SUMIFS('октябрь 2024'!$G$5:$G$2162,'октябрь 2024'!$D$5:$D$2162,$B171,'октябрь 2024'!$J$5:$J$2162,S$1)</f>
        <v>0</v>
      </c>
      <c r="T171" s="80">
        <f>SUMIFS('октябрь 2024'!$G$5:$G$2162,'октябрь 2024'!$D$5:$D$2162,$B171,'октябрь 2024'!$J$5:$J$2162,T$1)</f>
        <v>0</v>
      </c>
      <c r="U171" s="80">
        <f>SUMIFS('октябрь 2024'!$G$5:$G$2162,'октябрь 2024'!$D$5:$D$2162,$B171,'октябрь 2024'!$J$5:$J$2162,U$1)</f>
        <v>0</v>
      </c>
      <c r="V171" s="80">
        <f>SUMIFS('октябрь 2024'!$G$5:$G$2162,'октябрь 2024'!$D$5:$D$2162,$B171,'октябрь 2024'!$J$5:$J$2162,V$1)</f>
        <v>0</v>
      </c>
      <c r="W171" s="80">
        <f>SUMIFS('октябрь 2024'!$G$5:$G$2162,'октябрь 2024'!$D$5:$D$2162,$B171,'октябрь 2024'!$J$5:$J$2162,W$1)</f>
        <v>0</v>
      </c>
      <c r="X171" s="80">
        <f>SUMIFS('октябрь 2024'!$G$5:$G$2162,'октябрь 2024'!$D$5:$D$2162,$B171,'октябрь 2024'!$J$5:$J$2162,X$1)</f>
        <v>0</v>
      </c>
      <c r="Y171" s="80">
        <f>SUMIFS('октябрь 2024'!$G$5:$G$2162,'октябрь 2024'!$D$5:$D$2162,$B171,'октябрь 2024'!$J$5:$J$2162,Y$1)</f>
        <v>0</v>
      </c>
      <c r="Z171" s="80">
        <f>SUMIFS('октябрь 2024'!$G$5:$G$2162,'октябрь 2024'!$D$5:$D$2162,$B171,'октябрь 2024'!$J$5:$J$2162,Z$1)</f>
        <v>0</v>
      </c>
      <c r="AA171" s="80">
        <f>SUMIFS('октябрь 2024'!$G$5:$G$2162,'октябрь 2024'!$D$5:$D$2162,$B171,'октябрь 2024'!$J$5:$J$2162,AA$1)</f>
        <v>0</v>
      </c>
      <c r="AB171" s="80">
        <f>SUMIFS('октябрь 2024'!$G$5:$G$2162,'октябрь 2024'!$D$5:$D$2162,$B171,'октябрь 2024'!$J$5:$J$2162,AB$1)</f>
        <v>0</v>
      </c>
      <c r="AC171" s="80">
        <f>SUMIFS('октябрь 2024'!$G$5:$G$2162,'октябрь 2024'!$D$5:$D$2162,$B171,'октябрь 2024'!$J$5:$J$2162,AC$1)</f>
        <v>0</v>
      </c>
      <c r="AD171" s="80">
        <f>SUMIFS('октябрь 2024'!$G$5:$G$2162,'октябрь 2024'!$D$5:$D$2162,$B171,'октябрь 2024'!$J$5:$J$2162,AD$1)</f>
        <v>0</v>
      </c>
      <c r="AE171" s="80">
        <f>SUMIFS('октябрь 2024'!$G$5:$G$2162,'октябрь 2024'!$D$5:$D$2162,$B171,'октябрь 2024'!$J$5:$J$2162,AE$1)</f>
        <v>0</v>
      </c>
      <c r="AF171" s="80">
        <f>SUMIFS('октябрь 2024'!$G$5:$G$2162,'октябрь 2024'!$D$5:$D$2162,$B171,'октябрь 2024'!$J$5:$J$2162,AF$1)</f>
        <v>0</v>
      </c>
      <c r="AG171" s="80">
        <f>SUMIFS('октябрь 2024'!$G$5:$G$2162,'октябрь 2024'!$D$5:$D$2162,$B171,'октябрь 2024'!$J$5:$J$2162,AG$1)</f>
        <v>0</v>
      </c>
      <c r="AH171" s="80">
        <f>SUMIFS('октябрь 2024'!$G$5:$G$2162,'октябрь 2024'!$D$5:$D$2162,$B171,'октябрь 2024'!$J$5:$J$2162,AH$1)</f>
        <v>0</v>
      </c>
      <c r="AI171" s="87"/>
    </row>
    <row r="172" spans="2:35" ht="15" hidden="1" customHeight="1" x14ac:dyDescent="0.25">
      <c r="B172" s="89"/>
      <c r="C172" s="91"/>
      <c r="D172" s="80">
        <f>SUMIFS('октябрь 2024'!$G$5:$G$2162,'октябрь 2024'!$D$5:$D$2162,$B172,'октябрь 2024'!$J$5:$J$2162,D$1)</f>
        <v>0</v>
      </c>
      <c r="E172" s="80">
        <f>SUMIFS('октябрь 2024'!$G$5:$G$2162,'октябрь 2024'!$D$5:$D$2162,$B172,'октябрь 2024'!$J$5:$J$2162,E$1)</f>
        <v>0</v>
      </c>
      <c r="F172" s="80">
        <f>SUMIFS('октябрь 2024'!$G$5:$G$2162,'октябрь 2024'!$D$5:$D$2162,$B172,'октябрь 2024'!$J$5:$J$2162,F$1)</f>
        <v>0</v>
      </c>
      <c r="G172" s="80">
        <f>SUMIFS('октябрь 2024'!$G$5:$G$2162,'октябрь 2024'!$D$5:$D$2162,$B172,'октябрь 2024'!$J$5:$J$2162,G$1)</f>
        <v>0</v>
      </c>
      <c r="H172" s="80">
        <f>SUMIFS('октябрь 2024'!$G$5:$G$2162,'октябрь 2024'!$D$5:$D$2162,$B172,'октябрь 2024'!$J$5:$J$2162,H$1)</f>
        <v>0</v>
      </c>
      <c r="I172" s="80">
        <f>SUMIFS('октябрь 2024'!$G$5:$G$2162,'октябрь 2024'!$D$5:$D$2162,$B172,'октябрь 2024'!$J$5:$J$2162,I$1)</f>
        <v>0</v>
      </c>
      <c r="J172" s="80">
        <f>SUMIFS('октябрь 2024'!$G$5:$G$2162,'октябрь 2024'!$D$5:$D$2162,$B172,'октябрь 2024'!$J$5:$J$2162,J$1)</f>
        <v>0</v>
      </c>
      <c r="K172" s="80">
        <f>SUMIFS('октябрь 2024'!$G$5:$G$2162,'октябрь 2024'!$D$5:$D$2162,$B172,'октябрь 2024'!$J$5:$J$2162,K$1)</f>
        <v>0</v>
      </c>
      <c r="L172" s="80">
        <f>SUMIFS('октябрь 2024'!$G$5:$G$2162,'октябрь 2024'!$D$5:$D$2162,$B172,'октябрь 2024'!$J$5:$J$2162,L$1)</f>
        <v>0</v>
      </c>
      <c r="M172" s="80">
        <f>SUMIFS('октябрь 2024'!$G$5:$G$2162,'октябрь 2024'!$D$5:$D$2162,$B172,'октябрь 2024'!$J$5:$J$2162,M$1)</f>
        <v>0</v>
      </c>
      <c r="N172" s="80">
        <f>SUMIFS('октябрь 2024'!$G$5:$G$2162,'октябрь 2024'!$D$5:$D$2162,$B172,'октябрь 2024'!$J$5:$J$2162,N$1)</f>
        <v>0</v>
      </c>
      <c r="O172" s="80">
        <f>SUMIFS('октябрь 2024'!$G$5:$G$2162,'октябрь 2024'!$D$5:$D$2162,$B172,'октябрь 2024'!$J$5:$J$2162,O$1)</f>
        <v>0</v>
      </c>
      <c r="P172" s="80">
        <f>SUMIFS('октябрь 2024'!$G$5:$G$2162,'октябрь 2024'!$D$5:$D$2162,$B172,'октябрь 2024'!$J$5:$J$2162,P$1)</f>
        <v>0</v>
      </c>
      <c r="Q172" s="80">
        <f>SUMIFS('октябрь 2024'!$G$5:$G$2162,'октябрь 2024'!$D$5:$D$2162,$B172,'октябрь 2024'!$J$5:$J$2162,Q$1)</f>
        <v>0</v>
      </c>
      <c r="R172" s="80">
        <f>SUMIFS('октябрь 2024'!$G$5:$G$2162,'октябрь 2024'!$D$5:$D$2162,$B172,'октябрь 2024'!$J$5:$J$2162,R$1)</f>
        <v>0</v>
      </c>
      <c r="S172" s="80">
        <f>SUMIFS('октябрь 2024'!$G$5:$G$2162,'октябрь 2024'!$D$5:$D$2162,$B172,'октябрь 2024'!$J$5:$J$2162,S$1)</f>
        <v>0</v>
      </c>
      <c r="T172" s="80">
        <f>SUMIFS('октябрь 2024'!$G$5:$G$2162,'октябрь 2024'!$D$5:$D$2162,$B172,'октябрь 2024'!$J$5:$J$2162,T$1)</f>
        <v>0</v>
      </c>
      <c r="U172" s="80">
        <f>SUMIFS('октябрь 2024'!$G$5:$G$2162,'октябрь 2024'!$D$5:$D$2162,$B172,'октябрь 2024'!$J$5:$J$2162,U$1)</f>
        <v>0</v>
      </c>
      <c r="V172" s="80">
        <f>SUMIFS('октябрь 2024'!$G$5:$G$2162,'октябрь 2024'!$D$5:$D$2162,$B172,'октябрь 2024'!$J$5:$J$2162,V$1)</f>
        <v>0</v>
      </c>
      <c r="W172" s="80">
        <f>SUMIFS('октябрь 2024'!$G$5:$G$2162,'октябрь 2024'!$D$5:$D$2162,$B172,'октябрь 2024'!$J$5:$J$2162,W$1)</f>
        <v>0</v>
      </c>
      <c r="X172" s="80">
        <f>SUMIFS('октябрь 2024'!$G$5:$G$2162,'октябрь 2024'!$D$5:$D$2162,$B172,'октябрь 2024'!$J$5:$J$2162,X$1)</f>
        <v>0</v>
      </c>
      <c r="Y172" s="80">
        <f>SUMIFS('октябрь 2024'!$G$5:$G$2162,'октябрь 2024'!$D$5:$D$2162,$B172,'октябрь 2024'!$J$5:$J$2162,Y$1)</f>
        <v>0</v>
      </c>
      <c r="Z172" s="80">
        <f>SUMIFS('октябрь 2024'!$G$5:$G$2162,'октябрь 2024'!$D$5:$D$2162,$B172,'октябрь 2024'!$J$5:$J$2162,Z$1)</f>
        <v>0</v>
      </c>
      <c r="AA172" s="80">
        <f>SUMIFS('октябрь 2024'!$G$5:$G$2162,'октябрь 2024'!$D$5:$D$2162,$B172,'октябрь 2024'!$J$5:$J$2162,AA$1)</f>
        <v>0</v>
      </c>
      <c r="AB172" s="80">
        <f>SUMIFS('октябрь 2024'!$G$5:$G$2162,'октябрь 2024'!$D$5:$D$2162,$B172,'октябрь 2024'!$J$5:$J$2162,AB$1)</f>
        <v>0</v>
      </c>
      <c r="AC172" s="80">
        <f>SUMIFS('октябрь 2024'!$G$5:$G$2162,'октябрь 2024'!$D$5:$D$2162,$B172,'октябрь 2024'!$J$5:$J$2162,AC$1)</f>
        <v>0</v>
      </c>
      <c r="AD172" s="80">
        <f>SUMIFS('октябрь 2024'!$G$5:$G$2162,'октябрь 2024'!$D$5:$D$2162,$B172,'октябрь 2024'!$J$5:$J$2162,AD$1)</f>
        <v>0</v>
      </c>
      <c r="AE172" s="80">
        <f>SUMIFS('октябрь 2024'!$G$5:$G$2162,'октябрь 2024'!$D$5:$D$2162,$B172,'октябрь 2024'!$J$5:$J$2162,AE$1)</f>
        <v>0</v>
      </c>
      <c r="AF172" s="80">
        <f>SUMIFS('октябрь 2024'!$G$5:$G$2162,'октябрь 2024'!$D$5:$D$2162,$B172,'октябрь 2024'!$J$5:$J$2162,AF$1)</f>
        <v>0</v>
      </c>
      <c r="AG172" s="80">
        <f>SUMIFS('октябрь 2024'!$G$5:$G$2162,'октябрь 2024'!$D$5:$D$2162,$B172,'октябрь 2024'!$J$5:$J$2162,AG$1)</f>
        <v>0</v>
      </c>
      <c r="AH172" s="80">
        <f>SUMIFS('октябрь 2024'!$G$5:$G$2162,'октябрь 2024'!$D$5:$D$2162,$B172,'октябрь 2024'!$J$5:$J$2162,AH$1)</f>
        <v>0</v>
      </c>
      <c r="AI172" s="87"/>
    </row>
    <row r="173" spans="2:35" ht="15" hidden="1" customHeight="1" x14ac:dyDescent="0.25">
      <c r="B173" s="89"/>
      <c r="C173" s="88"/>
      <c r="D173" s="80">
        <f>SUMIFS('октябрь 2024'!$G$5:$G$2162,'октябрь 2024'!$D$5:$D$2162,$B173,'октябрь 2024'!$J$5:$J$2162,D$1)</f>
        <v>0</v>
      </c>
      <c r="E173" s="80">
        <f>SUMIFS('октябрь 2024'!$G$5:$G$2162,'октябрь 2024'!$D$5:$D$2162,$B173,'октябрь 2024'!$J$5:$J$2162,E$1)</f>
        <v>0</v>
      </c>
      <c r="F173" s="80">
        <f>SUMIFS('октябрь 2024'!$G$5:$G$2162,'октябрь 2024'!$D$5:$D$2162,$B173,'октябрь 2024'!$J$5:$J$2162,F$1)</f>
        <v>0</v>
      </c>
      <c r="G173" s="80">
        <f>SUMIFS('октябрь 2024'!$G$5:$G$2162,'октябрь 2024'!$D$5:$D$2162,$B173,'октябрь 2024'!$J$5:$J$2162,G$1)</f>
        <v>0</v>
      </c>
      <c r="H173" s="80">
        <f>SUMIFS('октябрь 2024'!$G$5:$G$2162,'октябрь 2024'!$D$5:$D$2162,$B173,'октябрь 2024'!$J$5:$J$2162,H$1)</f>
        <v>0</v>
      </c>
      <c r="I173" s="80">
        <f>SUMIFS('октябрь 2024'!$G$5:$G$2162,'октябрь 2024'!$D$5:$D$2162,$B173,'октябрь 2024'!$J$5:$J$2162,I$1)</f>
        <v>0</v>
      </c>
      <c r="J173" s="80">
        <f>SUMIFS('октябрь 2024'!$G$5:$G$2162,'октябрь 2024'!$D$5:$D$2162,$B173,'октябрь 2024'!$J$5:$J$2162,J$1)</f>
        <v>0</v>
      </c>
      <c r="K173" s="80">
        <f>SUMIFS('октябрь 2024'!$G$5:$G$2162,'октябрь 2024'!$D$5:$D$2162,$B173,'октябрь 2024'!$J$5:$J$2162,K$1)</f>
        <v>0</v>
      </c>
      <c r="L173" s="80">
        <f>SUMIFS('октябрь 2024'!$G$5:$G$2162,'октябрь 2024'!$D$5:$D$2162,$B173,'октябрь 2024'!$J$5:$J$2162,L$1)</f>
        <v>0</v>
      </c>
      <c r="M173" s="80">
        <f>SUMIFS('октябрь 2024'!$G$5:$G$2162,'октябрь 2024'!$D$5:$D$2162,$B173,'октябрь 2024'!$J$5:$J$2162,M$1)</f>
        <v>0</v>
      </c>
      <c r="N173" s="80">
        <f>SUMIFS('октябрь 2024'!$G$5:$G$2162,'октябрь 2024'!$D$5:$D$2162,$B173,'октябрь 2024'!$J$5:$J$2162,N$1)</f>
        <v>0</v>
      </c>
      <c r="O173" s="80">
        <f>SUMIFS('октябрь 2024'!$G$5:$G$2162,'октябрь 2024'!$D$5:$D$2162,$B173,'октябрь 2024'!$J$5:$J$2162,O$1)</f>
        <v>0</v>
      </c>
      <c r="P173" s="80">
        <f>SUMIFS('октябрь 2024'!$G$5:$G$2162,'октябрь 2024'!$D$5:$D$2162,$B173,'октябрь 2024'!$J$5:$J$2162,P$1)</f>
        <v>0</v>
      </c>
      <c r="Q173" s="80">
        <f>SUMIFS('октябрь 2024'!$G$5:$G$2162,'октябрь 2024'!$D$5:$D$2162,$B173,'октябрь 2024'!$J$5:$J$2162,Q$1)</f>
        <v>0</v>
      </c>
      <c r="R173" s="80">
        <f>SUMIFS('октябрь 2024'!$G$5:$G$2162,'октябрь 2024'!$D$5:$D$2162,$B173,'октябрь 2024'!$J$5:$J$2162,R$1)</f>
        <v>0</v>
      </c>
      <c r="S173" s="80">
        <f>SUMIFS('октябрь 2024'!$G$5:$G$2162,'октябрь 2024'!$D$5:$D$2162,$B173,'октябрь 2024'!$J$5:$J$2162,S$1)</f>
        <v>0</v>
      </c>
      <c r="T173" s="80">
        <f>SUMIFS('октябрь 2024'!$G$5:$G$2162,'октябрь 2024'!$D$5:$D$2162,$B173,'октябрь 2024'!$J$5:$J$2162,T$1)</f>
        <v>0</v>
      </c>
      <c r="U173" s="80">
        <f>SUMIFS('октябрь 2024'!$G$5:$G$2162,'октябрь 2024'!$D$5:$D$2162,$B173,'октябрь 2024'!$J$5:$J$2162,U$1)</f>
        <v>0</v>
      </c>
      <c r="V173" s="80">
        <f>SUMIFS('октябрь 2024'!$G$5:$G$2162,'октябрь 2024'!$D$5:$D$2162,$B173,'октябрь 2024'!$J$5:$J$2162,V$1)</f>
        <v>0</v>
      </c>
      <c r="W173" s="80">
        <f>SUMIFS('октябрь 2024'!$G$5:$G$2162,'октябрь 2024'!$D$5:$D$2162,$B173,'октябрь 2024'!$J$5:$J$2162,W$1)</f>
        <v>0</v>
      </c>
      <c r="X173" s="80">
        <f>SUMIFS('октябрь 2024'!$G$5:$G$2162,'октябрь 2024'!$D$5:$D$2162,$B173,'октябрь 2024'!$J$5:$J$2162,X$1)</f>
        <v>0</v>
      </c>
      <c r="Y173" s="80">
        <f>SUMIFS('октябрь 2024'!$G$5:$G$2162,'октябрь 2024'!$D$5:$D$2162,$B173,'октябрь 2024'!$J$5:$J$2162,Y$1)</f>
        <v>0</v>
      </c>
      <c r="Z173" s="80">
        <f>SUMIFS('октябрь 2024'!$G$5:$G$2162,'октябрь 2024'!$D$5:$D$2162,$B173,'октябрь 2024'!$J$5:$J$2162,Z$1)</f>
        <v>0</v>
      </c>
      <c r="AA173" s="80">
        <f>SUMIFS('октябрь 2024'!$G$5:$G$2162,'октябрь 2024'!$D$5:$D$2162,$B173,'октябрь 2024'!$J$5:$J$2162,AA$1)</f>
        <v>0</v>
      </c>
      <c r="AB173" s="80">
        <f>SUMIFS('октябрь 2024'!$G$5:$G$2162,'октябрь 2024'!$D$5:$D$2162,$B173,'октябрь 2024'!$J$5:$J$2162,AB$1)</f>
        <v>0</v>
      </c>
      <c r="AC173" s="80">
        <f>SUMIFS('октябрь 2024'!$G$5:$G$2162,'октябрь 2024'!$D$5:$D$2162,$B173,'октябрь 2024'!$J$5:$J$2162,AC$1)</f>
        <v>0</v>
      </c>
      <c r="AD173" s="80">
        <f>SUMIFS('октябрь 2024'!$G$5:$G$2162,'октябрь 2024'!$D$5:$D$2162,$B173,'октябрь 2024'!$J$5:$J$2162,AD$1)</f>
        <v>0</v>
      </c>
      <c r="AE173" s="80">
        <f>SUMIFS('октябрь 2024'!$G$5:$G$2162,'октябрь 2024'!$D$5:$D$2162,$B173,'октябрь 2024'!$J$5:$J$2162,AE$1)</f>
        <v>0</v>
      </c>
      <c r="AF173" s="80">
        <f>SUMIFS('октябрь 2024'!$G$5:$G$2162,'октябрь 2024'!$D$5:$D$2162,$B173,'октябрь 2024'!$J$5:$J$2162,AF$1)</f>
        <v>0</v>
      </c>
      <c r="AG173" s="80">
        <f>SUMIFS('октябрь 2024'!$G$5:$G$2162,'октябрь 2024'!$D$5:$D$2162,$B173,'октябрь 2024'!$J$5:$J$2162,AG$1)</f>
        <v>0</v>
      </c>
      <c r="AH173" s="80">
        <f>SUMIFS('октябрь 2024'!$G$5:$G$2162,'октябрь 2024'!$D$5:$D$2162,$B173,'октябрь 2024'!$J$5:$J$2162,AH$1)</f>
        <v>0</v>
      </c>
      <c r="AI173" s="87"/>
    </row>
    <row r="174" spans="2:35" ht="15" hidden="1" customHeight="1" x14ac:dyDescent="0.25">
      <c r="B174" s="89"/>
      <c r="C174" s="88"/>
      <c r="D174" s="80">
        <f>SUMIFS('октябрь 2024'!$G$5:$G$2162,'октябрь 2024'!$D$5:$D$2162,$B174,'октябрь 2024'!$J$5:$J$2162,D$1)</f>
        <v>0</v>
      </c>
      <c r="E174" s="80">
        <f>SUMIFS('октябрь 2024'!$G$5:$G$2162,'октябрь 2024'!$D$5:$D$2162,$B174,'октябрь 2024'!$J$5:$J$2162,E$1)</f>
        <v>0</v>
      </c>
      <c r="F174" s="80">
        <f>SUMIFS('октябрь 2024'!$G$5:$G$2162,'октябрь 2024'!$D$5:$D$2162,$B174,'октябрь 2024'!$J$5:$J$2162,F$1)</f>
        <v>0</v>
      </c>
      <c r="G174" s="80">
        <f>SUMIFS('октябрь 2024'!$G$5:$G$2162,'октябрь 2024'!$D$5:$D$2162,$B174,'октябрь 2024'!$J$5:$J$2162,G$1)</f>
        <v>0</v>
      </c>
      <c r="H174" s="80">
        <f>SUMIFS('октябрь 2024'!$G$5:$G$2162,'октябрь 2024'!$D$5:$D$2162,$B174,'октябрь 2024'!$J$5:$J$2162,H$1)</f>
        <v>0</v>
      </c>
      <c r="I174" s="80">
        <f>SUMIFS('октябрь 2024'!$G$5:$G$2162,'октябрь 2024'!$D$5:$D$2162,$B174,'октябрь 2024'!$J$5:$J$2162,I$1)</f>
        <v>0</v>
      </c>
      <c r="J174" s="80">
        <f>SUMIFS('октябрь 2024'!$G$5:$G$2162,'октябрь 2024'!$D$5:$D$2162,$B174,'октябрь 2024'!$J$5:$J$2162,J$1)</f>
        <v>0</v>
      </c>
      <c r="K174" s="80">
        <f>SUMIFS('октябрь 2024'!$G$5:$G$2162,'октябрь 2024'!$D$5:$D$2162,$B174,'октябрь 2024'!$J$5:$J$2162,K$1)</f>
        <v>0</v>
      </c>
      <c r="L174" s="80">
        <f>SUMIFS('октябрь 2024'!$G$5:$G$2162,'октябрь 2024'!$D$5:$D$2162,$B174,'октябрь 2024'!$J$5:$J$2162,L$1)</f>
        <v>0</v>
      </c>
      <c r="M174" s="80">
        <f>SUMIFS('октябрь 2024'!$G$5:$G$2162,'октябрь 2024'!$D$5:$D$2162,$B174,'октябрь 2024'!$J$5:$J$2162,M$1)</f>
        <v>0</v>
      </c>
      <c r="N174" s="80">
        <f>SUMIFS('октябрь 2024'!$G$5:$G$2162,'октябрь 2024'!$D$5:$D$2162,$B174,'октябрь 2024'!$J$5:$J$2162,N$1)</f>
        <v>0</v>
      </c>
      <c r="O174" s="80">
        <f>SUMIFS('октябрь 2024'!$G$5:$G$2162,'октябрь 2024'!$D$5:$D$2162,$B174,'октябрь 2024'!$J$5:$J$2162,O$1)</f>
        <v>0</v>
      </c>
      <c r="P174" s="80">
        <f>SUMIFS('октябрь 2024'!$G$5:$G$2162,'октябрь 2024'!$D$5:$D$2162,$B174,'октябрь 2024'!$J$5:$J$2162,P$1)</f>
        <v>0</v>
      </c>
      <c r="Q174" s="80">
        <f>SUMIFS('октябрь 2024'!$G$5:$G$2162,'октябрь 2024'!$D$5:$D$2162,$B174,'октябрь 2024'!$J$5:$J$2162,Q$1)</f>
        <v>0</v>
      </c>
      <c r="R174" s="80">
        <f>SUMIFS('октябрь 2024'!$G$5:$G$2162,'октябрь 2024'!$D$5:$D$2162,$B174,'октябрь 2024'!$J$5:$J$2162,R$1)</f>
        <v>0</v>
      </c>
      <c r="S174" s="80">
        <f>SUMIFS('октябрь 2024'!$G$5:$G$2162,'октябрь 2024'!$D$5:$D$2162,$B174,'октябрь 2024'!$J$5:$J$2162,S$1)</f>
        <v>0</v>
      </c>
      <c r="T174" s="80">
        <f>SUMIFS('октябрь 2024'!$G$5:$G$2162,'октябрь 2024'!$D$5:$D$2162,$B174,'октябрь 2024'!$J$5:$J$2162,T$1)</f>
        <v>0</v>
      </c>
      <c r="U174" s="80">
        <f>SUMIFS('октябрь 2024'!$G$5:$G$2162,'октябрь 2024'!$D$5:$D$2162,$B174,'октябрь 2024'!$J$5:$J$2162,U$1)</f>
        <v>0</v>
      </c>
      <c r="V174" s="80">
        <f>SUMIFS('октябрь 2024'!$G$5:$G$2162,'октябрь 2024'!$D$5:$D$2162,$B174,'октябрь 2024'!$J$5:$J$2162,V$1)</f>
        <v>0</v>
      </c>
      <c r="W174" s="80">
        <f>SUMIFS('октябрь 2024'!$G$5:$G$2162,'октябрь 2024'!$D$5:$D$2162,$B174,'октябрь 2024'!$J$5:$J$2162,W$1)</f>
        <v>0</v>
      </c>
      <c r="X174" s="80">
        <f>SUMIFS('октябрь 2024'!$G$5:$G$2162,'октябрь 2024'!$D$5:$D$2162,$B174,'октябрь 2024'!$J$5:$J$2162,X$1)</f>
        <v>0</v>
      </c>
      <c r="Y174" s="80">
        <f>SUMIFS('октябрь 2024'!$G$5:$G$2162,'октябрь 2024'!$D$5:$D$2162,$B174,'октябрь 2024'!$J$5:$J$2162,Y$1)</f>
        <v>0</v>
      </c>
      <c r="Z174" s="80">
        <f>SUMIFS('октябрь 2024'!$G$5:$G$2162,'октябрь 2024'!$D$5:$D$2162,$B174,'октябрь 2024'!$J$5:$J$2162,Z$1)</f>
        <v>0</v>
      </c>
      <c r="AA174" s="80">
        <f>SUMIFS('октябрь 2024'!$G$5:$G$2162,'октябрь 2024'!$D$5:$D$2162,$B174,'октябрь 2024'!$J$5:$J$2162,AA$1)</f>
        <v>0</v>
      </c>
      <c r="AB174" s="80">
        <f>SUMIFS('октябрь 2024'!$G$5:$G$2162,'октябрь 2024'!$D$5:$D$2162,$B174,'октябрь 2024'!$J$5:$J$2162,AB$1)</f>
        <v>0</v>
      </c>
      <c r="AC174" s="80">
        <f>SUMIFS('октябрь 2024'!$G$5:$G$2162,'октябрь 2024'!$D$5:$D$2162,$B174,'октябрь 2024'!$J$5:$J$2162,AC$1)</f>
        <v>0</v>
      </c>
      <c r="AD174" s="80">
        <f>SUMIFS('октябрь 2024'!$G$5:$G$2162,'октябрь 2024'!$D$5:$D$2162,$B174,'октябрь 2024'!$J$5:$J$2162,AD$1)</f>
        <v>0</v>
      </c>
      <c r="AE174" s="80">
        <f>SUMIFS('октябрь 2024'!$G$5:$G$2162,'октябрь 2024'!$D$5:$D$2162,$B174,'октябрь 2024'!$J$5:$J$2162,AE$1)</f>
        <v>0</v>
      </c>
      <c r="AF174" s="80">
        <f>SUMIFS('октябрь 2024'!$G$5:$G$2162,'октябрь 2024'!$D$5:$D$2162,$B174,'октябрь 2024'!$J$5:$J$2162,AF$1)</f>
        <v>0</v>
      </c>
      <c r="AG174" s="80">
        <f>SUMIFS('октябрь 2024'!$G$5:$G$2162,'октябрь 2024'!$D$5:$D$2162,$B174,'октябрь 2024'!$J$5:$J$2162,AG$1)</f>
        <v>0</v>
      </c>
      <c r="AH174" s="80">
        <f>SUMIFS('октябрь 2024'!$G$5:$G$2162,'октябрь 2024'!$D$5:$D$2162,$B174,'октябрь 2024'!$J$5:$J$2162,AH$1)</f>
        <v>0</v>
      </c>
      <c r="AI174" s="87"/>
    </row>
    <row r="175" spans="2:35" ht="15" hidden="1" customHeight="1" x14ac:dyDescent="0.25">
      <c r="B175" s="89"/>
      <c r="C175" s="90"/>
      <c r="D175" s="80">
        <f>SUMIFS('октябрь 2024'!$G$5:$G$2162,'октябрь 2024'!$D$5:$D$2162,$B175,'октябрь 2024'!$J$5:$J$2162,D$1)</f>
        <v>0</v>
      </c>
      <c r="E175" s="80">
        <f>SUMIFS('октябрь 2024'!$G$5:$G$2162,'октябрь 2024'!$D$5:$D$2162,$B175,'октябрь 2024'!$J$5:$J$2162,E$1)</f>
        <v>0</v>
      </c>
      <c r="F175" s="80">
        <f>SUMIFS('октябрь 2024'!$G$5:$G$2162,'октябрь 2024'!$D$5:$D$2162,$B175,'октябрь 2024'!$J$5:$J$2162,F$1)</f>
        <v>0</v>
      </c>
      <c r="G175" s="80">
        <f>SUMIFS('октябрь 2024'!$G$5:$G$2162,'октябрь 2024'!$D$5:$D$2162,$B175,'октябрь 2024'!$J$5:$J$2162,G$1)</f>
        <v>0</v>
      </c>
      <c r="H175" s="80">
        <f>SUMIFS('октябрь 2024'!$G$5:$G$2162,'октябрь 2024'!$D$5:$D$2162,$B175,'октябрь 2024'!$J$5:$J$2162,H$1)</f>
        <v>0</v>
      </c>
      <c r="I175" s="80">
        <f>SUMIFS('октябрь 2024'!$G$5:$G$2162,'октябрь 2024'!$D$5:$D$2162,$B175,'октябрь 2024'!$J$5:$J$2162,I$1)</f>
        <v>0</v>
      </c>
      <c r="J175" s="80">
        <f>SUMIFS('октябрь 2024'!$G$5:$G$2162,'октябрь 2024'!$D$5:$D$2162,$B175,'октябрь 2024'!$J$5:$J$2162,J$1)</f>
        <v>0</v>
      </c>
      <c r="K175" s="80">
        <f>SUMIFS('октябрь 2024'!$G$5:$G$2162,'октябрь 2024'!$D$5:$D$2162,$B175,'октябрь 2024'!$J$5:$J$2162,K$1)</f>
        <v>0</v>
      </c>
      <c r="L175" s="80">
        <f>SUMIFS('октябрь 2024'!$G$5:$G$2162,'октябрь 2024'!$D$5:$D$2162,$B175,'октябрь 2024'!$J$5:$J$2162,L$1)</f>
        <v>0</v>
      </c>
      <c r="M175" s="80">
        <f>SUMIFS('октябрь 2024'!$G$5:$G$2162,'октябрь 2024'!$D$5:$D$2162,$B175,'октябрь 2024'!$J$5:$J$2162,M$1)</f>
        <v>0</v>
      </c>
      <c r="N175" s="80">
        <f>SUMIFS('октябрь 2024'!$G$5:$G$2162,'октябрь 2024'!$D$5:$D$2162,$B175,'октябрь 2024'!$J$5:$J$2162,N$1)</f>
        <v>0</v>
      </c>
      <c r="O175" s="80">
        <f>SUMIFS('октябрь 2024'!$G$5:$G$2162,'октябрь 2024'!$D$5:$D$2162,$B175,'октябрь 2024'!$J$5:$J$2162,O$1)</f>
        <v>0</v>
      </c>
      <c r="P175" s="80">
        <f>SUMIFS('октябрь 2024'!$G$5:$G$2162,'октябрь 2024'!$D$5:$D$2162,$B175,'октябрь 2024'!$J$5:$J$2162,P$1)</f>
        <v>0</v>
      </c>
      <c r="Q175" s="80">
        <f>SUMIFS('октябрь 2024'!$G$5:$G$2162,'октябрь 2024'!$D$5:$D$2162,$B175,'октябрь 2024'!$J$5:$J$2162,Q$1)</f>
        <v>0</v>
      </c>
      <c r="R175" s="80">
        <f>SUMIFS('октябрь 2024'!$G$5:$G$2162,'октябрь 2024'!$D$5:$D$2162,$B175,'октябрь 2024'!$J$5:$J$2162,R$1)</f>
        <v>0</v>
      </c>
      <c r="S175" s="80">
        <f>SUMIFS('октябрь 2024'!$G$5:$G$2162,'октябрь 2024'!$D$5:$D$2162,$B175,'октябрь 2024'!$J$5:$J$2162,S$1)</f>
        <v>0</v>
      </c>
      <c r="T175" s="80">
        <f>SUMIFS('октябрь 2024'!$G$5:$G$2162,'октябрь 2024'!$D$5:$D$2162,$B175,'октябрь 2024'!$J$5:$J$2162,T$1)</f>
        <v>0</v>
      </c>
      <c r="U175" s="80">
        <f>SUMIFS('октябрь 2024'!$G$5:$G$2162,'октябрь 2024'!$D$5:$D$2162,$B175,'октябрь 2024'!$J$5:$J$2162,U$1)</f>
        <v>0</v>
      </c>
      <c r="V175" s="80">
        <f>SUMIFS('октябрь 2024'!$G$5:$G$2162,'октябрь 2024'!$D$5:$D$2162,$B175,'октябрь 2024'!$J$5:$J$2162,V$1)</f>
        <v>0</v>
      </c>
      <c r="W175" s="80">
        <f>SUMIFS('октябрь 2024'!$G$5:$G$2162,'октябрь 2024'!$D$5:$D$2162,$B175,'октябрь 2024'!$J$5:$J$2162,W$1)</f>
        <v>0</v>
      </c>
      <c r="X175" s="80">
        <f>SUMIFS('октябрь 2024'!$G$5:$G$2162,'октябрь 2024'!$D$5:$D$2162,$B175,'октябрь 2024'!$J$5:$J$2162,X$1)</f>
        <v>0</v>
      </c>
      <c r="Y175" s="80">
        <f>SUMIFS('октябрь 2024'!$G$5:$G$2162,'октябрь 2024'!$D$5:$D$2162,$B175,'октябрь 2024'!$J$5:$J$2162,Y$1)</f>
        <v>0</v>
      </c>
      <c r="Z175" s="80">
        <f>SUMIFS('октябрь 2024'!$G$5:$G$2162,'октябрь 2024'!$D$5:$D$2162,$B175,'октябрь 2024'!$J$5:$J$2162,Z$1)</f>
        <v>0</v>
      </c>
      <c r="AA175" s="80">
        <f>SUMIFS('октябрь 2024'!$G$5:$G$2162,'октябрь 2024'!$D$5:$D$2162,$B175,'октябрь 2024'!$J$5:$J$2162,AA$1)</f>
        <v>0</v>
      </c>
      <c r="AB175" s="80">
        <f>SUMIFS('октябрь 2024'!$G$5:$G$2162,'октябрь 2024'!$D$5:$D$2162,$B175,'октябрь 2024'!$J$5:$J$2162,AB$1)</f>
        <v>0</v>
      </c>
      <c r="AC175" s="80">
        <f>SUMIFS('октябрь 2024'!$G$5:$G$2162,'октябрь 2024'!$D$5:$D$2162,$B175,'октябрь 2024'!$J$5:$J$2162,AC$1)</f>
        <v>0</v>
      </c>
      <c r="AD175" s="80">
        <f>SUMIFS('октябрь 2024'!$G$5:$G$2162,'октябрь 2024'!$D$5:$D$2162,$B175,'октябрь 2024'!$J$5:$J$2162,AD$1)</f>
        <v>0</v>
      </c>
      <c r="AE175" s="80">
        <f>SUMIFS('октябрь 2024'!$G$5:$G$2162,'октябрь 2024'!$D$5:$D$2162,$B175,'октябрь 2024'!$J$5:$J$2162,AE$1)</f>
        <v>0</v>
      </c>
      <c r="AF175" s="80">
        <f>SUMIFS('октябрь 2024'!$G$5:$G$2162,'октябрь 2024'!$D$5:$D$2162,$B175,'октябрь 2024'!$J$5:$J$2162,AF$1)</f>
        <v>0</v>
      </c>
      <c r="AG175" s="80">
        <f>SUMIFS('октябрь 2024'!$G$5:$G$2162,'октябрь 2024'!$D$5:$D$2162,$B175,'октябрь 2024'!$J$5:$J$2162,AG$1)</f>
        <v>0</v>
      </c>
      <c r="AH175" s="80">
        <f>SUMIFS('октябрь 2024'!$G$5:$G$2162,'октябрь 2024'!$D$5:$D$2162,$B175,'октябрь 2024'!$J$5:$J$2162,AH$1)</f>
        <v>0</v>
      </c>
      <c r="AI175" s="87"/>
    </row>
    <row r="176" spans="2:35" ht="15" hidden="1" customHeight="1" x14ac:dyDescent="0.25">
      <c r="B176" s="89"/>
      <c r="C176" s="91"/>
      <c r="D176" s="80">
        <f>SUMIFS('октябрь 2024'!$G$5:$G$2162,'октябрь 2024'!$D$5:$D$2162,$B176,'октябрь 2024'!$J$5:$J$2162,D$1)</f>
        <v>0</v>
      </c>
      <c r="E176" s="80">
        <f>SUMIFS('октябрь 2024'!$G$5:$G$2162,'октябрь 2024'!$D$5:$D$2162,$B176,'октябрь 2024'!$J$5:$J$2162,E$1)</f>
        <v>0</v>
      </c>
      <c r="F176" s="80">
        <f>SUMIFS('октябрь 2024'!$G$5:$G$2162,'октябрь 2024'!$D$5:$D$2162,$B176,'октябрь 2024'!$J$5:$J$2162,F$1)</f>
        <v>0</v>
      </c>
      <c r="G176" s="80">
        <f>SUMIFS('октябрь 2024'!$G$5:$G$2162,'октябрь 2024'!$D$5:$D$2162,$B176,'октябрь 2024'!$J$5:$J$2162,G$1)</f>
        <v>0</v>
      </c>
      <c r="H176" s="80">
        <f>SUMIFS('октябрь 2024'!$G$5:$G$2162,'октябрь 2024'!$D$5:$D$2162,$B176,'октябрь 2024'!$J$5:$J$2162,H$1)</f>
        <v>0</v>
      </c>
      <c r="I176" s="80">
        <f>SUMIFS('октябрь 2024'!$G$5:$G$2162,'октябрь 2024'!$D$5:$D$2162,$B176,'октябрь 2024'!$J$5:$J$2162,I$1)</f>
        <v>0</v>
      </c>
      <c r="J176" s="80">
        <f>SUMIFS('октябрь 2024'!$G$5:$G$2162,'октябрь 2024'!$D$5:$D$2162,$B176,'октябрь 2024'!$J$5:$J$2162,J$1)</f>
        <v>0</v>
      </c>
      <c r="K176" s="80">
        <f>SUMIFS('октябрь 2024'!$G$5:$G$2162,'октябрь 2024'!$D$5:$D$2162,$B176,'октябрь 2024'!$J$5:$J$2162,K$1)</f>
        <v>0</v>
      </c>
      <c r="L176" s="80">
        <f>SUMIFS('октябрь 2024'!$G$5:$G$2162,'октябрь 2024'!$D$5:$D$2162,$B176,'октябрь 2024'!$J$5:$J$2162,L$1)</f>
        <v>0</v>
      </c>
      <c r="M176" s="80">
        <f>SUMIFS('октябрь 2024'!$G$5:$G$2162,'октябрь 2024'!$D$5:$D$2162,$B176,'октябрь 2024'!$J$5:$J$2162,M$1)</f>
        <v>0</v>
      </c>
      <c r="N176" s="80">
        <f>SUMIFS('октябрь 2024'!$G$5:$G$2162,'октябрь 2024'!$D$5:$D$2162,$B176,'октябрь 2024'!$J$5:$J$2162,N$1)</f>
        <v>0</v>
      </c>
      <c r="O176" s="80">
        <f>SUMIFS('октябрь 2024'!$G$5:$G$2162,'октябрь 2024'!$D$5:$D$2162,$B176,'октябрь 2024'!$J$5:$J$2162,O$1)</f>
        <v>0</v>
      </c>
      <c r="P176" s="80">
        <f>SUMIFS('октябрь 2024'!$G$5:$G$2162,'октябрь 2024'!$D$5:$D$2162,$B176,'октябрь 2024'!$J$5:$J$2162,P$1)</f>
        <v>0</v>
      </c>
      <c r="Q176" s="80">
        <f>SUMIFS('октябрь 2024'!$G$5:$G$2162,'октябрь 2024'!$D$5:$D$2162,$B176,'октябрь 2024'!$J$5:$J$2162,Q$1)</f>
        <v>0</v>
      </c>
      <c r="R176" s="80">
        <f>SUMIFS('октябрь 2024'!$G$5:$G$2162,'октябрь 2024'!$D$5:$D$2162,$B176,'октябрь 2024'!$J$5:$J$2162,R$1)</f>
        <v>0</v>
      </c>
      <c r="S176" s="80">
        <f>SUMIFS('октябрь 2024'!$G$5:$G$2162,'октябрь 2024'!$D$5:$D$2162,$B176,'октябрь 2024'!$J$5:$J$2162,S$1)</f>
        <v>0</v>
      </c>
      <c r="T176" s="80">
        <f>SUMIFS('октябрь 2024'!$G$5:$G$2162,'октябрь 2024'!$D$5:$D$2162,$B176,'октябрь 2024'!$J$5:$J$2162,T$1)</f>
        <v>0</v>
      </c>
      <c r="U176" s="80">
        <f>SUMIFS('октябрь 2024'!$G$5:$G$2162,'октябрь 2024'!$D$5:$D$2162,$B176,'октябрь 2024'!$J$5:$J$2162,U$1)</f>
        <v>0</v>
      </c>
      <c r="V176" s="80">
        <f>SUMIFS('октябрь 2024'!$G$5:$G$2162,'октябрь 2024'!$D$5:$D$2162,$B176,'октябрь 2024'!$J$5:$J$2162,V$1)</f>
        <v>0</v>
      </c>
      <c r="W176" s="80">
        <f>SUMIFS('октябрь 2024'!$G$5:$G$2162,'октябрь 2024'!$D$5:$D$2162,$B176,'октябрь 2024'!$J$5:$J$2162,W$1)</f>
        <v>0</v>
      </c>
      <c r="X176" s="80">
        <f>SUMIFS('октябрь 2024'!$G$5:$G$2162,'октябрь 2024'!$D$5:$D$2162,$B176,'октябрь 2024'!$J$5:$J$2162,X$1)</f>
        <v>0</v>
      </c>
      <c r="Y176" s="80">
        <f>SUMIFS('октябрь 2024'!$G$5:$G$2162,'октябрь 2024'!$D$5:$D$2162,$B176,'октябрь 2024'!$J$5:$J$2162,Y$1)</f>
        <v>0</v>
      </c>
      <c r="Z176" s="80">
        <f>SUMIFS('октябрь 2024'!$G$5:$G$2162,'октябрь 2024'!$D$5:$D$2162,$B176,'октябрь 2024'!$J$5:$J$2162,Z$1)</f>
        <v>0</v>
      </c>
      <c r="AA176" s="80">
        <f>SUMIFS('октябрь 2024'!$G$5:$G$2162,'октябрь 2024'!$D$5:$D$2162,$B176,'октябрь 2024'!$J$5:$J$2162,AA$1)</f>
        <v>0</v>
      </c>
      <c r="AB176" s="80">
        <f>SUMIFS('октябрь 2024'!$G$5:$G$2162,'октябрь 2024'!$D$5:$D$2162,$B176,'октябрь 2024'!$J$5:$J$2162,AB$1)</f>
        <v>0</v>
      </c>
      <c r="AC176" s="80">
        <f>SUMIFS('октябрь 2024'!$G$5:$G$2162,'октябрь 2024'!$D$5:$D$2162,$B176,'октябрь 2024'!$J$5:$J$2162,AC$1)</f>
        <v>0</v>
      </c>
      <c r="AD176" s="80">
        <f>SUMIFS('октябрь 2024'!$G$5:$G$2162,'октябрь 2024'!$D$5:$D$2162,$B176,'октябрь 2024'!$J$5:$J$2162,AD$1)</f>
        <v>0</v>
      </c>
      <c r="AE176" s="80">
        <f>SUMIFS('октябрь 2024'!$G$5:$G$2162,'октябрь 2024'!$D$5:$D$2162,$B176,'октябрь 2024'!$J$5:$J$2162,AE$1)</f>
        <v>0</v>
      </c>
      <c r="AF176" s="80">
        <f>SUMIFS('октябрь 2024'!$G$5:$G$2162,'октябрь 2024'!$D$5:$D$2162,$B176,'октябрь 2024'!$J$5:$J$2162,AF$1)</f>
        <v>0</v>
      </c>
      <c r="AG176" s="80">
        <f>SUMIFS('октябрь 2024'!$G$5:$G$2162,'октябрь 2024'!$D$5:$D$2162,$B176,'октябрь 2024'!$J$5:$J$2162,AG$1)</f>
        <v>0</v>
      </c>
      <c r="AH176" s="80">
        <f>SUMIFS('октябрь 2024'!$G$5:$G$2162,'октябрь 2024'!$D$5:$D$2162,$B176,'октябрь 2024'!$J$5:$J$2162,AH$1)</f>
        <v>0</v>
      </c>
      <c r="AI176" s="87"/>
    </row>
    <row r="177" spans="2:35" ht="15" hidden="1" customHeight="1" x14ac:dyDescent="0.25">
      <c r="B177" s="93"/>
      <c r="C177" s="91"/>
      <c r="D177" s="80">
        <f>SUMIFS('октябрь 2024'!$G$5:$G$2162,'октябрь 2024'!$D$5:$D$2162,$B177,'октябрь 2024'!$J$5:$J$2162,D$1)</f>
        <v>0</v>
      </c>
      <c r="E177" s="80">
        <f>SUMIFS('октябрь 2024'!$G$5:$G$2162,'октябрь 2024'!$D$5:$D$2162,$B177,'октябрь 2024'!$J$5:$J$2162,E$1)</f>
        <v>0</v>
      </c>
      <c r="F177" s="80">
        <f>SUMIFS('октябрь 2024'!$G$5:$G$2162,'октябрь 2024'!$D$5:$D$2162,$B177,'октябрь 2024'!$J$5:$J$2162,F$1)</f>
        <v>0</v>
      </c>
      <c r="G177" s="80">
        <f>SUMIFS('октябрь 2024'!$G$5:$G$2162,'октябрь 2024'!$D$5:$D$2162,$B177,'октябрь 2024'!$J$5:$J$2162,G$1)</f>
        <v>0</v>
      </c>
      <c r="H177" s="80">
        <f>SUMIFS('октябрь 2024'!$G$5:$G$2162,'октябрь 2024'!$D$5:$D$2162,$B177,'октябрь 2024'!$J$5:$J$2162,H$1)</f>
        <v>0</v>
      </c>
      <c r="I177" s="80">
        <f>SUMIFS('октябрь 2024'!$G$5:$G$2162,'октябрь 2024'!$D$5:$D$2162,$B177,'октябрь 2024'!$J$5:$J$2162,I$1)</f>
        <v>0</v>
      </c>
      <c r="J177" s="80">
        <f>SUMIFS('октябрь 2024'!$G$5:$G$2162,'октябрь 2024'!$D$5:$D$2162,$B177,'октябрь 2024'!$J$5:$J$2162,J$1)</f>
        <v>0</v>
      </c>
      <c r="K177" s="80">
        <f>SUMIFS('октябрь 2024'!$G$5:$G$2162,'октябрь 2024'!$D$5:$D$2162,$B177,'октябрь 2024'!$J$5:$J$2162,K$1)</f>
        <v>0</v>
      </c>
      <c r="L177" s="80">
        <f>SUMIFS('октябрь 2024'!$G$5:$G$2162,'октябрь 2024'!$D$5:$D$2162,$B177,'октябрь 2024'!$J$5:$J$2162,L$1)</f>
        <v>0</v>
      </c>
      <c r="M177" s="80">
        <f>SUMIFS('октябрь 2024'!$G$5:$G$2162,'октябрь 2024'!$D$5:$D$2162,$B177,'октябрь 2024'!$J$5:$J$2162,M$1)</f>
        <v>0</v>
      </c>
      <c r="N177" s="80">
        <f>SUMIFS('октябрь 2024'!$G$5:$G$2162,'октябрь 2024'!$D$5:$D$2162,$B177,'октябрь 2024'!$J$5:$J$2162,N$1)</f>
        <v>0</v>
      </c>
      <c r="O177" s="80">
        <f>SUMIFS('октябрь 2024'!$G$5:$G$2162,'октябрь 2024'!$D$5:$D$2162,$B177,'октябрь 2024'!$J$5:$J$2162,O$1)</f>
        <v>0</v>
      </c>
      <c r="P177" s="80">
        <f>SUMIFS('октябрь 2024'!$G$5:$G$2162,'октябрь 2024'!$D$5:$D$2162,$B177,'октябрь 2024'!$J$5:$J$2162,P$1)</f>
        <v>0</v>
      </c>
      <c r="Q177" s="80">
        <f>SUMIFS('октябрь 2024'!$G$5:$G$2162,'октябрь 2024'!$D$5:$D$2162,$B177,'октябрь 2024'!$J$5:$J$2162,Q$1)</f>
        <v>0</v>
      </c>
      <c r="R177" s="80">
        <f>SUMIFS('октябрь 2024'!$G$5:$G$2162,'октябрь 2024'!$D$5:$D$2162,$B177,'октябрь 2024'!$J$5:$J$2162,R$1)</f>
        <v>0</v>
      </c>
      <c r="S177" s="80">
        <f>SUMIFS('октябрь 2024'!$G$5:$G$2162,'октябрь 2024'!$D$5:$D$2162,$B177,'октябрь 2024'!$J$5:$J$2162,S$1)</f>
        <v>0</v>
      </c>
      <c r="T177" s="80">
        <f>SUMIFS('октябрь 2024'!$G$5:$G$2162,'октябрь 2024'!$D$5:$D$2162,$B177,'октябрь 2024'!$J$5:$J$2162,T$1)</f>
        <v>0</v>
      </c>
      <c r="U177" s="80">
        <f>SUMIFS('октябрь 2024'!$G$5:$G$2162,'октябрь 2024'!$D$5:$D$2162,$B177,'октябрь 2024'!$J$5:$J$2162,U$1)</f>
        <v>0</v>
      </c>
      <c r="V177" s="80">
        <f>SUMIFS('октябрь 2024'!$G$5:$G$2162,'октябрь 2024'!$D$5:$D$2162,$B177,'октябрь 2024'!$J$5:$J$2162,V$1)</f>
        <v>0</v>
      </c>
      <c r="W177" s="80">
        <f>SUMIFS('октябрь 2024'!$G$5:$G$2162,'октябрь 2024'!$D$5:$D$2162,$B177,'октябрь 2024'!$J$5:$J$2162,W$1)</f>
        <v>0</v>
      </c>
      <c r="X177" s="80">
        <f>SUMIFS('октябрь 2024'!$G$5:$G$2162,'октябрь 2024'!$D$5:$D$2162,$B177,'октябрь 2024'!$J$5:$J$2162,X$1)</f>
        <v>0</v>
      </c>
      <c r="Y177" s="80">
        <f>SUMIFS('октябрь 2024'!$G$5:$G$2162,'октябрь 2024'!$D$5:$D$2162,$B177,'октябрь 2024'!$J$5:$J$2162,Y$1)</f>
        <v>0</v>
      </c>
      <c r="Z177" s="80">
        <f>SUMIFS('октябрь 2024'!$G$5:$G$2162,'октябрь 2024'!$D$5:$D$2162,$B177,'октябрь 2024'!$J$5:$J$2162,Z$1)</f>
        <v>0</v>
      </c>
      <c r="AA177" s="80">
        <f>SUMIFS('октябрь 2024'!$G$5:$G$2162,'октябрь 2024'!$D$5:$D$2162,$B177,'октябрь 2024'!$J$5:$J$2162,AA$1)</f>
        <v>0</v>
      </c>
      <c r="AB177" s="80">
        <f>SUMIFS('октябрь 2024'!$G$5:$G$2162,'октябрь 2024'!$D$5:$D$2162,$B177,'октябрь 2024'!$J$5:$J$2162,AB$1)</f>
        <v>0</v>
      </c>
      <c r="AC177" s="80">
        <f>SUMIFS('октябрь 2024'!$G$5:$G$2162,'октябрь 2024'!$D$5:$D$2162,$B177,'октябрь 2024'!$J$5:$J$2162,AC$1)</f>
        <v>0</v>
      </c>
      <c r="AD177" s="80">
        <f>SUMIFS('октябрь 2024'!$G$5:$G$2162,'октябрь 2024'!$D$5:$D$2162,$B177,'октябрь 2024'!$J$5:$J$2162,AD$1)</f>
        <v>0</v>
      </c>
      <c r="AE177" s="80">
        <f>SUMIFS('октябрь 2024'!$G$5:$G$2162,'октябрь 2024'!$D$5:$D$2162,$B177,'октябрь 2024'!$J$5:$J$2162,AE$1)</f>
        <v>0</v>
      </c>
      <c r="AF177" s="80">
        <f>SUMIFS('октябрь 2024'!$G$5:$G$2162,'октябрь 2024'!$D$5:$D$2162,$B177,'октябрь 2024'!$J$5:$J$2162,AF$1)</f>
        <v>0</v>
      </c>
      <c r="AG177" s="80">
        <f>SUMIFS('октябрь 2024'!$G$5:$G$2162,'октябрь 2024'!$D$5:$D$2162,$B177,'октябрь 2024'!$J$5:$J$2162,AG$1)</f>
        <v>0</v>
      </c>
      <c r="AH177" s="80">
        <f>SUMIFS('октябрь 2024'!$G$5:$G$2162,'октябрь 2024'!$D$5:$D$2162,$B177,'октябрь 2024'!$J$5:$J$2162,AH$1)</f>
        <v>0</v>
      </c>
      <c r="AI177" s="87"/>
    </row>
    <row r="178" spans="2:35" ht="15" hidden="1" customHeight="1" x14ac:dyDescent="0.25">
      <c r="B178" s="89"/>
      <c r="C178" s="88"/>
      <c r="D178" s="80">
        <f>SUMIFS('октябрь 2024'!$G$5:$G$2162,'октябрь 2024'!$D$5:$D$2162,$B178,'октябрь 2024'!$J$5:$J$2162,D$1)</f>
        <v>0</v>
      </c>
      <c r="E178" s="80">
        <f>SUMIFS('октябрь 2024'!$G$5:$G$2162,'октябрь 2024'!$D$5:$D$2162,$B178,'октябрь 2024'!$J$5:$J$2162,E$1)</f>
        <v>0</v>
      </c>
      <c r="F178" s="80">
        <f>SUMIFS('октябрь 2024'!$G$5:$G$2162,'октябрь 2024'!$D$5:$D$2162,$B178,'октябрь 2024'!$J$5:$J$2162,F$1)</f>
        <v>0</v>
      </c>
      <c r="G178" s="80">
        <f>SUMIFS('октябрь 2024'!$G$5:$G$2162,'октябрь 2024'!$D$5:$D$2162,$B178,'октябрь 2024'!$J$5:$J$2162,G$1)</f>
        <v>0</v>
      </c>
      <c r="H178" s="80">
        <f>SUMIFS('октябрь 2024'!$G$5:$G$2162,'октябрь 2024'!$D$5:$D$2162,$B178,'октябрь 2024'!$J$5:$J$2162,H$1)</f>
        <v>0</v>
      </c>
      <c r="I178" s="80">
        <f>SUMIFS('октябрь 2024'!$G$5:$G$2162,'октябрь 2024'!$D$5:$D$2162,$B178,'октябрь 2024'!$J$5:$J$2162,I$1)</f>
        <v>0</v>
      </c>
      <c r="J178" s="80">
        <f>SUMIFS('октябрь 2024'!$G$5:$G$2162,'октябрь 2024'!$D$5:$D$2162,$B178,'октябрь 2024'!$J$5:$J$2162,J$1)</f>
        <v>0</v>
      </c>
      <c r="K178" s="80">
        <f>SUMIFS('октябрь 2024'!$G$5:$G$2162,'октябрь 2024'!$D$5:$D$2162,$B178,'октябрь 2024'!$J$5:$J$2162,K$1)</f>
        <v>0</v>
      </c>
      <c r="L178" s="80">
        <f>SUMIFS('октябрь 2024'!$G$5:$G$2162,'октябрь 2024'!$D$5:$D$2162,$B178,'октябрь 2024'!$J$5:$J$2162,L$1)</f>
        <v>0</v>
      </c>
      <c r="M178" s="80">
        <f>SUMIFS('октябрь 2024'!$G$5:$G$2162,'октябрь 2024'!$D$5:$D$2162,$B178,'октябрь 2024'!$J$5:$J$2162,M$1)</f>
        <v>0</v>
      </c>
      <c r="N178" s="80">
        <f>SUMIFS('октябрь 2024'!$G$5:$G$2162,'октябрь 2024'!$D$5:$D$2162,$B178,'октябрь 2024'!$J$5:$J$2162,N$1)</f>
        <v>0</v>
      </c>
      <c r="O178" s="80">
        <f>SUMIFS('октябрь 2024'!$G$5:$G$2162,'октябрь 2024'!$D$5:$D$2162,$B178,'октябрь 2024'!$J$5:$J$2162,O$1)</f>
        <v>0</v>
      </c>
      <c r="P178" s="80">
        <f>SUMIFS('октябрь 2024'!$G$5:$G$2162,'октябрь 2024'!$D$5:$D$2162,$B178,'октябрь 2024'!$J$5:$J$2162,P$1)</f>
        <v>0</v>
      </c>
      <c r="Q178" s="80">
        <f>SUMIFS('октябрь 2024'!$G$5:$G$2162,'октябрь 2024'!$D$5:$D$2162,$B178,'октябрь 2024'!$J$5:$J$2162,Q$1)</f>
        <v>0</v>
      </c>
      <c r="R178" s="80">
        <f>SUMIFS('октябрь 2024'!$G$5:$G$2162,'октябрь 2024'!$D$5:$D$2162,$B178,'октябрь 2024'!$J$5:$J$2162,R$1)</f>
        <v>0</v>
      </c>
      <c r="S178" s="80">
        <f>SUMIFS('октябрь 2024'!$G$5:$G$2162,'октябрь 2024'!$D$5:$D$2162,$B178,'октябрь 2024'!$J$5:$J$2162,S$1)</f>
        <v>0</v>
      </c>
      <c r="T178" s="80">
        <f>SUMIFS('октябрь 2024'!$G$5:$G$2162,'октябрь 2024'!$D$5:$D$2162,$B178,'октябрь 2024'!$J$5:$J$2162,T$1)</f>
        <v>0</v>
      </c>
      <c r="U178" s="80">
        <f>SUMIFS('октябрь 2024'!$G$5:$G$2162,'октябрь 2024'!$D$5:$D$2162,$B178,'октябрь 2024'!$J$5:$J$2162,U$1)</f>
        <v>0</v>
      </c>
      <c r="V178" s="80">
        <f>SUMIFS('октябрь 2024'!$G$5:$G$2162,'октябрь 2024'!$D$5:$D$2162,$B178,'октябрь 2024'!$J$5:$J$2162,V$1)</f>
        <v>0</v>
      </c>
      <c r="W178" s="80">
        <f>SUMIFS('октябрь 2024'!$G$5:$G$2162,'октябрь 2024'!$D$5:$D$2162,$B178,'октябрь 2024'!$J$5:$J$2162,W$1)</f>
        <v>0</v>
      </c>
      <c r="X178" s="80">
        <f>SUMIFS('октябрь 2024'!$G$5:$G$2162,'октябрь 2024'!$D$5:$D$2162,$B178,'октябрь 2024'!$J$5:$J$2162,X$1)</f>
        <v>0</v>
      </c>
      <c r="Y178" s="80">
        <f>SUMIFS('октябрь 2024'!$G$5:$G$2162,'октябрь 2024'!$D$5:$D$2162,$B178,'октябрь 2024'!$J$5:$J$2162,Y$1)</f>
        <v>0</v>
      </c>
      <c r="Z178" s="80">
        <f>SUMIFS('октябрь 2024'!$G$5:$G$2162,'октябрь 2024'!$D$5:$D$2162,$B178,'октябрь 2024'!$J$5:$J$2162,Z$1)</f>
        <v>0</v>
      </c>
      <c r="AA178" s="80">
        <f>SUMIFS('октябрь 2024'!$G$5:$G$2162,'октябрь 2024'!$D$5:$D$2162,$B178,'октябрь 2024'!$J$5:$J$2162,AA$1)</f>
        <v>0</v>
      </c>
      <c r="AB178" s="80">
        <f>SUMIFS('октябрь 2024'!$G$5:$G$2162,'октябрь 2024'!$D$5:$D$2162,$B178,'октябрь 2024'!$J$5:$J$2162,AB$1)</f>
        <v>0</v>
      </c>
      <c r="AC178" s="80">
        <f>SUMIFS('октябрь 2024'!$G$5:$G$2162,'октябрь 2024'!$D$5:$D$2162,$B178,'октябрь 2024'!$J$5:$J$2162,AC$1)</f>
        <v>0</v>
      </c>
      <c r="AD178" s="80">
        <f>SUMIFS('октябрь 2024'!$G$5:$G$2162,'октябрь 2024'!$D$5:$D$2162,$B178,'октябрь 2024'!$J$5:$J$2162,AD$1)</f>
        <v>0</v>
      </c>
      <c r="AE178" s="80">
        <f>SUMIFS('октябрь 2024'!$G$5:$G$2162,'октябрь 2024'!$D$5:$D$2162,$B178,'октябрь 2024'!$J$5:$J$2162,AE$1)</f>
        <v>0</v>
      </c>
      <c r="AF178" s="80">
        <f>SUMIFS('октябрь 2024'!$G$5:$G$2162,'октябрь 2024'!$D$5:$D$2162,$B178,'октябрь 2024'!$J$5:$J$2162,AF$1)</f>
        <v>0</v>
      </c>
      <c r="AG178" s="80">
        <f>SUMIFS('октябрь 2024'!$G$5:$G$2162,'октябрь 2024'!$D$5:$D$2162,$B178,'октябрь 2024'!$J$5:$J$2162,AG$1)</f>
        <v>0</v>
      </c>
      <c r="AH178" s="80">
        <f>SUMIFS('октябрь 2024'!$G$5:$G$2162,'октябрь 2024'!$D$5:$D$2162,$B178,'октябрь 2024'!$J$5:$J$2162,AH$1)</f>
        <v>0</v>
      </c>
      <c r="AI178" s="87"/>
    </row>
    <row r="179" spans="2:35" ht="15" hidden="1" customHeight="1" x14ac:dyDescent="0.25">
      <c r="B179" s="89"/>
      <c r="C179" s="91"/>
      <c r="D179" s="80">
        <f>SUMIFS('октябрь 2024'!$G$5:$G$2162,'октябрь 2024'!$D$5:$D$2162,$B179,'октябрь 2024'!$J$5:$J$2162,D$1)</f>
        <v>0</v>
      </c>
      <c r="E179" s="80">
        <f>SUMIFS('октябрь 2024'!$G$5:$G$2162,'октябрь 2024'!$D$5:$D$2162,$B179,'октябрь 2024'!$J$5:$J$2162,E$1)</f>
        <v>0</v>
      </c>
      <c r="F179" s="80">
        <f>SUMIFS('октябрь 2024'!$G$5:$G$2162,'октябрь 2024'!$D$5:$D$2162,$B179,'октябрь 2024'!$J$5:$J$2162,F$1)</f>
        <v>0</v>
      </c>
      <c r="G179" s="80">
        <f>SUMIFS('октябрь 2024'!$G$5:$G$2162,'октябрь 2024'!$D$5:$D$2162,$B179,'октябрь 2024'!$J$5:$J$2162,G$1)</f>
        <v>0</v>
      </c>
      <c r="H179" s="80">
        <f>SUMIFS('октябрь 2024'!$G$5:$G$2162,'октябрь 2024'!$D$5:$D$2162,$B179,'октябрь 2024'!$J$5:$J$2162,H$1)</f>
        <v>0</v>
      </c>
      <c r="I179" s="80">
        <f>SUMIFS('октябрь 2024'!$G$5:$G$2162,'октябрь 2024'!$D$5:$D$2162,$B179,'октябрь 2024'!$J$5:$J$2162,I$1)</f>
        <v>0</v>
      </c>
      <c r="J179" s="80">
        <f>SUMIFS('октябрь 2024'!$G$5:$G$2162,'октябрь 2024'!$D$5:$D$2162,$B179,'октябрь 2024'!$J$5:$J$2162,J$1)</f>
        <v>0</v>
      </c>
      <c r="K179" s="80">
        <f>SUMIFS('октябрь 2024'!$G$5:$G$2162,'октябрь 2024'!$D$5:$D$2162,$B179,'октябрь 2024'!$J$5:$J$2162,K$1)</f>
        <v>0</v>
      </c>
      <c r="L179" s="80">
        <f>SUMIFS('октябрь 2024'!$G$5:$G$2162,'октябрь 2024'!$D$5:$D$2162,$B179,'октябрь 2024'!$J$5:$J$2162,L$1)</f>
        <v>0</v>
      </c>
      <c r="M179" s="80">
        <f>SUMIFS('октябрь 2024'!$G$5:$G$2162,'октябрь 2024'!$D$5:$D$2162,$B179,'октябрь 2024'!$J$5:$J$2162,M$1)</f>
        <v>0</v>
      </c>
      <c r="N179" s="80">
        <f>SUMIFS('октябрь 2024'!$G$5:$G$2162,'октябрь 2024'!$D$5:$D$2162,$B179,'октябрь 2024'!$J$5:$J$2162,N$1)</f>
        <v>0</v>
      </c>
      <c r="O179" s="80">
        <f>SUMIFS('октябрь 2024'!$G$5:$G$2162,'октябрь 2024'!$D$5:$D$2162,$B179,'октябрь 2024'!$J$5:$J$2162,O$1)</f>
        <v>0</v>
      </c>
      <c r="P179" s="80">
        <f>SUMIFS('октябрь 2024'!$G$5:$G$2162,'октябрь 2024'!$D$5:$D$2162,$B179,'октябрь 2024'!$J$5:$J$2162,P$1)</f>
        <v>0</v>
      </c>
      <c r="Q179" s="80">
        <f>SUMIFS('октябрь 2024'!$G$5:$G$2162,'октябрь 2024'!$D$5:$D$2162,$B179,'октябрь 2024'!$J$5:$J$2162,Q$1)</f>
        <v>0</v>
      </c>
      <c r="R179" s="80">
        <f>SUMIFS('октябрь 2024'!$G$5:$G$2162,'октябрь 2024'!$D$5:$D$2162,$B179,'октябрь 2024'!$J$5:$J$2162,R$1)</f>
        <v>0</v>
      </c>
      <c r="S179" s="80">
        <f>SUMIFS('октябрь 2024'!$G$5:$G$2162,'октябрь 2024'!$D$5:$D$2162,$B179,'октябрь 2024'!$J$5:$J$2162,S$1)</f>
        <v>0</v>
      </c>
      <c r="T179" s="80">
        <f>SUMIFS('октябрь 2024'!$G$5:$G$2162,'октябрь 2024'!$D$5:$D$2162,$B179,'октябрь 2024'!$J$5:$J$2162,T$1)</f>
        <v>0</v>
      </c>
      <c r="U179" s="80">
        <f>SUMIFS('октябрь 2024'!$G$5:$G$2162,'октябрь 2024'!$D$5:$D$2162,$B179,'октябрь 2024'!$J$5:$J$2162,U$1)</f>
        <v>0</v>
      </c>
      <c r="V179" s="80">
        <f>SUMIFS('октябрь 2024'!$G$5:$G$2162,'октябрь 2024'!$D$5:$D$2162,$B179,'октябрь 2024'!$J$5:$J$2162,V$1)</f>
        <v>0</v>
      </c>
      <c r="W179" s="80">
        <f>SUMIFS('октябрь 2024'!$G$5:$G$2162,'октябрь 2024'!$D$5:$D$2162,$B179,'октябрь 2024'!$J$5:$J$2162,W$1)</f>
        <v>0</v>
      </c>
      <c r="X179" s="80">
        <f>SUMIFS('октябрь 2024'!$G$5:$G$2162,'октябрь 2024'!$D$5:$D$2162,$B179,'октябрь 2024'!$J$5:$J$2162,X$1)</f>
        <v>0</v>
      </c>
      <c r="Y179" s="80">
        <f>SUMIFS('октябрь 2024'!$G$5:$G$2162,'октябрь 2024'!$D$5:$D$2162,$B179,'октябрь 2024'!$J$5:$J$2162,Y$1)</f>
        <v>0</v>
      </c>
      <c r="Z179" s="80">
        <f>SUMIFS('октябрь 2024'!$G$5:$G$2162,'октябрь 2024'!$D$5:$D$2162,$B179,'октябрь 2024'!$J$5:$J$2162,Z$1)</f>
        <v>0</v>
      </c>
      <c r="AA179" s="80">
        <f>SUMIFS('октябрь 2024'!$G$5:$G$2162,'октябрь 2024'!$D$5:$D$2162,$B179,'октябрь 2024'!$J$5:$J$2162,AA$1)</f>
        <v>0</v>
      </c>
      <c r="AB179" s="80">
        <f>SUMIFS('октябрь 2024'!$G$5:$G$2162,'октябрь 2024'!$D$5:$D$2162,$B179,'октябрь 2024'!$J$5:$J$2162,AB$1)</f>
        <v>0</v>
      </c>
      <c r="AC179" s="80">
        <f>SUMIFS('октябрь 2024'!$G$5:$G$2162,'октябрь 2024'!$D$5:$D$2162,$B179,'октябрь 2024'!$J$5:$J$2162,AC$1)</f>
        <v>0</v>
      </c>
      <c r="AD179" s="80">
        <f>SUMIFS('октябрь 2024'!$G$5:$G$2162,'октябрь 2024'!$D$5:$D$2162,$B179,'октябрь 2024'!$J$5:$J$2162,AD$1)</f>
        <v>0</v>
      </c>
      <c r="AE179" s="80">
        <f>SUMIFS('октябрь 2024'!$G$5:$G$2162,'октябрь 2024'!$D$5:$D$2162,$B179,'октябрь 2024'!$J$5:$J$2162,AE$1)</f>
        <v>0</v>
      </c>
      <c r="AF179" s="80">
        <f>SUMIFS('октябрь 2024'!$G$5:$G$2162,'октябрь 2024'!$D$5:$D$2162,$B179,'октябрь 2024'!$J$5:$J$2162,AF$1)</f>
        <v>0</v>
      </c>
      <c r="AG179" s="80">
        <f>SUMIFS('октябрь 2024'!$G$5:$G$2162,'октябрь 2024'!$D$5:$D$2162,$B179,'октябрь 2024'!$J$5:$J$2162,AG$1)</f>
        <v>0</v>
      </c>
      <c r="AH179" s="80">
        <f>SUMIFS('октябрь 2024'!$G$5:$G$2162,'октябрь 2024'!$D$5:$D$2162,$B179,'октябрь 2024'!$J$5:$J$2162,AH$1)</f>
        <v>0</v>
      </c>
      <c r="AI179" s="87"/>
    </row>
    <row r="180" spans="2:35" ht="15" hidden="1" customHeight="1" x14ac:dyDescent="0.25">
      <c r="B180" s="89"/>
      <c r="C180" s="91"/>
      <c r="D180" s="80">
        <f>SUMIFS('октябрь 2024'!$G$5:$G$2162,'октябрь 2024'!$D$5:$D$2162,$B180,'октябрь 2024'!$J$5:$J$2162,D$1)</f>
        <v>0</v>
      </c>
      <c r="E180" s="80">
        <f>SUMIFS('октябрь 2024'!$G$5:$G$2162,'октябрь 2024'!$D$5:$D$2162,$B180,'октябрь 2024'!$J$5:$J$2162,E$1)</f>
        <v>0</v>
      </c>
      <c r="F180" s="80">
        <f>SUMIFS('октябрь 2024'!$G$5:$G$2162,'октябрь 2024'!$D$5:$D$2162,$B180,'октябрь 2024'!$J$5:$J$2162,F$1)</f>
        <v>0</v>
      </c>
      <c r="G180" s="80">
        <f>SUMIFS('октябрь 2024'!$G$5:$G$2162,'октябрь 2024'!$D$5:$D$2162,$B180,'октябрь 2024'!$J$5:$J$2162,G$1)</f>
        <v>0</v>
      </c>
      <c r="H180" s="80">
        <f>SUMIFS('октябрь 2024'!$G$5:$G$2162,'октябрь 2024'!$D$5:$D$2162,$B180,'октябрь 2024'!$J$5:$J$2162,H$1)</f>
        <v>0</v>
      </c>
      <c r="I180" s="80">
        <f>SUMIFS('октябрь 2024'!$G$5:$G$2162,'октябрь 2024'!$D$5:$D$2162,$B180,'октябрь 2024'!$J$5:$J$2162,I$1)</f>
        <v>0</v>
      </c>
      <c r="J180" s="80">
        <f>SUMIFS('октябрь 2024'!$G$5:$G$2162,'октябрь 2024'!$D$5:$D$2162,$B180,'октябрь 2024'!$J$5:$J$2162,J$1)</f>
        <v>0</v>
      </c>
      <c r="K180" s="80">
        <f>SUMIFS('октябрь 2024'!$G$5:$G$2162,'октябрь 2024'!$D$5:$D$2162,$B180,'октябрь 2024'!$J$5:$J$2162,K$1)</f>
        <v>0</v>
      </c>
      <c r="L180" s="80">
        <f>SUMIFS('октябрь 2024'!$G$5:$G$2162,'октябрь 2024'!$D$5:$D$2162,$B180,'октябрь 2024'!$J$5:$J$2162,L$1)</f>
        <v>0</v>
      </c>
      <c r="M180" s="80">
        <f>SUMIFS('октябрь 2024'!$G$5:$G$2162,'октябрь 2024'!$D$5:$D$2162,$B180,'октябрь 2024'!$J$5:$J$2162,M$1)</f>
        <v>0</v>
      </c>
      <c r="N180" s="80">
        <f>SUMIFS('октябрь 2024'!$G$5:$G$2162,'октябрь 2024'!$D$5:$D$2162,$B180,'октябрь 2024'!$J$5:$J$2162,N$1)</f>
        <v>0</v>
      </c>
      <c r="O180" s="80">
        <f>SUMIFS('октябрь 2024'!$G$5:$G$2162,'октябрь 2024'!$D$5:$D$2162,$B180,'октябрь 2024'!$J$5:$J$2162,O$1)</f>
        <v>0</v>
      </c>
      <c r="P180" s="80">
        <f>SUMIFS('октябрь 2024'!$G$5:$G$2162,'октябрь 2024'!$D$5:$D$2162,$B180,'октябрь 2024'!$J$5:$J$2162,P$1)</f>
        <v>0</v>
      </c>
      <c r="Q180" s="80">
        <f>SUMIFS('октябрь 2024'!$G$5:$G$2162,'октябрь 2024'!$D$5:$D$2162,$B180,'октябрь 2024'!$J$5:$J$2162,Q$1)</f>
        <v>0</v>
      </c>
      <c r="R180" s="80">
        <f>SUMIFS('октябрь 2024'!$G$5:$G$2162,'октябрь 2024'!$D$5:$D$2162,$B180,'октябрь 2024'!$J$5:$J$2162,R$1)</f>
        <v>0</v>
      </c>
      <c r="S180" s="80">
        <f>SUMIFS('октябрь 2024'!$G$5:$G$2162,'октябрь 2024'!$D$5:$D$2162,$B180,'октябрь 2024'!$J$5:$J$2162,S$1)</f>
        <v>0</v>
      </c>
      <c r="T180" s="80">
        <f>SUMIFS('октябрь 2024'!$G$5:$G$2162,'октябрь 2024'!$D$5:$D$2162,$B180,'октябрь 2024'!$J$5:$J$2162,T$1)</f>
        <v>0</v>
      </c>
      <c r="U180" s="80">
        <f>SUMIFS('октябрь 2024'!$G$5:$G$2162,'октябрь 2024'!$D$5:$D$2162,$B180,'октябрь 2024'!$J$5:$J$2162,U$1)</f>
        <v>0</v>
      </c>
      <c r="V180" s="80">
        <f>SUMIFS('октябрь 2024'!$G$5:$G$2162,'октябрь 2024'!$D$5:$D$2162,$B180,'октябрь 2024'!$J$5:$J$2162,V$1)</f>
        <v>0</v>
      </c>
      <c r="W180" s="80">
        <f>SUMIFS('октябрь 2024'!$G$5:$G$2162,'октябрь 2024'!$D$5:$D$2162,$B180,'октябрь 2024'!$J$5:$J$2162,W$1)</f>
        <v>0</v>
      </c>
      <c r="X180" s="80">
        <f>SUMIFS('октябрь 2024'!$G$5:$G$2162,'октябрь 2024'!$D$5:$D$2162,$B180,'октябрь 2024'!$J$5:$J$2162,X$1)</f>
        <v>0</v>
      </c>
      <c r="Y180" s="80">
        <f>SUMIFS('октябрь 2024'!$G$5:$G$2162,'октябрь 2024'!$D$5:$D$2162,$B180,'октябрь 2024'!$J$5:$J$2162,Y$1)</f>
        <v>0</v>
      </c>
      <c r="Z180" s="80">
        <f>SUMIFS('октябрь 2024'!$G$5:$G$2162,'октябрь 2024'!$D$5:$D$2162,$B180,'октябрь 2024'!$J$5:$J$2162,Z$1)</f>
        <v>0</v>
      </c>
      <c r="AA180" s="80">
        <f>SUMIFS('октябрь 2024'!$G$5:$G$2162,'октябрь 2024'!$D$5:$D$2162,$B180,'октябрь 2024'!$J$5:$J$2162,AA$1)</f>
        <v>0</v>
      </c>
      <c r="AB180" s="80">
        <f>SUMIFS('октябрь 2024'!$G$5:$G$2162,'октябрь 2024'!$D$5:$D$2162,$B180,'октябрь 2024'!$J$5:$J$2162,AB$1)</f>
        <v>0</v>
      </c>
      <c r="AC180" s="80">
        <f>SUMIFS('октябрь 2024'!$G$5:$G$2162,'октябрь 2024'!$D$5:$D$2162,$B180,'октябрь 2024'!$J$5:$J$2162,AC$1)</f>
        <v>0</v>
      </c>
      <c r="AD180" s="80">
        <f>SUMIFS('октябрь 2024'!$G$5:$G$2162,'октябрь 2024'!$D$5:$D$2162,$B180,'октябрь 2024'!$J$5:$J$2162,AD$1)</f>
        <v>0</v>
      </c>
      <c r="AE180" s="80">
        <f>SUMIFS('октябрь 2024'!$G$5:$G$2162,'октябрь 2024'!$D$5:$D$2162,$B180,'октябрь 2024'!$J$5:$J$2162,AE$1)</f>
        <v>0</v>
      </c>
      <c r="AF180" s="80">
        <f>SUMIFS('октябрь 2024'!$G$5:$G$2162,'октябрь 2024'!$D$5:$D$2162,$B180,'октябрь 2024'!$J$5:$J$2162,AF$1)</f>
        <v>0</v>
      </c>
      <c r="AG180" s="80">
        <f>SUMIFS('октябрь 2024'!$G$5:$G$2162,'октябрь 2024'!$D$5:$D$2162,$B180,'октябрь 2024'!$J$5:$J$2162,AG$1)</f>
        <v>0</v>
      </c>
      <c r="AH180" s="80">
        <f>SUMIFS('октябрь 2024'!$G$5:$G$2162,'октябрь 2024'!$D$5:$D$2162,$B180,'октябрь 2024'!$J$5:$J$2162,AH$1)</f>
        <v>0</v>
      </c>
      <c r="AI180" s="87"/>
    </row>
    <row r="181" spans="2:35" ht="15" hidden="1" customHeight="1" x14ac:dyDescent="0.25">
      <c r="B181" s="89"/>
      <c r="C181" s="91"/>
      <c r="D181" s="80">
        <f>SUMIFS('октябрь 2024'!$G$5:$G$2162,'октябрь 2024'!$D$5:$D$2162,$B181,'октябрь 2024'!$J$5:$J$2162,D$1)</f>
        <v>0</v>
      </c>
      <c r="E181" s="80">
        <f>SUMIFS('октябрь 2024'!$G$5:$G$2162,'октябрь 2024'!$D$5:$D$2162,$B181,'октябрь 2024'!$J$5:$J$2162,E$1)</f>
        <v>0</v>
      </c>
      <c r="F181" s="80">
        <f>SUMIFS('октябрь 2024'!$G$5:$G$2162,'октябрь 2024'!$D$5:$D$2162,$B181,'октябрь 2024'!$J$5:$J$2162,F$1)</f>
        <v>0</v>
      </c>
      <c r="G181" s="80">
        <f>SUMIFS('октябрь 2024'!$G$5:$G$2162,'октябрь 2024'!$D$5:$D$2162,$B181,'октябрь 2024'!$J$5:$J$2162,G$1)</f>
        <v>0</v>
      </c>
      <c r="H181" s="80">
        <f>SUMIFS('октябрь 2024'!$G$5:$G$2162,'октябрь 2024'!$D$5:$D$2162,$B181,'октябрь 2024'!$J$5:$J$2162,H$1)</f>
        <v>0</v>
      </c>
      <c r="I181" s="80">
        <f>SUMIFS('октябрь 2024'!$G$5:$G$2162,'октябрь 2024'!$D$5:$D$2162,$B181,'октябрь 2024'!$J$5:$J$2162,I$1)</f>
        <v>0</v>
      </c>
      <c r="J181" s="80">
        <f>SUMIFS('октябрь 2024'!$G$5:$G$2162,'октябрь 2024'!$D$5:$D$2162,$B181,'октябрь 2024'!$J$5:$J$2162,J$1)</f>
        <v>0</v>
      </c>
      <c r="K181" s="80">
        <f>SUMIFS('октябрь 2024'!$G$5:$G$2162,'октябрь 2024'!$D$5:$D$2162,$B181,'октябрь 2024'!$J$5:$J$2162,K$1)</f>
        <v>0</v>
      </c>
      <c r="L181" s="80">
        <f>SUMIFS('октябрь 2024'!$G$5:$G$2162,'октябрь 2024'!$D$5:$D$2162,$B181,'октябрь 2024'!$J$5:$J$2162,L$1)</f>
        <v>0</v>
      </c>
      <c r="M181" s="80">
        <f>SUMIFS('октябрь 2024'!$G$5:$G$2162,'октябрь 2024'!$D$5:$D$2162,$B181,'октябрь 2024'!$J$5:$J$2162,M$1)</f>
        <v>0</v>
      </c>
      <c r="N181" s="80">
        <f>SUMIFS('октябрь 2024'!$G$5:$G$2162,'октябрь 2024'!$D$5:$D$2162,$B181,'октябрь 2024'!$J$5:$J$2162,N$1)</f>
        <v>0</v>
      </c>
      <c r="O181" s="80">
        <f>SUMIFS('октябрь 2024'!$G$5:$G$2162,'октябрь 2024'!$D$5:$D$2162,$B181,'октябрь 2024'!$J$5:$J$2162,O$1)</f>
        <v>0</v>
      </c>
      <c r="P181" s="80">
        <f>SUMIFS('октябрь 2024'!$G$5:$G$2162,'октябрь 2024'!$D$5:$D$2162,$B181,'октябрь 2024'!$J$5:$J$2162,P$1)</f>
        <v>0</v>
      </c>
      <c r="Q181" s="80">
        <f>SUMIFS('октябрь 2024'!$G$5:$G$2162,'октябрь 2024'!$D$5:$D$2162,$B181,'октябрь 2024'!$J$5:$J$2162,Q$1)</f>
        <v>0</v>
      </c>
      <c r="R181" s="80">
        <f>SUMIFS('октябрь 2024'!$G$5:$G$2162,'октябрь 2024'!$D$5:$D$2162,$B181,'октябрь 2024'!$J$5:$J$2162,R$1)</f>
        <v>0</v>
      </c>
      <c r="S181" s="80">
        <f>SUMIFS('октябрь 2024'!$G$5:$G$2162,'октябрь 2024'!$D$5:$D$2162,$B181,'октябрь 2024'!$J$5:$J$2162,S$1)</f>
        <v>0</v>
      </c>
      <c r="T181" s="80">
        <f>SUMIFS('октябрь 2024'!$G$5:$G$2162,'октябрь 2024'!$D$5:$D$2162,$B181,'октябрь 2024'!$J$5:$J$2162,T$1)</f>
        <v>0</v>
      </c>
      <c r="U181" s="80">
        <f>SUMIFS('октябрь 2024'!$G$5:$G$2162,'октябрь 2024'!$D$5:$D$2162,$B181,'октябрь 2024'!$J$5:$J$2162,U$1)</f>
        <v>0</v>
      </c>
      <c r="V181" s="80">
        <f>SUMIFS('октябрь 2024'!$G$5:$G$2162,'октябрь 2024'!$D$5:$D$2162,$B181,'октябрь 2024'!$J$5:$J$2162,V$1)</f>
        <v>0</v>
      </c>
      <c r="W181" s="80">
        <f>SUMIFS('октябрь 2024'!$G$5:$G$2162,'октябрь 2024'!$D$5:$D$2162,$B181,'октябрь 2024'!$J$5:$J$2162,W$1)</f>
        <v>0</v>
      </c>
      <c r="X181" s="80">
        <f>SUMIFS('октябрь 2024'!$G$5:$G$2162,'октябрь 2024'!$D$5:$D$2162,$B181,'октябрь 2024'!$J$5:$J$2162,X$1)</f>
        <v>0</v>
      </c>
      <c r="Y181" s="80">
        <f>SUMIFS('октябрь 2024'!$G$5:$G$2162,'октябрь 2024'!$D$5:$D$2162,$B181,'октябрь 2024'!$J$5:$J$2162,Y$1)</f>
        <v>0</v>
      </c>
      <c r="Z181" s="80">
        <f>SUMIFS('октябрь 2024'!$G$5:$G$2162,'октябрь 2024'!$D$5:$D$2162,$B181,'октябрь 2024'!$J$5:$J$2162,Z$1)</f>
        <v>0</v>
      </c>
      <c r="AA181" s="80">
        <f>SUMIFS('октябрь 2024'!$G$5:$G$2162,'октябрь 2024'!$D$5:$D$2162,$B181,'октябрь 2024'!$J$5:$J$2162,AA$1)</f>
        <v>0</v>
      </c>
      <c r="AB181" s="80">
        <f>SUMIFS('октябрь 2024'!$G$5:$G$2162,'октябрь 2024'!$D$5:$D$2162,$B181,'октябрь 2024'!$J$5:$J$2162,AB$1)</f>
        <v>0</v>
      </c>
      <c r="AC181" s="80">
        <f>SUMIFS('октябрь 2024'!$G$5:$G$2162,'октябрь 2024'!$D$5:$D$2162,$B181,'октябрь 2024'!$J$5:$J$2162,AC$1)</f>
        <v>0</v>
      </c>
      <c r="AD181" s="80">
        <f>SUMIFS('октябрь 2024'!$G$5:$G$2162,'октябрь 2024'!$D$5:$D$2162,$B181,'октябрь 2024'!$J$5:$J$2162,AD$1)</f>
        <v>0</v>
      </c>
      <c r="AE181" s="80">
        <f>SUMIFS('октябрь 2024'!$G$5:$G$2162,'октябрь 2024'!$D$5:$D$2162,$B181,'октябрь 2024'!$J$5:$J$2162,AE$1)</f>
        <v>0</v>
      </c>
      <c r="AF181" s="80">
        <f>SUMIFS('октябрь 2024'!$G$5:$G$2162,'октябрь 2024'!$D$5:$D$2162,$B181,'октябрь 2024'!$J$5:$J$2162,AF$1)</f>
        <v>0</v>
      </c>
      <c r="AG181" s="80">
        <f>SUMIFS('октябрь 2024'!$G$5:$G$2162,'октябрь 2024'!$D$5:$D$2162,$B181,'октябрь 2024'!$J$5:$J$2162,AG$1)</f>
        <v>0</v>
      </c>
      <c r="AH181" s="80">
        <f>SUMIFS('октябрь 2024'!$G$5:$G$2162,'октябрь 2024'!$D$5:$D$2162,$B181,'октябрь 2024'!$J$5:$J$2162,AH$1)</f>
        <v>0</v>
      </c>
      <c r="AI181" s="87"/>
    </row>
    <row r="182" spans="2:35" ht="15" hidden="1" customHeight="1" x14ac:dyDescent="0.25">
      <c r="B182" s="89"/>
      <c r="C182" s="91"/>
      <c r="D182" s="80">
        <f>SUMIFS('октябрь 2024'!$G$5:$G$2162,'октябрь 2024'!$D$5:$D$2162,$B182,'октябрь 2024'!$J$5:$J$2162,D$1)</f>
        <v>0</v>
      </c>
      <c r="E182" s="80">
        <f>SUMIFS('октябрь 2024'!$G$5:$G$2162,'октябрь 2024'!$D$5:$D$2162,$B182,'октябрь 2024'!$J$5:$J$2162,E$1)</f>
        <v>0</v>
      </c>
      <c r="F182" s="80">
        <f>SUMIFS('октябрь 2024'!$G$5:$G$2162,'октябрь 2024'!$D$5:$D$2162,$B182,'октябрь 2024'!$J$5:$J$2162,F$1)</f>
        <v>0</v>
      </c>
      <c r="G182" s="80">
        <f>SUMIFS('октябрь 2024'!$G$5:$G$2162,'октябрь 2024'!$D$5:$D$2162,$B182,'октябрь 2024'!$J$5:$J$2162,G$1)</f>
        <v>0</v>
      </c>
      <c r="H182" s="80">
        <f>SUMIFS('октябрь 2024'!$G$5:$G$2162,'октябрь 2024'!$D$5:$D$2162,$B182,'октябрь 2024'!$J$5:$J$2162,H$1)</f>
        <v>0</v>
      </c>
      <c r="I182" s="80">
        <f>SUMIFS('октябрь 2024'!$G$5:$G$2162,'октябрь 2024'!$D$5:$D$2162,$B182,'октябрь 2024'!$J$5:$J$2162,I$1)</f>
        <v>0</v>
      </c>
      <c r="J182" s="80">
        <f>SUMIFS('октябрь 2024'!$G$5:$G$2162,'октябрь 2024'!$D$5:$D$2162,$B182,'октябрь 2024'!$J$5:$J$2162,J$1)</f>
        <v>0</v>
      </c>
      <c r="K182" s="80">
        <f>SUMIFS('октябрь 2024'!$G$5:$G$2162,'октябрь 2024'!$D$5:$D$2162,$B182,'октябрь 2024'!$J$5:$J$2162,K$1)</f>
        <v>0</v>
      </c>
      <c r="L182" s="80">
        <f>SUMIFS('октябрь 2024'!$G$5:$G$2162,'октябрь 2024'!$D$5:$D$2162,$B182,'октябрь 2024'!$J$5:$J$2162,L$1)</f>
        <v>0</v>
      </c>
      <c r="M182" s="80">
        <f>SUMIFS('октябрь 2024'!$G$5:$G$2162,'октябрь 2024'!$D$5:$D$2162,$B182,'октябрь 2024'!$J$5:$J$2162,M$1)</f>
        <v>0</v>
      </c>
      <c r="N182" s="80">
        <f>SUMIFS('октябрь 2024'!$G$5:$G$2162,'октябрь 2024'!$D$5:$D$2162,$B182,'октябрь 2024'!$J$5:$J$2162,N$1)</f>
        <v>0</v>
      </c>
      <c r="O182" s="80">
        <f>SUMIFS('октябрь 2024'!$G$5:$G$2162,'октябрь 2024'!$D$5:$D$2162,$B182,'октябрь 2024'!$J$5:$J$2162,O$1)</f>
        <v>0</v>
      </c>
      <c r="P182" s="80">
        <f>SUMIFS('октябрь 2024'!$G$5:$G$2162,'октябрь 2024'!$D$5:$D$2162,$B182,'октябрь 2024'!$J$5:$J$2162,P$1)</f>
        <v>0</v>
      </c>
      <c r="Q182" s="80">
        <f>SUMIFS('октябрь 2024'!$G$5:$G$2162,'октябрь 2024'!$D$5:$D$2162,$B182,'октябрь 2024'!$J$5:$J$2162,Q$1)</f>
        <v>0</v>
      </c>
      <c r="R182" s="80">
        <f>SUMIFS('октябрь 2024'!$G$5:$G$2162,'октябрь 2024'!$D$5:$D$2162,$B182,'октябрь 2024'!$J$5:$J$2162,R$1)</f>
        <v>0</v>
      </c>
      <c r="S182" s="80">
        <f>SUMIFS('октябрь 2024'!$G$5:$G$2162,'октябрь 2024'!$D$5:$D$2162,$B182,'октябрь 2024'!$J$5:$J$2162,S$1)</f>
        <v>0</v>
      </c>
      <c r="T182" s="80">
        <f>SUMIFS('октябрь 2024'!$G$5:$G$2162,'октябрь 2024'!$D$5:$D$2162,$B182,'октябрь 2024'!$J$5:$J$2162,T$1)</f>
        <v>0</v>
      </c>
      <c r="U182" s="80">
        <f>SUMIFS('октябрь 2024'!$G$5:$G$2162,'октябрь 2024'!$D$5:$D$2162,$B182,'октябрь 2024'!$J$5:$J$2162,U$1)</f>
        <v>0</v>
      </c>
      <c r="V182" s="80">
        <f>SUMIFS('октябрь 2024'!$G$5:$G$2162,'октябрь 2024'!$D$5:$D$2162,$B182,'октябрь 2024'!$J$5:$J$2162,V$1)</f>
        <v>0</v>
      </c>
      <c r="W182" s="80">
        <f>SUMIFS('октябрь 2024'!$G$5:$G$2162,'октябрь 2024'!$D$5:$D$2162,$B182,'октябрь 2024'!$J$5:$J$2162,W$1)</f>
        <v>0</v>
      </c>
      <c r="X182" s="80">
        <f>SUMIFS('октябрь 2024'!$G$5:$G$2162,'октябрь 2024'!$D$5:$D$2162,$B182,'октябрь 2024'!$J$5:$J$2162,X$1)</f>
        <v>0</v>
      </c>
      <c r="Y182" s="80">
        <f>SUMIFS('октябрь 2024'!$G$5:$G$2162,'октябрь 2024'!$D$5:$D$2162,$B182,'октябрь 2024'!$J$5:$J$2162,Y$1)</f>
        <v>0</v>
      </c>
      <c r="Z182" s="80">
        <f>SUMIFS('октябрь 2024'!$G$5:$G$2162,'октябрь 2024'!$D$5:$D$2162,$B182,'октябрь 2024'!$J$5:$J$2162,Z$1)</f>
        <v>0</v>
      </c>
      <c r="AA182" s="80">
        <f>SUMIFS('октябрь 2024'!$G$5:$G$2162,'октябрь 2024'!$D$5:$D$2162,$B182,'октябрь 2024'!$J$5:$J$2162,AA$1)</f>
        <v>0</v>
      </c>
      <c r="AB182" s="80">
        <f>SUMIFS('октябрь 2024'!$G$5:$G$2162,'октябрь 2024'!$D$5:$D$2162,$B182,'октябрь 2024'!$J$5:$J$2162,AB$1)</f>
        <v>0</v>
      </c>
      <c r="AC182" s="80">
        <f>SUMIFS('октябрь 2024'!$G$5:$G$2162,'октябрь 2024'!$D$5:$D$2162,$B182,'октябрь 2024'!$J$5:$J$2162,AC$1)</f>
        <v>0</v>
      </c>
      <c r="AD182" s="80">
        <f>SUMIFS('октябрь 2024'!$G$5:$G$2162,'октябрь 2024'!$D$5:$D$2162,$B182,'октябрь 2024'!$J$5:$J$2162,AD$1)</f>
        <v>0</v>
      </c>
      <c r="AE182" s="80">
        <f>SUMIFS('октябрь 2024'!$G$5:$G$2162,'октябрь 2024'!$D$5:$D$2162,$B182,'октябрь 2024'!$J$5:$J$2162,AE$1)</f>
        <v>0</v>
      </c>
      <c r="AF182" s="80">
        <f>SUMIFS('октябрь 2024'!$G$5:$G$2162,'октябрь 2024'!$D$5:$D$2162,$B182,'октябрь 2024'!$J$5:$J$2162,AF$1)</f>
        <v>0</v>
      </c>
      <c r="AG182" s="80">
        <f>SUMIFS('октябрь 2024'!$G$5:$G$2162,'октябрь 2024'!$D$5:$D$2162,$B182,'октябрь 2024'!$J$5:$J$2162,AG$1)</f>
        <v>0</v>
      </c>
      <c r="AH182" s="80">
        <f>SUMIFS('октябрь 2024'!$G$5:$G$2162,'октябрь 2024'!$D$5:$D$2162,$B182,'октябрь 2024'!$J$5:$J$2162,AH$1)</f>
        <v>0</v>
      </c>
      <c r="AI182" s="87"/>
    </row>
    <row r="183" spans="2:35" ht="15" hidden="1" customHeight="1" x14ac:dyDescent="0.25">
      <c r="B183" s="89"/>
      <c r="C183" s="91"/>
      <c r="D183" s="80">
        <f>SUMIFS('октябрь 2024'!$G$5:$G$2162,'октябрь 2024'!$D$5:$D$2162,$B183,'октябрь 2024'!$J$5:$J$2162,D$1)</f>
        <v>0</v>
      </c>
      <c r="E183" s="80">
        <f>SUMIFS('октябрь 2024'!$G$5:$G$2162,'октябрь 2024'!$D$5:$D$2162,$B183,'октябрь 2024'!$J$5:$J$2162,E$1)</f>
        <v>0</v>
      </c>
      <c r="F183" s="80">
        <f>SUMIFS('октябрь 2024'!$G$5:$G$2162,'октябрь 2024'!$D$5:$D$2162,$B183,'октябрь 2024'!$J$5:$J$2162,F$1)</f>
        <v>0</v>
      </c>
      <c r="G183" s="80">
        <f>SUMIFS('октябрь 2024'!$G$5:$G$2162,'октябрь 2024'!$D$5:$D$2162,$B183,'октябрь 2024'!$J$5:$J$2162,G$1)</f>
        <v>0</v>
      </c>
      <c r="H183" s="80">
        <f>SUMIFS('октябрь 2024'!$G$5:$G$2162,'октябрь 2024'!$D$5:$D$2162,$B183,'октябрь 2024'!$J$5:$J$2162,H$1)</f>
        <v>0</v>
      </c>
      <c r="I183" s="80">
        <f>SUMIFS('октябрь 2024'!$G$5:$G$2162,'октябрь 2024'!$D$5:$D$2162,$B183,'октябрь 2024'!$J$5:$J$2162,I$1)</f>
        <v>0</v>
      </c>
      <c r="J183" s="80">
        <f>SUMIFS('октябрь 2024'!$G$5:$G$2162,'октябрь 2024'!$D$5:$D$2162,$B183,'октябрь 2024'!$J$5:$J$2162,J$1)</f>
        <v>0</v>
      </c>
      <c r="K183" s="80">
        <f>SUMIFS('октябрь 2024'!$G$5:$G$2162,'октябрь 2024'!$D$5:$D$2162,$B183,'октябрь 2024'!$J$5:$J$2162,K$1)</f>
        <v>0</v>
      </c>
      <c r="L183" s="80">
        <f>SUMIFS('октябрь 2024'!$G$5:$G$2162,'октябрь 2024'!$D$5:$D$2162,$B183,'октябрь 2024'!$J$5:$J$2162,L$1)</f>
        <v>0</v>
      </c>
      <c r="M183" s="80">
        <f>SUMIFS('октябрь 2024'!$G$5:$G$2162,'октябрь 2024'!$D$5:$D$2162,$B183,'октябрь 2024'!$J$5:$J$2162,M$1)</f>
        <v>0</v>
      </c>
      <c r="N183" s="80">
        <f>SUMIFS('октябрь 2024'!$G$5:$G$2162,'октябрь 2024'!$D$5:$D$2162,$B183,'октябрь 2024'!$J$5:$J$2162,N$1)</f>
        <v>0</v>
      </c>
      <c r="O183" s="80">
        <f>SUMIFS('октябрь 2024'!$G$5:$G$2162,'октябрь 2024'!$D$5:$D$2162,$B183,'октябрь 2024'!$J$5:$J$2162,O$1)</f>
        <v>0</v>
      </c>
      <c r="P183" s="80">
        <f>SUMIFS('октябрь 2024'!$G$5:$G$2162,'октябрь 2024'!$D$5:$D$2162,$B183,'октябрь 2024'!$J$5:$J$2162,P$1)</f>
        <v>0</v>
      </c>
      <c r="Q183" s="80">
        <f>SUMIFS('октябрь 2024'!$G$5:$G$2162,'октябрь 2024'!$D$5:$D$2162,$B183,'октябрь 2024'!$J$5:$J$2162,Q$1)</f>
        <v>0</v>
      </c>
      <c r="R183" s="80">
        <f>SUMIFS('октябрь 2024'!$G$5:$G$2162,'октябрь 2024'!$D$5:$D$2162,$B183,'октябрь 2024'!$J$5:$J$2162,R$1)</f>
        <v>0</v>
      </c>
      <c r="S183" s="80">
        <f>SUMIFS('октябрь 2024'!$G$5:$G$2162,'октябрь 2024'!$D$5:$D$2162,$B183,'октябрь 2024'!$J$5:$J$2162,S$1)</f>
        <v>0</v>
      </c>
      <c r="T183" s="80">
        <f>SUMIFS('октябрь 2024'!$G$5:$G$2162,'октябрь 2024'!$D$5:$D$2162,$B183,'октябрь 2024'!$J$5:$J$2162,T$1)</f>
        <v>0</v>
      </c>
      <c r="U183" s="80">
        <f>SUMIFS('октябрь 2024'!$G$5:$G$2162,'октябрь 2024'!$D$5:$D$2162,$B183,'октябрь 2024'!$J$5:$J$2162,U$1)</f>
        <v>0</v>
      </c>
      <c r="V183" s="80">
        <f>SUMIFS('октябрь 2024'!$G$5:$G$2162,'октябрь 2024'!$D$5:$D$2162,$B183,'октябрь 2024'!$J$5:$J$2162,V$1)</f>
        <v>0</v>
      </c>
      <c r="W183" s="80">
        <f>SUMIFS('октябрь 2024'!$G$5:$G$2162,'октябрь 2024'!$D$5:$D$2162,$B183,'октябрь 2024'!$J$5:$J$2162,W$1)</f>
        <v>0</v>
      </c>
      <c r="X183" s="80">
        <f>SUMIFS('октябрь 2024'!$G$5:$G$2162,'октябрь 2024'!$D$5:$D$2162,$B183,'октябрь 2024'!$J$5:$J$2162,X$1)</f>
        <v>0</v>
      </c>
      <c r="Y183" s="80">
        <f>SUMIFS('октябрь 2024'!$G$5:$G$2162,'октябрь 2024'!$D$5:$D$2162,$B183,'октябрь 2024'!$J$5:$J$2162,Y$1)</f>
        <v>0</v>
      </c>
      <c r="Z183" s="80">
        <f>SUMIFS('октябрь 2024'!$G$5:$G$2162,'октябрь 2024'!$D$5:$D$2162,$B183,'октябрь 2024'!$J$5:$J$2162,Z$1)</f>
        <v>0</v>
      </c>
      <c r="AA183" s="80">
        <f>SUMIFS('октябрь 2024'!$G$5:$G$2162,'октябрь 2024'!$D$5:$D$2162,$B183,'октябрь 2024'!$J$5:$J$2162,AA$1)</f>
        <v>0</v>
      </c>
      <c r="AB183" s="80">
        <f>SUMIFS('октябрь 2024'!$G$5:$G$2162,'октябрь 2024'!$D$5:$D$2162,$B183,'октябрь 2024'!$J$5:$J$2162,AB$1)</f>
        <v>0</v>
      </c>
      <c r="AC183" s="80">
        <f>SUMIFS('октябрь 2024'!$G$5:$G$2162,'октябрь 2024'!$D$5:$D$2162,$B183,'октябрь 2024'!$J$5:$J$2162,AC$1)</f>
        <v>0</v>
      </c>
      <c r="AD183" s="80">
        <f>SUMIFS('октябрь 2024'!$G$5:$G$2162,'октябрь 2024'!$D$5:$D$2162,$B183,'октябрь 2024'!$J$5:$J$2162,AD$1)</f>
        <v>0</v>
      </c>
      <c r="AE183" s="80">
        <f>SUMIFS('октябрь 2024'!$G$5:$G$2162,'октябрь 2024'!$D$5:$D$2162,$B183,'октябрь 2024'!$J$5:$J$2162,AE$1)</f>
        <v>0</v>
      </c>
      <c r="AF183" s="80">
        <f>SUMIFS('октябрь 2024'!$G$5:$G$2162,'октябрь 2024'!$D$5:$D$2162,$B183,'октябрь 2024'!$J$5:$J$2162,AF$1)</f>
        <v>0</v>
      </c>
      <c r="AG183" s="80">
        <f>SUMIFS('октябрь 2024'!$G$5:$G$2162,'октябрь 2024'!$D$5:$D$2162,$B183,'октябрь 2024'!$J$5:$J$2162,AG$1)</f>
        <v>0</v>
      </c>
      <c r="AH183" s="80">
        <f>SUMIFS('октябрь 2024'!$G$5:$G$2162,'октябрь 2024'!$D$5:$D$2162,$B183,'октябрь 2024'!$J$5:$J$2162,AH$1)</f>
        <v>0</v>
      </c>
      <c r="AI183" s="87"/>
    </row>
    <row r="184" spans="2:35" ht="15" hidden="1" customHeight="1" x14ac:dyDescent="0.25">
      <c r="B184" s="89"/>
      <c r="C184" s="88"/>
      <c r="D184" s="80">
        <f>SUMIFS('октябрь 2024'!$G$5:$G$2162,'октябрь 2024'!$D$5:$D$2162,$B184,'октябрь 2024'!$J$5:$J$2162,D$1)</f>
        <v>0</v>
      </c>
      <c r="E184" s="80">
        <f>SUMIFS('октябрь 2024'!$G$5:$G$2162,'октябрь 2024'!$D$5:$D$2162,$B184,'октябрь 2024'!$J$5:$J$2162,E$1)</f>
        <v>0</v>
      </c>
      <c r="F184" s="80">
        <f>SUMIFS('октябрь 2024'!$G$5:$G$2162,'октябрь 2024'!$D$5:$D$2162,$B184,'октябрь 2024'!$J$5:$J$2162,F$1)</f>
        <v>0</v>
      </c>
      <c r="G184" s="80">
        <f>SUMIFS('октябрь 2024'!$G$5:$G$2162,'октябрь 2024'!$D$5:$D$2162,$B184,'октябрь 2024'!$J$5:$J$2162,G$1)</f>
        <v>0</v>
      </c>
      <c r="H184" s="80">
        <f>SUMIFS('октябрь 2024'!$G$5:$G$2162,'октябрь 2024'!$D$5:$D$2162,$B184,'октябрь 2024'!$J$5:$J$2162,H$1)</f>
        <v>0</v>
      </c>
      <c r="I184" s="80">
        <f>SUMIFS('октябрь 2024'!$G$5:$G$2162,'октябрь 2024'!$D$5:$D$2162,$B184,'октябрь 2024'!$J$5:$J$2162,I$1)</f>
        <v>0</v>
      </c>
      <c r="J184" s="80">
        <f>SUMIFS('октябрь 2024'!$G$5:$G$2162,'октябрь 2024'!$D$5:$D$2162,$B184,'октябрь 2024'!$J$5:$J$2162,J$1)</f>
        <v>0</v>
      </c>
      <c r="K184" s="80">
        <f>SUMIFS('октябрь 2024'!$G$5:$G$2162,'октябрь 2024'!$D$5:$D$2162,$B184,'октябрь 2024'!$J$5:$J$2162,K$1)</f>
        <v>0</v>
      </c>
      <c r="L184" s="80">
        <f>SUMIFS('октябрь 2024'!$G$5:$G$2162,'октябрь 2024'!$D$5:$D$2162,$B184,'октябрь 2024'!$J$5:$J$2162,L$1)</f>
        <v>0</v>
      </c>
      <c r="M184" s="80">
        <f>SUMIFS('октябрь 2024'!$G$5:$G$2162,'октябрь 2024'!$D$5:$D$2162,$B184,'октябрь 2024'!$J$5:$J$2162,M$1)</f>
        <v>0</v>
      </c>
      <c r="N184" s="80">
        <f>SUMIFS('октябрь 2024'!$G$5:$G$2162,'октябрь 2024'!$D$5:$D$2162,$B184,'октябрь 2024'!$J$5:$J$2162,N$1)</f>
        <v>0</v>
      </c>
      <c r="O184" s="80">
        <f>SUMIFS('октябрь 2024'!$G$5:$G$2162,'октябрь 2024'!$D$5:$D$2162,$B184,'октябрь 2024'!$J$5:$J$2162,O$1)</f>
        <v>0</v>
      </c>
      <c r="P184" s="80">
        <f>SUMIFS('октябрь 2024'!$G$5:$G$2162,'октябрь 2024'!$D$5:$D$2162,$B184,'октябрь 2024'!$J$5:$J$2162,P$1)</f>
        <v>0</v>
      </c>
      <c r="Q184" s="80">
        <f>SUMIFS('октябрь 2024'!$G$5:$G$2162,'октябрь 2024'!$D$5:$D$2162,$B184,'октябрь 2024'!$J$5:$J$2162,Q$1)</f>
        <v>0</v>
      </c>
      <c r="R184" s="80">
        <f>SUMIFS('октябрь 2024'!$G$5:$G$2162,'октябрь 2024'!$D$5:$D$2162,$B184,'октябрь 2024'!$J$5:$J$2162,R$1)</f>
        <v>0</v>
      </c>
      <c r="S184" s="80">
        <f>SUMIFS('октябрь 2024'!$G$5:$G$2162,'октябрь 2024'!$D$5:$D$2162,$B184,'октябрь 2024'!$J$5:$J$2162,S$1)</f>
        <v>0</v>
      </c>
      <c r="T184" s="80">
        <f>SUMIFS('октябрь 2024'!$G$5:$G$2162,'октябрь 2024'!$D$5:$D$2162,$B184,'октябрь 2024'!$J$5:$J$2162,T$1)</f>
        <v>0</v>
      </c>
      <c r="U184" s="80">
        <f>SUMIFS('октябрь 2024'!$G$5:$G$2162,'октябрь 2024'!$D$5:$D$2162,$B184,'октябрь 2024'!$J$5:$J$2162,U$1)</f>
        <v>0</v>
      </c>
      <c r="V184" s="80">
        <f>SUMIFS('октябрь 2024'!$G$5:$G$2162,'октябрь 2024'!$D$5:$D$2162,$B184,'октябрь 2024'!$J$5:$J$2162,V$1)</f>
        <v>0</v>
      </c>
      <c r="W184" s="80">
        <f>SUMIFS('октябрь 2024'!$G$5:$G$2162,'октябрь 2024'!$D$5:$D$2162,$B184,'октябрь 2024'!$J$5:$J$2162,W$1)</f>
        <v>0</v>
      </c>
      <c r="X184" s="80">
        <f>SUMIFS('октябрь 2024'!$G$5:$G$2162,'октябрь 2024'!$D$5:$D$2162,$B184,'октябрь 2024'!$J$5:$J$2162,X$1)</f>
        <v>0</v>
      </c>
      <c r="Y184" s="80">
        <f>SUMIFS('октябрь 2024'!$G$5:$G$2162,'октябрь 2024'!$D$5:$D$2162,$B184,'октябрь 2024'!$J$5:$J$2162,Y$1)</f>
        <v>0</v>
      </c>
      <c r="Z184" s="80">
        <f>SUMIFS('октябрь 2024'!$G$5:$G$2162,'октябрь 2024'!$D$5:$D$2162,$B184,'октябрь 2024'!$J$5:$J$2162,Z$1)</f>
        <v>0</v>
      </c>
      <c r="AA184" s="80">
        <f>SUMIFS('октябрь 2024'!$G$5:$G$2162,'октябрь 2024'!$D$5:$D$2162,$B184,'октябрь 2024'!$J$5:$J$2162,AA$1)</f>
        <v>0</v>
      </c>
      <c r="AB184" s="80">
        <f>SUMIFS('октябрь 2024'!$G$5:$G$2162,'октябрь 2024'!$D$5:$D$2162,$B184,'октябрь 2024'!$J$5:$J$2162,AB$1)</f>
        <v>0</v>
      </c>
      <c r="AC184" s="80">
        <f>SUMIFS('октябрь 2024'!$G$5:$G$2162,'октябрь 2024'!$D$5:$D$2162,$B184,'октябрь 2024'!$J$5:$J$2162,AC$1)</f>
        <v>0</v>
      </c>
      <c r="AD184" s="80">
        <f>SUMIFS('октябрь 2024'!$G$5:$G$2162,'октябрь 2024'!$D$5:$D$2162,$B184,'октябрь 2024'!$J$5:$J$2162,AD$1)</f>
        <v>0</v>
      </c>
      <c r="AE184" s="80">
        <f>SUMIFS('октябрь 2024'!$G$5:$G$2162,'октябрь 2024'!$D$5:$D$2162,$B184,'октябрь 2024'!$J$5:$J$2162,AE$1)</f>
        <v>0</v>
      </c>
      <c r="AF184" s="80">
        <f>SUMIFS('октябрь 2024'!$G$5:$G$2162,'октябрь 2024'!$D$5:$D$2162,$B184,'октябрь 2024'!$J$5:$J$2162,AF$1)</f>
        <v>0</v>
      </c>
      <c r="AG184" s="80">
        <f>SUMIFS('октябрь 2024'!$G$5:$G$2162,'октябрь 2024'!$D$5:$D$2162,$B184,'октябрь 2024'!$J$5:$J$2162,AG$1)</f>
        <v>0</v>
      </c>
      <c r="AH184" s="80">
        <f>SUMIFS('октябрь 2024'!$G$5:$G$2162,'октябрь 2024'!$D$5:$D$2162,$B184,'октябрь 2024'!$J$5:$J$2162,AH$1)</f>
        <v>0</v>
      </c>
      <c r="AI184" s="87"/>
    </row>
    <row r="185" spans="2:35" ht="15" hidden="1" customHeight="1" x14ac:dyDescent="0.25">
      <c r="B185" s="89"/>
      <c r="C185" s="88"/>
      <c r="D185" s="80">
        <f>SUMIFS('октябрь 2024'!$G$5:$G$2162,'октябрь 2024'!$D$5:$D$2162,$B185,'октябрь 2024'!$J$5:$J$2162,D$1)</f>
        <v>0</v>
      </c>
      <c r="E185" s="80">
        <f>SUMIFS('октябрь 2024'!$G$5:$G$2162,'октябрь 2024'!$D$5:$D$2162,$B185,'октябрь 2024'!$J$5:$J$2162,E$1)</f>
        <v>0</v>
      </c>
      <c r="F185" s="80">
        <f>SUMIFS('октябрь 2024'!$G$5:$G$2162,'октябрь 2024'!$D$5:$D$2162,$B185,'октябрь 2024'!$J$5:$J$2162,F$1)</f>
        <v>0</v>
      </c>
      <c r="G185" s="80">
        <f>SUMIFS('октябрь 2024'!$G$5:$G$2162,'октябрь 2024'!$D$5:$D$2162,$B185,'октябрь 2024'!$J$5:$J$2162,G$1)</f>
        <v>0</v>
      </c>
      <c r="H185" s="80">
        <f>SUMIFS('октябрь 2024'!$G$5:$G$2162,'октябрь 2024'!$D$5:$D$2162,$B185,'октябрь 2024'!$J$5:$J$2162,H$1)</f>
        <v>0</v>
      </c>
      <c r="I185" s="80">
        <f>SUMIFS('октябрь 2024'!$G$5:$G$2162,'октябрь 2024'!$D$5:$D$2162,$B185,'октябрь 2024'!$J$5:$J$2162,I$1)</f>
        <v>0</v>
      </c>
      <c r="J185" s="80">
        <f>SUMIFS('октябрь 2024'!$G$5:$G$2162,'октябрь 2024'!$D$5:$D$2162,$B185,'октябрь 2024'!$J$5:$J$2162,J$1)</f>
        <v>0</v>
      </c>
      <c r="K185" s="80">
        <f>SUMIFS('октябрь 2024'!$G$5:$G$2162,'октябрь 2024'!$D$5:$D$2162,$B185,'октябрь 2024'!$J$5:$J$2162,K$1)</f>
        <v>0</v>
      </c>
      <c r="L185" s="80">
        <f>SUMIFS('октябрь 2024'!$G$5:$G$2162,'октябрь 2024'!$D$5:$D$2162,$B185,'октябрь 2024'!$J$5:$J$2162,L$1)</f>
        <v>0</v>
      </c>
      <c r="M185" s="80">
        <f>SUMIFS('октябрь 2024'!$G$5:$G$2162,'октябрь 2024'!$D$5:$D$2162,$B185,'октябрь 2024'!$J$5:$J$2162,M$1)</f>
        <v>0</v>
      </c>
      <c r="N185" s="80">
        <f>SUMIFS('октябрь 2024'!$G$5:$G$2162,'октябрь 2024'!$D$5:$D$2162,$B185,'октябрь 2024'!$J$5:$J$2162,N$1)</f>
        <v>0</v>
      </c>
      <c r="O185" s="80">
        <f>SUMIFS('октябрь 2024'!$G$5:$G$2162,'октябрь 2024'!$D$5:$D$2162,$B185,'октябрь 2024'!$J$5:$J$2162,O$1)</f>
        <v>0</v>
      </c>
      <c r="P185" s="80">
        <f>SUMIFS('октябрь 2024'!$G$5:$G$2162,'октябрь 2024'!$D$5:$D$2162,$B185,'октябрь 2024'!$J$5:$J$2162,P$1)</f>
        <v>0</v>
      </c>
      <c r="Q185" s="80">
        <f>SUMIFS('октябрь 2024'!$G$5:$G$2162,'октябрь 2024'!$D$5:$D$2162,$B185,'октябрь 2024'!$J$5:$J$2162,Q$1)</f>
        <v>0</v>
      </c>
      <c r="R185" s="80">
        <f>SUMIFS('октябрь 2024'!$G$5:$G$2162,'октябрь 2024'!$D$5:$D$2162,$B185,'октябрь 2024'!$J$5:$J$2162,R$1)</f>
        <v>0</v>
      </c>
      <c r="S185" s="80">
        <f>SUMIFS('октябрь 2024'!$G$5:$G$2162,'октябрь 2024'!$D$5:$D$2162,$B185,'октябрь 2024'!$J$5:$J$2162,S$1)</f>
        <v>0</v>
      </c>
      <c r="T185" s="80">
        <f>SUMIFS('октябрь 2024'!$G$5:$G$2162,'октябрь 2024'!$D$5:$D$2162,$B185,'октябрь 2024'!$J$5:$J$2162,T$1)</f>
        <v>0</v>
      </c>
      <c r="U185" s="80">
        <f>SUMIFS('октябрь 2024'!$G$5:$G$2162,'октябрь 2024'!$D$5:$D$2162,$B185,'октябрь 2024'!$J$5:$J$2162,U$1)</f>
        <v>0</v>
      </c>
      <c r="V185" s="80">
        <f>SUMIFS('октябрь 2024'!$G$5:$G$2162,'октябрь 2024'!$D$5:$D$2162,$B185,'октябрь 2024'!$J$5:$J$2162,V$1)</f>
        <v>0</v>
      </c>
      <c r="W185" s="80">
        <f>SUMIFS('октябрь 2024'!$G$5:$G$2162,'октябрь 2024'!$D$5:$D$2162,$B185,'октябрь 2024'!$J$5:$J$2162,W$1)</f>
        <v>0</v>
      </c>
      <c r="X185" s="80">
        <f>SUMIFS('октябрь 2024'!$G$5:$G$2162,'октябрь 2024'!$D$5:$D$2162,$B185,'октябрь 2024'!$J$5:$J$2162,X$1)</f>
        <v>0</v>
      </c>
      <c r="Y185" s="80">
        <f>SUMIFS('октябрь 2024'!$G$5:$G$2162,'октябрь 2024'!$D$5:$D$2162,$B185,'октябрь 2024'!$J$5:$J$2162,Y$1)</f>
        <v>0</v>
      </c>
      <c r="Z185" s="80">
        <f>SUMIFS('октябрь 2024'!$G$5:$G$2162,'октябрь 2024'!$D$5:$D$2162,$B185,'октябрь 2024'!$J$5:$J$2162,Z$1)</f>
        <v>0</v>
      </c>
      <c r="AA185" s="80">
        <f>SUMIFS('октябрь 2024'!$G$5:$G$2162,'октябрь 2024'!$D$5:$D$2162,$B185,'октябрь 2024'!$J$5:$J$2162,AA$1)</f>
        <v>0</v>
      </c>
      <c r="AB185" s="80">
        <f>SUMIFS('октябрь 2024'!$G$5:$G$2162,'октябрь 2024'!$D$5:$D$2162,$B185,'октябрь 2024'!$J$5:$J$2162,AB$1)</f>
        <v>0</v>
      </c>
      <c r="AC185" s="80">
        <f>SUMIFS('октябрь 2024'!$G$5:$G$2162,'октябрь 2024'!$D$5:$D$2162,$B185,'октябрь 2024'!$J$5:$J$2162,AC$1)</f>
        <v>0</v>
      </c>
      <c r="AD185" s="80">
        <f>SUMIFS('октябрь 2024'!$G$5:$G$2162,'октябрь 2024'!$D$5:$D$2162,$B185,'октябрь 2024'!$J$5:$J$2162,AD$1)</f>
        <v>0</v>
      </c>
      <c r="AE185" s="80">
        <f>SUMIFS('октябрь 2024'!$G$5:$G$2162,'октябрь 2024'!$D$5:$D$2162,$B185,'октябрь 2024'!$J$5:$J$2162,AE$1)</f>
        <v>0</v>
      </c>
      <c r="AF185" s="80">
        <f>SUMIFS('октябрь 2024'!$G$5:$G$2162,'октябрь 2024'!$D$5:$D$2162,$B185,'октябрь 2024'!$J$5:$J$2162,AF$1)</f>
        <v>0</v>
      </c>
      <c r="AG185" s="80">
        <f>SUMIFS('октябрь 2024'!$G$5:$G$2162,'октябрь 2024'!$D$5:$D$2162,$B185,'октябрь 2024'!$J$5:$J$2162,AG$1)</f>
        <v>0</v>
      </c>
      <c r="AH185" s="80">
        <f>SUMIFS('октябрь 2024'!$G$5:$G$2162,'октябрь 2024'!$D$5:$D$2162,$B185,'октябрь 2024'!$J$5:$J$2162,AH$1)</f>
        <v>0</v>
      </c>
      <c r="AI185" s="87"/>
    </row>
    <row r="186" spans="2:35" ht="15" hidden="1" customHeight="1" x14ac:dyDescent="0.25">
      <c r="B186" s="89"/>
      <c r="C186" s="88"/>
      <c r="D186" s="80">
        <f>SUMIFS('октябрь 2024'!$G$5:$G$2162,'октябрь 2024'!$D$5:$D$2162,$B186,'октябрь 2024'!$J$5:$J$2162,D$1)</f>
        <v>0</v>
      </c>
      <c r="E186" s="80">
        <f>SUMIFS('октябрь 2024'!$G$5:$G$2162,'октябрь 2024'!$D$5:$D$2162,$B186,'октябрь 2024'!$J$5:$J$2162,E$1)</f>
        <v>0</v>
      </c>
      <c r="F186" s="80">
        <f>SUMIFS('октябрь 2024'!$G$5:$G$2162,'октябрь 2024'!$D$5:$D$2162,$B186,'октябрь 2024'!$J$5:$J$2162,F$1)</f>
        <v>0</v>
      </c>
      <c r="G186" s="80">
        <f>SUMIFS('октябрь 2024'!$G$5:$G$2162,'октябрь 2024'!$D$5:$D$2162,$B186,'октябрь 2024'!$J$5:$J$2162,G$1)</f>
        <v>0</v>
      </c>
      <c r="H186" s="80">
        <f>SUMIFS('октябрь 2024'!$G$5:$G$2162,'октябрь 2024'!$D$5:$D$2162,$B186,'октябрь 2024'!$J$5:$J$2162,H$1)</f>
        <v>0</v>
      </c>
      <c r="I186" s="80">
        <f>SUMIFS('октябрь 2024'!$G$5:$G$2162,'октябрь 2024'!$D$5:$D$2162,$B186,'октябрь 2024'!$J$5:$J$2162,I$1)</f>
        <v>0</v>
      </c>
      <c r="J186" s="80">
        <f>SUMIFS('октябрь 2024'!$G$5:$G$2162,'октябрь 2024'!$D$5:$D$2162,$B186,'октябрь 2024'!$J$5:$J$2162,J$1)</f>
        <v>0</v>
      </c>
      <c r="K186" s="80">
        <f>SUMIFS('октябрь 2024'!$G$5:$G$2162,'октябрь 2024'!$D$5:$D$2162,$B186,'октябрь 2024'!$J$5:$J$2162,K$1)</f>
        <v>0</v>
      </c>
      <c r="L186" s="80">
        <f>SUMIFS('октябрь 2024'!$G$5:$G$2162,'октябрь 2024'!$D$5:$D$2162,$B186,'октябрь 2024'!$J$5:$J$2162,L$1)</f>
        <v>0</v>
      </c>
      <c r="M186" s="80">
        <f>SUMIFS('октябрь 2024'!$G$5:$G$2162,'октябрь 2024'!$D$5:$D$2162,$B186,'октябрь 2024'!$J$5:$J$2162,M$1)</f>
        <v>0</v>
      </c>
      <c r="N186" s="80">
        <f>SUMIFS('октябрь 2024'!$G$5:$G$2162,'октябрь 2024'!$D$5:$D$2162,$B186,'октябрь 2024'!$J$5:$J$2162,N$1)</f>
        <v>0</v>
      </c>
      <c r="O186" s="80">
        <f>SUMIFS('октябрь 2024'!$G$5:$G$2162,'октябрь 2024'!$D$5:$D$2162,$B186,'октябрь 2024'!$J$5:$J$2162,O$1)</f>
        <v>0</v>
      </c>
      <c r="P186" s="80">
        <f>SUMIFS('октябрь 2024'!$G$5:$G$2162,'октябрь 2024'!$D$5:$D$2162,$B186,'октябрь 2024'!$J$5:$J$2162,P$1)</f>
        <v>0</v>
      </c>
      <c r="Q186" s="80">
        <f>SUMIFS('октябрь 2024'!$G$5:$G$2162,'октябрь 2024'!$D$5:$D$2162,$B186,'октябрь 2024'!$J$5:$J$2162,Q$1)</f>
        <v>0</v>
      </c>
      <c r="R186" s="80">
        <f>SUMIFS('октябрь 2024'!$G$5:$G$2162,'октябрь 2024'!$D$5:$D$2162,$B186,'октябрь 2024'!$J$5:$J$2162,R$1)</f>
        <v>0</v>
      </c>
      <c r="S186" s="80">
        <f>SUMIFS('октябрь 2024'!$G$5:$G$2162,'октябрь 2024'!$D$5:$D$2162,$B186,'октябрь 2024'!$J$5:$J$2162,S$1)</f>
        <v>0</v>
      </c>
      <c r="T186" s="80">
        <f>SUMIFS('октябрь 2024'!$G$5:$G$2162,'октябрь 2024'!$D$5:$D$2162,$B186,'октябрь 2024'!$J$5:$J$2162,T$1)</f>
        <v>0</v>
      </c>
      <c r="U186" s="80">
        <f>SUMIFS('октябрь 2024'!$G$5:$G$2162,'октябрь 2024'!$D$5:$D$2162,$B186,'октябрь 2024'!$J$5:$J$2162,U$1)</f>
        <v>0</v>
      </c>
      <c r="V186" s="80">
        <f>SUMIFS('октябрь 2024'!$G$5:$G$2162,'октябрь 2024'!$D$5:$D$2162,$B186,'октябрь 2024'!$J$5:$J$2162,V$1)</f>
        <v>0</v>
      </c>
      <c r="W186" s="80">
        <f>SUMIFS('октябрь 2024'!$G$5:$G$2162,'октябрь 2024'!$D$5:$D$2162,$B186,'октябрь 2024'!$J$5:$J$2162,W$1)</f>
        <v>0</v>
      </c>
      <c r="X186" s="80">
        <f>SUMIFS('октябрь 2024'!$G$5:$G$2162,'октябрь 2024'!$D$5:$D$2162,$B186,'октябрь 2024'!$J$5:$J$2162,X$1)</f>
        <v>0</v>
      </c>
      <c r="Y186" s="80">
        <f>SUMIFS('октябрь 2024'!$G$5:$G$2162,'октябрь 2024'!$D$5:$D$2162,$B186,'октябрь 2024'!$J$5:$J$2162,Y$1)</f>
        <v>0</v>
      </c>
      <c r="Z186" s="80">
        <f>SUMIFS('октябрь 2024'!$G$5:$G$2162,'октябрь 2024'!$D$5:$D$2162,$B186,'октябрь 2024'!$J$5:$J$2162,Z$1)</f>
        <v>0</v>
      </c>
      <c r="AA186" s="80">
        <f>SUMIFS('октябрь 2024'!$G$5:$G$2162,'октябрь 2024'!$D$5:$D$2162,$B186,'октябрь 2024'!$J$5:$J$2162,AA$1)</f>
        <v>0</v>
      </c>
      <c r="AB186" s="80">
        <f>SUMIFS('октябрь 2024'!$G$5:$G$2162,'октябрь 2024'!$D$5:$D$2162,$B186,'октябрь 2024'!$J$5:$J$2162,AB$1)</f>
        <v>0</v>
      </c>
      <c r="AC186" s="80">
        <f>SUMIFS('октябрь 2024'!$G$5:$G$2162,'октябрь 2024'!$D$5:$D$2162,$B186,'октябрь 2024'!$J$5:$J$2162,AC$1)</f>
        <v>0</v>
      </c>
      <c r="AD186" s="80">
        <f>SUMIFS('октябрь 2024'!$G$5:$G$2162,'октябрь 2024'!$D$5:$D$2162,$B186,'октябрь 2024'!$J$5:$J$2162,AD$1)</f>
        <v>0</v>
      </c>
      <c r="AE186" s="80">
        <f>SUMIFS('октябрь 2024'!$G$5:$G$2162,'октябрь 2024'!$D$5:$D$2162,$B186,'октябрь 2024'!$J$5:$J$2162,AE$1)</f>
        <v>0</v>
      </c>
      <c r="AF186" s="80">
        <f>SUMIFS('октябрь 2024'!$G$5:$G$2162,'октябрь 2024'!$D$5:$D$2162,$B186,'октябрь 2024'!$J$5:$J$2162,AF$1)</f>
        <v>0</v>
      </c>
      <c r="AG186" s="80">
        <f>SUMIFS('октябрь 2024'!$G$5:$G$2162,'октябрь 2024'!$D$5:$D$2162,$B186,'октябрь 2024'!$J$5:$J$2162,AG$1)</f>
        <v>0</v>
      </c>
      <c r="AH186" s="80">
        <f>SUMIFS('октябрь 2024'!$G$5:$G$2162,'октябрь 2024'!$D$5:$D$2162,$B186,'октябрь 2024'!$J$5:$J$2162,AH$1)</f>
        <v>0</v>
      </c>
      <c r="AI186" s="87"/>
    </row>
    <row r="187" spans="2:35" ht="15" hidden="1" customHeight="1" x14ac:dyDescent="0.25">
      <c r="B187" s="89"/>
      <c r="C187" s="88"/>
      <c r="D187" s="80">
        <f>SUMIFS('октябрь 2024'!$G$5:$G$2162,'октябрь 2024'!$D$5:$D$2162,$B187,'октябрь 2024'!$J$5:$J$2162,D$1)</f>
        <v>0</v>
      </c>
      <c r="E187" s="80">
        <f>SUMIFS('октябрь 2024'!$G$5:$G$2162,'октябрь 2024'!$D$5:$D$2162,$B187,'октябрь 2024'!$J$5:$J$2162,E$1)</f>
        <v>0</v>
      </c>
      <c r="F187" s="80">
        <f>SUMIFS('октябрь 2024'!$G$5:$G$2162,'октябрь 2024'!$D$5:$D$2162,$B187,'октябрь 2024'!$J$5:$J$2162,F$1)</f>
        <v>0</v>
      </c>
      <c r="G187" s="80">
        <f>SUMIFS('октябрь 2024'!$G$5:$G$2162,'октябрь 2024'!$D$5:$D$2162,$B187,'октябрь 2024'!$J$5:$J$2162,G$1)</f>
        <v>0</v>
      </c>
      <c r="H187" s="80">
        <f>SUMIFS('октябрь 2024'!$G$5:$G$2162,'октябрь 2024'!$D$5:$D$2162,$B187,'октябрь 2024'!$J$5:$J$2162,H$1)</f>
        <v>0</v>
      </c>
      <c r="I187" s="80">
        <f>SUMIFS('октябрь 2024'!$G$5:$G$2162,'октябрь 2024'!$D$5:$D$2162,$B187,'октябрь 2024'!$J$5:$J$2162,I$1)</f>
        <v>0</v>
      </c>
      <c r="J187" s="80">
        <f>SUMIFS('октябрь 2024'!$G$5:$G$2162,'октябрь 2024'!$D$5:$D$2162,$B187,'октябрь 2024'!$J$5:$J$2162,J$1)</f>
        <v>0</v>
      </c>
      <c r="K187" s="80">
        <f>SUMIFS('октябрь 2024'!$G$5:$G$2162,'октябрь 2024'!$D$5:$D$2162,$B187,'октябрь 2024'!$J$5:$J$2162,K$1)</f>
        <v>0</v>
      </c>
      <c r="L187" s="80">
        <f>SUMIFS('октябрь 2024'!$G$5:$G$2162,'октябрь 2024'!$D$5:$D$2162,$B187,'октябрь 2024'!$J$5:$J$2162,L$1)</f>
        <v>0</v>
      </c>
      <c r="M187" s="80">
        <f>SUMIFS('октябрь 2024'!$G$5:$G$2162,'октябрь 2024'!$D$5:$D$2162,$B187,'октябрь 2024'!$J$5:$J$2162,M$1)</f>
        <v>0</v>
      </c>
      <c r="N187" s="80">
        <f>SUMIFS('октябрь 2024'!$G$5:$G$2162,'октябрь 2024'!$D$5:$D$2162,$B187,'октябрь 2024'!$J$5:$J$2162,N$1)</f>
        <v>0</v>
      </c>
      <c r="O187" s="80">
        <f>SUMIFS('октябрь 2024'!$G$5:$G$2162,'октябрь 2024'!$D$5:$D$2162,$B187,'октябрь 2024'!$J$5:$J$2162,O$1)</f>
        <v>0</v>
      </c>
      <c r="P187" s="80">
        <f>SUMIFS('октябрь 2024'!$G$5:$G$2162,'октябрь 2024'!$D$5:$D$2162,$B187,'октябрь 2024'!$J$5:$J$2162,P$1)</f>
        <v>0</v>
      </c>
      <c r="Q187" s="80">
        <f>SUMIFS('октябрь 2024'!$G$5:$G$2162,'октябрь 2024'!$D$5:$D$2162,$B187,'октябрь 2024'!$J$5:$J$2162,Q$1)</f>
        <v>0</v>
      </c>
      <c r="R187" s="80">
        <f>SUMIFS('октябрь 2024'!$G$5:$G$2162,'октябрь 2024'!$D$5:$D$2162,$B187,'октябрь 2024'!$J$5:$J$2162,R$1)</f>
        <v>0</v>
      </c>
      <c r="S187" s="80">
        <f>SUMIFS('октябрь 2024'!$G$5:$G$2162,'октябрь 2024'!$D$5:$D$2162,$B187,'октябрь 2024'!$J$5:$J$2162,S$1)</f>
        <v>0</v>
      </c>
      <c r="T187" s="80">
        <f>SUMIFS('октябрь 2024'!$G$5:$G$2162,'октябрь 2024'!$D$5:$D$2162,$B187,'октябрь 2024'!$J$5:$J$2162,T$1)</f>
        <v>0</v>
      </c>
      <c r="U187" s="80">
        <f>SUMIFS('октябрь 2024'!$G$5:$G$2162,'октябрь 2024'!$D$5:$D$2162,$B187,'октябрь 2024'!$J$5:$J$2162,U$1)</f>
        <v>0</v>
      </c>
      <c r="V187" s="80">
        <f>SUMIFS('октябрь 2024'!$G$5:$G$2162,'октябрь 2024'!$D$5:$D$2162,$B187,'октябрь 2024'!$J$5:$J$2162,V$1)</f>
        <v>0</v>
      </c>
      <c r="W187" s="80">
        <f>SUMIFS('октябрь 2024'!$G$5:$G$2162,'октябрь 2024'!$D$5:$D$2162,$B187,'октябрь 2024'!$J$5:$J$2162,W$1)</f>
        <v>0</v>
      </c>
      <c r="X187" s="80">
        <f>SUMIFS('октябрь 2024'!$G$5:$G$2162,'октябрь 2024'!$D$5:$D$2162,$B187,'октябрь 2024'!$J$5:$J$2162,X$1)</f>
        <v>0</v>
      </c>
      <c r="Y187" s="80">
        <f>SUMIFS('октябрь 2024'!$G$5:$G$2162,'октябрь 2024'!$D$5:$D$2162,$B187,'октябрь 2024'!$J$5:$J$2162,Y$1)</f>
        <v>0</v>
      </c>
      <c r="Z187" s="80">
        <f>SUMIFS('октябрь 2024'!$G$5:$G$2162,'октябрь 2024'!$D$5:$D$2162,$B187,'октябрь 2024'!$J$5:$J$2162,Z$1)</f>
        <v>0</v>
      </c>
      <c r="AA187" s="80">
        <f>SUMIFS('октябрь 2024'!$G$5:$G$2162,'октябрь 2024'!$D$5:$D$2162,$B187,'октябрь 2024'!$J$5:$J$2162,AA$1)</f>
        <v>0</v>
      </c>
      <c r="AB187" s="80">
        <f>SUMIFS('октябрь 2024'!$G$5:$G$2162,'октябрь 2024'!$D$5:$D$2162,$B187,'октябрь 2024'!$J$5:$J$2162,AB$1)</f>
        <v>0</v>
      </c>
      <c r="AC187" s="80">
        <f>SUMIFS('октябрь 2024'!$G$5:$G$2162,'октябрь 2024'!$D$5:$D$2162,$B187,'октябрь 2024'!$J$5:$J$2162,AC$1)</f>
        <v>0</v>
      </c>
      <c r="AD187" s="80">
        <f>SUMIFS('октябрь 2024'!$G$5:$G$2162,'октябрь 2024'!$D$5:$D$2162,$B187,'октябрь 2024'!$J$5:$J$2162,AD$1)</f>
        <v>0</v>
      </c>
      <c r="AE187" s="80">
        <f>SUMIFS('октябрь 2024'!$G$5:$G$2162,'октябрь 2024'!$D$5:$D$2162,$B187,'октябрь 2024'!$J$5:$J$2162,AE$1)</f>
        <v>0</v>
      </c>
      <c r="AF187" s="80">
        <f>SUMIFS('октябрь 2024'!$G$5:$G$2162,'октябрь 2024'!$D$5:$D$2162,$B187,'октябрь 2024'!$J$5:$J$2162,AF$1)</f>
        <v>0</v>
      </c>
      <c r="AG187" s="80">
        <f>SUMIFS('октябрь 2024'!$G$5:$G$2162,'октябрь 2024'!$D$5:$D$2162,$B187,'октябрь 2024'!$J$5:$J$2162,AG$1)</f>
        <v>0</v>
      </c>
      <c r="AH187" s="80">
        <f>SUMIFS('октябрь 2024'!$G$5:$G$2162,'октябрь 2024'!$D$5:$D$2162,$B187,'октябрь 2024'!$J$5:$J$2162,AH$1)</f>
        <v>0</v>
      </c>
      <c r="AI187" s="87"/>
    </row>
    <row r="188" spans="2:35" ht="15" hidden="1" customHeight="1" x14ac:dyDescent="0.25">
      <c r="B188" s="89"/>
      <c r="C188" s="88"/>
      <c r="D188" s="80">
        <f>SUMIFS('октябрь 2024'!$G$5:$G$2162,'октябрь 2024'!$D$5:$D$2162,$B188,'октябрь 2024'!$J$5:$J$2162,D$1)</f>
        <v>0</v>
      </c>
      <c r="E188" s="80">
        <f>SUMIFS('октябрь 2024'!$G$5:$G$2162,'октябрь 2024'!$D$5:$D$2162,$B188,'октябрь 2024'!$J$5:$J$2162,E$1)</f>
        <v>0</v>
      </c>
      <c r="F188" s="80">
        <f>SUMIFS('октябрь 2024'!$G$5:$G$2162,'октябрь 2024'!$D$5:$D$2162,$B188,'октябрь 2024'!$J$5:$J$2162,F$1)</f>
        <v>0</v>
      </c>
      <c r="G188" s="80">
        <f>SUMIFS('октябрь 2024'!$G$5:$G$2162,'октябрь 2024'!$D$5:$D$2162,$B188,'октябрь 2024'!$J$5:$J$2162,G$1)</f>
        <v>0</v>
      </c>
      <c r="H188" s="80">
        <f>SUMIFS('октябрь 2024'!$G$5:$G$2162,'октябрь 2024'!$D$5:$D$2162,$B188,'октябрь 2024'!$J$5:$J$2162,H$1)</f>
        <v>0</v>
      </c>
      <c r="I188" s="80">
        <f>SUMIFS('октябрь 2024'!$G$5:$G$2162,'октябрь 2024'!$D$5:$D$2162,$B188,'октябрь 2024'!$J$5:$J$2162,I$1)</f>
        <v>0</v>
      </c>
      <c r="J188" s="80">
        <f>SUMIFS('октябрь 2024'!$G$5:$G$2162,'октябрь 2024'!$D$5:$D$2162,$B188,'октябрь 2024'!$J$5:$J$2162,J$1)</f>
        <v>0</v>
      </c>
      <c r="K188" s="80">
        <f>SUMIFS('октябрь 2024'!$G$5:$G$2162,'октябрь 2024'!$D$5:$D$2162,$B188,'октябрь 2024'!$J$5:$J$2162,K$1)</f>
        <v>0</v>
      </c>
      <c r="L188" s="80">
        <f>SUMIFS('октябрь 2024'!$G$5:$G$2162,'октябрь 2024'!$D$5:$D$2162,$B188,'октябрь 2024'!$J$5:$J$2162,L$1)</f>
        <v>0</v>
      </c>
      <c r="M188" s="80">
        <f>SUMIFS('октябрь 2024'!$G$5:$G$2162,'октябрь 2024'!$D$5:$D$2162,$B188,'октябрь 2024'!$J$5:$J$2162,M$1)</f>
        <v>0</v>
      </c>
      <c r="N188" s="80">
        <f>SUMIFS('октябрь 2024'!$G$5:$G$2162,'октябрь 2024'!$D$5:$D$2162,$B188,'октябрь 2024'!$J$5:$J$2162,N$1)</f>
        <v>0</v>
      </c>
      <c r="O188" s="80">
        <f>SUMIFS('октябрь 2024'!$G$5:$G$2162,'октябрь 2024'!$D$5:$D$2162,$B188,'октябрь 2024'!$J$5:$J$2162,O$1)</f>
        <v>0</v>
      </c>
      <c r="P188" s="80">
        <f>SUMIFS('октябрь 2024'!$G$5:$G$2162,'октябрь 2024'!$D$5:$D$2162,$B188,'октябрь 2024'!$J$5:$J$2162,P$1)</f>
        <v>0</v>
      </c>
      <c r="Q188" s="80">
        <f>SUMIFS('октябрь 2024'!$G$5:$G$2162,'октябрь 2024'!$D$5:$D$2162,$B188,'октябрь 2024'!$J$5:$J$2162,Q$1)</f>
        <v>0</v>
      </c>
      <c r="R188" s="80">
        <f>SUMIFS('октябрь 2024'!$G$5:$G$2162,'октябрь 2024'!$D$5:$D$2162,$B188,'октябрь 2024'!$J$5:$J$2162,R$1)</f>
        <v>0</v>
      </c>
      <c r="S188" s="80">
        <f>SUMIFS('октябрь 2024'!$G$5:$G$2162,'октябрь 2024'!$D$5:$D$2162,$B188,'октябрь 2024'!$J$5:$J$2162,S$1)</f>
        <v>0</v>
      </c>
      <c r="T188" s="80">
        <f>SUMIFS('октябрь 2024'!$G$5:$G$2162,'октябрь 2024'!$D$5:$D$2162,$B188,'октябрь 2024'!$J$5:$J$2162,T$1)</f>
        <v>0</v>
      </c>
      <c r="U188" s="80">
        <f>SUMIFS('октябрь 2024'!$G$5:$G$2162,'октябрь 2024'!$D$5:$D$2162,$B188,'октябрь 2024'!$J$5:$J$2162,U$1)</f>
        <v>0</v>
      </c>
      <c r="V188" s="80">
        <f>SUMIFS('октябрь 2024'!$G$5:$G$2162,'октябрь 2024'!$D$5:$D$2162,$B188,'октябрь 2024'!$J$5:$J$2162,V$1)</f>
        <v>0</v>
      </c>
      <c r="W188" s="80">
        <f>SUMIFS('октябрь 2024'!$G$5:$G$2162,'октябрь 2024'!$D$5:$D$2162,$B188,'октябрь 2024'!$J$5:$J$2162,W$1)</f>
        <v>0</v>
      </c>
      <c r="X188" s="80">
        <f>SUMIFS('октябрь 2024'!$G$5:$G$2162,'октябрь 2024'!$D$5:$D$2162,$B188,'октябрь 2024'!$J$5:$J$2162,X$1)</f>
        <v>0</v>
      </c>
      <c r="Y188" s="80">
        <f>SUMIFS('октябрь 2024'!$G$5:$G$2162,'октябрь 2024'!$D$5:$D$2162,$B188,'октябрь 2024'!$J$5:$J$2162,Y$1)</f>
        <v>0</v>
      </c>
      <c r="Z188" s="80">
        <f>SUMIFS('октябрь 2024'!$G$5:$G$2162,'октябрь 2024'!$D$5:$D$2162,$B188,'октябрь 2024'!$J$5:$J$2162,Z$1)</f>
        <v>0</v>
      </c>
      <c r="AA188" s="80">
        <f>SUMIFS('октябрь 2024'!$G$5:$G$2162,'октябрь 2024'!$D$5:$D$2162,$B188,'октябрь 2024'!$J$5:$J$2162,AA$1)</f>
        <v>0</v>
      </c>
      <c r="AB188" s="80">
        <f>SUMIFS('октябрь 2024'!$G$5:$G$2162,'октябрь 2024'!$D$5:$D$2162,$B188,'октябрь 2024'!$J$5:$J$2162,AB$1)</f>
        <v>0</v>
      </c>
      <c r="AC188" s="80">
        <f>SUMIFS('октябрь 2024'!$G$5:$G$2162,'октябрь 2024'!$D$5:$D$2162,$B188,'октябрь 2024'!$J$5:$J$2162,AC$1)</f>
        <v>0</v>
      </c>
      <c r="AD188" s="80">
        <f>SUMIFS('октябрь 2024'!$G$5:$G$2162,'октябрь 2024'!$D$5:$D$2162,$B188,'октябрь 2024'!$J$5:$J$2162,AD$1)</f>
        <v>0</v>
      </c>
      <c r="AE188" s="80">
        <f>SUMIFS('октябрь 2024'!$G$5:$G$2162,'октябрь 2024'!$D$5:$D$2162,$B188,'октябрь 2024'!$J$5:$J$2162,AE$1)</f>
        <v>0</v>
      </c>
      <c r="AF188" s="80">
        <f>SUMIFS('октябрь 2024'!$G$5:$G$2162,'октябрь 2024'!$D$5:$D$2162,$B188,'октябрь 2024'!$J$5:$J$2162,AF$1)</f>
        <v>0</v>
      </c>
      <c r="AG188" s="80">
        <f>SUMIFS('октябрь 2024'!$G$5:$G$2162,'октябрь 2024'!$D$5:$D$2162,$B188,'октябрь 2024'!$J$5:$J$2162,AG$1)</f>
        <v>0</v>
      </c>
      <c r="AH188" s="80">
        <f>SUMIFS('октябрь 2024'!$G$5:$G$2162,'октябрь 2024'!$D$5:$D$2162,$B188,'октябрь 2024'!$J$5:$J$2162,AH$1)</f>
        <v>0</v>
      </c>
      <c r="AI188" s="87"/>
    </row>
    <row r="189" spans="2:35" ht="15" hidden="1" customHeight="1" x14ac:dyDescent="0.25">
      <c r="B189" s="89"/>
      <c r="C189" s="88"/>
      <c r="D189" s="80">
        <f>SUMIFS('октябрь 2024'!$G$5:$G$2162,'октябрь 2024'!$D$5:$D$2162,$B189,'октябрь 2024'!$J$5:$J$2162,D$1)</f>
        <v>0</v>
      </c>
      <c r="E189" s="80">
        <f>SUMIFS('октябрь 2024'!$G$5:$G$2162,'октябрь 2024'!$D$5:$D$2162,$B189,'октябрь 2024'!$J$5:$J$2162,E$1)</f>
        <v>0</v>
      </c>
      <c r="F189" s="80">
        <f>SUMIFS('октябрь 2024'!$G$5:$G$2162,'октябрь 2024'!$D$5:$D$2162,$B189,'октябрь 2024'!$J$5:$J$2162,F$1)</f>
        <v>0</v>
      </c>
      <c r="G189" s="80">
        <f>SUMIFS('октябрь 2024'!$G$5:$G$2162,'октябрь 2024'!$D$5:$D$2162,$B189,'октябрь 2024'!$J$5:$J$2162,G$1)</f>
        <v>0</v>
      </c>
      <c r="H189" s="80">
        <f>SUMIFS('октябрь 2024'!$G$5:$G$2162,'октябрь 2024'!$D$5:$D$2162,$B189,'октябрь 2024'!$J$5:$J$2162,H$1)</f>
        <v>0</v>
      </c>
      <c r="I189" s="80">
        <f>SUMIFS('октябрь 2024'!$G$5:$G$2162,'октябрь 2024'!$D$5:$D$2162,$B189,'октябрь 2024'!$J$5:$J$2162,I$1)</f>
        <v>0</v>
      </c>
      <c r="J189" s="80">
        <f>SUMIFS('октябрь 2024'!$G$5:$G$2162,'октябрь 2024'!$D$5:$D$2162,$B189,'октябрь 2024'!$J$5:$J$2162,J$1)</f>
        <v>0</v>
      </c>
      <c r="K189" s="80">
        <f>SUMIFS('октябрь 2024'!$G$5:$G$2162,'октябрь 2024'!$D$5:$D$2162,$B189,'октябрь 2024'!$J$5:$J$2162,K$1)</f>
        <v>0</v>
      </c>
      <c r="L189" s="80">
        <f>SUMIFS('октябрь 2024'!$G$5:$G$2162,'октябрь 2024'!$D$5:$D$2162,$B189,'октябрь 2024'!$J$5:$J$2162,L$1)</f>
        <v>0</v>
      </c>
      <c r="M189" s="80">
        <f>SUMIFS('октябрь 2024'!$G$5:$G$2162,'октябрь 2024'!$D$5:$D$2162,$B189,'октябрь 2024'!$J$5:$J$2162,M$1)</f>
        <v>0</v>
      </c>
      <c r="N189" s="80">
        <f>SUMIFS('октябрь 2024'!$G$5:$G$2162,'октябрь 2024'!$D$5:$D$2162,$B189,'октябрь 2024'!$J$5:$J$2162,N$1)</f>
        <v>0</v>
      </c>
      <c r="O189" s="80">
        <f>SUMIFS('октябрь 2024'!$G$5:$G$2162,'октябрь 2024'!$D$5:$D$2162,$B189,'октябрь 2024'!$J$5:$J$2162,O$1)</f>
        <v>0</v>
      </c>
      <c r="P189" s="80">
        <f>SUMIFS('октябрь 2024'!$G$5:$G$2162,'октябрь 2024'!$D$5:$D$2162,$B189,'октябрь 2024'!$J$5:$J$2162,P$1)</f>
        <v>0</v>
      </c>
      <c r="Q189" s="80">
        <f>SUMIFS('октябрь 2024'!$G$5:$G$2162,'октябрь 2024'!$D$5:$D$2162,$B189,'октябрь 2024'!$J$5:$J$2162,Q$1)</f>
        <v>0</v>
      </c>
      <c r="R189" s="80">
        <f>SUMIFS('октябрь 2024'!$G$5:$G$2162,'октябрь 2024'!$D$5:$D$2162,$B189,'октябрь 2024'!$J$5:$J$2162,R$1)</f>
        <v>0</v>
      </c>
      <c r="S189" s="80">
        <f>SUMIFS('октябрь 2024'!$G$5:$G$2162,'октябрь 2024'!$D$5:$D$2162,$B189,'октябрь 2024'!$J$5:$J$2162,S$1)</f>
        <v>0</v>
      </c>
      <c r="T189" s="80">
        <f>SUMIFS('октябрь 2024'!$G$5:$G$2162,'октябрь 2024'!$D$5:$D$2162,$B189,'октябрь 2024'!$J$5:$J$2162,T$1)</f>
        <v>0</v>
      </c>
      <c r="U189" s="80">
        <f>SUMIFS('октябрь 2024'!$G$5:$G$2162,'октябрь 2024'!$D$5:$D$2162,$B189,'октябрь 2024'!$J$5:$J$2162,U$1)</f>
        <v>0</v>
      </c>
      <c r="V189" s="80">
        <f>SUMIFS('октябрь 2024'!$G$5:$G$2162,'октябрь 2024'!$D$5:$D$2162,$B189,'октябрь 2024'!$J$5:$J$2162,V$1)</f>
        <v>0</v>
      </c>
      <c r="W189" s="80">
        <f>SUMIFS('октябрь 2024'!$G$5:$G$2162,'октябрь 2024'!$D$5:$D$2162,$B189,'октябрь 2024'!$J$5:$J$2162,W$1)</f>
        <v>0</v>
      </c>
      <c r="X189" s="80">
        <f>SUMIFS('октябрь 2024'!$G$5:$G$2162,'октябрь 2024'!$D$5:$D$2162,$B189,'октябрь 2024'!$J$5:$J$2162,X$1)</f>
        <v>0</v>
      </c>
      <c r="Y189" s="80">
        <f>SUMIFS('октябрь 2024'!$G$5:$G$2162,'октябрь 2024'!$D$5:$D$2162,$B189,'октябрь 2024'!$J$5:$J$2162,Y$1)</f>
        <v>0</v>
      </c>
      <c r="Z189" s="80">
        <f>SUMIFS('октябрь 2024'!$G$5:$G$2162,'октябрь 2024'!$D$5:$D$2162,$B189,'октябрь 2024'!$J$5:$J$2162,Z$1)</f>
        <v>0</v>
      </c>
      <c r="AA189" s="80">
        <f>SUMIFS('октябрь 2024'!$G$5:$G$2162,'октябрь 2024'!$D$5:$D$2162,$B189,'октябрь 2024'!$J$5:$J$2162,AA$1)</f>
        <v>0</v>
      </c>
      <c r="AB189" s="80">
        <f>SUMIFS('октябрь 2024'!$G$5:$G$2162,'октябрь 2024'!$D$5:$D$2162,$B189,'октябрь 2024'!$J$5:$J$2162,AB$1)</f>
        <v>0</v>
      </c>
      <c r="AC189" s="80">
        <f>SUMIFS('октябрь 2024'!$G$5:$G$2162,'октябрь 2024'!$D$5:$D$2162,$B189,'октябрь 2024'!$J$5:$J$2162,AC$1)</f>
        <v>0</v>
      </c>
      <c r="AD189" s="80">
        <f>SUMIFS('октябрь 2024'!$G$5:$G$2162,'октябрь 2024'!$D$5:$D$2162,$B189,'октябрь 2024'!$J$5:$J$2162,AD$1)</f>
        <v>0</v>
      </c>
      <c r="AE189" s="80">
        <f>SUMIFS('октябрь 2024'!$G$5:$G$2162,'октябрь 2024'!$D$5:$D$2162,$B189,'октябрь 2024'!$J$5:$J$2162,AE$1)</f>
        <v>0</v>
      </c>
      <c r="AF189" s="80">
        <f>SUMIFS('октябрь 2024'!$G$5:$G$2162,'октябрь 2024'!$D$5:$D$2162,$B189,'октябрь 2024'!$J$5:$J$2162,AF$1)</f>
        <v>0</v>
      </c>
      <c r="AG189" s="80">
        <f>SUMIFS('октябрь 2024'!$G$5:$G$2162,'октябрь 2024'!$D$5:$D$2162,$B189,'октябрь 2024'!$J$5:$J$2162,AG$1)</f>
        <v>0</v>
      </c>
      <c r="AH189" s="80">
        <f>SUMIFS('октябрь 2024'!$G$5:$G$2162,'октябрь 2024'!$D$5:$D$2162,$B189,'октябрь 2024'!$J$5:$J$2162,AH$1)</f>
        <v>0</v>
      </c>
      <c r="AI189" s="87"/>
    </row>
    <row r="190" spans="2:35" ht="15" hidden="1" customHeight="1" x14ac:dyDescent="0.25">
      <c r="B190" s="89"/>
      <c r="C190" s="88"/>
      <c r="D190" s="80">
        <f>SUMIFS('октябрь 2024'!$G$5:$G$2162,'октябрь 2024'!$D$5:$D$2162,$B190,'октябрь 2024'!$J$5:$J$2162,D$1)</f>
        <v>0</v>
      </c>
      <c r="E190" s="80">
        <f>SUMIFS('октябрь 2024'!$G$5:$G$2162,'октябрь 2024'!$D$5:$D$2162,$B190,'октябрь 2024'!$J$5:$J$2162,E$1)</f>
        <v>0</v>
      </c>
      <c r="F190" s="80">
        <f>SUMIFS('октябрь 2024'!$G$5:$G$2162,'октябрь 2024'!$D$5:$D$2162,$B190,'октябрь 2024'!$J$5:$J$2162,F$1)</f>
        <v>0</v>
      </c>
      <c r="G190" s="80">
        <f>SUMIFS('октябрь 2024'!$G$5:$G$2162,'октябрь 2024'!$D$5:$D$2162,$B190,'октябрь 2024'!$J$5:$J$2162,G$1)</f>
        <v>0</v>
      </c>
      <c r="H190" s="80">
        <f>SUMIFS('октябрь 2024'!$G$5:$G$2162,'октябрь 2024'!$D$5:$D$2162,$B190,'октябрь 2024'!$J$5:$J$2162,H$1)</f>
        <v>0</v>
      </c>
      <c r="I190" s="80">
        <f>SUMIFS('октябрь 2024'!$G$5:$G$2162,'октябрь 2024'!$D$5:$D$2162,$B190,'октябрь 2024'!$J$5:$J$2162,I$1)</f>
        <v>0</v>
      </c>
      <c r="J190" s="80">
        <f>SUMIFS('октябрь 2024'!$G$5:$G$2162,'октябрь 2024'!$D$5:$D$2162,$B190,'октябрь 2024'!$J$5:$J$2162,J$1)</f>
        <v>0</v>
      </c>
      <c r="K190" s="80">
        <f>SUMIFS('октябрь 2024'!$G$5:$G$2162,'октябрь 2024'!$D$5:$D$2162,$B190,'октябрь 2024'!$J$5:$J$2162,K$1)</f>
        <v>0</v>
      </c>
      <c r="L190" s="80">
        <f>SUMIFS('октябрь 2024'!$G$5:$G$2162,'октябрь 2024'!$D$5:$D$2162,$B190,'октябрь 2024'!$J$5:$J$2162,L$1)</f>
        <v>0</v>
      </c>
      <c r="M190" s="80">
        <f>SUMIFS('октябрь 2024'!$G$5:$G$2162,'октябрь 2024'!$D$5:$D$2162,$B190,'октябрь 2024'!$J$5:$J$2162,M$1)</f>
        <v>0</v>
      </c>
      <c r="N190" s="80">
        <f>SUMIFS('октябрь 2024'!$G$5:$G$2162,'октябрь 2024'!$D$5:$D$2162,$B190,'октябрь 2024'!$J$5:$J$2162,N$1)</f>
        <v>0</v>
      </c>
      <c r="O190" s="80">
        <f>SUMIFS('октябрь 2024'!$G$5:$G$2162,'октябрь 2024'!$D$5:$D$2162,$B190,'октябрь 2024'!$J$5:$J$2162,O$1)</f>
        <v>0</v>
      </c>
      <c r="P190" s="80">
        <f>SUMIFS('октябрь 2024'!$G$5:$G$2162,'октябрь 2024'!$D$5:$D$2162,$B190,'октябрь 2024'!$J$5:$J$2162,P$1)</f>
        <v>0</v>
      </c>
      <c r="Q190" s="80">
        <f>SUMIFS('октябрь 2024'!$G$5:$G$2162,'октябрь 2024'!$D$5:$D$2162,$B190,'октябрь 2024'!$J$5:$J$2162,Q$1)</f>
        <v>0</v>
      </c>
      <c r="R190" s="80">
        <f>SUMIFS('октябрь 2024'!$G$5:$G$2162,'октябрь 2024'!$D$5:$D$2162,$B190,'октябрь 2024'!$J$5:$J$2162,R$1)</f>
        <v>0</v>
      </c>
      <c r="S190" s="80">
        <f>SUMIFS('октябрь 2024'!$G$5:$G$2162,'октябрь 2024'!$D$5:$D$2162,$B190,'октябрь 2024'!$J$5:$J$2162,S$1)</f>
        <v>0</v>
      </c>
      <c r="T190" s="80">
        <f>SUMIFS('октябрь 2024'!$G$5:$G$2162,'октябрь 2024'!$D$5:$D$2162,$B190,'октябрь 2024'!$J$5:$J$2162,T$1)</f>
        <v>0</v>
      </c>
      <c r="U190" s="80">
        <f>SUMIFS('октябрь 2024'!$G$5:$G$2162,'октябрь 2024'!$D$5:$D$2162,$B190,'октябрь 2024'!$J$5:$J$2162,U$1)</f>
        <v>0</v>
      </c>
      <c r="V190" s="80">
        <f>SUMIFS('октябрь 2024'!$G$5:$G$2162,'октябрь 2024'!$D$5:$D$2162,$B190,'октябрь 2024'!$J$5:$J$2162,V$1)</f>
        <v>0</v>
      </c>
      <c r="W190" s="80">
        <f>SUMIFS('октябрь 2024'!$G$5:$G$2162,'октябрь 2024'!$D$5:$D$2162,$B190,'октябрь 2024'!$J$5:$J$2162,W$1)</f>
        <v>0</v>
      </c>
      <c r="X190" s="80">
        <f>SUMIFS('октябрь 2024'!$G$5:$G$2162,'октябрь 2024'!$D$5:$D$2162,$B190,'октябрь 2024'!$J$5:$J$2162,X$1)</f>
        <v>0</v>
      </c>
      <c r="Y190" s="80">
        <f>SUMIFS('октябрь 2024'!$G$5:$G$2162,'октябрь 2024'!$D$5:$D$2162,$B190,'октябрь 2024'!$J$5:$J$2162,Y$1)</f>
        <v>0</v>
      </c>
      <c r="Z190" s="80">
        <f>SUMIFS('октябрь 2024'!$G$5:$G$2162,'октябрь 2024'!$D$5:$D$2162,$B190,'октябрь 2024'!$J$5:$J$2162,Z$1)</f>
        <v>0</v>
      </c>
      <c r="AA190" s="80">
        <f>SUMIFS('октябрь 2024'!$G$5:$G$2162,'октябрь 2024'!$D$5:$D$2162,$B190,'октябрь 2024'!$J$5:$J$2162,AA$1)</f>
        <v>0</v>
      </c>
      <c r="AB190" s="80">
        <f>SUMIFS('октябрь 2024'!$G$5:$G$2162,'октябрь 2024'!$D$5:$D$2162,$B190,'октябрь 2024'!$J$5:$J$2162,AB$1)</f>
        <v>0</v>
      </c>
      <c r="AC190" s="80">
        <f>SUMIFS('октябрь 2024'!$G$5:$G$2162,'октябрь 2024'!$D$5:$D$2162,$B190,'октябрь 2024'!$J$5:$J$2162,AC$1)</f>
        <v>0</v>
      </c>
      <c r="AD190" s="80">
        <f>SUMIFS('октябрь 2024'!$G$5:$G$2162,'октябрь 2024'!$D$5:$D$2162,$B190,'октябрь 2024'!$J$5:$J$2162,AD$1)</f>
        <v>0</v>
      </c>
      <c r="AE190" s="80">
        <f>SUMIFS('октябрь 2024'!$G$5:$G$2162,'октябрь 2024'!$D$5:$D$2162,$B190,'октябрь 2024'!$J$5:$J$2162,AE$1)</f>
        <v>0</v>
      </c>
      <c r="AF190" s="80">
        <f>SUMIFS('октябрь 2024'!$G$5:$G$2162,'октябрь 2024'!$D$5:$D$2162,$B190,'октябрь 2024'!$J$5:$J$2162,AF$1)</f>
        <v>0</v>
      </c>
      <c r="AG190" s="80">
        <f>SUMIFS('октябрь 2024'!$G$5:$G$2162,'октябрь 2024'!$D$5:$D$2162,$B190,'октябрь 2024'!$J$5:$J$2162,AG$1)</f>
        <v>0</v>
      </c>
      <c r="AH190" s="80">
        <f>SUMIFS('октябрь 2024'!$G$5:$G$2162,'октябрь 2024'!$D$5:$D$2162,$B190,'октябрь 2024'!$J$5:$J$2162,AH$1)</f>
        <v>0</v>
      </c>
      <c r="AI190" s="87"/>
    </row>
    <row r="191" spans="2:35" ht="15" hidden="1" customHeight="1" x14ac:dyDescent="0.25">
      <c r="B191" s="89"/>
      <c r="C191" s="88"/>
      <c r="D191" s="80">
        <f>SUMIFS('октябрь 2024'!$G$5:$G$2162,'октябрь 2024'!$D$5:$D$2162,$B191,'октябрь 2024'!$J$5:$J$2162,D$1)</f>
        <v>0</v>
      </c>
      <c r="E191" s="80">
        <f>SUMIFS('октябрь 2024'!$G$5:$G$2162,'октябрь 2024'!$D$5:$D$2162,$B191,'октябрь 2024'!$J$5:$J$2162,E$1)</f>
        <v>0</v>
      </c>
      <c r="F191" s="80">
        <f>SUMIFS('октябрь 2024'!$G$5:$G$2162,'октябрь 2024'!$D$5:$D$2162,$B191,'октябрь 2024'!$J$5:$J$2162,F$1)</f>
        <v>0</v>
      </c>
      <c r="G191" s="80">
        <f>SUMIFS('октябрь 2024'!$G$5:$G$2162,'октябрь 2024'!$D$5:$D$2162,$B191,'октябрь 2024'!$J$5:$J$2162,G$1)</f>
        <v>0</v>
      </c>
      <c r="H191" s="80">
        <f>SUMIFS('октябрь 2024'!$G$5:$G$2162,'октябрь 2024'!$D$5:$D$2162,$B191,'октябрь 2024'!$J$5:$J$2162,H$1)</f>
        <v>0</v>
      </c>
      <c r="I191" s="80">
        <f>SUMIFS('октябрь 2024'!$G$5:$G$2162,'октябрь 2024'!$D$5:$D$2162,$B191,'октябрь 2024'!$J$5:$J$2162,I$1)</f>
        <v>0</v>
      </c>
      <c r="J191" s="80">
        <f>SUMIFS('октябрь 2024'!$G$5:$G$2162,'октябрь 2024'!$D$5:$D$2162,$B191,'октябрь 2024'!$J$5:$J$2162,J$1)</f>
        <v>0</v>
      </c>
      <c r="K191" s="80">
        <f>SUMIFS('октябрь 2024'!$G$5:$G$2162,'октябрь 2024'!$D$5:$D$2162,$B191,'октябрь 2024'!$J$5:$J$2162,K$1)</f>
        <v>0</v>
      </c>
      <c r="L191" s="80">
        <f>SUMIFS('октябрь 2024'!$G$5:$G$2162,'октябрь 2024'!$D$5:$D$2162,$B191,'октябрь 2024'!$J$5:$J$2162,L$1)</f>
        <v>0</v>
      </c>
      <c r="M191" s="80">
        <f>SUMIFS('октябрь 2024'!$G$5:$G$2162,'октябрь 2024'!$D$5:$D$2162,$B191,'октябрь 2024'!$J$5:$J$2162,M$1)</f>
        <v>0</v>
      </c>
      <c r="N191" s="80">
        <f>SUMIFS('октябрь 2024'!$G$5:$G$2162,'октябрь 2024'!$D$5:$D$2162,$B191,'октябрь 2024'!$J$5:$J$2162,N$1)</f>
        <v>0</v>
      </c>
      <c r="O191" s="80">
        <f>SUMIFS('октябрь 2024'!$G$5:$G$2162,'октябрь 2024'!$D$5:$D$2162,$B191,'октябрь 2024'!$J$5:$J$2162,O$1)</f>
        <v>0</v>
      </c>
      <c r="P191" s="80">
        <f>SUMIFS('октябрь 2024'!$G$5:$G$2162,'октябрь 2024'!$D$5:$D$2162,$B191,'октябрь 2024'!$J$5:$J$2162,P$1)</f>
        <v>0</v>
      </c>
      <c r="Q191" s="80">
        <f>SUMIFS('октябрь 2024'!$G$5:$G$2162,'октябрь 2024'!$D$5:$D$2162,$B191,'октябрь 2024'!$J$5:$J$2162,Q$1)</f>
        <v>0</v>
      </c>
      <c r="R191" s="80">
        <f>SUMIFS('октябрь 2024'!$G$5:$G$2162,'октябрь 2024'!$D$5:$D$2162,$B191,'октябрь 2024'!$J$5:$J$2162,R$1)</f>
        <v>0</v>
      </c>
      <c r="S191" s="80">
        <f>SUMIFS('октябрь 2024'!$G$5:$G$2162,'октябрь 2024'!$D$5:$D$2162,$B191,'октябрь 2024'!$J$5:$J$2162,S$1)</f>
        <v>0</v>
      </c>
      <c r="T191" s="80">
        <f>SUMIFS('октябрь 2024'!$G$5:$G$2162,'октябрь 2024'!$D$5:$D$2162,$B191,'октябрь 2024'!$J$5:$J$2162,T$1)</f>
        <v>0</v>
      </c>
      <c r="U191" s="80">
        <f>SUMIFS('октябрь 2024'!$G$5:$G$2162,'октябрь 2024'!$D$5:$D$2162,$B191,'октябрь 2024'!$J$5:$J$2162,U$1)</f>
        <v>0</v>
      </c>
      <c r="V191" s="80">
        <f>SUMIFS('октябрь 2024'!$G$5:$G$2162,'октябрь 2024'!$D$5:$D$2162,$B191,'октябрь 2024'!$J$5:$J$2162,V$1)</f>
        <v>0</v>
      </c>
      <c r="W191" s="80">
        <f>SUMIFS('октябрь 2024'!$G$5:$G$2162,'октябрь 2024'!$D$5:$D$2162,$B191,'октябрь 2024'!$J$5:$J$2162,W$1)</f>
        <v>0</v>
      </c>
      <c r="X191" s="80">
        <f>SUMIFS('октябрь 2024'!$G$5:$G$2162,'октябрь 2024'!$D$5:$D$2162,$B191,'октябрь 2024'!$J$5:$J$2162,X$1)</f>
        <v>0</v>
      </c>
      <c r="Y191" s="80">
        <f>SUMIFS('октябрь 2024'!$G$5:$G$2162,'октябрь 2024'!$D$5:$D$2162,$B191,'октябрь 2024'!$J$5:$J$2162,Y$1)</f>
        <v>0</v>
      </c>
      <c r="Z191" s="80">
        <f>SUMIFS('октябрь 2024'!$G$5:$G$2162,'октябрь 2024'!$D$5:$D$2162,$B191,'октябрь 2024'!$J$5:$J$2162,Z$1)</f>
        <v>0</v>
      </c>
      <c r="AA191" s="80">
        <f>SUMIFS('октябрь 2024'!$G$5:$G$2162,'октябрь 2024'!$D$5:$D$2162,$B191,'октябрь 2024'!$J$5:$J$2162,AA$1)</f>
        <v>0</v>
      </c>
      <c r="AB191" s="80">
        <f>SUMIFS('октябрь 2024'!$G$5:$G$2162,'октябрь 2024'!$D$5:$D$2162,$B191,'октябрь 2024'!$J$5:$J$2162,AB$1)</f>
        <v>0</v>
      </c>
      <c r="AC191" s="80">
        <f>SUMIFS('октябрь 2024'!$G$5:$G$2162,'октябрь 2024'!$D$5:$D$2162,$B191,'октябрь 2024'!$J$5:$J$2162,AC$1)</f>
        <v>0</v>
      </c>
      <c r="AD191" s="80">
        <f>SUMIFS('октябрь 2024'!$G$5:$G$2162,'октябрь 2024'!$D$5:$D$2162,$B191,'октябрь 2024'!$J$5:$J$2162,AD$1)</f>
        <v>0</v>
      </c>
      <c r="AE191" s="80">
        <f>SUMIFS('октябрь 2024'!$G$5:$G$2162,'октябрь 2024'!$D$5:$D$2162,$B191,'октябрь 2024'!$J$5:$J$2162,AE$1)</f>
        <v>0</v>
      </c>
      <c r="AF191" s="80">
        <f>SUMIFS('октябрь 2024'!$G$5:$G$2162,'октябрь 2024'!$D$5:$D$2162,$B191,'октябрь 2024'!$J$5:$J$2162,AF$1)</f>
        <v>0</v>
      </c>
      <c r="AG191" s="80">
        <f>SUMIFS('октябрь 2024'!$G$5:$G$2162,'октябрь 2024'!$D$5:$D$2162,$B191,'октябрь 2024'!$J$5:$J$2162,AG$1)</f>
        <v>0</v>
      </c>
      <c r="AH191" s="80">
        <f>SUMIFS('октябрь 2024'!$G$5:$G$2162,'октябрь 2024'!$D$5:$D$2162,$B191,'октябрь 2024'!$J$5:$J$2162,AH$1)</f>
        <v>0</v>
      </c>
      <c r="AI191" s="87"/>
    </row>
    <row r="192" spans="2:35" ht="15" hidden="1" customHeight="1" x14ac:dyDescent="0.25">
      <c r="B192" s="89"/>
      <c r="C192" s="88"/>
      <c r="D192" s="80">
        <f>SUMIFS('октябрь 2024'!$G$5:$G$2162,'октябрь 2024'!$D$5:$D$2162,$B192,'октябрь 2024'!$J$5:$J$2162,D$1)</f>
        <v>0</v>
      </c>
      <c r="E192" s="80">
        <f>SUMIFS('октябрь 2024'!$G$5:$G$2162,'октябрь 2024'!$D$5:$D$2162,$B192,'октябрь 2024'!$J$5:$J$2162,E$1)</f>
        <v>0</v>
      </c>
      <c r="F192" s="80">
        <f>SUMIFS('октябрь 2024'!$G$5:$G$2162,'октябрь 2024'!$D$5:$D$2162,$B192,'октябрь 2024'!$J$5:$J$2162,F$1)</f>
        <v>0</v>
      </c>
      <c r="G192" s="80">
        <f>SUMIFS('октябрь 2024'!$G$5:$G$2162,'октябрь 2024'!$D$5:$D$2162,$B192,'октябрь 2024'!$J$5:$J$2162,G$1)</f>
        <v>0</v>
      </c>
      <c r="H192" s="80">
        <f>SUMIFS('октябрь 2024'!$G$5:$G$2162,'октябрь 2024'!$D$5:$D$2162,$B192,'октябрь 2024'!$J$5:$J$2162,H$1)</f>
        <v>0</v>
      </c>
      <c r="I192" s="80">
        <f>SUMIFS('октябрь 2024'!$G$5:$G$2162,'октябрь 2024'!$D$5:$D$2162,$B192,'октябрь 2024'!$J$5:$J$2162,I$1)</f>
        <v>0</v>
      </c>
      <c r="J192" s="80">
        <f>SUMIFS('октябрь 2024'!$G$5:$G$2162,'октябрь 2024'!$D$5:$D$2162,$B192,'октябрь 2024'!$J$5:$J$2162,J$1)</f>
        <v>0</v>
      </c>
      <c r="K192" s="80">
        <f>SUMIFS('октябрь 2024'!$G$5:$G$2162,'октябрь 2024'!$D$5:$D$2162,$B192,'октябрь 2024'!$J$5:$J$2162,K$1)</f>
        <v>0</v>
      </c>
      <c r="L192" s="80">
        <f>SUMIFS('октябрь 2024'!$G$5:$G$2162,'октябрь 2024'!$D$5:$D$2162,$B192,'октябрь 2024'!$J$5:$J$2162,L$1)</f>
        <v>0</v>
      </c>
      <c r="M192" s="80">
        <f>SUMIFS('октябрь 2024'!$G$5:$G$2162,'октябрь 2024'!$D$5:$D$2162,$B192,'октябрь 2024'!$J$5:$J$2162,M$1)</f>
        <v>0</v>
      </c>
      <c r="N192" s="80">
        <f>SUMIFS('октябрь 2024'!$G$5:$G$2162,'октябрь 2024'!$D$5:$D$2162,$B192,'октябрь 2024'!$J$5:$J$2162,N$1)</f>
        <v>0</v>
      </c>
      <c r="O192" s="80">
        <f>SUMIFS('октябрь 2024'!$G$5:$G$2162,'октябрь 2024'!$D$5:$D$2162,$B192,'октябрь 2024'!$J$5:$J$2162,O$1)</f>
        <v>0</v>
      </c>
      <c r="P192" s="80">
        <f>SUMIFS('октябрь 2024'!$G$5:$G$2162,'октябрь 2024'!$D$5:$D$2162,$B192,'октябрь 2024'!$J$5:$J$2162,P$1)</f>
        <v>0</v>
      </c>
      <c r="Q192" s="80">
        <f>SUMIFS('октябрь 2024'!$G$5:$G$2162,'октябрь 2024'!$D$5:$D$2162,$B192,'октябрь 2024'!$J$5:$J$2162,Q$1)</f>
        <v>0</v>
      </c>
      <c r="R192" s="80">
        <f>SUMIFS('октябрь 2024'!$G$5:$G$2162,'октябрь 2024'!$D$5:$D$2162,$B192,'октябрь 2024'!$J$5:$J$2162,R$1)</f>
        <v>0</v>
      </c>
      <c r="S192" s="80">
        <f>SUMIFS('октябрь 2024'!$G$5:$G$2162,'октябрь 2024'!$D$5:$D$2162,$B192,'октябрь 2024'!$J$5:$J$2162,S$1)</f>
        <v>0</v>
      </c>
      <c r="T192" s="80">
        <f>SUMIFS('октябрь 2024'!$G$5:$G$2162,'октябрь 2024'!$D$5:$D$2162,$B192,'октябрь 2024'!$J$5:$J$2162,T$1)</f>
        <v>0</v>
      </c>
      <c r="U192" s="80">
        <f>SUMIFS('октябрь 2024'!$G$5:$G$2162,'октябрь 2024'!$D$5:$D$2162,$B192,'октябрь 2024'!$J$5:$J$2162,U$1)</f>
        <v>0</v>
      </c>
      <c r="V192" s="80">
        <f>SUMIFS('октябрь 2024'!$G$5:$G$2162,'октябрь 2024'!$D$5:$D$2162,$B192,'октябрь 2024'!$J$5:$J$2162,V$1)</f>
        <v>0</v>
      </c>
      <c r="W192" s="80">
        <f>SUMIFS('октябрь 2024'!$G$5:$G$2162,'октябрь 2024'!$D$5:$D$2162,$B192,'октябрь 2024'!$J$5:$J$2162,W$1)</f>
        <v>0</v>
      </c>
      <c r="X192" s="80">
        <f>SUMIFS('октябрь 2024'!$G$5:$G$2162,'октябрь 2024'!$D$5:$D$2162,$B192,'октябрь 2024'!$J$5:$J$2162,X$1)</f>
        <v>0</v>
      </c>
      <c r="Y192" s="80">
        <f>SUMIFS('октябрь 2024'!$G$5:$G$2162,'октябрь 2024'!$D$5:$D$2162,$B192,'октябрь 2024'!$J$5:$J$2162,Y$1)</f>
        <v>0</v>
      </c>
      <c r="Z192" s="80">
        <f>SUMIFS('октябрь 2024'!$G$5:$G$2162,'октябрь 2024'!$D$5:$D$2162,$B192,'октябрь 2024'!$J$5:$J$2162,Z$1)</f>
        <v>0</v>
      </c>
      <c r="AA192" s="80">
        <f>SUMIFS('октябрь 2024'!$G$5:$G$2162,'октябрь 2024'!$D$5:$D$2162,$B192,'октябрь 2024'!$J$5:$J$2162,AA$1)</f>
        <v>0</v>
      </c>
      <c r="AB192" s="80">
        <f>SUMIFS('октябрь 2024'!$G$5:$G$2162,'октябрь 2024'!$D$5:$D$2162,$B192,'октябрь 2024'!$J$5:$J$2162,AB$1)</f>
        <v>0</v>
      </c>
      <c r="AC192" s="80">
        <f>SUMIFS('октябрь 2024'!$G$5:$G$2162,'октябрь 2024'!$D$5:$D$2162,$B192,'октябрь 2024'!$J$5:$J$2162,AC$1)</f>
        <v>0</v>
      </c>
      <c r="AD192" s="80">
        <f>SUMIFS('октябрь 2024'!$G$5:$G$2162,'октябрь 2024'!$D$5:$D$2162,$B192,'октябрь 2024'!$J$5:$J$2162,AD$1)</f>
        <v>0</v>
      </c>
      <c r="AE192" s="80">
        <f>SUMIFS('октябрь 2024'!$G$5:$G$2162,'октябрь 2024'!$D$5:$D$2162,$B192,'октябрь 2024'!$J$5:$J$2162,AE$1)</f>
        <v>0</v>
      </c>
      <c r="AF192" s="80">
        <f>SUMIFS('октябрь 2024'!$G$5:$G$2162,'октябрь 2024'!$D$5:$D$2162,$B192,'октябрь 2024'!$J$5:$J$2162,AF$1)</f>
        <v>0</v>
      </c>
      <c r="AG192" s="80">
        <f>SUMIFS('октябрь 2024'!$G$5:$G$2162,'октябрь 2024'!$D$5:$D$2162,$B192,'октябрь 2024'!$J$5:$J$2162,AG$1)</f>
        <v>0</v>
      </c>
      <c r="AH192" s="80">
        <f>SUMIFS('октябрь 2024'!$G$5:$G$2162,'октябрь 2024'!$D$5:$D$2162,$B192,'октябрь 2024'!$J$5:$J$2162,AH$1)</f>
        <v>0</v>
      </c>
      <c r="AI192" s="87"/>
    </row>
    <row r="193" spans="2:35" ht="15" hidden="1" customHeight="1" x14ac:dyDescent="0.25">
      <c r="B193" s="89"/>
      <c r="C193" s="88"/>
      <c r="D193" s="80">
        <f>SUMIFS('октябрь 2024'!$G$5:$G$2162,'октябрь 2024'!$D$5:$D$2162,$B193,'октябрь 2024'!$J$5:$J$2162,D$1)</f>
        <v>0</v>
      </c>
      <c r="E193" s="80">
        <f>SUMIFS('октябрь 2024'!$G$5:$G$2162,'октябрь 2024'!$D$5:$D$2162,$B193,'октябрь 2024'!$J$5:$J$2162,E$1)</f>
        <v>0</v>
      </c>
      <c r="F193" s="80">
        <f>SUMIFS('октябрь 2024'!$G$5:$G$2162,'октябрь 2024'!$D$5:$D$2162,$B193,'октябрь 2024'!$J$5:$J$2162,F$1)</f>
        <v>0</v>
      </c>
      <c r="G193" s="80">
        <f>SUMIFS('октябрь 2024'!$G$5:$G$2162,'октябрь 2024'!$D$5:$D$2162,$B193,'октябрь 2024'!$J$5:$J$2162,G$1)</f>
        <v>0</v>
      </c>
      <c r="H193" s="80">
        <f>SUMIFS('октябрь 2024'!$G$5:$G$2162,'октябрь 2024'!$D$5:$D$2162,$B193,'октябрь 2024'!$J$5:$J$2162,H$1)</f>
        <v>0</v>
      </c>
      <c r="I193" s="80">
        <f>SUMIFS('октябрь 2024'!$G$5:$G$2162,'октябрь 2024'!$D$5:$D$2162,$B193,'октябрь 2024'!$J$5:$J$2162,I$1)</f>
        <v>0</v>
      </c>
      <c r="J193" s="80">
        <f>SUMIFS('октябрь 2024'!$G$5:$G$2162,'октябрь 2024'!$D$5:$D$2162,$B193,'октябрь 2024'!$J$5:$J$2162,J$1)</f>
        <v>0</v>
      </c>
      <c r="K193" s="80">
        <f>SUMIFS('октябрь 2024'!$G$5:$G$2162,'октябрь 2024'!$D$5:$D$2162,$B193,'октябрь 2024'!$J$5:$J$2162,K$1)</f>
        <v>0</v>
      </c>
      <c r="L193" s="80">
        <f>SUMIFS('октябрь 2024'!$G$5:$G$2162,'октябрь 2024'!$D$5:$D$2162,$B193,'октябрь 2024'!$J$5:$J$2162,L$1)</f>
        <v>0</v>
      </c>
      <c r="M193" s="80">
        <f>SUMIFS('октябрь 2024'!$G$5:$G$2162,'октябрь 2024'!$D$5:$D$2162,$B193,'октябрь 2024'!$J$5:$J$2162,M$1)</f>
        <v>0</v>
      </c>
      <c r="N193" s="80">
        <f>SUMIFS('октябрь 2024'!$G$5:$G$2162,'октябрь 2024'!$D$5:$D$2162,$B193,'октябрь 2024'!$J$5:$J$2162,N$1)</f>
        <v>0</v>
      </c>
      <c r="O193" s="80">
        <f>SUMIFS('октябрь 2024'!$G$5:$G$2162,'октябрь 2024'!$D$5:$D$2162,$B193,'октябрь 2024'!$J$5:$J$2162,O$1)</f>
        <v>0</v>
      </c>
      <c r="P193" s="80">
        <f>SUMIFS('октябрь 2024'!$G$5:$G$2162,'октябрь 2024'!$D$5:$D$2162,$B193,'октябрь 2024'!$J$5:$J$2162,P$1)</f>
        <v>0</v>
      </c>
      <c r="Q193" s="80">
        <f>SUMIFS('октябрь 2024'!$G$5:$G$2162,'октябрь 2024'!$D$5:$D$2162,$B193,'октябрь 2024'!$J$5:$J$2162,Q$1)</f>
        <v>0</v>
      </c>
      <c r="R193" s="80">
        <f>SUMIFS('октябрь 2024'!$G$5:$G$2162,'октябрь 2024'!$D$5:$D$2162,$B193,'октябрь 2024'!$J$5:$J$2162,R$1)</f>
        <v>0</v>
      </c>
      <c r="S193" s="80">
        <f>SUMIFS('октябрь 2024'!$G$5:$G$2162,'октябрь 2024'!$D$5:$D$2162,$B193,'октябрь 2024'!$J$5:$J$2162,S$1)</f>
        <v>0</v>
      </c>
      <c r="T193" s="80">
        <f>SUMIFS('октябрь 2024'!$G$5:$G$2162,'октябрь 2024'!$D$5:$D$2162,$B193,'октябрь 2024'!$J$5:$J$2162,T$1)</f>
        <v>0</v>
      </c>
      <c r="U193" s="80">
        <f>SUMIFS('октябрь 2024'!$G$5:$G$2162,'октябрь 2024'!$D$5:$D$2162,$B193,'октябрь 2024'!$J$5:$J$2162,U$1)</f>
        <v>0</v>
      </c>
      <c r="V193" s="80">
        <f>SUMIFS('октябрь 2024'!$G$5:$G$2162,'октябрь 2024'!$D$5:$D$2162,$B193,'октябрь 2024'!$J$5:$J$2162,V$1)</f>
        <v>0</v>
      </c>
      <c r="W193" s="80">
        <f>SUMIFS('октябрь 2024'!$G$5:$G$2162,'октябрь 2024'!$D$5:$D$2162,$B193,'октябрь 2024'!$J$5:$J$2162,W$1)</f>
        <v>0</v>
      </c>
      <c r="X193" s="80">
        <f>SUMIFS('октябрь 2024'!$G$5:$G$2162,'октябрь 2024'!$D$5:$D$2162,$B193,'октябрь 2024'!$J$5:$J$2162,X$1)</f>
        <v>0</v>
      </c>
      <c r="Y193" s="80">
        <f>SUMIFS('октябрь 2024'!$G$5:$G$2162,'октябрь 2024'!$D$5:$D$2162,$B193,'октябрь 2024'!$J$5:$J$2162,Y$1)</f>
        <v>0</v>
      </c>
      <c r="Z193" s="80">
        <f>SUMIFS('октябрь 2024'!$G$5:$G$2162,'октябрь 2024'!$D$5:$D$2162,$B193,'октябрь 2024'!$J$5:$J$2162,Z$1)</f>
        <v>0</v>
      </c>
      <c r="AA193" s="80">
        <f>SUMIFS('октябрь 2024'!$G$5:$G$2162,'октябрь 2024'!$D$5:$D$2162,$B193,'октябрь 2024'!$J$5:$J$2162,AA$1)</f>
        <v>0</v>
      </c>
      <c r="AB193" s="80">
        <f>SUMIFS('октябрь 2024'!$G$5:$G$2162,'октябрь 2024'!$D$5:$D$2162,$B193,'октябрь 2024'!$J$5:$J$2162,AB$1)</f>
        <v>0</v>
      </c>
      <c r="AC193" s="80">
        <f>SUMIFS('октябрь 2024'!$G$5:$G$2162,'октябрь 2024'!$D$5:$D$2162,$B193,'октябрь 2024'!$J$5:$J$2162,AC$1)</f>
        <v>0</v>
      </c>
      <c r="AD193" s="80">
        <f>SUMIFS('октябрь 2024'!$G$5:$G$2162,'октябрь 2024'!$D$5:$D$2162,$B193,'октябрь 2024'!$J$5:$J$2162,AD$1)</f>
        <v>0</v>
      </c>
      <c r="AE193" s="80">
        <f>SUMIFS('октябрь 2024'!$G$5:$G$2162,'октябрь 2024'!$D$5:$D$2162,$B193,'октябрь 2024'!$J$5:$J$2162,AE$1)</f>
        <v>0</v>
      </c>
      <c r="AF193" s="80">
        <f>SUMIFS('октябрь 2024'!$G$5:$G$2162,'октябрь 2024'!$D$5:$D$2162,$B193,'октябрь 2024'!$J$5:$J$2162,AF$1)</f>
        <v>0</v>
      </c>
      <c r="AG193" s="80">
        <f>SUMIFS('октябрь 2024'!$G$5:$G$2162,'октябрь 2024'!$D$5:$D$2162,$B193,'октябрь 2024'!$J$5:$J$2162,AG$1)</f>
        <v>0</v>
      </c>
      <c r="AH193" s="80">
        <f>SUMIFS('октябрь 2024'!$G$5:$G$2162,'октябрь 2024'!$D$5:$D$2162,$B193,'октябрь 2024'!$J$5:$J$2162,AH$1)</f>
        <v>0</v>
      </c>
      <c r="AI193" s="87"/>
    </row>
    <row r="194" spans="2:35" ht="15" hidden="1" customHeight="1" x14ac:dyDescent="0.25">
      <c r="B194" s="89"/>
      <c r="C194" s="88"/>
      <c r="D194" s="80">
        <f>SUMIFS('октябрь 2024'!$G$5:$G$2162,'октябрь 2024'!$D$5:$D$2162,$B194,'октябрь 2024'!$J$5:$J$2162,D$1)</f>
        <v>0</v>
      </c>
      <c r="E194" s="80">
        <f>SUMIFS('октябрь 2024'!$G$5:$G$2162,'октябрь 2024'!$D$5:$D$2162,$B194,'октябрь 2024'!$J$5:$J$2162,E$1)</f>
        <v>0</v>
      </c>
      <c r="F194" s="80">
        <f>SUMIFS('октябрь 2024'!$G$5:$G$2162,'октябрь 2024'!$D$5:$D$2162,$B194,'октябрь 2024'!$J$5:$J$2162,F$1)</f>
        <v>0</v>
      </c>
      <c r="G194" s="80">
        <f>SUMIFS('октябрь 2024'!$G$5:$G$2162,'октябрь 2024'!$D$5:$D$2162,$B194,'октябрь 2024'!$J$5:$J$2162,G$1)</f>
        <v>0</v>
      </c>
      <c r="H194" s="80">
        <f>SUMIFS('октябрь 2024'!$G$5:$G$2162,'октябрь 2024'!$D$5:$D$2162,$B194,'октябрь 2024'!$J$5:$J$2162,H$1)</f>
        <v>0</v>
      </c>
      <c r="I194" s="80">
        <f>SUMIFS('октябрь 2024'!$G$5:$G$2162,'октябрь 2024'!$D$5:$D$2162,$B194,'октябрь 2024'!$J$5:$J$2162,I$1)</f>
        <v>0</v>
      </c>
      <c r="J194" s="80">
        <f>SUMIFS('октябрь 2024'!$G$5:$G$2162,'октябрь 2024'!$D$5:$D$2162,$B194,'октябрь 2024'!$J$5:$J$2162,J$1)</f>
        <v>0</v>
      </c>
      <c r="K194" s="80">
        <f>SUMIFS('октябрь 2024'!$G$5:$G$2162,'октябрь 2024'!$D$5:$D$2162,$B194,'октябрь 2024'!$J$5:$J$2162,K$1)</f>
        <v>0</v>
      </c>
      <c r="L194" s="80">
        <f>SUMIFS('октябрь 2024'!$G$5:$G$2162,'октябрь 2024'!$D$5:$D$2162,$B194,'октябрь 2024'!$J$5:$J$2162,L$1)</f>
        <v>0</v>
      </c>
      <c r="M194" s="80">
        <f>SUMIFS('октябрь 2024'!$G$5:$G$2162,'октябрь 2024'!$D$5:$D$2162,$B194,'октябрь 2024'!$J$5:$J$2162,M$1)</f>
        <v>0</v>
      </c>
      <c r="N194" s="80">
        <f>SUMIFS('октябрь 2024'!$G$5:$G$2162,'октябрь 2024'!$D$5:$D$2162,$B194,'октябрь 2024'!$J$5:$J$2162,N$1)</f>
        <v>0</v>
      </c>
      <c r="O194" s="80">
        <f>SUMIFS('октябрь 2024'!$G$5:$G$2162,'октябрь 2024'!$D$5:$D$2162,$B194,'октябрь 2024'!$J$5:$J$2162,O$1)</f>
        <v>0</v>
      </c>
      <c r="P194" s="80">
        <f>SUMIFS('октябрь 2024'!$G$5:$G$2162,'октябрь 2024'!$D$5:$D$2162,$B194,'октябрь 2024'!$J$5:$J$2162,P$1)</f>
        <v>0</v>
      </c>
      <c r="Q194" s="80">
        <f>SUMIFS('октябрь 2024'!$G$5:$G$2162,'октябрь 2024'!$D$5:$D$2162,$B194,'октябрь 2024'!$J$5:$J$2162,Q$1)</f>
        <v>0</v>
      </c>
      <c r="R194" s="80">
        <f>SUMIFS('октябрь 2024'!$G$5:$G$2162,'октябрь 2024'!$D$5:$D$2162,$B194,'октябрь 2024'!$J$5:$J$2162,R$1)</f>
        <v>0</v>
      </c>
      <c r="S194" s="80">
        <f>SUMIFS('октябрь 2024'!$G$5:$G$2162,'октябрь 2024'!$D$5:$D$2162,$B194,'октябрь 2024'!$J$5:$J$2162,S$1)</f>
        <v>0</v>
      </c>
      <c r="T194" s="80">
        <f>SUMIFS('октябрь 2024'!$G$5:$G$2162,'октябрь 2024'!$D$5:$D$2162,$B194,'октябрь 2024'!$J$5:$J$2162,T$1)</f>
        <v>0</v>
      </c>
      <c r="U194" s="80">
        <f>SUMIFS('октябрь 2024'!$G$5:$G$2162,'октябрь 2024'!$D$5:$D$2162,$B194,'октябрь 2024'!$J$5:$J$2162,U$1)</f>
        <v>0</v>
      </c>
      <c r="V194" s="80">
        <f>SUMIFS('октябрь 2024'!$G$5:$G$2162,'октябрь 2024'!$D$5:$D$2162,$B194,'октябрь 2024'!$J$5:$J$2162,V$1)</f>
        <v>0</v>
      </c>
      <c r="W194" s="80">
        <f>SUMIFS('октябрь 2024'!$G$5:$G$2162,'октябрь 2024'!$D$5:$D$2162,$B194,'октябрь 2024'!$J$5:$J$2162,W$1)</f>
        <v>0</v>
      </c>
      <c r="X194" s="80">
        <f>SUMIFS('октябрь 2024'!$G$5:$G$2162,'октябрь 2024'!$D$5:$D$2162,$B194,'октябрь 2024'!$J$5:$J$2162,X$1)</f>
        <v>0</v>
      </c>
      <c r="Y194" s="80">
        <f>SUMIFS('октябрь 2024'!$G$5:$G$2162,'октябрь 2024'!$D$5:$D$2162,$B194,'октябрь 2024'!$J$5:$J$2162,Y$1)</f>
        <v>0</v>
      </c>
      <c r="Z194" s="80">
        <f>SUMIFS('октябрь 2024'!$G$5:$G$2162,'октябрь 2024'!$D$5:$D$2162,$B194,'октябрь 2024'!$J$5:$J$2162,Z$1)</f>
        <v>0</v>
      </c>
      <c r="AA194" s="80">
        <f>SUMIFS('октябрь 2024'!$G$5:$G$2162,'октябрь 2024'!$D$5:$D$2162,$B194,'октябрь 2024'!$J$5:$J$2162,AA$1)</f>
        <v>0</v>
      </c>
      <c r="AB194" s="80">
        <f>SUMIFS('октябрь 2024'!$G$5:$G$2162,'октябрь 2024'!$D$5:$D$2162,$B194,'октябрь 2024'!$J$5:$J$2162,AB$1)</f>
        <v>0</v>
      </c>
      <c r="AC194" s="80">
        <f>SUMIFS('октябрь 2024'!$G$5:$G$2162,'октябрь 2024'!$D$5:$D$2162,$B194,'октябрь 2024'!$J$5:$J$2162,AC$1)</f>
        <v>0</v>
      </c>
      <c r="AD194" s="80">
        <f>SUMIFS('октябрь 2024'!$G$5:$G$2162,'октябрь 2024'!$D$5:$D$2162,$B194,'октябрь 2024'!$J$5:$J$2162,AD$1)</f>
        <v>0</v>
      </c>
      <c r="AE194" s="80">
        <f>SUMIFS('октябрь 2024'!$G$5:$G$2162,'октябрь 2024'!$D$5:$D$2162,$B194,'октябрь 2024'!$J$5:$J$2162,AE$1)</f>
        <v>0</v>
      </c>
      <c r="AF194" s="80">
        <f>SUMIFS('октябрь 2024'!$G$5:$G$2162,'октябрь 2024'!$D$5:$D$2162,$B194,'октябрь 2024'!$J$5:$J$2162,AF$1)</f>
        <v>0</v>
      </c>
      <c r="AG194" s="80">
        <f>SUMIFS('октябрь 2024'!$G$5:$G$2162,'октябрь 2024'!$D$5:$D$2162,$B194,'октябрь 2024'!$J$5:$J$2162,AG$1)</f>
        <v>0</v>
      </c>
      <c r="AH194" s="80">
        <f>SUMIFS('октябрь 2024'!$G$5:$G$2162,'октябрь 2024'!$D$5:$D$2162,$B194,'октябрь 2024'!$J$5:$J$2162,AH$1)</f>
        <v>0</v>
      </c>
      <c r="AI194" s="87"/>
    </row>
    <row r="195" spans="2:35" ht="15" hidden="1" customHeight="1" x14ac:dyDescent="0.25">
      <c r="B195" s="89"/>
      <c r="C195" s="88"/>
      <c r="D195" s="80">
        <f>SUMIFS('октябрь 2024'!$G$5:$G$2162,'октябрь 2024'!$D$5:$D$2162,$B195,'октябрь 2024'!$J$5:$J$2162,D$1)</f>
        <v>0</v>
      </c>
      <c r="E195" s="80">
        <f>SUMIFS('октябрь 2024'!$G$5:$G$2162,'октябрь 2024'!$D$5:$D$2162,$B195,'октябрь 2024'!$J$5:$J$2162,E$1)</f>
        <v>0</v>
      </c>
      <c r="F195" s="80">
        <f>SUMIFS('октябрь 2024'!$G$5:$G$2162,'октябрь 2024'!$D$5:$D$2162,$B195,'октябрь 2024'!$J$5:$J$2162,F$1)</f>
        <v>0</v>
      </c>
      <c r="G195" s="80">
        <f>SUMIFS('октябрь 2024'!$G$5:$G$2162,'октябрь 2024'!$D$5:$D$2162,$B195,'октябрь 2024'!$J$5:$J$2162,G$1)</f>
        <v>0</v>
      </c>
      <c r="H195" s="80">
        <f>SUMIFS('октябрь 2024'!$G$5:$G$2162,'октябрь 2024'!$D$5:$D$2162,$B195,'октябрь 2024'!$J$5:$J$2162,H$1)</f>
        <v>0</v>
      </c>
      <c r="I195" s="80">
        <f>SUMIFS('октябрь 2024'!$G$5:$G$2162,'октябрь 2024'!$D$5:$D$2162,$B195,'октябрь 2024'!$J$5:$J$2162,I$1)</f>
        <v>0</v>
      </c>
      <c r="J195" s="80">
        <f>SUMIFS('октябрь 2024'!$G$5:$G$2162,'октябрь 2024'!$D$5:$D$2162,$B195,'октябрь 2024'!$J$5:$J$2162,J$1)</f>
        <v>0</v>
      </c>
      <c r="K195" s="80">
        <f>SUMIFS('октябрь 2024'!$G$5:$G$2162,'октябрь 2024'!$D$5:$D$2162,$B195,'октябрь 2024'!$J$5:$J$2162,K$1)</f>
        <v>0</v>
      </c>
      <c r="L195" s="80">
        <f>SUMIFS('октябрь 2024'!$G$5:$G$2162,'октябрь 2024'!$D$5:$D$2162,$B195,'октябрь 2024'!$J$5:$J$2162,L$1)</f>
        <v>0</v>
      </c>
      <c r="M195" s="80">
        <f>SUMIFS('октябрь 2024'!$G$5:$G$2162,'октябрь 2024'!$D$5:$D$2162,$B195,'октябрь 2024'!$J$5:$J$2162,M$1)</f>
        <v>0</v>
      </c>
      <c r="N195" s="80">
        <f>SUMIFS('октябрь 2024'!$G$5:$G$2162,'октябрь 2024'!$D$5:$D$2162,$B195,'октябрь 2024'!$J$5:$J$2162,N$1)</f>
        <v>0</v>
      </c>
      <c r="O195" s="80">
        <f>SUMIFS('октябрь 2024'!$G$5:$G$2162,'октябрь 2024'!$D$5:$D$2162,$B195,'октябрь 2024'!$J$5:$J$2162,O$1)</f>
        <v>0</v>
      </c>
      <c r="P195" s="80">
        <f>SUMIFS('октябрь 2024'!$G$5:$G$2162,'октябрь 2024'!$D$5:$D$2162,$B195,'октябрь 2024'!$J$5:$J$2162,P$1)</f>
        <v>0</v>
      </c>
      <c r="Q195" s="80">
        <f>SUMIFS('октябрь 2024'!$G$5:$G$2162,'октябрь 2024'!$D$5:$D$2162,$B195,'октябрь 2024'!$J$5:$J$2162,Q$1)</f>
        <v>0</v>
      </c>
      <c r="R195" s="80">
        <f>SUMIFS('октябрь 2024'!$G$5:$G$2162,'октябрь 2024'!$D$5:$D$2162,$B195,'октябрь 2024'!$J$5:$J$2162,R$1)</f>
        <v>0</v>
      </c>
      <c r="S195" s="80">
        <f>SUMIFS('октябрь 2024'!$G$5:$G$2162,'октябрь 2024'!$D$5:$D$2162,$B195,'октябрь 2024'!$J$5:$J$2162,S$1)</f>
        <v>0</v>
      </c>
      <c r="T195" s="80">
        <f>SUMIFS('октябрь 2024'!$G$5:$G$2162,'октябрь 2024'!$D$5:$D$2162,$B195,'октябрь 2024'!$J$5:$J$2162,T$1)</f>
        <v>0</v>
      </c>
      <c r="U195" s="80">
        <f>SUMIFS('октябрь 2024'!$G$5:$G$2162,'октябрь 2024'!$D$5:$D$2162,$B195,'октябрь 2024'!$J$5:$J$2162,U$1)</f>
        <v>0</v>
      </c>
      <c r="V195" s="80">
        <f>SUMIFS('октябрь 2024'!$G$5:$G$2162,'октябрь 2024'!$D$5:$D$2162,$B195,'октябрь 2024'!$J$5:$J$2162,V$1)</f>
        <v>0</v>
      </c>
      <c r="W195" s="80">
        <f>SUMIFS('октябрь 2024'!$G$5:$G$2162,'октябрь 2024'!$D$5:$D$2162,$B195,'октябрь 2024'!$J$5:$J$2162,W$1)</f>
        <v>0</v>
      </c>
      <c r="X195" s="80">
        <f>SUMIFS('октябрь 2024'!$G$5:$G$2162,'октябрь 2024'!$D$5:$D$2162,$B195,'октябрь 2024'!$J$5:$J$2162,X$1)</f>
        <v>0</v>
      </c>
      <c r="Y195" s="80">
        <f>SUMIFS('октябрь 2024'!$G$5:$G$2162,'октябрь 2024'!$D$5:$D$2162,$B195,'октябрь 2024'!$J$5:$J$2162,Y$1)</f>
        <v>0</v>
      </c>
      <c r="Z195" s="80">
        <f>SUMIFS('октябрь 2024'!$G$5:$G$2162,'октябрь 2024'!$D$5:$D$2162,$B195,'октябрь 2024'!$J$5:$J$2162,Z$1)</f>
        <v>0</v>
      </c>
      <c r="AA195" s="80">
        <f>SUMIFS('октябрь 2024'!$G$5:$G$2162,'октябрь 2024'!$D$5:$D$2162,$B195,'октябрь 2024'!$J$5:$J$2162,AA$1)</f>
        <v>0</v>
      </c>
      <c r="AB195" s="80">
        <f>SUMIFS('октябрь 2024'!$G$5:$G$2162,'октябрь 2024'!$D$5:$D$2162,$B195,'октябрь 2024'!$J$5:$J$2162,AB$1)</f>
        <v>0</v>
      </c>
      <c r="AC195" s="80">
        <f>SUMIFS('октябрь 2024'!$G$5:$G$2162,'октябрь 2024'!$D$5:$D$2162,$B195,'октябрь 2024'!$J$5:$J$2162,AC$1)</f>
        <v>0</v>
      </c>
      <c r="AD195" s="80">
        <f>SUMIFS('октябрь 2024'!$G$5:$G$2162,'октябрь 2024'!$D$5:$D$2162,$B195,'октябрь 2024'!$J$5:$J$2162,AD$1)</f>
        <v>0</v>
      </c>
      <c r="AE195" s="80">
        <f>SUMIFS('октябрь 2024'!$G$5:$G$2162,'октябрь 2024'!$D$5:$D$2162,$B195,'октябрь 2024'!$J$5:$J$2162,AE$1)</f>
        <v>0</v>
      </c>
      <c r="AF195" s="80">
        <f>SUMIFS('октябрь 2024'!$G$5:$G$2162,'октябрь 2024'!$D$5:$D$2162,$B195,'октябрь 2024'!$J$5:$J$2162,AF$1)</f>
        <v>0</v>
      </c>
      <c r="AG195" s="80">
        <f>SUMIFS('октябрь 2024'!$G$5:$G$2162,'октябрь 2024'!$D$5:$D$2162,$B195,'октябрь 2024'!$J$5:$J$2162,AG$1)</f>
        <v>0</v>
      </c>
      <c r="AH195" s="80">
        <f>SUMIFS('октябрь 2024'!$G$5:$G$2162,'октябрь 2024'!$D$5:$D$2162,$B195,'октябрь 2024'!$J$5:$J$2162,AH$1)</f>
        <v>0</v>
      </c>
      <c r="AI195" s="87"/>
    </row>
    <row r="196" spans="2:35" ht="15" hidden="1" customHeight="1" x14ac:dyDescent="0.25">
      <c r="B196" s="89"/>
      <c r="C196" s="88"/>
      <c r="D196" s="80">
        <f>SUMIFS('октябрь 2024'!$G$5:$G$2162,'октябрь 2024'!$D$5:$D$2162,$B196,'октябрь 2024'!$J$5:$J$2162,D$1)</f>
        <v>0</v>
      </c>
      <c r="E196" s="80">
        <f>SUMIFS('октябрь 2024'!$G$5:$G$2162,'октябрь 2024'!$D$5:$D$2162,$B196,'октябрь 2024'!$J$5:$J$2162,E$1)</f>
        <v>0</v>
      </c>
      <c r="F196" s="80">
        <f>SUMIFS('октябрь 2024'!$G$5:$G$2162,'октябрь 2024'!$D$5:$D$2162,$B196,'октябрь 2024'!$J$5:$J$2162,F$1)</f>
        <v>0</v>
      </c>
      <c r="G196" s="80">
        <f>SUMIFS('октябрь 2024'!$G$5:$G$2162,'октябрь 2024'!$D$5:$D$2162,$B196,'октябрь 2024'!$J$5:$J$2162,G$1)</f>
        <v>0</v>
      </c>
      <c r="H196" s="80">
        <f>SUMIFS('октябрь 2024'!$G$5:$G$2162,'октябрь 2024'!$D$5:$D$2162,$B196,'октябрь 2024'!$J$5:$J$2162,H$1)</f>
        <v>0</v>
      </c>
      <c r="I196" s="80">
        <f>SUMIFS('октябрь 2024'!$G$5:$G$2162,'октябрь 2024'!$D$5:$D$2162,$B196,'октябрь 2024'!$J$5:$J$2162,I$1)</f>
        <v>0</v>
      </c>
      <c r="J196" s="80">
        <f>SUMIFS('октябрь 2024'!$G$5:$G$2162,'октябрь 2024'!$D$5:$D$2162,$B196,'октябрь 2024'!$J$5:$J$2162,J$1)</f>
        <v>0</v>
      </c>
      <c r="K196" s="80">
        <f>SUMIFS('октябрь 2024'!$G$5:$G$2162,'октябрь 2024'!$D$5:$D$2162,$B196,'октябрь 2024'!$J$5:$J$2162,K$1)</f>
        <v>0</v>
      </c>
      <c r="L196" s="80">
        <f>SUMIFS('октябрь 2024'!$G$5:$G$2162,'октябрь 2024'!$D$5:$D$2162,$B196,'октябрь 2024'!$J$5:$J$2162,L$1)</f>
        <v>0</v>
      </c>
      <c r="M196" s="80">
        <f>SUMIFS('октябрь 2024'!$G$5:$G$2162,'октябрь 2024'!$D$5:$D$2162,$B196,'октябрь 2024'!$J$5:$J$2162,M$1)</f>
        <v>0</v>
      </c>
      <c r="N196" s="80">
        <f>SUMIFS('октябрь 2024'!$G$5:$G$2162,'октябрь 2024'!$D$5:$D$2162,$B196,'октябрь 2024'!$J$5:$J$2162,N$1)</f>
        <v>0</v>
      </c>
      <c r="O196" s="80">
        <f>SUMIFS('октябрь 2024'!$G$5:$G$2162,'октябрь 2024'!$D$5:$D$2162,$B196,'октябрь 2024'!$J$5:$J$2162,O$1)</f>
        <v>0</v>
      </c>
      <c r="P196" s="80">
        <f>SUMIFS('октябрь 2024'!$G$5:$G$2162,'октябрь 2024'!$D$5:$D$2162,$B196,'октябрь 2024'!$J$5:$J$2162,P$1)</f>
        <v>0</v>
      </c>
      <c r="Q196" s="80">
        <f>SUMIFS('октябрь 2024'!$G$5:$G$2162,'октябрь 2024'!$D$5:$D$2162,$B196,'октябрь 2024'!$J$5:$J$2162,Q$1)</f>
        <v>0</v>
      </c>
      <c r="R196" s="80">
        <f>SUMIFS('октябрь 2024'!$G$5:$G$2162,'октябрь 2024'!$D$5:$D$2162,$B196,'октябрь 2024'!$J$5:$J$2162,R$1)</f>
        <v>0</v>
      </c>
      <c r="S196" s="80">
        <f>SUMIFS('октябрь 2024'!$G$5:$G$2162,'октябрь 2024'!$D$5:$D$2162,$B196,'октябрь 2024'!$J$5:$J$2162,S$1)</f>
        <v>0</v>
      </c>
      <c r="T196" s="80">
        <f>SUMIFS('октябрь 2024'!$G$5:$G$2162,'октябрь 2024'!$D$5:$D$2162,$B196,'октябрь 2024'!$J$5:$J$2162,T$1)</f>
        <v>0</v>
      </c>
      <c r="U196" s="80">
        <f>SUMIFS('октябрь 2024'!$G$5:$G$2162,'октябрь 2024'!$D$5:$D$2162,$B196,'октябрь 2024'!$J$5:$J$2162,U$1)</f>
        <v>0</v>
      </c>
      <c r="V196" s="80">
        <f>SUMIFS('октябрь 2024'!$G$5:$G$2162,'октябрь 2024'!$D$5:$D$2162,$B196,'октябрь 2024'!$J$5:$J$2162,V$1)</f>
        <v>0</v>
      </c>
      <c r="W196" s="80">
        <f>SUMIFS('октябрь 2024'!$G$5:$G$2162,'октябрь 2024'!$D$5:$D$2162,$B196,'октябрь 2024'!$J$5:$J$2162,W$1)</f>
        <v>0</v>
      </c>
      <c r="X196" s="80">
        <f>SUMIFS('октябрь 2024'!$G$5:$G$2162,'октябрь 2024'!$D$5:$D$2162,$B196,'октябрь 2024'!$J$5:$J$2162,X$1)</f>
        <v>0</v>
      </c>
      <c r="Y196" s="80">
        <f>SUMIFS('октябрь 2024'!$G$5:$G$2162,'октябрь 2024'!$D$5:$D$2162,$B196,'октябрь 2024'!$J$5:$J$2162,Y$1)</f>
        <v>0</v>
      </c>
      <c r="Z196" s="80">
        <f>SUMIFS('октябрь 2024'!$G$5:$G$2162,'октябрь 2024'!$D$5:$D$2162,$B196,'октябрь 2024'!$J$5:$J$2162,Z$1)</f>
        <v>0</v>
      </c>
      <c r="AA196" s="80">
        <f>SUMIFS('октябрь 2024'!$G$5:$G$2162,'октябрь 2024'!$D$5:$D$2162,$B196,'октябрь 2024'!$J$5:$J$2162,AA$1)</f>
        <v>0</v>
      </c>
      <c r="AB196" s="80">
        <f>SUMIFS('октябрь 2024'!$G$5:$G$2162,'октябрь 2024'!$D$5:$D$2162,$B196,'октябрь 2024'!$J$5:$J$2162,AB$1)</f>
        <v>0</v>
      </c>
      <c r="AC196" s="80">
        <f>SUMIFS('октябрь 2024'!$G$5:$G$2162,'октябрь 2024'!$D$5:$D$2162,$B196,'октябрь 2024'!$J$5:$J$2162,AC$1)</f>
        <v>0</v>
      </c>
      <c r="AD196" s="80">
        <f>SUMIFS('октябрь 2024'!$G$5:$G$2162,'октябрь 2024'!$D$5:$D$2162,$B196,'октябрь 2024'!$J$5:$J$2162,AD$1)</f>
        <v>0</v>
      </c>
      <c r="AE196" s="80">
        <f>SUMIFS('октябрь 2024'!$G$5:$G$2162,'октябрь 2024'!$D$5:$D$2162,$B196,'октябрь 2024'!$J$5:$J$2162,AE$1)</f>
        <v>0</v>
      </c>
      <c r="AF196" s="80">
        <f>SUMIFS('октябрь 2024'!$G$5:$G$2162,'октябрь 2024'!$D$5:$D$2162,$B196,'октябрь 2024'!$J$5:$J$2162,AF$1)</f>
        <v>0</v>
      </c>
      <c r="AG196" s="80">
        <f>SUMIFS('октябрь 2024'!$G$5:$G$2162,'октябрь 2024'!$D$5:$D$2162,$B196,'октябрь 2024'!$J$5:$J$2162,AG$1)</f>
        <v>0</v>
      </c>
      <c r="AH196" s="80">
        <f>SUMIFS('октябрь 2024'!$G$5:$G$2162,'октябрь 2024'!$D$5:$D$2162,$B196,'октябрь 2024'!$J$5:$J$2162,AH$1)</f>
        <v>0</v>
      </c>
      <c r="AI196" s="87"/>
    </row>
    <row r="197" spans="2:35" ht="15" hidden="1" customHeight="1" x14ac:dyDescent="0.25">
      <c r="B197" s="89"/>
      <c r="C197" s="88"/>
      <c r="D197" s="80">
        <f>SUMIFS('октябрь 2024'!$G$5:$G$2162,'октябрь 2024'!$D$5:$D$2162,$B197,'октябрь 2024'!$J$5:$J$2162,D$1)</f>
        <v>0</v>
      </c>
      <c r="E197" s="80">
        <f>SUMIFS('октябрь 2024'!$G$5:$G$2162,'октябрь 2024'!$D$5:$D$2162,$B197,'октябрь 2024'!$J$5:$J$2162,E$1)</f>
        <v>0</v>
      </c>
      <c r="F197" s="80">
        <f>SUMIFS('октябрь 2024'!$G$5:$G$2162,'октябрь 2024'!$D$5:$D$2162,$B197,'октябрь 2024'!$J$5:$J$2162,F$1)</f>
        <v>0</v>
      </c>
      <c r="G197" s="80">
        <f>SUMIFS('октябрь 2024'!$G$5:$G$2162,'октябрь 2024'!$D$5:$D$2162,$B197,'октябрь 2024'!$J$5:$J$2162,G$1)</f>
        <v>0</v>
      </c>
      <c r="H197" s="80">
        <f>SUMIFS('октябрь 2024'!$G$5:$G$2162,'октябрь 2024'!$D$5:$D$2162,$B197,'октябрь 2024'!$J$5:$J$2162,H$1)</f>
        <v>0</v>
      </c>
      <c r="I197" s="80">
        <f>SUMIFS('октябрь 2024'!$G$5:$G$2162,'октябрь 2024'!$D$5:$D$2162,$B197,'октябрь 2024'!$J$5:$J$2162,I$1)</f>
        <v>0</v>
      </c>
      <c r="J197" s="80">
        <f>SUMIFS('октябрь 2024'!$G$5:$G$2162,'октябрь 2024'!$D$5:$D$2162,$B197,'октябрь 2024'!$J$5:$J$2162,J$1)</f>
        <v>0</v>
      </c>
      <c r="K197" s="80">
        <f>SUMIFS('октябрь 2024'!$G$5:$G$2162,'октябрь 2024'!$D$5:$D$2162,$B197,'октябрь 2024'!$J$5:$J$2162,K$1)</f>
        <v>0</v>
      </c>
      <c r="L197" s="80">
        <f>SUMIFS('октябрь 2024'!$G$5:$G$2162,'октябрь 2024'!$D$5:$D$2162,$B197,'октябрь 2024'!$J$5:$J$2162,L$1)</f>
        <v>0</v>
      </c>
      <c r="M197" s="80">
        <f>SUMIFS('октябрь 2024'!$G$5:$G$2162,'октябрь 2024'!$D$5:$D$2162,$B197,'октябрь 2024'!$J$5:$J$2162,M$1)</f>
        <v>0</v>
      </c>
      <c r="N197" s="80">
        <f>SUMIFS('октябрь 2024'!$G$5:$G$2162,'октябрь 2024'!$D$5:$D$2162,$B197,'октябрь 2024'!$J$5:$J$2162,N$1)</f>
        <v>0</v>
      </c>
      <c r="O197" s="80">
        <f>SUMIFS('октябрь 2024'!$G$5:$G$2162,'октябрь 2024'!$D$5:$D$2162,$B197,'октябрь 2024'!$J$5:$J$2162,O$1)</f>
        <v>0</v>
      </c>
      <c r="P197" s="80">
        <f>SUMIFS('октябрь 2024'!$G$5:$G$2162,'октябрь 2024'!$D$5:$D$2162,$B197,'октябрь 2024'!$J$5:$J$2162,P$1)</f>
        <v>0</v>
      </c>
      <c r="Q197" s="80">
        <f>SUMIFS('октябрь 2024'!$G$5:$G$2162,'октябрь 2024'!$D$5:$D$2162,$B197,'октябрь 2024'!$J$5:$J$2162,Q$1)</f>
        <v>0</v>
      </c>
      <c r="R197" s="80">
        <f>SUMIFS('октябрь 2024'!$G$5:$G$2162,'октябрь 2024'!$D$5:$D$2162,$B197,'октябрь 2024'!$J$5:$J$2162,R$1)</f>
        <v>0</v>
      </c>
      <c r="S197" s="80">
        <f>SUMIFS('октябрь 2024'!$G$5:$G$2162,'октябрь 2024'!$D$5:$D$2162,$B197,'октябрь 2024'!$J$5:$J$2162,S$1)</f>
        <v>0</v>
      </c>
      <c r="T197" s="80">
        <f>SUMIFS('октябрь 2024'!$G$5:$G$2162,'октябрь 2024'!$D$5:$D$2162,$B197,'октябрь 2024'!$J$5:$J$2162,T$1)</f>
        <v>0</v>
      </c>
      <c r="U197" s="80">
        <f>SUMIFS('октябрь 2024'!$G$5:$G$2162,'октябрь 2024'!$D$5:$D$2162,$B197,'октябрь 2024'!$J$5:$J$2162,U$1)</f>
        <v>0</v>
      </c>
      <c r="V197" s="80">
        <f>SUMIFS('октябрь 2024'!$G$5:$G$2162,'октябрь 2024'!$D$5:$D$2162,$B197,'октябрь 2024'!$J$5:$J$2162,V$1)</f>
        <v>0</v>
      </c>
      <c r="W197" s="80">
        <f>SUMIFS('октябрь 2024'!$G$5:$G$2162,'октябрь 2024'!$D$5:$D$2162,$B197,'октябрь 2024'!$J$5:$J$2162,W$1)</f>
        <v>0</v>
      </c>
      <c r="X197" s="80">
        <f>SUMIFS('октябрь 2024'!$G$5:$G$2162,'октябрь 2024'!$D$5:$D$2162,$B197,'октябрь 2024'!$J$5:$J$2162,X$1)</f>
        <v>0</v>
      </c>
      <c r="Y197" s="80">
        <f>SUMIFS('октябрь 2024'!$G$5:$G$2162,'октябрь 2024'!$D$5:$D$2162,$B197,'октябрь 2024'!$J$5:$J$2162,Y$1)</f>
        <v>0</v>
      </c>
      <c r="Z197" s="80">
        <f>SUMIFS('октябрь 2024'!$G$5:$G$2162,'октябрь 2024'!$D$5:$D$2162,$B197,'октябрь 2024'!$J$5:$J$2162,Z$1)</f>
        <v>0</v>
      </c>
      <c r="AA197" s="80">
        <f>SUMIFS('октябрь 2024'!$G$5:$G$2162,'октябрь 2024'!$D$5:$D$2162,$B197,'октябрь 2024'!$J$5:$J$2162,AA$1)</f>
        <v>0</v>
      </c>
      <c r="AB197" s="80">
        <f>SUMIFS('октябрь 2024'!$G$5:$G$2162,'октябрь 2024'!$D$5:$D$2162,$B197,'октябрь 2024'!$J$5:$J$2162,AB$1)</f>
        <v>0</v>
      </c>
      <c r="AC197" s="80">
        <f>SUMIFS('октябрь 2024'!$G$5:$G$2162,'октябрь 2024'!$D$5:$D$2162,$B197,'октябрь 2024'!$J$5:$J$2162,AC$1)</f>
        <v>0</v>
      </c>
      <c r="AD197" s="80">
        <f>SUMIFS('октябрь 2024'!$G$5:$G$2162,'октябрь 2024'!$D$5:$D$2162,$B197,'октябрь 2024'!$J$5:$J$2162,AD$1)</f>
        <v>0</v>
      </c>
      <c r="AE197" s="80">
        <f>SUMIFS('октябрь 2024'!$G$5:$G$2162,'октябрь 2024'!$D$5:$D$2162,$B197,'октябрь 2024'!$J$5:$J$2162,AE$1)</f>
        <v>0</v>
      </c>
      <c r="AF197" s="80">
        <f>SUMIFS('октябрь 2024'!$G$5:$G$2162,'октябрь 2024'!$D$5:$D$2162,$B197,'октябрь 2024'!$J$5:$J$2162,AF$1)</f>
        <v>0</v>
      </c>
      <c r="AG197" s="80">
        <f>SUMIFS('октябрь 2024'!$G$5:$G$2162,'октябрь 2024'!$D$5:$D$2162,$B197,'октябрь 2024'!$J$5:$J$2162,AG$1)</f>
        <v>0</v>
      </c>
      <c r="AH197" s="80">
        <f>SUMIFS('октябрь 2024'!$G$5:$G$2162,'октябрь 2024'!$D$5:$D$2162,$B197,'октябрь 2024'!$J$5:$J$2162,AH$1)</f>
        <v>0</v>
      </c>
      <c r="AI197" s="87"/>
    </row>
    <row r="198" spans="2:35" ht="15" hidden="1" customHeight="1" x14ac:dyDescent="0.25">
      <c r="B198" s="89"/>
      <c r="C198" s="88"/>
      <c r="D198" s="80">
        <f>SUMIFS('октябрь 2024'!$G$5:$G$2162,'октябрь 2024'!$D$5:$D$2162,$B198,'октябрь 2024'!$J$5:$J$2162,D$1)</f>
        <v>0</v>
      </c>
      <c r="E198" s="80">
        <f>SUMIFS('октябрь 2024'!$G$5:$G$2162,'октябрь 2024'!$D$5:$D$2162,$B198,'октябрь 2024'!$J$5:$J$2162,E$1)</f>
        <v>0</v>
      </c>
      <c r="F198" s="80">
        <f>SUMIFS('октябрь 2024'!$G$5:$G$2162,'октябрь 2024'!$D$5:$D$2162,$B198,'октябрь 2024'!$J$5:$J$2162,F$1)</f>
        <v>0</v>
      </c>
      <c r="G198" s="80">
        <f>SUMIFS('октябрь 2024'!$G$5:$G$2162,'октябрь 2024'!$D$5:$D$2162,$B198,'октябрь 2024'!$J$5:$J$2162,G$1)</f>
        <v>0</v>
      </c>
      <c r="H198" s="80">
        <f>SUMIFS('октябрь 2024'!$G$5:$G$2162,'октябрь 2024'!$D$5:$D$2162,$B198,'октябрь 2024'!$J$5:$J$2162,H$1)</f>
        <v>0</v>
      </c>
      <c r="I198" s="80">
        <f>SUMIFS('октябрь 2024'!$G$5:$G$2162,'октябрь 2024'!$D$5:$D$2162,$B198,'октябрь 2024'!$J$5:$J$2162,I$1)</f>
        <v>0</v>
      </c>
      <c r="J198" s="80">
        <f>SUMIFS('октябрь 2024'!$G$5:$G$2162,'октябрь 2024'!$D$5:$D$2162,$B198,'октябрь 2024'!$J$5:$J$2162,J$1)</f>
        <v>0</v>
      </c>
      <c r="K198" s="80">
        <f>SUMIFS('октябрь 2024'!$G$5:$G$2162,'октябрь 2024'!$D$5:$D$2162,$B198,'октябрь 2024'!$J$5:$J$2162,K$1)</f>
        <v>0</v>
      </c>
      <c r="L198" s="80">
        <f>SUMIFS('октябрь 2024'!$G$5:$G$2162,'октябрь 2024'!$D$5:$D$2162,$B198,'октябрь 2024'!$J$5:$J$2162,L$1)</f>
        <v>0</v>
      </c>
      <c r="M198" s="80">
        <f>SUMIFS('октябрь 2024'!$G$5:$G$2162,'октябрь 2024'!$D$5:$D$2162,$B198,'октябрь 2024'!$J$5:$J$2162,M$1)</f>
        <v>0</v>
      </c>
      <c r="N198" s="80">
        <f>SUMIFS('октябрь 2024'!$G$5:$G$2162,'октябрь 2024'!$D$5:$D$2162,$B198,'октябрь 2024'!$J$5:$J$2162,N$1)</f>
        <v>0</v>
      </c>
      <c r="O198" s="80">
        <f>SUMIFS('октябрь 2024'!$G$5:$G$2162,'октябрь 2024'!$D$5:$D$2162,$B198,'октябрь 2024'!$J$5:$J$2162,O$1)</f>
        <v>0</v>
      </c>
      <c r="P198" s="80">
        <f>SUMIFS('октябрь 2024'!$G$5:$G$2162,'октябрь 2024'!$D$5:$D$2162,$B198,'октябрь 2024'!$J$5:$J$2162,P$1)</f>
        <v>0</v>
      </c>
      <c r="Q198" s="80">
        <f>SUMIFS('октябрь 2024'!$G$5:$G$2162,'октябрь 2024'!$D$5:$D$2162,$B198,'октябрь 2024'!$J$5:$J$2162,Q$1)</f>
        <v>0</v>
      </c>
      <c r="R198" s="80">
        <f>SUMIFS('октябрь 2024'!$G$5:$G$2162,'октябрь 2024'!$D$5:$D$2162,$B198,'октябрь 2024'!$J$5:$J$2162,R$1)</f>
        <v>0</v>
      </c>
      <c r="S198" s="80">
        <f>SUMIFS('октябрь 2024'!$G$5:$G$2162,'октябрь 2024'!$D$5:$D$2162,$B198,'октябрь 2024'!$J$5:$J$2162,S$1)</f>
        <v>0</v>
      </c>
      <c r="T198" s="80">
        <f>SUMIFS('октябрь 2024'!$G$5:$G$2162,'октябрь 2024'!$D$5:$D$2162,$B198,'октябрь 2024'!$J$5:$J$2162,T$1)</f>
        <v>0</v>
      </c>
      <c r="U198" s="80">
        <f>SUMIFS('октябрь 2024'!$G$5:$G$2162,'октябрь 2024'!$D$5:$D$2162,$B198,'октябрь 2024'!$J$5:$J$2162,U$1)</f>
        <v>0</v>
      </c>
      <c r="V198" s="80">
        <f>SUMIFS('октябрь 2024'!$G$5:$G$2162,'октябрь 2024'!$D$5:$D$2162,$B198,'октябрь 2024'!$J$5:$J$2162,V$1)</f>
        <v>0</v>
      </c>
      <c r="W198" s="80">
        <f>SUMIFS('октябрь 2024'!$G$5:$G$2162,'октябрь 2024'!$D$5:$D$2162,$B198,'октябрь 2024'!$J$5:$J$2162,W$1)</f>
        <v>0</v>
      </c>
      <c r="X198" s="80">
        <f>SUMIFS('октябрь 2024'!$G$5:$G$2162,'октябрь 2024'!$D$5:$D$2162,$B198,'октябрь 2024'!$J$5:$J$2162,X$1)</f>
        <v>0</v>
      </c>
      <c r="Y198" s="80">
        <f>SUMIFS('октябрь 2024'!$G$5:$G$2162,'октябрь 2024'!$D$5:$D$2162,$B198,'октябрь 2024'!$J$5:$J$2162,Y$1)</f>
        <v>0</v>
      </c>
      <c r="Z198" s="80">
        <f>SUMIFS('октябрь 2024'!$G$5:$G$2162,'октябрь 2024'!$D$5:$D$2162,$B198,'октябрь 2024'!$J$5:$J$2162,Z$1)</f>
        <v>0</v>
      </c>
      <c r="AA198" s="80">
        <f>SUMIFS('октябрь 2024'!$G$5:$G$2162,'октябрь 2024'!$D$5:$D$2162,$B198,'октябрь 2024'!$J$5:$J$2162,AA$1)</f>
        <v>0</v>
      </c>
      <c r="AB198" s="80">
        <f>SUMIFS('октябрь 2024'!$G$5:$G$2162,'октябрь 2024'!$D$5:$D$2162,$B198,'октябрь 2024'!$J$5:$J$2162,AB$1)</f>
        <v>0</v>
      </c>
      <c r="AC198" s="80">
        <f>SUMIFS('октябрь 2024'!$G$5:$G$2162,'октябрь 2024'!$D$5:$D$2162,$B198,'октябрь 2024'!$J$5:$J$2162,AC$1)</f>
        <v>0</v>
      </c>
      <c r="AD198" s="80">
        <f>SUMIFS('октябрь 2024'!$G$5:$G$2162,'октябрь 2024'!$D$5:$D$2162,$B198,'октябрь 2024'!$J$5:$J$2162,AD$1)</f>
        <v>0</v>
      </c>
      <c r="AE198" s="80">
        <f>SUMIFS('октябрь 2024'!$G$5:$G$2162,'октябрь 2024'!$D$5:$D$2162,$B198,'октябрь 2024'!$J$5:$J$2162,AE$1)</f>
        <v>0</v>
      </c>
      <c r="AF198" s="80">
        <f>SUMIFS('октябрь 2024'!$G$5:$G$2162,'октябрь 2024'!$D$5:$D$2162,$B198,'октябрь 2024'!$J$5:$J$2162,AF$1)</f>
        <v>0</v>
      </c>
      <c r="AG198" s="80">
        <f>SUMIFS('октябрь 2024'!$G$5:$G$2162,'октябрь 2024'!$D$5:$D$2162,$B198,'октябрь 2024'!$J$5:$J$2162,AG$1)</f>
        <v>0</v>
      </c>
      <c r="AH198" s="80">
        <f>SUMIFS('октябрь 2024'!$G$5:$G$2162,'октябрь 2024'!$D$5:$D$2162,$B198,'октябрь 2024'!$J$5:$J$2162,AH$1)</f>
        <v>0</v>
      </c>
      <c r="AI198" s="87"/>
    </row>
    <row r="199" spans="2:35" ht="15" hidden="1" customHeight="1" x14ac:dyDescent="0.25">
      <c r="B199" s="89"/>
      <c r="C199" s="88"/>
      <c r="D199" s="80">
        <f>SUMIFS('октябрь 2024'!$G$5:$G$2162,'октябрь 2024'!$D$5:$D$2162,$B199,'октябрь 2024'!$J$5:$J$2162,D$1)</f>
        <v>0</v>
      </c>
      <c r="E199" s="80">
        <f>SUMIFS('октябрь 2024'!$G$5:$G$2162,'октябрь 2024'!$D$5:$D$2162,$B199,'октябрь 2024'!$J$5:$J$2162,E$1)</f>
        <v>0</v>
      </c>
      <c r="F199" s="80">
        <f>SUMIFS('октябрь 2024'!$G$5:$G$2162,'октябрь 2024'!$D$5:$D$2162,$B199,'октябрь 2024'!$J$5:$J$2162,F$1)</f>
        <v>0</v>
      </c>
      <c r="G199" s="80">
        <f>SUMIFS('октябрь 2024'!$G$5:$G$2162,'октябрь 2024'!$D$5:$D$2162,$B199,'октябрь 2024'!$J$5:$J$2162,G$1)</f>
        <v>0</v>
      </c>
      <c r="H199" s="80">
        <f>SUMIFS('октябрь 2024'!$G$5:$G$2162,'октябрь 2024'!$D$5:$D$2162,$B199,'октябрь 2024'!$J$5:$J$2162,H$1)</f>
        <v>0</v>
      </c>
      <c r="I199" s="80">
        <f>SUMIFS('октябрь 2024'!$G$5:$G$2162,'октябрь 2024'!$D$5:$D$2162,$B199,'октябрь 2024'!$J$5:$J$2162,I$1)</f>
        <v>0</v>
      </c>
      <c r="J199" s="80">
        <f>SUMIFS('октябрь 2024'!$G$5:$G$2162,'октябрь 2024'!$D$5:$D$2162,$B199,'октябрь 2024'!$J$5:$J$2162,J$1)</f>
        <v>0</v>
      </c>
      <c r="K199" s="80">
        <f>SUMIFS('октябрь 2024'!$G$5:$G$2162,'октябрь 2024'!$D$5:$D$2162,$B199,'октябрь 2024'!$J$5:$J$2162,K$1)</f>
        <v>0</v>
      </c>
      <c r="L199" s="80">
        <f>SUMIFS('октябрь 2024'!$G$5:$G$2162,'октябрь 2024'!$D$5:$D$2162,$B199,'октябрь 2024'!$J$5:$J$2162,L$1)</f>
        <v>0</v>
      </c>
      <c r="M199" s="80">
        <f>SUMIFS('октябрь 2024'!$G$5:$G$2162,'октябрь 2024'!$D$5:$D$2162,$B199,'октябрь 2024'!$J$5:$J$2162,M$1)</f>
        <v>0</v>
      </c>
      <c r="N199" s="80">
        <f>SUMIFS('октябрь 2024'!$G$5:$G$2162,'октябрь 2024'!$D$5:$D$2162,$B199,'октябрь 2024'!$J$5:$J$2162,N$1)</f>
        <v>0</v>
      </c>
      <c r="O199" s="80">
        <f>SUMIFS('октябрь 2024'!$G$5:$G$2162,'октябрь 2024'!$D$5:$D$2162,$B199,'октябрь 2024'!$J$5:$J$2162,O$1)</f>
        <v>0</v>
      </c>
      <c r="P199" s="80">
        <f>SUMIFS('октябрь 2024'!$G$5:$G$2162,'октябрь 2024'!$D$5:$D$2162,$B199,'октябрь 2024'!$J$5:$J$2162,P$1)</f>
        <v>0</v>
      </c>
      <c r="Q199" s="80">
        <f>SUMIFS('октябрь 2024'!$G$5:$G$2162,'октябрь 2024'!$D$5:$D$2162,$B199,'октябрь 2024'!$J$5:$J$2162,Q$1)</f>
        <v>0</v>
      </c>
      <c r="R199" s="80">
        <f>SUMIFS('октябрь 2024'!$G$5:$G$2162,'октябрь 2024'!$D$5:$D$2162,$B199,'октябрь 2024'!$J$5:$J$2162,R$1)</f>
        <v>0</v>
      </c>
      <c r="S199" s="80">
        <f>SUMIFS('октябрь 2024'!$G$5:$G$2162,'октябрь 2024'!$D$5:$D$2162,$B199,'октябрь 2024'!$J$5:$J$2162,S$1)</f>
        <v>0</v>
      </c>
      <c r="T199" s="80">
        <f>SUMIFS('октябрь 2024'!$G$5:$G$2162,'октябрь 2024'!$D$5:$D$2162,$B199,'октябрь 2024'!$J$5:$J$2162,T$1)</f>
        <v>0</v>
      </c>
      <c r="U199" s="80">
        <f>SUMIFS('октябрь 2024'!$G$5:$G$2162,'октябрь 2024'!$D$5:$D$2162,$B199,'октябрь 2024'!$J$5:$J$2162,U$1)</f>
        <v>0</v>
      </c>
      <c r="V199" s="80">
        <f>SUMIFS('октябрь 2024'!$G$5:$G$2162,'октябрь 2024'!$D$5:$D$2162,$B199,'октябрь 2024'!$J$5:$J$2162,V$1)</f>
        <v>0</v>
      </c>
      <c r="W199" s="80">
        <f>SUMIFS('октябрь 2024'!$G$5:$G$2162,'октябрь 2024'!$D$5:$D$2162,$B199,'октябрь 2024'!$J$5:$J$2162,W$1)</f>
        <v>0</v>
      </c>
      <c r="X199" s="80">
        <f>SUMIFS('октябрь 2024'!$G$5:$G$2162,'октябрь 2024'!$D$5:$D$2162,$B199,'октябрь 2024'!$J$5:$J$2162,X$1)</f>
        <v>0</v>
      </c>
      <c r="Y199" s="80">
        <f>SUMIFS('октябрь 2024'!$G$5:$G$2162,'октябрь 2024'!$D$5:$D$2162,$B199,'октябрь 2024'!$J$5:$J$2162,Y$1)</f>
        <v>0</v>
      </c>
      <c r="Z199" s="80">
        <f>SUMIFS('октябрь 2024'!$G$5:$G$2162,'октябрь 2024'!$D$5:$D$2162,$B199,'октябрь 2024'!$J$5:$J$2162,Z$1)</f>
        <v>0</v>
      </c>
      <c r="AA199" s="80">
        <f>SUMIFS('октябрь 2024'!$G$5:$G$2162,'октябрь 2024'!$D$5:$D$2162,$B199,'октябрь 2024'!$J$5:$J$2162,AA$1)</f>
        <v>0</v>
      </c>
      <c r="AB199" s="80">
        <f>SUMIFS('октябрь 2024'!$G$5:$G$2162,'октябрь 2024'!$D$5:$D$2162,$B199,'октябрь 2024'!$J$5:$J$2162,AB$1)</f>
        <v>0</v>
      </c>
      <c r="AC199" s="80">
        <f>SUMIFS('октябрь 2024'!$G$5:$G$2162,'октябрь 2024'!$D$5:$D$2162,$B199,'октябрь 2024'!$J$5:$J$2162,AC$1)</f>
        <v>0</v>
      </c>
      <c r="AD199" s="80">
        <f>SUMIFS('октябрь 2024'!$G$5:$G$2162,'октябрь 2024'!$D$5:$D$2162,$B199,'октябрь 2024'!$J$5:$J$2162,AD$1)</f>
        <v>0</v>
      </c>
      <c r="AE199" s="80">
        <f>SUMIFS('октябрь 2024'!$G$5:$G$2162,'октябрь 2024'!$D$5:$D$2162,$B199,'октябрь 2024'!$J$5:$J$2162,AE$1)</f>
        <v>0</v>
      </c>
      <c r="AF199" s="80">
        <f>SUMIFS('октябрь 2024'!$G$5:$G$2162,'октябрь 2024'!$D$5:$D$2162,$B199,'октябрь 2024'!$J$5:$J$2162,AF$1)</f>
        <v>0</v>
      </c>
      <c r="AG199" s="80">
        <f>SUMIFS('октябрь 2024'!$G$5:$G$2162,'октябрь 2024'!$D$5:$D$2162,$B199,'октябрь 2024'!$J$5:$J$2162,AG$1)</f>
        <v>0</v>
      </c>
      <c r="AH199" s="80">
        <f>SUMIFS('октябрь 2024'!$G$5:$G$2162,'октябрь 2024'!$D$5:$D$2162,$B199,'октябрь 2024'!$J$5:$J$2162,AH$1)</f>
        <v>0</v>
      </c>
      <c r="AI199" s="87"/>
    </row>
    <row r="200" spans="2:35" ht="15" hidden="1" customHeight="1" x14ac:dyDescent="0.25">
      <c r="B200" s="89"/>
      <c r="C200" s="88"/>
      <c r="D200" s="80">
        <f>SUMIFS('октябрь 2024'!$G$5:$G$2162,'октябрь 2024'!$D$5:$D$2162,$B200,'октябрь 2024'!$J$5:$J$2162,D$1)</f>
        <v>0</v>
      </c>
      <c r="E200" s="80">
        <f>SUMIFS('октябрь 2024'!$G$5:$G$2162,'октябрь 2024'!$D$5:$D$2162,$B200,'октябрь 2024'!$J$5:$J$2162,E$1)</f>
        <v>0</v>
      </c>
      <c r="F200" s="80">
        <f>SUMIFS('октябрь 2024'!$G$5:$G$2162,'октябрь 2024'!$D$5:$D$2162,$B200,'октябрь 2024'!$J$5:$J$2162,F$1)</f>
        <v>0</v>
      </c>
      <c r="G200" s="80">
        <f>SUMIFS('октябрь 2024'!$G$5:$G$2162,'октябрь 2024'!$D$5:$D$2162,$B200,'октябрь 2024'!$J$5:$J$2162,G$1)</f>
        <v>0</v>
      </c>
      <c r="H200" s="80">
        <f>SUMIFS('октябрь 2024'!$G$5:$G$2162,'октябрь 2024'!$D$5:$D$2162,$B200,'октябрь 2024'!$J$5:$J$2162,H$1)</f>
        <v>0</v>
      </c>
      <c r="I200" s="80">
        <f>SUMIFS('октябрь 2024'!$G$5:$G$2162,'октябрь 2024'!$D$5:$D$2162,$B200,'октябрь 2024'!$J$5:$J$2162,I$1)</f>
        <v>0</v>
      </c>
      <c r="J200" s="80">
        <f>SUMIFS('октябрь 2024'!$G$5:$G$2162,'октябрь 2024'!$D$5:$D$2162,$B200,'октябрь 2024'!$J$5:$J$2162,J$1)</f>
        <v>0</v>
      </c>
      <c r="K200" s="80">
        <f>SUMIFS('октябрь 2024'!$G$5:$G$2162,'октябрь 2024'!$D$5:$D$2162,$B200,'октябрь 2024'!$J$5:$J$2162,K$1)</f>
        <v>0</v>
      </c>
      <c r="L200" s="80">
        <f>SUMIFS('октябрь 2024'!$G$5:$G$2162,'октябрь 2024'!$D$5:$D$2162,$B200,'октябрь 2024'!$J$5:$J$2162,L$1)</f>
        <v>0</v>
      </c>
      <c r="M200" s="80">
        <f>SUMIFS('октябрь 2024'!$G$5:$G$2162,'октябрь 2024'!$D$5:$D$2162,$B200,'октябрь 2024'!$J$5:$J$2162,M$1)</f>
        <v>0</v>
      </c>
      <c r="N200" s="80">
        <f>SUMIFS('октябрь 2024'!$G$5:$G$2162,'октябрь 2024'!$D$5:$D$2162,$B200,'октябрь 2024'!$J$5:$J$2162,N$1)</f>
        <v>0</v>
      </c>
      <c r="O200" s="80">
        <f>SUMIFS('октябрь 2024'!$G$5:$G$2162,'октябрь 2024'!$D$5:$D$2162,$B200,'октябрь 2024'!$J$5:$J$2162,O$1)</f>
        <v>0</v>
      </c>
      <c r="P200" s="80">
        <f>SUMIFS('октябрь 2024'!$G$5:$G$2162,'октябрь 2024'!$D$5:$D$2162,$B200,'октябрь 2024'!$J$5:$J$2162,P$1)</f>
        <v>0</v>
      </c>
      <c r="Q200" s="80">
        <f>SUMIFS('октябрь 2024'!$G$5:$G$2162,'октябрь 2024'!$D$5:$D$2162,$B200,'октябрь 2024'!$J$5:$J$2162,Q$1)</f>
        <v>0</v>
      </c>
      <c r="R200" s="80">
        <f>SUMIFS('октябрь 2024'!$G$5:$G$2162,'октябрь 2024'!$D$5:$D$2162,$B200,'октябрь 2024'!$J$5:$J$2162,R$1)</f>
        <v>0</v>
      </c>
      <c r="S200" s="80">
        <f>SUMIFS('октябрь 2024'!$G$5:$G$2162,'октябрь 2024'!$D$5:$D$2162,$B200,'октябрь 2024'!$J$5:$J$2162,S$1)</f>
        <v>0</v>
      </c>
      <c r="T200" s="80">
        <f>SUMIFS('октябрь 2024'!$G$5:$G$2162,'октябрь 2024'!$D$5:$D$2162,$B200,'октябрь 2024'!$J$5:$J$2162,T$1)</f>
        <v>0</v>
      </c>
      <c r="U200" s="80">
        <f>SUMIFS('октябрь 2024'!$G$5:$G$2162,'октябрь 2024'!$D$5:$D$2162,$B200,'октябрь 2024'!$J$5:$J$2162,U$1)</f>
        <v>0</v>
      </c>
      <c r="V200" s="80">
        <f>SUMIFS('октябрь 2024'!$G$5:$G$2162,'октябрь 2024'!$D$5:$D$2162,$B200,'октябрь 2024'!$J$5:$J$2162,V$1)</f>
        <v>0</v>
      </c>
      <c r="W200" s="80">
        <f>SUMIFS('октябрь 2024'!$G$5:$G$2162,'октябрь 2024'!$D$5:$D$2162,$B200,'октябрь 2024'!$J$5:$J$2162,W$1)</f>
        <v>0</v>
      </c>
      <c r="X200" s="80">
        <f>SUMIFS('октябрь 2024'!$G$5:$G$2162,'октябрь 2024'!$D$5:$D$2162,$B200,'октябрь 2024'!$J$5:$J$2162,X$1)</f>
        <v>0</v>
      </c>
      <c r="Y200" s="80">
        <f>SUMIFS('октябрь 2024'!$G$5:$G$2162,'октябрь 2024'!$D$5:$D$2162,$B200,'октябрь 2024'!$J$5:$J$2162,Y$1)</f>
        <v>0</v>
      </c>
      <c r="Z200" s="80">
        <f>SUMIFS('октябрь 2024'!$G$5:$G$2162,'октябрь 2024'!$D$5:$D$2162,$B200,'октябрь 2024'!$J$5:$J$2162,Z$1)</f>
        <v>0</v>
      </c>
      <c r="AA200" s="80">
        <f>SUMIFS('октябрь 2024'!$G$5:$G$2162,'октябрь 2024'!$D$5:$D$2162,$B200,'октябрь 2024'!$J$5:$J$2162,AA$1)</f>
        <v>0</v>
      </c>
      <c r="AB200" s="80">
        <f>SUMIFS('октябрь 2024'!$G$5:$G$2162,'октябрь 2024'!$D$5:$D$2162,$B200,'октябрь 2024'!$J$5:$J$2162,AB$1)</f>
        <v>0</v>
      </c>
      <c r="AC200" s="80">
        <f>SUMIFS('октябрь 2024'!$G$5:$G$2162,'октябрь 2024'!$D$5:$D$2162,$B200,'октябрь 2024'!$J$5:$J$2162,AC$1)</f>
        <v>0</v>
      </c>
      <c r="AD200" s="80">
        <f>SUMIFS('октябрь 2024'!$G$5:$G$2162,'октябрь 2024'!$D$5:$D$2162,$B200,'октябрь 2024'!$J$5:$J$2162,AD$1)</f>
        <v>0</v>
      </c>
      <c r="AE200" s="80">
        <f>SUMIFS('октябрь 2024'!$G$5:$G$2162,'октябрь 2024'!$D$5:$D$2162,$B200,'октябрь 2024'!$J$5:$J$2162,AE$1)</f>
        <v>0</v>
      </c>
      <c r="AF200" s="80">
        <f>SUMIFS('октябрь 2024'!$G$5:$G$2162,'октябрь 2024'!$D$5:$D$2162,$B200,'октябрь 2024'!$J$5:$J$2162,AF$1)</f>
        <v>0</v>
      </c>
      <c r="AG200" s="80">
        <f>SUMIFS('октябрь 2024'!$G$5:$G$2162,'октябрь 2024'!$D$5:$D$2162,$B200,'октябрь 2024'!$J$5:$J$2162,AG$1)</f>
        <v>0</v>
      </c>
      <c r="AH200" s="80">
        <f>SUMIFS('октябрь 2024'!$G$5:$G$2162,'октябрь 2024'!$D$5:$D$2162,$B200,'октябрь 2024'!$J$5:$J$2162,AH$1)</f>
        <v>0</v>
      </c>
      <c r="AI200" s="87"/>
    </row>
    <row r="201" spans="2:35" ht="15" hidden="1" customHeight="1" x14ac:dyDescent="0.25">
      <c r="B201" s="89"/>
      <c r="C201" s="88"/>
      <c r="D201" s="80">
        <f>SUMIFS('октябрь 2024'!$G$5:$G$2162,'октябрь 2024'!$D$5:$D$2162,$B201,'октябрь 2024'!$J$5:$J$2162,D$1)</f>
        <v>0</v>
      </c>
      <c r="E201" s="80">
        <f>SUMIFS('октябрь 2024'!$G$5:$G$2162,'октябрь 2024'!$D$5:$D$2162,$B201,'октябрь 2024'!$J$5:$J$2162,E$1)</f>
        <v>0</v>
      </c>
      <c r="F201" s="80">
        <f>SUMIFS('октябрь 2024'!$G$5:$G$2162,'октябрь 2024'!$D$5:$D$2162,$B201,'октябрь 2024'!$J$5:$J$2162,F$1)</f>
        <v>0</v>
      </c>
      <c r="G201" s="80">
        <f>SUMIFS('октябрь 2024'!$G$5:$G$2162,'октябрь 2024'!$D$5:$D$2162,$B201,'октябрь 2024'!$J$5:$J$2162,G$1)</f>
        <v>0</v>
      </c>
      <c r="H201" s="80">
        <f>SUMIFS('октябрь 2024'!$G$5:$G$2162,'октябрь 2024'!$D$5:$D$2162,$B201,'октябрь 2024'!$J$5:$J$2162,H$1)</f>
        <v>0</v>
      </c>
      <c r="I201" s="80">
        <f>SUMIFS('октябрь 2024'!$G$5:$G$2162,'октябрь 2024'!$D$5:$D$2162,$B201,'октябрь 2024'!$J$5:$J$2162,I$1)</f>
        <v>0</v>
      </c>
      <c r="J201" s="80">
        <f>SUMIFS('октябрь 2024'!$G$5:$G$2162,'октябрь 2024'!$D$5:$D$2162,$B201,'октябрь 2024'!$J$5:$J$2162,J$1)</f>
        <v>0</v>
      </c>
      <c r="K201" s="80">
        <f>SUMIFS('октябрь 2024'!$G$5:$G$2162,'октябрь 2024'!$D$5:$D$2162,$B201,'октябрь 2024'!$J$5:$J$2162,K$1)</f>
        <v>0</v>
      </c>
      <c r="L201" s="80">
        <f>SUMIFS('октябрь 2024'!$G$5:$G$2162,'октябрь 2024'!$D$5:$D$2162,$B201,'октябрь 2024'!$J$5:$J$2162,L$1)</f>
        <v>0</v>
      </c>
      <c r="M201" s="80">
        <f>SUMIFS('октябрь 2024'!$G$5:$G$2162,'октябрь 2024'!$D$5:$D$2162,$B201,'октябрь 2024'!$J$5:$J$2162,M$1)</f>
        <v>0</v>
      </c>
      <c r="N201" s="80">
        <f>SUMIFS('октябрь 2024'!$G$5:$G$2162,'октябрь 2024'!$D$5:$D$2162,$B201,'октябрь 2024'!$J$5:$J$2162,N$1)</f>
        <v>0</v>
      </c>
      <c r="O201" s="80">
        <f>SUMIFS('октябрь 2024'!$G$5:$G$2162,'октябрь 2024'!$D$5:$D$2162,$B201,'октябрь 2024'!$J$5:$J$2162,O$1)</f>
        <v>0</v>
      </c>
      <c r="P201" s="80">
        <f>SUMIFS('октябрь 2024'!$G$5:$G$2162,'октябрь 2024'!$D$5:$D$2162,$B201,'октябрь 2024'!$J$5:$J$2162,P$1)</f>
        <v>0</v>
      </c>
      <c r="Q201" s="80">
        <f>SUMIFS('октябрь 2024'!$G$5:$G$2162,'октябрь 2024'!$D$5:$D$2162,$B201,'октябрь 2024'!$J$5:$J$2162,Q$1)</f>
        <v>0</v>
      </c>
      <c r="R201" s="80">
        <f>SUMIFS('октябрь 2024'!$G$5:$G$2162,'октябрь 2024'!$D$5:$D$2162,$B201,'октябрь 2024'!$J$5:$J$2162,R$1)</f>
        <v>0</v>
      </c>
      <c r="S201" s="80">
        <f>SUMIFS('октябрь 2024'!$G$5:$G$2162,'октябрь 2024'!$D$5:$D$2162,$B201,'октябрь 2024'!$J$5:$J$2162,S$1)</f>
        <v>0</v>
      </c>
      <c r="T201" s="80">
        <f>SUMIFS('октябрь 2024'!$G$5:$G$2162,'октябрь 2024'!$D$5:$D$2162,$B201,'октябрь 2024'!$J$5:$J$2162,T$1)</f>
        <v>0</v>
      </c>
      <c r="U201" s="80">
        <f>SUMIFS('октябрь 2024'!$G$5:$G$2162,'октябрь 2024'!$D$5:$D$2162,$B201,'октябрь 2024'!$J$5:$J$2162,U$1)</f>
        <v>0</v>
      </c>
      <c r="V201" s="80">
        <f>SUMIFS('октябрь 2024'!$G$5:$G$2162,'октябрь 2024'!$D$5:$D$2162,$B201,'октябрь 2024'!$J$5:$J$2162,V$1)</f>
        <v>0</v>
      </c>
      <c r="W201" s="80">
        <f>SUMIFS('октябрь 2024'!$G$5:$G$2162,'октябрь 2024'!$D$5:$D$2162,$B201,'октябрь 2024'!$J$5:$J$2162,W$1)</f>
        <v>0</v>
      </c>
      <c r="X201" s="80">
        <f>SUMIFS('октябрь 2024'!$G$5:$G$2162,'октябрь 2024'!$D$5:$D$2162,$B201,'октябрь 2024'!$J$5:$J$2162,X$1)</f>
        <v>0</v>
      </c>
      <c r="Y201" s="80">
        <f>SUMIFS('октябрь 2024'!$G$5:$G$2162,'октябрь 2024'!$D$5:$D$2162,$B201,'октябрь 2024'!$J$5:$J$2162,Y$1)</f>
        <v>0</v>
      </c>
      <c r="Z201" s="80">
        <f>SUMIFS('октябрь 2024'!$G$5:$G$2162,'октябрь 2024'!$D$5:$D$2162,$B201,'октябрь 2024'!$J$5:$J$2162,Z$1)</f>
        <v>0</v>
      </c>
      <c r="AA201" s="80">
        <f>SUMIFS('октябрь 2024'!$G$5:$G$2162,'октябрь 2024'!$D$5:$D$2162,$B201,'октябрь 2024'!$J$5:$J$2162,AA$1)</f>
        <v>0</v>
      </c>
      <c r="AB201" s="80">
        <f>SUMIFS('октябрь 2024'!$G$5:$G$2162,'октябрь 2024'!$D$5:$D$2162,$B201,'октябрь 2024'!$J$5:$J$2162,AB$1)</f>
        <v>0</v>
      </c>
      <c r="AC201" s="80">
        <f>SUMIFS('октябрь 2024'!$G$5:$G$2162,'октябрь 2024'!$D$5:$D$2162,$B201,'октябрь 2024'!$J$5:$J$2162,AC$1)</f>
        <v>0</v>
      </c>
      <c r="AD201" s="80">
        <f>SUMIFS('октябрь 2024'!$G$5:$G$2162,'октябрь 2024'!$D$5:$D$2162,$B201,'октябрь 2024'!$J$5:$J$2162,AD$1)</f>
        <v>0</v>
      </c>
      <c r="AE201" s="80">
        <f>SUMIFS('октябрь 2024'!$G$5:$G$2162,'октябрь 2024'!$D$5:$D$2162,$B201,'октябрь 2024'!$J$5:$J$2162,AE$1)</f>
        <v>0</v>
      </c>
      <c r="AF201" s="80">
        <f>SUMIFS('октябрь 2024'!$G$5:$G$2162,'октябрь 2024'!$D$5:$D$2162,$B201,'октябрь 2024'!$J$5:$J$2162,AF$1)</f>
        <v>0</v>
      </c>
      <c r="AG201" s="80">
        <f>SUMIFS('октябрь 2024'!$G$5:$G$2162,'октябрь 2024'!$D$5:$D$2162,$B201,'октябрь 2024'!$J$5:$J$2162,AG$1)</f>
        <v>0</v>
      </c>
      <c r="AH201" s="80">
        <f>SUMIFS('октябрь 2024'!$G$5:$G$2162,'октябрь 2024'!$D$5:$D$2162,$B201,'октябрь 2024'!$J$5:$J$2162,AH$1)</f>
        <v>0</v>
      </c>
      <c r="AI201" s="87"/>
    </row>
    <row r="202" spans="2:35" ht="15" hidden="1" customHeight="1" x14ac:dyDescent="0.25">
      <c r="B202" s="89"/>
      <c r="C202" s="88"/>
      <c r="D202" s="80">
        <f>SUMIFS('октябрь 2024'!$G$5:$G$2162,'октябрь 2024'!$D$5:$D$2162,$B202,'октябрь 2024'!$J$5:$J$2162,D$1)</f>
        <v>0</v>
      </c>
      <c r="E202" s="80">
        <f>SUMIFS('октябрь 2024'!$G$5:$G$2162,'октябрь 2024'!$D$5:$D$2162,$B202,'октябрь 2024'!$J$5:$J$2162,E$1)</f>
        <v>0</v>
      </c>
      <c r="F202" s="80">
        <f>SUMIFS('октябрь 2024'!$G$5:$G$2162,'октябрь 2024'!$D$5:$D$2162,$B202,'октябрь 2024'!$J$5:$J$2162,F$1)</f>
        <v>0</v>
      </c>
      <c r="G202" s="80">
        <f>SUMIFS('октябрь 2024'!$G$5:$G$2162,'октябрь 2024'!$D$5:$D$2162,$B202,'октябрь 2024'!$J$5:$J$2162,G$1)</f>
        <v>0</v>
      </c>
      <c r="H202" s="80">
        <f>SUMIFS('октябрь 2024'!$G$5:$G$2162,'октябрь 2024'!$D$5:$D$2162,$B202,'октябрь 2024'!$J$5:$J$2162,H$1)</f>
        <v>0</v>
      </c>
      <c r="I202" s="80">
        <f>SUMIFS('октябрь 2024'!$G$5:$G$2162,'октябрь 2024'!$D$5:$D$2162,$B202,'октябрь 2024'!$J$5:$J$2162,I$1)</f>
        <v>0</v>
      </c>
      <c r="J202" s="80">
        <f>SUMIFS('октябрь 2024'!$G$5:$G$2162,'октябрь 2024'!$D$5:$D$2162,$B202,'октябрь 2024'!$J$5:$J$2162,J$1)</f>
        <v>0</v>
      </c>
      <c r="K202" s="80">
        <f>SUMIFS('октябрь 2024'!$G$5:$G$2162,'октябрь 2024'!$D$5:$D$2162,$B202,'октябрь 2024'!$J$5:$J$2162,K$1)</f>
        <v>0</v>
      </c>
      <c r="L202" s="80">
        <f>SUMIFS('октябрь 2024'!$G$5:$G$2162,'октябрь 2024'!$D$5:$D$2162,$B202,'октябрь 2024'!$J$5:$J$2162,L$1)</f>
        <v>0</v>
      </c>
      <c r="M202" s="80">
        <f>SUMIFS('октябрь 2024'!$G$5:$G$2162,'октябрь 2024'!$D$5:$D$2162,$B202,'октябрь 2024'!$J$5:$J$2162,M$1)</f>
        <v>0</v>
      </c>
      <c r="N202" s="80">
        <f>SUMIFS('октябрь 2024'!$G$5:$G$2162,'октябрь 2024'!$D$5:$D$2162,$B202,'октябрь 2024'!$J$5:$J$2162,N$1)</f>
        <v>0</v>
      </c>
      <c r="O202" s="80">
        <f>SUMIFS('октябрь 2024'!$G$5:$G$2162,'октябрь 2024'!$D$5:$D$2162,$B202,'октябрь 2024'!$J$5:$J$2162,O$1)</f>
        <v>0</v>
      </c>
      <c r="P202" s="80">
        <f>SUMIFS('октябрь 2024'!$G$5:$G$2162,'октябрь 2024'!$D$5:$D$2162,$B202,'октябрь 2024'!$J$5:$J$2162,P$1)</f>
        <v>0</v>
      </c>
      <c r="Q202" s="80">
        <f>SUMIFS('октябрь 2024'!$G$5:$G$2162,'октябрь 2024'!$D$5:$D$2162,$B202,'октябрь 2024'!$J$5:$J$2162,Q$1)</f>
        <v>0</v>
      </c>
      <c r="R202" s="80">
        <f>SUMIFS('октябрь 2024'!$G$5:$G$2162,'октябрь 2024'!$D$5:$D$2162,$B202,'октябрь 2024'!$J$5:$J$2162,R$1)</f>
        <v>0</v>
      </c>
      <c r="S202" s="80">
        <f>SUMIFS('октябрь 2024'!$G$5:$G$2162,'октябрь 2024'!$D$5:$D$2162,$B202,'октябрь 2024'!$J$5:$J$2162,S$1)</f>
        <v>0</v>
      </c>
      <c r="T202" s="80">
        <f>SUMIFS('октябрь 2024'!$G$5:$G$2162,'октябрь 2024'!$D$5:$D$2162,$B202,'октябрь 2024'!$J$5:$J$2162,T$1)</f>
        <v>0</v>
      </c>
      <c r="U202" s="80">
        <f>SUMIFS('октябрь 2024'!$G$5:$G$2162,'октябрь 2024'!$D$5:$D$2162,$B202,'октябрь 2024'!$J$5:$J$2162,U$1)</f>
        <v>0</v>
      </c>
      <c r="V202" s="80">
        <f>SUMIFS('октябрь 2024'!$G$5:$G$2162,'октябрь 2024'!$D$5:$D$2162,$B202,'октябрь 2024'!$J$5:$J$2162,V$1)</f>
        <v>0</v>
      </c>
      <c r="W202" s="80">
        <f>SUMIFS('октябрь 2024'!$G$5:$G$2162,'октябрь 2024'!$D$5:$D$2162,$B202,'октябрь 2024'!$J$5:$J$2162,W$1)</f>
        <v>0</v>
      </c>
      <c r="X202" s="80">
        <f>SUMIFS('октябрь 2024'!$G$5:$G$2162,'октябрь 2024'!$D$5:$D$2162,$B202,'октябрь 2024'!$J$5:$J$2162,X$1)</f>
        <v>0</v>
      </c>
      <c r="Y202" s="80">
        <f>SUMIFS('октябрь 2024'!$G$5:$G$2162,'октябрь 2024'!$D$5:$D$2162,$B202,'октябрь 2024'!$J$5:$J$2162,Y$1)</f>
        <v>0</v>
      </c>
      <c r="Z202" s="80">
        <f>SUMIFS('октябрь 2024'!$G$5:$G$2162,'октябрь 2024'!$D$5:$D$2162,$B202,'октябрь 2024'!$J$5:$J$2162,Z$1)</f>
        <v>0</v>
      </c>
      <c r="AA202" s="80">
        <f>SUMIFS('октябрь 2024'!$G$5:$G$2162,'октябрь 2024'!$D$5:$D$2162,$B202,'октябрь 2024'!$J$5:$J$2162,AA$1)</f>
        <v>0</v>
      </c>
      <c r="AB202" s="80">
        <f>SUMIFS('октябрь 2024'!$G$5:$G$2162,'октябрь 2024'!$D$5:$D$2162,$B202,'октябрь 2024'!$J$5:$J$2162,AB$1)</f>
        <v>0</v>
      </c>
      <c r="AC202" s="80">
        <f>SUMIFS('октябрь 2024'!$G$5:$G$2162,'октябрь 2024'!$D$5:$D$2162,$B202,'октябрь 2024'!$J$5:$J$2162,AC$1)</f>
        <v>0</v>
      </c>
      <c r="AD202" s="80">
        <f>SUMIFS('октябрь 2024'!$G$5:$G$2162,'октябрь 2024'!$D$5:$D$2162,$B202,'октябрь 2024'!$J$5:$J$2162,AD$1)</f>
        <v>0</v>
      </c>
      <c r="AE202" s="80">
        <f>SUMIFS('октябрь 2024'!$G$5:$G$2162,'октябрь 2024'!$D$5:$D$2162,$B202,'октябрь 2024'!$J$5:$J$2162,AE$1)</f>
        <v>0</v>
      </c>
      <c r="AF202" s="80">
        <f>SUMIFS('октябрь 2024'!$G$5:$G$2162,'октябрь 2024'!$D$5:$D$2162,$B202,'октябрь 2024'!$J$5:$J$2162,AF$1)</f>
        <v>0</v>
      </c>
      <c r="AG202" s="80">
        <f>SUMIFS('октябрь 2024'!$G$5:$G$2162,'октябрь 2024'!$D$5:$D$2162,$B202,'октябрь 2024'!$J$5:$J$2162,AG$1)</f>
        <v>0</v>
      </c>
      <c r="AH202" s="80">
        <f>SUMIFS('октябрь 2024'!$G$5:$G$2162,'октябрь 2024'!$D$5:$D$2162,$B202,'октябрь 2024'!$J$5:$J$2162,AH$1)</f>
        <v>0</v>
      </c>
      <c r="AI202" s="87"/>
    </row>
    <row r="203" spans="2:35" ht="15" hidden="1" customHeight="1" x14ac:dyDescent="0.25">
      <c r="B203" s="89"/>
      <c r="C203" s="88"/>
      <c r="D203" s="80">
        <f>SUMIFS('октябрь 2024'!$G$5:$G$2162,'октябрь 2024'!$D$5:$D$2162,$B203,'октябрь 2024'!$J$5:$J$2162,D$1)</f>
        <v>0</v>
      </c>
      <c r="E203" s="80">
        <f>SUMIFS('октябрь 2024'!$G$5:$G$2162,'октябрь 2024'!$D$5:$D$2162,$B203,'октябрь 2024'!$J$5:$J$2162,E$1)</f>
        <v>0</v>
      </c>
      <c r="F203" s="80">
        <f>SUMIFS('октябрь 2024'!$G$5:$G$2162,'октябрь 2024'!$D$5:$D$2162,$B203,'октябрь 2024'!$J$5:$J$2162,F$1)</f>
        <v>0</v>
      </c>
      <c r="G203" s="80">
        <f>SUMIFS('октябрь 2024'!$G$5:$G$2162,'октябрь 2024'!$D$5:$D$2162,$B203,'октябрь 2024'!$J$5:$J$2162,G$1)</f>
        <v>0</v>
      </c>
      <c r="H203" s="80">
        <f>SUMIFS('октябрь 2024'!$G$5:$G$2162,'октябрь 2024'!$D$5:$D$2162,$B203,'октябрь 2024'!$J$5:$J$2162,H$1)</f>
        <v>0</v>
      </c>
      <c r="I203" s="80">
        <f>SUMIFS('октябрь 2024'!$G$5:$G$2162,'октябрь 2024'!$D$5:$D$2162,$B203,'октябрь 2024'!$J$5:$J$2162,I$1)</f>
        <v>0</v>
      </c>
      <c r="J203" s="80">
        <f>SUMIFS('октябрь 2024'!$G$5:$G$2162,'октябрь 2024'!$D$5:$D$2162,$B203,'октябрь 2024'!$J$5:$J$2162,J$1)</f>
        <v>0</v>
      </c>
      <c r="K203" s="80">
        <f>SUMIFS('октябрь 2024'!$G$5:$G$2162,'октябрь 2024'!$D$5:$D$2162,$B203,'октябрь 2024'!$J$5:$J$2162,K$1)</f>
        <v>0</v>
      </c>
      <c r="L203" s="80">
        <f>SUMIFS('октябрь 2024'!$G$5:$G$2162,'октябрь 2024'!$D$5:$D$2162,$B203,'октябрь 2024'!$J$5:$J$2162,L$1)</f>
        <v>0</v>
      </c>
      <c r="M203" s="80">
        <f>SUMIFS('октябрь 2024'!$G$5:$G$2162,'октябрь 2024'!$D$5:$D$2162,$B203,'октябрь 2024'!$J$5:$J$2162,M$1)</f>
        <v>0</v>
      </c>
      <c r="N203" s="80">
        <f>SUMIFS('октябрь 2024'!$G$5:$G$2162,'октябрь 2024'!$D$5:$D$2162,$B203,'октябрь 2024'!$J$5:$J$2162,N$1)</f>
        <v>0</v>
      </c>
      <c r="O203" s="80">
        <f>SUMIFS('октябрь 2024'!$G$5:$G$2162,'октябрь 2024'!$D$5:$D$2162,$B203,'октябрь 2024'!$J$5:$J$2162,O$1)</f>
        <v>0</v>
      </c>
      <c r="P203" s="80">
        <f>SUMIFS('октябрь 2024'!$G$5:$G$2162,'октябрь 2024'!$D$5:$D$2162,$B203,'октябрь 2024'!$J$5:$J$2162,P$1)</f>
        <v>0</v>
      </c>
      <c r="Q203" s="80">
        <f>SUMIFS('октябрь 2024'!$G$5:$G$2162,'октябрь 2024'!$D$5:$D$2162,$B203,'октябрь 2024'!$J$5:$J$2162,Q$1)</f>
        <v>0</v>
      </c>
      <c r="R203" s="80">
        <f>SUMIFS('октябрь 2024'!$G$5:$G$2162,'октябрь 2024'!$D$5:$D$2162,$B203,'октябрь 2024'!$J$5:$J$2162,R$1)</f>
        <v>0</v>
      </c>
      <c r="S203" s="80">
        <f>SUMIFS('октябрь 2024'!$G$5:$G$2162,'октябрь 2024'!$D$5:$D$2162,$B203,'октябрь 2024'!$J$5:$J$2162,S$1)</f>
        <v>0</v>
      </c>
      <c r="T203" s="80">
        <f>SUMIFS('октябрь 2024'!$G$5:$G$2162,'октябрь 2024'!$D$5:$D$2162,$B203,'октябрь 2024'!$J$5:$J$2162,T$1)</f>
        <v>0</v>
      </c>
      <c r="U203" s="80">
        <f>SUMIFS('октябрь 2024'!$G$5:$G$2162,'октябрь 2024'!$D$5:$D$2162,$B203,'октябрь 2024'!$J$5:$J$2162,U$1)</f>
        <v>0</v>
      </c>
      <c r="V203" s="80">
        <f>SUMIFS('октябрь 2024'!$G$5:$G$2162,'октябрь 2024'!$D$5:$D$2162,$B203,'октябрь 2024'!$J$5:$J$2162,V$1)</f>
        <v>0</v>
      </c>
      <c r="W203" s="80">
        <f>SUMIFS('октябрь 2024'!$G$5:$G$2162,'октябрь 2024'!$D$5:$D$2162,$B203,'октябрь 2024'!$J$5:$J$2162,W$1)</f>
        <v>0</v>
      </c>
      <c r="X203" s="80">
        <f>SUMIFS('октябрь 2024'!$G$5:$G$2162,'октябрь 2024'!$D$5:$D$2162,$B203,'октябрь 2024'!$J$5:$J$2162,X$1)</f>
        <v>0</v>
      </c>
      <c r="Y203" s="80">
        <f>SUMIFS('октябрь 2024'!$G$5:$G$2162,'октябрь 2024'!$D$5:$D$2162,$B203,'октябрь 2024'!$J$5:$J$2162,Y$1)</f>
        <v>0</v>
      </c>
      <c r="Z203" s="80">
        <f>SUMIFS('октябрь 2024'!$G$5:$G$2162,'октябрь 2024'!$D$5:$D$2162,$B203,'октябрь 2024'!$J$5:$J$2162,Z$1)</f>
        <v>0</v>
      </c>
      <c r="AA203" s="80">
        <f>SUMIFS('октябрь 2024'!$G$5:$G$2162,'октябрь 2024'!$D$5:$D$2162,$B203,'октябрь 2024'!$J$5:$J$2162,AA$1)</f>
        <v>0</v>
      </c>
      <c r="AB203" s="80">
        <f>SUMIFS('октябрь 2024'!$G$5:$G$2162,'октябрь 2024'!$D$5:$D$2162,$B203,'октябрь 2024'!$J$5:$J$2162,AB$1)</f>
        <v>0</v>
      </c>
      <c r="AC203" s="80">
        <f>SUMIFS('октябрь 2024'!$G$5:$G$2162,'октябрь 2024'!$D$5:$D$2162,$B203,'октябрь 2024'!$J$5:$J$2162,AC$1)</f>
        <v>0</v>
      </c>
      <c r="AD203" s="80">
        <f>SUMIFS('октябрь 2024'!$G$5:$G$2162,'октябрь 2024'!$D$5:$D$2162,$B203,'октябрь 2024'!$J$5:$J$2162,AD$1)</f>
        <v>0</v>
      </c>
      <c r="AE203" s="80">
        <f>SUMIFS('октябрь 2024'!$G$5:$G$2162,'октябрь 2024'!$D$5:$D$2162,$B203,'октябрь 2024'!$J$5:$J$2162,AE$1)</f>
        <v>0</v>
      </c>
      <c r="AF203" s="80">
        <f>SUMIFS('октябрь 2024'!$G$5:$G$2162,'октябрь 2024'!$D$5:$D$2162,$B203,'октябрь 2024'!$J$5:$J$2162,AF$1)</f>
        <v>0</v>
      </c>
      <c r="AG203" s="80">
        <f>SUMIFS('октябрь 2024'!$G$5:$G$2162,'октябрь 2024'!$D$5:$D$2162,$B203,'октябрь 2024'!$J$5:$J$2162,AG$1)</f>
        <v>0</v>
      </c>
      <c r="AH203" s="80">
        <f>SUMIFS('октябрь 2024'!$G$5:$G$2162,'октябрь 2024'!$D$5:$D$2162,$B203,'октябрь 2024'!$J$5:$J$2162,AH$1)</f>
        <v>0</v>
      </c>
      <c r="AI203" s="87"/>
    </row>
    <row r="204" spans="2:35" ht="15" hidden="1" customHeight="1" x14ac:dyDescent="0.25">
      <c r="B204" s="89"/>
      <c r="C204" s="88"/>
      <c r="D204" s="80">
        <f>SUMIFS('октябрь 2024'!$G$5:$G$2162,'октябрь 2024'!$D$5:$D$2162,$B204,'октябрь 2024'!$J$5:$J$2162,D$1)</f>
        <v>0</v>
      </c>
      <c r="E204" s="80">
        <f>SUMIFS('октябрь 2024'!$G$5:$G$2162,'октябрь 2024'!$D$5:$D$2162,$B204,'октябрь 2024'!$J$5:$J$2162,E$1)</f>
        <v>0</v>
      </c>
      <c r="F204" s="80">
        <f>SUMIFS('октябрь 2024'!$G$5:$G$2162,'октябрь 2024'!$D$5:$D$2162,$B204,'октябрь 2024'!$J$5:$J$2162,F$1)</f>
        <v>0</v>
      </c>
      <c r="G204" s="80">
        <f>SUMIFS('октябрь 2024'!$G$5:$G$2162,'октябрь 2024'!$D$5:$D$2162,$B204,'октябрь 2024'!$J$5:$J$2162,G$1)</f>
        <v>0</v>
      </c>
      <c r="H204" s="80">
        <f>SUMIFS('октябрь 2024'!$G$5:$G$2162,'октябрь 2024'!$D$5:$D$2162,$B204,'октябрь 2024'!$J$5:$J$2162,H$1)</f>
        <v>0</v>
      </c>
      <c r="I204" s="80">
        <f>SUMIFS('октябрь 2024'!$G$5:$G$2162,'октябрь 2024'!$D$5:$D$2162,$B204,'октябрь 2024'!$J$5:$J$2162,I$1)</f>
        <v>0</v>
      </c>
      <c r="J204" s="80">
        <f>SUMIFS('октябрь 2024'!$G$5:$G$2162,'октябрь 2024'!$D$5:$D$2162,$B204,'октябрь 2024'!$J$5:$J$2162,J$1)</f>
        <v>0</v>
      </c>
      <c r="K204" s="80">
        <f>SUMIFS('октябрь 2024'!$G$5:$G$2162,'октябрь 2024'!$D$5:$D$2162,$B204,'октябрь 2024'!$J$5:$J$2162,K$1)</f>
        <v>0</v>
      </c>
      <c r="L204" s="80">
        <f>SUMIFS('октябрь 2024'!$G$5:$G$2162,'октябрь 2024'!$D$5:$D$2162,$B204,'октябрь 2024'!$J$5:$J$2162,L$1)</f>
        <v>0</v>
      </c>
      <c r="M204" s="80">
        <f>SUMIFS('октябрь 2024'!$G$5:$G$2162,'октябрь 2024'!$D$5:$D$2162,$B204,'октябрь 2024'!$J$5:$J$2162,M$1)</f>
        <v>0</v>
      </c>
      <c r="N204" s="80">
        <f>SUMIFS('октябрь 2024'!$G$5:$G$2162,'октябрь 2024'!$D$5:$D$2162,$B204,'октябрь 2024'!$J$5:$J$2162,N$1)</f>
        <v>0</v>
      </c>
      <c r="O204" s="80">
        <f>SUMIFS('октябрь 2024'!$G$5:$G$2162,'октябрь 2024'!$D$5:$D$2162,$B204,'октябрь 2024'!$J$5:$J$2162,O$1)</f>
        <v>0</v>
      </c>
      <c r="P204" s="80">
        <f>SUMIFS('октябрь 2024'!$G$5:$G$2162,'октябрь 2024'!$D$5:$D$2162,$B204,'октябрь 2024'!$J$5:$J$2162,P$1)</f>
        <v>0</v>
      </c>
      <c r="Q204" s="80">
        <f>SUMIFS('октябрь 2024'!$G$5:$G$2162,'октябрь 2024'!$D$5:$D$2162,$B204,'октябрь 2024'!$J$5:$J$2162,Q$1)</f>
        <v>0</v>
      </c>
      <c r="R204" s="80">
        <f>SUMIFS('октябрь 2024'!$G$5:$G$2162,'октябрь 2024'!$D$5:$D$2162,$B204,'октябрь 2024'!$J$5:$J$2162,R$1)</f>
        <v>0</v>
      </c>
      <c r="S204" s="80">
        <f>SUMIFS('октябрь 2024'!$G$5:$G$2162,'октябрь 2024'!$D$5:$D$2162,$B204,'октябрь 2024'!$J$5:$J$2162,S$1)</f>
        <v>0</v>
      </c>
      <c r="T204" s="80">
        <f>SUMIFS('октябрь 2024'!$G$5:$G$2162,'октябрь 2024'!$D$5:$D$2162,$B204,'октябрь 2024'!$J$5:$J$2162,T$1)</f>
        <v>0</v>
      </c>
      <c r="U204" s="80">
        <f>SUMIFS('октябрь 2024'!$G$5:$G$2162,'октябрь 2024'!$D$5:$D$2162,$B204,'октябрь 2024'!$J$5:$J$2162,U$1)</f>
        <v>0</v>
      </c>
      <c r="V204" s="80">
        <f>SUMIFS('октябрь 2024'!$G$5:$G$2162,'октябрь 2024'!$D$5:$D$2162,$B204,'октябрь 2024'!$J$5:$J$2162,V$1)</f>
        <v>0</v>
      </c>
      <c r="W204" s="80">
        <f>SUMIFS('октябрь 2024'!$G$5:$G$2162,'октябрь 2024'!$D$5:$D$2162,$B204,'октябрь 2024'!$J$5:$J$2162,W$1)</f>
        <v>0</v>
      </c>
      <c r="X204" s="80">
        <f>SUMIFS('октябрь 2024'!$G$5:$G$2162,'октябрь 2024'!$D$5:$D$2162,$B204,'октябрь 2024'!$J$5:$J$2162,X$1)</f>
        <v>0</v>
      </c>
      <c r="Y204" s="80">
        <f>SUMIFS('октябрь 2024'!$G$5:$G$2162,'октябрь 2024'!$D$5:$D$2162,$B204,'октябрь 2024'!$J$5:$J$2162,Y$1)</f>
        <v>0</v>
      </c>
      <c r="Z204" s="80">
        <f>SUMIFS('октябрь 2024'!$G$5:$G$2162,'октябрь 2024'!$D$5:$D$2162,$B204,'октябрь 2024'!$J$5:$J$2162,Z$1)</f>
        <v>0</v>
      </c>
      <c r="AA204" s="80">
        <f>SUMIFS('октябрь 2024'!$G$5:$G$2162,'октябрь 2024'!$D$5:$D$2162,$B204,'октябрь 2024'!$J$5:$J$2162,AA$1)</f>
        <v>0</v>
      </c>
      <c r="AB204" s="80">
        <f>SUMIFS('октябрь 2024'!$G$5:$G$2162,'октябрь 2024'!$D$5:$D$2162,$B204,'октябрь 2024'!$J$5:$J$2162,AB$1)</f>
        <v>0</v>
      </c>
      <c r="AC204" s="80">
        <f>SUMIFS('октябрь 2024'!$G$5:$G$2162,'октябрь 2024'!$D$5:$D$2162,$B204,'октябрь 2024'!$J$5:$J$2162,AC$1)</f>
        <v>0</v>
      </c>
      <c r="AD204" s="80">
        <f>SUMIFS('октябрь 2024'!$G$5:$G$2162,'октябрь 2024'!$D$5:$D$2162,$B204,'октябрь 2024'!$J$5:$J$2162,AD$1)</f>
        <v>0</v>
      </c>
      <c r="AE204" s="80">
        <f>SUMIFS('октябрь 2024'!$G$5:$G$2162,'октябрь 2024'!$D$5:$D$2162,$B204,'октябрь 2024'!$J$5:$J$2162,AE$1)</f>
        <v>0</v>
      </c>
      <c r="AF204" s="80">
        <f>SUMIFS('октябрь 2024'!$G$5:$G$2162,'октябрь 2024'!$D$5:$D$2162,$B204,'октябрь 2024'!$J$5:$J$2162,AF$1)</f>
        <v>0</v>
      </c>
      <c r="AG204" s="80">
        <f>SUMIFS('октябрь 2024'!$G$5:$G$2162,'октябрь 2024'!$D$5:$D$2162,$B204,'октябрь 2024'!$J$5:$J$2162,AG$1)</f>
        <v>0</v>
      </c>
      <c r="AH204" s="80">
        <f>SUMIFS('октябрь 2024'!$G$5:$G$2162,'октябрь 2024'!$D$5:$D$2162,$B204,'октябрь 2024'!$J$5:$J$2162,AH$1)</f>
        <v>0</v>
      </c>
      <c r="AI204" s="87"/>
    </row>
    <row r="205" spans="2:35" ht="15" hidden="1" customHeight="1" x14ac:dyDescent="0.25">
      <c r="B205" s="89"/>
      <c r="C205" s="88"/>
      <c r="D205" s="80">
        <f>SUMIFS('октябрь 2024'!$G$5:$G$2162,'октябрь 2024'!$D$5:$D$2162,$B205,'октябрь 2024'!$J$5:$J$2162,D$1)</f>
        <v>0</v>
      </c>
      <c r="E205" s="80">
        <f>SUMIFS('октябрь 2024'!$G$5:$G$2162,'октябрь 2024'!$D$5:$D$2162,$B205,'октябрь 2024'!$J$5:$J$2162,E$1)</f>
        <v>0</v>
      </c>
      <c r="F205" s="80">
        <f>SUMIFS('октябрь 2024'!$G$5:$G$2162,'октябрь 2024'!$D$5:$D$2162,$B205,'октябрь 2024'!$J$5:$J$2162,F$1)</f>
        <v>0</v>
      </c>
      <c r="G205" s="80">
        <f>SUMIFS('октябрь 2024'!$G$5:$G$2162,'октябрь 2024'!$D$5:$D$2162,$B205,'октябрь 2024'!$J$5:$J$2162,G$1)</f>
        <v>0</v>
      </c>
      <c r="H205" s="80">
        <f>SUMIFS('октябрь 2024'!$G$5:$G$2162,'октябрь 2024'!$D$5:$D$2162,$B205,'октябрь 2024'!$J$5:$J$2162,H$1)</f>
        <v>0</v>
      </c>
      <c r="I205" s="80">
        <f>SUMIFS('октябрь 2024'!$G$5:$G$2162,'октябрь 2024'!$D$5:$D$2162,$B205,'октябрь 2024'!$J$5:$J$2162,I$1)</f>
        <v>0</v>
      </c>
      <c r="J205" s="80">
        <f>SUMIFS('октябрь 2024'!$G$5:$G$2162,'октябрь 2024'!$D$5:$D$2162,$B205,'октябрь 2024'!$J$5:$J$2162,J$1)</f>
        <v>0</v>
      </c>
      <c r="K205" s="80">
        <f>SUMIFS('октябрь 2024'!$G$5:$G$2162,'октябрь 2024'!$D$5:$D$2162,$B205,'октябрь 2024'!$J$5:$J$2162,K$1)</f>
        <v>0</v>
      </c>
      <c r="L205" s="80">
        <f>SUMIFS('октябрь 2024'!$G$5:$G$2162,'октябрь 2024'!$D$5:$D$2162,$B205,'октябрь 2024'!$J$5:$J$2162,L$1)</f>
        <v>0</v>
      </c>
      <c r="M205" s="80">
        <f>SUMIFS('октябрь 2024'!$G$5:$G$2162,'октябрь 2024'!$D$5:$D$2162,$B205,'октябрь 2024'!$J$5:$J$2162,M$1)</f>
        <v>0</v>
      </c>
      <c r="N205" s="80">
        <f>SUMIFS('октябрь 2024'!$G$5:$G$2162,'октябрь 2024'!$D$5:$D$2162,$B205,'октябрь 2024'!$J$5:$J$2162,N$1)</f>
        <v>0</v>
      </c>
      <c r="O205" s="80">
        <f>SUMIFS('октябрь 2024'!$G$5:$G$2162,'октябрь 2024'!$D$5:$D$2162,$B205,'октябрь 2024'!$J$5:$J$2162,O$1)</f>
        <v>0</v>
      </c>
      <c r="P205" s="80">
        <f>SUMIFS('октябрь 2024'!$G$5:$G$2162,'октябрь 2024'!$D$5:$D$2162,$B205,'октябрь 2024'!$J$5:$J$2162,P$1)</f>
        <v>0</v>
      </c>
      <c r="Q205" s="80">
        <f>SUMIFS('октябрь 2024'!$G$5:$G$2162,'октябрь 2024'!$D$5:$D$2162,$B205,'октябрь 2024'!$J$5:$J$2162,Q$1)</f>
        <v>0</v>
      </c>
      <c r="R205" s="80">
        <f>SUMIFS('октябрь 2024'!$G$5:$G$2162,'октябрь 2024'!$D$5:$D$2162,$B205,'октябрь 2024'!$J$5:$J$2162,R$1)</f>
        <v>0</v>
      </c>
      <c r="S205" s="80">
        <f>SUMIFS('октябрь 2024'!$G$5:$G$2162,'октябрь 2024'!$D$5:$D$2162,$B205,'октябрь 2024'!$J$5:$J$2162,S$1)</f>
        <v>0</v>
      </c>
      <c r="T205" s="80">
        <f>SUMIFS('октябрь 2024'!$G$5:$G$2162,'октябрь 2024'!$D$5:$D$2162,$B205,'октябрь 2024'!$J$5:$J$2162,T$1)</f>
        <v>0</v>
      </c>
      <c r="U205" s="80">
        <f>SUMIFS('октябрь 2024'!$G$5:$G$2162,'октябрь 2024'!$D$5:$D$2162,$B205,'октябрь 2024'!$J$5:$J$2162,U$1)</f>
        <v>0</v>
      </c>
      <c r="V205" s="80">
        <f>SUMIFS('октябрь 2024'!$G$5:$G$2162,'октябрь 2024'!$D$5:$D$2162,$B205,'октябрь 2024'!$J$5:$J$2162,V$1)</f>
        <v>0</v>
      </c>
      <c r="W205" s="80">
        <f>SUMIFS('октябрь 2024'!$G$5:$G$2162,'октябрь 2024'!$D$5:$D$2162,$B205,'октябрь 2024'!$J$5:$J$2162,W$1)</f>
        <v>0</v>
      </c>
      <c r="X205" s="80">
        <f>SUMIFS('октябрь 2024'!$G$5:$G$2162,'октябрь 2024'!$D$5:$D$2162,$B205,'октябрь 2024'!$J$5:$J$2162,X$1)</f>
        <v>0</v>
      </c>
      <c r="Y205" s="80">
        <f>SUMIFS('октябрь 2024'!$G$5:$G$2162,'октябрь 2024'!$D$5:$D$2162,$B205,'октябрь 2024'!$J$5:$J$2162,Y$1)</f>
        <v>0</v>
      </c>
      <c r="Z205" s="80">
        <f>SUMIFS('октябрь 2024'!$G$5:$G$2162,'октябрь 2024'!$D$5:$D$2162,$B205,'октябрь 2024'!$J$5:$J$2162,Z$1)</f>
        <v>0</v>
      </c>
      <c r="AA205" s="80">
        <f>SUMIFS('октябрь 2024'!$G$5:$G$2162,'октябрь 2024'!$D$5:$D$2162,$B205,'октябрь 2024'!$J$5:$J$2162,AA$1)</f>
        <v>0</v>
      </c>
      <c r="AB205" s="80">
        <f>SUMIFS('октябрь 2024'!$G$5:$G$2162,'октябрь 2024'!$D$5:$D$2162,$B205,'октябрь 2024'!$J$5:$J$2162,AB$1)</f>
        <v>0</v>
      </c>
      <c r="AC205" s="80">
        <f>SUMIFS('октябрь 2024'!$G$5:$G$2162,'октябрь 2024'!$D$5:$D$2162,$B205,'октябрь 2024'!$J$5:$J$2162,AC$1)</f>
        <v>0</v>
      </c>
      <c r="AD205" s="80">
        <f>SUMIFS('октябрь 2024'!$G$5:$G$2162,'октябрь 2024'!$D$5:$D$2162,$B205,'октябрь 2024'!$J$5:$J$2162,AD$1)</f>
        <v>0</v>
      </c>
      <c r="AE205" s="80">
        <f>SUMIFS('октябрь 2024'!$G$5:$G$2162,'октябрь 2024'!$D$5:$D$2162,$B205,'октябрь 2024'!$J$5:$J$2162,AE$1)</f>
        <v>0</v>
      </c>
      <c r="AF205" s="80">
        <f>SUMIFS('октябрь 2024'!$G$5:$G$2162,'октябрь 2024'!$D$5:$D$2162,$B205,'октябрь 2024'!$J$5:$J$2162,AF$1)</f>
        <v>0</v>
      </c>
      <c r="AG205" s="80">
        <f>SUMIFS('октябрь 2024'!$G$5:$G$2162,'октябрь 2024'!$D$5:$D$2162,$B205,'октябрь 2024'!$J$5:$J$2162,AG$1)</f>
        <v>0</v>
      </c>
      <c r="AH205" s="80">
        <f>SUMIFS('октябрь 2024'!$G$5:$G$2162,'октябрь 2024'!$D$5:$D$2162,$B205,'октябрь 2024'!$J$5:$J$2162,AH$1)</f>
        <v>0</v>
      </c>
      <c r="AI205" s="87"/>
    </row>
    <row r="206" spans="2:35" ht="15" hidden="1" customHeight="1" x14ac:dyDescent="0.25">
      <c r="B206" s="89"/>
      <c r="C206" s="88"/>
      <c r="D206" s="80">
        <f>SUMIFS('октябрь 2024'!$G$5:$G$2162,'октябрь 2024'!$D$5:$D$2162,$B206,'октябрь 2024'!$J$5:$J$2162,D$1)</f>
        <v>0</v>
      </c>
      <c r="E206" s="80">
        <f>SUMIFS('октябрь 2024'!$G$5:$G$2162,'октябрь 2024'!$D$5:$D$2162,$B206,'октябрь 2024'!$J$5:$J$2162,E$1)</f>
        <v>0</v>
      </c>
      <c r="F206" s="80">
        <f>SUMIFS('октябрь 2024'!$G$5:$G$2162,'октябрь 2024'!$D$5:$D$2162,$B206,'октябрь 2024'!$J$5:$J$2162,F$1)</f>
        <v>0</v>
      </c>
      <c r="G206" s="80">
        <f>SUMIFS('октябрь 2024'!$G$5:$G$2162,'октябрь 2024'!$D$5:$D$2162,$B206,'октябрь 2024'!$J$5:$J$2162,G$1)</f>
        <v>0</v>
      </c>
      <c r="H206" s="80">
        <f>SUMIFS('октябрь 2024'!$G$5:$G$2162,'октябрь 2024'!$D$5:$D$2162,$B206,'октябрь 2024'!$J$5:$J$2162,H$1)</f>
        <v>0</v>
      </c>
      <c r="I206" s="80">
        <f>SUMIFS('октябрь 2024'!$G$5:$G$2162,'октябрь 2024'!$D$5:$D$2162,$B206,'октябрь 2024'!$J$5:$J$2162,I$1)</f>
        <v>0</v>
      </c>
      <c r="J206" s="80">
        <f>SUMIFS('октябрь 2024'!$G$5:$G$2162,'октябрь 2024'!$D$5:$D$2162,$B206,'октябрь 2024'!$J$5:$J$2162,J$1)</f>
        <v>0</v>
      </c>
      <c r="K206" s="80">
        <f>SUMIFS('октябрь 2024'!$G$5:$G$2162,'октябрь 2024'!$D$5:$D$2162,$B206,'октябрь 2024'!$J$5:$J$2162,K$1)</f>
        <v>0</v>
      </c>
      <c r="L206" s="80">
        <f>SUMIFS('октябрь 2024'!$G$5:$G$2162,'октябрь 2024'!$D$5:$D$2162,$B206,'октябрь 2024'!$J$5:$J$2162,L$1)</f>
        <v>0</v>
      </c>
      <c r="M206" s="80">
        <f>SUMIFS('октябрь 2024'!$G$5:$G$2162,'октябрь 2024'!$D$5:$D$2162,$B206,'октябрь 2024'!$J$5:$J$2162,M$1)</f>
        <v>0</v>
      </c>
      <c r="N206" s="80">
        <f>SUMIFS('октябрь 2024'!$G$5:$G$2162,'октябрь 2024'!$D$5:$D$2162,$B206,'октябрь 2024'!$J$5:$J$2162,N$1)</f>
        <v>0</v>
      </c>
      <c r="O206" s="80">
        <f>SUMIFS('октябрь 2024'!$G$5:$G$2162,'октябрь 2024'!$D$5:$D$2162,$B206,'октябрь 2024'!$J$5:$J$2162,O$1)</f>
        <v>0</v>
      </c>
      <c r="P206" s="80">
        <f>SUMIFS('октябрь 2024'!$G$5:$G$2162,'октябрь 2024'!$D$5:$D$2162,$B206,'октябрь 2024'!$J$5:$J$2162,P$1)</f>
        <v>0</v>
      </c>
      <c r="Q206" s="80">
        <f>SUMIFS('октябрь 2024'!$G$5:$G$2162,'октябрь 2024'!$D$5:$D$2162,$B206,'октябрь 2024'!$J$5:$J$2162,Q$1)</f>
        <v>0</v>
      </c>
      <c r="R206" s="80">
        <f>SUMIFS('октябрь 2024'!$G$5:$G$2162,'октябрь 2024'!$D$5:$D$2162,$B206,'октябрь 2024'!$J$5:$J$2162,R$1)</f>
        <v>0</v>
      </c>
      <c r="S206" s="80">
        <f>SUMIFS('октябрь 2024'!$G$5:$G$2162,'октябрь 2024'!$D$5:$D$2162,$B206,'октябрь 2024'!$J$5:$J$2162,S$1)</f>
        <v>0</v>
      </c>
      <c r="T206" s="80">
        <f>SUMIFS('октябрь 2024'!$G$5:$G$2162,'октябрь 2024'!$D$5:$D$2162,$B206,'октябрь 2024'!$J$5:$J$2162,T$1)</f>
        <v>0</v>
      </c>
      <c r="U206" s="80">
        <f>SUMIFS('октябрь 2024'!$G$5:$G$2162,'октябрь 2024'!$D$5:$D$2162,$B206,'октябрь 2024'!$J$5:$J$2162,U$1)</f>
        <v>0</v>
      </c>
      <c r="V206" s="80">
        <f>SUMIFS('октябрь 2024'!$G$5:$G$2162,'октябрь 2024'!$D$5:$D$2162,$B206,'октябрь 2024'!$J$5:$J$2162,V$1)</f>
        <v>0</v>
      </c>
      <c r="W206" s="80">
        <f>SUMIFS('октябрь 2024'!$G$5:$G$2162,'октябрь 2024'!$D$5:$D$2162,$B206,'октябрь 2024'!$J$5:$J$2162,W$1)</f>
        <v>0</v>
      </c>
      <c r="X206" s="80">
        <f>SUMIFS('октябрь 2024'!$G$5:$G$2162,'октябрь 2024'!$D$5:$D$2162,$B206,'октябрь 2024'!$J$5:$J$2162,X$1)</f>
        <v>0</v>
      </c>
      <c r="Y206" s="80">
        <f>SUMIFS('октябрь 2024'!$G$5:$G$2162,'октябрь 2024'!$D$5:$D$2162,$B206,'октябрь 2024'!$J$5:$J$2162,Y$1)</f>
        <v>0</v>
      </c>
      <c r="Z206" s="80">
        <f>SUMIFS('октябрь 2024'!$G$5:$G$2162,'октябрь 2024'!$D$5:$D$2162,$B206,'октябрь 2024'!$J$5:$J$2162,Z$1)</f>
        <v>0</v>
      </c>
      <c r="AA206" s="80">
        <f>SUMIFS('октябрь 2024'!$G$5:$G$2162,'октябрь 2024'!$D$5:$D$2162,$B206,'октябрь 2024'!$J$5:$J$2162,AA$1)</f>
        <v>0</v>
      </c>
      <c r="AB206" s="80">
        <f>SUMIFS('октябрь 2024'!$G$5:$G$2162,'октябрь 2024'!$D$5:$D$2162,$B206,'октябрь 2024'!$J$5:$J$2162,AB$1)</f>
        <v>0</v>
      </c>
      <c r="AC206" s="80">
        <f>SUMIFS('октябрь 2024'!$G$5:$G$2162,'октябрь 2024'!$D$5:$D$2162,$B206,'октябрь 2024'!$J$5:$J$2162,AC$1)</f>
        <v>0</v>
      </c>
      <c r="AD206" s="80">
        <f>SUMIFS('октябрь 2024'!$G$5:$G$2162,'октябрь 2024'!$D$5:$D$2162,$B206,'октябрь 2024'!$J$5:$J$2162,AD$1)</f>
        <v>0</v>
      </c>
      <c r="AE206" s="80">
        <f>SUMIFS('октябрь 2024'!$G$5:$G$2162,'октябрь 2024'!$D$5:$D$2162,$B206,'октябрь 2024'!$J$5:$J$2162,AE$1)</f>
        <v>0</v>
      </c>
      <c r="AF206" s="80">
        <f>SUMIFS('октябрь 2024'!$G$5:$G$2162,'октябрь 2024'!$D$5:$D$2162,$B206,'октябрь 2024'!$J$5:$J$2162,AF$1)</f>
        <v>0</v>
      </c>
      <c r="AG206" s="80">
        <f>SUMIFS('октябрь 2024'!$G$5:$G$2162,'октябрь 2024'!$D$5:$D$2162,$B206,'октябрь 2024'!$J$5:$J$2162,AG$1)</f>
        <v>0</v>
      </c>
      <c r="AH206" s="80">
        <f>SUMIFS('октябрь 2024'!$G$5:$G$2162,'октябрь 2024'!$D$5:$D$2162,$B206,'октябрь 2024'!$J$5:$J$2162,AH$1)</f>
        <v>0</v>
      </c>
      <c r="AI206" s="87"/>
    </row>
    <row r="207" spans="2:35" ht="15" hidden="1" customHeight="1" x14ac:dyDescent="0.25">
      <c r="B207" s="89"/>
      <c r="C207" s="88"/>
      <c r="D207" s="80">
        <f>SUMIFS('октябрь 2024'!$G$5:$G$2162,'октябрь 2024'!$D$5:$D$2162,$B207,'октябрь 2024'!$J$5:$J$2162,D$1)</f>
        <v>0</v>
      </c>
      <c r="E207" s="80">
        <f>SUMIFS('октябрь 2024'!$G$5:$G$2162,'октябрь 2024'!$D$5:$D$2162,$B207,'октябрь 2024'!$J$5:$J$2162,E$1)</f>
        <v>0</v>
      </c>
      <c r="F207" s="80">
        <f>SUMIFS('октябрь 2024'!$G$5:$G$2162,'октябрь 2024'!$D$5:$D$2162,$B207,'октябрь 2024'!$J$5:$J$2162,F$1)</f>
        <v>0</v>
      </c>
      <c r="G207" s="80">
        <f>SUMIFS('октябрь 2024'!$G$5:$G$2162,'октябрь 2024'!$D$5:$D$2162,$B207,'октябрь 2024'!$J$5:$J$2162,G$1)</f>
        <v>0</v>
      </c>
      <c r="H207" s="80">
        <f>SUMIFS('октябрь 2024'!$G$5:$G$2162,'октябрь 2024'!$D$5:$D$2162,$B207,'октябрь 2024'!$J$5:$J$2162,H$1)</f>
        <v>0</v>
      </c>
      <c r="I207" s="80">
        <f>SUMIFS('октябрь 2024'!$G$5:$G$2162,'октябрь 2024'!$D$5:$D$2162,$B207,'октябрь 2024'!$J$5:$J$2162,I$1)</f>
        <v>0</v>
      </c>
      <c r="J207" s="80">
        <f>SUMIFS('октябрь 2024'!$G$5:$G$2162,'октябрь 2024'!$D$5:$D$2162,$B207,'октябрь 2024'!$J$5:$J$2162,J$1)</f>
        <v>0</v>
      </c>
      <c r="K207" s="80">
        <f>SUMIFS('октябрь 2024'!$G$5:$G$2162,'октябрь 2024'!$D$5:$D$2162,$B207,'октябрь 2024'!$J$5:$J$2162,K$1)</f>
        <v>0</v>
      </c>
      <c r="L207" s="80">
        <f>SUMIFS('октябрь 2024'!$G$5:$G$2162,'октябрь 2024'!$D$5:$D$2162,$B207,'октябрь 2024'!$J$5:$J$2162,L$1)</f>
        <v>0</v>
      </c>
      <c r="M207" s="80">
        <f>SUMIFS('октябрь 2024'!$G$5:$G$2162,'октябрь 2024'!$D$5:$D$2162,$B207,'октябрь 2024'!$J$5:$J$2162,M$1)</f>
        <v>0</v>
      </c>
      <c r="N207" s="80">
        <f>SUMIFS('октябрь 2024'!$G$5:$G$2162,'октябрь 2024'!$D$5:$D$2162,$B207,'октябрь 2024'!$J$5:$J$2162,N$1)</f>
        <v>0</v>
      </c>
      <c r="O207" s="80">
        <f>SUMIFS('октябрь 2024'!$G$5:$G$2162,'октябрь 2024'!$D$5:$D$2162,$B207,'октябрь 2024'!$J$5:$J$2162,O$1)</f>
        <v>0</v>
      </c>
      <c r="P207" s="80">
        <f>SUMIFS('октябрь 2024'!$G$5:$G$2162,'октябрь 2024'!$D$5:$D$2162,$B207,'октябрь 2024'!$J$5:$J$2162,P$1)</f>
        <v>0</v>
      </c>
      <c r="Q207" s="80">
        <f>SUMIFS('октябрь 2024'!$G$5:$G$2162,'октябрь 2024'!$D$5:$D$2162,$B207,'октябрь 2024'!$J$5:$J$2162,Q$1)</f>
        <v>0</v>
      </c>
      <c r="R207" s="80">
        <f>SUMIFS('октябрь 2024'!$G$5:$G$2162,'октябрь 2024'!$D$5:$D$2162,$B207,'октябрь 2024'!$J$5:$J$2162,R$1)</f>
        <v>0</v>
      </c>
      <c r="S207" s="80">
        <f>SUMIFS('октябрь 2024'!$G$5:$G$2162,'октябрь 2024'!$D$5:$D$2162,$B207,'октябрь 2024'!$J$5:$J$2162,S$1)</f>
        <v>0</v>
      </c>
      <c r="T207" s="80">
        <f>SUMIFS('октябрь 2024'!$G$5:$G$2162,'октябрь 2024'!$D$5:$D$2162,$B207,'октябрь 2024'!$J$5:$J$2162,T$1)</f>
        <v>0</v>
      </c>
      <c r="U207" s="80">
        <f>SUMIFS('октябрь 2024'!$G$5:$G$2162,'октябрь 2024'!$D$5:$D$2162,$B207,'октябрь 2024'!$J$5:$J$2162,U$1)</f>
        <v>0</v>
      </c>
      <c r="V207" s="80">
        <f>SUMIFS('октябрь 2024'!$G$5:$G$2162,'октябрь 2024'!$D$5:$D$2162,$B207,'октябрь 2024'!$J$5:$J$2162,V$1)</f>
        <v>0</v>
      </c>
      <c r="W207" s="80">
        <f>SUMIFS('октябрь 2024'!$G$5:$G$2162,'октябрь 2024'!$D$5:$D$2162,$B207,'октябрь 2024'!$J$5:$J$2162,W$1)</f>
        <v>0</v>
      </c>
      <c r="X207" s="80">
        <f>SUMIFS('октябрь 2024'!$G$5:$G$2162,'октябрь 2024'!$D$5:$D$2162,$B207,'октябрь 2024'!$J$5:$J$2162,X$1)</f>
        <v>0</v>
      </c>
      <c r="Y207" s="80">
        <f>SUMIFS('октябрь 2024'!$G$5:$G$2162,'октябрь 2024'!$D$5:$D$2162,$B207,'октябрь 2024'!$J$5:$J$2162,Y$1)</f>
        <v>0</v>
      </c>
      <c r="Z207" s="80">
        <f>SUMIFS('октябрь 2024'!$G$5:$G$2162,'октябрь 2024'!$D$5:$D$2162,$B207,'октябрь 2024'!$J$5:$J$2162,Z$1)</f>
        <v>0</v>
      </c>
      <c r="AA207" s="80">
        <f>SUMIFS('октябрь 2024'!$G$5:$G$2162,'октябрь 2024'!$D$5:$D$2162,$B207,'октябрь 2024'!$J$5:$J$2162,AA$1)</f>
        <v>0</v>
      </c>
      <c r="AB207" s="80">
        <f>SUMIFS('октябрь 2024'!$G$5:$G$2162,'октябрь 2024'!$D$5:$D$2162,$B207,'октябрь 2024'!$J$5:$J$2162,AB$1)</f>
        <v>0</v>
      </c>
      <c r="AC207" s="80">
        <f>SUMIFS('октябрь 2024'!$G$5:$G$2162,'октябрь 2024'!$D$5:$D$2162,$B207,'октябрь 2024'!$J$5:$J$2162,AC$1)</f>
        <v>0</v>
      </c>
      <c r="AD207" s="80">
        <f>SUMIFS('октябрь 2024'!$G$5:$G$2162,'октябрь 2024'!$D$5:$D$2162,$B207,'октябрь 2024'!$J$5:$J$2162,AD$1)</f>
        <v>0</v>
      </c>
      <c r="AE207" s="80">
        <f>SUMIFS('октябрь 2024'!$G$5:$G$2162,'октябрь 2024'!$D$5:$D$2162,$B207,'октябрь 2024'!$J$5:$J$2162,AE$1)</f>
        <v>0</v>
      </c>
      <c r="AF207" s="80">
        <f>SUMIFS('октябрь 2024'!$G$5:$G$2162,'октябрь 2024'!$D$5:$D$2162,$B207,'октябрь 2024'!$J$5:$J$2162,AF$1)</f>
        <v>0</v>
      </c>
      <c r="AG207" s="80">
        <f>SUMIFS('октябрь 2024'!$G$5:$G$2162,'октябрь 2024'!$D$5:$D$2162,$B207,'октябрь 2024'!$J$5:$J$2162,AG$1)</f>
        <v>0</v>
      </c>
      <c r="AH207" s="80">
        <f>SUMIFS('октябрь 2024'!$G$5:$G$2162,'октябрь 2024'!$D$5:$D$2162,$B207,'октябрь 2024'!$J$5:$J$2162,AH$1)</f>
        <v>0</v>
      </c>
      <c r="AI207" s="87"/>
    </row>
    <row r="208" spans="2:35" ht="15" hidden="1" customHeight="1" x14ac:dyDescent="0.25">
      <c r="B208" s="89"/>
      <c r="C208" s="88"/>
      <c r="D208" s="80">
        <f>SUMIFS('октябрь 2024'!$G$5:$G$2162,'октябрь 2024'!$D$5:$D$2162,$B208,'октябрь 2024'!$J$5:$J$2162,D$1)</f>
        <v>0</v>
      </c>
      <c r="E208" s="80">
        <f>SUMIFS('октябрь 2024'!$G$5:$G$2162,'октябрь 2024'!$D$5:$D$2162,$B208,'октябрь 2024'!$J$5:$J$2162,E$1)</f>
        <v>0</v>
      </c>
      <c r="F208" s="80">
        <f>SUMIFS('октябрь 2024'!$G$5:$G$2162,'октябрь 2024'!$D$5:$D$2162,$B208,'октябрь 2024'!$J$5:$J$2162,F$1)</f>
        <v>0</v>
      </c>
      <c r="G208" s="80">
        <f>SUMIFS('октябрь 2024'!$G$5:$G$2162,'октябрь 2024'!$D$5:$D$2162,$B208,'октябрь 2024'!$J$5:$J$2162,G$1)</f>
        <v>0</v>
      </c>
      <c r="H208" s="80">
        <f>SUMIFS('октябрь 2024'!$G$5:$G$2162,'октябрь 2024'!$D$5:$D$2162,$B208,'октябрь 2024'!$J$5:$J$2162,H$1)</f>
        <v>0</v>
      </c>
      <c r="I208" s="80">
        <f>SUMIFS('октябрь 2024'!$G$5:$G$2162,'октябрь 2024'!$D$5:$D$2162,$B208,'октябрь 2024'!$J$5:$J$2162,I$1)</f>
        <v>0</v>
      </c>
      <c r="J208" s="80">
        <f>SUMIFS('октябрь 2024'!$G$5:$G$2162,'октябрь 2024'!$D$5:$D$2162,$B208,'октябрь 2024'!$J$5:$J$2162,J$1)</f>
        <v>0</v>
      </c>
      <c r="K208" s="80">
        <f>SUMIFS('октябрь 2024'!$G$5:$G$2162,'октябрь 2024'!$D$5:$D$2162,$B208,'октябрь 2024'!$J$5:$J$2162,K$1)</f>
        <v>0</v>
      </c>
      <c r="L208" s="80">
        <f>SUMIFS('октябрь 2024'!$G$5:$G$2162,'октябрь 2024'!$D$5:$D$2162,$B208,'октябрь 2024'!$J$5:$J$2162,L$1)</f>
        <v>0</v>
      </c>
      <c r="M208" s="80">
        <f>SUMIFS('октябрь 2024'!$G$5:$G$2162,'октябрь 2024'!$D$5:$D$2162,$B208,'октябрь 2024'!$J$5:$J$2162,M$1)</f>
        <v>0</v>
      </c>
      <c r="N208" s="80">
        <f>SUMIFS('октябрь 2024'!$G$5:$G$2162,'октябрь 2024'!$D$5:$D$2162,$B208,'октябрь 2024'!$J$5:$J$2162,N$1)</f>
        <v>0</v>
      </c>
      <c r="O208" s="80">
        <f>SUMIFS('октябрь 2024'!$G$5:$G$2162,'октябрь 2024'!$D$5:$D$2162,$B208,'октябрь 2024'!$J$5:$J$2162,O$1)</f>
        <v>0</v>
      </c>
      <c r="P208" s="80">
        <f>SUMIFS('октябрь 2024'!$G$5:$G$2162,'октябрь 2024'!$D$5:$D$2162,$B208,'октябрь 2024'!$J$5:$J$2162,P$1)</f>
        <v>0</v>
      </c>
      <c r="Q208" s="80">
        <f>SUMIFS('октябрь 2024'!$G$5:$G$2162,'октябрь 2024'!$D$5:$D$2162,$B208,'октябрь 2024'!$J$5:$J$2162,Q$1)</f>
        <v>0</v>
      </c>
      <c r="R208" s="80">
        <f>SUMIFS('октябрь 2024'!$G$5:$G$2162,'октябрь 2024'!$D$5:$D$2162,$B208,'октябрь 2024'!$J$5:$J$2162,R$1)</f>
        <v>0</v>
      </c>
      <c r="S208" s="80">
        <f>SUMIFS('октябрь 2024'!$G$5:$G$2162,'октябрь 2024'!$D$5:$D$2162,$B208,'октябрь 2024'!$J$5:$J$2162,S$1)</f>
        <v>0</v>
      </c>
      <c r="T208" s="80">
        <f>SUMIFS('октябрь 2024'!$G$5:$G$2162,'октябрь 2024'!$D$5:$D$2162,$B208,'октябрь 2024'!$J$5:$J$2162,T$1)</f>
        <v>0</v>
      </c>
      <c r="U208" s="80">
        <f>SUMIFS('октябрь 2024'!$G$5:$G$2162,'октябрь 2024'!$D$5:$D$2162,$B208,'октябрь 2024'!$J$5:$J$2162,U$1)</f>
        <v>0</v>
      </c>
      <c r="V208" s="80">
        <f>SUMIFS('октябрь 2024'!$G$5:$G$2162,'октябрь 2024'!$D$5:$D$2162,$B208,'октябрь 2024'!$J$5:$J$2162,V$1)</f>
        <v>0</v>
      </c>
      <c r="W208" s="80">
        <f>SUMIFS('октябрь 2024'!$G$5:$G$2162,'октябрь 2024'!$D$5:$D$2162,$B208,'октябрь 2024'!$J$5:$J$2162,W$1)</f>
        <v>0</v>
      </c>
      <c r="X208" s="80">
        <f>SUMIFS('октябрь 2024'!$G$5:$G$2162,'октябрь 2024'!$D$5:$D$2162,$B208,'октябрь 2024'!$J$5:$J$2162,X$1)</f>
        <v>0</v>
      </c>
      <c r="Y208" s="80">
        <f>SUMIFS('октябрь 2024'!$G$5:$G$2162,'октябрь 2024'!$D$5:$D$2162,$B208,'октябрь 2024'!$J$5:$J$2162,Y$1)</f>
        <v>0</v>
      </c>
      <c r="Z208" s="80">
        <f>SUMIFS('октябрь 2024'!$G$5:$G$2162,'октябрь 2024'!$D$5:$D$2162,$B208,'октябрь 2024'!$J$5:$J$2162,Z$1)</f>
        <v>0</v>
      </c>
      <c r="AA208" s="80">
        <f>SUMIFS('октябрь 2024'!$G$5:$G$2162,'октябрь 2024'!$D$5:$D$2162,$B208,'октябрь 2024'!$J$5:$J$2162,AA$1)</f>
        <v>0</v>
      </c>
      <c r="AB208" s="80">
        <f>SUMIFS('октябрь 2024'!$G$5:$G$2162,'октябрь 2024'!$D$5:$D$2162,$B208,'октябрь 2024'!$J$5:$J$2162,AB$1)</f>
        <v>0</v>
      </c>
      <c r="AC208" s="80">
        <f>SUMIFS('октябрь 2024'!$G$5:$G$2162,'октябрь 2024'!$D$5:$D$2162,$B208,'октябрь 2024'!$J$5:$J$2162,AC$1)</f>
        <v>0</v>
      </c>
      <c r="AD208" s="80">
        <f>SUMIFS('октябрь 2024'!$G$5:$G$2162,'октябрь 2024'!$D$5:$D$2162,$B208,'октябрь 2024'!$J$5:$J$2162,AD$1)</f>
        <v>0</v>
      </c>
      <c r="AE208" s="80">
        <f>SUMIFS('октябрь 2024'!$G$5:$G$2162,'октябрь 2024'!$D$5:$D$2162,$B208,'октябрь 2024'!$J$5:$J$2162,AE$1)</f>
        <v>0</v>
      </c>
      <c r="AF208" s="80">
        <f>SUMIFS('октябрь 2024'!$G$5:$G$2162,'октябрь 2024'!$D$5:$D$2162,$B208,'октябрь 2024'!$J$5:$J$2162,AF$1)</f>
        <v>0</v>
      </c>
      <c r="AG208" s="80">
        <f>SUMIFS('октябрь 2024'!$G$5:$G$2162,'октябрь 2024'!$D$5:$D$2162,$B208,'октябрь 2024'!$J$5:$J$2162,AG$1)</f>
        <v>0</v>
      </c>
      <c r="AH208" s="80">
        <f>SUMIFS('октябрь 2024'!$G$5:$G$2162,'октябрь 2024'!$D$5:$D$2162,$B208,'октябрь 2024'!$J$5:$J$2162,AH$1)</f>
        <v>0</v>
      </c>
      <c r="AI208" s="87"/>
    </row>
    <row r="209" spans="2:35" ht="15" hidden="1" customHeight="1" x14ac:dyDescent="0.25">
      <c r="B209" s="89"/>
      <c r="C209" s="88"/>
      <c r="D209" s="80">
        <f>SUMIFS('октябрь 2024'!$G$5:$G$2162,'октябрь 2024'!$D$5:$D$2162,$B209,'октябрь 2024'!$J$5:$J$2162,D$1)</f>
        <v>0</v>
      </c>
      <c r="E209" s="80">
        <f>SUMIFS('октябрь 2024'!$G$5:$G$2162,'октябрь 2024'!$D$5:$D$2162,$B209,'октябрь 2024'!$J$5:$J$2162,E$1)</f>
        <v>0</v>
      </c>
      <c r="F209" s="80">
        <f>SUMIFS('октябрь 2024'!$G$5:$G$2162,'октябрь 2024'!$D$5:$D$2162,$B209,'октябрь 2024'!$J$5:$J$2162,F$1)</f>
        <v>0</v>
      </c>
      <c r="G209" s="80">
        <f>SUMIFS('октябрь 2024'!$G$5:$G$2162,'октябрь 2024'!$D$5:$D$2162,$B209,'октябрь 2024'!$J$5:$J$2162,G$1)</f>
        <v>0</v>
      </c>
      <c r="H209" s="80">
        <f>SUMIFS('октябрь 2024'!$G$5:$G$2162,'октябрь 2024'!$D$5:$D$2162,$B209,'октябрь 2024'!$J$5:$J$2162,H$1)</f>
        <v>0</v>
      </c>
      <c r="I209" s="80">
        <f>SUMIFS('октябрь 2024'!$G$5:$G$2162,'октябрь 2024'!$D$5:$D$2162,$B209,'октябрь 2024'!$J$5:$J$2162,I$1)</f>
        <v>0</v>
      </c>
      <c r="J209" s="80">
        <f>SUMIFS('октябрь 2024'!$G$5:$G$2162,'октябрь 2024'!$D$5:$D$2162,$B209,'октябрь 2024'!$J$5:$J$2162,J$1)</f>
        <v>0</v>
      </c>
      <c r="K209" s="80">
        <f>SUMIFS('октябрь 2024'!$G$5:$G$2162,'октябрь 2024'!$D$5:$D$2162,$B209,'октябрь 2024'!$J$5:$J$2162,K$1)</f>
        <v>0</v>
      </c>
      <c r="L209" s="80">
        <f>SUMIFS('октябрь 2024'!$G$5:$G$2162,'октябрь 2024'!$D$5:$D$2162,$B209,'октябрь 2024'!$J$5:$J$2162,L$1)</f>
        <v>0</v>
      </c>
      <c r="M209" s="80">
        <f>SUMIFS('октябрь 2024'!$G$5:$G$2162,'октябрь 2024'!$D$5:$D$2162,$B209,'октябрь 2024'!$J$5:$J$2162,M$1)</f>
        <v>0</v>
      </c>
      <c r="N209" s="80">
        <f>SUMIFS('октябрь 2024'!$G$5:$G$2162,'октябрь 2024'!$D$5:$D$2162,$B209,'октябрь 2024'!$J$5:$J$2162,N$1)</f>
        <v>0</v>
      </c>
      <c r="O209" s="80">
        <f>SUMIFS('октябрь 2024'!$G$5:$G$2162,'октябрь 2024'!$D$5:$D$2162,$B209,'октябрь 2024'!$J$5:$J$2162,O$1)</f>
        <v>0</v>
      </c>
      <c r="P209" s="80">
        <f>SUMIFS('октябрь 2024'!$G$5:$G$2162,'октябрь 2024'!$D$5:$D$2162,$B209,'октябрь 2024'!$J$5:$J$2162,P$1)</f>
        <v>0</v>
      </c>
      <c r="Q209" s="80">
        <f>SUMIFS('октябрь 2024'!$G$5:$G$2162,'октябрь 2024'!$D$5:$D$2162,$B209,'октябрь 2024'!$J$5:$J$2162,Q$1)</f>
        <v>0</v>
      </c>
      <c r="R209" s="80">
        <f>SUMIFS('октябрь 2024'!$G$5:$G$2162,'октябрь 2024'!$D$5:$D$2162,$B209,'октябрь 2024'!$J$5:$J$2162,R$1)</f>
        <v>0</v>
      </c>
      <c r="S209" s="80">
        <f>SUMIFS('октябрь 2024'!$G$5:$G$2162,'октябрь 2024'!$D$5:$D$2162,$B209,'октябрь 2024'!$J$5:$J$2162,S$1)</f>
        <v>0</v>
      </c>
      <c r="T209" s="80">
        <f>SUMIFS('октябрь 2024'!$G$5:$G$2162,'октябрь 2024'!$D$5:$D$2162,$B209,'октябрь 2024'!$J$5:$J$2162,T$1)</f>
        <v>0</v>
      </c>
      <c r="U209" s="80">
        <f>SUMIFS('октябрь 2024'!$G$5:$G$2162,'октябрь 2024'!$D$5:$D$2162,$B209,'октябрь 2024'!$J$5:$J$2162,U$1)</f>
        <v>0</v>
      </c>
      <c r="V209" s="80">
        <f>SUMIFS('октябрь 2024'!$G$5:$G$2162,'октябрь 2024'!$D$5:$D$2162,$B209,'октябрь 2024'!$J$5:$J$2162,V$1)</f>
        <v>0</v>
      </c>
      <c r="W209" s="80">
        <f>SUMIFS('октябрь 2024'!$G$5:$G$2162,'октябрь 2024'!$D$5:$D$2162,$B209,'октябрь 2024'!$J$5:$J$2162,W$1)</f>
        <v>0</v>
      </c>
      <c r="X209" s="80">
        <f>SUMIFS('октябрь 2024'!$G$5:$G$2162,'октябрь 2024'!$D$5:$D$2162,$B209,'октябрь 2024'!$J$5:$J$2162,X$1)</f>
        <v>0</v>
      </c>
      <c r="Y209" s="80">
        <f>SUMIFS('октябрь 2024'!$G$5:$G$2162,'октябрь 2024'!$D$5:$D$2162,$B209,'октябрь 2024'!$J$5:$J$2162,Y$1)</f>
        <v>0</v>
      </c>
      <c r="Z209" s="80">
        <f>SUMIFS('октябрь 2024'!$G$5:$G$2162,'октябрь 2024'!$D$5:$D$2162,$B209,'октябрь 2024'!$J$5:$J$2162,Z$1)</f>
        <v>0</v>
      </c>
      <c r="AA209" s="80">
        <f>SUMIFS('октябрь 2024'!$G$5:$G$2162,'октябрь 2024'!$D$5:$D$2162,$B209,'октябрь 2024'!$J$5:$J$2162,AA$1)</f>
        <v>0</v>
      </c>
      <c r="AB209" s="80">
        <f>SUMIFS('октябрь 2024'!$G$5:$G$2162,'октябрь 2024'!$D$5:$D$2162,$B209,'октябрь 2024'!$J$5:$J$2162,AB$1)</f>
        <v>0</v>
      </c>
      <c r="AC209" s="80">
        <f>SUMIFS('октябрь 2024'!$G$5:$G$2162,'октябрь 2024'!$D$5:$D$2162,$B209,'октябрь 2024'!$J$5:$J$2162,AC$1)</f>
        <v>0</v>
      </c>
      <c r="AD209" s="80">
        <f>SUMIFS('октябрь 2024'!$G$5:$G$2162,'октябрь 2024'!$D$5:$D$2162,$B209,'октябрь 2024'!$J$5:$J$2162,AD$1)</f>
        <v>0</v>
      </c>
      <c r="AE209" s="80">
        <f>SUMIFS('октябрь 2024'!$G$5:$G$2162,'октябрь 2024'!$D$5:$D$2162,$B209,'октябрь 2024'!$J$5:$J$2162,AE$1)</f>
        <v>0</v>
      </c>
      <c r="AF209" s="80">
        <f>SUMIFS('октябрь 2024'!$G$5:$G$2162,'октябрь 2024'!$D$5:$D$2162,$B209,'октябрь 2024'!$J$5:$J$2162,AF$1)</f>
        <v>0</v>
      </c>
      <c r="AG209" s="80">
        <f>SUMIFS('октябрь 2024'!$G$5:$G$2162,'октябрь 2024'!$D$5:$D$2162,$B209,'октябрь 2024'!$J$5:$J$2162,AG$1)</f>
        <v>0</v>
      </c>
      <c r="AH209" s="80">
        <f>SUMIFS('октябрь 2024'!$G$5:$G$2162,'октябрь 2024'!$D$5:$D$2162,$B209,'октябрь 2024'!$J$5:$J$2162,AH$1)</f>
        <v>0</v>
      </c>
      <c r="AI209" s="87"/>
    </row>
    <row r="210" spans="2:35" ht="15" hidden="1" customHeight="1" x14ac:dyDescent="0.25">
      <c r="B210" s="89"/>
      <c r="C210" s="88"/>
      <c r="D210" s="80">
        <f>SUMIFS('октябрь 2024'!$G$5:$G$2162,'октябрь 2024'!$D$5:$D$2162,$B210,'октябрь 2024'!$J$5:$J$2162,D$1)</f>
        <v>0</v>
      </c>
      <c r="E210" s="80">
        <f>SUMIFS('октябрь 2024'!$G$5:$G$2162,'октябрь 2024'!$D$5:$D$2162,$B210,'октябрь 2024'!$J$5:$J$2162,E$1)</f>
        <v>0</v>
      </c>
      <c r="F210" s="80">
        <f>SUMIFS('октябрь 2024'!$G$5:$G$2162,'октябрь 2024'!$D$5:$D$2162,$B210,'октябрь 2024'!$J$5:$J$2162,F$1)</f>
        <v>0</v>
      </c>
      <c r="G210" s="80">
        <f>SUMIFS('октябрь 2024'!$G$5:$G$2162,'октябрь 2024'!$D$5:$D$2162,$B210,'октябрь 2024'!$J$5:$J$2162,G$1)</f>
        <v>0</v>
      </c>
      <c r="H210" s="80">
        <f>SUMIFS('октябрь 2024'!$G$5:$G$2162,'октябрь 2024'!$D$5:$D$2162,$B210,'октябрь 2024'!$J$5:$J$2162,H$1)</f>
        <v>0</v>
      </c>
      <c r="I210" s="80">
        <f>SUMIFS('октябрь 2024'!$G$5:$G$2162,'октябрь 2024'!$D$5:$D$2162,$B210,'октябрь 2024'!$J$5:$J$2162,I$1)</f>
        <v>0</v>
      </c>
      <c r="J210" s="80">
        <f>SUMIFS('октябрь 2024'!$G$5:$G$2162,'октябрь 2024'!$D$5:$D$2162,$B210,'октябрь 2024'!$J$5:$J$2162,J$1)</f>
        <v>0</v>
      </c>
      <c r="K210" s="80">
        <f>SUMIFS('октябрь 2024'!$G$5:$G$2162,'октябрь 2024'!$D$5:$D$2162,$B210,'октябрь 2024'!$J$5:$J$2162,K$1)</f>
        <v>0</v>
      </c>
      <c r="L210" s="80">
        <f>SUMIFS('октябрь 2024'!$G$5:$G$2162,'октябрь 2024'!$D$5:$D$2162,$B210,'октябрь 2024'!$J$5:$J$2162,L$1)</f>
        <v>0</v>
      </c>
      <c r="M210" s="80">
        <f>SUMIFS('октябрь 2024'!$G$5:$G$2162,'октябрь 2024'!$D$5:$D$2162,$B210,'октябрь 2024'!$J$5:$J$2162,M$1)</f>
        <v>0</v>
      </c>
      <c r="N210" s="80">
        <f>SUMIFS('октябрь 2024'!$G$5:$G$2162,'октябрь 2024'!$D$5:$D$2162,$B210,'октябрь 2024'!$J$5:$J$2162,N$1)</f>
        <v>0</v>
      </c>
      <c r="O210" s="80">
        <f>SUMIFS('октябрь 2024'!$G$5:$G$2162,'октябрь 2024'!$D$5:$D$2162,$B210,'октябрь 2024'!$J$5:$J$2162,O$1)</f>
        <v>0</v>
      </c>
      <c r="P210" s="80">
        <f>SUMIFS('октябрь 2024'!$G$5:$G$2162,'октябрь 2024'!$D$5:$D$2162,$B210,'октябрь 2024'!$J$5:$J$2162,P$1)</f>
        <v>0</v>
      </c>
      <c r="Q210" s="80">
        <f>SUMIFS('октябрь 2024'!$G$5:$G$2162,'октябрь 2024'!$D$5:$D$2162,$B210,'октябрь 2024'!$J$5:$J$2162,Q$1)</f>
        <v>0</v>
      </c>
      <c r="R210" s="80">
        <f>SUMIFS('октябрь 2024'!$G$5:$G$2162,'октябрь 2024'!$D$5:$D$2162,$B210,'октябрь 2024'!$J$5:$J$2162,R$1)</f>
        <v>0</v>
      </c>
      <c r="S210" s="80">
        <f>SUMIFS('октябрь 2024'!$G$5:$G$2162,'октябрь 2024'!$D$5:$D$2162,$B210,'октябрь 2024'!$J$5:$J$2162,S$1)</f>
        <v>0</v>
      </c>
      <c r="T210" s="80">
        <f>SUMIFS('октябрь 2024'!$G$5:$G$2162,'октябрь 2024'!$D$5:$D$2162,$B210,'октябрь 2024'!$J$5:$J$2162,T$1)</f>
        <v>0</v>
      </c>
      <c r="U210" s="80">
        <f>SUMIFS('октябрь 2024'!$G$5:$G$2162,'октябрь 2024'!$D$5:$D$2162,$B210,'октябрь 2024'!$J$5:$J$2162,U$1)</f>
        <v>0</v>
      </c>
      <c r="V210" s="80">
        <f>SUMIFS('октябрь 2024'!$G$5:$G$2162,'октябрь 2024'!$D$5:$D$2162,$B210,'октябрь 2024'!$J$5:$J$2162,V$1)</f>
        <v>0</v>
      </c>
      <c r="W210" s="80">
        <f>SUMIFS('октябрь 2024'!$G$5:$G$2162,'октябрь 2024'!$D$5:$D$2162,$B210,'октябрь 2024'!$J$5:$J$2162,W$1)</f>
        <v>0</v>
      </c>
      <c r="X210" s="80">
        <f>SUMIFS('октябрь 2024'!$G$5:$G$2162,'октябрь 2024'!$D$5:$D$2162,$B210,'октябрь 2024'!$J$5:$J$2162,X$1)</f>
        <v>0</v>
      </c>
      <c r="Y210" s="80">
        <f>SUMIFS('октябрь 2024'!$G$5:$G$2162,'октябрь 2024'!$D$5:$D$2162,$B210,'октябрь 2024'!$J$5:$J$2162,Y$1)</f>
        <v>0</v>
      </c>
      <c r="Z210" s="80">
        <f>SUMIFS('октябрь 2024'!$G$5:$G$2162,'октябрь 2024'!$D$5:$D$2162,$B210,'октябрь 2024'!$J$5:$J$2162,Z$1)</f>
        <v>0</v>
      </c>
      <c r="AA210" s="80">
        <f>SUMIFS('октябрь 2024'!$G$5:$G$2162,'октябрь 2024'!$D$5:$D$2162,$B210,'октябрь 2024'!$J$5:$J$2162,AA$1)</f>
        <v>0</v>
      </c>
      <c r="AB210" s="80">
        <f>SUMIFS('октябрь 2024'!$G$5:$G$2162,'октябрь 2024'!$D$5:$D$2162,$B210,'октябрь 2024'!$J$5:$J$2162,AB$1)</f>
        <v>0</v>
      </c>
      <c r="AC210" s="80">
        <f>SUMIFS('октябрь 2024'!$G$5:$G$2162,'октябрь 2024'!$D$5:$D$2162,$B210,'октябрь 2024'!$J$5:$J$2162,AC$1)</f>
        <v>0</v>
      </c>
      <c r="AD210" s="80">
        <f>SUMIFS('октябрь 2024'!$G$5:$G$2162,'октябрь 2024'!$D$5:$D$2162,$B210,'октябрь 2024'!$J$5:$J$2162,AD$1)</f>
        <v>0</v>
      </c>
      <c r="AE210" s="80">
        <f>SUMIFS('октябрь 2024'!$G$5:$G$2162,'октябрь 2024'!$D$5:$D$2162,$B210,'октябрь 2024'!$J$5:$J$2162,AE$1)</f>
        <v>0</v>
      </c>
      <c r="AF210" s="80">
        <f>SUMIFS('октябрь 2024'!$G$5:$G$2162,'октябрь 2024'!$D$5:$D$2162,$B210,'октябрь 2024'!$J$5:$J$2162,AF$1)</f>
        <v>0</v>
      </c>
      <c r="AG210" s="80">
        <f>SUMIFS('октябрь 2024'!$G$5:$G$2162,'октябрь 2024'!$D$5:$D$2162,$B210,'октябрь 2024'!$J$5:$J$2162,AG$1)</f>
        <v>0</v>
      </c>
      <c r="AH210" s="80">
        <f>SUMIFS('октябрь 2024'!$G$5:$G$2162,'октябрь 2024'!$D$5:$D$2162,$B210,'октябрь 2024'!$J$5:$J$2162,AH$1)</f>
        <v>0</v>
      </c>
      <c r="AI210" s="87"/>
    </row>
    <row r="211" spans="2:35" ht="15" hidden="1" customHeight="1" x14ac:dyDescent="0.25">
      <c r="B211" s="89"/>
      <c r="C211" s="88"/>
      <c r="D211" s="80">
        <f>SUMIFS('октябрь 2024'!$G$5:$G$2162,'октябрь 2024'!$D$5:$D$2162,$B211,'октябрь 2024'!$J$5:$J$2162,D$1)</f>
        <v>0</v>
      </c>
      <c r="E211" s="80">
        <f>SUMIFS('октябрь 2024'!$G$5:$G$2162,'октябрь 2024'!$D$5:$D$2162,$B211,'октябрь 2024'!$J$5:$J$2162,E$1)</f>
        <v>0</v>
      </c>
      <c r="F211" s="80">
        <f>SUMIFS('октябрь 2024'!$G$5:$G$2162,'октябрь 2024'!$D$5:$D$2162,$B211,'октябрь 2024'!$J$5:$J$2162,F$1)</f>
        <v>0</v>
      </c>
      <c r="G211" s="80">
        <f>SUMIFS('октябрь 2024'!$G$5:$G$2162,'октябрь 2024'!$D$5:$D$2162,$B211,'октябрь 2024'!$J$5:$J$2162,G$1)</f>
        <v>0</v>
      </c>
      <c r="H211" s="80">
        <f>SUMIFS('октябрь 2024'!$G$5:$G$2162,'октябрь 2024'!$D$5:$D$2162,$B211,'октябрь 2024'!$J$5:$J$2162,H$1)</f>
        <v>0</v>
      </c>
      <c r="I211" s="80">
        <f>SUMIFS('октябрь 2024'!$G$5:$G$2162,'октябрь 2024'!$D$5:$D$2162,$B211,'октябрь 2024'!$J$5:$J$2162,I$1)</f>
        <v>0</v>
      </c>
      <c r="J211" s="80">
        <f>SUMIFS('октябрь 2024'!$G$5:$G$2162,'октябрь 2024'!$D$5:$D$2162,$B211,'октябрь 2024'!$J$5:$J$2162,J$1)</f>
        <v>0</v>
      </c>
      <c r="K211" s="80">
        <f>SUMIFS('октябрь 2024'!$G$5:$G$2162,'октябрь 2024'!$D$5:$D$2162,$B211,'октябрь 2024'!$J$5:$J$2162,K$1)</f>
        <v>0</v>
      </c>
      <c r="L211" s="80">
        <f>SUMIFS('октябрь 2024'!$G$5:$G$2162,'октябрь 2024'!$D$5:$D$2162,$B211,'октябрь 2024'!$J$5:$J$2162,L$1)</f>
        <v>0</v>
      </c>
      <c r="M211" s="80">
        <f>SUMIFS('октябрь 2024'!$G$5:$G$2162,'октябрь 2024'!$D$5:$D$2162,$B211,'октябрь 2024'!$J$5:$J$2162,M$1)</f>
        <v>0</v>
      </c>
      <c r="N211" s="80">
        <f>SUMIFS('октябрь 2024'!$G$5:$G$2162,'октябрь 2024'!$D$5:$D$2162,$B211,'октябрь 2024'!$J$5:$J$2162,N$1)</f>
        <v>0</v>
      </c>
      <c r="O211" s="80">
        <f>SUMIFS('октябрь 2024'!$G$5:$G$2162,'октябрь 2024'!$D$5:$D$2162,$B211,'октябрь 2024'!$J$5:$J$2162,O$1)</f>
        <v>0</v>
      </c>
      <c r="P211" s="80">
        <f>SUMIFS('октябрь 2024'!$G$5:$G$2162,'октябрь 2024'!$D$5:$D$2162,$B211,'октябрь 2024'!$J$5:$J$2162,P$1)</f>
        <v>0</v>
      </c>
      <c r="Q211" s="80">
        <f>SUMIFS('октябрь 2024'!$G$5:$G$2162,'октябрь 2024'!$D$5:$D$2162,$B211,'октябрь 2024'!$J$5:$J$2162,Q$1)</f>
        <v>0</v>
      </c>
      <c r="R211" s="80">
        <f>SUMIFS('октябрь 2024'!$G$5:$G$2162,'октябрь 2024'!$D$5:$D$2162,$B211,'октябрь 2024'!$J$5:$J$2162,R$1)</f>
        <v>0</v>
      </c>
      <c r="S211" s="80">
        <f>SUMIFS('октябрь 2024'!$G$5:$G$2162,'октябрь 2024'!$D$5:$D$2162,$B211,'октябрь 2024'!$J$5:$J$2162,S$1)</f>
        <v>0</v>
      </c>
      <c r="T211" s="80">
        <f>SUMIFS('октябрь 2024'!$G$5:$G$2162,'октябрь 2024'!$D$5:$D$2162,$B211,'октябрь 2024'!$J$5:$J$2162,T$1)</f>
        <v>0</v>
      </c>
      <c r="U211" s="80">
        <f>SUMIFS('октябрь 2024'!$G$5:$G$2162,'октябрь 2024'!$D$5:$D$2162,$B211,'октябрь 2024'!$J$5:$J$2162,U$1)</f>
        <v>0</v>
      </c>
      <c r="V211" s="80">
        <f>SUMIFS('октябрь 2024'!$G$5:$G$2162,'октябрь 2024'!$D$5:$D$2162,$B211,'октябрь 2024'!$J$5:$J$2162,V$1)</f>
        <v>0</v>
      </c>
      <c r="W211" s="80">
        <f>SUMIFS('октябрь 2024'!$G$5:$G$2162,'октябрь 2024'!$D$5:$D$2162,$B211,'октябрь 2024'!$J$5:$J$2162,W$1)</f>
        <v>0</v>
      </c>
      <c r="X211" s="80">
        <f>SUMIFS('октябрь 2024'!$G$5:$G$2162,'октябрь 2024'!$D$5:$D$2162,$B211,'октябрь 2024'!$J$5:$J$2162,X$1)</f>
        <v>0</v>
      </c>
      <c r="Y211" s="80">
        <f>SUMIFS('октябрь 2024'!$G$5:$G$2162,'октябрь 2024'!$D$5:$D$2162,$B211,'октябрь 2024'!$J$5:$J$2162,Y$1)</f>
        <v>0</v>
      </c>
      <c r="Z211" s="80">
        <f>SUMIFS('октябрь 2024'!$G$5:$G$2162,'октябрь 2024'!$D$5:$D$2162,$B211,'октябрь 2024'!$J$5:$J$2162,Z$1)</f>
        <v>0</v>
      </c>
      <c r="AA211" s="80">
        <f>SUMIFS('октябрь 2024'!$G$5:$G$2162,'октябрь 2024'!$D$5:$D$2162,$B211,'октябрь 2024'!$J$5:$J$2162,AA$1)</f>
        <v>0</v>
      </c>
      <c r="AB211" s="80">
        <f>SUMIFS('октябрь 2024'!$G$5:$G$2162,'октябрь 2024'!$D$5:$D$2162,$B211,'октябрь 2024'!$J$5:$J$2162,AB$1)</f>
        <v>0</v>
      </c>
      <c r="AC211" s="80">
        <f>SUMIFS('октябрь 2024'!$G$5:$G$2162,'октябрь 2024'!$D$5:$D$2162,$B211,'октябрь 2024'!$J$5:$J$2162,AC$1)</f>
        <v>0</v>
      </c>
      <c r="AD211" s="80">
        <f>SUMIFS('октябрь 2024'!$G$5:$G$2162,'октябрь 2024'!$D$5:$D$2162,$B211,'октябрь 2024'!$J$5:$J$2162,AD$1)</f>
        <v>0</v>
      </c>
      <c r="AE211" s="80">
        <f>SUMIFS('октябрь 2024'!$G$5:$G$2162,'октябрь 2024'!$D$5:$D$2162,$B211,'октябрь 2024'!$J$5:$J$2162,AE$1)</f>
        <v>0</v>
      </c>
      <c r="AF211" s="80">
        <f>SUMIFS('октябрь 2024'!$G$5:$G$2162,'октябрь 2024'!$D$5:$D$2162,$B211,'октябрь 2024'!$J$5:$J$2162,AF$1)</f>
        <v>0</v>
      </c>
      <c r="AG211" s="80">
        <f>SUMIFS('октябрь 2024'!$G$5:$G$2162,'октябрь 2024'!$D$5:$D$2162,$B211,'октябрь 2024'!$J$5:$J$2162,AG$1)</f>
        <v>0</v>
      </c>
      <c r="AH211" s="80">
        <f>SUMIFS('октябрь 2024'!$G$5:$G$2162,'октябрь 2024'!$D$5:$D$2162,$B211,'октябрь 2024'!$J$5:$J$2162,AH$1)</f>
        <v>0</v>
      </c>
      <c r="AI211" s="87"/>
    </row>
    <row r="212" spans="2:35" ht="15" hidden="1" customHeight="1" x14ac:dyDescent="0.25">
      <c r="B212" s="89"/>
      <c r="C212" s="88"/>
      <c r="D212" s="80">
        <f>SUMIFS('октябрь 2024'!$G$5:$G$2162,'октябрь 2024'!$D$5:$D$2162,$B212,'октябрь 2024'!$J$5:$J$2162,D$1)</f>
        <v>0</v>
      </c>
      <c r="E212" s="80">
        <f>SUMIFS('октябрь 2024'!$G$5:$G$2162,'октябрь 2024'!$D$5:$D$2162,$B212,'октябрь 2024'!$J$5:$J$2162,E$1)</f>
        <v>0</v>
      </c>
      <c r="F212" s="80">
        <f>SUMIFS('октябрь 2024'!$G$5:$G$2162,'октябрь 2024'!$D$5:$D$2162,$B212,'октябрь 2024'!$J$5:$J$2162,F$1)</f>
        <v>0</v>
      </c>
      <c r="G212" s="80">
        <f>SUMIFS('октябрь 2024'!$G$5:$G$2162,'октябрь 2024'!$D$5:$D$2162,$B212,'октябрь 2024'!$J$5:$J$2162,G$1)</f>
        <v>0</v>
      </c>
      <c r="H212" s="80">
        <f>SUMIFS('октябрь 2024'!$G$5:$G$2162,'октябрь 2024'!$D$5:$D$2162,$B212,'октябрь 2024'!$J$5:$J$2162,H$1)</f>
        <v>0</v>
      </c>
      <c r="I212" s="80">
        <f>SUMIFS('октябрь 2024'!$G$5:$G$2162,'октябрь 2024'!$D$5:$D$2162,$B212,'октябрь 2024'!$J$5:$J$2162,I$1)</f>
        <v>0</v>
      </c>
      <c r="J212" s="80">
        <f>SUMIFS('октябрь 2024'!$G$5:$G$2162,'октябрь 2024'!$D$5:$D$2162,$B212,'октябрь 2024'!$J$5:$J$2162,J$1)</f>
        <v>0</v>
      </c>
      <c r="K212" s="80">
        <f>SUMIFS('октябрь 2024'!$G$5:$G$2162,'октябрь 2024'!$D$5:$D$2162,$B212,'октябрь 2024'!$J$5:$J$2162,K$1)</f>
        <v>0</v>
      </c>
      <c r="L212" s="80">
        <f>SUMIFS('октябрь 2024'!$G$5:$G$2162,'октябрь 2024'!$D$5:$D$2162,$B212,'октябрь 2024'!$J$5:$J$2162,L$1)</f>
        <v>0</v>
      </c>
      <c r="M212" s="80">
        <f>SUMIFS('октябрь 2024'!$G$5:$G$2162,'октябрь 2024'!$D$5:$D$2162,$B212,'октябрь 2024'!$J$5:$J$2162,M$1)</f>
        <v>0</v>
      </c>
      <c r="N212" s="80">
        <f>SUMIFS('октябрь 2024'!$G$5:$G$2162,'октябрь 2024'!$D$5:$D$2162,$B212,'октябрь 2024'!$J$5:$J$2162,N$1)</f>
        <v>0</v>
      </c>
      <c r="O212" s="80">
        <f>SUMIFS('октябрь 2024'!$G$5:$G$2162,'октябрь 2024'!$D$5:$D$2162,$B212,'октябрь 2024'!$J$5:$J$2162,O$1)</f>
        <v>0</v>
      </c>
      <c r="P212" s="80">
        <f>SUMIFS('октябрь 2024'!$G$5:$G$2162,'октябрь 2024'!$D$5:$D$2162,$B212,'октябрь 2024'!$J$5:$J$2162,P$1)</f>
        <v>0</v>
      </c>
      <c r="Q212" s="80">
        <f>SUMIFS('октябрь 2024'!$G$5:$G$2162,'октябрь 2024'!$D$5:$D$2162,$B212,'октябрь 2024'!$J$5:$J$2162,Q$1)</f>
        <v>0</v>
      </c>
      <c r="R212" s="80">
        <f>SUMIFS('октябрь 2024'!$G$5:$G$2162,'октябрь 2024'!$D$5:$D$2162,$B212,'октябрь 2024'!$J$5:$J$2162,R$1)</f>
        <v>0</v>
      </c>
      <c r="S212" s="80">
        <f>SUMIFS('октябрь 2024'!$G$5:$G$2162,'октябрь 2024'!$D$5:$D$2162,$B212,'октябрь 2024'!$J$5:$J$2162,S$1)</f>
        <v>0</v>
      </c>
      <c r="T212" s="80">
        <f>SUMIFS('октябрь 2024'!$G$5:$G$2162,'октябрь 2024'!$D$5:$D$2162,$B212,'октябрь 2024'!$J$5:$J$2162,T$1)</f>
        <v>0</v>
      </c>
      <c r="U212" s="80">
        <f>SUMIFS('октябрь 2024'!$G$5:$G$2162,'октябрь 2024'!$D$5:$D$2162,$B212,'октябрь 2024'!$J$5:$J$2162,U$1)</f>
        <v>0</v>
      </c>
      <c r="V212" s="80">
        <f>SUMIFS('октябрь 2024'!$G$5:$G$2162,'октябрь 2024'!$D$5:$D$2162,$B212,'октябрь 2024'!$J$5:$J$2162,V$1)</f>
        <v>0</v>
      </c>
      <c r="W212" s="80">
        <f>SUMIFS('октябрь 2024'!$G$5:$G$2162,'октябрь 2024'!$D$5:$D$2162,$B212,'октябрь 2024'!$J$5:$J$2162,W$1)</f>
        <v>0</v>
      </c>
      <c r="X212" s="80">
        <f>SUMIFS('октябрь 2024'!$G$5:$G$2162,'октябрь 2024'!$D$5:$D$2162,$B212,'октябрь 2024'!$J$5:$J$2162,X$1)</f>
        <v>0</v>
      </c>
      <c r="Y212" s="80">
        <f>SUMIFS('октябрь 2024'!$G$5:$G$2162,'октябрь 2024'!$D$5:$D$2162,$B212,'октябрь 2024'!$J$5:$J$2162,Y$1)</f>
        <v>0</v>
      </c>
      <c r="Z212" s="80">
        <f>SUMIFS('октябрь 2024'!$G$5:$G$2162,'октябрь 2024'!$D$5:$D$2162,$B212,'октябрь 2024'!$J$5:$J$2162,Z$1)</f>
        <v>0</v>
      </c>
      <c r="AA212" s="80">
        <f>SUMIFS('октябрь 2024'!$G$5:$G$2162,'октябрь 2024'!$D$5:$D$2162,$B212,'октябрь 2024'!$J$5:$J$2162,AA$1)</f>
        <v>0</v>
      </c>
      <c r="AB212" s="80">
        <f>SUMIFS('октябрь 2024'!$G$5:$G$2162,'октябрь 2024'!$D$5:$D$2162,$B212,'октябрь 2024'!$J$5:$J$2162,AB$1)</f>
        <v>0</v>
      </c>
      <c r="AC212" s="80">
        <f>SUMIFS('октябрь 2024'!$G$5:$G$2162,'октябрь 2024'!$D$5:$D$2162,$B212,'октябрь 2024'!$J$5:$J$2162,AC$1)</f>
        <v>0</v>
      </c>
      <c r="AD212" s="80">
        <f>SUMIFS('октябрь 2024'!$G$5:$G$2162,'октябрь 2024'!$D$5:$D$2162,$B212,'октябрь 2024'!$J$5:$J$2162,AD$1)</f>
        <v>0</v>
      </c>
      <c r="AE212" s="80">
        <f>SUMIFS('октябрь 2024'!$G$5:$G$2162,'октябрь 2024'!$D$5:$D$2162,$B212,'октябрь 2024'!$J$5:$J$2162,AE$1)</f>
        <v>0</v>
      </c>
      <c r="AF212" s="80">
        <f>SUMIFS('октябрь 2024'!$G$5:$G$2162,'октябрь 2024'!$D$5:$D$2162,$B212,'октябрь 2024'!$J$5:$J$2162,AF$1)</f>
        <v>0</v>
      </c>
      <c r="AG212" s="80">
        <f>SUMIFS('октябрь 2024'!$G$5:$G$2162,'октябрь 2024'!$D$5:$D$2162,$B212,'октябрь 2024'!$J$5:$J$2162,AG$1)</f>
        <v>0</v>
      </c>
      <c r="AH212" s="80">
        <f>SUMIFS('октябрь 2024'!$G$5:$G$2162,'октябрь 2024'!$D$5:$D$2162,$B212,'октябрь 2024'!$J$5:$J$2162,AH$1)</f>
        <v>0</v>
      </c>
      <c r="AI212" s="87"/>
    </row>
    <row r="213" spans="2:35" ht="15" hidden="1" customHeight="1" x14ac:dyDescent="0.25">
      <c r="B213" s="89"/>
      <c r="C213" s="88"/>
      <c r="D213" s="80">
        <f>SUMIFS('февраль 2024'!$G$6:$G$1413,'февраль 2024'!$D$6:$D$1413,$B213,'февраль 2024'!$J$6:$J$1413,D$1)</f>
        <v>0</v>
      </c>
      <c r="E213" s="80">
        <f>SUMIFS('февраль 2024'!$G$6:$G$1413,'февраль 2024'!$D$6:$D$1413,$B213,'февраль 2024'!$J$6:$J$1413,E$1)</f>
        <v>0</v>
      </c>
      <c r="F213" s="80">
        <f>SUMIFS('февраль 2024'!$G$6:$G$1413,'февраль 2024'!$D$6:$D$1413,$B213,'февраль 2024'!$J$6:$J$1413,F$1)</f>
        <v>0</v>
      </c>
      <c r="G213" s="80">
        <f>SUMIFS('февраль 2024'!$G$6:$G$1413,'февраль 2024'!$D$6:$D$1413,$B213,'февраль 2024'!$J$6:$J$1413,G$1)</f>
        <v>0</v>
      </c>
      <c r="H213" s="80">
        <f>SUMIFS('февраль 2024'!$G$6:$G$1413,'февраль 2024'!$D$6:$D$1413,$B213,'февраль 2024'!$J$6:$J$1413,H$1)</f>
        <v>0</v>
      </c>
      <c r="I213" s="80">
        <f>SUMIFS('февраль 2024'!$G$6:$G$1413,'февраль 2024'!$D$6:$D$1413,$B213,'февраль 2024'!$J$6:$J$1413,I$1)</f>
        <v>0</v>
      </c>
      <c r="J213" s="80">
        <f>SUMIFS('февраль 2024'!$G$6:$G$1413,'февраль 2024'!$D$6:$D$1413,$B213,'февраль 2024'!$J$6:$J$1413,J$1)</f>
        <v>0</v>
      </c>
      <c r="K213" s="80">
        <f>SUMIFS('февраль 2024'!$G$6:$G$1413,'февраль 2024'!$D$6:$D$1413,$B213,'февраль 2024'!$J$6:$J$1413,K$1)</f>
        <v>0</v>
      </c>
      <c r="L213" s="80">
        <f>SUMIFS('февраль 2024'!$G$6:$G$1413,'февраль 2024'!$D$6:$D$1413,$B213,'февраль 2024'!$J$6:$J$1413,L$1)</f>
        <v>0</v>
      </c>
      <c r="M213" s="80">
        <f>SUMIFS('февраль 2024'!$G$6:$G$1413,'февраль 2024'!$D$6:$D$1413,$B213,'февраль 2024'!$J$6:$J$1413,M$1)</f>
        <v>0</v>
      </c>
      <c r="N213" s="80">
        <f>SUMIFS('февраль 2024'!$G$6:$G$1413,'февраль 2024'!$D$6:$D$1413,$B213,'февраль 2024'!$J$6:$J$1413,N$1)</f>
        <v>0</v>
      </c>
      <c r="O213" s="80">
        <f>SUMIFS('февраль 2024'!$G$6:$G$1413,'февраль 2024'!$D$6:$D$1413,$B213,'февраль 2024'!$J$6:$J$1413,O$1)</f>
        <v>0</v>
      </c>
      <c r="P213" s="80">
        <f>SUMIFS('февраль 2024'!$G$6:$G$1413,'февраль 2024'!$D$6:$D$1413,$B213,'февраль 2024'!$J$6:$J$1413,P$1)</f>
        <v>0</v>
      </c>
      <c r="Q213" s="80">
        <f>SUMIFS('февраль 2024'!$G$6:$G$1413,'февраль 2024'!$D$6:$D$1413,$B213,'февраль 2024'!$J$6:$J$1413,Q$1)</f>
        <v>0</v>
      </c>
      <c r="R213" s="80">
        <f>SUMIFS('февраль 2024'!$G$6:$G$1413,'февраль 2024'!$D$6:$D$1413,$B213,'февраль 2024'!$J$6:$J$1413,R$1)</f>
        <v>0</v>
      </c>
      <c r="S213" s="80">
        <f>SUMIFS('февраль 2024'!$G$6:$G$1413,'февраль 2024'!$D$6:$D$1413,$B213,'февраль 2024'!$J$6:$J$1413,S$1)</f>
        <v>0</v>
      </c>
      <c r="T213" s="80">
        <f>SUMIFS('февраль 2024'!$G$6:$G$1413,'февраль 2024'!$D$6:$D$1413,$B213,'февраль 2024'!$J$6:$J$1413,T$1)</f>
        <v>0</v>
      </c>
      <c r="U213" s="80">
        <f>SUMIFS('февраль 2024'!$G$6:$G$1413,'февраль 2024'!$D$6:$D$1413,$B213,'февраль 2024'!$J$6:$J$1413,U$1)</f>
        <v>0</v>
      </c>
      <c r="V213" s="80">
        <f>SUMIFS('февраль 2024'!$G$6:$G$1413,'февраль 2024'!$D$6:$D$1413,$B213,'февраль 2024'!$J$6:$J$1413,V$1)</f>
        <v>0</v>
      </c>
      <c r="W213" s="80">
        <f>SUMIFS('февраль 2024'!$G$6:$G$1413,'февраль 2024'!$D$6:$D$1413,$B213,'февраль 2024'!$J$6:$J$1413,W$1)</f>
        <v>0</v>
      </c>
      <c r="X213" s="80">
        <f>SUMIFS('февраль 2024'!$G$6:$G$1413,'февраль 2024'!$D$6:$D$1413,$B213,'февраль 2024'!$J$6:$J$1413,X$1)</f>
        <v>0</v>
      </c>
      <c r="Y213" s="80">
        <f>SUMIFS('февраль 2024'!$G$6:$G$1413,'февраль 2024'!$D$6:$D$1413,$B213,'февраль 2024'!$J$6:$J$1413,Y$1)</f>
        <v>0</v>
      </c>
      <c r="Z213" s="80">
        <f>SUMIFS('февраль 2024'!$G$6:$G$1413,'февраль 2024'!$D$6:$D$1413,$B213,'февраль 2024'!$J$6:$J$1413,Z$1)</f>
        <v>0</v>
      </c>
      <c r="AA213" s="80">
        <f>SUMIFS('февраль 2024'!$G$6:$G$1413,'февраль 2024'!$D$6:$D$1413,$B213,'февраль 2024'!$J$6:$J$1413,AA$1)</f>
        <v>0</v>
      </c>
      <c r="AB213" s="80">
        <f>SUMIFS('февраль 2024'!$G$6:$G$1413,'февраль 2024'!$D$6:$D$1413,$B213,'февраль 2024'!$J$6:$J$1413,AB$1)</f>
        <v>0</v>
      </c>
      <c r="AC213" s="80">
        <f>SUMIFS('февраль 2024'!$G$6:$G$1413,'февраль 2024'!$D$6:$D$1413,$B213,'февраль 2024'!$J$6:$J$1413,AC$1)</f>
        <v>0</v>
      </c>
      <c r="AD213" s="80">
        <f>SUMIFS('февраль 2024'!$G$6:$G$1413,'февраль 2024'!$D$6:$D$1413,$B213,'февраль 2024'!$J$6:$J$1413,AD$1)</f>
        <v>0</v>
      </c>
      <c r="AE213" s="80">
        <f>SUMIFS('февраль 2024'!$G$6:$G$1413,'февраль 2024'!$D$6:$D$1413,$B213,'февраль 2024'!$J$6:$J$1413,AE$1)</f>
        <v>0</v>
      </c>
      <c r="AF213" s="80">
        <f>SUMIFS('февраль 2024'!$G$6:$G$1413,'февраль 2024'!$D$6:$D$1413,$B213,'февраль 2024'!$J$6:$J$1413,AF$1)</f>
        <v>0</v>
      </c>
      <c r="AG213" s="80">
        <f>SUMIFS('февраль 2024'!$G$6:$G$1413,'февраль 2024'!$D$6:$D$1413,$B213,'февраль 2024'!$J$6:$J$1413,AG$1)</f>
        <v>0</v>
      </c>
      <c r="AH213" s="80">
        <f>SUMIFS('февраль 2024'!$G$6:$G$1413,'февраль 2024'!$D$6:$D$1413,$B213,'февраль 2024'!$J$6:$J$1413,AH$1)</f>
        <v>0</v>
      </c>
      <c r="AI213" s="87"/>
    </row>
    <row r="214" spans="2:35" ht="15" hidden="1" customHeight="1" x14ac:dyDescent="0.25">
      <c r="B214" s="89"/>
      <c r="C214" s="88"/>
      <c r="D214" s="80">
        <f>SUMIFS('февраль 2024'!$G$6:$G$1413,'февраль 2024'!$D$6:$D$1413,$B214,'февраль 2024'!$J$6:$J$1413,D$1)</f>
        <v>0</v>
      </c>
      <c r="E214" s="80">
        <f>SUMIFS('февраль 2024'!$G$6:$G$1413,'февраль 2024'!$D$6:$D$1413,$B214,'февраль 2024'!$J$6:$J$1413,E$1)</f>
        <v>0</v>
      </c>
      <c r="F214" s="80">
        <f>SUMIFS('февраль 2024'!$G$6:$G$1413,'февраль 2024'!$D$6:$D$1413,$B214,'февраль 2024'!$J$6:$J$1413,F$1)</f>
        <v>0</v>
      </c>
      <c r="G214" s="80">
        <f>SUMIFS('февраль 2024'!$G$6:$G$1413,'февраль 2024'!$D$6:$D$1413,$B214,'февраль 2024'!$J$6:$J$1413,G$1)</f>
        <v>0</v>
      </c>
      <c r="H214" s="80">
        <f>SUMIFS('февраль 2024'!$G$6:$G$1413,'февраль 2024'!$D$6:$D$1413,$B214,'февраль 2024'!$J$6:$J$1413,H$1)</f>
        <v>0</v>
      </c>
      <c r="I214" s="80">
        <f>SUMIFS('февраль 2024'!$G$6:$G$1413,'февраль 2024'!$D$6:$D$1413,$B214,'февраль 2024'!$J$6:$J$1413,I$1)</f>
        <v>0</v>
      </c>
      <c r="J214" s="80">
        <f>SUMIFS('февраль 2024'!$G$6:$G$1413,'февраль 2024'!$D$6:$D$1413,$B214,'февраль 2024'!$J$6:$J$1413,J$1)</f>
        <v>0</v>
      </c>
      <c r="K214" s="80">
        <f>SUMIFS('февраль 2024'!$G$6:$G$1413,'февраль 2024'!$D$6:$D$1413,$B214,'февраль 2024'!$J$6:$J$1413,K$1)</f>
        <v>0</v>
      </c>
      <c r="L214" s="80">
        <f>SUMIFS('февраль 2024'!$G$6:$G$1413,'февраль 2024'!$D$6:$D$1413,$B214,'февраль 2024'!$J$6:$J$1413,L$1)</f>
        <v>0</v>
      </c>
      <c r="M214" s="80">
        <f>SUMIFS('февраль 2024'!$G$6:$G$1413,'февраль 2024'!$D$6:$D$1413,$B214,'февраль 2024'!$J$6:$J$1413,M$1)</f>
        <v>0</v>
      </c>
      <c r="N214" s="80">
        <f>SUMIFS('февраль 2024'!$G$6:$G$1413,'февраль 2024'!$D$6:$D$1413,$B214,'февраль 2024'!$J$6:$J$1413,N$1)</f>
        <v>0</v>
      </c>
      <c r="O214" s="80">
        <f>SUMIFS('февраль 2024'!$G$6:$G$1413,'февраль 2024'!$D$6:$D$1413,$B214,'февраль 2024'!$J$6:$J$1413,O$1)</f>
        <v>0</v>
      </c>
      <c r="P214" s="80">
        <f>SUMIFS('февраль 2024'!$G$6:$G$1413,'февраль 2024'!$D$6:$D$1413,$B214,'февраль 2024'!$J$6:$J$1413,P$1)</f>
        <v>0</v>
      </c>
      <c r="Q214" s="80">
        <f>SUMIFS('февраль 2024'!$G$6:$G$1413,'февраль 2024'!$D$6:$D$1413,$B214,'февраль 2024'!$J$6:$J$1413,Q$1)</f>
        <v>0</v>
      </c>
      <c r="R214" s="80">
        <f>SUMIFS('февраль 2024'!$G$6:$G$1413,'февраль 2024'!$D$6:$D$1413,$B214,'февраль 2024'!$J$6:$J$1413,R$1)</f>
        <v>0</v>
      </c>
      <c r="S214" s="80">
        <f>SUMIFS('февраль 2024'!$G$6:$G$1413,'февраль 2024'!$D$6:$D$1413,$B214,'февраль 2024'!$J$6:$J$1413,S$1)</f>
        <v>0</v>
      </c>
      <c r="T214" s="80">
        <f>SUMIFS('февраль 2024'!$G$6:$G$1413,'февраль 2024'!$D$6:$D$1413,$B214,'февраль 2024'!$J$6:$J$1413,T$1)</f>
        <v>0</v>
      </c>
      <c r="U214" s="80">
        <f>SUMIFS('февраль 2024'!$G$6:$G$1413,'февраль 2024'!$D$6:$D$1413,$B214,'февраль 2024'!$J$6:$J$1413,U$1)</f>
        <v>0</v>
      </c>
      <c r="V214" s="80">
        <f>SUMIFS('февраль 2024'!$G$6:$G$1413,'февраль 2024'!$D$6:$D$1413,$B214,'февраль 2024'!$J$6:$J$1413,V$1)</f>
        <v>0</v>
      </c>
      <c r="W214" s="80">
        <f>SUMIFS('февраль 2024'!$G$6:$G$1413,'февраль 2024'!$D$6:$D$1413,$B214,'февраль 2024'!$J$6:$J$1413,W$1)</f>
        <v>0</v>
      </c>
      <c r="X214" s="80">
        <f>SUMIFS('февраль 2024'!$G$6:$G$1413,'февраль 2024'!$D$6:$D$1413,$B214,'февраль 2024'!$J$6:$J$1413,X$1)</f>
        <v>0</v>
      </c>
      <c r="Y214" s="80">
        <f>SUMIFS('февраль 2024'!$G$6:$G$1413,'февраль 2024'!$D$6:$D$1413,$B214,'февраль 2024'!$J$6:$J$1413,Y$1)</f>
        <v>0</v>
      </c>
      <c r="Z214" s="80">
        <f>SUMIFS('февраль 2024'!$G$6:$G$1413,'февраль 2024'!$D$6:$D$1413,$B214,'февраль 2024'!$J$6:$J$1413,Z$1)</f>
        <v>0</v>
      </c>
      <c r="AA214" s="80">
        <f>SUMIFS('февраль 2024'!$G$6:$G$1413,'февраль 2024'!$D$6:$D$1413,$B214,'февраль 2024'!$J$6:$J$1413,AA$1)</f>
        <v>0</v>
      </c>
      <c r="AB214" s="80">
        <f>SUMIFS('февраль 2024'!$G$6:$G$1413,'февраль 2024'!$D$6:$D$1413,$B214,'февраль 2024'!$J$6:$J$1413,AB$1)</f>
        <v>0</v>
      </c>
      <c r="AC214" s="80">
        <f>SUMIFS('февраль 2024'!$G$6:$G$1413,'февраль 2024'!$D$6:$D$1413,$B214,'февраль 2024'!$J$6:$J$1413,AC$1)</f>
        <v>0</v>
      </c>
      <c r="AD214" s="80">
        <f>SUMIFS('февраль 2024'!$G$6:$G$1413,'февраль 2024'!$D$6:$D$1413,$B214,'февраль 2024'!$J$6:$J$1413,AD$1)</f>
        <v>0</v>
      </c>
      <c r="AE214" s="80">
        <f>SUMIFS('февраль 2024'!$G$6:$G$1413,'февраль 2024'!$D$6:$D$1413,$B214,'февраль 2024'!$J$6:$J$1413,AE$1)</f>
        <v>0</v>
      </c>
      <c r="AF214" s="80">
        <f>SUMIFS('февраль 2024'!$G$6:$G$1413,'февраль 2024'!$D$6:$D$1413,$B214,'февраль 2024'!$J$6:$J$1413,AF$1)</f>
        <v>0</v>
      </c>
      <c r="AG214" s="80">
        <f>SUMIFS('февраль 2024'!$G$6:$G$1413,'февраль 2024'!$D$6:$D$1413,$B214,'февраль 2024'!$J$6:$J$1413,AG$1)</f>
        <v>0</v>
      </c>
      <c r="AH214" s="80">
        <f>SUMIFS('февраль 2024'!$G$6:$G$1413,'февраль 2024'!$D$6:$D$1413,$B214,'февраль 2024'!$J$6:$J$1413,AH$1)</f>
        <v>0</v>
      </c>
      <c r="AI214" s="87"/>
    </row>
    <row r="215" spans="2:35" ht="15" hidden="1" customHeight="1" x14ac:dyDescent="0.25">
      <c r="B215" s="89"/>
      <c r="C215" s="88"/>
      <c r="D215" s="80">
        <f>SUMIFS('февраль 2024'!$G$6:$G$1413,'февраль 2024'!$D$6:$D$1413,$B215,'февраль 2024'!$J$6:$J$1413,D$1)</f>
        <v>0</v>
      </c>
      <c r="E215" s="80">
        <f>SUMIFS('февраль 2024'!$G$6:$G$1413,'февраль 2024'!$D$6:$D$1413,$B215,'февраль 2024'!$J$6:$J$1413,E$1)</f>
        <v>0</v>
      </c>
      <c r="F215" s="80">
        <f>SUMIFS('февраль 2024'!$G$6:$G$1413,'февраль 2024'!$D$6:$D$1413,$B215,'февраль 2024'!$J$6:$J$1413,F$1)</f>
        <v>0</v>
      </c>
      <c r="G215" s="80">
        <f>SUMIFS('февраль 2024'!$G$6:$G$1413,'февраль 2024'!$D$6:$D$1413,$B215,'февраль 2024'!$J$6:$J$1413,G$1)</f>
        <v>0</v>
      </c>
      <c r="H215" s="80">
        <f>SUMIFS('февраль 2024'!$G$6:$G$1413,'февраль 2024'!$D$6:$D$1413,$B215,'февраль 2024'!$J$6:$J$1413,H$1)</f>
        <v>0</v>
      </c>
      <c r="I215" s="80">
        <f>SUMIFS('февраль 2024'!$G$6:$G$1413,'февраль 2024'!$D$6:$D$1413,$B215,'февраль 2024'!$J$6:$J$1413,I$1)</f>
        <v>0</v>
      </c>
      <c r="J215" s="80">
        <f>SUMIFS('февраль 2024'!$G$6:$G$1413,'февраль 2024'!$D$6:$D$1413,$B215,'февраль 2024'!$J$6:$J$1413,J$1)</f>
        <v>0</v>
      </c>
      <c r="K215" s="80">
        <f>SUMIFS('февраль 2024'!$G$6:$G$1413,'февраль 2024'!$D$6:$D$1413,$B215,'февраль 2024'!$J$6:$J$1413,K$1)</f>
        <v>0</v>
      </c>
      <c r="L215" s="80">
        <f>SUMIFS('февраль 2024'!$G$6:$G$1413,'февраль 2024'!$D$6:$D$1413,$B215,'февраль 2024'!$J$6:$J$1413,L$1)</f>
        <v>0</v>
      </c>
      <c r="M215" s="80">
        <f>SUMIFS('февраль 2024'!$G$6:$G$1413,'февраль 2024'!$D$6:$D$1413,$B215,'февраль 2024'!$J$6:$J$1413,M$1)</f>
        <v>0</v>
      </c>
      <c r="N215" s="80">
        <f>SUMIFS('февраль 2024'!$G$6:$G$1413,'февраль 2024'!$D$6:$D$1413,$B215,'февраль 2024'!$J$6:$J$1413,N$1)</f>
        <v>0</v>
      </c>
      <c r="O215" s="80">
        <f>SUMIFS('февраль 2024'!$G$6:$G$1413,'февраль 2024'!$D$6:$D$1413,$B215,'февраль 2024'!$J$6:$J$1413,O$1)</f>
        <v>0</v>
      </c>
      <c r="P215" s="80">
        <f>SUMIFS('февраль 2024'!$G$6:$G$1413,'февраль 2024'!$D$6:$D$1413,$B215,'февраль 2024'!$J$6:$J$1413,P$1)</f>
        <v>0</v>
      </c>
      <c r="Q215" s="80">
        <f>SUMIFS('февраль 2024'!$G$6:$G$1413,'февраль 2024'!$D$6:$D$1413,$B215,'февраль 2024'!$J$6:$J$1413,Q$1)</f>
        <v>0</v>
      </c>
      <c r="R215" s="80">
        <f>SUMIFS('февраль 2024'!$G$6:$G$1413,'февраль 2024'!$D$6:$D$1413,$B215,'февраль 2024'!$J$6:$J$1413,R$1)</f>
        <v>0</v>
      </c>
      <c r="S215" s="80">
        <f>SUMIFS('февраль 2024'!$G$6:$G$1413,'февраль 2024'!$D$6:$D$1413,$B215,'февраль 2024'!$J$6:$J$1413,S$1)</f>
        <v>0</v>
      </c>
      <c r="T215" s="80">
        <f>SUMIFS('февраль 2024'!$G$6:$G$1413,'февраль 2024'!$D$6:$D$1413,$B215,'февраль 2024'!$J$6:$J$1413,T$1)</f>
        <v>0</v>
      </c>
      <c r="U215" s="80">
        <f>SUMIFS('февраль 2024'!$G$6:$G$1413,'февраль 2024'!$D$6:$D$1413,$B215,'февраль 2024'!$J$6:$J$1413,U$1)</f>
        <v>0</v>
      </c>
      <c r="V215" s="80">
        <f>SUMIFS('февраль 2024'!$G$6:$G$1413,'февраль 2024'!$D$6:$D$1413,$B215,'февраль 2024'!$J$6:$J$1413,V$1)</f>
        <v>0</v>
      </c>
      <c r="W215" s="80">
        <f>SUMIFS('февраль 2024'!$G$6:$G$1413,'февраль 2024'!$D$6:$D$1413,$B215,'февраль 2024'!$J$6:$J$1413,W$1)</f>
        <v>0</v>
      </c>
      <c r="X215" s="80">
        <f>SUMIFS('февраль 2024'!$G$6:$G$1413,'февраль 2024'!$D$6:$D$1413,$B215,'февраль 2024'!$J$6:$J$1413,X$1)</f>
        <v>0</v>
      </c>
      <c r="Y215" s="80">
        <f>SUMIFS('февраль 2024'!$G$6:$G$1413,'февраль 2024'!$D$6:$D$1413,$B215,'февраль 2024'!$J$6:$J$1413,Y$1)</f>
        <v>0</v>
      </c>
      <c r="Z215" s="80">
        <f>SUMIFS('февраль 2024'!$G$6:$G$1413,'февраль 2024'!$D$6:$D$1413,$B215,'февраль 2024'!$J$6:$J$1413,Z$1)</f>
        <v>0</v>
      </c>
      <c r="AA215" s="80">
        <f>SUMIFS('февраль 2024'!$G$6:$G$1413,'февраль 2024'!$D$6:$D$1413,$B215,'февраль 2024'!$J$6:$J$1413,AA$1)</f>
        <v>0</v>
      </c>
      <c r="AB215" s="80">
        <f>SUMIFS('февраль 2024'!$G$6:$G$1413,'февраль 2024'!$D$6:$D$1413,$B215,'февраль 2024'!$J$6:$J$1413,AB$1)</f>
        <v>0</v>
      </c>
      <c r="AC215" s="80">
        <f>SUMIFS('февраль 2024'!$G$6:$G$1413,'февраль 2024'!$D$6:$D$1413,$B215,'февраль 2024'!$J$6:$J$1413,AC$1)</f>
        <v>0</v>
      </c>
      <c r="AD215" s="80">
        <f>SUMIFS('февраль 2024'!$G$6:$G$1413,'февраль 2024'!$D$6:$D$1413,$B215,'февраль 2024'!$J$6:$J$1413,AD$1)</f>
        <v>0</v>
      </c>
      <c r="AE215" s="80">
        <f>SUMIFS('февраль 2024'!$G$6:$G$1413,'февраль 2024'!$D$6:$D$1413,$B215,'февраль 2024'!$J$6:$J$1413,AE$1)</f>
        <v>0</v>
      </c>
      <c r="AF215" s="80">
        <f>SUMIFS('февраль 2024'!$G$6:$G$1413,'февраль 2024'!$D$6:$D$1413,$B215,'февраль 2024'!$J$6:$J$1413,AF$1)</f>
        <v>0</v>
      </c>
      <c r="AG215" s="80">
        <f>SUMIFS('февраль 2024'!$G$6:$G$1413,'февраль 2024'!$D$6:$D$1413,$B215,'февраль 2024'!$J$6:$J$1413,AG$1)</f>
        <v>0</v>
      </c>
      <c r="AH215" s="80">
        <f>SUMIFS('февраль 2024'!$G$6:$G$1413,'февраль 2024'!$D$6:$D$1413,$B215,'февраль 2024'!$J$6:$J$1413,AH$1)</f>
        <v>0</v>
      </c>
      <c r="AI215" s="87"/>
    </row>
    <row r="216" spans="2:35" ht="15" hidden="1" customHeight="1" x14ac:dyDescent="0.25">
      <c r="B216" s="89"/>
      <c r="C216" s="88"/>
      <c r="D216" s="80">
        <f>SUMIFS('февраль 2024'!$G$6:$G$1413,'февраль 2024'!$D$6:$D$1413,$B216,'февраль 2024'!$J$6:$J$1413,D$1)</f>
        <v>0</v>
      </c>
      <c r="E216" s="80">
        <f>SUMIFS('февраль 2024'!$G$6:$G$1413,'февраль 2024'!$D$6:$D$1413,$B216,'февраль 2024'!$J$6:$J$1413,E$1)</f>
        <v>0</v>
      </c>
      <c r="F216" s="80">
        <f>SUMIFS('февраль 2024'!$G$6:$G$1413,'февраль 2024'!$D$6:$D$1413,$B216,'февраль 2024'!$J$6:$J$1413,F$1)</f>
        <v>0</v>
      </c>
      <c r="G216" s="80">
        <f>SUMIFS('февраль 2024'!$G$6:$G$1413,'февраль 2024'!$D$6:$D$1413,$B216,'февраль 2024'!$J$6:$J$1413,G$1)</f>
        <v>0</v>
      </c>
      <c r="H216" s="80">
        <f>SUMIFS('февраль 2024'!$G$6:$G$1413,'февраль 2024'!$D$6:$D$1413,$B216,'февраль 2024'!$J$6:$J$1413,H$1)</f>
        <v>0</v>
      </c>
      <c r="I216" s="80">
        <f>SUMIFS('февраль 2024'!$G$6:$G$1413,'февраль 2024'!$D$6:$D$1413,$B216,'февраль 2024'!$J$6:$J$1413,I$1)</f>
        <v>0</v>
      </c>
      <c r="J216" s="80">
        <f>SUMIFS('февраль 2024'!$G$6:$G$1413,'февраль 2024'!$D$6:$D$1413,$B216,'февраль 2024'!$J$6:$J$1413,J$1)</f>
        <v>0</v>
      </c>
      <c r="K216" s="80">
        <f>SUMIFS('февраль 2024'!$G$6:$G$1413,'февраль 2024'!$D$6:$D$1413,$B216,'февраль 2024'!$J$6:$J$1413,K$1)</f>
        <v>0</v>
      </c>
      <c r="L216" s="80">
        <f>SUMIFS('февраль 2024'!$G$6:$G$1413,'февраль 2024'!$D$6:$D$1413,$B216,'февраль 2024'!$J$6:$J$1413,L$1)</f>
        <v>0</v>
      </c>
      <c r="M216" s="80">
        <f>SUMIFS('февраль 2024'!$G$6:$G$1413,'февраль 2024'!$D$6:$D$1413,$B216,'февраль 2024'!$J$6:$J$1413,M$1)</f>
        <v>0</v>
      </c>
      <c r="N216" s="80">
        <f>SUMIFS('февраль 2024'!$G$6:$G$1413,'февраль 2024'!$D$6:$D$1413,$B216,'февраль 2024'!$J$6:$J$1413,N$1)</f>
        <v>0</v>
      </c>
      <c r="O216" s="80">
        <f>SUMIFS('февраль 2024'!$G$6:$G$1413,'февраль 2024'!$D$6:$D$1413,$B216,'февраль 2024'!$J$6:$J$1413,O$1)</f>
        <v>0</v>
      </c>
      <c r="P216" s="80">
        <f>SUMIFS('февраль 2024'!$G$6:$G$1413,'февраль 2024'!$D$6:$D$1413,$B216,'февраль 2024'!$J$6:$J$1413,P$1)</f>
        <v>0</v>
      </c>
      <c r="Q216" s="80">
        <f>SUMIFS('февраль 2024'!$G$6:$G$1413,'февраль 2024'!$D$6:$D$1413,$B216,'февраль 2024'!$J$6:$J$1413,Q$1)</f>
        <v>0</v>
      </c>
      <c r="R216" s="80">
        <f>SUMIFS('февраль 2024'!$G$6:$G$1413,'февраль 2024'!$D$6:$D$1413,$B216,'февраль 2024'!$J$6:$J$1413,R$1)</f>
        <v>0</v>
      </c>
      <c r="S216" s="80">
        <f>SUMIFS('февраль 2024'!$G$6:$G$1413,'февраль 2024'!$D$6:$D$1413,$B216,'февраль 2024'!$J$6:$J$1413,S$1)</f>
        <v>0</v>
      </c>
      <c r="T216" s="80">
        <f>SUMIFS('февраль 2024'!$G$6:$G$1413,'февраль 2024'!$D$6:$D$1413,$B216,'февраль 2024'!$J$6:$J$1413,T$1)</f>
        <v>0</v>
      </c>
      <c r="U216" s="80">
        <f>SUMIFS('февраль 2024'!$G$6:$G$1413,'февраль 2024'!$D$6:$D$1413,$B216,'февраль 2024'!$J$6:$J$1413,U$1)</f>
        <v>0</v>
      </c>
      <c r="V216" s="80">
        <f>SUMIFS('февраль 2024'!$G$6:$G$1413,'февраль 2024'!$D$6:$D$1413,$B216,'февраль 2024'!$J$6:$J$1413,V$1)</f>
        <v>0</v>
      </c>
      <c r="W216" s="80">
        <f>SUMIFS('февраль 2024'!$G$6:$G$1413,'февраль 2024'!$D$6:$D$1413,$B216,'февраль 2024'!$J$6:$J$1413,W$1)</f>
        <v>0</v>
      </c>
      <c r="X216" s="80">
        <f>SUMIFS('февраль 2024'!$G$6:$G$1413,'февраль 2024'!$D$6:$D$1413,$B216,'февраль 2024'!$J$6:$J$1413,X$1)</f>
        <v>0</v>
      </c>
      <c r="Y216" s="80">
        <f>SUMIFS('февраль 2024'!$G$6:$G$1413,'февраль 2024'!$D$6:$D$1413,$B216,'февраль 2024'!$J$6:$J$1413,Y$1)</f>
        <v>0</v>
      </c>
      <c r="Z216" s="80">
        <f>SUMIFS('февраль 2024'!$G$6:$G$1413,'февраль 2024'!$D$6:$D$1413,$B216,'февраль 2024'!$J$6:$J$1413,Z$1)</f>
        <v>0</v>
      </c>
      <c r="AA216" s="80">
        <f>SUMIFS('февраль 2024'!$G$6:$G$1413,'февраль 2024'!$D$6:$D$1413,$B216,'февраль 2024'!$J$6:$J$1413,AA$1)</f>
        <v>0</v>
      </c>
      <c r="AB216" s="80">
        <f>SUMIFS('февраль 2024'!$G$6:$G$1413,'февраль 2024'!$D$6:$D$1413,$B216,'февраль 2024'!$J$6:$J$1413,AB$1)</f>
        <v>0</v>
      </c>
      <c r="AC216" s="80">
        <f>SUMIFS('февраль 2024'!$G$6:$G$1413,'февраль 2024'!$D$6:$D$1413,$B216,'февраль 2024'!$J$6:$J$1413,AC$1)</f>
        <v>0</v>
      </c>
      <c r="AD216" s="80">
        <f>SUMIFS('февраль 2024'!$G$6:$G$1413,'февраль 2024'!$D$6:$D$1413,$B216,'февраль 2024'!$J$6:$J$1413,AD$1)</f>
        <v>0</v>
      </c>
      <c r="AE216" s="80">
        <f>SUMIFS('февраль 2024'!$G$6:$G$1413,'февраль 2024'!$D$6:$D$1413,$B216,'февраль 2024'!$J$6:$J$1413,AE$1)</f>
        <v>0</v>
      </c>
      <c r="AF216" s="80">
        <f>SUMIFS('февраль 2024'!$G$6:$G$1413,'февраль 2024'!$D$6:$D$1413,$B216,'февраль 2024'!$J$6:$J$1413,AF$1)</f>
        <v>0</v>
      </c>
      <c r="AG216" s="80">
        <f>SUMIFS('февраль 2024'!$G$6:$G$1413,'февраль 2024'!$D$6:$D$1413,$B216,'февраль 2024'!$J$6:$J$1413,AG$1)</f>
        <v>0</v>
      </c>
      <c r="AH216" s="80">
        <f>SUMIFS('февраль 2024'!$G$6:$G$1413,'февраль 2024'!$D$6:$D$1413,$B216,'февраль 2024'!$J$6:$J$1413,AH$1)</f>
        <v>0</v>
      </c>
      <c r="AI216" s="87"/>
    </row>
    <row r="217" spans="2:35" ht="15" hidden="1" customHeight="1" x14ac:dyDescent="0.25">
      <c r="B217" s="89"/>
      <c r="C217" s="88"/>
      <c r="D217" s="80">
        <f>SUMIFS('февраль 2024'!$G$6:$G$1413,'февраль 2024'!$D$6:$D$1413,$B217,'февраль 2024'!$J$6:$J$1413,D$1)</f>
        <v>0</v>
      </c>
      <c r="E217" s="80">
        <f>SUMIFS('февраль 2024'!$G$6:$G$1413,'февраль 2024'!$D$6:$D$1413,$B217,'февраль 2024'!$J$6:$J$1413,E$1)</f>
        <v>0</v>
      </c>
      <c r="F217" s="80">
        <f>SUMIFS('февраль 2024'!$G$6:$G$1413,'февраль 2024'!$D$6:$D$1413,$B217,'февраль 2024'!$J$6:$J$1413,F$1)</f>
        <v>0</v>
      </c>
      <c r="G217" s="80">
        <f>SUMIFS('февраль 2024'!$G$6:$G$1413,'февраль 2024'!$D$6:$D$1413,$B217,'февраль 2024'!$J$6:$J$1413,G$1)</f>
        <v>0</v>
      </c>
      <c r="H217" s="80">
        <f>SUMIFS('февраль 2024'!$G$6:$G$1413,'февраль 2024'!$D$6:$D$1413,$B217,'февраль 2024'!$J$6:$J$1413,H$1)</f>
        <v>0</v>
      </c>
      <c r="I217" s="80">
        <f>SUMIFS('февраль 2024'!$G$6:$G$1413,'февраль 2024'!$D$6:$D$1413,$B217,'февраль 2024'!$J$6:$J$1413,I$1)</f>
        <v>0</v>
      </c>
      <c r="J217" s="80">
        <f>SUMIFS('февраль 2024'!$G$6:$G$1413,'февраль 2024'!$D$6:$D$1413,$B217,'февраль 2024'!$J$6:$J$1413,J$1)</f>
        <v>0</v>
      </c>
      <c r="K217" s="80">
        <f>SUMIFS('февраль 2024'!$G$6:$G$1413,'февраль 2024'!$D$6:$D$1413,$B217,'февраль 2024'!$J$6:$J$1413,K$1)</f>
        <v>0</v>
      </c>
      <c r="L217" s="80">
        <f>SUMIFS('февраль 2024'!$G$6:$G$1413,'февраль 2024'!$D$6:$D$1413,$B217,'февраль 2024'!$J$6:$J$1413,L$1)</f>
        <v>0</v>
      </c>
      <c r="M217" s="80">
        <f>SUMIFS('февраль 2024'!$G$6:$G$1413,'февраль 2024'!$D$6:$D$1413,$B217,'февраль 2024'!$J$6:$J$1413,M$1)</f>
        <v>0</v>
      </c>
      <c r="N217" s="80">
        <f>SUMIFS('февраль 2024'!$G$6:$G$1413,'февраль 2024'!$D$6:$D$1413,$B217,'февраль 2024'!$J$6:$J$1413,N$1)</f>
        <v>0</v>
      </c>
      <c r="O217" s="80">
        <f>SUMIFS('февраль 2024'!$G$6:$G$1413,'февраль 2024'!$D$6:$D$1413,$B217,'февраль 2024'!$J$6:$J$1413,O$1)</f>
        <v>0</v>
      </c>
      <c r="P217" s="80">
        <f>SUMIFS('февраль 2024'!$G$6:$G$1413,'февраль 2024'!$D$6:$D$1413,$B217,'февраль 2024'!$J$6:$J$1413,P$1)</f>
        <v>0</v>
      </c>
      <c r="Q217" s="80">
        <f>SUMIFS('февраль 2024'!$G$6:$G$1413,'февраль 2024'!$D$6:$D$1413,$B217,'февраль 2024'!$J$6:$J$1413,Q$1)</f>
        <v>0</v>
      </c>
      <c r="R217" s="80">
        <f>SUMIFS('февраль 2024'!$G$6:$G$1413,'февраль 2024'!$D$6:$D$1413,$B217,'февраль 2024'!$J$6:$J$1413,R$1)</f>
        <v>0</v>
      </c>
      <c r="S217" s="80">
        <f>SUMIFS('февраль 2024'!$G$6:$G$1413,'февраль 2024'!$D$6:$D$1413,$B217,'февраль 2024'!$J$6:$J$1413,S$1)</f>
        <v>0</v>
      </c>
      <c r="T217" s="80">
        <f>SUMIFS('февраль 2024'!$G$6:$G$1413,'февраль 2024'!$D$6:$D$1413,$B217,'февраль 2024'!$J$6:$J$1413,T$1)</f>
        <v>0</v>
      </c>
      <c r="U217" s="80">
        <f>SUMIFS('февраль 2024'!$G$6:$G$1413,'февраль 2024'!$D$6:$D$1413,$B217,'февраль 2024'!$J$6:$J$1413,U$1)</f>
        <v>0</v>
      </c>
      <c r="V217" s="80">
        <f>SUMIFS('февраль 2024'!$G$6:$G$1413,'февраль 2024'!$D$6:$D$1413,$B217,'февраль 2024'!$J$6:$J$1413,V$1)</f>
        <v>0</v>
      </c>
      <c r="W217" s="80">
        <f>SUMIFS('февраль 2024'!$G$6:$G$1413,'февраль 2024'!$D$6:$D$1413,$B217,'февраль 2024'!$J$6:$J$1413,W$1)</f>
        <v>0</v>
      </c>
      <c r="X217" s="80">
        <f>SUMIFS('февраль 2024'!$G$6:$G$1413,'февраль 2024'!$D$6:$D$1413,$B217,'февраль 2024'!$J$6:$J$1413,X$1)</f>
        <v>0</v>
      </c>
      <c r="Y217" s="80">
        <f>SUMIFS('февраль 2024'!$G$6:$G$1413,'февраль 2024'!$D$6:$D$1413,$B217,'февраль 2024'!$J$6:$J$1413,Y$1)</f>
        <v>0</v>
      </c>
      <c r="Z217" s="80">
        <f>SUMIFS('февраль 2024'!$G$6:$G$1413,'февраль 2024'!$D$6:$D$1413,$B217,'февраль 2024'!$J$6:$J$1413,Z$1)</f>
        <v>0</v>
      </c>
      <c r="AA217" s="80">
        <f>SUMIFS('февраль 2024'!$G$6:$G$1413,'февраль 2024'!$D$6:$D$1413,$B217,'февраль 2024'!$J$6:$J$1413,AA$1)</f>
        <v>0</v>
      </c>
      <c r="AB217" s="80">
        <f>SUMIFS('февраль 2024'!$G$6:$G$1413,'февраль 2024'!$D$6:$D$1413,$B217,'февраль 2024'!$J$6:$J$1413,AB$1)</f>
        <v>0</v>
      </c>
      <c r="AC217" s="80">
        <f>SUMIFS('февраль 2024'!$G$6:$G$1413,'февраль 2024'!$D$6:$D$1413,$B217,'февраль 2024'!$J$6:$J$1413,AC$1)</f>
        <v>0</v>
      </c>
      <c r="AD217" s="80">
        <f>SUMIFS('февраль 2024'!$G$6:$G$1413,'февраль 2024'!$D$6:$D$1413,$B217,'февраль 2024'!$J$6:$J$1413,AD$1)</f>
        <v>0</v>
      </c>
      <c r="AE217" s="80">
        <f>SUMIFS('февраль 2024'!$G$6:$G$1413,'февраль 2024'!$D$6:$D$1413,$B217,'февраль 2024'!$J$6:$J$1413,AE$1)</f>
        <v>0</v>
      </c>
      <c r="AF217" s="80">
        <f>SUMIFS('февраль 2024'!$G$6:$G$1413,'февраль 2024'!$D$6:$D$1413,$B217,'февраль 2024'!$J$6:$J$1413,AF$1)</f>
        <v>0</v>
      </c>
      <c r="AG217" s="80">
        <f>SUMIFS('февраль 2024'!$G$6:$G$1413,'февраль 2024'!$D$6:$D$1413,$B217,'февраль 2024'!$J$6:$J$1413,AG$1)</f>
        <v>0</v>
      </c>
      <c r="AH217" s="80">
        <f>SUMIFS('февраль 2024'!$G$6:$G$1413,'февраль 2024'!$D$6:$D$1413,$B217,'февраль 2024'!$J$6:$J$1413,AH$1)</f>
        <v>0</v>
      </c>
      <c r="AI217" s="87"/>
    </row>
    <row r="218" spans="2:35" ht="15" hidden="1" customHeight="1" thickBot="1" x14ac:dyDescent="0.3">
      <c r="B218" s="89"/>
      <c r="C218" s="96"/>
      <c r="D218" s="80">
        <f>SUMIFS('февраль 2024'!$G$6:$G$1413,'февраль 2024'!$D$6:$D$1413,$B218,'февраль 2024'!$J$6:$J$1413,D$1)</f>
        <v>0</v>
      </c>
      <c r="E218" s="80">
        <f>SUMIFS('февраль 2024'!$G$6:$G$1413,'февраль 2024'!$D$6:$D$1413,$B218,'февраль 2024'!$J$6:$J$1413,E$1)</f>
        <v>0</v>
      </c>
      <c r="F218" s="80">
        <f>SUMIFS('февраль 2024'!$G$6:$G$1413,'февраль 2024'!$D$6:$D$1413,$B218,'февраль 2024'!$J$6:$J$1413,F$1)</f>
        <v>0</v>
      </c>
      <c r="G218" s="80">
        <f>SUMIFS('февраль 2024'!$G$6:$G$1413,'февраль 2024'!$D$6:$D$1413,$B218,'февраль 2024'!$J$6:$J$1413,G$1)</f>
        <v>0</v>
      </c>
      <c r="H218" s="80">
        <f>SUMIFS('февраль 2024'!$G$6:$G$1413,'февраль 2024'!$D$6:$D$1413,$B218,'февраль 2024'!$J$6:$J$1413,H$1)</f>
        <v>0</v>
      </c>
      <c r="I218" s="80">
        <f>SUMIFS('февраль 2024'!$G$6:$G$1413,'февраль 2024'!$D$6:$D$1413,$B218,'февраль 2024'!$J$6:$J$1413,I$1)</f>
        <v>0</v>
      </c>
      <c r="J218" s="80">
        <f>SUMIFS('февраль 2024'!$G$6:$G$1413,'февраль 2024'!$D$6:$D$1413,$B218,'февраль 2024'!$J$6:$J$1413,J$1)</f>
        <v>0</v>
      </c>
      <c r="K218" s="80">
        <f>SUMIFS('февраль 2024'!$G$6:$G$1413,'февраль 2024'!$D$6:$D$1413,$B218,'февраль 2024'!$J$6:$J$1413,K$1)</f>
        <v>0</v>
      </c>
      <c r="L218" s="80">
        <f>SUMIFS('февраль 2024'!$G$6:$G$1413,'февраль 2024'!$D$6:$D$1413,$B218,'февраль 2024'!$J$6:$J$1413,L$1)</f>
        <v>0</v>
      </c>
      <c r="M218" s="80">
        <f>SUMIFS('февраль 2024'!$G$6:$G$1413,'февраль 2024'!$D$6:$D$1413,$B218,'февраль 2024'!$J$6:$J$1413,M$1)</f>
        <v>0</v>
      </c>
      <c r="N218" s="80">
        <f>SUMIFS('февраль 2024'!$G$6:$G$1413,'февраль 2024'!$D$6:$D$1413,$B218,'февраль 2024'!$J$6:$J$1413,N$1)</f>
        <v>0</v>
      </c>
      <c r="O218" s="80">
        <f>SUMIFS('февраль 2024'!$G$6:$G$1413,'февраль 2024'!$D$6:$D$1413,$B218,'февраль 2024'!$J$6:$J$1413,O$1)</f>
        <v>0</v>
      </c>
      <c r="P218" s="80">
        <f>SUMIFS('февраль 2024'!$G$6:$G$1413,'февраль 2024'!$D$6:$D$1413,$B218,'февраль 2024'!$J$6:$J$1413,P$1)</f>
        <v>0</v>
      </c>
      <c r="Q218" s="80">
        <f>SUMIFS('февраль 2024'!$G$6:$G$1413,'февраль 2024'!$D$6:$D$1413,$B218,'февраль 2024'!$J$6:$J$1413,Q$1)</f>
        <v>0</v>
      </c>
      <c r="R218" s="80">
        <f>SUMIFS('февраль 2024'!$G$6:$G$1413,'февраль 2024'!$D$6:$D$1413,$B218,'февраль 2024'!$J$6:$J$1413,R$1)</f>
        <v>0</v>
      </c>
      <c r="S218" s="80">
        <f>SUMIFS('февраль 2024'!$G$6:$G$1413,'февраль 2024'!$D$6:$D$1413,$B218,'февраль 2024'!$J$6:$J$1413,S$1)</f>
        <v>0</v>
      </c>
      <c r="T218" s="80">
        <f>SUMIFS('февраль 2024'!$G$6:$G$1413,'февраль 2024'!$D$6:$D$1413,$B218,'февраль 2024'!$J$6:$J$1413,T$1)</f>
        <v>0</v>
      </c>
      <c r="U218" s="80">
        <f>SUMIFS('февраль 2024'!$G$6:$G$1413,'февраль 2024'!$D$6:$D$1413,$B218,'февраль 2024'!$J$6:$J$1413,U$1)</f>
        <v>0</v>
      </c>
      <c r="V218" s="80">
        <f>SUMIFS('февраль 2024'!$G$6:$G$1413,'февраль 2024'!$D$6:$D$1413,$B218,'февраль 2024'!$J$6:$J$1413,V$1)</f>
        <v>0</v>
      </c>
      <c r="W218" s="80">
        <f>SUMIFS('февраль 2024'!$G$6:$G$1413,'февраль 2024'!$D$6:$D$1413,$B218,'февраль 2024'!$J$6:$J$1413,W$1)</f>
        <v>0</v>
      </c>
      <c r="X218" s="80">
        <f>SUMIFS('февраль 2024'!$G$6:$G$1413,'февраль 2024'!$D$6:$D$1413,$B218,'февраль 2024'!$J$6:$J$1413,X$1)</f>
        <v>0</v>
      </c>
      <c r="Y218" s="80">
        <f>SUMIFS('февраль 2024'!$G$6:$G$1413,'февраль 2024'!$D$6:$D$1413,$B218,'февраль 2024'!$J$6:$J$1413,Y$1)</f>
        <v>0</v>
      </c>
      <c r="Z218" s="80">
        <f>SUMIFS('февраль 2024'!$G$6:$G$1413,'февраль 2024'!$D$6:$D$1413,$B218,'февраль 2024'!$J$6:$J$1413,Z$1)</f>
        <v>0</v>
      </c>
      <c r="AA218" s="80">
        <f>SUMIFS('февраль 2024'!$G$6:$G$1413,'февраль 2024'!$D$6:$D$1413,$B218,'февраль 2024'!$J$6:$J$1413,AA$1)</f>
        <v>0</v>
      </c>
      <c r="AB218" s="80">
        <f>SUMIFS('февраль 2024'!$G$6:$G$1413,'февраль 2024'!$D$6:$D$1413,$B218,'февраль 2024'!$J$6:$J$1413,AB$1)</f>
        <v>0</v>
      </c>
      <c r="AC218" s="80">
        <f>SUMIFS('февраль 2024'!$G$6:$G$1413,'февраль 2024'!$D$6:$D$1413,$B218,'февраль 2024'!$J$6:$J$1413,AC$1)</f>
        <v>0</v>
      </c>
      <c r="AD218" s="80">
        <f>SUMIFS('февраль 2024'!$G$6:$G$1413,'февраль 2024'!$D$6:$D$1413,$B218,'февраль 2024'!$J$6:$J$1413,AD$1)</f>
        <v>0</v>
      </c>
      <c r="AE218" s="80">
        <f>SUMIFS('февраль 2024'!$G$6:$G$1413,'февраль 2024'!$D$6:$D$1413,$B218,'февраль 2024'!$J$6:$J$1413,AE$1)</f>
        <v>0</v>
      </c>
      <c r="AF218" s="80">
        <f>SUMIFS('февраль 2024'!$G$6:$G$1413,'февраль 2024'!$D$6:$D$1413,$B218,'февраль 2024'!$J$6:$J$1413,AF$1)</f>
        <v>0</v>
      </c>
      <c r="AG218" s="80">
        <f>SUMIFS('февраль 2024'!$G$6:$G$1413,'февраль 2024'!$D$6:$D$1413,$B218,'февраль 2024'!$J$6:$J$1413,AG$1)</f>
        <v>0</v>
      </c>
      <c r="AH218" s="80">
        <f>SUMIFS('февраль 2024'!$G$6:$G$1413,'февраль 2024'!$D$6:$D$1413,$B218,'февраль 2024'!$J$6:$J$1413,AH$1)</f>
        <v>0</v>
      </c>
      <c r="AI218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100-000000000000}">
          <x14:formula1>
            <xm:f>справочник!$E$2:$E$155</xm:f>
          </x14:formula1>
          <xm:sqref>B3:B198</xm:sqref>
        </x14:dataValidation>
        <x14:dataValidation type="list" allowBlank="1" showInputMessage="1" showErrorMessage="1" xr:uid="{00000000-0002-0000-1100-000001000000}">
          <x14:formula1>
            <xm:f>справочник!$E$1:$E$2+справочник!$E$2:$E$37</xm:f>
          </x14:formula1>
          <xm:sqref>B199:B218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I218"/>
  <sheetViews>
    <sheetView showZeros="0" topLeftCell="A115" zoomScale="70" zoomScaleNormal="70" workbookViewId="0">
      <selection activeCell="Q130" sqref="Q130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45536</v>
      </c>
      <c r="C1" s="72"/>
      <c r="D1" s="73">
        <f>B1</f>
        <v>45536</v>
      </c>
      <c r="E1" s="73">
        <f>D1+1</f>
        <v>45537</v>
      </c>
      <c r="F1" s="73">
        <f t="shared" ref="F1:AH1" si="0">E1+1</f>
        <v>45538</v>
      </c>
      <c r="G1" s="73">
        <f t="shared" si="0"/>
        <v>45539</v>
      </c>
      <c r="H1" s="73">
        <f t="shared" si="0"/>
        <v>45540</v>
      </c>
      <c r="I1" s="73">
        <f t="shared" si="0"/>
        <v>45541</v>
      </c>
      <c r="J1" s="73">
        <f t="shared" si="0"/>
        <v>45542</v>
      </c>
      <c r="K1" s="73">
        <f t="shared" si="0"/>
        <v>45543</v>
      </c>
      <c r="L1" s="73">
        <f t="shared" si="0"/>
        <v>45544</v>
      </c>
      <c r="M1" s="73">
        <f t="shared" si="0"/>
        <v>45545</v>
      </c>
      <c r="N1" s="73">
        <f t="shared" si="0"/>
        <v>45546</v>
      </c>
      <c r="O1" s="73">
        <f t="shared" si="0"/>
        <v>45547</v>
      </c>
      <c r="P1" s="73">
        <f t="shared" si="0"/>
        <v>45548</v>
      </c>
      <c r="Q1" s="73">
        <f t="shared" si="0"/>
        <v>45549</v>
      </c>
      <c r="R1" s="73">
        <f t="shared" si="0"/>
        <v>45550</v>
      </c>
      <c r="S1" s="73">
        <f t="shared" si="0"/>
        <v>45551</v>
      </c>
      <c r="T1" s="73">
        <f t="shared" si="0"/>
        <v>45552</v>
      </c>
      <c r="U1" s="73">
        <f t="shared" si="0"/>
        <v>45553</v>
      </c>
      <c r="V1" s="73">
        <f t="shared" si="0"/>
        <v>45554</v>
      </c>
      <c r="W1" s="73">
        <f t="shared" si="0"/>
        <v>45555</v>
      </c>
      <c r="X1" s="73">
        <f t="shared" si="0"/>
        <v>45556</v>
      </c>
      <c r="Y1" s="73">
        <f t="shared" si="0"/>
        <v>45557</v>
      </c>
      <c r="Z1" s="73">
        <f t="shared" si="0"/>
        <v>45558</v>
      </c>
      <c r="AA1" s="73">
        <f t="shared" si="0"/>
        <v>45559</v>
      </c>
      <c r="AB1" s="73">
        <f t="shared" si="0"/>
        <v>45560</v>
      </c>
      <c r="AC1" s="73">
        <f t="shared" si="0"/>
        <v>45561</v>
      </c>
      <c r="AD1" s="73">
        <f t="shared" si="0"/>
        <v>45562</v>
      </c>
      <c r="AE1" s="73">
        <f t="shared" si="0"/>
        <v>45563</v>
      </c>
      <c r="AF1" s="73">
        <f t="shared" si="0"/>
        <v>45564</v>
      </c>
      <c r="AG1" s="73">
        <f t="shared" si="0"/>
        <v>45565</v>
      </c>
      <c r="AH1" s="73">
        <f t="shared" si="0"/>
        <v>45566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SUMIFS('сентябрь 2024'!$G$4:$G$2091,'сентябрь 2024'!$D$4:$D$2091,$B3,'сентябрь 2024'!$J$4:$J$2091,D$1)</f>
        <v>0</v>
      </c>
      <c r="E3" s="80">
        <f>SUMIFS('сентябрь 2024'!$G$4:$G$2091,'сентябрь 2024'!$D$4:$D$2091,$B3,'сентябрь 2024'!$J$4:$J$2091,E$1)</f>
        <v>0</v>
      </c>
      <c r="F3" s="80">
        <f>SUMIFS('сентябрь 2024'!$G$4:$G$2091,'сентябрь 2024'!$D$4:$D$2091,$B3,'сентябрь 2024'!$J$4:$J$2091,F$1)</f>
        <v>0</v>
      </c>
      <c r="G3" s="80">
        <f>SUMIFS('сентябрь 2024'!$G$4:$G$2091,'сентябрь 2024'!$D$4:$D$2091,$B3,'сентябрь 2024'!$J$4:$J$2091,G$1)</f>
        <v>0</v>
      </c>
      <c r="H3" s="80">
        <f>SUMIFS('сентябрь 2024'!$G$4:$G$2091,'сентябрь 2024'!$D$4:$D$2091,$B3,'сентябрь 2024'!$J$4:$J$2091,H$1)</f>
        <v>0</v>
      </c>
      <c r="I3" s="80">
        <f>SUMIFS('сентябрь 2024'!$G$4:$G$2091,'сентябрь 2024'!$D$4:$D$2091,$B3,'сентябрь 2024'!$J$4:$J$2091,I$1)</f>
        <v>0</v>
      </c>
      <c r="J3" s="80">
        <f>SUMIFS('сентябрь 2024'!$G$4:$G$2091,'сентябрь 2024'!$D$4:$D$2091,$B3,'сентябрь 2024'!$J$4:$J$2091,J$1)</f>
        <v>0</v>
      </c>
      <c r="K3" s="80">
        <f>SUMIFS('сентябрь 2024'!$G$4:$G$2091,'сентябрь 2024'!$D$4:$D$2091,$B3,'сентябрь 2024'!$J$4:$J$2091,K$1)</f>
        <v>0</v>
      </c>
      <c r="L3" s="80">
        <f>SUMIFS('сентябрь 2024'!$G$4:$G$2091,'сентябрь 2024'!$D$4:$D$2091,$B3,'сентябрь 2024'!$J$4:$J$2091,L$1)</f>
        <v>0</v>
      </c>
      <c r="M3" s="80">
        <f>SUMIFS('сентябрь 2024'!$G$4:$G$2091,'сентябрь 2024'!$D$4:$D$2091,$B3,'сентябрь 2024'!$J$4:$J$2091,M$1)</f>
        <v>0</v>
      </c>
      <c r="N3" s="80">
        <f>SUMIFS('сентябрь 2024'!$G$4:$G$2091,'сентябрь 2024'!$D$4:$D$2091,$B3,'сентябрь 2024'!$J$4:$J$2091,N$1)</f>
        <v>0</v>
      </c>
      <c r="O3" s="80">
        <f>SUMIFS('сентябрь 2024'!$G$4:$G$2091,'сентябрь 2024'!$D$4:$D$2091,$B3,'сентябрь 2024'!$J$4:$J$2091,O$1)</f>
        <v>0</v>
      </c>
      <c r="P3" s="80">
        <f>SUMIFS('сентябрь 2024'!$G$4:$G$2091,'сентябрь 2024'!$D$4:$D$2091,$B3,'сентябрь 2024'!$J$4:$J$2091,P$1)</f>
        <v>0</v>
      </c>
      <c r="Q3" s="80">
        <f>SUMIFS('сентябрь 2024'!$G$4:$G$2091,'сентябрь 2024'!$D$4:$D$2091,$B3,'сентябрь 2024'!$J$4:$J$2091,Q$1)</f>
        <v>0</v>
      </c>
      <c r="R3" s="80">
        <f>SUMIFS('сентябрь 2024'!$G$4:$G$2091,'сентябрь 2024'!$D$4:$D$2091,$B3,'сентябрь 2024'!$J$4:$J$2091,R$1)</f>
        <v>0</v>
      </c>
      <c r="S3" s="80">
        <f>SUMIFS('сентябрь 2024'!$G$4:$G$2091,'сентябрь 2024'!$D$4:$D$2091,$B3,'сентябрь 2024'!$J$4:$J$2091,S$1)</f>
        <v>0</v>
      </c>
      <c r="T3" s="80">
        <f>SUMIFS('сентябрь 2024'!$G$4:$G$2091,'сентябрь 2024'!$D$4:$D$2091,$B3,'сентябрь 2024'!$J$4:$J$2091,T$1)</f>
        <v>0</v>
      </c>
      <c r="U3" s="80">
        <f>SUMIFS('сентябрь 2024'!$G$4:$G$2091,'сентябрь 2024'!$D$4:$D$2091,$B3,'сентябрь 2024'!$J$4:$J$2091,U$1)</f>
        <v>0</v>
      </c>
      <c r="V3" s="80">
        <f>SUMIFS('сентябрь 2024'!$G$4:$G$2091,'сентябрь 2024'!$D$4:$D$2091,$B3,'сентябрь 2024'!$J$4:$J$2091,V$1)</f>
        <v>0</v>
      </c>
      <c r="W3" s="80">
        <f>SUMIFS('сентябрь 2024'!$G$4:$G$2091,'сентябрь 2024'!$D$4:$D$2091,$B3,'сентябрь 2024'!$J$4:$J$2091,W$1)</f>
        <v>0</v>
      </c>
      <c r="X3" s="80">
        <f>SUMIFS('сентябрь 2024'!$G$4:$G$2091,'сентябрь 2024'!$D$4:$D$2091,$B3,'сентябрь 2024'!$J$4:$J$2091,X$1)</f>
        <v>0</v>
      </c>
      <c r="Y3" s="80">
        <f>SUMIFS('сентябрь 2024'!$G$4:$G$2091,'сентябрь 2024'!$D$4:$D$2091,$B3,'сентябрь 2024'!$J$4:$J$2091,Y$1)</f>
        <v>0</v>
      </c>
      <c r="Z3" s="80">
        <f>SUMIFS('сентябрь 2024'!$G$4:$G$2091,'сентябрь 2024'!$D$4:$D$2091,$B3,'сентябрь 2024'!$J$4:$J$2091,Z$1)</f>
        <v>0</v>
      </c>
      <c r="AA3" s="80">
        <f>SUMIFS('сентябрь 2024'!$G$4:$G$2091,'сентябрь 2024'!$D$4:$D$2091,$B3,'сентябрь 2024'!$J$4:$J$2091,AA$1)</f>
        <v>0</v>
      </c>
      <c r="AB3" s="80">
        <f>SUMIFS('сентябрь 2024'!$G$4:$G$2091,'сентябрь 2024'!$D$4:$D$2091,$B3,'сентябрь 2024'!$J$4:$J$2091,AB$1)</f>
        <v>0</v>
      </c>
      <c r="AC3" s="80">
        <f>SUMIFS('сентябрь 2024'!$G$4:$G$2091,'сентябрь 2024'!$D$4:$D$2091,$B3,'сентябрь 2024'!$J$4:$J$2091,AC$1)</f>
        <v>0</v>
      </c>
      <c r="AD3" s="80">
        <f>SUMIFS('сентябрь 2024'!$G$4:$G$2091,'сентябрь 2024'!$D$4:$D$2091,$B3,'сентябрь 2024'!$J$4:$J$2091,AD$1)</f>
        <v>0</v>
      </c>
      <c r="AE3" s="80">
        <f>SUMIFS('сентябрь 2024'!$G$4:$G$2091,'сентябрь 2024'!$D$4:$D$2091,$B3,'сентябрь 2024'!$J$4:$J$2091,AE$1)</f>
        <v>0</v>
      </c>
      <c r="AF3" s="80">
        <f>SUMIFS('сентябрь 2024'!$G$4:$G$2091,'сентябрь 2024'!$D$4:$D$2091,$B3,'сентябрь 2024'!$J$4:$J$2091,AF$1)</f>
        <v>0</v>
      </c>
      <c r="AG3" s="80">
        <f>SUMIFS('сентябрь 2024'!$G$4:$G$2091,'сентябрь 2024'!$D$4:$D$2091,$B3,'сентябрь 2024'!$J$4:$J$2091,AG$1)</f>
        <v>0</v>
      </c>
      <c r="AH3" s="80">
        <f>SUMIFS('сентябрь 2024'!$G$4:$G$2091,'сентябрь 2024'!$D$4:$D$2091,$B3,'сентябрь 2024'!$J$4:$J$2091,AH$1)</f>
        <v>0</v>
      </c>
      <c r="AI3" s="49">
        <f t="shared" ref="AI3:AI149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SUMIFS('сентябрь 2024'!$G$4:$G$2091,'сентябрь 2024'!$D$4:$D$2091,$B4,'сентябрь 2024'!$J$4:$J$2091,D$1)</f>
        <v>0</v>
      </c>
      <c r="E4" s="80">
        <f>SUMIFS('сентябрь 2024'!$G$4:$G$2091,'сентябрь 2024'!$D$4:$D$2091,$B4,'сентябрь 2024'!$J$4:$J$2091,E$1)</f>
        <v>0</v>
      </c>
      <c r="F4" s="80">
        <f>SUMIFS('сентябрь 2024'!$G$4:$G$2091,'сентябрь 2024'!$D$4:$D$2091,$B4,'сентябрь 2024'!$J$4:$J$2091,F$1)</f>
        <v>0</v>
      </c>
      <c r="G4" s="80">
        <f>SUMIFS('сентябрь 2024'!$G$4:$G$2091,'сентябрь 2024'!$D$4:$D$2091,$B4,'сентябрь 2024'!$J$4:$J$2091,G$1)</f>
        <v>0</v>
      </c>
      <c r="H4" s="80">
        <f>SUMIFS('сентябрь 2024'!$G$4:$G$2091,'сентябрь 2024'!$D$4:$D$2091,$B4,'сентябрь 2024'!$J$4:$J$2091,H$1)</f>
        <v>0</v>
      </c>
      <c r="I4" s="80">
        <f>SUMIFS('сентябрь 2024'!$G$4:$G$2091,'сентябрь 2024'!$D$4:$D$2091,$B4,'сентябрь 2024'!$J$4:$J$2091,I$1)</f>
        <v>0</v>
      </c>
      <c r="J4" s="80">
        <f>SUMIFS('сентябрь 2024'!$G$4:$G$2091,'сентябрь 2024'!$D$4:$D$2091,$B4,'сентябрь 2024'!$J$4:$J$2091,J$1)</f>
        <v>0</v>
      </c>
      <c r="K4" s="80">
        <f>SUMIFS('сентябрь 2024'!$G$4:$G$2091,'сентябрь 2024'!$D$4:$D$2091,$B4,'сентябрь 2024'!$J$4:$J$2091,K$1)</f>
        <v>0</v>
      </c>
      <c r="L4" s="80">
        <f>SUMIFS('сентябрь 2024'!$G$4:$G$2091,'сентябрь 2024'!$D$4:$D$2091,$B4,'сентябрь 2024'!$J$4:$J$2091,L$1)</f>
        <v>0</v>
      </c>
      <c r="M4" s="80">
        <f>SUMIFS('сентябрь 2024'!$G$4:$G$2091,'сентябрь 2024'!$D$4:$D$2091,$B4,'сентябрь 2024'!$J$4:$J$2091,M$1)</f>
        <v>0</v>
      </c>
      <c r="N4" s="80">
        <f>SUMIFS('сентябрь 2024'!$G$4:$G$2091,'сентябрь 2024'!$D$4:$D$2091,$B4,'сентябрь 2024'!$J$4:$J$2091,N$1)</f>
        <v>0</v>
      </c>
      <c r="O4" s="80">
        <f>SUMIFS('сентябрь 2024'!$G$4:$G$2091,'сентябрь 2024'!$D$4:$D$2091,$B4,'сентябрь 2024'!$J$4:$J$2091,O$1)</f>
        <v>0</v>
      </c>
      <c r="P4" s="80">
        <f>SUMIFS('сентябрь 2024'!$G$4:$G$2091,'сентябрь 2024'!$D$4:$D$2091,$B4,'сентябрь 2024'!$J$4:$J$2091,P$1)</f>
        <v>0</v>
      </c>
      <c r="Q4" s="80">
        <f>SUMIFS('сентябрь 2024'!$G$4:$G$2091,'сентябрь 2024'!$D$4:$D$2091,$B4,'сентябрь 2024'!$J$4:$J$2091,Q$1)</f>
        <v>0</v>
      </c>
      <c r="R4" s="80">
        <f>SUMIFS('сентябрь 2024'!$G$4:$G$2091,'сентябрь 2024'!$D$4:$D$2091,$B4,'сентябрь 2024'!$J$4:$J$2091,R$1)</f>
        <v>0</v>
      </c>
      <c r="S4" s="80">
        <f>SUMIFS('сентябрь 2024'!$G$4:$G$2091,'сентябрь 2024'!$D$4:$D$2091,$B4,'сентябрь 2024'!$J$4:$J$2091,S$1)</f>
        <v>0</v>
      </c>
      <c r="T4" s="80">
        <f>SUMIFS('сентябрь 2024'!$G$4:$G$2091,'сентябрь 2024'!$D$4:$D$2091,$B4,'сентябрь 2024'!$J$4:$J$2091,T$1)</f>
        <v>0</v>
      </c>
      <c r="U4" s="80">
        <f>SUMIFS('сентябрь 2024'!$G$4:$G$2091,'сентябрь 2024'!$D$4:$D$2091,$B4,'сентябрь 2024'!$J$4:$J$2091,U$1)</f>
        <v>0</v>
      </c>
      <c r="V4" s="80">
        <f>SUMIFS('сентябрь 2024'!$G$4:$G$2091,'сентябрь 2024'!$D$4:$D$2091,$B4,'сентябрь 2024'!$J$4:$J$2091,V$1)</f>
        <v>0</v>
      </c>
      <c r="W4" s="80">
        <f>SUMIFS('сентябрь 2024'!$G$4:$G$2091,'сентябрь 2024'!$D$4:$D$2091,$B4,'сентябрь 2024'!$J$4:$J$2091,W$1)</f>
        <v>0</v>
      </c>
      <c r="X4" s="80">
        <f>SUMIFS('сентябрь 2024'!$G$4:$G$2091,'сентябрь 2024'!$D$4:$D$2091,$B4,'сентябрь 2024'!$J$4:$J$2091,X$1)</f>
        <v>0</v>
      </c>
      <c r="Y4" s="80">
        <f>SUMIFS('сентябрь 2024'!$G$4:$G$2091,'сентябрь 2024'!$D$4:$D$2091,$B4,'сентябрь 2024'!$J$4:$J$2091,Y$1)</f>
        <v>0</v>
      </c>
      <c r="Z4" s="80">
        <f>SUMIFS('сентябрь 2024'!$G$4:$G$2091,'сентябрь 2024'!$D$4:$D$2091,$B4,'сентябрь 2024'!$J$4:$J$2091,Z$1)</f>
        <v>0</v>
      </c>
      <c r="AA4" s="80">
        <f>SUMIFS('сентябрь 2024'!$G$4:$G$2091,'сентябрь 2024'!$D$4:$D$2091,$B4,'сентябрь 2024'!$J$4:$J$2091,AA$1)</f>
        <v>0</v>
      </c>
      <c r="AB4" s="80">
        <f>SUMIFS('сентябрь 2024'!$G$4:$G$2091,'сентябрь 2024'!$D$4:$D$2091,$B4,'сентябрь 2024'!$J$4:$J$2091,AB$1)</f>
        <v>0</v>
      </c>
      <c r="AC4" s="80">
        <f>SUMIFS('сентябрь 2024'!$G$4:$G$2091,'сентябрь 2024'!$D$4:$D$2091,$B4,'сентябрь 2024'!$J$4:$J$2091,AC$1)</f>
        <v>0</v>
      </c>
      <c r="AD4" s="80">
        <f>SUMIFS('сентябрь 2024'!$G$4:$G$2091,'сентябрь 2024'!$D$4:$D$2091,$B4,'сентябрь 2024'!$J$4:$J$2091,AD$1)</f>
        <v>0</v>
      </c>
      <c r="AE4" s="80">
        <f>SUMIFS('сентябрь 2024'!$G$4:$G$2091,'сентябрь 2024'!$D$4:$D$2091,$B4,'сентябрь 2024'!$J$4:$J$2091,AE$1)</f>
        <v>0</v>
      </c>
      <c r="AF4" s="80">
        <f>SUMIFS('сентябрь 2024'!$G$4:$G$2091,'сентябрь 2024'!$D$4:$D$2091,$B4,'сентябрь 2024'!$J$4:$J$2091,AF$1)</f>
        <v>0</v>
      </c>
      <c r="AG4" s="80">
        <f>SUMIFS('сентябрь 2024'!$G$4:$G$2091,'сентябрь 2024'!$D$4:$D$2091,$B4,'сентябрь 2024'!$J$4:$J$2091,AG$1)</f>
        <v>0</v>
      </c>
      <c r="AH4" s="80">
        <f>SUMIFS('сентябрь 2024'!$G$4:$G$2091,'сентябрь 2024'!$D$4:$D$2091,$B4,'сентябрь 2024'!$J$4:$J$2091,AH$1)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SUMIFS('сентябрь 2024'!$G$4:$G$2091,'сентябрь 2024'!$D$4:$D$2091,$B5,'сентябрь 2024'!$J$4:$J$2091,D$1)</f>
        <v>0</v>
      </c>
      <c r="E5" s="80">
        <f>SUMIFS('сентябрь 2024'!$G$4:$G$2091,'сентябрь 2024'!$D$4:$D$2091,$B5,'сентябрь 2024'!$J$4:$J$2091,E$1)</f>
        <v>0</v>
      </c>
      <c r="F5" s="80">
        <f>SUMIFS('сентябрь 2024'!$G$4:$G$2091,'сентябрь 2024'!$D$4:$D$2091,$B5,'сентябрь 2024'!$J$4:$J$2091,F$1)</f>
        <v>0</v>
      </c>
      <c r="G5" s="80">
        <f>SUMIFS('сентябрь 2024'!$G$4:$G$2091,'сентябрь 2024'!$D$4:$D$2091,$B5,'сентябрь 2024'!$J$4:$J$2091,G$1)</f>
        <v>0</v>
      </c>
      <c r="H5" s="80">
        <f>SUMIFS('сентябрь 2024'!$G$4:$G$2091,'сентябрь 2024'!$D$4:$D$2091,$B5,'сентябрь 2024'!$J$4:$J$2091,H$1)</f>
        <v>0</v>
      </c>
      <c r="I5" s="80">
        <f>SUMIFS('сентябрь 2024'!$G$4:$G$2091,'сентябрь 2024'!$D$4:$D$2091,$B5,'сентябрь 2024'!$J$4:$J$2091,I$1)</f>
        <v>0</v>
      </c>
      <c r="J5" s="80">
        <f>SUMIFS('сентябрь 2024'!$G$4:$G$2091,'сентябрь 2024'!$D$4:$D$2091,$B5,'сентябрь 2024'!$J$4:$J$2091,J$1)</f>
        <v>0</v>
      </c>
      <c r="K5" s="80">
        <f>SUMIFS('сентябрь 2024'!$G$4:$G$2091,'сентябрь 2024'!$D$4:$D$2091,$B5,'сентябрь 2024'!$J$4:$J$2091,K$1)</f>
        <v>0</v>
      </c>
      <c r="L5" s="80">
        <f>SUMIFS('сентябрь 2024'!$G$4:$G$2091,'сентябрь 2024'!$D$4:$D$2091,$B5,'сентябрь 2024'!$J$4:$J$2091,L$1)</f>
        <v>0</v>
      </c>
      <c r="M5" s="80">
        <f>SUMIFS('сентябрь 2024'!$G$4:$G$2091,'сентябрь 2024'!$D$4:$D$2091,$B5,'сентябрь 2024'!$J$4:$J$2091,M$1)</f>
        <v>0</v>
      </c>
      <c r="N5" s="80">
        <f>SUMIFS('сентябрь 2024'!$G$4:$G$2091,'сентябрь 2024'!$D$4:$D$2091,$B5,'сентябрь 2024'!$J$4:$J$2091,N$1)</f>
        <v>0</v>
      </c>
      <c r="O5" s="80">
        <f>SUMIFS('сентябрь 2024'!$G$4:$G$2091,'сентябрь 2024'!$D$4:$D$2091,$B5,'сентябрь 2024'!$J$4:$J$2091,O$1)</f>
        <v>0</v>
      </c>
      <c r="P5" s="80">
        <f>SUMIFS('сентябрь 2024'!$G$4:$G$2091,'сентябрь 2024'!$D$4:$D$2091,$B5,'сентябрь 2024'!$J$4:$J$2091,P$1)</f>
        <v>0</v>
      </c>
      <c r="Q5" s="80">
        <f>SUMIFS('сентябрь 2024'!$G$4:$G$2091,'сентябрь 2024'!$D$4:$D$2091,$B5,'сентябрь 2024'!$J$4:$J$2091,Q$1)</f>
        <v>0</v>
      </c>
      <c r="R5" s="80">
        <f>SUMIFS('сентябрь 2024'!$G$4:$G$2091,'сентябрь 2024'!$D$4:$D$2091,$B5,'сентябрь 2024'!$J$4:$J$2091,R$1)</f>
        <v>0</v>
      </c>
      <c r="S5" s="80">
        <f>SUMIFS('сентябрь 2024'!$G$4:$G$2091,'сентябрь 2024'!$D$4:$D$2091,$B5,'сентябрь 2024'!$J$4:$J$2091,S$1)</f>
        <v>0</v>
      </c>
      <c r="T5" s="80">
        <f>SUMIFS('сентябрь 2024'!$G$4:$G$2091,'сентябрь 2024'!$D$4:$D$2091,$B5,'сентябрь 2024'!$J$4:$J$2091,T$1)</f>
        <v>0</v>
      </c>
      <c r="U5" s="80">
        <f>SUMIFS('сентябрь 2024'!$G$4:$G$2091,'сентябрь 2024'!$D$4:$D$2091,$B5,'сентябрь 2024'!$J$4:$J$2091,U$1)</f>
        <v>0</v>
      </c>
      <c r="V5" s="80">
        <f>SUMIFS('сентябрь 2024'!$G$4:$G$2091,'сентябрь 2024'!$D$4:$D$2091,$B5,'сентябрь 2024'!$J$4:$J$2091,V$1)</f>
        <v>0</v>
      </c>
      <c r="W5" s="80">
        <f>SUMIFS('сентябрь 2024'!$G$4:$G$2091,'сентябрь 2024'!$D$4:$D$2091,$B5,'сентябрь 2024'!$J$4:$J$2091,W$1)</f>
        <v>0</v>
      </c>
      <c r="X5" s="80">
        <f>SUMIFS('сентябрь 2024'!$G$4:$G$2091,'сентябрь 2024'!$D$4:$D$2091,$B5,'сентябрь 2024'!$J$4:$J$2091,X$1)</f>
        <v>0</v>
      </c>
      <c r="Y5" s="80">
        <f>SUMIFS('сентябрь 2024'!$G$4:$G$2091,'сентябрь 2024'!$D$4:$D$2091,$B5,'сентябрь 2024'!$J$4:$J$2091,Y$1)</f>
        <v>0</v>
      </c>
      <c r="Z5" s="80">
        <f>SUMIFS('сентябрь 2024'!$G$4:$G$2091,'сентябрь 2024'!$D$4:$D$2091,$B5,'сентябрь 2024'!$J$4:$J$2091,Z$1)</f>
        <v>0</v>
      </c>
      <c r="AA5" s="80">
        <f>SUMIFS('сентябрь 2024'!$G$4:$G$2091,'сентябрь 2024'!$D$4:$D$2091,$B5,'сентябрь 2024'!$J$4:$J$2091,AA$1)</f>
        <v>0</v>
      </c>
      <c r="AB5" s="80">
        <f>SUMIFS('сентябрь 2024'!$G$4:$G$2091,'сентябрь 2024'!$D$4:$D$2091,$B5,'сентябрь 2024'!$J$4:$J$2091,AB$1)</f>
        <v>0</v>
      </c>
      <c r="AC5" s="80">
        <f>SUMIFS('сентябрь 2024'!$G$4:$G$2091,'сентябрь 2024'!$D$4:$D$2091,$B5,'сентябрь 2024'!$J$4:$J$2091,AC$1)</f>
        <v>0</v>
      </c>
      <c r="AD5" s="80">
        <f>SUMIFS('сентябрь 2024'!$G$4:$G$2091,'сентябрь 2024'!$D$4:$D$2091,$B5,'сентябрь 2024'!$J$4:$J$2091,AD$1)</f>
        <v>0</v>
      </c>
      <c r="AE5" s="80">
        <f>SUMIFS('сентябрь 2024'!$G$4:$G$2091,'сентябрь 2024'!$D$4:$D$2091,$B5,'сентябрь 2024'!$J$4:$J$2091,AE$1)</f>
        <v>0</v>
      </c>
      <c r="AF5" s="80">
        <f>SUMIFS('сентябрь 2024'!$G$4:$G$2091,'сентябрь 2024'!$D$4:$D$2091,$B5,'сентябрь 2024'!$J$4:$J$2091,AF$1)</f>
        <v>0</v>
      </c>
      <c r="AG5" s="80">
        <f>SUMIFS('сентябрь 2024'!$G$4:$G$2091,'сентябрь 2024'!$D$4:$D$2091,$B5,'сентябрь 2024'!$J$4:$J$2091,AG$1)</f>
        <v>0</v>
      </c>
      <c r="AH5" s="80">
        <f>SUMIFS('сентябрь 2024'!$G$4:$G$2091,'сентябрь 2024'!$D$4:$D$2091,$B5,'сентябрь 2024'!$J$4:$J$2091,AH$1)</f>
        <v>0</v>
      </c>
      <c r="AI5" s="21">
        <f t="shared" si="1"/>
        <v>0</v>
      </c>
    </row>
    <row r="6" spans="2:35" ht="15" customHeight="1" x14ac:dyDescent="0.25">
      <c r="B6" s="81" t="s">
        <v>281</v>
      </c>
      <c r="C6" s="82">
        <v>22.7</v>
      </c>
      <c r="D6" s="80">
        <f>SUMIFS('сентябрь 2024'!$G$4:$G$2091,'сентябрь 2024'!$D$4:$D$2091,$B6,'сентябрь 2024'!$J$4:$J$2091,D$1)</f>
        <v>0</v>
      </c>
      <c r="E6" s="80">
        <f>SUMIFS('сентябрь 2024'!$G$4:$G$2091,'сентябрь 2024'!$D$4:$D$2091,$B6,'сентябрь 2024'!$J$4:$J$2091,E$1)</f>
        <v>0</v>
      </c>
      <c r="F6" s="80">
        <f>SUMIFS('сентябрь 2024'!$G$4:$G$2091,'сентябрь 2024'!$D$4:$D$2091,$B6,'сентябрь 2024'!$J$4:$J$2091,F$1)</f>
        <v>0</v>
      </c>
      <c r="G6" s="80">
        <f>SUMIFS('сентябрь 2024'!$G$4:$G$2091,'сентябрь 2024'!$D$4:$D$2091,$B6,'сентябрь 2024'!$J$4:$J$2091,G$1)</f>
        <v>0</v>
      </c>
      <c r="H6" s="80">
        <f>SUMIFS('сентябрь 2024'!$G$4:$G$2091,'сентябрь 2024'!$D$4:$D$2091,$B6,'сентябрь 2024'!$J$4:$J$2091,H$1)</f>
        <v>0</v>
      </c>
      <c r="I6" s="80">
        <f>SUMIFS('сентябрь 2024'!$G$4:$G$2091,'сентябрь 2024'!$D$4:$D$2091,$B6,'сентябрь 2024'!$J$4:$J$2091,I$1)</f>
        <v>0</v>
      </c>
      <c r="J6" s="80">
        <f>SUMIFS('сентябрь 2024'!$G$4:$G$2091,'сентябрь 2024'!$D$4:$D$2091,$B6,'сентябрь 2024'!$J$4:$J$2091,J$1)</f>
        <v>0</v>
      </c>
      <c r="K6" s="80">
        <f>SUMIFS('сентябрь 2024'!$G$4:$G$2091,'сентябрь 2024'!$D$4:$D$2091,$B6,'сентябрь 2024'!$J$4:$J$2091,K$1)</f>
        <v>0</v>
      </c>
      <c r="L6" s="80">
        <f>SUMIFS('сентябрь 2024'!$G$4:$G$2091,'сентябрь 2024'!$D$4:$D$2091,$B6,'сентябрь 2024'!$J$4:$J$2091,L$1)</f>
        <v>0</v>
      </c>
      <c r="M6" s="80">
        <f>SUMIFS('сентябрь 2024'!$G$4:$G$2091,'сентябрь 2024'!$D$4:$D$2091,$B6,'сентябрь 2024'!$J$4:$J$2091,M$1)</f>
        <v>0</v>
      </c>
      <c r="N6" s="80">
        <f>SUMIFS('сентябрь 2024'!$G$4:$G$2091,'сентябрь 2024'!$D$4:$D$2091,$B6,'сентябрь 2024'!$J$4:$J$2091,N$1)</f>
        <v>0</v>
      </c>
      <c r="O6" s="80">
        <f>SUMIFS('сентябрь 2024'!$G$4:$G$2091,'сентябрь 2024'!$D$4:$D$2091,$B6,'сентябрь 2024'!$J$4:$J$2091,O$1)</f>
        <v>0</v>
      </c>
      <c r="P6" s="80">
        <f>SUMIFS('сентябрь 2024'!$G$4:$G$2091,'сентябрь 2024'!$D$4:$D$2091,$B6,'сентябрь 2024'!$J$4:$J$2091,P$1)</f>
        <v>0</v>
      </c>
      <c r="Q6" s="80">
        <f>SUMIFS('сентябрь 2024'!$G$4:$G$2091,'сентябрь 2024'!$D$4:$D$2091,$B6,'сентябрь 2024'!$J$4:$J$2091,Q$1)</f>
        <v>0</v>
      </c>
      <c r="R6" s="80">
        <f>SUMIFS('сентябрь 2024'!$G$4:$G$2091,'сентябрь 2024'!$D$4:$D$2091,$B6,'сентябрь 2024'!$J$4:$J$2091,R$1)</f>
        <v>0</v>
      </c>
      <c r="S6" s="80">
        <f>SUMIFS('сентябрь 2024'!$G$4:$G$2091,'сентябрь 2024'!$D$4:$D$2091,$B6,'сентябрь 2024'!$J$4:$J$2091,S$1)</f>
        <v>0</v>
      </c>
      <c r="T6" s="80">
        <f>SUMIFS('сентябрь 2024'!$G$4:$G$2091,'сентябрь 2024'!$D$4:$D$2091,$B6,'сентябрь 2024'!$J$4:$J$2091,T$1)</f>
        <v>0</v>
      </c>
      <c r="U6" s="80">
        <f>SUMIFS('сентябрь 2024'!$G$4:$G$2091,'сентябрь 2024'!$D$4:$D$2091,$B6,'сентябрь 2024'!$J$4:$J$2091,U$1)</f>
        <v>0</v>
      </c>
      <c r="V6" s="80">
        <f>SUMIFS('сентябрь 2024'!$G$4:$G$2091,'сентябрь 2024'!$D$4:$D$2091,$B6,'сентябрь 2024'!$J$4:$J$2091,V$1)</f>
        <v>0</v>
      </c>
      <c r="W6" s="80">
        <f>SUMIFS('сентябрь 2024'!$G$4:$G$2091,'сентябрь 2024'!$D$4:$D$2091,$B6,'сентябрь 2024'!$J$4:$J$2091,W$1)</f>
        <v>0</v>
      </c>
      <c r="X6" s="80">
        <f>SUMIFS('сентябрь 2024'!$G$4:$G$2091,'сентябрь 2024'!$D$4:$D$2091,$B6,'сентябрь 2024'!$J$4:$J$2091,X$1)</f>
        <v>0</v>
      </c>
      <c r="Y6" s="80">
        <f>SUMIFS('сентябрь 2024'!$G$4:$G$2091,'сентябрь 2024'!$D$4:$D$2091,$B6,'сентябрь 2024'!$J$4:$J$2091,Y$1)</f>
        <v>0</v>
      </c>
      <c r="Z6" s="80">
        <f>SUMIFS('сентябрь 2024'!$G$4:$G$2091,'сентябрь 2024'!$D$4:$D$2091,$B6,'сентябрь 2024'!$J$4:$J$2091,Z$1)</f>
        <v>0</v>
      </c>
      <c r="AA6" s="80">
        <f>SUMIFS('сентябрь 2024'!$G$4:$G$2091,'сентябрь 2024'!$D$4:$D$2091,$B6,'сентябрь 2024'!$J$4:$J$2091,AA$1)</f>
        <v>0</v>
      </c>
      <c r="AB6" s="80">
        <f>SUMIFS('сентябрь 2024'!$G$4:$G$2091,'сентябрь 2024'!$D$4:$D$2091,$B6,'сентябрь 2024'!$J$4:$J$2091,AB$1)</f>
        <v>0</v>
      </c>
      <c r="AC6" s="80">
        <f>SUMIFS('сентябрь 2024'!$G$4:$G$2091,'сентябрь 2024'!$D$4:$D$2091,$B6,'сентябрь 2024'!$J$4:$J$2091,AC$1)</f>
        <v>0</v>
      </c>
      <c r="AD6" s="80">
        <f>SUMIFS('сентябрь 2024'!$G$4:$G$2091,'сентябрь 2024'!$D$4:$D$2091,$B6,'сентябрь 2024'!$J$4:$J$2091,AD$1)</f>
        <v>0</v>
      </c>
      <c r="AE6" s="80">
        <f>SUMIFS('сентябрь 2024'!$G$4:$G$2091,'сентябрь 2024'!$D$4:$D$2091,$B6,'сентябрь 2024'!$J$4:$J$2091,AE$1)</f>
        <v>0</v>
      </c>
      <c r="AF6" s="80">
        <f>SUMIFS('сентябрь 2024'!$G$4:$G$2091,'сентябрь 2024'!$D$4:$D$2091,$B6,'сентябрь 2024'!$J$4:$J$2091,AF$1)</f>
        <v>0</v>
      </c>
      <c r="AG6" s="80">
        <f>SUMIFS('сентябрь 2024'!$G$4:$G$2091,'сентябрь 2024'!$D$4:$D$2091,$B6,'сентябрь 2024'!$J$4:$J$2091,AG$1)</f>
        <v>0</v>
      </c>
      <c r="AH6" s="80">
        <f>SUMIFS('сентябрь 2024'!$G$4:$G$2091,'сентябрь 2024'!$D$4:$D$2091,$B6,'сентябрь 2024'!$J$4:$J$2091,AH$1)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SUMIFS('сентябрь 2024'!$G$4:$G$2091,'сентябрь 2024'!$D$4:$D$2091,$B7,'сентябрь 2024'!$J$4:$J$2091,D$1)</f>
        <v>0</v>
      </c>
      <c r="E7" s="80">
        <f>SUMIFS('сентябрь 2024'!$G$4:$G$2091,'сентябрь 2024'!$D$4:$D$2091,$B7,'сентябрь 2024'!$J$4:$J$2091,E$1)</f>
        <v>0</v>
      </c>
      <c r="F7" s="80">
        <f>SUMIFS('сентябрь 2024'!$G$4:$G$2091,'сентябрь 2024'!$D$4:$D$2091,$B7,'сентябрь 2024'!$J$4:$J$2091,F$1)</f>
        <v>0</v>
      </c>
      <c r="G7" s="80">
        <f>SUMIFS('сентябрь 2024'!$G$4:$G$2091,'сентябрь 2024'!$D$4:$D$2091,$B7,'сентябрь 2024'!$J$4:$J$2091,G$1)</f>
        <v>0</v>
      </c>
      <c r="H7" s="80">
        <f>SUMIFS('сентябрь 2024'!$G$4:$G$2091,'сентябрь 2024'!$D$4:$D$2091,$B7,'сентябрь 2024'!$J$4:$J$2091,H$1)</f>
        <v>0</v>
      </c>
      <c r="I7" s="80">
        <f>SUMIFS('сентябрь 2024'!$G$4:$G$2091,'сентябрь 2024'!$D$4:$D$2091,$B7,'сентябрь 2024'!$J$4:$J$2091,I$1)</f>
        <v>0</v>
      </c>
      <c r="J7" s="80">
        <f>SUMIFS('сентябрь 2024'!$G$4:$G$2091,'сентябрь 2024'!$D$4:$D$2091,$B7,'сентябрь 2024'!$J$4:$J$2091,J$1)</f>
        <v>0</v>
      </c>
      <c r="K7" s="80">
        <f>SUMIFS('сентябрь 2024'!$G$4:$G$2091,'сентябрь 2024'!$D$4:$D$2091,$B7,'сентябрь 2024'!$J$4:$J$2091,K$1)</f>
        <v>0</v>
      </c>
      <c r="L7" s="80">
        <f>SUMIFS('сентябрь 2024'!$G$4:$G$2091,'сентябрь 2024'!$D$4:$D$2091,$B7,'сентябрь 2024'!$J$4:$J$2091,L$1)</f>
        <v>0</v>
      </c>
      <c r="M7" s="80">
        <f>SUMIFS('сентябрь 2024'!$G$4:$G$2091,'сентябрь 2024'!$D$4:$D$2091,$B7,'сентябрь 2024'!$J$4:$J$2091,M$1)</f>
        <v>0</v>
      </c>
      <c r="N7" s="80">
        <f>SUMIFS('сентябрь 2024'!$G$4:$G$2091,'сентябрь 2024'!$D$4:$D$2091,$B7,'сентябрь 2024'!$J$4:$J$2091,N$1)</f>
        <v>0</v>
      </c>
      <c r="O7" s="80">
        <f>SUMIFS('сентябрь 2024'!$G$4:$G$2091,'сентябрь 2024'!$D$4:$D$2091,$B7,'сентябрь 2024'!$J$4:$J$2091,O$1)</f>
        <v>0</v>
      </c>
      <c r="P7" s="80">
        <f>SUMIFS('сентябрь 2024'!$G$4:$G$2091,'сентябрь 2024'!$D$4:$D$2091,$B7,'сентябрь 2024'!$J$4:$J$2091,P$1)</f>
        <v>0</v>
      </c>
      <c r="Q7" s="80">
        <f>SUMIFS('сентябрь 2024'!$G$4:$G$2091,'сентябрь 2024'!$D$4:$D$2091,$B7,'сентябрь 2024'!$J$4:$J$2091,Q$1)</f>
        <v>0</v>
      </c>
      <c r="R7" s="80">
        <f>SUMIFS('сентябрь 2024'!$G$4:$G$2091,'сентябрь 2024'!$D$4:$D$2091,$B7,'сентябрь 2024'!$J$4:$J$2091,R$1)</f>
        <v>0</v>
      </c>
      <c r="S7" s="80">
        <f>SUMIFS('сентябрь 2024'!$G$4:$G$2091,'сентябрь 2024'!$D$4:$D$2091,$B7,'сентябрь 2024'!$J$4:$J$2091,S$1)</f>
        <v>0</v>
      </c>
      <c r="T7" s="80">
        <f>SUMIFS('сентябрь 2024'!$G$4:$G$2091,'сентябрь 2024'!$D$4:$D$2091,$B7,'сентябрь 2024'!$J$4:$J$2091,T$1)</f>
        <v>0</v>
      </c>
      <c r="U7" s="80">
        <f>SUMIFS('сентябрь 2024'!$G$4:$G$2091,'сентябрь 2024'!$D$4:$D$2091,$B7,'сентябрь 2024'!$J$4:$J$2091,U$1)</f>
        <v>0</v>
      </c>
      <c r="V7" s="80">
        <f>SUMIFS('сентябрь 2024'!$G$4:$G$2091,'сентябрь 2024'!$D$4:$D$2091,$B7,'сентябрь 2024'!$J$4:$J$2091,V$1)</f>
        <v>0</v>
      </c>
      <c r="W7" s="80">
        <f>SUMIFS('сентябрь 2024'!$G$4:$G$2091,'сентябрь 2024'!$D$4:$D$2091,$B7,'сентябрь 2024'!$J$4:$J$2091,W$1)</f>
        <v>0</v>
      </c>
      <c r="X7" s="80">
        <f>SUMIFS('сентябрь 2024'!$G$4:$G$2091,'сентябрь 2024'!$D$4:$D$2091,$B7,'сентябрь 2024'!$J$4:$J$2091,X$1)</f>
        <v>0</v>
      </c>
      <c r="Y7" s="80">
        <f>SUMIFS('сентябрь 2024'!$G$4:$G$2091,'сентябрь 2024'!$D$4:$D$2091,$B7,'сентябрь 2024'!$J$4:$J$2091,Y$1)</f>
        <v>0</v>
      </c>
      <c r="Z7" s="80">
        <f>SUMIFS('сентябрь 2024'!$G$4:$G$2091,'сентябрь 2024'!$D$4:$D$2091,$B7,'сентябрь 2024'!$J$4:$J$2091,Z$1)</f>
        <v>0</v>
      </c>
      <c r="AA7" s="80">
        <f>SUMIFS('сентябрь 2024'!$G$4:$G$2091,'сентябрь 2024'!$D$4:$D$2091,$B7,'сентябрь 2024'!$J$4:$J$2091,AA$1)</f>
        <v>0</v>
      </c>
      <c r="AB7" s="80">
        <f>SUMIFS('сентябрь 2024'!$G$4:$G$2091,'сентябрь 2024'!$D$4:$D$2091,$B7,'сентябрь 2024'!$J$4:$J$2091,AB$1)</f>
        <v>0</v>
      </c>
      <c r="AC7" s="80">
        <f>SUMIFS('сентябрь 2024'!$G$4:$G$2091,'сентябрь 2024'!$D$4:$D$2091,$B7,'сентябрь 2024'!$J$4:$J$2091,AC$1)</f>
        <v>0</v>
      </c>
      <c r="AD7" s="80">
        <f>SUMIFS('сентябрь 2024'!$G$4:$G$2091,'сентябрь 2024'!$D$4:$D$2091,$B7,'сентябрь 2024'!$J$4:$J$2091,AD$1)</f>
        <v>0</v>
      </c>
      <c r="AE7" s="80">
        <f>SUMIFS('сентябрь 2024'!$G$4:$G$2091,'сентябрь 2024'!$D$4:$D$2091,$B7,'сентябрь 2024'!$J$4:$J$2091,AE$1)</f>
        <v>0</v>
      </c>
      <c r="AF7" s="80">
        <f>SUMIFS('сентябрь 2024'!$G$4:$G$2091,'сентябрь 2024'!$D$4:$D$2091,$B7,'сентябрь 2024'!$J$4:$J$2091,AF$1)</f>
        <v>0</v>
      </c>
      <c r="AG7" s="80">
        <f>SUMIFS('сентябрь 2024'!$G$4:$G$2091,'сентябрь 2024'!$D$4:$D$2091,$B7,'сентябрь 2024'!$J$4:$J$2091,AG$1)</f>
        <v>0</v>
      </c>
      <c r="AH7" s="80">
        <f>SUMIFS('сентябрь 2024'!$G$4:$G$2091,'сентябрь 2024'!$D$4:$D$2091,$B7,'сентябрь 2024'!$J$4:$J$2091,AH$1)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SUMIFS('сентябрь 2024'!$G$4:$G$2091,'сентябрь 2024'!$D$4:$D$2091,$B8,'сентябрь 2024'!$J$4:$J$2091,D$1)</f>
        <v>0</v>
      </c>
      <c r="E8" s="80">
        <f>SUMIFS('сентябрь 2024'!$G$4:$G$2091,'сентябрь 2024'!$D$4:$D$2091,$B8,'сентябрь 2024'!$J$4:$J$2091,E$1)</f>
        <v>0</v>
      </c>
      <c r="F8" s="80">
        <f>SUMIFS('сентябрь 2024'!$G$4:$G$2091,'сентябрь 2024'!$D$4:$D$2091,$B8,'сентябрь 2024'!$J$4:$J$2091,F$1)</f>
        <v>0</v>
      </c>
      <c r="G8" s="80">
        <f>SUMIFS('сентябрь 2024'!$G$4:$G$2091,'сентябрь 2024'!$D$4:$D$2091,$B8,'сентябрь 2024'!$J$4:$J$2091,G$1)</f>
        <v>0</v>
      </c>
      <c r="H8" s="80">
        <f>SUMIFS('сентябрь 2024'!$G$4:$G$2091,'сентябрь 2024'!$D$4:$D$2091,$B8,'сентябрь 2024'!$J$4:$J$2091,H$1)</f>
        <v>0</v>
      </c>
      <c r="I8" s="80">
        <f>SUMIFS('сентябрь 2024'!$G$4:$G$2091,'сентябрь 2024'!$D$4:$D$2091,$B8,'сентябрь 2024'!$J$4:$J$2091,I$1)</f>
        <v>0</v>
      </c>
      <c r="J8" s="80">
        <f>SUMIFS('сентябрь 2024'!$G$4:$G$2091,'сентябрь 2024'!$D$4:$D$2091,$B8,'сентябрь 2024'!$J$4:$J$2091,J$1)</f>
        <v>0</v>
      </c>
      <c r="K8" s="80">
        <f>SUMIFS('сентябрь 2024'!$G$4:$G$2091,'сентябрь 2024'!$D$4:$D$2091,$B8,'сентябрь 2024'!$J$4:$J$2091,K$1)</f>
        <v>0</v>
      </c>
      <c r="L8" s="80">
        <f>SUMIFS('сентябрь 2024'!$G$4:$G$2091,'сентябрь 2024'!$D$4:$D$2091,$B8,'сентябрь 2024'!$J$4:$J$2091,L$1)</f>
        <v>0</v>
      </c>
      <c r="M8" s="80">
        <f>SUMIFS('сентябрь 2024'!$G$4:$G$2091,'сентябрь 2024'!$D$4:$D$2091,$B8,'сентябрь 2024'!$J$4:$J$2091,M$1)</f>
        <v>0</v>
      </c>
      <c r="N8" s="80">
        <f>SUMIFS('сентябрь 2024'!$G$4:$G$2091,'сентябрь 2024'!$D$4:$D$2091,$B8,'сентябрь 2024'!$J$4:$J$2091,N$1)</f>
        <v>0</v>
      </c>
      <c r="O8" s="80">
        <f>SUMIFS('сентябрь 2024'!$G$4:$G$2091,'сентябрь 2024'!$D$4:$D$2091,$B8,'сентябрь 2024'!$J$4:$J$2091,O$1)</f>
        <v>0</v>
      </c>
      <c r="P8" s="80">
        <f>SUMIFS('сентябрь 2024'!$G$4:$G$2091,'сентябрь 2024'!$D$4:$D$2091,$B8,'сентябрь 2024'!$J$4:$J$2091,P$1)</f>
        <v>0</v>
      </c>
      <c r="Q8" s="80">
        <f>SUMIFS('сентябрь 2024'!$G$4:$G$2091,'сентябрь 2024'!$D$4:$D$2091,$B8,'сентябрь 2024'!$J$4:$J$2091,Q$1)</f>
        <v>0</v>
      </c>
      <c r="R8" s="80">
        <f>SUMIFS('сентябрь 2024'!$G$4:$G$2091,'сентябрь 2024'!$D$4:$D$2091,$B8,'сентябрь 2024'!$J$4:$J$2091,R$1)</f>
        <v>0</v>
      </c>
      <c r="S8" s="80">
        <f>SUMIFS('сентябрь 2024'!$G$4:$G$2091,'сентябрь 2024'!$D$4:$D$2091,$B8,'сентябрь 2024'!$J$4:$J$2091,S$1)</f>
        <v>0</v>
      </c>
      <c r="T8" s="80">
        <f>SUMIFS('сентябрь 2024'!$G$4:$G$2091,'сентябрь 2024'!$D$4:$D$2091,$B8,'сентябрь 2024'!$J$4:$J$2091,T$1)</f>
        <v>0</v>
      </c>
      <c r="U8" s="80">
        <f>SUMIFS('сентябрь 2024'!$G$4:$G$2091,'сентябрь 2024'!$D$4:$D$2091,$B8,'сентябрь 2024'!$J$4:$J$2091,U$1)</f>
        <v>0</v>
      </c>
      <c r="V8" s="80">
        <f>SUMIFS('сентябрь 2024'!$G$4:$G$2091,'сентябрь 2024'!$D$4:$D$2091,$B8,'сентябрь 2024'!$J$4:$J$2091,V$1)</f>
        <v>800</v>
      </c>
      <c r="W8" s="80">
        <f>SUMIFS('сентябрь 2024'!$G$4:$G$2091,'сентябрь 2024'!$D$4:$D$2091,$B8,'сентябрь 2024'!$J$4:$J$2091,W$1)</f>
        <v>0</v>
      </c>
      <c r="X8" s="80">
        <f>SUMIFS('сентябрь 2024'!$G$4:$G$2091,'сентябрь 2024'!$D$4:$D$2091,$B8,'сентябрь 2024'!$J$4:$J$2091,X$1)</f>
        <v>0</v>
      </c>
      <c r="Y8" s="80">
        <f>SUMIFS('сентябрь 2024'!$G$4:$G$2091,'сентябрь 2024'!$D$4:$D$2091,$B8,'сентябрь 2024'!$J$4:$J$2091,Y$1)</f>
        <v>0</v>
      </c>
      <c r="Z8" s="80">
        <f>SUMIFS('сентябрь 2024'!$G$4:$G$2091,'сентябрь 2024'!$D$4:$D$2091,$B8,'сентябрь 2024'!$J$4:$J$2091,Z$1)</f>
        <v>800</v>
      </c>
      <c r="AA8" s="80">
        <f>SUMIFS('сентябрь 2024'!$G$4:$G$2091,'сентябрь 2024'!$D$4:$D$2091,$B8,'сентябрь 2024'!$J$4:$J$2091,AA$1)</f>
        <v>0</v>
      </c>
      <c r="AB8" s="80">
        <f>SUMIFS('сентябрь 2024'!$G$4:$G$2091,'сентябрь 2024'!$D$4:$D$2091,$B8,'сентябрь 2024'!$J$4:$J$2091,AB$1)</f>
        <v>0</v>
      </c>
      <c r="AC8" s="80">
        <f>SUMIFS('сентябрь 2024'!$G$4:$G$2091,'сентябрь 2024'!$D$4:$D$2091,$B8,'сентябрь 2024'!$J$4:$J$2091,AC$1)</f>
        <v>0</v>
      </c>
      <c r="AD8" s="80">
        <f>SUMIFS('сентябрь 2024'!$G$4:$G$2091,'сентябрь 2024'!$D$4:$D$2091,$B8,'сентябрь 2024'!$J$4:$J$2091,AD$1)</f>
        <v>0</v>
      </c>
      <c r="AE8" s="80">
        <f>SUMIFS('сентябрь 2024'!$G$4:$G$2091,'сентябрь 2024'!$D$4:$D$2091,$B8,'сентябрь 2024'!$J$4:$J$2091,AE$1)</f>
        <v>0</v>
      </c>
      <c r="AF8" s="80">
        <f>SUMIFS('сентябрь 2024'!$G$4:$G$2091,'сентябрь 2024'!$D$4:$D$2091,$B8,'сентябрь 2024'!$J$4:$J$2091,AF$1)</f>
        <v>0</v>
      </c>
      <c r="AG8" s="80">
        <f>SUMIFS('сентябрь 2024'!$G$4:$G$2091,'сентябрь 2024'!$D$4:$D$2091,$B8,'сентябрь 2024'!$J$4:$J$2091,AG$1)</f>
        <v>0</v>
      </c>
      <c r="AH8" s="80">
        <f>SUMIFS('сентябрь 2024'!$G$4:$G$2091,'сентябрь 2024'!$D$4:$D$2091,$B8,'сентябрь 2024'!$J$4:$J$2091,AH$1)</f>
        <v>0</v>
      </c>
      <c r="AI8" s="21">
        <f t="shared" si="1"/>
        <v>1600</v>
      </c>
    </row>
    <row r="9" spans="2:35" ht="15" customHeight="1" x14ac:dyDescent="0.25">
      <c r="B9" s="81" t="s">
        <v>287</v>
      </c>
      <c r="C9" s="82">
        <v>25</v>
      </c>
      <c r="D9" s="80">
        <f>SUMIFS('сентябрь 2024'!$G$4:$G$2091,'сентябрь 2024'!$D$4:$D$2091,$B9,'сентябрь 2024'!$J$4:$J$2091,D$1)</f>
        <v>0</v>
      </c>
      <c r="E9" s="80">
        <f>SUMIFS('сентябрь 2024'!$G$4:$G$2091,'сентябрь 2024'!$D$4:$D$2091,$B9,'сентябрь 2024'!$J$4:$J$2091,E$1)</f>
        <v>0</v>
      </c>
      <c r="F9" s="80">
        <f>SUMIFS('сентябрь 2024'!$G$4:$G$2091,'сентябрь 2024'!$D$4:$D$2091,$B9,'сентябрь 2024'!$J$4:$J$2091,F$1)</f>
        <v>0</v>
      </c>
      <c r="G9" s="80">
        <f>SUMIFS('сентябрь 2024'!$G$4:$G$2091,'сентябрь 2024'!$D$4:$D$2091,$B9,'сентябрь 2024'!$J$4:$J$2091,G$1)</f>
        <v>0</v>
      </c>
      <c r="H9" s="80">
        <f>SUMIFS('сентябрь 2024'!$G$4:$G$2091,'сентябрь 2024'!$D$4:$D$2091,$B9,'сентябрь 2024'!$J$4:$J$2091,H$1)</f>
        <v>0</v>
      </c>
      <c r="I9" s="80">
        <f>SUMIFS('сентябрь 2024'!$G$4:$G$2091,'сентябрь 2024'!$D$4:$D$2091,$B9,'сентябрь 2024'!$J$4:$J$2091,I$1)</f>
        <v>0</v>
      </c>
      <c r="J9" s="80">
        <f>SUMIFS('сентябрь 2024'!$G$4:$G$2091,'сентябрь 2024'!$D$4:$D$2091,$B9,'сентябрь 2024'!$J$4:$J$2091,J$1)</f>
        <v>0</v>
      </c>
      <c r="K9" s="80">
        <f>SUMIFS('сентябрь 2024'!$G$4:$G$2091,'сентябрь 2024'!$D$4:$D$2091,$B9,'сентябрь 2024'!$J$4:$J$2091,K$1)</f>
        <v>0</v>
      </c>
      <c r="L9" s="80">
        <f>SUMIFS('сентябрь 2024'!$G$4:$G$2091,'сентябрь 2024'!$D$4:$D$2091,$B9,'сентябрь 2024'!$J$4:$J$2091,L$1)</f>
        <v>800</v>
      </c>
      <c r="M9" s="80">
        <f>SUMIFS('сентябрь 2024'!$G$4:$G$2091,'сентябрь 2024'!$D$4:$D$2091,$B9,'сентябрь 2024'!$J$4:$J$2091,M$1)</f>
        <v>0</v>
      </c>
      <c r="N9" s="80">
        <f>SUMIFS('сентябрь 2024'!$G$4:$G$2091,'сентябрь 2024'!$D$4:$D$2091,$B9,'сентябрь 2024'!$J$4:$J$2091,N$1)</f>
        <v>0</v>
      </c>
      <c r="O9" s="80">
        <f>SUMIFS('сентябрь 2024'!$G$4:$G$2091,'сентябрь 2024'!$D$4:$D$2091,$B9,'сентябрь 2024'!$J$4:$J$2091,O$1)</f>
        <v>0</v>
      </c>
      <c r="P9" s="80">
        <f>SUMIFS('сентябрь 2024'!$G$4:$G$2091,'сентябрь 2024'!$D$4:$D$2091,$B9,'сентябрь 2024'!$J$4:$J$2091,P$1)</f>
        <v>0</v>
      </c>
      <c r="Q9" s="80">
        <f>SUMIFS('сентябрь 2024'!$G$4:$G$2091,'сентябрь 2024'!$D$4:$D$2091,$B9,'сентябрь 2024'!$J$4:$J$2091,Q$1)</f>
        <v>0</v>
      </c>
      <c r="R9" s="80">
        <f>SUMIFS('сентябрь 2024'!$G$4:$G$2091,'сентябрь 2024'!$D$4:$D$2091,$B9,'сентябрь 2024'!$J$4:$J$2091,R$1)</f>
        <v>0</v>
      </c>
      <c r="S9" s="80">
        <f>SUMIFS('сентябрь 2024'!$G$4:$G$2091,'сентябрь 2024'!$D$4:$D$2091,$B9,'сентябрь 2024'!$J$4:$J$2091,S$1)</f>
        <v>0</v>
      </c>
      <c r="T9" s="80">
        <f>SUMIFS('сентябрь 2024'!$G$4:$G$2091,'сентябрь 2024'!$D$4:$D$2091,$B9,'сентябрь 2024'!$J$4:$J$2091,T$1)</f>
        <v>680</v>
      </c>
      <c r="U9" s="80">
        <f>SUMIFS('сентябрь 2024'!$G$4:$G$2091,'сентябрь 2024'!$D$4:$D$2091,$B9,'сентябрь 2024'!$J$4:$J$2091,U$1)</f>
        <v>0</v>
      </c>
      <c r="V9" s="80">
        <f>SUMIFS('сентябрь 2024'!$G$4:$G$2091,'сентябрь 2024'!$D$4:$D$2091,$B9,'сентябрь 2024'!$J$4:$J$2091,V$1)</f>
        <v>0</v>
      </c>
      <c r="W9" s="80">
        <f>SUMIFS('сентябрь 2024'!$G$4:$G$2091,'сентябрь 2024'!$D$4:$D$2091,$B9,'сентябрь 2024'!$J$4:$J$2091,W$1)</f>
        <v>0</v>
      </c>
      <c r="X9" s="80">
        <f>SUMIFS('сентябрь 2024'!$G$4:$G$2091,'сентябрь 2024'!$D$4:$D$2091,$B9,'сентябрь 2024'!$J$4:$J$2091,X$1)</f>
        <v>0</v>
      </c>
      <c r="Y9" s="80">
        <f>SUMIFS('сентябрь 2024'!$G$4:$G$2091,'сентябрь 2024'!$D$4:$D$2091,$B9,'сентябрь 2024'!$J$4:$J$2091,Y$1)</f>
        <v>0</v>
      </c>
      <c r="Z9" s="80">
        <f>SUMIFS('сентябрь 2024'!$G$4:$G$2091,'сентябрь 2024'!$D$4:$D$2091,$B9,'сентябрь 2024'!$J$4:$J$2091,Z$1)</f>
        <v>800</v>
      </c>
      <c r="AA9" s="80">
        <f>SUMIFS('сентябрь 2024'!$G$4:$G$2091,'сентябрь 2024'!$D$4:$D$2091,$B9,'сентябрь 2024'!$J$4:$J$2091,AA$1)</f>
        <v>0</v>
      </c>
      <c r="AB9" s="80">
        <f>SUMIFS('сентябрь 2024'!$G$4:$G$2091,'сентябрь 2024'!$D$4:$D$2091,$B9,'сентябрь 2024'!$J$4:$J$2091,AB$1)</f>
        <v>0</v>
      </c>
      <c r="AC9" s="80">
        <f>SUMIFS('сентябрь 2024'!$G$4:$G$2091,'сентябрь 2024'!$D$4:$D$2091,$B9,'сентябрь 2024'!$J$4:$J$2091,AC$1)</f>
        <v>0</v>
      </c>
      <c r="AD9" s="80">
        <f>SUMIFS('сентябрь 2024'!$G$4:$G$2091,'сентябрь 2024'!$D$4:$D$2091,$B9,'сентябрь 2024'!$J$4:$J$2091,AD$1)</f>
        <v>0</v>
      </c>
      <c r="AE9" s="80">
        <f>SUMIFS('сентябрь 2024'!$G$4:$G$2091,'сентябрь 2024'!$D$4:$D$2091,$B9,'сентябрь 2024'!$J$4:$J$2091,AE$1)</f>
        <v>0</v>
      </c>
      <c r="AF9" s="80">
        <f>SUMIFS('сентябрь 2024'!$G$4:$G$2091,'сентябрь 2024'!$D$4:$D$2091,$B9,'сентябрь 2024'!$J$4:$J$2091,AF$1)</f>
        <v>0</v>
      </c>
      <c r="AG9" s="80">
        <f>SUMIFS('сентябрь 2024'!$G$4:$G$2091,'сентябрь 2024'!$D$4:$D$2091,$B9,'сентябрь 2024'!$J$4:$J$2091,AG$1)</f>
        <v>0</v>
      </c>
      <c r="AH9" s="80">
        <f>SUMIFS('сентябрь 2024'!$G$4:$G$2091,'сентябрь 2024'!$D$4:$D$2091,$B9,'сентябрь 2024'!$J$4:$J$2091,AH$1)</f>
        <v>0</v>
      </c>
      <c r="AI9" s="21">
        <f t="shared" si="1"/>
        <v>2280</v>
      </c>
    </row>
    <row r="10" spans="2:35" ht="15" customHeight="1" x14ac:dyDescent="0.25">
      <c r="B10" s="81" t="s">
        <v>289</v>
      </c>
      <c r="C10" s="82">
        <v>25</v>
      </c>
      <c r="D10" s="80">
        <f>SUMIFS('сентябрь 2024'!$G$4:$G$2091,'сентябрь 2024'!$D$4:$D$2091,$B10,'сентябрь 2024'!$J$4:$J$2091,D$1)</f>
        <v>0</v>
      </c>
      <c r="E10" s="80">
        <f>SUMIFS('сентябрь 2024'!$G$4:$G$2091,'сентябрь 2024'!$D$4:$D$2091,$B10,'сентябрь 2024'!$J$4:$J$2091,E$1)</f>
        <v>0</v>
      </c>
      <c r="F10" s="80">
        <f>SUMIFS('сентябрь 2024'!$G$4:$G$2091,'сентябрь 2024'!$D$4:$D$2091,$B10,'сентябрь 2024'!$J$4:$J$2091,F$1)</f>
        <v>0</v>
      </c>
      <c r="G10" s="80">
        <f>SUMIFS('сентябрь 2024'!$G$4:$G$2091,'сентябрь 2024'!$D$4:$D$2091,$B10,'сентябрь 2024'!$J$4:$J$2091,G$1)</f>
        <v>0</v>
      </c>
      <c r="H10" s="80">
        <f>SUMIFS('сентябрь 2024'!$G$4:$G$2091,'сентябрь 2024'!$D$4:$D$2091,$B10,'сентябрь 2024'!$J$4:$J$2091,H$1)</f>
        <v>0</v>
      </c>
      <c r="I10" s="80">
        <f>SUMIFS('сентябрь 2024'!$G$4:$G$2091,'сентябрь 2024'!$D$4:$D$2091,$B10,'сентябрь 2024'!$J$4:$J$2091,I$1)</f>
        <v>0</v>
      </c>
      <c r="J10" s="80">
        <f>SUMIFS('сентябрь 2024'!$G$4:$G$2091,'сентябрь 2024'!$D$4:$D$2091,$B10,'сентябрь 2024'!$J$4:$J$2091,J$1)</f>
        <v>0</v>
      </c>
      <c r="K10" s="80">
        <f>SUMIFS('сентябрь 2024'!$G$4:$G$2091,'сентябрь 2024'!$D$4:$D$2091,$B10,'сентябрь 2024'!$J$4:$J$2091,K$1)</f>
        <v>0</v>
      </c>
      <c r="L10" s="80">
        <f>SUMIFS('сентябрь 2024'!$G$4:$G$2091,'сентябрь 2024'!$D$4:$D$2091,$B10,'сентябрь 2024'!$J$4:$J$2091,L$1)</f>
        <v>0</v>
      </c>
      <c r="M10" s="80">
        <f>SUMIFS('сентябрь 2024'!$G$4:$G$2091,'сентябрь 2024'!$D$4:$D$2091,$B10,'сентябрь 2024'!$J$4:$J$2091,M$1)</f>
        <v>0</v>
      </c>
      <c r="N10" s="80">
        <f>SUMIFS('сентябрь 2024'!$G$4:$G$2091,'сентябрь 2024'!$D$4:$D$2091,$B10,'сентябрь 2024'!$J$4:$J$2091,N$1)</f>
        <v>0</v>
      </c>
      <c r="O10" s="80">
        <f>SUMIFS('сентябрь 2024'!$G$4:$G$2091,'сентябрь 2024'!$D$4:$D$2091,$B10,'сентябрь 2024'!$J$4:$J$2091,O$1)</f>
        <v>0</v>
      </c>
      <c r="P10" s="80">
        <f>SUMIFS('сентябрь 2024'!$G$4:$G$2091,'сентябрь 2024'!$D$4:$D$2091,$B10,'сентябрь 2024'!$J$4:$J$2091,P$1)</f>
        <v>0</v>
      </c>
      <c r="Q10" s="80">
        <f>SUMIFS('сентябрь 2024'!$G$4:$G$2091,'сентябрь 2024'!$D$4:$D$2091,$B10,'сентябрь 2024'!$J$4:$J$2091,Q$1)</f>
        <v>0</v>
      </c>
      <c r="R10" s="80">
        <f>SUMIFS('сентябрь 2024'!$G$4:$G$2091,'сентябрь 2024'!$D$4:$D$2091,$B10,'сентябрь 2024'!$J$4:$J$2091,R$1)</f>
        <v>0</v>
      </c>
      <c r="S10" s="80">
        <f>SUMIFS('сентябрь 2024'!$G$4:$G$2091,'сентябрь 2024'!$D$4:$D$2091,$B10,'сентябрь 2024'!$J$4:$J$2091,S$1)</f>
        <v>0</v>
      </c>
      <c r="T10" s="80">
        <f>SUMIFS('сентябрь 2024'!$G$4:$G$2091,'сентябрь 2024'!$D$4:$D$2091,$B10,'сентябрь 2024'!$J$4:$J$2091,T$1)</f>
        <v>0</v>
      </c>
      <c r="U10" s="80">
        <f>SUMIFS('сентябрь 2024'!$G$4:$G$2091,'сентябрь 2024'!$D$4:$D$2091,$B10,'сентябрь 2024'!$J$4:$J$2091,U$1)</f>
        <v>0</v>
      </c>
      <c r="V10" s="80">
        <f>SUMIFS('сентябрь 2024'!$G$4:$G$2091,'сентябрь 2024'!$D$4:$D$2091,$B10,'сентябрь 2024'!$J$4:$J$2091,V$1)</f>
        <v>0</v>
      </c>
      <c r="W10" s="80">
        <f>SUMIFS('сентябрь 2024'!$G$4:$G$2091,'сентябрь 2024'!$D$4:$D$2091,$B10,'сентябрь 2024'!$J$4:$J$2091,W$1)</f>
        <v>0</v>
      </c>
      <c r="X10" s="80">
        <f>SUMIFS('сентябрь 2024'!$G$4:$G$2091,'сентябрь 2024'!$D$4:$D$2091,$B10,'сентябрь 2024'!$J$4:$J$2091,X$1)</f>
        <v>0</v>
      </c>
      <c r="Y10" s="80">
        <f>SUMIFS('сентябрь 2024'!$G$4:$G$2091,'сентябрь 2024'!$D$4:$D$2091,$B10,'сентябрь 2024'!$J$4:$J$2091,Y$1)</f>
        <v>0</v>
      </c>
      <c r="Z10" s="80">
        <f>SUMIFS('сентябрь 2024'!$G$4:$G$2091,'сентябрь 2024'!$D$4:$D$2091,$B10,'сентябрь 2024'!$J$4:$J$2091,Z$1)</f>
        <v>0</v>
      </c>
      <c r="AA10" s="80">
        <f>SUMIFS('сентябрь 2024'!$G$4:$G$2091,'сентябрь 2024'!$D$4:$D$2091,$B10,'сентябрь 2024'!$J$4:$J$2091,AA$1)</f>
        <v>0</v>
      </c>
      <c r="AB10" s="80">
        <f>SUMIFS('сентябрь 2024'!$G$4:$G$2091,'сентябрь 2024'!$D$4:$D$2091,$B10,'сентябрь 2024'!$J$4:$J$2091,AB$1)</f>
        <v>0</v>
      </c>
      <c r="AC10" s="80">
        <f>SUMIFS('сентябрь 2024'!$G$4:$G$2091,'сентябрь 2024'!$D$4:$D$2091,$B10,'сентябрь 2024'!$J$4:$J$2091,AC$1)</f>
        <v>0</v>
      </c>
      <c r="AD10" s="80">
        <f>SUMIFS('сентябрь 2024'!$G$4:$G$2091,'сентябрь 2024'!$D$4:$D$2091,$B10,'сентябрь 2024'!$J$4:$J$2091,AD$1)</f>
        <v>0</v>
      </c>
      <c r="AE10" s="80">
        <f>SUMIFS('сентябрь 2024'!$G$4:$G$2091,'сентябрь 2024'!$D$4:$D$2091,$B10,'сентябрь 2024'!$J$4:$J$2091,AE$1)</f>
        <v>0</v>
      </c>
      <c r="AF10" s="80">
        <f>SUMIFS('сентябрь 2024'!$G$4:$G$2091,'сентябрь 2024'!$D$4:$D$2091,$B10,'сентябрь 2024'!$J$4:$J$2091,AF$1)</f>
        <v>0</v>
      </c>
      <c r="AG10" s="80">
        <f>SUMIFS('сентябрь 2024'!$G$4:$G$2091,'сентябрь 2024'!$D$4:$D$2091,$B10,'сентябрь 2024'!$J$4:$J$2091,AG$1)</f>
        <v>0</v>
      </c>
      <c r="AH10" s="80">
        <f>SUMIFS('сентябрь 2024'!$G$4:$G$2091,'сентябрь 2024'!$D$4:$D$2091,$B10,'сентябрь 2024'!$J$4:$J$2091,AH$1)</f>
        <v>0</v>
      </c>
      <c r="AI10" s="21">
        <f t="shared" si="1"/>
        <v>0</v>
      </c>
    </row>
    <row r="11" spans="2:35" ht="15" customHeight="1" x14ac:dyDescent="0.25">
      <c r="B11" s="84" t="s">
        <v>291</v>
      </c>
      <c r="C11" s="85">
        <v>22.68</v>
      </c>
      <c r="D11" s="80">
        <f>SUMIFS('сентябрь 2024'!$G$4:$G$2091,'сентябрь 2024'!$D$4:$D$2091,$B11,'сентябрь 2024'!$J$4:$J$2091,D$1)</f>
        <v>0</v>
      </c>
      <c r="E11" s="80">
        <f>SUMIFS('сентябрь 2024'!$G$4:$G$2091,'сентябрь 2024'!$D$4:$D$2091,$B11,'сентябрь 2024'!$J$4:$J$2091,E$1)</f>
        <v>0</v>
      </c>
      <c r="F11" s="80">
        <f>SUMIFS('сентябрь 2024'!$G$4:$G$2091,'сентябрь 2024'!$D$4:$D$2091,$B11,'сентябрь 2024'!$J$4:$J$2091,F$1)</f>
        <v>0</v>
      </c>
      <c r="G11" s="80">
        <f>SUMIFS('сентябрь 2024'!$G$4:$G$2091,'сентябрь 2024'!$D$4:$D$2091,$B11,'сентябрь 2024'!$J$4:$J$2091,G$1)</f>
        <v>0</v>
      </c>
      <c r="H11" s="80">
        <f>SUMIFS('сентябрь 2024'!$G$4:$G$2091,'сентябрь 2024'!$D$4:$D$2091,$B11,'сентябрь 2024'!$J$4:$J$2091,H$1)</f>
        <v>0</v>
      </c>
      <c r="I11" s="80">
        <f>SUMIFS('сентябрь 2024'!$G$4:$G$2091,'сентябрь 2024'!$D$4:$D$2091,$B11,'сентябрь 2024'!$J$4:$J$2091,I$1)</f>
        <v>0</v>
      </c>
      <c r="J11" s="80">
        <f>SUMIFS('сентябрь 2024'!$G$4:$G$2091,'сентябрь 2024'!$D$4:$D$2091,$B11,'сентябрь 2024'!$J$4:$J$2091,J$1)</f>
        <v>0</v>
      </c>
      <c r="K11" s="80">
        <f>SUMIFS('сентябрь 2024'!$G$4:$G$2091,'сентябрь 2024'!$D$4:$D$2091,$B11,'сентябрь 2024'!$J$4:$J$2091,K$1)</f>
        <v>0</v>
      </c>
      <c r="L11" s="80">
        <f>SUMIFS('сентябрь 2024'!$G$4:$G$2091,'сентябрь 2024'!$D$4:$D$2091,$B11,'сентябрь 2024'!$J$4:$J$2091,L$1)</f>
        <v>0</v>
      </c>
      <c r="M11" s="80">
        <f>SUMIFS('сентябрь 2024'!$G$4:$G$2091,'сентябрь 2024'!$D$4:$D$2091,$B11,'сентябрь 2024'!$J$4:$J$2091,M$1)</f>
        <v>0</v>
      </c>
      <c r="N11" s="80">
        <f>SUMIFS('сентябрь 2024'!$G$4:$G$2091,'сентябрь 2024'!$D$4:$D$2091,$B11,'сентябрь 2024'!$J$4:$J$2091,N$1)</f>
        <v>0</v>
      </c>
      <c r="O11" s="80">
        <f>SUMIFS('сентябрь 2024'!$G$4:$G$2091,'сентябрь 2024'!$D$4:$D$2091,$B11,'сентябрь 2024'!$J$4:$J$2091,O$1)</f>
        <v>0</v>
      </c>
      <c r="P11" s="80">
        <f>SUMIFS('сентябрь 2024'!$G$4:$G$2091,'сентябрь 2024'!$D$4:$D$2091,$B11,'сентябрь 2024'!$J$4:$J$2091,P$1)</f>
        <v>0</v>
      </c>
      <c r="Q11" s="80">
        <f>SUMIFS('сентябрь 2024'!$G$4:$G$2091,'сентябрь 2024'!$D$4:$D$2091,$B11,'сентябрь 2024'!$J$4:$J$2091,Q$1)</f>
        <v>0</v>
      </c>
      <c r="R11" s="80">
        <f>SUMIFS('сентябрь 2024'!$G$4:$G$2091,'сентябрь 2024'!$D$4:$D$2091,$B11,'сентябрь 2024'!$J$4:$J$2091,R$1)</f>
        <v>0</v>
      </c>
      <c r="S11" s="80">
        <f>SUMIFS('сентябрь 2024'!$G$4:$G$2091,'сентябрь 2024'!$D$4:$D$2091,$B11,'сентябрь 2024'!$J$4:$J$2091,S$1)</f>
        <v>0</v>
      </c>
      <c r="T11" s="80">
        <f>SUMIFS('сентябрь 2024'!$G$4:$G$2091,'сентябрь 2024'!$D$4:$D$2091,$B11,'сентябрь 2024'!$J$4:$J$2091,T$1)</f>
        <v>0</v>
      </c>
      <c r="U11" s="80">
        <f>SUMIFS('сентябрь 2024'!$G$4:$G$2091,'сентябрь 2024'!$D$4:$D$2091,$B11,'сентябрь 2024'!$J$4:$J$2091,U$1)</f>
        <v>0</v>
      </c>
      <c r="V11" s="80">
        <f>SUMIFS('сентябрь 2024'!$G$4:$G$2091,'сентябрь 2024'!$D$4:$D$2091,$B11,'сентябрь 2024'!$J$4:$J$2091,V$1)</f>
        <v>0</v>
      </c>
      <c r="W11" s="80">
        <f>SUMIFS('сентябрь 2024'!$G$4:$G$2091,'сентябрь 2024'!$D$4:$D$2091,$B11,'сентябрь 2024'!$J$4:$J$2091,W$1)</f>
        <v>0</v>
      </c>
      <c r="X11" s="80">
        <f>SUMIFS('сентябрь 2024'!$G$4:$G$2091,'сентябрь 2024'!$D$4:$D$2091,$B11,'сентябрь 2024'!$J$4:$J$2091,X$1)</f>
        <v>0</v>
      </c>
      <c r="Y11" s="80">
        <f>SUMIFS('сентябрь 2024'!$G$4:$G$2091,'сентябрь 2024'!$D$4:$D$2091,$B11,'сентябрь 2024'!$J$4:$J$2091,Y$1)</f>
        <v>0</v>
      </c>
      <c r="Z11" s="80">
        <f>SUMIFS('сентябрь 2024'!$G$4:$G$2091,'сентябрь 2024'!$D$4:$D$2091,$B11,'сентябрь 2024'!$J$4:$J$2091,Z$1)</f>
        <v>0</v>
      </c>
      <c r="AA11" s="80">
        <f>SUMIFS('сентябрь 2024'!$G$4:$G$2091,'сентябрь 2024'!$D$4:$D$2091,$B11,'сентябрь 2024'!$J$4:$J$2091,AA$1)</f>
        <v>0</v>
      </c>
      <c r="AB11" s="80">
        <f>SUMIFS('сентябрь 2024'!$G$4:$G$2091,'сентябрь 2024'!$D$4:$D$2091,$B11,'сентябрь 2024'!$J$4:$J$2091,AB$1)</f>
        <v>0</v>
      </c>
      <c r="AC11" s="80">
        <f>SUMIFS('сентябрь 2024'!$G$4:$G$2091,'сентябрь 2024'!$D$4:$D$2091,$B11,'сентябрь 2024'!$J$4:$J$2091,AC$1)</f>
        <v>0</v>
      </c>
      <c r="AD11" s="80">
        <f>SUMIFS('сентябрь 2024'!$G$4:$G$2091,'сентябрь 2024'!$D$4:$D$2091,$B11,'сентябрь 2024'!$J$4:$J$2091,AD$1)</f>
        <v>0</v>
      </c>
      <c r="AE11" s="80">
        <f>SUMIFS('сентябрь 2024'!$G$4:$G$2091,'сентябрь 2024'!$D$4:$D$2091,$B11,'сентябрь 2024'!$J$4:$J$2091,AE$1)</f>
        <v>0</v>
      </c>
      <c r="AF11" s="80">
        <f>SUMIFS('сентябрь 2024'!$G$4:$G$2091,'сентябрь 2024'!$D$4:$D$2091,$B11,'сентябрь 2024'!$J$4:$J$2091,AF$1)</f>
        <v>0</v>
      </c>
      <c r="AG11" s="80">
        <f>SUMIFS('сентябрь 2024'!$G$4:$G$2091,'сентябрь 2024'!$D$4:$D$2091,$B11,'сентябрь 2024'!$J$4:$J$2091,AG$1)</f>
        <v>0</v>
      </c>
      <c r="AH11" s="80">
        <f>SUMIFS('сентябрь 2024'!$G$4:$G$2091,'сентябрь 2024'!$D$4:$D$2091,$B11,'сентябрь 2024'!$J$4:$J$2091,AH$1)</f>
        <v>0</v>
      </c>
      <c r="AI11" s="21">
        <f t="shared" si="1"/>
        <v>0</v>
      </c>
    </row>
    <row r="12" spans="2:35" ht="15" customHeight="1" x14ac:dyDescent="0.25">
      <c r="B12" s="84" t="s">
        <v>293</v>
      </c>
      <c r="C12" s="85">
        <v>22.68</v>
      </c>
      <c r="D12" s="80">
        <f>SUMIFS('сентябрь 2024'!$G$4:$G$2091,'сентябрь 2024'!$D$4:$D$2091,$B12,'сентябрь 2024'!$J$4:$J$2091,D$1)</f>
        <v>0</v>
      </c>
      <c r="E12" s="80">
        <f>SUMIFS('сентябрь 2024'!$G$4:$G$2091,'сентябрь 2024'!$D$4:$D$2091,$B12,'сентябрь 2024'!$J$4:$J$2091,E$1)</f>
        <v>0</v>
      </c>
      <c r="F12" s="80">
        <f>SUMIFS('сентябрь 2024'!$G$4:$G$2091,'сентябрь 2024'!$D$4:$D$2091,$B12,'сентябрь 2024'!$J$4:$J$2091,F$1)</f>
        <v>0</v>
      </c>
      <c r="G12" s="80">
        <f>SUMIFS('сентябрь 2024'!$G$4:$G$2091,'сентябрь 2024'!$D$4:$D$2091,$B12,'сентябрь 2024'!$J$4:$J$2091,G$1)</f>
        <v>0</v>
      </c>
      <c r="H12" s="80">
        <f>SUMIFS('сентябрь 2024'!$G$4:$G$2091,'сентябрь 2024'!$D$4:$D$2091,$B12,'сентябрь 2024'!$J$4:$J$2091,H$1)</f>
        <v>0</v>
      </c>
      <c r="I12" s="80">
        <f>SUMIFS('сентябрь 2024'!$G$4:$G$2091,'сентябрь 2024'!$D$4:$D$2091,$B12,'сентябрь 2024'!$J$4:$J$2091,I$1)</f>
        <v>0</v>
      </c>
      <c r="J12" s="80">
        <f>SUMIFS('сентябрь 2024'!$G$4:$G$2091,'сентябрь 2024'!$D$4:$D$2091,$B12,'сентябрь 2024'!$J$4:$J$2091,J$1)</f>
        <v>0</v>
      </c>
      <c r="K12" s="80">
        <f>SUMIFS('сентябрь 2024'!$G$4:$G$2091,'сентябрь 2024'!$D$4:$D$2091,$B12,'сентябрь 2024'!$J$4:$J$2091,K$1)</f>
        <v>0</v>
      </c>
      <c r="L12" s="80">
        <f>SUMIFS('сентябрь 2024'!$G$4:$G$2091,'сентябрь 2024'!$D$4:$D$2091,$B12,'сентябрь 2024'!$J$4:$J$2091,L$1)</f>
        <v>0</v>
      </c>
      <c r="M12" s="80">
        <f>SUMIFS('сентябрь 2024'!$G$4:$G$2091,'сентябрь 2024'!$D$4:$D$2091,$B12,'сентябрь 2024'!$J$4:$J$2091,M$1)</f>
        <v>0</v>
      </c>
      <c r="N12" s="80">
        <f>SUMIFS('сентябрь 2024'!$G$4:$G$2091,'сентябрь 2024'!$D$4:$D$2091,$B12,'сентябрь 2024'!$J$4:$J$2091,N$1)</f>
        <v>0</v>
      </c>
      <c r="O12" s="80">
        <f>SUMIFS('сентябрь 2024'!$G$4:$G$2091,'сентябрь 2024'!$D$4:$D$2091,$B12,'сентябрь 2024'!$J$4:$J$2091,O$1)</f>
        <v>0</v>
      </c>
      <c r="P12" s="80">
        <f>SUMIFS('сентябрь 2024'!$G$4:$G$2091,'сентябрь 2024'!$D$4:$D$2091,$B12,'сентябрь 2024'!$J$4:$J$2091,P$1)</f>
        <v>0</v>
      </c>
      <c r="Q12" s="80">
        <f>SUMIFS('сентябрь 2024'!$G$4:$G$2091,'сентябрь 2024'!$D$4:$D$2091,$B12,'сентябрь 2024'!$J$4:$J$2091,Q$1)</f>
        <v>0</v>
      </c>
      <c r="R12" s="80">
        <f>SUMIFS('сентябрь 2024'!$G$4:$G$2091,'сентябрь 2024'!$D$4:$D$2091,$B12,'сентябрь 2024'!$J$4:$J$2091,R$1)</f>
        <v>0</v>
      </c>
      <c r="S12" s="80">
        <f>SUMIFS('сентябрь 2024'!$G$4:$G$2091,'сентябрь 2024'!$D$4:$D$2091,$B12,'сентябрь 2024'!$J$4:$J$2091,S$1)</f>
        <v>0</v>
      </c>
      <c r="T12" s="80">
        <f>SUMIFS('сентябрь 2024'!$G$4:$G$2091,'сентябрь 2024'!$D$4:$D$2091,$B12,'сентябрь 2024'!$J$4:$J$2091,T$1)</f>
        <v>0</v>
      </c>
      <c r="U12" s="80">
        <f>SUMIFS('сентябрь 2024'!$G$4:$G$2091,'сентябрь 2024'!$D$4:$D$2091,$B12,'сентябрь 2024'!$J$4:$J$2091,U$1)</f>
        <v>0</v>
      </c>
      <c r="V12" s="80">
        <f>SUMIFS('сентябрь 2024'!$G$4:$G$2091,'сентябрь 2024'!$D$4:$D$2091,$B12,'сентябрь 2024'!$J$4:$J$2091,V$1)</f>
        <v>0</v>
      </c>
      <c r="W12" s="80">
        <f>SUMIFS('сентябрь 2024'!$G$4:$G$2091,'сентябрь 2024'!$D$4:$D$2091,$B12,'сентябрь 2024'!$J$4:$J$2091,W$1)</f>
        <v>0</v>
      </c>
      <c r="X12" s="80">
        <f>SUMIFS('сентябрь 2024'!$G$4:$G$2091,'сентябрь 2024'!$D$4:$D$2091,$B12,'сентябрь 2024'!$J$4:$J$2091,X$1)</f>
        <v>0</v>
      </c>
      <c r="Y12" s="80">
        <f>SUMIFS('сентябрь 2024'!$G$4:$G$2091,'сентябрь 2024'!$D$4:$D$2091,$B12,'сентябрь 2024'!$J$4:$J$2091,Y$1)</f>
        <v>0</v>
      </c>
      <c r="Z12" s="80">
        <f>SUMIFS('сентябрь 2024'!$G$4:$G$2091,'сентябрь 2024'!$D$4:$D$2091,$B12,'сентябрь 2024'!$J$4:$J$2091,Z$1)</f>
        <v>0</v>
      </c>
      <c r="AA12" s="80">
        <f>SUMIFS('сентябрь 2024'!$G$4:$G$2091,'сентябрь 2024'!$D$4:$D$2091,$B12,'сентябрь 2024'!$J$4:$J$2091,AA$1)</f>
        <v>0</v>
      </c>
      <c r="AB12" s="80">
        <f>SUMIFS('сентябрь 2024'!$G$4:$G$2091,'сентябрь 2024'!$D$4:$D$2091,$B12,'сентябрь 2024'!$J$4:$J$2091,AB$1)</f>
        <v>0</v>
      </c>
      <c r="AC12" s="80">
        <f>SUMIFS('сентябрь 2024'!$G$4:$G$2091,'сентябрь 2024'!$D$4:$D$2091,$B12,'сентябрь 2024'!$J$4:$J$2091,AC$1)</f>
        <v>0</v>
      </c>
      <c r="AD12" s="80">
        <f>SUMIFS('сентябрь 2024'!$G$4:$G$2091,'сентябрь 2024'!$D$4:$D$2091,$B12,'сентябрь 2024'!$J$4:$J$2091,AD$1)</f>
        <v>0</v>
      </c>
      <c r="AE12" s="80">
        <f>SUMIFS('сентябрь 2024'!$G$4:$G$2091,'сентябрь 2024'!$D$4:$D$2091,$B12,'сентябрь 2024'!$J$4:$J$2091,AE$1)</f>
        <v>0</v>
      </c>
      <c r="AF12" s="80">
        <f>SUMIFS('сентябрь 2024'!$G$4:$G$2091,'сентябрь 2024'!$D$4:$D$2091,$B12,'сентябрь 2024'!$J$4:$J$2091,AF$1)</f>
        <v>0</v>
      </c>
      <c r="AG12" s="80">
        <f>SUMIFS('сентябрь 2024'!$G$4:$G$2091,'сентябрь 2024'!$D$4:$D$2091,$B12,'сентябрь 2024'!$J$4:$J$2091,AG$1)</f>
        <v>0</v>
      </c>
      <c r="AH12" s="80">
        <f>SUMIFS('сентябрь 2024'!$G$4:$G$2091,'сентябрь 2024'!$D$4:$D$2091,$B12,'сентябрь 2024'!$J$4:$J$2091,AH$1)</f>
        <v>0</v>
      </c>
      <c r="AI12" s="21">
        <f t="shared" si="1"/>
        <v>0</v>
      </c>
    </row>
    <row r="13" spans="2:35" ht="15" customHeight="1" x14ac:dyDescent="0.25">
      <c r="B13" s="84" t="s">
        <v>1043</v>
      </c>
      <c r="C13" s="85">
        <v>25</v>
      </c>
      <c r="D13" s="80">
        <f>SUMIFS('сентябрь 2024'!$G$4:$G$2091,'сентябрь 2024'!$D$4:$D$2091,$B13,'сентябрь 2024'!$J$4:$J$2091,D$1)</f>
        <v>0</v>
      </c>
      <c r="E13" s="80">
        <f>SUMIFS('сентябрь 2024'!$G$4:$G$2091,'сентябрь 2024'!$D$4:$D$2091,$B13,'сентябрь 2024'!$J$4:$J$2091,E$1)</f>
        <v>0</v>
      </c>
      <c r="F13" s="80">
        <f>SUMIFS('сентябрь 2024'!$G$4:$G$2091,'сентябрь 2024'!$D$4:$D$2091,$B13,'сентябрь 2024'!$J$4:$J$2091,F$1)</f>
        <v>0</v>
      </c>
      <c r="G13" s="80">
        <f>SUMIFS('сентябрь 2024'!$G$4:$G$2091,'сентябрь 2024'!$D$4:$D$2091,$B13,'сентябрь 2024'!$J$4:$J$2091,G$1)</f>
        <v>0</v>
      </c>
      <c r="H13" s="80">
        <f>SUMIFS('сентябрь 2024'!$G$4:$G$2091,'сентябрь 2024'!$D$4:$D$2091,$B13,'сентябрь 2024'!$J$4:$J$2091,H$1)</f>
        <v>0</v>
      </c>
      <c r="I13" s="80">
        <f>SUMIFS('сентябрь 2024'!$G$4:$G$2091,'сентябрь 2024'!$D$4:$D$2091,$B13,'сентябрь 2024'!$J$4:$J$2091,I$1)</f>
        <v>0</v>
      </c>
      <c r="J13" s="80">
        <f>SUMIFS('сентябрь 2024'!$G$4:$G$2091,'сентябрь 2024'!$D$4:$D$2091,$B13,'сентябрь 2024'!$J$4:$J$2091,J$1)</f>
        <v>0</v>
      </c>
      <c r="K13" s="80">
        <f>SUMIFS('сентябрь 2024'!$G$4:$G$2091,'сентябрь 2024'!$D$4:$D$2091,$B13,'сентябрь 2024'!$J$4:$J$2091,K$1)</f>
        <v>0</v>
      </c>
      <c r="L13" s="80">
        <f>SUMIFS('сентябрь 2024'!$G$4:$G$2091,'сентябрь 2024'!$D$4:$D$2091,$B13,'сентябрь 2024'!$J$4:$J$2091,L$1)</f>
        <v>0</v>
      </c>
      <c r="M13" s="80">
        <f>SUMIFS('сентябрь 2024'!$G$4:$G$2091,'сентябрь 2024'!$D$4:$D$2091,$B13,'сентябрь 2024'!$J$4:$J$2091,M$1)</f>
        <v>0</v>
      </c>
      <c r="N13" s="80">
        <f>SUMIFS('сентябрь 2024'!$G$4:$G$2091,'сентябрь 2024'!$D$4:$D$2091,$B13,'сентябрь 2024'!$J$4:$J$2091,N$1)</f>
        <v>0</v>
      </c>
      <c r="O13" s="80">
        <f>SUMIFS('сентябрь 2024'!$G$4:$G$2091,'сентябрь 2024'!$D$4:$D$2091,$B13,'сентябрь 2024'!$J$4:$J$2091,O$1)</f>
        <v>0</v>
      </c>
      <c r="P13" s="80">
        <f>SUMIFS('сентябрь 2024'!$G$4:$G$2091,'сентябрь 2024'!$D$4:$D$2091,$B13,'сентябрь 2024'!$J$4:$J$2091,P$1)</f>
        <v>0</v>
      </c>
      <c r="Q13" s="80">
        <f>SUMIFS('сентябрь 2024'!$G$4:$G$2091,'сентябрь 2024'!$D$4:$D$2091,$B13,'сентябрь 2024'!$J$4:$J$2091,Q$1)</f>
        <v>0</v>
      </c>
      <c r="R13" s="80">
        <f>SUMIFS('сентябрь 2024'!$G$4:$G$2091,'сентябрь 2024'!$D$4:$D$2091,$B13,'сентябрь 2024'!$J$4:$J$2091,R$1)</f>
        <v>0</v>
      </c>
      <c r="S13" s="80">
        <f>SUMIFS('сентябрь 2024'!$G$4:$G$2091,'сентябрь 2024'!$D$4:$D$2091,$B13,'сентябрь 2024'!$J$4:$J$2091,S$1)</f>
        <v>0</v>
      </c>
      <c r="T13" s="80">
        <f>SUMIFS('сентябрь 2024'!$G$4:$G$2091,'сентябрь 2024'!$D$4:$D$2091,$B13,'сентябрь 2024'!$J$4:$J$2091,T$1)</f>
        <v>0</v>
      </c>
      <c r="U13" s="80">
        <f>SUMIFS('сентябрь 2024'!$G$4:$G$2091,'сентябрь 2024'!$D$4:$D$2091,$B13,'сентябрь 2024'!$J$4:$J$2091,U$1)</f>
        <v>0</v>
      </c>
      <c r="V13" s="80">
        <f>SUMIFS('сентябрь 2024'!$G$4:$G$2091,'сентябрь 2024'!$D$4:$D$2091,$B13,'сентябрь 2024'!$J$4:$J$2091,V$1)</f>
        <v>0</v>
      </c>
      <c r="W13" s="80">
        <f>SUMIFS('сентябрь 2024'!$G$4:$G$2091,'сентябрь 2024'!$D$4:$D$2091,$B13,'сентябрь 2024'!$J$4:$J$2091,W$1)</f>
        <v>0</v>
      </c>
      <c r="X13" s="80">
        <f>SUMIFS('сентябрь 2024'!$G$4:$G$2091,'сентябрь 2024'!$D$4:$D$2091,$B13,'сентябрь 2024'!$J$4:$J$2091,X$1)</f>
        <v>0</v>
      </c>
      <c r="Y13" s="80">
        <f>SUMIFS('сентябрь 2024'!$G$4:$G$2091,'сентябрь 2024'!$D$4:$D$2091,$B13,'сентябрь 2024'!$J$4:$J$2091,Y$1)</f>
        <v>0</v>
      </c>
      <c r="Z13" s="80">
        <f>SUMIFS('сентябрь 2024'!$G$4:$G$2091,'сентябрь 2024'!$D$4:$D$2091,$B13,'сентябрь 2024'!$J$4:$J$2091,Z$1)</f>
        <v>0</v>
      </c>
      <c r="AA13" s="80">
        <f>SUMIFS('сентябрь 2024'!$G$4:$G$2091,'сентябрь 2024'!$D$4:$D$2091,$B13,'сентябрь 2024'!$J$4:$J$2091,AA$1)</f>
        <v>0</v>
      </c>
      <c r="AB13" s="80">
        <f>SUMIFS('сентябрь 2024'!$G$4:$G$2091,'сентябрь 2024'!$D$4:$D$2091,$B13,'сентябрь 2024'!$J$4:$J$2091,AB$1)</f>
        <v>0</v>
      </c>
      <c r="AC13" s="80">
        <f>SUMIFS('сентябрь 2024'!$G$4:$G$2091,'сентябрь 2024'!$D$4:$D$2091,$B13,'сентябрь 2024'!$J$4:$J$2091,AC$1)</f>
        <v>0</v>
      </c>
      <c r="AD13" s="80">
        <f>SUMIFS('сентябрь 2024'!$G$4:$G$2091,'сентябрь 2024'!$D$4:$D$2091,$B13,'сентябрь 2024'!$J$4:$J$2091,AD$1)</f>
        <v>0</v>
      </c>
      <c r="AE13" s="80">
        <f>SUMIFS('сентябрь 2024'!$G$4:$G$2091,'сентябрь 2024'!$D$4:$D$2091,$B13,'сентябрь 2024'!$J$4:$J$2091,AE$1)</f>
        <v>0</v>
      </c>
      <c r="AF13" s="80">
        <f>SUMIFS('сентябрь 2024'!$G$4:$G$2091,'сентябрь 2024'!$D$4:$D$2091,$B13,'сентябрь 2024'!$J$4:$J$2091,AF$1)</f>
        <v>0</v>
      </c>
      <c r="AG13" s="80">
        <f>SUMIFS('сентябрь 2024'!$G$4:$G$2091,'сентябрь 2024'!$D$4:$D$2091,$B13,'сентябрь 2024'!$J$4:$J$2091,AG$1)</f>
        <v>0</v>
      </c>
      <c r="AH13" s="80">
        <f>SUMIFS('сентябрь 2024'!$G$4:$G$2091,'сентябрь 2024'!$D$4:$D$2091,$B13,'сентябрь 2024'!$J$4:$J$2091,AH$1)</f>
        <v>0</v>
      </c>
      <c r="AI13" s="21">
        <f t="shared" si="1"/>
        <v>0</v>
      </c>
    </row>
    <row r="14" spans="2:35" ht="15" customHeight="1" x14ac:dyDescent="0.25">
      <c r="B14" s="84" t="s">
        <v>1097</v>
      </c>
      <c r="C14" s="85">
        <v>25</v>
      </c>
      <c r="D14" s="80">
        <f>SUMIFS('сентябрь 2024'!$G$4:$G$2091,'сентябрь 2024'!$D$4:$D$2091,$B14,'сентябрь 2024'!$J$4:$J$2091,D$1)</f>
        <v>0</v>
      </c>
      <c r="E14" s="80">
        <f>SUMIFS('сентябрь 2024'!$G$4:$G$2091,'сентябрь 2024'!$D$4:$D$2091,$B14,'сентябрь 2024'!$J$4:$J$2091,E$1)</f>
        <v>800</v>
      </c>
      <c r="F14" s="80">
        <f>SUMIFS('сентябрь 2024'!$G$4:$G$2091,'сентябрь 2024'!$D$4:$D$2091,$B14,'сентябрь 2024'!$J$4:$J$2091,F$1)</f>
        <v>1640</v>
      </c>
      <c r="G14" s="80">
        <f>SUMIFS('сентябрь 2024'!$G$4:$G$2091,'сентябрь 2024'!$D$4:$D$2091,$B14,'сентябрь 2024'!$J$4:$J$2091,G$1)</f>
        <v>1600</v>
      </c>
      <c r="H14" s="80">
        <f>SUMIFS('сентябрь 2024'!$G$4:$G$2091,'сентябрь 2024'!$D$4:$D$2091,$B14,'сентябрь 2024'!$J$4:$J$2091,H$1)</f>
        <v>800</v>
      </c>
      <c r="I14" s="80">
        <f>SUMIFS('сентябрь 2024'!$G$4:$G$2091,'сентябрь 2024'!$D$4:$D$2091,$B14,'сентябрь 2024'!$J$4:$J$2091,I$1)</f>
        <v>2120</v>
      </c>
      <c r="J14" s="80">
        <f>SUMIFS('сентябрь 2024'!$G$4:$G$2091,'сентябрь 2024'!$D$4:$D$2091,$B14,'сентябрь 2024'!$J$4:$J$2091,J$1)</f>
        <v>0</v>
      </c>
      <c r="K14" s="80">
        <f>SUMIFS('сентябрь 2024'!$G$4:$G$2091,'сентябрь 2024'!$D$4:$D$2091,$B14,'сентябрь 2024'!$J$4:$J$2091,K$1)</f>
        <v>0</v>
      </c>
      <c r="L14" s="80">
        <f>SUMIFS('сентябрь 2024'!$G$4:$G$2091,'сентябрь 2024'!$D$4:$D$2091,$B14,'сентябрь 2024'!$J$4:$J$2091,L$1)</f>
        <v>0</v>
      </c>
      <c r="M14" s="80">
        <f>SUMIFS('сентябрь 2024'!$G$4:$G$2091,'сентябрь 2024'!$D$4:$D$2091,$B14,'сентябрь 2024'!$J$4:$J$2091,M$1)</f>
        <v>0</v>
      </c>
      <c r="N14" s="80">
        <f>SUMIFS('сентябрь 2024'!$G$4:$G$2091,'сентябрь 2024'!$D$4:$D$2091,$B14,'сентябрь 2024'!$J$4:$J$2091,N$1)</f>
        <v>0</v>
      </c>
      <c r="O14" s="80">
        <f>SUMIFS('сентябрь 2024'!$G$4:$G$2091,'сентябрь 2024'!$D$4:$D$2091,$B14,'сентябрь 2024'!$J$4:$J$2091,O$1)</f>
        <v>700</v>
      </c>
      <c r="P14" s="80">
        <f>SUMIFS('сентябрь 2024'!$G$4:$G$2091,'сентябрь 2024'!$D$4:$D$2091,$B14,'сентябрь 2024'!$J$4:$J$2091,P$1)</f>
        <v>1400</v>
      </c>
      <c r="Q14" s="80">
        <f>SUMIFS('сентябрь 2024'!$G$4:$G$2091,'сентябрь 2024'!$D$4:$D$2091,$B14,'сентябрь 2024'!$J$4:$J$2091,Q$1)</f>
        <v>0</v>
      </c>
      <c r="R14" s="80">
        <f>SUMIFS('сентябрь 2024'!$G$4:$G$2091,'сентябрь 2024'!$D$4:$D$2091,$B14,'сентябрь 2024'!$J$4:$J$2091,R$1)</f>
        <v>0</v>
      </c>
      <c r="S14" s="80">
        <f>SUMIFS('сентябрь 2024'!$G$4:$G$2091,'сентябрь 2024'!$D$4:$D$2091,$B14,'сентябрь 2024'!$J$4:$J$2091,S$1)</f>
        <v>0</v>
      </c>
      <c r="T14" s="80">
        <f>SUMIFS('сентябрь 2024'!$G$4:$G$2091,'сентябрь 2024'!$D$4:$D$2091,$B14,'сентябрь 2024'!$J$4:$J$2091,T$1)</f>
        <v>0</v>
      </c>
      <c r="U14" s="80">
        <f>SUMIFS('сентябрь 2024'!$G$4:$G$2091,'сентябрь 2024'!$D$4:$D$2091,$B14,'сентябрь 2024'!$J$4:$J$2091,U$1)</f>
        <v>0</v>
      </c>
      <c r="V14" s="80">
        <f>SUMIFS('сентябрь 2024'!$G$4:$G$2091,'сентябрь 2024'!$D$4:$D$2091,$B14,'сентябрь 2024'!$J$4:$J$2091,V$1)</f>
        <v>700</v>
      </c>
      <c r="W14" s="80">
        <f>SUMIFS('сентябрь 2024'!$G$4:$G$2091,'сентябрь 2024'!$D$4:$D$2091,$B14,'сентябрь 2024'!$J$4:$J$2091,W$1)</f>
        <v>0</v>
      </c>
      <c r="X14" s="80">
        <f>SUMIFS('сентябрь 2024'!$G$4:$G$2091,'сентябрь 2024'!$D$4:$D$2091,$B14,'сентябрь 2024'!$J$4:$J$2091,X$1)</f>
        <v>0</v>
      </c>
      <c r="Y14" s="80">
        <f>SUMIFS('сентябрь 2024'!$G$4:$G$2091,'сентябрь 2024'!$D$4:$D$2091,$B14,'сентябрь 2024'!$J$4:$J$2091,Y$1)</f>
        <v>0</v>
      </c>
      <c r="Z14" s="80">
        <f>SUMIFS('сентябрь 2024'!$G$4:$G$2091,'сентябрь 2024'!$D$4:$D$2091,$B14,'сентябрь 2024'!$J$4:$J$2091,Z$1)</f>
        <v>0</v>
      </c>
      <c r="AA14" s="80">
        <f>SUMIFS('сентябрь 2024'!$G$4:$G$2091,'сентябрь 2024'!$D$4:$D$2091,$B14,'сентябрь 2024'!$J$4:$J$2091,AA$1)</f>
        <v>0</v>
      </c>
      <c r="AB14" s="80">
        <f>SUMIFS('сентябрь 2024'!$G$4:$G$2091,'сентябрь 2024'!$D$4:$D$2091,$B14,'сентябрь 2024'!$J$4:$J$2091,AB$1)</f>
        <v>0</v>
      </c>
      <c r="AC14" s="80">
        <f>SUMIFS('сентябрь 2024'!$G$4:$G$2091,'сентябрь 2024'!$D$4:$D$2091,$B14,'сентябрь 2024'!$J$4:$J$2091,AC$1)</f>
        <v>0</v>
      </c>
      <c r="AD14" s="80">
        <f>SUMIFS('сентябрь 2024'!$G$4:$G$2091,'сентябрь 2024'!$D$4:$D$2091,$B14,'сентябрь 2024'!$J$4:$J$2091,AD$1)</f>
        <v>0</v>
      </c>
      <c r="AE14" s="80">
        <f>SUMIFS('сентябрь 2024'!$G$4:$G$2091,'сентябрь 2024'!$D$4:$D$2091,$B14,'сентябрь 2024'!$J$4:$J$2091,AE$1)</f>
        <v>0</v>
      </c>
      <c r="AF14" s="80">
        <f>SUMIFS('сентябрь 2024'!$G$4:$G$2091,'сентябрь 2024'!$D$4:$D$2091,$B14,'сентябрь 2024'!$J$4:$J$2091,AF$1)</f>
        <v>0</v>
      </c>
      <c r="AG14" s="80">
        <f>SUMIFS('сентябрь 2024'!$G$4:$G$2091,'сентябрь 2024'!$D$4:$D$2091,$B14,'сентябрь 2024'!$J$4:$J$2091,AG$1)</f>
        <v>1400</v>
      </c>
      <c r="AH14" s="80">
        <f>SUMIFS('сентябрь 2024'!$G$4:$G$2091,'сентябрь 2024'!$D$4:$D$2091,$B14,'сентябрь 2024'!$J$4:$J$2091,AH$1)</f>
        <v>0</v>
      </c>
      <c r="AI14" s="21">
        <f t="shared" si="1"/>
        <v>11160</v>
      </c>
    </row>
    <row r="15" spans="2:35" ht="15" customHeight="1" x14ac:dyDescent="0.25">
      <c r="B15" s="84" t="s">
        <v>295</v>
      </c>
      <c r="C15" s="85">
        <v>22.7</v>
      </c>
      <c r="D15" s="80">
        <f>SUMIFS('сентябрь 2024'!$G$4:$G$2091,'сентябрь 2024'!$D$4:$D$2091,$B15,'сентябрь 2024'!$J$4:$J$2091,D$1)</f>
        <v>0</v>
      </c>
      <c r="E15" s="80">
        <f>SUMIFS('сентябрь 2024'!$G$4:$G$2091,'сентябрь 2024'!$D$4:$D$2091,$B15,'сентябрь 2024'!$J$4:$J$2091,E$1)</f>
        <v>0</v>
      </c>
      <c r="F15" s="80">
        <f>SUMIFS('сентябрь 2024'!$G$4:$G$2091,'сентябрь 2024'!$D$4:$D$2091,$B15,'сентябрь 2024'!$J$4:$J$2091,F$1)</f>
        <v>0</v>
      </c>
      <c r="G15" s="80">
        <f>SUMIFS('сентябрь 2024'!$G$4:$G$2091,'сентябрь 2024'!$D$4:$D$2091,$B15,'сентябрь 2024'!$J$4:$J$2091,G$1)</f>
        <v>0</v>
      </c>
      <c r="H15" s="80">
        <f>SUMIFS('сентябрь 2024'!$G$4:$G$2091,'сентябрь 2024'!$D$4:$D$2091,$B15,'сентябрь 2024'!$J$4:$J$2091,H$1)</f>
        <v>0</v>
      </c>
      <c r="I15" s="80">
        <f>SUMIFS('сентябрь 2024'!$G$4:$G$2091,'сентябрь 2024'!$D$4:$D$2091,$B15,'сентябрь 2024'!$J$4:$J$2091,I$1)</f>
        <v>0</v>
      </c>
      <c r="J15" s="80">
        <f>SUMIFS('сентябрь 2024'!$G$4:$G$2091,'сентябрь 2024'!$D$4:$D$2091,$B15,'сентябрь 2024'!$J$4:$J$2091,J$1)</f>
        <v>0</v>
      </c>
      <c r="K15" s="80">
        <f>SUMIFS('сентябрь 2024'!$G$4:$G$2091,'сентябрь 2024'!$D$4:$D$2091,$B15,'сентябрь 2024'!$J$4:$J$2091,K$1)</f>
        <v>0</v>
      </c>
      <c r="L15" s="80">
        <f>SUMIFS('сентябрь 2024'!$G$4:$G$2091,'сентябрь 2024'!$D$4:$D$2091,$B15,'сентябрь 2024'!$J$4:$J$2091,L$1)</f>
        <v>0</v>
      </c>
      <c r="M15" s="80">
        <f>SUMIFS('сентябрь 2024'!$G$4:$G$2091,'сентябрь 2024'!$D$4:$D$2091,$B15,'сентябрь 2024'!$J$4:$J$2091,M$1)</f>
        <v>0</v>
      </c>
      <c r="N15" s="80">
        <f>SUMIFS('сентябрь 2024'!$G$4:$G$2091,'сентябрь 2024'!$D$4:$D$2091,$B15,'сентябрь 2024'!$J$4:$J$2091,N$1)</f>
        <v>0</v>
      </c>
      <c r="O15" s="80">
        <f>SUMIFS('сентябрь 2024'!$G$4:$G$2091,'сентябрь 2024'!$D$4:$D$2091,$B15,'сентябрь 2024'!$J$4:$J$2091,O$1)</f>
        <v>0</v>
      </c>
      <c r="P15" s="80">
        <f>SUMIFS('сентябрь 2024'!$G$4:$G$2091,'сентябрь 2024'!$D$4:$D$2091,$B15,'сентябрь 2024'!$J$4:$J$2091,P$1)</f>
        <v>0</v>
      </c>
      <c r="Q15" s="80">
        <f>SUMIFS('сентябрь 2024'!$G$4:$G$2091,'сентябрь 2024'!$D$4:$D$2091,$B15,'сентябрь 2024'!$J$4:$J$2091,Q$1)</f>
        <v>0</v>
      </c>
      <c r="R15" s="80">
        <f>SUMIFS('сентябрь 2024'!$G$4:$G$2091,'сентябрь 2024'!$D$4:$D$2091,$B15,'сентябрь 2024'!$J$4:$J$2091,R$1)</f>
        <v>0</v>
      </c>
      <c r="S15" s="80">
        <f>SUMIFS('сентябрь 2024'!$G$4:$G$2091,'сентябрь 2024'!$D$4:$D$2091,$B15,'сентябрь 2024'!$J$4:$J$2091,S$1)</f>
        <v>0</v>
      </c>
      <c r="T15" s="80">
        <f>SUMIFS('сентябрь 2024'!$G$4:$G$2091,'сентябрь 2024'!$D$4:$D$2091,$B15,'сентябрь 2024'!$J$4:$J$2091,T$1)</f>
        <v>0</v>
      </c>
      <c r="U15" s="80">
        <f>SUMIFS('сентябрь 2024'!$G$4:$G$2091,'сентябрь 2024'!$D$4:$D$2091,$B15,'сентябрь 2024'!$J$4:$J$2091,U$1)</f>
        <v>0</v>
      </c>
      <c r="V15" s="80">
        <f>SUMIFS('сентябрь 2024'!$G$4:$G$2091,'сентябрь 2024'!$D$4:$D$2091,$B15,'сентябрь 2024'!$J$4:$J$2091,V$1)</f>
        <v>0</v>
      </c>
      <c r="W15" s="80">
        <f>SUMIFS('сентябрь 2024'!$G$4:$G$2091,'сентябрь 2024'!$D$4:$D$2091,$B15,'сентябрь 2024'!$J$4:$J$2091,W$1)</f>
        <v>0</v>
      </c>
      <c r="X15" s="80">
        <f>SUMIFS('сентябрь 2024'!$G$4:$G$2091,'сентябрь 2024'!$D$4:$D$2091,$B15,'сентябрь 2024'!$J$4:$J$2091,X$1)</f>
        <v>0</v>
      </c>
      <c r="Y15" s="80">
        <f>SUMIFS('сентябрь 2024'!$G$4:$G$2091,'сентябрь 2024'!$D$4:$D$2091,$B15,'сентябрь 2024'!$J$4:$J$2091,Y$1)</f>
        <v>0</v>
      </c>
      <c r="Z15" s="80">
        <f>SUMIFS('сентябрь 2024'!$G$4:$G$2091,'сентябрь 2024'!$D$4:$D$2091,$B15,'сентябрь 2024'!$J$4:$J$2091,Z$1)</f>
        <v>0</v>
      </c>
      <c r="AA15" s="80">
        <f>SUMIFS('сентябрь 2024'!$G$4:$G$2091,'сентябрь 2024'!$D$4:$D$2091,$B15,'сентябрь 2024'!$J$4:$J$2091,AA$1)</f>
        <v>0</v>
      </c>
      <c r="AB15" s="80">
        <f>SUMIFS('сентябрь 2024'!$G$4:$G$2091,'сентябрь 2024'!$D$4:$D$2091,$B15,'сентябрь 2024'!$J$4:$J$2091,AB$1)</f>
        <v>0</v>
      </c>
      <c r="AC15" s="80">
        <f>SUMIFS('сентябрь 2024'!$G$4:$G$2091,'сентябрь 2024'!$D$4:$D$2091,$B15,'сентябрь 2024'!$J$4:$J$2091,AC$1)</f>
        <v>0</v>
      </c>
      <c r="AD15" s="80">
        <f>SUMIFS('сентябрь 2024'!$G$4:$G$2091,'сентябрь 2024'!$D$4:$D$2091,$B15,'сентябрь 2024'!$J$4:$J$2091,AD$1)</f>
        <v>0</v>
      </c>
      <c r="AE15" s="80">
        <f>SUMIFS('сентябрь 2024'!$G$4:$G$2091,'сентябрь 2024'!$D$4:$D$2091,$B15,'сентябрь 2024'!$J$4:$J$2091,AE$1)</f>
        <v>0</v>
      </c>
      <c r="AF15" s="80">
        <f>SUMIFS('сентябрь 2024'!$G$4:$G$2091,'сентябрь 2024'!$D$4:$D$2091,$B15,'сентябрь 2024'!$J$4:$J$2091,AF$1)</f>
        <v>0</v>
      </c>
      <c r="AG15" s="80">
        <f>SUMIFS('сентябрь 2024'!$G$4:$G$2091,'сентябрь 2024'!$D$4:$D$2091,$B15,'сентябрь 2024'!$J$4:$J$2091,AG$1)</f>
        <v>0</v>
      </c>
      <c r="AH15" s="80">
        <f>SUMIFS('сентябрь 2024'!$G$4:$G$2091,'сентябрь 2024'!$D$4:$D$2091,$B15,'сентябрь 2024'!$J$4:$J$2091,AH$1)</f>
        <v>0</v>
      </c>
      <c r="AI15" s="21">
        <f t="shared" si="1"/>
        <v>0</v>
      </c>
    </row>
    <row r="16" spans="2:35" ht="15" customHeight="1" x14ac:dyDescent="0.25">
      <c r="B16" s="81" t="s">
        <v>297</v>
      </c>
      <c r="C16" s="82">
        <v>22.7</v>
      </c>
      <c r="D16" s="80">
        <f>SUMIFS('сентябрь 2024'!$G$4:$G$2091,'сентябрь 2024'!$D$4:$D$2091,$B16,'сентябрь 2024'!$J$4:$J$2091,D$1)</f>
        <v>0</v>
      </c>
      <c r="E16" s="80">
        <f>SUMIFS('сентябрь 2024'!$G$4:$G$2091,'сентябрь 2024'!$D$4:$D$2091,$B16,'сентябрь 2024'!$J$4:$J$2091,E$1)</f>
        <v>0</v>
      </c>
      <c r="F16" s="80">
        <f>SUMIFS('сентябрь 2024'!$G$4:$G$2091,'сентябрь 2024'!$D$4:$D$2091,$B16,'сентябрь 2024'!$J$4:$J$2091,F$1)</f>
        <v>0</v>
      </c>
      <c r="G16" s="80">
        <f>SUMIFS('сентябрь 2024'!$G$4:$G$2091,'сентябрь 2024'!$D$4:$D$2091,$B16,'сентябрь 2024'!$J$4:$J$2091,G$1)</f>
        <v>0</v>
      </c>
      <c r="H16" s="80">
        <f>SUMIFS('сентябрь 2024'!$G$4:$G$2091,'сентябрь 2024'!$D$4:$D$2091,$B16,'сентябрь 2024'!$J$4:$J$2091,H$1)</f>
        <v>0</v>
      </c>
      <c r="I16" s="80">
        <f>SUMIFS('сентябрь 2024'!$G$4:$G$2091,'сентябрь 2024'!$D$4:$D$2091,$B16,'сентябрь 2024'!$J$4:$J$2091,I$1)</f>
        <v>0</v>
      </c>
      <c r="J16" s="80">
        <f>SUMIFS('сентябрь 2024'!$G$4:$G$2091,'сентябрь 2024'!$D$4:$D$2091,$B16,'сентябрь 2024'!$J$4:$J$2091,J$1)</f>
        <v>0</v>
      </c>
      <c r="K16" s="80">
        <f>SUMIFS('сентябрь 2024'!$G$4:$G$2091,'сентябрь 2024'!$D$4:$D$2091,$B16,'сентябрь 2024'!$J$4:$J$2091,K$1)</f>
        <v>0</v>
      </c>
      <c r="L16" s="80">
        <f>SUMIFS('сентябрь 2024'!$G$4:$G$2091,'сентябрь 2024'!$D$4:$D$2091,$B16,'сентябрь 2024'!$J$4:$J$2091,L$1)</f>
        <v>0</v>
      </c>
      <c r="M16" s="80">
        <f>SUMIFS('сентябрь 2024'!$G$4:$G$2091,'сентябрь 2024'!$D$4:$D$2091,$B16,'сентябрь 2024'!$J$4:$J$2091,M$1)</f>
        <v>0</v>
      </c>
      <c r="N16" s="80">
        <f>SUMIFS('сентябрь 2024'!$G$4:$G$2091,'сентябрь 2024'!$D$4:$D$2091,$B16,'сентябрь 2024'!$J$4:$J$2091,N$1)</f>
        <v>0</v>
      </c>
      <c r="O16" s="80">
        <f>SUMIFS('сентябрь 2024'!$G$4:$G$2091,'сентябрь 2024'!$D$4:$D$2091,$B16,'сентябрь 2024'!$J$4:$J$2091,O$1)</f>
        <v>0</v>
      </c>
      <c r="P16" s="80">
        <f>SUMIFS('сентябрь 2024'!$G$4:$G$2091,'сентябрь 2024'!$D$4:$D$2091,$B16,'сентябрь 2024'!$J$4:$J$2091,P$1)</f>
        <v>0</v>
      </c>
      <c r="Q16" s="80">
        <f>SUMIFS('сентябрь 2024'!$G$4:$G$2091,'сентябрь 2024'!$D$4:$D$2091,$B16,'сентябрь 2024'!$J$4:$J$2091,Q$1)</f>
        <v>0</v>
      </c>
      <c r="R16" s="80">
        <f>SUMIFS('сентябрь 2024'!$G$4:$G$2091,'сентябрь 2024'!$D$4:$D$2091,$B16,'сентябрь 2024'!$J$4:$J$2091,R$1)</f>
        <v>0</v>
      </c>
      <c r="S16" s="80">
        <f>SUMIFS('сентябрь 2024'!$G$4:$G$2091,'сентябрь 2024'!$D$4:$D$2091,$B16,'сентябрь 2024'!$J$4:$J$2091,S$1)</f>
        <v>0</v>
      </c>
      <c r="T16" s="80">
        <f>SUMIFS('сентябрь 2024'!$G$4:$G$2091,'сентябрь 2024'!$D$4:$D$2091,$B16,'сентябрь 2024'!$J$4:$J$2091,T$1)</f>
        <v>0</v>
      </c>
      <c r="U16" s="80">
        <f>SUMIFS('сентябрь 2024'!$G$4:$G$2091,'сентябрь 2024'!$D$4:$D$2091,$B16,'сентябрь 2024'!$J$4:$J$2091,U$1)</f>
        <v>0</v>
      </c>
      <c r="V16" s="80">
        <f>SUMIFS('сентябрь 2024'!$G$4:$G$2091,'сентябрь 2024'!$D$4:$D$2091,$B16,'сентябрь 2024'!$J$4:$J$2091,V$1)</f>
        <v>0</v>
      </c>
      <c r="W16" s="80">
        <f>SUMIFS('сентябрь 2024'!$G$4:$G$2091,'сентябрь 2024'!$D$4:$D$2091,$B16,'сентябрь 2024'!$J$4:$J$2091,W$1)</f>
        <v>0</v>
      </c>
      <c r="X16" s="80">
        <f>SUMIFS('сентябрь 2024'!$G$4:$G$2091,'сентябрь 2024'!$D$4:$D$2091,$B16,'сентябрь 2024'!$J$4:$J$2091,X$1)</f>
        <v>0</v>
      </c>
      <c r="Y16" s="80">
        <f>SUMIFS('сентябрь 2024'!$G$4:$G$2091,'сентябрь 2024'!$D$4:$D$2091,$B16,'сентябрь 2024'!$J$4:$J$2091,Y$1)</f>
        <v>0</v>
      </c>
      <c r="Z16" s="80">
        <f>SUMIFS('сентябрь 2024'!$G$4:$G$2091,'сентябрь 2024'!$D$4:$D$2091,$B16,'сентябрь 2024'!$J$4:$J$2091,Z$1)</f>
        <v>0</v>
      </c>
      <c r="AA16" s="80">
        <f>SUMIFS('сентябрь 2024'!$G$4:$G$2091,'сентябрь 2024'!$D$4:$D$2091,$B16,'сентябрь 2024'!$J$4:$J$2091,AA$1)</f>
        <v>0</v>
      </c>
      <c r="AB16" s="80">
        <f>SUMIFS('сентябрь 2024'!$G$4:$G$2091,'сентябрь 2024'!$D$4:$D$2091,$B16,'сентябрь 2024'!$J$4:$J$2091,AB$1)</f>
        <v>0</v>
      </c>
      <c r="AC16" s="80">
        <f>SUMIFS('сентябрь 2024'!$G$4:$G$2091,'сентябрь 2024'!$D$4:$D$2091,$B16,'сентябрь 2024'!$J$4:$J$2091,AC$1)</f>
        <v>0</v>
      </c>
      <c r="AD16" s="80">
        <f>SUMIFS('сентябрь 2024'!$G$4:$G$2091,'сентябрь 2024'!$D$4:$D$2091,$B16,'сентябрь 2024'!$J$4:$J$2091,AD$1)</f>
        <v>0</v>
      </c>
      <c r="AE16" s="80">
        <f>SUMIFS('сентябрь 2024'!$G$4:$G$2091,'сентябрь 2024'!$D$4:$D$2091,$B16,'сентябрь 2024'!$J$4:$J$2091,AE$1)</f>
        <v>0</v>
      </c>
      <c r="AF16" s="80">
        <f>SUMIFS('сентябрь 2024'!$G$4:$G$2091,'сентябрь 2024'!$D$4:$D$2091,$B16,'сентябрь 2024'!$J$4:$J$2091,AF$1)</f>
        <v>0</v>
      </c>
      <c r="AG16" s="80">
        <f>SUMIFS('сентябрь 2024'!$G$4:$G$2091,'сентябрь 2024'!$D$4:$D$2091,$B16,'сентябрь 2024'!$J$4:$J$2091,AG$1)</f>
        <v>0</v>
      </c>
      <c r="AH16" s="80">
        <f>SUMIFS('сентябрь 2024'!$G$4:$G$2091,'сентябрь 2024'!$D$4:$D$2091,$B16,'сентябрь 2024'!$J$4:$J$2091,AH$1)</f>
        <v>0</v>
      </c>
      <c r="AI16" s="21">
        <f t="shared" si="1"/>
        <v>0</v>
      </c>
    </row>
    <row r="17" spans="2:35" ht="15" customHeight="1" x14ac:dyDescent="0.25">
      <c r="B17" s="84" t="s">
        <v>299</v>
      </c>
      <c r="C17" s="85">
        <v>22.7</v>
      </c>
      <c r="D17" s="80">
        <f>SUMIFS('сентябрь 2024'!$G$4:$G$2091,'сентябрь 2024'!$D$4:$D$2091,$B17,'сентябрь 2024'!$J$4:$J$2091,D$1)</f>
        <v>0</v>
      </c>
      <c r="E17" s="80">
        <f>SUMIFS('сентябрь 2024'!$G$4:$G$2091,'сентябрь 2024'!$D$4:$D$2091,$B17,'сентябрь 2024'!$J$4:$J$2091,E$1)</f>
        <v>0</v>
      </c>
      <c r="F17" s="80">
        <f>SUMIFS('сентябрь 2024'!$G$4:$G$2091,'сентябрь 2024'!$D$4:$D$2091,$B17,'сентябрь 2024'!$J$4:$J$2091,F$1)</f>
        <v>0</v>
      </c>
      <c r="G17" s="80">
        <f>SUMIFS('сентябрь 2024'!$G$4:$G$2091,'сентябрь 2024'!$D$4:$D$2091,$B17,'сентябрь 2024'!$J$4:$J$2091,G$1)</f>
        <v>0</v>
      </c>
      <c r="H17" s="80">
        <f>SUMIFS('сентябрь 2024'!$G$4:$G$2091,'сентябрь 2024'!$D$4:$D$2091,$B17,'сентябрь 2024'!$J$4:$J$2091,H$1)</f>
        <v>0</v>
      </c>
      <c r="I17" s="80">
        <f>SUMIFS('сентябрь 2024'!$G$4:$G$2091,'сентябрь 2024'!$D$4:$D$2091,$B17,'сентябрь 2024'!$J$4:$J$2091,I$1)</f>
        <v>0</v>
      </c>
      <c r="J17" s="80">
        <f>SUMIFS('сентябрь 2024'!$G$4:$G$2091,'сентябрь 2024'!$D$4:$D$2091,$B17,'сентябрь 2024'!$J$4:$J$2091,J$1)</f>
        <v>0</v>
      </c>
      <c r="K17" s="80">
        <f>SUMIFS('сентябрь 2024'!$G$4:$G$2091,'сентябрь 2024'!$D$4:$D$2091,$B17,'сентябрь 2024'!$J$4:$J$2091,K$1)</f>
        <v>0</v>
      </c>
      <c r="L17" s="80">
        <f>SUMIFS('сентябрь 2024'!$G$4:$G$2091,'сентябрь 2024'!$D$4:$D$2091,$B17,'сентябрь 2024'!$J$4:$J$2091,L$1)</f>
        <v>0</v>
      </c>
      <c r="M17" s="80">
        <f>SUMIFS('сентябрь 2024'!$G$4:$G$2091,'сентябрь 2024'!$D$4:$D$2091,$B17,'сентябрь 2024'!$J$4:$J$2091,M$1)</f>
        <v>0</v>
      </c>
      <c r="N17" s="80">
        <f>SUMIFS('сентябрь 2024'!$G$4:$G$2091,'сентябрь 2024'!$D$4:$D$2091,$B17,'сентябрь 2024'!$J$4:$J$2091,N$1)</f>
        <v>0</v>
      </c>
      <c r="O17" s="80">
        <f>SUMIFS('сентябрь 2024'!$G$4:$G$2091,'сентябрь 2024'!$D$4:$D$2091,$B17,'сентябрь 2024'!$J$4:$J$2091,O$1)</f>
        <v>0</v>
      </c>
      <c r="P17" s="80">
        <f>SUMIFS('сентябрь 2024'!$G$4:$G$2091,'сентябрь 2024'!$D$4:$D$2091,$B17,'сентябрь 2024'!$J$4:$J$2091,P$1)</f>
        <v>0</v>
      </c>
      <c r="Q17" s="80">
        <f>SUMIFS('сентябрь 2024'!$G$4:$G$2091,'сентябрь 2024'!$D$4:$D$2091,$B17,'сентябрь 2024'!$J$4:$J$2091,Q$1)</f>
        <v>0</v>
      </c>
      <c r="R17" s="80">
        <f>SUMIFS('сентябрь 2024'!$G$4:$G$2091,'сентябрь 2024'!$D$4:$D$2091,$B17,'сентябрь 2024'!$J$4:$J$2091,R$1)</f>
        <v>0</v>
      </c>
      <c r="S17" s="80">
        <f>SUMIFS('сентябрь 2024'!$G$4:$G$2091,'сентябрь 2024'!$D$4:$D$2091,$B17,'сентябрь 2024'!$J$4:$J$2091,S$1)</f>
        <v>0</v>
      </c>
      <c r="T17" s="80">
        <f>SUMIFS('сентябрь 2024'!$G$4:$G$2091,'сентябрь 2024'!$D$4:$D$2091,$B17,'сентябрь 2024'!$J$4:$J$2091,T$1)</f>
        <v>0</v>
      </c>
      <c r="U17" s="80">
        <f>SUMIFS('сентябрь 2024'!$G$4:$G$2091,'сентябрь 2024'!$D$4:$D$2091,$B17,'сентябрь 2024'!$J$4:$J$2091,U$1)</f>
        <v>0</v>
      </c>
      <c r="V17" s="80">
        <f>SUMIFS('сентябрь 2024'!$G$4:$G$2091,'сентябрь 2024'!$D$4:$D$2091,$B17,'сентябрь 2024'!$J$4:$J$2091,V$1)</f>
        <v>0</v>
      </c>
      <c r="W17" s="80">
        <f>SUMIFS('сентябрь 2024'!$G$4:$G$2091,'сентябрь 2024'!$D$4:$D$2091,$B17,'сентябрь 2024'!$J$4:$J$2091,W$1)</f>
        <v>0</v>
      </c>
      <c r="X17" s="80">
        <f>SUMIFS('сентябрь 2024'!$G$4:$G$2091,'сентябрь 2024'!$D$4:$D$2091,$B17,'сентябрь 2024'!$J$4:$J$2091,X$1)</f>
        <v>0</v>
      </c>
      <c r="Y17" s="80">
        <f>SUMIFS('сентябрь 2024'!$G$4:$G$2091,'сентябрь 2024'!$D$4:$D$2091,$B17,'сентябрь 2024'!$J$4:$J$2091,Y$1)</f>
        <v>0</v>
      </c>
      <c r="Z17" s="80">
        <f>SUMIFS('сентябрь 2024'!$G$4:$G$2091,'сентябрь 2024'!$D$4:$D$2091,$B17,'сентябрь 2024'!$J$4:$J$2091,Z$1)</f>
        <v>0</v>
      </c>
      <c r="AA17" s="80">
        <f>SUMIFS('сентябрь 2024'!$G$4:$G$2091,'сентябрь 2024'!$D$4:$D$2091,$B17,'сентябрь 2024'!$J$4:$J$2091,AA$1)</f>
        <v>0</v>
      </c>
      <c r="AB17" s="80">
        <f>SUMIFS('сентябрь 2024'!$G$4:$G$2091,'сентябрь 2024'!$D$4:$D$2091,$B17,'сентябрь 2024'!$J$4:$J$2091,AB$1)</f>
        <v>0</v>
      </c>
      <c r="AC17" s="80">
        <f>SUMIFS('сентябрь 2024'!$G$4:$G$2091,'сентябрь 2024'!$D$4:$D$2091,$B17,'сентябрь 2024'!$J$4:$J$2091,AC$1)</f>
        <v>0</v>
      </c>
      <c r="AD17" s="80">
        <f>SUMIFS('сентябрь 2024'!$G$4:$G$2091,'сентябрь 2024'!$D$4:$D$2091,$B17,'сентябрь 2024'!$J$4:$J$2091,AD$1)</f>
        <v>0</v>
      </c>
      <c r="AE17" s="80">
        <f>SUMIFS('сентябрь 2024'!$G$4:$G$2091,'сентябрь 2024'!$D$4:$D$2091,$B17,'сентябрь 2024'!$J$4:$J$2091,AE$1)</f>
        <v>0</v>
      </c>
      <c r="AF17" s="80">
        <f>SUMIFS('сентябрь 2024'!$G$4:$G$2091,'сентябрь 2024'!$D$4:$D$2091,$B17,'сентябрь 2024'!$J$4:$J$2091,AF$1)</f>
        <v>0</v>
      </c>
      <c r="AG17" s="80">
        <f>SUMIFS('сентябрь 2024'!$G$4:$G$2091,'сентябрь 2024'!$D$4:$D$2091,$B17,'сентябрь 2024'!$J$4:$J$2091,AG$1)</f>
        <v>0</v>
      </c>
      <c r="AH17" s="80">
        <f>SUMIFS('сентябрь 2024'!$G$4:$G$2091,'сентябрь 2024'!$D$4:$D$2091,$B17,'сентябрь 2024'!$J$4:$J$2091,AH$1)</f>
        <v>0</v>
      </c>
      <c r="AI17" s="21">
        <f t="shared" si="1"/>
        <v>0</v>
      </c>
    </row>
    <row r="18" spans="2:35" ht="15" customHeight="1" x14ac:dyDescent="0.25">
      <c r="B18" s="84" t="s">
        <v>301</v>
      </c>
      <c r="C18" s="85">
        <v>25</v>
      </c>
      <c r="D18" s="80">
        <f>SUMIFS('сентябрь 2024'!$G$4:$G$2091,'сентябрь 2024'!$D$4:$D$2091,$B18,'сентябрь 2024'!$J$4:$J$2091,D$1)</f>
        <v>0</v>
      </c>
      <c r="E18" s="80">
        <f>SUMIFS('сентябрь 2024'!$G$4:$G$2091,'сентябрь 2024'!$D$4:$D$2091,$B18,'сентябрь 2024'!$J$4:$J$2091,E$1)</f>
        <v>0</v>
      </c>
      <c r="F18" s="80">
        <f>SUMIFS('сентябрь 2024'!$G$4:$G$2091,'сентябрь 2024'!$D$4:$D$2091,$B18,'сентябрь 2024'!$J$4:$J$2091,F$1)</f>
        <v>0</v>
      </c>
      <c r="G18" s="80">
        <f>SUMIFS('сентябрь 2024'!$G$4:$G$2091,'сентябрь 2024'!$D$4:$D$2091,$B18,'сентябрь 2024'!$J$4:$J$2091,G$1)</f>
        <v>0</v>
      </c>
      <c r="H18" s="80">
        <f>SUMIFS('сентябрь 2024'!$G$4:$G$2091,'сентябрь 2024'!$D$4:$D$2091,$B18,'сентябрь 2024'!$J$4:$J$2091,H$1)</f>
        <v>0</v>
      </c>
      <c r="I18" s="80">
        <f>SUMIFS('сентябрь 2024'!$G$4:$G$2091,'сентябрь 2024'!$D$4:$D$2091,$B18,'сентябрь 2024'!$J$4:$J$2091,I$1)</f>
        <v>1400</v>
      </c>
      <c r="J18" s="80">
        <f>SUMIFS('сентябрь 2024'!$G$4:$G$2091,'сентябрь 2024'!$D$4:$D$2091,$B18,'сентябрь 2024'!$J$4:$J$2091,J$1)</f>
        <v>0</v>
      </c>
      <c r="K18" s="80">
        <f>SUMIFS('сентябрь 2024'!$G$4:$G$2091,'сентябрь 2024'!$D$4:$D$2091,$B18,'сентябрь 2024'!$J$4:$J$2091,K$1)</f>
        <v>0</v>
      </c>
      <c r="L18" s="80">
        <f>SUMIFS('сентябрь 2024'!$G$4:$G$2091,'сентябрь 2024'!$D$4:$D$2091,$B18,'сентябрь 2024'!$J$4:$J$2091,L$1)</f>
        <v>0</v>
      </c>
      <c r="M18" s="80">
        <f>SUMIFS('сентябрь 2024'!$G$4:$G$2091,'сентябрь 2024'!$D$4:$D$2091,$B18,'сентябрь 2024'!$J$4:$J$2091,M$1)</f>
        <v>0</v>
      </c>
      <c r="N18" s="80">
        <f>SUMIFS('сентябрь 2024'!$G$4:$G$2091,'сентябрь 2024'!$D$4:$D$2091,$B18,'сентябрь 2024'!$J$4:$J$2091,N$1)</f>
        <v>0</v>
      </c>
      <c r="O18" s="80">
        <f>SUMIFS('сентябрь 2024'!$G$4:$G$2091,'сентябрь 2024'!$D$4:$D$2091,$B18,'сентябрь 2024'!$J$4:$J$2091,O$1)</f>
        <v>0</v>
      </c>
      <c r="P18" s="80">
        <f>SUMIFS('сентябрь 2024'!$G$4:$G$2091,'сентябрь 2024'!$D$4:$D$2091,$B18,'сентябрь 2024'!$J$4:$J$2091,P$1)</f>
        <v>0</v>
      </c>
      <c r="Q18" s="80">
        <f>SUMIFS('сентябрь 2024'!$G$4:$G$2091,'сентябрь 2024'!$D$4:$D$2091,$B18,'сентябрь 2024'!$J$4:$J$2091,Q$1)</f>
        <v>0</v>
      </c>
      <c r="R18" s="80">
        <f>SUMIFS('сентябрь 2024'!$G$4:$G$2091,'сентябрь 2024'!$D$4:$D$2091,$B18,'сентябрь 2024'!$J$4:$J$2091,R$1)</f>
        <v>0</v>
      </c>
      <c r="S18" s="80">
        <f>SUMIFS('сентябрь 2024'!$G$4:$G$2091,'сентябрь 2024'!$D$4:$D$2091,$B18,'сентябрь 2024'!$J$4:$J$2091,S$1)</f>
        <v>0</v>
      </c>
      <c r="T18" s="80">
        <f>SUMIFS('сентябрь 2024'!$G$4:$G$2091,'сентябрь 2024'!$D$4:$D$2091,$B18,'сентябрь 2024'!$J$4:$J$2091,T$1)</f>
        <v>0</v>
      </c>
      <c r="U18" s="80">
        <f>SUMIFS('сентябрь 2024'!$G$4:$G$2091,'сентябрь 2024'!$D$4:$D$2091,$B18,'сентябрь 2024'!$J$4:$J$2091,U$1)</f>
        <v>0</v>
      </c>
      <c r="V18" s="80">
        <f>SUMIFS('сентябрь 2024'!$G$4:$G$2091,'сентябрь 2024'!$D$4:$D$2091,$B18,'сентябрь 2024'!$J$4:$J$2091,V$1)</f>
        <v>0</v>
      </c>
      <c r="W18" s="80">
        <f>SUMIFS('сентябрь 2024'!$G$4:$G$2091,'сентябрь 2024'!$D$4:$D$2091,$B18,'сентябрь 2024'!$J$4:$J$2091,W$1)</f>
        <v>0</v>
      </c>
      <c r="X18" s="80">
        <f>SUMIFS('сентябрь 2024'!$G$4:$G$2091,'сентябрь 2024'!$D$4:$D$2091,$B18,'сентябрь 2024'!$J$4:$J$2091,X$1)</f>
        <v>0</v>
      </c>
      <c r="Y18" s="80">
        <f>SUMIFS('сентябрь 2024'!$G$4:$G$2091,'сентябрь 2024'!$D$4:$D$2091,$B18,'сентябрь 2024'!$J$4:$J$2091,Y$1)</f>
        <v>0</v>
      </c>
      <c r="Z18" s="80">
        <f>SUMIFS('сентябрь 2024'!$G$4:$G$2091,'сентябрь 2024'!$D$4:$D$2091,$B18,'сентябрь 2024'!$J$4:$J$2091,Z$1)</f>
        <v>0</v>
      </c>
      <c r="AA18" s="80">
        <f>SUMIFS('сентябрь 2024'!$G$4:$G$2091,'сентябрь 2024'!$D$4:$D$2091,$B18,'сентябрь 2024'!$J$4:$J$2091,AA$1)</f>
        <v>0</v>
      </c>
      <c r="AB18" s="80">
        <f>SUMIFS('сентябрь 2024'!$G$4:$G$2091,'сентябрь 2024'!$D$4:$D$2091,$B18,'сентябрь 2024'!$J$4:$J$2091,AB$1)</f>
        <v>0</v>
      </c>
      <c r="AC18" s="80">
        <f>SUMIFS('сентябрь 2024'!$G$4:$G$2091,'сентябрь 2024'!$D$4:$D$2091,$B18,'сентябрь 2024'!$J$4:$J$2091,AC$1)</f>
        <v>0</v>
      </c>
      <c r="AD18" s="80">
        <f>SUMIFS('сентябрь 2024'!$G$4:$G$2091,'сентябрь 2024'!$D$4:$D$2091,$B18,'сентябрь 2024'!$J$4:$J$2091,AD$1)</f>
        <v>0</v>
      </c>
      <c r="AE18" s="80">
        <f>SUMIFS('сентябрь 2024'!$G$4:$G$2091,'сентябрь 2024'!$D$4:$D$2091,$B18,'сентябрь 2024'!$J$4:$J$2091,AE$1)</f>
        <v>0</v>
      </c>
      <c r="AF18" s="80">
        <f>SUMIFS('сентябрь 2024'!$G$4:$G$2091,'сентябрь 2024'!$D$4:$D$2091,$B18,'сентябрь 2024'!$J$4:$J$2091,AF$1)</f>
        <v>0</v>
      </c>
      <c r="AG18" s="80">
        <f>SUMIFS('сентябрь 2024'!$G$4:$G$2091,'сентябрь 2024'!$D$4:$D$2091,$B18,'сентябрь 2024'!$J$4:$J$2091,AG$1)</f>
        <v>0</v>
      </c>
      <c r="AH18" s="80">
        <f>SUMIFS('сентябрь 2024'!$G$4:$G$2091,'сентябрь 2024'!$D$4:$D$2091,$B18,'сентябрь 2024'!$J$4:$J$2091,AH$1)</f>
        <v>0</v>
      </c>
      <c r="AI18" s="21">
        <f t="shared" si="1"/>
        <v>1400</v>
      </c>
    </row>
    <row r="19" spans="2:35" ht="15" customHeight="1" x14ac:dyDescent="0.25">
      <c r="B19" s="81" t="s">
        <v>303</v>
      </c>
      <c r="C19" s="82">
        <v>25</v>
      </c>
      <c r="D19" s="80">
        <f>SUMIFS('сентябрь 2024'!$G$4:$G$2091,'сентябрь 2024'!$D$4:$D$2091,$B19,'сентябрь 2024'!$J$4:$J$2091,D$1)</f>
        <v>0</v>
      </c>
      <c r="E19" s="80">
        <f>SUMIFS('сентябрь 2024'!$G$4:$G$2091,'сентябрь 2024'!$D$4:$D$2091,$B19,'сентябрь 2024'!$J$4:$J$2091,E$1)</f>
        <v>0</v>
      </c>
      <c r="F19" s="80">
        <f>SUMIFS('сентябрь 2024'!$G$4:$G$2091,'сентябрь 2024'!$D$4:$D$2091,$B19,'сентябрь 2024'!$J$4:$J$2091,F$1)</f>
        <v>0</v>
      </c>
      <c r="G19" s="80">
        <f>SUMIFS('сентябрь 2024'!$G$4:$G$2091,'сентябрь 2024'!$D$4:$D$2091,$B19,'сентябрь 2024'!$J$4:$J$2091,G$1)</f>
        <v>0</v>
      </c>
      <c r="H19" s="80">
        <f>SUMIFS('сентябрь 2024'!$G$4:$G$2091,'сентябрь 2024'!$D$4:$D$2091,$B19,'сентябрь 2024'!$J$4:$J$2091,H$1)</f>
        <v>0</v>
      </c>
      <c r="I19" s="80">
        <f>SUMIFS('сентябрь 2024'!$G$4:$G$2091,'сентябрь 2024'!$D$4:$D$2091,$B19,'сентябрь 2024'!$J$4:$J$2091,I$1)</f>
        <v>0</v>
      </c>
      <c r="J19" s="80">
        <f>SUMIFS('сентябрь 2024'!$G$4:$G$2091,'сентябрь 2024'!$D$4:$D$2091,$B19,'сентябрь 2024'!$J$4:$J$2091,J$1)</f>
        <v>0</v>
      </c>
      <c r="K19" s="80">
        <f>SUMIFS('сентябрь 2024'!$G$4:$G$2091,'сентябрь 2024'!$D$4:$D$2091,$B19,'сентябрь 2024'!$J$4:$J$2091,K$1)</f>
        <v>0</v>
      </c>
      <c r="L19" s="80">
        <f>SUMIFS('сентябрь 2024'!$G$4:$G$2091,'сентябрь 2024'!$D$4:$D$2091,$B19,'сентябрь 2024'!$J$4:$J$2091,L$1)</f>
        <v>0</v>
      </c>
      <c r="M19" s="80">
        <f>SUMIFS('сентябрь 2024'!$G$4:$G$2091,'сентябрь 2024'!$D$4:$D$2091,$B19,'сентябрь 2024'!$J$4:$J$2091,M$1)</f>
        <v>0</v>
      </c>
      <c r="N19" s="80">
        <f>SUMIFS('сентябрь 2024'!$G$4:$G$2091,'сентябрь 2024'!$D$4:$D$2091,$B19,'сентябрь 2024'!$J$4:$J$2091,N$1)</f>
        <v>0</v>
      </c>
      <c r="O19" s="80">
        <f>SUMIFS('сентябрь 2024'!$G$4:$G$2091,'сентябрь 2024'!$D$4:$D$2091,$B19,'сентябрь 2024'!$J$4:$J$2091,O$1)</f>
        <v>0</v>
      </c>
      <c r="P19" s="80">
        <f>SUMIFS('сентябрь 2024'!$G$4:$G$2091,'сентябрь 2024'!$D$4:$D$2091,$B19,'сентябрь 2024'!$J$4:$J$2091,P$1)</f>
        <v>0</v>
      </c>
      <c r="Q19" s="80">
        <f>SUMIFS('сентябрь 2024'!$G$4:$G$2091,'сентябрь 2024'!$D$4:$D$2091,$B19,'сентябрь 2024'!$J$4:$J$2091,Q$1)</f>
        <v>0</v>
      </c>
      <c r="R19" s="80">
        <f>SUMIFS('сентябрь 2024'!$G$4:$G$2091,'сентябрь 2024'!$D$4:$D$2091,$B19,'сентябрь 2024'!$J$4:$J$2091,R$1)</f>
        <v>0</v>
      </c>
      <c r="S19" s="80">
        <f>SUMIFS('сентябрь 2024'!$G$4:$G$2091,'сентябрь 2024'!$D$4:$D$2091,$B19,'сентябрь 2024'!$J$4:$J$2091,S$1)</f>
        <v>0</v>
      </c>
      <c r="T19" s="80">
        <f>SUMIFS('сентябрь 2024'!$G$4:$G$2091,'сентябрь 2024'!$D$4:$D$2091,$B19,'сентябрь 2024'!$J$4:$J$2091,T$1)</f>
        <v>0</v>
      </c>
      <c r="U19" s="80">
        <f>SUMIFS('сентябрь 2024'!$G$4:$G$2091,'сентябрь 2024'!$D$4:$D$2091,$B19,'сентябрь 2024'!$J$4:$J$2091,U$1)</f>
        <v>0</v>
      </c>
      <c r="V19" s="80">
        <f>SUMIFS('сентябрь 2024'!$G$4:$G$2091,'сентябрь 2024'!$D$4:$D$2091,$B19,'сентябрь 2024'!$J$4:$J$2091,V$1)</f>
        <v>0</v>
      </c>
      <c r="W19" s="80">
        <f>SUMIFS('сентябрь 2024'!$G$4:$G$2091,'сентябрь 2024'!$D$4:$D$2091,$B19,'сентябрь 2024'!$J$4:$J$2091,W$1)</f>
        <v>0</v>
      </c>
      <c r="X19" s="80">
        <f>SUMIFS('сентябрь 2024'!$G$4:$G$2091,'сентябрь 2024'!$D$4:$D$2091,$B19,'сентябрь 2024'!$J$4:$J$2091,X$1)</f>
        <v>0</v>
      </c>
      <c r="Y19" s="80">
        <f>SUMIFS('сентябрь 2024'!$G$4:$G$2091,'сентябрь 2024'!$D$4:$D$2091,$B19,'сентябрь 2024'!$J$4:$J$2091,Y$1)</f>
        <v>0</v>
      </c>
      <c r="Z19" s="80">
        <f>SUMIFS('сентябрь 2024'!$G$4:$G$2091,'сентябрь 2024'!$D$4:$D$2091,$B19,'сентябрь 2024'!$J$4:$J$2091,Z$1)</f>
        <v>0</v>
      </c>
      <c r="AA19" s="80">
        <f>SUMIFS('сентябрь 2024'!$G$4:$G$2091,'сентябрь 2024'!$D$4:$D$2091,$B19,'сентябрь 2024'!$J$4:$J$2091,AA$1)</f>
        <v>0</v>
      </c>
      <c r="AB19" s="80">
        <f>SUMIFS('сентябрь 2024'!$G$4:$G$2091,'сентябрь 2024'!$D$4:$D$2091,$B19,'сентябрь 2024'!$J$4:$J$2091,AB$1)</f>
        <v>0</v>
      </c>
      <c r="AC19" s="80">
        <f>SUMIFS('сентябрь 2024'!$G$4:$G$2091,'сентябрь 2024'!$D$4:$D$2091,$B19,'сентябрь 2024'!$J$4:$J$2091,AC$1)</f>
        <v>0</v>
      </c>
      <c r="AD19" s="80">
        <f>SUMIFS('сентябрь 2024'!$G$4:$G$2091,'сентябрь 2024'!$D$4:$D$2091,$B19,'сентябрь 2024'!$J$4:$J$2091,AD$1)</f>
        <v>0</v>
      </c>
      <c r="AE19" s="80">
        <f>SUMIFS('сентябрь 2024'!$G$4:$G$2091,'сентябрь 2024'!$D$4:$D$2091,$B19,'сентябрь 2024'!$J$4:$J$2091,AE$1)</f>
        <v>0</v>
      </c>
      <c r="AF19" s="80">
        <f>SUMIFS('сентябрь 2024'!$G$4:$G$2091,'сентябрь 2024'!$D$4:$D$2091,$B19,'сентябрь 2024'!$J$4:$J$2091,AF$1)</f>
        <v>0</v>
      </c>
      <c r="AG19" s="80">
        <f>SUMIFS('сентябрь 2024'!$G$4:$G$2091,'сентябрь 2024'!$D$4:$D$2091,$B19,'сентябрь 2024'!$J$4:$J$2091,AG$1)</f>
        <v>0</v>
      </c>
      <c r="AH19" s="80">
        <f>SUMIFS('сентябрь 2024'!$G$4:$G$2091,'сентябрь 2024'!$D$4:$D$2091,$B19,'сентябрь 2024'!$J$4:$J$2091,AH$1)</f>
        <v>0</v>
      </c>
      <c r="AI19" s="21">
        <f t="shared" si="1"/>
        <v>0</v>
      </c>
    </row>
    <row r="20" spans="2:35" ht="15" customHeight="1" x14ac:dyDescent="0.25">
      <c r="B20" s="81" t="s">
        <v>305</v>
      </c>
      <c r="C20" s="82">
        <v>25</v>
      </c>
      <c r="D20" s="80">
        <f>SUMIFS('сентябрь 2024'!$G$4:$G$2091,'сентябрь 2024'!$D$4:$D$2091,$B20,'сентябрь 2024'!$J$4:$J$2091,D$1)</f>
        <v>0</v>
      </c>
      <c r="E20" s="80">
        <f>SUMIFS('сентябрь 2024'!$G$4:$G$2091,'сентябрь 2024'!$D$4:$D$2091,$B20,'сентябрь 2024'!$J$4:$J$2091,E$1)</f>
        <v>0</v>
      </c>
      <c r="F20" s="80">
        <f>SUMIFS('сентябрь 2024'!$G$4:$G$2091,'сентябрь 2024'!$D$4:$D$2091,$B20,'сентябрь 2024'!$J$4:$J$2091,F$1)</f>
        <v>0</v>
      </c>
      <c r="G20" s="80">
        <f>SUMIFS('сентябрь 2024'!$G$4:$G$2091,'сентябрь 2024'!$D$4:$D$2091,$B20,'сентябрь 2024'!$J$4:$J$2091,G$1)</f>
        <v>0</v>
      </c>
      <c r="H20" s="80">
        <f>SUMIFS('сентябрь 2024'!$G$4:$G$2091,'сентябрь 2024'!$D$4:$D$2091,$B20,'сентябрь 2024'!$J$4:$J$2091,H$1)</f>
        <v>0</v>
      </c>
      <c r="I20" s="80">
        <f>SUMIFS('сентябрь 2024'!$G$4:$G$2091,'сентябрь 2024'!$D$4:$D$2091,$B20,'сентябрь 2024'!$J$4:$J$2091,I$1)</f>
        <v>0</v>
      </c>
      <c r="J20" s="80">
        <f>SUMIFS('сентябрь 2024'!$G$4:$G$2091,'сентябрь 2024'!$D$4:$D$2091,$B20,'сентябрь 2024'!$J$4:$J$2091,J$1)</f>
        <v>0</v>
      </c>
      <c r="K20" s="80">
        <f>SUMIFS('сентябрь 2024'!$G$4:$G$2091,'сентябрь 2024'!$D$4:$D$2091,$B20,'сентябрь 2024'!$J$4:$J$2091,K$1)</f>
        <v>0</v>
      </c>
      <c r="L20" s="80">
        <f>SUMIFS('сентябрь 2024'!$G$4:$G$2091,'сентябрь 2024'!$D$4:$D$2091,$B20,'сентябрь 2024'!$J$4:$J$2091,L$1)</f>
        <v>0</v>
      </c>
      <c r="M20" s="80">
        <f>SUMIFS('сентябрь 2024'!$G$4:$G$2091,'сентябрь 2024'!$D$4:$D$2091,$B20,'сентябрь 2024'!$J$4:$J$2091,M$1)</f>
        <v>0</v>
      </c>
      <c r="N20" s="80">
        <f>SUMIFS('сентябрь 2024'!$G$4:$G$2091,'сентябрь 2024'!$D$4:$D$2091,$B20,'сентябрь 2024'!$J$4:$J$2091,N$1)</f>
        <v>0</v>
      </c>
      <c r="O20" s="80">
        <f>SUMIFS('сентябрь 2024'!$G$4:$G$2091,'сентябрь 2024'!$D$4:$D$2091,$B20,'сентябрь 2024'!$J$4:$J$2091,O$1)</f>
        <v>0</v>
      </c>
      <c r="P20" s="80">
        <f>SUMIFS('сентябрь 2024'!$G$4:$G$2091,'сентябрь 2024'!$D$4:$D$2091,$B20,'сентябрь 2024'!$J$4:$J$2091,P$1)</f>
        <v>0</v>
      </c>
      <c r="Q20" s="80">
        <f>SUMIFS('сентябрь 2024'!$G$4:$G$2091,'сентябрь 2024'!$D$4:$D$2091,$B20,'сентябрь 2024'!$J$4:$J$2091,Q$1)</f>
        <v>0</v>
      </c>
      <c r="R20" s="80">
        <f>SUMIFS('сентябрь 2024'!$G$4:$G$2091,'сентябрь 2024'!$D$4:$D$2091,$B20,'сентябрь 2024'!$J$4:$J$2091,R$1)</f>
        <v>0</v>
      </c>
      <c r="S20" s="80">
        <f>SUMIFS('сентябрь 2024'!$G$4:$G$2091,'сентябрь 2024'!$D$4:$D$2091,$B20,'сентябрь 2024'!$J$4:$J$2091,S$1)</f>
        <v>0</v>
      </c>
      <c r="T20" s="80">
        <f>SUMIFS('сентябрь 2024'!$G$4:$G$2091,'сентябрь 2024'!$D$4:$D$2091,$B20,'сентябрь 2024'!$J$4:$J$2091,T$1)</f>
        <v>0</v>
      </c>
      <c r="U20" s="80">
        <f>SUMIFS('сентябрь 2024'!$G$4:$G$2091,'сентябрь 2024'!$D$4:$D$2091,$B20,'сентябрь 2024'!$J$4:$J$2091,U$1)</f>
        <v>0</v>
      </c>
      <c r="V20" s="80">
        <f>SUMIFS('сентябрь 2024'!$G$4:$G$2091,'сентябрь 2024'!$D$4:$D$2091,$B20,'сентябрь 2024'!$J$4:$J$2091,V$1)</f>
        <v>0</v>
      </c>
      <c r="W20" s="80">
        <f>SUMIFS('сентябрь 2024'!$G$4:$G$2091,'сентябрь 2024'!$D$4:$D$2091,$B20,'сентябрь 2024'!$J$4:$J$2091,W$1)</f>
        <v>0</v>
      </c>
      <c r="X20" s="80">
        <f>SUMIFS('сентябрь 2024'!$G$4:$G$2091,'сентябрь 2024'!$D$4:$D$2091,$B20,'сентябрь 2024'!$J$4:$J$2091,X$1)</f>
        <v>0</v>
      </c>
      <c r="Y20" s="80">
        <f>SUMIFS('сентябрь 2024'!$G$4:$G$2091,'сентябрь 2024'!$D$4:$D$2091,$B20,'сентябрь 2024'!$J$4:$J$2091,Y$1)</f>
        <v>0</v>
      </c>
      <c r="Z20" s="80">
        <f>SUMIFS('сентябрь 2024'!$G$4:$G$2091,'сентябрь 2024'!$D$4:$D$2091,$B20,'сентябрь 2024'!$J$4:$J$2091,Z$1)</f>
        <v>0</v>
      </c>
      <c r="AA20" s="80">
        <f>SUMIFS('сентябрь 2024'!$G$4:$G$2091,'сентябрь 2024'!$D$4:$D$2091,$B20,'сентябрь 2024'!$J$4:$J$2091,AA$1)</f>
        <v>0</v>
      </c>
      <c r="AB20" s="80">
        <f>SUMIFS('сентябрь 2024'!$G$4:$G$2091,'сентябрь 2024'!$D$4:$D$2091,$B20,'сентябрь 2024'!$J$4:$J$2091,AB$1)</f>
        <v>0</v>
      </c>
      <c r="AC20" s="80">
        <f>SUMIFS('сентябрь 2024'!$G$4:$G$2091,'сентябрь 2024'!$D$4:$D$2091,$B20,'сентябрь 2024'!$J$4:$J$2091,AC$1)</f>
        <v>0</v>
      </c>
      <c r="AD20" s="80">
        <f>SUMIFS('сентябрь 2024'!$G$4:$G$2091,'сентябрь 2024'!$D$4:$D$2091,$B20,'сентябрь 2024'!$J$4:$J$2091,AD$1)</f>
        <v>0</v>
      </c>
      <c r="AE20" s="80">
        <f>SUMIFS('сентябрь 2024'!$G$4:$G$2091,'сентябрь 2024'!$D$4:$D$2091,$B20,'сентябрь 2024'!$J$4:$J$2091,AE$1)</f>
        <v>0</v>
      </c>
      <c r="AF20" s="80">
        <f>SUMIFS('сентябрь 2024'!$G$4:$G$2091,'сентябрь 2024'!$D$4:$D$2091,$B20,'сентябрь 2024'!$J$4:$J$2091,AF$1)</f>
        <v>0</v>
      </c>
      <c r="AG20" s="80">
        <f>SUMIFS('сентябрь 2024'!$G$4:$G$2091,'сентябрь 2024'!$D$4:$D$2091,$B20,'сентябрь 2024'!$J$4:$J$2091,AG$1)</f>
        <v>0</v>
      </c>
      <c r="AH20" s="80">
        <f>SUMIFS('сентябрь 2024'!$G$4:$G$2091,'сентябрь 2024'!$D$4:$D$2091,$B20,'сентябрь 2024'!$J$4:$J$2091,AH$1)</f>
        <v>0</v>
      </c>
      <c r="AI20" s="21">
        <f t="shared" si="1"/>
        <v>0</v>
      </c>
    </row>
    <row r="21" spans="2:35" ht="15" customHeight="1" x14ac:dyDescent="0.25">
      <c r="B21" s="81" t="s">
        <v>307</v>
      </c>
      <c r="C21" s="82">
        <v>25</v>
      </c>
      <c r="D21" s="80">
        <f>SUMIFS('сентябрь 2024'!$G$4:$G$2091,'сентябрь 2024'!$D$4:$D$2091,$B21,'сентябрь 2024'!$J$4:$J$2091,D$1)</f>
        <v>0</v>
      </c>
      <c r="E21" s="80">
        <f>SUMIFS('сентябрь 2024'!$G$4:$G$2091,'сентябрь 2024'!$D$4:$D$2091,$B21,'сентябрь 2024'!$J$4:$J$2091,E$1)</f>
        <v>0</v>
      </c>
      <c r="F21" s="80">
        <f>SUMIFS('сентябрь 2024'!$G$4:$G$2091,'сентябрь 2024'!$D$4:$D$2091,$B21,'сентябрь 2024'!$J$4:$J$2091,F$1)</f>
        <v>0</v>
      </c>
      <c r="G21" s="80">
        <f>SUMIFS('сентябрь 2024'!$G$4:$G$2091,'сентябрь 2024'!$D$4:$D$2091,$B21,'сентябрь 2024'!$J$4:$J$2091,G$1)</f>
        <v>0</v>
      </c>
      <c r="H21" s="80">
        <f>SUMIFS('сентябрь 2024'!$G$4:$G$2091,'сентябрь 2024'!$D$4:$D$2091,$B21,'сентябрь 2024'!$J$4:$J$2091,H$1)</f>
        <v>0</v>
      </c>
      <c r="I21" s="80">
        <f>SUMIFS('сентябрь 2024'!$G$4:$G$2091,'сентябрь 2024'!$D$4:$D$2091,$B21,'сентябрь 2024'!$J$4:$J$2091,I$1)</f>
        <v>0</v>
      </c>
      <c r="J21" s="80">
        <f>SUMIFS('сентябрь 2024'!$G$4:$G$2091,'сентябрь 2024'!$D$4:$D$2091,$B21,'сентябрь 2024'!$J$4:$J$2091,J$1)</f>
        <v>0</v>
      </c>
      <c r="K21" s="80">
        <f>SUMIFS('сентябрь 2024'!$G$4:$G$2091,'сентябрь 2024'!$D$4:$D$2091,$B21,'сентябрь 2024'!$J$4:$J$2091,K$1)</f>
        <v>0</v>
      </c>
      <c r="L21" s="80">
        <f>SUMIFS('сентябрь 2024'!$G$4:$G$2091,'сентябрь 2024'!$D$4:$D$2091,$B21,'сентябрь 2024'!$J$4:$J$2091,L$1)</f>
        <v>0</v>
      </c>
      <c r="M21" s="80">
        <f>SUMIFS('сентябрь 2024'!$G$4:$G$2091,'сентябрь 2024'!$D$4:$D$2091,$B21,'сентябрь 2024'!$J$4:$J$2091,M$1)</f>
        <v>0</v>
      </c>
      <c r="N21" s="80">
        <f>SUMIFS('сентябрь 2024'!$G$4:$G$2091,'сентябрь 2024'!$D$4:$D$2091,$B21,'сентябрь 2024'!$J$4:$J$2091,N$1)</f>
        <v>0</v>
      </c>
      <c r="O21" s="80">
        <f>SUMIFS('сентябрь 2024'!$G$4:$G$2091,'сентябрь 2024'!$D$4:$D$2091,$B21,'сентябрь 2024'!$J$4:$J$2091,O$1)</f>
        <v>0</v>
      </c>
      <c r="P21" s="80">
        <f>SUMIFS('сентябрь 2024'!$G$4:$G$2091,'сентябрь 2024'!$D$4:$D$2091,$B21,'сентябрь 2024'!$J$4:$J$2091,P$1)</f>
        <v>0</v>
      </c>
      <c r="Q21" s="80">
        <f>SUMIFS('сентябрь 2024'!$G$4:$G$2091,'сентябрь 2024'!$D$4:$D$2091,$B21,'сентябрь 2024'!$J$4:$J$2091,Q$1)</f>
        <v>0</v>
      </c>
      <c r="R21" s="80">
        <f>SUMIFS('сентябрь 2024'!$G$4:$G$2091,'сентябрь 2024'!$D$4:$D$2091,$B21,'сентябрь 2024'!$J$4:$J$2091,R$1)</f>
        <v>0</v>
      </c>
      <c r="S21" s="80">
        <f>SUMIFS('сентябрь 2024'!$G$4:$G$2091,'сентябрь 2024'!$D$4:$D$2091,$B21,'сентябрь 2024'!$J$4:$J$2091,S$1)</f>
        <v>0</v>
      </c>
      <c r="T21" s="80">
        <f>SUMIFS('сентябрь 2024'!$G$4:$G$2091,'сентябрь 2024'!$D$4:$D$2091,$B21,'сентябрь 2024'!$J$4:$J$2091,T$1)</f>
        <v>0</v>
      </c>
      <c r="U21" s="80">
        <f>SUMIFS('сентябрь 2024'!$G$4:$G$2091,'сентябрь 2024'!$D$4:$D$2091,$B21,'сентябрь 2024'!$J$4:$J$2091,U$1)</f>
        <v>0</v>
      </c>
      <c r="V21" s="80">
        <f>SUMIFS('сентябрь 2024'!$G$4:$G$2091,'сентябрь 2024'!$D$4:$D$2091,$B21,'сентябрь 2024'!$J$4:$J$2091,V$1)</f>
        <v>0</v>
      </c>
      <c r="W21" s="80">
        <f>SUMIFS('сентябрь 2024'!$G$4:$G$2091,'сентябрь 2024'!$D$4:$D$2091,$B21,'сентябрь 2024'!$J$4:$J$2091,W$1)</f>
        <v>0</v>
      </c>
      <c r="X21" s="80">
        <f>SUMIFS('сентябрь 2024'!$G$4:$G$2091,'сентябрь 2024'!$D$4:$D$2091,$B21,'сентябрь 2024'!$J$4:$J$2091,X$1)</f>
        <v>0</v>
      </c>
      <c r="Y21" s="80">
        <f>SUMIFS('сентябрь 2024'!$G$4:$G$2091,'сентябрь 2024'!$D$4:$D$2091,$B21,'сентябрь 2024'!$J$4:$J$2091,Y$1)</f>
        <v>0</v>
      </c>
      <c r="Z21" s="80">
        <f>SUMIFS('сентябрь 2024'!$G$4:$G$2091,'сентябрь 2024'!$D$4:$D$2091,$B21,'сентябрь 2024'!$J$4:$J$2091,Z$1)</f>
        <v>0</v>
      </c>
      <c r="AA21" s="80">
        <f>SUMIFS('сентябрь 2024'!$G$4:$G$2091,'сентябрь 2024'!$D$4:$D$2091,$B21,'сентябрь 2024'!$J$4:$J$2091,AA$1)</f>
        <v>0</v>
      </c>
      <c r="AB21" s="80">
        <f>SUMIFS('сентябрь 2024'!$G$4:$G$2091,'сентябрь 2024'!$D$4:$D$2091,$B21,'сентябрь 2024'!$J$4:$J$2091,AB$1)</f>
        <v>0</v>
      </c>
      <c r="AC21" s="80">
        <f>SUMIFS('сентябрь 2024'!$G$4:$G$2091,'сентябрь 2024'!$D$4:$D$2091,$B21,'сентябрь 2024'!$J$4:$J$2091,AC$1)</f>
        <v>0</v>
      </c>
      <c r="AD21" s="80">
        <f>SUMIFS('сентябрь 2024'!$G$4:$G$2091,'сентябрь 2024'!$D$4:$D$2091,$B21,'сентябрь 2024'!$J$4:$J$2091,AD$1)</f>
        <v>0</v>
      </c>
      <c r="AE21" s="80">
        <f>SUMIFS('сентябрь 2024'!$G$4:$G$2091,'сентябрь 2024'!$D$4:$D$2091,$B21,'сентябрь 2024'!$J$4:$J$2091,AE$1)</f>
        <v>0</v>
      </c>
      <c r="AF21" s="80">
        <f>SUMIFS('сентябрь 2024'!$G$4:$G$2091,'сентябрь 2024'!$D$4:$D$2091,$B21,'сентябрь 2024'!$J$4:$J$2091,AF$1)</f>
        <v>0</v>
      </c>
      <c r="AG21" s="80">
        <f>SUMIFS('сентябрь 2024'!$G$4:$G$2091,'сентябрь 2024'!$D$4:$D$2091,$B21,'сентябрь 2024'!$J$4:$J$2091,AG$1)</f>
        <v>0</v>
      </c>
      <c r="AH21" s="80">
        <f>SUMIFS('сентябрь 2024'!$G$4:$G$2091,'сентябрь 2024'!$D$4:$D$2091,$B21,'сентябрь 2024'!$J$4:$J$2091,AH$1)</f>
        <v>0</v>
      </c>
      <c r="AI21" s="21">
        <f t="shared" si="1"/>
        <v>0</v>
      </c>
    </row>
    <row r="22" spans="2:35" ht="15" customHeight="1" x14ac:dyDescent="0.25">
      <c r="B22" s="81" t="s">
        <v>309</v>
      </c>
      <c r="C22" s="82">
        <v>25</v>
      </c>
      <c r="D22" s="80">
        <f>SUMIFS('сентябрь 2024'!$G$4:$G$2091,'сентябрь 2024'!$D$4:$D$2091,$B22,'сентябрь 2024'!$J$4:$J$2091,D$1)</f>
        <v>0</v>
      </c>
      <c r="E22" s="80">
        <f>SUMIFS('сентябрь 2024'!$G$4:$G$2091,'сентябрь 2024'!$D$4:$D$2091,$B22,'сентябрь 2024'!$J$4:$J$2091,E$1)</f>
        <v>0</v>
      </c>
      <c r="F22" s="80">
        <f>SUMIFS('сентябрь 2024'!$G$4:$G$2091,'сентябрь 2024'!$D$4:$D$2091,$B22,'сентябрь 2024'!$J$4:$J$2091,F$1)</f>
        <v>0</v>
      </c>
      <c r="G22" s="80">
        <f>SUMIFS('сентябрь 2024'!$G$4:$G$2091,'сентябрь 2024'!$D$4:$D$2091,$B22,'сентябрь 2024'!$J$4:$J$2091,G$1)</f>
        <v>0</v>
      </c>
      <c r="H22" s="80">
        <f>SUMIFS('сентябрь 2024'!$G$4:$G$2091,'сентябрь 2024'!$D$4:$D$2091,$B22,'сентябрь 2024'!$J$4:$J$2091,H$1)</f>
        <v>0</v>
      </c>
      <c r="I22" s="80">
        <f>SUMIFS('сентябрь 2024'!$G$4:$G$2091,'сентябрь 2024'!$D$4:$D$2091,$B22,'сентябрь 2024'!$J$4:$J$2091,I$1)</f>
        <v>0</v>
      </c>
      <c r="J22" s="80">
        <f>SUMIFS('сентябрь 2024'!$G$4:$G$2091,'сентябрь 2024'!$D$4:$D$2091,$B22,'сентябрь 2024'!$J$4:$J$2091,J$1)</f>
        <v>0</v>
      </c>
      <c r="K22" s="80">
        <f>SUMIFS('сентябрь 2024'!$G$4:$G$2091,'сентябрь 2024'!$D$4:$D$2091,$B22,'сентябрь 2024'!$J$4:$J$2091,K$1)</f>
        <v>0</v>
      </c>
      <c r="L22" s="80">
        <f>SUMIFS('сентябрь 2024'!$G$4:$G$2091,'сентябрь 2024'!$D$4:$D$2091,$B22,'сентябрь 2024'!$J$4:$J$2091,L$1)</f>
        <v>0</v>
      </c>
      <c r="M22" s="80">
        <f>SUMIFS('сентябрь 2024'!$G$4:$G$2091,'сентябрь 2024'!$D$4:$D$2091,$B22,'сентябрь 2024'!$J$4:$J$2091,M$1)</f>
        <v>0</v>
      </c>
      <c r="N22" s="80">
        <f>SUMIFS('сентябрь 2024'!$G$4:$G$2091,'сентябрь 2024'!$D$4:$D$2091,$B22,'сентябрь 2024'!$J$4:$J$2091,N$1)</f>
        <v>0</v>
      </c>
      <c r="O22" s="80">
        <f>SUMIFS('сентябрь 2024'!$G$4:$G$2091,'сентябрь 2024'!$D$4:$D$2091,$B22,'сентябрь 2024'!$J$4:$J$2091,O$1)</f>
        <v>0</v>
      </c>
      <c r="P22" s="80">
        <f>SUMIFS('сентябрь 2024'!$G$4:$G$2091,'сентябрь 2024'!$D$4:$D$2091,$B22,'сентябрь 2024'!$J$4:$J$2091,P$1)</f>
        <v>0</v>
      </c>
      <c r="Q22" s="80">
        <f>SUMIFS('сентябрь 2024'!$G$4:$G$2091,'сентябрь 2024'!$D$4:$D$2091,$B22,'сентябрь 2024'!$J$4:$J$2091,Q$1)</f>
        <v>0</v>
      </c>
      <c r="R22" s="80">
        <f>SUMIFS('сентябрь 2024'!$G$4:$G$2091,'сентябрь 2024'!$D$4:$D$2091,$B22,'сентябрь 2024'!$J$4:$J$2091,R$1)</f>
        <v>0</v>
      </c>
      <c r="S22" s="80">
        <f>SUMIFS('сентябрь 2024'!$G$4:$G$2091,'сентябрь 2024'!$D$4:$D$2091,$B22,'сентябрь 2024'!$J$4:$J$2091,S$1)</f>
        <v>0</v>
      </c>
      <c r="T22" s="80">
        <f>SUMIFS('сентябрь 2024'!$G$4:$G$2091,'сентябрь 2024'!$D$4:$D$2091,$B22,'сентябрь 2024'!$J$4:$J$2091,T$1)</f>
        <v>0</v>
      </c>
      <c r="U22" s="80">
        <f>SUMIFS('сентябрь 2024'!$G$4:$G$2091,'сентябрь 2024'!$D$4:$D$2091,$B22,'сентябрь 2024'!$J$4:$J$2091,U$1)</f>
        <v>0</v>
      </c>
      <c r="V22" s="80">
        <f>SUMIFS('сентябрь 2024'!$G$4:$G$2091,'сентябрь 2024'!$D$4:$D$2091,$B22,'сентябрь 2024'!$J$4:$J$2091,V$1)</f>
        <v>0</v>
      </c>
      <c r="W22" s="80">
        <f>SUMIFS('сентябрь 2024'!$G$4:$G$2091,'сентябрь 2024'!$D$4:$D$2091,$B22,'сентябрь 2024'!$J$4:$J$2091,W$1)</f>
        <v>0</v>
      </c>
      <c r="X22" s="80">
        <f>SUMIFS('сентябрь 2024'!$G$4:$G$2091,'сентябрь 2024'!$D$4:$D$2091,$B22,'сентябрь 2024'!$J$4:$J$2091,X$1)</f>
        <v>0</v>
      </c>
      <c r="Y22" s="80">
        <f>SUMIFS('сентябрь 2024'!$G$4:$G$2091,'сентябрь 2024'!$D$4:$D$2091,$B22,'сентябрь 2024'!$J$4:$J$2091,Y$1)</f>
        <v>0</v>
      </c>
      <c r="Z22" s="80">
        <f>SUMIFS('сентябрь 2024'!$G$4:$G$2091,'сентябрь 2024'!$D$4:$D$2091,$B22,'сентябрь 2024'!$J$4:$J$2091,Z$1)</f>
        <v>0</v>
      </c>
      <c r="AA22" s="80">
        <f>SUMIFS('сентябрь 2024'!$G$4:$G$2091,'сентябрь 2024'!$D$4:$D$2091,$B22,'сентябрь 2024'!$J$4:$J$2091,AA$1)</f>
        <v>0</v>
      </c>
      <c r="AB22" s="80">
        <f>SUMIFS('сентябрь 2024'!$G$4:$G$2091,'сентябрь 2024'!$D$4:$D$2091,$B22,'сентябрь 2024'!$J$4:$J$2091,AB$1)</f>
        <v>0</v>
      </c>
      <c r="AC22" s="80">
        <f>SUMIFS('сентябрь 2024'!$G$4:$G$2091,'сентябрь 2024'!$D$4:$D$2091,$B22,'сентябрь 2024'!$J$4:$J$2091,AC$1)</f>
        <v>0</v>
      </c>
      <c r="AD22" s="80">
        <f>SUMIFS('сентябрь 2024'!$G$4:$G$2091,'сентябрь 2024'!$D$4:$D$2091,$B22,'сентябрь 2024'!$J$4:$J$2091,AD$1)</f>
        <v>0</v>
      </c>
      <c r="AE22" s="80">
        <f>SUMIFS('сентябрь 2024'!$G$4:$G$2091,'сентябрь 2024'!$D$4:$D$2091,$B22,'сентябрь 2024'!$J$4:$J$2091,AE$1)</f>
        <v>0</v>
      </c>
      <c r="AF22" s="80">
        <f>SUMIFS('сентябрь 2024'!$G$4:$G$2091,'сентябрь 2024'!$D$4:$D$2091,$B22,'сентябрь 2024'!$J$4:$J$2091,AF$1)</f>
        <v>0</v>
      </c>
      <c r="AG22" s="80">
        <f>SUMIFS('сентябрь 2024'!$G$4:$G$2091,'сентябрь 2024'!$D$4:$D$2091,$B22,'сентябрь 2024'!$J$4:$J$2091,AG$1)</f>
        <v>0</v>
      </c>
      <c r="AH22" s="80">
        <f>SUMIFS('сентябрь 2024'!$G$4:$G$2091,'сентябрь 2024'!$D$4:$D$2091,$B22,'сентябрь 2024'!$J$4:$J$2091,AH$1)</f>
        <v>0</v>
      </c>
      <c r="AI22" s="21">
        <f t="shared" si="1"/>
        <v>0</v>
      </c>
    </row>
    <row r="23" spans="2:35" ht="15" customHeight="1" x14ac:dyDescent="0.25">
      <c r="B23" s="84" t="s">
        <v>311</v>
      </c>
      <c r="C23" s="103">
        <v>25</v>
      </c>
      <c r="D23" s="80">
        <f>SUMIFS('сентябрь 2024'!$G$4:$G$2091,'сентябрь 2024'!$D$4:$D$2091,$B23,'сентябрь 2024'!$J$4:$J$2091,D$1)</f>
        <v>0</v>
      </c>
      <c r="E23" s="80">
        <f>SUMIFS('сентябрь 2024'!$G$4:$G$2091,'сентябрь 2024'!$D$4:$D$2091,$B23,'сентябрь 2024'!$J$4:$J$2091,E$1)</f>
        <v>0</v>
      </c>
      <c r="F23" s="80">
        <f>SUMIFS('сентябрь 2024'!$G$4:$G$2091,'сентябрь 2024'!$D$4:$D$2091,$B23,'сентябрь 2024'!$J$4:$J$2091,F$1)</f>
        <v>0</v>
      </c>
      <c r="G23" s="80">
        <f>SUMIFS('сентябрь 2024'!$G$4:$G$2091,'сентябрь 2024'!$D$4:$D$2091,$B23,'сентябрь 2024'!$J$4:$J$2091,G$1)</f>
        <v>0</v>
      </c>
      <c r="H23" s="80">
        <f>SUMIFS('сентябрь 2024'!$G$4:$G$2091,'сентябрь 2024'!$D$4:$D$2091,$B23,'сентябрь 2024'!$J$4:$J$2091,H$1)</f>
        <v>0</v>
      </c>
      <c r="I23" s="80">
        <f>SUMIFS('сентябрь 2024'!$G$4:$G$2091,'сентябрь 2024'!$D$4:$D$2091,$B23,'сентябрь 2024'!$J$4:$J$2091,I$1)</f>
        <v>0</v>
      </c>
      <c r="J23" s="80">
        <f>SUMIFS('сентябрь 2024'!$G$4:$G$2091,'сентябрь 2024'!$D$4:$D$2091,$B23,'сентябрь 2024'!$J$4:$J$2091,J$1)</f>
        <v>0</v>
      </c>
      <c r="K23" s="80">
        <f>SUMIFS('сентябрь 2024'!$G$4:$G$2091,'сентябрь 2024'!$D$4:$D$2091,$B23,'сентябрь 2024'!$J$4:$J$2091,K$1)</f>
        <v>0</v>
      </c>
      <c r="L23" s="80">
        <f>SUMIFS('сентябрь 2024'!$G$4:$G$2091,'сентябрь 2024'!$D$4:$D$2091,$B23,'сентябрь 2024'!$J$4:$J$2091,L$1)</f>
        <v>0</v>
      </c>
      <c r="M23" s="80">
        <f>SUMIFS('сентябрь 2024'!$G$4:$G$2091,'сентябрь 2024'!$D$4:$D$2091,$B23,'сентябрь 2024'!$J$4:$J$2091,M$1)</f>
        <v>0</v>
      </c>
      <c r="N23" s="80">
        <f>SUMIFS('сентябрь 2024'!$G$4:$G$2091,'сентябрь 2024'!$D$4:$D$2091,$B23,'сентябрь 2024'!$J$4:$J$2091,N$1)</f>
        <v>0</v>
      </c>
      <c r="O23" s="80">
        <f>SUMIFS('сентябрь 2024'!$G$4:$G$2091,'сентябрь 2024'!$D$4:$D$2091,$B23,'сентябрь 2024'!$J$4:$J$2091,O$1)</f>
        <v>0</v>
      </c>
      <c r="P23" s="80">
        <f>SUMIFS('сентябрь 2024'!$G$4:$G$2091,'сентябрь 2024'!$D$4:$D$2091,$B23,'сентябрь 2024'!$J$4:$J$2091,P$1)</f>
        <v>0</v>
      </c>
      <c r="Q23" s="80">
        <f>SUMIFS('сентябрь 2024'!$G$4:$G$2091,'сентябрь 2024'!$D$4:$D$2091,$B23,'сентябрь 2024'!$J$4:$J$2091,Q$1)</f>
        <v>0</v>
      </c>
      <c r="R23" s="80">
        <f>SUMIFS('сентябрь 2024'!$G$4:$G$2091,'сентябрь 2024'!$D$4:$D$2091,$B23,'сентябрь 2024'!$J$4:$J$2091,R$1)</f>
        <v>0</v>
      </c>
      <c r="S23" s="80">
        <f>SUMIFS('сентябрь 2024'!$G$4:$G$2091,'сентябрь 2024'!$D$4:$D$2091,$B23,'сентябрь 2024'!$J$4:$J$2091,S$1)</f>
        <v>0</v>
      </c>
      <c r="T23" s="80">
        <f>SUMIFS('сентябрь 2024'!$G$4:$G$2091,'сентябрь 2024'!$D$4:$D$2091,$B23,'сентябрь 2024'!$J$4:$J$2091,T$1)</f>
        <v>0</v>
      </c>
      <c r="U23" s="80">
        <f>SUMIFS('сентябрь 2024'!$G$4:$G$2091,'сентябрь 2024'!$D$4:$D$2091,$B23,'сентябрь 2024'!$J$4:$J$2091,U$1)</f>
        <v>0</v>
      </c>
      <c r="V23" s="80">
        <f>SUMIFS('сентябрь 2024'!$G$4:$G$2091,'сентябрь 2024'!$D$4:$D$2091,$B23,'сентябрь 2024'!$J$4:$J$2091,V$1)</f>
        <v>0</v>
      </c>
      <c r="W23" s="80">
        <f>SUMIFS('сентябрь 2024'!$G$4:$G$2091,'сентябрь 2024'!$D$4:$D$2091,$B23,'сентябрь 2024'!$J$4:$J$2091,W$1)</f>
        <v>0</v>
      </c>
      <c r="X23" s="80">
        <f>SUMIFS('сентябрь 2024'!$G$4:$G$2091,'сентябрь 2024'!$D$4:$D$2091,$B23,'сентябрь 2024'!$J$4:$J$2091,X$1)</f>
        <v>0</v>
      </c>
      <c r="Y23" s="80">
        <f>SUMIFS('сентябрь 2024'!$G$4:$G$2091,'сентябрь 2024'!$D$4:$D$2091,$B23,'сентябрь 2024'!$J$4:$J$2091,Y$1)</f>
        <v>0</v>
      </c>
      <c r="Z23" s="80">
        <f>SUMIFS('сентябрь 2024'!$G$4:$G$2091,'сентябрь 2024'!$D$4:$D$2091,$B23,'сентябрь 2024'!$J$4:$J$2091,Z$1)</f>
        <v>0</v>
      </c>
      <c r="AA23" s="80">
        <f>SUMIFS('сентябрь 2024'!$G$4:$G$2091,'сентябрь 2024'!$D$4:$D$2091,$B23,'сентябрь 2024'!$J$4:$J$2091,AA$1)</f>
        <v>0</v>
      </c>
      <c r="AB23" s="80">
        <f>SUMIFS('сентябрь 2024'!$G$4:$G$2091,'сентябрь 2024'!$D$4:$D$2091,$B23,'сентябрь 2024'!$J$4:$J$2091,AB$1)</f>
        <v>0</v>
      </c>
      <c r="AC23" s="80">
        <f>SUMIFS('сентябрь 2024'!$G$4:$G$2091,'сентябрь 2024'!$D$4:$D$2091,$B23,'сентябрь 2024'!$J$4:$J$2091,AC$1)</f>
        <v>0</v>
      </c>
      <c r="AD23" s="80">
        <f>SUMIFS('сентябрь 2024'!$G$4:$G$2091,'сентябрь 2024'!$D$4:$D$2091,$B23,'сентябрь 2024'!$J$4:$J$2091,AD$1)</f>
        <v>0</v>
      </c>
      <c r="AE23" s="80">
        <f>SUMIFS('сентябрь 2024'!$G$4:$G$2091,'сентябрь 2024'!$D$4:$D$2091,$B23,'сентябрь 2024'!$J$4:$J$2091,AE$1)</f>
        <v>0</v>
      </c>
      <c r="AF23" s="80">
        <f>SUMIFS('сентябрь 2024'!$G$4:$G$2091,'сентябрь 2024'!$D$4:$D$2091,$B23,'сентябрь 2024'!$J$4:$J$2091,AF$1)</f>
        <v>0</v>
      </c>
      <c r="AG23" s="80">
        <f>SUMIFS('сентябрь 2024'!$G$4:$G$2091,'сентябрь 2024'!$D$4:$D$2091,$B23,'сентябрь 2024'!$J$4:$J$2091,AG$1)</f>
        <v>0</v>
      </c>
      <c r="AH23" s="80">
        <f>SUMIFS('сентябрь 2024'!$G$4:$G$2091,'сентябрь 2024'!$D$4:$D$2091,$B23,'сентябрь 2024'!$J$4:$J$2091,AH$1)</f>
        <v>0</v>
      </c>
      <c r="AI23" s="21">
        <f t="shared" si="1"/>
        <v>0</v>
      </c>
    </row>
    <row r="24" spans="2:35" ht="15" customHeight="1" x14ac:dyDescent="0.25">
      <c r="B24" s="84" t="s">
        <v>312</v>
      </c>
      <c r="C24" s="82">
        <v>25</v>
      </c>
      <c r="D24" s="80">
        <f>SUMIFS('сентябрь 2024'!$G$4:$G$2091,'сентябрь 2024'!$D$4:$D$2091,$B24,'сентябрь 2024'!$J$4:$J$2091,D$1)</f>
        <v>0</v>
      </c>
      <c r="E24" s="80">
        <f>SUMIFS('сентябрь 2024'!$G$4:$G$2091,'сентябрь 2024'!$D$4:$D$2091,$B24,'сентябрь 2024'!$J$4:$J$2091,E$1)</f>
        <v>0</v>
      </c>
      <c r="F24" s="80">
        <f>SUMIFS('сентябрь 2024'!$G$4:$G$2091,'сентябрь 2024'!$D$4:$D$2091,$B24,'сентябрь 2024'!$J$4:$J$2091,F$1)</f>
        <v>0</v>
      </c>
      <c r="G24" s="80">
        <f>SUMIFS('сентябрь 2024'!$G$4:$G$2091,'сентябрь 2024'!$D$4:$D$2091,$B24,'сентябрь 2024'!$J$4:$J$2091,G$1)</f>
        <v>0</v>
      </c>
      <c r="H24" s="80">
        <f>SUMIFS('сентябрь 2024'!$G$4:$G$2091,'сентябрь 2024'!$D$4:$D$2091,$B24,'сентябрь 2024'!$J$4:$J$2091,H$1)</f>
        <v>0</v>
      </c>
      <c r="I24" s="80">
        <f>SUMIFS('сентябрь 2024'!$G$4:$G$2091,'сентябрь 2024'!$D$4:$D$2091,$B24,'сентябрь 2024'!$J$4:$J$2091,I$1)</f>
        <v>0</v>
      </c>
      <c r="J24" s="80">
        <f>SUMIFS('сентябрь 2024'!$G$4:$G$2091,'сентябрь 2024'!$D$4:$D$2091,$B24,'сентябрь 2024'!$J$4:$J$2091,J$1)</f>
        <v>0</v>
      </c>
      <c r="K24" s="80">
        <f>SUMIFS('сентябрь 2024'!$G$4:$G$2091,'сентябрь 2024'!$D$4:$D$2091,$B24,'сентябрь 2024'!$J$4:$J$2091,K$1)</f>
        <v>0</v>
      </c>
      <c r="L24" s="80">
        <f>SUMIFS('сентябрь 2024'!$G$4:$G$2091,'сентябрь 2024'!$D$4:$D$2091,$B24,'сентябрь 2024'!$J$4:$J$2091,L$1)</f>
        <v>0</v>
      </c>
      <c r="M24" s="80">
        <f>SUMIFS('сентябрь 2024'!$G$4:$G$2091,'сентябрь 2024'!$D$4:$D$2091,$B24,'сентябрь 2024'!$J$4:$J$2091,M$1)</f>
        <v>0</v>
      </c>
      <c r="N24" s="80">
        <f>SUMIFS('сентябрь 2024'!$G$4:$G$2091,'сентябрь 2024'!$D$4:$D$2091,$B24,'сентябрь 2024'!$J$4:$J$2091,N$1)</f>
        <v>0</v>
      </c>
      <c r="O24" s="80">
        <f>SUMIFS('сентябрь 2024'!$G$4:$G$2091,'сентябрь 2024'!$D$4:$D$2091,$B24,'сентябрь 2024'!$J$4:$J$2091,O$1)</f>
        <v>0</v>
      </c>
      <c r="P24" s="80">
        <f>SUMIFS('сентябрь 2024'!$G$4:$G$2091,'сентябрь 2024'!$D$4:$D$2091,$B24,'сентябрь 2024'!$J$4:$J$2091,P$1)</f>
        <v>0</v>
      </c>
      <c r="Q24" s="80">
        <f>SUMIFS('сентябрь 2024'!$G$4:$G$2091,'сентябрь 2024'!$D$4:$D$2091,$B24,'сентябрь 2024'!$J$4:$J$2091,Q$1)</f>
        <v>0</v>
      </c>
      <c r="R24" s="80">
        <f>SUMIFS('сентябрь 2024'!$G$4:$G$2091,'сентябрь 2024'!$D$4:$D$2091,$B24,'сентябрь 2024'!$J$4:$J$2091,R$1)</f>
        <v>0</v>
      </c>
      <c r="S24" s="80">
        <f>SUMIFS('сентябрь 2024'!$G$4:$G$2091,'сентябрь 2024'!$D$4:$D$2091,$B24,'сентябрь 2024'!$J$4:$J$2091,S$1)</f>
        <v>0</v>
      </c>
      <c r="T24" s="80">
        <f>SUMIFS('сентябрь 2024'!$G$4:$G$2091,'сентябрь 2024'!$D$4:$D$2091,$B24,'сентябрь 2024'!$J$4:$J$2091,T$1)</f>
        <v>0</v>
      </c>
      <c r="U24" s="80">
        <f>SUMIFS('сентябрь 2024'!$G$4:$G$2091,'сентябрь 2024'!$D$4:$D$2091,$B24,'сентябрь 2024'!$J$4:$J$2091,U$1)</f>
        <v>0</v>
      </c>
      <c r="V24" s="80">
        <f>SUMIFS('сентябрь 2024'!$G$4:$G$2091,'сентябрь 2024'!$D$4:$D$2091,$B24,'сентябрь 2024'!$J$4:$J$2091,V$1)</f>
        <v>0</v>
      </c>
      <c r="W24" s="80">
        <f>SUMIFS('сентябрь 2024'!$G$4:$G$2091,'сентябрь 2024'!$D$4:$D$2091,$B24,'сентябрь 2024'!$J$4:$J$2091,W$1)</f>
        <v>0</v>
      </c>
      <c r="X24" s="80">
        <f>SUMIFS('сентябрь 2024'!$G$4:$G$2091,'сентябрь 2024'!$D$4:$D$2091,$B24,'сентябрь 2024'!$J$4:$J$2091,X$1)</f>
        <v>0</v>
      </c>
      <c r="Y24" s="80">
        <f>SUMIFS('сентябрь 2024'!$G$4:$G$2091,'сентябрь 2024'!$D$4:$D$2091,$B24,'сентябрь 2024'!$J$4:$J$2091,Y$1)</f>
        <v>0</v>
      </c>
      <c r="Z24" s="80">
        <f>SUMIFS('сентябрь 2024'!$G$4:$G$2091,'сентябрь 2024'!$D$4:$D$2091,$B24,'сентябрь 2024'!$J$4:$J$2091,Z$1)</f>
        <v>0</v>
      </c>
      <c r="AA24" s="80">
        <f>SUMIFS('сентябрь 2024'!$G$4:$G$2091,'сентябрь 2024'!$D$4:$D$2091,$B24,'сентябрь 2024'!$J$4:$J$2091,AA$1)</f>
        <v>0</v>
      </c>
      <c r="AB24" s="80">
        <f>SUMIFS('сентябрь 2024'!$G$4:$G$2091,'сентябрь 2024'!$D$4:$D$2091,$B24,'сентябрь 2024'!$J$4:$J$2091,AB$1)</f>
        <v>0</v>
      </c>
      <c r="AC24" s="80">
        <f>SUMIFS('сентябрь 2024'!$G$4:$G$2091,'сентябрь 2024'!$D$4:$D$2091,$B24,'сентябрь 2024'!$J$4:$J$2091,AC$1)</f>
        <v>0</v>
      </c>
      <c r="AD24" s="80">
        <f>SUMIFS('сентябрь 2024'!$G$4:$G$2091,'сентябрь 2024'!$D$4:$D$2091,$B24,'сентябрь 2024'!$J$4:$J$2091,AD$1)</f>
        <v>0</v>
      </c>
      <c r="AE24" s="80">
        <f>SUMIFS('сентябрь 2024'!$G$4:$G$2091,'сентябрь 2024'!$D$4:$D$2091,$B24,'сентябрь 2024'!$J$4:$J$2091,AE$1)</f>
        <v>0</v>
      </c>
      <c r="AF24" s="80">
        <f>SUMIFS('сентябрь 2024'!$G$4:$G$2091,'сентябрь 2024'!$D$4:$D$2091,$B24,'сентябрь 2024'!$J$4:$J$2091,AF$1)</f>
        <v>0</v>
      </c>
      <c r="AG24" s="80">
        <f>SUMIFS('сентябрь 2024'!$G$4:$G$2091,'сентябрь 2024'!$D$4:$D$2091,$B24,'сентябрь 2024'!$J$4:$J$2091,AG$1)</f>
        <v>0</v>
      </c>
      <c r="AH24" s="80">
        <f>SUMIFS('сентябрь 2024'!$G$4:$G$2091,'сентябрь 2024'!$D$4:$D$2091,$B24,'сентябрь 2024'!$J$4:$J$2091,AH$1)</f>
        <v>0</v>
      </c>
      <c r="AI24" s="21">
        <f t="shared" si="1"/>
        <v>0</v>
      </c>
    </row>
    <row r="25" spans="2:35" ht="15" customHeight="1" x14ac:dyDescent="0.25">
      <c r="B25" s="84" t="s">
        <v>313</v>
      </c>
      <c r="C25" s="82">
        <v>25</v>
      </c>
      <c r="D25" s="80">
        <f>SUMIFS('сентябрь 2024'!$G$4:$G$2091,'сентябрь 2024'!$D$4:$D$2091,$B25,'сентябрь 2024'!$J$4:$J$2091,D$1)</f>
        <v>0</v>
      </c>
      <c r="E25" s="80">
        <f>SUMIFS('сентябрь 2024'!$G$4:$G$2091,'сентябрь 2024'!$D$4:$D$2091,$B25,'сентябрь 2024'!$J$4:$J$2091,E$1)</f>
        <v>0</v>
      </c>
      <c r="F25" s="80">
        <f>SUMIFS('сентябрь 2024'!$G$4:$G$2091,'сентябрь 2024'!$D$4:$D$2091,$B25,'сентябрь 2024'!$J$4:$J$2091,F$1)</f>
        <v>0</v>
      </c>
      <c r="G25" s="80">
        <f>SUMIFS('сентябрь 2024'!$G$4:$G$2091,'сентябрь 2024'!$D$4:$D$2091,$B25,'сентябрь 2024'!$J$4:$J$2091,G$1)</f>
        <v>0</v>
      </c>
      <c r="H25" s="80">
        <f>SUMIFS('сентябрь 2024'!$G$4:$G$2091,'сентябрь 2024'!$D$4:$D$2091,$B25,'сентябрь 2024'!$J$4:$J$2091,H$1)</f>
        <v>0</v>
      </c>
      <c r="I25" s="80">
        <f>SUMIFS('сентябрь 2024'!$G$4:$G$2091,'сентябрь 2024'!$D$4:$D$2091,$B25,'сентябрь 2024'!$J$4:$J$2091,I$1)</f>
        <v>0</v>
      </c>
      <c r="J25" s="80">
        <f>SUMIFS('сентябрь 2024'!$G$4:$G$2091,'сентябрь 2024'!$D$4:$D$2091,$B25,'сентябрь 2024'!$J$4:$J$2091,J$1)</f>
        <v>0</v>
      </c>
      <c r="K25" s="80">
        <f>SUMIFS('сентябрь 2024'!$G$4:$G$2091,'сентябрь 2024'!$D$4:$D$2091,$B25,'сентябрь 2024'!$J$4:$J$2091,K$1)</f>
        <v>0</v>
      </c>
      <c r="L25" s="80">
        <f>SUMIFS('сентябрь 2024'!$G$4:$G$2091,'сентябрь 2024'!$D$4:$D$2091,$B25,'сентябрь 2024'!$J$4:$J$2091,L$1)</f>
        <v>0</v>
      </c>
      <c r="M25" s="80">
        <f>SUMIFS('сентябрь 2024'!$G$4:$G$2091,'сентябрь 2024'!$D$4:$D$2091,$B25,'сентябрь 2024'!$J$4:$J$2091,M$1)</f>
        <v>0</v>
      </c>
      <c r="N25" s="80">
        <f>SUMIFS('сентябрь 2024'!$G$4:$G$2091,'сентябрь 2024'!$D$4:$D$2091,$B25,'сентябрь 2024'!$J$4:$J$2091,N$1)</f>
        <v>0</v>
      </c>
      <c r="O25" s="80">
        <f>SUMIFS('сентябрь 2024'!$G$4:$G$2091,'сентябрь 2024'!$D$4:$D$2091,$B25,'сентябрь 2024'!$J$4:$J$2091,O$1)</f>
        <v>0</v>
      </c>
      <c r="P25" s="80">
        <f>SUMIFS('сентябрь 2024'!$G$4:$G$2091,'сентябрь 2024'!$D$4:$D$2091,$B25,'сентябрь 2024'!$J$4:$J$2091,P$1)</f>
        <v>0</v>
      </c>
      <c r="Q25" s="80">
        <f>SUMIFS('сентябрь 2024'!$G$4:$G$2091,'сентябрь 2024'!$D$4:$D$2091,$B25,'сентябрь 2024'!$J$4:$J$2091,Q$1)</f>
        <v>0</v>
      </c>
      <c r="R25" s="80">
        <f>SUMIFS('сентябрь 2024'!$G$4:$G$2091,'сентябрь 2024'!$D$4:$D$2091,$B25,'сентябрь 2024'!$J$4:$J$2091,R$1)</f>
        <v>0</v>
      </c>
      <c r="S25" s="80">
        <f>SUMIFS('сентябрь 2024'!$G$4:$G$2091,'сентябрь 2024'!$D$4:$D$2091,$B25,'сентябрь 2024'!$J$4:$J$2091,S$1)</f>
        <v>0</v>
      </c>
      <c r="T25" s="80">
        <f>SUMIFS('сентябрь 2024'!$G$4:$G$2091,'сентябрь 2024'!$D$4:$D$2091,$B25,'сентябрь 2024'!$J$4:$J$2091,T$1)</f>
        <v>0</v>
      </c>
      <c r="U25" s="80">
        <f>SUMIFS('сентябрь 2024'!$G$4:$G$2091,'сентябрь 2024'!$D$4:$D$2091,$B25,'сентябрь 2024'!$J$4:$J$2091,U$1)</f>
        <v>0</v>
      </c>
      <c r="V25" s="80">
        <f>SUMIFS('сентябрь 2024'!$G$4:$G$2091,'сентябрь 2024'!$D$4:$D$2091,$B25,'сентябрь 2024'!$J$4:$J$2091,V$1)</f>
        <v>0</v>
      </c>
      <c r="W25" s="80">
        <f>SUMIFS('сентябрь 2024'!$G$4:$G$2091,'сентябрь 2024'!$D$4:$D$2091,$B25,'сентябрь 2024'!$J$4:$J$2091,W$1)</f>
        <v>0</v>
      </c>
      <c r="X25" s="80">
        <f>SUMIFS('сентябрь 2024'!$G$4:$G$2091,'сентябрь 2024'!$D$4:$D$2091,$B25,'сентябрь 2024'!$J$4:$J$2091,X$1)</f>
        <v>0</v>
      </c>
      <c r="Y25" s="80">
        <f>SUMIFS('сентябрь 2024'!$G$4:$G$2091,'сентябрь 2024'!$D$4:$D$2091,$B25,'сентябрь 2024'!$J$4:$J$2091,Y$1)</f>
        <v>0</v>
      </c>
      <c r="Z25" s="80">
        <f>SUMIFS('сентябрь 2024'!$G$4:$G$2091,'сентябрь 2024'!$D$4:$D$2091,$B25,'сентябрь 2024'!$J$4:$J$2091,Z$1)</f>
        <v>0</v>
      </c>
      <c r="AA25" s="80">
        <f>SUMIFS('сентябрь 2024'!$G$4:$G$2091,'сентябрь 2024'!$D$4:$D$2091,$B25,'сентябрь 2024'!$J$4:$J$2091,AA$1)</f>
        <v>0</v>
      </c>
      <c r="AB25" s="80">
        <f>SUMIFS('сентябрь 2024'!$G$4:$G$2091,'сентябрь 2024'!$D$4:$D$2091,$B25,'сентябрь 2024'!$J$4:$J$2091,AB$1)</f>
        <v>0</v>
      </c>
      <c r="AC25" s="80">
        <f>SUMIFS('сентябрь 2024'!$G$4:$G$2091,'сентябрь 2024'!$D$4:$D$2091,$B25,'сентябрь 2024'!$J$4:$J$2091,AC$1)</f>
        <v>0</v>
      </c>
      <c r="AD25" s="80">
        <f>SUMIFS('сентябрь 2024'!$G$4:$G$2091,'сентябрь 2024'!$D$4:$D$2091,$B25,'сентябрь 2024'!$J$4:$J$2091,AD$1)</f>
        <v>0</v>
      </c>
      <c r="AE25" s="80">
        <f>SUMIFS('сентябрь 2024'!$G$4:$G$2091,'сентябрь 2024'!$D$4:$D$2091,$B25,'сентябрь 2024'!$J$4:$J$2091,AE$1)</f>
        <v>0</v>
      </c>
      <c r="AF25" s="80">
        <f>SUMIFS('сентябрь 2024'!$G$4:$G$2091,'сентябрь 2024'!$D$4:$D$2091,$B25,'сентябрь 2024'!$J$4:$J$2091,AF$1)</f>
        <v>0</v>
      </c>
      <c r="AG25" s="80">
        <f>SUMIFS('сентябрь 2024'!$G$4:$G$2091,'сентябрь 2024'!$D$4:$D$2091,$B25,'сентябрь 2024'!$J$4:$J$2091,AG$1)</f>
        <v>0</v>
      </c>
      <c r="AH25" s="80">
        <f>SUMIFS('сентябрь 2024'!$G$4:$G$2091,'сентябрь 2024'!$D$4:$D$2091,$B25,'сентябрь 2024'!$J$4:$J$2091,AH$1)</f>
        <v>0</v>
      </c>
      <c r="AI25" s="21">
        <f t="shared" si="1"/>
        <v>0</v>
      </c>
    </row>
    <row r="26" spans="2:35" ht="15" customHeight="1" x14ac:dyDescent="0.25">
      <c r="B26" s="84" t="s">
        <v>314</v>
      </c>
      <c r="C26" s="82">
        <v>25</v>
      </c>
      <c r="D26" s="80">
        <f>SUMIFS('сентябрь 2024'!$G$4:$G$2091,'сентябрь 2024'!$D$4:$D$2091,$B26,'сентябрь 2024'!$J$4:$J$2091,D$1)</f>
        <v>0</v>
      </c>
      <c r="E26" s="80">
        <f>SUMIFS('сентябрь 2024'!$G$4:$G$2091,'сентябрь 2024'!$D$4:$D$2091,$B26,'сентябрь 2024'!$J$4:$J$2091,E$1)</f>
        <v>0</v>
      </c>
      <c r="F26" s="80">
        <f>SUMIFS('сентябрь 2024'!$G$4:$G$2091,'сентябрь 2024'!$D$4:$D$2091,$B26,'сентябрь 2024'!$J$4:$J$2091,F$1)</f>
        <v>0</v>
      </c>
      <c r="G26" s="80">
        <f>SUMIFS('сентябрь 2024'!$G$4:$G$2091,'сентябрь 2024'!$D$4:$D$2091,$B26,'сентябрь 2024'!$J$4:$J$2091,G$1)</f>
        <v>0</v>
      </c>
      <c r="H26" s="80">
        <f>SUMIFS('сентябрь 2024'!$G$4:$G$2091,'сентябрь 2024'!$D$4:$D$2091,$B26,'сентябрь 2024'!$J$4:$J$2091,H$1)</f>
        <v>0</v>
      </c>
      <c r="I26" s="80">
        <f>SUMIFS('сентябрь 2024'!$G$4:$G$2091,'сентябрь 2024'!$D$4:$D$2091,$B26,'сентябрь 2024'!$J$4:$J$2091,I$1)</f>
        <v>0</v>
      </c>
      <c r="J26" s="80">
        <f>SUMIFS('сентябрь 2024'!$G$4:$G$2091,'сентябрь 2024'!$D$4:$D$2091,$B26,'сентябрь 2024'!$J$4:$J$2091,J$1)</f>
        <v>0</v>
      </c>
      <c r="K26" s="80">
        <f>SUMIFS('сентябрь 2024'!$G$4:$G$2091,'сентябрь 2024'!$D$4:$D$2091,$B26,'сентябрь 2024'!$J$4:$J$2091,K$1)</f>
        <v>0</v>
      </c>
      <c r="L26" s="80">
        <f>SUMIFS('сентябрь 2024'!$G$4:$G$2091,'сентябрь 2024'!$D$4:$D$2091,$B26,'сентябрь 2024'!$J$4:$J$2091,L$1)</f>
        <v>0</v>
      </c>
      <c r="M26" s="80">
        <f>SUMIFS('сентябрь 2024'!$G$4:$G$2091,'сентябрь 2024'!$D$4:$D$2091,$B26,'сентябрь 2024'!$J$4:$J$2091,M$1)</f>
        <v>0</v>
      </c>
      <c r="N26" s="80">
        <f>SUMIFS('сентябрь 2024'!$G$4:$G$2091,'сентябрь 2024'!$D$4:$D$2091,$B26,'сентябрь 2024'!$J$4:$J$2091,N$1)</f>
        <v>0</v>
      </c>
      <c r="O26" s="80">
        <f>SUMIFS('сентябрь 2024'!$G$4:$G$2091,'сентябрь 2024'!$D$4:$D$2091,$B26,'сентябрь 2024'!$J$4:$J$2091,O$1)</f>
        <v>0</v>
      </c>
      <c r="P26" s="80">
        <f>SUMIFS('сентябрь 2024'!$G$4:$G$2091,'сентябрь 2024'!$D$4:$D$2091,$B26,'сентябрь 2024'!$J$4:$J$2091,P$1)</f>
        <v>0</v>
      </c>
      <c r="Q26" s="80">
        <f>SUMIFS('сентябрь 2024'!$G$4:$G$2091,'сентябрь 2024'!$D$4:$D$2091,$B26,'сентябрь 2024'!$J$4:$J$2091,Q$1)</f>
        <v>0</v>
      </c>
      <c r="R26" s="80">
        <f>SUMIFS('сентябрь 2024'!$G$4:$G$2091,'сентябрь 2024'!$D$4:$D$2091,$B26,'сентябрь 2024'!$J$4:$J$2091,R$1)</f>
        <v>0</v>
      </c>
      <c r="S26" s="80">
        <f>SUMIFS('сентябрь 2024'!$G$4:$G$2091,'сентябрь 2024'!$D$4:$D$2091,$B26,'сентябрь 2024'!$J$4:$J$2091,S$1)</f>
        <v>0</v>
      </c>
      <c r="T26" s="80">
        <f>SUMIFS('сентябрь 2024'!$G$4:$G$2091,'сентябрь 2024'!$D$4:$D$2091,$B26,'сентябрь 2024'!$J$4:$J$2091,T$1)</f>
        <v>0</v>
      </c>
      <c r="U26" s="80">
        <f>SUMIFS('сентябрь 2024'!$G$4:$G$2091,'сентябрь 2024'!$D$4:$D$2091,$B26,'сентябрь 2024'!$J$4:$J$2091,U$1)</f>
        <v>0</v>
      </c>
      <c r="V26" s="80">
        <f>SUMIFS('сентябрь 2024'!$G$4:$G$2091,'сентябрь 2024'!$D$4:$D$2091,$B26,'сентябрь 2024'!$J$4:$J$2091,V$1)</f>
        <v>0</v>
      </c>
      <c r="W26" s="80">
        <f>SUMIFS('сентябрь 2024'!$G$4:$G$2091,'сентябрь 2024'!$D$4:$D$2091,$B26,'сентябрь 2024'!$J$4:$J$2091,W$1)</f>
        <v>0</v>
      </c>
      <c r="X26" s="80">
        <f>SUMIFS('сентябрь 2024'!$G$4:$G$2091,'сентябрь 2024'!$D$4:$D$2091,$B26,'сентябрь 2024'!$J$4:$J$2091,X$1)</f>
        <v>0</v>
      </c>
      <c r="Y26" s="80">
        <f>SUMIFS('сентябрь 2024'!$G$4:$G$2091,'сентябрь 2024'!$D$4:$D$2091,$B26,'сентябрь 2024'!$J$4:$J$2091,Y$1)</f>
        <v>0</v>
      </c>
      <c r="Z26" s="80">
        <f>SUMIFS('сентябрь 2024'!$G$4:$G$2091,'сентябрь 2024'!$D$4:$D$2091,$B26,'сентябрь 2024'!$J$4:$J$2091,Z$1)</f>
        <v>0</v>
      </c>
      <c r="AA26" s="80">
        <f>SUMIFS('сентябрь 2024'!$G$4:$G$2091,'сентябрь 2024'!$D$4:$D$2091,$B26,'сентябрь 2024'!$J$4:$J$2091,AA$1)</f>
        <v>0</v>
      </c>
      <c r="AB26" s="80">
        <f>SUMIFS('сентябрь 2024'!$G$4:$G$2091,'сентябрь 2024'!$D$4:$D$2091,$B26,'сентябрь 2024'!$J$4:$J$2091,AB$1)</f>
        <v>0</v>
      </c>
      <c r="AC26" s="80">
        <f>SUMIFS('сентябрь 2024'!$G$4:$G$2091,'сентябрь 2024'!$D$4:$D$2091,$B26,'сентябрь 2024'!$J$4:$J$2091,AC$1)</f>
        <v>0</v>
      </c>
      <c r="AD26" s="80">
        <f>SUMIFS('сентябрь 2024'!$G$4:$G$2091,'сентябрь 2024'!$D$4:$D$2091,$B26,'сентябрь 2024'!$J$4:$J$2091,AD$1)</f>
        <v>0</v>
      </c>
      <c r="AE26" s="80">
        <f>SUMIFS('сентябрь 2024'!$G$4:$G$2091,'сентябрь 2024'!$D$4:$D$2091,$B26,'сентябрь 2024'!$J$4:$J$2091,AE$1)</f>
        <v>0</v>
      </c>
      <c r="AF26" s="80">
        <f>SUMIFS('сентябрь 2024'!$G$4:$G$2091,'сентябрь 2024'!$D$4:$D$2091,$B26,'сентябрь 2024'!$J$4:$J$2091,AF$1)</f>
        <v>0</v>
      </c>
      <c r="AG26" s="80">
        <f>SUMIFS('сентябрь 2024'!$G$4:$G$2091,'сентябрь 2024'!$D$4:$D$2091,$B26,'сентябрь 2024'!$J$4:$J$2091,AG$1)</f>
        <v>0</v>
      </c>
      <c r="AH26" s="80">
        <f>SUMIFS('сентябрь 2024'!$G$4:$G$2091,'сентябрь 2024'!$D$4:$D$2091,$B26,'сентябрь 2024'!$J$4:$J$2091,AH$1)</f>
        <v>0</v>
      </c>
      <c r="AI26" s="21">
        <f t="shared" si="1"/>
        <v>0</v>
      </c>
    </row>
    <row r="27" spans="2:35" ht="15" customHeight="1" x14ac:dyDescent="0.25">
      <c r="B27" s="84" t="s">
        <v>315</v>
      </c>
      <c r="C27" s="82">
        <v>25</v>
      </c>
      <c r="D27" s="80">
        <f>SUMIFS('сентябрь 2024'!$G$4:$G$2091,'сентябрь 2024'!$D$4:$D$2091,$B27,'сентябрь 2024'!$J$4:$J$2091,D$1)</f>
        <v>0</v>
      </c>
      <c r="E27" s="80">
        <f>SUMIFS('сентябрь 2024'!$G$4:$G$2091,'сентябрь 2024'!$D$4:$D$2091,$B27,'сентябрь 2024'!$J$4:$J$2091,E$1)</f>
        <v>0</v>
      </c>
      <c r="F27" s="80">
        <f>SUMIFS('сентябрь 2024'!$G$4:$G$2091,'сентябрь 2024'!$D$4:$D$2091,$B27,'сентябрь 2024'!$J$4:$J$2091,F$1)</f>
        <v>0</v>
      </c>
      <c r="G27" s="80">
        <f>SUMIFS('сентябрь 2024'!$G$4:$G$2091,'сентябрь 2024'!$D$4:$D$2091,$B27,'сентябрь 2024'!$J$4:$J$2091,G$1)</f>
        <v>0</v>
      </c>
      <c r="H27" s="80">
        <f>SUMIFS('сентябрь 2024'!$G$4:$G$2091,'сентябрь 2024'!$D$4:$D$2091,$B27,'сентябрь 2024'!$J$4:$J$2091,H$1)</f>
        <v>0</v>
      </c>
      <c r="I27" s="80">
        <f>SUMIFS('сентябрь 2024'!$G$4:$G$2091,'сентябрь 2024'!$D$4:$D$2091,$B27,'сентябрь 2024'!$J$4:$J$2091,I$1)</f>
        <v>0</v>
      </c>
      <c r="J27" s="80">
        <f>SUMIFS('сентябрь 2024'!$G$4:$G$2091,'сентябрь 2024'!$D$4:$D$2091,$B27,'сентябрь 2024'!$J$4:$J$2091,J$1)</f>
        <v>0</v>
      </c>
      <c r="K27" s="80">
        <f>SUMIFS('сентябрь 2024'!$G$4:$G$2091,'сентябрь 2024'!$D$4:$D$2091,$B27,'сентябрь 2024'!$J$4:$J$2091,K$1)</f>
        <v>0</v>
      </c>
      <c r="L27" s="80">
        <f>SUMIFS('сентябрь 2024'!$G$4:$G$2091,'сентябрь 2024'!$D$4:$D$2091,$B27,'сентябрь 2024'!$J$4:$J$2091,L$1)</f>
        <v>0</v>
      </c>
      <c r="M27" s="80">
        <f>SUMIFS('сентябрь 2024'!$G$4:$G$2091,'сентябрь 2024'!$D$4:$D$2091,$B27,'сентябрь 2024'!$J$4:$J$2091,M$1)</f>
        <v>0</v>
      </c>
      <c r="N27" s="80">
        <f>SUMIFS('сентябрь 2024'!$G$4:$G$2091,'сентябрь 2024'!$D$4:$D$2091,$B27,'сентябрь 2024'!$J$4:$J$2091,N$1)</f>
        <v>0</v>
      </c>
      <c r="O27" s="80">
        <f>SUMIFS('сентябрь 2024'!$G$4:$G$2091,'сентябрь 2024'!$D$4:$D$2091,$B27,'сентябрь 2024'!$J$4:$J$2091,O$1)</f>
        <v>0</v>
      </c>
      <c r="P27" s="80">
        <f>SUMIFS('сентябрь 2024'!$G$4:$G$2091,'сентябрь 2024'!$D$4:$D$2091,$B27,'сентябрь 2024'!$J$4:$J$2091,P$1)</f>
        <v>0</v>
      </c>
      <c r="Q27" s="80">
        <f>SUMIFS('сентябрь 2024'!$G$4:$G$2091,'сентябрь 2024'!$D$4:$D$2091,$B27,'сентябрь 2024'!$J$4:$J$2091,Q$1)</f>
        <v>0</v>
      </c>
      <c r="R27" s="80">
        <f>SUMIFS('сентябрь 2024'!$G$4:$G$2091,'сентябрь 2024'!$D$4:$D$2091,$B27,'сентябрь 2024'!$J$4:$J$2091,R$1)</f>
        <v>0</v>
      </c>
      <c r="S27" s="80">
        <f>SUMIFS('сентябрь 2024'!$G$4:$G$2091,'сентябрь 2024'!$D$4:$D$2091,$B27,'сентябрь 2024'!$J$4:$J$2091,S$1)</f>
        <v>0</v>
      </c>
      <c r="T27" s="80">
        <f>SUMIFS('сентябрь 2024'!$G$4:$G$2091,'сентябрь 2024'!$D$4:$D$2091,$B27,'сентябрь 2024'!$J$4:$J$2091,T$1)</f>
        <v>0</v>
      </c>
      <c r="U27" s="80">
        <f>SUMIFS('сентябрь 2024'!$G$4:$G$2091,'сентябрь 2024'!$D$4:$D$2091,$B27,'сентябрь 2024'!$J$4:$J$2091,U$1)</f>
        <v>0</v>
      </c>
      <c r="V27" s="80">
        <f>SUMIFS('сентябрь 2024'!$G$4:$G$2091,'сентябрь 2024'!$D$4:$D$2091,$B27,'сентябрь 2024'!$J$4:$J$2091,V$1)</f>
        <v>0</v>
      </c>
      <c r="W27" s="80">
        <f>SUMIFS('сентябрь 2024'!$G$4:$G$2091,'сентябрь 2024'!$D$4:$D$2091,$B27,'сентябрь 2024'!$J$4:$J$2091,W$1)</f>
        <v>0</v>
      </c>
      <c r="X27" s="80">
        <f>SUMIFS('сентябрь 2024'!$G$4:$G$2091,'сентябрь 2024'!$D$4:$D$2091,$B27,'сентябрь 2024'!$J$4:$J$2091,X$1)</f>
        <v>0</v>
      </c>
      <c r="Y27" s="80">
        <f>SUMIFS('сентябрь 2024'!$G$4:$G$2091,'сентябрь 2024'!$D$4:$D$2091,$B27,'сентябрь 2024'!$J$4:$J$2091,Y$1)</f>
        <v>0</v>
      </c>
      <c r="Z27" s="80">
        <f>SUMIFS('сентябрь 2024'!$G$4:$G$2091,'сентябрь 2024'!$D$4:$D$2091,$B27,'сентябрь 2024'!$J$4:$J$2091,Z$1)</f>
        <v>0</v>
      </c>
      <c r="AA27" s="80">
        <f>SUMIFS('сентябрь 2024'!$G$4:$G$2091,'сентябрь 2024'!$D$4:$D$2091,$B27,'сентябрь 2024'!$J$4:$J$2091,AA$1)</f>
        <v>0</v>
      </c>
      <c r="AB27" s="80">
        <f>SUMIFS('сентябрь 2024'!$G$4:$G$2091,'сентябрь 2024'!$D$4:$D$2091,$B27,'сентябрь 2024'!$J$4:$J$2091,AB$1)</f>
        <v>0</v>
      </c>
      <c r="AC27" s="80">
        <f>SUMIFS('сентябрь 2024'!$G$4:$G$2091,'сентябрь 2024'!$D$4:$D$2091,$B27,'сентябрь 2024'!$J$4:$J$2091,AC$1)</f>
        <v>0</v>
      </c>
      <c r="AD27" s="80">
        <f>SUMIFS('сентябрь 2024'!$G$4:$G$2091,'сентябрь 2024'!$D$4:$D$2091,$B27,'сентябрь 2024'!$J$4:$J$2091,AD$1)</f>
        <v>0</v>
      </c>
      <c r="AE27" s="80">
        <f>SUMIFS('сентябрь 2024'!$G$4:$G$2091,'сентябрь 2024'!$D$4:$D$2091,$B27,'сентябрь 2024'!$J$4:$J$2091,AE$1)</f>
        <v>0</v>
      </c>
      <c r="AF27" s="80">
        <f>SUMIFS('сентябрь 2024'!$G$4:$G$2091,'сентябрь 2024'!$D$4:$D$2091,$B27,'сентябрь 2024'!$J$4:$J$2091,AF$1)</f>
        <v>0</v>
      </c>
      <c r="AG27" s="80">
        <f>SUMIFS('сентябрь 2024'!$G$4:$G$2091,'сентябрь 2024'!$D$4:$D$2091,$B27,'сентябрь 2024'!$J$4:$J$2091,AG$1)</f>
        <v>0</v>
      </c>
      <c r="AH27" s="80">
        <f>SUMIFS('сентябрь 2024'!$G$4:$G$2091,'сентябрь 2024'!$D$4:$D$2091,$B27,'сентябрь 2024'!$J$4:$J$2091,AH$1)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80">
        <f>SUMIFS('сентябрь 2024'!$G$4:$G$2091,'сентябрь 2024'!$D$4:$D$2091,$B28,'сентябрь 2024'!$J$4:$J$2091,D$1)</f>
        <v>0</v>
      </c>
      <c r="E28" s="80">
        <f>SUMIFS('сентябрь 2024'!$G$4:$G$2091,'сентябрь 2024'!$D$4:$D$2091,$B28,'сентябрь 2024'!$J$4:$J$2091,E$1)</f>
        <v>0</v>
      </c>
      <c r="F28" s="80">
        <f>SUMIFS('сентябрь 2024'!$G$4:$G$2091,'сентябрь 2024'!$D$4:$D$2091,$B28,'сентябрь 2024'!$J$4:$J$2091,F$1)</f>
        <v>0</v>
      </c>
      <c r="G28" s="80">
        <f>SUMIFS('сентябрь 2024'!$G$4:$G$2091,'сентябрь 2024'!$D$4:$D$2091,$B28,'сентябрь 2024'!$J$4:$J$2091,G$1)</f>
        <v>0</v>
      </c>
      <c r="H28" s="80">
        <f>SUMIFS('сентябрь 2024'!$G$4:$G$2091,'сентябрь 2024'!$D$4:$D$2091,$B28,'сентябрь 2024'!$J$4:$J$2091,H$1)</f>
        <v>0</v>
      </c>
      <c r="I28" s="80">
        <f>SUMIFS('сентябрь 2024'!$G$4:$G$2091,'сентябрь 2024'!$D$4:$D$2091,$B28,'сентябрь 2024'!$J$4:$J$2091,I$1)</f>
        <v>0</v>
      </c>
      <c r="J28" s="80">
        <f>SUMIFS('сентябрь 2024'!$G$4:$G$2091,'сентябрь 2024'!$D$4:$D$2091,$B28,'сентябрь 2024'!$J$4:$J$2091,J$1)</f>
        <v>0</v>
      </c>
      <c r="K28" s="80">
        <f>SUMIFS('сентябрь 2024'!$G$4:$G$2091,'сентябрь 2024'!$D$4:$D$2091,$B28,'сентябрь 2024'!$J$4:$J$2091,K$1)</f>
        <v>0</v>
      </c>
      <c r="L28" s="80">
        <f>SUMIFS('сентябрь 2024'!$G$4:$G$2091,'сентябрь 2024'!$D$4:$D$2091,$B28,'сентябрь 2024'!$J$4:$J$2091,L$1)</f>
        <v>0</v>
      </c>
      <c r="M28" s="80">
        <f>SUMIFS('сентябрь 2024'!$G$4:$G$2091,'сентябрь 2024'!$D$4:$D$2091,$B28,'сентябрь 2024'!$J$4:$J$2091,M$1)</f>
        <v>0</v>
      </c>
      <c r="N28" s="80">
        <f>SUMIFS('сентябрь 2024'!$G$4:$G$2091,'сентябрь 2024'!$D$4:$D$2091,$B28,'сентябрь 2024'!$J$4:$J$2091,N$1)</f>
        <v>0</v>
      </c>
      <c r="O28" s="80">
        <f>SUMIFS('сентябрь 2024'!$G$4:$G$2091,'сентябрь 2024'!$D$4:$D$2091,$B28,'сентябрь 2024'!$J$4:$J$2091,O$1)</f>
        <v>0</v>
      </c>
      <c r="P28" s="80">
        <f>SUMIFS('сентябрь 2024'!$G$4:$G$2091,'сентябрь 2024'!$D$4:$D$2091,$B28,'сентябрь 2024'!$J$4:$J$2091,P$1)</f>
        <v>0</v>
      </c>
      <c r="Q28" s="80">
        <f>SUMIFS('сентябрь 2024'!$G$4:$G$2091,'сентябрь 2024'!$D$4:$D$2091,$B28,'сентябрь 2024'!$J$4:$J$2091,Q$1)</f>
        <v>0</v>
      </c>
      <c r="R28" s="80">
        <f>SUMIFS('сентябрь 2024'!$G$4:$G$2091,'сентябрь 2024'!$D$4:$D$2091,$B28,'сентябрь 2024'!$J$4:$J$2091,R$1)</f>
        <v>0</v>
      </c>
      <c r="S28" s="80">
        <f>SUMIFS('сентябрь 2024'!$G$4:$G$2091,'сентябрь 2024'!$D$4:$D$2091,$B28,'сентябрь 2024'!$J$4:$J$2091,S$1)</f>
        <v>0</v>
      </c>
      <c r="T28" s="80">
        <f>SUMIFS('сентябрь 2024'!$G$4:$G$2091,'сентябрь 2024'!$D$4:$D$2091,$B28,'сентябрь 2024'!$J$4:$J$2091,T$1)</f>
        <v>0</v>
      </c>
      <c r="U28" s="80">
        <f>SUMIFS('сентябрь 2024'!$G$4:$G$2091,'сентябрь 2024'!$D$4:$D$2091,$B28,'сентябрь 2024'!$J$4:$J$2091,U$1)</f>
        <v>0</v>
      </c>
      <c r="V28" s="80">
        <f>SUMIFS('сентябрь 2024'!$G$4:$G$2091,'сентябрь 2024'!$D$4:$D$2091,$B28,'сентябрь 2024'!$J$4:$J$2091,V$1)</f>
        <v>0</v>
      </c>
      <c r="W28" s="80">
        <f>SUMIFS('сентябрь 2024'!$G$4:$G$2091,'сентябрь 2024'!$D$4:$D$2091,$B28,'сентябрь 2024'!$J$4:$J$2091,W$1)</f>
        <v>0</v>
      </c>
      <c r="X28" s="80">
        <f>SUMIFS('сентябрь 2024'!$G$4:$G$2091,'сентябрь 2024'!$D$4:$D$2091,$B28,'сентябрь 2024'!$J$4:$J$2091,X$1)</f>
        <v>0</v>
      </c>
      <c r="Y28" s="80">
        <f>SUMIFS('сентябрь 2024'!$G$4:$G$2091,'сентябрь 2024'!$D$4:$D$2091,$B28,'сентябрь 2024'!$J$4:$J$2091,Y$1)</f>
        <v>0</v>
      </c>
      <c r="Z28" s="80">
        <f>SUMIFS('сентябрь 2024'!$G$4:$G$2091,'сентябрь 2024'!$D$4:$D$2091,$B28,'сентябрь 2024'!$J$4:$J$2091,Z$1)</f>
        <v>0</v>
      </c>
      <c r="AA28" s="80">
        <f>SUMIFS('сентябрь 2024'!$G$4:$G$2091,'сентябрь 2024'!$D$4:$D$2091,$B28,'сентябрь 2024'!$J$4:$J$2091,AA$1)</f>
        <v>0</v>
      </c>
      <c r="AB28" s="80">
        <f>SUMIFS('сентябрь 2024'!$G$4:$G$2091,'сентябрь 2024'!$D$4:$D$2091,$B28,'сентябрь 2024'!$J$4:$J$2091,AB$1)</f>
        <v>0</v>
      </c>
      <c r="AC28" s="80">
        <f>SUMIFS('сентябрь 2024'!$G$4:$G$2091,'сентябрь 2024'!$D$4:$D$2091,$B28,'сентябрь 2024'!$J$4:$J$2091,AC$1)</f>
        <v>0</v>
      </c>
      <c r="AD28" s="80">
        <f>SUMIFS('сентябрь 2024'!$G$4:$G$2091,'сентябрь 2024'!$D$4:$D$2091,$B28,'сентябрь 2024'!$J$4:$J$2091,AD$1)</f>
        <v>0</v>
      </c>
      <c r="AE28" s="80">
        <f>SUMIFS('сентябрь 2024'!$G$4:$G$2091,'сентябрь 2024'!$D$4:$D$2091,$B28,'сентябрь 2024'!$J$4:$J$2091,AE$1)</f>
        <v>0</v>
      </c>
      <c r="AF28" s="80">
        <f>SUMIFS('сентябрь 2024'!$G$4:$G$2091,'сентябрь 2024'!$D$4:$D$2091,$B28,'сентябрь 2024'!$J$4:$J$2091,AF$1)</f>
        <v>0</v>
      </c>
      <c r="AG28" s="80">
        <f>SUMIFS('сентябрь 2024'!$G$4:$G$2091,'сентябрь 2024'!$D$4:$D$2091,$B28,'сентябрь 2024'!$J$4:$J$2091,AG$1)</f>
        <v>0</v>
      </c>
      <c r="AH28" s="80">
        <f>SUMIFS('сентябрь 2024'!$G$4:$G$2091,'сентябрь 2024'!$D$4:$D$2091,$B28,'сентябрь 2024'!$J$4:$J$2091,AH$1)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80">
        <f>SUMIFS('сентябрь 2024'!$G$4:$G$2091,'сентябрь 2024'!$D$4:$D$2091,$B29,'сентябрь 2024'!$J$4:$J$2091,D$1)</f>
        <v>0</v>
      </c>
      <c r="E29" s="80">
        <f>SUMIFS('сентябрь 2024'!$G$4:$G$2091,'сентябрь 2024'!$D$4:$D$2091,$B29,'сентябрь 2024'!$J$4:$J$2091,E$1)</f>
        <v>0</v>
      </c>
      <c r="F29" s="80">
        <f>SUMIFS('сентябрь 2024'!$G$4:$G$2091,'сентябрь 2024'!$D$4:$D$2091,$B29,'сентябрь 2024'!$J$4:$J$2091,F$1)</f>
        <v>0</v>
      </c>
      <c r="G29" s="80">
        <f>SUMIFS('сентябрь 2024'!$G$4:$G$2091,'сентябрь 2024'!$D$4:$D$2091,$B29,'сентябрь 2024'!$J$4:$J$2091,G$1)</f>
        <v>0</v>
      </c>
      <c r="H29" s="80">
        <f>SUMIFS('сентябрь 2024'!$G$4:$G$2091,'сентябрь 2024'!$D$4:$D$2091,$B29,'сентябрь 2024'!$J$4:$J$2091,H$1)</f>
        <v>0</v>
      </c>
      <c r="I29" s="80">
        <f>SUMIFS('сентябрь 2024'!$G$4:$G$2091,'сентябрь 2024'!$D$4:$D$2091,$B29,'сентябрь 2024'!$J$4:$J$2091,I$1)</f>
        <v>0</v>
      </c>
      <c r="J29" s="80">
        <f>SUMIFS('сентябрь 2024'!$G$4:$G$2091,'сентябрь 2024'!$D$4:$D$2091,$B29,'сентябрь 2024'!$J$4:$J$2091,J$1)</f>
        <v>0</v>
      </c>
      <c r="K29" s="80">
        <f>SUMIFS('сентябрь 2024'!$G$4:$G$2091,'сентябрь 2024'!$D$4:$D$2091,$B29,'сентябрь 2024'!$J$4:$J$2091,K$1)</f>
        <v>0</v>
      </c>
      <c r="L29" s="80">
        <f>SUMIFS('сентябрь 2024'!$G$4:$G$2091,'сентябрь 2024'!$D$4:$D$2091,$B29,'сентябрь 2024'!$J$4:$J$2091,L$1)</f>
        <v>0</v>
      </c>
      <c r="M29" s="80">
        <f>SUMIFS('сентябрь 2024'!$G$4:$G$2091,'сентябрь 2024'!$D$4:$D$2091,$B29,'сентябрь 2024'!$J$4:$J$2091,M$1)</f>
        <v>0</v>
      </c>
      <c r="N29" s="80">
        <f>SUMIFS('сентябрь 2024'!$G$4:$G$2091,'сентябрь 2024'!$D$4:$D$2091,$B29,'сентябрь 2024'!$J$4:$J$2091,N$1)</f>
        <v>0</v>
      </c>
      <c r="O29" s="80">
        <f>SUMIFS('сентябрь 2024'!$G$4:$G$2091,'сентябрь 2024'!$D$4:$D$2091,$B29,'сентябрь 2024'!$J$4:$J$2091,O$1)</f>
        <v>0</v>
      </c>
      <c r="P29" s="80">
        <f>SUMIFS('сентябрь 2024'!$G$4:$G$2091,'сентябрь 2024'!$D$4:$D$2091,$B29,'сентябрь 2024'!$J$4:$J$2091,P$1)</f>
        <v>0</v>
      </c>
      <c r="Q29" s="80">
        <f>SUMIFS('сентябрь 2024'!$G$4:$G$2091,'сентябрь 2024'!$D$4:$D$2091,$B29,'сентябрь 2024'!$J$4:$J$2091,Q$1)</f>
        <v>0</v>
      </c>
      <c r="R29" s="80">
        <f>SUMIFS('сентябрь 2024'!$G$4:$G$2091,'сентябрь 2024'!$D$4:$D$2091,$B29,'сентябрь 2024'!$J$4:$J$2091,R$1)</f>
        <v>0</v>
      </c>
      <c r="S29" s="80">
        <f>SUMIFS('сентябрь 2024'!$G$4:$G$2091,'сентябрь 2024'!$D$4:$D$2091,$B29,'сентябрь 2024'!$J$4:$J$2091,S$1)</f>
        <v>0</v>
      </c>
      <c r="T29" s="80">
        <f>SUMIFS('сентябрь 2024'!$G$4:$G$2091,'сентябрь 2024'!$D$4:$D$2091,$B29,'сентябрь 2024'!$J$4:$J$2091,T$1)</f>
        <v>0</v>
      </c>
      <c r="U29" s="80">
        <f>SUMIFS('сентябрь 2024'!$G$4:$G$2091,'сентябрь 2024'!$D$4:$D$2091,$B29,'сентябрь 2024'!$J$4:$J$2091,U$1)</f>
        <v>0</v>
      </c>
      <c r="V29" s="80">
        <f>SUMIFS('сентябрь 2024'!$G$4:$G$2091,'сентябрь 2024'!$D$4:$D$2091,$B29,'сентябрь 2024'!$J$4:$J$2091,V$1)</f>
        <v>0</v>
      </c>
      <c r="W29" s="80">
        <f>SUMIFS('сентябрь 2024'!$G$4:$G$2091,'сентябрь 2024'!$D$4:$D$2091,$B29,'сентябрь 2024'!$J$4:$J$2091,W$1)</f>
        <v>0</v>
      </c>
      <c r="X29" s="80">
        <f>SUMIFS('сентябрь 2024'!$G$4:$G$2091,'сентябрь 2024'!$D$4:$D$2091,$B29,'сентябрь 2024'!$J$4:$J$2091,X$1)</f>
        <v>0</v>
      </c>
      <c r="Y29" s="80">
        <f>SUMIFS('сентябрь 2024'!$G$4:$G$2091,'сентябрь 2024'!$D$4:$D$2091,$B29,'сентябрь 2024'!$J$4:$J$2091,Y$1)</f>
        <v>0</v>
      </c>
      <c r="Z29" s="80">
        <f>SUMIFS('сентябрь 2024'!$G$4:$G$2091,'сентябрь 2024'!$D$4:$D$2091,$B29,'сентябрь 2024'!$J$4:$J$2091,Z$1)</f>
        <v>0</v>
      </c>
      <c r="AA29" s="80">
        <f>SUMIFS('сентябрь 2024'!$G$4:$G$2091,'сентябрь 2024'!$D$4:$D$2091,$B29,'сентябрь 2024'!$J$4:$J$2091,AA$1)</f>
        <v>0</v>
      </c>
      <c r="AB29" s="80">
        <f>SUMIFS('сентябрь 2024'!$G$4:$G$2091,'сентябрь 2024'!$D$4:$D$2091,$B29,'сентябрь 2024'!$J$4:$J$2091,AB$1)</f>
        <v>0</v>
      </c>
      <c r="AC29" s="80">
        <f>SUMIFS('сентябрь 2024'!$G$4:$G$2091,'сентябрь 2024'!$D$4:$D$2091,$B29,'сентябрь 2024'!$J$4:$J$2091,AC$1)</f>
        <v>0</v>
      </c>
      <c r="AD29" s="80">
        <f>SUMIFS('сентябрь 2024'!$G$4:$G$2091,'сентябрь 2024'!$D$4:$D$2091,$B29,'сентябрь 2024'!$J$4:$J$2091,AD$1)</f>
        <v>0</v>
      </c>
      <c r="AE29" s="80">
        <f>SUMIFS('сентябрь 2024'!$G$4:$G$2091,'сентябрь 2024'!$D$4:$D$2091,$B29,'сентябрь 2024'!$J$4:$J$2091,AE$1)</f>
        <v>0</v>
      </c>
      <c r="AF29" s="80">
        <f>SUMIFS('сентябрь 2024'!$G$4:$G$2091,'сентябрь 2024'!$D$4:$D$2091,$B29,'сентябрь 2024'!$J$4:$J$2091,AF$1)</f>
        <v>0</v>
      </c>
      <c r="AG29" s="80">
        <f>SUMIFS('сентябрь 2024'!$G$4:$G$2091,'сентябрь 2024'!$D$4:$D$2091,$B29,'сентябрь 2024'!$J$4:$J$2091,AG$1)</f>
        <v>0</v>
      </c>
      <c r="AH29" s="80">
        <f>SUMIFS('сентябрь 2024'!$G$4:$G$2091,'сентябрь 2024'!$D$4:$D$2091,$B29,'сентябрь 2024'!$J$4:$J$2091,AH$1)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SUMIFS('сентябрь 2024'!$G$4:$G$2091,'сентябрь 2024'!$D$4:$D$2091,$B30,'сентябрь 2024'!$J$4:$J$2091,D$1)</f>
        <v>0</v>
      </c>
      <c r="E30" s="80">
        <f>SUMIFS('сентябрь 2024'!$G$4:$G$2091,'сентябрь 2024'!$D$4:$D$2091,$B30,'сентябрь 2024'!$J$4:$J$2091,E$1)</f>
        <v>0</v>
      </c>
      <c r="F30" s="80">
        <f>SUMIFS('сентябрь 2024'!$G$4:$G$2091,'сентябрь 2024'!$D$4:$D$2091,$B30,'сентябрь 2024'!$J$4:$J$2091,F$1)</f>
        <v>0</v>
      </c>
      <c r="G30" s="80">
        <f>SUMIFS('сентябрь 2024'!$G$4:$G$2091,'сентябрь 2024'!$D$4:$D$2091,$B30,'сентябрь 2024'!$J$4:$J$2091,G$1)</f>
        <v>0</v>
      </c>
      <c r="H30" s="80">
        <f>SUMIFS('сентябрь 2024'!$G$4:$G$2091,'сентябрь 2024'!$D$4:$D$2091,$B30,'сентябрь 2024'!$J$4:$J$2091,H$1)</f>
        <v>0</v>
      </c>
      <c r="I30" s="80">
        <f>SUMIFS('сентябрь 2024'!$G$4:$G$2091,'сентябрь 2024'!$D$4:$D$2091,$B30,'сентябрь 2024'!$J$4:$J$2091,I$1)</f>
        <v>0</v>
      </c>
      <c r="J30" s="80">
        <f>SUMIFS('сентябрь 2024'!$G$4:$G$2091,'сентябрь 2024'!$D$4:$D$2091,$B30,'сентябрь 2024'!$J$4:$J$2091,J$1)</f>
        <v>0</v>
      </c>
      <c r="K30" s="80">
        <f>SUMIFS('сентябрь 2024'!$G$4:$G$2091,'сентябрь 2024'!$D$4:$D$2091,$B30,'сентябрь 2024'!$J$4:$J$2091,K$1)</f>
        <v>0</v>
      </c>
      <c r="L30" s="80">
        <f>SUMIFS('сентябрь 2024'!$G$4:$G$2091,'сентябрь 2024'!$D$4:$D$2091,$B30,'сентябрь 2024'!$J$4:$J$2091,L$1)</f>
        <v>0</v>
      </c>
      <c r="M30" s="80">
        <f>SUMIFS('сентябрь 2024'!$G$4:$G$2091,'сентябрь 2024'!$D$4:$D$2091,$B30,'сентябрь 2024'!$J$4:$J$2091,M$1)</f>
        <v>0</v>
      </c>
      <c r="N30" s="80">
        <f>SUMIFS('сентябрь 2024'!$G$4:$G$2091,'сентябрь 2024'!$D$4:$D$2091,$B30,'сентябрь 2024'!$J$4:$J$2091,N$1)</f>
        <v>0</v>
      </c>
      <c r="O30" s="80">
        <f>SUMIFS('сентябрь 2024'!$G$4:$G$2091,'сентябрь 2024'!$D$4:$D$2091,$B30,'сентябрь 2024'!$J$4:$J$2091,O$1)</f>
        <v>0</v>
      </c>
      <c r="P30" s="80">
        <f>SUMIFS('сентябрь 2024'!$G$4:$G$2091,'сентябрь 2024'!$D$4:$D$2091,$B30,'сентябрь 2024'!$J$4:$J$2091,P$1)</f>
        <v>0</v>
      </c>
      <c r="Q30" s="80">
        <f>SUMIFS('сентябрь 2024'!$G$4:$G$2091,'сентябрь 2024'!$D$4:$D$2091,$B30,'сентябрь 2024'!$J$4:$J$2091,Q$1)</f>
        <v>0</v>
      </c>
      <c r="R30" s="80">
        <f>SUMIFS('сентябрь 2024'!$G$4:$G$2091,'сентябрь 2024'!$D$4:$D$2091,$B30,'сентябрь 2024'!$J$4:$J$2091,R$1)</f>
        <v>0</v>
      </c>
      <c r="S30" s="80">
        <f>SUMIFS('сентябрь 2024'!$G$4:$G$2091,'сентябрь 2024'!$D$4:$D$2091,$B30,'сентябрь 2024'!$J$4:$J$2091,S$1)</f>
        <v>0</v>
      </c>
      <c r="T30" s="80">
        <f>SUMIFS('сентябрь 2024'!$G$4:$G$2091,'сентябрь 2024'!$D$4:$D$2091,$B30,'сентябрь 2024'!$J$4:$J$2091,T$1)</f>
        <v>0</v>
      </c>
      <c r="U30" s="80">
        <f>SUMIFS('сентябрь 2024'!$G$4:$G$2091,'сентябрь 2024'!$D$4:$D$2091,$B30,'сентябрь 2024'!$J$4:$J$2091,U$1)</f>
        <v>0</v>
      </c>
      <c r="V30" s="80">
        <f>SUMIFS('сентябрь 2024'!$G$4:$G$2091,'сентябрь 2024'!$D$4:$D$2091,$B30,'сентябрь 2024'!$J$4:$J$2091,V$1)</f>
        <v>0</v>
      </c>
      <c r="W30" s="80">
        <f>SUMIFS('сентябрь 2024'!$G$4:$G$2091,'сентябрь 2024'!$D$4:$D$2091,$B30,'сентябрь 2024'!$J$4:$J$2091,W$1)</f>
        <v>0</v>
      </c>
      <c r="X30" s="80">
        <f>SUMIFS('сентябрь 2024'!$G$4:$G$2091,'сентябрь 2024'!$D$4:$D$2091,$B30,'сентябрь 2024'!$J$4:$J$2091,X$1)</f>
        <v>0</v>
      </c>
      <c r="Y30" s="80">
        <f>SUMIFS('сентябрь 2024'!$G$4:$G$2091,'сентябрь 2024'!$D$4:$D$2091,$B30,'сентябрь 2024'!$J$4:$J$2091,Y$1)</f>
        <v>0</v>
      </c>
      <c r="Z30" s="80">
        <f>SUMIFS('сентябрь 2024'!$G$4:$G$2091,'сентябрь 2024'!$D$4:$D$2091,$B30,'сентябрь 2024'!$J$4:$J$2091,Z$1)</f>
        <v>0</v>
      </c>
      <c r="AA30" s="80">
        <f>SUMIFS('сентябрь 2024'!$G$4:$G$2091,'сентябрь 2024'!$D$4:$D$2091,$B30,'сентябрь 2024'!$J$4:$J$2091,AA$1)</f>
        <v>0</v>
      </c>
      <c r="AB30" s="80">
        <f>SUMIFS('сентябрь 2024'!$G$4:$G$2091,'сентябрь 2024'!$D$4:$D$2091,$B30,'сентябрь 2024'!$J$4:$J$2091,AB$1)</f>
        <v>0</v>
      </c>
      <c r="AC30" s="80">
        <f>SUMIFS('сентябрь 2024'!$G$4:$G$2091,'сентябрь 2024'!$D$4:$D$2091,$B30,'сентябрь 2024'!$J$4:$J$2091,AC$1)</f>
        <v>0</v>
      </c>
      <c r="AD30" s="80">
        <f>SUMIFS('сентябрь 2024'!$G$4:$G$2091,'сентябрь 2024'!$D$4:$D$2091,$B30,'сентябрь 2024'!$J$4:$J$2091,AD$1)</f>
        <v>0</v>
      </c>
      <c r="AE30" s="80">
        <f>SUMIFS('сентябрь 2024'!$G$4:$G$2091,'сентябрь 2024'!$D$4:$D$2091,$B30,'сентябрь 2024'!$J$4:$J$2091,AE$1)</f>
        <v>0</v>
      </c>
      <c r="AF30" s="80">
        <f>SUMIFS('сентябрь 2024'!$G$4:$G$2091,'сентябрь 2024'!$D$4:$D$2091,$B30,'сентябрь 2024'!$J$4:$J$2091,AF$1)</f>
        <v>0</v>
      </c>
      <c r="AG30" s="80">
        <f>SUMIFS('сентябрь 2024'!$G$4:$G$2091,'сентябрь 2024'!$D$4:$D$2091,$B30,'сентябрь 2024'!$J$4:$J$2091,AG$1)</f>
        <v>0</v>
      </c>
      <c r="AH30" s="80">
        <f>SUMIFS('сентябрь 2024'!$G$4:$G$2091,'сентябрь 2024'!$D$4:$D$2091,$B30,'сентябрь 2024'!$J$4:$J$2091,AH$1)</f>
        <v>0</v>
      </c>
      <c r="AI30" s="21">
        <f t="shared" si="1"/>
        <v>0</v>
      </c>
    </row>
    <row r="31" spans="2:35" ht="15" customHeight="1" x14ac:dyDescent="0.25">
      <c r="B31" s="84"/>
      <c r="C31" s="82"/>
      <c r="D31" s="80">
        <f>SUMIFS('сентябрь 2024'!$G$4:$G$2091,'сентябрь 2024'!$D$4:$D$2091,$B31,'сентябрь 2024'!$J$4:$J$2091,D$1)</f>
        <v>0</v>
      </c>
      <c r="E31" s="80">
        <f>SUMIFS('сентябрь 2024'!$G$4:$G$2091,'сентябрь 2024'!$D$4:$D$2091,$B31,'сентябрь 2024'!$J$4:$J$2091,E$1)</f>
        <v>0</v>
      </c>
      <c r="F31" s="80">
        <f>SUMIFS('сентябрь 2024'!$G$4:$G$2091,'сентябрь 2024'!$D$4:$D$2091,$B31,'сентябрь 2024'!$J$4:$J$2091,F$1)</f>
        <v>0</v>
      </c>
      <c r="G31" s="80">
        <f>SUMIFS('сентябрь 2024'!$G$4:$G$2091,'сентябрь 2024'!$D$4:$D$2091,$B31,'сентябрь 2024'!$J$4:$J$2091,G$1)</f>
        <v>0</v>
      </c>
      <c r="H31" s="80">
        <f>SUMIFS('сентябрь 2024'!$G$4:$G$2091,'сентябрь 2024'!$D$4:$D$2091,$B31,'сентябрь 2024'!$J$4:$J$2091,H$1)</f>
        <v>0</v>
      </c>
      <c r="I31" s="80">
        <f>SUMIFS('сентябрь 2024'!$G$4:$G$2091,'сентябрь 2024'!$D$4:$D$2091,$B31,'сентябрь 2024'!$J$4:$J$2091,I$1)</f>
        <v>0</v>
      </c>
      <c r="J31" s="80">
        <f>SUMIFS('сентябрь 2024'!$G$4:$G$2091,'сентябрь 2024'!$D$4:$D$2091,$B31,'сентябрь 2024'!$J$4:$J$2091,J$1)</f>
        <v>0</v>
      </c>
      <c r="K31" s="80">
        <f>SUMIFS('сентябрь 2024'!$G$4:$G$2091,'сентябрь 2024'!$D$4:$D$2091,$B31,'сентябрь 2024'!$J$4:$J$2091,K$1)</f>
        <v>0</v>
      </c>
      <c r="L31" s="80">
        <f>SUMIFS('сентябрь 2024'!$G$4:$G$2091,'сентябрь 2024'!$D$4:$D$2091,$B31,'сентябрь 2024'!$J$4:$J$2091,L$1)</f>
        <v>0</v>
      </c>
      <c r="M31" s="80">
        <f>SUMIFS('сентябрь 2024'!$G$4:$G$2091,'сентябрь 2024'!$D$4:$D$2091,$B31,'сентябрь 2024'!$J$4:$J$2091,M$1)</f>
        <v>0</v>
      </c>
      <c r="N31" s="80">
        <f>SUMIFS('сентябрь 2024'!$G$4:$G$2091,'сентябрь 2024'!$D$4:$D$2091,$B31,'сентябрь 2024'!$J$4:$J$2091,N$1)</f>
        <v>0</v>
      </c>
      <c r="O31" s="80">
        <f>SUMIFS('сентябрь 2024'!$G$4:$G$2091,'сентябрь 2024'!$D$4:$D$2091,$B31,'сентябрь 2024'!$J$4:$J$2091,O$1)</f>
        <v>0</v>
      </c>
      <c r="P31" s="80">
        <f>SUMIFS('сентябрь 2024'!$G$4:$G$2091,'сентябрь 2024'!$D$4:$D$2091,$B31,'сентябрь 2024'!$J$4:$J$2091,P$1)</f>
        <v>0</v>
      </c>
      <c r="Q31" s="80">
        <f>SUMIFS('сентябрь 2024'!$G$4:$G$2091,'сентябрь 2024'!$D$4:$D$2091,$B31,'сентябрь 2024'!$J$4:$J$2091,Q$1)</f>
        <v>0</v>
      </c>
      <c r="R31" s="80">
        <f>SUMIFS('сентябрь 2024'!$G$4:$G$2091,'сентябрь 2024'!$D$4:$D$2091,$B31,'сентябрь 2024'!$J$4:$J$2091,R$1)</f>
        <v>0</v>
      </c>
      <c r="S31" s="80">
        <f>SUMIFS('сентябрь 2024'!$G$4:$G$2091,'сентябрь 2024'!$D$4:$D$2091,$B31,'сентябрь 2024'!$J$4:$J$2091,S$1)</f>
        <v>0</v>
      </c>
      <c r="T31" s="80">
        <f>SUMIFS('сентябрь 2024'!$G$4:$G$2091,'сентябрь 2024'!$D$4:$D$2091,$B31,'сентябрь 2024'!$J$4:$J$2091,T$1)</f>
        <v>0</v>
      </c>
      <c r="U31" s="80">
        <f>SUMIFS('сентябрь 2024'!$G$4:$G$2091,'сентябрь 2024'!$D$4:$D$2091,$B31,'сентябрь 2024'!$J$4:$J$2091,U$1)</f>
        <v>0</v>
      </c>
      <c r="V31" s="80">
        <f>SUMIFS('сентябрь 2024'!$G$4:$G$2091,'сентябрь 2024'!$D$4:$D$2091,$B31,'сентябрь 2024'!$J$4:$J$2091,V$1)</f>
        <v>0</v>
      </c>
      <c r="W31" s="80">
        <f>SUMIFS('сентябрь 2024'!$G$4:$G$2091,'сентябрь 2024'!$D$4:$D$2091,$B31,'сентябрь 2024'!$J$4:$J$2091,W$1)</f>
        <v>0</v>
      </c>
      <c r="X31" s="80">
        <f>SUMIFS('сентябрь 2024'!$G$4:$G$2091,'сентябрь 2024'!$D$4:$D$2091,$B31,'сентябрь 2024'!$J$4:$J$2091,X$1)</f>
        <v>0</v>
      </c>
      <c r="Y31" s="80">
        <f>SUMIFS('сентябрь 2024'!$G$4:$G$2091,'сентябрь 2024'!$D$4:$D$2091,$B31,'сентябрь 2024'!$J$4:$J$2091,Y$1)</f>
        <v>0</v>
      </c>
      <c r="Z31" s="80">
        <f>SUMIFS('сентябрь 2024'!$G$4:$G$2091,'сентябрь 2024'!$D$4:$D$2091,$B31,'сентябрь 2024'!$J$4:$J$2091,Z$1)</f>
        <v>0</v>
      </c>
      <c r="AA31" s="80">
        <f>SUMIFS('сентябрь 2024'!$G$4:$G$2091,'сентябрь 2024'!$D$4:$D$2091,$B31,'сентябрь 2024'!$J$4:$J$2091,AA$1)</f>
        <v>0</v>
      </c>
      <c r="AB31" s="80">
        <f>SUMIFS('сентябрь 2024'!$G$4:$G$2091,'сентябрь 2024'!$D$4:$D$2091,$B31,'сентябрь 2024'!$J$4:$J$2091,AB$1)</f>
        <v>0</v>
      </c>
      <c r="AC31" s="80">
        <f>SUMIFS('сентябрь 2024'!$G$4:$G$2091,'сентябрь 2024'!$D$4:$D$2091,$B31,'сентябрь 2024'!$J$4:$J$2091,AC$1)</f>
        <v>0</v>
      </c>
      <c r="AD31" s="80">
        <f>SUMIFS('сентябрь 2024'!$G$4:$G$2091,'сентябрь 2024'!$D$4:$D$2091,$B31,'сентябрь 2024'!$J$4:$J$2091,AD$1)</f>
        <v>0</v>
      </c>
      <c r="AE31" s="80">
        <f>SUMIFS('сентябрь 2024'!$G$4:$G$2091,'сентябрь 2024'!$D$4:$D$2091,$B31,'сентябрь 2024'!$J$4:$J$2091,AE$1)</f>
        <v>0</v>
      </c>
      <c r="AF31" s="80">
        <f>SUMIFS('сентябрь 2024'!$G$4:$G$2091,'сентябрь 2024'!$D$4:$D$2091,$B31,'сентябрь 2024'!$J$4:$J$2091,AF$1)</f>
        <v>0</v>
      </c>
      <c r="AG31" s="80">
        <f>SUMIFS('сентябрь 2024'!$G$4:$G$2091,'сентябрь 2024'!$D$4:$D$2091,$B31,'сентябрь 2024'!$J$4:$J$2091,AG$1)</f>
        <v>0</v>
      </c>
      <c r="AH31" s="80">
        <f>SUMIFS('сентябрь 2024'!$G$4:$G$2091,'сентябрь 2024'!$D$4:$D$2091,$B31,'сентябрь 2024'!$J$4:$J$2091,AH$1)</f>
        <v>0</v>
      </c>
      <c r="AI31" s="21">
        <f t="shared" si="1"/>
        <v>0</v>
      </c>
    </row>
    <row r="32" spans="2:35" ht="15" customHeight="1" x14ac:dyDescent="0.25">
      <c r="B32" s="84"/>
      <c r="C32" s="82"/>
      <c r="D32" s="80">
        <f>SUMIFS('сентябрь 2024'!$G$4:$G$2091,'сентябрь 2024'!$D$4:$D$2091,$B32,'сентябрь 2024'!$J$4:$J$2091,D$1)</f>
        <v>0</v>
      </c>
      <c r="E32" s="80">
        <f>SUMIFS('сентябрь 2024'!$G$4:$G$2091,'сентябрь 2024'!$D$4:$D$2091,$B32,'сентябрь 2024'!$J$4:$J$2091,E$1)</f>
        <v>0</v>
      </c>
      <c r="F32" s="80">
        <f>SUMIFS('сентябрь 2024'!$G$4:$G$2091,'сентябрь 2024'!$D$4:$D$2091,$B32,'сентябрь 2024'!$J$4:$J$2091,F$1)</f>
        <v>0</v>
      </c>
      <c r="G32" s="80">
        <f>SUMIFS('сентябрь 2024'!$G$4:$G$2091,'сентябрь 2024'!$D$4:$D$2091,$B32,'сентябрь 2024'!$J$4:$J$2091,G$1)</f>
        <v>0</v>
      </c>
      <c r="H32" s="80">
        <f>SUMIFS('сентябрь 2024'!$G$4:$G$2091,'сентябрь 2024'!$D$4:$D$2091,$B32,'сентябрь 2024'!$J$4:$J$2091,H$1)</f>
        <v>0</v>
      </c>
      <c r="I32" s="80">
        <f>SUMIFS('сентябрь 2024'!$G$4:$G$2091,'сентябрь 2024'!$D$4:$D$2091,$B32,'сентябрь 2024'!$J$4:$J$2091,I$1)</f>
        <v>0</v>
      </c>
      <c r="J32" s="80">
        <f>SUMIFS('сентябрь 2024'!$G$4:$G$2091,'сентябрь 2024'!$D$4:$D$2091,$B32,'сентябрь 2024'!$J$4:$J$2091,J$1)</f>
        <v>0</v>
      </c>
      <c r="K32" s="80">
        <f>SUMIFS('сентябрь 2024'!$G$4:$G$2091,'сентябрь 2024'!$D$4:$D$2091,$B32,'сентябрь 2024'!$J$4:$J$2091,K$1)</f>
        <v>0</v>
      </c>
      <c r="L32" s="80">
        <f>SUMIFS('сентябрь 2024'!$G$4:$G$2091,'сентябрь 2024'!$D$4:$D$2091,$B32,'сентябрь 2024'!$J$4:$J$2091,L$1)</f>
        <v>0</v>
      </c>
      <c r="M32" s="80">
        <f>SUMIFS('сентябрь 2024'!$G$4:$G$2091,'сентябрь 2024'!$D$4:$D$2091,$B32,'сентябрь 2024'!$J$4:$J$2091,M$1)</f>
        <v>0</v>
      </c>
      <c r="N32" s="80">
        <f>SUMIFS('сентябрь 2024'!$G$4:$G$2091,'сентябрь 2024'!$D$4:$D$2091,$B32,'сентябрь 2024'!$J$4:$J$2091,N$1)</f>
        <v>0</v>
      </c>
      <c r="O32" s="80">
        <f>SUMIFS('сентябрь 2024'!$G$4:$G$2091,'сентябрь 2024'!$D$4:$D$2091,$B32,'сентябрь 2024'!$J$4:$J$2091,O$1)</f>
        <v>0</v>
      </c>
      <c r="P32" s="80">
        <f>SUMIFS('сентябрь 2024'!$G$4:$G$2091,'сентябрь 2024'!$D$4:$D$2091,$B32,'сентябрь 2024'!$J$4:$J$2091,P$1)</f>
        <v>0</v>
      </c>
      <c r="Q32" s="80">
        <f>SUMIFS('сентябрь 2024'!$G$4:$G$2091,'сентябрь 2024'!$D$4:$D$2091,$B32,'сентябрь 2024'!$J$4:$J$2091,Q$1)</f>
        <v>0</v>
      </c>
      <c r="R32" s="80">
        <f>SUMIFS('сентябрь 2024'!$G$4:$G$2091,'сентябрь 2024'!$D$4:$D$2091,$B32,'сентябрь 2024'!$J$4:$J$2091,R$1)</f>
        <v>0</v>
      </c>
      <c r="S32" s="80">
        <f>SUMIFS('сентябрь 2024'!$G$4:$G$2091,'сентябрь 2024'!$D$4:$D$2091,$B32,'сентябрь 2024'!$J$4:$J$2091,S$1)</f>
        <v>0</v>
      </c>
      <c r="T32" s="80">
        <f>SUMIFS('сентябрь 2024'!$G$4:$G$2091,'сентябрь 2024'!$D$4:$D$2091,$B32,'сентябрь 2024'!$J$4:$J$2091,T$1)</f>
        <v>0</v>
      </c>
      <c r="U32" s="80">
        <f>SUMIFS('сентябрь 2024'!$G$4:$G$2091,'сентябрь 2024'!$D$4:$D$2091,$B32,'сентябрь 2024'!$J$4:$J$2091,U$1)</f>
        <v>0</v>
      </c>
      <c r="V32" s="80">
        <f>SUMIFS('сентябрь 2024'!$G$4:$G$2091,'сентябрь 2024'!$D$4:$D$2091,$B32,'сентябрь 2024'!$J$4:$J$2091,V$1)</f>
        <v>0</v>
      </c>
      <c r="W32" s="80">
        <f>SUMIFS('сентябрь 2024'!$G$4:$G$2091,'сентябрь 2024'!$D$4:$D$2091,$B32,'сентябрь 2024'!$J$4:$J$2091,W$1)</f>
        <v>0</v>
      </c>
      <c r="X32" s="80">
        <f>SUMIFS('сентябрь 2024'!$G$4:$G$2091,'сентябрь 2024'!$D$4:$D$2091,$B32,'сентябрь 2024'!$J$4:$J$2091,X$1)</f>
        <v>0</v>
      </c>
      <c r="Y32" s="80">
        <f>SUMIFS('сентябрь 2024'!$G$4:$G$2091,'сентябрь 2024'!$D$4:$D$2091,$B32,'сентябрь 2024'!$J$4:$J$2091,Y$1)</f>
        <v>0</v>
      </c>
      <c r="Z32" s="80">
        <f>SUMIFS('сентябрь 2024'!$G$4:$G$2091,'сентябрь 2024'!$D$4:$D$2091,$B32,'сентябрь 2024'!$J$4:$J$2091,Z$1)</f>
        <v>0</v>
      </c>
      <c r="AA32" s="80">
        <f>SUMIFS('сентябрь 2024'!$G$4:$G$2091,'сентябрь 2024'!$D$4:$D$2091,$B32,'сентябрь 2024'!$J$4:$J$2091,AA$1)</f>
        <v>0</v>
      </c>
      <c r="AB32" s="80">
        <f>SUMIFS('сентябрь 2024'!$G$4:$G$2091,'сентябрь 2024'!$D$4:$D$2091,$B32,'сентябрь 2024'!$J$4:$J$2091,AB$1)</f>
        <v>0</v>
      </c>
      <c r="AC32" s="80">
        <f>SUMIFS('сентябрь 2024'!$G$4:$G$2091,'сентябрь 2024'!$D$4:$D$2091,$B32,'сентябрь 2024'!$J$4:$J$2091,AC$1)</f>
        <v>0</v>
      </c>
      <c r="AD32" s="80">
        <f>SUMIFS('сентябрь 2024'!$G$4:$G$2091,'сентябрь 2024'!$D$4:$D$2091,$B32,'сентябрь 2024'!$J$4:$J$2091,AD$1)</f>
        <v>0</v>
      </c>
      <c r="AE32" s="80">
        <f>SUMIFS('сентябрь 2024'!$G$4:$G$2091,'сентябрь 2024'!$D$4:$D$2091,$B32,'сентябрь 2024'!$J$4:$J$2091,AE$1)</f>
        <v>0</v>
      </c>
      <c r="AF32" s="80">
        <f>SUMIFS('сентябрь 2024'!$G$4:$G$2091,'сентябрь 2024'!$D$4:$D$2091,$B32,'сентябрь 2024'!$J$4:$J$2091,AF$1)</f>
        <v>0</v>
      </c>
      <c r="AG32" s="80">
        <f>SUMIFS('сентябрь 2024'!$G$4:$G$2091,'сентябрь 2024'!$D$4:$D$2091,$B32,'сентябрь 2024'!$J$4:$J$2091,AG$1)</f>
        <v>0</v>
      </c>
      <c r="AH32" s="80">
        <f>SUMIFS('сентябрь 2024'!$G$4:$G$2091,'сентябрь 2024'!$D$4:$D$2091,$B32,'сентябрь 2024'!$J$4:$J$2091,AH$1)</f>
        <v>0</v>
      </c>
      <c r="AI32" s="21">
        <f t="shared" si="1"/>
        <v>0</v>
      </c>
    </row>
    <row r="33" spans="2:35" ht="15" customHeight="1" x14ac:dyDescent="0.25">
      <c r="B33" s="142" t="s">
        <v>276</v>
      </c>
      <c r="C33" s="143">
        <v>25</v>
      </c>
      <c r="D33" s="80">
        <f>SUMIFS('сентябрь 2024'!$G$4:$G$2091,'сентябрь 2024'!$D$4:$D$2091,$B33,'сентябрь 2024'!$J$4:$J$2091,D$1)</f>
        <v>0</v>
      </c>
      <c r="E33" s="80">
        <f>SUMIFS('сентябрь 2024'!$G$4:$G$2091,'сентябрь 2024'!$D$4:$D$2091,$B33,'сентябрь 2024'!$J$4:$J$2091,E$1)</f>
        <v>0</v>
      </c>
      <c r="F33" s="80">
        <f>SUMIFS('сентябрь 2024'!$G$4:$G$2091,'сентябрь 2024'!$D$4:$D$2091,$B33,'сентябрь 2024'!$J$4:$J$2091,F$1)</f>
        <v>0</v>
      </c>
      <c r="G33" s="80">
        <f>SUMIFS('сентябрь 2024'!$G$4:$G$2091,'сентябрь 2024'!$D$4:$D$2091,$B33,'сентябрь 2024'!$J$4:$J$2091,G$1)</f>
        <v>0</v>
      </c>
      <c r="H33" s="80">
        <f>SUMIFS('сентябрь 2024'!$G$4:$G$2091,'сентябрь 2024'!$D$4:$D$2091,$B33,'сентябрь 2024'!$J$4:$J$2091,H$1)</f>
        <v>0</v>
      </c>
      <c r="I33" s="80">
        <f>SUMIFS('сентябрь 2024'!$G$4:$G$2091,'сентябрь 2024'!$D$4:$D$2091,$B33,'сентябрь 2024'!$J$4:$J$2091,I$1)</f>
        <v>0</v>
      </c>
      <c r="J33" s="80">
        <f>SUMIFS('сентябрь 2024'!$G$4:$G$2091,'сентябрь 2024'!$D$4:$D$2091,$B33,'сентябрь 2024'!$J$4:$J$2091,J$1)</f>
        <v>0</v>
      </c>
      <c r="K33" s="80">
        <f>SUMIFS('сентябрь 2024'!$G$4:$G$2091,'сентябрь 2024'!$D$4:$D$2091,$B33,'сентябрь 2024'!$J$4:$J$2091,K$1)</f>
        <v>0</v>
      </c>
      <c r="L33" s="80">
        <f>SUMIFS('сентябрь 2024'!$G$4:$G$2091,'сентябрь 2024'!$D$4:$D$2091,$B33,'сентябрь 2024'!$J$4:$J$2091,L$1)</f>
        <v>0</v>
      </c>
      <c r="M33" s="80">
        <f>SUMIFS('сентябрь 2024'!$G$4:$G$2091,'сентябрь 2024'!$D$4:$D$2091,$B33,'сентябрь 2024'!$J$4:$J$2091,M$1)</f>
        <v>0</v>
      </c>
      <c r="N33" s="80">
        <f>SUMIFS('сентябрь 2024'!$G$4:$G$2091,'сентябрь 2024'!$D$4:$D$2091,$B33,'сентябрь 2024'!$J$4:$J$2091,N$1)</f>
        <v>0</v>
      </c>
      <c r="O33" s="80">
        <f>SUMIFS('сентябрь 2024'!$G$4:$G$2091,'сентябрь 2024'!$D$4:$D$2091,$B33,'сентябрь 2024'!$J$4:$J$2091,O$1)</f>
        <v>0</v>
      </c>
      <c r="P33" s="80">
        <f>SUMIFS('сентябрь 2024'!$G$4:$G$2091,'сентябрь 2024'!$D$4:$D$2091,$B33,'сентябрь 2024'!$J$4:$J$2091,P$1)</f>
        <v>0</v>
      </c>
      <c r="Q33" s="80">
        <f>SUMIFS('сентябрь 2024'!$G$4:$G$2091,'сентябрь 2024'!$D$4:$D$2091,$B33,'сентябрь 2024'!$J$4:$J$2091,Q$1)</f>
        <v>0</v>
      </c>
      <c r="R33" s="80">
        <f>SUMIFS('сентябрь 2024'!$G$4:$G$2091,'сентябрь 2024'!$D$4:$D$2091,$B33,'сентябрь 2024'!$J$4:$J$2091,R$1)</f>
        <v>0</v>
      </c>
      <c r="S33" s="80">
        <f>SUMIFS('сентябрь 2024'!$G$4:$G$2091,'сентябрь 2024'!$D$4:$D$2091,$B33,'сентябрь 2024'!$J$4:$J$2091,S$1)</f>
        <v>0</v>
      </c>
      <c r="T33" s="80">
        <f>SUMIFS('сентябрь 2024'!$G$4:$G$2091,'сентябрь 2024'!$D$4:$D$2091,$B33,'сентябрь 2024'!$J$4:$J$2091,T$1)</f>
        <v>0</v>
      </c>
      <c r="U33" s="80">
        <f>SUMIFS('сентябрь 2024'!$G$4:$G$2091,'сентябрь 2024'!$D$4:$D$2091,$B33,'сентябрь 2024'!$J$4:$J$2091,U$1)</f>
        <v>0</v>
      </c>
      <c r="V33" s="80">
        <f>SUMIFS('сентябрь 2024'!$G$4:$G$2091,'сентябрь 2024'!$D$4:$D$2091,$B33,'сентябрь 2024'!$J$4:$J$2091,V$1)</f>
        <v>0</v>
      </c>
      <c r="W33" s="80">
        <f>SUMIFS('сентябрь 2024'!$G$4:$G$2091,'сентябрь 2024'!$D$4:$D$2091,$B33,'сентябрь 2024'!$J$4:$J$2091,W$1)</f>
        <v>0</v>
      </c>
      <c r="X33" s="80">
        <f>SUMIFS('сентябрь 2024'!$G$4:$G$2091,'сентябрь 2024'!$D$4:$D$2091,$B33,'сентябрь 2024'!$J$4:$J$2091,X$1)</f>
        <v>0</v>
      </c>
      <c r="Y33" s="80">
        <f>SUMIFS('сентябрь 2024'!$G$4:$G$2091,'сентябрь 2024'!$D$4:$D$2091,$B33,'сентябрь 2024'!$J$4:$J$2091,Y$1)</f>
        <v>0</v>
      </c>
      <c r="Z33" s="80">
        <f>SUMIFS('сентябрь 2024'!$G$4:$G$2091,'сентябрь 2024'!$D$4:$D$2091,$B33,'сентябрь 2024'!$J$4:$J$2091,Z$1)</f>
        <v>0</v>
      </c>
      <c r="AA33" s="80">
        <f>SUMIFS('сентябрь 2024'!$G$4:$G$2091,'сентябрь 2024'!$D$4:$D$2091,$B33,'сентябрь 2024'!$J$4:$J$2091,AA$1)</f>
        <v>0</v>
      </c>
      <c r="AB33" s="80">
        <f>SUMIFS('сентябрь 2024'!$G$4:$G$2091,'сентябрь 2024'!$D$4:$D$2091,$B33,'сентябрь 2024'!$J$4:$J$2091,AB$1)</f>
        <v>0</v>
      </c>
      <c r="AC33" s="80">
        <f>SUMIFS('сентябрь 2024'!$G$4:$G$2091,'сентябрь 2024'!$D$4:$D$2091,$B33,'сентябрь 2024'!$J$4:$J$2091,AC$1)</f>
        <v>0</v>
      </c>
      <c r="AD33" s="80">
        <f>SUMIFS('сентябрь 2024'!$G$4:$G$2091,'сентябрь 2024'!$D$4:$D$2091,$B33,'сентябрь 2024'!$J$4:$J$2091,AD$1)</f>
        <v>0</v>
      </c>
      <c r="AE33" s="80">
        <f>SUMIFS('сентябрь 2024'!$G$4:$G$2091,'сентябрь 2024'!$D$4:$D$2091,$B33,'сентябрь 2024'!$J$4:$J$2091,AE$1)</f>
        <v>0</v>
      </c>
      <c r="AF33" s="80">
        <f>SUMIFS('сентябрь 2024'!$G$4:$G$2091,'сентябрь 2024'!$D$4:$D$2091,$B33,'сентябрь 2024'!$J$4:$J$2091,AF$1)</f>
        <v>0</v>
      </c>
      <c r="AG33" s="80">
        <f>SUMIFS('сентябрь 2024'!$G$4:$G$2091,'сентябрь 2024'!$D$4:$D$2091,$B33,'сентябрь 2024'!$J$4:$J$2091,AG$1)</f>
        <v>0</v>
      </c>
      <c r="AH33" s="80">
        <f>SUMIFS('сентябрь 2024'!$G$4:$G$2091,'сентябрь 2024'!$D$4:$D$2091,$B33,'сентябрь 2024'!$J$4:$J$2091,AH$1)</f>
        <v>0</v>
      </c>
      <c r="AI33" s="21">
        <f t="shared" si="1"/>
        <v>0</v>
      </c>
    </row>
    <row r="34" spans="2:35" ht="15" customHeight="1" x14ac:dyDescent="0.25">
      <c r="B34" s="146" t="s">
        <v>278</v>
      </c>
      <c r="C34" s="143">
        <v>25</v>
      </c>
      <c r="D34" s="80">
        <f>SUMIFS('сентябрь 2024'!$G$4:$G$2091,'сентябрь 2024'!$D$4:$D$2091,$B34,'сентябрь 2024'!$J$4:$J$2091,D$1)</f>
        <v>0</v>
      </c>
      <c r="E34" s="80">
        <f>SUMIFS('сентябрь 2024'!$G$4:$G$2091,'сентябрь 2024'!$D$4:$D$2091,$B34,'сентябрь 2024'!$J$4:$J$2091,E$1)</f>
        <v>0</v>
      </c>
      <c r="F34" s="80">
        <f>SUMIFS('сентябрь 2024'!$G$4:$G$2091,'сентябрь 2024'!$D$4:$D$2091,$B34,'сентябрь 2024'!$J$4:$J$2091,F$1)</f>
        <v>0</v>
      </c>
      <c r="G34" s="80">
        <f>SUMIFS('сентябрь 2024'!$G$4:$G$2091,'сентябрь 2024'!$D$4:$D$2091,$B34,'сентябрь 2024'!$J$4:$J$2091,G$1)</f>
        <v>0</v>
      </c>
      <c r="H34" s="80">
        <f>SUMIFS('сентябрь 2024'!$G$4:$G$2091,'сентябрь 2024'!$D$4:$D$2091,$B34,'сентябрь 2024'!$J$4:$J$2091,H$1)</f>
        <v>0</v>
      </c>
      <c r="I34" s="80">
        <f>SUMIFS('сентябрь 2024'!$G$4:$G$2091,'сентябрь 2024'!$D$4:$D$2091,$B34,'сентябрь 2024'!$J$4:$J$2091,I$1)</f>
        <v>0</v>
      </c>
      <c r="J34" s="80">
        <f>SUMIFS('сентябрь 2024'!$G$4:$G$2091,'сентябрь 2024'!$D$4:$D$2091,$B34,'сентябрь 2024'!$J$4:$J$2091,J$1)</f>
        <v>0</v>
      </c>
      <c r="K34" s="80">
        <f>SUMIFS('сентябрь 2024'!$G$4:$G$2091,'сентябрь 2024'!$D$4:$D$2091,$B34,'сентябрь 2024'!$J$4:$J$2091,K$1)</f>
        <v>0</v>
      </c>
      <c r="L34" s="80">
        <f>SUMIFS('сентябрь 2024'!$G$4:$G$2091,'сентябрь 2024'!$D$4:$D$2091,$B34,'сентябрь 2024'!$J$4:$J$2091,L$1)</f>
        <v>0</v>
      </c>
      <c r="M34" s="80">
        <f>SUMIFS('сентябрь 2024'!$G$4:$G$2091,'сентябрь 2024'!$D$4:$D$2091,$B34,'сентябрь 2024'!$J$4:$J$2091,M$1)</f>
        <v>0</v>
      </c>
      <c r="N34" s="80">
        <f>SUMIFS('сентябрь 2024'!$G$4:$G$2091,'сентябрь 2024'!$D$4:$D$2091,$B34,'сентябрь 2024'!$J$4:$J$2091,N$1)</f>
        <v>0</v>
      </c>
      <c r="O34" s="80">
        <f>SUMIFS('сентябрь 2024'!$G$4:$G$2091,'сентябрь 2024'!$D$4:$D$2091,$B34,'сентябрь 2024'!$J$4:$J$2091,O$1)</f>
        <v>0</v>
      </c>
      <c r="P34" s="80">
        <f>SUMIFS('сентябрь 2024'!$G$4:$G$2091,'сентябрь 2024'!$D$4:$D$2091,$B34,'сентябрь 2024'!$J$4:$J$2091,P$1)</f>
        <v>0</v>
      </c>
      <c r="Q34" s="80">
        <f>SUMIFS('сентябрь 2024'!$G$4:$G$2091,'сентябрь 2024'!$D$4:$D$2091,$B34,'сентябрь 2024'!$J$4:$J$2091,Q$1)</f>
        <v>0</v>
      </c>
      <c r="R34" s="80">
        <f>SUMIFS('сентябрь 2024'!$G$4:$G$2091,'сентябрь 2024'!$D$4:$D$2091,$B34,'сентябрь 2024'!$J$4:$J$2091,R$1)</f>
        <v>0</v>
      </c>
      <c r="S34" s="80">
        <f>SUMIFS('сентябрь 2024'!$G$4:$G$2091,'сентябрь 2024'!$D$4:$D$2091,$B34,'сентябрь 2024'!$J$4:$J$2091,S$1)</f>
        <v>0</v>
      </c>
      <c r="T34" s="80">
        <f>SUMIFS('сентябрь 2024'!$G$4:$G$2091,'сентябрь 2024'!$D$4:$D$2091,$B34,'сентябрь 2024'!$J$4:$J$2091,T$1)</f>
        <v>0</v>
      </c>
      <c r="U34" s="80">
        <f>SUMIFS('сентябрь 2024'!$G$4:$G$2091,'сентябрь 2024'!$D$4:$D$2091,$B34,'сентябрь 2024'!$J$4:$J$2091,U$1)</f>
        <v>0</v>
      </c>
      <c r="V34" s="80">
        <f>SUMIFS('сентябрь 2024'!$G$4:$G$2091,'сентябрь 2024'!$D$4:$D$2091,$B34,'сентябрь 2024'!$J$4:$J$2091,V$1)</f>
        <v>0</v>
      </c>
      <c r="W34" s="80">
        <f>SUMIFS('сентябрь 2024'!$G$4:$G$2091,'сентябрь 2024'!$D$4:$D$2091,$B34,'сентябрь 2024'!$J$4:$J$2091,W$1)</f>
        <v>0</v>
      </c>
      <c r="X34" s="80">
        <f>SUMIFS('сентябрь 2024'!$G$4:$G$2091,'сентябрь 2024'!$D$4:$D$2091,$B34,'сентябрь 2024'!$J$4:$J$2091,X$1)</f>
        <v>0</v>
      </c>
      <c r="Y34" s="80">
        <f>SUMIFS('сентябрь 2024'!$G$4:$G$2091,'сентябрь 2024'!$D$4:$D$2091,$B34,'сентябрь 2024'!$J$4:$J$2091,Y$1)</f>
        <v>0</v>
      </c>
      <c r="Z34" s="80">
        <f>SUMIFS('сентябрь 2024'!$G$4:$G$2091,'сентябрь 2024'!$D$4:$D$2091,$B34,'сентябрь 2024'!$J$4:$J$2091,Z$1)</f>
        <v>0</v>
      </c>
      <c r="AA34" s="80">
        <f>SUMIFS('сентябрь 2024'!$G$4:$G$2091,'сентябрь 2024'!$D$4:$D$2091,$B34,'сентябрь 2024'!$J$4:$J$2091,AA$1)</f>
        <v>0</v>
      </c>
      <c r="AB34" s="80">
        <f>SUMIFS('сентябрь 2024'!$G$4:$G$2091,'сентябрь 2024'!$D$4:$D$2091,$B34,'сентябрь 2024'!$J$4:$J$2091,AB$1)</f>
        <v>0</v>
      </c>
      <c r="AC34" s="80">
        <f>SUMIFS('сентябрь 2024'!$G$4:$G$2091,'сентябрь 2024'!$D$4:$D$2091,$B34,'сентябрь 2024'!$J$4:$J$2091,AC$1)</f>
        <v>0</v>
      </c>
      <c r="AD34" s="80">
        <f>SUMIFS('сентябрь 2024'!$G$4:$G$2091,'сентябрь 2024'!$D$4:$D$2091,$B34,'сентябрь 2024'!$J$4:$J$2091,AD$1)</f>
        <v>0</v>
      </c>
      <c r="AE34" s="80">
        <f>SUMIFS('сентябрь 2024'!$G$4:$G$2091,'сентябрь 2024'!$D$4:$D$2091,$B34,'сентябрь 2024'!$J$4:$J$2091,AE$1)</f>
        <v>0</v>
      </c>
      <c r="AF34" s="80">
        <f>SUMIFS('сентябрь 2024'!$G$4:$G$2091,'сентябрь 2024'!$D$4:$D$2091,$B34,'сентябрь 2024'!$J$4:$J$2091,AF$1)</f>
        <v>0</v>
      </c>
      <c r="AG34" s="80">
        <f>SUMIFS('сентябрь 2024'!$G$4:$G$2091,'сентябрь 2024'!$D$4:$D$2091,$B34,'сентябрь 2024'!$J$4:$J$2091,AG$1)</f>
        <v>0</v>
      </c>
      <c r="AH34" s="80">
        <f>SUMIFS('сентябрь 2024'!$G$4:$G$2091,'сентябрь 2024'!$D$4:$D$2091,$B34,'сентябрь 2024'!$J$4:$J$2091,AH$1)</f>
        <v>0</v>
      </c>
      <c r="AI34" s="21">
        <f t="shared" si="1"/>
        <v>0</v>
      </c>
    </row>
    <row r="35" spans="2:35" ht="15" customHeight="1" x14ac:dyDescent="0.25">
      <c r="B35" s="147" t="s">
        <v>280</v>
      </c>
      <c r="C35" s="143">
        <v>25</v>
      </c>
      <c r="D35" s="80">
        <f>SUMIFS('сентябрь 2024'!$G$4:$G$2091,'сентябрь 2024'!$D$4:$D$2091,$B35,'сентябрь 2024'!$J$4:$J$2091,D$1)</f>
        <v>0</v>
      </c>
      <c r="E35" s="80">
        <f>SUMIFS('сентябрь 2024'!$G$4:$G$2091,'сентябрь 2024'!$D$4:$D$2091,$B35,'сентябрь 2024'!$J$4:$J$2091,E$1)</f>
        <v>0</v>
      </c>
      <c r="F35" s="80">
        <f>SUMIFS('сентябрь 2024'!$G$4:$G$2091,'сентябрь 2024'!$D$4:$D$2091,$B35,'сентябрь 2024'!$J$4:$J$2091,F$1)</f>
        <v>0</v>
      </c>
      <c r="G35" s="80">
        <f>SUMIFS('сентябрь 2024'!$G$4:$G$2091,'сентябрь 2024'!$D$4:$D$2091,$B35,'сентябрь 2024'!$J$4:$J$2091,G$1)</f>
        <v>0</v>
      </c>
      <c r="H35" s="80">
        <f>SUMIFS('сентябрь 2024'!$G$4:$G$2091,'сентябрь 2024'!$D$4:$D$2091,$B35,'сентябрь 2024'!$J$4:$J$2091,H$1)</f>
        <v>0</v>
      </c>
      <c r="I35" s="80">
        <f>SUMIFS('сентябрь 2024'!$G$4:$G$2091,'сентябрь 2024'!$D$4:$D$2091,$B35,'сентябрь 2024'!$J$4:$J$2091,I$1)</f>
        <v>0</v>
      </c>
      <c r="J35" s="80">
        <f>SUMIFS('сентябрь 2024'!$G$4:$G$2091,'сентябрь 2024'!$D$4:$D$2091,$B35,'сентябрь 2024'!$J$4:$J$2091,J$1)</f>
        <v>0</v>
      </c>
      <c r="K35" s="80">
        <f>SUMIFS('сентябрь 2024'!$G$4:$G$2091,'сентябрь 2024'!$D$4:$D$2091,$B35,'сентябрь 2024'!$J$4:$J$2091,K$1)</f>
        <v>0</v>
      </c>
      <c r="L35" s="80">
        <f>SUMIFS('сентябрь 2024'!$G$4:$G$2091,'сентябрь 2024'!$D$4:$D$2091,$B35,'сентябрь 2024'!$J$4:$J$2091,L$1)</f>
        <v>0</v>
      </c>
      <c r="M35" s="80">
        <f>SUMIFS('сентябрь 2024'!$G$4:$G$2091,'сентябрь 2024'!$D$4:$D$2091,$B35,'сентябрь 2024'!$J$4:$J$2091,M$1)</f>
        <v>0</v>
      </c>
      <c r="N35" s="80">
        <f>SUMIFS('сентябрь 2024'!$G$4:$G$2091,'сентябрь 2024'!$D$4:$D$2091,$B35,'сентябрь 2024'!$J$4:$J$2091,N$1)</f>
        <v>0</v>
      </c>
      <c r="O35" s="80">
        <f>SUMIFS('сентябрь 2024'!$G$4:$G$2091,'сентябрь 2024'!$D$4:$D$2091,$B35,'сентябрь 2024'!$J$4:$J$2091,O$1)</f>
        <v>0</v>
      </c>
      <c r="P35" s="80">
        <f>SUMIFS('сентябрь 2024'!$G$4:$G$2091,'сентябрь 2024'!$D$4:$D$2091,$B35,'сентябрь 2024'!$J$4:$J$2091,P$1)</f>
        <v>0</v>
      </c>
      <c r="Q35" s="80">
        <f>SUMIFS('сентябрь 2024'!$G$4:$G$2091,'сентябрь 2024'!$D$4:$D$2091,$B35,'сентябрь 2024'!$J$4:$J$2091,Q$1)</f>
        <v>0</v>
      </c>
      <c r="R35" s="80">
        <f>SUMIFS('сентябрь 2024'!$G$4:$G$2091,'сентябрь 2024'!$D$4:$D$2091,$B35,'сентябрь 2024'!$J$4:$J$2091,R$1)</f>
        <v>0</v>
      </c>
      <c r="S35" s="80">
        <f>SUMIFS('сентябрь 2024'!$G$4:$G$2091,'сентябрь 2024'!$D$4:$D$2091,$B35,'сентябрь 2024'!$J$4:$J$2091,S$1)</f>
        <v>0</v>
      </c>
      <c r="T35" s="80">
        <f>SUMIFS('сентябрь 2024'!$G$4:$G$2091,'сентябрь 2024'!$D$4:$D$2091,$B35,'сентябрь 2024'!$J$4:$J$2091,T$1)</f>
        <v>0</v>
      </c>
      <c r="U35" s="80">
        <f>SUMIFS('сентябрь 2024'!$G$4:$G$2091,'сентябрь 2024'!$D$4:$D$2091,$B35,'сентябрь 2024'!$J$4:$J$2091,U$1)</f>
        <v>0</v>
      </c>
      <c r="V35" s="80">
        <f>SUMIFS('сентябрь 2024'!$G$4:$G$2091,'сентябрь 2024'!$D$4:$D$2091,$B35,'сентябрь 2024'!$J$4:$J$2091,V$1)</f>
        <v>0</v>
      </c>
      <c r="W35" s="80">
        <f>SUMIFS('сентябрь 2024'!$G$4:$G$2091,'сентябрь 2024'!$D$4:$D$2091,$B35,'сентябрь 2024'!$J$4:$J$2091,W$1)</f>
        <v>0</v>
      </c>
      <c r="X35" s="80">
        <f>SUMIFS('сентябрь 2024'!$G$4:$G$2091,'сентябрь 2024'!$D$4:$D$2091,$B35,'сентябрь 2024'!$J$4:$J$2091,X$1)</f>
        <v>0</v>
      </c>
      <c r="Y35" s="80">
        <f>SUMIFS('сентябрь 2024'!$G$4:$G$2091,'сентябрь 2024'!$D$4:$D$2091,$B35,'сентябрь 2024'!$J$4:$J$2091,Y$1)</f>
        <v>0</v>
      </c>
      <c r="Z35" s="80">
        <f>SUMIFS('сентябрь 2024'!$G$4:$G$2091,'сентябрь 2024'!$D$4:$D$2091,$B35,'сентябрь 2024'!$J$4:$J$2091,Z$1)</f>
        <v>0</v>
      </c>
      <c r="AA35" s="80">
        <f>SUMIFS('сентябрь 2024'!$G$4:$G$2091,'сентябрь 2024'!$D$4:$D$2091,$B35,'сентябрь 2024'!$J$4:$J$2091,AA$1)</f>
        <v>0</v>
      </c>
      <c r="AB35" s="80">
        <f>SUMIFS('сентябрь 2024'!$G$4:$G$2091,'сентябрь 2024'!$D$4:$D$2091,$B35,'сентябрь 2024'!$J$4:$J$2091,AB$1)</f>
        <v>0</v>
      </c>
      <c r="AC35" s="80">
        <f>SUMIFS('сентябрь 2024'!$G$4:$G$2091,'сентябрь 2024'!$D$4:$D$2091,$B35,'сентябрь 2024'!$J$4:$J$2091,AC$1)</f>
        <v>0</v>
      </c>
      <c r="AD35" s="80">
        <f>SUMIFS('сентябрь 2024'!$G$4:$G$2091,'сентябрь 2024'!$D$4:$D$2091,$B35,'сентябрь 2024'!$J$4:$J$2091,AD$1)</f>
        <v>0</v>
      </c>
      <c r="AE35" s="80">
        <f>SUMIFS('сентябрь 2024'!$G$4:$G$2091,'сентябрь 2024'!$D$4:$D$2091,$B35,'сентябрь 2024'!$J$4:$J$2091,AE$1)</f>
        <v>0</v>
      </c>
      <c r="AF35" s="80">
        <f>SUMIFS('сентябрь 2024'!$G$4:$G$2091,'сентябрь 2024'!$D$4:$D$2091,$B35,'сентябрь 2024'!$J$4:$J$2091,AF$1)</f>
        <v>0</v>
      </c>
      <c r="AG35" s="80">
        <f>SUMIFS('сентябрь 2024'!$G$4:$G$2091,'сентябрь 2024'!$D$4:$D$2091,$B35,'сентябрь 2024'!$J$4:$J$2091,AG$1)</f>
        <v>0</v>
      </c>
      <c r="AH35" s="80">
        <f>SUMIFS('сентябрь 2024'!$G$4:$G$2091,'сентябрь 2024'!$D$4:$D$2091,$B35,'сентябрь 2024'!$J$4:$J$2091,AH$1)</f>
        <v>0</v>
      </c>
      <c r="AI35" s="21">
        <f t="shared" si="1"/>
        <v>0</v>
      </c>
    </row>
    <row r="36" spans="2:35" ht="15" customHeight="1" x14ac:dyDescent="0.25">
      <c r="B36" s="148" t="s">
        <v>282</v>
      </c>
      <c r="C36" s="149">
        <v>25</v>
      </c>
      <c r="D36" s="80">
        <f>SUMIFS('сентябрь 2024'!$G$4:$G$2091,'сентябрь 2024'!$D$4:$D$2091,$B36,'сентябрь 2024'!$J$4:$J$2091,D$1)</f>
        <v>0</v>
      </c>
      <c r="E36" s="80">
        <f>SUMIFS('сентябрь 2024'!$G$4:$G$2091,'сентябрь 2024'!$D$4:$D$2091,$B36,'сентябрь 2024'!$J$4:$J$2091,E$1)</f>
        <v>0</v>
      </c>
      <c r="F36" s="80">
        <f>SUMIFS('сентябрь 2024'!$G$4:$G$2091,'сентябрь 2024'!$D$4:$D$2091,$B36,'сентябрь 2024'!$J$4:$J$2091,F$1)</f>
        <v>0</v>
      </c>
      <c r="G36" s="80">
        <f>SUMIFS('сентябрь 2024'!$G$4:$G$2091,'сентябрь 2024'!$D$4:$D$2091,$B36,'сентябрь 2024'!$J$4:$J$2091,G$1)</f>
        <v>0</v>
      </c>
      <c r="H36" s="80">
        <f>SUMIFS('сентябрь 2024'!$G$4:$G$2091,'сентябрь 2024'!$D$4:$D$2091,$B36,'сентябрь 2024'!$J$4:$J$2091,H$1)</f>
        <v>0</v>
      </c>
      <c r="I36" s="80">
        <f>SUMIFS('сентябрь 2024'!$G$4:$G$2091,'сентябрь 2024'!$D$4:$D$2091,$B36,'сентябрь 2024'!$J$4:$J$2091,I$1)</f>
        <v>0</v>
      </c>
      <c r="J36" s="80">
        <f>SUMIFS('сентябрь 2024'!$G$4:$G$2091,'сентябрь 2024'!$D$4:$D$2091,$B36,'сентябрь 2024'!$J$4:$J$2091,J$1)</f>
        <v>0</v>
      </c>
      <c r="K36" s="80">
        <f>SUMIFS('сентябрь 2024'!$G$4:$G$2091,'сентябрь 2024'!$D$4:$D$2091,$B36,'сентябрь 2024'!$J$4:$J$2091,K$1)</f>
        <v>0</v>
      </c>
      <c r="L36" s="80">
        <f>SUMIFS('сентябрь 2024'!$G$4:$G$2091,'сентябрь 2024'!$D$4:$D$2091,$B36,'сентябрь 2024'!$J$4:$J$2091,L$1)</f>
        <v>0</v>
      </c>
      <c r="M36" s="80">
        <f>SUMIFS('сентябрь 2024'!$G$4:$G$2091,'сентябрь 2024'!$D$4:$D$2091,$B36,'сентябрь 2024'!$J$4:$J$2091,M$1)</f>
        <v>0</v>
      </c>
      <c r="N36" s="80">
        <f>SUMIFS('сентябрь 2024'!$G$4:$G$2091,'сентябрь 2024'!$D$4:$D$2091,$B36,'сентябрь 2024'!$J$4:$J$2091,N$1)</f>
        <v>0</v>
      </c>
      <c r="O36" s="80">
        <f>SUMIFS('сентябрь 2024'!$G$4:$G$2091,'сентябрь 2024'!$D$4:$D$2091,$B36,'сентябрь 2024'!$J$4:$J$2091,O$1)</f>
        <v>0</v>
      </c>
      <c r="P36" s="80">
        <f>SUMIFS('сентябрь 2024'!$G$4:$G$2091,'сентябрь 2024'!$D$4:$D$2091,$B36,'сентябрь 2024'!$J$4:$J$2091,P$1)</f>
        <v>0</v>
      </c>
      <c r="Q36" s="80">
        <f>SUMIFS('сентябрь 2024'!$G$4:$G$2091,'сентябрь 2024'!$D$4:$D$2091,$B36,'сентябрь 2024'!$J$4:$J$2091,Q$1)</f>
        <v>0</v>
      </c>
      <c r="R36" s="80">
        <f>SUMIFS('сентябрь 2024'!$G$4:$G$2091,'сентябрь 2024'!$D$4:$D$2091,$B36,'сентябрь 2024'!$J$4:$J$2091,R$1)</f>
        <v>0</v>
      </c>
      <c r="S36" s="80">
        <f>SUMIFS('сентябрь 2024'!$G$4:$G$2091,'сентябрь 2024'!$D$4:$D$2091,$B36,'сентябрь 2024'!$J$4:$J$2091,S$1)</f>
        <v>0</v>
      </c>
      <c r="T36" s="80">
        <f>SUMIFS('сентябрь 2024'!$G$4:$G$2091,'сентябрь 2024'!$D$4:$D$2091,$B36,'сентябрь 2024'!$J$4:$J$2091,T$1)</f>
        <v>0</v>
      </c>
      <c r="U36" s="80">
        <f>SUMIFS('сентябрь 2024'!$G$4:$G$2091,'сентябрь 2024'!$D$4:$D$2091,$B36,'сентябрь 2024'!$J$4:$J$2091,U$1)</f>
        <v>0</v>
      </c>
      <c r="V36" s="80">
        <f>SUMIFS('сентябрь 2024'!$G$4:$G$2091,'сентябрь 2024'!$D$4:$D$2091,$B36,'сентябрь 2024'!$J$4:$J$2091,V$1)</f>
        <v>0</v>
      </c>
      <c r="W36" s="80">
        <f>SUMIFS('сентябрь 2024'!$G$4:$G$2091,'сентябрь 2024'!$D$4:$D$2091,$B36,'сентябрь 2024'!$J$4:$J$2091,W$1)</f>
        <v>0</v>
      </c>
      <c r="X36" s="80">
        <f>SUMIFS('сентябрь 2024'!$G$4:$G$2091,'сентябрь 2024'!$D$4:$D$2091,$B36,'сентябрь 2024'!$J$4:$J$2091,X$1)</f>
        <v>0</v>
      </c>
      <c r="Y36" s="80">
        <f>SUMIFS('сентябрь 2024'!$G$4:$G$2091,'сентябрь 2024'!$D$4:$D$2091,$B36,'сентябрь 2024'!$J$4:$J$2091,Y$1)</f>
        <v>0</v>
      </c>
      <c r="Z36" s="80">
        <f>SUMIFS('сентябрь 2024'!$G$4:$G$2091,'сентябрь 2024'!$D$4:$D$2091,$B36,'сентябрь 2024'!$J$4:$J$2091,Z$1)</f>
        <v>0</v>
      </c>
      <c r="AA36" s="80">
        <f>SUMIFS('сентябрь 2024'!$G$4:$G$2091,'сентябрь 2024'!$D$4:$D$2091,$B36,'сентябрь 2024'!$J$4:$J$2091,AA$1)</f>
        <v>0</v>
      </c>
      <c r="AB36" s="80">
        <f>SUMIFS('сентябрь 2024'!$G$4:$G$2091,'сентябрь 2024'!$D$4:$D$2091,$B36,'сентябрь 2024'!$J$4:$J$2091,AB$1)</f>
        <v>0</v>
      </c>
      <c r="AC36" s="80">
        <f>SUMIFS('сентябрь 2024'!$G$4:$G$2091,'сентябрь 2024'!$D$4:$D$2091,$B36,'сентябрь 2024'!$J$4:$J$2091,AC$1)</f>
        <v>0</v>
      </c>
      <c r="AD36" s="80">
        <f>SUMIFS('сентябрь 2024'!$G$4:$G$2091,'сентябрь 2024'!$D$4:$D$2091,$B36,'сентябрь 2024'!$J$4:$J$2091,AD$1)</f>
        <v>0</v>
      </c>
      <c r="AE36" s="80">
        <f>SUMIFS('сентябрь 2024'!$G$4:$G$2091,'сентябрь 2024'!$D$4:$D$2091,$B36,'сентябрь 2024'!$J$4:$J$2091,AE$1)</f>
        <v>0</v>
      </c>
      <c r="AF36" s="80">
        <f>SUMIFS('сентябрь 2024'!$G$4:$G$2091,'сентябрь 2024'!$D$4:$D$2091,$B36,'сентябрь 2024'!$J$4:$J$2091,AF$1)</f>
        <v>0</v>
      </c>
      <c r="AG36" s="80">
        <f>SUMIFS('сентябрь 2024'!$G$4:$G$2091,'сентябрь 2024'!$D$4:$D$2091,$B36,'сентябрь 2024'!$J$4:$J$2091,AG$1)</f>
        <v>0</v>
      </c>
      <c r="AH36" s="80">
        <f>SUMIFS('сентябрь 2024'!$G$4:$G$2091,'сентябрь 2024'!$D$4:$D$2091,$B36,'сентябрь 2024'!$J$4:$J$2091,AH$1)</f>
        <v>0</v>
      </c>
      <c r="AI36" s="21">
        <f t="shared" si="1"/>
        <v>0</v>
      </c>
    </row>
    <row r="37" spans="2:35" ht="15" customHeight="1" x14ac:dyDescent="0.25">
      <c r="B37" s="150" t="s">
        <v>284</v>
      </c>
      <c r="C37" s="151">
        <v>22.68</v>
      </c>
      <c r="D37" s="80">
        <f>SUMIFS('сентябрь 2024'!$G$4:$G$2091,'сентябрь 2024'!$D$4:$D$2091,$B37,'сентябрь 2024'!$J$4:$J$2091,D$1)</f>
        <v>0</v>
      </c>
      <c r="E37" s="80">
        <f>SUMIFS('сентябрь 2024'!$G$4:$G$2091,'сентябрь 2024'!$D$4:$D$2091,$B37,'сентябрь 2024'!$J$4:$J$2091,E$1)</f>
        <v>0</v>
      </c>
      <c r="F37" s="80">
        <f>SUMIFS('сентябрь 2024'!$G$4:$G$2091,'сентябрь 2024'!$D$4:$D$2091,$B37,'сентябрь 2024'!$J$4:$J$2091,F$1)</f>
        <v>0</v>
      </c>
      <c r="G37" s="80">
        <f>SUMIFS('сентябрь 2024'!$G$4:$G$2091,'сентябрь 2024'!$D$4:$D$2091,$B37,'сентябрь 2024'!$J$4:$J$2091,G$1)</f>
        <v>0</v>
      </c>
      <c r="H37" s="80">
        <f>SUMIFS('сентябрь 2024'!$G$4:$G$2091,'сентябрь 2024'!$D$4:$D$2091,$B37,'сентябрь 2024'!$J$4:$J$2091,H$1)</f>
        <v>0</v>
      </c>
      <c r="I37" s="80">
        <f>SUMIFS('сентябрь 2024'!$G$4:$G$2091,'сентябрь 2024'!$D$4:$D$2091,$B37,'сентябрь 2024'!$J$4:$J$2091,I$1)</f>
        <v>0</v>
      </c>
      <c r="J37" s="80">
        <f>SUMIFS('сентябрь 2024'!$G$4:$G$2091,'сентябрь 2024'!$D$4:$D$2091,$B37,'сентябрь 2024'!$J$4:$J$2091,J$1)</f>
        <v>0</v>
      </c>
      <c r="K37" s="80">
        <f>SUMIFS('сентябрь 2024'!$G$4:$G$2091,'сентябрь 2024'!$D$4:$D$2091,$B37,'сентябрь 2024'!$J$4:$J$2091,K$1)</f>
        <v>0</v>
      </c>
      <c r="L37" s="80">
        <f>SUMIFS('сентябрь 2024'!$G$4:$G$2091,'сентябрь 2024'!$D$4:$D$2091,$B37,'сентябрь 2024'!$J$4:$J$2091,L$1)</f>
        <v>0</v>
      </c>
      <c r="M37" s="80">
        <f>SUMIFS('сентябрь 2024'!$G$4:$G$2091,'сентябрь 2024'!$D$4:$D$2091,$B37,'сентябрь 2024'!$J$4:$J$2091,M$1)</f>
        <v>0</v>
      </c>
      <c r="N37" s="80">
        <f>SUMIFS('сентябрь 2024'!$G$4:$G$2091,'сентябрь 2024'!$D$4:$D$2091,$B37,'сентябрь 2024'!$J$4:$J$2091,N$1)</f>
        <v>0</v>
      </c>
      <c r="O37" s="80">
        <f>SUMIFS('сентябрь 2024'!$G$4:$G$2091,'сентябрь 2024'!$D$4:$D$2091,$B37,'сентябрь 2024'!$J$4:$J$2091,O$1)</f>
        <v>0</v>
      </c>
      <c r="P37" s="80">
        <f>SUMIFS('сентябрь 2024'!$G$4:$G$2091,'сентябрь 2024'!$D$4:$D$2091,$B37,'сентябрь 2024'!$J$4:$J$2091,P$1)</f>
        <v>0</v>
      </c>
      <c r="Q37" s="80">
        <f>SUMIFS('сентябрь 2024'!$G$4:$G$2091,'сентябрь 2024'!$D$4:$D$2091,$B37,'сентябрь 2024'!$J$4:$J$2091,Q$1)</f>
        <v>0</v>
      </c>
      <c r="R37" s="80">
        <f>SUMIFS('сентябрь 2024'!$G$4:$G$2091,'сентябрь 2024'!$D$4:$D$2091,$B37,'сентябрь 2024'!$J$4:$J$2091,R$1)</f>
        <v>0</v>
      </c>
      <c r="S37" s="80">
        <f>SUMIFS('сентябрь 2024'!$G$4:$G$2091,'сентябрь 2024'!$D$4:$D$2091,$B37,'сентябрь 2024'!$J$4:$J$2091,S$1)</f>
        <v>0</v>
      </c>
      <c r="T37" s="80">
        <f>SUMIFS('сентябрь 2024'!$G$4:$G$2091,'сентябрь 2024'!$D$4:$D$2091,$B37,'сентябрь 2024'!$J$4:$J$2091,T$1)</f>
        <v>0</v>
      </c>
      <c r="U37" s="80">
        <f>SUMIFS('сентябрь 2024'!$G$4:$G$2091,'сентябрь 2024'!$D$4:$D$2091,$B37,'сентябрь 2024'!$J$4:$J$2091,U$1)</f>
        <v>0</v>
      </c>
      <c r="V37" s="80">
        <f>SUMIFS('сентябрь 2024'!$G$4:$G$2091,'сентябрь 2024'!$D$4:$D$2091,$B37,'сентябрь 2024'!$J$4:$J$2091,V$1)</f>
        <v>0</v>
      </c>
      <c r="W37" s="80">
        <f>SUMIFS('сентябрь 2024'!$G$4:$G$2091,'сентябрь 2024'!$D$4:$D$2091,$B37,'сентябрь 2024'!$J$4:$J$2091,W$1)</f>
        <v>0</v>
      </c>
      <c r="X37" s="80">
        <f>SUMIFS('сентябрь 2024'!$G$4:$G$2091,'сентябрь 2024'!$D$4:$D$2091,$B37,'сентябрь 2024'!$J$4:$J$2091,X$1)</f>
        <v>0</v>
      </c>
      <c r="Y37" s="80">
        <f>SUMIFS('сентябрь 2024'!$G$4:$G$2091,'сентябрь 2024'!$D$4:$D$2091,$B37,'сентябрь 2024'!$J$4:$J$2091,Y$1)</f>
        <v>0</v>
      </c>
      <c r="Z37" s="80">
        <f>SUMIFS('сентябрь 2024'!$G$4:$G$2091,'сентябрь 2024'!$D$4:$D$2091,$B37,'сентябрь 2024'!$J$4:$J$2091,Z$1)</f>
        <v>0</v>
      </c>
      <c r="AA37" s="80">
        <f>SUMIFS('сентябрь 2024'!$G$4:$G$2091,'сентябрь 2024'!$D$4:$D$2091,$B37,'сентябрь 2024'!$J$4:$J$2091,AA$1)</f>
        <v>0</v>
      </c>
      <c r="AB37" s="80">
        <f>SUMIFS('сентябрь 2024'!$G$4:$G$2091,'сентябрь 2024'!$D$4:$D$2091,$B37,'сентябрь 2024'!$J$4:$J$2091,AB$1)</f>
        <v>0</v>
      </c>
      <c r="AC37" s="80">
        <f>SUMIFS('сентябрь 2024'!$G$4:$G$2091,'сентябрь 2024'!$D$4:$D$2091,$B37,'сентябрь 2024'!$J$4:$J$2091,AC$1)</f>
        <v>0</v>
      </c>
      <c r="AD37" s="80">
        <f>SUMIFS('сентябрь 2024'!$G$4:$G$2091,'сентябрь 2024'!$D$4:$D$2091,$B37,'сентябрь 2024'!$J$4:$J$2091,AD$1)</f>
        <v>0</v>
      </c>
      <c r="AE37" s="80">
        <f>SUMIFS('сентябрь 2024'!$G$4:$G$2091,'сентябрь 2024'!$D$4:$D$2091,$B37,'сентябрь 2024'!$J$4:$J$2091,AE$1)</f>
        <v>0</v>
      </c>
      <c r="AF37" s="80">
        <f>SUMIFS('сентябрь 2024'!$G$4:$G$2091,'сентябрь 2024'!$D$4:$D$2091,$B37,'сентябрь 2024'!$J$4:$J$2091,AF$1)</f>
        <v>0</v>
      </c>
      <c r="AG37" s="80">
        <f>SUMIFS('сентябрь 2024'!$G$4:$G$2091,'сентябрь 2024'!$D$4:$D$2091,$B37,'сентябрь 2024'!$J$4:$J$2091,AG$1)</f>
        <v>0</v>
      </c>
      <c r="AH37" s="80">
        <f>SUMIFS('сентябрь 2024'!$G$4:$G$2091,'сентябрь 2024'!$D$4:$D$2091,$B37,'сентябрь 2024'!$J$4:$J$2091,AH$1)</f>
        <v>0</v>
      </c>
      <c r="AI37" s="21">
        <f t="shared" si="1"/>
        <v>0</v>
      </c>
    </row>
    <row r="38" spans="2:35" ht="15" customHeight="1" x14ac:dyDescent="0.25">
      <c r="B38" s="150" t="s">
        <v>286</v>
      </c>
      <c r="C38" s="152">
        <v>25</v>
      </c>
      <c r="D38" s="80">
        <f>SUMIFS('сентябрь 2024'!$G$4:$G$2091,'сентябрь 2024'!$D$4:$D$2091,$B38,'сентябрь 2024'!$J$4:$J$2091,D$1)</f>
        <v>0</v>
      </c>
      <c r="E38" s="80">
        <f>SUMIFS('сентябрь 2024'!$G$4:$G$2091,'сентябрь 2024'!$D$4:$D$2091,$B38,'сентябрь 2024'!$J$4:$J$2091,E$1)</f>
        <v>0</v>
      </c>
      <c r="F38" s="80">
        <f>SUMIFS('сентябрь 2024'!$G$4:$G$2091,'сентябрь 2024'!$D$4:$D$2091,$B38,'сентябрь 2024'!$J$4:$J$2091,F$1)</f>
        <v>0</v>
      </c>
      <c r="G38" s="80">
        <f>SUMIFS('сентябрь 2024'!$G$4:$G$2091,'сентябрь 2024'!$D$4:$D$2091,$B38,'сентябрь 2024'!$J$4:$J$2091,G$1)</f>
        <v>0</v>
      </c>
      <c r="H38" s="80">
        <f>SUMIFS('сентябрь 2024'!$G$4:$G$2091,'сентябрь 2024'!$D$4:$D$2091,$B38,'сентябрь 2024'!$J$4:$J$2091,H$1)</f>
        <v>0</v>
      </c>
      <c r="I38" s="80">
        <f>SUMIFS('сентябрь 2024'!$G$4:$G$2091,'сентябрь 2024'!$D$4:$D$2091,$B38,'сентябрь 2024'!$J$4:$J$2091,I$1)</f>
        <v>0</v>
      </c>
      <c r="J38" s="80">
        <f>SUMIFS('сентябрь 2024'!$G$4:$G$2091,'сентябрь 2024'!$D$4:$D$2091,$B38,'сентябрь 2024'!$J$4:$J$2091,J$1)</f>
        <v>0</v>
      </c>
      <c r="K38" s="80">
        <f>SUMIFS('сентябрь 2024'!$G$4:$G$2091,'сентябрь 2024'!$D$4:$D$2091,$B38,'сентябрь 2024'!$J$4:$J$2091,K$1)</f>
        <v>0</v>
      </c>
      <c r="L38" s="80">
        <f>SUMIFS('сентябрь 2024'!$G$4:$G$2091,'сентябрь 2024'!$D$4:$D$2091,$B38,'сентябрь 2024'!$J$4:$J$2091,L$1)</f>
        <v>0</v>
      </c>
      <c r="M38" s="80">
        <f>SUMIFS('сентябрь 2024'!$G$4:$G$2091,'сентябрь 2024'!$D$4:$D$2091,$B38,'сентябрь 2024'!$J$4:$J$2091,M$1)</f>
        <v>0</v>
      </c>
      <c r="N38" s="80">
        <f>SUMIFS('сентябрь 2024'!$G$4:$G$2091,'сентябрь 2024'!$D$4:$D$2091,$B38,'сентябрь 2024'!$J$4:$J$2091,N$1)</f>
        <v>0</v>
      </c>
      <c r="O38" s="80">
        <f>SUMIFS('сентябрь 2024'!$G$4:$G$2091,'сентябрь 2024'!$D$4:$D$2091,$B38,'сентябрь 2024'!$J$4:$J$2091,O$1)</f>
        <v>0</v>
      </c>
      <c r="P38" s="80">
        <f>SUMIFS('сентябрь 2024'!$G$4:$G$2091,'сентябрь 2024'!$D$4:$D$2091,$B38,'сентябрь 2024'!$J$4:$J$2091,P$1)</f>
        <v>0</v>
      </c>
      <c r="Q38" s="80">
        <f>SUMIFS('сентябрь 2024'!$G$4:$G$2091,'сентябрь 2024'!$D$4:$D$2091,$B38,'сентябрь 2024'!$J$4:$J$2091,Q$1)</f>
        <v>0</v>
      </c>
      <c r="R38" s="80">
        <f>SUMIFS('сентябрь 2024'!$G$4:$G$2091,'сентябрь 2024'!$D$4:$D$2091,$B38,'сентябрь 2024'!$J$4:$J$2091,R$1)</f>
        <v>0</v>
      </c>
      <c r="S38" s="80">
        <f>SUMIFS('сентябрь 2024'!$G$4:$G$2091,'сентябрь 2024'!$D$4:$D$2091,$B38,'сентябрь 2024'!$J$4:$J$2091,S$1)</f>
        <v>0</v>
      </c>
      <c r="T38" s="80">
        <f>SUMIFS('сентябрь 2024'!$G$4:$G$2091,'сентябрь 2024'!$D$4:$D$2091,$B38,'сентябрь 2024'!$J$4:$J$2091,T$1)</f>
        <v>0</v>
      </c>
      <c r="U38" s="80">
        <f>SUMIFS('сентябрь 2024'!$G$4:$G$2091,'сентябрь 2024'!$D$4:$D$2091,$B38,'сентябрь 2024'!$J$4:$J$2091,U$1)</f>
        <v>800</v>
      </c>
      <c r="V38" s="80">
        <f>SUMIFS('сентябрь 2024'!$G$4:$G$2091,'сентябрь 2024'!$D$4:$D$2091,$B38,'сентябрь 2024'!$J$4:$J$2091,V$1)</f>
        <v>0</v>
      </c>
      <c r="W38" s="80">
        <f>SUMIFS('сентябрь 2024'!$G$4:$G$2091,'сентябрь 2024'!$D$4:$D$2091,$B38,'сентябрь 2024'!$J$4:$J$2091,W$1)</f>
        <v>0</v>
      </c>
      <c r="X38" s="80">
        <f>SUMIFS('сентябрь 2024'!$G$4:$G$2091,'сентябрь 2024'!$D$4:$D$2091,$B38,'сентябрь 2024'!$J$4:$J$2091,X$1)</f>
        <v>0</v>
      </c>
      <c r="Y38" s="80">
        <f>SUMIFS('сентябрь 2024'!$G$4:$G$2091,'сентябрь 2024'!$D$4:$D$2091,$B38,'сентябрь 2024'!$J$4:$J$2091,Y$1)</f>
        <v>0</v>
      </c>
      <c r="Z38" s="80">
        <f>SUMIFS('сентябрь 2024'!$G$4:$G$2091,'сентябрь 2024'!$D$4:$D$2091,$B38,'сентябрь 2024'!$J$4:$J$2091,Z$1)</f>
        <v>0</v>
      </c>
      <c r="AA38" s="80">
        <f>SUMIFS('сентябрь 2024'!$G$4:$G$2091,'сентябрь 2024'!$D$4:$D$2091,$B38,'сентябрь 2024'!$J$4:$J$2091,AA$1)</f>
        <v>0</v>
      </c>
      <c r="AB38" s="80">
        <f>SUMIFS('сентябрь 2024'!$G$4:$G$2091,'сентябрь 2024'!$D$4:$D$2091,$B38,'сентябрь 2024'!$J$4:$J$2091,AB$1)</f>
        <v>800</v>
      </c>
      <c r="AC38" s="80">
        <f>SUMIFS('сентябрь 2024'!$G$4:$G$2091,'сентябрь 2024'!$D$4:$D$2091,$B38,'сентябрь 2024'!$J$4:$J$2091,AC$1)</f>
        <v>800</v>
      </c>
      <c r="AD38" s="80">
        <f>SUMIFS('сентябрь 2024'!$G$4:$G$2091,'сентябрь 2024'!$D$4:$D$2091,$B38,'сентябрь 2024'!$J$4:$J$2091,AD$1)</f>
        <v>0</v>
      </c>
      <c r="AE38" s="80">
        <f>SUMIFS('сентябрь 2024'!$G$4:$G$2091,'сентябрь 2024'!$D$4:$D$2091,$B38,'сентябрь 2024'!$J$4:$J$2091,AE$1)</f>
        <v>0</v>
      </c>
      <c r="AF38" s="80">
        <f>SUMIFS('сентябрь 2024'!$G$4:$G$2091,'сентябрь 2024'!$D$4:$D$2091,$B38,'сентябрь 2024'!$J$4:$J$2091,AF$1)</f>
        <v>0</v>
      </c>
      <c r="AG38" s="80">
        <f>SUMIFS('сентябрь 2024'!$G$4:$G$2091,'сентябрь 2024'!$D$4:$D$2091,$B38,'сентябрь 2024'!$J$4:$J$2091,AG$1)</f>
        <v>0</v>
      </c>
      <c r="AH38" s="80">
        <f>SUMIFS('сентябрь 2024'!$G$4:$G$2091,'сентябрь 2024'!$D$4:$D$2091,$B38,'сентябрь 2024'!$J$4:$J$2091,AH$1)</f>
        <v>0</v>
      </c>
      <c r="AI38" s="21">
        <f t="shared" si="1"/>
        <v>2400</v>
      </c>
    </row>
    <row r="39" spans="2:35" ht="15" customHeight="1" x14ac:dyDescent="0.25">
      <c r="B39" s="150" t="s">
        <v>288</v>
      </c>
      <c r="C39" s="153">
        <v>25</v>
      </c>
      <c r="D39" s="80">
        <f>SUMIFS('сентябрь 2024'!$G$4:$G$2091,'сентябрь 2024'!$D$4:$D$2091,$B39,'сентябрь 2024'!$J$4:$J$2091,D$1)</f>
        <v>0</v>
      </c>
      <c r="E39" s="80">
        <f>SUMIFS('сентябрь 2024'!$G$4:$G$2091,'сентябрь 2024'!$D$4:$D$2091,$B39,'сентябрь 2024'!$J$4:$J$2091,E$1)</f>
        <v>0</v>
      </c>
      <c r="F39" s="80">
        <f>SUMIFS('сентябрь 2024'!$G$4:$G$2091,'сентябрь 2024'!$D$4:$D$2091,$B39,'сентябрь 2024'!$J$4:$J$2091,F$1)</f>
        <v>0</v>
      </c>
      <c r="G39" s="80">
        <f>SUMIFS('сентябрь 2024'!$G$4:$G$2091,'сентябрь 2024'!$D$4:$D$2091,$B39,'сентябрь 2024'!$J$4:$J$2091,G$1)</f>
        <v>0</v>
      </c>
      <c r="H39" s="80">
        <f>SUMIFS('сентябрь 2024'!$G$4:$G$2091,'сентябрь 2024'!$D$4:$D$2091,$B39,'сентябрь 2024'!$J$4:$J$2091,H$1)</f>
        <v>0</v>
      </c>
      <c r="I39" s="80">
        <f>SUMIFS('сентябрь 2024'!$G$4:$G$2091,'сентябрь 2024'!$D$4:$D$2091,$B39,'сентябрь 2024'!$J$4:$J$2091,I$1)</f>
        <v>0</v>
      </c>
      <c r="J39" s="80">
        <f>SUMIFS('сентябрь 2024'!$G$4:$G$2091,'сентябрь 2024'!$D$4:$D$2091,$B39,'сентябрь 2024'!$J$4:$J$2091,J$1)</f>
        <v>0</v>
      </c>
      <c r="K39" s="80">
        <f>SUMIFS('сентябрь 2024'!$G$4:$G$2091,'сентябрь 2024'!$D$4:$D$2091,$B39,'сентябрь 2024'!$J$4:$J$2091,K$1)</f>
        <v>0</v>
      </c>
      <c r="L39" s="80">
        <f>SUMIFS('сентябрь 2024'!$G$4:$G$2091,'сентябрь 2024'!$D$4:$D$2091,$B39,'сентябрь 2024'!$J$4:$J$2091,L$1)</f>
        <v>0</v>
      </c>
      <c r="M39" s="80">
        <f>SUMIFS('сентябрь 2024'!$G$4:$G$2091,'сентябрь 2024'!$D$4:$D$2091,$B39,'сентябрь 2024'!$J$4:$J$2091,M$1)</f>
        <v>0</v>
      </c>
      <c r="N39" s="80">
        <f>SUMIFS('сентябрь 2024'!$G$4:$G$2091,'сентябрь 2024'!$D$4:$D$2091,$B39,'сентябрь 2024'!$J$4:$J$2091,N$1)</f>
        <v>0</v>
      </c>
      <c r="O39" s="80">
        <f>SUMIFS('сентябрь 2024'!$G$4:$G$2091,'сентябрь 2024'!$D$4:$D$2091,$B39,'сентябрь 2024'!$J$4:$J$2091,O$1)</f>
        <v>0</v>
      </c>
      <c r="P39" s="80">
        <f>SUMIFS('сентябрь 2024'!$G$4:$G$2091,'сентябрь 2024'!$D$4:$D$2091,$B39,'сентябрь 2024'!$J$4:$J$2091,P$1)</f>
        <v>0</v>
      </c>
      <c r="Q39" s="80">
        <f>SUMIFS('сентябрь 2024'!$G$4:$G$2091,'сентябрь 2024'!$D$4:$D$2091,$B39,'сентябрь 2024'!$J$4:$J$2091,Q$1)</f>
        <v>0</v>
      </c>
      <c r="R39" s="80">
        <f>SUMIFS('сентябрь 2024'!$G$4:$G$2091,'сентябрь 2024'!$D$4:$D$2091,$B39,'сентябрь 2024'!$J$4:$J$2091,R$1)</f>
        <v>0</v>
      </c>
      <c r="S39" s="80">
        <f>SUMIFS('сентябрь 2024'!$G$4:$G$2091,'сентябрь 2024'!$D$4:$D$2091,$B39,'сентябрь 2024'!$J$4:$J$2091,S$1)</f>
        <v>0</v>
      </c>
      <c r="T39" s="80">
        <f>SUMIFS('сентябрь 2024'!$G$4:$G$2091,'сентябрь 2024'!$D$4:$D$2091,$B39,'сентябрь 2024'!$J$4:$J$2091,T$1)</f>
        <v>0</v>
      </c>
      <c r="U39" s="80">
        <f>SUMIFS('сентябрь 2024'!$G$4:$G$2091,'сентябрь 2024'!$D$4:$D$2091,$B39,'сентябрь 2024'!$J$4:$J$2091,U$1)</f>
        <v>0</v>
      </c>
      <c r="V39" s="80">
        <f>SUMIFS('сентябрь 2024'!$G$4:$G$2091,'сентябрь 2024'!$D$4:$D$2091,$B39,'сентябрь 2024'!$J$4:$J$2091,V$1)</f>
        <v>0</v>
      </c>
      <c r="W39" s="80">
        <f>SUMIFS('сентябрь 2024'!$G$4:$G$2091,'сентябрь 2024'!$D$4:$D$2091,$B39,'сентябрь 2024'!$J$4:$J$2091,W$1)</f>
        <v>0</v>
      </c>
      <c r="X39" s="80">
        <f>SUMIFS('сентябрь 2024'!$G$4:$G$2091,'сентябрь 2024'!$D$4:$D$2091,$B39,'сентябрь 2024'!$J$4:$J$2091,X$1)</f>
        <v>0</v>
      </c>
      <c r="Y39" s="80">
        <f>SUMIFS('сентябрь 2024'!$G$4:$G$2091,'сентябрь 2024'!$D$4:$D$2091,$B39,'сентябрь 2024'!$J$4:$J$2091,Y$1)</f>
        <v>0</v>
      </c>
      <c r="Z39" s="80">
        <f>SUMIFS('сентябрь 2024'!$G$4:$G$2091,'сентябрь 2024'!$D$4:$D$2091,$B39,'сентябрь 2024'!$J$4:$J$2091,Z$1)</f>
        <v>0</v>
      </c>
      <c r="AA39" s="80">
        <f>SUMIFS('сентябрь 2024'!$G$4:$G$2091,'сентябрь 2024'!$D$4:$D$2091,$B39,'сентябрь 2024'!$J$4:$J$2091,AA$1)</f>
        <v>0</v>
      </c>
      <c r="AB39" s="80">
        <f>SUMIFS('сентябрь 2024'!$G$4:$G$2091,'сентябрь 2024'!$D$4:$D$2091,$B39,'сентябрь 2024'!$J$4:$J$2091,AB$1)</f>
        <v>0</v>
      </c>
      <c r="AC39" s="80">
        <f>SUMIFS('сентябрь 2024'!$G$4:$G$2091,'сентябрь 2024'!$D$4:$D$2091,$B39,'сентябрь 2024'!$J$4:$J$2091,AC$1)</f>
        <v>0</v>
      </c>
      <c r="AD39" s="80">
        <f>SUMIFS('сентябрь 2024'!$G$4:$G$2091,'сентябрь 2024'!$D$4:$D$2091,$B39,'сентябрь 2024'!$J$4:$J$2091,AD$1)</f>
        <v>0</v>
      </c>
      <c r="AE39" s="80">
        <f>SUMIFS('сентябрь 2024'!$G$4:$G$2091,'сентябрь 2024'!$D$4:$D$2091,$B39,'сентябрь 2024'!$J$4:$J$2091,AE$1)</f>
        <v>0</v>
      </c>
      <c r="AF39" s="80">
        <f>SUMIFS('сентябрь 2024'!$G$4:$G$2091,'сентябрь 2024'!$D$4:$D$2091,$B39,'сентябрь 2024'!$J$4:$J$2091,AF$1)</f>
        <v>0</v>
      </c>
      <c r="AG39" s="80">
        <f>SUMIFS('сентябрь 2024'!$G$4:$G$2091,'сентябрь 2024'!$D$4:$D$2091,$B39,'сентябрь 2024'!$J$4:$J$2091,AG$1)</f>
        <v>0</v>
      </c>
      <c r="AH39" s="80">
        <f>SUMIFS('сентябрь 2024'!$G$4:$G$2091,'сентябрь 2024'!$D$4:$D$2091,$B39,'сентябрь 2024'!$J$4:$J$2091,AH$1)</f>
        <v>0</v>
      </c>
      <c r="AI39" s="21">
        <f t="shared" si="1"/>
        <v>0</v>
      </c>
    </row>
    <row r="40" spans="2:35" ht="15" customHeight="1" x14ac:dyDescent="0.25">
      <c r="B40" s="150" t="s">
        <v>290</v>
      </c>
      <c r="C40" s="149">
        <v>22.68</v>
      </c>
      <c r="D40" s="80">
        <f>SUMIFS('сентябрь 2024'!$G$4:$G$2091,'сентябрь 2024'!$D$4:$D$2091,$B40,'сентябрь 2024'!$J$4:$J$2091,D$1)</f>
        <v>0</v>
      </c>
      <c r="E40" s="80">
        <f>SUMIFS('сентябрь 2024'!$G$4:$G$2091,'сентябрь 2024'!$D$4:$D$2091,$B40,'сентябрь 2024'!$J$4:$J$2091,E$1)</f>
        <v>0</v>
      </c>
      <c r="F40" s="80">
        <f>SUMIFS('сентябрь 2024'!$G$4:$G$2091,'сентябрь 2024'!$D$4:$D$2091,$B40,'сентябрь 2024'!$J$4:$J$2091,F$1)</f>
        <v>0</v>
      </c>
      <c r="G40" s="80">
        <f>SUMIFS('сентябрь 2024'!$G$4:$G$2091,'сентябрь 2024'!$D$4:$D$2091,$B40,'сентябрь 2024'!$J$4:$J$2091,G$1)</f>
        <v>0</v>
      </c>
      <c r="H40" s="80">
        <f>SUMIFS('сентябрь 2024'!$G$4:$G$2091,'сентябрь 2024'!$D$4:$D$2091,$B40,'сентябрь 2024'!$J$4:$J$2091,H$1)</f>
        <v>0</v>
      </c>
      <c r="I40" s="80">
        <f>SUMIFS('сентябрь 2024'!$G$4:$G$2091,'сентябрь 2024'!$D$4:$D$2091,$B40,'сентябрь 2024'!$J$4:$J$2091,I$1)</f>
        <v>0</v>
      </c>
      <c r="J40" s="80">
        <f>SUMIFS('сентябрь 2024'!$G$4:$G$2091,'сентябрь 2024'!$D$4:$D$2091,$B40,'сентябрь 2024'!$J$4:$J$2091,J$1)</f>
        <v>0</v>
      </c>
      <c r="K40" s="80">
        <f>SUMIFS('сентябрь 2024'!$G$4:$G$2091,'сентябрь 2024'!$D$4:$D$2091,$B40,'сентябрь 2024'!$J$4:$J$2091,K$1)</f>
        <v>0</v>
      </c>
      <c r="L40" s="80">
        <f>SUMIFS('сентябрь 2024'!$G$4:$G$2091,'сентябрь 2024'!$D$4:$D$2091,$B40,'сентябрь 2024'!$J$4:$J$2091,L$1)</f>
        <v>0</v>
      </c>
      <c r="M40" s="80">
        <f>SUMIFS('сентябрь 2024'!$G$4:$G$2091,'сентябрь 2024'!$D$4:$D$2091,$B40,'сентябрь 2024'!$J$4:$J$2091,M$1)</f>
        <v>0</v>
      </c>
      <c r="N40" s="80">
        <f>SUMIFS('сентябрь 2024'!$G$4:$G$2091,'сентябрь 2024'!$D$4:$D$2091,$B40,'сентябрь 2024'!$J$4:$J$2091,N$1)</f>
        <v>0</v>
      </c>
      <c r="O40" s="80">
        <f>SUMIFS('сентябрь 2024'!$G$4:$G$2091,'сентябрь 2024'!$D$4:$D$2091,$B40,'сентябрь 2024'!$J$4:$J$2091,O$1)</f>
        <v>0</v>
      </c>
      <c r="P40" s="80">
        <f>SUMIFS('сентябрь 2024'!$G$4:$G$2091,'сентябрь 2024'!$D$4:$D$2091,$B40,'сентябрь 2024'!$J$4:$J$2091,P$1)</f>
        <v>0</v>
      </c>
      <c r="Q40" s="80">
        <f>SUMIFS('сентябрь 2024'!$G$4:$G$2091,'сентябрь 2024'!$D$4:$D$2091,$B40,'сентябрь 2024'!$J$4:$J$2091,Q$1)</f>
        <v>0</v>
      </c>
      <c r="R40" s="80">
        <f>SUMIFS('сентябрь 2024'!$G$4:$G$2091,'сентябрь 2024'!$D$4:$D$2091,$B40,'сентябрь 2024'!$J$4:$J$2091,R$1)</f>
        <v>0</v>
      </c>
      <c r="S40" s="80">
        <f>SUMIFS('сентябрь 2024'!$G$4:$G$2091,'сентябрь 2024'!$D$4:$D$2091,$B40,'сентябрь 2024'!$J$4:$J$2091,S$1)</f>
        <v>0</v>
      </c>
      <c r="T40" s="80">
        <f>SUMIFS('сентябрь 2024'!$G$4:$G$2091,'сентябрь 2024'!$D$4:$D$2091,$B40,'сентябрь 2024'!$J$4:$J$2091,T$1)</f>
        <v>0</v>
      </c>
      <c r="U40" s="80">
        <f>SUMIFS('сентябрь 2024'!$G$4:$G$2091,'сентябрь 2024'!$D$4:$D$2091,$B40,'сентябрь 2024'!$J$4:$J$2091,U$1)</f>
        <v>0</v>
      </c>
      <c r="V40" s="80">
        <f>SUMIFS('сентябрь 2024'!$G$4:$G$2091,'сентябрь 2024'!$D$4:$D$2091,$B40,'сентябрь 2024'!$J$4:$J$2091,V$1)</f>
        <v>0</v>
      </c>
      <c r="W40" s="80">
        <f>SUMIFS('сентябрь 2024'!$G$4:$G$2091,'сентябрь 2024'!$D$4:$D$2091,$B40,'сентябрь 2024'!$J$4:$J$2091,W$1)</f>
        <v>0</v>
      </c>
      <c r="X40" s="80">
        <f>SUMIFS('сентябрь 2024'!$G$4:$G$2091,'сентябрь 2024'!$D$4:$D$2091,$B40,'сентябрь 2024'!$J$4:$J$2091,X$1)</f>
        <v>0</v>
      </c>
      <c r="Y40" s="80">
        <f>SUMIFS('сентябрь 2024'!$G$4:$G$2091,'сентябрь 2024'!$D$4:$D$2091,$B40,'сентябрь 2024'!$J$4:$J$2091,Y$1)</f>
        <v>0</v>
      </c>
      <c r="Z40" s="80">
        <f>SUMIFS('сентябрь 2024'!$G$4:$G$2091,'сентябрь 2024'!$D$4:$D$2091,$B40,'сентябрь 2024'!$J$4:$J$2091,Z$1)</f>
        <v>0</v>
      </c>
      <c r="AA40" s="80">
        <f>SUMIFS('сентябрь 2024'!$G$4:$G$2091,'сентябрь 2024'!$D$4:$D$2091,$B40,'сентябрь 2024'!$J$4:$J$2091,AA$1)</f>
        <v>0</v>
      </c>
      <c r="AB40" s="80">
        <f>SUMIFS('сентябрь 2024'!$G$4:$G$2091,'сентябрь 2024'!$D$4:$D$2091,$B40,'сентябрь 2024'!$J$4:$J$2091,AB$1)</f>
        <v>0</v>
      </c>
      <c r="AC40" s="80">
        <f>SUMIFS('сентябрь 2024'!$G$4:$G$2091,'сентябрь 2024'!$D$4:$D$2091,$B40,'сентябрь 2024'!$J$4:$J$2091,AC$1)</f>
        <v>0</v>
      </c>
      <c r="AD40" s="80">
        <f>SUMIFS('сентябрь 2024'!$G$4:$G$2091,'сентябрь 2024'!$D$4:$D$2091,$B40,'сентябрь 2024'!$J$4:$J$2091,AD$1)</f>
        <v>0</v>
      </c>
      <c r="AE40" s="80">
        <f>SUMIFS('сентябрь 2024'!$G$4:$G$2091,'сентябрь 2024'!$D$4:$D$2091,$B40,'сентябрь 2024'!$J$4:$J$2091,AE$1)</f>
        <v>0</v>
      </c>
      <c r="AF40" s="80">
        <f>SUMIFS('сентябрь 2024'!$G$4:$G$2091,'сентябрь 2024'!$D$4:$D$2091,$B40,'сентябрь 2024'!$J$4:$J$2091,AF$1)</f>
        <v>0</v>
      </c>
      <c r="AG40" s="80">
        <f>SUMIFS('сентябрь 2024'!$G$4:$G$2091,'сентябрь 2024'!$D$4:$D$2091,$B40,'сентябрь 2024'!$J$4:$J$2091,AG$1)</f>
        <v>0</v>
      </c>
      <c r="AH40" s="80">
        <f>SUMIFS('сентябрь 2024'!$G$4:$G$2091,'сентябрь 2024'!$D$4:$D$2091,$B40,'сентябрь 2024'!$J$4:$J$2091,AH$1)</f>
        <v>0</v>
      </c>
      <c r="AI40" s="21">
        <f t="shared" si="1"/>
        <v>0</v>
      </c>
    </row>
    <row r="41" spans="2:35" ht="15" customHeight="1" x14ac:dyDescent="0.25">
      <c r="B41" s="154" t="s">
        <v>292</v>
      </c>
      <c r="C41" s="151">
        <v>25</v>
      </c>
      <c r="D41" s="80">
        <f>SUMIFS('сентябрь 2024'!$G$4:$G$2091,'сентябрь 2024'!$D$4:$D$2091,$B41,'сентябрь 2024'!$J$4:$J$2091,D$1)</f>
        <v>0</v>
      </c>
      <c r="E41" s="80">
        <f>SUMIFS('сентябрь 2024'!$G$4:$G$2091,'сентябрь 2024'!$D$4:$D$2091,$B41,'сентябрь 2024'!$J$4:$J$2091,E$1)</f>
        <v>0</v>
      </c>
      <c r="F41" s="80">
        <f>SUMIFS('сентябрь 2024'!$G$4:$G$2091,'сентябрь 2024'!$D$4:$D$2091,$B41,'сентябрь 2024'!$J$4:$J$2091,F$1)</f>
        <v>0</v>
      </c>
      <c r="G41" s="80">
        <f>SUMIFS('сентябрь 2024'!$G$4:$G$2091,'сентябрь 2024'!$D$4:$D$2091,$B41,'сентябрь 2024'!$J$4:$J$2091,G$1)</f>
        <v>0</v>
      </c>
      <c r="H41" s="80">
        <f>SUMIFS('сентябрь 2024'!$G$4:$G$2091,'сентябрь 2024'!$D$4:$D$2091,$B41,'сентябрь 2024'!$J$4:$J$2091,H$1)</f>
        <v>0</v>
      </c>
      <c r="I41" s="80">
        <f>SUMIFS('сентябрь 2024'!$G$4:$G$2091,'сентябрь 2024'!$D$4:$D$2091,$B41,'сентябрь 2024'!$J$4:$J$2091,I$1)</f>
        <v>0</v>
      </c>
      <c r="J41" s="80">
        <f>SUMIFS('сентябрь 2024'!$G$4:$G$2091,'сентябрь 2024'!$D$4:$D$2091,$B41,'сентябрь 2024'!$J$4:$J$2091,J$1)</f>
        <v>0</v>
      </c>
      <c r="K41" s="80">
        <f>SUMIFS('сентябрь 2024'!$G$4:$G$2091,'сентябрь 2024'!$D$4:$D$2091,$B41,'сентябрь 2024'!$J$4:$J$2091,K$1)</f>
        <v>0</v>
      </c>
      <c r="L41" s="80">
        <f>SUMIFS('сентябрь 2024'!$G$4:$G$2091,'сентябрь 2024'!$D$4:$D$2091,$B41,'сентябрь 2024'!$J$4:$J$2091,L$1)</f>
        <v>0</v>
      </c>
      <c r="M41" s="80">
        <f>SUMIFS('сентябрь 2024'!$G$4:$G$2091,'сентябрь 2024'!$D$4:$D$2091,$B41,'сентябрь 2024'!$J$4:$J$2091,M$1)</f>
        <v>0</v>
      </c>
      <c r="N41" s="80">
        <f>SUMIFS('сентябрь 2024'!$G$4:$G$2091,'сентябрь 2024'!$D$4:$D$2091,$B41,'сентябрь 2024'!$J$4:$J$2091,N$1)</f>
        <v>0</v>
      </c>
      <c r="O41" s="80">
        <f>SUMIFS('сентябрь 2024'!$G$4:$G$2091,'сентябрь 2024'!$D$4:$D$2091,$B41,'сентябрь 2024'!$J$4:$J$2091,O$1)</f>
        <v>0</v>
      </c>
      <c r="P41" s="80">
        <f>SUMIFS('сентябрь 2024'!$G$4:$G$2091,'сентябрь 2024'!$D$4:$D$2091,$B41,'сентябрь 2024'!$J$4:$J$2091,P$1)</f>
        <v>0</v>
      </c>
      <c r="Q41" s="80">
        <f>SUMIFS('сентябрь 2024'!$G$4:$G$2091,'сентябрь 2024'!$D$4:$D$2091,$B41,'сентябрь 2024'!$J$4:$J$2091,Q$1)</f>
        <v>0</v>
      </c>
      <c r="R41" s="80">
        <f>SUMIFS('сентябрь 2024'!$G$4:$G$2091,'сентябрь 2024'!$D$4:$D$2091,$B41,'сентябрь 2024'!$J$4:$J$2091,R$1)</f>
        <v>0</v>
      </c>
      <c r="S41" s="80">
        <f>SUMIFS('сентябрь 2024'!$G$4:$G$2091,'сентябрь 2024'!$D$4:$D$2091,$B41,'сентябрь 2024'!$J$4:$J$2091,S$1)</f>
        <v>0</v>
      </c>
      <c r="T41" s="80">
        <f>SUMIFS('сентябрь 2024'!$G$4:$G$2091,'сентябрь 2024'!$D$4:$D$2091,$B41,'сентябрь 2024'!$J$4:$J$2091,T$1)</f>
        <v>0</v>
      </c>
      <c r="U41" s="80">
        <f>SUMIFS('сентябрь 2024'!$G$4:$G$2091,'сентябрь 2024'!$D$4:$D$2091,$B41,'сентябрь 2024'!$J$4:$J$2091,U$1)</f>
        <v>0</v>
      </c>
      <c r="V41" s="80">
        <f>SUMIFS('сентябрь 2024'!$G$4:$G$2091,'сентябрь 2024'!$D$4:$D$2091,$B41,'сентябрь 2024'!$J$4:$J$2091,V$1)</f>
        <v>0</v>
      </c>
      <c r="W41" s="80">
        <f>SUMIFS('сентябрь 2024'!$G$4:$G$2091,'сентябрь 2024'!$D$4:$D$2091,$B41,'сентябрь 2024'!$J$4:$J$2091,W$1)</f>
        <v>0</v>
      </c>
      <c r="X41" s="80">
        <f>SUMIFS('сентябрь 2024'!$G$4:$G$2091,'сентябрь 2024'!$D$4:$D$2091,$B41,'сентябрь 2024'!$J$4:$J$2091,X$1)</f>
        <v>0</v>
      </c>
      <c r="Y41" s="80">
        <f>SUMIFS('сентябрь 2024'!$G$4:$G$2091,'сентябрь 2024'!$D$4:$D$2091,$B41,'сентябрь 2024'!$J$4:$J$2091,Y$1)</f>
        <v>0</v>
      </c>
      <c r="Z41" s="80">
        <f>SUMIFS('сентябрь 2024'!$G$4:$G$2091,'сентябрь 2024'!$D$4:$D$2091,$B41,'сентябрь 2024'!$J$4:$J$2091,Z$1)</f>
        <v>0</v>
      </c>
      <c r="AA41" s="80">
        <f>SUMIFS('сентябрь 2024'!$G$4:$G$2091,'сентябрь 2024'!$D$4:$D$2091,$B41,'сентябрь 2024'!$J$4:$J$2091,AA$1)</f>
        <v>0</v>
      </c>
      <c r="AB41" s="80">
        <f>SUMIFS('сентябрь 2024'!$G$4:$G$2091,'сентябрь 2024'!$D$4:$D$2091,$B41,'сентябрь 2024'!$J$4:$J$2091,AB$1)</f>
        <v>0</v>
      </c>
      <c r="AC41" s="80">
        <f>SUMIFS('сентябрь 2024'!$G$4:$G$2091,'сентябрь 2024'!$D$4:$D$2091,$B41,'сентябрь 2024'!$J$4:$J$2091,AC$1)</f>
        <v>0</v>
      </c>
      <c r="AD41" s="80">
        <f>SUMIFS('сентябрь 2024'!$G$4:$G$2091,'сентябрь 2024'!$D$4:$D$2091,$B41,'сентябрь 2024'!$J$4:$J$2091,AD$1)</f>
        <v>0</v>
      </c>
      <c r="AE41" s="80">
        <f>SUMIFS('сентябрь 2024'!$G$4:$G$2091,'сентябрь 2024'!$D$4:$D$2091,$B41,'сентябрь 2024'!$J$4:$J$2091,AE$1)</f>
        <v>0</v>
      </c>
      <c r="AF41" s="80">
        <f>SUMIFS('сентябрь 2024'!$G$4:$G$2091,'сентябрь 2024'!$D$4:$D$2091,$B41,'сентябрь 2024'!$J$4:$J$2091,AF$1)</f>
        <v>0</v>
      </c>
      <c r="AG41" s="80">
        <f>SUMIFS('сентябрь 2024'!$G$4:$G$2091,'сентябрь 2024'!$D$4:$D$2091,$B41,'сентябрь 2024'!$J$4:$J$2091,AG$1)</f>
        <v>0</v>
      </c>
      <c r="AH41" s="80">
        <f>SUMIFS('сентябрь 2024'!$G$4:$G$2091,'сентябрь 2024'!$D$4:$D$2091,$B41,'сентябрь 2024'!$J$4:$J$2091,AH$1)</f>
        <v>0</v>
      </c>
      <c r="AI41" s="21">
        <f t="shared" si="1"/>
        <v>0</v>
      </c>
    </row>
    <row r="42" spans="2:35" ht="15" customHeight="1" x14ac:dyDescent="0.25">
      <c r="B42" s="150" t="s">
        <v>294</v>
      </c>
      <c r="C42" s="153">
        <v>25</v>
      </c>
      <c r="D42" s="80">
        <f>SUMIFS('сентябрь 2024'!$G$4:$G$2091,'сентябрь 2024'!$D$4:$D$2091,$B42,'сентябрь 2024'!$J$4:$J$2091,D$1)</f>
        <v>0</v>
      </c>
      <c r="E42" s="80">
        <f>SUMIFS('сентябрь 2024'!$G$4:$G$2091,'сентябрь 2024'!$D$4:$D$2091,$B42,'сентябрь 2024'!$J$4:$J$2091,E$1)</f>
        <v>0</v>
      </c>
      <c r="F42" s="80">
        <f>SUMIFS('сентябрь 2024'!$G$4:$G$2091,'сентябрь 2024'!$D$4:$D$2091,$B42,'сентябрь 2024'!$J$4:$J$2091,F$1)</f>
        <v>0</v>
      </c>
      <c r="G42" s="80">
        <f>SUMIFS('сентябрь 2024'!$G$4:$G$2091,'сентябрь 2024'!$D$4:$D$2091,$B42,'сентябрь 2024'!$J$4:$J$2091,G$1)</f>
        <v>0</v>
      </c>
      <c r="H42" s="80">
        <f>SUMIFS('сентябрь 2024'!$G$4:$G$2091,'сентябрь 2024'!$D$4:$D$2091,$B42,'сентябрь 2024'!$J$4:$J$2091,H$1)</f>
        <v>0</v>
      </c>
      <c r="I42" s="80">
        <f>SUMIFS('сентябрь 2024'!$G$4:$G$2091,'сентябрь 2024'!$D$4:$D$2091,$B42,'сентябрь 2024'!$J$4:$J$2091,I$1)</f>
        <v>0</v>
      </c>
      <c r="J42" s="80">
        <f>SUMIFS('сентябрь 2024'!$G$4:$G$2091,'сентябрь 2024'!$D$4:$D$2091,$B42,'сентябрь 2024'!$J$4:$J$2091,J$1)</f>
        <v>0</v>
      </c>
      <c r="K42" s="80">
        <f>SUMIFS('сентябрь 2024'!$G$4:$G$2091,'сентябрь 2024'!$D$4:$D$2091,$B42,'сентябрь 2024'!$J$4:$J$2091,K$1)</f>
        <v>0</v>
      </c>
      <c r="L42" s="80">
        <f>SUMIFS('сентябрь 2024'!$G$4:$G$2091,'сентябрь 2024'!$D$4:$D$2091,$B42,'сентябрь 2024'!$J$4:$J$2091,L$1)</f>
        <v>0</v>
      </c>
      <c r="M42" s="80">
        <f>SUMIFS('сентябрь 2024'!$G$4:$G$2091,'сентябрь 2024'!$D$4:$D$2091,$B42,'сентябрь 2024'!$J$4:$J$2091,M$1)</f>
        <v>0</v>
      </c>
      <c r="N42" s="80">
        <f>SUMIFS('сентябрь 2024'!$G$4:$G$2091,'сентябрь 2024'!$D$4:$D$2091,$B42,'сентябрь 2024'!$J$4:$J$2091,N$1)</f>
        <v>0</v>
      </c>
      <c r="O42" s="80">
        <f>SUMIFS('сентябрь 2024'!$G$4:$G$2091,'сентябрь 2024'!$D$4:$D$2091,$B42,'сентябрь 2024'!$J$4:$J$2091,O$1)</f>
        <v>0</v>
      </c>
      <c r="P42" s="80">
        <f>SUMIFS('сентябрь 2024'!$G$4:$G$2091,'сентябрь 2024'!$D$4:$D$2091,$B42,'сентябрь 2024'!$J$4:$J$2091,P$1)</f>
        <v>0</v>
      </c>
      <c r="Q42" s="80">
        <f>SUMIFS('сентябрь 2024'!$G$4:$G$2091,'сентябрь 2024'!$D$4:$D$2091,$B42,'сентябрь 2024'!$J$4:$J$2091,Q$1)</f>
        <v>0</v>
      </c>
      <c r="R42" s="80">
        <f>SUMIFS('сентябрь 2024'!$G$4:$G$2091,'сентябрь 2024'!$D$4:$D$2091,$B42,'сентябрь 2024'!$J$4:$J$2091,R$1)</f>
        <v>0</v>
      </c>
      <c r="S42" s="80">
        <f>SUMIFS('сентябрь 2024'!$G$4:$G$2091,'сентябрь 2024'!$D$4:$D$2091,$B42,'сентябрь 2024'!$J$4:$J$2091,S$1)</f>
        <v>0</v>
      </c>
      <c r="T42" s="80">
        <f>SUMIFS('сентябрь 2024'!$G$4:$G$2091,'сентябрь 2024'!$D$4:$D$2091,$B42,'сентябрь 2024'!$J$4:$J$2091,T$1)</f>
        <v>0</v>
      </c>
      <c r="U42" s="80">
        <f>SUMIFS('сентябрь 2024'!$G$4:$G$2091,'сентябрь 2024'!$D$4:$D$2091,$B42,'сентябрь 2024'!$J$4:$J$2091,U$1)</f>
        <v>0</v>
      </c>
      <c r="V42" s="80">
        <f>SUMIFS('сентябрь 2024'!$G$4:$G$2091,'сентябрь 2024'!$D$4:$D$2091,$B42,'сентябрь 2024'!$J$4:$J$2091,V$1)</f>
        <v>0</v>
      </c>
      <c r="W42" s="80">
        <f>SUMIFS('сентябрь 2024'!$G$4:$G$2091,'сентябрь 2024'!$D$4:$D$2091,$B42,'сентябрь 2024'!$J$4:$J$2091,W$1)</f>
        <v>0</v>
      </c>
      <c r="X42" s="80">
        <f>SUMIFS('сентябрь 2024'!$G$4:$G$2091,'сентябрь 2024'!$D$4:$D$2091,$B42,'сентябрь 2024'!$J$4:$J$2091,X$1)</f>
        <v>0</v>
      </c>
      <c r="Y42" s="80">
        <f>SUMIFS('сентябрь 2024'!$G$4:$G$2091,'сентябрь 2024'!$D$4:$D$2091,$B42,'сентябрь 2024'!$J$4:$J$2091,Y$1)</f>
        <v>0</v>
      </c>
      <c r="Z42" s="80">
        <f>SUMIFS('сентябрь 2024'!$G$4:$G$2091,'сентябрь 2024'!$D$4:$D$2091,$B42,'сентябрь 2024'!$J$4:$J$2091,Z$1)</f>
        <v>0</v>
      </c>
      <c r="AA42" s="80">
        <f>SUMIFS('сентябрь 2024'!$G$4:$G$2091,'сентябрь 2024'!$D$4:$D$2091,$B42,'сентябрь 2024'!$J$4:$J$2091,AA$1)</f>
        <v>0</v>
      </c>
      <c r="AB42" s="80">
        <f>SUMIFS('сентябрь 2024'!$G$4:$G$2091,'сентябрь 2024'!$D$4:$D$2091,$B42,'сентябрь 2024'!$J$4:$J$2091,AB$1)</f>
        <v>0</v>
      </c>
      <c r="AC42" s="80">
        <f>SUMIFS('сентябрь 2024'!$G$4:$G$2091,'сентябрь 2024'!$D$4:$D$2091,$B42,'сентябрь 2024'!$J$4:$J$2091,AC$1)</f>
        <v>0</v>
      </c>
      <c r="AD42" s="80">
        <f>SUMIFS('сентябрь 2024'!$G$4:$G$2091,'сентябрь 2024'!$D$4:$D$2091,$B42,'сентябрь 2024'!$J$4:$J$2091,AD$1)</f>
        <v>0</v>
      </c>
      <c r="AE42" s="80">
        <f>SUMIFS('сентябрь 2024'!$G$4:$G$2091,'сентябрь 2024'!$D$4:$D$2091,$B42,'сентябрь 2024'!$J$4:$J$2091,AE$1)</f>
        <v>0</v>
      </c>
      <c r="AF42" s="80">
        <f>SUMIFS('сентябрь 2024'!$G$4:$G$2091,'сентябрь 2024'!$D$4:$D$2091,$B42,'сентябрь 2024'!$J$4:$J$2091,AF$1)</f>
        <v>0</v>
      </c>
      <c r="AG42" s="80">
        <f>SUMIFS('сентябрь 2024'!$G$4:$G$2091,'сентябрь 2024'!$D$4:$D$2091,$B42,'сентябрь 2024'!$J$4:$J$2091,AG$1)</f>
        <v>0</v>
      </c>
      <c r="AH42" s="80">
        <f>SUMIFS('сентябрь 2024'!$G$4:$G$2091,'сентябрь 2024'!$D$4:$D$2091,$B42,'сентябрь 2024'!$J$4:$J$2091,AH$1)</f>
        <v>0</v>
      </c>
      <c r="AI42" s="21">
        <f t="shared" si="1"/>
        <v>0</v>
      </c>
    </row>
    <row r="43" spans="2:35" ht="15" customHeight="1" x14ac:dyDescent="0.25">
      <c r="B43" s="154" t="s">
        <v>468</v>
      </c>
      <c r="C43" s="170">
        <v>25</v>
      </c>
      <c r="D43" s="80">
        <f>SUMIFS('сентябрь 2024'!$G$4:$G$2091,'сентябрь 2024'!$D$4:$D$2091,$B43,'сентябрь 2024'!$J$4:$J$2091,D$1)</f>
        <v>0</v>
      </c>
      <c r="E43" s="80">
        <f>SUMIFS('сентябрь 2024'!$G$4:$G$2091,'сентябрь 2024'!$D$4:$D$2091,$B43,'сентябрь 2024'!$J$4:$J$2091,E$1)</f>
        <v>0</v>
      </c>
      <c r="F43" s="80">
        <f>SUMIFS('сентябрь 2024'!$G$4:$G$2091,'сентябрь 2024'!$D$4:$D$2091,$B43,'сентябрь 2024'!$J$4:$J$2091,F$1)</f>
        <v>0</v>
      </c>
      <c r="G43" s="80">
        <f>SUMIFS('сентябрь 2024'!$G$4:$G$2091,'сентябрь 2024'!$D$4:$D$2091,$B43,'сентябрь 2024'!$J$4:$J$2091,G$1)</f>
        <v>0</v>
      </c>
      <c r="H43" s="80">
        <f>SUMIFS('сентябрь 2024'!$G$4:$G$2091,'сентябрь 2024'!$D$4:$D$2091,$B43,'сентябрь 2024'!$J$4:$J$2091,H$1)</f>
        <v>0</v>
      </c>
      <c r="I43" s="80">
        <f>SUMIFS('сентябрь 2024'!$G$4:$G$2091,'сентябрь 2024'!$D$4:$D$2091,$B43,'сентябрь 2024'!$J$4:$J$2091,I$1)</f>
        <v>0</v>
      </c>
      <c r="J43" s="80">
        <f>SUMIFS('сентябрь 2024'!$G$4:$G$2091,'сентябрь 2024'!$D$4:$D$2091,$B43,'сентябрь 2024'!$J$4:$J$2091,J$1)</f>
        <v>0</v>
      </c>
      <c r="K43" s="80">
        <f>SUMIFS('сентябрь 2024'!$G$4:$G$2091,'сентябрь 2024'!$D$4:$D$2091,$B43,'сентябрь 2024'!$J$4:$J$2091,K$1)</f>
        <v>0</v>
      </c>
      <c r="L43" s="80">
        <f>SUMIFS('сентябрь 2024'!$G$4:$G$2091,'сентябрь 2024'!$D$4:$D$2091,$B43,'сентябрь 2024'!$J$4:$J$2091,L$1)</f>
        <v>0</v>
      </c>
      <c r="M43" s="80">
        <f>SUMIFS('сентябрь 2024'!$G$4:$G$2091,'сентябрь 2024'!$D$4:$D$2091,$B43,'сентябрь 2024'!$J$4:$J$2091,M$1)</f>
        <v>0</v>
      </c>
      <c r="N43" s="80">
        <f>SUMIFS('сентябрь 2024'!$G$4:$G$2091,'сентябрь 2024'!$D$4:$D$2091,$B43,'сентябрь 2024'!$J$4:$J$2091,N$1)</f>
        <v>0</v>
      </c>
      <c r="O43" s="80">
        <f>SUMIFS('сентябрь 2024'!$G$4:$G$2091,'сентябрь 2024'!$D$4:$D$2091,$B43,'сентябрь 2024'!$J$4:$J$2091,O$1)</f>
        <v>0</v>
      </c>
      <c r="P43" s="80">
        <f>SUMIFS('сентябрь 2024'!$G$4:$G$2091,'сентябрь 2024'!$D$4:$D$2091,$B43,'сентябрь 2024'!$J$4:$J$2091,P$1)</f>
        <v>0</v>
      </c>
      <c r="Q43" s="80">
        <f>SUMIFS('сентябрь 2024'!$G$4:$G$2091,'сентябрь 2024'!$D$4:$D$2091,$B43,'сентябрь 2024'!$J$4:$J$2091,Q$1)</f>
        <v>0</v>
      </c>
      <c r="R43" s="80">
        <f>SUMIFS('сентябрь 2024'!$G$4:$G$2091,'сентябрь 2024'!$D$4:$D$2091,$B43,'сентябрь 2024'!$J$4:$J$2091,R$1)</f>
        <v>0</v>
      </c>
      <c r="S43" s="80">
        <f>SUMIFS('сентябрь 2024'!$G$4:$G$2091,'сентябрь 2024'!$D$4:$D$2091,$B43,'сентябрь 2024'!$J$4:$J$2091,S$1)</f>
        <v>0</v>
      </c>
      <c r="T43" s="80">
        <f>SUMIFS('сентябрь 2024'!$G$4:$G$2091,'сентябрь 2024'!$D$4:$D$2091,$B43,'сентябрь 2024'!$J$4:$J$2091,T$1)</f>
        <v>0</v>
      </c>
      <c r="U43" s="80">
        <f>SUMIFS('сентябрь 2024'!$G$4:$G$2091,'сентябрь 2024'!$D$4:$D$2091,$B43,'сентябрь 2024'!$J$4:$J$2091,U$1)</f>
        <v>0</v>
      </c>
      <c r="V43" s="80">
        <f>SUMIFS('сентябрь 2024'!$G$4:$G$2091,'сентябрь 2024'!$D$4:$D$2091,$B43,'сентябрь 2024'!$J$4:$J$2091,V$1)</f>
        <v>0</v>
      </c>
      <c r="W43" s="80">
        <f>SUMIFS('сентябрь 2024'!$G$4:$G$2091,'сентябрь 2024'!$D$4:$D$2091,$B43,'сентябрь 2024'!$J$4:$J$2091,W$1)</f>
        <v>0</v>
      </c>
      <c r="X43" s="80">
        <f>SUMIFS('сентябрь 2024'!$G$4:$G$2091,'сентябрь 2024'!$D$4:$D$2091,$B43,'сентябрь 2024'!$J$4:$J$2091,X$1)</f>
        <v>0</v>
      </c>
      <c r="Y43" s="80">
        <f>SUMIFS('сентябрь 2024'!$G$4:$G$2091,'сентябрь 2024'!$D$4:$D$2091,$B43,'сентябрь 2024'!$J$4:$J$2091,Y$1)</f>
        <v>0</v>
      </c>
      <c r="Z43" s="80">
        <f>SUMIFS('сентябрь 2024'!$G$4:$G$2091,'сентябрь 2024'!$D$4:$D$2091,$B43,'сентябрь 2024'!$J$4:$J$2091,Z$1)</f>
        <v>0</v>
      </c>
      <c r="AA43" s="80">
        <f>SUMIFS('сентябрь 2024'!$G$4:$G$2091,'сентябрь 2024'!$D$4:$D$2091,$B43,'сентябрь 2024'!$J$4:$J$2091,AA$1)</f>
        <v>0</v>
      </c>
      <c r="AB43" s="80">
        <f>SUMIFS('сентябрь 2024'!$G$4:$G$2091,'сентябрь 2024'!$D$4:$D$2091,$B43,'сентябрь 2024'!$J$4:$J$2091,AB$1)</f>
        <v>0</v>
      </c>
      <c r="AC43" s="80">
        <f>SUMIFS('сентябрь 2024'!$G$4:$G$2091,'сентябрь 2024'!$D$4:$D$2091,$B43,'сентябрь 2024'!$J$4:$J$2091,AC$1)</f>
        <v>0</v>
      </c>
      <c r="AD43" s="80">
        <f>SUMIFS('сентябрь 2024'!$G$4:$G$2091,'сентябрь 2024'!$D$4:$D$2091,$B43,'сентябрь 2024'!$J$4:$J$2091,AD$1)</f>
        <v>0</v>
      </c>
      <c r="AE43" s="80">
        <f>SUMIFS('сентябрь 2024'!$G$4:$G$2091,'сентябрь 2024'!$D$4:$D$2091,$B43,'сентябрь 2024'!$J$4:$J$2091,AE$1)</f>
        <v>0</v>
      </c>
      <c r="AF43" s="80">
        <f>SUMIFS('сентябрь 2024'!$G$4:$G$2091,'сентябрь 2024'!$D$4:$D$2091,$B43,'сентябрь 2024'!$J$4:$J$2091,AF$1)</f>
        <v>0</v>
      </c>
      <c r="AG43" s="80">
        <f>SUMIFS('сентябрь 2024'!$G$4:$G$2091,'сентябрь 2024'!$D$4:$D$2091,$B43,'сентябрь 2024'!$J$4:$J$2091,AG$1)</f>
        <v>0</v>
      </c>
      <c r="AH43" s="80">
        <f>SUMIFS('сентябрь 2024'!$G$4:$G$2091,'сентябрь 2024'!$D$4:$D$2091,$B43,'сентябрь 2024'!$J$4:$J$2091,AH$1)</f>
        <v>0</v>
      </c>
      <c r="AI43" s="21">
        <f t="shared" si="1"/>
        <v>0</v>
      </c>
    </row>
    <row r="44" spans="2:35" ht="15" customHeight="1" x14ac:dyDescent="0.25">
      <c r="B44" s="154" t="s">
        <v>296</v>
      </c>
      <c r="C44" s="151">
        <v>25</v>
      </c>
      <c r="D44" s="80">
        <f>SUMIFS('сентябрь 2024'!$G$4:$G$2091,'сентябрь 2024'!$D$4:$D$2091,$B44,'сентябрь 2024'!$J$4:$J$2091,D$1)</f>
        <v>0</v>
      </c>
      <c r="E44" s="80">
        <f>SUMIFS('сентябрь 2024'!$G$4:$G$2091,'сентябрь 2024'!$D$4:$D$2091,$B44,'сентябрь 2024'!$J$4:$J$2091,E$1)</f>
        <v>0</v>
      </c>
      <c r="F44" s="80">
        <f>SUMIFS('сентябрь 2024'!$G$4:$G$2091,'сентябрь 2024'!$D$4:$D$2091,$B44,'сентябрь 2024'!$J$4:$J$2091,F$1)</f>
        <v>0</v>
      </c>
      <c r="G44" s="80">
        <f>SUMIFS('сентябрь 2024'!$G$4:$G$2091,'сентябрь 2024'!$D$4:$D$2091,$B44,'сентябрь 2024'!$J$4:$J$2091,G$1)</f>
        <v>0</v>
      </c>
      <c r="H44" s="80">
        <f>SUMIFS('сентябрь 2024'!$G$4:$G$2091,'сентябрь 2024'!$D$4:$D$2091,$B44,'сентябрь 2024'!$J$4:$J$2091,H$1)</f>
        <v>0</v>
      </c>
      <c r="I44" s="80">
        <f>SUMIFS('сентябрь 2024'!$G$4:$G$2091,'сентябрь 2024'!$D$4:$D$2091,$B44,'сентябрь 2024'!$J$4:$J$2091,I$1)</f>
        <v>0</v>
      </c>
      <c r="J44" s="80">
        <f>SUMIFS('сентябрь 2024'!$G$4:$G$2091,'сентябрь 2024'!$D$4:$D$2091,$B44,'сентябрь 2024'!$J$4:$J$2091,J$1)</f>
        <v>0</v>
      </c>
      <c r="K44" s="80">
        <f>SUMIFS('сентябрь 2024'!$G$4:$G$2091,'сентябрь 2024'!$D$4:$D$2091,$B44,'сентябрь 2024'!$J$4:$J$2091,K$1)</f>
        <v>0</v>
      </c>
      <c r="L44" s="80">
        <f>SUMIFS('сентябрь 2024'!$G$4:$G$2091,'сентябрь 2024'!$D$4:$D$2091,$B44,'сентябрь 2024'!$J$4:$J$2091,L$1)</f>
        <v>0</v>
      </c>
      <c r="M44" s="80">
        <f>SUMIFS('сентябрь 2024'!$G$4:$G$2091,'сентябрь 2024'!$D$4:$D$2091,$B44,'сентябрь 2024'!$J$4:$J$2091,M$1)</f>
        <v>0</v>
      </c>
      <c r="N44" s="80">
        <f>SUMIFS('сентябрь 2024'!$G$4:$G$2091,'сентябрь 2024'!$D$4:$D$2091,$B44,'сентябрь 2024'!$J$4:$J$2091,N$1)</f>
        <v>0</v>
      </c>
      <c r="O44" s="80">
        <f>SUMIFS('сентябрь 2024'!$G$4:$G$2091,'сентябрь 2024'!$D$4:$D$2091,$B44,'сентябрь 2024'!$J$4:$J$2091,O$1)</f>
        <v>0</v>
      </c>
      <c r="P44" s="80">
        <f>SUMIFS('сентябрь 2024'!$G$4:$G$2091,'сентябрь 2024'!$D$4:$D$2091,$B44,'сентябрь 2024'!$J$4:$J$2091,P$1)</f>
        <v>0</v>
      </c>
      <c r="Q44" s="80">
        <f>SUMIFS('сентябрь 2024'!$G$4:$G$2091,'сентябрь 2024'!$D$4:$D$2091,$B44,'сентябрь 2024'!$J$4:$J$2091,Q$1)</f>
        <v>0</v>
      </c>
      <c r="R44" s="80">
        <f>SUMIFS('сентябрь 2024'!$G$4:$G$2091,'сентябрь 2024'!$D$4:$D$2091,$B44,'сентябрь 2024'!$J$4:$J$2091,R$1)</f>
        <v>0</v>
      </c>
      <c r="S44" s="80">
        <f>SUMIFS('сентябрь 2024'!$G$4:$G$2091,'сентябрь 2024'!$D$4:$D$2091,$B44,'сентябрь 2024'!$J$4:$J$2091,S$1)</f>
        <v>0</v>
      </c>
      <c r="T44" s="80">
        <f>SUMIFS('сентябрь 2024'!$G$4:$G$2091,'сентябрь 2024'!$D$4:$D$2091,$B44,'сентябрь 2024'!$J$4:$J$2091,T$1)</f>
        <v>0</v>
      </c>
      <c r="U44" s="80">
        <f>SUMIFS('сентябрь 2024'!$G$4:$G$2091,'сентябрь 2024'!$D$4:$D$2091,$B44,'сентябрь 2024'!$J$4:$J$2091,U$1)</f>
        <v>0</v>
      </c>
      <c r="V44" s="80">
        <f>SUMIFS('сентябрь 2024'!$G$4:$G$2091,'сентябрь 2024'!$D$4:$D$2091,$B44,'сентябрь 2024'!$J$4:$J$2091,V$1)</f>
        <v>0</v>
      </c>
      <c r="W44" s="80">
        <f>SUMIFS('сентябрь 2024'!$G$4:$G$2091,'сентябрь 2024'!$D$4:$D$2091,$B44,'сентябрь 2024'!$J$4:$J$2091,W$1)</f>
        <v>0</v>
      </c>
      <c r="X44" s="80">
        <f>SUMIFS('сентябрь 2024'!$G$4:$G$2091,'сентябрь 2024'!$D$4:$D$2091,$B44,'сентябрь 2024'!$J$4:$J$2091,X$1)</f>
        <v>0</v>
      </c>
      <c r="Y44" s="80">
        <f>SUMIFS('сентябрь 2024'!$G$4:$G$2091,'сентябрь 2024'!$D$4:$D$2091,$B44,'сентябрь 2024'!$J$4:$J$2091,Y$1)</f>
        <v>0</v>
      </c>
      <c r="Z44" s="80">
        <f>SUMIFS('сентябрь 2024'!$G$4:$G$2091,'сентябрь 2024'!$D$4:$D$2091,$B44,'сентябрь 2024'!$J$4:$J$2091,Z$1)</f>
        <v>0</v>
      </c>
      <c r="AA44" s="80">
        <f>SUMIFS('сентябрь 2024'!$G$4:$G$2091,'сентябрь 2024'!$D$4:$D$2091,$B44,'сентябрь 2024'!$J$4:$J$2091,AA$1)</f>
        <v>0</v>
      </c>
      <c r="AB44" s="80">
        <f>SUMIFS('сентябрь 2024'!$G$4:$G$2091,'сентябрь 2024'!$D$4:$D$2091,$B44,'сентябрь 2024'!$J$4:$J$2091,AB$1)</f>
        <v>0</v>
      </c>
      <c r="AC44" s="80">
        <f>SUMIFS('сентябрь 2024'!$G$4:$G$2091,'сентябрь 2024'!$D$4:$D$2091,$B44,'сентябрь 2024'!$J$4:$J$2091,AC$1)</f>
        <v>0</v>
      </c>
      <c r="AD44" s="80">
        <f>SUMIFS('сентябрь 2024'!$G$4:$G$2091,'сентябрь 2024'!$D$4:$D$2091,$B44,'сентябрь 2024'!$J$4:$J$2091,AD$1)</f>
        <v>0</v>
      </c>
      <c r="AE44" s="80">
        <f>SUMIFS('сентябрь 2024'!$G$4:$G$2091,'сентябрь 2024'!$D$4:$D$2091,$B44,'сентябрь 2024'!$J$4:$J$2091,AE$1)</f>
        <v>0</v>
      </c>
      <c r="AF44" s="80">
        <f>SUMIFS('сентябрь 2024'!$G$4:$G$2091,'сентябрь 2024'!$D$4:$D$2091,$B44,'сентябрь 2024'!$J$4:$J$2091,AF$1)</f>
        <v>0</v>
      </c>
      <c r="AG44" s="80">
        <f>SUMIFS('сентябрь 2024'!$G$4:$G$2091,'сентябрь 2024'!$D$4:$D$2091,$B44,'сентябрь 2024'!$J$4:$J$2091,AG$1)</f>
        <v>0</v>
      </c>
      <c r="AH44" s="80">
        <f>SUMIFS('сентябрь 2024'!$G$4:$G$2091,'сентябрь 2024'!$D$4:$D$2091,$B44,'сентябрь 2024'!$J$4:$J$2091,AH$1)</f>
        <v>0</v>
      </c>
      <c r="AI44" s="21">
        <f t="shared" si="1"/>
        <v>0</v>
      </c>
    </row>
    <row r="45" spans="2:35" ht="15" customHeight="1" x14ac:dyDescent="0.25">
      <c r="B45" s="154" t="s">
        <v>298</v>
      </c>
      <c r="C45" s="151">
        <v>18</v>
      </c>
      <c r="D45" s="80">
        <f>SUMIFS('сентябрь 2024'!$G$4:$G$2091,'сентябрь 2024'!$D$4:$D$2091,$B45,'сентябрь 2024'!$J$4:$J$2091,D$1)</f>
        <v>0</v>
      </c>
      <c r="E45" s="80">
        <f>SUMIFS('сентябрь 2024'!$G$4:$G$2091,'сентябрь 2024'!$D$4:$D$2091,$B45,'сентябрь 2024'!$J$4:$J$2091,E$1)</f>
        <v>0</v>
      </c>
      <c r="F45" s="80">
        <f>SUMIFS('сентябрь 2024'!$G$4:$G$2091,'сентябрь 2024'!$D$4:$D$2091,$B45,'сентябрь 2024'!$J$4:$J$2091,F$1)</f>
        <v>0</v>
      </c>
      <c r="G45" s="80">
        <f>SUMIFS('сентябрь 2024'!$G$4:$G$2091,'сентябрь 2024'!$D$4:$D$2091,$B45,'сентябрь 2024'!$J$4:$J$2091,G$1)</f>
        <v>0</v>
      </c>
      <c r="H45" s="80">
        <f>SUMIFS('сентябрь 2024'!$G$4:$G$2091,'сентябрь 2024'!$D$4:$D$2091,$B45,'сентябрь 2024'!$J$4:$J$2091,H$1)</f>
        <v>0</v>
      </c>
      <c r="I45" s="80">
        <f>SUMIFS('сентябрь 2024'!$G$4:$G$2091,'сентябрь 2024'!$D$4:$D$2091,$B45,'сентябрь 2024'!$J$4:$J$2091,I$1)</f>
        <v>0</v>
      </c>
      <c r="J45" s="80">
        <f>SUMIFS('сентябрь 2024'!$G$4:$G$2091,'сентябрь 2024'!$D$4:$D$2091,$B45,'сентябрь 2024'!$J$4:$J$2091,J$1)</f>
        <v>0</v>
      </c>
      <c r="K45" s="80">
        <f>SUMIFS('сентябрь 2024'!$G$4:$G$2091,'сентябрь 2024'!$D$4:$D$2091,$B45,'сентябрь 2024'!$J$4:$J$2091,K$1)</f>
        <v>0</v>
      </c>
      <c r="L45" s="80">
        <f>SUMIFS('сентябрь 2024'!$G$4:$G$2091,'сентябрь 2024'!$D$4:$D$2091,$B45,'сентябрь 2024'!$J$4:$J$2091,L$1)</f>
        <v>0</v>
      </c>
      <c r="M45" s="80">
        <f>SUMIFS('сентябрь 2024'!$G$4:$G$2091,'сентябрь 2024'!$D$4:$D$2091,$B45,'сентябрь 2024'!$J$4:$J$2091,M$1)</f>
        <v>0</v>
      </c>
      <c r="N45" s="80">
        <f>SUMIFS('сентябрь 2024'!$G$4:$G$2091,'сентябрь 2024'!$D$4:$D$2091,$B45,'сентябрь 2024'!$J$4:$J$2091,N$1)</f>
        <v>0</v>
      </c>
      <c r="O45" s="80">
        <f>SUMIFS('сентябрь 2024'!$G$4:$G$2091,'сентябрь 2024'!$D$4:$D$2091,$B45,'сентябрь 2024'!$J$4:$J$2091,O$1)</f>
        <v>0</v>
      </c>
      <c r="P45" s="80">
        <f>SUMIFS('сентябрь 2024'!$G$4:$G$2091,'сентябрь 2024'!$D$4:$D$2091,$B45,'сентябрь 2024'!$J$4:$J$2091,P$1)</f>
        <v>0</v>
      </c>
      <c r="Q45" s="80">
        <f>SUMIFS('сентябрь 2024'!$G$4:$G$2091,'сентябрь 2024'!$D$4:$D$2091,$B45,'сентябрь 2024'!$J$4:$J$2091,Q$1)</f>
        <v>0</v>
      </c>
      <c r="R45" s="80">
        <f>SUMIFS('сентябрь 2024'!$G$4:$G$2091,'сентябрь 2024'!$D$4:$D$2091,$B45,'сентябрь 2024'!$J$4:$J$2091,R$1)</f>
        <v>0</v>
      </c>
      <c r="S45" s="80">
        <f>SUMIFS('сентябрь 2024'!$G$4:$G$2091,'сентябрь 2024'!$D$4:$D$2091,$B45,'сентябрь 2024'!$J$4:$J$2091,S$1)</f>
        <v>0</v>
      </c>
      <c r="T45" s="80">
        <f>SUMIFS('сентябрь 2024'!$G$4:$G$2091,'сентябрь 2024'!$D$4:$D$2091,$B45,'сентябрь 2024'!$J$4:$J$2091,T$1)</f>
        <v>0</v>
      </c>
      <c r="U45" s="80">
        <f>SUMIFS('сентябрь 2024'!$G$4:$G$2091,'сентябрь 2024'!$D$4:$D$2091,$B45,'сентябрь 2024'!$J$4:$J$2091,U$1)</f>
        <v>0</v>
      </c>
      <c r="V45" s="80">
        <f>SUMIFS('сентябрь 2024'!$G$4:$G$2091,'сентябрь 2024'!$D$4:$D$2091,$B45,'сентябрь 2024'!$J$4:$J$2091,V$1)</f>
        <v>0</v>
      </c>
      <c r="W45" s="80">
        <f>SUMIFS('сентябрь 2024'!$G$4:$G$2091,'сентябрь 2024'!$D$4:$D$2091,$B45,'сентябрь 2024'!$J$4:$J$2091,W$1)</f>
        <v>0</v>
      </c>
      <c r="X45" s="80">
        <f>SUMIFS('сентябрь 2024'!$G$4:$G$2091,'сентябрь 2024'!$D$4:$D$2091,$B45,'сентябрь 2024'!$J$4:$J$2091,X$1)</f>
        <v>0</v>
      </c>
      <c r="Y45" s="80">
        <f>SUMIFS('сентябрь 2024'!$G$4:$G$2091,'сентябрь 2024'!$D$4:$D$2091,$B45,'сентябрь 2024'!$J$4:$J$2091,Y$1)</f>
        <v>0</v>
      </c>
      <c r="Z45" s="80">
        <f>SUMIFS('сентябрь 2024'!$G$4:$G$2091,'сентябрь 2024'!$D$4:$D$2091,$B45,'сентябрь 2024'!$J$4:$J$2091,Z$1)</f>
        <v>0</v>
      </c>
      <c r="AA45" s="80">
        <f>SUMIFS('сентябрь 2024'!$G$4:$G$2091,'сентябрь 2024'!$D$4:$D$2091,$B45,'сентябрь 2024'!$J$4:$J$2091,AA$1)</f>
        <v>0</v>
      </c>
      <c r="AB45" s="80">
        <f>SUMIFS('сентябрь 2024'!$G$4:$G$2091,'сентябрь 2024'!$D$4:$D$2091,$B45,'сентябрь 2024'!$J$4:$J$2091,AB$1)</f>
        <v>0</v>
      </c>
      <c r="AC45" s="80">
        <f>SUMIFS('сентябрь 2024'!$G$4:$G$2091,'сентябрь 2024'!$D$4:$D$2091,$B45,'сентябрь 2024'!$J$4:$J$2091,AC$1)</f>
        <v>0</v>
      </c>
      <c r="AD45" s="80">
        <f>SUMIFS('сентябрь 2024'!$G$4:$G$2091,'сентябрь 2024'!$D$4:$D$2091,$B45,'сентябрь 2024'!$J$4:$J$2091,AD$1)</f>
        <v>0</v>
      </c>
      <c r="AE45" s="80">
        <f>SUMIFS('сентябрь 2024'!$G$4:$G$2091,'сентябрь 2024'!$D$4:$D$2091,$B45,'сентябрь 2024'!$J$4:$J$2091,AE$1)</f>
        <v>0</v>
      </c>
      <c r="AF45" s="80">
        <f>SUMIFS('сентябрь 2024'!$G$4:$G$2091,'сентябрь 2024'!$D$4:$D$2091,$B45,'сентябрь 2024'!$J$4:$J$2091,AF$1)</f>
        <v>0</v>
      </c>
      <c r="AG45" s="80">
        <f>SUMIFS('сентябрь 2024'!$G$4:$G$2091,'сентябрь 2024'!$D$4:$D$2091,$B45,'сентябрь 2024'!$J$4:$J$2091,AG$1)</f>
        <v>0</v>
      </c>
      <c r="AH45" s="80">
        <f>SUMIFS('сентябрь 2024'!$G$4:$G$2091,'сентябрь 2024'!$D$4:$D$2091,$B45,'сентябрь 2024'!$J$4:$J$2091,AH$1)</f>
        <v>0</v>
      </c>
      <c r="AI45" s="21">
        <f t="shared" si="1"/>
        <v>0</v>
      </c>
    </row>
    <row r="46" spans="2:35" ht="15" customHeight="1" x14ac:dyDescent="0.25">
      <c r="B46" s="154" t="s">
        <v>300</v>
      </c>
      <c r="C46" s="151">
        <v>20</v>
      </c>
      <c r="D46" s="80">
        <f>SUMIFS('сентябрь 2024'!$G$4:$G$2091,'сентябрь 2024'!$D$4:$D$2091,$B46,'сентябрь 2024'!$J$4:$J$2091,D$1)</f>
        <v>0</v>
      </c>
      <c r="E46" s="80">
        <f>SUMIFS('сентябрь 2024'!$G$4:$G$2091,'сентябрь 2024'!$D$4:$D$2091,$B46,'сентябрь 2024'!$J$4:$J$2091,E$1)</f>
        <v>0</v>
      </c>
      <c r="F46" s="80">
        <f>SUMIFS('сентябрь 2024'!$G$4:$G$2091,'сентябрь 2024'!$D$4:$D$2091,$B46,'сентябрь 2024'!$J$4:$J$2091,F$1)</f>
        <v>0</v>
      </c>
      <c r="G46" s="80">
        <f>SUMIFS('сентябрь 2024'!$G$4:$G$2091,'сентябрь 2024'!$D$4:$D$2091,$B46,'сентябрь 2024'!$J$4:$J$2091,G$1)</f>
        <v>0</v>
      </c>
      <c r="H46" s="80">
        <f>SUMIFS('сентябрь 2024'!$G$4:$G$2091,'сентябрь 2024'!$D$4:$D$2091,$B46,'сентябрь 2024'!$J$4:$J$2091,H$1)</f>
        <v>0</v>
      </c>
      <c r="I46" s="80">
        <f>SUMIFS('сентябрь 2024'!$G$4:$G$2091,'сентябрь 2024'!$D$4:$D$2091,$B46,'сентябрь 2024'!$J$4:$J$2091,I$1)</f>
        <v>0</v>
      </c>
      <c r="J46" s="80">
        <f>SUMIFS('сентябрь 2024'!$G$4:$G$2091,'сентябрь 2024'!$D$4:$D$2091,$B46,'сентябрь 2024'!$J$4:$J$2091,J$1)</f>
        <v>0</v>
      </c>
      <c r="K46" s="80">
        <f>SUMIFS('сентябрь 2024'!$G$4:$G$2091,'сентябрь 2024'!$D$4:$D$2091,$B46,'сентябрь 2024'!$J$4:$J$2091,K$1)</f>
        <v>0</v>
      </c>
      <c r="L46" s="80">
        <f>SUMIFS('сентябрь 2024'!$G$4:$G$2091,'сентябрь 2024'!$D$4:$D$2091,$B46,'сентябрь 2024'!$J$4:$J$2091,L$1)</f>
        <v>0</v>
      </c>
      <c r="M46" s="80">
        <f>SUMIFS('сентябрь 2024'!$G$4:$G$2091,'сентябрь 2024'!$D$4:$D$2091,$B46,'сентябрь 2024'!$J$4:$J$2091,M$1)</f>
        <v>0</v>
      </c>
      <c r="N46" s="80">
        <f>SUMIFS('сентябрь 2024'!$G$4:$G$2091,'сентябрь 2024'!$D$4:$D$2091,$B46,'сентябрь 2024'!$J$4:$J$2091,N$1)</f>
        <v>0</v>
      </c>
      <c r="O46" s="80">
        <f>SUMIFS('сентябрь 2024'!$G$4:$G$2091,'сентябрь 2024'!$D$4:$D$2091,$B46,'сентябрь 2024'!$J$4:$J$2091,O$1)</f>
        <v>0</v>
      </c>
      <c r="P46" s="80">
        <f>SUMIFS('сентябрь 2024'!$G$4:$G$2091,'сентябрь 2024'!$D$4:$D$2091,$B46,'сентябрь 2024'!$J$4:$J$2091,P$1)</f>
        <v>0</v>
      </c>
      <c r="Q46" s="80">
        <f>SUMIFS('сентябрь 2024'!$G$4:$G$2091,'сентябрь 2024'!$D$4:$D$2091,$B46,'сентябрь 2024'!$J$4:$J$2091,Q$1)</f>
        <v>0</v>
      </c>
      <c r="R46" s="80">
        <f>SUMIFS('сентябрь 2024'!$G$4:$G$2091,'сентябрь 2024'!$D$4:$D$2091,$B46,'сентябрь 2024'!$J$4:$J$2091,R$1)</f>
        <v>0</v>
      </c>
      <c r="S46" s="80">
        <f>SUMIFS('сентябрь 2024'!$G$4:$G$2091,'сентябрь 2024'!$D$4:$D$2091,$B46,'сентябрь 2024'!$J$4:$J$2091,S$1)</f>
        <v>0</v>
      </c>
      <c r="T46" s="80">
        <f>SUMIFS('сентябрь 2024'!$G$4:$G$2091,'сентябрь 2024'!$D$4:$D$2091,$B46,'сентябрь 2024'!$J$4:$J$2091,T$1)</f>
        <v>0</v>
      </c>
      <c r="U46" s="80">
        <f>SUMIFS('сентябрь 2024'!$G$4:$G$2091,'сентябрь 2024'!$D$4:$D$2091,$B46,'сентябрь 2024'!$J$4:$J$2091,U$1)</f>
        <v>0</v>
      </c>
      <c r="V46" s="80">
        <f>SUMIFS('сентябрь 2024'!$G$4:$G$2091,'сентябрь 2024'!$D$4:$D$2091,$B46,'сентябрь 2024'!$J$4:$J$2091,V$1)</f>
        <v>0</v>
      </c>
      <c r="W46" s="80">
        <f>SUMIFS('сентябрь 2024'!$G$4:$G$2091,'сентябрь 2024'!$D$4:$D$2091,$B46,'сентябрь 2024'!$J$4:$J$2091,W$1)</f>
        <v>0</v>
      </c>
      <c r="X46" s="80">
        <f>SUMIFS('сентябрь 2024'!$G$4:$G$2091,'сентябрь 2024'!$D$4:$D$2091,$B46,'сентябрь 2024'!$J$4:$J$2091,X$1)</f>
        <v>0</v>
      </c>
      <c r="Y46" s="80">
        <f>SUMIFS('сентябрь 2024'!$G$4:$G$2091,'сентябрь 2024'!$D$4:$D$2091,$B46,'сентябрь 2024'!$J$4:$J$2091,Y$1)</f>
        <v>0</v>
      </c>
      <c r="Z46" s="80">
        <f>SUMIFS('сентябрь 2024'!$G$4:$G$2091,'сентябрь 2024'!$D$4:$D$2091,$B46,'сентябрь 2024'!$J$4:$J$2091,Z$1)</f>
        <v>0</v>
      </c>
      <c r="AA46" s="80">
        <f>SUMIFS('сентябрь 2024'!$G$4:$G$2091,'сентябрь 2024'!$D$4:$D$2091,$B46,'сентябрь 2024'!$J$4:$J$2091,AA$1)</f>
        <v>0</v>
      </c>
      <c r="AB46" s="80">
        <f>SUMIFS('сентябрь 2024'!$G$4:$G$2091,'сентябрь 2024'!$D$4:$D$2091,$B46,'сентябрь 2024'!$J$4:$J$2091,AB$1)</f>
        <v>0</v>
      </c>
      <c r="AC46" s="80">
        <f>SUMIFS('сентябрь 2024'!$G$4:$G$2091,'сентябрь 2024'!$D$4:$D$2091,$B46,'сентябрь 2024'!$J$4:$J$2091,AC$1)</f>
        <v>0</v>
      </c>
      <c r="AD46" s="80">
        <f>SUMIFS('сентябрь 2024'!$G$4:$G$2091,'сентябрь 2024'!$D$4:$D$2091,$B46,'сентябрь 2024'!$J$4:$J$2091,AD$1)</f>
        <v>0</v>
      </c>
      <c r="AE46" s="80">
        <f>SUMIFS('сентябрь 2024'!$G$4:$G$2091,'сентябрь 2024'!$D$4:$D$2091,$B46,'сентябрь 2024'!$J$4:$J$2091,AE$1)</f>
        <v>0</v>
      </c>
      <c r="AF46" s="80">
        <f>SUMIFS('сентябрь 2024'!$G$4:$G$2091,'сентябрь 2024'!$D$4:$D$2091,$B46,'сентябрь 2024'!$J$4:$J$2091,AF$1)</f>
        <v>0</v>
      </c>
      <c r="AG46" s="80">
        <f>SUMIFS('сентябрь 2024'!$G$4:$G$2091,'сентябрь 2024'!$D$4:$D$2091,$B46,'сентябрь 2024'!$J$4:$J$2091,AG$1)</f>
        <v>0</v>
      </c>
      <c r="AH46" s="80">
        <f>SUMIFS('сентябрь 2024'!$G$4:$G$2091,'сентябрь 2024'!$D$4:$D$2091,$B46,'сентябрь 2024'!$J$4:$J$2091,AH$1)</f>
        <v>0</v>
      </c>
      <c r="AI46" s="21">
        <f t="shared" si="1"/>
        <v>0</v>
      </c>
    </row>
    <row r="47" spans="2:35" ht="15" customHeight="1" x14ac:dyDescent="0.25">
      <c r="B47" s="150" t="s">
        <v>302</v>
      </c>
      <c r="C47" s="153">
        <v>20</v>
      </c>
      <c r="D47" s="80">
        <f>SUMIFS('сентябрь 2024'!$G$4:$G$2091,'сентябрь 2024'!$D$4:$D$2091,$B47,'сентябрь 2024'!$J$4:$J$2091,D$1)</f>
        <v>0</v>
      </c>
      <c r="E47" s="80">
        <f>SUMIFS('сентябрь 2024'!$G$4:$G$2091,'сентябрь 2024'!$D$4:$D$2091,$B47,'сентябрь 2024'!$J$4:$J$2091,E$1)</f>
        <v>0</v>
      </c>
      <c r="F47" s="80">
        <f>SUMIFS('сентябрь 2024'!$G$4:$G$2091,'сентябрь 2024'!$D$4:$D$2091,$B47,'сентябрь 2024'!$J$4:$J$2091,F$1)</f>
        <v>0</v>
      </c>
      <c r="G47" s="80">
        <f>SUMIFS('сентябрь 2024'!$G$4:$G$2091,'сентябрь 2024'!$D$4:$D$2091,$B47,'сентябрь 2024'!$J$4:$J$2091,G$1)</f>
        <v>0</v>
      </c>
      <c r="H47" s="80">
        <f>SUMIFS('сентябрь 2024'!$G$4:$G$2091,'сентябрь 2024'!$D$4:$D$2091,$B47,'сентябрь 2024'!$J$4:$J$2091,H$1)</f>
        <v>0</v>
      </c>
      <c r="I47" s="80">
        <f>SUMIFS('сентябрь 2024'!$G$4:$G$2091,'сентябрь 2024'!$D$4:$D$2091,$B47,'сентябрь 2024'!$J$4:$J$2091,I$1)</f>
        <v>0</v>
      </c>
      <c r="J47" s="80">
        <f>SUMIFS('сентябрь 2024'!$G$4:$G$2091,'сентябрь 2024'!$D$4:$D$2091,$B47,'сентябрь 2024'!$J$4:$J$2091,J$1)</f>
        <v>0</v>
      </c>
      <c r="K47" s="80">
        <f>SUMIFS('сентябрь 2024'!$G$4:$G$2091,'сентябрь 2024'!$D$4:$D$2091,$B47,'сентябрь 2024'!$J$4:$J$2091,K$1)</f>
        <v>0</v>
      </c>
      <c r="L47" s="80">
        <f>SUMIFS('сентябрь 2024'!$G$4:$G$2091,'сентябрь 2024'!$D$4:$D$2091,$B47,'сентябрь 2024'!$J$4:$J$2091,L$1)</f>
        <v>0</v>
      </c>
      <c r="M47" s="80">
        <f>SUMIFS('сентябрь 2024'!$G$4:$G$2091,'сентябрь 2024'!$D$4:$D$2091,$B47,'сентябрь 2024'!$J$4:$J$2091,M$1)</f>
        <v>0</v>
      </c>
      <c r="N47" s="80">
        <f>SUMIFS('сентябрь 2024'!$G$4:$G$2091,'сентябрь 2024'!$D$4:$D$2091,$B47,'сентябрь 2024'!$J$4:$J$2091,N$1)</f>
        <v>0</v>
      </c>
      <c r="O47" s="80">
        <f>SUMIFS('сентябрь 2024'!$G$4:$G$2091,'сентябрь 2024'!$D$4:$D$2091,$B47,'сентябрь 2024'!$J$4:$J$2091,O$1)</f>
        <v>0</v>
      </c>
      <c r="P47" s="80">
        <f>SUMIFS('сентябрь 2024'!$G$4:$G$2091,'сентябрь 2024'!$D$4:$D$2091,$B47,'сентябрь 2024'!$J$4:$J$2091,P$1)</f>
        <v>0</v>
      </c>
      <c r="Q47" s="80">
        <f>SUMIFS('сентябрь 2024'!$G$4:$G$2091,'сентябрь 2024'!$D$4:$D$2091,$B47,'сентябрь 2024'!$J$4:$J$2091,Q$1)</f>
        <v>0</v>
      </c>
      <c r="R47" s="80">
        <f>SUMIFS('сентябрь 2024'!$G$4:$G$2091,'сентябрь 2024'!$D$4:$D$2091,$B47,'сентябрь 2024'!$J$4:$J$2091,R$1)</f>
        <v>0</v>
      </c>
      <c r="S47" s="80">
        <f>SUMIFS('сентябрь 2024'!$G$4:$G$2091,'сентябрь 2024'!$D$4:$D$2091,$B47,'сентябрь 2024'!$J$4:$J$2091,S$1)</f>
        <v>0</v>
      </c>
      <c r="T47" s="80">
        <f>SUMIFS('сентябрь 2024'!$G$4:$G$2091,'сентябрь 2024'!$D$4:$D$2091,$B47,'сентябрь 2024'!$J$4:$J$2091,T$1)</f>
        <v>0</v>
      </c>
      <c r="U47" s="80">
        <f>SUMIFS('сентябрь 2024'!$G$4:$G$2091,'сентябрь 2024'!$D$4:$D$2091,$B47,'сентябрь 2024'!$J$4:$J$2091,U$1)</f>
        <v>0</v>
      </c>
      <c r="V47" s="80">
        <f>SUMIFS('сентябрь 2024'!$G$4:$G$2091,'сентябрь 2024'!$D$4:$D$2091,$B47,'сентябрь 2024'!$J$4:$J$2091,V$1)</f>
        <v>0</v>
      </c>
      <c r="W47" s="80">
        <f>SUMIFS('сентябрь 2024'!$G$4:$G$2091,'сентябрь 2024'!$D$4:$D$2091,$B47,'сентябрь 2024'!$J$4:$J$2091,W$1)</f>
        <v>0</v>
      </c>
      <c r="X47" s="80">
        <f>SUMIFS('сентябрь 2024'!$G$4:$G$2091,'сентябрь 2024'!$D$4:$D$2091,$B47,'сентябрь 2024'!$J$4:$J$2091,X$1)</f>
        <v>0</v>
      </c>
      <c r="Y47" s="80">
        <f>SUMIFS('сентябрь 2024'!$G$4:$G$2091,'сентябрь 2024'!$D$4:$D$2091,$B47,'сентябрь 2024'!$J$4:$J$2091,Y$1)</f>
        <v>0</v>
      </c>
      <c r="Z47" s="80">
        <f>SUMIFS('сентябрь 2024'!$G$4:$G$2091,'сентябрь 2024'!$D$4:$D$2091,$B47,'сентябрь 2024'!$J$4:$J$2091,Z$1)</f>
        <v>0</v>
      </c>
      <c r="AA47" s="80">
        <f>SUMIFS('сентябрь 2024'!$G$4:$G$2091,'сентябрь 2024'!$D$4:$D$2091,$B47,'сентябрь 2024'!$J$4:$J$2091,AA$1)</f>
        <v>0</v>
      </c>
      <c r="AB47" s="80">
        <f>SUMIFS('сентябрь 2024'!$G$4:$G$2091,'сентябрь 2024'!$D$4:$D$2091,$B47,'сентябрь 2024'!$J$4:$J$2091,AB$1)</f>
        <v>0</v>
      </c>
      <c r="AC47" s="80">
        <f>SUMIFS('сентябрь 2024'!$G$4:$G$2091,'сентябрь 2024'!$D$4:$D$2091,$B47,'сентябрь 2024'!$J$4:$J$2091,AC$1)</f>
        <v>0</v>
      </c>
      <c r="AD47" s="80">
        <f>SUMIFS('сентябрь 2024'!$G$4:$G$2091,'сентябрь 2024'!$D$4:$D$2091,$B47,'сентябрь 2024'!$J$4:$J$2091,AD$1)</f>
        <v>0</v>
      </c>
      <c r="AE47" s="80">
        <f>SUMIFS('сентябрь 2024'!$G$4:$G$2091,'сентябрь 2024'!$D$4:$D$2091,$B47,'сентябрь 2024'!$J$4:$J$2091,AE$1)</f>
        <v>0</v>
      </c>
      <c r="AF47" s="80">
        <f>SUMIFS('сентябрь 2024'!$G$4:$G$2091,'сентябрь 2024'!$D$4:$D$2091,$B47,'сентябрь 2024'!$J$4:$J$2091,AF$1)</f>
        <v>0</v>
      </c>
      <c r="AG47" s="80">
        <f>SUMIFS('сентябрь 2024'!$G$4:$G$2091,'сентябрь 2024'!$D$4:$D$2091,$B47,'сентябрь 2024'!$J$4:$J$2091,AG$1)</f>
        <v>0</v>
      </c>
      <c r="AH47" s="80">
        <f>SUMIFS('сентябрь 2024'!$G$4:$G$2091,'сентябрь 2024'!$D$4:$D$2091,$B47,'сентябрь 2024'!$J$4:$J$2091,AH$1)</f>
        <v>0</v>
      </c>
      <c r="AI47" s="21">
        <f t="shared" si="1"/>
        <v>0</v>
      </c>
    </row>
    <row r="48" spans="2:35" ht="15" customHeight="1" x14ac:dyDescent="0.25">
      <c r="B48" s="150" t="s">
        <v>304</v>
      </c>
      <c r="C48" s="149">
        <v>20</v>
      </c>
      <c r="D48" s="80">
        <f>SUMIFS('сентябрь 2024'!$G$4:$G$2091,'сентябрь 2024'!$D$4:$D$2091,$B48,'сентябрь 2024'!$J$4:$J$2091,D$1)</f>
        <v>0</v>
      </c>
      <c r="E48" s="80">
        <f>SUMIFS('сентябрь 2024'!$G$4:$G$2091,'сентябрь 2024'!$D$4:$D$2091,$B48,'сентябрь 2024'!$J$4:$J$2091,E$1)</f>
        <v>0</v>
      </c>
      <c r="F48" s="80">
        <f>SUMIFS('сентябрь 2024'!$G$4:$G$2091,'сентябрь 2024'!$D$4:$D$2091,$B48,'сентябрь 2024'!$J$4:$J$2091,F$1)</f>
        <v>0</v>
      </c>
      <c r="G48" s="80">
        <f>SUMIFS('сентябрь 2024'!$G$4:$G$2091,'сентябрь 2024'!$D$4:$D$2091,$B48,'сентябрь 2024'!$J$4:$J$2091,G$1)</f>
        <v>0</v>
      </c>
      <c r="H48" s="80">
        <f>SUMIFS('сентябрь 2024'!$G$4:$G$2091,'сентябрь 2024'!$D$4:$D$2091,$B48,'сентябрь 2024'!$J$4:$J$2091,H$1)</f>
        <v>0</v>
      </c>
      <c r="I48" s="80">
        <f>SUMIFS('сентябрь 2024'!$G$4:$G$2091,'сентябрь 2024'!$D$4:$D$2091,$B48,'сентябрь 2024'!$J$4:$J$2091,I$1)</f>
        <v>0</v>
      </c>
      <c r="J48" s="80">
        <f>SUMIFS('сентябрь 2024'!$G$4:$G$2091,'сентябрь 2024'!$D$4:$D$2091,$B48,'сентябрь 2024'!$J$4:$J$2091,J$1)</f>
        <v>0</v>
      </c>
      <c r="K48" s="80">
        <f>SUMIFS('сентябрь 2024'!$G$4:$G$2091,'сентябрь 2024'!$D$4:$D$2091,$B48,'сентябрь 2024'!$J$4:$J$2091,K$1)</f>
        <v>0</v>
      </c>
      <c r="L48" s="80">
        <f>SUMIFS('сентябрь 2024'!$G$4:$G$2091,'сентябрь 2024'!$D$4:$D$2091,$B48,'сентябрь 2024'!$J$4:$J$2091,L$1)</f>
        <v>0</v>
      </c>
      <c r="M48" s="80">
        <f>SUMIFS('сентябрь 2024'!$G$4:$G$2091,'сентябрь 2024'!$D$4:$D$2091,$B48,'сентябрь 2024'!$J$4:$J$2091,M$1)</f>
        <v>0</v>
      </c>
      <c r="N48" s="80">
        <f>SUMIFS('сентябрь 2024'!$G$4:$G$2091,'сентябрь 2024'!$D$4:$D$2091,$B48,'сентябрь 2024'!$J$4:$J$2091,N$1)</f>
        <v>0</v>
      </c>
      <c r="O48" s="80">
        <f>SUMIFS('сентябрь 2024'!$G$4:$G$2091,'сентябрь 2024'!$D$4:$D$2091,$B48,'сентябрь 2024'!$J$4:$J$2091,O$1)</f>
        <v>0</v>
      </c>
      <c r="P48" s="80">
        <f>SUMIFS('сентябрь 2024'!$G$4:$G$2091,'сентябрь 2024'!$D$4:$D$2091,$B48,'сентябрь 2024'!$J$4:$J$2091,P$1)</f>
        <v>0</v>
      </c>
      <c r="Q48" s="80">
        <f>SUMIFS('сентябрь 2024'!$G$4:$G$2091,'сентябрь 2024'!$D$4:$D$2091,$B48,'сентябрь 2024'!$J$4:$J$2091,Q$1)</f>
        <v>0</v>
      </c>
      <c r="R48" s="80">
        <f>SUMIFS('сентябрь 2024'!$G$4:$G$2091,'сентябрь 2024'!$D$4:$D$2091,$B48,'сентябрь 2024'!$J$4:$J$2091,R$1)</f>
        <v>0</v>
      </c>
      <c r="S48" s="80">
        <f>SUMIFS('сентябрь 2024'!$G$4:$G$2091,'сентябрь 2024'!$D$4:$D$2091,$B48,'сентябрь 2024'!$J$4:$J$2091,S$1)</f>
        <v>0</v>
      </c>
      <c r="T48" s="80">
        <f>SUMIFS('сентябрь 2024'!$G$4:$G$2091,'сентябрь 2024'!$D$4:$D$2091,$B48,'сентябрь 2024'!$J$4:$J$2091,T$1)</f>
        <v>0</v>
      </c>
      <c r="U48" s="80">
        <f>SUMIFS('сентябрь 2024'!$G$4:$G$2091,'сентябрь 2024'!$D$4:$D$2091,$B48,'сентябрь 2024'!$J$4:$J$2091,U$1)</f>
        <v>0</v>
      </c>
      <c r="V48" s="80">
        <f>SUMIFS('сентябрь 2024'!$G$4:$G$2091,'сентябрь 2024'!$D$4:$D$2091,$B48,'сентябрь 2024'!$J$4:$J$2091,V$1)</f>
        <v>0</v>
      </c>
      <c r="W48" s="80">
        <f>SUMIFS('сентябрь 2024'!$G$4:$G$2091,'сентябрь 2024'!$D$4:$D$2091,$B48,'сентябрь 2024'!$J$4:$J$2091,W$1)</f>
        <v>0</v>
      </c>
      <c r="X48" s="80">
        <f>SUMIFS('сентябрь 2024'!$G$4:$G$2091,'сентябрь 2024'!$D$4:$D$2091,$B48,'сентябрь 2024'!$J$4:$J$2091,X$1)</f>
        <v>0</v>
      </c>
      <c r="Y48" s="80">
        <f>SUMIFS('сентябрь 2024'!$G$4:$G$2091,'сентябрь 2024'!$D$4:$D$2091,$B48,'сентябрь 2024'!$J$4:$J$2091,Y$1)</f>
        <v>0</v>
      </c>
      <c r="Z48" s="80">
        <f>SUMIFS('сентябрь 2024'!$G$4:$G$2091,'сентябрь 2024'!$D$4:$D$2091,$B48,'сентябрь 2024'!$J$4:$J$2091,Z$1)</f>
        <v>0</v>
      </c>
      <c r="AA48" s="80">
        <f>SUMIFS('сентябрь 2024'!$G$4:$G$2091,'сентябрь 2024'!$D$4:$D$2091,$B48,'сентябрь 2024'!$J$4:$J$2091,AA$1)</f>
        <v>0</v>
      </c>
      <c r="AB48" s="80">
        <f>SUMIFS('сентябрь 2024'!$G$4:$G$2091,'сентябрь 2024'!$D$4:$D$2091,$B48,'сентябрь 2024'!$J$4:$J$2091,AB$1)</f>
        <v>0</v>
      </c>
      <c r="AC48" s="80">
        <f>SUMIFS('сентябрь 2024'!$G$4:$G$2091,'сентябрь 2024'!$D$4:$D$2091,$B48,'сентябрь 2024'!$J$4:$J$2091,AC$1)</f>
        <v>0</v>
      </c>
      <c r="AD48" s="80">
        <f>SUMIFS('сентябрь 2024'!$G$4:$G$2091,'сентябрь 2024'!$D$4:$D$2091,$B48,'сентябрь 2024'!$J$4:$J$2091,AD$1)</f>
        <v>0</v>
      </c>
      <c r="AE48" s="80">
        <f>SUMIFS('сентябрь 2024'!$G$4:$G$2091,'сентябрь 2024'!$D$4:$D$2091,$B48,'сентябрь 2024'!$J$4:$J$2091,AE$1)</f>
        <v>0</v>
      </c>
      <c r="AF48" s="80">
        <f>SUMIFS('сентябрь 2024'!$G$4:$G$2091,'сентябрь 2024'!$D$4:$D$2091,$B48,'сентябрь 2024'!$J$4:$J$2091,AF$1)</f>
        <v>0</v>
      </c>
      <c r="AG48" s="80">
        <f>SUMIFS('сентябрь 2024'!$G$4:$G$2091,'сентябрь 2024'!$D$4:$D$2091,$B48,'сентябрь 2024'!$J$4:$J$2091,AG$1)</f>
        <v>0</v>
      </c>
      <c r="AH48" s="80">
        <f>SUMIFS('сентябрь 2024'!$G$4:$G$2091,'сентябрь 2024'!$D$4:$D$2091,$B48,'сентябрь 2024'!$J$4:$J$2091,AH$1)</f>
        <v>0</v>
      </c>
      <c r="AI48" s="21">
        <f t="shared" si="1"/>
        <v>0</v>
      </c>
    </row>
    <row r="49" spans="2:35" ht="15" customHeight="1" x14ac:dyDescent="0.25">
      <c r="B49" s="150" t="s">
        <v>306</v>
      </c>
      <c r="C49" s="151">
        <v>20</v>
      </c>
      <c r="D49" s="80">
        <f>SUMIFS('сентябрь 2024'!$G$4:$G$2091,'сентябрь 2024'!$D$4:$D$2091,$B49,'сентябрь 2024'!$J$4:$J$2091,D$1)</f>
        <v>0</v>
      </c>
      <c r="E49" s="80">
        <f>SUMIFS('сентябрь 2024'!$G$4:$G$2091,'сентябрь 2024'!$D$4:$D$2091,$B49,'сентябрь 2024'!$J$4:$J$2091,E$1)</f>
        <v>0</v>
      </c>
      <c r="F49" s="80">
        <f>SUMIFS('сентябрь 2024'!$G$4:$G$2091,'сентябрь 2024'!$D$4:$D$2091,$B49,'сентябрь 2024'!$J$4:$J$2091,F$1)</f>
        <v>0</v>
      </c>
      <c r="G49" s="80">
        <f>SUMIFS('сентябрь 2024'!$G$4:$G$2091,'сентябрь 2024'!$D$4:$D$2091,$B49,'сентябрь 2024'!$J$4:$J$2091,G$1)</f>
        <v>0</v>
      </c>
      <c r="H49" s="80">
        <f>SUMIFS('сентябрь 2024'!$G$4:$G$2091,'сентябрь 2024'!$D$4:$D$2091,$B49,'сентябрь 2024'!$J$4:$J$2091,H$1)</f>
        <v>0</v>
      </c>
      <c r="I49" s="80">
        <f>SUMIFS('сентябрь 2024'!$G$4:$G$2091,'сентябрь 2024'!$D$4:$D$2091,$B49,'сентябрь 2024'!$J$4:$J$2091,I$1)</f>
        <v>0</v>
      </c>
      <c r="J49" s="80">
        <f>SUMIFS('сентябрь 2024'!$G$4:$G$2091,'сентябрь 2024'!$D$4:$D$2091,$B49,'сентябрь 2024'!$J$4:$J$2091,J$1)</f>
        <v>0</v>
      </c>
      <c r="K49" s="80">
        <f>SUMIFS('сентябрь 2024'!$G$4:$G$2091,'сентябрь 2024'!$D$4:$D$2091,$B49,'сентябрь 2024'!$J$4:$J$2091,K$1)</f>
        <v>0</v>
      </c>
      <c r="L49" s="80">
        <f>SUMIFS('сентябрь 2024'!$G$4:$G$2091,'сентябрь 2024'!$D$4:$D$2091,$B49,'сентябрь 2024'!$J$4:$J$2091,L$1)</f>
        <v>0</v>
      </c>
      <c r="M49" s="80">
        <f>SUMIFS('сентябрь 2024'!$G$4:$G$2091,'сентябрь 2024'!$D$4:$D$2091,$B49,'сентябрь 2024'!$J$4:$J$2091,M$1)</f>
        <v>0</v>
      </c>
      <c r="N49" s="80">
        <f>SUMIFS('сентябрь 2024'!$G$4:$G$2091,'сентябрь 2024'!$D$4:$D$2091,$B49,'сентябрь 2024'!$J$4:$J$2091,N$1)</f>
        <v>0</v>
      </c>
      <c r="O49" s="80">
        <f>SUMIFS('сентябрь 2024'!$G$4:$G$2091,'сентябрь 2024'!$D$4:$D$2091,$B49,'сентябрь 2024'!$J$4:$J$2091,O$1)</f>
        <v>0</v>
      </c>
      <c r="P49" s="80">
        <f>SUMIFS('сентябрь 2024'!$G$4:$G$2091,'сентябрь 2024'!$D$4:$D$2091,$B49,'сентябрь 2024'!$J$4:$J$2091,P$1)</f>
        <v>0</v>
      </c>
      <c r="Q49" s="80">
        <f>SUMIFS('сентябрь 2024'!$G$4:$G$2091,'сентябрь 2024'!$D$4:$D$2091,$B49,'сентябрь 2024'!$J$4:$J$2091,Q$1)</f>
        <v>0</v>
      </c>
      <c r="R49" s="80">
        <f>SUMIFS('сентябрь 2024'!$G$4:$G$2091,'сентябрь 2024'!$D$4:$D$2091,$B49,'сентябрь 2024'!$J$4:$J$2091,R$1)</f>
        <v>0</v>
      </c>
      <c r="S49" s="80">
        <f>SUMIFS('сентябрь 2024'!$G$4:$G$2091,'сентябрь 2024'!$D$4:$D$2091,$B49,'сентябрь 2024'!$J$4:$J$2091,S$1)</f>
        <v>0</v>
      </c>
      <c r="T49" s="80">
        <f>SUMIFS('сентябрь 2024'!$G$4:$G$2091,'сентябрь 2024'!$D$4:$D$2091,$B49,'сентябрь 2024'!$J$4:$J$2091,T$1)</f>
        <v>0</v>
      </c>
      <c r="U49" s="80">
        <f>SUMIFS('сентябрь 2024'!$G$4:$G$2091,'сентябрь 2024'!$D$4:$D$2091,$B49,'сентябрь 2024'!$J$4:$J$2091,U$1)</f>
        <v>0</v>
      </c>
      <c r="V49" s="80">
        <f>SUMIFS('сентябрь 2024'!$G$4:$G$2091,'сентябрь 2024'!$D$4:$D$2091,$B49,'сентябрь 2024'!$J$4:$J$2091,V$1)</f>
        <v>0</v>
      </c>
      <c r="W49" s="80">
        <f>SUMIFS('сентябрь 2024'!$G$4:$G$2091,'сентябрь 2024'!$D$4:$D$2091,$B49,'сентябрь 2024'!$J$4:$J$2091,W$1)</f>
        <v>0</v>
      </c>
      <c r="X49" s="80">
        <f>SUMIFS('сентябрь 2024'!$G$4:$G$2091,'сентябрь 2024'!$D$4:$D$2091,$B49,'сентябрь 2024'!$J$4:$J$2091,X$1)</f>
        <v>0</v>
      </c>
      <c r="Y49" s="80">
        <f>SUMIFS('сентябрь 2024'!$G$4:$G$2091,'сентябрь 2024'!$D$4:$D$2091,$B49,'сентябрь 2024'!$J$4:$J$2091,Y$1)</f>
        <v>0</v>
      </c>
      <c r="Z49" s="80">
        <f>SUMIFS('сентябрь 2024'!$G$4:$G$2091,'сентябрь 2024'!$D$4:$D$2091,$B49,'сентябрь 2024'!$J$4:$J$2091,Z$1)</f>
        <v>0</v>
      </c>
      <c r="AA49" s="80">
        <f>SUMIFS('сентябрь 2024'!$G$4:$G$2091,'сентябрь 2024'!$D$4:$D$2091,$B49,'сентябрь 2024'!$J$4:$J$2091,AA$1)</f>
        <v>0</v>
      </c>
      <c r="AB49" s="80">
        <f>SUMIFS('сентябрь 2024'!$G$4:$G$2091,'сентябрь 2024'!$D$4:$D$2091,$B49,'сентябрь 2024'!$J$4:$J$2091,AB$1)</f>
        <v>0</v>
      </c>
      <c r="AC49" s="80">
        <f>SUMIFS('сентябрь 2024'!$G$4:$G$2091,'сентябрь 2024'!$D$4:$D$2091,$B49,'сентябрь 2024'!$J$4:$J$2091,AC$1)</f>
        <v>0</v>
      </c>
      <c r="AD49" s="80">
        <f>SUMIFS('сентябрь 2024'!$G$4:$G$2091,'сентябрь 2024'!$D$4:$D$2091,$B49,'сентябрь 2024'!$J$4:$J$2091,AD$1)</f>
        <v>0</v>
      </c>
      <c r="AE49" s="80">
        <f>SUMIFS('сентябрь 2024'!$G$4:$G$2091,'сентябрь 2024'!$D$4:$D$2091,$B49,'сентябрь 2024'!$J$4:$J$2091,AE$1)</f>
        <v>0</v>
      </c>
      <c r="AF49" s="80">
        <f>SUMIFS('сентябрь 2024'!$G$4:$G$2091,'сентябрь 2024'!$D$4:$D$2091,$B49,'сентябрь 2024'!$J$4:$J$2091,AF$1)</f>
        <v>0</v>
      </c>
      <c r="AG49" s="80">
        <f>SUMIFS('сентябрь 2024'!$G$4:$G$2091,'сентябрь 2024'!$D$4:$D$2091,$B49,'сентябрь 2024'!$J$4:$J$2091,AG$1)</f>
        <v>0</v>
      </c>
      <c r="AH49" s="80">
        <f>SUMIFS('сентябрь 2024'!$G$4:$G$2091,'сентябрь 2024'!$D$4:$D$2091,$B49,'сентябрь 2024'!$J$4:$J$2091,AH$1)</f>
        <v>0</v>
      </c>
      <c r="AI49" s="21">
        <f t="shared" si="1"/>
        <v>0</v>
      </c>
    </row>
    <row r="50" spans="2:35" ht="15" customHeight="1" x14ac:dyDescent="0.25">
      <c r="B50" s="150" t="s">
        <v>308</v>
      </c>
      <c r="C50" s="151">
        <v>14</v>
      </c>
      <c r="D50" s="80">
        <f>SUMIFS('сентябрь 2024'!$G$4:$G$2091,'сентябрь 2024'!$D$4:$D$2091,$B50,'сентябрь 2024'!$J$4:$J$2091,D$1)</f>
        <v>0</v>
      </c>
      <c r="E50" s="80">
        <f>SUMIFS('сентябрь 2024'!$G$4:$G$2091,'сентябрь 2024'!$D$4:$D$2091,$B50,'сентябрь 2024'!$J$4:$J$2091,E$1)</f>
        <v>0</v>
      </c>
      <c r="F50" s="80">
        <f>SUMIFS('сентябрь 2024'!$G$4:$G$2091,'сентябрь 2024'!$D$4:$D$2091,$B50,'сентябрь 2024'!$J$4:$J$2091,F$1)</f>
        <v>0</v>
      </c>
      <c r="G50" s="80">
        <f>SUMIFS('сентябрь 2024'!$G$4:$G$2091,'сентябрь 2024'!$D$4:$D$2091,$B50,'сентябрь 2024'!$J$4:$J$2091,G$1)</f>
        <v>0</v>
      </c>
      <c r="H50" s="80">
        <f>SUMIFS('сентябрь 2024'!$G$4:$G$2091,'сентябрь 2024'!$D$4:$D$2091,$B50,'сентябрь 2024'!$J$4:$J$2091,H$1)</f>
        <v>0</v>
      </c>
      <c r="I50" s="80">
        <f>SUMIFS('сентябрь 2024'!$G$4:$G$2091,'сентябрь 2024'!$D$4:$D$2091,$B50,'сентябрь 2024'!$J$4:$J$2091,I$1)</f>
        <v>0</v>
      </c>
      <c r="J50" s="80">
        <f>SUMIFS('сентябрь 2024'!$G$4:$G$2091,'сентябрь 2024'!$D$4:$D$2091,$B50,'сентябрь 2024'!$J$4:$J$2091,J$1)</f>
        <v>0</v>
      </c>
      <c r="K50" s="80">
        <f>SUMIFS('сентябрь 2024'!$G$4:$G$2091,'сентябрь 2024'!$D$4:$D$2091,$B50,'сентябрь 2024'!$J$4:$J$2091,K$1)</f>
        <v>0</v>
      </c>
      <c r="L50" s="80">
        <f>SUMIFS('сентябрь 2024'!$G$4:$G$2091,'сентябрь 2024'!$D$4:$D$2091,$B50,'сентябрь 2024'!$J$4:$J$2091,L$1)</f>
        <v>0</v>
      </c>
      <c r="M50" s="80">
        <f>SUMIFS('сентябрь 2024'!$G$4:$G$2091,'сентябрь 2024'!$D$4:$D$2091,$B50,'сентябрь 2024'!$J$4:$J$2091,M$1)</f>
        <v>0</v>
      </c>
      <c r="N50" s="80">
        <f>SUMIFS('сентябрь 2024'!$G$4:$G$2091,'сентябрь 2024'!$D$4:$D$2091,$B50,'сентябрь 2024'!$J$4:$J$2091,N$1)</f>
        <v>0</v>
      </c>
      <c r="O50" s="80">
        <f>SUMIFS('сентябрь 2024'!$G$4:$G$2091,'сентябрь 2024'!$D$4:$D$2091,$B50,'сентябрь 2024'!$J$4:$J$2091,O$1)</f>
        <v>0</v>
      </c>
      <c r="P50" s="80">
        <f>SUMIFS('сентябрь 2024'!$G$4:$G$2091,'сентябрь 2024'!$D$4:$D$2091,$B50,'сентябрь 2024'!$J$4:$J$2091,P$1)</f>
        <v>0</v>
      </c>
      <c r="Q50" s="80">
        <f>SUMIFS('сентябрь 2024'!$G$4:$G$2091,'сентябрь 2024'!$D$4:$D$2091,$B50,'сентябрь 2024'!$J$4:$J$2091,Q$1)</f>
        <v>0</v>
      </c>
      <c r="R50" s="80">
        <f>SUMIFS('сентябрь 2024'!$G$4:$G$2091,'сентябрь 2024'!$D$4:$D$2091,$B50,'сентябрь 2024'!$J$4:$J$2091,R$1)</f>
        <v>0</v>
      </c>
      <c r="S50" s="80">
        <f>SUMIFS('сентябрь 2024'!$G$4:$G$2091,'сентябрь 2024'!$D$4:$D$2091,$B50,'сентябрь 2024'!$J$4:$J$2091,S$1)</f>
        <v>0</v>
      </c>
      <c r="T50" s="80">
        <f>SUMIFS('сентябрь 2024'!$G$4:$G$2091,'сентябрь 2024'!$D$4:$D$2091,$B50,'сентябрь 2024'!$J$4:$J$2091,T$1)</f>
        <v>0</v>
      </c>
      <c r="U50" s="80">
        <f>SUMIFS('сентябрь 2024'!$G$4:$G$2091,'сентябрь 2024'!$D$4:$D$2091,$B50,'сентябрь 2024'!$J$4:$J$2091,U$1)</f>
        <v>0</v>
      </c>
      <c r="V50" s="80">
        <f>SUMIFS('сентябрь 2024'!$G$4:$G$2091,'сентябрь 2024'!$D$4:$D$2091,$B50,'сентябрь 2024'!$J$4:$J$2091,V$1)</f>
        <v>0</v>
      </c>
      <c r="W50" s="80">
        <f>SUMIFS('сентябрь 2024'!$G$4:$G$2091,'сентябрь 2024'!$D$4:$D$2091,$B50,'сентябрь 2024'!$J$4:$J$2091,W$1)</f>
        <v>0</v>
      </c>
      <c r="X50" s="80">
        <f>SUMIFS('сентябрь 2024'!$G$4:$G$2091,'сентябрь 2024'!$D$4:$D$2091,$B50,'сентябрь 2024'!$J$4:$J$2091,X$1)</f>
        <v>0</v>
      </c>
      <c r="Y50" s="80">
        <f>SUMIFS('сентябрь 2024'!$G$4:$G$2091,'сентябрь 2024'!$D$4:$D$2091,$B50,'сентябрь 2024'!$J$4:$J$2091,Y$1)</f>
        <v>0</v>
      </c>
      <c r="Z50" s="80">
        <f>SUMIFS('сентябрь 2024'!$G$4:$G$2091,'сентябрь 2024'!$D$4:$D$2091,$B50,'сентябрь 2024'!$J$4:$J$2091,Z$1)</f>
        <v>0</v>
      </c>
      <c r="AA50" s="80">
        <f>SUMIFS('сентябрь 2024'!$G$4:$G$2091,'сентябрь 2024'!$D$4:$D$2091,$B50,'сентябрь 2024'!$J$4:$J$2091,AA$1)</f>
        <v>0</v>
      </c>
      <c r="AB50" s="80">
        <f>SUMIFS('сентябрь 2024'!$G$4:$G$2091,'сентябрь 2024'!$D$4:$D$2091,$B50,'сентябрь 2024'!$J$4:$J$2091,AB$1)</f>
        <v>0</v>
      </c>
      <c r="AC50" s="80">
        <f>SUMIFS('сентябрь 2024'!$G$4:$G$2091,'сентябрь 2024'!$D$4:$D$2091,$B50,'сентябрь 2024'!$J$4:$J$2091,AC$1)</f>
        <v>0</v>
      </c>
      <c r="AD50" s="80">
        <f>SUMIFS('сентябрь 2024'!$G$4:$G$2091,'сентябрь 2024'!$D$4:$D$2091,$B50,'сентябрь 2024'!$J$4:$J$2091,AD$1)</f>
        <v>0</v>
      </c>
      <c r="AE50" s="80">
        <f>SUMIFS('сентябрь 2024'!$G$4:$G$2091,'сентябрь 2024'!$D$4:$D$2091,$B50,'сентябрь 2024'!$J$4:$J$2091,AE$1)</f>
        <v>0</v>
      </c>
      <c r="AF50" s="80">
        <f>SUMIFS('сентябрь 2024'!$G$4:$G$2091,'сентябрь 2024'!$D$4:$D$2091,$B50,'сентябрь 2024'!$J$4:$J$2091,AF$1)</f>
        <v>0</v>
      </c>
      <c r="AG50" s="80">
        <f>SUMIFS('сентябрь 2024'!$G$4:$G$2091,'сентябрь 2024'!$D$4:$D$2091,$B50,'сентябрь 2024'!$J$4:$J$2091,AG$1)</f>
        <v>0</v>
      </c>
      <c r="AH50" s="80">
        <f>SUMIFS('сентябрь 2024'!$G$4:$G$2091,'сентябрь 2024'!$D$4:$D$2091,$B50,'сентябрь 2024'!$J$4:$J$2091,AH$1)</f>
        <v>0</v>
      </c>
      <c r="AI50" s="21">
        <f t="shared" si="1"/>
        <v>0</v>
      </c>
    </row>
    <row r="51" spans="2:35" ht="15" customHeight="1" x14ac:dyDescent="0.25">
      <c r="B51" s="150" t="s">
        <v>310</v>
      </c>
      <c r="C51" s="151">
        <v>25</v>
      </c>
      <c r="D51" s="80">
        <f>SUMIFS('сентябрь 2024'!$G$4:$G$2091,'сентябрь 2024'!$D$4:$D$2091,$B51,'сентябрь 2024'!$J$4:$J$2091,D$1)</f>
        <v>0</v>
      </c>
      <c r="E51" s="80">
        <f>SUMIFS('сентябрь 2024'!$G$4:$G$2091,'сентябрь 2024'!$D$4:$D$2091,$B51,'сентябрь 2024'!$J$4:$J$2091,E$1)</f>
        <v>0</v>
      </c>
      <c r="F51" s="80">
        <f>SUMIFS('сентябрь 2024'!$G$4:$G$2091,'сентябрь 2024'!$D$4:$D$2091,$B51,'сентябрь 2024'!$J$4:$J$2091,F$1)</f>
        <v>0</v>
      </c>
      <c r="G51" s="80">
        <f>SUMIFS('сентябрь 2024'!$G$4:$G$2091,'сентябрь 2024'!$D$4:$D$2091,$B51,'сентябрь 2024'!$J$4:$J$2091,G$1)</f>
        <v>0</v>
      </c>
      <c r="H51" s="80">
        <f>SUMIFS('сентябрь 2024'!$G$4:$G$2091,'сентябрь 2024'!$D$4:$D$2091,$B51,'сентябрь 2024'!$J$4:$J$2091,H$1)</f>
        <v>0</v>
      </c>
      <c r="I51" s="80">
        <f>SUMIFS('сентябрь 2024'!$G$4:$G$2091,'сентябрь 2024'!$D$4:$D$2091,$B51,'сентябрь 2024'!$J$4:$J$2091,I$1)</f>
        <v>0</v>
      </c>
      <c r="J51" s="80">
        <f>SUMIFS('сентябрь 2024'!$G$4:$G$2091,'сентябрь 2024'!$D$4:$D$2091,$B51,'сентябрь 2024'!$J$4:$J$2091,J$1)</f>
        <v>0</v>
      </c>
      <c r="K51" s="80">
        <f>SUMIFS('сентябрь 2024'!$G$4:$G$2091,'сентябрь 2024'!$D$4:$D$2091,$B51,'сентябрь 2024'!$J$4:$J$2091,K$1)</f>
        <v>0</v>
      </c>
      <c r="L51" s="80">
        <f>SUMIFS('сентябрь 2024'!$G$4:$G$2091,'сентябрь 2024'!$D$4:$D$2091,$B51,'сентябрь 2024'!$J$4:$J$2091,L$1)</f>
        <v>0</v>
      </c>
      <c r="M51" s="80">
        <f>SUMIFS('сентябрь 2024'!$G$4:$G$2091,'сентябрь 2024'!$D$4:$D$2091,$B51,'сентябрь 2024'!$J$4:$J$2091,M$1)</f>
        <v>0</v>
      </c>
      <c r="N51" s="80">
        <f>SUMIFS('сентябрь 2024'!$G$4:$G$2091,'сентябрь 2024'!$D$4:$D$2091,$B51,'сентябрь 2024'!$J$4:$J$2091,N$1)</f>
        <v>0</v>
      </c>
      <c r="O51" s="80">
        <f>SUMIFS('сентябрь 2024'!$G$4:$G$2091,'сентябрь 2024'!$D$4:$D$2091,$B51,'сентябрь 2024'!$J$4:$J$2091,O$1)</f>
        <v>0</v>
      </c>
      <c r="P51" s="80">
        <f>SUMIFS('сентябрь 2024'!$G$4:$G$2091,'сентябрь 2024'!$D$4:$D$2091,$B51,'сентябрь 2024'!$J$4:$J$2091,P$1)</f>
        <v>0</v>
      </c>
      <c r="Q51" s="80">
        <f>SUMIFS('сентябрь 2024'!$G$4:$G$2091,'сентябрь 2024'!$D$4:$D$2091,$B51,'сентябрь 2024'!$J$4:$J$2091,Q$1)</f>
        <v>0</v>
      </c>
      <c r="R51" s="80">
        <f>SUMIFS('сентябрь 2024'!$G$4:$G$2091,'сентябрь 2024'!$D$4:$D$2091,$B51,'сентябрь 2024'!$J$4:$J$2091,R$1)</f>
        <v>0</v>
      </c>
      <c r="S51" s="80">
        <f>SUMIFS('сентябрь 2024'!$G$4:$G$2091,'сентябрь 2024'!$D$4:$D$2091,$B51,'сентябрь 2024'!$J$4:$J$2091,S$1)</f>
        <v>0</v>
      </c>
      <c r="T51" s="80">
        <f>SUMIFS('сентябрь 2024'!$G$4:$G$2091,'сентябрь 2024'!$D$4:$D$2091,$B51,'сентябрь 2024'!$J$4:$J$2091,T$1)</f>
        <v>0</v>
      </c>
      <c r="U51" s="80">
        <f>SUMIFS('сентябрь 2024'!$G$4:$G$2091,'сентябрь 2024'!$D$4:$D$2091,$B51,'сентябрь 2024'!$J$4:$J$2091,U$1)</f>
        <v>0</v>
      </c>
      <c r="V51" s="80">
        <f>SUMIFS('сентябрь 2024'!$G$4:$G$2091,'сентябрь 2024'!$D$4:$D$2091,$B51,'сентябрь 2024'!$J$4:$J$2091,V$1)</f>
        <v>0</v>
      </c>
      <c r="W51" s="80">
        <f>SUMIFS('сентябрь 2024'!$G$4:$G$2091,'сентябрь 2024'!$D$4:$D$2091,$B51,'сентябрь 2024'!$J$4:$J$2091,W$1)</f>
        <v>0</v>
      </c>
      <c r="X51" s="80">
        <f>SUMIFS('сентябрь 2024'!$G$4:$G$2091,'сентябрь 2024'!$D$4:$D$2091,$B51,'сентябрь 2024'!$J$4:$J$2091,X$1)</f>
        <v>0</v>
      </c>
      <c r="Y51" s="80">
        <f>SUMIFS('сентябрь 2024'!$G$4:$G$2091,'сентябрь 2024'!$D$4:$D$2091,$B51,'сентябрь 2024'!$J$4:$J$2091,Y$1)</f>
        <v>0</v>
      </c>
      <c r="Z51" s="80">
        <f>SUMIFS('сентябрь 2024'!$G$4:$G$2091,'сентябрь 2024'!$D$4:$D$2091,$B51,'сентябрь 2024'!$J$4:$J$2091,Z$1)</f>
        <v>0</v>
      </c>
      <c r="AA51" s="80">
        <f>SUMIFS('сентябрь 2024'!$G$4:$G$2091,'сентябрь 2024'!$D$4:$D$2091,$B51,'сентябрь 2024'!$J$4:$J$2091,AA$1)</f>
        <v>0</v>
      </c>
      <c r="AB51" s="80">
        <f>SUMIFS('сентябрь 2024'!$G$4:$G$2091,'сентябрь 2024'!$D$4:$D$2091,$B51,'сентябрь 2024'!$J$4:$J$2091,AB$1)</f>
        <v>0</v>
      </c>
      <c r="AC51" s="80">
        <f>SUMIFS('сентябрь 2024'!$G$4:$G$2091,'сентябрь 2024'!$D$4:$D$2091,$B51,'сентябрь 2024'!$J$4:$J$2091,AC$1)</f>
        <v>0</v>
      </c>
      <c r="AD51" s="80">
        <f>SUMIFS('сентябрь 2024'!$G$4:$G$2091,'сентябрь 2024'!$D$4:$D$2091,$B51,'сентябрь 2024'!$J$4:$J$2091,AD$1)</f>
        <v>0</v>
      </c>
      <c r="AE51" s="80">
        <f>SUMIFS('сентябрь 2024'!$G$4:$G$2091,'сентябрь 2024'!$D$4:$D$2091,$B51,'сентябрь 2024'!$J$4:$J$2091,AE$1)</f>
        <v>0</v>
      </c>
      <c r="AF51" s="80">
        <f>SUMIFS('сентябрь 2024'!$G$4:$G$2091,'сентябрь 2024'!$D$4:$D$2091,$B51,'сентябрь 2024'!$J$4:$J$2091,AF$1)</f>
        <v>0</v>
      </c>
      <c r="AG51" s="80">
        <f>SUMIFS('сентябрь 2024'!$G$4:$G$2091,'сентябрь 2024'!$D$4:$D$2091,$B51,'сентябрь 2024'!$J$4:$J$2091,AG$1)</f>
        <v>0</v>
      </c>
      <c r="AH51" s="80">
        <f>SUMIFS('сентябрь 2024'!$G$4:$G$2091,'сентябрь 2024'!$D$4:$D$2091,$B51,'сентябрь 2024'!$J$4:$J$2091,AH$1)</f>
        <v>0</v>
      </c>
      <c r="AI51" s="21">
        <f t="shared" si="1"/>
        <v>0</v>
      </c>
    </row>
    <row r="52" spans="2:35" ht="15" customHeight="1" x14ac:dyDescent="0.25">
      <c r="B52" s="150" t="s">
        <v>316</v>
      </c>
      <c r="C52" s="151">
        <v>20</v>
      </c>
      <c r="D52" s="80">
        <f>SUMIFS('сентябрь 2024'!$G$4:$G$2091,'сентябрь 2024'!$D$4:$D$2091,$B52,'сентябрь 2024'!$J$4:$J$2091,D$1)</f>
        <v>0</v>
      </c>
      <c r="E52" s="80">
        <f>SUMIFS('сентябрь 2024'!$G$4:$G$2091,'сентябрь 2024'!$D$4:$D$2091,$B52,'сентябрь 2024'!$J$4:$J$2091,E$1)</f>
        <v>0</v>
      </c>
      <c r="F52" s="80">
        <f>SUMIFS('сентябрь 2024'!$G$4:$G$2091,'сентябрь 2024'!$D$4:$D$2091,$B52,'сентябрь 2024'!$J$4:$J$2091,F$1)</f>
        <v>0</v>
      </c>
      <c r="G52" s="80">
        <f>SUMIFS('сентябрь 2024'!$G$4:$G$2091,'сентябрь 2024'!$D$4:$D$2091,$B52,'сентябрь 2024'!$J$4:$J$2091,G$1)</f>
        <v>0</v>
      </c>
      <c r="H52" s="80">
        <f>SUMIFS('сентябрь 2024'!$G$4:$G$2091,'сентябрь 2024'!$D$4:$D$2091,$B52,'сентябрь 2024'!$J$4:$J$2091,H$1)</f>
        <v>0</v>
      </c>
      <c r="I52" s="80">
        <f>SUMIFS('сентябрь 2024'!$G$4:$G$2091,'сентябрь 2024'!$D$4:$D$2091,$B52,'сентябрь 2024'!$J$4:$J$2091,I$1)</f>
        <v>0</v>
      </c>
      <c r="J52" s="80">
        <f>SUMIFS('сентябрь 2024'!$G$4:$G$2091,'сентябрь 2024'!$D$4:$D$2091,$B52,'сентябрь 2024'!$J$4:$J$2091,J$1)</f>
        <v>0</v>
      </c>
      <c r="K52" s="80">
        <f>SUMIFS('сентябрь 2024'!$G$4:$G$2091,'сентябрь 2024'!$D$4:$D$2091,$B52,'сентябрь 2024'!$J$4:$J$2091,K$1)</f>
        <v>0</v>
      </c>
      <c r="L52" s="80">
        <f>SUMIFS('сентябрь 2024'!$G$4:$G$2091,'сентябрь 2024'!$D$4:$D$2091,$B52,'сентябрь 2024'!$J$4:$J$2091,L$1)</f>
        <v>0</v>
      </c>
      <c r="M52" s="80">
        <f>SUMIFS('сентябрь 2024'!$G$4:$G$2091,'сентябрь 2024'!$D$4:$D$2091,$B52,'сентябрь 2024'!$J$4:$J$2091,M$1)</f>
        <v>0</v>
      </c>
      <c r="N52" s="80">
        <f>SUMIFS('сентябрь 2024'!$G$4:$G$2091,'сентябрь 2024'!$D$4:$D$2091,$B52,'сентябрь 2024'!$J$4:$J$2091,N$1)</f>
        <v>0</v>
      </c>
      <c r="O52" s="80">
        <f>SUMIFS('сентябрь 2024'!$G$4:$G$2091,'сентябрь 2024'!$D$4:$D$2091,$B52,'сентябрь 2024'!$J$4:$J$2091,O$1)</f>
        <v>0</v>
      </c>
      <c r="P52" s="80">
        <f>SUMIFS('сентябрь 2024'!$G$4:$G$2091,'сентябрь 2024'!$D$4:$D$2091,$B52,'сентябрь 2024'!$J$4:$J$2091,P$1)</f>
        <v>0</v>
      </c>
      <c r="Q52" s="80">
        <f>SUMIFS('сентябрь 2024'!$G$4:$G$2091,'сентябрь 2024'!$D$4:$D$2091,$B52,'сентябрь 2024'!$J$4:$J$2091,Q$1)</f>
        <v>0</v>
      </c>
      <c r="R52" s="80">
        <f>SUMIFS('сентябрь 2024'!$G$4:$G$2091,'сентябрь 2024'!$D$4:$D$2091,$B52,'сентябрь 2024'!$J$4:$J$2091,R$1)</f>
        <v>0</v>
      </c>
      <c r="S52" s="80">
        <f>SUMIFS('сентябрь 2024'!$G$4:$G$2091,'сентябрь 2024'!$D$4:$D$2091,$B52,'сентябрь 2024'!$J$4:$J$2091,S$1)</f>
        <v>0</v>
      </c>
      <c r="T52" s="80">
        <f>SUMIFS('сентябрь 2024'!$G$4:$G$2091,'сентябрь 2024'!$D$4:$D$2091,$B52,'сентябрь 2024'!$J$4:$J$2091,T$1)</f>
        <v>0</v>
      </c>
      <c r="U52" s="80">
        <f>SUMIFS('сентябрь 2024'!$G$4:$G$2091,'сентябрь 2024'!$D$4:$D$2091,$B52,'сентябрь 2024'!$J$4:$J$2091,U$1)</f>
        <v>0</v>
      </c>
      <c r="V52" s="80">
        <f>SUMIFS('сентябрь 2024'!$G$4:$G$2091,'сентябрь 2024'!$D$4:$D$2091,$B52,'сентябрь 2024'!$J$4:$J$2091,V$1)</f>
        <v>0</v>
      </c>
      <c r="W52" s="80">
        <f>SUMIFS('сентябрь 2024'!$G$4:$G$2091,'сентябрь 2024'!$D$4:$D$2091,$B52,'сентябрь 2024'!$J$4:$J$2091,W$1)</f>
        <v>0</v>
      </c>
      <c r="X52" s="80">
        <f>SUMIFS('сентябрь 2024'!$G$4:$G$2091,'сентябрь 2024'!$D$4:$D$2091,$B52,'сентябрь 2024'!$J$4:$J$2091,X$1)</f>
        <v>0</v>
      </c>
      <c r="Y52" s="80">
        <f>SUMIFS('сентябрь 2024'!$G$4:$G$2091,'сентябрь 2024'!$D$4:$D$2091,$B52,'сентябрь 2024'!$J$4:$J$2091,Y$1)</f>
        <v>0</v>
      </c>
      <c r="Z52" s="80">
        <f>SUMIFS('сентябрь 2024'!$G$4:$G$2091,'сентябрь 2024'!$D$4:$D$2091,$B52,'сентябрь 2024'!$J$4:$J$2091,Z$1)</f>
        <v>0</v>
      </c>
      <c r="AA52" s="80">
        <f>SUMIFS('сентябрь 2024'!$G$4:$G$2091,'сентябрь 2024'!$D$4:$D$2091,$B52,'сентябрь 2024'!$J$4:$J$2091,AA$1)</f>
        <v>0</v>
      </c>
      <c r="AB52" s="80">
        <f>SUMIFS('сентябрь 2024'!$G$4:$G$2091,'сентябрь 2024'!$D$4:$D$2091,$B52,'сентябрь 2024'!$J$4:$J$2091,AB$1)</f>
        <v>0</v>
      </c>
      <c r="AC52" s="80">
        <f>SUMIFS('сентябрь 2024'!$G$4:$G$2091,'сентябрь 2024'!$D$4:$D$2091,$B52,'сентябрь 2024'!$J$4:$J$2091,AC$1)</f>
        <v>0</v>
      </c>
      <c r="AD52" s="80">
        <f>SUMIFS('сентябрь 2024'!$G$4:$G$2091,'сентябрь 2024'!$D$4:$D$2091,$B52,'сентябрь 2024'!$J$4:$J$2091,AD$1)</f>
        <v>0</v>
      </c>
      <c r="AE52" s="80">
        <f>SUMIFS('сентябрь 2024'!$G$4:$G$2091,'сентябрь 2024'!$D$4:$D$2091,$B52,'сентябрь 2024'!$J$4:$J$2091,AE$1)</f>
        <v>0</v>
      </c>
      <c r="AF52" s="80">
        <f>SUMIFS('сентябрь 2024'!$G$4:$G$2091,'сентябрь 2024'!$D$4:$D$2091,$B52,'сентябрь 2024'!$J$4:$J$2091,AF$1)</f>
        <v>0</v>
      </c>
      <c r="AG52" s="80">
        <f>SUMIFS('сентябрь 2024'!$G$4:$G$2091,'сентябрь 2024'!$D$4:$D$2091,$B52,'сентябрь 2024'!$J$4:$J$2091,AG$1)</f>
        <v>0</v>
      </c>
      <c r="AH52" s="80">
        <f>SUMIFS('сентябрь 2024'!$G$4:$G$2091,'сентябрь 2024'!$D$4:$D$2091,$B52,'сентябрь 2024'!$J$4:$J$2091,AH$1)</f>
        <v>0</v>
      </c>
      <c r="AI52" s="21">
        <f t="shared" si="1"/>
        <v>0</v>
      </c>
    </row>
    <row r="53" spans="2:35" ht="15" customHeight="1" x14ac:dyDescent="0.25">
      <c r="B53" s="146" t="s">
        <v>317</v>
      </c>
      <c r="C53" s="151">
        <v>20</v>
      </c>
      <c r="D53" s="80">
        <f>SUMIFS('сентябрь 2024'!$G$4:$G$2091,'сентябрь 2024'!$D$4:$D$2091,$B53,'сентябрь 2024'!$J$4:$J$2091,D$1)</f>
        <v>0</v>
      </c>
      <c r="E53" s="80">
        <f>SUMIFS('сентябрь 2024'!$G$4:$G$2091,'сентябрь 2024'!$D$4:$D$2091,$B53,'сентябрь 2024'!$J$4:$J$2091,E$1)</f>
        <v>0</v>
      </c>
      <c r="F53" s="80">
        <f>SUMIFS('сентябрь 2024'!$G$4:$G$2091,'сентябрь 2024'!$D$4:$D$2091,$B53,'сентябрь 2024'!$J$4:$J$2091,F$1)</f>
        <v>0</v>
      </c>
      <c r="G53" s="80">
        <f>SUMIFS('сентябрь 2024'!$G$4:$G$2091,'сентябрь 2024'!$D$4:$D$2091,$B53,'сентябрь 2024'!$J$4:$J$2091,G$1)</f>
        <v>0</v>
      </c>
      <c r="H53" s="80">
        <f>SUMIFS('сентябрь 2024'!$G$4:$G$2091,'сентябрь 2024'!$D$4:$D$2091,$B53,'сентябрь 2024'!$J$4:$J$2091,H$1)</f>
        <v>0</v>
      </c>
      <c r="I53" s="80">
        <f>SUMIFS('сентябрь 2024'!$G$4:$G$2091,'сентябрь 2024'!$D$4:$D$2091,$B53,'сентябрь 2024'!$J$4:$J$2091,I$1)</f>
        <v>0</v>
      </c>
      <c r="J53" s="80">
        <f>SUMIFS('сентябрь 2024'!$G$4:$G$2091,'сентябрь 2024'!$D$4:$D$2091,$B53,'сентябрь 2024'!$J$4:$J$2091,J$1)</f>
        <v>0</v>
      </c>
      <c r="K53" s="80">
        <f>SUMIFS('сентябрь 2024'!$G$4:$G$2091,'сентябрь 2024'!$D$4:$D$2091,$B53,'сентябрь 2024'!$J$4:$J$2091,K$1)</f>
        <v>0</v>
      </c>
      <c r="L53" s="80">
        <f>SUMIFS('сентябрь 2024'!$G$4:$G$2091,'сентябрь 2024'!$D$4:$D$2091,$B53,'сентябрь 2024'!$J$4:$J$2091,L$1)</f>
        <v>0</v>
      </c>
      <c r="M53" s="80">
        <f>SUMIFS('сентябрь 2024'!$G$4:$G$2091,'сентябрь 2024'!$D$4:$D$2091,$B53,'сентябрь 2024'!$J$4:$J$2091,M$1)</f>
        <v>0</v>
      </c>
      <c r="N53" s="80">
        <f>SUMIFS('сентябрь 2024'!$G$4:$G$2091,'сентябрь 2024'!$D$4:$D$2091,$B53,'сентябрь 2024'!$J$4:$J$2091,N$1)</f>
        <v>0</v>
      </c>
      <c r="O53" s="80">
        <f>SUMIFS('сентябрь 2024'!$G$4:$G$2091,'сентябрь 2024'!$D$4:$D$2091,$B53,'сентябрь 2024'!$J$4:$J$2091,O$1)</f>
        <v>0</v>
      </c>
      <c r="P53" s="80">
        <f>SUMIFS('сентябрь 2024'!$G$4:$G$2091,'сентябрь 2024'!$D$4:$D$2091,$B53,'сентябрь 2024'!$J$4:$J$2091,P$1)</f>
        <v>0</v>
      </c>
      <c r="Q53" s="80">
        <f>SUMIFS('сентябрь 2024'!$G$4:$G$2091,'сентябрь 2024'!$D$4:$D$2091,$B53,'сентябрь 2024'!$J$4:$J$2091,Q$1)</f>
        <v>0</v>
      </c>
      <c r="R53" s="80">
        <f>SUMIFS('сентябрь 2024'!$G$4:$G$2091,'сентябрь 2024'!$D$4:$D$2091,$B53,'сентябрь 2024'!$J$4:$J$2091,R$1)</f>
        <v>0</v>
      </c>
      <c r="S53" s="80">
        <f>SUMIFS('сентябрь 2024'!$G$4:$G$2091,'сентябрь 2024'!$D$4:$D$2091,$B53,'сентябрь 2024'!$J$4:$J$2091,S$1)</f>
        <v>0</v>
      </c>
      <c r="T53" s="80">
        <f>SUMIFS('сентябрь 2024'!$G$4:$G$2091,'сентябрь 2024'!$D$4:$D$2091,$B53,'сентябрь 2024'!$J$4:$J$2091,T$1)</f>
        <v>0</v>
      </c>
      <c r="U53" s="80">
        <f>SUMIFS('сентябрь 2024'!$G$4:$G$2091,'сентябрь 2024'!$D$4:$D$2091,$B53,'сентябрь 2024'!$J$4:$J$2091,U$1)</f>
        <v>0</v>
      </c>
      <c r="V53" s="80">
        <f>SUMIFS('сентябрь 2024'!$G$4:$G$2091,'сентябрь 2024'!$D$4:$D$2091,$B53,'сентябрь 2024'!$J$4:$J$2091,V$1)</f>
        <v>0</v>
      </c>
      <c r="W53" s="80">
        <f>SUMIFS('сентябрь 2024'!$G$4:$G$2091,'сентябрь 2024'!$D$4:$D$2091,$B53,'сентябрь 2024'!$J$4:$J$2091,W$1)</f>
        <v>0</v>
      </c>
      <c r="X53" s="80">
        <f>SUMIFS('сентябрь 2024'!$G$4:$G$2091,'сентябрь 2024'!$D$4:$D$2091,$B53,'сентябрь 2024'!$J$4:$J$2091,X$1)</f>
        <v>0</v>
      </c>
      <c r="Y53" s="80">
        <f>SUMIFS('сентябрь 2024'!$G$4:$G$2091,'сентябрь 2024'!$D$4:$D$2091,$B53,'сентябрь 2024'!$J$4:$J$2091,Y$1)</f>
        <v>0</v>
      </c>
      <c r="Z53" s="80">
        <f>SUMIFS('сентябрь 2024'!$G$4:$G$2091,'сентябрь 2024'!$D$4:$D$2091,$B53,'сентябрь 2024'!$J$4:$J$2091,Z$1)</f>
        <v>0</v>
      </c>
      <c r="AA53" s="80">
        <f>SUMIFS('сентябрь 2024'!$G$4:$G$2091,'сентябрь 2024'!$D$4:$D$2091,$B53,'сентябрь 2024'!$J$4:$J$2091,AA$1)</f>
        <v>0</v>
      </c>
      <c r="AB53" s="80">
        <f>SUMIFS('сентябрь 2024'!$G$4:$G$2091,'сентябрь 2024'!$D$4:$D$2091,$B53,'сентябрь 2024'!$J$4:$J$2091,AB$1)</f>
        <v>0</v>
      </c>
      <c r="AC53" s="80">
        <f>SUMIFS('сентябрь 2024'!$G$4:$G$2091,'сентябрь 2024'!$D$4:$D$2091,$B53,'сентябрь 2024'!$J$4:$J$2091,AC$1)</f>
        <v>0</v>
      </c>
      <c r="AD53" s="80">
        <f>SUMIFS('сентябрь 2024'!$G$4:$G$2091,'сентябрь 2024'!$D$4:$D$2091,$B53,'сентябрь 2024'!$J$4:$J$2091,AD$1)</f>
        <v>0</v>
      </c>
      <c r="AE53" s="80">
        <f>SUMIFS('сентябрь 2024'!$G$4:$G$2091,'сентябрь 2024'!$D$4:$D$2091,$B53,'сентябрь 2024'!$J$4:$J$2091,AE$1)</f>
        <v>0</v>
      </c>
      <c r="AF53" s="80">
        <f>SUMIFS('сентябрь 2024'!$G$4:$G$2091,'сентябрь 2024'!$D$4:$D$2091,$B53,'сентябрь 2024'!$J$4:$J$2091,AF$1)</f>
        <v>0</v>
      </c>
      <c r="AG53" s="80">
        <f>SUMIFS('сентябрь 2024'!$G$4:$G$2091,'сентябрь 2024'!$D$4:$D$2091,$B53,'сентябрь 2024'!$J$4:$J$2091,AG$1)</f>
        <v>0</v>
      </c>
      <c r="AH53" s="80">
        <f>SUMIFS('сентябрь 2024'!$G$4:$G$2091,'сентябрь 2024'!$D$4:$D$2091,$B53,'сентябрь 2024'!$J$4:$J$2091,AH$1)</f>
        <v>0</v>
      </c>
      <c r="AI53" s="21">
        <f t="shared" si="1"/>
        <v>0</v>
      </c>
    </row>
    <row r="54" spans="2:35" ht="15" customHeight="1" x14ac:dyDescent="0.25">
      <c r="B54" s="150" t="s">
        <v>318</v>
      </c>
      <c r="C54" s="151">
        <v>20</v>
      </c>
      <c r="D54" s="80">
        <f>SUMIFS('сентябрь 2024'!$G$4:$G$2091,'сентябрь 2024'!$D$4:$D$2091,$B54,'сентябрь 2024'!$J$4:$J$2091,D$1)</f>
        <v>0</v>
      </c>
      <c r="E54" s="80">
        <f>SUMIFS('сентябрь 2024'!$G$4:$G$2091,'сентябрь 2024'!$D$4:$D$2091,$B54,'сентябрь 2024'!$J$4:$J$2091,E$1)</f>
        <v>0</v>
      </c>
      <c r="F54" s="80">
        <f>SUMIFS('сентябрь 2024'!$G$4:$G$2091,'сентябрь 2024'!$D$4:$D$2091,$B54,'сентябрь 2024'!$J$4:$J$2091,F$1)</f>
        <v>0</v>
      </c>
      <c r="G54" s="80">
        <f>SUMIFS('сентябрь 2024'!$G$4:$G$2091,'сентябрь 2024'!$D$4:$D$2091,$B54,'сентябрь 2024'!$J$4:$J$2091,G$1)</f>
        <v>0</v>
      </c>
      <c r="H54" s="80">
        <f>SUMIFS('сентябрь 2024'!$G$4:$G$2091,'сентябрь 2024'!$D$4:$D$2091,$B54,'сентябрь 2024'!$J$4:$J$2091,H$1)</f>
        <v>0</v>
      </c>
      <c r="I54" s="80">
        <f>SUMIFS('сентябрь 2024'!$G$4:$G$2091,'сентябрь 2024'!$D$4:$D$2091,$B54,'сентябрь 2024'!$J$4:$J$2091,I$1)</f>
        <v>0</v>
      </c>
      <c r="J54" s="80">
        <f>SUMIFS('сентябрь 2024'!$G$4:$G$2091,'сентябрь 2024'!$D$4:$D$2091,$B54,'сентябрь 2024'!$J$4:$J$2091,J$1)</f>
        <v>0</v>
      </c>
      <c r="K54" s="80">
        <f>SUMIFS('сентябрь 2024'!$G$4:$G$2091,'сентябрь 2024'!$D$4:$D$2091,$B54,'сентябрь 2024'!$J$4:$J$2091,K$1)</f>
        <v>0</v>
      </c>
      <c r="L54" s="80">
        <f>SUMIFS('сентябрь 2024'!$G$4:$G$2091,'сентябрь 2024'!$D$4:$D$2091,$B54,'сентябрь 2024'!$J$4:$J$2091,L$1)</f>
        <v>0</v>
      </c>
      <c r="M54" s="80">
        <f>SUMIFS('сентябрь 2024'!$G$4:$G$2091,'сентябрь 2024'!$D$4:$D$2091,$B54,'сентябрь 2024'!$J$4:$J$2091,M$1)</f>
        <v>0</v>
      </c>
      <c r="N54" s="80">
        <f>SUMIFS('сентябрь 2024'!$G$4:$G$2091,'сентябрь 2024'!$D$4:$D$2091,$B54,'сентябрь 2024'!$J$4:$J$2091,N$1)</f>
        <v>0</v>
      </c>
      <c r="O54" s="80">
        <f>SUMIFS('сентябрь 2024'!$G$4:$G$2091,'сентябрь 2024'!$D$4:$D$2091,$B54,'сентябрь 2024'!$J$4:$J$2091,O$1)</f>
        <v>0</v>
      </c>
      <c r="P54" s="80">
        <f>SUMIFS('сентябрь 2024'!$G$4:$G$2091,'сентябрь 2024'!$D$4:$D$2091,$B54,'сентябрь 2024'!$J$4:$J$2091,P$1)</f>
        <v>0</v>
      </c>
      <c r="Q54" s="80">
        <f>SUMIFS('сентябрь 2024'!$G$4:$G$2091,'сентябрь 2024'!$D$4:$D$2091,$B54,'сентябрь 2024'!$J$4:$J$2091,Q$1)</f>
        <v>0</v>
      </c>
      <c r="R54" s="80">
        <f>SUMIFS('сентябрь 2024'!$G$4:$G$2091,'сентябрь 2024'!$D$4:$D$2091,$B54,'сентябрь 2024'!$J$4:$J$2091,R$1)</f>
        <v>0</v>
      </c>
      <c r="S54" s="80">
        <f>SUMIFS('сентябрь 2024'!$G$4:$G$2091,'сентябрь 2024'!$D$4:$D$2091,$B54,'сентябрь 2024'!$J$4:$J$2091,S$1)</f>
        <v>0</v>
      </c>
      <c r="T54" s="80">
        <f>SUMIFS('сентябрь 2024'!$G$4:$G$2091,'сентябрь 2024'!$D$4:$D$2091,$B54,'сентябрь 2024'!$J$4:$J$2091,T$1)</f>
        <v>0</v>
      </c>
      <c r="U54" s="80">
        <f>SUMIFS('сентябрь 2024'!$G$4:$G$2091,'сентябрь 2024'!$D$4:$D$2091,$B54,'сентябрь 2024'!$J$4:$J$2091,U$1)</f>
        <v>0</v>
      </c>
      <c r="V54" s="80">
        <f>SUMIFS('сентябрь 2024'!$G$4:$G$2091,'сентябрь 2024'!$D$4:$D$2091,$B54,'сентябрь 2024'!$J$4:$J$2091,V$1)</f>
        <v>0</v>
      </c>
      <c r="W54" s="80">
        <f>SUMIFS('сентябрь 2024'!$G$4:$G$2091,'сентябрь 2024'!$D$4:$D$2091,$B54,'сентябрь 2024'!$J$4:$J$2091,W$1)</f>
        <v>0</v>
      </c>
      <c r="X54" s="80">
        <f>SUMIFS('сентябрь 2024'!$G$4:$G$2091,'сентябрь 2024'!$D$4:$D$2091,$B54,'сентябрь 2024'!$J$4:$J$2091,X$1)</f>
        <v>0</v>
      </c>
      <c r="Y54" s="80">
        <f>SUMIFS('сентябрь 2024'!$G$4:$G$2091,'сентябрь 2024'!$D$4:$D$2091,$B54,'сентябрь 2024'!$J$4:$J$2091,Y$1)</f>
        <v>0</v>
      </c>
      <c r="Z54" s="80">
        <f>SUMIFS('сентябрь 2024'!$G$4:$G$2091,'сентябрь 2024'!$D$4:$D$2091,$B54,'сентябрь 2024'!$J$4:$J$2091,Z$1)</f>
        <v>0</v>
      </c>
      <c r="AA54" s="80">
        <f>SUMIFS('сентябрь 2024'!$G$4:$G$2091,'сентябрь 2024'!$D$4:$D$2091,$B54,'сентябрь 2024'!$J$4:$J$2091,AA$1)</f>
        <v>0</v>
      </c>
      <c r="AB54" s="80">
        <f>SUMIFS('сентябрь 2024'!$G$4:$G$2091,'сентябрь 2024'!$D$4:$D$2091,$B54,'сентябрь 2024'!$J$4:$J$2091,AB$1)</f>
        <v>0</v>
      </c>
      <c r="AC54" s="80">
        <f>SUMIFS('сентябрь 2024'!$G$4:$G$2091,'сентябрь 2024'!$D$4:$D$2091,$B54,'сентябрь 2024'!$J$4:$J$2091,AC$1)</f>
        <v>0</v>
      </c>
      <c r="AD54" s="80">
        <f>SUMIFS('сентябрь 2024'!$G$4:$G$2091,'сентябрь 2024'!$D$4:$D$2091,$B54,'сентябрь 2024'!$J$4:$J$2091,AD$1)</f>
        <v>0</v>
      </c>
      <c r="AE54" s="80">
        <f>SUMIFS('сентябрь 2024'!$G$4:$G$2091,'сентябрь 2024'!$D$4:$D$2091,$B54,'сентябрь 2024'!$J$4:$J$2091,AE$1)</f>
        <v>0</v>
      </c>
      <c r="AF54" s="80">
        <f>SUMIFS('сентябрь 2024'!$G$4:$G$2091,'сентябрь 2024'!$D$4:$D$2091,$B54,'сентябрь 2024'!$J$4:$J$2091,AF$1)</f>
        <v>0</v>
      </c>
      <c r="AG54" s="80">
        <f>SUMIFS('сентябрь 2024'!$G$4:$G$2091,'сентябрь 2024'!$D$4:$D$2091,$B54,'сентябрь 2024'!$J$4:$J$2091,AG$1)</f>
        <v>0</v>
      </c>
      <c r="AH54" s="80">
        <f>SUMIFS('сентябрь 2024'!$G$4:$G$2091,'сентябрь 2024'!$D$4:$D$2091,$B54,'сентябрь 2024'!$J$4:$J$2091,AH$1)</f>
        <v>0</v>
      </c>
      <c r="AI54" s="21">
        <f t="shared" si="1"/>
        <v>0</v>
      </c>
    </row>
    <row r="55" spans="2:35" ht="15" customHeight="1" x14ac:dyDescent="0.25">
      <c r="B55" s="150" t="s">
        <v>319</v>
      </c>
      <c r="C55" s="151">
        <v>20</v>
      </c>
      <c r="D55" s="80">
        <f>SUMIFS('сентябрь 2024'!$G$4:$G$2091,'сентябрь 2024'!$D$4:$D$2091,$B55,'сентябрь 2024'!$J$4:$J$2091,D$1)</f>
        <v>0</v>
      </c>
      <c r="E55" s="80">
        <f>SUMIFS('сентябрь 2024'!$G$4:$G$2091,'сентябрь 2024'!$D$4:$D$2091,$B55,'сентябрь 2024'!$J$4:$J$2091,E$1)</f>
        <v>0</v>
      </c>
      <c r="F55" s="80">
        <f>SUMIFS('сентябрь 2024'!$G$4:$G$2091,'сентябрь 2024'!$D$4:$D$2091,$B55,'сентябрь 2024'!$J$4:$J$2091,F$1)</f>
        <v>0</v>
      </c>
      <c r="G55" s="80">
        <f>SUMIFS('сентябрь 2024'!$G$4:$G$2091,'сентябрь 2024'!$D$4:$D$2091,$B55,'сентябрь 2024'!$J$4:$J$2091,G$1)</f>
        <v>0</v>
      </c>
      <c r="H55" s="80">
        <f>SUMIFS('сентябрь 2024'!$G$4:$G$2091,'сентябрь 2024'!$D$4:$D$2091,$B55,'сентябрь 2024'!$J$4:$J$2091,H$1)</f>
        <v>0</v>
      </c>
      <c r="I55" s="80">
        <f>SUMIFS('сентябрь 2024'!$G$4:$G$2091,'сентябрь 2024'!$D$4:$D$2091,$B55,'сентябрь 2024'!$J$4:$J$2091,I$1)</f>
        <v>0</v>
      </c>
      <c r="J55" s="80">
        <f>SUMIFS('сентябрь 2024'!$G$4:$G$2091,'сентябрь 2024'!$D$4:$D$2091,$B55,'сентябрь 2024'!$J$4:$J$2091,J$1)</f>
        <v>0</v>
      </c>
      <c r="K55" s="80">
        <f>SUMIFS('сентябрь 2024'!$G$4:$G$2091,'сентябрь 2024'!$D$4:$D$2091,$B55,'сентябрь 2024'!$J$4:$J$2091,K$1)</f>
        <v>0</v>
      </c>
      <c r="L55" s="80">
        <f>SUMIFS('сентябрь 2024'!$G$4:$G$2091,'сентябрь 2024'!$D$4:$D$2091,$B55,'сентябрь 2024'!$J$4:$J$2091,L$1)</f>
        <v>0</v>
      </c>
      <c r="M55" s="80">
        <f>SUMIFS('сентябрь 2024'!$G$4:$G$2091,'сентябрь 2024'!$D$4:$D$2091,$B55,'сентябрь 2024'!$J$4:$J$2091,M$1)</f>
        <v>0</v>
      </c>
      <c r="N55" s="80">
        <f>SUMIFS('сентябрь 2024'!$G$4:$G$2091,'сентябрь 2024'!$D$4:$D$2091,$B55,'сентябрь 2024'!$J$4:$J$2091,N$1)</f>
        <v>0</v>
      </c>
      <c r="O55" s="80">
        <f>SUMIFS('сентябрь 2024'!$G$4:$G$2091,'сентябрь 2024'!$D$4:$D$2091,$B55,'сентябрь 2024'!$J$4:$J$2091,O$1)</f>
        <v>0</v>
      </c>
      <c r="P55" s="80">
        <f>SUMIFS('сентябрь 2024'!$G$4:$G$2091,'сентябрь 2024'!$D$4:$D$2091,$B55,'сентябрь 2024'!$J$4:$J$2091,P$1)</f>
        <v>0</v>
      </c>
      <c r="Q55" s="80">
        <f>SUMIFS('сентябрь 2024'!$G$4:$G$2091,'сентябрь 2024'!$D$4:$D$2091,$B55,'сентябрь 2024'!$J$4:$J$2091,Q$1)</f>
        <v>0</v>
      </c>
      <c r="R55" s="80">
        <f>SUMIFS('сентябрь 2024'!$G$4:$G$2091,'сентябрь 2024'!$D$4:$D$2091,$B55,'сентябрь 2024'!$J$4:$J$2091,R$1)</f>
        <v>0</v>
      </c>
      <c r="S55" s="80">
        <f>SUMIFS('сентябрь 2024'!$G$4:$G$2091,'сентябрь 2024'!$D$4:$D$2091,$B55,'сентябрь 2024'!$J$4:$J$2091,S$1)</f>
        <v>0</v>
      </c>
      <c r="T55" s="80">
        <f>SUMIFS('сентябрь 2024'!$G$4:$G$2091,'сентябрь 2024'!$D$4:$D$2091,$B55,'сентябрь 2024'!$J$4:$J$2091,T$1)</f>
        <v>0</v>
      </c>
      <c r="U55" s="80">
        <f>SUMIFS('сентябрь 2024'!$G$4:$G$2091,'сентябрь 2024'!$D$4:$D$2091,$B55,'сентябрь 2024'!$J$4:$J$2091,U$1)</f>
        <v>0</v>
      </c>
      <c r="V55" s="80">
        <f>SUMIFS('сентябрь 2024'!$G$4:$G$2091,'сентябрь 2024'!$D$4:$D$2091,$B55,'сентябрь 2024'!$J$4:$J$2091,V$1)</f>
        <v>0</v>
      </c>
      <c r="W55" s="80">
        <f>SUMIFS('сентябрь 2024'!$G$4:$G$2091,'сентябрь 2024'!$D$4:$D$2091,$B55,'сентябрь 2024'!$J$4:$J$2091,W$1)</f>
        <v>0</v>
      </c>
      <c r="X55" s="80">
        <f>SUMIFS('сентябрь 2024'!$G$4:$G$2091,'сентябрь 2024'!$D$4:$D$2091,$B55,'сентябрь 2024'!$J$4:$J$2091,X$1)</f>
        <v>0</v>
      </c>
      <c r="Y55" s="80">
        <f>SUMIFS('сентябрь 2024'!$G$4:$G$2091,'сентябрь 2024'!$D$4:$D$2091,$B55,'сентябрь 2024'!$J$4:$J$2091,Y$1)</f>
        <v>0</v>
      </c>
      <c r="Z55" s="80">
        <f>SUMIFS('сентябрь 2024'!$G$4:$G$2091,'сентябрь 2024'!$D$4:$D$2091,$B55,'сентябрь 2024'!$J$4:$J$2091,Z$1)</f>
        <v>0</v>
      </c>
      <c r="AA55" s="80">
        <f>SUMIFS('сентябрь 2024'!$G$4:$G$2091,'сентябрь 2024'!$D$4:$D$2091,$B55,'сентябрь 2024'!$J$4:$J$2091,AA$1)</f>
        <v>0</v>
      </c>
      <c r="AB55" s="80">
        <f>SUMIFS('сентябрь 2024'!$G$4:$G$2091,'сентябрь 2024'!$D$4:$D$2091,$B55,'сентябрь 2024'!$J$4:$J$2091,AB$1)</f>
        <v>0</v>
      </c>
      <c r="AC55" s="80">
        <f>SUMIFS('сентябрь 2024'!$G$4:$G$2091,'сентябрь 2024'!$D$4:$D$2091,$B55,'сентябрь 2024'!$J$4:$J$2091,AC$1)</f>
        <v>0</v>
      </c>
      <c r="AD55" s="80">
        <f>SUMIFS('сентябрь 2024'!$G$4:$G$2091,'сентябрь 2024'!$D$4:$D$2091,$B55,'сентябрь 2024'!$J$4:$J$2091,AD$1)</f>
        <v>0</v>
      </c>
      <c r="AE55" s="80">
        <f>SUMIFS('сентябрь 2024'!$G$4:$G$2091,'сентябрь 2024'!$D$4:$D$2091,$B55,'сентябрь 2024'!$J$4:$J$2091,AE$1)</f>
        <v>0</v>
      </c>
      <c r="AF55" s="80">
        <f>SUMIFS('сентябрь 2024'!$G$4:$G$2091,'сентябрь 2024'!$D$4:$D$2091,$B55,'сентябрь 2024'!$J$4:$J$2091,AF$1)</f>
        <v>0</v>
      </c>
      <c r="AG55" s="80">
        <f>SUMIFS('сентябрь 2024'!$G$4:$G$2091,'сентябрь 2024'!$D$4:$D$2091,$B55,'сентябрь 2024'!$J$4:$J$2091,AG$1)</f>
        <v>0</v>
      </c>
      <c r="AH55" s="80">
        <f>SUMIFS('сентябрь 2024'!$G$4:$G$2091,'сентябрь 2024'!$D$4:$D$2091,$B55,'сентябрь 2024'!$J$4:$J$2091,AH$1)</f>
        <v>0</v>
      </c>
      <c r="AI55" s="21">
        <f t="shared" si="1"/>
        <v>0</v>
      </c>
    </row>
    <row r="56" spans="2:35" ht="15" customHeight="1" x14ac:dyDescent="0.25">
      <c r="B56" s="150"/>
      <c r="C56" s="151"/>
      <c r="D56" s="80">
        <f>SUMIFS('сентябрь 2024'!$G$4:$G$2091,'сентябрь 2024'!$D$4:$D$2091,$B56,'сентябрь 2024'!$J$4:$J$2091,D$1)</f>
        <v>0</v>
      </c>
      <c r="E56" s="80">
        <f>SUMIFS('сентябрь 2024'!$G$4:$G$2091,'сентябрь 2024'!$D$4:$D$2091,$B56,'сентябрь 2024'!$J$4:$J$2091,E$1)</f>
        <v>0</v>
      </c>
      <c r="F56" s="80">
        <f>SUMIFS('сентябрь 2024'!$G$4:$G$2091,'сентябрь 2024'!$D$4:$D$2091,$B56,'сентябрь 2024'!$J$4:$J$2091,F$1)</f>
        <v>0</v>
      </c>
      <c r="G56" s="80">
        <f>SUMIFS('сентябрь 2024'!$G$4:$G$2091,'сентябрь 2024'!$D$4:$D$2091,$B56,'сентябрь 2024'!$J$4:$J$2091,G$1)</f>
        <v>0</v>
      </c>
      <c r="H56" s="80">
        <f>SUMIFS('сентябрь 2024'!$G$4:$G$2091,'сентябрь 2024'!$D$4:$D$2091,$B56,'сентябрь 2024'!$J$4:$J$2091,H$1)</f>
        <v>0</v>
      </c>
      <c r="I56" s="80">
        <f>SUMIFS('сентябрь 2024'!$G$4:$G$2091,'сентябрь 2024'!$D$4:$D$2091,$B56,'сентябрь 2024'!$J$4:$J$2091,I$1)</f>
        <v>0</v>
      </c>
      <c r="J56" s="80">
        <f>SUMIFS('сентябрь 2024'!$G$4:$G$2091,'сентябрь 2024'!$D$4:$D$2091,$B56,'сентябрь 2024'!$J$4:$J$2091,J$1)</f>
        <v>0</v>
      </c>
      <c r="K56" s="80">
        <f>SUMIFS('сентябрь 2024'!$G$4:$G$2091,'сентябрь 2024'!$D$4:$D$2091,$B56,'сентябрь 2024'!$J$4:$J$2091,K$1)</f>
        <v>0</v>
      </c>
      <c r="L56" s="80">
        <f>SUMIFS('сентябрь 2024'!$G$4:$G$2091,'сентябрь 2024'!$D$4:$D$2091,$B56,'сентябрь 2024'!$J$4:$J$2091,L$1)</f>
        <v>0</v>
      </c>
      <c r="M56" s="80">
        <f>SUMIFS('сентябрь 2024'!$G$4:$G$2091,'сентябрь 2024'!$D$4:$D$2091,$B56,'сентябрь 2024'!$J$4:$J$2091,M$1)</f>
        <v>0</v>
      </c>
      <c r="N56" s="80">
        <f>SUMIFS('сентябрь 2024'!$G$4:$G$2091,'сентябрь 2024'!$D$4:$D$2091,$B56,'сентябрь 2024'!$J$4:$J$2091,N$1)</f>
        <v>0</v>
      </c>
      <c r="O56" s="80">
        <f>SUMIFS('сентябрь 2024'!$G$4:$G$2091,'сентябрь 2024'!$D$4:$D$2091,$B56,'сентябрь 2024'!$J$4:$J$2091,O$1)</f>
        <v>0</v>
      </c>
      <c r="P56" s="80">
        <f>SUMIFS('сентябрь 2024'!$G$4:$G$2091,'сентябрь 2024'!$D$4:$D$2091,$B56,'сентябрь 2024'!$J$4:$J$2091,P$1)</f>
        <v>0</v>
      </c>
      <c r="Q56" s="80">
        <f>SUMIFS('сентябрь 2024'!$G$4:$G$2091,'сентябрь 2024'!$D$4:$D$2091,$B56,'сентябрь 2024'!$J$4:$J$2091,Q$1)</f>
        <v>0</v>
      </c>
      <c r="R56" s="80">
        <f>SUMIFS('сентябрь 2024'!$G$4:$G$2091,'сентябрь 2024'!$D$4:$D$2091,$B56,'сентябрь 2024'!$J$4:$J$2091,R$1)</f>
        <v>0</v>
      </c>
      <c r="S56" s="80">
        <f>SUMIFS('сентябрь 2024'!$G$4:$G$2091,'сентябрь 2024'!$D$4:$D$2091,$B56,'сентябрь 2024'!$J$4:$J$2091,S$1)</f>
        <v>0</v>
      </c>
      <c r="T56" s="80">
        <f>SUMIFS('сентябрь 2024'!$G$4:$G$2091,'сентябрь 2024'!$D$4:$D$2091,$B56,'сентябрь 2024'!$J$4:$J$2091,T$1)</f>
        <v>0</v>
      </c>
      <c r="U56" s="80">
        <f>SUMIFS('сентябрь 2024'!$G$4:$G$2091,'сентябрь 2024'!$D$4:$D$2091,$B56,'сентябрь 2024'!$J$4:$J$2091,U$1)</f>
        <v>0</v>
      </c>
      <c r="V56" s="80">
        <f>SUMIFS('сентябрь 2024'!$G$4:$G$2091,'сентябрь 2024'!$D$4:$D$2091,$B56,'сентябрь 2024'!$J$4:$J$2091,V$1)</f>
        <v>0</v>
      </c>
      <c r="W56" s="80">
        <f>SUMIFS('сентябрь 2024'!$G$4:$G$2091,'сентябрь 2024'!$D$4:$D$2091,$B56,'сентябрь 2024'!$J$4:$J$2091,W$1)</f>
        <v>0</v>
      </c>
      <c r="X56" s="80">
        <f>SUMIFS('сентябрь 2024'!$G$4:$G$2091,'сентябрь 2024'!$D$4:$D$2091,$B56,'сентябрь 2024'!$J$4:$J$2091,X$1)</f>
        <v>0</v>
      </c>
      <c r="Y56" s="80">
        <f>SUMIFS('сентябрь 2024'!$G$4:$G$2091,'сентябрь 2024'!$D$4:$D$2091,$B56,'сентябрь 2024'!$J$4:$J$2091,Y$1)</f>
        <v>0</v>
      </c>
      <c r="Z56" s="80">
        <f>SUMIFS('сентябрь 2024'!$G$4:$G$2091,'сентябрь 2024'!$D$4:$D$2091,$B56,'сентябрь 2024'!$J$4:$J$2091,Z$1)</f>
        <v>0</v>
      </c>
      <c r="AA56" s="80">
        <f>SUMIFS('сентябрь 2024'!$G$4:$G$2091,'сентябрь 2024'!$D$4:$D$2091,$B56,'сентябрь 2024'!$J$4:$J$2091,AA$1)</f>
        <v>0</v>
      </c>
      <c r="AB56" s="80">
        <f>SUMIFS('сентябрь 2024'!$G$4:$G$2091,'сентябрь 2024'!$D$4:$D$2091,$B56,'сентябрь 2024'!$J$4:$J$2091,AB$1)</f>
        <v>0</v>
      </c>
      <c r="AC56" s="80">
        <f>SUMIFS('сентябрь 2024'!$G$4:$G$2091,'сентябрь 2024'!$D$4:$D$2091,$B56,'сентябрь 2024'!$J$4:$J$2091,AC$1)</f>
        <v>0</v>
      </c>
      <c r="AD56" s="80">
        <f>SUMIFS('сентябрь 2024'!$G$4:$G$2091,'сентябрь 2024'!$D$4:$D$2091,$B56,'сентябрь 2024'!$J$4:$J$2091,AD$1)</f>
        <v>0</v>
      </c>
      <c r="AE56" s="80">
        <f>SUMIFS('сентябрь 2024'!$G$4:$G$2091,'сентябрь 2024'!$D$4:$D$2091,$B56,'сентябрь 2024'!$J$4:$J$2091,AE$1)</f>
        <v>0</v>
      </c>
      <c r="AF56" s="80">
        <f>SUMIFS('сентябрь 2024'!$G$4:$G$2091,'сентябрь 2024'!$D$4:$D$2091,$B56,'сентябрь 2024'!$J$4:$J$2091,AF$1)</f>
        <v>0</v>
      </c>
      <c r="AG56" s="80">
        <f>SUMIFS('сентябрь 2024'!$G$4:$G$2091,'сентябрь 2024'!$D$4:$D$2091,$B56,'сентябрь 2024'!$J$4:$J$2091,AG$1)</f>
        <v>0</v>
      </c>
      <c r="AH56" s="80">
        <f>SUMIFS('сентябрь 2024'!$G$4:$G$2091,'сентябрь 2024'!$D$4:$D$2091,$B56,'сентябрь 2024'!$J$4:$J$2091,AH$1)</f>
        <v>0</v>
      </c>
      <c r="AI56" s="21">
        <f t="shared" si="1"/>
        <v>0</v>
      </c>
    </row>
    <row r="57" spans="2:35" ht="15" customHeight="1" x14ac:dyDescent="0.25">
      <c r="B57" s="150"/>
      <c r="C57" s="151"/>
      <c r="D57" s="80">
        <f>SUMIFS('сентябрь 2024'!$G$4:$G$2091,'сентябрь 2024'!$D$4:$D$2091,$B57,'сентябрь 2024'!$J$4:$J$2091,D$1)</f>
        <v>0</v>
      </c>
      <c r="E57" s="80">
        <f>SUMIFS('сентябрь 2024'!$G$4:$G$2091,'сентябрь 2024'!$D$4:$D$2091,$B57,'сентябрь 2024'!$J$4:$J$2091,E$1)</f>
        <v>0</v>
      </c>
      <c r="F57" s="80">
        <f>SUMIFS('сентябрь 2024'!$G$4:$G$2091,'сентябрь 2024'!$D$4:$D$2091,$B57,'сентябрь 2024'!$J$4:$J$2091,F$1)</f>
        <v>0</v>
      </c>
      <c r="G57" s="80">
        <f>SUMIFS('сентябрь 2024'!$G$4:$G$2091,'сентябрь 2024'!$D$4:$D$2091,$B57,'сентябрь 2024'!$J$4:$J$2091,G$1)</f>
        <v>0</v>
      </c>
      <c r="H57" s="80">
        <f>SUMIFS('сентябрь 2024'!$G$4:$G$2091,'сентябрь 2024'!$D$4:$D$2091,$B57,'сентябрь 2024'!$J$4:$J$2091,H$1)</f>
        <v>0</v>
      </c>
      <c r="I57" s="80">
        <f>SUMIFS('сентябрь 2024'!$G$4:$G$2091,'сентябрь 2024'!$D$4:$D$2091,$B57,'сентябрь 2024'!$J$4:$J$2091,I$1)</f>
        <v>0</v>
      </c>
      <c r="J57" s="80">
        <f>SUMIFS('сентябрь 2024'!$G$4:$G$2091,'сентябрь 2024'!$D$4:$D$2091,$B57,'сентябрь 2024'!$J$4:$J$2091,J$1)</f>
        <v>0</v>
      </c>
      <c r="K57" s="80">
        <f>SUMIFS('сентябрь 2024'!$G$4:$G$2091,'сентябрь 2024'!$D$4:$D$2091,$B57,'сентябрь 2024'!$J$4:$J$2091,K$1)</f>
        <v>0</v>
      </c>
      <c r="L57" s="80">
        <f>SUMIFS('сентябрь 2024'!$G$4:$G$2091,'сентябрь 2024'!$D$4:$D$2091,$B57,'сентябрь 2024'!$J$4:$J$2091,L$1)</f>
        <v>0</v>
      </c>
      <c r="M57" s="80">
        <f>SUMIFS('сентябрь 2024'!$G$4:$G$2091,'сентябрь 2024'!$D$4:$D$2091,$B57,'сентябрь 2024'!$J$4:$J$2091,M$1)</f>
        <v>0</v>
      </c>
      <c r="N57" s="80">
        <f>SUMIFS('сентябрь 2024'!$G$4:$G$2091,'сентябрь 2024'!$D$4:$D$2091,$B57,'сентябрь 2024'!$J$4:$J$2091,N$1)</f>
        <v>0</v>
      </c>
      <c r="O57" s="80">
        <f>SUMIFS('сентябрь 2024'!$G$4:$G$2091,'сентябрь 2024'!$D$4:$D$2091,$B57,'сентябрь 2024'!$J$4:$J$2091,O$1)</f>
        <v>0</v>
      </c>
      <c r="P57" s="80">
        <f>SUMIFS('сентябрь 2024'!$G$4:$G$2091,'сентябрь 2024'!$D$4:$D$2091,$B57,'сентябрь 2024'!$J$4:$J$2091,P$1)</f>
        <v>0</v>
      </c>
      <c r="Q57" s="80">
        <f>SUMIFS('сентябрь 2024'!$G$4:$G$2091,'сентябрь 2024'!$D$4:$D$2091,$B57,'сентябрь 2024'!$J$4:$J$2091,Q$1)</f>
        <v>0</v>
      </c>
      <c r="R57" s="80">
        <f>SUMIFS('сентябрь 2024'!$G$4:$G$2091,'сентябрь 2024'!$D$4:$D$2091,$B57,'сентябрь 2024'!$J$4:$J$2091,R$1)</f>
        <v>0</v>
      </c>
      <c r="S57" s="80">
        <f>SUMIFS('сентябрь 2024'!$G$4:$G$2091,'сентябрь 2024'!$D$4:$D$2091,$B57,'сентябрь 2024'!$J$4:$J$2091,S$1)</f>
        <v>0</v>
      </c>
      <c r="T57" s="80">
        <f>SUMIFS('сентябрь 2024'!$G$4:$G$2091,'сентябрь 2024'!$D$4:$D$2091,$B57,'сентябрь 2024'!$J$4:$J$2091,T$1)</f>
        <v>0</v>
      </c>
      <c r="U57" s="80">
        <f>SUMIFS('сентябрь 2024'!$G$4:$G$2091,'сентябрь 2024'!$D$4:$D$2091,$B57,'сентябрь 2024'!$J$4:$J$2091,U$1)</f>
        <v>0</v>
      </c>
      <c r="V57" s="80">
        <f>SUMIFS('сентябрь 2024'!$G$4:$G$2091,'сентябрь 2024'!$D$4:$D$2091,$B57,'сентябрь 2024'!$J$4:$J$2091,V$1)</f>
        <v>0</v>
      </c>
      <c r="W57" s="80">
        <f>SUMIFS('сентябрь 2024'!$G$4:$G$2091,'сентябрь 2024'!$D$4:$D$2091,$B57,'сентябрь 2024'!$J$4:$J$2091,W$1)</f>
        <v>0</v>
      </c>
      <c r="X57" s="80">
        <f>SUMIFS('сентябрь 2024'!$G$4:$G$2091,'сентябрь 2024'!$D$4:$D$2091,$B57,'сентябрь 2024'!$J$4:$J$2091,X$1)</f>
        <v>0</v>
      </c>
      <c r="Y57" s="80">
        <f>SUMIFS('сентябрь 2024'!$G$4:$G$2091,'сентябрь 2024'!$D$4:$D$2091,$B57,'сентябрь 2024'!$J$4:$J$2091,Y$1)</f>
        <v>0</v>
      </c>
      <c r="Z57" s="80">
        <f>SUMIFS('сентябрь 2024'!$G$4:$G$2091,'сентябрь 2024'!$D$4:$D$2091,$B57,'сентябрь 2024'!$J$4:$J$2091,Z$1)</f>
        <v>0</v>
      </c>
      <c r="AA57" s="80">
        <f>SUMIFS('сентябрь 2024'!$G$4:$G$2091,'сентябрь 2024'!$D$4:$D$2091,$B57,'сентябрь 2024'!$J$4:$J$2091,AA$1)</f>
        <v>0</v>
      </c>
      <c r="AB57" s="80">
        <f>SUMIFS('сентябрь 2024'!$G$4:$G$2091,'сентябрь 2024'!$D$4:$D$2091,$B57,'сентябрь 2024'!$J$4:$J$2091,AB$1)</f>
        <v>0</v>
      </c>
      <c r="AC57" s="80">
        <f>SUMIFS('сентябрь 2024'!$G$4:$G$2091,'сентябрь 2024'!$D$4:$D$2091,$B57,'сентябрь 2024'!$J$4:$J$2091,AC$1)</f>
        <v>0</v>
      </c>
      <c r="AD57" s="80">
        <f>SUMIFS('сентябрь 2024'!$G$4:$G$2091,'сентябрь 2024'!$D$4:$D$2091,$B57,'сентябрь 2024'!$J$4:$J$2091,AD$1)</f>
        <v>0</v>
      </c>
      <c r="AE57" s="80">
        <f>SUMIFS('сентябрь 2024'!$G$4:$G$2091,'сентябрь 2024'!$D$4:$D$2091,$B57,'сентябрь 2024'!$J$4:$J$2091,AE$1)</f>
        <v>0</v>
      </c>
      <c r="AF57" s="80">
        <f>SUMIFS('сентябрь 2024'!$G$4:$G$2091,'сентябрь 2024'!$D$4:$D$2091,$B57,'сентябрь 2024'!$J$4:$J$2091,AF$1)</f>
        <v>0</v>
      </c>
      <c r="AG57" s="80">
        <f>SUMIFS('сентябрь 2024'!$G$4:$G$2091,'сентябрь 2024'!$D$4:$D$2091,$B57,'сентябрь 2024'!$J$4:$J$2091,AG$1)</f>
        <v>0</v>
      </c>
      <c r="AH57" s="80">
        <f>SUMIFS('сентябрь 2024'!$G$4:$G$2091,'сентябрь 2024'!$D$4:$D$2091,$B57,'сентябрь 2024'!$J$4:$J$2091,AH$1)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80">
        <f>SUMIFS('сентябрь 2024'!$G$4:$G$2091,'сентябрь 2024'!$D$4:$D$2091,$B58,'сентябрь 2024'!$J$4:$J$2091,D$1)</f>
        <v>0</v>
      </c>
      <c r="E58" s="80">
        <f>SUMIFS('сентябрь 2024'!$G$4:$G$2091,'сентябрь 2024'!$D$4:$D$2091,$B58,'сентябрь 2024'!$J$4:$J$2091,E$1)</f>
        <v>0</v>
      </c>
      <c r="F58" s="80">
        <f>SUMIFS('сентябрь 2024'!$G$4:$G$2091,'сентябрь 2024'!$D$4:$D$2091,$B58,'сентябрь 2024'!$J$4:$J$2091,F$1)</f>
        <v>0</v>
      </c>
      <c r="G58" s="80">
        <f>SUMIFS('сентябрь 2024'!$G$4:$G$2091,'сентябрь 2024'!$D$4:$D$2091,$B58,'сентябрь 2024'!$J$4:$J$2091,G$1)</f>
        <v>0</v>
      </c>
      <c r="H58" s="80">
        <f>SUMIFS('сентябрь 2024'!$G$4:$G$2091,'сентябрь 2024'!$D$4:$D$2091,$B58,'сентябрь 2024'!$J$4:$J$2091,H$1)</f>
        <v>0</v>
      </c>
      <c r="I58" s="80">
        <f>SUMIFS('сентябрь 2024'!$G$4:$G$2091,'сентябрь 2024'!$D$4:$D$2091,$B58,'сентябрь 2024'!$J$4:$J$2091,I$1)</f>
        <v>0</v>
      </c>
      <c r="J58" s="80">
        <f>SUMIFS('сентябрь 2024'!$G$4:$G$2091,'сентябрь 2024'!$D$4:$D$2091,$B58,'сентябрь 2024'!$J$4:$J$2091,J$1)</f>
        <v>0</v>
      </c>
      <c r="K58" s="80">
        <f>SUMIFS('сентябрь 2024'!$G$4:$G$2091,'сентябрь 2024'!$D$4:$D$2091,$B58,'сентябрь 2024'!$J$4:$J$2091,K$1)</f>
        <v>0</v>
      </c>
      <c r="L58" s="80">
        <f>SUMIFS('сентябрь 2024'!$G$4:$G$2091,'сентябрь 2024'!$D$4:$D$2091,$B58,'сентябрь 2024'!$J$4:$J$2091,L$1)</f>
        <v>0</v>
      </c>
      <c r="M58" s="80">
        <f>SUMIFS('сентябрь 2024'!$G$4:$G$2091,'сентябрь 2024'!$D$4:$D$2091,$B58,'сентябрь 2024'!$J$4:$J$2091,M$1)</f>
        <v>0</v>
      </c>
      <c r="N58" s="80">
        <f>SUMIFS('сентябрь 2024'!$G$4:$G$2091,'сентябрь 2024'!$D$4:$D$2091,$B58,'сентябрь 2024'!$J$4:$J$2091,N$1)</f>
        <v>0</v>
      </c>
      <c r="O58" s="80">
        <f>SUMIFS('сентябрь 2024'!$G$4:$G$2091,'сентябрь 2024'!$D$4:$D$2091,$B58,'сентябрь 2024'!$J$4:$J$2091,O$1)</f>
        <v>0</v>
      </c>
      <c r="P58" s="80">
        <f>SUMIFS('сентябрь 2024'!$G$4:$G$2091,'сентябрь 2024'!$D$4:$D$2091,$B58,'сентябрь 2024'!$J$4:$J$2091,P$1)</f>
        <v>0</v>
      </c>
      <c r="Q58" s="80">
        <f>SUMIFS('сентябрь 2024'!$G$4:$G$2091,'сентябрь 2024'!$D$4:$D$2091,$B58,'сентябрь 2024'!$J$4:$J$2091,Q$1)</f>
        <v>0</v>
      </c>
      <c r="R58" s="80">
        <f>SUMIFS('сентябрь 2024'!$G$4:$G$2091,'сентябрь 2024'!$D$4:$D$2091,$B58,'сентябрь 2024'!$J$4:$J$2091,R$1)</f>
        <v>0</v>
      </c>
      <c r="S58" s="80">
        <f>SUMIFS('сентябрь 2024'!$G$4:$G$2091,'сентябрь 2024'!$D$4:$D$2091,$B58,'сентябрь 2024'!$J$4:$J$2091,S$1)</f>
        <v>0</v>
      </c>
      <c r="T58" s="80">
        <f>SUMIFS('сентябрь 2024'!$G$4:$G$2091,'сентябрь 2024'!$D$4:$D$2091,$B58,'сентябрь 2024'!$J$4:$J$2091,T$1)</f>
        <v>0</v>
      </c>
      <c r="U58" s="80">
        <f>SUMIFS('сентябрь 2024'!$G$4:$G$2091,'сентябрь 2024'!$D$4:$D$2091,$B58,'сентябрь 2024'!$J$4:$J$2091,U$1)</f>
        <v>0</v>
      </c>
      <c r="V58" s="80">
        <f>SUMIFS('сентябрь 2024'!$G$4:$G$2091,'сентябрь 2024'!$D$4:$D$2091,$B58,'сентябрь 2024'!$J$4:$J$2091,V$1)</f>
        <v>0</v>
      </c>
      <c r="W58" s="80">
        <f>SUMIFS('сентябрь 2024'!$G$4:$G$2091,'сентябрь 2024'!$D$4:$D$2091,$B58,'сентябрь 2024'!$J$4:$J$2091,W$1)</f>
        <v>0</v>
      </c>
      <c r="X58" s="80">
        <f>SUMIFS('сентябрь 2024'!$G$4:$G$2091,'сентябрь 2024'!$D$4:$D$2091,$B58,'сентябрь 2024'!$J$4:$J$2091,X$1)</f>
        <v>0</v>
      </c>
      <c r="Y58" s="80">
        <f>SUMIFS('сентябрь 2024'!$G$4:$G$2091,'сентябрь 2024'!$D$4:$D$2091,$B58,'сентябрь 2024'!$J$4:$J$2091,Y$1)</f>
        <v>0</v>
      </c>
      <c r="Z58" s="80">
        <f>SUMIFS('сентябрь 2024'!$G$4:$G$2091,'сентябрь 2024'!$D$4:$D$2091,$B58,'сентябрь 2024'!$J$4:$J$2091,Z$1)</f>
        <v>0</v>
      </c>
      <c r="AA58" s="80">
        <f>SUMIFS('сентябрь 2024'!$G$4:$G$2091,'сентябрь 2024'!$D$4:$D$2091,$B58,'сентябрь 2024'!$J$4:$J$2091,AA$1)</f>
        <v>0</v>
      </c>
      <c r="AB58" s="80">
        <f>SUMIFS('сентябрь 2024'!$G$4:$G$2091,'сентябрь 2024'!$D$4:$D$2091,$B58,'сентябрь 2024'!$J$4:$J$2091,AB$1)</f>
        <v>0</v>
      </c>
      <c r="AC58" s="80">
        <f>SUMIFS('сентябрь 2024'!$G$4:$G$2091,'сентябрь 2024'!$D$4:$D$2091,$B58,'сентябрь 2024'!$J$4:$J$2091,AC$1)</f>
        <v>0</v>
      </c>
      <c r="AD58" s="80">
        <f>SUMIFS('сентябрь 2024'!$G$4:$G$2091,'сентябрь 2024'!$D$4:$D$2091,$B58,'сентябрь 2024'!$J$4:$J$2091,AD$1)</f>
        <v>0</v>
      </c>
      <c r="AE58" s="80">
        <f>SUMIFS('сентябрь 2024'!$G$4:$G$2091,'сентябрь 2024'!$D$4:$D$2091,$B58,'сентябрь 2024'!$J$4:$J$2091,AE$1)</f>
        <v>0</v>
      </c>
      <c r="AF58" s="80">
        <f>SUMIFS('сентябрь 2024'!$G$4:$G$2091,'сентябрь 2024'!$D$4:$D$2091,$B58,'сентябрь 2024'!$J$4:$J$2091,AF$1)</f>
        <v>0</v>
      </c>
      <c r="AG58" s="80">
        <f>SUMIFS('сентябрь 2024'!$G$4:$G$2091,'сентябрь 2024'!$D$4:$D$2091,$B58,'сентябрь 2024'!$J$4:$J$2091,AG$1)</f>
        <v>0</v>
      </c>
      <c r="AH58" s="80">
        <f>SUMIFS('сентябрь 2024'!$G$4:$G$2091,'сентябрь 2024'!$D$4:$D$2091,$B58,'сентябрь 2024'!$J$4:$J$2091,AH$1)</f>
        <v>0</v>
      </c>
      <c r="AI58" s="21">
        <f t="shared" si="1"/>
        <v>0</v>
      </c>
    </row>
    <row r="59" spans="2:35" ht="15" customHeight="1" x14ac:dyDescent="0.25">
      <c r="B59" s="155"/>
      <c r="C59" s="151"/>
      <c r="D59" s="80">
        <f>SUMIFS('сентябрь 2024'!$G$4:$G$2091,'сентябрь 2024'!$D$4:$D$2091,$B59,'сентябрь 2024'!$J$4:$J$2091,D$1)</f>
        <v>0</v>
      </c>
      <c r="E59" s="80">
        <f>SUMIFS('сентябрь 2024'!$G$4:$G$2091,'сентябрь 2024'!$D$4:$D$2091,$B59,'сентябрь 2024'!$J$4:$J$2091,E$1)</f>
        <v>0</v>
      </c>
      <c r="F59" s="80">
        <f>SUMIFS('сентябрь 2024'!$G$4:$G$2091,'сентябрь 2024'!$D$4:$D$2091,$B59,'сентябрь 2024'!$J$4:$J$2091,F$1)</f>
        <v>0</v>
      </c>
      <c r="G59" s="80">
        <f>SUMIFS('сентябрь 2024'!$G$4:$G$2091,'сентябрь 2024'!$D$4:$D$2091,$B59,'сентябрь 2024'!$J$4:$J$2091,G$1)</f>
        <v>0</v>
      </c>
      <c r="H59" s="80">
        <f>SUMIFS('сентябрь 2024'!$G$4:$G$2091,'сентябрь 2024'!$D$4:$D$2091,$B59,'сентябрь 2024'!$J$4:$J$2091,H$1)</f>
        <v>0</v>
      </c>
      <c r="I59" s="80">
        <f>SUMIFS('сентябрь 2024'!$G$4:$G$2091,'сентябрь 2024'!$D$4:$D$2091,$B59,'сентябрь 2024'!$J$4:$J$2091,I$1)</f>
        <v>0</v>
      </c>
      <c r="J59" s="80">
        <f>SUMIFS('сентябрь 2024'!$G$4:$G$2091,'сентябрь 2024'!$D$4:$D$2091,$B59,'сентябрь 2024'!$J$4:$J$2091,J$1)</f>
        <v>0</v>
      </c>
      <c r="K59" s="80">
        <f>SUMIFS('сентябрь 2024'!$G$4:$G$2091,'сентябрь 2024'!$D$4:$D$2091,$B59,'сентябрь 2024'!$J$4:$J$2091,K$1)</f>
        <v>0</v>
      </c>
      <c r="L59" s="80">
        <f>SUMIFS('сентябрь 2024'!$G$4:$G$2091,'сентябрь 2024'!$D$4:$D$2091,$B59,'сентябрь 2024'!$J$4:$J$2091,L$1)</f>
        <v>0</v>
      </c>
      <c r="M59" s="80">
        <f>SUMIFS('сентябрь 2024'!$G$4:$G$2091,'сентябрь 2024'!$D$4:$D$2091,$B59,'сентябрь 2024'!$J$4:$J$2091,M$1)</f>
        <v>0</v>
      </c>
      <c r="N59" s="80">
        <f>SUMIFS('сентябрь 2024'!$G$4:$G$2091,'сентябрь 2024'!$D$4:$D$2091,$B59,'сентябрь 2024'!$J$4:$J$2091,N$1)</f>
        <v>0</v>
      </c>
      <c r="O59" s="80">
        <f>SUMIFS('сентябрь 2024'!$G$4:$G$2091,'сентябрь 2024'!$D$4:$D$2091,$B59,'сентябрь 2024'!$J$4:$J$2091,O$1)</f>
        <v>0</v>
      </c>
      <c r="P59" s="80">
        <f>SUMIFS('сентябрь 2024'!$G$4:$G$2091,'сентябрь 2024'!$D$4:$D$2091,$B59,'сентябрь 2024'!$J$4:$J$2091,P$1)</f>
        <v>0</v>
      </c>
      <c r="Q59" s="80">
        <f>SUMIFS('сентябрь 2024'!$G$4:$G$2091,'сентябрь 2024'!$D$4:$D$2091,$B59,'сентябрь 2024'!$J$4:$J$2091,Q$1)</f>
        <v>0</v>
      </c>
      <c r="R59" s="80">
        <f>SUMIFS('сентябрь 2024'!$G$4:$G$2091,'сентябрь 2024'!$D$4:$D$2091,$B59,'сентябрь 2024'!$J$4:$J$2091,R$1)</f>
        <v>0</v>
      </c>
      <c r="S59" s="80">
        <f>SUMIFS('сентябрь 2024'!$G$4:$G$2091,'сентябрь 2024'!$D$4:$D$2091,$B59,'сентябрь 2024'!$J$4:$J$2091,S$1)</f>
        <v>0</v>
      </c>
      <c r="T59" s="80">
        <f>SUMIFS('сентябрь 2024'!$G$4:$G$2091,'сентябрь 2024'!$D$4:$D$2091,$B59,'сентябрь 2024'!$J$4:$J$2091,T$1)</f>
        <v>0</v>
      </c>
      <c r="U59" s="80">
        <f>SUMIFS('сентябрь 2024'!$G$4:$G$2091,'сентябрь 2024'!$D$4:$D$2091,$B59,'сентябрь 2024'!$J$4:$J$2091,U$1)</f>
        <v>0</v>
      </c>
      <c r="V59" s="80">
        <f>SUMIFS('сентябрь 2024'!$G$4:$G$2091,'сентябрь 2024'!$D$4:$D$2091,$B59,'сентябрь 2024'!$J$4:$J$2091,V$1)</f>
        <v>0</v>
      </c>
      <c r="W59" s="80">
        <f>SUMIFS('сентябрь 2024'!$G$4:$G$2091,'сентябрь 2024'!$D$4:$D$2091,$B59,'сентябрь 2024'!$J$4:$J$2091,W$1)</f>
        <v>0</v>
      </c>
      <c r="X59" s="80">
        <f>SUMIFS('сентябрь 2024'!$G$4:$G$2091,'сентябрь 2024'!$D$4:$D$2091,$B59,'сентябрь 2024'!$J$4:$J$2091,X$1)</f>
        <v>0</v>
      </c>
      <c r="Y59" s="80">
        <f>SUMIFS('сентябрь 2024'!$G$4:$G$2091,'сентябрь 2024'!$D$4:$D$2091,$B59,'сентябрь 2024'!$J$4:$J$2091,Y$1)</f>
        <v>0</v>
      </c>
      <c r="Z59" s="80">
        <f>SUMIFS('сентябрь 2024'!$G$4:$G$2091,'сентябрь 2024'!$D$4:$D$2091,$B59,'сентябрь 2024'!$J$4:$J$2091,Z$1)</f>
        <v>0</v>
      </c>
      <c r="AA59" s="80">
        <f>SUMIFS('сентябрь 2024'!$G$4:$G$2091,'сентябрь 2024'!$D$4:$D$2091,$B59,'сентябрь 2024'!$J$4:$J$2091,AA$1)</f>
        <v>0</v>
      </c>
      <c r="AB59" s="80">
        <f>SUMIFS('сентябрь 2024'!$G$4:$G$2091,'сентябрь 2024'!$D$4:$D$2091,$B59,'сентябрь 2024'!$J$4:$J$2091,AB$1)</f>
        <v>0</v>
      </c>
      <c r="AC59" s="80">
        <f>SUMIFS('сентябрь 2024'!$G$4:$G$2091,'сентябрь 2024'!$D$4:$D$2091,$B59,'сентябрь 2024'!$J$4:$J$2091,AC$1)</f>
        <v>0</v>
      </c>
      <c r="AD59" s="80">
        <f>SUMIFS('сентябрь 2024'!$G$4:$G$2091,'сентябрь 2024'!$D$4:$D$2091,$B59,'сентябрь 2024'!$J$4:$J$2091,AD$1)</f>
        <v>0</v>
      </c>
      <c r="AE59" s="80">
        <f>SUMIFS('сентябрь 2024'!$G$4:$G$2091,'сентябрь 2024'!$D$4:$D$2091,$B59,'сентябрь 2024'!$J$4:$J$2091,AE$1)</f>
        <v>0</v>
      </c>
      <c r="AF59" s="80">
        <f>SUMIFS('сентябрь 2024'!$G$4:$G$2091,'сентябрь 2024'!$D$4:$D$2091,$B59,'сентябрь 2024'!$J$4:$J$2091,AF$1)</f>
        <v>0</v>
      </c>
      <c r="AG59" s="80">
        <f>SUMIFS('сентябрь 2024'!$G$4:$G$2091,'сентябрь 2024'!$D$4:$D$2091,$B59,'сентябрь 2024'!$J$4:$J$2091,AG$1)</f>
        <v>0</v>
      </c>
      <c r="AH59" s="80">
        <f>SUMIFS('сентябрь 2024'!$G$4:$G$2091,'сентябрь 2024'!$D$4:$D$2091,$B59,'сентябрь 2024'!$J$4:$J$2091,AH$1)</f>
        <v>0</v>
      </c>
      <c r="AI59" s="21">
        <f t="shared" si="1"/>
        <v>0</v>
      </c>
    </row>
    <row r="60" spans="2:35" ht="15" customHeight="1" x14ac:dyDescent="0.25">
      <c r="B60" s="155"/>
      <c r="C60" s="151"/>
      <c r="D60" s="80">
        <f>SUMIFS('сентябрь 2024'!$G$4:$G$2091,'сентябрь 2024'!$D$4:$D$2091,$B60,'сентябрь 2024'!$J$4:$J$2091,D$1)</f>
        <v>0</v>
      </c>
      <c r="E60" s="80">
        <f>SUMIFS('сентябрь 2024'!$G$4:$G$2091,'сентябрь 2024'!$D$4:$D$2091,$B60,'сентябрь 2024'!$J$4:$J$2091,E$1)</f>
        <v>0</v>
      </c>
      <c r="F60" s="80">
        <f>SUMIFS('сентябрь 2024'!$G$4:$G$2091,'сентябрь 2024'!$D$4:$D$2091,$B60,'сентябрь 2024'!$J$4:$J$2091,F$1)</f>
        <v>0</v>
      </c>
      <c r="G60" s="80">
        <f>SUMIFS('сентябрь 2024'!$G$4:$G$2091,'сентябрь 2024'!$D$4:$D$2091,$B60,'сентябрь 2024'!$J$4:$J$2091,G$1)</f>
        <v>0</v>
      </c>
      <c r="H60" s="80">
        <f>SUMIFS('сентябрь 2024'!$G$4:$G$2091,'сентябрь 2024'!$D$4:$D$2091,$B60,'сентябрь 2024'!$J$4:$J$2091,H$1)</f>
        <v>0</v>
      </c>
      <c r="I60" s="80">
        <f>SUMIFS('сентябрь 2024'!$G$4:$G$2091,'сентябрь 2024'!$D$4:$D$2091,$B60,'сентябрь 2024'!$J$4:$J$2091,I$1)</f>
        <v>0</v>
      </c>
      <c r="J60" s="80">
        <f>SUMIFS('сентябрь 2024'!$G$4:$G$2091,'сентябрь 2024'!$D$4:$D$2091,$B60,'сентябрь 2024'!$J$4:$J$2091,J$1)</f>
        <v>0</v>
      </c>
      <c r="K60" s="80">
        <f>SUMIFS('сентябрь 2024'!$G$4:$G$2091,'сентябрь 2024'!$D$4:$D$2091,$B60,'сентябрь 2024'!$J$4:$J$2091,K$1)</f>
        <v>0</v>
      </c>
      <c r="L60" s="80">
        <f>SUMIFS('сентябрь 2024'!$G$4:$G$2091,'сентябрь 2024'!$D$4:$D$2091,$B60,'сентябрь 2024'!$J$4:$J$2091,L$1)</f>
        <v>0</v>
      </c>
      <c r="M60" s="80">
        <f>SUMIFS('сентябрь 2024'!$G$4:$G$2091,'сентябрь 2024'!$D$4:$D$2091,$B60,'сентябрь 2024'!$J$4:$J$2091,M$1)</f>
        <v>0</v>
      </c>
      <c r="N60" s="80">
        <f>SUMIFS('сентябрь 2024'!$G$4:$G$2091,'сентябрь 2024'!$D$4:$D$2091,$B60,'сентябрь 2024'!$J$4:$J$2091,N$1)</f>
        <v>0</v>
      </c>
      <c r="O60" s="80">
        <f>SUMIFS('сентябрь 2024'!$G$4:$G$2091,'сентябрь 2024'!$D$4:$D$2091,$B60,'сентябрь 2024'!$J$4:$J$2091,O$1)</f>
        <v>0</v>
      </c>
      <c r="P60" s="80">
        <f>SUMIFS('сентябрь 2024'!$G$4:$G$2091,'сентябрь 2024'!$D$4:$D$2091,$B60,'сентябрь 2024'!$J$4:$J$2091,P$1)</f>
        <v>0</v>
      </c>
      <c r="Q60" s="80">
        <f>SUMIFS('сентябрь 2024'!$G$4:$G$2091,'сентябрь 2024'!$D$4:$D$2091,$B60,'сентябрь 2024'!$J$4:$J$2091,Q$1)</f>
        <v>0</v>
      </c>
      <c r="R60" s="80">
        <f>SUMIFS('сентябрь 2024'!$G$4:$G$2091,'сентябрь 2024'!$D$4:$D$2091,$B60,'сентябрь 2024'!$J$4:$J$2091,R$1)</f>
        <v>0</v>
      </c>
      <c r="S60" s="80">
        <f>SUMIFS('сентябрь 2024'!$G$4:$G$2091,'сентябрь 2024'!$D$4:$D$2091,$B60,'сентябрь 2024'!$J$4:$J$2091,S$1)</f>
        <v>0</v>
      </c>
      <c r="T60" s="80">
        <f>SUMIFS('сентябрь 2024'!$G$4:$G$2091,'сентябрь 2024'!$D$4:$D$2091,$B60,'сентябрь 2024'!$J$4:$J$2091,T$1)</f>
        <v>0</v>
      </c>
      <c r="U60" s="80">
        <f>SUMIFS('сентябрь 2024'!$G$4:$G$2091,'сентябрь 2024'!$D$4:$D$2091,$B60,'сентябрь 2024'!$J$4:$J$2091,U$1)</f>
        <v>0</v>
      </c>
      <c r="V60" s="80">
        <f>SUMIFS('сентябрь 2024'!$G$4:$G$2091,'сентябрь 2024'!$D$4:$D$2091,$B60,'сентябрь 2024'!$J$4:$J$2091,V$1)</f>
        <v>0</v>
      </c>
      <c r="W60" s="80">
        <f>SUMIFS('сентябрь 2024'!$G$4:$G$2091,'сентябрь 2024'!$D$4:$D$2091,$B60,'сентябрь 2024'!$J$4:$J$2091,W$1)</f>
        <v>0</v>
      </c>
      <c r="X60" s="80">
        <f>SUMIFS('сентябрь 2024'!$G$4:$G$2091,'сентябрь 2024'!$D$4:$D$2091,$B60,'сентябрь 2024'!$J$4:$J$2091,X$1)</f>
        <v>0</v>
      </c>
      <c r="Y60" s="80">
        <f>SUMIFS('сентябрь 2024'!$G$4:$G$2091,'сентябрь 2024'!$D$4:$D$2091,$B60,'сентябрь 2024'!$J$4:$J$2091,Y$1)</f>
        <v>0</v>
      </c>
      <c r="Z60" s="80">
        <f>SUMIFS('сентябрь 2024'!$G$4:$G$2091,'сентябрь 2024'!$D$4:$D$2091,$B60,'сентябрь 2024'!$J$4:$J$2091,Z$1)</f>
        <v>0</v>
      </c>
      <c r="AA60" s="80">
        <f>SUMIFS('сентябрь 2024'!$G$4:$G$2091,'сентябрь 2024'!$D$4:$D$2091,$B60,'сентябрь 2024'!$J$4:$J$2091,AA$1)</f>
        <v>0</v>
      </c>
      <c r="AB60" s="80">
        <f>SUMIFS('сентябрь 2024'!$G$4:$G$2091,'сентябрь 2024'!$D$4:$D$2091,$B60,'сентябрь 2024'!$J$4:$J$2091,AB$1)</f>
        <v>0</v>
      </c>
      <c r="AC60" s="80">
        <f>SUMIFS('сентябрь 2024'!$G$4:$G$2091,'сентябрь 2024'!$D$4:$D$2091,$B60,'сентябрь 2024'!$J$4:$J$2091,AC$1)</f>
        <v>0</v>
      </c>
      <c r="AD60" s="80">
        <f>SUMIFS('сентябрь 2024'!$G$4:$G$2091,'сентябрь 2024'!$D$4:$D$2091,$B60,'сентябрь 2024'!$J$4:$J$2091,AD$1)</f>
        <v>0</v>
      </c>
      <c r="AE60" s="80">
        <f>SUMIFS('сентябрь 2024'!$G$4:$G$2091,'сентябрь 2024'!$D$4:$D$2091,$B60,'сентябрь 2024'!$J$4:$J$2091,AE$1)</f>
        <v>0</v>
      </c>
      <c r="AF60" s="80">
        <f>SUMIFS('сентябрь 2024'!$G$4:$G$2091,'сентябрь 2024'!$D$4:$D$2091,$B60,'сентябрь 2024'!$J$4:$J$2091,AF$1)</f>
        <v>0</v>
      </c>
      <c r="AG60" s="80">
        <f>SUMIFS('сентябрь 2024'!$G$4:$G$2091,'сентябрь 2024'!$D$4:$D$2091,$B60,'сентябрь 2024'!$J$4:$J$2091,AG$1)</f>
        <v>0</v>
      </c>
      <c r="AH60" s="80">
        <f>SUMIFS('сентябрь 2024'!$G$4:$G$2091,'сентябрь 2024'!$D$4:$D$2091,$B60,'сентябрь 2024'!$J$4:$J$2091,AH$1)</f>
        <v>0</v>
      </c>
      <c r="AI60" s="21">
        <f t="shared" si="1"/>
        <v>0</v>
      </c>
    </row>
    <row r="61" spans="2:35" ht="15" customHeight="1" x14ac:dyDescent="0.25">
      <c r="B61" s="92" t="s">
        <v>161</v>
      </c>
      <c r="C61" s="91">
        <v>200</v>
      </c>
      <c r="D61" s="80">
        <f>SUMIFS('сентябрь 2024'!$G$4:$G$2091,'сентябрь 2024'!$D$4:$D$2091,$B61,'сентябрь 2024'!$J$4:$J$2091,D$1)</f>
        <v>0</v>
      </c>
      <c r="E61" s="80">
        <f>SUMIFS('сентябрь 2024'!$G$4:$G$2091,'сентябрь 2024'!$D$4:$D$2091,$B61,'сентябрь 2024'!$J$4:$J$2091,E$1)</f>
        <v>0</v>
      </c>
      <c r="F61" s="80">
        <f>SUMIFS('сентябрь 2024'!$G$4:$G$2091,'сентябрь 2024'!$D$4:$D$2091,$B61,'сентябрь 2024'!$J$4:$J$2091,F$1)</f>
        <v>0</v>
      </c>
      <c r="G61" s="80">
        <f>SUMIFS('сентябрь 2024'!$G$4:$G$2091,'сентябрь 2024'!$D$4:$D$2091,$B61,'сентябрь 2024'!$J$4:$J$2091,G$1)</f>
        <v>0</v>
      </c>
      <c r="H61" s="80">
        <f>SUMIFS('сентябрь 2024'!$G$4:$G$2091,'сентябрь 2024'!$D$4:$D$2091,$B61,'сентябрь 2024'!$J$4:$J$2091,H$1)</f>
        <v>0</v>
      </c>
      <c r="I61" s="80">
        <f>SUMIFS('сентябрь 2024'!$G$4:$G$2091,'сентябрь 2024'!$D$4:$D$2091,$B61,'сентябрь 2024'!$J$4:$J$2091,I$1)</f>
        <v>0</v>
      </c>
      <c r="J61" s="80">
        <f>SUMIFS('сентябрь 2024'!$G$4:$G$2091,'сентябрь 2024'!$D$4:$D$2091,$B61,'сентябрь 2024'!$J$4:$J$2091,J$1)</f>
        <v>0</v>
      </c>
      <c r="K61" s="80">
        <f>SUMIFS('сентябрь 2024'!$G$4:$G$2091,'сентябрь 2024'!$D$4:$D$2091,$B61,'сентябрь 2024'!$J$4:$J$2091,K$1)</f>
        <v>0</v>
      </c>
      <c r="L61" s="80">
        <f>SUMIFS('сентябрь 2024'!$G$4:$G$2091,'сентябрь 2024'!$D$4:$D$2091,$B61,'сентябрь 2024'!$J$4:$J$2091,L$1)</f>
        <v>0</v>
      </c>
      <c r="M61" s="80">
        <f>SUMIFS('сентябрь 2024'!$G$4:$G$2091,'сентябрь 2024'!$D$4:$D$2091,$B61,'сентябрь 2024'!$J$4:$J$2091,M$1)</f>
        <v>0</v>
      </c>
      <c r="N61" s="80">
        <f>SUMIFS('сентябрь 2024'!$G$4:$G$2091,'сентябрь 2024'!$D$4:$D$2091,$B61,'сентябрь 2024'!$J$4:$J$2091,N$1)</f>
        <v>0</v>
      </c>
      <c r="O61" s="80">
        <f>SUMIFS('сентябрь 2024'!$G$4:$G$2091,'сентябрь 2024'!$D$4:$D$2091,$B61,'сентябрь 2024'!$J$4:$J$2091,O$1)</f>
        <v>0</v>
      </c>
      <c r="P61" s="80">
        <f>SUMIFS('сентябрь 2024'!$G$4:$G$2091,'сентябрь 2024'!$D$4:$D$2091,$B61,'сентябрь 2024'!$J$4:$J$2091,P$1)</f>
        <v>0</v>
      </c>
      <c r="Q61" s="80">
        <f>SUMIFS('сентябрь 2024'!$G$4:$G$2091,'сентябрь 2024'!$D$4:$D$2091,$B61,'сентябрь 2024'!$J$4:$J$2091,Q$1)</f>
        <v>0</v>
      </c>
      <c r="R61" s="80">
        <f>SUMIFS('сентябрь 2024'!$G$4:$G$2091,'сентябрь 2024'!$D$4:$D$2091,$B61,'сентябрь 2024'!$J$4:$J$2091,R$1)</f>
        <v>0</v>
      </c>
      <c r="S61" s="80">
        <f>SUMIFS('сентябрь 2024'!$G$4:$G$2091,'сентябрь 2024'!$D$4:$D$2091,$B61,'сентябрь 2024'!$J$4:$J$2091,S$1)</f>
        <v>0</v>
      </c>
      <c r="T61" s="80">
        <f>SUMIFS('сентябрь 2024'!$G$4:$G$2091,'сентябрь 2024'!$D$4:$D$2091,$B61,'сентябрь 2024'!$J$4:$J$2091,T$1)</f>
        <v>0</v>
      </c>
      <c r="U61" s="80">
        <f>SUMIFS('сентябрь 2024'!$G$4:$G$2091,'сентябрь 2024'!$D$4:$D$2091,$B61,'сентябрь 2024'!$J$4:$J$2091,U$1)</f>
        <v>0</v>
      </c>
      <c r="V61" s="80">
        <f>SUMIFS('сентябрь 2024'!$G$4:$G$2091,'сентябрь 2024'!$D$4:$D$2091,$B61,'сентябрь 2024'!$J$4:$J$2091,V$1)</f>
        <v>0</v>
      </c>
      <c r="W61" s="80">
        <f>SUMIFS('сентябрь 2024'!$G$4:$G$2091,'сентябрь 2024'!$D$4:$D$2091,$B61,'сентябрь 2024'!$J$4:$J$2091,W$1)</f>
        <v>0</v>
      </c>
      <c r="X61" s="80">
        <f>SUMIFS('сентябрь 2024'!$G$4:$G$2091,'сентябрь 2024'!$D$4:$D$2091,$B61,'сентябрь 2024'!$J$4:$J$2091,X$1)</f>
        <v>0</v>
      </c>
      <c r="Y61" s="80">
        <f>SUMIFS('сентябрь 2024'!$G$4:$G$2091,'сентябрь 2024'!$D$4:$D$2091,$B61,'сентябрь 2024'!$J$4:$J$2091,Y$1)</f>
        <v>0</v>
      </c>
      <c r="Z61" s="80">
        <f>SUMIFS('сентябрь 2024'!$G$4:$G$2091,'сентябрь 2024'!$D$4:$D$2091,$B61,'сентябрь 2024'!$J$4:$J$2091,Z$1)</f>
        <v>0</v>
      </c>
      <c r="AA61" s="80">
        <f>SUMIFS('сентябрь 2024'!$G$4:$G$2091,'сентябрь 2024'!$D$4:$D$2091,$B61,'сентябрь 2024'!$J$4:$J$2091,AA$1)</f>
        <v>0</v>
      </c>
      <c r="AB61" s="80">
        <f>SUMIFS('сентябрь 2024'!$G$4:$G$2091,'сентябрь 2024'!$D$4:$D$2091,$B61,'сентябрь 2024'!$J$4:$J$2091,AB$1)</f>
        <v>0</v>
      </c>
      <c r="AC61" s="80">
        <f>SUMIFS('сентябрь 2024'!$G$4:$G$2091,'сентябрь 2024'!$D$4:$D$2091,$B61,'сентябрь 2024'!$J$4:$J$2091,AC$1)</f>
        <v>0</v>
      </c>
      <c r="AD61" s="80">
        <f>SUMIFS('сентябрь 2024'!$G$4:$G$2091,'сентябрь 2024'!$D$4:$D$2091,$B61,'сентябрь 2024'!$J$4:$J$2091,AD$1)</f>
        <v>0</v>
      </c>
      <c r="AE61" s="80">
        <f>SUMIFS('сентябрь 2024'!$G$4:$G$2091,'сентябрь 2024'!$D$4:$D$2091,$B61,'сентябрь 2024'!$J$4:$J$2091,AE$1)</f>
        <v>0</v>
      </c>
      <c r="AF61" s="80">
        <f>SUMIFS('сентябрь 2024'!$G$4:$G$2091,'сентябрь 2024'!$D$4:$D$2091,$B61,'сентябрь 2024'!$J$4:$J$2091,AF$1)</f>
        <v>0</v>
      </c>
      <c r="AG61" s="80">
        <f>SUMIFS('сентябрь 2024'!$G$4:$G$2091,'сентябрь 2024'!$D$4:$D$2091,$B61,'сентябрь 2024'!$J$4:$J$2091,AG$1)</f>
        <v>0</v>
      </c>
      <c r="AH61" s="80">
        <f>SUMIFS('сентябрь 2024'!$G$4:$G$2091,'сентябрь 2024'!$D$4:$D$2091,$B61,'сентябрь 2024'!$J$4:$J$2091,AH$1)</f>
        <v>0</v>
      </c>
      <c r="AI61" s="21">
        <f t="shared" si="1"/>
        <v>0</v>
      </c>
    </row>
    <row r="62" spans="2:35" ht="15" customHeight="1" x14ac:dyDescent="0.25">
      <c r="B62" s="92" t="s">
        <v>1153</v>
      </c>
      <c r="C62" s="91">
        <v>50</v>
      </c>
      <c r="D62" s="80">
        <f>SUMIFS('сентябрь 2024'!$G$4:$G$2091,'сентябрь 2024'!$D$4:$D$2091,$B62,'сентябрь 2024'!$J$4:$J$2091,D$1)</f>
        <v>0</v>
      </c>
      <c r="E62" s="80">
        <f>SUMIFS('сентябрь 2024'!$G$4:$G$2091,'сентябрь 2024'!$D$4:$D$2091,$B62,'сентябрь 2024'!$J$4:$J$2091,E$1)</f>
        <v>0</v>
      </c>
      <c r="F62" s="80">
        <f>SUMIFS('сентябрь 2024'!$G$4:$G$2091,'сентябрь 2024'!$D$4:$D$2091,$B62,'сентябрь 2024'!$J$4:$J$2091,F$1)</f>
        <v>0</v>
      </c>
      <c r="G62" s="80">
        <f>SUMIFS('сентябрь 2024'!$G$4:$G$2091,'сентябрь 2024'!$D$4:$D$2091,$B62,'сентябрь 2024'!$J$4:$J$2091,G$1)</f>
        <v>0</v>
      </c>
      <c r="H62" s="80">
        <f>SUMIFS('сентябрь 2024'!$G$4:$G$2091,'сентябрь 2024'!$D$4:$D$2091,$B62,'сентябрь 2024'!$J$4:$J$2091,H$1)</f>
        <v>0</v>
      </c>
      <c r="I62" s="80">
        <f>SUMIFS('сентябрь 2024'!$G$4:$G$2091,'сентябрь 2024'!$D$4:$D$2091,$B62,'сентябрь 2024'!$J$4:$J$2091,I$1)</f>
        <v>0</v>
      </c>
      <c r="J62" s="80">
        <f>SUMIFS('сентябрь 2024'!$G$4:$G$2091,'сентябрь 2024'!$D$4:$D$2091,$B62,'сентябрь 2024'!$J$4:$J$2091,J$1)</f>
        <v>0</v>
      </c>
      <c r="K62" s="80">
        <f>SUMIFS('сентябрь 2024'!$G$4:$G$2091,'сентябрь 2024'!$D$4:$D$2091,$B62,'сентябрь 2024'!$J$4:$J$2091,K$1)</f>
        <v>0</v>
      </c>
      <c r="L62" s="80">
        <f>SUMIFS('сентябрь 2024'!$G$4:$G$2091,'сентябрь 2024'!$D$4:$D$2091,$B62,'сентябрь 2024'!$J$4:$J$2091,L$1)</f>
        <v>0</v>
      </c>
      <c r="M62" s="80">
        <f>SUMIFS('сентябрь 2024'!$G$4:$G$2091,'сентябрь 2024'!$D$4:$D$2091,$B62,'сентябрь 2024'!$J$4:$J$2091,M$1)</f>
        <v>0</v>
      </c>
      <c r="N62" s="80">
        <f>SUMIFS('сентябрь 2024'!$G$4:$G$2091,'сентябрь 2024'!$D$4:$D$2091,$B62,'сентябрь 2024'!$J$4:$J$2091,N$1)</f>
        <v>0</v>
      </c>
      <c r="O62" s="80">
        <f>SUMIFS('сентябрь 2024'!$G$4:$G$2091,'сентябрь 2024'!$D$4:$D$2091,$B62,'сентябрь 2024'!$J$4:$J$2091,O$1)</f>
        <v>0</v>
      </c>
      <c r="P62" s="80">
        <f>SUMIFS('сентябрь 2024'!$G$4:$G$2091,'сентябрь 2024'!$D$4:$D$2091,$B62,'сентябрь 2024'!$J$4:$J$2091,P$1)</f>
        <v>0</v>
      </c>
      <c r="Q62" s="80">
        <f>SUMIFS('сентябрь 2024'!$G$4:$G$2091,'сентябрь 2024'!$D$4:$D$2091,$B62,'сентябрь 2024'!$J$4:$J$2091,Q$1)</f>
        <v>0</v>
      </c>
      <c r="R62" s="80">
        <f>SUMIFS('сентябрь 2024'!$G$4:$G$2091,'сентябрь 2024'!$D$4:$D$2091,$B62,'сентябрь 2024'!$J$4:$J$2091,R$1)</f>
        <v>0</v>
      </c>
      <c r="S62" s="80">
        <f>SUMIFS('сентябрь 2024'!$G$4:$G$2091,'сентябрь 2024'!$D$4:$D$2091,$B62,'сентябрь 2024'!$J$4:$J$2091,S$1)</f>
        <v>0</v>
      </c>
      <c r="T62" s="80">
        <f>SUMIFS('сентябрь 2024'!$G$4:$G$2091,'сентябрь 2024'!$D$4:$D$2091,$B62,'сентябрь 2024'!$J$4:$J$2091,T$1)</f>
        <v>0</v>
      </c>
      <c r="U62" s="80">
        <f>SUMIFS('сентябрь 2024'!$G$4:$G$2091,'сентябрь 2024'!$D$4:$D$2091,$B62,'сентябрь 2024'!$J$4:$J$2091,U$1)</f>
        <v>0</v>
      </c>
      <c r="V62" s="80">
        <f>SUMIFS('сентябрь 2024'!$G$4:$G$2091,'сентябрь 2024'!$D$4:$D$2091,$B62,'сентябрь 2024'!$J$4:$J$2091,V$1)</f>
        <v>0</v>
      </c>
      <c r="W62" s="80">
        <f>SUMIFS('сентябрь 2024'!$G$4:$G$2091,'сентябрь 2024'!$D$4:$D$2091,$B62,'сентябрь 2024'!$J$4:$J$2091,W$1)</f>
        <v>0</v>
      </c>
      <c r="X62" s="80">
        <f>SUMIFS('сентябрь 2024'!$G$4:$G$2091,'сентябрь 2024'!$D$4:$D$2091,$B62,'сентябрь 2024'!$J$4:$J$2091,X$1)</f>
        <v>0</v>
      </c>
      <c r="Y62" s="80">
        <f>SUMIFS('сентябрь 2024'!$G$4:$G$2091,'сентябрь 2024'!$D$4:$D$2091,$B62,'сентябрь 2024'!$J$4:$J$2091,Y$1)</f>
        <v>0</v>
      </c>
      <c r="Z62" s="80">
        <f>SUMIFS('сентябрь 2024'!$G$4:$G$2091,'сентябрь 2024'!$D$4:$D$2091,$B62,'сентябрь 2024'!$J$4:$J$2091,Z$1)</f>
        <v>0</v>
      </c>
      <c r="AA62" s="80">
        <f>SUMIFS('сентябрь 2024'!$G$4:$G$2091,'сентябрь 2024'!$D$4:$D$2091,$B62,'сентябрь 2024'!$J$4:$J$2091,AA$1)</f>
        <v>0</v>
      </c>
      <c r="AB62" s="80">
        <f>SUMIFS('сентябрь 2024'!$G$4:$G$2091,'сентябрь 2024'!$D$4:$D$2091,$B62,'сентябрь 2024'!$J$4:$J$2091,AB$1)</f>
        <v>0</v>
      </c>
      <c r="AC62" s="80">
        <f>SUMIFS('сентябрь 2024'!$G$4:$G$2091,'сентябрь 2024'!$D$4:$D$2091,$B62,'сентябрь 2024'!$J$4:$J$2091,AC$1)</f>
        <v>0</v>
      </c>
      <c r="AD62" s="80">
        <f>SUMIFS('сентябрь 2024'!$G$4:$G$2091,'сентябрь 2024'!$D$4:$D$2091,$B62,'сентябрь 2024'!$J$4:$J$2091,AD$1)</f>
        <v>0</v>
      </c>
      <c r="AE62" s="80">
        <f>SUMIFS('сентябрь 2024'!$G$4:$G$2091,'сентябрь 2024'!$D$4:$D$2091,$B62,'сентябрь 2024'!$J$4:$J$2091,AE$1)</f>
        <v>0</v>
      </c>
      <c r="AF62" s="80">
        <f>SUMIFS('сентябрь 2024'!$G$4:$G$2091,'сентябрь 2024'!$D$4:$D$2091,$B62,'сентябрь 2024'!$J$4:$J$2091,AF$1)</f>
        <v>0</v>
      </c>
      <c r="AG62" s="80">
        <f>SUMIFS('сентябрь 2024'!$G$4:$G$2091,'сентябрь 2024'!$D$4:$D$2091,$B62,'сентябрь 2024'!$J$4:$J$2091,AG$1)</f>
        <v>0</v>
      </c>
      <c r="AH62" s="80">
        <f>SUMIFS('сентябрь 2024'!$G$4:$G$2091,'сентябрь 2024'!$D$4:$D$2091,$B62,'сентябрь 2024'!$J$4:$J$2091,AH$1)</f>
        <v>0</v>
      </c>
      <c r="AI62" s="21">
        <f t="shared" si="1"/>
        <v>0</v>
      </c>
    </row>
    <row r="63" spans="2:35" ht="15" customHeight="1" x14ac:dyDescent="0.25">
      <c r="B63" s="93" t="s">
        <v>209</v>
      </c>
      <c r="C63" s="91">
        <v>200</v>
      </c>
      <c r="D63" s="80">
        <f>SUMIFS('сентябрь 2024'!$G$4:$G$2091,'сентябрь 2024'!$D$4:$D$2091,$B63,'сентябрь 2024'!$J$4:$J$2091,D$1)</f>
        <v>0</v>
      </c>
      <c r="E63" s="80">
        <f>SUMIFS('сентябрь 2024'!$G$4:$G$2091,'сентябрь 2024'!$D$4:$D$2091,$B63,'сентябрь 2024'!$J$4:$J$2091,E$1)</f>
        <v>0</v>
      </c>
      <c r="F63" s="80">
        <f>SUMIFS('сентябрь 2024'!$G$4:$G$2091,'сентябрь 2024'!$D$4:$D$2091,$B63,'сентябрь 2024'!$J$4:$J$2091,F$1)</f>
        <v>0</v>
      </c>
      <c r="G63" s="80">
        <f>SUMIFS('сентябрь 2024'!$G$4:$G$2091,'сентябрь 2024'!$D$4:$D$2091,$B63,'сентябрь 2024'!$J$4:$J$2091,G$1)</f>
        <v>0</v>
      </c>
      <c r="H63" s="80">
        <f>SUMIFS('сентябрь 2024'!$G$4:$G$2091,'сентябрь 2024'!$D$4:$D$2091,$B63,'сентябрь 2024'!$J$4:$J$2091,H$1)</f>
        <v>0</v>
      </c>
      <c r="I63" s="80">
        <f>SUMIFS('сентябрь 2024'!$G$4:$G$2091,'сентябрь 2024'!$D$4:$D$2091,$B63,'сентябрь 2024'!$J$4:$J$2091,I$1)</f>
        <v>0</v>
      </c>
      <c r="J63" s="80">
        <f>SUMIFS('сентябрь 2024'!$G$4:$G$2091,'сентябрь 2024'!$D$4:$D$2091,$B63,'сентябрь 2024'!$J$4:$J$2091,J$1)</f>
        <v>0</v>
      </c>
      <c r="K63" s="80">
        <f>SUMIFS('сентябрь 2024'!$G$4:$G$2091,'сентябрь 2024'!$D$4:$D$2091,$B63,'сентябрь 2024'!$J$4:$J$2091,K$1)</f>
        <v>0</v>
      </c>
      <c r="L63" s="80">
        <f>SUMIFS('сентябрь 2024'!$G$4:$G$2091,'сентябрь 2024'!$D$4:$D$2091,$B63,'сентябрь 2024'!$J$4:$J$2091,L$1)</f>
        <v>0</v>
      </c>
      <c r="M63" s="80">
        <f>SUMIFS('сентябрь 2024'!$G$4:$G$2091,'сентябрь 2024'!$D$4:$D$2091,$B63,'сентябрь 2024'!$J$4:$J$2091,M$1)</f>
        <v>0</v>
      </c>
      <c r="N63" s="80">
        <f>SUMIFS('сентябрь 2024'!$G$4:$G$2091,'сентябрь 2024'!$D$4:$D$2091,$B63,'сентябрь 2024'!$J$4:$J$2091,N$1)</f>
        <v>0</v>
      </c>
      <c r="O63" s="80">
        <f>SUMIFS('сентябрь 2024'!$G$4:$G$2091,'сентябрь 2024'!$D$4:$D$2091,$B63,'сентябрь 2024'!$J$4:$J$2091,O$1)</f>
        <v>0</v>
      </c>
      <c r="P63" s="80">
        <f>SUMIFS('сентябрь 2024'!$G$4:$G$2091,'сентябрь 2024'!$D$4:$D$2091,$B63,'сентябрь 2024'!$J$4:$J$2091,P$1)</f>
        <v>0</v>
      </c>
      <c r="Q63" s="80">
        <f>SUMIFS('сентябрь 2024'!$G$4:$G$2091,'сентябрь 2024'!$D$4:$D$2091,$B63,'сентябрь 2024'!$J$4:$J$2091,Q$1)</f>
        <v>0</v>
      </c>
      <c r="R63" s="80">
        <f>SUMIFS('сентябрь 2024'!$G$4:$G$2091,'сентябрь 2024'!$D$4:$D$2091,$B63,'сентябрь 2024'!$J$4:$J$2091,R$1)</f>
        <v>0</v>
      </c>
      <c r="S63" s="80">
        <f>SUMIFS('сентябрь 2024'!$G$4:$G$2091,'сентябрь 2024'!$D$4:$D$2091,$B63,'сентябрь 2024'!$J$4:$J$2091,S$1)</f>
        <v>0</v>
      </c>
      <c r="T63" s="80">
        <f>SUMIFS('сентябрь 2024'!$G$4:$G$2091,'сентябрь 2024'!$D$4:$D$2091,$B63,'сентябрь 2024'!$J$4:$J$2091,T$1)</f>
        <v>0</v>
      </c>
      <c r="U63" s="80">
        <f>SUMIFS('сентябрь 2024'!$G$4:$G$2091,'сентябрь 2024'!$D$4:$D$2091,$B63,'сентябрь 2024'!$J$4:$J$2091,U$1)</f>
        <v>0</v>
      </c>
      <c r="V63" s="80">
        <f>SUMIFS('сентябрь 2024'!$G$4:$G$2091,'сентябрь 2024'!$D$4:$D$2091,$B63,'сентябрь 2024'!$J$4:$J$2091,V$1)</f>
        <v>0</v>
      </c>
      <c r="W63" s="80">
        <f>SUMIFS('сентябрь 2024'!$G$4:$G$2091,'сентябрь 2024'!$D$4:$D$2091,$B63,'сентябрь 2024'!$J$4:$J$2091,W$1)</f>
        <v>0</v>
      </c>
      <c r="X63" s="80">
        <f>SUMIFS('сентябрь 2024'!$G$4:$G$2091,'сентябрь 2024'!$D$4:$D$2091,$B63,'сентябрь 2024'!$J$4:$J$2091,X$1)</f>
        <v>0</v>
      </c>
      <c r="Y63" s="80">
        <f>SUMIFS('сентябрь 2024'!$G$4:$G$2091,'сентябрь 2024'!$D$4:$D$2091,$B63,'сентябрь 2024'!$J$4:$J$2091,Y$1)</f>
        <v>0</v>
      </c>
      <c r="Z63" s="80">
        <f>SUMIFS('сентябрь 2024'!$G$4:$G$2091,'сентябрь 2024'!$D$4:$D$2091,$B63,'сентябрь 2024'!$J$4:$J$2091,Z$1)</f>
        <v>0</v>
      </c>
      <c r="AA63" s="80">
        <f>SUMIFS('сентябрь 2024'!$G$4:$G$2091,'сентябрь 2024'!$D$4:$D$2091,$B63,'сентябрь 2024'!$J$4:$J$2091,AA$1)</f>
        <v>0</v>
      </c>
      <c r="AB63" s="80">
        <f>SUMIFS('сентябрь 2024'!$G$4:$G$2091,'сентябрь 2024'!$D$4:$D$2091,$B63,'сентябрь 2024'!$J$4:$J$2091,AB$1)</f>
        <v>0</v>
      </c>
      <c r="AC63" s="80">
        <f>SUMIFS('сентябрь 2024'!$G$4:$G$2091,'сентябрь 2024'!$D$4:$D$2091,$B63,'сентябрь 2024'!$J$4:$J$2091,AC$1)</f>
        <v>0</v>
      </c>
      <c r="AD63" s="80">
        <f>SUMIFS('сентябрь 2024'!$G$4:$G$2091,'сентябрь 2024'!$D$4:$D$2091,$B63,'сентябрь 2024'!$J$4:$J$2091,AD$1)</f>
        <v>0</v>
      </c>
      <c r="AE63" s="80">
        <f>SUMIFS('сентябрь 2024'!$G$4:$G$2091,'сентябрь 2024'!$D$4:$D$2091,$B63,'сентябрь 2024'!$J$4:$J$2091,AE$1)</f>
        <v>0</v>
      </c>
      <c r="AF63" s="80">
        <f>SUMIFS('сентябрь 2024'!$G$4:$G$2091,'сентябрь 2024'!$D$4:$D$2091,$B63,'сентябрь 2024'!$J$4:$J$2091,AF$1)</f>
        <v>0</v>
      </c>
      <c r="AG63" s="80">
        <f>SUMIFS('сентябрь 2024'!$G$4:$G$2091,'сентябрь 2024'!$D$4:$D$2091,$B63,'сентябрь 2024'!$J$4:$J$2091,AG$1)</f>
        <v>0</v>
      </c>
      <c r="AH63" s="80">
        <f>SUMIFS('сентябрь 2024'!$G$4:$G$2091,'сентябрь 2024'!$D$4:$D$2091,$B63,'сентябрь 2024'!$J$4:$J$2091,AH$1)</f>
        <v>0</v>
      </c>
      <c r="AI63" s="21">
        <f t="shared" si="1"/>
        <v>0</v>
      </c>
    </row>
    <row r="64" spans="2:35" ht="15" customHeight="1" x14ac:dyDescent="0.25">
      <c r="B64" s="93" t="s">
        <v>222</v>
      </c>
      <c r="C64" s="91">
        <v>25</v>
      </c>
      <c r="D64" s="80">
        <f>SUMIFS('сентябрь 2024'!$G$4:$G$2091,'сентябрь 2024'!$D$4:$D$2091,$B64,'сентябрь 2024'!$J$4:$J$2091,D$1)</f>
        <v>0</v>
      </c>
      <c r="E64" s="80">
        <f>SUMIFS('сентябрь 2024'!$G$4:$G$2091,'сентябрь 2024'!$D$4:$D$2091,$B64,'сентябрь 2024'!$J$4:$J$2091,E$1)</f>
        <v>0</v>
      </c>
      <c r="F64" s="80">
        <f>SUMIFS('сентябрь 2024'!$G$4:$G$2091,'сентябрь 2024'!$D$4:$D$2091,$B64,'сентябрь 2024'!$J$4:$J$2091,F$1)</f>
        <v>0</v>
      </c>
      <c r="G64" s="80">
        <f>SUMIFS('сентябрь 2024'!$G$4:$G$2091,'сентябрь 2024'!$D$4:$D$2091,$B64,'сентябрь 2024'!$J$4:$J$2091,G$1)</f>
        <v>0</v>
      </c>
      <c r="H64" s="80">
        <f>SUMIFS('сентябрь 2024'!$G$4:$G$2091,'сентябрь 2024'!$D$4:$D$2091,$B64,'сентябрь 2024'!$J$4:$J$2091,H$1)</f>
        <v>0</v>
      </c>
      <c r="I64" s="80">
        <f>SUMIFS('сентябрь 2024'!$G$4:$G$2091,'сентябрь 2024'!$D$4:$D$2091,$B64,'сентябрь 2024'!$J$4:$J$2091,I$1)</f>
        <v>0</v>
      </c>
      <c r="J64" s="80">
        <f>SUMIFS('сентябрь 2024'!$G$4:$G$2091,'сентябрь 2024'!$D$4:$D$2091,$B64,'сентябрь 2024'!$J$4:$J$2091,J$1)</f>
        <v>0</v>
      </c>
      <c r="K64" s="80">
        <f>SUMIFS('сентябрь 2024'!$G$4:$G$2091,'сентябрь 2024'!$D$4:$D$2091,$B64,'сентябрь 2024'!$J$4:$J$2091,K$1)</f>
        <v>0</v>
      </c>
      <c r="L64" s="80">
        <f>SUMIFS('сентябрь 2024'!$G$4:$G$2091,'сентябрь 2024'!$D$4:$D$2091,$B64,'сентябрь 2024'!$J$4:$J$2091,L$1)</f>
        <v>0</v>
      </c>
      <c r="M64" s="80">
        <f>SUMIFS('сентябрь 2024'!$G$4:$G$2091,'сентябрь 2024'!$D$4:$D$2091,$B64,'сентябрь 2024'!$J$4:$J$2091,M$1)</f>
        <v>0</v>
      </c>
      <c r="N64" s="80">
        <f>SUMIFS('сентябрь 2024'!$G$4:$G$2091,'сентябрь 2024'!$D$4:$D$2091,$B64,'сентябрь 2024'!$J$4:$J$2091,N$1)</f>
        <v>0</v>
      </c>
      <c r="O64" s="80">
        <f>SUMIFS('сентябрь 2024'!$G$4:$G$2091,'сентябрь 2024'!$D$4:$D$2091,$B64,'сентябрь 2024'!$J$4:$J$2091,O$1)</f>
        <v>0</v>
      </c>
      <c r="P64" s="80">
        <f>SUMIFS('сентябрь 2024'!$G$4:$G$2091,'сентябрь 2024'!$D$4:$D$2091,$B64,'сентябрь 2024'!$J$4:$J$2091,P$1)</f>
        <v>0</v>
      </c>
      <c r="Q64" s="80">
        <f>SUMIFS('сентябрь 2024'!$G$4:$G$2091,'сентябрь 2024'!$D$4:$D$2091,$B64,'сентябрь 2024'!$J$4:$J$2091,Q$1)</f>
        <v>0</v>
      </c>
      <c r="R64" s="80">
        <f>SUMIFS('сентябрь 2024'!$G$4:$G$2091,'сентябрь 2024'!$D$4:$D$2091,$B64,'сентябрь 2024'!$J$4:$J$2091,R$1)</f>
        <v>0</v>
      </c>
      <c r="S64" s="80">
        <f>SUMIFS('сентябрь 2024'!$G$4:$G$2091,'сентябрь 2024'!$D$4:$D$2091,$B64,'сентябрь 2024'!$J$4:$J$2091,S$1)</f>
        <v>0</v>
      </c>
      <c r="T64" s="80">
        <f>SUMIFS('сентябрь 2024'!$G$4:$G$2091,'сентябрь 2024'!$D$4:$D$2091,$B64,'сентябрь 2024'!$J$4:$J$2091,T$1)</f>
        <v>0</v>
      </c>
      <c r="U64" s="80">
        <f>SUMIFS('сентябрь 2024'!$G$4:$G$2091,'сентябрь 2024'!$D$4:$D$2091,$B64,'сентябрь 2024'!$J$4:$J$2091,U$1)</f>
        <v>0</v>
      </c>
      <c r="V64" s="80">
        <f>SUMIFS('сентябрь 2024'!$G$4:$G$2091,'сентябрь 2024'!$D$4:$D$2091,$B64,'сентябрь 2024'!$J$4:$J$2091,V$1)</f>
        <v>0</v>
      </c>
      <c r="W64" s="80">
        <f>SUMIFS('сентябрь 2024'!$G$4:$G$2091,'сентябрь 2024'!$D$4:$D$2091,$B64,'сентябрь 2024'!$J$4:$J$2091,W$1)</f>
        <v>0</v>
      </c>
      <c r="X64" s="80">
        <f>SUMIFS('сентябрь 2024'!$G$4:$G$2091,'сентябрь 2024'!$D$4:$D$2091,$B64,'сентябрь 2024'!$J$4:$J$2091,X$1)</f>
        <v>0</v>
      </c>
      <c r="Y64" s="80">
        <f>SUMIFS('сентябрь 2024'!$G$4:$G$2091,'сентябрь 2024'!$D$4:$D$2091,$B64,'сентябрь 2024'!$J$4:$J$2091,Y$1)</f>
        <v>0</v>
      </c>
      <c r="Z64" s="80">
        <f>SUMIFS('сентябрь 2024'!$G$4:$G$2091,'сентябрь 2024'!$D$4:$D$2091,$B64,'сентябрь 2024'!$J$4:$J$2091,Z$1)</f>
        <v>0</v>
      </c>
      <c r="AA64" s="80">
        <f>SUMIFS('сентябрь 2024'!$G$4:$G$2091,'сентябрь 2024'!$D$4:$D$2091,$B64,'сентябрь 2024'!$J$4:$J$2091,AA$1)</f>
        <v>0</v>
      </c>
      <c r="AB64" s="80">
        <f>SUMIFS('сентябрь 2024'!$G$4:$G$2091,'сентябрь 2024'!$D$4:$D$2091,$B64,'сентябрь 2024'!$J$4:$J$2091,AB$1)</f>
        <v>0</v>
      </c>
      <c r="AC64" s="80">
        <f>SUMIFS('сентябрь 2024'!$G$4:$G$2091,'сентябрь 2024'!$D$4:$D$2091,$B64,'сентябрь 2024'!$J$4:$J$2091,AC$1)</f>
        <v>0</v>
      </c>
      <c r="AD64" s="80">
        <f>SUMIFS('сентябрь 2024'!$G$4:$G$2091,'сентябрь 2024'!$D$4:$D$2091,$B64,'сентябрь 2024'!$J$4:$J$2091,AD$1)</f>
        <v>0</v>
      </c>
      <c r="AE64" s="80">
        <f>SUMIFS('сентябрь 2024'!$G$4:$G$2091,'сентябрь 2024'!$D$4:$D$2091,$B64,'сентябрь 2024'!$J$4:$J$2091,AE$1)</f>
        <v>0</v>
      </c>
      <c r="AF64" s="80">
        <f>SUMIFS('сентябрь 2024'!$G$4:$G$2091,'сентябрь 2024'!$D$4:$D$2091,$B64,'сентябрь 2024'!$J$4:$J$2091,AF$1)</f>
        <v>0</v>
      </c>
      <c r="AG64" s="80">
        <f>SUMIFS('сентябрь 2024'!$G$4:$G$2091,'сентябрь 2024'!$D$4:$D$2091,$B64,'сентябрь 2024'!$J$4:$J$2091,AG$1)</f>
        <v>0</v>
      </c>
      <c r="AH64" s="80">
        <f>SUMIFS('сентябрь 2024'!$G$4:$G$2091,'сентябрь 2024'!$D$4:$D$2091,$B64,'сентябрь 2024'!$J$4:$J$2091,AH$1)</f>
        <v>0</v>
      </c>
      <c r="AI64" s="21">
        <f t="shared" si="1"/>
        <v>0</v>
      </c>
    </row>
    <row r="65" spans="2:35" ht="15" customHeight="1" x14ac:dyDescent="0.25">
      <c r="B65" s="93" t="s">
        <v>189</v>
      </c>
      <c r="C65" s="91">
        <v>50</v>
      </c>
      <c r="D65" s="80">
        <f>SUMIFS('сентябрь 2024'!$G$4:$G$2091,'сентябрь 2024'!$D$4:$D$2091,$B65,'сентябрь 2024'!$J$4:$J$2091,D$1)</f>
        <v>0</v>
      </c>
      <c r="E65" s="80">
        <f>SUMIFS('сентябрь 2024'!$G$4:$G$2091,'сентябрь 2024'!$D$4:$D$2091,$B65,'сентябрь 2024'!$J$4:$J$2091,E$1)</f>
        <v>0</v>
      </c>
      <c r="F65" s="80">
        <f>SUMIFS('сентябрь 2024'!$G$4:$G$2091,'сентябрь 2024'!$D$4:$D$2091,$B65,'сентябрь 2024'!$J$4:$J$2091,F$1)</f>
        <v>0</v>
      </c>
      <c r="G65" s="80">
        <f>SUMIFS('сентябрь 2024'!$G$4:$G$2091,'сентябрь 2024'!$D$4:$D$2091,$B65,'сентябрь 2024'!$J$4:$J$2091,G$1)</f>
        <v>0</v>
      </c>
      <c r="H65" s="80">
        <f>SUMIFS('сентябрь 2024'!$G$4:$G$2091,'сентябрь 2024'!$D$4:$D$2091,$B65,'сентябрь 2024'!$J$4:$J$2091,H$1)</f>
        <v>0</v>
      </c>
      <c r="I65" s="80">
        <f>SUMIFS('сентябрь 2024'!$G$4:$G$2091,'сентябрь 2024'!$D$4:$D$2091,$B65,'сентябрь 2024'!$J$4:$J$2091,I$1)</f>
        <v>0</v>
      </c>
      <c r="J65" s="80">
        <f>SUMIFS('сентябрь 2024'!$G$4:$G$2091,'сентябрь 2024'!$D$4:$D$2091,$B65,'сентябрь 2024'!$J$4:$J$2091,J$1)</f>
        <v>0</v>
      </c>
      <c r="K65" s="80">
        <f>SUMIFS('сентябрь 2024'!$G$4:$G$2091,'сентябрь 2024'!$D$4:$D$2091,$B65,'сентябрь 2024'!$J$4:$J$2091,K$1)</f>
        <v>0</v>
      </c>
      <c r="L65" s="80">
        <f>SUMIFS('сентябрь 2024'!$G$4:$G$2091,'сентябрь 2024'!$D$4:$D$2091,$B65,'сентябрь 2024'!$J$4:$J$2091,L$1)</f>
        <v>0</v>
      </c>
      <c r="M65" s="80">
        <f>SUMIFS('сентябрь 2024'!$G$4:$G$2091,'сентябрь 2024'!$D$4:$D$2091,$B65,'сентябрь 2024'!$J$4:$J$2091,M$1)</f>
        <v>0</v>
      </c>
      <c r="N65" s="80">
        <f>SUMIFS('сентябрь 2024'!$G$4:$G$2091,'сентябрь 2024'!$D$4:$D$2091,$B65,'сентябрь 2024'!$J$4:$J$2091,N$1)</f>
        <v>0</v>
      </c>
      <c r="O65" s="80">
        <f>SUMIFS('сентябрь 2024'!$G$4:$G$2091,'сентябрь 2024'!$D$4:$D$2091,$B65,'сентябрь 2024'!$J$4:$J$2091,O$1)</f>
        <v>0</v>
      </c>
      <c r="P65" s="80">
        <f>SUMIFS('сентябрь 2024'!$G$4:$G$2091,'сентябрь 2024'!$D$4:$D$2091,$B65,'сентябрь 2024'!$J$4:$J$2091,P$1)</f>
        <v>0</v>
      </c>
      <c r="Q65" s="80">
        <f>SUMIFS('сентябрь 2024'!$G$4:$G$2091,'сентябрь 2024'!$D$4:$D$2091,$B65,'сентябрь 2024'!$J$4:$J$2091,Q$1)</f>
        <v>0</v>
      </c>
      <c r="R65" s="80">
        <f>SUMIFS('сентябрь 2024'!$G$4:$G$2091,'сентябрь 2024'!$D$4:$D$2091,$B65,'сентябрь 2024'!$J$4:$J$2091,R$1)</f>
        <v>0</v>
      </c>
      <c r="S65" s="80">
        <f>SUMIFS('сентябрь 2024'!$G$4:$G$2091,'сентябрь 2024'!$D$4:$D$2091,$B65,'сентябрь 2024'!$J$4:$J$2091,S$1)</f>
        <v>0</v>
      </c>
      <c r="T65" s="80">
        <f>SUMIFS('сентябрь 2024'!$G$4:$G$2091,'сентябрь 2024'!$D$4:$D$2091,$B65,'сентябрь 2024'!$J$4:$J$2091,T$1)</f>
        <v>0</v>
      </c>
      <c r="U65" s="80">
        <f>SUMIFS('сентябрь 2024'!$G$4:$G$2091,'сентябрь 2024'!$D$4:$D$2091,$B65,'сентябрь 2024'!$J$4:$J$2091,U$1)</f>
        <v>0</v>
      </c>
      <c r="V65" s="80">
        <f>SUMIFS('сентябрь 2024'!$G$4:$G$2091,'сентябрь 2024'!$D$4:$D$2091,$B65,'сентябрь 2024'!$J$4:$J$2091,V$1)</f>
        <v>0</v>
      </c>
      <c r="W65" s="80">
        <f>SUMIFS('сентябрь 2024'!$G$4:$G$2091,'сентябрь 2024'!$D$4:$D$2091,$B65,'сентябрь 2024'!$J$4:$J$2091,W$1)</f>
        <v>0</v>
      </c>
      <c r="X65" s="80">
        <f>SUMIFS('сентябрь 2024'!$G$4:$G$2091,'сентябрь 2024'!$D$4:$D$2091,$B65,'сентябрь 2024'!$J$4:$J$2091,X$1)</f>
        <v>0</v>
      </c>
      <c r="Y65" s="80">
        <f>SUMIFS('сентябрь 2024'!$G$4:$G$2091,'сентябрь 2024'!$D$4:$D$2091,$B65,'сентябрь 2024'!$J$4:$J$2091,Y$1)</f>
        <v>0</v>
      </c>
      <c r="Z65" s="80">
        <f>SUMIFS('сентябрь 2024'!$G$4:$G$2091,'сентябрь 2024'!$D$4:$D$2091,$B65,'сентябрь 2024'!$J$4:$J$2091,Z$1)</f>
        <v>0</v>
      </c>
      <c r="AA65" s="80">
        <f>SUMIFS('сентябрь 2024'!$G$4:$G$2091,'сентябрь 2024'!$D$4:$D$2091,$B65,'сентябрь 2024'!$J$4:$J$2091,AA$1)</f>
        <v>0</v>
      </c>
      <c r="AB65" s="80">
        <f>SUMIFS('сентябрь 2024'!$G$4:$G$2091,'сентябрь 2024'!$D$4:$D$2091,$B65,'сентябрь 2024'!$J$4:$J$2091,AB$1)</f>
        <v>0</v>
      </c>
      <c r="AC65" s="80">
        <f>SUMIFS('сентябрь 2024'!$G$4:$G$2091,'сентябрь 2024'!$D$4:$D$2091,$B65,'сентябрь 2024'!$J$4:$J$2091,AC$1)</f>
        <v>0</v>
      </c>
      <c r="AD65" s="80">
        <f>SUMIFS('сентябрь 2024'!$G$4:$G$2091,'сентябрь 2024'!$D$4:$D$2091,$B65,'сентябрь 2024'!$J$4:$J$2091,AD$1)</f>
        <v>0</v>
      </c>
      <c r="AE65" s="80">
        <f>SUMIFS('сентябрь 2024'!$G$4:$G$2091,'сентябрь 2024'!$D$4:$D$2091,$B65,'сентябрь 2024'!$J$4:$J$2091,AE$1)</f>
        <v>0</v>
      </c>
      <c r="AF65" s="80">
        <f>SUMIFS('сентябрь 2024'!$G$4:$G$2091,'сентябрь 2024'!$D$4:$D$2091,$B65,'сентябрь 2024'!$J$4:$J$2091,AF$1)</f>
        <v>0</v>
      </c>
      <c r="AG65" s="80">
        <f>SUMIFS('сентябрь 2024'!$G$4:$G$2091,'сентябрь 2024'!$D$4:$D$2091,$B65,'сентябрь 2024'!$J$4:$J$2091,AG$1)</f>
        <v>0</v>
      </c>
      <c r="AH65" s="80">
        <f>SUMIFS('сентябрь 2024'!$G$4:$G$2091,'сентябрь 2024'!$D$4:$D$2091,$B65,'сентябрь 2024'!$J$4:$J$2091,AH$1)</f>
        <v>0</v>
      </c>
      <c r="AI65" s="21">
        <f t="shared" si="1"/>
        <v>0</v>
      </c>
    </row>
    <row r="66" spans="2:35" ht="15.75" x14ac:dyDescent="0.25">
      <c r="B66" s="89" t="s">
        <v>159</v>
      </c>
      <c r="C66" s="88">
        <v>200</v>
      </c>
      <c r="D66" s="80">
        <f>SUMIFS('сентябрь 2024'!$G$4:$G$2091,'сентябрь 2024'!$D$4:$D$2091,$B66,'сентябрь 2024'!$J$4:$J$2091,D$1)</f>
        <v>0</v>
      </c>
      <c r="E66" s="80">
        <f>SUMIFS('сентябрь 2024'!$G$4:$G$2091,'сентябрь 2024'!$D$4:$D$2091,$B66,'сентябрь 2024'!$J$4:$J$2091,E$1)</f>
        <v>0</v>
      </c>
      <c r="F66" s="80">
        <f>SUMIFS('сентябрь 2024'!$G$4:$G$2091,'сентябрь 2024'!$D$4:$D$2091,$B66,'сентябрь 2024'!$J$4:$J$2091,F$1)</f>
        <v>4</v>
      </c>
      <c r="G66" s="80">
        <f>SUMIFS('сентябрь 2024'!$G$4:$G$2091,'сентябрь 2024'!$D$4:$D$2091,$B66,'сентябрь 2024'!$J$4:$J$2091,G$1)</f>
        <v>0</v>
      </c>
      <c r="H66" s="80">
        <f>SUMIFS('сентябрь 2024'!$G$4:$G$2091,'сентябрь 2024'!$D$4:$D$2091,$B66,'сентябрь 2024'!$J$4:$J$2091,H$1)</f>
        <v>0</v>
      </c>
      <c r="I66" s="80">
        <f>SUMIFS('сентябрь 2024'!$G$4:$G$2091,'сентябрь 2024'!$D$4:$D$2091,$B66,'сентябрь 2024'!$J$4:$J$2091,I$1)</f>
        <v>0</v>
      </c>
      <c r="J66" s="80">
        <f>SUMIFS('сентябрь 2024'!$G$4:$G$2091,'сентябрь 2024'!$D$4:$D$2091,$B66,'сентябрь 2024'!$J$4:$J$2091,J$1)</f>
        <v>0</v>
      </c>
      <c r="K66" s="80">
        <f>SUMIFS('сентябрь 2024'!$G$4:$G$2091,'сентябрь 2024'!$D$4:$D$2091,$B66,'сентябрь 2024'!$J$4:$J$2091,K$1)</f>
        <v>0</v>
      </c>
      <c r="L66" s="80">
        <f>SUMIFS('сентябрь 2024'!$G$4:$G$2091,'сентябрь 2024'!$D$4:$D$2091,$B66,'сентябрь 2024'!$J$4:$J$2091,L$1)</f>
        <v>0</v>
      </c>
      <c r="M66" s="80">
        <f>SUMIFS('сентябрь 2024'!$G$4:$G$2091,'сентябрь 2024'!$D$4:$D$2091,$B66,'сентябрь 2024'!$J$4:$J$2091,M$1)</f>
        <v>0</v>
      </c>
      <c r="N66" s="80">
        <f>SUMIFS('сентябрь 2024'!$G$4:$G$2091,'сентябрь 2024'!$D$4:$D$2091,$B66,'сентябрь 2024'!$J$4:$J$2091,N$1)</f>
        <v>0</v>
      </c>
      <c r="O66" s="80">
        <f>SUMIFS('сентябрь 2024'!$G$4:$G$2091,'сентябрь 2024'!$D$4:$D$2091,$B66,'сентябрь 2024'!$J$4:$J$2091,O$1)</f>
        <v>0</v>
      </c>
      <c r="P66" s="80">
        <f>SUMIFS('сентябрь 2024'!$G$4:$G$2091,'сентябрь 2024'!$D$4:$D$2091,$B66,'сентябрь 2024'!$J$4:$J$2091,P$1)</f>
        <v>0</v>
      </c>
      <c r="Q66" s="80">
        <f>SUMIFS('сентябрь 2024'!$G$4:$G$2091,'сентябрь 2024'!$D$4:$D$2091,$B66,'сентябрь 2024'!$J$4:$J$2091,Q$1)</f>
        <v>0</v>
      </c>
      <c r="R66" s="80">
        <f>SUMIFS('сентябрь 2024'!$G$4:$G$2091,'сентябрь 2024'!$D$4:$D$2091,$B66,'сентябрь 2024'!$J$4:$J$2091,R$1)</f>
        <v>0</v>
      </c>
      <c r="S66" s="80">
        <f>SUMIFS('сентябрь 2024'!$G$4:$G$2091,'сентябрь 2024'!$D$4:$D$2091,$B66,'сентябрь 2024'!$J$4:$J$2091,S$1)</f>
        <v>0</v>
      </c>
      <c r="T66" s="80">
        <f>SUMIFS('сентябрь 2024'!$G$4:$G$2091,'сентябрь 2024'!$D$4:$D$2091,$B66,'сентябрь 2024'!$J$4:$J$2091,T$1)</f>
        <v>0</v>
      </c>
      <c r="U66" s="80">
        <f>SUMIFS('сентябрь 2024'!$G$4:$G$2091,'сентябрь 2024'!$D$4:$D$2091,$B66,'сентябрь 2024'!$J$4:$J$2091,U$1)</f>
        <v>0</v>
      </c>
      <c r="V66" s="80">
        <f>SUMIFS('сентябрь 2024'!$G$4:$G$2091,'сентябрь 2024'!$D$4:$D$2091,$B66,'сентябрь 2024'!$J$4:$J$2091,V$1)</f>
        <v>0</v>
      </c>
      <c r="W66" s="80">
        <f>SUMIFS('сентябрь 2024'!$G$4:$G$2091,'сентябрь 2024'!$D$4:$D$2091,$B66,'сентябрь 2024'!$J$4:$J$2091,W$1)</f>
        <v>0</v>
      </c>
      <c r="X66" s="80">
        <f>SUMIFS('сентябрь 2024'!$G$4:$G$2091,'сентябрь 2024'!$D$4:$D$2091,$B66,'сентябрь 2024'!$J$4:$J$2091,X$1)</f>
        <v>0</v>
      </c>
      <c r="Y66" s="80">
        <f>SUMIFS('сентябрь 2024'!$G$4:$G$2091,'сентябрь 2024'!$D$4:$D$2091,$B66,'сентябрь 2024'!$J$4:$J$2091,Y$1)</f>
        <v>0</v>
      </c>
      <c r="Z66" s="80">
        <f>SUMIFS('сентябрь 2024'!$G$4:$G$2091,'сентябрь 2024'!$D$4:$D$2091,$B66,'сентябрь 2024'!$J$4:$J$2091,Z$1)</f>
        <v>0</v>
      </c>
      <c r="AA66" s="80">
        <f>SUMIFS('сентябрь 2024'!$G$4:$G$2091,'сентябрь 2024'!$D$4:$D$2091,$B66,'сентябрь 2024'!$J$4:$J$2091,AA$1)</f>
        <v>0</v>
      </c>
      <c r="AB66" s="80">
        <f>SUMIFS('сентябрь 2024'!$G$4:$G$2091,'сентябрь 2024'!$D$4:$D$2091,$B66,'сентябрь 2024'!$J$4:$J$2091,AB$1)</f>
        <v>0</v>
      </c>
      <c r="AC66" s="80">
        <f>SUMIFS('сентябрь 2024'!$G$4:$G$2091,'сентябрь 2024'!$D$4:$D$2091,$B66,'сентябрь 2024'!$J$4:$J$2091,AC$1)</f>
        <v>0</v>
      </c>
      <c r="AD66" s="80">
        <f>SUMIFS('сентябрь 2024'!$G$4:$G$2091,'сентябрь 2024'!$D$4:$D$2091,$B66,'сентябрь 2024'!$J$4:$J$2091,AD$1)</f>
        <v>0</v>
      </c>
      <c r="AE66" s="80">
        <f>SUMIFS('сентябрь 2024'!$G$4:$G$2091,'сентябрь 2024'!$D$4:$D$2091,$B66,'сентябрь 2024'!$J$4:$J$2091,AE$1)</f>
        <v>0</v>
      </c>
      <c r="AF66" s="80">
        <f>SUMIFS('сентябрь 2024'!$G$4:$G$2091,'сентябрь 2024'!$D$4:$D$2091,$B66,'сентябрь 2024'!$J$4:$J$2091,AF$1)</f>
        <v>0</v>
      </c>
      <c r="AG66" s="80">
        <f>SUMIFS('сентябрь 2024'!$G$4:$G$2091,'сентябрь 2024'!$D$4:$D$2091,$B66,'сентябрь 2024'!$J$4:$J$2091,AG$1)</f>
        <v>0</v>
      </c>
      <c r="AH66" s="80">
        <f>SUMIFS('сентябрь 2024'!$G$4:$G$2091,'сентябрь 2024'!$D$4:$D$2091,$B66,'сентябрь 2024'!$J$4:$J$2091,AH$1)</f>
        <v>0</v>
      </c>
      <c r="AI66" s="21">
        <f t="shared" si="1"/>
        <v>4</v>
      </c>
    </row>
    <row r="67" spans="2:35" ht="15.75" x14ac:dyDescent="0.25">
      <c r="B67" s="93" t="s">
        <v>158</v>
      </c>
      <c r="C67" s="91">
        <v>200</v>
      </c>
      <c r="D67" s="80">
        <f>SUMIFS('сентябрь 2024'!$G$4:$G$2091,'сентябрь 2024'!$D$4:$D$2091,$B67,'сентябрь 2024'!$J$4:$J$2091,D$1)</f>
        <v>0</v>
      </c>
      <c r="E67" s="80">
        <f>SUMIFS('сентябрь 2024'!$G$4:$G$2091,'сентябрь 2024'!$D$4:$D$2091,$B67,'сентябрь 2024'!$J$4:$J$2091,E$1)</f>
        <v>0</v>
      </c>
      <c r="F67" s="80">
        <f>SUMIFS('сентябрь 2024'!$G$4:$G$2091,'сентябрь 2024'!$D$4:$D$2091,$B67,'сентябрь 2024'!$J$4:$J$2091,F$1)</f>
        <v>0</v>
      </c>
      <c r="G67" s="80">
        <f>SUMIFS('сентябрь 2024'!$G$4:$G$2091,'сентябрь 2024'!$D$4:$D$2091,$B67,'сентябрь 2024'!$J$4:$J$2091,G$1)</f>
        <v>0</v>
      </c>
      <c r="H67" s="80">
        <f>SUMIFS('сентябрь 2024'!$G$4:$G$2091,'сентябрь 2024'!$D$4:$D$2091,$B67,'сентябрь 2024'!$J$4:$J$2091,H$1)</f>
        <v>0</v>
      </c>
      <c r="I67" s="80">
        <f>SUMIFS('сентябрь 2024'!$G$4:$G$2091,'сентябрь 2024'!$D$4:$D$2091,$B67,'сентябрь 2024'!$J$4:$J$2091,I$1)</f>
        <v>0</v>
      </c>
      <c r="J67" s="80">
        <f>SUMIFS('сентябрь 2024'!$G$4:$G$2091,'сентябрь 2024'!$D$4:$D$2091,$B67,'сентябрь 2024'!$J$4:$J$2091,J$1)</f>
        <v>0</v>
      </c>
      <c r="K67" s="80">
        <f>SUMIFS('сентябрь 2024'!$G$4:$G$2091,'сентябрь 2024'!$D$4:$D$2091,$B67,'сентябрь 2024'!$J$4:$J$2091,K$1)</f>
        <v>0</v>
      </c>
      <c r="L67" s="80">
        <f>SUMIFS('сентябрь 2024'!$G$4:$G$2091,'сентябрь 2024'!$D$4:$D$2091,$B67,'сентябрь 2024'!$J$4:$J$2091,L$1)</f>
        <v>88</v>
      </c>
      <c r="M67" s="80">
        <f>SUMIFS('сентябрь 2024'!$G$4:$G$2091,'сентябрь 2024'!$D$4:$D$2091,$B67,'сентябрь 2024'!$J$4:$J$2091,M$1)</f>
        <v>0</v>
      </c>
      <c r="N67" s="80">
        <f>SUMIFS('сентябрь 2024'!$G$4:$G$2091,'сентябрь 2024'!$D$4:$D$2091,$B67,'сентябрь 2024'!$J$4:$J$2091,N$1)</f>
        <v>0</v>
      </c>
      <c r="O67" s="80">
        <f>SUMIFS('сентябрь 2024'!$G$4:$G$2091,'сентябрь 2024'!$D$4:$D$2091,$B67,'сентябрь 2024'!$J$4:$J$2091,O$1)</f>
        <v>0</v>
      </c>
      <c r="P67" s="80">
        <f>SUMIFS('сентябрь 2024'!$G$4:$G$2091,'сентябрь 2024'!$D$4:$D$2091,$B67,'сентябрь 2024'!$J$4:$J$2091,P$1)</f>
        <v>0</v>
      </c>
      <c r="Q67" s="80">
        <f>SUMIFS('сентябрь 2024'!$G$4:$G$2091,'сентябрь 2024'!$D$4:$D$2091,$B67,'сентябрь 2024'!$J$4:$J$2091,Q$1)</f>
        <v>0</v>
      </c>
      <c r="R67" s="80">
        <f>SUMIFS('сентябрь 2024'!$G$4:$G$2091,'сентябрь 2024'!$D$4:$D$2091,$B67,'сентябрь 2024'!$J$4:$J$2091,R$1)</f>
        <v>0</v>
      </c>
      <c r="S67" s="80">
        <f>SUMIFS('сентябрь 2024'!$G$4:$G$2091,'сентябрь 2024'!$D$4:$D$2091,$B67,'сентябрь 2024'!$J$4:$J$2091,S$1)</f>
        <v>0</v>
      </c>
      <c r="T67" s="80">
        <f>SUMIFS('сентябрь 2024'!$G$4:$G$2091,'сентябрь 2024'!$D$4:$D$2091,$B67,'сентябрь 2024'!$J$4:$J$2091,T$1)</f>
        <v>0</v>
      </c>
      <c r="U67" s="80">
        <f>SUMIFS('сентябрь 2024'!$G$4:$G$2091,'сентябрь 2024'!$D$4:$D$2091,$B67,'сентябрь 2024'!$J$4:$J$2091,U$1)</f>
        <v>0</v>
      </c>
      <c r="V67" s="80">
        <f>SUMIFS('сентябрь 2024'!$G$4:$G$2091,'сентябрь 2024'!$D$4:$D$2091,$B67,'сентябрь 2024'!$J$4:$J$2091,V$1)</f>
        <v>0</v>
      </c>
      <c r="W67" s="80">
        <f>SUMIFS('сентябрь 2024'!$G$4:$G$2091,'сентябрь 2024'!$D$4:$D$2091,$B67,'сентябрь 2024'!$J$4:$J$2091,W$1)</f>
        <v>0</v>
      </c>
      <c r="X67" s="80">
        <f>SUMIFS('сентябрь 2024'!$G$4:$G$2091,'сентябрь 2024'!$D$4:$D$2091,$B67,'сентябрь 2024'!$J$4:$J$2091,X$1)</f>
        <v>0</v>
      </c>
      <c r="Y67" s="80">
        <f>SUMIFS('сентябрь 2024'!$G$4:$G$2091,'сентябрь 2024'!$D$4:$D$2091,$B67,'сентябрь 2024'!$J$4:$J$2091,Y$1)</f>
        <v>0</v>
      </c>
      <c r="Z67" s="80">
        <f>SUMIFS('сентябрь 2024'!$G$4:$G$2091,'сентябрь 2024'!$D$4:$D$2091,$B67,'сентябрь 2024'!$J$4:$J$2091,Z$1)</f>
        <v>0</v>
      </c>
      <c r="AA67" s="80">
        <f>SUMIFS('сентябрь 2024'!$G$4:$G$2091,'сентябрь 2024'!$D$4:$D$2091,$B67,'сентябрь 2024'!$J$4:$J$2091,AA$1)</f>
        <v>0</v>
      </c>
      <c r="AB67" s="80">
        <f>SUMIFS('сентябрь 2024'!$G$4:$G$2091,'сентябрь 2024'!$D$4:$D$2091,$B67,'сентябрь 2024'!$J$4:$J$2091,AB$1)</f>
        <v>0</v>
      </c>
      <c r="AC67" s="80">
        <f>SUMIFS('сентябрь 2024'!$G$4:$G$2091,'сентябрь 2024'!$D$4:$D$2091,$B67,'сентябрь 2024'!$J$4:$J$2091,AC$1)</f>
        <v>0</v>
      </c>
      <c r="AD67" s="80">
        <f>SUMIFS('сентябрь 2024'!$G$4:$G$2091,'сентябрь 2024'!$D$4:$D$2091,$B67,'сентябрь 2024'!$J$4:$J$2091,AD$1)</f>
        <v>0</v>
      </c>
      <c r="AE67" s="80">
        <f>SUMIFS('сентябрь 2024'!$G$4:$G$2091,'сентябрь 2024'!$D$4:$D$2091,$B67,'сентябрь 2024'!$J$4:$J$2091,AE$1)</f>
        <v>0</v>
      </c>
      <c r="AF67" s="80">
        <f>SUMIFS('сентябрь 2024'!$G$4:$G$2091,'сентябрь 2024'!$D$4:$D$2091,$B67,'сентябрь 2024'!$J$4:$J$2091,AF$1)</f>
        <v>0</v>
      </c>
      <c r="AG67" s="80">
        <f>SUMIFS('сентябрь 2024'!$G$4:$G$2091,'сентябрь 2024'!$D$4:$D$2091,$B67,'сентябрь 2024'!$J$4:$J$2091,AG$1)</f>
        <v>0</v>
      </c>
      <c r="AH67" s="80">
        <f>SUMIFS('сентябрь 2024'!$G$4:$G$2091,'сентябрь 2024'!$D$4:$D$2091,$B67,'сентябрь 2024'!$J$4:$J$2091,AH$1)</f>
        <v>0</v>
      </c>
      <c r="AI67" s="21">
        <f t="shared" si="1"/>
        <v>88</v>
      </c>
    </row>
    <row r="68" spans="2:35" ht="15.75" x14ac:dyDescent="0.25">
      <c r="B68" s="93" t="s">
        <v>897</v>
      </c>
      <c r="C68" s="91">
        <v>200</v>
      </c>
      <c r="D68" s="80">
        <f>SUMIFS('сентябрь 2024'!$G$4:$G$2091,'сентябрь 2024'!$D$4:$D$2091,$B68,'сентябрь 2024'!$J$4:$J$2091,D$1)</f>
        <v>0</v>
      </c>
      <c r="E68" s="80">
        <f>SUMIFS('сентябрь 2024'!$G$4:$G$2091,'сентябрь 2024'!$D$4:$D$2091,$B68,'сентябрь 2024'!$J$4:$J$2091,E$1)</f>
        <v>0</v>
      </c>
      <c r="F68" s="80">
        <f>SUMIFS('сентябрь 2024'!$G$4:$G$2091,'сентябрь 2024'!$D$4:$D$2091,$B68,'сентябрь 2024'!$J$4:$J$2091,F$1)</f>
        <v>0</v>
      </c>
      <c r="G68" s="80">
        <f>SUMIFS('сентябрь 2024'!$G$4:$G$2091,'сентябрь 2024'!$D$4:$D$2091,$B68,'сентябрь 2024'!$J$4:$J$2091,G$1)</f>
        <v>0</v>
      </c>
      <c r="H68" s="80">
        <f>SUMIFS('сентябрь 2024'!$G$4:$G$2091,'сентябрь 2024'!$D$4:$D$2091,$B68,'сентябрь 2024'!$J$4:$J$2091,H$1)</f>
        <v>0</v>
      </c>
      <c r="I68" s="80">
        <f>SUMIFS('сентябрь 2024'!$G$4:$G$2091,'сентябрь 2024'!$D$4:$D$2091,$B68,'сентябрь 2024'!$J$4:$J$2091,I$1)</f>
        <v>0</v>
      </c>
      <c r="J68" s="80">
        <f>SUMIFS('сентябрь 2024'!$G$4:$G$2091,'сентябрь 2024'!$D$4:$D$2091,$B68,'сентябрь 2024'!$J$4:$J$2091,J$1)</f>
        <v>0</v>
      </c>
      <c r="K68" s="80">
        <f>SUMIFS('сентябрь 2024'!$G$4:$G$2091,'сентябрь 2024'!$D$4:$D$2091,$B68,'сентябрь 2024'!$J$4:$J$2091,K$1)</f>
        <v>0</v>
      </c>
      <c r="L68" s="80">
        <f>SUMIFS('сентябрь 2024'!$G$4:$G$2091,'сентябрь 2024'!$D$4:$D$2091,$B68,'сентябрь 2024'!$J$4:$J$2091,L$1)</f>
        <v>0</v>
      </c>
      <c r="M68" s="80">
        <f>SUMIFS('сентябрь 2024'!$G$4:$G$2091,'сентябрь 2024'!$D$4:$D$2091,$B68,'сентябрь 2024'!$J$4:$J$2091,M$1)</f>
        <v>0</v>
      </c>
      <c r="N68" s="80">
        <f>SUMIFS('сентябрь 2024'!$G$4:$G$2091,'сентябрь 2024'!$D$4:$D$2091,$B68,'сентябрь 2024'!$J$4:$J$2091,N$1)</f>
        <v>0</v>
      </c>
      <c r="O68" s="80">
        <f>SUMIFS('сентябрь 2024'!$G$4:$G$2091,'сентябрь 2024'!$D$4:$D$2091,$B68,'сентябрь 2024'!$J$4:$J$2091,O$1)</f>
        <v>0</v>
      </c>
      <c r="P68" s="80">
        <f>SUMIFS('сентябрь 2024'!$G$4:$G$2091,'сентябрь 2024'!$D$4:$D$2091,$B68,'сентябрь 2024'!$J$4:$J$2091,P$1)</f>
        <v>0</v>
      </c>
      <c r="Q68" s="80">
        <f>SUMIFS('сентябрь 2024'!$G$4:$G$2091,'сентябрь 2024'!$D$4:$D$2091,$B68,'сентябрь 2024'!$J$4:$J$2091,Q$1)</f>
        <v>0</v>
      </c>
      <c r="R68" s="80">
        <f>SUMIFS('сентябрь 2024'!$G$4:$G$2091,'сентябрь 2024'!$D$4:$D$2091,$B68,'сентябрь 2024'!$J$4:$J$2091,R$1)</f>
        <v>0</v>
      </c>
      <c r="S68" s="80">
        <f>SUMIFS('сентябрь 2024'!$G$4:$G$2091,'сентябрь 2024'!$D$4:$D$2091,$B68,'сентябрь 2024'!$J$4:$J$2091,S$1)</f>
        <v>0</v>
      </c>
      <c r="T68" s="80">
        <f>SUMIFS('сентябрь 2024'!$G$4:$G$2091,'сентябрь 2024'!$D$4:$D$2091,$B68,'сентябрь 2024'!$J$4:$J$2091,T$1)</f>
        <v>0</v>
      </c>
      <c r="U68" s="80">
        <f>SUMIFS('сентябрь 2024'!$G$4:$G$2091,'сентябрь 2024'!$D$4:$D$2091,$B68,'сентябрь 2024'!$J$4:$J$2091,U$1)</f>
        <v>0</v>
      </c>
      <c r="V68" s="80">
        <f>SUMIFS('сентябрь 2024'!$G$4:$G$2091,'сентябрь 2024'!$D$4:$D$2091,$B68,'сентябрь 2024'!$J$4:$J$2091,V$1)</f>
        <v>0</v>
      </c>
      <c r="W68" s="80">
        <f>SUMIFS('сентябрь 2024'!$G$4:$G$2091,'сентябрь 2024'!$D$4:$D$2091,$B68,'сентябрь 2024'!$J$4:$J$2091,W$1)</f>
        <v>160</v>
      </c>
      <c r="X68" s="80">
        <f>SUMIFS('сентябрь 2024'!$G$4:$G$2091,'сентябрь 2024'!$D$4:$D$2091,$B68,'сентябрь 2024'!$J$4:$J$2091,X$1)</f>
        <v>0</v>
      </c>
      <c r="Y68" s="80">
        <f>SUMIFS('сентябрь 2024'!$G$4:$G$2091,'сентябрь 2024'!$D$4:$D$2091,$B68,'сентябрь 2024'!$J$4:$J$2091,Y$1)</f>
        <v>0</v>
      </c>
      <c r="Z68" s="80">
        <f>SUMIFS('сентябрь 2024'!$G$4:$G$2091,'сентябрь 2024'!$D$4:$D$2091,$B68,'сентябрь 2024'!$J$4:$J$2091,Z$1)</f>
        <v>0</v>
      </c>
      <c r="AA68" s="80">
        <f>SUMIFS('сентябрь 2024'!$G$4:$G$2091,'сентябрь 2024'!$D$4:$D$2091,$B68,'сентябрь 2024'!$J$4:$J$2091,AA$1)</f>
        <v>0</v>
      </c>
      <c r="AB68" s="80">
        <f>SUMIFS('сентябрь 2024'!$G$4:$G$2091,'сентябрь 2024'!$D$4:$D$2091,$B68,'сентябрь 2024'!$J$4:$J$2091,AB$1)</f>
        <v>0</v>
      </c>
      <c r="AC68" s="80">
        <f>SUMIFS('сентябрь 2024'!$G$4:$G$2091,'сентябрь 2024'!$D$4:$D$2091,$B68,'сентябрь 2024'!$J$4:$J$2091,AC$1)</f>
        <v>0</v>
      </c>
      <c r="AD68" s="80">
        <f>SUMIFS('сентябрь 2024'!$G$4:$G$2091,'сентябрь 2024'!$D$4:$D$2091,$B68,'сентябрь 2024'!$J$4:$J$2091,AD$1)</f>
        <v>0</v>
      </c>
      <c r="AE68" s="80">
        <f>SUMIFS('сентябрь 2024'!$G$4:$G$2091,'сентябрь 2024'!$D$4:$D$2091,$B68,'сентябрь 2024'!$J$4:$J$2091,AE$1)</f>
        <v>0</v>
      </c>
      <c r="AF68" s="80">
        <f>SUMIFS('сентябрь 2024'!$G$4:$G$2091,'сентябрь 2024'!$D$4:$D$2091,$B68,'сентябрь 2024'!$J$4:$J$2091,AF$1)</f>
        <v>0</v>
      </c>
      <c r="AG68" s="80">
        <f>SUMIFS('сентябрь 2024'!$G$4:$G$2091,'сентябрь 2024'!$D$4:$D$2091,$B68,'сентябрь 2024'!$J$4:$J$2091,AG$1)</f>
        <v>0</v>
      </c>
      <c r="AH68" s="80">
        <f>SUMIFS('сентябрь 2024'!$G$4:$G$2091,'сентябрь 2024'!$D$4:$D$2091,$B68,'сентябрь 2024'!$J$4:$J$2091,AH$1)</f>
        <v>0</v>
      </c>
      <c r="AI68" s="21">
        <f t="shared" si="1"/>
        <v>160</v>
      </c>
    </row>
    <row r="69" spans="2:35" ht="15" customHeight="1" x14ac:dyDescent="0.25">
      <c r="B69" s="93" t="s">
        <v>213</v>
      </c>
      <c r="C69" s="91">
        <v>200</v>
      </c>
      <c r="D69" s="80">
        <f>SUMIFS('сентябрь 2024'!$G$4:$G$2091,'сентябрь 2024'!$D$4:$D$2091,$B69,'сентябрь 2024'!$J$4:$J$2091,D$1)</f>
        <v>0</v>
      </c>
      <c r="E69" s="80">
        <f>SUMIFS('сентябрь 2024'!$G$4:$G$2091,'сентябрь 2024'!$D$4:$D$2091,$B69,'сентябрь 2024'!$J$4:$J$2091,E$1)</f>
        <v>0</v>
      </c>
      <c r="F69" s="80">
        <f>SUMIFS('сентябрь 2024'!$G$4:$G$2091,'сентябрь 2024'!$D$4:$D$2091,$B69,'сентябрь 2024'!$J$4:$J$2091,F$1)</f>
        <v>0</v>
      </c>
      <c r="G69" s="80">
        <f>SUMIFS('сентябрь 2024'!$G$4:$G$2091,'сентябрь 2024'!$D$4:$D$2091,$B69,'сентябрь 2024'!$J$4:$J$2091,G$1)</f>
        <v>0</v>
      </c>
      <c r="H69" s="80">
        <f>SUMIFS('сентябрь 2024'!$G$4:$G$2091,'сентябрь 2024'!$D$4:$D$2091,$B69,'сентябрь 2024'!$J$4:$J$2091,H$1)</f>
        <v>0</v>
      </c>
      <c r="I69" s="80">
        <f>SUMIFS('сентябрь 2024'!$G$4:$G$2091,'сентябрь 2024'!$D$4:$D$2091,$B69,'сентябрь 2024'!$J$4:$J$2091,I$1)</f>
        <v>0</v>
      </c>
      <c r="J69" s="80">
        <f>SUMIFS('сентябрь 2024'!$G$4:$G$2091,'сентябрь 2024'!$D$4:$D$2091,$B69,'сентябрь 2024'!$J$4:$J$2091,J$1)</f>
        <v>0</v>
      </c>
      <c r="K69" s="80">
        <f>SUMIFS('сентябрь 2024'!$G$4:$G$2091,'сентябрь 2024'!$D$4:$D$2091,$B69,'сентябрь 2024'!$J$4:$J$2091,K$1)</f>
        <v>0</v>
      </c>
      <c r="L69" s="80">
        <f>SUMIFS('сентябрь 2024'!$G$4:$G$2091,'сентябрь 2024'!$D$4:$D$2091,$B69,'сентябрь 2024'!$J$4:$J$2091,L$1)</f>
        <v>0</v>
      </c>
      <c r="M69" s="80">
        <f>SUMIFS('сентябрь 2024'!$G$4:$G$2091,'сентябрь 2024'!$D$4:$D$2091,$B69,'сентябрь 2024'!$J$4:$J$2091,M$1)</f>
        <v>0</v>
      </c>
      <c r="N69" s="80">
        <f>SUMIFS('сентябрь 2024'!$G$4:$G$2091,'сентябрь 2024'!$D$4:$D$2091,$B69,'сентябрь 2024'!$J$4:$J$2091,N$1)</f>
        <v>0</v>
      </c>
      <c r="O69" s="80">
        <f>SUMIFS('сентябрь 2024'!$G$4:$G$2091,'сентябрь 2024'!$D$4:$D$2091,$B69,'сентябрь 2024'!$J$4:$J$2091,O$1)</f>
        <v>0</v>
      </c>
      <c r="P69" s="80">
        <f>SUMIFS('сентябрь 2024'!$G$4:$G$2091,'сентябрь 2024'!$D$4:$D$2091,$B69,'сентябрь 2024'!$J$4:$J$2091,P$1)</f>
        <v>0</v>
      </c>
      <c r="Q69" s="80">
        <f>SUMIFS('сентябрь 2024'!$G$4:$G$2091,'сентябрь 2024'!$D$4:$D$2091,$B69,'сентябрь 2024'!$J$4:$J$2091,Q$1)</f>
        <v>0</v>
      </c>
      <c r="R69" s="80">
        <f>SUMIFS('сентябрь 2024'!$G$4:$G$2091,'сентябрь 2024'!$D$4:$D$2091,$B69,'сентябрь 2024'!$J$4:$J$2091,R$1)</f>
        <v>0</v>
      </c>
      <c r="S69" s="80">
        <f>SUMIFS('сентябрь 2024'!$G$4:$G$2091,'сентябрь 2024'!$D$4:$D$2091,$B69,'сентябрь 2024'!$J$4:$J$2091,S$1)</f>
        <v>0</v>
      </c>
      <c r="T69" s="80">
        <f>SUMIFS('сентябрь 2024'!$G$4:$G$2091,'сентябрь 2024'!$D$4:$D$2091,$B69,'сентябрь 2024'!$J$4:$J$2091,T$1)</f>
        <v>0</v>
      </c>
      <c r="U69" s="80">
        <f>SUMIFS('сентябрь 2024'!$G$4:$G$2091,'сентябрь 2024'!$D$4:$D$2091,$B69,'сентябрь 2024'!$J$4:$J$2091,U$1)</f>
        <v>0</v>
      </c>
      <c r="V69" s="80">
        <f>SUMIFS('сентябрь 2024'!$G$4:$G$2091,'сентябрь 2024'!$D$4:$D$2091,$B69,'сентябрь 2024'!$J$4:$J$2091,V$1)</f>
        <v>0</v>
      </c>
      <c r="W69" s="80">
        <f>SUMIFS('сентябрь 2024'!$G$4:$G$2091,'сентябрь 2024'!$D$4:$D$2091,$B69,'сентябрь 2024'!$J$4:$J$2091,W$1)</f>
        <v>0</v>
      </c>
      <c r="X69" s="80">
        <f>SUMIFS('сентябрь 2024'!$G$4:$G$2091,'сентябрь 2024'!$D$4:$D$2091,$B69,'сентябрь 2024'!$J$4:$J$2091,X$1)</f>
        <v>0</v>
      </c>
      <c r="Y69" s="80">
        <f>SUMIFS('сентябрь 2024'!$G$4:$G$2091,'сентябрь 2024'!$D$4:$D$2091,$B69,'сентябрь 2024'!$J$4:$J$2091,Y$1)</f>
        <v>0</v>
      </c>
      <c r="Z69" s="80">
        <f>SUMIFS('сентябрь 2024'!$G$4:$G$2091,'сентябрь 2024'!$D$4:$D$2091,$B69,'сентябрь 2024'!$J$4:$J$2091,Z$1)</f>
        <v>0</v>
      </c>
      <c r="AA69" s="80">
        <f>SUMIFS('сентябрь 2024'!$G$4:$G$2091,'сентябрь 2024'!$D$4:$D$2091,$B69,'сентябрь 2024'!$J$4:$J$2091,AA$1)</f>
        <v>0</v>
      </c>
      <c r="AB69" s="80">
        <f>SUMIFS('сентябрь 2024'!$G$4:$G$2091,'сентябрь 2024'!$D$4:$D$2091,$B69,'сентябрь 2024'!$J$4:$J$2091,AB$1)</f>
        <v>0</v>
      </c>
      <c r="AC69" s="80">
        <f>SUMIFS('сентябрь 2024'!$G$4:$G$2091,'сентябрь 2024'!$D$4:$D$2091,$B69,'сентябрь 2024'!$J$4:$J$2091,AC$1)</f>
        <v>0</v>
      </c>
      <c r="AD69" s="80">
        <f>SUMIFS('сентябрь 2024'!$G$4:$G$2091,'сентябрь 2024'!$D$4:$D$2091,$B69,'сентябрь 2024'!$J$4:$J$2091,AD$1)</f>
        <v>0</v>
      </c>
      <c r="AE69" s="80">
        <f>SUMIFS('сентябрь 2024'!$G$4:$G$2091,'сентябрь 2024'!$D$4:$D$2091,$B69,'сентябрь 2024'!$J$4:$J$2091,AE$1)</f>
        <v>0</v>
      </c>
      <c r="AF69" s="80">
        <f>SUMIFS('сентябрь 2024'!$G$4:$G$2091,'сентябрь 2024'!$D$4:$D$2091,$B69,'сентябрь 2024'!$J$4:$J$2091,AF$1)</f>
        <v>0</v>
      </c>
      <c r="AG69" s="80">
        <f>SUMIFS('сентябрь 2024'!$G$4:$G$2091,'сентябрь 2024'!$D$4:$D$2091,$B69,'сентябрь 2024'!$J$4:$J$2091,AG$1)</f>
        <v>0</v>
      </c>
      <c r="AH69" s="80">
        <f>SUMIFS('сентябрь 2024'!$G$4:$G$2091,'сентябрь 2024'!$D$4:$D$2091,$B69,'сентябрь 2024'!$J$4:$J$2091,AH$1)</f>
        <v>0</v>
      </c>
      <c r="AI69" s="21">
        <f t="shared" si="1"/>
        <v>0</v>
      </c>
    </row>
    <row r="70" spans="2:35" ht="15" customHeight="1" x14ac:dyDescent="0.25">
      <c r="B70" s="93" t="s">
        <v>197</v>
      </c>
      <c r="C70" s="91">
        <v>200</v>
      </c>
      <c r="D70" s="80">
        <f>SUMIFS('сентябрь 2024'!$G$4:$G$2091,'сентябрь 2024'!$D$4:$D$2091,$B70,'сентябрь 2024'!$J$4:$J$2091,D$1)</f>
        <v>0</v>
      </c>
      <c r="E70" s="80">
        <f>SUMIFS('сентябрь 2024'!$G$4:$G$2091,'сентябрь 2024'!$D$4:$D$2091,$B70,'сентябрь 2024'!$J$4:$J$2091,E$1)</f>
        <v>0</v>
      </c>
      <c r="F70" s="80">
        <f>SUMIFS('сентябрь 2024'!$G$4:$G$2091,'сентябрь 2024'!$D$4:$D$2091,$B70,'сентябрь 2024'!$J$4:$J$2091,F$1)</f>
        <v>0</v>
      </c>
      <c r="G70" s="80">
        <f>SUMIFS('сентябрь 2024'!$G$4:$G$2091,'сентябрь 2024'!$D$4:$D$2091,$B70,'сентябрь 2024'!$J$4:$J$2091,G$1)</f>
        <v>0</v>
      </c>
      <c r="H70" s="80">
        <f>SUMIFS('сентябрь 2024'!$G$4:$G$2091,'сентябрь 2024'!$D$4:$D$2091,$B70,'сентябрь 2024'!$J$4:$J$2091,H$1)</f>
        <v>0</v>
      </c>
      <c r="I70" s="80">
        <f>SUMIFS('сентябрь 2024'!$G$4:$G$2091,'сентябрь 2024'!$D$4:$D$2091,$B70,'сентябрь 2024'!$J$4:$J$2091,I$1)</f>
        <v>0</v>
      </c>
      <c r="J70" s="80">
        <f>SUMIFS('сентябрь 2024'!$G$4:$G$2091,'сентябрь 2024'!$D$4:$D$2091,$B70,'сентябрь 2024'!$J$4:$J$2091,J$1)</f>
        <v>0</v>
      </c>
      <c r="K70" s="80">
        <f>SUMIFS('сентябрь 2024'!$G$4:$G$2091,'сентябрь 2024'!$D$4:$D$2091,$B70,'сентябрь 2024'!$J$4:$J$2091,K$1)</f>
        <v>0</v>
      </c>
      <c r="L70" s="80">
        <f>SUMIFS('сентябрь 2024'!$G$4:$G$2091,'сентябрь 2024'!$D$4:$D$2091,$B70,'сентябрь 2024'!$J$4:$J$2091,L$1)</f>
        <v>0</v>
      </c>
      <c r="M70" s="80">
        <f>SUMIFS('сентябрь 2024'!$G$4:$G$2091,'сентябрь 2024'!$D$4:$D$2091,$B70,'сентябрь 2024'!$J$4:$J$2091,M$1)</f>
        <v>0</v>
      </c>
      <c r="N70" s="80">
        <f>SUMIFS('сентябрь 2024'!$G$4:$G$2091,'сентябрь 2024'!$D$4:$D$2091,$B70,'сентябрь 2024'!$J$4:$J$2091,N$1)</f>
        <v>0</v>
      </c>
      <c r="O70" s="80">
        <f>SUMIFS('сентябрь 2024'!$G$4:$G$2091,'сентябрь 2024'!$D$4:$D$2091,$B70,'сентябрь 2024'!$J$4:$J$2091,O$1)</f>
        <v>0</v>
      </c>
      <c r="P70" s="80">
        <f>SUMIFS('сентябрь 2024'!$G$4:$G$2091,'сентябрь 2024'!$D$4:$D$2091,$B70,'сентябрь 2024'!$J$4:$J$2091,P$1)</f>
        <v>0</v>
      </c>
      <c r="Q70" s="80">
        <f>SUMIFS('сентябрь 2024'!$G$4:$G$2091,'сентябрь 2024'!$D$4:$D$2091,$B70,'сентябрь 2024'!$J$4:$J$2091,Q$1)</f>
        <v>0</v>
      </c>
      <c r="R70" s="80">
        <f>SUMIFS('сентябрь 2024'!$G$4:$G$2091,'сентябрь 2024'!$D$4:$D$2091,$B70,'сентябрь 2024'!$J$4:$J$2091,R$1)</f>
        <v>0</v>
      </c>
      <c r="S70" s="80">
        <f>SUMIFS('сентябрь 2024'!$G$4:$G$2091,'сентябрь 2024'!$D$4:$D$2091,$B70,'сентябрь 2024'!$J$4:$J$2091,S$1)</f>
        <v>0</v>
      </c>
      <c r="T70" s="80">
        <f>SUMIFS('сентябрь 2024'!$G$4:$G$2091,'сентябрь 2024'!$D$4:$D$2091,$B70,'сентябрь 2024'!$J$4:$J$2091,T$1)</f>
        <v>0</v>
      </c>
      <c r="U70" s="80">
        <f>SUMIFS('сентябрь 2024'!$G$4:$G$2091,'сентябрь 2024'!$D$4:$D$2091,$B70,'сентябрь 2024'!$J$4:$J$2091,U$1)</f>
        <v>0</v>
      </c>
      <c r="V70" s="80">
        <f>SUMIFS('сентябрь 2024'!$G$4:$G$2091,'сентябрь 2024'!$D$4:$D$2091,$B70,'сентябрь 2024'!$J$4:$J$2091,V$1)</f>
        <v>0</v>
      </c>
      <c r="W70" s="80">
        <f>SUMIFS('сентябрь 2024'!$G$4:$G$2091,'сентябрь 2024'!$D$4:$D$2091,$B70,'сентябрь 2024'!$J$4:$J$2091,W$1)</f>
        <v>0</v>
      </c>
      <c r="X70" s="80">
        <f>SUMIFS('сентябрь 2024'!$G$4:$G$2091,'сентябрь 2024'!$D$4:$D$2091,$B70,'сентябрь 2024'!$J$4:$J$2091,X$1)</f>
        <v>0</v>
      </c>
      <c r="Y70" s="80">
        <f>SUMIFS('сентябрь 2024'!$G$4:$G$2091,'сентябрь 2024'!$D$4:$D$2091,$B70,'сентябрь 2024'!$J$4:$J$2091,Y$1)</f>
        <v>0</v>
      </c>
      <c r="Z70" s="80">
        <f>SUMIFS('сентябрь 2024'!$G$4:$G$2091,'сентябрь 2024'!$D$4:$D$2091,$B70,'сентябрь 2024'!$J$4:$J$2091,Z$1)</f>
        <v>0</v>
      </c>
      <c r="AA70" s="80">
        <f>SUMIFS('сентябрь 2024'!$G$4:$G$2091,'сентябрь 2024'!$D$4:$D$2091,$B70,'сентябрь 2024'!$J$4:$J$2091,AA$1)</f>
        <v>0</v>
      </c>
      <c r="AB70" s="80">
        <f>SUMIFS('сентябрь 2024'!$G$4:$G$2091,'сентябрь 2024'!$D$4:$D$2091,$B70,'сентябрь 2024'!$J$4:$J$2091,AB$1)</f>
        <v>0</v>
      </c>
      <c r="AC70" s="80">
        <f>SUMIFS('сентябрь 2024'!$G$4:$G$2091,'сентябрь 2024'!$D$4:$D$2091,$B70,'сентябрь 2024'!$J$4:$J$2091,AC$1)</f>
        <v>0</v>
      </c>
      <c r="AD70" s="80">
        <f>SUMIFS('сентябрь 2024'!$G$4:$G$2091,'сентябрь 2024'!$D$4:$D$2091,$B70,'сентябрь 2024'!$J$4:$J$2091,AD$1)</f>
        <v>0</v>
      </c>
      <c r="AE70" s="80">
        <f>SUMIFS('сентябрь 2024'!$G$4:$G$2091,'сентябрь 2024'!$D$4:$D$2091,$B70,'сентябрь 2024'!$J$4:$J$2091,AE$1)</f>
        <v>0</v>
      </c>
      <c r="AF70" s="80">
        <f>SUMIFS('сентябрь 2024'!$G$4:$G$2091,'сентябрь 2024'!$D$4:$D$2091,$B70,'сентябрь 2024'!$J$4:$J$2091,AF$1)</f>
        <v>0</v>
      </c>
      <c r="AG70" s="80">
        <f>SUMIFS('сентябрь 2024'!$G$4:$G$2091,'сентябрь 2024'!$D$4:$D$2091,$B70,'сентябрь 2024'!$J$4:$J$2091,AG$1)</f>
        <v>0</v>
      </c>
      <c r="AH70" s="80">
        <f>SUMIFS('сентябрь 2024'!$G$4:$G$2091,'сентябрь 2024'!$D$4:$D$2091,$B70,'сентябрь 2024'!$J$4:$J$2091,AH$1)</f>
        <v>0</v>
      </c>
      <c r="AI70" s="21">
        <f t="shared" si="1"/>
        <v>0</v>
      </c>
    </row>
    <row r="71" spans="2:35" ht="15" customHeight="1" x14ac:dyDescent="0.25">
      <c r="B71" s="93" t="s">
        <v>198</v>
      </c>
      <c r="C71" s="91">
        <v>200</v>
      </c>
      <c r="D71" s="80">
        <f>SUMIFS('сентябрь 2024'!$G$4:$G$2091,'сентябрь 2024'!$D$4:$D$2091,$B71,'сентябрь 2024'!$J$4:$J$2091,D$1)</f>
        <v>0</v>
      </c>
      <c r="E71" s="80">
        <f>SUMIFS('сентябрь 2024'!$G$4:$G$2091,'сентябрь 2024'!$D$4:$D$2091,$B71,'сентябрь 2024'!$J$4:$J$2091,E$1)</f>
        <v>0</v>
      </c>
      <c r="F71" s="80">
        <f>SUMIFS('сентябрь 2024'!$G$4:$G$2091,'сентябрь 2024'!$D$4:$D$2091,$B71,'сентябрь 2024'!$J$4:$J$2091,F$1)</f>
        <v>0</v>
      </c>
      <c r="G71" s="80">
        <f>SUMIFS('сентябрь 2024'!$G$4:$G$2091,'сентябрь 2024'!$D$4:$D$2091,$B71,'сентябрь 2024'!$J$4:$J$2091,G$1)</f>
        <v>0</v>
      </c>
      <c r="H71" s="80">
        <f>SUMIFS('сентябрь 2024'!$G$4:$G$2091,'сентябрь 2024'!$D$4:$D$2091,$B71,'сентябрь 2024'!$J$4:$J$2091,H$1)</f>
        <v>0</v>
      </c>
      <c r="I71" s="80">
        <f>SUMIFS('сентябрь 2024'!$G$4:$G$2091,'сентябрь 2024'!$D$4:$D$2091,$B71,'сентябрь 2024'!$J$4:$J$2091,I$1)</f>
        <v>0</v>
      </c>
      <c r="J71" s="80">
        <f>SUMIFS('сентябрь 2024'!$G$4:$G$2091,'сентябрь 2024'!$D$4:$D$2091,$B71,'сентябрь 2024'!$J$4:$J$2091,J$1)</f>
        <v>0</v>
      </c>
      <c r="K71" s="80">
        <f>SUMIFS('сентябрь 2024'!$G$4:$G$2091,'сентябрь 2024'!$D$4:$D$2091,$B71,'сентябрь 2024'!$J$4:$J$2091,K$1)</f>
        <v>0</v>
      </c>
      <c r="L71" s="80">
        <f>SUMIFS('сентябрь 2024'!$G$4:$G$2091,'сентябрь 2024'!$D$4:$D$2091,$B71,'сентябрь 2024'!$J$4:$J$2091,L$1)</f>
        <v>0</v>
      </c>
      <c r="M71" s="80">
        <f>SUMIFS('сентябрь 2024'!$G$4:$G$2091,'сентябрь 2024'!$D$4:$D$2091,$B71,'сентябрь 2024'!$J$4:$J$2091,M$1)</f>
        <v>0</v>
      </c>
      <c r="N71" s="80">
        <f>SUMIFS('сентябрь 2024'!$G$4:$G$2091,'сентябрь 2024'!$D$4:$D$2091,$B71,'сентябрь 2024'!$J$4:$J$2091,N$1)</f>
        <v>0</v>
      </c>
      <c r="O71" s="80">
        <f>SUMIFS('сентябрь 2024'!$G$4:$G$2091,'сентябрь 2024'!$D$4:$D$2091,$B71,'сентябрь 2024'!$J$4:$J$2091,O$1)</f>
        <v>0</v>
      </c>
      <c r="P71" s="80">
        <f>SUMIFS('сентябрь 2024'!$G$4:$G$2091,'сентябрь 2024'!$D$4:$D$2091,$B71,'сентябрь 2024'!$J$4:$J$2091,P$1)</f>
        <v>0</v>
      </c>
      <c r="Q71" s="80">
        <f>SUMIFS('сентябрь 2024'!$G$4:$G$2091,'сентябрь 2024'!$D$4:$D$2091,$B71,'сентябрь 2024'!$J$4:$J$2091,Q$1)</f>
        <v>0</v>
      </c>
      <c r="R71" s="80">
        <f>SUMIFS('сентябрь 2024'!$G$4:$G$2091,'сентябрь 2024'!$D$4:$D$2091,$B71,'сентябрь 2024'!$J$4:$J$2091,R$1)</f>
        <v>0</v>
      </c>
      <c r="S71" s="80">
        <f>SUMIFS('сентябрь 2024'!$G$4:$G$2091,'сентябрь 2024'!$D$4:$D$2091,$B71,'сентябрь 2024'!$J$4:$J$2091,S$1)</f>
        <v>0</v>
      </c>
      <c r="T71" s="80">
        <f>SUMIFS('сентябрь 2024'!$G$4:$G$2091,'сентябрь 2024'!$D$4:$D$2091,$B71,'сентябрь 2024'!$J$4:$J$2091,T$1)</f>
        <v>0</v>
      </c>
      <c r="U71" s="80">
        <f>SUMIFS('сентябрь 2024'!$G$4:$G$2091,'сентябрь 2024'!$D$4:$D$2091,$B71,'сентябрь 2024'!$J$4:$J$2091,U$1)</f>
        <v>0</v>
      </c>
      <c r="V71" s="80">
        <f>SUMIFS('сентябрь 2024'!$G$4:$G$2091,'сентябрь 2024'!$D$4:$D$2091,$B71,'сентябрь 2024'!$J$4:$J$2091,V$1)</f>
        <v>0</v>
      </c>
      <c r="W71" s="80">
        <f>SUMIFS('сентябрь 2024'!$G$4:$G$2091,'сентябрь 2024'!$D$4:$D$2091,$B71,'сентябрь 2024'!$J$4:$J$2091,W$1)</f>
        <v>0</v>
      </c>
      <c r="X71" s="80">
        <f>SUMIFS('сентябрь 2024'!$G$4:$G$2091,'сентябрь 2024'!$D$4:$D$2091,$B71,'сентябрь 2024'!$J$4:$J$2091,X$1)</f>
        <v>0</v>
      </c>
      <c r="Y71" s="80">
        <f>SUMIFS('сентябрь 2024'!$G$4:$G$2091,'сентябрь 2024'!$D$4:$D$2091,$B71,'сентябрь 2024'!$J$4:$J$2091,Y$1)</f>
        <v>0</v>
      </c>
      <c r="Z71" s="80">
        <f>SUMIFS('сентябрь 2024'!$G$4:$G$2091,'сентябрь 2024'!$D$4:$D$2091,$B71,'сентябрь 2024'!$J$4:$J$2091,Z$1)</f>
        <v>0</v>
      </c>
      <c r="AA71" s="80">
        <f>SUMIFS('сентябрь 2024'!$G$4:$G$2091,'сентябрь 2024'!$D$4:$D$2091,$B71,'сентябрь 2024'!$J$4:$J$2091,AA$1)</f>
        <v>0</v>
      </c>
      <c r="AB71" s="80">
        <f>SUMIFS('сентябрь 2024'!$G$4:$G$2091,'сентябрь 2024'!$D$4:$D$2091,$B71,'сентябрь 2024'!$J$4:$J$2091,AB$1)</f>
        <v>0</v>
      </c>
      <c r="AC71" s="80">
        <f>SUMIFS('сентябрь 2024'!$G$4:$G$2091,'сентябрь 2024'!$D$4:$D$2091,$B71,'сентябрь 2024'!$J$4:$J$2091,AC$1)</f>
        <v>0</v>
      </c>
      <c r="AD71" s="80">
        <f>SUMIFS('сентябрь 2024'!$G$4:$G$2091,'сентябрь 2024'!$D$4:$D$2091,$B71,'сентябрь 2024'!$J$4:$J$2091,AD$1)</f>
        <v>0</v>
      </c>
      <c r="AE71" s="80">
        <f>SUMIFS('сентябрь 2024'!$G$4:$G$2091,'сентябрь 2024'!$D$4:$D$2091,$B71,'сентябрь 2024'!$J$4:$J$2091,AE$1)</f>
        <v>0</v>
      </c>
      <c r="AF71" s="80">
        <f>SUMIFS('сентябрь 2024'!$G$4:$G$2091,'сентябрь 2024'!$D$4:$D$2091,$B71,'сентябрь 2024'!$J$4:$J$2091,AF$1)</f>
        <v>0</v>
      </c>
      <c r="AG71" s="80">
        <f>SUMIFS('сентябрь 2024'!$G$4:$G$2091,'сентябрь 2024'!$D$4:$D$2091,$B71,'сентябрь 2024'!$J$4:$J$2091,AG$1)</f>
        <v>0</v>
      </c>
      <c r="AH71" s="80">
        <f>SUMIFS('сентябрь 2024'!$G$4:$G$2091,'сентябрь 2024'!$D$4:$D$2091,$B71,'сентябрь 2024'!$J$4:$J$2091,AH$1)</f>
        <v>0</v>
      </c>
      <c r="AI71" s="21">
        <f t="shared" si="1"/>
        <v>0</v>
      </c>
    </row>
    <row r="72" spans="2:35" ht="15" customHeight="1" x14ac:dyDescent="0.25">
      <c r="B72" s="93" t="s">
        <v>320</v>
      </c>
      <c r="C72" s="91">
        <v>190</v>
      </c>
      <c r="D72" s="80">
        <f>SUMIFS('сентябрь 2024'!$G$4:$G$2091,'сентябрь 2024'!$D$4:$D$2091,$B72,'сентябрь 2024'!$J$4:$J$2091,D$1)</f>
        <v>0</v>
      </c>
      <c r="E72" s="80">
        <f>SUMIFS('сентябрь 2024'!$G$4:$G$2091,'сентябрь 2024'!$D$4:$D$2091,$B72,'сентябрь 2024'!$J$4:$J$2091,E$1)</f>
        <v>0</v>
      </c>
      <c r="F72" s="80">
        <f>SUMIFS('сентябрь 2024'!$G$4:$G$2091,'сентябрь 2024'!$D$4:$D$2091,$B72,'сентябрь 2024'!$J$4:$J$2091,F$1)</f>
        <v>0</v>
      </c>
      <c r="G72" s="80">
        <f>SUMIFS('сентябрь 2024'!$G$4:$G$2091,'сентябрь 2024'!$D$4:$D$2091,$B72,'сентябрь 2024'!$J$4:$J$2091,G$1)</f>
        <v>0</v>
      </c>
      <c r="H72" s="80">
        <f>SUMIFS('сентябрь 2024'!$G$4:$G$2091,'сентябрь 2024'!$D$4:$D$2091,$B72,'сентябрь 2024'!$J$4:$J$2091,H$1)</f>
        <v>0</v>
      </c>
      <c r="I72" s="80">
        <f>SUMIFS('сентябрь 2024'!$G$4:$G$2091,'сентябрь 2024'!$D$4:$D$2091,$B72,'сентябрь 2024'!$J$4:$J$2091,I$1)</f>
        <v>0</v>
      </c>
      <c r="J72" s="80">
        <f>SUMIFS('сентябрь 2024'!$G$4:$G$2091,'сентябрь 2024'!$D$4:$D$2091,$B72,'сентябрь 2024'!$J$4:$J$2091,J$1)</f>
        <v>0</v>
      </c>
      <c r="K72" s="80">
        <f>SUMIFS('сентябрь 2024'!$G$4:$G$2091,'сентябрь 2024'!$D$4:$D$2091,$B72,'сентябрь 2024'!$J$4:$J$2091,K$1)</f>
        <v>0</v>
      </c>
      <c r="L72" s="80">
        <f>SUMIFS('сентябрь 2024'!$G$4:$G$2091,'сентябрь 2024'!$D$4:$D$2091,$B72,'сентябрь 2024'!$J$4:$J$2091,L$1)</f>
        <v>0</v>
      </c>
      <c r="M72" s="80">
        <f>SUMIFS('сентябрь 2024'!$G$4:$G$2091,'сентябрь 2024'!$D$4:$D$2091,$B72,'сентябрь 2024'!$J$4:$J$2091,M$1)</f>
        <v>0</v>
      </c>
      <c r="N72" s="80">
        <f>SUMIFS('сентябрь 2024'!$G$4:$G$2091,'сентябрь 2024'!$D$4:$D$2091,$B72,'сентябрь 2024'!$J$4:$J$2091,N$1)</f>
        <v>0</v>
      </c>
      <c r="O72" s="80">
        <f>SUMIFS('сентябрь 2024'!$G$4:$G$2091,'сентябрь 2024'!$D$4:$D$2091,$B72,'сентябрь 2024'!$J$4:$J$2091,O$1)</f>
        <v>0</v>
      </c>
      <c r="P72" s="80">
        <f>SUMIFS('сентябрь 2024'!$G$4:$G$2091,'сентябрь 2024'!$D$4:$D$2091,$B72,'сентябрь 2024'!$J$4:$J$2091,P$1)</f>
        <v>0</v>
      </c>
      <c r="Q72" s="80">
        <f>SUMIFS('сентябрь 2024'!$G$4:$G$2091,'сентябрь 2024'!$D$4:$D$2091,$B72,'сентябрь 2024'!$J$4:$J$2091,Q$1)</f>
        <v>0</v>
      </c>
      <c r="R72" s="80">
        <f>SUMIFS('сентябрь 2024'!$G$4:$G$2091,'сентябрь 2024'!$D$4:$D$2091,$B72,'сентябрь 2024'!$J$4:$J$2091,R$1)</f>
        <v>0</v>
      </c>
      <c r="S72" s="80">
        <f>SUMIFS('сентябрь 2024'!$G$4:$G$2091,'сентябрь 2024'!$D$4:$D$2091,$B72,'сентябрь 2024'!$J$4:$J$2091,S$1)</f>
        <v>0</v>
      </c>
      <c r="T72" s="80">
        <f>SUMIFS('сентябрь 2024'!$G$4:$G$2091,'сентябрь 2024'!$D$4:$D$2091,$B72,'сентябрь 2024'!$J$4:$J$2091,T$1)</f>
        <v>0</v>
      </c>
      <c r="U72" s="80">
        <f>SUMIFS('сентябрь 2024'!$G$4:$G$2091,'сентябрь 2024'!$D$4:$D$2091,$B72,'сентябрь 2024'!$J$4:$J$2091,U$1)</f>
        <v>0</v>
      </c>
      <c r="V72" s="80">
        <f>SUMIFS('сентябрь 2024'!$G$4:$G$2091,'сентябрь 2024'!$D$4:$D$2091,$B72,'сентябрь 2024'!$J$4:$J$2091,V$1)</f>
        <v>0</v>
      </c>
      <c r="W72" s="80">
        <f>SUMIFS('сентябрь 2024'!$G$4:$G$2091,'сентябрь 2024'!$D$4:$D$2091,$B72,'сентябрь 2024'!$J$4:$J$2091,W$1)</f>
        <v>0</v>
      </c>
      <c r="X72" s="80">
        <f>SUMIFS('сентябрь 2024'!$G$4:$G$2091,'сентябрь 2024'!$D$4:$D$2091,$B72,'сентябрь 2024'!$J$4:$J$2091,X$1)</f>
        <v>0</v>
      </c>
      <c r="Y72" s="80">
        <f>SUMIFS('сентябрь 2024'!$G$4:$G$2091,'сентябрь 2024'!$D$4:$D$2091,$B72,'сентябрь 2024'!$J$4:$J$2091,Y$1)</f>
        <v>0</v>
      </c>
      <c r="Z72" s="80">
        <f>SUMIFS('сентябрь 2024'!$G$4:$G$2091,'сентябрь 2024'!$D$4:$D$2091,$B72,'сентябрь 2024'!$J$4:$J$2091,Z$1)</f>
        <v>0</v>
      </c>
      <c r="AA72" s="80">
        <f>SUMIFS('сентябрь 2024'!$G$4:$G$2091,'сентябрь 2024'!$D$4:$D$2091,$B72,'сентябрь 2024'!$J$4:$J$2091,AA$1)</f>
        <v>0</v>
      </c>
      <c r="AB72" s="80">
        <f>SUMIFS('сентябрь 2024'!$G$4:$G$2091,'сентябрь 2024'!$D$4:$D$2091,$B72,'сентябрь 2024'!$J$4:$J$2091,AB$1)</f>
        <v>0</v>
      </c>
      <c r="AC72" s="80">
        <f>SUMIFS('сентябрь 2024'!$G$4:$G$2091,'сентябрь 2024'!$D$4:$D$2091,$B72,'сентябрь 2024'!$J$4:$J$2091,AC$1)</f>
        <v>0</v>
      </c>
      <c r="AD72" s="80">
        <f>SUMIFS('сентябрь 2024'!$G$4:$G$2091,'сентябрь 2024'!$D$4:$D$2091,$B72,'сентябрь 2024'!$J$4:$J$2091,AD$1)</f>
        <v>0</v>
      </c>
      <c r="AE72" s="80">
        <f>SUMIFS('сентябрь 2024'!$G$4:$G$2091,'сентябрь 2024'!$D$4:$D$2091,$B72,'сентябрь 2024'!$J$4:$J$2091,AE$1)</f>
        <v>0</v>
      </c>
      <c r="AF72" s="80">
        <f>SUMIFS('сентябрь 2024'!$G$4:$G$2091,'сентябрь 2024'!$D$4:$D$2091,$B72,'сентябрь 2024'!$J$4:$J$2091,AF$1)</f>
        <v>0</v>
      </c>
      <c r="AG72" s="80">
        <f>SUMIFS('сентябрь 2024'!$G$4:$G$2091,'сентябрь 2024'!$D$4:$D$2091,$B72,'сентябрь 2024'!$J$4:$J$2091,AG$1)</f>
        <v>0</v>
      </c>
      <c r="AH72" s="80">
        <f>SUMIFS('сентябрь 2024'!$G$4:$G$2091,'сентябрь 2024'!$D$4:$D$2091,$B72,'сентябрь 2024'!$J$4:$J$2091,AH$1)</f>
        <v>0</v>
      </c>
      <c r="AI72" s="21">
        <f t="shared" si="1"/>
        <v>0</v>
      </c>
    </row>
    <row r="73" spans="2:35" ht="15" customHeight="1" x14ac:dyDescent="0.25">
      <c r="B73" s="93" t="s">
        <v>210</v>
      </c>
      <c r="C73" s="91">
        <v>200</v>
      </c>
      <c r="D73" s="80">
        <f>SUMIFS('сентябрь 2024'!$G$4:$G$2091,'сентябрь 2024'!$D$4:$D$2091,$B73,'сентябрь 2024'!$J$4:$J$2091,D$1)</f>
        <v>0</v>
      </c>
      <c r="E73" s="80">
        <f>SUMIFS('сентябрь 2024'!$G$4:$G$2091,'сентябрь 2024'!$D$4:$D$2091,$B73,'сентябрь 2024'!$J$4:$J$2091,E$1)</f>
        <v>0</v>
      </c>
      <c r="F73" s="80">
        <f>SUMIFS('сентябрь 2024'!$G$4:$G$2091,'сентябрь 2024'!$D$4:$D$2091,$B73,'сентябрь 2024'!$J$4:$J$2091,F$1)</f>
        <v>0</v>
      </c>
      <c r="G73" s="80">
        <f>SUMIFS('сентябрь 2024'!$G$4:$G$2091,'сентябрь 2024'!$D$4:$D$2091,$B73,'сентябрь 2024'!$J$4:$J$2091,G$1)</f>
        <v>0</v>
      </c>
      <c r="H73" s="80">
        <f>SUMIFS('сентябрь 2024'!$G$4:$G$2091,'сентябрь 2024'!$D$4:$D$2091,$B73,'сентябрь 2024'!$J$4:$J$2091,H$1)</f>
        <v>0</v>
      </c>
      <c r="I73" s="80">
        <f>SUMIFS('сентябрь 2024'!$G$4:$G$2091,'сентябрь 2024'!$D$4:$D$2091,$B73,'сентябрь 2024'!$J$4:$J$2091,I$1)</f>
        <v>0</v>
      </c>
      <c r="J73" s="80">
        <f>SUMIFS('сентябрь 2024'!$G$4:$G$2091,'сентябрь 2024'!$D$4:$D$2091,$B73,'сентябрь 2024'!$J$4:$J$2091,J$1)</f>
        <v>0</v>
      </c>
      <c r="K73" s="80">
        <f>SUMIFS('сентябрь 2024'!$G$4:$G$2091,'сентябрь 2024'!$D$4:$D$2091,$B73,'сентябрь 2024'!$J$4:$J$2091,K$1)</f>
        <v>0</v>
      </c>
      <c r="L73" s="80">
        <f>SUMIFS('сентябрь 2024'!$G$4:$G$2091,'сентябрь 2024'!$D$4:$D$2091,$B73,'сентябрь 2024'!$J$4:$J$2091,L$1)</f>
        <v>0</v>
      </c>
      <c r="M73" s="80">
        <f>SUMIFS('сентябрь 2024'!$G$4:$G$2091,'сентябрь 2024'!$D$4:$D$2091,$B73,'сентябрь 2024'!$J$4:$J$2091,M$1)</f>
        <v>0</v>
      </c>
      <c r="N73" s="80">
        <f>SUMIFS('сентябрь 2024'!$G$4:$G$2091,'сентябрь 2024'!$D$4:$D$2091,$B73,'сентябрь 2024'!$J$4:$J$2091,N$1)</f>
        <v>0</v>
      </c>
      <c r="O73" s="80">
        <f>SUMIFS('сентябрь 2024'!$G$4:$G$2091,'сентябрь 2024'!$D$4:$D$2091,$B73,'сентябрь 2024'!$J$4:$J$2091,O$1)</f>
        <v>0</v>
      </c>
      <c r="P73" s="80">
        <f>SUMIFS('сентябрь 2024'!$G$4:$G$2091,'сентябрь 2024'!$D$4:$D$2091,$B73,'сентябрь 2024'!$J$4:$J$2091,P$1)</f>
        <v>0</v>
      </c>
      <c r="Q73" s="80">
        <f>SUMIFS('сентябрь 2024'!$G$4:$G$2091,'сентябрь 2024'!$D$4:$D$2091,$B73,'сентябрь 2024'!$J$4:$J$2091,Q$1)</f>
        <v>0</v>
      </c>
      <c r="R73" s="80">
        <f>SUMIFS('сентябрь 2024'!$G$4:$G$2091,'сентябрь 2024'!$D$4:$D$2091,$B73,'сентябрь 2024'!$J$4:$J$2091,R$1)</f>
        <v>0</v>
      </c>
      <c r="S73" s="80">
        <f>SUMIFS('сентябрь 2024'!$G$4:$G$2091,'сентябрь 2024'!$D$4:$D$2091,$B73,'сентябрь 2024'!$J$4:$J$2091,S$1)</f>
        <v>0</v>
      </c>
      <c r="T73" s="80">
        <f>SUMIFS('сентябрь 2024'!$G$4:$G$2091,'сентябрь 2024'!$D$4:$D$2091,$B73,'сентябрь 2024'!$J$4:$J$2091,T$1)</f>
        <v>0</v>
      </c>
      <c r="U73" s="80">
        <f>SUMIFS('сентябрь 2024'!$G$4:$G$2091,'сентябрь 2024'!$D$4:$D$2091,$B73,'сентябрь 2024'!$J$4:$J$2091,U$1)</f>
        <v>0</v>
      </c>
      <c r="V73" s="80">
        <f>SUMIFS('сентябрь 2024'!$G$4:$G$2091,'сентябрь 2024'!$D$4:$D$2091,$B73,'сентябрь 2024'!$J$4:$J$2091,V$1)</f>
        <v>0</v>
      </c>
      <c r="W73" s="80">
        <f>SUMIFS('сентябрь 2024'!$G$4:$G$2091,'сентябрь 2024'!$D$4:$D$2091,$B73,'сентябрь 2024'!$J$4:$J$2091,W$1)</f>
        <v>0</v>
      </c>
      <c r="X73" s="80">
        <f>SUMIFS('сентябрь 2024'!$G$4:$G$2091,'сентябрь 2024'!$D$4:$D$2091,$B73,'сентябрь 2024'!$J$4:$J$2091,X$1)</f>
        <v>0</v>
      </c>
      <c r="Y73" s="80">
        <f>SUMIFS('сентябрь 2024'!$G$4:$G$2091,'сентябрь 2024'!$D$4:$D$2091,$B73,'сентябрь 2024'!$J$4:$J$2091,Y$1)</f>
        <v>0</v>
      </c>
      <c r="Z73" s="80">
        <f>SUMIFS('сентябрь 2024'!$G$4:$G$2091,'сентябрь 2024'!$D$4:$D$2091,$B73,'сентябрь 2024'!$J$4:$J$2091,Z$1)</f>
        <v>0</v>
      </c>
      <c r="AA73" s="80">
        <f>SUMIFS('сентябрь 2024'!$G$4:$G$2091,'сентябрь 2024'!$D$4:$D$2091,$B73,'сентябрь 2024'!$J$4:$J$2091,AA$1)</f>
        <v>0</v>
      </c>
      <c r="AB73" s="80">
        <f>SUMIFS('сентябрь 2024'!$G$4:$G$2091,'сентябрь 2024'!$D$4:$D$2091,$B73,'сентябрь 2024'!$J$4:$J$2091,AB$1)</f>
        <v>0</v>
      </c>
      <c r="AC73" s="80">
        <f>SUMIFS('сентябрь 2024'!$G$4:$G$2091,'сентябрь 2024'!$D$4:$D$2091,$B73,'сентябрь 2024'!$J$4:$J$2091,AC$1)</f>
        <v>0</v>
      </c>
      <c r="AD73" s="80">
        <f>SUMIFS('сентябрь 2024'!$G$4:$G$2091,'сентябрь 2024'!$D$4:$D$2091,$B73,'сентябрь 2024'!$J$4:$J$2091,AD$1)</f>
        <v>0</v>
      </c>
      <c r="AE73" s="80">
        <f>SUMIFS('сентябрь 2024'!$G$4:$G$2091,'сентябрь 2024'!$D$4:$D$2091,$B73,'сентябрь 2024'!$J$4:$J$2091,AE$1)</f>
        <v>0</v>
      </c>
      <c r="AF73" s="80">
        <f>SUMIFS('сентябрь 2024'!$G$4:$G$2091,'сентябрь 2024'!$D$4:$D$2091,$B73,'сентябрь 2024'!$J$4:$J$2091,AF$1)</f>
        <v>0</v>
      </c>
      <c r="AG73" s="80">
        <f>SUMIFS('сентябрь 2024'!$G$4:$G$2091,'сентябрь 2024'!$D$4:$D$2091,$B73,'сентябрь 2024'!$J$4:$J$2091,AG$1)</f>
        <v>0</v>
      </c>
      <c r="AH73" s="80">
        <f>SUMIFS('сентябрь 2024'!$G$4:$G$2091,'сентябрь 2024'!$D$4:$D$2091,$B73,'сентябрь 2024'!$J$4:$J$2091,AH$1)</f>
        <v>0</v>
      </c>
      <c r="AI73" s="21">
        <f t="shared" si="1"/>
        <v>0</v>
      </c>
    </row>
    <row r="74" spans="2:35" ht="15" customHeight="1" x14ac:dyDescent="0.25">
      <c r="B74" s="93" t="s">
        <v>221</v>
      </c>
      <c r="C74" s="91">
        <v>25</v>
      </c>
      <c r="D74" s="80">
        <f>SUMIFS('сентябрь 2024'!$G$4:$G$2091,'сентябрь 2024'!$D$4:$D$2091,$B74,'сентябрь 2024'!$J$4:$J$2091,D$1)</f>
        <v>0</v>
      </c>
      <c r="E74" s="80">
        <f>SUMIFS('сентябрь 2024'!$G$4:$G$2091,'сентябрь 2024'!$D$4:$D$2091,$B74,'сентябрь 2024'!$J$4:$J$2091,E$1)</f>
        <v>0</v>
      </c>
      <c r="F74" s="80">
        <f>SUMIFS('сентябрь 2024'!$G$4:$G$2091,'сентябрь 2024'!$D$4:$D$2091,$B74,'сентябрь 2024'!$J$4:$J$2091,F$1)</f>
        <v>0</v>
      </c>
      <c r="G74" s="80">
        <f>SUMIFS('сентябрь 2024'!$G$4:$G$2091,'сентябрь 2024'!$D$4:$D$2091,$B74,'сентябрь 2024'!$J$4:$J$2091,G$1)</f>
        <v>0</v>
      </c>
      <c r="H74" s="80">
        <f>SUMIFS('сентябрь 2024'!$G$4:$G$2091,'сентябрь 2024'!$D$4:$D$2091,$B74,'сентябрь 2024'!$J$4:$J$2091,H$1)</f>
        <v>0</v>
      </c>
      <c r="I74" s="80">
        <f>SUMIFS('сентябрь 2024'!$G$4:$G$2091,'сентябрь 2024'!$D$4:$D$2091,$B74,'сентябрь 2024'!$J$4:$J$2091,I$1)</f>
        <v>0</v>
      </c>
      <c r="J74" s="80">
        <f>SUMIFS('сентябрь 2024'!$G$4:$G$2091,'сентябрь 2024'!$D$4:$D$2091,$B74,'сентябрь 2024'!$J$4:$J$2091,J$1)</f>
        <v>0</v>
      </c>
      <c r="K74" s="80">
        <f>SUMIFS('сентябрь 2024'!$G$4:$G$2091,'сентябрь 2024'!$D$4:$D$2091,$B74,'сентябрь 2024'!$J$4:$J$2091,K$1)</f>
        <v>0</v>
      </c>
      <c r="L74" s="80">
        <f>SUMIFS('сентябрь 2024'!$G$4:$G$2091,'сентябрь 2024'!$D$4:$D$2091,$B74,'сентябрь 2024'!$J$4:$J$2091,L$1)</f>
        <v>0</v>
      </c>
      <c r="M74" s="80">
        <f>SUMIFS('сентябрь 2024'!$G$4:$G$2091,'сентябрь 2024'!$D$4:$D$2091,$B74,'сентябрь 2024'!$J$4:$J$2091,M$1)</f>
        <v>0</v>
      </c>
      <c r="N74" s="80">
        <f>SUMIFS('сентябрь 2024'!$G$4:$G$2091,'сентябрь 2024'!$D$4:$D$2091,$B74,'сентябрь 2024'!$J$4:$J$2091,N$1)</f>
        <v>0</v>
      </c>
      <c r="O74" s="80">
        <f>SUMIFS('сентябрь 2024'!$G$4:$G$2091,'сентябрь 2024'!$D$4:$D$2091,$B74,'сентябрь 2024'!$J$4:$J$2091,O$1)</f>
        <v>0</v>
      </c>
      <c r="P74" s="80">
        <f>SUMIFS('сентябрь 2024'!$G$4:$G$2091,'сентябрь 2024'!$D$4:$D$2091,$B74,'сентябрь 2024'!$J$4:$J$2091,P$1)</f>
        <v>0</v>
      </c>
      <c r="Q74" s="80">
        <f>SUMIFS('сентябрь 2024'!$G$4:$G$2091,'сентябрь 2024'!$D$4:$D$2091,$B74,'сентябрь 2024'!$J$4:$J$2091,Q$1)</f>
        <v>0</v>
      </c>
      <c r="R74" s="80">
        <f>SUMIFS('сентябрь 2024'!$G$4:$G$2091,'сентябрь 2024'!$D$4:$D$2091,$B74,'сентябрь 2024'!$J$4:$J$2091,R$1)</f>
        <v>0</v>
      </c>
      <c r="S74" s="80">
        <f>SUMIFS('сентябрь 2024'!$G$4:$G$2091,'сентябрь 2024'!$D$4:$D$2091,$B74,'сентябрь 2024'!$J$4:$J$2091,S$1)</f>
        <v>0</v>
      </c>
      <c r="T74" s="80">
        <f>SUMIFS('сентябрь 2024'!$G$4:$G$2091,'сентябрь 2024'!$D$4:$D$2091,$B74,'сентябрь 2024'!$J$4:$J$2091,T$1)</f>
        <v>0</v>
      </c>
      <c r="U74" s="80">
        <f>SUMIFS('сентябрь 2024'!$G$4:$G$2091,'сентябрь 2024'!$D$4:$D$2091,$B74,'сентябрь 2024'!$J$4:$J$2091,U$1)</f>
        <v>0</v>
      </c>
      <c r="V74" s="80">
        <f>SUMIFS('сентябрь 2024'!$G$4:$G$2091,'сентябрь 2024'!$D$4:$D$2091,$B74,'сентябрь 2024'!$J$4:$J$2091,V$1)</f>
        <v>0</v>
      </c>
      <c r="W74" s="80">
        <f>SUMIFS('сентябрь 2024'!$G$4:$G$2091,'сентябрь 2024'!$D$4:$D$2091,$B74,'сентябрь 2024'!$J$4:$J$2091,W$1)</f>
        <v>0</v>
      </c>
      <c r="X74" s="80">
        <f>SUMIFS('сентябрь 2024'!$G$4:$G$2091,'сентябрь 2024'!$D$4:$D$2091,$B74,'сентябрь 2024'!$J$4:$J$2091,X$1)</f>
        <v>0</v>
      </c>
      <c r="Y74" s="80">
        <f>SUMIFS('сентябрь 2024'!$G$4:$G$2091,'сентябрь 2024'!$D$4:$D$2091,$B74,'сентябрь 2024'!$J$4:$J$2091,Y$1)</f>
        <v>0</v>
      </c>
      <c r="Z74" s="80">
        <f>SUMIFS('сентябрь 2024'!$G$4:$G$2091,'сентябрь 2024'!$D$4:$D$2091,$B74,'сентябрь 2024'!$J$4:$J$2091,Z$1)</f>
        <v>0</v>
      </c>
      <c r="AA74" s="80">
        <f>SUMIFS('сентябрь 2024'!$G$4:$G$2091,'сентябрь 2024'!$D$4:$D$2091,$B74,'сентябрь 2024'!$J$4:$J$2091,AA$1)</f>
        <v>0</v>
      </c>
      <c r="AB74" s="80">
        <f>SUMIFS('сентябрь 2024'!$G$4:$G$2091,'сентябрь 2024'!$D$4:$D$2091,$B74,'сентябрь 2024'!$J$4:$J$2091,AB$1)</f>
        <v>0</v>
      </c>
      <c r="AC74" s="80">
        <f>SUMIFS('сентябрь 2024'!$G$4:$G$2091,'сентябрь 2024'!$D$4:$D$2091,$B74,'сентябрь 2024'!$J$4:$J$2091,AC$1)</f>
        <v>0</v>
      </c>
      <c r="AD74" s="80">
        <f>SUMIFS('сентябрь 2024'!$G$4:$G$2091,'сентябрь 2024'!$D$4:$D$2091,$B74,'сентябрь 2024'!$J$4:$J$2091,AD$1)</f>
        <v>0</v>
      </c>
      <c r="AE74" s="80">
        <f>SUMIFS('сентябрь 2024'!$G$4:$G$2091,'сентябрь 2024'!$D$4:$D$2091,$B74,'сентябрь 2024'!$J$4:$J$2091,AE$1)</f>
        <v>0</v>
      </c>
      <c r="AF74" s="80">
        <f>SUMIFS('сентябрь 2024'!$G$4:$G$2091,'сентябрь 2024'!$D$4:$D$2091,$B74,'сентябрь 2024'!$J$4:$J$2091,AF$1)</f>
        <v>0</v>
      </c>
      <c r="AG74" s="80">
        <f>SUMIFS('сентябрь 2024'!$G$4:$G$2091,'сентябрь 2024'!$D$4:$D$2091,$B74,'сентябрь 2024'!$J$4:$J$2091,AG$1)</f>
        <v>0</v>
      </c>
      <c r="AH74" s="80">
        <f>SUMIFS('сентябрь 2024'!$G$4:$G$2091,'сентябрь 2024'!$D$4:$D$2091,$B74,'сентябрь 2024'!$J$4:$J$2091,AH$1)</f>
        <v>0</v>
      </c>
      <c r="AI74" s="21">
        <f t="shared" si="1"/>
        <v>0</v>
      </c>
    </row>
    <row r="75" spans="2:35" ht="15" customHeight="1" x14ac:dyDescent="0.25">
      <c r="B75" s="93" t="s">
        <v>188</v>
      </c>
      <c r="C75" s="91">
        <v>50</v>
      </c>
      <c r="D75" s="80">
        <f>SUMIFS('сентябрь 2024'!$G$4:$G$2091,'сентябрь 2024'!$D$4:$D$2091,$B75,'сентябрь 2024'!$J$4:$J$2091,D$1)</f>
        <v>0</v>
      </c>
      <c r="E75" s="80">
        <f>SUMIFS('сентябрь 2024'!$G$4:$G$2091,'сентябрь 2024'!$D$4:$D$2091,$B75,'сентябрь 2024'!$J$4:$J$2091,E$1)</f>
        <v>0</v>
      </c>
      <c r="F75" s="80">
        <f>SUMIFS('сентябрь 2024'!$G$4:$G$2091,'сентябрь 2024'!$D$4:$D$2091,$B75,'сентябрь 2024'!$J$4:$J$2091,F$1)</f>
        <v>0</v>
      </c>
      <c r="G75" s="80">
        <f>SUMIFS('сентябрь 2024'!$G$4:$G$2091,'сентябрь 2024'!$D$4:$D$2091,$B75,'сентябрь 2024'!$J$4:$J$2091,G$1)</f>
        <v>0</v>
      </c>
      <c r="H75" s="80">
        <f>SUMIFS('сентябрь 2024'!$G$4:$G$2091,'сентябрь 2024'!$D$4:$D$2091,$B75,'сентябрь 2024'!$J$4:$J$2091,H$1)</f>
        <v>0</v>
      </c>
      <c r="I75" s="80">
        <f>SUMIFS('сентябрь 2024'!$G$4:$G$2091,'сентябрь 2024'!$D$4:$D$2091,$B75,'сентябрь 2024'!$J$4:$J$2091,I$1)</f>
        <v>0</v>
      </c>
      <c r="J75" s="80">
        <f>SUMIFS('сентябрь 2024'!$G$4:$G$2091,'сентябрь 2024'!$D$4:$D$2091,$B75,'сентябрь 2024'!$J$4:$J$2091,J$1)</f>
        <v>0</v>
      </c>
      <c r="K75" s="80">
        <f>SUMIFS('сентябрь 2024'!$G$4:$G$2091,'сентябрь 2024'!$D$4:$D$2091,$B75,'сентябрь 2024'!$J$4:$J$2091,K$1)</f>
        <v>0</v>
      </c>
      <c r="L75" s="80">
        <f>SUMIFS('сентябрь 2024'!$G$4:$G$2091,'сентябрь 2024'!$D$4:$D$2091,$B75,'сентябрь 2024'!$J$4:$J$2091,L$1)</f>
        <v>0</v>
      </c>
      <c r="M75" s="80">
        <f>SUMIFS('сентябрь 2024'!$G$4:$G$2091,'сентябрь 2024'!$D$4:$D$2091,$B75,'сентябрь 2024'!$J$4:$J$2091,M$1)</f>
        <v>0</v>
      </c>
      <c r="N75" s="80">
        <f>SUMIFS('сентябрь 2024'!$G$4:$G$2091,'сентябрь 2024'!$D$4:$D$2091,$B75,'сентябрь 2024'!$J$4:$J$2091,N$1)</f>
        <v>0</v>
      </c>
      <c r="O75" s="80">
        <f>SUMIFS('сентябрь 2024'!$G$4:$G$2091,'сентябрь 2024'!$D$4:$D$2091,$B75,'сентябрь 2024'!$J$4:$J$2091,O$1)</f>
        <v>0</v>
      </c>
      <c r="P75" s="80">
        <f>SUMIFS('сентябрь 2024'!$G$4:$G$2091,'сентябрь 2024'!$D$4:$D$2091,$B75,'сентябрь 2024'!$J$4:$J$2091,P$1)</f>
        <v>0</v>
      </c>
      <c r="Q75" s="80">
        <f>SUMIFS('сентябрь 2024'!$G$4:$G$2091,'сентябрь 2024'!$D$4:$D$2091,$B75,'сентябрь 2024'!$J$4:$J$2091,Q$1)</f>
        <v>0</v>
      </c>
      <c r="R75" s="80">
        <f>SUMIFS('сентябрь 2024'!$G$4:$G$2091,'сентябрь 2024'!$D$4:$D$2091,$B75,'сентябрь 2024'!$J$4:$J$2091,R$1)</f>
        <v>0</v>
      </c>
      <c r="S75" s="80">
        <f>SUMIFS('сентябрь 2024'!$G$4:$G$2091,'сентябрь 2024'!$D$4:$D$2091,$B75,'сентябрь 2024'!$J$4:$J$2091,S$1)</f>
        <v>0</v>
      </c>
      <c r="T75" s="80">
        <f>SUMIFS('сентябрь 2024'!$G$4:$G$2091,'сентябрь 2024'!$D$4:$D$2091,$B75,'сентябрь 2024'!$J$4:$J$2091,T$1)</f>
        <v>0</v>
      </c>
      <c r="U75" s="80">
        <f>SUMIFS('сентябрь 2024'!$G$4:$G$2091,'сентябрь 2024'!$D$4:$D$2091,$B75,'сентябрь 2024'!$J$4:$J$2091,U$1)</f>
        <v>0</v>
      </c>
      <c r="V75" s="80">
        <f>SUMIFS('сентябрь 2024'!$G$4:$G$2091,'сентябрь 2024'!$D$4:$D$2091,$B75,'сентябрь 2024'!$J$4:$J$2091,V$1)</f>
        <v>0</v>
      </c>
      <c r="W75" s="80">
        <f>SUMIFS('сентябрь 2024'!$G$4:$G$2091,'сентябрь 2024'!$D$4:$D$2091,$B75,'сентябрь 2024'!$J$4:$J$2091,W$1)</f>
        <v>0</v>
      </c>
      <c r="X75" s="80">
        <f>SUMIFS('сентябрь 2024'!$G$4:$G$2091,'сентябрь 2024'!$D$4:$D$2091,$B75,'сентябрь 2024'!$J$4:$J$2091,X$1)</f>
        <v>0</v>
      </c>
      <c r="Y75" s="80">
        <f>SUMIFS('сентябрь 2024'!$G$4:$G$2091,'сентябрь 2024'!$D$4:$D$2091,$B75,'сентябрь 2024'!$J$4:$J$2091,Y$1)</f>
        <v>0</v>
      </c>
      <c r="Z75" s="80">
        <f>SUMIFS('сентябрь 2024'!$G$4:$G$2091,'сентябрь 2024'!$D$4:$D$2091,$B75,'сентябрь 2024'!$J$4:$J$2091,Z$1)</f>
        <v>0</v>
      </c>
      <c r="AA75" s="80">
        <f>SUMIFS('сентябрь 2024'!$G$4:$G$2091,'сентябрь 2024'!$D$4:$D$2091,$B75,'сентябрь 2024'!$J$4:$J$2091,AA$1)</f>
        <v>0</v>
      </c>
      <c r="AB75" s="80">
        <f>SUMIFS('сентябрь 2024'!$G$4:$G$2091,'сентябрь 2024'!$D$4:$D$2091,$B75,'сентябрь 2024'!$J$4:$J$2091,AB$1)</f>
        <v>0</v>
      </c>
      <c r="AC75" s="80">
        <f>SUMIFS('сентябрь 2024'!$G$4:$G$2091,'сентябрь 2024'!$D$4:$D$2091,$B75,'сентябрь 2024'!$J$4:$J$2091,AC$1)</f>
        <v>0</v>
      </c>
      <c r="AD75" s="80">
        <f>SUMIFS('сентябрь 2024'!$G$4:$G$2091,'сентябрь 2024'!$D$4:$D$2091,$B75,'сентябрь 2024'!$J$4:$J$2091,AD$1)</f>
        <v>0</v>
      </c>
      <c r="AE75" s="80">
        <f>SUMIFS('сентябрь 2024'!$G$4:$G$2091,'сентябрь 2024'!$D$4:$D$2091,$B75,'сентябрь 2024'!$J$4:$J$2091,AE$1)</f>
        <v>0</v>
      </c>
      <c r="AF75" s="80">
        <f>SUMIFS('сентябрь 2024'!$G$4:$G$2091,'сентябрь 2024'!$D$4:$D$2091,$B75,'сентябрь 2024'!$J$4:$J$2091,AF$1)</f>
        <v>0</v>
      </c>
      <c r="AG75" s="80">
        <f>SUMIFS('сентябрь 2024'!$G$4:$G$2091,'сентябрь 2024'!$D$4:$D$2091,$B75,'сентябрь 2024'!$J$4:$J$2091,AG$1)</f>
        <v>0</v>
      </c>
      <c r="AH75" s="80">
        <f>SUMIFS('сентябрь 2024'!$G$4:$G$2091,'сентябрь 2024'!$D$4:$D$2091,$B75,'сентябрь 2024'!$J$4:$J$2091,AH$1)</f>
        <v>0</v>
      </c>
      <c r="AI75" s="21">
        <f t="shared" si="1"/>
        <v>0</v>
      </c>
    </row>
    <row r="76" spans="2:35" ht="15" customHeight="1" x14ac:dyDescent="0.25">
      <c r="B76" s="93" t="s">
        <v>173</v>
      </c>
      <c r="C76" s="91">
        <v>200</v>
      </c>
      <c r="D76" s="80">
        <f>SUMIFS('сентябрь 2024'!$G$4:$G$2091,'сентябрь 2024'!$D$4:$D$2091,$B76,'сентябрь 2024'!$J$4:$J$2091,D$1)</f>
        <v>0</v>
      </c>
      <c r="E76" s="80">
        <f>SUMIFS('сентябрь 2024'!$G$4:$G$2091,'сентябрь 2024'!$D$4:$D$2091,$B76,'сентябрь 2024'!$J$4:$J$2091,E$1)</f>
        <v>0</v>
      </c>
      <c r="F76" s="80">
        <f>SUMIFS('сентябрь 2024'!$G$4:$G$2091,'сентябрь 2024'!$D$4:$D$2091,$B76,'сентябрь 2024'!$J$4:$J$2091,F$1)</f>
        <v>4</v>
      </c>
      <c r="G76" s="80">
        <f>SUMIFS('сентябрь 2024'!$G$4:$G$2091,'сентябрь 2024'!$D$4:$D$2091,$B76,'сентябрь 2024'!$J$4:$J$2091,G$1)</f>
        <v>0</v>
      </c>
      <c r="H76" s="80">
        <f>SUMIFS('сентябрь 2024'!$G$4:$G$2091,'сентябрь 2024'!$D$4:$D$2091,$B76,'сентябрь 2024'!$J$4:$J$2091,H$1)</f>
        <v>0</v>
      </c>
      <c r="I76" s="80">
        <f>SUMIFS('сентябрь 2024'!$G$4:$G$2091,'сентябрь 2024'!$D$4:$D$2091,$B76,'сентябрь 2024'!$J$4:$J$2091,I$1)</f>
        <v>0</v>
      </c>
      <c r="J76" s="80">
        <f>SUMIFS('сентябрь 2024'!$G$4:$G$2091,'сентябрь 2024'!$D$4:$D$2091,$B76,'сентябрь 2024'!$J$4:$J$2091,J$1)</f>
        <v>0</v>
      </c>
      <c r="K76" s="80">
        <f>SUMIFS('сентябрь 2024'!$G$4:$G$2091,'сентябрь 2024'!$D$4:$D$2091,$B76,'сентябрь 2024'!$J$4:$J$2091,K$1)</f>
        <v>0</v>
      </c>
      <c r="L76" s="80">
        <f>SUMIFS('сентябрь 2024'!$G$4:$G$2091,'сентябрь 2024'!$D$4:$D$2091,$B76,'сентябрь 2024'!$J$4:$J$2091,L$1)</f>
        <v>0</v>
      </c>
      <c r="M76" s="80">
        <f>SUMIFS('сентябрь 2024'!$G$4:$G$2091,'сентябрь 2024'!$D$4:$D$2091,$B76,'сентябрь 2024'!$J$4:$J$2091,M$1)</f>
        <v>0</v>
      </c>
      <c r="N76" s="80">
        <f>SUMIFS('сентябрь 2024'!$G$4:$G$2091,'сентябрь 2024'!$D$4:$D$2091,$B76,'сентябрь 2024'!$J$4:$J$2091,N$1)</f>
        <v>0</v>
      </c>
      <c r="O76" s="80">
        <f>SUMIFS('сентябрь 2024'!$G$4:$G$2091,'сентябрь 2024'!$D$4:$D$2091,$B76,'сентябрь 2024'!$J$4:$J$2091,O$1)</f>
        <v>0</v>
      </c>
      <c r="P76" s="80">
        <f>SUMIFS('сентябрь 2024'!$G$4:$G$2091,'сентябрь 2024'!$D$4:$D$2091,$B76,'сентябрь 2024'!$J$4:$J$2091,P$1)</f>
        <v>0</v>
      </c>
      <c r="Q76" s="80">
        <f>SUMIFS('сентябрь 2024'!$G$4:$G$2091,'сентябрь 2024'!$D$4:$D$2091,$B76,'сентябрь 2024'!$J$4:$J$2091,Q$1)</f>
        <v>0</v>
      </c>
      <c r="R76" s="80">
        <f>SUMIFS('сентябрь 2024'!$G$4:$G$2091,'сентябрь 2024'!$D$4:$D$2091,$B76,'сентябрь 2024'!$J$4:$J$2091,R$1)</f>
        <v>0</v>
      </c>
      <c r="S76" s="80">
        <f>SUMIFS('сентябрь 2024'!$G$4:$G$2091,'сентябрь 2024'!$D$4:$D$2091,$B76,'сентябрь 2024'!$J$4:$J$2091,S$1)</f>
        <v>0</v>
      </c>
      <c r="T76" s="80">
        <f>SUMIFS('сентябрь 2024'!$G$4:$G$2091,'сентябрь 2024'!$D$4:$D$2091,$B76,'сентябрь 2024'!$J$4:$J$2091,T$1)</f>
        <v>0</v>
      </c>
      <c r="U76" s="80">
        <f>SUMIFS('сентябрь 2024'!$G$4:$G$2091,'сентябрь 2024'!$D$4:$D$2091,$B76,'сентябрь 2024'!$J$4:$J$2091,U$1)</f>
        <v>0</v>
      </c>
      <c r="V76" s="80">
        <f>SUMIFS('сентябрь 2024'!$G$4:$G$2091,'сентябрь 2024'!$D$4:$D$2091,$B76,'сентябрь 2024'!$J$4:$J$2091,V$1)</f>
        <v>0</v>
      </c>
      <c r="W76" s="80">
        <f>SUMIFS('сентябрь 2024'!$G$4:$G$2091,'сентябрь 2024'!$D$4:$D$2091,$B76,'сентябрь 2024'!$J$4:$J$2091,W$1)</f>
        <v>0</v>
      </c>
      <c r="X76" s="80">
        <f>SUMIFS('сентябрь 2024'!$G$4:$G$2091,'сентябрь 2024'!$D$4:$D$2091,$B76,'сентябрь 2024'!$J$4:$J$2091,X$1)</f>
        <v>0</v>
      </c>
      <c r="Y76" s="80">
        <f>SUMIFS('сентябрь 2024'!$G$4:$G$2091,'сентябрь 2024'!$D$4:$D$2091,$B76,'сентябрь 2024'!$J$4:$J$2091,Y$1)</f>
        <v>0</v>
      </c>
      <c r="Z76" s="80">
        <f>SUMIFS('сентябрь 2024'!$G$4:$G$2091,'сентябрь 2024'!$D$4:$D$2091,$B76,'сентябрь 2024'!$J$4:$J$2091,Z$1)</f>
        <v>0</v>
      </c>
      <c r="AA76" s="80">
        <f>SUMIFS('сентябрь 2024'!$G$4:$G$2091,'сентябрь 2024'!$D$4:$D$2091,$B76,'сентябрь 2024'!$J$4:$J$2091,AA$1)</f>
        <v>0</v>
      </c>
      <c r="AB76" s="80">
        <f>SUMIFS('сентябрь 2024'!$G$4:$G$2091,'сентябрь 2024'!$D$4:$D$2091,$B76,'сентябрь 2024'!$J$4:$J$2091,AB$1)</f>
        <v>0</v>
      </c>
      <c r="AC76" s="80">
        <f>SUMIFS('сентябрь 2024'!$G$4:$G$2091,'сентябрь 2024'!$D$4:$D$2091,$B76,'сентябрь 2024'!$J$4:$J$2091,AC$1)</f>
        <v>0</v>
      </c>
      <c r="AD76" s="80">
        <f>SUMIFS('сентябрь 2024'!$G$4:$G$2091,'сентябрь 2024'!$D$4:$D$2091,$B76,'сентябрь 2024'!$J$4:$J$2091,AD$1)</f>
        <v>0</v>
      </c>
      <c r="AE76" s="80">
        <f>SUMIFS('сентябрь 2024'!$G$4:$G$2091,'сентябрь 2024'!$D$4:$D$2091,$B76,'сентябрь 2024'!$J$4:$J$2091,AE$1)</f>
        <v>0</v>
      </c>
      <c r="AF76" s="80">
        <f>SUMIFS('сентябрь 2024'!$G$4:$G$2091,'сентябрь 2024'!$D$4:$D$2091,$B76,'сентябрь 2024'!$J$4:$J$2091,AF$1)</f>
        <v>0</v>
      </c>
      <c r="AG76" s="80">
        <f>SUMIFS('сентябрь 2024'!$G$4:$G$2091,'сентябрь 2024'!$D$4:$D$2091,$B76,'сентябрь 2024'!$J$4:$J$2091,AG$1)</f>
        <v>0</v>
      </c>
      <c r="AH76" s="80">
        <f>SUMIFS('сентябрь 2024'!$G$4:$G$2091,'сентябрь 2024'!$D$4:$D$2091,$B76,'сентябрь 2024'!$J$4:$J$2091,AH$1)</f>
        <v>0</v>
      </c>
      <c r="AI76" s="21">
        <f t="shared" si="1"/>
        <v>4</v>
      </c>
    </row>
    <row r="77" spans="2:35" ht="15" customHeight="1" x14ac:dyDescent="0.25">
      <c r="B77" s="93" t="s">
        <v>174</v>
      </c>
      <c r="C77" s="91">
        <v>200</v>
      </c>
      <c r="D77" s="80">
        <f>SUMIFS('сентябрь 2024'!$G$4:$G$2091,'сентябрь 2024'!$D$4:$D$2091,$B77,'сентябрь 2024'!$J$4:$J$2091,D$1)</f>
        <v>0</v>
      </c>
      <c r="E77" s="80">
        <f>SUMIFS('сентябрь 2024'!$G$4:$G$2091,'сентябрь 2024'!$D$4:$D$2091,$B77,'сентябрь 2024'!$J$4:$J$2091,E$1)</f>
        <v>0</v>
      </c>
      <c r="F77" s="80">
        <f>SUMIFS('сентябрь 2024'!$G$4:$G$2091,'сентябрь 2024'!$D$4:$D$2091,$B77,'сентябрь 2024'!$J$4:$J$2091,F$1)</f>
        <v>0</v>
      </c>
      <c r="G77" s="80">
        <f>SUMIFS('сентябрь 2024'!$G$4:$G$2091,'сентябрь 2024'!$D$4:$D$2091,$B77,'сентябрь 2024'!$J$4:$J$2091,G$1)</f>
        <v>0</v>
      </c>
      <c r="H77" s="80">
        <f>SUMIFS('сентябрь 2024'!$G$4:$G$2091,'сентябрь 2024'!$D$4:$D$2091,$B77,'сентябрь 2024'!$J$4:$J$2091,H$1)</f>
        <v>0</v>
      </c>
      <c r="I77" s="80">
        <f>SUMIFS('сентябрь 2024'!$G$4:$G$2091,'сентябрь 2024'!$D$4:$D$2091,$B77,'сентябрь 2024'!$J$4:$J$2091,I$1)</f>
        <v>0</v>
      </c>
      <c r="J77" s="80">
        <f>SUMIFS('сентябрь 2024'!$G$4:$G$2091,'сентябрь 2024'!$D$4:$D$2091,$B77,'сентябрь 2024'!$J$4:$J$2091,J$1)</f>
        <v>0</v>
      </c>
      <c r="K77" s="80">
        <f>SUMIFS('сентябрь 2024'!$G$4:$G$2091,'сентябрь 2024'!$D$4:$D$2091,$B77,'сентябрь 2024'!$J$4:$J$2091,K$1)</f>
        <v>0</v>
      </c>
      <c r="L77" s="80">
        <f>SUMIFS('сентябрь 2024'!$G$4:$G$2091,'сентябрь 2024'!$D$4:$D$2091,$B77,'сентябрь 2024'!$J$4:$J$2091,L$1)</f>
        <v>0</v>
      </c>
      <c r="M77" s="80">
        <f>SUMIFS('сентябрь 2024'!$G$4:$G$2091,'сентябрь 2024'!$D$4:$D$2091,$B77,'сентябрь 2024'!$J$4:$J$2091,M$1)</f>
        <v>0</v>
      </c>
      <c r="N77" s="80">
        <f>SUMIFS('сентябрь 2024'!$G$4:$G$2091,'сентябрь 2024'!$D$4:$D$2091,$B77,'сентябрь 2024'!$J$4:$J$2091,N$1)</f>
        <v>0</v>
      </c>
      <c r="O77" s="80">
        <f>SUMIFS('сентябрь 2024'!$G$4:$G$2091,'сентябрь 2024'!$D$4:$D$2091,$B77,'сентябрь 2024'!$J$4:$J$2091,O$1)</f>
        <v>0</v>
      </c>
      <c r="P77" s="80">
        <f>SUMIFS('сентябрь 2024'!$G$4:$G$2091,'сентябрь 2024'!$D$4:$D$2091,$B77,'сентябрь 2024'!$J$4:$J$2091,P$1)</f>
        <v>0</v>
      </c>
      <c r="Q77" s="80">
        <f>SUMIFS('сентябрь 2024'!$G$4:$G$2091,'сентябрь 2024'!$D$4:$D$2091,$B77,'сентябрь 2024'!$J$4:$J$2091,Q$1)</f>
        <v>0</v>
      </c>
      <c r="R77" s="80">
        <f>SUMIFS('сентябрь 2024'!$G$4:$G$2091,'сентябрь 2024'!$D$4:$D$2091,$B77,'сентябрь 2024'!$J$4:$J$2091,R$1)</f>
        <v>0</v>
      </c>
      <c r="S77" s="80">
        <f>SUMIFS('сентябрь 2024'!$G$4:$G$2091,'сентябрь 2024'!$D$4:$D$2091,$B77,'сентябрь 2024'!$J$4:$J$2091,S$1)</f>
        <v>0</v>
      </c>
      <c r="T77" s="80">
        <f>SUMIFS('сентябрь 2024'!$G$4:$G$2091,'сентябрь 2024'!$D$4:$D$2091,$B77,'сентябрь 2024'!$J$4:$J$2091,T$1)</f>
        <v>0</v>
      </c>
      <c r="U77" s="80">
        <f>SUMIFS('сентябрь 2024'!$G$4:$G$2091,'сентябрь 2024'!$D$4:$D$2091,$B77,'сентябрь 2024'!$J$4:$J$2091,U$1)</f>
        <v>0</v>
      </c>
      <c r="V77" s="80">
        <f>SUMIFS('сентябрь 2024'!$G$4:$G$2091,'сентябрь 2024'!$D$4:$D$2091,$B77,'сентябрь 2024'!$J$4:$J$2091,V$1)</f>
        <v>0</v>
      </c>
      <c r="W77" s="80">
        <f>SUMIFS('сентябрь 2024'!$G$4:$G$2091,'сентябрь 2024'!$D$4:$D$2091,$B77,'сентябрь 2024'!$J$4:$J$2091,W$1)</f>
        <v>0</v>
      </c>
      <c r="X77" s="80">
        <f>SUMIFS('сентябрь 2024'!$G$4:$G$2091,'сентябрь 2024'!$D$4:$D$2091,$B77,'сентябрь 2024'!$J$4:$J$2091,X$1)</f>
        <v>0</v>
      </c>
      <c r="Y77" s="80">
        <f>SUMIFS('сентябрь 2024'!$G$4:$G$2091,'сентябрь 2024'!$D$4:$D$2091,$B77,'сентябрь 2024'!$J$4:$J$2091,Y$1)</f>
        <v>0</v>
      </c>
      <c r="Z77" s="80">
        <f>SUMIFS('сентябрь 2024'!$G$4:$G$2091,'сентябрь 2024'!$D$4:$D$2091,$B77,'сентябрь 2024'!$J$4:$J$2091,Z$1)</f>
        <v>0</v>
      </c>
      <c r="AA77" s="80">
        <f>SUMIFS('сентябрь 2024'!$G$4:$G$2091,'сентябрь 2024'!$D$4:$D$2091,$B77,'сентябрь 2024'!$J$4:$J$2091,AA$1)</f>
        <v>0</v>
      </c>
      <c r="AB77" s="80">
        <f>SUMIFS('сентябрь 2024'!$G$4:$G$2091,'сентябрь 2024'!$D$4:$D$2091,$B77,'сентябрь 2024'!$J$4:$J$2091,AB$1)</f>
        <v>0</v>
      </c>
      <c r="AC77" s="80">
        <f>SUMIFS('сентябрь 2024'!$G$4:$G$2091,'сентябрь 2024'!$D$4:$D$2091,$B77,'сентябрь 2024'!$J$4:$J$2091,AC$1)</f>
        <v>84</v>
      </c>
      <c r="AD77" s="80">
        <f>SUMIFS('сентябрь 2024'!$G$4:$G$2091,'сентябрь 2024'!$D$4:$D$2091,$B77,'сентябрь 2024'!$J$4:$J$2091,AD$1)</f>
        <v>0</v>
      </c>
      <c r="AE77" s="80">
        <f>SUMIFS('сентябрь 2024'!$G$4:$G$2091,'сентябрь 2024'!$D$4:$D$2091,$B77,'сентябрь 2024'!$J$4:$J$2091,AE$1)</f>
        <v>0</v>
      </c>
      <c r="AF77" s="80">
        <f>SUMIFS('сентябрь 2024'!$G$4:$G$2091,'сентябрь 2024'!$D$4:$D$2091,$B77,'сентябрь 2024'!$J$4:$J$2091,AF$1)</f>
        <v>0</v>
      </c>
      <c r="AG77" s="80">
        <f>SUMIFS('сентябрь 2024'!$G$4:$G$2091,'сентябрь 2024'!$D$4:$D$2091,$B77,'сентябрь 2024'!$J$4:$J$2091,AG$1)</f>
        <v>0</v>
      </c>
      <c r="AH77" s="80">
        <f>SUMIFS('сентябрь 2024'!$G$4:$G$2091,'сентябрь 2024'!$D$4:$D$2091,$B77,'сентябрь 2024'!$J$4:$J$2091,AH$1)</f>
        <v>0</v>
      </c>
      <c r="AI77" s="21">
        <f t="shared" si="1"/>
        <v>84</v>
      </c>
    </row>
    <row r="78" spans="2:35" ht="15" customHeight="1" x14ac:dyDescent="0.25">
      <c r="B78" s="93" t="s">
        <v>1458</v>
      </c>
      <c r="C78" s="91">
        <v>200</v>
      </c>
      <c r="D78" s="80">
        <f>SUMIFS('сентябрь 2024'!$G$4:$G$2091,'сентябрь 2024'!$D$4:$D$2091,$B78,'сентябрь 2024'!$J$4:$J$2091,D$1)</f>
        <v>0</v>
      </c>
      <c r="E78" s="80">
        <f>SUMIFS('сентябрь 2024'!$G$4:$G$2091,'сентябрь 2024'!$D$4:$D$2091,$B78,'сентябрь 2024'!$J$4:$J$2091,E$1)</f>
        <v>0</v>
      </c>
      <c r="F78" s="80">
        <f>SUMIFS('сентябрь 2024'!$G$4:$G$2091,'сентябрь 2024'!$D$4:$D$2091,$B78,'сентябрь 2024'!$J$4:$J$2091,F$1)</f>
        <v>0</v>
      </c>
      <c r="G78" s="80">
        <f>SUMIFS('сентябрь 2024'!$G$4:$G$2091,'сентябрь 2024'!$D$4:$D$2091,$B78,'сентябрь 2024'!$J$4:$J$2091,G$1)</f>
        <v>0</v>
      </c>
      <c r="H78" s="80">
        <f>SUMIFS('сентябрь 2024'!$G$4:$G$2091,'сентябрь 2024'!$D$4:$D$2091,$B78,'сентябрь 2024'!$J$4:$J$2091,H$1)</f>
        <v>0</v>
      </c>
      <c r="I78" s="80">
        <f>SUMIFS('сентябрь 2024'!$G$4:$G$2091,'сентябрь 2024'!$D$4:$D$2091,$B78,'сентябрь 2024'!$J$4:$J$2091,I$1)</f>
        <v>0</v>
      </c>
      <c r="J78" s="80">
        <f>SUMIFS('сентябрь 2024'!$G$4:$G$2091,'сентябрь 2024'!$D$4:$D$2091,$B78,'сентябрь 2024'!$J$4:$J$2091,J$1)</f>
        <v>0</v>
      </c>
      <c r="K78" s="80">
        <f>SUMIFS('сентябрь 2024'!$G$4:$G$2091,'сентябрь 2024'!$D$4:$D$2091,$B78,'сентябрь 2024'!$J$4:$J$2091,K$1)</f>
        <v>0</v>
      </c>
      <c r="L78" s="80">
        <f>SUMIFS('сентябрь 2024'!$G$4:$G$2091,'сентябрь 2024'!$D$4:$D$2091,$B78,'сентябрь 2024'!$J$4:$J$2091,L$1)</f>
        <v>0</v>
      </c>
      <c r="M78" s="80">
        <f>SUMIFS('сентябрь 2024'!$G$4:$G$2091,'сентябрь 2024'!$D$4:$D$2091,$B78,'сентябрь 2024'!$J$4:$J$2091,M$1)</f>
        <v>0</v>
      </c>
      <c r="N78" s="80">
        <f>SUMIFS('сентябрь 2024'!$G$4:$G$2091,'сентябрь 2024'!$D$4:$D$2091,$B78,'сентябрь 2024'!$J$4:$J$2091,N$1)</f>
        <v>0</v>
      </c>
      <c r="O78" s="80">
        <f>SUMIFS('сентябрь 2024'!$G$4:$G$2091,'сентябрь 2024'!$D$4:$D$2091,$B78,'сентябрь 2024'!$J$4:$J$2091,O$1)</f>
        <v>0</v>
      </c>
      <c r="P78" s="80">
        <f>SUMIFS('сентябрь 2024'!$G$4:$G$2091,'сентябрь 2024'!$D$4:$D$2091,$B78,'сентябрь 2024'!$J$4:$J$2091,P$1)</f>
        <v>0</v>
      </c>
      <c r="Q78" s="80">
        <f>SUMIFS('сентябрь 2024'!$G$4:$G$2091,'сентябрь 2024'!$D$4:$D$2091,$B78,'сентябрь 2024'!$J$4:$J$2091,Q$1)</f>
        <v>0</v>
      </c>
      <c r="R78" s="80">
        <f>SUMIFS('сентябрь 2024'!$G$4:$G$2091,'сентябрь 2024'!$D$4:$D$2091,$B78,'сентябрь 2024'!$J$4:$J$2091,R$1)</f>
        <v>0</v>
      </c>
      <c r="S78" s="80">
        <f>SUMIFS('сентябрь 2024'!$G$4:$G$2091,'сентябрь 2024'!$D$4:$D$2091,$B78,'сентябрь 2024'!$J$4:$J$2091,S$1)</f>
        <v>0</v>
      </c>
      <c r="T78" s="80">
        <f>SUMIFS('сентябрь 2024'!$G$4:$G$2091,'сентябрь 2024'!$D$4:$D$2091,$B78,'сентябрь 2024'!$J$4:$J$2091,T$1)</f>
        <v>0</v>
      </c>
      <c r="U78" s="80">
        <f>SUMIFS('сентябрь 2024'!$G$4:$G$2091,'сентябрь 2024'!$D$4:$D$2091,$B78,'сентябрь 2024'!$J$4:$J$2091,U$1)</f>
        <v>0</v>
      </c>
      <c r="V78" s="80">
        <f>SUMIFS('сентябрь 2024'!$G$4:$G$2091,'сентябрь 2024'!$D$4:$D$2091,$B78,'сентябрь 2024'!$J$4:$J$2091,V$1)</f>
        <v>0</v>
      </c>
      <c r="W78" s="80">
        <f>SUMIFS('сентябрь 2024'!$G$4:$G$2091,'сентябрь 2024'!$D$4:$D$2091,$B78,'сентябрь 2024'!$J$4:$J$2091,W$1)</f>
        <v>0</v>
      </c>
      <c r="X78" s="80">
        <f>SUMIFS('сентябрь 2024'!$G$4:$G$2091,'сентябрь 2024'!$D$4:$D$2091,$B78,'сентябрь 2024'!$J$4:$J$2091,X$1)</f>
        <v>0</v>
      </c>
      <c r="Y78" s="80">
        <f>SUMIFS('сентябрь 2024'!$G$4:$G$2091,'сентябрь 2024'!$D$4:$D$2091,$B78,'сентябрь 2024'!$J$4:$J$2091,Y$1)</f>
        <v>0</v>
      </c>
      <c r="Z78" s="80">
        <f>SUMIFS('сентябрь 2024'!$G$4:$G$2091,'сентябрь 2024'!$D$4:$D$2091,$B78,'сентябрь 2024'!$J$4:$J$2091,Z$1)</f>
        <v>0</v>
      </c>
      <c r="AA78" s="80">
        <f>SUMIFS('сентябрь 2024'!$G$4:$G$2091,'сентябрь 2024'!$D$4:$D$2091,$B78,'сентябрь 2024'!$J$4:$J$2091,AA$1)</f>
        <v>0</v>
      </c>
      <c r="AB78" s="80">
        <f>SUMIFS('сентябрь 2024'!$G$4:$G$2091,'сентябрь 2024'!$D$4:$D$2091,$B78,'сентябрь 2024'!$J$4:$J$2091,AB$1)</f>
        <v>0</v>
      </c>
      <c r="AC78" s="80">
        <f>SUMIFS('сентябрь 2024'!$G$4:$G$2091,'сентябрь 2024'!$D$4:$D$2091,$B78,'сентябрь 2024'!$J$4:$J$2091,AC$1)</f>
        <v>0</v>
      </c>
      <c r="AD78" s="80">
        <f>SUMIFS('сентябрь 2024'!$G$4:$G$2091,'сентябрь 2024'!$D$4:$D$2091,$B78,'сентябрь 2024'!$J$4:$J$2091,AD$1)</f>
        <v>0</v>
      </c>
      <c r="AE78" s="80">
        <f>SUMIFS('сентябрь 2024'!$G$4:$G$2091,'сентябрь 2024'!$D$4:$D$2091,$B78,'сентябрь 2024'!$J$4:$J$2091,AE$1)</f>
        <v>0</v>
      </c>
      <c r="AF78" s="80">
        <f>SUMIFS('сентябрь 2024'!$G$4:$G$2091,'сентябрь 2024'!$D$4:$D$2091,$B78,'сентябрь 2024'!$J$4:$J$2091,AF$1)</f>
        <v>0</v>
      </c>
      <c r="AG78" s="80">
        <f>SUMIFS('сентябрь 2024'!$G$4:$G$2091,'сентябрь 2024'!$D$4:$D$2091,$B78,'сентябрь 2024'!$J$4:$J$2091,AG$1)</f>
        <v>0</v>
      </c>
      <c r="AH78" s="80">
        <f>SUMIFS('сентябрь 2024'!$G$4:$G$2091,'сентябрь 2024'!$D$4:$D$2091,$B78,'сентябрь 2024'!$J$4:$J$2091,AH$1)</f>
        <v>0</v>
      </c>
      <c r="AI78" s="21">
        <f t="shared" si="1"/>
        <v>0</v>
      </c>
    </row>
    <row r="79" spans="2:35" ht="15" customHeight="1" x14ac:dyDescent="0.25">
      <c r="B79" s="93" t="s">
        <v>321</v>
      </c>
      <c r="C79" s="91">
        <v>190</v>
      </c>
      <c r="D79" s="80">
        <f>SUMIFS('сентябрь 2024'!$G$4:$G$2091,'сентябрь 2024'!$D$4:$D$2091,$B79,'сентябрь 2024'!$J$4:$J$2091,D$1)</f>
        <v>0</v>
      </c>
      <c r="E79" s="80">
        <f>SUMIFS('сентябрь 2024'!$G$4:$G$2091,'сентябрь 2024'!$D$4:$D$2091,$B79,'сентябрь 2024'!$J$4:$J$2091,E$1)</f>
        <v>0</v>
      </c>
      <c r="F79" s="80">
        <f>SUMIFS('сентябрь 2024'!$G$4:$G$2091,'сентябрь 2024'!$D$4:$D$2091,$B79,'сентябрь 2024'!$J$4:$J$2091,F$1)</f>
        <v>0</v>
      </c>
      <c r="G79" s="80">
        <f>SUMIFS('сентябрь 2024'!$G$4:$G$2091,'сентябрь 2024'!$D$4:$D$2091,$B79,'сентябрь 2024'!$J$4:$J$2091,G$1)</f>
        <v>0</v>
      </c>
      <c r="H79" s="80">
        <f>SUMIFS('сентябрь 2024'!$G$4:$G$2091,'сентябрь 2024'!$D$4:$D$2091,$B79,'сентябрь 2024'!$J$4:$J$2091,H$1)</f>
        <v>0</v>
      </c>
      <c r="I79" s="80">
        <f>SUMIFS('сентябрь 2024'!$G$4:$G$2091,'сентябрь 2024'!$D$4:$D$2091,$B79,'сентябрь 2024'!$J$4:$J$2091,I$1)</f>
        <v>0</v>
      </c>
      <c r="J79" s="80">
        <f>SUMIFS('сентябрь 2024'!$G$4:$G$2091,'сентябрь 2024'!$D$4:$D$2091,$B79,'сентябрь 2024'!$J$4:$J$2091,J$1)</f>
        <v>0</v>
      </c>
      <c r="K79" s="80">
        <f>SUMIFS('сентябрь 2024'!$G$4:$G$2091,'сентябрь 2024'!$D$4:$D$2091,$B79,'сентябрь 2024'!$J$4:$J$2091,K$1)</f>
        <v>0</v>
      </c>
      <c r="L79" s="80">
        <f>SUMIFS('сентябрь 2024'!$G$4:$G$2091,'сентябрь 2024'!$D$4:$D$2091,$B79,'сентябрь 2024'!$J$4:$J$2091,L$1)</f>
        <v>0</v>
      </c>
      <c r="M79" s="80">
        <f>SUMIFS('сентябрь 2024'!$G$4:$G$2091,'сентябрь 2024'!$D$4:$D$2091,$B79,'сентябрь 2024'!$J$4:$J$2091,M$1)</f>
        <v>0</v>
      </c>
      <c r="N79" s="80">
        <f>SUMIFS('сентябрь 2024'!$G$4:$G$2091,'сентябрь 2024'!$D$4:$D$2091,$B79,'сентябрь 2024'!$J$4:$J$2091,N$1)</f>
        <v>0</v>
      </c>
      <c r="O79" s="80">
        <f>SUMIFS('сентябрь 2024'!$G$4:$G$2091,'сентябрь 2024'!$D$4:$D$2091,$B79,'сентябрь 2024'!$J$4:$J$2091,O$1)</f>
        <v>0</v>
      </c>
      <c r="P79" s="80">
        <f>SUMIFS('сентябрь 2024'!$G$4:$G$2091,'сентябрь 2024'!$D$4:$D$2091,$B79,'сентябрь 2024'!$J$4:$J$2091,P$1)</f>
        <v>0</v>
      </c>
      <c r="Q79" s="80">
        <f>SUMIFS('сентябрь 2024'!$G$4:$G$2091,'сентябрь 2024'!$D$4:$D$2091,$B79,'сентябрь 2024'!$J$4:$J$2091,Q$1)</f>
        <v>0</v>
      </c>
      <c r="R79" s="80">
        <f>SUMIFS('сентябрь 2024'!$G$4:$G$2091,'сентябрь 2024'!$D$4:$D$2091,$B79,'сентябрь 2024'!$J$4:$J$2091,R$1)</f>
        <v>0</v>
      </c>
      <c r="S79" s="80">
        <f>SUMIFS('сентябрь 2024'!$G$4:$G$2091,'сентябрь 2024'!$D$4:$D$2091,$B79,'сентябрь 2024'!$J$4:$J$2091,S$1)</f>
        <v>0</v>
      </c>
      <c r="T79" s="80">
        <f>SUMIFS('сентябрь 2024'!$G$4:$G$2091,'сентябрь 2024'!$D$4:$D$2091,$B79,'сентябрь 2024'!$J$4:$J$2091,T$1)</f>
        <v>0</v>
      </c>
      <c r="U79" s="80">
        <f>SUMIFS('сентябрь 2024'!$G$4:$G$2091,'сентябрь 2024'!$D$4:$D$2091,$B79,'сентябрь 2024'!$J$4:$J$2091,U$1)</f>
        <v>0</v>
      </c>
      <c r="V79" s="80">
        <f>SUMIFS('сентябрь 2024'!$G$4:$G$2091,'сентябрь 2024'!$D$4:$D$2091,$B79,'сентябрь 2024'!$J$4:$J$2091,V$1)</f>
        <v>0</v>
      </c>
      <c r="W79" s="80">
        <f>SUMIFS('сентябрь 2024'!$G$4:$G$2091,'сентябрь 2024'!$D$4:$D$2091,$B79,'сентябрь 2024'!$J$4:$J$2091,W$1)</f>
        <v>0</v>
      </c>
      <c r="X79" s="80">
        <f>SUMIFS('сентябрь 2024'!$G$4:$G$2091,'сентябрь 2024'!$D$4:$D$2091,$B79,'сентябрь 2024'!$J$4:$J$2091,X$1)</f>
        <v>0</v>
      </c>
      <c r="Y79" s="80">
        <f>SUMIFS('сентябрь 2024'!$G$4:$G$2091,'сентябрь 2024'!$D$4:$D$2091,$B79,'сентябрь 2024'!$J$4:$J$2091,Y$1)</f>
        <v>0</v>
      </c>
      <c r="Z79" s="80">
        <f>SUMIFS('сентябрь 2024'!$G$4:$G$2091,'сентябрь 2024'!$D$4:$D$2091,$B79,'сентябрь 2024'!$J$4:$J$2091,Z$1)</f>
        <v>0</v>
      </c>
      <c r="AA79" s="80">
        <f>SUMIFS('сентябрь 2024'!$G$4:$G$2091,'сентябрь 2024'!$D$4:$D$2091,$B79,'сентябрь 2024'!$J$4:$J$2091,AA$1)</f>
        <v>0</v>
      </c>
      <c r="AB79" s="80">
        <f>SUMIFS('сентябрь 2024'!$G$4:$G$2091,'сентябрь 2024'!$D$4:$D$2091,$B79,'сентябрь 2024'!$J$4:$J$2091,AB$1)</f>
        <v>0</v>
      </c>
      <c r="AC79" s="80">
        <f>SUMIFS('сентябрь 2024'!$G$4:$G$2091,'сентябрь 2024'!$D$4:$D$2091,$B79,'сентябрь 2024'!$J$4:$J$2091,AC$1)</f>
        <v>0</v>
      </c>
      <c r="AD79" s="80">
        <f>SUMIFS('сентябрь 2024'!$G$4:$G$2091,'сентябрь 2024'!$D$4:$D$2091,$B79,'сентябрь 2024'!$J$4:$J$2091,AD$1)</f>
        <v>0</v>
      </c>
      <c r="AE79" s="80">
        <f>SUMIFS('сентябрь 2024'!$G$4:$G$2091,'сентябрь 2024'!$D$4:$D$2091,$B79,'сентябрь 2024'!$J$4:$J$2091,AE$1)</f>
        <v>0</v>
      </c>
      <c r="AF79" s="80">
        <f>SUMIFS('сентябрь 2024'!$G$4:$G$2091,'сентябрь 2024'!$D$4:$D$2091,$B79,'сентябрь 2024'!$J$4:$J$2091,AF$1)</f>
        <v>0</v>
      </c>
      <c r="AG79" s="80">
        <f>SUMIFS('сентябрь 2024'!$G$4:$G$2091,'сентябрь 2024'!$D$4:$D$2091,$B79,'сентябрь 2024'!$J$4:$J$2091,AG$1)</f>
        <v>0</v>
      </c>
      <c r="AH79" s="80">
        <f>SUMIFS('сентябрь 2024'!$G$4:$G$2091,'сентябрь 2024'!$D$4:$D$2091,$B79,'сентябрь 2024'!$J$4:$J$2091,AH$1)</f>
        <v>0</v>
      </c>
      <c r="AI79" s="21">
        <f t="shared" si="1"/>
        <v>0</v>
      </c>
    </row>
    <row r="80" spans="2:35" ht="15" customHeight="1" x14ac:dyDescent="0.25">
      <c r="B80" s="89" t="s">
        <v>199</v>
      </c>
      <c r="C80" s="88">
        <v>180</v>
      </c>
      <c r="D80" s="80">
        <f>SUMIFS('сентябрь 2024'!$G$4:$G$2091,'сентябрь 2024'!$D$4:$D$2091,$B80,'сентябрь 2024'!$J$4:$J$2091,D$1)</f>
        <v>0</v>
      </c>
      <c r="E80" s="80">
        <f>SUMIFS('сентябрь 2024'!$G$4:$G$2091,'сентябрь 2024'!$D$4:$D$2091,$B80,'сентябрь 2024'!$J$4:$J$2091,E$1)</f>
        <v>0</v>
      </c>
      <c r="F80" s="80">
        <f>SUMIFS('сентябрь 2024'!$G$4:$G$2091,'сентябрь 2024'!$D$4:$D$2091,$B80,'сентябрь 2024'!$J$4:$J$2091,F$1)</f>
        <v>0</v>
      </c>
      <c r="G80" s="80">
        <f>SUMIFS('сентябрь 2024'!$G$4:$G$2091,'сентябрь 2024'!$D$4:$D$2091,$B80,'сентябрь 2024'!$J$4:$J$2091,G$1)</f>
        <v>0</v>
      </c>
      <c r="H80" s="80">
        <f>SUMIFS('сентябрь 2024'!$G$4:$G$2091,'сентябрь 2024'!$D$4:$D$2091,$B80,'сентябрь 2024'!$J$4:$J$2091,H$1)</f>
        <v>0</v>
      </c>
      <c r="I80" s="80">
        <f>SUMIFS('сентябрь 2024'!$G$4:$G$2091,'сентябрь 2024'!$D$4:$D$2091,$B80,'сентябрь 2024'!$J$4:$J$2091,I$1)</f>
        <v>0</v>
      </c>
      <c r="J80" s="80">
        <f>SUMIFS('сентябрь 2024'!$G$4:$G$2091,'сентябрь 2024'!$D$4:$D$2091,$B80,'сентябрь 2024'!$J$4:$J$2091,J$1)</f>
        <v>0</v>
      </c>
      <c r="K80" s="80">
        <f>SUMIFS('сентябрь 2024'!$G$4:$G$2091,'сентябрь 2024'!$D$4:$D$2091,$B80,'сентябрь 2024'!$J$4:$J$2091,K$1)</f>
        <v>0</v>
      </c>
      <c r="L80" s="80">
        <f>SUMIFS('сентябрь 2024'!$G$4:$G$2091,'сентябрь 2024'!$D$4:$D$2091,$B80,'сентябрь 2024'!$J$4:$J$2091,L$1)</f>
        <v>0</v>
      </c>
      <c r="M80" s="80">
        <f>SUMIFS('сентябрь 2024'!$G$4:$G$2091,'сентябрь 2024'!$D$4:$D$2091,$B80,'сентябрь 2024'!$J$4:$J$2091,M$1)</f>
        <v>0</v>
      </c>
      <c r="N80" s="80">
        <f>SUMIFS('сентябрь 2024'!$G$4:$G$2091,'сентябрь 2024'!$D$4:$D$2091,$B80,'сентябрь 2024'!$J$4:$J$2091,N$1)</f>
        <v>0</v>
      </c>
      <c r="O80" s="80">
        <f>SUMIFS('сентябрь 2024'!$G$4:$G$2091,'сентябрь 2024'!$D$4:$D$2091,$B80,'сентябрь 2024'!$J$4:$J$2091,O$1)</f>
        <v>0</v>
      </c>
      <c r="P80" s="80">
        <f>SUMIFS('сентябрь 2024'!$G$4:$G$2091,'сентябрь 2024'!$D$4:$D$2091,$B80,'сентябрь 2024'!$J$4:$J$2091,P$1)</f>
        <v>0</v>
      </c>
      <c r="Q80" s="80">
        <f>SUMIFS('сентябрь 2024'!$G$4:$G$2091,'сентябрь 2024'!$D$4:$D$2091,$B80,'сентябрь 2024'!$J$4:$J$2091,Q$1)</f>
        <v>0</v>
      </c>
      <c r="R80" s="80">
        <f>SUMIFS('сентябрь 2024'!$G$4:$G$2091,'сентябрь 2024'!$D$4:$D$2091,$B80,'сентябрь 2024'!$J$4:$J$2091,R$1)</f>
        <v>0</v>
      </c>
      <c r="S80" s="80">
        <f>SUMIFS('сентябрь 2024'!$G$4:$G$2091,'сентябрь 2024'!$D$4:$D$2091,$B80,'сентябрь 2024'!$J$4:$J$2091,S$1)</f>
        <v>0</v>
      </c>
      <c r="T80" s="80">
        <f>SUMIFS('сентябрь 2024'!$G$4:$G$2091,'сентябрь 2024'!$D$4:$D$2091,$B80,'сентябрь 2024'!$J$4:$J$2091,T$1)</f>
        <v>0</v>
      </c>
      <c r="U80" s="80">
        <f>SUMIFS('сентябрь 2024'!$G$4:$G$2091,'сентябрь 2024'!$D$4:$D$2091,$B80,'сентябрь 2024'!$J$4:$J$2091,U$1)</f>
        <v>0</v>
      </c>
      <c r="V80" s="80">
        <f>SUMIFS('сентябрь 2024'!$G$4:$G$2091,'сентябрь 2024'!$D$4:$D$2091,$B80,'сентябрь 2024'!$J$4:$J$2091,V$1)</f>
        <v>0</v>
      </c>
      <c r="W80" s="80">
        <f>SUMIFS('сентябрь 2024'!$G$4:$G$2091,'сентябрь 2024'!$D$4:$D$2091,$B80,'сентябрь 2024'!$J$4:$J$2091,W$1)</f>
        <v>0</v>
      </c>
      <c r="X80" s="80">
        <f>SUMIFS('сентябрь 2024'!$G$4:$G$2091,'сентябрь 2024'!$D$4:$D$2091,$B80,'сентябрь 2024'!$J$4:$J$2091,X$1)</f>
        <v>0</v>
      </c>
      <c r="Y80" s="80">
        <f>SUMIFS('сентябрь 2024'!$G$4:$G$2091,'сентябрь 2024'!$D$4:$D$2091,$B80,'сентябрь 2024'!$J$4:$J$2091,Y$1)</f>
        <v>0</v>
      </c>
      <c r="Z80" s="80">
        <f>SUMIFS('сентябрь 2024'!$G$4:$G$2091,'сентябрь 2024'!$D$4:$D$2091,$B80,'сентябрь 2024'!$J$4:$J$2091,Z$1)</f>
        <v>0</v>
      </c>
      <c r="AA80" s="80">
        <f>SUMIFS('сентябрь 2024'!$G$4:$G$2091,'сентябрь 2024'!$D$4:$D$2091,$B80,'сентябрь 2024'!$J$4:$J$2091,AA$1)</f>
        <v>0</v>
      </c>
      <c r="AB80" s="80">
        <f>SUMIFS('сентябрь 2024'!$G$4:$G$2091,'сентябрь 2024'!$D$4:$D$2091,$B80,'сентябрь 2024'!$J$4:$J$2091,AB$1)</f>
        <v>0</v>
      </c>
      <c r="AC80" s="80">
        <f>SUMIFS('сентябрь 2024'!$G$4:$G$2091,'сентябрь 2024'!$D$4:$D$2091,$B80,'сентябрь 2024'!$J$4:$J$2091,AC$1)</f>
        <v>0</v>
      </c>
      <c r="AD80" s="80">
        <f>SUMIFS('сентябрь 2024'!$G$4:$G$2091,'сентябрь 2024'!$D$4:$D$2091,$B80,'сентябрь 2024'!$J$4:$J$2091,AD$1)</f>
        <v>0</v>
      </c>
      <c r="AE80" s="80">
        <f>SUMIFS('сентябрь 2024'!$G$4:$G$2091,'сентябрь 2024'!$D$4:$D$2091,$B80,'сентябрь 2024'!$J$4:$J$2091,AE$1)</f>
        <v>0</v>
      </c>
      <c r="AF80" s="80">
        <f>SUMIFS('сентябрь 2024'!$G$4:$G$2091,'сентябрь 2024'!$D$4:$D$2091,$B80,'сентябрь 2024'!$J$4:$J$2091,AF$1)</f>
        <v>0</v>
      </c>
      <c r="AG80" s="80">
        <f>SUMIFS('сентябрь 2024'!$G$4:$G$2091,'сентябрь 2024'!$D$4:$D$2091,$B80,'сентябрь 2024'!$J$4:$J$2091,AG$1)</f>
        <v>0</v>
      </c>
      <c r="AH80" s="80">
        <f>SUMIFS('сентябрь 2024'!$G$4:$G$2091,'сентябрь 2024'!$D$4:$D$2091,$B80,'сентябрь 2024'!$J$4:$J$2091,AH$1)</f>
        <v>0</v>
      </c>
      <c r="AI80" s="21">
        <f t="shared" si="1"/>
        <v>0</v>
      </c>
    </row>
    <row r="81" spans="2:35" ht="15" customHeight="1" x14ac:dyDescent="0.25">
      <c r="B81" s="93" t="s">
        <v>200</v>
      </c>
      <c r="C81" s="91">
        <v>190</v>
      </c>
      <c r="D81" s="80">
        <f>SUMIFS('сентябрь 2024'!$G$4:$G$2091,'сентябрь 2024'!$D$4:$D$2091,$B81,'сентябрь 2024'!$J$4:$J$2091,D$1)</f>
        <v>0</v>
      </c>
      <c r="E81" s="80">
        <f>SUMIFS('сентябрь 2024'!$G$4:$G$2091,'сентябрь 2024'!$D$4:$D$2091,$B81,'сентябрь 2024'!$J$4:$J$2091,E$1)</f>
        <v>0</v>
      </c>
      <c r="F81" s="80">
        <f>SUMIFS('сентябрь 2024'!$G$4:$G$2091,'сентябрь 2024'!$D$4:$D$2091,$B81,'сентябрь 2024'!$J$4:$J$2091,F$1)</f>
        <v>0</v>
      </c>
      <c r="G81" s="80">
        <f>SUMIFS('сентябрь 2024'!$G$4:$G$2091,'сентябрь 2024'!$D$4:$D$2091,$B81,'сентябрь 2024'!$J$4:$J$2091,G$1)</f>
        <v>0</v>
      </c>
      <c r="H81" s="80">
        <f>SUMIFS('сентябрь 2024'!$G$4:$G$2091,'сентябрь 2024'!$D$4:$D$2091,$B81,'сентябрь 2024'!$J$4:$J$2091,H$1)</f>
        <v>0</v>
      </c>
      <c r="I81" s="80">
        <f>SUMIFS('сентябрь 2024'!$G$4:$G$2091,'сентябрь 2024'!$D$4:$D$2091,$B81,'сентябрь 2024'!$J$4:$J$2091,I$1)</f>
        <v>0</v>
      </c>
      <c r="J81" s="80">
        <f>SUMIFS('сентябрь 2024'!$G$4:$G$2091,'сентябрь 2024'!$D$4:$D$2091,$B81,'сентябрь 2024'!$J$4:$J$2091,J$1)</f>
        <v>0</v>
      </c>
      <c r="K81" s="80">
        <f>SUMIFS('сентябрь 2024'!$G$4:$G$2091,'сентябрь 2024'!$D$4:$D$2091,$B81,'сентябрь 2024'!$J$4:$J$2091,K$1)</f>
        <v>0</v>
      </c>
      <c r="L81" s="80">
        <f>SUMIFS('сентябрь 2024'!$G$4:$G$2091,'сентябрь 2024'!$D$4:$D$2091,$B81,'сентябрь 2024'!$J$4:$J$2091,L$1)</f>
        <v>0</v>
      </c>
      <c r="M81" s="80">
        <f>SUMIFS('сентябрь 2024'!$G$4:$G$2091,'сентябрь 2024'!$D$4:$D$2091,$B81,'сентябрь 2024'!$J$4:$J$2091,M$1)</f>
        <v>0</v>
      </c>
      <c r="N81" s="80">
        <f>SUMIFS('сентябрь 2024'!$G$4:$G$2091,'сентябрь 2024'!$D$4:$D$2091,$B81,'сентябрь 2024'!$J$4:$J$2091,N$1)</f>
        <v>0</v>
      </c>
      <c r="O81" s="80">
        <f>SUMIFS('сентябрь 2024'!$G$4:$G$2091,'сентябрь 2024'!$D$4:$D$2091,$B81,'сентябрь 2024'!$J$4:$J$2091,O$1)</f>
        <v>0</v>
      </c>
      <c r="P81" s="80">
        <f>SUMIFS('сентябрь 2024'!$G$4:$G$2091,'сентябрь 2024'!$D$4:$D$2091,$B81,'сентябрь 2024'!$J$4:$J$2091,P$1)</f>
        <v>0</v>
      </c>
      <c r="Q81" s="80">
        <f>SUMIFS('сентябрь 2024'!$G$4:$G$2091,'сентябрь 2024'!$D$4:$D$2091,$B81,'сентябрь 2024'!$J$4:$J$2091,Q$1)</f>
        <v>0</v>
      </c>
      <c r="R81" s="80">
        <f>SUMIFS('сентябрь 2024'!$G$4:$G$2091,'сентябрь 2024'!$D$4:$D$2091,$B81,'сентябрь 2024'!$J$4:$J$2091,R$1)</f>
        <v>0</v>
      </c>
      <c r="S81" s="80">
        <f>SUMIFS('сентябрь 2024'!$G$4:$G$2091,'сентябрь 2024'!$D$4:$D$2091,$B81,'сентябрь 2024'!$J$4:$J$2091,S$1)</f>
        <v>0</v>
      </c>
      <c r="T81" s="80">
        <f>SUMIFS('сентябрь 2024'!$G$4:$G$2091,'сентябрь 2024'!$D$4:$D$2091,$B81,'сентябрь 2024'!$J$4:$J$2091,T$1)</f>
        <v>0</v>
      </c>
      <c r="U81" s="80">
        <f>SUMIFS('сентябрь 2024'!$G$4:$G$2091,'сентябрь 2024'!$D$4:$D$2091,$B81,'сентябрь 2024'!$J$4:$J$2091,U$1)</f>
        <v>0</v>
      </c>
      <c r="V81" s="80">
        <f>SUMIFS('сентябрь 2024'!$G$4:$G$2091,'сентябрь 2024'!$D$4:$D$2091,$B81,'сентябрь 2024'!$J$4:$J$2091,V$1)</f>
        <v>0</v>
      </c>
      <c r="W81" s="80">
        <f>SUMIFS('сентябрь 2024'!$G$4:$G$2091,'сентябрь 2024'!$D$4:$D$2091,$B81,'сентябрь 2024'!$J$4:$J$2091,W$1)</f>
        <v>0</v>
      </c>
      <c r="X81" s="80">
        <f>SUMIFS('сентябрь 2024'!$G$4:$G$2091,'сентябрь 2024'!$D$4:$D$2091,$B81,'сентябрь 2024'!$J$4:$J$2091,X$1)</f>
        <v>0</v>
      </c>
      <c r="Y81" s="80">
        <f>SUMIFS('сентябрь 2024'!$G$4:$G$2091,'сентябрь 2024'!$D$4:$D$2091,$B81,'сентябрь 2024'!$J$4:$J$2091,Y$1)</f>
        <v>0</v>
      </c>
      <c r="Z81" s="80">
        <f>SUMIFS('сентябрь 2024'!$G$4:$G$2091,'сентябрь 2024'!$D$4:$D$2091,$B81,'сентябрь 2024'!$J$4:$J$2091,Z$1)</f>
        <v>0</v>
      </c>
      <c r="AA81" s="80">
        <f>SUMIFS('сентябрь 2024'!$G$4:$G$2091,'сентябрь 2024'!$D$4:$D$2091,$B81,'сентябрь 2024'!$J$4:$J$2091,AA$1)</f>
        <v>0</v>
      </c>
      <c r="AB81" s="80">
        <f>SUMIFS('сентябрь 2024'!$G$4:$G$2091,'сентябрь 2024'!$D$4:$D$2091,$B81,'сентябрь 2024'!$J$4:$J$2091,AB$1)</f>
        <v>0</v>
      </c>
      <c r="AC81" s="80">
        <f>SUMIFS('сентябрь 2024'!$G$4:$G$2091,'сентябрь 2024'!$D$4:$D$2091,$B81,'сентябрь 2024'!$J$4:$J$2091,AC$1)</f>
        <v>0</v>
      </c>
      <c r="AD81" s="80">
        <f>SUMIFS('сентябрь 2024'!$G$4:$G$2091,'сентябрь 2024'!$D$4:$D$2091,$B81,'сентябрь 2024'!$J$4:$J$2091,AD$1)</f>
        <v>0</v>
      </c>
      <c r="AE81" s="80">
        <f>SUMIFS('сентябрь 2024'!$G$4:$G$2091,'сентябрь 2024'!$D$4:$D$2091,$B81,'сентябрь 2024'!$J$4:$J$2091,AE$1)</f>
        <v>0</v>
      </c>
      <c r="AF81" s="80">
        <f>SUMIFS('сентябрь 2024'!$G$4:$G$2091,'сентябрь 2024'!$D$4:$D$2091,$B81,'сентябрь 2024'!$J$4:$J$2091,AF$1)</f>
        <v>0</v>
      </c>
      <c r="AG81" s="80">
        <f>SUMIFS('сентябрь 2024'!$G$4:$G$2091,'сентябрь 2024'!$D$4:$D$2091,$B81,'сентябрь 2024'!$J$4:$J$2091,AG$1)</f>
        <v>0</v>
      </c>
      <c r="AH81" s="80">
        <f>SUMIFS('сентябрь 2024'!$G$4:$G$2091,'сентябрь 2024'!$D$4:$D$2091,$B81,'сентябрь 2024'!$J$4:$J$2091,AH$1)</f>
        <v>0</v>
      </c>
      <c r="AI81" s="21">
        <f t="shared" si="1"/>
        <v>0</v>
      </c>
    </row>
    <row r="82" spans="2:35" ht="15" customHeight="1" x14ac:dyDescent="0.25">
      <c r="B82" s="93" t="s">
        <v>201</v>
      </c>
      <c r="C82" s="91">
        <v>190</v>
      </c>
      <c r="D82" s="80">
        <f>SUMIFS('сентябрь 2024'!$G$4:$G$2091,'сентябрь 2024'!$D$4:$D$2091,$B82,'сентябрь 2024'!$J$4:$J$2091,D$1)</f>
        <v>0</v>
      </c>
      <c r="E82" s="80">
        <f>SUMIFS('сентябрь 2024'!$G$4:$G$2091,'сентябрь 2024'!$D$4:$D$2091,$B82,'сентябрь 2024'!$J$4:$J$2091,E$1)</f>
        <v>0</v>
      </c>
      <c r="F82" s="80">
        <f>SUMIFS('сентябрь 2024'!$G$4:$G$2091,'сентябрь 2024'!$D$4:$D$2091,$B82,'сентябрь 2024'!$J$4:$J$2091,F$1)</f>
        <v>0</v>
      </c>
      <c r="G82" s="80">
        <f>SUMIFS('сентябрь 2024'!$G$4:$G$2091,'сентябрь 2024'!$D$4:$D$2091,$B82,'сентябрь 2024'!$J$4:$J$2091,G$1)</f>
        <v>0</v>
      </c>
      <c r="H82" s="80">
        <f>SUMIFS('сентябрь 2024'!$G$4:$G$2091,'сентябрь 2024'!$D$4:$D$2091,$B82,'сентябрь 2024'!$J$4:$J$2091,H$1)</f>
        <v>0</v>
      </c>
      <c r="I82" s="80">
        <f>SUMIFS('сентябрь 2024'!$G$4:$G$2091,'сентябрь 2024'!$D$4:$D$2091,$B82,'сентябрь 2024'!$J$4:$J$2091,I$1)</f>
        <v>0</v>
      </c>
      <c r="J82" s="80">
        <f>SUMIFS('сентябрь 2024'!$G$4:$G$2091,'сентябрь 2024'!$D$4:$D$2091,$B82,'сентябрь 2024'!$J$4:$J$2091,J$1)</f>
        <v>0</v>
      </c>
      <c r="K82" s="80">
        <f>SUMIFS('сентябрь 2024'!$G$4:$G$2091,'сентябрь 2024'!$D$4:$D$2091,$B82,'сентябрь 2024'!$J$4:$J$2091,K$1)</f>
        <v>0</v>
      </c>
      <c r="L82" s="80">
        <f>SUMIFS('сентябрь 2024'!$G$4:$G$2091,'сентябрь 2024'!$D$4:$D$2091,$B82,'сентябрь 2024'!$J$4:$J$2091,L$1)</f>
        <v>0</v>
      </c>
      <c r="M82" s="80">
        <f>SUMIFS('сентябрь 2024'!$G$4:$G$2091,'сентябрь 2024'!$D$4:$D$2091,$B82,'сентябрь 2024'!$J$4:$J$2091,M$1)</f>
        <v>0</v>
      </c>
      <c r="N82" s="80">
        <f>SUMIFS('сентябрь 2024'!$G$4:$G$2091,'сентябрь 2024'!$D$4:$D$2091,$B82,'сентябрь 2024'!$J$4:$J$2091,N$1)</f>
        <v>0</v>
      </c>
      <c r="O82" s="80">
        <f>SUMIFS('сентябрь 2024'!$G$4:$G$2091,'сентябрь 2024'!$D$4:$D$2091,$B82,'сентябрь 2024'!$J$4:$J$2091,O$1)</f>
        <v>0</v>
      </c>
      <c r="P82" s="80">
        <f>SUMIFS('сентябрь 2024'!$G$4:$G$2091,'сентябрь 2024'!$D$4:$D$2091,$B82,'сентябрь 2024'!$J$4:$J$2091,P$1)</f>
        <v>0</v>
      </c>
      <c r="Q82" s="80">
        <f>SUMIFS('сентябрь 2024'!$G$4:$G$2091,'сентябрь 2024'!$D$4:$D$2091,$B82,'сентябрь 2024'!$J$4:$J$2091,Q$1)</f>
        <v>0</v>
      </c>
      <c r="R82" s="80">
        <f>SUMIFS('сентябрь 2024'!$G$4:$G$2091,'сентябрь 2024'!$D$4:$D$2091,$B82,'сентябрь 2024'!$J$4:$J$2091,R$1)</f>
        <v>0</v>
      </c>
      <c r="S82" s="80">
        <f>SUMIFS('сентябрь 2024'!$G$4:$G$2091,'сентябрь 2024'!$D$4:$D$2091,$B82,'сентябрь 2024'!$J$4:$J$2091,S$1)</f>
        <v>0</v>
      </c>
      <c r="T82" s="80">
        <f>SUMIFS('сентябрь 2024'!$G$4:$G$2091,'сентябрь 2024'!$D$4:$D$2091,$B82,'сентябрь 2024'!$J$4:$J$2091,T$1)</f>
        <v>0</v>
      </c>
      <c r="U82" s="80">
        <f>SUMIFS('сентябрь 2024'!$G$4:$G$2091,'сентябрь 2024'!$D$4:$D$2091,$B82,'сентябрь 2024'!$J$4:$J$2091,U$1)</f>
        <v>0</v>
      </c>
      <c r="V82" s="80">
        <f>SUMIFS('сентябрь 2024'!$G$4:$G$2091,'сентябрь 2024'!$D$4:$D$2091,$B82,'сентябрь 2024'!$J$4:$J$2091,V$1)</f>
        <v>0</v>
      </c>
      <c r="W82" s="80">
        <f>SUMIFS('сентябрь 2024'!$G$4:$G$2091,'сентябрь 2024'!$D$4:$D$2091,$B82,'сентябрь 2024'!$J$4:$J$2091,W$1)</f>
        <v>0</v>
      </c>
      <c r="X82" s="80">
        <f>SUMIFS('сентябрь 2024'!$G$4:$G$2091,'сентябрь 2024'!$D$4:$D$2091,$B82,'сентябрь 2024'!$J$4:$J$2091,X$1)</f>
        <v>0</v>
      </c>
      <c r="Y82" s="80">
        <f>SUMIFS('сентябрь 2024'!$G$4:$G$2091,'сентябрь 2024'!$D$4:$D$2091,$B82,'сентябрь 2024'!$J$4:$J$2091,Y$1)</f>
        <v>0</v>
      </c>
      <c r="Z82" s="80">
        <f>SUMIFS('сентябрь 2024'!$G$4:$G$2091,'сентябрь 2024'!$D$4:$D$2091,$B82,'сентябрь 2024'!$J$4:$J$2091,Z$1)</f>
        <v>0</v>
      </c>
      <c r="AA82" s="80">
        <f>SUMIFS('сентябрь 2024'!$G$4:$G$2091,'сентябрь 2024'!$D$4:$D$2091,$B82,'сентябрь 2024'!$J$4:$J$2091,AA$1)</f>
        <v>0</v>
      </c>
      <c r="AB82" s="80">
        <f>SUMIFS('сентябрь 2024'!$G$4:$G$2091,'сентябрь 2024'!$D$4:$D$2091,$B82,'сентябрь 2024'!$J$4:$J$2091,AB$1)</f>
        <v>0</v>
      </c>
      <c r="AC82" s="80">
        <f>SUMIFS('сентябрь 2024'!$G$4:$G$2091,'сентябрь 2024'!$D$4:$D$2091,$B82,'сентябрь 2024'!$J$4:$J$2091,AC$1)</f>
        <v>0</v>
      </c>
      <c r="AD82" s="80">
        <f>SUMIFS('сентябрь 2024'!$G$4:$G$2091,'сентябрь 2024'!$D$4:$D$2091,$B82,'сентябрь 2024'!$J$4:$J$2091,AD$1)</f>
        <v>0</v>
      </c>
      <c r="AE82" s="80">
        <f>SUMIFS('сентябрь 2024'!$G$4:$G$2091,'сентябрь 2024'!$D$4:$D$2091,$B82,'сентябрь 2024'!$J$4:$J$2091,AE$1)</f>
        <v>0</v>
      </c>
      <c r="AF82" s="80">
        <f>SUMIFS('сентябрь 2024'!$G$4:$G$2091,'сентябрь 2024'!$D$4:$D$2091,$B82,'сентябрь 2024'!$J$4:$J$2091,AF$1)</f>
        <v>0</v>
      </c>
      <c r="AG82" s="80">
        <f>SUMIFS('сентябрь 2024'!$G$4:$G$2091,'сентябрь 2024'!$D$4:$D$2091,$B82,'сентябрь 2024'!$J$4:$J$2091,AG$1)</f>
        <v>0</v>
      </c>
      <c r="AH82" s="80">
        <f>SUMIFS('сентябрь 2024'!$G$4:$G$2091,'сентябрь 2024'!$D$4:$D$2091,$B82,'сентябрь 2024'!$J$4:$J$2091,AH$1)</f>
        <v>0</v>
      </c>
      <c r="AI82" s="21">
        <f t="shared" si="1"/>
        <v>0</v>
      </c>
    </row>
    <row r="83" spans="2:35" ht="15" customHeight="1" x14ac:dyDescent="0.25">
      <c r="B83" s="93" t="s">
        <v>1190</v>
      </c>
      <c r="C83" s="91">
        <v>200</v>
      </c>
      <c r="D83" s="80">
        <f>SUMIFS('сентябрь 2024'!$G$4:$G$2091,'сентябрь 2024'!$D$4:$D$2091,$B83,'сентябрь 2024'!$J$4:$J$2091,D$1)</f>
        <v>0</v>
      </c>
      <c r="E83" s="80">
        <f>SUMIFS('сентябрь 2024'!$G$4:$G$2091,'сентябрь 2024'!$D$4:$D$2091,$B83,'сентябрь 2024'!$J$4:$J$2091,E$1)</f>
        <v>0</v>
      </c>
      <c r="F83" s="80">
        <f>SUMIFS('сентябрь 2024'!$G$4:$G$2091,'сентябрь 2024'!$D$4:$D$2091,$B83,'сентябрь 2024'!$J$4:$J$2091,F$1)</f>
        <v>0</v>
      </c>
      <c r="G83" s="80">
        <f>SUMIFS('сентябрь 2024'!$G$4:$G$2091,'сентябрь 2024'!$D$4:$D$2091,$B83,'сентябрь 2024'!$J$4:$J$2091,G$1)</f>
        <v>0</v>
      </c>
      <c r="H83" s="80">
        <f>SUMIFS('сентябрь 2024'!$G$4:$G$2091,'сентябрь 2024'!$D$4:$D$2091,$B83,'сентябрь 2024'!$J$4:$J$2091,H$1)</f>
        <v>0</v>
      </c>
      <c r="I83" s="80">
        <f>SUMIFS('сентябрь 2024'!$G$4:$G$2091,'сентябрь 2024'!$D$4:$D$2091,$B83,'сентябрь 2024'!$J$4:$J$2091,I$1)</f>
        <v>0</v>
      </c>
      <c r="J83" s="80">
        <f>SUMIFS('сентябрь 2024'!$G$4:$G$2091,'сентябрь 2024'!$D$4:$D$2091,$B83,'сентябрь 2024'!$J$4:$J$2091,J$1)</f>
        <v>0</v>
      </c>
      <c r="K83" s="80">
        <f>SUMIFS('сентябрь 2024'!$G$4:$G$2091,'сентябрь 2024'!$D$4:$D$2091,$B83,'сентябрь 2024'!$J$4:$J$2091,K$1)</f>
        <v>0</v>
      </c>
      <c r="L83" s="80">
        <f>SUMIFS('сентябрь 2024'!$G$4:$G$2091,'сентябрь 2024'!$D$4:$D$2091,$B83,'сентябрь 2024'!$J$4:$J$2091,L$1)</f>
        <v>0</v>
      </c>
      <c r="M83" s="80">
        <f>SUMIFS('сентябрь 2024'!$G$4:$G$2091,'сентябрь 2024'!$D$4:$D$2091,$B83,'сентябрь 2024'!$J$4:$J$2091,M$1)</f>
        <v>88</v>
      </c>
      <c r="N83" s="80">
        <f>SUMIFS('сентябрь 2024'!$G$4:$G$2091,'сентябрь 2024'!$D$4:$D$2091,$B83,'сентябрь 2024'!$J$4:$J$2091,N$1)</f>
        <v>0</v>
      </c>
      <c r="O83" s="80">
        <f>SUMIFS('сентябрь 2024'!$G$4:$G$2091,'сентябрь 2024'!$D$4:$D$2091,$B83,'сентябрь 2024'!$J$4:$J$2091,O$1)</f>
        <v>0</v>
      </c>
      <c r="P83" s="80">
        <f>SUMIFS('сентябрь 2024'!$G$4:$G$2091,'сентябрь 2024'!$D$4:$D$2091,$B83,'сентябрь 2024'!$J$4:$J$2091,P$1)</f>
        <v>0</v>
      </c>
      <c r="Q83" s="80">
        <f>SUMIFS('сентябрь 2024'!$G$4:$G$2091,'сентябрь 2024'!$D$4:$D$2091,$B83,'сентябрь 2024'!$J$4:$J$2091,Q$1)</f>
        <v>0</v>
      </c>
      <c r="R83" s="80">
        <f>SUMIFS('сентябрь 2024'!$G$4:$G$2091,'сентябрь 2024'!$D$4:$D$2091,$B83,'сентябрь 2024'!$J$4:$J$2091,R$1)</f>
        <v>0</v>
      </c>
      <c r="S83" s="80">
        <f>SUMIFS('сентябрь 2024'!$G$4:$G$2091,'сентябрь 2024'!$D$4:$D$2091,$B83,'сентябрь 2024'!$J$4:$J$2091,S$1)</f>
        <v>0</v>
      </c>
      <c r="T83" s="80">
        <f>SUMIFS('сентябрь 2024'!$G$4:$G$2091,'сентябрь 2024'!$D$4:$D$2091,$B83,'сентябрь 2024'!$J$4:$J$2091,T$1)</f>
        <v>0</v>
      </c>
      <c r="U83" s="80">
        <f>SUMIFS('сентябрь 2024'!$G$4:$G$2091,'сентябрь 2024'!$D$4:$D$2091,$B83,'сентябрь 2024'!$J$4:$J$2091,U$1)</f>
        <v>0</v>
      </c>
      <c r="V83" s="80">
        <f>SUMIFS('сентябрь 2024'!$G$4:$G$2091,'сентябрь 2024'!$D$4:$D$2091,$B83,'сентябрь 2024'!$J$4:$J$2091,V$1)</f>
        <v>0</v>
      </c>
      <c r="W83" s="80">
        <f>SUMIFS('сентябрь 2024'!$G$4:$G$2091,'сентябрь 2024'!$D$4:$D$2091,$B83,'сентябрь 2024'!$J$4:$J$2091,W$1)</f>
        <v>0</v>
      </c>
      <c r="X83" s="80">
        <f>SUMIFS('сентябрь 2024'!$G$4:$G$2091,'сентябрь 2024'!$D$4:$D$2091,$B83,'сентябрь 2024'!$J$4:$J$2091,X$1)</f>
        <v>0</v>
      </c>
      <c r="Y83" s="80">
        <f>SUMIFS('сентябрь 2024'!$G$4:$G$2091,'сентябрь 2024'!$D$4:$D$2091,$B83,'сентябрь 2024'!$J$4:$J$2091,Y$1)</f>
        <v>0</v>
      </c>
      <c r="Z83" s="80">
        <f>SUMIFS('сентябрь 2024'!$G$4:$G$2091,'сентябрь 2024'!$D$4:$D$2091,$B83,'сентябрь 2024'!$J$4:$J$2091,Z$1)</f>
        <v>0</v>
      </c>
      <c r="AA83" s="80">
        <f>SUMIFS('сентябрь 2024'!$G$4:$G$2091,'сентябрь 2024'!$D$4:$D$2091,$B83,'сентябрь 2024'!$J$4:$J$2091,AA$1)</f>
        <v>0</v>
      </c>
      <c r="AB83" s="80">
        <f>SUMIFS('сентябрь 2024'!$G$4:$G$2091,'сентябрь 2024'!$D$4:$D$2091,$B83,'сентябрь 2024'!$J$4:$J$2091,AB$1)</f>
        <v>0</v>
      </c>
      <c r="AC83" s="80">
        <f>SUMIFS('сентябрь 2024'!$G$4:$G$2091,'сентябрь 2024'!$D$4:$D$2091,$B83,'сентябрь 2024'!$J$4:$J$2091,AC$1)</f>
        <v>0</v>
      </c>
      <c r="AD83" s="80">
        <f>SUMIFS('сентябрь 2024'!$G$4:$G$2091,'сентябрь 2024'!$D$4:$D$2091,$B83,'сентябрь 2024'!$J$4:$J$2091,AD$1)</f>
        <v>0</v>
      </c>
      <c r="AE83" s="80">
        <f>SUMIFS('сентябрь 2024'!$G$4:$G$2091,'сентябрь 2024'!$D$4:$D$2091,$B83,'сентябрь 2024'!$J$4:$J$2091,AE$1)</f>
        <v>0</v>
      </c>
      <c r="AF83" s="80">
        <f>SUMIFS('сентябрь 2024'!$G$4:$G$2091,'сентябрь 2024'!$D$4:$D$2091,$B83,'сентябрь 2024'!$J$4:$J$2091,AF$1)</f>
        <v>0</v>
      </c>
      <c r="AG83" s="80">
        <f>SUMIFS('сентябрь 2024'!$G$4:$G$2091,'сентябрь 2024'!$D$4:$D$2091,$B83,'сентябрь 2024'!$J$4:$J$2091,AG$1)</f>
        <v>0</v>
      </c>
      <c r="AH83" s="80">
        <f>SUMIFS('сентябрь 2024'!$G$4:$G$2091,'сентябрь 2024'!$D$4:$D$2091,$B83,'сентябрь 2024'!$J$4:$J$2091,AH$1)</f>
        <v>0</v>
      </c>
      <c r="AI83" s="21">
        <f t="shared" si="1"/>
        <v>88</v>
      </c>
    </row>
    <row r="84" spans="2:35" ht="15" customHeight="1" x14ac:dyDescent="0.25">
      <c r="B84" s="93" t="s">
        <v>202</v>
      </c>
      <c r="C84" s="91">
        <v>900</v>
      </c>
      <c r="D84" s="80">
        <f>SUMIFS('сентябрь 2024'!$G$4:$G$2091,'сентябрь 2024'!$D$4:$D$2091,$B84,'сентябрь 2024'!$J$4:$J$2091,D$1)</f>
        <v>0</v>
      </c>
      <c r="E84" s="80">
        <f>SUMIFS('сентябрь 2024'!$G$4:$G$2091,'сентябрь 2024'!$D$4:$D$2091,$B84,'сентябрь 2024'!$J$4:$J$2091,E$1)</f>
        <v>0</v>
      </c>
      <c r="F84" s="80">
        <f>SUMIFS('сентябрь 2024'!$G$4:$G$2091,'сентябрь 2024'!$D$4:$D$2091,$B84,'сентябрь 2024'!$J$4:$J$2091,F$1)</f>
        <v>0</v>
      </c>
      <c r="G84" s="80">
        <f>SUMIFS('сентябрь 2024'!$G$4:$G$2091,'сентябрь 2024'!$D$4:$D$2091,$B84,'сентябрь 2024'!$J$4:$J$2091,G$1)</f>
        <v>0</v>
      </c>
      <c r="H84" s="80">
        <f>SUMIFS('сентябрь 2024'!$G$4:$G$2091,'сентябрь 2024'!$D$4:$D$2091,$B84,'сентябрь 2024'!$J$4:$J$2091,H$1)</f>
        <v>0</v>
      </c>
      <c r="I84" s="80">
        <f>SUMIFS('сентябрь 2024'!$G$4:$G$2091,'сентябрь 2024'!$D$4:$D$2091,$B84,'сентябрь 2024'!$J$4:$J$2091,I$1)</f>
        <v>0</v>
      </c>
      <c r="J84" s="80">
        <f>SUMIFS('сентябрь 2024'!$G$4:$G$2091,'сентябрь 2024'!$D$4:$D$2091,$B84,'сентябрь 2024'!$J$4:$J$2091,J$1)</f>
        <v>0</v>
      </c>
      <c r="K84" s="80">
        <f>SUMIFS('сентябрь 2024'!$G$4:$G$2091,'сентябрь 2024'!$D$4:$D$2091,$B84,'сентябрь 2024'!$J$4:$J$2091,K$1)</f>
        <v>0</v>
      </c>
      <c r="L84" s="80">
        <f>SUMIFS('сентябрь 2024'!$G$4:$G$2091,'сентябрь 2024'!$D$4:$D$2091,$B84,'сентябрь 2024'!$J$4:$J$2091,L$1)</f>
        <v>0</v>
      </c>
      <c r="M84" s="80">
        <f>SUMIFS('сентябрь 2024'!$G$4:$G$2091,'сентябрь 2024'!$D$4:$D$2091,$B84,'сентябрь 2024'!$J$4:$J$2091,M$1)</f>
        <v>0</v>
      </c>
      <c r="N84" s="80">
        <f>SUMIFS('сентябрь 2024'!$G$4:$G$2091,'сентябрь 2024'!$D$4:$D$2091,$B84,'сентябрь 2024'!$J$4:$J$2091,N$1)</f>
        <v>0</v>
      </c>
      <c r="O84" s="80">
        <f>SUMIFS('сентябрь 2024'!$G$4:$G$2091,'сентябрь 2024'!$D$4:$D$2091,$B84,'сентябрь 2024'!$J$4:$J$2091,O$1)</f>
        <v>0</v>
      </c>
      <c r="P84" s="80">
        <f>SUMIFS('сентябрь 2024'!$G$4:$G$2091,'сентябрь 2024'!$D$4:$D$2091,$B84,'сентябрь 2024'!$J$4:$J$2091,P$1)</f>
        <v>0</v>
      </c>
      <c r="Q84" s="80">
        <f>SUMIFS('сентябрь 2024'!$G$4:$G$2091,'сентябрь 2024'!$D$4:$D$2091,$B84,'сентябрь 2024'!$J$4:$J$2091,Q$1)</f>
        <v>0</v>
      </c>
      <c r="R84" s="80">
        <f>SUMIFS('сентябрь 2024'!$G$4:$G$2091,'сентябрь 2024'!$D$4:$D$2091,$B84,'сентябрь 2024'!$J$4:$J$2091,R$1)</f>
        <v>0</v>
      </c>
      <c r="S84" s="80">
        <f>SUMIFS('сентябрь 2024'!$G$4:$G$2091,'сентябрь 2024'!$D$4:$D$2091,$B84,'сентябрь 2024'!$J$4:$J$2091,S$1)</f>
        <v>0</v>
      </c>
      <c r="T84" s="80">
        <f>SUMIFS('сентябрь 2024'!$G$4:$G$2091,'сентябрь 2024'!$D$4:$D$2091,$B84,'сентябрь 2024'!$J$4:$J$2091,T$1)</f>
        <v>0</v>
      </c>
      <c r="U84" s="80">
        <f>SUMIFS('сентябрь 2024'!$G$4:$G$2091,'сентябрь 2024'!$D$4:$D$2091,$B84,'сентябрь 2024'!$J$4:$J$2091,U$1)</f>
        <v>0</v>
      </c>
      <c r="V84" s="80">
        <f>SUMIFS('сентябрь 2024'!$G$4:$G$2091,'сентябрь 2024'!$D$4:$D$2091,$B84,'сентябрь 2024'!$J$4:$J$2091,V$1)</f>
        <v>0</v>
      </c>
      <c r="W84" s="80">
        <f>SUMIFS('сентябрь 2024'!$G$4:$G$2091,'сентябрь 2024'!$D$4:$D$2091,$B84,'сентябрь 2024'!$J$4:$J$2091,W$1)</f>
        <v>0</v>
      </c>
      <c r="X84" s="80">
        <f>SUMIFS('сентябрь 2024'!$G$4:$G$2091,'сентябрь 2024'!$D$4:$D$2091,$B84,'сентябрь 2024'!$J$4:$J$2091,X$1)</f>
        <v>0</v>
      </c>
      <c r="Y84" s="80">
        <f>SUMIFS('сентябрь 2024'!$G$4:$G$2091,'сентябрь 2024'!$D$4:$D$2091,$B84,'сентябрь 2024'!$J$4:$J$2091,Y$1)</f>
        <v>0</v>
      </c>
      <c r="Z84" s="80">
        <f>SUMIFS('сентябрь 2024'!$G$4:$G$2091,'сентябрь 2024'!$D$4:$D$2091,$B84,'сентябрь 2024'!$J$4:$J$2091,Z$1)</f>
        <v>0</v>
      </c>
      <c r="AA84" s="80">
        <f>SUMIFS('сентябрь 2024'!$G$4:$G$2091,'сентябрь 2024'!$D$4:$D$2091,$B84,'сентябрь 2024'!$J$4:$J$2091,AA$1)</f>
        <v>0</v>
      </c>
      <c r="AB84" s="80">
        <f>SUMIFS('сентябрь 2024'!$G$4:$G$2091,'сентябрь 2024'!$D$4:$D$2091,$B84,'сентябрь 2024'!$J$4:$J$2091,AB$1)</f>
        <v>0</v>
      </c>
      <c r="AC84" s="80">
        <f>SUMIFS('сентябрь 2024'!$G$4:$G$2091,'сентябрь 2024'!$D$4:$D$2091,$B84,'сентябрь 2024'!$J$4:$J$2091,AC$1)</f>
        <v>0</v>
      </c>
      <c r="AD84" s="80">
        <f>SUMIFS('сентябрь 2024'!$G$4:$G$2091,'сентябрь 2024'!$D$4:$D$2091,$B84,'сентябрь 2024'!$J$4:$J$2091,AD$1)</f>
        <v>0</v>
      </c>
      <c r="AE84" s="80">
        <f>SUMIFS('сентябрь 2024'!$G$4:$G$2091,'сентябрь 2024'!$D$4:$D$2091,$B84,'сентябрь 2024'!$J$4:$J$2091,AE$1)</f>
        <v>0</v>
      </c>
      <c r="AF84" s="80">
        <f>SUMIFS('сентябрь 2024'!$G$4:$G$2091,'сентябрь 2024'!$D$4:$D$2091,$B84,'сентябрь 2024'!$J$4:$J$2091,AF$1)</f>
        <v>0</v>
      </c>
      <c r="AG84" s="80">
        <f>SUMIFS('сентябрь 2024'!$G$4:$G$2091,'сентябрь 2024'!$D$4:$D$2091,$B84,'сентябрь 2024'!$J$4:$J$2091,AG$1)</f>
        <v>0</v>
      </c>
      <c r="AH84" s="80">
        <f>SUMIFS('сентябрь 2024'!$G$4:$G$2091,'сентябрь 2024'!$D$4:$D$2091,$B84,'сентябрь 2024'!$J$4:$J$2091,AH$1)</f>
        <v>0</v>
      </c>
      <c r="AI84" s="21">
        <f t="shared" si="1"/>
        <v>0</v>
      </c>
    </row>
    <row r="85" spans="2:35" ht="15" customHeight="1" x14ac:dyDescent="0.25">
      <c r="B85" s="89" t="s">
        <v>196</v>
      </c>
      <c r="C85" s="88">
        <v>190</v>
      </c>
      <c r="D85" s="80">
        <f>SUMIFS('сентябрь 2024'!$G$4:$G$2091,'сентябрь 2024'!$D$4:$D$2091,$B85,'сентябрь 2024'!$J$4:$J$2091,D$1)</f>
        <v>0</v>
      </c>
      <c r="E85" s="80">
        <f>SUMIFS('сентябрь 2024'!$G$4:$G$2091,'сентябрь 2024'!$D$4:$D$2091,$B85,'сентябрь 2024'!$J$4:$J$2091,E$1)</f>
        <v>0</v>
      </c>
      <c r="F85" s="80">
        <f>SUMIFS('сентябрь 2024'!$G$4:$G$2091,'сентябрь 2024'!$D$4:$D$2091,$B85,'сентябрь 2024'!$J$4:$J$2091,F$1)</f>
        <v>0</v>
      </c>
      <c r="G85" s="80">
        <f>SUMIFS('сентябрь 2024'!$G$4:$G$2091,'сентябрь 2024'!$D$4:$D$2091,$B85,'сентябрь 2024'!$J$4:$J$2091,G$1)</f>
        <v>0</v>
      </c>
      <c r="H85" s="80">
        <f>SUMIFS('сентябрь 2024'!$G$4:$G$2091,'сентябрь 2024'!$D$4:$D$2091,$B85,'сентябрь 2024'!$J$4:$J$2091,H$1)</f>
        <v>0</v>
      </c>
      <c r="I85" s="80">
        <f>SUMIFS('сентябрь 2024'!$G$4:$G$2091,'сентябрь 2024'!$D$4:$D$2091,$B85,'сентябрь 2024'!$J$4:$J$2091,I$1)</f>
        <v>0</v>
      </c>
      <c r="J85" s="80">
        <f>SUMIFS('сентябрь 2024'!$G$4:$G$2091,'сентябрь 2024'!$D$4:$D$2091,$B85,'сентябрь 2024'!$J$4:$J$2091,J$1)</f>
        <v>0</v>
      </c>
      <c r="K85" s="80">
        <f>SUMIFS('сентябрь 2024'!$G$4:$G$2091,'сентябрь 2024'!$D$4:$D$2091,$B85,'сентябрь 2024'!$J$4:$J$2091,K$1)</f>
        <v>0</v>
      </c>
      <c r="L85" s="80">
        <f>SUMIFS('сентябрь 2024'!$G$4:$G$2091,'сентябрь 2024'!$D$4:$D$2091,$B85,'сентябрь 2024'!$J$4:$J$2091,L$1)</f>
        <v>0</v>
      </c>
      <c r="M85" s="80">
        <f>SUMIFS('сентябрь 2024'!$G$4:$G$2091,'сентябрь 2024'!$D$4:$D$2091,$B85,'сентябрь 2024'!$J$4:$J$2091,M$1)</f>
        <v>0</v>
      </c>
      <c r="N85" s="80">
        <f>SUMIFS('сентябрь 2024'!$G$4:$G$2091,'сентябрь 2024'!$D$4:$D$2091,$B85,'сентябрь 2024'!$J$4:$J$2091,N$1)</f>
        <v>0</v>
      </c>
      <c r="O85" s="80">
        <f>SUMIFS('сентябрь 2024'!$G$4:$G$2091,'сентябрь 2024'!$D$4:$D$2091,$B85,'сентябрь 2024'!$J$4:$J$2091,O$1)</f>
        <v>0</v>
      </c>
      <c r="P85" s="80">
        <f>SUMIFS('сентябрь 2024'!$G$4:$G$2091,'сентябрь 2024'!$D$4:$D$2091,$B85,'сентябрь 2024'!$J$4:$J$2091,P$1)</f>
        <v>0</v>
      </c>
      <c r="Q85" s="80">
        <f>SUMIFS('сентябрь 2024'!$G$4:$G$2091,'сентябрь 2024'!$D$4:$D$2091,$B85,'сентябрь 2024'!$J$4:$J$2091,Q$1)</f>
        <v>0</v>
      </c>
      <c r="R85" s="80">
        <f>SUMIFS('сентябрь 2024'!$G$4:$G$2091,'сентябрь 2024'!$D$4:$D$2091,$B85,'сентябрь 2024'!$J$4:$J$2091,R$1)</f>
        <v>0</v>
      </c>
      <c r="S85" s="80">
        <f>SUMIFS('сентябрь 2024'!$G$4:$G$2091,'сентябрь 2024'!$D$4:$D$2091,$B85,'сентябрь 2024'!$J$4:$J$2091,S$1)</f>
        <v>0</v>
      </c>
      <c r="T85" s="80">
        <f>SUMIFS('сентябрь 2024'!$G$4:$G$2091,'сентябрь 2024'!$D$4:$D$2091,$B85,'сентябрь 2024'!$J$4:$J$2091,T$1)</f>
        <v>0</v>
      </c>
      <c r="U85" s="80">
        <f>SUMIFS('сентябрь 2024'!$G$4:$G$2091,'сентябрь 2024'!$D$4:$D$2091,$B85,'сентябрь 2024'!$J$4:$J$2091,U$1)</f>
        <v>0</v>
      </c>
      <c r="V85" s="80">
        <f>SUMIFS('сентябрь 2024'!$G$4:$G$2091,'сентябрь 2024'!$D$4:$D$2091,$B85,'сентябрь 2024'!$J$4:$J$2091,V$1)</f>
        <v>0</v>
      </c>
      <c r="W85" s="80">
        <f>SUMIFS('сентябрь 2024'!$G$4:$G$2091,'сентябрь 2024'!$D$4:$D$2091,$B85,'сентябрь 2024'!$J$4:$J$2091,W$1)</f>
        <v>0</v>
      </c>
      <c r="X85" s="80">
        <f>SUMIFS('сентябрь 2024'!$G$4:$G$2091,'сентябрь 2024'!$D$4:$D$2091,$B85,'сентябрь 2024'!$J$4:$J$2091,X$1)</f>
        <v>0</v>
      </c>
      <c r="Y85" s="80">
        <f>SUMIFS('сентябрь 2024'!$G$4:$G$2091,'сентябрь 2024'!$D$4:$D$2091,$B85,'сентябрь 2024'!$J$4:$J$2091,Y$1)</f>
        <v>0</v>
      </c>
      <c r="Z85" s="80">
        <f>SUMIFS('сентябрь 2024'!$G$4:$G$2091,'сентябрь 2024'!$D$4:$D$2091,$B85,'сентябрь 2024'!$J$4:$J$2091,Z$1)</f>
        <v>0</v>
      </c>
      <c r="AA85" s="80">
        <f>SUMIFS('сентябрь 2024'!$G$4:$G$2091,'сентябрь 2024'!$D$4:$D$2091,$B85,'сентябрь 2024'!$J$4:$J$2091,AA$1)</f>
        <v>0</v>
      </c>
      <c r="AB85" s="80">
        <f>SUMIFS('сентябрь 2024'!$G$4:$G$2091,'сентябрь 2024'!$D$4:$D$2091,$B85,'сентябрь 2024'!$J$4:$J$2091,AB$1)</f>
        <v>0</v>
      </c>
      <c r="AC85" s="80">
        <f>SUMIFS('сентябрь 2024'!$G$4:$G$2091,'сентябрь 2024'!$D$4:$D$2091,$B85,'сентябрь 2024'!$J$4:$J$2091,AC$1)</f>
        <v>0</v>
      </c>
      <c r="AD85" s="80">
        <f>SUMIFS('сентябрь 2024'!$G$4:$G$2091,'сентябрь 2024'!$D$4:$D$2091,$B85,'сентябрь 2024'!$J$4:$J$2091,AD$1)</f>
        <v>0</v>
      </c>
      <c r="AE85" s="80">
        <f>SUMIFS('сентябрь 2024'!$G$4:$G$2091,'сентябрь 2024'!$D$4:$D$2091,$B85,'сентябрь 2024'!$J$4:$J$2091,AE$1)</f>
        <v>0</v>
      </c>
      <c r="AF85" s="80">
        <f>SUMIFS('сентябрь 2024'!$G$4:$G$2091,'сентябрь 2024'!$D$4:$D$2091,$B85,'сентябрь 2024'!$J$4:$J$2091,AF$1)</f>
        <v>0</v>
      </c>
      <c r="AG85" s="80">
        <f>SUMIFS('сентябрь 2024'!$G$4:$G$2091,'сентябрь 2024'!$D$4:$D$2091,$B85,'сентябрь 2024'!$J$4:$J$2091,AG$1)</f>
        <v>0</v>
      </c>
      <c r="AH85" s="80">
        <f>SUMIFS('сентябрь 2024'!$G$4:$G$2091,'сентябрь 2024'!$D$4:$D$2091,$B85,'сентябрь 2024'!$J$4:$J$2091,AH$1)</f>
        <v>0</v>
      </c>
      <c r="AI85" s="21">
        <f t="shared" si="1"/>
        <v>0</v>
      </c>
    </row>
    <row r="86" spans="2:35" ht="15" customHeight="1" x14ac:dyDescent="0.25">
      <c r="B86" s="89" t="s">
        <v>217</v>
      </c>
      <c r="C86" s="88">
        <v>190</v>
      </c>
      <c r="D86" s="80">
        <f>SUMIFS('сентябрь 2024'!$G$4:$G$2091,'сентябрь 2024'!$D$4:$D$2091,$B86,'сентябрь 2024'!$J$4:$J$2091,D$1)</f>
        <v>0</v>
      </c>
      <c r="E86" s="80">
        <f>SUMIFS('сентябрь 2024'!$G$4:$G$2091,'сентябрь 2024'!$D$4:$D$2091,$B86,'сентябрь 2024'!$J$4:$J$2091,E$1)</f>
        <v>0</v>
      </c>
      <c r="F86" s="80">
        <f>SUMIFS('сентябрь 2024'!$G$4:$G$2091,'сентябрь 2024'!$D$4:$D$2091,$B86,'сентябрь 2024'!$J$4:$J$2091,F$1)</f>
        <v>0</v>
      </c>
      <c r="G86" s="80">
        <f>SUMIFS('сентябрь 2024'!$G$4:$G$2091,'сентябрь 2024'!$D$4:$D$2091,$B86,'сентябрь 2024'!$J$4:$J$2091,G$1)</f>
        <v>0</v>
      </c>
      <c r="H86" s="80">
        <f>SUMIFS('сентябрь 2024'!$G$4:$G$2091,'сентябрь 2024'!$D$4:$D$2091,$B86,'сентябрь 2024'!$J$4:$J$2091,H$1)</f>
        <v>0</v>
      </c>
      <c r="I86" s="80">
        <f>SUMIFS('сентябрь 2024'!$G$4:$G$2091,'сентябрь 2024'!$D$4:$D$2091,$B86,'сентябрь 2024'!$J$4:$J$2091,I$1)</f>
        <v>0</v>
      </c>
      <c r="J86" s="80">
        <f>SUMIFS('сентябрь 2024'!$G$4:$G$2091,'сентябрь 2024'!$D$4:$D$2091,$B86,'сентябрь 2024'!$J$4:$J$2091,J$1)</f>
        <v>0</v>
      </c>
      <c r="K86" s="80">
        <f>SUMIFS('сентябрь 2024'!$G$4:$G$2091,'сентябрь 2024'!$D$4:$D$2091,$B86,'сентябрь 2024'!$J$4:$J$2091,K$1)</f>
        <v>0</v>
      </c>
      <c r="L86" s="80">
        <f>SUMIFS('сентябрь 2024'!$G$4:$G$2091,'сентябрь 2024'!$D$4:$D$2091,$B86,'сентябрь 2024'!$J$4:$J$2091,L$1)</f>
        <v>0</v>
      </c>
      <c r="M86" s="80">
        <f>SUMIFS('сентябрь 2024'!$G$4:$G$2091,'сентябрь 2024'!$D$4:$D$2091,$B86,'сентябрь 2024'!$J$4:$J$2091,M$1)</f>
        <v>0</v>
      </c>
      <c r="N86" s="80">
        <f>SUMIFS('сентябрь 2024'!$G$4:$G$2091,'сентябрь 2024'!$D$4:$D$2091,$B86,'сентябрь 2024'!$J$4:$J$2091,N$1)</f>
        <v>0</v>
      </c>
      <c r="O86" s="80">
        <f>SUMIFS('сентябрь 2024'!$G$4:$G$2091,'сентябрь 2024'!$D$4:$D$2091,$B86,'сентябрь 2024'!$J$4:$J$2091,O$1)</f>
        <v>0</v>
      </c>
      <c r="P86" s="80">
        <f>SUMIFS('сентябрь 2024'!$G$4:$G$2091,'сентябрь 2024'!$D$4:$D$2091,$B86,'сентябрь 2024'!$J$4:$J$2091,P$1)</f>
        <v>0</v>
      </c>
      <c r="Q86" s="80">
        <f>SUMIFS('сентябрь 2024'!$G$4:$G$2091,'сентябрь 2024'!$D$4:$D$2091,$B86,'сентябрь 2024'!$J$4:$J$2091,Q$1)</f>
        <v>0</v>
      </c>
      <c r="R86" s="80">
        <f>SUMIFS('сентябрь 2024'!$G$4:$G$2091,'сентябрь 2024'!$D$4:$D$2091,$B86,'сентябрь 2024'!$J$4:$J$2091,R$1)</f>
        <v>0</v>
      </c>
      <c r="S86" s="80">
        <f>SUMIFS('сентябрь 2024'!$G$4:$G$2091,'сентябрь 2024'!$D$4:$D$2091,$B86,'сентябрь 2024'!$J$4:$J$2091,S$1)</f>
        <v>0</v>
      </c>
      <c r="T86" s="80">
        <f>SUMIFS('сентябрь 2024'!$G$4:$G$2091,'сентябрь 2024'!$D$4:$D$2091,$B86,'сентябрь 2024'!$J$4:$J$2091,T$1)</f>
        <v>0</v>
      </c>
      <c r="U86" s="80">
        <f>SUMIFS('сентябрь 2024'!$G$4:$G$2091,'сентябрь 2024'!$D$4:$D$2091,$B86,'сентябрь 2024'!$J$4:$J$2091,U$1)</f>
        <v>0</v>
      </c>
      <c r="V86" s="80">
        <f>SUMIFS('сентябрь 2024'!$G$4:$G$2091,'сентябрь 2024'!$D$4:$D$2091,$B86,'сентябрь 2024'!$J$4:$J$2091,V$1)</f>
        <v>0</v>
      </c>
      <c r="W86" s="80">
        <f>SUMIFS('сентябрь 2024'!$G$4:$G$2091,'сентябрь 2024'!$D$4:$D$2091,$B86,'сентябрь 2024'!$J$4:$J$2091,W$1)</f>
        <v>0</v>
      </c>
      <c r="X86" s="80">
        <f>SUMIFS('сентябрь 2024'!$G$4:$G$2091,'сентябрь 2024'!$D$4:$D$2091,$B86,'сентябрь 2024'!$J$4:$J$2091,X$1)</f>
        <v>0</v>
      </c>
      <c r="Y86" s="80">
        <f>SUMIFS('сентябрь 2024'!$G$4:$G$2091,'сентябрь 2024'!$D$4:$D$2091,$B86,'сентябрь 2024'!$J$4:$J$2091,Y$1)</f>
        <v>0</v>
      </c>
      <c r="Z86" s="80">
        <f>SUMIFS('сентябрь 2024'!$G$4:$G$2091,'сентябрь 2024'!$D$4:$D$2091,$B86,'сентябрь 2024'!$J$4:$J$2091,Z$1)</f>
        <v>0</v>
      </c>
      <c r="AA86" s="80">
        <f>SUMIFS('сентябрь 2024'!$G$4:$G$2091,'сентябрь 2024'!$D$4:$D$2091,$B86,'сентябрь 2024'!$J$4:$J$2091,AA$1)</f>
        <v>0</v>
      </c>
      <c r="AB86" s="80">
        <f>SUMIFS('сентябрь 2024'!$G$4:$G$2091,'сентябрь 2024'!$D$4:$D$2091,$B86,'сентябрь 2024'!$J$4:$J$2091,AB$1)</f>
        <v>0</v>
      </c>
      <c r="AC86" s="80">
        <f>SUMIFS('сентябрь 2024'!$G$4:$G$2091,'сентябрь 2024'!$D$4:$D$2091,$B86,'сентябрь 2024'!$J$4:$J$2091,AC$1)</f>
        <v>0</v>
      </c>
      <c r="AD86" s="80">
        <f>SUMIFS('сентябрь 2024'!$G$4:$G$2091,'сентябрь 2024'!$D$4:$D$2091,$B86,'сентябрь 2024'!$J$4:$J$2091,AD$1)</f>
        <v>0</v>
      </c>
      <c r="AE86" s="80">
        <f>SUMIFS('сентябрь 2024'!$G$4:$G$2091,'сентябрь 2024'!$D$4:$D$2091,$B86,'сентябрь 2024'!$J$4:$J$2091,AE$1)</f>
        <v>0</v>
      </c>
      <c r="AF86" s="80">
        <f>SUMIFS('сентябрь 2024'!$G$4:$G$2091,'сентябрь 2024'!$D$4:$D$2091,$B86,'сентябрь 2024'!$J$4:$J$2091,AF$1)</f>
        <v>0</v>
      </c>
      <c r="AG86" s="80">
        <f>SUMIFS('сентябрь 2024'!$G$4:$G$2091,'сентябрь 2024'!$D$4:$D$2091,$B86,'сентябрь 2024'!$J$4:$J$2091,AG$1)</f>
        <v>0</v>
      </c>
      <c r="AH86" s="80">
        <f>SUMIFS('сентябрь 2024'!$G$4:$G$2091,'сентябрь 2024'!$D$4:$D$2091,$B86,'сентябрь 2024'!$J$4:$J$2091,AH$1)</f>
        <v>0</v>
      </c>
      <c r="AI86" s="21">
        <f t="shared" si="1"/>
        <v>0</v>
      </c>
    </row>
    <row r="87" spans="2:35" ht="15" customHeight="1" x14ac:dyDescent="0.25">
      <c r="B87" s="93" t="s">
        <v>179</v>
      </c>
      <c r="C87" s="88">
        <v>190</v>
      </c>
      <c r="D87" s="80">
        <f>SUMIFS('сентябрь 2024'!$G$4:$G$2091,'сентябрь 2024'!$D$4:$D$2091,$B87,'сентябрь 2024'!$J$4:$J$2091,D$1)</f>
        <v>0</v>
      </c>
      <c r="E87" s="80">
        <f>SUMIFS('сентябрь 2024'!$G$4:$G$2091,'сентябрь 2024'!$D$4:$D$2091,$B87,'сентябрь 2024'!$J$4:$J$2091,E$1)</f>
        <v>0</v>
      </c>
      <c r="F87" s="80">
        <f>SUMIFS('сентябрь 2024'!$G$4:$G$2091,'сентябрь 2024'!$D$4:$D$2091,$B87,'сентябрь 2024'!$J$4:$J$2091,F$1)</f>
        <v>0</v>
      </c>
      <c r="G87" s="80">
        <f>SUMIFS('сентябрь 2024'!$G$4:$G$2091,'сентябрь 2024'!$D$4:$D$2091,$B87,'сентябрь 2024'!$J$4:$J$2091,G$1)</f>
        <v>0</v>
      </c>
      <c r="H87" s="80">
        <f>SUMIFS('сентябрь 2024'!$G$4:$G$2091,'сентябрь 2024'!$D$4:$D$2091,$B87,'сентябрь 2024'!$J$4:$J$2091,H$1)</f>
        <v>0</v>
      </c>
      <c r="I87" s="80">
        <f>SUMIFS('сентябрь 2024'!$G$4:$G$2091,'сентябрь 2024'!$D$4:$D$2091,$B87,'сентябрь 2024'!$J$4:$J$2091,I$1)</f>
        <v>0</v>
      </c>
      <c r="J87" s="80">
        <f>SUMIFS('сентябрь 2024'!$G$4:$G$2091,'сентябрь 2024'!$D$4:$D$2091,$B87,'сентябрь 2024'!$J$4:$J$2091,J$1)</f>
        <v>0</v>
      </c>
      <c r="K87" s="80">
        <f>SUMIFS('сентябрь 2024'!$G$4:$G$2091,'сентябрь 2024'!$D$4:$D$2091,$B87,'сентябрь 2024'!$J$4:$J$2091,K$1)</f>
        <v>0</v>
      </c>
      <c r="L87" s="80">
        <f>SUMIFS('сентябрь 2024'!$G$4:$G$2091,'сентябрь 2024'!$D$4:$D$2091,$B87,'сентябрь 2024'!$J$4:$J$2091,L$1)</f>
        <v>0</v>
      </c>
      <c r="M87" s="80">
        <f>SUMIFS('сентябрь 2024'!$G$4:$G$2091,'сентябрь 2024'!$D$4:$D$2091,$B87,'сентябрь 2024'!$J$4:$J$2091,M$1)</f>
        <v>0</v>
      </c>
      <c r="N87" s="80">
        <f>SUMIFS('сентябрь 2024'!$G$4:$G$2091,'сентябрь 2024'!$D$4:$D$2091,$B87,'сентябрь 2024'!$J$4:$J$2091,N$1)</f>
        <v>0</v>
      </c>
      <c r="O87" s="80">
        <f>SUMIFS('сентябрь 2024'!$G$4:$G$2091,'сентябрь 2024'!$D$4:$D$2091,$B87,'сентябрь 2024'!$J$4:$J$2091,O$1)</f>
        <v>0</v>
      </c>
      <c r="P87" s="80">
        <f>SUMIFS('сентябрь 2024'!$G$4:$G$2091,'сентябрь 2024'!$D$4:$D$2091,$B87,'сентябрь 2024'!$J$4:$J$2091,P$1)</f>
        <v>0</v>
      </c>
      <c r="Q87" s="80">
        <f>SUMIFS('сентябрь 2024'!$G$4:$G$2091,'сентябрь 2024'!$D$4:$D$2091,$B87,'сентябрь 2024'!$J$4:$J$2091,Q$1)</f>
        <v>0</v>
      </c>
      <c r="R87" s="80">
        <f>SUMIFS('сентябрь 2024'!$G$4:$G$2091,'сентябрь 2024'!$D$4:$D$2091,$B87,'сентябрь 2024'!$J$4:$J$2091,R$1)</f>
        <v>0</v>
      </c>
      <c r="S87" s="80">
        <f>SUMIFS('сентябрь 2024'!$G$4:$G$2091,'сентябрь 2024'!$D$4:$D$2091,$B87,'сентябрь 2024'!$J$4:$J$2091,S$1)</f>
        <v>0</v>
      </c>
      <c r="T87" s="80">
        <f>SUMIFS('сентябрь 2024'!$G$4:$G$2091,'сентябрь 2024'!$D$4:$D$2091,$B87,'сентябрь 2024'!$J$4:$J$2091,T$1)</f>
        <v>0</v>
      </c>
      <c r="U87" s="80">
        <f>SUMIFS('сентябрь 2024'!$G$4:$G$2091,'сентябрь 2024'!$D$4:$D$2091,$B87,'сентябрь 2024'!$J$4:$J$2091,U$1)</f>
        <v>0</v>
      </c>
      <c r="V87" s="80">
        <f>SUMIFS('сентябрь 2024'!$G$4:$G$2091,'сентябрь 2024'!$D$4:$D$2091,$B87,'сентябрь 2024'!$J$4:$J$2091,V$1)</f>
        <v>0</v>
      </c>
      <c r="W87" s="80">
        <f>SUMIFS('сентябрь 2024'!$G$4:$G$2091,'сентябрь 2024'!$D$4:$D$2091,$B87,'сентябрь 2024'!$J$4:$J$2091,W$1)</f>
        <v>0</v>
      </c>
      <c r="X87" s="80">
        <f>SUMIFS('сентябрь 2024'!$G$4:$G$2091,'сентябрь 2024'!$D$4:$D$2091,$B87,'сентябрь 2024'!$J$4:$J$2091,X$1)</f>
        <v>0</v>
      </c>
      <c r="Y87" s="80">
        <f>SUMIFS('сентябрь 2024'!$G$4:$G$2091,'сентябрь 2024'!$D$4:$D$2091,$B87,'сентябрь 2024'!$J$4:$J$2091,Y$1)</f>
        <v>0</v>
      </c>
      <c r="Z87" s="80">
        <f>SUMIFS('сентябрь 2024'!$G$4:$G$2091,'сентябрь 2024'!$D$4:$D$2091,$B87,'сентябрь 2024'!$J$4:$J$2091,Z$1)</f>
        <v>0</v>
      </c>
      <c r="AA87" s="80">
        <f>SUMIFS('сентябрь 2024'!$G$4:$G$2091,'сентябрь 2024'!$D$4:$D$2091,$B87,'сентябрь 2024'!$J$4:$J$2091,AA$1)</f>
        <v>0</v>
      </c>
      <c r="AB87" s="80">
        <f>SUMIFS('сентябрь 2024'!$G$4:$G$2091,'сентябрь 2024'!$D$4:$D$2091,$B87,'сентябрь 2024'!$J$4:$J$2091,AB$1)</f>
        <v>0</v>
      </c>
      <c r="AC87" s="80">
        <f>SUMIFS('сентябрь 2024'!$G$4:$G$2091,'сентябрь 2024'!$D$4:$D$2091,$B87,'сентябрь 2024'!$J$4:$J$2091,AC$1)</f>
        <v>0</v>
      </c>
      <c r="AD87" s="80">
        <f>SUMIFS('сентябрь 2024'!$G$4:$G$2091,'сентябрь 2024'!$D$4:$D$2091,$B87,'сентябрь 2024'!$J$4:$J$2091,AD$1)</f>
        <v>0</v>
      </c>
      <c r="AE87" s="80">
        <f>SUMIFS('сентябрь 2024'!$G$4:$G$2091,'сентябрь 2024'!$D$4:$D$2091,$B87,'сентябрь 2024'!$J$4:$J$2091,AE$1)</f>
        <v>0</v>
      </c>
      <c r="AF87" s="80">
        <f>SUMIFS('сентябрь 2024'!$G$4:$G$2091,'сентябрь 2024'!$D$4:$D$2091,$B87,'сентябрь 2024'!$J$4:$J$2091,AF$1)</f>
        <v>0</v>
      </c>
      <c r="AG87" s="80">
        <f>SUMIFS('сентябрь 2024'!$G$4:$G$2091,'сентябрь 2024'!$D$4:$D$2091,$B87,'сентябрь 2024'!$J$4:$J$2091,AG$1)</f>
        <v>0</v>
      </c>
      <c r="AH87" s="80">
        <f>SUMIFS('сентябрь 2024'!$G$4:$G$2091,'сентябрь 2024'!$D$4:$D$2091,$B87,'сентябрь 2024'!$J$4:$J$2091,AH$1)</f>
        <v>0</v>
      </c>
      <c r="AI87" s="21">
        <f t="shared" si="1"/>
        <v>0</v>
      </c>
    </row>
    <row r="88" spans="2:35" ht="15" customHeight="1" x14ac:dyDescent="0.25">
      <c r="B88" s="93" t="s">
        <v>192</v>
      </c>
      <c r="C88" s="91">
        <v>180</v>
      </c>
      <c r="D88" s="80">
        <f>SUMIFS('сентябрь 2024'!$G$4:$G$2091,'сентябрь 2024'!$D$4:$D$2091,$B88,'сентябрь 2024'!$J$4:$J$2091,D$1)</f>
        <v>0</v>
      </c>
      <c r="E88" s="80">
        <f>SUMIFS('сентябрь 2024'!$G$4:$G$2091,'сентябрь 2024'!$D$4:$D$2091,$B88,'сентябрь 2024'!$J$4:$J$2091,E$1)</f>
        <v>0</v>
      </c>
      <c r="F88" s="80">
        <f>SUMIFS('сентябрь 2024'!$G$4:$G$2091,'сентябрь 2024'!$D$4:$D$2091,$B88,'сентябрь 2024'!$J$4:$J$2091,F$1)</f>
        <v>0</v>
      </c>
      <c r="G88" s="80">
        <f>SUMIFS('сентябрь 2024'!$G$4:$G$2091,'сентябрь 2024'!$D$4:$D$2091,$B88,'сентябрь 2024'!$J$4:$J$2091,G$1)</f>
        <v>0</v>
      </c>
      <c r="H88" s="80">
        <f>SUMIFS('сентябрь 2024'!$G$4:$G$2091,'сентябрь 2024'!$D$4:$D$2091,$B88,'сентябрь 2024'!$J$4:$J$2091,H$1)</f>
        <v>0</v>
      </c>
      <c r="I88" s="80">
        <f>SUMIFS('сентябрь 2024'!$G$4:$G$2091,'сентябрь 2024'!$D$4:$D$2091,$B88,'сентябрь 2024'!$J$4:$J$2091,I$1)</f>
        <v>0</v>
      </c>
      <c r="J88" s="80">
        <f>SUMIFS('сентябрь 2024'!$G$4:$G$2091,'сентябрь 2024'!$D$4:$D$2091,$B88,'сентябрь 2024'!$J$4:$J$2091,J$1)</f>
        <v>0</v>
      </c>
      <c r="K88" s="80">
        <f>SUMIFS('сентябрь 2024'!$G$4:$G$2091,'сентябрь 2024'!$D$4:$D$2091,$B88,'сентябрь 2024'!$J$4:$J$2091,K$1)</f>
        <v>0</v>
      </c>
      <c r="L88" s="80">
        <f>SUMIFS('сентябрь 2024'!$G$4:$G$2091,'сентябрь 2024'!$D$4:$D$2091,$B88,'сентябрь 2024'!$J$4:$J$2091,L$1)</f>
        <v>0</v>
      </c>
      <c r="M88" s="80">
        <f>SUMIFS('сентябрь 2024'!$G$4:$G$2091,'сентябрь 2024'!$D$4:$D$2091,$B88,'сентябрь 2024'!$J$4:$J$2091,M$1)</f>
        <v>0</v>
      </c>
      <c r="N88" s="80">
        <f>SUMIFS('сентябрь 2024'!$G$4:$G$2091,'сентябрь 2024'!$D$4:$D$2091,$B88,'сентябрь 2024'!$J$4:$J$2091,N$1)</f>
        <v>0</v>
      </c>
      <c r="O88" s="80">
        <f>SUMIFS('сентябрь 2024'!$G$4:$G$2091,'сентябрь 2024'!$D$4:$D$2091,$B88,'сентябрь 2024'!$J$4:$J$2091,O$1)</f>
        <v>0</v>
      </c>
      <c r="P88" s="80">
        <f>SUMIFS('сентябрь 2024'!$G$4:$G$2091,'сентябрь 2024'!$D$4:$D$2091,$B88,'сентябрь 2024'!$J$4:$J$2091,P$1)</f>
        <v>0</v>
      </c>
      <c r="Q88" s="80">
        <f>SUMIFS('сентябрь 2024'!$G$4:$G$2091,'сентябрь 2024'!$D$4:$D$2091,$B88,'сентябрь 2024'!$J$4:$J$2091,Q$1)</f>
        <v>0</v>
      </c>
      <c r="R88" s="80">
        <f>SUMIFS('сентябрь 2024'!$G$4:$G$2091,'сентябрь 2024'!$D$4:$D$2091,$B88,'сентябрь 2024'!$J$4:$J$2091,R$1)</f>
        <v>0</v>
      </c>
      <c r="S88" s="80">
        <f>SUMIFS('сентябрь 2024'!$G$4:$G$2091,'сентябрь 2024'!$D$4:$D$2091,$B88,'сентябрь 2024'!$J$4:$J$2091,S$1)</f>
        <v>0</v>
      </c>
      <c r="T88" s="80">
        <f>SUMIFS('сентябрь 2024'!$G$4:$G$2091,'сентябрь 2024'!$D$4:$D$2091,$B88,'сентябрь 2024'!$J$4:$J$2091,T$1)</f>
        <v>0</v>
      </c>
      <c r="U88" s="80">
        <f>SUMIFS('сентябрь 2024'!$G$4:$G$2091,'сентябрь 2024'!$D$4:$D$2091,$B88,'сентябрь 2024'!$J$4:$J$2091,U$1)</f>
        <v>0</v>
      </c>
      <c r="V88" s="80">
        <f>SUMIFS('сентябрь 2024'!$G$4:$G$2091,'сентябрь 2024'!$D$4:$D$2091,$B88,'сентябрь 2024'!$J$4:$J$2091,V$1)</f>
        <v>0</v>
      </c>
      <c r="W88" s="80">
        <f>SUMIFS('сентябрь 2024'!$G$4:$G$2091,'сентябрь 2024'!$D$4:$D$2091,$B88,'сентябрь 2024'!$J$4:$J$2091,W$1)</f>
        <v>0</v>
      </c>
      <c r="X88" s="80">
        <f>SUMIFS('сентябрь 2024'!$G$4:$G$2091,'сентябрь 2024'!$D$4:$D$2091,$B88,'сентябрь 2024'!$J$4:$J$2091,X$1)</f>
        <v>0</v>
      </c>
      <c r="Y88" s="80">
        <f>SUMIFS('сентябрь 2024'!$G$4:$G$2091,'сентябрь 2024'!$D$4:$D$2091,$B88,'сентябрь 2024'!$J$4:$J$2091,Y$1)</f>
        <v>0</v>
      </c>
      <c r="Z88" s="80">
        <f>SUMIFS('сентябрь 2024'!$G$4:$G$2091,'сентябрь 2024'!$D$4:$D$2091,$B88,'сентябрь 2024'!$J$4:$J$2091,Z$1)</f>
        <v>0</v>
      </c>
      <c r="AA88" s="80">
        <f>SUMIFS('сентябрь 2024'!$G$4:$G$2091,'сентябрь 2024'!$D$4:$D$2091,$B88,'сентябрь 2024'!$J$4:$J$2091,AA$1)</f>
        <v>0</v>
      </c>
      <c r="AB88" s="80">
        <f>SUMIFS('сентябрь 2024'!$G$4:$G$2091,'сентябрь 2024'!$D$4:$D$2091,$B88,'сентябрь 2024'!$J$4:$J$2091,AB$1)</f>
        <v>0</v>
      </c>
      <c r="AC88" s="80">
        <f>SUMIFS('сентябрь 2024'!$G$4:$G$2091,'сентябрь 2024'!$D$4:$D$2091,$B88,'сентябрь 2024'!$J$4:$J$2091,AC$1)</f>
        <v>0</v>
      </c>
      <c r="AD88" s="80">
        <f>SUMIFS('сентябрь 2024'!$G$4:$G$2091,'сентябрь 2024'!$D$4:$D$2091,$B88,'сентябрь 2024'!$J$4:$J$2091,AD$1)</f>
        <v>0</v>
      </c>
      <c r="AE88" s="80">
        <f>SUMIFS('сентябрь 2024'!$G$4:$G$2091,'сентябрь 2024'!$D$4:$D$2091,$B88,'сентябрь 2024'!$J$4:$J$2091,AE$1)</f>
        <v>0</v>
      </c>
      <c r="AF88" s="80">
        <f>SUMIFS('сентябрь 2024'!$G$4:$G$2091,'сентябрь 2024'!$D$4:$D$2091,$B88,'сентябрь 2024'!$J$4:$J$2091,AF$1)</f>
        <v>0</v>
      </c>
      <c r="AG88" s="80">
        <f>SUMIFS('сентябрь 2024'!$G$4:$G$2091,'сентябрь 2024'!$D$4:$D$2091,$B88,'сентябрь 2024'!$J$4:$J$2091,AG$1)</f>
        <v>0</v>
      </c>
      <c r="AH88" s="80">
        <f>SUMIFS('сентябрь 2024'!$G$4:$G$2091,'сентябрь 2024'!$D$4:$D$2091,$B88,'сентябрь 2024'!$J$4:$J$2091,AH$1)</f>
        <v>0</v>
      </c>
      <c r="AI88" s="21">
        <f t="shared" si="1"/>
        <v>0</v>
      </c>
    </row>
    <row r="89" spans="2:35" ht="15" customHeight="1" x14ac:dyDescent="0.25">
      <c r="B89" s="93" t="s">
        <v>887</v>
      </c>
      <c r="C89" s="91">
        <v>190</v>
      </c>
      <c r="D89" s="80">
        <f>SUMIFS('сентябрь 2024'!$G$4:$G$2091,'сентябрь 2024'!$D$4:$D$2091,$B89,'сентябрь 2024'!$J$4:$J$2091,D$1)</f>
        <v>0</v>
      </c>
      <c r="E89" s="80">
        <f>SUMIFS('сентябрь 2024'!$G$4:$G$2091,'сентябрь 2024'!$D$4:$D$2091,$B89,'сентябрь 2024'!$J$4:$J$2091,E$1)</f>
        <v>0</v>
      </c>
      <c r="F89" s="80">
        <f>SUMIFS('сентябрь 2024'!$G$4:$G$2091,'сентябрь 2024'!$D$4:$D$2091,$B89,'сентябрь 2024'!$J$4:$J$2091,F$1)</f>
        <v>0</v>
      </c>
      <c r="G89" s="80">
        <f>SUMIFS('сентябрь 2024'!$G$4:$G$2091,'сентябрь 2024'!$D$4:$D$2091,$B89,'сентябрь 2024'!$J$4:$J$2091,G$1)</f>
        <v>0</v>
      </c>
      <c r="H89" s="80">
        <f>SUMIFS('сентябрь 2024'!$G$4:$G$2091,'сентябрь 2024'!$D$4:$D$2091,$B89,'сентябрь 2024'!$J$4:$J$2091,H$1)</f>
        <v>0</v>
      </c>
      <c r="I89" s="80">
        <f>SUMIFS('сентябрь 2024'!$G$4:$G$2091,'сентябрь 2024'!$D$4:$D$2091,$B89,'сентябрь 2024'!$J$4:$J$2091,I$1)</f>
        <v>0</v>
      </c>
      <c r="J89" s="80">
        <f>SUMIFS('сентябрь 2024'!$G$4:$G$2091,'сентябрь 2024'!$D$4:$D$2091,$B89,'сентябрь 2024'!$J$4:$J$2091,J$1)</f>
        <v>0</v>
      </c>
      <c r="K89" s="80">
        <f>SUMIFS('сентябрь 2024'!$G$4:$G$2091,'сентябрь 2024'!$D$4:$D$2091,$B89,'сентябрь 2024'!$J$4:$J$2091,K$1)</f>
        <v>0</v>
      </c>
      <c r="L89" s="80">
        <f>SUMIFS('сентябрь 2024'!$G$4:$G$2091,'сентябрь 2024'!$D$4:$D$2091,$B89,'сентябрь 2024'!$J$4:$J$2091,L$1)</f>
        <v>0</v>
      </c>
      <c r="M89" s="80">
        <f>SUMIFS('сентябрь 2024'!$G$4:$G$2091,'сентябрь 2024'!$D$4:$D$2091,$B89,'сентябрь 2024'!$J$4:$J$2091,M$1)</f>
        <v>0</v>
      </c>
      <c r="N89" s="80">
        <f>SUMIFS('сентябрь 2024'!$G$4:$G$2091,'сентябрь 2024'!$D$4:$D$2091,$B89,'сентябрь 2024'!$J$4:$J$2091,N$1)</f>
        <v>0</v>
      </c>
      <c r="O89" s="80">
        <f>SUMIFS('сентябрь 2024'!$G$4:$G$2091,'сентябрь 2024'!$D$4:$D$2091,$B89,'сентябрь 2024'!$J$4:$J$2091,O$1)</f>
        <v>0</v>
      </c>
      <c r="P89" s="80">
        <f>SUMIFS('сентябрь 2024'!$G$4:$G$2091,'сентябрь 2024'!$D$4:$D$2091,$B89,'сентябрь 2024'!$J$4:$J$2091,P$1)</f>
        <v>0</v>
      </c>
      <c r="Q89" s="80">
        <f>SUMIFS('сентябрь 2024'!$G$4:$G$2091,'сентябрь 2024'!$D$4:$D$2091,$B89,'сентябрь 2024'!$J$4:$J$2091,Q$1)</f>
        <v>0</v>
      </c>
      <c r="R89" s="80">
        <f>SUMIFS('сентябрь 2024'!$G$4:$G$2091,'сентябрь 2024'!$D$4:$D$2091,$B89,'сентябрь 2024'!$J$4:$J$2091,R$1)</f>
        <v>0</v>
      </c>
      <c r="S89" s="80">
        <f>SUMIFS('сентябрь 2024'!$G$4:$G$2091,'сентябрь 2024'!$D$4:$D$2091,$B89,'сентябрь 2024'!$J$4:$J$2091,S$1)</f>
        <v>0</v>
      </c>
      <c r="T89" s="80">
        <f>SUMIFS('сентябрь 2024'!$G$4:$G$2091,'сентябрь 2024'!$D$4:$D$2091,$B89,'сентябрь 2024'!$J$4:$J$2091,T$1)</f>
        <v>0</v>
      </c>
      <c r="U89" s="80">
        <f>SUMIFS('сентябрь 2024'!$G$4:$G$2091,'сентябрь 2024'!$D$4:$D$2091,$B89,'сентябрь 2024'!$J$4:$J$2091,U$1)</f>
        <v>0</v>
      </c>
      <c r="V89" s="80">
        <f>SUMIFS('сентябрь 2024'!$G$4:$G$2091,'сентябрь 2024'!$D$4:$D$2091,$B89,'сентябрь 2024'!$J$4:$J$2091,V$1)</f>
        <v>0</v>
      </c>
      <c r="W89" s="80">
        <f>SUMIFS('сентябрь 2024'!$G$4:$G$2091,'сентябрь 2024'!$D$4:$D$2091,$B89,'сентябрь 2024'!$J$4:$J$2091,W$1)</f>
        <v>0</v>
      </c>
      <c r="X89" s="80">
        <f>SUMIFS('сентябрь 2024'!$G$4:$G$2091,'сентябрь 2024'!$D$4:$D$2091,$B89,'сентябрь 2024'!$J$4:$J$2091,X$1)</f>
        <v>0</v>
      </c>
      <c r="Y89" s="80">
        <f>SUMIFS('сентябрь 2024'!$G$4:$G$2091,'сентябрь 2024'!$D$4:$D$2091,$B89,'сентябрь 2024'!$J$4:$J$2091,Y$1)</f>
        <v>0</v>
      </c>
      <c r="Z89" s="80">
        <f>SUMIFS('сентябрь 2024'!$G$4:$G$2091,'сентябрь 2024'!$D$4:$D$2091,$B89,'сентябрь 2024'!$J$4:$J$2091,Z$1)</f>
        <v>0</v>
      </c>
      <c r="AA89" s="80">
        <f>SUMIFS('сентябрь 2024'!$G$4:$G$2091,'сентябрь 2024'!$D$4:$D$2091,$B89,'сентябрь 2024'!$J$4:$J$2091,AA$1)</f>
        <v>0</v>
      </c>
      <c r="AB89" s="80">
        <f>SUMIFS('сентябрь 2024'!$G$4:$G$2091,'сентябрь 2024'!$D$4:$D$2091,$B89,'сентябрь 2024'!$J$4:$J$2091,AB$1)</f>
        <v>0</v>
      </c>
      <c r="AC89" s="80">
        <f>SUMIFS('сентябрь 2024'!$G$4:$G$2091,'сентябрь 2024'!$D$4:$D$2091,$B89,'сентябрь 2024'!$J$4:$J$2091,AC$1)</f>
        <v>0</v>
      </c>
      <c r="AD89" s="80">
        <f>SUMIFS('сентябрь 2024'!$G$4:$G$2091,'сентябрь 2024'!$D$4:$D$2091,$B89,'сентябрь 2024'!$J$4:$J$2091,AD$1)</f>
        <v>0</v>
      </c>
      <c r="AE89" s="80">
        <f>SUMIFS('сентябрь 2024'!$G$4:$G$2091,'сентябрь 2024'!$D$4:$D$2091,$B89,'сентябрь 2024'!$J$4:$J$2091,AE$1)</f>
        <v>0</v>
      </c>
      <c r="AF89" s="80">
        <f>SUMIFS('сентябрь 2024'!$G$4:$G$2091,'сентябрь 2024'!$D$4:$D$2091,$B89,'сентябрь 2024'!$J$4:$J$2091,AF$1)</f>
        <v>0</v>
      </c>
      <c r="AG89" s="80">
        <f>SUMIFS('сентябрь 2024'!$G$4:$G$2091,'сентябрь 2024'!$D$4:$D$2091,$B89,'сентябрь 2024'!$J$4:$J$2091,AG$1)</f>
        <v>0</v>
      </c>
      <c r="AH89" s="80">
        <f>SUMIFS('сентябрь 2024'!$G$4:$G$2091,'сентябрь 2024'!$D$4:$D$2091,$B89,'сентябрь 2024'!$J$4:$J$2091,AH$1)</f>
        <v>0</v>
      </c>
      <c r="AI89" s="21">
        <f t="shared" si="1"/>
        <v>0</v>
      </c>
    </row>
    <row r="90" spans="2:35" ht="15" customHeight="1" x14ac:dyDescent="0.25">
      <c r="B90" s="93" t="s">
        <v>1286</v>
      </c>
      <c r="C90" s="91">
        <v>190</v>
      </c>
      <c r="D90" s="80">
        <f>SUMIFS('сентябрь 2024'!$G$4:$G$2091,'сентябрь 2024'!$D$4:$D$2091,$B90,'сентябрь 2024'!$J$4:$J$2091,D$1)</f>
        <v>0</v>
      </c>
      <c r="E90" s="80">
        <f>SUMIFS('сентябрь 2024'!$G$4:$G$2091,'сентябрь 2024'!$D$4:$D$2091,$B90,'сентябрь 2024'!$J$4:$J$2091,E$1)</f>
        <v>0</v>
      </c>
      <c r="F90" s="80">
        <f>SUMIFS('сентябрь 2024'!$G$4:$G$2091,'сентябрь 2024'!$D$4:$D$2091,$B90,'сентябрь 2024'!$J$4:$J$2091,F$1)</f>
        <v>0</v>
      </c>
      <c r="G90" s="80">
        <f>SUMIFS('сентябрь 2024'!$G$4:$G$2091,'сентябрь 2024'!$D$4:$D$2091,$B90,'сентябрь 2024'!$J$4:$J$2091,G$1)</f>
        <v>0</v>
      </c>
      <c r="H90" s="80">
        <f>SUMIFS('сентябрь 2024'!$G$4:$G$2091,'сентябрь 2024'!$D$4:$D$2091,$B90,'сентябрь 2024'!$J$4:$J$2091,H$1)</f>
        <v>0</v>
      </c>
      <c r="I90" s="80">
        <f>SUMIFS('сентябрь 2024'!$G$4:$G$2091,'сентябрь 2024'!$D$4:$D$2091,$B90,'сентябрь 2024'!$J$4:$J$2091,I$1)</f>
        <v>0</v>
      </c>
      <c r="J90" s="80">
        <f>SUMIFS('сентябрь 2024'!$G$4:$G$2091,'сентябрь 2024'!$D$4:$D$2091,$B90,'сентябрь 2024'!$J$4:$J$2091,J$1)</f>
        <v>0</v>
      </c>
      <c r="K90" s="80">
        <f>SUMIFS('сентябрь 2024'!$G$4:$G$2091,'сентябрь 2024'!$D$4:$D$2091,$B90,'сентябрь 2024'!$J$4:$J$2091,K$1)</f>
        <v>0</v>
      </c>
      <c r="L90" s="80">
        <f>SUMIFS('сентябрь 2024'!$G$4:$G$2091,'сентябрь 2024'!$D$4:$D$2091,$B90,'сентябрь 2024'!$J$4:$J$2091,L$1)</f>
        <v>0</v>
      </c>
      <c r="M90" s="80">
        <f>SUMIFS('сентябрь 2024'!$G$4:$G$2091,'сентябрь 2024'!$D$4:$D$2091,$B90,'сентябрь 2024'!$J$4:$J$2091,M$1)</f>
        <v>0</v>
      </c>
      <c r="N90" s="80">
        <f>SUMIFS('сентябрь 2024'!$G$4:$G$2091,'сентябрь 2024'!$D$4:$D$2091,$B90,'сентябрь 2024'!$J$4:$J$2091,N$1)</f>
        <v>0</v>
      </c>
      <c r="O90" s="80">
        <f>SUMIFS('сентябрь 2024'!$G$4:$G$2091,'сентябрь 2024'!$D$4:$D$2091,$B90,'сентябрь 2024'!$J$4:$J$2091,O$1)</f>
        <v>0</v>
      </c>
      <c r="P90" s="80">
        <f>SUMIFS('сентябрь 2024'!$G$4:$G$2091,'сентябрь 2024'!$D$4:$D$2091,$B90,'сентябрь 2024'!$J$4:$J$2091,P$1)</f>
        <v>0</v>
      </c>
      <c r="Q90" s="80">
        <f>SUMIFS('сентябрь 2024'!$G$4:$G$2091,'сентябрь 2024'!$D$4:$D$2091,$B90,'сентябрь 2024'!$J$4:$J$2091,Q$1)</f>
        <v>0</v>
      </c>
      <c r="R90" s="80">
        <f>SUMIFS('сентябрь 2024'!$G$4:$G$2091,'сентябрь 2024'!$D$4:$D$2091,$B90,'сентябрь 2024'!$J$4:$J$2091,R$1)</f>
        <v>0</v>
      </c>
      <c r="S90" s="80">
        <f>SUMIFS('сентябрь 2024'!$G$4:$G$2091,'сентябрь 2024'!$D$4:$D$2091,$B90,'сентябрь 2024'!$J$4:$J$2091,S$1)</f>
        <v>0</v>
      </c>
      <c r="T90" s="80">
        <f>SUMIFS('сентябрь 2024'!$G$4:$G$2091,'сентябрь 2024'!$D$4:$D$2091,$B90,'сентябрь 2024'!$J$4:$J$2091,T$1)</f>
        <v>0</v>
      </c>
      <c r="U90" s="80">
        <f>SUMIFS('сентябрь 2024'!$G$4:$G$2091,'сентябрь 2024'!$D$4:$D$2091,$B90,'сентябрь 2024'!$J$4:$J$2091,U$1)</f>
        <v>0</v>
      </c>
      <c r="V90" s="80">
        <f>SUMIFS('сентябрь 2024'!$G$4:$G$2091,'сентябрь 2024'!$D$4:$D$2091,$B90,'сентябрь 2024'!$J$4:$J$2091,V$1)</f>
        <v>0</v>
      </c>
      <c r="W90" s="80">
        <f>SUMIFS('сентябрь 2024'!$G$4:$G$2091,'сентябрь 2024'!$D$4:$D$2091,$B90,'сентябрь 2024'!$J$4:$J$2091,W$1)</f>
        <v>0</v>
      </c>
      <c r="X90" s="80">
        <f>SUMIFS('сентябрь 2024'!$G$4:$G$2091,'сентябрь 2024'!$D$4:$D$2091,$B90,'сентябрь 2024'!$J$4:$J$2091,X$1)</f>
        <v>0</v>
      </c>
      <c r="Y90" s="80">
        <f>SUMIFS('сентябрь 2024'!$G$4:$G$2091,'сентябрь 2024'!$D$4:$D$2091,$B90,'сентябрь 2024'!$J$4:$J$2091,Y$1)</f>
        <v>0</v>
      </c>
      <c r="Z90" s="80">
        <f>SUMIFS('сентябрь 2024'!$G$4:$G$2091,'сентябрь 2024'!$D$4:$D$2091,$B90,'сентябрь 2024'!$J$4:$J$2091,Z$1)</f>
        <v>0</v>
      </c>
      <c r="AA90" s="80">
        <f>SUMIFS('сентябрь 2024'!$G$4:$G$2091,'сентябрь 2024'!$D$4:$D$2091,$B90,'сентябрь 2024'!$J$4:$J$2091,AA$1)</f>
        <v>0</v>
      </c>
      <c r="AB90" s="80">
        <f>SUMIFS('сентябрь 2024'!$G$4:$G$2091,'сентябрь 2024'!$D$4:$D$2091,$B90,'сентябрь 2024'!$J$4:$J$2091,AB$1)</f>
        <v>0</v>
      </c>
      <c r="AC90" s="80">
        <f>SUMIFS('сентябрь 2024'!$G$4:$G$2091,'сентябрь 2024'!$D$4:$D$2091,$B90,'сентябрь 2024'!$J$4:$J$2091,AC$1)</f>
        <v>0</v>
      </c>
      <c r="AD90" s="80">
        <f>SUMIFS('сентябрь 2024'!$G$4:$G$2091,'сентябрь 2024'!$D$4:$D$2091,$B90,'сентябрь 2024'!$J$4:$J$2091,AD$1)</f>
        <v>0</v>
      </c>
      <c r="AE90" s="80">
        <f>SUMIFS('сентябрь 2024'!$G$4:$G$2091,'сентябрь 2024'!$D$4:$D$2091,$B90,'сентябрь 2024'!$J$4:$J$2091,AE$1)</f>
        <v>0</v>
      </c>
      <c r="AF90" s="80">
        <f>SUMIFS('сентябрь 2024'!$G$4:$G$2091,'сентябрь 2024'!$D$4:$D$2091,$B90,'сентябрь 2024'!$J$4:$J$2091,AF$1)</f>
        <v>0</v>
      </c>
      <c r="AG90" s="80">
        <f>SUMIFS('сентябрь 2024'!$G$4:$G$2091,'сентябрь 2024'!$D$4:$D$2091,$B90,'сентябрь 2024'!$J$4:$J$2091,AG$1)</f>
        <v>0</v>
      </c>
      <c r="AH90" s="80">
        <f>SUMIFS('сентябрь 2024'!$G$4:$G$2091,'сентябрь 2024'!$D$4:$D$2091,$B90,'сентябрь 2024'!$J$4:$J$2091,AH$1)</f>
        <v>0</v>
      </c>
      <c r="AI90" s="21">
        <f t="shared" si="1"/>
        <v>0</v>
      </c>
    </row>
    <row r="91" spans="2:35" ht="15" customHeight="1" x14ac:dyDescent="0.25">
      <c r="B91" s="93" t="s">
        <v>399</v>
      </c>
      <c r="C91" s="91">
        <v>190</v>
      </c>
      <c r="D91" s="80">
        <f>SUMIFS('сентябрь 2024'!$G$4:$G$2091,'сентябрь 2024'!$D$4:$D$2091,$B91,'сентябрь 2024'!$J$4:$J$2091,D$1)</f>
        <v>0</v>
      </c>
      <c r="E91" s="80">
        <f>SUMIFS('сентябрь 2024'!$G$4:$G$2091,'сентябрь 2024'!$D$4:$D$2091,$B91,'сентябрь 2024'!$J$4:$J$2091,E$1)</f>
        <v>0</v>
      </c>
      <c r="F91" s="80">
        <f>SUMIFS('сентябрь 2024'!$G$4:$G$2091,'сентябрь 2024'!$D$4:$D$2091,$B91,'сентябрь 2024'!$J$4:$J$2091,F$1)</f>
        <v>0</v>
      </c>
      <c r="G91" s="80">
        <f>SUMIFS('сентябрь 2024'!$G$4:$G$2091,'сентябрь 2024'!$D$4:$D$2091,$B91,'сентябрь 2024'!$J$4:$J$2091,G$1)</f>
        <v>0</v>
      </c>
      <c r="H91" s="80">
        <f>SUMIFS('сентябрь 2024'!$G$4:$G$2091,'сентябрь 2024'!$D$4:$D$2091,$B91,'сентябрь 2024'!$J$4:$J$2091,H$1)</f>
        <v>0</v>
      </c>
      <c r="I91" s="80">
        <f>SUMIFS('сентябрь 2024'!$G$4:$G$2091,'сентябрь 2024'!$D$4:$D$2091,$B91,'сентябрь 2024'!$J$4:$J$2091,I$1)</f>
        <v>0</v>
      </c>
      <c r="J91" s="80">
        <f>SUMIFS('сентябрь 2024'!$G$4:$G$2091,'сентябрь 2024'!$D$4:$D$2091,$B91,'сентябрь 2024'!$J$4:$J$2091,J$1)</f>
        <v>0</v>
      </c>
      <c r="K91" s="80">
        <f>SUMIFS('сентябрь 2024'!$G$4:$G$2091,'сентябрь 2024'!$D$4:$D$2091,$B91,'сентябрь 2024'!$J$4:$J$2091,K$1)</f>
        <v>0</v>
      </c>
      <c r="L91" s="80">
        <f>SUMIFS('сентябрь 2024'!$G$4:$G$2091,'сентябрь 2024'!$D$4:$D$2091,$B91,'сентябрь 2024'!$J$4:$J$2091,L$1)</f>
        <v>0</v>
      </c>
      <c r="M91" s="80">
        <f>SUMIFS('сентябрь 2024'!$G$4:$G$2091,'сентябрь 2024'!$D$4:$D$2091,$B91,'сентябрь 2024'!$J$4:$J$2091,M$1)</f>
        <v>0</v>
      </c>
      <c r="N91" s="80">
        <f>SUMIFS('сентябрь 2024'!$G$4:$G$2091,'сентябрь 2024'!$D$4:$D$2091,$B91,'сентябрь 2024'!$J$4:$J$2091,N$1)</f>
        <v>0</v>
      </c>
      <c r="O91" s="80">
        <f>SUMIFS('сентябрь 2024'!$G$4:$G$2091,'сентябрь 2024'!$D$4:$D$2091,$B91,'сентябрь 2024'!$J$4:$J$2091,O$1)</f>
        <v>0</v>
      </c>
      <c r="P91" s="80">
        <f>SUMIFS('сентябрь 2024'!$G$4:$G$2091,'сентябрь 2024'!$D$4:$D$2091,$B91,'сентябрь 2024'!$J$4:$J$2091,P$1)</f>
        <v>0</v>
      </c>
      <c r="Q91" s="80">
        <f>SUMIFS('сентябрь 2024'!$G$4:$G$2091,'сентябрь 2024'!$D$4:$D$2091,$B91,'сентябрь 2024'!$J$4:$J$2091,Q$1)</f>
        <v>0</v>
      </c>
      <c r="R91" s="80">
        <f>SUMIFS('сентябрь 2024'!$G$4:$G$2091,'сентябрь 2024'!$D$4:$D$2091,$B91,'сентябрь 2024'!$J$4:$J$2091,R$1)</f>
        <v>0</v>
      </c>
      <c r="S91" s="80">
        <f>SUMIFS('сентябрь 2024'!$G$4:$G$2091,'сентябрь 2024'!$D$4:$D$2091,$B91,'сентябрь 2024'!$J$4:$J$2091,S$1)</f>
        <v>0</v>
      </c>
      <c r="T91" s="80">
        <f>SUMIFS('сентябрь 2024'!$G$4:$G$2091,'сентябрь 2024'!$D$4:$D$2091,$B91,'сентябрь 2024'!$J$4:$J$2091,T$1)</f>
        <v>0</v>
      </c>
      <c r="U91" s="80">
        <f>SUMIFS('сентябрь 2024'!$G$4:$G$2091,'сентябрь 2024'!$D$4:$D$2091,$B91,'сентябрь 2024'!$J$4:$J$2091,U$1)</f>
        <v>0</v>
      </c>
      <c r="V91" s="80">
        <f>SUMIFS('сентябрь 2024'!$G$4:$G$2091,'сентябрь 2024'!$D$4:$D$2091,$B91,'сентябрь 2024'!$J$4:$J$2091,V$1)</f>
        <v>0</v>
      </c>
      <c r="W91" s="80">
        <f>SUMIFS('сентябрь 2024'!$G$4:$G$2091,'сентябрь 2024'!$D$4:$D$2091,$B91,'сентябрь 2024'!$J$4:$J$2091,W$1)</f>
        <v>0</v>
      </c>
      <c r="X91" s="80">
        <f>SUMIFS('сентябрь 2024'!$G$4:$G$2091,'сентябрь 2024'!$D$4:$D$2091,$B91,'сентябрь 2024'!$J$4:$J$2091,X$1)</f>
        <v>0</v>
      </c>
      <c r="Y91" s="80">
        <f>SUMIFS('сентябрь 2024'!$G$4:$G$2091,'сентябрь 2024'!$D$4:$D$2091,$B91,'сентябрь 2024'!$J$4:$J$2091,Y$1)</f>
        <v>0</v>
      </c>
      <c r="Z91" s="80">
        <f>SUMIFS('сентябрь 2024'!$G$4:$G$2091,'сентябрь 2024'!$D$4:$D$2091,$B91,'сентябрь 2024'!$J$4:$J$2091,Z$1)</f>
        <v>0</v>
      </c>
      <c r="AA91" s="80">
        <f>SUMIFS('сентябрь 2024'!$G$4:$G$2091,'сентябрь 2024'!$D$4:$D$2091,$B91,'сентябрь 2024'!$J$4:$J$2091,AA$1)</f>
        <v>0</v>
      </c>
      <c r="AB91" s="80">
        <f>SUMIFS('сентябрь 2024'!$G$4:$G$2091,'сентябрь 2024'!$D$4:$D$2091,$B91,'сентябрь 2024'!$J$4:$J$2091,AB$1)</f>
        <v>0</v>
      </c>
      <c r="AC91" s="80">
        <f>SUMIFS('сентябрь 2024'!$G$4:$G$2091,'сентябрь 2024'!$D$4:$D$2091,$B91,'сентябрь 2024'!$J$4:$J$2091,AC$1)</f>
        <v>0</v>
      </c>
      <c r="AD91" s="80">
        <f>SUMIFS('сентябрь 2024'!$G$4:$G$2091,'сентябрь 2024'!$D$4:$D$2091,$B91,'сентябрь 2024'!$J$4:$J$2091,AD$1)</f>
        <v>0</v>
      </c>
      <c r="AE91" s="80">
        <f>SUMIFS('сентябрь 2024'!$G$4:$G$2091,'сентябрь 2024'!$D$4:$D$2091,$B91,'сентябрь 2024'!$J$4:$J$2091,AE$1)</f>
        <v>0</v>
      </c>
      <c r="AF91" s="80">
        <f>SUMIFS('сентябрь 2024'!$G$4:$G$2091,'сентябрь 2024'!$D$4:$D$2091,$B91,'сентябрь 2024'!$J$4:$J$2091,AF$1)</f>
        <v>0</v>
      </c>
      <c r="AG91" s="80">
        <f>SUMIFS('сентябрь 2024'!$G$4:$G$2091,'сентябрь 2024'!$D$4:$D$2091,$B91,'сентябрь 2024'!$J$4:$J$2091,AG$1)</f>
        <v>0</v>
      </c>
      <c r="AH91" s="80">
        <f>SUMIFS('сентябрь 2024'!$G$4:$G$2091,'сентябрь 2024'!$D$4:$D$2091,$B91,'сентябрь 2024'!$J$4:$J$2091,AH$1)</f>
        <v>0</v>
      </c>
      <c r="AI91" s="21">
        <f t="shared" si="1"/>
        <v>0</v>
      </c>
    </row>
    <row r="92" spans="2:35" ht="15" customHeight="1" x14ac:dyDescent="0.25">
      <c r="B92" s="93" t="s">
        <v>322</v>
      </c>
      <c r="C92" s="91">
        <v>180</v>
      </c>
      <c r="D92" s="80">
        <f>SUMIFS('сентябрь 2024'!$G$4:$G$2091,'сентябрь 2024'!$D$4:$D$2091,$B92,'сентябрь 2024'!$J$4:$J$2091,D$1)</f>
        <v>0</v>
      </c>
      <c r="E92" s="80">
        <f>SUMIFS('сентябрь 2024'!$G$4:$G$2091,'сентябрь 2024'!$D$4:$D$2091,$B92,'сентябрь 2024'!$J$4:$J$2091,E$1)</f>
        <v>0</v>
      </c>
      <c r="F92" s="80">
        <f>SUMIFS('сентябрь 2024'!$G$4:$G$2091,'сентябрь 2024'!$D$4:$D$2091,$B92,'сентябрь 2024'!$J$4:$J$2091,F$1)</f>
        <v>0</v>
      </c>
      <c r="G92" s="80">
        <f>SUMIFS('сентябрь 2024'!$G$4:$G$2091,'сентябрь 2024'!$D$4:$D$2091,$B92,'сентябрь 2024'!$J$4:$J$2091,G$1)</f>
        <v>0</v>
      </c>
      <c r="H92" s="80">
        <f>SUMIFS('сентябрь 2024'!$G$4:$G$2091,'сентябрь 2024'!$D$4:$D$2091,$B92,'сентябрь 2024'!$J$4:$J$2091,H$1)</f>
        <v>0</v>
      </c>
      <c r="I92" s="80">
        <f>SUMIFS('сентябрь 2024'!$G$4:$G$2091,'сентябрь 2024'!$D$4:$D$2091,$B92,'сентябрь 2024'!$J$4:$J$2091,I$1)</f>
        <v>0</v>
      </c>
      <c r="J92" s="80">
        <f>SUMIFS('сентябрь 2024'!$G$4:$G$2091,'сентябрь 2024'!$D$4:$D$2091,$B92,'сентябрь 2024'!$J$4:$J$2091,J$1)</f>
        <v>0</v>
      </c>
      <c r="K92" s="80">
        <f>SUMIFS('сентябрь 2024'!$G$4:$G$2091,'сентябрь 2024'!$D$4:$D$2091,$B92,'сентябрь 2024'!$J$4:$J$2091,K$1)</f>
        <v>0</v>
      </c>
      <c r="L92" s="80">
        <f>SUMIFS('сентябрь 2024'!$G$4:$G$2091,'сентябрь 2024'!$D$4:$D$2091,$B92,'сентябрь 2024'!$J$4:$J$2091,L$1)</f>
        <v>0</v>
      </c>
      <c r="M92" s="80">
        <f>SUMIFS('сентябрь 2024'!$G$4:$G$2091,'сентябрь 2024'!$D$4:$D$2091,$B92,'сентябрь 2024'!$J$4:$J$2091,M$1)</f>
        <v>0</v>
      </c>
      <c r="N92" s="80">
        <f>SUMIFS('сентябрь 2024'!$G$4:$G$2091,'сентябрь 2024'!$D$4:$D$2091,$B92,'сентябрь 2024'!$J$4:$J$2091,N$1)</f>
        <v>0</v>
      </c>
      <c r="O92" s="80">
        <f>SUMIFS('сентябрь 2024'!$G$4:$G$2091,'сентябрь 2024'!$D$4:$D$2091,$B92,'сентябрь 2024'!$J$4:$J$2091,O$1)</f>
        <v>0</v>
      </c>
      <c r="P92" s="80">
        <f>SUMIFS('сентябрь 2024'!$G$4:$G$2091,'сентябрь 2024'!$D$4:$D$2091,$B92,'сентябрь 2024'!$J$4:$J$2091,P$1)</f>
        <v>0</v>
      </c>
      <c r="Q92" s="80">
        <f>SUMIFS('сентябрь 2024'!$G$4:$G$2091,'сентябрь 2024'!$D$4:$D$2091,$B92,'сентябрь 2024'!$J$4:$J$2091,Q$1)</f>
        <v>0</v>
      </c>
      <c r="R92" s="80">
        <f>SUMIFS('сентябрь 2024'!$G$4:$G$2091,'сентябрь 2024'!$D$4:$D$2091,$B92,'сентябрь 2024'!$J$4:$J$2091,R$1)</f>
        <v>0</v>
      </c>
      <c r="S92" s="80">
        <f>SUMIFS('сентябрь 2024'!$G$4:$G$2091,'сентябрь 2024'!$D$4:$D$2091,$B92,'сентябрь 2024'!$J$4:$J$2091,S$1)</f>
        <v>0</v>
      </c>
      <c r="T92" s="80">
        <f>SUMIFS('сентябрь 2024'!$G$4:$G$2091,'сентябрь 2024'!$D$4:$D$2091,$B92,'сентябрь 2024'!$J$4:$J$2091,T$1)</f>
        <v>0</v>
      </c>
      <c r="U92" s="80">
        <f>SUMIFS('сентябрь 2024'!$G$4:$G$2091,'сентябрь 2024'!$D$4:$D$2091,$B92,'сентябрь 2024'!$J$4:$J$2091,U$1)</f>
        <v>0</v>
      </c>
      <c r="V92" s="80">
        <f>SUMIFS('сентябрь 2024'!$G$4:$G$2091,'сентябрь 2024'!$D$4:$D$2091,$B92,'сентябрь 2024'!$J$4:$J$2091,V$1)</f>
        <v>0</v>
      </c>
      <c r="W92" s="80">
        <f>SUMIFS('сентябрь 2024'!$G$4:$G$2091,'сентябрь 2024'!$D$4:$D$2091,$B92,'сентябрь 2024'!$J$4:$J$2091,W$1)</f>
        <v>0</v>
      </c>
      <c r="X92" s="80">
        <f>SUMIFS('сентябрь 2024'!$G$4:$G$2091,'сентябрь 2024'!$D$4:$D$2091,$B92,'сентябрь 2024'!$J$4:$J$2091,X$1)</f>
        <v>0</v>
      </c>
      <c r="Y92" s="80">
        <f>SUMIFS('сентябрь 2024'!$G$4:$G$2091,'сентябрь 2024'!$D$4:$D$2091,$B92,'сентябрь 2024'!$J$4:$J$2091,Y$1)</f>
        <v>0</v>
      </c>
      <c r="Z92" s="80">
        <f>SUMIFS('сентябрь 2024'!$G$4:$G$2091,'сентябрь 2024'!$D$4:$D$2091,$B92,'сентябрь 2024'!$J$4:$J$2091,Z$1)</f>
        <v>0</v>
      </c>
      <c r="AA92" s="80">
        <f>SUMIFS('сентябрь 2024'!$G$4:$G$2091,'сентябрь 2024'!$D$4:$D$2091,$B92,'сентябрь 2024'!$J$4:$J$2091,AA$1)</f>
        <v>0</v>
      </c>
      <c r="AB92" s="80">
        <f>SUMIFS('сентябрь 2024'!$G$4:$G$2091,'сентябрь 2024'!$D$4:$D$2091,$B92,'сентябрь 2024'!$J$4:$J$2091,AB$1)</f>
        <v>0</v>
      </c>
      <c r="AC92" s="80">
        <f>SUMIFS('сентябрь 2024'!$G$4:$G$2091,'сентябрь 2024'!$D$4:$D$2091,$B92,'сентябрь 2024'!$J$4:$J$2091,AC$1)</f>
        <v>0</v>
      </c>
      <c r="AD92" s="80">
        <f>SUMIFS('сентябрь 2024'!$G$4:$G$2091,'сентябрь 2024'!$D$4:$D$2091,$B92,'сентябрь 2024'!$J$4:$J$2091,AD$1)</f>
        <v>0</v>
      </c>
      <c r="AE92" s="80">
        <f>SUMIFS('сентябрь 2024'!$G$4:$G$2091,'сентябрь 2024'!$D$4:$D$2091,$B92,'сентябрь 2024'!$J$4:$J$2091,AE$1)</f>
        <v>0</v>
      </c>
      <c r="AF92" s="80">
        <f>SUMIFS('сентябрь 2024'!$G$4:$G$2091,'сентябрь 2024'!$D$4:$D$2091,$B92,'сентябрь 2024'!$J$4:$J$2091,AF$1)</f>
        <v>0</v>
      </c>
      <c r="AG92" s="80">
        <f>SUMIFS('сентябрь 2024'!$G$4:$G$2091,'сентябрь 2024'!$D$4:$D$2091,$B92,'сентябрь 2024'!$J$4:$J$2091,AG$1)</f>
        <v>0</v>
      </c>
      <c r="AH92" s="80">
        <f>SUMIFS('сентябрь 2024'!$G$4:$G$2091,'сентябрь 2024'!$D$4:$D$2091,$B92,'сентябрь 2024'!$J$4:$J$2091,AH$1)</f>
        <v>0</v>
      </c>
      <c r="AI92" s="21">
        <f t="shared" si="1"/>
        <v>0</v>
      </c>
    </row>
    <row r="93" spans="2:35" ht="15" customHeight="1" x14ac:dyDescent="0.25">
      <c r="B93" s="93" t="s">
        <v>323</v>
      </c>
      <c r="C93" s="91">
        <v>180</v>
      </c>
      <c r="D93" s="80">
        <f>SUMIFS('сентябрь 2024'!$G$4:$G$2091,'сентябрь 2024'!$D$4:$D$2091,$B93,'сентябрь 2024'!$J$4:$J$2091,D$1)</f>
        <v>0</v>
      </c>
      <c r="E93" s="80">
        <f>SUMIFS('сентябрь 2024'!$G$4:$G$2091,'сентябрь 2024'!$D$4:$D$2091,$B93,'сентябрь 2024'!$J$4:$J$2091,E$1)</f>
        <v>0</v>
      </c>
      <c r="F93" s="80">
        <f>SUMIFS('сентябрь 2024'!$G$4:$G$2091,'сентябрь 2024'!$D$4:$D$2091,$B93,'сентябрь 2024'!$J$4:$J$2091,F$1)</f>
        <v>0</v>
      </c>
      <c r="G93" s="80">
        <f>SUMIFS('сентябрь 2024'!$G$4:$G$2091,'сентябрь 2024'!$D$4:$D$2091,$B93,'сентябрь 2024'!$J$4:$J$2091,G$1)</f>
        <v>0</v>
      </c>
      <c r="H93" s="80">
        <f>SUMIFS('сентябрь 2024'!$G$4:$G$2091,'сентябрь 2024'!$D$4:$D$2091,$B93,'сентябрь 2024'!$J$4:$J$2091,H$1)</f>
        <v>0</v>
      </c>
      <c r="I93" s="80">
        <f>SUMIFS('сентябрь 2024'!$G$4:$G$2091,'сентябрь 2024'!$D$4:$D$2091,$B93,'сентябрь 2024'!$J$4:$J$2091,I$1)</f>
        <v>0</v>
      </c>
      <c r="J93" s="80">
        <f>SUMIFS('сентябрь 2024'!$G$4:$G$2091,'сентябрь 2024'!$D$4:$D$2091,$B93,'сентябрь 2024'!$J$4:$J$2091,J$1)</f>
        <v>0</v>
      </c>
      <c r="K93" s="80">
        <f>SUMIFS('сентябрь 2024'!$G$4:$G$2091,'сентябрь 2024'!$D$4:$D$2091,$B93,'сентябрь 2024'!$J$4:$J$2091,K$1)</f>
        <v>0</v>
      </c>
      <c r="L93" s="80">
        <f>SUMIFS('сентябрь 2024'!$G$4:$G$2091,'сентябрь 2024'!$D$4:$D$2091,$B93,'сентябрь 2024'!$J$4:$J$2091,L$1)</f>
        <v>0</v>
      </c>
      <c r="M93" s="80">
        <f>SUMIFS('сентябрь 2024'!$G$4:$G$2091,'сентябрь 2024'!$D$4:$D$2091,$B93,'сентябрь 2024'!$J$4:$J$2091,M$1)</f>
        <v>0</v>
      </c>
      <c r="N93" s="80">
        <f>SUMIFS('сентябрь 2024'!$G$4:$G$2091,'сентябрь 2024'!$D$4:$D$2091,$B93,'сентябрь 2024'!$J$4:$J$2091,N$1)</f>
        <v>0</v>
      </c>
      <c r="O93" s="80">
        <f>SUMIFS('сентябрь 2024'!$G$4:$G$2091,'сентябрь 2024'!$D$4:$D$2091,$B93,'сентябрь 2024'!$J$4:$J$2091,O$1)</f>
        <v>0</v>
      </c>
      <c r="P93" s="80">
        <f>SUMIFS('сентябрь 2024'!$G$4:$G$2091,'сентябрь 2024'!$D$4:$D$2091,$B93,'сентябрь 2024'!$J$4:$J$2091,P$1)</f>
        <v>0</v>
      </c>
      <c r="Q93" s="80">
        <f>SUMIFS('сентябрь 2024'!$G$4:$G$2091,'сентябрь 2024'!$D$4:$D$2091,$B93,'сентябрь 2024'!$J$4:$J$2091,Q$1)</f>
        <v>0</v>
      </c>
      <c r="R93" s="80">
        <f>SUMIFS('сентябрь 2024'!$G$4:$G$2091,'сентябрь 2024'!$D$4:$D$2091,$B93,'сентябрь 2024'!$J$4:$J$2091,R$1)</f>
        <v>0</v>
      </c>
      <c r="S93" s="80">
        <f>SUMIFS('сентябрь 2024'!$G$4:$G$2091,'сентябрь 2024'!$D$4:$D$2091,$B93,'сентябрь 2024'!$J$4:$J$2091,S$1)</f>
        <v>0</v>
      </c>
      <c r="T93" s="80">
        <f>SUMIFS('сентябрь 2024'!$G$4:$G$2091,'сентябрь 2024'!$D$4:$D$2091,$B93,'сентябрь 2024'!$J$4:$J$2091,T$1)</f>
        <v>0</v>
      </c>
      <c r="U93" s="80">
        <f>SUMIFS('сентябрь 2024'!$G$4:$G$2091,'сентябрь 2024'!$D$4:$D$2091,$B93,'сентябрь 2024'!$J$4:$J$2091,U$1)</f>
        <v>0</v>
      </c>
      <c r="V93" s="80">
        <f>SUMIFS('сентябрь 2024'!$G$4:$G$2091,'сентябрь 2024'!$D$4:$D$2091,$B93,'сентябрь 2024'!$J$4:$J$2091,V$1)</f>
        <v>0</v>
      </c>
      <c r="W93" s="80">
        <f>SUMIFS('сентябрь 2024'!$G$4:$G$2091,'сентябрь 2024'!$D$4:$D$2091,$B93,'сентябрь 2024'!$J$4:$J$2091,W$1)</f>
        <v>0</v>
      </c>
      <c r="X93" s="80">
        <f>SUMIFS('сентябрь 2024'!$G$4:$G$2091,'сентябрь 2024'!$D$4:$D$2091,$B93,'сентябрь 2024'!$J$4:$J$2091,X$1)</f>
        <v>0</v>
      </c>
      <c r="Y93" s="80">
        <f>SUMIFS('сентябрь 2024'!$G$4:$G$2091,'сентябрь 2024'!$D$4:$D$2091,$B93,'сентябрь 2024'!$J$4:$J$2091,Y$1)</f>
        <v>0</v>
      </c>
      <c r="Z93" s="80">
        <f>SUMIFS('сентябрь 2024'!$G$4:$G$2091,'сентябрь 2024'!$D$4:$D$2091,$B93,'сентябрь 2024'!$J$4:$J$2091,Z$1)</f>
        <v>0</v>
      </c>
      <c r="AA93" s="80">
        <f>SUMIFS('сентябрь 2024'!$G$4:$G$2091,'сентябрь 2024'!$D$4:$D$2091,$B93,'сентябрь 2024'!$J$4:$J$2091,AA$1)</f>
        <v>0</v>
      </c>
      <c r="AB93" s="80">
        <f>SUMIFS('сентябрь 2024'!$G$4:$G$2091,'сентябрь 2024'!$D$4:$D$2091,$B93,'сентябрь 2024'!$J$4:$J$2091,AB$1)</f>
        <v>0</v>
      </c>
      <c r="AC93" s="80">
        <f>SUMIFS('сентябрь 2024'!$G$4:$G$2091,'сентябрь 2024'!$D$4:$D$2091,$B93,'сентябрь 2024'!$J$4:$J$2091,AC$1)</f>
        <v>0</v>
      </c>
      <c r="AD93" s="80">
        <f>SUMIFS('сентябрь 2024'!$G$4:$G$2091,'сентябрь 2024'!$D$4:$D$2091,$B93,'сентябрь 2024'!$J$4:$J$2091,AD$1)</f>
        <v>0</v>
      </c>
      <c r="AE93" s="80">
        <f>SUMIFS('сентябрь 2024'!$G$4:$G$2091,'сентябрь 2024'!$D$4:$D$2091,$B93,'сентябрь 2024'!$J$4:$J$2091,AE$1)</f>
        <v>0</v>
      </c>
      <c r="AF93" s="80">
        <f>SUMIFS('сентябрь 2024'!$G$4:$G$2091,'сентябрь 2024'!$D$4:$D$2091,$B93,'сентябрь 2024'!$J$4:$J$2091,AF$1)</f>
        <v>0</v>
      </c>
      <c r="AG93" s="80">
        <f>SUMIFS('сентябрь 2024'!$G$4:$G$2091,'сентябрь 2024'!$D$4:$D$2091,$B93,'сентябрь 2024'!$J$4:$J$2091,AG$1)</f>
        <v>0</v>
      </c>
      <c r="AH93" s="80">
        <f>SUMIFS('сентябрь 2024'!$G$4:$G$2091,'сентябрь 2024'!$D$4:$D$2091,$B93,'сентябрь 2024'!$J$4:$J$2091,AH$1)</f>
        <v>0</v>
      </c>
      <c r="AI93" s="21">
        <f t="shared" si="1"/>
        <v>0</v>
      </c>
    </row>
    <row r="94" spans="2:35" ht="15" customHeight="1" x14ac:dyDescent="0.25">
      <c r="B94" s="93" t="s">
        <v>513</v>
      </c>
      <c r="C94" s="91">
        <v>20</v>
      </c>
      <c r="D94" s="80">
        <f>SUMIFS('сентябрь 2024'!$G$4:$G$2091,'сентябрь 2024'!$D$4:$D$2091,$B94,'сентябрь 2024'!$J$4:$J$2091,D$1)</f>
        <v>0</v>
      </c>
      <c r="E94" s="80">
        <f>SUMIFS('сентябрь 2024'!$G$4:$G$2091,'сентябрь 2024'!$D$4:$D$2091,$B94,'сентябрь 2024'!$J$4:$J$2091,E$1)</f>
        <v>0</v>
      </c>
      <c r="F94" s="80">
        <f>SUMIFS('сентябрь 2024'!$G$4:$G$2091,'сентябрь 2024'!$D$4:$D$2091,$B94,'сентябрь 2024'!$J$4:$J$2091,F$1)</f>
        <v>0</v>
      </c>
      <c r="G94" s="80">
        <f>SUMIFS('сентябрь 2024'!$G$4:$G$2091,'сентябрь 2024'!$D$4:$D$2091,$B94,'сентябрь 2024'!$J$4:$J$2091,G$1)</f>
        <v>0</v>
      </c>
      <c r="H94" s="80">
        <f>SUMIFS('сентябрь 2024'!$G$4:$G$2091,'сентябрь 2024'!$D$4:$D$2091,$B94,'сентябрь 2024'!$J$4:$J$2091,H$1)</f>
        <v>0</v>
      </c>
      <c r="I94" s="80">
        <f>SUMIFS('сентябрь 2024'!$G$4:$G$2091,'сентябрь 2024'!$D$4:$D$2091,$B94,'сентябрь 2024'!$J$4:$J$2091,I$1)</f>
        <v>0</v>
      </c>
      <c r="J94" s="80">
        <f>SUMIFS('сентябрь 2024'!$G$4:$G$2091,'сентябрь 2024'!$D$4:$D$2091,$B94,'сентябрь 2024'!$J$4:$J$2091,J$1)</f>
        <v>0</v>
      </c>
      <c r="K94" s="80">
        <f>SUMIFS('сентябрь 2024'!$G$4:$G$2091,'сентябрь 2024'!$D$4:$D$2091,$B94,'сентябрь 2024'!$J$4:$J$2091,K$1)</f>
        <v>0</v>
      </c>
      <c r="L94" s="80">
        <f>SUMIFS('сентябрь 2024'!$G$4:$G$2091,'сентябрь 2024'!$D$4:$D$2091,$B94,'сентябрь 2024'!$J$4:$J$2091,L$1)</f>
        <v>3</v>
      </c>
      <c r="M94" s="80">
        <f>SUMIFS('сентябрь 2024'!$G$4:$G$2091,'сентябрь 2024'!$D$4:$D$2091,$B94,'сентябрь 2024'!$J$4:$J$2091,M$1)</f>
        <v>0</v>
      </c>
      <c r="N94" s="80">
        <f>SUMIFS('сентябрь 2024'!$G$4:$G$2091,'сентябрь 2024'!$D$4:$D$2091,$B94,'сентябрь 2024'!$J$4:$J$2091,N$1)</f>
        <v>0</v>
      </c>
      <c r="O94" s="80">
        <f>SUMIFS('сентябрь 2024'!$G$4:$G$2091,'сентябрь 2024'!$D$4:$D$2091,$B94,'сентябрь 2024'!$J$4:$J$2091,O$1)</f>
        <v>0</v>
      </c>
      <c r="P94" s="80">
        <f>SUMIFS('сентябрь 2024'!$G$4:$G$2091,'сентябрь 2024'!$D$4:$D$2091,$B94,'сентябрь 2024'!$J$4:$J$2091,P$1)</f>
        <v>0</v>
      </c>
      <c r="Q94" s="80">
        <f>SUMIFS('сентябрь 2024'!$G$4:$G$2091,'сентябрь 2024'!$D$4:$D$2091,$B94,'сентябрь 2024'!$J$4:$J$2091,Q$1)</f>
        <v>0</v>
      </c>
      <c r="R94" s="80">
        <f>SUMIFS('сентябрь 2024'!$G$4:$G$2091,'сентябрь 2024'!$D$4:$D$2091,$B94,'сентябрь 2024'!$J$4:$J$2091,R$1)</f>
        <v>0</v>
      </c>
      <c r="S94" s="80">
        <f>SUMIFS('сентябрь 2024'!$G$4:$G$2091,'сентябрь 2024'!$D$4:$D$2091,$B94,'сентябрь 2024'!$J$4:$J$2091,S$1)</f>
        <v>0</v>
      </c>
      <c r="T94" s="80">
        <f>SUMIFS('сентябрь 2024'!$G$4:$G$2091,'сентябрь 2024'!$D$4:$D$2091,$B94,'сентябрь 2024'!$J$4:$J$2091,T$1)</f>
        <v>0</v>
      </c>
      <c r="U94" s="80">
        <f>SUMIFS('сентябрь 2024'!$G$4:$G$2091,'сентябрь 2024'!$D$4:$D$2091,$B94,'сентябрь 2024'!$J$4:$J$2091,U$1)</f>
        <v>0</v>
      </c>
      <c r="V94" s="80">
        <f>SUMIFS('сентябрь 2024'!$G$4:$G$2091,'сентябрь 2024'!$D$4:$D$2091,$B94,'сентябрь 2024'!$J$4:$J$2091,V$1)</f>
        <v>0</v>
      </c>
      <c r="W94" s="80">
        <f>SUMIFS('сентябрь 2024'!$G$4:$G$2091,'сентябрь 2024'!$D$4:$D$2091,$B94,'сентябрь 2024'!$J$4:$J$2091,W$1)</f>
        <v>0</v>
      </c>
      <c r="X94" s="80">
        <f>SUMIFS('сентябрь 2024'!$G$4:$G$2091,'сентябрь 2024'!$D$4:$D$2091,$B94,'сентябрь 2024'!$J$4:$J$2091,X$1)</f>
        <v>0</v>
      </c>
      <c r="Y94" s="80">
        <f>SUMIFS('сентябрь 2024'!$G$4:$G$2091,'сентябрь 2024'!$D$4:$D$2091,$B94,'сентябрь 2024'!$J$4:$J$2091,Y$1)</f>
        <v>0</v>
      </c>
      <c r="Z94" s="80">
        <f>SUMIFS('сентябрь 2024'!$G$4:$G$2091,'сентябрь 2024'!$D$4:$D$2091,$B94,'сентябрь 2024'!$J$4:$J$2091,Z$1)</f>
        <v>0</v>
      </c>
      <c r="AA94" s="80">
        <f>SUMIFS('сентябрь 2024'!$G$4:$G$2091,'сентябрь 2024'!$D$4:$D$2091,$B94,'сентябрь 2024'!$J$4:$J$2091,AA$1)</f>
        <v>0</v>
      </c>
      <c r="AB94" s="80">
        <f>SUMIFS('сентябрь 2024'!$G$4:$G$2091,'сентябрь 2024'!$D$4:$D$2091,$B94,'сентябрь 2024'!$J$4:$J$2091,AB$1)</f>
        <v>0</v>
      </c>
      <c r="AC94" s="80">
        <f>SUMIFS('сентябрь 2024'!$G$4:$G$2091,'сентябрь 2024'!$D$4:$D$2091,$B94,'сентябрь 2024'!$J$4:$J$2091,AC$1)</f>
        <v>0</v>
      </c>
      <c r="AD94" s="80">
        <f>SUMIFS('сентябрь 2024'!$G$4:$G$2091,'сентябрь 2024'!$D$4:$D$2091,$B94,'сентябрь 2024'!$J$4:$J$2091,AD$1)</f>
        <v>0</v>
      </c>
      <c r="AE94" s="80">
        <f>SUMIFS('сентябрь 2024'!$G$4:$G$2091,'сентябрь 2024'!$D$4:$D$2091,$B94,'сентябрь 2024'!$J$4:$J$2091,AE$1)</f>
        <v>0</v>
      </c>
      <c r="AF94" s="80">
        <f>SUMIFS('сентябрь 2024'!$G$4:$G$2091,'сентябрь 2024'!$D$4:$D$2091,$B94,'сентябрь 2024'!$J$4:$J$2091,AF$1)</f>
        <v>0</v>
      </c>
      <c r="AG94" s="80">
        <f>SUMIFS('сентябрь 2024'!$G$4:$G$2091,'сентябрь 2024'!$D$4:$D$2091,$B94,'сентябрь 2024'!$J$4:$J$2091,AG$1)</f>
        <v>0</v>
      </c>
      <c r="AH94" s="80">
        <f>SUMIFS('сентябрь 2024'!$G$4:$G$2091,'сентябрь 2024'!$D$4:$D$2091,$B94,'сентябрь 2024'!$J$4:$J$2091,AH$1)</f>
        <v>0</v>
      </c>
      <c r="AI94" s="21">
        <f t="shared" si="1"/>
        <v>3</v>
      </c>
    </row>
    <row r="95" spans="2:35" ht="15" customHeight="1" x14ac:dyDescent="0.25">
      <c r="B95" s="93" t="s">
        <v>1489</v>
      </c>
      <c r="C95" s="91">
        <v>25</v>
      </c>
      <c r="D95" s="80">
        <f>SUMIFS('сентябрь 2024'!$G$4:$G$2091,'сентябрь 2024'!$D$4:$D$2091,$B95,'сентябрь 2024'!$J$4:$J$2091,D$1)</f>
        <v>0</v>
      </c>
      <c r="E95" s="80">
        <f>SUMIFS('сентябрь 2024'!$G$4:$G$2091,'сентябрь 2024'!$D$4:$D$2091,$B95,'сентябрь 2024'!$J$4:$J$2091,E$1)</f>
        <v>0</v>
      </c>
      <c r="F95" s="80">
        <f>SUMIFS('сентябрь 2024'!$G$4:$G$2091,'сентябрь 2024'!$D$4:$D$2091,$B95,'сентябрь 2024'!$J$4:$J$2091,F$1)</f>
        <v>0</v>
      </c>
      <c r="G95" s="80">
        <f>SUMIFS('сентябрь 2024'!$G$4:$G$2091,'сентябрь 2024'!$D$4:$D$2091,$B95,'сентябрь 2024'!$J$4:$J$2091,G$1)</f>
        <v>0</v>
      </c>
      <c r="H95" s="80">
        <f>SUMIFS('сентябрь 2024'!$G$4:$G$2091,'сентябрь 2024'!$D$4:$D$2091,$B95,'сентябрь 2024'!$J$4:$J$2091,H$1)</f>
        <v>0</v>
      </c>
      <c r="I95" s="80">
        <f>SUMIFS('сентябрь 2024'!$G$4:$G$2091,'сентябрь 2024'!$D$4:$D$2091,$B95,'сентябрь 2024'!$J$4:$J$2091,I$1)</f>
        <v>0</v>
      </c>
      <c r="J95" s="80">
        <f>SUMIFS('сентябрь 2024'!$G$4:$G$2091,'сентябрь 2024'!$D$4:$D$2091,$B95,'сентябрь 2024'!$J$4:$J$2091,J$1)</f>
        <v>0</v>
      </c>
      <c r="K95" s="80">
        <f>SUMIFS('сентябрь 2024'!$G$4:$G$2091,'сентябрь 2024'!$D$4:$D$2091,$B95,'сентябрь 2024'!$J$4:$J$2091,K$1)</f>
        <v>0</v>
      </c>
      <c r="L95" s="80">
        <f>SUMIFS('сентябрь 2024'!$G$4:$G$2091,'сентябрь 2024'!$D$4:$D$2091,$B95,'сентябрь 2024'!$J$4:$J$2091,L$1)</f>
        <v>0</v>
      </c>
      <c r="M95" s="80">
        <f>SUMIFS('сентябрь 2024'!$G$4:$G$2091,'сентябрь 2024'!$D$4:$D$2091,$B95,'сентябрь 2024'!$J$4:$J$2091,M$1)</f>
        <v>0</v>
      </c>
      <c r="N95" s="80">
        <f>SUMIFS('сентябрь 2024'!$G$4:$G$2091,'сентябрь 2024'!$D$4:$D$2091,$B95,'сентябрь 2024'!$J$4:$J$2091,N$1)</f>
        <v>0</v>
      </c>
      <c r="O95" s="80">
        <f>SUMIFS('сентябрь 2024'!$G$4:$G$2091,'сентябрь 2024'!$D$4:$D$2091,$B95,'сентябрь 2024'!$J$4:$J$2091,O$1)</f>
        <v>0</v>
      </c>
      <c r="P95" s="80">
        <f>SUMIFS('сентябрь 2024'!$G$4:$G$2091,'сентябрь 2024'!$D$4:$D$2091,$B95,'сентябрь 2024'!$J$4:$J$2091,P$1)</f>
        <v>0</v>
      </c>
      <c r="Q95" s="80">
        <f>SUMIFS('сентябрь 2024'!$G$4:$G$2091,'сентябрь 2024'!$D$4:$D$2091,$B95,'сентябрь 2024'!$J$4:$J$2091,Q$1)</f>
        <v>0</v>
      </c>
      <c r="R95" s="80">
        <f>SUMIFS('сентябрь 2024'!$G$4:$G$2091,'сентябрь 2024'!$D$4:$D$2091,$B95,'сентябрь 2024'!$J$4:$J$2091,R$1)</f>
        <v>0</v>
      </c>
      <c r="S95" s="80">
        <f>SUMIFS('сентябрь 2024'!$G$4:$G$2091,'сентябрь 2024'!$D$4:$D$2091,$B95,'сентябрь 2024'!$J$4:$J$2091,S$1)</f>
        <v>0</v>
      </c>
      <c r="T95" s="80">
        <f>SUMIFS('сентябрь 2024'!$G$4:$G$2091,'сентябрь 2024'!$D$4:$D$2091,$B95,'сентябрь 2024'!$J$4:$J$2091,T$1)</f>
        <v>0</v>
      </c>
      <c r="U95" s="80">
        <f>SUMIFS('сентябрь 2024'!$G$4:$G$2091,'сентябрь 2024'!$D$4:$D$2091,$B95,'сентябрь 2024'!$J$4:$J$2091,U$1)</f>
        <v>0</v>
      </c>
      <c r="V95" s="80">
        <f>SUMIFS('сентябрь 2024'!$G$4:$G$2091,'сентябрь 2024'!$D$4:$D$2091,$B95,'сентябрь 2024'!$J$4:$J$2091,V$1)</f>
        <v>0</v>
      </c>
      <c r="W95" s="80">
        <f>SUMIFS('сентябрь 2024'!$G$4:$G$2091,'сентябрь 2024'!$D$4:$D$2091,$B95,'сентябрь 2024'!$J$4:$J$2091,W$1)</f>
        <v>0</v>
      </c>
      <c r="X95" s="80">
        <f>SUMIFS('сентябрь 2024'!$G$4:$G$2091,'сентябрь 2024'!$D$4:$D$2091,$B95,'сентябрь 2024'!$J$4:$J$2091,X$1)</f>
        <v>0</v>
      </c>
      <c r="Y95" s="80">
        <f>SUMIFS('сентябрь 2024'!$G$4:$G$2091,'сентябрь 2024'!$D$4:$D$2091,$B95,'сентябрь 2024'!$J$4:$J$2091,Y$1)</f>
        <v>0</v>
      </c>
      <c r="Z95" s="80">
        <f>SUMIFS('сентябрь 2024'!$G$4:$G$2091,'сентябрь 2024'!$D$4:$D$2091,$B95,'сентябрь 2024'!$J$4:$J$2091,Z$1)</f>
        <v>0</v>
      </c>
      <c r="AA95" s="80">
        <f>SUMIFS('сентябрь 2024'!$G$4:$G$2091,'сентябрь 2024'!$D$4:$D$2091,$B95,'сентябрь 2024'!$J$4:$J$2091,AA$1)</f>
        <v>0</v>
      </c>
      <c r="AB95" s="80">
        <f>SUMIFS('сентябрь 2024'!$G$4:$G$2091,'сентябрь 2024'!$D$4:$D$2091,$B95,'сентябрь 2024'!$J$4:$J$2091,AB$1)</f>
        <v>0</v>
      </c>
      <c r="AC95" s="80">
        <f>SUMIFS('сентябрь 2024'!$G$4:$G$2091,'сентябрь 2024'!$D$4:$D$2091,$B95,'сентябрь 2024'!$J$4:$J$2091,AC$1)</f>
        <v>0</v>
      </c>
      <c r="AD95" s="80">
        <f>SUMIFS('сентябрь 2024'!$G$4:$G$2091,'сентябрь 2024'!$D$4:$D$2091,$B95,'сентябрь 2024'!$J$4:$J$2091,AD$1)</f>
        <v>0</v>
      </c>
      <c r="AE95" s="80">
        <f>SUMIFS('сентябрь 2024'!$G$4:$G$2091,'сентябрь 2024'!$D$4:$D$2091,$B95,'сентябрь 2024'!$J$4:$J$2091,AE$1)</f>
        <v>0</v>
      </c>
      <c r="AF95" s="80">
        <f>SUMIFS('сентябрь 2024'!$G$4:$G$2091,'сентябрь 2024'!$D$4:$D$2091,$B95,'сентябрь 2024'!$J$4:$J$2091,AF$1)</f>
        <v>0</v>
      </c>
      <c r="AG95" s="80">
        <f>SUMIFS('сентябрь 2024'!$G$4:$G$2091,'сентябрь 2024'!$D$4:$D$2091,$B95,'сентябрь 2024'!$J$4:$J$2091,AG$1)</f>
        <v>0</v>
      </c>
      <c r="AH95" s="80">
        <f>SUMIFS('сентябрь 2024'!$G$4:$G$2091,'сентябрь 2024'!$D$4:$D$2091,$B95,'сентябрь 2024'!$J$4:$J$2091,AH$1)</f>
        <v>0</v>
      </c>
      <c r="AI95" s="21">
        <f t="shared" si="1"/>
        <v>0</v>
      </c>
    </row>
    <row r="96" spans="2:35" ht="15" customHeight="1" x14ac:dyDescent="0.25">
      <c r="B96" s="93" t="s">
        <v>203</v>
      </c>
      <c r="C96" s="91">
        <v>180</v>
      </c>
      <c r="D96" s="80">
        <f>SUMIFS('сентябрь 2024'!$G$4:$G$2091,'сентябрь 2024'!$D$4:$D$2091,$B96,'сентябрь 2024'!$J$4:$J$2091,D$1)</f>
        <v>0</v>
      </c>
      <c r="E96" s="80">
        <f>SUMIFS('сентябрь 2024'!$G$4:$G$2091,'сентябрь 2024'!$D$4:$D$2091,$B96,'сентябрь 2024'!$J$4:$J$2091,E$1)</f>
        <v>0</v>
      </c>
      <c r="F96" s="80">
        <f>SUMIFS('сентябрь 2024'!$G$4:$G$2091,'сентябрь 2024'!$D$4:$D$2091,$B96,'сентябрь 2024'!$J$4:$J$2091,F$1)</f>
        <v>0</v>
      </c>
      <c r="G96" s="80">
        <f>SUMIFS('сентябрь 2024'!$G$4:$G$2091,'сентябрь 2024'!$D$4:$D$2091,$B96,'сентябрь 2024'!$J$4:$J$2091,G$1)</f>
        <v>0</v>
      </c>
      <c r="H96" s="80">
        <f>SUMIFS('сентябрь 2024'!$G$4:$G$2091,'сентябрь 2024'!$D$4:$D$2091,$B96,'сентябрь 2024'!$J$4:$J$2091,H$1)</f>
        <v>0</v>
      </c>
      <c r="I96" s="80">
        <f>SUMIFS('сентябрь 2024'!$G$4:$G$2091,'сентябрь 2024'!$D$4:$D$2091,$B96,'сентябрь 2024'!$J$4:$J$2091,I$1)</f>
        <v>0</v>
      </c>
      <c r="J96" s="80">
        <f>SUMIFS('сентябрь 2024'!$G$4:$G$2091,'сентябрь 2024'!$D$4:$D$2091,$B96,'сентябрь 2024'!$J$4:$J$2091,J$1)</f>
        <v>0</v>
      </c>
      <c r="K96" s="80">
        <f>SUMIFS('сентябрь 2024'!$G$4:$G$2091,'сентябрь 2024'!$D$4:$D$2091,$B96,'сентябрь 2024'!$J$4:$J$2091,K$1)</f>
        <v>0</v>
      </c>
      <c r="L96" s="80">
        <f>SUMIFS('сентябрь 2024'!$G$4:$G$2091,'сентябрь 2024'!$D$4:$D$2091,$B96,'сентябрь 2024'!$J$4:$J$2091,L$1)</f>
        <v>0</v>
      </c>
      <c r="M96" s="80">
        <f>SUMIFS('сентябрь 2024'!$G$4:$G$2091,'сентябрь 2024'!$D$4:$D$2091,$B96,'сентябрь 2024'!$J$4:$J$2091,M$1)</f>
        <v>0</v>
      </c>
      <c r="N96" s="80">
        <f>SUMIFS('сентябрь 2024'!$G$4:$G$2091,'сентябрь 2024'!$D$4:$D$2091,$B96,'сентябрь 2024'!$J$4:$J$2091,N$1)</f>
        <v>0</v>
      </c>
      <c r="O96" s="80">
        <f>SUMIFS('сентябрь 2024'!$G$4:$G$2091,'сентябрь 2024'!$D$4:$D$2091,$B96,'сентябрь 2024'!$J$4:$J$2091,O$1)</f>
        <v>0</v>
      </c>
      <c r="P96" s="80">
        <f>SUMIFS('сентябрь 2024'!$G$4:$G$2091,'сентябрь 2024'!$D$4:$D$2091,$B96,'сентябрь 2024'!$J$4:$J$2091,P$1)</f>
        <v>0</v>
      </c>
      <c r="Q96" s="80">
        <f>SUMIFS('сентябрь 2024'!$G$4:$G$2091,'сентябрь 2024'!$D$4:$D$2091,$B96,'сентябрь 2024'!$J$4:$J$2091,Q$1)</f>
        <v>0</v>
      </c>
      <c r="R96" s="80">
        <f>SUMIFS('сентябрь 2024'!$G$4:$G$2091,'сентябрь 2024'!$D$4:$D$2091,$B96,'сентябрь 2024'!$J$4:$J$2091,R$1)</f>
        <v>0</v>
      </c>
      <c r="S96" s="80">
        <f>SUMIFS('сентябрь 2024'!$G$4:$G$2091,'сентябрь 2024'!$D$4:$D$2091,$B96,'сентябрь 2024'!$J$4:$J$2091,S$1)</f>
        <v>0</v>
      </c>
      <c r="T96" s="80">
        <f>SUMIFS('сентябрь 2024'!$G$4:$G$2091,'сентябрь 2024'!$D$4:$D$2091,$B96,'сентябрь 2024'!$J$4:$J$2091,T$1)</f>
        <v>0</v>
      </c>
      <c r="U96" s="80">
        <f>SUMIFS('сентябрь 2024'!$G$4:$G$2091,'сентябрь 2024'!$D$4:$D$2091,$B96,'сентябрь 2024'!$J$4:$J$2091,U$1)</f>
        <v>0</v>
      </c>
      <c r="V96" s="80">
        <f>SUMIFS('сентябрь 2024'!$G$4:$G$2091,'сентябрь 2024'!$D$4:$D$2091,$B96,'сентябрь 2024'!$J$4:$J$2091,V$1)</f>
        <v>0</v>
      </c>
      <c r="W96" s="80">
        <f>SUMIFS('сентябрь 2024'!$G$4:$G$2091,'сентябрь 2024'!$D$4:$D$2091,$B96,'сентябрь 2024'!$J$4:$J$2091,W$1)</f>
        <v>0</v>
      </c>
      <c r="X96" s="80">
        <f>SUMIFS('сентябрь 2024'!$G$4:$G$2091,'сентябрь 2024'!$D$4:$D$2091,$B96,'сентябрь 2024'!$J$4:$J$2091,X$1)</f>
        <v>0</v>
      </c>
      <c r="Y96" s="80">
        <f>SUMIFS('сентябрь 2024'!$G$4:$G$2091,'сентябрь 2024'!$D$4:$D$2091,$B96,'сентябрь 2024'!$J$4:$J$2091,Y$1)</f>
        <v>0</v>
      </c>
      <c r="Z96" s="80">
        <f>SUMIFS('сентябрь 2024'!$G$4:$G$2091,'сентябрь 2024'!$D$4:$D$2091,$B96,'сентябрь 2024'!$J$4:$J$2091,Z$1)</f>
        <v>0</v>
      </c>
      <c r="AA96" s="80">
        <f>SUMIFS('сентябрь 2024'!$G$4:$G$2091,'сентябрь 2024'!$D$4:$D$2091,$B96,'сентябрь 2024'!$J$4:$J$2091,AA$1)</f>
        <v>0</v>
      </c>
      <c r="AB96" s="80">
        <f>SUMIFS('сентябрь 2024'!$G$4:$G$2091,'сентябрь 2024'!$D$4:$D$2091,$B96,'сентябрь 2024'!$J$4:$J$2091,AB$1)</f>
        <v>0</v>
      </c>
      <c r="AC96" s="80">
        <f>SUMIFS('сентябрь 2024'!$G$4:$G$2091,'сентябрь 2024'!$D$4:$D$2091,$B96,'сентябрь 2024'!$J$4:$J$2091,AC$1)</f>
        <v>0</v>
      </c>
      <c r="AD96" s="80">
        <f>SUMIFS('сентябрь 2024'!$G$4:$G$2091,'сентябрь 2024'!$D$4:$D$2091,$B96,'сентябрь 2024'!$J$4:$J$2091,AD$1)</f>
        <v>0</v>
      </c>
      <c r="AE96" s="80">
        <f>SUMIFS('сентябрь 2024'!$G$4:$G$2091,'сентябрь 2024'!$D$4:$D$2091,$B96,'сентябрь 2024'!$J$4:$J$2091,AE$1)</f>
        <v>0</v>
      </c>
      <c r="AF96" s="80">
        <f>SUMIFS('сентябрь 2024'!$G$4:$G$2091,'сентябрь 2024'!$D$4:$D$2091,$B96,'сентябрь 2024'!$J$4:$J$2091,AF$1)</f>
        <v>0</v>
      </c>
      <c r="AG96" s="80">
        <f>SUMIFS('сентябрь 2024'!$G$4:$G$2091,'сентябрь 2024'!$D$4:$D$2091,$B96,'сентябрь 2024'!$J$4:$J$2091,AG$1)</f>
        <v>0</v>
      </c>
      <c r="AH96" s="80">
        <f>SUMIFS('сентябрь 2024'!$G$4:$G$2091,'сентябрь 2024'!$D$4:$D$2091,$B96,'сентябрь 2024'!$J$4:$J$2091,AH$1)</f>
        <v>0</v>
      </c>
      <c r="AI96" s="21">
        <f t="shared" si="1"/>
        <v>0</v>
      </c>
    </row>
    <row r="97" spans="2:35" ht="15" customHeight="1" x14ac:dyDescent="0.25">
      <c r="B97" s="89" t="s">
        <v>204</v>
      </c>
      <c r="C97" s="88">
        <v>200</v>
      </c>
      <c r="D97" s="80">
        <f>SUMIFS('сентябрь 2024'!$G$4:$G$2091,'сентябрь 2024'!$D$4:$D$2091,$B97,'сентябрь 2024'!$J$4:$J$2091,D$1)</f>
        <v>0</v>
      </c>
      <c r="E97" s="80">
        <f>SUMIFS('сентябрь 2024'!$G$4:$G$2091,'сентябрь 2024'!$D$4:$D$2091,$B97,'сентябрь 2024'!$J$4:$J$2091,E$1)</f>
        <v>0</v>
      </c>
      <c r="F97" s="80">
        <f>SUMIFS('сентябрь 2024'!$G$4:$G$2091,'сентябрь 2024'!$D$4:$D$2091,$B97,'сентябрь 2024'!$J$4:$J$2091,F$1)</f>
        <v>0</v>
      </c>
      <c r="G97" s="80">
        <f>SUMIFS('сентябрь 2024'!$G$4:$G$2091,'сентябрь 2024'!$D$4:$D$2091,$B97,'сентябрь 2024'!$J$4:$J$2091,G$1)</f>
        <v>0</v>
      </c>
      <c r="H97" s="80">
        <f>SUMIFS('сентябрь 2024'!$G$4:$G$2091,'сентябрь 2024'!$D$4:$D$2091,$B97,'сентябрь 2024'!$J$4:$J$2091,H$1)</f>
        <v>0</v>
      </c>
      <c r="I97" s="80">
        <f>SUMIFS('сентябрь 2024'!$G$4:$G$2091,'сентябрь 2024'!$D$4:$D$2091,$B97,'сентябрь 2024'!$J$4:$J$2091,I$1)</f>
        <v>0</v>
      </c>
      <c r="J97" s="80">
        <f>SUMIFS('сентябрь 2024'!$G$4:$G$2091,'сентябрь 2024'!$D$4:$D$2091,$B97,'сентябрь 2024'!$J$4:$J$2091,J$1)</f>
        <v>0</v>
      </c>
      <c r="K97" s="80">
        <f>SUMIFS('сентябрь 2024'!$G$4:$G$2091,'сентябрь 2024'!$D$4:$D$2091,$B97,'сентябрь 2024'!$J$4:$J$2091,K$1)</f>
        <v>0</v>
      </c>
      <c r="L97" s="80">
        <f>SUMIFS('сентябрь 2024'!$G$4:$G$2091,'сентябрь 2024'!$D$4:$D$2091,$B97,'сентябрь 2024'!$J$4:$J$2091,L$1)</f>
        <v>0</v>
      </c>
      <c r="M97" s="80">
        <f>SUMIFS('сентябрь 2024'!$G$4:$G$2091,'сентябрь 2024'!$D$4:$D$2091,$B97,'сентябрь 2024'!$J$4:$J$2091,M$1)</f>
        <v>0</v>
      </c>
      <c r="N97" s="80">
        <f>SUMIFS('сентябрь 2024'!$G$4:$G$2091,'сентябрь 2024'!$D$4:$D$2091,$B97,'сентябрь 2024'!$J$4:$J$2091,N$1)</f>
        <v>0</v>
      </c>
      <c r="O97" s="80">
        <f>SUMIFS('сентябрь 2024'!$G$4:$G$2091,'сентябрь 2024'!$D$4:$D$2091,$B97,'сентябрь 2024'!$J$4:$J$2091,O$1)</f>
        <v>0</v>
      </c>
      <c r="P97" s="80">
        <f>SUMIFS('сентябрь 2024'!$G$4:$G$2091,'сентябрь 2024'!$D$4:$D$2091,$B97,'сентябрь 2024'!$J$4:$J$2091,P$1)</f>
        <v>0</v>
      </c>
      <c r="Q97" s="80">
        <f>SUMIFS('сентябрь 2024'!$G$4:$G$2091,'сентябрь 2024'!$D$4:$D$2091,$B97,'сентябрь 2024'!$J$4:$J$2091,Q$1)</f>
        <v>0</v>
      </c>
      <c r="R97" s="80">
        <f>SUMIFS('сентябрь 2024'!$G$4:$G$2091,'сентябрь 2024'!$D$4:$D$2091,$B97,'сентябрь 2024'!$J$4:$J$2091,R$1)</f>
        <v>0</v>
      </c>
      <c r="S97" s="80">
        <f>SUMIFS('сентябрь 2024'!$G$4:$G$2091,'сентябрь 2024'!$D$4:$D$2091,$B97,'сентябрь 2024'!$J$4:$J$2091,S$1)</f>
        <v>0</v>
      </c>
      <c r="T97" s="80">
        <f>SUMIFS('сентябрь 2024'!$G$4:$G$2091,'сентябрь 2024'!$D$4:$D$2091,$B97,'сентябрь 2024'!$J$4:$J$2091,T$1)</f>
        <v>12</v>
      </c>
      <c r="U97" s="80">
        <f>SUMIFS('сентябрь 2024'!$G$4:$G$2091,'сентябрь 2024'!$D$4:$D$2091,$B97,'сентябрь 2024'!$J$4:$J$2091,U$1)</f>
        <v>0</v>
      </c>
      <c r="V97" s="80">
        <f>SUMIFS('сентябрь 2024'!$G$4:$G$2091,'сентябрь 2024'!$D$4:$D$2091,$B97,'сентябрь 2024'!$J$4:$J$2091,V$1)</f>
        <v>0</v>
      </c>
      <c r="W97" s="80">
        <f>SUMIFS('сентябрь 2024'!$G$4:$G$2091,'сентябрь 2024'!$D$4:$D$2091,$B97,'сентябрь 2024'!$J$4:$J$2091,W$1)</f>
        <v>0</v>
      </c>
      <c r="X97" s="80">
        <f>SUMIFS('сентябрь 2024'!$G$4:$G$2091,'сентябрь 2024'!$D$4:$D$2091,$B97,'сентябрь 2024'!$J$4:$J$2091,X$1)</f>
        <v>0</v>
      </c>
      <c r="Y97" s="80">
        <f>SUMIFS('сентябрь 2024'!$G$4:$G$2091,'сентябрь 2024'!$D$4:$D$2091,$B97,'сентябрь 2024'!$J$4:$J$2091,Y$1)</f>
        <v>0</v>
      </c>
      <c r="Z97" s="80">
        <f>SUMIFS('сентябрь 2024'!$G$4:$G$2091,'сентябрь 2024'!$D$4:$D$2091,$B97,'сентябрь 2024'!$J$4:$J$2091,Z$1)</f>
        <v>0</v>
      </c>
      <c r="AA97" s="80">
        <f>SUMIFS('сентябрь 2024'!$G$4:$G$2091,'сентябрь 2024'!$D$4:$D$2091,$B97,'сентябрь 2024'!$J$4:$J$2091,AA$1)</f>
        <v>88</v>
      </c>
      <c r="AB97" s="80">
        <f>SUMIFS('сентябрь 2024'!$G$4:$G$2091,'сентябрь 2024'!$D$4:$D$2091,$B97,'сентябрь 2024'!$J$4:$J$2091,AB$1)</f>
        <v>0</v>
      </c>
      <c r="AC97" s="80">
        <f>SUMIFS('сентябрь 2024'!$G$4:$G$2091,'сентябрь 2024'!$D$4:$D$2091,$B97,'сентябрь 2024'!$J$4:$J$2091,AC$1)</f>
        <v>0</v>
      </c>
      <c r="AD97" s="80">
        <f>SUMIFS('сентябрь 2024'!$G$4:$G$2091,'сентябрь 2024'!$D$4:$D$2091,$B97,'сентябрь 2024'!$J$4:$J$2091,AD$1)</f>
        <v>0</v>
      </c>
      <c r="AE97" s="80">
        <f>SUMIFS('сентябрь 2024'!$G$4:$G$2091,'сентябрь 2024'!$D$4:$D$2091,$B97,'сентябрь 2024'!$J$4:$J$2091,AE$1)</f>
        <v>0</v>
      </c>
      <c r="AF97" s="80">
        <f>SUMIFS('сентябрь 2024'!$G$4:$G$2091,'сентябрь 2024'!$D$4:$D$2091,$B97,'сентябрь 2024'!$J$4:$J$2091,AF$1)</f>
        <v>0</v>
      </c>
      <c r="AG97" s="80">
        <f>SUMIFS('сентябрь 2024'!$G$4:$G$2091,'сентябрь 2024'!$D$4:$D$2091,$B97,'сентябрь 2024'!$J$4:$J$2091,AG$1)</f>
        <v>0</v>
      </c>
      <c r="AH97" s="80">
        <f>SUMIFS('сентябрь 2024'!$G$4:$G$2091,'сентябрь 2024'!$D$4:$D$2091,$B97,'сентябрь 2024'!$J$4:$J$2091,AH$1)</f>
        <v>0</v>
      </c>
      <c r="AI97" s="21">
        <f t="shared" si="1"/>
        <v>100</v>
      </c>
    </row>
    <row r="98" spans="2:35" ht="15" customHeight="1" x14ac:dyDescent="0.25">
      <c r="B98" s="92" t="s">
        <v>175</v>
      </c>
      <c r="C98" s="91">
        <v>180</v>
      </c>
      <c r="D98" s="80">
        <f>SUMIFS('сентябрь 2024'!$G$4:$G$2091,'сентябрь 2024'!$D$4:$D$2091,$B98,'сентябрь 2024'!$J$4:$J$2091,D$1)</f>
        <v>0</v>
      </c>
      <c r="E98" s="80">
        <f>SUMIFS('сентябрь 2024'!$G$4:$G$2091,'сентябрь 2024'!$D$4:$D$2091,$B98,'сентябрь 2024'!$J$4:$J$2091,E$1)</f>
        <v>0</v>
      </c>
      <c r="F98" s="80">
        <f>SUMIFS('сентябрь 2024'!$G$4:$G$2091,'сентябрь 2024'!$D$4:$D$2091,$B98,'сентябрь 2024'!$J$4:$J$2091,F$1)</f>
        <v>0</v>
      </c>
      <c r="G98" s="80">
        <f>SUMIFS('сентябрь 2024'!$G$4:$G$2091,'сентябрь 2024'!$D$4:$D$2091,$B98,'сентябрь 2024'!$J$4:$J$2091,G$1)</f>
        <v>0</v>
      </c>
      <c r="H98" s="80">
        <f>SUMIFS('сентябрь 2024'!$G$4:$G$2091,'сентябрь 2024'!$D$4:$D$2091,$B98,'сентябрь 2024'!$J$4:$J$2091,H$1)</f>
        <v>0</v>
      </c>
      <c r="I98" s="80">
        <f>SUMIFS('сентябрь 2024'!$G$4:$G$2091,'сентябрь 2024'!$D$4:$D$2091,$B98,'сентябрь 2024'!$J$4:$J$2091,I$1)</f>
        <v>0</v>
      </c>
      <c r="J98" s="80">
        <f>SUMIFS('сентябрь 2024'!$G$4:$G$2091,'сентябрь 2024'!$D$4:$D$2091,$B98,'сентябрь 2024'!$J$4:$J$2091,J$1)</f>
        <v>0</v>
      </c>
      <c r="K98" s="80">
        <f>SUMIFS('сентябрь 2024'!$G$4:$G$2091,'сентябрь 2024'!$D$4:$D$2091,$B98,'сентябрь 2024'!$J$4:$J$2091,K$1)</f>
        <v>0</v>
      </c>
      <c r="L98" s="80">
        <f>SUMIFS('сентябрь 2024'!$G$4:$G$2091,'сентябрь 2024'!$D$4:$D$2091,$B98,'сентябрь 2024'!$J$4:$J$2091,L$1)</f>
        <v>0</v>
      </c>
      <c r="M98" s="80">
        <f>SUMIFS('сентябрь 2024'!$G$4:$G$2091,'сентябрь 2024'!$D$4:$D$2091,$B98,'сентябрь 2024'!$J$4:$J$2091,M$1)</f>
        <v>0</v>
      </c>
      <c r="N98" s="80">
        <f>SUMIFS('сентябрь 2024'!$G$4:$G$2091,'сентябрь 2024'!$D$4:$D$2091,$B98,'сентябрь 2024'!$J$4:$J$2091,N$1)</f>
        <v>0</v>
      </c>
      <c r="O98" s="80">
        <f>SUMIFS('сентябрь 2024'!$G$4:$G$2091,'сентябрь 2024'!$D$4:$D$2091,$B98,'сентябрь 2024'!$J$4:$J$2091,O$1)</f>
        <v>0</v>
      </c>
      <c r="P98" s="80">
        <f>SUMIFS('сентябрь 2024'!$G$4:$G$2091,'сентябрь 2024'!$D$4:$D$2091,$B98,'сентябрь 2024'!$J$4:$J$2091,P$1)</f>
        <v>0</v>
      </c>
      <c r="Q98" s="80">
        <f>SUMIFS('сентябрь 2024'!$G$4:$G$2091,'сентябрь 2024'!$D$4:$D$2091,$B98,'сентябрь 2024'!$J$4:$J$2091,Q$1)</f>
        <v>0</v>
      </c>
      <c r="R98" s="80">
        <f>SUMIFS('сентябрь 2024'!$G$4:$G$2091,'сентябрь 2024'!$D$4:$D$2091,$B98,'сентябрь 2024'!$J$4:$J$2091,R$1)</f>
        <v>0</v>
      </c>
      <c r="S98" s="80">
        <f>SUMIFS('сентябрь 2024'!$G$4:$G$2091,'сентябрь 2024'!$D$4:$D$2091,$B98,'сентябрь 2024'!$J$4:$J$2091,S$1)</f>
        <v>0</v>
      </c>
      <c r="T98" s="80">
        <f>SUMIFS('сентябрь 2024'!$G$4:$G$2091,'сентябрь 2024'!$D$4:$D$2091,$B98,'сентябрь 2024'!$J$4:$J$2091,T$1)</f>
        <v>0</v>
      </c>
      <c r="U98" s="80">
        <f>SUMIFS('сентябрь 2024'!$G$4:$G$2091,'сентябрь 2024'!$D$4:$D$2091,$B98,'сентябрь 2024'!$J$4:$J$2091,U$1)</f>
        <v>0</v>
      </c>
      <c r="V98" s="80">
        <f>SUMIFS('сентябрь 2024'!$G$4:$G$2091,'сентябрь 2024'!$D$4:$D$2091,$B98,'сентябрь 2024'!$J$4:$J$2091,V$1)</f>
        <v>0</v>
      </c>
      <c r="W98" s="80">
        <f>SUMIFS('сентябрь 2024'!$G$4:$G$2091,'сентябрь 2024'!$D$4:$D$2091,$B98,'сентябрь 2024'!$J$4:$J$2091,W$1)</f>
        <v>0</v>
      </c>
      <c r="X98" s="80">
        <f>SUMIFS('сентябрь 2024'!$G$4:$G$2091,'сентябрь 2024'!$D$4:$D$2091,$B98,'сентябрь 2024'!$J$4:$J$2091,X$1)</f>
        <v>0</v>
      </c>
      <c r="Y98" s="80">
        <f>SUMIFS('сентябрь 2024'!$G$4:$G$2091,'сентябрь 2024'!$D$4:$D$2091,$B98,'сентябрь 2024'!$J$4:$J$2091,Y$1)</f>
        <v>0</v>
      </c>
      <c r="Z98" s="80">
        <f>SUMIFS('сентябрь 2024'!$G$4:$G$2091,'сентябрь 2024'!$D$4:$D$2091,$B98,'сентябрь 2024'!$J$4:$J$2091,Z$1)</f>
        <v>0</v>
      </c>
      <c r="AA98" s="80">
        <f>SUMIFS('сентябрь 2024'!$G$4:$G$2091,'сентябрь 2024'!$D$4:$D$2091,$B98,'сентябрь 2024'!$J$4:$J$2091,AA$1)</f>
        <v>0</v>
      </c>
      <c r="AB98" s="80">
        <f>SUMIFS('сентябрь 2024'!$G$4:$G$2091,'сентябрь 2024'!$D$4:$D$2091,$B98,'сентябрь 2024'!$J$4:$J$2091,AB$1)</f>
        <v>0</v>
      </c>
      <c r="AC98" s="80">
        <f>SUMIFS('сентябрь 2024'!$G$4:$G$2091,'сентябрь 2024'!$D$4:$D$2091,$B98,'сентябрь 2024'!$J$4:$J$2091,AC$1)</f>
        <v>0</v>
      </c>
      <c r="AD98" s="80">
        <f>SUMIFS('сентябрь 2024'!$G$4:$G$2091,'сентябрь 2024'!$D$4:$D$2091,$B98,'сентябрь 2024'!$J$4:$J$2091,AD$1)</f>
        <v>0</v>
      </c>
      <c r="AE98" s="80">
        <f>SUMIFS('сентябрь 2024'!$G$4:$G$2091,'сентябрь 2024'!$D$4:$D$2091,$B98,'сентябрь 2024'!$J$4:$J$2091,AE$1)</f>
        <v>0</v>
      </c>
      <c r="AF98" s="80">
        <f>SUMIFS('сентябрь 2024'!$G$4:$G$2091,'сентябрь 2024'!$D$4:$D$2091,$B98,'сентябрь 2024'!$J$4:$J$2091,AF$1)</f>
        <v>0</v>
      </c>
      <c r="AG98" s="80">
        <f>SUMIFS('сентябрь 2024'!$G$4:$G$2091,'сентябрь 2024'!$D$4:$D$2091,$B98,'сентябрь 2024'!$J$4:$J$2091,AG$1)</f>
        <v>0</v>
      </c>
      <c r="AH98" s="80">
        <f>SUMIFS('сентябрь 2024'!$G$4:$G$2091,'сентябрь 2024'!$D$4:$D$2091,$B98,'сентябрь 2024'!$J$4:$J$2091,AH$1)</f>
        <v>0</v>
      </c>
      <c r="AI98" s="21">
        <f t="shared" si="1"/>
        <v>0</v>
      </c>
    </row>
    <row r="99" spans="2:35" ht="15" customHeight="1" x14ac:dyDescent="0.25">
      <c r="B99" s="89" t="s">
        <v>176</v>
      </c>
      <c r="C99" s="91">
        <v>200</v>
      </c>
      <c r="D99" s="80">
        <f>SUMIFS('сентябрь 2024'!$G$4:$G$2091,'сентябрь 2024'!$D$4:$D$2091,$B99,'сентябрь 2024'!$J$4:$J$2091,D$1)</f>
        <v>0</v>
      </c>
      <c r="E99" s="80">
        <f>SUMIFS('сентябрь 2024'!$G$4:$G$2091,'сентябрь 2024'!$D$4:$D$2091,$B99,'сентябрь 2024'!$J$4:$J$2091,E$1)</f>
        <v>0</v>
      </c>
      <c r="F99" s="80">
        <f>SUMIFS('сентябрь 2024'!$G$4:$G$2091,'сентябрь 2024'!$D$4:$D$2091,$B99,'сентябрь 2024'!$J$4:$J$2091,F$1)</f>
        <v>0</v>
      </c>
      <c r="G99" s="80">
        <f>SUMIFS('сентябрь 2024'!$G$4:$G$2091,'сентябрь 2024'!$D$4:$D$2091,$B99,'сентябрь 2024'!$J$4:$J$2091,G$1)</f>
        <v>0</v>
      </c>
      <c r="H99" s="80">
        <f>SUMIFS('сентябрь 2024'!$G$4:$G$2091,'сентябрь 2024'!$D$4:$D$2091,$B99,'сентябрь 2024'!$J$4:$J$2091,H$1)</f>
        <v>0</v>
      </c>
      <c r="I99" s="80">
        <f>SUMIFS('сентябрь 2024'!$G$4:$G$2091,'сентябрь 2024'!$D$4:$D$2091,$B99,'сентябрь 2024'!$J$4:$J$2091,I$1)</f>
        <v>0</v>
      </c>
      <c r="J99" s="80">
        <f>SUMIFS('сентябрь 2024'!$G$4:$G$2091,'сентябрь 2024'!$D$4:$D$2091,$B99,'сентябрь 2024'!$J$4:$J$2091,J$1)</f>
        <v>0</v>
      </c>
      <c r="K99" s="80">
        <f>SUMIFS('сентябрь 2024'!$G$4:$G$2091,'сентябрь 2024'!$D$4:$D$2091,$B99,'сентябрь 2024'!$J$4:$J$2091,K$1)</f>
        <v>0</v>
      </c>
      <c r="L99" s="80">
        <f>SUMIFS('сентябрь 2024'!$G$4:$G$2091,'сентябрь 2024'!$D$4:$D$2091,$B99,'сентябрь 2024'!$J$4:$J$2091,L$1)</f>
        <v>0</v>
      </c>
      <c r="M99" s="80">
        <f>SUMIFS('сентябрь 2024'!$G$4:$G$2091,'сентябрь 2024'!$D$4:$D$2091,$B99,'сентябрь 2024'!$J$4:$J$2091,M$1)</f>
        <v>0</v>
      </c>
      <c r="N99" s="80">
        <f>SUMIFS('сентябрь 2024'!$G$4:$G$2091,'сентябрь 2024'!$D$4:$D$2091,$B99,'сентябрь 2024'!$J$4:$J$2091,N$1)</f>
        <v>0</v>
      </c>
      <c r="O99" s="80">
        <f>SUMIFS('сентябрь 2024'!$G$4:$G$2091,'сентябрь 2024'!$D$4:$D$2091,$B99,'сентябрь 2024'!$J$4:$J$2091,O$1)</f>
        <v>0</v>
      </c>
      <c r="P99" s="80">
        <f>SUMIFS('сентябрь 2024'!$G$4:$G$2091,'сентябрь 2024'!$D$4:$D$2091,$B99,'сентябрь 2024'!$J$4:$J$2091,P$1)</f>
        <v>0</v>
      </c>
      <c r="Q99" s="80">
        <f>SUMIFS('сентябрь 2024'!$G$4:$G$2091,'сентябрь 2024'!$D$4:$D$2091,$B99,'сентябрь 2024'!$J$4:$J$2091,Q$1)</f>
        <v>0</v>
      </c>
      <c r="R99" s="80">
        <f>SUMIFS('сентябрь 2024'!$G$4:$G$2091,'сентябрь 2024'!$D$4:$D$2091,$B99,'сентябрь 2024'!$J$4:$J$2091,R$1)</f>
        <v>0</v>
      </c>
      <c r="S99" s="80">
        <f>SUMIFS('сентябрь 2024'!$G$4:$G$2091,'сентябрь 2024'!$D$4:$D$2091,$B99,'сентябрь 2024'!$J$4:$J$2091,S$1)</f>
        <v>0</v>
      </c>
      <c r="T99" s="80">
        <f>SUMIFS('сентябрь 2024'!$G$4:$G$2091,'сентябрь 2024'!$D$4:$D$2091,$B99,'сентябрь 2024'!$J$4:$J$2091,T$1)</f>
        <v>0</v>
      </c>
      <c r="U99" s="80">
        <f>SUMIFS('сентябрь 2024'!$G$4:$G$2091,'сентябрь 2024'!$D$4:$D$2091,$B99,'сентябрь 2024'!$J$4:$J$2091,U$1)</f>
        <v>0</v>
      </c>
      <c r="V99" s="80">
        <f>SUMIFS('сентябрь 2024'!$G$4:$G$2091,'сентябрь 2024'!$D$4:$D$2091,$B99,'сентябрь 2024'!$J$4:$J$2091,V$1)</f>
        <v>0</v>
      </c>
      <c r="W99" s="80">
        <f>SUMIFS('сентябрь 2024'!$G$4:$G$2091,'сентябрь 2024'!$D$4:$D$2091,$B99,'сентябрь 2024'!$J$4:$J$2091,W$1)</f>
        <v>0</v>
      </c>
      <c r="X99" s="80">
        <f>SUMIFS('сентябрь 2024'!$G$4:$G$2091,'сентябрь 2024'!$D$4:$D$2091,$B99,'сентябрь 2024'!$J$4:$J$2091,X$1)</f>
        <v>0</v>
      </c>
      <c r="Y99" s="80">
        <f>SUMIFS('сентябрь 2024'!$G$4:$G$2091,'сентябрь 2024'!$D$4:$D$2091,$B99,'сентябрь 2024'!$J$4:$J$2091,Y$1)</f>
        <v>0</v>
      </c>
      <c r="Z99" s="80">
        <f>SUMIFS('сентябрь 2024'!$G$4:$G$2091,'сентябрь 2024'!$D$4:$D$2091,$B99,'сентябрь 2024'!$J$4:$J$2091,Z$1)</f>
        <v>0</v>
      </c>
      <c r="AA99" s="80">
        <f>SUMIFS('сентябрь 2024'!$G$4:$G$2091,'сентябрь 2024'!$D$4:$D$2091,$B99,'сентябрь 2024'!$J$4:$J$2091,AA$1)</f>
        <v>0</v>
      </c>
      <c r="AB99" s="80">
        <f>SUMIFS('сентябрь 2024'!$G$4:$G$2091,'сентябрь 2024'!$D$4:$D$2091,$B99,'сентябрь 2024'!$J$4:$J$2091,AB$1)</f>
        <v>0</v>
      </c>
      <c r="AC99" s="80">
        <f>SUMIFS('сентябрь 2024'!$G$4:$G$2091,'сентябрь 2024'!$D$4:$D$2091,$B99,'сентябрь 2024'!$J$4:$J$2091,AC$1)</f>
        <v>0</v>
      </c>
      <c r="AD99" s="80">
        <f>SUMIFS('сентябрь 2024'!$G$4:$G$2091,'сентябрь 2024'!$D$4:$D$2091,$B99,'сентябрь 2024'!$J$4:$J$2091,AD$1)</f>
        <v>0</v>
      </c>
      <c r="AE99" s="80">
        <f>SUMIFS('сентябрь 2024'!$G$4:$G$2091,'сентябрь 2024'!$D$4:$D$2091,$B99,'сентябрь 2024'!$J$4:$J$2091,AE$1)</f>
        <v>0</v>
      </c>
      <c r="AF99" s="80">
        <f>SUMIFS('сентябрь 2024'!$G$4:$G$2091,'сентябрь 2024'!$D$4:$D$2091,$B99,'сентябрь 2024'!$J$4:$J$2091,AF$1)</f>
        <v>0</v>
      </c>
      <c r="AG99" s="80">
        <f>SUMIFS('сентябрь 2024'!$G$4:$G$2091,'сентябрь 2024'!$D$4:$D$2091,$B99,'сентябрь 2024'!$J$4:$J$2091,AG$1)</f>
        <v>0</v>
      </c>
      <c r="AH99" s="80">
        <f>SUMIFS('сентябрь 2024'!$G$4:$G$2091,'сентябрь 2024'!$D$4:$D$2091,$B99,'сентябрь 2024'!$J$4:$J$2091,AH$1)</f>
        <v>0</v>
      </c>
      <c r="AI99" s="21">
        <f t="shared" si="1"/>
        <v>0</v>
      </c>
    </row>
    <row r="100" spans="2:35" ht="15" customHeight="1" x14ac:dyDescent="0.25">
      <c r="B100" s="89" t="s">
        <v>205</v>
      </c>
      <c r="C100" s="88">
        <v>185</v>
      </c>
      <c r="D100" s="80">
        <f>SUMIFS('сентябрь 2024'!$G$4:$G$2091,'сентябрь 2024'!$D$4:$D$2091,$B100,'сентябрь 2024'!$J$4:$J$2091,D$1)</f>
        <v>0</v>
      </c>
      <c r="E100" s="80">
        <f>SUMIFS('сентябрь 2024'!$G$4:$G$2091,'сентябрь 2024'!$D$4:$D$2091,$B100,'сентябрь 2024'!$J$4:$J$2091,E$1)</f>
        <v>0</v>
      </c>
      <c r="F100" s="80">
        <f>SUMIFS('сентябрь 2024'!$G$4:$G$2091,'сентябрь 2024'!$D$4:$D$2091,$B100,'сентябрь 2024'!$J$4:$J$2091,F$1)</f>
        <v>0</v>
      </c>
      <c r="G100" s="80">
        <f>SUMIFS('сентябрь 2024'!$G$4:$G$2091,'сентябрь 2024'!$D$4:$D$2091,$B100,'сентябрь 2024'!$J$4:$J$2091,G$1)</f>
        <v>0</v>
      </c>
      <c r="H100" s="80">
        <f>SUMIFS('сентябрь 2024'!$G$4:$G$2091,'сентябрь 2024'!$D$4:$D$2091,$B100,'сентябрь 2024'!$J$4:$J$2091,H$1)</f>
        <v>0</v>
      </c>
      <c r="I100" s="80">
        <f>SUMIFS('сентябрь 2024'!$G$4:$G$2091,'сентябрь 2024'!$D$4:$D$2091,$B100,'сентябрь 2024'!$J$4:$J$2091,I$1)</f>
        <v>0</v>
      </c>
      <c r="J100" s="80">
        <f>SUMIFS('сентябрь 2024'!$G$4:$G$2091,'сентябрь 2024'!$D$4:$D$2091,$B100,'сентябрь 2024'!$J$4:$J$2091,J$1)</f>
        <v>0</v>
      </c>
      <c r="K100" s="80">
        <f>SUMIFS('сентябрь 2024'!$G$4:$G$2091,'сентябрь 2024'!$D$4:$D$2091,$B100,'сентябрь 2024'!$J$4:$J$2091,K$1)</f>
        <v>0</v>
      </c>
      <c r="L100" s="80">
        <f>SUMIFS('сентябрь 2024'!$G$4:$G$2091,'сентябрь 2024'!$D$4:$D$2091,$B100,'сентябрь 2024'!$J$4:$J$2091,L$1)</f>
        <v>0</v>
      </c>
      <c r="M100" s="80">
        <f>SUMIFS('сентябрь 2024'!$G$4:$G$2091,'сентябрь 2024'!$D$4:$D$2091,$B100,'сентябрь 2024'!$J$4:$J$2091,M$1)</f>
        <v>0</v>
      </c>
      <c r="N100" s="80">
        <f>SUMIFS('сентябрь 2024'!$G$4:$G$2091,'сентябрь 2024'!$D$4:$D$2091,$B100,'сентябрь 2024'!$J$4:$J$2091,N$1)</f>
        <v>0</v>
      </c>
      <c r="O100" s="80">
        <f>SUMIFS('сентябрь 2024'!$G$4:$G$2091,'сентябрь 2024'!$D$4:$D$2091,$B100,'сентябрь 2024'!$J$4:$J$2091,O$1)</f>
        <v>80</v>
      </c>
      <c r="P100" s="80">
        <f>SUMIFS('сентябрь 2024'!$G$4:$G$2091,'сентябрь 2024'!$D$4:$D$2091,$B100,'сентябрь 2024'!$J$4:$J$2091,P$1)</f>
        <v>0</v>
      </c>
      <c r="Q100" s="80">
        <f>SUMIFS('сентябрь 2024'!$G$4:$G$2091,'сентябрь 2024'!$D$4:$D$2091,$B100,'сентябрь 2024'!$J$4:$J$2091,Q$1)</f>
        <v>0</v>
      </c>
      <c r="R100" s="80">
        <f>SUMIFS('сентябрь 2024'!$G$4:$G$2091,'сентябрь 2024'!$D$4:$D$2091,$B100,'сентябрь 2024'!$J$4:$J$2091,R$1)</f>
        <v>0</v>
      </c>
      <c r="S100" s="80">
        <f>SUMIFS('сентябрь 2024'!$G$4:$G$2091,'сентябрь 2024'!$D$4:$D$2091,$B100,'сентябрь 2024'!$J$4:$J$2091,S$1)</f>
        <v>0</v>
      </c>
      <c r="T100" s="80">
        <f>SUMIFS('сентябрь 2024'!$G$4:$G$2091,'сентябрь 2024'!$D$4:$D$2091,$B100,'сентябрь 2024'!$J$4:$J$2091,T$1)</f>
        <v>0</v>
      </c>
      <c r="U100" s="80">
        <f>SUMIFS('сентябрь 2024'!$G$4:$G$2091,'сентябрь 2024'!$D$4:$D$2091,$B100,'сентябрь 2024'!$J$4:$J$2091,U$1)</f>
        <v>0</v>
      </c>
      <c r="V100" s="80">
        <f>SUMIFS('сентябрь 2024'!$G$4:$G$2091,'сентябрь 2024'!$D$4:$D$2091,$B100,'сентябрь 2024'!$J$4:$J$2091,V$1)</f>
        <v>80</v>
      </c>
      <c r="W100" s="80">
        <f>SUMIFS('сентябрь 2024'!$G$4:$G$2091,'сентябрь 2024'!$D$4:$D$2091,$B100,'сентябрь 2024'!$J$4:$J$2091,W$1)</f>
        <v>0</v>
      </c>
      <c r="X100" s="80">
        <f>SUMIFS('сентябрь 2024'!$G$4:$G$2091,'сентябрь 2024'!$D$4:$D$2091,$B100,'сентябрь 2024'!$J$4:$J$2091,X$1)</f>
        <v>0</v>
      </c>
      <c r="Y100" s="80">
        <f>SUMIFS('сентябрь 2024'!$G$4:$G$2091,'сентябрь 2024'!$D$4:$D$2091,$B100,'сентябрь 2024'!$J$4:$J$2091,Y$1)</f>
        <v>0</v>
      </c>
      <c r="Z100" s="80">
        <f>SUMIFS('сентябрь 2024'!$G$4:$G$2091,'сентябрь 2024'!$D$4:$D$2091,$B100,'сентябрь 2024'!$J$4:$J$2091,Z$1)</f>
        <v>0</v>
      </c>
      <c r="AA100" s="80">
        <f>SUMIFS('сентябрь 2024'!$G$4:$G$2091,'сентябрь 2024'!$D$4:$D$2091,$B100,'сентябрь 2024'!$J$4:$J$2091,AA$1)</f>
        <v>0</v>
      </c>
      <c r="AB100" s="80">
        <f>SUMIFS('сентябрь 2024'!$G$4:$G$2091,'сентябрь 2024'!$D$4:$D$2091,$B100,'сентябрь 2024'!$J$4:$J$2091,AB$1)</f>
        <v>0</v>
      </c>
      <c r="AC100" s="80">
        <f>SUMIFS('сентябрь 2024'!$G$4:$G$2091,'сентябрь 2024'!$D$4:$D$2091,$B100,'сентябрь 2024'!$J$4:$J$2091,AC$1)</f>
        <v>0</v>
      </c>
      <c r="AD100" s="80">
        <f>SUMIFS('сентябрь 2024'!$G$4:$G$2091,'сентябрь 2024'!$D$4:$D$2091,$B100,'сентябрь 2024'!$J$4:$J$2091,AD$1)</f>
        <v>0</v>
      </c>
      <c r="AE100" s="80">
        <f>SUMIFS('сентябрь 2024'!$G$4:$G$2091,'сентябрь 2024'!$D$4:$D$2091,$B100,'сентябрь 2024'!$J$4:$J$2091,AE$1)</f>
        <v>0</v>
      </c>
      <c r="AF100" s="80">
        <f>SUMIFS('сентябрь 2024'!$G$4:$G$2091,'сентябрь 2024'!$D$4:$D$2091,$B100,'сентябрь 2024'!$J$4:$J$2091,AF$1)</f>
        <v>0</v>
      </c>
      <c r="AG100" s="80">
        <f>SUMIFS('сентябрь 2024'!$G$4:$G$2091,'сентябрь 2024'!$D$4:$D$2091,$B100,'сентябрь 2024'!$J$4:$J$2091,AG$1)</f>
        <v>0</v>
      </c>
      <c r="AH100" s="80">
        <f>SUMIFS('сентябрь 2024'!$G$4:$G$2091,'сентябрь 2024'!$D$4:$D$2091,$B100,'сентябрь 2024'!$J$4:$J$2091,AH$1)</f>
        <v>0</v>
      </c>
      <c r="AI100" s="21">
        <f t="shared" si="1"/>
        <v>160</v>
      </c>
    </row>
    <row r="101" spans="2:35" ht="15" customHeight="1" x14ac:dyDescent="0.25">
      <c r="B101" s="89" t="s">
        <v>206</v>
      </c>
      <c r="C101" s="88">
        <v>185</v>
      </c>
      <c r="D101" s="80">
        <f>SUMIFS('сентябрь 2024'!$G$4:$G$2091,'сентябрь 2024'!$D$4:$D$2091,$B101,'сентябрь 2024'!$J$4:$J$2091,D$1)</f>
        <v>0</v>
      </c>
      <c r="E101" s="80">
        <f>SUMIFS('сентябрь 2024'!$G$4:$G$2091,'сентябрь 2024'!$D$4:$D$2091,$B101,'сентябрь 2024'!$J$4:$J$2091,E$1)</f>
        <v>0</v>
      </c>
      <c r="F101" s="80">
        <f>SUMIFS('сентябрь 2024'!$G$4:$G$2091,'сентябрь 2024'!$D$4:$D$2091,$B101,'сентябрь 2024'!$J$4:$J$2091,F$1)</f>
        <v>0</v>
      </c>
      <c r="G101" s="80">
        <f>SUMIFS('сентябрь 2024'!$G$4:$G$2091,'сентябрь 2024'!$D$4:$D$2091,$B101,'сентябрь 2024'!$J$4:$J$2091,G$1)</f>
        <v>0</v>
      </c>
      <c r="H101" s="80">
        <f>SUMIFS('сентябрь 2024'!$G$4:$G$2091,'сентябрь 2024'!$D$4:$D$2091,$B101,'сентябрь 2024'!$J$4:$J$2091,H$1)</f>
        <v>0</v>
      </c>
      <c r="I101" s="80">
        <f>SUMIFS('сентябрь 2024'!$G$4:$G$2091,'сентябрь 2024'!$D$4:$D$2091,$B101,'сентябрь 2024'!$J$4:$J$2091,I$1)</f>
        <v>0</v>
      </c>
      <c r="J101" s="80">
        <f>SUMIFS('сентябрь 2024'!$G$4:$G$2091,'сентябрь 2024'!$D$4:$D$2091,$B101,'сентябрь 2024'!$J$4:$J$2091,J$1)</f>
        <v>0</v>
      </c>
      <c r="K101" s="80">
        <f>SUMIFS('сентябрь 2024'!$G$4:$G$2091,'сентябрь 2024'!$D$4:$D$2091,$B101,'сентябрь 2024'!$J$4:$J$2091,K$1)</f>
        <v>0</v>
      </c>
      <c r="L101" s="80">
        <f>SUMIFS('сентябрь 2024'!$G$4:$G$2091,'сентябрь 2024'!$D$4:$D$2091,$B101,'сентябрь 2024'!$J$4:$J$2091,L$1)</f>
        <v>0</v>
      </c>
      <c r="M101" s="80">
        <f>SUMIFS('сентябрь 2024'!$G$4:$G$2091,'сентябрь 2024'!$D$4:$D$2091,$B101,'сентябрь 2024'!$J$4:$J$2091,M$1)</f>
        <v>0</v>
      </c>
      <c r="N101" s="80">
        <f>SUMIFS('сентябрь 2024'!$G$4:$G$2091,'сентябрь 2024'!$D$4:$D$2091,$B101,'сентябрь 2024'!$J$4:$J$2091,N$1)</f>
        <v>0</v>
      </c>
      <c r="O101" s="80">
        <f>SUMIFS('сентябрь 2024'!$G$4:$G$2091,'сентябрь 2024'!$D$4:$D$2091,$B101,'сентябрь 2024'!$J$4:$J$2091,O$1)</f>
        <v>0</v>
      </c>
      <c r="P101" s="80">
        <f>SUMIFS('сентябрь 2024'!$G$4:$G$2091,'сентябрь 2024'!$D$4:$D$2091,$B101,'сентябрь 2024'!$J$4:$J$2091,P$1)</f>
        <v>0</v>
      </c>
      <c r="Q101" s="80">
        <f>SUMIFS('сентябрь 2024'!$G$4:$G$2091,'сентябрь 2024'!$D$4:$D$2091,$B101,'сентябрь 2024'!$J$4:$J$2091,Q$1)</f>
        <v>0</v>
      </c>
      <c r="R101" s="80">
        <f>SUMIFS('сентябрь 2024'!$G$4:$G$2091,'сентябрь 2024'!$D$4:$D$2091,$B101,'сентябрь 2024'!$J$4:$J$2091,R$1)</f>
        <v>0</v>
      </c>
      <c r="S101" s="80">
        <f>SUMIFS('сентябрь 2024'!$G$4:$G$2091,'сентябрь 2024'!$D$4:$D$2091,$B101,'сентябрь 2024'!$J$4:$J$2091,S$1)</f>
        <v>0</v>
      </c>
      <c r="T101" s="80">
        <f>SUMIFS('сентябрь 2024'!$G$4:$G$2091,'сентябрь 2024'!$D$4:$D$2091,$B101,'сентябрь 2024'!$J$4:$J$2091,T$1)</f>
        <v>0</v>
      </c>
      <c r="U101" s="80">
        <f>SUMIFS('сентябрь 2024'!$G$4:$G$2091,'сентябрь 2024'!$D$4:$D$2091,$B101,'сентябрь 2024'!$J$4:$J$2091,U$1)</f>
        <v>0</v>
      </c>
      <c r="V101" s="80">
        <f>SUMIFS('сентябрь 2024'!$G$4:$G$2091,'сентябрь 2024'!$D$4:$D$2091,$B101,'сентябрь 2024'!$J$4:$J$2091,V$1)</f>
        <v>0</v>
      </c>
      <c r="W101" s="80">
        <f>SUMIFS('сентябрь 2024'!$G$4:$G$2091,'сентябрь 2024'!$D$4:$D$2091,$B101,'сентябрь 2024'!$J$4:$J$2091,W$1)</f>
        <v>0</v>
      </c>
      <c r="X101" s="80">
        <f>SUMIFS('сентябрь 2024'!$G$4:$G$2091,'сентябрь 2024'!$D$4:$D$2091,$B101,'сентябрь 2024'!$J$4:$J$2091,X$1)</f>
        <v>0</v>
      </c>
      <c r="Y101" s="80">
        <f>SUMIFS('сентябрь 2024'!$G$4:$G$2091,'сентябрь 2024'!$D$4:$D$2091,$B101,'сентябрь 2024'!$J$4:$J$2091,Y$1)</f>
        <v>0</v>
      </c>
      <c r="Z101" s="80">
        <f>SUMIFS('сентябрь 2024'!$G$4:$G$2091,'сентябрь 2024'!$D$4:$D$2091,$B101,'сентябрь 2024'!$J$4:$J$2091,Z$1)</f>
        <v>0</v>
      </c>
      <c r="AA101" s="80">
        <f>SUMIFS('сентябрь 2024'!$G$4:$G$2091,'сентябрь 2024'!$D$4:$D$2091,$B101,'сентябрь 2024'!$J$4:$J$2091,AA$1)</f>
        <v>0</v>
      </c>
      <c r="AB101" s="80">
        <f>SUMIFS('сентябрь 2024'!$G$4:$G$2091,'сентябрь 2024'!$D$4:$D$2091,$B101,'сентябрь 2024'!$J$4:$J$2091,AB$1)</f>
        <v>0</v>
      </c>
      <c r="AC101" s="80">
        <f>SUMIFS('сентябрь 2024'!$G$4:$G$2091,'сентябрь 2024'!$D$4:$D$2091,$B101,'сентябрь 2024'!$J$4:$J$2091,AC$1)</f>
        <v>0</v>
      </c>
      <c r="AD101" s="80">
        <f>SUMIFS('сентябрь 2024'!$G$4:$G$2091,'сентябрь 2024'!$D$4:$D$2091,$B101,'сентябрь 2024'!$J$4:$J$2091,AD$1)</f>
        <v>0</v>
      </c>
      <c r="AE101" s="80">
        <f>SUMIFS('сентябрь 2024'!$G$4:$G$2091,'сентябрь 2024'!$D$4:$D$2091,$B101,'сентябрь 2024'!$J$4:$J$2091,AE$1)</f>
        <v>0</v>
      </c>
      <c r="AF101" s="80">
        <f>SUMIFS('сентябрь 2024'!$G$4:$G$2091,'сентябрь 2024'!$D$4:$D$2091,$B101,'сентябрь 2024'!$J$4:$J$2091,AF$1)</f>
        <v>0</v>
      </c>
      <c r="AG101" s="80">
        <f>SUMIFS('сентябрь 2024'!$G$4:$G$2091,'сентябрь 2024'!$D$4:$D$2091,$B101,'сентябрь 2024'!$J$4:$J$2091,AG$1)</f>
        <v>0</v>
      </c>
      <c r="AH101" s="80">
        <f>SUMIFS('сентябрь 2024'!$G$4:$G$2091,'сентябрь 2024'!$D$4:$D$2091,$B101,'сентябрь 2024'!$J$4:$J$2091,AH$1)</f>
        <v>0</v>
      </c>
      <c r="AI101" s="21">
        <f t="shared" si="1"/>
        <v>0</v>
      </c>
    </row>
    <row r="102" spans="2:35" ht="15" customHeight="1" x14ac:dyDescent="0.25">
      <c r="B102" s="89" t="s">
        <v>324</v>
      </c>
      <c r="C102" s="88">
        <v>180</v>
      </c>
      <c r="D102" s="80">
        <f>SUMIFS('сентябрь 2024'!$G$4:$G$2091,'сентябрь 2024'!$D$4:$D$2091,$B102,'сентябрь 2024'!$J$4:$J$2091,D$1)</f>
        <v>0</v>
      </c>
      <c r="E102" s="80">
        <f>SUMIFS('сентябрь 2024'!$G$4:$G$2091,'сентябрь 2024'!$D$4:$D$2091,$B102,'сентябрь 2024'!$J$4:$J$2091,E$1)</f>
        <v>0</v>
      </c>
      <c r="F102" s="80">
        <f>SUMIFS('сентябрь 2024'!$G$4:$G$2091,'сентябрь 2024'!$D$4:$D$2091,$B102,'сентябрь 2024'!$J$4:$J$2091,F$1)</f>
        <v>0</v>
      </c>
      <c r="G102" s="80">
        <f>SUMIFS('сентябрь 2024'!$G$4:$G$2091,'сентябрь 2024'!$D$4:$D$2091,$B102,'сентябрь 2024'!$J$4:$J$2091,G$1)</f>
        <v>0</v>
      </c>
      <c r="H102" s="80">
        <f>SUMIFS('сентябрь 2024'!$G$4:$G$2091,'сентябрь 2024'!$D$4:$D$2091,$B102,'сентябрь 2024'!$J$4:$J$2091,H$1)</f>
        <v>0</v>
      </c>
      <c r="I102" s="80">
        <f>SUMIFS('сентябрь 2024'!$G$4:$G$2091,'сентябрь 2024'!$D$4:$D$2091,$B102,'сентябрь 2024'!$J$4:$J$2091,I$1)</f>
        <v>0</v>
      </c>
      <c r="J102" s="80">
        <f>SUMIFS('сентябрь 2024'!$G$4:$G$2091,'сентябрь 2024'!$D$4:$D$2091,$B102,'сентябрь 2024'!$J$4:$J$2091,J$1)</f>
        <v>0</v>
      </c>
      <c r="K102" s="80">
        <f>SUMIFS('сентябрь 2024'!$G$4:$G$2091,'сентябрь 2024'!$D$4:$D$2091,$B102,'сентябрь 2024'!$J$4:$J$2091,K$1)</f>
        <v>0</v>
      </c>
      <c r="L102" s="80">
        <f>SUMIFS('сентябрь 2024'!$G$4:$G$2091,'сентябрь 2024'!$D$4:$D$2091,$B102,'сентябрь 2024'!$J$4:$J$2091,L$1)</f>
        <v>0</v>
      </c>
      <c r="M102" s="80">
        <f>SUMIFS('сентябрь 2024'!$G$4:$G$2091,'сентябрь 2024'!$D$4:$D$2091,$B102,'сентябрь 2024'!$J$4:$J$2091,M$1)</f>
        <v>0</v>
      </c>
      <c r="N102" s="80">
        <f>SUMIFS('сентябрь 2024'!$G$4:$G$2091,'сентябрь 2024'!$D$4:$D$2091,$B102,'сентябрь 2024'!$J$4:$J$2091,N$1)</f>
        <v>0</v>
      </c>
      <c r="O102" s="80">
        <f>SUMIFS('сентябрь 2024'!$G$4:$G$2091,'сентябрь 2024'!$D$4:$D$2091,$B102,'сентябрь 2024'!$J$4:$J$2091,O$1)</f>
        <v>0</v>
      </c>
      <c r="P102" s="80">
        <f>SUMIFS('сентябрь 2024'!$G$4:$G$2091,'сентябрь 2024'!$D$4:$D$2091,$B102,'сентябрь 2024'!$J$4:$J$2091,P$1)</f>
        <v>0</v>
      </c>
      <c r="Q102" s="80">
        <f>SUMIFS('сентябрь 2024'!$G$4:$G$2091,'сентябрь 2024'!$D$4:$D$2091,$B102,'сентябрь 2024'!$J$4:$J$2091,Q$1)</f>
        <v>0</v>
      </c>
      <c r="R102" s="80">
        <f>SUMIFS('сентябрь 2024'!$G$4:$G$2091,'сентябрь 2024'!$D$4:$D$2091,$B102,'сентябрь 2024'!$J$4:$J$2091,R$1)</f>
        <v>0</v>
      </c>
      <c r="S102" s="80">
        <f>SUMIFS('сентябрь 2024'!$G$4:$G$2091,'сентябрь 2024'!$D$4:$D$2091,$B102,'сентябрь 2024'!$J$4:$J$2091,S$1)</f>
        <v>0</v>
      </c>
      <c r="T102" s="80">
        <f>SUMIFS('сентябрь 2024'!$G$4:$G$2091,'сентябрь 2024'!$D$4:$D$2091,$B102,'сентябрь 2024'!$J$4:$J$2091,T$1)</f>
        <v>0</v>
      </c>
      <c r="U102" s="80">
        <f>SUMIFS('сентябрь 2024'!$G$4:$G$2091,'сентябрь 2024'!$D$4:$D$2091,$B102,'сентябрь 2024'!$J$4:$J$2091,U$1)</f>
        <v>0</v>
      </c>
      <c r="V102" s="80">
        <f>SUMIFS('сентябрь 2024'!$G$4:$G$2091,'сентябрь 2024'!$D$4:$D$2091,$B102,'сентябрь 2024'!$J$4:$J$2091,V$1)</f>
        <v>0</v>
      </c>
      <c r="W102" s="80">
        <f>SUMIFS('сентябрь 2024'!$G$4:$G$2091,'сентябрь 2024'!$D$4:$D$2091,$B102,'сентябрь 2024'!$J$4:$J$2091,W$1)</f>
        <v>0</v>
      </c>
      <c r="X102" s="80">
        <f>SUMIFS('сентябрь 2024'!$G$4:$G$2091,'сентябрь 2024'!$D$4:$D$2091,$B102,'сентябрь 2024'!$J$4:$J$2091,X$1)</f>
        <v>0</v>
      </c>
      <c r="Y102" s="80">
        <f>SUMIFS('сентябрь 2024'!$G$4:$G$2091,'сентябрь 2024'!$D$4:$D$2091,$B102,'сентябрь 2024'!$J$4:$J$2091,Y$1)</f>
        <v>0</v>
      </c>
      <c r="Z102" s="80">
        <f>SUMIFS('сентябрь 2024'!$G$4:$G$2091,'сентябрь 2024'!$D$4:$D$2091,$B102,'сентябрь 2024'!$J$4:$J$2091,Z$1)</f>
        <v>0</v>
      </c>
      <c r="AA102" s="80">
        <f>SUMIFS('сентябрь 2024'!$G$4:$G$2091,'сентябрь 2024'!$D$4:$D$2091,$B102,'сентябрь 2024'!$J$4:$J$2091,AA$1)</f>
        <v>0</v>
      </c>
      <c r="AB102" s="80">
        <f>SUMIFS('сентябрь 2024'!$G$4:$G$2091,'сентябрь 2024'!$D$4:$D$2091,$B102,'сентябрь 2024'!$J$4:$J$2091,AB$1)</f>
        <v>0</v>
      </c>
      <c r="AC102" s="80">
        <f>SUMIFS('сентябрь 2024'!$G$4:$G$2091,'сентябрь 2024'!$D$4:$D$2091,$B102,'сентябрь 2024'!$J$4:$J$2091,AC$1)</f>
        <v>0</v>
      </c>
      <c r="AD102" s="80">
        <f>SUMIFS('сентябрь 2024'!$G$4:$G$2091,'сентябрь 2024'!$D$4:$D$2091,$B102,'сентябрь 2024'!$J$4:$J$2091,AD$1)</f>
        <v>0</v>
      </c>
      <c r="AE102" s="80">
        <f>SUMIFS('сентябрь 2024'!$G$4:$G$2091,'сентябрь 2024'!$D$4:$D$2091,$B102,'сентябрь 2024'!$J$4:$J$2091,AE$1)</f>
        <v>0</v>
      </c>
      <c r="AF102" s="80">
        <f>SUMIFS('сентябрь 2024'!$G$4:$G$2091,'сентябрь 2024'!$D$4:$D$2091,$B102,'сентябрь 2024'!$J$4:$J$2091,AF$1)</f>
        <v>0</v>
      </c>
      <c r="AG102" s="80">
        <f>SUMIFS('сентябрь 2024'!$G$4:$G$2091,'сентябрь 2024'!$D$4:$D$2091,$B102,'сентябрь 2024'!$J$4:$J$2091,AG$1)</f>
        <v>0</v>
      </c>
      <c r="AH102" s="80">
        <f>SUMIFS('сентябрь 2024'!$G$4:$G$2091,'сентябрь 2024'!$D$4:$D$2091,$B102,'сентябрь 2024'!$J$4:$J$2091,AH$1)</f>
        <v>0</v>
      </c>
      <c r="AI102" s="21">
        <f t="shared" si="1"/>
        <v>0</v>
      </c>
    </row>
    <row r="103" spans="2:35" ht="15" customHeight="1" x14ac:dyDescent="0.25">
      <c r="B103" s="93" t="s">
        <v>325</v>
      </c>
      <c r="C103" s="91">
        <v>200</v>
      </c>
      <c r="D103" s="80">
        <f>SUMIFS('сентябрь 2024'!$G$4:$G$2091,'сентябрь 2024'!$D$4:$D$2091,$B103,'сентябрь 2024'!$J$4:$J$2091,D$1)</f>
        <v>0</v>
      </c>
      <c r="E103" s="80">
        <f>SUMIFS('сентябрь 2024'!$G$4:$G$2091,'сентябрь 2024'!$D$4:$D$2091,$B103,'сентябрь 2024'!$J$4:$J$2091,E$1)</f>
        <v>0</v>
      </c>
      <c r="F103" s="80">
        <f>SUMIFS('сентябрь 2024'!$G$4:$G$2091,'сентябрь 2024'!$D$4:$D$2091,$B103,'сентябрь 2024'!$J$4:$J$2091,F$1)</f>
        <v>0</v>
      </c>
      <c r="G103" s="80">
        <f>SUMIFS('сентябрь 2024'!$G$4:$G$2091,'сентябрь 2024'!$D$4:$D$2091,$B103,'сентябрь 2024'!$J$4:$J$2091,G$1)</f>
        <v>0</v>
      </c>
      <c r="H103" s="80">
        <f>SUMIFS('сентябрь 2024'!$G$4:$G$2091,'сентябрь 2024'!$D$4:$D$2091,$B103,'сентябрь 2024'!$J$4:$J$2091,H$1)</f>
        <v>0</v>
      </c>
      <c r="I103" s="80">
        <f>SUMIFS('сентябрь 2024'!$G$4:$G$2091,'сентябрь 2024'!$D$4:$D$2091,$B103,'сентябрь 2024'!$J$4:$J$2091,I$1)</f>
        <v>0</v>
      </c>
      <c r="J103" s="80">
        <f>SUMIFS('сентябрь 2024'!$G$4:$G$2091,'сентябрь 2024'!$D$4:$D$2091,$B103,'сентябрь 2024'!$J$4:$J$2091,J$1)</f>
        <v>0</v>
      </c>
      <c r="K103" s="80">
        <f>SUMIFS('сентябрь 2024'!$G$4:$G$2091,'сентябрь 2024'!$D$4:$D$2091,$B103,'сентябрь 2024'!$J$4:$J$2091,K$1)</f>
        <v>0</v>
      </c>
      <c r="L103" s="80">
        <f>SUMIFS('сентябрь 2024'!$G$4:$G$2091,'сентябрь 2024'!$D$4:$D$2091,$B103,'сентябрь 2024'!$J$4:$J$2091,L$1)</f>
        <v>0</v>
      </c>
      <c r="M103" s="80">
        <f>SUMIFS('сентябрь 2024'!$G$4:$G$2091,'сентябрь 2024'!$D$4:$D$2091,$B103,'сентябрь 2024'!$J$4:$J$2091,M$1)</f>
        <v>0</v>
      </c>
      <c r="N103" s="80">
        <f>SUMIFS('сентябрь 2024'!$G$4:$G$2091,'сентябрь 2024'!$D$4:$D$2091,$B103,'сентябрь 2024'!$J$4:$J$2091,N$1)</f>
        <v>0</v>
      </c>
      <c r="O103" s="80">
        <f>SUMIFS('сентябрь 2024'!$G$4:$G$2091,'сентябрь 2024'!$D$4:$D$2091,$B103,'сентябрь 2024'!$J$4:$J$2091,O$1)</f>
        <v>0</v>
      </c>
      <c r="P103" s="80">
        <f>SUMIFS('сентябрь 2024'!$G$4:$G$2091,'сентябрь 2024'!$D$4:$D$2091,$B103,'сентябрь 2024'!$J$4:$J$2091,P$1)</f>
        <v>0</v>
      </c>
      <c r="Q103" s="80">
        <f>SUMIFS('сентябрь 2024'!$G$4:$G$2091,'сентябрь 2024'!$D$4:$D$2091,$B103,'сентябрь 2024'!$J$4:$J$2091,Q$1)</f>
        <v>0</v>
      </c>
      <c r="R103" s="80">
        <f>SUMIFS('сентябрь 2024'!$G$4:$G$2091,'сентябрь 2024'!$D$4:$D$2091,$B103,'сентябрь 2024'!$J$4:$J$2091,R$1)</f>
        <v>0</v>
      </c>
      <c r="S103" s="80">
        <f>SUMIFS('сентябрь 2024'!$G$4:$G$2091,'сентябрь 2024'!$D$4:$D$2091,$B103,'сентябрь 2024'!$J$4:$J$2091,S$1)</f>
        <v>0</v>
      </c>
      <c r="T103" s="80">
        <f>SUMIFS('сентябрь 2024'!$G$4:$G$2091,'сентябрь 2024'!$D$4:$D$2091,$B103,'сентябрь 2024'!$J$4:$J$2091,T$1)</f>
        <v>0</v>
      </c>
      <c r="U103" s="80">
        <f>SUMIFS('сентябрь 2024'!$G$4:$G$2091,'сентябрь 2024'!$D$4:$D$2091,$B103,'сентябрь 2024'!$J$4:$J$2091,U$1)</f>
        <v>0</v>
      </c>
      <c r="V103" s="80">
        <f>SUMIFS('сентябрь 2024'!$G$4:$G$2091,'сентябрь 2024'!$D$4:$D$2091,$B103,'сентябрь 2024'!$J$4:$J$2091,V$1)</f>
        <v>0</v>
      </c>
      <c r="W103" s="80">
        <f>SUMIFS('сентябрь 2024'!$G$4:$G$2091,'сентябрь 2024'!$D$4:$D$2091,$B103,'сентябрь 2024'!$J$4:$J$2091,W$1)</f>
        <v>0</v>
      </c>
      <c r="X103" s="80">
        <f>SUMIFS('сентябрь 2024'!$G$4:$G$2091,'сентябрь 2024'!$D$4:$D$2091,$B103,'сентябрь 2024'!$J$4:$J$2091,X$1)</f>
        <v>0</v>
      </c>
      <c r="Y103" s="80">
        <f>SUMIFS('сентябрь 2024'!$G$4:$G$2091,'сентябрь 2024'!$D$4:$D$2091,$B103,'сентябрь 2024'!$J$4:$J$2091,Y$1)</f>
        <v>0</v>
      </c>
      <c r="Z103" s="80">
        <f>SUMIFS('сентябрь 2024'!$G$4:$G$2091,'сентябрь 2024'!$D$4:$D$2091,$B103,'сентябрь 2024'!$J$4:$J$2091,Z$1)</f>
        <v>0</v>
      </c>
      <c r="AA103" s="80">
        <f>SUMIFS('сентябрь 2024'!$G$4:$G$2091,'сентябрь 2024'!$D$4:$D$2091,$B103,'сентябрь 2024'!$J$4:$J$2091,AA$1)</f>
        <v>0</v>
      </c>
      <c r="AB103" s="80">
        <f>SUMIFS('сентябрь 2024'!$G$4:$G$2091,'сентябрь 2024'!$D$4:$D$2091,$B103,'сентябрь 2024'!$J$4:$J$2091,AB$1)</f>
        <v>0</v>
      </c>
      <c r="AC103" s="80">
        <f>SUMIFS('сентябрь 2024'!$G$4:$G$2091,'сентябрь 2024'!$D$4:$D$2091,$B103,'сентябрь 2024'!$J$4:$J$2091,AC$1)</f>
        <v>0</v>
      </c>
      <c r="AD103" s="80">
        <f>SUMIFS('сентябрь 2024'!$G$4:$G$2091,'сентябрь 2024'!$D$4:$D$2091,$B103,'сентябрь 2024'!$J$4:$J$2091,AD$1)</f>
        <v>0</v>
      </c>
      <c r="AE103" s="80">
        <f>SUMIFS('сентябрь 2024'!$G$4:$G$2091,'сентябрь 2024'!$D$4:$D$2091,$B103,'сентябрь 2024'!$J$4:$J$2091,AE$1)</f>
        <v>0</v>
      </c>
      <c r="AF103" s="80">
        <f>SUMIFS('сентябрь 2024'!$G$4:$G$2091,'сентябрь 2024'!$D$4:$D$2091,$B103,'сентябрь 2024'!$J$4:$J$2091,AF$1)</f>
        <v>0</v>
      </c>
      <c r="AG103" s="80">
        <f>SUMIFS('сентябрь 2024'!$G$4:$G$2091,'сентябрь 2024'!$D$4:$D$2091,$B103,'сентябрь 2024'!$J$4:$J$2091,AG$1)</f>
        <v>0</v>
      </c>
      <c r="AH103" s="80">
        <f>SUMIFS('сентябрь 2024'!$G$4:$G$2091,'сентябрь 2024'!$D$4:$D$2091,$B103,'сентябрь 2024'!$J$4:$J$2091,AH$1)</f>
        <v>0</v>
      </c>
      <c r="AI103" s="21">
        <f t="shared" si="1"/>
        <v>0</v>
      </c>
    </row>
    <row r="104" spans="2:35" ht="15" customHeight="1" x14ac:dyDescent="0.25">
      <c r="B104" s="93" t="s">
        <v>190</v>
      </c>
      <c r="C104" s="91">
        <v>200</v>
      </c>
      <c r="D104" s="80">
        <f>SUMIFS('сентябрь 2024'!$G$4:$G$2091,'сентябрь 2024'!$D$4:$D$2091,$B104,'сентябрь 2024'!$J$4:$J$2091,D$1)</f>
        <v>0</v>
      </c>
      <c r="E104" s="80">
        <f>SUMIFS('сентябрь 2024'!$G$4:$G$2091,'сентябрь 2024'!$D$4:$D$2091,$B104,'сентябрь 2024'!$J$4:$J$2091,E$1)</f>
        <v>0</v>
      </c>
      <c r="F104" s="80">
        <f>SUMIFS('сентябрь 2024'!$G$4:$G$2091,'сентябрь 2024'!$D$4:$D$2091,$B104,'сентябрь 2024'!$J$4:$J$2091,F$1)</f>
        <v>0</v>
      </c>
      <c r="G104" s="80">
        <f>SUMIFS('сентябрь 2024'!$G$4:$G$2091,'сентябрь 2024'!$D$4:$D$2091,$B104,'сентябрь 2024'!$J$4:$J$2091,G$1)</f>
        <v>0</v>
      </c>
      <c r="H104" s="80">
        <f>SUMIFS('сентябрь 2024'!$G$4:$G$2091,'сентябрь 2024'!$D$4:$D$2091,$B104,'сентябрь 2024'!$J$4:$J$2091,H$1)</f>
        <v>0</v>
      </c>
      <c r="I104" s="80">
        <f>SUMIFS('сентябрь 2024'!$G$4:$G$2091,'сентябрь 2024'!$D$4:$D$2091,$B104,'сентябрь 2024'!$J$4:$J$2091,I$1)</f>
        <v>0</v>
      </c>
      <c r="J104" s="80">
        <f>SUMIFS('сентябрь 2024'!$G$4:$G$2091,'сентябрь 2024'!$D$4:$D$2091,$B104,'сентябрь 2024'!$J$4:$J$2091,J$1)</f>
        <v>0</v>
      </c>
      <c r="K104" s="80">
        <f>SUMIFS('сентябрь 2024'!$G$4:$G$2091,'сентябрь 2024'!$D$4:$D$2091,$B104,'сентябрь 2024'!$J$4:$J$2091,K$1)</f>
        <v>0</v>
      </c>
      <c r="L104" s="80">
        <f>SUMIFS('сентябрь 2024'!$G$4:$G$2091,'сентябрь 2024'!$D$4:$D$2091,$B104,'сентябрь 2024'!$J$4:$J$2091,L$1)</f>
        <v>0</v>
      </c>
      <c r="M104" s="80">
        <f>SUMIFS('сентябрь 2024'!$G$4:$G$2091,'сентябрь 2024'!$D$4:$D$2091,$B104,'сентябрь 2024'!$J$4:$J$2091,M$1)</f>
        <v>0</v>
      </c>
      <c r="N104" s="80">
        <f>SUMIFS('сентябрь 2024'!$G$4:$G$2091,'сентябрь 2024'!$D$4:$D$2091,$B104,'сентябрь 2024'!$J$4:$J$2091,N$1)</f>
        <v>0</v>
      </c>
      <c r="O104" s="80">
        <f>SUMIFS('сентябрь 2024'!$G$4:$G$2091,'сентябрь 2024'!$D$4:$D$2091,$B104,'сентябрь 2024'!$J$4:$J$2091,O$1)</f>
        <v>0</v>
      </c>
      <c r="P104" s="80">
        <f>SUMIFS('сентябрь 2024'!$G$4:$G$2091,'сентябрь 2024'!$D$4:$D$2091,$B104,'сентябрь 2024'!$J$4:$J$2091,P$1)</f>
        <v>0</v>
      </c>
      <c r="Q104" s="80">
        <f>SUMIFS('сентябрь 2024'!$G$4:$G$2091,'сентябрь 2024'!$D$4:$D$2091,$B104,'сентябрь 2024'!$J$4:$J$2091,Q$1)</f>
        <v>0</v>
      </c>
      <c r="R104" s="80">
        <f>SUMIFS('сентябрь 2024'!$G$4:$G$2091,'сентябрь 2024'!$D$4:$D$2091,$B104,'сентябрь 2024'!$J$4:$J$2091,R$1)</f>
        <v>0</v>
      </c>
      <c r="S104" s="80">
        <f>SUMIFS('сентябрь 2024'!$G$4:$G$2091,'сентябрь 2024'!$D$4:$D$2091,$B104,'сентябрь 2024'!$J$4:$J$2091,S$1)</f>
        <v>0</v>
      </c>
      <c r="T104" s="80">
        <f>SUMIFS('сентябрь 2024'!$G$4:$G$2091,'сентябрь 2024'!$D$4:$D$2091,$B104,'сентябрь 2024'!$J$4:$J$2091,T$1)</f>
        <v>0</v>
      </c>
      <c r="U104" s="80">
        <f>SUMIFS('сентябрь 2024'!$G$4:$G$2091,'сентябрь 2024'!$D$4:$D$2091,$B104,'сентябрь 2024'!$J$4:$J$2091,U$1)</f>
        <v>0</v>
      </c>
      <c r="V104" s="80">
        <f>SUMIFS('сентябрь 2024'!$G$4:$G$2091,'сентябрь 2024'!$D$4:$D$2091,$B104,'сентябрь 2024'!$J$4:$J$2091,V$1)</f>
        <v>0</v>
      </c>
      <c r="W104" s="80">
        <f>SUMIFS('сентябрь 2024'!$G$4:$G$2091,'сентябрь 2024'!$D$4:$D$2091,$B104,'сентябрь 2024'!$J$4:$J$2091,W$1)</f>
        <v>0</v>
      </c>
      <c r="X104" s="80">
        <f>SUMIFS('сентябрь 2024'!$G$4:$G$2091,'сентябрь 2024'!$D$4:$D$2091,$B104,'сентябрь 2024'!$J$4:$J$2091,X$1)</f>
        <v>0</v>
      </c>
      <c r="Y104" s="80">
        <f>SUMIFS('сентябрь 2024'!$G$4:$G$2091,'сентябрь 2024'!$D$4:$D$2091,$B104,'сентябрь 2024'!$J$4:$J$2091,Y$1)</f>
        <v>0</v>
      </c>
      <c r="Z104" s="80">
        <f>SUMIFS('сентябрь 2024'!$G$4:$G$2091,'сентябрь 2024'!$D$4:$D$2091,$B104,'сентябрь 2024'!$J$4:$J$2091,Z$1)</f>
        <v>0</v>
      </c>
      <c r="AA104" s="80">
        <f>SUMIFS('сентябрь 2024'!$G$4:$G$2091,'сентябрь 2024'!$D$4:$D$2091,$B104,'сентябрь 2024'!$J$4:$J$2091,AA$1)</f>
        <v>0</v>
      </c>
      <c r="AB104" s="80">
        <f>SUMIFS('сентябрь 2024'!$G$4:$G$2091,'сентябрь 2024'!$D$4:$D$2091,$B104,'сентябрь 2024'!$J$4:$J$2091,AB$1)</f>
        <v>0</v>
      </c>
      <c r="AC104" s="80">
        <f>SUMIFS('сентябрь 2024'!$G$4:$G$2091,'сентябрь 2024'!$D$4:$D$2091,$B104,'сентябрь 2024'!$J$4:$J$2091,AC$1)</f>
        <v>0</v>
      </c>
      <c r="AD104" s="80">
        <f>SUMIFS('сентябрь 2024'!$G$4:$G$2091,'сентябрь 2024'!$D$4:$D$2091,$B104,'сентябрь 2024'!$J$4:$J$2091,AD$1)</f>
        <v>0</v>
      </c>
      <c r="AE104" s="80">
        <f>SUMIFS('сентябрь 2024'!$G$4:$G$2091,'сентябрь 2024'!$D$4:$D$2091,$B104,'сентябрь 2024'!$J$4:$J$2091,AE$1)</f>
        <v>0</v>
      </c>
      <c r="AF104" s="80">
        <f>SUMIFS('сентябрь 2024'!$G$4:$G$2091,'сентябрь 2024'!$D$4:$D$2091,$B104,'сентябрь 2024'!$J$4:$J$2091,AF$1)</f>
        <v>0</v>
      </c>
      <c r="AG104" s="80">
        <f>SUMIFS('сентябрь 2024'!$G$4:$G$2091,'сентябрь 2024'!$D$4:$D$2091,$B104,'сентябрь 2024'!$J$4:$J$2091,AG$1)</f>
        <v>0</v>
      </c>
      <c r="AH104" s="80">
        <f>SUMIFS('сентябрь 2024'!$G$4:$G$2091,'сентябрь 2024'!$D$4:$D$2091,$B104,'сентябрь 2024'!$J$4:$J$2091,AH$1)</f>
        <v>0</v>
      </c>
      <c r="AI104" s="21">
        <f t="shared" si="1"/>
        <v>0</v>
      </c>
    </row>
    <row r="105" spans="2:35" ht="15" customHeight="1" x14ac:dyDescent="0.25">
      <c r="B105" s="93" t="s">
        <v>326</v>
      </c>
      <c r="C105" s="91">
        <v>200</v>
      </c>
      <c r="D105" s="80">
        <f>SUMIFS('сентябрь 2024'!$G$4:$G$2091,'сентябрь 2024'!$D$4:$D$2091,$B105,'сентябрь 2024'!$J$4:$J$2091,D$1)</f>
        <v>0</v>
      </c>
      <c r="E105" s="80">
        <f>SUMIFS('сентябрь 2024'!$G$4:$G$2091,'сентябрь 2024'!$D$4:$D$2091,$B105,'сентябрь 2024'!$J$4:$J$2091,E$1)</f>
        <v>0</v>
      </c>
      <c r="F105" s="80">
        <f>SUMIFS('сентябрь 2024'!$G$4:$G$2091,'сентябрь 2024'!$D$4:$D$2091,$B105,'сентябрь 2024'!$J$4:$J$2091,F$1)</f>
        <v>0</v>
      </c>
      <c r="G105" s="80">
        <f>SUMIFS('сентябрь 2024'!$G$4:$G$2091,'сентябрь 2024'!$D$4:$D$2091,$B105,'сентябрь 2024'!$J$4:$J$2091,G$1)</f>
        <v>0</v>
      </c>
      <c r="H105" s="80">
        <f>SUMIFS('сентябрь 2024'!$G$4:$G$2091,'сентябрь 2024'!$D$4:$D$2091,$B105,'сентябрь 2024'!$J$4:$J$2091,H$1)</f>
        <v>0</v>
      </c>
      <c r="I105" s="80">
        <f>SUMIFS('сентябрь 2024'!$G$4:$G$2091,'сентябрь 2024'!$D$4:$D$2091,$B105,'сентябрь 2024'!$J$4:$J$2091,I$1)</f>
        <v>0</v>
      </c>
      <c r="J105" s="80">
        <f>SUMIFS('сентябрь 2024'!$G$4:$G$2091,'сентябрь 2024'!$D$4:$D$2091,$B105,'сентябрь 2024'!$J$4:$J$2091,J$1)</f>
        <v>0</v>
      </c>
      <c r="K105" s="80">
        <f>SUMIFS('сентябрь 2024'!$G$4:$G$2091,'сентябрь 2024'!$D$4:$D$2091,$B105,'сентябрь 2024'!$J$4:$J$2091,K$1)</f>
        <v>0</v>
      </c>
      <c r="L105" s="80">
        <f>SUMIFS('сентябрь 2024'!$G$4:$G$2091,'сентябрь 2024'!$D$4:$D$2091,$B105,'сентябрь 2024'!$J$4:$J$2091,L$1)</f>
        <v>0</v>
      </c>
      <c r="M105" s="80">
        <f>SUMIFS('сентябрь 2024'!$G$4:$G$2091,'сентябрь 2024'!$D$4:$D$2091,$B105,'сентябрь 2024'!$J$4:$J$2091,M$1)</f>
        <v>0</v>
      </c>
      <c r="N105" s="80">
        <f>SUMIFS('сентябрь 2024'!$G$4:$G$2091,'сентябрь 2024'!$D$4:$D$2091,$B105,'сентябрь 2024'!$J$4:$J$2091,N$1)</f>
        <v>0</v>
      </c>
      <c r="O105" s="80">
        <f>SUMIFS('сентябрь 2024'!$G$4:$G$2091,'сентябрь 2024'!$D$4:$D$2091,$B105,'сентябрь 2024'!$J$4:$J$2091,O$1)</f>
        <v>0</v>
      </c>
      <c r="P105" s="80">
        <f>SUMIFS('сентябрь 2024'!$G$4:$G$2091,'сентябрь 2024'!$D$4:$D$2091,$B105,'сентябрь 2024'!$J$4:$J$2091,P$1)</f>
        <v>0</v>
      </c>
      <c r="Q105" s="80">
        <f>SUMIFS('сентябрь 2024'!$G$4:$G$2091,'сентябрь 2024'!$D$4:$D$2091,$B105,'сентябрь 2024'!$J$4:$J$2091,Q$1)</f>
        <v>0</v>
      </c>
      <c r="R105" s="80">
        <f>SUMIFS('сентябрь 2024'!$G$4:$G$2091,'сентябрь 2024'!$D$4:$D$2091,$B105,'сентябрь 2024'!$J$4:$J$2091,R$1)</f>
        <v>0</v>
      </c>
      <c r="S105" s="80">
        <f>SUMIFS('сентябрь 2024'!$G$4:$G$2091,'сентябрь 2024'!$D$4:$D$2091,$B105,'сентябрь 2024'!$J$4:$J$2091,S$1)</f>
        <v>0</v>
      </c>
      <c r="T105" s="80">
        <f>SUMIFS('сентябрь 2024'!$G$4:$G$2091,'сентябрь 2024'!$D$4:$D$2091,$B105,'сентябрь 2024'!$J$4:$J$2091,T$1)</f>
        <v>0</v>
      </c>
      <c r="U105" s="80">
        <f>SUMIFS('сентябрь 2024'!$G$4:$G$2091,'сентябрь 2024'!$D$4:$D$2091,$B105,'сентябрь 2024'!$J$4:$J$2091,U$1)</f>
        <v>0</v>
      </c>
      <c r="V105" s="80">
        <f>SUMIFS('сентябрь 2024'!$G$4:$G$2091,'сентябрь 2024'!$D$4:$D$2091,$B105,'сентябрь 2024'!$J$4:$J$2091,V$1)</f>
        <v>0</v>
      </c>
      <c r="W105" s="80">
        <f>SUMIFS('сентябрь 2024'!$G$4:$G$2091,'сентябрь 2024'!$D$4:$D$2091,$B105,'сентябрь 2024'!$J$4:$J$2091,W$1)</f>
        <v>0</v>
      </c>
      <c r="X105" s="80">
        <f>SUMIFS('сентябрь 2024'!$G$4:$G$2091,'сентябрь 2024'!$D$4:$D$2091,$B105,'сентябрь 2024'!$J$4:$J$2091,X$1)</f>
        <v>0</v>
      </c>
      <c r="Y105" s="80">
        <f>SUMIFS('сентябрь 2024'!$G$4:$G$2091,'сентябрь 2024'!$D$4:$D$2091,$B105,'сентябрь 2024'!$J$4:$J$2091,Y$1)</f>
        <v>0</v>
      </c>
      <c r="Z105" s="80">
        <f>SUMIFS('сентябрь 2024'!$G$4:$G$2091,'сентябрь 2024'!$D$4:$D$2091,$B105,'сентябрь 2024'!$J$4:$J$2091,Z$1)</f>
        <v>0</v>
      </c>
      <c r="AA105" s="80">
        <f>SUMIFS('сентябрь 2024'!$G$4:$G$2091,'сентябрь 2024'!$D$4:$D$2091,$B105,'сентябрь 2024'!$J$4:$J$2091,AA$1)</f>
        <v>0</v>
      </c>
      <c r="AB105" s="80">
        <f>SUMIFS('сентябрь 2024'!$G$4:$G$2091,'сентябрь 2024'!$D$4:$D$2091,$B105,'сентябрь 2024'!$J$4:$J$2091,AB$1)</f>
        <v>0</v>
      </c>
      <c r="AC105" s="80">
        <f>SUMIFS('сентябрь 2024'!$G$4:$G$2091,'сентябрь 2024'!$D$4:$D$2091,$B105,'сентябрь 2024'!$J$4:$J$2091,AC$1)</f>
        <v>0</v>
      </c>
      <c r="AD105" s="80">
        <f>SUMIFS('сентябрь 2024'!$G$4:$G$2091,'сентябрь 2024'!$D$4:$D$2091,$B105,'сентябрь 2024'!$J$4:$J$2091,AD$1)</f>
        <v>0</v>
      </c>
      <c r="AE105" s="80">
        <f>SUMIFS('сентябрь 2024'!$G$4:$G$2091,'сентябрь 2024'!$D$4:$D$2091,$B105,'сентябрь 2024'!$J$4:$J$2091,AE$1)</f>
        <v>0</v>
      </c>
      <c r="AF105" s="80">
        <f>SUMIFS('сентябрь 2024'!$G$4:$G$2091,'сентябрь 2024'!$D$4:$D$2091,$B105,'сентябрь 2024'!$J$4:$J$2091,AF$1)</f>
        <v>0</v>
      </c>
      <c r="AG105" s="80">
        <f>SUMIFS('сентябрь 2024'!$G$4:$G$2091,'сентябрь 2024'!$D$4:$D$2091,$B105,'сентябрь 2024'!$J$4:$J$2091,AG$1)</f>
        <v>0</v>
      </c>
      <c r="AH105" s="80">
        <f>SUMIFS('сентябрь 2024'!$G$4:$G$2091,'сентябрь 2024'!$D$4:$D$2091,$B105,'сентябрь 2024'!$J$4:$J$2091,AH$1)</f>
        <v>0</v>
      </c>
      <c r="AI105" s="21">
        <f t="shared" si="1"/>
        <v>0</v>
      </c>
    </row>
    <row r="106" spans="2:35" ht="15" customHeight="1" x14ac:dyDescent="0.25">
      <c r="B106" s="93" t="s">
        <v>327</v>
      </c>
      <c r="C106" s="91">
        <v>200</v>
      </c>
      <c r="D106" s="80">
        <f>SUMIFS('сентябрь 2024'!$G$4:$G$2091,'сентябрь 2024'!$D$4:$D$2091,$B106,'сентябрь 2024'!$J$4:$J$2091,D$1)</f>
        <v>0</v>
      </c>
      <c r="E106" s="80">
        <f>SUMIFS('сентябрь 2024'!$G$4:$G$2091,'сентябрь 2024'!$D$4:$D$2091,$B106,'сентябрь 2024'!$J$4:$J$2091,E$1)</f>
        <v>0</v>
      </c>
      <c r="F106" s="80">
        <f>SUMIFS('сентябрь 2024'!$G$4:$G$2091,'сентябрь 2024'!$D$4:$D$2091,$B106,'сентябрь 2024'!$J$4:$J$2091,F$1)</f>
        <v>0</v>
      </c>
      <c r="G106" s="80">
        <f>SUMIFS('сентябрь 2024'!$G$4:$G$2091,'сентябрь 2024'!$D$4:$D$2091,$B106,'сентябрь 2024'!$J$4:$J$2091,G$1)</f>
        <v>0</v>
      </c>
      <c r="H106" s="80">
        <f>SUMIFS('сентябрь 2024'!$G$4:$G$2091,'сентябрь 2024'!$D$4:$D$2091,$B106,'сентябрь 2024'!$J$4:$J$2091,H$1)</f>
        <v>0</v>
      </c>
      <c r="I106" s="80">
        <f>SUMIFS('сентябрь 2024'!$G$4:$G$2091,'сентябрь 2024'!$D$4:$D$2091,$B106,'сентябрь 2024'!$J$4:$J$2091,I$1)</f>
        <v>0</v>
      </c>
      <c r="J106" s="80">
        <f>SUMIFS('сентябрь 2024'!$G$4:$G$2091,'сентябрь 2024'!$D$4:$D$2091,$B106,'сентябрь 2024'!$J$4:$J$2091,J$1)</f>
        <v>0</v>
      </c>
      <c r="K106" s="80">
        <f>SUMIFS('сентябрь 2024'!$G$4:$G$2091,'сентябрь 2024'!$D$4:$D$2091,$B106,'сентябрь 2024'!$J$4:$J$2091,K$1)</f>
        <v>0</v>
      </c>
      <c r="L106" s="80">
        <f>SUMIFS('сентябрь 2024'!$G$4:$G$2091,'сентябрь 2024'!$D$4:$D$2091,$B106,'сентябрь 2024'!$J$4:$J$2091,L$1)</f>
        <v>0</v>
      </c>
      <c r="M106" s="80">
        <f>SUMIFS('сентябрь 2024'!$G$4:$G$2091,'сентябрь 2024'!$D$4:$D$2091,$B106,'сентябрь 2024'!$J$4:$J$2091,M$1)</f>
        <v>0</v>
      </c>
      <c r="N106" s="80">
        <f>SUMIFS('сентябрь 2024'!$G$4:$G$2091,'сентябрь 2024'!$D$4:$D$2091,$B106,'сентябрь 2024'!$J$4:$J$2091,N$1)</f>
        <v>0</v>
      </c>
      <c r="O106" s="80">
        <f>SUMIFS('сентябрь 2024'!$G$4:$G$2091,'сентябрь 2024'!$D$4:$D$2091,$B106,'сентябрь 2024'!$J$4:$J$2091,O$1)</f>
        <v>0</v>
      </c>
      <c r="P106" s="80">
        <f>SUMIFS('сентябрь 2024'!$G$4:$G$2091,'сентябрь 2024'!$D$4:$D$2091,$B106,'сентябрь 2024'!$J$4:$J$2091,P$1)</f>
        <v>0</v>
      </c>
      <c r="Q106" s="80">
        <f>SUMIFS('сентябрь 2024'!$G$4:$G$2091,'сентябрь 2024'!$D$4:$D$2091,$B106,'сентябрь 2024'!$J$4:$J$2091,Q$1)</f>
        <v>0</v>
      </c>
      <c r="R106" s="80">
        <f>SUMIFS('сентябрь 2024'!$G$4:$G$2091,'сентябрь 2024'!$D$4:$D$2091,$B106,'сентябрь 2024'!$J$4:$J$2091,R$1)</f>
        <v>0</v>
      </c>
      <c r="S106" s="80">
        <f>SUMIFS('сентябрь 2024'!$G$4:$G$2091,'сентябрь 2024'!$D$4:$D$2091,$B106,'сентябрь 2024'!$J$4:$J$2091,S$1)</f>
        <v>0</v>
      </c>
      <c r="T106" s="80">
        <f>SUMIFS('сентябрь 2024'!$G$4:$G$2091,'сентябрь 2024'!$D$4:$D$2091,$B106,'сентябрь 2024'!$J$4:$J$2091,T$1)</f>
        <v>0</v>
      </c>
      <c r="U106" s="80">
        <f>SUMIFS('сентябрь 2024'!$G$4:$G$2091,'сентябрь 2024'!$D$4:$D$2091,$B106,'сентябрь 2024'!$J$4:$J$2091,U$1)</f>
        <v>0</v>
      </c>
      <c r="V106" s="80">
        <f>SUMIFS('сентябрь 2024'!$G$4:$G$2091,'сентябрь 2024'!$D$4:$D$2091,$B106,'сентябрь 2024'!$J$4:$J$2091,V$1)</f>
        <v>0</v>
      </c>
      <c r="W106" s="80">
        <f>SUMIFS('сентябрь 2024'!$G$4:$G$2091,'сентябрь 2024'!$D$4:$D$2091,$B106,'сентябрь 2024'!$J$4:$J$2091,W$1)</f>
        <v>0</v>
      </c>
      <c r="X106" s="80">
        <f>SUMIFS('сентябрь 2024'!$G$4:$G$2091,'сентябрь 2024'!$D$4:$D$2091,$B106,'сентябрь 2024'!$J$4:$J$2091,X$1)</f>
        <v>0</v>
      </c>
      <c r="Y106" s="80">
        <f>SUMIFS('сентябрь 2024'!$G$4:$G$2091,'сентябрь 2024'!$D$4:$D$2091,$B106,'сентябрь 2024'!$J$4:$J$2091,Y$1)</f>
        <v>0</v>
      </c>
      <c r="Z106" s="80">
        <f>SUMIFS('сентябрь 2024'!$G$4:$G$2091,'сентябрь 2024'!$D$4:$D$2091,$B106,'сентябрь 2024'!$J$4:$J$2091,Z$1)</f>
        <v>0</v>
      </c>
      <c r="AA106" s="80">
        <f>SUMIFS('сентябрь 2024'!$G$4:$G$2091,'сентябрь 2024'!$D$4:$D$2091,$B106,'сентябрь 2024'!$J$4:$J$2091,AA$1)</f>
        <v>0</v>
      </c>
      <c r="AB106" s="80">
        <f>SUMIFS('сентябрь 2024'!$G$4:$G$2091,'сентябрь 2024'!$D$4:$D$2091,$B106,'сентябрь 2024'!$J$4:$J$2091,AB$1)</f>
        <v>0</v>
      </c>
      <c r="AC106" s="80">
        <f>SUMIFS('сентябрь 2024'!$G$4:$G$2091,'сентябрь 2024'!$D$4:$D$2091,$B106,'сентябрь 2024'!$J$4:$J$2091,AC$1)</f>
        <v>0</v>
      </c>
      <c r="AD106" s="80">
        <f>SUMIFS('сентябрь 2024'!$G$4:$G$2091,'сентябрь 2024'!$D$4:$D$2091,$B106,'сентябрь 2024'!$J$4:$J$2091,AD$1)</f>
        <v>0</v>
      </c>
      <c r="AE106" s="80">
        <f>SUMIFS('сентябрь 2024'!$G$4:$G$2091,'сентябрь 2024'!$D$4:$D$2091,$B106,'сентябрь 2024'!$J$4:$J$2091,AE$1)</f>
        <v>0</v>
      </c>
      <c r="AF106" s="80">
        <f>SUMIFS('сентябрь 2024'!$G$4:$G$2091,'сентябрь 2024'!$D$4:$D$2091,$B106,'сентябрь 2024'!$J$4:$J$2091,AF$1)</f>
        <v>0</v>
      </c>
      <c r="AG106" s="80">
        <f>SUMIFS('сентябрь 2024'!$G$4:$G$2091,'сентябрь 2024'!$D$4:$D$2091,$B106,'сентябрь 2024'!$J$4:$J$2091,AG$1)</f>
        <v>0</v>
      </c>
      <c r="AH106" s="80">
        <f>SUMIFS('сентябрь 2024'!$G$4:$G$2091,'сентябрь 2024'!$D$4:$D$2091,$B106,'сентябрь 2024'!$J$4:$J$2091,AH$1)</f>
        <v>0</v>
      </c>
      <c r="AI106" s="21">
        <f t="shared" si="1"/>
        <v>0</v>
      </c>
    </row>
    <row r="107" spans="2:35" ht="15" customHeight="1" x14ac:dyDescent="0.25">
      <c r="B107" s="89" t="s">
        <v>223</v>
      </c>
      <c r="C107" s="88">
        <v>25</v>
      </c>
      <c r="D107" s="80">
        <f>SUMIFS('сентябрь 2024'!$G$4:$G$2091,'сентябрь 2024'!$D$4:$D$2091,$B107,'сентябрь 2024'!$J$4:$J$2091,D$1)</f>
        <v>0</v>
      </c>
      <c r="E107" s="80">
        <f>SUMIFS('сентябрь 2024'!$G$4:$G$2091,'сентябрь 2024'!$D$4:$D$2091,$B107,'сентябрь 2024'!$J$4:$J$2091,E$1)</f>
        <v>0</v>
      </c>
      <c r="F107" s="80">
        <f>SUMIFS('сентябрь 2024'!$G$4:$G$2091,'сентябрь 2024'!$D$4:$D$2091,$B107,'сентябрь 2024'!$J$4:$J$2091,F$1)</f>
        <v>0</v>
      </c>
      <c r="G107" s="80">
        <f>SUMIFS('сентябрь 2024'!$G$4:$G$2091,'сентябрь 2024'!$D$4:$D$2091,$B107,'сентябрь 2024'!$J$4:$J$2091,G$1)</f>
        <v>0</v>
      </c>
      <c r="H107" s="80">
        <f>SUMIFS('сентябрь 2024'!$G$4:$G$2091,'сентябрь 2024'!$D$4:$D$2091,$B107,'сентябрь 2024'!$J$4:$J$2091,H$1)</f>
        <v>0</v>
      </c>
      <c r="I107" s="80">
        <f>SUMIFS('сентябрь 2024'!$G$4:$G$2091,'сентябрь 2024'!$D$4:$D$2091,$B107,'сентябрь 2024'!$J$4:$J$2091,I$1)</f>
        <v>0</v>
      </c>
      <c r="J107" s="80">
        <f>SUMIFS('сентябрь 2024'!$G$4:$G$2091,'сентябрь 2024'!$D$4:$D$2091,$B107,'сентябрь 2024'!$J$4:$J$2091,J$1)</f>
        <v>0</v>
      </c>
      <c r="K107" s="80">
        <f>SUMIFS('сентябрь 2024'!$G$4:$G$2091,'сентябрь 2024'!$D$4:$D$2091,$B107,'сентябрь 2024'!$J$4:$J$2091,K$1)</f>
        <v>0</v>
      </c>
      <c r="L107" s="80">
        <f>SUMIFS('сентябрь 2024'!$G$4:$G$2091,'сентябрь 2024'!$D$4:$D$2091,$B107,'сентябрь 2024'!$J$4:$J$2091,L$1)</f>
        <v>0</v>
      </c>
      <c r="M107" s="80">
        <f>SUMIFS('сентябрь 2024'!$G$4:$G$2091,'сентябрь 2024'!$D$4:$D$2091,$B107,'сентябрь 2024'!$J$4:$J$2091,M$1)</f>
        <v>0</v>
      </c>
      <c r="N107" s="80">
        <f>SUMIFS('сентябрь 2024'!$G$4:$G$2091,'сентябрь 2024'!$D$4:$D$2091,$B107,'сентябрь 2024'!$J$4:$J$2091,N$1)</f>
        <v>0</v>
      </c>
      <c r="O107" s="80">
        <f>SUMIFS('сентябрь 2024'!$G$4:$G$2091,'сентябрь 2024'!$D$4:$D$2091,$B107,'сентябрь 2024'!$J$4:$J$2091,O$1)</f>
        <v>0</v>
      </c>
      <c r="P107" s="80">
        <f>SUMIFS('сентябрь 2024'!$G$4:$G$2091,'сентябрь 2024'!$D$4:$D$2091,$B107,'сентябрь 2024'!$J$4:$J$2091,P$1)</f>
        <v>0</v>
      </c>
      <c r="Q107" s="80">
        <f>SUMIFS('сентябрь 2024'!$G$4:$G$2091,'сентябрь 2024'!$D$4:$D$2091,$B107,'сентябрь 2024'!$J$4:$J$2091,Q$1)</f>
        <v>0</v>
      </c>
      <c r="R107" s="80">
        <f>SUMIFS('сентябрь 2024'!$G$4:$G$2091,'сентябрь 2024'!$D$4:$D$2091,$B107,'сентябрь 2024'!$J$4:$J$2091,R$1)</f>
        <v>0</v>
      </c>
      <c r="S107" s="80">
        <f>SUMIFS('сентябрь 2024'!$G$4:$G$2091,'сентябрь 2024'!$D$4:$D$2091,$B107,'сентябрь 2024'!$J$4:$J$2091,S$1)</f>
        <v>0</v>
      </c>
      <c r="T107" s="80">
        <f>SUMIFS('сентябрь 2024'!$G$4:$G$2091,'сентябрь 2024'!$D$4:$D$2091,$B107,'сентябрь 2024'!$J$4:$J$2091,T$1)</f>
        <v>0</v>
      </c>
      <c r="U107" s="80">
        <f>SUMIFS('сентябрь 2024'!$G$4:$G$2091,'сентябрь 2024'!$D$4:$D$2091,$B107,'сентябрь 2024'!$J$4:$J$2091,U$1)</f>
        <v>0</v>
      </c>
      <c r="V107" s="80">
        <f>SUMIFS('сентябрь 2024'!$G$4:$G$2091,'сентябрь 2024'!$D$4:$D$2091,$B107,'сентябрь 2024'!$J$4:$J$2091,V$1)</f>
        <v>0</v>
      </c>
      <c r="W107" s="80">
        <f>SUMIFS('сентябрь 2024'!$G$4:$G$2091,'сентябрь 2024'!$D$4:$D$2091,$B107,'сентябрь 2024'!$J$4:$J$2091,W$1)</f>
        <v>0</v>
      </c>
      <c r="X107" s="80">
        <f>SUMIFS('сентябрь 2024'!$G$4:$G$2091,'сентябрь 2024'!$D$4:$D$2091,$B107,'сентябрь 2024'!$J$4:$J$2091,X$1)</f>
        <v>0</v>
      </c>
      <c r="Y107" s="80">
        <f>SUMIFS('сентябрь 2024'!$G$4:$G$2091,'сентябрь 2024'!$D$4:$D$2091,$B107,'сентябрь 2024'!$J$4:$J$2091,Y$1)</f>
        <v>0</v>
      </c>
      <c r="Z107" s="80">
        <f>SUMIFS('сентябрь 2024'!$G$4:$G$2091,'сентябрь 2024'!$D$4:$D$2091,$B107,'сентябрь 2024'!$J$4:$J$2091,Z$1)</f>
        <v>0</v>
      </c>
      <c r="AA107" s="80">
        <f>SUMIFS('сентябрь 2024'!$G$4:$G$2091,'сентябрь 2024'!$D$4:$D$2091,$B107,'сентябрь 2024'!$J$4:$J$2091,AA$1)</f>
        <v>0</v>
      </c>
      <c r="AB107" s="80">
        <f>SUMIFS('сентябрь 2024'!$G$4:$G$2091,'сентябрь 2024'!$D$4:$D$2091,$B107,'сентябрь 2024'!$J$4:$J$2091,AB$1)</f>
        <v>0</v>
      </c>
      <c r="AC107" s="80">
        <f>SUMIFS('сентябрь 2024'!$G$4:$G$2091,'сентябрь 2024'!$D$4:$D$2091,$B107,'сентябрь 2024'!$J$4:$J$2091,AC$1)</f>
        <v>0</v>
      </c>
      <c r="AD107" s="80">
        <f>SUMIFS('сентябрь 2024'!$G$4:$G$2091,'сентябрь 2024'!$D$4:$D$2091,$B107,'сентябрь 2024'!$J$4:$J$2091,AD$1)</f>
        <v>0</v>
      </c>
      <c r="AE107" s="80">
        <f>SUMIFS('сентябрь 2024'!$G$4:$G$2091,'сентябрь 2024'!$D$4:$D$2091,$B107,'сентябрь 2024'!$J$4:$J$2091,AE$1)</f>
        <v>0</v>
      </c>
      <c r="AF107" s="80">
        <f>SUMIFS('сентябрь 2024'!$G$4:$G$2091,'сентябрь 2024'!$D$4:$D$2091,$B107,'сентябрь 2024'!$J$4:$J$2091,AF$1)</f>
        <v>0</v>
      </c>
      <c r="AG107" s="80">
        <f>SUMIFS('сентябрь 2024'!$G$4:$G$2091,'сентябрь 2024'!$D$4:$D$2091,$B107,'сентябрь 2024'!$J$4:$J$2091,AG$1)</f>
        <v>0</v>
      </c>
      <c r="AH107" s="80">
        <f>SUMIFS('сентябрь 2024'!$G$4:$G$2091,'сентябрь 2024'!$D$4:$D$2091,$B107,'сентябрь 2024'!$J$4:$J$2091,AH$1)</f>
        <v>0</v>
      </c>
      <c r="AI107" s="21">
        <f t="shared" si="1"/>
        <v>0</v>
      </c>
    </row>
    <row r="108" spans="2:35" ht="15" customHeight="1" x14ac:dyDescent="0.25">
      <c r="B108" s="93" t="s">
        <v>328</v>
      </c>
      <c r="C108" s="91">
        <v>50</v>
      </c>
      <c r="D108" s="80">
        <f>SUMIFS('сентябрь 2024'!$G$4:$G$2091,'сентябрь 2024'!$D$4:$D$2091,$B108,'сентябрь 2024'!$J$4:$J$2091,D$1)</f>
        <v>0</v>
      </c>
      <c r="E108" s="80">
        <f>SUMIFS('сентябрь 2024'!$G$4:$G$2091,'сентябрь 2024'!$D$4:$D$2091,$B108,'сентябрь 2024'!$J$4:$J$2091,E$1)</f>
        <v>0</v>
      </c>
      <c r="F108" s="80">
        <f>SUMIFS('сентябрь 2024'!$G$4:$G$2091,'сентябрь 2024'!$D$4:$D$2091,$B108,'сентябрь 2024'!$J$4:$J$2091,F$1)</f>
        <v>0</v>
      </c>
      <c r="G108" s="80">
        <f>SUMIFS('сентябрь 2024'!$G$4:$G$2091,'сентябрь 2024'!$D$4:$D$2091,$B108,'сентябрь 2024'!$J$4:$J$2091,G$1)</f>
        <v>0</v>
      </c>
      <c r="H108" s="80">
        <f>SUMIFS('сентябрь 2024'!$G$4:$G$2091,'сентябрь 2024'!$D$4:$D$2091,$B108,'сентябрь 2024'!$J$4:$J$2091,H$1)</f>
        <v>0</v>
      </c>
      <c r="I108" s="80">
        <f>SUMIFS('сентябрь 2024'!$G$4:$G$2091,'сентябрь 2024'!$D$4:$D$2091,$B108,'сентябрь 2024'!$J$4:$J$2091,I$1)</f>
        <v>0</v>
      </c>
      <c r="J108" s="80">
        <f>SUMIFS('сентябрь 2024'!$G$4:$G$2091,'сентябрь 2024'!$D$4:$D$2091,$B108,'сентябрь 2024'!$J$4:$J$2091,J$1)</f>
        <v>0</v>
      </c>
      <c r="K108" s="80">
        <f>SUMIFS('сентябрь 2024'!$G$4:$G$2091,'сентябрь 2024'!$D$4:$D$2091,$B108,'сентябрь 2024'!$J$4:$J$2091,K$1)</f>
        <v>0</v>
      </c>
      <c r="L108" s="80">
        <f>SUMIFS('сентябрь 2024'!$G$4:$G$2091,'сентябрь 2024'!$D$4:$D$2091,$B108,'сентябрь 2024'!$J$4:$J$2091,L$1)</f>
        <v>0</v>
      </c>
      <c r="M108" s="80">
        <f>SUMIFS('сентябрь 2024'!$G$4:$G$2091,'сентябрь 2024'!$D$4:$D$2091,$B108,'сентябрь 2024'!$J$4:$J$2091,M$1)</f>
        <v>0</v>
      </c>
      <c r="N108" s="80">
        <f>SUMIFS('сентябрь 2024'!$G$4:$G$2091,'сентябрь 2024'!$D$4:$D$2091,$B108,'сентябрь 2024'!$J$4:$J$2091,N$1)</f>
        <v>0</v>
      </c>
      <c r="O108" s="80">
        <f>SUMIFS('сентябрь 2024'!$G$4:$G$2091,'сентябрь 2024'!$D$4:$D$2091,$B108,'сентябрь 2024'!$J$4:$J$2091,O$1)</f>
        <v>0</v>
      </c>
      <c r="P108" s="80">
        <f>SUMIFS('сентябрь 2024'!$G$4:$G$2091,'сентябрь 2024'!$D$4:$D$2091,$B108,'сентябрь 2024'!$J$4:$J$2091,P$1)</f>
        <v>0</v>
      </c>
      <c r="Q108" s="80">
        <f>SUMIFS('сентябрь 2024'!$G$4:$G$2091,'сентябрь 2024'!$D$4:$D$2091,$B108,'сентябрь 2024'!$J$4:$J$2091,Q$1)</f>
        <v>0</v>
      </c>
      <c r="R108" s="80">
        <f>SUMIFS('сентябрь 2024'!$G$4:$G$2091,'сентябрь 2024'!$D$4:$D$2091,$B108,'сентябрь 2024'!$J$4:$J$2091,R$1)</f>
        <v>0</v>
      </c>
      <c r="S108" s="80">
        <f>SUMIFS('сентябрь 2024'!$G$4:$G$2091,'сентябрь 2024'!$D$4:$D$2091,$B108,'сентябрь 2024'!$J$4:$J$2091,S$1)</f>
        <v>0</v>
      </c>
      <c r="T108" s="80">
        <f>SUMIFS('сентябрь 2024'!$G$4:$G$2091,'сентябрь 2024'!$D$4:$D$2091,$B108,'сентябрь 2024'!$J$4:$J$2091,T$1)</f>
        <v>0</v>
      </c>
      <c r="U108" s="80">
        <f>SUMIFS('сентябрь 2024'!$G$4:$G$2091,'сентябрь 2024'!$D$4:$D$2091,$B108,'сентябрь 2024'!$J$4:$J$2091,U$1)</f>
        <v>0</v>
      </c>
      <c r="V108" s="80">
        <f>SUMIFS('сентябрь 2024'!$G$4:$G$2091,'сентябрь 2024'!$D$4:$D$2091,$B108,'сентябрь 2024'!$J$4:$J$2091,V$1)</f>
        <v>0</v>
      </c>
      <c r="W108" s="80">
        <f>SUMIFS('сентябрь 2024'!$G$4:$G$2091,'сентябрь 2024'!$D$4:$D$2091,$B108,'сентябрь 2024'!$J$4:$J$2091,W$1)</f>
        <v>0</v>
      </c>
      <c r="X108" s="80">
        <f>SUMIFS('сентябрь 2024'!$G$4:$G$2091,'сентябрь 2024'!$D$4:$D$2091,$B108,'сентябрь 2024'!$J$4:$J$2091,X$1)</f>
        <v>0</v>
      </c>
      <c r="Y108" s="80">
        <f>SUMIFS('сентябрь 2024'!$G$4:$G$2091,'сентябрь 2024'!$D$4:$D$2091,$B108,'сентябрь 2024'!$J$4:$J$2091,Y$1)</f>
        <v>0</v>
      </c>
      <c r="Z108" s="80">
        <f>SUMIFS('сентябрь 2024'!$G$4:$G$2091,'сентябрь 2024'!$D$4:$D$2091,$B108,'сентябрь 2024'!$J$4:$J$2091,Z$1)</f>
        <v>0</v>
      </c>
      <c r="AA108" s="80">
        <f>SUMIFS('сентябрь 2024'!$G$4:$G$2091,'сентябрь 2024'!$D$4:$D$2091,$B108,'сентябрь 2024'!$J$4:$J$2091,AA$1)</f>
        <v>0</v>
      </c>
      <c r="AB108" s="80">
        <f>SUMIFS('сентябрь 2024'!$G$4:$G$2091,'сентябрь 2024'!$D$4:$D$2091,$B108,'сентябрь 2024'!$J$4:$J$2091,AB$1)</f>
        <v>0</v>
      </c>
      <c r="AC108" s="80">
        <f>SUMIFS('сентябрь 2024'!$G$4:$G$2091,'сентябрь 2024'!$D$4:$D$2091,$B108,'сентябрь 2024'!$J$4:$J$2091,AC$1)</f>
        <v>0</v>
      </c>
      <c r="AD108" s="80">
        <f>SUMIFS('сентябрь 2024'!$G$4:$G$2091,'сентябрь 2024'!$D$4:$D$2091,$B108,'сентябрь 2024'!$J$4:$J$2091,AD$1)</f>
        <v>0</v>
      </c>
      <c r="AE108" s="80">
        <f>SUMIFS('сентябрь 2024'!$G$4:$G$2091,'сентябрь 2024'!$D$4:$D$2091,$B108,'сентябрь 2024'!$J$4:$J$2091,AE$1)</f>
        <v>0</v>
      </c>
      <c r="AF108" s="80">
        <f>SUMIFS('сентябрь 2024'!$G$4:$G$2091,'сентябрь 2024'!$D$4:$D$2091,$B108,'сентябрь 2024'!$J$4:$J$2091,AF$1)</f>
        <v>0</v>
      </c>
      <c r="AG108" s="80">
        <f>SUMIFS('сентябрь 2024'!$G$4:$G$2091,'сентябрь 2024'!$D$4:$D$2091,$B108,'сентябрь 2024'!$J$4:$J$2091,AG$1)</f>
        <v>0</v>
      </c>
      <c r="AH108" s="80">
        <f>SUMIFS('сентябрь 2024'!$G$4:$G$2091,'сентябрь 2024'!$D$4:$D$2091,$B108,'сентябрь 2024'!$J$4:$J$2091,AH$1)</f>
        <v>0</v>
      </c>
      <c r="AI108" s="21">
        <f t="shared" si="1"/>
        <v>0</v>
      </c>
    </row>
    <row r="109" spans="2:35" ht="15" customHeight="1" x14ac:dyDescent="0.25">
      <c r="B109" s="93" t="s">
        <v>195</v>
      </c>
      <c r="C109" s="91">
        <v>180</v>
      </c>
      <c r="D109" s="80">
        <f>SUMIFS('сентябрь 2024'!$G$4:$G$2091,'сентябрь 2024'!$D$4:$D$2091,$B109,'сентябрь 2024'!$J$4:$J$2091,D$1)</f>
        <v>0</v>
      </c>
      <c r="E109" s="80">
        <f>SUMIFS('сентябрь 2024'!$G$4:$G$2091,'сентябрь 2024'!$D$4:$D$2091,$B109,'сентябрь 2024'!$J$4:$J$2091,E$1)</f>
        <v>0</v>
      </c>
      <c r="F109" s="80">
        <f>SUMIFS('сентябрь 2024'!$G$4:$G$2091,'сентябрь 2024'!$D$4:$D$2091,$B109,'сентябрь 2024'!$J$4:$J$2091,F$1)</f>
        <v>0</v>
      </c>
      <c r="G109" s="80">
        <f>SUMIFS('сентябрь 2024'!$G$4:$G$2091,'сентябрь 2024'!$D$4:$D$2091,$B109,'сентябрь 2024'!$J$4:$J$2091,G$1)</f>
        <v>0</v>
      </c>
      <c r="H109" s="80">
        <f>SUMIFS('сентябрь 2024'!$G$4:$G$2091,'сентябрь 2024'!$D$4:$D$2091,$B109,'сентябрь 2024'!$J$4:$J$2091,H$1)</f>
        <v>0</v>
      </c>
      <c r="I109" s="80">
        <f>SUMIFS('сентябрь 2024'!$G$4:$G$2091,'сентябрь 2024'!$D$4:$D$2091,$B109,'сентябрь 2024'!$J$4:$J$2091,I$1)</f>
        <v>0</v>
      </c>
      <c r="J109" s="80">
        <f>SUMIFS('сентябрь 2024'!$G$4:$G$2091,'сентябрь 2024'!$D$4:$D$2091,$B109,'сентябрь 2024'!$J$4:$J$2091,J$1)</f>
        <v>0</v>
      </c>
      <c r="K109" s="80">
        <f>SUMIFS('сентябрь 2024'!$G$4:$G$2091,'сентябрь 2024'!$D$4:$D$2091,$B109,'сентябрь 2024'!$J$4:$J$2091,K$1)</f>
        <v>0</v>
      </c>
      <c r="L109" s="80">
        <f>SUMIFS('сентябрь 2024'!$G$4:$G$2091,'сентябрь 2024'!$D$4:$D$2091,$B109,'сентябрь 2024'!$J$4:$J$2091,L$1)</f>
        <v>0</v>
      </c>
      <c r="M109" s="80">
        <f>SUMIFS('сентябрь 2024'!$G$4:$G$2091,'сентябрь 2024'!$D$4:$D$2091,$B109,'сентябрь 2024'!$J$4:$J$2091,M$1)</f>
        <v>0</v>
      </c>
      <c r="N109" s="80">
        <f>SUMIFS('сентябрь 2024'!$G$4:$G$2091,'сентябрь 2024'!$D$4:$D$2091,$B109,'сентябрь 2024'!$J$4:$J$2091,N$1)</f>
        <v>0</v>
      </c>
      <c r="O109" s="80">
        <f>SUMIFS('сентябрь 2024'!$G$4:$G$2091,'сентябрь 2024'!$D$4:$D$2091,$B109,'сентябрь 2024'!$J$4:$J$2091,O$1)</f>
        <v>0</v>
      </c>
      <c r="P109" s="80">
        <f>SUMIFS('сентябрь 2024'!$G$4:$G$2091,'сентябрь 2024'!$D$4:$D$2091,$B109,'сентябрь 2024'!$J$4:$J$2091,P$1)</f>
        <v>0</v>
      </c>
      <c r="Q109" s="80">
        <f>SUMIFS('сентябрь 2024'!$G$4:$G$2091,'сентябрь 2024'!$D$4:$D$2091,$B109,'сентябрь 2024'!$J$4:$J$2091,Q$1)</f>
        <v>0</v>
      </c>
      <c r="R109" s="80">
        <f>SUMIFS('сентябрь 2024'!$G$4:$G$2091,'сентябрь 2024'!$D$4:$D$2091,$B109,'сентябрь 2024'!$J$4:$J$2091,R$1)</f>
        <v>0</v>
      </c>
      <c r="S109" s="80">
        <f>SUMIFS('сентябрь 2024'!$G$4:$G$2091,'сентябрь 2024'!$D$4:$D$2091,$B109,'сентябрь 2024'!$J$4:$J$2091,S$1)</f>
        <v>0</v>
      </c>
      <c r="T109" s="80">
        <f>SUMIFS('сентябрь 2024'!$G$4:$G$2091,'сентябрь 2024'!$D$4:$D$2091,$B109,'сентябрь 2024'!$J$4:$J$2091,T$1)</f>
        <v>0</v>
      </c>
      <c r="U109" s="80">
        <f>SUMIFS('сентябрь 2024'!$G$4:$G$2091,'сентябрь 2024'!$D$4:$D$2091,$B109,'сентябрь 2024'!$J$4:$J$2091,U$1)</f>
        <v>0</v>
      </c>
      <c r="V109" s="80">
        <f>SUMIFS('сентябрь 2024'!$G$4:$G$2091,'сентябрь 2024'!$D$4:$D$2091,$B109,'сентябрь 2024'!$J$4:$J$2091,V$1)</f>
        <v>0</v>
      </c>
      <c r="W109" s="80">
        <f>SUMIFS('сентябрь 2024'!$G$4:$G$2091,'сентябрь 2024'!$D$4:$D$2091,$B109,'сентябрь 2024'!$J$4:$J$2091,W$1)</f>
        <v>0</v>
      </c>
      <c r="X109" s="80">
        <f>SUMIFS('сентябрь 2024'!$G$4:$G$2091,'сентябрь 2024'!$D$4:$D$2091,$B109,'сентябрь 2024'!$J$4:$J$2091,X$1)</f>
        <v>0</v>
      </c>
      <c r="Y109" s="80">
        <f>SUMIFS('сентябрь 2024'!$G$4:$G$2091,'сентябрь 2024'!$D$4:$D$2091,$B109,'сентябрь 2024'!$J$4:$J$2091,Y$1)</f>
        <v>0</v>
      </c>
      <c r="Z109" s="80">
        <f>SUMIFS('сентябрь 2024'!$G$4:$G$2091,'сентябрь 2024'!$D$4:$D$2091,$B109,'сентябрь 2024'!$J$4:$J$2091,Z$1)</f>
        <v>0</v>
      </c>
      <c r="AA109" s="80">
        <f>SUMIFS('сентябрь 2024'!$G$4:$G$2091,'сентябрь 2024'!$D$4:$D$2091,$B109,'сентябрь 2024'!$J$4:$J$2091,AA$1)</f>
        <v>0</v>
      </c>
      <c r="AB109" s="80">
        <f>SUMIFS('сентябрь 2024'!$G$4:$G$2091,'сентябрь 2024'!$D$4:$D$2091,$B109,'сентябрь 2024'!$J$4:$J$2091,AB$1)</f>
        <v>0</v>
      </c>
      <c r="AC109" s="80">
        <f>SUMIFS('сентябрь 2024'!$G$4:$G$2091,'сентябрь 2024'!$D$4:$D$2091,$B109,'сентябрь 2024'!$J$4:$J$2091,AC$1)</f>
        <v>0</v>
      </c>
      <c r="AD109" s="80">
        <f>SUMIFS('сентябрь 2024'!$G$4:$G$2091,'сентябрь 2024'!$D$4:$D$2091,$B109,'сентябрь 2024'!$J$4:$J$2091,AD$1)</f>
        <v>0</v>
      </c>
      <c r="AE109" s="80">
        <f>SUMIFS('сентябрь 2024'!$G$4:$G$2091,'сентябрь 2024'!$D$4:$D$2091,$B109,'сентябрь 2024'!$J$4:$J$2091,AE$1)</f>
        <v>0</v>
      </c>
      <c r="AF109" s="80">
        <f>SUMIFS('сентябрь 2024'!$G$4:$G$2091,'сентябрь 2024'!$D$4:$D$2091,$B109,'сентябрь 2024'!$J$4:$J$2091,AF$1)</f>
        <v>0</v>
      </c>
      <c r="AG109" s="80">
        <f>SUMIFS('сентябрь 2024'!$G$4:$G$2091,'сентябрь 2024'!$D$4:$D$2091,$B109,'сентябрь 2024'!$J$4:$J$2091,AG$1)</f>
        <v>0</v>
      </c>
      <c r="AH109" s="80">
        <f>SUMIFS('сентябрь 2024'!$G$4:$G$2091,'сентябрь 2024'!$D$4:$D$2091,$B109,'сентябрь 2024'!$J$4:$J$2091,AH$1)</f>
        <v>0</v>
      </c>
      <c r="AI109" s="21">
        <f t="shared" si="1"/>
        <v>0</v>
      </c>
    </row>
    <row r="110" spans="2:35" ht="15" customHeight="1" x14ac:dyDescent="0.25">
      <c r="B110" s="93" t="s">
        <v>214</v>
      </c>
      <c r="C110" s="91">
        <v>185</v>
      </c>
      <c r="D110" s="80">
        <f>SUMIFS('сентябрь 2024'!$G$4:$G$2091,'сентябрь 2024'!$D$4:$D$2091,$B110,'сентябрь 2024'!$J$4:$J$2091,D$1)</f>
        <v>0</v>
      </c>
      <c r="E110" s="80">
        <f>SUMIFS('сентябрь 2024'!$G$4:$G$2091,'сентябрь 2024'!$D$4:$D$2091,$B110,'сентябрь 2024'!$J$4:$J$2091,E$1)</f>
        <v>0</v>
      </c>
      <c r="F110" s="80">
        <f>SUMIFS('сентябрь 2024'!$G$4:$G$2091,'сентябрь 2024'!$D$4:$D$2091,$B110,'сентябрь 2024'!$J$4:$J$2091,F$1)</f>
        <v>0</v>
      </c>
      <c r="G110" s="80">
        <f>SUMIFS('сентябрь 2024'!$G$4:$G$2091,'сентябрь 2024'!$D$4:$D$2091,$B110,'сентябрь 2024'!$J$4:$J$2091,G$1)</f>
        <v>0</v>
      </c>
      <c r="H110" s="80">
        <f>SUMIFS('сентябрь 2024'!$G$4:$G$2091,'сентябрь 2024'!$D$4:$D$2091,$B110,'сентябрь 2024'!$J$4:$J$2091,H$1)</f>
        <v>0</v>
      </c>
      <c r="I110" s="80">
        <f>SUMIFS('сентябрь 2024'!$G$4:$G$2091,'сентябрь 2024'!$D$4:$D$2091,$B110,'сентябрь 2024'!$J$4:$J$2091,I$1)</f>
        <v>0</v>
      </c>
      <c r="J110" s="80">
        <f>SUMIFS('сентябрь 2024'!$G$4:$G$2091,'сентябрь 2024'!$D$4:$D$2091,$B110,'сентябрь 2024'!$J$4:$J$2091,J$1)</f>
        <v>0</v>
      </c>
      <c r="K110" s="80">
        <f>SUMIFS('сентябрь 2024'!$G$4:$G$2091,'сентябрь 2024'!$D$4:$D$2091,$B110,'сентябрь 2024'!$J$4:$J$2091,K$1)</f>
        <v>0</v>
      </c>
      <c r="L110" s="80">
        <f>SUMIFS('сентябрь 2024'!$G$4:$G$2091,'сентябрь 2024'!$D$4:$D$2091,$B110,'сентябрь 2024'!$J$4:$J$2091,L$1)</f>
        <v>0</v>
      </c>
      <c r="M110" s="80">
        <f>SUMIFS('сентябрь 2024'!$G$4:$G$2091,'сентябрь 2024'!$D$4:$D$2091,$B110,'сентябрь 2024'!$J$4:$J$2091,M$1)</f>
        <v>0</v>
      </c>
      <c r="N110" s="80">
        <f>SUMIFS('сентябрь 2024'!$G$4:$G$2091,'сентябрь 2024'!$D$4:$D$2091,$B110,'сентябрь 2024'!$J$4:$J$2091,N$1)</f>
        <v>0</v>
      </c>
      <c r="O110" s="80">
        <f>SUMIFS('сентябрь 2024'!$G$4:$G$2091,'сентябрь 2024'!$D$4:$D$2091,$B110,'сентябрь 2024'!$J$4:$J$2091,O$1)</f>
        <v>0</v>
      </c>
      <c r="P110" s="80">
        <f>SUMIFS('сентябрь 2024'!$G$4:$G$2091,'сентябрь 2024'!$D$4:$D$2091,$B110,'сентябрь 2024'!$J$4:$J$2091,P$1)</f>
        <v>0</v>
      </c>
      <c r="Q110" s="80">
        <f>SUMIFS('сентябрь 2024'!$G$4:$G$2091,'сентябрь 2024'!$D$4:$D$2091,$B110,'сентябрь 2024'!$J$4:$J$2091,Q$1)</f>
        <v>0</v>
      </c>
      <c r="R110" s="80">
        <f>SUMIFS('сентябрь 2024'!$G$4:$G$2091,'сентябрь 2024'!$D$4:$D$2091,$B110,'сентябрь 2024'!$J$4:$J$2091,R$1)</f>
        <v>0</v>
      </c>
      <c r="S110" s="80">
        <f>SUMIFS('сентябрь 2024'!$G$4:$G$2091,'сентябрь 2024'!$D$4:$D$2091,$B110,'сентябрь 2024'!$J$4:$J$2091,S$1)</f>
        <v>0</v>
      </c>
      <c r="T110" s="80">
        <f>SUMIFS('сентябрь 2024'!$G$4:$G$2091,'сентябрь 2024'!$D$4:$D$2091,$B110,'сентябрь 2024'!$J$4:$J$2091,T$1)</f>
        <v>0</v>
      </c>
      <c r="U110" s="80">
        <f>SUMIFS('сентябрь 2024'!$G$4:$G$2091,'сентябрь 2024'!$D$4:$D$2091,$B110,'сентябрь 2024'!$J$4:$J$2091,U$1)</f>
        <v>0</v>
      </c>
      <c r="V110" s="80">
        <f>SUMIFS('сентябрь 2024'!$G$4:$G$2091,'сентябрь 2024'!$D$4:$D$2091,$B110,'сентябрь 2024'!$J$4:$J$2091,V$1)</f>
        <v>0</v>
      </c>
      <c r="W110" s="80">
        <f>SUMIFS('сентябрь 2024'!$G$4:$G$2091,'сентябрь 2024'!$D$4:$D$2091,$B110,'сентябрь 2024'!$J$4:$J$2091,W$1)</f>
        <v>0</v>
      </c>
      <c r="X110" s="80">
        <f>SUMIFS('сентябрь 2024'!$G$4:$G$2091,'сентябрь 2024'!$D$4:$D$2091,$B110,'сентябрь 2024'!$J$4:$J$2091,X$1)</f>
        <v>0</v>
      </c>
      <c r="Y110" s="80">
        <f>SUMIFS('сентябрь 2024'!$G$4:$G$2091,'сентябрь 2024'!$D$4:$D$2091,$B110,'сентябрь 2024'!$J$4:$J$2091,Y$1)</f>
        <v>0</v>
      </c>
      <c r="Z110" s="80">
        <f>SUMIFS('сентябрь 2024'!$G$4:$G$2091,'сентябрь 2024'!$D$4:$D$2091,$B110,'сентябрь 2024'!$J$4:$J$2091,Z$1)</f>
        <v>0</v>
      </c>
      <c r="AA110" s="80">
        <f>SUMIFS('сентябрь 2024'!$G$4:$G$2091,'сентябрь 2024'!$D$4:$D$2091,$B110,'сентябрь 2024'!$J$4:$J$2091,AA$1)</f>
        <v>0</v>
      </c>
      <c r="AB110" s="80">
        <f>SUMIFS('сентябрь 2024'!$G$4:$G$2091,'сентябрь 2024'!$D$4:$D$2091,$B110,'сентябрь 2024'!$J$4:$J$2091,AB$1)</f>
        <v>0</v>
      </c>
      <c r="AC110" s="80">
        <f>SUMIFS('сентябрь 2024'!$G$4:$G$2091,'сентябрь 2024'!$D$4:$D$2091,$B110,'сентябрь 2024'!$J$4:$J$2091,AC$1)</f>
        <v>0</v>
      </c>
      <c r="AD110" s="80">
        <f>SUMIFS('сентябрь 2024'!$G$4:$G$2091,'сентябрь 2024'!$D$4:$D$2091,$B110,'сентябрь 2024'!$J$4:$J$2091,AD$1)</f>
        <v>0</v>
      </c>
      <c r="AE110" s="80">
        <f>SUMIFS('сентябрь 2024'!$G$4:$G$2091,'сентябрь 2024'!$D$4:$D$2091,$B110,'сентябрь 2024'!$J$4:$J$2091,AE$1)</f>
        <v>0</v>
      </c>
      <c r="AF110" s="80">
        <f>SUMIFS('сентябрь 2024'!$G$4:$G$2091,'сентябрь 2024'!$D$4:$D$2091,$B110,'сентябрь 2024'!$J$4:$J$2091,AF$1)</f>
        <v>0</v>
      </c>
      <c r="AG110" s="80">
        <f>SUMIFS('сентябрь 2024'!$G$4:$G$2091,'сентябрь 2024'!$D$4:$D$2091,$B110,'сентябрь 2024'!$J$4:$J$2091,AG$1)</f>
        <v>0</v>
      </c>
      <c r="AH110" s="80">
        <f>SUMIFS('сентябрь 2024'!$G$4:$G$2091,'сентябрь 2024'!$D$4:$D$2091,$B110,'сентябрь 2024'!$J$4:$J$2091,AH$1)</f>
        <v>0</v>
      </c>
      <c r="AI110" s="21">
        <f t="shared" si="1"/>
        <v>0</v>
      </c>
    </row>
    <row r="111" spans="2:35" ht="15" customHeight="1" x14ac:dyDescent="0.25">
      <c r="B111" s="93" t="s">
        <v>1069</v>
      </c>
      <c r="C111" s="91">
        <v>175</v>
      </c>
      <c r="D111" s="80">
        <f>SUMIFS('сентябрь 2024'!$G$4:$G$2091,'сентябрь 2024'!$D$4:$D$2091,$B111,'сентябрь 2024'!$J$4:$J$2091,D$1)</f>
        <v>0</v>
      </c>
      <c r="E111" s="80">
        <f>SUMIFS('сентябрь 2024'!$G$4:$G$2091,'сентябрь 2024'!$D$4:$D$2091,$B111,'сентябрь 2024'!$J$4:$J$2091,E$1)</f>
        <v>0</v>
      </c>
      <c r="F111" s="80">
        <f>SUMIFS('сентябрь 2024'!$G$4:$G$2091,'сентябрь 2024'!$D$4:$D$2091,$B111,'сентябрь 2024'!$J$4:$J$2091,F$1)</f>
        <v>0</v>
      </c>
      <c r="G111" s="80">
        <f>SUMIFS('сентябрь 2024'!$G$4:$G$2091,'сентябрь 2024'!$D$4:$D$2091,$B111,'сентябрь 2024'!$J$4:$J$2091,G$1)</f>
        <v>0</v>
      </c>
      <c r="H111" s="80">
        <f>SUMIFS('сентябрь 2024'!$G$4:$G$2091,'сентябрь 2024'!$D$4:$D$2091,$B111,'сентябрь 2024'!$J$4:$J$2091,H$1)</f>
        <v>0</v>
      </c>
      <c r="I111" s="80">
        <f>SUMIFS('сентябрь 2024'!$G$4:$G$2091,'сентябрь 2024'!$D$4:$D$2091,$B111,'сентябрь 2024'!$J$4:$J$2091,I$1)</f>
        <v>0</v>
      </c>
      <c r="J111" s="80">
        <f>SUMIFS('сентябрь 2024'!$G$4:$G$2091,'сентябрь 2024'!$D$4:$D$2091,$B111,'сентябрь 2024'!$J$4:$J$2091,J$1)</f>
        <v>0</v>
      </c>
      <c r="K111" s="80">
        <f>SUMIFS('сентябрь 2024'!$G$4:$G$2091,'сентябрь 2024'!$D$4:$D$2091,$B111,'сентябрь 2024'!$J$4:$J$2091,K$1)</f>
        <v>0</v>
      </c>
      <c r="L111" s="80">
        <f>SUMIFS('сентябрь 2024'!$G$4:$G$2091,'сентябрь 2024'!$D$4:$D$2091,$B111,'сентябрь 2024'!$J$4:$J$2091,L$1)</f>
        <v>0</v>
      </c>
      <c r="M111" s="80">
        <f>SUMIFS('сентябрь 2024'!$G$4:$G$2091,'сентябрь 2024'!$D$4:$D$2091,$B111,'сентябрь 2024'!$J$4:$J$2091,M$1)</f>
        <v>0</v>
      </c>
      <c r="N111" s="80">
        <f>SUMIFS('сентябрь 2024'!$G$4:$G$2091,'сентябрь 2024'!$D$4:$D$2091,$B111,'сентябрь 2024'!$J$4:$J$2091,N$1)</f>
        <v>0</v>
      </c>
      <c r="O111" s="80">
        <f>SUMIFS('сентябрь 2024'!$G$4:$G$2091,'сентябрь 2024'!$D$4:$D$2091,$B111,'сентябрь 2024'!$J$4:$J$2091,O$1)</f>
        <v>0</v>
      </c>
      <c r="P111" s="80">
        <f>SUMIFS('сентябрь 2024'!$G$4:$G$2091,'сентябрь 2024'!$D$4:$D$2091,$B111,'сентябрь 2024'!$J$4:$J$2091,P$1)</f>
        <v>0</v>
      </c>
      <c r="Q111" s="80">
        <f>SUMIFS('сентябрь 2024'!$G$4:$G$2091,'сентябрь 2024'!$D$4:$D$2091,$B111,'сентябрь 2024'!$J$4:$J$2091,Q$1)</f>
        <v>0</v>
      </c>
      <c r="R111" s="80">
        <f>SUMIFS('сентябрь 2024'!$G$4:$G$2091,'сентябрь 2024'!$D$4:$D$2091,$B111,'сентябрь 2024'!$J$4:$J$2091,R$1)</f>
        <v>0</v>
      </c>
      <c r="S111" s="80">
        <f>SUMIFS('сентябрь 2024'!$G$4:$G$2091,'сентябрь 2024'!$D$4:$D$2091,$B111,'сентябрь 2024'!$J$4:$J$2091,S$1)</f>
        <v>0</v>
      </c>
      <c r="T111" s="80">
        <f>SUMIFS('сентябрь 2024'!$G$4:$G$2091,'сентябрь 2024'!$D$4:$D$2091,$B111,'сентябрь 2024'!$J$4:$J$2091,T$1)</f>
        <v>0</v>
      </c>
      <c r="U111" s="80">
        <f>SUMIFS('сентябрь 2024'!$G$4:$G$2091,'сентябрь 2024'!$D$4:$D$2091,$B111,'сентябрь 2024'!$J$4:$J$2091,U$1)</f>
        <v>0</v>
      </c>
      <c r="V111" s="80">
        <f>SUMIFS('сентябрь 2024'!$G$4:$G$2091,'сентябрь 2024'!$D$4:$D$2091,$B111,'сентябрь 2024'!$J$4:$J$2091,V$1)</f>
        <v>0</v>
      </c>
      <c r="W111" s="80">
        <f>SUMIFS('сентябрь 2024'!$G$4:$G$2091,'сентябрь 2024'!$D$4:$D$2091,$B111,'сентябрь 2024'!$J$4:$J$2091,W$1)</f>
        <v>0</v>
      </c>
      <c r="X111" s="80">
        <f>SUMIFS('сентябрь 2024'!$G$4:$G$2091,'сентябрь 2024'!$D$4:$D$2091,$B111,'сентябрь 2024'!$J$4:$J$2091,X$1)</f>
        <v>0</v>
      </c>
      <c r="Y111" s="80">
        <f>SUMIFS('сентябрь 2024'!$G$4:$G$2091,'сентябрь 2024'!$D$4:$D$2091,$B111,'сентябрь 2024'!$J$4:$J$2091,Y$1)</f>
        <v>0</v>
      </c>
      <c r="Z111" s="80">
        <f>SUMIFS('сентябрь 2024'!$G$4:$G$2091,'сентябрь 2024'!$D$4:$D$2091,$B111,'сентябрь 2024'!$J$4:$J$2091,Z$1)</f>
        <v>0</v>
      </c>
      <c r="AA111" s="80">
        <f>SUMIFS('сентябрь 2024'!$G$4:$G$2091,'сентябрь 2024'!$D$4:$D$2091,$B111,'сентябрь 2024'!$J$4:$J$2091,AA$1)</f>
        <v>0</v>
      </c>
      <c r="AB111" s="80">
        <f>SUMIFS('сентябрь 2024'!$G$4:$G$2091,'сентябрь 2024'!$D$4:$D$2091,$B111,'сентябрь 2024'!$J$4:$J$2091,AB$1)</f>
        <v>0</v>
      </c>
      <c r="AC111" s="80">
        <f>SUMIFS('сентябрь 2024'!$G$4:$G$2091,'сентябрь 2024'!$D$4:$D$2091,$B111,'сентябрь 2024'!$J$4:$J$2091,AC$1)</f>
        <v>0</v>
      </c>
      <c r="AD111" s="80">
        <f>SUMIFS('сентябрь 2024'!$G$4:$G$2091,'сентябрь 2024'!$D$4:$D$2091,$B111,'сентябрь 2024'!$J$4:$J$2091,AD$1)</f>
        <v>0</v>
      </c>
      <c r="AE111" s="80">
        <f>SUMIFS('сентябрь 2024'!$G$4:$G$2091,'сентябрь 2024'!$D$4:$D$2091,$B111,'сентябрь 2024'!$J$4:$J$2091,AE$1)</f>
        <v>0</v>
      </c>
      <c r="AF111" s="80">
        <f>SUMIFS('сентябрь 2024'!$G$4:$G$2091,'сентябрь 2024'!$D$4:$D$2091,$B111,'сентябрь 2024'!$J$4:$J$2091,AF$1)</f>
        <v>0</v>
      </c>
      <c r="AG111" s="80">
        <f>SUMIFS('сентябрь 2024'!$G$4:$G$2091,'сентябрь 2024'!$D$4:$D$2091,$B111,'сентябрь 2024'!$J$4:$J$2091,AG$1)</f>
        <v>0</v>
      </c>
      <c r="AH111" s="80">
        <f>SUMIFS('сентябрь 2024'!$G$4:$G$2091,'сентябрь 2024'!$D$4:$D$2091,$B111,'сентябрь 2024'!$J$4:$J$2091,AH$1)</f>
        <v>0</v>
      </c>
      <c r="AI111" s="21">
        <f t="shared" si="1"/>
        <v>0</v>
      </c>
    </row>
    <row r="112" spans="2:35" ht="15" customHeight="1" x14ac:dyDescent="0.25">
      <c r="B112" s="93" t="s">
        <v>1226</v>
      </c>
      <c r="C112" s="91">
        <v>200</v>
      </c>
      <c r="D112" s="80">
        <f>SUMIFS('сентябрь 2024'!$G$4:$G$2091,'сентябрь 2024'!$D$4:$D$2091,$B112,'сентябрь 2024'!$J$4:$J$2091,D$1)</f>
        <v>0</v>
      </c>
      <c r="E112" s="80">
        <f>SUMIFS('сентябрь 2024'!$G$4:$G$2091,'сентябрь 2024'!$D$4:$D$2091,$B112,'сентябрь 2024'!$J$4:$J$2091,E$1)</f>
        <v>0</v>
      </c>
      <c r="F112" s="80">
        <f>SUMIFS('сентябрь 2024'!$G$4:$G$2091,'сентябрь 2024'!$D$4:$D$2091,$B112,'сентябрь 2024'!$J$4:$J$2091,F$1)</f>
        <v>0</v>
      </c>
      <c r="G112" s="80">
        <f>SUMIFS('сентябрь 2024'!$G$4:$G$2091,'сентябрь 2024'!$D$4:$D$2091,$B112,'сентябрь 2024'!$J$4:$J$2091,G$1)</f>
        <v>0</v>
      </c>
      <c r="H112" s="80">
        <f>SUMIFS('сентябрь 2024'!$G$4:$G$2091,'сентябрь 2024'!$D$4:$D$2091,$B112,'сентябрь 2024'!$J$4:$J$2091,H$1)</f>
        <v>0</v>
      </c>
      <c r="I112" s="80">
        <f>SUMIFS('сентябрь 2024'!$G$4:$G$2091,'сентябрь 2024'!$D$4:$D$2091,$B112,'сентябрь 2024'!$J$4:$J$2091,I$1)</f>
        <v>0</v>
      </c>
      <c r="J112" s="80">
        <f>SUMIFS('сентябрь 2024'!$G$4:$G$2091,'сентябрь 2024'!$D$4:$D$2091,$B112,'сентябрь 2024'!$J$4:$J$2091,J$1)</f>
        <v>0</v>
      </c>
      <c r="K112" s="80">
        <f>SUMIFS('сентябрь 2024'!$G$4:$G$2091,'сентябрь 2024'!$D$4:$D$2091,$B112,'сентябрь 2024'!$J$4:$J$2091,K$1)</f>
        <v>0</v>
      </c>
      <c r="L112" s="80">
        <f>SUMIFS('сентябрь 2024'!$G$4:$G$2091,'сентябрь 2024'!$D$4:$D$2091,$B112,'сентябрь 2024'!$J$4:$J$2091,L$1)</f>
        <v>0</v>
      </c>
      <c r="M112" s="80">
        <f>SUMIFS('сентябрь 2024'!$G$4:$G$2091,'сентябрь 2024'!$D$4:$D$2091,$B112,'сентябрь 2024'!$J$4:$J$2091,M$1)</f>
        <v>0</v>
      </c>
      <c r="N112" s="80">
        <f>SUMIFS('сентябрь 2024'!$G$4:$G$2091,'сентябрь 2024'!$D$4:$D$2091,$B112,'сентябрь 2024'!$J$4:$J$2091,N$1)</f>
        <v>0</v>
      </c>
      <c r="O112" s="80">
        <f>SUMIFS('сентябрь 2024'!$G$4:$G$2091,'сентябрь 2024'!$D$4:$D$2091,$B112,'сентябрь 2024'!$J$4:$J$2091,O$1)</f>
        <v>0</v>
      </c>
      <c r="P112" s="80">
        <f>SUMIFS('сентябрь 2024'!$G$4:$G$2091,'сентябрь 2024'!$D$4:$D$2091,$B112,'сентябрь 2024'!$J$4:$J$2091,P$1)</f>
        <v>0</v>
      </c>
      <c r="Q112" s="80">
        <f>SUMIFS('сентябрь 2024'!$G$4:$G$2091,'сентябрь 2024'!$D$4:$D$2091,$B112,'сентябрь 2024'!$J$4:$J$2091,Q$1)</f>
        <v>0</v>
      </c>
      <c r="R112" s="80">
        <f>SUMIFS('сентябрь 2024'!$G$4:$G$2091,'сентябрь 2024'!$D$4:$D$2091,$B112,'сентябрь 2024'!$J$4:$J$2091,R$1)</f>
        <v>0</v>
      </c>
      <c r="S112" s="80">
        <f>SUMIFS('сентябрь 2024'!$G$4:$G$2091,'сентябрь 2024'!$D$4:$D$2091,$B112,'сентябрь 2024'!$J$4:$J$2091,S$1)</f>
        <v>0</v>
      </c>
      <c r="T112" s="80">
        <f>SUMIFS('сентябрь 2024'!$G$4:$G$2091,'сентябрь 2024'!$D$4:$D$2091,$B112,'сентябрь 2024'!$J$4:$J$2091,T$1)</f>
        <v>0</v>
      </c>
      <c r="U112" s="80">
        <f>SUMIFS('сентябрь 2024'!$G$4:$G$2091,'сентябрь 2024'!$D$4:$D$2091,$B112,'сентябрь 2024'!$J$4:$J$2091,U$1)</f>
        <v>0</v>
      </c>
      <c r="V112" s="80">
        <f>SUMIFS('сентябрь 2024'!$G$4:$G$2091,'сентябрь 2024'!$D$4:$D$2091,$B112,'сентябрь 2024'!$J$4:$J$2091,V$1)</f>
        <v>0</v>
      </c>
      <c r="W112" s="80">
        <f>SUMIFS('сентябрь 2024'!$G$4:$G$2091,'сентябрь 2024'!$D$4:$D$2091,$B112,'сентябрь 2024'!$J$4:$J$2091,W$1)</f>
        <v>0</v>
      </c>
      <c r="X112" s="80">
        <f>SUMIFS('сентябрь 2024'!$G$4:$G$2091,'сентябрь 2024'!$D$4:$D$2091,$B112,'сентябрь 2024'!$J$4:$J$2091,X$1)</f>
        <v>0</v>
      </c>
      <c r="Y112" s="80">
        <f>SUMIFS('сентябрь 2024'!$G$4:$G$2091,'сентябрь 2024'!$D$4:$D$2091,$B112,'сентябрь 2024'!$J$4:$J$2091,Y$1)</f>
        <v>0</v>
      </c>
      <c r="Z112" s="80">
        <f>SUMIFS('сентябрь 2024'!$G$4:$G$2091,'сентябрь 2024'!$D$4:$D$2091,$B112,'сентябрь 2024'!$J$4:$J$2091,Z$1)</f>
        <v>0</v>
      </c>
      <c r="AA112" s="80">
        <f>SUMIFS('сентябрь 2024'!$G$4:$G$2091,'сентябрь 2024'!$D$4:$D$2091,$B112,'сентябрь 2024'!$J$4:$J$2091,AA$1)</f>
        <v>0</v>
      </c>
      <c r="AB112" s="80">
        <f>SUMIFS('сентябрь 2024'!$G$4:$G$2091,'сентябрь 2024'!$D$4:$D$2091,$B112,'сентябрь 2024'!$J$4:$J$2091,AB$1)</f>
        <v>0</v>
      </c>
      <c r="AC112" s="80">
        <f>SUMIFS('сентябрь 2024'!$G$4:$G$2091,'сентябрь 2024'!$D$4:$D$2091,$B112,'сентябрь 2024'!$J$4:$J$2091,AC$1)</f>
        <v>0</v>
      </c>
      <c r="AD112" s="80">
        <f>SUMIFS('сентябрь 2024'!$G$4:$G$2091,'сентябрь 2024'!$D$4:$D$2091,$B112,'сентябрь 2024'!$J$4:$J$2091,AD$1)</f>
        <v>0</v>
      </c>
      <c r="AE112" s="80">
        <f>SUMIFS('сентябрь 2024'!$G$4:$G$2091,'сентябрь 2024'!$D$4:$D$2091,$B112,'сентябрь 2024'!$J$4:$J$2091,AE$1)</f>
        <v>0</v>
      </c>
      <c r="AF112" s="80">
        <f>SUMIFS('сентябрь 2024'!$G$4:$G$2091,'сентябрь 2024'!$D$4:$D$2091,$B112,'сентябрь 2024'!$J$4:$J$2091,AF$1)</f>
        <v>0</v>
      </c>
      <c r="AG112" s="80">
        <f>SUMIFS('сентябрь 2024'!$G$4:$G$2091,'сентябрь 2024'!$D$4:$D$2091,$B112,'сентябрь 2024'!$J$4:$J$2091,AG$1)</f>
        <v>0</v>
      </c>
      <c r="AH112" s="80">
        <f>SUMIFS('сентябрь 2024'!$G$4:$G$2091,'сентябрь 2024'!$D$4:$D$2091,$B112,'сентябрь 2024'!$J$4:$J$2091,AH$1)</f>
        <v>0</v>
      </c>
      <c r="AI112" s="21">
        <f t="shared" si="1"/>
        <v>0</v>
      </c>
    </row>
    <row r="113" spans="2:35" ht="15" customHeight="1" x14ac:dyDescent="0.25">
      <c r="B113" s="93" t="s">
        <v>329</v>
      </c>
      <c r="C113" s="91">
        <v>180</v>
      </c>
      <c r="D113" s="80">
        <f>SUMIFS('сентябрь 2024'!$G$4:$G$2091,'сентябрь 2024'!$D$4:$D$2091,$B113,'сентябрь 2024'!$J$4:$J$2091,D$1)</f>
        <v>0</v>
      </c>
      <c r="E113" s="80">
        <f>SUMIFS('сентябрь 2024'!$G$4:$G$2091,'сентябрь 2024'!$D$4:$D$2091,$B113,'сентябрь 2024'!$J$4:$J$2091,E$1)</f>
        <v>0</v>
      </c>
      <c r="F113" s="80">
        <f>SUMIFS('сентябрь 2024'!$G$4:$G$2091,'сентябрь 2024'!$D$4:$D$2091,$B113,'сентябрь 2024'!$J$4:$J$2091,F$1)</f>
        <v>0</v>
      </c>
      <c r="G113" s="80">
        <f>SUMIFS('сентябрь 2024'!$G$4:$G$2091,'сентябрь 2024'!$D$4:$D$2091,$B113,'сентябрь 2024'!$J$4:$J$2091,G$1)</f>
        <v>0</v>
      </c>
      <c r="H113" s="80">
        <f>SUMIFS('сентябрь 2024'!$G$4:$G$2091,'сентябрь 2024'!$D$4:$D$2091,$B113,'сентябрь 2024'!$J$4:$J$2091,H$1)</f>
        <v>0</v>
      </c>
      <c r="I113" s="80">
        <f>SUMIFS('сентябрь 2024'!$G$4:$G$2091,'сентябрь 2024'!$D$4:$D$2091,$B113,'сентябрь 2024'!$J$4:$J$2091,I$1)</f>
        <v>0</v>
      </c>
      <c r="J113" s="80">
        <f>SUMIFS('сентябрь 2024'!$G$4:$G$2091,'сентябрь 2024'!$D$4:$D$2091,$B113,'сентябрь 2024'!$J$4:$J$2091,J$1)</f>
        <v>0</v>
      </c>
      <c r="K113" s="80">
        <f>SUMIFS('сентябрь 2024'!$G$4:$G$2091,'сентябрь 2024'!$D$4:$D$2091,$B113,'сентябрь 2024'!$J$4:$J$2091,K$1)</f>
        <v>0</v>
      </c>
      <c r="L113" s="80">
        <f>SUMIFS('сентябрь 2024'!$G$4:$G$2091,'сентябрь 2024'!$D$4:$D$2091,$B113,'сентябрь 2024'!$J$4:$J$2091,L$1)</f>
        <v>0</v>
      </c>
      <c r="M113" s="80">
        <f>SUMIFS('сентябрь 2024'!$G$4:$G$2091,'сентябрь 2024'!$D$4:$D$2091,$B113,'сентябрь 2024'!$J$4:$J$2091,M$1)</f>
        <v>0</v>
      </c>
      <c r="N113" s="80">
        <f>SUMIFS('сентябрь 2024'!$G$4:$G$2091,'сентябрь 2024'!$D$4:$D$2091,$B113,'сентябрь 2024'!$J$4:$J$2091,N$1)</f>
        <v>0</v>
      </c>
      <c r="O113" s="80">
        <f>SUMIFS('сентябрь 2024'!$G$4:$G$2091,'сентябрь 2024'!$D$4:$D$2091,$B113,'сентябрь 2024'!$J$4:$J$2091,O$1)</f>
        <v>0</v>
      </c>
      <c r="P113" s="80">
        <f>SUMIFS('сентябрь 2024'!$G$4:$G$2091,'сентябрь 2024'!$D$4:$D$2091,$B113,'сентябрь 2024'!$J$4:$J$2091,P$1)</f>
        <v>0</v>
      </c>
      <c r="Q113" s="80">
        <f>SUMIFS('сентябрь 2024'!$G$4:$G$2091,'сентябрь 2024'!$D$4:$D$2091,$B113,'сентябрь 2024'!$J$4:$J$2091,Q$1)</f>
        <v>0</v>
      </c>
      <c r="R113" s="80">
        <f>SUMIFS('сентябрь 2024'!$G$4:$G$2091,'сентябрь 2024'!$D$4:$D$2091,$B113,'сентябрь 2024'!$J$4:$J$2091,R$1)</f>
        <v>0</v>
      </c>
      <c r="S113" s="80">
        <f>SUMIFS('сентябрь 2024'!$G$4:$G$2091,'сентябрь 2024'!$D$4:$D$2091,$B113,'сентябрь 2024'!$J$4:$J$2091,S$1)</f>
        <v>0</v>
      </c>
      <c r="T113" s="80">
        <f>SUMIFS('сентябрь 2024'!$G$4:$G$2091,'сентябрь 2024'!$D$4:$D$2091,$B113,'сентябрь 2024'!$J$4:$J$2091,T$1)</f>
        <v>0</v>
      </c>
      <c r="U113" s="80">
        <f>SUMIFS('сентябрь 2024'!$G$4:$G$2091,'сентябрь 2024'!$D$4:$D$2091,$B113,'сентябрь 2024'!$J$4:$J$2091,U$1)</f>
        <v>0</v>
      </c>
      <c r="V113" s="80">
        <f>SUMIFS('сентябрь 2024'!$G$4:$G$2091,'сентябрь 2024'!$D$4:$D$2091,$B113,'сентябрь 2024'!$J$4:$J$2091,V$1)</f>
        <v>0</v>
      </c>
      <c r="W113" s="80">
        <f>SUMIFS('сентябрь 2024'!$G$4:$G$2091,'сентябрь 2024'!$D$4:$D$2091,$B113,'сентябрь 2024'!$J$4:$J$2091,W$1)</f>
        <v>0</v>
      </c>
      <c r="X113" s="80">
        <f>SUMIFS('сентябрь 2024'!$G$4:$G$2091,'сентябрь 2024'!$D$4:$D$2091,$B113,'сентябрь 2024'!$J$4:$J$2091,X$1)</f>
        <v>0</v>
      </c>
      <c r="Y113" s="80">
        <f>SUMIFS('сентябрь 2024'!$G$4:$G$2091,'сентябрь 2024'!$D$4:$D$2091,$B113,'сентябрь 2024'!$J$4:$J$2091,Y$1)</f>
        <v>0</v>
      </c>
      <c r="Z113" s="80">
        <f>SUMIFS('сентябрь 2024'!$G$4:$G$2091,'сентябрь 2024'!$D$4:$D$2091,$B113,'сентябрь 2024'!$J$4:$J$2091,Z$1)</f>
        <v>0</v>
      </c>
      <c r="AA113" s="80">
        <f>SUMIFS('сентябрь 2024'!$G$4:$G$2091,'сентябрь 2024'!$D$4:$D$2091,$B113,'сентябрь 2024'!$J$4:$J$2091,AA$1)</f>
        <v>0</v>
      </c>
      <c r="AB113" s="80">
        <f>SUMIFS('сентябрь 2024'!$G$4:$G$2091,'сентябрь 2024'!$D$4:$D$2091,$B113,'сентябрь 2024'!$J$4:$J$2091,AB$1)</f>
        <v>0</v>
      </c>
      <c r="AC113" s="80">
        <f>SUMIFS('сентябрь 2024'!$G$4:$G$2091,'сентябрь 2024'!$D$4:$D$2091,$B113,'сентябрь 2024'!$J$4:$J$2091,AC$1)</f>
        <v>0</v>
      </c>
      <c r="AD113" s="80">
        <f>SUMIFS('сентябрь 2024'!$G$4:$G$2091,'сентябрь 2024'!$D$4:$D$2091,$B113,'сентябрь 2024'!$J$4:$J$2091,AD$1)</f>
        <v>0</v>
      </c>
      <c r="AE113" s="80">
        <f>SUMIFS('сентябрь 2024'!$G$4:$G$2091,'сентябрь 2024'!$D$4:$D$2091,$B113,'сентябрь 2024'!$J$4:$J$2091,AE$1)</f>
        <v>0</v>
      </c>
      <c r="AF113" s="80">
        <f>SUMIFS('сентябрь 2024'!$G$4:$G$2091,'сентябрь 2024'!$D$4:$D$2091,$B113,'сентябрь 2024'!$J$4:$J$2091,AF$1)</f>
        <v>0</v>
      </c>
      <c r="AG113" s="80">
        <f>SUMIFS('сентябрь 2024'!$G$4:$G$2091,'сентябрь 2024'!$D$4:$D$2091,$B113,'сентябрь 2024'!$J$4:$J$2091,AG$1)</f>
        <v>0</v>
      </c>
      <c r="AH113" s="80">
        <f>SUMIFS('сентябрь 2024'!$G$4:$G$2091,'сентябрь 2024'!$D$4:$D$2091,$B113,'сентябрь 2024'!$J$4:$J$2091,AH$1)</f>
        <v>0</v>
      </c>
      <c r="AI113" s="21">
        <f t="shared" si="1"/>
        <v>0</v>
      </c>
    </row>
    <row r="114" spans="2:35" ht="15" customHeight="1" x14ac:dyDescent="0.25">
      <c r="B114" s="93" t="s">
        <v>1778</v>
      </c>
      <c r="C114" s="91">
        <v>200</v>
      </c>
      <c r="D114" s="80">
        <f>SUMIFS('сентябрь 2024'!$G$4:$G$2091,'сентябрь 2024'!$D$4:$D$2091,$B114,'сентябрь 2024'!$J$4:$J$2091,D$1)</f>
        <v>0</v>
      </c>
      <c r="E114" s="80">
        <f>SUMIFS('сентябрь 2024'!$G$4:$G$2091,'сентябрь 2024'!$D$4:$D$2091,$B114,'сентябрь 2024'!$J$4:$J$2091,E$1)</f>
        <v>0</v>
      </c>
      <c r="F114" s="80">
        <f>SUMIFS('сентябрь 2024'!$G$4:$G$2091,'сентябрь 2024'!$D$4:$D$2091,$B114,'сентябрь 2024'!$J$4:$J$2091,F$1)</f>
        <v>0</v>
      </c>
      <c r="G114" s="80">
        <f>SUMIFS('сентябрь 2024'!$G$4:$G$2091,'сентябрь 2024'!$D$4:$D$2091,$B114,'сентябрь 2024'!$J$4:$J$2091,G$1)</f>
        <v>0</v>
      </c>
      <c r="H114" s="80">
        <f>SUMIFS('сентябрь 2024'!$G$4:$G$2091,'сентябрь 2024'!$D$4:$D$2091,$B114,'сентябрь 2024'!$J$4:$J$2091,H$1)</f>
        <v>0</v>
      </c>
      <c r="I114" s="80">
        <f>SUMIFS('сентябрь 2024'!$G$4:$G$2091,'сентябрь 2024'!$D$4:$D$2091,$B114,'сентябрь 2024'!$J$4:$J$2091,I$1)</f>
        <v>0</v>
      </c>
      <c r="J114" s="80">
        <f>SUMIFS('сентябрь 2024'!$G$4:$G$2091,'сентябрь 2024'!$D$4:$D$2091,$B114,'сентябрь 2024'!$J$4:$J$2091,J$1)</f>
        <v>0</v>
      </c>
      <c r="K114" s="80">
        <f>SUMIFS('сентябрь 2024'!$G$4:$G$2091,'сентябрь 2024'!$D$4:$D$2091,$B114,'сентябрь 2024'!$J$4:$J$2091,K$1)</f>
        <v>0</v>
      </c>
      <c r="L114" s="80">
        <f>SUMIFS('сентябрь 2024'!$G$4:$G$2091,'сентябрь 2024'!$D$4:$D$2091,$B114,'сентябрь 2024'!$J$4:$J$2091,L$1)</f>
        <v>0</v>
      </c>
      <c r="M114" s="80">
        <f>SUMIFS('сентябрь 2024'!$G$4:$G$2091,'сентябрь 2024'!$D$4:$D$2091,$B114,'сентябрь 2024'!$J$4:$J$2091,M$1)</f>
        <v>0</v>
      </c>
      <c r="N114" s="80">
        <f>SUMIFS('сентябрь 2024'!$G$4:$G$2091,'сентябрь 2024'!$D$4:$D$2091,$B114,'сентябрь 2024'!$J$4:$J$2091,N$1)</f>
        <v>0</v>
      </c>
      <c r="O114" s="80">
        <f>SUMIFS('сентябрь 2024'!$G$4:$G$2091,'сентябрь 2024'!$D$4:$D$2091,$B114,'сентябрь 2024'!$J$4:$J$2091,O$1)</f>
        <v>0</v>
      </c>
      <c r="P114" s="80">
        <f>SUMIFS('сентябрь 2024'!$G$4:$G$2091,'сентябрь 2024'!$D$4:$D$2091,$B114,'сентябрь 2024'!$J$4:$J$2091,P$1)</f>
        <v>0</v>
      </c>
      <c r="Q114" s="80">
        <f>SUMIFS('сентябрь 2024'!$G$4:$G$2091,'сентябрь 2024'!$D$4:$D$2091,$B114,'сентябрь 2024'!$J$4:$J$2091,Q$1)</f>
        <v>0</v>
      </c>
      <c r="R114" s="80">
        <f>SUMIFS('сентябрь 2024'!$G$4:$G$2091,'сентябрь 2024'!$D$4:$D$2091,$B114,'сентябрь 2024'!$J$4:$J$2091,R$1)</f>
        <v>0</v>
      </c>
      <c r="S114" s="80">
        <f>SUMIFS('сентябрь 2024'!$G$4:$G$2091,'сентябрь 2024'!$D$4:$D$2091,$B114,'сентябрь 2024'!$J$4:$J$2091,S$1)</f>
        <v>0</v>
      </c>
      <c r="T114" s="80">
        <f>SUMIFS('сентябрь 2024'!$G$4:$G$2091,'сентябрь 2024'!$D$4:$D$2091,$B114,'сентябрь 2024'!$J$4:$J$2091,T$1)</f>
        <v>0</v>
      </c>
      <c r="U114" s="80">
        <f>SUMIFS('сентябрь 2024'!$G$4:$G$2091,'сентябрь 2024'!$D$4:$D$2091,$B114,'сентябрь 2024'!$J$4:$J$2091,U$1)</f>
        <v>0</v>
      </c>
      <c r="V114" s="80">
        <f>SUMIFS('сентябрь 2024'!$G$4:$G$2091,'сентябрь 2024'!$D$4:$D$2091,$B114,'сентябрь 2024'!$J$4:$J$2091,V$1)</f>
        <v>0</v>
      </c>
      <c r="W114" s="80">
        <f>SUMIFS('сентябрь 2024'!$G$4:$G$2091,'сентябрь 2024'!$D$4:$D$2091,$B114,'сентябрь 2024'!$J$4:$J$2091,W$1)</f>
        <v>0</v>
      </c>
      <c r="X114" s="80">
        <f>SUMIFS('сентябрь 2024'!$G$4:$G$2091,'сентябрь 2024'!$D$4:$D$2091,$B114,'сентябрь 2024'!$J$4:$J$2091,X$1)</f>
        <v>0</v>
      </c>
      <c r="Y114" s="80">
        <f>SUMIFS('сентябрь 2024'!$G$4:$G$2091,'сентябрь 2024'!$D$4:$D$2091,$B114,'сентябрь 2024'!$J$4:$J$2091,Y$1)</f>
        <v>0</v>
      </c>
      <c r="Z114" s="80">
        <f>SUMIFS('сентябрь 2024'!$G$4:$G$2091,'сентябрь 2024'!$D$4:$D$2091,$B114,'сентябрь 2024'!$J$4:$J$2091,Z$1)</f>
        <v>0</v>
      </c>
      <c r="AA114" s="80">
        <f>SUMIFS('сентябрь 2024'!$G$4:$G$2091,'сентябрь 2024'!$D$4:$D$2091,$B114,'сентябрь 2024'!$J$4:$J$2091,AA$1)</f>
        <v>0</v>
      </c>
      <c r="AB114" s="80">
        <f>SUMIFS('сентябрь 2024'!$G$4:$G$2091,'сентябрь 2024'!$D$4:$D$2091,$B114,'сентябрь 2024'!$J$4:$J$2091,AB$1)</f>
        <v>0</v>
      </c>
      <c r="AC114" s="80">
        <f>SUMIFS('сентябрь 2024'!$G$4:$G$2091,'сентябрь 2024'!$D$4:$D$2091,$B114,'сентябрь 2024'!$J$4:$J$2091,AC$1)</f>
        <v>4</v>
      </c>
      <c r="AD114" s="80">
        <f>SUMIFS('сентябрь 2024'!$G$4:$G$2091,'сентябрь 2024'!$D$4:$D$2091,$B114,'сентябрь 2024'!$J$4:$J$2091,AD$1)</f>
        <v>0</v>
      </c>
      <c r="AE114" s="80">
        <f>SUMIFS('сентябрь 2024'!$G$4:$G$2091,'сентябрь 2024'!$D$4:$D$2091,$B114,'сентябрь 2024'!$J$4:$J$2091,AE$1)</f>
        <v>0</v>
      </c>
      <c r="AF114" s="80">
        <f>SUMIFS('сентябрь 2024'!$G$4:$G$2091,'сентябрь 2024'!$D$4:$D$2091,$B114,'сентябрь 2024'!$J$4:$J$2091,AF$1)</f>
        <v>0</v>
      </c>
      <c r="AG114" s="80">
        <f>SUMIFS('сентябрь 2024'!$G$4:$G$2091,'сентябрь 2024'!$D$4:$D$2091,$B114,'сентябрь 2024'!$J$4:$J$2091,AG$1)</f>
        <v>0</v>
      </c>
      <c r="AH114" s="80">
        <f>SUMIFS('сентябрь 2024'!$G$4:$G$2091,'сентябрь 2024'!$D$4:$D$2091,$B114,'сентябрь 2024'!$J$4:$J$2091,AH$1)</f>
        <v>0</v>
      </c>
      <c r="AI114" s="21">
        <f t="shared" ref="AI114" si="2">SUM(D114:AH114)</f>
        <v>4</v>
      </c>
    </row>
    <row r="115" spans="2:35" ht="15" customHeight="1" x14ac:dyDescent="0.25">
      <c r="B115" s="93" t="s">
        <v>344</v>
      </c>
      <c r="C115" s="91">
        <v>185</v>
      </c>
      <c r="D115" s="80">
        <f>SUMIFS('сентябрь 2024'!$G$4:$G$2091,'сентябрь 2024'!$D$4:$D$2091,$B115,'сентябрь 2024'!$J$4:$J$2091,D$1)</f>
        <v>0</v>
      </c>
      <c r="E115" s="80">
        <f>SUMIFS('сентябрь 2024'!$G$4:$G$2091,'сентябрь 2024'!$D$4:$D$2091,$B115,'сентябрь 2024'!$J$4:$J$2091,E$1)</f>
        <v>0</v>
      </c>
      <c r="F115" s="80">
        <f>SUMIFS('сентябрь 2024'!$G$4:$G$2091,'сентябрь 2024'!$D$4:$D$2091,$B115,'сентябрь 2024'!$J$4:$J$2091,F$1)</f>
        <v>0</v>
      </c>
      <c r="G115" s="80">
        <f>SUMIFS('сентябрь 2024'!$G$4:$G$2091,'сентябрь 2024'!$D$4:$D$2091,$B115,'сентябрь 2024'!$J$4:$J$2091,G$1)</f>
        <v>0</v>
      </c>
      <c r="H115" s="80">
        <f>SUMIFS('сентябрь 2024'!$G$4:$G$2091,'сентябрь 2024'!$D$4:$D$2091,$B115,'сентябрь 2024'!$J$4:$J$2091,H$1)</f>
        <v>0</v>
      </c>
      <c r="I115" s="80">
        <f>SUMIFS('сентябрь 2024'!$G$4:$G$2091,'сентябрь 2024'!$D$4:$D$2091,$B115,'сентябрь 2024'!$J$4:$J$2091,I$1)</f>
        <v>0</v>
      </c>
      <c r="J115" s="80">
        <f>SUMIFS('сентябрь 2024'!$G$4:$G$2091,'сентябрь 2024'!$D$4:$D$2091,$B115,'сентябрь 2024'!$J$4:$J$2091,J$1)</f>
        <v>0</v>
      </c>
      <c r="K115" s="80">
        <f>SUMIFS('сентябрь 2024'!$G$4:$G$2091,'сентябрь 2024'!$D$4:$D$2091,$B115,'сентябрь 2024'!$J$4:$J$2091,K$1)</f>
        <v>0</v>
      </c>
      <c r="L115" s="80">
        <f>SUMIFS('сентябрь 2024'!$G$4:$G$2091,'сентябрь 2024'!$D$4:$D$2091,$B115,'сентябрь 2024'!$J$4:$J$2091,L$1)</f>
        <v>0</v>
      </c>
      <c r="M115" s="80">
        <f>SUMIFS('сентябрь 2024'!$G$4:$G$2091,'сентябрь 2024'!$D$4:$D$2091,$B115,'сентябрь 2024'!$J$4:$J$2091,M$1)</f>
        <v>0</v>
      </c>
      <c r="N115" s="80">
        <f>SUMIFS('сентябрь 2024'!$G$4:$G$2091,'сентябрь 2024'!$D$4:$D$2091,$B115,'сентябрь 2024'!$J$4:$J$2091,N$1)</f>
        <v>0</v>
      </c>
      <c r="O115" s="80">
        <f>SUMIFS('сентябрь 2024'!$G$4:$G$2091,'сентябрь 2024'!$D$4:$D$2091,$B115,'сентябрь 2024'!$J$4:$J$2091,O$1)</f>
        <v>0</v>
      </c>
      <c r="P115" s="80">
        <f>SUMIFS('сентябрь 2024'!$G$4:$G$2091,'сентябрь 2024'!$D$4:$D$2091,$B115,'сентябрь 2024'!$J$4:$J$2091,P$1)</f>
        <v>0</v>
      </c>
      <c r="Q115" s="80">
        <f>SUMIFS('сентябрь 2024'!$G$4:$G$2091,'сентябрь 2024'!$D$4:$D$2091,$B115,'сентябрь 2024'!$J$4:$J$2091,Q$1)</f>
        <v>0</v>
      </c>
      <c r="R115" s="80">
        <f>SUMIFS('сентябрь 2024'!$G$4:$G$2091,'сентябрь 2024'!$D$4:$D$2091,$B115,'сентябрь 2024'!$J$4:$J$2091,R$1)</f>
        <v>0</v>
      </c>
      <c r="S115" s="80">
        <f>SUMIFS('сентябрь 2024'!$G$4:$G$2091,'сентябрь 2024'!$D$4:$D$2091,$B115,'сентябрь 2024'!$J$4:$J$2091,S$1)</f>
        <v>0</v>
      </c>
      <c r="T115" s="80">
        <f>SUMIFS('сентябрь 2024'!$G$4:$G$2091,'сентябрь 2024'!$D$4:$D$2091,$B115,'сентябрь 2024'!$J$4:$J$2091,T$1)</f>
        <v>0</v>
      </c>
      <c r="U115" s="80">
        <f>SUMIFS('сентябрь 2024'!$G$4:$G$2091,'сентябрь 2024'!$D$4:$D$2091,$B115,'сентябрь 2024'!$J$4:$J$2091,U$1)</f>
        <v>0</v>
      </c>
      <c r="V115" s="80">
        <f>SUMIFS('сентябрь 2024'!$G$4:$G$2091,'сентябрь 2024'!$D$4:$D$2091,$B115,'сентябрь 2024'!$J$4:$J$2091,V$1)</f>
        <v>0</v>
      </c>
      <c r="W115" s="80">
        <f>SUMIFS('сентябрь 2024'!$G$4:$G$2091,'сентябрь 2024'!$D$4:$D$2091,$B115,'сентябрь 2024'!$J$4:$J$2091,W$1)</f>
        <v>0</v>
      </c>
      <c r="X115" s="80">
        <f>SUMIFS('сентябрь 2024'!$G$4:$G$2091,'сентябрь 2024'!$D$4:$D$2091,$B115,'сентябрь 2024'!$J$4:$J$2091,X$1)</f>
        <v>0</v>
      </c>
      <c r="Y115" s="80">
        <f>SUMIFS('сентябрь 2024'!$G$4:$G$2091,'сентябрь 2024'!$D$4:$D$2091,$B115,'сентябрь 2024'!$J$4:$J$2091,Y$1)</f>
        <v>0</v>
      </c>
      <c r="Z115" s="80">
        <f>SUMIFS('сентябрь 2024'!$G$4:$G$2091,'сентябрь 2024'!$D$4:$D$2091,$B115,'сентябрь 2024'!$J$4:$J$2091,Z$1)</f>
        <v>0</v>
      </c>
      <c r="AA115" s="80">
        <f>SUMIFS('сентябрь 2024'!$G$4:$G$2091,'сентябрь 2024'!$D$4:$D$2091,$B115,'сентябрь 2024'!$J$4:$J$2091,AA$1)</f>
        <v>0</v>
      </c>
      <c r="AB115" s="80">
        <f>SUMIFS('сентябрь 2024'!$G$4:$G$2091,'сентябрь 2024'!$D$4:$D$2091,$B115,'сентябрь 2024'!$J$4:$J$2091,AB$1)</f>
        <v>0</v>
      </c>
      <c r="AC115" s="80">
        <f>SUMIFS('сентябрь 2024'!$G$4:$G$2091,'сентябрь 2024'!$D$4:$D$2091,$B115,'сентябрь 2024'!$J$4:$J$2091,AC$1)</f>
        <v>0</v>
      </c>
      <c r="AD115" s="80">
        <f>SUMIFS('сентябрь 2024'!$G$4:$G$2091,'сентябрь 2024'!$D$4:$D$2091,$B115,'сентябрь 2024'!$J$4:$J$2091,AD$1)</f>
        <v>0</v>
      </c>
      <c r="AE115" s="80">
        <f>SUMIFS('сентябрь 2024'!$G$4:$G$2091,'сентябрь 2024'!$D$4:$D$2091,$B115,'сентябрь 2024'!$J$4:$J$2091,AE$1)</f>
        <v>0</v>
      </c>
      <c r="AF115" s="80">
        <f>SUMIFS('сентябрь 2024'!$G$4:$G$2091,'сентябрь 2024'!$D$4:$D$2091,$B115,'сентябрь 2024'!$J$4:$J$2091,AF$1)</f>
        <v>0</v>
      </c>
      <c r="AG115" s="80">
        <f>SUMIFS('сентябрь 2024'!$G$4:$G$2091,'сентябрь 2024'!$D$4:$D$2091,$B115,'сентябрь 2024'!$J$4:$J$2091,AG$1)</f>
        <v>0</v>
      </c>
      <c r="AH115" s="80">
        <f>SUMIFS('сентябрь 2024'!$G$4:$G$2091,'сентябрь 2024'!$D$4:$D$2091,$B115,'сентябрь 2024'!$J$4:$J$2091,AH$1)</f>
        <v>0</v>
      </c>
      <c r="AI115" s="21">
        <f t="shared" si="1"/>
        <v>0</v>
      </c>
    </row>
    <row r="116" spans="2:35" ht="15" customHeight="1" x14ac:dyDescent="0.25">
      <c r="B116" s="93" t="s">
        <v>400</v>
      </c>
      <c r="C116" s="91">
        <v>185</v>
      </c>
      <c r="D116" s="80">
        <f>SUMIFS('сентябрь 2024'!$G$4:$G$2091,'сентябрь 2024'!$D$4:$D$2091,$B116,'сентябрь 2024'!$J$4:$J$2091,D$1)</f>
        <v>0</v>
      </c>
      <c r="E116" s="80">
        <f>SUMIFS('сентябрь 2024'!$G$4:$G$2091,'сентябрь 2024'!$D$4:$D$2091,$B116,'сентябрь 2024'!$J$4:$J$2091,E$1)</f>
        <v>0</v>
      </c>
      <c r="F116" s="80">
        <f>SUMIFS('сентябрь 2024'!$G$4:$G$2091,'сентябрь 2024'!$D$4:$D$2091,$B116,'сентябрь 2024'!$J$4:$J$2091,F$1)</f>
        <v>0</v>
      </c>
      <c r="G116" s="80">
        <f>SUMIFS('сентябрь 2024'!$G$4:$G$2091,'сентябрь 2024'!$D$4:$D$2091,$B116,'сентябрь 2024'!$J$4:$J$2091,G$1)</f>
        <v>0</v>
      </c>
      <c r="H116" s="80">
        <f>SUMIFS('сентябрь 2024'!$G$4:$G$2091,'сентябрь 2024'!$D$4:$D$2091,$B116,'сентябрь 2024'!$J$4:$J$2091,H$1)</f>
        <v>0</v>
      </c>
      <c r="I116" s="80">
        <f>SUMIFS('сентябрь 2024'!$G$4:$G$2091,'сентябрь 2024'!$D$4:$D$2091,$B116,'сентябрь 2024'!$J$4:$J$2091,I$1)</f>
        <v>0</v>
      </c>
      <c r="J116" s="80">
        <f>SUMIFS('сентябрь 2024'!$G$4:$G$2091,'сентябрь 2024'!$D$4:$D$2091,$B116,'сентябрь 2024'!$J$4:$J$2091,J$1)</f>
        <v>0</v>
      </c>
      <c r="K116" s="80">
        <f>SUMIFS('сентябрь 2024'!$G$4:$G$2091,'сентябрь 2024'!$D$4:$D$2091,$B116,'сентябрь 2024'!$J$4:$J$2091,K$1)</f>
        <v>0</v>
      </c>
      <c r="L116" s="80">
        <f>SUMIFS('сентябрь 2024'!$G$4:$G$2091,'сентябрь 2024'!$D$4:$D$2091,$B116,'сентябрь 2024'!$J$4:$J$2091,L$1)</f>
        <v>0</v>
      </c>
      <c r="M116" s="80">
        <f>SUMIFS('сентябрь 2024'!$G$4:$G$2091,'сентябрь 2024'!$D$4:$D$2091,$B116,'сентябрь 2024'!$J$4:$J$2091,M$1)</f>
        <v>0</v>
      </c>
      <c r="N116" s="80">
        <f>SUMIFS('сентябрь 2024'!$G$4:$G$2091,'сентябрь 2024'!$D$4:$D$2091,$B116,'сентябрь 2024'!$J$4:$J$2091,N$1)</f>
        <v>0</v>
      </c>
      <c r="O116" s="80">
        <f>SUMIFS('сентябрь 2024'!$G$4:$G$2091,'сентябрь 2024'!$D$4:$D$2091,$B116,'сентябрь 2024'!$J$4:$J$2091,O$1)</f>
        <v>0</v>
      </c>
      <c r="P116" s="80">
        <f>SUMIFS('сентябрь 2024'!$G$4:$G$2091,'сентябрь 2024'!$D$4:$D$2091,$B116,'сентябрь 2024'!$J$4:$J$2091,P$1)</f>
        <v>0</v>
      </c>
      <c r="Q116" s="80">
        <f>SUMIFS('сентябрь 2024'!$G$4:$G$2091,'сентябрь 2024'!$D$4:$D$2091,$B116,'сентябрь 2024'!$J$4:$J$2091,Q$1)</f>
        <v>0</v>
      </c>
      <c r="R116" s="80">
        <f>SUMIFS('сентябрь 2024'!$G$4:$G$2091,'сентябрь 2024'!$D$4:$D$2091,$B116,'сентябрь 2024'!$J$4:$J$2091,R$1)</f>
        <v>0</v>
      </c>
      <c r="S116" s="80">
        <f>SUMIFS('сентябрь 2024'!$G$4:$G$2091,'сентябрь 2024'!$D$4:$D$2091,$B116,'сентябрь 2024'!$J$4:$J$2091,S$1)</f>
        <v>0</v>
      </c>
      <c r="T116" s="80">
        <f>SUMIFS('сентябрь 2024'!$G$4:$G$2091,'сентябрь 2024'!$D$4:$D$2091,$B116,'сентябрь 2024'!$J$4:$J$2091,T$1)</f>
        <v>0</v>
      </c>
      <c r="U116" s="80">
        <f>SUMIFS('сентябрь 2024'!$G$4:$G$2091,'сентябрь 2024'!$D$4:$D$2091,$B116,'сентябрь 2024'!$J$4:$J$2091,U$1)</f>
        <v>0</v>
      </c>
      <c r="V116" s="80">
        <f>SUMIFS('сентябрь 2024'!$G$4:$G$2091,'сентябрь 2024'!$D$4:$D$2091,$B116,'сентябрь 2024'!$J$4:$J$2091,V$1)</f>
        <v>0</v>
      </c>
      <c r="W116" s="80">
        <f>SUMIFS('сентябрь 2024'!$G$4:$G$2091,'сентябрь 2024'!$D$4:$D$2091,$B116,'сентябрь 2024'!$J$4:$J$2091,W$1)</f>
        <v>0</v>
      </c>
      <c r="X116" s="80">
        <f>SUMIFS('сентябрь 2024'!$G$4:$G$2091,'сентябрь 2024'!$D$4:$D$2091,$B116,'сентябрь 2024'!$J$4:$J$2091,X$1)</f>
        <v>0</v>
      </c>
      <c r="Y116" s="80">
        <f>SUMIFS('сентябрь 2024'!$G$4:$G$2091,'сентябрь 2024'!$D$4:$D$2091,$B116,'сентябрь 2024'!$J$4:$J$2091,Y$1)</f>
        <v>0</v>
      </c>
      <c r="Z116" s="80">
        <f>SUMIFS('сентябрь 2024'!$G$4:$G$2091,'сентябрь 2024'!$D$4:$D$2091,$B116,'сентябрь 2024'!$J$4:$J$2091,Z$1)</f>
        <v>0</v>
      </c>
      <c r="AA116" s="80">
        <f>SUMIFS('сентябрь 2024'!$G$4:$G$2091,'сентябрь 2024'!$D$4:$D$2091,$B116,'сентябрь 2024'!$J$4:$J$2091,AA$1)</f>
        <v>0</v>
      </c>
      <c r="AB116" s="80">
        <f>SUMIFS('сентябрь 2024'!$G$4:$G$2091,'сентябрь 2024'!$D$4:$D$2091,$B116,'сентябрь 2024'!$J$4:$J$2091,AB$1)</f>
        <v>0</v>
      </c>
      <c r="AC116" s="80">
        <f>SUMIFS('сентябрь 2024'!$G$4:$G$2091,'сентябрь 2024'!$D$4:$D$2091,$B116,'сентябрь 2024'!$J$4:$J$2091,AC$1)</f>
        <v>0</v>
      </c>
      <c r="AD116" s="80">
        <f>SUMIFS('сентябрь 2024'!$G$4:$G$2091,'сентябрь 2024'!$D$4:$D$2091,$B116,'сентябрь 2024'!$J$4:$J$2091,AD$1)</f>
        <v>0</v>
      </c>
      <c r="AE116" s="80">
        <f>SUMIFS('сентябрь 2024'!$G$4:$G$2091,'сентябрь 2024'!$D$4:$D$2091,$B116,'сентябрь 2024'!$J$4:$J$2091,AE$1)</f>
        <v>0</v>
      </c>
      <c r="AF116" s="80">
        <f>SUMIFS('сентябрь 2024'!$G$4:$G$2091,'сентябрь 2024'!$D$4:$D$2091,$B116,'сентябрь 2024'!$J$4:$J$2091,AF$1)</f>
        <v>0</v>
      </c>
      <c r="AG116" s="80">
        <f>SUMIFS('сентябрь 2024'!$G$4:$G$2091,'сентябрь 2024'!$D$4:$D$2091,$B116,'сентябрь 2024'!$J$4:$J$2091,AG$1)</f>
        <v>0</v>
      </c>
      <c r="AH116" s="80">
        <f>SUMIFS('сентябрь 2024'!$G$4:$G$2091,'сентябрь 2024'!$D$4:$D$2091,$B116,'сентябрь 2024'!$J$4:$J$2091,AH$1)</f>
        <v>0</v>
      </c>
      <c r="AI116" s="21">
        <f t="shared" si="1"/>
        <v>0</v>
      </c>
    </row>
    <row r="117" spans="2:35" ht="15" customHeight="1" x14ac:dyDescent="0.25">
      <c r="B117" s="93" t="s">
        <v>330</v>
      </c>
      <c r="C117" s="91">
        <v>180</v>
      </c>
      <c r="D117" s="80">
        <f>SUMIFS('сентябрь 2024'!$G$4:$G$2091,'сентябрь 2024'!$D$4:$D$2091,$B117,'сентябрь 2024'!$J$4:$J$2091,D$1)</f>
        <v>0</v>
      </c>
      <c r="E117" s="80">
        <f>SUMIFS('сентябрь 2024'!$G$4:$G$2091,'сентябрь 2024'!$D$4:$D$2091,$B117,'сентябрь 2024'!$J$4:$J$2091,E$1)</f>
        <v>0</v>
      </c>
      <c r="F117" s="80">
        <f>SUMIFS('сентябрь 2024'!$G$4:$G$2091,'сентябрь 2024'!$D$4:$D$2091,$B117,'сентябрь 2024'!$J$4:$J$2091,F$1)</f>
        <v>0</v>
      </c>
      <c r="G117" s="80">
        <f>SUMIFS('сентябрь 2024'!$G$4:$G$2091,'сентябрь 2024'!$D$4:$D$2091,$B117,'сентябрь 2024'!$J$4:$J$2091,G$1)</f>
        <v>0</v>
      </c>
      <c r="H117" s="80">
        <f>SUMIFS('сентябрь 2024'!$G$4:$G$2091,'сентябрь 2024'!$D$4:$D$2091,$B117,'сентябрь 2024'!$J$4:$J$2091,H$1)</f>
        <v>0</v>
      </c>
      <c r="I117" s="80">
        <f>SUMIFS('сентябрь 2024'!$G$4:$G$2091,'сентябрь 2024'!$D$4:$D$2091,$B117,'сентябрь 2024'!$J$4:$J$2091,I$1)</f>
        <v>0</v>
      </c>
      <c r="J117" s="80">
        <f>SUMIFS('сентябрь 2024'!$G$4:$G$2091,'сентябрь 2024'!$D$4:$D$2091,$B117,'сентябрь 2024'!$J$4:$J$2091,J$1)</f>
        <v>0</v>
      </c>
      <c r="K117" s="80">
        <f>SUMIFS('сентябрь 2024'!$G$4:$G$2091,'сентябрь 2024'!$D$4:$D$2091,$B117,'сентябрь 2024'!$J$4:$J$2091,K$1)</f>
        <v>0</v>
      </c>
      <c r="L117" s="80">
        <f>SUMIFS('сентябрь 2024'!$G$4:$G$2091,'сентябрь 2024'!$D$4:$D$2091,$B117,'сентябрь 2024'!$J$4:$J$2091,L$1)</f>
        <v>0</v>
      </c>
      <c r="M117" s="80">
        <f>SUMIFS('сентябрь 2024'!$G$4:$G$2091,'сентябрь 2024'!$D$4:$D$2091,$B117,'сентябрь 2024'!$J$4:$J$2091,M$1)</f>
        <v>0</v>
      </c>
      <c r="N117" s="80">
        <f>SUMIFS('сентябрь 2024'!$G$4:$G$2091,'сентябрь 2024'!$D$4:$D$2091,$B117,'сентябрь 2024'!$J$4:$J$2091,N$1)</f>
        <v>0</v>
      </c>
      <c r="O117" s="80">
        <f>SUMIFS('сентябрь 2024'!$G$4:$G$2091,'сентябрь 2024'!$D$4:$D$2091,$B117,'сентябрь 2024'!$J$4:$J$2091,O$1)</f>
        <v>0</v>
      </c>
      <c r="P117" s="80">
        <f>SUMIFS('сентябрь 2024'!$G$4:$G$2091,'сентябрь 2024'!$D$4:$D$2091,$B117,'сентябрь 2024'!$J$4:$J$2091,P$1)</f>
        <v>0</v>
      </c>
      <c r="Q117" s="80">
        <f>SUMIFS('сентябрь 2024'!$G$4:$G$2091,'сентябрь 2024'!$D$4:$D$2091,$B117,'сентябрь 2024'!$J$4:$J$2091,Q$1)</f>
        <v>0</v>
      </c>
      <c r="R117" s="80">
        <f>SUMIFS('сентябрь 2024'!$G$4:$G$2091,'сентябрь 2024'!$D$4:$D$2091,$B117,'сентябрь 2024'!$J$4:$J$2091,R$1)</f>
        <v>0</v>
      </c>
      <c r="S117" s="80">
        <f>SUMIFS('сентябрь 2024'!$G$4:$G$2091,'сентябрь 2024'!$D$4:$D$2091,$B117,'сентябрь 2024'!$J$4:$J$2091,S$1)</f>
        <v>0</v>
      </c>
      <c r="T117" s="80">
        <f>SUMIFS('сентябрь 2024'!$G$4:$G$2091,'сентябрь 2024'!$D$4:$D$2091,$B117,'сентябрь 2024'!$J$4:$J$2091,T$1)</f>
        <v>0</v>
      </c>
      <c r="U117" s="80">
        <f>SUMIFS('сентябрь 2024'!$G$4:$G$2091,'сентябрь 2024'!$D$4:$D$2091,$B117,'сентябрь 2024'!$J$4:$J$2091,U$1)</f>
        <v>0</v>
      </c>
      <c r="V117" s="80">
        <f>SUMIFS('сентябрь 2024'!$G$4:$G$2091,'сентябрь 2024'!$D$4:$D$2091,$B117,'сентябрь 2024'!$J$4:$J$2091,V$1)</f>
        <v>0</v>
      </c>
      <c r="W117" s="80">
        <f>SUMIFS('сентябрь 2024'!$G$4:$G$2091,'сентябрь 2024'!$D$4:$D$2091,$B117,'сентябрь 2024'!$J$4:$J$2091,W$1)</f>
        <v>0</v>
      </c>
      <c r="X117" s="80">
        <f>SUMIFS('сентябрь 2024'!$G$4:$G$2091,'сентябрь 2024'!$D$4:$D$2091,$B117,'сентябрь 2024'!$J$4:$J$2091,X$1)</f>
        <v>0</v>
      </c>
      <c r="Y117" s="80">
        <f>SUMIFS('сентябрь 2024'!$G$4:$G$2091,'сентябрь 2024'!$D$4:$D$2091,$B117,'сентябрь 2024'!$J$4:$J$2091,Y$1)</f>
        <v>0</v>
      </c>
      <c r="Z117" s="80">
        <f>SUMIFS('сентябрь 2024'!$G$4:$G$2091,'сентябрь 2024'!$D$4:$D$2091,$B117,'сентябрь 2024'!$J$4:$J$2091,Z$1)</f>
        <v>0</v>
      </c>
      <c r="AA117" s="80">
        <f>SUMIFS('сентябрь 2024'!$G$4:$G$2091,'сентябрь 2024'!$D$4:$D$2091,$B117,'сентябрь 2024'!$J$4:$J$2091,AA$1)</f>
        <v>0</v>
      </c>
      <c r="AB117" s="80">
        <f>SUMIFS('сентябрь 2024'!$G$4:$G$2091,'сентябрь 2024'!$D$4:$D$2091,$B117,'сентябрь 2024'!$J$4:$J$2091,AB$1)</f>
        <v>0</v>
      </c>
      <c r="AC117" s="80">
        <f>SUMIFS('сентябрь 2024'!$G$4:$G$2091,'сентябрь 2024'!$D$4:$D$2091,$B117,'сентябрь 2024'!$J$4:$J$2091,AC$1)</f>
        <v>0</v>
      </c>
      <c r="AD117" s="80">
        <f>SUMIFS('сентябрь 2024'!$G$4:$G$2091,'сентябрь 2024'!$D$4:$D$2091,$B117,'сентябрь 2024'!$J$4:$J$2091,AD$1)</f>
        <v>0</v>
      </c>
      <c r="AE117" s="80">
        <f>SUMIFS('сентябрь 2024'!$G$4:$G$2091,'сентябрь 2024'!$D$4:$D$2091,$B117,'сентябрь 2024'!$J$4:$J$2091,AE$1)</f>
        <v>0</v>
      </c>
      <c r="AF117" s="80">
        <f>SUMIFS('сентябрь 2024'!$G$4:$G$2091,'сентябрь 2024'!$D$4:$D$2091,$B117,'сентябрь 2024'!$J$4:$J$2091,AF$1)</f>
        <v>0</v>
      </c>
      <c r="AG117" s="80">
        <f>SUMIFS('сентябрь 2024'!$G$4:$G$2091,'сентябрь 2024'!$D$4:$D$2091,$B117,'сентябрь 2024'!$J$4:$J$2091,AG$1)</f>
        <v>0</v>
      </c>
      <c r="AH117" s="80">
        <f>SUMIFS('сентябрь 2024'!$G$4:$G$2091,'сентябрь 2024'!$D$4:$D$2091,$B117,'сентябрь 2024'!$J$4:$J$2091,AH$1)</f>
        <v>0</v>
      </c>
      <c r="AI117" s="21">
        <f t="shared" si="1"/>
        <v>0</v>
      </c>
    </row>
    <row r="118" spans="2:35" ht="15" customHeight="1" x14ac:dyDescent="0.25">
      <c r="B118" s="93" t="s">
        <v>331</v>
      </c>
      <c r="C118" s="91">
        <v>200</v>
      </c>
      <c r="D118" s="80">
        <f>SUMIFS('сентябрь 2024'!$G$4:$G$2091,'сентябрь 2024'!$D$4:$D$2091,$B118,'сентябрь 2024'!$J$4:$J$2091,D$1)</f>
        <v>0</v>
      </c>
      <c r="E118" s="80">
        <f>SUMIFS('сентябрь 2024'!$G$4:$G$2091,'сентябрь 2024'!$D$4:$D$2091,$B118,'сентябрь 2024'!$J$4:$J$2091,E$1)</f>
        <v>0</v>
      </c>
      <c r="F118" s="80">
        <f>SUMIFS('сентябрь 2024'!$G$4:$G$2091,'сентябрь 2024'!$D$4:$D$2091,$B118,'сентябрь 2024'!$J$4:$J$2091,F$1)</f>
        <v>0</v>
      </c>
      <c r="G118" s="80">
        <f>SUMIFS('сентябрь 2024'!$G$4:$G$2091,'сентябрь 2024'!$D$4:$D$2091,$B118,'сентябрь 2024'!$J$4:$J$2091,G$1)</f>
        <v>88</v>
      </c>
      <c r="H118" s="80">
        <f>SUMIFS('сентябрь 2024'!$G$4:$G$2091,'сентябрь 2024'!$D$4:$D$2091,$B118,'сентябрь 2024'!$J$4:$J$2091,H$1)</f>
        <v>0</v>
      </c>
      <c r="I118" s="80">
        <f>SUMIFS('сентябрь 2024'!$G$4:$G$2091,'сентябрь 2024'!$D$4:$D$2091,$B118,'сентябрь 2024'!$J$4:$J$2091,I$1)</f>
        <v>0</v>
      </c>
      <c r="J118" s="80">
        <f>SUMIFS('сентябрь 2024'!$G$4:$G$2091,'сентябрь 2024'!$D$4:$D$2091,$B118,'сентябрь 2024'!$J$4:$J$2091,J$1)</f>
        <v>0</v>
      </c>
      <c r="K118" s="80">
        <f>SUMIFS('сентябрь 2024'!$G$4:$G$2091,'сентябрь 2024'!$D$4:$D$2091,$B118,'сентябрь 2024'!$J$4:$J$2091,K$1)</f>
        <v>0</v>
      </c>
      <c r="L118" s="80">
        <f>SUMIFS('сентябрь 2024'!$G$4:$G$2091,'сентябрь 2024'!$D$4:$D$2091,$B118,'сентябрь 2024'!$J$4:$J$2091,L$1)</f>
        <v>0</v>
      </c>
      <c r="M118" s="80">
        <f>SUMIFS('сентябрь 2024'!$G$4:$G$2091,'сентябрь 2024'!$D$4:$D$2091,$B118,'сентябрь 2024'!$J$4:$J$2091,M$1)</f>
        <v>0</v>
      </c>
      <c r="N118" s="80">
        <f>SUMIFS('сентябрь 2024'!$G$4:$G$2091,'сентябрь 2024'!$D$4:$D$2091,$B118,'сентябрь 2024'!$J$4:$J$2091,N$1)</f>
        <v>0</v>
      </c>
      <c r="O118" s="80">
        <f>SUMIFS('сентябрь 2024'!$G$4:$G$2091,'сентябрь 2024'!$D$4:$D$2091,$B118,'сентябрь 2024'!$J$4:$J$2091,O$1)</f>
        <v>0</v>
      </c>
      <c r="P118" s="80">
        <f>SUMIFS('сентябрь 2024'!$G$4:$G$2091,'сентябрь 2024'!$D$4:$D$2091,$B118,'сентябрь 2024'!$J$4:$J$2091,P$1)</f>
        <v>0</v>
      </c>
      <c r="Q118" s="80">
        <f>SUMIFS('сентябрь 2024'!$G$4:$G$2091,'сентябрь 2024'!$D$4:$D$2091,$B118,'сентябрь 2024'!$J$4:$J$2091,Q$1)</f>
        <v>0</v>
      </c>
      <c r="R118" s="80">
        <f>SUMIFS('сентябрь 2024'!$G$4:$G$2091,'сентябрь 2024'!$D$4:$D$2091,$B118,'сентябрь 2024'!$J$4:$J$2091,R$1)</f>
        <v>0</v>
      </c>
      <c r="S118" s="80">
        <f>SUMIFS('сентябрь 2024'!$G$4:$G$2091,'сентябрь 2024'!$D$4:$D$2091,$B118,'сентябрь 2024'!$J$4:$J$2091,S$1)</f>
        <v>0</v>
      </c>
      <c r="T118" s="80">
        <f>SUMIFS('сентябрь 2024'!$G$4:$G$2091,'сентябрь 2024'!$D$4:$D$2091,$B118,'сентябрь 2024'!$J$4:$J$2091,T$1)</f>
        <v>0</v>
      </c>
      <c r="U118" s="80">
        <f>SUMIFS('сентябрь 2024'!$G$4:$G$2091,'сентябрь 2024'!$D$4:$D$2091,$B118,'сентябрь 2024'!$J$4:$J$2091,U$1)</f>
        <v>0</v>
      </c>
      <c r="V118" s="80">
        <f>SUMIFS('сентябрь 2024'!$G$4:$G$2091,'сентябрь 2024'!$D$4:$D$2091,$B118,'сентябрь 2024'!$J$4:$J$2091,V$1)</f>
        <v>0</v>
      </c>
      <c r="W118" s="80">
        <f>SUMIFS('сентябрь 2024'!$G$4:$G$2091,'сентябрь 2024'!$D$4:$D$2091,$B118,'сентябрь 2024'!$J$4:$J$2091,W$1)</f>
        <v>0</v>
      </c>
      <c r="X118" s="80">
        <f>SUMIFS('сентябрь 2024'!$G$4:$G$2091,'сентябрь 2024'!$D$4:$D$2091,$B118,'сентябрь 2024'!$J$4:$J$2091,X$1)</f>
        <v>0</v>
      </c>
      <c r="Y118" s="80">
        <f>SUMIFS('сентябрь 2024'!$G$4:$G$2091,'сентябрь 2024'!$D$4:$D$2091,$B118,'сентябрь 2024'!$J$4:$J$2091,Y$1)</f>
        <v>0</v>
      </c>
      <c r="Z118" s="80">
        <f>SUMIFS('сентябрь 2024'!$G$4:$G$2091,'сентябрь 2024'!$D$4:$D$2091,$B118,'сентябрь 2024'!$J$4:$J$2091,Z$1)</f>
        <v>0</v>
      </c>
      <c r="AA118" s="80">
        <f>SUMIFS('сентябрь 2024'!$G$4:$G$2091,'сентябрь 2024'!$D$4:$D$2091,$B118,'сентябрь 2024'!$J$4:$J$2091,AA$1)</f>
        <v>0</v>
      </c>
      <c r="AB118" s="80">
        <f>SUMIFS('сентябрь 2024'!$G$4:$G$2091,'сентябрь 2024'!$D$4:$D$2091,$B118,'сентябрь 2024'!$J$4:$J$2091,AB$1)</f>
        <v>0</v>
      </c>
      <c r="AC118" s="80">
        <f>SUMIFS('сентябрь 2024'!$G$4:$G$2091,'сентябрь 2024'!$D$4:$D$2091,$B118,'сентябрь 2024'!$J$4:$J$2091,AC$1)</f>
        <v>0</v>
      </c>
      <c r="AD118" s="80">
        <f>SUMIFS('сентябрь 2024'!$G$4:$G$2091,'сентябрь 2024'!$D$4:$D$2091,$B118,'сентябрь 2024'!$J$4:$J$2091,AD$1)</f>
        <v>0</v>
      </c>
      <c r="AE118" s="80">
        <f>SUMIFS('сентябрь 2024'!$G$4:$G$2091,'сентябрь 2024'!$D$4:$D$2091,$B118,'сентябрь 2024'!$J$4:$J$2091,AE$1)</f>
        <v>0</v>
      </c>
      <c r="AF118" s="80">
        <f>SUMIFS('сентябрь 2024'!$G$4:$G$2091,'сентябрь 2024'!$D$4:$D$2091,$B118,'сентябрь 2024'!$J$4:$J$2091,AF$1)</f>
        <v>0</v>
      </c>
      <c r="AG118" s="80">
        <f>SUMIFS('сентябрь 2024'!$G$4:$G$2091,'сентябрь 2024'!$D$4:$D$2091,$B118,'сентябрь 2024'!$J$4:$J$2091,AG$1)</f>
        <v>0</v>
      </c>
      <c r="AH118" s="80">
        <f>SUMIFS('сентябрь 2024'!$G$4:$G$2091,'сентябрь 2024'!$D$4:$D$2091,$B118,'сентябрь 2024'!$J$4:$J$2091,AH$1)</f>
        <v>0</v>
      </c>
      <c r="AI118" s="21">
        <f t="shared" si="1"/>
        <v>88</v>
      </c>
    </row>
    <row r="119" spans="2:35" ht="15" customHeight="1" x14ac:dyDescent="0.25">
      <c r="B119" s="89" t="s">
        <v>164</v>
      </c>
      <c r="C119" s="88">
        <v>950</v>
      </c>
      <c r="D119" s="80">
        <f>SUMIFS('сентябрь 2024'!$G$4:$G$2091,'сентябрь 2024'!$D$4:$D$2091,$B119,'сентябрь 2024'!$J$4:$J$2091,D$1)</f>
        <v>0</v>
      </c>
      <c r="E119" s="80">
        <f>SUMIFS('сентябрь 2024'!$G$4:$G$2091,'сентябрь 2024'!$D$4:$D$2091,$B119,'сентябрь 2024'!$J$4:$J$2091,E$1)</f>
        <v>0</v>
      </c>
      <c r="F119" s="80">
        <f>SUMIFS('сентябрь 2024'!$G$4:$G$2091,'сентябрь 2024'!$D$4:$D$2091,$B119,'сентябрь 2024'!$J$4:$J$2091,F$1)</f>
        <v>0</v>
      </c>
      <c r="G119" s="80">
        <f>SUMIFS('сентябрь 2024'!$G$4:$G$2091,'сентябрь 2024'!$D$4:$D$2091,$B119,'сентябрь 2024'!$J$4:$J$2091,G$1)</f>
        <v>0</v>
      </c>
      <c r="H119" s="80">
        <f>SUMIFS('сентябрь 2024'!$G$4:$G$2091,'сентябрь 2024'!$D$4:$D$2091,$B119,'сентябрь 2024'!$J$4:$J$2091,H$1)</f>
        <v>0</v>
      </c>
      <c r="I119" s="80">
        <f>SUMIFS('сентябрь 2024'!$G$4:$G$2091,'сентябрь 2024'!$D$4:$D$2091,$B119,'сентябрь 2024'!$J$4:$J$2091,I$1)</f>
        <v>0</v>
      </c>
      <c r="J119" s="80">
        <f>SUMIFS('сентябрь 2024'!$G$4:$G$2091,'сентябрь 2024'!$D$4:$D$2091,$B119,'сентябрь 2024'!$J$4:$J$2091,J$1)</f>
        <v>0</v>
      </c>
      <c r="K119" s="80">
        <f>SUMIFS('сентябрь 2024'!$G$4:$G$2091,'сентябрь 2024'!$D$4:$D$2091,$B119,'сентябрь 2024'!$J$4:$J$2091,K$1)</f>
        <v>0</v>
      </c>
      <c r="L119" s="80">
        <f>SUMIFS('сентябрь 2024'!$G$4:$G$2091,'сентябрь 2024'!$D$4:$D$2091,$B119,'сентябрь 2024'!$J$4:$J$2091,L$1)</f>
        <v>0</v>
      </c>
      <c r="M119" s="80">
        <f>SUMIFS('сентябрь 2024'!$G$4:$G$2091,'сентябрь 2024'!$D$4:$D$2091,$B119,'сентябрь 2024'!$J$4:$J$2091,M$1)</f>
        <v>0</v>
      </c>
      <c r="N119" s="80">
        <f>SUMIFS('сентябрь 2024'!$G$4:$G$2091,'сентябрь 2024'!$D$4:$D$2091,$B119,'сентябрь 2024'!$J$4:$J$2091,N$1)</f>
        <v>0</v>
      </c>
      <c r="O119" s="80">
        <f>SUMIFS('сентябрь 2024'!$G$4:$G$2091,'сентябрь 2024'!$D$4:$D$2091,$B119,'сентябрь 2024'!$J$4:$J$2091,O$1)</f>
        <v>0</v>
      </c>
      <c r="P119" s="80">
        <f>SUMIFS('сентябрь 2024'!$G$4:$G$2091,'сентябрь 2024'!$D$4:$D$2091,$B119,'сентябрь 2024'!$J$4:$J$2091,P$1)</f>
        <v>0</v>
      </c>
      <c r="Q119" s="80">
        <f>SUMIFS('сентябрь 2024'!$G$4:$G$2091,'сентябрь 2024'!$D$4:$D$2091,$B119,'сентябрь 2024'!$J$4:$J$2091,Q$1)</f>
        <v>0</v>
      </c>
      <c r="R119" s="80">
        <f>SUMIFS('сентябрь 2024'!$G$4:$G$2091,'сентябрь 2024'!$D$4:$D$2091,$B119,'сентябрь 2024'!$J$4:$J$2091,R$1)</f>
        <v>0</v>
      </c>
      <c r="S119" s="80">
        <f>SUMIFS('сентябрь 2024'!$G$4:$G$2091,'сентябрь 2024'!$D$4:$D$2091,$B119,'сентябрь 2024'!$J$4:$J$2091,S$1)</f>
        <v>0</v>
      </c>
      <c r="T119" s="80">
        <f>SUMIFS('сентябрь 2024'!$G$4:$G$2091,'сентябрь 2024'!$D$4:$D$2091,$B119,'сентябрь 2024'!$J$4:$J$2091,T$1)</f>
        <v>0</v>
      </c>
      <c r="U119" s="80">
        <f>SUMIFS('сентябрь 2024'!$G$4:$G$2091,'сентябрь 2024'!$D$4:$D$2091,$B119,'сентябрь 2024'!$J$4:$J$2091,U$1)</f>
        <v>0</v>
      </c>
      <c r="V119" s="80">
        <f>SUMIFS('сентябрь 2024'!$G$4:$G$2091,'сентябрь 2024'!$D$4:$D$2091,$B119,'сентябрь 2024'!$J$4:$J$2091,V$1)</f>
        <v>0</v>
      </c>
      <c r="W119" s="80">
        <f>SUMIFS('сентябрь 2024'!$G$4:$G$2091,'сентябрь 2024'!$D$4:$D$2091,$B119,'сентябрь 2024'!$J$4:$J$2091,W$1)</f>
        <v>0</v>
      </c>
      <c r="X119" s="80">
        <f>SUMIFS('сентябрь 2024'!$G$4:$G$2091,'сентябрь 2024'!$D$4:$D$2091,$B119,'сентябрь 2024'!$J$4:$J$2091,X$1)</f>
        <v>0</v>
      </c>
      <c r="Y119" s="80">
        <f>SUMIFS('сентябрь 2024'!$G$4:$G$2091,'сентябрь 2024'!$D$4:$D$2091,$B119,'сентябрь 2024'!$J$4:$J$2091,Y$1)</f>
        <v>0</v>
      </c>
      <c r="Z119" s="80">
        <f>SUMIFS('сентябрь 2024'!$G$4:$G$2091,'сентябрь 2024'!$D$4:$D$2091,$B119,'сентябрь 2024'!$J$4:$J$2091,Z$1)</f>
        <v>0</v>
      </c>
      <c r="AA119" s="80">
        <f>SUMIFS('сентябрь 2024'!$G$4:$G$2091,'сентябрь 2024'!$D$4:$D$2091,$B119,'сентябрь 2024'!$J$4:$J$2091,AA$1)</f>
        <v>0</v>
      </c>
      <c r="AB119" s="80">
        <f>SUMIFS('сентябрь 2024'!$G$4:$G$2091,'сентябрь 2024'!$D$4:$D$2091,$B119,'сентябрь 2024'!$J$4:$J$2091,AB$1)</f>
        <v>0</v>
      </c>
      <c r="AC119" s="80">
        <f>SUMIFS('сентябрь 2024'!$G$4:$G$2091,'сентябрь 2024'!$D$4:$D$2091,$B119,'сентябрь 2024'!$J$4:$J$2091,AC$1)</f>
        <v>0</v>
      </c>
      <c r="AD119" s="80">
        <f>SUMIFS('сентябрь 2024'!$G$4:$G$2091,'сентябрь 2024'!$D$4:$D$2091,$B119,'сентябрь 2024'!$J$4:$J$2091,AD$1)</f>
        <v>0</v>
      </c>
      <c r="AE119" s="80">
        <f>SUMIFS('сентябрь 2024'!$G$4:$G$2091,'сентябрь 2024'!$D$4:$D$2091,$B119,'сентябрь 2024'!$J$4:$J$2091,AE$1)</f>
        <v>0</v>
      </c>
      <c r="AF119" s="80">
        <f>SUMIFS('сентябрь 2024'!$G$4:$G$2091,'сентябрь 2024'!$D$4:$D$2091,$B119,'сентябрь 2024'!$J$4:$J$2091,AF$1)</f>
        <v>0</v>
      </c>
      <c r="AG119" s="80">
        <f>SUMIFS('сентябрь 2024'!$G$4:$G$2091,'сентябрь 2024'!$D$4:$D$2091,$B119,'сентябрь 2024'!$J$4:$J$2091,AG$1)</f>
        <v>0</v>
      </c>
      <c r="AH119" s="80">
        <f>SUMIFS('сентябрь 2024'!$G$4:$G$2091,'сентябрь 2024'!$D$4:$D$2091,$B119,'сентябрь 2024'!$J$4:$J$2091,AH$1)</f>
        <v>0</v>
      </c>
      <c r="AI119" s="21">
        <f t="shared" si="1"/>
        <v>0</v>
      </c>
    </row>
    <row r="120" spans="2:35" ht="15" customHeight="1" x14ac:dyDescent="0.25">
      <c r="B120" s="89" t="s">
        <v>193</v>
      </c>
      <c r="C120" s="88">
        <v>180</v>
      </c>
      <c r="D120" s="80">
        <f>SUMIFS('сентябрь 2024'!$G$4:$G$2091,'сентябрь 2024'!$D$4:$D$2091,$B120,'сентябрь 2024'!$J$4:$J$2091,D$1)</f>
        <v>0</v>
      </c>
      <c r="E120" s="80">
        <f>SUMIFS('сентябрь 2024'!$G$4:$G$2091,'сентябрь 2024'!$D$4:$D$2091,$B120,'сентябрь 2024'!$J$4:$J$2091,E$1)</f>
        <v>0</v>
      </c>
      <c r="F120" s="80">
        <f>SUMIFS('сентябрь 2024'!$G$4:$G$2091,'сентябрь 2024'!$D$4:$D$2091,$B120,'сентябрь 2024'!$J$4:$J$2091,F$1)</f>
        <v>0</v>
      </c>
      <c r="G120" s="80">
        <f>SUMIFS('сентябрь 2024'!$G$4:$G$2091,'сентябрь 2024'!$D$4:$D$2091,$B120,'сентябрь 2024'!$J$4:$J$2091,G$1)</f>
        <v>0</v>
      </c>
      <c r="H120" s="80">
        <f>SUMIFS('сентябрь 2024'!$G$4:$G$2091,'сентябрь 2024'!$D$4:$D$2091,$B120,'сентябрь 2024'!$J$4:$J$2091,H$1)</f>
        <v>0</v>
      </c>
      <c r="I120" s="80">
        <f>SUMIFS('сентябрь 2024'!$G$4:$G$2091,'сентябрь 2024'!$D$4:$D$2091,$B120,'сентябрь 2024'!$J$4:$J$2091,I$1)</f>
        <v>0</v>
      </c>
      <c r="J120" s="80">
        <f>SUMIFS('сентябрь 2024'!$G$4:$G$2091,'сентябрь 2024'!$D$4:$D$2091,$B120,'сентябрь 2024'!$J$4:$J$2091,J$1)</f>
        <v>0</v>
      </c>
      <c r="K120" s="80">
        <f>SUMIFS('сентябрь 2024'!$G$4:$G$2091,'сентябрь 2024'!$D$4:$D$2091,$B120,'сентябрь 2024'!$J$4:$J$2091,K$1)</f>
        <v>0</v>
      </c>
      <c r="L120" s="80">
        <f>SUMIFS('сентябрь 2024'!$G$4:$G$2091,'сентябрь 2024'!$D$4:$D$2091,$B120,'сентябрь 2024'!$J$4:$J$2091,L$1)</f>
        <v>0</v>
      </c>
      <c r="M120" s="80">
        <f>SUMIFS('сентябрь 2024'!$G$4:$G$2091,'сентябрь 2024'!$D$4:$D$2091,$B120,'сентябрь 2024'!$J$4:$J$2091,M$1)</f>
        <v>0</v>
      </c>
      <c r="N120" s="80">
        <f>SUMIFS('сентябрь 2024'!$G$4:$G$2091,'сентябрь 2024'!$D$4:$D$2091,$B120,'сентябрь 2024'!$J$4:$J$2091,N$1)</f>
        <v>0</v>
      </c>
      <c r="O120" s="80">
        <f>SUMIFS('сентябрь 2024'!$G$4:$G$2091,'сентябрь 2024'!$D$4:$D$2091,$B120,'сентябрь 2024'!$J$4:$J$2091,O$1)</f>
        <v>0</v>
      </c>
      <c r="P120" s="80">
        <f>SUMIFS('сентябрь 2024'!$G$4:$G$2091,'сентябрь 2024'!$D$4:$D$2091,$B120,'сентябрь 2024'!$J$4:$J$2091,P$1)</f>
        <v>0</v>
      </c>
      <c r="Q120" s="80">
        <f>SUMIFS('сентябрь 2024'!$G$4:$G$2091,'сентябрь 2024'!$D$4:$D$2091,$B120,'сентябрь 2024'!$J$4:$J$2091,Q$1)</f>
        <v>0</v>
      </c>
      <c r="R120" s="80">
        <f>SUMIFS('сентябрь 2024'!$G$4:$G$2091,'сентябрь 2024'!$D$4:$D$2091,$B120,'сентябрь 2024'!$J$4:$J$2091,R$1)</f>
        <v>0</v>
      </c>
      <c r="S120" s="80">
        <f>SUMIFS('сентябрь 2024'!$G$4:$G$2091,'сентябрь 2024'!$D$4:$D$2091,$B120,'сентябрь 2024'!$J$4:$J$2091,S$1)</f>
        <v>0</v>
      </c>
      <c r="T120" s="80">
        <f>SUMIFS('сентябрь 2024'!$G$4:$G$2091,'сентябрь 2024'!$D$4:$D$2091,$B120,'сентябрь 2024'!$J$4:$J$2091,T$1)</f>
        <v>0</v>
      </c>
      <c r="U120" s="80">
        <f>SUMIFS('сентябрь 2024'!$G$4:$G$2091,'сентябрь 2024'!$D$4:$D$2091,$B120,'сентябрь 2024'!$J$4:$J$2091,U$1)</f>
        <v>0</v>
      </c>
      <c r="V120" s="80">
        <f>SUMIFS('сентябрь 2024'!$G$4:$G$2091,'сентябрь 2024'!$D$4:$D$2091,$B120,'сентябрь 2024'!$J$4:$J$2091,V$1)</f>
        <v>0</v>
      </c>
      <c r="W120" s="80">
        <f>SUMIFS('сентябрь 2024'!$G$4:$G$2091,'сентябрь 2024'!$D$4:$D$2091,$B120,'сентябрь 2024'!$J$4:$J$2091,W$1)</f>
        <v>0</v>
      </c>
      <c r="X120" s="80">
        <f>SUMIFS('сентябрь 2024'!$G$4:$G$2091,'сентябрь 2024'!$D$4:$D$2091,$B120,'сентябрь 2024'!$J$4:$J$2091,X$1)</f>
        <v>0</v>
      </c>
      <c r="Y120" s="80">
        <f>SUMIFS('сентябрь 2024'!$G$4:$G$2091,'сентябрь 2024'!$D$4:$D$2091,$B120,'сентябрь 2024'!$J$4:$J$2091,Y$1)</f>
        <v>0</v>
      </c>
      <c r="Z120" s="80">
        <f>SUMIFS('сентябрь 2024'!$G$4:$G$2091,'сентябрь 2024'!$D$4:$D$2091,$B120,'сентябрь 2024'!$J$4:$J$2091,Z$1)</f>
        <v>0</v>
      </c>
      <c r="AA120" s="80">
        <f>SUMIFS('сентябрь 2024'!$G$4:$G$2091,'сентябрь 2024'!$D$4:$D$2091,$B120,'сентябрь 2024'!$J$4:$J$2091,AA$1)</f>
        <v>0</v>
      </c>
      <c r="AB120" s="80">
        <f>SUMIFS('сентябрь 2024'!$G$4:$G$2091,'сентябрь 2024'!$D$4:$D$2091,$B120,'сентябрь 2024'!$J$4:$J$2091,AB$1)</f>
        <v>0</v>
      </c>
      <c r="AC120" s="80">
        <f>SUMIFS('сентябрь 2024'!$G$4:$G$2091,'сентябрь 2024'!$D$4:$D$2091,$B120,'сентябрь 2024'!$J$4:$J$2091,AC$1)</f>
        <v>0</v>
      </c>
      <c r="AD120" s="80">
        <f>SUMIFS('сентябрь 2024'!$G$4:$G$2091,'сентябрь 2024'!$D$4:$D$2091,$B120,'сентябрь 2024'!$J$4:$J$2091,AD$1)</f>
        <v>0</v>
      </c>
      <c r="AE120" s="80">
        <f>SUMIFS('сентябрь 2024'!$G$4:$G$2091,'сентябрь 2024'!$D$4:$D$2091,$B120,'сентябрь 2024'!$J$4:$J$2091,AE$1)</f>
        <v>0</v>
      </c>
      <c r="AF120" s="80">
        <f>SUMIFS('сентябрь 2024'!$G$4:$G$2091,'сентябрь 2024'!$D$4:$D$2091,$B120,'сентябрь 2024'!$J$4:$J$2091,AF$1)</f>
        <v>0</v>
      </c>
      <c r="AG120" s="80">
        <f>SUMIFS('сентябрь 2024'!$G$4:$G$2091,'сентябрь 2024'!$D$4:$D$2091,$B120,'сентябрь 2024'!$J$4:$J$2091,AG$1)</f>
        <v>0</v>
      </c>
      <c r="AH120" s="80">
        <f>SUMIFS('сентябрь 2024'!$G$4:$G$2091,'сентябрь 2024'!$D$4:$D$2091,$B120,'сентябрь 2024'!$J$4:$J$2091,AH$1)</f>
        <v>0</v>
      </c>
      <c r="AI120" s="21">
        <f t="shared" si="1"/>
        <v>0</v>
      </c>
    </row>
    <row r="121" spans="2:35" ht="15" customHeight="1" x14ac:dyDescent="0.25">
      <c r="B121" s="89" t="s">
        <v>1070</v>
      </c>
      <c r="C121" s="88">
        <v>180</v>
      </c>
      <c r="D121" s="80">
        <f>SUMIFS('сентябрь 2024'!$G$4:$G$2091,'сентябрь 2024'!$D$4:$D$2091,$B121,'сентябрь 2024'!$J$4:$J$2091,D$1)</f>
        <v>0</v>
      </c>
      <c r="E121" s="80">
        <f>SUMIFS('сентябрь 2024'!$G$4:$G$2091,'сентябрь 2024'!$D$4:$D$2091,$B121,'сентябрь 2024'!$J$4:$J$2091,E$1)</f>
        <v>0</v>
      </c>
      <c r="F121" s="80">
        <f>SUMIFS('сентябрь 2024'!$G$4:$G$2091,'сентябрь 2024'!$D$4:$D$2091,$B121,'сентябрь 2024'!$J$4:$J$2091,F$1)</f>
        <v>0</v>
      </c>
      <c r="G121" s="80">
        <f>SUMIFS('сентябрь 2024'!$G$4:$G$2091,'сентябрь 2024'!$D$4:$D$2091,$B121,'сентябрь 2024'!$J$4:$J$2091,G$1)</f>
        <v>0</v>
      </c>
      <c r="H121" s="80">
        <f>SUMIFS('сентябрь 2024'!$G$4:$G$2091,'сентябрь 2024'!$D$4:$D$2091,$B121,'сентябрь 2024'!$J$4:$J$2091,H$1)</f>
        <v>0</v>
      </c>
      <c r="I121" s="80">
        <f>SUMIFS('сентябрь 2024'!$G$4:$G$2091,'сентябрь 2024'!$D$4:$D$2091,$B121,'сентябрь 2024'!$J$4:$J$2091,I$1)</f>
        <v>0</v>
      </c>
      <c r="J121" s="80">
        <f>SUMIFS('сентябрь 2024'!$G$4:$G$2091,'сентябрь 2024'!$D$4:$D$2091,$B121,'сентябрь 2024'!$J$4:$J$2091,J$1)</f>
        <v>0</v>
      </c>
      <c r="K121" s="80">
        <f>SUMIFS('сентябрь 2024'!$G$4:$G$2091,'сентябрь 2024'!$D$4:$D$2091,$B121,'сентябрь 2024'!$J$4:$J$2091,K$1)</f>
        <v>0</v>
      </c>
      <c r="L121" s="80">
        <f>SUMIFS('сентябрь 2024'!$G$4:$G$2091,'сентябрь 2024'!$D$4:$D$2091,$B121,'сентябрь 2024'!$J$4:$J$2091,L$1)</f>
        <v>0</v>
      </c>
      <c r="M121" s="80">
        <f>SUMIFS('сентябрь 2024'!$G$4:$G$2091,'сентябрь 2024'!$D$4:$D$2091,$B121,'сентябрь 2024'!$J$4:$J$2091,M$1)</f>
        <v>0</v>
      </c>
      <c r="N121" s="80">
        <f>SUMIFS('сентябрь 2024'!$G$4:$G$2091,'сентябрь 2024'!$D$4:$D$2091,$B121,'сентябрь 2024'!$J$4:$J$2091,N$1)</f>
        <v>0</v>
      </c>
      <c r="O121" s="80">
        <f>SUMIFS('сентябрь 2024'!$G$4:$G$2091,'сентябрь 2024'!$D$4:$D$2091,$B121,'сентябрь 2024'!$J$4:$J$2091,O$1)</f>
        <v>0</v>
      </c>
      <c r="P121" s="80">
        <f>SUMIFS('сентябрь 2024'!$G$4:$G$2091,'сентябрь 2024'!$D$4:$D$2091,$B121,'сентябрь 2024'!$J$4:$J$2091,P$1)</f>
        <v>0</v>
      </c>
      <c r="Q121" s="80">
        <f>SUMIFS('сентябрь 2024'!$G$4:$G$2091,'сентябрь 2024'!$D$4:$D$2091,$B121,'сентябрь 2024'!$J$4:$J$2091,Q$1)</f>
        <v>0</v>
      </c>
      <c r="R121" s="80">
        <f>SUMIFS('сентябрь 2024'!$G$4:$G$2091,'сентябрь 2024'!$D$4:$D$2091,$B121,'сентябрь 2024'!$J$4:$J$2091,R$1)</f>
        <v>0</v>
      </c>
      <c r="S121" s="80">
        <f>SUMIFS('сентябрь 2024'!$G$4:$G$2091,'сентябрь 2024'!$D$4:$D$2091,$B121,'сентябрь 2024'!$J$4:$J$2091,S$1)</f>
        <v>0</v>
      </c>
      <c r="T121" s="80">
        <f>SUMIFS('сентябрь 2024'!$G$4:$G$2091,'сентябрь 2024'!$D$4:$D$2091,$B121,'сентябрь 2024'!$J$4:$J$2091,T$1)</f>
        <v>0</v>
      </c>
      <c r="U121" s="80">
        <f>SUMIFS('сентябрь 2024'!$G$4:$G$2091,'сентябрь 2024'!$D$4:$D$2091,$B121,'сентябрь 2024'!$J$4:$J$2091,U$1)</f>
        <v>0</v>
      </c>
      <c r="V121" s="80">
        <f>SUMIFS('сентябрь 2024'!$G$4:$G$2091,'сентябрь 2024'!$D$4:$D$2091,$B121,'сентябрь 2024'!$J$4:$J$2091,V$1)</f>
        <v>0</v>
      </c>
      <c r="W121" s="80">
        <f>SUMIFS('сентябрь 2024'!$G$4:$G$2091,'сентябрь 2024'!$D$4:$D$2091,$B121,'сентябрь 2024'!$J$4:$J$2091,W$1)</f>
        <v>0</v>
      </c>
      <c r="X121" s="80">
        <f>SUMIFS('сентябрь 2024'!$G$4:$G$2091,'сентябрь 2024'!$D$4:$D$2091,$B121,'сентябрь 2024'!$J$4:$J$2091,X$1)</f>
        <v>0</v>
      </c>
      <c r="Y121" s="80">
        <f>SUMIFS('сентябрь 2024'!$G$4:$G$2091,'сентябрь 2024'!$D$4:$D$2091,$B121,'сентябрь 2024'!$J$4:$J$2091,Y$1)</f>
        <v>0</v>
      </c>
      <c r="Z121" s="80">
        <f>SUMIFS('сентябрь 2024'!$G$4:$G$2091,'сентябрь 2024'!$D$4:$D$2091,$B121,'сентябрь 2024'!$J$4:$J$2091,Z$1)</f>
        <v>0</v>
      </c>
      <c r="AA121" s="80">
        <f>SUMIFS('сентябрь 2024'!$G$4:$G$2091,'сентябрь 2024'!$D$4:$D$2091,$B121,'сентябрь 2024'!$J$4:$J$2091,AA$1)</f>
        <v>0</v>
      </c>
      <c r="AB121" s="80">
        <f>SUMIFS('сентябрь 2024'!$G$4:$G$2091,'сентябрь 2024'!$D$4:$D$2091,$B121,'сентябрь 2024'!$J$4:$J$2091,AB$1)</f>
        <v>0</v>
      </c>
      <c r="AC121" s="80">
        <f>SUMIFS('сентябрь 2024'!$G$4:$G$2091,'сентябрь 2024'!$D$4:$D$2091,$B121,'сентябрь 2024'!$J$4:$J$2091,AC$1)</f>
        <v>0</v>
      </c>
      <c r="AD121" s="80">
        <f>SUMIFS('сентябрь 2024'!$G$4:$G$2091,'сентябрь 2024'!$D$4:$D$2091,$B121,'сентябрь 2024'!$J$4:$J$2091,AD$1)</f>
        <v>0</v>
      </c>
      <c r="AE121" s="80">
        <f>SUMIFS('сентябрь 2024'!$G$4:$G$2091,'сентябрь 2024'!$D$4:$D$2091,$B121,'сентябрь 2024'!$J$4:$J$2091,AE$1)</f>
        <v>0</v>
      </c>
      <c r="AF121" s="80">
        <f>SUMIFS('сентябрь 2024'!$G$4:$G$2091,'сентябрь 2024'!$D$4:$D$2091,$B121,'сентябрь 2024'!$J$4:$J$2091,AF$1)</f>
        <v>0</v>
      </c>
      <c r="AG121" s="80">
        <f>SUMIFS('сентябрь 2024'!$G$4:$G$2091,'сентябрь 2024'!$D$4:$D$2091,$B121,'сентябрь 2024'!$J$4:$J$2091,AG$1)</f>
        <v>0</v>
      </c>
      <c r="AH121" s="80">
        <f>SUMIFS('сентябрь 2024'!$G$4:$G$2091,'сентябрь 2024'!$D$4:$D$2091,$B121,'сентябрь 2024'!$J$4:$J$2091,AH$1)</f>
        <v>0</v>
      </c>
      <c r="AI121" s="21"/>
    </row>
    <row r="122" spans="2:35" ht="15" customHeight="1" x14ac:dyDescent="0.25">
      <c r="B122" s="89" t="s">
        <v>177</v>
      </c>
      <c r="C122" s="88">
        <v>200</v>
      </c>
      <c r="D122" s="80">
        <f>SUMIFS('сентябрь 2024'!$G$4:$G$2091,'сентябрь 2024'!$D$4:$D$2091,$B122,'сентябрь 2024'!$J$4:$J$2091,D$1)</f>
        <v>0</v>
      </c>
      <c r="E122" s="80">
        <f>SUMIFS('сентябрь 2024'!$G$4:$G$2091,'сентябрь 2024'!$D$4:$D$2091,$B122,'сентябрь 2024'!$J$4:$J$2091,E$1)</f>
        <v>0</v>
      </c>
      <c r="F122" s="80">
        <f>SUMIFS('сентябрь 2024'!$G$4:$G$2091,'сентябрь 2024'!$D$4:$D$2091,$B122,'сентябрь 2024'!$J$4:$J$2091,F$1)</f>
        <v>0</v>
      </c>
      <c r="G122" s="80">
        <f>SUMIFS('сентябрь 2024'!$G$4:$G$2091,'сентябрь 2024'!$D$4:$D$2091,$B122,'сентябрь 2024'!$J$4:$J$2091,G$1)</f>
        <v>0</v>
      </c>
      <c r="H122" s="80">
        <f>SUMIFS('сентябрь 2024'!$G$4:$G$2091,'сентябрь 2024'!$D$4:$D$2091,$B122,'сентябрь 2024'!$J$4:$J$2091,H$1)</f>
        <v>0</v>
      </c>
      <c r="I122" s="80">
        <f>SUMIFS('сентябрь 2024'!$G$4:$G$2091,'сентябрь 2024'!$D$4:$D$2091,$B122,'сентябрь 2024'!$J$4:$J$2091,I$1)</f>
        <v>0</v>
      </c>
      <c r="J122" s="80">
        <f>SUMIFS('сентябрь 2024'!$G$4:$G$2091,'сентябрь 2024'!$D$4:$D$2091,$B122,'сентябрь 2024'!$J$4:$J$2091,J$1)</f>
        <v>0</v>
      </c>
      <c r="K122" s="80">
        <f>SUMIFS('сентябрь 2024'!$G$4:$G$2091,'сентябрь 2024'!$D$4:$D$2091,$B122,'сентябрь 2024'!$J$4:$J$2091,K$1)</f>
        <v>0</v>
      </c>
      <c r="L122" s="80">
        <f>SUMIFS('сентябрь 2024'!$G$4:$G$2091,'сентябрь 2024'!$D$4:$D$2091,$B122,'сентябрь 2024'!$J$4:$J$2091,L$1)</f>
        <v>0</v>
      </c>
      <c r="M122" s="80">
        <f>SUMIFS('сентябрь 2024'!$G$4:$G$2091,'сентябрь 2024'!$D$4:$D$2091,$B122,'сентябрь 2024'!$J$4:$J$2091,M$1)</f>
        <v>0</v>
      </c>
      <c r="N122" s="80">
        <f>SUMIFS('сентябрь 2024'!$G$4:$G$2091,'сентябрь 2024'!$D$4:$D$2091,$B122,'сентябрь 2024'!$J$4:$J$2091,N$1)</f>
        <v>0</v>
      </c>
      <c r="O122" s="80">
        <f>SUMIFS('сентябрь 2024'!$G$4:$G$2091,'сентябрь 2024'!$D$4:$D$2091,$B122,'сентябрь 2024'!$J$4:$J$2091,O$1)</f>
        <v>0</v>
      </c>
      <c r="P122" s="80">
        <f>SUMIFS('сентябрь 2024'!$G$4:$G$2091,'сентябрь 2024'!$D$4:$D$2091,$B122,'сентябрь 2024'!$J$4:$J$2091,P$1)</f>
        <v>0</v>
      </c>
      <c r="Q122" s="80">
        <f>SUMIFS('сентябрь 2024'!$G$4:$G$2091,'сентябрь 2024'!$D$4:$D$2091,$B122,'сентябрь 2024'!$J$4:$J$2091,Q$1)</f>
        <v>0</v>
      </c>
      <c r="R122" s="80">
        <f>SUMIFS('сентябрь 2024'!$G$4:$G$2091,'сентябрь 2024'!$D$4:$D$2091,$B122,'сентябрь 2024'!$J$4:$J$2091,R$1)</f>
        <v>0</v>
      </c>
      <c r="S122" s="80">
        <f>SUMIFS('сентябрь 2024'!$G$4:$G$2091,'сентябрь 2024'!$D$4:$D$2091,$B122,'сентябрь 2024'!$J$4:$J$2091,S$1)</f>
        <v>0</v>
      </c>
      <c r="T122" s="80">
        <f>SUMIFS('сентябрь 2024'!$G$4:$G$2091,'сентябрь 2024'!$D$4:$D$2091,$B122,'сентябрь 2024'!$J$4:$J$2091,T$1)</f>
        <v>0</v>
      </c>
      <c r="U122" s="80">
        <f>SUMIFS('сентябрь 2024'!$G$4:$G$2091,'сентябрь 2024'!$D$4:$D$2091,$B122,'сентябрь 2024'!$J$4:$J$2091,U$1)</f>
        <v>0</v>
      </c>
      <c r="V122" s="80">
        <f>SUMIFS('сентябрь 2024'!$G$4:$G$2091,'сентябрь 2024'!$D$4:$D$2091,$B122,'сентябрь 2024'!$J$4:$J$2091,V$1)</f>
        <v>0</v>
      </c>
      <c r="W122" s="80">
        <f>SUMIFS('сентябрь 2024'!$G$4:$G$2091,'сентябрь 2024'!$D$4:$D$2091,$B122,'сентябрь 2024'!$J$4:$J$2091,W$1)</f>
        <v>0</v>
      </c>
      <c r="X122" s="80">
        <f>SUMIFS('сентябрь 2024'!$G$4:$G$2091,'сентябрь 2024'!$D$4:$D$2091,$B122,'сентябрь 2024'!$J$4:$J$2091,X$1)</f>
        <v>0</v>
      </c>
      <c r="Y122" s="80">
        <f>SUMIFS('сентябрь 2024'!$G$4:$G$2091,'сентябрь 2024'!$D$4:$D$2091,$B122,'сентябрь 2024'!$J$4:$J$2091,Y$1)</f>
        <v>0</v>
      </c>
      <c r="Z122" s="80">
        <f>SUMIFS('сентябрь 2024'!$G$4:$G$2091,'сентябрь 2024'!$D$4:$D$2091,$B122,'сентябрь 2024'!$J$4:$J$2091,Z$1)</f>
        <v>0</v>
      </c>
      <c r="AA122" s="80">
        <f>SUMIFS('сентябрь 2024'!$G$4:$G$2091,'сентябрь 2024'!$D$4:$D$2091,$B122,'сентябрь 2024'!$J$4:$J$2091,AA$1)</f>
        <v>0</v>
      </c>
      <c r="AB122" s="80">
        <f>SUMIFS('сентябрь 2024'!$G$4:$G$2091,'сентябрь 2024'!$D$4:$D$2091,$B122,'сентябрь 2024'!$J$4:$J$2091,AB$1)</f>
        <v>0</v>
      </c>
      <c r="AC122" s="80">
        <f>SUMIFS('сентябрь 2024'!$G$4:$G$2091,'сентябрь 2024'!$D$4:$D$2091,$B122,'сентябрь 2024'!$J$4:$J$2091,AC$1)</f>
        <v>0</v>
      </c>
      <c r="AD122" s="80">
        <f>SUMIFS('сентябрь 2024'!$G$4:$G$2091,'сентябрь 2024'!$D$4:$D$2091,$B122,'сентябрь 2024'!$J$4:$J$2091,AD$1)</f>
        <v>0</v>
      </c>
      <c r="AE122" s="80">
        <f>SUMIFS('сентябрь 2024'!$G$4:$G$2091,'сентябрь 2024'!$D$4:$D$2091,$B122,'сентябрь 2024'!$J$4:$J$2091,AE$1)</f>
        <v>0</v>
      </c>
      <c r="AF122" s="80">
        <f>SUMIFS('сентябрь 2024'!$G$4:$G$2091,'сентябрь 2024'!$D$4:$D$2091,$B122,'сентябрь 2024'!$J$4:$J$2091,AF$1)</f>
        <v>0</v>
      </c>
      <c r="AG122" s="80">
        <f>SUMIFS('сентябрь 2024'!$G$4:$G$2091,'сентябрь 2024'!$D$4:$D$2091,$B122,'сентябрь 2024'!$J$4:$J$2091,AG$1)</f>
        <v>0</v>
      </c>
      <c r="AH122" s="80">
        <f>SUMIFS('сентябрь 2024'!$G$4:$G$2091,'сентябрь 2024'!$D$4:$D$2091,$B122,'сентябрь 2024'!$J$4:$J$2091,AH$1)</f>
        <v>0</v>
      </c>
      <c r="AI122" s="21">
        <f t="shared" si="1"/>
        <v>0</v>
      </c>
    </row>
    <row r="123" spans="2:35" ht="15" customHeight="1" x14ac:dyDescent="0.25">
      <c r="B123" s="89" t="s">
        <v>178</v>
      </c>
      <c r="C123" s="88">
        <v>200</v>
      </c>
      <c r="D123" s="80">
        <f>SUMIFS('сентябрь 2024'!$G$4:$G$2091,'сентябрь 2024'!$D$4:$D$2091,$B123,'сентябрь 2024'!$J$4:$J$2091,D$1)</f>
        <v>0</v>
      </c>
      <c r="E123" s="80">
        <f>SUMIFS('сентябрь 2024'!$G$4:$G$2091,'сентябрь 2024'!$D$4:$D$2091,$B123,'сентябрь 2024'!$J$4:$J$2091,E$1)</f>
        <v>0</v>
      </c>
      <c r="F123" s="80">
        <f>SUMIFS('сентябрь 2024'!$G$4:$G$2091,'сентябрь 2024'!$D$4:$D$2091,$B123,'сентябрь 2024'!$J$4:$J$2091,F$1)</f>
        <v>0</v>
      </c>
      <c r="G123" s="80">
        <f>SUMIFS('сентябрь 2024'!$G$4:$G$2091,'сентябрь 2024'!$D$4:$D$2091,$B123,'сентябрь 2024'!$J$4:$J$2091,G$1)</f>
        <v>0</v>
      </c>
      <c r="H123" s="80">
        <f>SUMIFS('сентябрь 2024'!$G$4:$G$2091,'сентябрь 2024'!$D$4:$D$2091,$B123,'сентябрь 2024'!$J$4:$J$2091,H$1)</f>
        <v>0</v>
      </c>
      <c r="I123" s="80">
        <f>SUMIFS('сентябрь 2024'!$G$4:$G$2091,'сентябрь 2024'!$D$4:$D$2091,$B123,'сентябрь 2024'!$J$4:$J$2091,I$1)</f>
        <v>0</v>
      </c>
      <c r="J123" s="80">
        <f>SUMIFS('сентябрь 2024'!$G$4:$G$2091,'сентябрь 2024'!$D$4:$D$2091,$B123,'сентябрь 2024'!$J$4:$J$2091,J$1)</f>
        <v>0</v>
      </c>
      <c r="K123" s="80">
        <f>SUMIFS('сентябрь 2024'!$G$4:$G$2091,'сентябрь 2024'!$D$4:$D$2091,$B123,'сентябрь 2024'!$J$4:$J$2091,K$1)</f>
        <v>0</v>
      </c>
      <c r="L123" s="80">
        <f>SUMIFS('сентябрь 2024'!$G$4:$G$2091,'сентябрь 2024'!$D$4:$D$2091,$B123,'сентябрь 2024'!$J$4:$J$2091,L$1)</f>
        <v>0</v>
      </c>
      <c r="M123" s="80">
        <f>SUMIFS('сентябрь 2024'!$G$4:$G$2091,'сентябрь 2024'!$D$4:$D$2091,$B123,'сентябрь 2024'!$J$4:$J$2091,M$1)</f>
        <v>0</v>
      </c>
      <c r="N123" s="80">
        <f>SUMIFS('сентябрь 2024'!$G$4:$G$2091,'сентябрь 2024'!$D$4:$D$2091,$B123,'сентябрь 2024'!$J$4:$J$2091,N$1)</f>
        <v>0</v>
      </c>
      <c r="O123" s="80">
        <f>SUMIFS('сентябрь 2024'!$G$4:$G$2091,'сентябрь 2024'!$D$4:$D$2091,$B123,'сентябрь 2024'!$J$4:$J$2091,O$1)</f>
        <v>0</v>
      </c>
      <c r="P123" s="80">
        <f>SUMIFS('сентябрь 2024'!$G$4:$G$2091,'сентябрь 2024'!$D$4:$D$2091,$B123,'сентябрь 2024'!$J$4:$J$2091,P$1)</f>
        <v>0</v>
      </c>
      <c r="Q123" s="80">
        <f>SUMIFS('сентябрь 2024'!$G$4:$G$2091,'сентябрь 2024'!$D$4:$D$2091,$B123,'сентябрь 2024'!$J$4:$J$2091,Q$1)</f>
        <v>0</v>
      </c>
      <c r="R123" s="80">
        <f>SUMIFS('сентябрь 2024'!$G$4:$G$2091,'сентябрь 2024'!$D$4:$D$2091,$B123,'сентябрь 2024'!$J$4:$J$2091,R$1)</f>
        <v>0</v>
      </c>
      <c r="S123" s="80">
        <f>SUMIFS('сентябрь 2024'!$G$4:$G$2091,'сентябрь 2024'!$D$4:$D$2091,$B123,'сентябрь 2024'!$J$4:$J$2091,S$1)</f>
        <v>0</v>
      </c>
      <c r="T123" s="80">
        <f>SUMIFS('сентябрь 2024'!$G$4:$G$2091,'сентябрь 2024'!$D$4:$D$2091,$B123,'сентябрь 2024'!$J$4:$J$2091,T$1)</f>
        <v>0</v>
      </c>
      <c r="U123" s="80">
        <f>SUMIFS('сентябрь 2024'!$G$4:$G$2091,'сентябрь 2024'!$D$4:$D$2091,$B123,'сентябрь 2024'!$J$4:$J$2091,U$1)</f>
        <v>0</v>
      </c>
      <c r="V123" s="80">
        <f>SUMIFS('сентябрь 2024'!$G$4:$G$2091,'сентябрь 2024'!$D$4:$D$2091,$B123,'сентябрь 2024'!$J$4:$J$2091,V$1)</f>
        <v>0</v>
      </c>
      <c r="W123" s="80">
        <f>SUMIFS('сентябрь 2024'!$G$4:$G$2091,'сентябрь 2024'!$D$4:$D$2091,$B123,'сентябрь 2024'!$J$4:$J$2091,W$1)</f>
        <v>0</v>
      </c>
      <c r="X123" s="80">
        <f>SUMIFS('сентябрь 2024'!$G$4:$G$2091,'сентябрь 2024'!$D$4:$D$2091,$B123,'сентябрь 2024'!$J$4:$J$2091,X$1)</f>
        <v>0</v>
      </c>
      <c r="Y123" s="80">
        <f>SUMIFS('сентябрь 2024'!$G$4:$G$2091,'сентябрь 2024'!$D$4:$D$2091,$B123,'сентябрь 2024'!$J$4:$J$2091,Y$1)</f>
        <v>0</v>
      </c>
      <c r="Z123" s="80">
        <f>SUMIFS('сентябрь 2024'!$G$4:$G$2091,'сентябрь 2024'!$D$4:$D$2091,$B123,'сентябрь 2024'!$J$4:$J$2091,Z$1)</f>
        <v>0</v>
      </c>
      <c r="AA123" s="80">
        <f>SUMIFS('сентябрь 2024'!$G$4:$G$2091,'сентябрь 2024'!$D$4:$D$2091,$B123,'сентябрь 2024'!$J$4:$J$2091,AA$1)</f>
        <v>0</v>
      </c>
      <c r="AB123" s="80">
        <f>SUMIFS('сентябрь 2024'!$G$4:$G$2091,'сентябрь 2024'!$D$4:$D$2091,$B123,'сентябрь 2024'!$J$4:$J$2091,AB$1)</f>
        <v>0</v>
      </c>
      <c r="AC123" s="80">
        <f>SUMIFS('сентябрь 2024'!$G$4:$G$2091,'сентябрь 2024'!$D$4:$D$2091,$B123,'сентябрь 2024'!$J$4:$J$2091,AC$1)</f>
        <v>0</v>
      </c>
      <c r="AD123" s="80">
        <f>SUMIFS('сентябрь 2024'!$G$4:$G$2091,'сентябрь 2024'!$D$4:$D$2091,$B123,'сентябрь 2024'!$J$4:$J$2091,AD$1)</f>
        <v>0</v>
      </c>
      <c r="AE123" s="80">
        <f>SUMIFS('сентябрь 2024'!$G$4:$G$2091,'сентябрь 2024'!$D$4:$D$2091,$B123,'сентябрь 2024'!$J$4:$J$2091,AE$1)</f>
        <v>0</v>
      </c>
      <c r="AF123" s="80">
        <f>SUMIFS('сентябрь 2024'!$G$4:$G$2091,'сентябрь 2024'!$D$4:$D$2091,$B123,'сентябрь 2024'!$J$4:$J$2091,AF$1)</f>
        <v>0</v>
      </c>
      <c r="AG123" s="80">
        <f>SUMIFS('сентябрь 2024'!$G$4:$G$2091,'сентябрь 2024'!$D$4:$D$2091,$B123,'сентябрь 2024'!$J$4:$J$2091,AG$1)</f>
        <v>0</v>
      </c>
      <c r="AH123" s="80">
        <f>SUMIFS('сентябрь 2024'!$G$4:$G$2091,'сентябрь 2024'!$D$4:$D$2091,$B123,'сентябрь 2024'!$J$4:$J$2091,AH$1)</f>
        <v>0</v>
      </c>
      <c r="AI123" s="21">
        <f t="shared" si="1"/>
        <v>0</v>
      </c>
    </row>
    <row r="124" spans="2:35" ht="15" customHeight="1" x14ac:dyDescent="0.25">
      <c r="B124" s="89" t="s">
        <v>180</v>
      </c>
      <c r="C124" s="88">
        <v>200</v>
      </c>
      <c r="D124" s="80">
        <f>SUMIFS('сентябрь 2024'!$G$4:$G$2091,'сентябрь 2024'!$D$4:$D$2091,$B124,'сентябрь 2024'!$J$4:$J$2091,D$1)</f>
        <v>0</v>
      </c>
      <c r="E124" s="80">
        <f>SUMIFS('сентябрь 2024'!$G$4:$G$2091,'сентябрь 2024'!$D$4:$D$2091,$B124,'сентябрь 2024'!$J$4:$J$2091,E$1)</f>
        <v>0</v>
      </c>
      <c r="F124" s="80">
        <f>SUMIFS('сентябрь 2024'!$G$4:$G$2091,'сентябрь 2024'!$D$4:$D$2091,$B124,'сентябрь 2024'!$J$4:$J$2091,F$1)</f>
        <v>0</v>
      </c>
      <c r="G124" s="80">
        <f>SUMIFS('сентябрь 2024'!$G$4:$G$2091,'сентябрь 2024'!$D$4:$D$2091,$B124,'сентябрь 2024'!$J$4:$J$2091,G$1)</f>
        <v>0</v>
      </c>
      <c r="H124" s="80">
        <f>SUMIFS('сентябрь 2024'!$G$4:$G$2091,'сентябрь 2024'!$D$4:$D$2091,$B124,'сентябрь 2024'!$J$4:$J$2091,H$1)</f>
        <v>0</v>
      </c>
      <c r="I124" s="80">
        <f>SUMIFS('сентябрь 2024'!$G$4:$G$2091,'сентябрь 2024'!$D$4:$D$2091,$B124,'сентябрь 2024'!$J$4:$J$2091,I$1)</f>
        <v>0</v>
      </c>
      <c r="J124" s="80">
        <f>SUMIFS('сентябрь 2024'!$G$4:$G$2091,'сентябрь 2024'!$D$4:$D$2091,$B124,'сентябрь 2024'!$J$4:$J$2091,J$1)</f>
        <v>0</v>
      </c>
      <c r="K124" s="80">
        <f>SUMIFS('сентябрь 2024'!$G$4:$G$2091,'сентябрь 2024'!$D$4:$D$2091,$B124,'сентябрь 2024'!$J$4:$J$2091,K$1)</f>
        <v>0</v>
      </c>
      <c r="L124" s="80">
        <f>SUMIFS('сентябрь 2024'!$G$4:$G$2091,'сентябрь 2024'!$D$4:$D$2091,$B124,'сентябрь 2024'!$J$4:$J$2091,L$1)</f>
        <v>0</v>
      </c>
      <c r="M124" s="80">
        <f>SUMIFS('сентябрь 2024'!$G$4:$G$2091,'сентябрь 2024'!$D$4:$D$2091,$B124,'сентябрь 2024'!$J$4:$J$2091,M$1)</f>
        <v>0</v>
      </c>
      <c r="N124" s="80">
        <f>SUMIFS('сентябрь 2024'!$G$4:$G$2091,'сентябрь 2024'!$D$4:$D$2091,$B124,'сентябрь 2024'!$J$4:$J$2091,N$1)</f>
        <v>0</v>
      </c>
      <c r="O124" s="80">
        <f>SUMIFS('сентябрь 2024'!$G$4:$G$2091,'сентябрь 2024'!$D$4:$D$2091,$B124,'сентябрь 2024'!$J$4:$J$2091,O$1)</f>
        <v>0</v>
      </c>
      <c r="P124" s="80">
        <f>SUMIFS('сентябрь 2024'!$G$4:$G$2091,'сентябрь 2024'!$D$4:$D$2091,$B124,'сентябрь 2024'!$J$4:$J$2091,P$1)</f>
        <v>0</v>
      </c>
      <c r="Q124" s="80">
        <f>SUMIFS('сентябрь 2024'!$G$4:$G$2091,'сентябрь 2024'!$D$4:$D$2091,$B124,'сентябрь 2024'!$J$4:$J$2091,Q$1)</f>
        <v>0</v>
      </c>
      <c r="R124" s="80">
        <f>SUMIFS('сентябрь 2024'!$G$4:$G$2091,'сентябрь 2024'!$D$4:$D$2091,$B124,'сентябрь 2024'!$J$4:$J$2091,R$1)</f>
        <v>0</v>
      </c>
      <c r="S124" s="80">
        <f>SUMIFS('сентябрь 2024'!$G$4:$G$2091,'сентябрь 2024'!$D$4:$D$2091,$B124,'сентябрь 2024'!$J$4:$J$2091,S$1)</f>
        <v>0</v>
      </c>
      <c r="T124" s="80">
        <f>SUMIFS('сентябрь 2024'!$G$4:$G$2091,'сентябрь 2024'!$D$4:$D$2091,$B124,'сентябрь 2024'!$J$4:$J$2091,T$1)</f>
        <v>0</v>
      </c>
      <c r="U124" s="80">
        <f>SUMIFS('сентябрь 2024'!$G$4:$G$2091,'сентябрь 2024'!$D$4:$D$2091,$B124,'сентябрь 2024'!$J$4:$J$2091,U$1)</f>
        <v>0</v>
      </c>
      <c r="V124" s="80">
        <f>SUMIFS('сентябрь 2024'!$G$4:$G$2091,'сентябрь 2024'!$D$4:$D$2091,$B124,'сентябрь 2024'!$J$4:$J$2091,V$1)</f>
        <v>0</v>
      </c>
      <c r="W124" s="80">
        <f>SUMIFS('сентябрь 2024'!$G$4:$G$2091,'сентябрь 2024'!$D$4:$D$2091,$B124,'сентябрь 2024'!$J$4:$J$2091,W$1)</f>
        <v>0</v>
      </c>
      <c r="X124" s="80">
        <f>SUMIFS('сентябрь 2024'!$G$4:$G$2091,'сентябрь 2024'!$D$4:$D$2091,$B124,'сентябрь 2024'!$J$4:$J$2091,X$1)</f>
        <v>0</v>
      </c>
      <c r="Y124" s="80">
        <f>SUMIFS('сентябрь 2024'!$G$4:$G$2091,'сентябрь 2024'!$D$4:$D$2091,$B124,'сентябрь 2024'!$J$4:$J$2091,Y$1)</f>
        <v>0</v>
      </c>
      <c r="Z124" s="80">
        <f>SUMIFS('сентябрь 2024'!$G$4:$G$2091,'сентябрь 2024'!$D$4:$D$2091,$B124,'сентябрь 2024'!$J$4:$J$2091,Z$1)</f>
        <v>0</v>
      </c>
      <c r="AA124" s="80">
        <f>SUMIFS('сентябрь 2024'!$G$4:$G$2091,'сентябрь 2024'!$D$4:$D$2091,$B124,'сентябрь 2024'!$J$4:$J$2091,AA$1)</f>
        <v>0</v>
      </c>
      <c r="AB124" s="80">
        <f>SUMIFS('сентябрь 2024'!$G$4:$G$2091,'сентябрь 2024'!$D$4:$D$2091,$B124,'сентябрь 2024'!$J$4:$J$2091,AB$1)</f>
        <v>0</v>
      </c>
      <c r="AC124" s="80">
        <f>SUMIFS('сентябрь 2024'!$G$4:$G$2091,'сентябрь 2024'!$D$4:$D$2091,$B124,'сентябрь 2024'!$J$4:$J$2091,AC$1)</f>
        <v>0</v>
      </c>
      <c r="AD124" s="80">
        <f>SUMIFS('сентябрь 2024'!$G$4:$G$2091,'сентябрь 2024'!$D$4:$D$2091,$B124,'сентябрь 2024'!$J$4:$J$2091,AD$1)</f>
        <v>0</v>
      </c>
      <c r="AE124" s="80">
        <f>SUMIFS('сентябрь 2024'!$G$4:$G$2091,'сентябрь 2024'!$D$4:$D$2091,$B124,'сентябрь 2024'!$J$4:$J$2091,AE$1)</f>
        <v>0</v>
      </c>
      <c r="AF124" s="80">
        <f>SUMIFS('сентябрь 2024'!$G$4:$G$2091,'сентябрь 2024'!$D$4:$D$2091,$B124,'сентябрь 2024'!$J$4:$J$2091,AF$1)</f>
        <v>0</v>
      </c>
      <c r="AG124" s="80">
        <f>SUMIFS('сентябрь 2024'!$G$4:$G$2091,'сентябрь 2024'!$D$4:$D$2091,$B124,'сентябрь 2024'!$J$4:$J$2091,AG$1)</f>
        <v>0</v>
      </c>
      <c r="AH124" s="80">
        <f>SUMIFS('сентябрь 2024'!$G$4:$G$2091,'сентябрь 2024'!$D$4:$D$2091,$B124,'сентябрь 2024'!$J$4:$J$2091,AH$1)</f>
        <v>0</v>
      </c>
      <c r="AI124" s="21">
        <f t="shared" si="1"/>
        <v>0</v>
      </c>
    </row>
    <row r="125" spans="2:35" ht="15" customHeight="1" x14ac:dyDescent="0.25">
      <c r="B125" s="94" t="s">
        <v>194</v>
      </c>
      <c r="C125" s="95">
        <v>180</v>
      </c>
      <c r="D125" s="80">
        <f>SUMIFS('сентябрь 2024'!$G$4:$G$2091,'сентябрь 2024'!$D$4:$D$2091,$B125,'сентябрь 2024'!$J$4:$J$2091,D$1)</f>
        <v>0</v>
      </c>
      <c r="E125" s="80">
        <f>SUMIFS('сентябрь 2024'!$G$4:$G$2091,'сентябрь 2024'!$D$4:$D$2091,$B125,'сентябрь 2024'!$J$4:$J$2091,E$1)</f>
        <v>0</v>
      </c>
      <c r="F125" s="80">
        <f>SUMIFS('сентябрь 2024'!$G$4:$G$2091,'сентябрь 2024'!$D$4:$D$2091,$B125,'сентябрь 2024'!$J$4:$J$2091,F$1)</f>
        <v>0</v>
      </c>
      <c r="G125" s="80">
        <f>SUMIFS('сентябрь 2024'!$G$4:$G$2091,'сентябрь 2024'!$D$4:$D$2091,$B125,'сентябрь 2024'!$J$4:$J$2091,G$1)</f>
        <v>0</v>
      </c>
      <c r="H125" s="80">
        <f>SUMIFS('сентябрь 2024'!$G$4:$G$2091,'сентябрь 2024'!$D$4:$D$2091,$B125,'сентябрь 2024'!$J$4:$J$2091,H$1)</f>
        <v>0</v>
      </c>
      <c r="I125" s="80">
        <f>SUMIFS('сентябрь 2024'!$G$4:$G$2091,'сентябрь 2024'!$D$4:$D$2091,$B125,'сентябрь 2024'!$J$4:$J$2091,I$1)</f>
        <v>0</v>
      </c>
      <c r="J125" s="80">
        <f>SUMIFS('сентябрь 2024'!$G$4:$G$2091,'сентябрь 2024'!$D$4:$D$2091,$B125,'сентябрь 2024'!$J$4:$J$2091,J$1)</f>
        <v>0</v>
      </c>
      <c r="K125" s="80">
        <f>SUMIFS('сентябрь 2024'!$G$4:$G$2091,'сентябрь 2024'!$D$4:$D$2091,$B125,'сентябрь 2024'!$J$4:$J$2091,K$1)</f>
        <v>0</v>
      </c>
      <c r="L125" s="80">
        <f>SUMIFS('сентябрь 2024'!$G$4:$G$2091,'сентябрь 2024'!$D$4:$D$2091,$B125,'сентябрь 2024'!$J$4:$J$2091,L$1)</f>
        <v>0</v>
      </c>
      <c r="M125" s="80">
        <f>SUMIFS('сентябрь 2024'!$G$4:$G$2091,'сентябрь 2024'!$D$4:$D$2091,$B125,'сентябрь 2024'!$J$4:$J$2091,M$1)</f>
        <v>0</v>
      </c>
      <c r="N125" s="80">
        <f>SUMIFS('сентябрь 2024'!$G$4:$G$2091,'сентябрь 2024'!$D$4:$D$2091,$B125,'сентябрь 2024'!$J$4:$J$2091,N$1)</f>
        <v>0</v>
      </c>
      <c r="O125" s="80">
        <f>SUMIFS('сентябрь 2024'!$G$4:$G$2091,'сентябрь 2024'!$D$4:$D$2091,$B125,'сентябрь 2024'!$J$4:$J$2091,O$1)</f>
        <v>0</v>
      </c>
      <c r="P125" s="80">
        <f>SUMIFS('сентябрь 2024'!$G$4:$G$2091,'сентябрь 2024'!$D$4:$D$2091,$B125,'сентябрь 2024'!$J$4:$J$2091,P$1)</f>
        <v>0</v>
      </c>
      <c r="Q125" s="80">
        <f>SUMIFS('сентябрь 2024'!$G$4:$G$2091,'сентябрь 2024'!$D$4:$D$2091,$B125,'сентябрь 2024'!$J$4:$J$2091,Q$1)</f>
        <v>0</v>
      </c>
      <c r="R125" s="80">
        <f>SUMIFS('сентябрь 2024'!$G$4:$G$2091,'сентябрь 2024'!$D$4:$D$2091,$B125,'сентябрь 2024'!$J$4:$J$2091,R$1)</f>
        <v>0</v>
      </c>
      <c r="S125" s="80">
        <f>SUMIFS('сентябрь 2024'!$G$4:$G$2091,'сентябрь 2024'!$D$4:$D$2091,$B125,'сентябрь 2024'!$J$4:$J$2091,S$1)</f>
        <v>0</v>
      </c>
      <c r="T125" s="80">
        <f>SUMIFS('сентябрь 2024'!$G$4:$G$2091,'сентябрь 2024'!$D$4:$D$2091,$B125,'сентябрь 2024'!$J$4:$J$2091,T$1)</f>
        <v>0</v>
      </c>
      <c r="U125" s="80">
        <f>SUMIFS('сентябрь 2024'!$G$4:$G$2091,'сентябрь 2024'!$D$4:$D$2091,$B125,'сентябрь 2024'!$J$4:$J$2091,U$1)</f>
        <v>0</v>
      </c>
      <c r="V125" s="80">
        <f>SUMIFS('сентябрь 2024'!$G$4:$G$2091,'сентябрь 2024'!$D$4:$D$2091,$B125,'сентябрь 2024'!$J$4:$J$2091,V$1)</f>
        <v>0</v>
      </c>
      <c r="W125" s="80">
        <f>SUMIFS('сентябрь 2024'!$G$4:$G$2091,'сентябрь 2024'!$D$4:$D$2091,$B125,'сентябрь 2024'!$J$4:$J$2091,W$1)</f>
        <v>0</v>
      </c>
      <c r="X125" s="80">
        <f>SUMIFS('сентябрь 2024'!$G$4:$G$2091,'сентябрь 2024'!$D$4:$D$2091,$B125,'сентябрь 2024'!$J$4:$J$2091,X$1)</f>
        <v>0</v>
      </c>
      <c r="Y125" s="80">
        <f>SUMIFS('сентябрь 2024'!$G$4:$G$2091,'сентябрь 2024'!$D$4:$D$2091,$B125,'сентябрь 2024'!$J$4:$J$2091,Y$1)</f>
        <v>0</v>
      </c>
      <c r="Z125" s="80">
        <f>SUMIFS('сентябрь 2024'!$G$4:$G$2091,'сентябрь 2024'!$D$4:$D$2091,$B125,'сентябрь 2024'!$J$4:$J$2091,Z$1)</f>
        <v>0</v>
      </c>
      <c r="AA125" s="80">
        <f>SUMIFS('сентябрь 2024'!$G$4:$G$2091,'сентябрь 2024'!$D$4:$D$2091,$B125,'сентябрь 2024'!$J$4:$J$2091,AA$1)</f>
        <v>0</v>
      </c>
      <c r="AB125" s="80">
        <f>SUMIFS('сентябрь 2024'!$G$4:$G$2091,'сентябрь 2024'!$D$4:$D$2091,$B125,'сентябрь 2024'!$J$4:$J$2091,AB$1)</f>
        <v>0</v>
      </c>
      <c r="AC125" s="80">
        <f>SUMIFS('сентябрь 2024'!$G$4:$G$2091,'сентябрь 2024'!$D$4:$D$2091,$B125,'сентябрь 2024'!$J$4:$J$2091,AC$1)</f>
        <v>0</v>
      </c>
      <c r="AD125" s="80">
        <f>SUMIFS('сентябрь 2024'!$G$4:$G$2091,'сентябрь 2024'!$D$4:$D$2091,$B125,'сентябрь 2024'!$J$4:$J$2091,AD$1)</f>
        <v>0</v>
      </c>
      <c r="AE125" s="80">
        <f>SUMIFS('сентябрь 2024'!$G$4:$G$2091,'сентябрь 2024'!$D$4:$D$2091,$B125,'сентябрь 2024'!$J$4:$J$2091,AE$1)</f>
        <v>0</v>
      </c>
      <c r="AF125" s="80">
        <f>SUMIFS('сентябрь 2024'!$G$4:$G$2091,'сентябрь 2024'!$D$4:$D$2091,$B125,'сентябрь 2024'!$J$4:$J$2091,AF$1)</f>
        <v>0</v>
      </c>
      <c r="AG125" s="80">
        <f>SUMIFS('сентябрь 2024'!$G$4:$G$2091,'сентябрь 2024'!$D$4:$D$2091,$B125,'сентябрь 2024'!$J$4:$J$2091,AG$1)</f>
        <v>0</v>
      </c>
      <c r="AH125" s="80">
        <f>SUMIFS('сентябрь 2024'!$G$4:$G$2091,'сентябрь 2024'!$D$4:$D$2091,$B125,'сентябрь 2024'!$J$4:$J$2091,AH$1)</f>
        <v>0</v>
      </c>
      <c r="AI125" s="21">
        <f t="shared" si="1"/>
        <v>0</v>
      </c>
    </row>
    <row r="126" spans="2:35" ht="15" customHeight="1" x14ac:dyDescent="0.25">
      <c r="B126" s="89" t="s">
        <v>332</v>
      </c>
      <c r="C126" s="91">
        <v>180</v>
      </c>
      <c r="D126" s="80">
        <f>SUMIFS('сентябрь 2024'!$G$4:$G$2091,'сентябрь 2024'!$D$4:$D$2091,$B126,'сентябрь 2024'!$J$4:$J$2091,D$1)</f>
        <v>0</v>
      </c>
      <c r="E126" s="80">
        <f>SUMIFS('сентябрь 2024'!$G$4:$G$2091,'сентябрь 2024'!$D$4:$D$2091,$B126,'сентябрь 2024'!$J$4:$J$2091,E$1)</f>
        <v>0</v>
      </c>
      <c r="F126" s="80">
        <f>SUMIFS('сентябрь 2024'!$G$4:$G$2091,'сентябрь 2024'!$D$4:$D$2091,$B126,'сентябрь 2024'!$J$4:$J$2091,F$1)</f>
        <v>0</v>
      </c>
      <c r="G126" s="80">
        <f>SUMIFS('сентябрь 2024'!$G$4:$G$2091,'сентябрь 2024'!$D$4:$D$2091,$B126,'сентябрь 2024'!$J$4:$J$2091,G$1)</f>
        <v>0</v>
      </c>
      <c r="H126" s="80">
        <f>SUMIFS('сентябрь 2024'!$G$4:$G$2091,'сентябрь 2024'!$D$4:$D$2091,$B126,'сентябрь 2024'!$J$4:$J$2091,H$1)</f>
        <v>0</v>
      </c>
      <c r="I126" s="80">
        <f>SUMIFS('сентябрь 2024'!$G$4:$G$2091,'сентябрь 2024'!$D$4:$D$2091,$B126,'сентябрь 2024'!$J$4:$J$2091,I$1)</f>
        <v>0</v>
      </c>
      <c r="J126" s="80">
        <f>SUMIFS('сентябрь 2024'!$G$4:$G$2091,'сентябрь 2024'!$D$4:$D$2091,$B126,'сентябрь 2024'!$J$4:$J$2091,J$1)</f>
        <v>0</v>
      </c>
      <c r="K126" s="80">
        <f>SUMIFS('сентябрь 2024'!$G$4:$G$2091,'сентябрь 2024'!$D$4:$D$2091,$B126,'сентябрь 2024'!$J$4:$J$2091,K$1)</f>
        <v>0</v>
      </c>
      <c r="L126" s="80">
        <f>SUMIFS('сентябрь 2024'!$G$4:$G$2091,'сентябрь 2024'!$D$4:$D$2091,$B126,'сентябрь 2024'!$J$4:$J$2091,L$1)</f>
        <v>0</v>
      </c>
      <c r="M126" s="80">
        <f>SUMIFS('сентябрь 2024'!$G$4:$G$2091,'сентябрь 2024'!$D$4:$D$2091,$B126,'сентябрь 2024'!$J$4:$J$2091,M$1)</f>
        <v>0</v>
      </c>
      <c r="N126" s="80">
        <f>SUMIFS('сентябрь 2024'!$G$4:$G$2091,'сентябрь 2024'!$D$4:$D$2091,$B126,'сентябрь 2024'!$J$4:$J$2091,N$1)</f>
        <v>0</v>
      </c>
      <c r="O126" s="80">
        <f>SUMIFS('сентябрь 2024'!$G$4:$G$2091,'сентябрь 2024'!$D$4:$D$2091,$B126,'сентябрь 2024'!$J$4:$J$2091,O$1)</f>
        <v>0</v>
      </c>
      <c r="P126" s="80">
        <f>SUMIFS('сентябрь 2024'!$G$4:$G$2091,'сентябрь 2024'!$D$4:$D$2091,$B126,'сентябрь 2024'!$J$4:$J$2091,P$1)</f>
        <v>0</v>
      </c>
      <c r="Q126" s="80">
        <f>SUMIFS('сентябрь 2024'!$G$4:$G$2091,'сентябрь 2024'!$D$4:$D$2091,$B126,'сентябрь 2024'!$J$4:$J$2091,Q$1)</f>
        <v>0</v>
      </c>
      <c r="R126" s="80">
        <f>SUMIFS('сентябрь 2024'!$G$4:$G$2091,'сентябрь 2024'!$D$4:$D$2091,$B126,'сентябрь 2024'!$J$4:$J$2091,R$1)</f>
        <v>0</v>
      </c>
      <c r="S126" s="80">
        <f>SUMIFS('сентябрь 2024'!$G$4:$G$2091,'сентябрь 2024'!$D$4:$D$2091,$B126,'сентябрь 2024'!$J$4:$J$2091,S$1)</f>
        <v>0</v>
      </c>
      <c r="T126" s="80">
        <f>SUMIFS('сентябрь 2024'!$G$4:$G$2091,'сентябрь 2024'!$D$4:$D$2091,$B126,'сентябрь 2024'!$J$4:$J$2091,T$1)</f>
        <v>0</v>
      </c>
      <c r="U126" s="80">
        <f>SUMIFS('сентябрь 2024'!$G$4:$G$2091,'сентябрь 2024'!$D$4:$D$2091,$B126,'сентябрь 2024'!$J$4:$J$2091,U$1)</f>
        <v>0</v>
      </c>
      <c r="V126" s="80">
        <f>SUMIFS('сентябрь 2024'!$G$4:$G$2091,'сентябрь 2024'!$D$4:$D$2091,$B126,'сентябрь 2024'!$J$4:$J$2091,V$1)</f>
        <v>0</v>
      </c>
      <c r="W126" s="80">
        <f>SUMIFS('сентябрь 2024'!$G$4:$G$2091,'сентябрь 2024'!$D$4:$D$2091,$B126,'сентябрь 2024'!$J$4:$J$2091,W$1)</f>
        <v>0</v>
      </c>
      <c r="X126" s="80">
        <f>SUMIFS('сентябрь 2024'!$G$4:$G$2091,'сентябрь 2024'!$D$4:$D$2091,$B126,'сентябрь 2024'!$J$4:$J$2091,X$1)</f>
        <v>0</v>
      </c>
      <c r="Y126" s="80">
        <f>SUMIFS('сентябрь 2024'!$G$4:$G$2091,'сентябрь 2024'!$D$4:$D$2091,$B126,'сентябрь 2024'!$J$4:$J$2091,Y$1)</f>
        <v>0</v>
      </c>
      <c r="Z126" s="80">
        <f>SUMIFS('сентябрь 2024'!$G$4:$G$2091,'сентябрь 2024'!$D$4:$D$2091,$B126,'сентябрь 2024'!$J$4:$J$2091,Z$1)</f>
        <v>0</v>
      </c>
      <c r="AA126" s="80">
        <f>SUMIFS('сентябрь 2024'!$G$4:$G$2091,'сентябрь 2024'!$D$4:$D$2091,$B126,'сентябрь 2024'!$J$4:$J$2091,AA$1)</f>
        <v>0</v>
      </c>
      <c r="AB126" s="80">
        <f>SUMIFS('сентябрь 2024'!$G$4:$G$2091,'сентябрь 2024'!$D$4:$D$2091,$B126,'сентябрь 2024'!$J$4:$J$2091,AB$1)</f>
        <v>0</v>
      </c>
      <c r="AC126" s="80">
        <f>SUMIFS('сентябрь 2024'!$G$4:$G$2091,'сентябрь 2024'!$D$4:$D$2091,$B126,'сентябрь 2024'!$J$4:$J$2091,AC$1)</f>
        <v>0</v>
      </c>
      <c r="AD126" s="80">
        <f>SUMIFS('сентябрь 2024'!$G$4:$G$2091,'сентябрь 2024'!$D$4:$D$2091,$B126,'сентябрь 2024'!$J$4:$J$2091,AD$1)</f>
        <v>0</v>
      </c>
      <c r="AE126" s="80">
        <f>SUMIFS('сентябрь 2024'!$G$4:$G$2091,'сентябрь 2024'!$D$4:$D$2091,$B126,'сентябрь 2024'!$J$4:$J$2091,AE$1)</f>
        <v>0</v>
      </c>
      <c r="AF126" s="80">
        <f>SUMIFS('сентябрь 2024'!$G$4:$G$2091,'сентябрь 2024'!$D$4:$D$2091,$B126,'сентябрь 2024'!$J$4:$J$2091,AF$1)</f>
        <v>0</v>
      </c>
      <c r="AG126" s="80">
        <f>SUMIFS('сентябрь 2024'!$G$4:$G$2091,'сентябрь 2024'!$D$4:$D$2091,$B126,'сентябрь 2024'!$J$4:$J$2091,AG$1)</f>
        <v>0</v>
      </c>
      <c r="AH126" s="80">
        <f>SUMIFS('сентябрь 2024'!$G$4:$G$2091,'сентябрь 2024'!$D$4:$D$2091,$B126,'сентябрь 2024'!$J$4:$J$2091,AH$1)</f>
        <v>0</v>
      </c>
      <c r="AI126" s="21">
        <f t="shared" si="1"/>
        <v>0</v>
      </c>
    </row>
    <row r="127" spans="2:35" ht="15" customHeight="1" x14ac:dyDescent="0.25">
      <c r="B127" s="89" t="s">
        <v>342</v>
      </c>
      <c r="C127" s="91">
        <v>180</v>
      </c>
      <c r="D127" s="80">
        <f>SUMIFS('сентябрь 2024'!$G$4:$G$2091,'сентябрь 2024'!$D$4:$D$2091,$B127,'сентябрь 2024'!$J$4:$J$2091,D$1)</f>
        <v>0</v>
      </c>
      <c r="E127" s="80">
        <f>SUMIFS('сентябрь 2024'!$G$4:$G$2091,'сентябрь 2024'!$D$4:$D$2091,$B127,'сентябрь 2024'!$J$4:$J$2091,E$1)</f>
        <v>0</v>
      </c>
      <c r="F127" s="80">
        <f>SUMIFS('сентябрь 2024'!$G$4:$G$2091,'сентябрь 2024'!$D$4:$D$2091,$B127,'сентябрь 2024'!$J$4:$J$2091,F$1)</f>
        <v>0</v>
      </c>
      <c r="G127" s="80">
        <f>SUMIFS('сентябрь 2024'!$G$4:$G$2091,'сентябрь 2024'!$D$4:$D$2091,$B127,'сентябрь 2024'!$J$4:$J$2091,G$1)</f>
        <v>0</v>
      </c>
      <c r="H127" s="80">
        <f>SUMIFS('сентябрь 2024'!$G$4:$G$2091,'сентябрь 2024'!$D$4:$D$2091,$B127,'сентябрь 2024'!$J$4:$J$2091,H$1)</f>
        <v>0</v>
      </c>
      <c r="I127" s="80">
        <f>SUMIFS('сентябрь 2024'!$G$4:$G$2091,'сентябрь 2024'!$D$4:$D$2091,$B127,'сентябрь 2024'!$J$4:$J$2091,I$1)</f>
        <v>0</v>
      </c>
      <c r="J127" s="80">
        <f>SUMIFS('сентябрь 2024'!$G$4:$G$2091,'сентябрь 2024'!$D$4:$D$2091,$B127,'сентябрь 2024'!$J$4:$J$2091,J$1)</f>
        <v>0</v>
      </c>
      <c r="K127" s="80">
        <f>SUMIFS('сентябрь 2024'!$G$4:$G$2091,'сентябрь 2024'!$D$4:$D$2091,$B127,'сентябрь 2024'!$J$4:$J$2091,K$1)</f>
        <v>0</v>
      </c>
      <c r="L127" s="80">
        <f>SUMIFS('сентябрь 2024'!$G$4:$G$2091,'сентябрь 2024'!$D$4:$D$2091,$B127,'сентябрь 2024'!$J$4:$J$2091,L$1)</f>
        <v>0</v>
      </c>
      <c r="M127" s="80">
        <f>SUMIFS('сентябрь 2024'!$G$4:$G$2091,'сентябрь 2024'!$D$4:$D$2091,$B127,'сентябрь 2024'!$J$4:$J$2091,M$1)</f>
        <v>0</v>
      </c>
      <c r="N127" s="80">
        <f>SUMIFS('сентябрь 2024'!$G$4:$G$2091,'сентябрь 2024'!$D$4:$D$2091,$B127,'сентябрь 2024'!$J$4:$J$2091,N$1)</f>
        <v>0</v>
      </c>
      <c r="O127" s="80">
        <f>SUMIFS('сентябрь 2024'!$G$4:$G$2091,'сентябрь 2024'!$D$4:$D$2091,$B127,'сентябрь 2024'!$J$4:$J$2091,O$1)</f>
        <v>0</v>
      </c>
      <c r="P127" s="80">
        <f>SUMIFS('сентябрь 2024'!$G$4:$G$2091,'сентябрь 2024'!$D$4:$D$2091,$B127,'сентябрь 2024'!$J$4:$J$2091,P$1)</f>
        <v>0</v>
      </c>
      <c r="Q127" s="80">
        <f>SUMIFS('сентябрь 2024'!$G$4:$G$2091,'сентябрь 2024'!$D$4:$D$2091,$B127,'сентябрь 2024'!$J$4:$J$2091,Q$1)</f>
        <v>0</v>
      </c>
      <c r="R127" s="80">
        <f>SUMIFS('сентябрь 2024'!$G$4:$G$2091,'сентябрь 2024'!$D$4:$D$2091,$B127,'сентябрь 2024'!$J$4:$J$2091,R$1)</f>
        <v>0</v>
      </c>
      <c r="S127" s="80">
        <f>SUMIFS('сентябрь 2024'!$G$4:$G$2091,'сентябрь 2024'!$D$4:$D$2091,$B127,'сентябрь 2024'!$J$4:$J$2091,S$1)</f>
        <v>0</v>
      </c>
      <c r="T127" s="80">
        <f>SUMIFS('сентябрь 2024'!$G$4:$G$2091,'сентябрь 2024'!$D$4:$D$2091,$B127,'сентябрь 2024'!$J$4:$J$2091,T$1)</f>
        <v>0</v>
      </c>
      <c r="U127" s="80">
        <f>SUMIFS('сентябрь 2024'!$G$4:$G$2091,'сентябрь 2024'!$D$4:$D$2091,$B127,'сентябрь 2024'!$J$4:$J$2091,U$1)</f>
        <v>0</v>
      </c>
      <c r="V127" s="80">
        <f>SUMIFS('сентябрь 2024'!$G$4:$G$2091,'сентябрь 2024'!$D$4:$D$2091,$B127,'сентябрь 2024'!$J$4:$J$2091,V$1)</f>
        <v>0</v>
      </c>
      <c r="W127" s="80">
        <f>SUMIFS('сентябрь 2024'!$G$4:$G$2091,'сентябрь 2024'!$D$4:$D$2091,$B127,'сентябрь 2024'!$J$4:$J$2091,W$1)</f>
        <v>0</v>
      </c>
      <c r="X127" s="80">
        <f>SUMIFS('сентябрь 2024'!$G$4:$G$2091,'сентябрь 2024'!$D$4:$D$2091,$B127,'сентябрь 2024'!$J$4:$J$2091,X$1)</f>
        <v>0</v>
      </c>
      <c r="Y127" s="80">
        <f>SUMIFS('сентябрь 2024'!$G$4:$G$2091,'сентябрь 2024'!$D$4:$D$2091,$B127,'сентябрь 2024'!$J$4:$J$2091,Y$1)</f>
        <v>0</v>
      </c>
      <c r="Z127" s="80">
        <f>SUMIFS('сентябрь 2024'!$G$4:$G$2091,'сентябрь 2024'!$D$4:$D$2091,$B127,'сентябрь 2024'!$J$4:$J$2091,Z$1)</f>
        <v>0</v>
      </c>
      <c r="AA127" s="80">
        <f>SUMIFS('сентябрь 2024'!$G$4:$G$2091,'сентябрь 2024'!$D$4:$D$2091,$B127,'сентябрь 2024'!$J$4:$J$2091,AA$1)</f>
        <v>0</v>
      </c>
      <c r="AB127" s="80">
        <f>SUMIFS('сентябрь 2024'!$G$4:$G$2091,'сентябрь 2024'!$D$4:$D$2091,$B127,'сентябрь 2024'!$J$4:$J$2091,AB$1)</f>
        <v>0</v>
      </c>
      <c r="AC127" s="80">
        <f>SUMIFS('сентябрь 2024'!$G$4:$G$2091,'сентябрь 2024'!$D$4:$D$2091,$B127,'сентябрь 2024'!$J$4:$J$2091,AC$1)</f>
        <v>0</v>
      </c>
      <c r="AD127" s="80">
        <f>SUMIFS('сентябрь 2024'!$G$4:$G$2091,'сентябрь 2024'!$D$4:$D$2091,$B127,'сентябрь 2024'!$J$4:$J$2091,AD$1)</f>
        <v>0</v>
      </c>
      <c r="AE127" s="80">
        <f>SUMIFS('сентябрь 2024'!$G$4:$G$2091,'сентябрь 2024'!$D$4:$D$2091,$B127,'сентябрь 2024'!$J$4:$J$2091,AE$1)</f>
        <v>0</v>
      </c>
      <c r="AF127" s="80">
        <f>SUMIFS('сентябрь 2024'!$G$4:$G$2091,'сентябрь 2024'!$D$4:$D$2091,$B127,'сентябрь 2024'!$J$4:$J$2091,AF$1)</f>
        <v>0</v>
      </c>
      <c r="AG127" s="80">
        <f>SUMIFS('сентябрь 2024'!$G$4:$G$2091,'сентябрь 2024'!$D$4:$D$2091,$B127,'сентябрь 2024'!$J$4:$J$2091,AG$1)</f>
        <v>0</v>
      </c>
      <c r="AH127" s="80">
        <f>SUMIFS('сентябрь 2024'!$G$4:$G$2091,'сентябрь 2024'!$D$4:$D$2091,$B127,'сентябрь 2024'!$J$4:$J$2091,AH$1)</f>
        <v>0</v>
      </c>
      <c r="AI127" s="21">
        <f t="shared" si="1"/>
        <v>0</v>
      </c>
    </row>
    <row r="128" spans="2:35" ht="15" customHeight="1" x14ac:dyDescent="0.25">
      <c r="B128" s="89" t="s">
        <v>760</v>
      </c>
      <c r="C128" s="91">
        <v>190</v>
      </c>
      <c r="D128" s="80">
        <f>SUMIFS('сентябрь 2024'!$G$4:$G$2091,'сентябрь 2024'!$D$4:$D$2091,$B128,'сентябрь 2024'!$J$4:$J$2091,D$1)</f>
        <v>0</v>
      </c>
      <c r="E128" s="80">
        <f>SUMIFS('сентябрь 2024'!$G$4:$G$2091,'сентябрь 2024'!$D$4:$D$2091,$B128,'сентябрь 2024'!$J$4:$J$2091,E$1)</f>
        <v>0</v>
      </c>
      <c r="F128" s="80">
        <f>SUMIFS('сентябрь 2024'!$G$4:$G$2091,'сентябрь 2024'!$D$4:$D$2091,$B128,'сентябрь 2024'!$J$4:$J$2091,F$1)</f>
        <v>0</v>
      </c>
      <c r="G128" s="80">
        <f>SUMIFS('сентябрь 2024'!$G$4:$G$2091,'сентябрь 2024'!$D$4:$D$2091,$B128,'сентябрь 2024'!$J$4:$J$2091,G$1)</f>
        <v>0</v>
      </c>
      <c r="H128" s="80">
        <f>SUMIFS('сентябрь 2024'!$G$4:$G$2091,'сентябрь 2024'!$D$4:$D$2091,$B128,'сентябрь 2024'!$J$4:$J$2091,H$1)</f>
        <v>0</v>
      </c>
      <c r="I128" s="80">
        <f>SUMIFS('сентябрь 2024'!$G$4:$G$2091,'сентябрь 2024'!$D$4:$D$2091,$B128,'сентябрь 2024'!$J$4:$J$2091,I$1)</f>
        <v>0</v>
      </c>
      <c r="J128" s="80">
        <f>SUMIFS('сентябрь 2024'!$G$4:$G$2091,'сентябрь 2024'!$D$4:$D$2091,$B128,'сентябрь 2024'!$J$4:$J$2091,J$1)</f>
        <v>0</v>
      </c>
      <c r="K128" s="80">
        <f>SUMIFS('сентябрь 2024'!$G$4:$G$2091,'сентябрь 2024'!$D$4:$D$2091,$B128,'сентябрь 2024'!$J$4:$J$2091,K$1)</f>
        <v>0</v>
      </c>
      <c r="L128" s="80">
        <f>SUMIFS('сентябрь 2024'!$G$4:$G$2091,'сентябрь 2024'!$D$4:$D$2091,$B128,'сентябрь 2024'!$J$4:$J$2091,L$1)</f>
        <v>0</v>
      </c>
      <c r="M128" s="80">
        <f>SUMIFS('сентябрь 2024'!$G$4:$G$2091,'сентябрь 2024'!$D$4:$D$2091,$B128,'сентябрь 2024'!$J$4:$J$2091,M$1)</f>
        <v>0</v>
      </c>
      <c r="N128" s="80">
        <f>SUMIFS('сентябрь 2024'!$G$4:$G$2091,'сентябрь 2024'!$D$4:$D$2091,$B128,'сентябрь 2024'!$J$4:$J$2091,N$1)</f>
        <v>0</v>
      </c>
      <c r="O128" s="80">
        <f>SUMIFS('сентябрь 2024'!$G$4:$G$2091,'сентябрь 2024'!$D$4:$D$2091,$B128,'сентябрь 2024'!$J$4:$J$2091,O$1)</f>
        <v>0</v>
      </c>
      <c r="P128" s="80">
        <f>SUMIFS('сентябрь 2024'!$G$4:$G$2091,'сентябрь 2024'!$D$4:$D$2091,$B128,'сентябрь 2024'!$J$4:$J$2091,P$1)</f>
        <v>0</v>
      </c>
      <c r="Q128" s="80">
        <f>SUMIFS('сентябрь 2024'!$G$4:$G$2091,'сентябрь 2024'!$D$4:$D$2091,$B128,'сентябрь 2024'!$J$4:$J$2091,Q$1)</f>
        <v>0</v>
      </c>
      <c r="R128" s="80">
        <f>SUMIFS('сентябрь 2024'!$G$4:$G$2091,'сентябрь 2024'!$D$4:$D$2091,$B128,'сентябрь 2024'!$J$4:$J$2091,R$1)</f>
        <v>0</v>
      </c>
      <c r="S128" s="80">
        <f>SUMIFS('сентябрь 2024'!$G$4:$G$2091,'сентябрь 2024'!$D$4:$D$2091,$B128,'сентябрь 2024'!$J$4:$J$2091,S$1)</f>
        <v>0</v>
      </c>
      <c r="T128" s="80">
        <f>SUMIFS('сентябрь 2024'!$G$4:$G$2091,'сентябрь 2024'!$D$4:$D$2091,$B128,'сентябрь 2024'!$J$4:$J$2091,T$1)</f>
        <v>0</v>
      </c>
      <c r="U128" s="80">
        <f>SUMIFS('сентябрь 2024'!$G$4:$G$2091,'сентябрь 2024'!$D$4:$D$2091,$B128,'сентябрь 2024'!$J$4:$J$2091,U$1)</f>
        <v>0</v>
      </c>
      <c r="V128" s="80">
        <f>SUMIFS('сентябрь 2024'!$G$4:$G$2091,'сентябрь 2024'!$D$4:$D$2091,$B128,'сентябрь 2024'!$J$4:$J$2091,V$1)</f>
        <v>0</v>
      </c>
      <c r="W128" s="80">
        <f>SUMIFS('сентябрь 2024'!$G$4:$G$2091,'сентябрь 2024'!$D$4:$D$2091,$B128,'сентябрь 2024'!$J$4:$J$2091,W$1)</f>
        <v>0</v>
      </c>
      <c r="X128" s="80">
        <f>SUMIFS('сентябрь 2024'!$G$4:$G$2091,'сентябрь 2024'!$D$4:$D$2091,$B128,'сентябрь 2024'!$J$4:$J$2091,X$1)</f>
        <v>0</v>
      </c>
      <c r="Y128" s="80">
        <f>SUMIFS('сентябрь 2024'!$G$4:$G$2091,'сентябрь 2024'!$D$4:$D$2091,$B128,'сентябрь 2024'!$J$4:$J$2091,Y$1)</f>
        <v>0</v>
      </c>
      <c r="Z128" s="80">
        <f>SUMIFS('сентябрь 2024'!$G$4:$G$2091,'сентябрь 2024'!$D$4:$D$2091,$B128,'сентябрь 2024'!$J$4:$J$2091,Z$1)</f>
        <v>0</v>
      </c>
      <c r="AA128" s="80">
        <f>SUMIFS('сентябрь 2024'!$G$4:$G$2091,'сентябрь 2024'!$D$4:$D$2091,$B128,'сентябрь 2024'!$J$4:$J$2091,AA$1)</f>
        <v>0</v>
      </c>
      <c r="AB128" s="80">
        <f>SUMIFS('сентябрь 2024'!$G$4:$G$2091,'сентябрь 2024'!$D$4:$D$2091,$B128,'сентябрь 2024'!$J$4:$J$2091,AB$1)</f>
        <v>0</v>
      </c>
      <c r="AC128" s="80">
        <f>SUMIFS('сентябрь 2024'!$G$4:$G$2091,'сентябрь 2024'!$D$4:$D$2091,$B128,'сентябрь 2024'!$J$4:$J$2091,AC$1)</f>
        <v>0</v>
      </c>
      <c r="AD128" s="80">
        <f>SUMIFS('сентябрь 2024'!$G$4:$G$2091,'сентябрь 2024'!$D$4:$D$2091,$B128,'сентябрь 2024'!$J$4:$J$2091,AD$1)</f>
        <v>0</v>
      </c>
      <c r="AE128" s="80">
        <f>SUMIFS('сентябрь 2024'!$G$4:$G$2091,'сентябрь 2024'!$D$4:$D$2091,$B128,'сентябрь 2024'!$J$4:$J$2091,AE$1)</f>
        <v>0</v>
      </c>
      <c r="AF128" s="80">
        <f>SUMIFS('сентябрь 2024'!$G$4:$G$2091,'сентябрь 2024'!$D$4:$D$2091,$B128,'сентябрь 2024'!$J$4:$J$2091,AF$1)</f>
        <v>0</v>
      </c>
      <c r="AG128" s="80">
        <f>SUMIFS('сентябрь 2024'!$G$4:$G$2091,'сентябрь 2024'!$D$4:$D$2091,$B128,'сентябрь 2024'!$J$4:$J$2091,AG$1)</f>
        <v>0</v>
      </c>
      <c r="AH128" s="80">
        <f>SUMIFS('сентябрь 2024'!$G$4:$G$2091,'сентябрь 2024'!$D$4:$D$2091,$B128,'сентябрь 2024'!$J$4:$J$2091,AH$1)</f>
        <v>0</v>
      </c>
      <c r="AI128" s="21">
        <f t="shared" si="1"/>
        <v>0</v>
      </c>
    </row>
    <row r="129" spans="2:35" ht="15" customHeight="1" x14ac:dyDescent="0.25">
      <c r="B129" s="89" t="s">
        <v>333</v>
      </c>
      <c r="C129" s="91">
        <v>200</v>
      </c>
      <c r="D129" s="80">
        <f>SUMIFS('сентябрь 2024'!$G$4:$G$2091,'сентябрь 2024'!$D$4:$D$2091,$B129,'сентябрь 2024'!$J$4:$J$2091,D$1)</f>
        <v>0</v>
      </c>
      <c r="E129" s="80">
        <f>SUMIFS('сентябрь 2024'!$G$4:$G$2091,'сентябрь 2024'!$D$4:$D$2091,$B129,'сентябрь 2024'!$J$4:$J$2091,E$1)</f>
        <v>0</v>
      </c>
      <c r="F129" s="80">
        <f>SUMIFS('сентябрь 2024'!$G$4:$G$2091,'сентябрь 2024'!$D$4:$D$2091,$B129,'сентябрь 2024'!$J$4:$J$2091,F$1)</f>
        <v>0</v>
      </c>
      <c r="G129" s="80">
        <f>SUMIFS('сентябрь 2024'!$G$4:$G$2091,'сентябрь 2024'!$D$4:$D$2091,$B129,'сентябрь 2024'!$J$4:$J$2091,G$1)</f>
        <v>0</v>
      </c>
      <c r="H129" s="80">
        <f>SUMIFS('сентябрь 2024'!$G$4:$G$2091,'сентябрь 2024'!$D$4:$D$2091,$B129,'сентябрь 2024'!$J$4:$J$2091,H$1)</f>
        <v>0</v>
      </c>
      <c r="I129" s="80">
        <f>SUMIFS('сентябрь 2024'!$G$4:$G$2091,'сентябрь 2024'!$D$4:$D$2091,$B129,'сентябрь 2024'!$J$4:$J$2091,I$1)</f>
        <v>0</v>
      </c>
      <c r="J129" s="80">
        <f>SUMIFS('сентябрь 2024'!$G$4:$G$2091,'сентябрь 2024'!$D$4:$D$2091,$B129,'сентябрь 2024'!$J$4:$J$2091,J$1)</f>
        <v>0</v>
      </c>
      <c r="K129" s="80">
        <f>SUMIFS('сентябрь 2024'!$G$4:$G$2091,'сентябрь 2024'!$D$4:$D$2091,$B129,'сентябрь 2024'!$J$4:$J$2091,K$1)</f>
        <v>0</v>
      </c>
      <c r="L129" s="80">
        <f>SUMIFS('сентябрь 2024'!$G$4:$G$2091,'сентябрь 2024'!$D$4:$D$2091,$B129,'сентябрь 2024'!$J$4:$J$2091,L$1)</f>
        <v>0</v>
      </c>
      <c r="M129" s="80">
        <f>SUMIFS('сентябрь 2024'!$G$4:$G$2091,'сентябрь 2024'!$D$4:$D$2091,$B129,'сентябрь 2024'!$J$4:$J$2091,M$1)</f>
        <v>0</v>
      </c>
      <c r="N129" s="80">
        <f>SUMIFS('сентябрь 2024'!$G$4:$G$2091,'сентябрь 2024'!$D$4:$D$2091,$B129,'сентябрь 2024'!$J$4:$J$2091,N$1)</f>
        <v>0</v>
      </c>
      <c r="O129" s="80">
        <f>SUMIFS('сентябрь 2024'!$G$4:$G$2091,'сентябрь 2024'!$D$4:$D$2091,$B129,'сентябрь 2024'!$J$4:$J$2091,O$1)</f>
        <v>0</v>
      </c>
      <c r="P129" s="80">
        <f>SUMIFS('сентябрь 2024'!$G$4:$G$2091,'сентябрь 2024'!$D$4:$D$2091,$B129,'сентябрь 2024'!$J$4:$J$2091,P$1)</f>
        <v>0</v>
      </c>
      <c r="Q129" s="80">
        <f>SUMIFS('сентябрь 2024'!$G$4:$G$2091,'сентябрь 2024'!$D$4:$D$2091,$B129,'сентябрь 2024'!$J$4:$J$2091,Q$1)</f>
        <v>0</v>
      </c>
      <c r="R129" s="80">
        <f>SUMIFS('сентябрь 2024'!$G$4:$G$2091,'сентябрь 2024'!$D$4:$D$2091,$B129,'сентябрь 2024'!$J$4:$J$2091,R$1)</f>
        <v>0</v>
      </c>
      <c r="S129" s="80">
        <f>SUMIFS('сентябрь 2024'!$G$4:$G$2091,'сентябрь 2024'!$D$4:$D$2091,$B129,'сентябрь 2024'!$J$4:$J$2091,S$1)</f>
        <v>0</v>
      </c>
      <c r="T129" s="80">
        <f>SUMIFS('сентябрь 2024'!$G$4:$G$2091,'сентябрь 2024'!$D$4:$D$2091,$B129,'сентябрь 2024'!$J$4:$J$2091,T$1)</f>
        <v>0</v>
      </c>
      <c r="U129" s="80">
        <f>SUMIFS('сентябрь 2024'!$G$4:$G$2091,'сентябрь 2024'!$D$4:$D$2091,$B129,'сентябрь 2024'!$J$4:$J$2091,U$1)</f>
        <v>0</v>
      </c>
      <c r="V129" s="80">
        <f>SUMIFS('сентябрь 2024'!$G$4:$G$2091,'сентябрь 2024'!$D$4:$D$2091,$B129,'сентябрь 2024'!$J$4:$J$2091,V$1)</f>
        <v>0</v>
      </c>
      <c r="W129" s="80">
        <f>SUMIFS('сентябрь 2024'!$G$4:$G$2091,'сентябрь 2024'!$D$4:$D$2091,$B129,'сентябрь 2024'!$J$4:$J$2091,W$1)</f>
        <v>0</v>
      </c>
      <c r="X129" s="80">
        <f>SUMIFS('сентябрь 2024'!$G$4:$G$2091,'сентябрь 2024'!$D$4:$D$2091,$B129,'сентябрь 2024'!$J$4:$J$2091,X$1)</f>
        <v>0</v>
      </c>
      <c r="Y129" s="80">
        <f>SUMIFS('сентябрь 2024'!$G$4:$G$2091,'сентябрь 2024'!$D$4:$D$2091,$B129,'сентябрь 2024'!$J$4:$J$2091,Y$1)</f>
        <v>0</v>
      </c>
      <c r="Z129" s="80">
        <f>SUMIFS('сентябрь 2024'!$G$4:$G$2091,'сентябрь 2024'!$D$4:$D$2091,$B129,'сентябрь 2024'!$J$4:$J$2091,Z$1)</f>
        <v>0</v>
      </c>
      <c r="AA129" s="80">
        <f>SUMIFS('сентябрь 2024'!$G$4:$G$2091,'сентябрь 2024'!$D$4:$D$2091,$B129,'сентябрь 2024'!$J$4:$J$2091,AA$1)</f>
        <v>0</v>
      </c>
      <c r="AB129" s="80">
        <f>SUMIFS('сентябрь 2024'!$G$4:$G$2091,'сентябрь 2024'!$D$4:$D$2091,$B129,'сентябрь 2024'!$J$4:$J$2091,AB$1)</f>
        <v>0</v>
      </c>
      <c r="AC129" s="80">
        <f>SUMIFS('сентябрь 2024'!$G$4:$G$2091,'сентябрь 2024'!$D$4:$D$2091,$B129,'сентябрь 2024'!$J$4:$J$2091,AC$1)</f>
        <v>0</v>
      </c>
      <c r="AD129" s="80">
        <f>SUMIFS('сентябрь 2024'!$G$4:$G$2091,'сентябрь 2024'!$D$4:$D$2091,$B129,'сентябрь 2024'!$J$4:$J$2091,AD$1)</f>
        <v>0</v>
      </c>
      <c r="AE129" s="80">
        <f>SUMIFS('сентябрь 2024'!$G$4:$G$2091,'сентябрь 2024'!$D$4:$D$2091,$B129,'сентябрь 2024'!$J$4:$J$2091,AE$1)</f>
        <v>0</v>
      </c>
      <c r="AF129" s="80">
        <f>SUMIFS('сентябрь 2024'!$G$4:$G$2091,'сентябрь 2024'!$D$4:$D$2091,$B129,'сентябрь 2024'!$J$4:$J$2091,AF$1)</f>
        <v>0</v>
      </c>
      <c r="AG129" s="80">
        <f>SUMIFS('сентябрь 2024'!$G$4:$G$2091,'сентябрь 2024'!$D$4:$D$2091,$B129,'сентябрь 2024'!$J$4:$J$2091,AG$1)</f>
        <v>0</v>
      </c>
      <c r="AH129" s="80">
        <f>SUMIFS('сентябрь 2024'!$G$4:$G$2091,'сентябрь 2024'!$D$4:$D$2091,$B129,'сентябрь 2024'!$J$4:$J$2091,AH$1)</f>
        <v>0</v>
      </c>
      <c r="AI129" s="21">
        <f t="shared" si="1"/>
        <v>0</v>
      </c>
    </row>
    <row r="130" spans="2:35" ht="15" customHeight="1" x14ac:dyDescent="0.25">
      <c r="B130" s="89" t="s">
        <v>343</v>
      </c>
      <c r="C130" s="91">
        <v>200</v>
      </c>
      <c r="D130" s="80">
        <f>SUMIFS('сентябрь 2024'!$G$4:$G$2091,'сентябрь 2024'!$D$4:$D$2091,$B130,'сентябрь 2024'!$J$4:$J$2091,D$1)</f>
        <v>0</v>
      </c>
      <c r="E130" s="80">
        <f>SUMIFS('сентябрь 2024'!$G$4:$G$2091,'сентябрь 2024'!$D$4:$D$2091,$B130,'сентябрь 2024'!$J$4:$J$2091,E$1)</f>
        <v>0</v>
      </c>
      <c r="F130" s="80">
        <f>SUMIFS('сентябрь 2024'!$G$4:$G$2091,'сентябрь 2024'!$D$4:$D$2091,$B130,'сентябрь 2024'!$J$4:$J$2091,F$1)</f>
        <v>0</v>
      </c>
      <c r="G130" s="80">
        <f>SUMIFS('сентябрь 2024'!$G$4:$G$2091,'сентябрь 2024'!$D$4:$D$2091,$B130,'сентябрь 2024'!$J$4:$J$2091,G$1)</f>
        <v>0</v>
      </c>
      <c r="H130" s="80">
        <f>SUMIFS('сентябрь 2024'!$G$4:$G$2091,'сентябрь 2024'!$D$4:$D$2091,$B130,'сентябрь 2024'!$J$4:$J$2091,H$1)</f>
        <v>0</v>
      </c>
      <c r="I130" s="80">
        <f>SUMIFS('сентябрь 2024'!$G$4:$G$2091,'сентябрь 2024'!$D$4:$D$2091,$B130,'сентябрь 2024'!$J$4:$J$2091,I$1)</f>
        <v>0</v>
      </c>
      <c r="J130" s="80">
        <f>SUMIFS('сентябрь 2024'!$G$4:$G$2091,'сентябрь 2024'!$D$4:$D$2091,$B130,'сентябрь 2024'!$J$4:$J$2091,J$1)</f>
        <v>0</v>
      </c>
      <c r="K130" s="80">
        <f>SUMIFS('сентябрь 2024'!$G$4:$G$2091,'сентябрь 2024'!$D$4:$D$2091,$B130,'сентябрь 2024'!$J$4:$J$2091,K$1)</f>
        <v>0</v>
      </c>
      <c r="L130" s="80">
        <f>SUMIFS('сентябрь 2024'!$G$4:$G$2091,'сентябрь 2024'!$D$4:$D$2091,$B130,'сентябрь 2024'!$J$4:$J$2091,L$1)</f>
        <v>0</v>
      </c>
      <c r="M130" s="80">
        <f>SUMIFS('сентябрь 2024'!$G$4:$G$2091,'сентябрь 2024'!$D$4:$D$2091,$B130,'сентябрь 2024'!$J$4:$J$2091,M$1)</f>
        <v>0</v>
      </c>
      <c r="N130" s="80">
        <f>SUMIFS('сентябрь 2024'!$G$4:$G$2091,'сентябрь 2024'!$D$4:$D$2091,$B130,'сентябрь 2024'!$J$4:$J$2091,N$1)</f>
        <v>0</v>
      </c>
      <c r="O130" s="80">
        <f>SUMIFS('сентябрь 2024'!$G$4:$G$2091,'сентябрь 2024'!$D$4:$D$2091,$B130,'сентябрь 2024'!$J$4:$J$2091,O$1)</f>
        <v>0</v>
      </c>
      <c r="P130" s="80">
        <f>SUMIFS('сентябрь 2024'!$G$4:$G$2091,'сентябрь 2024'!$D$4:$D$2091,$B130,'сентябрь 2024'!$J$4:$J$2091,P$1)</f>
        <v>0</v>
      </c>
      <c r="Q130" s="80">
        <f>SUMIFS('сентябрь 2024'!$G$4:$G$2091,'сентябрь 2024'!$D$4:$D$2091,$B130,'сентябрь 2024'!$J$4:$J$2091,Q$1)</f>
        <v>0</v>
      </c>
      <c r="R130" s="80">
        <f>SUMIFS('сентябрь 2024'!$G$4:$G$2091,'сентябрь 2024'!$D$4:$D$2091,$B130,'сентябрь 2024'!$J$4:$J$2091,R$1)</f>
        <v>0</v>
      </c>
      <c r="S130" s="80">
        <f>SUMIFS('сентябрь 2024'!$G$4:$G$2091,'сентябрь 2024'!$D$4:$D$2091,$B130,'сентябрь 2024'!$J$4:$J$2091,S$1)</f>
        <v>0</v>
      </c>
      <c r="T130" s="80">
        <f>SUMIFS('сентябрь 2024'!$G$4:$G$2091,'сентябрь 2024'!$D$4:$D$2091,$B130,'сентябрь 2024'!$J$4:$J$2091,T$1)</f>
        <v>0</v>
      </c>
      <c r="U130" s="80">
        <f>SUMIFS('сентябрь 2024'!$G$4:$G$2091,'сентябрь 2024'!$D$4:$D$2091,$B130,'сентябрь 2024'!$J$4:$J$2091,U$1)</f>
        <v>0</v>
      </c>
      <c r="V130" s="80">
        <f>SUMIFS('сентябрь 2024'!$G$4:$G$2091,'сентябрь 2024'!$D$4:$D$2091,$B130,'сентябрь 2024'!$J$4:$J$2091,V$1)</f>
        <v>0</v>
      </c>
      <c r="W130" s="80">
        <f>SUMIFS('сентябрь 2024'!$G$4:$G$2091,'сентябрь 2024'!$D$4:$D$2091,$B130,'сентябрь 2024'!$J$4:$J$2091,W$1)</f>
        <v>0</v>
      </c>
      <c r="X130" s="80">
        <f>SUMIFS('сентябрь 2024'!$G$4:$G$2091,'сентябрь 2024'!$D$4:$D$2091,$B130,'сентябрь 2024'!$J$4:$J$2091,X$1)</f>
        <v>0</v>
      </c>
      <c r="Y130" s="80">
        <f>SUMIFS('сентябрь 2024'!$G$4:$G$2091,'сентябрь 2024'!$D$4:$D$2091,$B130,'сентябрь 2024'!$J$4:$J$2091,Y$1)</f>
        <v>0</v>
      </c>
      <c r="Z130" s="80">
        <f>SUMIFS('сентябрь 2024'!$G$4:$G$2091,'сентябрь 2024'!$D$4:$D$2091,$B130,'сентябрь 2024'!$J$4:$J$2091,Z$1)</f>
        <v>0</v>
      </c>
      <c r="AA130" s="80">
        <f>SUMIFS('сентябрь 2024'!$G$4:$G$2091,'сентябрь 2024'!$D$4:$D$2091,$B130,'сентябрь 2024'!$J$4:$J$2091,AA$1)</f>
        <v>0</v>
      </c>
      <c r="AB130" s="80">
        <f>SUMIFS('сентябрь 2024'!$G$4:$G$2091,'сентябрь 2024'!$D$4:$D$2091,$B130,'сентябрь 2024'!$J$4:$J$2091,AB$1)</f>
        <v>0</v>
      </c>
      <c r="AC130" s="80">
        <f>SUMIFS('сентябрь 2024'!$G$4:$G$2091,'сентябрь 2024'!$D$4:$D$2091,$B130,'сентябрь 2024'!$J$4:$J$2091,AC$1)</f>
        <v>0</v>
      </c>
      <c r="AD130" s="80">
        <f>SUMIFS('сентябрь 2024'!$G$4:$G$2091,'сентябрь 2024'!$D$4:$D$2091,$B130,'сентябрь 2024'!$J$4:$J$2091,AD$1)</f>
        <v>0</v>
      </c>
      <c r="AE130" s="80">
        <f>SUMIFS('сентябрь 2024'!$G$4:$G$2091,'сентябрь 2024'!$D$4:$D$2091,$B130,'сентябрь 2024'!$J$4:$J$2091,AE$1)</f>
        <v>0</v>
      </c>
      <c r="AF130" s="80">
        <f>SUMIFS('сентябрь 2024'!$G$4:$G$2091,'сентябрь 2024'!$D$4:$D$2091,$B130,'сентябрь 2024'!$J$4:$J$2091,AF$1)</f>
        <v>0</v>
      </c>
      <c r="AG130" s="80">
        <f>SUMIFS('сентябрь 2024'!$G$4:$G$2091,'сентябрь 2024'!$D$4:$D$2091,$B130,'сентябрь 2024'!$J$4:$J$2091,AG$1)</f>
        <v>0</v>
      </c>
      <c r="AH130" s="80">
        <f>SUMIFS('сентябрь 2024'!$G$4:$G$2091,'сентябрь 2024'!$D$4:$D$2091,$B130,'сентябрь 2024'!$J$4:$J$2091,AH$1)</f>
        <v>0</v>
      </c>
      <c r="AI130" s="21">
        <f t="shared" si="1"/>
        <v>0</v>
      </c>
    </row>
    <row r="131" spans="2:35" ht="15" customHeight="1" x14ac:dyDescent="0.25">
      <c r="B131" s="89" t="s">
        <v>207</v>
      </c>
      <c r="C131" s="91">
        <v>180</v>
      </c>
      <c r="D131" s="80">
        <f>SUMIFS('сентябрь 2024'!$G$4:$G$2091,'сентябрь 2024'!$D$4:$D$2091,$B131,'сентябрь 2024'!$J$4:$J$2091,D$1)</f>
        <v>0</v>
      </c>
      <c r="E131" s="80">
        <f>SUMIFS('сентябрь 2024'!$G$4:$G$2091,'сентябрь 2024'!$D$4:$D$2091,$B131,'сентябрь 2024'!$J$4:$J$2091,E$1)</f>
        <v>0</v>
      </c>
      <c r="F131" s="80">
        <f>SUMIFS('сентябрь 2024'!$G$4:$G$2091,'сентябрь 2024'!$D$4:$D$2091,$B131,'сентябрь 2024'!$J$4:$J$2091,F$1)</f>
        <v>0</v>
      </c>
      <c r="G131" s="80">
        <f>SUMIFS('сентябрь 2024'!$G$4:$G$2091,'сентябрь 2024'!$D$4:$D$2091,$B131,'сентябрь 2024'!$J$4:$J$2091,G$1)</f>
        <v>0</v>
      </c>
      <c r="H131" s="80">
        <f>SUMIFS('сентябрь 2024'!$G$4:$G$2091,'сентябрь 2024'!$D$4:$D$2091,$B131,'сентябрь 2024'!$J$4:$J$2091,H$1)</f>
        <v>0</v>
      </c>
      <c r="I131" s="80">
        <f>SUMIFS('сентябрь 2024'!$G$4:$G$2091,'сентябрь 2024'!$D$4:$D$2091,$B131,'сентябрь 2024'!$J$4:$J$2091,I$1)</f>
        <v>0</v>
      </c>
      <c r="J131" s="80">
        <f>SUMIFS('сентябрь 2024'!$G$4:$G$2091,'сентябрь 2024'!$D$4:$D$2091,$B131,'сентябрь 2024'!$J$4:$J$2091,J$1)</f>
        <v>0</v>
      </c>
      <c r="K131" s="80">
        <f>SUMIFS('сентябрь 2024'!$G$4:$G$2091,'сентябрь 2024'!$D$4:$D$2091,$B131,'сентябрь 2024'!$J$4:$J$2091,K$1)</f>
        <v>0</v>
      </c>
      <c r="L131" s="80">
        <f>SUMIFS('сентябрь 2024'!$G$4:$G$2091,'сентябрь 2024'!$D$4:$D$2091,$B131,'сентябрь 2024'!$J$4:$J$2091,L$1)</f>
        <v>0</v>
      </c>
      <c r="M131" s="80">
        <f>SUMIFS('сентябрь 2024'!$G$4:$G$2091,'сентябрь 2024'!$D$4:$D$2091,$B131,'сентябрь 2024'!$J$4:$J$2091,M$1)</f>
        <v>0</v>
      </c>
      <c r="N131" s="80">
        <f>SUMIFS('сентябрь 2024'!$G$4:$G$2091,'сентябрь 2024'!$D$4:$D$2091,$B131,'сентябрь 2024'!$J$4:$J$2091,N$1)</f>
        <v>0</v>
      </c>
      <c r="O131" s="80">
        <f>SUMIFS('сентябрь 2024'!$G$4:$G$2091,'сентябрь 2024'!$D$4:$D$2091,$B131,'сентябрь 2024'!$J$4:$J$2091,O$1)</f>
        <v>0</v>
      </c>
      <c r="P131" s="80">
        <f>SUMIFS('сентябрь 2024'!$G$4:$G$2091,'сентябрь 2024'!$D$4:$D$2091,$B131,'сентябрь 2024'!$J$4:$J$2091,P$1)</f>
        <v>0</v>
      </c>
      <c r="Q131" s="80">
        <f>SUMIFS('сентябрь 2024'!$G$4:$G$2091,'сентябрь 2024'!$D$4:$D$2091,$B131,'сентябрь 2024'!$J$4:$J$2091,Q$1)</f>
        <v>0</v>
      </c>
      <c r="R131" s="80">
        <f>SUMIFS('сентябрь 2024'!$G$4:$G$2091,'сентябрь 2024'!$D$4:$D$2091,$B131,'сентябрь 2024'!$J$4:$J$2091,R$1)</f>
        <v>0</v>
      </c>
      <c r="S131" s="80">
        <f>SUMIFS('сентябрь 2024'!$G$4:$G$2091,'сентябрь 2024'!$D$4:$D$2091,$B131,'сентябрь 2024'!$J$4:$J$2091,S$1)</f>
        <v>0</v>
      </c>
      <c r="T131" s="80">
        <f>SUMIFS('сентябрь 2024'!$G$4:$G$2091,'сентябрь 2024'!$D$4:$D$2091,$B131,'сентябрь 2024'!$J$4:$J$2091,T$1)</f>
        <v>0</v>
      </c>
      <c r="U131" s="80">
        <f>SUMIFS('сентябрь 2024'!$G$4:$G$2091,'сентябрь 2024'!$D$4:$D$2091,$B131,'сентябрь 2024'!$J$4:$J$2091,U$1)</f>
        <v>0</v>
      </c>
      <c r="V131" s="80">
        <f>SUMIFS('сентябрь 2024'!$G$4:$G$2091,'сентябрь 2024'!$D$4:$D$2091,$B131,'сентябрь 2024'!$J$4:$J$2091,V$1)</f>
        <v>0</v>
      </c>
      <c r="W131" s="80">
        <f>SUMIFS('сентябрь 2024'!$G$4:$G$2091,'сентябрь 2024'!$D$4:$D$2091,$B131,'сентябрь 2024'!$J$4:$J$2091,W$1)</f>
        <v>0</v>
      </c>
      <c r="X131" s="80">
        <f>SUMIFS('сентябрь 2024'!$G$4:$G$2091,'сентябрь 2024'!$D$4:$D$2091,$B131,'сентябрь 2024'!$J$4:$J$2091,X$1)</f>
        <v>0</v>
      </c>
      <c r="Y131" s="80">
        <f>SUMIFS('сентябрь 2024'!$G$4:$G$2091,'сентябрь 2024'!$D$4:$D$2091,$B131,'сентябрь 2024'!$J$4:$J$2091,Y$1)</f>
        <v>0</v>
      </c>
      <c r="Z131" s="80">
        <f>SUMIFS('сентябрь 2024'!$G$4:$G$2091,'сентябрь 2024'!$D$4:$D$2091,$B131,'сентябрь 2024'!$J$4:$J$2091,Z$1)</f>
        <v>0</v>
      </c>
      <c r="AA131" s="80">
        <f>SUMIFS('сентябрь 2024'!$G$4:$G$2091,'сентябрь 2024'!$D$4:$D$2091,$B131,'сентябрь 2024'!$J$4:$J$2091,AA$1)</f>
        <v>0</v>
      </c>
      <c r="AB131" s="80">
        <f>SUMIFS('сентябрь 2024'!$G$4:$G$2091,'сентябрь 2024'!$D$4:$D$2091,$B131,'сентябрь 2024'!$J$4:$J$2091,AB$1)</f>
        <v>0</v>
      </c>
      <c r="AC131" s="80">
        <f>SUMIFS('сентябрь 2024'!$G$4:$G$2091,'сентябрь 2024'!$D$4:$D$2091,$B131,'сентябрь 2024'!$J$4:$J$2091,AC$1)</f>
        <v>0</v>
      </c>
      <c r="AD131" s="80">
        <f>SUMIFS('сентябрь 2024'!$G$4:$G$2091,'сентябрь 2024'!$D$4:$D$2091,$B131,'сентябрь 2024'!$J$4:$J$2091,AD$1)</f>
        <v>0</v>
      </c>
      <c r="AE131" s="80">
        <f>SUMIFS('сентябрь 2024'!$G$4:$G$2091,'сентябрь 2024'!$D$4:$D$2091,$B131,'сентябрь 2024'!$J$4:$J$2091,AE$1)</f>
        <v>0</v>
      </c>
      <c r="AF131" s="80">
        <f>SUMIFS('сентябрь 2024'!$G$4:$G$2091,'сентябрь 2024'!$D$4:$D$2091,$B131,'сентябрь 2024'!$J$4:$J$2091,AF$1)</f>
        <v>0</v>
      </c>
      <c r="AG131" s="80">
        <f>SUMIFS('сентябрь 2024'!$G$4:$G$2091,'сентябрь 2024'!$D$4:$D$2091,$B131,'сентябрь 2024'!$J$4:$J$2091,AG$1)</f>
        <v>0</v>
      </c>
      <c r="AH131" s="80">
        <f>SUMIFS('сентябрь 2024'!$G$4:$G$2091,'сентябрь 2024'!$D$4:$D$2091,$B131,'сентябрь 2024'!$J$4:$J$2091,AH$1)</f>
        <v>0</v>
      </c>
      <c r="AI131" s="21">
        <f t="shared" si="1"/>
        <v>0</v>
      </c>
    </row>
    <row r="132" spans="2:35" ht="15" customHeight="1" x14ac:dyDescent="0.25">
      <c r="B132" s="93" t="s">
        <v>621</v>
      </c>
      <c r="C132" s="91">
        <v>180</v>
      </c>
      <c r="D132" s="80">
        <f>SUMIFS('сентябрь 2024'!$G$4:$G$2091,'сентябрь 2024'!$D$4:$D$2091,$B132,'сентябрь 2024'!$J$4:$J$2091,D$1)</f>
        <v>0</v>
      </c>
      <c r="E132" s="80">
        <f>SUMIFS('сентябрь 2024'!$G$4:$G$2091,'сентябрь 2024'!$D$4:$D$2091,$B132,'сентябрь 2024'!$J$4:$J$2091,E$1)</f>
        <v>0</v>
      </c>
      <c r="F132" s="80">
        <f>SUMIFS('сентябрь 2024'!$G$4:$G$2091,'сентябрь 2024'!$D$4:$D$2091,$B132,'сентябрь 2024'!$J$4:$J$2091,F$1)</f>
        <v>0</v>
      </c>
      <c r="G132" s="80">
        <f>SUMIFS('сентябрь 2024'!$G$4:$G$2091,'сентябрь 2024'!$D$4:$D$2091,$B132,'сентябрь 2024'!$J$4:$J$2091,G$1)</f>
        <v>0</v>
      </c>
      <c r="H132" s="80">
        <f>SUMIFS('сентябрь 2024'!$G$4:$G$2091,'сентябрь 2024'!$D$4:$D$2091,$B132,'сентябрь 2024'!$J$4:$J$2091,H$1)</f>
        <v>0</v>
      </c>
      <c r="I132" s="80">
        <f>SUMIFS('сентябрь 2024'!$G$4:$G$2091,'сентябрь 2024'!$D$4:$D$2091,$B132,'сентябрь 2024'!$J$4:$J$2091,I$1)</f>
        <v>0</v>
      </c>
      <c r="J132" s="80">
        <f>SUMIFS('сентябрь 2024'!$G$4:$G$2091,'сентябрь 2024'!$D$4:$D$2091,$B132,'сентябрь 2024'!$J$4:$J$2091,J$1)</f>
        <v>0</v>
      </c>
      <c r="K132" s="80">
        <f>SUMIFS('сентябрь 2024'!$G$4:$G$2091,'сентябрь 2024'!$D$4:$D$2091,$B132,'сентябрь 2024'!$J$4:$J$2091,K$1)</f>
        <v>0</v>
      </c>
      <c r="L132" s="80">
        <f>SUMIFS('сентябрь 2024'!$G$4:$G$2091,'сентябрь 2024'!$D$4:$D$2091,$B132,'сентябрь 2024'!$J$4:$J$2091,L$1)</f>
        <v>0</v>
      </c>
      <c r="M132" s="80">
        <f>SUMIFS('сентябрь 2024'!$G$4:$G$2091,'сентябрь 2024'!$D$4:$D$2091,$B132,'сентябрь 2024'!$J$4:$J$2091,M$1)</f>
        <v>0</v>
      </c>
      <c r="N132" s="80">
        <f>SUMIFS('сентябрь 2024'!$G$4:$G$2091,'сентябрь 2024'!$D$4:$D$2091,$B132,'сентябрь 2024'!$J$4:$J$2091,N$1)</f>
        <v>0</v>
      </c>
      <c r="O132" s="80">
        <f>SUMIFS('сентябрь 2024'!$G$4:$G$2091,'сентябрь 2024'!$D$4:$D$2091,$B132,'сентябрь 2024'!$J$4:$J$2091,O$1)</f>
        <v>0</v>
      </c>
      <c r="P132" s="80">
        <f>SUMIFS('сентябрь 2024'!$G$4:$G$2091,'сентябрь 2024'!$D$4:$D$2091,$B132,'сентябрь 2024'!$J$4:$J$2091,P$1)</f>
        <v>0</v>
      </c>
      <c r="Q132" s="80">
        <f>SUMIFS('сентябрь 2024'!$G$4:$G$2091,'сентябрь 2024'!$D$4:$D$2091,$B132,'сентябрь 2024'!$J$4:$J$2091,Q$1)</f>
        <v>0</v>
      </c>
      <c r="R132" s="80">
        <f>SUMIFS('сентябрь 2024'!$G$4:$G$2091,'сентябрь 2024'!$D$4:$D$2091,$B132,'сентябрь 2024'!$J$4:$J$2091,R$1)</f>
        <v>0</v>
      </c>
      <c r="S132" s="80">
        <f>SUMIFS('сентябрь 2024'!$G$4:$G$2091,'сентябрь 2024'!$D$4:$D$2091,$B132,'сентябрь 2024'!$J$4:$J$2091,S$1)</f>
        <v>0</v>
      </c>
      <c r="T132" s="80">
        <f>SUMIFS('сентябрь 2024'!$G$4:$G$2091,'сентябрь 2024'!$D$4:$D$2091,$B132,'сентябрь 2024'!$J$4:$J$2091,T$1)</f>
        <v>0</v>
      </c>
      <c r="U132" s="80">
        <f>SUMIFS('сентябрь 2024'!$G$4:$G$2091,'сентябрь 2024'!$D$4:$D$2091,$B132,'сентябрь 2024'!$J$4:$J$2091,U$1)</f>
        <v>0</v>
      </c>
      <c r="V132" s="80">
        <f>SUMIFS('сентябрь 2024'!$G$4:$G$2091,'сентябрь 2024'!$D$4:$D$2091,$B132,'сентябрь 2024'!$J$4:$J$2091,V$1)</f>
        <v>0</v>
      </c>
      <c r="W132" s="80">
        <f>SUMIFS('сентябрь 2024'!$G$4:$G$2091,'сентябрь 2024'!$D$4:$D$2091,$B132,'сентябрь 2024'!$J$4:$J$2091,W$1)</f>
        <v>0</v>
      </c>
      <c r="X132" s="80">
        <f>SUMIFS('сентябрь 2024'!$G$4:$G$2091,'сентябрь 2024'!$D$4:$D$2091,$B132,'сентябрь 2024'!$J$4:$J$2091,X$1)</f>
        <v>0</v>
      </c>
      <c r="Y132" s="80">
        <f>SUMIFS('сентябрь 2024'!$G$4:$G$2091,'сентябрь 2024'!$D$4:$D$2091,$B132,'сентябрь 2024'!$J$4:$J$2091,Y$1)</f>
        <v>0</v>
      </c>
      <c r="Z132" s="80">
        <f>SUMIFS('сентябрь 2024'!$G$4:$G$2091,'сентябрь 2024'!$D$4:$D$2091,$B132,'сентябрь 2024'!$J$4:$J$2091,Z$1)</f>
        <v>0</v>
      </c>
      <c r="AA132" s="80">
        <f>SUMIFS('сентябрь 2024'!$G$4:$G$2091,'сентябрь 2024'!$D$4:$D$2091,$B132,'сентябрь 2024'!$J$4:$J$2091,AA$1)</f>
        <v>0</v>
      </c>
      <c r="AB132" s="80">
        <f>SUMIFS('сентябрь 2024'!$G$4:$G$2091,'сентябрь 2024'!$D$4:$D$2091,$B132,'сентябрь 2024'!$J$4:$J$2091,AB$1)</f>
        <v>0</v>
      </c>
      <c r="AC132" s="80">
        <f>SUMIFS('сентябрь 2024'!$G$4:$G$2091,'сентябрь 2024'!$D$4:$D$2091,$B132,'сентябрь 2024'!$J$4:$J$2091,AC$1)</f>
        <v>0</v>
      </c>
      <c r="AD132" s="80">
        <f>SUMIFS('сентябрь 2024'!$G$4:$G$2091,'сентябрь 2024'!$D$4:$D$2091,$B132,'сентябрь 2024'!$J$4:$J$2091,AD$1)</f>
        <v>0</v>
      </c>
      <c r="AE132" s="80">
        <f>SUMIFS('сентябрь 2024'!$G$4:$G$2091,'сентябрь 2024'!$D$4:$D$2091,$B132,'сентябрь 2024'!$J$4:$J$2091,AE$1)</f>
        <v>0</v>
      </c>
      <c r="AF132" s="80">
        <f>SUMIFS('сентябрь 2024'!$G$4:$G$2091,'сентябрь 2024'!$D$4:$D$2091,$B132,'сентябрь 2024'!$J$4:$J$2091,AF$1)</f>
        <v>0</v>
      </c>
      <c r="AG132" s="80">
        <f>SUMIFS('сентябрь 2024'!$G$4:$G$2091,'сентябрь 2024'!$D$4:$D$2091,$B132,'сентябрь 2024'!$J$4:$J$2091,AG$1)</f>
        <v>0</v>
      </c>
      <c r="AH132" s="80">
        <f>SUMIFS('сентябрь 2024'!$G$4:$G$2091,'сентябрь 2024'!$D$4:$D$2091,$B132,'сентябрь 2024'!$J$4:$J$2091,AH$1)</f>
        <v>0</v>
      </c>
      <c r="AI132" s="21">
        <f t="shared" si="1"/>
        <v>0</v>
      </c>
    </row>
    <row r="133" spans="2:35" ht="15" customHeight="1" x14ac:dyDescent="0.25">
      <c r="B133" s="93" t="s">
        <v>191</v>
      </c>
      <c r="C133" s="91">
        <v>190</v>
      </c>
      <c r="D133" s="80">
        <f>SUMIFS('сентябрь 2024'!$G$4:$G$2091,'сентябрь 2024'!$D$4:$D$2091,$B133,'сентябрь 2024'!$J$4:$J$2091,D$1)</f>
        <v>0</v>
      </c>
      <c r="E133" s="80">
        <f>SUMIFS('сентябрь 2024'!$G$4:$G$2091,'сентябрь 2024'!$D$4:$D$2091,$B133,'сентябрь 2024'!$J$4:$J$2091,E$1)</f>
        <v>0</v>
      </c>
      <c r="F133" s="80">
        <f>SUMIFS('сентябрь 2024'!$G$4:$G$2091,'сентябрь 2024'!$D$4:$D$2091,$B133,'сентябрь 2024'!$J$4:$J$2091,F$1)</f>
        <v>0</v>
      </c>
      <c r="G133" s="80">
        <f>SUMIFS('сентябрь 2024'!$G$4:$G$2091,'сентябрь 2024'!$D$4:$D$2091,$B133,'сентябрь 2024'!$J$4:$J$2091,G$1)</f>
        <v>0</v>
      </c>
      <c r="H133" s="80">
        <f>SUMIFS('сентябрь 2024'!$G$4:$G$2091,'сентябрь 2024'!$D$4:$D$2091,$B133,'сентябрь 2024'!$J$4:$J$2091,H$1)</f>
        <v>0</v>
      </c>
      <c r="I133" s="80">
        <f>SUMIFS('сентябрь 2024'!$G$4:$G$2091,'сентябрь 2024'!$D$4:$D$2091,$B133,'сентябрь 2024'!$J$4:$J$2091,I$1)</f>
        <v>0</v>
      </c>
      <c r="J133" s="80">
        <f>SUMIFS('сентябрь 2024'!$G$4:$G$2091,'сентябрь 2024'!$D$4:$D$2091,$B133,'сентябрь 2024'!$J$4:$J$2091,J$1)</f>
        <v>0</v>
      </c>
      <c r="K133" s="80">
        <f>SUMIFS('сентябрь 2024'!$G$4:$G$2091,'сентябрь 2024'!$D$4:$D$2091,$B133,'сентябрь 2024'!$J$4:$J$2091,K$1)</f>
        <v>0</v>
      </c>
      <c r="L133" s="80">
        <f>SUMIFS('сентябрь 2024'!$G$4:$G$2091,'сентябрь 2024'!$D$4:$D$2091,$B133,'сентябрь 2024'!$J$4:$J$2091,L$1)</f>
        <v>0</v>
      </c>
      <c r="M133" s="80">
        <f>SUMIFS('сентябрь 2024'!$G$4:$G$2091,'сентябрь 2024'!$D$4:$D$2091,$B133,'сентябрь 2024'!$J$4:$J$2091,M$1)</f>
        <v>0</v>
      </c>
      <c r="N133" s="80">
        <f>SUMIFS('сентябрь 2024'!$G$4:$G$2091,'сентябрь 2024'!$D$4:$D$2091,$B133,'сентябрь 2024'!$J$4:$J$2091,N$1)</f>
        <v>0</v>
      </c>
      <c r="O133" s="80">
        <f>SUMIFS('сентябрь 2024'!$G$4:$G$2091,'сентябрь 2024'!$D$4:$D$2091,$B133,'сентябрь 2024'!$J$4:$J$2091,O$1)</f>
        <v>0</v>
      </c>
      <c r="P133" s="80">
        <f>SUMIFS('сентябрь 2024'!$G$4:$G$2091,'сентябрь 2024'!$D$4:$D$2091,$B133,'сентябрь 2024'!$J$4:$J$2091,P$1)</f>
        <v>0</v>
      </c>
      <c r="Q133" s="80">
        <f>SUMIFS('сентябрь 2024'!$G$4:$G$2091,'сентябрь 2024'!$D$4:$D$2091,$B133,'сентябрь 2024'!$J$4:$J$2091,Q$1)</f>
        <v>0</v>
      </c>
      <c r="R133" s="80">
        <f>SUMIFS('сентябрь 2024'!$G$4:$G$2091,'сентябрь 2024'!$D$4:$D$2091,$B133,'сентябрь 2024'!$J$4:$J$2091,R$1)</f>
        <v>0</v>
      </c>
      <c r="S133" s="80">
        <f>SUMIFS('сентябрь 2024'!$G$4:$G$2091,'сентябрь 2024'!$D$4:$D$2091,$B133,'сентябрь 2024'!$J$4:$J$2091,S$1)</f>
        <v>0</v>
      </c>
      <c r="T133" s="80">
        <f>SUMIFS('сентябрь 2024'!$G$4:$G$2091,'сентябрь 2024'!$D$4:$D$2091,$B133,'сентябрь 2024'!$J$4:$J$2091,T$1)</f>
        <v>0</v>
      </c>
      <c r="U133" s="80">
        <f>SUMIFS('сентябрь 2024'!$G$4:$G$2091,'сентябрь 2024'!$D$4:$D$2091,$B133,'сентябрь 2024'!$J$4:$J$2091,U$1)</f>
        <v>0</v>
      </c>
      <c r="V133" s="80">
        <f>SUMIFS('сентябрь 2024'!$G$4:$G$2091,'сентябрь 2024'!$D$4:$D$2091,$B133,'сентябрь 2024'!$J$4:$J$2091,V$1)</f>
        <v>0</v>
      </c>
      <c r="W133" s="80">
        <f>SUMIFS('сентябрь 2024'!$G$4:$G$2091,'сентябрь 2024'!$D$4:$D$2091,$B133,'сентябрь 2024'!$J$4:$J$2091,W$1)</f>
        <v>0</v>
      </c>
      <c r="X133" s="80">
        <f>SUMIFS('сентябрь 2024'!$G$4:$G$2091,'сентябрь 2024'!$D$4:$D$2091,$B133,'сентябрь 2024'!$J$4:$J$2091,X$1)</f>
        <v>0</v>
      </c>
      <c r="Y133" s="80">
        <f>SUMIFS('сентябрь 2024'!$G$4:$G$2091,'сентябрь 2024'!$D$4:$D$2091,$B133,'сентябрь 2024'!$J$4:$J$2091,Y$1)</f>
        <v>0</v>
      </c>
      <c r="Z133" s="80">
        <f>SUMIFS('сентябрь 2024'!$G$4:$G$2091,'сентябрь 2024'!$D$4:$D$2091,$B133,'сентябрь 2024'!$J$4:$J$2091,Z$1)</f>
        <v>0</v>
      </c>
      <c r="AA133" s="80">
        <f>SUMIFS('сентябрь 2024'!$G$4:$G$2091,'сентябрь 2024'!$D$4:$D$2091,$B133,'сентябрь 2024'!$J$4:$J$2091,AA$1)</f>
        <v>0</v>
      </c>
      <c r="AB133" s="80">
        <f>SUMIFS('сентябрь 2024'!$G$4:$G$2091,'сентябрь 2024'!$D$4:$D$2091,$B133,'сентябрь 2024'!$J$4:$J$2091,AB$1)</f>
        <v>0</v>
      </c>
      <c r="AC133" s="80">
        <f>SUMIFS('сентябрь 2024'!$G$4:$G$2091,'сентябрь 2024'!$D$4:$D$2091,$B133,'сентябрь 2024'!$J$4:$J$2091,AC$1)</f>
        <v>0</v>
      </c>
      <c r="AD133" s="80">
        <f>SUMIFS('сентябрь 2024'!$G$4:$G$2091,'сентябрь 2024'!$D$4:$D$2091,$B133,'сентябрь 2024'!$J$4:$J$2091,AD$1)</f>
        <v>0</v>
      </c>
      <c r="AE133" s="80">
        <f>SUMIFS('сентябрь 2024'!$G$4:$G$2091,'сентябрь 2024'!$D$4:$D$2091,$B133,'сентябрь 2024'!$J$4:$J$2091,AE$1)</f>
        <v>0</v>
      </c>
      <c r="AF133" s="80">
        <f>SUMIFS('сентябрь 2024'!$G$4:$G$2091,'сентябрь 2024'!$D$4:$D$2091,$B133,'сентябрь 2024'!$J$4:$J$2091,AF$1)</f>
        <v>0</v>
      </c>
      <c r="AG133" s="80">
        <f>SUMIFS('сентябрь 2024'!$G$4:$G$2091,'сентябрь 2024'!$D$4:$D$2091,$B133,'сентябрь 2024'!$J$4:$J$2091,AG$1)</f>
        <v>0</v>
      </c>
      <c r="AH133" s="80">
        <f>SUMIFS('сентябрь 2024'!$G$4:$G$2091,'сентябрь 2024'!$D$4:$D$2091,$B133,'сентябрь 2024'!$J$4:$J$2091,AH$1)</f>
        <v>0</v>
      </c>
      <c r="AI133" s="21">
        <f t="shared" si="1"/>
        <v>0</v>
      </c>
    </row>
    <row r="134" spans="2:35" ht="15" customHeight="1" x14ac:dyDescent="0.25">
      <c r="B134" s="93" t="s">
        <v>334</v>
      </c>
      <c r="C134" s="91">
        <v>190</v>
      </c>
      <c r="D134" s="80">
        <f>SUMIFS('сентябрь 2024'!$G$4:$G$2091,'сентябрь 2024'!$D$4:$D$2091,$B134,'сентябрь 2024'!$J$4:$J$2091,D$1)</f>
        <v>0</v>
      </c>
      <c r="E134" s="80">
        <f>SUMIFS('сентябрь 2024'!$G$4:$G$2091,'сентябрь 2024'!$D$4:$D$2091,$B134,'сентябрь 2024'!$J$4:$J$2091,E$1)</f>
        <v>0</v>
      </c>
      <c r="F134" s="80">
        <f>SUMIFS('сентябрь 2024'!$G$4:$G$2091,'сентябрь 2024'!$D$4:$D$2091,$B134,'сентябрь 2024'!$J$4:$J$2091,F$1)</f>
        <v>0</v>
      </c>
      <c r="G134" s="80">
        <f>SUMIFS('сентябрь 2024'!$G$4:$G$2091,'сентябрь 2024'!$D$4:$D$2091,$B134,'сентябрь 2024'!$J$4:$J$2091,G$1)</f>
        <v>0</v>
      </c>
      <c r="H134" s="80">
        <f>SUMIFS('сентябрь 2024'!$G$4:$G$2091,'сентябрь 2024'!$D$4:$D$2091,$B134,'сентябрь 2024'!$J$4:$J$2091,H$1)</f>
        <v>0</v>
      </c>
      <c r="I134" s="80">
        <f>SUMIFS('сентябрь 2024'!$G$4:$G$2091,'сентябрь 2024'!$D$4:$D$2091,$B134,'сентябрь 2024'!$J$4:$J$2091,I$1)</f>
        <v>0</v>
      </c>
      <c r="J134" s="80">
        <f>SUMIFS('сентябрь 2024'!$G$4:$G$2091,'сентябрь 2024'!$D$4:$D$2091,$B134,'сентябрь 2024'!$J$4:$J$2091,J$1)</f>
        <v>0</v>
      </c>
      <c r="K134" s="80">
        <f>SUMIFS('сентябрь 2024'!$G$4:$G$2091,'сентябрь 2024'!$D$4:$D$2091,$B134,'сентябрь 2024'!$J$4:$J$2091,K$1)</f>
        <v>0</v>
      </c>
      <c r="L134" s="80">
        <f>SUMIFS('сентябрь 2024'!$G$4:$G$2091,'сентябрь 2024'!$D$4:$D$2091,$B134,'сентябрь 2024'!$J$4:$J$2091,L$1)</f>
        <v>0</v>
      </c>
      <c r="M134" s="80">
        <f>SUMIFS('сентябрь 2024'!$G$4:$G$2091,'сентябрь 2024'!$D$4:$D$2091,$B134,'сентябрь 2024'!$J$4:$J$2091,M$1)</f>
        <v>0</v>
      </c>
      <c r="N134" s="80">
        <f>SUMIFS('сентябрь 2024'!$G$4:$G$2091,'сентябрь 2024'!$D$4:$D$2091,$B134,'сентябрь 2024'!$J$4:$J$2091,N$1)</f>
        <v>0</v>
      </c>
      <c r="O134" s="80">
        <f>SUMIFS('сентябрь 2024'!$G$4:$G$2091,'сентябрь 2024'!$D$4:$D$2091,$B134,'сентябрь 2024'!$J$4:$J$2091,O$1)</f>
        <v>0</v>
      </c>
      <c r="P134" s="80">
        <f>SUMIFS('сентябрь 2024'!$G$4:$G$2091,'сентябрь 2024'!$D$4:$D$2091,$B134,'сентябрь 2024'!$J$4:$J$2091,P$1)</f>
        <v>0</v>
      </c>
      <c r="Q134" s="80">
        <f>SUMIFS('сентябрь 2024'!$G$4:$G$2091,'сентябрь 2024'!$D$4:$D$2091,$B134,'сентябрь 2024'!$J$4:$J$2091,Q$1)</f>
        <v>0</v>
      </c>
      <c r="R134" s="80">
        <f>SUMIFS('сентябрь 2024'!$G$4:$G$2091,'сентябрь 2024'!$D$4:$D$2091,$B134,'сентябрь 2024'!$J$4:$J$2091,R$1)</f>
        <v>0</v>
      </c>
      <c r="S134" s="80">
        <f>SUMIFS('сентябрь 2024'!$G$4:$G$2091,'сентябрь 2024'!$D$4:$D$2091,$B134,'сентябрь 2024'!$J$4:$J$2091,S$1)</f>
        <v>0</v>
      </c>
      <c r="T134" s="80">
        <f>SUMIFS('сентябрь 2024'!$G$4:$G$2091,'сентябрь 2024'!$D$4:$D$2091,$B134,'сентябрь 2024'!$J$4:$J$2091,T$1)</f>
        <v>0</v>
      </c>
      <c r="U134" s="80">
        <f>SUMIFS('сентябрь 2024'!$G$4:$G$2091,'сентябрь 2024'!$D$4:$D$2091,$B134,'сентябрь 2024'!$J$4:$J$2091,U$1)</f>
        <v>0</v>
      </c>
      <c r="V134" s="80">
        <f>SUMIFS('сентябрь 2024'!$G$4:$G$2091,'сентябрь 2024'!$D$4:$D$2091,$B134,'сентябрь 2024'!$J$4:$J$2091,V$1)</f>
        <v>0</v>
      </c>
      <c r="W134" s="80">
        <f>SUMIFS('сентябрь 2024'!$G$4:$G$2091,'сентябрь 2024'!$D$4:$D$2091,$B134,'сентябрь 2024'!$J$4:$J$2091,W$1)</f>
        <v>0</v>
      </c>
      <c r="X134" s="80">
        <f>SUMIFS('сентябрь 2024'!$G$4:$G$2091,'сентябрь 2024'!$D$4:$D$2091,$B134,'сентябрь 2024'!$J$4:$J$2091,X$1)</f>
        <v>0</v>
      </c>
      <c r="Y134" s="80">
        <f>SUMIFS('сентябрь 2024'!$G$4:$G$2091,'сентябрь 2024'!$D$4:$D$2091,$B134,'сентябрь 2024'!$J$4:$J$2091,Y$1)</f>
        <v>0</v>
      </c>
      <c r="Z134" s="80">
        <f>SUMIFS('сентябрь 2024'!$G$4:$G$2091,'сентябрь 2024'!$D$4:$D$2091,$B134,'сентябрь 2024'!$J$4:$J$2091,Z$1)</f>
        <v>0</v>
      </c>
      <c r="AA134" s="80">
        <f>SUMIFS('сентябрь 2024'!$G$4:$G$2091,'сентябрь 2024'!$D$4:$D$2091,$B134,'сентябрь 2024'!$J$4:$J$2091,AA$1)</f>
        <v>0</v>
      </c>
      <c r="AB134" s="80">
        <f>SUMIFS('сентябрь 2024'!$G$4:$G$2091,'сентябрь 2024'!$D$4:$D$2091,$B134,'сентябрь 2024'!$J$4:$J$2091,AB$1)</f>
        <v>0</v>
      </c>
      <c r="AC134" s="80">
        <f>SUMIFS('сентябрь 2024'!$G$4:$G$2091,'сентябрь 2024'!$D$4:$D$2091,$B134,'сентябрь 2024'!$J$4:$J$2091,AC$1)</f>
        <v>0</v>
      </c>
      <c r="AD134" s="80">
        <f>SUMIFS('сентябрь 2024'!$G$4:$G$2091,'сентябрь 2024'!$D$4:$D$2091,$B134,'сентябрь 2024'!$J$4:$J$2091,AD$1)</f>
        <v>0</v>
      </c>
      <c r="AE134" s="80">
        <f>SUMIFS('сентябрь 2024'!$G$4:$G$2091,'сентябрь 2024'!$D$4:$D$2091,$B134,'сентябрь 2024'!$J$4:$J$2091,AE$1)</f>
        <v>0</v>
      </c>
      <c r="AF134" s="80">
        <f>SUMIFS('сентябрь 2024'!$G$4:$G$2091,'сентябрь 2024'!$D$4:$D$2091,$B134,'сентябрь 2024'!$J$4:$J$2091,AF$1)</f>
        <v>0</v>
      </c>
      <c r="AG134" s="80">
        <f>SUMIFS('сентябрь 2024'!$G$4:$G$2091,'сентябрь 2024'!$D$4:$D$2091,$B134,'сентябрь 2024'!$J$4:$J$2091,AG$1)</f>
        <v>0</v>
      </c>
      <c r="AH134" s="80">
        <f>SUMIFS('сентябрь 2024'!$G$4:$G$2091,'сентябрь 2024'!$D$4:$D$2091,$B134,'сентябрь 2024'!$J$4:$J$2091,AH$1)</f>
        <v>0</v>
      </c>
      <c r="AI134" s="21">
        <f t="shared" si="1"/>
        <v>0</v>
      </c>
    </row>
    <row r="135" spans="2:35" ht="16.899999999999999" customHeight="1" x14ac:dyDescent="0.25">
      <c r="B135" s="89" t="s">
        <v>335</v>
      </c>
      <c r="C135" s="88">
        <v>200</v>
      </c>
      <c r="D135" s="80">
        <f>SUMIFS('сентябрь 2024'!$G$4:$G$2091,'сентябрь 2024'!$D$4:$D$2091,$B135,'сентябрь 2024'!$J$4:$J$2091,D$1)</f>
        <v>0</v>
      </c>
      <c r="E135" s="80">
        <f>SUMIFS('сентябрь 2024'!$G$4:$G$2091,'сентябрь 2024'!$D$4:$D$2091,$B135,'сентябрь 2024'!$J$4:$J$2091,E$1)</f>
        <v>0</v>
      </c>
      <c r="F135" s="80">
        <f>SUMIFS('сентябрь 2024'!$G$4:$G$2091,'сентябрь 2024'!$D$4:$D$2091,$B135,'сентябрь 2024'!$J$4:$J$2091,F$1)</f>
        <v>0</v>
      </c>
      <c r="G135" s="80">
        <f>SUMIFS('сентябрь 2024'!$G$4:$G$2091,'сентябрь 2024'!$D$4:$D$2091,$B135,'сентябрь 2024'!$J$4:$J$2091,G$1)</f>
        <v>0</v>
      </c>
      <c r="H135" s="80">
        <f>SUMIFS('сентябрь 2024'!$G$4:$G$2091,'сентябрь 2024'!$D$4:$D$2091,$B135,'сентябрь 2024'!$J$4:$J$2091,H$1)</f>
        <v>0</v>
      </c>
      <c r="I135" s="80">
        <f>SUMIFS('сентябрь 2024'!$G$4:$G$2091,'сентябрь 2024'!$D$4:$D$2091,$B135,'сентябрь 2024'!$J$4:$J$2091,I$1)</f>
        <v>0</v>
      </c>
      <c r="J135" s="80">
        <f>SUMIFS('сентябрь 2024'!$G$4:$G$2091,'сентябрь 2024'!$D$4:$D$2091,$B135,'сентябрь 2024'!$J$4:$J$2091,J$1)</f>
        <v>0</v>
      </c>
      <c r="K135" s="80">
        <f>SUMIFS('сентябрь 2024'!$G$4:$G$2091,'сентябрь 2024'!$D$4:$D$2091,$B135,'сентябрь 2024'!$J$4:$J$2091,K$1)</f>
        <v>0</v>
      </c>
      <c r="L135" s="80">
        <f>SUMIFS('сентябрь 2024'!$G$4:$G$2091,'сентябрь 2024'!$D$4:$D$2091,$B135,'сентябрь 2024'!$J$4:$J$2091,L$1)</f>
        <v>0</v>
      </c>
      <c r="M135" s="80">
        <f>SUMIFS('сентябрь 2024'!$G$4:$G$2091,'сентябрь 2024'!$D$4:$D$2091,$B135,'сентябрь 2024'!$J$4:$J$2091,M$1)</f>
        <v>0</v>
      </c>
      <c r="N135" s="80">
        <f>SUMIFS('сентябрь 2024'!$G$4:$G$2091,'сентябрь 2024'!$D$4:$D$2091,$B135,'сентябрь 2024'!$J$4:$J$2091,N$1)</f>
        <v>0</v>
      </c>
      <c r="O135" s="80">
        <f>SUMIFS('сентябрь 2024'!$G$4:$G$2091,'сентябрь 2024'!$D$4:$D$2091,$B135,'сентябрь 2024'!$J$4:$J$2091,O$1)</f>
        <v>0</v>
      </c>
      <c r="P135" s="80">
        <f>SUMIFS('сентябрь 2024'!$G$4:$G$2091,'сентябрь 2024'!$D$4:$D$2091,$B135,'сентябрь 2024'!$J$4:$J$2091,P$1)</f>
        <v>0</v>
      </c>
      <c r="Q135" s="80">
        <f>SUMIFS('сентябрь 2024'!$G$4:$G$2091,'сентябрь 2024'!$D$4:$D$2091,$B135,'сентябрь 2024'!$J$4:$J$2091,Q$1)</f>
        <v>0</v>
      </c>
      <c r="R135" s="80">
        <f>SUMIFS('сентябрь 2024'!$G$4:$G$2091,'сентябрь 2024'!$D$4:$D$2091,$B135,'сентябрь 2024'!$J$4:$J$2091,R$1)</f>
        <v>0</v>
      </c>
      <c r="S135" s="80">
        <f>SUMIFS('сентябрь 2024'!$G$4:$G$2091,'сентябрь 2024'!$D$4:$D$2091,$B135,'сентябрь 2024'!$J$4:$J$2091,S$1)</f>
        <v>0</v>
      </c>
      <c r="T135" s="80">
        <f>SUMIFS('сентябрь 2024'!$G$4:$G$2091,'сентябрь 2024'!$D$4:$D$2091,$B135,'сентябрь 2024'!$J$4:$J$2091,T$1)</f>
        <v>0</v>
      </c>
      <c r="U135" s="80">
        <f>SUMIFS('сентябрь 2024'!$G$4:$G$2091,'сентябрь 2024'!$D$4:$D$2091,$B135,'сентябрь 2024'!$J$4:$J$2091,U$1)</f>
        <v>0</v>
      </c>
      <c r="V135" s="80">
        <f>SUMIFS('сентябрь 2024'!$G$4:$G$2091,'сентябрь 2024'!$D$4:$D$2091,$B135,'сентябрь 2024'!$J$4:$J$2091,V$1)</f>
        <v>0</v>
      </c>
      <c r="W135" s="80">
        <f>SUMIFS('сентябрь 2024'!$G$4:$G$2091,'сентябрь 2024'!$D$4:$D$2091,$B135,'сентябрь 2024'!$J$4:$J$2091,W$1)</f>
        <v>0</v>
      </c>
      <c r="X135" s="80">
        <f>SUMIFS('сентябрь 2024'!$G$4:$G$2091,'сентябрь 2024'!$D$4:$D$2091,$B135,'сентябрь 2024'!$J$4:$J$2091,X$1)</f>
        <v>0</v>
      </c>
      <c r="Y135" s="80">
        <f>SUMIFS('сентябрь 2024'!$G$4:$G$2091,'сентябрь 2024'!$D$4:$D$2091,$B135,'сентябрь 2024'!$J$4:$J$2091,Y$1)</f>
        <v>0</v>
      </c>
      <c r="Z135" s="80">
        <f>SUMIFS('сентябрь 2024'!$G$4:$G$2091,'сентябрь 2024'!$D$4:$D$2091,$B135,'сентябрь 2024'!$J$4:$J$2091,Z$1)</f>
        <v>0</v>
      </c>
      <c r="AA135" s="80">
        <f>SUMIFS('сентябрь 2024'!$G$4:$G$2091,'сентябрь 2024'!$D$4:$D$2091,$B135,'сентябрь 2024'!$J$4:$J$2091,AA$1)</f>
        <v>0</v>
      </c>
      <c r="AB135" s="80">
        <f>SUMIFS('сентябрь 2024'!$G$4:$G$2091,'сентябрь 2024'!$D$4:$D$2091,$B135,'сентябрь 2024'!$J$4:$J$2091,AB$1)</f>
        <v>0</v>
      </c>
      <c r="AC135" s="80">
        <f>SUMIFS('сентябрь 2024'!$G$4:$G$2091,'сентябрь 2024'!$D$4:$D$2091,$B135,'сентябрь 2024'!$J$4:$J$2091,AC$1)</f>
        <v>0</v>
      </c>
      <c r="AD135" s="80">
        <f>SUMIFS('сентябрь 2024'!$G$4:$G$2091,'сентябрь 2024'!$D$4:$D$2091,$B135,'сентябрь 2024'!$J$4:$J$2091,AD$1)</f>
        <v>0</v>
      </c>
      <c r="AE135" s="80">
        <f>SUMIFS('сентябрь 2024'!$G$4:$G$2091,'сентябрь 2024'!$D$4:$D$2091,$B135,'сентябрь 2024'!$J$4:$J$2091,AE$1)</f>
        <v>0</v>
      </c>
      <c r="AF135" s="80">
        <f>SUMIFS('сентябрь 2024'!$G$4:$G$2091,'сентябрь 2024'!$D$4:$D$2091,$B135,'сентябрь 2024'!$J$4:$J$2091,AF$1)</f>
        <v>0</v>
      </c>
      <c r="AG135" s="80">
        <f>SUMIFS('сентябрь 2024'!$G$4:$G$2091,'сентябрь 2024'!$D$4:$D$2091,$B135,'сентябрь 2024'!$J$4:$J$2091,AG$1)</f>
        <v>0</v>
      </c>
      <c r="AH135" s="80">
        <f>SUMIFS('сентябрь 2024'!$G$4:$G$2091,'сентябрь 2024'!$D$4:$D$2091,$B135,'сентябрь 2024'!$J$4:$J$2091,AH$1)</f>
        <v>0</v>
      </c>
      <c r="AI135" s="21">
        <f t="shared" si="1"/>
        <v>0</v>
      </c>
    </row>
    <row r="136" spans="2:35" ht="16.899999999999999" customHeight="1" x14ac:dyDescent="0.25">
      <c r="B136" s="89" t="s">
        <v>340</v>
      </c>
      <c r="C136" s="88">
        <v>200</v>
      </c>
      <c r="D136" s="80">
        <f>SUMIFS('сентябрь 2024'!$G$4:$G$2091,'сентябрь 2024'!$D$4:$D$2091,$B136,'сентябрь 2024'!$J$4:$J$2091,D$1)</f>
        <v>0</v>
      </c>
      <c r="E136" s="80">
        <f>SUMIFS('сентябрь 2024'!$G$4:$G$2091,'сентябрь 2024'!$D$4:$D$2091,$B136,'сентябрь 2024'!$J$4:$J$2091,E$1)</f>
        <v>0</v>
      </c>
      <c r="F136" s="80">
        <f>SUMIFS('сентябрь 2024'!$G$4:$G$2091,'сентябрь 2024'!$D$4:$D$2091,$B136,'сентябрь 2024'!$J$4:$J$2091,F$1)</f>
        <v>0</v>
      </c>
      <c r="G136" s="80">
        <f>SUMIFS('сентябрь 2024'!$G$4:$G$2091,'сентябрь 2024'!$D$4:$D$2091,$B136,'сентябрь 2024'!$J$4:$J$2091,G$1)</f>
        <v>0</v>
      </c>
      <c r="H136" s="80">
        <f>SUMIFS('сентябрь 2024'!$G$4:$G$2091,'сентябрь 2024'!$D$4:$D$2091,$B136,'сентябрь 2024'!$J$4:$J$2091,H$1)</f>
        <v>0</v>
      </c>
      <c r="I136" s="80">
        <f>SUMIFS('сентябрь 2024'!$G$4:$G$2091,'сентябрь 2024'!$D$4:$D$2091,$B136,'сентябрь 2024'!$J$4:$J$2091,I$1)</f>
        <v>0</v>
      </c>
      <c r="J136" s="80">
        <f>SUMIFS('сентябрь 2024'!$G$4:$G$2091,'сентябрь 2024'!$D$4:$D$2091,$B136,'сентябрь 2024'!$J$4:$J$2091,J$1)</f>
        <v>0</v>
      </c>
      <c r="K136" s="80">
        <f>SUMIFS('сентябрь 2024'!$G$4:$G$2091,'сентябрь 2024'!$D$4:$D$2091,$B136,'сентябрь 2024'!$J$4:$J$2091,K$1)</f>
        <v>0</v>
      </c>
      <c r="L136" s="80">
        <f>SUMIFS('сентябрь 2024'!$G$4:$G$2091,'сентябрь 2024'!$D$4:$D$2091,$B136,'сентябрь 2024'!$J$4:$J$2091,L$1)</f>
        <v>0</v>
      </c>
      <c r="M136" s="80">
        <f>SUMIFS('сентябрь 2024'!$G$4:$G$2091,'сентябрь 2024'!$D$4:$D$2091,$B136,'сентябрь 2024'!$J$4:$J$2091,M$1)</f>
        <v>0</v>
      </c>
      <c r="N136" s="80">
        <f>SUMIFS('сентябрь 2024'!$G$4:$G$2091,'сентябрь 2024'!$D$4:$D$2091,$B136,'сентябрь 2024'!$J$4:$J$2091,N$1)</f>
        <v>0</v>
      </c>
      <c r="O136" s="80">
        <f>SUMIFS('сентябрь 2024'!$G$4:$G$2091,'сентябрь 2024'!$D$4:$D$2091,$B136,'сентябрь 2024'!$J$4:$J$2091,O$1)</f>
        <v>0</v>
      </c>
      <c r="P136" s="80">
        <f>SUMIFS('сентябрь 2024'!$G$4:$G$2091,'сентябрь 2024'!$D$4:$D$2091,$B136,'сентябрь 2024'!$J$4:$J$2091,P$1)</f>
        <v>0</v>
      </c>
      <c r="Q136" s="80">
        <f>SUMIFS('сентябрь 2024'!$G$4:$G$2091,'сентябрь 2024'!$D$4:$D$2091,$B136,'сентябрь 2024'!$J$4:$J$2091,Q$1)</f>
        <v>0</v>
      </c>
      <c r="R136" s="80">
        <f>SUMIFS('сентябрь 2024'!$G$4:$G$2091,'сентябрь 2024'!$D$4:$D$2091,$B136,'сентябрь 2024'!$J$4:$J$2091,R$1)</f>
        <v>0</v>
      </c>
      <c r="S136" s="80">
        <f>SUMIFS('сентябрь 2024'!$G$4:$G$2091,'сентябрь 2024'!$D$4:$D$2091,$B136,'сентябрь 2024'!$J$4:$J$2091,S$1)</f>
        <v>0</v>
      </c>
      <c r="T136" s="80">
        <f>SUMIFS('сентябрь 2024'!$G$4:$G$2091,'сентябрь 2024'!$D$4:$D$2091,$B136,'сентябрь 2024'!$J$4:$J$2091,T$1)</f>
        <v>0</v>
      </c>
      <c r="U136" s="80">
        <f>SUMIFS('сентябрь 2024'!$G$4:$G$2091,'сентябрь 2024'!$D$4:$D$2091,$B136,'сентябрь 2024'!$J$4:$J$2091,U$1)</f>
        <v>0</v>
      </c>
      <c r="V136" s="80">
        <f>SUMIFS('сентябрь 2024'!$G$4:$G$2091,'сентябрь 2024'!$D$4:$D$2091,$B136,'сентябрь 2024'!$J$4:$J$2091,V$1)</f>
        <v>0</v>
      </c>
      <c r="W136" s="80">
        <f>SUMIFS('сентябрь 2024'!$G$4:$G$2091,'сентябрь 2024'!$D$4:$D$2091,$B136,'сентябрь 2024'!$J$4:$J$2091,W$1)</f>
        <v>0</v>
      </c>
      <c r="X136" s="80">
        <f>SUMIFS('сентябрь 2024'!$G$4:$G$2091,'сентябрь 2024'!$D$4:$D$2091,$B136,'сентябрь 2024'!$J$4:$J$2091,X$1)</f>
        <v>0</v>
      </c>
      <c r="Y136" s="80">
        <f>SUMIFS('сентябрь 2024'!$G$4:$G$2091,'сентябрь 2024'!$D$4:$D$2091,$B136,'сентябрь 2024'!$J$4:$J$2091,Y$1)</f>
        <v>0</v>
      </c>
      <c r="Z136" s="80">
        <f>SUMIFS('сентябрь 2024'!$G$4:$G$2091,'сентябрь 2024'!$D$4:$D$2091,$B136,'сентябрь 2024'!$J$4:$J$2091,Z$1)</f>
        <v>0</v>
      </c>
      <c r="AA136" s="80">
        <f>SUMIFS('сентябрь 2024'!$G$4:$G$2091,'сентябрь 2024'!$D$4:$D$2091,$B136,'сентябрь 2024'!$J$4:$J$2091,AA$1)</f>
        <v>0</v>
      </c>
      <c r="AB136" s="80">
        <f>SUMIFS('сентябрь 2024'!$G$4:$G$2091,'сентябрь 2024'!$D$4:$D$2091,$B136,'сентябрь 2024'!$J$4:$J$2091,AB$1)</f>
        <v>0</v>
      </c>
      <c r="AC136" s="80">
        <f>SUMIFS('сентябрь 2024'!$G$4:$G$2091,'сентябрь 2024'!$D$4:$D$2091,$B136,'сентябрь 2024'!$J$4:$J$2091,AC$1)</f>
        <v>0</v>
      </c>
      <c r="AD136" s="80">
        <f>SUMIFS('сентябрь 2024'!$G$4:$G$2091,'сентябрь 2024'!$D$4:$D$2091,$B136,'сентябрь 2024'!$J$4:$J$2091,AD$1)</f>
        <v>0</v>
      </c>
      <c r="AE136" s="80">
        <f>SUMIFS('сентябрь 2024'!$G$4:$G$2091,'сентябрь 2024'!$D$4:$D$2091,$B136,'сентябрь 2024'!$J$4:$J$2091,AE$1)</f>
        <v>0</v>
      </c>
      <c r="AF136" s="80">
        <f>SUMIFS('сентябрь 2024'!$G$4:$G$2091,'сентябрь 2024'!$D$4:$D$2091,$B136,'сентябрь 2024'!$J$4:$J$2091,AF$1)</f>
        <v>0</v>
      </c>
      <c r="AG136" s="80">
        <f>SUMIFS('сентябрь 2024'!$G$4:$G$2091,'сентябрь 2024'!$D$4:$D$2091,$B136,'сентябрь 2024'!$J$4:$J$2091,AG$1)</f>
        <v>0</v>
      </c>
      <c r="AH136" s="80">
        <f>SUMIFS('сентябрь 2024'!$G$4:$G$2091,'сентябрь 2024'!$D$4:$D$2091,$B136,'сентябрь 2024'!$J$4:$J$2091,AH$1)</f>
        <v>0</v>
      </c>
      <c r="AI136" s="21">
        <f t="shared" si="1"/>
        <v>0</v>
      </c>
    </row>
    <row r="137" spans="2:35" ht="16.899999999999999" customHeight="1" x14ac:dyDescent="0.25">
      <c r="B137" s="89" t="s">
        <v>336</v>
      </c>
      <c r="C137" s="88">
        <v>200</v>
      </c>
      <c r="D137" s="80">
        <f>SUMIFS('сентябрь 2024'!$G$4:$G$2091,'сентябрь 2024'!$D$4:$D$2091,$B137,'сентябрь 2024'!$J$4:$J$2091,D$1)</f>
        <v>0</v>
      </c>
      <c r="E137" s="80">
        <f>SUMIFS('сентябрь 2024'!$G$4:$G$2091,'сентябрь 2024'!$D$4:$D$2091,$B137,'сентябрь 2024'!$J$4:$J$2091,E$1)</f>
        <v>0</v>
      </c>
      <c r="F137" s="80">
        <f>SUMIFS('сентябрь 2024'!$G$4:$G$2091,'сентябрь 2024'!$D$4:$D$2091,$B137,'сентябрь 2024'!$J$4:$J$2091,F$1)</f>
        <v>0</v>
      </c>
      <c r="G137" s="80">
        <f>SUMIFS('сентябрь 2024'!$G$4:$G$2091,'сентябрь 2024'!$D$4:$D$2091,$B137,'сентябрь 2024'!$J$4:$J$2091,G$1)</f>
        <v>0</v>
      </c>
      <c r="H137" s="80">
        <f>SUMIFS('сентябрь 2024'!$G$4:$G$2091,'сентябрь 2024'!$D$4:$D$2091,$B137,'сентябрь 2024'!$J$4:$J$2091,H$1)</f>
        <v>0</v>
      </c>
      <c r="I137" s="80">
        <f>SUMIFS('сентябрь 2024'!$G$4:$G$2091,'сентябрь 2024'!$D$4:$D$2091,$B137,'сентябрь 2024'!$J$4:$J$2091,I$1)</f>
        <v>0</v>
      </c>
      <c r="J137" s="80">
        <f>SUMIFS('сентябрь 2024'!$G$4:$G$2091,'сентябрь 2024'!$D$4:$D$2091,$B137,'сентябрь 2024'!$J$4:$J$2091,J$1)</f>
        <v>0</v>
      </c>
      <c r="K137" s="80">
        <f>SUMIFS('сентябрь 2024'!$G$4:$G$2091,'сентябрь 2024'!$D$4:$D$2091,$B137,'сентябрь 2024'!$J$4:$J$2091,K$1)</f>
        <v>0</v>
      </c>
      <c r="L137" s="80">
        <f>SUMIFS('сентябрь 2024'!$G$4:$G$2091,'сентябрь 2024'!$D$4:$D$2091,$B137,'сентябрь 2024'!$J$4:$J$2091,L$1)</f>
        <v>0</v>
      </c>
      <c r="M137" s="80">
        <f>SUMIFS('сентябрь 2024'!$G$4:$G$2091,'сентябрь 2024'!$D$4:$D$2091,$B137,'сентябрь 2024'!$J$4:$J$2091,M$1)</f>
        <v>0</v>
      </c>
      <c r="N137" s="80">
        <f>SUMIFS('сентябрь 2024'!$G$4:$G$2091,'сентябрь 2024'!$D$4:$D$2091,$B137,'сентябрь 2024'!$J$4:$J$2091,N$1)</f>
        <v>0</v>
      </c>
      <c r="O137" s="80">
        <f>SUMIFS('сентябрь 2024'!$G$4:$G$2091,'сентябрь 2024'!$D$4:$D$2091,$B137,'сентябрь 2024'!$J$4:$J$2091,O$1)</f>
        <v>0</v>
      </c>
      <c r="P137" s="80">
        <f>SUMIFS('сентябрь 2024'!$G$4:$G$2091,'сентябрь 2024'!$D$4:$D$2091,$B137,'сентябрь 2024'!$J$4:$J$2091,P$1)</f>
        <v>0</v>
      </c>
      <c r="Q137" s="80">
        <f>SUMIFS('сентябрь 2024'!$G$4:$G$2091,'сентябрь 2024'!$D$4:$D$2091,$B137,'сентябрь 2024'!$J$4:$J$2091,Q$1)</f>
        <v>0</v>
      </c>
      <c r="R137" s="80">
        <f>SUMIFS('сентябрь 2024'!$G$4:$G$2091,'сентябрь 2024'!$D$4:$D$2091,$B137,'сентябрь 2024'!$J$4:$J$2091,R$1)</f>
        <v>0</v>
      </c>
      <c r="S137" s="80">
        <f>SUMIFS('сентябрь 2024'!$G$4:$G$2091,'сентябрь 2024'!$D$4:$D$2091,$B137,'сентябрь 2024'!$J$4:$J$2091,S$1)</f>
        <v>0</v>
      </c>
      <c r="T137" s="80">
        <f>SUMIFS('сентябрь 2024'!$G$4:$G$2091,'сентябрь 2024'!$D$4:$D$2091,$B137,'сентябрь 2024'!$J$4:$J$2091,T$1)</f>
        <v>0</v>
      </c>
      <c r="U137" s="80">
        <f>SUMIFS('сентябрь 2024'!$G$4:$G$2091,'сентябрь 2024'!$D$4:$D$2091,$B137,'сентябрь 2024'!$J$4:$J$2091,U$1)</f>
        <v>0</v>
      </c>
      <c r="V137" s="80">
        <f>SUMIFS('сентябрь 2024'!$G$4:$G$2091,'сентябрь 2024'!$D$4:$D$2091,$B137,'сентябрь 2024'!$J$4:$J$2091,V$1)</f>
        <v>0</v>
      </c>
      <c r="W137" s="80">
        <f>SUMIFS('сентябрь 2024'!$G$4:$G$2091,'сентябрь 2024'!$D$4:$D$2091,$B137,'сентябрь 2024'!$J$4:$J$2091,W$1)</f>
        <v>0</v>
      </c>
      <c r="X137" s="80">
        <f>SUMIFS('сентябрь 2024'!$G$4:$G$2091,'сентябрь 2024'!$D$4:$D$2091,$B137,'сентябрь 2024'!$J$4:$J$2091,X$1)</f>
        <v>0</v>
      </c>
      <c r="Y137" s="80">
        <f>SUMIFS('сентябрь 2024'!$G$4:$G$2091,'сентябрь 2024'!$D$4:$D$2091,$B137,'сентябрь 2024'!$J$4:$J$2091,Y$1)</f>
        <v>0</v>
      </c>
      <c r="Z137" s="80">
        <f>SUMIFS('сентябрь 2024'!$G$4:$G$2091,'сентябрь 2024'!$D$4:$D$2091,$B137,'сентябрь 2024'!$J$4:$J$2091,Z$1)</f>
        <v>0</v>
      </c>
      <c r="AA137" s="80">
        <f>SUMIFS('сентябрь 2024'!$G$4:$G$2091,'сентябрь 2024'!$D$4:$D$2091,$B137,'сентябрь 2024'!$J$4:$J$2091,AA$1)</f>
        <v>0</v>
      </c>
      <c r="AB137" s="80">
        <f>SUMIFS('сентябрь 2024'!$G$4:$G$2091,'сентябрь 2024'!$D$4:$D$2091,$B137,'сентябрь 2024'!$J$4:$J$2091,AB$1)</f>
        <v>0</v>
      </c>
      <c r="AC137" s="80">
        <f>SUMIFS('сентябрь 2024'!$G$4:$G$2091,'сентябрь 2024'!$D$4:$D$2091,$B137,'сентябрь 2024'!$J$4:$J$2091,AC$1)</f>
        <v>0</v>
      </c>
      <c r="AD137" s="80">
        <f>SUMIFS('сентябрь 2024'!$G$4:$G$2091,'сентябрь 2024'!$D$4:$D$2091,$B137,'сентябрь 2024'!$J$4:$J$2091,AD$1)</f>
        <v>0</v>
      </c>
      <c r="AE137" s="80">
        <f>SUMIFS('сентябрь 2024'!$G$4:$G$2091,'сентябрь 2024'!$D$4:$D$2091,$B137,'сентябрь 2024'!$J$4:$J$2091,AE$1)</f>
        <v>0</v>
      </c>
      <c r="AF137" s="80">
        <f>SUMIFS('сентябрь 2024'!$G$4:$G$2091,'сентябрь 2024'!$D$4:$D$2091,$B137,'сентябрь 2024'!$J$4:$J$2091,AF$1)</f>
        <v>0</v>
      </c>
      <c r="AG137" s="80">
        <f>SUMIFS('сентябрь 2024'!$G$4:$G$2091,'сентябрь 2024'!$D$4:$D$2091,$B137,'сентябрь 2024'!$J$4:$J$2091,AG$1)</f>
        <v>0</v>
      </c>
      <c r="AH137" s="80">
        <f>SUMIFS('сентябрь 2024'!$G$4:$G$2091,'сентябрь 2024'!$D$4:$D$2091,$B137,'сентябрь 2024'!$J$4:$J$2091,AH$1)</f>
        <v>0</v>
      </c>
      <c r="AI137" s="21">
        <f t="shared" si="1"/>
        <v>0</v>
      </c>
    </row>
    <row r="138" spans="2:35" ht="15" customHeight="1" x14ac:dyDescent="0.25">
      <c r="B138" s="89" t="s">
        <v>341</v>
      </c>
      <c r="C138" s="88">
        <v>200</v>
      </c>
      <c r="D138" s="80">
        <f>SUMIFS('сентябрь 2024'!$G$4:$G$2091,'сентябрь 2024'!$D$4:$D$2091,$B138,'сентябрь 2024'!$J$4:$J$2091,D$1)</f>
        <v>0</v>
      </c>
      <c r="E138" s="80">
        <f>SUMIFS('сентябрь 2024'!$G$4:$G$2091,'сентябрь 2024'!$D$4:$D$2091,$B138,'сентябрь 2024'!$J$4:$J$2091,E$1)</f>
        <v>0</v>
      </c>
      <c r="F138" s="80">
        <f>SUMIFS('сентябрь 2024'!$G$4:$G$2091,'сентябрь 2024'!$D$4:$D$2091,$B138,'сентябрь 2024'!$J$4:$J$2091,F$1)</f>
        <v>0</v>
      </c>
      <c r="G138" s="80">
        <f>SUMIFS('сентябрь 2024'!$G$4:$G$2091,'сентябрь 2024'!$D$4:$D$2091,$B138,'сентябрь 2024'!$J$4:$J$2091,G$1)</f>
        <v>0</v>
      </c>
      <c r="H138" s="80">
        <f>SUMIFS('сентябрь 2024'!$G$4:$G$2091,'сентябрь 2024'!$D$4:$D$2091,$B138,'сентябрь 2024'!$J$4:$J$2091,H$1)</f>
        <v>0</v>
      </c>
      <c r="I138" s="80">
        <f>SUMIFS('сентябрь 2024'!$G$4:$G$2091,'сентябрь 2024'!$D$4:$D$2091,$B138,'сентябрь 2024'!$J$4:$J$2091,I$1)</f>
        <v>0</v>
      </c>
      <c r="J138" s="80">
        <f>SUMIFS('сентябрь 2024'!$G$4:$G$2091,'сентябрь 2024'!$D$4:$D$2091,$B138,'сентябрь 2024'!$J$4:$J$2091,J$1)</f>
        <v>0</v>
      </c>
      <c r="K138" s="80">
        <f>SUMIFS('сентябрь 2024'!$G$4:$G$2091,'сентябрь 2024'!$D$4:$D$2091,$B138,'сентябрь 2024'!$J$4:$J$2091,K$1)</f>
        <v>0</v>
      </c>
      <c r="L138" s="80">
        <f>SUMIFS('сентябрь 2024'!$G$4:$G$2091,'сентябрь 2024'!$D$4:$D$2091,$B138,'сентябрь 2024'!$J$4:$J$2091,L$1)</f>
        <v>0</v>
      </c>
      <c r="M138" s="80">
        <f>SUMIFS('сентябрь 2024'!$G$4:$G$2091,'сентябрь 2024'!$D$4:$D$2091,$B138,'сентябрь 2024'!$J$4:$J$2091,M$1)</f>
        <v>0</v>
      </c>
      <c r="N138" s="80">
        <f>SUMIFS('сентябрь 2024'!$G$4:$G$2091,'сентябрь 2024'!$D$4:$D$2091,$B138,'сентябрь 2024'!$J$4:$J$2091,N$1)</f>
        <v>0</v>
      </c>
      <c r="O138" s="80">
        <f>SUMIFS('сентябрь 2024'!$G$4:$G$2091,'сентябрь 2024'!$D$4:$D$2091,$B138,'сентябрь 2024'!$J$4:$J$2091,O$1)</f>
        <v>0</v>
      </c>
      <c r="P138" s="80">
        <f>SUMIFS('сентябрь 2024'!$G$4:$G$2091,'сентябрь 2024'!$D$4:$D$2091,$B138,'сентябрь 2024'!$J$4:$J$2091,P$1)</f>
        <v>0</v>
      </c>
      <c r="Q138" s="80">
        <f>SUMIFS('сентябрь 2024'!$G$4:$G$2091,'сентябрь 2024'!$D$4:$D$2091,$B138,'сентябрь 2024'!$J$4:$J$2091,Q$1)</f>
        <v>0</v>
      </c>
      <c r="R138" s="80">
        <f>SUMIFS('сентябрь 2024'!$G$4:$G$2091,'сентябрь 2024'!$D$4:$D$2091,$B138,'сентябрь 2024'!$J$4:$J$2091,R$1)</f>
        <v>0</v>
      </c>
      <c r="S138" s="80">
        <f>SUMIFS('сентябрь 2024'!$G$4:$G$2091,'сентябрь 2024'!$D$4:$D$2091,$B138,'сентябрь 2024'!$J$4:$J$2091,S$1)</f>
        <v>0</v>
      </c>
      <c r="T138" s="80">
        <f>SUMIFS('сентябрь 2024'!$G$4:$G$2091,'сентябрь 2024'!$D$4:$D$2091,$B138,'сентябрь 2024'!$J$4:$J$2091,T$1)</f>
        <v>0</v>
      </c>
      <c r="U138" s="80">
        <f>SUMIFS('сентябрь 2024'!$G$4:$G$2091,'сентябрь 2024'!$D$4:$D$2091,$B138,'сентябрь 2024'!$J$4:$J$2091,U$1)</f>
        <v>0</v>
      </c>
      <c r="V138" s="80">
        <f>SUMIFS('сентябрь 2024'!$G$4:$G$2091,'сентябрь 2024'!$D$4:$D$2091,$B138,'сентябрь 2024'!$J$4:$J$2091,V$1)</f>
        <v>0</v>
      </c>
      <c r="W138" s="80">
        <f>SUMIFS('сентябрь 2024'!$G$4:$G$2091,'сентябрь 2024'!$D$4:$D$2091,$B138,'сентябрь 2024'!$J$4:$J$2091,W$1)</f>
        <v>0</v>
      </c>
      <c r="X138" s="80">
        <f>SUMIFS('сентябрь 2024'!$G$4:$G$2091,'сентябрь 2024'!$D$4:$D$2091,$B138,'сентябрь 2024'!$J$4:$J$2091,X$1)</f>
        <v>0</v>
      </c>
      <c r="Y138" s="80">
        <f>SUMIFS('сентябрь 2024'!$G$4:$G$2091,'сентябрь 2024'!$D$4:$D$2091,$B138,'сентябрь 2024'!$J$4:$J$2091,Y$1)</f>
        <v>0</v>
      </c>
      <c r="Z138" s="80">
        <f>SUMIFS('сентябрь 2024'!$G$4:$G$2091,'сентябрь 2024'!$D$4:$D$2091,$B138,'сентябрь 2024'!$J$4:$J$2091,Z$1)</f>
        <v>0</v>
      </c>
      <c r="AA138" s="80">
        <f>SUMIFS('сентябрь 2024'!$G$4:$G$2091,'сентябрь 2024'!$D$4:$D$2091,$B138,'сентябрь 2024'!$J$4:$J$2091,AA$1)</f>
        <v>0</v>
      </c>
      <c r="AB138" s="80">
        <f>SUMIFS('сентябрь 2024'!$G$4:$G$2091,'сентябрь 2024'!$D$4:$D$2091,$B138,'сентябрь 2024'!$J$4:$J$2091,AB$1)</f>
        <v>0</v>
      </c>
      <c r="AC138" s="80">
        <f>SUMIFS('сентябрь 2024'!$G$4:$G$2091,'сентябрь 2024'!$D$4:$D$2091,$B138,'сентябрь 2024'!$J$4:$J$2091,AC$1)</f>
        <v>0</v>
      </c>
      <c r="AD138" s="80">
        <f>SUMIFS('сентябрь 2024'!$G$4:$G$2091,'сентябрь 2024'!$D$4:$D$2091,$B138,'сентябрь 2024'!$J$4:$J$2091,AD$1)</f>
        <v>0</v>
      </c>
      <c r="AE138" s="80">
        <f>SUMIFS('сентябрь 2024'!$G$4:$G$2091,'сентябрь 2024'!$D$4:$D$2091,$B138,'сентябрь 2024'!$J$4:$J$2091,AE$1)</f>
        <v>0</v>
      </c>
      <c r="AF138" s="80">
        <f>SUMIFS('сентябрь 2024'!$G$4:$G$2091,'сентябрь 2024'!$D$4:$D$2091,$B138,'сентябрь 2024'!$J$4:$J$2091,AF$1)</f>
        <v>0</v>
      </c>
      <c r="AG138" s="80">
        <f>SUMIFS('сентябрь 2024'!$G$4:$G$2091,'сентябрь 2024'!$D$4:$D$2091,$B138,'сентябрь 2024'!$J$4:$J$2091,AG$1)</f>
        <v>0</v>
      </c>
      <c r="AH138" s="80">
        <f>SUMIFS('сентябрь 2024'!$G$4:$G$2091,'сентябрь 2024'!$D$4:$D$2091,$B138,'сентябрь 2024'!$J$4:$J$2091,AH$1)</f>
        <v>0</v>
      </c>
      <c r="AI138" s="21">
        <f t="shared" si="1"/>
        <v>0</v>
      </c>
    </row>
    <row r="139" spans="2:35" ht="15" customHeight="1" x14ac:dyDescent="0.25">
      <c r="B139" s="89" t="s">
        <v>337</v>
      </c>
      <c r="C139" s="88">
        <v>200</v>
      </c>
      <c r="D139" s="80">
        <f>SUMIFS('сентябрь 2024'!$G$4:$G$2091,'сентябрь 2024'!$D$4:$D$2091,$B139,'сентябрь 2024'!$J$4:$J$2091,D$1)</f>
        <v>0</v>
      </c>
      <c r="E139" s="80">
        <f>SUMIFS('сентябрь 2024'!$G$4:$G$2091,'сентябрь 2024'!$D$4:$D$2091,$B139,'сентябрь 2024'!$J$4:$J$2091,E$1)</f>
        <v>0</v>
      </c>
      <c r="F139" s="80">
        <f>SUMIFS('сентябрь 2024'!$G$4:$G$2091,'сентябрь 2024'!$D$4:$D$2091,$B139,'сентябрь 2024'!$J$4:$J$2091,F$1)</f>
        <v>0</v>
      </c>
      <c r="G139" s="80">
        <f>SUMIFS('сентябрь 2024'!$G$4:$G$2091,'сентябрь 2024'!$D$4:$D$2091,$B139,'сентябрь 2024'!$J$4:$J$2091,G$1)</f>
        <v>0</v>
      </c>
      <c r="H139" s="80">
        <f>SUMIFS('сентябрь 2024'!$G$4:$G$2091,'сентябрь 2024'!$D$4:$D$2091,$B139,'сентябрь 2024'!$J$4:$J$2091,H$1)</f>
        <v>0</v>
      </c>
      <c r="I139" s="80">
        <f>SUMIFS('сентябрь 2024'!$G$4:$G$2091,'сентябрь 2024'!$D$4:$D$2091,$B139,'сентябрь 2024'!$J$4:$J$2091,I$1)</f>
        <v>100</v>
      </c>
      <c r="J139" s="80">
        <f>SUMIFS('сентябрь 2024'!$G$4:$G$2091,'сентябрь 2024'!$D$4:$D$2091,$B139,'сентябрь 2024'!$J$4:$J$2091,J$1)</f>
        <v>0</v>
      </c>
      <c r="K139" s="80">
        <f>SUMIFS('сентябрь 2024'!$G$4:$G$2091,'сентябрь 2024'!$D$4:$D$2091,$B139,'сентябрь 2024'!$J$4:$J$2091,K$1)</f>
        <v>0</v>
      </c>
      <c r="L139" s="80">
        <f>SUMIFS('сентябрь 2024'!$G$4:$G$2091,'сентябрь 2024'!$D$4:$D$2091,$B139,'сентябрь 2024'!$J$4:$J$2091,L$1)</f>
        <v>0</v>
      </c>
      <c r="M139" s="80">
        <f>SUMIFS('сентябрь 2024'!$G$4:$G$2091,'сентябрь 2024'!$D$4:$D$2091,$B139,'сентябрь 2024'!$J$4:$J$2091,M$1)</f>
        <v>0</v>
      </c>
      <c r="N139" s="80">
        <f>SUMIFS('сентябрь 2024'!$G$4:$G$2091,'сентябрь 2024'!$D$4:$D$2091,$B139,'сентябрь 2024'!$J$4:$J$2091,N$1)</f>
        <v>0</v>
      </c>
      <c r="O139" s="80">
        <f>SUMIFS('сентябрь 2024'!$G$4:$G$2091,'сентябрь 2024'!$D$4:$D$2091,$B139,'сентябрь 2024'!$J$4:$J$2091,O$1)</f>
        <v>0</v>
      </c>
      <c r="P139" s="80">
        <f>SUMIFS('сентябрь 2024'!$G$4:$G$2091,'сентябрь 2024'!$D$4:$D$2091,$B139,'сентябрь 2024'!$J$4:$J$2091,P$1)</f>
        <v>0</v>
      </c>
      <c r="Q139" s="80">
        <f>SUMIFS('сентябрь 2024'!$G$4:$G$2091,'сентябрь 2024'!$D$4:$D$2091,$B139,'сентябрь 2024'!$J$4:$J$2091,Q$1)</f>
        <v>0</v>
      </c>
      <c r="R139" s="80">
        <f>SUMIFS('сентябрь 2024'!$G$4:$G$2091,'сентябрь 2024'!$D$4:$D$2091,$B139,'сентябрь 2024'!$J$4:$J$2091,R$1)</f>
        <v>0</v>
      </c>
      <c r="S139" s="80">
        <f>SUMIFS('сентябрь 2024'!$G$4:$G$2091,'сентябрь 2024'!$D$4:$D$2091,$B139,'сентябрь 2024'!$J$4:$J$2091,S$1)</f>
        <v>0</v>
      </c>
      <c r="T139" s="80">
        <f>SUMIFS('сентябрь 2024'!$G$4:$G$2091,'сентябрь 2024'!$D$4:$D$2091,$B139,'сентябрь 2024'!$J$4:$J$2091,T$1)</f>
        <v>0</v>
      </c>
      <c r="U139" s="80">
        <f>SUMIFS('сентябрь 2024'!$G$4:$G$2091,'сентябрь 2024'!$D$4:$D$2091,$B139,'сентябрь 2024'!$J$4:$J$2091,U$1)</f>
        <v>0</v>
      </c>
      <c r="V139" s="80">
        <f>SUMIFS('сентябрь 2024'!$G$4:$G$2091,'сентябрь 2024'!$D$4:$D$2091,$B139,'сентябрь 2024'!$J$4:$J$2091,V$1)</f>
        <v>0</v>
      </c>
      <c r="W139" s="80">
        <f>SUMIFS('сентябрь 2024'!$G$4:$G$2091,'сентябрь 2024'!$D$4:$D$2091,$B139,'сентябрь 2024'!$J$4:$J$2091,W$1)</f>
        <v>0</v>
      </c>
      <c r="X139" s="80">
        <f>SUMIFS('сентябрь 2024'!$G$4:$G$2091,'сентябрь 2024'!$D$4:$D$2091,$B139,'сентябрь 2024'!$J$4:$J$2091,X$1)</f>
        <v>0</v>
      </c>
      <c r="Y139" s="80">
        <f>SUMIFS('сентябрь 2024'!$G$4:$G$2091,'сентябрь 2024'!$D$4:$D$2091,$B139,'сентябрь 2024'!$J$4:$J$2091,Y$1)</f>
        <v>0</v>
      </c>
      <c r="Z139" s="80">
        <f>SUMIFS('сентябрь 2024'!$G$4:$G$2091,'сентябрь 2024'!$D$4:$D$2091,$B139,'сентябрь 2024'!$J$4:$J$2091,Z$1)</f>
        <v>0</v>
      </c>
      <c r="AA139" s="80">
        <f>SUMIFS('сентябрь 2024'!$G$4:$G$2091,'сентябрь 2024'!$D$4:$D$2091,$B139,'сентябрь 2024'!$J$4:$J$2091,AA$1)</f>
        <v>0</v>
      </c>
      <c r="AB139" s="80">
        <f>SUMIFS('сентябрь 2024'!$G$4:$G$2091,'сентябрь 2024'!$D$4:$D$2091,$B139,'сентябрь 2024'!$J$4:$J$2091,AB$1)</f>
        <v>0</v>
      </c>
      <c r="AC139" s="80">
        <f>SUMIFS('сентябрь 2024'!$G$4:$G$2091,'сентябрь 2024'!$D$4:$D$2091,$B139,'сентябрь 2024'!$J$4:$J$2091,AC$1)</f>
        <v>0</v>
      </c>
      <c r="AD139" s="80">
        <f>SUMIFS('сентябрь 2024'!$G$4:$G$2091,'сентябрь 2024'!$D$4:$D$2091,$B139,'сентябрь 2024'!$J$4:$J$2091,AD$1)</f>
        <v>0</v>
      </c>
      <c r="AE139" s="80">
        <f>SUMIFS('сентябрь 2024'!$G$4:$G$2091,'сентябрь 2024'!$D$4:$D$2091,$B139,'сентябрь 2024'!$J$4:$J$2091,AE$1)</f>
        <v>0</v>
      </c>
      <c r="AF139" s="80">
        <f>SUMIFS('сентябрь 2024'!$G$4:$G$2091,'сентябрь 2024'!$D$4:$D$2091,$B139,'сентябрь 2024'!$J$4:$J$2091,AF$1)</f>
        <v>0</v>
      </c>
      <c r="AG139" s="80">
        <f>SUMIFS('сентябрь 2024'!$G$4:$G$2091,'сентябрь 2024'!$D$4:$D$2091,$B139,'сентябрь 2024'!$J$4:$J$2091,AG$1)</f>
        <v>0</v>
      </c>
      <c r="AH139" s="80">
        <f>SUMIFS('сентябрь 2024'!$G$4:$G$2091,'сентябрь 2024'!$D$4:$D$2091,$B139,'сентябрь 2024'!$J$4:$J$2091,AH$1)</f>
        <v>0</v>
      </c>
      <c r="AI139" s="21">
        <f t="shared" si="1"/>
        <v>100</v>
      </c>
    </row>
    <row r="140" spans="2:35" ht="15" customHeight="1" x14ac:dyDescent="0.25">
      <c r="B140" s="89" t="s">
        <v>338</v>
      </c>
      <c r="C140" s="88">
        <v>200</v>
      </c>
      <c r="D140" s="80">
        <f>SUMIFS('сентябрь 2024'!$G$4:$G$2091,'сентябрь 2024'!$D$4:$D$2091,$B140,'сентябрь 2024'!$J$4:$J$2091,D$1)</f>
        <v>0</v>
      </c>
      <c r="E140" s="80">
        <f>SUMIFS('сентябрь 2024'!$G$4:$G$2091,'сентябрь 2024'!$D$4:$D$2091,$B140,'сентябрь 2024'!$J$4:$J$2091,E$1)</f>
        <v>0</v>
      </c>
      <c r="F140" s="80">
        <f>SUMIFS('сентябрь 2024'!$G$4:$G$2091,'сентябрь 2024'!$D$4:$D$2091,$B140,'сентябрь 2024'!$J$4:$J$2091,F$1)</f>
        <v>0</v>
      </c>
      <c r="G140" s="80">
        <f>SUMIFS('сентябрь 2024'!$G$4:$G$2091,'сентябрь 2024'!$D$4:$D$2091,$B140,'сентябрь 2024'!$J$4:$J$2091,G$1)</f>
        <v>0</v>
      </c>
      <c r="H140" s="80">
        <f>SUMIFS('сентябрь 2024'!$G$4:$G$2091,'сентябрь 2024'!$D$4:$D$2091,$B140,'сентябрь 2024'!$J$4:$J$2091,H$1)</f>
        <v>0</v>
      </c>
      <c r="I140" s="80">
        <f>SUMIFS('сентябрь 2024'!$G$4:$G$2091,'сентябрь 2024'!$D$4:$D$2091,$B140,'сентябрь 2024'!$J$4:$J$2091,I$1)</f>
        <v>0</v>
      </c>
      <c r="J140" s="80">
        <f>SUMIFS('сентябрь 2024'!$G$4:$G$2091,'сентябрь 2024'!$D$4:$D$2091,$B140,'сентябрь 2024'!$J$4:$J$2091,J$1)</f>
        <v>0</v>
      </c>
      <c r="K140" s="80">
        <f>SUMIFS('сентябрь 2024'!$G$4:$G$2091,'сентябрь 2024'!$D$4:$D$2091,$B140,'сентябрь 2024'!$J$4:$J$2091,K$1)</f>
        <v>0</v>
      </c>
      <c r="L140" s="80">
        <f>SUMIFS('сентябрь 2024'!$G$4:$G$2091,'сентябрь 2024'!$D$4:$D$2091,$B140,'сентябрь 2024'!$J$4:$J$2091,L$1)</f>
        <v>0</v>
      </c>
      <c r="M140" s="80">
        <f>SUMIFS('сентябрь 2024'!$G$4:$G$2091,'сентябрь 2024'!$D$4:$D$2091,$B140,'сентябрь 2024'!$J$4:$J$2091,M$1)</f>
        <v>0</v>
      </c>
      <c r="N140" s="80">
        <f>SUMIFS('сентябрь 2024'!$G$4:$G$2091,'сентябрь 2024'!$D$4:$D$2091,$B140,'сентябрь 2024'!$J$4:$J$2091,N$1)</f>
        <v>0</v>
      </c>
      <c r="O140" s="80">
        <f>SUMIFS('сентябрь 2024'!$G$4:$G$2091,'сентябрь 2024'!$D$4:$D$2091,$B140,'сентябрь 2024'!$J$4:$J$2091,O$1)</f>
        <v>0</v>
      </c>
      <c r="P140" s="80">
        <f>SUMIFS('сентябрь 2024'!$G$4:$G$2091,'сентябрь 2024'!$D$4:$D$2091,$B140,'сентябрь 2024'!$J$4:$J$2091,P$1)</f>
        <v>0</v>
      </c>
      <c r="Q140" s="80">
        <f>SUMIFS('сентябрь 2024'!$G$4:$G$2091,'сентябрь 2024'!$D$4:$D$2091,$B140,'сентябрь 2024'!$J$4:$J$2091,Q$1)</f>
        <v>0</v>
      </c>
      <c r="R140" s="80">
        <f>SUMIFS('сентябрь 2024'!$G$4:$G$2091,'сентябрь 2024'!$D$4:$D$2091,$B140,'сентябрь 2024'!$J$4:$J$2091,R$1)</f>
        <v>0</v>
      </c>
      <c r="S140" s="80">
        <f>SUMIFS('сентябрь 2024'!$G$4:$G$2091,'сентябрь 2024'!$D$4:$D$2091,$B140,'сентябрь 2024'!$J$4:$J$2091,S$1)</f>
        <v>0</v>
      </c>
      <c r="T140" s="80">
        <f>SUMIFS('сентябрь 2024'!$G$4:$G$2091,'сентябрь 2024'!$D$4:$D$2091,$B140,'сентябрь 2024'!$J$4:$J$2091,T$1)</f>
        <v>0</v>
      </c>
      <c r="U140" s="80">
        <f>SUMIFS('сентябрь 2024'!$G$4:$G$2091,'сентябрь 2024'!$D$4:$D$2091,$B140,'сентябрь 2024'!$J$4:$J$2091,U$1)</f>
        <v>0</v>
      </c>
      <c r="V140" s="80">
        <f>SUMIFS('сентябрь 2024'!$G$4:$G$2091,'сентябрь 2024'!$D$4:$D$2091,$B140,'сентябрь 2024'!$J$4:$J$2091,V$1)</f>
        <v>0</v>
      </c>
      <c r="W140" s="80">
        <f>SUMIFS('сентябрь 2024'!$G$4:$G$2091,'сентябрь 2024'!$D$4:$D$2091,$B140,'сентябрь 2024'!$J$4:$J$2091,W$1)</f>
        <v>0</v>
      </c>
      <c r="X140" s="80">
        <f>SUMIFS('сентябрь 2024'!$G$4:$G$2091,'сентябрь 2024'!$D$4:$D$2091,$B140,'сентябрь 2024'!$J$4:$J$2091,X$1)</f>
        <v>0</v>
      </c>
      <c r="Y140" s="80">
        <f>SUMIFS('сентябрь 2024'!$G$4:$G$2091,'сентябрь 2024'!$D$4:$D$2091,$B140,'сентябрь 2024'!$J$4:$J$2091,Y$1)</f>
        <v>0</v>
      </c>
      <c r="Z140" s="80">
        <f>SUMIFS('сентябрь 2024'!$G$4:$G$2091,'сентябрь 2024'!$D$4:$D$2091,$B140,'сентябрь 2024'!$J$4:$J$2091,Z$1)</f>
        <v>0</v>
      </c>
      <c r="AA140" s="80">
        <f>SUMIFS('сентябрь 2024'!$G$4:$G$2091,'сентябрь 2024'!$D$4:$D$2091,$B140,'сентябрь 2024'!$J$4:$J$2091,AA$1)</f>
        <v>0</v>
      </c>
      <c r="AB140" s="80">
        <f>SUMIFS('сентябрь 2024'!$G$4:$G$2091,'сентябрь 2024'!$D$4:$D$2091,$B140,'сентябрь 2024'!$J$4:$J$2091,AB$1)</f>
        <v>0</v>
      </c>
      <c r="AC140" s="80">
        <f>SUMIFS('сентябрь 2024'!$G$4:$G$2091,'сентябрь 2024'!$D$4:$D$2091,$B140,'сентябрь 2024'!$J$4:$J$2091,AC$1)</f>
        <v>0</v>
      </c>
      <c r="AD140" s="80">
        <f>SUMIFS('сентябрь 2024'!$G$4:$G$2091,'сентябрь 2024'!$D$4:$D$2091,$B140,'сентябрь 2024'!$J$4:$J$2091,AD$1)</f>
        <v>0</v>
      </c>
      <c r="AE140" s="80">
        <f>SUMIFS('сентябрь 2024'!$G$4:$G$2091,'сентябрь 2024'!$D$4:$D$2091,$B140,'сентябрь 2024'!$J$4:$J$2091,AE$1)</f>
        <v>0</v>
      </c>
      <c r="AF140" s="80">
        <f>SUMIFS('сентябрь 2024'!$G$4:$G$2091,'сентябрь 2024'!$D$4:$D$2091,$B140,'сентябрь 2024'!$J$4:$J$2091,AF$1)</f>
        <v>0</v>
      </c>
      <c r="AG140" s="80">
        <f>SUMIFS('сентябрь 2024'!$G$4:$G$2091,'сентябрь 2024'!$D$4:$D$2091,$B140,'сентябрь 2024'!$J$4:$J$2091,AG$1)</f>
        <v>12</v>
      </c>
      <c r="AH140" s="80">
        <f>SUMIFS('сентябрь 2024'!$G$4:$G$2091,'сентябрь 2024'!$D$4:$D$2091,$B140,'сентябрь 2024'!$J$4:$J$2091,AH$1)</f>
        <v>0</v>
      </c>
      <c r="AI140" s="21">
        <f t="shared" si="1"/>
        <v>12</v>
      </c>
    </row>
    <row r="141" spans="2:35" ht="15" customHeight="1" x14ac:dyDescent="0.25">
      <c r="B141" s="89" t="s">
        <v>1441</v>
      </c>
      <c r="C141" s="88">
        <v>1000</v>
      </c>
      <c r="D141" s="80">
        <f>SUMIFS('сентябрь 2024'!$G$4:$G$2091,'сентябрь 2024'!$D$4:$D$2091,$B141,'сентябрь 2024'!$J$4:$J$2091,D$1)</f>
        <v>0</v>
      </c>
      <c r="E141" s="80">
        <f>SUMIFS('сентябрь 2024'!$G$4:$G$2091,'сентябрь 2024'!$D$4:$D$2091,$B141,'сентябрь 2024'!$J$4:$J$2091,E$1)</f>
        <v>0</v>
      </c>
      <c r="F141" s="80">
        <f>SUMIFS('сентябрь 2024'!$G$4:$G$2091,'сентябрь 2024'!$D$4:$D$2091,$B141,'сентябрь 2024'!$J$4:$J$2091,F$1)</f>
        <v>0</v>
      </c>
      <c r="G141" s="80">
        <f>SUMIFS('сентябрь 2024'!$G$4:$G$2091,'сентябрь 2024'!$D$4:$D$2091,$B141,'сентябрь 2024'!$J$4:$J$2091,G$1)</f>
        <v>0</v>
      </c>
      <c r="H141" s="80">
        <f>SUMIFS('сентябрь 2024'!$G$4:$G$2091,'сентябрь 2024'!$D$4:$D$2091,$B141,'сентябрь 2024'!$J$4:$J$2091,H$1)</f>
        <v>0</v>
      </c>
      <c r="I141" s="80">
        <f>SUMIFS('сентябрь 2024'!$G$4:$G$2091,'сентябрь 2024'!$D$4:$D$2091,$B141,'сентябрь 2024'!$J$4:$J$2091,I$1)</f>
        <v>0</v>
      </c>
      <c r="J141" s="80">
        <f>SUMIFS('сентябрь 2024'!$G$4:$G$2091,'сентябрь 2024'!$D$4:$D$2091,$B141,'сентябрь 2024'!$J$4:$J$2091,J$1)</f>
        <v>0</v>
      </c>
      <c r="K141" s="80">
        <f>SUMIFS('сентябрь 2024'!$G$4:$G$2091,'сентябрь 2024'!$D$4:$D$2091,$B141,'сентябрь 2024'!$J$4:$J$2091,K$1)</f>
        <v>0</v>
      </c>
      <c r="L141" s="80">
        <f>SUMIFS('сентябрь 2024'!$G$4:$G$2091,'сентябрь 2024'!$D$4:$D$2091,$B141,'сентябрь 2024'!$J$4:$J$2091,L$1)</f>
        <v>0</v>
      </c>
      <c r="M141" s="80">
        <f>SUMIFS('сентябрь 2024'!$G$4:$G$2091,'сентябрь 2024'!$D$4:$D$2091,$B141,'сентябрь 2024'!$J$4:$J$2091,M$1)</f>
        <v>0</v>
      </c>
      <c r="N141" s="80">
        <f>SUMIFS('сентябрь 2024'!$G$4:$G$2091,'сентябрь 2024'!$D$4:$D$2091,$B141,'сентябрь 2024'!$J$4:$J$2091,N$1)</f>
        <v>0</v>
      </c>
      <c r="O141" s="80">
        <f>SUMIFS('сентябрь 2024'!$G$4:$G$2091,'сентябрь 2024'!$D$4:$D$2091,$B141,'сентябрь 2024'!$J$4:$J$2091,O$1)</f>
        <v>0</v>
      </c>
      <c r="P141" s="80">
        <f>SUMIFS('сентябрь 2024'!$G$4:$G$2091,'сентябрь 2024'!$D$4:$D$2091,$B141,'сентябрь 2024'!$J$4:$J$2091,P$1)</f>
        <v>0</v>
      </c>
      <c r="Q141" s="80">
        <f>SUMIFS('сентябрь 2024'!$G$4:$G$2091,'сентябрь 2024'!$D$4:$D$2091,$B141,'сентябрь 2024'!$J$4:$J$2091,Q$1)</f>
        <v>0</v>
      </c>
      <c r="R141" s="80">
        <f>SUMIFS('сентябрь 2024'!$G$4:$G$2091,'сентябрь 2024'!$D$4:$D$2091,$B141,'сентябрь 2024'!$J$4:$J$2091,R$1)</f>
        <v>0</v>
      </c>
      <c r="S141" s="80">
        <f>SUMIFS('сентябрь 2024'!$G$4:$G$2091,'сентябрь 2024'!$D$4:$D$2091,$B141,'сентябрь 2024'!$J$4:$J$2091,S$1)</f>
        <v>0</v>
      </c>
      <c r="T141" s="80">
        <f>SUMIFS('сентябрь 2024'!$G$4:$G$2091,'сентябрь 2024'!$D$4:$D$2091,$B141,'сентябрь 2024'!$J$4:$J$2091,T$1)</f>
        <v>0</v>
      </c>
      <c r="U141" s="80">
        <f>SUMIFS('сентябрь 2024'!$G$4:$G$2091,'сентябрь 2024'!$D$4:$D$2091,$B141,'сентябрь 2024'!$J$4:$J$2091,U$1)</f>
        <v>0</v>
      </c>
      <c r="V141" s="80">
        <f>SUMIFS('сентябрь 2024'!$G$4:$G$2091,'сентябрь 2024'!$D$4:$D$2091,$B141,'сентябрь 2024'!$J$4:$J$2091,V$1)</f>
        <v>0</v>
      </c>
      <c r="W141" s="80">
        <f>SUMIFS('сентябрь 2024'!$G$4:$G$2091,'сентябрь 2024'!$D$4:$D$2091,$B141,'сентябрь 2024'!$J$4:$J$2091,W$1)</f>
        <v>0</v>
      </c>
      <c r="X141" s="80">
        <f>SUMIFS('сентябрь 2024'!$G$4:$G$2091,'сентябрь 2024'!$D$4:$D$2091,$B141,'сентябрь 2024'!$J$4:$J$2091,X$1)</f>
        <v>0</v>
      </c>
      <c r="Y141" s="80">
        <f>SUMIFS('сентябрь 2024'!$G$4:$G$2091,'сентябрь 2024'!$D$4:$D$2091,$B141,'сентябрь 2024'!$J$4:$J$2091,Y$1)</f>
        <v>0</v>
      </c>
      <c r="Z141" s="80">
        <f>SUMIFS('сентябрь 2024'!$G$4:$G$2091,'сентябрь 2024'!$D$4:$D$2091,$B141,'сентябрь 2024'!$J$4:$J$2091,Z$1)</f>
        <v>0</v>
      </c>
      <c r="AA141" s="80">
        <f>SUMIFS('сентябрь 2024'!$G$4:$G$2091,'сентябрь 2024'!$D$4:$D$2091,$B141,'сентябрь 2024'!$J$4:$J$2091,AA$1)</f>
        <v>0</v>
      </c>
      <c r="AB141" s="80">
        <f>SUMIFS('сентябрь 2024'!$G$4:$G$2091,'сентябрь 2024'!$D$4:$D$2091,$B141,'сентябрь 2024'!$J$4:$J$2091,AB$1)</f>
        <v>0</v>
      </c>
      <c r="AC141" s="80">
        <f>SUMIFS('сентябрь 2024'!$G$4:$G$2091,'сентябрь 2024'!$D$4:$D$2091,$B141,'сентябрь 2024'!$J$4:$J$2091,AC$1)</f>
        <v>0</v>
      </c>
      <c r="AD141" s="80">
        <f>SUMIFS('сентябрь 2024'!$G$4:$G$2091,'сентябрь 2024'!$D$4:$D$2091,$B141,'сентябрь 2024'!$J$4:$J$2091,AD$1)</f>
        <v>0</v>
      </c>
      <c r="AE141" s="80">
        <f>SUMIFS('сентябрь 2024'!$G$4:$G$2091,'сентябрь 2024'!$D$4:$D$2091,$B141,'сентябрь 2024'!$J$4:$J$2091,AE$1)</f>
        <v>0</v>
      </c>
      <c r="AF141" s="80">
        <f>SUMIFS('сентябрь 2024'!$G$4:$G$2091,'сентябрь 2024'!$D$4:$D$2091,$B141,'сентябрь 2024'!$J$4:$J$2091,AF$1)</f>
        <v>0</v>
      </c>
      <c r="AG141" s="80">
        <f>SUMIFS('сентябрь 2024'!$G$4:$G$2091,'сентябрь 2024'!$D$4:$D$2091,$B141,'сентябрь 2024'!$J$4:$J$2091,AG$1)</f>
        <v>0</v>
      </c>
      <c r="AH141" s="80">
        <f>SUMIFS('сентябрь 2024'!$G$4:$G$2091,'сентябрь 2024'!$D$4:$D$2091,$B141,'сентябрь 2024'!$J$4:$J$2091,AH$1)</f>
        <v>0</v>
      </c>
      <c r="AI141" s="21">
        <f t="shared" si="1"/>
        <v>0</v>
      </c>
    </row>
    <row r="142" spans="2:35" ht="15" customHeight="1" x14ac:dyDescent="0.25">
      <c r="B142" s="89" t="s">
        <v>211</v>
      </c>
      <c r="C142" s="88">
        <v>200</v>
      </c>
      <c r="D142" s="80">
        <f>SUMIFS('сентябрь 2024'!$G$4:$G$2091,'сентябрь 2024'!$D$4:$D$2091,$B142,'сентябрь 2024'!$J$4:$J$2091,D$1)</f>
        <v>0</v>
      </c>
      <c r="E142" s="80">
        <f>SUMIFS('сентябрь 2024'!$G$4:$G$2091,'сентябрь 2024'!$D$4:$D$2091,$B142,'сентябрь 2024'!$J$4:$J$2091,E$1)</f>
        <v>0</v>
      </c>
      <c r="F142" s="80">
        <f>SUMIFS('сентябрь 2024'!$G$4:$G$2091,'сентябрь 2024'!$D$4:$D$2091,$B142,'сентябрь 2024'!$J$4:$J$2091,F$1)</f>
        <v>0</v>
      </c>
      <c r="G142" s="80">
        <f>SUMIFS('сентябрь 2024'!$G$4:$G$2091,'сентябрь 2024'!$D$4:$D$2091,$B142,'сентябрь 2024'!$J$4:$J$2091,G$1)</f>
        <v>0</v>
      </c>
      <c r="H142" s="80">
        <f>SUMIFS('сентябрь 2024'!$G$4:$G$2091,'сентябрь 2024'!$D$4:$D$2091,$B142,'сентябрь 2024'!$J$4:$J$2091,H$1)</f>
        <v>0</v>
      </c>
      <c r="I142" s="80">
        <f>SUMIFS('сентябрь 2024'!$G$4:$G$2091,'сентябрь 2024'!$D$4:$D$2091,$B142,'сентябрь 2024'!$J$4:$J$2091,I$1)</f>
        <v>0</v>
      </c>
      <c r="J142" s="80">
        <f>SUMIFS('сентябрь 2024'!$G$4:$G$2091,'сентябрь 2024'!$D$4:$D$2091,$B142,'сентябрь 2024'!$J$4:$J$2091,J$1)</f>
        <v>0</v>
      </c>
      <c r="K142" s="80">
        <f>SUMIFS('сентябрь 2024'!$G$4:$G$2091,'сентябрь 2024'!$D$4:$D$2091,$B142,'сентябрь 2024'!$J$4:$J$2091,K$1)</f>
        <v>0</v>
      </c>
      <c r="L142" s="80">
        <f>SUMIFS('сентябрь 2024'!$G$4:$G$2091,'сентябрь 2024'!$D$4:$D$2091,$B142,'сентябрь 2024'!$J$4:$J$2091,L$1)</f>
        <v>0</v>
      </c>
      <c r="M142" s="80">
        <f>SUMIFS('сентябрь 2024'!$G$4:$G$2091,'сентябрь 2024'!$D$4:$D$2091,$B142,'сентябрь 2024'!$J$4:$J$2091,M$1)</f>
        <v>0</v>
      </c>
      <c r="N142" s="80">
        <f>SUMIFS('сентябрь 2024'!$G$4:$G$2091,'сентябрь 2024'!$D$4:$D$2091,$B142,'сентябрь 2024'!$J$4:$J$2091,N$1)</f>
        <v>0</v>
      </c>
      <c r="O142" s="80">
        <f>SUMIFS('сентябрь 2024'!$G$4:$G$2091,'сентябрь 2024'!$D$4:$D$2091,$B142,'сентябрь 2024'!$J$4:$J$2091,O$1)</f>
        <v>0</v>
      </c>
      <c r="P142" s="80">
        <f>SUMIFS('сентябрь 2024'!$G$4:$G$2091,'сентябрь 2024'!$D$4:$D$2091,$B142,'сентябрь 2024'!$J$4:$J$2091,P$1)</f>
        <v>0</v>
      </c>
      <c r="Q142" s="80">
        <f>SUMIFS('сентябрь 2024'!$G$4:$G$2091,'сентябрь 2024'!$D$4:$D$2091,$B142,'сентябрь 2024'!$J$4:$J$2091,Q$1)</f>
        <v>0</v>
      </c>
      <c r="R142" s="80">
        <f>SUMIFS('сентябрь 2024'!$G$4:$G$2091,'сентябрь 2024'!$D$4:$D$2091,$B142,'сентябрь 2024'!$J$4:$J$2091,R$1)</f>
        <v>0</v>
      </c>
      <c r="S142" s="80">
        <f>SUMIFS('сентябрь 2024'!$G$4:$G$2091,'сентябрь 2024'!$D$4:$D$2091,$B142,'сентябрь 2024'!$J$4:$J$2091,S$1)</f>
        <v>0</v>
      </c>
      <c r="T142" s="80">
        <f>SUMIFS('сентябрь 2024'!$G$4:$G$2091,'сентябрь 2024'!$D$4:$D$2091,$B142,'сентябрь 2024'!$J$4:$J$2091,T$1)</f>
        <v>0</v>
      </c>
      <c r="U142" s="80">
        <f>SUMIFS('сентябрь 2024'!$G$4:$G$2091,'сентябрь 2024'!$D$4:$D$2091,$B142,'сентябрь 2024'!$J$4:$J$2091,U$1)</f>
        <v>0</v>
      </c>
      <c r="V142" s="80">
        <f>SUMIFS('сентябрь 2024'!$G$4:$G$2091,'сентябрь 2024'!$D$4:$D$2091,$B142,'сентябрь 2024'!$J$4:$J$2091,V$1)</f>
        <v>0</v>
      </c>
      <c r="W142" s="80">
        <f>SUMIFS('сентябрь 2024'!$G$4:$G$2091,'сентябрь 2024'!$D$4:$D$2091,$B142,'сентябрь 2024'!$J$4:$J$2091,W$1)</f>
        <v>0</v>
      </c>
      <c r="X142" s="80">
        <f>SUMIFS('сентябрь 2024'!$G$4:$G$2091,'сентябрь 2024'!$D$4:$D$2091,$B142,'сентябрь 2024'!$J$4:$J$2091,X$1)</f>
        <v>0</v>
      </c>
      <c r="Y142" s="80">
        <f>SUMIFS('сентябрь 2024'!$G$4:$G$2091,'сентябрь 2024'!$D$4:$D$2091,$B142,'сентябрь 2024'!$J$4:$J$2091,Y$1)</f>
        <v>0</v>
      </c>
      <c r="Z142" s="80">
        <f>SUMIFS('сентябрь 2024'!$G$4:$G$2091,'сентябрь 2024'!$D$4:$D$2091,$B142,'сентябрь 2024'!$J$4:$J$2091,Z$1)</f>
        <v>0</v>
      </c>
      <c r="AA142" s="80">
        <f>SUMIFS('сентябрь 2024'!$G$4:$G$2091,'сентябрь 2024'!$D$4:$D$2091,$B142,'сентябрь 2024'!$J$4:$J$2091,AA$1)</f>
        <v>0</v>
      </c>
      <c r="AB142" s="80">
        <f>SUMIFS('сентябрь 2024'!$G$4:$G$2091,'сентябрь 2024'!$D$4:$D$2091,$B142,'сентябрь 2024'!$J$4:$J$2091,AB$1)</f>
        <v>0</v>
      </c>
      <c r="AC142" s="80">
        <f>SUMIFS('сентябрь 2024'!$G$4:$G$2091,'сентябрь 2024'!$D$4:$D$2091,$B142,'сентябрь 2024'!$J$4:$J$2091,AC$1)</f>
        <v>0</v>
      </c>
      <c r="AD142" s="80">
        <f>SUMIFS('сентябрь 2024'!$G$4:$G$2091,'сентябрь 2024'!$D$4:$D$2091,$B142,'сентябрь 2024'!$J$4:$J$2091,AD$1)</f>
        <v>0</v>
      </c>
      <c r="AE142" s="80">
        <f>SUMIFS('сентябрь 2024'!$G$4:$G$2091,'сентябрь 2024'!$D$4:$D$2091,$B142,'сентябрь 2024'!$J$4:$J$2091,AE$1)</f>
        <v>0</v>
      </c>
      <c r="AF142" s="80">
        <f>SUMIFS('сентябрь 2024'!$G$4:$G$2091,'сентябрь 2024'!$D$4:$D$2091,$B142,'сентябрь 2024'!$J$4:$J$2091,AF$1)</f>
        <v>0</v>
      </c>
      <c r="AG142" s="80">
        <f>SUMIFS('сентябрь 2024'!$G$4:$G$2091,'сентябрь 2024'!$D$4:$D$2091,$B142,'сентябрь 2024'!$J$4:$J$2091,AG$1)</f>
        <v>0</v>
      </c>
      <c r="AH142" s="80">
        <f>SUMIFS('сентябрь 2024'!$G$4:$G$2091,'сентябрь 2024'!$D$4:$D$2091,$B142,'сентябрь 2024'!$J$4:$J$2091,AH$1)</f>
        <v>0</v>
      </c>
      <c r="AI142" s="21">
        <f t="shared" si="1"/>
        <v>0</v>
      </c>
    </row>
    <row r="143" spans="2:35" ht="15" customHeight="1" x14ac:dyDescent="0.25">
      <c r="B143" s="89" t="s">
        <v>339</v>
      </c>
      <c r="C143" s="88">
        <v>200</v>
      </c>
      <c r="D143" s="80">
        <f>SUMIFS('сентябрь 2024'!$G$4:$G$2091,'сентябрь 2024'!$D$4:$D$2091,$B143,'сентябрь 2024'!$J$4:$J$2091,D$1)</f>
        <v>0</v>
      </c>
      <c r="E143" s="80">
        <f>SUMIFS('сентябрь 2024'!$G$4:$G$2091,'сентябрь 2024'!$D$4:$D$2091,$B143,'сентябрь 2024'!$J$4:$J$2091,E$1)</f>
        <v>0</v>
      </c>
      <c r="F143" s="80">
        <f>SUMIFS('сентябрь 2024'!$G$4:$G$2091,'сентябрь 2024'!$D$4:$D$2091,$B143,'сентябрь 2024'!$J$4:$J$2091,F$1)</f>
        <v>0</v>
      </c>
      <c r="G143" s="80">
        <f>SUMIFS('сентябрь 2024'!$G$4:$G$2091,'сентябрь 2024'!$D$4:$D$2091,$B143,'сентябрь 2024'!$J$4:$J$2091,G$1)</f>
        <v>0</v>
      </c>
      <c r="H143" s="80">
        <f>SUMIFS('сентябрь 2024'!$G$4:$G$2091,'сентябрь 2024'!$D$4:$D$2091,$B143,'сентябрь 2024'!$J$4:$J$2091,H$1)</f>
        <v>0</v>
      </c>
      <c r="I143" s="80">
        <f>SUMIFS('сентябрь 2024'!$G$4:$G$2091,'сентябрь 2024'!$D$4:$D$2091,$B143,'сентябрь 2024'!$J$4:$J$2091,I$1)</f>
        <v>0</v>
      </c>
      <c r="J143" s="80">
        <f>SUMIFS('сентябрь 2024'!$G$4:$G$2091,'сентябрь 2024'!$D$4:$D$2091,$B143,'сентябрь 2024'!$J$4:$J$2091,J$1)</f>
        <v>0</v>
      </c>
      <c r="K143" s="80">
        <f>SUMIFS('сентябрь 2024'!$G$4:$G$2091,'сентябрь 2024'!$D$4:$D$2091,$B143,'сентябрь 2024'!$J$4:$J$2091,K$1)</f>
        <v>0</v>
      </c>
      <c r="L143" s="80">
        <f>SUMIFS('сентябрь 2024'!$G$4:$G$2091,'сентябрь 2024'!$D$4:$D$2091,$B143,'сентябрь 2024'!$J$4:$J$2091,L$1)</f>
        <v>0</v>
      </c>
      <c r="M143" s="80">
        <f>SUMIFS('сентябрь 2024'!$G$4:$G$2091,'сентябрь 2024'!$D$4:$D$2091,$B143,'сентябрь 2024'!$J$4:$J$2091,M$1)</f>
        <v>0</v>
      </c>
      <c r="N143" s="80">
        <f>SUMIFS('сентябрь 2024'!$G$4:$G$2091,'сентябрь 2024'!$D$4:$D$2091,$B143,'сентябрь 2024'!$J$4:$J$2091,N$1)</f>
        <v>0</v>
      </c>
      <c r="O143" s="80">
        <f>SUMIFS('сентябрь 2024'!$G$4:$G$2091,'сентябрь 2024'!$D$4:$D$2091,$B143,'сентябрь 2024'!$J$4:$J$2091,O$1)</f>
        <v>0</v>
      </c>
      <c r="P143" s="80">
        <f>SUMIFS('сентябрь 2024'!$G$4:$G$2091,'сентябрь 2024'!$D$4:$D$2091,$B143,'сентябрь 2024'!$J$4:$J$2091,P$1)</f>
        <v>0</v>
      </c>
      <c r="Q143" s="80">
        <f>SUMIFS('сентябрь 2024'!$G$4:$G$2091,'сентябрь 2024'!$D$4:$D$2091,$B143,'сентябрь 2024'!$J$4:$J$2091,Q$1)</f>
        <v>0</v>
      </c>
      <c r="R143" s="80">
        <f>SUMIFS('сентябрь 2024'!$G$4:$G$2091,'сентябрь 2024'!$D$4:$D$2091,$B143,'сентябрь 2024'!$J$4:$J$2091,R$1)</f>
        <v>0</v>
      </c>
      <c r="S143" s="80">
        <f>SUMIFS('сентябрь 2024'!$G$4:$G$2091,'сентябрь 2024'!$D$4:$D$2091,$B143,'сентябрь 2024'!$J$4:$J$2091,S$1)</f>
        <v>0</v>
      </c>
      <c r="T143" s="80">
        <f>SUMIFS('сентябрь 2024'!$G$4:$G$2091,'сентябрь 2024'!$D$4:$D$2091,$B143,'сентябрь 2024'!$J$4:$J$2091,T$1)</f>
        <v>0</v>
      </c>
      <c r="U143" s="80">
        <f>SUMIFS('сентябрь 2024'!$G$4:$G$2091,'сентябрь 2024'!$D$4:$D$2091,$B143,'сентябрь 2024'!$J$4:$J$2091,U$1)</f>
        <v>0</v>
      </c>
      <c r="V143" s="80">
        <f>SUMIFS('сентябрь 2024'!$G$4:$G$2091,'сентябрь 2024'!$D$4:$D$2091,$B143,'сентябрь 2024'!$J$4:$J$2091,V$1)</f>
        <v>0</v>
      </c>
      <c r="W143" s="80">
        <f>SUMIFS('сентябрь 2024'!$G$4:$G$2091,'сентябрь 2024'!$D$4:$D$2091,$B143,'сентябрь 2024'!$J$4:$J$2091,W$1)</f>
        <v>0</v>
      </c>
      <c r="X143" s="80">
        <f>SUMIFS('сентябрь 2024'!$G$4:$G$2091,'сентябрь 2024'!$D$4:$D$2091,$B143,'сентябрь 2024'!$J$4:$J$2091,X$1)</f>
        <v>0</v>
      </c>
      <c r="Y143" s="80">
        <f>SUMIFS('сентябрь 2024'!$G$4:$G$2091,'сентябрь 2024'!$D$4:$D$2091,$B143,'сентябрь 2024'!$J$4:$J$2091,Y$1)</f>
        <v>0</v>
      </c>
      <c r="Z143" s="80">
        <f>SUMIFS('сентябрь 2024'!$G$4:$G$2091,'сентябрь 2024'!$D$4:$D$2091,$B143,'сентябрь 2024'!$J$4:$J$2091,Z$1)</f>
        <v>0</v>
      </c>
      <c r="AA143" s="80">
        <f>SUMIFS('сентябрь 2024'!$G$4:$G$2091,'сентябрь 2024'!$D$4:$D$2091,$B143,'сентябрь 2024'!$J$4:$J$2091,AA$1)</f>
        <v>0</v>
      </c>
      <c r="AB143" s="80">
        <f>SUMIFS('сентябрь 2024'!$G$4:$G$2091,'сентябрь 2024'!$D$4:$D$2091,$B143,'сентябрь 2024'!$J$4:$J$2091,AB$1)</f>
        <v>0</v>
      </c>
      <c r="AC143" s="80">
        <f>SUMIFS('сентябрь 2024'!$G$4:$G$2091,'сентябрь 2024'!$D$4:$D$2091,$B143,'сентябрь 2024'!$J$4:$J$2091,AC$1)</f>
        <v>0</v>
      </c>
      <c r="AD143" s="80">
        <f>SUMIFS('сентябрь 2024'!$G$4:$G$2091,'сентябрь 2024'!$D$4:$D$2091,$B143,'сентябрь 2024'!$J$4:$J$2091,AD$1)</f>
        <v>0</v>
      </c>
      <c r="AE143" s="80">
        <f>SUMIFS('сентябрь 2024'!$G$4:$G$2091,'сентябрь 2024'!$D$4:$D$2091,$B143,'сентябрь 2024'!$J$4:$J$2091,AE$1)</f>
        <v>0</v>
      </c>
      <c r="AF143" s="80">
        <f>SUMIFS('сентябрь 2024'!$G$4:$G$2091,'сентябрь 2024'!$D$4:$D$2091,$B143,'сентябрь 2024'!$J$4:$J$2091,AF$1)</f>
        <v>0</v>
      </c>
      <c r="AG143" s="80">
        <f>SUMIFS('сентябрь 2024'!$G$4:$G$2091,'сентябрь 2024'!$D$4:$D$2091,$B143,'сентябрь 2024'!$J$4:$J$2091,AG$1)</f>
        <v>0</v>
      </c>
      <c r="AH143" s="80">
        <f>SUMIFS('сентябрь 2024'!$G$4:$G$2091,'сентябрь 2024'!$D$4:$D$2091,$B143,'сентябрь 2024'!$J$4:$J$2091,AH$1)</f>
        <v>0</v>
      </c>
      <c r="AI143" s="21">
        <f t="shared" si="1"/>
        <v>0</v>
      </c>
    </row>
    <row r="144" spans="2:35" ht="15" customHeight="1" x14ac:dyDescent="0.25">
      <c r="B144" s="89" t="s">
        <v>215</v>
      </c>
      <c r="C144" s="91">
        <v>200</v>
      </c>
      <c r="D144" s="80">
        <f>SUMIFS('сентябрь 2024'!$G$4:$G$2091,'сентябрь 2024'!$D$4:$D$2091,$B144,'сентябрь 2024'!$J$4:$J$2091,D$1)</f>
        <v>0</v>
      </c>
      <c r="E144" s="80">
        <f>SUMIFS('сентябрь 2024'!$G$4:$G$2091,'сентябрь 2024'!$D$4:$D$2091,$B144,'сентябрь 2024'!$J$4:$J$2091,E$1)</f>
        <v>0</v>
      </c>
      <c r="F144" s="80">
        <f>SUMIFS('сентябрь 2024'!$G$4:$G$2091,'сентябрь 2024'!$D$4:$D$2091,$B144,'сентябрь 2024'!$J$4:$J$2091,F$1)</f>
        <v>0</v>
      </c>
      <c r="G144" s="80">
        <f>SUMIFS('сентябрь 2024'!$G$4:$G$2091,'сентябрь 2024'!$D$4:$D$2091,$B144,'сентябрь 2024'!$J$4:$J$2091,G$1)</f>
        <v>0</v>
      </c>
      <c r="H144" s="80">
        <f>SUMIFS('сентябрь 2024'!$G$4:$G$2091,'сентябрь 2024'!$D$4:$D$2091,$B144,'сентябрь 2024'!$J$4:$J$2091,H$1)</f>
        <v>0</v>
      </c>
      <c r="I144" s="80">
        <f>SUMIFS('сентябрь 2024'!$G$4:$G$2091,'сентябрь 2024'!$D$4:$D$2091,$B144,'сентябрь 2024'!$J$4:$J$2091,I$1)</f>
        <v>0</v>
      </c>
      <c r="J144" s="80">
        <f>SUMIFS('сентябрь 2024'!$G$4:$G$2091,'сентябрь 2024'!$D$4:$D$2091,$B144,'сентябрь 2024'!$J$4:$J$2091,J$1)</f>
        <v>0</v>
      </c>
      <c r="K144" s="80">
        <f>SUMIFS('сентябрь 2024'!$G$4:$G$2091,'сентябрь 2024'!$D$4:$D$2091,$B144,'сентябрь 2024'!$J$4:$J$2091,K$1)</f>
        <v>0</v>
      </c>
      <c r="L144" s="80">
        <f>SUMIFS('сентябрь 2024'!$G$4:$G$2091,'сентябрь 2024'!$D$4:$D$2091,$B144,'сентябрь 2024'!$J$4:$J$2091,L$1)</f>
        <v>0</v>
      </c>
      <c r="M144" s="80">
        <f>SUMIFS('сентябрь 2024'!$G$4:$G$2091,'сентябрь 2024'!$D$4:$D$2091,$B144,'сентябрь 2024'!$J$4:$J$2091,M$1)</f>
        <v>0</v>
      </c>
      <c r="N144" s="80">
        <f>SUMIFS('сентябрь 2024'!$G$4:$G$2091,'сентябрь 2024'!$D$4:$D$2091,$B144,'сентябрь 2024'!$J$4:$J$2091,N$1)</f>
        <v>0</v>
      </c>
      <c r="O144" s="80">
        <f>SUMIFS('сентябрь 2024'!$G$4:$G$2091,'сентябрь 2024'!$D$4:$D$2091,$B144,'сентябрь 2024'!$J$4:$J$2091,O$1)</f>
        <v>0</v>
      </c>
      <c r="P144" s="80">
        <f>SUMIFS('сентябрь 2024'!$G$4:$G$2091,'сентябрь 2024'!$D$4:$D$2091,$B144,'сентябрь 2024'!$J$4:$J$2091,P$1)</f>
        <v>0</v>
      </c>
      <c r="Q144" s="80">
        <f>SUMIFS('сентябрь 2024'!$G$4:$G$2091,'сентябрь 2024'!$D$4:$D$2091,$B144,'сентябрь 2024'!$J$4:$J$2091,Q$1)</f>
        <v>0</v>
      </c>
      <c r="R144" s="80">
        <f>SUMIFS('сентябрь 2024'!$G$4:$G$2091,'сентябрь 2024'!$D$4:$D$2091,$B144,'сентябрь 2024'!$J$4:$J$2091,R$1)</f>
        <v>0</v>
      </c>
      <c r="S144" s="80">
        <f>SUMIFS('сентябрь 2024'!$G$4:$G$2091,'сентябрь 2024'!$D$4:$D$2091,$B144,'сентябрь 2024'!$J$4:$J$2091,S$1)</f>
        <v>0</v>
      </c>
      <c r="T144" s="80">
        <f>SUMIFS('сентябрь 2024'!$G$4:$G$2091,'сентябрь 2024'!$D$4:$D$2091,$B144,'сентябрь 2024'!$J$4:$J$2091,T$1)</f>
        <v>0</v>
      </c>
      <c r="U144" s="80">
        <f>SUMIFS('сентябрь 2024'!$G$4:$G$2091,'сентябрь 2024'!$D$4:$D$2091,$B144,'сентябрь 2024'!$J$4:$J$2091,U$1)</f>
        <v>0</v>
      </c>
      <c r="V144" s="80">
        <f>SUMIFS('сентябрь 2024'!$G$4:$G$2091,'сентябрь 2024'!$D$4:$D$2091,$B144,'сентябрь 2024'!$J$4:$J$2091,V$1)</f>
        <v>0</v>
      </c>
      <c r="W144" s="80">
        <f>SUMIFS('сентябрь 2024'!$G$4:$G$2091,'сентябрь 2024'!$D$4:$D$2091,$B144,'сентябрь 2024'!$J$4:$J$2091,W$1)</f>
        <v>0</v>
      </c>
      <c r="X144" s="80">
        <f>SUMIFS('сентябрь 2024'!$G$4:$G$2091,'сентябрь 2024'!$D$4:$D$2091,$B144,'сентябрь 2024'!$J$4:$J$2091,X$1)</f>
        <v>0</v>
      </c>
      <c r="Y144" s="80">
        <f>SUMIFS('сентябрь 2024'!$G$4:$G$2091,'сентябрь 2024'!$D$4:$D$2091,$B144,'сентябрь 2024'!$J$4:$J$2091,Y$1)</f>
        <v>0</v>
      </c>
      <c r="Z144" s="80">
        <f>SUMIFS('сентябрь 2024'!$G$4:$G$2091,'сентябрь 2024'!$D$4:$D$2091,$B144,'сентябрь 2024'!$J$4:$J$2091,Z$1)</f>
        <v>0</v>
      </c>
      <c r="AA144" s="80">
        <f>SUMIFS('сентябрь 2024'!$G$4:$G$2091,'сентябрь 2024'!$D$4:$D$2091,$B144,'сентябрь 2024'!$J$4:$J$2091,AA$1)</f>
        <v>0</v>
      </c>
      <c r="AB144" s="80">
        <f>SUMIFS('сентябрь 2024'!$G$4:$G$2091,'сентябрь 2024'!$D$4:$D$2091,$B144,'сентябрь 2024'!$J$4:$J$2091,AB$1)</f>
        <v>0</v>
      </c>
      <c r="AC144" s="80">
        <f>SUMIFS('сентябрь 2024'!$G$4:$G$2091,'сентябрь 2024'!$D$4:$D$2091,$B144,'сентябрь 2024'!$J$4:$J$2091,AC$1)</f>
        <v>0</v>
      </c>
      <c r="AD144" s="80">
        <f>SUMIFS('сентябрь 2024'!$G$4:$G$2091,'сентябрь 2024'!$D$4:$D$2091,$B144,'сентябрь 2024'!$J$4:$J$2091,AD$1)</f>
        <v>0</v>
      </c>
      <c r="AE144" s="80">
        <f>SUMIFS('сентябрь 2024'!$G$4:$G$2091,'сентябрь 2024'!$D$4:$D$2091,$B144,'сентябрь 2024'!$J$4:$J$2091,AE$1)</f>
        <v>0</v>
      </c>
      <c r="AF144" s="80">
        <f>SUMIFS('сентябрь 2024'!$G$4:$G$2091,'сентябрь 2024'!$D$4:$D$2091,$B144,'сентябрь 2024'!$J$4:$J$2091,AF$1)</f>
        <v>0</v>
      </c>
      <c r="AG144" s="80">
        <f>SUMIFS('сентябрь 2024'!$G$4:$G$2091,'сентябрь 2024'!$D$4:$D$2091,$B144,'сентябрь 2024'!$J$4:$J$2091,AG$1)</f>
        <v>0</v>
      </c>
      <c r="AH144" s="80">
        <f>SUMIFS('сентябрь 2024'!$G$4:$G$2091,'сентябрь 2024'!$D$4:$D$2091,$B144,'сентябрь 2024'!$J$4:$J$2091,AH$1)</f>
        <v>0</v>
      </c>
      <c r="AI144" s="21">
        <f t="shared" si="1"/>
        <v>0</v>
      </c>
    </row>
    <row r="145" spans="2:35" ht="15" customHeight="1" x14ac:dyDescent="0.25">
      <c r="B145" s="89" t="s">
        <v>585</v>
      </c>
      <c r="C145" s="91">
        <v>200</v>
      </c>
      <c r="D145" s="80">
        <f>SUMIFS('сентябрь 2024'!$G$4:$G$2091,'сентябрь 2024'!$D$4:$D$2091,$B145,'сентябрь 2024'!$J$4:$J$2091,D$1)</f>
        <v>0</v>
      </c>
      <c r="E145" s="80">
        <f>SUMIFS('сентябрь 2024'!$G$4:$G$2091,'сентябрь 2024'!$D$4:$D$2091,$B145,'сентябрь 2024'!$J$4:$J$2091,E$1)</f>
        <v>0</v>
      </c>
      <c r="F145" s="80">
        <f>SUMIFS('сентябрь 2024'!$G$4:$G$2091,'сентябрь 2024'!$D$4:$D$2091,$B145,'сентябрь 2024'!$J$4:$J$2091,F$1)</f>
        <v>0</v>
      </c>
      <c r="G145" s="80">
        <f>SUMIFS('сентябрь 2024'!$G$4:$G$2091,'сентябрь 2024'!$D$4:$D$2091,$B145,'сентябрь 2024'!$J$4:$J$2091,G$1)</f>
        <v>0</v>
      </c>
      <c r="H145" s="80">
        <f>SUMIFS('сентябрь 2024'!$G$4:$G$2091,'сентябрь 2024'!$D$4:$D$2091,$B145,'сентябрь 2024'!$J$4:$J$2091,H$1)</f>
        <v>0</v>
      </c>
      <c r="I145" s="80">
        <f>SUMIFS('сентябрь 2024'!$G$4:$G$2091,'сентябрь 2024'!$D$4:$D$2091,$B145,'сентябрь 2024'!$J$4:$J$2091,I$1)</f>
        <v>0</v>
      </c>
      <c r="J145" s="80">
        <f>SUMIFS('сентябрь 2024'!$G$4:$G$2091,'сентябрь 2024'!$D$4:$D$2091,$B145,'сентябрь 2024'!$J$4:$J$2091,J$1)</f>
        <v>0</v>
      </c>
      <c r="K145" s="80">
        <f>SUMIFS('сентябрь 2024'!$G$4:$G$2091,'сентябрь 2024'!$D$4:$D$2091,$B145,'сентябрь 2024'!$J$4:$J$2091,K$1)</f>
        <v>0</v>
      </c>
      <c r="L145" s="80">
        <f>SUMIFS('сентябрь 2024'!$G$4:$G$2091,'сентябрь 2024'!$D$4:$D$2091,$B145,'сентябрь 2024'!$J$4:$J$2091,L$1)</f>
        <v>0</v>
      </c>
      <c r="M145" s="80">
        <f>SUMIFS('сентябрь 2024'!$G$4:$G$2091,'сентябрь 2024'!$D$4:$D$2091,$B145,'сентябрь 2024'!$J$4:$J$2091,M$1)</f>
        <v>0</v>
      </c>
      <c r="N145" s="80">
        <f>SUMIFS('сентябрь 2024'!$G$4:$G$2091,'сентябрь 2024'!$D$4:$D$2091,$B145,'сентябрь 2024'!$J$4:$J$2091,N$1)</f>
        <v>0</v>
      </c>
      <c r="O145" s="80">
        <f>SUMIFS('сентябрь 2024'!$G$4:$G$2091,'сентябрь 2024'!$D$4:$D$2091,$B145,'сентябрь 2024'!$J$4:$J$2091,O$1)</f>
        <v>0</v>
      </c>
      <c r="P145" s="80">
        <f>SUMIFS('сентябрь 2024'!$G$4:$G$2091,'сентябрь 2024'!$D$4:$D$2091,$B145,'сентябрь 2024'!$J$4:$J$2091,P$1)</f>
        <v>0</v>
      </c>
      <c r="Q145" s="80">
        <f>SUMIFS('сентябрь 2024'!$G$4:$G$2091,'сентябрь 2024'!$D$4:$D$2091,$B145,'сентябрь 2024'!$J$4:$J$2091,Q$1)</f>
        <v>0</v>
      </c>
      <c r="R145" s="80">
        <f>SUMIFS('сентябрь 2024'!$G$4:$G$2091,'сентябрь 2024'!$D$4:$D$2091,$B145,'сентябрь 2024'!$J$4:$J$2091,R$1)</f>
        <v>0</v>
      </c>
      <c r="S145" s="80">
        <f>SUMIFS('сентябрь 2024'!$G$4:$G$2091,'сентябрь 2024'!$D$4:$D$2091,$B145,'сентябрь 2024'!$J$4:$J$2091,S$1)</f>
        <v>0</v>
      </c>
      <c r="T145" s="80">
        <f>SUMIFS('сентябрь 2024'!$G$4:$G$2091,'сентябрь 2024'!$D$4:$D$2091,$B145,'сентябрь 2024'!$J$4:$J$2091,T$1)</f>
        <v>0</v>
      </c>
      <c r="U145" s="80">
        <f>SUMIFS('сентябрь 2024'!$G$4:$G$2091,'сентябрь 2024'!$D$4:$D$2091,$B145,'сентябрь 2024'!$J$4:$J$2091,U$1)</f>
        <v>0</v>
      </c>
      <c r="V145" s="80">
        <f>SUMIFS('сентябрь 2024'!$G$4:$G$2091,'сентябрь 2024'!$D$4:$D$2091,$B145,'сентябрь 2024'!$J$4:$J$2091,V$1)</f>
        <v>0</v>
      </c>
      <c r="W145" s="80">
        <f>SUMIFS('сентябрь 2024'!$G$4:$G$2091,'сентябрь 2024'!$D$4:$D$2091,$B145,'сентябрь 2024'!$J$4:$J$2091,W$1)</f>
        <v>0</v>
      </c>
      <c r="X145" s="80">
        <f>SUMIFS('сентябрь 2024'!$G$4:$G$2091,'сентябрь 2024'!$D$4:$D$2091,$B145,'сентябрь 2024'!$J$4:$J$2091,X$1)</f>
        <v>0</v>
      </c>
      <c r="Y145" s="80">
        <f>SUMIFS('сентябрь 2024'!$G$4:$G$2091,'сентябрь 2024'!$D$4:$D$2091,$B145,'сентябрь 2024'!$J$4:$J$2091,Y$1)</f>
        <v>0</v>
      </c>
      <c r="Z145" s="80">
        <f>SUMIFS('сентябрь 2024'!$G$4:$G$2091,'сентябрь 2024'!$D$4:$D$2091,$B145,'сентябрь 2024'!$J$4:$J$2091,Z$1)</f>
        <v>0</v>
      </c>
      <c r="AA145" s="80">
        <f>SUMIFS('сентябрь 2024'!$G$4:$G$2091,'сентябрь 2024'!$D$4:$D$2091,$B145,'сентябрь 2024'!$J$4:$J$2091,AA$1)</f>
        <v>0</v>
      </c>
      <c r="AB145" s="80">
        <f>SUMIFS('сентябрь 2024'!$G$4:$G$2091,'сентябрь 2024'!$D$4:$D$2091,$B145,'сентябрь 2024'!$J$4:$J$2091,AB$1)</f>
        <v>0</v>
      </c>
      <c r="AC145" s="80">
        <f>SUMIFS('сентябрь 2024'!$G$4:$G$2091,'сентябрь 2024'!$D$4:$D$2091,$B145,'сентябрь 2024'!$J$4:$J$2091,AC$1)</f>
        <v>0</v>
      </c>
      <c r="AD145" s="80">
        <f>SUMIFS('сентябрь 2024'!$G$4:$G$2091,'сентябрь 2024'!$D$4:$D$2091,$B145,'сентябрь 2024'!$J$4:$J$2091,AD$1)</f>
        <v>0</v>
      </c>
      <c r="AE145" s="80">
        <f>SUMIFS('сентябрь 2024'!$G$4:$G$2091,'сентябрь 2024'!$D$4:$D$2091,$B145,'сентябрь 2024'!$J$4:$J$2091,AE$1)</f>
        <v>0</v>
      </c>
      <c r="AF145" s="80">
        <f>SUMIFS('сентябрь 2024'!$G$4:$G$2091,'сентябрь 2024'!$D$4:$D$2091,$B145,'сентябрь 2024'!$J$4:$J$2091,AF$1)</f>
        <v>0</v>
      </c>
      <c r="AG145" s="80">
        <f>SUMIFS('сентябрь 2024'!$G$4:$G$2091,'сентябрь 2024'!$D$4:$D$2091,$B145,'сентябрь 2024'!$J$4:$J$2091,AG$1)</f>
        <v>0</v>
      </c>
      <c r="AH145" s="80">
        <f>SUMIFS('сентябрь 2024'!$G$4:$G$2091,'сентябрь 2024'!$D$4:$D$2091,$B145,'сентябрь 2024'!$J$4:$J$2091,AH$1)</f>
        <v>0</v>
      </c>
      <c r="AI145" s="21">
        <f t="shared" si="1"/>
        <v>0</v>
      </c>
    </row>
    <row r="146" spans="2:35" ht="15" customHeight="1" x14ac:dyDescent="0.25">
      <c r="B146" s="93" t="s">
        <v>186</v>
      </c>
      <c r="C146" s="91">
        <v>25</v>
      </c>
      <c r="D146" s="80">
        <f>SUMIFS('сентябрь 2024'!$G$4:$G$2091,'сентябрь 2024'!$D$4:$D$2091,$B146,'сентябрь 2024'!$J$4:$J$2091,D$1)</f>
        <v>0</v>
      </c>
      <c r="E146" s="80">
        <f>SUMIFS('сентябрь 2024'!$G$4:$G$2091,'сентябрь 2024'!$D$4:$D$2091,$B146,'сентябрь 2024'!$J$4:$J$2091,E$1)</f>
        <v>0</v>
      </c>
      <c r="F146" s="80">
        <f>SUMIFS('сентябрь 2024'!$G$4:$G$2091,'сентябрь 2024'!$D$4:$D$2091,$B146,'сентябрь 2024'!$J$4:$J$2091,F$1)</f>
        <v>0</v>
      </c>
      <c r="G146" s="80">
        <f>SUMIFS('сентябрь 2024'!$G$4:$G$2091,'сентябрь 2024'!$D$4:$D$2091,$B146,'сентябрь 2024'!$J$4:$J$2091,G$1)</f>
        <v>0</v>
      </c>
      <c r="H146" s="80">
        <f>SUMIFS('сентябрь 2024'!$G$4:$G$2091,'сентябрь 2024'!$D$4:$D$2091,$B146,'сентябрь 2024'!$J$4:$J$2091,H$1)</f>
        <v>0</v>
      </c>
      <c r="I146" s="80">
        <f>SUMIFS('сентябрь 2024'!$G$4:$G$2091,'сентябрь 2024'!$D$4:$D$2091,$B146,'сентябрь 2024'!$J$4:$J$2091,I$1)</f>
        <v>0</v>
      </c>
      <c r="J146" s="80">
        <f>SUMIFS('сентябрь 2024'!$G$4:$G$2091,'сентябрь 2024'!$D$4:$D$2091,$B146,'сентябрь 2024'!$J$4:$J$2091,J$1)</f>
        <v>0</v>
      </c>
      <c r="K146" s="80">
        <f>SUMIFS('сентябрь 2024'!$G$4:$G$2091,'сентябрь 2024'!$D$4:$D$2091,$B146,'сентябрь 2024'!$J$4:$J$2091,K$1)</f>
        <v>0</v>
      </c>
      <c r="L146" s="80">
        <f>SUMIFS('сентябрь 2024'!$G$4:$G$2091,'сентябрь 2024'!$D$4:$D$2091,$B146,'сентябрь 2024'!$J$4:$J$2091,L$1)</f>
        <v>0</v>
      </c>
      <c r="M146" s="80">
        <f>SUMIFS('сентябрь 2024'!$G$4:$G$2091,'сентябрь 2024'!$D$4:$D$2091,$B146,'сентябрь 2024'!$J$4:$J$2091,M$1)</f>
        <v>0</v>
      </c>
      <c r="N146" s="80">
        <f>SUMIFS('сентябрь 2024'!$G$4:$G$2091,'сентябрь 2024'!$D$4:$D$2091,$B146,'сентябрь 2024'!$J$4:$J$2091,N$1)</f>
        <v>0</v>
      </c>
      <c r="O146" s="80">
        <f>SUMIFS('сентябрь 2024'!$G$4:$G$2091,'сентябрь 2024'!$D$4:$D$2091,$B146,'сентябрь 2024'!$J$4:$J$2091,O$1)</f>
        <v>0</v>
      </c>
      <c r="P146" s="80">
        <f>SUMIFS('сентябрь 2024'!$G$4:$G$2091,'сентябрь 2024'!$D$4:$D$2091,$B146,'сентябрь 2024'!$J$4:$J$2091,P$1)</f>
        <v>0</v>
      </c>
      <c r="Q146" s="80">
        <f>SUMIFS('сентябрь 2024'!$G$4:$G$2091,'сентябрь 2024'!$D$4:$D$2091,$B146,'сентябрь 2024'!$J$4:$J$2091,Q$1)</f>
        <v>0</v>
      </c>
      <c r="R146" s="80">
        <f>SUMIFS('сентябрь 2024'!$G$4:$G$2091,'сентябрь 2024'!$D$4:$D$2091,$B146,'сентябрь 2024'!$J$4:$J$2091,R$1)</f>
        <v>0</v>
      </c>
      <c r="S146" s="80">
        <f>SUMIFS('сентябрь 2024'!$G$4:$G$2091,'сентябрь 2024'!$D$4:$D$2091,$B146,'сентябрь 2024'!$J$4:$J$2091,S$1)</f>
        <v>0</v>
      </c>
      <c r="T146" s="80">
        <f>SUMIFS('сентябрь 2024'!$G$4:$G$2091,'сентябрь 2024'!$D$4:$D$2091,$B146,'сентябрь 2024'!$J$4:$J$2091,T$1)</f>
        <v>0</v>
      </c>
      <c r="U146" s="80">
        <f>SUMIFS('сентябрь 2024'!$G$4:$G$2091,'сентябрь 2024'!$D$4:$D$2091,$B146,'сентябрь 2024'!$J$4:$J$2091,U$1)</f>
        <v>0</v>
      </c>
      <c r="V146" s="80">
        <f>SUMIFS('сентябрь 2024'!$G$4:$G$2091,'сентябрь 2024'!$D$4:$D$2091,$B146,'сентябрь 2024'!$J$4:$J$2091,V$1)</f>
        <v>0</v>
      </c>
      <c r="W146" s="80">
        <f>SUMIFS('сентябрь 2024'!$G$4:$G$2091,'сентябрь 2024'!$D$4:$D$2091,$B146,'сентябрь 2024'!$J$4:$J$2091,W$1)</f>
        <v>0</v>
      </c>
      <c r="X146" s="80">
        <f>SUMIFS('сентябрь 2024'!$G$4:$G$2091,'сентябрь 2024'!$D$4:$D$2091,$B146,'сентябрь 2024'!$J$4:$J$2091,X$1)</f>
        <v>0</v>
      </c>
      <c r="Y146" s="80">
        <f>SUMIFS('сентябрь 2024'!$G$4:$G$2091,'сентябрь 2024'!$D$4:$D$2091,$B146,'сентябрь 2024'!$J$4:$J$2091,Y$1)</f>
        <v>0</v>
      </c>
      <c r="Z146" s="80">
        <f>SUMIFS('сентябрь 2024'!$G$4:$G$2091,'сентябрь 2024'!$D$4:$D$2091,$B146,'сентябрь 2024'!$J$4:$J$2091,Z$1)</f>
        <v>0</v>
      </c>
      <c r="AA146" s="80">
        <f>SUMIFS('сентябрь 2024'!$G$4:$G$2091,'сентябрь 2024'!$D$4:$D$2091,$B146,'сентябрь 2024'!$J$4:$J$2091,AA$1)</f>
        <v>0</v>
      </c>
      <c r="AB146" s="80">
        <f>SUMIFS('сентябрь 2024'!$G$4:$G$2091,'сентябрь 2024'!$D$4:$D$2091,$B146,'сентябрь 2024'!$J$4:$J$2091,AB$1)</f>
        <v>0</v>
      </c>
      <c r="AC146" s="80">
        <f>SUMIFS('сентябрь 2024'!$G$4:$G$2091,'сентябрь 2024'!$D$4:$D$2091,$B146,'сентябрь 2024'!$J$4:$J$2091,AC$1)</f>
        <v>0</v>
      </c>
      <c r="AD146" s="80">
        <f>SUMIFS('сентябрь 2024'!$G$4:$G$2091,'сентябрь 2024'!$D$4:$D$2091,$B146,'сентябрь 2024'!$J$4:$J$2091,AD$1)</f>
        <v>0</v>
      </c>
      <c r="AE146" s="80">
        <f>SUMIFS('сентябрь 2024'!$G$4:$G$2091,'сентябрь 2024'!$D$4:$D$2091,$B146,'сентябрь 2024'!$J$4:$J$2091,AE$1)</f>
        <v>0</v>
      </c>
      <c r="AF146" s="80">
        <f>SUMIFS('сентябрь 2024'!$G$4:$G$2091,'сентябрь 2024'!$D$4:$D$2091,$B146,'сентябрь 2024'!$J$4:$J$2091,AF$1)</f>
        <v>0</v>
      </c>
      <c r="AG146" s="80">
        <f>SUMIFS('сентябрь 2024'!$G$4:$G$2091,'сентябрь 2024'!$D$4:$D$2091,$B146,'сентябрь 2024'!$J$4:$J$2091,AG$1)</f>
        <v>0</v>
      </c>
      <c r="AH146" s="80">
        <f>SUMIFS('сентябрь 2024'!$G$4:$G$2091,'сентябрь 2024'!$D$4:$D$2091,$B146,'сентябрь 2024'!$J$4:$J$2091,AH$1)</f>
        <v>0</v>
      </c>
      <c r="AI146" s="21">
        <f t="shared" si="1"/>
        <v>0</v>
      </c>
    </row>
    <row r="147" spans="2:35" ht="15" customHeight="1" x14ac:dyDescent="0.25">
      <c r="B147" s="89" t="s">
        <v>184</v>
      </c>
      <c r="C147" s="88">
        <v>25</v>
      </c>
      <c r="D147" s="80">
        <f>SUMIFS('сентябрь 2024'!$G$4:$G$2091,'сентябрь 2024'!$D$4:$D$2091,$B147,'сентябрь 2024'!$J$4:$J$2091,D$1)</f>
        <v>0</v>
      </c>
      <c r="E147" s="80">
        <f>SUMIFS('сентябрь 2024'!$G$4:$G$2091,'сентябрь 2024'!$D$4:$D$2091,$B147,'сентябрь 2024'!$J$4:$J$2091,E$1)</f>
        <v>0</v>
      </c>
      <c r="F147" s="80">
        <f>SUMIFS('сентябрь 2024'!$G$4:$G$2091,'сентябрь 2024'!$D$4:$D$2091,$B147,'сентябрь 2024'!$J$4:$J$2091,F$1)</f>
        <v>0</v>
      </c>
      <c r="G147" s="80">
        <f>SUMIFS('сентябрь 2024'!$G$4:$G$2091,'сентябрь 2024'!$D$4:$D$2091,$B147,'сентябрь 2024'!$J$4:$J$2091,G$1)</f>
        <v>0</v>
      </c>
      <c r="H147" s="80">
        <f>SUMIFS('сентябрь 2024'!$G$4:$G$2091,'сентябрь 2024'!$D$4:$D$2091,$B147,'сентябрь 2024'!$J$4:$J$2091,H$1)</f>
        <v>0</v>
      </c>
      <c r="I147" s="80">
        <f>SUMIFS('сентябрь 2024'!$G$4:$G$2091,'сентябрь 2024'!$D$4:$D$2091,$B147,'сентябрь 2024'!$J$4:$J$2091,I$1)</f>
        <v>0</v>
      </c>
      <c r="J147" s="80">
        <f>SUMIFS('сентябрь 2024'!$G$4:$G$2091,'сентябрь 2024'!$D$4:$D$2091,$B147,'сентябрь 2024'!$J$4:$J$2091,J$1)</f>
        <v>0</v>
      </c>
      <c r="K147" s="80">
        <f>SUMIFS('сентябрь 2024'!$G$4:$G$2091,'сентябрь 2024'!$D$4:$D$2091,$B147,'сентябрь 2024'!$J$4:$J$2091,K$1)</f>
        <v>0</v>
      </c>
      <c r="L147" s="80">
        <f>SUMIFS('сентябрь 2024'!$G$4:$G$2091,'сентябрь 2024'!$D$4:$D$2091,$B147,'сентябрь 2024'!$J$4:$J$2091,L$1)</f>
        <v>0</v>
      </c>
      <c r="M147" s="80">
        <f>SUMIFS('сентябрь 2024'!$G$4:$G$2091,'сентябрь 2024'!$D$4:$D$2091,$B147,'сентябрь 2024'!$J$4:$J$2091,M$1)</f>
        <v>0</v>
      </c>
      <c r="N147" s="80">
        <f>SUMIFS('сентябрь 2024'!$G$4:$G$2091,'сентябрь 2024'!$D$4:$D$2091,$B147,'сентябрь 2024'!$J$4:$J$2091,N$1)</f>
        <v>0</v>
      </c>
      <c r="O147" s="80">
        <f>SUMIFS('сентябрь 2024'!$G$4:$G$2091,'сентябрь 2024'!$D$4:$D$2091,$B147,'сентябрь 2024'!$J$4:$J$2091,O$1)</f>
        <v>0</v>
      </c>
      <c r="P147" s="80">
        <f>SUMIFS('сентябрь 2024'!$G$4:$G$2091,'сентябрь 2024'!$D$4:$D$2091,$B147,'сентябрь 2024'!$J$4:$J$2091,P$1)</f>
        <v>0</v>
      </c>
      <c r="Q147" s="80">
        <f>SUMIFS('сентябрь 2024'!$G$4:$G$2091,'сентябрь 2024'!$D$4:$D$2091,$B147,'сентябрь 2024'!$J$4:$J$2091,Q$1)</f>
        <v>0</v>
      </c>
      <c r="R147" s="80">
        <f>SUMIFS('сентябрь 2024'!$G$4:$G$2091,'сентябрь 2024'!$D$4:$D$2091,$B147,'сентябрь 2024'!$J$4:$J$2091,R$1)</f>
        <v>0</v>
      </c>
      <c r="S147" s="80">
        <f>SUMIFS('сентябрь 2024'!$G$4:$G$2091,'сентябрь 2024'!$D$4:$D$2091,$B147,'сентябрь 2024'!$J$4:$J$2091,S$1)</f>
        <v>0</v>
      </c>
      <c r="T147" s="80">
        <f>SUMIFS('сентябрь 2024'!$G$4:$G$2091,'сентябрь 2024'!$D$4:$D$2091,$B147,'сентябрь 2024'!$J$4:$J$2091,T$1)</f>
        <v>0</v>
      </c>
      <c r="U147" s="80">
        <f>SUMIFS('сентябрь 2024'!$G$4:$G$2091,'сентябрь 2024'!$D$4:$D$2091,$B147,'сентябрь 2024'!$J$4:$J$2091,U$1)</f>
        <v>0</v>
      </c>
      <c r="V147" s="80">
        <f>SUMIFS('сентябрь 2024'!$G$4:$G$2091,'сентябрь 2024'!$D$4:$D$2091,$B147,'сентябрь 2024'!$J$4:$J$2091,V$1)</f>
        <v>0</v>
      </c>
      <c r="W147" s="80">
        <f>SUMIFS('сентябрь 2024'!$G$4:$G$2091,'сентябрь 2024'!$D$4:$D$2091,$B147,'сентябрь 2024'!$J$4:$J$2091,W$1)</f>
        <v>0</v>
      </c>
      <c r="X147" s="80">
        <f>SUMIFS('сентябрь 2024'!$G$4:$G$2091,'сентябрь 2024'!$D$4:$D$2091,$B147,'сентябрь 2024'!$J$4:$J$2091,X$1)</f>
        <v>0</v>
      </c>
      <c r="Y147" s="80">
        <f>SUMIFS('сентябрь 2024'!$G$4:$G$2091,'сентябрь 2024'!$D$4:$D$2091,$B147,'сентябрь 2024'!$J$4:$J$2091,Y$1)</f>
        <v>0</v>
      </c>
      <c r="Z147" s="80">
        <f>SUMIFS('сентябрь 2024'!$G$4:$G$2091,'сентябрь 2024'!$D$4:$D$2091,$B147,'сентябрь 2024'!$J$4:$J$2091,Z$1)</f>
        <v>0</v>
      </c>
      <c r="AA147" s="80">
        <f>SUMIFS('сентябрь 2024'!$G$4:$G$2091,'сентябрь 2024'!$D$4:$D$2091,$B147,'сентябрь 2024'!$J$4:$J$2091,AA$1)</f>
        <v>0</v>
      </c>
      <c r="AB147" s="80">
        <f>SUMIFS('сентябрь 2024'!$G$4:$G$2091,'сентябрь 2024'!$D$4:$D$2091,$B147,'сентябрь 2024'!$J$4:$J$2091,AB$1)</f>
        <v>0</v>
      </c>
      <c r="AC147" s="80">
        <f>SUMIFS('сентябрь 2024'!$G$4:$G$2091,'сентябрь 2024'!$D$4:$D$2091,$B147,'сентябрь 2024'!$J$4:$J$2091,AC$1)</f>
        <v>0</v>
      </c>
      <c r="AD147" s="80">
        <f>SUMIFS('сентябрь 2024'!$G$4:$G$2091,'сентябрь 2024'!$D$4:$D$2091,$B147,'сентябрь 2024'!$J$4:$J$2091,AD$1)</f>
        <v>0</v>
      </c>
      <c r="AE147" s="80">
        <f>SUMIFS('сентябрь 2024'!$G$4:$G$2091,'сентябрь 2024'!$D$4:$D$2091,$B147,'сентябрь 2024'!$J$4:$J$2091,AE$1)</f>
        <v>0</v>
      </c>
      <c r="AF147" s="80">
        <f>SUMIFS('сентябрь 2024'!$G$4:$G$2091,'сентябрь 2024'!$D$4:$D$2091,$B147,'сентябрь 2024'!$J$4:$J$2091,AF$1)</f>
        <v>0</v>
      </c>
      <c r="AG147" s="80">
        <f>SUMIFS('сентябрь 2024'!$G$4:$G$2091,'сентябрь 2024'!$D$4:$D$2091,$B147,'сентябрь 2024'!$J$4:$J$2091,AG$1)</f>
        <v>0</v>
      </c>
      <c r="AH147" s="80">
        <f>SUMIFS('сентябрь 2024'!$G$4:$G$2091,'сентябрь 2024'!$D$4:$D$2091,$B147,'сентябрь 2024'!$J$4:$J$2091,AH$1)</f>
        <v>0</v>
      </c>
      <c r="AI147" s="21">
        <f t="shared" si="1"/>
        <v>0</v>
      </c>
    </row>
    <row r="148" spans="2:35" ht="15" customHeight="1" x14ac:dyDescent="0.25">
      <c r="B148" s="89" t="s">
        <v>185</v>
      </c>
      <c r="C148" s="88">
        <v>25</v>
      </c>
      <c r="D148" s="80">
        <f>SUMIFS('сентябрь 2024'!$G$4:$G$2091,'сентябрь 2024'!$D$4:$D$2091,$B148,'сентябрь 2024'!$J$4:$J$2091,D$1)</f>
        <v>0</v>
      </c>
      <c r="E148" s="80">
        <f>SUMIFS('сентябрь 2024'!$G$4:$G$2091,'сентябрь 2024'!$D$4:$D$2091,$B148,'сентябрь 2024'!$J$4:$J$2091,E$1)</f>
        <v>0</v>
      </c>
      <c r="F148" s="80">
        <f>SUMIFS('сентябрь 2024'!$G$4:$G$2091,'сентябрь 2024'!$D$4:$D$2091,$B148,'сентябрь 2024'!$J$4:$J$2091,F$1)</f>
        <v>0</v>
      </c>
      <c r="G148" s="80">
        <f>SUMIFS('сентябрь 2024'!$G$4:$G$2091,'сентябрь 2024'!$D$4:$D$2091,$B148,'сентябрь 2024'!$J$4:$J$2091,G$1)</f>
        <v>0</v>
      </c>
      <c r="H148" s="80">
        <f>SUMIFS('сентябрь 2024'!$G$4:$G$2091,'сентябрь 2024'!$D$4:$D$2091,$B148,'сентябрь 2024'!$J$4:$J$2091,H$1)</f>
        <v>0</v>
      </c>
      <c r="I148" s="80">
        <f>SUMIFS('сентябрь 2024'!$G$4:$G$2091,'сентябрь 2024'!$D$4:$D$2091,$B148,'сентябрь 2024'!$J$4:$J$2091,I$1)</f>
        <v>0</v>
      </c>
      <c r="J148" s="80">
        <f>SUMIFS('сентябрь 2024'!$G$4:$G$2091,'сентябрь 2024'!$D$4:$D$2091,$B148,'сентябрь 2024'!$J$4:$J$2091,J$1)</f>
        <v>0</v>
      </c>
      <c r="K148" s="80">
        <f>SUMIFS('сентябрь 2024'!$G$4:$G$2091,'сентябрь 2024'!$D$4:$D$2091,$B148,'сентябрь 2024'!$J$4:$J$2091,K$1)</f>
        <v>0</v>
      </c>
      <c r="L148" s="80">
        <f>SUMIFS('сентябрь 2024'!$G$4:$G$2091,'сентябрь 2024'!$D$4:$D$2091,$B148,'сентябрь 2024'!$J$4:$J$2091,L$1)</f>
        <v>0</v>
      </c>
      <c r="M148" s="80">
        <f>SUMIFS('сентябрь 2024'!$G$4:$G$2091,'сентябрь 2024'!$D$4:$D$2091,$B148,'сентябрь 2024'!$J$4:$J$2091,M$1)</f>
        <v>0</v>
      </c>
      <c r="N148" s="80">
        <f>SUMIFS('сентябрь 2024'!$G$4:$G$2091,'сентябрь 2024'!$D$4:$D$2091,$B148,'сентябрь 2024'!$J$4:$J$2091,N$1)</f>
        <v>0</v>
      </c>
      <c r="O148" s="80">
        <f>SUMIFS('сентябрь 2024'!$G$4:$G$2091,'сентябрь 2024'!$D$4:$D$2091,$B148,'сентябрь 2024'!$J$4:$J$2091,O$1)</f>
        <v>0</v>
      </c>
      <c r="P148" s="80">
        <f>SUMIFS('сентябрь 2024'!$G$4:$G$2091,'сентябрь 2024'!$D$4:$D$2091,$B148,'сентябрь 2024'!$J$4:$J$2091,P$1)</f>
        <v>0</v>
      </c>
      <c r="Q148" s="80">
        <f>SUMIFS('сентябрь 2024'!$G$4:$G$2091,'сентябрь 2024'!$D$4:$D$2091,$B148,'сентябрь 2024'!$J$4:$J$2091,Q$1)</f>
        <v>0</v>
      </c>
      <c r="R148" s="80">
        <f>SUMIFS('сентябрь 2024'!$G$4:$G$2091,'сентябрь 2024'!$D$4:$D$2091,$B148,'сентябрь 2024'!$J$4:$J$2091,R$1)</f>
        <v>0</v>
      </c>
      <c r="S148" s="80">
        <f>SUMIFS('сентябрь 2024'!$G$4:$G$2091,'сентябрь 2024'!$D$4:$D$2091,$B148,'сентябрь 2024'!$J$4:$J$2091,S$1)</f>
        <v>0</v>
      </c>
      <c r="T148" s="80">
        <f>SUMIFS('сентябрь 2024'!$G$4:$G$2091,'сентябрь 2024'!$D$4:$D$2091,$B148,'сентябрь 2024'!$J$4:$J$2091,T$1)</f>
        <v>0</v>
      </c>
      <c r="U148" s="80">
        <f>SUMIFS('сентябрь 2024'!$G$4:$G$2091,'сентябрь 2024'!$D$4:$D$2091,$B148,'сентябрь 2024'!$J$4:$J$2091,U$1)</f>
        <v>0</v>
      </c>
      <c r="V148" s="80">
        <f>SUMIFS('сентябрь 2024'!$G$4:$G$2091,'сентябрь 2024'!$D$4:$D$2091,$B148,'сентябрь 2024'!$J$4:$J$2091,V$1)</f>
        <v>0</v>
      </c>
      <c r="W148" s="80">
        <f>SUMIFS('сентябрь 2024'!$G$4:$G$2091,'сентябрь 2024'!$D$4:$D$2091,$B148,'сентябрь 2024'!$J$4:$J$2091,W$1)</f>
        <v>0</v>
      </c>
      <c r="X148" s="80">
        <f>SUMIFS('сентябрь 2024'!$G$4:$G$2091,'сентябрь 2024'!$D$4:$D$2091,$B148,'сентябрь 2024'!$J$4:$J$2091,X$1)</f>
        <v>0</v>
      </c>
      <c r="Y148" s="80">
        <f>SUMIFS('сентябрь 2024'!$G$4:$G$2091,'сентябрь 2024'!$D$4:$D$2091,$B148,'сентябрь 2024'!$J$4:$J$2091,Y$1)</f>
        <v>0</v>
      </c>
      <c r="Z148" s="80">
        <f>SUMIFS('сентябрь 2024'!$G$4:$G$2091,'сентябрь 2024'!$D$4:$D$2091,$B148,'сентябрь 2024'!$J$4:$J$2091,Z$1)</f>
        <v>0</v>
      </c>
      <c r="AA148" s="80">
        <f>SUMIFS('сентябрь 2024'!$G$4:$G$2091,'сентябрь 2024'!$D$4:$D$2091,$B148,'сентябрь 2024'!$J$4:$J$2091,AA$1)</f>
        <v>0</v>
      </c>
      <c r="AB148" s="80">
        <f>SUMIFS('сентябрь 2024'!$G$4:$G$2091,'сентябрь 2024'!$D$4:$D$2091,$B148,'сентябрь 2024'!$J$4:$J$2091,AB$1)</f>
        <v>0</v>
      </c>
      <c r="AC148" s="80">
        <f>SUMIFS('сентябрь 2024'!$G$4:$G$2091,'сентябрь 2024'!$D$4:$D$2091,$B148,'сентябрь 2024'!$J$4:$J$2091,AC$1)</f>
        <v>0</v>
      </c>
      <c r="AD148" s="80">
        <f>SUMIFS('сентябрь 2024'!$G$4:$G$2091,'сентябрь 2024'!$D$4:$D$2091,$B148,'сентябрь 2024'!$J$4:$J$2091,AD$1)</f>
        <v>0</v>
      </c>
      <c r="AE148" s="80">
        <f>SUMIFS('сентябрь 2024'!$G$4:$G$2091,'сентябрь 2024'!$D$4:$D$2091,$B148,'сентябрь 2024'!$J$4:$J$2091,AE$1)</f>
        <v>0</v>
      </c>
      <c r="AF148" s="80">
        <f>SUMIFS('сентябрь 2024'!$G$4:$G$2091,'сентябрь 2024'!$D$4:$D$2091,$B148,'сентябрь 2024'!$J$4:$J$2091,AF$1)</f>
        <v>0</v>
      </c>
      <c r="AG148" s="80">
        <f>SUMIFS('сентябрь 2024'!$G$4:$G$2091,'сентябрь 2024'!$D$4:$D$2091,$B148,'сентябрь 2024'!$J$4:$J$2091,AG$1)</f>
        <v>0</v>
      </c>
      <c r="AH148" s="80">
        <f>SUMIFS('сентябрь 2024'!$G$4:$G$2091,'сентябрь 2024'!$D$4:$D$2091,$B148,'сентябрь 2024'!$J$4:$J$2091,AH$1)</f>
        <v>0</v>
      </c>
      <c r="AI148" s="21">
        <f t="shared" si="1"/>
        <v>0</v>
      </c>
    </row>
    <row r="149" spans="2:35" ht="15" customHeight="1" x14ac:dyDescent="0.25">
      <c r="B149" s="89" t="s">
        <v>212</v>
      </c>
      <c r="C149" s="88">
        <v>25</v>
      </c>
      <c r="D149" s="80">
        <f>SUMIFS('сентябрь 2024'!$G$4:$G$2091,'сентябрь 2024'!$D$4:$D$2091,$B149,'сентябрь 2024'!$J$4:$J$2091,D$1)</f>
        <v>0</v>
      </c>
      <c r="E149" s="80">
        <f>SUMIFS('сентябрь 2024'!$G$4:$G$2091,'сентябрь 2024'!$D$4:$D$2091,$B149,'сентябрь 2024'!$J$4:$J$2091,E$1)</f>
        <v>0</v>
      </c>
      <c r="F149" s="80">
        <f>SUMIFS('сентябрь 2024'!$G$4:$G$2091,'сентябрь 2024'!$D$4:$D$2091,$B149,'сентябрь 2024'!$J$4:$J$2091,F$1)</f>
        <v>0</v>
      </c>
      <c r="G149" s="80">
        <f>SUMIFS('сентябрь 2024'!$G$4:$G$2091,'сентябрь 2024'!$D$4:$D$2091,$B149,'сентябрь 2024'!$J$4:$J$2091,G$1)</f>
        <v>0</v>
      </c>
      <c r="H149" s="80">
        <f>SUMIFS('сентябрь 2024'!$G$4:$G$2091,'сентябрь 2024'!$D$4:$D$2091,$B149,'сентябрь 2024'!$J$4:$J$2091,H$1)</f>
        <v>0</v>
      </c>
      <c r="I149" s="80">
        <f>SUMIFS('сентябрь 2024'!$G$4:$G$2091,'сентябрь 2024'!$D$4:$D$2091,$B149,'сентябрь 2024'!$J$4:$J$2091,I$1)</f>
        <v>0</v>
      </c>
      <c r="J149" s="80">
        <f>SUMIFS('сентябрь 2024'!$G$4:$G$2091,'сентябрь 2024'!$D$4:$D$2091,$B149,'сентябрь 2024'!$J$4:$J$2091,J$1)</f>
        <v>0</v>
      </c>
      <c r="K149" s="80">
        <f>SUMIFS('сентябрь 2024'!$G$4:$G$2091,'сентябрь 2024'!$D$4:$D$2091,$B149,'сентябрь 2024'!$J$4:$J$2091,K$1)</f>
        <v>0</v>
      </c>
      <c r="L149" s="80">
        <f>SUMIFS('сентябрь 2024'!$G$4:$G$2091,'сентябрь 2024'!$D$4:$D$2091,$B149,'сентябрь 2024'!$J$4:$J$2091,L$1)</f>
        <v>0</v>
      </c>
      <c r="M149" s="80">
        <f>SUMIFS('сентябрь 2024'!$G$4:$G$2091,'сентябрь 2024'!$D$4:$D$2091,$B149,'сентябрь 2024'!$J$4:$J$2091,M$1)</f>
        <v>0</v>
      </c>
      <c r="N149" s="80">
        <f>SUMIFS('сентябрь 2024'!$G$4:$G$2091,'сентябрь 2024'!$D$4:$D$2091,$B149,'сентябрь 2024'!$J$4:$J$2091,N$1)</f>
        <v>0</v>
      </c>
      <c r="O149" s="80">
        <f>SUMIFS('сентябрь 2024'!$G$4:$G$2091,'сентябрь 2024'!$D$4:$D$2091,$B149,'сентябрь 2024'!$J$4:$J$2091,O$1)</f>
        <v>0</v>
      </c>
      <c r="P149" s="80">
        <f>SUMIFS('сентябрь 2024'!$G$4:$G$2091,'сентябрь 2024'!$D$4:$D$2091,$B149,'сентябрь 2024'!$J$4:$J$2091,P$1)</f>
        <v>0</v>
      </c>
      <c r="Q149" s="80">
        <f>SUMIFS('сентябрь 2024'!$G$4:$G$2091,'сентябрь 2024'!$D$4:$D$2091,$B149,'сентябрь 2024'!$J$4:$J$2091,Q$1)</f>
        <v>0</v>
      </c>
      <c r="R149" s="80">
        <f>SUMIFS('сентябрь 2024'!$G$4:$G$2091,'сентябрь 2024'!$D$4:$D$2091,$B149,'сентябрь 2024'!$J$4:$J$2091,R$1)</f>
        <v>0</v>
      </c>
      <c r="S149" s="80">
        <f>SUMIFS('сентябрь 2024'!$G$4:$G$2091,'сентябрь 2024'!$D$4:$D$2091,$B149,'сентябрь 2024'!$J$4:$J$2091,S$1)</f>
        <v>0</v>
      </c>
      <c r="T149" s="80">
        <f>SUMIFS('сентябрь 2024'!$G$4:$G$2091,'сентябрь 2024'!$D$4:$D$2091,$B149,'сентябрь 2024'!$J$4:$J$2091,T$1)</f>
        <v>0</v>
      </c>
      <c r="U149" s="80">
        <f>SUMIFS('сентябрь 2024'!$G$4:$G$2091,'сентябрь 2024'!$D$4:$D$2091,$B149,'сентябрь 2024'!$J$4:$J$2091,U$1)</f>
        <v>0</v>
      </c>
      <c r="V149" s="80">
        <f>SUMIFS('сентябрь 2024'!$G$4:$G$2091,'сентябрь 2024'!$D$4:$D$2091,$B149,'сентябрь 2024'!$J$4:$J$2091,V$1)</f>
        <v>0</v>
      </c>
      <c r="W149" s="80">
        <f>SUMIFS('сентябрь 2024'!$G$4:$G$2091,'сентябрь 2024'!$D$4:$D$2091,$B149,'сентябрь 2024'!$J$4:$J$2091,W$1)</f>
        <v>0</v>
      </c>
      <c r="X149" s="80">
        <f>SUMIFS('сентябрь 2024'!$G$4:$G$2091,'сентябрь 2024'!$D$4:$D$2091,$B149,'сентябрь 2024'!$J$4:$J$2091,X$1)</f>
        <v>0</v>
      </c>
      <c r="Y149" s="80">
        <f>SUMIFS('сентябрь 2024'!$G$4:$G$2091,'сентябрь 2024'!$D$4:$D$2091,$B149,'сентябрь 2024'!$J$4:$J$2091,Y$1)</f>
        <v>0</v>
      </c>
      <c r="Z149" s="80">
        <f>SUMIFS('сентябрь 2024'!$G$4:$G$2091,'сентябрь 2024'!$D$4:$D$2091,$B149,'сентябрь 2024'!$J$4:$J$2091,Z$1)</f>
        <v>0</v>
      </c>
      <c r="AA149" s="80">
        <f>SUMIFS('сентябрь 2024'!$G$4:$G$2091,'сентябрь 2024'!$D$4:$D$2091,$B149,'сентябрь 2024'!$J$4:$J$2091,AA$1)</f>
        <v>0</v>
      </c>
      <c r="AB149" s="80">
        <f>SUMIFS('сентябрь 2024'!$G$4:$G$2091,'сентябрь 2024'!$D$4:$D$2091,$B149,'сентябрь 2024'!$J$4:$J$2091,AB$1)</f>
        <v>0</v>
      </c>
      <c r="AC149" s="80">
        <f>SUMIFS('сентябрь 2024'!$G$4:$G$2091,'сентябрь 2024'!$D$4:$D$2091,$B149,'сентябрь 2024'!$J$4:$J$2091,AC$1)</f>
        <v>0</v>
      </c>
      <c r="AD149" s="80">
        <f>SUMIFS('сентябрь 2024'!$G$4:$G$2091,'сентябрь 2024'!$D$4:$D$2091,$B149,'сентябрь 2024'!$J$4:$J$2091,AD$1)</f>
        <v>0</v>
      </c>
      <c r="AE149" s="80">
        <f>SUMIFS('сентябрь 2024'!$G$4:$G$2091,'сентябрь 2024'!$D$4:$D$2091,$B149,'сентябрь 2024'!$J$4:$J$2091,AE$1)</f>
        <v>0</v>
      </c>
      <c r="AF149" s="80">
        <f>SUMIFS('сентябрь 2024'!$G$4:$G$2091,'сентябрь 2024'!$D$4:$D$2091,$B149,'сентябрь 2024'!$J$4:$J$2091,AF$1)</f>
        <v>0</v>
      </c>
      <c r="AG149" s="80">
        <f>SUMIFS('сентябрь 2024'!$G$4:$G$2091,'сентябрь 2024'!$D$4:$D$2091,$B149,'сентябрь 2024'!$J$4:$J$2091,AG$1)</f>
        <v>0</v>
      </c>
      <c r="AH149" s="80">
        <f>SUMIFS('сентябрь 2024'!$G$4:$G$2091,'сентябрь 2024'!$D$4:$D$2091,$B149,'сентябрь 2024'!$J$4:$J$2091,AH$1)</f>
        <v>0</v>
      </c>
      <c r="AI149" s="21">
        <f t="shared" si="1"/>
        <v>0</v>
      </c>
    </row>
    <row r="150" spans="2:35" ht="15" customHeight="1" x14ac:dyDescent="0.25">
      <c r="B150" s="89" t="s">
        <v>994</v>
      </c>
      <c r="C150" s="88">
        <v>200</v>
      </c>
      <c r="D150" s="80">
        <f>SUMIFS('сентябрь 2024'!$G$4:$G$2091,'сентябрь 2024'!$D$4:$D$2091,$B150,'сентябрь 2024'!$J$4:$J$2091,D$1)</f>
        <v>0</v>
      </c>
      <c r="E150" s="80">
        <f>SUMIFS('сентябрь 2024'!$G$4:$G$2091,'сентябрь 2024'!$D$4:$D$2091,$B150,'сентябрь 2024'!$J$4:$J$2091,E$1)</f>
        <v>0</v>
      </c>
      <c r="F150" s="80">
        <f>SUMIFS('сентябрь 2024'!$G$4:$G$2091,'сентябрь 2024'!$D$4:$D$2091,$B150,'сентябрь 2024'!$J$4:$J$2091,F$1)</f>
        <v>0</v>
      </c>
      <c r="G150" s="80">
        <f>SUMIFS('сентябрь 2024'!$G$4:$G$2091,'сентябрь 2024'!$D$4:$D$2091,$B150,'сентябрь 2024'!$J$4:$J$2091,G$1)</f>
        <v>0</v>
      </c>
      <c r="H150" s="80">
        <f>SUMIFS('сентябрь 2024'!$G$4:$G$2091,'сентябрь 2024'!$D$4:$D$2091,$B150,'сентябрь 2024'!$J$4:$J$2091,H$1)</f>
        <v>0</v>
      </c>
      <c r="I150" s="80">
        <f>SUMIFS('сентябрь 2024'!$G$4:$G$2091,'сентябрь 2024'!$D$4:$D$2091,$B150,'сентябрь 2024'!$J$4:$J$2091,I$1)</f>
        <v>0</v>
      </c>
      <c r="J150" s="80">
        <f>SUMIFS('сентябрь 2024'!$G$4:$G$2091,'сентябрь 2024'!$D$4:$D$2091,$B150,'сентябрь 2024'!$J$4:$J$2091,J$1)</f>
        <v>0</v>
      </c>
      <c r="K150" s="80">
        <f>SUMIFS('сентябрь 2024'!$G$4:$G$2091,'сентябрь 2024'!$D$4:$D$2091,$B150,'сентябрь 2024'!$J$4:$J$2091,K$1)</f>
        <v>0</v>
      </c>
      <c r="L150" s="80">
        <f>SUMIFS('сентябрь 2024'!$G$4:$G$2091,'сентябрь 2024'!$D$4:$D$2091,$B150,'сентябрь 2024'!$J$4:$J$2091,L$1)</f>
        <v>0</v>
      </c>
      <c r="M150" s="80">
        <f>SUMIFS('сентябрь 2024'!$G$4:$G$2091,'сентябрь 2024'!$D$4:$D$2091,$B150,'сентябрь 2024'!$J$4:$J$2091,M$1)</f>
        <v>0</v>
      </c>
      <c r="N150" s="80">
        <f>SUMIFS('сентябрь 2024'!$G$4:$G$2091,'сентябрь 2024'!$D$4:$D$2091,$B150,'сентябрь 2024'!$J$4:$J$2091,N$1)</f>
        <v>0</v>
      </c>
      <c r="O150" s="80">
        <f>SUMIFS('сентябрь 2024'!$G$4:$G$2091,'сентябрь 2024'!$D$4:$D$2091,$B150,'сентябрь 2024'!$J$4:$J$2091,O$1)</f>
        <v>0</v>
      </c>
      <c r="P150" s="80">
        <f>SUMIFS('сентябрь 2024'!$G$4:$G$2091,'сентябрь 2024'!$D$4:$D$2091,$B150,'сентябрь 2024'!$J$4:$J$2091,P$1)</f>
        <v>0</v>
      </c>
      <c r="Q150" s="80">
        <f>SUMIFS('сентябрь 2024'!$G$4:$G$2091,'сентябрь 2024'!$D$4:$D$2091,$B150,'сентябрь 2024'!$J$4:$J$2091,Q$1)</f>
        <v>0</v>
      </c>
      <c r="R150" s="80">
        <f>SUMIFS('сентябрь 2024'!$G$4:$G$2091,'сентябрь 2024'!$D$4:$D$2091,$B150,'сентябрь 2024'!$J$4:$J$2091,R$1)</f>
        <v>0</v>
      </c>
      <c r="S150" s="80">
        <f>SUMIFS('сентябрь 2024'!$G$4:$G$2091,'сентябрь 2024'!$D$4:$D$2091,$B150,'сентябрь 2024'!$J$4:$J$2091,S$1)</f>
        <v>0</v>
      </c>
      <c r="T150" s="80">
        <f>SUMIFS('сентябрь 2024'!$G$4:$G$2091,'сентябрь 2024'!$D$4:$D$2091,$B150,'сентябрь 2024'!$J$4:$J$2091,T$1)</f>
        <v>0</v>
      </c>
      <c r="U150" s="80">
        <f>SUMIFS('сентябрь 2024'!$G$4:$G$2091,'сентябрь 2024'!$D$4:$D$2091,$B150,'сентябрь 2024'!$J$4:$J$2091,U$1)</f>
        <v>0</v>
      </c>
      <c r="V150" s="80">
        <f>SUMIFS('сентябрь 2024'!$G$4:$G$2091,'сентябрь 2024'!$D$4:$D$2091,$B150,'сентябрь 2024'!$J$4:$J$2091,V$1)</f>
        <v>0</v>
      </c>
      <c r="W150" s="80">
        <f>SUMIFS('сентябрь 2024'!$G$4:$G$2091,'сентябрь 2024'!$D$4:$D$2091,$B150,'сентябрь 2024'!$J$4:$J$2091,W$1)</f>
        <v>0</v>
      </c>
      <c r="X150" s="80">
        <f>SUMIFS('сентябрь 2024'!$G$4:$G$2091,'сентябрь 2024'!$D$4:$D$2091,$B150,'сентябрь 2024'!$J$4:$J$2091,X$1)</f>
        <v>0</v>
      </c>
      <c r="Y150" s="80">
        <f>SUMIFS('сентябрь 2024'!$G$4:$G$2091,'сентябрь 2024'!$D$4:$D$2091,$B150,'сентябрь 2024'!$J$4:$J$2091,Y$1)</f>
        <v>0</v>
      </c>
      <c r="Z150" s="80">
        <f>SUMIFS('сентябрь 2024'!$G$4:$G$2091,'сентябрь 2024'!$D$4:$D$2091,$B150,'сентябрь 2024'!$J$4:$J$2091,Z$1)</f>
        <v>0</v>
      </c>
      <c r="AA150" s="80">
        <f>SUMIFS('сентябрь 2024'!$G$4:$G$2091,'сентябрь 2024'!$D$4:$D$2091,$B150,'сентябрь 2024'!$J$4:$J$2091,AA$1)</f>
        <v>0</v>
      </c>
      <c r="AB150" s="80">
        <f>SUMIFS('сентябрь 2024'!$G$4:$G$2091,'сентябрь 2024'!$D$4:$D$2091,$B150,'сентябрь 2024'!$J$4:$J$2091,AB$1)</f>
        <v>0</v>
      </c>
      <c r="AC150" s="80">
        <f>SUMIFS('сентябрь 2024'!$G$4:$G$2091,'сентябрь 2024'!$D$4:$D$2091,$B150,'сентябрь 2024'!$J$4:$J$2091,AC$1)</f>
        <v>0</v>
      </c>
      <c r="AD150" s="80">
        <f>SUMIFS('сентябрь 2024'!$G$4:$G$2091,'сентябрь 2024'!$D$4:$D$2091,$B150,'сентябрь 2024'!$J$4:$J$2091,AD$1)</f>
        <v>0</v>
      </c>
      <c r="AE150" s="80">
        <f>SUMIFS('сентябрь 2024'!$G$4:$G$2091,'сентябрь 2024'!$D$4:$D$2091,$B150,'сентябрь 2024'!$J$4:$J$2091,AE$1)</f>
        <v>0</v>
      </c>
      <c r="AF150" s="80">
        <f>SUMIFS('сентябрь 2024'!$G$4:$G$2091,'сентябрь 2024'!$D$4:$D$2091,$B150,'сентябрь 2024'!$J$4:$J$2091,AF$1)</f>
        <v>0</v>
      </c>
      <c r="AG150" s="80">
        <f>SUMIFS('сентябрь 2024'!$G$4:$G$2091,'сентябрь 2024'!$D$4:$D$2091,$B150,'сентябрь 2024'!$J$4:$J$2091,AG$1)</f>
        <v>0</v>
      </c>
      <c r="AH150" s="80">
        <f>SUMIFS('сентябрь 2024'!$G$4:$G$2091,'сентябрь 2024'!$D$4:$D$2091,$B150,'сентябрь 2024'!$J$4:$J$2091,AH$1)</f>
        <v>0</v>
      </c>
      <c r="AI150" s="21">
        <f>SUM(D150:AH150)</f>
        <v>0</v>
      </c>
    </row>
    <row r="151" spans="2:35" ht="15" customHeight="1" x14ac:dyDescent="0.25">
      <c r="B151" s="89" t="s">
        <v>1118</v>
      </c>
      <c r="C151" s="88">
        <v>175</v>
      </c>
      <c r="D151" s="80">
        <f>SUMIFS('сентябрь 2024'!$G$4:$G$2091,'сентябрь 2024'!$D$4:$D$2091,$B151,'сентябрь 2024'!$J$4:$J$2091,D$1)</f>
        <v>0</v>
      </c>
      <c r="E151" s="80">
        <f>SUMIFS('сентябрь 2024'!$G$4:$G$2091,'сентябрь 2024'!$D$4:$D$2091,$B151,'сентябрь 2024'!$J$4:$J$2091,E$1)</f>
        <v>0</v>
      </c>
      <c r="F151" s="80">
        <f>SUMIFS('сентябрь 2024'!$G$4:$G$2091,'сентябрь 2024'!$D$4:$D$2091,$B151,'сентябрь 2024'!$J$4:$J$2091,F$1)</f>
        <v>0</v>
      </c>
      <c r="G151" s="80">
        <f>SUMIFS('сентябрь 2024'!$G$4:$G$2091,'сентябрь 2024'!$D$4:$D$2091,$B151,'сентябрь 2024'!$J$4:$J$2091,G$1)</f>
        <v>0</v>
      </c>
      <c r="H151" s="80">
        <f>SUMIFS('сентябрь 2024'!$G$4:$G$2091,'сентябрь 2024'!$D$4:$D$2091,$B151,'сентябрь 2024'!$J$4:$J$2091,H$1)</f>
        <v>0</v>
      </c>
      <c r="I151" s="80">
        <f>SUMIFS('сентябрь 2024'!$G$4:$G$2091,'сентябрь 2024'!$D$4:$D$2091,$B151,'сентябрь 2024'!$J$4:$J$2091,I$1)</f>
        <v>14</v>
      </c>
      <c r="J151" s="80">
        <f>SUMIFS('сентябрь 2024'!$G$4:$G$2091,'сентябрь 2024'!$D$4:$D$2091,$B151,'сентябрь 2024'!$J$4:$J$2091,J$1)</f>
        <v>0</v>
      </c>
      <c r="K151" s="80">
        <f>SUMIFS('сентябрь 2024'!$G$4:$G$2091,'сентябрь 2024'!$D$4:$D$2091,$B151,'сентябрь 2024'!$J$4:$J$2091,K$1)</f>
        <v>0</v>
      </c>
      <c r="L151" s="80">
        <f>SUMIFS('сентябрь 2024'!$G$4:$G$2091,'сентябрь 2024'!$D$4:$D$2091,$B151,'сентябрь 2024'!$J$4:$J$2091,L$1)</f>
        <v>0</v>
      </c>
      <c r="M151" s="80">
        <f>SUMIFS('сентябрь 2024'!$G$4:$G$2091,'сентябрь 2024'!$D$4:$D$2091,$B151,'сентябрь 2024'!$J$4:$J$2091,M$1)</f>
        <v>0</v>
      </c>
      <c r="N151" s="80">
        <f>SUMIFS('сентябрь 2024'!$G$4:$G$2091,'сентябрь 2024'!$D$4:$D$2091,$B151,'сентябрь 2024'!$J$4:$J$2091,N$1)</f>
        <v>0</v>
      </c>
      <c r="O151" s="80">
        <f>SUMIFS('сентябрь 2024'!$G$4:$G$2091,'сентябрь 2024'!$D$4:$D$2091,$B151,'сентябрь 2024'!$J$4:$J$2091,O$1)</f>
        <v>0</v>
      </c>
      <c r="P151" s="80">
        <f>SUMIFS('сентябрь 2024'!$G$4:$G$2091,'сентябрь 2024'!$D$4:$D$2091,$B151,'сентябрь 2024'!$J$4:$J$2091,P$1)</f>
        <v>0</v>
      </c>
      <c r="Q151" s="80">
        <f>SUMIFS('сентябрь 2024'!$G$4:$G$2091,'сентябрь 2024'!$D$4:$D$2091,$B151,'сентябрь 2024'!$J$4:$J$2091,Q$1)</f>
        <v>0</v>
      </c>
      <c r="R151" s="80">
        <f>SUMIFS('сентябрь 2024'!$G$4:$G$2091,'сентябрь 2024'!$D$4:$D$2091,$B151,'сентябрь 2024'!$J$4:$J$2091,R$1)</f>
        <v>0</v>
      </c>
      <c r="S151" s="80">
        <f>SUMIFS('сентябрь 2024'!$G$4:$G$2091,'сентябрь 2024'!$D$4:$D$2091,$B151,'сентябрь 2024'!$J$4:$J$2091,S$1)</f>
        <v>0</v>
      </c>
      <c r="T151" s="80">
        <f>SUMIFS('сентябрь 2024'!$G$4:$G$2091,'сентябрь 2024'!$D$4:$D$2091,$B151,'сентябрь 2024'!$J$4:$J$2091,T$1)</f>
        <v>0</v>
      </c>
      <c r="U151" s="80">
        <f>SUMIFS('сентябрь 2024'!$G$4:$G$2091,'сентябрь 2024'!$D$4:$D$2091,$B151,'сентябрь 2024'!$J$4:$J$2091,U$1)</f>
        <v>0</v>
      </c>
      <c r="V151" s="80">
        <f>SUMIFS('сентябрь 2024'!$G$4:$G$2091,'сентябрь 2024'!$D$4:$D$2091,$B151,'сентябрь 2024'!$J$4:$J$2091,V$1)</f>
        <v>0</v>
      </c>
      <c r="W151" s="80">
        <f>SUMIFS('сентябрь 2024'!$G$4:$G$2091,'сентябрь 2024'!$D$4:$D$2091,$B151,'сентябрь 2024'!$J$4:$J$2091,W$1)</f>
        <v>0</v>
      </c>
      <c r="X151" s="80">
        <f>SUMIFS('сентябрь 2024'!$G$4:$G$2091,'сентябрь 2024'!$D$4:$D$2091,$B151,'сентябрь 2024'!$J$4:$J$2091,X$1)</f>
        <v>0</v>
      </c>
      <c r="Y151" s="80">
        <f>SUMIFS('сентябрь 2024'!$G$4:$G$2091,'сентябрь 2024'!$D$4:$D$2091,$B151,'сентябрь 2024'!$J$4:$J$2091,Y$1)</f>
        <v>0</v>
      </c>
      <c r="Z151" s="80">
        <f>SUMIFS('сентябрь 2024'!$G$4:$G$2091,'сентябрь 2024'!$D$4:$D$2091,$B151,'сентябрь 2024'!$J$4:$J$2091,Z$1)</f>
        <v>0</v>
      </c>
      <c r="AA151" s="80">
        <f>SUMIFS('сентябрь 2024'!$G$4:$G$2091,'сентябрь 2024'!$D$4:$D$2091,$B151,'сентябрь 2024'!$J$4:$J$2091,AA$1)</f>
        <v>0</v>
      </c>
      <c r="AB151" s="80">
        <f>SUMIFS('сентябрь 2024'!$G$4:$G$2091,'сентябрь 2024'!$D$4:$D$2091,$B151,'сентябрь 2024'!$J$4:$J$2091,AB$1)</f>
        <v>0</v>
      </c>
      <c r="AC151" s="80">
        <f>SUMIFS('сентябрь 2024'!$G$4:$G$2091,'сентябрь 2024'!$D$4:$D$2091,$B151,'сентябрь 2024'!$J$4:$J$2091,AC$1)</f>
        <v>0</v>
      </c>
      <c r="AD151" s="80">
        <f>SUMIFS('сентябрь 2024'!$G$4:$G$2091,'сентябрь 2024'!$D$4:$D$2091,$B151,'сентябрь 2024'!$J$4:$J$2091,AD$1)</f>
        <v>0</v>
      </c>
      <c r="AE151" s="80">
        <f>SUMIFS('сентябрь 2024'!$G$4:$G$2091,'сентябрь 2024'!$D$4:$D$2091,$B151,'сентябрь 2024'!$J$4:$J$2091,AE$1)</f>
        <v>0</v>
      </c>
      <c r="AF151" s="80">
        <f>SUMIFS('сентябрь 2024'!$G$4:$G$2091,'сентябрь 2024'!$D$4:$D$2091,$B151,'сентябрь 2024'!$J$4:$J$2091,AF$1)</f>
        <v>0</v>
      </c>
      <c r="AG151" s="80">
        <f>SUMIFS('сентябрь 2024'!$G$4:$G$2091,'сентябрь 2024'!$D$4:$D$2091,$B151,'сентябрь 2024'!$J$4:$J$2091,AG$1)</f>
        <v>0</v>
      </c>
      <c r="AH151" s="80">
        <f>SUMIFS('сентябрь 2024'!$G$4:$G$2091,'сентябрь 2024'!$D$4:$D$2091,$B151,'сентябрь 2024'!$J$4:$J$2091,AH$1)</f>
        <v>0</v>
      </c>
      <c r="AI151" s="21">
        <f>SUM(D151:AH151)</f>
        <v>14</v>
      </c>
    </row>
    <row r="152" spans="2:35" ht="15" customHeight="1" x14ac:dyDescent="0.25">
      <c r="B152" s="89" t="s">
        <v>1705</v>
      </c>
      <c r="C152" s="88">
        <v>950</v>
      </c>
      <c r="D152" s="80">
        <f>SUMIFS('сентябрь 2024'!$G$4:$G$2091,'сентябрь 2024'!$D$4:$D$2091,$B152,'сентябрь 2024'!$J$4:$J$2091,D$1)</f>
        <v>0</v>
      </c>
      <c r="E152" s="80">
        <f>SUMIFS('сентябрь 2024'!$G$4:$G$2091,'сентябрь 2024'!$D$4:$D$2091,$B152,'сентябрь 2024'!$J$4:$J$2091,E$1)</f>
        <v>0</v>
      </c>
      <c r="F152" s="80">
        <f>SUMIFS('сентябрь 2024'!$G$4:$G$2091,'сентябрь 2024'!$D$4:$D$2091,$B152,'сентябрь 2024'!$J$4:$J$2091,F$1)</f>
        <v>0</v>
      </c>
      <c r="G152" s="80">
        <f>SUMIFS('сентябрь 2024'!$G$4:$G$2091,'сентябрь 2024'!$D$4:$D$2091,$B152,'сентябрь 2024'!$J$4:$J$2091,G$1)</f>
        <v>0</v>
      </c>
      <c r="H152" s="80">
        <f>SUMIFS('сентябрь 2024'!$G$4:$G$2091,'сентябрь 2024'!$D$4:$D$2091,$B152,'сентябрь 2024'!$J$4:$J$2091,H$1)</f>
        <v>0</v>
      </c>
      <c r="I152" s="80">
        <f>SUMIFS('сентябрь 2024'!$G$4:$G$2091,'сентябрь 2024'!$D$4:$D$2091,$B152,'сентябрь 2024'!$J$4:$J$2091,I$1)</f>
        <v>0</v>
      </c>
      <c r="J152" s="80">
        <f>SUMIFS('сентябрь 2024'!$G$4:$G$2091,'сентябрь 2024'!$D$4:$D$2091,$B152,'сентябрь 2024'!$J$4:$J$2091,J$1)</f>
        <v>0</v>
      </c>
      <c r="K152" s="80">
        <f>SUMIFS('сентябрь 2024'!$G$4:$G$2091,'сентябрь 2024'!$D$4:$D$2091,$B152,'сентябрь 2024'!$J$4:$J$2091,K$1)</f>
        <v>0</v>
      </c>
      <c r="L152" s="80">
        <f>SUMIFS('сентябрь 2024'!$G$4:$G$2091,'сентябрь 2024'!$D$4:$D$2091,$B152,'сентябрь 2024'!$J$4:$J$2091,L$1)</f>
        <v>0</v>
      </c>
      <c r="M152" s="80">
        <f>SUMIFS('сентябрь 2024'!$G$4:$G$2091,'сентябрь 2024'!$D$4:$D$2091,$B152,'сентябрь 2024'!$J$4:$J$2091,M$1)</f>
        <v>0</v>
      </c>
      <c r="N152" s="80">
        <f>SUMIFS('сентябрь 2024'!$G$4:$G$2091,'сентябрь 2024'!$D$4:$D$2091,$B152,'сентябрь 2024'!$J$4:$J$2091,N$1)</f>
        <v>0</v>
      </c>
      <c r="O152" s="80">
        <f>SUMIFS('сентябрь 2024'!$G$4:$G$2091,'сентябрь 2024'!$D$4:$D$2091,$B152,'сентябрь 2024'!$J$4:$J$2091,O$1)</f>
        <v>0</v>
      </c>
      <c r="P152" s="80">
        <f>SUMIFS('сентябрь 2024'!$G$4:$G$2091,'сентябрь 2024'!$D$4:$D$2091,$B152,'сентябрь 2024'!$J$4:$J$2091,P$1)</f>
        <v>0</v>
      </c>
      <c r="Q152" s="80">
        <f>SUMIFS('сентябрь 2024'!$G$4:$G$2091,'сентябрь 2024'!$D$4:$D$2091,$B152,'сентябрь 2024'!$J$4:$J$2091,Q$1)</f>
        <v>0</v>
      </c>
      <c r="R152" s="80">
        <f>SUMIFS('сентябрь 2024'!$G$4:$G$2091,'сентябрь 2024'!$D$4:$D$2091,$B152,'сентябрь 2024'!$J$4:$J$2091,R$1)</f>
        <v>0</v>
      </c>
      <c r="S152" s="80">
        <f>SUMIFS('сентябрь 2024'!$G$4:$G$2091,'сентябрь 2024'!$D$4:$D$2091,$B152,'сентябрь 2024'!$J$4:$J$2091,S$1)</f>
        <v>0</v>
      </c>
      <c r="T152" s="80">
        <f>SUMIFS('сентябрь 2024'!$G$4:$G$2091,'сентябрь 2024'!$D$4:$D$2091,$B152,'сентябрь 2024'!$J$4:$J$2091,T$1)</f>
        <v>0</v>
      </c>
      <c r="U152" s="80">
        <f>SUMIFS('сентябрь 2024'!$G$4:$G$2091,'сентябрь 2024'!$D$4:$D$2091,$B152,'сентябрь 2024'!$J$4:$J$2091,U$1)</f>
        <v>0</v>
      </c>
      <c r="V152" s="80">
        <f>SUMIFS('сентябрь 2024'!$G$4:$G$2091,'сентябрь 2024'!$D$4:$D$2091,$B152,'сентябрь 2024'!$J$4:$J$2091,V$1)</f>
        <v>0</v>
      </c>
      <c r="W152" s="80">
        <f>SUMIFS('сентябрь 2024'!$G$4:$G$2091,'сентябрь 2024'!$D$4:$D$2091,$B152,'сентябрь 2024'!$J$4:$J$2091,W$1)</f>
        <v>0</v>
      </c>
      <c r="X152" s="80">
        <f>SUMIFS('сентябрь 2024'!$G$4:$G$2091,'сентябрь 2024'!$D$4:$D$2091,$B152,'сентябрь 2024'!$J$4:$J$2091,X$1)</f>
        <v>0</v>
      </c>
      <c r="Y152" s="80">
        <f>SUMIFS('сентябрь 2024'!$G$4:$G$2091,'сентябрь 2024'!$D$4:$D$2091,$B152,'сентябрь 2024'!$J$4:$J$2091,Y$1)</f>
        <v>0</v>
      </c>
      <c r="Z152" s="80">
        <f>SUMIFS('сентябрь 2024'!$G$4:$G$2091,'сентябрь 2024'!$D$4:$D$2091,$B152,'сентябрь 2024'!$J$4:$J$2091,Z$1)</f>
        <v>0</v>
      </c>
      <c r="AA152" s="80">
        <f>SUMIFS('сентябрь 2024'!$G$4:$G$2091,'сентябрь 2024'!$D$4:$D$2091,$B152,'сентябрь 2024'!$J$4:$J$2091,AA$1)</f>
        <v>0</v>
      </c>
      <c r="AB152" s="80">
        <f>SUMIFS('сентябрь 2024'!$G$4:$G$2091,'сентябрь 2024'!$D$4:$D$2091,$B152,'сентябрь 2024'!$J$4:$J$2091,AB$1)</f>
        <v>0</v>
      </c>
      <c r="AC152" s="80">
        <f>SUMIFS('сентябрь 2024'!$G$4:$G$2091,'сентябрь 2024'!$D$4:$D$2091,$B152,'сентябрь 2024'!$J$4:$J$2091,AC$1)</f>
        <v>0</v>
      </c>
      <c r="AD152" s="80">
        <f>SUMIFS('сентябрь 2024'!$G$4:$G$2091,'сентябрь 2024'!$D$4:$D$2091,$B152,'сентябрь 2024'!$J$4:$J$2091,AD$1)</f>
        <v>0</v>
      </c>
      <c r="AE152" s="80">
        <f>SUMIFS('сентябрь 2024'!$G$4:$G$2091,'сентябрь 2024'!$D$4:$D$2091,$B152,'сентябрь 2024'!$J$4:$J$2091,AE$1)</f>
        <v>0</v>
      </c>
      <c r="AF152" s="80">
        <f>SUMIFS('сентябрь 2024'!$G$4:$G$2091,'сентябрь 2024'!$D$4:$D$2091,$B152,'сентябрь 2024'!$J$4:$J$2091,AF$1)</f>
        <v>0</v>
      </c>
      <c r="AG152" s="80">
        <f>SUMIFS('сентябрь 2024'!$G$4:$G$2091,'сентябрь 2024'!$D$4:$D$2091,$B152,'сентябрь 2024'!$J$4:$J$2091,AG$1)</f>
        <v>20</v>
      </c>
      <c r="AH152" s="80">
        <f>SUMIFS('сентябрь 2024'!$G$4:$G$2091,'сентябрь 2024'!$D$4:$D$2091,$B152,'сентябрь 2024'!$J$4:$J$2091,AH$1)</f>
        <v>0</v>
      </c>
      <c r="AI152" s="21">
        <f t="shared" ref="AI152:AI153" si="3">SUM(D152:AH152)</f>
        <v>20</v>
      </c>
    </row>
    <row r="153" spans="2:35" ht="15" customHeight="1" x14ac:dyDescent="0.25">
      <c r="B153" s="89" t="s">
        <v>1587</v>
      </c>
      <c r="C153" s="88">
        <v>200</v>
      </c>
      <c r="D153" s="80">
        <f>SUMIFS('сентябрь 2024'!$G$4:$G$2091,'сентябрь 2024'!$D$4:$D$2091,$B153,'сентябрь 2024'!$J$4:$J$2091,D$1)</f>
        <v>0</v>
      </c>
      <c r="E153" s="80">
        <f>SUMIFS('сентябрь 2024'!$G$4:$G$2091,'сентябрь 2024'!$D$4:$D$2091,$B153,'сентябрь 2024'!$J$4:$J$2091,E$1)</f>
        <v>0</v>
      </c>
      <c r="F153" s="80">
        <f>SUMIFS('сентябрь 2024'!$G$4:$G$2091,'сентябрь 2024'!$D$4:$D$2091,$B153,'сентябрь 2024'!$J$4:$J$2091,F$1)</f>
        <v>0</v>
      </c>
      <c r="G153" s="80">
        <f>SUMIFS('сентябрь 2024'!$G$4:$G$2091,'сентябрь 2024'!$D$4:$D$2091,$B153,'сентябрь 2024'!$J$4:$J$2091,G$1)</f>
        <v>0</v>
      </c>
      <c r="H153" s="80">
        <f>SUMIFS('сентябрь 2024'!$G$4:$G$2091,'сентябрь 2024'!$D$4:$D$2091,$B153,'сентябрь 2024'!$J$4:$J$2091,H$1)</f>
        <v>0</v>
      </c>
      <c r="I153" s="80">
        <f>SUMIFS('сентябрь 2024'!$G$4:$G$2091,'сентябрь 2024'!$D$4:$D$2091,$B153,'сентябрь 2024'!$J$4:$J$2091,I$1)</f>
        <v>0</v>
      </c>
      <c r="J153" s="80">
        <f>SUMIFS('сентябрь 2024'!$G$4:$G$2091,'сентябрь 2024'!$D$4:$D$2091,$B153,'сентябрь 2024'!$J$4:$J$2091,J$1)</f>
        <v>0</v>
      </c>
      <c r="K153" s="80">
        <f>SUMIFS('сентябрь 2024'!$G$4:$G$2091,'сентябрь 2024'!$D$4:$D$2091,$B153,'сентябрь 2024'!$J$4:$J$2091,K$1)</f>
        <v>0</v>
      </c>
      <c r="L153" s="80">
        <f>SUMIFS('сентябрь 2024'!$G$4:$G$2091,'сентябрь 2024'!$D$4:$D$2091,$B153,'сентябрь 2024'!$J$4:$J$2091,L$1)</f>
        <v>0</v>
      </c>
      <c r="M153" s="80">
        <f>SUMIFS('сентябрь 2024'!$G$4:$G$2091,'сентябрь 2024'!$D$4:$D$2091,$B153,'сентябрь 2024'!$J$4:$J$2091,M$1)</f>
        <v>0</v>
      </c>
      <c r="N153" s="80">
        <f>SUMIFS('сентябрь 2024'!$G$4:$G$2091,'сентябрь 2024'!$D$4:$D$2091,$B153,'сентябрь 2024'!$J$4:$J$2091,N$1)</f>
        <v>0</v>
      </c>
      <c r="O153" s="80">
        <f>SUMIFS('сентябрь 2024'!$G$4:$G$2091,'сентябрь 2024'!$D$4:$D$2091,$B153,'сентябрь 2024'!$J$4:$J$2091,O$1)</f>
        <v>0</v>
      </c>
      <c r="P153" s="80">
        <f>SUMIFS('сентябрь 2024'!$G$4:$G$2091,'сентябрь 2024'!$D$4:$D$2091,$B153,'сентябрь 2024'!$J$4:$J$2091,P$1)</f>
        <v>0</v>
      </c>
      <c r="Q153" s="80">
        <f>SUMIFS('сентябрь 2024'!$G$4:$G$2091,'сентябрь 2024'!$D$4:$D$2091,$B153,'сентябрь 2024'!$J$4:$J$2091,Q$1)</f>
        <v>0</v>
      </c>
      <c r="R153" s="80">
        <f>SUMIFS('сентябрь 2024'!$G$4:$G$2091,'сентябрь 2024'!$D$4:$D$2091,$B153,'сентябрь 2024'!$J$4:$J$2091,R$1)</f>
        <v>0</v>
      </c>
      <c r="S153" s="80">
        <f>SUMIFS('сентябрь 2024'!$G$4:$G$2091,'сентябрь 2024'!$D$4:$D$2091,$B153,'сентябрь 2024'!$J$4:$J$2091,S$1)</f>
        <v>0</v>
      </c>
      <c r="T153" s="80">
        <f>SUMIFS('сентябрь 2024'!$G$4:$G$2091,'сентябрь 2024'!$D$4:$D$2091,$B153,'сентябрь 2024'!$J$4:$J$2091,T$1)</f>
        <v>0</v>
      </c>
      <c r="U153" s="80">
        <f>SUMIFS('сентябрь 2024'!$G$4:$G$2091,'сентябрь 2024'!$D$4:$D$2091,$B153,'сентябрь 2024'!$J$4:$J$2091,U$1)</f>
        <v>0</v>
      </c>
      <c r="V153" s="80">
        <f>SUMIFS('сентябрь 2024'!$G$4:$G$2091,'сентябрь 2024'!$D$4:$D$2091,$B153,'сентябрь 2024'!$J$4:$J$2091,V$1)</f>
        <v>0</v>
      </c>
      <c r="W153" s="80">
        <f>SUMIFS('сентябрь 2024'!$G$4:$G$2091,'сентябрь 2024'!$D$4:$D$2091,$B153,'сентябрь 2024'!$J$4:$J$2091,W$1)</f>
        <v>0</v>
      </c>
      <c r="X153" s="80">
        <f>SUMIFS('сентябрь 2024'!$G$4:$G$2091,'сентябрь 2024'!$D$4:$D$2091,$B153,'сентябрь 2024'!$J$4:$J$2091,X$1)</f>
        <v>0</v>
      </c>
      <c r="Y153" s="80">
        <f>SUMIFS('сентябрь 2024'!$G$4:$G$2091,'сентябрь 2024'!$D$4:$D$2091,$B153,'сентябрь 2024'!$J$4:$J$2091,Y$1)</f>
        <v>0</v>
      </c>
      <c r="Z153" s="80">
        <f>SUMIFS('сентябрь 2024'!$G$4:$G$2091,'сентябрь 2024'!$D$4:$D$2091,$B153,'сентябрь 2024'!$J$4:$J$2091,Z$1)</f>
        <v>0</v>
      </c>
      <c r="AA153" s="80">
        <f>SUMIFS('сентябрь 2024'!$G$4:$G$2091,'сентябрь 2024'!$D$4:$D$2091,$B153,'сентябрь 2024'!$J$4:$J$2091,AA$1)</f>
        <v>0</v>
      </c>
      <c r="AB153" s="80">
        <f>SUMIFS('сентябрь 2024'!$G$4:$G$2091,'сентябрь 2024'!$D$4:$D$2091,$B153,'сентябрь 2024'!$J$4:$J$2091,AB$1)</f>
        <v>0</v>
      </c>
      <c r="AC153" s="80">
        <f>SUMIFS('сентябрь 2024'!$G$4:$G$2091,'сентябрь 2024'!$D$4:$D$2091,$B153,'сентябрь 2024'!$J$4:$J$2091,AC$1)</f>
        <v>0</v>
      </c>
      <c r="AD153" s="80">
        <f>SUMIFS('сентябрь 2024'!$G$4:$G$2091,'сентябрь 2024'!$D$4:$D$2091,$B153,'сентябрь 2024'!$J$4:$J$2091,AD$1)</f>
        <v>0</v>
      </c>
      <c r="AE153" s="80">
        <f>SUMIFS('сентябрь 2024'!$G$4:$G$2091,'сентябрь 2024'!$D$4:$D$2091,$B153,'сентябрь 2024'!$J$4:$J$2091,AE$1)</f>
        <v>0</v>
      </c>
      <c r="AF153" s="80">
        <f>SUMIFS('сентябрь 2024'!$G$4:$G$2091,'сентябрь 2024'!$D$4:$D$2091,$B153,'сентябрь 2024'!$J$4:$J$2091,AF$1)</f>
        <v>0</v>
      </c>
      <c r="AG153" s="80">
        <f>SUMIFS('сентябрь 2024'!$G$4:$G$2091,'сентябрь 2024'!$D$4:$D$2091,$B153,'сентябрь 2024'!$J$4:$J$2091,AG$1)</f>
        <v>0</v>
      </c>
      <c r="AH153" s="80">
        <f>SUMIFS('сентябрь 2024'!$G$4:$G$2091,'сентябрь 2024'!$D$4:$D$2091,$B153,'сентябрь 2024'!$J$4:$J$2091,AH$1)</f>
        <v>0</v>
      </c>
      <c r="AI153" s="21">
        <f t="shared" si="3"/>
        <v>0</v>
      </c>
    </row>
    <row r="154" spans="2:35" ht="15" customHeight="1" x14ac:dyDescent="0.25">
      <c r="B154" s="89"/>
      <c r="C154" s="88"/>
      <c r="D154" s="80">
        <f>SUMIFS('сентябрь 2024'!$G$4:$G$2091,'сентябрь 2024'!$D$4:$D$2091,$B154,'сентябрь 2024'!$J$4:$J$2091,D$1)</f>
        <v>0</v>
      </c>
      <c r="E154" s="80">
        <f>SUMIFS('сентябрь 2024'!$G$4:$G$2091,'сентябрь 2024'!$D$4:$D$2091,$B154,'сентябрь 2024'!$J$4:$J$2091,E$1)</f>
        <v>0</v>
      </c>
      <c r="F154" s="80">
        <f>SUMIFS('сентябрь 2024'!$G$4:$G$2091,'сентябрь 2024'!$D$4:$D$2091,$B154,'сентябрь 2024'!$J$4:$J$2091,F$1)</f>
        <v>0</v>
      </c>
      <c r="G154" s="80">
        <f>SUMIFS('сентябрь 2024'!$G$4:$G$2091,'сентябрь 2024'!$D$4:$D$2091,$B154,'сентябрь 2024'!$J$4:$J$2091,G$1)</f>
        <v>0</v>
      </c>
      <c r="H154" s="80">
        <f>SUMIFS('сентябрь 2024'!$G$4:$G$2091,'сентябрь 2024'!$D$4:$D$2091,$B154,'сентябрь 2024'!$J$4:$J$2091,H$1)</f>
        <v>0</v>
      </c>
      <c r="I154" s="80">
        <f>SUMIFS('сентябрь 2024'!$G$4:$G$2091,'сентябрь 2024'!$D$4:$D$2091,$B154,'сентябрь 2024'!$J$4:$J$2091,I$1)</f>
        <v>0</v>
      </c>
      <c r="J154" s="80">
        <f>SUMIFS('сентябрь 2024'!$G$4:$G$2091,'сентябрь 2024'!$D$4:$D$2091,$B154,'сентябрь 2024'!$J$4:$J$2091,J$1)</f>
        <v>0</v>
      </c>
      <c r="K154" s="80">
        <f>SUMIFS('сентябрь 2024'!$G$4:$G$2091,'сентябрь 2024'!$D$4:$D$2091,$B154,'сентябрь 2024'!$J$4:$J$2091,K$1)</f>
        <v>0</v>
      </c>
      <c r="L154" s="80">
        <f>SUMIFS('сентябрь 2024'!$G$4:$G$2091,'сентябрь 2024'!$D$4:$D$2091,$B154,'сентябрь 2024'!$J$4:$J$2091,L$1)</f>
        <v>0</v>
      </c>
      <c r="M154" s="80">
        <f>SUMIFS('сентябрь 2024'!$G$4:$G$2091,'сентябрь 2024'!$D$4:$D$2091,$B154,'сентябрь 2024'!$J$4:$J$2091,M$1)</f>
        <v>0</v>
      </c>
      <c r="N154" s="80">
        <f>SUMIFS('сентябрь 2024'!$G$4:$G$2091,'сентябрь 2024'!$D$4:$D$2091,$B154,'сентябрь 2024'!$J$4:$J$2091,N$1)</f>
        <v>0</v>
      </c>
      <c r="O154" s="80">
        <f>SUMIFS('сентябрь 2024'!$G$4:$G$2091,'сентябрь 2024'!$D$4:$D$2091,$B154,'сентябрь 2024'!$J$4:$J$2091,O$1)</f>
        <v>0</v>
      </c>
      <c r="P154" s="80">
        <f>SUMIFS('сентябрь 2024'!$G$4:$G$2091,'сентябрь 2024'!$D$4:$D$2091,$B154,'сентябрь 2024'!$J$4:$J$2091,P$1)</f>
        <v>0</v>
      </c>
      <c r="Q154" s="80">
        <f>SUMIFS('сентябрь 2024'!$G$4:$G$2091,'сентябрь 2024'!$D$4:$D$2091,$B154,'сентябрь 2024'!$J$4:$J$2091,Q$1)</f>
        <v>0</v>
      </c>
      <c r="R154" s="80">
        <f>SUMIFS('сентябрь 2024'!$G$4:$G$2091,'сентябрь 2024'!$D$4:$D$2091,$B154,'сентябрь 2024'!$J$4:$J$2091,R$1)</f>
        <v>0</v>
      </c>
      <c r="S154" s="80">
        <f>SUMIFS('сентябрь 2024'!$G$4:$G$2091,'сентябрь 2024'!$D$4:$D$2091,$B154,'сентябрь 2024'!$J$4:$J$2091,S$1)</f>
        <v>0</v>
      </c>
      <c r="T154" s="80">
        <f>SUMIFS('сентябрь 2024'!$G$4:$G$2091,'сентябрь 2024'!$D$4:$D$2091,$B154,'сентябрь 2024'!$J$4:$J$2091,T$1)</f>
        <v>0</v>
      </c>
      <c r="U154" s="80">
        <f>SUMIFS('сентябрь 2024'!$G$4:$G$2091,'сентябрь 2024'!$D$4:$D$2091,$B154,'сентябрь 2024'!$J$4:$J$2091,U$1)</f>
        <v>0</v>
      </c>
      <c r="V154" s="80">
        <f>SUMIFS('сентябрь 2024'!$G$4:$G$2091,'сентябрь 2024'!$D$4:$D$2091,$B154,'сентябрь 2024'!$J$4:$J$2091,V$1)</f>
        <v>0</v>
      </c>
      <c r="W154" s="80">
        <f>SUMIFS('сентябрь 2024'!$G$4:$G$2091,'сентябрь 2024'!$D$4:$D$2091,$B154,'сентябрь 2024'!$J$4:$J$2091,W$1)</f>
        <v>0</v>
      </c>
      <c r="X154" s="80">
        <f>SUMIFS('сентябрь 2024'!$G$4:$G$2091,'сентябрь 2024'!$D$4:$D$2091,$B154,'сентябрь 2024'!$J$4:$J$2091,X$1)</f>
        <v>0</v>
      </c>
      <c r="Y154" s="80">
        <f>SUMIFS('сентябрь 2024'!$G$4:$G$2091,'сентябрь 2024'!$D$4:$D$2091,$B154,'сентябрь 2024'!$J$4:$J$2091,Y$1)</f>
        <v>0</v>
      </c>
      <c r="Z154" s="80">
        <f>SUMIFS('сентябрь 2024'!$G$4:$G$2091,'сентябрь 2024'!$D$4:$D$2091,$B154,'сентябрь 2024'!$J$4:$J$2091,Z$1)</f>
        <v>0</v>
      </c>
      <c r="AA154" s="80">
        <f>SUMIFS('сентябрь 2024'!$G$4:$G$2091,'сентябрь 2024'!$D$4:$D$2091,$B154,'сентябрь 2024'!$J$4:$J$2091,AA$1)</f>
        <v>0</v>
      </c>
      <c r="AB154" s="80">
        <f>SUMIFS('сентябрь 2024'!$G$4:$G$2091,'сентябрь 2024'!$D$4:$D$2091,$B154,'сентябрь 2024'!$J$4:$J$2091,AB$1)</f>
        <v>0</v>
      </c>
      <c r="AC154" s="80">
        <f>SUMIFS('сентябрь 2024'!$G$4:$G$2091,'сентябрь 2024'!$D$4:$D$2091,$B154,'сентябрь 2024'!$J$4:$J$2091,AC$1)</f>
        <v>0</v>
      </c>
      <c r="AD154" s="80">
        <f>SUMIFS('сентябрь 2024'!$G$4:$G$2091,'сентябрь 2024'!$D$4:$D$2091,$B154,'сентябрь 2024'!$J$4:$J$2091,AD$1)</f>
        <v>0</v>
      </c>
      <c r="AE154" s="80">
        <f>SUMIFS('сентябрь 2024'!$G$4:$G$2091,'сентябрь 2024'!$D$4:$D$2091,$B154,'сентябрь 2024'!$J$4:$J$2091,AE$1)</f>
        <v>0</v>
      </c>
      <c r="AF154" s="80">
        <f>SUMIFS('сентябрь 2024'!$G$4:$G$2091,'сентябрь 2024'!$D$4:$D$2091,$B154,'сентябрь 2024'!$J$4:$J$2091,AF$1)</f>
        <v>0</v>
      </c>
      <c r="AG154" s="80">
        <f>SUMIFS('сентябрь 2024'!$G$4:$G$2091,'сентябрь 2024'!$D$4:$D$2091,$B154,'сентябрь 2024'!$J$4:$J$2091,AG$1)</f>
        <v>0</v>
      </c>
      <c r="AH154" s="80">
        <f>SUMIFS('сентябрь 2024'!$G$4:$G$2091,'сентябрь 2024'!$D$4:$D$2091,$B154,'сентябрь 2024'!$J$4:$J$2091,AH$1)</f>
        <v>0</v>
      </c>
      <c r="AI154" s="21">
        <f>SUM(D154:AH154)</f>
        <v>0</v>
      </c>
    </row>
    <row r="155" spans="2:35" ht="15" hidden="1" customHeight="1" x14ac:dyDescent="0.25">
      <c r="B155" s="89"/>
      <c r="C155" s="88"/>
      <c r="D155" s="80">
        <f>SUMIFS('февраль 2024'!$G$6:$G$1413,'февраль 2024'!$D$6:$D$1413,$B155,'февраль 2024'!$J$6:$J$1413,D$1)</f>
        <v>0</v>
      </c>
      <c r="E155" s="80">
        <f>SUMIFS('февраль 2024'!$G$6:$G$1413,'февраль 2024'!$D$6:$D$1413,$B155,'февраль 2024'!$J$6:$J$1413,E$1)</f>
        <v>0</v>
      </c>
      <c r="F155" s="80">
        <f>SUMIFS('февраль 2024'!$G$6:$G$1413,'февраль 2024'!$D$6:$D$1413,$B155,'февраль 2024'!$J$6:$J$1413,F$1)</f>
        <v>0</v>
      </c>
      <c r="G155" s="80">
        <f>SUMIFS('февраль 2024'!$G$6:$G$1413,'февраль 2024'!$D$6:$D$1413,$B155,'февраль 2024'!$J$6:$J$1413,G$1)</f>
        <v>0</v>
      </c>
      <c r="H155" s="80">
        <f>SUMIFS('февраль 2024'!$G$6:$G$1413,'февраль 2024'!$D$6:$D$1413,$B155,'февраль 2024'!$J$6:$J$1413,H$1)</f>
        <v>0</v>
      </c>
      <c r="I155" s="80">
        <f>SUMIFS('февраль 2024'!$G$6:$G$1413,'февраль 2024'!$D$6:$D$1413,$B155,'февраль 2024'!$J$6:$J$1413,I$1)</f>
        <v>0</v>
      </c>
      <c r="J155" s="80">
        <f>SUMIFS('февраль 2024'!$G$6:$G$1413,'февраль 2024'!$D$6:$D$1413,$B155,'февраль 2024'!$J$6:$J$1413,J$1)</f>
        <v>0</v>
      </c>
      <c r="K155" s="80">
        <f>SUMIFS('февраль 2024'!$G$6:$G$1413,'февраль 2024'!$D$6:$D$1413,$B155,'февраль 2024'!$J$6:$J$1413,K$1)</f>
        <v>0</v>
      </c>
      <c r="L155" s="80">
        <f>SUMIFS('февраль 2024'!$G$6:$G$1413,'февраль 2024'!$D$6:$D$1413,$B155,'февраль 2024'!$J$6:$J$1413,L$1)</f>
        <v>0</v>
      </c>
      <c r="M155" s="80">
        <f>SUMIFS('февраль 2024'!$G$6:$G$1413,'февраль 2024'!$D$6:$D$1413,$B155,'февраль 2024'!$J$6:$J$1413,M$1)</f>
        <v>0</v>
      </c>
      <c r="N155" s="80">
        <f>SUMIFS('февраль 2024'!$G$6:$G$1413,'февраль 2024'!$D$6:$D$1413,$B155,'февраль 2024'!$J$6:$J$1413,N$1)</f>
        <v>0</v>
      </c>
      <c r="O155" s="80">
        <f>SUMIFS('февраль 2024'!$G$6:$G$1413,'февраль 2024'!$D$6:$D$1413,$B155,'февраль 2024'!$J$6:$J$1413,O$1)</f>
        <v>0</v>
      </c>
      <c r="P155" s="80">
        <f>SUMIFS('февраль 2024'!$G$6:$G$1413,'февраль 2024'!$D$6:$D$1413,$B155,'февраль 2024'!$J$6:$J$1413,P$1)</f>
        <v>0</v>
      </c>
      <c r="Q155" s="80">
        <f>SUMIFS('февраль 2024'!$G$6:$G$1413,'февраль 2024'!$D$6:$D$1413,$B155,'февраль 2024'!$J$6:$J$1413,Q$1)</f>
        <v>0</v>
      </c>
      <c r="R155" s="80">
        <f>SUMIFS('февраль 2024'!$G$6:$G$1413,'февраль 2024'!$D$6:$D$1413,$B155,'февраль 2024'!$J$6:$J$1413,R$1)</f>
        <v>0</v>
      </c>
      <c r="S155" s="80">
        <f>SUMIFS('февраль 2024'!$G$6:$G$1413,'февраль 2024'!$D$6:$D$1413,$B155,'февраль 2024'!$J$6:$J$1413,S$1)</f>
        <v>0</v>
      </c>
      <c r="T155" s="80">
        <f>SUMIFS('февраль 2024'!$G$6:$G$1413,'февраль 2024'!$D$6:$D$1413,$B155,'февраль 2024'!$J$6:$J$1413,T$1)</f>
        <v>0</v>
      </c>
      <c r="U155" s="80">
        <f>SUMIFS('февраль 2024'!$G$6:$G$1413,'февраль 2024'!$D$6:$D$1413,$B155,'февраль 2024'!$J$6:$J$1413,U$1)</f>
        <v>0</v>
      </c>
      <c r="V155" s="80">
        <f>SUMIFS('февраль 2024'!$G$6:$G$1413,'февраль 2024'!$D$6:$D$1413,$B155,'февраль 2024'!$J$6:$J$1413,V$1)</f>
        <v>0</v>
      </c>
      <c r="W155" s="80">
        <f>SUMIFS('февраль 2024'!$G$6:$G$1413,'февраль 2024'!$D$6:$D$1413,$B155,'февраль 2024'!$J$6:$J$1413,W$1)</f>
        <v>0</v>
      </c>
      <c r="X155" s="80">
        <f>SUMIFS('февраль 2024'!$G$6:$G$1413,'февраль 2024'!$D$6:$D$1413,$B155,'февраль 2024'!$J$6:$J$1413,X$1)</f>
        <v>0</v>
      </c>
      <c r="Y155" s="80">
        <f>SUMIFS('февраль 2024'!$G$6:$G$1413,'февраль 2024'!$D$6:$D$1413,$B155,'февраль 2024'!$J$6:$J$1413,Y$1)</f>
        <v>0</v>
      </c>
      <c r="Z155" s="80">
        <f>SUMIFS('февраль 2024'!$G$6:$G$1413,'февраль 2024'!$D$6:$D$1413,$B155,'февраль 2024'!$J$6:$J$1413,Z$1)</f>
        <v>0</v>
      </c>
      <c r="AA155" s="80">
        <f>SUMIFS('февраль 2024'!$G$6:$G$1413,'февраль 2024'!$D$6:$D$1413,$B155,'февраль 2024'!$J$6:$J$1413,AA$1)</f>
        <v>0</v>
      </c>
      <c r="AB155" s="80">
        <f>SUMIFS('февраль 2024'!$G$6:$G$1413,'февраль 2024'!$D$6:$D$1413,$B155,'февраль 2024'!$J$6:$J$1413,AB$1)</f>
        <v>0</v>
      </c>
      <c r="AC155" s="80">
        <f>SUMIFS('февраль 2024'!$G$6:$G$1413,'февраль 2024'!$D$6:$D$1413,$B155,'февраль 2024'!$J$6:$J$1413,AC$1)</f>
        <v>0</v>
      </c>
      <c r="AD155" s="80">
        <f>SUMIFS('февраль 2024'!$G$6:$G$1413,'февраль 2024'!$D$6:$D$1413,$B155,'февраль 2024'!$J$6:$J$1413,AD$1)</f>
        <v>0</v>
      </c>
      <c r="AE155" s="80">
        <f>SUMIFS('февраль 2024'!$G$6:$G$1413,'февраль 2024'!$D$6:$D$1413,$B155,'февраль 2024'!$J$6:$J$1413,AE$1)</f>
        <v>0</v>
      </c>
      <c r="AF155" s="80">
        <f>SUMIFS('февраль 2024'!$G$6:$G$1413,'февраль 2024'!$D$6:$D$1413,$B155,'февраль 2024'!$J$6:$J$1413,AF$1)</f>
        <v>0</v>
      </c>
      <c r="AG155" s="80">
        <f>SUMIFS('февраль 2024'!$G$6:$G$1413,'февраль 2024'!$D$6:$D$1413,$B155,'февраль 2024'!$J$6:$J$1413,AG$1)</f>
        <v>0</v>
      </c>
      <c r="AH155" s="80">
        <f>SUMIFS('февраль 2024'!$G$6:$G$1413,'февраль 2024'!$D$6:$D$1413,$B155,'февраль 2024'!$J$6:$J$1413,AH$1)</f>
        <v>0</v>
      </c>
      <c r="AI155" s="87"/>
    </row>
    <row r="156" spans="2:35" ht="15" hidden="1" customHeight="1" x14ac:dyDescent="0.25">
      <c r="B156" s="89"/>
      <c r="C156" s="88"/>
      <c r="D156" s="80">
        <f>SUMIFS('февраль 2024'!$G$6:$G$1413,'февраль 2024'!$D$6:$D$1413,$B156,'февраль 2024'!$J$6:$J$1413,D$1)</f>
        <v>0</v>
      </c>
      <c r="E156" s="80">
        <f>SUMIFS('февраль 2024'!$G$6:$G$1413,'февраль 2024'!$D$6:$D$1413,$B156,'февраль 2024'!$J$6:$J$1413,E$1)</f>
        <v>0</v>
      </c>
      <c r="F156" s="80">
        <f>SUMIFS('февраль 2024'!$G$6:$G$1413,'февраль 2024'!$D$6:$D$1413,$B156,'февраль 2024'!$J$6:$J$1413,F$1)</f>
        <v>0</v>
      </c>
      <c r="G156" s="80">
        <f>SUMIFS('февраль 2024'!$G$6:$G$1413,'февраль 2024'!$D$6:$D$1413,$B156,'февраль 2024'!$J$6:$J$1413,G$1)</f>
        <v>0</v>
      </c>
      <c r="H156" s="80">
        <f>SUMIFS('февраль 2024'!$G$6:$G$1413,'февраль 2024'!$D$6:$D$1413,$B156,'февраль 2024'!$J$6:$J$1413,H$1)</f>
        <v>0</v>
      </c>
      <c r="I156" s="80">
        <f>SUMIFS('февраль 2024'!$G$6:$G$1413,'февраль 2024'!$D$6:$D$1413,$B156,'февраль 2024'!$J$6:$J$1413,I$1)</f>
        <v>0</v>
      </c>
      <c r="J156" s="80">
        <f>SUMIFS('февраль 2024'!$G$6:$G$1413,'февраль 2024'!$D$6:$D$1413,$B156,'февраль 2024'!$J$6:$J$1413,J$1)</f>
        <v>0</v>
      </c>
      <c r="K156" s="80">
        <f>SUMIFS('февраль 2024'!$G$6:$G$1413,'февраль 2024'!$D$6:$D$1413,$B156,'февраль 2024'!$J$6:$J$1413,K$1)</f>
        <v>0</v>
      </c>
      <c r="L156" s="80">
        <f>SUMIFS('февраль 2024'!$G$6:$G$1413,'февраль 2024'!$D$6:$D$1413,$B156,'февраль 2024'!$J$6:$J$1413,L$1)</f>
        <v>0</v>
      </c>
      <c r="M156" s="80">
        <f>SUMIFS('февраль 2024'!$G$6:$G$1413,'февраль 2024'!$D$6:$D$1413,$B156,'февраль 2024'!$J$6:$J$1413,M$1)</f>
        <v>0</v>
      </c>
      <c r="N156" s="80">
        <f>SUMIFS('февраль 2024'!$G$6:$G$1413,'февраль 2024'!$D$6:$D$1413,$B156,'февраль 2024'!$J$6:$J$1413,N$1)</f>
        <v>0</v>
      </c>
      <c r="O156" s="80">
        <f>SUMIFS('февраль 2024'!$G$6:$G$1413,'февраль 2024'!$D$6:$D$1413,$B156,'февраль 2024'!$J$6:$J$1413,O$1)</f>
        <v>0</v>
      </c>
      <c r="P156" s="80">
        <f>SUMIFS('февраль 2024'!$G$6:$G$1413,'февраль 2024'!$D$6:$D$1413,$B156,'февраль 2024'!$J$6:$J$1413,P$1)</f>
        <v>0</v>
      </c>
      <c r="Q156" s="80">
        <f>SUMIFS('февраль 2024'!$G$6:$G$1413,'февраль 2024'!$D$6:$D$1413,$B156,'февраль 2024'!$J$6:$J$1413,Q$1)</f>
        <v>0</v>
      </c>
      <c r="R156" s="80">
        <f>SUMIFS('февраль 2024'!$G$6:$G$1413,'февраль 2024'!$D$6:$D$1413,$B156,'февраль 2024'!$J$6:$J$1413,R$1)</f>
        <v>0</v>
      </c>
      <c r="S156" s="80">
        <f>SUMIFS('февраль 2024'!$G$6:$G$1413,'февраль 2024'!$D$6:$D$1413,$B156,'февраль 2024'!$J$6:$J$1413,S$1)</f>
        <v>0</v>
      </c>
      <c r="T156" s="80">
        <f>SUMIFS('февраль 2024'!$G$6:$G$1413,'февраль 2024'!$D$6:$D$1413,$B156,'февраль 2024'!$J$6:$J$1413,T$1)</f>
        <v>0</v>
      </c>
      <c r="U156" s="80">
        <f>SUMIFS('февраль 2024'!$G$6:$G$1413,'февраль 2024'!$D$6:$D$1413,$B156,'февраль 2024'!$J$6:$J$1413,U$1)</f>
        <v>0</v>
      </c>
      <c r="V156" s="80">
        <f>SUMIFS('февраль 2024'!$G$6:$G$1413,'февраль 2024'!$D$6:$D$1413,$B156,'февраль 2024'!$J$6:$J$1413,V$1)</f>
        <v>0</v>
      </c>
      <c r="W156" s="80">
        <f>SUMIFS('февраль 2024'!$G$6:$G$1413,'февраль 2024'!$D$6:$D$1413,$B156,'февраль 2024'!$J$6:$J$1413,W$1)</f>
        <v>0</v>
      </c>
      <c r="X156" s="80">
        <f>SUMIFS('февраль 2024'!$G$6:$G$1413,'февраль 2024'!$D$6:$D$1413,$B156,'февраль 2024'!$J$6:$J$1413,X$1)</f>
        <v>0</v>
      </c>
      <c r="Y156" s="80">
        <f>SUMIFS('февраль 2024'!$G$6:$G$1413,'февраль 2024'!$D$6:$D$1413,$B156,'февраль 2024'!$J$6:$J$1413,Y$1)</f>
        <v>0</v>
      </c>
      <c r="Z156" s="80">
        <f>SUMIFS('февраль 2024'!$G$6:$G$1413,'февраль 2024'!$D$6:$D$1413,$B156,'февраль 2024'!$J$6:$J$1413,Z$1)</f>
        <v>0</v>
      </c>
      <c r="AA156" s="80">
        <f>SUMIFS('февраль 2024'!$G$6:$G$1413,'февраль 2024'!$D$6:$D$1413,$B156,'февраль 2024'!$J$6:$J$1413,AA$1)</f>
        <v>0</v>
      </c>
      <c r="AB156" s="80">
        <f>SUMIFS('февраль 2024'!$G$6:$G$1413,'февраль 2024'!$D$6:$D$1413,$B156,'февраль 2024'!$J$6:$J$1413,AB$1)</f>
        <v>0</v>
      </c>
      <c r="AC156" s="80">
        <f>SUMIFS('февраль 2024'!$G$6:$G$1413,'февраль 2024'!$D$6:$D$1413,$B156,'февраль 2024'!$J$6:$J$1413,AC$1)</f>
        <v>0</v>
      </c>
      <c r="AD156" s="80">
        <f>SUMIFS('февраль 2024'!$G$6:$G$1413,'февраль 2024'!$D$6:$D$1413,$B156,'февраль 2024'!$J$6:$J$1413,AD$1)</f>
        <v>0</v>
      </c>
      <c r="AE156" s="80">
        <f>SUMIFS('февраль 2024'!$G$6:$G$1413,'февраль 2024'!$D$6:$D$1413,$B156,'февраль 2024'!$J$6:$J$1413,AE$1)</f>
        <v>0</v>
      </c>
      <c r="AF156" s="80">
        <f>SUMIFS('февраль 2024'!$G$6:$G$1413,'февраль 2024'!$D$6:$D$1413,$B156,'февраль 2024'!$J$6:$J$1413,AF$1)</f>
        <v>0</v>
      </c>
      <c r="AG156" s="80">
        <f>SUMIFS('февраль 2024'!$G$6:$G$1413,'февраль 2024'!$D$6:$D$1413,$B156,'февраль 2024'!$J$6:$J$1413,AG$1)</f>
        <v>0</v>
      </c>
      <c r="AH156" s="80">
        <f>SUMIFS('февраль 2024'!$G$6:$G$1413,'февраль 2024'!$D$6:$D$1413,$B156,'февраль 2024'!$J$6:$J$1413,AH$1)</f>
        <v>0</v>
      </c>
      <c r="AI156" s="87"/>
    </row>
    <row r="157" spans="2:35" ht="15" hidden="1" customHeight="1" x14ac:dyDescent="0.25">
      <c r="B157" s="93"/>
      <c r="C157" s="88"/>
      <c r="D157" s="80">
        <f>SUMIFS('февраль 2024'!$G$6:$G$1413,'февраль 2024'!$D$6:$D$1413,$B157,'февраль 2024'!$J$6:$J$1413,D$1)</f>
        <v>0</v>
      </c>
      <c r="E157" s="80">
        <f>SUMIFS('февраль 2024'!$G$6:$G$1413,'февраль 2024'!$D$6:$D$1413,$B157,'февраль 2024'!$J$6:$J$1413,E$1)</f>
        <v>0</v>
      </c>
      <c r="F157" s="80">
        <f>SUMIFS('февраль 2024'!$G$6:$G$1413,'февраль 2024'!$D$6:$D$1413,$B157,'февраль 2024'!$J$6:$J$1413,F$1)</f>
        <v>0</v>
      </c>
      <c r="G157" s="80">
        <f>SUMIFS('февраль 2024'!$G$6:$G$1413,'февраль 2024'!$D$6:$D$1413,$B157,'февраль 2024'!$J$6:$J$1413,G$1)</f>
        <v>0</v>
      </c>
      <c r="H157" s="80">
        <f>SUMIFS('февраль 2024'!$G$6:$G$1413,'февраль 2024'!$D$6:$D$1413,$B157,'февраль 2024'!$J$6:$J$1413,H$1)</f>
        <v>0</v>
      </c>
      <c r="I157" s="80">
        <f>SUMIFS('февраль 2024'!$G$6:$G$1413,'февраль 2024'!$D$6:$D$1413,$B157,'февраль 2024'!$J$6:$J$1413,I$1)</f>
        <v>0</v>
      </c>
      <c r="J157" s="80">
        <f>SUMIFS('февраль 2024'!$G$6:$G$1413,'февраль 2024'!$D$6:$D$1413,$B157,'февраль 2024'!$J$6:$J$1413,J$1)</f>
        <v>0</v>
      </c>
      <c r="K157" s="80">
        <f>SUMIFS('февраль 2024'!$G$6:$G$1413,'февраль 2024'!$D$6:$D$1413,$B157,'февраль 2024'!$J$6:$J$1413,K$1)</f>
        <v>0</v>
      </c>
      <c r="L157" s="80">
        <f>SUMIFS('февраль 2024'!$G$6:$G$1413,'февраль 2024'!$D$6:$D$1413,$B157,'февраль 2024'!$J$6:$J$1413,L$1)</f>
        <v>0</v>
      </c>
      <c r="M157" s="80">
        <f>SUMIFS('февраль 2024'!$G$6:$G$1413,'февраль 2024'!$D$6:$D$1413,$B157,'февраль 2024'!$J$6:$J$1413,M$1)</f>
        <v>0</v>
      </c>
      <c r="N157" s="80">
        <f>SUMIFS('февраль 2024'!$G$6:$G$1413,'февраль 2024'!$D$6:$D$1413,$B157,'февраль 2024'!$J$6:$J$1413,N$1)</f>
        <v>0</v>
      </c>
      <c r="O157" s="80">
        <f>SUMIFS('февраль 2024'!$G$6:$G$1413,'февраль 2024'!$D$6:$D$1413,$B157,'февраль 2024'!$J$6:$J$1413,O$1)</f>
        <v>0</v>
      </c>
      <c r="P157" s="80">
        <f>SUMIFS('февраль 2024'!$G$6:$G$1413,'февраль 2024'!$D$6:$D$1413,$B157,'февраль 2024'!$J$6:$J$1413,P$1)</f>
        <v>0</v>
      </c>
      <c r="Q157" s="80">
        <f>SUMIFS('февраль 2024'!$G$6:$G$1413,'февраль 2024'!$D$6:$D$1413,$B157,'февраль 2024'!$J$6:$J$1413,Q$1)</f>
        <v>0</v>
      </c>
      <c r="R157" s="80">
        <f>SUMIFS('февраль 2024'!$G$6:$G$1413,'февраль 2024'!$D$6:$D$1413,$B157,'февраль 2024'!$J$6:$J$1413,R$1)</f>
        <v>0</v>
      </c>
      <c r="S157" s="80">
        <f>SUMIFS('февраль 2024'!$G$6:$G$1413,'февраль 2024'!$D$6:$D$1413,$B157,'февраль 2024'!$J$6:$J$1413,S$1)</f>
        <v>0</v>
      </c>
      <c r="T157" s="80">
        <f>SUMIFS('февраль 2024'!$G$6:$G$1413,'февраль 2024'!$D$6:$D$1413,$B157,'февраль 2024'!$J$6:$J$1413,T$1)</f>
        <v>0</v>
      </c>
      <c r="U157" s="80">
        <f>SUMIFS('февраль 2024'!$G$6:$G$1413,'февраль 2024'!$D$6:$D$1413,$B157,'февраль 2024'!$J$6:$J$1413,U$1)</f>
        <v>0</v>
      </c>
      <c r="V157" s="80">
        <f>SUMIFS('февраль 2024'!$G$6:$G$1413,'февраль 2024'!$D$6:$D$1413,$B157,'февраль 2024'!$J$6:$J$1413,V$1)</f>
        <v>0</v>
      </c>
      <c r="W157" s="80">
        <f>SUMIFS('февраль 2024'!$G$6:$G$1413,'февраль 2024'!$D$6:$D$1413,$B157,'февраль 2024'!$J$6:$J$1413,W$1)</f>
        <v>0</v>
      </c>
      <c r="X157" s="80">
        <f>SUMIFS('февраль 2024'!$G$6:$G$1413,'февраль 2024'!$D$6:$D$1413,$B157,'февраль 2024'!$J$6:$J$1413,X$1)</f>
        <v>0</v>
      </c>
      <c r="Y157" s="80">
        <f>SUMIFS('февраль 2024'!$G$6:$G$1413,'февраль 2024'!$D$6:$D$1413,$B157,'февраль 2024'!$J$6:$J$1413,Y$1)</f>
        <v>0</v>
      </c>
      <c r="Z157" s="80">
        <f>SUMIFS('февраль 2024'!$G$6:$G$1413,'февраль 2024'!$D$6:$D$1413,$B157,'февраль 2024'!$J$6:$J$1413,Z$1)</f>
        <v>0</v>
      </c>
      <c r="AA157" s="80">
        <f>SUMIFS('февраль 2024'!$G$6:$G$1413,'февраль 2024'!$D$6:$D$1413,$B157,'февраль 2024'!$J$6:$J$1413,AA$1)</f>
        <v>0</v>
      </c>
      <c r="AB157" s="80">
        <f>SUMIFS('февраль 2024'!$G$6:$G$1413,'февраль 2024'!$D$6:$D$1413,$B157,'февраль 2024'!$J$6:$J$1413,AB$1)</f>
        <v>0</v>
      </c>
      <c r="AC157" s="80">
        <f>SUMIFS('февраль 2024'!$G$6:$G$1413,'февраль 2024'!$D$6:$D$1413,$B157,'февраль 2024'!$J$6:$J$1413,AC$1)</f>
        <v>0</v>
      </c>
      <c r="AD157" s="80">
        <f>SUMIFS('февраль 2024'!$G$6:$G$1413,'февраль 2024'!$D$6:$D$1413,$B157,'февраль 2024'!$J$6:$J$1413,AD$1)</f>
        <v>0</v>
      </c>
      <c r="AE157" s="80">
        <f>SUMIFS('февраль 2024'!$G$6:$G$1413,'февраль 2024'!$D$6:$D$1413,$B157,'февраль 2024'!$J$6:$J$1413,AE$1)</f>
        <v>0</v>
      </c>
      <c r="AF157" s="80">
        <f>SUMIFS('февраль 2024'!$G$6:$G$1413,'февраль 2024'!$D$6:$D$1413,$B157,'февраль 2024'!$J$6:$J$1413,AF$1)</f>
        <v>0</v>
      </c>
      <c r="AG157" s="80">
        <f>SUMIFS('февраль 2024'!$G$6:$G$1413,'февраль 2024'!$D$6:$D$1413,$B157,'февраль 2024'!$J$6:$J$1413,AG$1)</f>
        <v>0</v>
      </c>
      <c r="AH157" s="80">
        <f>SUMIFS('февраль 2024'!$G$6:$G$1413,'февраль 2024'!$D$6:$D$1413,$B157,'февраль 2024'!$J$6:$J$1413,AH$1)</f>
        <v>0</v>
      </c>
      <c r="AI157" s="87"/>
    </row>
    <row r="158" spans="2:35" ht="15" hidden="1" customHeight="1" x14ac:dyDescent="0.25">
      <c r="B158" s="93"/>
      <c r="C158" s="91"/>
      <c r="D158" s="80">
        <f>SUMIFS('февраль 2024'!$G$6:$G$1413,'февраль 2024'!$D$6:$D$1413,$B158,'февраль 2024'!$J$6:$J$1413,D$1)</f>
        <v>0</v>
      </c>
      <c r="E158" s="80">
        <f>SUMIFS('февраль 2024'!$G$6:$G$1413,'февраль 2024'!$D$6:$D$1413,$B158,'февраль 2024'!$J$6:$J$1413,E$1)</f>
        <v>0</v>
      </c>
      <c r="F158" s="80">
        <f>SUMIFS('февраль 2024'!$G$6:$G$1413,'февраль 2024'!$D$6:$D$1413,$B158,'февраль 2024'!$J$6:$J$1413,F$1)</f>
        <v>0</v>
      </c>
      <c r="G158" s="80">
        <f>SUMIFS('февраль 2024'!$G$6:$G$1413,'февраль 2024'!$D$6:$D$1413,$B158,'февраль 2024'!$J$6:$J$1413,G$1)</f>
        <v>0</v>
      </c>
      <c r="H158" s="80">
        <f>SUMIFS('февраль 2024'!$G$6:$G$1413,'февраль 2024'!$D$6:$D$1413,$B158,'февраль 2024'!$J$6:$J$1413,H$1)</f>
        <v>0</v>
      </c>
      <c r="I158" s="80">
        <f>SUMIFS('февраль 2024'!$G$6:$G$1413,'февраль 2024'!$D$6:$D$1413,$B158,'февраль 2024'!$J$6:$J$1413,I$1)</f>
        <v>0</v>
      </c>
      <c r="J158" s="80">
        <f>SUMIFS('февраль 2024'!$G$6:$G$1413,'февраль 2024'!$D$6:$D$1413,$B158,'февраль 2024'!$J$6:$J$1413,J$1)</f>
        <v>0</v>
      </c>
      <c r="K158" s="80">
        <f>SUMIFS('февраль 2024'!$G$6:$G$1413,'февраль 2024'!$D$6:$D$1413,$B158,'февраль 2024'!$J$6:$J$1413,K$1)</f>
        <v>0</v>
      </c>
      <c r="L158" s="80">
        <f>SUMIFS('февраль 2024'!$G$6:$G$1413,'февраль 2024'!$D$6:$D$1413,$B158,'февраль 2024'!$J$6:$J$1413,L$1)</f>
        <v>0</v>
      </c>
      <c r="M158" s="80">
        <f>SUMIFS('февраль 2024'!$G$6:$G$1413,'февраль 2024'!$D$6:$D$1413,$B158,'февраль 2024'!$J$6:$J$1413,M$1)</f>
        <v>0</v>
      </c>
      <c r="N158" s="80">
        <f>SUMIFS('февраль 2024'!$G$6:$G$1413,'февраль 2024'!$D$6:$D$1413,$B158,'февраль 2024'!$J$6:$J$1413,N$1)</f>
        <v>0</v>
      </c>
      <c r="O158" s="80">
        <f>SUMIFS('февраль 2024'!$G$6:$G$1413,'февраль 2024'!$D$6:$D$1413,$B158,'февраль 2024'!$J$6:$J$1413,O$1)</f>
        <v>0</v>
      </c>
      <c r="P158" s="80">
        <f>SUMIFS('февраль 2024'!$G$6:$G$1413,'февраль 2024'!$D$6:$D$1413,$B158,'февраль 2024'!$J$6:$J$1413,P$1)</f>
        <v>0</v>
      </c>
      <c r="Q158" s="80">
        <f>SUMIFS('февраль 2024'!$G$6:$G$1413,'февраль 2024'!$D$6:$D$1413,$B158,'февраль 2024'!$J$6:$J$1413,Q$1)</f>
        <v>0</v>
      </c>
      <c r="R158" s="80">
        <f>SUMIFS('февраль 2024'!$G$6:$G$1413,'февраль 2024'!$D$6:$D$1413,$B158,'февраль 2024'!$J$6:$J$1413,R$1)</f>
        <v>0</v>
      </c>
      <c r="S158" s="80">
        <f>SUMIFS('февраль 2024'!$G$6:$G$1413,'февраль 2024'!$D$6:$D$1413,$B158,'февраль 2024'!$J$6:$J$1413,S$1)</f>
        <v>0</v>
      </c>
      <c r="T158" s="80">
        <f>SUMIFS('февраль 2024'!$G$6:$G$1413,'февраль 2024'!$D$6:$D$1413,$B158,'февраль 2024'!$J$6:$J$1413,T$1)</f>
        <v>0</v>
      </c>
      <c r="U158" s="80">
        <f>SUMIFS('февраль 2024'!$G$6:$G$1413,'февраль 2024'!$D$6:$D$1413,$B158,'февраль 2024'!$J$6:$J$1413,U$1)</f>
        <v>0</v>
      </c>
      <c r="V158" s="80">
        <f>SUMIFS('февраль 2024'!$G$6:$G$1413,'февраль 2024'!$D$6:$D$1413,$B158,'февраль 2024'!$J$6:$J$1413,V$1)</f>
        <v>0</v>
      </c>
      <c r="W158" s="80">
        <f>SUMIFS('февраль 2024'!$G$6:$G$1413,'февраль 2024'!$D$6:$D$1413,$B158,'февраль 2024'!$J$6:$J$1413,W$1)</f>
        <v>0</v>
      </c>
      <c r="X158" s="80">
        <f>SUMIFS('февраль 2024'!$G$6:$G$1413,'февраль 2024'!$D$6:$D$1413,$B158,'февраль 2024'!$J$6:$J$1413,X$1)</f>
        <v>0</v>
      </c>
      <c r="Y158" s="80">
        <f>SUMIFS('февраль 2024'!$G$6:$G$1413,'февраль 2024'!$D$6:$D$1413,$B158,'февраль 2024'!$J$6:$J$1413,Y$1)</f>
        <v>0</v>
      </c>
      <c r="Z158" s="80">
        <f>SUMIFS('февраль 2024'!$G$6:$G$1413,'февраль 2024'!$D$6:$D$1413,$B158,'февраль 2024'!$J$6:$J$1413,Z$1)</f>
        <v>0</v>
      </c>
      <c r="AA158" s="80">
        <f>SUMIFS('февраль 2024'!$G$6:$G$1413,'февраль 2024'!$D$6:$D$1413,$B158,'февраль 2024'!$J$6:$J$1413,AA$1)</f>
        <v>0</v>
      </c>
      <c r="AB158" s="80">
        <f>SUMIFS('февраль 2024'!$G$6:$G$1413,'февраль 2024'!$D$6:$D$1413,$B158,'февраль 2024'!$J$6:$J$1413,AB$1)</f>
        <v>0</v>
      </c>
      <c r="AC158" s="80">
        <f>SUMIFS('февраль 2024'!$G$6:$G$1413,'февраль 2024'!$D$6:$D$1413,$B158,'февраль 2024'!$J$6:$J$1413,AC$1)</f>
        <v>0</v>
      </c>
      <c r="AD158" s="80">
        <f>SUMIFS('февраль 2024'!$G$6:$G$1413,'февраль 2024'!$D$6:$D$1413,$B158,'февраль 2024'!$J$6:$J$1413,AD$1)</f>
        <v>0</v>
      </c>
      <c r="AE158" s="80">
        <f>SUMIFS('февраль 2024'!$G$6:$G$1413,'февраль 2024'!$D$6:$D$1413,$B158,'февраль 2024'!$J$6:$J$1413,AE$1)</f>
        <v>0</v>
      </c>
      <c r="AF158" s="80">
        <f>SUMIFS('февраль 2024'!$G$6:$G$1413,'февраль 2024'!$D$6:$D$1413,$B158,'февраль 2024'!$J$6:$J$1413,AF$1)</f>
        <v>0</v>
      </c>
      <c r="AG158" s="80">
        <f>SUMIFS('февраль 2024'!$G$6:$G$1413,'февраль 2024'!$D$6:$D$1413,$B158,'февраль 2024'!$J$6:$J$1413,AG$1)</f>
        <v>0</v>
      </c>
      <c r="AH158" s="80">
        <f>SUMIFS('февраль 2024'!$G$6:$G$1413,'февраль 2024'!$D$6:$D$1413,$B158,'февраль 2024'!$J$6:$J$1413,AH$1)</f>
        <v>0</v>
      </c>
      <c r="AI158" s="87"/>
    </row>
    <row r="159" spans="2:35" ht="15" hidden="1" customHeight="1" x14ac:dyDescent="0.25">
      <c r="B159" s="89"/>
      <c r="C159" s="88"/>
      <c r="D159" s="80">
        <f>SUMIFS('февраль 2024'!$G$6:$G$1413,'февраль 2024'!$D$6:$D$1413,$B159,'февраль 2024'!$J$6:$J$1413,D$1)</f>
        <v>0</v>
      </c>
      <c r="E159" s="80">
        <f>SUMIFS('февраль 2024'!$G$6:$G$1413,'февраль 2024'!$D$6:$D$1413,$B159,'февраль 2024'!$J$6:$J$1413,E$1)</f>
        <v>0</v>
      </c>
      <c r="F159" s="80">
        <f>SUMIFS('февраль 2024'!$G$6:$G$1413,'февраль 2024'!$D$6:$D$1413,$B159,'февраль 2024'!$J$6:$J$1413,F$1)</f>
        <v>0</v>
      </c>
      <c r="G159" s="80">
        <f>SUMIFS('февраль 2024'!$G$6:$G$1413,'февраль 2024'!$D$6:$D$1413,$B159,'февраль 2024'!$J$6:$J$1413,G$1)</f>
        <v>0</v>
      </c>
      <c r="H159" s="80">
        <f>SUMIFS('февраль 2024'!$G$6:$G$1413,'февраль 2024'!$D$6:$D$1413,$B159,'февраль 2024'!$J$6:$J$1413,H$1)</f>
        <v>0</v>
      </c>
      <c r="I159" s="80">
        <f>SUMIFS('февраль 2024'!$G$6:$G$1413,'февраль 2024'!$D$6:$D$1413,$B159,'февраль 2024'!$J$6:$J$1413,I$1)</f>
        <v>0</v>
      </c>
      <c r="J159" s="80">
        <f>SUMIFS('февраль 2024'!$G$6:$G$1413,'февраль 2024'!$D$6:$D$1413,$B159,'февраль 2024'!$J$6:$J$1413,J$1)</f>
        <v>0</v>
      </c>
      <c r="K159" s="80">
        <f>SUMIFS('февраль 2024'!$G$6:$G$1413,'февраль 2024'!$D$6:$D$1413,$B159,'февраль 2024'!$J$6:$J$1413,K$1)</f>
        <v>0</v>
      </c>
      <c r="L159" s="80">
        <f>SUMIFS('февраль 2024'!$G$6:$G$1413,'февраль 2024'!$D$6:$D$1413,$B159,'февраль 2024'!$J$6:$J$1413,L$1)</f>
        <v>0</v>
      </c>
      <c r="M159" s="80">
        <f>SUMIFS('февраль 2024'!$G$6:$G$1413,'февраль 2024'!$D$6:$D$1413,$B159,'февраль 2024'!$J$6:$J$1413,M$1)</f>
        <v>0</v>
      </c>
      <c r="N159" s="80">
        <f>SUMIFS('февраль 2024'!$G$6:$G$1413,'февраль 2024'!$D$6:$D$1413,$B159,'февраль 2024'!$J$6:$J$1413,N$1)</f>
        <v>0</v>
      </c>
      <c r="O159" s="80">
        <f>SUMIFS('февраль 2024'!$G$6:$G$1413,'февраль 2024'!$D$6:$D$1413,$B159,'февраль 2024'!$J$6:$J$1413,O$1)</f>
        <v>0</v>
      </c>
      <c r="P159" s="80">
        <f>SUMIFS('февраль 2024'!$G$6:$G$1413,'февраль 2024'!$D$6:$D$1413,$B159,'февраль 2024'!$J$6:$J$1413,P$1)</f>
        <v>0</v>
      </c>
      <c r="Q159" s="80">
        <f>SUMIFS('февраль 2024'!$G$6:$G$1413,'февраль 2024'!$D$6:$D$1413,$B159,'февраль 2024'!$J$6:$J$1413,Q$1)</f>
        <v>0</v>
      </c>
      <c r="R159" s="80">
        <f>SUMIFS('февраль 2024'!$G$6:$G$1413,'февраль 2024'!$D$6:$D$1413,$B159,'февраль 2024'!$J$6:$J$1413,R$1)</f>
        <v>0</v>
      </c>
      <c r="S159" s="80">
        <f>SUMIFS('февраль 2024'!$G$6:$G$1413,'февраль 2024'!$D$6:$D$1413,$B159,'февраль 2024'!$J$6:$J$1413,S$1)</f>
        <v>0</v>
      </c>
      <c r="T159" s="80">
        <f>SUMIFS('февраль 2024'!$G$6:$G$1413,'февраль 2024'!$D$6:$D$1413,$B159,'февраль 2024'!$J$6:$J$1413,T$1)</f>
        <v>0</v>
      </c>
      <c r="U159" s="80">
        <f>SUMIFS('февраль 2024'!$G$6:$G$1413,'февраль 2024'!$D$6:$D$1413,$B159,'февраль 2024'!$J$6:$J$1413,U$1)</f>
        <v>0</v>
      </c>
      <c r="V159" s="80">
        <f>SUMIFS('февраль 2024'!$G$6:$G$1413,'февраль 2024'!$D$6:$D$1413,$B159,'февраль 2024'!$J$6:$J$1413,V$1)</f>
        <v>0</v>
      </c>
      <c r="W159" s="80">
        <f>SUMIFS('февраль 2024'!$G$6:$G$1413,'февраль 2024'!$D$6:$D$1413,$B159,'февраль 2024'!$J$6:$J$1413,W$1)</f>
        <v>0</v>
      </c>
      <c r="X159" s="80">
        <f>SUMIFS('февраль 2024'!$G$6:$G$1413,'февраль 2024'!$D$6:$D$1413,$B159,'февраль 2024'!$J$6:$J$1413,X$1)</f>
        <v>0</v>
      </c>
      <c r="Y159" s="80">
        <f>SUMIFS('февраль 2024'!$G$6:$G$1413,'февраль 2024'!$D$6:$D$1413,$B159,'февраль 2024'!$J$6:$J$1413,Y$1)</f>
        <v>0</v>
      </c>
      <c r="Z159" s="80">
        <f>SUMIFS('февраль 2024'!$G$6:$G$1413,'февраль 2024'!$D$6:$D$1413,$B159,'февраль 2024'!$J$6:$J$1413,Z$1)</f>
        <v>0</v>
      </c>
      <c r="AA159" s="80">
        <f>SUMIFS('февраль 2024'!$G$6:$G$1413,'февраль 2024'!$D$6:$D$1413,$B159,'февраль 2024'!$J$6:$J$1413,AA$1)</f>
        <v>0</v>
      </c>
      <c r="AB159" s="80">
        <f>SUMIFS('февраль 2024'!$G$6:$G$1413,'февраль 2024'!$D$6:$D$1413,$B159,'февраль 2024'!$J$6:$J$1413,AB$1)</f>
        <v>0</v>
      </c>
      <c r="AC159" s="80">
        <f>SUMIFS('февраль 2024'!$G$6:$G$1413,'февраль 2024'!$D$6:$D$1413,$B159,'февраль 2024'!$J$6:$J$1413,AC$1)</f>
        <v>0</v>
      </c>
      <c r="AD159" s="80">
        <f>SUMIFS('февраль 2024'!$G$6:$G$1413,'февраль 2024'!$D$6:$D$1413,$B159,'февраль 2024'!$J$6:$J$1413,AD$1)</f>
        <v>0</v>
      </c>
      <c r="AE159" s="80">
        <f>SUMIFS('февраль 2024'!$G$6:$G$1413,'февраль 2024'!$D$6:$D$1413,$B159,'февраль 2024'!$J$6:$J$1413,AE$1)</f>
        <v>0</v>
      </c>
      <c r="AF159" s="80">
        <f>SUMIFS('февраль 2024'!$G$6:$G$1413,'февраль 2024'!$D$6:$D$1413,$B159,'февраль 2024'!$J$6:$J$1413,AF$1)</f>
        <v>0</v>
      </c>
      <c r="AG159" s="80">
        <f>SUMIFS('февраль 2024'!$G$6:$G$1413,'февраль 2024'!$D$6:$D$1413,$B159,'февраль 2024'!$J$6:$J$1413,AG$1)</f>
        <v>0</v>
      </c>
      <c r="AH159" s="80">
        <f>SUMIFS('февраль 2024'!$G$6:$G$1413,'февраль 2024'!$D$6:$D$1413,$B159,'февраль 2024'!$J$6:$J$1413,AH$1)</f>
        <v>0</v>
      </c>
      <c r="AI159" s="87"/>
    </row>
    <row r="160" spans="2:35" ht="15" hidden="1" customHeight="1" x14ac:dyDescent="0.25">
      <c r="B160" s="92"/>
      <c r="C160" s="91"/>
      <c r="D160" s="80">
        <f>SUMIFS('февраль 2024'!$G$6:$G$1413,'февраль 2024'!$D$6:$D$1413,$B160,'февраль 2024'!$J$6:$J$1413,D$1)</f>
        <v>0</v>
      </c>
      <c r="E160" s="80">
        <f>SUMIFS('февраль 2024'!$G$6:$G$1413,'февраль 2024'!$D$6:$D$1413,$B160,'февраль 2024'!$J$6:$J$1413,E$1)</f>
        <v>0</v>
      </c>
      <c r="F160" s="80">
        <f>SUMIFS('февраль 2024'!$G$6:$G$1413,'февраль 2024'!$D$6:$D$1413,$B160,'февраль 2024'!$J$6:$J$1413,F$1)</f>
        <v>0</v>
      </c>
      <c r="G160" s="80">
        <f>SUMIFS('февраль 2024'!$G$6:$G$1413,'февраль 2024'!$D$6:$D$1413,$B160,'февраль 2024'!$J$6:$J$1413,G$1)</f>
        <v>0</v>
      </c>
      <c r="H160" s="80">
        <f>SUMIFS('февраль 2024'!$G$6:$G$1413,'февраль 2024'!$D$6:$D$1413,$B160,'февраль 2024'!$J$6:$J$1413,H$1)</f>
        <v>0</v>
      </c>
      <c r="I160" s="80">
        <f>SUMIFS('февраль 2024'!$G$6:$G$1413,'февраль 2024'!$D$6:$D$1413,$B160,'февраль 2024'!$J$6:$J$1413,I$1)</f>
        <v>0</v>
      </c>
      <c r="J160" s="80">
        <f>SUMIFS('февраль 2024'!$G$6:$G$1413,'февраль 2024'!$D$6:$D$1413,$B160,'февраль 2024'!$J$6:$J$1413,J$1)</f>
        <v>0</v>
      </c>
      <c r="K160" s="80">
        <f>SUMIFS('февраль 2024'!$G$6:$G$1413,'февраль 2024'!$D$6:$D$1413,$B160,'февраль 2024'!$J$6:$J$1413,K$1)</f>
        <v>0</v>
      </c>
      <c r="L160" s="80">
        <f>SUMIFS('февраль 2024'!$G$6:$G$1413,'февраль 2024'!$D$6:$D$1413,$B160,'февраль 2024'!$J$6:$J$1413,L$1)</f>
        <v>0</v>
      </c>
      <c r="M160" s="80">
        <f>SUMIFS('февраль 2024'!$G$6:$G$1413,'февраль 2024'!$D$6:$D$1413,$B160,'февраль 2024'!$J$6:$J$1413,M$1)</f>
        <v>0</v>
      </c>
      <c r="N160" s="80">
        <f>SUMIFS('февраль 2024'!$G$6:$G$1413,'февраль 2024'!$D$6:$D$1413,$B160,'февраль 2024'!$J$6:$J$1413,N$1)</f>
        <v>0</v>
      </c>
      <c r="O160" s="80">
        <f>SUMIFS('февраль 2024'!$G$6:$G$1413,'февраль 2024'!$D$6:$D$1413,$B160,'февраль 2024'!$J$6:$J$1413,O$1)</f>
        <v>0</v>
      </c>
      <c r="P160" s="80">
        <f>SUMIFS('февраль 2024'!$G$6:$G$1413,'февраль 2024'!$D$6:$D$1413,$B160,'февраль 2024'!$J$6:$J$1413,P$1)</f>
        <v>0</v>
      </c>
      <c r="Q160" s="80">
        <f>SUMIFS('февраль 2024'!$G$6:$G$1413,'февраль 2024'!$D$6:$D$1413,$B160,'февраль 2024'!$J$6:$J$1413,Q$1)</f>
        <v>0</v>
      </c>
      <c r="R160" s="80">
        <f>SUMIFS('февраль 2024'!$G$6:$G$1413,'февраль 2024'!$D$6:$D$1413,$B160,'февраль 2024'!$J$6:$J$1413,R$1)</f>
        <v>0</v>
      </c>
      <c r="S160" s="80">
        <f>SUMIFS('февраль 2024'!$G$6:$G$1413,'февраль 2024'!$D$6:$D$1413,$B160,'февраль 2024'!$J$6:$J$1413,S$1)</f>
        <v>0</v>
      </c>
      <c r="T160" s="80">
        <f>SUMIFS('февраль 2024'!$G$6:$G$1413,'февраль 2024'!$D$6:$D$1413,$B160,'февраль 2024'!$J$6:$J$1413,T$1)</f>
        <v>0</v>
      </c>
      <c r="U160" s="80">
        <f>SUMIFS('февраль 2024'!$G$6:$G$1413,'февраль 2024'!$D$6:$D$1413,$B160,'февраль 2024'!$J$6:$J$1413,U$1)</f>
        <v>0</v>
      </c>
      <c r="V160" s="80">
        <f>SUMIFS('февраль 2024'!$G$6:$G$1413,'февраль 2024'!$D$6:$D$1413,$B160,'февраль 2024'!$J$6:$J$1413,V$1)</f>
        <v>0</v>
      </c>
      <c r="W160" s="80">
        <f>SUMIFS('февраль 2024'!$G$6:$G$1413,'февраль 2024'!$D$6:$D$1413,$B160,'февраль 2024'!$J$6:$J$1413,W$1)</f>
        <v>0</v>
      </c>
      <c r="X160" s="80">
        <f>SUMIFS('февраль 2024'!$G$6:$G$1413,'февраль 2024'!$D$6:$D$1413,$B160,'февраль 2024'!$J$6:$J$1413,X$1)</f>
        <v>0</v>
      </c>
      <c r="Y160" s="80">
        <f>SUMIFS('февраль 2024'!$G$6:$G$1413,'февраль 2024'!$D$6:$D$1413,$B160,'февраль 2024'!$J$6:$J$1413,Y$1)</f>
        <v>0</v>
      </c>
      <c r="Z160" s="80">
        <f>SUMIFS('февраль 2024'!$G$6:$G$1413,'февраль 2024'!$D$6:$D$1413,$B160,'февраль 2024'!$J$6:$J$1413,Z$1)</f>
        <v>0</v>
      </c>
      <c r="AA160" s="80">
        <f>SUMIFS('февраль 2024'!$G$6:$G$1413,'февраль 2024'!$D$6:$D$1413,$B160,'февраль 2024'!$J$6:$J$1413,AA$1)</f>
        <v>0</v>
      </c>
      <c r="AB160" s="80">
        <f>SUMIFS('февраль 2024'!$G$6:$G$1413,'февраль 2024'!$D$6:$D$1413,$B160,'февраль 2024'!$J$6:$J$1413,AB$1)</f>
        <v>0</v>
      </c>
      <c r="AC160" s="80">
        <f>SUMIFS('февраль 2024'!$G$6:$G$1413,'февраль 2024'!$D$6:$D$1413,$B160,'февраль 2024'!$J$6:$J$1413,AC$1)</f>
        <v>0</v>
      </c>
      <c r="AD160" s="80">
        <f>SUMIFS('февраль 2024'!$G$6:$G$1413,'февраль 2024'!$D$6:$D$1413,$B160,'февраль 2024'!$J$6:$J$1413,AD$1)</f>
        <v>0</v>
      </c>
      <c r="AE160" s="80">
        <f>SUMIFS('февраль 2024'!$G$6:$G$1413,'февраль 2024'!$D$6:$D$1413,$B160,'февраль 2024'!$J$6:$J$1413,AE$1)</f>
        <v>0</v>
      </c>
      <c r="AF160" s="80">
        <f>SUMIFS('февраль 2024'!$G$6:$G$1413,'февраль 2024'!$D$6:$D$1413,$B160,'февраль 2024'!$J$6:$J$1413,AF$1)</f>
        <v>0</v>
      </c>
      <c r="AG160" s="80">
        <f>SUMIFS('февраль 2024'!$G$6:$G$1413,'февраль 2024'!$D$6:$D$1413,$B160,'февраль 2024'!$J$6:$J$1413,AG$1)</f>
        <v>0</v>
      </c>
      <c r="AH160" s="80">
        <f>SUMIFS('февраль 2024'!$G$6:$G$1413,'февраль 2024'!$D$6:$D$1413,$B160,'февраль 2024'!$J$6:$J$1413,AH$1)</f>
        <v>0</v>
      </c>
      <c r="AI160" s="87"/>
    </row>
    <row r="161" spans="2:35" ht="15" hidden="1" customHeight="1" x14ac:dyDescent="0.25">
      <c r="B161" s="89"/>
      <c r="C161" s="91"/>
      <c r="D161" s="80">
        <f>SUMIFS('февраль 2024'!$G$6:$G$1413,'февраль 2024'!$D$6:$D$1413,$B161,'февраль 2024'!$J$6:$J$1413,D$1)</f>
        <v>0</v>
      </c>
      <c r="E161" s="80">
        <f>SUMIFS('февраль 2024'!$G$6:$G$1413,'февраль 2024'!$D$6:$D$1413,$B161,'февраль 2024'!$J$6:$J$1413,E$1)</f>
        <v>0</v>
      </c>
      <c r="F161" s="80">
        <f>SUMIFS('февраль 2024'!$G$6:$G$1413,'февраль 2024'!$D$6:$D$1413,$B161,'февраль 2024'!$J$6:$J$1413,F$1)</f>
        <v>0</v>
      </c>
      <c r="G161" s="80">
        <f>SUMIFS('февраль 2024'!$G$6:$G$1413,'февраль 2024'!$D$6:$D$1413,$B161,'февраль 2024'!$J$6:$J$1413,G$1)</f>
        <v>0</v>
      </c>
      <c r="H161" s="80">
        <f>SUMIFS('февраль 2024'!$G$6:$G$1413,'февраль 2024'!$D$6:$D$1413,$B161,'февраль 2024'!$J$6:$J$1413,H$1)</f>
        <v>0</v>
      </c>
      <c r="I161" s="80">
        <f>SUMIFS('февраль 2024'!$G$6:$G$1413,'февраль 2024'!$D$6:$D$1413,$B161,'февраль 2024'!$J$6:$J$1413,I$1)</f>
        <v>0</v>
      </c>
      <c r="J161" s="80">
        <f>SUMIFS('февраль 2024'!$G$6:$G$1413,'февраль 2024'!$D$6:$D$1413,$B161,'февраль 2024'!$J$6:$J$1413,J$1)</f>
        <v>0</v>
      </c>
      <c r="K161" s="80">
        <f>SUMIFS('февраль 2024'!$G$6:$G$1413,'февраль 2024'!$D$6:$D$1413,$B161,'февраль 2024'!$J$6:$J$1413,K$1)</f>
        <v>0</v>
      </c>
      <c r="L161" s="80">
        <f>SUMIFS('февраль 2024'!$G$6:$G$1413,'февраль 2024'!$D$6:$D$1413,$B161,'февраль 2024'!$J$6:$J$1413,L$1)</f>
        <v>0</v>
      </c>
      <c r="M161" s="80">
        <f>SUMIFS('февраль 2024'!$G$6:$G$1413,'февраль 2024'!$D$6:$D$1413,$B161,'февраль 2024'!$J$6:$J$1413,M$1)</f>
        <v>0</v>
      </c>
      <c r="N161" s="80">
        <f>SUMIFS('февраль 2024'!$G$6:$G$1413,'февраль 2024'!$D$6:$D$1413,$B161,'февраль 2024'!$J$6:$J$1413,N$1)</f>
        <v>0</v>
      </c>
      <c r="O161" s="80">
        <f>SUMIFS('февраль 2024'!$G$6:$G$1413,'февраль 2024'!$D$6:$D$1413,$B161,'февраль 2024'!$J$6:$J$1413,O$1)</f>
        <v>0</v>
      </c>
      <c r="P161" s="80">
        <f>SUMIFS('февраль 2024'!$G$6:$G$1413,'февраль 2024'!$D$6:$D$1413,$B161,'февраль 2024'!$J$6:$J$1413,P$1)</f>
        <v>0</v>
      </c>
      <c r="Q161" s="80">
        <f>SUMIFS('февраль 2024'!$G$6:$G$1413,'февраль 2024'!$D$6:$D$1413,$B161,'февраль 2024'!$J$6:$J$1413,Q$1)</f>
        <v>0</v>
      </c>
      <c r="R161" s="80">
        <f>SUMIFS('февраль 2024'!$G$6:$G$1413,'февраль 2024'!$D$6:$D$1413,$B161,'февраль 2024'!$J$6:$J$1413,R$1)</f>
        <v>0</v>
      </c>
      <c r="S161" s="80">
        <f>SUMIFS('февраль 2024'!$G$6:$G$1413,'февраль 2024'!$D$6:$D$1413,$B161,'февраль 2024'!$J$6:$J$1413,S$1)</f>
        <v>0</v>
      </c>
      <c r="T161" s="80">
        <f>SUMIFS('февраль 2024'!$G$6:$G$1413,'февраль 2024'!$D$6:$D$1413,$B161,'февраль 2024'!$J$6:$J$1413,T$1)</f>
        <v>0</v>
      </c>
      <c r="U161" s="80">
        <f>SUMIFS('февраль 2024'!$G$6:$G$1413,'февраль 2024'!$D$6:$D$1413,$B161,'февраль 2024'!$J$6:$J$1413,U$1)</f>
        <v>0</v>
      </c>
      <c r="V161" s="80">
        <f>SUMIFS('февраль 2024'!$G$6:$G$1413,'февраль 2024'!$D$6:$D$1413,$B161,'февраль 2024'!$J$6:$J$1413,V$1)</f>
        <v>0</v>
      </c>
      <c r="W161" s="80">
        <f>SUMIFS('февраль 2024'!$G$6:$G$1413,'февраль 2024'!$D$6:$D$1413,$B161,'февраль 2024'!$J$6:$J$1413,W$1)</f>
        <v>0</v>
      </c>
      <c r="X161" s="80">
        <f>SUMIFS('февраль 2024'!$G$6:$G$1413,'февраль 2024'!$D$6:$D$1413,$B161,'февраль 2024'!$J$6:$J$1413,X$1)</f>
        <v>0</v>
      </c>
      <c r="Y161" s="80">
        <f>SUMIFS('февраль 2024'!$G$6:$G$1413,'февраль 2024'!$D$6:$D$1413,$B161,'февраль 2024'!$J$6:$J$1413,Y$1)</f>
        <v>0</v>
      </c>
      <c r="Z161" s="80">
        <f>SUMIFS('февраль 2024'!$G$6:$G$1413,'февраль 2024'!$D$6:$D$1413,$B161,'февраль 2024'!$J$6:$J$1413,Z$1)</f>
        <v>0</v>
      </c>
      <c r="AA161" s="80">
        <f>SUMIFS('февраль 2024'!$G$6:$G$1413,'февраль 2024'!$D$6:$D$1413,$B161,'февраль 2024'!$J$6:$J$1413,AA$1)</f>
        <v>0</v>
      </c>
      <c r="AB161" s="80">
        <f>SUMIFS('февраль 2024'!$G$6:$G$1413,'февраль 2024'!$D$6:$D$1413,$B161,'февраль 2024'!$J$6:$J$1413,AB$1)</f>
        <v>0</v>
      </c>
      <c r="AC161" s="80">
        <f>SUMIFS('февраль 2024'!$G$6:$G$1413,'февраль 2024'!$D$6:$D$1413,$B161,'февраль 2024'!$J$6:$J$1413,AC$1)</f>
        <v>0</v>
      </c>
      <c r="AD161" s="80">
        <f>SUMIFS('февраль 2024'!$G$6:$G$1413,'февраль 2024'!$D$6:$D$1413,$B161,'февраль 2024'!$J$6:$J$1413,AD$1)</f>
        <v>0</v>
      </c>
      <c r="AE161" s="80">
        <f>SUMIFS('февраль 2024'!$G$6:$G$1413,'февраль 2024'!$D$6:$D$1413,$B161,'февраль 2024'!$J$6:$J$1413,AE$1)</f>
        <v>0</v>
      </c>
      <c r="AF161" s="80">
        <f>SUMIFS('февраль 2024'!$G$6:$G$1413,'февраль 2024'!$D$6:$D$1413,$B161,'февраль 2024'!$J$6:$J$1413,AF$1)</f>
        <v>0</v>
      </c>
      <c r="AG161" s="80">
        <f>SUMIFS('февраль 2024'!$G$6:$G$1413,'февраль 2024'!$D$6:$D$1413,$B161,'февраль 2024'!$J$6:$J$1413,AG$1)</f>
        <v>0</v>
      </c>
      <c r="AH161" s="80">
        <f>SUMIFS('февраль 2024'!$G$6:$G$1413,'февраль 2024'!$D$6:$D$1413,$B161,'февраль 2024'!$J$6:$J$1413,AH$1)</f>
        <v>0</v>
      </c>
      <c r="AI161" s="87"/>
    </row>
    <row r="162" spans="2:35" ht="15" hidden="1" customHeight="1" x14ac:dyDescent="0.25">
      <c r="B162" s="89"/>
      <c r="C162" s="88"/>
      <c r="D162" s="80">
        <f>SUMIFS('февраль 2024'!$G$6:$G$1413,'февраль 2024'!$D$6:$D$1413,$B162,'февраль 2024'!$J$6:$J$1413,D$1)</f>
        <v>0</v>
      </c>
      <c r="E162" s="80">
        <f>SUMIFS('февраль 2024'!$G$6:$G$1413,'февраль 2024'!$D$6:$D$1413,$B162,'февраль 2024'!$J$6:$J$1413,E$1)</f>
        <v>0</v>
      </c>
      <c r="F162" s="80">
        <f>SUMIFS('февраль 2024'!$G$6:$G$1413,'февраль 2024'!$D$6:$D$1413,$B162,'февраль 2024'!$J$6:$J$1413,F$1)</f>
        <v>0</v>
      </c>
      <c r="G162" s="80">
        <f>SUMIFS('февраль 2024'!$G$6:$G$1413,'февраль 2024'!$D$6:$D$1413,$B162,'февраль 2024'!$J$6:$J$1413,G$1)</f>
        <v>0</v>
      </c>
      <c r="H162" s="80">
        <f>SUMIFS('февраль 2024'!$G$6:$G$1413,'февраль 2024'!$D$6:$D$1413,$B162,'февраль 2024'!$J$6:$J$1413,H$1)</f>
        <v>0</v>
      </c>
      <c r="I162" s="80">
        <f>SUMIFS('февраль 2024'!$G$6:$G$1413,'февраль 2024'!$D$6:$D$1413,$B162,'февраль 2024'!$J$6:$J$1413,I$1)</f>
        <v>0</v>
      </c>
      <c r="J162" s="80">
        <f>SUMIFS('февраль 2024'!$G$6:$G$1413,'февраль 2024'!$D$6:$D$1413,$B162,'февраль 2024'!$J$6:$J$1413,J$1)</f>
        <v>0</v>
      </c>
      <c r="K162" s="80">
        <f>SUMIFS('февраль 2024'!$G$6:$G$1413,'февраль 2024'!$D$6:$D$1413,$B162,'февраль 2024'!$J$6:$J$1413,K$1)</f>
        <v>0</v>
      </c>
      <c r="L162" s="80">
        <f>SUMIFS('февраль 2024'!$G$6:$G$1413,'февраль 2024'!$D$6:$D$1413,$B162,'февраль 2024'!$J$6:$J$1413,L$1)</f>
        <v>0</v>
      </c>
      <c r="M162" s="80">
        <f>SUMIFS('февраль 2024'!$G$6:$G$1413,'февраль 2024'!$D$6:$D$1413,$B162,'февраль 2024'!$J$6:$J$1413,M$1)</f>
        <v>0</v>
      </c>
      <c r="N162" s="80">
        <f>SUMIFS('февраль 2024'!$G$6:$G$1413,'февраль 2024'!$D$6:$D$1413,$B162,'февраль 2024'!$J$6:$J$1413,N$1)</f>
        <v>0</v>
      </c>
      <c r="O162" s="80">
        <f>SUMIFS('февраль 2024'!$G$6:$G$1413,'февраль 2024'!$D$6:$D$1413,$B162,'февраль 2024'!$J$6:$J$1413,O$1)</f>
        <v>0</v>
      </c>
      <c r="P162" s="80">
        <f>SUMIFS('февраль 2024'!$G$6:$G$1413,'февраль 2024'!$D$6:$D$1413,$B162,'февраль 2024'!$J$6:$J$1413,P$1)</f>
        <v>0</v>
      </c>
      <c r="Q162" s="80">
        <f>SUMIFS('февраль 2024'!$G$6:$G$1413,'февраль 2024'!$D$6:$D$1413,$B162,'февраль 2024'!$J$6:$J$1413,Q$1)</f>
        <v>0</v>
      </c>
      <c r="R162" s="80">
        <f>SUMIFS('февраль 2024'!$G$6:$G$1413,'февраль 2024'!$D$6:$D$1413,$B162,'февраль 2024'!$J$6:$J$1413,R$1)</f>
        <v>0</v>
      </c>
      <c r="S162" s="80">
        <f>SUMIFS('февраль 2024'!$G$6:$G$1413,'февраль 2024'!$D$6:$D$1413,$B162,'февраль 2024'!$J$6:$J$1413,S$1)</f>
        <v>0</v>
      </c>
      <c r="T162" s="80">
        <f>SUMIFS('февраль 2024'!$G$6:$G$1413,'февраль 2024'!$D$6:$D$1413,$B162,'февраль 2024'!$J$6:$J$1413,T$1)</f>
        <v>0</v>
      </c>
      <c r="U162" s="80">
        <f>SUMIFS('февраль 2024'!$G$6:$G$1413,'февраль 2024'!$D$6:$D$1413,$B162,'февраль 2024'!$J$6:$J$1413,U$1)</f>
        <v>0</v>
      </c>
      <c r="V162" s="80">
        <f>SUMIFS('февраль 2024'!$G$6:$G$1413,'февраль 2024'!$D$6:$D$1413,$B162,'февраль 2024'!$J$6:$J$1413,V$1)</f>
        <v>0</v>
      </c>
      <c r="W162" s="80">
        <f>SUMIFS('февраль 2024'!$G$6:$G$1413,'февраль 2024'!$D$6:$D$1413,$B162,'февраль 2024'!$J$6:$J$1413,W$1)</f>
        <v>0</v>
      </c>
      <c r="X162" s="80">
        <f>SUMIFS('февраль 2024'!$G$6:$G$1413,'февраль 2024'!$D$6:$D$1413,$B162,'февраль 2024'!$J$6:$J$1413,X$1)</f>
        <v>0</v>
      </c>
      <c r="Y162" s="80">
        <f>SUMIFS('февраль 2024'!$G$6:$G$1413,'февраль 2024'!$D$6:$D$1413,$B162,'февраль 2024'!$J$6:$J$1413,Y$1)</f>
        <v>0</v>
      </c>
      <c r="Z162" s="80">
        <f>SUMIFS('февраль 2024'!$G$6:$G$1413,'февраль 2024'!$D$6:$D$1413,$B162,'февраль 2024'!$J$6:$J$1413,Z$1)</f>
        <v>0</v>
      </c>
      <c r="AA162" s="80">
        <f>SUMIFS('февраль 2024'!$G$6:$G$1413,'февраль 2024'!$D$6:$D$1413,$B162,'февраль 2024'!$J$6:$J$1413,AA$1)</f>
        <v>0</v>
      </c>
      <c r="AB162" s="80">
        <f>SUMIFS('февраль 2024'!$G$6:$G$1413,'февраль 2024'!$D$6:$D$1413,$B162,'февраль 2024'!$J$6:$J$1413,AB$1)</f>
        <v>0</v>
      </c>
      <c r="AC162" s="80">
        <f>SUMIFS('февраль 2024'!$G$6:$G$1413,'февраль 2024'!$D$6:$D$1413,$B162,'февраль 2024'!$J$6:$J$1413,AC$1)</f>
        <v>0</v>
      </c>
      <c r="AD162" s="80">
        <f>SUMIFS('февраль 2024'!$G$6:$G$1413,'февраль 2024'!$D$6:$D$1413,$B162,'февраль 2024'!$J$6:$J$1413,AD$1)</f>
        <v>0</v>
      </c>
      <c r="AE162" s="80">
        <f>SUMIFS('февраль 2024'!$G$6:$G$1413,'февраль 2024'!$D$6:$D$1413,$B162,'февраль 2024'!$J$6:$J$1413,AE$1)</f>
        <v>0</v>
      </c>
      <c r="AF162" s="80">
        <f>SUMIFS('февраль 2024'!$G$6:$G$1413,'февраль 2024'!$D$6:$D$1413,$B162,'февраль 2024'!$J$6:$J$1413,AF$1)</f>
        <v>0</v>
      </c>
      <c r="AG162" s="80">
        <f>SUMIFS('февраль 2024'!$G$6:$G$1413,'февраль 2024'!$D$6:$D$1413,$B162,'февраль 2024'!$J$6:$J$1413,AG$1)</f>
        <v>0</v>
      </c>
      <c r="AH162" s="80">
        <f>SUMIFS('февраль 2024'!$G$6:$G$1413,'февраль 2024'!$D$6:$D$1413,$B162,'февраль 2024'!$J$6:$J$1413,AH$1)</f>
        <v>0</v>
      </c>
      <c r="AI162" s="87"/>
    </row>
    <row r="163" spans="2:35" ht="15" hidden="1" customHeight="1" x14ac:dyDescent="0.25">
      <c r="B163" s="89"/>
      <c r="C163" s="88"/>
      <c r="D163" s="80">
        <f>SUMIFS('февраль 2024'!$G$6:$G$1413,'февраль 2024'!$D$6:$D$1413,$B163,'февраль 2024'!$J$6:$J$1413,D$1)</f>
        <v>0</v>
      </c>
      <c r="E163" s="80">
        <f>SUMIFS('февраль 2024'!$G$6:$G$1413,'февраль 2024'!$D$6:$D$1413,$B163,'февраль 2024'!$J$6:$J$1413,E$1)</f>
        <v>0</v>
      </c>
      <c r="F163" s="80">
        <f>SUMIFS('февраль 2024'!$G$6:$G$1413,'февраль 2024'!$D$6:$D$1413,$B163,'февраль 2024'!$J$6:$J$1413,F$1)</f>
        <v>0</v>
      </c>
      <c r="G163" s="80">
        <f>SUMIFS('февраль 2024'!$G$6:$G$1413,'февраль 2024'!$D$6:$D$1413,$B163,'февраль 2024'!$J$6:$J$1413,G$1)</f>
        <v>0</v>
      </c>
      <c r="H163" s="80">
        <f>SUMIFS('февраль 2024'!$G$6:$G$1413,'февраль 2024'!$D$6:$D$1413,$B163,'февраль 2024'!$J$6:$J$1413,H$1)</f>
        <v>0</v>
      </c>
      <c r="I163" s="80">
        <f>SUMIFS('февраль 2024'!$G$6:$G$1413,'февраль 2024'!$D$6:$D$1413,$B163,'февраль 2024'!$J$6:$J$1413,I$1)</f>
        <v>0</v>
      </c>
      <c r="J163" s="80">
        <f>SUMIFS('февраль 2024'!$G$6:$G$1413,'февраль 2024'!$D$6:$D$1413,$B163,'февраль 2024'!$J$6:$J$1413,J$1)</f>
        <v>0</v>
      </c>
      <c r="K163" s="80">
        <f>SUMIFS('февраль 2024'!$G$6:$G$1413,'февраль 2024'!$D$6:$D$1413,$B163,'февраль 2024'!$J$6:$J$1413,K$1)</f>
        <v>0</v>
      </c>
      <c r="L163" s="80">
        <f>SUMIFS('февраль 2024'!$G$6:$G$1413,'февраль 2024'!$D$6:$D$1413,$B163,'февраль 2024'!$J$6:$J$1413,L$1)</f>
        <v>0</v>
      </c>
      <c r="M163" s="80">
        <f>SUMIFS('февраль 2024'!$G$6:$G$1413,'февраль 2024'!$D$6:$D$1413,$B163,'февраль 2024'!$J$6:$J$1413,M$1)</f>
        <v>0</v>
      </c>
      <c r="N163" s="80">
        <f>SUMIFS('февраль 2024'!$G$6:$G$1413,'февраль 2024'!$D$6:$D$1413,$B163,'февраль 2024'!$J$6:$J$1413,N$1)</f>
        <v>0</v>
      </c>
      <c r="O163" s="80">
        <f>SUMIFS('февраль 2024'!$G$6:$G$1413,'февраль 2024'!$D$6:$D$1413,$B163,'февраль 2024'!$J$6:$J$1413,O$1)</f>
        <v>0</v>
      </c>
      <c r="P163" s="80">
        <f>SUMIFS('февраль 2024'!$G$6:$G$1413,'февраль 2024'!$D$6:$D$1413,$B163,'февраль 2024'!$J$6:$J$1413,P$1)</f>
        <v>0</v>
      </c>
      <c r="Q163" s="80">
        <f>SUMIFS('февраль 2024'!$G$6:$G$1413,'февраль 2024'!$D$6:$D$1413,$B163,'февраль 2024'!$J$6:$J$1413,Q$1)</f>
        <v>0</v>
      </c>
      <c r="R163" s="80">
        <f>SUMIFS('февраль 2024'!$G$6:$G$1413,'февраль 2024'!$D$6:$D$1413,$B163,'февраль 2024'!$J$6:$J$1413,R$1)</f>
        <v>0</v>
      </c>
      <c r="S163" s="80">
        <f>SUMIFS('февраль 2024'!$G$6:$G$1413,'февраль 2024'!$D$6:$D$1413,$B163,'февраль 2024'!$J$6:$J$1413,S$1)</f>
        <v>0</v>
      </c>
      <c r="T163" s="80">
        <f>SUMIFS('февраль 2024'!$G$6:$G$1413,'февраль 2024'!$D$6:$D$1413,$B163,'февраль 2024'!$J$6:$J$1413,T$1)</f>
        <v>0</v>
      </c>
      <c r="U163" s="80">
        <f>SUMIFS('февраль 2024'!$G$6:$G$1413,'февраль 2024'!$D$6:$D$1413,$B163,'февраль 2024'!$J$6:$J$1413,U$1)</f>
        <v>0</v>
      </c>
      <c r="V163" s="80">
        <f>SUMIFS('февраль 2024'!$G$6:$G$1413,'февраль 2024'!$D$6:$D$1413,$B163,'февраль 2024'!$J$6:$J$1413,V$1)</f>
        <v>0</v>
      </c>
      <c r="W163" s="80">
        <f>SUMIFS('февраль 2024'!$G$6:$G$1413,'февраль 2024'!$D$6:$D$1413,$B163,'февраль 2024'!$J$6:$J$1413,W$1)</f>
        <v>0</v>
      </c>
      <c r="X163" s="80">
        <f>SUMIFS('февраль 2024'!$G$6:$G$1413,'февраль 2024'!$D$6:$D$1413,$B163,'февраль 2024'!$J$6:$J$1413,X$1)</f>
        <v>0</v>
      </c>
      <c r="Y163" s="80">
        <f>SUMIFS('февраль 2024'!$G$6:$G$1413,'февраль 2024'!$D$6:$D$1413,$B163,'февраль 2024'!$J$6:$J$1413,Y$1)</f>
        <v>0</v>
      </c>
      <c r="Z163" s="80">
        <f>SUMIFS('февраль 2024'!$G$6:$G$1413,'февраль 2024'!$D$6:$D$1413,$B163,'февраль 2024'!$J$6:$J$1413,Z$1)</f>
        <v>0</v>
      </c>
      <c r="AA163" s="80">
        <f>SUMIFS('февраль 2024'!$G$6:$G$1413,'февраль 2024'!$D$6:$D$1413,$B163,'февраль 2024'!$J$6:$J$1413,AA$1)</f>
        <v>0</v>
      </c>
      <c r="AB163" s="80">
        <f>SUMIFS('февраль 2024'!$G$6:$G$1413,'февраль 2024'!$D$6:$D$1413,$B163,'февраль 2024'!$J$6:$J$1413,AB$1)</f>
        <v>0</v>
      </c>
      <c r="AC163" s="80">
        <f>SUMIFS('февраль 2024'!$G$6:$G$1413,'февраль 2024'!$D$6:$D$1413,$B163,'февраль 2024'!$J$6:$J$1413,AC$1)</f>
        <v>0</v>
      </c>
      <c r="AD163" s="80">
        <f>SUMIFS('февраль 2024'!$G$6:$G$1413,'февраль 2024'!$D$6:$D$1413,$B163,'февраль 2024'!$J$6:$J$1413,AD$1)</f>
        <v>0</v>
      </c>
      <c r="AE163" s="80">
        <f>SUMIFS('февраль 2024'!$G$6:$G$1413,'февраль 2024'!$D$6:$D$1413,$B163,'февраль 2024'!$J$6:$J$1413,AE$1)</f>
        <v>0</v>
      </c>
      <c r="AF163" s="80">
        <f>SUMIFS('февраль 2024'!$G$6:$G$1413,'февраль 2024'!$D$6:$D$1413,$B163,'февраль 2024'!$J$6:$J$1413,AF$1)</f>
        <v>0</v>
      </c>
      <c r="AG163" s="80">
        <f>SUMIFS('февраль 2024'!$G$6:$G$1413,'февраль 2024'!$D$6:$D$1413,$B163,'февраль 2024'!$J$6:$J$1413,AG$1)</f>
        <v>0</v>
      </c>
      <c r="AH163" s="80">
        <f>SUMIFS('февраль 2024'!$G$6:$G$1413,'февраль 2024'!$D$6:$D$1413,$B163,'февраль 2024'!$J$6:$J$1413,AH$1)</f>
        <v>0</v>
      </c>
      <c r="AI163" s="87"/>
    </row>
    <row r="164" spans="2:35" ht="15" hidden="1" customHeight="1" x14ac:dyDescent="0.25">
      <c r="B164" s="89"/>
      <c r="C164" s="88"/>
      <c r="D164" s="80">
        <f>SUMIFS('февраль 2024'!$G$6:$G$1413,'февраль 2024'!$D$6:$D$1413,$B164,'февраль 2024'!$J$6:$J$1413,D$1)</f>
        <v>0</v>
      </c>
      <c r="E164" s="80">
        <f>SUMIFS('февраль 2024'!$G$6:$G$1413,'февраль 2024'!$D$6:$D$1413,$B164,'февраль 2024'!$J$6:$J$1413,E$1)</f>
        <v>0</v>
      </c>
      <c r="F164" s="80">
        <f>SUMIFS('февраль 2024'!$G$6:$G$1413,'февраль 2024'!$D$6:$D$1413,$B164,'февраль 2024'!$J$6:$J$1413,F$1)</f>
        <v>0</v>
      </c>
      <c r="G164" s="80">
        <f>SUMIFS('февраль 2024'!$G$6:$G$1413,'февраль 2024'!$D$6:$D$1413,$B164,'февраль 2024'!$J$6:$J$1413,G$1)</f>
        <v>0</v>
      </c>
      <c r="H164" s="80">
        <f>SUMIFS('февраль 2024'!$G$6:$G$1413,'февраль 2024'!$D$6:$D$1413,$B164,'февраль 2024'!$J$6:$J$1413,H$1)</f>
        <v>0</v>
      </c>
      <c r="I164" s="80">
        <f>SUMIFS('февраль 2024'!$G$6:$G$1413,'февраль 2024'!$D$6:$D$1413,$B164,'февраль 2024'!$J$6:$J$1413,I$1)</f>
        <v>0</v>
      </c>
      <c r="J164" s="80">
        <f>SUMIFS('февраль 2024'!$G$6:$G$1413,'февраль 2024'!$D$6:$D$1413,$B164,'февраль 2024'!$J$6:$J$1413,J$1)</f>
        <v>0</v>
      </c>
      <c r="K164" s="80">
        <f>SUMIFS('февраль 2024'!$G$6:$G$1413,'февраль 2024'!$D$6:$D$1413,$B164,'февраль 2024'!$J$6:$J$1413,K$1)</f>
        <v>0</v>
      </c>
      <c r="L164" s="80">
        <f>SUMIFS('февраль 2024'!$G$6:$G$1413,'февраль 2024'!$D$6:$D$1413,$B164,'февраль 2024'!$J$6:$J$1413,L$1)</f>
        <v>0</v>
      </c>
      <c r="M164" s="80">
        <f>SUMIFS('февраль 2024'!$G$6:$G$1413,'февраль 2024'!$D$6:$D$1413,$B164,'февраль 2024'!$J$6:$J$1413,M$1)</f>
        <v>0</v>
      </c>
      <c r="N164" s="80">
        <f>SUMIFS('февраль 2024'!$G$6:$G$1413,'февраль 2024'!$D$6:$D$1413,$B164,'февраль 2024'!$J$6:$J$1413,N$1)</f>
        <v>0</v>
      </c>
      <c r="O164" s="80">
        <f>SUMIFS('февраль 2024'!$G$6:$G$1413,'февраль 2024'!$D$6:$D$1413,$B164,'февраль 2024'!$J$6:$J$1413,O$1)</f>
        <v>0</v>
      </c>
      <c r="P164" s="80">
        <f>SUMIFS('февраль 2024'!$G$6:$G$1413,'февраль 2024'!$D$6:$D$1413,$B164,'февраль 2024'!$J$6:$J$1413,P$1)</f>
        <v>0</v>
      </c>
      <c r="Q164" s="80">
        <f>SUMIFS('февраль 2024'!$G$6:$G$1413,'февраль 2024'!$D$6:$D$1413,$B164,'февраль 2024'!$J$6:$J$1413,Q$1)</f>
        <v>0</v>
      </c>
      <c r="R164" s="80">
        <f>SUMIFS('февраль 2024'!$G$6:$G$1413,'февраль 2024'!$D$6:$D$1413,$B164,'февраль 2024'!$J$6:$J$1413,R$1)</f>
        <v>0</v>
      </c>
      <c r="S164" s="80">
        <f>SUMIFS('февраль 2024'!$G$6:$G$1413,'февраль 2024'!$D$6:$D$1413,$B164,'февраль 2024'!$J$6:$J$1413,S$1)</f>
        <v>0</v>
      </c>
      <c r="T164" s="80">
        <f>SUMIFS('февраль 2024'!$G$6:$G$1413,'февраль 2024'!$D$6:$D$1413,$B164,'февраль 2024'!$J$6:$J$1413,T$1)</f>
        <v>0</v>
      </c>
      <c r="U164" s="80">
        <f>SUMIFS('февраль 2024'!$G$6:$G$1413,'февраль 2024'!$D$6:$D$1413,$B164,'февраль 2024'!$J$6:$J$1413,U$1)</f>
        <v>0</v>
      </c>
      <c r="V164" s="80">
        <f>SUMIFS('февраль 2024'!$G$6:$G$1413,'февраль 2024'!$D$6:$D$1413,$B164,'февраль 2024'!$J$6:$J$1413,V$1)</f>
        <v>0</v>
      </c>
      <c r="W164" s="80">
        <f>SUMIFS('февраль 2024'!$G$6:$G$1413,'февраль 2024'!$D$6:$D$1413,$B164,'февраль 2024'!$J$6:$J$1413,W$1)</f>
        <v>0</v>
      </c>
      <c r="X164" s="80">
        <f>SUMIFS('февраль 2024'!$G$6:$G$1413,'февраль 2024'!$D$6:$D$1413,$B164,'февраль 2024'!$J$6:$J$1413,X$1)</f>
        <v>0</v>
      </c>
      <c r="Y164" s="80">
        <f>SUMIFS('февраль 2024'!$G$6:$G$1413,'февраль 2024'!$D$6:$D$1413,$B164,'февраль 2024'!$J$6:$J$1413,Y$1)</f>
        <v>0</v>
      </c>
      <c r="Z164" s="80">
        <f>SUMIFS('февраль 2024'!$G$6:$G$1413,'февраль 2024'!$D$6:$D$1413,$B164,'февраль 2024'!$J$6:$J$1413,Z$1)</f>
        <v>0</v>
      </c>
      <c r="AA164" s="80">
        <f>SUMIFS('февраль 2024'!$G$6:$G$1413,'февраль 2024'!$D$6:$D$1413,$B164,'февраль 2024'!$J$6:$J$1413,AA$1)</f>
        <v>0</v>
      </c>
      <c r="AB164" s="80">
        <f>SUMIFS('февраль 2024'!$G$6:$G$1413,'февраль 2024'!$D$6:$D$1413,$B164,'февраль 2024'!$J$6:$J$1413,AB$1)</f>
        <v>0</v>
      </c>
      <c r="AC164" s="80">
        <f>SUMIFS('февраль 2024'!$G$6:$G$1413,'февраль 2024'!$D$6:$D$1413,$B164,'февраль 2024'!$J$6:$J$1413,AC$1)</f>
        <v>0</v>
      </c>
      <c r="AD164" s="80">
        <f>SUMIFS('февраль 2024'!$G$6:$G$1413,'февраль 2024'!$D$6:$D$1413,$B164,'февраль 2024'!$J$6:$J$1413,AD$1)</f>
        <v>0</v>
      </c>
      <c r="AE164" s="80">
        <f>SUMIFS('февраль 2024'!$G$6:$G$1413,'февраль 2024'!$D$6:$D$1413,$B164,'февраль 2024'!$J$6:$J$1413,AE$1)</f>
        <v>0</v>
      </c>
      <c r="AF164" s="80">
        <f>SUMIFS('февраль 2024'!$G$6:$G$1413,'февраль 2024'!$D$6:$D$1413,$B164,'февраль 2024'!$J$6:$J$1413,AF$1)</f>
        <v>0</v>
      </c>
      <c r="AG164" s="80">
        <f>SUMIFS('февраль 2024'!$G$6:$G$1413,'февраль 2024'!$D$6:$D$1413,$B164,'февраль 2024'!$J$6:$J$1413,AG$1)</f>
        <v>0</v>
      </c>
      <c r="AH164" s="80">
        <f>SUMIFS('февраль 2024'!$G$6:$G$1413,'февраль 2024'!$D$6:$D$1413,$B164,'февраль 2024'!$J$6:$J$1413,AH$1)</f>
        <v>0</v>
      </c>
      <c r="AI164" s="87"/>
    </row>
    <row r="165" spans="2:35" ht="15" hidden="1" customHeight="1" x14ac:dyDescent="0.25">
      <c r="B165" s="93"/>
      <c r="C165" s="91"/>
      <c r="D165" s="80">
        <f>SUMIFS('февраль 2024'!$G$6:$G$1413,'февраль 2024'!$D$6:$D$1413,$B165,'февраль 2024'!$J$6:$J$1413,D$1)</f>
        <v>0</v>
      </c>
      <c r="E165" s="80">
        <f>SUMIFS('февраль 2024'!$G$6:$G$1413,'февраль 2024'!$D$6:$D$1413,$B165,'февраль 2024'!$J$6:$J$1413,E$1)</f>
        <v>0</v>
      </c>
      <c r="F165" s="80">
        <f>SUMIFS('февраль 2024'!$G$6:$G$1413,'февраль 2024'!$D$6:$D$1413,$B165,'февраль 2024'!$J$6:$J$1413,F$1)</f>
        <v>0</v>
      </c>
      <c r="G165" s="80">
        <f>SUMIFS('февраль 2024'!$G$6:$G$1413,'февраль 2024'!$D$6:$D$1413,$B165,'февраль 2024'!$J$6:$J$1413,G$1)</f>
        <v>0</v>
      </c>
      <c r="H165" s="80">
        <f>SUMIFS('февраль 2024'!$G$6:$G$1413,'февраль 2024'!$D$6:$D$1413,$B165,'февраль 2024'!$J$6:$J$1413,H$1)</f>
        <v>0</v>
      </c>
      <c r="I165" s="80">
        <f>SUMIFS('февраль 2024'!$G$6:$G$1413,'февраль 2024'!$D$6:$D$1413,$B165,'февраль 2024'!$J$6:$J$1413,I$1)</f>
        <v>0</v>
      </c>
      <c r="J165" s="80">
        <f>SUMIFS('февраль 2024'!$G$6:$G$1413,'февраль 2024'!$D$6:$D$1413,$B165,'февраль 2024'!$J$6:$J$1413,J$1)</f>
        <v>0</v>
      </c>
      <c r="K165" s="80">
        <f>SUMIFS('февраль 2024'!$G$6:$G$1413,'февраль 2024'!$D$6:$D$1413,$B165,'февраль 2024'!$J$6:$J$1413,K$1)</f>
        <v>0</v>
      </c>
      <c r="L165" s="80">
        <f>SUMIFS('февраль 2024'!$G$6:$G$1413,'февраль 2024'!$D$6:$D$1413,$B165,'февраль 2024'!$J$6:$J$1413,L$1)</f>
        <v>0</v>
      </c>
      <c r="M165" s="80">
        <f>SUMIFS('февраль 2024'!$G$6:$G$1413,'февраль 2024'!$D$6:$D$1413,$B165,'февраль 2024'!$J$6:$J$1413,M$1)</f>
        <v>0</v>
      </c>
      <c r="N165" s="80">
        <f>SUMIFS('февраль 2024'!$G$6:$G$1413,'февраль 2024'!$D$6:$D$1413,$B165,'февраль 2024'!$J$6:$J$1413,N$1)</f>
        <v>0</v>
      </c>
      <c r="O165" s="80">
        <f>SUMIFS('февраль 2024'!$G$6:$G$1413,'февраль 2024'!$D$6:$D$1413,$B165,'февраль 2024'!$J$6:$J$1413,O$1)</f>
        <v>0</v>
      </c>
      <c r="P165" s="80">
        <f>SUMIFS('февраль 2024'!$G$6:$G$1413,'февраль 2024'!$D$6:$D$1413,$B165,'февраль 2024'!$J$6:$J$1413,P$1)</f>
        <v>0</v>
      </c>
      <c r="Q165" s="80">
        <f>SUMIFS('февраль 2024'!$G$6:$G$1413,'февраль 2024'!$D$6:$D$1413,$B165,'февраль 2024'!$J$6:$J$1413,Q$1)</f>
        <v>0</v>
      </c>
      <c r="R165" s="80">
        <f>SUMIFS('февраль 2024'!$G$6:$G$1413,'февраль 2024'!$D$6:$D$1413,$B165,'февраль 2024'!$J$6:$J$1413,R$1)</f>
        <v>0</v>
      </c>
      <c r="S165" s="80">
        <f>SUMIFS('февраль 2024'!$G$6:$G$1413,'февраль 2024'!$D$6:$D$1413,$B165,'февраль 2024'!$J$6:$J$1413,S$1)</f>
        <v>0</v>
      </c>
      <c r="T165" s="80">
        <f>SUMIFS('февраль 2024'!$G$6:$G$1413,'февраль 2024'!$D$6:$D$1413,$B165,'февраль 2024'!$J$6:$J$1413,T$1)</f>
        <v>0</v>
      </c>
      <c r="U165" s="80">
        <f>SUMIFS('февраль 2024'!$G$6:$G$1413,'февраль 2024'!$D$6:$D$1413,$B165,'февраль 2024'!$J$6:$J$1413,U$1)</f>
        <v>0</v>
      </c>
      <c r="V165" s="80">
        <f>SUMIFS('февраль 2024'!$G$6:$G$1413,'февраль 2024'!$D$6:$D$1413,$B165,'февраль 2024'!$J$6:$J$1413,V$1)</f>
        <v>0</v>
      </c>
      <c r="W165" s="80">
        <f>SUMIFS('февраль 2024'!$G$6:$G$1413,'февраль 2024'!$D$6:$D$1413,$B165,'февраль 2024'!$J$6:$J$1413,W$1)</f>
        <v>0</v>
      </c>
      <c r="X165" s="80">
        <f>SUMIFS('февраль 2024'!$G$6:$G$1413,'февраль 2024'!$D$6:$D$1413,$B165,'февраль 2024'!$J$6:$J$1413,X$1)</f>
        <v>0</v>
      </c>
      <c r="Y165" s="80">
        <f>SUMIFS('февраль 2024'!$G$6:$G$1413,'февраль 2024'!$D$6:$D$1413,$B165,'февраль 2024'!$J$6:$J$1413,Y$1)</f>
        <v>0</v>
      </c>
      <c r="Z165" s="80">
        <f>SUMIFS('февраль 2024'!$G$6:$G$1413,'февраль 2024'!$D$6:$D$1413,$B165,'февраль 2024'!$J$6:$J$1413,Z$1)</f>
        <v>0</v>
      </c>
      <c r="AA165" s="80">
        <f>SUMIFS('февраль 2024'!$G$6:$G$1413,'февраль 2024'!$D$6:$D$1413,$B165,'февраль 2024'!$J$6:$J$1413,AA$1)</f>
        <v>0</v>
      </c>
      <c r="AB165" s="80">
        <f>SUMIFS('февраль 2024'!$G$6:$G$1413,'февраль 2024'!$D$6:$D$1413,$B165,'февраль 2024'!$J$6:$J$1413,AB$1)</f>
        <v>0</v>
      </c>
      <c r="AC165" s="80">
        <f>SUMIFS('февраль 2024'!$G$6:$G$1413,'февраль 2024'!$D$6:$D$1413,$B165,'февраль 2024'!$J$6:$J$1413,AC$1)</f>
        <v>0</v>
      </c>
      <c r="AD165" s="80">
        <f>SUMIFS('февраль 2024'!$G$6:$G$1413,'февраль 2024'!$D$6:$D$1413,$B165,'февраль 2024'!$J$6:$J$1413,AD$1)</f>
        <v>0</v>
      </c>
      <c r="AE165" s="80">
        <f>SUMIFS('февраль 2024'!$G$6:$G$1413,'февраль 2024'!$D$6:$D$1413,$B165,'февраль 2024'!$J$6:$J$1413,AE$1)</f>
        <v>0</v>
      </c>
      <c r="AF165" s="80">
        <f>SUMIFS('февраль 2024'!$G$6:$G$1413,'февраль 2024'!$D$6:$D$1413,$B165,'февраль 2024'!$J$6:$J$1413,AF$1)</f>
        <v>0</v>
      </c>
      <c r="AG165" s="80">
        <f>SUMIFS('февраль 2024'!$G$6:$G$1413,'февраль 2024'!$D$6:$D$1413,$B165,'февраль 2024'!$J$6:$J$1413,AG$1)</f>
        <v>0</v>
      </c>
      <c r="AH165" s="80">
        <f>SUMIFS('февраль 2024'!$G$6:$G$1413,'февраль 2024'!$D$6:$D$1413,$B165,'февраль 2024'!$J$6:$J$1413,AH$1)</f>
        <v>0</v>
      </c>
      <c r="AI165" s="87"/>
    </row>
    <row r="166" spans="2:35" ht="15" hidden="1" customHeight="1" x14ac:dyDescent="0.25">
      <c r="B166" s="93"/>
      <c r="C166" s="91"/>
      <c r="D166" s="80">
        <f>SUMIFS('февраль 2024'!$G$6:$G$1413,'февраль 2024'!$D$6:$D$1413,$B166,'февраль 2024'!$J$6:$J$1413,D$1)</f>
        <v>0</v>
      </c>
      <c r="E166" s="80">
        <f>SUMIFS('февраль 2024'!$G$6:$G$1413,'февраль 2024'!$D$6:$D$1413,$B166,'февраль 2024'!$J$6:$J$1413,E$1)</f>
        <v>0</v>
      </c>
      <c r="F166" s="80">
        <f>SUMIFS('февраль 2024'!$G$6:$G$1413,'февраль 2024'!$D$6:$D$1413,$B166,'февраль 2024'!$J$6:$J$1413,F$1)</f>
        <v>0</v>
      </c>
      <c r="G166" s="80">
        <f>SUMIFS('февраль 2024'!$G$6:$G$1413,'февраль 2024'!$D$6:$D$1413,$B166,'февраль 2024'!$J$6:$J$1413,G$1)</f>
        <v>0</v>
      </c>
      <c r="H166" s="80">
        <f>SUMIFS('февраль 2024'!$G$6:$G$1413,'февраль 2024'!$D$6:$D$1413,$B166,'февраль 2024'!$J$6:$J$1413,H$1)</f>
        <v>0</v>
      </c>
      <c r="I166" s="80">
        <f>SUMIFS('февраль 2024'!$G$6:$G$1413,'февраль 2024'!$D$6:$D$1413,$B166,'февраль 2024'!$J$6:$J$1413,I$1)</f>
        <v>0</v>
      </c>
      <c r="J166" s="80">
        <f>SUMIFS('февраль 2024'!$G$6:$G$1413,'февраль 2024'!$D$6:$D$1413,$B166,'февраль 2024'!$J$6:$J$1413,J$1)</f>
        <v>0</v>
      </c>
      <c r="K166" s="80">
        <f>SUMIFS('февраль 2024'!$G$6:$G$1413,'февраль 2024'!$D$6:$D$1413,$B166,'февраль 2024'!$J$6:$J$1413,K$1)</f>
        <v>0</v>
      </c>
      <c r="L166" s="80">
        <f>SUMIFS('февраль 2024'!$G$6:$G$1413,'февраль 2024'!$D$6:$D$1413,$B166,'февраль 2024'!$J$6:$J$1413,L$1)</f>
        <v>0</v>
      </c>
      <c r="M166" s="80">
        <f>SUMIFS('февраль 2024'!$G$6:$G$1413,'февраль 2024'!$D$6:$D$1413,$B166,'февраль 2024'!$J$6:$J$1413,M$1)</f>
        <v>0</v>
      </c>
      <c r="N166" s="80">
        <f>SUMIFS('февраль 2024'!$G$6:$G$1413,'февраль 2024'!$D$6:$D$1413,$B166,'февраль 2024'!$J$6:$J$1413,N$1)</f>
        <v>0</v>
      </c>
      <c r="O166" s="80">
        <f>SUMIFS('февраль 2024'!$G$6:$G$1413,'февраль 2024'!$D$6:$D$1413,$B166,'февраль 2024'!$J$6:$J$1413,O$1)</f>
        <v>0</v>
      </c>
      <c r="P166" s="80">
        <f>SUMIFS('февраль 2024'!$G$6:$G$1413,'февраль 2024'!$D$6:$D$1413,$B166,'февраль 2024'!$J$6:$J$1413,P$1)</f>
        <v>0</v>
      </c>
      <c r="Q166" s="80">
        <f>SUMIFS('февраль 2024'!$G$6:$G$1413,'февраль 2024'!$D$6:$D$1413,$B166,'февраль 2024'!$J$6:$J$1413,Q$1)</f>
        <v>0</v>
      </c>
      <c r="R166" s="80">
        <f>SUMIFS('февраль 2024'!$G$6:$G$1413,'февраль 2024'!$D$6:$D$1413,$B166,'февраль 2024'!$J$6:$J$1413,R$1)</f>
        <v>0</v>
      </c>
      <c r="S166" s="80">
        <f>SUMIFS('февраль 2024'!$G$6:$G$1413,'февраль 2024'!$D$6:$D$1413,$B166,'февраль 2024'!$J$6:$J$1413,S$1)</f>
        <v>0</v>
      </c>
      <c r="T166" s="80">
        <f>SUMIFS('февраль 2024'!$G$6:$G$1413,'февраль 2024'!$D$6:$D$1413,$B166,'февраль 2024'!$J$6:$J$1413,T$1)</f>
        <v>0</v>
      </c>
      <c r="U166" s="80">
        <f>SUMIFS('февраль 2024'!$G$6:$G$1413,'февраль 2024'!$D$6:$D$1413,$B166,'февраль 2024'!$J$6:$J$1413,U$1)</f>
        <v>0</v>
      </c>
      <c r="V166" s="80">
        <f>SUMIFS('февраль 2024'!$G$6:$G$1413,'февраль 2024'!$D$6:$D$1413,$B166,'февраль 2024'!$J$6:$J$1413,V$1)</f>
        <v>0</v>
      </c>
      <c r="W166" s="80">
        <f>SUMIFS('февраль 2024'!$G$6:$G$1413,'февраль 2024'!$D$6:$D$1413,$B166,'февраль 2024'!$J$6:$J$1413,W$1)</f>
        <v>0</v>
      </c>
      <c r="X166" s="80">
        <f>SUMIFS('февраль 2024'!$G$6:$G$1413,'февраль 2024'!$D$6:$D$1413,$B166,'февраль 2024'!$J$6:$J$1413,X$1)</f>
        <v>0</v>
      </c>
      <c r="Y166" s="80">
        <f>SUMIFS('февраль 2024'!$G$6:$G$1413,'февраль 2024'!$D$6:$D$1413,$B166,'февраль 2024'!$J$6:$J$1413,Y$1)</f>
        <v>0</v>
      </c>
      <c r="Z166" s="80">
        <f>SUMIFS('февраль 2024'!$G$6:$G$1413,'февраль 2024'!$D$6:$D$1413,$B166,'февраль 2024'!$J$6:$J$1413,Z$1)</f>
        <v>0</v>
      </c>
      <c r="AA166" s="80">
        <f>SUMIFS('февраль 2024'!$G$6:$G$1413,'февраль 2024'!$D$6:$D$1413,$B166,'февраль 2024'!$J$6:$J$1413,AA$1)</f>
        <v>0</v>
      </c>
      <c r="AB166" s="80">
        <f>SUMIFS('февраль 2024'!$G$6:$G$1413,'февраль 2024'!$D$6:$D$1413,$B166,'февраль 2024'!$J$6:$J$1413,AB$1)</f>
        <v>0</v>
      </c>
      <c r="AC166" s="80">
        <f>SUMIFS('февраль 2024'!$G$6:$G$1413,'февраль 2024'!$D$6:$D$1413,$B166,'февраль 2024'!$J$6:$J$1413,AC$1)</f>
        <v>0</v>
      </c>
      <c r="AD166" s="80">
        <f>SUMIFS('февраль 2024'!$G$6:$G$1413,'февраль 2024'!$D$6:$D$1413,$B166,'февраль 2024'!$J$6:$J$1413,AD$1)</f>
        <v>0</v>
      </c>
      <c r="AE166" s="80">
        <f>SUMIFS('февраль 2024'!$G$6:$G$1413,'февраль 2024'!$D$6:$D$1413,$B166,'февраль 2024'!$J$6:$J$1413,AE$1)</f>
        <v>0</v>
      </c>
      <c r="AF166" s="80">
        <f>SUMIFS('февраль 2024'!$G$6:$G$1413,'февраль 2024'!$D$6:$D$1413,$B166,'февраль 2024'!$J$6:$J$1413,AF$1)</f>
        <v>0</v>
      </c>
      <c r="AG166" s="80">
        <f>SUMIFS('февраль 2024'!$G$6:$G$1413,'февраль 2024'!$D$6:$D$1413,$B166,'февраль 2024'!$J$6:$J$1413,AG$1)</f>
        <v>0</v>
      </c>
      <c r="AH166" s="80">
        <f>SUMIFS('февраль 2024'!$G$6:$G$1413,'февраль 2024'!$D$6:$D$1413,$B166,'февраль 2024'!$J$6:$J$1413,AH$1)</f>
        <v>0</v>
      </c>
      <c r="AI166" s="87"/>
    </row>
    <row r="167" spans="2:35" ht="15" hidden="1" customHeight="1" x14ac:dyDescent="0.25">
      <c r="B167" s="93"/>
      <c r="C167" s="91"/>
      <c r="D167" s="80">
        <f>SUMIFS('февраль 2024'!$G$6:$G$1413,'февраль 2024'!$D$6:$D$1413,$B167,'февраль 2024'!$J$6:$J$1413,D$1)</f>
        <v>0</v>
      </c>
      <c r="E167" s="80">
        <f>SUMIFS('февраль 2024'!$G$6:$G$1413,'февраль 2024'!$D$6:$D$1413,$B167,'февраль 2024'!$J$6:$J$1413,E$1)</f>
        <v>0</v>
      </c>
      <c r="F167" s="80">
        <f>SUMIFS('февраль 2024'!$G$6:$G$1413,'февраль 2024'!$D$6:$D$1413,$B167,'февраль 2024'!$J$6:$J$1413,F$1)</f>
        <v>0</v>
      </c>
      <c r="G167" s="80">
        <f>SUMIFS('февраль 2024'!$G$6:$G$1413,'февраль 2024'!$D$6:$D$1413,$B167,'февраль 2024'!$J$6:$J$1413,G$1)</f>
        <v>0</v>
      </c>
      <c r="H167" s="80">
        <f>SUMIFS('февраль 2024'!$G$6:$G$1413,'февраль 2024'!$D$6:$D$1413,$B167,'февраль 2024'!$J$6:$J$1413,H$1)</f>
        <v>0</v>
      </c>
      <c r="I167" s="80">
        <f>SUMIFS('февраль 2024'!$G$6:$G$1413,'февраль 2024'!$D$6:$D$1413,$B167,'февраль 2024'!$J$6:$J$1413,I$1)</f>
        <v>0</v>
      </c>
      <c r="J167" s="80">
        <f>SUMIFS('февраль 2024'!$G$6:$G$1413,'февраль 2024'!$D$6:$D$1413,$B167,'февраль 2024'!$J$6:$J$1413,J$1)</f>
        <v>0</v>
      </c>
      <c r="K167" s="80">
        <f>SUMIFS('февраль 2024'!$G$6:$G$1413,'февраль 2024'!$D$6:$D$1413,$B167,'февраль 2024'!$J$6:$J$1413,K$1)</f>
        <v>0</v>
      </c>
      <c r="L167" s="80">
        <f>SUMIFS('февраль 2024'!$G$6:$G$1413,'февраль 2024'!$D$6:$D$1413,$B167,'февраль 2024'!$J$6:$J$1413,L$1)</f>
        <v>0</v>
      </c>
      <c r="M167" s="80">
        <f>SUMIFS('февраль 2024'!$G$6:$G$1413,'февраль 2024'!$D$6:$D$1413,$B167,'февраль 2024'!$J$6:$J$1413,M$1)</f>
        <v>0</v>
      </c>
      <c r="N167" s="80">
        <f>SUMIFS('февраль 2024'!$G$6:$G$1413,'февраль 2024'!$D$6:$D$1413,$B167,'февраль 2024'!$J$6:$J$1413,N$1)</f>
        <v>0</v>
      </c>
      <c r="O167" s="80">
        <f>SUMIFS('февраль 2024'!$G$6:$G$1413,'февраль 2024'!$D$6:$D$1413,$B167,'февраль 2024'!$J$6:$J$1413,O$1)</f>
        <v>0</v>
      </c>
      <c r="P167" s="80">
        <f>SUMIFS('февраль 2024'!$G$6:$G$1413,'февраль 2024'!$D$6:$D$1413,$B167,'февраль 2024'!$J$6:$J$1413,P$1)</f>
        <v>0</v>
      </c>
      <c r="Q167" s="80">
        <f>SUMIFS('февраль 2024'!$G$6:$G$1413,'февраль 2024'!$D$6:$D$1413,$B167,'февраль 2024'!$J$6:$J$1413,Q$1)</f>
        <v>0</v>
      </c>
      <c r="R167" s="80">
        <f>SUMIFS('февраль 2024'!$G$6:$G$1413,'февраль 2024'!$D$6:$D$1413,$B167,'февраль 2024'!$J$6:$J$1413,R$1)</f>
        <v>0</v>
      </c>
      <c r="S167" s="80">
        <f>SUMIFS('февраль 2024'!$G$6:$G$1413,'февраль 2024'!$D$6:$D$1413,$B167,'февраль 2024'!$J$6:$J$1413,S$1)</f>
        <v>0</v>
      </c>
      <c r="T167" s="80">
        <f>SUMIFS('февраль 2024'!$G$6:$G$1413,'февраль 2024'!$D$6:$D$1413,$B167,'февраль 2024'!$J$6:$J$1413,T$1)</f>
        <v>0</v>
      </c>
      <c r="U167" s="80">
        <f>SUMIFS('февраль 2024'!$G$6:$G$1413,'февраль 2024'!$D$6:$D$1413,$B167,'февраль 2024'!$J$6:$J$1413,U$1)</f>
        <v>0</v>
      </c>
      <c r="V167" s="80">
        <f>SUMIFS('февраль 2024'!$G$6:$G$1413,'февраль 2024'!$D$6:$D$1413,$B167,'февраль 2024'!$J$6:$J$1413,V$1)</f>
        <v>0</v>
      </c>
      <c r="W167" s="80">
        <f>SUMIFS('февраль 2024'!$G$6:$G$1413,'февраль 2024'!$D$6:$D$1413,$B167,'февраль 2024'!$J$6:$J$1413,W$1)</f>
        <v>0</v>
      </c>
      <c r="X167" s="80">
        <f>SUMIFS('февраль 2024'!$G$6:$G$1413,'февраль 2024'!$D$6:$D$1413,$B167,'февраль 2024'!$J$6:$J$1413,X$1)</f>
        <v>0</v>
      </c>
      <c r="Y167" s="80">
        <f>SUMIFS('февраль 2024'!$G$6:$G$1413,'февраль 2024'!$D$6:$D$1413,$B167,'февраль 2024'!$J$6:$J$1413,Y$1)</f>
        <v>0</v>
      </c>
      <c r="Z167" s="80">
        <f>SUMIFS('февраль 2024'!$G$6:$G$1413,'февраль 2024'!$D$6:$D$1413,$B167,'февраль 2024'!$J$6:$J$1413,Z$1)</f>
        <v>0</v>
      </c>
      <c r="AA167" s="80">
        <f>SUMIFS('февраль 2024'!$G$6:$G$1413,'февраль 2024'!$D$6:$D$1413,$B167,'февраль 2024'!$J$6:$J$1413,AA$1)</f>
        <v>0</v>
      </c>
      <c r="AB167" s="80">
        <f>SUMIFS('февраль 2024'!$G$6:$G$1413,'февраль 2024'!$D$6:$D$1413,$B167,'февраль 2024'!$J$6:$J$1413,AB$1)</f>
        <v>0</v>
      </c>
      <c r="AC167" s="80">
        <f>SUMIFS('февраль 2024'!$G$6:$G$1413,'февраль 2024'!$D$6:$D$1413,$B167,'февраль 2024'!$J$6:$J$1413,AC$1)</f>
        <v>0</v>
      </c>
      <c r="AD167" s="80">
        <f>SUMIFS('февраль 2024'!$G$6:$G$1413,'февраль 2024'!$D$6:$D$1413,$B167,'февраль 2024'!$J$6:$J$1413,AD$1)</f>
        <v>0</v>
      </c>
      <c r="AE167" s="80">
        <f>SUMIFS('февраль 2024'!$G$6:$G$1413,'февраль 2024'!$D$6:$D$1413,$B167,'февраль 2024'!$J$6:$J$1413,AE$1)</f>
        <v>0</v>
      </c>
      <c r="AF167" s="80">
        <f>SUMIFS('февраль 2024'!$G$6:$G$1413,'февраль 2024'!$D$6:$D$1413,$B167,'февраль 2024'!$J$6:$J$1413,AF$1)</f>
        <v>0</v>
      </c>
      <c r="AG167" s="80">
        <f>SUMIFS('февраль 2024'!$G$6:$G$1413,'февраль 2024'!$D$6:$D$1413,$B167,'февраль 2024'!$J$6:$J$1413,AG$1)</f>
        <v>0</v>
      </c>
      <c r="AH167" s="80">
        <f>SUMIFS('февраль 2024'!$G$6:$G$1413,'февраль 2024'!$D$6:$D$1413,$B167,'февраль 2024'!$J$6:$J$1413,AH$1)</f>
        <v>0</v>
      </c>
      <c r="AI167" s="87"/>
    </row>
    <row r="168" spans="2:35" ht="15" hidden="1" customHeight="1" x14ac:dyDescent="0.25">
      <c r="B168" s="89"/>
      <c r="C168" s="88"/>
      <c r="D168" s="80">
        <f>SUMIFS('февраль 2024'!$G$6:$G$1413,'февраль 2024'!$D$6:$D$1413,$B168,'февраль 2024'!$J$6:$J$1413,D$1)</f>
        <v>0</v>
      </c>
      <c r="E168" s="80">
        <f>SUMIFS('февраль 2024'!$G$6:$G$1413,'февраль 2024'!$D$6:$D$1413,$B168,'февраль 2024'!$J$6:$J$1413,E$1)</f>
        <v>0</v>
      </c>
      <c r="F168" s="80">
        <f>SUMIFS('февраль 2024'!$G$6:$G$1413,'февраль 2024'!$D$6:$D$1413,$B168,'февраль 2024'!$J$6:$J$1413,F$1)</f>
        <v>0</v>
      </c>
      <c r="G168" s="80">
        <f>SUMIFS('февраль 2024'!$G$6:$G$1413,'февраль 2024'!$D$6:$D$1413,$B168,'февраль 2024'!$J$6:$J$1413,G$1)</f>
        <v>0</v>
      </c>
      <c r="H168" s="80">
        <f>SUMIFS('февраль 2024'!$G$6:$G$1413,'февраль 2024'!$D$6:$D$1413,$B168,'февраль 2024'!$J$6:$J$1413,H$1)</f>
        <v>0</v>
      </c>
      <c r="I168" s="80">
        <f>SUMIFS('февраль 2024'!$G$6:$G$1413,'февраль 2024'!$D$6:$D$1413,$B168,'февраль 2024'!$J$6:$J$1413,I$1)</f>
        <v>0</v>
      </c>
      <c r="J168" s="80">
        <f>SUMIFS('февраль 2024'!$G$6:$G$1413,'февраль 2024'!$D$6:$D$1413,$B168,'февраль 2024'!$J$6:$J$1413,J$1)</f>
        <v>0</v>
      </c>
      <c r="K168" s="80">
        <f>SUMIFS('февраль 2024'!$G$6:$G$1413,'февраль 2024'!$D$6:$D$1413,$B168,'февраль 2024'!$J$6:$J$1413,K$1)</f>
        <v>0</v>
      </c>
      <c r="L168" s="80">
        <f>SUMIFS('февраль 2024'!$G$6:$G$1413,'февраль 2024'!$D$6:$D$1413,$B168,'февраль 2024'!$J$6:$J$1413,L$1)</f>
        <v>0</v>
      </c>
      <c r="M168" s="80">
        <f>SUMIFS('февраль 2024'!$G$6:$G$1413,'февраль 2024'!$D$6:$D$1413,$B168,'февраль 2024'!$J$6:$J$1413,M$1)</f>
        <v>0</v>
      </c>
      <c r="N168" s="80">
        <f>SUMIFS('февраль 2024'!$G$6:$G$1413,'февраль 2024'!$D$6:$D$1413,$B168,'февраль 2024'!$J$6:$J$1413,N$1)</f>
        <v>0</v>
      </c>
      <c r="O168" s="80">
        <f>SUMIFS('февраль 2024'!$G$6:$G$1413,'февраль 2024'!$D$6:$D$1413,$B168,'февраль 2024'!$J$6:$J$1413,O$1)</f>
        <v>0</v>
      </c>
      <c r="P168" s="80">
        <f>SUMIFS('февраль 2024'!$G$6:$G$1413,'февраль 2024'!$D$6:$D$1413,$B168,'февраль 2024'!$J$6:$J$1413,P$1)</f>
        <v>0</v>
      </c>
      <c r="Q168" s="80">
        <f>SUMIFS('февраль 2024'!$G$6:$G$1413,'февраль 2024'!$D$6:$D$1413,$B168,'февраль 2024'!$J$6:$J$1413,Q$1)</f>
        <v>0</v>
      </c>
      <c r="R168" s="80">
        <f>SUMIFS('февраль 2024'!$G$6:$G$1413,'февраль 2024'!$D$6:$D$1413,$B168,'февраль 2024'!$J$6:$J$1413,R$1)</f>
        <v>0</v>
      </c>
      <c r="S168" s="80">
        <f>SUMIFS('февраль 2024'!$G$6:$G$1413,'февраль 2024'!$D$6:$D$1413,$B168,'февраль 2024'!$J$6:$J$1413,S$1)</f>
        <v>0</v>
      </c>
      <c r="T168" s="80">
        <f>SUMIFS('февраль 2024'!$G$6:$G$1413,'февраль 2024'!$D$6:$D$1413,$B168,'февраль 2024'!$J$6:$J$1413,T$1)</f>
        <v>0</v>
      </c>
      <c r="U168" s="80">
        <f>SUMIFS('февраль 2024'!$G$6:$G$1413,'февраль 2024'!$D$6:$D$1413,$B168,'февраль 2024'!$J$6:$J$1413,U$1)</f>
        <v>0</v>
      </c>
      <c r="V168" s="80">
        <f>SUMIFS('февраль 2024'!$G$6:$G$1413,'февраль 2024'!$D$6:$D$1413,$B168,'февраль 2024'!$J$6:$J$1413,V$1)</f>
        <v>0</v>
      </c>
      <c r="W168" s="80">
        <f>SUMIFS('февраль 2024'!$G$6:$G$1413,'февраль 2024'!$D$6:$D$1413,$B168,'февраль 2024'!$J$6:$J$1413,W$1)</f>
        <v>0</v>
      </c>
      <c r="X168" s="80">
        <f>SUMIFS('февраль 2024'!$G$6:$G$1413,'февраль 2024'!$D$6:$D$1413,$B168,'февраль 2024'!$J$6:$J$1413,X$1)</f>
        <v>0</v>
      </c>
      <c r="Y168" s="80">
        <f>SUMIFS('февраль 2024'!$G$6:$G$1413,'февраль 2024'!$D$6:$D$1413,$B168,'февраль 2024'!$J$6:$J$1413,Y$1)</f>
        <v>0</v>
      </c>
      <c r="Z168" s="80">
        <f>SUMIFS('февраль 2024'!$G$6:$G$1413,'февраль 2024'!$D$6:$D$1413,$B168,'февраль 2024'!$J$6:$J$1413,Z$1)</f>
        <v>0</v>
      </c>
      <c r="AA168" s="80">
        <f>SUMIFS('февраль 2024'!$G$6:$G$1413,'февраль 2024'!$D$6:$D$1413,$B168,'февраль 2024'!$J$6:$J$1413,AA$1)</f>
        <v>0</v>
      </c>
      <c r="AB168" s="80">
        <f>SUMIFS('февраль 2024'!$G$6:$G$1413,'февраль 2024'!$D$6:$D$1413,$B168,'февраль 2024'!$J$6:$J$1413,AB$1)</f>
        <v>0</v>
      </c>
      <c r="AC168" s="80">
        <f>SUMIFS('февраль 2024'!$G$6:$G$1413,'февраль 2024'!$D$6:$D$1413,$B168,'февраль 2024'!$J$6:$J$1413,AC$1)</f>
        <v>0</v>
      </c>
      <c r="AD168" s="80">
        <f>SUMIFS('февраль 2024'!$G$6:$G$1413,'февраль 2024'!$D$6:$D$1413,$B168,'февраль 2024'!$J$6:$J$1413,AD$1)</f>
        <v>0</v>
      </c>
      <c r="AE168" s="80">
        <f>SUMIFS('февраль 2024'!$G$6:$G$1413,'февраль 2024'!$D$6:$D$1413,$B168,'февраль 2024'!$J$6:$J$1413,AE$1)</f>
        <v>0</v>
      </c>
      <c r="AF168" s="80">
        <f>SUMIFS('февраль 2024'!$G$6:$G$1413,'февраль 2024'!$D$6:$D$1413,$B168,'февраль 2024'!$J$6:$J$1413,AF$1)</f>
        <v>0</v>
      </c>
      <c r="AG168" s="80">
        <f>SUMIFS('февраль 2024'!$G$6:$G$1413,'февраль 2024'!$D$6:$D$1413,$B168,'февраль 2024'!$J$6:$J$1413,AG$1)</f>
        <v>0</v>
      </c>
      <c r="AH168" s="80">
        <f>SUMIFS('февраль 2024'!$G$6:$G$1413,'февраль 2024'!$D$6:$D$1413,$B168,'февраль 2024'!$J$6:$J$1413,AH$1)</f>
        <v>0</v>
      </c>
      <c r="AI168" s="87"/>
    </row>
    <row r="169" spans="2:35" ht="15" hidden="1" customHeight="1" x14ac:dyDescent="0.25">
      <c r="B169" s="89"/>
      <c r="C169" s="88"/>
      <c r="D169" s="80">
        <f>SUMIFS('февраль 2024'!$G$6:$G$1413,'февраль 2024'!$D$6:$D$1413,$B169,'февраль 2024'!$J$6:$J$1413,D$1)</f>
        <v>0</v>
      </c>
      <c r="E169" s="80">
        <f>SUMIFS('февраль 2024'!$G$6:$G$1413,'февраль 2024'!$D$6:$D$1413,$B169,'февраль 2024'!$J$6:$J$1413,E$1)</f>
        <v>0</v>
      </c>
      <c r="F169" s="80">
        <f>SUMIFS('февраль 2024'!$G$6:$G$1413,'февраль 2024'!$D$6:$D$1413,$B169,'февраль 2024'!$J$6:$J$1413,F$1)</f>
        <v>0</v>
      </c>
      <c r="G169" s="80">
        <f>SUMIFS('февраль 2024'!$G$6:$G$1413,'февраль 2024'!$D$6:$D$1413,$B169,'февраль 2024'!$J$6:$J$1413,G$1)</f>
        <v>0</v>
      </c>
      <c r="H169" s="80">
        <f>SUMIFS('февраль 2024'!$G$6:$G$1413,'февраль 2024'!$D$6:$D$1413,$B169,'февраль 2024'!$J$6:$J$1413,H$1)</f>
        <v>0</v>
      </c>
      <c r="I169" s="80">
        <f>SUMIFS('февраль 2024'!$G$6:$G$1413,'февраль 2024'!$D$6:$D$1413,$B169,'февраль 2024'!$J$6:$J$1413,I$1)</f>
        <v>0</v>
      </c>
      <c r="J169" s="80">
        <f>SUMIFS('февраль 2024'!$G$6:$G$1413,'февраль 2024'!$D$6:$D$1413,$B169,'февраль 2024'!$J$6:$J$1413,J$1)</f>
        <v>0</v>
      </c>
      <c r="K169" s="80">
        <f>SUMIFS('февраль 2024'!$G$6:$G$1413,'февраль 2024'!$D$6:$D$1413,$B169,'февраль 2024'!$J$6:$J$1413,K$1)</f>
        <v>0</v>
      </c>
      <c r="L169" s="80">
        <f>SUMIFS('февраль 2024'!$G$6:$G$1413,'февраль 2024'!$D$6:$D$1413,$B169,'февраль 2024'!$J$6:$J$1413,L$1)</f>
        <v>0</v>
      </c>
      <c r="M169" s="80">
        <f>SUMIFS('февраль 2024'!$G$6:$G$1413,'февраль 2024'!$D$6:$D$1413,$B169,'февраль 2024'!$J$6:$J$1413,M$1)</f>
        <v>0</v>
      </c>
      <c r="N169" s="80">
        <f>SUMIFS('февраль 2024'!$G$6:$G$1413,'февраль 2024'!$D$6:$D$1413,$B169,'февраль 2024'!$J$6:$J$1413,N$1)</f>
        <v>0</v>
      </c>
      <c r="O169" s="80">
        <f>SUMIFS('февраль 2024'!$G$6:$G$1413,'февраль 2024'!$D$6:$D$1413,$B169,'февраль 2024'!$J$6:$J$1413,O$1)</f>
        <v>0</v>
      </c>
      <c r="P169" s="80">
        <f>SUMIFS('февраль 2024'!$G$6:$G$1413,'февраль 2024'!$D$6:$D$1413,$B169,'февраль 2024'!$J$6:$J$1413,P$1)</f>
        <v>0</v>
      </c>
      <c r="Q169" s="80">
        <f>SUMIFS('февраль 2024'!$G$6:$G$1413,'февраль 2024'!$D$6:$D$1413,$B169,'февраль 2024'!$J$6:$J$1413,Q$1)</f>
        <v>0</v>
      </c>
      <c r="R169" s="80">
        <f>SUMIFS('февраль 2024'!$G$6:$G$1413,'февраль 2024'!$D$6:$D$1413,$B169,'февраль 2024'!$J$6:$J$1413,R$1)</f>
        <v>0</v>
      </c>
      <c r="S169" s="80">
        <f>SUMIFS('февраль 2024'!$G$6:$G$1413,'февраль 2024'!$D$6:$D$1413,$B169,'февраль 2024'!$J$6:$J$1413,S$1)</f>
        <v>0</v>
      </c>
      <c r="T169" s="80">
        <f>SUMIFS('февраль 2024'!$G$6:$G$1413,'февраль 2024'!$D$6:$D$1413,$B169,'февраль 2024'!$J$6:$J$1413,T$1)</f>
        <v>0</v>
      </c>
      <c r="U169" s="80">
        <f>SUMIFS('февраль 2024'!$G$6:$G$1413,'февраль 2024'!$D$6:$D$1413,$B169,'февраль 2024'!$J$6:$J$1413,U$1)</f>
        <v>0</v>
      </c>
      <c r="V169" s="80">
        <f>SUMIFS('февраль 2024'!$G$6:$G$1413,'февраль 2024'!$D$6:$D$1413,$B169,'февраль 2024'!$J$6:$J$1413,V$1)</f>
        <v>0</v>
      </c>
      <c r="W169" s="80">
        <f>SUMIFS('февраль 2024'!$G$6:$G$1413,'февраль 2024'!$D$6:$D$1413,$B169,'февраль 2024'!$J$6:$J$1413,W$1)</f>
        <v>0</v>
      </c>
      <c r="X169" s="80">
        <f>SUMIFS('февраль 2024'!$G$6:$G$1413,'февраль 2024'!$D$6:$D$1413,$B169,'февраль 2024'!$J$6:$J$1413,X$1)</f>
        <v>0</v>
      </c>
      <c r="Y169" s="80">
        <f>SUMIFS('февраль 2024'!$G$6:$G$1413,'февраль 2024'!$D$6:$D$1413,$B169,'февраль 2024'!$J$6:$J$1413,Y$1)</f>
        <v>0</v>
      </c>
      <c r="Z169" s="80">
        <f>SUMIFS('февраль 2024'!$G$6:$G$1413,'февраль 2024'!$D$6:$D$1413,$B169,'февраль 2024'!$J$6:$J$1413,Z$1)</f>
        <v>0</v>
      </c>
      <c r="AA169" s="80">
        <f>SUMIFS('февраль 2024'!$G$6:$G$1413,'февраль 2024'!$D$6:$D$1413,$B169,'февраль 2024'!$J$6:$J$1413,AA$1)</f>
        <v>0</v>
      </c>
      <c r="AB169" s="80">
        <f>SUMIFS('февраль 2024'!$G$6:$G$1413,'февраль 2024'!$D$6:$D$1413,$B169,'февраль 2024'!$J$6:$J$1413,AB$1)</f>
        <v>0</v>
      </c>
      <c r="AC169" s="80">
        <f>SUMIFS('февраль 2024'!$G$6:$G$1413,'февраль 2024'!$D$6:$D$1413,$B169,'февраль 2024'!$J$6:$J$1413,AC$1)</f>
        <v>0</v>
      </c>
      <c r="AD169" s="80">
        <f>SUMIFS('февраль 2024'!$G$6:$G$1413,'февраль 2024'!$D$6:$D$1413,$B169,'февраль 2024'!$J$6:$J$1413,AD$1)</f>
        <v>0</v>
      </c>
      <c r="AE169" s="80">
        <f>SUMIFS('февраль 2024'!$G$6:$G$1413,'февраль 2024'!$D$6:$D$1413,$B169,'февраль 2024'!$J$6:$J$1413,AE$1)</f>
        <v>0</v>
      </c>
      <c r="AF169" s="80">
        <f>SUMIFS('февраль 2024'!$G$6:$G$1413,'февраль 2024'!$D$6:$D$1413,$B169,'февраль 2024'!$J$6:$J$1413,AF$1)</f>
        <v>0</v>
      </c>
      <c r="AG169" s="80">
        <f>SUMIFS('февраль 2024'!$G$6:$G$1413,'февраль 2024'!$D$6:$D$1413,$B169,'февраль 2024'!$J$6:$J$1413,AG$1)</f>
        <v>0</v>
      </c>
      <c r="AH169" s="80">
        <f>SUMIFS('февраль 2024'!$G$6:$G$1413,'февраль 2024'!$D$6:$D$1413,$B169,'февраль 2024'!$J$6:$J$1413,AH$1)</f>
        <v>0</v>
      </c>
      <c r="AI169" s="87"/>
    </row>
    <row r="170" spans="2:35" ht="15" hidden="1" customHeight="1" x14ac:dyDescent="0.25">
      <c r="B170" s="89"/>
      <c r="C170" s="88"/>
      <c r="D170" s="80">
        <f>SUMIFS('февраль 2024'!$G$6:$G$1413,'февраль 2024'!$D$6:$D$1413,$B170,'февраль 2024'!$J$6:$J$1413,D$1)</f>
        <v>0</v>
      </c>
      <c r="E170" s="80">
        <f>SUMIFS('февраль 2024'!$G$6:$G$1413,'февраль 2024'!$D$6:$D$1413,$B170,'февраль 2024'!$J$6:$J$1413,E$1)</f>
        <v>0</v>
      </c>
      <c r="F170" s="80">
        <f>SUMIFS('февраль 2024'!$G$6:$G$1413,'февраль 2024'!$D$6:$D$1413,$B170,'февраль 2024'!$J$6:$J$1413,F$1)</f>
        <v>0</v>
      </c>
      <c r="G170" s="80">
        <f>SUMIFS('февраль 2024'!$G$6:$G$1413,'февраль 2024'!$D$6:$D$1413,$B170,'февраль 2024'!$J$6:$J$1413,G$1)</f>
        <v>0</v>
      </c>
      <c r="H170" s="80">
        <f>SUMIFS('февраль 2024'!$G$6:$G$1413,'февраль 2024'!$D$6:$D$1413,$B170,'февраль 2024'!$J$6:$J$1413,H$1)</f>
        <v>0</v>
      </c>
      <c r="I170" s="80">
        <f>SUMIFS('февраль 2024'!$G$6:$G$1413,'февраль 2024'!$D$6:$D$1413,$B170,'февраль 2024'!$J$6:$J$1413,I$1)</f>
        <v>0</v>
      </c>
      <c r="J170" s="80">
        <f>SUMIFS('февраль 2024'!$G$6:$G$1413,'февраль 2024'!$D$6:$D$1413,$B170,'февраль 2024'!$J$6:$J$1413,J$1)</f>
        <v>0</v>
      </c>
      <c r="K170" s="80">
        <f>SUMIFS('февраль 2024'!$G$6:$G$1413,'февраль 2024'!$D$6:$D$1413,$B170,'февраль 2024'!$J$6:$J$1413,K$1)</f>
        <v>0</v>
      </c>
      <c r="L170" s="80">
        <f>SUMIFS('февраль 2024'!$G$6:$G$1413,'февраль 2024'!$D$6:$D$1413,$B170,'февраль 2024'!$J$6:$J$1413,L$1)</f>
        <v>0</v>
      </c>
      <c r="M170" s="80">
        <f>SUMIFS('февраль 2024'!$G$6:$G$1413,'февраль 2024'!$D$6:$D$1413,$B170,'февраль 2024'!$J$6:$J$1413,M$1)</f>
        <v>0</v>
      </c>
      <c r="N170" s="80">
        <f>SUMIFS('февраль 2024'!$G$6:$G$1413,'февраль 2024'!$D$6:$D$1413,$B170,'февраль 2024'!$J$6:$J$1413,N$1)</f>
        <v>0</v>
      </c>
      <c r="O170" s="80">
        <f>SUMIFS('февраль 2024'!$G$6:$G$1413,'февраль 2024'!$D$6:$D$1413,$B170,'февраль 2024'!$J$6:$J$1413,O$1)</f>
        <v>0</v>
      </c>
      <c r="P170" s="80">
        <f>SUMIFS('февраль 2024'!$G$6:$G$1413,'февраль 2024'!$D$6:$D$1413,$B170,'февраль 2024'!$J$6:$J$1413,P$1)</f>
        <v>0</v>
      </c>
      <c r="Q170" s="80">
        <f>SUMIFS('февраль 2024'!$G$6:$G$1413,'февраль 2024'!$D$6:$D$1413,$B170,'февраль 2024'!$J$6:$J$1413,Q$1)</f>
        <v>0</v>
      </c>
      <c r="R170" s="80">
        <f>SUMIFS('февраль 2024'!$G$6:$G$1413,'февраль 2024'!$D$6:$D$1413,$B170,'февраль 2024'!$J$6:$J$1413,R$1)</f>
        <v>0</v>
      </c>
      <c r="S170" s="80">
        <f>SUMIFS('февраль 2024'!$G$6:$G$1413,'февраль 2024'!$D$6:$D$1413,$B170,'февраль 2024'!$J$6:$J$1413,S$1)</f>
        <v>0</v>
      </c>
      <c r="T170" s="80">
        <f>SUMIFS('февраль 2024'!$G$6:$G$1413,'февраль 2024'!$D$6:$D$1413,$B170,'февраль 2024'!$J$6:$J$1413,T$1)</f>
        <v>0</v>
      </c>
      <c r="U170" s="80">
        <f>SUMIFS('февраль 2024'!$G$6:$G$1413,'февраль 2024'!$D$6:$D$1413,$B170,'февраль 2024'!$J$6:$J$1413,U$1)</f>
        <v>0</v>
      </c>
      <c r="V170" s="80">
        <f>SUMIFS('февраль 2024'!$G$6:$G$1413,'февраль 2024'!$D$6:$D$1413,$B170,'февраль 2024'!$J$6:$J$1413,V$1)</f>
        <v>0</v>
      </c>
      <c r="W170" s="80">
        <f>SUMIFS('февраль 2024'!$G$6:$G$1413,'февраль 2024'!$D$6:$D$1413,$B170,'февраль 2024'!$J$6:$J$1413,W$1)</f>
        <v>0</v>
      </c>
      <c r="X170" s="80">
        <f>SUMIFS('февраль 2024'!$G$6:$G$1413,'февраль 2024'!$D$6:$D$1413,$B170,'февраль 2024'!$J$6:$J$1413,X$1)</f>
        <v>0</v>
      </c>
      <c r="Y170" s="80">
        <f>SUMIFS('февраль 2024'!$G$6:$G$1413,'февраль 2024'!$D$6:$D$1413,$B170,'февраль 2024'!$J$6:$J$1413,Y$1)</f>
        <v>0</v>
      </c>
      <c r="Z170" s="80">
        <f>SUMIFS('февраль 2024'!$G$6:$G$1413,'февраль 2024'!$D$6:$D$1413,$B170,'февраль 2024'!$J$6:$J$1413,Z$1)</f>
        <v>0</v>
      </c>
      <c r="AA170" s="80">
        <f>SUMIFS('февраль 2024'!$G$6:$G$1413,'февраль 2024'!$D$6:$D$1413,$B170,'февраль 2024'!$J$6:$J$1413,AA$1)</f>
        <v>0</v>
      </c>
      <c r="AB170" s="80">
        <f>SUMIFS('февраль 2024'!$G$6:$G$1413,'февраль 2024'!$D$6:$D$1413,$B170,'февраль 2024'!$J$6:$J$1413,AB$1)</f>
        <v>0</v>
      </c>
      <c r="AC170" s="80">
        <f>SUMIFS('февраль 2024'!$G$6:$G$1413,'февраль 2024'!$D$6:$D$1413,$B170,'февраль 2024'!$J$6:$J$1413,AC$1)</f>
        <v>0</v>
      </c>
      <c r="AD170" s="80">
        <f>SUMIFS('февраль 2024'!$G$6:$G$1413,'февраль 2024'!$D$6:$D$1413,$B170,'февраль 2024'!$J$6:$J$1413,AD$1)</f>
        <v>0</v>
      </c>
      <c r="AE170" s="80">
        <f>SUMIFS('февраль 2024'!$G$6:$G$1413,'февраль 2024'!$D$6:$D$1413,$B170,'февраль 2024'!$J$6:$J$1413,AE$1)</f>
        <v>0</v>
      </c>
      <c r="AF170" s="80">
        <f>SUMIFS('февраль 2024'!$G$6:$G$1413,'февраль 2024'!$D$6:$D$1413,$B170,'февраль 2024'!$J$6:$J$1413,AF$1)</f>
        <v>0</v>
      </c>
      <c r="AG170" s="80">
        <f>SUMIFS('февраль 2024'!$G$6:$G$1413,'февраль 2024'!$D$6:$D$1413,$B170,'февраль 2024'!$J$6:$J$1413,AG$1)</f>
        <v>0</v>
      </c>
      <c r="AH170" s="80">
        <f>SUMIFS('февраль 2024'!$G$6:$G$1413,'февраль 2024'!$D$6:$D$1413,$B170,'февраль 2024'!$J$6:$J$1413,AH$1)</f>
        <v>0</v>
      </c>
      <c r="AI170" s="87"/>
    </row>
    <row r="171" spans="2:35" ht="15" hidden="1" customHeight="1" x14ac:dyDescent="0.25">
      <c r="B171" s="94"/>
      <c r="C171" s="95"/>
      <c r="D171" s="80">
        <f>SUMIFS('февраль 2024'!$G$6:$G$1413,'февраль 2024'!$D$6:$D$1413,$B171,'февраль 2024'!$J$6:$J$1413,D$1)</f>
        <v>0</v>
      </c>
      <c r="E171" s="80">
        <f>SUMIFS('февраль 2024'!$G$6:$G$1413,'февраль 2024'!$D$6:$D$1413,$B171,'февраль 2024'!$J$6:$J$1413,E$1)</f>
        <v>0</v>
      </c>
      <c r="F171" s="80">
        <f>SUMIFS('февраль 2024'!$G$6:$G$1413,'февраль 2024'!$D$6:$D$1413,$B171,'февраль 2024'!$J$6:$J$1413,F$1)</f>
        <v>0</v>
      </c>
      <c r="G171" s="80">
        <f>SUMIFS('февраль 2024'!$G$6:$G$1413,'февраль 2024'!$D$6:$D$1413,$B171,'февраль 2024'!$J$6:$J$1413,G$1)</f>
        <v>0</v>
      </c>
      <c r="H171" s="80">
        <f>SUMIFS('февраль 2024'!$G$6:$G$1413,'февраль 2024'!$D$6:$D$1413,$B171,'февраль 2024'!$J$6:$J$1413,H$1)</f>
        <v>0</v>
      </c>
      <c r="I171" s="80">
        <f>SUMIFS('февраль 2024'!$G$6:$G$1413,'февраль 2024'!$D$6:$D$1413,$B171,'февраль 2024'!$J$6:$J$1413,I$1)</f>
        <v>0</v>
      </c>
      <c r="J171" s="80">
        <f>SUMIFS('февраль 2024'!$G$6:$G$1413,'февраль 2024'!$D$6:$D$1413,$B171,'февраль 2024'!$J$6:$J$1413,J$1)</f>
        <v>0</v>
      </c>
      <c r="K171" s="80">
        <f>SUMIFS('февраль 2024'!$G$6:$G$1413,'февраль 2024'!$D$6:$D$1413,$B171,'февраль 2024'!$J$6:$J$1413,K$1)</f>
        <v>0</v>
      </c>
      <c r="L171" s="80">
        <f>SUMIFS('февраль 2024'!$G$6:$G$1413,'февраль 2024'!$D$6:$D$1413,$B171,'февраль 2024'!$J$6:$J$1413,L$1)</f>
        <v>0</v>
      </c>
      <c r="M171" s="80">
        <f>SUMIFS('февраль 2024'!$G$6:$G$1413,'февраль 2024'!$D$6:$D$1413,$B171,'февраль 2024'!$J$6:$J$1413,M$1)</f>
        <v>0</v>
      </c>
      <c r="N171" s="80">
        <f>SUMIFS('февраль 2024'!$G$6:$G$1413,'февраль 2024'!$D$6:$D$1413,$B171,'февраль 2024'!$J$6:$J$1413,N$1)</f>
        <v>0</v>
      </c>
      <c r="O171" s="80">
        <f>SUMIFS('февраль 2024'!$G$6:$G$1413,'февраль 2024'!$D$6:$D$1413,$B171,'февраль 2024'!$J$6:$J$1413,O$1)</f>
        <v>0</v>
      </c>
      <c r="P171" s="80">
        <f>SUMIFS('февраль 2024'!$G$6:$G$1413,'февраль 2024'!$D$6:$D$1413,$B171,'февраль 2024'!$J$6:$J$1413,P$1)</f>
        <v>0</v>
      </c>
      <c r="Q171" s="80">
        <f>SUMIFS('февраль 2024'!$G$6:$G$1413,'февраль 2024'!$D$6:$D$1413,$B171,'февраль 2024'!$J$6:$J$1413,Q$1)</f>
        <v>0</v>
      </c>
      <c r="R171" s="80">
        <f>SUMIFS('февраль 2024'!$G$6:$G$1413,'февраль 2024'!$D$6:$D$1413,$B171,'февраль 2024'!$J$6:$J$1413,R$1)</f>
        <v>0</v>
      </c>
      <c r="S171" s="80">
        <f>SUMIFS('февраль 2024'!$G$6:$G$1413,'февраль 2024'!$D$6:$D$1413,$B171,'февраль 2024'!$J$6:$J$1413,S$1)</f>
        <v>0</v>
      </c>
      <c r="T171" s="80">
        <f>SUMIFS('февраль 2024'!$G$6:$G$1413,'февраль 2024'!$D$6:$D$1413,$B171,'февраль 2024'!$J$6:$J$1413,T$1)</f>
        <v>0</v>
      </c>
      <c r="U171" s="80">
        <f>SUMIFS('февраль 2024'!$G$6:$G$1413,'февраль 2024'!$D$6:$D$1413,$B171,'февраль 2024'!$J$6:$J$1413,U$1)</f>
        <v>0</v>
      </c>
      <c r="V171" s="80">
        <f>SUMIFS('февраль 2024'!$G$6:$G$1413,'февраль 2024'!$D$6:$D$1413,$B171,'февраль 2024'!$J$6:$J$1413,V$1)</f>
        <v>0</v>
      </c>
      <c r="W171" s="80">
        <f>SUMIFS('февраль 2024'!$G$6:$G$1413,'февраль 2024'!$D$6:$D$1413,$B171,'февраль 2024'!$J$6:$J$1413,W$1)</f>
        <v>0</v>
      </c>
      <c r="X171" s="80">
        <f>SUMIFS('февраль 2024'!$G$6:$G$1413,'февраль 2024'!$D$6:$D$1413,$B171,'февраль 2024'!$J$6:$J$1413,X$1)</f>
        <v>0</v>
      </c>
      <c r="Y171" s="80">
        <f>SUMIFS('февраль 2024'!$G$6:$G$1413,'февраль 2024'!$D$6:$D$1413,$B171,'февраль 2024'!$J$6:$J$1413,Y$1)</f>
        <v>0</v>
      </c>
      <c r="Z171" s="80">
        <f>SUMIFS('февраль 2024'!$G$6:$G$1413,'февраль 2024'!$D$6:$D$1413,$B171,'февраль 2024'!$J$6:$J$1413,Z$1)</f>
        <v>0</v>
      </c>
      <c r="AA171" s="80">
        <f>SUMIFS('февраль 2024'!$G$6:$G$1413,'февраль 2024'!$D$6:$D$1413,$B171,'февраль 2024'!$J$6:$J$1413,AA$1)</f>
        <v>0</v>
      </c>
      <c r="AB171" s="80">
        <f>SUMIFS('февраль 2024'!$G$6:$G$1413,'февраль 2024'!$D$6:$D$1413,$B171,'февраль 2024'!$J$6:$J$1413,AB$1)</f>
        <v>0</v>
      </c>
      <c r="AC171" s="80">
        <f>SUMIFS('февраль 2024'!$G$6:$G$1413,'февраль 2024'!$D$6:$D$1413,$B171,'февраль 2024'!$J$6:$J$1413,AC$1)</f>
        <v>0</v>
      </c>
      <c r="AD171" s="80">
        <f>SUMIFS('февраль 2024'!$G$6:$G$1413,'февраль 2024'!$D$6:$D$1413,$B171,'февраль 2024'!$J$6:$J$1413,AD$1)</f>
        <v>0</v>
      </c>
      <c r="AE171" s="80">
        <f>SUMIFS('февраль 2024'!$G$6:$G$1413,'февраль 2024'!$D$6:$D$1413,$B171,'февраль 2024'!$J$6:$J$1413,AE$1)</f>
        <v>0</v>
      </c>
      <c r="AF171" s="80">
        <f>SUMIFS('февраль 2024'!$G$6:$G$1413,'февраль 2024'!$D$6:$D$1413,$B171,'февраль 2024'!$J$6:$J$1413,AF$1)</f>
        <v>0</v>
      </c>
      <c r="AG171" s="80">
        <f>SUMIFS('февраль 2024'!$G$6:$G$1413,'февраль 2024'!$D$6:$D$1413,$B171,'февраль 2024'!$J$6:$J$1413,AG$1)</f>
        <v>0</v>
      </c>
      <c r="AH171" s="80">
        <f>SUMIFS('февраль 2024'!$G$6:$G$1413,'февраль 2024'!$D$6:$D$1413,$B171,'февраль 2024'!$J$6:$J$1413,AH$1)</f>
        <v>0</v>
      </c>
      <c r="AI171" s="87"/>
    </row>
    <row r="172" spans="2:35" ht="15" hidden="1" customHeight="1" x14ac:dyDescent="0.25">
      <c r="B172" s="89"/>
      <c r="C172" s="91"/>
      <c r="D172" s="80">
        <f>SUMIFS('февраль 2024'!$G$6:$G$1413,'февраль 2024'!$D$6:$D$1413,$B172,'февраль 2024'!$J$6:$J$1413,D$1)</f>
        <v>0</v>
      </c>
      <c r="E172" s="80">
        <f>SUMIFS('февраль 2024'!$G$6:$G$1413,'февраль 2024'!$D$6:$D$1413,$B172,'февраль 2024'!$J$6:$J$1413,E$1)</f>
        <v>0</v>
      </c>
      <c r="F172" s="80">
        <f>SUMIFS('февраль 2024'!$G$6:$G$1413,'февраль 2024'!$D$6:$D$1413,$B172,'февраль 2024'!$J$6:$J$1413,F$1)</f>
        <v>0</v>
      </c>
      <c r="G172" s="80">
        <f>SUMIFS('февраль 2024'!$G$6:$G$1413,'февраль 2024'!$D$6:$D$1413,$B172,'февраль 2024'!$J$6:$J$1413,G$1)</f>
        <v>0</v>
      </c>
      <c r="H172" s="80">
        <f>SUMIFS('февраль 2024'!$G$6:$G$1413,'февраль 2024'!$D$6:$D$1413,$B172,'февраль 2024'!$J$6:$J$1413,H$1)</f>
        <v>0</v>
      </c>
      <c r="I172" s="80">
        <f>SUMIFS('февраль 2024'!$G$6:$G$1413,'февраль 2024'!$D$6:$D$1413,$B172,'февраль 2024'!$J$6:$J$1413,I$1)</f>
        <v>0</v>
      </c>
      <c r="J172" s="80">
        <f>SUMIFS('февраль 2024'!$G$6:$G$1413,'февраль 2024'!$D$6:$D$1413,$B172,'февраль 2024'!$J$6:$J$1413,J$1)</f>
        <v>0</v>
      </c>
      <c r="K172" s="80">
        <f>SUMIFS('февраль 2024'!$G$6:$G$1413,'февраль 2024'!$D$6:$D$1413,$B172,'февраль 2024'!$J$6:$J$1413,K$1)</f>
        <v>0</v>
      </c>
      <c r="L172" s="80">
        <f>SUMIFS('февраль 2024'!$G$6:$G$1413,'февраль 2024'!$D$6:$D$1413,$B172,'февраль 2024'!$J$6:$J$1413,L$1)</f>
        <v>0</v>
      </c>
      <c r="M172" s="80">
        <f>SUMIFS('февраль 2024'!$G$6:$G$1413,'февраль 2024'!$D$6:$D$1413,$B172,'февраль 2024'!$J$6:$J$1413,M$1)</f>
        <v>0</v>
      </c>
      <c r="N172" s="80">
        <f>SUMIFS('февраль 2024'!$G$6:$G$1413,'февраль 2024'!$D$6:$D$1413,$B172,'февраль 2024'!$J$6:$J$1413,N$1)</f>
        <v>0</v>
      </c>
      <c r="O172" s="80">
        <f>SUMIFS('февраль 2024'!$G$6:$G$1413,'февраль 2024'!$D$6:$D$1413,$B172,'февраль 2024'!$J$6:$J$1413,O$1)</f>
        <v>0</v>
      </c>
      <c r="P172" s="80">
        <f>SUMIFS('февраль 2024'!$G$6:$G$1413,'февраль 2024'!$D$6:$D$1413,$B172,'февраль 2024'!$J$6:$J$1413,P$1)</f>
        <v>0</v>
      </c>
      <c r="Q172" s="80">
        <f>SUMIFS('февраль 2024'!$G$6:$G$1413,'февраль 2024'!$D$6:$D$1413,$B172,'февраль 2024'!$J$6:$J$1413,Q$1)</f>
        <v>0</v>
      </c>
      <c r="R172" s="80">
        <f>SUMIFS('февраль 2024'!$G$6:$G$1413,'февраль 2024'!$D$6:$D$1413,$B172,'февраль 2024'!$J$6:$J$1413,R$1)</f>
        <v>0</v>
      </c>
      <c r="S172" s="80">
        <f>SUMIFS('февраль 2024'!$G$6:$G$1413,'февраль 2024'!$D$6:$D$1413,$B172,'февраль 2024'!$J$6:$J$1413,S$1)</f>
        <v>0</v>
      </c>
      <c r="T172" s="80">
        <f>SUMIFS('февраль 2024'!$G$6:$G$1413,'февраль 2024'!$D$6:$D$1413,$B172,'февраль 2024'!$J$6:$J$1413,T$1)</f>
        <v>0</v>
      </c>
      <c r="U172" s="80">
        <f>SUMIFS('февраль 2024'!$G$6:$G$1413,'февраль 2024'!$D$6:$D$1413,$B172,'февраль 2024'!$J$6:$J$1413,U$1)</f>
        <v>0</v>
      </c>
      <c r="V172" s="80">
        <f>SUMIFS('февраль 2024'!$G$6:$G$1413,'февраль 2024'!$D$6:$D$1413,$B172,'февраль 2024'!$J$6:$J$1413,V$1)</f>
        <v>0</v>
      </c>
      <c r="W172" s="80">
        <f>SUMIFS('февраль 2024'!$G$6:$G$1413,'февраль 2024'!$D$6:$D$1413,$B172,'февраль 2024'!$J$6:$J$1413,W$1)</f>
        <v>0</v>
      </c>
      <c r="X172" s="80">
        <f>SUMIFS('февраль 2024'!$G$6:$G$1413,'февраль 2024'!$D$6:$D$1413,$B172,'февраль 2024'!$J$6:$J$1413,X$1)</f>
        <v>0</v>
      </c>
      <c r="Y172" s="80">
        <f>SUMIFS('февраль 2024'!$G$6:$G$1413,'февраль 2024'!$D$6:$D$1413,$B172,'февраль 2024'!$J$6:$J$1413,Y$1)</f>
        <v>0</v>
      </c>
      <c r="Z172" s="80">
        <f>SUMIFS('февраль 2024'!$G$6:$G$1413,'февраль 2024'!$D$6:$D$1413,$B172,'февраль 2024'!$J$6:$J$1413,Z$1)</f>
        <v>0</v>
      </c>
      <c r="AA172" s="80">
        <f>SUMIFS('февраль 2024'!$G$6:$G$1413,'февраль 2024'!$D$6:$D$1413,$B172,'февраль 2024'!$J$6:$J$1413,AA$1)</f>
        <v>0</v>
      </c>
      <c r="AB172" s="80">
        <f>SUMIFS('февраль 2024'!$G$6:$G$1413,'февраль 2024'!$D$6:$D$1413,$B172,'февраль 2024'!$J$6:$J$1413,AB$1)</f>
        <v>0</v>
      </c>
      <c r="AC172" s="80">
        <f>SUMIFS('февраль 2024'!$G$6:$G$1413,'февраль 2024'!$D$6:$D$1413,$B172,'февраль 2024'!$J$6:$J$1413,AC$1)</f>
        <v>0</v>
      </c>
      <c r="AD172" s="80">
        <f>SUMIFS('февраль 2024'!$G$6:$G$1413,'февраль 2024'!$D$6:$D$1413,$B172,'февраль 2024'!$J$6:$J$1413,AD$1)</f>
        <v>0</v>
      </c>
      <c r="AE172" s="80">
        <f>SUMIFS('февраль 2024'!$G$6:$G$1413,'февраль 2024'!$D$6:$D$1413,$B172,'февраль 2024'!$J$6:$J$1413,AE$1)</f>
        <v>0</v>
      </c>
      <c r="AF172" s="80">
        <f>SUMIFS('февраль 2024'!$G$6:$G$1413,'февраль 2024'!$D$6:$D$1413,$B172,'февраль 2024'!$J$6:$J$1413,AF$1)</f>
        <v>0</v>
      </c>
      <c r="AG172" s="80">
        <f>SUMIFS('февраль 2024'!$G$6:$G$1413,'февраль 2024'!$D$6:$D$1413,$B172,'февраль 2024'!$J$6:$J$1413,AG$1)</f>
        <v>0</v>
      </c>
      <c r="AH172" s="80">
        <f>SUMIFS('февраль 2024'!$G$6:$G$1413,'февраль 2024'!$D$6:$D$1413,$B172,'февраль 2024'!$J$6:$J$1413,AH$1)</f>
        <v>0</v>
      </c>
      <c r="AI172" s="87"/>
    </row>
    <row r="173" spans="2:35" ht="15" hidden="1" customHeight="1" x14ac:dyDescent="0.25">
      <c r="B173" s="89"/>
      <c r="C173" s="88"/>
      <c r="D173" s="80">
        <f>SUMIFS('февраль 2024'!$G$6:$G$1413,'февраль 2024'!$D$6:$D$1413,$B173,'февраль 2024'!$J$6:$J$1413,D$1)</f>
        <v>0</v>
      </c>
      <c r="E173" s="80">
        <f>SUMIFS('февраль 2024'!$G$6:$G$1413,'февраль 2024'!$D$6:$D$1413,$B173,'февраль 2024'!$J$6:$J$1413,E$1)</f>
        <v>0</v>
      </c>
      <c r="F173" s="80">
        <f>SUMIFS('февраль 2024'!$G$6:$G$1413,'февраль 2024'!$D$6:$D$1413,$B173,'февраль 2024'!$J$6:$J$1413,F$1)</f>
        <v>0</v>
      </c>
      <c r="G173" s="80">
        <f>SUMIFS('февраль 2024'!$G$6:$G$1413,'февраль 2024'!$D$6:$D$1413,$B173,'февраль 2024'!$J$6:$J$1413,G$1)</f>
        <v>0</v>
      </c>
      <c r="H173" s="80">
        <f>SUMIFS('февраль 2024'!$G$6:$G$1413,'февраль 2024'!$D$6:$D$1413,$B173,'февраль 2024'!$J$6:$J$1413,H$1)</f>
        <v>0</v>
      </c>
      <c r="I173" s="80">
        <f>SUMIFS('февраль 2024'!$G$6:$G$1413,'февраль 2024'!$D$6:$D$1413,$B173,'февраль 2024'!$J$6:$J$1413,I$1)</f>
        <v>0</v>
      </c>
      <c r="J173" s="80">
        <f>SUMIFS('февраль 2024'!$G$6:$G$1413,'февраль 2024'!$D$6:$D$1413,$B173,'февраль 2024'!$J$6:$J$1413,J$1)</f>
        <v>0</v>
      </c>
      <c r="K173" s="80">
        <f>SUMIFS('февраль 2024'!$G$6:$G$1413,'февраль 2024'!$D$6:$D$1413,$B173,'февраль 2024'!$J$6:$J$1413,K$1)</f>
        <v>0</v>
      </c>
      <c r="L173" s="80">
        <f>SUMIFS('февраль 2024'!$G$6:$G$1413,'февраль 2024'!$D$6:$D$1413,$B173,'февраль 2024'!$J$6:$J$1413,L$1)</f>
        <v>0</v>
      </c>
      <c r="M173" s="80">
        <f>SUMIFS('февраль 2024'!$G$6:$G$1413,'февраль 2024'!$D$6:$D$1413,$B173,'февраль 2024'!$J$6:$J$1413,M$1)</f>
        <v>0</v>
      </c>
      <c r="N173" s="80">
        <f>SUMIFS('февраль 2024'!$G$6:$G$1413,'февраль 2024'!$D$6:$D$1413,$B173,'февраль 2024'!$J$6:$J$1413,N$1)</f>
        <v>0</v>
      </c>
      <c r="O173" s="80">
        <f>SUMIFS('февраль 2024'!$G$6:$G$1413,'февраль 2024'!$D$6:$D$1413,$B173,'февраль 2024'!$J$6:$J$1413,O$1)</f>
        <v>0</v>
      </c>
      <c r="P173" s="80">
        <f>SUMIFS('февраль 2024'!$G$6:$G$1413,'февраль 2024'!$D$6:$D$1413,$B173,'февраль 2024'!$J$6:$J$1413,P$1)</f>
        <v>0</v>
      </c>
      <c r="Q173" s="80">
        <f>SUMIFS('февраль 2024'!$G$6:$G$1413,'февраль 2024'!$D$6:$D$1413,$B173,'февраль 2024'!$J$6:$J$1413,Q$1)</f>
        <v>0</v>
      </c>
      <c r="R173" s="80">
        <f>SUMIFS('февраль 2024'!$G$6:$G$1413,'февраль 2024'!$D$6:$D$1413,$B173,'февраль 2024'!$J$6:$J$1413,R$1)</f>
        <v>0</v>
      </c>
      <c r="S173" s="80">
        <f>SUMIFS('февраль 2024'!$G$6:$G$1413,'февраль 2024'!$D$6:$D$1413,$B173,'февраль 2024'!$J$6:$J$1413,S$1)</f>
        <v>0</v>
      </c>
      <c r="T173" s="80">
        <f>SUMIFS('февраль 2024'!$G$6:$G$1413,'февраль 2024'!$D$6:$D$1413,$B173,'февраль 2024'!$J$6:$J$1413,T$1)</f>
        <v>0</v>
      </c>
      <c r="U173" s="80">
        <f>SUMIFS('февраль 2024'!$G$6:$G$1413,'февраль 2024'!$D$6:$D$1413,$B173,'февраль 2024'!$J$6:$J$1413,U$1)</f>
        <v>0</v>
      </c>
      <c r="V173" s="80">
        <f>SUMIFS('февраль 2024'!$G$6:$G$1413,'февраль 2024'!$D$6:$D$1413,$B173,'февраль 2024'!$J$6:$J$1413,V$1)</f>
        <v>0</v>
      </c>
      <c r="W173" s="80">
        <f>SUMIFS('февраль 2024'!$G$6:$G$1413,'февраль 2024'!$D$6:$D$1413,$B173,'февраль 2024'!$J$6:$J$1413,W$1)</f>
        <v>0</v>
      </c>
      <c r="X173" s="80">
        <f>SUMIFS('февраль 2024'!$G$6:$G$1413,'февраль 2024'!$D$6:$D$1413,$B173,'февраль 2024'!$J$6:$J$1413,X$1)</f>
        <v>0</v>
      </c>
      <c r="Y173" s="80">
        <f>SUMIFS('февраль 2024'!$G$6:$G$1413,'февраль 2024'!$D$6:$D$1413,$B173,'февраль 2024'!$J$6:$J$1413,Y$1)</f>
        <v>0</v>
      </c>
      <c r="Z173" s="80">
        <f>SUMIFS('февраль 2024'!$G$6:$G$1413,'февраль 2024'!$D$6:$D$1413,$B173,'февраль 2024'!$J$6:$J$1413,Z$1)</f>
        <v>0</v>
      </c>
      <c r="AA173" s="80">
        <f>SUMIFS('февраль 2024'!$G$6:$G$1413,'февраль 2024'!$D$6:$D$1413,$B173,'февраль 2024'!$J$6:$J$1413,AA$1)</f>
        <v>0</v>
      </c>
      <c r="AB173" s="80">
        <f>SUMIFS('февраль 2024'!$G$6:$G$1413,'февраль 2024'!$D$6:$D$1413,$B173,'февраль 2024'!$J$6:$J$1413,AB$1)</f>
        <v>0</v>
      </c>
      <c r="AC173" s="80">
        <f>SUMIFS('февраль 2024'!$G$6:$G$1413,'февраль 2024'!$D$6:$D$1413,$B173,'февраль 2024'!$J$6:$J$1413,AC$1)</f>
        <v>0</v>
      </c>
      <c r="AD173" s="80">
        <f>SUMIFS('февраль 2024'!$G$6:$G$1413,'февраль 2024'!$D$6:$D$1413,$B173,'февраль 2024'!$J$6:$J$1413,AD$1)</f>
        <v>0</v>
      </c>
      <c r="AE173" s="80">
        <f>SUMIFS('февраль 2024'!$G$6:$G$1413,'февраль 2024'!$D$6:$D$1413,$B173,'февраль 2024'!$J$6:$J$1413,AE$1)</f>
        <v>0</v>
      </c>
      <c r="AF173" s="80">
        <f>SUMIFS('февраль 2024'!$G$6:$G$1413,'февраль 2024'!$D$6:$D$1413,$B173,'февраль 2024'!$J$6:$J$1413,AF$1)</f>
        <v>0</v>
      </c>
      <c r="AG173" s="80">
        <f>SUMIFS('февраль 2024'!$G$6:$G$1413,'февраль 2024'!$D$6:$D$1413,$B173,'февраль 2024'!$J$6:$J$1413,AG$1)</f>
        <v>0</v>
      </c>
      <c r="AH173" s="80">
        <f>SUMIFS('февраль 2024'!$G$6:$G$1413,'февраль 2024'!$D$6:$D$1413,$B173,'февраль 2024'!$J$6:$J$1413,AH$1)</f>
        <v>0</v>
      </c>
      <c r="AI173" s="87"/>
    </row>
    <row r="174" spans="2:35" ht="15" hidden="1" customHeight="1" x14ac:dyDescent="0.25">
      <c r="B174" s="89"/>
      <c r="C174" s="88"/>
      <c r="D174" s="80">
        <f>SUMIFS('февраль 2024'!$G$6:$G$1413,'февраль 2024'!$D$6:$D$1413,$B174,'февраль 2024'!$J$6:$J$1413,D$1)</f>
        <v>0</v>
      </c>
      <c r="E174" s="80">
        <f>SUMIFS('февраль 2024'!$G$6:$G$1413,'февраль 2024'!$D$6:$D$1413,$B174,'февраль 2024'!$J$6:$J$1413,E$1)</f>
        <v>0</v>
      </c>
      <c r="F174" s="80">
        <f>SUMIFS('февраль 2024'!$G$6:$G$1413,'февраль 2024'!$D$6:$D$1413,$B174,'февраль 2024'!$J$6:$J$1413,F$1)</f>
        <v>0</v>
      </c>
      <c r="G174" s="80">
        <f>SUMIFS('февраль 2024'!$G$6:$G$1413,'февраль 2024'!$D$6:$D$1413,$B174,'февраль 2024'!$J$6:$J$1413,G$1)</f>
        <v>0</v>
      </c>
      <c r="H174" s="80">
        <f>SUMIFS('февраль 2024'!$G$6:$G$1413,'февраль 2024'!$D$6:$D$1413,$B174,'февраль 2024'!$J$6:$J$1413,H$1)</f>
        <v>0</v>
      </c>
      <c r="I174" s="80">
        <f>SUMIFS('февраль 2024'!$G$6:$G$1413,'февраль 2024'!$D$6:$D$1413,$B174,'февраль 2024'!$J$6:$J$1413,I$1)</f>
        <v>0</v>
      </c>
      <c r="J174" s="80">
        <f>SUMIFS('февраль 2024'!$G$6:$G$1413,'февраль 2024'!$D$6:$D$1413,$B174,'февраль 2024'!$J$6:$J$1413,J$1)</f>
        <v>0</v>
      </c>
      <c r="K174" s="80">
        <f>SUMIFS('февраль 2024'!$G$6:$G$1413,'февраль 2024'!$D$6:$D$1413,$B174,'февраль 2024'!$J$6:$J$1413,K$1)</f>
        <v>0</v>
      </c>
      <c r="L174" s="80">
        <f>SUMIFS('февраль 2024'!$G$6:$G$1413,'февраль 2024'!$D$6:$D$1413,$B174,'февраль 2024'!$J$6:$J$1413,L$1)</f>
        <v>0</v>
      </c>
      <c r="M174" s="80">
        <f>SUMIFS('февраль 2024'!$G$6:$G$1413,'февраль 2024'!$D$6:$D$1413,$B174,'февраль 2024'!$J$6:$J$1413,M$1)</f>
        <v>0</v>
      </c>
      <c r="N174" s="80">
        <f>SUMIFS('февраль 2024'!$G$6:$G$1413,'февраль 2024'!$D$6:$D$1413,$B174,'февраль 2024'!$J$6:$J$1413,N$1)</f>
        <v>0</v>
      </c>
      <c r="O174" s="80">
        <f>SUMIFS('февраль 2024'!$G$6:$G$1413,'февраль 2024'!$D$6:$D$1413,$B174,'февраль 2024'!$J$6:$J$1413,O$1)</f>
        <v>0</v>
      </c>
      <c r="P174" s="80">
        <f>SUMIFS('февраль 2024'!$G$6:$G$1413,'февраль 2024'!$D$6:$D$1413,$B174,'февраль 2024'!$J$6:$J$1413,P$1)</f>
        <v>0</v>
      </c>
      <c r="Q174" s="80">
        <f>SUMIFS('февраль 2024'!$G$6:$G$1413,'февраль 2024'!$D$6:$D$1413,$B174,'февраль 2024'!$J$6:$J$1413,Q$1)</f>
        <v>0</v>
      </c>
      <c r="R174" s="80">
        <f>SUMIFS('февраль 2024'!$G$6:$G$1413,'февраль 2024'!$D$6:$D$1413,$B174,'февраль 2024'!$J$6:$J$1413,R$1)</f>
        <v>0</v>
      </c>
      <c r="S174" s="80">
        <f>SUMIFS('февраль 2024'!$G$6:$G$1413,'февраль 2024'!$D$6:$D$1413,$B174,'февраль 2024'!$J$6:$J$1413,S$1)</f>
        <v>0</v>
      </c>
      <c r="T174" s="80">
        <f>SUMIFS('февраль 2024'!$G$6:$G$1413,'февраль 2024'!$D$6:$D$1413,$B174,'февраль 2024'!$J$6:$J$1413,T$1)</f>
        <v>0</v>
      </c>
      <c r="U174" s="80">
        <f>SUMIFS('февраль 2024'!$G$6:$G$1413,'февраль 2024'!$D$6:$D$1413,$B174,'февраль 2024'!$J$6:$J$1413,U$1)</f>
        <v>0</v>
      </c>
      <c r="V174" s="80">
        <f>SUMIFS('февраль 2024'!$G$6:$G$1413,'февраль 2024'!$D$6:$D$1413,$B174,'февраль 2024'!$J$6:$J$1413,V$1)</f>
        <v>0</v>
      </c>
      <c r="W174" s="80">
        <f>SUMIFS('февраль 2024'!$G$6:$G$1413,'февраль 2024'!$D$6:$D$1413,$B174,'февраль 2024'!$J$6:$J$1413,W$1)</f>
        <v>0</v>
      </c>
      <c r="X174" s="80">
        <f>SUMIFS('февраль 2024'!$G$6:$G$1413,'февраль 2024'!$D$6:$D$1413,$B174,'февраль 2024'!$J$6:$J$1413,X$1)</f>
        <v>0</v>
      </c>
      <c r="Y174" s="80">
        <f>SUMIFS('февраль 2024'!$G$6:$G$1413,'февраль 2024'!$D$6:$D$1413,$B174,'февраль 2024'!$J$6:$J$1413,Y$1)</f>
        <v>0</v>
      </c>
      <c r="Z174" s="80">
        <f>SUMIFS('февраль 2024'!$G$6:$G$1413,'февраль 2024'!$D$6:$D$1413,$B174,'февраль 2024'!$J$6:$J$1413,Z$1)</f>
        <v>0</v>
      </c>
      <c r="AA174" s="80">
        <f>SUMIFS('февраль 2024'!$G$6:$G$1413,'февраль 2024'!$D$6:$D$1413,$B174,'февраль 2024'!$J$6:$J$1413,AA$1)</f>
        <v>0</v>
      </c>
      <c r="AB174" s="80">
        <f>SUMIFS('февраль 2024'!$G$6:$G$1413,'февраль 2024'!$D$6:$D$1413,$B174,'февраль 2024'!$J$6:$J$1413,AB$1)</f>
        <v>0</v>
      </c>
      <c r="AC174" s="80">
        <f>SUMIFS('февраль 2024'!$G$6:$G$1413,'февраль 2024'!$D$6:$D$1413,$B174,'февраль 2024'!$J$6:$J$1413,AC$1)</f>
        <v>0</v>
      </c>
      <c r="AD174" s="80">
        <f>SUMIFS('февраль 2024'!$G$6:$G$1413,'февраль 2024'!$D$6:$D$1413,$B174,'февраль 2024'!$J$6:$J$1413,AD$1)</f>
        <v>0</v>
      </c>
      <c r="AE174" s="80">
        <f>SUMIFS('февраль 2024'!$G$6:$G$1413,'февраль 2024'!$D$6:$D$1413,$B174,'февраль 2024'!$J$6:$J$1413,AE$1)</f>
        <v>0</v>
      </c>
      <c r="AF174" s="80">
        <f>SUMIFS('февраль 2024'!$G$6:$G$1413,'февраль 2024'!$D$6:$D$1413,$B174,'февраль 2024'!$J$6:$J$1413,AF$1)</f>
        <v>0</v>
      </c>
      <c r="AG174" s="80">
        <f>SUMIFS('февраль 2024'!$G$6:$G$1413,'февраль 2024'!$D$6:$D$1413,$B174,'февраль 2024'!$J$6:$J$1413,AG$1)</f>
        <v>0</v>
      </c>
      <c r="AH174" s="80">
        <f>SUMIFS('февраль 2024'!$G$6:$G$1413,'февраль 2024'!$D$6:$D$1413,$B174,'февраль 2024'!$J$6:$J$1413,AH$1)</f>
        <v>0</v>
      </c>
      <c r="AI174" s="87"/>
    </row>
    <row r="175" spans="2:35" ht="15" hidden="1" customHeight="1" x14ac:dyDescent="0.25">
      <c r="B175" s="89"/>
      <c r="C175" s="90"/>
      <c r="D175" s="80">
        <f>SUMIFS('февраль 2024'!$G$6:$G$1413,'февраль 2024'!$D$6:$D$1413,$B175,'февраль 2024'!$J$6:$J$1413,D$1)</f>
        <v>0</v>
      </c>
      <c r="E175" s="80">
        <f>SUMIFS('февраль 2024'!$G$6:$G$1413,'февраль 2024'!$D$6:$D$1413,$B175,'февраль 2024'!$J$6:$J$1413,E$1)</f>
        <v>0</v>
      </c>
      <c r="F175" s="80">
        <f>SUMIFS('февраль 2024'!$G$6:$G$1413,'февраль 2024'!$D$6:$D$1413,$B175,'февраль 2024'!$J$6:$J$1413,F$1)</f>
        <v>0</v>
      </c>
      <c r="G175" s="80">
        <f>SUMIFS('февраль 2024'!$G$6:$G$1413,'февраль 2024'!$D$6:$D$1413,$B175,'февраль 2024'!$J$6:$J$1413,G$1)</f>
        <v>0</v>
      </c>
      <c r="H175" s="80">
        <f>SUMIFS('февраль 2024'!$G$6:$G$1413,'февраль 2024'!$D$6:$D$1413,$B175,'февраль 2024'!$J$6:$J$1413,H$1)</f>
        <v>0</v>
      </c>
      <c r="I175" s="80">
        <f>SUMIFS('февраль 2024'!$G$6:$G$1413,'февраль 2024'!$D$6:$D$1413,$B175,'февраль 2024'!$J$6:$J$1413,I$1)</f>
        <v>0</v>
      </c>
      <c r="J175" s="80">
        <f>SUMIFS('февраль 2024'!$G$6:$G$1413,'февраль 2024'!$D$6:$D$1413,$B175,'февраль 2024'!$J$6:$J$1413,J$1)</f>
        <v>0</v>
      </c>
      <c r="K175" s="80">
        <f>SUMIFS('февраль 2024'!$G$6:$G$1413,'февраль 2024'!$D$6:$D$1413,$B175,'февраль 2024'!$J$6:$J$1413,K$1)</f>
        <v>0</v>
      </c>
      <c r="L175" s="80">
        <f>SUMIFS('февраль 2024'!$G$6:$G$1413,'февраль 2024'!$D$6:$D$1413,$B175,'февраль 2024'!$J$6:$J$1413,L$1)</f>
        <v>0</v>
      </c>
      <c r="M175" s="80">
        <f>SUMIFS('февраль 2024'!$G$6:$G$1413,'февраль 2024'!$D$6:$D$1413,$B175,'февраль 2024'!$J$6:$J$1413,M$1)</f>
        <v>0</v>
      </c>
      <c r="N175" s="80">
        <f>SUMIFS('февраль 2024'!$G$6:$G$1413,'февраль 2024'!$D$6:$D$1413,$B175,'февраль 2024'!$J$6:$J$1413,N$1)</f>
        <v>0</v>
      </c>
      <c r="O175" s="80">
        <f>SUMIFS('февраль 2024'!$G$6:$G$1413,'февраль 2024'!$D$6:$D$1413,$B175,'февраль 2024'!$J$6:$J$1413,O$1)</f>
        <v>0</v>
      </c>
      <c r="P175" s="80">
        <f>SUMIFS('февраль 2024'!$G$6:$G$1413,'февраль 2024'!$D$6:$D$1413,$B175,'февраль 2024'!$J$6:$J$1413,P$1)</f>
        <v>0</v>
      </c>
      <c r="Q175" s="80">
        <f>SUMIFS('февраль 2024'!$G$6:$G$1413,'февраль 2024'!$D$6:$D$1413,$B175,'февраль 2024'!$J$6:$J$1413,Q$1)</f>
        <v>0</v>
      </c>
      <c r="R175" s="80">
        <f>SUMIFS('февраль 2024'!$G$6:$G$1413,'февраль 2024'!$D$6:$D$1413,$B175,'февраль 2024'!$J$6:$J$1413,R$1)</f>
        <v>0</v>
      </c>
      <c r="S175" s="80">
        <f>SUMIFS('февраль 2024'!$G$6:$G$1413,'февраль 2024'!$D$6:$D$1413,$B175,'февраль 2024'!$J$6:$J$1413,S$1)</f>
        <v>0</v>
      </c>
      <c r="T175" s="80">
        <f>SUMIFS('февраль 2024'!$G$6:$G$1413,'февраль 2024'!$D$6:$D$1413,$B175,'февраль 2024'!$J$6:$J$1413,T$1)</f>
        <v>0</v>
      </c>
      <c r="U175" s="80">
        <f>SUMIFS('февраль 2024'!$G$6:$G$1413,'февраль 2024'!$D$6:$D$1413,$B175,'февраль 2024'!$J$6:$J$1413,U$1)</f>
        <v>0</v>
      </c>
      <c r="V175" s="80">
        <f>SUMIFS('февраль 2024'!$G$6:$G$1413,'февраль 2024'!$D$6:$D$1413,$B175,'февраль 2024'!$J$6:$J$1413,V$1)</f>
        <v>0</v>
      </c>
      <c r="W175" s="80">
        <f>SUMIFS('февраль 2024'!$G$6:$G$1413,'февраль 2024'!$D$6:$D$1413,$B175,'февраль 2024'!$J$6:$J$1413,W$1)</f>
        <v>0</v>
      </c>
      <c r="X175" s="80">
        <f>SUMIFS('февраль 2024'!$G$6:$G$1413,'февраль 2024'!$D$6:$D$1413,$B175,'февраль 2024'!$J$6:$J$1413,X$1)</f>
        <v>0</v>
      </c>
      <c r="Y175" s="80">
        <f>SUMIFS('февраль 2024'!$G$6:$G$1413,'февраль 2024'!$D$6:$D$1413,$B175,'февраль 2024'!$J$6:$J$1413,Y$1)</f>
        <v>0</v>
      </c>
      <c r="Z175" s="80">
        <f>SUMIFS('февраль 2024'!$G$6:$G$1413,'февраль 2024'!$D$6:$D$1413,$B175,'февраль 2024'!$J$6:$J$1413,Z$1)</f>
        <v>0</v>
      </c>
      <c r="AA175" s="80">
        <f>SUMIFS('февраль 2024'!$G$6:$G$1413,'февраль 2024'!$D$6:$D$1413,$B175,'февраль 2024'!$J$6:$J$1413,AA$1)</f>
        <v>0</v>
      </c>
      <c r="AB175" s="80">
        <f>SUMIFS('февраль 2024'!$G$6:$G$1413,'февраль 2024'!$D$6:$D$1413,$B175,'февраль 2024'!$J$6:$J$1413,AB$1)</f>
        <v>0</v>
      </c>
      <c r="AC175" s="80">
        <f>SUMIFS('февраль 2024'!$G$6:$G$1413,'февраль 2024'!$D$6:$D$1413,$B175,'февраль 2024'!$J$6:$J$1413,AC$1)</f>
        <v>0</v>
      </c>
      <c r="AD175" s="80">
        <f>SUMIFS('февраль 2024'!$G$6:$G$1413,'февраль 2024'!$D$6:$D$1413,$B175,'февраль 2024'!$J$6:$J$1413,AD$1)</f>
        <v>0</v>
      </c>
      <c r="AE175" s="80">
        <f>SUMIFS('февраль 2024'!$G$6:$G$1413,'февраль 2024'!$D$6:$D$1413,$B175,'февраль 2024'!$J$6:$J$1413,AE$1)</f>
        <v>0</v>
      </c>
      <c r="AF175" s="80">
        <f>SUMIFS('февраль 2024'!$G$6:$G$1413,'февраль 2024'!$D$6:$D$1413,$B175,'февраль 2024'!$J$6:$J$1413,AF$1)</f>
        <v>0</v>
      </c>
      <c r="AG175" s="80">
        <f>SUMIFS('февраль 2024'!$G$6:$G$1413,'февраль 2024'!$D$6:$D$1413,$B175,'февраль 2024'!$J$6:$J$1413,AG$1)</f>
        <v>0</v>
      </c>
      <c r="AH175" s="80">
        <f>SUMIFS('февраль 2024'!$G$6:$G$1413,'февраль 2024'!$D$6:$D$1413,$B175,'февраль 2024'!$J$6:$J$1413,AH$1)</f>
        <v>0</v>
      </c>
      <c r="AI175" s="87"/>
    </row>
    <row r="176" spans="2:35" ht="15" hidden="1" customHeight="1" x14ac:dyDescent="0.25">
      <c r="B176" s="89"/>
      <c r="C176" s="91"/>
      <c r="D176" s="80">
        <f>SUMIFS('февраль 2024'!$G$6:$G$1413,'февраль 2024'!$D$6:$D$1413,$B176,'февраль 2024'!$J$6:$J$1413,D$1)</f>
        <v>0</v>
      </c>
      <c r="E176" s="80">
        <f>SUMIFS('февраль 2024'!$G$6:$G$1413,'февраль 2024'!$D$6:$D$1413,$B176,'февраль 2024'!$J$6:$J$1413,E$1)</f>
        <v>0</v>
      </c>
      <c r="F176" s="80">
        <f>SUMIFS('февраль 2024'!$G$6:$G$1413,'февраль 2024'!$D$6:$D$1413,$B176,'февраль 2024'!$J$6:$J$1413,F$1)</f>
        <v>0</v>
      </c>
      <c r="G176" s="80">
        <f>SUMIFS('февраль 2024'!$G$6:$G$1413,'февраль 2024'!$D$6:$D$1413,$B176,'февраль 2024'!$J$6:$J$1413,G$1)</f>
        <v>0</v>
      </c>
      <c r="H176" s="80">
        <f>SUMIFS('февраль 2024'!$G$6:$G$1413,'февраль 2024'!$D$6:$D$1413,$B176,'февраль 2024'!$J$6:$J$1413,H$1)</f>
        <v>0</v>
      </c>
      <c r="I176" s="80">
        <f>SUMIFS('февраль 2024'!$G$6:$G$1413,'февраль 2024'!$D$6:$D$1413,$B176,'февраль 2024'!$J$6:$J$1413,I$1)</f>
        <v>0</v>
      </c>
      <c r="J176" s="80">
        <f>SUMIFS('февраль 2024'!$G$6:$G$1413,'февраль 2024'!$D$6:$D$1413,$B176,'февраль 2024'!$J$6:$J$1413,J$1)</f>
        <v>0</v>
      </c>
      <c r="K176" s="80">
        <f>SUMIFS('февраль 2024'!$G$6:$G$1413,'февраль 2024'!$D$6:$D$1413,$B176,'февраль 2024'!$J$6:$J$1413,K$1)</f>
        <v>0</v>
      </c>
      <c r="L176" s="80">
        <f>SUMIFS('февраль 2024'!$G$6:$G$1413,'февраль 2024'!$D$6:$D$1413,$B176,'февраль 2024'!$J$6:$J$1413,L$1)</f>
        <v>0</v>
      </c>
      <c r="M176" s="80">
        <f>SUMIFS('февраль 2024'!$G$6:$G$1413,'февраль 2024'!$D$6:$D$1413,$B176,'февраль 2024'!$J$6:$J$1413,M$1)</f>
        <v>0</v>
      </c>
      <c r="N176" s="80">
        <f>SUMIFS('февраль 2024'!$G$6:$G$1413,'февраль 2024'!$D$6:$D$1413,$B176,'февраль 2024'!$J$6:$J$1413,N$1)</f>
        <v>0</v>
      </c>
      <c r="O176" s="80">
        <f>SUMIFS('февраль 2024'!$G$6:$G$1413,'февраль 2024'!$D$6:$D$1413,$B176,'февраль 2024'!$J$6:$J$1413,O$1)</f>
        <v>0</v>
      </c>
      <c r="P176" s="80">
        <f>SUMIFS('февраль 2024'!$G$6:$G$1413,'февраль 2024'!$D$6:$D$1413,$B176,'февраль 2024'!$J$6:$J$1413,P$1)</f>
        <v>0</v>
      </c>
      <c r="Q176" s="80">
        <f>SUMIFS('февраль 2024'!$G$6:$G$1413,'февраль 2024'!$D$6:$D$1413,$B176,'февраль 2024'!$J$6:$J$1413,Q$1)</f>
        <v>0</v>
      </c>
      <c r="R176" s="80">
        <f>SUMIFS('февраль 2024'!$G$6:$G$1413,'февраль 2024'!$D$6:$D$1413,$B176,'февраль 2024'!$J$6:$J$1413,R$1)</f>
        <v>0</v>
      </c>
      <c r="S176" s="80">
        <f>SUMIFS('февраль 2024'!$G$6:$G$1413,'февраль 2024'!$D$6:$D$1413,$B176,'февраль 2024'!$J$6:$J$1413,S$1)</f>
        <v>0</v>
      </c>
      <c r="T176" s="80">
        <f>SUMIFS('февраль 2024'!$G$6:$G$1413,'февраль 2024'!$D$6:$D$1413,$B176,'февраль 2024'!$J$6:$J$1413,T$1)</f>
        <v>0</v>
      </c>
      <c r="U176" s="80">
        <f>SUMIFS('февраль 2024'!$G$6:$G$1413,'февраль 2024'!$D$6:$D$1413,$B176,'февраль 2024'!$J$6:$J$1413,U$1)</f>
        <v>0</v>
      </c>
      <c r="V176" s="80">
        <f>SUMIFS('февраль 2024'!$G$6:$G$1413,'февраль 2024'!$D$6:$D$1413,$B176,'февраль 2024'!$J$6:$J$1413,V$1)</f>
        <v>0</v>
      </c>
      <c r="W176" s="80">
        <f>SUMIFS('февраль 2024'!$G$6:$G$1413,'февраль 2024'!$D$6:$D$1413,$B176,'февраль 2024'!$J$6:$J$1413,W$1)</f>
        <v>0</v>
      </c>
      <c r="X176" s="80">
        <f>SUMIFS('февраль 2024'!$G$6:$G$1413,'февраль 2024'!$D$6:$D$1413,$B176,'февраль 2024'!$J$6:$J$1413,X$1)</f>
        <v>0</v>
      </c>
      <c r="Y176" s="80">
        <f>SUMIFS('февраль 2024'!$G$6:$G$1413,'февраль 2024'!$D$6:$D$1413,$B176,'февраль 2024'!$J$6:$J$1413,Y$1)</f>
        <v>0</v>
      </c>
      <c r="Z176" s="80">
        <f>SUMIFS('февраль 2024'!$G$6:$G$1413,'февраль 2024'!$D$6:$D$1413,$B176,'февраль 2024'!$J$6:$J$1413,Z$1)</f>
        <v>0</v>
      </c>
      <c r="AA176" s="80">
        <f>SUMIFS('февраль 2024'!$G$6:$G$1413,'февраль 2024'!$D$6:$D$1413,$B176,'февраль 2024'!$J$6:$J$1413,AA$1)</f>
        <v>0</v>
      </c>
      <c r="AB176" s="80">
        <f>SUMIFS('февраль 2024'!$G$6:$G$1413,'февраль 2024'!$D$6:$D$1413,$B176,'февраль 2024'!$J$6:$J$1413,AB$1)</f>
        <v>0</v>
      </c>
      <c r="AC176" s="80">
        <f>SUMIFS('февраль 2024'!$G$6:$G$1413,'февраль 2024'!$D$6:$D$1413,$B176,'февраль 2024'!$J$6:$J$1413,AC$1)</f>
        <v>0</v>
      </c>
      <c r="AD176" s="80">
        <f>SUMIFS('февраль 2024'!$G$6:$G$1413,'февраль 2024'!$D$6:$D$1413,$B176,'февраль 2024'!$J$6:$J$1413,AD$1)</f>
        <v>0</v>
      </c>
      <c r="AE176" s="80">
        <f>SUMIFS('февраль 2024'!$G$6:$G$1413,'февраль 2024'!$D$6:$D$1413,$B176,'февраль 2024'!$J$6:$J$1413,AE$1)</f>
        <v>0</v>
      </c>
      <c r="AF176" s="80">
        <f>SUMIFS('февраль 2024'!$G$6:$G$1413,'февраль 2024'!$D$6:$D$1413,$B176,'февраль 2024'!$J$6:$J$1413,AF$1)</f>
        <v>0</v>
      </c>
      <c r="AG176" s="80">
        <f>SUMIFS('февраль 2024'!$G$6:$G$1413,'февраль 2024'!$D$6:$D$1413,$B176,'февраль 2024'!$J$6:$J$1413,AG$1)</f>
        <v>0</v>
      </c>
      <c r="AH176" s="80">
        <f>SUMIFS('февраль 2024'!$G$6:$G$1413,'февраль 2024'!$D$6:$D$1413,$B176,'февраль 2024'!$J$6:$J$1413,AH$1)</f>
        <v>0</v>
      </c>
      <c r="AI176" s="87"/>
    </row>
    <row r="177" spans="2:35" ht="15" hidden="1" customHeight="1" x14ac:dyDescent="0.25">
      <c r="B177" s="93"/>
      <c r="C177" s="91"/>
      <c r="D177" s="80">
        <f>SUMIFS('февраль 2024'!$G$6:$G$1413,'февраль 2024'!$D$6:$D$1413,$B177,'февраль 2024'!$J$6:$J$1413,D$1)</f>
        <v>0</v>
      </c>
      <c r="E177" s="80">
        <f>SUMIFS('февраль 2024'!$G$6:$G$1413,'февраль 2024'!$D$6:$D$1413,$B177,'февраль 2024'!$J$6:$J$1413,E$1)</f>
        <v>0</v>
      </c>
      <c r="F177" s="80">
        <f>SUMIFS('февраль 2024'!$G$6:$G$1413,'февраль 2024'!$D$6:$D$1413,$B177,'февраль 2024'!$J$6:$J$1413,F$1)</f>
        <v>0</v>
      </c>
      <c r="G177" s="80">
        <f>SUMIFS('февраль 2024'!$G$6:$G$1413,'февраль 2024'!$D$6:$D$1413,$B177,'февраль 2024'!$J$6:$J$1413,G$1)</f>
        <v>0</v>
      </c>
      <c r="H177" s="80">
        <f>SUMIFS('февраль 2024'!$G$6:$G$1413,'февраль 2024'!$D$6:$D$1413,$B177,'февраль 2024'!$J$6:$J$1413,H$1)</f>
        <v>0</v>
      </c>
      <c r="I177" s="80">
        <f>SUMIFS('февраль 2024'!$G$6:$G$1413,'февраль 2024'!$D$6:$D$1413,$B177,'февраль 2024'!$J$6:$J$1413,I$1)</f>
        <v>0</v>
      </c>
      <c r="J177" s="80">
        <f>SUMIFS('февраль 2024'!$G$6:$G$1413,'февраль 2024'!$D$6:$D$1413,$B177,'февраль 2024'!$J$6:$J$1413,J$1)</f>
        <v>0</v>
      </c>
      <c r="K177" s="80">
        <f>SUMIFS('февраль 2024'!$G$6:$G$1413,'февраль 2024'!$D$6:$D$1413,$B177,'февраль 2024'!$J$6:$J$1413,K$1)</f>
        <v>0</v>
      </c>
      <c r="L177" s="80">
        <f>SUMIFS('февраль 2024'!$G$6:$G$1413,'февраль 2024'!$D$6:$D$1413,$B177,'февраль 2024'!$J$6:$J$1413,L$1)</f>
        <v>0</v>
      </c>
      <c r="M177" s="80">
        <f>SUMIFS('февраль 2024'!$G$6:$G$1413,'февраль 2024'!$D$6:$D$1413,$B177,'февраль 2024'!$J$6:$J$1413,M$1)</f>
        <v>0</v>
      </c>
      <c r="N177" s="80">
        <f>SUMIFS('февраль 2024'!$G$6:$G$1413,'февраль 2024'!$D$6:$D$1413,$B177,'февраль 2024'!$J$6:$J$1413,N$1)</f>
        <v>0</v>
      </c>
      <c r="O177" s="80">
        <f>SUMIFS('февраль 2024'!$G$6:$G$1413,'февраль 2024'!$D$6:$D$1413,$B177,'февраль 2024'!$J$6:$J$1413,O$1)</f>
        <v>0</v>
      </c>
      <c r="P177" s="80">
        <f>SUMIFS('февраль 2024'!$G$6:$G$1413,'февраль 2024'!$D$6:$D$1413,$B177,'февраль 2024'!$J$6:$J$1413,P$1)</f>
        <v>0</v>
      </c>
      <c r="Q177" s="80">
        <f>SUMIFS('февраль 2024'!$G$6:$G$1413,'февраль 2024'!$D$6:$D$1413,$B177,'февраль 2024'!$J$6:$J$1413,Q$1)</f>
        <v>0</v>
      </c>
      <c r="R177" s="80">
        <f>SUMIFS('февраль 2024'!$G$6:$G$1413,'февраль 2024'!$D$6:$D$1413,$B177,'февраль 2024'!$J$6:$J$1413,R$1)</f>
        <v>0</v>
      </c>
      <c r="S177" s="80">
        <f>SUMIFS('февраль 2024'!$G$6:$G$1413,'февраль 2024'!$D$6:$D$1413,$B177,'февраль 2024'!$J$6:$J$1413,S$1)</f>
        <v>0</v>
      </c>
      <c r="T177" s="80">
        <f>SUMIFS('февраль 2024'!$G$6:$G$1413,'февраль 2024'!$D$6:$D$1413,$B177,'февраль 2024'!$J$6:$J$1413,T$1)</f>
        <v>0</v>
      </c>
      <c r="U177" s="80">
        <f>SUMIFS('февраль 2024'!$G$6:$G$1413,'февраль 2024'!$D$6:$D$1413,$B177,'февраль 2024'!$J$6:$J$1413,U$1)</f>
        <v>0</v>
      </c>
      <c r="V177" s="80">
        <f>SUMIFS('февраль 2024'!$G$6:$G$1413,'февраль 2024'!$D$6:$D$1413,$B177,'февраль 2024'!$J$6:$J$1413,V$1)</f>
        <v>0</v>
      </c>
      <c r="W177" s="80">
        <f>SUMIFS('февраль 2024'!$G$6:$G$1413,'февраль 2024'!$D$6:$D$1413,$B177,'февраль 2024'!$J$6:$J$1413,W$1)</f>
        <v>0</v>
      </c>
      <c r="X177" s="80">
        <f>SUMIFS('февраль 2024'!$G$6:$G$1413,'февраль 2024'!$D$6:$D$1413,$B177,'февраль 2024'!$J$6:$J$1413,X$1)</f>
        <v>0</v>
      </c>
      <c r="Y177" s="80">
        <f>SUMIFS('февраль 2024'!$G$6:$G$1413,'февраль 2024'!$D$6:$D$1413,$B177,'февраль 2024'!$J$6:$J$1413,Y$1)</f>
        <v>0</v>
      </c>
      <c r="Z177" s="80">
        <f>SUMIFS('февраль 2024'!$G$6:$G$1413,'февраль 2024'!$D$6:$D$1413,$B177,'февраль 2024'!$J$6:$J$1413,Z$1)</f>
        <v>0</v>
      </c>
      <c r="AA177" s="80">
        <f>SUMIFS('февраль 2024'!$G$6:$G$1413,'февраль 2024'!$D$6:$D$1413,$B177,'февраль 2024'!$J$6:$J$1413,AA$1)</f>
        <v>0</v>
      </c>
      <c r="AB177" s="80">
        <f>SUMIFS('февраль 2024'!$G$6:$G$1413,'февраль 2024'!$D$6:$D$1413,$B177,'февраль 2024'!$J$6:$J$1413,AB$1)</f>
        <v>0</v>
      </c>
      <c r="AC177" s="80">
        <f>SUMIFS('февраль 2024'!$G$6:$G$1413,'февраль 2024'!$D$6:$D$1413,$B177,'февраль 2024'!$J$6:$J$1413,AC$1)</f>
        <v>0</v>
      </c>
      <c r="AD177" s="80">
        <f>SUMIFS('февраль 2024'!$G$6:$G$1413,'февраль 2024'!$D$6:$D$1413,$B177,'февраль 2024'!$J$6:$J$1413,AD$1)</f>
        <v>0</v>
      </c>
      <c r="AE177" s="80">
        <f>SUMIFS('февраль 2024'!$G$6:$G$1413,'февраль 2024'!$D$6:$D$1413,$B177,'февраль 2024'!$J$6:$J$1413,AE$1)</f>
        <v>0</v>
      </c>
      <c r="AF177" s="80">
        <f>SUMIFS('февраль 2024'!$G$6:$G$1413,'февраль 2024'!$D$6:$D$1413,$B177,'февраль 2024'!$J$6:$J$1413,AF$1)</f>
        <v>0</v>
      </c>
      <c r="AG177" s="80">
        <f>SUMIFS('февраль 2024'!$G$6:$G$1413,'февраль 2024'!$D$6:$D$1413,$B177,'февраль 2024'!$J$6:$J$1413,AG$1)</f>
        <v>0</v>
      </c>
      <c r="AH177" s="80">
        <f>SUMIFS('февраль 2024'!$G$6:$G$1413,'февраль 2024'!$D$6:$D$1413,$B177,'февраль 2024'!$J$6:$J$1413,AH$1)</f>
        <v>0</v>
      </c>
      <c r="AI177" s="87"/>
    </row>
    <row r="178" spans="2:35" ht="15" hidden="1" customHeight="1" x14ac:dyDescent="0.25">
      <c r="B178" s="89"/>
      <c r="C178" s="88"/>
      <c r="D178" s="80">
        <f>SUMIFS('февраль 2024'!$G$6:$G$1413,'февраль 2024'!$D$6:$D$1413,$B178,'февраль 2024'!$J$6:$J$1413,D$1)</f>
        <v>0</v>
      </c>
      <c r="E178" s="80">
        <f>SUMIFS('февраль 2024'!$G$6:$G$1413,'февраль 2024'!$D$6:$D$1413,$B178,'февраль 2024'!$J$6:$J$1413,E$1)</f>
        <v>0</v>
      </c>
      <c r="F178" s="80">
        <f>SUMIFS('февраль 2024'!$G$6:$G$1413,'февраль 2024'!$D$6:$D$1413,$B178,'февраль 2024'!$J$6:$J$1413,F$1)</f>
        <v>0</v>
      </c>
      <c r="G178" s="80">
        <f>SUMIFS('февраль 2024'!$G$6:$G$1413,'февраль 2024'!$D$6:$D$1413,$B178,'февраль 2024'!$J$6:$J$1413,G$1)</f>
        <v>0</v>
      </c>
      <c r="H178" s="80">
        <f>SUMIFS('февраль 2024'!$G$6:$G$1413,'февраль 2024'!$D$6:$D$1413,$B178,'февраль 2024'!$J$6:$J$1413,H$1)</f>
        <v>0</v>
      </c>
      <c r="I178" s="80">
        <f>SUMIFS('февраль 2024'!$G$6:$G$1413,'февраль 2024'!$D$6:$D$1413,$B178,'февраль 2024'!$J$6:$J$1413,I$1)</f>
        <v>0</v>
      </c>
      <c r="J178" s="80">
        <f>SUMIFS('февраль 2024'!$G$6:$G$1413,'февраль 2024'!$D$6:$D$1413,$B178,'февраль 2024'!$J$6:$J$1413,J$1)</f>
        <v>0</v>
      </c>
      <c r="K178" s="80">
        <f>SUMIFS('февраль 2024'!$G$6:$G$1413,'февраль 2024'!$D$6:$D$1413,$B178,'февраль 2024'!$J$6:$J$1413,K$1)</f>
        <v>0</v>
      </c>
      <c r="L178" s="80">
        <f>SUMIFS('февраль 2024'!$G$6:$G$1413,'февраль 2024'!$D$6:$D$1413,$B178,'февраль 2024'!$J$6:$J$1413,L$1)</f>
        <v>0</v>
      </c>
      <c r="M178" s="80">
        <f>SUMIFS('февраль 2024'!$G$6:$G$1413,'февраль 2024'!$D$6:$D$1413,$B178,'февраль 2024'!$J$6:$J$1413,M$1)</f>
        <v>0</v>
      </c>
      <c r="N178" s="80">
        <f>SUMIFS('февраль 2024'!$G$6:$G$1413,'февраль 2024'!$D$6:$D$1413,$B178,'февраль 2024'!$J$6:$J$1413,N$1)</f>
        <v>0</v>
      </c>
      <c r="O178" s="80">
        <f>SUMIFS('февраль 2024'!$G$6:$G$1413,'февраль 2024'!$D$6:$D$1413,$B178,'февраль 2024'!$J$6:$J$1413,O$1)</f>
        <v>0</v>
      </c>
      <c r="P178" s="80">
        <f>SUMIFS('февраль 2024'!$G$6:$G$1413,'февраль 2024'!$D$6:$D$1413,$B178,'февраль 2024'!$J$6:$J$1413,P$1)</f>
        <v>0</v>
      </c>
      <c r="Q178" s="80">
        <f>SUMIFS('февраль 2024'!$G$6:$G$1413,'февраль 2024'!$D$6:$D$1413,$B178,'февраль 2024'!$J$6:$J$1413,Q$1)</f>
        <v>0</v>
      </c>
      <c r="R178" s="80">
        <f>SUMIFS('февраль 2024'!$G$6:$G$1413,'февраль 2024'!$D$6:$D$1413,$B178,'февраль 2024'!$J$6:$J$1413,R$1)</f>
        <v>0</v>
      </c>
      <c r="S178" s="80">
        <f>SUMIFS('февраль 2024'!$G$6:$G$1413,'февраль 2024'!$D$6:$D$1413,$B178,'февраль 2024'!$J$6:$J$1413,S$1)</f>
        <v>0</v>
      </c>
      <c r="T178" s="80">
        <f>SUMIFS('февраль 2024'!$G$6:$G$1413,'февраль 2024'!$D$6:$D$1413,$B178,'февраль 2024'!$J$6:$J$1413,T$1)</f>
        <v>0</v>
      </c>
      <c r="U178" s="80">
        <f>SUMIFS('февраль 2024'!$G$6:$G$1413,'февраль 2024'!$D$6:$D$1413,$B178,'февраль 2024'!$J$6:$J$1413,U$1)</f>
        <v>0</v>
      </c>
      <c r="V178" s="80">
        <f>SUMIFS('февраль 2024'!$G$6:$G$1413,'февраль 2024'!$D$6:$D$1413,$B178,'февраль 2024'!$J$6:$J$1413,V$1)</f>
        <v>0</v>
      </c>
      <c r="W178" s="80">
        <f>SUMIFS('февраль 2024'!$G$6:$G$1413,'февраль 2024'!$D$6:$D$1413,$B178,'февраль 2024'!$J$6:$J$1413,W$1)</f>
        <v>0</v>
      </c>
      <c r="X178" s="80">
        <f>SUMIFS('февраль 2024'!$G$6:$G$1413,'февраль 2024'!$D$6:$D$1413,$B178,'февраль 2024'!$J$6:$J$1413,X$1)</f>
        <v>0</v>
      </c>
      <c r="Y178" s="80">
        <f>SUMIFS('февраль 2024'!$G$6:$G$1413,'февраль 2024'!$D$6:$D$1413,$B178,'февраль 2024'!$J$6:$J$1413,Y$1)</f>
        <v>0</v>
      </c>
      <c r="Z178" s="80">
        <f>SUMIFS('февраль 2024'!$G$6:$G$1413,'февраль 2024'!$D$6:$D$1413,$B178,'февраль 2024'!$J$6:$J$1413,Z$1)</f>
        <v>0</v>
      </c>
      <c r="AA178" s="80">
        <f>SUMIFS('февраль 2024'!$G$6:$G$1413,'февраль 2024'!$D$6:$D$1413,$B178,'февраль 2024'!$J$6:$J$1413,AA$1)</f>
        <v>0</v>
      </c>
      <c r="AB178" s="80">
        <f>SUMIFS('февраль 2024'!$G$6:$G$1413,'февраль 2024'!$D$6:$D$1413,$B178,'февраль 2024'!$J$6:$J$1413,AB$1)</f>
        <v>0</v>
      </c>
      <c r="AC178" s="80">
        <f>SUMIFS('февраль 2024'!$G$6:$G$1413,'февраль 2024'!$D$6:$D$1413,$B178,'февраль 2024'!$J$6:$J$1413,AC$1)</f>
        <v>0</v>
      </c>
      <c r="AD178" s="80">
        <f>SUMIFS('февраль 2024'!$G$6:$G$1413,'февраль 2024'!$D$6:$D$1413,$B178,'февраль 2024'!$J$6:$J$1413,AD$1)</f>
        <v>0</v>
      </c>
      <c r="AE178" s="80">
        <f>SUMIFS('февраль 2024'!$G$6:$G$1413,'февраль 2024'!$D$6:$D$1413,$B178,'февраль 2024'!$J$6:$J$1413,AE$1)</f>
        <v>0</v>
      </c>
      <c r="AF178" s="80">
        <f>SUMIFS('февраль 2024'!$G$6:$G$1413,'февраль 2024'!$D$6:$D$1413,$B178,'февраль 2024'!$J$6:$J$1413,AF$1)</f>
        <v>0</v>
      </c>
      <c r="AG178" s="80">
        <f>SUMIFS('февраль 2024'!$G$6:$G$1413,'февраль 2024'!$D$6:$D$1413,$B178,'февраль 2024'!$J$6:$J$1413,AG$1)</f>
        <v>0</v>
      </c>
      <c r="AH178" s="80">
        <f>SUMIFS('февраль 2024'!$G$6:$G$1413,'февраль 2024'!$D$6:$D$1413,$B178,'февраль 2024'!$J$6:$J$1413,AH$1)</f>
        <v>0</v>
      </c>
      <c r="AI178" s="87"/>
    </row>
    <row r="179" spans="2:35" ht="15" hidden="1" customHeight="1" x14ac:dyDescent="0.25">
      <c r="B179" s="89"/>
      <c r="C179" s="91"/>
      <c r="D179" s="80">
        <f>SUMIFS('февраль 2024'!$G$6:$G$1413,'февраль 2024'!$D$6:$D$1413,$B179,'февраль 2024'!$J$6:$J$1413,D$1)</f>
        <v>0</v>
      </c>
      <c r="E179" s="80">
        <f>SUMIFS('февраль 2024'!$G$6:$G$1413,'февраль 2024'!$D$6:$D$1413,$B179,'февраль 2024'!$J$6:$J$1413,E$1)</f>
        <v>0</v>
      </c>
      <c r="F179" s="80">
        <f>SUMIFS('февраль 2024'!$G$6:$G$1413,'февраль 2024'!$D$6:$D$1413,$B179,'февраль 2024'!$J$6:$J$1413,F$1)</f>
        <v>0</v>
      </c>
      <c r="G179" s="80">
        <f>SUMIFS('февраль 2024'!$G$6:$G$1413,'февраль 2024'!$D$6:$D$1413,$B179,'февраль 2024'!$J$6:$J$1413,G$1)</f>
        <v>0</v>
      </c>
      <c r="H179" s="80">
        <f>SUMIFS('февраль 2024'!$G$6:$G$1413,'февраль 2024'!$D$6:$D$1413,$B179,'февраль 2024'!$J$6:$J$1413,H$1)</f>
        <v>0</v>
      </c>
      <c r="I179" s="80">
        <f>SUMIFS('февраль 2024'!$G$6:$G$1413,'февраль 2024'!$D$6:$D$1413,$B179,'февраль 2024'!$J$6:$J$1413,I$1)</f>
        <v>0</v>
      </c>
      <c r="J179" s="80">
        <f>SUMIFS('февраль 2024'!$G$6:$G$1413,'февраль 2024'!$D$6:$D$1413,$B179,'февраль 2024'!$J$6:$J$1413,J$1)</f>
        <v>0</v>
      </c>
      <c r="K179" s="80">
        <f>SUMIFS('февраль 2024'!$G$6:$G$1413,'февраль 2024'!$D$6:$D$1413,$B179,'февраль 2024'!$J$6:$J$1413,K$1)</f>
        <v>0</v>
      </c>
      <c r="L179" s="80">
        <f>SUMIFS('февраль 2024'!$G$6:$G$1413,'февраль 2024'!$D$6:$D$1413,$B179,'февраль 2024'!$J$6:$J$1413,L$1)</f>
        <v>0</v>
      </c>
      <c r="M179" s="80">
        <f>SUMIFS('февраль 2024'!$G$6:$G$1413,'февраль 2024'!$D$6:$D$1413,$B179,'февраль 2024'!$J$6:$J$1413,M$1)</f>
        <v>0</v>
      </c>
      <c r="N179" s="80">
        <f>SUMIFS('февраль 2024'!$G$6:$G$1413,'февраль 2024'!$D$6:$D$1413,$B179,'февраль 2024'!$J$6:$J$1413,N$1)</f>
        <v>0</v>
      </c>
      <c r="O179" s="80">
        <f>SUMIFS('февраль 2024'!$G$6:$G$1413,'февраль 2024'!$D$6:$D$1413,$B179,'февраль 2024'!$J$6:$J$1413,O$1)</f>
        <v>0</v>
      </c>
      <c r="P179" s="80">
        <f>SUMIFS('февраль 2024'!$G$6:$G$1413,'февраль 2024'!$D$6:$D$1413,$B179,'февраль 2024'!$J$6:$J$1413,P$1)</f>
        <v>0</v>
      </c>
      <c r="Q179" s="80">
        <f>SUMIFS('февраль 2024'!$G$6:$G$1413,'февраль 2024'!$D$6:$D$1413,$B179,'февраль 2024'!$J$6:$J$1413,Q$1)</f>
        <v>0</v>
      </c>
      <c r="R179" s="80">
        <f>SUMIFS('февраль 2024'!$G$6:$G$1413,'февраль 2024'!$D$6:$D$1413,$B179,'февраль 2024'!$J$6:$J$1413,R$1)</f>
        <v>0</v>
      </c>
      <c r="S179" s="80">
        <f>SUMIFS('февраль 2024'!$G$6:$G$1413,'февраль 2024'!$D$6:$D$1413,$B179,'февраль 2024'!$J$6:$J$1413,S$1)</f>
        <v>0</v>
      </c>
      <c r="T179" s="80">
        <f>SUMIFS('февраль 2024'!$G$6:$G$1413,'февраль 2024'!$D$6:$D$1413,$B179,'февраль 2024'!$J$6:$J$1413,T$1)</f>
        <v>0</v>
      </c>
      <c r="U179" s="80">
        <f>SUMIFS('февраль 2024'!$G$6:$G$1413,'февраль 2024'!$D$6:$D$1413,$B179,'февраль 2024'!$J$6:$J$1413,U$1)</f>
        <v>0</v>
      </c>
      <c r="V179" s="80">
        <f>SUMIFS('февраль 2024'!$G$6:$G$1413,'февраль 2024'!$D$6:$D$1413,$B179,'февраль 2024'!$J$6:$J$1413,V$1)</f>
        <v>0</v>
      </c>
      <c r="W179" s="80">
        <f>SUMIFS('февраль 2024'!$G$6:$G$1413,'февраль 2024'!$D$6:$D$1413,$B179,'февраль 2024'!$J$6:$J$1413,W$1)</f>
        <v>0</v>
      </c>
      <c r="X179" s="80">
        <f>SUMIFS('февраль 2024'!$G$6:$G$1413,'февраль 2024'!$D$6:$D$1413,$B179,'февраль 2024'!$J$6:$J$1413,X$1)</f>
        <v>0</v>
      </c>
      <c r="Y179" s="80">
        <f>SUMIFS('февраль 2024'!$G$6:$G$1413,'февраль 2024'!$D$6:$D$1413,$B179,'февраль 2024'!$J$6:$J$1413,Y$1)</f>
        <v>0</v>
      </c>
      <c r="Z179" s="80">
        <f>SUMIFS('февраль 2024'!$G$6:$G$1413,'февраль 2024'!$D$6:$D$1413,$B179,'февраль 2024'!$J$6:$J$1413,Z$1)</f>
        <v>0</v>
      </c>
      <c r="AA179" s="80">
        <f>SUMIFS('февраль 2024'!$G$6:$G$1413,'февраль 2024'!$D$6:$D$1413,$B179,'февраль 2024'!$J$6:$J$1413,AA$1)</f>
        <v>0</v>
      </c>
      <c r="AB179" s="80">
        <f>SUMIFS('февраль 2024'!$G$6:$G$1413,'февраль 2024'!$D$6:$D$1413,$B179,'февраль 2024'!$J$6:$J$1413,AB$1)</f>
        <v>0</v>
      </c>
      <c r="AC179" s="80">
        <f>SUMIFS('февраль 2024'!$G$6:$G$1413,'февраль 2024'!$D$6:$D$1413,$B179,'февраль 2024'!$J$6:$J$1413,AC$1)</f>
        <v>0</v>
      </c>
      <c r="AD179" s="80">
        <f>SUMIFS('февраль 2024'!$G$6:$G$1413,'февраль 2024'!$D$6:$D$1413,$B179,'февраль 2024'!$J$6:$J$1413,AD$1)</f>
        <v>0</v>
      </c>
      <c r="AE179" s="80">
        <f>SUMIFS('февраль 2024'!$G$6:$G$1413,'февраль 2024'!$D$6:$D$1413,$B179,'февраль 2024'!$J$6:$J$1413,AE$1)</f>
        <v>0</v>
      </c>
      <c r="AF179" s="80">
        <f>SUMIFS('февраль 2024'!$G$6:$G$1413,'февраль 2024'!$D$6:$D$1413,$B179,'февраль 2024'!$J$6:$J$1413,AF$1)</f>
        <v>0</v>
      </c>
      <c r="AG179" s="80">
        <f>SUMIFS('февраль 2024'!$G$6:$G$1413,'февраль 2024'!$D$6:$D$1413,$B179,'февраль 2024'!$J$6:$J$1413,AG$1)</f>
        <v>0</v>
      </c>
      <c r="AH179" s="80">
        <f>SUMIFS('февраль 2024'!$G$6:$G$1413,'февраль 2024'!$D$6:$D$1413,$B179,'февраль 2024'!$J$6:$J$1413,AH$1)</f>
        <v>0</v>
      </c>
      <c r="AI179" s="87"/>
    </row>
    <row r="180" spans="2:35" ht="15" hidden="1" customHeight="1" x14ac:dyDescent="0.25">
      <c r="B180" s="89"/>
      <c r="C180" s="91"/>
      <c r="D180" s="80">
        <f>SUMIFS('февраль 2024'!$G$6:$G$1413,'февраль 2024'!$D$6:$D$1413,$B180,'февраль 2024'!$J$6:$J$1413,D$1)</f>
        <v>0</v>
      </c>
      <c r="E180" s="80">
        <f>SUMIFS('февраль 2024'!$G$6:$G$1413,'февраль 2024'!$D$6:$D$1413,$B180,'февраль 2024'!$J$6:$J$1413,E$1)</f>
        <v>0</v>
      </c>
      <c r="F180" s="80">
        <f>SUMIFS('февраль 2024'!$G$6:$G$1413,'февраль 2024'!$D$6:$D$1413,$B180,'февраль 2024'!$J$6:$J$1413,F$1)</f>
        <v>0</v>
      </c>
      <c r="G180" s="80">
        <f>SUMIFS('февраль 2024'!$G$6:$G$1413,'февраль 2024'!$D$6:$D$1413,$B180,'февраль 2024'!$J$6:$J$1413,G$1)</f>
        <v>0</v>
      </c>
      <c r="H180" s="80">
        <f>SUMIFS('февраль 2024'!$G$6:$G$1413,'февраль 2024'!$D$6:$D$1413,$B180,'февраль 2024'!$J$6:$J$1413,H$1)</f>
        <v>0</v>
      </c>
      <c r="I180" s="80">
        <f>SUMIFS('февраль 2024'!$G$6:$G$1413,'февраль 2024'!$D$6:$D$1413,$B180,'февраль 2024'!$J$6:$J$1413,I$1)</f>
        <v>0</v>
      </c>
      <c r="J180" s="80">
        <f>SUMIFS('февраль 2024'!$G$6:$G$1413,'февраль 2024'!$D$6:$D$1413,$B180,'февраль 2024'!$J$6:$J$1413,J$1)</f>
        <v>0</v>
      </c>
      <c r="K180" s="80">
        <f>SUMIFS('февраль 2024'!$G$6:$G$1413,'февраль 2024'!$D$6:$D$1413,$B180,'февраль 2024'!$J$6:$J$1413,K$1)</f>
        <v>0</v>
      </c>
      <c r="L180" s="80">
        <f>SUMIFS('февраль 2024'!$G$6:$G$1413,'февраль 2024'!$D$6:$D$1413,$B180,'февраль 2024'!$J$6:$J$1413,L$1)</f>
        <v>0</v>
      </c>
      <c r="M180" s="80">
        <f>SUMIFS('февраль 2024'!$G$6:$G$1413,'февраль 2024'!$D$6:$D$1413,$B180,'февраль 2024'!$J$6:$J$1413,M$1)</f>
        <v>0</v>
      </c>
      <c r="N180" s="80">
        <f>SUMIFS('февраль 2024'!$G$6:$G$1413,'февраль 2024'!$D$6:$D$1413,$B180,'февраль 2024'!$J$6:$J$1413,N$1)</f>
        <v>0</v>
      </c>
      <c r="O180" s="80">
        <f>SUMIFS('февраль 2024'!$G$6:$G$1413,'февраль 2024'!$D$6:$D$1413,$B180,'февраль 2024'!$J$6:$J$1413,O$1)</f>
        <v>0</v>
      </c>
      <c r="P180" s="80">
        <f>SUMIFS('февраль 2024'!$G$6:$G$1413,'февраль 2024'!$D$6:$D$1413,$B180,'февраль 2024'!$J$6:$J$1413,P$1)</f>
        <v>0</v>
      </c>
      <c r="Q180" s="80">
        <f>SUMIFS('февраль 2024'!$G$6:$G$1413,'февраль 2024'!$D$6:$D$1413,$B180,'февраль 2024'!$J$6:$J$1413,Q$1)</f>
        <v>0</v>
      </c>
      <c r="R180" s="80">
        <f>SUMIFS('февраль 2024'!$G$6:$G$1413,'февраль 2024'!$D$6:$D$1413,$B180,'февраль 2024'!$J$6:$J$1413,R$1)</f>
        <v>0</v>
      </c>
      <c r="S180" s="80">
        <f>SUMIFS('февраль 2024'!$G$6:$G$1413,'февраль 2024'!$D$6:$D$1413,$B180,'февраль 2024'!$J$6:$J$1413,S$1)</f>
        <v>0</v>
      </c>
      <c r="T180" s="80">
        <f>SUMIFS('февраль 2024'!$G$6:$G$1413,'февраль 2024'!$D$6:$D$1413,$B180,'февраль 2024'!$J$6:$J$1413,T$1)</f>
        <v>0</v>
      </c>
      <c r="U180" s="80">
        <f>SUMIFS('февраль 2024'!$G$6:$G$1413,'февраль 2024'!$D$6:$D$1413,$B180,'февраль 2024'!$J$6:$J$1413,U$1)</f>
        <v>0</v>
      </c>
      <c r="V180" s="80">
        <f>SUMIFS('февраль 2024'!$G$6:$G$1413,'февраль 2024'!$D$6:$D$1413,$B180,'февраль 2024'!$J$6:$J$1413,V$1)</f>
        <v>0</v>
      </c>
      <c r="W180" s="80">
        <f>SUMIFS('февраль 2024'!$G$6:$G$1413,'февраль 2024'!$D$6:$D$1413,$B180,'февраль 2024'!$J$6:$J$1413,W$1)</f>
        <v>0</v>
      </c>
      <c r="X180" s="80">
        <f>SUMIFS('февраль 2024'!$G$6:$G$1413,'февраль 2024'!$D$6:$D$1413,$B180,'февраль 2024'!$J$6:$J$1413,X$1)</f>
        <v>0</v>
      </c>
      <c r="Y180" s="80">
        <f>SUMIFS('февраль 2024'!$G$6:$G$1413,'февраль 2024'!$D$6:$D$1413,$B180,'февраль 2024'!$J$6:$J$1413,Y$1)</f>
        <v>0</v>
      </c>
      <c r="Z180" s="80">
        <f>SUMIFS('февраль 2024'!$G$6:$G$1413,'февраль 2024'!$D$6:$D$1413,$B180,'февраль 2024'!$J$6:$J$1413,Z$1)</f>
        <v>0</v>
      </c>
      <c r="AA180" s="80">
        <f>SUMIFS('февраль 2024'!$G$6:$G$1413,'февраль 2024'!$D$6:$D$1413,$B180,'февраль 2024'!$J$6:$J$1413,AA$1)</f>
        <v>0</v>
      </c>
      <c r="AB180" s="80">
        <f>SUMIFS('февраль 2024'!$G$6:$G$1413,'февраль 2024'!$D$6:$D$1413,$B180,'февраль 2024'!$J$6:$J$1413,AB$1)</f>
        <v>0</v>
      </c>
      <c r="AC180" s="80">
        <f>SUMIFS('февраль 2024'!$G$6:$G$1413,'февраль 2024'!$D$6:$D$1413,$B180,'февраль 2024'!$J$6:$J$1413,AC$1)</f>
        <v>0</v>
      </c>
      <c r="AD180" s="80">
        <f>SUMIFS('февраль 2024'!$G$6:$G$1413,'февраль 2024'!$D$6:$D$1413,$B180,'февраль 2024'!$J$6:$J$1413,AD$1)</f>
        <v>0</v>
      </c>
      <c r="AE180" s="80">
        <f>SUMIFS('февраль 2024'!$G$6:$G$1413,'февраль 2024'!$D$6:$D$1413,$B180,'февраль 2024'!$J$6:$J$1413,AE$1)</f>
        <v>0</v>
      </c>
      <c r="AF180" s="80">
        <f>SUMIFS('февраль 2024'!$G$6:$G$1413,'февраль 2024'!$D$6:$D$1413,$B180,'февраль 2024'!$J$6:$J$1413,AF$1)</f>
        <v>0</v>
      </c>
      <c r="AG180" s="80">
        <f>SUMIFS('февраль 2024'!$G$6:$G$1413,'февраль 2024'!$D$6:$D$1413,$B180,'февраль 2024'!$J$6:$J$1413,AG$1)</f>
        <v>0</v>
      </c>
      <c r="AH180" s="80">
        <f>SUMIFS('февраль 2024'!$G$6:$G$1413,'февраль 2024'!$D$6:$D$1413,$B180,'февраль 2024'!$J$6:$J$1413,AH$1)</f>
        <v>0</v>
      </c>
      <c r="AI180" s="87"/>
    </row>
    <row r="181" spans="2:35" ht="15" hidden="1" customHeight="1" x14ac:dyDescent="0.25">
      <c r="B181" s="89"/>
      <c r="C181" s="91"/>
      <c r="D181" s="80">
        <f>SUMIFS('февраль 2024'!$G$6:$G$1413,'февраль 2024'!$D$6:$D$1413,$B181,'февраль 2024'!$J$6:$J$1413,D$1)</f>
        <v>0</v>
      </c>
      <c r="E181" s="80">
        <f>SUMIFS('февраль 2024'!$G$6:$G$1413,'февраль 2024'!$D$6:$D$1413,$B181,'февраль 2024'!$J$6:$J$1413,E$1)</f>
        <v>0</v>
      </c>
      <c r="F181" s="80">
        <f>SUMIFS('февраль 2024'!$G$6:$G$1413,'февраль 2024'!$D$6:$D$1413,$B181,'февраль 2024'!$J$6:$J$1413,F$1)</f>
        <v>0</v>
      </c>
      <c r="G181" s="80">
        <f>SUMIFS('февраль 2024'!$G$6:$G$1413,'февраль 2024'!$D$6:$D$1413,$B181,'февраль 2024'!$J$6:$J$1413,G$1)</f>
        <v>0</v>
      </c>
      <c r="H181" s="80">
        <f>SUMIFS('февраль 2024'!$G$6:$G$1413,'февраль 2024'!$D$6:$D$1413,$B181,'февраль 2024'!$J$6:$J$1413,H$1)</f>
        <v>0</v>
      </c>
      <c r="I181" s="80">
        <f>SUMIFS('февраль 2024'!$G$6:$G$1413,'февраль 2024'!$D$6:$D$1413,$B181,'февраль 2024'!$J$6:$J$1413,I$1)</f>
        <v>0</v>
      </c>
      <c r="J181" s="80">
        <f>SUMIFS('февраль 2024'!$G$6:$G$1413,'февраль 2024'!$D$6:$D$1413,$B181,'февраль 2024'!$J$6:$J$1413,J$1)</f>
        <v>0</v>
      </c>
      <c r="K181" s="80">
        <f>SUMIFS('февраль 2024'!$G$6:$G$1413,'февраль 2024'!$D$6:$D$1413,$B181,'февраль 2024'!$J$6:$J$1413,K$1)</f>
        <v>0</v>
      </c>
      <c r="L181" s="80">
        <f>SUMIFS('февраль 2024'!$G$6:$G$1413,'февраль 2024'!$D$6:$D$1413,$B181,'февраль 2024'!$J$6:$J$1413,L$1)</f>
        <v>0</v>
      </c>
      <c r="M181" s="80">
        <f>SUMIFS('февраль 2024'!$G$6:$G$1413,'февраль 2024'!$D$6:$D$1413,$B181,'февраль 2024'!$J$6:$J$1413,M$1)</f>
        <v>0</v>
      </c>
      <c r="N181" s="80">
        <f>SUMIFS('февраль 2024'!$G$6:$G$1413,'февраль 2024'!$D$6:$D$1413,$B181,'февраль 2024'!$J$6:$J$1413,N$1)</f>
        <v>0</v>
      </c>
      <c r="O181" s="80">
        <f>SUMIFS('февраль 2024'!$G$6:$G$1413,'февраль 2024'!$D$6:$D$1413,$B181,'февраль 2024'!$J$6:$J$1413,O$1)</f>
        <v>0</v>
      </c>
      <c r="P181" s="80">
        <f>SUMIFS('февраль 2024'!$G$6:$G$1413,'февраль 2024'!$D$6:$D$1413,$B181,'февраль 2024'!$J$6:$J$1413,P$1)</f>
        <v>0</v>
      </c>
      <c r="Q181" s="80">
        <f>SUMIFS('февраль 2024'!$G$6:$G$1413,'февраль 2024'!$D$6:$D$1413,$B181,'февраль 2024'!$J$6:$J$1413,Q$1)</f>
        <v>0</v>
      </c>
      <c r="R181" s="80">
        <f>SUMIFS('февраль 2024'!$G$6:$G$1413,'февраль 2024'!$D$6:$D$1413,$B181,'февраль 2024'!$J$6:$J$1413,R$1)</f>
        <v>0</v>
      </c>
      <c r="S181" s="80">
        <f>SUMIFS('февраль 2024'!$G$6:$G$1413,'февраль 2024'!$D$6:$D$1413,$B181,'февраль 2024'!$J$6:$J$1413,S$1)</f>
        <v>0</v>
      </c>
      <c r="T181" s="80">
        <f>SUMIFS('февраль 2024'!$G$6:$G$1413,'февраль 2024'!$D$6:$D$1413,$B181,'февраль 2024'!$J$6:$J$1413,T$1)</f>
        <v>0</v>
      </c>
      <c r="U181" s="80">
        <f>SUMIFS('февраль 2024'!$G$6:$G$1413,'февраль 2024'!$D$6:$D$1413,$B181,'февраль 2024'!$J$6:$J$1413,U$1)</f>
        <v>0</v>
      </c>
      <c r="V181" s="80">
        <f>SUMIFS('февраль 2024'!$G$6:$G$1413,'февраль 2024'!$D$6:$D$1413,$B181,'февраль 2024'!$J$6:$J$1413,V$1)</f>
        <v>0</v>
      </c>
      <c r="W181" s="80">
        <f>SUMIFS('февраль 2024'!$G$6:$G$1413,'февраль 2024'!$D$6:$D$1413,$B181,'февраль 2024'!$J$6:$J$1413,W$1)</f>
        <v>0</v>
      </c>
      <c r="X181" s="80">
        <f>SUMIFS('февраль 2024'!$G$6:$G$1413,'февраль 2024'!$D$6:$D$1413,$B181,'февраль 2024'!$J$6:$J$1413,X$1)</f>
        <v>0</v>
      </c>
      <c r="Y181" s="80">
        <f>SUMIFS('февраль 2024'!$G$6:$G$1413,'февраль 2024'!$D$6:$D$1413,$B181,'февраль 2024'!$J$6:$J$1413,Y$1)</f>
        <v>0</v>
      </c>
      <c r="Z181" s="80">
        <f>SUMIFS('февраль 2024'!$G$6:$G$1413,'февраль 2024'!$D$6:$D$1413,$B181,'февраль 2024'!$J$6:$J$1413,Z$1)</f>
        <v>0</v>
      </c>
      <c r="AA181" s="80">
        <f>SUMIFS('февраль 2024'!$G$6:$G$1413,'февраль 2024'!$D$6:$D$1413,$B181,'февраль 2024'!$J$6:$J$1413,AA$1)</f>
        <v>0</v>
      </c>
      <c r="AB181" s="80">
        <f>SUMIFS('февраль 2024'!$G$6:$G$1413,'февраль 2024'!$D$6:$D$1413,$B181,'февраль 2024'!$J$6:$J$1413,AB$1)</f>
        <v>0</v>
      </c>
      <c r="AC181" s="80">
        <f>SUMIFS('февраль 2024'!$G$6:$G$1413,'февраль 2024'!$D$6:$D$1413,$B181,'февраль 2024'!$J$6:$J$1413,AC$1)</f>
        <v>0</v>
      </c>
      <c r="AD181" s="80">
        <f>SUMIFS('февраль 2024'!$G$6:$G$1413,'февраль 2024'!$D$6:$D$1413,$B181,'февраль 2024'!$J$6:$J$1413,AD$1)</f>
        <v>0</v>
      </c>
      <c r="AE181" s="80">
        <f>SUMIFS('февраль 2024'!$G$6:$G$1413,'февраль 2024'!$D$6:$D$1413,$B181,'февраль 2024'!$J$6:$J$1413,AE$1)</f>
        <v>0</v>
      </c>
      <c r="AF181" s="80">
        <f>SUMIFS('февраль 2024'!$G$6:$G$1413,'февраль 2024'!$D$6:$D$1413,$B181,'февраль 2024'!$J$6:$J$1413,AF$1)</f>
        <v>0</v>
      </c>
      <c r="AG181" s="80">
        <f>SUMIFS('февраль 2024'!$G$6:$G$1413,'февраль 2024'!$D$6:$D$1413,$B181,'февраль 2024'!$J$6:$J$1413,AG$1)</f>
        <v>0</v>
      </c>
      <c r="AH181" s="80">
        <f>SUMIFS('февраль 2024'!$G$6:$G$1413,'февраль 2024'!$D$6:$D$1413,$B181,'февраль 2024'!$J$6:$J$1413,AH$1)</f>
        <v>0</v>
      </c>
      <c r="AI181" s="87"/>
    </row>
    <row r="182" spans="2:35" ht="15" hidden="1" customHeight="1" x14ac:dyDescent="0.25">
      <c r="B182" s="89"/>
      <c r="C182" s="91"/>
      <c r="D182" s="80">
        <f>SUMIFS('февраль 2024'!$G$6:$G$1413,'февраль 2024'!$D$6:$D$1413,$B182,'февраль 2024'!$J$6:$J$1413,D$1)</f>
        <v>0</v>
      </c>
      <c r="E182" s="80">
        <f>SUMIFS('февраль 2024'!$G$6:$G$1413,'февраль 2024'!$D$6:$D$1413,$B182,'февраль 2024'!$J$6:$J$1413,E$1)</f>
        <v>0</v>
      </c>
      <c r="F182" s="80">
        <f>SUMIFS('февраль 2024'!$G$6:$G$1413,'февраль 2024'!$D$6:$D$1413,$B182,'февраль 2024'!$J$6:$J$1413,F$1)</f>
        <v>0</v>
      </c>
      <c r="G182" s="80">
        <f>SUMIFS('февраль 2024'!$G$6:$G$1413,'февраль 2024'!$D$6:$D$1413,$B182,'февраль 2024'!$J$6:$J$1413,G$1)</f>
        <v>0</v>
      </c>
      <c r="H182" s="80">
        <f>SUMIFS('февраль 2024'!$G$6:$G$1413,'февраль 2024'!$D$6:$D$1413,$B182,'февраль 2024'!$J$6:$J$1413,H$1)</f>
        <v>0</v>
      </c>
      <c r="I182" s="80">
        <f>SUMIFS('февраль 2024'!$G$6:$G$1413,'февраль 2024'!$D$6:$D$1413,$B182,'февраль 2024'!$J$6:$J$1413,I$1)</f>
        <v>0</v>
      </c>
      <c r="J182" s="80">
        <f>SUMIFS('февраль 2024'!$G$6:$G$1413,'февраль 2024'!$D$6:$D$1413,$B182,'февраль 2024'!$J$6:$J$1413,J$1)</f>
        <v>0</v>
      </c>
      <c r="K182" s="80">
        <f>SUMIFS('февраль 2024'!$G$6:$G$1413,'февраль 2024'!$D$6:$D$1413,$B182,'февраль 2024'!$J$6:$J$1413,K$1)</f>
        <v>0</v>
      </c>
      <c r="L182" s="80">
        <f>SUMIFS('февраль 2024'!$G$6:$G$1413,'февраль 2024'!$D$6:$D$1413,$B182,'февраль 2024'!$J$6:$J$1413,L$1)</f>
        <v>0</v>
      </c>
      <c r="M182" s="80">
        <f>SUMIFS('февраль 2024'!$G$6:$G$1413,'февраль 2024'!$D$6:$D$1413,$B182,'февраль 2024'!$J$6:$J$1413,M$1)</f>
        <v>0</v>
      </c>
      <c r="N182" s="80">
        <f>SUMIFS('февраль 2024'!$G$6:$G$1413,'февраль 2024'!$D$6:$D$1413,$B182,'февраль 2024'!$J$6:$J$1413,N$1)</f>
        <v>0</v>
      </c>
      <c r="O182" s="80">
        <f>SUMIFS('февраль 2024'!$G$6:$G$1413,'февраль 2024'!$D$6:$D$1413,$B182,'февраль 2024'!$J$6:$J$1413,O$1)</f>
        <v>0</v>
      </c>
      <c r="P182" s="80">
        <f>SUMIFS('февраль 2024'!$G$6:$G$1413,'февраль 2024'!$D$6:$D$1413,$B182,'февраль 2024'!$J$6:$J$1413,P$1)</f>
        <v>0</v>
      </c>
      <c r="Q182" s="80">
        <f>SUMIFS('февраль 2024'!$G$6:$G$1413,'февраль 2024'!$D$6:$D$1413,$B182,'февраль 2024'!$J$6:$J$1413,Q$1)</f>
        <v>0</v>
      </c>
      <c r="R182" s="80">
        <f>SUMIFS('февраль 2024'!$G$6:$G$1413,'февраль 2024'!$D$6:$D$1413,$B182,'февраль 2024'!$J$6:$J$1413,R$1)</f>
        <v>0</v>
      </c>
      <c r="S182" s="80">
        <f>SUMIFS('февраль 2024'!$G$6:$G$1413,'февраль 2024'!$D$6:$D$1413,$B182,'февраль 2024'!$J$6:$J$1413,S$1)</f>
        <v>0</v>
      </c>
      <c r="T182" s="80">
        <f>SUMIFS('февраль 2024'!$G$6:$G$1413,'февраль 2024'!$D$6:$D$1413,$B182,'февраль 2024'!$J$6:$J$1413,T$1)</f>
        <v>0</v>
      </c>
      <c r="U182" s="80">
        <f>SUMIFS('февраль 2024'!$G$6:$G$1413,'февраль 2024'!$D$6:$D$1413,$B182,'февраль 2024'!$J$6:$J$1413,U$1)</f>
        <v>0</v>
      </c>
      <c r="V182" s="80">
        <f>SUMIFS('февраль 2024'!$G$6:$G$1413,'февраль 2024'!$D$6:$D$1413,$B182,'февраль 2024'!$J$6:$J$1413,V$1)</f>
        <v>0</v>
      </c>
      <c r="W182" s="80">
        <f>SUMIFS('февраль 2024'!$G$6:$G$1413,'февраль 2024'!$D$6:$D$1413,$B182,'февраль 2024'!$J$6:$J$1413,W$1)</f>
        <v>0</v>
      </c>
      <c r="X182" s="80">
        <f>SUMIFS('февраль 2024'!$G$6:$G$1413,'февраль 2024'!$D$6:$D$1413,$B182,'февраль 2024'!$J$6:$J$1413,X$1)</f>
        <v>0</v>
      </c>
      <c r="Y182" s="80">
        <f>SUMIFS('февраль 2024'!$G$6:$G$1413,'февраль 2024'!$D$6:$D$1413,$B182,'февраль 2024'!$J$6:$J$1413,Y$1)</f>
        <v>0</v>
      </c>
      <c r="Z182" s="80">
        <f>SUMIFS('февраль 2024'!$G$6:$G$1413,'февраль 2024'!$D$6:$D$1413,$B182,'февраль 2024'!$J$6:$J$1413,Z$1)</f>
        <v>0</v>
      </c>
      <c r="AA182" s="80">
        <f>SUMIFS('февраль 2024'!$G$6:$G$1413,'февраль 2024'!$D$6:$D$1413,$B182,'февраль 2024'!$J$6:$J$1413,AA$1)</f>
        <v>0</v>
      </c>
      <c r="AB182" s="80">
        <f>SUMIFS('февраль 2024'!$G$6:$G$1413,'февраль 2024'!$D$6:$D$1413,$B182,'февраль 2024'!$J$6:$J$1413,AB$1)</f>
        <v>0</v>
      </c>
      <c r="AC182" s="80">
        <f>SUMIFS('февраль 2024'!$G$6:$G$1413,'февраль 2024'!$D$6:$D$1413,$B182,'февраль 2024'!$J$6:$J$1413,AC$1)</f>
        <v>0</v>
      </c>
      <c r="AD182" s="80">
        <f>SUMIFS('февраль 2024'!$G$6:$G$1413,'февраль 2024'!$D$6:$D$1413,$B182,'февраль 2024'!$J$6:$J$1413,AD$1)</f>
        <v>0</v>
      </c>
      <c r="AE182" s="80">
        <f>SUMIFS('февраль 2024'!$G$6:$G$1413,'февраль 2024'!$D$6:$D$1413,$B182,'февраль 2024'!$J$6:$J$1413,AE$1)</f>
        <v>0</v>
      </c>
      <c r="AF182" s="80">
        <f>SUMIFS('февраль 2024'!$G$6:$G$1413,'февраль 2024'!$D$6:$D$1413,$B182,'февраль 2024'!$J$6:$J$1413,AF$1)</f>
        <v>0</v>
      </c>
      <c r="AG182" s="80">
        <f>SUMIFS('февраль 2024'!$G$6:$G$1413,'февраль 2024'!$D$6:$D$1413,$B182,'февраль 2024'!$J$6:$J$1413,AG$1)</f>
        <v>0</v>
      </c>
      <c r="AH182" s="80">
        <f>SUMIFS('февраль 2024'!$G$6:$G$1413,'февраль 2024'!$D$6:$D$1413,$B182,'февраль 2024'!$J$6:$J$1413,AH$1)</f>
        <v>0</v>
      </c>
      <c r="AI182" s="87"/>
    </row>
    <row r="183" spans="2:35" ht="15" hidden="1" customHeight="1" x14ac:dyDescent="0.25">
      <c r="B183" s="89"/>
      <c r="C183" s="91"/>
      <c r="D183" s="80">
        <f>SUMIFS('февраль 2024'!$G$6:$G$1413,'февраль 2024'!$D$6:$D$1413,$B183,'февраль 2024'!$J$6:$J$1413,D$1)</f>
        <v>0</v>
      </c>
      <c r="E183" s="80">
        <f>SUMIFS('февраль 2024'!$G$6:$G$1413,'февраль 2024'!$D$6:$D$1413,$B183,'февраль 2024'!$J$6:$J$1413,E$1)</f>
        <v>0</v>
      </c>
      <c r="F183" s="80">
        <f>SUMIFS('февраль 2024'!$G$6:$G$1413,'февраль 2024'!$D$6:$D$1413,$B183,'февраль 2024'!$J$6:$J$1413,F$1)</f>
        <v>0</v>
      </c>
      <c r="G183" s="80">
        <f>SUMIFS('февраль 2024'!$G$6:$G$1413,'февраль 2024'!$D$6:$D$1413,$B183,'февраль 2024'!$J$6:$J$1413,G$1)</f>
        <v>0</v>
      </c>
      <c r="H183" s="80">
        <f>SUMIFS('февраль 2024'!$G$6:$G$1413,'февраль 2024'!$D$6:$D$1413,$B183,'февраль 2024'!$J$6:$J$1413,H$1)</f>
        <v>0</v>
      </c>
      <c r="I183" s="80">
        <f>SUMIFS('февраль 2024'!$G$6:$G$1413,'февраль 2024'!$D$6:$D$1413,$B183,'февраль 2024'!$J$6:$J$1413,I$1)</f>
        <v>0</v>
      </c>
      <c r="J183" s="80">
        <f>SUMIFS('февраль 2024'!$G$6:$G$1413,'февраль 2024'!$D$6:$D$1413,$B183,'февраль 2024'!$J$6:$J$1413,J$1)</f>
        <v>0</v>
      </c>
      <c r="K183" s="80">
        <f>SUMIFS('февраль 2024'!$G$6:$G$1413,'февраль 2024'!$D$6:$D$1413,$B183,'февраль 2024'!$J$6:$J$1413,K$1)</f>
        <v>0</v>
      </c>
      <c r="L183" s="80">
        <f>SUMIFS('февраль 2024'!$G$6:$G$1413,'февраль 2024'!$D$6:$D$1413,$B183,'февраль 2024'!$J$6:$J$1413,L$1)</f>
        <v>0</v>
      </c>
      <c r="M183" s="80">
        <f>SUMIFS('февраль 2024'!$G$6:$G$1413,'февраль 2024'!$D$6:$D$1413,$B183,'февраль 2024'!$J$6:$J$1413,M$1)</f>
        <v>0</v>
      </c>
      <c r="N183" s="80">
        <f>SUMIFS('февраль 2024'!$G$6:$G$1413,'февраль 2024'!$D$6:$D$1413,$B183,'февраль 2024'!$J$6:$J$1413,N$1)</f>
        <v>0</v>
      </c>
      <c r="O183" s="80">
        <f>SUMIFS('февраль 2024'!$G$6:$G$1413,'февраль 2024'!$D$6:$D$1413,$B183,'февраль 2024'!$J$6:$J$1413,O$1)</f>
        <v>0</v>
      </c>
      <c r="P183" s="80">
        <f>SUMIFS('февраль 2024'!$G$6:$G$1413,'февраль 2024'!$D$6:$D$1413,$B183,'февраль 2024'!$J$6:$J$1413,P$1)</f>
        <v>0</v>
      </c>
      <c r="Q183" s="80">
        <f>SUMIFS('февраль 2024'!$G$6:$G$1413,'февраль 2024'!$D$6:$D$1413,$B183,'февраль 2024'!$J$6:$J$1413,Q$1)</f>
        <v>0</v>
      </c>
      <c r="R183" s="80">
        <f>SUMIFS('февраль 2024'!$G$6:$G$1413,'февраль 2024'!$D$6:$D$1413,$B183,'февраль 2024'!$J$6:$J$1413,R$1)</f>
        <v>0</v>
      </c>
      <c r="S183" s="80">
        <f>SUMIFS('февраль 2024'!$G$6:$G$1413,'февраль 2024'!$D$6:$D$1413,$B183,'февраль 2024'!$J$6:$J$1413,S$1)</f>
        <v>0</v>
      </c>
      <c r="T183" s="80">
        <f>SUMIFS('февраль 2024'!$G$6:$G$1413,'февраль 2024'!$D$6:$D$1413,$B183,'февраль 2024'!$J$6:$J$1413,T$1)</f>
        <v>0</v>
      </c>
      <c r="U183" s="80">
        <f>SUMIFS('февраль 2024'!$G$6:$G$1413,'февраль 2024'!$D$6:$D$1413,$B183,'февраль 2024'!$J$6:$J$1413,U$1)</f>
        <v>0</v>
      </c>
      <c r="V183" s="80">
        <f>SUMIFS('февраль 2024'!$G$6:$G$1413,'февраль 2024'!$D$6:$D$1413,$B183,'февраль 2024'!$J$6:$J$1413,V$1)</f>
        <v>0</v>
      </c>
      <c r="W183" s="80">
        <f>SUMIFS('февраль 2024'!$G$6:$G$1413,'февраль 2024'!$D$6:$D$1413,$B183,'февраль 2024'!$J$6:$J$1413,W$1)</f>
        <v>0</v>
      </c>
      <c r="X183" s="80">
        <f>SUMIFS('февраль 2024'!$G$6:$G$1413,'февраль 2024'!$D$6:$D$1413,$B183,'февраль 2024'!$J$6:$J$1413,X$1)</f>
        <v>0</v>
      </c>
      <c r="Y183" s="80">
        <f>SUMIFS('февраль 2024'!$G$6:$G$1413,'февраль 2024'!$D$6:$D$1413,$B183,'февраль 2024'!$J$6:$J$1413,Y$1)</f>
        <v>0</v>
      </c>
      <c r="Z183" s="80">
        <f>SUMIFS('февраль 2024'!$G$6:$G$1413,'февраль 2024'!$D$6:$D$1413,$B183,'февраль 2024'!$J$6:$J$1413,Z$1)</f>
        <v>0</v>
      </c>
      <c r="AA183" s="80">
        <f>SUMIFS('февраль 2024'!$G$6:$G$1413,'февраль 2024'!$D$6:$D$1413,$B183,'февраль 2024'!$J$6:$J$1413,AA$1)</f>
        <v>0</v>
      </c>
      <c r="AB183" s="80">
        <f>SUMIFS('февраль 2024'!$G$6:$G$1413,'февраль 2024'!$D$6:$D$1413,$B183,'февраль 2024'!$J$6:$J$1413,AB$1)</f>
        <v>0</v>
      </c>
      <c r="AC183" s="80">
        <f>SUMIFS('февраль 2024'!$G$6:$G$1413,'февраль 2024'!$D$6:$D$1413,$B183,'февраль 2024'!$J$6:$J$1413,AC$1)</f>
        <v>0</v>
      </c>
      <c r="AD183" s="80">
        <f>SUMIFS('февраль 2024'!$G$6:$G$1413,'февраль 2024'!$D$6:$D$1413,$B183,'февраль 2024'!$J$6:$J$1413,AD$1)</f>
        <v>0</v>
      </c>
      <c r="AE183" s="80">
        <f>SUMIFS('февраль 2024'!$G$6:$G$1413,'февраль 2024'!$D$6:$D$1413,$B183,'февраль 2024'!$J$6:$J$1413,AE$1)</f>
        <v>0</v>
      </c>
      <c r="AF183" s="80">
        <f>SUMIFS('февраль 2024'!$G$6:$G$1413,'февраль 2024'!$D$6:$D$1413,$B183,'февраль 2024'!$J$6:$J$1413,AF$1)</f>
        <v>0</v>
      </c>
      <c r="AG183" s="80">
        <f>SUMIFS('февраль 2024'!$G$6:$G$1413,'февраль 2024'!$D$6:$D$1413,$B183,'февраль 2024'!$J$6:$J$1413,AG$1)</f>
        <v>0</v>
      </c>
      <c r="AH183" s="80">
        <f>SUMIFS('февраль 2024'!$G$6:$G$1413,'февраль 2024'!$D$6:$D$1413,$B183,'февраль 2024'!$J$6:$J$1413,AH$1)</f>
        <v>0</v>
      </c>
      <c r="AI183" s="87"/>
    </row>
    <row r="184" spans="2:35" ht="15" hidden="1" customHeight="1" x14ac:dyDescent="0.25">
      <c r="B184" s="89"/>
      <c r="C184" s="88"/>
      <c r="D184" s="80">
        <f>SUMIFS('февраль 2024'!$G$6:$G$1413,'февраль 2024'!$D$6:$D$1413,$B184,'февраль 2024'!$J$6:$J$1413,D$1)</f>
        <v>0</v>
      </c>
      <c r="E184" s="80">
        <f>SUMIFS('февраль 2024'!$G$6:$G$1413,'февраль 2024'!$D$6:$D$1413,$B184,'февраль 2024'!$J$6:$J$1413,E$1)</f>
        <v>0</v>
      </c>
      <c r="F184" s="80">
        <f>SUMIFS('февраль 2024'!$G$6:$G$1413,'февраль 2024'!$D$6:$D$1413,$B184,'февраль 2024'!$J$6:$J$1413,F$1)</f>
        <v>0</v>
      </c>
      <c r="G184" s="80">
        <f>SUMIFS('февраль 2024'!$G$6:$G$1413,'февраль 2024'!$D$6:$D$1413,$B184,'февраль 2024'!$J$6:$J$1413,G$1)</f>
        <v>0</v>
      </c>
      <c r="H184" s="80">
        <f>SUMIFS('февраль 2024'!$G$6:$G$1413,'февраль 2024'!$D$6:$D$1413,$B184,'февраль 2024'!$J$6:$J$1413,H$1)</f>
        <v>0</v>
      </c>
      <c r="I184" s="80">
        <f>SUMIFS('февраль 2024'!$G$6:$G$1413,'февраль 2024'!$D$6:$D$1413,$B184,'февраль 2024'!$J$6:$J$1413,I$1)</f>
        <v>0</v>
      </c>
      <c r="J184" s="80">
        <f>SUMIFS('февраль 2024'!$G$6:$G$1413,'февраль 2024'!$D$6:$D$1413,$B184,'февраль 2024'!$J$6:$J$1413,J$1)</f>
        <v>0</v>
      </c>
      <c r="K184" s="80">
        <f>SUMIFS('февраль 2024'!$G$6:$G$1413,'февраль 2024'!$D$6:$D$1413,$B184,'февраль 2024'!$J$6:$J$1413,K$1)</f>
        <v>0</v>
      </c>
      <c r="L184" s="80">
        <f>SUMIFS('февраль 2024'!$G$6:$G$1413,'февраль 2024'!$D$6:$D$1413,$B184,'февраль 2024'!$J$6:$J$1413,L$1)</f>
        <v>0</v>
      </c>
      <c r="M184" s="80">
        <f>SUMIFS('февраль 2024'!$G$6:$G$1413,'февраль 2024'!$D$6:$D$1413,$B184,'февраль 2024'!$J$6:$J$1413,M$1)</f>
        <v>0</v>
      </c>
      <c r="N184" s="80">
        <f>SUMIFS('февраль 2024'!$G$6:$G$1413,'февраль 2024'!$D$6:$D$1413,$B184,'февраль 2024'!$J$6:$J$1413,N$1)</f>
        <v>0</v>
      </c>
      <c r="O184" s="80">
        <f>SUMIFS('февраль 2024'!$G$6:$G$1413,'февраль 2024'!$D$6:$D$1413,$B184,'февраль 2024'!$J$6:$J$1413,O$1)</f>
        <v>0</v>
      </c>
      <c r="P184" s="80">
        <f>SUMIFS('февраль 2024'!$G$6:$G$1413,'февраль 2024'!$D$6:$D$1413,$B184,'февраль 2024'!$J$6:$J$1413,P$1)</f>
        <v>0</v>
      </c>
      <c r="Q184" s="80">
        <f>SUMIFS('февраль 2024'!$G$6:$G$1413,'февраль 2024'!$D$6:$D$1413,$B184,'февраль 2024'!$J$6:$J$1413,Q$1)</f>
        <v>0</v>
      </c>
      <c r="R184" s="80">
        <f>SUMIFS('февраль 2024'!$G$6:$G$1413,'февраль 2024'!$D$6:$D$1413,$B184,'февраль 2024'!$J$6:$J$1413,R$1)</f>
        <v>0</v>
      </c>
      <c r="S184" s="80">
        <f>SUMIFS('февраль 2024'!$G$6:$G$1413,'февраль 2024'!$D$6:$D$1413,$B184,'февраль 2024'!$J$6:$J$1413,S$1)</f>
        <v>0</v>
      </c>
      <c r="T184" s="80">
        <f>SUMIFS('февраль 2024'!$G$6:$G$1413,'февраль 2024'!$D$6:$D$1413,$B184,'февраль 2024'!$J$6:$J$1413,T$1)</f>
        <v>0</v>
      </c>
      <c r="U184" s="80">
        <f>SUMIFS('февраль 2024'!$G$6:$G$1413,'февраль 2024'!$D$6:$D$1413,$B184,'февраль 2024'!$J$6:$J$1413,U$1)</f>
        <v>0</v>
      </c>
      <c r="V184" s="80">
        <f>SUMIFS('февраль 2024'!$G$6:$G$1413,'февраль 2024'!$D$6:$D$1413,$B184,'февраль 2024'!$J$6:$J$1413,V$1)</f>
        <v>0</v>
      </c>
      <c r="W184" s="80">
        <f>SUMIFS('февраль 2024'!$G$6:$G$1413,'февраль 2024'!$D$6:$D$1413,$B184,'февраль 2024'!$J$6:$J$1413,W$1)</f>
        <v>0</v>
      </c>
      <c r="X184" s="80">
        <f>SUMIFS('февраль 2024'!$G$6:$G$1413,'февраль 2024'!$D$6:$D$1413,$B184,'февраль 2024'!$J$6:$J$1413,X$1)</f>
        <v>0</v>
      </c>
      <c r="Y184" s="80">
        <f>SUMIFS('февраль 2024'!$G$6:$G$1413,'февраль 2024'!$D$6:$D$1413,$B184,'февраль 2024'!$J$6:$J$1413,Y$1)</f>
        <v>0</v>
      </c>
      <c r="Z184" s="80">
        <f>SUMIFS('февраль 2024'!$G$6:$G$1413,'февраль 2024'!$D$6:$D$1413,$B184,'февраль 2024'!$J$6:$J$1413,Z$1)</f>
        <v>0</v>
      </c>
      <c r="AA184" s="80">
        <f>SUMIFS('февраль 2024'!$G$6:$G$1413,'февраль 2024'!$D$6:$D$1413,$B184,'февраль 2024'!$J$6:$J$1413,AA$1)</f>
        <v>0</v>
      </c>
      <c r="AB184" s="80">
        <f>SUMIFS('февраль 2024'!$G$6:$G$1413,'февраль 2024'!$D$6:$D$1413,$B184,'февраль 2024'!$J$6:$J$1413,AB$1)</f>
        <v>0</v>
      </c>
      <c r="AC184" s="80">
        <f>SUMIFS('февраль 2024'!$G$6:$G$1413,'февраль 2024'!$D$6:$D$1413,$B184,'февраль 2024'!$J$6:$J$1413,AC$1)</f>
        <v>0</v>
      </c>
      <c r="AD184" s="80">
        <f>SUMIFS('февраль 2024'!$G$6:$G$1413,'февраль 2024'!$D$6:$D$1413,$B184,'февраль 2024'!$J$6:$J$1413,AD$1)</f>
        <v>0</v>
      </c>
      <c r="AE184" s="80">
        <f>SUMIFS('февраль 2024'!$G$6:$G$1413,'февраль 2024'!$D$6:$D$1413,$B184,'февраль 2024'!$J$6:$J$1413,AE$1)</f>
        <v>0</v>
      </c>
      <c r="AF184" s="80">
        <f>SUMIFS('февраль 2024'!$G$6:$G$1413,'февраль 2024'!$D$6:$D$1413,$B184,'февраль 2024'!$J$6:$J$1413,AF$1)</f>
        <v>0</v>
      </c>
      <c r="AG184" s="80">
        <f>SUMIFS('февраль 2024'!$G$6:$G$1413,'февраль 2024'!$D$6:$D$1413,$B184,'февраль 2024'!$J$6:$J$1413,AG$1)</f>
        <v>0</v>
      </c>
      <c r="AH184" s="80">
        <f>SUMIFS('февраль 2024'!$G$6:$G$1413,'февраль 2024'!$D$6:$D$1413,$B184,'февраль 2024'!$J$6:$J$1413,AH$1)</f>
        <v>0</v>
      </c>
      <c r="AI184" s="87"/>
    </row>
    <row r="185" spans="2:35" ht="15" hidden="1" customHeight="1" x14ac:dyDescent="0.25">
      <c r="B185" s="89"/>
      <c r="C185" s="88"/>
      <c r="D185" s="80">
        <f>SUMIFS('февраль 2024'!$G$6:$G$1413,'февраль 2024'!$D$6:$D$1413,$B185,'февраль 2024'!$J$6:$J$1413,D$1)</f>
        <v>0</v>
      </c>
      <c r="E185" s="80">
        <f>SUMIFS('февраль 2024'!$G$6:$G$1413,'февраль 2024'!$D$6:$D$1413,$B185,'февраль 2024'!$J$6:$J$1413,E$1)</f>
        <v>0</v>
      </c>
      <c r="F185" s="80">
        <f>SUMIFS('февраль 2024'!$G$6:$G$1413,'февраль 2024'!$D$6:$D$1413,$B185,'февраль 2024'!$J$6:$J$1413,F$1)</f>
        <v>0</v>
      </c>
      <c r="G185" s="80">
        <f>SUMIFS('февраль 2024'!$G$6:$G$1413,'февраль 2024'!$D$6:$D$1413,$B185,'февраль 2024'!$J$6:$J$1413,G$1)</f>
        <v>0</v>
      </c>
      <c r="H185" s="80">
        <f>SUMIFS('февраль 2024'!$G$6:$G$1413,'февраль 2024'!$D$6:$D$1413,$B185,'февраль 2024'!$J$6:$J$1413,H$1)</f>
        <v>0</v>
      </c>
      <c r="I185" s="80">
        <f>SUMIFS('февраль 2024'!$G$6:$G$1413,'февраль 2024'!$D$6:$D$1413,$B185,'февраль 2024'!$J$6:$J$1413,I$1)</f>
        <v>0</v>
      </c>
      <c r="J185" s="80">
        <f>SUMIFS('февраль 2024'!$G$6:$G$1413,'февраль 2024'!$D$6:$D$1413,$B185,'февраль 2024'!$J$6:$J$1413,J$1)</f>
        <v>0</v>
      </c>
      <c r="K185" s="80">
        <f>SUMIFS('февраль 2024'!$G$6:$G$1413,'февраль 2024'!$D$6:$D$1413,$B185,'февраль 2024'!$J$6:$J$1413,K$1)</f>
        <v>0</v>
      </c>
      <c r="L185" s="80">
        <f>SUMIFS('февраль 2024'!$G$6:$G$1413,'февраль 2024'!$D$6:$D$1413,$B185,'февраль 2024'!$J$6:$J$1413,L$1)</f>
        <v>0</v>
      </c>
      <c r="M185" s="80">
        <f>SUMIFS('февраль 2024'!$G$6:$G$1413,'февраль 2024'!$D$6:$D$1413,$B185,'февраль 2024'!$J$6:$J$1413,M$1)</f>
        <v>0</v>
      </c>
      <c r="N185" s="80">
        <f>SUMIFS('февраль 2024'!$G$6:$G$1413,'февраль 2024'!$D$6:$D$1413,$B185,'февраль 2024'!$J$6:$J$1413,N$1)</f>
        <v>0</v>
      </c>
      <c r="O185" s="80">
        <f>SUMIFS('февраль 2024'!$G$6:$G$1413,'февраль 2024'!$D$6:$D$1413,$B185,'февраль 2024'!$J$6:$J$1413,O$1)</f>
        <v>0</v>
      </c>
      <c r="P185" s="80">
        <f>SUMIFS('февраль 2024'!$G$6:$G$1413,'февраль 2024'!$D$6:$D$1413,$B185,'февраль 2024'!$J$6:$J$1413,P$1)</f>
        <v>0</v>
      </c>
      <c r="Q185" s="80">
        <f>SUMIFS('февраль 2024'!$G$6:$G$1413,'февраль 2024'!$D$6:$D$1413,$B185,'февраль 2024'!$J$6:$J$1413,Q$1)</f>
        <v>0</v>
      </c>
      <c r="R185" s="80">
        <f>SUMIFS('февраль 2024'!$G$6:$G$1413,'февраль 2024'!$D$6:$D$1413,$B185,'февраль 2024'!$J$6:$J$1413,R$1)</f>
        <v>0</v>
      </c>
      <c r="S185" s="80">
        <f>SUMIFS('февраль 2024'!$G$6:$G$1413,'февраль 2024'!$D$6:$D$1413,$B185,'февраль 2024'!$J$6:$J$1413,S$1)</f>
        <v>0</v>
      </c>
      <c r="T185" s="80">
        <f>SUMIFS('февраль 2024'!$G$6:$G$1413,'февраль 2024'!$D$6:$D$1413,$B185,'февраль 2024'!$J$6:$J$1413,T$1)</f>
        <v>0</v>
      </c>
      <c r="U185" s="80">
        <f>SUMIFS('февраль 2024'!$G$6:$G$1413,'февраль 2024'!$D$6:$D$1413,$B185,'февраль 2024'!$J$6:$J$1413,U$1)</f>
        <v>0</v>
      </c>
      <c r="V185" s="80">
        <f>SUMIFS('февраль 2024'!$G$6:$G$1413,'февраль 2024'!$D$6:$D$1413,$B185,'февраль 2024'!$J$6:$J$1413,V$1)</f>
        <v>0</v>
      </c>
      <c r="W185" s="80">
        <f>SUMIFS('февраль 2024'!$G$6:$G$1413,'февраль 2024'!$D$6:$D$1413,$B185,'февраль 2024'!$J$6:$J$1413,W$1)</f>
        <v>0</v>
      </c>
      <c r="X185" s="80">
        <f>SUMIFS('февраль 2024'!$G$6:$G$1413,'февраль 2024'!$D$6:$D$1413,$B185,'февраль 2024'!$J$6:$J$1413,X$1)</f>
        <v>0</v>
      </c>
      <c r="Y185" s="80">
        <f>SUMIFS('февраль 2024'!$G$6:$G$1413,'февраль 2024'!$D$6:$D$1413,$B185,'февраль 2024'!$J$6:$J$1413,Y$1)</f>
        <v>0</v>
      </c>
      <c r="Z185" s="80">
        <f>SUMIFS('февраль 2024'!$G$6:$G$1413,'февраль 2024'!$D$6:$D$1413,$B185,'февраль 2024'!$J$6:$J$1413,Z$1)</f>
        <v>0</v>
      </c>
      <c r="AA185" s="80">
        <f>SUMIFS('февраль 2024'!$G$6:$G$1413,'февраль 2024'!$D$6:$D$1413,$B185,'февраль 2024'!$J$6:$J$1413,AA$1)</f>
        <v>0</v>
      </c>
      <c r="AB185" s="80">
        <f>SUMIFS('февраль 2024'!$G$6:$G$1413,'февраль 2024'!$D$6:$D$1413,$B185,'февраль 2024'!$J$6:$J$1413,AB$1)</f>
        <v>0</v>
      </c>
      <c r="AC185" s="80">
        <f>SUMIFS('февраль 2024'!$G$6:$G$1413,'февраль 2024'!$D$6:$D$1413,$B185,'февраль 2024'!$J$6:$J$1413,AC$1)</f>
        <v>0</v>
      </c>
      <c r="AD185" s="80">
        <f>SUMIFS('февраль 2024'!$G$6:$G$1413,'февраль 2024'!$D$6:$D$1413,$B185,'февраль 2024'!$J$6:$J$1413,AD$1)</f>
        <v>0</v>
      </c>
      <c r="AE185" s="80">
        <f>SUMIFS('февраль 2024'!$G$6:$G$1413,'февраль 2024'!$D$6:$D$1413,$B185,'февраль 2024'!$J$6:$J$1413,AE$1)</f>
        <v>0</v>
      </c>
      <c r="AF185" s="80">
        <f>SUMIFS('февраль 2024'!$G$6:$G$1413,'февраль 2024'!$D$6:$D$1413,$B185,'февраль 2024'!$J$6:$J$1413,AF$1)</f>
        <v>0</v>
      </c>
      <c r="AG185" s="80">
        <f>SUMIFS('февраль 2024'!$G$6:$G$1413,'февраль 2024'!$D$6:$D$1413,$B185,'февраль 2024'!$J$6:$J$1413,AG$1)</f>
        <v>0</v>
      </c>
      <c r="AH185" s="80">
        <f>SUMIFS('февраль 2024'!$G$6:$G$1413,'февраль 2024'!$D$6:$D$1413,$B185,'февраль 2024'!$J$6:$J$1413,AH$1)</f>
        <v>0</v>
      </c>
      <c r="AI185" s="87"/>
    </row>
    <row r="186" spans="2:35" ht="15" hidden="1" customHeight="1" x14ac:dyDescent="0.25">
      <c r="B186" s="89"/>
      <c r="C186" s="88"/>
      <c r="D186" s="80">
        <f>SUMIFS('февраль 2024'!$G$6:$G$1413,'февраль 2024'!$D$6:$D$1413,$B186,'февраль 2024'!$J$6:$J$1413,D$1)</f>
        <v>0</v>
      </c>
      <c r="E186" s="80">
        <f>SUMIFS('февраль 2024'!$G$6:$G$1413,'февраль 2024'!$D$6:$D$1413,$B186,'февраль 2024'!$J$6:$J$1413,E$1)</f>
        <v>0</v>
      </c>
      <c r="F186" s="80">
        <f>SUMIFS('февраль 2024'!$G$6:$G$1413,'февраль 2024'!$D$6:$D$1413,$B186,'февраль 2024'!$J$6:$J$1413,F$1)</f>
        <v>0</v>
      </c>
      <c r="G186" s="80">
        <f>SUMIFS('февраль 2024'!$G$6:$G$1413,'февраль 2024'!$D$6:$D$1413,$B186,'февраль 2024'!$J$6:$J$1413,G$1)</f>
        <v>0</v>
      </c>
      <c r="H186" s="80">
        <f>SUMIFS('февраль 2024'!$G$6:$G$1413,'февраль 2024'!$D$6:$D$1413,$B186,'февраль 2024'!$J$6:$J$1413,H$1)</f>
        <v>0</v>
      </c>
      <c r="I186" s="80">
        <f>SUMIFS('февраль 2024'!$G$6:$G$1413,'февраль 2024'!$D$6:$D$1413,$B186,'февраль 2024'!$J$6:$J$1413,I$1)</f>
        <v>0</v>
      </c>
      <c r="J186" s="80">
        <f>SUMIFS('февраль 2024'!$G$6:$G$1413,'февраль 2024'!$D$6:$D$1413,$B186,'февраль 2024'!$J$6:$J$1413,J$1)</f>
        <v>0</v>
      </c>
      <c r="K186" s="80">
        <f>SUMIFS('февраль 2024'!$G$6:$G$1413,'февраль 2024'!$D$6:$D$1413,$B186,'февраль 2024'!$J$6:$J$1413,K$1)</f>
        <v>0</v>
      </c>
      <c r="L186" s="80">
        <f>SUMIFS('февраль 2024'!$G$6:$G$1413,'февраль 2024'!$D$6:$D$1413,$B186,'февраль 2024'!$J$6:$J$1413,L$1)</f>
        <v>0</v>
      </c>
      <c r="M186" s="80">
        <f>SUMIFS('февраль 2024'!$G$6:$G$1413,'февраль 2024'!$D$6:$D$1413,$B186,'февраль 2024'!$J$6:$J$1413,M$1)</f>
        <v>0</v>
      </c>
      <c r="N186" s="80">
        <f>SUMIFS('февраль 2024'!$G$6:$G$1413,'февраль 2024'!$D$6:$D$1413,$B186,'февраль 2024'!$J$6:$J$1413,N$1)</f>
        <v>0</v>
      </c>
      <c r="O186" s="80">
        <f>SUMIFS('февраль 2024'!$G$6:$G$1413,'февраль 2024'!$D$6:$D$1413,$B186,'февраль 2024'!$J$6:$J$1413,O$1)</f>
        <v>0</v>
      </c>
      <c r="P186" s="80">
        <f>SUMIFS('февраль 2024'!$G$6:$G$1413,'февраль 2024'!$D$6:$D$1413,$B186,'февраль 2024'!$J$6:$J$1413,P$1)</f>
        <v>0</v>
      </c>
      <c r="Q186" s="80">
        <f>SUMIFS('февраль 2024'!$G$6:$G$1413,'февраль 2024'!$D$6:$D$1413,$B186,'февраль 2024'!$J$6:$J$1413,Q$1)</f>
        <v>0</v>
      </c>
      <c r="R186" s="80">
        <f>SUMIFS('февраль 2024'!$G$6:$G$1413,'февраль 2024'!$D$6:$D$1413,$B186,'февраль 2024'!$J$6:$J$1413,R$1)</f>
        <v>0</v>
      </c>
      <c r="S186" s="80">
        <f>SUMIFS('февраль 2024'!$G$6:$G$1413,'февраль 2024'!$D$6:$D$1413,$B186,'февраль 2024'!$J$6:$J$1413,S$1)</f>
        <v>0</v>
      </c>
      <c r="T186" s="80">
        <f>SUMIFS('февраль 2024'!$G$6:$G$1413,'февраль 2024'!$D$6:$D$1413,$B186,'февраль 2024'!$J$6:$J$1413,T$1)</f>
        <v>0</v>
      </c>
      <c r="U186" s="80">
        <f>SUMIFS('февраль 2024'!$G$6:$G$1413,'февраль 2024'!$D$6:$D$1413,$B186,'февраль 2024'!$J$6:$J$1413,U$1)</f>
        <v>0</v>
      </c>
      <c r="V186" s="80">
        <f>SUMIFS('февраль 2024'!$G$6:$G$1413,'февраль 2024'!$D$6:$D$1413,$B186,'февраль 2024'!$J$6:$J$1413,V$1)</f>
        <v>0</v>
      </c>
      <c r="W186" s="80">
        <f>SUMIFS('февраль 2024'!$G$6:$G$1413,'февраль 2024'!$D$6:$D$1413,$B186,'февраль 2024'!$J$6:$J$1413,W$1)</f>
        <v>0</v>
      </c>
      <c r="X186" s="80">
        <f>SUMIFS('февраль 2024'!$G$6:$G$1413,'февраль 2024'!$D$6:$D$1413,$B186,'февраль 2024'!$J$6:$J$1413,X$1)</f>
        <v>0</v>
      </c>
      <c r="Y186" s="80">
        <f>SUMIFS('февраль 2024'!$G$6:$G$1413,'февраль 2024'!$D$6:$D$1413,$B186,'февраль 2024'!$J$6:$J$1413,Y$1)</f>
        <v>0</v>
      </c>
      <c r="Z186" s="80">
        <f>SUMIFS('февраль 2024'!$G$6:$G$1413,'февраль 2024'!$D$6:$D$1413,$B186,'февраль 2024'!$J$6:$J$1413,Z$1)</f>
        <v>0</v>
      </c>
      <c r="AA186" s="80">
        <f>SUMIFS('февраль 2024'!$G$6:$G$1413,'февраль 2024'!$D$6:$D$1413,$B186,'февраль 2024'!$J$6:$J$1413,AA$1)</f>
        <v>0</v>
      </c>
      <c r="AB186" s="80">
        <f>SUMIFS('февраль 2024'!$G$6:$G$1413,'февраль 2024'!$D$6:$D$1413,$B186,'февраль 2024'!$J$6:$J$1413,AB$1)</f>
        <v>0</v>
      </c>
      <c r="AC186" s="80">
        <f>SUMIFS('февраль 2024'!$G$6:$G$1413,'февраль 2024'!$D$6:$D$1413,$B186,'февраль 2024'!$J$6:$J$1413,AC$1)</f>
        <v>0</v>
      </c>
      <c r="AD186" s="80">
        <f>SUMIFS('февраль 2024'!$G$6:$G$1413,'февраль 2024'!$D$6:$D$1413,$B186,'февраль 2024'!$J$6:$J$1413,AD$1)</f>
        <v>0</v>
      </c>
      <c r="AE186" s="80">
        <f>SUMIFS('февраль 2024'!$G$6:$G$1413,'февраль 2024'!$D$6:$D$1413,$B186,'февраль 2024'!$J$6:$J$1413,AE$1)</f>
        <v>0</v>
      </c>
      <c r="AF186" s="80">
        <f>SUMIFS('февраль 2024'!$G$6:$G$1413,'февраль 2024'!$D$6:$D$1413,$B186,'февраль 2024'!$J$6:$J$1413,AF$1)</f>
        <v>0</v>
      </c>
      <c r="AG186" s="80">
        <f>SUMIFS('февраль 2024'!$G$6:$G$1413,'февраль 2024'!$D$6:$D$1413,$B186,'февраль 2024'!$J$6:$J$1413,AG$1)</f>
        <v>0</v>
      </c>
      <c r="AH186" s="80">
        <f>SUMIFS('февраль 2024'!$G$6:$G$1413,'февраль 2024'!$D$6:$D$1413,$B186,'февраль 2024'!$J$6:$J$1413,AH$1)</f>
        <v>0</v>
      </c>
      <c r="AI186" s="87"/>
    </row>
    <row r="187" spans="2:35" ht="15" hidden="1" customHeight="1" x14ac:dyDescent="0.25">
      <c r="B187" s="89"/>
      <c r="C187" s="88"/>
      <c r="D187" s="80">
        <f>SUMIFS('февраль 2024'!$G$6:$G$1413,'февраль 2024'!$D$6:$D$1413,$B187,'февраль 2024'!$J$6:$J$1413,D$1)</f>
        <v>0</v>
      </c>
      <c r="E187" s="80">
        <f>SUMIFS('февраль 2024'!$G$6:$G$1413,'февраль 2024'!$D$6:$D$1413,$B187,'февраль 2024'!$J$6:$J$1413,E$1)</f>
        <v>0</v>
      </c>
      <c r="F187" s="80">
        <f>SUMIFS('февраль 2024'!$G$6:$G$1413,'февраль 2024'!$D$6:$D$1413,$B187,'февраль 2024'!$J$6:$J$1413,F$1)</f>
        <v>0</v>
      </c>
      <c r="G187" s="80">
        <f>SUMIFS('февраль 2024'!$G$6:$G$1413,'февраль 2024'!$D$6:$D$1413,$B187,'февраль 2024'!$J$6:$J$1413,G$1)</f>
        <v>0</v>
      </c>
      <c r="H187" s="80">
        <f>SUMIFS('февраль 2024'!$G$6:$G$1413,'февраль 2024'!$D$6:$D$1413,$B187,'февраль 2024'!$J$6:$J$1413,H$1)</f>
        <v>0</v>
      </c>
      <c r="I187" s="80">
        <f>SUMIFS('февраль 2024'!$G$6:$G$1413,'февраль 2024'!$D$6:$D$1413,$B187,'февраль 2024'!$J$6:$J$1413,I$1)</f>
        <v>0</v>
      </c>
      <c r="J187" s="80">
        <f>SUMIFS('февраль 2024'!$G$6:$G$1413,'февраль 2024'!$D$6:$D$1413,$B187,'февраль 2024'!$J$6:$J$1413,J$1)</f>
        <v>0</v>
      </c>
      <c r="K187" s="80">
        <f>SUMIFS('февраль 2024'!$G$6:$G$1413,'февраль 2024'!$D$6:$D$1413,$B187,'февраль 2024'!$J$6:$J$1413,K$1)</f>
        <v>0</v>
      </c>
      <c r="L187" s="80">
        <f>SUMIFS('февраль 2024'!$G$6:$G$1413,'февраль 2024'!$D$6:$D$1413,$B187,'февраль 2024'!$J$6:$J$1413,L$1)</f>
        <v>0</v>
      </c>
      <c r="M187" s="80">
        <f>SUMIFS('февраль 2024'!$G$6:$G$1413,'февраль 2024'!$D$6:$D$1413,$B187,'февраль 2024'!$J$6:$J$1413,M$1)</f>
        <v>0</v>
      </c>
      <c r="N187" s="80">
        <f>SUMIFS('февраль 2024'!$G$6:$G$1413,'февраль 2024'!$D$6:$D$1413,$B187,'февраль 2024'!$J$6:$J$1413,N$1)</f>
        <v>0</v>
      </c>
      <c r="O187" s="80">
        <f>SUMIFS('февраль 2024'!$G$6:$G$1413,'февраль 2024'!$D$6:$D$1413,$B187,'февраль 2024'!$J$6:$J$1413,O$1)</f>
        <v>0</v>
      </c>
      <c r="P187" s="80">
        <f>SUMIFS('февраль 2024'!$G$6:$G$1413,'февраль 2024'!$D$6:$D$1413,$B187,'февраль 2024'!$J$6:$J$1413,P$1)</f>
        <v>0</v>
      </c>
      <c r="Q187" s="80">
        <f>SUMIFS('февраль 2024'!$G$6:$G$1413,'февраль 2024'!$D$6:$D$1413,$B187,'февраль 2024'!$J$6:$J$1413,Q$1)</f>
        <v>0</v>
      </c>
      <c r="R187" s="80">
        <f>SUMIFS('февраль 2024'!$G$6:$G$1413,'февраль 2024'!$D$6:$D$1413,$B187,'февраль 2024'!$J$6:$J$1413,R$1)</f>
        <v>0</v>
      </c>
      <c r="S187" s="80">
        <f>SUMIFS('февраль 2024'!$G$6:$G$1413,'февраль 2024'!$D$6:$D$1413,$B187,'февраль 2024'!$J$6:$J$1413,S$1)</f>
        <v>0</v>
      </c>
      <c r="T187" s="80">
        <f>SUMIFS('февраль 2024'!$G$6:$G$1413,'февраль 2024'!$D$6:$D$1413,$B187,'февраль 2024'!$J$6:$J$1413,T$1)</f>
        <v>0</v>
      </c>
      <c r="U187" s="80">
        <f>SUMIFS('февраль 2024'!$G$6:$G$1413,'февраль 2024'!$D$6:$D$1413,$B187,'февраль 2024'!$J$6:$J$1413,U$1)</f>
        <v>0</v>
      </c>
      <c r="V187" s="80">
        <f>SUMIFS('февраль 2024'!$G$6:$G$1413,'февраль 2024'!$D$6:$D$1413,$B187,'февраль 2024'!$J$6:$J$1413,V$1)</f>
        <v>0</v>
      </c>
      <c r="W187" s="80">
        <f>SUMIFS('февраль 2024'!$G$6:$G$1413,'февраль 2024'!$D$6:$D$1413,$B187,'февраль 2024'!$J$6:$J$1413,W$1)</f>
        <v>0</v>
      </c>
      <c r="X187" s="80">
        <f>SUMIFS('февраль 2024'!$G$6:$G$1413,'февраль 2024'!$D$6:$D$1413,$B187,'февраль 2024'!$J$6:$J$1413,X$1)</f>
        <v>0</v>
      </c>
      <c r="Y187" s="80">
        <f>SUMIFS('февраль 2024'!$G$6:$G$1413,'февраль 2024'!$D$6:$D$1413,$B187,'февраль 2024'!$J$6:$J$1413,Y$1)</f>
        <v>0</v>
      </c>
      <c r="Z187" s="80">
        <f>SUMIFS('февраль 2024'!$G$6:$G$1413,'февраль 2024'!$D$6:$D$1413,$B187,'февраль 2024'!$J$6:$J$1413,Z$1)</f>
        <v>0</v>
      </c>
      <c r="AA187" s="80">
        <f>SUMIFS('февраль 2024'!$G$6:$G$1413,'февраль 2024'!$D$6:$D$1413,$B187,'февраль 2024'!$J$6:$J$1413,AA$1)</f>
        <v>0</v>
      </c>
      <c r="AB187" s="80">
        <f>SUMIFS('февраль 2024'!$G$6:$G$1413,'февраль 2024'!$D$6:$D$1413,$B187,'февраль 2024'!$J$6:$J$1413,AB$1)</f>
        <v>0</v>
      </c>
      <c r="AC187" s="80">
        <f>SUMIFS('февраль 2024'!$G$6:$G$1413,'февраль 2024'!$D$6:$D$1413,$B187,'февраль 2024'!$J$6:$J$1413,AC$1)</f>
        <v>0</v>
      </c>
      <c r="AD187" s="80">
        <f>SUMIFS('февраль 2024'!$G$6:$G$1413,'февраль 2024'!$D$6:$D$1413,$B187,'февраль 2024'!$J$6:$J$1413,AD$1)</f>
        <v>0</v>
      </c>
      <c r="AE187" s="80">
        <f>SUMIFS('февраль 2024'!$G$6:$G$1413,'февраль 2024'!$D$6:$D$1413,$B187,'февраль 2024'!$J$6:$J$1413,AE$1)</f>
        <v>0</v>
      </c>
      <c r="AF187" s="80">
        <f>SUMIFS('февраль 2024'!$G$6:$G$1413,'февраль 2024'!$D$6:$D$1413,$B187,'февраль 2024'!$J$6:$J$1413,AF$1)</f>
        <v>0</v>
      </c>
      <c r="AG187" s="80">
        <f>SUMIFS('февраль 2024'!$G$6:$G$1413,'февраль 2024'!$D$6:$D$1413,$B187,'февраль 2024'!$J$6:$J$1413,AG$1)</f>
        <v>0</v>
      </c>
      <c r="AH187" s="80">
        <f>SUMIFS('февраль 2024'!$G$6:$G$1413,'февраль 2024'!$D$6:$D$1413,$B187,'февраль 2024'!$J$6:$J$1413,AH$1)</f>
        <v>0</v>
      </c>
      <c r="AI187" s="87"/>
    </row>
    <row r="188" spans="2:35" ht="15" hidden="1" customHeight="1" x14ac:dyDescent="0.25">
      <c r="B188" s="89"/>
      <c r="C188" s="88"/>
      <c r="D188" s="80">
        <f>SUMIFS('февраль 2024'!$G$6:$G$1413,'февраль 2024'!$D$6:$D$1413,$B188,'февраль 2024'!$J$6:$J$1413,D$1)</f>
        <v>0</v>
      </c>
      <c r="E188" s="80">
        <f>SUMIFS('февраль 2024'!$G$6:$G$1413,'февраль 2024'!$D$6:$D$1413,$B188,'февраль 2024'!$J$6:$J$1413,E$1)</f>
        <v>0</v>
      </c>
      <c r="F188" s="80">
        <f>SUMIFS('февраль 2024'!$G$6:$G$1413,'февраль 2024'!$D$6:$D$1413,$B188,'февраль 2024'!$J$6:$J$1413,F$1)</f>
        <v>0</v>
      </c>
      <c r="G188" s="80">
        <f>SUMIFS('февраль 2024'!$G$6:$G$1413,'февраль 2024'!$D$6:$D$1413,$B188,'февраль 2024'!$J$6:$J$1413,G$1)</f>
        <v>0</v>
      </c>
      <c r="H188" s="80">
        <f>SUMIFS('февраль 2024'!$G$6:$G$1413,'февраль 2024'!$D$6:$D$1413,$B188,'февраль 2024'!$J$6:$J$1413,H$1)</f>
        <v>0</v>
      </c>
      <c r="I188" s="80">
        <f>SUMIFS('февраль 2024'!$G$6:$G$1413,'февраль 2024'!$D$6:$D$1413,$B188,'февраль 2024'!$J$6:$J$1413,I$1)</f>
        <v>0</v>
      </c>
      <c r="J188" s="80">
        <f>SUMIFS('февраль 2024'!$G$6:$G$1413,'февраль 2024'!$D$6:$D$1413,$B188,'февраль 2024'!$J$6:$J$1413,J$1)</f>
        <v>0</v>
      </c>
      <c r="K188" s="80">
        <f>SUMIFS('февраль 2024'!$G$6:$G$1413,'февраль 2024'!$D$6:$D$1413,$B188,'февраль 2024'!$J$6:$J$1413,K$1)</f>
        <v>0</v>
      </c>
      <c r="L188" s="80">
        <f>SUMIFS('февраль 2024'!$G$6:$G$1413,'февраль 2024'!$D$6:$D$1413,$B188,'февраль 2024'!$J$6:$J$1413,L$1)</f>
        <v>0</v>
      </c>
      <c r="M188" s="80">
        <f>SUMIFS('февраль 2024'!$G$6:$G$1413,'февраль 2024'!$D$6:$D$1413,$B188,'февраль 2024'!$J$6:$J$1413,M$1)</f>
        <v>0</v>
      </c>
      <c r="N188" s="80">
        <f>SUMIFS('февраль 2024'!$G$6:$G$1413,'февраль 2024'!$D$6:$D$1413,$B188,'февраль 2024'!$J$6:$J$1413,N$1)</f>
        <v>0</v>
      </c>
      <c r="O188" s="80">
        <f>SUMIFS('февраль 2024'!$G$6:$G$1413,'февраль 2024'!$D$6:$D$1413,$B188,'февраль 2024'!$J$6:$J$1413,O$1)</f>
        <v>0</v>
      </c>
      <c r="P188" s="80">
        <f>SUMIFS('февраль 2024'!$G$6:$G$1413,'февраль 2024'!$D$6:$D$1413,$B188,'февраль 2024'!$J$6:$J$1413,P$1)</f>
        <v>0</v>
      </c>
      <c r="Q188" s="80">
        <f>SUMIFS('февраль 2024'!$G$6:$G$1413,'февраль 2024'!$D$6:$D$1413,$B188,'февраль 2024'!$J$6:$J$1413,Q$1)</f>
        <v>0</v>
      </c>
      <c r="R188" s="80">
        <f>SUMIFS('февраль 2024'!$G$6:$G$1413,'февраль 2024'!$D$6:$D$1413,$B188,'февраль 2024'!$J$6:$J$1413,R$1)</f>
        <v>0</v>
      </c>
      <c r="S188" s="80">
        <f>SUMIFS('февраль 2024'!$G$6:$G$1413,'февраль 2024'!$D$6:$D$1413,$B188,'февраль 2024'!$J$6:$J$1413,S$1)</f>
        <v>0</v>
      </c>
      <c r="T188" s="80">
        <f>SUMIFS('февраль 2024'!$G$6:$G$1413,'февраль 2024'!$D$6:$D$1413,$B188,'февраль 2024'!$J$6:$J$1413,T$1)</f>
        <v>0</v>
      </c>
      <c r="U188" s="80">
        <f>SUMIFS('февраль 2024'!$G$6:$G$1413,'февраль 2024'!$D$6:$D$1413,$B188,'февраль 2024'!$J$6:$J$1413,U$1)</f>
        <v>0</v>
      </c>
      <c r="V188" s="80">
        <f>SUMIFS('февраль 2024'!$G$6:$G$1413,'февраль 2024'!$D$6:$D$1413,$B188,'февраль 2024'!$J$6:$J$1413,V$1)</f>
        <v>0</v>
      </c>
      <c r="W188" s="80">
        <f>SUMIFS('февраль 2024'!$G$6:$G$1413,'февраль 2024'!$D$6:$D$1413,$B188,'февраль 2024'!$J$6:$J$1413,W$1)</f>
        <v>0</v>
      </c>
      <c r="X188" s="80">
        <f>SUMIFS('февраль 2024'!$G$6:$G$1413,'февраль 2024'!$D$6:$D$1413,$B188,'февраль 2024'!$J$6:$J$1413,X$1)</f>
        <v>0</v>
      </c>
      <c r="Y188" s="80">
        <f>SUMIFS('февраль 2024'!$G$6:$G$1413,'февраль 2024'!$D$6:$D$1413,$B188,'февраль 2024'!$J$6:$J$1413,Y$1)</f>
        <v>0</v>
      </c>
      <c r="Z188" s="80">
        <f>SUMIFS('февраль 2024'!$G$6:$G$1413,'февраль 2024'!$D$6:$D$1413,$B188,'февраль 2024'!$J$6:$J$1413,Z$1)</f>
        <v>0</v>
      </c>
      <c r="AA188" s="80">
        <f>SUMIFS('февраль 2024'!$G$6:$G$1413,'февраль 2024'!$D$6:$D$1413,$B188,'февраль 2024'!$J$6:$J$1413,AA$1)</f>
        <v>0</v>
      </c>
      <c r="AB188" s="80">
        <f>SUMIFS('февраль 2024'!$G$6:$G$1413,'февраль 2024'!$D$6:$D$1413,$B188,'февраль 2024'!$J$6:$J$1413,AB$1)</f>
        <v>0</v>
      </c>
      <c r="AC188" s="80">
        <f>SUMIFS('февраль 2024'!$G$6:$G$1413,'февраль 2024'!$D$6:$D$1413,$B188,'февраль 2024'!$J$6:$J$1413,AC$1)</f>
        <v>0</v>
      </c>
      <c r="AD188" s="80">
        <f>SUMIFS('февраль 2024'!$G$6:$G$1413,'февраль 2024'!$D$6:$D$1413,$B188,'февраль 2024'!$J$6:$J$1413,AD$1)</f>
        <v>0</v>
      </c>
      <c r="AE188" s="80">
        <f>SUMIFS('февраль 2024'!$G$6:$G$1413,'февраль 2024'!$D$6:$D$1413,$B188,'февраль 2024'!$J$6:$J$1413,AE$1)</f>
        <v>0</v>
      </c>
      <c r="AF188" s="80">
        <f>SUMIFS('февраль 2024'!$G$6:$G$1413,'февраль 2024'!$D$6:$D$1413,$B188,'февраль 2024'!$J$6:$J$1413,AF$1)</f>
        <v>0</v>
      </c>
      <c r="AG188" s="80">
        <f>SUMIFS('февраль 2024'!$G$6:$G$1413,'февраль 2024'!$D$6:$D$1413,$B188,'февраль 2024'!$J$6:$J$1413,AG$1)</f>
        <v>0</v>
      </c>
      <c r="AH188" s="80">
        <f>SUMIFS('февраль 2024'!$G$6:$G$1413,'февраль 2024'!$D$6:$D$1413,$B188,'февраль 2024'!$J$6:$J$1413,AH$1)</f>
        <v>0</v>
      </c>
      <c r="AI188" s="87"/>
    </row>
    <row r="189" spans="2:35" ht="15" hidden="1" customHeight="1" x14ac:dyDescent="0.25">
      <c r="B189" s="89"/>
      <c r="C189" s="88"/>
      <c r="D189" s="80">
        <f>SUMIFS('февраль 2024'!$G$6:$G$1413,'февраль 2024'!$D$6:$D$1413,$B189,'февраль 2024'!$J$6:$J$1413,D$1)</f>
        <v>0</v>
      </c>
      <c r="E189" s="80">
        <f>SUMIFS('февраль 2024'!$G$6:$G$1413,'февраль 2024'!$D$6:$D$1413,$B189,'февраль 2024'!$J$6:$J$1413,E$1)</f>
        <v>0</v>
      </c>
      <c r="F189" s="80">
        <f>SUMIFS('февраль 2024'!$G$6:$G$1413,'февраль 2024'!$D$6:$D$1413,$B189,'февраль 2024'!$J$6:$J$1413,F$1)</f>
        <v>0</v>
      </c>
      <c r="G189" s="80">
        <f>SUMIFS('февраль 2024'!$G$6:$G$1413,'февраль 2024'!$D$6:$D$1413,$B189,'февраль 2024'!$J$6:$J$1413,G$1)</f>
        <v>0</v>
      </c>
      <c r="H189" s="80">
        <f>SUMIFS('февраль 2024'!$G$6:$G$1413,'февраль 2024'!$D$6:$D$1413,$B189,'февраль 2024'!$J$6:$J$1413,H$1)</f>
        <v>0</v>
      </c>
      <c r="I189" s="80">
        <f>SUMIFS('февраль 2024'!$G$6:$G$1413,'февраль 2024'!$D$6:$D$1413,$B189,'февраль 2024'!$J$6:$J$1413,I$1)</f>
        <v>0</v>
      </c>
      <c r="J189" s="80">
        <f>SUMIFS('февраль 2024'!$G$6:$G$1413,'февраль 2024'!$D$6:$D$1413,$B189,'февраль 2024'!$J$6:$J$1413,J$1)</f>
        <v>0</v>
      </c>
      <c r="K189" s="80">
        <f>SUMIFS('февраль 2024'!$G$6:$G$1413,'февраль 2024'!$D$6:$D$1413,$B189,'февраль 2024'!$J$6:$J$1413,K$1)</f>
        <v>0</v>
      </c>
      <c r="L189" s="80">
        <f>SUMIFS('февраль 2024'!$G$6:$G$1413,'февраль 2024'!$D$6:$D$1413,$B189,'февраль 2024'!$J$6:$J$1413,L$1)</f>
        <v>0</v>
      </c>
      <c r="M189" s="80">
        <f>SUMIFS('февраль 2024'!$G$6:$G$1413,'февраль 2024'!$D$6:$D$1413,$B189,'февраль 2024'!$J$6:$J$1413,M$1)</f>
        <v>0</v>
      </c>
      <c r="N189" s="80">
        <f>SUMIFS('февраль 2024'!$G$6:$G$1413,'февраль 2024'!$D$6:$D$1413,$B189,'февраль 2024'!$J$6:$J$1413,N$1)</f>
        <v>0</v>
      </c>
      <c r="O189" s="80">
        <f>SUMIFS('февраль 2024'!$G$6:$G$1413,'февраль 2024'!$D$6:$D$1413,$B189,'февраль 2024'!$J$6:$J$1413,O$1)</f>
        <v>0</v>
      </c>
      <c r="P189" s="80">
        <f>SUMIFS('февраль 2024'!$G$6:$G$1413,'февраль 2024'!$D$6:$D$1413,$B189,'февраль 2024'!$J$6:$J$1413,P$1)</f>
        <v>0</v>
      </c>
      <c r="Q189" s="80">
        <f>SUMIFS('февраль 2024'!$G$6:$G$1413,'февраль 2024'!$D$6:$D$1413,$B189,'февраль 2024'!$J$6:$J$1413,Q$1)</f>
        <v>0</v>
      </c>
      <c r="R189" s="80">
        <f>SUMIFS('февраль 2024'!$G$6:$G$1413,'февраль 2024'!$D$6:$D$1413,$B189,'февраль 2024'!$J$6:$J$1413,R$1)</f>
        <v>0</v>
      </c>
      <c r="S189" s="80">
        <f>SUMIFS('февраль 2024'!$G$6:$G$1413,'февраль 2024'!$D$6:$D$1413,$B189,'февраль 2024'!$J$6:$J$1413,S$1)</f>
        <v>0</v>
      </c>
      <c r="T189" s="80">
        <f>SUMIFS('февраль 2024'!$G$6:$G$1413,'февраль 2024'!$D$6:$D$1413,$B189,'февраль 2024'!$J$6:$J$1413,T$1)</f>
        <v>0</v>
      </c>
      <c r="U189" s="80">
        <f>SUMIFS('февраль 2024'!$G$6:$G$1413,'февраль 2024'!$D$6:$D$1413,$B189,'февраль 2024'!$J$6:$J$1413,U$1)</f>
        <v>0</v>
      </c>
      <c r="V189" s="80">
        <f>SUMIFS('февраль 2024'!$G$6:$G$1413,'февраль 2024'!$D$6:$D$1413,$B189,'февраль 2024'!$J$6:$J$1413,V$1)</f>
        <v>0</v>
      </c>
      <c r="W189" s="80">
        <f>SUMIFS('февраль 2024'!$G$6:$G$1413,'февраль 2024'!$D$6:$D$1413,$B189,'февраль 2024'!$J$6:$J$1413,W$1)</f>
        <v>0</v>
      </c>
      <c r="X189" s="80">
        <f>SUMIFS('февраль 2024'!$G$6:$G$1413,'февраль 2024'!$D$6:$D$1413,$B189,'февраль 2024'!$J$6:$J$1413,X$1)</f>
        <v>0</v>
      </c>
      <c r="Y189" s="80">
        <f>SUMIFS('февраль 2024'!$G$6:$G$1413,'февраль 2024'!$D$6:$D$1413,$B189,'февраль 2024'!$J$6:$J$1413,Y$1)</f>
        <v>0</v>
      </c>
      <c r="Z189" s="80">
        <f>SUMIFS('февраль 2024'!$G$6:$G$1413,'февраль 2024'!$D$6:$D$1413,$B189,'февраль 2024'!$J$6:$J$1413,Z$1)</f>
        <v>0</v>
      </c>
      <c r="AA189" s="80">
        <f>SUMIFS('февраль 2024'!$G$6:$G$1413,'февраль 2024'!$D$6:$D$1413,$B189,'февраль 2024'!$J$6:$J$1413,AA$1)</f>
        <v>0</v>
      </c>
      <c r="AB189" s="80">
        <f>SUMIFS('февраль 2024'!$G$6:$G$1413,'февраль 2024'!$D$6:$D$1413,$B189,'февраль 2024'!$J$6:$J$1413,AB$1)</f>
        <v>0</v>
      </c>
      <c r="AC189" s="80">
        <f>SUMIFS('февраль 2024'!$G$6:$G$1413,'февраль 2024'!$D$6:$D$1413,$B189,'февраль 2024'!$J$6:$J$1413,AC$1)</f>
        <v>0</v>
      </c>
      <c r="AD189" s="80">
        <f>SUMIFS('февраль 2024'!$G$6:$G$1413,'февраль 2024'!$D$6:$D$1413,$B189,'февраль 2024'!$J$6:$J$1413,AD$1)</f>
        <v>0</v>
      </c>
      <c r="AE189" s="80">
        <f>SUMIFS('февраль 2024'!$G$6:$G$1413,'февраль 2024'!$D$6:$D$1413,$B189,'февраль 2024'!$J$6:$J$1413,AE$1)</f>
        <v>0</v>
      </c>
      <c r="AF189" s="80">
        <f>SUMIFS('февраль 2024'!$G$6:$G$1413,'февраль 2024'!$D$6:$D$1413,$B189,'февраль 2024'!$J$6:$J$1413,AF$1)</f>
        <v>0</v>
      </c>
      <c r="AG189" s="80">
        <f>SUMIFS('февраль 2024'!$G$6:$G$1413,'февраль 2024'!$D$6:$D$1413,$B189,'февраль 2024'!$J$6:$J$1413,AG$1)</f>
        <v>0</v>
      </c>
      <c r="AH189" s="80">
        <f>SUMIFS('февраль 2024'!$G$6:$G$1413,'февраль 2024'!$D$6:$D$1413,$B189,'февраль 2024'!$J$6:$J$1413,AH$1)</f>
        <v>0</v>
      </c>
      <c r="AI189" s="87"/>
    </row>
    <row r="190" spans="2:35" ht="15" hidden="1" customHeight="1" x14ac:dyDescent="0.25">
      <c r="B190" s="89"/>
      <c r="C190" s="88"/>
      <c r="D190" s="80">
        <f>SUMIFS('февраль 2024'!$G$6:$G$1413,'февраль 2024'!$D$6:$D$1413,$B190,'февраль 2024'!$J$6:$J$1413,D$1)</f>
        <v>0</v>
      </c>
      <c r="E190" s="80">
        <f>SUMIFS('февраль 2024'!$G$6:$G$1413,'февраль 2024'!$D$6:$D$1413,$B190,'февраль 2024'!$J$6:$J$1413,E$1)</f>
        <v>0</v>
      </c>
      <c r="F190" s="80">
        <f>SUMIFS('февраль 2024'!$G$6:$G$1413,'февраль 2024'!$D$6:$D$1413,$B190,'февраль 2024'!$J$6:$J$1413,F$1)</f>
        <v>0</v>
      </c>
      <c r="G190" s="80">
        <f>SUMIFS('февраль 2024'!$G$6:$G$1413,'февраль 2024'!$D$6:$D$1413,$B190,'февраль 2024'!$J$6:$J$1413,G$1)</f>
        <v>0</v>
      </c>
      <c r="H190" s="80">
        <f>SUMIFS('февраль 2024'!$G$6:$G$1413,'февраль 2024'!$D$6:$D$1413,$B190,'февраль 2024'!$J$6:$J$1413,H$1)</f>
        <v>0</v>
      </c>
      <c r="I190" s="80">
        <f>SUMIFS('февраль 2024'!$G$6:$G$1413,'февраль 2024'!$D$6:$D$1413,$B190,'февраль 2024'!$J$6:$J$1413,I$1)</f>
        <v>0</v>
      </c>
      <c r="J190" s="80">
        <f>SUMIFS('февраль 2024'!$G$6:$G$1413,'февраль 2024'!$D$6:$D$1413,$B190,'февраль 2024'!$J$6:$J$1413,J$1)</f>
        <v>0</v>
      </c>
      <c r="K190" s="80">
        <f>SUMIFS('февраль 2024'!$G$6:$G$1413,'февраль 2024'!$D$6:$D$1413,$B190,'февраль 2024'!$J$6:$J$1413,K$1)</f>
        <v>0</v>
      </c>
      <c r="L190" s="80">
        <f>SUMIFS('февраль 2024'!$G$6:$G$1413,'февраль 2024'!$D$6:$D$1413,$B190,'февраль 2024'!$J$6:$J$1413,L$1)</f>
        <v>0</v>
      </c>
      <c r="M190" s="80">
        <f>SUMIFS('февраль 2024'!$G$6:$G$1413,'февраль 2024'!$D$6:$D$1413,$B190,'февраль 2024'!$J$6:$J$1413,M$1)</f>
        <v>0</v>
      </c>
      <c r="N190" s="80">
        <f>SUMIFS('февраль 2024'!$G$6:$G$1413,'февраль 2024'!$D$6:$D$1413,$B190,'февраль 2024'!$J$6:$J$1413,N$1)</f>
        <v>0</v>
      </c>
      <c r="O190" s="80">
        <f>SUMIFS('февраль 2024'!$G$6:$G$1413,'февраль 2024'!$D$6:$D$1413,$B190,'февраль 2024'!$J$6:$J$1413,O$1)</f>
        <v>0</v>
      </c>
      <c r="P190" s="80">
        <f>SUMIFS('февраль 2024'!$G$6:$G$1413,'февраль 2024'!$D$6:$D$1413,$B190,'февраль 2024'!$J$6:$J$1413,P$1)</f>
        <v>0</v>
      </c>
      <c r="Q190" s="80">
        <f>SUMIFS('февраль 2024'!$G$6:$G$1413,'февраль 2024'!$D$6:$D$1413,$B190,'февраль 2024'!$J$6:$J$1413,Q$1)</f>
        <v>0</v>
      </c>
      <c r="R190" s="80">
        <f>SUMIFS('февраль 2024'!$G$6:$G$1413,'февраль 2024'!$D$6:$D$1413,$B190,'февраль 2024'!$J$6:$J$1413,R$1)</f>
        <v>0</v>
      </c>
      <c r="S190" s="80">
        <f>SUMIFS('февраль 2024'!$G$6:$G$1413,'февраль 2024'!$D$6:$D$1413,$B190,'февраль 2024'!$J$6:$J$1413,S$1)</f>
        <v>0</v>
      </c>
      <c r="T190" s="80">
        <f>SUMIFS('февраль 2024'!$G$6:$G$1413,'февраль 2024'!$D$6:$D$1413,$B190,'февраль 2024'!$J$6:$J$1413,T$1)</f>
        <v>0</v>
      </c>
      <c r="U190" s="80">
        <f>SUMIFS('февраль 2024'!$G$6:$G$1413,'февраль 2024'!$D$6:$D$1413,$B190,'февраль 2024'!$J$6:$J$1413,U$1)</f>
        <v>0</v>
      </c>
      <c r="V190" s="80">
        <f>SUMIFS('февраль 2024'!$G$6:$G$1413,'февраль 2024'!$D$6:$D$1413,$B190,'февраль 2024'!$J$6:$J$1413,V$1)</f>
        <v>0</v>
      </c>
      <c r="W190" s="80">
        <f>SUMIFS('февраль 2024'!$G$6:$G$1413,'февраль 2024'!$D$6:$D$1413,$B190,'февраль 2024'!$J$6:$J$1413,W$1)</f>
        <v>0</v>
      </c>
      <c r="X190" s="80">
        <f>SUMIFS('февраль 2024'!$G$6:$G$1413,'февраль 2024'!$D$6:$D$1413,$B190,'февраль 2024'!$J$6:$J$1413,X$1)</f>
        <v>0</v>
      </c>
      <c r="Y190" s="80">
        <f>SUMIFS('февраль 2024'!$G$6:$G$1413,'февраль 2024'!$D$6:$D$1413,$B190,'февраль 2024'!$J$6:$J$1413,Y$1)</f>
        <v>0</v>
      </c>
      <c r="Z190" s="80">
        <f>SUMIFS('февраль 2024'!$G$6:$G$1413,'февраль 2024'!$D$6:$D$1413,$B190,'февраль 2024'!$J$6:$J$1413,Z$1)</f>
        <v>0</v>
      </c>
      <c r="AA190" s="80">
        <f>SUMIFS('февраль 2024'!$G$6:$G$1413,'февраль 2024'!$D$6:$D$1413,$B190,'февраль 2024'!$J$6:$J$1413,AA$1)</f>
        <v>0</v>
      </c>
      <c r="AB190" s="80">
        <f>SUMIFS('февраль 2024'!$G$6:$G$1413,'февраль 2024'!$D$6:$D$1413,$B190,'февраль 2024'!$J$6:$J$1413,AB$1)</f>
        <v>0</v>
      </c>
      <c r="AC190" s="80">
        <f>SUMIFS('февраль 2024'!$G$6:$G$1413,'февраль 2024'!$D$6:$D$1413,$B190,'февраль 2024'!$J$6:$J$1413,AC$1)</f>
        <v>0</v>
      </c>
      <c r="AD190" s="80">
        <f>SUMIFS('февраль 2024'!$G$6:$G$1413,'февраль 2024'!$D$6:$D$1413,$B190,'февраль 2024'!$J$6:$J$1413,AD$1)</f>
        <v>0</v>
      </c>
      <c r="AE190" s="80">
        <f>SUMIFS('февраль 2024'!$G$6:$G$1413,'февраль 2024'!$D$6:$D$1413,$B190,'февраль 2024'!$J$6:$J$1413,AE$1)</f>
        <v>0</v>
      </c>
      <c r="AF190" s="80">
        <f>SUMIFS('февраль 2024'!$G$6:$G$1413,'февраль 2024'!$D$6:$D$1413,$B190,'февраль 2024'!$J$6:$J$1413,AF$1)</f>
        <v>0</v>
      </c>
      <c r="AG190" s="80">
        <f>SUMIFS('февраль 2024'!$G$6:$G$1413,'февраль 2024'!$D$6:$D$1413,$B190,'февраль 2024'!$J$6:$J$1413,AG$1)</f>
        <v>0</v>
      </c>
      <c r="AH190" s="80">
        <f>SUMIFS('февраль 2024'!$G$6:$G$1413,'февраль 2024'!$D$6:$D$1413,$B190,'февраль 2024'!$J$6:$J$1413,AH$1)</f>
        <v>0</v>
      </c>
      <c r="AI190" s="87"/>
    </row>
    <row r="191" spans="2:35" ht="15" hidden="1" customHeight="1" x14ac:dyDescent="0.25">
      <c r="B191" s="89"/>
      <c r="C191" s="88"/>
      <c r="D191" s="80">
        <f>SUMIFS('февраль 2024'!$G$6:$G$1413,'февраль 2024'!$D$6:$D$1413,$B191,'февраль 2024'!$J$6:$J$1413,D$1)</f>
        <v>0</v>
      </c>
      <c r="E191" s="80">
        <f>SUMIFS('февраль 2024'!$G$6:$G$1413,'февраль 2024'!$D$6:$D$1413,$B191,'февраль 2024'!$J$6:$J$1413,E$1)</f>
        <v>0</v>
      </c>
      <c r="F191" s="80">
        <f>SUMIFS('февраль 2024'!$G$6:$G$1413,'февраль 2024'!$D$6:$D$1413,$B191,'февраль 2024'!$J$6:$J$1413,F$1)</f>
        <v>0</v>
      </c>
      <c r="G191" s="80">
        <f>SUMIFS('февраль 2024'!$G$6:$G$1413,'февраль 2024'!$D$6:$D$1413,$B191,'февраль 2024'!$J$6:$J$1413,G$1)</f>
        <v>0</v>
      </c>
      <c r="H191" s="80">
        <f>SUMIFS('февраль 2024'!$G$6:$G$1413,'февраль 2024'!$D$6:$D$1413,$B191,'февраль 2024'!$J$6:$J$1413,H$1)</f>
        <v>0</v>
      </c>
      <c r="I191" s="80">
        <f>SUMIFS('февраль 2024'!$G$6:$G$1413,'февраль 2024'!$D$6:$D$1413,$B191,'февраль 2024'!$J$6:$J$1413,I$1)</f>
        <v>0</v>
      </c>
      <c r="J191" s="80">
        <f>SUMIFS('февраль 2024'!$G$6:$G$1413,'февраль 2024'!$D$6:$D$1413,$B191,'февраль 2024'!$J$6:$J$1413,J$1)</f>
        <v>0</v>
      </c>
      <c r="K191" s="80">
        <f>SUMIFS('февраль 2024'!$G$6:$G$1413,'февраль 2024'!$D$6:$D$1413,$B191,'февраль 2024'!$J$6:$J$1413,K$1)</f>
        <v>0</v>
      </c>
      <c r="L191" s="80">
        <f>SUMIFS('февраль 2024'!$G$6:$G$1413,'февраль 2024'!$D$6:$D$1413,$B191,'февраль 2024'!$J$6:$J$1413,L$1)</f>
        <v>0</v>
      </c>
      <c r="M191" s="80">
        <f>SUMIFS('февраль 2024'!$G$6:$G$1413,'февраль 2024'!$D$6:$D$1413,$B191,'февраль 2024'!$J$6:$J$1413,M$1)</f>
        <v>0</v>
      </c>
      <c r="N191" s="80">
        <f>SUMIFS('февраль 2024'!$G$6:$G$1413,'февраль 2024'!$D$6:$D$1413,$B191,'февраль 2024'!$J$6:$J$1413,N$1)</f>
        <v>0</v>
      </c>
      <c r="O191" s="80">
        <f>SUMIFS('февраль 2024'!$G$6:$G$1413,'февраль 2024'!$D$6:$D$1413,$B191,'февраль 2024'!$J$6:$J$1413,O$1)</f>
        <v>0</v>
      </c>
      <c r="P191" s="80">
        <f>SUMIFS('февраль 2024'!$G$6:$G$1413,'февраль 2024'!$D$6:$D$1413,$B191,'февраль 2024'!$J$6:$J$1413,P$1)</f>
        <v>0</v>
      </c>
      <c r="Q191" s="80">
        <f>SUMIFS('февраль 2024'!$G$6:$G$1413,'февраль 2024'!$D$6:$D$1413,$B191,'февраль 2024'!$J$6:$J$1413,Q$1)</f>
        <v>0</v>
      </c>
      <c r="R191" s="80">
        <f>SUMIFS('февраль 2024'!$G$6:$G$1413,'февраль 2024'!$D$6:$D$1413,$B191,'февраль 2024'!$J$6:$J$1413,R$1)</f>
        <v>0</v>
      </c>
      <c r="S191" s="80">
        <f>SUMIFS('февраль 2024'!$G$6:$G$1413,'февраль 2024'!$D$6:$D$1413,$B191,'февраль 2024'!$J$6:$J$1413,S$1)</f>
        <v>0</v>
      </c>
      <c r="T191" s="80">
        <f>SUMIFS('февраль 2024'!$G$6:$G$1413,'февраль 2024'!$D$6:$D$1413,$B191,'февраль 2024'!$J$6:$J$1413,T$1)</f>
        <v>0</v>
      </c>
      <c r="U191" s="80">
        <f>SUMIFS('февраль 2024'!$G$6:$G$1413,'февраль 2024'!$D$6:$D$1413,$B191,'февраль 2024'!$J$6:$J$1413,U$1)</f>
        <v>0</v>
      </c>
      <c r="V191" s="80">
        <f>SUMIFS('февраль 2024'!$G$6:$G$1413,'февраль 2024'!$D$6:$D$1413,$B191,'февраль 2024'!$J$6:$J$1413,V$1)</f>
        <v>0</v>
      </c>
      <c r="W191" s="80">
        <f>SUMIFS('февраль 2024'!$G$6:$G$1413,'февраль 2024'!$D$6:$D$1413,$B191,'февраль 2024'!$J$6:$J$1413,W$1)</f>
        <v>0</v>
      </c>
      <c r="X191" s="80">
        <f>SUMIFS('февраль 2024'!$G$6:$G$1413,'февраль 2024'!$D$6:$D$1413,$B191,'февраль 2024'!$J$6:$J$1413,X$1)</f>
        <v>0</v>
      </c>
      <c r="Y191" s="80">
        <f>SUMIFS('февраль 2024'!$G$6:$G$1413,'февраль 2024'!$D$6:$D$1413,$B191,'февраль 2024'!$J$6:$J$1413,Y$1)</f>
        <v>0</v>
      </c>
      <c r="Z191" s="80">
        <f>SUMIFS('февраль 2024'!$G$6:$G$1413,'февраль 2024'!$D$6:$D$1413,$B191,'февраль 2024'!$J$6:$J$1413,Z$1)</f>
        <v>0</v>
      </c>
      <c r="AA191" s="80">
        <f>SUMIFS('февраль 2024'!$G$6:$G$1413,'февраль 2024'!$D$6:$D$1413,$B191,'февраль 2024'!$J$6:$J$1413,AA$1)</f>
        <v>0</v>
      </c>
      <c r="AB191" s="80">
        <f>SUMIFS('февраль 2024'!$G$6:$G$1413,'февраль 2024'!$D$6:$D$1413,$B191,'февраль 2024'!$J$6:$J$1413,AB$1)</f>
        <v>0</v>
      </c>
      <c r="AC191" s="80">
        <f>SUMIFS('февраль 2024'!$G$6:$G$1413,'февраль 2024'!$D$6:$D$1413,$B191,'февраль 2024'!$J$6:$J$1413,AC$1)</f>
        <v>0</v>
      </c>
      <c r="AD191" s="80">
        <f>SUMIFS('февраль 2024'!$G$6:$G$1413,'февраль 2024'!$D$6:$D$1413,$B191,'февраль 2024'!$J$6:$J$1413,AD$1)</f>
        <v>0</v>
      </c>
      <c r="AE191" s="80">
        <f>SUMIFS('февраль 2024'!$G$6:$G$1413,'февраль 2024'!$D$6:$D$1413,$B191,'февраль 2024'!$J$6:$J$1413,AE$1)</f>
        <v>0</v>
      </c>
      <c r="AF191" s="80">
        <f>SUMIFS('февраль 2024'!$G$6:$G$1413,'февраль 2024'!$D$6:$D$1413,$B191,'февраль 2024'!$J$6:$J$1413,AF$1)</f>
        <v>0</v>
      </c>
      <c r="AG191" s="80">
        <f>SUMIFS('февраль 2024'!$G$6:$G$1413,'февраль 2024'!$D$6:$D$1413,$B191,'февраль 2024'!$J$6:$J$1413,AG$1)</f>
        <v>0</v>
      </c>
      <c r="AH191" s="80">
        <f>SUMIFS('февраль 2024'!$G$6:$G$1413,'февраль 2024'!$D$6:$D$1413,$B191,'февраль 2024'!$J$6:$J$1413,AH$1)</f>
        <v>0</v>
      </c>
      <c r="AI191" s="87"/>
    </row>
    <row r="192" spans="2:35" ht="15" hidden="1" customHeight="1" x14ac:dyDescent="0.25">
      <c r="B192" s="89"/>
      <c r="C192" s="88"/>
      <c r="D192" s="80">
        <f>SUMIFS('февраль 2024'!$G$6:$G$1413,'февраль 2024'!$D$6:$D$1413,$B192,'февраль 2024'!$J$6:$J$1413,D$1)</f>
        <v>0</v>
      </c>
      <c r="E192" s="80">
        <f>SUMIFS('февраль 2024'!$G$6:$G$1413,'февраль 2024'!$D$6:$D$1413,$B192,'февраль 2024'!$J$6:$J$1413,E$1)</f>
        <v>0</v>
      </c>
      <c r="F192" s="80">
        <f>SUMIFS('февраль 2024'!$G$6:$G$1413,'февраль 2024'!$D$6:$D$1413,$B192,'февраль 2024'!$J$6:$J$1413,F$1)</f>
        <v>0</v>
      </c>
      <c r="G192" s="80">
        <f>SUMIFS('февраль 2024'!$G$6:$G$1413,'февраль 2024'!$D$6:$D$1413,$B192,'февраль 2024'!$J$6:$J$1413,G$1)</f>
        <v>0</v>
      </c>
      <c r="H192" s="80">
        <f>SUMIFS('февраль 2024'!$G$6:$G$1413,'февраль 2024'!$D$6:$D$1413,$B192,'февраль 2024'!$J$6:$J$1413,H$1)</f>
        <v>0</v>
      </c>
      <c r="I192" s="80">
        <f>SUMIFS('февраль 2024'!$G$6:$G$1413,'февраль 2024'!$D$6:$D$1413,$B192,'февраль 2024'!$J$6:$J$1413,I$1)</f>
        <v>0</v>
      </c>
      <c r="J192" s="80">
        <f>SUMIFS('февраль 2024'!$G$6:$G$1413,'февраль 2024'!$D$6:$D$1413,$B192,'февраль 2024'!$J$6:$J$1413,J$1)</f>
        <v>0</v>
      </c>
      <c r="K192" s="80">
        <f>SUMIFS('февраль 2024'!$G$6:$G$1413,'февраль 2024'!$D$6:$D$1413,$B192,'февраль 2024'!$J$6:$J$1413,K$1)</f>
        <v>0</v>
      </c>
      <c r="L192" s="80">
        <f>SUMIFS('февраль 2024'!$G$6:$G$1413,'февраль 2024'!$D$6:$D$1413,$B192,'февраль 2024'!$J$6:$J$1413,L$1)</f>
        <v>0</v>
      </c>
      <c r="M192" s="80">
        <f>SUMIFS('февраль 2024'!$G$6:$G$1413,'февраль 2024'!$D$6:$D$1413,$B192,'февраль 2024'!$J$6:$J$1413,M$1)</f>
        <v>0</v>
      </c>
      <c r="N192" s="80">
        <f>SUMIFS('февраль 2024'!$G$6:$G$1413,'февраль 2024'!$D$6:$D$1413,$B192,'февраль 2024'!$J$6:$J$1413,N$1)</f>
        <v>0</v>
      </c>
      <c r="O192" s="80">
        <f>SUMIFS('февраль 2024'!$G$6:$G$1413,'февраль 2024'!$D$6:$D$1413,$B192,'февраль 2024'!$J$6:$J$1413,O$1)</f>
        <v>0</v>
      </c>
      <c r="P192" s="80">
        <f>SUMIFS('февраль 2024'!$G$6:$G$1413,'февраль 2024'!$D$6:$D$1413,$B192,'февраль 2024'!$J$6:$J$1413,P$1)</f>
        <v>0</v>
      </c>
      <c r="Q192" s="80">
        <f>SUMIFS('февраль 2024'!$G$6:$G$1413,'февраль 2024'!$D$6:$D$1413,$B192,'февраль 2024'!$J$6:$J$1413,Q$1)</f>
        <v>0</v>
      </c>
      <c r="R192" s="80">
        <f>SUMIFS('февраль 2024'!$G$6:$G$1413,'февраль 2024'!$D$6:$D$1413,$B192,'февраль 2024'!$J$6:$J$1413,R$1)</f>
        <v>0</v>
      </c>
      <c r="S192" s="80">
        <f>SUMIFS('февраль 2024'!$G$6:$G$1413,'февраль 2024'!$D$6:$D$1413,$B192,'февраль 2024'!$J$6:$J$1413,S$1)</f>
        <v>0</v>
      </c>
      <c r="T192" s="80">
        <f>SUMIFS('февраль 2024'!$G$6:$G$1413,'февраль 2024'!$D$6:$D$1413,$B192,'февраль 2024'!$J$6:$J$1413,T$1)</f>
        <v>0</v>
      </c>
      <c r="U192" s="80">
        <f>SUMIFS('февраль 2024'!$G$6:$G$1413,'февраль 2024'!$D$6:$D$1413,$B192,'февраль 2024'!$J$6:$J$1413,U$1)</f>
        <v>0</v>
      </c>
      <c r="V192" s="80">
        <f>SUMIFS('февраль 2024'!$G$6:$G$1413,'февраль 2024'!$D$6:$D$1413,$B192,'февраль 2024'!$J$6:$J$1413,V$1)</f>
        <v>0</v>
      </c>
      <c r="W192" s="80">
        <f>SUMIFS('февраль 2024'!$G$6:$G$1413,'февраль 2024'!$D$6:$D$1413,$B192,'февраль 2024'!$J$6:$J$1413,W$1)</f>
        <v>0</v>
      </c>
      <c r="X192" s="80">
        <f>SUMIFS('февраль 2024'!$G$6:$G$1413,'февраль 2024'!$D$6:$D$1413,$B192,'февраль 2024'!$J$6:$J$1413,X$1)</f>
        <v>0</v>
      </c>
      <c r="Y192" s="80">
        <f>SUMIFS('февраль 2024'!$G$6:$G$1413,'февраль 2024'!$D$6:$D$1413,$B192,'февраль 2024'!$J$6:$J$1413,Y$1)</f>
        <v>0</v>
      </c>
      <c r="Z192" s="80">
        <f>SUMIFS('февраль 2024'!$G$6:$G$1413,'февраль 2024'!$D$6:$D$1413,$B192,'февраль 2024'!$J$6:$J$1413,Z$1)</f>
        <v>0</v>
      </c>
      <c r="AA192" s="80">
        <f>SUMIFS('февраль 2024'!$G$6:$G$1413,'февраль 2024'!$D$6:$D$1413,$B192,'февраль 2024'!$J$6:$J$1413,AA$1)</f>
        <v>0</v>
      </c>
      <c r="AB192" s="80">
        <f>SUMIFS('февраль 2024'!$G$6:$G$1413,'февраль 2024'!$D$6:$D$1413,$B192,'февраль 2024'!$J$6:$J$1413,AB$1)</f>
        <v>0</v>
      </c>
      <c r="AC192" s="80">
        <f>SUMIFS('февраль 2024'!$G$6:$G$1413,'февраль 2024'!$D$6:$D$1413,$B192,'февраль 2024'!$J$6:$J$1413,AC$1)</f>
        <v>0</v>
      </c>
      <c r="AD192" s="80">
        <f>SUMIFS('февраль 2024'!$G$6:$G$1413,'февраль 2024'!$D$6:$D$1413,$B192,'февраль 2024'!$J$6:$J$1413,AD$1)</f>
        <v>0</v>
      </c>
      <c r="AE192" s="80">
        <f>SUMIFS('февраль 2024'!$G$6:$G$1413,'февраль 2024'!$D$6:$D$1413,$B192,'февраль 2024'!$J$6:$J$1413,AE$1)</f>
        <v>0</v>
      </c>
      <c r="AF192" s="80">
        <f>SUMIFS('февраль 2024'!$G$6:$G$1413,'февраль 2024'!$D$6:$D$1413,$B192,'февраль 2024'!$J$6:$J$1413,AF$1)</f>
        <v>0</v>
      </c>
      <c r="AG192" s="80">
        <f>SUMIFS('февраль 2024'!$G$6:$G$1413,'февраль 2024'!$D$6:$D$1413,$B192,'февраль 2024'!$J$6:$J$1413,AG$1)</f>
        <v>0</v>
      </c>
      <c r="AH192" s="80">
        <f>SUMIFS('февраль 2024'!$G$6:$G$1413,'февраль 2024'!$D$6:$D$1413,$B192,'февраль 2024'!$J$6:$J$1413,AH$1)</f>
        <v>0</v>
      </c>
      <c r="AI192" s="87"/>
    </row>
    <row r="193" spans="2:35" ht="15" hidden="1" customHeight="1" x14ac:dyDescent="0.25">
      <c r="B193" s="89"/>
      <c r="C193" s="88"/>
      <c r="D193" s="80">
        <f>SUMIFS('февраль 2024'!$G$6:$G$1413,'февраль 2024'!$D$6:$D$1413,$B193,'февраль 2024'!$J$6:$J$1413,D$1)</f>
        <v>0</v>
      </c>
      <c r="E193" s="80">
        <f>SUMIFS('февраль 2024'!$G$6:$G$1413,'февраль 2024'!$D$6:$D$1413,$B193,'февраль 2024'!$J$6:$J$1413,E$1)</f>
        <v>0</v>
      </c>
      <c r="F193" s="80">
        <f>SUMIFS('февраль 2024'!$G$6:$G$1413,'февраль 2024'!$D$6:$D$1413,$B193,'февраль 2024'!$J$6:$J$1413,F$1)</f>
        <v>0</v>
      </c>
      <c r="G193" s="80">
        <f>SUMIFS('февраль 2024'!$G$6:$G$1413,'февраль 2024'!$D$6:$D$1413,$B193,'февраль 2024'!$J$6:$J$1413,G$1)</f>
        <v>0</v>
      </c>
      <c r="H193" s="80">
        <f>SUMIFS('февраль 2024'!$G$6:$G$1413,'февраль 2024'!$D$6:$D$1413,$B193,'февраль 2024'!$J$6:$J$1413,H$1)</f>
        <v>0</v>
      </c>
      <c r="I193" s="80">
        <f>SUMIFS('февраль 2024'!$G$6:$G$1413,'февраль 2024'!$D$6:$D$1413,$B193,'февраль 2024'!$J$6:$J$1413,I$1)</f>
        <v>0</v>
      </c>
      <c r="J193" s="80">
        <f>SUMIFS('февраль 2024'!$G$6:$G$1413,'февраль 2024'!$D$6:$D$1413,$B193,'февраль 2024'!$J$6:$J$1413,J$1)</f>
        <v>0</v>
      </c>
      <c r="K193" s="80">
        <f>SUMIFS('февраль 2024'!$G$6:$G$1413,'февраль 2024'!$D$6:$D$1413,$B193,'февраль 2024'!$J$6:$J$1413,K$1)</f>
        <v>0</v>
      </c>
      <c r="L193" s="80">
        <f>SUMIFS('февраль 2024'!$G$6:$G$1413,'февраль 2024'!$D$6:$D$1413,$B193,'февраль 2024'!$J$6:$J$1413,L$1)</f>
        <v>0</v>
      </c>
      <c r="M193" s="80">
        <f>SUMIFS('февраль 2024'!$G$6:$G$1413,'февраль 2024'!$D$6:$D$1413,$B193,'февраль 2024'!$J$6:$J$1413,M$1)</f>
        <v>0</v>
      </c>
      <c r="N193" s="80">
        <f>SUMIFS('февраль 2024'!$G$6:$G$1413,'февраль 2024'!$D$6:$D$1413,$B193,'февраль 2024'!$J$6:$J$1413,N$1)</f>
        <v>0</v>
      </c>
      <c r="O193" s="80">
        <f>SUMIFS('февраль 2024'!$G$6:$G$1413,'февраль 2024'!$D$6:$D$1413,$B193,'февраль 2024'!$J$6:$J$1413,O$1)</f>
        <v>0</v>
      </c>
      <c r="P193" s="80">
        <f>SUMIFS('февраль 2024'!$G$6:$G$1413,'февраль 2024'!$D$6:$D$1413,$B193,'февраль 2024'!$J$6:$J$1413,P$1)</f>
        <v>0</v>
      </c>
      <c r="Q193" s="80">
        <f>SUMIFS('февраль 2024'!$G$6:$G$1413,'февраль 2024'!$D$6:$D$1413,$B193,'февраль 2024'!$J$6:$J$1413,Q$1)</f>
        <v>0</v>
      </c>
      <c r="R193" s="80">
        <f>SUMIFS('февраль 2024'!$G$6:$G$1413,'февраль 2024'!$D$6:$D$1413,$B193,'февраль 2024'!$J$6:$J$1413,R$1)</f>
        <v>0</v>
      </c>
      <c r="S193" s="80">
        <f>SUMIFS('февраль 2024'!$G$6:$G$1413,'февраль 2024'!$D$6:$D$1413,$B193,'февраль 2024'!$J$6:$J$1413,S$1)</f>
        <v>0</v>
      </c>
      <c r="T193" s="80">
        <f>SUMIFS('февраль 2024'!$G$6:$G$1413,'февраль 2024'!$D$6:$D$1413,$B193,'февраль 2024'!$J$6:$J$1413,T$1)</f>
        <v>0</v>
      </c>
      <c r="U193" s="80">
        <f>SUMIFS('февраль 2024'!$G$6:$G$1413,'февраль 2024'!$D$6:$D$1413,$B193,'февраль 2024'!$J$6:$J$1413,U$1)</f>
        <v>0</v>
      </c>
      <c r="V193" s="80">
        <f>SUMIFS('февраль 2024'!$G$6:$G$1413,'февраль 2024'!$D$6:$D$1413,$B193,'февраль 2024'!$J$6:$J$1413,V$1)</f>
        <v>0</v>
      </c>
      <c r="W193" s="80">
        <f>SUMIFS('февраль 2024'!$G$6:$G$1413,'февраль 2024'!$D$6:$D$1413,$B193,'февраль 2024'!$J$6:$J$1413,W$1)</f>
        <v>0</v>
      </c>
      <c r="X193" s="80">
        <f>SUMIFS('февраль 2024'!$G$6:$G$1413,'февраль 2024'!$D$6:$D$1413,$B193,'февраль 2024'!$J$6:$J$1413,X$1)</f>
        <v>0</v>
      </c>
      <c r="Y193" s="80">
        <f>SUMIFS('февраль 2024'!$G$6:$G$1413,'февраль 2024'!$D$6:$D$1413,$B193,'февраль 2024'!$J$6:$J$1413,Y$1)</f>
        <v>0</v>
      </c>
      <c r="Z193" s="80">
        <f>SUMIFS('февраль 2024'!$G$6:$G$1413,'февраль 2024'!$D$6:$D$1413,$B193,'февраль 2024'!$J$6:$J$1413,Z$1)</f>
        <v>0</v>
      </c>
      <c r="AA193" s="80">
        <f>SUMIFS('февраль 2024'!$G$6:$G$1413,'февраль 2024'!$D$6:$D$1413,$B193,'февраль 2024'!$J$6:$J$1413,AA$1)</f>
        <v>0</v>
      </c>
      <c r="AB193" s="80">
        <f>SUMIFS('февраль 2024'!$G$6:$G$1413,'февраль 2024'!$D$6:$D$1413,$B193,'февраль 2024'!$J$6:$J$1413,AB$1)</f>
        <v>0</v>
      </c>
      <c r="AC193" s="80">
        <f>SUMIFS('февраль 2024'!$G$6:$G$1413,'февраль 2024'!$D$6:$D$1413,$B193,'февраль 2024'!$J$6:$J$1413,AC$1)</f>
        <v>0</v>
      </c>
      <c r="AD193" s="80">
        <f>SUMIFS('февраль 2024'!$G$6:$G$1413,'февраль 2024'!$D$6:$D$1413,$B193,'февраль 2024'!$J$6:$J$1413,AD$1)</f>
        <v>0</v>
      </c>
      <c r="AE193" s="80">
        <f>SUMIFS('февраль 2024'!$G$6:$G$1413,'февраль 2024'!$D$6:$D$1413,$B193,'февраль 2024'!$J$6:$J$1413,AE$1)</f>
        <v>0</v>
      </c>
      <c r="AF193" s="80">
        <f>SUMIFS('февраль 2024'!$G$6:$G$1413,'февраль 2024'!$D$6:$D$1413,$B193,'февраль 2024'!$J$6:$J$1413,AF$1)</f>
        <v>0</v>
      </c>
      <c r="AG193" s="80">
        <f>SUMIFS('февраль 2024'!$G$6:$G$1413,'февраль 2024'!$D$6:$D$1413,$B193,'февраль 2024'!$J$6:$J$1413,AG$1)</f>
        <v>0</v>
      </c>
      <c r="AH193" s="80">
        <f>SUMIFS('февраль 2024'!$G$6:$G$1413,'февраль 2024'!$D$6:$D$1413,$B193,'февраль 2024'!$J$6:$J$1413,AH$1)</f>
        <v>0</v>
      </c>
      <c r="AI193" s="87"/>
    </row>
    <row r="194" spans="2:35" ht="15" hidden="1" customHeight="1" x14ac:dyDescent="0.25">
      <c r="B194" s="89"/>
      <c r="C194" s="88"/>
      <c r="D194" s="80">
        <f>SUMIFS('февраль 2024'!$G$6:$G$1413,'февраль 2024'!$D$6:$D$1413,$B194,'февраль 2024'!$J$6:$J$1413,D$1)</f>
        <v>0</v>
      </c>
      <c r="E194" s="80">
        <f>SUMIFS('февраль 2024'!$G$6:$G$1413,'февраль 2024'!$D$6:$D$1413,$B194,'февраль 2024'!$J$6:$J$1413,E$1)</f>
        <v>0</v>
      </c>
      <c r="F194" s="80">
        <f>SUMIFS('февраль 2024'!$G$6:$G$1413,'февраль 2024'!$D$6:$D$1413,$B194,'февраль 2024'!$J$6:$J$1413,F$1)</f>
        <v>0</v>
      </c>
      <c r="G194" s="80">
        <f>SUMIFS('февраль 2024'!$G$6:$G$1413,'февраль 2024'!$D$6:$D$1413,$B194,'февраль 2024'!$J$6:$J$1413,G$1)</f>
        <v>0</v>
      </c>
      <c r="H194" s="80">
        <f>SUMIFS('февраль 2024'!$G$6:$G$1413,'февраль 2024'!$D$6:$D$1413,$B194,'февраль 2024'!$J$6:$J$1413,H$1)</f>
        <v>0</v>
      </c>
      <c r="I194" s="80">
        <f>SUMIFS('февраль 2024'!$G$6:$G$1413,'февраль 2024'!$D$6:$D$1413,$B194,'февраль 2024'!$J$6:$J$1413,I$1)</f>
        <v>0</v>
      </c>
      <c r="J194" s="80">
        <f>SUMIFS('февраль 2024'!$G$6:$G$1413,'февраль 2024'!$D$6:$D$1413,$B194,'февраль 2024'!$J$6:$J$1413,J$1)</f>
        <v>0</v>
      </c>
      <c r="K194" s="80">
        <f>SUMIFS('февраль 2024'!$G$6:$G$1413,'февраль 2024'!$D$6:$D$1413,$B194,'февраль 2024'!$J$6:$J$1413,K$1)</f>
        <v>0</v>
      </c>
      <c r="L194" s="80">
        <f>SUMIFS('февраль 2024'!$G$6:$G$1413,'февраль 2024'!$D$6:$D$1413,$B194,'февраль 2024'!$J$6:$J$1413,L$1)</f>
        <v>0</v>
      </c>
      <c r="M194" s="80">
        <f>SUMIFS('февраль 2024'!$G$6:$G$1413,'февраль 2024'!$D$6:$D$1413,$B194,'февраль 2024'!$J$6:$J$1413,M$1)</f>
        <v>0</v>
      </c>
      <c r="N194" s="80">
        <f>SUMIFS('февраль 2024'!$G$6:$G$1413,'февраль 2024'!$D$6:$D$1413,$B194,'февраль 2024'!$J$6:$J$1413,N$1)</f>
        <v>0</v>
      </c>
      <c r="O194" s="80">
        <f>SUMIFS('февраль 2024'!$G$6:$G$1413,'февраль 2024'!$D$6:$D$1413,$B194,'февраль 2024'!$J$6:$J$1413,O$1)</f>
        <v>0</v>
      </c>
      <c r="P194" s="80">
        <f>SUMIFS('февраль 2024'!$G$6:$G$1413,'февраль 2024'!$D$6:$D$1413,$B194,'февраль 2024'!$J$6:$J$1413,P$1)</f>
        <v>0</v>
      </c>
      <c r="Q194" s="80">
        <f>SUMIFS('февраль 2024'!$G$6:$G$1413,'февраль 2024'!$D$6:$D$1413,$B194,'февраль 2024'!$J$6:$J$1413,Q$1)</f>
        <v>0</v>
      </c>
      <c r="R194" s="80">
        <f>SUMIFS('февраль 2024'!$G$6:$G$1413,'февраль 2024'!$D$6:$D$1413,$B194,'февраль 2024'!$J$6:$J$1413,R$1)</f>
        <v>0</v>
      </c>
      <c r="S194" s="80">
        <f>SUMIFS('февраль 2024'!$G$6:$G$1413,'февраль 2024'!$D$6:$D$1413,$B194,'февраль 2024'!$J$6:$J$1413,S$1)</f>
        <v>0</v>
      </c>
      <c r="T194" s="80">
        <f>SUMIFS('февраль 2024'!$G$6:$G$1413,'февраль 2024'!$D$6:$D$1413,$B194,'февраль 2024'!$J$6:$J$1413,T$1)</f>
        <v>0</v>
      </c>
      <c r="U194" s="80">
        <f>SUMIFS('февраль 2024'!$G$6:$G$1413,'февраль 2024'!$D$6:$D$1413,$B194,'февраль 2024'!$J$6:$J$1413,U$1)</f>
        <v>0</v>
      </c>
      <c r="V194" s="80">
        <f>SUMIFS('февраль 2024'!$G$6:$G$1413,'февраль 2024'!$D$6:$D$1413,$B194,'февраль 2024'!$J$6:$J$1413,V$1)</f>
        <v>0</v>
      </c>
      <c r="W194" s="80">
        <f>SUMIFS('февраль 2024'!$G$6:$G$1413,'февраль 2024'!$D$6:$D$1413,$B194,'февраль 2024'!$J$6:$J$1413,W$1)</f>
        <v>0</v>
      </c>
      <c r="X194" s="80">
        <f>SUMIFS('февраль 2024'!$G$6:$G$1413,'февраль 2024'!$D$6:$D$1413,$B194,'февраль 2024'!$J$6:$J$1413,X$1)</f>
        <v>0</v>
      </c>
      <c r="Y194" s="80">
        <f>SUMIFS('февраль 2024'!$G$6:$G$1413,'февраль 2024'!$D$6:$D$1413,$B194,'февраль 2024'!$J$6:$J$1413,Y$1)</f>
        <v>0</v>
      </c>
      <c r="Z194" s="80">
        <f>SUMIFS('февраль 2024'!$G$6:$G$1413,'февраль 2024'!$D$6:$D$1413,$B194,'февраль 2024'!$J$6:$J$1413,Z$1)</f>
        <v>0</v>
      </c>
      <c r="AA194" s="80">
        <f>SUMIFS('февраль 2024'!$G$6:$G$1413,'февраль 2024'!$D$6:$D$1413,$B194,'февраль 2024'!$J$6:$J$1413,AA$1)</f>
        <v>0</v>
      </c>
      <c r="AB194" s="80">
        <f>SUMIFS('февраль 2024'!$G$6:$G$1413,'февраль 2024'!$D$6:$D$1413,$B194,'февраль 2024'!$J$6:$J$1413,AB$1)</f>
        <v>0</v>
      </c>
      <c r="AC194" s="80">
        <f>SUMIFS('февраль 2024'!$G$6:$G$1413,'февраль 2024'!$D$6:$D$1413,$B194,'февраль 2024'!$J$6:$J$1413,AC$1)</f>
        <v>0</v>
      </c>
      <c r="AD194" s="80">
        <f>SUMIFS('февраль 2024'!$G$6:$G$1413,'февраль 2024'!$D$6:$D$1413,$B194,'февраль 2024'!$J$6:$J$1413,AD$1)</f>
        <v>0</v>
      </c>
      <c r="AE194" s="80">
        <f>SUMIFS('февраль 2024'!$G$6:$G$1413,'февраль 2024'!$D$6:$D$1413,$B194,'февраль 2024'!$J$6:$J$1413,AE$1)</f>
        <v>0</v>
      </c>
      <c r="AF194" s="80">
        <f>SUMIFS('февраль 2024'!$G$6:$G$1413,'февраль 2024'!$D$6:$D$1413,$B194,'февраль 2024'!$J$6:$J$1413,AF$1)</f>
        <v>0</v>
      </c>
      <c r="AG194" s="80">
        <f>SUMIFS('февраль 2024'!$G$6:$G$1413,'февраль 2024'!$D$6:$D$1413,$B194,'февраль 2024'!$J$6:$J$1413,AG$1)</f>
        <v>0</v>
      </c>
      <c r="AH194" s="80">
        <f>SUMIFS('февраль 2024'!$G$6:$G$1413,'февраль 2024'!$D$6:$D$1413,$B194,'февраль 2024'!$J$6:$J$1413,AH$1)</f>
        <v>0</v>
      </c>
      <c r="AI194" s="87"/>
    </row>
    <row r="195" spans="2:35" ht="15" hidden="1" customHeight="1" x14ac:dyDescent="0.25">
      <c r="B195" s="89"/>
      <c r="C195" s="88"/>
      <c r="D195" s="80">
        <f>SUMIFS('февраль 2024'!$G$6:$G$1413,'февраль 2024'!$D$6:$D$1413,$B195,'февраль 2024'!$J$6:$J$1413,D$1)</f>
        <v>0</v>
      </c>
      <c r="E195" s="80">
        <f>SUMIFS('февраль 2024'!$G$6:$G$1413,'февраль 2024'!$D$6:$D$1413,$B195,'февраль 2024'!$J$6:$J$1413,E$1)</f>
        <v>0</v>
      </c>
      <c r="F195" s="80">
        <f>SUMIFS('февраль 2024'!$G$6:$G$1413,'февраль 2024'!$D$6:$D$1413,$B195,'февраль 2024'!$J$6:$J$1413,F$1)</f>
        <v>0</v>
      </c>
      <c r="G195" s="80">
        <f>SUMIFS('февраль 2024'!$G$6:$G$1413,'февраль 2024'!$D$6:$D$1413,$B195,'февраль 2024'!$J$6:$J$1413,G$1)</f>
        <v>0</v>
      </c>
      <c r="H195" s="80">
        <f>SUMIFS('февраль 2024'!$G$6:$G$1413,'февраль 2024'!$D$6:$D$1413,$B195,'февраль 2024'!$J$6:$J$1413,H$1)</f>
        <v>0</v>
      </c>
      <c r="I195" s="80">
        <f>SUMIFS('февраль 2024'!$G$6:$G$1413,'февраль 2024'!$D$6:$D$1413,$B195,'февраль 2024'!$J$6:$J$1413,I$1)</f>
        <v>0</v>
      </c>
      <c r="J195" s="80">
        <f>SUMIFS('февраль 2024'!$G$6:$G$1413,'февраль 2024'!$D$6:$D$1413,$B195,'февраль 2024'!$J$6:$J$1413,J$1)</f>
        <v>0</v>
      </c>
      <c r="K195" s="80">
        <f>SUMIFS('февраль 2024'!$G$6:$G$1413,'февраль 2024'!$D$6:$D$1413,$B195,'февраль 2024'!$J$6:$J$1413,K$1)</f>
        <v>0</v>
      </c>
      <c r="L195" s="80">
        <f>SUMIFS('февраль 2024'!$G$6:$G$1413,'февраль 2024'!$D$6:$D$1413,$B195,'февраль 2024'!$J$6:$J$1413,L$1)</f>
        <v>0</v>
      </c>
      <c r="M195" s="80">
        <f>SUMIFS('февраль 2024'!$G$6:$G$1413,'февраль 2024'!$D$6:$D$1413,$B195,'февраль 2024'!$J$6:$J$1413,M$1)</f>
        <v>0</v>
      </c>
      <c r="N195" s="80">
        <f>SUMIFS('февраль 2024'!$G$6:$G$1413,'февраль 2024'!$D$6:$D$1413,$B195,'февраль 2024'!$J$6:$J$1413,N$1)</f>
        <v>0</v>
      </c>
      <c r="O195" s="80">
        <f>SUMIFS('февраль 2024'!$G$6:$G$1413,'февраль 2024'!$D$6:$D$1413,$B195,'февраль 2024'!$J$6:$J$1413,O$1)</f>
        <v>0</v>
      </c>
      <c r="P195" s="80">
        <f>SUMIFS('февраль 2024'!$G$6:$G$1413,'февраль 2024'!$D$6:$D$1413,$B195,'февраль 2024'!$J$6:$J$1413,P$1)</f>
        <v>0</v>
      </c>
      <c r="Q195" s="80">
        <f>SUMIFS('февраль 2024'!$G$6:$G$1413,'февраль 2024'!$D$6:$D$1413,$B195,'февраль 2024'!$J$6:$J$1413,Q$1)</f>
        <v>0</v>
      </c>
      <c r="R195" s="80">
        <f>SUMIFS('февраль 2024'!$G$6:$G$1413,'февраль 2024'!$D$6:$D$1413,$B195,'февраль 2024'!$J$6:$J$1413,R$1)</f>
        <v>0</v>
      </c>
      <c r="S195" s="80">
        <f>SUMIFS('февраль 2024'!$G$6:$G$1413,'февраль 2024'!$D$6:$D$1413,$B195,'февраль 2024'!$J$6:$J$1413,S$1)</f>
        <v>0</v>
      </c>
      <c r="T195" s="80">
        <f>SUMIFS('февраль 2024'!$G$6:$G$1413,'февраль 2024'!$D$6:$D$1413,$B195,'февраль 2024'!$J$6:$J$1413,T$1)</f>
        <v>0</v>
      </c>
      <c r="U195" s="80">
        <f>SUMIFS('февраль 2024'!$G$6:$G$1413,'февраль 2024'!$D$6:$D$1413,$B195,'февраль 2024'!$J$6:$J$1413,U$1)</f>
        <v>0</v>
      </c>
      <c r="V195" s="80">
        <f>SUMIFS('февраль 2024'!$G$6:$G$1413,'февраль 2024'!$D$6:$D$1413,$B195,'февраль 2024'!$J$6:$J$1413,V$1)</f>
        <v>0</v>
      </c>
      <c r="W195" s="80">
        <f>SUMIFS('февраль 2024'!$G$6:$G$1413,'февраль 2024'!$D$6:$D$1413,$B195,'февраль 2024'!$J$6:$J$1413,W$1)</f>
        <v>0</v>
      </c>
      <c r="X195" s="80">
        <f>SUMIFS('февраль 2024'!$G$6:$G$1413,'февраль 2024'!$D$6:$D$1413,$B195,'февраль 2024'!$J$6:$J$1413,X$1)</f>
        <v>0</v>
      </c>
      <c r="Y195" s="80">
        <f>SUMIFS('февраль 2024'!$G$6:$G$1413,'февраль 2024'!$D$6:$D$1413,$B195,'февраль 2024'!$J$6:$J$1413,Y$1)</f>
        <v>0</v>
      </c>
      <c r="Z195" s="80">
        <f>SUMIFS('февраль 2024'!$G$6:$G$1413,'февраль 2024'!$D$6:$D$1413,$B195,'февраль 2024'!$J$6:$J$1413,Z$1)</f>
        <v>0</v>
      </c>
      <c r="AA195" s="80">
        <f>SUMIFS('февраль 2024'!$G$6:$G$1413,'февраль 2024'!$D$6:$D$1413,$B195,'февраль 2024'!$J$6:$J$1413,AA$1)</f>
        <v>0</v>
      </c>
      <c r="AB195" s="80">
        <f>SUMIFS('февраль 2024'!$G$6:$G$1413,'февраль 2024'!$D$6:$D$1413,$B195,'февраль 2024'!$J$6:$J$1413,AB$1)</f>
        <v>0</v>
      </c>
      <c r="AC195" s="80">
        <f>SUMIFS('февраль 2024'!$G$6:$G$1413,'февраль 2024'!$D$6:$D$1413,$B195,'февраль 2024'!$J$6:$J$1413,AC$1)</f>
        <v>0</v>
      </c>
      <c r="AD195" s="80">
        <f>SUMIFS('февраль 2024'!$G$6:$G$1413,'февраль 2024'!$D$6:$D$1413,$B195,'февраль 2024'!$J$6:$J$1413,AD$1)</f>
        <v>0</v>
      </c>
      <c r="AE195" s="80">
        <f>SUMIFS('февраль 2024'!$G$6:$G$1413,'февраль 2024'!$D$6:$D$1413,$B195,'февраль 2024'!$J$6:$J$1413,AE$1)</f>
        <v>0</v>
      </c>
      <c r="AF195" s="80">
        <f>SUMIFS('февраль 2024'!$G$6:$G$1413,'февраль 2024'!$D$6:$D$1413,$B195,'февраль 2024'!$J$6:$J$1413,AF$1)</f>
        <v>0</v>
      </c>
      <c r="AG195" s="80">
        <f>SUMIFS('февраль 2024'!$G$6:$G$1413,'февраль 2024'!$D$6:$D$1413,$B195,'февраль 2024'!$J$6:$J$1413,AG$1)</f>
        <v>0</v>
      </c>
      <c r="AH195" s="80">
        <f>SUMIFS('февраль 2024'!$G$6:$G$1413,'февраль 2024'!$D$6:$D$1413,$B195,'февраль 2024'!$J$6:$J$1413,AH$1)</f>
        <v>0</v>
      </c>
      <c r="AI195" s="87"/>
    </row>
    <row r="196" spans="2:35" ht="15" hidden="1" customHeight="1" x14ac:dyDescent="0.25">
      <c r="B196" s="89"/>
      <c r="C196" s="88"/>
      <c r="D196" s="80">
        <f>SUMIFS('февраль 2024'!$G$6:$G$1413,'февраль 2024'!$D$6:$D$1413,$B196,'февраль 2024'!$J$6:$J$1413,D$1)</f>
        <v>0</v>
      </c>
      <c r="E196" s="80">
        <f>SUMIFS('февраль 2024'!$G$6:$G$1413,'февраль 2024'!$D$6:$D$1413,$B196,'февраль 2024'!$J$6:$J$1413,E$1)</f>
        <v>0</v>
      </c>
      <c r="F196" s="80">
        <f>SUMIFS('февраль 2024'!$G$6:$G$1413,'февраль 2024'!$D$6:$D$1413,$B196,'февраль 2024'!$J$6:$J$1413,F$1)</f>
        <v>0</v>
      </c>
      <c r="G196" s="80">
        <f>SUMIFS('февраль 2024'!$G$6:$G$1413,'февраль 2024'!$D$6:$D$1413,$B196,'февраль 2024'!$J$6:$J$1413,G$1)</f>
        <v>0</v>
      </c>
      <c r="H196" s="80">
        <f>SUMIFS('февраль 2024'!$G$6:$G$1413,'февраль 2024'!$D$6:$D$1413,$B196,'февраль 2024'!$J$6:$J$1413,H$1)</f>
        <v>0</v>
      </c>
      <c r="I196" s="80">
        <f>SUMIFS('февраль 2024'!$G$6:$G$1413,'февраль 2024'!$D$6:$D$1413,$B196,'февраль 2024'!$J$6:$J$1413,I$1)</f>
        <v>0</v>
      </c>
      <c r="J196" s="80">
        <f>SUMIFS('февраль 2024'!$G$6:$G$1413,'февраль 2024'!$D$6:$D$1413,$B196,'февраль 2024'!$J$6:$J$1413,J$1)</f>
        <v>0</v>
      </c>
      <c r="K196" s="80">
        <f>SUMIFS('февраль 2024'!$G$6:$G$1413,'февраль 2024'!$D$6:$D$1413,$B196,'февраль 2024'!$J$6:$J$1413,K$1)</f>
        <v>0</v>
      </c>
      <c r="L196" s="80">
        <f>SUMIFS('февраль 2024'!$G$6:$G$1413,'февраль 2024'!$D$6:$D$1413,$B196,'февраль 2024'!$J$6:$J$1413,L$1)</f>
        <v>0</v>
      </c>
      <c r="M196" s="80">
        <f>SUMIFS('февраль 2024'!$G$6:$G$1413,'февраль 2024'!$D$6:$D$1413,$B196,'февраль 2024'!$J$6:$J$1413,M$1)</f>
        <v>0</v>
      </c>
      <c r="N196" s="80">
        <f>SUMIFS('февраль 2024'!$G$6:$G$1413,'февраль 2024'!$D$6:$D$1413,$B196,'февраль 2024'!$J$6:$J$1413,N$1)</f>
        <v>0</v>
      </c>
      <c r="O196" s="80">
        <f>SUMIFS('февраль 2024'!$G$6:$G$1413,'февраль 2024'!$D$6:$D$1413,$B196,'февраль 2024'!$J$6:$J$1413,O$1)</f>
        <v>0</v>
      </c>
      <c r="P196" s="80">
        <f>SUMIFS('февраль 2024'!$G$6:$G$1413,'февраль 2024'!$D$6:$D$1413,$B196,'февраль 2024'!$J$6:$J$1413,P$1)</f>
        <v>0</v>
      </c>
      <c r="Q196" s="80">
        <f>SUMIFS('февраль 2024'!$G$6:$G$1413,'февраль 2024'!$D$6:$D$1413,$B196,'февраль 2024'!$J$6:$J$1413,Q$1)</f>
        <v>0</v>
      </c>
      <c r="R196" s="80">
        <f>SUMIFS('февраль 2024'!$G$6:$G$1413,'февраль 2024'!$D$6:$D$1413,$B196,'февраль 2024'!$J$6:$J$1413,R$1)</f>
        <v>0</v>
      </c>
      <c r="S196" s="80">
        <f>SUMIFS('февраль 2024'!$G$6:$G$1413,'февраль 2024'!$D$6:$D$1413,$B196,'февраль 2024'!$J$6:$J$1413,S$1)</f>
        <v>0</v>
      </c>
      <c r="T196" s="80">
        <f>SUMIFS('февраль 2024'!$G$6:$G$1413,'февраль 2024'!$D$6:$D$1413,$B196,'февраль 2024'!$J$6:$J$1413,T$1)</f>
        <v>0</v>
      </c>
      <c r="U196" s="80">
        <f>SUMIFS('февраль 2024'!$G$6:$G$1413,'февраль 2024'!$D$6:$D$1413,$B196,'февраль 2024'!$J$6:$J$1413,U$1)</f>
        <v>0</v>
      </c>
      <c r="V196" s="80">
        <f>SUMIFS('февраль 2024'!$G$6:$G$1413,'февраль 2024'!$D$6:$D$1413,$B196,'февраль 2024'!$J$6:$J$1413,V$1)</f>
        <v>0</v>
      </c>
      <c r="W196" s="80">
        <f>SUMIFS('февраль 2024'!$G$6:$G$1413,'февраль 2024'!$D$6:$D$1413,$B196,'февраль 2024'!$J$6:$J$1413,W$1)</f>
        <v>0</v>
      </c>
      <c r="X196" s="80">
        <f>SUMIFS('февраль 2024'!$G$6:$G$1413,'февраль 2024'!$D$6:$D$1413,$B196,'февраль 2024'!$J$6:$J$1413,X$1)</f>
        <v>0</v>
      </c>
      <c r="Y196" s="80">
        <f>SUMIFS('февраль 2024'!$G$6:$G$1413,'февраль 2024'!$D$6:$D$1413,$B196,'февраль 2024'!$J$6:$J$1413,Y$1)</f>
        <v>0</v>
      </c>
      <c r="Z196" s="80">
        <f>SUMIFS('февраль 2024'!$G$6:$G$1413,'февраль 2024'!$D$6:$D$1413,$B196,'февраль 2024'!$J$6:$J$1413,Z$1)</f>
        <v>0</v>
      </c>
      <c r="AA196" s="80">
        <f>SUMIFS('февраль 2024'!$G$6:$G$1413,'февраль 2024'!$D$6:$D$1413,$B196,'февраль 2024'!$J$6:$J$1413,AA$1)</f>
        <v>0</v>
      </c>
      <c r="AB196" s="80">
        <f>SUMIFS('февраль 2024'!$G$6:$G$1413,'февраль 2024'!$D$6:$D$1413,$B196,'февраль 2024'!$J$6:$J$1413,AB$1)</f>
        <v>0</v>
      </c>
      <c r="AC196" s="80">
        <f>SUMIFS('февраль 2024'!$G$6:$G$1413,'февраль 2024'!$D$6:$D$1413,$B196,'февраль 2024'!$J$6:$J$1413,AC$1)</f>
        <v>0</v>
      </c>
      <c r="AD196" s="80">
        <f>SUMIFS('февраль 2024'!$G$6:$G$1413,'февраль 2024'!$D$6:$D$1413,$B196,'февраль 2024'!$J$6:$J$1413,AD$1)</f>
        <v>0</v>
      </c>
      <c r="AE196" s="80">
        <f>SUMIFS('февраль 2024'!$G$6:$G$1413,'февраль 2024'!$D$6:$D$1413,$B196,'февраль 2024'!$J$6:$J$1413,AE$1)</f>
        <v>0</v>
      </c>
      <c r="AF196" s="80">
        <f>SUMIFS('февраль 2024'!$G$6:$G$1413,'февраль 2024'!$D$6:$D$1413,$B196,'февраль 2024'!$J$6:$J$1413,AF$1)</f>
        <v>0</v>
      </c>
      <c r="AG196" s="80">
        <f>SUMIFS('февраль 2024'!$G$6:$G$1413,'февраль 2024'!$D$6:$D$1413,$B196,'февраль 2024'!$J$6:$J$1413,AG$1)</f>
        <v>0</v>
      </c>
      <c r="AH196" s="80">
        <f>SUMIFS('февраль 2024'!$G$6:$G$1413,'февраль 2024'!$D$6:$D$1413,$B196,'февраль 2024'!$J$6:$J$1413,AH$1)</f>
        <v>0</v>
      </c>
      <c r="AI196" s="87"/>
    </row>
    <row r="197" spans="2:35" ht="15" hidden="1" customHeight="1" x14ac:dyDescent="0.25">
      <c r="B197" s="89"/>
      <c r="C197" s="88"/>
      <c r="D197" s="80">
        <f>SUMIFS('февраль 2024'!$G$6:$G$1413,'февраль 2024'!$D$6:$D$1413,$B197,'февраль 2024'!$J$6:$J$1413,D$1)</f>
        <v>0</v>
      </c>
      <c r="E197" s="80">
        <f>SUMIFS('февраль 2024'!$G$6:$G$1413,'февраль 2024'!$D$6:$D$1413,$B197,'февраль 2024'!$J$6:$J$1413,E$1)</f>
        <v>0</v>
      </c>
      <c r="F197" s="80">
        <f>SUMIFS('февраль 2024'!$G$6:$G$1413,'февраль 2024'!$D$6:$D$1413,$B197,'февраль 2024'!$J$6:$J$1413,F$1)</f>
        <v>0</v>
      </c>
      <c r="G197" s="80">
        <f>SUMIFS('февраль 2024'!$G$6:$G$1413,'февраль 2024'!$D$6:$D$1413,$B197,'февраль 2024'!$J$6:$J$1413,G$1)</f>
        <v>0</v>
      </c>
      <c r="H197" s="80">
        <f>SUMIFS('февраль 2024'!$G$6:$G$1413,'февраль 2024'!$D$6:$D$1413,$B197,'февраль 2024'!$J$6:$J$1413,H$1)</f>
        <v>0</v>
      </c>
      <c r="I197" s="80">
        <f>SUMIFS('февраль 2024'!$G$6:$G$1413,'февраль 2024'!$D$6:$D$1413,$B197,'февраль 2024'!$J$6:$J$1413,I$1)</f>
        <v>0</v>
      </c>
      <c r="J197" s="80">
        <f>SUMIFS('февраль 2024'!$G$6:$G$1413,'февраль 2024'!$D$6:$D$1413,$B197,'февраль 2024'!$J$6:$J$1413,J$1)</f>
        <v>0</v>
      </c>
      <c r="K197" s="80">
        <f>SUMIFS('февраль 2024'!$G$6:$G$1413,'февраль 2024'!$D$6:$D$1413,$B197,'февраль 2024'!$J$6:$J$1413,K$1)</f>
        <v>0</v>
      </c>
      <c r="L197" s="80">
        <f>SUMIFS('февраль 2024'!$G$6:$G$1413,'февраль 2024'!$D$6:$D$1413,$B197,'февраль 2024'!$J$6:$J$1413,L$1)</f>
        <v>0</v>
      </c>
      <c r="M197" s="80">
        <f>SUMIFS('февраль 2024'!$G$6:$G$1413,'февраль 2024'!$D$6:$D$1413,$B197,'февраль 2024'!$J$6:$J$1413,M$1)</f>
        <v>0</v>
      </c>
      <c r="N197" s="80">
        <f>SUMIFS('февраль 2024'!$G$6:$G$1413,'февраль 2024'!$D$6:$D$1413,$B197,'февраль 2024'!$J$6:$J$1413,N$1)</f>
        <v>0</v>
      </c>
      <c r="O197" s="80">
        <f>SUMIFS('февраль 2024'!$G$6:$G$1413,'февраль 2024'!$D$6:$D$1413,$B197,'февраль 2024'!$J$6:$J$1413,O$1)</f>
        <v>0</v>
      </c>
      <c r="P197" s="80">
        <f>SUMIFS('февраль 2024'!$G$6:$G$1413,'февраль 2024'!$D$6:$D$1413,$B197,'февраль 2024'!$J$6:$J$1413,P$1)</f>
        <v>0</v>
      </c>
      <c r="Q197" s="80">
        <f>SUMIFS('февраль 2024'!$G$6:$G$1413,'февраль 2024'!$D$6:$D$1413,$B197,'февраль 2024'!$J$6:$J$1413,Q$1)</f>
        <v>0</v>
      </c>
      <c r="R197" s="80">
        <f>SUMIFS('февраль 2024'!$G$6:$G$1413,'февраль 2024'!$D$6:$D$1413,$B197,'февраль 2024'!$J$6:$J$1413,R$1)</f>
        <v>0</v>
      </c>
      <c r="S197" s="80">
        <f>SUMIFS('февраль 2024'!$G$6:$G$1413,'февраль 2024'!$D$6:$D$1413,$B197,'февраль 2024'!$J$6:$J$1413,S$1)</f>
        <v>0</v>
      </c>
      <c r="T197" s="80">
        <f>SUMIFS('февраль 2024'!$G$6:$G$1413,'февраль 2024'!$D$6:$D$1413,$B197,'февраль 2024'!$J$6:$J$1413,T$1)</f>
        <v>0</v>
      </c>
      <c r="U197" s="80">
        <f>SUMIFS('февраль 2024'!$G$6:$G$1413,'февраль 2024'!$D$6:$D$1413,$B197,'февраль 2024'!$J$6:$J$1413,U$1)</f>
        <v>0</v>
      </c>
      <c r="V197" s="80">
        <f>SUMIFS('февраль 2024'!$G$6:$G$1413,'февраль 2024'!$D$6:$D$1413,$B197,'февраль 2024'!$J$6:$J$1413,V$1)</f>
        <v>0</v>
      </c>
      <c r="W197" s="80">
        <f>SUMIFS('февраль 2024'!$G$6:$G$1413,'февраль 2024'!$D$6:$D$1413,$B197,'февраль 2024'!$J$6:$J$1413,W$1)</f>
        <v>0</v>
      </c>
      <c r="X197" s="80">
        <f>SUMIFS('февраль 2024'!$G$6:$G$1413,'февраль 2024'!$D$6:$D$1413,$B197,'февраль 2024'!$J$6:$J$1413,X$1)</f>
        <v>0</v>
      </c>
      <c r="Y197" s="80">
        <f>SUMIFS('февраль 2024'!$G$6:$G$1413,'февраль 2024'!$D$6:$D$1413,$B197,'февраль 2024'!$J$6:$J$1413,Y$1)</f>
        <v>0</v>
      </c>
      <c r="Z197" s="80">
        <f>SUMIFS('февраль 2024'!$G$6:$G$1413,'февраль 2024'!$D$6:$D$1413,$B197,'февраль 2024'!$J$6:$J$1413,Z$1)</f>
        <v>0</v>
      </c>
      <c r="AA197" s="80">
        <f>SUMIFS('февраль 2024'!$G$6:$G$1413,'февраль 2024'!$D$6:$D$1413,$B197,'февраль 2024'!$J$6:$J$1413,AA$1)</f>
        <v>0</v>
      </c>
      <c r="AB197" s="80">
        <f>SUMIFS('февраль 2024'!$G$6:$G$1413,'февраль 2024'!$D$6:$D$1413,$B197,'февраль 2024'!$J$6:$J$1413,AB$1)</f>
        <v>0</v>
      </c>
      <c r="AC197" s="80">
        <f>SUMIFS('февраль 2024'!$G$6:$G$1413,'февраль 2024'!$D$6:$D$1413,$B197,'февраль 2024'!$J$6:$J$1413,AC$1)</f>
        <v>0</v>
      </c>
      <c r="AD197" s="80">
        <f>SUMIFS('февраль 2024'!$G$6:$G$1413,'февраль 2024'!$D$6:$D$1413,$B197,'февраль 2024'!$J$6:$J$1413,AD$1)</f>
        <v>0</v>
      </c>
      <c r="AE197" s="80">
        <f>SUMIFS('февраль 2024'!$G$6:$G$1413,'февраль 2024'!$D$6:$D$1413,$B197,'февраль 2024'!$J$6:$J$1413,AE$1)</f>
        <v>0</v>
      </c>
      <c r="AF197" s="80">
        <f>SUMIFS('февраль 2024'!$G$6:$G$1413,'февраль 2024'!$D$6:$D$1413,$B197,'февраль 2024'!$J$6:$J$1413,AF$1)</f>
        <v>0</v>
      </c>
      <c r="AG197" s="80">
        <f>SUMIFS('февраль 2024'!$G$6:$G$1413,'февраль 2024'!$D$6:$D$1413,$B197,'февраль 2024'!$J$6:$J$1413,AG$1)</f>
        <v>0</v>
      </c>
      <c r="AH197" s="80">
        <f>SUMIFS('февраль 2024'!$G$6:$G$1413,'февраль 2024'!$D$6:$D$1413,$B197,'февраль 2024'!$J$6:$J$1413,AH$1)</f>
        <v>0</v>
      </c>
      <c r="AI197" s="87"/>
    </row>
    <row r="198" spans="2:35" ht="15" hidden="1" customHeight="1" x14ac:dyDescent="0.25">
      <c r="B198" s="89"/>
      <c r="C198" s="88"/>
      <c r="D198" s="80">
        <f>SUMIFS('февраль 2024'!$G$6:$G$1413,'февраль 2024'!$D$6:$D$1413,$B198,'февраль 2024'!$J$6:$J$1413,D$1)</f>
        <v>0</v>
      </c>
      <c r="E198" s="80">
        <f>SUMIFS('февраль 2024'!$G$6:$G$1413,'февраль 2024'!$D$6:$D$1413,$B198,'февраль 2024'!$J$6:$J$1413,E$1)</f>
        <v>0</v>
      </c>
      <c r="F198" s="80">
        <f>SUMIFS('февраль 2024'!$G$6:$G$1413,'февраль 2024'!$D$6:$D$1413,$B198,'февраль 2024'!$J$6:$J$1413,F$1)</f>
        <v>0</v>
      </c>
      <c r="G198" s="80">
        <f>SUMIFS('февраль 2024'!$G$6:$G$1413,'февраль 2024'!$D$6:$D$1413,$B198,'февраль 2024'!$J$6:$J$1413,G$1)</f>
        <v>0</v>
      </c>
      <c r="H198" s="80">
        <f>SUMIFS('февраль 2024'!$G$6:$G$1413,'февраль 2024'!$D$6:$D$1413,$B198,'февраль 2024'!$J$6:$J$1413,H$1)</f>
        <v>0</v>
      </c>
      <c r="I198" s="80">
        <f>SUMIFS('февраль 2024'!$G$6:$G$1413,'февраль 2024'!$D$6:$D$1413,$B198,'февраль 2024'!$J$6:$J$1413,I$1)</f>
        <v>0</v>
      </c>
      <c r="J198" s="80">
        <f>SUMIFS('февраль 2024'!$G$6:$G$1413,'февраль 2024'!$D$6:$D$1413,$B198,'февраль 2024'!$J$6:$J$1413,J$1)</f>
        <v>0</v>
      </c>
      <c r="K198" s="80">
        <f>SUMIFS('февраль 2024'!$G$6:$G$1413,'февраль 2024'!$D$6:$D$1413,$B198,'февраль 2024'!$J$6:$J$1413,K$1)</f>
        <v>0</v>
      </c>
      <c r="L198" s="80">
        <f>SUMIFS('февраль 2024'!$G$6:$G$1413,'февраль 2024'!$D$6:$D$1413,$B198,'февраль 2024'!$J$6:$J$1413,L$1)</f>
        <v>0</v>
      </c>
      <c r="M198" s="80">
        <f>SUMIFS('февраль 2024'!$G$6:$G$1413,'февраль 2024'!$D$6:$D$1413,$B198,'февраль 2024'!$J$6:$J$1413,M$1)</f>
        <v>0</v>
      </c>
      <c r="N198" s="80">
        <f>SUMIFS('февраль 2024'!$G$6:$G$1413,'февраль 2024'!$D$6:$D$1413,$B198,'февраль 2024'!$J$6:$J$1413,N$1)</f>
        <v>0</v>
      </c>
      <c r="O198" s="80">
        <f>SUMIFS('февраль 2024'!$G$6:$G$1413,'февраль 2024'!$D$6:$D$1413,$B198,'февраль 2024'!$J$6:$J$1413,O$1)</f>
        <v>0</v>
      </c>
      <c r="P198" s="80">
        <f>SUMIFS('февраль 2024'!$G$6:$G$1413,'февраль 2024'!$D$6:$D$1413,$B198,'февраль 2024'!$J$6:$J$1413,P$1)</f>
        <v>0</v>
      </c>
      <c r="Q198" s="80">
        <f>SUMIFS('февраль 2024'!$G$6:$G$1413,'февраль 2024'!$D$6:$D$1413,$B198,'февраль 2024'!$J$6:$J$1413,Q$1)</f>
        <v>0</v>
      </c>
      <c r="R198" s="80">
        <f>SUMIFS('февраль 2024'!$G$6:$G$1413,'февраль 2024'!$D$6:$D$1413,$B198,'февраль 2024'!$J$6:$J$1413,R$1)</f>
        <v>0</v>
      </c>
      <c r="S198" s="80">
        <f>SUMIFS('февраль 2024'!$G$6:$G$1413,'февраль 2024'!$D$6:$D$1413,$B198,'февраль 2024'!$J$6:$J$1413,S$1)</f>
        <v>0</v>
      </c>
      <c r="T198" s="80">
        <f>SUMIFS('февраль 2024'!$G$6:$G$1413,'февраль 2024'!$D$6:$D$1413,$B198,'февраль 2024'!$J$6:$J$1413,T$1)</f>
        <v>0</v>
      </c>
      <c r="U198" s="80">
        <f>SUMIFS('февраль 2024'!$G$6:$G$1413,'февраль 2024'!$D$6:$D$1413,$B198,'февраль 2024'!$J$6:$J$1413,U$1)</f>
        <v>0</v>
      </c>
      <c r="V198" s="80">
        <f>SUMIFS('февраль 2024'!$G$6:$G$1413,'февраль 2024'!$D$6:$D$1413,$B198,'февраль 2024'!$J$6:$J$1413,V$1)</f>
        <v>0</v>
      </c>
      <c r="W198" s="80">
        <f>SUMIFS('февраль 2024'!$G$6:$G$1413,'февраль 2024'!$D$6:$D$1413,$B198,'февраль 2024'!$J$6:$J$1413,W$1)</f>
        <v>0</v>
      </c>
      <c r="X198" s="80">
        <f>SUMIFS('февраль 2024'!$G$6:$G$1413,'февраль 2024'!$D$6:$D$1413,$B198,'февраль 2024'!$J$6:$J$1413,X$1)</f>
        <v>0</v>
      </c>
      <c r="Y198" s="80">
        <f>SUMIFS('февраль 2024'!$G$6:$G$1413,'февраль 2024'!$D$6:$D$1413,$B198,'февраль 2024'!$J$6:$J$1413,Y$1)</f>
        <v>0</v>
      </c>
      <c r="Z198" s="80">
        <f>SUMIFS('февраль 2024'!$G$6:$G$1413,'февраль 2024'!$D$6:$D$1413,$B198,'февраль 2024'!$J$6:$J$1413,Z$1)</f>
        <v>0</v>
      </c>
      <c r="AA198" s="80">
        <f>SUMIFS('февраль 2024'!$G$6:$G$1413,'февраль 2024'!$D$6:$D$1413,$B198,'февраль 2024'!$J$6:$J$1413,AA$1)</f>
        <v>0</v>
      </c>
      <c r="AB198" s="80">
        <f>SUMIFS('февраль 2024'!$G$6:$G$1413,'февраль 2024'!$D$6:$D$1413,$B198,'февраль 2024'!$J$6:$J$1413,AB$1)</f>
        <v>0</v>
      </c>
      <c r="AC198" s="80">
        <f>SUMIFS('февраль 2024'!$G$6:$G$1413,'февраль 2024'!$D$6:$D$1413,$B198,'февраль 2024'!$J$6:$J$1413,AC$1)</f>
        <v>0</v>
      </c>
      <c r="AD198" s="80">
        <f>SUMIFS('февраль 2024'!$G$6:$G$1413,'февраль 2024'!$D$6:$D$1413,$B198,'февраль 2024'!$J$6:$J$1413,AD$1)</f>
        <v>0</v>
      </c>
      <c r="AE198" s="80">
        <f>SUMIFS('февраль 2024'!$G$6:$G$1413,'февраль 2024'!$D$6:$D$1413,$B198,'февраль 2024'!$J$6:$J$1413,AE$1)</f>
        <v>0</v>
      </c>
      <c r="AF198" s="80">
        <f>SUMIFS('февраль 2024'!$G$6:$G$1413,'февраль 2024'!$D$6:$D$1413,$B198,'февраль 2024'!$J$6:$J$1413,AF$1)</f>
        <v>0</v>
      </c>
      <c r="AG198" s="80">
        <f>SUMIFS('февраль 2024'!$G$6:$G$1413,'февраль 2024'!$D$6:$D$1413,$B198,'февраль 2024'!$J$6:$J$1413,AG$1)</f>
        <v>0</v>
      </c>
      <c r="AH198" s="80">
        <f>SUMIFS('февраль 2024'!$G$6:$G$1413,'февраль 2024'!$D$6:$D$1413,$B198,'февраль 2024'!$J$6:$J$1413,AH$1)</f>
        <v>0</v>
      </c>
      <c r="AI198" s="87"/>
    </row>
    <row r="199" spans="2:35" ht="15" hidden="1" customHeight="1" x14ac:dyDescent="0.25">
      <c r="B199" s="89"/>
      <c r="C199" s="88"/>
      <c r="D199" s="80">
        <f>SUMIFS('февраль 2024'!$G$6:$G$1413,'февраль 2024'!$D$6:$D$1413,$B199,'февраль 2024'!$J$6:$J$1413,D$1)</f>
        <v>0</v>
      </c>
      <c r="E199" s="80">
        <f>SUMIFS('февраль 2024'!$G$6:$G$1413,'февраль 2024'!$D$6:$D$1413,$B199,'февраль 2024'!$J$6:$J$1413,E$1)</f>
        <v>0</v>
      </c>
      <c r="F199" s="80">
        <f>SUMIFS('февраль 2024'!$G$6:$G$1413,'февраль 2024'!$D$6:$D$1413,$B199,'февраль 2024'!$J$6:$J$1413,F$1)</f>
        <v>0</v>
      </c>
      <c r="G199" s="80">
        <f>SUMIFS('февраль 2024'!$G$6:$G$1413,'февраль 2024'!$D$6:$D$1413,$B199,'февраль 2024'!$J$6:$J$1413,G$1)</f>
        <v>0</v>
      </c>
      <c r="H199" s="80">
        <f>SUMIFS('февраль 2024'!$G$6:$G$1413,'февраль 2024'!$D$6:$D$1413,$B199,'февраль 2024'!$J$6:$J$1413,H$1)</f>
        <v>0</v>
      </c>
      <c r="I199" s="80">
        <f>SUMIFS('февраль 2024'!$G$6:$G$1413,'февраль 2024'!$D$6:$D$1413,$B199,'февраль 2024'!$J$6:$J$1413,I$1)</f>
        <v>0</v>
      </c>
      <c r="J199" s="80">
        <f>SUMIFS('февраль 2024'!$G$6:$G$1413,'февраль 2024'!$D$6:$D$1413,$B199,'февраль 2024'!$J$6:$J$1413,J$1)</f>
        <v>0</v>
      </c>
      <c r="K199" s="80">
        <f>SUMIFS('февраль 2024'!$G$6:$G$1413,'февраль 2024'!$D$6:$D$1413,$B199,'февраль 2024'!$J$6:$J$1413,K$1)</f>
        <v>0</v>
      </c>
      <c r="L199" s="80">
        <f>SUMIFS('февраль 2024'!$G$6:$G$1413,'февраль 2024'!$D$6:$D$1413,$B199,'февраль 2024'!$J$6:$J$1413,L$1)</f>
        <v>0</v>
      </c>
      <c r="M199" s="80">
        <f>SUMIFS('февраль 2024'!$G$6:$G$1413,'февраль 2024'!$D$6:$D$1413,$B199,'февраль 2024'!$J$6:$J$1413,M$1)</f>
        <v>0</v>
      </c>
      <c r="N199" s="80">
        <f>SUMIFS('февраль 2024'!$G$6:$G$1413,'февраль 2024'!$D$6:$D$1413,$B199,'февраль 2024'!$J$6:$J$1413,N$1)</f>
        <v>0</v>
      </c>
      <c r="O199" s="80">
        <f>SUMIFS('февраль 2024'!$G$6:$G$1413,'февраль 2024'!$D$6:$D$1413,$B199,'февраль 2024'!$J$6:$J$1413,O$1)</f>
        <v>0</v>
      </c>
      <c r="P199" s="80">
        <f>SUMIFS('февраль 2024'!$G$6:$G$1413,'февраль 2024'!$D$6:$D$1413,$B199,'февраль 2024'!$J$6:$J$1413,P$1)</f>
        <v>0</v>
      </c>
      <c r="Q199" s="80">
        <f>SUMIFS('февраль 2024'!$G$6:$G$1413,'февраль 2024'!$D$6:$D$1413,$B199,'февраль 2024'!$J$6:$J$1413,Q$1)</f>
        <v>0</v>
      </c>
      <c r="R199" s="80">
        <f>SUMIFS('февраль 2024'!$G$6:$G$1413,'февраль 2024'!$D$6:$D$1413,$B199,'февраль 2024'!$J$6:$J$1413,R$1)</f>
        <v>0</v>
      </c>
      <c r="S199" s="80">
        <f>SUMIFS('февраль 2024'!$G$6:$G$1413,'февраль 2024'!$D$6:$D$1413,$B199,'февраль 2024'!$J$6:$J$1413,S$1)</f>
        <v>0</v>
      </c>
      <c r="T199" s="80">
        <f>SUMIFS('февраль 2024'!$G$6:$G$1413,'февраль 2024'!$D$6:$D$1413,$B199,'февраль 2024'!$J$6:$J$1413,T$1)</f>
        <v>0</v>
      </c>
      <c r="U199" s="80">
        <f>SUMIFS('февраль 2024'!$G$6:$G$1413,'февраль 2024'!$D$6:$D$1413,$B199,'февраль 2024'!$J$6:$J$1413,U$1)</f>
        <v>0</v>
      </c>
      <c r="V199" s="80">
        <f>SUMIFS('февраль 2024'!$G$6:$G$1413,'февраль 2024'!$D$6:$D$1413,$B199,'февраль 2024'!$J$6:$J$1413,V$1)</f>
        <v>0</v>
      </c>
      <c r="W199" s="80">
        <f>SUMIFS('февраль 2024'!$G$6:$G$1413,'февраль 2024'!$D$6:$D$1413,$B199,'февраль 2024'!$J$6:$J$1413,W$1)</f>
        <v>0</v>
      </c>
      <c r="X199" s="80">
        <f>SUMIFS('февраль 2024'!$G$6:$G$1413,'февраль 2024'!$D$6:$D$1413,$B199,'февраль 2024'!$J$6:$J$1413,X$1)</f>
        <v>0</v>
      </c>
      <c r="Y199" s="80">
        <f>SUMIFS('февраль 2024'!$G$6:$G$1413,'февраль 2024'!$D$6:$D$1413,$B199,'февраль 2024'!$J$6:$J$1413,Y$1)</f>
        <v>0</v>
      </c>
      <c r="Z199" s="80">
        <f>SUMIFS('февраль 2024'!$G$6:$G$1413,'февраль 2024'!$D$6:$D$1413,$B199,'февраль 2024'!$J$6:$J$1413,Z$1)</f>
        <v>0</v>
      </c>
      <c r="AA199" s="80">
        <f>SUMIFS('февраль 2024'!$G$6:$G$1413,'февраль 2024'!$D$6:$D$1413,$B199,'февраль 2024'!$J$6:$J$1413,AA$1)</f>
        <v>0</v>
      </c>
      <c r="AB199" s="80">
        <f>SUMIFS('февраль 2024'!$G$6:$G$1413,'февраль 2024'!$D$6:$D$1413,$B199,'февраль 2024'!$J$6:$J$1413,AB$1)</f>
        <v>0</v>
      </c>
      <c r="AC199" s="80">
        <f>SUMIFS('февраль 2024'!$G$6:$G$1413,'февраль 2024'!$D$6:$D$1413,$B199,'февраль 2024'!$J$6:$J$1413,AC$1)</f>
        <v>0</v>
      </c>
      <c r="AD199" s="80">
        <f>SUMIFS('февраль 2024'!$G$6:$G$1413,'февраль 2024'!$D$6:$D$1413,$B199,'февраль 2024'!$J$6:$J$1413,AD$1)</f>
        <v>0</v>
      </c>
      <c r="AE199" s="80">
        <f>SUMIFS('февраль 2024'!$G$6:$G$1413,'февраль 2024'!$D$6:$D$1413,$B199,'февраль 2024'!$J$6:$J$1413,AE$1)</f>
        <v>0</v>
      </c>
      <c r="AF199" s="80">
        <f>SUMIFS('февраль 2024'!$G$6:$G$1413,'февраль 2024'!$D$6:$D$1413,$B199,'февраль 2024'!$J$6:$J$1413,AF$1)</f>
        <v>0</v>
      </c>
      <c r="AG199" s="80">
        <f>SUMIFS('февраль 2024'!$G$6:$G$1413,'февраль 2024'!$D$6:$D$1413,$B199,'февраль 2024'!$J$6:$J$1413,AG$1)</f>
        <v>0</v>
      </c>
      <c r="AH199" s="80">
        <f>SUMIFS('февраль 2024'!$G$6:$G$1413,'февраль 2024'!$D$6:$D$1413,$B199,'февраль 2024'!$J$6:$J$1413,AH$1)</f>
        <v>0</v>
      </c>
      <c r="AI199" s="87"/>
    </row>
    <row r="200" spans="2:35" ht="15" hidden="1" customHeight="1" x14ac:dyDescent="0.25">
      <c r="B200" s="89"/>
      <c r="C200" s="88"/>
      <c r="D200" s="80">
        <f>SUMIFS('февраль 2024'!$G$6:$G$1413,'февраль 2024'!$D$6:$D$1413,$B200,'февраль 2024'!$J$6:$J$1413,D$1)</f>
        <v>0</v>
      </c>
      <c r="E200" s="80">
        <f>SUMIFS('февраль 2024'!$G$6:$G$1413,'февраль 2024'!$D$6:$D$1413,$B200,'февраль 2024'!$J$6:$J$1413,E$1)</f>
        <v>0</v>
      </c>
      <c r="F200" s="80">
        <f>SUMIFS('февраль 2024'!$G$6:$G$1413,'февраль 2024'!$D$6:$D$1413,$B200,'февраль 2024'!$J$6:$J$1413,F$1)</f>
        <v>0</v>
      </c>
      <c r="G200" s="80">
        <f>SUMIFS('февраль 2024'!$G$6:$G$1413,'февраль 2024'!$D$6:$D$1413,$B200,'февраль 2024'!$J$6:$J$1413,G$1)</f>
        <v>0</v>
      </c>
      <c r="H200" s="80">
        <f>SUMIFS('февраль 2024'!$G$6:$G$1413,'февраль 2024'!$D$6:$D$1413,$B200,'февраль 2024'!$J$6:$J$1413,H$1)</f>
        <v>0</v>
      </c>
      <c r="I200" s="80">
        <f>SUMIFS('февраль 2024'!$G$6:$G$1413,'февраль 2024'!$D$6:$D$1413,$B200,'февраль 2024'!$J$6:$J$1413,I$1)</f>
        <v>0</v>
      </c>
      <c r="J200" s="80">
        <f>SUMIFS('февраль 2024'!$G$6:$G$1413,'февраль 2024'!$D$6:$D$1413,$B200,'февраль 2024'!$J$6:$J$1413,J$1)</f>
        <v>0</v>
      </c>
      <c r="K200" s="80">
        <f>SUMIFS('февраль 2024'!$G$6:$G$1413,'февраль 2024'!$D$6:$D$1413,$B200,'февраль 2024'!$J$6:$J$1413,K$1)</f>
        <v>0</v>
      </c>
      <c r="L200" s="80">
        <f>SUMIFS('февраль 2024'!$G$6:$G$1413,'февраль 2024'!$D$6:$D$1413,$B200,'февраль 2024'!$J$6:$J$1413,L$1)</f>
        <v>0</v>
      </c>
      <c r="M200" s="80">
        <f>SUMIFS('февраль 2024'!$G$6:$G$1413,'февраль 2024'!$D$6:$D$1413,$B200,'февраль 2024'!$J$6:$J$1413,M$1)</f>
        <v>0</v>
      </c>
      <c r="N200" s="80">
        <f>SUMIFS('февраль 2024'!$G$6:$G$1413,'февраль 2024'!$D$6:$D$1413,$B200,'февраль 2024'!$J$6:$J$1413,N$1)</f>
        <v>0</v>
      </c>
      <c r="O200" s="80">
        <f>SUMIFS('февраль 2024'!$G$6:$G$1413,'февраль 2024'!$D$6:$D$1413,$B200,'февраль 2024'!$J$6:$J$1413,O$1)</f>
        <v>0</v>
      </c>
      <c r="P200" s="80">
        <f>SUMIFS('февраль 2024'!$G$6:$G$1413,'февраль 2024'!$D$6:$D$1413,$B200,'февраль 2024'!$J$6:$J$1413,P$1)</f>
        <v>0</v>
      </c>
      <c r="Q200" s="80">
        <f>SUMIFS('февраль 2024'!$G$6:$G$1413,'февраль 2024'!$D$6:$D$1413,$B200,'февраль 2024'!$J$6:$J$1413,Q$1)</f>
        <v>0</v>
      </c>
      <c r="R200" s="80">
        <f>SUMIFS('февраль 2024'!$G$6:$G$1413,'февраль 2024'!$D$6:$D$1413,$B200,'февраль 2024'!$J$6:$J$1413,R$1)</f>
        <v>0</v>
      </c>
      <c r="S200" s="80">
        <f>SUMIFS('февраль 2024'!$G$6:$G$1413,'февраль 2024'!$D$6:$D$1413,$B200,'февраль 2024'!$J$6:$J$1413,S$1)</f>
        <v>0</v>
      </c>
      <c r="T200" s="80">
        <f>SUMIFS('февраль 2024'!$G$6:$G$1413,'февраль 2024'!$D$6:$D$1413,$B200,'февраль 2024'!$J$6:$J$1413,T$1)</f>
        <v>0</v>
      </c>
      <c r="U200" s="80">
        <f>SUMIFS('февраль 2024'!$G$6:$G$1413,'февраль 2024'!$D$6:$D$1413,$B200,'февраль 2024'!$J$6:$J$1413,U$1)</f>
        <v>0</v>
      </c>
      <c r="V200" s="80">
        <f>SUMIFS('февраль 2024'!$G$6:$G$1413,'февраль 2024'!$D$6:$D$1413,$B200,'февраль 2024'!$J$6:$J$1413,V$1)</f>
        <v>0</v>
      </c>
      <c r="W200" s="80">
        <f>SUMIFS('февраль 2024'!$G$6:$G$1413,'февраль 2024'!$D$6:$D$1413,$B200,'февраль 2024'!$J$6:$J$1413,W$1)</f>
        <v>0</v>
      </c>
      <c r="X200" s="80">
        <f>SUMIFS('февраль 2024'!$G$6:$G$1413,'февраль 2024'!$D$6:$D$1413,$B200,'февраль 2024'!$J$6:$J$1413,X$1)</f>
        <v>0</v>
      </c>
      <c r="Y200" s="80">
        <f>SUMIFS('февраль 2024'!$G$6:$G$1413,'февраль 2024'!$D$6:$D$1413,$B200,'февраль 2024'!$J$6:$J$1413,Y$1)</f>
        <v>0</v>
      </c>
      <c r="Z200" s="80">
        <f>SUMIFS('февраль 2024'!$G$6:$G$1413,'февраль 2024'!$D$6:$D$1413,$B200,'февраль 2024'!$J$6:$J$1413,Z$1)</f>
        <v>0</v>
      </c>
      <c r="AA200" s="80">
        <f>SUMIFS('февраль 2024'!$G$6:$G$1413,'февраль 2024'!$D$6:$D$1413,$B200,'февраль 2024'!$J$6:$J$1413,AA$1)</f>
        <v>0</v>
      </c>
      <c r="AB200" s="80">
        <f>SUMIFS('февраль 2024'!$G$6:$G$1413,'февраль 2024'!$D$6:$D$1413,$B200,'февраль 2024'!$J$6:$J$1413,AB$1)</f>
        <v>0</v>
      </c>
      <c r="AC200" s="80">
        <f>SUMIFS('февраль 2024'!$G$6:$G$1413,'февраль 2024'!$D$6:$D$1413,$B200,'февраль 2024'!$J$6:$J$1413,AC$1)</f>
        <v>0</v>
      </c>
      <c r="AD200" s="80">
        <f>SUMIFS('февраль 2024'!$G$6:$G$1413,'февраль 2024'!$D$6:$D$1413,$B200,'февраль 2024'!$J$6:$J$1413,AD$1)</f>
        <v>0</v>
      </c>
      <c r="AE200" s="80">
        <f>SUMIFS('февраль 2024'!$G$6:$G$1413,'февраль 2024'!$D$6:$D$1413,$B200,'февраль 2024'!$J$6:$J$1413,AE$1)</f>
        <v>0</v>
      </c>
      <c r="AF200" s="80">
        <f>SUMIFS('февраль 2024'!$G$6:$G$1413,'февраль 2024'!$D$6:$D$1413,$B200,'февраль 2024'!$J$6:$J$1413,AF$1)</f>
        <v>0</v>
      </c>
      <c r="AG200" s="80">
        <f>SUMIFS('февраль 2024'!$G$6:$G$1413,'февраль 2024'!$D$6:$D$1413,$B200,'февраль 2024'!$J$6:$J$1413,AG$1)</f>
        <v>0</v>
      </c>
      <c r="AH200" s="80">
        <f>SUMIFS('февраль 2024'!$G$6:$G$1413,'февраль 2024'!$D$6:$D$1413,$B200,'февраль 2024'!$J$6:$J$1413,AH$1)</f>
        <v>0</v>
      </c>
      <c r="AI200" s="87"/>
    </row>
    <row r="201" spans="2:35" ht="15" hidden="1" customHeight="1" x14ac:dyDescent="0.25">
      <c r="B201" s="89"/>
      <c r="C201" s="88"/>
      <c r="D201" s="80">
        <f>SUMIFS('февраль 2024'!$G$6:$G$1413,'февраль 2024'!$D$6:$D$1413,$B201,'февраль 2024'!$J$6:$J$1413,D$1)</f>
        <v>0</v>
      </c>
      <c r="E201" s="80">
        <f>SUMIFS('февраль 2024'!$G$6:$G$1413,'февраль 2024'!$D$6:$D$1413,$B201,'февраль 2024'!$J$6:$J$1413,E$1)</f>
        <v>0</v>
      </c>
      <c r="F201" s="80">
        <f>SUMIFS('февраль 2024'!$G$6:$G$1413,'февраль 2024'!$D$6:$D$1413,$B201,'февраль 2024'!$J$6:$J$1413,F$1)</f>
        <v>0</v>
      </c>
      <c r="G201" s="80">
        <f>SUMIFS('февраль 2024'!$G$6:$G$1413,'февраль 2024'!$D$6:$D$1413,$B201,'февраль 2024'!$J$6:$J$1413,G$1)</f>
        <v>0</v>
      </c>
      <c r="H201" s="80">
        <f>SUMIFS('февраль 2024'!$G$6:$G$1413,'февраль 2024'!$D$6:$D$1413,$B201,'февраль 2024'!$J$6:$J$1413,H$1)</f>
        <v>0</v>
      </c>
      <c r="I201" s="80">
        <f>SUMIFS('февраль 2024'!$G$6:$G$1413,'февраль 2024'!$D$6:$D$1413,$B201,'февраль 2024'!$J$6:$J$1413,I$1)</f>
        <v>0</v>
      </c>
      <c r="J201" s="80">
        <f>SUMIFS('февраль 2024'!$G$6:$G$1413,'февраль 2024'!$D$6:$D$1413,$B201,'февраль 2024'!$J$6:$J$1413,J$1)</f>
        <v>0</v>
      </c>
      <c r="K201" s="80">
        <f>SUMIFS('февраль 2024'!$G$6:$G$1413,'февраль 2024'!$D$6:$D$1413,$B201,'февраль 2024'!$J$6:$J$1413,K$1)</f>
        <v>0</v>
      </c>
      <c r="L201" s="80">
        <f>SUMIFS('февраль 2024'!$G$6:$G$1413,'февраль 2024'!$D$6:$D$1413,$B201,'февраль 2024'!$J$6:$J$1413,L$1)</f>
        <v>0</v>
      </c>
      <c r="M201" s="80">
        <f>SUMIFS('февраль 2024'!$G$6:$G$1413,'февраль 2024'!$D$6:$D$1413,$B201,'февраль 2024'!$J$6:$J$1413,M$1)</f>
        <v>0</v>
      </c>
      <c r="N201" s="80">
        <f>SUMIFS('февраль 2024'!$G$6:$G$1413,'февраль 2024'!$D$6:$D$1413,$B201,'февраль 2024'!$J$6:$J$1413,N$1)</f>
        <v>0</v>
      </c>
      <c r="O201" s="80">
        <f>SUMIFS('февраль 2024'!$G$6:$G$1413,'февраль 2024'!$D$6:$D$1413,$B201,'февраль 2024'!$J$6:$J$1413,O$1)</f>
        <v>0</v>
      </c>
      <c r="P201" s="80">
        <f>SUMIFS('февраль 2024'!$G$6:$G$1413,'февраль 2024'!$D$6:$D$1413,$B201,'февраль 2024'!$J$6:$J$1413,P$1)</f>
        <v>0</v>
      </c>
      <c r="Q201" s="80">
        <f>SUMIFS('февраль 2024'!$G$6:$G$1413,'февраль 2024'!$D$6:$D$1413,$B201,'февраль 2024'!$J$6:$J$1413,Q$1)</f>
        <v>0</v>
      </c>
      <c r="R201" s="80">
        <f>SUMIFS('февраль 2024'!$G$6:$G$1413,'февраль 2024'!$D$6:$D$1413,$B201,'февраль 2024'!$J$6:$J$1413,R$1)</f>
        <v>0</v>
      </c>
      <c r="S201" s="80">
        <f>SUMIFS('февраль 2024'!$G$6:$G$1413,'февраль 2024'!$D$6:$D$1413,$B201,'февраль 2024'!$J$6:$J$1413,S$1)</f>
        <v>0</v>
      </c>
      <c r="T201" s="80">
        <f>SUMIFS('февраль 2024'!$G$6:$G$1413,'февраль 2024'!$D$6:$D$1413,$B201,'февраль 2024'!$J$6:$J$1413,T$1)</f>
        <v>0</v>
      </c>
      <c r="U201" s="80">
        <f>SUMIFS('февраль 2024'!$G$6:$G$1413,'февраль 2024'!$D$6:$D$1413,$B201,'февраль 2024'!$J$6:$J$1413,U$1)</f>
        <v>0</v>
      </c>
      <c r="V201" s="80">
        <f>SUMIFS('февраль 2024'!$G$6:$G$1413,'февраль 2024'!$D$6:$D$1413,$B201,'февраль 2024'!$J$6:$J$1413,V$1)</f>
        <v>0</v>
      </c>
      <c r="W201" s="80">
        <f>SUMIFS('февраль 2024'!$G$6:$G$1413,'февраль 2024'!$D$6:$D$1413,$B201,'февраль 2024'!$J$6:$J$1413,W$1)</f>
        <v>0</v>
      </c>
      <c r="X201" s="80">
        <f>SUMIFS('февраль 2024'!$G$6:$G$1413,'февраль 2024'!$D$6:$D$1413,$B201,'февраль 2024'!$J$6:$J$1413,X$1)</f>
        <v>0</v>
      </c>
      <c r="Y201" s="80">
        <f>SUMIFS('февраль 2024'!$G$6:$G$1413,'февраль 2024'!$D$6:$D$1413,$B201,'февраль 2024'!$J$6:$J$1413,Y$1)</f>
        <v>0</v>
      </c>
      <c r="Z201" s="80">
        <f>SUMIFS('февраль 2024'!$G$6:$G$1413,'февраль 2024'!$D$6:$D$1413,$B201,'февраль 2024'!$J$6:$J$1413,Z$1)</f>
        <v>0</v>
      </c>
      <c r="AA201" s="80">
        <f>SUMIFS('февраль 2024'!$G$6:$G$1413,'февраль 2024'!$D$6:$D$1413,$B201,'февраль 2024'!$J$6:$J$1413,AA$1)</f>
        <v>0</v>
      </c>
      <c r="AB201" s="80">
        <f>SUMIFS('февраль 2024'!$G$6:$G$1413,'февраль 2024'!$D$6:$D$1413,$B201,'февраль 2024'!$J$6:$J$1413,AB$1)</f>
        <v>0</v>
      </c>
      <c r="AC201" s="80">
        <f>SUMIFS('февраль 2024'!$G$6:$G$1413,'февраль 2024'!$D$6:$D$1413,$B201,'февраль 2024'!$J$6:$J$1413,AC$1)</f>
        <v>0</v>
      </c>
      <c r="AD201" s="80">
        <f>SUMIFS('февраль 2024'!$G$6:$G$1413,'февраль 2024'!$D$6:$D$1413,$B201,'февраль 2024'!$J$6:$J$1413,AD$1)</f>
        <v>0</v>
      </c>
      <c r="AE201" s="80">
        <f>SUMIFS('февраль 2024'!$G$6:$G$1413,'февраль 2024'!$D$6:$D$1413,$B201,'февраль 2024'!$J$6:$J$1413,AE$1)</f>
        <v>0</v>
      </c>
      <c r="AF201" s="80">
        <f>SUMIFS('февраль 2024'!$G$6:$G$1413,'февраль 2024'!$D$6:$D$1413,$B201,'февраль 2024'!$J$6:$J$1413,AF$1)</f>
        <v>0</v>
      </c>
      <c r="AG201" s="80">
        <f>SUMIFS('февраль 2024'!$G$6:$G$1413,'февраль 2024'!$D$6:$D$1413,$B201,'февраль 2024'!$J$6:$J$1413,AG$1)</f>
        <v>0</v>
      </c>
      <c r="AH201" s="80">
        <f>SUMIFS('февраль 2024'!$G$6:$G$1413,'февраль 2024'!$D$6:$D$1413,$B201,'февраль 2024'!$J$6:$J$1413,AH$1)</f>
        <v>0</v>
      </c>
      <c r="AI201" s="87"/>
    </row>
    <row r="202" spans="2:35" ht="15" hidden="1" customHeight="1" x14ac:dyDescent="0.25">
      <c r="B202" s="89"/>
      <c r="C202" s="88"/>
      <c r="D202" s="80">
        <f>SUMIFS('февраль 2024'!$G$6:$G$1413,'февраль 2024'!$D$6:$D$1413,$B202,'февраль 2024'!$J$6:$J$1413,D$1)</f>
        <v>0</v>
      </c>
      <c r="E202" s="80">
        <f>SUMIFS('февраль 2024'!$G$6:$G$1413,'февраль 2024'!$D$6:$D$1413,$B202,'февраль 2024'!$J$6:$J$1413,E$1)</f>
        <v>0</v>
      </c>
      <c r="F202" s="80">
        <f>SUMIFS('февраль 2024'!$G$6:$G$1413,'февраль 2024'!$D$6:$D$1413,$B202,'февраль 2024'!$J$6:$J$1413,F$1)</f>
        <v>0</v>
      </c>
      <c r="G202" s="80">
        <f>SUMIFS('февраль 2024'!$G$6:$G$1413,'февраль 2024'!$D$6:$D$1413,$B202,'февраль 2024'!$J$6:$J$1413,G$1)</f>
        <v>0</v>
      </c>
      <c r="H202" s="80">
        <f>SUMIFS('февраль 2024'!$G$6:$G$1413,'февраль 2024'!$D$6:$D$1413,$B202,'февраль 2024'!$J$6:$J$1413,H$1)</f>
        <v>0</v>
      </c>
      <c r="I202" s="80">
        <f>SUMIFS('февраль 2024'!$G$6:$G$1413,'февраль 2024'!$D$6:$D$1413,$B202,'февраль 2024'!$J$6:$J$1413,I$1)</f>
        <v>0</v>
      </c>
      <c r="J202" s="80">
        <f>SUMIFS('февраль 2024'!$G$6:$G$1413,'февраль 2024'!$D$6:$D$1413,$B202,'февраль 2024'!$J$6:$J$1413,J$1)</f>
        <v>0</v>
      </c>
      <c r="K202" s="80">
        <f>SUMIFS('февраль 2024'!$G$6:$G$1413,'февраль 2024'!$D$6:$D$1413,$B202,'февраль 2024'!$J$6:$J$1413,K$1)</f>
        <v>0</v>
      </c>
      <c r="L202" s="80">
        <f>SUMIFS('февраль 2024'!$G$6:$G$1413,'февраль 2024'!$D$6:$D$1413,$B202,'февраль 2024'!$J$6:$J$1413,L$1)</f>
        <v>0</v>
      </c>
      <c r="M202" s="80">
        <f>SUMIFS('февраль 2024'!$G$6:$G$1413,'февраль 2024'!$D$6:$D$1413,$B202,'февраль 2024'!$J$6:$J$1413,M$1)</f>
        <v>0</v>
      </c>
      <c r="N202" s="80">
        <f>SUMIFS('февраль 2024'!$G$6:$G$1413,'февраль 2024'!$D$6:$D$1413,$B202,'февраль 2024'!$J$6:$J$1413,N$1)</f>
        <v>0</v>
      </c>
      <c r="O202" s="80">
        <f>SUMIFS('февраль 2024'!$G$6:$G$1413,'февраль 2024'!$D$6:$D$1413,$B202,'февраль 2024'!$J$6:$J$1413,O$1)</f>
        <v>0</v>
      </c>
      <c r="P202" s="80">
        <f>SUMIFS('февраль 2024'!$G$6:$G$1413,'февраль 2024'!$D$6:$D$1413,$B202,'февраль 2024'!$J$6:$J$1413,P$1)</f>
        <v>0</v>
      </c>
      <c r="Q202" s="80">
        <f>SUMIFS('февраль 2024'!$G$6:$G$1413,'февраль 2024'!$D$6:$D$1413,$B202,'февраль 2024'!$J$6:$J$1413,Q$1)</f>
        <v>0</v>
      </c>
      <c r="R202" s="80">
        <f>SUMIFS('февраль 2024'!$G$6:$G$1413,'февраль 2024'!$D$6:$D$1413,$B202,'февраль 2024'!$J$6:$J$1413,R$1)</f>
        <v>0</v>
      </c>
      <c r="S202" s="80">
        <f>SUMIFS('февраль 2024'!$G$6:$G$1413,'февраль 2024'!$D$6:$D$1413,$B202,'февраль 2024'!$J$6:$J$1413,S$1)</f>
        <v>0</v>
      </c>
      <c r="T202" s="80">
        <f>SUMIFS('февраль 2024'!$G$6:$G$1413,'февраль 2024'!$D$6:$D$1413,$B202,'февраль 2024'!$J$6:$J$1413,T$1)</f>
        <v>0</v>
      </c>
      <c r="U202" s="80">
        <f>SUMIFS('февраль 2024'!$G$6:$G$1413,'февраль 2024'!$D$6:$D$1413,$B202,'февраль 2024'!$J$6:$J$1413,U$1)</f>
        <v>0</v>
      </c>
      <c r="V202" s="80">
        <f>SUMIFS('февраль 2024'!$G$6:$G$1413,'февраль 2024'!$D$6:$D$1413,$B202,'февраль 2024'!$J$6:$J$1413,V$1)</f>
        <v>0</v>
      </c>
      <c r="W202" s="80">
        <f>SUMIFS('февраль 2024'!$G$6:$G$1413,'февраль 2024'!$D$6:$D$1413,$B202,'февраль 2024'!$J$6:$J$1413,W$1)</f>
        <v>0</v>
      </c>
      <c r="X202" s="80">
        <f>SUMIFS('февраль 2024'!$G$6:$G$1413,'февраль 2024'!$D$6:$D$1413,$B202,'февраль 2024'!$J$6:$J$1413,X$1)</f>
        <v>0</v>
      </c>
      <c r="Y202" s="80">
        <f>SUMIFS('февраль 2024'!$G$6:$G$1413,'февраль 2024'!$D$6:$D$1413,$B202,'февраль 2024'!$J$6:$J$1413,Y$1)</f>
        <v>0</v>
      </c>
      <c r="Z202" s="80">
        <f>SUMIFS('февраль 2024'!$G$6:$G$1413,'февраль 2024'!$D$6:$D$1413,$B202,'февраль 2024'!$J$6:$J$1413,Z$1)</f>
        <v>0</v>
      </c>
      <c r="AA202" s="80">
        <f>SUMIFS('февраль 2024'!$G$6:$G$1413,'февраль 2024'!$D$6:$D$1413,$B202,'февраль 2024'!$J$6:$J$1413,AA$1)</f>
        <v>0</v>
      </c>
      <c r="AB202" s="80">
        <f>SUMIFS('февраль 2024'!$G$6:$G$1413,'февраль 2024'!$D$6:$D$1413,$B202,'февраль 2024'!$J$6:$J$1413,AB$1)</f>
        <v>0</v>
      </c>
      <c r="AC202" s="80">
        <f>SUMIFS('февраль 2024'!$G$6:$G$1413,'февраль 2024'!$D$6:$D$1413,$B202,'февраль 2024'!$J$6:$J$1413,AC$1)</f>
        <v>0</v>
      </c>
      <c r="AD202" s="80">
        <f>SUMIFS('февраль 2024'!$G$6:$G$1413,'февраль 2024'!$D$6:$D$1413,$B202,'февраль 2024'!$J$6:$J$1413,AD$1)</f>
        <v>0</v>
      </c>
      <c r="AE202" s="80">
        <f>SUMIFS('февраль 2024'!$G$6:$G$1413,'февраль 2024'!$D$6:$D$1413,$B202,'февраль 2024'!$J$6:$J$1413,AE$1)</f>
        <v>0</v>
      </c>
      <c r="AF202" s="80">
        <f>SUMIFS('февраль 2024'!$G$6:$G$1413,'февраль 2024'!$D$6:$D$1413,$B202,'февраль 2024'!$J$6:$J$1413,AF$1)</f>
        <v>0</v>
      </c>
      <c r="AG202" s="80">
        <f>SUMIFS('февраль 2024'!$G$6:$G$1413,'февраль 2024'!$D$6:$D$1413,$B202,'февраль 2024'!$J$6:$J$1413,AG$1)</f>
        <v>0</v>
      </c>
      <c r="AH202" s="80">
        <f>SUMIFS('февраль 2024'!$G$6:$G$1413,'февраль 2024'!$D$6:$D$1413,$B202,'февраль 2024'!$J$6:$J$1413,AH$1)</f>
        <v>0</v>
      </c>
      <c r="AI202" s="87"/>
    </row>
    <row r="203" spans="2:35" ht="15" hidden="1" customHeight="1" x14ac:dyDescent="0.25">
      <c r="B203" s="89"/>
      <c r="C203" s="88"/>
      <c r="D203" s="80">
        <f>SUMIFS('февраль 2024'!$G$6:$G$1413,'февраль 2024'!$D$6:$D$1413,$B203,'февраль 2024'!$J$6:$J$1413,D$1)</f>
        <v>0</v>
      </c>
      <c r="E203" s="80">
        <f>SUMIFS('февраль 2024'!$G$6:$G$1413,'февраль 2024'!$D$6:$D$1413,$B203,'февраль 2024'!$J$6:$J$1413,E$1)</f>
        <v>0</v>
      </c>
      <c r="F203" s="80">
        <f>SUMIFS('февраль 2024'!$G$6:$G$1413,'февраль 2024'!$D$6:$D$1413,$B203,'февраль 2024'!$J$6:$J$1413,F$1)</f>
        <v>0</v>
      </c>
      <c r="G203" s="80">
        <f>SUMIFS('февраль 2024'!$G$6:$G$1413,'февраль 2024'!$D$6:$D$1413,$B203,'февраль 2024'!$J$6:$J$1413,G$1)</f>
        <v>0</v>
      </c>
      <c r="H203" s="80">
        <f>SUMIFS('февраль 2024'!$G$6:$G$1413,'февраль 2024'!$D$6:$D$1413,$B203,'февраль 2024'!$J$6:$J$1413,H$1)</f>
        <v>0</v>
      </c>
      <c r="I203" s="80">
        <f>SUMIFS('февраль 2024'!$G$6:$G$1413,'февраль 2024'!$D$6:$D$1413,$B203,'февраль 2024'!$J$6:$J$1413,I$1)</f>
        <v>0</v>
      </c>
      <c r="J203" s="80">
        <f>SUMIFS('февраль 2024'!$G$6:$G$1413,'февраль 2024'!$D$6:$D$1413,$B203,'февраль 2024'!$J$6:$J$1413,J$1)</f>
        <v>0</v>
      </c>
      <c r="K203" s="80">
        <f>SUMIFS('февраль 2024'!$G$6:$G$1413,'февраль 2024'!$D$6:$D$1413,$B203,'февраль 2024'!$J$6:$J$1413,K$1)</f>
        <v>0</v>
      </c>
      <c r="L203" s="80">
        <f>SUMIFS('февраль 2024'!$G$6:$G$1413,'февраль 2024'!$D$6:$D$1413,$B203,'февраль 2024'!$J$6:$J$1413,L$1)</f>
        <v>0</v>
      </c>
      <c r="M203" s="80">
        <f>SUMIFS('февраль 2024'!$G$6:$G$1413,'февраль 2024'!$D$6:$D$1413,$B203,'февраль 2024'!$J$6:$J$1413,M$1)</f>
        <v>0</v>
      </c>
      <c r="N203" s="80">
        <f>SUMIFS('февраль 2024'!$G$6:$G$1413,'февраль 2024'!$D$6:$D$1413,$B203,'февраль 2024'!$J$6:$J$1413,N$1)</f>
        <v>0</v>
      </c>
      <c r="O203" s="80">
        <f>SUMIFS('февраль 2024'!$G$6:$G$1413,'февраль 2024'!$D$6:$D$1413,$B203,'февраль 2024'!$J$6:$J$1413,O$1)</f>
        <v>0</v>
      </c>
      <c r="P203" s="80">
        <f>SUMIFS('февраль 2024'!$G$6:$G$1413,'февраль 2024'!$D$6:$D$1413,$B203,'февраль 2024'!$J$6:$J$1413,P$1)</f>
        <v>0</v>
      </c>
      <c r="Q203" s="80">
        <f>SUMIFS('февраль 2024'!$G$6:$G$1413,'февраль 2024'!$D$6:$D$1413,$B203,'февраль 2024'!$J$6:$J$1413,Q$1)</f>
        <v>0</v>
      </c>
      <c r="R203" s="80">
        <f>SUMIFS('февраль 2024'!$G$6:$G$1413,'февраль 2024'!$D$6:$D$1413,$B203,'февраль 2024'!$J$6:$J$1413,R$1)</f>
        <v>0</v>
      </c>
      <c r="S203" s="80">
        <f>SUMIFS('февраль 2024'!$G$6:$G$1413,'февраль 2024'!$D$6:$D$1413,$B203,'февраль 2024'!$J$6:$J$1413,S$1)</f>
        <v>0</v>
      </c>
      <c r="T203" s="80">
        <f>SUMIFS('февраль 2024'!$G$6:$G$1413,'февраль 2024'!$D$6:$D$1413,$B203,'февраль 2024'!$J$6:$J$1413,T$1)</f>
        <v>0</v>
      </c>
      <c r="U203" s="80">
        <f>SUMIFS('февраль 2024'!$G$6:$G$1413,'февраль 2024'!$D$6:$D$1413,$B203,'февраль 2024'!$J$6:$J$1413,U$1)</f>
        <v>0</v>
      </c>
      <c r="V203" s="80">
        <f>SUMIFS('февраль 2024'!$G$6:$G$1413,'февраль 2024'!$D$6:$D$1413,$B203,'февраль 2024'!$J$6:$J$1413,V$1)</f>
        <v>0</v>
      </c>
      <c r="W203" s="80">
        <f>SUMIFS('февраль 2024'!$G$6:$G$1413,'февраль 2024'!$D$6:$D$1413,$B203,'февраль 2024'!$J$6:$J$1413,W$1)</f>
        <v>0</v>
      </c>
      <c r="X203" s="80">
        <f>SUMIFS('февраль 2024'!$G$6:$G$1413,'февраль 2024'!$D$6:$D$1413,$B203,'февраль 2024'!$J$6:$J$1413,X$1)</f>
        <v>0</v>
      </c>
      <c r="Y203" s="80">
        <f>SUMIFS('февраль 2024'!$G$6:$G$1413,'февраль 2024'!$D$6:$D$1413,$B203,'февраль 2024'!$J$6:$J$1413,Y$1)</f>
        <v>0</v>
      </c>
      <c r="Z203" s="80">
        <f>SUMIFS('февраль 2024'!$G$6:$G$1413,'февраль 2024'!$D$6:$D$1413,$B203,'февраль 2024'!$J$6:$J$1413,Z$1)</f>
        <v>0</v>
      </c>
      <c r="AA203" s="80">
        <f>SUMIFS('февраль 2024'!$G$6:$G$1413,'февраль 2024'!$D$6:$D$1413,$B203,'февраль 2024'!$J$6:$J$1413,AA$1)</f>
        <v>0</v>
      </c>
      <c r="AB203" s="80">
        <f>SUMIFS('февраль 2024'!$G$6:$G$1413,'февраль 2024'!$D$6:$D$1413,$B203,'февраль 2024'!$J$6:$J$1413,AB$1)</f>
        <v>0</v>
      </c>
      <c r="AC203" s="80">
        <f>SUMIFS('февраль 2024'!$G$6:$G$1413,'февраль 2024'!$D$6:$D$1413,$B203,'февраль 2024'!$J$6:$J$1413,AC$1)</f>
        <v>0</v>
      </c>
      <c r="AD203" s="80">
        <f>SUMIFS('февраль 2024'!$G$6:$G$1413,'февраль 2024'!$D$6:$D$1413,$B203,'февраль 2024'!$J$6:$J$1413,AD$1)</f>
        <v>0</v>
      </c>
      <c r="AE203" s="80">
        <f>SUMIFS('февраль 2024'!$G$6:$G$1413,'февраль 2024'!$D$6:$D$1413,$B203,'февраль 2024'!$J$6:$J$1413,AE$1)</f>
        <v>0</v>
      </c>
      <c r="AF203" s="80">
        <f>SUMIFS('февраль 2024'!$G$6:$G$1413,'февраль 2024'!$D$6:$D$1413,$B203,'февраль 2024'!$J$6:$J$1413,AF$1)</f>
        <v>0</v>
      </c>
      <c r="AG203" s="80">
        <f>SUMIFS('февраль 2024'!$G$6:$G$1413,'февраль 2024'!$D$6:$D$1413,$B203,'февраль 2024'!$J$6:$J$1413,AG$1)</f>
        <v>0</v>
      </c>
      <c r="AH203" s="80">
        <f>SUMIFS('февраль 2024'!$G$6:$G$1413,'февраль 2024'!$D$6:$D$1413,$B203,'февраль 2024'!$J$6:$J$1413,AH$1)</f>
        <v>0</v>
      </c>
      <c r="AI203" s="87"/>
    </row>
    <row r="204" spans="2:35" ht="15" hidden="1" customHeight="1" x14ac:dyDescent="0.25">
      <c r="B204" s="89"/>
      <c r="C204" s="88"/>
      <c r="D204" s="80">
        <f>SUMIFS('февраль 2024'!$G$6:$G$1413,'февраль 2024'!$D$6:$D$1413,$B204,'февраль 2024'!$J$6:$J$1413,D$1)</f>
        <v>0</v>
      </c>
      <c r="E204" s="80">
        <f>SUMIFS('февраль 2024'!$G$6:$G$1413,'февраль 2024'!$D$6:$D$1413,$B204,'февраль 2024'!$J$6:$J$1413,E$1)</f>
        <v>0</v>
      </c>
      <c r="F204" s="80">
        <f>SUMIFS('февраль 2024'!$G$6:$G$1413,'февраль 2024'!$D$6:$D$1413,$B204,'февраль 2024'!$J$6:$J$1413,F$1)</f>
        <v>0</v>
      </c>
      <c r="G204" s="80">
        <f>SUMIFS('февраль 2024'!$G$6:$G$1413,'февраль 2024'!$D$6:$D$1413,$B204,'февраль 2024'!$J$6:$J$1413,G$1)</f>
        <v>0</v>
      </c>
      <c r="H204" s="80">
        <f>SUMIFS('февраль 2024'!$G$6:$G$1413,'февраль 2024'!$D$6:$D$1413,$B204,'февраль 2024'!$J$6:$J$1413,H$1)</f>
        <v>0</v>
      </c>
      <c r="I204" s="80">
        <f>SUMIFS('февраль 2024'!$G$6:$G$1413,'февраль 2024'!$D$6:$D$1413,$B204,'февраль 2024'!$J$6:$J$1413,I$1)</f>
        <v>0</v>
      </c>
      <c r="J204" s="80">
        <f>SUMIFS('февраль 2024'!$G$6:$G$1413,'февраль 2024'!$D$6:$D$1413,$B204,'февраль 2024'!$J$6:$J$1413,J$1)</f>
        <v>0</v>
      </c>
      <c r="K204" s="80">
        <f>SUMIFS('февраль 2024'!$G$6:$G$1413,'февраль 2024'!$D$6:$D$1413,$B204,'февраль 2024'!$J$6:$J$1413,K$1)</f>
        <v>0</v>
      </c>
      <c r="L204" s="80">
        <f>SUMIFS('февраль 2024'!$G$6:$G$1413,'февраль 2024'!$D$6:$D$1413,$B204,'февраль 2024'!$J$6:$J$1413,L$1)</f>
        <v>0</v>
      </c>
      <c r="M204" s="80">
        <f>SUMIFS('февраль 2024'!$G$6:$G$1413,'февраль 2024'!$D$6:$D$1413,$B204,'февраль 2024'!$J$6:$J$1413,M$1)</f>
        <v>0</v>
      </c>
      <c r="N204" s="80">
        <f>SUMIFS('февраль 2024'!$G$6:$G$1413,'февраль 2024'!$D$6:$D$1413,$B204,'февраль 2024'!$J$6:$J$1413,N$1)</f>
        <v>0</v>
      </c>
      <c r="O204" s="80">
        <f>SUMIFS('февраль 2024'!$G$6:$G$1413,'февраль 2024'!$D$6:$D$1413,$B204,'февраль 2024'!$J$6:$J$1413,O$1)</f>
        <v>0</v>
      </c>
      <c r="P204" s="80">
        <f>SUMIFS('февраль 2024'!$G$6:$G$1413,'февраль 2024'!$D$6:$D$1413,$B204,'февраль 2024'!$J$6:$J$1413,P$1)</f>
        <v>0</v>
      </c>
      <c r="Q204" s="80">
        <f>SUMIFS('февраль 2024'!$G$6:$G$1413,'февраль 2024'!$D$6:$D$1413,$B204,'февраль 2024'!$J$6:$J$1413,Q$1)</f>
        <v>0</v>
      </c>
      <c r="R204" s="80">
        <f>SUMIFS('февраль 2024'!$G$6:$G$1413,'февраль 2024'!$D$6:$D$1413,$B204,'февраль 2024'!$J$6:$J$1413,R$1)</f>
        <v>0</v>
      </c>
      <c r="S204" s="80">
        <f>SUMIFS('февраль 2024'!$G$6:$G$1413,'февраль 2024'!$D$6:$D$1413,$B204,'февраль 2024'!$J$6:$J$1413,S$1)</f>
        <v>0</v>
      </c>
      <c r="T204" s="80">
        <f>SUMIFS('февраль 2024'!$G$6:$G$1413,'февраль 2024'!$D$6:$D$1413,$B204,'февраль 2024'!$J$6:$J$1413,T$1)</f>
        <v>0</v>
      </c>
      <c r="U204" s="80">
        <f>SUMIFS('февраль 2024'!$G$6:$G$1413,'февраль 2024'!$D$6:$D$1413,$B204,'февраль 2024'!$J$6:$J$1413,U$1)</f>
        <v>0</v>
      </c>
      <c r="V204" s="80">
        <f>SUMIFS('февраль 2024'!$G$6:$G$1413,'февраль 2024'!$D$6:$D$1413,$B204,'февраль 2024'!$J$6:$J$1413,V$1)</f>
        <v>0</v>
      </c>
      <c r="W204" s="80">
        <f>SUMIFS('февраль 2024'!$G$6:$G$1413,'февраль 2024'!$D$6:$D$1413,$B204,'февраль 2024'!$J$6:$J$1413,W$1)</f>
        <v>0</v>
      </c>
      <c r="X204" s="80">
        <f>SUMIFS('февраль 2024'!$G$6:$G$1413,'февраль 2024'!$D$6:$D$1413,$B204,'февраль 2024'!$J$6:$J$1413,X$1)</f>
        <v>0</v>
      </c>
      <c r="Y204" s="80">
        <f>SUMIFS('февраль 2024'!$G$6:$G$1413,'февраль 2024'!$D$6:$D$1413,$B204,'февраль 2024'!$J$6:$J$1413,Y$1)</f>
        <v>0</v>
      </c>
      <c r="Z204" s="80">
        <f>SUMIFS('февраль 2024'!$G$6:$G$1413,'февраль 2024'!$D$6:$D$1413,$B204,'февраль 2024'!$J$6:$J$1413,Z$1)</f>
        <v>0</v>
      </c>
      <c r="AA204" s="80">
        <f>SUMIFS('февраль 2024'!$G$6:$G$1413,'февраль 2024'!$D$6:$D$1413,$B204,'февраль 2024'!$J$6:$J$1413,AA$1)</f>
        <v>0</v>
      </c>
      <c r="AB204" s="80">
        <f>SUMIFS('февраль 2024'!$G$6:$G$1413,'февраль 2024'!$D$6:$D$1413,$B204,'февраль 2024'!$J$6:$J$1413,AB$1)</f>
        <v>0</v>
      </c>
      <c r="AC204" s="80">
        <f>SUMIFS('февраль 2024'!$G$6:$G$1413,'февраль 2024'!$D$6:$D$1413,$B204,'февраль 2024'!$J$6:$J$1413,AC$1)</f>
        <v>0</v>
      </c>
      <c r="AD204" s="80">
        <f>SUMIFS('февраль 2024'!$G$6:$G$1413,'февраль 2024'!$D$6:$D$1413,$B204,'февраль 2024'!$J$6:$J$1413,AD$1)</f>
        <v>0</v>
      </c>
      <c r="AE204" s="80">
        <f>SUMIFS('февраль 2024'!$G$6:$G$1413,'февраль 2024'!$D$6:$D$1413,$B204,'февраль 2024'!$J$6:$J$1413,AE$1)</f>
        <v>0</v>
      </c>
      <c r="AF204" s="80">
        <f>SUMIFS('февраль 2024'!$G$6:$G$1413,'февраль 2024'!$D$6:$D$1413,$B204,'февраль 2024'!$J$6:$J$1413,AF$1)</f>
        <v>0</v>
      </c>
      <c r="AG204" s="80">
        <f>SUMIFS('февраль 2024'!$G$6:$G$1413,'февраль 2024'!$D$6:$D$1413,$B204,'февраль 2024'!$J$6:$J$1413,AG$1)</f>
        <v>0</v>
      </c>
      <c r="AH204" s="80">
        <f>SUMIFS('февраль 2024'!$G$6:$G$1413,'февраль 2024'!$D$6:$D$1413,$B204,'февраль 2024'!$J$6:$J$1413,AH$1)</f>
        <v>0</v>
      </c>
      <c r="AI204" s="87"/>
    </row>
    <row r="205" spans="2:35" ht="15" hidden="1" customHeight="1" x14ac:dyDescent="0.25">
      <c r="B205" s="89"/>
      <c r="C205" s="88"/>
      <c r="D205" s="80">
        <f>SUMIFS('февраль 2024'!$G$6:$G$1413,'февраль 2024'!$D$6:$D$1413,$B205,'февраль 2024'!$J$6:$J$1413,D$1)</f>
        <v>0</v>
      </c>
      <c r="E205" s="80">
        <f>SUMIFS('февраль 2024'!$G$6:$G$1413,'февраль 2024'!$D$6:$D$1413,$B205,'февраль 2024'!$J$6:$J$1413,E$1)</f>
        <v>0</v>
      </c>
      <c r="F205" s="80">
        <f>SUMIFS('февраль 2024'!$G$6:$G$1413,'февраль 2024'!$D$6:$D$1413,$B205,'февраль 2024'!$J$6:$J$1413,F$1)</f>
        <v>0</v>
      </c>
      <c r="G205" s="80">
        <f>SUMIFS('февраль 2024'!$G$6:$G$1413,'февраль 2024'!$D$6:$D$1413,$B205,'февраль 2024'!$J$6:$J$1413,G$1)</f>
        <v>0</v>
      </c>
      <c r="H205" s="80">
        <f>SUMIFS('февраль 2024'!$G$6:$G$1413,'февраль 2024'!$D$6:$D$1413,$B205,'февраль 2024'!$J$6:$J$1413,H$1)</f>
        <v>0</v>
      </c>
      <c r="I205" s="80">
        <f>SUMIFS('февраль 2024'!$G$6:$G$1413,'февраль 2024'!$D$6:$D$1413,$B205,'февраль 2024'!$J$6:$J$1413,I$1)</f>
        <v>0</v>
      </c>
      <c r="J205" s="80">
        <f>SUMIFS('февраль 2024'!$G$6:$G$1413,'февраль 2024'!$D$6:$D$1413,$B205,'февраль 2024'!$J$6:$J$1413,J$1)</f>
        <v>0</v>
      </c>
      <c r="K205" s="80">
        <f>SUMIFS('февраль 2024'!$G$6:$G$1413,'февраль 2024'!$D$6:$D$1413,$B205,'февраль 2024'!$J$6:$J$1413,K$1)</f>
        <v>0</v>
      </c>
      <c r="L205" s="80">
        <f>SUMIFS('февраль 2024'!$G$6:$G$1413,'февраль 2024'!$D$6:$D$1413,$B205,'февраль 2024'!$J$6:$J$1413,L$1)</f>
        <v>0</v>
      </c>
      <c r="M205" s="80">
        <f>SUMIFS('февраль 2024'!$G$6:$G$1413,'февраль 2024'!$D$6:$D$1413,$B205,'февраль 2024'!$J$6:$J$1413,M$1)</f>
        <v>0</v>
      </c>
      <c r="N205" s="80">
        <f>SUMIFS('февраль 2024'!$G$6:$G$1413,'февраль 2024'!$D$6:$D$1413,$B205,'февраль 2024'!$J$6:$J$1413,N$1)</f>
        <v>0</v>
      </c>
      <c r="O205" s="80">
        <f>SUMIFS('февраль 2024'!$G$6:$G$1413,'февраль 2024'!$D$6:$D$1413,$B205,'февраль 2024'!$J$6:$J$1413,O$1)</f>
        <v>0</v>
      </c>
      <c r="P205" s="80">
        <f>SUMIFS('февраль 2024'!$G$6:$G$1413,'февраль 2024'!$D$6:$D$1413,$B205,'февраль 2024'!$J$6:$J$1413,P$1)</f>
        <v>0</v>
      </c>
      <c r="Q205" s="80">
        <f>SUMIFS('февраль 2024'!$G$6:$G$1413,'февраль 2024'!$D$6:$D$1413,$B205,'февраль 2024'!$J$6:$J$1413,Q$1)</f>
        <v>0</v>
      </c>
      <c r="R205" s="80">
        <f>SUMIFS('февраль 2024'!$G$6:$G$1413,'февраль 2024'!$D$6:$D$1413,$B205,'февраль 2024'!$J$6:$J$1413,R$1)</f>
        <v>0</v>
      </c>
      <c r="S205" s="80">
        <f>SUMIFS('февраль 2024'!$G$6:$G$1413,'февраль 2024'!$D$6:$D$1413,$B205,'февраль 2024'!$J$6:$J$1413,S$1)</f>
        <v>0</v>
      </c>
      <c r="T205" s="80">
        <f>SUMIFS('февраль 2024'!$G$6:$G$1413,'февраль 2024'!$D$6:$D$1413,$B205,'февраль 2024'!$J$6:$J$1413,T$1)</f>
        <v>0</v>
      </c>
      <c r="U205" s="80">
        <f>SUMIFS('февраль 2024'!$G$6:$G$1413,'февраль 2024'!$D$6:$D$1413,$B205,'февраль 2024'!$J$6:$J$1413,U$1)</f>
        <v>0</v>
      </c>
      <c r="V205" s="80">
        <f>SUMIFS('февраль 2024'!$G$6:$G$1413,'февраль 2024'!$D$6:$D$1413,$B205,'февраль 2024'!$J$6:$J$1413,V$1)</f>
        <v>0</v>
      </c>
      <c r="W205" s="80">
        <f>SUMIFS('февраль 2024'!$G$6:$G$1413,'февраль 2024'!$D$6:$D$1413,$B205,'февраль 2024'!$J$6:$J$1413,W$1)</f>
        <v>0</v>
      </c>
      <c r="X205" s="80">
        <f>SUMIFS('февраль 2024'!$G$6:$G$1413,'февраль 2024'!$D$6:$D$1413,$B205,'февраль 2024'!$J$6:$J$1413,X$1)</f>
        <v>0</v>
      </c>
      <c r="Y205" s="80">
        <f>SUMIFS('февраль 2024'!$G$6:$G$1413,'февраль 2024'!$D$6:$D$1413,$B205,'февраль 2024'!$J$6:$J$1413,Y$1)</f>
        <v>0</v>
      </c>
      <c r="Z205" s="80">
        <f>SUMIFS('февраль 2024'!$G$6:$G$1413,'февраль 2024'!$D$6:$D$1413,$B205,'февраль 2024'!$J$6:$J$1413,Z$1)</f>
        <v>0</v>
      </c>
      <c r="AA205" s="80">
        <f>SUMIFS('февраль 2024'!$G$6:$G$1413,'февраль 2024'!$D$6:$D$1413,$B205,'февраль 2024'!$J$6:$J$1413,AA$1)</f>
        <v>0</v>
      </c>
      <c r="AB205" s="80">
        <f>SUMIFS('февраль 2024'!$G$6:$G$1413,'февраль 2024'!$D$6:$D$1413,$B205,'февраль 2024'!$J$6:$J$1413,AB$1)</f>
        <v>0</v>
      </c>
      <c r="AC205" s="80">
        <f>SUMIFS('февраль 2024'!$G$6:$G$1413,'февраль 2024'!$D$6:$D$1413,$B205,'февраль 2024'!$J$6:$J$1413,AC$1)</f>
        <v>0</v>
      </c>
      <c r="AD205" s="80">
        <f>SUMIFS('февраль 2024'!$G$6:$G$1413,'февраль 2024'!$D$6:$D$1413,$B205,'февраль 2024'!$J$6:$J$1413,AD$1)</f>
        <v>0</v>
      </c>
      <c r="AE205" s="80">
        <f>SUMIFS('февраль 2024'!$G$6:$G$1413,'февраль 2024'!$D$6:$D$1413,$B205,'февраль 2024'!$J$6:$J$1413,AE$1)</f>
        <v>0</v>
      </c>
      <c r="AF205" s="80">
        <f>SUMIFS('февраль 2024'!$G$6:$G$1413,'февраль 2024'!$D$6:$D$1413,$B205,'февраль 2024'!$J$6:$J$1413,AF$1)</f>
        <v>0</v>
      </c>
      <c r="AG205" s="80">
        <f>SUMIFS('февраль 2024'!$G$6:$G$1413,'февраль 2024'!$D$6:$D$1413,$B205,'февраль 2024'!$J$6:$J$1413,AG$1)</f>
        <v>0</v>
      </c>
      <c r="AH205" s="80">
        <f>SUMIFS('февраль 2024'!$G$6:$G$1413,'февраль 2024'!$D$6:$D$1413,$B205,'февраль 2024'!$J$6:$J$1413,AH$1)</f>
        <v>0</v>
      </c>
      <c r="AI205" s="87"/>
    </row>
    <row r="206" spans="2:35" ht="15" hidden="1" customHeight="1" x14ac:dyDescent="0.25">
      <c r="B206" s="89"/>
      <c r="C206" s="88"/>
      <c r="D206" s="80">
        <f>SUMIFS('февраль 2024'!$G$6:$G$1413,'февраль 2024'!$D$6:$D$1413,$B206,'февраль 2024'!$J$6:$J$1413,D$1)</f>
        <v>0</v>
      </c>
      <c r="E206" s="80">
        <f>SUMIFS('февраль 2024'!$G$6:$G$1413,'февраль 2024'!$D$6:$D$1413,$B206,'февраль 2024'!$J$6:$J$1413,E$1)</f>
        <v>0</v>
      </c>
      <c r="F206" s="80">
        <f>SUMIFS('февраль 2024'!$G$6:$G$1413,'февраль 2024'!$D$6:$D$1413,$B206,'февраль 2024'!$J$6:$J$1413,F$1)</f>
        <v>0</v>
      </c>
      <c r="G206" s="80">
        <f>SUMIFS('февраль 2024'!$G$6:$G$1413,'февраль 2024'!$D$6:$D$1413,$B206,'февраль 2024'!$J$6:$J$1413,G$1)</f>
        <v>0</v>
      </c>
      <c r="H206" s="80">
        <f>SUMIFS('февраль 2024'!$G$6:$G$1413,'февраль 2024'!$D$6:$D$1413,$B206,'февраль 2024'!$J$6:$J$1413,H$1)</f>
        <v>0</v>
      </c>
      <c r="I206" s="80">
        <f>SUMIFS('февраль 2024'!$G$6:$G$1413,'февраль 2024'!$D$6:$D$1413,$B206,'февраль 2024'!$J$6:$J$1413,I$1)</f>
        <v>0</v>
      </c>
      <c r="J206" s="80">
        <f>SUMIFS('февраль 2024'!$G$6:$G$1413,'февраль 2024'!$D$6:$D$1413,$B206,'февраль 2024'!$J$6:$J$1413,J$1)</f>
        <v>0</v>
      </c>
      <c r="K206" s="80">
        <f>SUMIFS('февраль 2024'!$G$6:$G$1413,'февраль 2024'!$D$6:$D$1413,$B206,'февраль 2024'!$J$6:$J$1413,K$1)</f>
        <v>0</v>
      </c>
      <c r="L206" s="80">
        <f>SUMIFS('февраль 2024'!$G$6:$G$1413,'февраль 2024'!$D$6:$D$1413,$B206,'февраль 2024'!$J$6:$J$1413,L$1)</f>
        <v>0</v>
      </c>
      <c r="M206" s="80">
        <f>SUMIFS('февраль 2024'!$G$6:$G$1413,'февраль 2024'!$D$6:$D$1413,$B206,'февраль 2024'!$J$6:$J$1413,M$1)</f>
        <v>0</v>
      </c>
      <c r="N206" s="80">
        <f>SUMIFS('февраль 2024'!$G$6:$G$1413,'февраль 2024'!$D$6:$D$1413,$B206,'февраль 2024'!$J$6:$J$1413,N$1)</f>
        <v>0</v>
      </c>
      <c r="O206" s="80">
        <f>SUMIFS('февраль 2024'!$G$6:$G$1413,'февраль 2024'!$D$6:$D$1413,$B206,'февраль 2024'!$J$6:$J$1413,O$1)</f>
        <v>0</v>
      </c>
      <c r="P206" s="80">
        <f>SUMIFS('февраль 2024'!$G$6:$G$1413,'февраль 2024'!$D$6:$D$1413,$B206,'февраль 2024'!$J$6:$J$1413,P$1)</f>
        <v>0</v>
      </c>
      <c r="Q206" s="80">
        <f>SUMIFS('февраль 2024'!$G$6:$G$1413,'февраль 2024'!$D$6:$D$1413,$B206,'февраль 2024'!$J$6:$J$1413,Q$1)</f>
        <v>0</v>
      </c>
      <c r="R206" s="80">
        <f>SUMIFS('февраль 2024'!$G$6:$G$1413,'февраль 2024'!$D$6:$D$1413,$B206,'февраль 2024'!$J$6:$J$1413,R$1)</f>
        <v>0</v>
      </c>
      <c r="S206" s="80">
        <f>SUMIFS('февраль 2024'!$G$6:$G$1413,'февраль 2024'!$D$6:$D$1413,$B206,'февраль 2024'!$J$6:$J$1413,S$1)</f>
        <v>0</v>
      </c>
      <c r="T206" s="80">
        <f>SUMIFS('февраль 2024'!$G$6:$G$1413,'февраль 2024'!$D$6:$D$1413,$B206,'февраль 2024'!$J$6:$J$1413,T$1)</f>
        <v>0</v>
      </c>
      <c r="U206" s="80">
        <f>SUMIFS('февраль 2024'!$G$6:$G$1413,'февраль 2024'!$D$6:$D$1413,$B206,'февраль 2024'!$J$6:$J$1413,U$1)</f>
        <v>0</v>
      </c>
      <c r="V206" s="80">
        <f>SUMIFS('февраль 2024'!$G$6:$G$1413,'февраль 2024'!$D$6:$D$1413,$B206,'февраль 2024'!$J$6:$J$1413,V$1)</f>
        <v>0</v>
      </c>
      <c r="W206" s="80">
        <f>SUMIFS('февраль 2024'!$G$6:$G$1413,'февраль 2024'!$D$6:$D$1413,$B206,'февраль 2024'!$J$6:$J$1413,W$1)</f>
        <v>0</v>
      </c>
      <c r="X206" s="80">
        <f>SUMIFS('февраль 2024'!$G$6:$G$1413,'февраль 2024'!$D$6:$D$1413,$B206,'февраль 2024'!$J$6:$J$1413,X$1)</f>
        <v>0</v>
      </c>
      <c r="Y206" s="80">
        <f>SUMIFS('февраль 2024'!$G$6:$G$1413,'февраль 2024'!$D$6:$D$1413,$B206,'февраль 2024'!$J$6:$J$1413,Y$1)</f>
        <v>0</v>
      </c>
      <c r="Z206" s="80">
        <f>SUMIFS('февраль 2024'!$G$6:$G$1413,'февраль 2024'!$D$6:$D$1413,$B206,'февраль 2024'!$J$6:$J$1413,Z$1)</f>
        <v>0</v>
      </c>
      <c r="AA206" s="80">
        <f>SUMIFS('февраль 2024'!$G$6:$G$1413,'февраль 2024'!$D$6:$D$1413,$B206,'февраль 2024'!$J$6:$J$1413,AA$1)</f>
        <v>0</v>
      </c>
      <c r="AB206" s="80">
        <f>SUMIFS('февраль 2024'!$G$6:$G$1413,'февраль 2024'!$D$6:$D$1413,$B206,'февраль 2024'!$J$6:$J$1413,AB$1)</f>
        <v>0</v>
      </c>
      <c r="AC206" s="80">
        <f>SUMIFS('февраль 2024'!$G$6:$G$1413,'февраль 2024'!$D$6:$D$1413,$B206,'февраль 2024'!$J$6:$J$1413,AC$1)</f>
        <v>0</v>
      </c>
      <c r="AD206" s="80">
        <f>SUMIFS('февраль 2024'!$G$6:$G$1413,'февраль 2024'!$D$6:$D$1413,$B206,'февраль 2024'!$J$6:$J$1413,AD$1)</f>
        <v>0</v>
      </c>
      <c r="AE206" s="80">
        <f>SUMIFS('февраль 2024'!$G$6:$G$1413,'февраль 2024'!$D$6:$D$1413,$B206,'февраль 2024'!$J$6:$J$1413,AE$1)</f>
        <v>0</v>
      </c>
      <c r="AF206" s="80">
        <f>SUMIFS('февраль 2024'!$G$6:$G$1413,'февраль 2024'!$D$6:$D$1413,$B206,'февраль 2024'!$J$6:$J$1413,AF$1)</f>
        <v>0</v>
      </c>
      <c r="AG206" s="80">
        <f>SUMIFS('февраль 2024'!$G$6:$G$1413,'февраль 2024'!$D$6:$D$1413,$B206,'февраль 2024'!$J$6:$J$1413,AG$1)</f>
        <v>0</v>
      </c>
      <c r="AH206" s="80">
        <f>SUMIFS('февраль 2024'!$G$6:$G$1413,'февраль 2024'!$D$6:$D$1413,$B206,'февраль 2024'!$J$6:$J$1413,AH$1)</f>
        <v>0</v>
      </c>
      <c r="AI206" s="87"/>
    </row>
    <row r="207" spans="2:35" ht="15" hidden="1" customHeight="1" x14ac:dyDescent="0.25">
      <c r="B207" s="89"/>
      <c r="C207" s="88"/>
      <c r="D207" s="80">
        <f>SUMIFS('февраль 2024'!$G$6:$G$1413,'февраль 2024'!$D$6:$D$1413,$B207,'февраль 2024'!$J$6:$J$1413,D$1)</f>
        <v>0</v>
      </c>
      <c r="E207" s="80">
        <f>SUMIFS('февраль 2024'!$G$6:$G$1413,'февраль 2024'!$D$6:$D$1413,$B207,'февраль 2024'!$J$6:$J$1413,E$1)</f>
        <v>0</v>
      </c>
      <c r="F207" s="80">
        <f>SUMIFS('февраль 2024'!$G$6:$G$1413,'февраль 2024'!$D$6:$D$1413,$B207,'февраль 2024'!$J$6:$J$1413,F$1)</f>
        <v>0</v>
      </c>
      <c r="G207" s="80">
        <f>SUMIFS('февраль 2024'!$G$6:$G$1413,'февраль 2024'!$D$6:$D$1413,$B207,'февраль 2024'!$J$6:$J$1413,G$1)</f>
        <v>0</v>
      </c>
      <c r="H207" s="80">
        <f>SUMIFS('февраль 2024'!$G$6:$G$1413,'февраль 2024'!$D$6:$D$1413,$B207,'февраль 2024'!$J$6:$J$1413,H$1)</f>
        <v>0</v>
      </c>
      <c r="I207" s="80">
        <f>SUMIFS('февраль 2024'!$G$6:$G$1413,'февраль 2024'!$D$6:$D$1413,$B207,'февраль 2024'!$J$6:$J$1413,I$1)</f>
        <v>0</v>
      </c>
      <c r="J207" s="80">
        <f>SUMIFS('февраль 2024'!$G$6:$G$1413,'февраль 2024'!$D$6:$D$1413,$B207,'февраль 2024'!$J$6:$J$1413,J$1)</f>
        <v>0</v>
      </c>
      <c r="K207" s="80">
        <f>SUMIFS('февраль 2024'!$G$6:$G$1413,'февраль 2024'!$D$6:$D$1413,$B207,'февраль 2024'!$J$6:$J$1413,K$1)</f>
        <v>0</v>
      </c>
      <c r="L207" s="80">
        <f>SUMIFS('февраль 2024'!$G$6:$G$1413,'февраль 2024'!$D$6:$D$1413,$B207,'февраль 2024'!$J$6:$J$1413,L$1)</f>
        <v>0</v>
      </c>
      <c r="M207" s="80">
        <f>SUMIFS('февраль 2024'!$G$6:$G$1413,'февраль 2024'!$D$6:$D$1413,$B207,'февраль 2024'!$J$6:$J$1413,M$1)</f>
        <v>0</v>
      </c>
      <c r="N207" s="80">
        <f>SUMIFS('февраль 2024'!$G$6:$G$1413,'февраль 2024'!$D$6:$D$1413,$B207,'февраль 2024'!$J$6:$J$1413,N$1)</f>
        <v>0</v>
      </c>
      <c r="O207" s="80">
        <f>SUMIFS('февраль 2024'!$G$6:$G$1413,'февраль 2024'!$D$6:$D$1413,$B207,'февраль 2024'!$J$6:$J$1413,O$1)</f>
        <v>0</v>
      </c>
      <c r="P207" s="80">
        <f>SUMIFS('февраль 2024'!$G$6:$G$1413,'февраль 2024'!$D$6:$D$1413,$B207,'февраль 2024'!$J$6:$J$1413,P$1)</f>
        <v>0</v>
      </c>
      <c r="Q207" s="80">
        <f>SUMIFS('февраль 2024'!$G$6:$G$1413,'февраль 2024'!$D$6:$D$1413,$B207,'февраль 2024'!$J$6:$J$1413,Q$1)</f>
        <v>0</v>
      </c>
      <c r="R207" s="80">
        <f>SUMIFS('февраль 2024'!$G$6:$G$1413,'февраль 2024'!$D$6:$D$1413,$B207,'февраль 2024'!$J$6:$J$1413,R$1)</f>
        <v>0</v>
      </c>
      <c r="S207" s="80">
        <f>SUMIFS('февраль 2024'!$G$6:$G$1413,'февраль 2024'!$D$6:$D$1413,$B207,'февраль 2024'!$J$6:$J$1413,S$1)</f>
        <v>0</v>
      </c>
      <c r="T207" s="80">
        <f>SUMIFS('февраль 2024'!$G$6:$G$1413,'февраль 2024'!$D$6:$D$1413,$B207,'февраль 2024'!$J$6:$J$1413,T$1)</f>
        <v>0</v>
      </c>
      <c r="U207" s="80">
        <f>SUMIFS('февраль 2024'!$G$6:$G$1413,'февраль 2024'!$D$6:$D$1413,$B207,'февраль 2024'!$J$6:$J$1413,U$1)</f>
        <v>0</v>
      </c>
      <c r="V207" s="80">
        <f>SUMIFS('февраль 2024'!$G$6:$G$1413,'февраль 2024'!$D$6:$D$1413,$B207,'февраль 2024'!$J$6:$J$1413,V$1)</f>
        <v>0</v>
      </c>
      <c r="W207" s="80">
        <f>SUMIFS('февраль 2024'!$G$6:$G$1413,'февраль 2024'!$D$6:$D$1413,$B207,'февраль 2024'!$J$6:$J$1413,W$1)</f>
        <v>0</v>
      </c>
      <c r="X207" s="80">
        <f>SUMIFS('февраль 2024'!$G$6:$G$1413,'февраль 2024'!$D$6:$D$1413,$B207,'февраль 2024'!$J$6:$J$1413,X$1)</f>
        <v>0</v>
      </c>
      <c r="Y207" s="80">
        <f>SUMIFS('февраль 2024'!$G$6:$G$1413,'февраль 2024'!$D$6:$D$1413,$B207,'февраль 2024'!$J$6:$J$1413,Y$1)</f>
        <v>0</v>
      </c>
      <c r="Z207" s="80">
        <f>SUMIFS('февраль 2024'!$G$6:$G$1413,'февраль 2024'!$D$6:$D$1413,$B207,'февраль 2024'!$J$6:$J$1413,Z$1)</f>
        <v>0</v>
      </c>
      <c r="AA207" s="80">
        <f>SUMIFS('февраль 2024'!$G$6:$G$1413,'февраль 2024'!$D$6:$D$1413,$B207,'февраль 2024'!$J$6:$J$1413,AA$1)</f>
        <v>0</v>
      </c>
      <c r="AB207" s="80">
        <f>SUMIFS('февраль 2024'!$G$6:$G$1413,'февраль 2024'!$D$6:$D$1413,$B207,'февраль 2024'!$J$6:$J$1413,AB$1)</f>
        <v>0</v>
      </c>
      <c r="AC207" s="80">
        <f>SUMIFS('февраль 2024'!$G$6:$G$1413,'февраль 2024'!$D$6:$D$1413,$B207,'февраль 2024'!$J$6:$J$1413,AC$1)</f>
        <v>0</v>
      </c>
      <c r="AD207" s="80">
        <f>SUMIFS('февраль 2024'!$G$6:$G$1413,'февраль 2024'!$D$6:$D$1413,$B207,'февраль 2024'!$J$6:$J$1413,AD$1)</f>
        <v>0</v>
      </c>
      <c r="AE207" s="80">
        <f>SUMIFS('февраль 2024'!$G$6:$G$1413,'февраль 2024'!$D$6:$D$1413,$B207,'февраль 2024'!$J$6:$J$1413,AE$1)</f>
        <v>0</v>
      </c>
      <c r="AF207" s="80">
        <f>SUMIFS('февраль 2024'!$G$6:$G$1413,'февраль 2024'!$D$6:$D$1413,$B207,'февраль 2024'!$J$6:$J$1413,AF$1)</f>
        <v>0</v>
      </c>
      <c r="AG207" s="80">
        <f>SUMIFS('февраль 2024'!$G$6:$G$1413,'февраль 2024'!$D$6:$D$1413,$B207,'февраль 2024'!$J$6:$J$1413,AG$1)</f>
        <v>0</v>
      </c>
      <c r="AH207" s="80">
        <f>SUMIFS('февраль 2024'!$G$6:$G$1413,'февраль 2024'!$D$6:$D$1413,$B207,'февраль 2024'!$J$6:$J$1413,AH$1)</f>
        <v>0</v>
      </c>
      <c r="AI207" s="87"/>
    </row>
    <row r="208" spans="2:35" ht="15" hidden="1" customHeight="1" x14ac:dyDescent="0.25">
      <c r="B208" s="89"/>
      <c r="C208" s="88"/>
      <c r="D208" s="80">
        <f>SUMIFS('февраль 2024'!$G$6:$G$1413,'февраль 2024'!$D$6:$D$1413,$B208,'февраль 2024'!$J$6:$J$1413,D$1)</f>
        <v>0</v>
      </c>
      <c r="E208" s="80">
        <f>SUMIFS('февраль 2024'!$G$6:$G$1413,'февраль 2024'!$D$6:$D$1413,$B208,'февраль 2024'!$J$6:$J$1413,E$1)</f>
        <v>0</v>
      </c>
      <c r="F208" s="80">
        <f>SUMIFS('февраль 2024'!$G$6:$G$1413,'февраль 2024'!$D$6:$D$1413,$B208,'февраль 2024'!$J$6:$J$1413,F$1)</f>
        <v>0</v>
      </c>
      <c r="G208" s="80">
        <f>SUMIFS('февраль 2024'!$G$6:$G$1413,'февраль 2024'!$D$6:$D$1413,$B208,'февраль 2024'!$J$6:$J$1413,G$1)</f>
        <v>0</v>
      </c>
      <c r="H208" s="80">
        <f>SUMIFS('февраль 2024'!$G$6:$G$1413,'февраль 2024'!$D$6:$D$1413,$B208,'февраль 2024'!$J$6:$J$1413,H$1)</f>
        <v>0</v>
      </c>
      <c r="I208" s="80">
        <f>SUMIFS('февраль 2024'!$G$6:$G$1413,'февраль 2024'!$D$6:$D$1413,$B208,'февраль 2024'!$J$6:$J$1413,I$1)</f>
        <v>0</v>
      </c>
      <c r="J208" s="80">
        <f>SUMIFS('февраль 2024'!$G$6:$G$1413,'февраль 2024'!$D$6:$D$1413,$B208,'февраль 2024'!$J$6:$J$1413,J$1)</f>
        <v>0</v>
      </c>
      <c r="K208" s="80">
        <f>SUMIFS('февраль 2024'!$G$6:$G$1413,'февраль 2024'!$D$6:$D$1413,$B208,'февраль 2024'!$J$6:$J$1413,K$1)</f>
        <v>0</v>
      </c>
      <c r="L208" s="80">
        <f>SUMIFS('февраль 2024'!$G$6:$G$1413,'февраль 2024'!$D$6:$D$1413,$B208,'февраль 2024'!$J$6:$J$1413,L$1)</f>
        <v>0</v>
      </c>
      <c r="M208" s="80">
        <f>SUMIFS('февраль 2024'!$G$6:$G$1413,'февраль 2024'!$D$6:$D$1413,$B208,'февраль 2024'!$J$6:$J$1413,M$1)</f>
        <v>0</v>
      </c>
      <c r="N208" s="80">
        <f>SUMIFS('февраль 2024'!$G$6:$G$1413,'февраль 2024'!$D$6:$D$1413,$B208,'февраль 2024'!$J$6:$J$1413,N$1)</f>
        <v>0</v>
      </c>
      <c r="O208" s="80">
        <f>SUMIFS('февраль 2024'!$G$6:$G$1413,'февраль 2024'!$D$6:$D$1413,$B208,'февраль 2024'!$J$6:$J$1413,O$1)</f>
        <v>0</v>
      </c>
      <c r="P208" s="80">
        <f>SUMIFS('февраль 2024'!$G$6:$G$1413,'февраль 2024'!$D$6:$D$1413,$B208,'февраль 2024'!$J$6:$J$1413,P$1)</f>
        <v>0</v>
      </c>
      <c r="Q208" s="80">
        <f>SUMIFS('февраль 2024'!$G$6:$G$1413,'февраль 2024'!$D$6:$D$1413,$B208,'февраль 2024'!$J$6:$J$1413,Q$1)</f>
        <v>0</v>
      </c>
      <c r="R208" s="80">
        <f>SUMIFS('февраль 2024'!$G$6:$G$1413,'февраль 2024'!$D$6:$D$1413,$B208,'февраль 2024'!$J$6:$J$1413,R$1)</f>
        <v>0</v>
      </c>
      <c r="S208" s="80">
        <f>SUMIFS('февраль 2024'!$G$6:$G$1413,'февраль 2024'!$D$6:$D$1413,$B208,'февраль 2024'!$J$6:$J$1413,S$1)</f>
        <v>0</v>
      </c>
      <c r="T208" s="80">
        <f>SUMIFS('февраль 2024'!$G$6:$G$1413,'февраль 2024'!$D$6:$D$1413,$B208,'февраль 2024'!$J$6:$J$1413,T$1)</f>
        <v>0</v>
      </c>
      <c r="U208" s="80">
        <f>SUMIFS('февраль 2024'!$G$6:$G$1413,'февраль 2024'!$D$6:$D$1413,$B208,'февраль 2024'!$J$6:$J$1413,U$1)</f>
        <v>0</v>
      </c>
      <c r="V208" s="80">
        <f>SUMIFS('февраль 2024'!$G$6:$G$1413,'февраль 2024'!$D$6:$D$1413,$B208,'февраль 2024'!$J$6:$J$1413,V$1)</f>
        <v>0</v>
      </c>
      <c r="W208" s="80">
        <f>SUMIFS('февраль 2024'!$G$6:$G$1413,'февраль 2024'!$D$6:$D$1413,$B208,'февраль 2024'!$J$6:$J$1413,W$1)</f>
        <v>0</v>
      </c>
      <c r="X208" s="80">
        <f>SUMIFS('февраль 2024'!$G$6:$G$1413,'февраль 2024'!$D$6:$D$1413,$B208,'февраль 2024'!$J$6:$J$1413,X$1)</f>
        <v>0</v>
      </c>
      <c r="Y208" s="80">
        <f>SUMIFS('февраль 2024'!$G$6:$G$1413,'февраль 2024'!$D$6:$D$1413,$B208,'февраль 2024'!$J$6:$J$1413,Y$1)</f>
        <v>0</v>
      </c>
      <c r="Z208" s="80">
        <f>SUMIFS('февраль 2024'!$G$6:$G$1413,'февраль 2024'!$D$6:$D$1413,$B208,'февраль 2024'!$J$6:$J$1413,Z$1)</f>
        <v>0</v>
      </c>
      <c r="AA208" s="80">
        <f>SUMIFS('февраль 2024'!$G$6:$G$1413,'февраль 2024'!$D$6:$D$1413,$B208,'февраль 2024'!$J$6:$J$1413,AA$1)</f>
        <v>0</v>
      </c>
      <c r="AB208" s="80">
        <f>SUMIFS('февраль 2024'!$G$6:$G$1413,'февраль 2024'!$D$6:$D$1413,$B208,'февраль 2024'!$J$6:$J$1413,AB$1)</f>
        <v>0</v>
      </c>
      <c r="AC208" s="80">
        <f>SUMIFS('февраль 2024'!$G$6:$G$1413,'февраль 2024'!$D$6:$D$1413,$B208,'февраль 2024'!$J$6:$J$1413,AC$1)</f>
        <v>0</v>
      </c>
      <c r="AD208" s="80">
        <f>SUMIFS('февраль 2024'!$G$6:$G$1413,'февраль 2024'!$D$6:$D$1413,$B208,'февраль 2024'!$J$6:$J$1413,AD$1)</f>
        <v>0</v>
      </c>
      <c r="AE208" s="80">
        <f>SUMIFS('февраль 2024'!$G$6:$G$1413,'февраль 2024'!$D$6:$D$1413,$B208,'февраль 2024'!$J$6:$J$1413,AE$1)</f>
        <v>0</v>
      </c>
      <c r="AF208" s="80">
        <f>SUMIFS('февраль 2024'!$G$6:$G$1413,'февраль 2024'!$D$6:$D$1413,$B208,'февраль 2024'!$J$6:$J$1413,AF$1)</f>
        <v>0</v>
      </c>
      <c r="AG208" s="80">
        <f>SUMIFS('февраль 2024'!$G$6:$G$1413,'февраль 2024'!$D$6:$D$1413,$B208,'февраль 2024'!$J$6:$J$1413,AG$1)</f>
        <v>0</v>
      </c>
      <c r="AH208" s="80">
        <f>SUMIFS('февраль 2024'!$G$6:$G$1413,'февраль 2024'!$D$6:$D$1413,$B208,'февраль 2024'!$J$6:$J$1413,AH$1)</f>
        <v>0</v>
      </c>
      <c r="AI208" s="87"/>
    </row>
    <row r="209" spans="2:35" ht="15" hidden="1" customHeight="1" x14ac:dyDescent="0.25">
      <c r="B209" s="89"/>
      <c r="C209" s="88"/>
      <c r="D209" s="80">
        <f>SUMIFS('февраль 2024'!$G$6:$G$1413,'февраль 2024'!$D$6:$D$1413,$B209,'февраль 2024'!$J$6:$J$1413,D$1)</f>
        <v>0</v>
      </c>
      <c r="E209" s="80">
        <f>SUMIFS('февраль 2024'!$G$6:$G$1413,'февраль 2024'!$D$6:$D$1413,$B209,'февраль 2024'!$J$6:$J$1413,E$1)</f>
        <v>0</v>
      </c>
      <c r="F209" s="80">
        <f>SUMIFS('февраль 2024'!$G$6:$G$1413,'февраль 2024'!$D$6:$D$1413,$B209,'февраль 2024'!$J$6:$J$1413,F$1)</f>
        <v>0</v>
      </c>
      <c r="G209" s="80">
        <f>SUMIFS('февраль 2024'!$G$6:$G$1413,'февраль 2024'!$D$6:$D$1413,$B209,'февраль 2024'!$J$6:$J$1413,G$1)</f>
        <v>0</v>
      </c>
      <c r="H209" s="80">
        <f>SUMIFS('февраль 2024'!$G$6:$G$1413,'февраль 2024'!$D$6:$D$1413,$B209,'февраль 2024'!$J$6:$J$1413,H$1)</f>
        <v>0</v>
      </c>
      <c r="I209" s="80">
        <f>SUMIFS('февраль 2024'!$G$6:$G$1413,'февраль 2024'!$D$6:$D$1413,$B209,'февраль 2024'!$J$6:$J$1413,I$1)</f>
        <v>0</v>
      </c>
      <c r="J209" s="80">
        <f>SUMIFS('февраль 2024'!$G$6:$G$1413,'февраль 2024'!$D$6:$D$1413,$B209,'февраль 2024'!$J$6:$J$1413,J$1)</f>
        <v>0</v>
      </c>
      <c r="K209" s="80">
        <f>SUMIFS('февраль 2024'!$G$6:$G$1413,'февраль 2024'!$D$6:$D$1413,$B209,'февраль 2024'!$J$6:$J$1413,K$1)</f>
        <v>0</v>
      </c>
      <c r="L209" s="80">
        <f>SUMIFS('февраль 2024'!$G$6:$G$1413,'февраль 2024'!$D$6:$D$1413,$B209,'февраль 2024'!$J$6:$J$1413,L$1)</f>
        <v>0</v>
      </c>
      <c r="M209" s="80">
        <f>SUMIFS('февраль 2024'!$G$6:$G$1413,'февраль 2024'!$D$6:$D$1413,$B209,'февраль 2024'!$J$6:$J$1413,M$1)</f>
        <v>0</v>
      </c>
      <c r="N209" s="80">
        <f>SUMIFS('февраль 2024'!$G$6:$G$1413,'февраль 2024'!$D$6:$D$1413,$B209,'февраль 2024'!$J$6:$J$1413,N$1)</f>
        <v>0</v>
      </c>
      <c r="O209" s="80">
        <f>SUMIFS('февраль 2024'!$G$6:$G$1413,'февраль 2024'!$D$6:$D$1413,$B209,'февраль 2024'!$J$6:$J$1413,O$1)</f>
        <v>0</v>
      </c>
      <c r="P209" s="80">
        <f>SUMIFS('февраль 2024'!$G$6:$G$1413,'февраль 2024'!$D$6:$D$1413,$B209,'февраль 2024'!$J$6:$J$1413,P$1)</f>
        <v>0</v>
      </c>
      <c r="Q209" s="80">
        <f>SUMIFS('февраль 2024'!$G$6:$G$1413,'февраль 2024'!$D$6:$D$1413,$B209,'февраль 2024'!$J$6:$J$1413,Q$1)</f>
        <v>0</v>
      </c>
      <c r="R209" s="80">
        <f>SUMIFS('февраль 2024'!$G$6:$G$1413,'февраль 2024'!$D$6:$D$1413,$B209,'февраль 2024'!$J$6:$J$1413,R$1)</f>
        <v>0</v>
      </c>
      <c r="S209" s="80">
        <f>SUMIFS('февраль 2024'!$G$6:$G$1413,'февраль 2024'!$D$6:$D$1413,$B209,'февраль 2024'!$J$6:$J$1413,S$1)</f>
        <v>0</v>
      </c>
      <c r="T209" s="80">
        <f>SUMIFS('февраль 2024'!$G$6:$G$1413,'февраль 2024'!$D$6:$D$1413,$B209,'февраль 2024'!$J$6:$J$1413,T$1)</f>
        <v>0</v>
      </c>
      <c r="U209" s="80">
        <f>SUMIFS('февраль 2024'!$G$6:$G$1413,'февраль 2024'!$D$6:$D$1413,$B209,'февраль 2024'!$J$6:$J$1413,U$1)</f>
        <v>0</v>
      </c>
      <c r="V209" s="80">
        <f>SUMIFS('февраль 2024'!$G$6:$G$1413,'февраль 2024'!$D$6:$D$1413,$B209,'февраль 2024'!$J$6:$J$1413,V$1)</f>
        <v>0</v>
      </c>
      <c r="W209" s="80">
        <f>SUMIFS('февраль 2024'!$G$6:$G$1413,'февраль 2024'!$D$6:$D$1413,$B209,'февраль 2024'!$J$6:$J$1413,W$1)</f>
        <v>0</v>
      </c>
      <c r="X209" s="80">
        <f>SUMIFS('февраль 2024'!$G$6:$G$1413,'февраль 2024'!$D$6:$D$1413,$B209,'февраль 2024'!$J$6:$J$1413,X$1)</f>
        <v>0</v>
      </c>
      <c r="Y209" s="80">
        <f>SUMIFS('февраль 2024'!$G$6:$G$1413,'февраль 2024'!$D$6:$D$1413,$B209,'февраль 2024'!$J$6:$J$1413,Y$1)</f>
        <v>0</v>
      </c>
      <c r="Z209" s="80">
        <f>SUMIFS('февраль 2024'!$G$6:$G$1413,'февраль 2024'!$D$6:$D$1413,$B209,'февраль 2024'!$J$6:$J$1413,Z$1)</f>
        <v>0</v>
      </c>
      <c r="AA209" s="80">
        <f>SUMIFS('февраль 2024'!$G$6:$G$1413,'февраль 2024'!$D$6:$D$1413,$B209,'февраль 2024'!$J$6:$J$1413,AA$1)</f>
        <v>0</v>
      </c>
      <c r="AB209" s="80">
        <f>SUMIFS('февраль 2024'!$G$6:$G$1413,'февраль 2024'!$D$6:$D$1413,$B209,'февраль 2024'!$J$6:$J$1413,AB$1)</f>
        <v>0</v>
      </c>
      <c r="AC209" s="80">
        <f>SUMIFS('февраль 2024'!$G$6:$G$1413,'февраль 2024'!$D$6:$D$1413,$B209,'февраль 2024'!$J$6:$J$1413,AC$1)</f>
        <v>0</v>
      </c>
      <c r="AD209" s="80">
        <f>SUMIFS('февраль 2024'!$G$6:$G$1413,'февраль 2024'!$D$6:$D$1413,$B209,'февраль 2024'!$J$6:$J$1413,AD$1)</f>
        <v>0</v>
      </c>
      <c r="AE209" s="80">
        <f>SUMIFS('февраль 2024'!$G$6:$G$1413,'февраль 2024'!$D$6:$D$1413,$B209,'февраль 2024'!$J$6:$J$1413,AE$1)</f>
        <v>0</v>
      </c>
      <c r="AF209" s="80">
        <f>SUMIFS('февраль 2024'!$G$6:$G$1413,'февраль 2024'!$D$6:$D$1413,$B209,'февраль 2024'!$J$6:$J$1413,AF$1)</f>
        <v>0</v>
      </c>
      <c r="AG209" s="80">
        <f>SUMIFS('февраль 2024'!$G$6:$G$1413,'февраль 2024'!$D$6:$D$1413,$B209,'февраль 2024'!$J$6:$J$1413,AG$1)</f>
        <v>0</v>
      </c>
      <c r="AH209" s="80">
        <f>SUMIFS('февраль 2024'!$G$6:$G$1413,'февраль 2024'!$D$6:$D$1413,$B209,'февраль 2024'!$J$6:$J$1413,AH$1)</f>
        <v>0</v>
      </c>
      <c r="AI209" s="87"/>
    </row>
    <row r="210" spans="2:35" ht="15" hidden="1" customHeight="1" x14ac:dyDescent="0.25">
      <c r="B210" s="89"/>
      <c r="C210" s="88"/>
      <c r="D210" s="80">
        <f>SUMIFS('февраль 2024'!$G$6:$G$1413,'февраль 2024'!$D$6:$D$1413,$B210,'февраль 2024'!$J$6:$J$1413,D$1)</f>
        <v>0</v>
      </c>
      <c r="E210" s="80">
        <f>SUMIFS('февраль 2024'!$G$6:$G$1413,'февраль 2024'!$D$6:$D$1413,$B210,'февраль 2024'!$J$6:$J$1413,E$1)</f>
        <v>0</v>
      </c>
      <c r="F210" s="80">
        <f>SUMIFS('февраль 2024'!$G$6:$G$1413,'февраль 2024'!$D$6:$D$1413,$B210,'февраль 2024'!$J$6:$J$1413,F$1)</f>
        <v>0</v>
      </c>
      <c r="G210" s="80">
        <f>SUMIFS('февраль 2024'!$G$6:$G$1413,'февраль 2024'!$D$6:$D$1413,$B210,'февраль 2024'!$J$6:$J$1413,G$1)</f>
        <v>0</v>
      </c>
      <c r="H210" s="80">
        <f>SUMIFS('февраль 2024'!$G$6:$G$1413,'февраль 2024'!$D$6:$D$1413,$B210,'февраль 2024'!$J$6:$J$1413,H$1)</f>
        <v>0</v>
      </c>
      <c r="I210" s="80">
        <f>SUMIFS('февраль 2024'!$G$6:$G$1413,'февраль 2024'!$D$6:$D$1413,$B210,'февраль 2024'!$J$6:$J$1413,I$1)</f>
        <v>0</v>
      </c>
      <c r="J210" s="80">
        <f>SUMIFS('февраль 2024'!$G$6:$G$1413,'февраль 2024'!$D$6:$D$1413,$B210,'февраль 2024'!$J$6:$J$1413,J$1)</f>
        <v>0</v>
      </c>
      <c r="K210" s="80">
        <f>SUMIFS('февраль 2024'!$G$6:$G$1413,'февраль 2024'!$D$6:$D$1413,$B210,'февраль 2024'!$J$6:$J$1413,K$1)</f>
        <v>0</v>
      </c>
      <c r="L210" s="80">
        <f>SUMIFS('февраль 2024'!$G$6:$G$1413,'февраль 2024'!$D$6:$D$1413,$B210,'февраль 2024'!$J$6:$J$1413,L$1)</f>
        <v>0</v>
      </c>
      <c r="M210" s="80">
        <f>SUMIFS('февраль 2024'!$G$6:$G$1413,'февраль 2024'!$D$6:$D$1413,$B210,'февраль 2024'!$J$6:$J$1413,M$1)</f>
        <v>0</v>
      </c>
      <c r="N210" s="80">
        <f>SUMIFS('февраль 2024'!$G$6:$G$1413,'февраль 2024'!$D$6:$D$1413,$B210,'февраль 2024'!$J$6:$J$1413,N$1)</f>
        <v>0</v>
      </c>
      <c r="O210" s="80">
        <f>SUMIFS('февраль 2024'!$G$6:$G$1413,'февраль 2024'!$D$6:$D$1413,$B210,'февраль 2024'!$J$6:$J$1413,O$1)</f>
        <v>0</v>
      </c>
      <c r="P210" s="80">
        <f>SUMIFS('февраль 2024'!$G$6:$G$1413,'февраль 2024'!$D$6:$D$1413,$B210,'февраль 2024'!$J$6:$J$1413,P$1)</f>
        <v>0</v>
      </c>
      <c r="Q210" s="80">
        <f>SUMIFS('февраль 2024'!$G$6:$G$1413,'февраль 2024'!$D$6:$D$1413,$B210,'февраль 2024'!$J$6:$J$1413,Q$1)</f>
        <v>0</v>
      </c>
      <c r="R210" s="80">
        <f>SUMIFS('февраль 2024'!$G$6:$G$1413,'февраль 2024'!$D$6:$D$1413,$B210,'февраль 2024'!$J$6:$J$1413,R$1)</f>
        <v>0</v>
      </c>
      <c r="S210" s="80">
        <f>SUMIFS('февраль 2024'!$G$6:$G$1413,'февраль 2024'!$D$6:$D$1413,$B210,'февраль 2024'!$J$6:$J$1413,S$1)</f>
        <v>0</v>
      </c>
      <c r="T210" s="80">
        <f>SUMIFS('февраль 2024'!$G$6:$G$1413,'февраль 2024'!$D$6:$D$1413,$B210,'февраль 2024'!$J$6:$J$1413,T$1)</f>
        <v>0</v>
      </c>
      <c r="U210" s="80">
        <f>SUMIFS('февраль 2024'!$G$6:$G$1413,'февраль 2024'!$D$6:$D$1413,$B210,'февраль 2024'!$J$6:$J$1413,U$1)</f>
        <v>0</v>
      </c>
      <c r="V210" s="80">
        <f>SUMIFS('февраль 2024'!$G$6:$G$1413,'февраль 2024'!$D$6:$D$1413,$B210,'февраль 2024'!$J$6:$J$1413,V$1)</f>
        <v>0</v>
      </c>
      <c r="W210" s="80">
        <f>SUMIFS('февраль 2024'!$G$6:$G$1413,'февраль 2024'!$D$6:$D$1413,$B210,'февраль 2024'!$J$6:$J$1413,W$1)</f>
        <v>0</v>
      </c>
      <c r="X210" s="80">
        <f>SUMIFS('февраль 2024'!$G$6:$G$1413,'февраль 2024'!$D$6:$D$1413,$B210,'февраль 2024'!$J$6:$J$1413,X$1)</f>
        <v>0</v>
      </c>
      <c r="Y210" s="80">
        <f>SUMIFS('февраль 2024'!$G$6:$G$1413,'февраль 2024'!$D$6:$D$1413,$B210,'февраль 2024'!$J$6:$J$1413,Y$1)</f>
        <v>0</v>
      </c>
      <c r="Z210" s="80">
        <f>SUMIFS('февраль 2024'!$G$6:$G$1413,'февраль 2024'!$D$6:$D$1413,$B210,'февраль 2024'!$J$6:$J$1413,Z$1)</f>
        <v>0</v>
      </c>
      <c r="AA210" s="80">
        <f>SUMIFS('февраль 2024'!$G$6:$G$1413,'февраль 2024'!$D$6:$D$1413,$B210,'февраль 2024'!$J$6:$J$1413,AA$1)</f>
        <v>0</v>
      </c>
      <c r="AB210" s="80">
        <f>SUMIFS('февраль 2024'!$G$6:$G$1413,'февраль 2024'!$D$6:$D$1413,$B210,'февраль 2024'!$J$6:$J$1413,AB$1)</f>
        <v>0</v>
      </c>
      <c r="AC210" s="80">
        <f>SUMIFS('февраль 2024'!$G$6:$G$1413,'февраль 2024'!$D$6:$D$1413,$B210,'февраль 2024'!$J$6:$J$1413,AC$1)</f>
        <v>0</v>
      </c>
      <c r="AD210" s="80">
        <f>SUMIFS('февраль 2024'!$G$6:$G$1413,'февраль 2024'!$D$6:$D$1413,$B210,'февраль 2024'!$J$6:$J$1413,AD$1)</f>
        <v>0</v>
      </c>
      <c r="AE210" s="80">
        <f>SUMIFS('февраль 2024'!$G$6:$G$1413,'февраль 2024'!$D$6:$D$1413,$B210,'февраль 2024'!$J$6:$J$1413,AE$1)</f>
        <v>0</v>
      </c>
      <c r="AF210" s="80">
        <f>SUMIFS('февраль 2024'!$G$6:$G$1413,'февраль 2024'!$D$6:$D$1413,$B210,'февраль 2024'!$J$6:$J$1413,AF$1)</f>
        <v>0</v>
      </c>
      <c r="AG210" s="80">
        <f>SUMIFS('февраль 2024'!$G$6:$G$1413,'февраль 2024'!$D$6:$D$1413,$B210,'февраль 2024'!$J$6:$J$1413,AG$1)</f>
        <v>0</v>
      </c>
      <c r="AH210" s="80">
        <f>SUMIFS('февраль 2024'!$G$6:$G$1413,'февраль 2024'!$D$6:$D$1413,$B210,'февраль 2024'!$J$6:$J$1413,AH$1)</f>
        <v>0</v>
      </c>
      <c r="AI210" s="87"/>
    </row>
    <row r="211" spans="2:35" ht="15" hidden="1" customHeight="1" x14ac:dyDescent="0.25">
      <c r="B211" s="89"/>
      <c r="C211" s="88"/>
      <c r="D211" s="80">
        <f>SUMIFS('февраль 2024'!$G$6:$G$1413,'февраль 2024'!$D$6:$D$1413,$B211,'февраль 2024'!$J$6:$J$1413,D$1)</f>
        <v>0</v>
      </c>
      <c r="E211" s="80">
        <f>SUMIFS('февраль 2024'!$G$6:$G$1413,'февраль 2024'!$D$6:$D$1413,$B211,'февраль 2024'!$J$6:$J$1413,E$1)</f>
        <v>0</v>
      </c>
      <c r="F211" s="80">
        <f>SUMIFS('февраль 2024'!$G$6:$G$1413,'февраль 2024'!$D$6:$D$1413,$B211,'февраль 2024'!$J$6:$J$1413,F$1)</f>
        <v>0</v>
      </c>
      <c r="G211" s="80">
        <f>SUMIFS('февраль 2024'!$G$6:$G$1413,'февраль 2024'!$D$6:$D$1413,$B211,'февраль 2024'!$J$6:$J$1413,G$1)</f>
        <v>0</v>
      </c>
      <c r="H211" s="80">
        <f>SUMIFS('февраль 2024'!$G$6:$G$1413,'февраль 2024'!$D$6:$D$1413,$B211,'февраль 2024'!$J$6:$J$1413,H$1)</f>
        <v>0</v>
      </c>
      <c r="I211" s="80">
        <f>SUMIFS('февраль 2024'!$G$6:$G$1413,'февраль 2024'!$D$6:$D$1413,$B211,'февраль 2024'!$J$6:$J$1413,I$1)</f>
        <v>0</v>
      </c>
      <c r="J211" s="80">
        <f>SUMIFS('февраль 2024'!$G$6:$G$1413,'февраль 2024'!$D$6:$D$1413,$B211,'февраль 2024'!$J$6:$J$1413,J$1)</f>
        <v>0</v>
      </c>
      <c r="K211" s="80">
        <f>SUMIFS('февраль 2024'!$G$6:$G$1413,'февраль 2024'!$D$6:$D$1413,$B211,'февраль 2024'!$J$6:$J$1413,K$1)</f>
        <v>0</v>
      </c>
      <c r="L211" s="80">
        <f>SUMIFS('февраль 2024'!$G$6:$G$1413,'февраль 2024'!$D$6:$D$1413,$B211,'февраль 2024'!$J$6:$J$1413,L$1)</f>
        <v>0</v>
      </c>
      <c r="M211" s="80">
        <f>SUMIFS('февраль 2024'!$G$6:$G$1413,'февраль 2024'!$D$6:$D$1413,$B211,'февраль 2024'!$J$6:$J$1413,M$1)</f>
        <v>0</v>
      </c>
      <c r="N211" s="80">
        <f>SUMIFS('февраль 2024'!$G$6:$G$1413,'февраль 2024'!$D$6:$D$1413,$B211,'февраль 2024'!$J$6:$J$1413,N$1)</f>
        <v>0</v>
      </c>
      <c r="O211" s="80">
        <f>SUMIFS('февраль 2024'!$G$6:$G$1413,'февраль 2024'!$D$6:$D$1413,$B211,'февраль 2024'!$J$6:$J$1413,O$1)</f>
        <v>0</v>
      </c>
      <c r="P211" s="80">
        <f>SUMIFS('февраль 2024'!$G$6:$G$1413,'февраль 2024'!$D$6:$D$1413,$B211,'февраль 2024'!$J$6:$J$1413,P$1)</f>
        <v>0</v>
      </c>
      <c r="Q211" s="80">
        <f>SUMIFS('февраль 2024'!$G$6:$G$1413,'февраль 2024'!$D$6:$D$1413,$B211,'февраль 2024'!$J$6:$J$1413,Q$1)</f>
        <v>0</v>
      </c>
      <c r="R211" s="80">
        <f>SUMIFS('февраль 2024'!$G$6:$G$1413,'февраль 2024'!$D$6:$D$1413,$B211,'февраль 2024'!$J$6:$J$1413,R$1)</f>
        <v>0</v>
      </c>
      <c r="S211" s="80">
        <f>SUMIFS('февраль 2024'!$G$6:$G$1413,'февраль 2024'!$D$6:$D$1413,$B211,'февраль 2024'!$J$6:$J$1413,S$1)</f>
        <v>0</v>
      </c>
      <c r="T211" s="80">
        <f>SUMIFS('февраль 2024'!$G$6:$G$1413,'февраль 2024'!$D$6:$D$1413,$B211,'февраль 2024'!$J$6:$J$1413,T$1)</f>
        <v>0</v>
      </c>
      <c r="U211" s="80">
        <f>SUMIFS('февраль 2024'!$G$6:$G$1413,'февраль 2024'!$D$6:$D$1413,$B211,'февраль 2024'!$J$6:$J$1413,U$1)</f>
        <v>0</v>
      </c>
      <c r="V211" s="80">
        <f>SUMIFS('февраль 2024'!$G$6:$G$1413,'февраль 2024'!$D$6:$D$1413,$B211,'февраль 2024'!$J$6:$J$1413,V$1)</f>
        <v>0</v>
      </c>
      <c r="W211" s="80">
        <f>SUMIFS('февраль 2024'!$G$6:$G$1413,'февраль 2024'!$D$6:$D$1413,$B211,'февраль 2024'!$J$6:$J$1413,W$1)</f>
        <v>0</v>
      </c>
      <c r="X211" s="80">
        <f>SUMIFS('февраль 2024'!$G$6:$G$1413,'февраль 2024'!$D$6:$D$1413,$B211,'февраль 2024'!$J$6:$J$1413,X$1)</f>
        <v>0</v>
      </c>
      <c r="Y211" s="80">
        <f>SUMIFS('февраль 2024'!$G$6:$G$1413,'февраль 2024'!$D$6:$D$1413,$B211,'февраль 2024'!$J$6:$J$1413,Y$1)</f>
        <v>0</v>
      </c>
      <c r="Z211" s="80">
        <f>SUMIFS('февраль 2024'!$G$6:$G$1413,'февраль 2024'!$D$6:$D$1413,$B211,'февраль 2024'!$J$6:$J$1413,Z$1)</f>
        <v>0</v>
      </c>
      <c r="AA211" s="80">
        <f>SUMIFS('февраль 2024'!$G$6:$G$1413,'февраль 2024'!$D$6:$D$1413,$B211,'февраль 2024'!$J$6:$J$1413,AA$1)</f>
        <v>0</v>
      </c>
      <c r="AB211" s="80">
        <f>SUMIFS('февраль 2024'!$G$6:$G$1413,'февраль 2024'!$D$6:$D$1413,$B211,'февраль 2024'!$J$6:$J$1413,AB$1)</f>
        <v>0</v>
      </c>
      <c r="AC211" s="80">
        <f>SUMIFS('февраль 2024'!$G$6:$G$1413,'февраль 2024'!$D$6:$D$1413,$B211,'февраль 2024'!$J$6:$J$1413,AC$1)</f>
        <v>0</v>
      </c>
      <c r="AD211" s="80">
        <f>SUMIFS('февраль 2024'!$G$6:$G$1413,'февраль 2024'!$D$6:$D$1413,$B211,'февраль 2024'!$J$6:$J$1413,AD$1)</f>
        <v>0</v>
      </c>
      <c r="AE211" s="80">
        <f>SUMIFS('февраль 2024'!$G$6:$G$1413,'февраль 2024'!$D$6:$D$1413,$B211,'февраль 2024'!$J$6:$J$1413,AE$1)</f>
        <v>0</v>
      </c>
      <c r="AF211" s="80">
        <f>SUMIFS('февраль 2024'!$G$6:$G$1413,'февраль 2024'!$D$6:$D$1413,$B211,'февраль 2024'!$J$6:$J$1413,AF$1)</f>
        <v>0</v>
      </c>
      <c r="AG211" s="80">
        <f>SUMIFS('февраль 2024'!$G$6:$G$1413,'февраль 2024'!$D$6:$D$1413,$B211,'февраль 2024'!$J$6:$J$1413,AG$1)</f>
        <v>0</v>
      </c>
      <c r="AH211" s="80">
        <f>SUMIFS('февраль 2024'!$G$6:$G$1413,'февраль 2024'!$D$6:$D$1413,$B211,'февраль 2024'!$J$6:$J$1413,AH$1)</f>
        <v>0</v>
      </c>
      <c r="AI211" s="87"/>
    </row>
    <row r="212" spans="2:35" ht="15" hidden="1" customHeight="1" x14ac:dyDescent="0.25">
      <c r="B212" s="89"/>
      <c r="C212" s="88"/>
      <c r="D212" s="80">
        <f>SUMIFS('февраль 2024'!$G$6:$G$1413,'февраль 2024'!$D$6:$D$1413,$B212,'февраль 2024'!$J$6:$J$1413,D$1)</f>
        <v>0</v>
      </c>
      <c r="E212" s="80">
        <f>SUMIFS('февраль 2024'!$G$6:$G$1413,'февраль 2024'!$D$6:$D$1413,$B212,'февраль 2024'!$J$6:$J$1413,E$1)</f>
        <v>0</v>
      </c>
      <c r="F212" s="80">
        <f>SUMIFS('февраль 2024'!$G$6:$G$1413,'февраль 2024'!$D$6:$D$1413,$B212,'февраль 2024'!$J$6:$J$1413,F$1)</f>
        <v>0</v>
      </c>
      <c r="G212" s="80">
        <f>SUMIFS('февраль 2024'!$G$6:$G$1413,'февраль 2024'!$D$6:$D$1413,$B212,'февраль 2024'!$J$6:$J$1413,G$1)</f>
        <v>0</v>
      </c>
      <c r="H212" s="80">
        <f>SUMIFS('февраль 2024'!$G$6:$G$1413,'февраль 2024'!$D$6:$D$1413,$B212,'февраль 2024'!$J$6:$J$1413,H$1)</f>
        <v>0</v>
      </c>
      <c r="I212" s="80">
        <f>SUMIFS('февраль 2024'!$G$6:$G$1413,'февраль 2024'!$D$6:$D$1413,$B212,'февраль 2024'!$J$6:$J$1413,I$1)</f>
        <v>0</v>
      </c>
      <c r="J212" s="80">
        <f>SUMIFS('февраль 2024'!$G$6:$G$1413,'февраль 2024'!$D$6:$D$1413,$B212,'февраль 2024'!$J$6:$J$1413,J$1)</f>
        <v>0</v>
      </c>
      <c r="K212" s="80">
        <f>SUMIFS('февраль 2024'!$G$6:$G$1413,'февраль 2024'!$D$6:$D$1413,$B212,'февраль 2024'!$J$6:$J$1413,K$1)</f>
        <v>0</v>
      </c>
      <c r="L212" s="80">
        <f>SUMIFS('февраль 2024'!$G$6:$G$1413,'февраль 2024'!$D$6:$D$1413,$B212,'февраль 2024'!$J$6:$J$1413,L$1)</f>
        <v>0</v>
      </c>
      <c r="M212" s="80">
        <f>SUMIFS('февраль 2024'!$G$6:$G$1413,'февраль 2024'!$D$6:$D$1413,$B212,'февраль 2024'!$J$6:$J$1413,M$1)</f>
        <v>0</v>
      </c>
      <c r="N212" s="80">
        <f>SUMIFS('февраль 2024'!$G$6:$G$1413,'февраль 2024'!$D$6:$D$1413,$B212,'февраль 2024'!$J$6:$J$1413,N$1)</f>
        <v>0</v>
      </c>
      <c r="O212" s="80">
        <f>SUMIFS('февраль 2024'!$G$6:$G$1413,'февраль 2024'!$D$6:$D$1413,$B212,'февраль 2024'!$J$6:$J$1413,O$1)</f>
        <v>0</v>
      </c>
      <c r="P212" s="80">
        <f>SUMIFS('февраль 2024'!$G$6:$G$1413,'февраль 2024'!$D$6:$D$1413,$B212,'февраль 2024'!$J$6:$J$1413,P$1)</f>
        <v>0</v>
      </c>
      <c r="Q212" s="80">
        <f>SUMIFS('февраль 2024'!$G$6:$G$1413,'февраль 2024'!$D$6:$D$1413,$B212,'февраль 2024'!$J$6:$J$1413,Q$1)</f>
        <v>0</v>
      </c>
      <c r="R212" s="80">
        <f>SUMIFS('февраль 2024'!$G$6:$G$1413,'февраль 2024'!$D$6:$D$1413,$B212,'февраль 2024'!$J$6:$J$1413,R$1)</f>
        <v>0</v>
      </c>
      <c r="S212" s="80">
        <f>SUMIFS('февраль 2024'!$G$6:$G$1413,'февраль 2024'!$D$6:$D$1413,$B212,'февраль 2024'!$J$6:$J$1413,S$1)</f>
        <v>0</v>
      </c>
      <c r="T212" s="80">
        <f>SUMIFS('февраль 2024'!$G$6:$G$1413,'февраль 2024'!$D$6:$D$1413,$B212,'февраль 2024'!$J$6:$J$1413,T$1)</f>
        <v>0</v>
      </c>
      <c r="U212" s="80">
        <f>SUMIFS('февраль 2024'!$G$6:$G$1413,'февраль 2024'!$D$6:$D$1413,$B212,'февраль 2024'!$J$6:$J$1413,U$1)</f>
        <v>0</v>
      </c>
      <c r="V212" s="80">
        <f>SUMIFS('февраль 2024'!$G$6:$G$1413,'февраль 2024'!$D$6:$D$1413,$B212,'февраль 2024'!$J$6:$J$1413,V$1)</f>
        <v>0</v>
      </c>
      <c r="W212" s="80">
        <f>SUMIFS('февраль 2024'!$G$6:$G$1413,'февраль 2024'!$D$6:$D$1413,$B212,'февраль 2024'!$J$6:$J$1413,W$1)</f>
        <v>0</v>
      </c>
      <c r="X212" s="80">
        <f>SUMIFS('февраль 2024'!$G$6:$G$1413,'февраль 2024'!$D$6:$D$1413,$B212,'февраль 2024'!$J$6:$J$1413,X$1)</f>
        <v>0</v>
      </c>
      <c r="Y212" s="80">
        <f>SUMIFS('февраль 2024'!$G$6:$G$1413,'февраль 2024'!$D$6:$D$1413,$B212,'февраль 2024'!$J$6:$J$1413,Y$1)</f>
        <v>0</v>
      </c>
      <c r="Z212" s="80">
        <f>SUMIFS('февраль 2024'!$G$6:$G$1413,'февраль 2024'!$D$6:$D$1413,$B212,'февраль 2024'!$J$6:$J$1413,Z$1)</f>
        <v>0</v>
      </c>
      <c r="AA212" s="80">
        <f>SUMIFS('февраль 2024'!$G$6:$G$1413,'февраль 2024'!$D$6:$D$1413,$B212,'февраль 2024'!$J$6:$J$1413,AA$1)</f>
        <v>0</v>
      </c>
      <c r="AB212" s="80">
        <f>SUMIFS('февраль 2024'!$G$6:$G$1413,'февраль 2024'!$D$6:$D$1413,$B212,'февраль 2024'!$J$6:$J$1413,AB$1)</f>
        <v>0</v>
      </c>
      <c r="AC212" s="80">
        <f>SUMIFS('февраль 2024'!$G$6:$G$1413,'февраль 2024'!$D$6:$D$1413,$B212,'февраль 2024'!$J$6:$J$1413,AC$1)</f>
        <v>0</v>
      </c>
      <c r="AD212" s="80">
        <f>SUMIFS('февраль 2024'!$G$6:$G$1413,'февраль 2024'!$D$6:$D$1413,$B212,'февраль 2024'!$J$6:$J$1413,AD$1)</f>
        <v>0</v>
      </c>
      <c r="AE212" s="80">
        <f>SUMIFS('февраль 2024'!$G$6:$G$1413,'февраль 2024'!$D$6:$D$1413,$B212,'февраль 2024'!$J$6:$J$1413,AE$1)</f>
        <v>0</v>
      </c>
      <c r="AF212" s="80">
        <f>SUMIFS('февраль 2024'!$G$6:$G$1413,'февраль 2024'!$D$6:$D$1413,$B212,'февраль 2024'!$J$6:$J$1413,AF$1)</f>
        <v>0</v>
      </c>
      <c r="AG212" s="80">
        <f>SUMIFS('февраль 2024'!$G$6:$G$1413,'февраль 2024'!$D$6:$D$1413,$B212,'февраль 2024'!$J$6:$J$1413,AG$1)</f>
        <v>0</v>
      </c>
      <c r="AH212" s="80">
        <f>SUMIFS('февраль 2024'!$G$6:$G$1413,'февраль 2024'!$D$6:$D$1413,$B212,'февраль 2024'!$J$6:$J$1413,AH$1)</f>
        <v>0</v>
      </c>
      <c r="AI212" s="87"/>
    </row>
    <row r="213" spans="2:35" ht="15" hidden="1" customHeight="1" x14ac:dyDescent="0.25">
      <c r="B213" s="89"/>
      <c r="C213" s="88"/>
      <c r="D213" s="80">
        <f>SUMIFS('февраль 2024'!$G$6:$G$1413,'февраль 2024'!$D$6:$D$1413,$B213,'февраль 2024'!$J$6:$J$1413,D$1)</f>
        <v>0</v>
      </c>
      <c r="E213" s="80">
        <f>SUMIFS('февраль 2024'!$G$6:$G$1413,'февраль 2024'!$D$6:$D$1413,$B213,'февраль 2024'!$J$6:$J$1413,E$1)</f>
        <v>0</v>
      </c>
      <c r="F213" s="80">
        <f>SUMIFS('февраль 2024'!$G$6:$G$1413,'февраль 2024'!$D$6:$D$1413,$B213,'февраль 2024'!$J$6:$J$1413,F$1)</f>
        <v>0</v>
      </c>
      <c r="G213" s="80">
        <f>SUMIFS('февраль 2024'!$G$6:$G$1413,'февраль 2024'!$D$6:$D$1413,$B213,'февраль 2024'!$J$6:$J$1413,G$1)</f>
        <v>0</v>
      </c>
      <c r="H213" s="80">
        <f>SUMIFS('февраль 2024'!$G$6:$G$1413,'февраль 2024'!$D$6:$D$1413,$B213,'февраль 2024'!$J$6:$J$1413,H$1)</f>
        <v>0</v>
      </c>
      <c r="I213" s="80">
        <f>SUMIFS('февраль 2024'!$G$6:$G$1413,'февраль 2024'!$D$6:$D$1413,$B213,'февраль 2024'!$J$6:$J$1413,I$1)</f>
        <v>0</v>
      </c>
      <c r="J213" s="80">
        <f>SUMIFS('февраль 2024'!$G$6:$G$1413,'февраль 2024'!$D$6:$D$1413,$B213,'февраль 2024'!$J$6:$J$1413,J$1)</f>
        <v>0</v>
      </c>
      <c r="K213" s="80">
        <f>SUMIFS('февраль 2024'!$G$6:$G$1413,'февраль 2024'!$D$6:$D$1413,$B213,'февраль 2024'!$J$6:$J$1413,K$1)</f>
        <v>0</v>
      </c>
      <c r="L213" s="80">
        <f>SUMIFS('февраль 2024'!$G$6:$G$1413,'февраль 2024'!$D$6:$D$1413,$B213,'февраль 2024'!$J$6:$J$1413,L$1)</f>
        <v>0</v>
      </c>
      <c r="M213" s="80">
        <f>SUMIFS('февраль 2024'!$G$6:$G$1413,'февраль 2024'!$D$6:$D$1413,$B213,'февраль 2024'!$J$6:$J$1413,M$1)</f>
        <v>0</v>
      </c>
      <c r="N213" s="80">
        <f>SUMIFS('февраль 2024'!$G$6:$G$1413,'февраль 2024'!$D$6:$D$1413,$B213,'февраль 2024'!$J$6:$J$1413,N$1)</f>
        <v>0</v>
      </c>
      <c r="O213" s="80">
        <f>SUMIFS('февраль 2024'!$G$6:$G$1413,'февраль 2024'!$D$6:$D$1413,$B213,'февраль 2024'!$J$6:$J$1413,O$1)</f>
        <v>0</v>
      </c>
      <c r="P213" s="80">
        <f>SUMIFS('февраль 2024'!$G$6:$G$1413,'февраль 2024'!$D$6:$D$1413,$B213,'февраль 2024'!$J$6:$J$1413,P$1)</f>
        <v>0</v>
      </c>
      <c r="Q213" s="80">
        <f>SUMIFS('февраль 2024'!$G$6:$G$1413,'февраль 2024'!$D$6:$D$1413,$B213,'февраль 2024'!$J$6:$J$1413,Q$1)</f>
        <v>0</v>
      </c>
      <c r="R213" s="80">
        <f>SUMIFS('февраль 2024'!$G$6:$G$1413,'февраль 2024'!$D$6:$D$1413,$B213,'февраль 2024'!$J$6:$J$1413,R$1)</f>
        <v>0</v>
      </c>
      <c r="S213" s="80">
        <f>SUMIFS('февраль 2024'!$G$6:$G$1413,'февраль 2024'!$D$6:$D$1413,$B213,'февраль 2024'!$J$6:$J$1413,S$1)</f>
        <v>0</v>
      </c>
      <c r="T213" s="80">
        <f>SUMIFS('февраль 2024'!$G$6:$G$1413,'февраль 2024'!$D$6:$D$1413,$B213,'февраль 2024'!$J$6:$J$1413,T$1)</f>
        <v>0</v>
      </c>
      <c r="U213" s="80">
        <f>SUMIFS('февраль 2024'!$G$6:$G$1413,'февраль 2024'!$D$6:$D$1413,$B213,'февраль 2024'!$J$6:$J$1413,U$1)</f>
        <v>0</v>
      </c>
      <c r="V213" s="80">
        <f>SUMIFS('февраль 2024'!$G$6:$G$1413,'февраль 2024'!$D$6:$D$1413,$B213,'февраль 2024'!$J$6:$J$1413,V$1)</f>
        <v>0</v>
      </c>
      <c r="W213" s="80">
        <f>SUMIFS('февраль 2024'!$G$6:$G$1413,'февраль 2024'!$D$6:$D$1413,$B213,'февраль 2024'!$J$6:$J$1413,W$1)</f>
        <v>0</v>
      </c>
      <c r="X213" s="80">
        <f>SUMIFS('февраль 2024'!$G$6:$G$1413,'февраль 2024'!$D$6:$D$1413,$B213,'февраль 2024'!$J$6:$J$1413,X$1)</f>
        <v>0</v>
      </c>
      <c r="Y213" s="80">
        <f>SUMIFS('февраль 2024'!$G$6:$G$1413,'февраль 2024'!$D$6:$D$1413,$B213,'февраль 2024'!$J$6:$J$1413,Y$1)</f>
        <v>0</v>
      </c>
      <c r="Z213" s="80">
        <f>SUMIFS('февраль 2024'!$G$6:$G$1413,'февраль 2024'!$D$6:$D$1413,$B213,'февраль 2024'!$J$6:$J$1413,Z$1)</f>
        <v>0</v>
      </c>
      <c r="AA213" s="80">
        <f>SUMIFS('февраль 2024'!$G$6:$G$1413,'февраль 2024'!$D$6:$D$1413,$B213,'февраль 2024'!$J$6:$J$1413,AA$1)</f>
        <v>0</v>
      </c>
      <c r="AB213" s="80">
        <f>SUMIFS('февраль 2024'!$G$6:$G$1413,'февраль 2024'!$D$6:$D$1413,$B213,'февраль 2024'!$J$6:$J$1413,AB$1)</f>
        <v>0</v>
      </c>
      <c r="AC213" s="80">
        <f>SUMIFS('февраль 2024'!$G$6:$G$1413,'февраль 2024'!$D$6:$D$1413,$B213,'февраль 2024'!$J$6:$J$1413,AC$1)</f>
        <v>0</v>
      </c>
      <c r="AD213" s="80">
        <f>SUMIFS('февраль 2024'!$G$6:$G$1413,'февраль 2024'!$D$6:$D$1413,$B213,'февраль 2024'!$J$6:$J$1413,AD$1)</f>
        <v>0</v>
      </c>
      <c r="AE213" s="80">
        <f>SUMIFS('февраль 2024'!$G$6:$G$1413,'февраль 2024'!$D$6:$D$1413,$B213,'февраль 2024'!$J$6:$J$1413,AE$1)</f>
        <v>0</v>
      </c>
      <c r="AF213" s="80">
        <f>SUMIFS('февраль 2024'!$G$6:$G$1413,'февраль 2024'!$D$6:$D$1413,$B213,'февраль 2024'!$J$6:$J$1413,AF$1)</f>
        <v>0</v>
      </c>
      <c r="AG213" s="80">
        <f>SUMIFS('февраль 2024'!$G$6:$G$1413,'февраль 2024'!$D$6:$D$1413,$B213,'февраль 2024'!$J$6:$J$1413,AG$1)</f>
        <v>0</v>
      </c>
      <c r="AH213" s="80">
        <f>SUMIFS('февраль 2024'!$G$6:$G$1413,'февраль 2024'!$D$6:$D$1413,$B213,'февраль 2024'!$J$6:$J$1413,AH$1)</f>
        <v>0</v>
      </c>
      <c r="AI213" s="87"/>
    </row>
    <row r="214" spans="2:35" ht="15" hidden="1" customHeight="1" x14ac:dyDescent="0.25">
      <c r="B214" s="89"/>
      <c r="C214" s="88"/>
      <c r="D214" s="80">
        <f>SUMIFS('февраль 2024'!$G$6:$G$1413,'февраль 2024'!$D$6:$D$1413,$B214,'февраль 2024'!$J$6:$J$1413,D$1)</f>
        <v>0</v>
      </c>
      <c r="E214" s="80">
        <f>SUMIFS('февраль 2024'!$G$6:$G$1413,'февраль 2024'!$D$6:$D$1413,$B214,'февраль 2024'!$J$6:$J$1413,E$1)</f>
        <v>0</v>
      </c>
      <c r="F214" s="80">
        <f>SUMIFS('февраль 2024'!$G$6:$G$1413,'февраль 2024'!$D$6:$D$1413,$B214,'февраль 2024'!$J$6:$J$1413,F$1)</f>
        <v>0</v>
      </c>
      <c r="G214" s="80">
        <f>SUMIFS('февраль 2024'!$G$6:$G$1413,'февраль 2024'!$D$6:$D$1413,$B214,'февраль 2024'!$J$6:$J$1413,G$1)</f>
        <v>0</v>
      </c>
      <c r="H214" s="80">
        <f>SUMIFS('февраль 2024'!$G$6:$G$1413,'февраль 2024'!$D$6:$D$1413,$B214,'февраль 2024'!$J$6:$J$1413,H$1)</f>
        <v>0</v>
      </c>
      <c r="I214" s="80">
        <f>SUMIFS('февраль 2024'!$G$6:$G$1413,'февраль 2024'!$D$6:$D$1413,$B214,'февраль 2024'!$J$6:$J$1413,I$1)</f>
        <v>0</v>
      </c>
      <c r="J214" s="80">
        <f>SUMIFS('февраль 2024'!$G$6:$G$1413,'февраль 2024'!$D$6:$D$1413,$B214,'февраль 2024'!$J$6:$J$1413,J$1)</f>
        <v>0</v>
      </c>
      <c r="K214" s="80">
        <f>SUMIFS('февраль 2024'!$G$6:$G$1413,'февраль 2024'!$D$6:$D$1413,$B214,'февраль 2024'!$J$6:$J$1413,K$1)</f>
        <v>0</v>
      </c>
      <c r="L214" s="80">
        <f>SUMIFS('февраль 2024'!$G$6:$G$1413,'февраль 2024'!$D$6:$D$1413,$B214,'февраль 2024'!$J$6:$J$1413,L$1)</f>
        <v>0</v>
      </c>
      <c r="M214" s="80">
        <f>SUMIFS('февраль 2024'!$G$6:$G$1413,'февраль 2024'!$D$6:$D$1413,$B214,'февраль 2024'!$J$6:$J$1413,M$1)</f>
        <v>0</v>
      </c>
      <c r="N214" s="80">
        <f>SUMIFS('февраль 2024'!$G$6:$G$1413,'февраль 2024'!$D$6:$D$1413,$B214,'февраль 2024'!$J$6:$J$1413,N$1)</f>
        <v>0</v>
      </c>
      <c r="O214" s="80">
        <f>SUMIFS('февраль 2024'!$G$6:$G$1413,'февраль 2024'!$D$6:$D$1413,$B214,'февраль 2024'!$J$6:$J$1413,O$1)</f>
        <v>0</v>
      </c>
      <c r="P214" s="80">
        <f>SUMIFS('февраль 2024'!$G$6:$G$1413,'февраль 2024'!$D$6:$D$1413,$B214,'февраль 2024'!$J$6:$J$1413,P$1)</f>
        <v>0</v>
      </c>
      <c r="Q214" s="80">
        <f>SUMIFS('февраль 2024'!$G$6:$G$1413,'февраль 2024'!$D$6:$D$1413,$B214,'февраль 2024'!$J$6:$J$1413,Q$1)</f>
        <v>0</v>
      </c>
      <c r="R214" s="80">
        <f>SUMIFS('февраль 2024'!$G$6:$G$1413,'февраль 2024'!$D$6:$D$1413,$B214,'февраль 2024'!$J$6:$J$1413,R$1)</f>
        <v>0</v>
      </c>
      <c r="S214" s="80">
        <f>SUMIFS('февраль 2024'!$G$6:$G$1413,'февраль 2024'!$D$6:$D$1413,$B214,'февраль 2024'!$J$6:$J$1413,S$1)</f>
        <v>0</v>
      </c>
      <c r="T214" s="80">
        <f>SUMIFS('февраль 2024'!$G$6:$G$1413,'февраль 2024'!$D$6:$D$1413,$B214,'февраль 2024'!$J$6:$J$1413,T$1)</f>
        <v>0</v>
      </c>
      <c r="U214" s="80">
        <f>SUMIFS('февраль 2024'!$G$6:$G$1413,'февраль 2024'!$D$6:$D$1413,$B214,'февраль 2024'!$J$6:$J$1413,U$1)</f>
        <v>0</v>
      </c>
      <c r="V214" s="80">
        <f>SUMIFS('февраль 2024'!$G$6:$G$1413,'февраль 2024'!$D$6:$D$1413,$B214,'февраль 2024'!$J$6:$J$1413,V$1)</f>
        <v>0</v>
      </c>
      <c r="W214" s="80">
        <f>SUMIFS('февраль 2024'!$G$6:$G$1413,'февраль 2024'!$D$6:$D$1413,$B214,'февраль 2024'!$J$6:$J$1413,W$1)</f>
        <v>0</v>
      </c>
      <c r="X214" s="80">
        <f>SUMIFS('февраль 2024'!$G$6:$G$1413,'февраль 2024'!$D$6:$D$1413,$B214,'февраль 2024'!$J$6:$J$1413,X$1)</f>
        <v>0</v>
      </c>
      <c r="Y214" s="80">
        <f>SUMIFS('февраль 2024'!$G$6:$G$1413,'февраль 2024'!$D$6:$D$1413,$B214,'февраль 2024'!$J$6:$J$1413,Y$1)</f>
        <v>0</v>
      </c>
      <c r="Z214" s="80">
        <f>SUMIFS('февраль 2024'!$G$6:$G$1413,'февраль 2024'!$D$6:$D$1413,$B214,'февраль 2024'!$J$6:$J$1413,Z$1)</f>
        <v>0</v>
      </c>
      <c r="AA214" s="80">
        <f>SUMIFS('февраль 2024'!$G$6:$G$1413,'февраль 2024'!$D$6:$D$1413,$B214,'февраль 2024'!$J$6:$J$1413,AA$1)</f>
        <v>0</v>
      </c>
      <c r="AB214" s="80">
        <f>SUMIFS('февраль 2024'!$G$6:$G$1413,'февраль 2024'!$D$6:$D$1413,$B214,'февраль 2024'!$J$6:$J$1413,AB$1)</f>
        <v>0</v>
      </c>
      <c r="AC214" s="80">
        <f>SUMIFS('февраль 2024'!$G$6:$G$1413,'февраль 2024'!$D$6:$D$1413,$B214,'февраль 2024'!$J$6:$J$1413,AC$1)</f>
        <v>0</v>
      </c>
      <c r="AD214" s="80">
        <f>SUMIFS('февраль 2024'!$G$6:$G$1413,'февраль 2024'!$D$6:$D$1413,$B214,'февраль 2024'!$J$6:$J$1413,AD$1)</f>
        <v>0</v>
      </c>
      <c r="AE214" s="80">
        <f>SUMIFS('февраль 2024'!$G$6:$G$1413,'февраль 2024'!$D$6:$D$1413,$B214,'февраль 2024'!$J$6:$J$1413,AE$1)</f>
        <v>0</v>
      </c>
      <c r="AF214" s="80">
        <f>SUMIFS('февраль 2024'!$G$6:$G$1413,'февраль 2024'!$D$6:$D$1413,$B214,'февраль 2024'!$J$6:$J$1413,AF$1)</f>
        <v>0</v>
      </c>
      <c r="AG214" s="80">
        <f>SUMIFS('февраль 2024'!$G$6:$G$1413,'февраль 2024'!$D$6:$D$1413,$B214,'февраль 2024'!$J$6:$J$1413,AG$1)</f>
        <v>0</v>
      </c>
      <c r="AH214" s="80">
        <f>SUMIFS('февраль 2024'!$G$6:$G$1413,'февраль 2024'!$D$6:$D$1413,$B214,'февраль 2024'!$J$6:$J$1413,AH$1)</f>
        <v>0</v>
      </c>
      <c r="AI214" s="87"/>
    </row>
    <row r="215" spans="2:35" ht="15" hidden="1" customHeight="1" x14ac:dyDescent="0.25">
      <c r="B215" s="89"/>
      <c r="C215" s="88"/>
      <c r="D215" s="80">
        <f>SUMIFS('февраль 2024'!$G$6:$G$1413,'февраль 2024'!$D$6:$D$1413,$B215,'февраль 2024'!$J$6:$J$1413,D$1)</f>
        <v>0</v>
      </c>
      <c r="E215" s="80">
        <f>SUMIFS('февраль 2024'!$G$6:$G$1413,'февраль 2024'!$D$6:$D$1413,$B215,'февраль 2024'!$J$6:$J$1413,E$1)</f>
        <v>0</v>
      </c>
      <c r="F215" s="80">
        <f>SUMIFS('февраль 2024'!$G$6:$G$1413,'февраль 2024'!$D$6:$D$1413,$B215,'февраль 2024'!$J$6:$J$1413,F$1)</f>
        <v>0</v>
      </c>
      <c r="G215" s="80">
        <f>SUMIFS('февраль 2024'!$G$6:$G$1413,'февраль 2024'!$D$6:$D$1413,$B215,'февраль 2024'!$J$6:$J$1413,G$1)</f>
        <v>0</v>
      </c>
      <c r="H215" s="80">
        <f>SUMIFS('февраль 2024'!$G$6:$G$1413,'февраль 2024'!$D$6:$D$1413,$B215,'февраль 2024'!$J$6:$J$1413,H$1)</f>
        <v>0</v>
      </c>
      <c r="I215" s="80">
        <f>SUMIFS('февраль 2024'!$G$6:$G$1413,'февраль 2024'!$D$6:$D$1413,$B215,'февраль 2024'!$J$6:$J$1413,I$1)</f>
        <v>0</v>
      </c>
      <c r="J215" s="80">
        <f>SUMIFS('февраль 2024'!$G$6:$G$1413,'февраль 2024'!$D$6:$D$1413,$B215,'февраль 2024'!$J$6:$J$1413,J$1)</f>
        <v>0</v>
      </c>
      <c r="K215" s="80">
        <f>SUMIFS('февраль 2024'!$G$6:$G$1413,'февраль 2024'!$D$6:$D$1413,$B215,'февраль 2024'!$J$6:$J$1413,K$1)</f>
        <v>0</v>
      </c>
      <c r="L215" s="80">
        <f>SUMIFS('февраль 2024'!$G$6:$G$1413,'февраль 2024'!$D$6:$D$1413,$B215,'февраль 2024'!$J$6:$J$1413,L$1)</f>
        <v>0</v>
      </c>
      <c r="M215" s="80">
        <f>SUMIFS('февраль 2024'!$G$6:$G$1413,'февраль 2024'!$D$6:$D$1413,$B215,'февраль 2024'!$J$6:$J$1413,M$1)</f>
        <v>0</v>
      </c>
      <c r="N215" s="80">
        <f>SUMIFS('февраль 2024'!$G$6:$G$1413,'февраль 2024'!$D$6:$D$1413,$B215,'февраль 2024'!$J$6:$J$1413,N$1)</f>
        <v>0</v>
      </c>
      <c r="O215" s="80">
        <f>SUMIFS('февраль 2024'!$G$6:$G$1413,'февраль 2024'!$D$6:$D$1413,$B215,'февраль 2024'!$J$6:$J$1413,O$1)</f>
        <v>0</v>
      </c>
      <c r="P215" s="80">
        <f>SUMIFS('февраль 2024'!$G$6:$G$1413,'февраль 2024'!$D$6:$D$1413,$B215,'февраль 2024'!$J$6:$J$1413,P$1)</f>
        <v>0</v>
      </c>
      <c r="Q215" s="80">
        <f>SUMIFS('февраль 2024'!$G$6:$G$1413,'февраль 2024'!$D$6:$D$1413,$B215,'февраль 2024'!$J$6:$J$1413,Q$1)</f>
        <v>0</v>
      </c>
      <c r="R215" s="80">
        <f>SUMIFS('февраль 2024'!$G$6:$G$1413,'февраль 2024'!$D$6:$D$1413,$B215,'февраль 2024'!$J$6:$J$1413,R$1)</f>
        <v>0</v>
      </c>
      <c r="S215" s="80">
        <f>SUMIFS('февраль 2024'!$G$6:$G$1413,'февраль 2024'!$D$6:$D$1413,$B215,'февраль 2024'!$J$6:$J$1413,S$1)</f>
        <v>0</v>
      </c>
      <c r="T215" s="80">
        <f>SUMIFS('февраль 2024'!$G$6:$G$1413,'февраль 2024'!$D$6:$D$1413,$B215,'февраль 2024'!$J$6:$J$1413,T$1)</f>
        <v>0</v>
      </c>
      <c r="U215" s="80">
        <f>SUMIFS('февраль 2024'!$G$6:$G$1413,'февраль 2024'!$D$6:$D$1413,$B215,'февраль 2024'!$J$6:$J$1413,U$1)</f>
        <v>0</v>
      </c>
      <c r="V215" s="80">
        <f>SUMIFS('февраль 2024'!$G$6:$G$1413,'февраль 2024'!$D$6:$D$1413,$B215,'февраль 2024'!$J$6:$J$1413,V$1)</f>
        <v>0</v>
      </c>
      <c r="W215" s="80">
        <f>SUMIFS('февраль 2024'!$G$6:$G$1413,'февраль 2024'!$D$6:$D$1413,$B215,'февраль 2024'!$J$6:$J$1413,W$1)</f>
        <v>0</v>
      </c>
      <c r="X215" s="80">
        <f>SUMIFS('февраль 2024'!$G$6:$G$1413,'февраль 2024'!$D$6:$D$1413,$B215,'февраль 2024'!$J$6:$J$1413,X$1)</f>
        <v>0</v>
      </c>
      <c r="Y215" s="80">
        <f>SUMIFS('февраль 2024'!$G$6:$G$1413,'февраль 2024'!$D$6:$D$1413,$B215,'февраль 2024'!$J$6:$J$1413,Y$1)</f>
        <v>0</v>
      </c>
      <c r="Z215" s="80">
        <f>SUMIFS('февраль 2024'!$G$6:$G$1413,'февраль 2024'!$D$6:$D$1413,$B215,'февраль 2024'!$J$6:$J$1413,Z$1)</f>
        <v>0</v>
      </c>
      <c r="AA215" s="80">
        <f>SUMIFS('февраль 2024'!$G$6:$G$1413,'февраль 2024'!$D$6:$D$1413,$B215,'февраль 2024'!$J$6:$J$1413,AA$1)</f>
        <v>0</v>
      </c>
      <c r="AB215" s="80">
        <f>SUMIFS('февраль 2024'!$G$6:$G$1413,'февраль 2024'!$D$6:$D$1413,$B215,'февраль 2024'!$J$6:$J$1413,AB$1)</f>
        <v>0</v>
      </c>
      <c r="AC215" s="80">
        <f>SUMIFS('февраль 2024'!$G$6:$G$1413,'февраль 2024'!$D$6:$D$1413,$B215,'февраль 2024'!$J$6:$J$1413,AC$1)</f>
        <v>0</v>
      </c>
      <c r="AD215" s="80">
        <f>SUMIFS('февраль 2024'!$G$6:$G$1413,'февраль 2024'!$D$6:$D$1413,$B215,'февраль 2024'!$J$6:$J$1413,AD$1)</f>
        <v>0</v>
      </c>
      <c r="AE215" s="80">
        <f>SUMIFS('февраль 2024'!$G$6:$G$1413,'февраль 2024'!$D$6:$D$1413,$B215,'февраль 2024'!$J$6:$J$1413,AE$1)</f>
        <v>0</v>
      </c>
      <c r="AF215" s="80">
        <f>SUMIFS('февраль 2024'!$G$6:$G$1413,'февраль 2024'!$D$6:$D$1413,$B215,'февраль 2024'!$J$6:$J$1413,AF$1)</f>
        <v>0</v>
      </c>
      <c r="AG215" s="80">
        <f>SUMIFS('февраль 2024'!$G$6:$G$1413,'февраль 2024'!$D$6:$D$1413,$B215,'февраль 2024'!$J$6:$J$1413,AG$1)</f>
        <v>0</v>
      </c>
      <c r="AH215" s="80">
        <f>SUMIFS('февраль 2024'!$G$6:$G$1413,'февраль 2024'!$D$6:$D$1413,$B215,'февраль 2024'!$J$6:$J$1413,AH$1)</f>
        <v>0</v>
      </c>
      <c r="AI215" s="87"/>
    </row>
    <row r="216" spans="2:35" ht="15" hidden="1" customHeight="1" x14ac:dyDescent="0.25">
      <c r="B216" s="89"/>
      <c r="C216" s="88"/>
      <c r="D216" s="80">
        <f>SUMIFS('февраль 2024'!$G$6:$G$1413,'февраль 2024'!$D$6:$D$1413,$B216,'февраль 2024'!$J$6:$J$1413,D$1)</f>
        <v>0</v>
      </c>
      <c r="E216" s="80">
        <f>SUMIFS('февраль 2024'!$G$6:$G$1413,'февраль 2024'!$D$6:$D$1413,$B216,'февраль 2024'!$J$6:$J$1413,E$1)</f>
        <v>0</v>
      </c>
      <c r="F216" s="80">
        <f>SUMIFS('февраль 2024'!$G$6:$G$1413,'февраль 2024'!$D$6:$D$1413,$B216,'февраль 2024'!$J$6:$J$1413,F$1)</f>
        <v>0</v>
      </c>
      <c r="G216" s="80">
        <f>SUMIFS('февраль 2024'!$G$6:$G$1413,'февраль 2024'!$D$6:$D$1413,$B216,'февраль 2024'!$J$6:$J$1413,G$1)</f>
        <v>0</v>
      </c>
      <c r="H216" s="80">
        <f>SUMIFS('февраль 2024'!$G$6:$G$1413,'февраль 2024'!$D$6:$D$1413,$B216,'февраль 2024'!$J$6:$J$1413,H$1)</f>
        <v>0</v>
      </c>
      <c r="I216" s="80">
        <f>SUMIFS('февраль 2024'!$G$6:$G$1413,'февраль 2024'!$D$6:$D$1413,$B216,'февраль 2024'!$J$6:$J$1413,I$1)</f>
        <v>0</v>
      </c>
      <c r="J216" s="80">
        <f>SUMIFS('февраль 2024'!$G$6:$G$1413,'февраль 2024'!$D$6:$D$1413,$B216,'февраль 2024'!$J$6:$J$1413,J$1)</f>
        <v>0</v>
      </c>
      <c r="K216" s="80">
        <f>SUMIFS('февраль 2024'!$G$6:$G$1413,'февраль 2024'!$D$6:$D$1413,$B216,'февраль 2024'!$J$6:$J$1413,K$1)</f>
        <v>0</v>
      </c>
      <c r="L216" s="80">
        <f>SUMIFS('февраль 2024'!$G$6:$G$1413,'февраль 2024'!$D$6:$D$1413,$B216,'февраль 2024'!$J$6:$J$1413,L$1)</f>
        <v>0</v>
      </c>
      <c r="M216" s="80">
        <f>SUMIFS('февраль 2024'!$G$6:$G$1413,'февраль 2024'!$D$6:$D$1413,$B216,'февраль 2024'!$J$6:$J$1413,M$1)</f>
        <v>0</v>
      </c>
      <c r="N216" s="80">
        <f>SUMIFS('февраль 2024'!$G$6:$G$1413,'февраль 2024'!$D$6:$D$1413,$B216,'февраль 2024'!$J$6:$J$1413,N$1)</f>
        <v>0</v>
      </c>
      <c r="O216" s="80">
        <f>SUMIFS('февраль 2024'!$G$6:$G$1413,'февраль 2024'!$D$6:$D$1413,$B216,'февраль 2024'!$J$6:$J$1413,O$1)</f>
        <v>0</v>
      </c>
      <c r="P216" s="80">
        <f>SUMIFS('февраль 2024'!$G$6:$G$1413,'февраль 2024'!$D$6:$D$1413,$B216,'февраль 2024'!$J$6:$J$1413,P$1)</f>
        <v>0</v>
      </c>
      <c r="Q216" s="80">
        <f>SUMIFS('февраль 2024'!$G$6:$G$1413,'февраль 2024'!$D$6:$D$1413,$B216,'февраль 2024'!$J$6:$J$1413,Q$1)</f>
        <v>0</v>
      </c>
      <c r="R216" s="80">
        <f>SUMIFS('февраль 2024'!$G$6:$G$1413,'февраль 2024'!$D$6:$D$1413,$B216,'февраль 2024'!$J$6:$J$1413,R$1)</f>
        <v>0</v>
      </c>
      <c r="S216" s="80">
        <f>SUMIFS('февраль 2024'!$G$6:$G$1413,'февраль 2024'!$D$6:$D$1413,$B216,'февраль 2024'!$J$6:$J$1413,S$1)</f>
        <v>0</v>
      </c>
      <c r="T216" s="80">
        <f>SUMIFS('февраль 2024'!$G$6:$G$1413,'февраль 2024'!$D$6:$D$1413,$B216,'февраль 2024'!$J$6:$J$1413,T$1)</f>
        <v>0</v>
      </c>
      <c r="U216" s="80">
        <f>SUMIFS('февраль 2024'!$G$6:$G$1413,'февраль 2024'!$D$6:$D$1413,$B216,'февраль 2024'!$J$6:$J$1413,U$1)</f>
        <v>0</v>
      </c>
      <c r="V216" s="80">
        <f>SUMIFS('февраль 2024'!$G$6:$G$1413,'февраль 2024'!$D$6:$D$1413,$B216,'февраль 2024'!$J$6:$J$1413,V$1)</f>
        <v>0</v>
      </c>
      <c r="W216" s="80">
        <f>SUMIFS('февраль 2024'!$G$6:$G$1413,'февраль 2024'!$D$6:$D$1413,$B216,'февраль 2024'!$J$6:$J$1413,W$1)</f>
        <v>0</v>
      </c>
      <c r="X216" s="80">
        <f>SUMIFS('февраль 2024'!$G$6:$G$1413,'февраль 2024'!$D$6:$D$1413,$B216,'февраль 2024'!$J$6:$J$1413,X$1)</f>
        <v>0</v>
      </c>
      <c r="Y216" s="80">
        <f>SUMIFS('февраль 2024'!$G$6:$G$1413,'февраль 2024'!$D$6:$D$1413,$B216,'февраль 2024'!$J$6:$J$1413,Y$1)</f>
        <v>0</v>
      </c>
      <c r="Z216" s="80">
        <f>SUMIFS('февраль 2024'!$G$6:$G$1413,'февраль 2024'!$D$6:$D$1413,$B216,'февраль 2024'!$J$6:$J$1413,Z$1)</f>
        <v>0</v>
      </c>
      <c r="AA216" s="80">
        <f>SUMIFS('февраль 2024'!$G$6:$G$1413,'февраль 2024'!$D$6:$D$1413,$B216,'февраль 2024'!$J$6:$J$1413,AA$1)</f>
        <v>0</v>
      </c>
      <c r="AB216" s="80">
        <f>SUMIFS('февраль 2024'!$G$6:$G$1413,'февраль 2024'!$D$6:$D$1413,$B216,'февраль 2024'!$J$6:$J$1413,AB$1)</f>
        <v>0</v>
      </c>
      <c r="AC216" s="80">
        <f>SUMIFS('февраль 2024'!$G$6:$G$1413,'февраль 2024'!$D$6:$D$1413,$B216,'февраль 2024'!$J$6:$J$1413,AC$1)</f>
        <v>0</v>
      </c>
      <c r="AD216" s="80">
        <f>SUMIFS('февраль 2024'!$G$6:$G$1413,'февраль 2024'!$D$6:$D$1413,$B216,'февраль 2024'!$J$6:$J$1413,AD$1)</f>
        <v>0</v>
      </c>
      <c r="AE216" s="80">
        <f>SUMIFS('февраль 2024'!$G$6:$G$1413,'февраль 2024'!$D$6:$D$1413,$B216,'февраль 2024'!$J$6:$J$1413,AE$1)</f>
        <v>0</v>
      </c>
      <c r="AF216" s="80">
        <f>SUMIFS('февраль 2024'!$G$6:$G$1413,'февраль 2024'!$D$6:$D$1413,$B216,'февраль 2024'!$J$6:$J$1413,AF$1)</f>
        <v>0</v>
      </c>
      <c r="AG216" s="80">
        <f>SUMIFS('февраль 2024'!$G$6:$G$1413,'февраль 2024'!$D$6:$D$1413,$B216,'февраль 2024'!$J$6:$J$1413,AG$1)</f>
        <v>0</v>
      </c>
      <c r="AH216" s="80">
        <f>SUMIFS('февраль 2024'!$G$6:$G$1413,'февраль 2024'!$D$6:$D$1413,$B216,'февраль 2024'!$J$6:$J$1413,AH$1)</f>
        <v>0</v>
      </c>
      <c r="AI216" s="87"/>
    </row>
    <row r="217" spans="2:35" ht="15" hidden="1" customHeight="1" x14ac:dyDescent="0.25">
      <c r="B217" s="89"/>
      <c r="C217" s="88"/>
      <c r="D217" s="80">
        <f>SUMIFS('февраль 2024'!$G$6:$G$1413,'февраль 2024'!$D$6:$D$1413,$B217,'февраль 2024'!$J$6:$J$1413,D$1)</f>
        <v>0</v>
      </c>
      <c r="E217" s="80">
        <f>SUMIFS('февраль 2024'!$G$6:$G$1413,'февраль 2024'!$D$6:$D$1413,$B217,'февраль 2024'!$J$6:$J$1413,E$1)</f>
        <v>0</v>
      </c>
      <c r="F217" s="80">
        <f>SUMIFS('февраль 2024'!$G$6:$G$1413,'февраль 2024'!$D$6:$D$1413,$B217,'февраль 2024'!$J$6:$J$1413,F$1)</f>
        <v>0</v>
      </c>
      <c r="G217" s="80">
        <f>SUMIFS('февраль 2024'!$G$6:$G$1413,'февраль 2024'!$D$6:$D$1413,$B217,'февраль 2024'!$J$6:$J$1413,G$1)</f>
        <v>0</v>
      </c>
      <c r="H217" s="80">
        <f>SUMIFS('февраль 2024'!$G$6:$G$1413,'февраль 2024'!$D$6:$D$1413,$B217,'февраль 2024'!$J$6:$J$1413,H$1)</f>
        <v>0</v>
      </c>
      <c r="I217" s="80">
        <f>SUMIFS('февраль 2024'!$G$6:$G$1413,'февраль 2024'!$D$6:$D$1413,$B217,'февраль 2024'!$J$6:$J$1413,I$1)</f>
        <v>0</v>
      </c>
      <c r="J217" s="80">
        <f>SUMIFS('февраль 2024'!$G$6:$G$1413,'февраль 2024'!$D$6:$D$1413,$B217,'февраль 2024'!$J$6:$J$1413,J$1)</f>
        <v>0</v>
      </c>
      <c r="K217" s="80">
        <f>SUMIFS('февраль 2024'!$G$6:$G$1413,'февраль 2024'!$D$6:$D$1413,$B217,'февраль 2024'!$J$6:$J$1413,K$1)</f>
        <v>0</v>
      </c>
      <c r="L217" s="80">
        <f>SUMIFS('февраль 2024'!$G$6:$G$1413,'февраль 2024'!$D$6:$D$1413,$B217,'февраль 2024'!$J$6:$J$1413,L$1)</f>
        <v>0</v>
      </c>
      <c r="M217" s="80">
        <f>SUMIFS('февраль 2024'!$G$6:$G$1413,'февраль 2024'!$D$6:$D$1413,$B217,'февраль 2024'!$J$6:$J$1413,M$1)</f>
        <v>0</v>
      </c>
      <c r="N217" s="80">
        <f>SUMIFS('февраль 2024'!$G$6:$G$1413,'февраль 2024'!$D$6:$D$1413,$B217,'февраль 2024'!$J$6:$J$1413,N$1)</f>
        <v>0</v>
      </c>
      <c r="O217" s="80">
        <f>SUMIFS('февраль 2024'!$G$6:$G$1413,'февраль 2024'!$D$6:$D$1413,$B217,'февраль 2024'!$J$6:$J$1413,O$1)</f>
        <v>0</v>
      </c>
      <c r="P217" s="80">
        <f>SUMIFS('февраль 2024'!$G$6:$G$1413,'февраль 2024'!$D$6:$D$1413,$B217,'февраль 2024'!$J$6:$J$1413,P$1)</f>
        <v>0</v>
      </c>
      <c r="Q217" s="80">
        <f>SUMIFS('февраль 2024'!$G$6:$G$1413,'февраль 2024'!$D$6:$D$1413,$B217,'февраль 2024'!$J$6:$J$1413,Q$1)</f>
        <v>0</v>
      </c>
      <c r="R217" s="80">
        <f>SUMIFS('февраль 2024'!$G$6:$G$1413,'февраль 2024'!$D$6:$D$1413,$B217,'февраль 2024'!$J$6:$J$1413,R$1)</f>
        <v>0</v>
      </c>
      <c r="S217" s="80">
        <f>SUMIFS('февраль 2024'!$G$6:$G$1413,'февраль 2024'!$D$6:$D$1413,$B217,'февраль 2024'!$J$6:$J$1413,S$1)</f>
        <v>0</v>
      </c>
      <c r="T217" s="80">
        <f>SUMIFS('февраль 2024'!$G$6:$G$1413,'февраль 2024'!$D$6:$D$1413,$B217,'февраль 2024'!$J$6:$J$1413,T$1)</f>
        <v>0</v>
      </c>
      <c r="U217" s="80">
        <f>SUMIFS('февраль 2024'!$G$6:$G$1413,'февраль 2024'!$D$6:$D$1413,$B217,'февраль 2024'!$J$6:$J$1413,U$1)</f>
        <v>0</v>
      </c>
      <c r="V217" s="80">
        <f>SUMIFS('февраль 2024'!$G$6:$G$1413,'февраль 2024'!$D$6:$D$1413,$B217,'февраль 2024'!$J$6:$J$1413,V$1)</f>
        <v>0</v>
      </c>
      <c r="W217" s="80">
        <f>SUMIFS('февраль 2024'!$G$6:$G$1413,'февраль 2024'!$D$6:$D$1413,$B217,'февраль 2024'!$J$6:$J$1413,W$1)</f>
        <v>0</v>
      </c>
      <c r="X217" s="80">
        <f>SUMIFS('февраль 2024'!$G$6:$G$1413,'февраль 2024'!$D$6:$D$1413,$B217,'февраль 2024'!$J$6:$J$1413,X$1)</f>
        <v>0</v>
      </c>
      <c r="Y217" s="80">
        <f>SUMIFS('февраль 2024'!$G$6:$G$1413,'февраль 2024'!$D$6:$D$1413,$B217,'февраль 2024'!$J$6:$J$1413,Y$1)</f>
        <v>0</v>
      </c>
      <c r="Z217" s="80">
        <f>SUMIFS('февраль 2024'!$G$6:$G$1413,'февраль 2024'!$D$6:$D$1413,$B217,'февраль 2024'!$J$6:$J$1413,Z$1)</f>
        <v>0</v>
      </c>
      <c r="AA217" s="80">
        <f>SUMIFS('февраль 2024'!$G$6:$G$1413,'февраль 2024'!$D$6:$D$1413,$B217,'февраль 2024'!$J$6:$J$1413,AA$1)</f>
        <v>0</v>
      </c>
      <c r="AB217" s="80">
        <f>SUMIFS('февраль 2024'!$G$6:$G$1413,'февраль 2024'!$D$6:$D$1413,$B217,'февраль 2024'!$J$6:$J$1413,AB$1)</f>
        <v>0</v>
      </c>
      <c r="AC217" s="80">
        <f>SUMIFS('февраль 2024'!$G$6:$G$1413,'февраль 2024'!$D$6:$D$1413,$B217,'февраль 2024'!$J$6:$J$1413,AC$1)</f>
        <v>0</v>
      </c>
      <c r="AD217" s="80">
        <f>SUMIFS('февраль 2024'!$G$6:$G$1413,'февраль 2024'!$D$6:$D$1413,$B217,'февраль 2024'!$J$6:$J$1413,AD$1)</f>
        <v>0</v>
      </c>
      <c r="AE217" s="80">
        <f>SUMIFS('февраль 2024'!$G$6:$G$1413,'февраль 2024'!$D$6:$D$1413,$B217,'февраль 2024'!$J$6:$J$1413,AE$1)</f>
        <v>0</v>
      </c>
      <c r="AF217" s="80">
        <f>SUMIFS('февраль 2024'!$G$6:$G$1413,'февраль 2024'!$D$6:$D$1413,$B217,'февраль 2024'!$J$6:$J$1413,AF$1)</f>
        <v>0</v>
      </c>
      <c r="AG217" s="80">
        <f>SUMIFS('февраль 2024'!$G$6:$G$1413,'февраль 2024'!$D$6:$D$1413,$B217,'февраль 2024'!$J$6:$J$1413,AG$1)</f>
        <v>0</v>
      </c>
      <c r="AH217" s="80">
        <f>SUMIFS('февраль 2024'!$G$6:$G$1413,'февраль 2024'!$D$6:$D$1413,$B217,'февраль 2024'!$J$6:$J$1413,AH$1)</f>
        <v>0</v>
      </c>
      <c r="AI217" s="87"/>
    </row>
    <row r="218" spans="2:35" ht="15" hidden="1" customHeight="1" thickBot="1" x14ac:dyDescent="0.3">
      <c r="B218" s="89"/>
      <c r="C218" s="96"/>
      <c r="D218" s="80">
        <f>SUMIFS('февраль 2024'!$G$6:$G$1413,'февраль 2024'!$D$6:$D$1413,$B218,'февраль 2024'!$J$6:$J$1413,D$1)</f>
        <v>0</v>
      </c>
      <c r="E218" s="80">
        <f>SUMIFS('февраль 2024'!$G$6:$G$1413,'февраль 2024'!$D$6:$D$1413,$B218,'февраль 2024'!$J$6:$J$1413,E$1)</f>
        <v>0</v>
      </c>
      <c r="F218" s="80">
        <f>SUMIFS('февраль 2024'!$G$6:$G$1413,'февраль 2024'!$D$6:$D$1413,$B218,'февраль 2024'!$J$6:$J$1413,F$1)</f>
        <v>0</v>
      </c>
      <c r="G218" s="80">
        <f>SUMIFS('февраль 2024'!$G$6:$G$1413,'февраль 2024'!$D$6:$D$1413,$B218,'февраль 2024'!$J$6:$J$1413,G$1)</f>
        <v>0</v>
      </c>
      <c r="H218" s="80">
        <f>SUMIFS('февраль 2024'!$G$6:$G$1413,'февраль 2024'!$D$6:$D$1413,$B218,'февраль 2024'!$J$6:$J$1413,H$1)</f>
        <v>0</v>
      </c>
      <c r="I218" s="80">
        <f>SUMIFS('февраль 2024'!$G$6:$G$1413,'февраль 2024'!$D$6:$D$1413,$B218,'февраль 2024'!$J$6:$J$1413,I$1)</f>
        <v>0</v>
      </c>
      <c r="J218" s="80">
        <f>SUMIFS('февраль 2024'!$G$6:$G$1413,'февраль 2024'!$D$6:$D$1413,$B218,'февраль 2024'!$J$6:$J$1413,J$1)</f>
        <v>0</v>
      </c>
      <c r="K218" s="80">
        <f>SUMIFS('февраль 2024'!$G$6:$G$1413,'февраль 2024'!$D$6:$D$1413,$B218,'февраль 2024'!$J$6:$J$1413,K$1)</f>
        <v>0</v>
      </c>
      <c r="L218" s="80">
        <f>SUMIFS('февраль 2024'!$G$6:$G$1413,'февраль 2024'!$D$6:$D$1413,$B218,'февраль 2024'!$J$6:$J$1413,L$1)</f>
        <v>0</v>
      </c>
      <c r="M218" s="80">
        <f>SUMIFS('февраль 2024'!$G$6:$G$1413,'февраль 2024'!$D$6:$D$1413,$B218,'февраль 2024'!$J$6:$J$1413,M$1)</f>
        <v>0</v>
      </c>
      <c r="N218" s="80">
        <f>SUMIFS('февраль 2024'!$G$6:$G$1413,'февраль 2024'!$D$6:$D$1413,$B218,'февраль 2024'!$J$6:$J$1413,N$1)</f>
        <v>0</v>
      </c>
      <c r="O218" s="80">
        <f>SUMIFS('февраль 2024'!$G$6:$G$1413,'февраль 2024'!$D$6:$D$1413,$B218,'февраль 2024'!$J$6:$J$1413,O$1)</f>
        <v>0</v>
      </c>
      <c r="P218" s="80">
        <f>SUMIFS('февраль 2024'!$G$6:$G$1413,'февраль 2024'!$D$6:$D$1413,$B218,'февраль 2024'!$J$6:$J$1413,P$1)</f>
        <v>0</v>
      </c>
      <c r="Q218" s="80">
        <f>SUMIFS('февраль 2024'!$G$6:$G$1413,'февраль 2024'!$D$6:$D$1413,$B218,'февраль 2024'!$J$6:$J$1413,Q$1)</f>
        <v>0</v>
      </c>
      <c r="R218" s="80">
        <f>SUMIFS('февраль 2024'!$G$6:$G$1413,'февраль 2024'!$D$6:$D$1413,$B218,'февраль 2024'!$J$6:$J$1413,R$1)</f>
        <v>0</v>
      </c>
      <c r="S218" s="80">
        <f>SUMIFS('февраль 2024'!$G$6:$G$1413,'февраль 2024'!$D$6:$D$1413,$B218,'февраль 2024'!$J$6:$J$1413,S$1)</f>
        <v>0</v>
      </c>
      <c r="T218" s="80">
        <f>SUMIFS('февраль 2024'!$G$6:$G$1413,'февраль 2024'!$D$6:$D$1413,$B218,'февраль 2024'!$J$6:$J$1413,T$1)</f>
        <v>0</v>
      </c>
      <c r="U218" s="80">
        <f>SUMIFS('февраль 2024'!$G$6:$G$1413,'февраль 2024'!$D$6:$D$1413,$B218,'февраль 2024'!$J$6:$J$1413,U$1)</f>
        <v>0</v>
      </c>
      <c r="V218" s="80">
        <f>SUMIFS('февраль 2024'!$G$6:$G$1413,'февраль 2024'!$D$6:$D$1413,$B218,'февраль 2024'!$J$6:$J$1413,V$1)</f>
        <v>0</v>
      </c>
      <c r="W218" s="80">
        <f>SUMIFS('февраль 2024'!$G$6:$G$1413,'февраль 2024'!$D$6:$D$1413,$B218,'февраль 2024'!$J$6:$J$1413,W$1)</f>
        <v>0</v>
      </c>
      <c r="X218" s="80">
        <f>SUMIFS('февраль 2024'!$G$6:$G$1413,'февраль 2024'!$D$6:$D$1413,$B218,'февраль 2024'!$J$6:$J$1413,X$1)</f>
        <v>0</v>
      </c>
      <c r="Y218" s="80">
        <f>SUMIFS('февраль 2024'!$G$6:$G$1413,'февраль 2024'!$D$6:$D$1413,$B218,'февраль 2024'!$J$6:$J$1413,Y$1)</f>
        <v>0</v>
      </c>
      <c r="Z218" s="80">
        <f>SUMIFS('февраль 2024'!$G$6:$G$1413,'февраль 2024'!$D$6:$D$1413,$B218,'февраль 2024'!$J$6:$J$1413,Z$1)</f>
        <v>0</v>
      </c>
      <c r="AA218" s="80">
        <f>SUMIFS('февраль 2024'!$G$6:$G$1413,'февраль 2024'!$D$6:$D$1413,$B218,'февраль 2024'!$J$6:$J$1413,AA$1)</f>
        <v>0</v>
      </c>
      <c r="AB218" s="80">
        <f>SUMIFS('февраль 2024'!$G$6:$G$1413,'февраль 2024'!$D$6:$D$1413,$B218,'февраль 2024'!$J$6:$J$1413,AB$1)</f>
        <v>0</v>
      </c>
      <c r="AC218" s="80">
        <f>SUMIFS('февраль 2024'!$G$6:$G$1413,'февраль 2024'!$D$6:$D$1413,$B218,'февраль 2024'!$J$6:$J$1413,AC$1)</f>
        <v>0</v>
      </c>
      <c r="AD218" s="80">
        <f>SUMIFS('февраль 2024'!$G$6:$G$1413,'февраль 2024'!$D$6:$D$1413,$B218,'февраль 2024'!$J$6:$J$1413,AD$1)</f>
        <v>0</v>
      </c>
      <c r="AE218" s="80">
        <f>SUMIFS('февраль 2024'!$G$6:$G$1413,'февраль 2024'!$D$6:$D$1413,$B218,'февраль 2024'!$J$6:$J$1413,AE$1)</f>
        <v>0</v>
      </c>
      <c r="AF218" s="80">
        <f>SUMIFS('февраль 2024'!$G$6:$G$1413,'февраль 2024'!$D$6:$D$1413,$B218,'февраль 2024'!$J$6:$J$1413,AF$1)</f>
        <v>0</v>
      </c>
      <c r="AG218" s="80">
        <f>SUMIFS('февраль 2024'!$G$6:$G$1413,'февраль 2024'!$D$6:$D$1413,$B218,'февраль 2024'!$J$6:$J$1413,AG$1)</f>
        <v>0</v>
      </c>
      <c r="AH218" s="80">
        <f>SUMIFS('февраль 2024'!$G$6:$G$1413,'февраль 2024'!$D$6:$D$1413,$B218,'февраль 2024'!$J$6:$J$1413,AH$1)</f>
        <v>0</v>
      </c>
      <c r="AI218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200-000000000000}">
          <x14:formula1>
            <xm:f>справочник!$E$1:$E$2+справочник!$E$2:$E$37</xm:f>
          </x14:formula1>
          <xm:sqref>B199:B218</xm:sqref>
        </x14:dataValidation>
        <x14:dataValidation type="list" allowBlank="1" showInputMessage="1" showErrorMessage="1" xr:uid="{00000000-0002-0000-1200-000001000000}">
          <x14:formula1>
            <xm:f>справочник!$E$2:$E$155</xm:f>
          </x14:formula1>
          <xm:sqref>B3:B198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I216"/>
  <sheetViews>
    <sheetView showZeros="0" topLeftCell="A118" zoomScale="70" zoomScaleNormal="70" workbookViewId="0">
      <selection activeCell="AO134" sqref="AO134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45505</v>
      </c>
      <c r="C1" s="72"/>
      <c r="D1" s="73">
        <f>B1</f>
        <v>45505</v>
      </c>
      <c r="E1" s="73">
        <f>D1+1</f>
        <v>45506</v>
      </c>
      <c r="F1" s="73">
        <f t="shared" ref="F1:AH1" si="0">E1+1</f>
        <v>45507</v>
      </c>
      <c r="G1" s="73">
        <f t="shared" si="0"/>
        <v>45508</v>
      </c>
      <c r="H1" s="73">
        <f t="shared" si="0"/>
        <v>45509</v>
      </c>
      <c r="I1" s="73">
        <f t="shared" si="0"/>
        <v>45510</v>
      </c>
      <c r="J1" s="73">
        <f t="shared" si="0"/>
        <v>45511</v>
      </c>
      <c r="K1" s="73">
        <f t="shared" si="0"/>
        <v>45512</v>
      </c>
      <c r="L1" s="73">
        <f t="shared" si="0"/>
        <v>45513</v>
      </c>
      <c r="M1" s="73">
        <f t="shared" si="0"/>
        <v>45514</v>
      </c>
      <c r="N1" s="73">
        <f t="shared" si="0"/>
        <v>45515</v>
      </c>
      <c r="O1" s="73">
        <f t="shared" si="0"/>
        <v>45516</v>
      </c>
      <c r="P1" s="73">
        <f t="shared" si="0"/>
        <v>45517</v>
      </c>
      <c r="Q1" s="73">
        <f t="shared" si="0"/>
        <v>45518</v>
      </c>
      <c r="R1" s="73">
        <f t="shared" si="0"/>
        <v>45519</v>
      </c>
      <c r="S1" s="73">
        <f t="shared" si="0"/>
        <v>45520</v>
      </c>
      <c r="T1" s="73">
        <f t="shared" si="0"/>
        <v>45521</v>
      </c>
      <c r="U1" s="73">
        <f t="shared" si="0"/>
        <v>45522</v>
      </c>
      <c r="V1" s="73">
        <f t="shared" si="0"/>
        <v>45523</v>
      </c>
      <c r="W1" s="73">
        <f t="shared" si="0"/>
        <v>45524</v>
      </c>
      <c r="X1" s="73">
        <f t="shared" si="0"/>
        <v>45525</v>
      </c>
      <c r="Y1" s="73">
        <f t="shared" si="0"/>
        <v>45526</v>
      </c>
      <c r="Z1" s="73">
        <f t="shared" si="0"/>
        <v>45527</v>
      </c>
      <c r="AA1" s="73">
        <f t="shared" si="0"/>
        <v>45528</v>
      </c>
      <c r="AB1" s="73">
        <f t="shared" si="0"/>
        <v>45529</v>
      </c>
      <c r="AC1" s="73">
        <f t="shared" si="0"/>
        <v>45530</v>
      </c>
      <c r="AD1" s="73">
        <f t="shared" si="0"/>
        <v>45531</v>
      </c>
      <c r="AE1" s="73">
        <f t="shared" si="0"/>
        <v>45532</v>
      </c>
      <c r="AF1" s="73">
        <f t="shared" si="0"/>
        <v>45533</v>
      </c>
      <c r="AG1" s="73">
        <f t="shared" si="0"/>
        <v>45534</v>
      </c>
      <c r="AH1" s="73">
        <f t="shared" si="0"/>
        <v>45535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SUMIFS('август 2024'!$G$4:$G$2015,'август 2024'!$D$4:$D$2015,$B3,'август 2024'!$J$4:$J$2015,D$1)</f>
        <v>0</v>
      </c>
      <c r="E3" s="80">
        <f>SUMIFS('август 2024'!$G$4:$G$2015,'август 2024'!$D$4:$D$2015,$B3,'август 2024'!$J$4:$J$2015,E$1)</f>
        <v>0</v>
      </c>
      <c r="F3" s="80">
        <f>SUMIFS('август 2024'!$G$4:$G$2015,'август 2024'!$D$4:$D$2015,$B3,'август 2024'!$J$4:$J$2015,F$1)</f>
        <v>0</v>
      </c>
      <c r="G3" s="80">
        <f>SUMIFS('август 2024'!$G$4:$G$2015,'август 2024'!$D$4:$D$2015,$B3,'август 2024'!$J$4:$J$2015,G$1)</f>
        <v>0</v>
      </c>
      <c r="H3" s="80">
        <f>SUMIFS('август 2024'!$G$4:$G$2015,'август 2024'!$D$4:$D$2015,$B3,'август 2024'!$J$4:$J$2015,H$1)</f>
        <v>0</v>
      </c>
      <c r="I3" s="80">
        <f>SUMIFS('август 2024'!$G$4:$G$2015,'август 2024'!$D$4:$D$2015,$B3,'август 2024'!$J$4:$J$2015,I$1)</f>
        <v>0</v>
      </c>
      <c r="J3" s="80">
        <f>SUMIFS('август 2024'!$G$4:$G$2015,'август 2024'!$D$4:$D$2015,$B3,'август 2024'!$J$4:$J$2015,J$1)</f>
        <v>0</v>
      </c>
      <c r="K3" s="80">
        <f>SUMIFS('август 2024'!$G$4:$G$2015,'август 2024'!$D$4:$D$2015,$B3,'август 2024'!$J$4:$J$2015,K$1)</f>
        <v>0</v>
      </c>
      <c r="L3" s="80">
        <f>SUMIFS('август 2024'!$G$4:$G$2015,'август 2024'!$D$4:$D$2015,$B3,'август 2024'!$J$4:$J$2015,L$1)</f>
        <v>0</v>
      </c>
      <c r="M3" s="80">
        <f>SUMIFS('август 2024'!$G$4:$G$2015,'август 2024'!$D$4:$D$2015,$B3,'август 2024'!$J$4:$J$2015,M$1)</f>
        <v>0</v>
      </c>
      <c r="N3" s="80">
        <f>SUMIFS('август 2024'!$G$4:$G$2015,'август 2024'!$D$4:$D$2015,$B3,'август 2024'!$J$4:$J$2015,N$1)</f>
        <v>0</v>
      </c>
      <c r="O3" s="80">
        <f>SUMIFS('август 2024'!$G$4:$G$2015,'август 2024'!$D$4:$D$2015,$B3,'август 2024'!$J$4:$J$2015,O$1)</f>
        <v>0</v>
      </c>
      <c r="P3" s="80">
        <f>SUMIFS('август 2024'!$G$4:$G$2015,'август 2024'!$D$4:$D$2015,$B3,'август 2024'!$J$4:$J$2015,P$1)</f>
        <v>0</v>
      </c>
      <c r="Q3" s="80">
        <f>SUMIFS('август 2024'!$G$4:$G$2015,'август 2024'!$D$4:$D$2015,$B3,'август 2024'!$J$4:$J$2015,Q$1)</f>
        <v>0</v>
      </c>
      <c r="R3" s="80">
        <f>SUMIFS('август 2024'!$G$4:$G$2015,'август 2024'!$D$4:$D$2015,$B3,'август 2024'!$J$4:$J$2015,R$1)</f>
        <v>0</v>
      </c>
      <c r="S3" s="80">
        <f>SUMIFS('август 2024'!$G$4:$G$2015,'август 2024'!$D$4:$D$2015,$B3,'август 2024'!$J$4:$J$2015,S$1)</f>
        <v>0</v>
      </c>
      <c r="T3" s="80">
        <f>SUMIFS('август 2024'!$G$4:$G$2015,'август 2024'!$D$4:$D$2015,$B3,'август 2024'!$J$4:$J$2015,T$1)</f>
        <v>0</v>
      </c>
      <c r="U3" s="80">
        <f>SUMIFS('август 2024'!$G$4:$G$2015,'август 2024'!$D$4:$D$2015,$B3,'август 2024'!$J$4:$J$2015,U$1)</f>
        <v>0</v>
      </c>
      <c r="V3" s="80">
        <f>SUMIFS('август 2024'!$G$4:$G$2015,'август 2024'!$D$4:$D$2015,$B3,'август 2024'!$J$4:$J$2015,V$1)</f>
        <v>0</v>
      </c>
      <c r="W3" s="80">
        <f>SUMIFS('август 2024'!$G$4:$G$2015,'август 2024'!$D$4:$D$2015,$B3,'август 2024'!$J$4:$J$2015,W$1)</f>
        <v>0</v>
      </c>
      <c r="X3" s="80">
        <f>SUMIFS('август 2024'!$G$4:$G$2015,'август 2024'!$D$4:$D$2015,$B3,'август 2024'!$J$4:$J$2015,X$1)</f>
        <v>0</v>
      </c>
      <c r="Y3" s="80">
        <f>SUMIFS('август 2024'!$G$4:$G$2015,'август 2024'!$D$4:$D$2015,$B3,'август 2024'!$J$4:$J$2015,Y$1)</f>
        <v>0</v>
      </c>
      <c r="Z3" s="80">
        <f>SUMIFS('август 2024'!$G$4:$G$2015,'август 2024'!$D$4:$D$2015,$B3,'август 2024'!$J$4:$J$2015,Z$1)</f>
        <v>0</v>
      </c>
      <c r="AA3" s="80">
        <f>SUMIFS('август 2024'!$G$4:$G$2015,'август 2024'!$D$4:$D$2015,$B3,'август 2024'!$J$4:$J$2015,AA$1)</f>
        <v>0</v>
      </c>
      <c r="AB3" s="80">
        <f>SUMIFS('август 2024'!$G$4:$G$2015,'август 2024'!$D$4:$D$2015,$B3,'август 2024'!$J$4:$J$2015,AB$1)</f>
        <v>0</v>
      </c>
      <c r="AC3" s="80">
        <f>SUMIFS('август 2024'!$G$4:$G$2015,'август 2024'!$D$4:$D$2015,$B3,'август 2024'!$J$4:$J$2015,AC$1)</f>
        <v>0</v>
      </c>
      <c r="AD3" s="80">
        <f>SUMIFS('август 2024'!$G$4:$G$2015,'август 2024'!$D$4:$D$2015,$B3,'август 2024'!$J$4:$J$2015,AD$1)</f>
        <v>0</v>
      </c>
      <c r="AE3" s="80">
        <f>SUMIFS('август 2024'!$G$4:$G$2015,'август 2024'!$D$4:$D$2015,$B3,'август 2024'!$J$4:$J$2015,AE$1)</f>
        <v>0</v>
      </c>
      <c r="AF3" s="80">
        <f>SUMIFS('август 2024'!$G$4:$G$2015,'август 2024'!$D$4:$D$2015,$B3,'август 2024'!$J$4:$J$2015,AF$1)</f>
        <v>0</v>
      </c>
      <c r="AG3" s="80">
        <f>SUMIFS('август 2024'!$G$4:$G$2015,'август 2024'!$D$4:$D$2015,$B3,'август 2024'!$J$4:$J$2015,AG$1)</f>
        <v>0</v>
      </c>
      <c r="AH3" s="80">
        <f>SUMIFS('август 2024'!$G$4:$G$2015,'август 2024'!$D$4:$D$2015,$B3,'август 2024'!$J$4:$J$2015,AH$1)</f>
        <v>0</v>
      </c>
      <c r="AI3" s="49">
        <f t="shared" ref="AI3:AI148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SUMIFS('август 2024'!$G$4:$G$2015,'август 2024'!$D$4:$D$2015,$B4,'август 2024'!$J$4:$J$2015,D$1)</f>
        <v>0</v>
      </c>
      <c r="E4" s="80">
        <f>SUMIFS('август 2024'!$G$4:$G$2015,'август 2024'!$D$4:$D$2015,$B4,'август 2024'!$J$4:$J$2015,E$1)</f>
        <v>0</v>
      </c>
      <c r="F4" s="80">
        <f>SUMIFS('август 2024'!$G$4:$G$2015,'август 2024'!$D$4:$D$2015,$B4,'август 2024'!$J$4:$J$2015,F$1)</f>
        <v>0</v>
      </c>
      <c r="G4" s="80">
        <f>SUMIFS('август 2024'!$G$4:$G$2015,'август 2024'!$D$4:$D$2015,$B4,'август 2024'!$J$4:$J$2015,G$1)</f>
        <v>0</v>
      </c>
      <c r="H4" s="80">
        <f>SUMIFS('август 2024'!$G$4:$G$2015,'август 2024'!$D$4:$D$2015,$B4,'август 2024'!$J$4:$J$2015,H$1)</f>
        <v>0</v>
      </c>
      <c r="I4" s="80">
        <f>SUMIFS('август 2024'!$G$4:$G$2015,'август 2024'!$D$4:$D$2015,$B4,'август 2024'!$J$4:$J$2015,I$1)</f>
        <v>0</v>
      </c>
      <c r="J4" s="80">
        <f>SUMIFS('август 2024'!$G$4:$G$2015,'август 2024'!$D$4:$D$2015,$B4,'август 2024'!$J$4:$J$2015,J$1)</f>
        <v>0</v>
      </c>
      <c r="K4" s="80">
        <f>SUMIFS('август 2024'!$G$4:$G$2015,'август 2024'!$D$4:$D$2015,$B4,'август 2024'!$J$4:$J$2015,K$1)</f>
        <v>0</v>
      </c>
      <c r="L4" s="80">
        <f>SUMIFS('август 2024'!$G$4:$G$2015,'август 2024'!$D$4:$D$2015,$B4,'август 2024'!$J$4:$J$2015,L$1)</f>
        <v>0</v>
      </c>
      <c r="M4" s="80">
        <f>SUMIFS('август 2024'!$G$4:$G$2015,'август 2024'!$D$4:$D$2015,$B4,'август 2024'!$J$4:$J$2015,M$1)</f>
        <v>0</v>
      </c>
      <c r="N4" s="80">
        <f>SUMIFS('август 2024'!$G$4:$G$2015,'август 2024'!$D$4:$D$2015,$B4,'август 2024'!$J$4:$J$2015,N$1)</f>
        <v>0</v>
      </c>
      <c r="O4" s="80">
        <f>SUMIFS('август 2024'!$G$4:$G$2015,'август 2024'!$D$4:$D$2015,$B4,'август 2024'!$J$4:$J$2015,O$1)</f>
        <v>0</v>
      </c>
      <c r="P4" s="80">
        <f>SUMIFS('август 2024'!$G$4:$G$2015,'август 2024'!$D$4:$D$2015,$B4,'август 2024'!$J$4:$J$2015,P$1)</f>
        <v>0</v>
      </c>
      <c r="Q4" s="80">
        <f>SUMIFS('август 2024'!$G$4:$G$2015,'август 2024'!$D$4:$D$2015,$B4,'август 2024'!$J$4:$J$2015,Q$1)</f>
        <v>0</v>
      </c>
      <c r="R4" s="80">
        <f>SUMIFS('август 2024'!$G$4:$G$2015,'август 2024'!$D$4:$D$2015,$B4,'август 2024'!$J$4:$J$2015,R$1)</f>
        <v>0</v>
      </c>
      <c r="S4" s="80">
        <f>SUMIFS('август 2024'!$G$4:$G$2015,'август 2024'!$D$4:$D$2015,$B4,'август 2024'!$J$4:$J$2015,S$1)</f>
        <v>0</v>
      </c>
      <c r="T4" s="80">
        <f>SUMIFS('август 2024'!$G$4:$G$2015,'август 2024'!$D$4:$D$2015,$B4,'август 2024'!$J$4:$J$2015,T$1)</f>
        <v>0</v>
      </c>
      <c r="U4" s="80">
        <f>SUMIFS('август 2024'!$G$4:$G$2015,'август 2024'!$D$4:$D$2015,$B4,'август 2024'!$J$4:$J$2015,U$1)</f>
        <v>0</v>
      </c>
      <c r="V4" s="80">
        <f>SUMIFS('август 2024'!$G$4:$G$2015,'август 2024'!$D$4:$D$2015,$B4,'август 2024'!$J$4:$J$2015,V$1)</f>
        <v>0</v>
      </c>
      <c r="W4" s="80">
        <f>SUMIFS('август 2024'!$G$4:$G$2015,'август 2024'!$D$4:$D$2015,$B4,'август 2024'!$J$4:$J$2015,W$1)</f>
        <v>0</v>
      </c>
      <c r="X4" s="80">
        <f>SUMIFS('август 2024'!$G$4:$G$2015,'август 2024'!$D$4:$D$2015,$B4,'август 2024'!$J$4:$J$2015,X$1)</f>
        <v>0</v>
      </c>
      <c r="Y4" s="80">
        <f>SUMIFS('август 2024'!$G$4:$G$2015,'август 2024'!$D$4:$D$2015,$B4,'август 2024'!$J$4:$J$2015,Y$1)</f>
        <v>0</v>
      </c>
      <c r="Z4" s="80">
        <f>SUMIFS('август 2024'!$G$4:$G$2015,'август 2024'!$D$4:$D$2015,$B4,'август 2024'!$J$4:$J$2015,Z$1)</f>
        <v>0</v>
      </c>
      <c r="AA4" s="80">
        <f>SUMIFS('август 2024'!$G$4:$G$2015,'август 2024'!$D$4:$D$2015,$B4,'август 2024'!$J$4:$J$2015,AA$1)</f>
        <v>0</v>
      </c>
      <c r="AB4" s="80">
        <f>SUMIFS('август 2024'!$G$4:$G$2015,'август 2024'!$D$4:$D$2015,$B4,'август 2024'!$J$4:$J$2015,AB$1)</f>
        <v>0</v>
      </c>
      <c r="AC4" s="80">
        <f>SUMIFS('август 2024'!$G$4:$G$2015,'август 2024'!$D$4:$D$2015,$B4,'август 2024'!$J$4:$J$2015,AC$1)</f>
        <v>0</v>
      </c>
      <c r="AD4" s="80">
        <f>SUMIFS('август 2024'!$G$4:$G$2015,'август 2024'!$D$4:$D$2015,$B4,'август 2024'!$J$4:$J$2015,AD$1)</f>
        <v>0</v>
      </c>
      <c r="AE4" s="80">
        <f>SUMIFS('август 2024'!$G$4:$G$2015,'август 2024'!$D$4:$D$2015,$B4,'август 2024'!$J$4:$J$2015,AE$1)</f>
        <v>0</v>
      </c>
      <c r="AF4" s="80">
        <f>SUMIFS('август 2024'!$G$4:$G$2015,'август 2024'!$D$4:$D$2015,$B4,'август 2024'!$J$4:$J$2015,AF$1)</f>
        <v>0</v>
      </c>
      <c r="AG4" s="80">
        <f>SUMIFS('август 2024'!$G$4:$G$2015,'август 2024'!$D$4:$D$2015,$B4,'август 2024'!$J$4:$J$2015,AG$1)</f>
        <v>0</v>
      </c>
      <c r="AH4" s="80">
        <f>SUMIFS('август 2024'!$G$4:$G$2015,'август 2024'!$D$4:$D$2015,$B4,'август 2024'!$J$4:$J$2015,AH$1)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SUMIFS('август 2024'!$G$4:$G$2015,'август 2024'!$D$4:$D$2015,$B5,'август 2024'!$J$4:$J$2015,D$1)</f>
        <v>0</v>
      </c>
      <c r="E5" s="80">
        <f>SUMIFS('август 2024'!$G$4:$G$2015,'август 2024'!$D$4:$D$2015,$B5,'август 2024'!$J$4:$J$2015,E$1)</f>
        <v>0</v>
      </c>
      <c r="F5" s="80">
        <f>SUMIFS('август 2024'!$G$4:$G$2015,'август 2024'!$D$4:$D$2015,$B5,'август 2024'!$J$4:$J$2015,F$1)</f>
        <v>0</v>
      </c>
      <c r="G5" s="80">
        <f>SUMIFS('август 2024'!$G$4:$G$2015,'август 2024'!$D$4:$D$2015,$B5,'август 2024'!$J$4:$J$2015,G$1)</f>
        <v>0</v>
      </c>
      <c r="H5" s="80">
        <f>SUMIFS('август 2024'!$G$4:$G$2015,'август 2024'!$D$4:$D$2015,$B5,'август 2024'!$J$4:$J$2015,H$1)</f>
        <v>800</v>
      </c>
      <c r="I5" s="80">
        <f>SUMIFS('август 2024'!$G$4:$G$2015,'август 2024'!$D$4:$D$2015,$B5,'август 2024'!$J$4:$J$2015,I$1)</f>
        <v>0</v>
      </c>
      <c r="J5" s="80">
        <f>SUMIFS('август 2024'!$G$4:$G$2015,'август 2024'!$D$4:$D$2015,$B5,'август 2024'!$J$4:$J$2015,J$1)</f>
        <v>0</v>
      </c>
      <c r="K5" s="80">
        <f>SUMIFS('август 2024'!$G$4:$G$2015,'август 2024'!$D$4:$D$2015,$B5,'август 2024'!$J$4:$J$2015,K$1)</f>
        <v>0</v>
      </c>
      <c r="L5" s="80">
        <f>SUMIFS('август 2024'!$G$4:$G$2015,'август 2024'!$D$4:$D$2015,$B5,'август 2024'!$J$4:$J$2015,L$1)</f>
        <v>0</v>
      </c>
      <c r="M5" s="80">
        <f>SUMIFS('август 2024'!$G$4:$G$2015,'август 2024'!$D$4:$D$2015,$B5,'август 2024'!$J$4:$J$2015,M$1)</f>
        <v>0</v>
      </c>
      <c r="N5" s="80">
        <f>SUMIFS('август 2024'!$G$4:$G$2015,'август 2024'!$D$4:$D$2015,$B5,'август 2024'!$J$4:$J$2015,N$1)</f>
        <v>0</v>
      </c>
      <c r="O5" s="80">
        <f>SUMIFS('август 2024'!$G$4:$G$2015,'август 2024'!$D$4:$D$2015,$B5,'август 2024'!$J$4:$J$2015,O$1)</f>
        <v>0</v>
      </c>
      <c r="P5" s="80">
        <f>SUMIFS('август 2024'!$G$4:$G$2015,'август 2024'!$D$4:$D$2015,$B5,'август 2024'!$J$4:$J$2015,P$1)</f>
        <v>0</v>
      </c>
      <c r="Q5" s="80">
        <f>SUMIFS('август 2024'!$G$4:$G$2015,'август 2024'!$D$4:$D$2015,$B5,'август 2024'!$J$4:$J$2015,Q$1)</f>
        <v>0</v>
      </c>
      <c r="R5" s="80">
        <f>SUMIFS('август 2024'!$G$4:$G$2015,'август 2024'!$D$4:$D$2015,$B5,'август 2024'!$J$4:$J$2015,R$1)</f>
        <v>0</v>
      </c>
      <c r="S5" s="80">
        <f>SUMIFS('август 2024'!$G$4:$G$2015,'август 2024'!$D$4:$D$2015,$B5,'август 2024'!$J$4:$J$2015,S$1)</f>
        <v>0</v>
      </c>
      <c r="T5" s="80">
        <f>SUMIFS('август 2024'!$G$4:$G$2015,'август 2024'!$D$4:$D$2015,$B5,'август 2024'!$J$4:$J$2015,T$1)</f>
        <v>0</v>
      </c>
      <c r="U5" s="80">
        <f>SUMIFS('август 2024'!$G$4:$G$2015,'август 2024'!$D$4:$D$2015,$B5,'август 2024'!$J$4:$J$2015,U$1)</f>
        <v>0</v>
      </c>
      <c r="V5" s="80">
        <f>SUMIFS('август 2024'!$G$4:$G$2015,'август 2024'!$D$4:$D$2015,$B5,'август 2024'!$J$4:$J$2015,V$1)</f>
        <v>0</v>
      </c>
      <c r="W5" s="80">
        <f>SUMIFS('август 2024'!$G$4:$G$2015,'август 2024'!$D$4:$D$2015,$B5,'август 2024'!$J$4:$J$2015,W$1)</f>
        <v>0</v>
      </c>
      <c r="X5" s="80">
        <f>SUMIFS('август 2024'!$G$4:$G$2015,'август 2024'!$D$4:$D$2015,$B5,'август 2024'!$J$4:$J$2015,X$1)</f>
        <v>0</v>
      </c>
      <c r="Y5" s="80">
        <f>SUMIFS('август 2024'!$G$4:$G$2015,'август 2024'!$D$4:$D$2015,$B5,'август 2024'!$J$4:$J$2015,Y$1)</f>
        <v>0</v>
      </c>
      <c r="Z5" s="80">
        <f>SUMIFS('август 2024'!$G$4:$G$2015,'август 2024'!$D$4:$D$2015,$B5,'август 2024'!$J$4:$J$2015,Z$1)</f>
        <v>0</v>
      </c>
      <c r="AA5" s="80">
        <f>SUMIFS('август 2024'!$G$4:$G$2015,'август 2024'!$D$4:$D$2015,$B5,'август 2024'!$J$4:$J$2015,AA$1)</f>
        <v>0</v>
      </c>
      <c r="AB5" s="80">
        <f>SUMIFS('август 2024'!$G$4:$G$2015,'август 2024'!$D$4:$D$2015,$B5,'август 2024'!$J$4:$J$2015,AB$1)</f>
        <v>0</v>
      </c>
      <c r="AC5" s="80">
        <f>SUMIFS('август 2024'!$G$4:$G$2015,'август 2024'!$D$4:$D$2015,$B5,'август 2024'!$J$4:$J$2015,AC$1)</f>
        <v>0</v>
      </c>
      <c r="AD5" s="80">
        <f>SUMIFS('август 2024'!$G$4:$G$2015,'август 2024'!$D$4:$D$2015,$B5,'август 2024'!$J$4:$J$2015,AD$1)</f>
        <v>0</v>
      </c>
      <c r="AE5" s="80">
        <f>SUMIFS('август 2024'!$G$4:$G$2015,'август 2024'!$D$4:$D$2015,$B5,'август 2024'!$J$4:$J$2015,AE$1)</f>
        <v>0</v>
      </c>
      <c r="AF5" s="80">
        <f>SUMIFS('август 2024'!$G$4:$G$2015,'август 2024'!$D$4:$D$2015,$B5,'август 2024'!$J$4:$J$2015,AF$1)</f>
        <v>0</v>
      </c>
      <c r="AG5" s="80">
        <f>SUMIFS('август 2024'!$G$4:$G$2015,'август 2024'!$D$4:$D$2015,$B5,'август 2024'!$J$4:$J$2015,AG$1)</f>
        <v>0</v>
      </c>
      <c r="AH5" s="80">
        <f>SUMIFS('август 2024'!$G$4:$G$2015,'август 2024'!$D$4:$D$2015,$B5,'август 2024'!$J$4:$J$2015,AH$1)</f>
        <v>0</v>
      </c>
      <c r="AI5" s="21">
        <f t="shared" si="1"/>
        <v>800</v>
      </c>
    </row>
    <row r="6" spans="2:35" ht="15" customHeight="1" x14ac:dyDescent="0.25">
      <c r="B6" s="81" t="s">
        <v>281</v>
      </c>
      <c r="C6" s="82">
        <v>22.7</v>
      </c>
      <c r="D6" s="80">
        <f>SUMIFS('август 2024'!$G$4:$G$2015,'август 2024'!$D$4:$D$2015,$B6,'август 2024'!$J$4:$J$2015,D$1)</f>
        <v>0</v>
      </c>
      <c r="E6" s="80">
        <f>SUMIFS('август 2024'!$G$4:$G$2015,'август 2024'!$D$4:$D$2015,$B6,'август 2024'!$J$4:$J$2015,E$1)</f>
        <v>0</v>
      </c>
      <c r="F6" s="80">
        <f>SUMIFS('август 2024'!$G$4:$G$2015,'август 2024'!$D$4:$D$2015,$B6,'август 2024'!$J$4:$J$2015,F$1)</f>
        <v>0</v>
      </c>
      <c r="G6" s="80">
        <f>SUMIFS('август 2024'!$G$4:$G$2015,'август 2024'!$D$4:$D$2015,$B6,'август 2024'!$J$4:$J$2015,G$1)</f>
        <v>0</v>
      </c>
      <c r="H6" s="80">
        <f>SUMIFS('август 2024'!$G$4:$G$2015,'август 2024'!$D$4:$D$2015,$B6,'август 2024'!$J$4:$J$2015,H$1)</f>
        <v>0</v>
      </c>
      <c r="I6" s="80">
        <f>SUMIFS('август 2024'!$G$4:$G$2015,'август 2024'!$D$4:$D$2015,$B6,'август 2024'!$J$4:$J$2015,I$1)</f>
        <v>0</v>
      </c>
      <c r="J6" s="80">
        <f>SUMIFS('август 2024'!$G$4:$G$2015,'август 2024'!$D$4:$D$2015,$B6,'август 2024'!$J$4:$J$2015,J$1)</f>
        <v>0</v>
      </c>
      <c r="K6" s="80">
        <f>SUMIFS('август 2024'!$G$4:$G$2015,'август 2024'!$D$4:$D$2015,$B6,'август 2024'!$J$4:$J$2015,K$1)</f>
        <v>0</v>
      </c>
      <c r="L6" s="80">
        <f>SUMIFS('август 2024'!$G$4:$G$2015,'август 2024'!$D$4:$D$2015,$B6,'август 2024'!$J$4:$J$2015,L$1)</f>
        <v>0</v>
      </c>
      <c r="M6" s="80">
        <f>SUMIFS('август 2024'!$G$4:$G$2015,'август 2024'!$D$4:$D$2015,$B6,'август 2024'!$J$4:$J$2015,M$1)</f>
        <v>0</v>
      </c>
      <c r="N6" s="80">
        <f>SUMIFS('август 2024'!$G$4:$G$2015,'август 2024'!$D$4:$D$2015,$B6,'август 2024'!$J$4:$J$2015,N$1)</f>
        <v>0</v>
      </c>
      <c r="O6" s="80">
        <f>SUMIFS('август 2024'!$G$4:$G$2015,'август 2024'!$D$4:$D$2015,$B6,'август 2024'!$J$4:$J$2015,O$1)</f>
        <v>0</v>
      </c>
      <c r="P6" s="80">
        <f>SUMIFS('август 2024'!$G$4:$G$2015,'август 2024'!$D$4:$D$2015,$B6,'август 2024'!$J$4:$J$2015,P$1)</f>
        <v>0</v>
      </c>
      <c r="Q6" s="80">
        <f>SUMIFS('август 2024'!$G$4:$G$2015,'август 2024'!$D$4:$D$2015,$B6,'август 2024'!$J$4:$J$2015,Q$1)</f>
        <v>0</v>
      </c>
      <c r="R6" s="80">
        <f>SUMIFS('август 2024'!$G$4:$G$2015,'август 2024'!$D$4:$D$2015,$B6,'август 2024'!$J$4:$J$2015,R$1)</f>
        <v>0</v>
      </c>
      <c r="S6" s="80">
        <f>SUMIFS('август 2024'!$G$4:$G$2015,'август 2024'!$D$4:$D$2015,$B6,'август 2024'!$J$4:$J$2015,S$1)</f>
        <v>0</v>
      </c>
      <c r="T6" s="80">
        <f>SUMIFS('август 2024'!$G$4:$G$2015,'август 2024'!$D$4:$D$2015,$B6,'август 2024'!$J$4:$J$2015,T$1)</f>
        <v>0</v>
      </c>
      <c r="U6" s="80">
        <f>SUMIFS('август 2024'!$G$4:$G$2015,'август 2024'!$D$4:$D$2015,$B6,'август 2024'!$J$4:$J$2015,U$1)</f>
        <v>0</v>
      </c>
      <c r="V6" s="80">
        <f>SUMIFS('август 2024'!$G$4:$G$2015,'август 2024'!$D$4:$D$2015,$B6,'август 2024'!$J$4:$J$2015,V$1)</f>
        <v>0</v>
      </c>
      <c r="W6" s="80">
        <f>SUMIFS('август 2024'!$G$4:$G$2015,'август 2024'!$D$4:$D$2015,$B6,'август 2024'!$J$4:$J$2015,W$1)</f>
        <v>0</v>
      </c>
      <c r="X6" s="80">
        <f>SUMIFS('август 2024'!$G$4:$G$2015,'август 2024'!$D$4:$D$2015,$B6,'август 2024'!$J$4:$J$2015,X$1)</f>
        <v>0</v>
      </c>
      <c r="Y6" s="80">
        <f>SUMIFS('август 2024'!$G$4:$G$2015,'август 2024'!$D$4:$D$2015,$B6,'август 2024'!$J$4:$J$2015,Y$1)</f>
        <v>0</v>
      </c>
      <c r="Z6" s="80">
        <f>SUMIFS('август 2024'!$G$4:$G$2015,'август 2024'!$D$4:$D$2015,$B6,'август 2024'!$J$4:$J$2015,Z$1)</f>
        <v>0</v>
      </c>
      <c r="AA6" s="80">
        <f>SUMIFS('август 2024'!$G$4:$G$2015,'август 2024'!$D$4:$D$2015,$B6,'август 2024'!$J$4:$J$2015,AA$1)</f>
        <v>0</v>
      </c>
      <c r="AB6" s="80">
        <f>SUMIFS('август 2024'!$G$4:$G$2015,'август 2024'!$D$4:$D$2015,$B6,'август 2024'!$J$4:$J$2015,AB$1)</f>
        <v>0</v>
      </c>
      <c r="AC6" s="80">
        <f>SUMIFS('август 2024'!$G$4:$G$2015,'август 2024'!$D$4:$D$2015,$B6,'август 2024'!$J$4:$J$2015,AC$1)</f>
        <v>0</v>
      </c>
      <c r="AD6" s="80">
        <f>SUMIFS('август 2024'!$G$4:$G$2015,'август 2024'!$D$4:$D$2015,$B6,'август 2024'!$J$4:$J$2015,AD$1)</f>
        <v>0</v>
      </c>
      <c r="AE6" s="80">
        <f>SUMIFS('август 2024'!$G$4:$G$2015,'август 2024'!$D$4:$D$2015,$B6,'август 2024'!$J$4:$J$2015,AE$1)</f>
        <v>0</v>
      </c>
      <c r="AF6" s="80">
        <f>SUMIFS('август 2024'!$G$4:$G$2015,'август 2024'!$D$4:$D$2015,$B6,'август 2024'!$J$4:$J$2015,AF$1)</f>
        <v>0</v>
      </c>
      <c r="AG6" s="80">
        <f>SUMIFS('август 2024'!$G$4:$G$2015,'август 2024'!$D$4:$D$2015,$B6,'август 2024'!$J$4:$J$2015,AG$1)</f>
        <v>0</v>
      </c>
      <c r="AH6" s="80">
        <f>SUMIFS('август 2024'!$G$4:$G$2015,'август 2024'!$D$4:$D$2015,$B6,'август 2024'!$J$4:$J$2015,AH$1)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SUMIFS('август 2024'!$G$4:$G$2015,'август 2024'!$D$4:$D$2015,$B7,'август 2024'!$J$4:$J$2015,D$1)</f>
        <v>0</v>
      </c>
      <c r="E7" s="80">
        <f>SUMIFS('август 2024'!$G$4:$G$2015,'август 2024'!$D$4:$D$2015,$B7,'август 2024'!$J$4:$J$2015,E$1)</f>
        <v>0</v>
      </c>
      <c r="F7" s="80">
        <f>SUMIFS('август 2024'!$G$4:$G$2015,'август 2024'!$D$4:$D$2015,$B7,'август 2024'!$J$4:$J$2015,F$1)</f>
        <v>0</v>
      </c>
      <c r="G7" s="80">
        <f>SUMIFS('август 2024'!$G$4:$G$2015,'август 2024'!$D$4:$D$2015,$B7,'август 2024'!$J$4:$J$2015,G$1)</f>
        <v>0</v>
      </c>
      <c r="H7" s="80">
        <f>SUMIFS('август 2024'!$G$4:$G$2015,'август 2024'!$D$4:$D$2015,$B7,'август 2024'!$J$4:$J$2015,H$1)</f>
        <v>0</v>
      </c>
      <c r="I7" s="80">
        <f>SUMIFS('август 2024'!$G$4:$G$2015,'август 2024'!$D$4:$D$2015,$B7,'август 2024'!$J$4:$J$2015,I$1)</f>
        <v>0</v>
      </c>
      <c r="J7" s="80">
        <f>SUMIFS('август 2024'!$G$4:$G$2015,'август 2024'!$D$4:$D$2015,$B7,'август 2024'!$J$4:$J$2015,J$1)</f>
        <v>0</v>
      </c>
      <c r="K7" s="80">
        <f>SUMIFS('август 2024'!$G$4:$G$2015,'август 2024'!$D$4:$D$2015,$B7,'август 2024'!$J$4:$J$2015,K$1)</f>
        <v>0</v>
      </c>
      <c r="L7" s="80">
        <f>SUMIFS('август 2024'!$G$4:$G$2015,'август 2024'!$D$4:$D$2015,$B7,'август 2024'!$J$4:$J$2015,L$1)</f>
        <v>0</v>
      </c>
      <c r="M7" s="80">
        <f>SUMIFS('август 2024'!$G$4:$G$2015,'август 2024'!$D$4:$D$2015,$B7,'август 2024'!$J$4:$J$2015,M$1)</f>
        <v>0</v>
      </c>
      <c r="N7" s="80">
        <f>SUMIFS('август 2024'!$G$4:$G$2015,'август 2024'!$D$4:$D$2015,$B7,'август 2024'!$J$4:$J$2015,N$1)</f>
        <v>0</v>
      </c>
      <c r="O7" s="80">
        <f>SUMIFS('август 2024'!$G$4:$G$2015,'август 2024'!$D$4:$D$2015,$B7,'август 2024'!$J$4:$J$2015,O$1)</f>
        <v>0</v>
      </c>
      <c r="P7" s="80">
        <f>SUMIFS('август 2024'!$G$4:$G$2015,'август 2024'!$D$4:$D$2015,$B7,'август 2024'!$J$4:$J$2015,P$1)</f>
        <v>0</v>
      </c>
      <c r="Q7" s="80">
        <f>SUMIFS('август 2024'!$G$4:$G$2015,'август 2024'!$D$4:$D$2015,$B7,'август 2024'!$J$4:$J$2015,Q$1)</f>
        <v>0</v>
      </c>
      <c r="R7" s="80">
        <f>SUMIFS('август 2024'!$G$4:$G$2015,'август 2024'!$D$4:$D$2015,$B7,'август 2024'!$J$4:$J$2015,R$1)</f>
        <v>0</v>
      </c>
      <c r="S7" s="80">
        <f>SUMIFS('август 2024'!$G$4:$G$2015,'август 2024'!$D$4:$D$2015,$B7,'август 2024'!$J$4:$J$2015,S$1)</f>
        <v>0</v>
      </c>
      <c r="T7" s="80">
        <f>SUMIFS('август 2024'!$G$4:$G$2015,'август 2024'!$D$4:$D$2015,$B7,'август 2024'!$J$4:$J$2015,T$1)</f>
        <v>0</v>
      </c>
      <c r="U7" s="80">
        <f>SUMIFS('август 2024'!$G$4:$G$2015,'август 2024'!$D$4:$D$2015,$B7,'август 2024'!$J$4:$J$2015,U$1)</f>
        <v>0</v>
      </c>
      <c r="V7" s="80">
        <f>SUMIFS('август 2024'!$G$4:$G$2015,'август 2024'!$D$4:$D$2015,$B7,'август 2024'!$J$4:$J$2015,V$1)</f>
        <v>0</v>
      </c>
      <c r="W7" s="80">
        <f>SUMIFS('август 2024'!$G$4:$G$2015,'август 2024'!$D$4:$D$2015,$B7,'август 2024'!$J$4:$J$2015,W$1)</f>
        <v>0</v>
      </c>
      <c r="X7" s="80">
        <f>SUMIFS('август 2024'!$G$4:$G$2015,'август 2024'!$D$4:$D$2015,$B7,'август 2024'!$J$4:$J$2015,X$1)</f>
        <v>0</v>
      </c>
      <c r="Y7" s="80">
        <f>SUMIFS('август 2024'!$G$4:$G$2015,'август 2024'!$D$4:$D$2015,$B7,'август 2024'!$J$4:$J$2015,Y$1)</f>
        <v>0</v>
      </c>
      <c r="Z7" s="80">
        <f>SUMIFS('август 2024'!$G$4:$G$2015,'август 2024'!$D$4:$D$2015,$B7,'август 2024'!$J$4:$J$2015,Z$1)</f>
        <v>0</v>
      </c>
      <c r="AA7" s="80">
        <f>SUMIFS('август 2024'!$G$4:$G$2015,'август 2024'!$D$4:$D$2015,$B7,'август 2024'!$J$4:$J$2015,AA$1)</f>
        <v>0</v>
      </c>
      <c r="AB7" s="80">
        <f>SUMIFS('август 2024'!$G$4:$G$2015,'август 2024'!$D$4:$D$2015,$B7,'август 2024'!$J$4:$J$2015,AB$1)</f>
        <v>0</v>
      </c>
      <c r="AC7" s="80">
        <f>SUMIFS('август 2024'!$G$4:$G$2015,'август 2024'!$D$4:$D$2015,$B7,'август 2024'!$J$4:$J$2015,AC$1)</f>
        <v>0</v>
      </c>
      <c r="AD7" s="80">
        <f>SUMIFS('август 2024'!$G$4:$G$2015,'август 2024'!$D$4:$D$2015,$B7,'август 2024'!$J$4:$J$2015,AD$1)</f>
        <v>0</v>
      </c>
      <c r="AE7" s="80">
        <f>SUMIFS('август 2024'!$G$4:$G$2015,'август 2024'!$D$4:$D$2015,$B7,'август 2024'!$J$4:$J$2015,AE$1)</f>
        <v>0</v>
      </c>
      <c r="AF7" s="80">
        <f>SUMIFS('август 2024'!$G$4:$G$2015,'август 2024'!$D$4:$D$2015,$B7,'август 2024'!$J$4:$J$2015,AF$1)</f>
        <v>0</v>
      </c>
      <c r="AG7" s="80">
        <f>SUMIFS('август 2024'!$G$4:$G$2015,'август 2024'!$D$4:$D$2015,$B7,'август 2024'!$J$4:$J$2015,AG$1)</f>
        <v>0</v>
      </c>
      <c r="AH7" s="80">
        <f>SUMIFS('август 2024'!$G$4:$G$2015,'август 2024'!$D$4:$D$2015,$B7,'август 2024'!$J$4:$J$2015,AH$1)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SUMIFS('август 2024'!$G$4:$G$2015,'август 2024'!$D$4:$D$2015,$B8,'август 2024'!$J$4:$J$2015,D$1)</f>
        <v>0</v>
      </c>
      <c r="E8" s="80">
        <f>SUMIFS('август 2024'!$G$4:$G$2015,'август 2024'!$D$4:$D$2015,$B8,'август 2024'!$J$4:$J$2015,E$1)</f>
        <v>0</v>
      </c>
      <c r="F8" s="80">
        <f>SUMIFS('август 2024'!$G$4:$G$2015,'август 2024'!$D$4:$D$2015,$B8,'август 2024'!$J$4:$J$2015,F$1)</f>
        <v>0</v>
      </c>
      <c r="G8" s="80">
        <f>SUMIFS('август 2024'!$G$4:$G$2015,'август 2024'!$D$4:$D$2015,$B8,'август 2024'!$J$4:$J$2015,G$1)</f>
        <v>0</v>
      </c>
      <c r="H8" s="80">
        <f>SUMIFS('август 2024'!$G$4:$G$2015,'август 2024'!$D$4:$D$2015,$B8,'август 2024'!$J$4:$J$2015,H$1)</f>
        <v>0</v>
      </c>
      <c r="I8" s="80">
        <f>SUMIFS('август 2024'!$G$4:$G$2015,'август 2024'!$D$4:$D$2015,$B8,'август 2024'!$J$4:$J$2015,I$1)</f>
        <v>240</v>
      </c>
      <c r="J8" s="80">
        <f>SUMIFS('август 2024'!$G$4:$G$2015,'август 2024'!$D$4:$D$2015,$B8,'август 2024'!$J$4:$J$2015,J$1)</f>
        <v>0</v>
      </c>
      <c r="K8" s="80">
        <f>SUMIFS('август 2024'!$G$4:$G$2015,'август 2024'!$D$4:$D$2015,$B8,'август 2024'!$J$4:$J$2015,K$1)</f>
        <v>0</v>
      </c>
      <c r="L8" s="80">
        <f>SUMIFS('август 2024'!$G$4:$G$2015,'август 2024'!$D$4:$D$2015,$B8,'август 2024'!$J$4:$J$2015,L$1)</f>
        <v>0</v>
      </c>
      <c r="M8" s="80">
        <f>SUMIFS('август 2024'!$G$4:$G$2015,'август 2024'!$D$4:$D$2015,$B8,'август 2024'!$J$4:$J$2015,M$1)</f>
        <v>0</v>
      </c>
      <c r="N8" s="80">
        <f>SUMIFS('август 2024'!$G$4:$G$2015,'август 2024'!$D$4:$D$2015,$B8,'август 2024'!$J$4:$J$2015,N$1)</f>
        <v>0</v>
      </c>
      <c r="O8" s="80">
        <f>SUMIFS('август 2024'!$G$4:$G$2015,'август 2024'!$D$4:$D$2015,$B8,'август 2024'!$J$4:$J$2015,O$1)</f>
        <v>0</v>
      </c>
      <c r="P8" s="80">
        <f>SUMIFS('август 2024'!$G$4:$G$2015,'август 2024'!$D$4:$D$2015,$B8,'август 2024'!$J$4:$J$2015,P$1)</f>
        <v>0</v>
      </c>
      <c r="Q8" s="80">
        <f>SUMIFS('август 2024'!$G$4:$G$2015,'август 2024'!$D$4:$D$2015,$B8,'август 2024'!$J$4:$J$2015,Q$1)</f>
        <v>0</v>
      </c>
      <c r="R8" s="80">
        <f>SUMIFS('август 2024'!$G$4:$G$2015,'август 2024'!$D$4:$D$2015,$B8,'август 2024'!$J$4:$J$2015,R$1)</f>
        <v>0</v>
      </c>
      <c r="S8" s="80">
        <f>SUMIFS('август 2024'!$G$4:$G$2015,'август 2024'!$D$4:$D$2015,$B8,'август 2024'!$J$4:$J$2015,S$1)</f>
        <v>0</v>
      </c>
      <c r="T8" s="80">
        <f>SUMIFS('август 2024'!$G$4:$G$2015,'август 2024'!$D$4:$D$2015,$B8,'август 2024'!$J$4:$J$2015,T$1)</f>
        <v>0</v>
      </c>
      <c r="U8" s="80">
        <f>SUMIFS('август 2024'!$G$4:$G$2015,'август 2024'!$D$4:$D$2015,$B8,'август 2024'!$J$4:$J$2015,U$1)</f>
        <v>0</v>
      </c>
      <c r="V8" s="80">
        <f>SUMIFS('август 2024'!$G$4:$G$2015,'август 2024'!$D$4:$D$2015,$B8,'август 2024'!$J$4:$J$2015,V$1)</f>
        <v>0</v>
      </c>
      <c r="W8" s="80">
        <f>SUMIFS('август 2024'!$G$4:$G$2015,'август 2024'!$D$4:$D$2015,$B8,'август 2024'!$J$4:$J$2015,W$1)</f>
        <v>0</v>
      </c>
      <c r="X8" s="80">
        <f>SUMIFS('август 2024'!$G$4:$G$2015,'август 2024'!$D$4:$D$2015,$B8,'август 2024'!$J$4:$J$2015,X$1)</f>
        <v>800</v>
      </c>
      <c r="Y8" s="80">
        <f>SUMIFS('август 2024'!$G$4:$G$2015,'август 2024'!$D$4:$D$2015,$B8,'август 2024'!$J$4:$J$2015,Y$1)</f>
        <v>800</v>
      </c>
      <c r="Z8" s="80">
        <f>SUMIFS('август 2024'!$G$4:$G$2015,'август 2024'!$D$4:$D$2015,$B8,'август 2024'!$J$4:$J$2015,Z$1)</f>
        <v>0</v>
      </c>
      <c r="AA8" s="80">
        <f>SUMIFS('август 2024'!$G$4:$G$2015,'август 2024'!$D$4:$D$2015,$B8,'август 2024'!$J$4:$J$2015,AA$1)</f>
        <v>0</v>
      </c>
      <c r="AB8" s="80">
        <f>SUMIFS('август 2024'!$G$4:$G$2015,'август 2024'!$D$4:$D$2015,$B8,'август 2024'!$J$4:$J$2015,AB$1)</f>
        <v>0</v>
      </c>
      <c r="AC8" s="80">
        <f>SUMIFS('август 2024'!$G$4:$G$2015,'август 2024'!$D$4:$D$2015,$B8,'август 2024'!$J$4:$J$2015,AC$1)</f>
        <v>0</v>
      </c>
      <c r="AD8" s="80">
        <f>SUMIFS('август 2024'!$G$4:$G$2015,'август 2024'!$D$4:$D$2015,$B8,'август 2024'!$J$4:$J$2015,AD$1)</f>
        <v>0</v>
      </c>
      <c r="AE8" s="80">
        <f>SUMIFS('август 2024'!$G$4:$G$2015,'август 2024'!$D$4:$D$2015,$B8,'август 2024'!$J$4:$J$2015,AE$1)</f>
        <v>0</v>
      </c>
      <c r="AF8" s="80">
        <f>SUMIFS('август 2024'!$G$4:$G$2015,'август 2024'!$D$4:$D$2015,$B8,'август 2024'!$J$4:$J$2015,AF$1)</f>
        <v>0</v>
      </c>
      <c r="AG8" s="80">
        <f>SUMIFS('август 2024'!$G$4:$G$2015,'август 2024'!$D$4:$D$2015,$B8,'август 2024'!$J$4:$J$2015,AG$1)</f>
        <v>0</v>
      </c>
      <c r="AH8" s="80">
        <f>SUMIFS('август 2024'!$G$4:$G$2015,'август 2024'!$D$4:$D$2015,$B8,'август 2024'!$J$4:$J$2015,AH$1)</f>
        <v>0</v>
      </c>
      <c r="AI8" s="21">
        <f t="shared" si="1"/>
        <v>1840</v>
      </c>
    </row>
    <row r="9" spans="2:35" ht="15" customHeight="1" x14ac:dyDescent="0.25">
      <c r="B9" s="81" t="s">
        <v>287</v>
      </c>
      <c r="C9" s="82">
        <v>25</v>
      </c>
      <c r="D9" s="80">
        <f>SUMIFS('август 2024'!$G$4:$G$2015,'август 2024'!$D$4:$D$2015,$B9,'август 2024'!$J$4:$J$2015,D$1)</f>
        <v>0</v>
      </c>
      <c r="E9" s="80">
        <f>SUMIFS('август 2024'!$G$4:$G$2015,'август 2024'!$D$4:$D$2015,$B9,'август 2024'!$J$4:$J$2015,E$1)</f>
        <v>0</v>
      </c>
      <c r="F9" s="80">
        <f>SUMIFS('август 2024'!$G$4:$G$2015,'август 2024'!$D$4:$D$2015,$B9,'август 2024'!$J$4:$J$2015,F$1)</f>
        <v>0</v>
      </c>
      <c r="G9" s="80">
        <f>SUMIFS('август 2024'!$G$4:$G$2015,'август 2024'!$D$4:$D$2015,$B9,'август 2024'!$J$4:$J$2015,G$1)</f>
        <v>0</v>
      </c>
      <c r="H9" s="80">
        <f>SUMIFS('август 2024'!$G$4:$G$2015,'август 2024'!$D$4:$D$2015,$B9,'август 2024'!$J$4:$J$2015,H$1)</f>
        <v>0</v>
      </c>
      <c r="I9" s="80">
        <f>SUMIFS('август 2024'!$G$4:$G$2015,'август 2024'!$D$4:$D$2015,$B9,'август 2024'!$J$4:$J$2015,I$1)</f>
        <v>0</v>
      </c>
      <c r="J9" s="80">
        <f>SUMIFS('август 2024'!$G$4:$G$2015,'август 2024'!$D$4:$D$2015,$B9,'август 2024'!$J$4:$J$2015,J$1)</f>
        <v>0</v>
      </c>
      <c r="K9" s="80">
        <f>SUMIFS('август 2024'!$G$4:$G$2015,'август 2024'!$D$4:$D$2015,$B9,'август 2024'!$J$4:$J$2015,K$1)</f>
        <v>0</v>
      </c>
      <c r="L9" s="80">
        <f>SUMIFS('август 2024'!$G$4:$G$2015,'август 2024'!$D$4:$D$2015,$B9,'август 2024'!$J$4:$J$2015,L$1)</f>
        <v>800</v>
      </c>
      <c r="M9" s="80">
        <f>SUMIFS('август 2024'!$G$4:$G$2015,'август 2024'!$D$4:$D$2015,$B9,'август 2024'!$J$4:$J$2015,M$1)</f>
        <v>0</v>
      </c>
      <c r="N9" s="80">
        <f>SUMIFS('август 2024'!$G$4:$G$2015,'август 2024'!$D$4:$D$2015,$B9,'август 2024'!$J$4:$J$2015,N$1)</f>
        <v>0</v>
      </c>
      <c r="O9" s="80">
        <f>SUMIFS('август 2024'!$G$4:$G$2015,'август 2024'!$D$4:$D$2015,$B9,'август 2024'!$J$4:$J$2015,O$1)</f>
        <v>0</v>
      </c>
      <c r="P9" s="80">
        <f>SUMIFS('август 2024'!$G$4:$G$2015,'август 2024'!$D$4:$D$2015,$B9,'август 2024'!$J$4:$J$2015,P$1)</f>
        <v>0</v>
      </c>
      <c r="Q9" s="80">
        <f>SUMIFS('август 2024'!$G$4:$G$2015,'август 2024'!$D$4:$D$2015,$B9,'август 2024'!$J$4:$J$2015,Q$1)</f>
        <v>0</v>
      </c>
      <c r="R9" s="80">
        <f>SUMIFS('август 2024'!$G$4:$G$2015,'август 2024'!$D$4:$D$2015,$B9,'август 2024'!$J$4:$J$2015,R$1)</f>
        <v>0</v>
      </c>
      <c r="S9" s="80">
        <f>SUMIFS('август 2024'!$G$4:$G$2015,'август 2024'!$D$4:$D$2015,$B9,'август 2024'!$J$4:$J$2015,S$1)</f>
        <v>0</v>
      </c>
      <c r="T9" s="80">
        <f>SUMIFS('август 2024'!$G$4:$G$2015,'август 2024'!$D$4:$D$2015,$B9,'август 2024'!$J$4:$J$2015,T$1)</f>
        <v>0</v>
      </c>
      <c r="U9" s="80">
        <f>SUMIFS('август 2024'!$G$4:$G$2015,'август 2024'!$D$4:$D$2015,$B9,'август 2024'!$J$4:$J$2015,U$1)</f>
        <v>0</v>
      </c>
      <c r="V9" s="80">
        <f>SUMIFS('август 2024'!$G$4:$G$2015,'август 2024'!$D$4:$D$2015,$B9,'август 2024'!$J$4:$J$2015,V$1)</f>
        <v>0</v>
      </c>
      <c r="W9" s="80">
        <f>SUMIFS('август 2024'!$G$4:$G$2015,'август 2024'!$D$4:$D$2015,$B9,'август 2024'!$J$4:$J$2015,W$1)</f>
        <v>0</v>
      </c>
      <c r="X9" s="80">
        <f>SUMIFS('август 2024'!$G$4:$G$2015,'август 2024'!$D$4:$D$2015,$B9,'август 2024'!$J$4:$J$2015,X$1)</f>
        <v>0</v>
      </c>
      <c r="Y9" s="80">
        <f>SUMIFS('август 2024'!$G$4:$G$2015,'август 2024'!$D$4:$D$2015,$B9,'август 2024'!$J$4:$J$2015,Y$1)</f>
        <v>400</v>
      </c>
      <c r="Z9" s="80">
        <f>SUMIFS('август 2024'!$G$4:$G$2015,'август 2024'!$D$4:$D$2015,$B9,'август 2024'!$J$4:$J$2015,Z$1)</f>
        <v>0</v>
      </c>
      <c r="AA9" s="80">
        <f>SUMIFS('август 2024'!$G$4:$G$2015,'август 2024'!$D$4:$D$2015,$B9,'август 2024'!$J$4:$J$2015,AA$1)</f>
        <v>0</v>
      </c>
      <c r="AB9" s="80">
        <f>SUMIFS('август 2024'!$G$4:$G$2015,'август 2024'!$D$4:$D$2015,$B9,'август 2024'!$J$4:$J$2015,AB$1)</f>
        <v>0</v>
      </c>
      <c r="AC9" s="80">
        <f>SUMIFS('август 2024'!$G$4:$G$2015,'август 2024'!$D$4:$D$2015,$B9,'август 2024'!$J$4:$J$2015,AC$1)</f>
        <v>0</v>
      </c>
      <c r="AD9" s="80">
        <f>SUMIFS('август 2024'!$G$4:$G$2015,'август 2024'!$D$4:$D$2015,$B9,'август 2024'!$J$4:$J$2015,AD$1)</f>
        <v>0</v>
      </c>
      <c r="AE9" s="80">
        <f>SUMIFS('август 2024'!$G$4:$G$2015,'август 2024'!$D$4:$D$2015,$B9,'август 2024'!$J$4:$J$2015,AE$1)</f>
        <v>0</v>
      </c>
      <c r="AF9" s="80">
        <f>SUMIFS('август 2024'!$G$4:$G$2015,'август 2024'!$D$4:$D$2015,$B9,'август 2024'!$J$4:$J$2015,AF$1)</f>
        <v>0</v>
      </c>
      <c r="AG9" s="80">
        <f>SUMIFS('август 2024'!$G$4:$G$2015,'август 2024'!$D$4:$D$2015,$B9,'август 2024'!$J$4:$J$2015,AG$1)</f>
        <v>0</v>
      </c>
      <c r="AH9" s="80">
        <f>SUMIFS('август 2024'!$G$4:$G$2015,'август 2024'!$D$4:$D$2015,$B9,'август 2024'!$J$4:$J$2015,AH$1)</f>
        <v>0</v>
      </c>
      <c r="AI9" s="21">
        <f t="shared" si="1"/>
        <v>1200</v>
      </c>
    </row>
    <row r="10" spans="2:35" ht="15" customHeight="1" x14ac:dyDescent="0.25">
      <c r="B10" s="81" t="s">
        <v>289</v>
      </c>
      <c r="C10" s="82">
        <v>25</v>
      </c>
      <c r="D10" s="80">
        <f>SUMIFS('август 2024'!$G$4:$G$2015,'август 2024'!$D$4:$D$2015,$B10,'август 2024'!$J$4:$J$2015,D$1)</f>
        <v>0</v>
      </c>
      <c r="E10" s="80">
        <f>SUMIFS('август 2024'!$G$4:$G$2015,'август 2024'!$D$4:$D$2015,$B10,'август 2024'!$J$4:$J$2015,E$1)</f>
        <v>0</v>
      </c>
      <c r="F10" s="80">
        <f>SUMIFS('август 2024'!$G$4:$G$2015,'август 2024'!$D$4:$D$2015,$B10,'август 2024'!$J$4:$J$2015,F$1)</f>
        <v>0</v>
      </c>
      <c r="G10" s="80">
        <f>SUMIFS('август 2024'!$G$4:$G$2015,'август 2024'!$D$4:$D$2015,$B10,'август 2024'!$J$4:$J$2015,G$1)</f>
        <v>0</v>
      </c>
      <c r="H10" s="80">
        <f>SUMIFS('август 2024'!$G$4:$G$2015,'август 2024'!$D$4:$D$2015,$B10,'август 2024'!$J$4:$J$2015,H$1)</f>
        <v>0</v>
      </c>
      <c r="I10" s="80">
        <f>SUMIFS('август 2024'!$G$4:$G$2015,'август 2024'!$D$4:$D$2015,$B10,'август 2024'!$J$4:$J$2015,I$1)</f>
        <v>0</v>
      </c>
      <c r="J10" s="80">
        <f>SUMIFS('август 2024'!$G$4:$G$2015,'август 2024'!$D$4:$D$2015,$B10,'август 2024'!$J$4:$J$2015,J$1)</f>
        <v>0</v>
      </c>
      <c r="K10" s="80">
        <f>SUMIFS('август 2024'!$G$4:$G$2015,'август 2024'!$D$4:$D$2015,$B10,'август 2024'!$J$4:$J$2015,K$1)</f>
        <v>0</v>
      </c>
      <c r="L10" s="80">
        <f>SUMIFS('август 2024'!$G$4:$G$2015,'август 2024'!$D$4:$D$2015,$B10,'август 2024'!$J$4:$J$2015,L$1)</f>
        <v>0</v>
      </c>
      <c r="M10" s="80">
        <f>SUMIFS('август 2024'!$G$4:$G$2015,'август 2024'!$D$4:$D$2015,$B10,'август 2024'!$J$4:$J$2015,M$1)</f>
        <v>0</v>
      </c>
      <c r="N10" s="80">
        <f>SUMIFS('август 2024'!$G$4:$G$2015,'август 2024'!$D$4:$D$2015,$B10,'август 2024'!$J$4:$J$2015,N$1)</f>
        <v>0</v>
      </c>
      <c r="O10" s="80">
        <f>SUMIFS('август 2024'!$G$4:$G$2015,'август 2024'!$D$4:$D$2015,$B10,'август 2024'!$J$4:$J$2015,O$1)</f>
        <v>0</v>
      </c>
      <c r="P10" s="80">
        <f>SUMIFS('август 2024'!$G$4:$G$2015,'август 2024'!$D$4:$D$2015,$B10,'август 2024'!$J$4:$J$2015,P$1)</f>
        <v>0</v>
      </c>
      <c r="Q10" s="80">
        <f>SUMIFS('август 2024'!$G$4:$G$2015,'август 2024'!$D$4:$D$2015,$B10,'август 2024'!$J$4:$J$2015,Q$1)</f>
        <v>0</v>
      </c>
      <c r="R10" s="80">
        <f>SUMIFS('август 2024'!$G$4:$G$2015,'август 2024'!$D$4:$D$2015,$B10,'август 2024'!$J$4:$J$2015,R$1)</f>
        <v>0</v>
      </c>
      <c r="S10" s="80">
        <f>SUMIFS('август 2024'!$G$4:$G$2015,'август 2024'!$D$4:$D$2015,$B10,'август 2024'!$J$4:$J$2015,S$1)</f>
        <v>0</v>
      </c>
      <c r="T10" s="80">
        <f>SUMIFS('август 2024'!$G$4:$G$2015,'август 2024'!$D$4:$D$2015,$B10,'август 2024'!$J$4:$J$2015,T$1)</f>
        <v>0</v>
      </c>
      <c r="U10" s="80">
        <f>SUMIFS('август 2024'!$G$4:$G$2015,'август 2024'!$D$4:$D$2015,$B10,'август 2024'!$J$4:$J$2015,U$1)</f>
        <v>0</v>
      </c>
      <c r="V10" s="80">
        <f>SUMIFS('август 2024'!$G$4:$G$2015,'август 2024'!$D$4:$D$2015,$B10,'август 2024'!$J$4:$J$2015,V$1)</f>
        <v>0</v>
      </c>
      <c r="W10" s="80">
        <f>SUMIFS('август 2024'!$G$4:$G$2015,'август 2024'!$D$4:$D$2015,$B10,'август 2024'!$J$4:$J$2015,W$1)</f>
        <v>0</v>
      </c>
      <c r="X10" s="80">
        <f>SUMIFS('август 2024'!$G$4:$G$2015,'август 2024'!$D$4:$D$2015,$B10,'август 2024'!$J$4:$J$2015,X$1)</f>
        <v>0</v>
      </c>
      <c r="Y10" s="80">
        <f>SUMIFS('август 2024'!$G$4:$G$2015,'август 2024'!$D$4:$D$2015,$B10,'август 2024'!$J$4:$J$2015,Y$1)</f>
        <v>800</v>
      </c>
      <c r="Z10" s="80">
        <f>SUMIFS('август 2024'!$G$4:$G$2015,'август 2024'!$D$4:$D$2015,$B10,'август 2024'!$J$4:$J$2015,Z$1)</f>
        <v>800</v>
      </c>
      <c r="AA10" s="80">
        <f>SUMIFS('август 2024'!$G$4:$G$2015,'август 2024'!$D$4:$D$2015,$B10,'август 2024'!$J$4:$J$2015,AA$1)</f>
        <v>0</v>
      </c>
      <c r="AB10" s="80">
        <f>SUMIFS('август 2024'!$G$4:$G$2015,'август 2024'!$D$4:$D$2015,$B10,'август 2024'!$J$4:$J$2015,AB$1)</f>
        <v>0</v>
      </c>
      <c r="AC10" s="80">
        <f>SUMIFS('август 2024'!$G$4:$G$2015,'август 2024'!$D$4:$D$2015,$B10,'август 2024'!$J$4:$J$2015,AC$1)</f>
        <v>0</v>
      </c>
      <c r="AD10" s="80">
        <f>SUMIFS('август 2024'!$G$4:$G$2015,'август 2024'!$D$4:$D$2015,$B10,'август 2024'!$J$4:$J$2015,AD$1)</f>
        <v>0</v>
      </c>
      <c r="AE10" s="80">
        <f>SUMIFS('август 2024'!$G$4:$G$2015,'август 2024'!$D$4:$D$2015,$B10,'август 2024'!$J$4:$J$2015,AE$1)</f>
        <v>0</v>
      </c>
      <c r="AF10" s="80">
        <f>SUMIFS('август 2024'!$G$4:$G$2015,'август 2024'!$D$4:$D$2015,$B10,'август 2024'!$J$4:$J$2015,AF$1)</f>
        <v>0</v>
      </c>
      <c r="AG10" s="80">
        <f>SUMIFS('август 2024'!$G$4:$G$2015,'август 2024'!$D$4:$D$2015,$B10,'август 2024'!$J$4:$J$2015,AG$1)</f>
        <v>0</v>
      </c>
      <c r="AH10" s="80">
        <f>SUMIFS('август 2024'!$G$4:$G$2015,'август 2024'!$D$4:$D$2015,$B10,'август 2024'!$J$4:$J$2015,AH$1)</f>
        <v>0</v>
      </c>
      <c r="AI10" s="21">
        <f t="shared" si="1"/>
        <v>1600</v>
      </c>
    </row>
    <row r="11" spans="2:35" ht="15" customHeight="1" x14ac:dyDescent="0.25">
      <c r="B11" s="84" t="s">
        <v>291</v>
      </c>
      <c r="C11" s="85">
        <v>22.68</v>
      </c>
      <c r="D11" s="80">
        <f>SUMIFS('август 2024'!$G$4:$G$2015,'август 2024'!$D$4:$D$2015,$B11,'август 2024'!$J$4:$J$2015,D$1)</f>
        <v>0</v>
      </c>
      <c r="E11" s="80">
        <f>SUMIFS('август 2024'!$G$4:$G$2015,'август 2024'!$D$4:$D$2015,$B11,'август 2024'!$J$4:$J$2015,E$1)</f>
        <v>0</v>
      </c>
      <c r="F11" s="80">
        <f>SUMIFS('август 2024'!$G$4:$G$2015,'август 2024'!$D$4:$D$2015,$B11,'август 2024'!$J$4:$J$2015,F$1)</f>
        <v>0</v>
      </c>
      <c r="G11" s="80">
        <f>SUMIFS('август 2024'!$G$4:$G$2015,'август 2024'!$D$4:$D$2015,$B11,'август 2024'!$J$4:$J$2015,G$1)</f>
        <v>0</v>
      </c>
      <c r="H11" s="80">
        <f>SUMIFS('август 2024'!$G$4:$G$2015,'август 2024'!$D$4:$D$2015,$B11,'август 2024'!$J$4:$J$2015,H$1)</f>
        <v>0</v>
      </c>
      <c r="I11" s="80">
        <f>SUMIFS('август 2024'!$G$4:$G$2015,'август 2024'!$D$4:$D$2015,$B11,'август 2024'!$J$4:$J$2015,I$1)</f>
        <v>0</v>
      </c>
      <c r="J11" s="80">
        <f>SUMIFS('август 2024'!$G$4:$G$2015,'август 2024'!$D$4:$D$2015,$B11,'август 2024'!$J$4:$J$2015,J$1)</f>
        <v>0</v>
      </c>
      <c r="K11" s="80">
        <f>SUMIFS('август 2024'!$G$4:$G$2015,'август 2024'!$D$4:$D$2015,$B11,'август 2024'!$J$4:$J$2015,K$1)</f>
        <v>0</v>
      </c>
      <c r="L11" s="80">
        <f>SUMIFS('август 2024'!$G$4:$G$2015,'август 2024'!$D$4:$D$2015,$B11,'август 2024'!$J$4:$J$2015,L$1)</f>
        <v>0</v>
      </c>
      <c r="M11" s="80">
        <f>SUMIFS('август 2024'!$G$4:$G$2015,'август 2024'!$D$4:$D$2015,$B11,'август 2024'!$J$4:$J$2015,M$1)</f>
        <v>0</v>
      </c>
      <c r="N11" s="80">
        <f>SUMIFS('август 2024'!$G$4:$G$2015,'август 2024'!$D$4:$D$2015,$B11,'август 2024'!$J$4:$J$2015,N$1)</f>
        <v>0</v>
      </c>
      <c r="O11" s="80">
        <f>SUMIFS('август 2024'!$G$4:$G$2015,'август 2024'!$D$4:$D$2015,$B11,'август 2024'!$J$4:$J$2015,O$1)</f>
        <v>0</v>
      </c>
      <c r="P11" s="80">
        <f>SUMIFS('август 2024'!$G$4:$G$2015,'август 2024'!$D$4:$D$2015,$B11,'август 2024'!$J$4:$J$2015,P$1)</f>
        <v>0</v>
      </c>
      <c r="Q11" s="80">
        <f>SUMIFS('август 2024'!$G$4:$G$2015,'август 2024'!$D$4:$D$2015,$B11,'август 2024'!$J$4:$J$2015,Q$1)</f>
        <v>0</v>
      </c>
      <c r="R11" s="80">
        <f>SUMIFS('август 2024'!$G$4:$G$2015,'август 2024'!$D$4:$D$2015,$B11,'август 2024'!$J$4:$J$2015,R$1)</f>
        <v>0</v>
      </c>
      <c r="S11" s="80">
        <f>SUMIFS('август 2024'!$G$4:$G$2015,'август 2024'!$D$4:$D$2015,$B11,'август 2024'!$J$4:$J$2015,S$1)</f>
        <v>0</v>
      </c>
      <c r="T11" s="80">
        <f>SUMIFS('август 2024'!$G$4:$G$2015,'август 2024'!$D$4:$D$2015,$B11,'август 2024'!$J$4:$J$2015,T$1)</f>
        <v>0</v>
      </c>
      <c r="U11" s="80">
        <f>SUMIFS('август 2024'!$G$4:$G$2015,'август 2024'!$D$4:$D$2015,$B11,'август 2024'!$J$4:$J$2015,U$1)</f>
        <v>0</v>
      </c>
      <c r="V11" s="80">
        <f>SUMIFS('август 2024'!$G$4:$G$2015,'август 2024'!$D$4:$D$2015,$B11,'август 2024'!$J$4:$J$2015,V$1)</f>
        <v>0</v>
      </c>
      <c r="W11" s="80">
        <f>SUMIFS('август 2024'!$G$4:$G$2015,'август 2024'!$D$4:$D$2015,$B11,'август 2024'!$J$4:$J$2015,W$1)</f>
        <v>0</v>
      </c>
      <c r="X11" s="80">
        <f>SUMIFS('август 2024'!$G$4:$G$2015,'август 2024'!$D$4:$D$2015,$B11,'август 2024'!$J$4:$J$2015,X$1)</f>
        <v>0</v>
      </c>
      <c r="Y11" s="80">
        <f>SUMIFS('август 2024'!$G$4:$G$2015,'август 2024'!$D$4:$D$2015,$B11,'август 2024'!$J$4:$J$2015,Y$1)</f>
        <v>0</v>
      </c>
      <c r="Z11" s="80">
        <f>SUMIFS('август 2024'!$G$4:$G$2015,'август 2024'!$D$4:$D$2015,$B11,'август 2024'!$J$4:$J$2015,Z$1)</f>
        <v>0</v>
      </c>
      <c r="AA11" s="80">
        <f>SUMIFS('август 2024'!$G$4:$G$2015,'август 2024'!$D$4:$D$2015,$B11,'август 2024'!$J$4:$J$2015,AA$1)</f>
        <v>0</v>
      </c>
      <c r="AB11" s="80">
        <f>SUMIFS('август 2024'!$G$4:$G$2015,'август 2024'!$D$4:$D$2015,$B11,'август 2024'!$J$4:$J$2015,AB$1)</f>
        <v>0</v>
      </c>
      <c r="AC11" s="80">
        <f>SUMIFS('август 2024'!$G$4:$G$2015,'август 2024'!$D$4:$D$2015,$B11,'август 2024'!$J$4:$J$2015,AC$1)</f>
        <v>0</v>
      </c>
      <c r="AD11" s="80">
        <f>SUMIFS('август 2024'!$G$4:$G$2015,'август 2024'!$D$4:$D$2015,$B11,'август 2024'!$J$4:$J$2015,AD$1)</f>
        <v>0</v>
      </c>
      <c r="AE11" s="80">
        <f>SUMIFS('август 2024'!$G$4:$G$2015,'август 2024'!$D$4:$D$2015,$B11,'август 2024'!$J$4:$J$2015,AE$1)</f>
        <v>0</v>
      </c>
      <c r="AF11" s="80">
        <f>SUMIFS('август 2024'!$G$4:$G$2015,'август 2024'!$D$4:$D$2015,$B11,'август 2024'!$J$4:$J$2015,AF$1)</f>
        <v>0</v>
      </c>
      <c r="AG11" s="80">
        <f>SUMIFS('август 2024'!$G$4:$G$2015,'август 2024'!$D$4:$D$2015,$B11,'август 2024'!$J$4:$J$2015,AG$1)</f>
        <v>0</v>
      </c>
      <c r="AH11" s="80">
        <f>SUMIFS('август 2024'!$G$4:$G$2015,'август 2024'!$D$4:$D$2015,$B11,'август 2024'!$J$4:$J$2015,AH$1)</f>
        <v>0</v>
      </c>
      <c r="AI11" s="21">
        <f t="shared" si="1"/>
        <v>0</v>
      </c>
    </row>
    <row r="12" spans="2:35" ht="15" customHeight="1" x14ac:dyDescent="0.25">
      <c r="B12" s="84" t="s">
        <v>293</v>
      </c>
      <c r="C12" s="85">
        <v>22.68</v>
      </c>
      <c r="D12" s="80">
        <f>SUMIFS('август 2024'!$G$4:$G$2015,'август 2024'!$D$4:$D$2015,$B12,'август 2024'!$J$4:$J$2015,D$1)</f>
        <v>0</v>
      </c>
      <c r="E12" s="80">
        <f>SUMIFS('август 2024'!$G$4:$G$2015,'август 2024'!$D$4:$D$2015,$B12,'август 2024'!$J$4:$J$2015,E$1)</f>
        <v>0</v>
      </c>
      <c r="F12" s="80">
        <f>SUMIFS('август 2024'!$G$4:$G$2015,'август 2024'!$D$4:$D$2015,$B12,'август 2024'!$J$4:$J$2015,F$1)</f>
        <v>0</v>
      </c>
      <c r="G12" s="80">
        <f>SUMIFS('август 2024'!$G$4:$G$2015,'август 2024'!$D$4:$D$2015,$B12,'август 2024'!$J$4:$J$2015,G$1)</f>
        <v>0</v>
      </c>
      <c r="H12" s="80">
        <f>SUMIFS('август 2024'!$G$4:$G$2015,'август 2024'!$D$4:$D$2015,$B12,'август 2024'!$J$4:$J$2015,H$1)</f>
        <v>0</v>
      </c>
      <c r="I12" s="80">
        <f>SUMIFS('август 2024'!$G$4:$G$2015,'август 2024'!$D$4:$D$2015,$B12,'август 2024'!$J$4:$J$2015,I$1)</f>
        <v>0</v>
      </c>
      <c r="J12" s="80">
        <f>SUMIFS('август 2024'!$G$4:$G$2015,'август 2024'!$D$4:$D$2015,$B12,'август 2024'!$J$4:$J$2015,J$1)</f>
        <v>0</v>
      </c>
      <c r="K12" s="80">
        <f>SUMIFS('август 2024'!$G$4:$G$2015,'август 2024'!$D$4:$D$2015,$B12,'август 2024'!$J$4:$J$2015,K$1)</f>
        <v>0</v>
      </c>
      <c r="L12" s="80">
        <f>SUMIFS('август 2024'!$G$4:$G$2015,'август 2024'!$D$4:$D$2015,$B12,'август 2024'!$J$4:$J$2015,L$1)</f>
        <v>700</v>
      </c>
      <c r="M12" s="80">
        <f>SUMIFS('август 2024'!$G$4:$G$2015,'август 2024'!$D$4:$D$2015,$B12,'август 2024'!$J$4:$J$2015,M$1)</f>
        <v>0</v>
      </c>
      <c r="N12" s="80">
        <f>SUMIFS('август 2024'!$G$4:$G$2015,'август 2024'!$D$4:$D$2015,$B12,'август 2024'!$J$4:$J$2015,N$1)</f>
        <v>0</v>
      </c>
      <c r="O12" s="80">
        <f>SUMIFS('август 2024'!$G$4:$G$2015,'август 2024'!$D$4:$D$2015,$B12,'август 2024'!$J$4:$J$2015,O$1)</f>
        <v>0</v>
      </c>
      <c r="P12" s="80">
        <f>SUMIFS('август 2024'!$G$4:$G$2015,'август 2024'!$D$4:$D$2015,$B12,'август 2024'!$J$4:$J$2015,P$1)</f>
        <v>0</v>
      </c>
      <c r="Q12" s="80">
        <f>SUMIFS('август 2024'!$G$4:$G$2015,'август 2024'!$D$4:$D$2015,$B12,'август 2024'!$J$4:$J$2015,Q$1)</f>
        <v>0</v>
      </c>
      <c r="R12" s="80">
        <f>SUMIFS('август 2024'!$G$4:$G$2015,'август 2024'!$D$4:$D$2015,$B12,'август 2024'!$J$4:$J$2015,R$1)</f>
        <v>0</v>
      </c>
      <c r="S12" s="80">
        <f>SUMIFS('август 2024'!$G$4:$G$2015,'август 2024'!$D$4:$D$2015,$B12,'август 2024'!$J$4:$J$2015,S$1)</f>
        <v>0</v>
      </c>
      <c r="T12" s="80">
        <f>SUMIFS('август 2024'!$G$4:$G$2015,'август 2024'!$D$4:$D$2015,$B12,'август 2024'!$J$4:$J$2015,T$1)</f>
        <v>0</v>
      </c>
      <c r="U12" s="80">
        <f>SUMIFS('август 2024'!$G$4:$G$2015,'август 2024'!$D$4:$D$2015,$B12,'август 2024'!$J$4:$J$2015,U$1)</f>
        <v>0</v>
      </c>
      <c r="V12" s="80">
        <f>SUMIFS('август 2024'!$G$4:$G$2015,'август 2024'!$D$4:$D$2015,$B12,'август 2024'!$J$4:$J$2015,V$1)</f>
        <v>0</v>
      </c>
      <c r="W12" s="80">
        <f>SUMIFS('август 2024'!$G$4:$G$2015,'август 2024'!$D$4:$D$2015,$B12,'август 2024'!$J$4:$J$2015,W$1)</f>
        <v>0</v>
      </c>
      <c r="X12" s="80">
        <f>SUMIFS('август 2024'!$G$4:$G$2015,'август 2024'!$D$4:$D$2015,$B12,'август 2024'!$J$4:$J$2015,X$1)</f>
        <v>0</v>
      </c>
      <c r="Y12" s="80">
        <f>SUMIFS('август 2024'!$G$4:$G$2015,'август 2024'!$D$4:$D$2015,$B12,'август 2024'!$J$4:$J$2015,Y$1)</f>
        <v>0</v>
      </c>
      <c r="Z12" s="80">
        <f>SUMIFS('август 2024'!$G$4:$G$2015,'август 2024'!$D$4:$D$2015,$B12,'август 2024'!$J$4:$J$2015,Z$1)</f>
        <v>0</v>
      </c>
      <c r="AA12" s="80">
        <f>SUMIFS('август 2024'!$G$4:$G$2015,'август 2024'!$D$4:$D$2015,$B12,'август 2024'!$J$4:$J$2015,AA$1)</f>
        <v>0</v>
      </c>
      <c r="AB12" s="80">
        <f>SUMIFS('август 2024'!$G$4:$G$2015,'август 2024'!$D$4:$D$2015,$B12,'август 2024'!$J$4:$J$2015,AB$1)</f>
        <v>0</v>
      </c>
      <c r="AC12" s="80">
        <f>SUMIFS('август 2024'!$G$4:$G$2015,'август 2024'!$D$4:$D$2015,$B12,'август 2024'!$J$4:$J$2015,AC$1)</f>
        <v>0</v>
      </c>
      <c r="AD12" s="80">
        <f>SUMIFS('август 2024'!$G$4:$G$2015,'август 2024'!$D$4:$D$2015,$B12,'август 2024'!$J$4:$J$2015,AD$1)</f>
        <v>0</v>
      </c>
      <c r="AE12" s="80">
        <f>SUMIFS('август 2024'!$G$4:$G$2015,'август 2024'!$D$4:$D$2015,$B12,'август 2024'!$J$4:$J$2015,AE$1)</f>
        <v>0</v>
      </c>
      <c r="AF12" s="80">
        <f>SUMIFS('август 2024'!$G$4:$G$2015,'август 2024'!$D$4:$D$2015,$B12,'август 2024'!$J$4:$J$2015,AF$1)</f>
        <v>0</v>
      </c>
      <c r="AG12" s="80">
        <f>SUMIFS('август 2024'!$G$4:$G$2015,'август 2024'!$D$4:$D$2015,$B12,'август 2024'!$J$4:$J$2015,AG$1)</f>
        <v>0</v>
      </c>
      <c r="AH12" s="80">
        <f>SUMIFS('август 2024'!$G$4:$G$2015,'август 2024'!$D$4:$D$2015,$B12,'август 2024'!$J$4:$J$2015,AH$1)</f>
        <v>0</v>
      </c>
      <c r="AI12" s="21">
        <f t="shared" si="1"/>
        <v>700</v>
      </c>
    </row>
    <row r="13" spans="2:35" ht="15" customHeight="1" x14ac:dyDescent="0.25">
      <c r="B13" s="84" t="s">
        <v>1043</v>
      </c>
      <c r="C13" s="85">
        <v>25</v>
      </c>
      <c r="D13" s="80">
        <f>SUMIFS('август 2024'!$G$4:$G$2015,'август 2024'!$D$4:$D$2015,$B13,'август 2024'!$J$4:$J$2015,D$1)</f>
        <v>0</v>
      </c>
      <c r="E13" s="80">
        <f>SUMIFS('август 2024'!$G$4:$G$2015,'август 2024'!$D$4:$D$2015,$B13,'август 2024'!$J$4:$J$2015,E$1)</f>
        <v>0</v>
      </c>
      <c r="F13" s="80">
        <f>SUMIFS('август 2024'!$G$4:$G$2015,'август 2024'!$D$4:$D$2015,$B13,'август 2024'!$J$4:$J$2015,F$1)</f>
        <v>0</v>
      </c>
      <c r="G13" s="80">
        <f>SUMIFS('август 2024'!$G$4:$G$2015,'август 2024'!$D$4:$D$2015,$B13,'август 2024'!$J$4:$J$2015,G$1)</f>
        <v>0</v>
      </c>
      <c r="H13" s="80">
        <f>SUMIFS('август 2024'!$G$4:$G$2015,'август 2024'!$D$4:$D$2015,$B13,'август 2024'!$J$4:$J$2015,H$1)</f>
        <v>0</v>
      </c>
      <c r="I13" s="80">
        <f>SUMIFS('август 2024'!$G$4:$G$2015,'август 2024'!$D$4:$D$2015,$B13,'август 2024'!$J$4:$J$2015,I$1)</f>
        <v>0</v>
      </c>
      <c r="J13" s="80">
        <f>SUMIFS('август 2024'!$G$4:$G$2015,'август 2024'!$D$4:$D$2015,$B13,'август 2024'!$J$4:$J$2015,J$1)</f>
        <v>0</v>
      </c>
      <c r="K13" s="80">
        <f>SUMIFS('август 2024'!$G$4:$G$2015,'август 2024'!$D$4:$D$2015,$B13,'август 2024'!$J$4:$J$2015,K$1)</f>
        <v>0</v>
      </c>
      <c r="L13" s="80">
        <f>SUMIFS('август 2024'!$G$4:$G$2015,'август 2024'!$D$4:$D$2015,$B13,'август 2024'!$J$4:$J$2015,L$1)</f>
        <v>0</v>
      </c>
      <c r="M13" s="80">
        <f>SUMIFS('август 2024'!$G$4:$G$2015,'август 2024'!$D$4:$D$2015,$B13,'август 2024'!$J$4:$J$2015,M$1)</f>
        <v>0</v>
      </c>
      <c r="N13" s="80">
        <f>SUMIFS('август 2024'!$G$4:$G$2015,'август 2024'!$D$4:$D$2015,$B13,'август 2024'!$J$4:$J$2015,N$1)</f>
        <v>0</v>
      </c>
      <c r="O13" s="80">
        <f>SUMIFS('август 2024'!$G$4:$G$2015,'август 2024'!$D$4:$D$2015,$B13,'август 2024'!$J$4:$J$2015,O$1)</f>
        <v>0</v>
      </c>
      <c r="P13" s="80">
        <f>SUMIFS('август 2024'!$G$4:$G$2015,'август 2024'!$D$4:$D$2015,$B13,'август 2024'!$J$4:$J$2015,P$1)</f>
        <v>0</v>
      </c>
      <c r="Q13" s="80">
        <f>SUMIFS('август 2024'!$G$4:$G$2015,'август 2024'!$D$4:$D$2015,$B13,'август 2024'!$J$4:$J$2015,Q$1)</f>
        <v>0</v>
      </c>
      <c r="R13" s="80">
        <f>SUMIFS('август 2024'!$G$4:$G$2015,'август 2024'!$D$4:$D$2015,$B13,'август 2024'!$J$4:$J$2015,R$1)</f>
        <v>0</v>
      </c>
      <c r="S13" s="80">
        <f>SUMIFS('август 2024'!$G$4:$G$2015,'август 2024'!$D$4:$D$2015,$B13,'август 2024'!$J$4:$J$2015,S$1)</f>
        <v>0</v>
      </c>
      <c r="T13" s="80">
        <f>SUMIFS('август 2024'!$G$4:$G$2015,'август 2024'!$D$4:$D$2015,$B13,'август 2024'!$J$4:$J$2015,T$1)</f>
        <v>0</v>
      </c>
      <c r="U13" s="80">
        <f>SUMIFS('август 2024'!$G$4:$G$2015,'август 2024'!$D$4:$D$2015,$B13,'август 2024'!$J$4:$J$2015,U$1)</f>
        <v>0</v>
      </c>
      <c r="V13" s="80">
        <f>SUMIFS('август 2024'!$G$4:$G$2015,'август 2024'!$D$4:$D$2015,$B13,'август 2024'!$J$4:$J$2015,V$1)</f>
        <v>0</v>
      </c>
      <c r="W13" s="80">
        <f>SUMIFS('август 2024'!$G$4:$G$2015,'август 2024'!$D$4:$D$2015,$B13,'август 2024'!$J$4:$J$2015,W$1)</f>
        <v>0</v>
      </c>
      <c r="X13" s="80">
        <f>SUMIFS('август 2024'!$G$4:$G$2015,'август 2024'!$D$4:$D$2015,$B13,'август 2024'!$J$4:$J$2015,X$1)</f>
        <v>0</v>
      </c>
      <c r="Y13" s="80">
        <f>SUMIFS('август 2024'!$G$4:$G$2015,'август 2024'!$D$4:$D$2015,$B13,'август 2024'!$J$4:$J$2015,Y$1)</f>
        <v>0</v>
      </c>
      <c r="Z13" s="80">
        <f>SUMIFS('август 2024'!$G$4:$G$2015,'август 2024'!$D$4:$D$2015,$B13,'август 2024'!$J$4:$J$2015,Z$1)</f>
        <v>0</v>
      </c>
      <c r="AA13" s="80">
        <f>SUMIFS('август 2024'!$G$4:$G$2015,'август 2024'!$D$4:$D$2015,$B13,'август 2024'!$J$4:$J$2015,AA$1)</f>
        <v>0</v>
      </c>
      <c r="AB13" s="80">
        <f>SUMIFS('август 2024'!$G$4:$G$2015,'август 2024'!$D$4:$D$2015,$B13,'август 2024'!$J$4:$J$2015,AB$1)</f>
        <v>0</v>
      </c>
      <c r="AC13" s="80">
        <f>SUMIFS('август 2024'!$G$4:$G$2015,'август 2024'!$D$4:$D$2015,$B13,'август 2024'!$J$4:$J$2015,AC$1)</f>
        <v>0</v>
      </c>
      <c r="AD13" s="80">
        <f>SUMIFS('август 2024'!$G$4:$G$2015,'август 2024'!$D$4:$D$2015,$B13,'август 2024'!$J$4:$J$2015,AD$1)</f>
        <v>0</v>
      </c>
      <c r="AE13" s="80">
        <f>SUMIFS('август 2024'!$G$4:$G$2015,'август 2024'!$D$4:$D$2015,$B13,'август 2024'!$J$4:$J$2015,AE$1)</f>
        <v>0</v>
      </c>
      <c r="AF13" s="80">
        <f>SUMIFS('август 2024'!$G$4:$G$2015,'август 2024'!$D$4:$D$2015,$B13,'август 2024'!$J$4:$J$2015,AF$1)</f>
        <v>0</v>
      </c>
      <c r="AG13" s="80">
        <f>SUMIFS('август 2024'!$G$4:$G$2015,'август 2024'!$D$4:$D$2015,$B13,'август 2024'!$J$4:$J$2015,AG$1)</f>
        <v>0</v>
      </c>
      <c r="AH13" s="80">
        <f>SUMIFS('август 2024'!$G$4:$G$2015,'август 2024'!$D$4:$D$2015,$B13,'август 2024'!$J$4:$J$2015,AH$1)</f>
        <v>0</v>
      </c>
      <c r="AI13" s="21">
        <f t="shared" si="1"/>
        <v>0</v>
      </c>
    </row>
    <row r="14" spans="2:35" ht="15" customHeight="1" x14ac:dyDescent="0.25">
      <c r="B14" s="84" t="s">
        <v>1097</v>
      </c>
      <c r="C14" s="85">
        <v>25</v>
      </c>
      <c r="D14" s="80">
        <f>SUMIFS('август 2024'!$G$4:$G$2015,'август 2024'!$D$4:$D$2015,$B14,'август 2024'!$J$4:$J$2015,D$1)</f>
        <v>0</v>
      </c>
      <c r="E14" s="80">
        <f>SUMIFS('август 2024'!$G$4:$G$2015,'август 2024'!$D$4:$D$2015,$B14,'август 2024'!$J$4:$J$2015,E$1)</f>
        <v>800</v>
      </c>
      <c r="F14" s="80">
        <f>SUMIFS('август 2024'!$G$4:$G$2015,'август 2024'!$D$4:$D$2015,$B14,'август 2024'!$J$4:$J$2015,F$1)</f>
        <v>0</v>
      </c>
      <c r="G14" s="80">
        <f>SUMIFS('август 2024'!$G$4:$G$2015,'август 2024'!$D$4:$D$2015,$B14,'август 2024'!$J$4:$J$2015,G$1)</f>
        <v>0</v>
      </c>
      <c r="H14" s="80">
        <f>SUMIFS('август 2024'!$G$4:$G$2015,'август 2024'!$D$4:$D$2015,$B14,'август 2024'!$J$4:$J$2015,H$1)</f>
        <v>2800</v>
      </c>
      <c r="I14" s="80">
        <f>SUMIFS('август 2024'!$G$4:$G$2015,'август 2024'!$D$4:$D$2015,$B14,'август 2024'!$J$4:$J$2015,I$1)</f>
        <v>0</v>
      </c>
      <c r="J14" s="80">
        <f>SUMIFS('август 2024'!$G$4:$G$2015,'август 2024'!$D$4:$D$2015,$B14,'август 2024'!$J$4:$J$2015,J$1)</f>
        <v>0</v>
      </c>
      <c r="K14" s="80">
        <f>SUMIFS('август 2024'!$G$4:$G$2015,'август 2024'!$D$4:$D$2015,$B14,'август 2024'!$J$4:$J$2015,K$1)</f>
        <v>0</v>
      </c>
      <c r="L14" s="80">
        <f>SUMIFS('август 2024'!$G$4:$G$2015,'август 2024'!$D$4:$D$2015,$B14,'август 2024'!$J$4:$J$2015,L$1)</f>
        <v>1400</v>
      </c>
      <c r="M14" s="80">
        <f>SUMIFS('август 2024'!$G$4:$G$2015,'август 2024'!$D$4:$D$2015,$B14,'август 2024'!$J$4:$J$2015,M$1)</f>
        <v>0</v>
      </c>
      <c r="N14" s="80">
        <f>SUMIFS('август 2024'!$G$4:$G$2015,'август 2024'!$D$4:$D$2015,$B14,'август 2024'!$J$4:$J$2015,N$1)</f>
        <v>0</v>
      </c>
      <c r="O14" s="80">
        <f>SUMIFS('август 2024'!$G$4:$G$2015,'август 2024'!$D$4:$D$2015,$B14,'август 2024'!$J$4:$J$2015,O$1)</f>
        <v>1400</v>
      </c>
      <c r="P14" s="80">
        <f>SUMIFS('август 2024'!$G$4:$G$2015,'август 2024'!$D$4:$D$2015,$B14,'август 2024'!$J$4:$J$2015,P$1)</f>
        <v>0</v>
      </c>
      <c r="Q14" s="80">
        <f>SUMIFS('август 2024'!$G$4:$G$2015,'август 2024'!$D$4:$D$2015,$B14,'август 2024'!$J$4:$J$2015,Q$1)</f>
        <v>1400</v>
      </c>
      <c r="R14" s="80">
        <f>SUMIFS('август 2024'!$G$4:$G$2015,'август 2024'!$D$4:$D$2015,$B14,'август 2024'!$J$4:$J$2015,R$1)</f>
        <v>0</v>
      </c>
      <c r="S14" s="80">
        <f>SUMIFS('август 2024'!$G$4:$G$2015,'август 2024'!$D$4:$D$2015,$B14,'август 2024'!$J$4:$J$2015,S$1)</f>
        <v>0</v>
      </c>
      <c r="T14" s="80">
        <f>SUMIFS('август 2024'!$G$4:$G$2015,'август 2024'!$D$4:$D$2015,$B14,'август 2024'!$J$4:$J$2015,T$1)</f>
        <v>0</v>
      </c>
      <c r="U14" s="80">
        <f>SUMIFS('август 2024'!$G$4:$G$2015,'август 2024'!$D$4:$D$2015,$B14,'август 2024'!$J$4:$J$2015,U$1)</f>
        <v>0</v>
      </c>
      <c r="V14" s="80">
        <f>SUMIFS('август 2024'!$G$4:$G$2015,'август 2024'!$D$4:$D$2015,$B14,'август 2024'!$J$4:$J$2015,V$1)</f>
        <v>0</v>
      </c>
      <c r="W14" s="80">
        <f>SUMIFS('август 2024'!$G$4:$G$2015,'август 2024'!$D$4:$D$2015,$B14,'август 2024'!$J$4:$J$2015,W$1)</f>
        <v>0</v>
      </c>
      <c r="X14" s="80">
        <f>SUMIFS('август 2024'!$G$4:$G$2015,'август 2024'!$D$4:$D$2015,$B14,'август 2024'!$J$4:$J$2015,X$1)</f>
        <v>0</v>
      </c>
      <c r="Y14" s="80">
        <f>SUMIFS('август 2024'!$G$4:$G$2015,'август 2024'!$D$4:$D$2015,$B14,'август 2024'!$J$4:$J$2015,Y$1)</f>
        <v>0</v>
      </c>
      <c r="Z14" s="80">
        <f>SUMIFS('август 2024'!$G$4:$G$2015,'август 2024'!$D$4:$D$2015,$B14,'август 2024'!$J$4:$J$2015,Z$1)</f>
        <v>0</v>
      </c>
      <c r="AA14" s="80">
        <f>SUMIFS('август 2024'!$G$4:$G$2015,'август 2024'!$D$4:$D$2015,$B14,'август 2024'!$J$4:$J$2015,AA$1)</f>
        <v>0</v>
      </c>
      <c r="AB14" s="80">
        <f>SUMIFS('август 2024'!$G$4:$G$2015,'август 2024'!$D$4:$D$2015,$B14,'август 2024'!$J$4:$J$2015,AB$1)</f>
        <v>0</v>
      </c>
      <c r="AC14" s="80">
        <f>SUMIFS('август 2024'!$G$4:$G$2015,'август 2024'!$D$4:$D$2015,$B14,'август 2024'!$J$4:$J$2015,AC$1)</f>
        <v>0</v>
      </c>
      <c r="AD14" s="80">
        <f>SUMIFS('август 2024'!$G$4:$G$2015,'август 2024'!$D$4:$D$2015,$B14,'август 2024'!$J$4:$J$2015,AD$1)</f>
        <v>0</v>
      </c>
      <c r="AE14" s="80">
        <f>SUMIFS('август 2024'!$G$4:$G$2015,'август 2024'!$D$4:$D$2015,$B14,'август 2024'!$J$4:$J$2015,AE$1)</f>
        <v>0</v>
      </c>
      <c r="AF14" s="80">
        <f>SUMIFS('август 2024'!$G$4:$G$2015,'август 2024'!$D$4:$D$2015,$B14,'август 2024'!$J$4:$J$2015,AF$1)</f>
        <v>2100</v>
      </c>
      <c r="AG14" s="80">
        <f>SUMIFS('август 2024'!$G$4:$G$2015,'август 2024'!$D$4:$D$2015,$B14,'август 2024'!$J$4:$J$2015,AG$1)</f>
        <v>1540</v>
      </c>
      <c r="AH14" s="80">
        <f>SUMIFS('август 2024'!$G$4:$G$2015,'август 2024'!$D$4:$D$2015,$B14,'август 2024'!$J$4:$J$2015,AH$1)</f>
        <v>0</v>
      </c>
      <c r="AI14" s="21">
        <f t="shared" si="1"/>
        <v>11440</v>
      </c>
    </row>
    <row r="15" spans="2:35" ht="15" customHeight="1" x14ac:dyDescent="0.25">
      <c r="B15" s="84" t="s">
        <v>295</v>
      </c>
      <c r="C15" s="85">
        <v>22.7</v>
      </c>
      <c r="D15" s="80">
        <f>SUMIFS('август 2024'!$G$4:$G$2015,'август 2024'!$D$4:$D$2015,$B15,'август 2024'!$J$4:$J$2015,D$1)</f>
        <v>0</v>
      </c>
      <c r="E15" s="80">
        <f>SUMIFS('август 2024'!$G$4:$G$2015,'август 2024'!$D$4:$D$2015,$B15,'август 2024'!$J$4:$J$2015,E$1)</f>
        <v>0</v>
      </c>
      <c r="F15" s="80">
        <f>SUMIFS('август 2024'!$G$4:$G$2015,'август 2024'!$D$4:$D$2015,$B15,'август 2024'!$J$4:$J$2015,F$1)</f>
        <v>0</v>
      </c>
      <c r="G15" s="80">
        <f>SUMIFS('август 2024'!$G$4:$G$2015,'август 2024'!$D$4:$D$2015,$B15,'август 2024'!$J$4:$J$2015,G$1)</f>
        <v>0</v>
      </c>
      <c r="H15" s="80">
        <f>SUMIFS('август 2024'!$G$4:$G$2015,'август 2024'!$D$4:$D$2015,$B15,'август 2024'!$J$4:$J$2015,H$1)</f>
        <v>0</v>
      </c>
      <c r="I15" s="80">
        <f>SUMIFS('август 2024'!$G$4:$G$2015,'август 2024'!$D$4:$D$2015,$B15,'август 2024'!$J$4:$J$2015,I$1)</f>
        <v>0</v>
      </c>
      <c r="J15" s="80">
        <f>SUMIFS('август 2024'!$G$4:$G$2015,'август 2024'!$D$4:$D$2015,$B15,'август 2024'!$J$4:$J$2015,J$1)</f>
        <v>0</v>
      </c>
      <c r="K15" s="80">
        <f>SUMIFS('август 2024'!$G$4:$G$2015,'август 2024'!$D$4:$D$2015,$B15,'август 2024'!$J$4:$J$2015,K$1)</f>
        <v>0</v>
      </c>
      <c r="L15" s="80">
        <f>SUMIFS('август 2024'!$G$4:$G$2015,'август 2024'!$D$4:$D$2015,$B15,'август 2024'!$J$4:$J$2015,L$1)</f>
        <v>0</v>
      </c>
      <c r="M15" s="80">
        <f>SUMIFS('август 2024'!$G$4:$G$2015,'август 2024'!$D$4:$D$2015,$B15,'август 2024'!$J$4:$J$2015,M$1)</f>
        <v>0</v>
      </c>
      <c r="N15" s="80">
        <f>SUMIFS('август 2024'!$G$4:$G$2015,'август 2024'!$D$4:$D$2015,$B15,'август 2024'!$J$4:$J$2015,N$1)</f>
        <v>0</v>
      </c>
      <c r="O15" s="80">
        <f>SUMIFS('август 2024'!$G$4:$G$2015,'август 2024'!$D$4:$D$2015,$B15,'август 2024'!$J$4:$J$2015,O$1)</f>
        <v>0</v>
      </c>
      <c r="P15" s="80">
        <f>SUMIFS('август 2024'!$G$4:$G$2015,'август 2024'!$D$4:$D$2015,$B15,'август 2024'!$J$4:$J$2015,P$1)</f>
        <v>0</v>
      </c>
      <c r="Q15" s="80">
        <f>SUMIFS('август 2024'!$G$4:$G$2015,'август 2024'!$D$4:$D$2015,$B15,'август 2024'!$J$4:$J$2015,Q$1)</f>
        <v>0</v>
      </c>
      <c r="R15" s="80">
        <f>SUMIFS('август 2024'!$G$4:$G$2015,'август 2024'!$D$4:$D$2015,$B15,'август 2024'!$J$4:$J$2015,R$1)</f>
        <v>0</v>
      </c>
      <c r="S15" s="80">
        <f>SUMIFS('август 2024'!$G$4:$G$2015,'август 2024'!$D$4:$D$2015,$B15,'август 2024'!$J$4:$J$2015,S$1)</f>
        <v>0</v>
      </c>
      <c r="T15" s="80">
        <f>SUMIFS('август 2024'!$G$4:$G$2015,'август 2024'!$D$4:$D$2015,$B15,'август 2024'!$J$4:$J$2015,T$1)</f>
        <v>0</v>
      </c>
      <c r="U15" s="80">
        <f>SUMIFS('август 2024'!$G$4:$G$2015,'август 2024'!$D$4:$D$2015,$B15,'август 2024'!$J$4:$J$2015,U$1)</f>
        <v>0</v>
      </c>
      <c r="V15" s="80">
        <f>SUMIFS('август 2024'!$G$4:$G$2015,'август 2024'!$D$4:$D$2015,$B15,'август 2024'!$J$4:$J$2015,V$1)</f>
        <v>0</v>
      </c>
      <c r="W15" s="80">
        <f>SUMIFS('август 2024'!$G$4:$G$2015,'август 2024'!$D$4:$D$2015,$B15,'август 2024'!$J$4:$J$2015,W$1)</f>
        <v>0</v>
      </c>
      <c r="X15" s="80">
        <f>SUMIFS('август 2024'!$G$4:$G$2015,'август 2024'!$D$4:$D$2015,$B15,'август 2024'!$J$4:$J$2015,X$1)</f>
        <v>0</v>
      </c>
      <c r="Y15" s="80">
        <f>SUMIFS('август 2024'!$G$4:$G$2015,'август 2024'!$D$4:$D$2015,$B15,'август 2024'!$J$4:$J$2015,Y$1)</f>
        <v>0</v>
      </c>
      <c r="Z15" s="80">
        <f>SUMIFS('август 2024'!$G$4:$G$2015,'август 2024'!$D$4:$D$2015,$B15,'август 2024'!$J$4:$J$2015,Z$1)</f>
        <v>0</v>
      </c>
      <c r="AA15" s="80">
        <f>SUMIFS('август 2024'!$G$4:$G$2015,'август 2024'!$D$4:$D$2015,$B15,'август 2024'!$J$4:$J$2015,AA$1)</f>
        <v>0</v>
      </c>
      <c r="AB15" s="80">
        <f>SUMIFS('август 2024'!$G$4:$G$2015,'август 2024'!$D$4:$D$2015,$B15,'август 2024'!$J$4:$J$2015,AB$1)</f>
        <v>0</v>
      </c>
      <c r="AC15" s="80">
        <f>SUMIFS('август 2024'!$G$4:$G$2015,'август 2024'!$D$4:$D$2015,$B15,'август 2024'!$J$4:$J$2015,AC$1)</f>
        <v>0</v>
      </c>
      <c r="AD15" s="80">
        <f>SUMIFS('август 2024'!$G$4:$G$2015,'август 2024'!$D$4:$D$2015,$B15,'август 2024'!$J$4:$J$2015,AD$1)</f>
        <v>0</v>
      </c>
      <c r="AE15" s="80">
        <f>SUMIFS('август 2024'!$G$4:$G$2015,'август 2024'!$D$4:$D$2015,$B15,'август 2024'!$J$4:$J$2015,AE$1)</f>
        <v>0</v>
      </c>
      <c r="AF15" s="80">
        <f>SUMIFS('август 2024'!$G$4:$G$2015,'август 2024'!$D$4:$D$2015,$B15,'август 2024'!$J$4:$J$2015,AF$1)</f>
        <v>0</v>
      </c>
      <c r="AG15" s="80">
        <f>SUMIFS('август 2024'!$G$4:$G$2015,'август 2024'!$D$4:$D$2015,$B15,'август 2024'!$J$4:$J$2015,AG$1)</f>
        <v>0</v>
      </c>
      <c r="AH15" s="80">
        <f>SUMIFS('август 2024'!$G$4:$G$2015,'август 2024'!$D$4:$D$2015,$B15,'август 2024'!$J$4:$J$2015,AH$1)</f>
        <v>0</v>
      </c>
      <c r="AI15" s="21">
        <f t="shared" si="1"/>
        <v>0</v>
      </c>
    </row>
    <row r="16" spans="2:35" ht="15" customHeight="1" x14ac:dyDescent="0.25">
      <c r="B16" s="81" t="s">
        <v>297</v>
      </c>
      <c r="C16" s="82">
        <v>22.7</v>
      </c>
      <c r="D16" s="80">
        <f>SUMIFS('август 2024'!$G$4:$G$2015,'август 2024'!$D$4:$D$2015,$B16,'август 2024'!$J$4:$J$2015,D$1)</f>
        <v>0</v>
      </c>
      <c r="E16" s="80">
        <f>SUMIFS('август 2024'!$G$4:$G$2015,'август 2024'!$D$4:$D$2015,$B16,'август 2024'!$J$4:$J$2015,E$1)</f>
        <v>0</v>
      </c>
      <c r="F16" s="80">
        <f>SUMIFS('август 2024'!$G$4:$G$2015,'август 2024'!$D$4:$D$2015,$B16,'август 2024'!$J$4:$J$2015,F$1)</f>
        <v>0</v>
      </c>
      <c r="G16" s="80">
        <f>SUMIFS('август 2024'!$G$4:$G$2015,'август 2024'!$D$4:$D$2015,$B16,'август 2024'!$J$4:$J$2015,G$1)</f>
        <v>0</v>
      </c>
      <c r="H16" s="80">
        <f>SUMIFS('август 2024'!$G$4:$G$2015,'август 2024'!$D$4:$D$2015,$B16,'август 2024'!$J$4:$J$2015,H$1)</f>
        <v>0</v>
      </c>
      <c r="I16" s="80">
        <f>SUMIFS('август 2024'!$G$4:$G$2015,'август 2024'!$D$4:$D$2015,$B16,'август 2024'!$J$4:$J$2015,I$1)</f>
        <v>0</v>
      </c>
      <c r="J16" s="80">
        <f>SUMIFS('август 2024'!$G$4:$G$2015,'август 2024'!$D$4:$D$2015,$B16,'август 2024'!$J$4:$J$2015,J$1)</f>
        <v>0</v>
      </c>
      <c r="K16" s="80">
        <f>SUMIFS('август 2024'!$G$4:$G$2015,'август 2024'!$D$4:$D$2015,$B16,'август 2024'!$J$4:$J$2015,K$1)</f>
        <v>0</v>
      </c>
      <c r="L16" s="80">
        <f>SUMIFS('август 2024'!$G$4:$G$2015,'август 2024'!$D$4:$D$2015,$B16,'август 2024'!$J$4:$J$2015,L$1)</f>
        <v>0</v>
      </c>
      <c r="M16" s="80">
        <f>SUMIFS('август 2024'!$G$4:$G$2015,'август 2024'!$D$4:$D$2015,$B16,'август 2024'!$J$4:$J$2015,M$1)</f>
        <v>0</v>
      </c>
      <c r="N16" s="80">
        <f>SUMIFS('август 2024'!$G$4:$G$2015,'август 2024'!$D$4:$D$2015,$B16,'август 2024'!$J$4:$J$2015,N$1)</f>
        <v>0</v>
      </c>
      <c r="O16" s="80">
        <f>SUMIFS('август 2024'!$G$4:$G$2015,'август 2024'!$D$4:$D$2015,$B16,'август 2024'!$J$4:$J$2015,O$1)</f>
        <v>0</v>
      </c>
      <c r="P16" s="80">
        <f>SUMIFS('август 2024'!$G$4:$G$2015,'август 2024'!$D$4:$D$2015,$B16,'август 2024'!$J$4:$J$2015,P$1)</f>
        <v>0</v>
      </c>
      <c r="Q16" s="80">
        <f>SUMIFS('август 2024'!$G$4:$G$2015,'август 2024'!$D$4:$D$2015,$B16,'август 2024'!$J$4:$J$2015,Q$1)</f>
        <v>0</v>
      </c>
      <c r="R16" s="80">
        <f>SUMIFS('август 2024'!$G$4:$G$2015,'август 2024'!$D$4:$D$2015,$B16,'август 2024'!$J$4:$J$2015,R$1)</f>
        <v>0</v>
      </c>
      <c r="S16" s="80">
        <f>SUMIFS('август 2024'!$G$4:$G$2015,'август 2024'!$D$4:$D$2015,$B16,'август 2024'!$J$4:$J$2015,S$1)</f>
        <v>0</v>
      </c>
      <c r="T16" s="80">
        <f>SUMIFS('август 2024'!$G$4:$G$2015,'август 2024'!$D$4:$D$2015,$B16,'август 2024'!$J$4:$J$2015,T$1)</f>
        <v>0</v>
      </c>
      <c r="U16" s="80">
        <f>SUMIFS('август 2024'!$G$4:$G$2015,'август 2024'!$D$4:$D$2015,$B16,'август 2024'!$J$4:$J$2015,U$1)</f>
        <v>0</v>
      </c>
      <c r="V16" s="80">
        <f>SUMIFS('август 2024'!$G$4:$G$2015,'август 2024'!$D$4:$D$2015,$B16,'август 2024'!$J$4:$J$2015,V$1)</f>
        <v>0</v>
      </c>
      <c r="W16" s="80">
        <f>SUMIFS('август 2024'!$G$4:$G$2015,'август 2024'!$D$4:$D$2015,$B16,'август 2024'!$J$4:$J$2015,W$1)</f>
        <v>0</v>
      </c>
      <c r="X16" s="80">
        <f>SUMIFS('август 2024'!$G$4:$G$2015,'август 2024'!$D$4:$D$2015,$B16,'август 2024'!$J$4:$J$2015,X$1)</f>
        <v>0</v>
      </c>
      <c r="Y16" s="80">
        <f>SUMIFS('август 2024'!$G$4:$G$2015,'август 2024'!$D$4:$D$2015,$B16,'август 2024'!$J$4:$J$2015,Y$1)</f>
        <v>0</v>
      </c>
      <c r="Z16" s="80">
        <f>SUMIFS('август 2024'!$G$4:$G$2015,'август 2024'!$D$4:$D$2015,$B16,'август 2024'!$J$4:$J$2015,Z$1)</f>
        <v>0</v>
      </c>
      <c r="AA16" s="80">
        <f>SUMIFS('август 2024'!$G$4:$G$2015,'август 2024'!$D$4:$D$2015,$B16,'август 2024'!$J$4:$J$2015,AA$1)</f>
        <v>0</v>
      </c>
      <c r="AB16" s="80">
        <f>SUMIFS('август 2024'!$G$4:$G$2015,'август 2024'!$D$4:$D$2015,$B16,'август 2024'!$J$4:$J$2015,AB$1)</f>
        <v>0</v>
      </c>
      <c r="AC16" s="80">
        <f>SUMIFS('август 2024'!$G$4:$G$2015,'август 2024'!$D$4:$D$2015,$B16,'август 2024'!$J$4:$J$2015,AC$1)</f>
        <v>0</v>
      </c>
      <c r="AD16" s="80">
        <f>SUMIFS('август 2024'!$G$4:$G$2015,'август 2024'!$D$4:$D$2015,$B16,'август 2024'!$J$4:$J$2015,AD$1)</f>
        <v>0</v>
      </c>
      <c r="AE16" s="80">
        <f>SUMIFS('август 2024'!$G$4:$G$2015,'август 2024'!$D$4:$D$2015,$B16,'август 2024'!$J$4:$J$2015,AE$1)</f>
        <v>0</v>
      </c>
      <c r="AF16" s="80">
        <f>SUMIFS('август 2024'!$G$4:$G$2015,'август 2024'!$D$4:$D$2015,$B16,'август 2024'!$J$4:$J$2015,AF$1)</f>
        <v>0</v>
      </c>
      <c r="AG16" s="80">
        <f>SUMIFS('август 2024'!$G$4:$G$2015,'август 2024'!$D$4:$D$2015,$B16,'август 2024'!$J$4:$J$2015,AG$1)</f>
        <v>0</v>
      </c>
      <c r="AH16" s="80">
        <f>SUMIFS('август 2024'!$G$4:$G$2015,'август 2024'!$D$4:$D$2015,$B16,'август 2024'!$J$4:$J$2015,AH$1)</f>
        <v>0</v>
      </c>
      <c r="AI16" s="21">
        <f t="shared" si="1"/>
        <v>0</v>
      </c>
    </row>
    <row r="17" spans="2:35" ht="15" customHeight="1" x14ac:dyDescent="0.25">
      <c r="B17" s="84" t="s">
        <v>299</v>
      </c>
      <c r="C17" s="85">
        <v>22.7</v>
      </c>
      <c r="D17" s="80">
        <f>SUMIFS('август 2024'!$G$4:$G$2015,'август 2024'!$D$4:$D$2015,$B17,'август 2024'!$J$4:$J$2015,D$1)</f>
        <v>0</v>
      </c>
      <c r="E17" s="80">
        <f>SUMIFS('август 2024'!$G$4:$G$2015,'август 2024'!$D$4:$D$2015,$B17,'август 2024'!$J$4:$J$2015,E$1)</f>
        <v>0</v>
      </c>
      <c r="F17" s="80">
        <f>SUMIFS('август 2024'!$G$4:$G$2015,'август 2024'!$D$4:$D$2015,$B17,'август 2024'!$J$4:$J$2015,F$1)</f>
        <v>0</v>
      </c>
      <c r="G17" s="80">
        <f>SUMIFS('август 2024'!$G$4:$G$2015,'август 2024'!$D$4:$D$2015,$B17,'август 2024'!$J$4:$J$2015,G$1)</f>
        <v>0</v>
      </c>
      <c r="H17" s="80">
        <f>SUMIFS('август 2024'!$G$4:$G$2015,'август 2024'!$D$4:$D$2015,$B17,'август 2024'!$J$4:$J$2015,H$1)</f>
        <v>0</v>
      </c>
      <c r="I17" s="80">
        <f>SUMIFS('август 2024'!$G$4:$G$2015,'август 2024'!$D$4:$D$2015,$B17,'август 2024'!$J$4:$J$2015,I$1)</f>
        <v>0</v>
      </c>
      <c r="J17" s="80">
        <f>SUMIFS('август 2024'!$G$4:$G$2015,'август 2024'!$D$4:$D$2015,$B17,'август 2024'!$J$4:$J$2015,J$1)</f>
        <v>0</v>
      </c>
      <c r="K17" s="80">
        <f>SUMIFS('август 2024'!$G$4:$G$2015,'август 2024'!$D$4:$D$2015,$B17,'август 2024'!$J$4:$J$2015,K$1)</f>
        <v>0</v>
      </c>
      <c r="L17" s="80">
        <f>SUMIFS('август 2024'!$G$4:$G$2015,'август 2024'!$D$4:$D$2015,$B17,'август 2024'!$J$4:$J$2015,L$1)</f>
        <v>0</v>
      </c>
      <c r="M17" s="80">
        <f>SUMIFS('август 2024'!$G$4:$G$2015,'август 2024'!$D$4:$D$2015,$B17,'август 2024'!$J$4:$J$2015,M$1)</f>
        <v>0</v>
      </c>
      <c r="N17" s="80">
        <f>SUMIFS('август 2024'!$G$4:$G$2015,'август 2024'!$D$4:$D$2015,$B17,'август 2024'!$J$4:$J$2015,N$1)</f>
        <v>0</v>
      </c>
      <c r="O17" s="80">
        <f>SUMIFS('август 2024'!$G$4:$G$2015,'август 2024'!$D$4:$D$2015,$B17,'август 2024'!$J$4:$J$2015,O$1)</f>
        <v>0</v>
      </c>
      <c r="P17" s="80">
        <f>SUMIFS('август 2024'!$G$4:$G$2015,'август 2024'!$D$4:$D$2015,$B17,'август 2024'!$J$4:$J$2015,P$1)</f>
        <v>0</v>
      </c>
      <c r="Q17" s="80">
        <f>SUMIFS('август 2024'!$G$4:$G$2015,'август 2024'!$D$4:$D$2015,$B17,'август 2024'!$J$4:$J$2015,Q$1)</f>
        <v>0</v>
      </c>
      <c r="R17" s="80">
        <f>SUMIFS('август 2024'!$G$4:$G$2015,'август 2024'!$D$4:$D$2015,$B17,'август 2024'!$J$4:$J$2015,R$1)</f>
        <v>0</v>
      </c>
      <c r="S17" s="80">
        <f>SUMIFS('август 2024'!$G$4:$G$2015,'август 2024'!$D$4:$D$2015,$B17,'август 2024'!$J$4:$J$2015,S$1)</f>
        <v>0</v>
      </c>
      <c r="T17" s="80">
        <f>SUMIFS('август 2024'!$G$4:$G$2015,'август 2024'!$D$4:$D$2015,$B17,'август 2024'!$J$4:$J$2015,T$1)</f>
        <v>0</v>
      </c>
      <c r="U17" s="80">
        <f>SUMIFS('август 2024'!$G$4:$G$2015,'август 2024'!$D$4:$D$2015,$B17,'август 2024'!$J$4:$J$2015,U$1)</f>
        <v>0</v>
      </c>
      <c r="V17" s="80">
        <f>SUMIFS('август 2024'!$G$4:$G$2015,'август 2024'!$D$4:$D$2015,$B17,'август 2024'!$J$4:$J$2015,V$1)</f>
        <v>0</v>
      </c>
      <c r="W17" s="80">
        <f>SUMIFS('август 2024'!$G$4:$G$2015,'август 2024'!$D$4:$D$2015,$B17,'август 2024'!$J$4:$J$2015,W$1)</f>
        <v>0</v>
      </c>
      <c r="X17" s="80">
        <f>SUMIFS('август 2024'!$G$4:$G$2015,'август 2024'!$D$4:$D$2015,$B17,'август 2024'!$J$4:$J$2015,X$1)</f>
        <v>0</v>
      </c>
      <c r="Y17" s="80">
        <f>SUMIFS('август 2024'!$G$4:$G$2015,'август 2024'!$D$4:$D$2015,$B17,'август 2024'!$J$4:$J$2015,Y$1)</f>
        <v>0</v>
      </c>
      <c r="Z17" s="80">
        <f>SUMIFS('август 2024'!$G$4:$G$2015,'август 2024'!$D$4:$D$2015,$B17,'август 2024'!$J$4:$J$2015,Z$1)</f>
        <v>0</v>
      </c>
      <c r="AA17" s="80">
        <f>SUMIFS('август 2024'!$G$4:$G$2015,'август 2024'!$D$4:$D$2015,$B17,'август 2024'!$J$4:$J$2015,AA$1)</f>
        <v>0</v>
      </c>
      <c r="AB17" s="80">
        <f>SUMIFS('август 2024'!$G$4:$G$2015,'август 2024'!$D$4:$D$2015,$B17,'август 2024'!$J$4:$J$2015,AB$1)</f>
        <v>0</v>
      </c>
      <c r="AC17" s="80">
        <f>SUMIFS('август 2024'!$G$4:$G$2015,'август 2024'!$D$4:$D$2015,$B17,'август 2024'!$J$4:$J$2015,AC$1)</f>
        <v>0</v>
      </c>
      <c r="AD17" s="80">
        <f>SUMIFS('август 2024'!$G$4:$G$2015,'август 2024'!$D$4:$D$2015,$B17,'август 2024'!$J$4:$J$2015,AD$1)</f>
        <v>0</v>
      </c>
      <c r="AE17" s="80">
        <f>SUMIFS('август 2024'!$G$4:$G$2015,'август 2024'!$D$4:$D$2015,$B17,'август 2024'!$J$4:$J$2015,AE$1)</f>
        <v>0</v>
      </c>
      <c r="AF17" s="80">
        <f>SUMIFS('август 2024'!$G$4:$G$2015,'август 2024'!$D$4:$D$2015,$B17,'август 2024'!$J$4:$J$2015,AF$1)</f>
        <v>0</v>
      </c>
      <c r="AG17" s="80">
        <f>SUMIFS('август 2024'!$G$4:$G$2015,'август 2024'!$D$4:$D$2015,$B17,'август 2024'!$J$4:$J$2015,AG$1)</f>
        <v>0</v>
      </c>
      <c r="AH17" s="80">
        <f>SUMIFS('август 2024'!$G$4:$G$2015,'август 2024'!$D$4:$D$2015,$B17,'август 2024'!$J$4:$J$2015,AH$1)</f>
        <v>0</v>
      </c>
      <c r="AI17" s="21">
        <f t="shared" si="1"/>
        <v>0</v>
      </c>
    </row>
    <row r="18" spans="2:35" ht="15" customHeight="1" x14ac:dyDescent="0.25">
      <c r="B18" s="84" t="s">
        <v>301</v>
      </c>
      <c r="C18" s="85">
        <v>25</v>
      </c>
      <c r="D18" s="80">
        <f>SUMIFS('август 2024'!$G$4:$G$2015,'август 2024'!$D$4:$D$2015,$B18,'август 2024'!$J$4:$J$2015,D$1)</f>
        <v>0</v>
      </c>
      <c r="E18" s="80">
        <f>SUMIFS('август 2024'!$G$4:$G$2015,'август 2024'!$D$4:$D$2015,$B18,'август 2024'!$J$4:$J$2015,E$1)</f>
        <v>0</v>
      </c>
      <c r="F18" s="80">
        <f>SUMIFS('август 2024'!$G$4:$G$2015,'август 2024'!$D$4:$D$2015,$B18,'август 2024'!$J$4:$J$2015,F$1)</f>
        <v>0</v>
      </c>
      <c r="G18" s="80">
        <f>SUMIFS('август 2024'!$G$4:$G$2015,'август 2024'!$D$4:$D$2015,$B18,'август 2024'!$J$4:$J$2015,G$1)</f>
        <v>0</v>
      </c>
      <c r="H18" s="80">
        <f>SUMIFS('август 2024'!$G$4:$G$2015,'август 2024'!$D$4:$D$2015,$B18,'август 2024'!$J$4:$J$2015,H$1)</f>
        <v>0</v>
      </c>
      <c r="I18" s="80">
        <f>SUMIFS('август 2024'!$G$4:$G$2015,'август 2024'!$D$4:$D$2015,$B18,'август 2024'!$J$4:$J$2015,I$1)</f>
        <v>0</v>
      </c>
      <c r="J18" s="80">
        <f>SUMIFS('август 2024'!$G$4:$G$2015,'август 2024'!$D$4:$D$2015,$B18,'август 2024'!$J$4:$J$2015,J$1)</f>
        <v>0</v>
      </c>
      <c r="K18" s="80">
        <f>SUMIFS('август 2024'!$G$4:$G$2015,'август 2024'!$D$4:$D$2015,$B18,'август 2024'!$J$4:$J$2015,K$1)</f>
        <v>0</v>
      </c>
      <c r="L18" s="80">
        <f>SUMIFS('август 2024'!$G$4:$G$2015,'август 2024'!$D$4:$D$2015,$B18,'август 2024'!$J$4:$J$2015,L$1)</f>
        <v>0</v>
      </c>
      <c r="M18" s="80">
        <f>SUMIFS('август 2024'!$G$4:$G$2015,'август 2024'!$D$4:$D$2015,$B18,'август 2024'!$J$4:$J$2015,M$1)</f>
        <v>0</v>
      </c>
      <c r="N18" s="80">
        <f>SUMIFS('август 2024'!$G$4:$G$2015,'август 2024'!$D$4:$D$2015,$B18,'август 2024'!$J$4:$J$2015,N$1)</f>
        <v>0</v>
      </c>
      <c r="O18" s="80">
        <f>SUMIFS('август 2024'!$G$4:$G$2015,'август 2024'!$D$4:$D$2015,$B18,'август 2024'!$J$4:$J$2015,O$1)</f>
        <v>0</v>
      </c>
      <c r="P18" s="80">
        <f>SUMIFS('август 2024'!$G$4:$G$2015,'август 2024'!$D$4:$D$2015,$B18,'август 2024'!$J$4:$J$2015,P$1)</f>
        <v>0</v>
      </c>
      <c r="Q18" s="80">
        <f>SUMIFS('август 2024'!$G$4:$G$2015,'август 2024'!$D$4:$D$2015,$B18,'август 2024'!$J$4:$J$2015,Q$1)</f>
        <v>0</v>
      </c>
      <c r="R18" s="80">
        <f>SUMIFS('август 2024'!$G$4:$G$2015,'август 2024'!$D$4:$D$2015,$B18,'август 2024'!$J$4:$J$2015,R$1)</f>
        <v>0</v>
      </c>
      <c r="S18" s="80">
        <f>SUMIFS('август 2024'!$G$4:$G$2015,'август 2024'!$D$4:$D$2015,$B18,'август 2024'!$J$4:$J$2015,S$1)</f>
        <v>0</v>
      </c>
      <c r="T18" s="80">
        <f>SUMIFS('август 2024'!$G$4:$G$2015,'август 2024'!$D$4:$D$2015,$B18,'август 2024'!$J$4:$J$2015,T$1)</f>
        <v>0</v>
      </c>
      <c r="U18" s="80">
        <f>SUMIFS('август 2024'!$G$4:$G$2015,'август 2024'!$D$4:$D$2015,$B18,'август 2024'!$J$4:$J$2015,U$1)</f>
        <v>0</v>
      </c>
      <c r="V18" s="80">
        <f>SUMIFS('август 2024'!$G$4:$G$2015,'август 2024'!$D$4:$D$2015,$B18,'август 2024'!$J$4:$J$2015,V$1)</f>
        <v>0</v>
      </c>
      <c r="W18" s="80">
        <f>SUMIFS('август 2024'!$G$4:$G$2015,'август 2024'!$D$4:$D$2015,$B18,'август 2024'!$J$4:$J$2015,W$1)</f>
        <v>0</v>
      </c>
      <c r="X18" s="80">
        <f>SUMIFS('август 2024'!$G$4:$G$2015,'август 2024'!$D$4:$D$2015,$B18,'август 2024'!$J$4:$J$2015,X$1)</f>
        <v>0</v>
      </c>
      <c r="Y18" s="80">
        <f>SUMIFS('август 2024'!$G$4:$G$2015,'август 2024'!$D$4:$D$2015,$B18,'август 2024'!$J$4:$J$2015,Y$1)</f>
        <v>0</v>
      </c>
      <c r="Z18" s="80">
        <f>SUMIFS('август 2024'!$G$4:$G$2015,'август 2024'!$D$4:$D$2015,$B18,'август 2024'!$J$4:$J$2015,Z$1)</f>
        <v>0</v>
      </c>
      <c r="AA18" s="80">
        <f>SUMIFS('август 2024'!$G$4:$G$2015,'август 2024'!$D$4:$D$2015,$B18,'август 2024'!$J$4:$J$2015,AA$1)</f>
        <v>0</v>
      </c>
      <c r="AB18" s="80">
        <f>SUMIFS('август 2024'!$G$4:$G$2015,'август 2024'!$D$4:$D$2015,$B18,'август 2024'!$J$4:$J$2015,AB$1)</f>
        <v>0</v>
      </c>
      <c r="AC18" s="80">
        <f>SUMIFS('август 2024'!$G$4:$G$2015,'август 2024'!$D$4:$D$2015,$B18,'август 2024'!$J$4:$J$2015,AC$1)</f>
        <v>0</v>
      </c>
      <c r="AD18" s="80">
        <f>SUMIFS('август 2024'!$G$4:$G$2015,'август 2024'!$D$4:$D$2015,$B18,'август 2024'!$J$4:$J$2015,AD$1)</f>
        <v>0</v>
      </c>
      <c r="AE18" s="80">
        <f>SUMIFS('август 2024'!$G$4:$G$2015,'август 2024'!$D$4:$D$2015,$B18,'август 2024'!$J$4:$J$2015,AE$1)</f>
        <v>0</v>
      </c>
      <c r="AF18" s="80">
        <f>SUMIFS('август 2024'!$G$4:$G$2015,'август 2024'!$D$4:$D$2015,$B18,'август 2024'!$J$4:$J$2015,AF$1)</f>
        <v>0</v>
      </c>
      <c r="AG18" s="80">
        <f>SUMIFS('август 2024'!$G$4:$G$2015,'август 2024'!$D$4:$D$2015,$B18,'август 2024'!$J$4:$J$2015,AG$1)</f>
        <v>0</v>
      </c>
      <c r="AH18" s="80">
        <f>SUMIFS('август 2024'!$G$4:$G$2015,'август 2024'!$D$4:$D$2015,$B18,'август 2024'!$J$4:$J$2015,AH$1)</f>
        <v>0</v>
      </c>
      <c r="AI18" s="21">
        <f t="shared" si="1"/>
        <v>0</v>
      </c>
    </row>
    <row r="19" spans="2:35" ht="15" customHeight="1" x14ac:dyDescent="0.25">
      <c r="B19" s="81" t="s">
        <v>303</v>
      </c>
      <c r="C19" s="82">
        <v>25</v>
      </c>
      <c r="D19" s="80">
        <f>SUMIFS('август 2024'!$G$4:$G$2015,'август 2024'!$D$4:$D$2015,$B19,'август 2024'!$J$4:$J$2015,D$1)</f>
        <v>0</v>
      </c>
      <c r="E19" s="80">
        <f>SUMIFS('август 2024'!$G$4:$G$2015,'август 2024'!$D$4:$D$2015,$B19,'август 2024'!$J$4:$J$2015,E$1)</f>
        <v>0</v>
      </c>
      <c r="F19" s="80">
        <f>SUMIFS('август 2024'!$G$4:$G$2015,'август 2024'!$D$4:$D$2015,$B19,'август 2024'!$J$4:$J$2015,F$1)</f>
        <v>0</v>
      </c>
      <c r="G19" s="80">
        <f>SUMIFS('август 2024'!$G$4:$G$2015,'август 2024'!$D$4:$D$2015,$B19,'август 2024'!$J$4:$J$2015,G$1)</f>
        <v>0</v>
      </c>
      <c r="H19" s="80">
        <f>SUMIFS('август 2024'!$G$4:$G$2015,'август 2024'!$D$4:$D$2015,$B19,'август 2024'!$J$4:$J$2015,H$1)</f>
        <v>0</v>
      </c>
      <c r="I19" s="80">
        <f>SUMIFS('август 2024'!$G$4:$G$2015,'август 2024'!$D$4:$D$2015,$B19,'август 2024'!$J$4:$J$2015,I$1)</f>
        <v>0</v>
      </c>
      <c r="J19" s="80">
        <f>SUMIFS('август 2024'!$G$4:$G$2015,'август 2024'!$D$4:$D$2015,$B19,'август 2024'!$J$4:$J$2015,J$1)</f>
        <v>0</v>
      </c>
      <c r="K19" s="80">
        <f>SUMIFS('август 2024'!$G$4:$G$2015,'август 2024'!$D$4:$D$2015,$B19,'август 2024'!$J$4:$J$2015,K$1)</f>
        <v>0</v>
      </c>
      <c r="L19" s="80">
        <f>SUMIFS('август 2024'!$G$4:$G$2015,'август 2024'!$D$4:$D$2015,$B19,'август 2024'!$J$4:$J$2015,L$1)</f>
        <v>0</v>
      </c>
      <c r="M19" s="80">
        <f>SUMIFS('август 2024'!$G$4:$G$2015,'август 2024'!$D$4:$D$2015,$B19,'август 2024'!$J$4:$J$2015,M$1)</f>
        <v>0</v>
      </c>
      <c r="N19" s="80">
        <f>SUMIFS('август 2024'!$G$4:$G$2015,'август 2024'!$D$4:$D$2015,$B19,'август 2024'!$J$4:$J$2015,N$1)</f>
        <v>0</v>
      </c>
      <c r="O19" s="80">
        <f>SUMIFS('август 2024'!$G$4:$G$2015,'август 2024'!$D$4:$D$2015,$B19,'август 2024'!$J$4:$J$2015,O$1)</f>
        <v>0</v>
      </c>
      <c r="P19" s="80">
        <f>SUMIFS('август 2024'!$G$4:$G$2015,'август 2024'!$D$4:$D$2015,$B19,'август 2024'!$J$4:$J$2015,P$1)</f>
        <v>0</v>
      </c>
      <c r="Q19" s="80">
        <f>SUMIFS('август 2024'!$G$4:$G$2015,'август 2024'!$D$4:$D$2015,$B19,'август 2024'!$J$4:$J$2015,Q$1)</f>
        <v>0</v>
      </c>
      <c r="R19" s="80">
        <f>SUMIFS('август 2024'!$G$4:$G$2015,'август 2024'!$D$4:$D$2015,$B19,'август 2024'!$J$4:$J$2015,R$1)</f>
        <v>0</v>
      </c>
      <c r="S19" s="80">
        <f>SUMIFS('август 2024'!$G$4:$G$2015,'август 2024'!$D$4:$D$2015,$B19,'август 2024'!$J$4:$J$2015,S$1)</f>
        <v>0</v>
      </c>
      <c r="T19" s="80">
        <f>SUMIFS('август 2024'!$G$4:$G$2015,'август 2024'!$D$4:$D$2015,$B19,'август 2024'!$J$4:$J$2015,T$1)</f>
        <v>0</v>
      </c>
      <c r="U19" s="80">
        <f>SUMIFS('август 2024'!$G$4:$G$2015,'август 2024'!$D$4:$D$2015,$B19,'август 2024'!$J$4:$J$2015,U$1)</f>
        <v>0</v>
      </c>
      <c r="V19" s="80">
        <f>SUMIFS('август 2024'!$G$4:$G$2015,'август 2024'!$D$4:$D$2015,$B19,'август 2024'!$J$4:$J$2015,V$1)</f>
        <v>0</v>
      </c>
      <c r="W19" s="80">
        <f>SUMIFS('август 2024'!$G$4:$G$2015,'август 2024'!$D$4:$D$2015,$B19,'август 2024'!$J$4:$J$2015,W$1)</f>
        <v>0</v>
      </c>
      <c r="X19" s="80">
        <f>SUMIFS('август 2024'!$G$4:$G$2015,'август 2024'!$D$4:$D$2015,$B19,'август 2024'!$J$4:$J$2015,X$1)</f>
        <v>0</v>
      </c>
      <c r="Y19" s="80">
        <f>SUMIFS('август 2024'!$G$4:$G$2015,'август 2024'!$D$4:$D$2015,$B19,'август 2024'!$J$4:$J$2015,Y$1)</f>
        <v>0</v>
      </c>
      <c r="Z19" s="80">
        <f>SUMIFS('август 2024'!$G$4:$G$2015,'август 2024'!$D$4:$D$2015,$B19,'август 2024'!$J$4:$J$2015,Z$1)</f>
        <v>0</v>
      </c>
      <c r="AA19" s="80">
        <f>SUMIFS('август 2024'!$G$4:$G$2015,'август 2024'!$D$4:$D$2015,$B19,'август 2024'!$J$4:$J$2015,AA$1)</f>
        <v>0</v>
      </c>
      <c r="AB19" s="80">
        <f>SUMIFS('август 2024'!$G$4:$G$2015,'август 2024'!$D$4:$D$2015,$B19,'август 2024'!$J$4:$J$2015,AB$1)</f>
        <v>0</v>
      </c>
      <c r="AC19" s="80">
        <f>SUMIFS('август 2024'!$G$4:$G$2015,'август 2024'!$D$4:$D$2015,$B19,'август 2024'!$J$4:$J$2015,AC$1)</f>
        <v>0</v>
      </c>
      <c r="AD19" s="80">
        <f>SUMIFS('август 2024'!$G$4:$G$2015,'август 2024'!$D$4:$D$2015,$B19,'август 2024'!$J$4:$J$2015,AD$1)</f>
        <v>0</v>
      </c>
      <c r="AE19" s="80">
        <f>SUMIFS('август 2024'!$G$4:$G$2015,'август 2024'!$D$4:$D$2015,$B19,'август 2024'!$J$4:$J$2015,AE$1)</f>
        <v>0</v>
      </c>
      <c r="AF19" s="80">
        <f>SUMIFS('август 2024'!$G$4:$G$2015,'август 2024'!$D$4:$D$2015,$B19,'август 2024'!$J$4:$J$2015,AF$1)</f>
        <v>0</v>
      </c>
      <c r="AG19" s="80">
        <f>SUMIFS('август 2024'!$G$4:$G$2015,'август 2024'!$D$4:$D$2015,$B19,'август 2024'!$J$4:$J$2015,AG$1)</f>
        <v>0</v>
      </c>
      <c r="AH19" s="80">
        <f>SUMIFS('август 2024'!$G$4:$G$2015,'август 2024'!$D$4:$D$2015,$B19,'август 2024'!$J$4:$J$2015,AH$1)</f>
        <v>0</v>
      </c>
      <c r="AI19" s="21">
        <f t="shared" si="1"/>
        <v>0</v>
      </c>
    </row>
    <row r="20" spans="2:35" ht="15" customHeight="1" x14ac:dyDescent="0.25">
      <c r="B20" s="81" t="s">
        <v>305</v>
      </c>
      <c r="C20" s="82">
        <v>25</v>
      </c>
      <c r="D20" s="80">
        <f>SUMIFS('август 2024'!$G$4:$G$2015,'август 2024'!$D$4:$D$2015,$B20,'август 2024'!$J$4:$J$2015,D$1)</f>
        <v>0</v>
      </c>
      <c r="E20" s="80">
        <f>SUMIFS('август 2024'!$G$4:$G$2015,'август 2024'!$D$4:$D$2015,$B20,'август 2024'!$J$4:$J$2015,E$1)</f>
        <v>0</v>
      </c>
      <c r="F20" s="80">
        <f>SUMIFS('август 2024'!$G$4:$G$2015,'август 2024'!$D$4:$D$2015,$B20,'август 2024'!$J$4:$J$2015,F$1)</f>
        <v>0</v>
      </c>
      <c r="G20" s="80">
        <f>SUMIFS('август 2024'!$G$4:$G$2015,'август 2024'!$D$4:$D$2015,$B20,'август 2024'!$J$4:$J$2015,G$1)</f>
        <v>0</v>
      </c>
      <c r="H20" s="80">
        <f>SUMIFS('август 2024'!$G$4:$G$2015,'август 2024'!$D$4:$D$2015,$B20,'август 2024'!$J$4:$J$2015,H$1)</f>
        <v>0</v>
      </c>
      <c r="I20" s="80">
        <f>SUMIFS('август 2024'!$G$4:$G$2015,'август 2024'!$D$4:$D$2015,$B20,'август 2024'!$J$4:$J$2015,I$1)</f>
        <v>0</v>
      </c>
      <c r="J20" s="80">
        <f>SUMIFS('август 2024'!$G$4:$G$2015,'август 2024'!$D$4:$D$2015,$B20,'август 2024'!$J$4:$J$2015,J$1)</f>
        <v>0</v>
      </c>
      <c r="K20" s="80">
        <f>SUMIFS('август 2024'!$G$4:$G$2015,'август 2024'!$D$4:$D$2015,$B20,'август 2024'!$J$4:$J$2015,K$1)</f>
        <v>0</v>
      </c>
      <c r="L20" s="80">
        <f>SUMIFS('август 2024'!$G$4:$G$2015,'август 2024'!$D$4:$D$2015,$B20,'август 2024'!$J$4:$J$2015,L$1)</f>
        <v>0</v>
      </c>
      <c r="M20" s="80">
        <f>SUMIFS('август 2024'!$G$4:$G$2015,'август 2024'!$D$4:$D$2015,$B20,'август 2024'!$J$4:$J$2015,M$1)</f>
        <v>0</v>
      </c>
      <c r="N20" s="80">
        <f>SUMIFS('август 2024'!$G$4:$G$2015,'август 2024'!$D$4:$D$2015,$B20,'август 2024'!$J$4:$J$2015,N$1)</f>
        <v>0</v>
      </c>
      <c r="O20" s="80">
        <f>SUMIFS('август 2024'!$G$4:$G$2015,'август 2024'!$D$4:$D$2015,$B20,'август 2024'!$J$4:$J$2015,O$1)</f>
        <v>0</v>
      </c>
      <c r="P20" s="80">
        <f>SUMIFS('август 2024'!$G$4:$G$2015,'август 2024'!$D$4:$D$2015,$B20,'август 2024'!$J$4:$J$2015,P$1)</f>
        <v>0</v>
      </c>
      <c r="Q20" s="80">
        <f>SUMIFS('август 2024'!$G$4:$G$2015,'август 2024'!$D$4:$D$2015,$B20,'август 2024'!$J$4:$J$2015,Q$1)</f>
        <v>0</v>
      </c>
      <c r="R20" s="80">
        <f>SUMIFS('август 2024'!$G$4:$G$2015,'август 2024'!$D$4:$D$2015,$B20,'август 2024'!$J$4:$J$2015,R$1)</f>
        <v>0</v>
      </c>
      <c r="S20" s="80">
        <f>SUMIFS('август 2024'!$G$4:$G$2015,'август 2024'!$D$4:$D$2015,$B20,'август 2024'!$J$4:$J$2015,S$1)</f>
        <v>0</v>
      </c>
      <c r="T20" s="80">
        <f>SUMIFS('август 2024'!$G$4:$G$2015,'август 2024'!$D$4:$D$2015,$B20,'август 2024'!$J$4:$J$2015,T$1)</f>
        <v>0</v>
      </c>
      <c r="U20" s="80">
        <f>SUMIFS('август 2024'!$G$4:$G$2015,'август 2024'!$D$4:$D$2015,$B20,'август 2024'!$J$4:$J$2015,U$1)</f>
        <v>0</v>
      </c>
      <c r="V20" s="80">
        <f>SUMIFS('август 2024'!$G$4:$G$2015,'август 2024'!$D$4:$D$2015,$B20,'август 2024'!$J$4:$J$2015,V$1)</f>
        <v>0</v>
      </c>
      <c r="W20" s="80">
        <f>SUMIFS('август 2024'!$G$4:$G$2015,'август 2024'!$D$4:$D$2015,$B20,'август 2024'!$J$4:$J$2015,W$1)</f>
        <v>0</v>
      </c>
      <c r="X20" s="80">
        <f>SUMIFS('август 2024'!$G$4:$G$2015,'август 2024'!$D$4:$D$2015,$B20,'август 2024'!$J$4:$J$2015,X$1)</f>
        <v>0</v>
      </c>
      <c r="Y20" s="80">
        <f>SUMIFS('август 2024'!$G$4:$G$2015,'август 2024'!$D$4:$D$2015,$B20,'август 2024'!$J$4:$J$2015,Y$1)</f>
        <v>0</v>
      </c>
      <c r="Z20" s="80">
        <f>SUMIFS('август 2024'!$G$4:$G$2015,'август 2024'!$D$4:$D$2015,$B20,'август 2024'!$J$4:$J$2015,Z$1)</f>
        <v>0</v>
      </c>
      <c r="AA20" s="80">
        <f>SUMIFS('август 2024'!$G$4:$G$2015,'август 2024'!$D$4:$D$2015,$B20,'август 2024'!$J$4:$J$2015,AA$1)</f>
        <v>0</v>
      </c>
      <c r="AB20" s="80">
        <f>SUMIFS('август 2024'!$G$4:$G$2015,'август 2024'!$D$4:$D$2015,$B20,'август 2024'!$J$4:$J$2015,AB$1)</f>
        <v>0</v>
      </c>
      <c r="AC20" s="80">
        <f>SUMIFS('август 2024'!$G$4:$G$2015,'август 2024'!$D$4:$D$2015,$B20,'август 2024'!$J$4:$J$2015,AC$1)</f>
        <v>0</v>
      </c>
      <c r="AD20" s="80">
        <f>SUMIFS('август 2024'!$G$4:$G$2015,'август 2024'!$D$4:$D$2015,$B20,'август 2024'!$J$4:$J$2015,AD$1)</f>
        <v>0</v>
      </c>
      <c r="AE20" s="80">
        <f>SUMIFS('август 2024'!$G$4:$G$2015,'август 2024'!$D$4:$D$2015,$B20,'август 2024'!$J$4:$J$2015,AE$1)</f>
        <v>0</v>
      </c>
      <c r="AF20" s="80">
        <f>SUMIFS('август 2024'!$G$4:$G$2015,'август 2024'!$D$4:$D$2015,$B20,'август 2024'!$J$4:$J$2015,AF$1)</f>
        <v>0</v>
      </c>
      <c r="AG20" s="80">
        <f>SUMIFS('август 2024'!$G$4:$G$2015,'август 2024'!$D$4:$D$2015,$B20,'август 2024'!$J$4:$J$2015,AG$1)</f>
        <v>0</v>
      </c>
      <c r="AH20" s="80">
        <f>SUMIFS('август 2024'!$G$4:$G$2015,'август 2024'!$D$4:$D$2015,$B20,'август 2024'!$J$4:$J$2015,AH$1)</f>
        <v>0</v>
      </c>
      <c r="AI20" s="21">
        <f t="shared" si="1"/>
        <v>0</v>
      </c>
    </row>
    <row r="21" spans="2:35" ht="15" customHeight="1" x14ac:dyDescent="0.25">
      <c r="B21" s="81" t="s">
        <v>307</v>
      </c>
      <c r="C21" s="82">
        <v>25</v>
      </c>
      <c r="D21" s="80">
        <f>SUMIFS('август 2024'!$G$4:$G$2015,'август 2024'!$D$4:$D$2015,$B21,'август 2024'!$J$4:$J$2015,D$1)</f>
        <v>0</v>
      </c>
      <c r="E21" s="80">
        <f>SUMIFS('август 2024'!$G$4:$G$2015,'август 2024'!$D$4:$D$2015,$B21,'август 2024'!$J$4:$J$2015,E$1)</f>
        <v>0</v>
      </c>
      <c r="F21" s="80">
        <f>SUMIFS('август 2024'!$G$4:$G$2015,'август 2024'!$D$4:$D$2015,$B21,'август 2024'!$J$4:$J$2015,F$1)</f>
        <v>0</v>
      </c>
      <c r="G21" s="80">
        <f>SUMIFS('август 2024'!$G$4:$G$2015,'август 2024'!$D$4:$D$2015,$B21,'август 2024'!$J$4:$J$2015,G$1)</f>
        <v>0</v>
      </c>
      <c r="H21" s="80">
        <f>SUMIFS('август 2024'!$G$4:$G$2015,'август 2024'!$D$4:$D$2015,$B21,'август 2024'!$J$4:$J$2015,H$1)</f>
        <v>0</v>
      </c>
      <c r="I21" s="80">
        <f>SUMIFS('август 2024'!$G$4:$G$2015,'август 2024'!$D$4:$D$2015,$B21,'август 2024'!$J$4:$J$2015,I$1)</f>
        <v>0</v>
      </c>
      <c r="J21" s="80">
        <f>SUMIFS('август 2024'!$G$4:$G$2015,'август 2024'!$D$4:$D$2015,$B21,'август 2024'!$J$4:$J$2015,J$1)</f>
        <v>0</v>
      </c>
      <c r="K21" s="80">
        <f>SUMIFS('август 2024'!$G$4:$G$2015,'август 2024'!$D$4:$D$2015,$B21,'август 2024'!$J$4:$J$2015,K$1)</f>
        <v>0</v>
      </c>
      <c r="L21" s="80">
        <f>SUMIFS('август 2024'!$G$4:$G$2015,'август 2024'!$D$4:$D$2015,$B21,'август 2024'!$J$4:$J$2015,L$1)</f>
        <v>0</v>
      </c>
      <c r="M21" s="80">
        <f>SUMIFS('август 2024'!$G$4:$G$2015,'август 2024'!$D$4:$D$2015,$B21,'август 2024'!$J$4:$J$2015,M$1)</f>
        <v>0</v>
      </c>
      <c r="N21" s="80">
        <f>SUMIFS('август 2024'!$G$4:$G$2015,'август 2024'!$D$4:$D$2015,$B21,'август 2024'!$J$4:$J$2015,N$1)</f>
        <v>0</v>
      </c>
      <c r="O21" s="80">
        <f>SUMIFS('август 2024'!$G$4:$G$2015,'август 2024'!$D$4:$D$2015,$B21,'август 2024'!$J$4:$J$2015,O$1)</f>
        <v>0</v>
      </c>
      <c r="P21" s="80">
        <f>SUMIFS('август 2024'!$G$4:$G$2015,'август 2024'!$D$4:$D$2015,$B21,'август 2024'!$J$4:$J$2015,P$1)</f>
        <v>0</v>
      </c>
      <c r="Q21" s="80">
        <f>SUMIFS('август 2024'!$G$4:$G$2015,'август 2024'!$D$4:$D$2015,$B21,'август 2024'!$J$4:$J$2015,Q$1)</f>
        <v>0</v>
      </c>
      <c r="R21" s="80">
        <f>SUMIFS('август 2024'!$G$4:$G$2015,'август 2024'!$D$4:$D$2015,$B21,'август 2024'!$J$4:$J$2015,R$1)</f>
        <v>0</v>
      </c>
      <c r="S21" s="80">
        <f>SUMIFS('август 2024'!$G$4:$G$2015,'август 2024'!$D$4:$D$2015,$B21,'август 2024'!$J$4:$J$2015,S$1)</f>
        <v>0</v>
      </c>
      <c r="T21" s="80">
        <f>SUMIFS('август 2024'!$G$4:$G$2015,'август 2024'!$D$4:$D$2015,$B21,'август 2024'!$J$4:$J$2015,T$1)</f>
        <v>0</v>
      </c>
      <c r="U21" s="80">
        <f>SUMIFS('август 2024'!$G$4:$G$2015,'август 2024'!$D$4:$D$2015,$B21,'август 2024'!$J$4:$J$2015,U$1)</f>
        <v>0</v>
      </c>
      <c r="V21" s="80">
        <f>SUMIFS('август 2024'!$G$4:$G$2015,'август 2024'!$D$4:$D$2015,$B21,'август 2024'!$J$4:$J$2015,V$1)</f>
        <v>0</v>
      </c>
      <c r="W21" s="80">
        <f>SUMIFS('август 2024'!$G$4:$G$2015,'август 2024'!$D$4:$D$2015,$B21,'август 2024'!$J$4:$J$2015,W$1)</f>
        <v>0</v>
      </c>
      <c r="X21" s="80">
        <f>SUMIFS('август 2024'!$G$4:$G$2015,'август 2024'!$D$4:$D$2015,$B21,'август 2024'!$J$4:$J$2015,X$1)</f>
        <v>0</v>
      </c>
      <c r="Y21" s="80">
        <f>SUMIFS('август 2024'!$G$4:$G$2015,'август 2024'!$D$4:$D$2015,$B21,'август 2024'!$J$4:$J$2015,Y$1)</f>
        <v>0</v>
      </c>
      <c r="Z21" s="80">
        <f>SUMIFS('август 2024'!$G$4:$G$2015,'август 2024'!$D$4:$D$2015,$B21,'август 2024'!$J$4:$J$2015,Z$1)</f>
        <v>0</v>
      </c>
      <c r="AA21" s="80">
        <f>SUMIFS('август 2024'!$G$4:$G$2015,'август 2024'!$D$4:$D$2015,$B21,'август 2024'!$J$4:$J$2015,AA$1)</f>
        <v>0</v>
      </c>
      <c r="AB21" s="80">
        <f>SUMIFS('август 2024'!$G$4:$G$2015,'август 2024'!$D$4:$D$2015,$B21,'август 2024'!$J$4:$J$2015,AB$1)</f>
        <v>0</v>
      </c>
      <c r="AC21" s="80">
        <f>SUMIFS('август 2024'!$G$4:$G$2015,'август 2024'!$D$4:$D$2015,$B21,'август 2024'!$J$4:$J$2015,AC$1)</f>
        <v>0</v>
      </c>
      <c r="AD21" s="80">
        <f>SUMIFS('август 2024'!$G$4:$G$2015,'август 2024'!$D$4:$D$2015,$B21,'август 2024'!$J$4:$J$2015,AD$1)</f>
        <v>0</v>
      </c>
      <c r="AE21" s="80">
        <f>SUMIFS('август 2024'!$G$4:$G$2015,'август 2024'!$D$4:$D$2015,$B21,'август 2024'!$J$4:$J$2015,AE$1)</f>
        <v>0</v>
      </c>
      <c r="AF21" s="80">
        <f>SUMIFS('август 2024'!$G$4:$G$2015,'август 2024'!$D$4:$D$2015,$B21,'август 2024'!$J$4:$J$2015,AF$1)</f>
        <v>0</v>
      </c>
      <c r="AG21" s="80">
        <f>SUMIFS('август 2024'!$G$4:$G$2015,'август 2024'!$D$4:$D$2015,$B21,'август 2024'!$J$4:$J$2015,AG$1)</f>
        <v>0</v>
      </c>
      <c r="AH21" s="80">
        <f>SUMIFS('август 2024'!$G$4:$G$2015,'август 2024'!$D$4:$D$2015,$B21,'август 2024'!$J$4:$J$2015,AH$1)</f>
        <v>0</v>
      </c>
      <c r="AI21" s="21">
        <f t="shared" si="1"/>
        <v>0</v>
      </c>
    </row>
    <row r="22" spans="2:35" ht="15" customHeight="1" x14ac:dyDescent="0.25">
      <c r="B22" s="81" t="s">
        <v>309</v>
      </c>
      <c r="C22" s="82">
        <v>25</v>
      </c>
      <c r="D22" s="80">
        <f>SUMIFS('август 2024'!$G$4:$G$2015,'август 2024'!$D$4:$D$2015,$B22,'август 2024'!$J$4:$J$2015,D$1)</f>
        <v>0</v>
      </c>
      <c r="E22" s="80">
        <f>SUMIFS('август 2024'!$G$4:$G$2015,'август 2024'!$D$4:$D$2015,$B22,'август 2024'!$J$4:$J$2015,E$1)</f>
        <v>0</v>
      </c>
      <c r="F22" s="80">
        <f>SUMIFS('август 2024'!$G$4:$G$2015,'август 2024'!$D$4:$D$2015,$B22,'август 2024'!$J$4:$J$2015,F$1)</f>
        <v>0</v>
      </c>
      <c r="G22" s="80">
        <f>SUMIFS('август 2024'!$G$4:$G$2015,'август 2024'!$D$4:$D$2015,$B22,'август 2024'!$J$4:$J$2015,G$1)</f>
        <v>0</v>
      </c>
      <c r="H22" s="80">
        <f>SUMIFS('август 2024'!$G$4:$G$2015,'август 2024'!$D$4:$D$2015,$B22,'август 2024'!$J$4:$J$2015,H$1)</f>
        <v>0</v>
      </c>
      <c r="I22" s="80">
        <f>SUMIFS('август 2024'!$G$4:$G$2015,'август 2024'!$D$4:$D$2015,$B22,'август 2024'!$J$4:$J$2015,I$1)</f>
        <v>0</v>
      </c>
      <c r="J22" s="80">
        <f>SUMIFS('август 2024'!$G$4:$G$2015,'август 2024'!$D$4:$D$2015,$B22,'август 2024'!$J$4:$J$2015,J$1)</f>
        <v>0</v>
      </c>
      <c r="K22" s="80">
        <f>SUMIFS('август 2024'!$G$4:$G$2015,'август 2024'!$D$4:$D$2015,$B22,'август 2024'!$J$4:$J$2015,K$1)</f>
        <v>0</v>
      </c>
      <c r="L22" s="80">
        <f>SUMIFS('август 2024'!$G$4:$G$2015,'август 2024'!$D$4:$D$2015,$B22,'август 2024'!$J$4:$J$2015,L$1)</f>
        <v>0</v>
      </c>
      <c r="M22" s="80">
        <f>SUMIFS('август 2024'!$G$4:$G$2015,'август 2024'!$D$4:$D$2015,$B22,'август 2024'!$J$4:$J$2015,M$1)</f>
        <v>0</v>
      </c>
      <c r="N22" s="80">
        <f>SUMIFS('август 2024'!$G$4:$G$2015,'август 2024'!$D$4:$D$2015,$B22,'август 2024'!$J$4:$J$2015,N$1)</f>
        <v>0</v>
      </c>
      <c r="O22" s="80">
        <f>SUMIFS('август 2024'!$G$4:$G$2015,'август 2024'!$D$4:$D$2015,$B22,'август 2024'!$J$4:$J$2015,O$1)</f>
        <v>0</v>
      </c>
      <c r="P22" s="80">
        <f>SUMIFS('август 2024'!$G$4:$G$2015,'август 2024'!$D$4:$D$2015,$B22,'август 2024'!$J$4:$J$2015,P$1)</f>
        <v>0</v>
      </c>
      <c r="Q22" s="80">
        <f>SUMIFS('август 2024'!$G$4:$G$2015,'август 2024'!$D$4:$D$2015,$B22,'август 2024'!$J$4:$J$2015,Q$1)</f>
        <v>0</v>
      </c>
      <c r="R22" s="80">
        <f>SUMIFS('август 2024'!$G$4:$G$2015,'август 2024'!$D$4:$D$2015,$B22,'август 2024'!$J$4:$J$2015,R$1)</f>
        <v>0</v>
      </c>
      <c r="S22" s="80">
        <f>SUMIFS('август 2024'!$G$4:$G$2015,'август 2024'!$D$4:$D$2015,$B22,'август 2024'!$J$4:$J$2015,S$1)</f>
        <v>0</v>
      </c>
      <c r="T22" s="80">
        <f>SUMIFS('август 2024'!$G$4:$G$2015,'август 2024'!$D$4:$D$2015,$B22,'август 2024'!$J$4:$J$2015,T$1)</f>
        <v>0</v>
      </c>
      <c r="U22" s="80">
        <f>SUMIFS('август 2024'!$G$4:$G$2015,'август 2024'!$D$4:$D$2015,$B22,'август 2024'!$J$4:$J$2015,U$1)</f>
        <v>0</v>
      </c>
      <c r="V22" s="80">
        <f>SUMIFS('август 2024'!$G$4:$G$2015,'август 2024'!$D$4:$D$2015,$B22,'август 2024'!$J$4:$J$2015,V$1)</f>
        <v>0</v>
      </c>
      <c r="W22" s="80">
        <f>SUMIFS('август 2024'!$G$4:$G$2015,'август 2024'!$D$4:$D$2015,$B22,'август 2024'!$J$4:$J$2015,W$1)</f>
        <v>0</v>
      </c>
      <c r="X22" s="80">
        <f>SUMIFS('август 2024'!$G$4:$G$2015,'август 2024'!$D$4:$D$2015,$B22,'август 2024'!$J$4:$J$2015,X$1)</f>
        <v>0</v>
      </c>
      <c r="Y22" s="80">
        <f>SUMIFS('август 2024'!$G$4:$G$2015,'август 2024'!$D$4:$D$2015,$B22,'август 2024'!$J$4:$J$2015,Y$1)</f>
        <v>0</v>
      </c>
      <c r="Z22" s="80">
        <f>SUMIFS('август 2024'!$G$4:$G$2015,'август 2024'!$D$4:$D$2015,$B22,'август 2024'!$J$4:$J$2015,Z$1)</f>
        <v>0</v>
      </c>
      <c r="AA22" s="80">
        <f>SUMIFS('август 2024'!$G$4:$G$2015,'август 2024'!$D$4:$D$2015,$B22,'август 2024'!$J$4:$J$2015,AA$1)</f>
        <v>0</v>
      </c>
      <c r="AB22" s="80">
        <f>SUMIFS('август 2024'!$G$4:$G$2015,'август 2024'!$D$4:$D$2015,$B22,'август 2024'!$J$4:$J$2015,AB$1)</f>
        <v>0</v>
      </c>
      <c r="AC22" s="80">
        <f>SUMIFS('август 2024'!$G$4:$G$2015,'август 2024'!$D$4:$D$2015,$B22,'август 2024'!$J$4:$J$2015,AC$1)</f>
        <v>0</v>
      </c>
      <c r="AD22" s="80">
        <f>SUMIFS('август 2024'!$G$4:$G$2015,'август 2024'!$D$4:$D$2015,$B22,'август 2024'!$J$4:$J$2015,AD$1)</f>
        <v>0</v>
      </c>
      <c r="AE22" s="80">
        <f>SUMIFS('август 2024'!$G$4:$G$2015,'август 2024'!$D$4:$D$2015,$B22,'август 2024'!$J$4:$J$2015,AE$1)</f>
        <v>0</v>
      </c>
      <c r="AF22" s="80">
        <f>SUMIFS('август 2024'!$G$4:$G$2015,'август 2024'!$D$4:$D$2015,$B22,'август 2024'!$J$4:$J$2015,AF$1)</f>
        <v>0</v>
      </c>
      <c r="AG22" s="80">
        <f>SUMIFS('август 2024'!$G$4:$G$2015,'август 2024'!$D$4:$D$2015,$B22,'август 2024'!$J$4:$J$2015,AG$1)</f>
        <v>0</v>
      </c>
      <c r="AH22" s="80">
        <f>SUMIFS('август 2024'!$G$4:$G$2015,'август 2024'!$D$4:$D$2015,$B22,'август 2024'!$J$4:$J$2015,AH$1)</f>
        <v>0</v>
      </c>
      <c r="AI22" s="21">
        <f t="shared" si="1"/>
        <v>0</v>
      </c>
    </row>
    <row r="23" spans="2:35" ht="15" customHeight="1" x14ac:dyDescent="0.25">
      <c r="B23" s="84" t="s">
        <v>311</v>
      </c>
      <c r="C23" s="103">
        <v>25</v>
      </c>
      <c r="D23" s="80">
        <f>SUMIFS('август 2024'!$G$4:$G$2015,'август 2024'!$D$4:$D$2015,$B23,'август 2024'!$J$4:$J$2015,D$1)</f>
        <v>0</v>
      </c>
      <c r="E23" s="80">
        <f>SUMIFS('август 2024'!$G$4:$G$2015,'август 2024'!$D$4:$D$2015,$B23,'август 2024'!$J$4:$J$2015,E$1)</f>
        <v>0</v>
      </c>
      <c r="F23" s="80">
        <f>SUMIFS('август 2024'!$G$4:$G$2015,'август 2024'!$D$4:$D$2015,$B23,'август 2024'!$J$4:$J$2015,F$1)</f>
        <v>0</v>
      </c>
      <c r="G23" s="80">
        <f>SUMIFS('август 2024'!$G$4:$G$2015,'август 2024'!$D$4:$D$2015,$B23,'август 2024'!$J$4:$J$2015,G$1)</f>
        <v>0</v>
      </c>
      <c r="H23" s="80">
        <f>SUMIFS('август 2024'!$G$4:$G$2015,'август 2024'!$D$4:$D$2015,$B23,'август 2024'!$J$4:$J$2015,H$1)</f>
        <v>0</v>
      </c>
      <c r="I23" s="80">
        <f>SUMIFS('август 2024'!$G$4:$G$2015,'август 2024'!$D$4:$D$2015,$B23,'август 2024'!$J$4:$J$2015,I$1)</f>
        <v>0</v>
      </c>
      <c r="J23" s="80">
        <f>SUMIFS('август 2024'!$G$4:$G$2015,'август 2024'!$D$4:$D$2015,$B23,'август 2024'!$J$4:$J$2015,J$1)</f>
        <v>0</v>
      </c>
      <c r="K23" s="80">
        <f>SUMIFS('август 2024'!$G$4:$G$2015,'август 2024'!$D$4:$D$2015,$B23,'август 2024'!$J$4:$J$2015,K$1)</f>
        <v>0</v>
      </c>
      <c r="L23" s="80">
        <f>SUMIFS('август 2024'!$G$4:$G$2015,'август 2024'!$D$4:$D$2015,$B23,'август 2024'!$J$4:$J$2015,L$1)</f>
        <v>0</v>
      </c>
      <c r="M23" s="80">
        <f>SUMIFS('август 2024'!$G$4:$G$2015,'август 2024'!$D$4:$D$2015,$B23,'август 2024'!$J$4:$J$2015,M$1)</f>
        <v>0</v>
      </c>
      <c r="N23" s="80">
        <f>SUMIFS('август 2024'!$G$4:$G$2015,'август 2024'!$D$4:$D$2015,$B23,'август 2024'!$J$4:$J$2015,N$1)</f>
        <v>0</v>
      </c>
      <c r="O23" s="80">
        <f>SUMIFS('август 2024'!$G$4:$G$2015,'август 2024'!$D$4:$D$2015,$B23,'август 2024'!$J$4:$J$2015,O$1)</f>
        <v>0</v>
      </c>
      <c r="P23" s="80">
        <f>SUMIFS('август 2024'!$G$4:$G$2015,'август 2024'!$D$4:$D$2015,$B23,'август 2024'!$J$4:$J$2015,P$1)</f>
        <v>0</v>
      </c>
      <c r="Q23" s="80">
        <f>SUMIFS('август 2024'!$G$4:$G$2015,'август 2024'!$D$4:$D$2015,$B23,'август 2024'!$J$4:$J$2015,Q$1)</f>
        <v>0</v>
      </c>
      <c r="R23" s="80">
        <f>SUMIFS('август 2024'!$G$4:$G$2015,'август 2024'!$D$4:$D$2015,$B23,'август 2024'!$J$4:$J$2015,R$1)</f>
        <v>0</v>
      </c>
      <c r="S23" s="80">
        <f>SUMIFS('август 2024'!$G$4:$G$2015,'август 2024'!$D$4:$D$2015,$B23,'август 2024'!$J$4:$J$2015,S$1)</f>
        <v>0</v>
      </c>
      <c r="T23" s="80">
        <f>SUMIFS('август 2024'!$G$4:$G$2015,'август 2024'!$D$4:$D$2015,$B23,'август 2024'!$J$4:$J$2015,T$1)</f>
        <v>0</v>
      </c>
      <c r="U23" s="80">
        <f>SUMIFS('август 2024'!$G$4:$G$2015,'август 2024'!$D$4:$D$2015,$B23,'август 2024'!$J$4:$J$2015,U$1)</f>
        <v>0</v>
      </c>
      <c r="V23" s="80">
        <f>SUMIFS('август 2024'!$G$4:$G$2015,'август 2024'!$D$4:$D$2015,$B23,'август 2024'!$J$4:$J$2015,V$1)</f>
        <v>0</v>
      </c>
      <c r="W23" s="80">
        <f>SUMIFS('август 2024'!$G$4:$G$2015,'август 2024'!$D$4:$D$2015,$B23,'август 2024'!$J$4:$J$2015,W$1)</f>
        <v>0</v>
      </c>
      <c r="X23" s="80">
        <f>SUMIFS('август 2024'!$G$4:$G$2015,'август 2024'!$D$4:$D$2015,$B23,'август 2024'!$J$4:$J$2015,X$1)</f>
        <v>0</v>
      </c>
      <c r="Y23" s="80">
        <f>SUMIFS('август 2024'!$G$4:$G$2015,'август 2024'!$D$4:$D$2015,$B23,'август 2024'!$J$4:$J$2015,Y$1)</f>
        <v>0</v>
      </c>
      <c r="Z23" s="80">
        <f>SUMIFS('август 2024'!$G$4:$G$2015,'август 2024'!$D$4:$D$2015,$B23,'август 2024'!$J$4:$J$2015,Z$1)</f>
        <v>0</v>
      </c>
      <c r="AA23" s="80">
        <f>SUMIFS('август 2024'!$G$4:$G$2015,'август 2024'!$D$4:$D$2015,$B23,'август 2024'!$J$4:$J$2015,AA$1)</f>
        <v>0</v>
      </c>
      <c r="AB23" s="80">
        <f>SUMIFS('август 2024'!$G$4:$G$2015,'август 2024'!$D$4:$D$2015,$B23,'август 2024'!$J$4:$J$2015,AB$1)</f>
        <v>0</v>
      </c>
      <c r="AC23" s="80">
        <f>SUMIFS('август 2024'!$G$4:$G$2015,'август 2024'!$D$4:$D$2015,$B23,'август 2024'!$J$4:$J$2015,AC$1)</f>
        <v>0</v>
      </c>
      <c r="AD23" s="80">
        <f>SUMIFS('август 2024'!$G$4:$G$2015,'август 2024'!$D$4:$D$2015,$B23,'август 2024'!$J$4:$J$2015,AD$1)</f>
        <v>0</v>
      </c>
      <c r="AE23" s="80">
        <f>SUMIFS('август 2024'!$G$4:$G$2015,'август 2024'!$D$4:$D$2015,$B23,'август 2024'!$J$4:$J$2015,AE$1)</f>
        <v>0</v>
      </c>
      <c r="AF23" s="80">
        <f>SUMIFS('август 2024'!$G$4:$G$2015,'август 2024'!$D$4:$D$2015,$B23,'август 2024'!$J$4:$J$2015,AF$1)</f>
        <v>0</v>
      </c>
      <c r="AG23" s="80">
        <f>SUMIFS('август 2024'!$G$4:$G$2015,'август 2024'!$D$4:$D$2015,$B23,'август 2024'!$J$4:$J$2015,AG$1)</f>
        <v>0</v>
      </c>
      <c r="AH23" s="80">
        <f>SUMIFS('август 2024'!$G$4:$G$2015,'август 2024'!$D$4:$D$2015,$B23,'август 2024'!$J$4:$J$2015,AH$1)</f>
        <v>0</v>
      </c>
      <c r="AI23" s="21">
        <f t="shared" si="1"/>
        <v>0</v>
      </c>
    </row>
    <row r="24" spans="2:35" ht="15" customHeight="1" x14ac:dyDescent="0.25">
      <c r="B24" s="84" t="s">
        <v>312</v>
      </c>
      <c r="C24" s="82">
        <v>25</v>
      </c>
      <c r="D24" s="80">
        <f>SUMIFS('август 2024'!$G$4:$G$2015,'август 2024'!$D$4:$D$2015,$B24,'август 2024'!$J$4:$J$2015,D$1)</f>
        <v>0</v>
      </c>
      <c r="E24" s="80">
        <f>SUMIFS('август 2024'!$G$4:$G$2015,'август 2024'!$D$4:$D$2015,$B24,'август 2024'!$J$4:$J$2015,E$1)</f>
        <v>0</v>
      </c>
      <c r="F24" s="80">
        <f>SUMIFS('август 2024'!$G$4:$G$2015,'август 2024'!$D$4:$D$2015,$B24,'август 2024'!$J$4:$J$2015,F$1)</f>
        <v>0</v>
      </c>
      <c r="G24" s="80">
        <f>SUMIFS('август 2024'!$G$4:$G$2015,'август 2024'!$D$4:$D$2015,$B24,'август 2024'!$J$4:$J$2015,G$1)</f>
        <v>0</v>
      </c>
      <c r="H24" s="80">
        <f>SUMIFS('август 2024'!$G$4:$G$2015,'август 2024'!$D$4:$D$2015,$B24,'август 2024'!$J$4:$J$2015,H$1)</f>
        <v>0</v>
      </c>
      <c r="I24" s="80">
        <f>SUMIFS('август 2024'!$G$4:$G$2015,'август 2024'!$D$4:$D$2015,$B24,'август 2024'!$J$4:$J$2015,I$1)</f>
        <v>0</v>
      </c>
      <c r="J24" s="80">
        <f>SUMIFS('август 2024'!$G$4:$G$2015,'август 2024'!$D$4:$D$2015,$B24,'август 2024'!$J$4:$J$2015,J$1)</f>
        <v>0</v>
      </c>
      <c r="K24" s="80">
        <f>SUMIFS('август 2024'!$G$4:$G$2015,'август 2024'!$D$4:$D$2015,$B24,'август 2024'!$J$4:$J$2015,K$1)</f>
        <v>0</v>
      </c>
      <c r="L24" s="80">
        <f>SUMIFS('август 2024'!$G$4:$G$2015,'август 2024'!$D$4:$D$2015,$B24,'август 2024'!$J$4:$J$2015,L$1)</f>
        <v>0</v>
      </c>
      <c r="M24" s="80">
        <f>SUMIFS('август 2024'!$G$4:$G$2015,'август 2024'!$D$4:$D$2015,$B24,'август 2024'!$J$4:$J$2015,M$1)</f>
        <v>0</v>
      </c>
      <c r="N24" s="80">
        <f>SUMIFS('август 2024'!$G$4:$G$2015,'август 2024'!$D$4:$D$2015,$B24,'август 2024'!$J$4:$J$2015,N$1)</f>
        <v>0</v>
      </c>
      <c r="O24" s="80">
        <f>SUMIFS('август 2024'!$G$4:$G$2015,'август 2024'!$D$4:$D$2015,$B24,'август 2024'!$J$4:$J$2015,O$1)</f>
        <v>0</v>
      </c>
      <c r="P24" s="80">
        <f>SUMIFS('август 2024'!$G$4:$G$2015,'август 2024'!$D$4:$D$2015,$B24,'август 2024'!$J$4:$J$2015,P$1)</f>
        <v>0</v>
      </c>
      <c r="Q24" s="80">
        <f>SUMIFS('август 2024'!$G$4:$G$2015,'август 2024'!$D$4:$D$2015,$B24,'август 2024'!$J$4:$J$2015,Q$1)</f>
        <v>0</v>
      </c>
      <c r="R24" s="80">
        <f>SUMIFS('август 2024'!$G$4:$G$2015,'август 2024'!$D$4:$D$2015,$B24,'август 2024'!$J$4:$J$2015,R$1)</f>
        <v>0</v>
      </c>
      <c r="S24" s="80">
        <f>SUMIFS('август 2024'!$G$4:$G$2015,'август 2024'!$D$4:$D$2015,$B24,'август 2024'!$J$4:$J$2015,S$1)</f>
        <v>0</v>
      </c>
      <c r="T24" s="80">
        <f>SUMIFS('август 2024'!$G$4:$G$2015,'август 2024'!$D$4:$D$2015,$B24,'август 2024'!$J$4:$J$2015,T$1)</f>
        <v>0</v>
      </c>
      <c r="U24" s="80">
        <f>SUMIFS('август 2024'!$G$4:$G$2015,'август 2024'!$D$4:$D$2015,$B24,'август 2024'!$J$4:$J$2015,U$1)</f>
        <v>0</v>
      </c>
      <c r="V24" s="80">
        <f>SUMIFS('август 2024'!$G$4:$G$2015,'август 2024'!$D$4:$D$2015,$B24,'август 2024'!$J$4:$J$2015,V$1)</f>
        <v>0</v>
      </c>
      <c r="W24" s="80">
        <f>SUMIFS('август 2024'!$G$4:$G$2015,'август 2024'!$D$4:$D$2015,$B24,'август 2024'!$J$4:$J$2015,W$1)</f>
        <v>0</v>
      </c>
      <c r="X24" s="80">
        <f>SUMIFS('август 2024'!$G$4:$G$2015,'август 2024'!$D$4:$D$2015,$B24,'август 2024'!$J$4:$J$2015,X$1)</f>
        <v>0</v>
      </c>
      <c r="Y24" s="80">
        <f>SUMIFS('август 2024'!$G$4:$G$2015,'август 2024'!$D$4:$D$2015,$B24,'август 2024'!$J$4:$J$2015,Y$1)</f>
        <v>0</v>
      </c>
      <c r="Z24" s="80">
        <f>SUMIFS('август 2024'!$G$4:$G$2015,'август 2024'!$D$4:$D$2015,$B24,'август 2024'!$J$4:$J$2015,Z$1)</f>
        <v>0</v>
      </c>
      <c r="AA24" s="80">
        <f>SUMIFS('август 2024'!$G$4:$G$2015,'август 2024'!$D$4:$D$2015,$B24,'август 2024'!$J$4:$J$2015,AA$1)</f>
        <v>0</v>
      </c>
      <c r="AB24" s="80">
        <f>SUMIFS('август 2024'!$G$4:$G$2015,'август 2024'!$D$4:$D$2015,$B24,'август 2024'!$J$4:$J$2015,AB$1)</f>
        <v>0</v>
      </c>
      <c r="AC24" s="80">
        <f>SUMIFS('август 2024'!$G$4:$G$2015,'август 2024'!$D$4:$D$2015,$B24,'август 2024'!$J$4:$J$2015,AC$1)</f>
        <v>0</v>
      </c>
      <c r="AD24" s="80">
        <f>SUMIFS('август 2024'!$G$4:$G$2015,'август 2024'!$D$4:$D$2015,$B24,'август 2024'!$J$4:$J$2015,AD$1)</f>
        <v>0</v>
      </c>
      <c r="AE24" s="80">
        <f>SUMIFS('август 2024'!$G$4:$G$2015,'август 2024'!$D$4:$D$2015,$B24,'август 2024'!$J$4:$J$2015,AE$1)</f>
        <v>0</v>
      </c>
      <c r="AF24" s="80">
        <f>SUMIFS('август 2024'!$G$4:$G$2015,'август 2024'!$D$4:$D$2015,$B24,'август 2024'!$J$4:$J$2015,AF$1)</f>
        <v>0</v>
      </c>
      <c r="AG24" s="80">
        <f>SUMIFS('август 2024'!$G$4:$G$2015,'август 2024'!$D$4:$D$2015,$B24,'август 2024'!$J$4:$J$2015,AG$1)</f>
        <v>0</v>
      </c>
      <c r="AH24" s="80">
        <f>SUMIFS('август 2024'!$G$4:$G$2015,'август 2024'!$D$4:$D$2015,$B24,'август 2024'!$J$4:$J$2015,AH$1)</f>
        <v>0</v>
      </c>
      <c r="AI24" s="21">
        <f t="shared" si="1"/>
        <v>0</v>
      </c>
    </row>
    <row r="25" spans="2:35" ht="15" customHeight="1" x14ac:dyDescent="0.25">
      <c r="B25" s="84" t="s">
        <v>313</v>
      </c>
      <c r="C25" s="82">
        <v>25</v>
      </c>
      <c r="D25" s="80">
        <f>SUMIFS('август 2024'!$G$4:$G$2015,'август 2024'!$D$4:$D$2015,$B25,'август 2024'!$J$4:$J$2015,D$1)</f>
        <v>0</v>
      </c>
      <c r="E25" s="80">
        <f>SUMIFS('август 2024'!$G$4:$G$2015,'август 2024'!$D$4:$D$2015,$B25,'август 2024'!$J$4:$J$2015,E$1)</f>
        <v>2560</v>
      </c>
      <c r="F25" s="80">
        <f>SUMIFS('август 2024'!$G$4:$G$2015,'август 2024'!$D$4:$D$2015,$B25,'август 2024'!$J$4:$J$2015,F$1)</f>
        <v>0</v>
      </c>
      <c r="G25" s="80">
        <f>SUMIFS('август 2024'!$G$4:$G$2015,'август 2024'!$D$4:$D$2015,$B25,'август 2024'!$J$4:$J$2015,G$1)</f>
        <v>0</v>
      </c>
      <c r="H25" s="80">
        <f>SUMIFS('август 2024'!$G$4:$G$2015,'август 2024'!$D$4:$D$2015,$B25,'август 2024'!$J$4:$J$2015,H$1)</f>
        <v>0</v>
      </c>
      <c r="I25" s="80">
        <f>SUMIFS('август 2024'!$G$4:$G$2015,'август 2024'!$D$4:$D$2015,$B25,'август 2024'!$J$4:$J$2015,I$1)</f>
        <v>0</v>
      </c>
      <c r="J25" s="80">
        <f>SUMIFS('август 2024'!$G$4:$G$2015,'август 2024'!$D$4:$D$2015,$B25,'август 2024'!$J$4:$J$2015,J$1)</f>
        <v>0</v>
      </c>
      <c r="K25" s="80">
        <f>SUMIFS('август 2024'!$G$4:$G$2015,'август 2024'!$D$4:$D$2015,$B25,'август 2024'!$J$4:$J$2015,K$1)</f>
        <v>0</v>
      </c>
      <c r="L25" s="80">
        <f>SUMIFS('август 2024'!$G$4:$G$2015,'август 2024'!$D$4:$D$2015,$B25,'август 2024'!$J$4:$J$2015,L$1)</f>
        <v>0</v>
      </c>
      <c r="M25" s="80">
        <f>SUMIFS('август 2024'!$G$4:$G$2015,'август 2024'!$D$4:$D$2015,$B25,'август 2024'!$J$4:$J$2015,M$1)</f>
        <v>0</v>
      </c>
      <c r="N25" s="80">
        <f>SUMIFS('август 2024'!$G$4:$G$2015,'август 2024'!$D$4:$D$2015,$B25,'август 2024'!$J$4:$J$2015,N$1)</f>
        <v>0</v>
      </c>
      <c r="O25" s="80">
        <f>SUMIFS('август 2024'!$G$4:$G$2015,'август 2024'!$D$4:$D$2015,$B25,'август 2024'!$J$4:$J$2015,O$1)</f>
        <v>0</v>
      </c>
      <c r="P25" s="80">
        <f>SUMIFS('август 2024'!$G$4:$G$2015,'август 2024'!$D$4:$D$2015,$B25,'август 2024'!$J$4:$J$2015,P$1)</f>
        <v>0</v>
      </c>
      <c r="Q25" s="80">
        <f>SUMIFS('август 2024'!$G$4:$G$2015,'август 2024'!$D$4:$D$2015,$B25,'август 2024'!$J$4:$J$2015,Q$1)</f>
        <v>0</v>
      </c>
      <c r="R25" s="80">
        <f>SUMIFS('август 2024'!$G$4:$G$2015,'август 2024'!$D$4:$D$2015,$B25,'август 2024'!$J$4:$J$2015,R$1)</f>
        <v>0</v>
      </c>
      <c r="S25" s="80">
        <f>SUMIFS('август 2024'!$G$4:$G$2015,'август 2024'!$D$4:$D$2015,$B25,'август 2024'!$J$4:$J$2015,S$1)</f>
        <v>0</v>
      </c>
      <c r="T25" s="80">
        <f>SUMIFS('август 2024'!$G$4:$G$2015,'август 2024'!$D$4:$D$2015,$B25,'август 2024'!$J$4:$J$2015,T$1)</f>
        <v>0</v>
      </c>
      <c r="U25" s="80">
        <f>SUMIFS('август 2024'!$G$4:$G$2015,'август 2024'!$D$4:$D$2015,$B25,'август 2024'!$J$4:$J$2015,U$1)</f>
        <v>0</v>
      </c>
      <c r="V25" s="80">
        <f>SUMIFS('август 2024'!$G$4:$G$2015,'август 2024'!$D$4:$D$2015,$B25,'август 2024'!$J$4:$J$2015,V$1)</f>
        <v>0</v>
      </c>
      <c r="W25" s="80">
        <f>SUMIFS('август 2024'!$G$4:$G$2015,'август 2024'!$D$4:$D$2015,$B25,'август 2024'!$J$4:$J$2015,W$1)</f>
        <v>0</v>
      </c>
      <c r="X25" s="80">
        <f>SUMIFS('август 2024'!$G$4:$G$2015,'август 2024'!$D$4:$D$2015,$B25,'август 2024'!$J$4:$J$2015,X$1)</f>
        <v>0</v>
      </c>
      <c r="Y25" s="80">
        <f>SUMIFS('август 2024'!$G$4:$G$2015,'август 2024'!$D$4:$D$2015,$B25,'август 2024'!$J$4:$J$2015,Y$1)</f>
        <v>0</v>
      </c>
      <c r="Z25" s="80">
        <f>SUMIFS('август 2024'!$G$4:$G$2015,'август 2024'!$D$4:$D$2015,$B25,'август 2024'!$J$4:$J$2015,Z$1)</f>
        <v>0</v>
      </c>
      <c r="AA25" s="80">
        <f>SUMIFS('август 2024'!$G$4:$G$2015,'август 2024'!$D$4:$D$2015,$B25,'август 2024'!$J$4:$J$2015,AA$1)</f>
        <v>0</v>
      </c>
      <c r="AB25" s="80">
        <f>SUMIFS('август 2024'!$G$4:$G$2015,'август 2024'!$D$4:$D$2015,$B25,'август 2024'!$J$4:$J$2015,AB$1)</f>
        <v>0</v>
      </c>
      <c r="AC25" s="80">
        <f>SUMIFS('август 2024'!$G$4:$G$2015,'август 2024'!$D$4:$D$2015,$B25,'август 2024'!$J$4:$J$2015,AC$1)</f>
        <v>2560</v>
      </c>
      <c r="AD25" s="80">
        <f>SUMIFS('август 2024'!$G$4:$G$2015,'август 2024'!$D$4:$D$2015,$B25,'август 2024'!$J$4:$J$2015,AD$1)</f>
        <v>0</v>
      </c>
      <c r="AE25" s="80">
        <f>SUMIFS('август 2024'!$G$4:$G$2015,'август 2024'!$D$4:$D$2015,$B25,'август 2024'!$J$4:$J$2015,AE$1)</f>
        <v>0</v>
      </c>
      <c r="AF25" s="80">
        <f>SUMIFS('август 2024'!$G$4:$G$2015,'август 2024'!$D$4:$D$2015,$B25,'август 2024'!$J$4:$J$2015,AF$1)</f>
        <v>0</v>
      </c>
      <c r="AG25" s="80">
        <f>SUMIFS('август 2024'!$G$4:$G$2015,'август 2024'!$D$4:$D$2015,$B25,'август 2024'!$J$4:$J$2015,AG$1)</f>
        <v>0</v>
      </c>
      <c r="AH25" s="80">
        <f>SUMIFS('август 2024'!$G$4:$G$2015,'август 2024'!$D$4:$D$2015,$B25,'август 2024'!$J$4:$J$2015,AH$1)</f>
        <v>0</v>
      </c>
      <c r="AI25" s="21">
        <f t="shared" si="1"/>
        <v>5120</v>
      </c>
    </row>
    <row r="26" spans="2:35" ht="15" customHeight="1" x14ac:dyDescent="0.25">
      <c r="B26" s="84" t="s">
        <v>314</v>
      </c>
      <c r="C26" s="82">
        <v>25</v>
      </c>
      <c r="D26" s="80">
        <f>SUMIFS('август 2024'!$G$4:$G$2015,'август 2024'!$D$4:$D$2015,$B26,'август 2024'!$J$4:$J$2015,D$1)</f>
        <v>0</v>
      </c>
      <c r="E26" s="80">
        <f>SUMIFS('август 2024'!$G$4:$G$2015,'август 2024'!$D$4:$D$2015,$B26,'август 2024'!$J$4:$J$2015,E$1)</f>
        <v>0</v>
      </c>
      <c r="F26" s="80">
        <f>SUMIFS('август 2024'!$G$4:$G$2015,'август 2024'!$D$4:$D$2015,$B26,'август 2024'!$J$4:$J$2015,F$1)</f>
        <v>0</v>
      </c>
      <c r="G26" s="80">
        <f>SUMIFS('август 2024'!$G$4:$G$2015,'август 2024'!$D$4:$D$2015,$B26,'август 2024'!$J$4:$J$2015,G$1)</f>
        <v>0</v>
      </c>
      <c r="H26" s="80">
        <f>SUMIFS('август 2024'!$G$4:$G$2015,'август 2024'!$D$4:$D$2015,$B26,'август 2024'!$J$4:$J$2015,H$1)</f>
        <v>0</v>
      </c>
      <c r="I26" s="80">
        <f>SUMIFS('август 2024'!$G$4:$G$2015,'август 2024'!$D$4:$D$2015,$B26,'август 2024'!$J$4:$J$2015,I$1)</f>
        <v>0</v>
      </c>
      <c r="J26" s="80">
        <f>SUMIFS('август 2024'!$G$4:$G$2015,'август 2024'!$D$4:$D$2015,$B26,'август 2024'!$J$4:$J$2015,J$1)</f>
        <v>0</v>
      </c>
      <c r="K26" s="80">
        <f>SUMIFS('август 2024'!$G$4:$G$2015,'август 2024'!$D$4:$D$2015,$B26,'август 2024'!$J$4:$J$2015,K$1)</f>
        <v>0</v>
      </c>
      <c r="L26" s="80">
        <f>SUMIFS('август 2024'!$G$4:$G$2015,'август 2024'!$D$4:$D$2015,$B26,'август 2024'!$J$4:$J$2015,L$1)</f>
        <v>0</v>
      </c>
      <c r="M26" s="80">
        <f>SUMIFS('август 2024'!$G$4:$G$2015,'август 2024'!$D$4:$D$2015,$B26,'август 2024'!$J$4:$J$2015,M$1)</f>
        <v>0</v>
      </c>
      <c r="N26" s="80">
        <f>SUMIFS('август 2024'!$G$4:$G$2015,'август 2024'!$D$4:$D$2015,$B26,'август 2024'!$J$4:$J$2015,N$1)</f>
        <v>0</v>
      </c>
      <c r="O26" s="80">
        <f>SUMIFS('август 2024'!$G$4:$G$2015,'август 2024'!$D$4:$D$2015,$B26,'август 2024'!$J$4:$J$2015,O$1)</f>
        <v>0</v>
      </c>
      <c r="P26" s="80">
        <f>SUMIFS('август 2024'!$G$4:$G$2015,'август 2024'!$D$4:$D$2015,$B26,'август 2024'!$J$4:$J$2015,P$1)</f>
        <v>0</v>
      </c>
      <c r="Q26" s="80">
        <f>SUMIFS('август 2024'!$G$4:$G$2015,'август 2024'!$D$4:$D$2015,$B26,'август 2024'!$J$4:$J$2015,Q$1)</f>
        <v>0</v>
      </c>
      <c r="R26" s="80">
        <f>SUMIFS('август 2024'!$G$4:$G$2015,'август 2024'!$D$4:$D$2015,$B26,'август 2024'!$J$4:$J$2015,R$1)</f>
        <v>0</v>
      </c>
      <c r="S26" s="80">
        <f>SUMIFS('август 2024'!$G$4:$G$2015,'август 2024'!$D$4:$D$2015,$B26,'август 2024'!$J$4:$J$2015,S$1)</f>
        <v>0</v>
      </c>
      <c r="T26" s="80">
        <f>SUMIFS('август 2024'!$G$4:$G$2015,'август 2024'!$D$4:$D$2015,$B26,'август 2024'!$J$4:$J$2015,T$1)</f>
        <v>0</v>
      </c>
      <c r="U26" s="80">
        <f>SUMIFS('август 2024'!$G$4:$G$2015,'август 2024'!$D$4:$D$2015,$B26,'август 2024'!$J$4:$J$2015,U$1)</f>
        <v>0</v>
      </c>
      <c r="V26" s="80">
        <f>SUMIFS('август 2024'!$G$4:$G$2015,'август 2024'!$D$4:$D$2015,$B26,'август 2024'!$J$4:$J$2015,V$1)</f>
        <v>0</v>
      </c>
      <c r="W26" s="80">
        <f>SUMIFS('август 2024'!$G$4:$G$2015,'август 2024'!$D$4:$D$2015,$B26,'август 2024'!$J$4:$J$2015,W$1)</f>
        <v>0</v>
      </c>
      <c r="X26" s="80">
        <f>SUMIFS('август 2024'!$G$4:$G$2015,'август 2024'!$D$4:$D$2015,$B26,'август 2024'!$J$4:$J$2015,X$1)</f>
        <v>0</v>
      </c>
      <c r="Y26" s="80">
        <f>SUMIFS('август 2024'!$G$4:$G$2015,'август 2024'!$D$4:$D$2015,$B26,'август 2024'!$J$4:$J$2015,Y$1)</f>
        <v>0</v>
      </c>
      <c r="Z26" s="80">
        <f>SUMIFS('август 2024'!$G$4:$G$2015,'август 2024'!$D$4:$D$2015,$B26,'август 2024'!$J$4:$J$2015,Z$1)</f>
        <v>0</v>
      </c>
      <c r="AA26" s="80">
        <f>SUMIFS('август 2024'!$G$4:$G$2015,'август 2024'!$D$4:$D$2015,$B26,'август 2024'!$J$4:$J$2015,AA$1)</f>
        <v>0</v>
      </c>
      <c r="AB26" s="80">
        <f>SUMIFS('август 2024'!$G$4:$G$2015,'август 2024'!$D$4:$D$2015,$B26,'август 2024'!$J$4:$J$2015,AB$1)</f>
        <v>0</v>
      </c>
      <c r="AC26" s="80">
        <f>SUMIFS('август 2024'!$G$4:$G$2015,'август 2024'!$D$4:$D$2015,$B26,'август 2024'!$J$4:$J$2015,AC$1)</f>
        <v>0</v>
      </c>
      <c r="AD26" s="80">
        <f>SUMIFS('август 2024'!$G$4:$G$2015,'август 2024'!$D$4:$D$2015,$B26,'август 2024'!$J$4:$J$2015,AD$1)</f>
        <v>0</v>
      </c>
      <c r="AE26" s="80">
        <f>SUMIFS('август 2024'!$G$4:$G$2015,'август 2024'!$D$4:$D$2015,$B26,'август 2024'!$J$4:$J$2015,AE$1)</f>
        <v>0</v>
      </c>
      <c r="AF26" s="80">
        <f>SUMIFS('август 2024'!$G$4:$G$2015,'август 2024'!$D$4:$D$2015,$B26,'август 2024'!$J$4:$J$2015,AF$1)</f>
        <v>0</v>
      </c>
      <c r="AG26" s="80">
        <f>SUMIFS('август 2024'!$G$4:$G$2015,'август 2024'!$D$4:$D$2015,$B26,'август 2024'!$J$4:$J$2015,AG$1)</f>
        <v>0</v>
      </c>
      <c r="AH26" s="80">
        <f>SUMIFS('август 2024'!$G$4:$G$2015,'август 2024'!$D$4:$D$2015,$B26,'август 2024'!$J$4:$J$2015,AH$1)</f>
        <v>0</v>
      </c>
      <c r="AI26" s="21">
        <f t="shared" si="1"/>
        <v>0</v>
      </c>
    </row>
    <row r="27" spans="2:35" ht="15" customHeight="1" x14ac:dyDescent="0.25">
      <c r="B27" s="84" t="s">
        <v>315</v>
      </c>
      <c r="C27" s="82">
        <v>25</v>
      </c>
      <c r="D27" s="80">
        <f>SUMIFS('август 2024'!$G$4:$G$2015,'август 2024'!$D$4:$D$2015,$B27,'август 2024'!$J$4:$J$2015,D$1)</f>
        <v>0</v>
      </c>
      <c r="E27" s="80">
        <f>SUMIFS('август 2024'!$G$4:$G$2015,'август 2024'!$D$4:$D$2015,$B27,'август 2024'!$J$4:$J$2015,E$1)</f>
        <v>0</v>
      </c>
      <c r="F27" s="80">
        <f>SUMIFS('август 2024'!$G$4:$G$2015,'август 2024'!$D$4:$D$2015,$B27,'август 2024'!$J$4:$J$2015,F$1)</f>
        <v>0</v>
      </c>
      <c r="G27" s="80">
        <f>SUMIFS('август 2024'!$G$4:$G$2015,'август 2024'!$D$4:$D$2015,$B27,'август 2024'!$J$4:$J$2015,G$1)</f>
        <v>0</v>
      </c>
      <c r="H27" s="80">
        <f>SUMIFS('август 2024'!$G$4:$G$2015,'август 2024'!$D$4:$D$2015,$B27,'август 2024'!$J$4:$J$2015,H$1)</f>
        <v>0</v>
      </c>
      <c r="I27" s="80">
        <f>SUMIFS('август 2024'!$G$4:$G$2015,'август 2024'!$D$4:$D$2015,$B27,'август 2024'!$J$4:$J$2015,I$1)</f>
        <v>0</v>
      </c>
      <c r="J27" s="80">
        <f>SUMIFS('август 2024'!$G$4:$G$2015,'август 2024'!$D$4:$D$2015,$B27,'август 2024'!$J$4:$J$2015,J$1)</f>
        <v>0</v>
      </c>
      <c r="K27" s="80">
        <f>SUMIFS('август 2024'!$G$4:$G$2015,'август 2024'!$D$4:$D$2015,$B27,'август 2024'!$J$4:$J$2015,K$1)</f>
        <v>0</v>
      </c>
      <c r="L27" s="80">
        <f>SUMIFS('август 2024'!$G$4:$G$2015,'август 2024'!$D$4:$D$2015,$B27,'август 2024'!$J$4:$J$2015,L$1)</f>
        <v>0</v>
      </c>
      <c r="M27" s="80">
        <f>SUMIFS('август 2024'!$G$4:$G$2015,'август 2024'!$D$4:$D$2015,$B27,'август 2024'!$J$4:$J$2015,M$1)</f>
        <v>0</v>
      </c>
      <c r="N27" s="80">
        <f>SUMIFS('август 2024'!$G$4:$G$2015,'август 2024'!$D$4:$D$2015,$B27,'август 2024'!$J$4:$J$2015,N$1)</f>
        <v>0</v>
      </c>
      <c r="O27" s="80">
        <f>SUMIFS('август 2024'!$G$4:$G$2015,'август 2024'!$D$4:$D$2015,$B27,'август 2024'!$J$4:$J$2015,O$1)</f>
        <v>0</v>
      </c>
      <c r="P27" s="80">
        <f>SUMIFS('август 2024'!$G$4:$G$2015,'август 2024'!$D$4:$D$2015,$B27,'август 2024'!$J$4:$J$2015,P$1)</f>
        <v>0</v>
      </c>
      <c r="Q27" s="80">
        <f>SUMIFS('август 2024'!$G$4:$G$2015,'август 2024'!$D$4:$D$2015,$B27,'август 2024'!$J$4:$J$2015,Q$1)</f>
        <v>0</v>
      </c>
      <c r="R27" s="80">
        <f>SUMIFS('август 2024'!$G$4:$G$2015,'август 2024'!$D$4:$D$2015,$B27,'август 2024'!$J$4:$J$2015,R$1)</f>
        <v>0</v>
      </c>
      <c r="S27" s="80">
        <f>SUMIFS('август 2024'!$G$4:$G$2015,'август 2024'!$D$4:$D$2015,$B27,'август 2024'!$J$4:$J$2015,S$1)</f>
        <v>0</v>
      </c>
      <c r="T27" s="80">
        <f>SUMIFS('август 2024'!$G$4:$G$2015,'август 2024'!$D$4:$D$2015,$B27,'август 2024'!$J$4:$J$2015,T$1)</f>
        <v>0</v>
      </c>
      <c r="U27" s="80">
        <f>SUMIFS('август 2024'!$G$4:$G$2015,'август 2024'!$D$4:$D$2015,$B27,'август 2024'!$J$4:$J$2015,U$1)</f>
        <v>0</v>
      </c>
      <c r="V27" s="80">
        <f>SUMIFS('август 2024'!$G$4:$G$2015,'август 2024'!$D$4:$D$2015,$B27,'август 2024'!$J$4:$J$2015,V$1)</f>
        <v>0</v>
      </c>
      <c r="W27" s="80">
        <f>SUMIFS('август 2024'!$G$4:$G$2015,'август 2024'!$D$4:$D$2015,$B27,'август 2024'!$J$4:$J$2015,W$1)</f>
        <v>0</v>
      </c>
      <c r="X27" s="80">
        <f>SUMIFS('август 2024'!$G$4:$G$2015,'август 2024'!$D$4:$D$2015,$B27,'август 2024'!$J$4:$J$2015,X$1)</f>
        <v>0</v>
      </c>
      <c r="Y27" s="80">
        <f>SUMIFS('август 2024'!$G$4:$G$2015,'август 2024'!$D$4:$D$2015,$B27,'август 2024'!$J$4:$J$2015,Y$1)</f>
        <v>0</v>
      </c>
      <c r="Z27" s="80">
        <f>SUMIFS('август 2024'!$G$4:$G$2015,'август 2024'!$D$4:$D$2015,$B27,'август 2024'!$J$4:$J$2015,Z$1)</f>
        <v>0</v>
      </c>
      <c r="AA27" s="80">
        <f>SUMIFS('август 2024'!$G$4:$G$2015,'август 2024'!$D$4:$D$2015,$B27,'август 2024'!$J$4:$J$2015,AA$1)</f>
        <v>0</v>
      </c>
      <c r="AB27" s="80">
        <f>SUMIFS('август 2024'!$G$4:$G$2015,'август 2024'!$D$4:$D$2015,$B27,'август 2024'!$J$4:$J$2015,AB$1)</f>
        <v>0</v>
      </c>
      <c r="AC27" s="80">
        <f>SUMIFS('август 2024'!$G$4:$G$2015,'август 2024'!$D$4:$D$2015,$B27,'август 2024'!$J$4:$J$2015,AC$1)</f>
        <v>0</v>
      </c>
      <c r="AD27" s="80">
        <f>SUMIFS('август 2024'!$G$4:$G$2015,'август 2024'!$D$4:$D$2015,$B27,'август 2024'!$J$4:$J$2015,AD$1)</f>
        <v>0</v>
      </c>
      <c r="AE27" s="80">
        <f>SUMIFS('август 2024'!$G$4:$G$2015,'август 2024'!$D$4:$D$2015,$B27,'август 2024'!$J$4:$J$2015,AE$1)</f>
        <v>0</v>
      </c>
      <c r="AF27" s="80">
        <f>SUMIFS('август 2024'!$G$4:$G$2015,'август 2024'!$D$4:$D$2015,$B27,'август 2024'!$J$4:$J$2015,AF$1)</f>
        <v>0</v>
      </c>
      <c r="AG27" s="80">
        <f>SUMIFS('август 2024'!$G$4:$G$2015,'август 2024'!$D$4:$D$2015,$B27,'август 2024'!$J$4:$J$2015,AG$1)</f>
        <v>0</v>
      </c>
      <c r="AH27" s="80">
        <f>SUMIFS('август 2024'!$G$4:$G$2015,'август 2024'!$D$4:$D$2015,$B27,'август 2024'!$J$4:$J$2015,AH$1)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80">
        <f>SUMIFS('август 2024'!$G$4:$G$2015,'август 2024'!$D$4:$D$2015,$B28,'август 2024'!$J$4:$J$2015,D$1)</f>
        <v>0</v>
      </c>
      <c r="E28" s="80">
        <f>SUMIFS('август 2024'!$G$4:$G$2015,'август 2024'!$D$4:$D$2015,$B28,'август 2024'!$J$4:$J$2015,E$1)</f>
        <v>0</v>
      </c>
      <c r="F28" s="80">
        <f>SUMIFS('август 2024'!$G$4:$G$2015,'август 2024'!$D$4:$D$2015,$B28,'август 2024'!$J$4:$J$2015,F$1)</f>
        <v>0</v>
      </c>
      <c r="G28" s="80">
        <f>SUMIFS('август 2024'!$G$4:$G$2015,'август 2024'!$D$4:$D$2015,$B28,'август 2024'!$J$4:$J$2015,G$1)</f>
        <v>0</v>
      </c>
      <c r="H28" s="80">
        <f>SUMIFS('август 2024'!$G$4:$G$2015,'август 2024'!$D$4:$D$2015,$B28,'август 2024'!$J$4:$J$2015,H$1)</f>
        <v>0</v>
      </c>
      <c r="I28" s="80">
        <f>SUMIFS('август 2024'!$G$4:$G$2015,'август 2024'!$D$4:$D$2015,$B28,'август 2024'!$J$4:$J$2015,I$1)</f>
        <v>0</v>
      </c>
      <c r="J28" s="80">
        <f>SUMIFS('август 2024'!$G$4:$G$2015,'август 2024'!$D$4:$D$2015,$B28,'август 2024'!$J$4:$J$2015,J$1)</f>
        <v>0</v>
      </c>
      <c r="K28" s="80">
        <f>SUMIFS('август 2024'!$G$4:$G$2015,'август 2024'!$D$4:$D$2015,$B28,'август 2024'!$J$4:$J$2015,K$1)</f>
        <v>0</v>
      </c>
      <c r="L28" s="80">
        <f>SUMIFS('август 2024'!$G$4:$G$2015,'август 2024'!$D$4:$D$2015,$B28,'август 2024'!$J$4:$J$2015,L$1)</f>
        <v>0</v>
      </c>
      <c r="M28" s="80">
        <f>SUMIFS('август 2024'!$G$4:$G$2015,'август 2024'!$D$4:$D$2015,$B28,'август 2024'!$J$4:$J$2015,M$1)</f>
        <v>0</v>
      </c>
      <c r="N28" s="80">
        <f>SUMIFS('август 2024'!$G$4:$G$2015,'август 2024'!$D$4:$D$2015,$B28,'август 2024'!$J$4:$J$2015,N$1)</f>
        <v>0</v>
      </c>
      <c r="O28" s="80">
        <f>SUMIFS('август 2024'!$G$4:$G$2015,'август 2024'!$D$4:$D$2015,$B28,'август 2024'!$J$4:$J$2015,O$1)</f>
        <v>0</v>
      </c>
      <c r="P28" s="80">
        <f>SUMIFS('август 2024'!$G$4:$G$2015,'август 2024'!$D$4:$D$2015,$B28,'август 2024'!$J$4:$J$2015,P$1)</f>
        <v>0</v>
      </c>
      <c r="Q28" s="80">
        <f>SUMIFS('август 2024'!$G$4:$G$2015,'август 2024'!$D$4:$D$2015,$B28,'август 2024'!$J$4:$J$2015,Q$1)</f>
        <v>0</v>
      </c>
      <c r="R28" s="80">
        <f>SUMIFS('август 2024'!$G$4:$G$2015,'август 2024'!$D$4:$D$2015,$B28,'август 2024'!$J$4:$J$2015,R$1)</f>
        <v>0</v>
      </c>
      <c r="S28" s="80">
        <f>SUMIFS('август 2024'!$G$4:$G$2015,'август 2024'!$D$4:$D$2015,$B28,'август 2024'!$J$4:$J$2015,S$1)</f>
        <v>0</v>
      </c>
      <c r="T28" s="80">
        <f>SUMIFS('август 2024'!$G$4:$G$2015,'август 2024'!$D$4:$D$2015,$B28,'август 2024'!$J$4:$J$2015,T$1)</f>
        <v>0</v>
      </c>
      <c r="U28" s="80">
        <f>SUMIFS('август 2024'!$G$4:$G$2015,'август 2024'!$D$4:$D$2015,$B28,'август 2024'!$J$4:$J$2015,U$1)</f>
        <v>0</v>
      </c>
      <c r="V28" s="80">
        <f>SUMIFS('август 2024'!$G$4:$G$2015,'август 2024'!$D$4:$D$2015,$B28,'август 2024'!$J$4:$J$2015,V$1)</f>
        <v>0</v>
      </c>
      <c r="W28" s="80">
        <f>SUMIFS('август 2024'!$G$4:$G$2015,'август 2024'!$D$4:$D$2015,$B28,'август 2024'!$J$4:$J$2015,W$1)</f>
        <v>0</v>
      </c>
      <c r="X28" s="80">
        <f>SUMIFS('август 2024'!$G$4:$G$2015,'август 2024'!$D$4:$D$2015,$B28,'август 2024'!$J$4:$J$2015,X$1)</f>
        <v>0</v>
      </c>
      <c r="Y28" s="80">
        <f>SUMIFS('август 2024'!$G$4:$G$2015,'август 2024'!$D$4:$D$2015,$B28,'август 2024'!$J$4:$J$2015,Y$1)</f>
        <v>0</v>
      </c>
      <c r="Z28" s="80">
        <f>SUMIFS('август 2024'!$G$4:$G$2015,'август 2024'!$D$4:$D$2015,$B28,'август 2024'!$J$4:$J$2015,Z$1)</f>
        <v>0</v>
      </c>
      <c r="AA28" s="80">
        <f>SUMIFS('август 2024'!$G$4:$G$2015,'август 2024'!$D$4:$D$2015,$B28,'август 2024'!$J$4:$J$2015,AA$1)</f>
        <v>0</v>
      </c>
      <c r="AB28" s="80">
        <f>SUMIFS('август 2024'!$G$4:$G$2015,'август 2024'!$D$4:$D$2015,$B28,'август 2024'!$J$4:$J$2015,AB$1)</f>
        <v>0</v>
      </c>
      <c r="AC28" s="80">
        <f>SUMIFS('август 2024'!$G$4:$G$2015,'август 2024'!$D$4:$D$2015,$B28,'август 2024'!$J$4:$J$2015,AC$1)</f>
        <v>0</v>
      </c>
      <c r="AD28" s="80">
        <f>SUMIFS('август 2024'!$G$4:$G$2015,'август 2024'!$D$4:$D$2015,$B28,'август 2024'!$J$4:$J$2015,AD$1)</f>
        <v>0</v>
      </c>
      <c r="AE28" s="80">
        <f>SUMIFS('август 2024'!$G$4:$G$2015,'август 2024'!$D$4:$D$2015,$B28,'август 2024'!$J$4:$J$2015,AE$1)</f>
        <v>0</v>
      </c>
      <c r="AF28" s="80">
        <f>SUMIFS('август 2024'!$G$4:$G$2015,'август 2024'!$D$4:$D$2015,$B28,'август 2024'!$J$4:$J$2015,AF$1)</f>
        <v>0</v>
      </c>
      <c r="AG28" s="80">
        <f>SUMIFS('август 2024'!$G$4:$G$2015,'август 2024'!$D$4:$D$2015,$B28,'август 2024'!$J$4:$J$2015,AG$1)</f>
        <v>0</v>
      </c>
      <c r="AH28" s="80">
        <f>SUMIFS('август 2024'!$G$4:$G$2015,'август 2024'!$D$4:$D$2015,$B28,'август 2024'!$J$4:$J$2015,AH$1)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80">
        <f>SUMIFS('август 2024'!$G$4:$G$2015,'август 2024'!$D$4:$D$2015,$B29,'август 2024'!$J$4:$J$2015,D$1)</f>
        <v>0</v>
      </c>
      <c r="E29" s="80">
        <f>SUMIFS('август 2024'!$G$4:$G$2015,'август 2024'!$D$4:$D$2015,$B29,'август 2024'!$J$4:$J$2015,E$1)</f>
        <v>0</v>
      </c>
      <c r="F29" s="80">
        <f>SUMIFS('август 2024'!$G$4:$G$2015,'август 2024'!$D$4:$D$2015,$B29,'август 2024'!$J$4:$J$2015,F$1)</f>
        <v>0</v>
      </c>
      <c r="G29" s="80">
        <f>SUMIFS('август 2024'!$G$4:$G$2015,'август 2024'!$D$4:$D$2015,$B29,'август 2024'!$J$4:$J$2015,G$1)</f>
        <v>0</v>
      </c>
      <c r="H29" s="80">
        <f>SUMIFS('август 2024'!$G$4:$G$2015,'август 2024'!$D$4:$D$2015,$B29,'август 2024'!$J$4:$J$2015,H$1)</f>
        <v>0</v>
      </c>
      <c r="I29" s="80">
        <f>SUMIFS('август 2024'!$G$4:$G$2015,'август 2024'!$D$4:$D$2015,$B29,'август 2024'!$J$4:$J$2015,I$1)</f>
        <v>0</v>
      </c>
      <c r="J29" s="80">
        <f>SUMIFS('август 2024'!$G$4:$G$2015,'август 2024'!$D$4:$D$2015,$B29,'август 2024'!$J$4:$J$2015,J$1)</f>
        <v>0</v>
      </c>
      <c r="K29" s="80">
        <f>SUMIFS('август 2024'!$G$4:$G$2015,'август 2024'!$D$4:$D$2015,$B29,'август 2024'!$J$4:$J$2015,K$1)</f>
        <v>0</v>
      </c>
      <c r="L29" s="80">
        <f>SUMIFS('август 2024'!$G$4:$G$2015,'август 2024'!$D$4:$D$2015,$B29,'август 2024'!$J$4:$J$2015,L$1)</f>
        <v>0</v>
      </c>
      <c r="M29" s="80">
        <f>SUMIFS('август 2024'!$G$4:$G$2015,'август 2024'!$D$4:$D$2015,$B29,'август 2024'!$J$4:$J$2015,M$1)</f>
        <v>0</v>
      </c>
      <c r="N29" s="80">
        <f>SUMIFS('август 2024'!$G$4:$G$2015,'август 2024'!$D$4:$D$2015,$B29,'август 2024'!$J$4:$J$2015,N$1)</f>
        <v>0</v>
      </c>
      <c r="O29" s="80">
        <f>SUMIFS('август 2024'!$G$4:$G$2015,'август 2024'!$D$4:$D$2015,$B29,'август 2024'!$J$4:$J$2015,O$1)</f>
        <v>0</v>
      </c>
      <c r="P29" s="80">
        <f>SUMIFS('август 2024'!$G$4:$G$2015,'август 2024'!$D$4:$D$2015,$B29,'август 2024'!$J$4:$J$2015,P$1)</f>
        <v>0</v>
      </c>
      <c r="Q29" s="80">
        <f>SUMIFS('август 2024'!$G$4:$G$2015,'август 2024'!$D$4:$D$2015,$B29,'август 2024'!$J$4:$J$2015,Q$1)</f>
        <v>0</v>
      </c>
      <c r="R29" s="80">
        <f>SUMIFS('август 2024'!$G$4:$G$2015,'август 2024'!$D$4:$D$2015,$B29,'август 2024'!$J$4:$J$2015,R$1)</f>
        <v>0</v>
      </c>
      <c r="S29" s="80">
        <f>SUMIFS('август 2024'!$G$4:$G$2015,'август 2024'!$D$4:$D$2015,$B29,'август 2024'!$J$4:$J$2015,S$1)</f>
        <v>0</v>
      </c>
      <c r="T29" s="80">
        <f>SUMIFS('август 2024'!$G$4:$G$2015,'август 2024'!$D$4:$D$2015,$B29,'август 2024'!$J$4:$J$2015,T$1)</f>
        <v>0</v>
      </c>
      <c r="U29" s="80">
        <f>SUMIFS('август 2024'!$G$4:$G$2015,'август 2024'!$D$4:$D$2015,$B29,'август 2024'!$J$4:$J$2015,U$1)</f>
        <v>0</v>
      </c>
      <c r="V29" s="80">
        <f>SUMIFS('август 2024'!$G$4:$G$2015,'август 2024'!$D$4:$D$2015,$B29,'август 2024'!$J$4:$J$2015,V$1)</f>
        <v>0</v>
      </c>
      <c r="W29" s="80">
        <f>SUMIFS('август 2024'!$G$4:$G$2015,'август 2024'!$D$4:$D$2015,$B29,'август 2024'!$J$4:$J$2015,W$1)</f>
        <v>0</v>
      </c>
      <c r="X29" s="80">
        <f>SUMIFS('август 2024'!$G$4:$G$2015,'август 2024'!$D$4:$D$2015,$B29,'август 2024'!$J$4:$J$2015,X$1)</f>
        <v>0</v>
      </c>
      <c r="Y29" s="80">
        <f>SUMIFS('август 2024'!$G$4:$G$2015,'август 2024'!$D$4:$D$2015,$B29,'август 2024'!$J$4:$J$2015,Y$1)</f>
        <v>0</v>
      </c>
      <c r="Z29" s="80">
        <f>SUMIFS('август 2024'!$G$4:$G$2015,'август 2024'!$D$4:$D$2015,$B29,'август 2024'!$J$4:$J$2015,Z$1)</f>
        <v>0</v>
      </c>
      <c r="AA29" s="80">
        <f>SUMIFS('август 2024'!$G$4:$G$2015,'август 2024'!$D$4:$D$2015,$B29,'август 2024'!$J$4:$J$2015,AA$1)</f>
        <v>0</v>
      </c>
      <c r="AB29" s="80">
        <f>SUMIFS('август 2024'!$G$4:$G$2015,'август 2024'!$D$4:$D$2015,$B29,'август 2024'!$J$4:$J$2015,AB$1)</f>
        <v>0</v>
      </c>
      <c r="AC29" s="80">
        <f>SUMIFS('август 2024'!$G$4:$G$2015,'август 2024'!$D$4:$D$2015,$B29,'август 2024'!$J$4:$J$2015,AC$1)</f>
        <v>0</v>
      </c>
      <c r="AD29" s="80">
        <f>SUMIFS('август 2024'!$G$4:$G$2015,'август 2024'!$D$4:$D$2015,$B29,'август 2024'!$J$4:$J$2015,AD$1)</f>
        <v>0</v>
      </c>
      <c r="AE29" s="80">
        <f>SUMIFS('август 2024'!$G$4:$G$2015,'август 2024'!$D$4:$D$2015,$B29,'август 2024'!$J$4:$J$2015,AE$1)</f>
        <v>0</v>
      </c>
      <c r="AF29" s="80">
        <f>SUMIFS('август 2024'!$G$4:$G$2015,'август 2024'!$D$4:$D$2015,$B29,'август 2024'!$J$4:$J$2015,AF$1)</f>
        <v>0</v>
      </c>
      <c r="AG29" s="80">
        <f>SUMIFS('август 2024'!$G$4:$G$2015,'август 2024'!$D$4:$D$2015,$B29,'август 2024'!$J$4:$J$2015,AG$1)</f>
        <v>0</v>
      </c>
      <c r="AH29" s="80">
        <f>SUMIFS('август 2024'!$G$4:$G$2015,'август 2024'!$D$4:$D$2015,$B29,'август 2024'!$J$4:$J$2015,AH$1)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SUMIFS('август 2024'!$G$4:$G$2015,'август 2024'!$D$4:$D$2015,$B30,'август 2024'!$J$4:$J$2015,D$1)</f>
        <v>0</v>
      </c>
      <c r="E30" s="80">
        <f>SUMIFS('август 2024'!$G$4:$G$2015,'август 2024'!$D$4:$D$2015,$B30,'август 2024'!$J$4:$J$2015,E$1)</f>
        <v>0</v>
      </c>
      <c r="F30" s="80">
        <f>SUMIFS('август 2024'!$G$4:$G$2015,'август 2024'!$D$4:$D$2015,$B30,'август 2024'!$J$4:$J$2015,F$1)</f>
        <v>0</v>
      </c>
      <c r="G30" s="80">
        <f>SUMIFS('август 2024'!$G$4:$G$2015,'август 2024'!$D$4:$D$2015,$B30,'август 2024'!$J$4:$J$2015,G$1)</f>
        <v>0</v>
      </c>
      <c r="H30" s="80">
        <f>SUMIFS('август 2024'!$G$4:$G$2015,'август 2024'!$D$4:$D$2015,$B30,'август 2024'!$J$4:$J$2015,H$1)</f>
        <v>0</v>
      </c>
      <c r="I30" s="80">
        <f>SUMIFS('август 2024'!$G$4:$G$2015,'август 2024'!$D$4:$D$2015,$B30,'август 2024'!$J$4:$J$2015,I$1)</f>
        <v>0</v>
      </c>
      <c r="J30" s="80">
        <f>SUMIFS('август 2024'!$G$4:$G$2015,'август 2024'!$D$4:$D$2015,$B30,'август 2024'!$J$4:$J$2015,J$1)</f>
        <v>0</v>
      </c>
      <c r="K30" s="80">
        <f>SUMIFS('август 2024'!$G$4:$G$2015,'август 2024'!$D$4:$D$2015,$B30,'август 2024'!$J$4:$J$2015,K$1)</f>
        <v>0</v>
      </c>
      <c r="L30" s="80">
        <f>SUMIFS('август 2024'!$G$4:$G$2015,'август 2024'!$D$4:$D$2015,$B30,'август 2024'!$J$4:$J$2015,L$1)</f>
        <v>0</v>
      </c>
      <c r="M30" s="80">
        <f>SUMIFS('август 2024'!$G$4:$G$2015,'август 2024'!$D$4:$D$2015,$B30,'август 2024'!$J$4:$J$2015,M$1)</f>
        <v>0</v>
      </c>
      <c r="N30" s="80">
        <f>SUMIFS('август 2024'!$G$4:$G$2015,'август 2024'!$D$4:$D$2015,$B30,'август 2024'!$J$4:$J$2015,N$1)</f>
        <v>0</v>
      </c>
      <c r="O30" s="80">
        <f>SUMIFS('август 2024'!$G$4:$G$2015,'август 2024'!$D$4:$D$2015,$B30,'август 2024'!$J$4:$J$2015,O$1)</f>
        <v>0</v>
      </c>
      <c r="P30" s="80">
        <f>SUMIFS('август 2024'!$G$4:$G$2015,'август 2024'!$D$4:$D$2015,$B30,'август 2024'!$J$4:$J$2015,P$1)</f>
        <v>0</v>
      </c>
      <c r="Q30" s="80">
        <f>SUMIFS('август 2024'!$G$4:$G$2015,'август 2024'!$D$4:$D$2015,$B30,'август 2024'!$J$4:$J$2015,Q$1)</f>
        <v>0</v>
      </c>
      <c r="R30" s="80">
        <f>SUMIFS('август 2024'!$G$4:$G$2015,'август 2024'!$D$4:$D$2015,$B30,'август 2024'!$J$4:$J$2015,R$1)</f>
        <v>0</v>
      </c>
      <c r="S30" s="80">
        <f>SUMIFS('август 2024'!$G$4:$G$2015,'август 2024'!$D$4:$D$2015,$B30,'август 2024'!$J$4:$J$2015,S$1)</f>
        <v>0</v>
      </c>
      <c r="T30" s="80">
        <f>SUMIFS('август 2024'!$G$4:$G$2015,'август 2024'!$D$4:$D$2015,$B30,'август 2024'!$J$4:$J$2015,T$1)</f>
        <v>0</v>
      </c>
      <c r="U30" s="80">
        <f>SUMIFS('август 2024'!$G$4:$G$2015,'август 2024'!$D$4:$D$2015,$B30,'август 2024'!$J$4:$J$2015,U$1)</f>
        <v>0</v>
      </c>
      <c r="V30" s="80">
        <f>SUMIFS('август 2024'!$G$4:$G$2015,'август 2024'!$D$4:$D$2015,$B30,'август 2024'!$J$4:$J$2015,V$1)</f>
        <v>0</v>
      </c>
      <c r="W30" s="80">
        <f>SUMIFS('август 2024'!$G$4:$G$2015,'август 2024'!$D$4:$D$2015,$B30,'август 2024'!$J$4:$J$2015,W$1)</f>
        <v>0</v>
      </c>
      <c r="X30" s="80">
        <f>SUMIFS('август 2024'!$G$4:$G$2015,'август 2024'!$D$4:$D$2015,$B30,'август 2024'!$J$4:$J$2015,X$1)</f>
        <v>0</v>
      </c>
      <c r="Y30" s="80">
        <f>SUMIFS('август 2024'!$G$4:$G$2015,'август 2024'!$D$4:$D$2015,$B30,'август 2024'!$J$4:$J$2015,Y$1)</f>
        <v>0</v>
      </c>
      <c r="Z30" s="80">
        <f>SUMIFS('август 2024'!$G$4:$G$2015,'август 2024'!$D$4:$D$2015,$B30,'август 2024'!$J$4:$J$2015,Z$1)</f>
        <v>0</v>
      </c>
      <c r="AA30" s="80">
        <f>SUMIFS('август 2024'!$G$4:$G$2015,'август 2024'!$D$4:$D$2015,$B30,'август 2024'!$J$4:$J$2015,AA$1)</f>
        <v>0</v>
      </c>
      <c r="AB30" s="80">
        <f>SUMIFS('август 2024'!$G$4:$G$2015,'август 2024'!$D$4:$D$2015,$B30,'август 2024'!$J$4:$J$2015,AB$1)</f>
        <v>0</v>
      </c>
      <c r="AC30" s="80">
        <f>SUMIFS('август 2024'!$G$4:$G$2015,'август 2024'!$D$4:$D$2015,$B30,'август 2024'!$J$4:$J$2015,AC$1)</f>
        <v>0</v>
      </c>
      <c r="AD30" s="80">
        <f>SUMIFS('август 2024'!$G$4:$G$2015,'август 2024'!$D$4:$D$2015,$B30,'август 2024'!$J$4:$J$2015,AD$1)</f>
        <v>0</v>
      </c>
      <c r="AE30" s="80">
        <f>SUMIFS('август 2024'!$G$4:$G$2015,'август 2024'!$D$4:$D$2015,$B30,'август 2024'!$J$4:$J$2015,AE$1)</f>
        <v>0</v>
      </c>
      <c r="AF30" s="80">
        <f>SUMIFS('август 2024'!$G$4:$G$2015,'август 2024'!$D$4:$D$2015,$B30,'август 2024'!$J$4:$J$2015,AF$1)</f>
        <v>0</v>
      </c>
      <c r="AG30" s="80">
        <f>SUMIFS('август 2024'!$G$4:$G$2015,'август 2024'!$D$4:$D$2015,$B30,'август 2024'!$J$4:$J$2015,AG$1)</f>
        <v>0</v>
      </c>
      <c r="AH30" s="80">
        <f>SUMIFS('август 2024'!$G$4:$G$2015,'август 2024'!$D$4:$D$2015,$B30,'август 2024'!$J$4:$J$2015,AH$1)</f>
        <v>0</v>
      </c>
      <c r="AI30" s="21">
        <f t="shared" si="1"/>
        <v>0</v>
      </c>
    </row>
    <row r="31" spans="2:35" ht="15" customHeight="1" x14ac:dyDescent="0.25">
      <c r="B31" s="84"/>
      <c r="C31" s="82"/>
      <c r="D31" s="80">
        <f>SUMIFS('август 2024'!$G$4:$G$2015,'август 2024'!$D$4:$D$2015,$B31,'август 2024'!$J$4:$J$2015,D$1)</f>
        <v>0</v>
      </c>
      <c r="E31" s="80">
        <f>SUMIFS('август 2024'!$G$4:$G$2015,'август 2024'!$D$4:$D$2015,$B31,'август 2024'!$J$4:$J$2015,E$1)</f>
        <v>0</v>
      </c>
      <c r="F31" s="80">
        <f>SUMIFS('август 2024'!$G$4:$G$2015,'август 2024'!$D$4:$D$2015,$B31,'август 2024'!$J$4:$J$2015,F$1)</f>
        <v>0</v>
      </c>
      <c r="G31" s="80">
        <f>SUMIFS('август 2024'!$G$4:$G$2015,'август 2024'!$D$4:$D$2015,$B31,'август 2024'!$J$4:$J$2015,G$1)</f>
        <v>0</v>
      </c>
      <c r="H31" s="80">
        <f>SUMIFS('август 2024'!$G$4:$G$2015,'август 2024'!$D$4:$D$2015,$B31,'август 2024'!$J$4:$J$2015,H$1)</f>
        <v>0</v>
      </c>
      <c r="I31" s="80">
        <f>SUMIFS('август 2024'!$G$4:$G$2015,'август 2024'!$D$4:$D$2015,$B31,'август 2024'!$J$4:$J$2015,I$1)</f>
        <v>0</v>
      </c>
      <c r="J31" s="80">
        <f>SUMIFS('август 2024'!$G$4:$G$2015,'август 2024'!$D$4:$D$2015,$B31,'август 2024'!$J$4:$J$2015,J$1)</f>
        <v>0</v>
      </c>
      <c r="K31" s="80">
        <f>SUMIFS('август 2024'!$G$4:$G$2015,'август 2024'!$D$4:$D$2015,$B31,'август 2024'!$J$4:$J$2015,K$1)</f>
        <v>0</v>
      </c>
      <c r="L31" s="80">
        <f>SUMIFS('август 2024'!$G$4:$G$2015,'август 2024'!$D$4:$D$2015,$B31,'август 2024'!$J$4:$J$2015,L$1)</f>
        <v>0</v>
      </c>
      <c r="M31" s="80">
        <f>SUMIFS('август 2024'!$G$4:$G$2015,'август 2024'!$D$4:$D$2015,$B31,'август 2024'!$J$4:$J$2015,M$1)</f>
        <v>0</v>
      </c>
      <c r="N31" s="80">
        <f>SUMIFS('август 2024'!$G$4:$G$2015,'август 2024'!$D$4:$D$2015,$B31,'август 2024'!$J$4:$J$2015,N$1)</f>
        <v>0</v>
      </c>
      <c r="O31" s="80">
        <f>SUMIFS('август 2024'!$G$4:$G$2015,'август 2024'!$D$4:$D$2015,$B31,'август 2024'!$J$4:$J$2015,O$1)</f>
        <v>0</v>
      </c>
      <c r="P31" s="80">
        <f>SUMIFS('август 2024'!$G$4:$G$2015,'август 2024'!$D$4:$D$2015,$B31,'август 2024'!$J$4:$J$2015,P$1)</f>
        <v>0</v>
      </c>
      <c r="Q31" s="80">
        <f>SUMIFS('август 2024'!$G$4:$G$2015,'август 2024'!$D$4:$D$2015,$B31,'август 2024'!$J$4:$J$2015,Q$1)</f>
        <v>0</v>
      </c>
      <c r="R31" s="80">
        <f>SUMIFS('август 2024'!$G$4:$G$2015,'август 2024'!$D$4:$D$2015,$B31,'август 2024'!$J$4:$J$2015,R$1)</f>
        <v>0</v>
      </c>
      <c r="S31" s="80">
        <f>SUMIFS('август 2024'!$G$4:$G$2015,'август 2024'!$D$4:$D$2015,$B31,'август 2024'!$J$4:$J$2015,S$1)</f>
        <v>0</v>
      </c>
      <c r="T31" s="80">
        <f>SUMIFS('август 2024'!$G$4:$G$2015,'август 2024'!$D$4:$D$2015,$B31,'август 2024'!$J$4:$J$2015,T$1)</f>
        <v>0</v>
      </c>
      <c r="U31" s="80">
        <f>SUMIFS('август 2024'!$G$4:$G$2015,'август 2024'!$D$4:$D$2015,$B31,'август 2024'!$J$4:$J$2015,U$1)</f>
        <v>0</v>
      </c>
      <c r="V31" s="80">
        <f>SUMIFS('август 2024'!$G$4:$G$2015,'август 2024'!$D$4:$D$2015,$B31,'август 2024'!$J$4:$J$2015,V$1)</f>
        <v>0</v>
      </c>
      <c r="W31" s="80">
        <f>SUMIFS('август 2024'!$G$4:$G$2015,'август 2024'!$D$4:$D$2015,$B31,'август 2024'!$J$4:$J$2015,W$1)</f>
        <v>0</v>
      </c>
      <c r="X31" s="80">
        <f>SUMIFS('август 2024'!$G$4:$G$2015,'август 2024'!$D$4:$D$2015,$B31,'август 2024'!$J$4:$J$2015,X$1)</f>
        <v>0</v>
      </c>
      <c r="Y31" s="80">
        <f>SUMIFS('август 2024'!$G$4:$G$2015,'август 2024'!$D$4:$D$2015,$B31,'август 2024'!$J$4:$J$2015,Y$1)</f>
        <v>0</v>
      </c>
      <c r="Z31" s="80">
        <f>SUMIFS('август 2024'!$G$4:$G$2015,'август 2024'!$D$4:$D$2015,$B31,'август 2024'!$J$4:$J$2015,Z$1)</f>
        <v>0</v>
      </c>
      <c r="AA31" s="80">
        <f>SUMIFS('август 2024'!$G$4:$G$2015,'август 2024'!$D$4:$D$2015,$B31,'август 2024'!$J$4:$J$2015,AA$1)</f>
        <v>0</v>
      </c>
      <c r="AB31" s="80">
        <f>SUMIFS('август 2024'!$G$4:$G$2015,'август 2024'!$D$4:$D$2015,$B31,'август 2024'!$J$4:$J$2015,AB$1)</f>
        <v>0</v>
      </c>
      <c r="AC31" s="80">
        <f>SUMIFS('август 2024'!$G$4:$G$2015,'август 2024'!$D$4:$D$2015,$B31,'август 2024'!$J$4:$J$2015,AC$1)</f>
        <v>0</v>
      </c>
      <c r="AD31" s="80">
        <f>SUMIFS('август 2024'!$G$4:$G$2015,'август 2024'!$D$4:$D$2015,$B31,'август 2024'!$J$4:$J$2015,AD$1)</f>
        <v>0</v>
      </c>
      <c r="AE31" s="80">
        <f>SUMIFS('август 2024'!$G$4:$G$2015,'август 2024'!$D$4:$D$2015,$B31,'август 2024'!$J$4:$J$2015,AE$1)</f>
        <v>0</v>
      </c>
      <c r="AF31" s="80">
        <f>SUMIFS('август 2024'!$G$4:$G$2015,'август 2024'!$D$4:$D$2015,$B31,'август 2024'!$J$4:$J$2015,AF$1)</f>
        <v>0</v>
      </c>
      <c r="AG31" s="80">
        <f>SUMIFS('август 2024'!$G$4:$G$2015,'август 2024'!$D$4:$D$2015,$B31,'август 2024'!$J$4:$J$2015,AG$1)</f>
        <v>0</v>
      </c>
      <c r="AH31" s="80">
        <f>SUMIFS('август 2024'!$G$4:$G$2015,'август 2024'!$D$4:$D$2015,$B31,'август 2024'!$J$4:$J$2015,AH$1)</f>
        <v>0</v>
      </c>
      <c r="AI31" s="21">
        <f t="shared" si="1"/>
        <v>0</v>
      </c>
    </row>
    <row r="32" spans="2:35" ht="15" customHeight="1" x14ac:dyDescent="0.25">
      <c r="B32" s="84"/>
      <c r="C32" s="82"/>
      <c r="D32" s="80">
        <f>SUMIFS('август 2024'!$G$4:$G$2015,'август 2024'!$D$4:$D$2015,$B32,'август 2024'!$J$4:$J$2015,D$1)</f>
        <v>0</v>
      </c>
      <c r="E32" s="80">
        <f>SUMIFS('август 2024'!$G$4:$G$2015,'август 2024'!$D$4:$D$2015,$B32,'август 2024'!$J$4:$J$2015,E$1)</f>
        <v>0</v>
      </c>
      <c r="F32" s="80">
        <f>SUMIFS('август 2024'!$G$4:$G$2015,'август 2024'!$D$4:$D$2015,$B32,'август 2024'!$J$4:$J$2015,F$1)</f>
        <v>0</v>
      </c>
      <c r="G32" s="80">
        <f>SUMIFS('август 2024'!$G$4:$G$2015,'август 2024'!$D$4:$D$2015,$B32,'август 2024'!$J$4:$J$2015,G$1)</f>
        <v>0</v>
      </c>
      <c r="H32" s="80">
        <f>SUMIFS('август 2024'!$G$4:$G$2015,'август 2024'!$D$4:$D$2015,$B32,'август 2024'!$J$4:$J$2015,H$1)</f>
        <v>0</v>
      </c>
      <c r="I32" s="80">
        <f>SUMIFS('август 2024'!$G$4:$G$2015,'август 2024'!$D$4:$D$2015,$B32,'август 2024'!$J$4:$J$2015,I$1)</f>
        <v>0</v>
      </c>
      <c r="J32" s="80">
        <f>SUMIFS('август 2024'!$G$4:$G$2015,'август 2024'!$D$4:$D$2015,$B32,'август 2024'!$J$4:$J$2015,J$1)</f>
        <v>0</v>
      </c>
      <c r="K32" s="80">
        <f>SUMIFS('август 2024'!$G$4:$G$2015,'август 2024'!$D$4:$D$2015,$B32,'август 2024'!$J$4:$J$2015,K$1)</f>
        <v>0</v>
      </c>
      <c r="L32" s="80">
        <f>SUMIFS('август 2024'!$G$4:$G$2015,'август 2024'!$D$4:$D$2015,$B32,'август 2024'!$J$4:$J$2015,L$1)</f>
        <v>0</v>
      </c>
      <c r="M32" s="80">
        <f>SUMIFS('август 2024'!$G$4:$G$2015,'август 2024'!$D$4:$D$2015,$B32,'август 2024'!$J$4:$J$2015,M$1)</f>
        <v>0</v>
      </c>
      <c r="N32" s="80">
        <f>SUMIFS('август 2024'!$G$4:$G$2015,'август 2024'!$D$4:$D$2015,$B32,'август 2024'!$J$4:$J$2015,N$1)</f>
        <v>0</v>
      </c>
      <c r="O32" s="80">
        <f>SUMIFS('август 2024'!$G$4:$G$2015,'август 2024'!$D$4:$D$2015,$B32,'август 2024'!$J$4:$J$2015,O$1)</f>
        <v>0</v>
      </c>
      <c r="P32" s="80">
        <f>SUMIFS('август 2024'!$G$4:$G$2015,'август 2024'!$D$4:$D$2015,$B32,'август 2024'!$J$4:$J$2015,P$1)</f>
        <v>0</v>
      </c>
      <c r="Q32" s="80">
        <f>SUMIFS('август 2024'!$G$4:$G$2015,'август 2024'!$D$4:$D$2015,$B32,'август 2024'!$J$4:$J$2015,Q$1)</f>
        <v>0</v>
      </c>
      <c r="R32" s="80">
        <f>SUMIFS('август 2024'!$G$4:$G$2015,'август 2024'!$D$4:$D$2015,$B32,'август 2024'!$J$4:$J$2015,R$1)</f>
        <v>0</v>
      </c>
      <c r="S32" s="80">
        <f>SUMIFS('август 2024'!$G$4:$G$2015,'август 2024'!$D$4:$D$2015,$B32,'август 2024'!$J$4:$J$2015,S$1)</f>
        <v>0</v>
      </c>
      <c r="T32" s="80">
        <f>SUMIFS('август 2024'!$G$4:$G$2015,'август 2024'!$D$4:$D$2015,$B32,'август 2024'!$J$4:$J$2015,T$1)</f>
        <v>0</v>
      </c>
      <c r="U32" s="80">
        <f>SUMIFS('август 2024'!$G$4:$G$2015,'август 2024'!$D$4:$D$2015,$B32,'август 2024'!$J$4:$J$2015,U$1)</f>
        <v>0</v>
      </c>
      <c r="V32" s="80">
        <f>SUMIFS('август 2024'!$G$4:$G$2015,'август 2024'!$D$4:$D$2015,$B32,'август 2024'!$J$4:$J$2015,V$1)</f>
        <v>0</v>
      </c>
      <c r="W32" s="80">
        <f>SUMIFS('август 2024'!$G$4:$G$2015,'август 2024'!$D$4:$D$2015,$B32,'август 2024'!$J$4:$J$2015,W$1)</f>
        <v>0</v>
      </c>
      <c r="X32" s="80">
        <f>SUMIFS('август 2024'!$G$4:$G$2015,'август 2024'!$D$4:$D$2015,$B32,'август 2024'!$J$4:$J$2015,X$1)</f>
        <v>0</v>
      </c>
      <c r="Y32" s="80">
        <f>SUMIFS('август 2024'!$G$4:$G$2015,'август 2024'!$D$4:$D$2015,$B32,'август 2024'!$J$4:$J$2015,Y$1)</f>
        <v>0</v>
      </c>
      <c r="Z32" s="80">
        <f>SUMIFS('август 2024'!$G$4:$G$2015,'август 2024'!$D$4:$D$2015,$B32,'август 2024'!$J$4:$J$2015,Z$1)</f>
        <v>0</v>
      </c>
      <c r="AA32" s="80">
        <f>SUMIFS('август 2024'!$G$4:$G$2015,'август 2024'!$D$4:$D$2015,$B32,'август 2024'!$J$4:$J$2015,AA$1)</f>
        <v>0</v>
      </c>
      <c r="AB32" s="80">
        <f>SUMIFS('август 2024'!$G$4:$G$2015,'август 2024'!$D$4:$D$2015,$B32,'август 2024'!$J$4:$J$2015,AB$1)</f>
        <v>0</v>
      </c>
      <c r="AC32" s="80">
        <f>SUMIFS('август 2024'!$G$4:$G$2015,'август 2024'!$D$4:$D$2015,$B32,'август 2024'!$J$4:$J$2015,AC$1)</f>
        <v>0</v>
      </c>
      <c r="AD32" s="80">
        <f>SUMIFS('август 2024'!$G$4:$G$2015,'август 2024'!$D$4:$D$2015,$B32,'август 2024'!$J$4:$J$2015,AD$1)</f>
        <v>0</v>
      </c>
      <c r="AE32" s="80">
        <f>SUMIFS('август 2024'!$G$4:$G$2015,'август 2024'!$D$4:$D$2015,$B32,'август 2024'!$J$4:$J$2015,AE$1)</f>
        <v>0</v>
      </c>
      <c r="AF32" s="80">
        <f>SUMIFS('август 2024'!$G$4:$G$2015,'август 2024'!$D$4:$D$2015,$B32,'август 2024'!$J$4:$J$2015,AF$1)</f>
        <v>0</v>
      </c>
      <c r="AG32" s="80">
        <f>SUMIFS('август 2024'!$G$4:$G$2015,'август 2024'!$D$4:$D$2015,$B32,'август 2024'!$J$4:$J$2015,AG$1)</f>
        <v>0</v>
      </c>
      <c r="AH32" s="80">
        <f>SUMIFS('август 2024'!$G$4:$G$2015,'август 2024'!$D$4:$D$2015,$B32,'август 2024'!$J$4:$J$2015,AH$1)</f>
        <v>0</v>
      </c>
      <c r="AI32" s="21">
        <f t="shared" si="1"/>
        <v>0</v>
      </c>
    </row>
    <row r="33" spans="2:35" ht="15" customHeight="1" x14ac:dyDescent="0.25">
      <c r="B33" s="142" t="s">
        <v>276</v>
      </c>
      <c r="C33" s="143">
        <v>25</v>
      </c>
      <c r="D33" s="80">
        <f>SUMIFS('август 2024'!$G$4:$G$2015,'август 2024'!$D$4:$D$2015,$B33,'август 2024'!$J$4:$J$2015,D$1)</f>
        <v>0</v>
      </c>
      <c r="E33" s="80">
        <f>SUMIFS('август 2024'!$G$4:$G$2015,'август 2024'!$D$4:$D$2015,$B33,'август 2024'!$J$4:$J$2015,E$1)</f>
        <v>0</v>
      </c>
      <c r="F33" s="80">
        <f>SUMIFS('август 2024'!$G$4:$G$2015,'август 2024'!$D$4:$D$2015,$B33,'август 2024'!$J$4:$J$2015,F$1)</f>
        <v>0</v>
      </c>
      <c r="G33" s="80">
        <f>SUMIFS('август 2024'!$G$4:$G$2015,'август 2024'!$D$4:$D$2015,$B33,'август 2024'!$J$4:$J$2015,G$1)</f>
        <v>0</v>
      </c>
      <c r="H33" s="80">
        <f>SUMIFS('август 2024'!$G$4:$G$2015,'август 2024'!$D$4:$D$2015,$B33,'август 2024'!$J$4:$J$2015,H$1)</f>
        <v>0</v>
      </c>
      <c r="I33" s="80">
        <f>SUMIFS('август 2024'!$G$4:$G$2015,'август 2024'!$D$4:$D$2015,$B33,'август 2024'!$J$4:$J$2015,I$1)</f>
        <v>0</v>
      </c>
      <c r="J33" s="80">
        <f>SUMIFS('август 2024'!$G$4:$G$2015,'август 2024'!$D$4:$D$2015,$B33,'август 2024'!$J$4:$J$2015,J$1)</f>
        <v>0</v>
      </c>
      <c r="K33" s="80">
        <f>SUMIFS('август 2024'!$G$4:$G$2015,'август 2024'!$D$4:$D$2015,$B33,'август 2024'!$J$4:$J$2015,K$1)</f>
        <v>0</v>
      </c>
      <c r="L33" s="80">
        <f>SUMIFS('август 2024'!$G$4:$G$2015,'август 2024'!$D$4:$D$2015,$B33,'август 2024'!$J$4:$J$2015,L$1)</f>
        <v>0</v>
      </c>
      <c r="M33" s="80">
        <f>SUMIFS('август 2024'!$G$4:$G$2015,'август 2024'!$D$4:$D$2015,$B33,'август 2024'!$J$4:$J$2015,M$1)</f>
        <v>0</v>
      </c>
      <c r="N33" s="80">
        <f>SUMIFS('август 2024'!$G$4:$G$2015,'август 2024'!$D$4:$D$2015,$B33,'август 2024'!$J$4:$J$2015,N$1)</f>
        <v>0</v>
      </c>
      <c r="O33" s="80">
        <f>SUMIFS('август 2024'!$G$4:$G$2015,'август 2024'!$D$4:$D$2015,$B33,'август 2024'!$J$4:$J$2015,O$1)</f>
        <v>0</v>
      </c>
      <c r="P33" s="80">
        <f>SUMIFS('август 2024'!$G$4:$G$2015,'август 2024'!$D$4:$D$2015,$B33,'август 2024'!$J$4:$J$2015,P$1)</f>
        <v>0</v>
      </c>
      <c r="Q33" s="80">
        <f>SUMIFS('август 2024'!$G$4:$G$2015,'август 2024'!$D$4:$D$2015,$B33,'август 2024'!$J$4:$J$2015,Q$1)</f>
        <v>0</v>
      </c>
      <c r="R33" s="80">
        <f>SUMIFS('август 2024'!$G$4:$G$2015,'август 2024'!$D$4:$D$2015,$B33,'август 2024'!$J$4:$J$2015,R$1)</f>
        <v>0</v>
      </c>
      <c r="S33" s="80">
        <f>SUMIFS('август 2024'!$G$4:$G$2015,'август 2024'!$D$4:$D$2015,$B33,'август 2024'!$J$4:$J$2015,S$1)</f>
        <v>0</v>
      </c>
      <c r="T33" s="80">
        <f>SUMIFS('август 2024'!$G$4:$G$2015,'август 2024'!$D$4:$D$2015,$B33,'август 2024'!$J$4:$J$2015,T$1)</f>
        <v>0</v>
      </c>
      <c r="U33" s="80">
        <f>SUMIFS('август 2024'!$G$4:$G$2015,'август 2024'!$D$4:$D$2015,$B33,'август 2024'!$J$4:$J$2015,U$1)</f>
        <v>0</v>
      </c>
      <c r="V33" s="80">
        <f>SUMIFS('август 2024'!$G$4:$G$2015,'август 2024'!$D$4:$D$2015,$B33,'август 2024'!$J$4:$J$2015,V$1)</f>
        <v>0</v>
      </c>
      <c r="W33" s="80">
        <f>SUMIFS('август 2024'!$G$4:$G$2015,'август 2024'!$D$4:$D$2015,$B33,'август 2024'!$J$4:$J$2015,W$1)</f>
        <v>0</v>
      </c>
      <c r="X33" s="80">
        <f>SUMIFS('август 2024'!$G$4:$G$2015,'август 2024'!$D$4:$D$2015,$B33,'август 2024'!$J$4:$J$2015,X$1)</f>
        <v>0</v>
      </c>
      <c r="Y33" s="80">
        <f>SUMIFS('август 2024'!$G$4:$G$2015,'август 2024'!$D$4:$D$2015,$B33,'август 2024'!$J$4:$J$2015,Y$1)</f>
        <v>0</v>
      </c>
      <c r="Z33" s="80">
        <f>SUMIFS('август 2024'!$G$4:$G$2015,'август 2024'!$D$4:$D$2015,$B33,'август 2024'!$J$4:$J$2015,Z$1)</f>
        <v>0</v>
      </c>
      <c r="AA33" s="80">
        <f>SUMIFS('август 2024'!$G$4:$G$2015,'август 2024'!$D$4:$D$2015,$B33,'август 2024'!$J$4:$J$2015,AA$1)</f>
        <v>0</v>
      </c>
      <c r="AB33" s="80">
        <f>SUMIFS('август 2024'!$G$4:$G$2015,'август 2024'!$D$4:$D$2015,$B33,'август 2024'!$J$4:$J$2015,AB$1)</f>
        <v>0</v>
      </c>
      <c r="AC33" s="80">
        <f>SUMIFS('август 2024'!$G$4:$G$2015,'август 2024'!$D$4:$D$2015,$B33,'август 2024'!$J$4:$J$2015,AC$1)</f>
        <v>0</v>
      </c>
      <c r="AD33" s="80">
        <f>SUMIFS('август 2024'!$G$4:$G$2015,'август 2024'!$D$4:$D$2015,$B33,'август 2024'!$J$4:$J$2015,AD$1)</f>
        <v>0</v>
      </c>
      <c r="AE33" s="80">
        <f>SUMIFS('август 2024'!$G$4:$G$2015,'август 2024'!$D$4:$D$2015,$B33,'август 2024'!$J$4:$J$2015,AE$1)</f>
        <v>0</v>
      </c>
      <c r="AF33" s="80">
        <f>SUMIFS('август 2024'!$G$4:$G$2015,'август 2024'!$D$4:$D$2015,$B33,'август 2024'!$J$4:$J$2015,AF$1)</f>
        <v>0</v>
      </c>
      <c r="AG33" s="80">
        <f>SUMIFS('август 2024'!$G$4:$G$2015,'август 2024'!$D$4:$D$2015,$B33,'август 2024'!$J$4:$J$2015,AG$1)</f>
        <v>0</v>
      </c>
      <c r="AH33" s="80">
        <f>SUMIFS('август 2024'!$G$4:$G$2015,'август 2024'!$D$4:$D$2015,$B33,'август 2024'!$J$4:$J$2015,AH$1)</f>
        <v>0</v>
      </c>
      <c r="AI33" s="21">
        <f t="shared" si="1"/>
        <v>0</v>
      </c>
    </row>
    <row r="34" spans="2:35" ht="15" customHeight="1" x14ac:dyDescent="0.25">
      <c r="B34" s="146" t="s">
        <v>278</v>
      </c>
      <c r="C34" s="143">
        <v>25</v>
      </c>
      <c r="D34" s="80">
        <f>SUMIFS('август 2024'!$G$4:$G$2015,'август 2024'!$D$4:$D$2015,$B34,'август 2024'!$J$4:$J$2015,D$1)</f>
        <v>0</v>
      </c>
      <c r="E34" s="80">
        <f>SUMIFS('август 2024'!$G$4:$G$2015,'август 2024'!$D$4:$D$2015,$B34,'август 2024'!$J$4:$J$2015,E$1)</f>
        <v>0</v>
      </c>
      <c r="F34" s="80">
        <f>SUMIFS('август 2024'!$G$4:$G$2015,'август 2024'!$D$4:$D$2015,$B34,'август 2024'!$J$4:$J$2015,F$1)</f>
        <v>0</v>
      </c>
      <c r="G34" s="80">
        <f>SUMIFS('август 2024'!$G$4:$G$2015,'август 2024'!$D$4:$D$2015,$B34,'август 2024'!$J$4:$J$2015,G$1)</f>
        <v>0</v>
      </c>
      <c r="H34" s="80">
        <f>SUMIFS('август 2024'!$G$4:$G$2015,'август 2024'!$D$4:$D$2015,$B34,'август 2024'!$J$4:$J$2015,H$1)</f>
        <v>0</v>
      </c>
      <c r="I34" s="80">
        <f>SUMIFS('август 2024'!$G$4:$G$2015,'август 2024'!$D$4:$D$2015,$B34,'август 2024'!$J$4:$J$2015,I$1)</f>
        <v>0</v>
      </c>
      <c r="J34" s="80">
        <f>SUMIFS('август 2024'!$G$4:$G$2015,'август 2024'!$D$4:$D$2015,$B34,'август 2024'!$J$4:$J$2015,J$1)</f>
        <v>0</v>
      </c>
      <c r="K34" s="80">
        <f>SUMIFS('август 2024'!$G$4:$G$2015,'август 2024'!$D$4:$D$2015,$B34,'август 2024'!$J$4:$J$2015,K$1)</f>
        <v>0</v>
      </c>
      <c r="L34" s="80">
        <f>SUMIFS('август 2024'!$G$4:$G$2015,'август 2024'!$D$4:$D$2015,$B34,'август 2024'!$J$4:$J$2015,L$1)</f>
        <v>0</v>
      </c>
      <c r="M34" s="80">
        <f>SUMIFS('август 2024'!$G$4:$G$2015,'август 2024'!$D$4:$D$2015,$B34,'август 2024'!$J$4:$J$2015,M$1)</f>
        <v>0</v>
      </c>
      <c r="N34" s="80">
        <f>SUMIFS('август 2024'!$G$4:$G$2015,'август 2024'!$D$4:$D$2015,$B34,'август 2024'!$J$4:$J$2015,N$1)</f>
        <v>0</v>
      </c>
      <c r="O34" s="80">
        <f>SUMIFS('август 2024'!$G$4:$G$2015,'август 2024'!$D$4:$D$2015,$B34,'август 2024'!$J$4:$J$2015,O$1)</f>
        <v>0</v>
      </c>
      <c r="P34" s="80">
        <f>SUMIFS('август 2024'!$G$4:$G$2015,'август 2024'!$D$4:$D$2015,$B34,'август 2024'!$J$4:$J$2015,P$1)</f>
        <v>0</v>
      </c>
      <c r="Q34" s="80">
        <f>SUMIFS('август 2024'!$G$4:$G$2015,'август 2024'!$D$4:$D$2015,$B34,'август 2024'!$J$4:$J$2015,Q$1)</f>
        <v>0</v>
      </c>
      <c r="R34" s="80">
        <f>SUMIFS('август 2024'!$G$4:$G$2015,'август 2024'!$D$4:$D$2015,$B34,'август 2024'!$J$4:$J$2015,R$1)</f>
        <v>0</v>
      </c>
      <c r="S34" s="80">
        <f>SUMIFS('август 2024'!$G$4:$G$2015,'август 2024'!$D$4:$D$2015,$B34,'август 2024'!$J$4:$J$2015,S$1)</f>
        <v>0</v>
      </c>
      <c r="T34" s="80">
        <f>SUMIFS('август 2024'!$G$4:$G$2015,'август 2024'!$D$4:$D$2015,$B34,'август 2024'!$J$4:$J$2015,T$1)</f>
        <v>0</v>
      </c>
      <c r="U34" s="80">
        <f>SUMIFS('август 2024'!$G$4:$G$2015,'август 2024'!$D$4:$D$2015,$B34,'август 2024'!$J$4:$J$2015,U$1)</f>
        <v>0</v>
      </c>
      <c r="V34" s="80">
        <f>SUMIFS('август 2024'!$G$4:$G$2015,'август 2024'!$D$4:$D$2015,$B34,'август 2024'!$J$4:$J$2015,V$1)</f>
        <v>0</v>
      </c>
      <c r="W34" s="80">
        <f>SUMIFS('август 2024'!$G$4:$G$2015,'август 2024'!$D$4:$D$2015,$B34,'август 2024'!$J$4:$J$2015,W$1)</f>
        <v>0</v>
      </c>
      <c r="X34" s="80">
        <f>SUMIFS('август 2024'!$G$4:$G$2015,'август 2024'!$D$4:$D$2015,$B34,'август 2024'!$J$4:$J$2015,X$1)</f>
        <v>0</v>
      </c>
      <c r="Y34" s="80">
        <f>SUMIFS('август 2024'!$G$4:$G$2015,'август 2024'!$D$4:$D$2015,$B34,'август 2024'!$J$4:$J$2015,Y$1)</f>
        <v>0</v>
      </c>
      <c r="Z34" s="80">
        <f>SUMIFS('август 2024'!$G$4:$G$2015,'август 2024'!$D$4:$D$2015,$B34,'август 2024'!$J$4:$J$2015,Z$1)</f>
        <v>0</v>
      </c>
      <c r="AA34" s="80">
        <f>SUMIFS('август 2024'!$G$4:$G$2015,'август 2024'!$D$4:$D$2015,$B34,'август 2024'!$J$4:$J$2015,AA$1)</f>
        <v>0</v>
      </c>
      <c r="AB34" s="80">
        <f>SUMIFS('август 2024'!$G$4:$G$2015,'август 2024'!$D$4:$D$2015,$B34,'август 2024'!$J$4:$J$2015,AB$1)</f>
        <v>0</v>
      </c>
      <c r="AC34" s="80">
        <f>SUMIFS('август 2024'!$G$4:$G$2015,'август 2024'!$D$4:$D$2015,$B34,'август 2024'!$J$4:$J$2015,AC$1)</f>
        <v>0</v>
      </c>
      <c r="AD34" s="80">
        <f>SUMIFS('август 2024'!$G$4:$G$2015,'август 2024'!$D$4:$D$2015,$B34,'август 2024'!$J$4:$J$2015,AD$1)</f>
        <v>0</v>
      </c>
      <c r="AE34" s="80">
        <f>SUMIFS('август 2024'!$G$4:$G$2015,'август 2024'!$D$4:$D$2015,$B34,'август 2024'!$J$4:$J$2015,AE$1)</f>
        <v>0</v>
      </c>
      <c r="AF34" s="80">
        <f>SUMIFS('август 2024'!$G$4:$G$2015,'август 2024'!$D$4:$D$2015,$B34,'август 2024'!$J$4:$J$2015,AF$1)</f>
        <v>0</v>
      </c>
      <c r="AG34" s="80">
        <f>SUMIFS('август 2024'!$G$4:$G$2015,'август 2024'!$D$4:$D$2015,$B34,'август 2024'!$J$4:$J$2015,AG$1)</f>
        <v>0</v>
      </c>
      <c r="AH34" s="80">
        <f>SUMIFS('август 2024'!$G$4:$G$2015,'август 2024'!$D$4:$D$2015,$B34,'август 2024'!$J$4:$J$2015,AH$1)</f>
        <v>0</v>
      </c>
      <c r="AI34" s="21">
        <f t="shared" si="1"/>
        <v>0</v>
      </c>
    </row>
    <row r="35" spans="2:35" ht="15" customHeight="1" x14ac:dyDescent="0.25">
      <c r="B35" s="147" t="s">
        <v>280</v>
      </c>
      <c r="C35" s="143">
        <v>25</v>
      </c>
      <c r="D35" s="80">
        <f>SUMIFS('август 2024'!$G$4:$G$2015,'август 2024'!$D$4:$D$2015,$B35,'август 2024'!$J$4:$J$2015,D$1)</f>
        <v>0</v>
      </c>
      <c r="E35" s="80">
        <f>SUMIFS('август 2024'!$G$4:$G$2015,'август 2024'!$D$4:$D$2015,$B35,'август 2024'!$J$4:$J$2015,E$1)</f>
        <v>0</v>
      </c>
      <c r="F35" s="80">
        <f>SUMIFS('август 2024'!$G$4:$G$2015,'август 2024'!$D$4:$D$2015,$B35,'август 2024'!$J$4:$J$2015,F$1)</f>
        <v>0</v>
      </c>
      <c r="G35" s="80">
        <f>SUMIFS('август 2024'!$G$4:$G$2015,'август 2024'!$D$4:$D$2015,$B35,'август 2024'!$J$4:$J$2015,G$1)</f>
        <v>0</v>
      </c>
      <c r="H35" s="80">
        <f>SUMIFS('август 2024'!$G$4:$G$2015,'август 2024'!$D$4:$D$2015,$B35,'август 2024'!$J$4:$J$2015,H$1)</f>
        <v>0</v>
      </c>
      <c r="I35" s="80">
        <f>SUMIFS('август 2024'!$G$4:$G$2015,'август 2024'!$D$4:$D$2015,$B35,'август 2024'!$J$4:$J$2015,I$1)</f>
        <v>0</v>
      </c>
      <c r="J35" s="80">
        <f>SUMIFS('август 2024'!$G$4:$G$2015,'август 2024'!$D$4:$D$2015,$B35,'август 2024'!$J$4:$J$2015,J$1)</f>
        <v>0</v>
      </c>
      <c r="K35" s="80">
        <f>SUMIFS('август 2024'!$G$4:$G$2015,'август 2024'!$D$4:$D$2015,$B35,'август 2024'!$J$4:$J$2015,K$1)</f>
        <v>0</v>
      </c>
      <c r="L35" s="80">
        <f>SUMIFS('август 2024'!$G$4:$G$2015,'август 2024'!$D$4:$D$2015,$B35,'август 2024'!$J$4:$J$2015,L$1)</f>
        <v>0</v>
      </c>
      <c r="M35" s="80">
        <f>SUMIFS('август 2024'!$G$4:$G$2015,'август 2024'!$D$4:$D$2015,$B35,'август 2024'!$J$4:$J$2015,M$1)</f>
        <v>0</v>
      </c>
      <c r="N35" s="80">
        <f>SUMIFS('август 2024'!$G$4:$G$2015,'август 2024'!$D$4:$D$2015,$B35,'август 2024'!$J$4:$J$2015,N$1)</f>
        <v>0</v>
      </c>
      <c r="O35" s="80">
        <f>SUMIFS('август 2024'!$G$4:$G$2015,'август 2024'!$D$4:$D$2015,$B35,'август 2024'!$J$4:$J$2015,O$1)</f>
        <v>0</v>
      </c>
      <c r="P35" s="80">
        <f>SUMIFS('август 2024'!$G$4:$G$2015,'август 2024'!$D$4:$D$2015,$B35,'август 2024'!$J$4:$J$2015,P$1)</f>
        <v>0</v>
      </c>
      <c r="Q35" s="80">
        <f>SUMIFS('август 2024'!$G$4:$G$2015,'август 2024'!$D$4:$D$2015,$B35,'август 2024'!$J$4:$J$2015,Q$1)</f>
        <v>0</v>
      </c>
      <c r="R35" s="80">
        <f>SUMIFS('август 2024'!$G$4:$G$2015,'август 2024'!$D$4:$D$2015,$B35,'август 2024'!$J$4:$J$2015,R$1)</f>
        <v>0</v>
      </c>
      <c r="S35" s="80">
        <f>SUMIFS('август 2024'!$G$4:$G$2015,'август 2024'!$D$4:$D$2015,$B35,'август 2024'!$J$4:$J$2015,S$1)</f>
        <v>0</v>
      </c>
      <c r="T35" s="80">
        <f>SUMIFS('август 2024'!$G$4:$G$2015,'август 2024'!$D$4:$D$2015,$B35,'август 2024'!$J$4:$J$2015,T$1)</f>
        <v>0</v>
      </c>
      <c r="U35" s="80">
        <f>SUMIFS('август 2024'!$G$4:$G$2015,'август 2024'!$D$4:$D$2015,$B35,'август 2024'!$J$4:$J$2015,U$1)</f>
        <v>0</v>
      </c>
      <c r="V35" s="80">
        <f>SUMIFS('август 2024'!$G$4:$G$2015,'август 2024'!$D$4:$D$2015,$B35,'август 2024'!$J$4:$J$2015,V$1)</f>
        <v>0</v>
      </c>
      <c r="W35" s="80">
        <f>SUMIFS('август 2024'!$G$4:$G$2015,'август 2024'!$D$4:$D$2015,$B35,'август 2024'!$J$4:$J$2015,W$1)</f>
        <v>0</v>
      </c>
      <c r="X35" s="80">
        <f>SUMIFS('август 2024'!$G$4:$G$2015,'август 2024'!$D$4:$D$2015,$B35,'август 2024'!$J$4:$J$2015,X$1)</f>
        <v>0</v>
      </c>
      <c r="Y35" s="80">
        <f>SUMIFS('август 2024'!$G$4:$G$2015,'август 2024'!$D$4:$D$2015,$B35,'август 2024'!$J$4:$J$2015,Y$1)</f>
        <v>0</v>
      </c>
      <c r="Z35" s="80">
        <f>SUMIFS('август 2024'!$G$4:$G$2015,'август 2024'!$D$4:$D$2015,$B35,'август 2024'!$J$4:$J$2015,Z$1)</f>
        <v>0</v>
      </c>
      <c r="AA35" s="80">
        <f>SUMIFS('август 2024'!$G$4:$G$2015,'август 2024'!$D$4:$D$2015,$B35,'август 2024'!$J$4:$J$2015,AA$1)</f>
        <v>0</v>
      </c>
      <c r="AB35" s="80">
        <f>SUMIFS('август 2024'!$G$4:$G$2015,'август 2024'!$D$4:$D$2015,$B35,'август 2024'!$J$4:$J$2015,AB$1)</f>
        <v>0</v>
      </c>
      <c r="AC35" s="80">
        <f>SUMIFS('август 2024'!$G$4:$G$2015,'август 2024'!$D$4:$D$2015,$B35,'август 2024'!$J$4:$J$2015,AC$1)</f>
        <v>0</v>
      </c>
      <c r="AD35" s="80">
        <f>SUMIFS('август 2024'!$G$4:$G$2015,'август 2024'!$D$4:$D$2015,$B35,'август 2024'!$J$4:$J$2015,AD$1)</f>
        <v>0</v>
      </c>
      <c r="AE35" s="80">
        <f>SUMIFS('август 2024'!$G$4:$G$2015,'август 2024'!$D$4:$D$2015,$B35,'август 2024'!$J$4:$J$2015,AE$1)</f>
        <v>0</v>
      </c>
      <c r="AF35" s="80">
        <f>SUMIFS('август 2024'!$G$4:$G$2015,'август 2024'!$D$4:$D$2015,$B35,'август 2024'!$J$4:$J$2015,AF$1)</f>
        <v>0</v>
      </c>
      <c r="AG35" s="80">
        <f>SUMIFS('август 2024'!$G$4:$G$2015,'август 2024'!$D$4:$D$2015,$B35,'август 2024'!$J$4:$J$2015,AG$1)</f>
        <v>0</v>
      </c>
      <c r="AH35" s="80">
        <f>SUMIFS('август 2024'!$G$4:$G$2015,'август 2024'!$D$4:$D$2015,$B35,'август 2024'!$J$4:$J$2015,AH$1)</f>
        <v>0</v>
      </c>
      <c r="AI35" s="21">
        <f t="shared" si="1"/>
        <v>0</v>
      </c>
    </row>
    <row r="36" spans="2:35" ht="15" customHeight="1" x14ac:dyDescent="0.25">
      <c r="B36" s="148" t="s">
        <v>282</v>
      </c>
      <c r="C36" s="149">
        <v>25</v>
      </c>
      <c r="D36" s="80">
        <f>SUMIFS('август 2024'!$G$4:$G$2015,'август 2024'!$D$4:$D$2015,$B36,'август 2024'!$J$4:$J$2015,D$1)</f>
        <v>0</v>
      </c>
      <c r="E36" s="80">
        <f>SUMIFS('август 2024'!$G$4:$G$2015,'август 2024'!$D$4:$D$2015,$B36,'август 2024'!$J$4:$J$2015,E$1)</f>
        <v>0</v>
      </c>
      <c r="F36" s="80">
        <f>SUMIFS('август 2024'!$G$4:$G$2015,'август 2024'!$D$4:$D$2015,$B36,'август 2024'!$J$4:$J$2015,F$1)</f>
        <v>0</v>
      </c>
      <c r="G36" s="80">
        <f>SUMIFS('август 2024'!$G$4:$G$2015,'август 2024'!$D$4:$D$2015,$B36,'август 2024'!$J$4:$J$2015,G$1)</f>
        <v>0</v>
      </c>
      <c r="H36" s="80">
        <f>SUMIFS('август 2024'!$G$4:$G$2015,'август 2024'!$D$4:$D$2015,$B36,'август 2024'!$J$4:$J$2015,H$1)</f>
        <v>0</v>
      </c>
      <c r="I36" s="80">
        <f>SUMIFS('август 2024'!$G$4:$G$2015,'август 2024'!$D$4:$D$2015,$B36,'август 2024'!$J$4:$J$2015,I$1)</f>
        <v>0</v>
      </c>
      <c r="J36" s="80">
        <f>SUMIFS('август 2024'!$G$4:$G$2015,'август 2024'!$D$4:$D$2015,$B36,'август 2024'!$J$4:$J$2015,J$1)</f>
        <v>0</v>
      </c>
      <c r="K36" s="80">
        <f>SUMIFS('август 2024'!$G$4:$G$2015,'август 2024'!$D$4:$D$2015,$B36,'август 2024'!$J$4:$J$2015,K$1)</f>
        <v>0</v>
      </c>
      <c r="L36" s="80">
        <f>SUMIFS('август 2024'!$G$4:$G$2015,'август 2024'!$D$4:$D$2015,$B36,'август 2024'!$J$4:$J$2015,L$1)</f>
        <v>0</v>
      </c>
      <c r="M36" s="80">
        <f>SUMIFS('август 2024'!$G$4:$G$2015,'август 2024'!$D$4:$D$2015,$B36,'август 2024'!$J$4:$J$2015,M$1)</f>
        <v>0</v>
      </c>
      <c r="N36" s="80">
        <f>SUMIFS('август 2024'!$G$4:$G$2015,'август 2024'!$D$4:$D$2015,$B36,'август 2024'!$J$4:$J$2015,N$1)</f>
        <v>0</v>
      </c>
      <c r="O36" s="80">
        <f>SUMIFS('август 2024'!$G$4:$G$2015,'август 2024'!$D$4:$D$2015,$B36,'август 2024'!$J$4:$J$2015,O$1)</f>
        <v>0</v>
      </c>
      <c r="P36" s="80">
        <f>SUMIFS('август 2024'!$G$4:$G$2015,'август 2024'!$D$4:$D$2015,$B36,'август 2024'!$J$4:$J$2015,P$1)</f>
        <v>0</v>
      </c>
      <c r="Q36" s="80">
        <f>SUMIFS('август 2024'!$G$4:$G$2015,'август 2024'!$D$4:$D$2015,$B36,'август 2024'!$J$4:$J$2015,Q$1)</f>
        <v>0</v>
      </c>
      <c r="R36" s="80">
        <f>SUMIFS('август 2024'!$G$4:$G$2015,'август 2024'!$D$4:$D$2015,$B36,'август 2024'!$J$4:$J$2015,R$1)</f>
        <v>0</v>
      </c>
      <c r="S36" s="80">
        <f>SUMIFS('август 2024'!$G$4:$G$2015,'август 2024'!$D$4:$D$2015,$B36,'август 2024'!$J$4:$J$2015,S$1)</f>
        <v>0</v>
      </c>
      <c r="T36" s="80">
        <f>SUMIFS('август 2024'!$G$4:$G$2015,'август 2024'!$D$4:$D$2015,$B36,'август 2024'!$J$4:$J$2015,T$1)</f>
        <v>0</v>
      </c>
      <c r="U36" s="80">
        <f>SUMIFS('август 2024'!$G$4:$G$2015,'август 2024'!$D$4:$D$2015,$B36,'август 2024'!$J$4:$J$2015,U$1)</f>
        <v>0</v>
      </c>
      <c r="V36" s="80">
        <f>SUMIFS('август 2024'!$G$4:$G$2015,'август 2024'!$D$4:$D$2015,$B36,'август 2024'!$J$4:$J$2015,V$1)</f>
        <v>0</v>
      </c>
      <c r="W36" s="80">
        <f>SUMIFS('август 2024'!$G$4:$G$2015,'август 2024'!$D$4:$D$2015,$B36,'август 2024'!$J$4:$J$2015,W$1)</f>
        <v>0</v>
      </c>
      <c r="X36" s="80">
        <f>SUMIFS('август 2024'!$G$4:$G$2015,'август 2024'!$D$4:$D$2015,$B36,'август 2024'!$J$4:$J$2015,X$1)</f>
        <v>0</v>
      </c>
      <c r="Y36" s="80">
        <f>SUMIFS('август 2024'!$G$4:$G$2015,'август 2024'!$D$4:$D$2015,$B36,'август 2024'!$J$4:$J$2015,Y$1)</f>
        <v>0</v>
      </c>
      <c r="Z36" s="80">
        <f>SUMIFS('август 2024'!$G$4:$G$2015,'август 2024'!$D$4:$D$2015,$B36,'август 2024'!$J$4:$J$2015,Z$1)</f>
        <v>0</v>
      </c>
      <c r="AA36" s="80">
        <f>SUMIFS('август 2024'!$G$4:$G$2015,'август 2024'!$D$4:$D$2015,$B36,'август 2024'!$J$4:$J$2015,AA$1)</f>
        <v>0</v>
      </c>
      <c r="AB36" s="80">
        <f>SUMIFS('август 2024'!$G$4:$G$2015,'август 2024'!$D$4:$D$2015,$B36,'август 2024'!$J$4:$J$2015,AB$1)</f>
        <v>0</v>
      </c>
      <c r="AC36" s="80">
        <f>SUMIFS('август 2024'!$G$4:$G$2015,'август 2024'!$D$4:$D$2015,$B36,'август 2024'!$J$4:$J$2015,AC$1)</f>
        <v>0</v>
      </c>
      <c r="AD36" s="80">
        <f>SUMIFS('август 2024'!$G$4:$G$2015,'август 2024'!$D$4:$D$2015,$B36,'август 2024'!$J$4:$J$2015,AD$1)</f>
        <v>0</v>
      </c>
      <c r="AE36" s="80">
        <f>SUMIFS('август 2024'!$G$4:$G$2015,'август 2024'!$D$4:$D$2015,$B36,'август 2024'!$J$4:$J$2015,AE$1)</f>
        <v>0</v>
      </c>
      <c r="AF36" s="80">
        <f>SUMIFS('август 2024'!$G$4:$G$2015,'август 2024'!$D$4:$D$2015,$B36,'август 2024'!$J$4:$J$2015,AF$1)</f>
        <v>0</v>
      </c>
      <c r="AG36" s="80">
        <f>SUMIFS('август 2024'!$G$4:$G$2015,'август 2024'!$D$4:$D$2015,$B36,'август 2024'!$J$4:$J$2015,AG$1)</f>
        <v>0</v>
      </c>
      <c r="AH36" s="80">
        <f>SUMIFS('август 2024'!$G$4:$G$2015,'август 2024'!$D$4:$D$2015,$B36,'август 2024'!$J$4:$J$2015,AH$1)</f>
        <v>0</v>
      </c>
      <c r="AI36" s="21">
        <f t="shared" si="1"/>
        <v>0</v>
      </c>
    </row>
    <row r="37" spans="2:35" ht="15" customHeight="1" x14ac:dyDescent="0.25">
      <c r="B37" s="150" t="s">
        <v>284</v>
      </c>
      <c r="C37" s="151">
        <v>22.68</v>
      </c>
      <c r="D37" s="80">
        <f>SUMIFS('август 2024'!$G$4:$G$2015,'август 2024'!$D$4:$D$2015,$B37,'август 2024'!$J$4:$J$2015,D$1)</f>
        <v>0</v>
      </c>
      <c r="E37" s="80">
        <f>SUMIFS('август 2024'!$G$4:$G$2015,'август 2024'!$D$4:$D$2015,$B37,'август 2024'!$J$4:$J$2015,E$1)</f>
        <v>0</v>
      </c>
      <c r="F37" s="80">
        <f>SUMIFS('август 2024'!$G$4:$G$2015,'август 2024'!$D$4:$D$2015,$B37,'август 2024'!$J$4:$J$2015,F$1)</f>
        <v>0</v>
      </c>
      <c r="G37" s="80">
        <f>SUMIFS('август 2024'!$G$4:$G$2015,'август 2024'!$D$4:$D$2015,$B37,'август 2024'!$J$4:$J$2015,G$1)</f>
        <v>0</v>
      </c>
      <c r="H37" s="80">
        <f>SUMIFS('август 2024'!$G$4:$G$2015,'август 2024'!$D$4:$D$2015,$B37,'август 2024'!$J$4:$J$2015,H$1)</f>
        <v>0</v>
      </c>
      <c r="I37" s="80">
        <f>SUMIFS('август 2024'!$G$4:$G$2015,'август 2024'!$D$4:$D$2015,$B37,'август 2024'!$J$4:$J$2015,I$1)</f>
        <v>0</v>
      </c>
      <c r="J37" s="80">
        <f>SUMIFS('август 2024'!$G$4:$G$2015,'август 2024'!$D$4:$D$2015,$B37,'август 2024'!$J$4:$J$2015,J$1)</f>
        <v>0</v>
      </c>
      <c r="K37" s="80">
        <f>SUMIFS('август 2024'!$G$4:$G$2015,'август 2024'!$D$4:$D$2015,$B37,'август 2024'!$J$4:$J$2015,K$1)</f>
        <v>0</v>
      </c>
      <c r="L37" s="80">
        <f>SUMIFS('август 2024'!$G$4:$G$2015,'август 2024'!$D$4:$D$2015,$B37,'август 2024'!$J$4:$J$2015,L$1)</f>
        <v>0</v>
      </c>
      <c r="M37" s="80">
        <f>SUMIFS('август 2024'!$G$4:$G$2015,'август 2024'!$D$4:$D$2015,$B37,'август 2024'!$J$4:$J$2015,M$1)</f>
        <v>0</v>
      </c>
      <c r="N37" s="80">
        <f>SUMIFS('август 2024'!$G$4:$G$2015,'август 2024'!$D$4:$D$2015,$B37,'август 2024'!$J$4:$J$2015,N$1)</f>
        <v>0</v>
      </c>
      <c r="O37" s="80">
        <f>SUMIFS('август 2024'!$G$4:$G$2015,'август 2024'!$D$4:$D$2015,$B37,'август 2024'!$J$4:$J$2015,O$1)</f>
        <v>0</v>
      </c>
      <c r="P37" s="80">
        <f>SUMIFS('август 2024'!$G$4:$G$2015,'август 2024'!$D$4:$D$2015,$B37,'август 2024'!$J$4:$J$2015,P$1)</f>
        <v>0</v>
      </c>
      <c r="Q37" s="80">
        <f>SUMIFS('август 2024'!$G$4:$G$2015,'август 2024'!$D$4:$D$2015,$B37,'август 2024'!$J$4:$J$2015,Q$1)</f>
        <v>0</v>
      </c>
      <c r="R37" s="80">
        <f>SUMIFS('август 2024'!$G$4:$G$2015,'август 2024'!$D$4:$D$2015,$B37,'август 2024'!$J$4:$J$2015,R$1)</f>
        <v>0</v>
      </c>
      <c r="S37" s="80">
        <f>SUMIFS('август 2024'!$G$4:$G$2015,'август 2024'!$D$4:$D$2015,$B37,'август 2024'!$J$4:$J$2015,S$1)</f>
        <v>0</v>
      </c>
      <c r="T37" s="80">
        <f>SUMIFS('август 2024'!$G$4:$G$2015,'август 2024'!$D$4:$D$2015,$B37,'август 2024'!$J$4:$J$2015,T$1)</f>
        <v>0</v>
      </c>
      <c r="U37" s="80">
        <f>SUMIFS('август 2024'!$G$4:$G$2015,'август 2024'!$D$4:$D$2015,$B37,'август 2024'!$J$4:$J$2015,U$1)</f>
        <v>0</v>
      </c>
      <c r="V37" s="80">
        <f>SUMIFS('август 2024'!$G$4:$G$2015,'август 2024'!$D$4:$D$2015,$B37,'август 2024'!$J$4:$J$2015,V$1)</f>
        <v>0</v>
      </c>
      <c r="W37" s="80">
        <f>SUMIFS('август 2024'!$G$4:$G$2015,'август 2024'!$D$4:$D$2015,$B37,'август 2024'!$J$4:$J$2015,W$1)</f>
        <v>0</v>
      </c>
      <c r="X37" s="80">
        <f>SUMIFS('август 2024'!$G$4:$G$2015,'август 2024'!$D$4:$D$2015,$B37,'август 2024'!$J$4:$J$2015,X$1)</f>
        <v>0</v>
      </c>
      <c r="Y37" s="80">
        <f>SUMIFS('август 2024'!$G$4:$G$2015,'август 2024'!$D$4:$D$2015,$B37,'август 2024'!$J$4:$J$2015,Y$1)</f>
        <v>0</v>
      </c>
      <c r="Z37" s="80">
        <f>SUMIFS('август 2024'!$G$4:$G$2015,'август 2024'!$D$4:$D$2015,$B37,'август 2024'!$J$4:$J$2015,Z$1)</f>
        <v>0</v>
      </c>
      <c r="AA37" s="80">
        <f>SUMIFS('август 2024'!$G$4:$G$2015,'август 2024'!$D$4:$D$2015,$B37,'август 2024'!$J$4:$J$2015,AA$1)</f>
        <v>0</v>
      </c>
      <c r="AB37" s="80">
        <f>SUMIFS('август 2024'!$G$4:$G$2015,'август 2024'!$D$4:$D$2015,$B37,'август 2024'!$J$4:$J$2015,AB$1)</f>
        <v>0</v>
      </c>
      <c r="AC37" s="80">
        <f>SUMIFS('август 2024'!$G$4:$G$2015,'август 2024'!$D$4:$D$2015,$B37,'август 2024'!$J$4:$J$2015,AC$1)</f>
        <v>0</v>
      </c>
      <c r="AD37" s="80">
        <f>SUMIFS('август 2024'!$G$4:$G$2015,'август 2024'!$D$4:$D$2015,$B37,'август 2024'!$J$4:$J$2015,AD$1)</f>
        <v>0</v>
      </c>
      <c r="AE37" s="80">
        <f>SUMIFS('август 2024'!$G$4:$G$2015,'август 2024'!$D$4:$D$2015,$B37,'август 2024'!$J$4:$J$2015,AE$1)</f>
        <v>0</v>
      </c>
      <c r="AF37" s="80">
        <f>SUMIFS('август 2024'!$G$4:$G$2015,'август 2024'!$D$4:$D$2015,$B37,'август 2024'!$J$4:$J$2015,AF$1)</f>
        <v>0</v>
      </c>
      <c r="AG37" s="80">
        <f>SUMIFS('август 2024'!$G$4:$G$2015,'август 2024'!$D$4:$D$2015,$B37,'август 2024'!$J$4:$J$2015,AG$1)</f>
        <v>0</v>
      </c>
      <c r="AH37" s="80">
        <f>SUMIFS('август 2024'!$G$4:$G$2015,'август 2024'!$D$4:$D$2015,$B37,'август 2024'!$J$4:$J$2015,AH$1)</f>
        <v>0</v>
      </c>
      <c r="AI37" s="21">
        <f t="shared" si="1"/>
        <v>0</v>
      </c>
    </row>
    <row r="38" spans="2:35" ht="15" customHeight="1" x14ac:dyDescent="0.25">
      <c r="B38" s="150" t="s">
        <v>286</v>
      </c>
      <c r="C38" s="152">
        <v>25</v>
      </c>
      <c r="D38" s="80">
        <f>SUMIFS('август 2024'!$G$4:$G$2015,'август 2024'!$D$4:$D$2015,$B38,'август 2024'!$J$4:$J$2015,D$1)</f>
        <v>0</v>
      </c>
      <c r="E38" s="80">
        <f>SUMIFS('август 2024'!$G$4:$G$2015,'август 2024'!$D$4:$D$2015,$B38,'август 2024'!$J$4:$J$2015,E$1)</f>
        <v>0</v>
      </c>
      <c r="F38" s="80">
        <f>SUMIFS('август 2024'!$G$4:$G$2015,'август 2024'!$D$4:$D$2015,$B38,'август 2024'!$J$4:$J$2015,F$1)</f>
        <v>0</v>
      </c>
      <c r="G38" s="80">
        <f>SUMIFS('август 2024'!$G$4:$G$2015,'август 2024'!$D$4:$D$2015,$B38,'август 2024'!$J$4:$J$2015,G$1)</f>
        <v>0</v>
      </c>
      <c r="H38" s="80">
        <f>SUMIFS('август 2024'!$G$4:$G$2015,'август 2024'!$D$4:$D$2015,$B38,'август 2024'!$J$4:$J$2015,H$1)</f>
        <v>0</v>
      </c>
      <c r="I38" s="80">
        <f>SUMIFS('август 2024'!$G$4:$G$2015,'август 2024'!$D$4:$D$2015,$B38,'август 2024'!$J$4:$J$2015,I$1)</f>
        <v>0</v>
      </c>
      <c r="J38" s="80">
        <f>SUMIFS('август 2024'!$G$4:$G$2015,'август 2024'!$D$4:$D$2015,$B38,'август 2024'!$J$4:$J$2015,J$1)</f>
        <v>0</v>
      </c>
      <c r="K38" s="80">
        <f>SUMIFS('август 2024'!$G$4:$G$2015,'август 2024'!$D$4:$D$2015,$B38,'август 2024'!$J$4:$J$2015,K$1)</f>
        <v>0</v>
      </c>
      <c r="L38" s="80">
        <f>SUMIFS('август 2024'!$G$4:$G$2015,'август 2024'!$D$4:$D$2015,$B38,'август 2024'!$J$4:$J$2015,L$1)</f>
        <v>0</v>
      </c>
      <c r="M38" s="80">
        <f>SUMIFS('август 2024'!$G$4:$G$2015,'август 2024'!$D$4:$D$2015,$B38,'август 2024'!$J$4:$J$2015,M$1)</f>
        <v>0</v>
      </c>
      <c r="N38" s="80">
        <f>SUMIFS('август 2024'!$G$4:$G$2015,'август 2024'!$D$4:$D$2015,$B38,'август 2024'!$J$4:$J$2015,N$1)</f>
        <v>0</v>
      </c>
      <c r="O38" s="80">
        <f>SUMIFS('август 2024'!$G$4:$G$2015,'август 2024'!$D$4:$D$2015,$B38,'август 2024'!$J$4:$J$2015,O$1)</f>
        <v>0</v>
      </c>
      <c r="P38" s="80">
        <f>SUMIFS('август 2024'!$G$4:$G$2015,'август 2024'!$D$4:$D$2015,$B38,'август 2024'!$J$4:$J$2015,P$1)</f>
        <v>0</v>
      </c>
      <c r="Q38" s="80">
        <f>SUMIFS('август 2024'!$G$4:$G$2015,'август 2024'!$D$4:$D$2015,$B38,'август 2024'!$J$4:$J$2015,Q$1)</f>
        <v>0</v>
      </c>
      <c r="R38" s="80">
        <f>SUMIFS('август 2024'!$G$4:$G$2015,'август 2024'!$D$4:$D$2015,$B38,'август 2024'!$J$4:$J$2015,R$1)</f>
        <v>0</v>
      </c>
      <c r="S38" s="80">
        <f>SUMIFS('август 2024'!$G$4:$G$2015,'август 2024'!$D$4:$D$2015,$B38,'август 2024'!$J$4:$J$2015,S$1)</f>
        <v>240</v>
      </c>
      <c r="T38" s="80">
        <f>SUMIFS('август 2024'!$G$4:$G$2015,'август 2024'!$D$4:$D$2015,$B38,'август 2024'!$J$4:$J$2015,T$1)</f>
        <v>0</v>
      </c>
      <c r="U38" s="80">
        <f>SUMIFS('август 2024'!$G$4:$G$2015,'август 2024'!$D$4:$D$2015,$B38,'август 2024'!$J$4:$J$2015,U$1)</f>
        <v>0</v>
      </c>
      <c r="V38" s="80">
        <f>SUMIFS('август 2024'!$G$4:$G$2015,'август 2024'!$D$4:$D$2015,$B38,'август 2024'!$J$4:$J$2015,V$1)</f>
        <v>0</v>
      </c>
      <c r="W38" s="80">
        <f>SUMIFS('август 2024'!$G$4:$G$2015,'август 2024'!$D$4:$D$2015,$B38,'август 2024'!$J$4:$J$2015,W$1)</f>
        <v>0</v>
      </c>
      <c r="X38" s="80">
        <f>SUMIFS('август 2024'!$G$4:$G$2015,'август 2024'!$D$4:$D$2015,$B38,'август 2024'!$J$4:$J$2015,X$1)</f>
        <v>0</v>
      </c>
      <c r="Y38" s="80">
        <f>SUMIFS('август 2024'!$G$4:$G$2015,'август 2024'!$D$4:$D$2015,$B38,'август 2024'!$J$4:$J$2015,Y$1)</f>
        <v>400</v>
      </c>
      <c r="Z38" s="80">
        <f>SUMIFS('август 2024'!$G$4:$G$2015,'август 2024'!$D$4:$D$2015,$B38,'август 2024'!$J$4:$J$2015,Z$1)</f>
        <v>0</v>
      </c>
      <c r="AA38" s="80">
        <f>SUMIFS('август 2024'!$G$4:$G$2015,'август 2024'!$D$4:$D$2015,$B38,'август 2024'!$J$4:$J$2015,AA$1)</f>
        <v>0</v>
      </c>
      <c r="AB38" s="80">
        <f>SUMIFS('август 2024'!$G$4:$G$2015,'август 2024'!$D$4:$D$2015,$B38,'август 2024'!$J$4:$J$2015,AB$1)</f>
        <v>0</v>
      </c>
      <c r="AC38" s="80">
        <f>SUMIFS('август 2024'!$G$4:$G$2015,'август 2024'!$D$4:$D$2015,$B38,'август 2024'!$J$4:$J$2015,AC$1)</f>
        <v>0</v>
      </c>
      <c r="AD38" s="80">
        <f>SUMIFS('август 2024'!$G$4:$G$2015,'август 2024'!$D$4:$D$2015,$B38,'август 2024'!$J$4:$J$2015,AD$1)</f>
        <v>0</v>
      </c>
      <c r="AE38" s="80">
        <f>SUMIFS('август 2024'!$G$4:$G$2015,'август 2024'!$D$4:$D$2015,$B38,'август 2024'!$J$4:$J$2015,AE$1)</f>
        <v>800</v>
      </c>
      <c r="AF38" s="80">
        <f>SUMIFS('август 2024'!$G$4:$G$2015,'август 2024'!$D$4:$D$2015,$B38,'август 2024'!$J$4:$J$2015,AF$1)</f>
        <v>0</v>
      </c>
      <c r="AG38" s="80">
        <f>SUMIFS('август 2024'!$G$4:$G$2015,'август 2024'!$D$4:$D$2015,$B38,'август 2024'!$J$4:$J$2015,AG$1)</f>
        <v>0</v>
      </c>
      <c r="AH38" s="80">
        <f>SUMIFS('август 2024'!$G$4:$G$2015,'август 2024'!$D$4:$D$2015,$B38,'август 2024'!$J$4:$J$2015,AH$1)</f>
        <v>0</v>
      </c>
      <c r="AI38" s="21">
        <f t="shared" si="1"/>
        <v>1440</v>
      </c>
    </row>
    <row r="39" spans="2:35" ht="15" customHeight="1" x14ac:dyDescent="0.25">
      <c r="B39" s="150" t="s">
        <v>288</v>
      </c>
      <c r="C39" s="153">
        <v>25</v>
      </c>
      <c r="D39" s="80">
        <f>SUMIFS('август 2024'!$G$4:$G$2015,'август 2024'!$D$4:$D$2015,$B39,'август 2024'!$J$4:$J$2015,D$1)</f>
        <v>0</v>
      </c>
      <c r="E39" s="80">
        <f>SUMIFS('август 2024'!$G$4:$G$2015,'август 2024'!$D$4:$D$2015,$B39,'август 2024'!$J$4:$J$2015,E$1)</f>
        <v>0</v>
      </c>
      <c r="F39" s="80">
        <f>SUMIFS('август 2024'!$G$4:$G$2015,'август 2024'!$D$4:$D$2015,$B39,'август 2024'!$J$4:$J$2015,F$1)</f>
        <v>0</v>
      </c>
      <c r="G39" s="80">
        <f>SUMIFS('август 2024'!$G$4:$G$2015,'август 2024'!$D$4:$D$2015,$B39,'август 2024'!$J$4:$J$2015,G$1)</f>
        <v>0</v>
      </c>
      <c r="H39" s="80">
        <f>SUMIFS('август 2024'!$G$4:$G$2015,'август 2024'!$D$4:$D$2015,$B39,'август 2024'!$J$4:$J$2015,H$1)</f>
        <v>0</v>
      </c>
      <c r="I39" s="80">
        <f>SUMIFS('август 2024'!$G$4:$G$2015,'август 2024'!$D$4:$D$2015,$B39,'август 2024'!$J$4:$J$2015,I$1)</f>
        <v>0</v>
      </c>
      <c r="J39" s="80">
        <f>SUMIFS('август 2024'!$G$4:$G$2015,'август 2024'!$D$4:$D$2015,$B39,'август 2024'!$J$4:$J$2015,J$1)</f>
        <v>0</v>
      </c>
      <c r="K39" s="80">
        <f>SUMIFS('август 2024'!$G$4:$G$2015,'август 2024'!$D$4:$D$2015,$B39,'август 2024'!$J$4:$J$2015,K$1)</f>
        <v>0</v>
      </c>
      <c r="L39" s="80">
        <f>SUMIFS('август 2024'!$G$4:$G$2015,'август 2024'!$D$4:$D$2015,$B39,'август 2024'!$J$4:$J$2015,L$1)</f>
        <v>0</v>
      </c>
      <c r="M39" s="80">
        <f>SUMIFS('август 2024'!$G$4:$G$2015,'август 2024'!$D$4:$D$2015,$B39,'август 2024'!$J$4:$J$2015,M$1)</f>
        <v>0</v>
      </c>
      <c r="N39" s="80">
        <f>SUMIFS('август 2024'!$G$4:$G$2015,'август 2024'!$D$4:$D$2015,$B39,'август 2024'!$J$4:$J$2015,N$1)</f>
        <v>0</v>
      </c>
      <c r="O39" s="80">
        <f>SUMIFS('август 2024'!$G$4:$G$2015,'август 2024'!$D$4:$D$2015,$B39,'август 2024'!$J$4:$J$2015,O$1)</f>
        <v>0</v>
      </c>
      <c r="P39" s="80">
        <f>SUMIFS('август 2024'!$G$4:$G$2015,'август 2024'!$D$4:$D$2015,$B39,'август 2024'!$J$4:$J$2015,P$1)</f>
        <v>0</v>
      </c>
      <c r="Q39" s="80">
        <f>SUMIFS('август 2024'!$G$4:$G$2015,'август 2024'!$D$4:$D$2015,$B39,'август 2024'!$J$4:$J$2015,Q$1)</f>
        <v>0</v>
      </c>
      <c r="R39" s="80">
        <f>SUMIFS('август 2024'!$G$4:$G$2015,'август 2024'!$D$4:$D$2015,$B39,'август 2024'!$J$4:$J$2015,R$1)</f>
        <v>0</v>
      </c>
      <c r="S39" s="80">
        <f>SUMIFS('август 2024'!$G$4:$G$2015,'август 2024'!$D$4:$D$2015,$B39,'август 2024'!$J$4:$J$2015,S$1)</f>
        <v>0</v>
      </c>
      <c r="T39" s="80">
        <f>SUMIFS('август 2024'!$G$4:$G$2015,'август 2024'!$D$4:$D$2015,$B39,'август 2024'!$J$4:$J$2015,T$1)</f>
        <v>0</v>
      </c>
      <c r="U39" s="80">
        <f>SUMIFS('август 2024'!$G$4:$G$2015,'август 2024'!$D$4:$D$2015,$B39,'август 2024'!$J$4:$J$2015,U$1)</f>
        <v>0</v>
      </c>
      <c r="V39" s="80">
        <f>SUMIFS('август 2024'!$G$4:$G$2015,'август 2024'!$D$4:$D$2015,$B39,'август 2024'!$J$4:$J$2015,V$1)</f>
        <v>0</v>
      </c>
      <c r="W39" s="80">
        <f>SUMIFS('август 2024'!$G$4:$G$2015,'август 2024'!$D$4:$D$2015,$B39,'август 2024'!$J$4:$J$2015,W$1)</f>
        <v>0</v>
      </c>
      <c r="X39" s="80">
        <f>SUMIFS('август 2024'!$G$4:$G$2015,'август 2024'!$D$4:$D$2015,$B39,'август 2024'!$J$4:$J$2015,X$1)</f>
        <v>0</v>
      </c>
      <c r="Y39" s="80">
        <f>SUMIFS('август 2024'!$G$4:$G$2015,'август 2024'!$D$4:$D$2015,$B39,'август 2024'!$J$4:$J$2015,Y$1)</f>
        <v>0</v>
      </c>
      <c r="Z39" s="80">
        <f>SUMIFS('август 2024'!$G$4:$G$2015,'август 2024'!$D$4:$D$2015,$B39,'август 2024'!$J$4:$J$2015,Z$1)</f>
        <v>0</v>
      </c>
      <c r="AA39" s="80">
        <f>SUMIFS('август 2024'!$G$4:$G$2015,'август 2024'!$D$4:$D$2015,$B39,'август 2024'!$J$4:$J$2015,AA$1)</f>
        <v>0</v>
      </c>
      <c r="AB39" s="80">
        <f>SUMIFS('август 2024'!$G$4:$G$2015,'август 2024'!$D$4:$D$2015,$B39,'август 2024'!$J$4:$J$2015,AB$1)</f>
        <v>0</v>
      </c>
      <c r="AC39" s="80">
        <f>SUMIFS('август 2024'!$G$4:$G$2015,'август 2024'!$D$4:$D$2015,$B39,'август 2024'!$J$4:$J$2015,AC$1)</f>
        <v>0</v>
      </c>
      <c r="AD39" s="80">
        <f>SUMIFS('август 2024'!$G$4:$G$2015,'август 2024'!$D$4:$D$2015,$B39,'август 2024'!$J$4:$J$2015,AD$1)</f>
        <v>0</v>
      </c>
      <c r="AE39" s="80">
        <f>SUMIFS('август 2024'!$G$4:$G$2015,'август 2024'!$D$4:$D$2015,$B39,'август 2024'!$J$4:$J$2015,AE$1)</f>
        <v>0</v>
      </c>
      <c r="AF39" s="80">
        <f>SUMIFS('август 2024'!$G$4:$G$2015,'август 2024'!$D$4:$D$2015,$B39,'август 2024'!$J$4:$J$2015,AF$1)</f>
        <v>0</v>
      </c>
      <c r="AG39" s="80">
        <f>SUMIFS('август 2024'!$G$4:$G$2015,'август 2024'!$D$4:$D$2015,$B39,'август 2024'!$J$4:$J$2015,AG$1)</f>
        <v>0</v>
      </c>
      <c r="AH39" s="80">
        <f>SUMIFS('август 2024'!$G$4:$G$2015,'август 2024'!$D$4:$D$2015,$B39,'август 2024'!$J$4:$J$2015,AH$1)</f>
        <v>0</v>
      </c>
      <c r="AI39" s="21">
        <f t="shared" si="1"/>
        <v>0</v>
      </c>
    </row>
    <row r="40" spans="2:35" ht="15" customHeight="1" x14ac:dyDescent="0.25">
      <c r="B40" s="150" t="s">
        <v>290</v>
      </c>
      <c r="C40" s="149">
        <v>22.68</v>
      </c>
      <c r="D40" s="80">
        <f>SUMIFS('август 2024'!$G$4:$G$2015,'август 2024'!$D$4:$D$2015,$B40,'август 2024'!$J$4:$J$2015,D$1)</f>
        <v>0</v>
      </c>
      <c r="E40" s="80">
        <f>SUMIFS('август 2024'!$G$4:$G$2015,'август 2024'!$D$4:$D$2015,$B40,'август 2024'!$J$4:$J$2015,E$1)</f>
        <v>0</v>
      </c>
      <c r="F40" s="80">
        <f>SUMIFS('август 2024'!$G$4:$G$2015,'август 2024'!$D$4:$D$2015,$B40,'август 2024'!$J$4:$J$2015,F$1)</f>
        <v>0</v>
      </c>
      <c r="G40" s="80">
        <f>SUMIFS('август 2024'!$G$4:$G$2015,'август 2024'!$D$4:$D$2015,$B40,'август 2024'!$J$4:$J$2015,G$1)</f>
        <v>0</v>
      </c>
      <c r="H40" s="80">
        <f>SUMIFS('август 2024'!$G$4:$G$2015,'август 2024'!$D$4:$D$2015,$B40,'август 2024'!$J$4:$J$2015,H$1)</f>
        <v>0</v>
      </c>
      <c r="I40" s="80">
        <f>SUMIFS('август 2024'!$G$4:$G$2015,'август 2024'!$D$4:$D$2015,$B40,'август 2024'!$J$4:$J$2015,I$1)</f>
        <v>0</v>
      </c>
      <c r="J40" s="80">
        <f>SUMIFS('август 2024'!$G$4:$G$2015,'август 2024'!$D$4:$D$2015,$B40,'август 2024'!$J$4:$J$2015,J$1)</f>
        <v>0</v>
      </c>
      <c r="K40" s="80">
        <f>SUMIFS('август 2024'!$G$4:$G$2015,'август 2024'!$D$4:$D$2015,$B40,'август 2024'!$J$4:$J$2015,K$1)</f>
        <v>0</v>
      </c>
      <c r="L40" s="80">
        <f>SUMIFS('август 2024'!$G$4:$G$2015,'август 2024'!$D$4:$D$2015,$B40,'август 2024'!$J$4:$J$2015,L$1)</f>
        <v>0</v>
      </c>
      <c r="M40" s="80">
        <f>SUMIFS('август 2024'!$G$4:$G$2015,'август 2024'!$D$4:$D$2015,$B40,'август 2024'!$J$4:$J$2015,M$1)</f>
        <v>0</v>
      </c>
      <c r="N40" s="80">
        <f>SUMIFS('август 2024'!$G$4:$G$2015,'август 2024'!$D$4:$D$2015,$B40,'август 2024'!$J$4:$J$2015,N$1)</f>
        <v>0</v>
      </c>
      <c r="O40" s="80">
        <f>SUMIFS('август 2024'!$G$4:$G$2015,'август 2024'!$D$4:$D$2015,$B40,'август 2024'!$J$4:$J$2015,O$1)</f>
        <v>0</v>
      </c>
      <c r="P40" s="80">
        <f>SUMIFS('август 2024'!$G$4:$G$2015,'август 2024'!$D$4:$D$2015,$B40,'август 2024'!$J$4:$J$2015,P$1)</f>
        <v>0</v>
      </c>
      <c r="Q40" s="80">
        <f>SUMIFS('август 2024'!$G$4:$G$2015,'август 2024'!$D$4:$D$2015,$B40,'август 2024'!$J$4:$J$2015,Q$1)</f>
        <v>0</v>
      </c>
      <c r="R40" s="80">
        <f>SUMIFS('август 2024'!$G$4:$G$2015,'август 2024'!$D$4:$D$2015,$B40,'август 2024'!$J$4:$J$2015,R$1)</f>
        <v>0</v>
      </c>
      <c r="S40" s="80">
        <f>SUMIFS('август 2024'!$G$4:$G$2015,'август 2024'!$D$4:$D$2015,$B40,'август 2024'!$J$4:$J$2015,S$1)</f>
        <v>0</v>
      </c>
      <c r="T40" s="80">
        <f>SUMIFS('август 2024'!$G$4:$G$2015,'август 2024'!$D$4:$D$2015,$B40,'август 2024'!$J$4:$J$2015,T$1)</f>
        <v>0</v>
      </c>
      <c r="U40" s="80">
        <f>SUMIFS('август 2024'!$G$4:$G$2015,'август 2024'!$D$4:$D$2015,$B40,'август 2024'!$J$4:$J$2015,U$1)</f>
        <v>0</v>
      </c>
      <c r="V40" s="80">
        <f>SUMIFS('август 2024'!$G$4:$G$2015,'август 2024'!$D$4:$D$2015,$B40,'август 2024'!$J$4:$J$2015,V$1)</f>
        <v>0</v>
      </c>
      <c r="W40" s="80">
        <f>SUMIFS('август 2024'!$G$4:$G$2015,'август 2024'!$D$4:$D$2015,$B40,'август 2024'!$J$4:$J$2015,W$1)</f>
        <v>0</v>
      </c>
      <c r="X40" s="80">
        <f>SUMIFS('август 2024'!$G$4:$G$2015,'август 2024'!$D$4:$D$2015,$B40,'август 2024'!$J$4:$J$2015,X$1)</f>
        <v>0</v>
      </c>
      <c r="Y40" s="80">
        <f>SUMIFS('август 2024'!$G$4:$G$2015,'август 2024'!$D$4:$D$2015,$B40,'август 2024'!$J$4:$J$2015,Y$1)</f>
        <v>0</v>
      </c>
      <c r="Z40" s="80">
        <f>SUMIFS('август 2024'!$G$4:$G$2015,'август 2024'!$D$4:$D$2015,$B40,'август 2024'!$J$4:$J$2015,Z$1)</f>
        <v>0</v>
      </c>
      <c r="AA40" s="80">
        <f>SUMIFS('август 2024'!$G$4:$G$2015,'август 2024'!$D$4:$D$2015,$B40,'август 2024'!$J$4:$J$2015,AA$1)</f>
        <v>0</v>
      </c>
      <c r="AB40" s="80">
        <f>SUMIFS('август 2024'!$G$4:$G$2015,'август 2024'!$D$4:$D$2015,$B40,'август 2024'!$J$4:$J$2015,AB$1)</f>
        <v>0</v>
      </c>
      <c r="AC40" s="80">
        <f>SUMIFS('август 2024'!$G$4:$G$2015,'август 2024'!$D$4:$D$2015,$B40,'август 2024'!$J$4:$J$2015,AC$1)</f>
        <v>0</v>
      </c>
      <c r="AD40" s="80">
        <f>SUMIFS('август 2024'!$G$4:$G$2015,'август 2024'!$D$4:$D$2015,$B40,'август 2024'!$J$4:$J$2015,AD$1)</f>
        <v>0</v>
      </c>
      <c r="AE40" s="80">
        <f>SUMIFS('август 2024'!$G$4:$G$2015,'август 2024'!$D$4:$D$2015,$B40,'август 2024'!$J$4:$J$2015,AE$1)</f>
        <v>0</v>
      </c>
      <c r="AF40" s="80">
        <f>SUMIFS('август 2024'!$G$4:$G$2015,'август 2024'!$D$4:$D$2015,$B40,'август 2024'!$J$4:$J$2015,AF$1)</f>
        <v>0</v>
      </c>
      <c r="AG40" s="80">
        <f>SUMIFS('август 2024'!$G$4:$G$2015,'август 2024'!$D$4:$D$2015,$B40,'август 2024'!$J$4:$J$2015,AG$1)</f>
        <v>0</v>
      </c>
      <c r="AH40" s="80">
        <f>SUMIFS('август 2024'!$G$4:$G$2015,'август 2024'!$D$4:$D$2015,$B40,'август 2024'!$J$4:$J$2015,AH$1)</f>
        <v>0</v>
      </c>
      <c r="AI40" s="21">
        <f t="shared" si="1"/>
        <v>0</v>
      </c>
    </row>
    <row r="41" spans="2:35" ht="15" customHeight="1" x14ac:dyDescent="0.25">
      <c r="B41" s="154" t="s">
        <v>292</v>
      </c>
      <c r="C41" s="151">
        <v>25</v>
      </c>
      <c r="D41" s="80">
        <f>SUMIFS('август 2024'!$G$4:$G$2015,'август 2024'!$D$4:$D$2015,$B41,'август 2024'!$J$4:$J$2015,D$1)</f>
        <v>0</v>
      </c>
      <c r="E41" s="80">
        <f>SUMIFS('август 2024'!$G$4:$G$2015,'август 2024'!$D$4:$D$2015,$B41,'август 2024'!$J$4:$J$2015,E$1)</f>
        <v>0</v>
      </c>
      <c r="F41" s="80">
        <f>SUMIFS('август 2024'!$G$4:$G$2015,'август 2024'!$D$4:$D$2015,$B41,'август 2024'!$J$4:$J$2015,F$1)</f>
        <v>0</v>
      </c>
      <c r="G41" s="80">
        <f>SUMIFS('август 2024'!$G$4:$G$2015,'август 2024'!$D$4:$D$2015,$B41,'август 2024'!$J$4:$J$2015,G$1)</f>
        <v>0</v>
      </c>
      <c r="H41" s="80">
        <f>SUMIFS('август 2024'!$G$4:$G$2015,'август 2024'!$D$4:$D$2015,$B41,'август 2024'!$J$4:$J$2015,H$1)</f>
        <v>0</v>
      </c>
      <c r="I41" s="80">
        <f>SUMIFS('август 2024'!$G$4:$G$2015,'август 2024'!$D$4:$D$2015,$B41,'август 2024'!$J$4:$J$2015,I$1)</f>
        <v>0</v>
      </c>
      <c r="J41" s="80">
        <f>SUMIFS('август 2024'!$G$4:$G$2015,'август 2024'!$D$4:$D$2015,$B41,'август 2024'!$J$4:$J$2015,J$1)</f>
        <v>0</v>
      </c>
      <c r="K41" s="80">
        <f>SUMIFS('август 2024'!$G$4:$G$2015,'август 2024'!$D$4:$D$2015,$B41,'август 2024'!$J$4:$J$2015,K$1)</f>
        <v>0</v>
      </c>
      <c r="L41" s="80">
        <f>SUMIFS('август 2024'!$G$4:$G$2015,'август 2024'!$D$4:$D$2015,$B41,'август 2024'!$J$4:$J$2015,L$1)</f>
        <v>0</v>
      </c>
      <c r="M41" s="80">
        <f>SUMIFS('август 2024'!$G$4:$G$2015,'август 2024'!$D$4:$D$2015,$B41,'август 2024'!$J$4:$J$2015,M$1)</f>
        <v>0</v>
      </c>
      <c r="N41" s="80">
        <f>SUMIFS('август 2024'!$G$4:$G$2015,'август 2024'!$D$4:$D$2015,$B41,'август 2024'!$J$4:$J$2015,N$1)</f>
        <v>0</v>
      </c>
      <c r="O41" s="80">
        <f>SUMIFS('август 2024'!$G$4:$G$2015,'август 2024'!$D$4:$D$2015,$B41,'август 2024'!$J$4:$J$2015,O$1)</f>
        <v>0</v>
      </c>
      <c r="P41" s="80">
        <f>SUMIFS('август 2024'!$G$4:$G$2015,'август 2024'!$D$4:$D$2015,$B41,'август 2024'!$J$4:$J$2015,P$1)</f>
        <v>0</v>
      </c>
      <c r="Q41" s="80">
        <f>SUMIFS('август 2024'!$G$4:$G$2015,'август 2024'!$D$4:$D$2015,$B41,'август 2024'!$J$4:$J$2015,Q$1)</f>
        <v>0</v>
      </c>
      <c r="R41" s="80">
        <f>SUMIFS('август 2024'!$G$4:$G$2015,'август 2024'!$D$4:$D$2015,$B41,'август 2024'!$J$4:$J$2015,R$1)</f>
        <v>0</v>
      </c>
      <c r="S41" s="80">
        <f>SUMIFS('август 2024'!$G$4:$G$2015,'август 2024'!$D$4:$D$2015,$B41,'август 2024'!$J$4:$J$2015,S$1)</f>
        <v>0</v>
      </c>
      <c r="T41" s="80">
        <f>SUMIFS('август 2024'!$G$4:$G$2015,'август 2024'!$D$4:$D$2015,$B41,'август 2024'!$J$4:$J$2015,T$1)</f>
        <v>0</v>
      </c>
      <c r="U41" s="80">
        <f>SUMIFS('август 2024'!$G$4:$G$2015,'август 2024'!$D$4:$D$2015,$B41,'август 2024'!$J$4:$J$2015,U$1)</f>
        <v>0</v>
      </c>
      <c r="V41" s="80">
        <f>SUMIFS('август 2024'!$G$4:$G$2015,'август 2024'!$D$4:$D$2015,$B41,'август 2024'!$J$4:$J$2015,V$1)</f>
        <v>0</v>
      </c>
      <c r="W41" s="80">
        <f>SUMIFS('август 2024'!$G$4:$G$2015,'август 2024'!$D$4:$D$2015,$B41,'август 2024'!$J$4:$J$2015,W$1)</f>
        <v>0</v>
      </c>
      <c r="X41" s="80">
        <f>SUMIFS('август 2024'!$G$4:$G$2015,'август 2024'!$D$4:$D$2015,$B41,'август 2024'!$J$4:$J$2015,X$1)</f>
        <v>0</v>
      </c>
      <c r="Y41" s="80">
        <f>SUMIFS('август 2024'!$G$4:$G$2015,'август 2024'!$D$4:$D$2015,$B41,'август 2024'!$J$4:$J$2015,Y$1)</f>
        <v>0</v>
      </c>
      <c r="Z41" s="80">
        <f>SUMIFS('август 2024'!$G$4:$G$2015,'август 2024'!$D$4:$D$2015,$B41,'август 2024'!$J$4:$J$2015,Z$1)</f>
        <v>0</v>
      </c>
      <c r="AA41" s="80">
        <f>SUMIFS('август 2024'!$G$4:$G$2015,'август 2024'!$D$4:$D$2015,$B41,'август 2024'!$J$4:$J$2015,AA$1)</f>
        <v>0</v>
      </c>
      <c r="AB41" s="80">
        <f>SUMIFS('август 2024'!$G$4:$G$2015,'август 2024'!$D$4:$D$2015,$B41,'август 2024'!$J$4:$J$2015,AB$1)</f>
        <v>0</v>
      </c>
      <c r="AC41" s="80">
        <f>SUMIFS('август 2024'!$G$4:$G$2015,'август 2024'!$D$4:$D$2015,$B41,'август 2024'!$J$4:$J$2015,AC$1)</f>
        <v>0</v>
      </c>
      <c r="AD41" s="80">
        <f>SUMIFS('август 2024'!$G$4:$G$2015,'август 2024'!$D$4:$D$2015,$B41,'август 2024'!$J$4:$J$2015,AD$1)</f>
        <v>0</v>
      </c>
      <c r="AE41" s="80">
        <f>SUMIFS('август 2024'!$G$4:$G$2015,'август 2024'!$D$4:$D$2015,$B41,'август 2024'!$J$4:$J$2015,AE$1)</f>
        <v>0</v>
      </c>
      <c r="AF41" s="80">
        <f>SUMIFS('август 2024'!$G$4:$G$2015,'август 2024'!$D$4:$D$2015,$B41,'август 2024'!$J$4:$J$2015,AF$1)</f>
        <v>0</v>
      </c>
      <c r="AG41" s="80">
        <f>SUMIFS('август 2024'!$G$4:$G$2015,'август 2024'!$D$4:$D$2015,$B41,'август 2024'!$J$4:$J$2015,AG$1)</f>
        <v>0</v>
      </c>
      <c r="AH41" s="80">
        <f>SUMIFS('август 2024'!$G$4:$G$2015,'август 2024'!$D$4:$D$2015,$B41,'август 2024'!$J$4:$J$2015,AH$1)</f>
        <v>0</v>
      </c>
      <c r="AI41" s="21">
        <f t="shared" si="1"/>
        <v>0</v>
      </c>
    </row>
    <row r="42" spans="2:35" ht="15" customHeight="1" x14ac:dyDescent="0.25">
      <c r="B42" s="150" t="s">
        <v>294</v>
      </c>
      <c r="C42" s="153">
        <v>25</v>
      </c>
      <c r="D42" s="80">
        <f>SUMIFS('август 2024'!$G$4:$G$2015,'август 2024'!$D$4:$D$2015,$B42,'август 2024'!$J$4:$J$2015,D$1)</f>
        <v>0</v>
      </c>
      <c r="E42" s="80">
        <f>SUMIFS('август 2024'!$G$4:$G$2015,'август 2024'!$D$4:$D$2015,$B42,'август 2024'!$J$4:$J$2015,E$1)</f>
        <v>0</v>
      </c>
      <c r="F42" s="80">
        <f>SUMIFS('август 2024'!$G$4:$G$2015,'август 2024'!$D$4:$D$2015,$B42,'август 2024'!$J$4:$J$2015,F$1)</f>
        <v>0</v>
      </c>
      <c r="G42" s="80">
        <f>SUMIFS('август 2024'!$G$4:$G$2015,'август 2024'!$D$4:$D$2015,$B42,'август 2024'!$J$4:$J$2015,G$1)</f>
        <v>0</v>
      </c>
      <c r="H42" s="80">
        <f>SUMIFS('август 2024'!$G$4:$G$2015,'август 2024'!$D$4:$D$2015,$B42,'август 2024'!$J$4:$J$2015,H$1)</f>
        <v>0</v>
      </c>
      <c r="I42" s="80">
        <f>SUMIFS('август 2024'!$G$4:$G$2015,'август 2024'!$D$4:$D$2015,$B42,'август 2024'!$J$4:$J$2015,I$1)</f>
        <v>0</v>
      </c>
      <c r="J42" s="80">
        <f>SUMIFS('август 2024'!$G$4:$G$2015,'август 2024'!$D$4:$D$2015,$B42,'август 2024'!$J$4:$J$2015,J$1)</f>
        <v>0</v>
      </c>
      <c r="K42" s="80">
        <f>SUMIFS('август 2024'!$G$4:$G$2015,'август 2024'!$D$4:$D$2015,$B42,'август 2024'!$J$4:$J$2015,K$1)</f>
        <v>0</v>
      </c>
      <c r="L42" s="80">
        <f>SUMIFS('август 2024'!$G$4:$G$2015,'август 2024'!$D$4:$D$2015,$B42,'август 2024'!$J$4:$J$2015,L$1)</f>
        <v>0</v>
      </c>
      <c r="M42" s="80">
        <f>SUMIFS('август 2024'!$G$4:$G$2015,'август 2024'!$D$4:$D$2015,$B42,'август 2024'!$J$4:$J$2015,M$1)</f>
        <v>0</v>
      </c>
      <c r="N42" s="80">
        <f>SUMIFS('август 2024'!$G$4:$G$2015,'август 2024'!$D$4:$D$2015,$B42,'август 2024'!$J$4:$J$2015,N$1)</f>
        <v>0</v>
      </c>
      <c r="O42" s="80">
        <f>SUMIFS('август 2024'!$G$4:$G$2015,'август 2024'!$D$4:$D$2015,$B42,'август 2024'!$J$4:$J$2015,O$1)</f>
        <v>0</v>
      </c>
      <c r="P42" s="80">
        <f>SUMIFS('август 2024'!$G$4:$G$2015,'август 2024'!$D$4:$D$2015,$B42,'август 2024'!$J$4:$J$2015,P$1)</f>
        <v>0</v>
      </c>
      <c r="Q42" s="80">
        <f>SUMIFS('август 2024'!$G$4:$G$2015,'август 2024'!$D$4:$D$2015,$B42,'август 2024'!$J$4:$J$2015,Q$1)</f>
        <v>0</v>
      </c>
      <c r="R42" s="80">
        <f>SUMIFS('август 2024'!$G$4:$G$2015,'август 2024'!$D$4:$D$2015,$B42,'август 2024'!$J$4:$J$2015,R$1)</f>
        <v>0</v>
      </c>
      <c r="S42" s="80">
        <f>SUMIFS('август 2024'!$G$4:$G$2015,'август 2024'!$D$4:$D$2015,$B42,'август 2024'!$J$4:$J$2015,S$1)</f>
        <v>0</v>
      </c>
      <c r="T42" s="80">
        <f>SUMIFS('август 2024'!$G$4:$G$2015,'август 2024'!$D$4:$D$2015,$B42,'август 2024'!$J$4:$J$2015,T$1)</f>
        <v>0</v>
      </c>
      <c r="U42" s="80">
        <f>SUMIFS('август 2024'!$G$4:$G$2015,'август 2024'!$D$4:$D$2015,$B42,'август 2024'!$J$4:$J$2015,U$1)</f>
        <v>0</v>
      </c>
      <c r="V42" s="80">
        <f>SUMIFS('август 2024'!$G$4:$G$2015,'август 2024'!$D$4:$D$2015,$B42,'август 2024'!$J$4:$J$2015,V$1)</f>
        <v>0</v>
      </c>
      <c r="W42" s="80">
        <f>SUMIFS('август 2024'!$G$4:$G$2015,'август 2024'!$D$4:$D$2015,$B42,'август 2024'!$J$4:$J$2015,W$1)</f>
        <v>0</v>
      </c>
      <c r="X42" s="80">
        <f>SUMIFS('август 2024'!$G$4:$G$2015,'август 2024'!$D$4:$D$2015,$B42,'август 2024'!$J$4:$J$2015,X$1)</f>
        <v>0</v>
      </c>
      <c r="Y42" s="80">
        <f>SUMIFS('август 2024'!$G$4:$G$2015,'август 2024'!$D$4:$D$2015,$B42,'август 2024'!$J$4:$J$2015,Y$1)</f>
        <v>0</v>
      </c>
      <c r="Z42" s="80">
        <f>SUMIFS('август 2024'!$G$4:$G$2015,'август 2024'!$D$4:$D$2015,$B42,'август 2024'!$J$4:$J$2015,Z$1)</f>
        <v>0</v>
      </c>
      <c r="AA42" s="80">
        <f>SUMIFS('август 2024'!$G$4:$G$2015,'август 2024'!$D$4:$D$2015,$B42,'август 2024'!$J$4:$J$2015,AA$1)</f>
        <v>0</v>
      </c>
      <c r="AB42" s="80">
        <f>SUMIFS('август 2024'!$G$4:$G$2015,'август 2024'!$D$4:$D$2015,$B42,'август 2024'!$J$4:$J$2015,AB$1)</f>
        <v>0</v>
      </c>
      <c r="AC42" s="80">
        <f>SUMIFS('август 2024'!$G$4:$G$2015,'август 2024'!$D$4:$D$2015,$B42,'август 2024'!$J$4:$J$2015,AC$1)</f>
        <v>0</v>
      </c>
      <c r="AD42" s="80">
        <f>SUMIFS('август 2024'!$G$4:$G$2015,'август 2024'!$D$4:$D$2015,$B42,'август 2024'!$J$4:$J$2015,AD$1)</f>
        <v>0</v>
      </c>
      <c r="AE42" s="80">
        <f>SUMIFS('август 2024'!$G$4:$G$2015,'август 2024'!$D$4:$D$2015,$B42,'август 2024'!$J$4:$J$2015,AE$1)</f>
        <v>0</v>
      </c>
      <c r="AF42" s="80">
        <f>SUMIFS('август 2024'!$G$4:$G$2015,'август 2024'!$D$4:$D$2015,$B42,'август 2024'!$J$4:$J$2015,AF$1)</f>
        <v>0</v>
      </c>
      <c r="AG42" s="80">
        <f>SUMIFS('август 2024'!$G$4:$G$2015,'август 2024'!$D$4:$D$2015,$B42,'август 2024'!$J$4:$J$2015,AG$1)</f>
        <v>0</v>
      </c>
      <c r="AH42" s="80">
        <f>SUMIFS('август 2024'!$G$4:$G$2015,'август 2024'!$D$4:$D$2015,$B42,'август 2024'!$J$4:$J$2015,AH$1)</f>
        <v>0</v>
      </c>
      <c r="AI42" s="21">
        <f t="shared" si="1"/>
        <v>0</v>
      </c>
    </row>
    <row r="43" spans="2:35" ht="15" customHeight="1" x14ac:dyDescent="0.25">
      <c r="B43" s="154" t="s">
        <v>468</v>
      </c>
      <c r="C43" s="170">
        <v>25</v>
      </c>
      <c r="D43" s="80">
        <f>SUMIFS('август 2024'!$G$4:$G$2015,'август 2024'!$D$4:$D$2015,$B43,'август 2024'!$J$4:$J$2015,D$1)</f>
        <v>0</v>
      </c>
      <c r="E43" s="80">
        <f>SUMIFS('август 2024'!$G$4:$G$2015,'август 2024'!$D$4:$D$2015,$B43,'август 2024'!$J$4:$J$2015,E$1)</f>
        <v>0</v>
      </c>
      <c r="F43" s="80">
        <f>SUMIFS('август 2024'!$G$4:$G$2015,'август 2024'!$D$4:$D$2015,$B43,'август 2024'!$J$4:$J$2015,F$1)</f>
        <v>0</v>
      </c>
      <c r="G43" s="80">
        <f>SUMIFS('август 2024'!$G$4:$G$2015,'август 2024'!$D$4:$D$2015,$B43,'август 2024'!$J$4:$J$2015,G$1)</f>
        <v>0</v>
      </c>
      <c r="H43" s="80">
        <f>SUMIFS('август 2024'!$G$4:$G$2015,'август 2024'!$D$4:$D$2015,$B43,'август 2024'!$J$4:$J$2015,H$1)</f>
        <v>0</v>
      </c>
      <c r="I43" s="80">
        <f>SUMIFS('август 2024'!$G$4:$G$2015,'август 2024'!$D$4:$D$2015,$B43,'август 2024'!$J$4:$J$2015,I$1)</f>
        <v>0</v>
      </c>
      <c r="J43" s="80">
        <f>SUMIFS('август 2024'!$G$4:$G$2015,'август 2024'!$D$4:$D$2015,$B43,'август 2024'!$J$4:$J$2015,J$1)</f>
        <v>0</v>
      </c>
      <c r="K43" s="80">
        <f>SUMIFS('август 2024'!$G$4:$G$2015,'август 2024'!$D$4:$D$2015,$B43,'август 2024'!$J$4:$J$2015,K$1)</f>
        <v>0</v>
      </c>
      <c r="L43" s="80">
        <f>SUMIFS('август 2024'!$G$4:$G$2015,'август 2024'!$D$4:$D$2015,$B43,'август 2024'!$J$4:$J$2015,L$1)</f>
        <v>0</v>
      </c>
      <c r="M43" s="80">
        <f>SUMIFS('август 2024'!$G$4:$G$2015,'август 2024'!$D$4:$D$2015,$B43,'август 2024'!$J$4:$J$2015,M$1)</f>
        <v>0</v>
      </c>
      <c r="N43" s="80">
        <f>SUMIFS('август 2024'!$G$4:$G$2015,'август 2024'!$D$4:$D$2015,$B43,'август 2024'!$J$4:$J$2015,N$1)</f>
        <v>0</v>
      </c>
      <c r="O43" s="80">
        <f>SUMIFS('август 2024'!$G$4:$G$2015,'август 2024'!$D$4:$D$2015,$B43,'август 2024'!$J$4:$J$2015,O$1)</f>
        <v>0</v>
      </c>
      <c r="P43" s="80">
        <f>SUMIFS('август 2024'!$G$4:$G$2015,'август 2024'!$D$4:$D$2015,$B43,'август 2024'!$J$4:$J$2015,P$1)</f>
        <v>0</v>
      </c>
      <c r="Q43" s="80">
        <f>SUMIFS('август 2024'!$G$4:$G$2015,'август 2024'!$D$4:$D$2015,$B43,'август 2024'!$J$4:$J$2015,Q$1)</f>
        <v>0</v>
      </c>
      <c r="R43" s="80">
        <f>SUMIFS('август 2024'!$G$4:$G$2015,'август 2024'!$D$4:$D$2015,$B43,'август 2024'!$J$4:$J$2015,R$1)</f>
        <v>0</v>
      </c>
      <c r="S43" s="80">
        <f>SUMIFS('август 2024'!$G$4:$G$2015,'август 2024'!$D$4:$D$2015,$B43,'август 2024'!$J$4:$J$2015,S$1)</f>
        <v>0</v>
      </c>
      <c r="T43" s="80">
        <f>SUMIFS('август 2024'!$G$4:$G$2015,'август 2024'!$D$4:$D$2015,$B43,'август 2024'!$J$4:$J$2015,T$1)</f>
        <v>0</v>
      </c>
      <c r="U43" s="80">
        <f>SUMIFS('август 2024'!$G$4:$G$2015,'август 2024'!$D$4:$D$2015,$B43,'август 2024'!$J$4:$J$2015,U$1)</f>
        <v>0</v>
      </c>
      <c r="V43" s="80">
        <f>SUMIFS('август 2024'!$G$4:$G$2015,'август 2024'!$D$4:$D$2015,$B43,'август 2024'!$J$4:$J$2015,V$1)</f>
        <v>0</v>
      </c>
      <c r="W43" s="80">
        <f>SUMIFS('август 2024'!$G$4:$G$2015,'август 2024'!$D$4:$D$2015,$B43,'август 2024'!$J$4:$J$2015,W$1)</f>
        <v>0</v>
      </c>
      <c r="X43" s="80">
        <f>SUMIFS('август 2024'!$G$4:$G$2015,'август 2024'!$D$4:$D$2015,$B43,'август 2024'!$J$4:$J$2015,X$1)</f>
        <v>0</v>
      </c>
      <c r="Y43" s="80">
        <f>SUMIFS('август 2024'!$G$4:$G$2015,'август 2024'!$D$4:$D$2015,$B43,'август 2024'!$J$4:$J$2015,Y$1)</f>
        <v>0</v>
      </c>
      <c r="Z43" s="80">
        <f>SUMIFS('август 2024'!$G$4:$G$2015,'август 2024'!$D$4:$D$2015,$B43,'август 2024'!$J$4:$J$2015,Z$1)</f>
        <v>0</v>
      </c>
      <c r="AA43" s="80">
        <f>SUMIFS('август 2024'!$G$4:$G$2015,'август 2024'!$D$4:$D$2015,$B43,'август 2024'!$J$4:$J$2015,AA$1)</f>
        <v>0</v>
      </c>
      <c r="AB43" s="80">
        <f>SUMIFS('август 2024'!$G$4:$G$2015,'август 2024'!$D$4:$D$2015,$B43,'август 2024'!$J$4:$J$2015,AB$1)</f>
        <v>0</v>
      </c>
      <c r="AC43" s="80">
        <f>SUMIFS('август 2024'!$G$4:$G$2015,'август 2024'!$D$4:$D$2015,$B43,'август 2024'!$J$4:$J$2015,AC$1)</f>
        <v>0</v>
      </c>
      <c r="AD43" s="80">
        <f>SUMIFS('август 2024'!$G$4:$G$2015,'август 2024'!$D$4:$D$2015,$B43,'август 2024'!$J$4:$J$2015,AD$1)</f>
        <v>0</v>
      </c>
      <c r="AE43" s="80">
        <f>SUMIFS('август 2024'!$G$4:$G$2015,'август 2024'!$D$4:$D$2015,$B43,'август 2024'!$J$4:$J$2015,AE$1)</f>
        <v>0</v>
      </c>
      <c r="AF43" s="80">
        <f>SUMIFS('август 2024'!$G$4:$G$2015,'август 2024'!$D$4:$D$2015,$B43,'август 2024'!$J$4:$J$2015,AF$1)</f>
        <v>0</v>
      </c>
      <c r="AG43" s="80">
        <f>SUMIFS('август 2024'!$G$4:$G$2015,'август 2024'!$D$4:$D$2015,$B43,'август 2024'!$J$4:$J$2015,AG$1)</f>
        <v>0</v>
      </c>
      <c r="AH43" s="80">
        <f>SUMIFS('август 2024'!$G$4:$G$2015,'август 2024'!$D$4:$D$2015,$B43,'август 2024'!$J$4:$J$2015,AH$1)</f>
        <v>0</v>
      </c>
      <c r="AI43" s="21">
        <f t="shared" si="1"/>
        <v>0</v>
      </c>
    </row>
    <row r="44" spans="2:35" ht="15" customHeight="1" x14ac:dyDescent="0.25">
      <c r="B44" s="154" t="s">
        <v>296</v>
      </c>
      <c r="C44" s="151">
        <v>25</v>
      </c>
      <c r="D44" s="80">
        <f>SUMIFS('август 2024'!$G$4:$G$2015,'август 2024'!$D$4:$D$2015,$B44,'август 2024'!$J$4:$J$2015,D$1)</f>
        <v>0</v>
      </c>
      <c r="E44" s="80">
        <f>SUMIFS('август 2024'!$G$4:$G$2015,'август 2024'!$D$4:$D$2015,$B44,'август 2024'!$J$4:$J$2015,E$1)</f>
        <v>0</v>
      </c>
      <c r="F44" s="80">
        <f>SUMIFS('август 2024'!$G$4:$G$2015,'август 2024'!$D$4:$D$2015,$B44,'август 2024'!$J$4:$J$2015,F$1)</f>
        <v>0</v>
      </c>
      <c r="G44" s="80">
        <f>SUMIFS('август 2024'!$G$4:$G$2015,'август 2024'!$D$4:$D$2015,$B44,'август 2024'!$J$4:$J$2015,G$1)</f>
        <v>0</v>
      </c>
      <c r="H44" s="80">
        <f>SUMIFS('август 2024'!$G$4:$G$2015,'август 2024'!$D$4:$D$2015,$B44,'август 2024'!$J$4:$J$2015,H$1)</f>
        <v>0</v>
      </c>
      <c r="I44" s="80">
        <f>SUMIFS('август 2024'!$G$4:$G$2015,'август 2024'!$D$4:$D$2015,$B44,'август 2024'!$J$4:$J$2015,I$1)</f>
        <v>0</v>
      </c>
      <c r="J44" s="80">
        <f>SUMIFS('август 2024'!$G$4:$G$2015,'август 2024'!$D$4:$D$2015,$B44,'август 2024'!$J$4:$J$2015,J$1)</f>
        <v>0</v>
      </c>
      <c r="K44" s="80">
        <f>SUMIFS('август 2024'!$G$4:$G$2015,'август 2024'!$D$4:$D$2015,$B44,'август 2024'!$J$4:$J$2015,K$1)</f>
        <v>0</v>
      </c>
      <c r="L44" s="80">
        <f>SUMIFS('август 2024'!$G$4:$G$2015,'август 2024'!$D$4:$D$2015,$B44,'август 2024'!$J$4:$J$2015,L$1)</f>
        <v>0</v>
      </c>
      <c r="M44" s="80">
        <f>SUMIFS('август 2024'!$G$4:$G$2015,'август 2024'!$D$4:$D$2015,$B44,'август 2024'!$J$4:$J$2015,M$1)</f>
        <v>0</v>
      </c>
      <c r="N44" s="80">
        <f>SUMIFS('август 2024'!$G$4:$G$2015,'август 2024'!$D$4:$D$2015,$B44,'август 2024'!$J$4:$J$2015,N$1)</f>
        <v>0</v>
      </c>
      <c r="O44" s="80">
        <f>SUMIFS('август 2024'!$G$4:$G$2015,'август 2024'!$D$4:$D$2015,$B44,'август 2024'!$J$4:$J$2015,O$1)</f>
        <v>0</v>
      </c>
      <c r="P44" s="80">
        <f>SUMIFS('август 2024'!$G$4:$G$2015,'август 2024'!$D$4:$D$2015,$B44,'август 2024'!$J$4:$J$2015,P$1)</f>
        <v>0</v>
      </c>
      <c r="Q44" s="80">
        <f>SUMIFS('август 2024'!$G$4:$G$2015,'август 2024'!$D$4:$D$2015,$B44,'август 2024'!$J$4:$J$2015,Q$1)</f>
        <v>0</v>
      </c>
      <c r="R44" s="80">
        <f>SUMIFS('август 2024'!$G$4:$G$2015,'август 2024'!$D$4:$D$2015,$B44,'август 2024'!$J$4:$J$2015,R$1)</f>
        <v>0</v>
      </c>
      <c r="S44" s="80">
        <f>SUMIFS('август 2024'!$G$4:$G$2015,'август 2024'!$D$4:$D$2015,$B44,'август 2024'!$J$4:$J$2015,S$1)</f>
        <v>0</v>
      </c>
      <c r="T44" s="80">
        <f>SUMIFS('август 2024'!$G$4:$G$2015,'август 2024'!$D$4:$D$2015,$B44,'август 2024'!$J$4:$J$2015,T$1)</f>
        <v>0</v>
      </c>
      <c r="U44" s="80">
        <f>SUMIFS('август 2024'!$G$4:$G$2015,'август 2024'!$D$4:$D$2015,$B44,'август 2024'!$J$4:$J$2015,U$1)</f>
        <v>0</v>
      </c>
      <c r="V44" s="80">
        <f>SUMIFS('август 2024'!$G$4:$G$2015,'август 2024'!$D$4:$D$2015,$B44,'август 2024'!$J$4:$J$2015,V$1)</f>
        <v>0</v>
      </c>
      <c r="W44" s="80">
        <f>SUMIFS('август 2024'!$G$4:$G$2015,'август 2024'!$D$4:$D$2015,$B44,'август 2024'!$J$4:$J$2015,W$1)</f>
        <v>0</v>
      </c>
      <c r="X44" s="80">
        <f>SUMIFS('август 2024'!$G$4:$G$2015,'август 2024'!$D$4:$D$2015,$B44,'август 2024'!$J$4:$J$2015,X$1)</f>
        <v>0</v>
      </c>
      <c r="Y44" s="80">
        <f>SUMIFS('август 2024'!$G$4:$G$2015,'август 2024'!$D$4:$D$2015,$B44,'август 2024'!$J$4:$J$2015,Y$1)</f>
        <v>0</v>
      </c>
      <c r="Z44" s="80">
        <f>SUMIFS('август 2024'!$G$4:$G$2015,'август 2024'!$D$4:$D$2015,$B44,'август 2024'!$J$4:$J$2015,Z$1)</f>
        <v>0</v>
      </c>
      <c r="AA44" s="80">
        <f>SUMIFS('август 2024'!$G$4:$G$2015,'август 2024'!$D$4:$D$2015,$B44,'август 2024'!$J$4:$J$2015,AA$1)</f>
        <v>0</v>
      </c>
      <c r="AB44" s="80">
        <f>SUMIFS('август 2024'!$G$4:$G$2015,'август 2024'!$D$4:$D$2015,$B44,'август 2024'!$J$4:$J$2015,AB$1)</f>
        <v>0</v>
      </c>
      <c r="AC44" s="80">
        <f>SUMIFS('август 2024'!$G$4:$G$2015,'август 2024'!$D$4:$D$2015,$B44,'август 2024'!$J$4:$J$2015,AC$1)</f>
        <v>0</v>
      </c>
      <c r="AD44" s="80">
        <f>SUMIFS('август 2024'!$G$4:$G$2015,'август 2024'!$D$4:$D$2015,$B44,'август 2024'!$J$4:$J$2015,AD$1)</f>
        <v>0</v>
      </c>
      <c r="AE44" s="80">
        <f>SUMIFS('август 2024'!$G$4:$G$2015,'август 2024'!$D$4:$D$2015,$B44,'август 2024'!$J$4:$J$2015,AE$1)</f>
        <v>0</v>
      </c>
      <c r="AF44" s="80">
        <f>SUMIFS('август 2024'!$G$4:$G$2015,'август 2024'!$D$4:$D$2015,$B44,'август 2024'!$J$4:$J$2015,AF$1)</f>
        <v>0</v>
      </c>
      <c r="AG44" s="80">
        <f>SUMIFS('август 2024'!$G$4:$G$2015,'август 2024'!$D$4:$D$2015,$B44,'август 2024'!$J$4:$J$2015,AG$1)</f>
        <v>0</v>
      </c>
      <c r="AH44" s="80">
        <f>SUMIFS('август 2024'!$G$4:$G$2015,'август 2024'!$D$4:$D$2015,$B44,'август 2024'!$J$4:$J$2015,AH$1)</f>
        <v>0</v>
      </c>
      <c r="AI44" s="21">
        <f t="shared" si="1"/>
        <v>0</v>
      </c>
    </row>
    <row r="45" spans="2:35" ht="15" customHeight="1" x14ac:dyDescent="0.25">
      <c r="B45" s="154" t="s">
        <v>298</v>
      </c>
      <c r="C45" s="151">
        <v>18</v>
      </c>
      <c r="D45" s="80">
        <f>SUMIFS('август 2024'!$G$4:$G$2015,'август 2024'!$D$4:$D$2015,$B45,'август 2024'!$J$4:$J$2015,D$1)</f>
        <v>0</v>
      </c>
      <c r="E45" s="80">
        <f>SUMIFS('август 2024'!$G$4:$G$2015,'август 2024'!$D$4:$D$2015,$B45,'август 2024'!$J$4:$J$2015,E$1)</f>
        <v>0</v>
      </c>
      <c r="F45" s="80">
        <f>SUMIFS('август 2024'!$G$4:$G$2015,'август 2024'!$D$4:$D$2015,$B45,'август 2024'!$J$4:$J$2015,F$1)</f>
        <v>0</v>
      </c>
      <c r="G45" s="80">
        <f>SUMIFS('август 2024'!$G$4:$G$2015,'август 2024'!$D$4:$D$2015,$B45,'август 2024'!$J$4:$J$2015,G$1)</f>
        <v>0</v>
      </c>
      <c r="H45" s="80">
        <f>SUMIFS('август 2024'!$G$4:$G$2015,'август 2024'!$D$4:$D$2015,$B45,'август 2024'!$J$4:$J$2015,H$1)</f>
        <v>0</v>
      </c>
      <c r="I45" s="80">
        <f>SUMIFS('август 2024'!$G$4:$G$2015,'август 2024'!$D$4:$D$2015,$B45,'август 2024'!$J$4:$J$2015,I$1)</f>
        <v>0</v>
      </c>
      <c r="J45" s="80">
        <f>SUMIFS('август 2024'!$G$4:$G$2015,'август 2024'!$D$4:$D$2015,$B45,'август 2024'!$J$4:$J$2015,J$1)</f>
        <v>0</v>
      </c>
      <c r="K45" s="80">
        <f>SUMIFS('август 2024'!$G$4:$G$2015,'август 2024'!$D$4:$D$2015,$B45,'август 2024'!$J$4:$J$2015,K$1)</f>
        <v>0</v>
      </c>
      <c r="L45" s="80">
        <f>SUMIFS('август 2024'!$G$4:$G$2015,'август 2024'!$D$4:$D$2015,$B45,'август 2024'!$J$4:$J$2015,L$1)</f>
        <v>0</v>
      </c>
      <c r="M45" s="80">
        <f>SUMIFS('август 2024'!$G$4:$G$2015,'август 2024'!$D$4:$D$2015,$B45,'август 2024'!$J$4:$J$2015,M$1)</f>
        <v>0</v>
      </c>
      <c r="N45" s="80">
        <f>SUMIFS('август 2024'!$G$4:$G$2015,'август 2024'!$D$4:$D$2015,$B45,'август 2024'!$J$4:$J$2015,N$1)</f>
        <v>0</v>
      </c>
      <c r="O45" s="80">
        <f>SUMIFS('август 2024'!$G$4:$G$2015,'август 2024'!$D$4:$D$2015,$B45,'август 2024'!$J$4:$J$2015,O$1)</f>
        <v>0</v>
      </c>
      <c r="P45" s="80">
        <f>SUMIFS('август 2024'!$G$4:$G$2015,'август 2024'!$D$4:$D$2015,$B45,'август 2024'!$J$4:$J$2015,P$1)</f>
        <v>0</v>
      </c>
      <c r="Q45" s="80">
        <f>SUMIFS('август 2024'!$G$4:$G$2015,'август 2024'!$D$4:$D$2015,$B45,'август 2024'!$J$4:$J$2015,Q$1)</f>
        <v>0</v>
      </c>
      <c r="R45" s="80">
        <f>SUMIFS('август 2024'!$G$4:$G$2015,'август 2024'!$D$4:$D$2015,$B45,'август 2024'!$J$4:$J$2015,R$1)</f>
        <v>0</v>
      </c>
      <c r="S45" s="80">
        <f>SUMIFS('август 2024'!$G$4:$G$2015,'август 2024'!$D$4:$D$2015,$B45,'август 2024'!$J$4:$J$2015,S$1)</f>
        <v>0</v>
      </c>
      <c r="T45" s="80">
        <f>SUMIFS('август 2024'!$G$4:$G$2015,'август 2024'!$D$4:$D$2015,$B45,'август 2024'!$J$4:$J$2015,T$1)</f>
        <v>0</v>
      </c>
      <c r="U45" s="80">
        <f>SUMIFS('август 2024'!$G$4:$G$2015,'август 2024'!$D$4:$D$2015,$B45,'август 2024'!$J$4:$J$2015,U$1)</f>
        <v>0</v>
      </c>
      <c r="V45" s="80">
        <f>SUMIFS('август 2024'!$G$4:$G$2015,'август 2024'!$D$4:$D$2015,$B45,'август 2024'!$J$4:$J$2015,V$1)</f>
        <v>0</v>
      </c>
      <c r="W45" s="80">
        <f>SUMIFS('август 2024'!$G$4:$G$2015,'август 2024'!$D$4:$D$2015,$B45,'август 2024'!$J$4:$J$2015,W$1)</f>
        <v>0</v>
      </c>
      <c r="X45" s="80">
        <f>SUMIFS('август 2024'!$G$4:$G$2015,'август 2024'!$D$4:$D$2015,$B45,'август 2024'!$J$4:$J$2015,X$1)</f>
        <v>0</v>
      </c>
      <c r="Y45" s="80">
        <f>SUMIFS('август 2024'!$G$4:$G$2015,'август 2024'!$D$4:$D$2015,$B45,'август 2024'!$J$4:$J$2015,Y$1)</f>
        <v>0</v>
      </c>
      <c r="Z45" s="80">
        <f>SUMIFS('август 2024'!$G$4:$G$2015,'август 2024'!$D$4:$D$2015,$B45,'август 2024'!$J$4:$J$2015,Z$1)</f>
        <v>0</v>
      </c>
      <c r="AA45" s="80">
        <f>SUMIFS('август 2024'!$G$4:$G$2015,'август 2024'!$D$4:$D$2015,$B45,'август 2024'!$J$4:$J$2015,AA$1)</f>
        <v>0</v>
      </c>
      <c r="AB45" s="80">
        <f>SUMIFS('август 2024'!$G$4:$G$2015,'август 2024'!$D$4:$D$2015,$B45,'август 2024'!$J$4:$J$2015,AB$1)</f>
        <v>0</v>
      </c>
      <c r="AC45" s="80">
        <f>SUMIFS('август 2024'!$G$4:$G$2015,'август 2024'!$D$4:$D$2015,$B45,'август 2024'!$J$4:$J$2015,AC$1)</f>
        <v>0</v>
      </c>
      <c r="AD45" s="80">
        <f>SUMIFS('август 2024'!$G$4:$G$2015,'август 2024'!$D$4:$D$2015,$B45,'август 2024'!$J$4:$J$2015,AD$1)</f>
        <v>280</v>
      </c>
      <c r="AE45" s="80">
        <f>SUMIFS('август 2024'!$G$4:$G$2015,'август 2024'!$D$4:$D$2015,$B45,'август 2024'!$J$4:$J$2015,AE$1)</f>
        <v>0</v>
      </c>
      <c r="AF45" s="80">
        <f>SUMIFS('август 2024'!$G$4:$G$2015,'август 2024'!$D$4:$D$2015,$B45,'август 2024'!$J$4:$J$2015,AF$1)</f>
        <v>0</v>
      </c>
      <c r="AG45" s="80">
        <f>SUMIFS('август 2024'!$G$4:$G$2015,'август 2024'!$D$4:$D$2015,$B45,'август 2024'!$J$4:$J$2015,AG$1)</f>
        <v>0</v>
      </c>
      <c r="AH45" s="80">
        <f>SUMIFS('август 2024'!$G$4:$G$2015,'август 2024'!$D$4:$D$2015,$B45,'август 2024'!$J$4:$J$2015,AH$1)</f>
        <v>0</v>
      </c>
      <c r="AI45" s="21">
        <f t="shared" si="1"/>
        <v>280</v>
      </c>
    </row>
    <row r="46" spans="2:35" ht="15" customHeight="1" x14ac:dyDescent="0.25">
      <c r="B46" s="154" t="s">
        <v>300</v>
      </c>
      <c r="C46" s="151">
        <v>20</v>
      </c>
      <c r="D46" s="80">
        <f>SUMIFS('август 2024'!$G$4:$G$2015,'август 2024'!$D$4:$D$2015,$B46,'август 2024'!$J$4:$J$2015,D$1)</f>
        <v>0</v>
      </c>
      <c r="E46" s="80">
        <f>SUMIFS('август 2024'!$G$4:$G$2015,'август 2024'!$D$4:$D$2015,$B46,'август 2024'!$J$4:$J$2015,E$1)</f>
        <v>0</v>
      </c>
      <c r="F46" s="80">
        <f>SUMIFS('август 2024'!$G$4:$G$2015,'август 2024'!$D$4:$D$2015,$B46,'август 2024'!$J$4:$J$2015,F$1)</f>
        <v>0</v>
      </c>
      <c r="G46" s="80">
        <f>SUMIFS('август 2024'!$G$4:$G$2015,'август 2024'!$D$4:$D$2015,$B46,'август 2024'!$J$4:$J$2015,G$1)</f>
        <v>0</v>
      </c>
      <c r="H46" s="80">
        <f>SUMIFS('август 2024'!$G$4:$G$2015,'август 2024'!$D$4:$D$2015,$B46,'август 2024'!$J$4:$J$2015,H$1)</f>
        <v>0</v>
      </c>
      <c r="I46" s="80">
        <f>SUMIFS('август 2024'!$G$4:$G$2015,'август 2024'!$D$4:$D$2015,$B46,'август 2024'!$J$4:$J$2015,I$1)</f>
        <v>0</v>
      </c>
      <c r="J46" s="80">
        <f>SUMIFS('август 2024'!$G$4:$G$2015,'август 2024'!$D$4:$D$2015,$B46,'август 2024'!$J$4:$J$2015,J$1)</f>
        <v>0</v>
      </c>
      <c r="K46" s="80">
        <f>SUMIFS('август 2024'!$G$4:$G$2015,'август 2024'!$D$4:$D$2015,$B46,'август 2024'!$J$4:$J$2015,K$1)</f>
        <v>0</v>
      </c>
      <c r="L46" s="80">
        <f>SUMIFS('август 2024'!$G$4:$G$2015,'август 2024'!$D$4:$D$2015,$B46,'август 2024'!$J$4:$J$2015,L$1)</f>
        <v>0</v>
      </c>
      <c r="M46" s="80">
        <f>SUMIFS('август 2024'!$G$4:$G$2015,'август 2024'!$D$4:$D$2015,$B46,'август 2024'!$J$4:$J$2015,M$1)</f>
        <v>0</v>
      </c>
      <c r="N46" s="80">
        <f>SUMIFS('август 2024'!$G$4:$G$2015,'август 2024'!$D$4:$D$2015,$B46,'август 2024'!$J$4:$J$2015,N$1)</f>
        <v>0</v>
      </c>
      <c r="O46" s="80">
        <f>SUMIFS('август 2024'!$G$4:$G$2015,'август 2024'!$D$4:$D$2015,$B46,'август 2024'!$J$4:$J$2015,O$1)</f>
        <v>0</v>
      </c>
      <c r="P46" s="80">
        <f>SUMIFS('август 2024'!$G$4:$G$2015,'август 2024'!$D$4:$D$2015,$B46,'август 2024'!$J$4:$J$2015,P$1)</f>
        <v>0</v>
      </c>
      <c r="Q46" s="80">
        <f>SUMIFS('август 2024'!$G$4:$G$2015,'август 2024'!$D$4:$D$2015,$B46,'август 2024'!$J$4:$J$2015,Q$1)</f>
        <v>0</v>
      </c>
      <c r="R46" s="80">
        <f>SUMIFS('август 2024'!$G$4:$G$2015,'август 2024'!$D$4:$D$2015,$B46,'август 2024'!$J$4:$J$2015,R$1)</f>
        <v>0</v>
      </c>
      <c r="S46" s="80">
        <f>SUMIFS('август 2024'!$G$4:$G$2015,'август 2024'!$D$4:$D$2015,$B46,'август 2024'!$J$4:$J$2015,S$1)</f>
        <v>0</v>
      </c>
      <c r="T46" s="80">
        <f>SUMIFS('август 2024'!$G$4:$G$2015,'август 2024'!$D$4:$D$2015,$B46,'август 2024'!$J$4:$J$2015,T$1)</f>
        <v>0</v>
      </c>
      <c r="U46" s="80">
        <f>SUMIFS('август 2024'!$G$4:$G$2015,'август 2024'!$D$4:$D$2015,$B46,'август 2024'!$J$4:$J$2015,U$1)</f>
        <v>0</v>
      </c>
      <c r="V46" s="80">
        <f>SUMIFS('август 2024'!$G$4:$G$2015,'август 2024'!$D$4:$D$2015,$B46,'август 2024'!$J$4:$J$2015,V$1)</f>
        <v>0</v>
      </c>
      <c r="W46" s="80">
        <f>SUMIFS('август 2024'!$G$4:$G$2015,'август 2024'!$D$4:$D$2015,$B46,'август 2024'!$J$4:$J$2015,W$1)</f>
        <v>0</v>
      </c>
      <c r="X46" s="80">
        <f>SUMIFS('август 2024'!$G$4:$G$2015,'август 2024'!$D$4:$D$2015,$B46,'август 2024'!$J$4:$J$2015,X$1)</f>
        <v>0</v>
      </c>
      <c r="Y46" s="80">
        <f>SUMIFS('август 2024'!$G$4:$G$2015,'август 2024'!$D$4:$D$2015,$B46,'август 2024'!$J$4:$J$2015,Y$1)</f>
        <v>0</v>
      </c>
      <c r="Z46" s="80">
        <f>SUMIFS('август 2024'!$G$4:$G$2015,'август 2024'!$D$4:$D$2015,$B46,'август 2024'!$J$4:$J$2015,Z$1)</f>
        <v>0</v>
      </c>
      <c r="AA46" s="80">
        <f>SUMIFS('август 2024'!$G$4:$G$2015,'август 2024'!$D$4:$D$2015,$B46,'август 2024'!$J$4:$J$2015,AA$1)</f>
        <v>0</v>
      </c>
      <c r="AB46" s="80">
        <f>SUMIFS('август 2024'!$G$4:$G$2015,'август 2024'!$D$4:$D$2015,$B46,'август 2024'!$J$4:$J$2015,AB$1)</f>
        <v>0</v>
      </c>
      <c r="AC46" s="80">
        <f>SUMIFS('август 2024'!$G$4:$G$2015,'август 2024'!$D$4:$D$2015,$B46,'август 2024'!$J$4:$J$2015,AC$1)</f>
        <v>0</v>
      </c>
      <c r="AD46" s="80">
        <f>SUMIFS('август 2024'!$G$4:$G$2015,'август 2024'!$D$4:$D$2015,$B46,'август 2024'!$J$4:$J$2015,AD$1)</f>
        <v>0</v>
      </c>
      <c r="AE46" s="80">
        <f>SUMIFS('август 2024'!$G$4:$G$2015,'август 2024'!$D$4:$D$2015,$B46,'август 2024'!$J$4:$J$2015,AE$1)</f>
        <v>0</v>
      </c>
      <c r="AF46" s="80">
        <f>SUMIFS('август 2024'!$G$4:$G$2015,'август 2024'!$D$4:$D$2015,$B46,'август 2024'!$J$4:$J$2015,AF$1)</f>
        <v>0</v>
      </c>
      <c r="AG46" s="80">
        <f>SUMIFS('август 2024'!$G$4:$G$2015,'август 2024'!$D$4:$D$2015,$B46,'август 2024'!$J$4:$J$2015,AG$1)</f>
        <v>0</v>
      </c>
      <c r="AH46" s="80">
        <f>SUMIFS('август 2024'!$G$4:$G$2015,'август 2024'!$D$4:$D$2015,$B46,'август 2024'!$J$4:$J$2015,AH$1)</f>
        <v>0</v>
      </c>
      <c r="AI46" s="21">
        <f t="shared" si="1"/>
        <v>0</v>
      </c>
    </row>
    <row r="47" spans="2:35" ht="15" customHeight="1" x14ac:dyDescent="0.25">
      <c r="B47" s="150" t="s">
        <v>302</v>
      </c>
      <c r="C47" s="153">
        <v>20</v>
      </c>
      <c r="D47" s="80">
        <f>SUMIFS('август 2024'!$G$4:$G$2015,'август 2024'!$D$4:$D$2015,$B47,'август 2024'!$J$4:$J$2015,D$1)</f>
        <v>0</v>
      </c>
      <c r="E47" s="80">
        <f>SUMIFS('август 2024'!$G$4:$G$2015,'август 2024'!$D$4:$D$2015,$B47,'август 2024'!$J$4:$J$2015,E$1)</f>
        <v>0</v>
      </c>
      <c r="F47" s="80">
        <f>SUMIFS('август 2024'!$G$4:$G$2015,'август 2024'!$D$4:$D$2015,$B47,'август 2024'!$J$4:$J$2015,F$1)</f>
        <v>0</v>
      </c>
      <c r="G47" s="80">
        <f>SUMIFS('август 2024'!$G$4:$G$2015,'август 2024'!$D$4:$D$2015,$B47,'август 2024'!$J$4:$J$2015,G$1)</f>
        <v>0</v>
      </c>
      <c r="H47" s="80">
        <f>SUMIFS('август 2024'!$G$4:$G$2015,'август 2024'!$D$4:$D$2015,$B47,'август 2024'!$J$4:$J$2015,H$1)</f>
        <v>0</v>
      </c>
      <c r="I47" s="80">
        <f>SUMIFS('август 2024'!$G$4:$G$2015,'август 2024'!$D$4:$D$2015,$B47,'август 2024'!$J$4:$J$2015,I$1)</f>
        <v>0</v>
      </c>
      <c r="J47" s="80">
        <f>SUMIFS('август 2024'!$G$4:$G$2015,'август 2024'!$D$4:$D$2015,$B47,'август 2024'!$J$4:$J$2015,J$1)</f>
        <v>0</v>
      </c>
      <c r="K47" s="80">
        <f>SUMIFS('август 2024'!$G$4:$G$2015,'август 2024'!$D$4:$D$2015,$B47,'август 2024'!$J$4:$J$2015,K$1)</f>
        <v>0</v>
      </c>
      <c r="L47" s="80">
        <f>SUMIFS('август 2024'!$G$4:$G$2015,'август 2024'!$D$4:$D$2015,$B47,'август 2024'!$J$4:$J$2015,L$1)</f>
        <v>0</v>
      </c>
      <c r="M47" s="80">
        <f>SUMIFS('август 2024'!$G$4:$G$2015,'август 2024'!$D$4:$D$2015,$B47,'август 2024'!$J$4:$J$2015,M$1)</f>
        <v>0</v>
      </c>
      <c r="N47" s="80">
        <f>SUMIFS('август 2024'!$G$4:$G$2015,'август 2024'!$D$4:$D$2015,$B47,'август 2024'!$J$4:$J$2015,N$1)</f>
        <v>0</v>
      </c>
      <c r="O47" s="80">
        <f>SUMIFS('август 2024'!$G$4:$G$2015,'август 2024'!$D$4:$D$2015,$B47,'август 2024'!$J$4:$J$2015,O$1)</f>
        <v>0</v>
      </c>
      <c r="P47" s="80">
        <f>SUMIFS('август 2024'!$G$4:$G$2015,'август 2024'!$D$4:$D$2015,$B47,'август 2024'!$J$4:$J$2015,P$1)</f>
        <v>0</v>
      </c>
      <c r="Q47" s="80">
        <f>SUMIFS('август 2024'!$G$4:$G$2015,'август 2024'!$D$4:$D$2015,$B47,'август 2024'!$J$4:$J$2015,Q$1)</f>
        <v>0</v>
      </c>
      <c r="R47" s="80">
        <f>SUMIFS('август 2024'!$G$4:$G$2015,'август 2024'!$D$4:$D$2015,$B47,'август 2024'!$J$4:$J$2015,R$1)</f>
        <v>0</v>
      </c>
      <c r="S47" s="80">
        <f>SUMIFS('август 2024'!$G$4:$G$2015,'август 2024'!$D$4:$D$2015,$B47,'август 2024'!$J$4:$J$2015,S$1)</f>
        <v>0</v>
      </c>
      <c r="T47" s="80">
        <f>SUMIFS('август 2024'!$G$4:$G$2015,'август 2024'!$D$4:$D$2015,$B47,'август 2024'!$J$4:$J$2015,T$1)</f>
        <v>0</v>
      </c>
      <c r="U47" s="80">
        <f>SUMIFS('август 2024'!$G$4:$G$2015,'август 2024'!$D$4:$D$2015,$B47,'август 2024'!$J$4:$J$2015,U$1)</f>
        <v>0</v>
      </c>
      <c r="V47" s="80">
        <f>SUMIFS('август 2024'!$G$4:$G$2015,'август 2024'!$D$4:$D$2015,$B47,'август 2024'!$J$4:$J$2015,V$1)</f>
        <v>0</v>
      </c>
      <c r="W47" s="80">
        <f>SUMIFS('август 2024'!$G$4:$G$2015,'август 2024'!$D$4:$D$2015,$B47,'август 2024'!$J$4:$J$2015,W$1)</f>
        <v>0</v>
      </c>
      <c r="X47" s="80">
        <f>SUMIFS('август 2024'!$G$4:$G$2015,'август 2024'!$D$4:$D$2015,$B47,'август 2024'!$J$4:$J$2015,X$1)</f>
        <v>0</v>
      </c>
      <c r="Y47" s="80">
        <f>SUMIFS('август 2024'!$G$4:$G$2015,'август 2024'!$D$4:$D$2015,$B47,'август 2024'!$J$4:$J$2015,Y$1)</f>
        <v>0</v>
      </c>
      <c r="Z47" s="80">
        <f>SUMIFS('август 2024'!$G$4:$G$2015,'август 2024'!$D$4:$D$2015,$B47,'август 2024'!$J$4:$J$2015,Z$1)</f>
        <v>0</v>
      </c>
      <c r="AA47" s="80">
        <f>SUMIFS('август 2024'!$G$4:$G$2015,'август 2024'!$D$4:$D$2015,$B47,'август 2024'!$J$4:$J$2015,AA$1)</f>
        <v>0</v>
      </c>
      <c r="AB47" s="80">
        <f>SUMIFS('август 2024'!$G$4:$G$2015,'август 2024'!$D$4:$D$2015,$B47,'август 2024'!$J$4:$J$2015,AB$1)</f>
        <v>0</v>
      </c>
      <c r="AC47" s="80">
        <f>SUMIFS('август 2024'!$G$4:$G$2015,'август 2024'!$D$4:$D$2015,$B47,'август 2024'!$J$4:$J$2015,AC$1)</f>
        <v>0</v>
      </c>
      <c r="AD47" s="80">
        <f>SUMIFS('август 2024'!$G$4:$G$2015,'август 2024'!$D$4:$D$2015,$B47,'август 2024'!$J$4:$J$2015,AD$1)</f>
        <v>0</v>
      </c>
      <c r="AE47" s="80">
        <f>SUMIFS('август 2024'!$G$4:$G$2015,'август 2024'!$D$4:$D$2015,$B47,'август 2024'!$J$4:$J$2015,AE$1)</f>
        <v>0</v>
      </c>
      <c r="AF47" s="80">
        <f>SUMIFS('август 2024'!$G$4:$G$2015,'август 2024'!$D$4:$D$2015,$B47,'август 2024'!$J$4:$J$2015,AF$1)</f>
        <v>0</v>
      </c>
      <c r="AG47" s="80">
        <f>SUMIFS('август 2024'!$G$4:$G$2015,'август 2024'!$D$4:$D$2015,$B47,'август 2024'!$J$4:$J$2015,AG$1)</f>
        <v>0</v>
      </c>
      <c r="AH47" s="80">
        <f>SUMIFS('август 2024'!$G$4:$G$2015,'август 2024'!$D$4:$D$2015,$B47,'август 2024'!$J$4:$J$2015,AH$1)</f>
        <v>0</v>
      </c>
      <c r="AI47" s="21">
        <f t="shared" si="1"/>
        <v>0</v>
      </c>
    </row>
    <row r="48" spans="2:35" ht="15" customHeight="1" x14ac:dyDescent="0.25">
      <c r="B48" s="150" t="s">
        <v>304</v>
      </c>
      <c r="C48" s="149">
        <v>20</v>
      </c>
      <c r="D48" s="80">
        <f>SUMIFS('август 2024'!$G$4:$G$2015,'август 2024'!$D$4:$D$2015,$B48,'август 2024'!$J$4:$J$2015,D$1)</f>
        <v>0</v>
      </c>
      <c r="E48" s="80">
        <f>SUMIFS('август 2024'!$G$4:$G$2015,'август 2024'!$D$4:$D$2015,$B48,'август 2024'!$J$4:$J$2015,E$1)</f>
        <v>0</v>
      </c>
      <c r="F48" s="80">
        <f>SUMIFS('август 2024'!$G$4:$G$2015,'август 2024'!$D$4:$D$2015,$B48,'август 2024'!$J$4:$J$2015,F$1)</f>
        <v>0</v>
      </c>
      <c r="G48" s="80">
        <f>SUMIFS('август 2024'!$G$4:$G$2015,'август 2024'!$D$4:$D$2015,$B48,'август 2024'!$J$4:$J$2015,G$1)</f>
        <v>0</v>
      </c>
      <c r="H48" s="80">
        <f>SUMIFS('август 2024'!$G$4:$G$2015,'август 2024'!$D$4:$D$2015,$B48,'август 2024'!$J$4:$J$2015,H$1)</f>
        <v>0</v>
      </c>
      <c r="I48" s="80">
        <f>SUMIFS('август 2024'!$G$4:$G$2015,'август 2024'!$D$4:$D$2015,$B48,'август 2024'!$J$4:$J$2015,I$1)</f>
        <v>0</v>
      </c>
      <c r="J48" s="80">
        <f>SUMIFS('август 2024'!$G$4:$G$2015,'август 2024'!$D$4:$D$2015,$B48,'август 2024'!$J$4:$J$2015,J$1)</f>
        <v>0</v>
      </c>
      <c r="K48" s="80">
        <f>SUMIFS('август 2024'!$G$4:$G$2015,'август 2024'!$D$4:$D$2015,$B48,'август 2024'!$J$4:$J$2015,K$1)</f>
        <v>0</v>
      </c>
      <c r="L48" s="80">
        <f>SUMIFS('август 2024'!$G$4:$G$2015,'август 2024'!$D$4:$D$2015,$B48,'август 2024'!$J$4:$J$2015,L$1)</f>
        <v>0</v>
      </c>
      <c r="M48" s="80">
        <f>SUMIFS('август 2024'!$G$4:$G$2015,'август 2024'!$D$4:$D$2015,$B48,'август 2024'!$J$4:$J$2015,M$1)</f>
        <v>0</v>
      </c>
      <c r="N48" s="80">
        <f>SUMIFS('август 2024'!$G$4:$G$2015,'август 2024'!$D$4:$D$2015,$B48,'август 2024'!$J$4:$J$2015,N$1)</f>
        <v>0</v>
      </c>
      <c r="O48" s="80">
        <f>SUMIFS('август 2024'!$G$4:$G$2015,'август 2024'!$D$4:$D$2015,$B48,'август 2024'!$J$4:$J$2015,O$1)</f>
        <v>0</v>
      </c>
      <c r="P48" s="80">
        <f>SUMIFS('август 2024'!$G$4:$G$2015,'август 2024'!$D$4:$D$2015,$B48,'август 2024'!$J$4:$J$2015,P$1)</f>
        <v>0</v>
      </c>
      <c r="Q48" s="80">
        <f>SUMIFS('август 2024'!$G$4:$G$2015,'август 2024'!$D$4:$D$2015,$B48,'август 2024'!$J$4:$J$2015,Q$1)</f>
        <v>0</v>
      </c>
      <c r="R48" s="80">
        <f>SUMIFS('август 2024'!$G$4:$G$2015,'август 2024'!$D$4:$D$2015,$B48,'август 2024'!$J$4:$J$2015,R$1)</f>
        <v>0</v>
      </c>
      <c r="S48" s="80">
        <f>SUMIFS('август 2024'!$G$4:$G$2015,'август 2024'!$D$4:$D$2015,$B48,'август 2024'!$J$4:$J$2015,S$1)</f>
        <v>0</v>
      </c>
      <c r="T48" s="80">
        <f>SUMIFS('август 2024'!$G$4:$G$2015,'август 2024'!$D$4:$D$2015,$B48,'август 2024'!$J$4:$J$2015,T$1)</f>
        <v>0</v>
      </c>
      <c r="U48" s="80">
        <f>SUMIFS('август 2024'!$G$4:$G$2015,'август 2024'!$D$4:$D$2015,$B48,'август 2024'!$J$4:$J$2015,U$1)</f>
        <v>0</v>
      </c>
      <c r="V48" s="80">
        <f>SUMIFS('август 2024'!$G$4:$G$2015,'август 2024'!$D$4:$D$2015,$B48,'август 2024'!$J$4:$J$2015,V$1)</f>
        <v>0</v>
      </c>
      <c r="W48" s="80">
        <f>SUMIFS('август 2024'!$G$4:$G$2015,'август 2024'!$D$4:$D$2015,$B48,'август 2024'!$J$4:$J$2015,W$1)</f>
        <v>0</v>
      </c>
      <c r="X48" s="80">
        <f>SUMIFS('август 2024'!$G$4:$G$2015,'август 2024'!$D$4:$D$2015,$B48,'август 2024'!$J$4:$J$2015,X$1)</f>
        <v>0</v>
      </c>
      <c r="Y48" s="80">
        <f>SUMIFS('август 2024'!$G$4:$G$2015,'август 2024'!$D$4:$D$2015,$B48,'август 2024'!$J$4:$J$2015,Y$1)</f>
        <v>0</v>
      </c>
      <c r="Z48" s="80">
        <f>SUMIFS('август 2024'!$G$4:$G$2015,'август 2024'!$D$4:$D$2015,$B48,'август 2024'!$J$4:$J$2015,Z$1)</f>
        <v>0</v>
      </c>
      <c r="AA48" s="80">
        <f>SUMIFS('август 2024'!$G$4:$G$2015,'август 2024'!$D$4:$D$2015,$B48,'август 2024'!$J$4:$J$2015,AA$1)</f>
        <v>0</v>
      </c>
      <c r="AB48" s="80">
        <f>SUMIFS('август 2024'!$G$4:$G$2015,'август 2024'!$D$4:$D$2015,$B48,'август 2024'!$J$4:$J$2015,AB$1)</f>
        <v>0</v>
      </c>
      <c r="AC48" s="80">
        <f>SUMIFS('август 2024'!$G$4:$G$2015,'август 2024'!$D$4:$D$2015,$B48,'август 2024'!$J$4:$J$2015,AC$1)</f>
        <v>0</v>
      </c>
      <c r="AD48" s="80">
        <f>SUMIFS('август 2024'!$G$4:$G$2015,'август 2024'!$D$4:$D$2015,$B48,'август 2024'!$J$4:$J$2015,AD$1)</f>
        <v>0</v>
      </c>
      <c r="AE48" s="80">
        <f>SUMIFS('август 2024'!$G$4:$G$2015,'август 2024'!$D$4:$D$2015,$B48,'август 2024'!$J$4:$J$2015,AE$1)</f>
        <v>0</v>
      </c>
      <c r="AF48" s="80">
        <f>SUMIFS('август 2024'!$G$4:$G$2015,'август 2024'!$D$4:$D$2015,$B48,'август 2024'!$J$4:$J$2015,AF$1)</f>
        <v>0</v>
      </c>
      <c r="AG48" s="80">
        <f>SUMIFS('август 2024'!$G$4:$G$2015,'август 2024'!$D$4:$D$2015,$B48,'август 2024'!$J$4:$J$2015,AG$1)</f>
        <v>0</v>
      </c>
      <c r="AH48" s="80">
        <f>SUMIFS('август 2024'!$G$4:$G$2015,'август 2024'!$D$4:$D$2015,$B48,'август 2024'!$J$4:$J$2015,AH$1)</f>
        <v>0</v>
      </c>
      <c r="AI48" s="21">
        <f t="shared" si="1"/>
        <v>0</v>
      </c>
    </row>
    <row r="49" spans="2:35" ht="15" customHeight="1" x14ac:dyDescent="0.25">
      <c r="B49" s="150" t="s">
        <v>306</v>
      </c>
      <c r="C49" s="151">
        <v>20</v>
      </c>
      <c r="D49" s="80">
        <f>SUMIFS('август 2024'!$G$4:$G$2015,'август 2024'!$D$4:$D$2015,$B49,'август 2024'!$J$4:$J$2015,D$1)</f>
        <v>0</v>
      </c>
      <c r="E49" s="80">
        <f>SUMIFS('август 2024'!$G$4:$G$2015,'август 2024'!$D$4:$D$2015,$B49,'август 2024'!$J$4:$J$2015,E$1)</f>
        <v>0</v>
      </c>
      <c r="F49" s="80">
        <f>SUMIFS('август 2024'!$G$4:$G$2015,'август 2024'!$D$4:$D$2015,$B49,'август 2024'!$J$4:$J$2015,F$1)</f>
        <v>0</v>
      </c>
      <c r="G49" s="80">
        <f>SUMIFS('август 2024'!$G$4:$G$2015,'август 2024'!$D$4:$D$2015,$B49,'август 2024'!$J$4:$J$2015,G$1)</f>
        <v>0</v>
      </c>
      <c r="H49" s="80">
        <f>SUMIFS('август 2024'!$G$4:$G$2015,'август 2024'!$D$4:$D$2015,$B49,'август 2024'!$J$4:$J$2015,H$1)</f>
        <v>0</v>
      </c>
      <c r="I49" s="80">
        <f>SUMIFS('август 2024'!$G$4:$G$2015,'август 2024'!$D$4:$D$2015,$B49,'август 2024'!$J$4:$J$2015,I$1)</f>
        <v>0</v>
      </c>
      <c r="J49" s="80">
        <f>SUMIFS('август 2024'!$G$4:$G$2015,'август 2024'!$D$4:$D$2015,$B49,'август 2024'!$J$4:$J$2015,J$1)</f>
        <v>0</v>
      </c>
      <c r="K49" s="80">
        <f>SUMIFS('август 2024'!$G$4:$G$2015,'август 2024'!$D$4:$D$2015,$B49,'август 2024'!$J$4:$J$2015,K$1)</f>
        <v>0</v>
      </c>
      <c r="L49" s="80">
        <f>SUMIFS('август 2024'!$G$4:$G$2015,'август 2024'!$D$4:$D$2015,$B49,'август 2024'!$J$4:$J$2015,L$1)</f>
        <v>0</v>
      </c>
      <c r="M49" s="80">
        <f>SUMIFS('август 2024'!$G$4:$G$2015,'август 2024'!$D$4:$D$2015,$B49,'август 2024'!$J$4:$J$2015,M$1)</f>
        <v>0</v>
      </c>
      <c r="N49" s="80">
        <f>SUMIFS('август 2024'!$G$4:$G$2015,'август 2024'!$D$4:$D$2015,$B49,'август 2024'!$J$4:$J$2015,N$1)</f>
        <v>0</v>
      </c>
      <c r="O49" s="80">
        <f>SUMIFS('август 2024'!$G$4:$G$2015,'август 2024'!$D$4:$D$2015,$B49,'август 2024'!$J$4:$J$2015,O$1)</f>
        <v>0</v>
      </c>
      <c r="P49" s="80">
        <f>SUMIFS('август 2024'!$G$4:$G$2015,'август 2024'!$D$4:$D$2015,$B49,'август 2024'!$J$4:$J$2015,P$1)</f>
        <v>0</v>
      </c>
      <c r="Q49" s="80">
        <f>SUMIFS('август 2024'!$G$4:$G$2015,'август 2024'!$D$4:$D$2015,$B49,'август 2024'!$J$4:$J$2015,Q$1)</f>
        <v>0</v>
      </c>
      <c r="R49" s="80">
        <f>SUMIFS('август 2024'!$G$4:$G$2015,'август 2024'!$D$4:$D$2015,$B49,'август 2024'!$J$4:$J$2015,R$1)</f>
        <v>0</v>
      </c>
      <c r="S49" s="80">
        <f>SUMIFS('август 2024'!$G$4:$G$2015,'август 2024'!$D$4:$D$2015,$B49,'август 2024'!$J$4:$J$2015,S$1)</f>
        <v>0</v>
      </c>
      <c r="T49" s="80">
        <f>SUMIFS('август 2024'!$G$4:$G$2015,'август 2024'!$D$4:$D$2015,$B49,'август 2024'!$J$4:$J$2015,T$1)</f>
        <v>0</v>
      </c>
      <c r="U49" s="80">
        <f>SUMIFS('август 2024'!$G$4:$G$2015,'август 2024'!$D$4:$D$2015,$B49,'август 2024'!$J$4:$J$2015,U$1)</f>
        <v>0</v>
      </c>
      <c r="V49" s="80">
        <f>SUMIFS('август 2024'!$G$4:$G$2015,'август 2024'!$D$4:$D$2015,$B49,'август 2024'!$J$4:$J$2015,V$1)</f>
        <v>0</v>
      </c>
      <c r="W49" s="80">
        <f>SUMIFS('август 2024'!$G$4:$G$2015,'август 2024'!$D$4:$D$2015,$B49,'август 2024'!$J$4:$J$2015,W$1)</f>
        <v>0</v>
      </c>
      <c r="X49" s="80">
        <f>SUMIFS('август 2024'!$G$4:$G$2015,'август 2024'!$D$4:$D$2015,$B49,'август 2024'!$J$4:$J$2015,X$1)</f>
        <v>0</v>
      </c>
      <c r="Y49" s="80">
        <f>SUMIFS('август 2024'!$G$4:$G$2015,'август 2024'!$D$4:$D$2015,$B49,'август 2024'!$J$4:$J$2015,Y$1)</f>
        <v>0</v>
      </c>
      <c r="Z49" s="80">
        <f>SUMIFS('август 2024'!$G$4:$G$2015,'август 2024'!$D$4:$D$2015,$B49,'август 2024'!$J$4:$J$2015,Z$1)</f>
        <v>0</v>
      </c>
      <c r="AA49" s="80">
        <f>SUMIFS('август 2024'!$G$4:$G$2015,'август 2024'!$D$4:$D$2015,$B49,'август 2024'!$J$4:$J$2015,AA$1)</f>
        <v>0</v>
      </c>
      <c r="AB49" s="80">
        <f>SUMIFS('август 2024'!$G$4:$G$2015,'август 2024'!$D$4:$D$2015,$B49,'август 2024'!$J$4:$J$2015,AB$1)</f>
        <v>0</v>
      </c>
      <c r="AC49" s="80">
        <f>SUMIFS('август 2024'!$G$4:$G$2015,'август 2024'!$D$4:$D$2015,$B49,'август 2024'!$J$4:$J$2015,AC$1)</f>
        <v>0</v>
      </c>
      <c r="AD49" s="80">
        <f>SUMIFS('август 2024'!$G$4:$G$2015,'август 2024'!$D$4:$D$2015,$B49,'август 2024'!$J$4:$J$2015,AD$1)</f>
        <v>0</v>
      </c>
      <c r="AE49" s="80">
        <f>SUMIFS('август 2024'!$G$4:$G$2015,'август 2024'!$D$4:$D$2015,$B49,'август 2024'!$J$4:$J$2015,AE$1)</f>
        <v>0</v>
      </c>
      <c r="AF49" s="80">
        <f>SUMIFS('август 2024'!$G$4:$G$2015,'август 2024'!$D$4:$D$2015,$B49,'август 2024'!$J$4:$J$2015,AF$1)</f>
        <v>0</v>
      </c>
      <c r="AG49" s="80">
        <f>SUMIFS('август 2024'!$G$4:$G$2015,'август 2024'!$D$4:$D$2015,$B49,'август 2024'!$J$4:$J$2015,AG$1)</f>
        <v>0</v>
      </c>
      <c r="AH49" s="80">
        <f>SUMIFS('август 2024'!$G$4:$G$2015,'август 2024'!$D$4:$D$2015,$B49,'август 2024'!$J$4:$J$2015,AH$1)</f>
        <v>0</v>
      </c>
      <c r="AI49" s="21">
        <f t="shared" si="1"/>
        <v>0</v>
      </c>
    </row>
    <row r="50" spans="2:35" ht="15" customHeight="1" x14ac:dyDescent="0.25">
      <c r="B50" s="150" t="s">
        <v>308</v>
      </c>
      <c r="C50" s="151">
        <v>14</v>
      </c>
      <c r="D50" s="80">
        <f>SUMIFS('август 2024'!$G$4:$G$2015,'август 2024'!$D$4:$D$2015,$B50,'август 2024'!$J$4:$J$2015,D$1)</f>
        <v>0</v>
      </c>
      <c r="E50" s="80">
        <f>SUMIFS('август 2024'!$G$4:$G$2015,'август 2024'!$D$4:$D$2015,$B50,'август 2024'!$J$4:$J$2015,E$1)</f>
        <v>0</v>
      </c>
      <c r="F50" s="80">
        <f>SUMIFS('август 2024'!$G$4:$G$2015,'август 2024'!$D$4:$D$2015,$B50,'август 2024'!$J$4:$J$2015,F$1)</f>
        <v>0</v>
      </c>
      <c r="G50" s="80">
        <f>SUMIFS('август 2024'!$G$4:$G$2015,'август 2024'!$D$4:$D$2015,$B50,'август 2024'!$J$4:$J$2015,G$1)</f>
        <v>0</v>
      </c>
      <c r="H50" s="80">
        <f>SUMIFS('август 2024'!$G$4:$G$2015,'август 2024'!$D$4:$D$2015,$B50,'август 2024'!$J$4:$J$2015,H$1)</f>
        <v>0</v>
      </c>
      <c r="I50" s="80">
        <f>SUMIFS('август 2024'!$G$4:$G$2015,'август 2024'!$D$4:$D$2015,$B50,'август 2024'!$J$4:$J$2015,I$1)</f>
        <v>0</v>
      </c>
      <c r="J50" s="80">
        <f>SUMIFS('август 2024'!$G$4:$G$2015,'август 2024'!$D$4:$D$2015,$B50,'август 2024'!$J$4:$J$2015,J$1)</f>
        <v>0</v>
      </c>
      <c r="K50" s="80">
        <f>SUMIFS('август 2024'!$G$4:$G$2015,'август 2024'!$D$4:$D$2015,$B50,'август 2024'!$J$4:$J$2015,K$1)</f>
        <v>0</v>
      </c>
      <c r="L50" s="80">
        <f>SUMIFS('август 2024'!$G$4:$G$2015,'август 2024'!$D$4:$D$2015,$B50,'август 2024'!$J$4:$J$2015,L$1)</f>
        <v>0</v>
      </c>
      <c r="M50" s="80">
        <f>SUMIFS('август 2024'!$G$4:$G$2015,'август 2024'!$D$4:$D$2015,$B50,'август 2024'!$J$4:$J$2015,M$1)</f>
        <v>0</v>
      </c>
      <c r="N50" s="80">
        <f>SUMIFS('август 2024'!$G$4:$G$2015,'август 2024'!$D$4:$D$2015,$B50,'август 2024'!$J$4:$J$2015,N$1)</f>
        <v>0</v>
      </c>
      <c r="O50" s="80">
        <f>SUMIFS('август 2024'!$G$4:$G$2015,'август 2024'!$D$4:$D$2015,$B50,'август 2024'!$J$4:$J$2015,O$1)</f>
        <v>0</v>
      </c>
      <c r="P50" s="80">
        <f>SUMIFS('август 2024'!$G$4:$G$2015,'август 2024'!$D$4:$D$2015,$B50,'август 2024'!$J$4:$J$2015,P$1)</f>
        <v>0</v>
      </c>
      <c r="Q50" s="80">
        <f>SUMIFS('август 2024'!$G$4:$G$2015,'август 2024'!$D$4:$D$2015,$B50,'август 2024'!$J$4:$J$2015,Q$1)</f>
        <v>0</v>
      </c>
      <c r="R50" s="80">
        <f>SUMIFS('август 2024'!$G$4:$G$2015,'август 2024'!$D$4:$D$2015,$B50,'август 2024'!$J$4:$J$2015,R$1)</f>
        <v>0</v>
      </c>
      <c r="S50" s="80">
        <f>SUMIFS('август 2024'!$G$4:$G$2015,'август 2024'!$D$4:$D$2015,$B50,'август 2024'!$J$4:$J$2015,S$1)</f>
        <v>0</v>
      </c>
      <c r="T50" s="80">
        <f>SUMIFS('август 2024'!$G$4:$G$2015,'август 2024'!$D$4:$D$2015,$B50,'август 2024'!$J$4:$J$2015,T$1)</f>
        <v>0</v>
      </c>
      <c r="U50" s="80">
        <f>SUMIFS('август 2024'!$G$4:$G$2015,'август 2024'!$D$4:$D$2015,$B50,'август 2024'!$J$4:$J$2015,U$1)</f>
        <v>0</v>
      </c>
      <c r="V50" s="80">
        <f>SUMIFS('август 2024'!$G$4:$G$2015,'август 2024'!$D$4:$D$2015,$B50,'август 2024'!$J$4:$J$2015,V$1)</f>
        <v>0</v>
      </c>
      <c r="W50" s="80">
        <f>SUMIFS('август 2024'!$G$4:$G$2015,'август 2024'!$D$4:$D$2015,$B50,'август 2024'!$J$4:$J$2015,W$1)</f>
        <v>0</v>
      </c>
      <c r="X50" s="80">
        <f>SUMIFS('август 2024'!$G$4:$G$2015,'август 2024'!$D$4:$D$2015,$B50,'август 2024'!$J$4:$J$2015,X$1)</f>
        <v>0</v>
      </c>
      <c r="Y50" s="80">
        <f>SUMIFS('август 2024'!$G$4:$G$2015,'август 2024'!$D$4:$D$2015,$B50,'август 2024'!$J$4:$J$2015,Y$1)</f>
        <v>0</v>
      </c>
      <c r="Z50" s="80">
        <f>SUMIFS('август 2024'!$G$4:$G$2015,'август 2024'!$D$4:$D$2015,$B50,'август 2024'!$J$4:$J$2015,Z$1)</f>
        <v>0</v>
      </c>
      <c r="AA50" s="80">
        <f>SUMIFS('август 2024'!$G$4:$G$2015,'август 2024'!$D$4:$D$2015,$B50,'август 2024'!$J$4:$J$2015,AA$1)</f>
        <v>0</v>
      </c>
      <c r="AB50" s="80">
        <f>SUMIFS('август 2024'!$G$4:$G$2015,'август 2024'!$D$4:$D$2015,$B50,'август 2024'!$J$4:$J$2015,AB$1)</f>
        <v>0</v>
      </c>
      <c r="AC50" s="80">
        <f>SUMIFS('август 2024'!$G$4:$G$2015,'август 2024'!$D$4:$D$2015,$B50,'август 2024'!$J$4:$J$2015,AC$1)</f>
        <v>0</v>
      </c>
      <c r="AD50" s="80">
        <f>SUMIFS('август 2024'!$G$4:$G$2015,'август 2024'!$D$4:$D$2015,$B50,'август 2024'!$J$4:$J$2015,AD$1)</f>
        <v>0</v>
      </c>
      <c r="AE50" s="80">
        <f>SUMIFS('август 2024'!$G$4:$G$2015,'август 2024'!$D$4:$D$2015,$B50,'август 2024'!$J$4:$J$2015,AE$1)</f>
        <v>0</v>
      </c>
      <c r="AF50" s="80">
        <f>SUMIFS('август 2024'!$G$4:$G$2015,'август 2024'!$D$4:$D$2015,$B50,'август 2024'!$J$4:$J$2015,AF$1)</f>
        <v>0</v>
      </c>
      <c r="AG50" s="80">
        <f>SUMIFS('август 2024'!$G$4:$G$2015,'август 2024'!$D$4:$D$2015,$B50,'август 2024'!$J$4:$J$2015,AG$1)</f>
        <v>0</v>
      </c>
      <c r="AH50" s="80">
        <f>SUMIFS('август 2024'!$G$4:$G$2015,'август 2024'!$D$4:$D$2015,$B50,'август 2024'!$J$4:$J$2015,AH$1)</f>
        <v>0</v>
      </c>
      <c r="AI50" s="21">
        <f t="shared" si="1"/>
        <v>0</v>
      </c>
    </row>
    <row r="51" spans="2:35" ht="15" customHeight="1" x14ac:dyDescent="0.25">
      <c r="B51" s="150" t="s">
        <v>310</v>
      </c>
      <c r="C51" s="151">
        <v>25</v>
      </c>
      <c r="D51" s="80">
        <f>SUMIFS('август 2024'!$G$4:$G$2015,'август 2024'!$D$4:$D$2015,$B51,'август 2024'!$J$4:$J$2015,D$1)</f>
        <v>0</v>
      </c>
      <c r="E51" s="80">
        <f>SUMIFS('август 2024'!$G$4:$G$2015,'август 2024'!$D$4:$D$2015,$B51,'август 2024'!$J$4:$J$2015,E$1)</f>
        <v>0</v>
      </c>
      <c r="F51" s="80">
        <f>SUMIFS('август 2024'!$G$4:$G$2015,'август 2024'!$D$4:$D$2015,$B51,'август 2024'!$J$4:$J$2015,F$1)</f>
        <v>0</v>
      </c>
      <c r="G51" s="80">
        <f>SUMIFS('август 2024'!$G$4:$G$2015,'август 2024'!$D$4:$D$2015,$B51,'август 2024'!$J$4:$J$2015,G$1)</f>
        <v>0</v>
      </c>
      <c r="H51" s="80">
        <f>SUMIFS('август 2024'!$G$4:$G$2015,'август 2024'!$D$4:$D$2015,$B51,'август 2024'!$J$4:$J$2015,H$1)</f>
        <v>0</v>
      </c>
      <c r="I51" s="80">
        <f>SUMIFS('август 2024'!$G$4:$G$2015,'август 2024'!$D$4:$D$2015,$B51,'август 2024'!$J$4:$J$2015,I$1)</f>
        <v>0</v>
      </c>
      <c r="J51" s="80">
        <f>SUMIFS('август 2024'!$G$4:$G$2015,'август 2024'!$D$4:$D$2015,$B51,'август 2024'!$J$4:$J$2015,J$1)</f>
        <v>0</v>
      </c>
      <c r="K51" s="80">
        <f>SUMIFS('август 2024'!$G$4:$G$2015,'август 2024'!$D$4:$D$2015,$B51,'август 2024'!$J$4:$J$2015,K$1)</f>
        <v>0</v>
      </c>
      <c r="L51" s="80">
        <f>SUMIFS('август 2024'!$G$4:$G$2015,'август 2024'!$D$4:$D$2015,$B51,'август 2024'!$J$4:$J$2015,L$1)</f>
        <v>0</v>
      </c>
      <c r="M51" s="80">
        <f>SUMIFS('август 2024'!$G$4:$G$2015,'август 2024'!$D$4:$D$2015,$B51,'август 2024'!$J$4:$J$2015,M$1)</f>
        <v>0</v>
      </c>
      <c r="N51" s="80">
        <f>SUMIFS('август 2024'!$G$4:$G$2015,'август 2024'!$D$4:$D$2015,$B51,'август 2024'!$J$4:$J$2015,N$1)</f>
        <v>0</v>
      </c>
      <c r="O51" s="80">
        <f>SUMIFS('август 2024'!$G$4:$G$2015,'август 2024'!$D$4:$D$2015,$B51,'август 2024'!$J$4:$J$2015,O$1)</f>
        <v>0</v>
      </c>
      <c r="P51" s="80">
        <f>SUMIFS('август 2024'!$G$4:$G$2015,'август 2024'!$D$4:$D$2015,$B51,'август 2024'!$J$4:$J$2015,P$1)</f>
        <v>0</v>
      </c>
      <c r="Q51" s="80">
        <f>SUMIFS('август 2024'!$G$4:$G$2015,'август 2024'!$D$4:$D$2015,$B51,'август 2024'!$J$4:$J$2015,Q$1)</f>
        <v>0</v>
      </c>
      <c r="R51" s="80">
        <f>SUMIFS('август 2024'!$G$4:$G$2015,'август 2024'!$D$4:$D$2015,$B51,'август 2024'!$J$4:$J$2015,R$1)</f>
        <v>0</v>
      </c>
      <c r="S51" s="80">
        <f>SUMIFS('август 2024'!$G$4:$G$2015,'август 2024'!$D$4:$D$2015,$B51,'август 2024'!$J$4:$J$2015,S$1)</f>
        <v>0</v>
      </c>
      <c r="T51" s="80">
        <f>SUMIFS('август 2024'!$G$4:$G$2015,'август 2024'!$D$4:$D$2015,$B51,'август 2024'!$J$4:$J$2015,T$1)</f>
        <v>0</v>
      </c>
      <c r="U51" s="80">
        <f>SUMIFS('август 2024'!$G$4:$G$2015,'август 2024'!$D$4:$D$2015,$B51,'август 2024'!$J$4:$J$2015,U$1)</f>
        <v>0</v>
      </c>
      <c r="V51" s="80">
        <f>SUMIFS('август 2024'!$G$4:$G$2015,'август 2024'!$D$4:$D$2015,$B51,'август 2024'!$J$4:$J$2015,V$1)</f>
        <v>0</v>
      </c>
      <c r="W51" s="80">
        <f>SUMIFS('август 2024'!$G$4:$G$2015,'август 2024'!$D$4:$D$2015,$B51,'август 2024'!$J$4:$J$2015,W$1)</f>
        <v>0</v>
      </c>
      <c r="X51" s="80">
        <f>SUMIFS('август 2024'!$G$4:$G$2015,'август 2024'!$D$4:$D$2015,$B51,'август 2024'!$J$4:$J$2015,X$1)</f>
        <v>0</v>
      </c>
      <c r="Y51" s="80">
        <f>SUMIFS('август 2024'!$G$4:$G$2015,'август 2024'!$D$4:$D$2015,$B51,'август 2024'!$J$4:$J$2015,Y$1)</f>
        <v>0</v>
      </c>
      <c r="Z51" s="80">
        <f>SUMIFS('август 2024'!$G$4:$G$2015,'август 2024'!$D$4:$D$2015,$B51,'август 2024'!$J$4:$J$2015,Z$1)</f>
        <v>0</v>
      </c>
      <c r="AA51" s="80">
        <f>SUMIFS('август 2024'!$G$4:$G$2015,'август 2024'!$D$4:$D$2015,$B51,'август 2024'!$J$4:$J$2015,AA$1)</f>
        <v>0</v>
      </c>
      <c r="AB51" s="80">
        <f>SUMIFS('август 2024'!$G$4:$G$2015,'август 2024'!$D$4:$D$2015,$B51,'август 2024'!$J$4:$J$2015,AB$1)</f>
        <v>0</v>
      </c>
      <c r="AC51" s="80">
        <f>SUMIFS('август 2024'!$G$4:$G$2015,'август 2024'!$D$4:$D$2015,$B51,'август 2024'!$J$4:$J$2015,AC$1)</f>
        <v>0</v>
      </c>
      <c r="AD51" s="80">
        <f>SUMIFS('август 2024'!$G$4:$G$2015,'август 2024'!$D$4:$D$2015,$B51,'август 2024'!$J$4:$J$2015,AD$1)</f>
        <v>0</v>
      </c>
      <c r="AE51" s="80">
        <f>SUMIFS('август 2024'!$G$4:$G$2015,'август 2024'!$D$4:$D$2015,$B51,'август 2024'!$J$4:$J$2015,AE$1)</f>
        <v>0</v>
      </c>
      <c r="AF51" s="80">
        <f>SUMIFS('август 2024'!$G$4:$G$2015,'август 2024'!$D$4:$D$2015,$B51,'август 2024'!$J$4:$J$2015,AF$1)</f>
        <v>0</v>
      </c>
      <c r="AG51" s="80">
        <f>SUMIFS('август 2024'!$G$4:$G$2015,'август 2024'!$D$4:$D$2015,$B51,'август 2024'!$J$4:$J$2015,AG$1)</f>
        <v>0</v>
      </c>
      <c r="AH51" s="80">
        <f>SUMIFS('август 2024'!$G$4:$G$2015,'август 2024'!$D$4:$D$2015,$B51,'август 2024'!$J$4:$J$2015,AH$1)</f>
        <v>0</v>
      </c>
      <c r="AI51" s="21">
        <f t="shared" si="1"/>
        <v>0</v>
      </c>
    </row>
    <row r="52" spans="2:35" ht="15" customHeight="1" x14ac:dyDescent="0.25">
      <c r="B52" s="150" t="s">
        <v>316</v>
      </c>
      <c r="C52" s="151">
        <v>20</v>
      </c>
      <c r="D52" s="80">
        <f>SUMIFS('август 2024'!$G$4:$G$2015,'август 2024'!$D$4:$D$2015,$B52,'август 2024'!$J$4:$J$2015,D$1)</f>
        <v>0</v>
      </c>
      <c r="E52" s="80">
        <f>SUMIFS('август 2024'!$G$4:$G$2015,'август 2024'!$D$4:$D$2015,$B52,'август 2024'!$J$4:$J$2015,E$1)</f>
        <v>0</v>
      </c>
      <c r="F52" s="80">
        <f>SUMIFS('август 2024'!$G$4:$G$2015,'август 2024'!$D$4:$D$2015,$B52,'август 2024'!$J$4:$J$2015,F$1)</f>
        <v>0</v>
      </c>
      <c r="G52" s="80">
        <f>SUMIFS('август 2024'!$G$4:$G$2015,'август 2024'!$D$4:$D$2015,$B52,'август 2024'!$J$4:$J$2015,G$1)</f>
        <v>0</v>
      </c>
      <c r="H52" s="80">
        <f>SUMIFS('август 2024'!$G$4:$G$2015,'август 2024'!$D$4:$D$2015,$B52,'август 2024'!$J$4:$J$2015,H$1)</f>
        <v>0</v>
      </c>
      <c r="I52" s="80">
        <f>SUMIFS('август 2024'!$G$4:$G$2015,'август 2024'!$D$4:$D$2015,$B52,'август 2024'!$J$4:$J$2015,I$1)</f>
        <v>0</v>
      </c>
      <c r="J52" s="80">
        <f>SUMIFS('август 2024'!$G$4:$G$2015,'август 2024'!$D$4:$D$2015,$B52,'август 2024'!$J$4:$J$2015,J$1)</f>
        <v>0</v>
      </c>
      <c r="K52" s="80">
        <f>SUMIFS('август 2024'!$G$4:$G$2015,'август 2024'!$D$4:$D$2015,$B52,'август 2024'!$J$4:$J$2015,K$1)</f>
        <v>0</v>
      </c>
      <c r="L52" s="80">
        <f>SUMIFS('август 2024'!$G$4:$G$2015,'август 2024'!$D$4:$D$2015,$B52,'август 2024'!$J$4:$J$2015,L$1)</f>
        <v>0</v>
      </c>
      <c r="M52" s="80">
        <f>SUMIFS('август 2024'!$G$4:$G$2015,'август 2024'!$D$4:$D$2015,$B52,'август 2024'!$J$4:$J$2015,M$1)</f>
        <v>0</v>
      </c>
      <c r="N52" s="80">
        <f>SUMIFS('август 2024'!$G$4:$G$2015,'август 2024'!$D$4:$D$2015,$B52,'август 2024'!$J$4:$J$2015,N$1)</f>
        <v>0</v>
      </c>
      <c r="O52" s="80">
        <f>SUMIFS('август 2024'!$G$4:$G$2015,'август 2024'!$D$4:$D$2015,$B52,'август 2024'!$J$4:$J$2015,O$1)</f>
        <v>0</v>
      </c>
      <c r="P52" s="80">
        <f>SUMIFS('август 2024'!$G$4:$G$2015,'август 2024'!$D$4:$D$2015,$B52,'август 2024'!$J$4:$J$2015,P$1)</f>
        <v>0</v>
      </c>
      <c r="Q52" s="80">
        <f>SUMIFS('август 2024'!$G$4:$G$2015,'август 2024'!$D$4:$D$2015,$B52,'август 2024'!$J$4:$J$2015,Q$1)</f>
        <v>0</v>
      </c>
      <c r="R52" s="80">
        <f>SUMIFS('август 2024'!$G$4:$G$2015,'август 2024'!$D$4:$D$2015,$B52,'август 2024'!$J$4:$J$2015,R$1)</f>
        <v>0</v>
      </c>
      <c r="S52" s="80">
        <f>SUMIFS('август 2024'!$G$4:$G$2015,'август 2024'!$D$4:$D$2015,$B52,'август 2024'!$J$4:$J$2015,S$1)</f>
        <v>0</v>
      </c>
      <c r="T52" s="80">
        <f>SUMIFS('август 2024'!$G$4:$G$2015,'август 2024'!$D$4:$D$2015,$B52,'август 2024'!$J$4:$J$2015,T$1)</f>
        <v>0</v>
      </c>
      <c r="U52" s="80">
        <f>SUMIFS('август 2024'!$G$4:$G$2015,'август 2024'!$D$4:$D$2015,$B52,'август 2024'!$J$4:$J$2015,U$1)</f>
        <v>0</v>
      </c>
      <c r="V52" s="80">
        <f>SUMIFS('август 2024'!$G$4:$G$2015,'август 2024'!$D$4:$D$2015,$B52,'август 2024'!$J$4:$J$2015,V$1)</f>
        <v>0</v>
      </c>
      <c r="W52" s="80">
        <f>SUMIFS('август 2024'!$G$4:$G$2015,'август 2024'!$D$4:$D$2015,$B52,'август 2024'!$J$4:$J$2015,W$1)</f>
        <v>0</v>
      </c>
      <c r="X52" s="80">
        <f>SUMIFS('август 2024'!$G$4:$G$2015,'август 2024'!$D$4:$D$2015,$B52,'август 2024'!$J$4:$J$2015,X$1)</f>
        <v>0</v>
      </c>
      <c r="Y52" s="80">
        <f>SUMIFS('август 2024'!$G$4:$G$2015,'август 2024'!$D$4:$D$2015,$B52,'август 2024'!$J$4:$J$2015,Y$1)</f>
        <v>0</v>
      </c>
      <c r="Z52" s="80">
        <f>SUMIFS('август 2024'!$G$4:$G$2015,'август 2024'!$D$4:$D$2015,$B52,'август 2024'!$J$4:$J$2015,Z$1)</f>
        <v>0</v>
      </c>
      <c r="AA52" s="80">
        <f>SUMIFS('август 2024'!$G$4:$G$2015,'август 2024'!$D$4:$D$2015,$B52,'август 2024'!$J$4:$J$2015,AA$1)</f>
        <v>0</v>
      </c>
      <c r="AB52" s="80">
        <f>SUMIFS('август 2024'!$G$4:$G$2015,'август 2024'!$D$4:$D$2015,$B52,'август 2024'!$J$4:$J$2015,AB$1)</f>
        <v>0</v>
      </c>
      <c r="AC52" s="80">
        <f>SUMIFS('август 2024'!$G$4:$G$2015,'август 2024'!$D$4:$D$2015,$B52,'август 2024'!$J$4:$J$2015,AC$1)</f>
        <v>0</v>
      </c>
      <c r="AD52" s="80">
        <f>SUMIFS('август 2024'!$G$4:$G$2015,'август 2024'!$D$4:$D$2015,$B52,'август 2024'!$J$4:$J$2015,AD$1)</f>
        <v>0</v>
      </c>
      <c r="AE52" s="80">
        <f>SUMIFS('август 2024'!$G$4:$G$2015,'август 2024'!$D$4:$D$2015,$B52,'август 2024'!$J$4:$J$2015,AE$1)</f>
        <v>0</v>
      </c>
      <c r="AF52" s="80">
        <f>SUMIFS('август 2024'!$G$4:$G$2015,'август 2024'!$D$4:$D$2015,$B52,'август 2024'!$J$4:$J$2015,AF$1)</f>
        <v>0</v>
      </c>
      <c r="AG52" s="80">
        <f>SUMIFS('август 2024'!$G$4:$G$2015,'август 2024'!$D$4:$D$2015,$B52,'август 2024'!$J$4:$J$2015,AG$1)</f>
        <v>150</v>
      </c>
      <c r="AH52" s="80">
        <f>SUMIFS('август 2024'!$G$4:$G$2015,'август 2024'!$D$4:$D$2015,$B52,'август 2024'!$J$4:$J$2015,AH$1)</f>
        <v>0</v>
      </c>
      <c r="AI52" s="21">
        <f t="shared" si="1"/>
        <v>150</v>
      </c>
    </row>
    <row r="53" spans="2:35" ht="15" customHeight="1" x14ac:dyDescent="0.25">
      <c r="B53" s="146" t="s">
        <v>317</v>
      </c>
      <c r="C53" s="151">
        <v>20</v>
      </c>
      <c r="D53" s="80">
        <f>SUMIFS('август 2024'!$G$4:$G$2015,'август 2024'!$D$4:$D$2015,$B53,'август 2024'!$J$4:$J$2015,D$1)</f>
        <v>0</v>
      </c>
      <c r="E53" s="80">
        <f>SUMIFS('август 2024'!$G$4:$G$2015,'август 2024'!$D$4:$D$2015,$B53,'август 2024'!$J$4:$J$2015,E$1)</f>
        <v>0</v>
      </c>
      <c r="F53" s="80">
        <f>SUMIFS('август 2024'!$G$4:$G$2015,'август 2024'!$D$4:$D$2015,$B53,'август 2024'!$J$4:$J$2015,F$1)</f>
        <v>0</v>
      </c>
      <c r="G53" s="80">
        <f>SUMIFS('август 2024'!$G$4:$G$2015,'август 2024'!$D$4:$D$2015,$B53,'август 2024'!$J$4:$J$2015,G$1)</f>
        <v>0</v>
      </c>
      <c r="H53" s="80">
        <f>SUMIFS('август 2024'!$G$4:$G$2015,'август 2024'!$D$4:$D$2015,$B53,'август 2024'!$J$4:$J$2015,H$1)</f>
        <v>0</v>
      </c>
      <c r="I53" s="80">
        <f>SUMIFS('август 2024'!$G$4:$G$2015,'август 2024'!$D$4:$D$2015,$B53,'август 2024'!$J$4:$J$2015,I$1)</f>
        <v>0</v>
      </c>
      <c r="J53" s="80">
        <f>SUMIFS('август 2024'!$G$4:$G$2015,'август 2024'!$D$4:$D$2015,$B53,'август 2024'!$J$4:$J$2015,J$1)</f>
        <v>0</v>
      </c>
      <c r="K53" s="80">
        <f>SUMIFS('август 2024'!$G$4:$G$2015,'август 2024'!$D$4:$D$2015,$B53,'август 2024'!$J$4:$J$2015,K$1)</f>
        <v>0</v>
      </c>
      <c r="L53" s="80">
        <f>SUMIFS('август 2024'!$G$4:$G$2015,'август 2024'!$D$4:$D$2015,$B53,'август 2024'!$J$4:$J$2015,L$1)</f>
        <v>0</v>
      </c>
      <c r="M53" s="80">
        <f>SUMIFS('август 2024'!$G$4:$G$2015,'август 2024'!$D$4:$D$2015,$B53,'август 2024'!$J$4:$J$2015,M$1)</f>
        <v>0</v>
      </c>
      <c r="N53" s="80">
        <f>SUMIFS('август 2024'!$G$4:$G$2015,'август 2024'!$D$4:$D$2015,$B53,'август 2024'!$J$4:$J$2015,N$1)</f>
        <v>0</v>
      </c>
      <c r="O53" s="80">
        <f>SUMIFS('август 2024'!$G$4:$G$2015,'август 2024'!$D$4:$D$2015,$B53,'август 2024'!$J$4:$J$2015,O$1)</f>
        <v>0</v>
      </c>
      <c r="P53" s="80">
        <f>SUMIFS('август 2024'!$G$4:$G$2015,'август 2024'!$D$4:$D$2015,$B53,'август 2024'!$J$4:$J$2015,P$1)</f>
        <v>0</v>
      </c>
      <c r="Q53" s="80">
        <f>SUMIFS('август 2024'!$G$4:$G$2015,'август 2024'!$D$4:$D$2015,$B53,'август 2024'!$J$4:$J$2015,Q$1)</f>
        <v>0</v>
      </c>
      <c r="R53" s="80">
        <f>SUMIFS('август 2024'!$G$4:$G$2015,'август 2024'!$D$4:$D$2015,$B53,'август 2024'!$J$4:$J$2015,R$1)</f>
        <v>0</v>
      </c>
      <c r="S53" s="80">
        <f>SUMIFS('август 2024'!$G$4:$G$2015,'август 2024'!$D$4:$D$2015,$B53,'август 2024'!$J$4:$J$2015,S$1)</f>
        <v>0</v>
      </c>
      <c r="T53" s="80">
        <f>SUMIFS('август 2024'!$G$4:$G$2015,'август 2024'!$D$4:$D$2015,$B53,'август 2024'!$J$4:$J$2015,T$1)</f>
        <v>0</v>
      </c>
      <c r="U53" s="80">
        <f>SUMIFS('август 2024'!$G$4:$G$2015,'август 2024'!$D$4:$D$2015,$B53,'август 2024'!$J$4:$J$2015,U$1)</f>
        <v>0</v>
      </c>
      <c r="V53" s="80">
        <f>SUMIFS('август 2024'!$G$4:$G$2015,'август 2024'!$D$4:$D$2015,$B53,'август 2024'!$J$4:$J$2015,V$1)</f>
        <v>0</v>
      </c>
      <c r="W53" s="80">
        <f>SUMIFS('август 2024'!$G$4:$G$2015,'август 2024'!$D$4:$D$2015,$B53,'август 2024'!$J$4:$J$2015,W$1)</f>
        <v>0</v>
      </c>
      <c r="X53" s="80">
        <f>SUMIFS('август 2024'!$G$4:$G$2015,'август 2024'!$D$4:$D$2015,$B53,'август 2024'!$J$4:$J$2015,X$1)</f>
        <v>0</v>
      </c>
      <c r="Y53" s="80">
        <f>SUMIFS('август 2024'!$G$4:$G$2015,'август 2024'!$D$4:$D$2015,$B53,'август 2024'!$J$4:$J$2015,Y$1)</f>
        <v>0</v>
      </c>
      <c r="Z53" s="80">
        <f>SUMIFS('август 2024'!$G$4:$G$2015,'август 2024'!$D$4:$D$2015,$B53,'август 2024'!$J$4:$J$2015,Z$1)</f>
        <v>0</v>
      </c>
      <c r="AA53" s="80">
        <f>SUMIFS('август 2024'!$G$4:$G$2015,'август 2024'!$D$4:$D$2015,$B53,'август 2024'!$J$4:$J$2015,AA$1)</f>
        <v>0</v>
      </c>
      <c r="AB53" s="80">
        <f>SUMIFS('август 2024'!$G$4:$G$2015,'август 2024'!$D$4:$D$2015,$B53,'август 2024'!$J$4:$J$2015,AB$1)</f>
        <v>0</v>
      </c>
      <c r="AC53" s="80">
        <f>SUMIFS('август 2024'!$G$4:$G$2015,'август 2024'!$D$4:$D$2015,$B53,'август 2024'!$J$4:$J$2015,AC$1)</f>
        <v>0</v>
      </c>
      <c r="AD53" s="80">
        <f>SUMIFS('август 2024'!$G$4:$G$2015,'август 2024'!$D$4:$D$2015,$B53,'август 2024'!$J$4:$J$2015,AD$1)</f>
        <v>0</v>
      </c>
      <c r="AE53" s="80">
        <f>SUMIFS('август 2024'!$G$4:$G$2015,'август 2024'!$D$4:$D$2015,$B53,'август 2024'!$J$4:$J$2015,AE$1)</f>
        <v>0</v>
      </c>
      <c r="AF53" s="80">
        <f>SUMIFS('август 2024'!$G$4:$G$2015,'август 2024'!$D$4:$D$2015,$B53,'август 2024'!$J$4:$J$2015,AF$1)</f>
        <v>0</v>
      </c>
      <c r="AG53" s="80">
        <f>SUMIFS('август 2024'!$G$4:$G$2015,'август 2024'!$D$4:$D$2015,$B53,'август 2024'!$J$4:$J$2015,AG$1)</f>
        <v>0</v>
      </c>
      <c r="AH53" s="80">
        <f>SUMIFS('август 2024'!$G$4:$G$2015,'август 2024'!$D$4:$D$2015,$B53,'август 2024'!$J$4:$J$2015,AH$1)</f>
        <v>0</v>
      </c>
      <c r="AI53" s="21">
        <f t="shared" si="1"/>
        <v>0</v>
      </c>
    </row>
    <row r="54" spans="2:35" ht="15" customHeight="1" x14ac:dyDescent="0.25">
      <c r="B54" s="150" t="s">
        <v>318</v>
      </c>
      <c r="C54" s="151">
        <v>20</v>
      </c>
      <c r="D54" s="80">
        <f>SUMIFS('август 2024'!$G$4:$G$2015,'август 2024'!$D$4:$D$2015,$B54,'август 2024'!$J$4:$J$2015,D$1)</f>
        <v>0</v>
      </c>
      <c r="E54" s="80">
        <f>SUMIFS('август 2024'!$G$4:$G$2015,'август 2024'!$D$4:$D$2015,$B54,'август 2024'!$J$4:$J$2015,E$1)</f>
        <v>0</v>
      </c>
      <c r="F54" s="80">
        <f>SUMIFS('август 2024'!$G$4:$G$2015,'август 2024'!$D$4:$D$2015,$B54,'август 2024'!$J$4:$J$2015,F$1)</f>
        <v>0</v>
      </c>
      <c r="G54" s="80">
        <f>SUMIFS('август 2024'!$G$4:$G$2015,'август 2024'!$D$4:$D$2015,$B54,'август 2024'!$J$4:$J$2015,G$1)</f>
        <v>0</v>
      </c>
      <c r="H54" s="80">
        <f>SUMIFS('август 2024'!$G$4:$G$2015,'август 2024'!$D$4:$D$2015,$B54,'август 2024'!$J$4:$J$2015,H$1)</f>
        <v>0</v>
      </c>
      <c r="I54" s="80">
        <f>SUMIFS('август 2024'!$G$4:$G$2015,'август 2024'!$D$4:$D$2015,$B54,'август 2024'!$J$4:$J$2015,I$1)</f>
        <v>0</v>
      </c>
      <c r="J54" s="80">
        <f>SUMIFS('август 2024'!$G$4:$G$2015,'август 2024'!$D$4:$D$2015,$B54,'август 2024'!$J$4:$J$2015,J$1)</f>
        <v>0</v>
      </c>
      <c r="K54" s="80">
        <f>SUMIFS('август 2024'!$G$4:$G$2015,'август 2024'!$D$4:$D$2015,$B54,'август 2024'!$J$4:$J$2015,K$1)</f>
        <v>0</v>
      </c>
      <c r="L54" s="80">
        <f>SUMIFS('август 2024'!$G$4:$G$2015,'август 2024'!$D$4:$D$2015,$B54,'август 2024'!$J$4:$J$2015,L$1)</f>
        <v>0</v>
      </c>
      <c r="M54" s="80">
        <f>SUMIFS('август 2024'!$G$4:$G$2015,'август 2024'!$D$4:$D$2015,$B54,'август 2024'!$J$4:$J$2015,M$1)</f>
        <v>0</v>
      </c>
      <c r="N54" s="80">
        <f>SUMIFS('август 2024'!$G$4:$G$2015,'август 2024'!$D$4:$D$2015,$B54,'август 2024'!$J$4:$J$2015,N$1)</f>
        <v>0</v>
      </c>
      <c r="O54" s="80">
        <f>SUMIFS('август 2024'!$G$4:$G$2015,'август 2024'!$D$4:$D$2015,$B54,'август 2024'!$J$4:$J$2015,O$1)</f>
        <v>0</v>
      </c>
      <c r="P54" s="80">
        <f>SUMIFS('август 2024'!$G$4:$G$2015,'август 2024'!$D$4:$D$2015,$B54,'август 2024'!$J$4:$J$2015,P$1)</f>
        <v>0</v>
      </c>
      <c r="Q54" s="80">
        <f>SUMIFS('август 2024'!$G$4:$G$2015,'август 2024'!$D$4:$D$2015,$B54,'август 2024'!$J$4:$J$2015,Q$1)</f>
        <v>0</v>
      </c>
      <c r="R54" s="80">
        <f>SUMIFS('август 2024'!$G$4:$G$2015,'август 2024'!$D$4:$D$2015,$B54,'август 2024'!$J$4:$J$2015,R$1)</f>
        <v>0</v>
      </c>
      <c r="S54" s="80">
        <f>SUMIFS('август 2024'!$G$4:$G$2015,'август 2024'!$D$4:$D$2015,$B54,'август 2024'!$J$4:$J$2015,S$1)</f>
        <v>0</v>
      </c>
      <c r="T54" s="80">
        <f>SUMIFS('август 2024'!$G$4:$G$2015,'август 2024'!$D$4:$D$2015,$B54,'август 2024'!$J$4:$J$2015,T$1)</f>
        <v>0</v>
      </c>
      <c r="U54" s="80">
        <f>SUMIFS('август 2024'!$G$4:$G$2015,'август 2024'!$D$4:$D$2015,$B54,'август 2024'!$J$4:$J$2015,U$1)</f>
        <v>0</v>
      </c>
      <c r="V54" s="80">
        <f>SUMIFS('август 2024'!$G$4:$G$2015,'август 2024'!$D$4:$D$2015,$B54,'август 2024'!$J$4:$J$2015,V$1)</f>
        <v>0</v>
      </c>
      <c r="W54" s="80">
        <f>SUMIFS('август 2024'!$G$4:$G$2015,'август 2024'!$D$4:$D$2015,$B54,'август 2024'!$J$4:$J$2015,W$1)</f>
        <v>0</v>
      </c>
      <c r="X54" s="80">
        <f>SUMIFS('август 2024'!$G$4:$G$2015,'август 2024'!$D$4:$D$2015,$B54,'август 2024'!$J$4:$J$2015,X$1)</f>
        <v>0</v>
      </c>
      <c r="Y54" s="80">
        <f>SUMIFS('август 2024'!$G$4:$G$2015,'август 2024'!$D$4:$D$2015,$B54,'август 2024'!$J$4:$J$2015,Y$1)</f>
        <v>0</v>
      </c>
      <c r="Z54" s="80">
        <f>SUMIFS('август 2024'!$G$4:$G$2015,'август 2024'!$D$4:$D$2015,$B54,'август 2024'!$J$4:$J$2015,Z$1)</f>
        <v>0</v>
      </c>
      <c r="AA54" s="80">
        <f>SUMIFS('август 2024'!$G$4:$G$2015,'август 2024'!$D$4:$D$2015,$B54,'август 2024'!$J$4:$J$2015,AA$1)</f>
        <v>0</v>
      </c>
      <c r="AB54" s="80">
        <f>SUMIFS('август 2024'!$G$4:$G$2015,'август 2024'!$D$4:$D$2015,$B54,'август 2024'!$J$4:$J$2015,AB$1)</f>
        <v>0</v>
      </c>
      <c r="AC54" s="80">
        <f>SUMIFS('август 2024'!$G$4:$G$2015,'август 2024'!$D$4:$D$2015,$B54,'август 2024'!$J$4:$J$2015,AC$1)</f>
        <v>0</v>
      </c>
      <c r="AD54" s="80">
        <f>SUMIFS('август 2024'!$G$4:$G$2015,'август 2024'!$D$4:$D$2015,$B54,'август 2024'!$J$4:$J$2015,AD$1)</f>
        <v>0</v>
      </c>
      <c r="AE54" s="80">
        <f>SUMIFS('август 2024'!$G$4:$G$2015,'август 2024'!$D$4:$D$2015,$B54,'август 2024'!$J$4:$J$2015,AE$1)</f>
        <v>0</v>
      </c>
      <c r="AF54" s="80">
        <f>SUMIFS('август 2024'!$G$4:$G$2015,'август 2024'!$D$4:$D$2015,$B54,'август 2024'!$J$4:$J$2015,AF$1)</f>
        <v>0</v>
      </c>
      <c r="AG54" s="80">
        <f>SUMIFS('август 2024'!$G$4:$G$2015,'август 2024'!$D$4:$D$2015,$B54,'август 2024'!$J$4:$J$2015,AG$1)</f>
        <v>0</v>
      </c>
      <c r="AH54" s="80">
        <f>SUMIFS('август 2024'!$G$4:$G$2015,'август 2024'!$D$4:$D$2015,$B54,'август 2024'!$J$4:$J$2015,AH$1)</f>
        <v>0</v>
      </c>
      <c r="AI54" s="21">
        <f t="shared" si="1"/>
        <v>0</v>
      </c>
    </row>
    <row r="55" spans="2:35" ht="15" customHeight="1" x14ac:dyDescent="0.25">
      <c r="B55" s="150" t="s">
        <v>319</v>
      </c>
      <c r="C55" s="151">
        <v>20</v>
      </c>
      <c r="D55" s="80">
        <f>SUMIFS('август 2024'!$G$4:$G$2015,'август 2024'!$D$4:$D$2015,$B55,'август 2024'!$J$4:$J$2015,D$1)</f>
        <v>0</v>
      </c>
      <c r="E55" s="80">
        <f>SUMIFS('август 2024'!$G$4:$G$2015,'август 2024'!$D$4:$D$2015,$B55,'август 2024'!$J$4:$J$2015,E$1)</f>
        <v>0</v>
      </c>
      <c r="F55" s="80">
        <f>SUMIFS('август 2024'!$G$4:$G$2015,'август 2024'!$D$4:$D$2015,$B55,'август 2024'!$J$4:$J$2015,F$1)</f>
        <v>0</v>
      </c>
      <c r="G55" s="80">
        <f>SUMIFS('август 2024'!$G$4:$G$2015,'август 2024'!$D$4:$D$2015,$B55,'август 2024'!$J$4:$J$2015,G$1)</f>
        <v>0</v>
      </c>
      <c r="H55" s="80">
        <f>SUMIFS('август 2024'!$G$4:$G$2015,'август 2024'!$D$4:$D$2015,$B55,'август 2024'!$J$4:$J$2015,H$1)</f>
        <v>0</v>
      </c>
      <c r="I55" s="80">
        <f>SUMIFS('август 2024'!$G$4:$G$2015,'август 2024'!$D$4:$D$2015,$B55,'август 2024'!$J$4:$J$2015,I$1)</f>
        <v>0</v>
      </c>
      <c r="J55" s="80">
        <f>SUMIFS('август 2024'!$G$4:$G$2015,'август 2024'!$D$4:$D$2015,$B55,'август 2024'!$J$4:$J$2015,J$1)</f>
        <v>0</v>
      </c>
      <c r="K55" s="80">
        <f>SUMIFS('август 2024'!$G$4:$G$2015,'август 2024'!$D$4:$D$2015,$B55,'август 2024'!$J$4:$J$2015,K$1)</f>
        <v>0</v>
      </c>
      <c r="L55" s="80">
        <f>SUMIFS('август 2024'!$G$4:$G$2015,'август 2024'!$D$4:$D$2015,$B55,'август 2024'!$J$4:$J$2015,L$1)</f>
        <v>0</v>
      </c>
      <c r="M55" s="80">
        <f>SUMIFS('август 2024'!$G$4:$G$2015,'август 2024'!$D$4:$D$2015,$B55,'август 2024'!$J$4:$J$2015,M$1)</f>
        <v>0</v>
      </c>
      <c r="N55" s="80">
        <f>SUMIFS('август 2024'!$G$4:$G$2015,'август 2024'!$D$4:$D$2015,$B55,'август 2024'!$J$4:$J$2015,N$1)</f>
        <v>0</v>
      </c>
      <c r="O55" s="80">
        <f>SUMIFS('август 2024'!$G$4:$G$2015,'август 2024'!$D$4:$D$2015,$B55,'август 2024'!$J$4:$J$2015,O$1)</f>
        <v>0</v>
      </c>
      <c r="P55" s="80">
        <f>SUMIFS('август 2024'!$G$4:$G$2015,'август 2024'!$D$4:$D$2015,$B55,'август 2024'!$J$4:$J$2015,P$1)</f>
        <v>0</v>
      </c>
      <c r="Q55" s="80">
        <f>SUMIFS('август 2024'!$G$4:$G$2015,'август 2024'!$D$4:$D$2015,$B55,'август 2024'!$J$4:$J$2015,Q$1)</f>
        <v>0</v>
      </c>
      <c r="R55" s="80">
        <f>SUMIFS('август 2024'!$G$4:$G$2015,'август 2024'!$D$4:$D$2015,$B55,'август 2024'!$J$4:$J$2015,R$1)</f>
        <v>0</v>
      </c>
      <c r="S55" s="80">
        <f>SUMIFS('август 2024'!$G$4:$G$2015,'август 2024'!$D$4:$D$2015,$B55,'август 2024'!$J$4:$J$2015,S$1)</f>
        <v>0</v>
      </c>
      <c r="T55" s="80">
        <f>SUMIFS('август 2024'!$G$4:$G$2015,'август 2024'!$D$4:$D$2015,$B55,'август 2024'!$J$4:$J$2015,T$1)</f>
        <v>0</v>
      </c>
      <c r="U55" s="80">
        <f>SUMIFS('август 2024'!$G$4:$G$2015,'август 2024'!$D$4:$D$2015,$B55,'август 2024'!$J$4:$J$2015,U$1)</f>
        <v>0</v>
      </c>
      <c r="V55" s="80">
        <f>SUMIFS('август 2024'!$G$4:$G$2015,'август 2024'!$D$4:$D$2015,$B55,'август 2024'!$J$4:$J$2015,V$1)</f>
        <v>0</v>
      </c>
      <c r="W55" s="80">
        <f>SUMIFS('август 2024'!$G$4:$G$2015,'август 2024'!$D$4:$D$2015,$B55,'август 2024'!$J$4:$J$2015,W$1)</f>
        <v>0</v>
      </c>
      <c r="X55" s="80">
        <f>SUMIFS('август 2024'!$G$4:$G$2015,'август 2024'!$D$4:$D$2015,$B55,'август 2024'!$J$4:$J$2015,X$1)</f>
        <v>0</v>
      </c>
      <c r="Y55" s="80">
        <f>SUMIFS('август 2024'!$G$4:$G$2015,'август 2024'!$D$4:$D$2015,$B55,'август 2024'!$J$4:$J$2015,Y$1)</f>
        <v>0</v>
      </c>
      <c r="Z55" s="80">
        <f>SUMIFS('август 2024'!$G$4:$G$2015,'август 2024'!$D$4:$D$2015,$B55,'август 2024'!$J$4:$J$2015,Z$1)</f>
        <v>0</v>
      </c>
      <c r="AA55" s="80">
        <f>SUMIFS('август 2024'!$G$4:$G$2015,'август 2024'!$D$4:$D$2015,$B55,'август 2024'!$J$4:$J$2015,AA$1)</f>
        <v>0</v>
      </c>
      <c r="AB55" s="80">
        <f>SUMIFS('август 2024'!$G$4:$G$2015,'август 2024'!$D$4:$D$2015,$B55,'август 2024'!$J$4:$J$2015,AB$1)</f>
        <v>0</v>
      </c>
      <c r="AC55" s="80">
        <f>SUMIFS('август 2024'!$G$4:$G$2015,'август 2024'!$D$4:$D$2015,$B55,'август 2024'!$J$4:$J$2015,AC$1)</f>
        <v>0</v>
      </c>
      <c r="AD55" s="80">
        <f>SUMIFS('август 2024'!$G$4:$G$2015,'август 2024'!$D$4:$D$2015,$B55,'август 2024'!$J$4:$J$2015,AD$1)</f>
        <v>0</v>
      </c>
      <c r="AE55" s="80">
        <f>SUMIFS('август 2024'!$G$4:$G$2015,'август 2024'!$D$4:$D$2015,$B55,'август 2024'!$J$4:$J$2015,AE$1)</f>
        <v>0</v>
      </c>
      <c r="AF55" s="80">
        <f>SUMIFS('август 2024'!$G$4:$G$2015,'август 2024'!$D$4:$D$2015,$B55,'август 2024'!$J$4:$J$2015,AF$1)</f>
        <v>0</v>
      </c>
      <c r="AG55" s="80">
        <f>SUMIFS('август 2024'!$G$4:$G$2015,'август 2024'!$D$4:$D$2015,$B55,'август 2024'!$J$4:$J$2015,AG$1)</f>
        <v>0</v>
      </c>
      <c r="AH55" s="80">
        <f>SUMIFS('август 2024'!$G$4:$G$2015,'август 2024'!$D$4:$D$2015,$B55,'август 2024'!$J$4:$J$2015,AH$1)</f>
        <v>0</v>
      </c>
      <c r="AI55" s="21">
        <f t="shared" si="1"/>
        <v>0</v>
      </c>
    </row>
    <row r="56" spans="2:35" ht="15" customHeight="1" x14ac:dyDescent="0.25">
      <c r="B56" s="150"/>
      <c r="C56" s="151"/>
      <c r="D56" s="80">
        <f>SUMIFS('август 2024'!$G$4:$G$2015,'август 2024'!$D$4:$D$2015,$B56,'август 2024'!$J$4:$J$2015,D$1)</f>
        <v>0</v>
      </c>
      <c r="E56" s="80">
        <f>SUMIFS('август 2024'!$G$4:$G$2015,'август 2024'!$D$4:$D$2015,$B56,'август 2024'!$J$4:$J$2015,E$1)</f>
        <v>0</v>
      </c>
      <c r="F56" s="80">
        <f>SUMIFS('август 2024'!$G$4:$G$2015,'август 2024'!$D$4:$D$2015,$B56,'август 2024'!$J$4:$J$2015,F$1)</f>
        <v>0</v>
      </c>
      <c r="G56" s="80">
        <f>SUMIFS('август 2024'!$G$4:$G$2015,'август 2024'!$D$4:$D$2015,$B56,'август 2024'!$J$4:$J$2015,G$1)</f>
        <v>0</v>
      </c>
      <c r="H56" s="80">
        <f>SUMIFS('август 2024'!$G$4:$G$2015,'август 2024'!$D$4:$D$2015,$B56,'август 2024'!$J$4:$J$2015,H$1)</f>
        <v>0</v>
      </c>
      <c r="I56" s="80">
        <f>SUMIFS('август 2024'!$G$4:$G$2015,'август 2024'!$D$4:$D$2015,$B56,'август 2024'!$J$4:$J$2015,I$1)</f>
        <v>0</v>
      </c>
      <c r="J56" s="80">
        <f>SUMIFS('август 2024'!$G$4:$G$2015,'август 2024'!$D$4:$D$2015,$B56,'август 2024'!$J$4:$J$2015,J$1)</f>
        <v>0</v>
      </c>
      <c r="K56" s="80">
        <f>SUMIFS('август 2024'!$G$4:$G$2015,'август 2024'!$D$4:$D$2015,$B56,'август 2024'!$J$4:$J$2015,K$1)</f>
        <v>0</v>
      </c>
      <c r="L56" s="80">
        <f>SUMIFS('август 2024'!$G$4:$G$2015,'август 2024'!$D$4:$D$2015,$B56,'август 2024'!$J$4:$J$2015,L$1)</f>
        <v>0</v>
      </c>
      <c r="M56" s="80">
        <f>SUMIFS('август 2024'!$G$4:$G$2015,'август 2024'!$D$4:$D$2015,$B56,'август 2024'!$J$4:$J$2015,M$1)</f>
        <v>0</v>
      </c>
      <c r="N56" s="80">
        <f>SUMIFS('август 2024'!$G$4:$G$2015,'август 2024'!$D$4:$D$2015,$B56,'август 2024'!$J$4:$J$2015,N$1)</f>
        <v>0</v>
      </c>
      <c r="O56" s="80">
        <f>SUMIFS('август 2024'!$G$4:$G$2015,'август 2024'!$D$4:$D$2015,$B56,'август 2024'!$J$4:$J$2015,O$1)</f>
        <v>0</v>
      </c>
      <c r="P56" s="80">
        <f>SUMIFS('август 2024'!$G$4:$G$2015,'август 2024'!$D$4:$D$2015,$B56,'август 2024'!$J$4:$J$2015,P$1)</f>
        <v>0</v>
      </c>
      <c r="Q56" s="80">
        <f>SUMIFS('август 2024'!$G$4:$G$2015,'август 2024'!$D$4:$D$2015,$B56,'август 2024'!$J$4:$J$2015,Q$1)</f>
        <v>0</v>
      </c>
      <c r="R56" s="80">
        <f>SUMIFS('август 2024'!$G$4:$G$2015,'август 2024'!$D$4:$D$2015,$B56,'август 2024'!$J$4:$J$2015,R$1)</f>
        <v>0</v>
      </c>
      <c r="S56" s="80">
        <f>SUMIFS('август 2024'!$G$4:$G$2015,'август 2024'!$D$4:$D$2015,$B56,'август 2024'!$J$4:$J$2015,S$1)</f>
        <v>0</v>
      </c>
      <c r="T56" s="80">
        <f>SUMIFS('август 2024'!$G$4:$G$2015,'август 2024'!$D$4:$D$2015,$B56,'август 2024'!$J$4:$J$2015,T$1)</f>
        <v>0</v>
      </c>
      <c r="U56" s="80">
        <f>SUMIFS('август 2024'!$G$4:$G$2015,'август 2024'!$D$4:$D$2015,$B56,'август 2024'!$J$4:$J$2015,U$1)</f>
        <v>0</v>
      </c>
      <c r="V56" s="80">
        <f>SUMIFS('август 2024'!$G$4:$G$2015,'август 2024'!$D$4:$D$2015,$B56,'август 2024'!$J$4:$J$2015,V$1)</f>
        <v>0</v>
      </c>
      <c r="W56" s="80">
        <f>SUMIFS('август 2024'!$G$4:$G$2015,'август 2024'!$D$4:$D$2015,$B56,'август 2024'!$J$4:$J$2015,W$1)</f>
        <v>0</v>
      </c>
      <c r="X56" s="80">
        <f>SUMIFS('август 2024'!$G$4:$G$2015,'август 2024'!$D$4:$D$2015,$B56,'август 2024'!$J$4:$J$2015,X$1)</f>
        <v>0</v>
      </c>
      <c r="Y56" s="80">
        <f>SUMIFS('август 2024'!$G$4:$G$2015,'август 2024'!$D$4:$D$2015,$B56,'август 2024'!$J$4:$J$2015,Y$1)</f>
        <v>0</v>
      </c>
      <c r="Z56" s="80">
        <f>SUMIFS('август 2024'!$G$4:$G$2015,'август 2024'!$D$4:$D$2015,$B56,'август 2024'!$J$4:$J$2015,Z$1)</f>
        <v>0</v>
      </c>
      <c r="AA56" s="80">
        <f>SUMIFS('август 2024'!$G$4:$G$2015,'август 2024'!$D$4:$D$2015,$B56,'август 2024'!$J$4:$J$2015,AA$1)</f>
        <v>0</v>
      </c>
      <c r="AB56" s="80">
        <f>SUMIFS('август 2024'!$G$4:$G$2015,'август 2024'!$D$4:$D$2015,$B56,'август 2024'!$J$4:$J$2015,AB$1)</f>
        <v>0</v>
      </c>
      <c r="AC56" s="80">
        <f>SUMIFS('август 2024'!$G$4:$G$2015,'август 2024'!$D$4:$D$2015,$B56,'август 2024'!$J$4:$J$2015,AC$1)</f>
        <v>0</v>
      </c>
      <c r="AD56" s="80">
        <f>SUMIFS('август 2024'!$G$4:$G$2015,'август 2024'!$D$4:$D$2015,$B56,'август 2024'!$J$4:$J$2015,AD$1)</f>
        <v>0</v>
      </c>
      <c r="AE56" s="80">
        <f>SUMIFS('август 2024'!$G$4:$G$2015,'август 2024'!$D$4:$D$2015,$B56,'август 2024'!$J$4:$J$2015,AE$1)</f>
        <v>0</v>
      </c>
      <c r="AF56" s="80">
        <f>SUMIFS('август 2024'!$G$4:$G$2015,'август 2024'!$D$4:$D$2015,$B56,'август 2024'!$J$4:$J$2015,AF$1)</f>
        <v>0</v>
      </c>
      <c r="AG56" s="80">
        <f>SUMIFS('август 2024'!$G$4:$G$2015,'август 2024'!$D$4:$D$2015,$B56,'август 2024'!$J$4:$J$2015,AG$1)</f>
        <v>0</v>
      </c>
      <c r="AH56" s="80">
        <f>SUMIFS('август 2024'!$G$4:$G$2015,'август 2024'!$D$4:$D$2015,$B56,'август 2024'!$J$4:$J$2015,AH$1)</f>
        <v>0</v>
      </c>
      <c r="AI56" s="21">
        <f t="shared" si="1"/>
        <v>0</v>
      </c>
    </row>
    <row r="57" spans="2:35" ht="15" customHeight="1" x14ac:dyDescent="0.25">
      <c r="B57" s="150"/>
      <c r="C57" s="151"/>
      <c r="D57" s="80">
        <f>SUMIFS('август 2024'!$G$4:$G$2015,'август 2024'!$D$4:$D$2015,$B57,'август 2024'!$J$4:$J$2015,D$1)</f>
        <v>0</v>
      </c>
      <c r="E57" s="80">
        <f>SUMIFS('август 2024'!$G$4:$G$2015,'август 2024'!$D$4:$D$2015,$B57,'август 2024'!$J$4:$J$2015,E$1)</f>
        <v>0</v>
      </c>
      <c r="F57" s="80">
        <f>SUMIFS('август 2024'!$G$4:$G$2015,'август 2024'!$D$4:$D$2015,$B57,'август 2024'!$J$4:$J$2015,F$1)</f>
        <v>0</v>
      </c>
      <c r="G57" s="80">
        <f>SUMIFS('август 2024'!$G$4:$G$2015,'август 2024'!$D$4:$D$2015,$B57,'август 2024'!$J$4:$J$2015,G$1)</f>
        <v>0</v>
      </c>
      <c r="H57" s="80">
        <f>SUMIFS('август 2024'!$G$4:$G$2015,'август 2024'!$D$4:$D$2015,$B57,'август 2024'!$J$4:$J$2015,H$1)</f>
        <v>0</v>
      </c>
      <c r="I57" s="80">
        <f>SUMIFS('август 2024'!$G$4:$G$2015,'август 2024'!$D$4:$D$2015,$B57,'август 2024'!$J$4:$J$2015,I$1)</f>
        <v>0</v>
      </c>
      <c r="J57" s="80">
        <f>SUMIFS('август 2024'!$G$4:$G$2015,'август 2024'!$D$4:$D$2015,$B57,'август 2024'!$J$4:$J$2015,J$1)</f>
        <v>0</v>
      </c>
      <c r="K57" s="80">
        <f>SUMIFS('август 2024'!$G$4:$G$2015,'август 2024'!$D$4:$D$2015,$B57,'август 2024'!$J$4:$J$2015,K$1)</f>
        <v>0</v>
      </c>
      <c r="L57" s="80">
        <f>SUMIFS('август 2024'!$G$4:$G$2015,'август 2024'!$D$4:$D$2015,$B57,'август 2024'!$J$4:$J$2015,L$1)</f>
        <v>0</v>
      </c>
      <c r="M57" s="80">
        <f>SUMIFS('август 2024'!$G$4:$G$2015,'август 2024'!$D$4:$D$2015,$B57,'август 2024'!$J$4:$J$2015,M$1)</f>
        <v>0</v>
      </c>
      <c r="N57" s="80">
        <f>SUMIFS('август 2024'!$G$4:$G$2015,'август 2024'!$D$4:$D$2015,$B57,'август 2024'!$J$4:$J$2015,N$1)</f>
        <v>0</v>
      </c>
      <c r="O57" s="80">
        <f>SUMIFS('август 2024'!$G$4:$G$2015,'август 2024'!$D$4:$D$2015,$B57,'август 2024'!$J$4:$J$2015,O$1)</f>
        <v>0</v>
      </c>
      <c r="P57" s="80">
        <f>SUMIFS('август 2024'!$G$4:$G$2015,'август 2024'!$D$4:$D$2015,$B57,'август 2024'!$J$4:$J$2015,P$1)</f>
        <v>0</v>
      </c>
      <c r="Q57" s="80">
        <f>SUMIFS('август 2024'!$G$4:$G$2015,'август 2024'!$D$4:$D$2015,$B57,'август 2024'!$J$4:$J$2015,Q$1)</f>
        <v>0</v>
      </c>
      <c r="R57" s="80">
        <f>SUMIFS('август 2024'!$G$4:$G$2015,'август 2024'!$D$4:$D$2015,$B57,'август 2024'!$J$4:$J$2015,R$1)</f>
        <v>0</v>
      </c>
      <c r="S57" s="80">
        <f>SUMIFS('август 2024'!$G$4:$G$2015,'август 2024'!$D$4:$D$2015,$B57,'август 2024'!$J$4:$J$2015,S$1)</f>
        <v>0</v>
      </c>
      <c r="T57" s="80">
        <f>SUMIFS('август 2024'!$G$4:$G$2015,'август 2024'!$D$4:$D$2015,$B57,'август 2024'!$J$4:$J$2015,T$1)</f>
        <v>0</v>
      </c>
      <c r="U57" s="80">
        <f>SUMIFS('август 2024'!$G$4:$G$2015,'август 2024'!$D$4:$D$2015,$B57,'август 2024'!$J$4:$J$2015,U$1)</f>
        <v>0</v>
      </c>
      <c r="V57" s="80">
        <f>SUMIFS('август 2024'!$G$4:$G$2015,'август 2024'!$D$4:$D$2015,$B57,'август 2024'!$J$4:$J$2015,V$1)</f>
        <v>0</v>
      </c>
      <c r="W57" s="80">
        <f>SUMIFS('август 2024'!$G$4:$G$2015,'август 2024'!$D$4:$D$2015,$B57,'август 2024'!$J$4:$J$2015,W$1)</f>
        <v>0</v>
      </c>
      <c r="X57" s="80">
        <f>SUMIFS('август 2024'!$G$4:$G$2015,'август 2024'!$D$4:$D$2015,$B57,'август 2024'!$J$4:$J$2015,X$1)</f>
        <v>0</v>
      </c>
      <c r="Y57" s="80">
        <f>SUMIFS('август 2024'!$G$4:$G$2015,'август 2024'!$D$4:$D$2015,$B57,'август 2024'!$J$4:$J$2015,Y$1)</f>
        <v>0</v>
      </c>
      <c r="Z57" s="80">
        <f>SUMIFS('август 2024'!$G$4:$G$2015,'август 2024'!$D$4:$D$2015,$B57,'август 2024'!$J$4:$J$2015,Z$1)</f>
        <v>0</v>
      </c>
      <c r="AA57" s="80">
        <f>SUMIFS('август 2024'!$G$4:$G$2015,'август 2024'!$D$4:$D$2015,$B57,'август 2024'!$J$4:$J$2015,AA$1)</f>
        <v>0</v>
      </c>
      <c r="AB57" s="80">
        <f>SUMIFS('август 2024'!$G$4:$G$2015,'август 2024'!$D$4:$D$2015,$B57,'август 2024'!$J$4:$J$2015,AB$1)</f>
        <v>0</v>
      </c>
      <c r="AC57" s="80">
        <f>SUMIFS('август 2024'!$G$4:$G$2015,'август 2024'!$D$4:$D$2015,$B57,'август 2024'!$J$4:$J$2015,AC$1)</f>
        <v>0</v>
      </c>
      <c r="AD57" s="80">
        <f>SUMIFS('август 2024'!$G$4:$G$2015,'август 2024'!$D$4:$D$2015,$B57,'август 2024'!$J$4:$J$2015,AD$1)</f>
        <v>0</v>
      </c>
      <c r="AE57" s="80">
        <f>SUMIFS('август 2024'!$G$4:$G$2015,'август 2024'!$D$4:$D$2015,$B57,'август 2024'!$J$4:$J$2015,AE$1)</f>
        <v>0</v>
      </c>
      <c r="AF57" s="80">
        <f>SUMIFS('август 2024'!$G$4:$G$2015,'август 2024'!$D$4:$D$2015,$B57,'август 2024'!$J$4:$J$2015,AF$1)</f>
        <v>0</v>
      </c>
      <c r="AG57" s="80">
        <f>SUMIFS('август 2024'!$G$4:$G$2015,'август 2024'!$D$4:$D$2015,$B57,'август 2024'!$J$4:$J$2015,AG$1)</f>
        <v>0</v>
      </c>
      <c r="AH57" s="80">
        <f>SUMIFS('август 2024'!$G$4:$G$2015,'август 2024'!$D$4:$D$2015,$B57,'август 2024'!$J$4:$J$2015,AH$1)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80">
        <f>SUMIFS('август 2024'!$G$4:$G$2015,'август 2024'!$D$4:$D$2015,$B58,'август 2024'!$J$4:$J$2015,D$1)</f>
        <v>0</v>
      </c>
      <c r="E58" s="80">
        <f>SUMIFS('август 2024'!$G$4:$G$2015,'август 2024'!$D$4:$D$2015,$B58,'август 2024'!$J$4:$J$2015,E$1)</f>
        <v>0</v>
      </c>
      <c r="F58" s="80">
        <f>SUMIFS('август 2024'!$G$4:$G$2015,'август 2024'!$D$4:$D$2015,$B58,'август 2024'!$J$4:$J$2015,F$1)</f>
        <v>0</v>
      </c>
      <c r="G58" s="80">
        <f>SUMIFS('август 2024'!$G$4:$G$2015,'август 2024'!$D$4:$D$2015,$B58,'август 2024'!$J$4:$J$2015,G$1)</f>
        <v>0</v>
      </c>
      <c r="H58" s="80">
        <f>SUMIFS('август 2024'!$G$4:$G$2015,'август 2024'!$D$4:$D$2015,$B58,'август 2024'!$J$4:$J$2015,H$1)</f>
        <v>0</v>
      </c>
      <c r="I58" s="80">
        <f>SUMIFS('август 2024'!$G$4:$G$2015,'август 2024'!$D$4:$D$2015,$B58,'август 2024'!$J$4:$J$2015,I$1)</f>
        <v>0</v>
      </c>
      <c r="J58" s="80">
        <f>SUMIFS('август 2024'!$G$4:$G$2015,'август 2024'!$D$4:$D$2015,$B58,'август 2024'!$J$4:$J$2015,J$1)</f>
        <v>0</v>
      </c>
      <c r="K58" s="80">
        <f>SUMIFS('август 2024'!$G$4:$G$2015,'август 2024'!$D$4:$D$2015,$B58,'август 2024'!$J$4:$J$2015,K$1)</f>
        <v>0</v>
      </c>
      <c r="L58" s="80">
        <f>SUMIFS('август 2024'!$G$4:$G$2015,'август 2024'!$D$4:$D$2015,$B58,'август 2024'!$J$4:$J$2015,L$1)</f>
        <v>0</v>
      </c>
      <c r="M58" s="80">
        <f>SUMIFS('август 2024'!$G$4:$G$2015,'август 2024'!$D$4:$D$2015,$B58,'август 2024'!$J$4:$J$2015,M$1)</f>
        <v>0</v>
      </c>
      <c r="N58" s="80">
        <f>SUMIFS('август 2024'!$G$4:$G$2015,'август 2024'!$D$4:$D$2015,$B58,'август 2024'!$J$4:$J$2015,N$1)</f>
        <v>0</v>
      </c>
      <c r="O58" s="80">
        <f>SUMIFS('август 2024'!$G$4:$G$2015,'август 2024'!$D$4:$D$2015,$B58,'август 2024'!$J$4:$J$2015,O$1)</f>
        <v>0</v>
      </c>
      <c r="P58" s="80">
        <f>SUMIFS('август 2024'!$G$4:$G$2015,'август 2024'!$D$4:$D$2015,$B58,'август 2024'!$J$4:$J$2015,P$1)</f>
        <v>0</v>
      </c>
      <c r="Q58" s="80">
        <f>SUMIFS('август 2024'!$G$4:$G$2015,'август 2024'!$D$4:$D$2015,$B58,'август 2024'!$J$4:$J$2015,Q$1)</f>
        <v>0</v>
      </c>
      <c r="R58" s="80">
        <f>SUMIFS('август 2024'!$G$4:$G$2015,'август 2024'!$D$4:$D$2015,$B58,'август 2024'!$J$4:$J$2015,R$1)</f>
        <v>0</v>
      </c>
      <c r="S58" s="80">
        <f>SUMIFS('август 2024'!$G$4:$G$2015,'август 2024'!$D$4:$D$2015,$B58,'август 2024'!$J$4:$J$2015,S$1)</f>
        <v>0</v>
      </c>
      <c r="T58" s="80">
        <f>SUMIFS('август 2024'!$G$4:$G$2015,'август 2024'!$D$4:$D$2015,$B58,'август 2024'!$J$4:$J$2015,T$1)</f>
        <v>0</v>
      </c>
      <c r="U58" s="80">
        <f>SUMIFS('август 2024'!$G$4:$G$2015,'август 2024'!$D$4:$D$2015,$B58,'август 2024'!$J$4:$J$2015,U$1)</f>
        <v>0</v>
      </c>
      <c r="V58" s="80">
        <f>SUMIFS('август 2024'!$G$4:$G$2015,'август 2024'!$D$4:$D$2015,$B58,'август 2024'!$J$4:$J$2015,V$1)</f>
        <v>0</v>
      </c>
      <c r="W58" s="80">
        <f>SUMIFS('август 2024'!$G$4:$G$2015,'август 2024'!$D$4:$D$2015,$B58,'август 2024'!$J$4:$J$2015,W$1)</f>
        <v>0</v>
      </c>
      <c r="X58" s="80">
        <f>SUMIFS('август 2024'!$G$4:$G$2015,'август 2024'!$D$4:$D$2015,$B58,'август 2024'!$J$4:$J$2015,X$1)</f>
        <v>0</v>
      </c>
      <c r="Y58" s="80">
        <f>SUMIFS('август 2024'!$G$4:$G$2015,'август 2024'!$D$4:$D$2015,$B58,'август 2024'!$J$4:$J$2015,Y$1)</f>
        <v>0</v>
      </c>
      <c r="Z58" s="80">
        <f>SUMIFS('август 2024'!$G$4:$G$2015,'август 2024'!$D$4:$D$2015,$B58,'август 2024'!$J$4:$J$2015,Z$1)</f>
        <v>0</v>
      </c>
      <c r="AA58" s="80">
        <f>SUMIFS('август 2024'!$G$4:$G$2015,'август 2024'!$D$4:$D$2015,$B58,'август 2024'!$J$4:$J$2015,AA$1)</f>
        <v>0</v>
      </c>
      <c r="AB58" s="80">
        <f>SUMIFS('август 2024'!$G$4:$G$2015,'август 2024'!$D$4:$D$2015,$B58,'август 2024'!$J$4:$J$2015,AB$1)</f>
        <v>0</v>
      </c>
      <c r="AC58" s="80">
        <f>SUMIFS('август 2024'!$G$4:$G$2015,'август 2024'!$D$4:$D$2015,$B58,'август 2024'!$J$4:$J$2015,AC$1)</f>
        <v>0</v>
      </c>
      <c r="AD58" s="80">
        <f>SUMIFS('август 2024'!$G$4:$G$2015,'август 2024'!$D$4:$D$2015,$B58,'август 2024'!$J$4:$J$2015,AD$1)</f>
        <v>0</v>
      </c>
      <c r="AE58" s="80">
        <f>SUMIFS('август 2024'!$G$4:$G$2015,'август 2024'!$D$4:$D$2015,$B58,'август 2024'!$J$4:$J$2015,AE$1)</f>
        <v>0</v>
      </c>
      <c r="AF58" s="80">
        <f>SUMIFS('август 2024'!$G$4:$G$2015,'август 2024'!$D$4:$D$2015,$B58,'август 2024'!$J$4:$J$2015,AF$1)</f>
        <v>0</v>
      </c>
      <c r="AG58" s="80">
        <f>SUMIFS('август 2024'!$G$4:$G$2015,'август 2024'!$D$4:$D$2015,$B58,'август 2024'!$J$4:$J$2015,AG$1)</f>
        <v>0</v>
      </c>
      <c r="AH58" s="80">
        <f>SUMIFS('август 2024'!$G$4:$G$2015,'август 2024'!$D$4:$D$2015,$B58,'август 2024'!$J$4:$J$2015,AH$1)</f>
        <v>0</v>
      </c>
      <c r="AI58" s="21">
        <f t="shared" si="1"/>
        <v>0</v>
      </c>
    </row>
    <row r="59" spans="2:35" ht="15" customHeight="1" x14ac:dyDescent="0.25">
      <c r="B59" s="155"/>
      <c r="C59" s="151"/>
      <c r="D59" s="80">
        <f>SUMIFS('август 2024'!$G$4:$G$2015,'август 2024'!$D$4:$D$2015,$B59,'август 2024'!$J$4:$J$2015,D$1)</f>
        <v>0</v>
      </c>
      <c r="E59" s="80">
        <f>SUMIFS('август 2024'!$G$4:$G$2015,'август 2024'!$D$4:$D$2015,$B59,'август 2024'!$J$4:$J$2015,E$1)</f>
        <v>0</v>
      </c>
      <c r="F59" s="80">
        <f>SUMIFS('август 2024'!$G$4:$G$2015,'август 2024'!$D$4:$D$2015,$B59,'август 2024'!$J$4:$J$2015,F$1)</f>
        <v>0</v>
      </c>
      <c r="G59" s="80">
        <f>SUMIFS('август 2024'!$G$4:$G$2015,'август 2024'!$D$4:$D$2015,$B59,'август 2024'!$J$4:$J$2015,G$1)</f>
        <v>0</v>
      </c>
      <c r="H59" s="80">
        <f>SUMIFS('август 2024'!$G$4:$G$2015,'август 2024'!$D$4:$D$2015,$B59,'август 2024'!$J$4:$J$2015,H$1)</f>
        <v>0</v>
      </c>
      <c r="I59" s="80">
        <f>SUMIFS('август 2024'!$G$4:$G$2015,'август 2024'!$D$4:$D$2015,$B59,'август 2024'!$J$4:$J$2015,I$1)</f>
        <v>0</v>
      </c>
      <c r="J59" s="80">
        <f>SUMIFS('август 2024'!$G$4:$G$2015,'август 2024'!$D$4:$D$2015,$B59,'август 2024'!$J$4:$J$2015,J$1)</f>
        <v>0</v>
      </c>
      <c r="K59" s="80">
        <f>SUMIFS('август 2024'!$G$4:$G$2015,'август 2024'!$D$4:$D$2015,$B59,'август 2024'!$J$4:$J$2015,K$1)</f>
        <v>0</v>
      </c>
      <c r="L59" s="80">
        <f>SUMIFS('август 2024'!$G$4:$G$2015,'август 2024'!$D$4:$D$2015,$B59,'август 2024'!$J$4:$J$2015,L$1)</f>
        <v>0</v>
      </c>
      <c r="M59" s="80">
        <f>SUMIFS('август 2024'!$G$4:$G$2015,'август 2024'!$D$4:$D$2015,$B59,'август 2024'!$J$4:$J$2015,M$1)</f>
        <v>0</v>
      </c>
      <c r="N59" s="80">
        <f>SUMIFS('август 2024'!$G$4:$G$2015,'август 2024'!$D$4:$D$2015,$B59,'август 2024'!$J$4:$J$2015,N$1)</f>
        <v>0</v>
      </c>
      <c r="O59" s="80">
        <f>SUMIFS('август 2024'!$G$4:$G$2015,'август 2024'!$D$4:$D$2015,$B59,'август 2024'!$J$4:$J$2015,O$1)</f>
        <v>0</v>
      </c>
      <c r="P59" s="80">
        <f>SUMIFS('август 2024'!$G$4:$G$2015,'август 2024'!$D$4:$D$2015,$B59,'август 2024'!$J$4:$J$2015,P$1)</f>
        <v>0</v>
      </c>
      <c r="Q59" s="80">
        <f>SUMIFS('август 2024'!$G$4:$G$2015,'август 2024'!$D$4:$D$2015,$B59,'август 2024'!$J$4:$J$2015,Q$1)</f>
        <v>0</v>
      </c>
      <c r="R59" s="80">
        <f>SUMIFS('август 2024'!$G$4:$G$2015,'август 2024'!$D$4:$D$2015,$B59,'август 2024'!$J$4:$J$2015,R$1)</f>
        <v>0</v>
      </c>
      <c r="S59" s="80">
        <f>SUMIFS('август 2024'!$G$4:$G$2015,'август 2024'!$D$4:$D$2015,$B59,'август 2024'!$J$4:$J$2015,S$1)</f>
        <v>0</v>
      </c>
      <c r="T59" s="80">
        <f>SUMIFS('август 2024'!$G$4:$G$2015,'август 2024'!$D$4:$D$2015,$B59,'август 2024'!$J$4:$J$2015,T$1)</f>
        <v>0</v>
      </c>
      <c r="U59" s="80">
        <f>SUMIFS('август 2024'!$G$4:$G$2015,'август 2024'!$D$4:$D$2015,$B59,'август 2024'!$J$4:$J$2015,U$1)</f>
        <v>0</v>
      </c>
      <c r="V59" s="80">
        <f>SUMIFS('август 2024'!$G$4:$G$2015,'август 2024'!$D$4:$D$2015,$B59,'август 2024'!$J$4:$J$2015,V$1)</f>
        <v>0</v>
      </c>
      <c r="W59" s="80">
        <f>SUMIFS('август 2024'!$G$4:$G$2015,'август 2024'!$D$4:$D$2015,$B59,'август 2024'!$J$4:$J$2015,W$1)</f>
        <v>0</v>
      </c>
      <c r="X59" s="80">
        <f>SUMIFS('август 2024'!$G$4:$G$2015,'август 2024'!$D$4:$D$2015,$B59,'август 2024'!$J$4:$J$2015,X$1)</f>
        <v>0</v>
      </c>
      <c r="Y59" s="80">
        <f>SUMIFS('август 2024'!$G$4:$G$2015,'август 2024'!$D$4:$D$2015,$B59,'август 2024'!$J$4:$J$2015,Y$1)</f>
        <v>0</v>
      </c>
      <c r="Z59" s="80">
        <f>SUMIFS('август 2024'!$G$4:$G$2015,'август 2024'!$D$4:$D$2015,$B59,'август 2024'!$J$4:$J$2015,Z$1)</f>
        <v>0</v>
      </c>
      <c r="AA59" s="80">
        <f>SUMIFS('август 2024'!$G$4:$G$2015,'август 2024'!$D$4:$D$2015,$B59,'август 2024'!$J$4:$J$2015,AA$1)</f>
        <v>0</v>
      </c>
      <c r="AB59" s="80">
        <f>SUMIFS('август 2024'!$G$4:$G$2015,'август 2024'!$D$4:$D$2015,$B59,'август 2024'!$J$4:$J$2015,AB$1)</f>
        <v>0</v>
      </c>
      <c r="AC59" s="80">
        <f>SUMIFS('август 2024'!$G$4:$G$2015,'август 2024'!$D$4:$D$2015,$B59,'август 2024'!$J$4:$J$2015,AC$1)</f>
        <v>0</v>
      </c>
      <c r="AD59" s="80">
        <f>SUMIFS('август 2024'!$G$4:$G$2015,'август 2024'!$D$4:$D$2015,$B59,'август 2024'!$J$4:$J$2015,AD$1)</f>
        <v>0</v>
      </c>
      <c r="AE59" s="80">
        <f>SUMIFS('август 2024'!$G$4:$G$2015,'август 2024'!$D$4:$D$2015,$B59,'август 2024'!$J$4:$J$2015,AE$1)</f>
        <v>0</v>
      </c>
      <c r="AF59" s="80">
        <f>SUMIFS('август 2024'!$G$4:$G$2015,'август 2024'!$D$4:$D$2015,$B59,'август 2024'!$J$4:$J$2015,AF$1)</f>
        <v>0</v>
      </c>
      <c r="AG59" s="80">
        <f>SUMIFS('август 2024'!$G$4:$G$2015,'август 2024'!$D$4:$D$2015,$B59,'август 2024'!$J$4:$J$2015,AG$1)</f>
        <v>0</v>
      </c>
      <c r="AH59" s="80">
        <f>SUMIFS('август 2024'!$G$4:$G$2015,'август 2024'!$D$4:$D$2015,$B59,'август 2024'!$J$4:$J$2015,AH$1)</f>
        <v>0</v>
      </c>
      <c r="AI59" s="21">
        <f t="shared" si="1"/>
        <v>0</v>
      </c>
    </row>
    <row r="60" spans="2:35" ht="15" customHeight="1" x14ac:dyDescent="0.25">
      <c r="B60" s="155"/>
      <c r="C60" s="151"/>
      <c r="D60" s="80">
        <f>SUMIFS('август 2024'!$G$4:$G$2015,'август 2024'!$D$4:$D$2015,$B60,'август 2024'!$J$4:$J$2015,D$1)</f>
        <v>0</v>
      </c>
      <c r="E60" s="80">
        <f>SUMIFS('август 2024'!$G$4:$G$2015,'август 2024'!$D$4:$D$2015,$B60,'август 2024'!$J$4:$J$2015,E$1)</f>
        <v>0</v>
      </c>
      <c r="F60" s="80">
        <f>SUMIFS('август 2024'!$G$4:$G$2015,'август 2024'!$D$4:$D$2015,$B60,'август 2024'!$J$4:$J$2015,F$1)</f>
        <v>0</v>
      </c>
      <c r="G60" s="80">
        <f>SUMIFS('август 2024'!$G$4:$G$2015,'август 2024'!$D$4:$D$2015,$B60,'август 2024'!$J$4:$J$2015,G$1)</f>
        <v>0</v>
      </c>
      <c r="H60" s="80">
        <f>SUMIFS('август 2024'!$G$4:$G$2015,'август 2024'!$D$4:$D$2015,$B60,'август 2024'!$J$4:$J$2015,H$1)</f>
        <v>0</v>
      </c>
      <c r="I60" s="80">
        <f>SUMIFS('август 2024'!$G$4:$G$2015,'август 2024'!$D$4:$D$2015,$B60,'август 2024'!$J$4:$J$2015,I$1)</f>
        <v>0</v>
      </c>
      <c r="J60" s="80">
        <f>SUMIFS('август 2024'!$G$4:$G$2015,'август 2024'!$D$4:$D$2015,$B60,'август 2024'!$J$4:$J$2015,J$1)</f>
        <v>0</v>
      </c>
      <c r="K60" s="80">
        <f>SUMIFS('август 2024'!$G$4:$G$2015,'август 2024'!$D$4:$D$2015,$B60,'август 2024'!$J$4:$J$2015,K$1)</f>
        <v>0</v>
      </c>
      <c r="L60" s="80">
        <f>SUMIFS('август 2024'!$G$4:$G$2015,'август 2024'!$D$4:$D$2015,$B60,'август 2024'!$J$4:$J$2015,L$1)</f>
        <v>0</v>
      </c>
      <c r="M60" s="80">
        <f>SUMIFS('август 2024'!$G$4:$G$2015,'август 2024'!$D$4:$D$2015,$B60,'август 2024'!$J$4:$J$2015,M$1)</f>
        <v>0</v>
      </c>
      <c r="N60" s="80">
        <f>SUMIFS('август 2024'!$G$4:$G$2015,'август 2024'!$D$4:$D$2015,$B60,'август 2024'!$J$4:$J$2015,N$1)</f>
        <v>0</v>
      </c>
      <c r="O60" s="80">
        <f>SUMIFS('август 2024'!$G$4:$G$2015,'август 2024'!$D$4:$D$2015,$B60,'август 2024'!$J$4:$J$2015,O$1)</f>
        <v>0</v>
      </c>
      <c r="P60" s="80">
        <f>SUMIFS('август 2024'!$G$4:$G$2015,'август 2024'!$D$4:$D$2015,$B60,'август 2024'!$J$4:$J$2015,P$1)</f>
        <v>0</v>
      </c>
      <c r="Q60" s="80">
        <f>SUMIFS('август 2024'!$G$4:$G$2015,'август 2024'!$D$4:$D$2015,$B60,'август 2024'!$J$4:$J$2015,Q$1)</f>
        <v>0</v>
      </c>
      <c r="R60" s="80">
        <f>SUMIFS('август 2024'!$G$4:$G$2015,'август 2024'!$D$4:$D$2015,$B60,'август 2024'!$J$4:$J$2015,R$1)</f>
        <v>0</v>
      </c>
      <c r="S60" s="80">
        <f>SUMIFS('август 2024'!$G$4:$G$2015,'август 2024'!$D$4:$D$2015,$B60,'август 2024'!$J$4:$J$2015,S$1)</f>
        <v>0</v>
      </c>
      <c r="T60" s="80">
        <f>SUMIFS('август 2024'!$G$4:$G$2015,'август 2024'!$D$4:$D$2015,$B60,'август 2024'!$J$4:$J$2015,T$1)</f>
        <v>0</v>
      </c>
      <c r="U60" s="80">
        <f>SUMIFS('август 2024'!$G$4:$G$2015,'август 2024'!$D$4:$D$2015,$B60,'август 2024'!$J$4:$J$2015,U$1)</f>
        <v>0</v>
      </c>
      <c r="V60" s="80">
        <f>SUMIFS('август 2024'!$G$4:$G$2015,'август 2024'!$D$4:$D$2015,$B60,'август 2024'!$J$4:$J$2015,V$1)</f>
        <v>0</v>
      </c>
      <c r="W60" s="80">
        <f>SUMIFS('август 2024'!$G$4:$G$2015,'август 2024'!$D$4:$D$2015,$B60,'август 2024'!$J$4:$J$2015,W$1)</f>
        <v>0</v>
      </c>
      <c r="X60" s="80">
        <f>SUMIFS('август 2024'!$G$4:$G$2015,'август 2024'!$D$4:$D$2015,$B60,'август 2024'!$J$4:$J$2015,X$1)</f>
        <v>0</v>
      </c>
      <c r="Y60" s="80">
        <f>SUMIFS('август 2024'!$G$4:$G$2015,'август 2024'!$D$4:$D$2015,$B60,'август 2024'!$J$4:$J$2015,Y$1)</f>
        <v>0</v>
      </c>
      <c r="Z60" s="80">
        <f>SUMIFS('август 2024'!$G$4:$G$2015,'август 2024'!$D$4:$D$2015,$B60,'август 2024'!$J$4:$J$2015,Z$1)</f>
        <v>0</v>
      </c>
      <c r="AA60" s="80">
        <f>SUMIFS('август 2024'!$G$4:$G$2015,'август 2024'!$D$4:$D$2015,$B60,'август 2024'!$J$4:$J$2015,AA$1)</f>
        <v>0</v>
      </c>
      <c r="AB60" s="80">
        <f>SUMIFS('август 2024'!$G$4:$G$2015,'август 2024'!$D$4:$D$2015,$B60,'август 2024'!$J$4:$J$2015,AB$1)</f>
        <v>0</v>
      </c>
      <c r="AC60" s="80">
        <f>SUMIFS('август 2024'!$G$4:$G$2015,'август 2024'!$D$4:$D$2015,$B60,'август 2024'!$J$4:$J$2015,AC$1)</f>
        <v>0</v>
      </c>
      <c r="AD60" s="80">
        <f>SUMIFS('август 2024'!$G$4:$G$2015,'август 2024'!$D$4:$D$2015,$B60,'август 2024'!$J$4:$J$2015,AD$1)</f>
        <v>0</v>
      </c>
      <c r="AE60" s="80">
        <f>SUMIFS('август 2024'!$G$4:$G$2015,'август 2024'!$D$4:$D$2015,$B60,'август 2024'!$J$4:$J$2015,AE$1)</f>
        <v>0</v>
      </c>
      <c r="AF60" s="80">
        <f>SUMIFS('август 2024'!$G$4:$G$2015,'август 2024'!$D$4:$D$2015,$B60,'август 2024'!$J$4:$J$2015,AF$1)</f>
        <v>0</v>
      </c>
      <c r="AG60" s="80">
        <f>SUMIFS('август 2024'!$G$4:$G$2015,'август 2024'!$D$4:$D$2015,$B60,'август 2024'!$J$4:$J$2015,AG$1)</f>
        <v>0</v>
      </c>
      <c r="AH60" s="80">
        <f>SUMIFS('август 2024'!$G$4:$G$2015,'август 2024'!$D$4:$D$2015,$B60,'август 2024'!$J$4:$J$2015,AH$1)</f>
        <v>0</v>
      </c>
      <c r="AI60" s="21">
        <f t="shared" si="1"/>
        <v>0</v>
      </c>
    </row>
    <row r="61" spans="2:35" ht="15" customHeight="1" x14ac:dyDescent="0.25">
      <c r="B61" s="92" t="s">
        <v>161</v>
      </c>
      <c r="C61" s="91">
        <v>200</v>
      </c>
      <c r="D61" s="80">
        <f>SUMIFS('август 2024'!$G$4:$G$2015,'август 2024'!$D$4:$D$2015,$B61,'август 2024'!$J$4:$J$2015,D$1)</f>
        <v>0</v>
      </c>
      <c r="E61" s="80">
        <f>SUMIFS('август 2024'!$G$4:$G$2015,'август 2024'!$D$4:$D$2015,$B61,'август 2024'!$J$4:$J$2015,E$1)</f>
        <v>0</v>
      </c>
      <c r="F61" s="80">
        <f>SUMIFS('август 2024'!$G$4:$G$2015,'август 2024'!$D$4:$D$2015,$B61,'август 2024'!$J$4:$J$2015,F$1)</f>
        <v>0</v>
      </c>
      <c r="G61" s="80">
        <f>SUMIFS('август 2024'!$G$4:$G$2015,'август 2024'!$D$4:$D$2015,$B61,'август 2024'!$J$4:$J$2015,G$1)</f>
        <v>0</v>
      </c>
      <c r="H61" s="80">
        <f>SUMIFS('август 2024'!$G$4:$G$2015,'август 2024'!$D$4:$D$2015,$B61,'август 2024'!$J$4:$J$2015,H$1)</f>
        <v>0</v>
      </c>
      <c r="I61" s="80">
        <f>SUMIFS('август 2024'!$G$4:$G$2015,'август 2024'!$D$4:$D$2015,$B61,'август 2024'!$J$4:$J$2015,I$1)</f>
        <v>0</v>
      </c>
      <c r="J61" s="80">
        <f>SUMIFS('август 2024'!$G$4:$G$2015,'август 2024'!$D$4:$D$2015,$B61,'август 2024'!$J$4:$J$2015,J$1)</f>
        <v>0</v>
      </c>
      <c r="K61" s="80">
        <f>SUMIFS('август 2024'!$G$4:$G$2015,'август 2024'!$D$4:$D$2015,$B61,'август 2024'!$J$4:$J$2015,K$1)</f>
        <v>0</v>
      </c>
      <c r="L61" s="80">
        <f>SUMIFS('август 2024'!$G$4:$G$2015,'август 2024'!$D$4:$D$2015,$B61,'август 2024'!$J$4:$J$2015,L$1)</f>
        <v>0</v>
      </c>
      <c r="M61" s="80">
        <f>SUMIFS('август 2024'!$G$4:$G$2015,'август 2024'!$D$4:$D$2015,$B61,'август 2024'!$J$4:$J$2015,M$1)</f>
        <v>0</v>
      </c>
      <c r="N61" s="80">
        <f>SUMIFS('август 2024'!$G$4:$G$2015,'август 2024'!$D$4:$D$2015,$B61,'август 2024'!$J$4:$J$2015,N$1)</f>
        <v>0</v>
      </c>
      <c r="O61" s="80">
        <f>SUMIFS('август 2024'!$G$4:$G$2015,'август 2024'!$D$4:$D$2015,$B61,'август 2024'!$J$4:$J$2015,O$1)</f>
        <v>0</v>
      </c>
      <c r="P61" s="80">
        <f>SUMIFS('август 2024'!$G$4:$G$2015,'август 2024'!$D$4:$D$2015,$B61,'август 2024'!$J$4:$J$2015,P$1)</f>
        <v>0</v>
      </c>
      <c r="Q61" s="80">
        <f>SUMIFS('август 2024'!$G$4:$G$2015,'август 2024'!$D$4:$D$2015,$B61,'август 2024'!$J$4:$J$2015,Q$1)</f>
        <v>0</v>
      </c>
      <c r="R61" s="80">
        <f>SUMIFS('август 2024'!$G$4:$G$2015,'август 2024'!$D$4:$D$2015,$B61,'август 2024'!$J$4:$J$2015,R$1)</f>
        <v>0</v>
      </c>
      <c r="S61" s="80">
        <f>SUMIFS('август 2024'!$G$4:$G$2015,'август 2024'!$D$4:$D$2015,$B61,'август 2024'!$J$4:$J$2015,S$1)</f>
        <v>0</v>
      </c>
      <c r="T61" s="80">
        <f>SUMIFS('август 2024'!$G$4:$G$2015,'август 2024'!$D$4:$D$2015,$B61,'август 2024'!$J$4:$J$2015,T$1)</f>
        <v>0</v>
      </c>
      <c r="U61" s="80">
        <f>SUMIFS('август 2024'!$G$4:$G$2015,'август 2024'!$D$4:$D$2015,$B61,'август 2024'!$J$4:$J$2015,U$1)</f>
        <v>0</v>
      </c>
      <c r="V61" s="80">
        <f>SUMIFS('август 2024'!$G$4:$G$2015,'август 2024'!$D$4:$D$2015,$B61,'август 2024'!$J$4:$J$2015,V$1)</f>
        <v>0</v>
      </c>
      <c r="W61" s="80">
        <f>SUMIFS('август 2024'!$G$4:$G$2015,'август 2024'!$D$4:$D$2015,$B61,'август 2024'!$J$4:$J$2015,W$1)</f>
        <v>0</v>
      </c>
      <c r="X61" s="80">
        <f>SUMIFS('август 2024'!$G$4:$G$2015,'август 2024'!$D$4:$D$2015,$B61,'август 2024'!$J$4:$J$2015,X$1)</f>
        <v>0</v>
      </c>
      <c r="Y61" s="80">
        <f>SUMIFS('август 2024'!$G$4:$G$2015,'август 2024'!$D$4:$D$2015,$B61,'август 2024'!$J$4:$J$2015,Y$1)</f>
        <v>0</v>
      </c>
      <c r="Z61" s="80">
        <f>SUMIFS('август 2024'!$G$4:$G$2015,'август 2024'!$D$4:$D$2015,$B61,'август 2024'!$J$4:$J$2015,Z$1)</f>
        <v>0</v>
      </c>
      <c r="AA61" s="80">
        <f>SUMIFS('август 2024'!$G$4:$G$2015,'август 2024'!$D$4:$D$2015,$B61,'август 2024'!$J$4:$J$2015,AA$1)</f>
        <v>0</v>
      </c>
      <c r="AB61" s="80">
        <f>SUMIFS('август 2024'!$G$4:$G$2015,'август 2024'!$D$4:$D$2015,$B61,'август 2024'!$J$4:$J$2015,AB$1)</f>
        <v>0</v>
      </c>
      <c r="AC61" s="80">
        <f>SUMIFS('август 2024'!$G$4:$G$2015,'август 2024'!$D$4:$D$2015,$B61,'август 2024'!$J$4:$J$2015,AC$1)</f>
        <v>0</v>
      </c>
      <c r="AD61" s="80">
        <f>SUMIFS('август 2024'!$G$4:$G$2015,'август 2024'!$D$4:$D$2015,$B61,'август 2024'!$J$4:$J$2015,AD$1)</f>
        <v>0</v>
      </c>
      <c r="AE61" s="80">
        <f>SUMIFS('август 2024'!$G$4:$G$2015,'август 2024'!$D$4:$D$2015,$B61,'август 2024'!$J$4:$J$2015,AE$1)</f>
        <v>0</v>
      </c>
      <c r="AF61" s="80">
        <f>SUMIFS('август 2024'!$G$4:$G$2015,'август 2024'!$D$4:$D$2015,$B61,'август 2024'!$J$4:$J$2015,AF$1)</f>
        <v>0</v>
      </c>
      <c r="AG61" s="80">
        <f>SUMIFS('август 2024'!$G$4:$G$2015,'август 2024'!$D$4:$D$2015,$B61,'август 2024'!$J$4:$J$2015,AG$1)</f>
        <v>0</v>
      </c>
      <c r="AH61" s="80">
        <f>SUMIFS('август 2024'!$G$4:$G$2015,'август 2024'!$D$4:$D$2015,$B61,'август 2024'!$J$4:$J$2015,AH$1)</f>
        <v>0</v>
      </c>
      <c r="AI61" s="21">
        <f t="shared" si="1"/>
        <v>0</v>
      </c>
    </row>
    <row r="62" spans="2:35" ht="15" customHeight="1" x14ac:dyDescent="0.25">
      <c r="B62" s="92" t="s">
        <v>1153</v>
      </c>
      <c r="C62" s="91">
        <v>50</v>
      </c>
      <c r="D62" s="80">
        <f>SUMIFS('август 2024'!$G$4:$G$2015,'август 2024'!$D$4:$D$2015,$B62,'август 2024'!$J$4:$J$2015,D$1)</f>
        <v>0</v>
      </c>
      <c r="E62" s="80">
        <f>SUMIFS('август 2024'!$G$4:$G$2015,'август 2024'!$D$4:$D$2015,$B62,'август 2024'!$J$4:$J$2015,E$1)</f>
        <v>0</v>
      </c>
      <c r="F62" s="80">
        <f>SUMIFS('август 2024'!$G$4:$G$2015,'август 2024'!$D$4:$D$2015,$B62,'август 2024'!$J$4:$J$2015,F$1)</f>
        <v>0</v>
      </c>
      <c r="G62" s="80">
        <f>SUMIFS('август 2024'!$G$4:$G$2015,'август 2024'!$D$4:$D$2015,$B62,'август 2024'!$J$4:$J$2015,G$1)</f>
        <v>0</v>
      </c>
      <c r="H62" s="80">
        <f>SUMIFS('август 2024'!$G$4:$G$2015,'август 2024'!$D$4:$D$2015,$B62,'август 2024'!$J$4:$J$2015,H$1)</f>
        <v>0</v>
      </c>
      <c r="I62" s="80">
        <f>SUMIFS('август 2024'!$G$4:$G$2015,'август 2024'!$D$4:$D$2015,$B62,'август 2024'!$J$4:$J$2015,I$1)</f>
        <v>0</v>
      </c>
      <c r="J62" s="80">
        <f>SUMIFS('август 2024'!$G$4:$G$2015,'август 2024'!$D$4:$D$2015,$B62,'август 2024'!$J$4:$J$2015,J$1)</f>
        <v>0</v>
      </c>
      <c r="K62" s="80">
        <f>SUMIFS('август 2024'!$G$4:$G$2015,'август 2024'!$D$4:$D$2015,$B62,'август 2024'!$J$4:$J$2015,K$1)</f>
        <v>0</v>
      </c>
      <c r="L62" s="80">
        <f>SUMIFS('август 2024'!$G$4:$G$2015,'август 2024'!$D$4:$D$2015,$B62,'август 2024'!$J$4:$J$2015,L$1)</f>
        <v>0</v>
      </c>
      <c r="M62" s="80">
        <f>SUMIFS('август 2024'!$G$4:$G$2015,'август 2024'!$D$4:$D$2015,$B62,'август 2024'!$J$4:$J$2015,M$1)</f>
        <v>0</v>
      </c>
      <c r="N62" s="80">
        <f>SUMIFS('август 2024'!$G$4:$G$2015,'август 2024'!$D$4:$D$2015,$B62,'август 2024'!$J$4:$J$2015,N$1)</f>
        <v>0</v>
      </c>
      <c r="O62" s="80">
        <f>SUMIFS('август 2024'!$G$4:$G$2015,'август 2024'!$D$4:$D$2015,$B62,'август 2024'!$J$4:$J$2015,O$1)</f>
        <v>0</v>
      </c>
      <c r="P62" s="80">
        <f>SUMIFS('август 2024'!$G$4:$G$2015,'август 2024'!$D$4:$D$2015,$B62,'август 2024'!$J$4:$J$2015,P$1)</f>
        <v>0</v>
      </c>
      <c r="Q62" s="80">
        <f>SUMIFS('август 2024'!$G$4:$G$2015,'август 2024'!$D$4:$D$2015,$B62,'август 2024'!$J$4:$J$2015,Q$1)</f>
        <v>0</v>
      </c>
      <c r="R62" s="80">
        <f>SUMIFS('август 2024'!$G$4:$G$2015,'август 2024'!$D$4:$D$2015,$B62,'август 2024'!$J$4:$J$2015,R$1)</f>
        <v>0</v>
      </c>
      <c r="S62" s="80">
        <f>SUMIFS('август 2024'!$G$4:$G$2015,'август 2024'!$D$4:$D$2015,$B62,'август 2024'!$J$4:$J$2015,S$1)</f>
        <v>0</v>
      </c>
      <c r="T62" s="80">
        <f>SUMIFS('август 2024'!$G$4:$G$2015,'август 2024'!$D$4:$D$2015,$B62,'август 2024'!$J$4:$J$2015,T$1)</f>
        <v>0</v>
      </c>
      <c r="U62" s="80">
        <f>SUMIFS('август 2024'!$G$4:$G$2015,'август 2024'!$D$4:$D$2015,$B62,'август 2024'!$J$4:$J$2015,U$1)</f>
        <v>0</v>
      </c>
      <c r="V62" s="80">
        <f>SUMIFS('август 2024'!$G$4:$G$2015,'август 2024'!$D$4:$D$2015,$B62,'август 2024'!$J$4:$J$2015,V$1)</f>
        <v>0</v>
      </c>
      <c r="W62" s="80">
        <f>SUMIFS('август 2024'!$G$4:$G$2015,'август 2024'!$D$4:$D$2015,$B62,'август 2024'!$J$4:$J$2015,W$1)</f>
        <v>0</v>
      </c>
      <c r="X62" s="80">
        <f>SUMIFS('август 2024'!$G$4:$G$2015,'август 2024'!$D$4:$D$2015,$B62,'август 2024'!$J$4:$J$2015,X$1)</f>
        <v>0</v>
      </c>
      <c r="Y62" s="80">
        <f>SUMIFS('август 2024'!$G$4:$G$2015,'август 2024'!$D$4:$D$2015,$B62,'август 2024'!$J$4:$J$2015,Y$1)</f>
        <v>0</v>
      </c>
      <c r="Z62" s="80">
        <f>SUMIFS('август 2024'!$G$4:$G$2015,'август 2024'!$D$4:$D$2015,$B62,'август 2024'!$J$4:$J$2015,Z$1)</f>
        <v>0</v>
      </c>
      <c r="AA62" s="80">
        <f>SUMIFS('август 2024'!$G$4:$G$2015,'август 2024'!$D$4:$D$2015,$B62,'август 2024'!$J$4:$J$2015,AA$1)</f>
        <v>0</v>
      </c>
      <c r="AB62" s="80">
        <f>SUMIFS('август 2024'!$G$4:$G$2015,'август 2024'!$D$4:$D$2015,$B62,'август 2024'!$J$4:$J$2015,AB$1)</f>
        <v>0</v>
      </c>
      <c r="AC62" s="80">
        <f>SUMIFS('август 2024'!$G$4:$G$2015,'август 2024'!$D$4:$D$2015,$B62,'август 2024'!$J$4:$J$2015,AC$1)</f>
        <v>0</v>
      </c>
      <c r="AD62" s="80">
        <f>SUMIFS('август 2024'!$G$4:$G$2015,'август 2024'!$D$4:$D$2015,$B62,'август 2024'!$J$4:$J$2015,AD$1)</f>
        <v>0</v>
      </c>
      <c r="AE62" s="80">
        <f>SUMIFS('август 2024'!$G$4:$G$2015,'август 2024'!$D$4:$D$2015,$B62,'август 2024'!$J$4:$J$2015,AE$1)</f>
        <v>0</v>
      </c>
      <c r="AF62" s="80">
        <f>SUMIFS('август 2024'!$G$4:$G$2015,'август 2024'!$D$4:$D$2015,$B62,'август 2024'!$J$4:$J$2015,AF$1)</f>
        <v>0</v>
      </c>
      <c r="AG62" s="80">
        <f>SUMIFS('август 2024'!$G$4:$G$2015,'август 2024'!$D$4:$D$2015,$B62,'август 2024'!$J$4:$J$2015,AG$1)</f>
        <v>0</v>
      </c>
      <c r="AH62" s="80">
        <f>SUMIFS('август 2024'!$G$4:$G$2015,'август 2024'!$D$4:$D$2015,$B62,'август 2024'!$J$4:$J$2015,AH$1)</f>
        <v>0</v>
      </c>
      <c r="AI62" s="21">
        <f t="shared" si="1"/>
        <v>0</v>
      </c>
    </row>
    <row r="63" spans="2:35" ht="15" customHeight="1" x14ac:dyDescent="0.25">
      <c r="B63" s="93" t="s">
        <v>209</v>
      </c>
      <c r="C63" s="91">
        <v>200</v>
      </c>
      <c r="D63" s="80">
        <f>SUMIFS('август 2024'!$G$4:$G$2015,'август 2024'!$D$4:$D$2015,$B63,'август 2024'!$J$4:$J$2015,D$1)</f>
        <v>0</v>
      </c>
      <c r="E63" s="80">
        <f>SUMIFS('август 2024'!$G$4:$G$2015,'август 2024'!$D$4:$D$2015,$B63,'август 2024'!$J$4:$J$2015,E$1)</f>
        <v>0</v>
      </c>
      <c r="F63" s="80">
        <f>SUMIFS('август 2024'!$G$4:$G$2015,'август 2024'!$D$4:$D$2015,$B63,'август 2024'!$J$4:$J$2015,F$1)</f>
        <v>0</v>
      </c>
      <c r="G63" s="80">
        <f>SUMIFS('август 2024'!$G$4:$G$2015,'август 2024'!$D$4:$D$2015,$B63,'август 2024'!$J$4:$J$2015,G$1)</f>
        <v>0</v>
      </c>
      <c r="H63" s="80">
        <f>SUMIFS('август 2024'!$G$4:$G$2015,'август 2024'!$D$4:$D$2015,$B63,'август 2024'!$J$4:$J$2015,H$1)</f>
        <v>0</v>
      </c>
      <c r="I63" s="80">
        <f>SUMIFS('август 2024'!$G$4:$G$2015,'август 2024'!$D$4:$D$2015,$B63,'август 2024'!$J$4:$J$2015,I$1)</f>
        <v>0</v>
      </c>
      <c r="J63" s="80">
        <f>SUMIFS('август 2024'!$G$4:$G$2015,'август 2024'!$D$4:$D$2015,$B63,'август 2024'!$J$4:$J$2015,J$1)</f>
        <v>0</v>
      </c>
      <c r="K63" s="80">
        <f>SUMIFS('август 2024'!$G$4:$G$2015,'август 2024'!$D$4:$D$2015,$B63,'август 2024'!$J$4:$J$2015,K$1)</f>
        <v>0</v>
      </c>
      <c r="L63" s="80">
        <f>SUMIFS('август 2024'!$G$4:$G$2015,'август 2024'!$D$4:$D$2015,$B63,'август 2024'!$J$4:$J$2015,L$1)</f>
        <v>0</v>
      </c>
      <c r="M63" s="80">
        <f>SUMIFS('август 2024'!$G$4:$G$2015,'август 2024'!$D$4:$D$2015,$B63,'август 2024'!$J$4:$J$2015,M$1)</f>
        <v>0</v>
      </c>
      <c r="N63" s="80">
        <f>SUMIFS('август 2024'!$G$4:$G$2015,'август 2024'!$D$4:$D$2015,$B63,'август 2024'!$J$4:$J$2015,N$1)</f>
        <v>0</v>
      </c>
      <c r="O63" s="80">
        <f>SUMIFS('август 2024'!$G$4:$G$2015,'август 2024'!$D$4:$D$2015,$B63,'август 2024'!$J$4:$J$2015,O$1)</f>
        <v>0</v>
      </c>
      <c r="P63" s="80">
        <f>SUMIFS('август 2024'!$G$4:$G$2015,'август 2024'!$D$4:$D$2015,$B63,'август 2024'!$J$4:$J$2015,P$1)</f>
        <v>0</v>
      </c>
      <c r="Q63" s="80">
        <f>SUMIFS('август 2024'!$G$4:$G$2015,'август 2024'!$D$4:$D$2015,$B63,'август 2024'!$J$4:$J$2015,Q$1)</f>
        <v>0</v>
      </c>
      <c r="R63" s="80">
        <f>SUMIFS('август 2024'!$G$4:$G$2015,'август 2024'!$D$4:$D$2015,$B63,'август 2024'!$J$4:$J$2015,R$1)</f>
        <v>0</v>
      </c>
      <c r="S63" s="80">
        <f>SUMIFS('август 2024'!$G$4:$G$2015,'август 2024'!$D$4:$D$2015,$B63,'август 2024'!$J$4:$J$2015,S$1)</f>
        <v>0</v>
      </c>
      <c r="T63" s="80">
        <f>SUMIFS('август 2024'!$G$4:$G$2015,'август 2024'!$D$4:$D$2015,$B63,'август 2024'!$J$4:$J$2015,T$1)</f>
        <v>0</v>
      </c>
      <c r="U63" s="80">
        <f>SUMIFS('август 2024'!$G$4:$G$2015,'август 2024'!$D$4:$D$2015,$B63,'август 2024'!$J$4:$J$2015,U$1)</f>
        <v>0</v>
      </c>
      <c r="V63" s="80">
        <f>SUMIFS('август 2024'!$G$4:$G$2015,'август 2024'!$D$4:$D$2015,$B63,'август 2024'!$J$4:$J$2015,V$1)</f>
        <v>0</v>
      </c>
      <c r="W63" s="80">
        <f>SUMIFS('август 2024'!$G$4:$G$2015,'август 2024'!$D$4:$D$2015,$B63,'август 2024'!$J$4:$J$2015,W$1)</f>
        <v>0</v>
      </c>
      <c r="X63" s="80">
        <f>SUMIFS('август 2024'!$G$4:$G$2015,'август 2024'!$D$4:$D$2015,$B63,'август 2024'!$J$4:$J$2015,X$1)</f>
        <v>0</v>
      </c>
      <c r="Y63" s="80">
        <f>SUMIFS('август 2024'!$G$4:$G$2015,'август 2024'!$D$4:$D$2015,$B63,'август 2024'!$J$4:$J$2015,Y$1)</f>
        <v>0</v>
      </c>
      <c r="Z63" s="80">
        <f>SUMIFS('август 2024'!$G$4:$G$2015,'август 2024'!$D$4:$D$2015,$B63,'август 2024'!$J$4:$J$2015,Z$1)</f>
        <v>0</v>
      </c>
      <c r="AA63" s="80">
        <f>SUMIFS('август 2024'!$G$4:$G$2015,'август 2024'!$D$4:$D$2015,$B63,'август 2024'!$J$4:$J$2015,AA$1)</f>
        <v>0</v>
      </c>
      <c r="AB63" s="80">
        <f>SUMIFS('август 2024'!$G$4:$G$2015,'август 2024'!$D$4:$D$2015,$B63,'август 2024'!$J$4:$J$2015,AB$1)</f>
        <v>0</v>
      </c>
      <c r="AC63" s="80">
        <f>SUMIFS('август 2024'!$G$4:$G$2015,'август 2024'!$D$4:$D$2015,$B63,'август 2024'!$J$4:$J$2015,AC$1)</f>
        <v>0</v>
      </c>
      <c r="AD63" s="80">
        <f>SUMIFS('август 2024'!$G$4:$G$2015,'август 2024'!$D$4:$D$2015,$B63,'август 2024'!$J$4:$J$2015,AD$1)</f>
        <v>0</v>
      </c>
      <c r="AE63" s="80">
        <f>SUMIFS('август 2024'!$G$4:$G$2015,'август 2024'!$D$4:$D$2015,$B63,'август 2024'!$J$4:$J$2015,AE$1)</f>
        <v>0</v>
      </c>
      <c r="AF63" s="80">
        <f>SUMIFS('август 2024'!$G$4:$G$2015,'август 2024'!$D$4:$D$2015,$B63,'август 2024'!$J$4:$J$2015,AF$1)</f>
        <v>0</v>
      </c>
      <c r="AG63" s="80">
        <f>SUMIFS('август 2024'!$G$4:$G$2015,'август 2024'!$D$4:$D$2015,$B63,'август 2024'!$J$4:$J$2015,AG$1)</f>
        <v>0</v>
      </c>
      <c r="AH63" s="80">
        <f>SUMIFS('август 2024'!$G$4:$G$2015,'август 2024'!$D$4:$D$2015,$B63,'август 2024'!$J$4:$J$2015,AH$1)</f>
        <v>0</v>
      </c>
      <c r="AI63" s="21">
        <f t="shared" si="1"/>
        <v>0</v>
      </c>
    </row>
    <row r="64" spans="2:35" ht="15" customHeight="1" x14ac:dyDescent="0.25">
      <c r="B64" s="93" t="s">
        <v>222</v>
      </c>
      <c r="C64" s="91">
        <v>25</v>
      </c>
      <c r="D64" s="80">
        <f>SUMIFS('август 2024'!$G$4:$G$2015,'август 2024'!$D$4:$D$2015,$B64,'август 2024'!$J$4:$J$2015,D$1)</f>
        <v>0</v>
      </c>
      <c r="E64" s="80">
        <f>SUMIFS('август 2024'!$G$4:$G$2015,'август 2024'!$D$4:$D$2015,$B64,'август 2024'!$J$4:$J$2015,E$1)</f>
        <v>0</v>
      </c>
      <c r="F64" s="80">
        <f>SUMIFS('август 2024'!$G$4:$G$2015,'август 2024'!$D$4:$D$2015,$B64,'август 2024'!$J$4:$J$2015,F$1)</f>
        <v>0</v>
      </c>
      <c r="G64" s="80">
        <f>SUMIFS('август 2024'!$G$4:$G$2015,'август 2024'!$D$4:$D$2015,$B64,'август 2024'!$J$4:$J$2015,G$1)</f>
        <v>0</v>
      </c>
      <c r="H64" s="80">
        <f>SUMIFS('август 2024'!$G$4:$G$2015,'август 2024'!$D$4:$D$2015,$B64,'август 2024'!$J$4:$J$2015,H$1)</f>
        <v>0</v>
      </c>
      <c r="I64" s="80">
        <f>SUMIFS('август 2024'!$G$4:$G$2015,'август 2024'!$D$4:$D$2015,$B64,'август 2024'!$J$4:$J$2015,I$1)</f>
        <v>0</v>
      </c>
      <c r="J64" s="80">
        <f>SUMIFS('август 2024'!$G$4:$G$2015,'август 2024'!$D$4:$D$2015,$B64,'август 2024'!$J$4:$J$2015,J$1)</f>
        <v>0</v>
      </c>
      <c r="K64" s="80">
        <f>SUMIFS('август 2024'!$G$4:$G$2015,'август 2024'!$D$4:$D$2015,$B64,'август 2024'!$J$4:$J$2015,K$1)</f>
        <v>0</v>
      </c>
      <c r="L64" s="80">
        <f>SUMIFS('август 2024'!$G$4:$G$2015,'август 2024'!$D$4:$D$2015,$B64,'август 2024'!$J$4:$J$2015,L$1)</f>
        <v>0</v>
      </c>
      <c r="M64" s="80">
        <f>SUMIFS('август 2024'!$G$4:$G$2015,'август 2024'!$D$4:$D$2015,$B64,'август 2024'!$J$4:$J$2015,M$1)</f>
        <v>0</v>
      </c>
      <c r="N64" s="80">
        <f>SUMIFS('август 2024'!$G$4:$G$2015,'август 2024'!$D$4:$D$2015,$B64,'август 2024'!$J$4:$J$2015,N$1)</f>
        <v>0</v>
      </c>
      <c r="O64" s="80">
        <f>SUMIFS('август 2024'!$G$4:$G$2015,'август 2024'!$D$4:$D$2015,$B64,'август 2024'!$J$4:$J$2015,O$1)</f>
        <v>0</v>
      </c>
      <c r="P64" s="80">
        <f>SUMIFS('август 2024'!$G$4:$G$2015,'август 2024'!$D$4:$D$2015,$B64,'август 2024'!$J$4:$J$2015,P$1)</f>
        <v>0</v>
      </c>
      <c r="Q64" s="80">
        <f>SUMIFS('август 2024'!$G$4:$G$2015,'август 2024'!$D$4:$D$2015,$B64,'август 2024'!$J$4:$J$2015,Q$1)</f>
        <v>0</v>
      </c>
      <c r="R64" s="80">
        <f>SUMIFS('август 2024'!$G$4:$G$2015,'август 2024'!$D$4:$D$2015,$B64,'август 2024'!$J$4:$J$2015,R$1)</f>
        <v>0</v>
      </c>
      <c r="S64" s="80">
        <f>SUMIFS('август 2024'!$G$4:$G$2015,'август 2024'!$D$4:$D$2015,$B64,'август 2024'!$J$4:$J$2015,S$1)</f>
        <v>0</v>
      </c>
      <c r="T64" s="80">
        <f>SUMIFS('август 2024'!$G$4:$G$2015,'август 2024'!$D$4:$D$2015,$B64,'август 2024'!$J$4:$J$2015,T$1)</f>
        <v>0</v>
      </c>
      <c r="U64" s="80">
        <f>SUMIFS('август 2024'!$G$4:$G$2015,'август 2024'!$D$4:$D$2015,$B64,'август 2024'!$J$4:$J$2015,U$1)</f>
        <v>0</v>
      </c>
      <c r="V64" s="80">
        <f>SUMIFS('август 2024'!$G$4:$G$2015,'август 2024'!$D$4:$D$2015,$B64,'август 2024'!$J$4:$J$2015,V$1)</f>
        <v>0</v>
      </c>
      <c r="W64" s="80">
        <f>SUMIFS('август 2024'!$G$4:$G$2015,'август 2024'!$D$4:$D$2015,$B64,'август 2024'!$J$4:$J$2015,W$1)</f>
        <v>0</v>
      </c>
      <c r="X64" s="80">
        <f>SUMIFS('август 2024'!$G$4:$G$2015,'август 2024'!$D$4:$D$2015,$B64,'август 2024'!$J$4:$J$2015,X$1)</f>
        <v>0</v>
      </c>
      <c r="Y64" s="80">
        <f>SUMIFS('август 2024'!$G$4:$G$2015,'август 2024'!$D$4:$D$2015,$B64,'август 2024'!$J$4:$J$2015,Y$1)</f>
        <v>0</v>
      </c>
      <c r="Z64" s="80">
        <f>SUMIFS('август 2024'!$G$4:$G$2015,'август 2024'!$D$4:$D$2015,$B64,'август 2024'!$J$4:$J$2015,Z$1)</f>
        <v>0</v>
      </c>
      <c r="AA64" s="80">
        <f>SUMIFS('август 2024'!$G$4:$G$2015,'август 2024'!$D$4:$D$2015,$B64,'август 2024'!$J$4:$J$2015,AA$1)</f>
        <v>0</v>
      </c>
      <c r="AB64" s="80">
        <f>SUMIFS('август 2024'!$G$4:$G$2015,'август 2024'!$D$4:$D$2015,$B64,'август 2024'!$J$4:$J$2015,AB$1)</f>
        <v>0</v>
      </c>
      <c r="AC64" s="80">
        <f>SUMIFS('август 2024'!$G$4:$G$2015,'август 2024'!$D$4:$D$2015,$B64,'август 2024'!$J$4:$J$2015,AC$1)</f>
        <v>0</v>
      </c>
      <c r="AD64" s="80">
        <f>SUMIFS('август 2024'!$G$4:$G$2015,'август 2024'!$D$4:$D$2015,$B64,'август 2024'!$J$4:$J$2015,AD$1)</f>
        <v>0</v>
      </c>
      <c r="AE64" s="80">
        <f>SUMIFS('август 2024'!$G$4:$G$2015,'август 2024'!$D$4:$D$2015,$B64,'август 2024'!$J$4:$J$2015,AE$1)</f>
        <v>0</v>
      </c>
      <c r="AF64" s="80">
        <f>SUMIFS('август 2024'!$G$4:$G$2015,'август 2024'!$D$4:$D$2015,$B64,'август 2024'!$J$4:$J$2015,AF$1)</f>
        <v>0</v>
      </c>
      <c r="AG64" s="80">
        <f>SUMIFS('август 2024'!$G$4:$G$2015,'август 2024'!$D$4:$D$2015,$B64,'август 2024'!$J$4:$J$2015,AG$1)</f>
        <v>0</v>
      </c>
      <c r="AH64" s="80">
        <f>SUMIFS('август 2024'!$G$4:$G$2015,'август 2024'!$D$4:$D$2015,$B64,'август 2024'!$J$4:$J$2015,AH$1)</f>
        <v>0</v>
      </c>
      <c r="AI64" s="21">
        <f t="shared" si="1"/>
        <v>0</v>
      </c>
    </row>
    <row r="65" spans="2:35" ht="15" customHeight="1" x14ac:dyDescent="0.25">
      <c r="B65" s="93" t="s">
        <v>189</v>
      </c>
      <c r="C65" s="91">
        <v>50</v>
      </c>
      <c r="D65" s="80">
        <f>SUMIFS('август 2024'!$G$4:$G$2015,'август 2024'!$D$4:$D$2015,$B65,'август 2024'!$J$4:$J$2015,D$1)</f>
        <v>0</v>
      </c>
      <c r="E65" s="80">
        <f>SUMIFS('август 2024'!$G$4:$G$2015,'август 2024'!$D$4:$D$2015,$B65,'август 2024'!$J$4:$J$2015,E$1)</f>
        <v>0</v>
      </c>
      <c r="F65" s="80">
        <f>SUMIFS('август 2024'!$G$4:$G$2015,'август 2024'!$D$4:$D$2015,$B65,'август 2024'!$J$4:$J$2015,F$1)</f>
        <v>0</v>
      </c>
      <c r="G65" s="80">
        <f>SUMIFS('август 2024'!$G$4:$G$2015,'август 2024'!$D$4:$D$2015,$B65,'август 2024'!$J$4:$J$2015,G$1)</f>
        <v>0</v>
      </c>
      <c r="H65" s="80">
        <f>SUMIFS('август 2024'!$G$4:$G$2015,'август 2024'!$D$4:$D$2015,$B65,'август 2024'!$J$4:$J$2015,H$1)</f>
        <v>0</v>
      </c>
      <c r="I65" s="80">
        <f>SUMIFS('август 2024'!$G$4:$G$2015,'август 2024'!$D$4:$D$2015,$B65,'август 2024'!$J$4:$J$2015,I$1)</f>
        <v>0</v>
      </c>
      <c r="J65" s="80">
        <f>SUMIFS('август 2024'!$G$4:$G$2015,'август 2024'!$D$4:$D$2015,$B65,'август 2024'!$J$4:$J$2015,J$1)</f>
        <v>0</v>
      </c>
      <c r="K65" s="80">
        <f>SUMIFS('август 2024'!$G$4:$G$2015,'август 2024'!$D$4:$D$2015,$B65,'август 2024'!$J$4:$J$2015,K$1)</f>
        <v>0</v>
      </c>
      <c r="L65" s="80">
        <f>SUMIFS('август 2024'!$G$4:$G$2015,'август 2024'!$D$4:$D$2015,$B65,'август 2024'!$J$4:$J$2015,L$1)</f>
        <v>0</v>
      </c>
      <c r="M65" s="80">
        <f>SUMIFS('август 2024'!$G$4:$G$2015,'август 2024'!$D$4:$D$2015,$B65,'август 2024'!$J$4:$J$2015,M$1)</f>
        <v>0</v>
      </c>
      <c r="N65" s="80">
        <f>SUMIFS('август 2024'!$G$4:$G$2015,'август 2024'!$D$4:$D$2015,$B65,'август 2024'!$J$4:$J$2015,N$1)</f>
        <v>0</v>
      </c>
      <c r="O65" s="80">
        <f>SUMIFS('август 2024'!$G$4:$G$2015,'август 2024'!$D$4:$D$2015,$B65,'август 2024'!$J$4:$J$2015,O$1)</f>
        <v>0</v>
      </c>
      <c r="P65" s="80">
        <f>SUMIFS('август 2024'!$G$4:$G$2015,'август 2024'!$D$4:$D$2015,$B65,'август 2024'!$J$4:$J$2015,P$1)</f>
        <v>0</v>
      </c>
      <c r="Q65" s="80">
        <f>SUMIFS('август 2024'!$G$4:$G$2015,'август 2024'!$D$4:$D$2015,$B65,'август 2024'!$J$4:$J$2015,Q$1)</f>
        <v>0</v>
      </c>
      <c r="R65" s="80">
        <f>SUMIFS('август 2024'!$G$4:$G$2015,'август 2024'!$D$4:$D$2015,$B65,'август 2024'!$J$4:$J$2015,R$1)</f>
        <v>0</v>
      </c>
      <c r="S65" s="80">
        <f>SUMIFS('август 2024'!$G$4:$G$2015,'август 2024'!$D$4:$D$2015,$B65,'август 2024'!$J$4:$J$2015,S$1)</f>
        <v>0</v>
      </c>
      <c r="T65" s="80">
        <f>SUMIFS('август 2024'!$G$4:$G$2015,'август 2024'!$D$4:$D$2015,$B65,'август 2024'!$J$4:$J$2015,T$1)</f>
        <v>0</v>
      </c>
      <c r="U65" s="80">
        <f>SUMIFS('август 2024'!$G$4:$G$2015,'август 2024'!$D$4:$D$2015,$B65,'август 2024'!$J$4:$J$2015,U$1)</f>
        <v>0</v>
      </c>
      <c r="V65" s="80">
        <f>SUMIFS('август 2024'!$G$4:$G$2015,'август 2024'!$D$4:$D$2015,$B65,'август 2024'!$J$4:$J$2015,V$1)</f>
        <v>0</v>
      </c>
      <c r="W65" s="80">
        <f>SUMIFS('август 2024'!$G$4:$G$2015,'август 2024'!$D$4:$D$2015,$B65,'август 2024'!$J$4:$J$2015,W$1)</f>
        <v>0</v>
      </c>
      <c r="X65" s="80">
        <f>SUMIFS('август 2024'!$G$4:$G$2015,'август 2024'!$D$4:$D$2015,$B65,'август 2024'!$J$4:$J$2015,X$1)</f>
        <v>0</v>
      </c>
      <c r="Y65" s="80">
        <f>SUMIFS('август 2024'!$G$4:$G$2015,'август 2024'!$D$4:$D$2015,$B65,'август 2024'!$J$4:$J$2015,Y$1)</f>
        <v>0</v>
      </c>
      <c r="Z65" s="80">
        <f>SUMIFS('август 2024'!$G$4:$G$2015,'август 2024'!$D$4:$D$2015,$B65,'август 2024'!$J$4:$J$2015,Z$1)</f>
        <v>0</v>
      </c>
      <c r="AA65" s="80">
        <f>SUMIFS('август 2024'!$G$4:$G$2015,'август 2024'!$D$4:$D$2015,$B65,'август 2024'!$J$4:$J$2015,AA$1)</f>
        <v>0</v>
      </c>
      <c r="AB65" s="80">
        <f>SUMIFS('август 2024'!$G$4:$G$2015,'август 2024'!$D$4:$D$2015,$B65,'август 2024'!$J$4:$J$2015,AB$1)</f>
        <v>0</v>
      </c>
      <c r="AC65" s="80">
        <f>SUMIFS('август 2024'!$G$4:$G$2015,'август 2024'!$D$4:$D$2015,$B65,'август 2024'!$J$4:$J$2015,AC$1)</f>
        <v>0</v>
      </c>
      <c r="AD65" s="80">
        <f>SUMIFS('август 2024'!$G$4:$G$2015,'август 2024'!$D$4:$D$2015,$B65,'август 2024'!$J$4:$J$2015,AD$1)</f>
        <v>0</v>
      </c>
      <c r="AE65" s="80">
        <f>SUMIFS('август 2024'!$G$4:$G$2015,'август 2024'!$D$4:$D$2015,$B65,'август 2024'!$J$4:$J$2015,AE$1)</f>
        <v>0</v>
      </c>
      <c r="AF65" s="80">
        <f>SUMIFS('август 2024'!$G$4:$G$2015,'август 2024'!$D$4:$D$2015,$B65,'август 2024'!$J$4:$J$2015,AF$1)</f>
        <v>0</v>
      </c>
      <c r="AG65" s="80">
        <f>SUMIFS('август 2024'!$G$4:$G$2015,'август 2024'!$D$4:$D$2015,$B65,'август 2024'!$J$4:$J$2015,AG$1)</f>
        <v>0</v>
      </c>
      <c r="AH65" s="80">
        <f>SUMIFS('август 2024'!$G$4:$G$2015,'август 2024'!$D$4:$D$2015,$B65,'август 2024'!$J$4:$J$2015,AH$1)</f>
        <v>0</v>
      </c>
      <c r="AI65" s="21">
        <f t="shared" si="1"/>
        <v>0</v>
      </c>
    </row>
    <row r="66" spans="2:35" ht="15.75" x14ac:dyDescent="0.25">
      <c r="B66" s="89" t="s">
        <v>159</v>
      </c>
      <c r="C66" s="88">
        <v>200</v>
      </c>
      <c r="D66" s="80">
        <f>SUMIFS('август 2024'!$G$4:$G$2015,'август 2024'!$D$4:$D$2015,$B66,'август 2024'!$J$4:$J$2015,D$1)</f>
        <v>0</v>
      </c>
      <c r="E66" s="80">
        <f>SUMIFS('август 2024'!$G$4:$G$2015,'август 2024'!$D$4:$D$2015,$B66,'август 2024'!$J$4:$J$2015,E$1)</f>
        <v>0</v>
      </c>
      <c r="F66" s="80">
        <f>SUMIFS('август 2024'!$G$4:$G$2015,'август 2024'!$D$4:$D$2015,$B66,'август 2024'!$J$4:$J$2015,F$1)</f>
        <v>0</v>
      </c>
      <c r="G66" s="80">
        <f>SUMIFS('август 2024'!$G$4:$G$2015,'август 2024'!$D$4:$D$2015,$B66,'август 2024'!$J$4:$J$2015,G$1)</f>
        <v>0</v>
      </c>
      <c r="H66" s="80">
        <f>SUMIFS('август 2024'!$G$4:$G$2015,'август 2024'!$D$4:$D$2015,$B66,'август 2024'!$J$4:$J$2015,H$1)</f>
        <v>0</v>
      </c>
      <c r="I66" s="80">
        <f>SUMIFS('август 2024'!$G$4:$G$2015,'август 2024'!$D$4:$D$2015,$B66,'август 2024'!$J$4:$J$2015,I$1)</f>
        <v>0</v>
      </c>
      <c r="J66" s="80">
        <f>SUMIFS('август 2024'!$G$4:$G$2015,'август 2024'!$D$4:$D$2015,$B66,'август 2024'!$J$4:$J$2015,J$1)</f>
        <v>0</v>
      </c>
      <c r="K66" s="80">
        <f>SUMIFS('август 2024'!$G$4:$G$2015,'август 2024'!$D$4:$D$2015,$B66,'август 2024'!$J$4:$J$2015,K$1)</f>
        <v>0</v>
      </c>
      <c r="L66" s="80">
        <f>SUMIFS('август 2024'!$G$4:$G$2015,'август 2024'!$D$4:$D$2015,$B66,'август 2024'!$J$4:$J$2015,L$1)</f>
        <v>0</v>
      </c>
      <c r="M66" s="80">
        <f>SUMIFS('август 2024'!$G$4:$G$2015,'август 2024'!$D$4:$D$2015,$B66,'август 2024'!$J$4:$J$2015,M$1)</f>
        <v>0</v>
      </c>
      <c r="N66" s="80">
        <f>SUMIFS('август 2024'!$G$4:$G$2015,'август 2024'!$D$4:$D$2015,$B66,'август 2024'!$J$4:$J$2015,N$1)</f>
        <v>0</v>
      </c>
      <c r="O66" s="80">
        <f>SUMIFS('август 2024'!$G$4:$G$2015,'август 2024'!$D$4:$D$2015,$B66,'август 2024'!$J$4:$J$2015,O$1)</f>
        <v>0</v>
      </c>
      <c r="P66" s="80">
        <f>SUMIFS('август 2024'!$G$4:$G$2015,'август 2024'!$D$4:$D$2015,$B66,'август 2024'!$J$4:$J$2015,P$1)</f>
        <v>0</v>
      </c>
      <c r="Q66" s="80">
        <f>SUMIFS('август 2024'!$G$4:$G$2015,'август 2024'!$D$4:$D$2015,$B66,'август 2024'!$J$4:$J$2015,Q$1)</f>
        <v>0</v>
      </c>
      <c r="R66" s="80">
        <f>SUMIFS('август 2024'!$G$4:$G$2015,'август 2024'!$D$4:$D$2015,$B66,'август 2024'!$J$4:$J$2015,R$1)</f>
        <v>0</v>
      </c>
      <c r="S66" s="80">
        <f>SUMIFS('август 2024'!$G$4:$G$2015,'август 2024'!$D$4:$D$2015,$B66,'август 2024'!$J$4:$J$2015,S$1)</f>
        <v>0</v>
      </c>
      <c r="T66" s="80">
        <f>SUMIFS('август 2024'!$G$4:$G$2015,'август 2024'!$D$4:$D$2015,$B66,'август 2024'!$J$4:$J$2015,T$1)</f>
        <v>0</v>
      </c>
      <c r="U66" s="80">
        <f>SUMIFS('август 2024'!$G$4:$G$2015,'август 2024'!$D$4:$D$2015,$B66,'август 2024'!$J$4:$J$2015,U$1)</f>
        <v>0</v>
      </c>
      <c r="V66" s="80">
        <f>SUMIFS('август 2024'!$G$4:$G$2015,'август 2024'!$D$4:$D$2015,$B66,'август 2024'!$J$4:$J$2015,V$1)</f>
        <v>0</v>
      </c>
      <c r="W66" s="80">
        <f>SUMIFS('август 2024'!$G$4:$G$2015,'август 2024'!$D$4:$D$2015,$B66,'август 2024'!$J$4:$J$2015,W$1)</f>
        <v>0</v>
      </c>
      <c r="X66" s="80">
        <f>SUMIFS('август 2024'!$G$4:$G$2015,'август 2024'!$D$4:$D$2015,$B66,'август 2024'!$J$4:$J$2015,X$1)</f>
        <v>0</v>
      </c>
      <c r="Y66" s="80">
        <f>SUMIFS('август 2024'!$G$4:$G$2015,'август 2024'!$D$4:$D$2015,$B66,'август 2024'!$J$4:$J$2015,Y$1)</f>
        <v>0</v>
      </c>
      <c r="Z66" s="80">
        <f>SUMIFS('август 2024'!$G$4:$G$2015,'август 2024'!$D$4:$D$2015,$B66,'август 2024'!$J$4:$J$2015,Z$1)</f>
        <v>0</v>
      </c>
      <c r="AA66" s="80">
        <f>SUMIFS('август 2024'!$G$4:$G$2015,'август 2024'!$D$4:$D$2015,$B66,'август 2024'!$J$4:$J$2015,AA$1)</f>
        <v>0</v>
      </c>
      <c r="AB66" s="80">
        <f>SUMIFS('август 2024'!$G$4:$G$2015,'август 2024'!$D$4:$D$2015,$B66,'август 2024'!$J$4:$J$2015,AB$1)</f>
        <v>0</v>
      </c>
      <c r="AC66" s="80">
        <f>SUMIFS('август 2024'!$G$4:$G$2015,'август 2024'!$D$4:$D$2015,$B66,'август 2024'!$J$4:$J$2015,AC$1)</f>
        <v>0</v>
      </c>
      <c r="AD66" s="80">
        <f>SUMIFS('август 2024'!$G$4:$G$2015,'август 2024'!$D$4:$D$2015,$B66,'август 2024'!$J$4:$J$2015,AD$1)</f>
        <v>0</v>
      </c>
      <c r="AE66" s="80">
        <f>SUMIFS('август 2024'!$G$4:$G$2015,'август 2024'!$D$4:$D$2015,$B66,'август 2024'!$J$4:$J$2015,AE$1)</f>
        <v>0</v>
      </c>
      <c r="AF66" s="80">
        <f>SUMIFS('август 2024'!$G$4:$G$2015,'август 2024'!$D$4:$D$2015,$B66,'август 2024'!$J$4:$J$2015,AF$1)</f>
        <v>0</v>
      </c>
      <c r="AG66" s="80">
        <f>SUMIFS('август 2024'!$G$4:$G$2015,'август 2024'!$D$4:$D$2015,$B66,'август 2024'!$J$4:$J$2015,AG$1)</f>
        <v>0</v>
      </c>
      <c r="AH66" s="80">
        <f>SUMIFS('август 2024'!$G$4:$G$2015,'август 2024'!$D$4:$D$2015,$B66,'август 2024'!$J$4:$J$2015,AH$1)</f>
        <v>0</v>
      </c>
      <c r="AI66" s="21">
        <f t="shared" si="1"/>
        <v>0</v>
      </c>
    </row>
    <row r="67" spans="2:35" ht="15.75" x14ac:dyDescent="0.25">
      <c r="B67" s="93" t="s">
        <v>158</v>
      </c>
      <c r="C67" s="91">
        <v>200</v>
      </c>
      <c r="D67" s="80">
        <f>SUMIFS('август 2024'!$G$4:$G$2015,'август 2024'!$D$4:$D$2015,$B67,'август 2024'!$J$4:$J$2015,D$1)</f>
        <v>0</v>
      </c>
      <c r="E67" s="80">
        <f>SUMIFS('август 2024'!$G$4:$G$2015,'август 2024'!$D$4:$D$2015,$B67,'август 2024'!$J$4:$J$2015,E$1)</f>
        <v>0</v>
      </c>
      <c r="F67" s="80">
        <f>SUMIFS('август 2024'!$G$4:$G$2015,'август 2024'!$D$4:$D$2015,$B67,'август 2024'!$J$4:$J$2015,F$1)</f>
        <v>0</v>
      </c>
      <c r="G67" s="80">
        <f>SUMIFS('август 2024'!$G$4:$G$2015,'август 2024'!$D$4:$D$2015,$B67,'август 2024'!$J$4:$J$2015,G$1)</f>
        <v>0</v>
      </c>
      <c r="H67" s="80">
        <f>SUMIFS('август 2024'!$G$4:$G$2015,'август 2024'!$D$4:$D$2015,$B67,'август 2024'!$J$4:$J$2015,H$1)</f>
        <v>0</v>
      </c>
      <c r="I67" s="80">
        <f>SUMIFS('август 2024'!$G$4:$G$2015,'август 2024'!$D$4:$D$2015,$B67,'август 2024'!$J$4:$J$2015,I$1)</f>
        <v>88</v>
      </c>
      <c r="J67" s="80">
        <f>SUMIFS('август 2024'!$G$4:$G$2015,'август 2024'!$D$4:$D$2015,$B67,'август 2024'!$J$4:$J$2015,J$1)</f>
        <v>0</v>
      </c>
      <c r="K67" s="80">
        <f>SUMIFS('август 2024'!$G$4:$G$2015,'август 2024'!$D$4:$D$2015,$B67,'август 2024'!$J$4:$J$2015,K$1)</f>
        <v>0</v>
      </c>
      <c r="L67" s="80">
        <f>SUMIFS('август 2024'!$G$4:$G$2015,'август 2024'!$D$4:$D$2015,$B67,'август 2024'!$J$4:$J$2015,L$1)</f>
        <v>0</v>
      </c>
      <c r="M67" s="80">
        <f>SUMIFS('август 2024'!$G$4:$G$2015,'август 2024'!$D$4:$D$2015,$B67,'август 2024'!$J$4:$J$2015,M$1)</f>
        <v>0</v>
      </c>
      <c r="N67" s="80">
        <f>SUMIFS('август 2024'!$G$4:$G$2015,'август 2024'!$D$4:$D$2015,$B67,'август 2024'!$J$4:$J$2015,N$1)</f>
        <v>0</v>
      </c>
      <c r="O67" s="80">
        <f>SUMIFS('август 2024'!$G$4:$G$2015,'август 2024'!$D$4:$D$2015,$B67,'август 2024'!$J$4:$J$2015,O$1)</f>
        <v>0</v>
      </c>
      <c r="P67" s="80">
        <f>SUMIFS('август 2024'!$G$4:$G$2015,'август 2024'!$D$4:$D$2015,$B67,'август 2024'!$J$4:$J$2015,P$1)</f>
        <v>0</v>
      </c>
      <c r="Q67" s="80">
        <f>SUMIFS('август 2024'!$G$4:$G$2015,'август 2024'!$D$4:$D$2015,$B67,'август 2024'!$J$4:$J$2015,Q$1)</f>
        <v>0</v>
      </c>
      <c r="R67" s="80">
        <f>SUMIFS('август 2024'!$G$4:$G$2015,'август 2024'!$D$4:$D$2015,$B67,'август 2024'!$J$4:$J$2015,R$1)</f>
        <v>0</v>
      </c>
      <c r="S67" s="80">
        <f>SUMIFS('август 2024'!$G$4:$G$2015,'август 2024'!$D$4:$D$2015,$B67,'август 2024'!$J$4:$J$2015,S$1)</f>
        <v>0</v>
      </c>
      <c r="T67" s="80">
        <f>SUMIFS('август 2024'!$G$4:$G$2015,'август 2024'!$D$4:$D$2015,$B67,'август 2024'!$J$4:$J$2015,T$1)</f>
        <v>0</v>
      </c>
      <c r="U67" s="80">
        <f>SUMIFS('август 2024'!$G$4:$G$2015,'август 2024'!$D$4:$D$2015,$B67,'август 2024'!$J$4:$J$2015,U$1)</f>
        <v>0</v>
      </c>
      <c r="V67" s="80">
        <f>SUMIFS('август 2024'!$G$4:$G$2015,'август 2024'!$D$4:$D$2015,$B67,'август 2024'!$J$4:$J$2015,V$1)</f>
        <v>0</v>
      </c>
      <c r="W67" s="80">
        <f>SUMIFS('август 2024'!$G$4:$G$2015,'август 2024'!$D$4:$D$2015,$B67,'август 2024'!$J$4:$J$2015,W$1)</f>
        <v>0</v>
      </c>
      <c r="X67" s="80">
        <f>SUMIFS('август 2024'!$G$4:$G$2015,'август 2024'!$D$4:$D$2015,$B67,'август 2024'!$J$4:$J$2015,X$1)</f>
        <v>0</v>
      </c>
      <c r="Y67" s="80">
        <f>SUMIFS('август 2024'!$G$4:$G$2015,'август 2024'!$D$4:$D$2015,$B67,'август 2024'!$J$4:$J$2015,Y$1)</f>
        <v>0</v>
      </c>
      <c r="Z67" s="80">
        <f>SUMIFS('август 2024'!$G$4:$G$2015,'август 2024'!$D$4:$D$2015,$B67,'август 2024'!$J$4:$J$2015,Z$1)</f>
        <v>0</v>
      </c>
      <c r="AA67" s="80">
        <f>SUMIFS('август 2024'!$G$4:$G$2015,'август 2024'!$D$4:$D$2015,$B67,'август 2024'!$J$4:$J$2015,AA$1)</f>
        <v>0</v>
      </c>
      <c r="AB67" s="80">
        <f>SUMIFS('август 2024'!$G$4:$G$2015,'август 2024'!$D$4:$D$2015,$B67,'август 2024'!$J$4:$J$2015,AB$1)</f>
        <v>0</v>
      </c>
      <c r="AC67" s="80">
        <f>SUMIFS('август 2024'!$G$4:$G$2015,'август 2024'!$D$4:$D$2015,$B67,'август 2024'!$J$4:$J$2015,AC$1)</f>
        <v>0</v>
      </c>
      <c r="AD67" s="80">
        <f>SUMIFS('август 2024'!$G$4:$G$2015,'август 2024'!$D$4:$D$2015,$B67,'август 2024'!$J$4:$J$2015,AD$1)</f>
        <v>0</v>
      </c>
      <c r="AE67" s="80">
        <f>SUMIFS('август 2024'!$G$4:$G$2015,'август 2024'!$D$4:$D$2015,$B67,'август 2024'!$J$4:$J$2015,AE$1)</f>
        <v>0</v>
      </c>
      <c r="AF67" s="80">
        <f>SUMIFS('август 2024'!$G$4:$G$2015,'август 2024'!$D$4:$D$2015,$B67,'август 2024'!$J$4:$J$2015,AF$1)</f>
        <v>0</v>
      </c>
      <c r="AG67" s="80">
        <f>SUMIFS('август 2024'!$G$4:$G$2015,'август 2024'!$D$4:$D$2015,$B67,'август 2024'!$J$4:$J$2015,AG$1)</f>
        <v>88</v>
      </c>
      <c r="AH67" s="80">
        <f>SUMIFS('август 2024'!$G$4:$G$2015,'август 2024'!$D$4:$D$2015,$B67,'август 2024'!$J$4:$J$2015,AH$1)</f>
        <v>0</v>
      </c>
      <c r="AI67" s="21">
        <f t="shared" si="1"/>
        <v>176</v>
      </c>
    </row>
    <row r="68" spans="2:35" ht="15.75" x14ac:dyDescent="0.25">
      <c r="B68" s="93" t="s">
        <v>897</v>
      </c>
      <c r="C68" s="91">
        <v>200</v>
      </c>
      <c r="D68" s="80">
        <f>SUMIFS('август 2024'!$G$4:$G$2015,'август 2024'!$D$4:$D$2015,$B68,'август 2024'!$J$4:$J$2015,D$1)</f>
        <v>0</v>
      </c>
      <c r="E68" s="80">
        <f>SUMIFS('август 2024'!$G$4:$G$2015,'август 2024'!$D$4:$D$2015,$B68,'август 2024'!$J$4:$J$2015,E$1)</f>
        <v>0</v>
      </c>
      <c r="F68" s="80">
        <f>SUMIFS('август 2024'!$G$4:$G$2015,'август 2024'!$D$4:$D$2015,$B68,'август 2024'!$J$4:$J$2015,F$1)</f>
        <v>0</v>
      </c>
      <c r="G68" s="80">
        <f>SUMIFS('август 2024'!$G$4:$G$2015,'август 2024'!$D$4:$D$2015,$B68,'август 2024'!$J$4:$J$2015,G$1)</f>
        <v>0</v>
      </c>
      <c r="H68" s="80">
        <f>SUMIFS('август 2024'!$G$4:$G$2015,'август 2024'!$D$4:$D$2015,$B68,'август 2024'!$J$4:$J$2015,H$1)</f>
        <v>0</v>
      </c>
      <c r="I68" s="80">
        <f>SUMIFS('август 2024'!$G$4:$G$2015,'август 2024'!$D$4:$D$2015,$B68,'август 2024'!$J$4:$J$2015,I$1)</f>
        <v>0</v>
      </c>
      <c r="J68" s="80">
        <f>SUMIFS('август 2024'!$G$4:$G$2015,'август 2024'!$D$4:$D$2015,$B68,'август 2024'!$J$4:$J$2015,J$1)</f>
        <v>0</v>
      </c>
      <c r="K68" s="80">
        <f>SUMIFS('август 2024'!$G$4:$G$2015,'август 2024'!$D$4:$D$2015,$B68,'август 2024'!$J$4:$J$2015,K$1)</f>
        <v>160</v>
      </c>
      <c r="L68" s="80">
        <f>SUMIFS('август 2024'!$G$4:$G$2015,'август 2024'!$D$4:$D$2015,$B68,'август 2024'!$J$4:$J$2015,L$1)</f>
        <v>0</v>
      </c>
      <c r="M68" s="80">
        <f>SUMIFS('август 2024'!$G$4:$G$2015,'август 2024'!$D$4:$D$2015,$B68,'август 2024'!$J$4:$J$2015,M$1)</f>
        <v>0</v>
      </c>
      <c r="N68" s="80">
        <f>SUMIFS('август 2024'!$G$4:$G$2015,'август 2024'!$D$4:$D$2015,$B68,'август 2024'!$J$4:$J$2015,N$1)</f>
        <v>0</v>
      </c>
      <c r="O68" s="80">
        <f>SUMIFS('август 2024'!$G$4:$G$2015,'август 2024'!$D$4:$D$2015,$B68,'август 2024'!$J$4:$J$2015,O$1)</f>
        <v>80</v>
      </c>
      <c r="P68" s="80">
        <f>SUMIFS('август 2024'!$G$4:$G$2015,'август 2024'!$D$4:$D$2015,$B68,'август 2024'!$J$4:$J$2015,P$1)</f>
        <v>0</v>
      </c>
      <c r="Q68" s="80">
        <f>SUMIFS('август 2024'!$G$4:$G$2015,'август 2024'!$D$4:$D$2015,$B68,'август 2024'!$J$4:$J$2015,Q$1)</f>
        <v>0</v>
      </c>
      <c r="R68" s="80">
        <f>SUMIFS('август 2024'!$G$4:$G$2015,'август 2024'!$D$4:$D$2015,$B68,'август 2024'!$J$4:$J$2015,R$1)</f>
        <v>0</v>
      </c>
      <c r="S68" s="80">
        <f>SUMIFS('август 2024'!$G$4:$G$2015,'август 2024'!$D$4:$D$2015,$B68,'август 2024'!$J$4:$J$2015,S$1)</f>
        <v>0</v>
      </c>
      <c r="T68" s="80">
        <f>SUMIFS('август 2024'!$G$4:$G$2015,'август 2024'!$D$4:$D$2015,$B68,'август 2024'!$J$4:$J$2015,T$1)</f>
        <v>0</v>
      </c>
      <c r="U68" s="80">
        <f>SUMIFS('август 2024'!$G$4:$G$2015,'август 2024'!$D$4:$D$2015,$B68,'август 2024'!$J$4:$J$2015,U$1)</f>
        <v>0</v>
      </c>
      <c r="V68" s="80">
        <f>SUMIFS('август 2024'!$G$4:$G$2015,'август 2024'!$D$4:$D$2015,$B68,'август 2024'!$J$4:$J$2015,V$1)</f>
        <v>0</v>
      </c>
      <c r="W68" s="80">
        <f>SUMIFS('август 2024'!$G$4:$G$2015,'август 2024'!$D$4:$D$2015,$B68,'август 2024'!$J$4:$J$2015,W$1)</f>
        <v>160</v>
      </c>
      <c r="X68" s="80">
        <f>SUMIFS('август 2024'!$G$4:$G$2015,'август 2024'!$D$4:$D$2015,$B68,'август 2024'!$J$4:$J$2015,X$1)</f>
        <v>0</v>
      </c>
      <c r="Y68" s="80">
        <f>SUMIFS('август 2024'!$G$4:$G$2015,'август 2024'!$D$4:$D$2015,$B68,'август 2024'!$J$4:$J$2015,Y$1)</f>
        <v>0</v>
      </c>
      <c r="Z68" s="80">
        <f>SUMIFS('август 2024'!$G$4:$G$2015,'август 2024'!$D$4:$D$2015,$B68,'август 2024'!$J$4:$J$2015,Z$1)</f>
        <v>0</v>
      </c>
      <c r="AA68" s="80">
        <f>SUMIFS('август 2024'!$G$4:$G$2015,'август 2024'!$D$4:$D$2015,$B68,'август 2024'!$J$4:$J$2015,AA$1)</f>
        <v>0</v>
      </c>
      <c r="AB68" s="80">
        <f>SUMIFS('август 2024'!$G$4:$G$2015,'август 2024'!$D$4:$D$2015,$B68,'август 2024'!$J$4:$J$2015,AB$1)</f>
        <v>0</v>
      </c>
      <c r="AC68" s="80">
        <f>SUMIFS('август 2024'!$G$4:$G$2015,'август 2024'!$D$4:$D$2015,$B68,'август 2024'!$J$4:$J$2015,AC$1)</f>
        <v>0</v>
      </c>
      <c r="AD68" s="80">
        <f>SUMIFS('август 2024'!$G$4:$G$2015,'август 2024'!$D$4:$D$2015,$B68,'август 2024'!$J$4:$J$2015,AD$1)</f>
        <v>0</v>
      </c>
      <c r="AE68" s="80">
        <f>SUMIFS('август 2024'!$G$4:$G$2015,'август 2024'!$D$4:$D$2015,$B68,'август 2024'!$J$4:$J$2015,AE$1)</f>
        <v>0</v>
      </c>
      <c r="AF68" s="80">
        <f>SUMIFS('август 2024'!$G$4:$G$2015,'август 2024'!$D$4:$D$2015,$B68,'август 2024'!$J$4:$J$2015,AF$1)</f>
        <v>0</v>
      </c>
      <c r="AG68" s="80">
        <f>SUMIFS('август 2024'!$G$4:$G$2015,'август 2024'!$D$4:$D$2015,$B68,'август 2024'!$J$4:$J$2015,AG$1)</f>
        <v>0</v>
      </c>
      <c r="AH68" s="80">
        <f>SUMIFS('август 2024'!$G$4:$G$2015,'август 2024'!$D$4:$D$2015,$B68,'август 2024'!$J$4:$J$2015,AH$1)</f>
        <v>0</v>
      </c>
      <c r="AI68" s="21">
        <f t="shared" si="1"/>
        <v>400</v>
      </c>
    </row>
    <row r="69" spans="2:35" ht="15" customHeight="1" x14ac:dyDescent="0.25">
      <c r="B69" s="93" t="s">
        <v>213</v>
      </c>
      <c r="C69" s="91">
        <v>200</v>
      </c>
      <c r="D69" s="80">
        <f>SUMIFS('август 2024'!$G$4:$G$2015,'август 2024'!$D$4:$D$2015,$B69,'август 2024'!$J$4:$J$2015,D$1)</f>
        <v>0</v>
      </c>
      <c r="E69" s="80">
        <f>SUMIFS('август 2024'!$G$4:$G$2015,'август 2024'!$D$4:$D$2015,$B69,'август 2024'!$J$4:$J$2015,E$1)</f>
        <v>0</v>
      </c>
      <c r="F69" s="80">
        <f>SUMIFS('август 2024'!$G$4:$G$2015,'август 2024'!$D$4:$D$2015,$B69,'август 2024'!$J$4:$J$2015,F$1)</f>
        <v>0</v>
      </c>
      <c r="G69" s="80">
        <f>SUMIFS('август 2024'!$G$4:$G$2015,'август 2024'!$D$4:$D$2015,$B69,'август 2024'!$J$4:$J$2015,G$1)</f>
        <v>0</v>
      </c>
      <c r="H69" s="80">
        <f>SUMIFS('август 2024'!$G$4:$G$2015,'август 2024'!$D$4:$D$2015,$B69,'август 2024'!$J$4:$J$2015,H$1)</f>
        <v>0</v>
      </c>
      <c r="I69" s="80">
        <f>SUMIFS('август 2024'!$G$4:$G$2015,'август 2024'!$D$4:$D$2015,$B69,'август 2024'!$J$4:$J$2015,I$1)</f>
        <v>0</v>
      </c>
      <c r="J69" s="80">
        <f>SUMIFS('август 2024'!$G$4:$G$2015,'август 2024'!$D$4:$D$2015,$B69,'август 2024'!$J$4:$J$2015,J$1)</f>
        <v>0</v>
      </c>
      <c r="K69" s="80">
        <f>SUMIFS('август 2024'!$G$4:$G$2015,'август 2024'!$D$4:$D$2015,$B69,'август 2024'!$J$4:$J$2015,K$1)</f>
        <v>0</v>
      </c>
      <c r="L69" s="80">
        <f>SUMIFS('август 2024'!$G$4:$G$2015,'август 2024'!$D$4:$D$2015,$B69,'август 2024'!$J$4:$J$2015,L$1)</f>
        <v>0</v>
      </c>
      <c r="M69" s="80">
        <f>SUMIFS('август 2024'!$G$4:$G$2015,'август 2024'!$D$4:$D$2015,$B69,'август 2024'!$J$4:$J$2015,M$1)</f>
        <v>0</v>
      </c>
      <c r="N69" s="80">
        <f>SUMIFS('август 2024'!$G$4:$G$2015,'август 2024'!$D$4:$D$2015,$B69,'август 2024'!$J$4:$J$2015,N$1)</f>
        <v>0</v>
      </c>
      <c r="O69" s="80">
        <f>SUMIFS('август 2024'!$G$4:$G$2015,'август 2024'!$D$4:$D$2015,$B69,'август 2024'!$J$4:$J$2015,O$1)</f>
        <v>0</v>
      </c>
      <c r="P69" s="80">
        <f>SUMIFS('август 2024'!$G$4:$G$2015,'август 2024'!$D$4:$D$2015,$B69,'август 2024'!$J$4:$J$2015,P$1)</f>
        <v>0</v>
      </c>
      <c r="Q69" s="80">
        <f>SUMIFS('август 2024'!$G$4:$G$2015,'август 2024'!$D$4:$D$2015,$B69,'август 2024'!$J$4:$J$2015,Q$1)</f>
        <v>0</v>
      </c>
      <c r="R69" s="80">
        <f>SUMIFS('август 2024'!$G$4:$G$2015,'август 2024'!$D$4:$D$2015,$B69,'август 2024'!$J$4:$J$2015,R$1)</f>
        <v>0</v>
      </c>
      <c r="S69" s="80">
        <f>SUMIFS('август 2024'!$G$4:$G$2015,'август 2024'!$D$4:$D$2015,$B69,'август 2024'!$J$4:$J$2015,S$1)</f>
        <v>0</v>
      </c>
      <c r="T69" s="80">
        <f>SUMIFS('август 2024'!$G$4:$G$2015,'август 2024'!$D$4:$D$2015,$B69,'август 2024'!$J$4:$J$2015,T$1)</f>
        <v>0</v>
      </c>
      <c r="U69" s="80">
        <f>SUMIFS('август 2024'!$G$4:$G$2015,'август 2024'!$D$4:$D$2015,$B69,'август 2024'!$J$4:$J$2015,U$1)</f>
        <v>0</v>
      </c>
      <c r="V69" s="80">
        <f>SUMIFS('август 2024'!$G$4:$G$2015,'август 2024'!$D$4:$D$2015,$B69,'август 2024'!$J$4:$J$2015,V$1)</f>
        <v>0</v>
      </c>
      <c r="W69" s="80">
        <f>SUMIFS('август 2024'!$G$4:$G$2015,'август 2024'!$D$4:$D$2015,$B69,'август 2024'!$J$4:$J$2015,W$1)</f>
        <v>0</v>
      </c>
      <c r="X69" s="80">
        <f>SUMIFS('август 2024'!$G$4:$G$2015,'август 2024'!$D$4:$D$2015,$B69,'август 2024'!$J$4:$J$2015,X$1)</f>
        <v>0</v>
      </c>
      <c r="Y69" s="80">
        <f>SUMIFS('август 2024'!$G$4:$G$2015,'август 2024'!$D$4:$D$2015,$B69,'август 2024'!$J$4:$J$2015,Y$1)</f>
        <v>0</v>
      </c>
      <c r="Z69" s="80">
        <f>SUMIFS('август 2024'!$G$4:$G$2015,'август 2024'!$D$4:$D$2015,$B69,'август 2024'!$J$4:$J$2015,Z$1)</f>
        <v>0</v>
      </c>
      <c r="AA69" s="80">
        <f>SUMIFS('август 2024'!$G$4:$G$2015,'август 2024'!$D$4:$D$2015,$B69,'август 2024'!$J$4:$J$2015,AA$1)</f>
        <v>0</v>
      </c>
      <c r="AB69" s="80">
        <f>SUMIFS('август 2024'!$G$4:$G$2015,'август 2024'!$D$4:$D$2015,$B69,'август 2024'!$J$4:$J$2015,AB$1)</f>
        <v>0</v>
      </c>
      <c r="AC69" s="80">
        <f>SUMIFS('август 2024'!$G$4:$G$2015,'август 2024'!$D$4:$D$2015,$B69,'август 2024'!$J$4:$J$2015,AC$1)</f>
        <v>0</v>
      </c>
      <c r="AD69" s="80">
        <f>SUMIFS('август 2024'!$G$4:$G$2015,'август 2024'!$D$4:$D$2015,$B69,'август 2024'!$J$4:$J$2015,AD$1)</f>
        <v>0</v>
      </c>
      <c r="AE69" s="80">
        <f>SUMIFS('август 2024'!$G$4:$G$2015,'август 2024'!$D$4:$D$2015,$B69,'август 2024'!$J$4:$J$2015,AE$1)</f>
        <v>0</v>
      </c>
      <c r="AF69" s="80">
        <f>SUMIFS('август 2024'!$G$4:$G$2015,'август 2024'!$D$4:$D$2015,$B69,'август 2024'!$J$4:$J$2015,AF$1)</f>
        <v>0</v>
      </c>
      <c r="AG69" s="80">
        <f>SUMIFS('август 2024'!$G$4:$G$2015,'август 2024'!$D$4:$D$2015,$B69,'август 2024'!$J$4:$J$2015,AG$1)</f>
        <v>0</v>
      </c>
      <c r="AH69" s="80">
        <f>SUMIFS('август 2024'!$G$4:$G$2015,'август 2024'!$D$4:$D$2015,$B69,'август 2024'!$J$4:$J$2015,AH$1)</f>
        <v>0</v>
      </c>
      <c r="AI69" s="21">
        <f t="shared" si="1"/>
        <v>0</v>
      </c>
    </row>
    <row r="70" spans="2:35" ht="15" customHeight="1" x14ac:dyDescent="0.25">
      <c r="B70" s="93" t="s">
        <v>197</v>
      </c>
      <c r="C70" s="91">
        <v>200</v>
      </c>
      <c r="D70" s="80">
        <f>SUMIFS('август 2024'!$G$4:$G$2015,'август 2024'!$D$4:$D$2015,$B70,'август 2024'!$J$4:$J$2015,D$1)</f>
        <v>0</v>
      </c>
      <c r="E70" s="80">
        <f>SUMIFS('август 2024'!$G$4:$G$2015,'август 2024'!$D$4:$D$2015,$B70,'август 2024'!$J$4:$J$2015,E$1)</f>
        <v>0</v>
      </c>
      <c r="F70" s="80">
        <f>SUMIFS('август 2024'!$G$4:$G$2015,'август 2024'!$D$4:$D$2015,$B70,'август 2024'!$J$4:$J$2015,F$1)</f>
        <v>0</v>
      </c>
      <c r="G70" s="80">
        <f>SUMIFS('август 2024'!$G$4:$G$2015,'август 2024'!$D$4:$D$2015,$B70,'август 2024'!$J$4:$J$2015,G$1)</f>
        <v>0</v>
      </c>
      <c r="H70" s="80">
        <f>SUMIFS('август 2024'!$G$4:$G$2015,'август 2024'!$D$4:$D$2015,$B70,'август 2024'!$J$4:$J$2015,H$1)</f>
        <v>0</v>
      </c>
      <c r="I70" s="80">
        <f>SUMIFS('август 2024'!$G$4:$G$2015,'август 2024'!$D$4:$D$2015,$B70,'август 2024'!$J$4:$J$2015,I$1)</f>
        <v>0</v>
      </c>
      <c r="J70" s="80">
        <f>SUMIFS('август 2024'!$G$4:$G$2015,'август 2024'!$D$4:$D$2015,$B70,'август 2024'!$J$4:$J$2015,J$1)</f>
        <v>0</v>
      </c>
      <c r="K70" s="80">
        <f>SUMIFS('август 2024'!$G$4:$G$2015,'август 2024'!$D$4:$D$2015,$B70,'август 2024'!$J$4:$J$2015,K$1)</f>
        <v>0</v>
      </c>
      <c r="L70" s="80">
        <f>SUMIFS('август 2024'!$G$4:$G$2015,'август 2024'!$D$4:$D$2015,$B70,'август 2024'!$J$4:$J$2015,L$1)</f>
        <v>0</v>
      </c>
      <c r="M70" s="80">
        <f>SUMIFS('август 2024'!$G$4:$G$2015,'август 2024'!$D$4:$D$2015,$B70,'август 2024'!$J$4:$J$2015,M$1)</f>
        <v>0</v>
      </c>
      <c r="N70" s="80">
        <f>SUMIFS('август 2024'!$G$4:$G$2015,'август 2024'!$D$4:$D$2015,$B70,'август 2024'!$J$4:$J$2015,N$1)</f>
        <v>0</v>
      </c>
      <c r="O70" s="80">
        <f>SUMIFS('август 2024'!$G$4:$G$2015,'август 2024'!$D$4:$D$2015,$B70,'август 2024'!$J$4:$J$2015,O$1)</f>
        <v>0</v>
      </c>
      <c r="P70" s="80">
        <f>SUMIFS('август 2024'!$G$4:$G$2015,'август 2024'!$D$4:$D$2015,$B70,'август 2024'!$J$4:$J$2015,P$1)</f>
        <v>0</v>
      </c>
      <c r="Q70" s="80">
        <f>SUMIFS('август 2024'!$G$4:$G$2015,'август 2024'!$D$4:$D$2015,$B70,'август 2024'!$J$4:$J$2015,Q$1)</f>
        <v>0</v>
      </c>
      <c r="R70" s="80">
        <f>SUMIFS('август 2024'!$G$4:$G$2015,'август 2024'!$D$4:$D$2015,$B70,'август 2024'!$J$4:$J$2015,R$1)</f>
        <v>0</v>
      </c>
      <c r="S70" s="80">
        <f>SUMIFS('август 2024'!$G$4:$G$2015,'август 2024'!$D$4:$D$2015,$B70,'август 2024'!$J$4:$J$2015,S$1)</f>
        <v>0</v>
      </c>
      <c r="T70" s="80">
        <f>SUMIFS('август 2024'!$G$4:$G$2015,'август 2024'!$D$4:$D$2015,$B70,'август 2024'!$J$4:$J$2015,T$1)</f>
        <v>0</v>
      </c>
      <c r="U70" s="80">
        <f>SUMIFS('август 2024'!$G$4:$G$2015,'август 2024'!$D$4:$D$2015,$B70,'август 2024'!$J$4:$J$2015,U$1)</f>
        <v>0</v>
      </c>
      <c r="V70" s="80">
        <f>SUMIFS('август 2024'!$G$4:$G$2015,'август 2024'!$D$4:$D$2015,$B70,'август 2024'!$J$4:$J$2015,V$1)</f>
        <v>0</v>
      </c>
      <c r="W70" s="80">
        <f>SUMIFS('август 2024'!$G$4:$G$2015,'август 2024'!$D$4:$D$2015,$B70,'август 2024'!$J$4:$J$2015,W$1)</f>
        <v>0</v>
      </c>
      <c r="X70" s="80">
        <f>SUMIFS('август 2024'!$G$4:$G$2015,'август 2024'!$D$4:$D$2015,$B70,'август 2024'!$J$4:$J$2015,X$1)</f>
        <v>0</v>
      </c>
      <c r="Y70" s="80">
        <f>SUMIFS('август 2024'!$G$4:$G$2015,'август 2024'!$D$4:$D$2015,$B70,'август 2024'!$J$4:$J$2015,Y$1)</f>
        <v>0</v>
      </c>
      <c r="Z70" s="80">
        <f>SUMIFS('август 2024'!$G$4:$G$2015,'август 2024'!$D$4:$D$2015,$B70,'август 2024'!$J$4:$J$2015,Z$1)</f>
        <v>0</v>
      </c>
      <c r="AA70" s="80">
        <f>SUMIFS('август 2024'!$G$4:$G$2015,'август 2024'!$D$4:$D$2015,$B70,'август 2024'!$J$4:$J$2015,AA$1)</f>
        <v>0</v>
      </c>
      <c r="AB70" s="80">
        <f>SUMIFS('август 2024'!$G$4:$G$2015,'август 2024'!$D$4:$D$2015,$B70,'август 2024'!$J$4:$J$2015,AB$1)</f>
        <v>0</v>
      </c>
      <c r="AC70" s="80">
        <f>SUMIFS('август 2024'!$G$4:$G$2015,'август 2024'!$D$4:$D$2015,$B70,'август 2024'!$J$4:$J$2015,AC$1)</f>
        <v>0</v>
      </c>
      <c r="AD70" s="80">
        <f>SUMIFS('август 2024'!$G$4:$G$2015,'август 2024'!$D$4:$D$2015,$B70,'август 2024'!$J$4:$J$2015,AD$1)</f>
        <v>0</v>
      </c>
      <c r="AE70" s="80">
        <f>SUMIFS('август 2024'!$G$4:$G$2015,'август 2024'!$D$4:$D$2015,$B70,'август 2024'!$J$4:$J$2015,AE$1)</f>
        <v>0</v>
      </c>
      <c r="AF70" s="80">
        <f>SUMIFS('август 2024'!$G$4:$G$2015,'август 2024'!$D$4:$D$2015,$B70,'август 2024'!$J$4:$J$2015,AF$1)</f>
        <v>0</v>
      </c>
      <c r="AG70" s="80">
        <f>SUMIFS('август 2024'!$G$4:$G$2015,'август 2024'!$D$4:$D$2015,$B70,'август 2024'!$J$4:$J$2015,AG$1)</f>
        <v>0</v>
      </c>
      <c r="AH70" s="80">
        <f>SUMIFS('август 2024'!$G$4:$G$2015,'август 2024'!$D$4:$D$2015,$B70,'август 2024'!$J$4:$J$2015,AH$1)</f>
        <v>0</v>
      </c>
      <c r="AI70" s="21">
        <f t="shared" si="1"/>
        <v>0</v>
      </c>
    </row>
    <row r="71" spans="2:35" ht="15" customHeight="1" x14ac:dyDescent="0.25">
      <c r="B71" s="93" t="s">
        <v>198</v>
      </c>
      <c r="C71" s="91">
        <v>200</v>
      </c>
      <c r="D71" s="80">
        <f>SUMIFS('август 2024'!$G$4:$G$2015,'август 2024'!$D$4:$D$2015,$B71,'август 2024'!$J$4:$J$2015,D$1)</f>
        <v>0</v>
      </c>
      <c r="E71" s="80">
        <f>SUMIFS('август 2024'!$G$4:$G$2015,'август 2024'!$D$4:$D$2015,$B71,'август 2024'!$J$4:$J$2015,E$1)</f>
        <v>0</v>
      </c>
      <c r="F71" s="80">
        <f>SUMIFS('август 2024'!$G$4:$G$2015,'август 2024'!$D$4:$D$2015,$B71,'август 2024'!$J$4:$J$2015,F$1)</f>
        <v>0</v>
      </c>
      <c r="G71" s="80">
        <f>SUMIFS('август 2024'!$G$4:$G$2015,'август 2024'!$D$4:$D$2015,$B71,'август 2024'!$J$4:$J$2015,G$1)</f>
        <v>0</v>
      </c>
      <c r="H71" s="80">
        <f>SUMIFS('август 2024'!$G$4:$G$2015,'август 2024'!$D$4:$D$2015,$B71,'август 2024'!$J$4:$J$2015,H$1)</f>
        <v>0</v>
      </c>
      <c r="I71" s="80">
        <f>SUMIFS('август 2024'!$G$4:$G$2015,'август 2024'!$D$4:$D$2015,$B71,'август 2024'!$J$4:$J$2015,I$1)</f>
        <v>0</v>
      </c>
      <c r="J71" s="80">
        <f>SUMIFS('август 2024'!$G$4:$G$2015,'август 2024'!$D$4:$D$2015,$B71,'август 2024'!$J$4:$J$2015,J$1)</f>
        <v>0</v>
      </c>
      <c r="K71" s="80">
        <f>SUMIFS('август 2024'!$G$4:$G$2015,'август 2024'!$D$4:$D$2015,$B71,'август 2024'!$J$4:$J$2015,K$1)</f>
        <v>0</v>
      </c>
      <c r="L71" s="80">
        <f>SUMIFS('август 2024'!$G$4:$G$2015,'август 2024'!$D$4:$D$2015,$B71,'август 2024'!$J$4:$J$2015,L$1)</f>
        <v>0</v>
      </c>
      <c r="M71" s="80">
        <f>SUMIFS('август 2024'!$G$4:$G$2015,'август 2024'!$D$4:$D$2015,$B71,'август 2024'!$J$4:$J$2015,M$1)</f>
        <v>0</v>
      </c>
      <c r="N71" s="80">
        <f>SUMIFS('август 2024'!$G$4:$G$2015,'август 2024'!$D$4:$D$2015,$B71,'август 2024'!$J$4:$J$2015,N$1)</f>
        <v>0</v>
      </c>
      <c r="O71" s="80">
        <f>SUMIFS('август 2024'!$G$4:$G$2015,'август 2024'!$D$4:$D$2015,$B71,'август 2024'!$J$4:$J$2015,O$1)</f>
        <v>0</v>
      </c>
      <c r="P71" s="80">
        <f>SUMIFS('август 2024'!$G$4:$G$2015,'август 2024'!$D$4:$D$2015,$B71,'август 2024'!$J$4:$J$2015,P$1)</f>
        <v>0</v>
      </c>
      <c r="Q71" s="80">
        <f>SUMIFS('август 2024'!$G$4:$G$2015,'август 2024'!$D$4:$D$2015,$B71,'август 2024'!$J$4:$J$2015,Q$1)</f>
        <v>0</v>
      </c>
      <c r="R71" s="80">
        <f>SUMIFS('август 2024'!$G$4:$G$2015,'август 2024'!$D$4:$D$2015,$B71,'август 2024'!$J$4:$J$2015,R$1)</f>
        <v>0</v>
      </c>
      <c r="S71" s="80">
        <f>SUMIFS('август 2024'!$G$4:$G$2015,'август 2024'!$D$4:$D$2015,$B71,'август 2024'!$J$4:$J$2015,S$1)</f>
        <v>0</v>
      </c>
      <c r="T71" s="80">
        <f>SUMIFS('август 2024'!$G$4:$G$2015,'август 2024'!$D$4:$D$2015,$B71,'август 2024'!$J$4:$J$2015,T$1)</f>
        <v>0</v>
      </c>
      <c r="U71" s="80">
        <f>SUMIFS('август 2024'!$G$4:$G$2015,'август 2024'!$D$4:$D$2015,$B71,'август 2024'!$J$4:$J$2015,U$1)</f>
        <v>0</v>
      </c>
      <c r="V71" s="80">
        <f>SUMIFS('август 2024'!$G$4:$G$2015,'август 2024'!$D$4:$D$2015,$B71,'август 2024'!$J$4:$J$2015,V$1)</f>
        <v>0</v>
      </c>
      <c r="W71" s="80">
        <f>SUMIFS('август 2024'!$G$4:$G$2015,'август 2024'!$D$4:$D$2015,$B71,'август 2024'!$J$4:$J$2015,W$1)</f>
        <v>0</v>
      </c>
      <c r="X71" s="80">
        <f>SUMIFS('август 2024'!$G$4:$G$2015,'август 2024'!$D$4:$D$2015,$B71,'август 2024'!$J$4:$J$2015,X$1)</f>
        <v>0</v>
      </c>
      <c r="Y71" s="80">
        <f>SUMIFS('август 2024'!$G$4:$G$2015,'август 2024'!$D$4:$D$2015,$B71,'август 2024'!$J$4:$J$2015,Y$1)</f>
        <v>0</v>
      </c>
      <c r="Z71" s="80">
        <f>SUMIFS('август 2024'!$G$4:$G$2015,'август 2024'!$D$4:$D$2015,$B71,'август 2024'!$J$4:$J$2015,Z$1)</f>
        <v>0</v>
      </c>
      <c r="AA71" s="80">
        <f>SUMIFS('август 2024'!$G$4:$G$2015,'август 2024'!$D$4:$D$2015,$B71,'август 2024'!$J$4:$J$2015,AA$1)</f>
        <v>0</v>
      </c>
      <c r="AB71" s="80">
        <f>SUMIFS('август 2024'!$G$4:$G$2015,'август 2024'!$D$4:$D$2015,$B71,'август 2024'!$J$4:$J$2015,AB$1)</f>
        <v>0</v>
      </c>
      <c r="AC71" s="80">
        <f>SUMIFS('август 2024'!$G$4:$G$2015,'август 2024'!$D$4:$D$2015,$B71,'август 2024'!$J$4:$J$2015,AC$1)</f>
        <v>0</v>
      </c>
      <c r="AD71" s="80">
        <f>SUMIFS('август 2024'!$G$4:$G$2015,'август 2024'!$D$4:$D$2015,$B71,'август 2024'!$J$4:$J$2015,AD$1)</f>
        <v>0</v>
      </c>
      <c r="AE71" s="80">
        <f>SUMIFS('август 2024'!$G$4:$G$2015,'август 2024'!$D$4:$D$2015,$B71,'август 2024'!$J$4:$J$2015,AE$1)</f>
        <v>0</v>
      </c>
      <c r="AF71" s="80">
        <f>SUMIFS('август 2024'!$G$4:$G$2015,'август 2024'!$D$4:$D$2015,$B71,'август 2024'!$J$4:$J$2015,AF$1)</f>
        <v>0</v>
      </c>
      <c r="AG71" s="80">
        <f>SUMIFS('август 2024'!$G$4:$G$2015,'август 2024'!$D$4:$D$2015,$B71,'август 2024'!$J$4:$J$2015,AG$1)</f>
        <v>0</v>
      </c>
      <c r="AH71" s="80">
        <f>SUMIFS('август 2024'!$G$4:$G$2015,'август 2024'!$D$4:$D$2015,$B71,'август 2024'!$J$4:$J$2015,AH$1)</f>
        <v>0</v>
      </c>
      <c r="AI71" s="21">
        <f t="shared" si="1"/>
        <v>0</v>
      </c>
    </row>
    <row r="72" spans="2:35" ht="15" customHeight="1" x14ac:dyDescent="0.25">
      <c r="B72" s="93" t="s">
        <v>320</v>
      </c>
      <c r="C72" s="91">
        <v>190</v>
      </c>
      <c r="D72" s="80">
        <f>SUMIFS('август 2024'!$G$4:$G$2015,'август 2024'!$D$4:$D$2015,$B72,'август 2024'!$J$4:$J$2015,D$1)</f>
        <v>0</v>
      </c>
      <c r="E72" s="80">
        <f>SUMIFS('август 2024'!$G$4:$G$2015,'август 2024'!$D$4:$D$2015,$B72,'август 2024'!$J$4:$J$2015,E$1)</f>
        <v>0</v>
      </c>
      <c r="F72" s="80">
        <f>SUMIFS('август 2024'!$G$4:$G$2015,'август 2024'!$D$4:$D$2015,$B72,'август 2024'!$J$4:$J$2015,F$1)</f>
        <v>0</v>
      </c>
      <c r="G72" s="80">
        <f>SUMIFS('август 2024'!$G$4:$G$2015,'август 2024'!$D$4:$D$2015,$B72,'август 2024'!$J$4:$J$2015,G$1)</f>
        <v>0</v>
      </c>
      <c r="H72" s="80">
        <f>SUMIFS('август 2024'!$G$4:$G$2015,'август 2024'!$D$4:$D$2015,$B72,'август 2024'!$J$4:$J$2015,H$1)</f>
        <v>0</v>
      </c>
      <c r="I72" s="80">
        <f>SUMIFS('август 2024'!$G$4:$G$2015,'август 2024'!$D$4:$D$2015,$B72,'август 2024'!$J$4:$J$2015,I$1)</f>
        <v>0</v>
      </c>
      <c r="J72" s="80">
        <f>SUMIFS('август 2024'!$G$4:$G$2015,'август 2024'!$D$4:$D$2015,$B72,'август 2024'!$J$4:$J$2015,J$1)</f>
        <v>0</v>
      </c>
      <c r="K72" s="80">
        <f>SUMIFS('август 2024'!$G$4:$G$2015,'август 2024'!$D$4:$D$2015,$B72,'август 2024'!$J$4:$J$2015,K$1)</f>
        <v>0</v>
      </c>
      <c r="L72" s="80">
        <f>SUMIFS('август 2024'!$G$4:$G$2015,'август 2024'!$D$4:$D$2015,$B72,'август 2024'!$J$4:$J$2015,L$1)</f>
        <v>0</v>
      </c>
      <c r="M72" s="80">
        <f>SUMIFS('август 2024'!$G$4:$G$2015,'август 2024'!$D$4:$D$2015,$B72,'август 2024'!$J$4:$J$2015,M$1)</f>
        <v>0</v>
      </c>
      <c r="N72" s="80">
        <f>SUMIFS('август 2024'!$G$4:$G$2015,'август 2024'!$D$4:$D$2015,$B72,'август 2024'!$J$4:$J$2015,N$1)</f>
        <v>0</v>
      </c>
      <c r="O72" s="80">
        <f>SUMIFS('август 2024'!$G$4:$G$2015,'август 2024'!$D$4:$D$2015,$B72,'август 2024'!$J$4:$J$2015,O$1)</f>
        <v>0</v>
      </c>
      <c r="P72" s="80">
        <f>SUMIFS('август 2024'!$G$4:$G$2015,'август 2024'!$D$4:$D$2015,$B72,'август 2024'!$J$4:$J$2015,P$1)</f>
        <v>0</v>
      </c>
      <c r="Q72" s="80">
        <f>SUMIFS('август 2024'!$G$4:$G$2015,'август 2024'!$D$4:$D$2015,$B72,'август 2024'!$J$4:$J$2015,Q$1)</f>
        <v>0</v>
      </c>
      <c r="R72" s="80">
        <f>SUMIFS('август 2024'!$G$4:$G$2015,'август 2024'!$D$4:$D$2015,$B72,'август 2024'!$J$4:$J$2015,R$1)</f>
        <v>0</v>
      </c>
      <c r="S72" s="80">
        <f>SUMIFS('август 2024'!$G$4:$G$2015,'август 2024'!$D$4:$D$2015,$B72,'август 2024'!$J$4:$J$2015,S$1)</f>
        <v>0</v>
      </c>
      <c r="T72" s="80">
        <f>SUMIFS('август 2024'!$G$4:$G$2015,'август 2024'!$D$4:$D$2015,$B72,'август 2024'!$J$4:$J$2015,T$1)</f>
        <v>0</v>
      </c>
      <c r="U72" s="80">
        <f>SUMIFS('август 2024'!$G$4:$G$2015,'август 2024'!$D$4:$D$2015,$B72,'август 2024'!$J$4:$J$2015,U$1)</f>
        <v>0</v>
      </c>
      <c r="V72" s="80">
        <f>SUMIFS('август 2024'!$G$4:$G$2015,'август 2024'!$D$4:$D$2015,$B72,'август 2024'!$J$4:$J$2015,V$1)</f>
        <v>0</v>
      </c>
      <c r="W72" s="80">
        <f>SUMIFS('август 2024'!$G$4:$G$2015,'август 2024'!$D$4:$D$2015,$B72,'август 2024'!$J$4:$J$2015,W$1)</f>
        <v>0</v>
      </c>
      <c r="X72" s="80">
        <f>SUMIFS('август 2024'!$G$4:$G$2015,'август 2024'!$D$4:$D$2015,$B72,'август 2024'!$J$4:$J$2015,X$1)</f>
        <v>0</v>
      </c>
      <c r="Y72" s="80">
        <f>SUMIFS('август 2024'!$G$4:$G$2015,'август 2024'!$D$4:$D$2015,$B72,'август 2024'!$J$4:$J$2015,Y$1)</f>
        <v>0</v>
      </c>
      <c r="Z72" s="80">
        <f>SUMIFS('август 2024'!$G$4:$G$2015,'август 2024'!$D$4:$D$2015,$B72,'август 2024'!$J$4:$J$2015,Z$1)</f>
        <v>0</v>
      </c>
      <c r="AA72" s="80">
        <f>SUMIFS('август 2024'!$G$4:$G$2015,'август 2024'!$D$4:$D$2015,$B72,'август 2024'!$J$4:$J$2015,AA$1)</f>
        <v>0</v>
      </c>
      <c r="AB72" s="80">
        <f>SUMIFS('август 2024'!$G$4:$G$2015,'август 2024'!$D$4:$D$2015,$B72,'август 2024'!$J$4:$J$2015,AB$1)</f>
        <v>0</v>
      </c>
      <c r="AC72" s="80">
        <f>SUMIFS('август 2024'!$G$4:$G$2015,'август 2024'!$D$4:$D$2015,$B72,'август 2024'!$J$4:$J$2015,AC$1)</f>
        <v>0</v>
      </c>
      <c r="AD72" s="80">
        <f>SUMIFS('август 2024'!$G$4:$G$2015,'август 2024'!$D$4:$D$2015,$B72,'август 2024'!$J$4:$J$2015,AD$1)</f>
        <v>0</v>
      </c>
      <c r="AE72" s="80">
        <f>SUMIFS('август 2024'!$G$4:$G$2015,'август 2024'!$D$4:$D$2015,$B72,'август 2024'!$J$4:$J$2015,AE$1)</f>
        <v>0</v>
      </c>
      <c r="AF72" s="80">
        <f>SUMIFS('август 2024'!$G$4:$G$2015,'август 2024'!$D$4:$D$2015,$B72,'август 2024'!$J$4:$J$2015,AF$1)</f>
        <v>0</v>
      </c>
      <c r="AG72" s="80">
        <f>SUMIFS('август 2024'!$G$4:$G$2015,'август 2024'!$D$4:$D$2015,$B72,'август 2024'!$J$4:$J$2015,AG$1)</f>
        <v>0</v>
      </c>
      <c r="AH72" s="80">
        <f>SUMIFS('август 2024'!$G$4:$G$2015,'август 2024'!$D$4:$D$2015,$B72,'август 2024'!$J$4:$J$2015,AH$1)</f>
        <v>0</v>
      </c>
      <c r="AI72" s="21">
        <f t="shared" si="1"/>
        <v>0</v>
      </c>
    </row>
    <row r="73" spans="2:35" ht="15" customHeight="1" x14ac:dyDescent="0.25">
      <c r="B73" s="93" t="s">
        <v>210</v>
      </c>
      <c r="C73" s="91">
        <v>200</v>
      </c>
      <c r="D73" s="80">
        <f>SUMIFS('август 2024'!$G$4:$G$2015,'август 2024'!$D$4:$D$2015,$B73,'август 2024'!$J$4:$J$2015,D$1)</f>
        <v>0</v>
      </c>
      <c r="E73" s="80">
        <f>SUMIFS('август 2024'!$G$4:$G$2015,'август 2024'!$D$4:$D$2015,$B73,'август 2024'!$J$4:$J$2015,E$1)</f>
        <v>0</v>
      </c>
      <c r="F73" s="80">
        <f>SUMIFS('август 2024'!$G$4:$G$2015,'август 2024'!$D$4:$D$2015,$B73,'август 2024'!$J$4:$J$2015,F$1)</f>
        <v>0</v>
      </c>
      <c r="G73" s="80">
        <f>SUMIFS('август 2024'!$G$4:$G$2015,'август 2024'!$D$4:$D$2015,$B73,'август 2024'!$J$4:$J$2015,G$1)</f>
        <v>0</v>
      </c>
      <c r="H73" s="80">
        <f>SUMIFS('август 2024'!$G$4:$G$2015,'август 2024'!$D$4:$D$2015,$B73,'август 2024'!$J$4:$J$2015,H$1)</f>
        <v>0</v>
      </c>
      <c r="I73" s="80">
        <f>SUMIFS('август 2024'!$G$4:$G$2015,'август 2024'!$D$4:$D$2015,$B73,'август 2024'!$J$4:$J$2015,I$1)</f>
        <v>0</v>
      </c>
      <c r="J73" s="80">
        <f>SUMIFS('август 2024'!$G$4:$G$2015,'август 2024'!$D$4:$D$2015,$B73,'август 2024'!$J$4:$J$2015,J$1)</f>
        <v>0</v>
      </c>
      <c r="K73" s="80">
        <f>SUMIFS('август 2024'!$G$4:$G$2015,'август 2024'!$D$4:$D$2015,$B73,'август 2024'!$J$4:$J$2015,K$1)</f>
        <v>0</v>
      </c>
      <c r="L73" s="80">
        <f>SUMIFS('август 2024'!$G$4:$G$2015,'август 2024'!$D$4:$D$2015,$B73,'август 2024'!$J$4:$J$2015,L$1)</f>
        <v>0</v>
      </c>
      <c r="M73" s="80">
        <f>SUMIFS('август 2024'!$G$4:$G$2015,'август 2024'!$D$4:$D$2015,$B73,'август 2024'!$J$4:$J$2015,M$1)</f>
        <v>0</v>
      </c>
      <c r="N73" s="80">
        <f>SUMIFS('август 2024'!$G$4:$G$2015,'август 2024'!$D$4:$D$2015,$B73,'август 2024'!$J$4:$J$2015,N$1)</f>
        <v>0</v>
      </c>
      <c r="O73" s="80">
        <f>SUMIFS('август 2024'!$G$4:$G$2015,'август 2024'!$D$4:$D$2015,$B73,'август 2024'!$J$4:$J$2015,O$1)</f>
        <v>0</v>
      </c>
      <c r="P73" s="80">
        <f>SUMIFS('август 2024'!$G$4:$G$2015,'август 2024'!$D$4:$D$2015,$B73,'август 2024'!$J$4:$J$2015,P$1)</f>
        <v>0</v>
      </c>
      <c r="Q73" s="80">
        <f>SUMIFS('август 2024'!$G$4:$G$2015,'август 2024'!$D$4:$D$2015,$B73,'август 2024'!$J$4:$J$2015,Q$1)</f>
        <v>0</v>
      </c>
      <c r="R73" s="80">
        <f>SUMIFS('август 2024'!$G$4:$G$2015,'август 2024'!$D$4:$D$2015,$B73,'август 2024'!$J$4:$J$2015,R$1)</f>
        <v>0</v>
      </c>
      <c r="S73" s="80">
        <f>SUMIFS('август 2024'!$G$4:$G$2015,'август 2024'!$D$4:$D$2015,$B73,'август 2024'!$J$4:$J$2015,S$1)</f>
        <v>0</v>
      </c>
      <c r="T73" s="80">
        <f>SUMIFS('август 2024'!$G$4:$G$2015,'август 2024'!$D$4:$D$2015,$B73,'август 2024'!$J$4:$J$2015,T$1)</f>
        <v>0</v>
      </c>
      <c r="U73" s="80">
        <f>SUMIFS('август 2024'!$G$4:$G$2015,'август 2024'!$D$4:$D$2015,$B73,'август 2024'!$J$4:$J$2015,U$1)</f>
        <v>0</v>
      </c>
      <c r="V73" s="80">
        <f>SUMIFS('август 2024'!$G$4:$G$2015,'август 2024'!$D$4:$D$2015,$B73,'август 2024'!$J$4:$J$2015,V$1)</f>
        <v>0</v>
      </c>
      <c r="W73" s="80">
        <f>SUMIFS('август 2024'!$G$4:$G$2015,'август 2024'!$D$4:$D$2015,$B73,'август 2024'!$J$4:$J$2015,W$1)</f>
        <v>0</v>
      </c>
      <c r="X73" s="80">
        <f>SUMIFS('август 2024'!$G$4:$G$2015,'август 2024'!$D$4:$D$2015,$B73,'август 2024'!$J$4:$J$2015,X$1)</f>
        <v>0</v>
      </c>
      <c r="Y73" s="80">
        <f>SUMIFS('август 2024'!$G$4:$G$2015,'август 2024'!$D$4:$D$2015,$B73,'август 2024'!$J$4:$J$2015,Y$1)</f>
        <v>0</v>
      </c>
      <c r="Z73" s="80">
        <f>SUMIFS('август 2024'!$G$4:$G$2015,'август 2024'!$D$4:$D$2015,$B73,'август 2024'!$J$4:$J$2015,Z$1)</f>
        <v>0</v>
      </c>
      <c r="AA73" s="80">
        <f>SUMIFS('август 2024'!$G$4:$G$2015,'август 2024'!$D$4:$D$2015,$B73,'август 2024'!$J$4:$J$2015,AA$1)</f>
        <v>0</v>
      </c>
      <c r="AB73" s="80">
        <f>SUMIFS('август 2024'!$G$4:$G$2015,'август 2024'!$D$4:$D$2015,$B73,'август 2024'!$J$4:$J$2015,AB$1)</f>
        <v>0</v>
      </c>
      <c r="AC73" s="80">
        <f>SUMIFS('август 2024'!$G$4:$G$2015,'август 2024'!$D$4:$D$2015,$B73,'август 2024'!$J$4:$J$2015,AC$1)</f>
        <v>88</v>
      </c>
      <c r="AD73" s="80">
        <f>SUMIFS('август 2024'!$G$4:$G$2015,'август 2024'!$D$4:$D$2015,$B73,'август 2024'!$J$4:$J$2015,AD$1)</f>
        <v>0</v>
      </c>
      <c r="AE73" s="80">
        <f>SUMIFS('август 2024'!$G$4:$G$2015,'август 2024'!$D$4:$D$2015,$B73,'август 2024'!$J$4:$J$2015,AE$1)</f>
        <v>0</v>
      </c>
      <c r="AF73" s="80">
        <f>SUMIFS('август 2024'!$G$4:$G$2015,'август 2024'!$D$4:$D$2015,$B73,'август 2024'!$J$4:$J$2015,AF$1)</f>
        <v>0</v>
      </c>
      <c r="AG73" s="80">
        <f>SUMIFS('август 2024'!$G$4:$G$2015,'август 2024'!$D$4:$D$2015,$B73,'август 2024'!$J$4:$J$2015,AG$1)</f>
        <v>0</v>
      </c>
      <c r="AH73" s="80">
        <f>SUMIFS('август 2024'!$G$4:$G$2015,'август 2024'!$D$4:$D$2015,$B73,'август 2024'!$J$4:$J$2015,AH$1)</f>
        <v>0</v>
      </c>
      <c r="AI73" s="21">
        <f t="shared" si="1"/>
        <v>88</v>
      </c>
    </row>
    <row r="74" spans="2:35" ht="15" customHeight="1" x14ac:dyDescent="0.25">
      <c r="B74" s="93" t="s">
        <v>221</v>
      </c>
      <c r="C74" s="91">
        <v>25</v>
      </c>
      <c r="D74" s="80">
        <f>SUMIFS('август 2024'!$G$4:$G$2015,'август 2024'!$D$4:$D$2015,$B74,'август 2024'!$J$4:$J$2015,D$1)</f>
        <v>0</v>
      </c>
      <c r="E74" s="80">
        <f>SUMIFS('август 2024'!$G$4:$G$2015,'август 2024'!$D$4:$D$2015,$B74,'август 2024'!$J$4:$J$2015,E$1)</f>
        <v>0</v>
      </c>
      <c r="F74" s="80">
        <f>SUMIFS('август 2024'!$G$4:$G$2015,'август 2024'!$D$4:$D$2015,$B74,'август 2024'!$J$4:$J$2015,F$1)</f>
        <v>0</v>
      </c>
      <c r="G74" s="80">
        <f>SUMIFS('август 2024'!$G$4:$G$2015,'август 2024'!$D$4:$D$2015,$B74,'август 2024'!$J$4:$J$2015,G$1)</f>
        <v>0</v>
      </c>
      <c r="H74" s="80">
        <f>SUMIFS('август 2024'!$G$4:$G$2015,'август 2024'!$D$4:$D$2015,$B74,'август 2024'!$J$4:$J$2015,H$1)</f>
        <v>0</v>
      </c>
      <c r="I74" s="80">
        <f>SUMIFS('август 2024'!$G$4:$G$2015,'август 2024'!$D$4:$D$2015,$B74,'август 2024'!$J$4:$J$2015,I$1)</f>
        <v>0</v>
      </c>
      <c r="J74" s="80">
        <f>SUMIFS('август 2024'!$G$4:$G$2015,'август 2024'!$D$4:$D$2015,$B74,'август 2024'!$J$4:$J$2015,J$1)</f>
        <v>0</v>
      </c>
      <c r="K74" s="80">
        <f>SUMIFS('август 2024'!$G$4:$G$2015,'август 2024'!$D$4:$D$2015,$B74,'август 2024'!$J$4:$J$2015,K$1)</f>
        <v>0</v>
      </c>
      <c r="L74" s="80">
        <f>SUMIFS('август 2024'!$G$4:$G$2015,'август 2024'!$D$4:$D$2015,$B74,'август 2024'!$J$4:$J$2015,L$1)</f>
        <v>0</v>
      </c>
      <c r="M74" s="80">
        <f>SUMIFS('август 2024'!$G$4:$G$2015,'август 2024'!$D$4:$D$2015,$B74,'август 2024'!$J$4:$J$2015,M$1)</f>
        <v>0</v>
      </c>
      <c r="N74" s="80">
        <f>SUMIFS('август 2024'!$G$4:$G$2015,'август 2024'!$D$4:$D$2015,$B74,'август 2024'!$J$4:$J$2015,N$1)</f>
        <v>0</v>
      </c>
      <c r="O74" s="80">
        <f>SUMIFS('август 2024'!$G$4:$G$2015,'август 2024'!$D$4:$D$2015,$B74,'август 2024'!$J$4:$J$2015,O$1)</f>
        <v>0</v>
      </c>
      <c r="P74" s="80">
        <f>SUMIFS('август 2024'!$G$4:$G$2015,'август 2024'!$D$4:$D$2015,$B74,'август 2024'!$J$4:$J$2015,P$1)</f>
        <v>0</v>
      </c>
      <c r="Q74" s="80">
        <f>SUMIFS('август 2024'!$G$4:$G$2015,'август 2024'!$D$4:$D$2015,$B74,'август 2024'!$J$4:$J$2015,Q$1)</f>
        <v>0</v>
      </c>
      <c r="R74" s="80">
        <f>SUMIFS('август 2024'!$G$4:$G$2015,'август 2024'!$D$4:$D$2015,$B74,'август 2024'!$J$4:$J$2015,R$1)</f>
        <v>0</v>
      </c>
      <c r="S74" s="80">
        <f>SUMIFS('август 2024'!$G$4:$G$2015,'август 2024'!$D$4:$D$2015,$B74,'август 2024'!$J$4:$J$2015,S$1)</f>
        <v>0</v>
      </c>
      <c r="T74" s="80">
        <f>SUMIFS('август 2024'!$G$4:$G$2015,'август 2024'!$D$4:$D$2015,$B74,'август 2024'!$J$4:$J$2015,T$1)</f>
        <v>0</v>
      </c>
      <c r="U74" s="80">
        <f>SUMIFS('август 2024'!$G$4:$G$2015,'август 2024'!$D$4:$D$2015,$B74,'август 2024'!$J$4:$J$2015,U$1)</f>
        <v>0</v>
      </c>
      <c r="V74" s="80">
        <f>SUMIFS('август 2024'!$G$4:$G$2015,'август 2024'!$D$4:$D$2015,$B74,'август 2024'!$J$4:$J$2015,V$1)</f>
        <v>0</v>
      </c>
      <c r="W74" s="80">
        <f>SUMIFS('август 2024'!$G$4:$G$2015,'август 2024'!$D$4:$D$2015,$B74,'август 2024'!$J$4:$J$2015,W$1)</f>
        <v>0</v>
      </c>
      <c r="X74" s="80">
        <f>SUMIFS('август 2024'!$G$4:$G$2015,'август 2024'!$D$4:$D$2015,$B74,'август 2024'!$J$4:$J$2015,X$1)</f>
        <v>0</v>
      </c>
      <c r="Y74" s="80">
        <f>SUMIFS('август 2024'!$G$4:$G$2015,'август 2024'!$D$4:$D$2015,$B74,'август 2024'!$J$4:$J$2015,Y$1)</f>
        <v>0</v>
      </c>
      <c r="Z74" s="80">
        <f>SUMIFS('август 2024'!$G$4:$G$2015,'август 2024'!$D$4:$D$2015,$B74,'август 2024'!$J$4:$J$2015,Z$1)</f>
        <v>0</v>
      </c>
      <c r="AA74" s="80">
        <f>SUMIFS('август 2024'!$G$4:$G$2015,'август 2024'!$D$4:$D$2015,$B74,'август 2024'!$J$4:$J$2015,AA$1)</f>
        <v>0</v>
      </c>
      <c r="AB74" s="80">
        <f>SUMIFS('август 2024'!$G$4:$G$2015,'август 2024'!$D$4:$D$2015,$B74,'август 2024'!$J$4:$J$2015,AB$1)</f>
        <v>0</v>
      </c>
      <c r="AC74" s="80">
        <f>SUMIFS('август 2024'!$G$4:$G$2015,'август 2024'!$D$4:$D$2015,$B74,'август 2024'!$J$4:$J$2015,AC$1)</f>
        <v>0</v>
      </c>
      <c r="AD74" s="80">
        <f>SUMIFS('август 2024'!$G$4:$G$2015,'август 2024'!$D$4:$D$2015,$B74,'август 2024'!$J$4:$J$2015,AD$1)</f>
        <v>0</v>
      </c>
      <c r="AE74" s="80">
        <f>SUMIFS('август 2024'!$G$4:$G$2015,'август 2024'!$D$4:$D$2015,$B74,'август 2024'!$J$4:$J$2015,AE$1)</f>
        <v>0</v>
      </c>
      <c r="AF74" s="80">
        <f>SUMIFS('август 2024'!$G$4:$G$2015,'август 2024'!$D$4:$D$2015,$B74,'август 2024'!$J$4:$J$2015,AF$1)</f>
        <v>0</v>
      </c>
      <c r="AG74" s="80">
        <f>SUMIFS('август 2024'!$G$4:$G$2015,'август 2024'!$D$4:$D$2015,$B74,'август 2024'!$J$4:$J$2015,AG$1)</f>
        <v>0</v>
      </c>
      <c r="AH74" s="80">
        <f>SUMIFS('август 2024'!$G$4:$G$2015,'август 2024'!$D$4:$D$2015,$B74,'август 2024'!$J$4:$J$2015,AH$1)</f>
        <v>0</v>
      </c>
      <c r="AI74" s="21">
        <f t="shared" si="1"/>
        <v>0</v>
      </c>
    </row>
    <row r="75" spans="2:35" ht="15" customHeight="1" x14ac:dyDescent="0.25">
      <c r="B75" s="93" t="s">
        <v>188</v>
      </c>
      <c r="C75" s="91">
        <v>50</v>
      </c>
      <c r="D75" s="80">
        <f>SUMIFS('август 2024'!$G$4:$G$2015,'август 2024'!$D$4:$D$2015,$B75,'август 2024'!$J$4:$J$2015,D$1)</f>
        <v>0</v>
      </c>
      <c r="E75" s="80">
        <f>SUMIFS('август 2024'!$G$4:$G$2015,'август 2024'!$D$4:$D$2015,$B75,'август 2024'!$J$4:$J$2015,E$1)</f>
        <v>0</v>
      </c>
      <c r="F75" s="80">
        <f>SUMIFS('август 2024'!$G$4:$G$2015,'август 2024'!$D$4:$D$2015,$B75,'август 2024'!$J$4:$J$2015,F$1)</f>
        <v>0</v>
      </c>
      <c r="G75" s="80">
        <f>SUMIFS('август 2024'!$G$4:$G$2015,'август 2024'!$D$4:$D$2015,$B75,'август 2024'!$J$4:$J$2015,G$1)</f>
        <v>0</v>
      </c>
      <c r="H75" s="80">
        <f>SUMIFS('август 2024'!$G$4:$G$2015,'август 2024'!$D$4:$D$2015,$B75,'август 2024'!$J$4:$J$2015,H$1)</f>
        <v>0</v>
      </c>
      <c r="I75" s="80">
        <f>SUMIFS('август 2024'!$G$4:$G$2015,'август 2024'!$D$4:$D$2015,$B75,'август 2024'!$J$4:$J$2015,I$1)</f>
        <v>0</v>
      </c>
      <c r="J75" s="80">
        <f>SUMIFS('август 2024'!$G$4:$G$2015,'август 2024'!$D$4:$D$2015,$B75,'август 2024'!$J$4:$J$2015,J$1)</f>
        <v>0</v>
      </c>
      <c r="K75" s="80">
        <f>SUMIFS('август 2024'!$G$4:$G$2015,'август 2024'!$D$4:$D$2015,$B75,'август 2024'!$J$4:$J$2015,K$1)</f>
        <v>0</v>
      </c>
      <c r="L75" s="80">
        <f>SUMIFS('август 2024'!$G$4:$G$2015,'август 2024'!$D$4:$D$2015,$B75,'август 2024'!$J$4:$J$2015,L$1)</f>
        <v>0</v>
      </c>
      <c r="M75" s="80">
        <f>SUMIFS('август 2024'!$G$4:$G$2015,'август 2024'!$D$4:$D$2015,$B75,'август 2024'!$J$4:$J$2015,M$1)</f>
        <v>0</v>
      </c>
      <c r="N75" s="80">
        <f>SUMIFS('август 2024'!$G$4:$G$2015,'август 2024'!$D$4:$D$2015,$B75,'август 2024'!$J$4:$J$2015,N$1)</f>
        <v>0</v>
      </c>
      <c r="O75" s="80">
        <f>SUMIFS('август 2024'!$G$4:$G$2015,'август 2024'!$D$4:$D$2015,$B75,'август 2024'!$J$4:$J$2015,O$1)</f>
        <v>0</v>
      </c>
      <c r="P75" s="80">
        <f>SUMIFS('август 2024'!$G$4:$G$2015,'август 2024'!$D$4:$D$2015,$B75,'август 2024'!$J$4:$J$2015,P$1)</f>
        <v>0</v>
      </c>
      <c r="Q75" s="80">
        <f>SUMIFS('август 2024'!$G$4:$G$2015,'август 2024'!$D$4:$D$2015,$B75,'август 2024'!$J$4:$J$2015,Q$1)</f>
        <v>0</v>
      </c>
      <c r="R75" s="80">
        <f>SUMIFS('август 2024'!$G$4:$G$2015,'август 2024'!$D$4:$D$2015,$B75,'август 2024'!$J$4:$J$2015,R$1)</f>
        <v>0</v>
      </c>
      <c r="S75" s="80">
        <f>SUMIFS('август 2024'!$G$4:$G$2015,'август 2024'!$D$4:$D$2015,$B75,'август 2024'!$J$4:$J$2015,S$1)</f>
        <v>0</v>
      </c>
      <c r="T75" s="80">
        <f>SUMIFS('август 2024'!$G$4:$G$2015,'август 2024'!$D$4:$D$2015,$B75,'август 2024'!$J$4:$J$2015,T$1)</f>
        <v>0</v>
      </c>
      <c r="U75" s="80">
        <f>SUMIFS('август 2024'!$G$4:$G$2015,'август 2024'!$D$4:$D$2015,$B75,'август 2024'!$J$4:$J$2015,U$1)</f>
        <v>0</v>
      </c>
      <c r="V75" s="80">
        <f>SUMIFS('август 2024'!$G$4:$G$2015,'август 2024'!$D$4:$D$2015,$B75,'август 2024'!$J$4:$J$2015,V$1)</f>
        <v>0</v>
      </c>
      <c r="W75" s="80">
        <f>SUMIFS('август 2024'!$G$4:$G$2015,'август 2024'!$D$4:$D$2015,$B75,'август 2024'!$J$4:$J$2015,W$1)</f>
        <v>0</v>
      </c>
      <c r="X75" s="80">
        <f>SUMIFS('август 2024'!$G$4:$G$2015,'август 2024'!$D$4:$D$2015,$B75,'август 2024'!$J$4:$J$2015,X$1)</f>
        <v>0</v>
      </c>
      <c r="Y75" s="80">
        <f>SUMIFS('август 2024'!$G$4:$G$2015,'август 2024'!$D$4:$D$2015,$B75,'август 2024'!$J$4:$J$2015,Y$1)</f>
        <v>0</v>
      </c>
      <c r="Z75" s="80">
        <f>SUMIFS('август 2024'!$G$4:$G$2015,'август 2024'!$D$4:$D$2015,$B75,'август 2024'!$J$4:$J$2015,Z$1)</f>
        <v>0</v>
      </c>
      <c r="AA75" s="80">
        <f>SUMIFS('август 2024'!$G$4:$G$2015,'август 2024'!$D$4:$D$2015,$B75,'август 2024'!$J$4:$J$2015,AA$1)</f>
        <v>0</v>
      </c>
      <c r="AB75" s="80">
        <f>SUMIFS('август 2024'!$G$4:$G$2015,'август 2024'!$D$4:$D$2015,$B75,'август 2024'!$J$4:$J$2015,AB$1)</f>
        <v>0</v>
      </c>
      <c r="AC75" s="80">
        <f>SUMIFS('август 2024'!$G$4:$G$2015,'август 2024'!$D$4:$D$2015,$B75,'август 2024'!$J$4:$J$2015,AC$1)</f>
        <v>0</v>
      </c>
      <c r="AD75" s="80">
        <f>SUMIFS('август 2024'!$G$4:$G$2015,'август 2024'!$D$4:$D$2015,$B75,'август 2024'!$J$4:$J$2015,AD$1)</f>
        <v>0</v>
      </c>
      <c r="AE75" s="80">
        <f>SUMIFS('август 2024'!$G$4:$G$2015,'август 2024'!$D$4:$D$2015,$B75,'август 2024'!$J$4:$J$2015,AE$1)</f>
        <v>0</v>
      </c>
      <c r="AF75" s="80">
        <f>SUMIFS('август 2024'!$G$4:$G$2015,'август 2024'!$D$4:$D$2015,$B75,'август 2024'!$J$4:$J$2015,AF$1)</f>
        <v>0</v>
      </c>
      <c r="AG75" s="80">
        <f>SUMIFS('август 2024'!$G$4:$G$2015,'август 2024'!$D$4:$D$2015,$B75,'август 2024'!$J$4:$J$2015,AG$1)</f>
        <v>0</v>
      </c>
      <c r="AH75" s="80">
        <f>SUMIFS('август 2024'!$G$4:$G$2015,'август 2024'!$D$4:$D$2015,$B75,'август 2024'!$J$4:$J$2015,AH$1)</f>
        <v>0</v>
      </c>
      <c r="AI75" s="21">
        <f t="shared" si="1"/>
        <v>0</v>
      </c>
    </row>
    <row r="76" spans="2:35" ht="15" customHeight="1" x14ac:dyDescent="0.25">
      <c r="B76" s="93" t="s">
        <v>173</v>
      </c>
      <c r="C76" s="91">
        <v>200</v>
      </c>
      <c r="D76" s="80">
        <f>SUMIFS('август 2024'!$G$4:$G$2015,'август 2024'!$D$4:$D$2015,$B76,'август 2024'!$J$4:$J$2015,D$1)</f>
        <v>0</v>
      </c>
      <c r="E76" s="80">
        <f>SUMIFS('август 2024'!$G$4:$G$2015,'август 2024'!$D$4:$D$2015,$B76,'август 2024'!$J$4:$J$2015,E$1)</f>
        <v>0</v>
      </c>
      <c r="F76" s="80">
        <f>SUMIFS('август 2024'!$G$4:$G$2015,'август 2024'!$D$4:$D$2015,$B76,'август 2024'!$J$4:$J$2015,F$1)</f>
        <v>0</v>
      </c>
      <c r="G76" s="80">
        <f>SUMIFS('август 2024'!$G$4:$G$2015,'август 2024'!$D$4:$D$2015,$B76,'август 2024'!$J$4:$J$2015,G$1)</f>
        <v>0</v>
      </c>
      <c r="H76" s="80">
        <f>SUMIFS('август 2024'!$G$4:$G$2015,'август 2024'!$D$4:$D$2015,$B76,'август 2024'!$J$4:$J$2015,H$1)</f>
        <v>0</v>
      </c>
      <c r="I76" s="80">
        <f>SUMIFS('август 2024'!$G$4:$G$2015,'август 2024'!$D$4:$D$2015,$B76,'август 2024'!$J$4:$J$2015,I$1)</f>
        <v>0</v>
      </c>
      <c r="J76" s="80">
        <f>SUMIFS('август 2024'!$G$4:$G$2015,'август 2024'!$D$4:$D$2015,$B76,'август 2024'!$J$4:$J$2015,J$1)</f>
        <v>0</v>
      </c>
      <c r="K76" s="80">
        <f>SUMIFS('август 2024'!$G$4:$G$2015,'август 2024'!$D$4:$D$2015,$B76,'август 2024'!$J$4:$J$2015,K$1)</f>
        <v>0</v>
      </c>
      <c r="L76" s="80">
        <f>SUMIFS('август 2024'!$G$4:$G$2015,'август 2024'!$D$4:$D$2015,$B76,'август 2024'!$J$4:$J$2015,L$1)</f>
        <v>0</v>
      </c>
      <c r="M76" s="80">
        <f>SUMIFS('август 2024'!$G$4:$G$2015,'август 2024'!$D$4:$D$2015,$B76,'август 2024'!$J$4:$J$2015,M$1)</f>
        <v>0</v>
      </c>
      <c r="N76" s="80">
        <f>SUMIFS('август 2024'!$G$4:$G$2015,'август 2024'!$D$4:$D$2015,$B76,'август 2024'!$J$4:$J$2015,N$1)</f>
        <v>0</v>
      </c>
      <c r="O76" s="80">
        <f>SUMIFS('август 2024'!$G$4:$G$2015,'август 2024'!$D$4:$D$2015,$B76,'август 2024'!$J$4:$J$2015,O$1)</f>
        <v>0</v>
      </c>
      <c r="P76" s="80">
        <f>SUMIFS('август 2024'!$G$4:$G$2015,'август 2024'!$D$4:$D$2015,$B76,'август 2024'!$J$4:$J$2015,P$1)</f>
        <v>0</v>
      </c>
      <c r="Q76" s="80">
        <f>SUMIFS('август 2024'!$G$4:$G$2015,'август 2024'!$D$4:$D$2015,$B76,'август 2024'!$J$4:$J$2015,Q$1)</f>
        <v>0</v>
      </c>
      <c r="R76" s="80">
        <f>SUMIFS('август 2024'!$G$4:$G$2015,'август 2024'!$D$4:$D$2015,$B76,'август 2024'!$J$4:$J$2015,R$1)</f>
        <v>0</v>
      </c>
      <c r="S76" s="80">
        <f>SUMIFS('август 2024'!$G$4:$G$2015,'август 2024'!$D$4:$D$2015,$B76,'август 2024'!$J$4:$J$2015,S$1)</f>
        <v>0</v>
      </c>
      <c r="T76" s="80">
        <f>SUMIFS('август 2024'!$G$4:$G$2015,'август 2024'!$D$4:$D$2015,$B76,'август 2024'!$J$4:$J$2015,T$1)</f>
        <v>0</v>
      </c>
      <c r="U76" s="80">
        <f>SUMIFS('август 2024'!$G$4:$G$2015,'август 2024'!$D$4:$D$2015,$B76,'август 2024'!$J$4:$J$2015,U$1)</f>
        <v>0</v>
      </c>
      <c r="V76" s="80">
        <f>SUMIFS('август 2024'!$G$4:$G$2015,'август 2024'!$D$4:$D$2015,$B76,'август 2024'!$J$4:$J$2015,V$1)</f>
        <v>0</v>
      </c>
      <c r="W76" s="80">
        <f>SUMIFS('август 2024'!$G$4:$G$2015,'август 2024'!$D$4:$D$2015,$B76,'август 2024'!$J$4:$J$2015,W$1)</f>
        <v>0</v>
      </c>
      <c r="X76" s="80">
        <f>SUMIFS('август 2024'!$G$4:$G$2015,'август 2024'!$D$4:$D$2015,$B76,'август 2024'!$J$4:$J$2015,X$1)</f>
        <v>0</v>
      </c>
      <c r="Y76" s="80">
        <f>SUMIFS('август 2024'!$G$4:$G$2015,'август 2024'!$D$4:$D$2015,$B76,'август 2024'!$J$4:$J$2015,Y$1)</f>
        <v>0</v>
      </c>
      <c r="Z76" s="80">
        <f>SUMIFS('август 2024'!$G$4:$G$2015,'август 2024'!$D$4:$D$2015,$B76,'август 2024'!$J$4:$J$2015,Z$1)</f>
        <v>0</v>
      </c>
      <c r="AA76" s="80">
        <f>SUMIFS('август 2024'!$G$4:$G$2015,'август 2024'!$D$4:$D$2015,$B76,'август 2024'!$J$4:$J$2015,AA$1)</f>
        <v>0</v>
      </c>
      <c r="AB76" s="80">
        <f>SUMIFS('август 2024'!$G$4:$G$2015,'август 2024'!$D$4:$D$2015,$B76,'август 2024'!$J$4:$J$2015,AB$1)</f>
        <v>0</v>
      </c>
      <c r="AC76" s="80">
        <f>SUMIFS('август 2024'!$G$4:$G$2015,'август 2024'!$D$4:$D$2015,$B76,'август 2024'!$J$4:$J$2015,AC$1)</f>
        <v>0</v>
      </c>
      <c r="AD76" s="80">
        <f>SUMIFS('август 2024'!$G$4:$G$2015,'август 2024'!$D$4:$D$2015,$B76,'август 2024'!$J$4:$J$2015,AD$1)</f>
        <v>0</v>
      </c>
      <c r="AE76" s="80">
        <f>SUMIFS('август 2024'!$G$4:$G$2015,'август 2024'!$D$4:$D$2015,$B76,'август 2024'!$J$4:$J$2015,AE$1)</f>
        <v>0</v>
      </c>
      <c r="AF76" s="80">
        <f>SUMIFS('август 2024'!$G$4:$G$2015,'август 2024'!$D$4:$D$2015,$B76,'август 2024'!$J$4:$J$2015,AF$1)</f>
        <v>0</v>
      </c>
      <c r="AG76" s="80">
        <f>SUMIFS('август 2024'!$G$4:$G$2015,'август 2024'!$D$4:$D$2015,$B76,'август 2024'!$J$4:$J$2015,AG$1)</f>
        <v>0</v>
      </c>
      <c r="AH76" s="80">
        <f>SUMIFS('август 2024'!$G$4:$G$2015,'август 2024'!$D$4:$D$2015,$B76,'август 2024'!$J$4:$J$2015,AH$1)</f>
        <v>0</v>
      </c>
      <c r="AI76" s="21">
        <f t="shared" si="1"/>
        <v>0</v>
      </c>
    </row>
    <row r="77" spans="2:35" ht="15" customHeight="1" x14ac:dyDescent="0.25">
      <c r="B77" s="93" t="s">
        <v>174</v>
      </c>
      <c r="C77" s="91">
        <v>200</v>
      </c>
      <c r="D77" s="80">
        <f>SUMIFS('август 2024'!$G$4:$G$2015,'август 2024'!$D$4:$D$2015,$B77,'август 2024'!$J$4:$J$2015,D$1)</f>
        <v>0</v>
      </c>
      <c r="E77" s="80">
        <f>SUMIFS('август 2024'!$G$4:$G$2015,'август 2024'!$D$4:$D$2015,$B77,'август 2024'!$J$4:$J$2015,E$1)</f>
        <v>0</v>
      </c>
      <c r="F77" s="80">
        <f>SUMIFS('август 2024'!$G$4:$G$2015,'август 2024'!$D$4:$D$2015,$B77,'август 2024'!$J$4:$J$2015,F$1)</f>
        <v>0</v>
      </c>
      <c r="G77" s="80">
        <f>SUMIFS('август 2024'!$G$4:$G$2015,'август 2024'!$D$4:$D$2015,$B77,'август 2024'!$J$4:$J$2015,G$1)</f>
        <v>0</v>
      </c>
      <c r="H77" s="80">
        <f>SUMIFS('август 2024'!$G$4:$G$2015,'август 2024'!$D$4:$D$2015,$B77,'август 2024'!$J$4:$J$2015,H$1)</f>
        <v>0</v>
      </c>
      <c r="I77" s="80">
        <f>SUMIFS('август 2024'!$G$4:$G$2015,'август 2024'!$D$4:$D$2015,$B77,'август 2024'!$J$4:$J$2015,I$1)</f>
        <v>0</v>
      </c>
      <c r="J77" s="80">
        <f>SUMIFS('август 2024'!$G$4:$G$2015,'август 2024'!$D$4:$D$2015,$B77,'август 2024'!$J$4:$J$2015,J$1)</f>
        <v>0</v>
      </c>
      <c r="K77" s="80">
        <f>SUMIFS('август 2024'!$G$4:$G$2015,'август 2024'!$D$4:$D$2015,$B77,'август 2024'!$J$4:$J$2015,K$1)</f>
        <v>0</v>
      </c>
      <c r="L77" s="80">
        <f>SUMIFS('август 2024'!$G$4:$G$2015,'август 2024'!$D$4:$D$2015,$B77,'август 2024'!$J$4:$J$2015,L$1)</f>
        <v>0</v>
      </c>
      <c r="M77" s="80">
        <f>SUMIFS('август 2024'!$G$4:$G$2015,'август 2024'!$D$4:$D$2015,$B77,'август 2024'!$J$4:$J$2015,M$1)</f>
        <v>0</v>
      </c>
      <c r="N77" s="80">
        <f>SUMIFS('август 2024'!$G$4:$G$2015,'август 2024'!$D$4:$D$2015,$B77,'август 2024'!$J$4:$J$2015,N$1)</f>
        <v>0</v>
      </c>
      <c r="O77" s="80">
        <f>SUMIFS('август 2024'!$G$4:$G$2015,'август 2024'!$D$4:$D$2015,$B77,'август 2024'!$J$4:$J$2015,O$1)</f>
        <v>0</v>
      </c>
      <c r="P77" s="80">
        <f>SUMIFS('август 2024'!$G$4:$G$2015,'август 2024'!$D$4:$D$2015,$B77,'август 2024'!$J$4:$J$2015,P$1)</f>
        <v>0</v>
      </c>
      <c r="Q77" s="80">
        <f>SUMIFS('август 2024'!$G$4:$G$2015,'август 2024'!$D$4:$D$2015,$B77,'август 2024'!$J$4:$J$2015,Q$1)</f>
        <v>0</v>
      </c>
      <c r="R77" s="80">
        <f>SUMIFS('август 2024'!$G$4:$G$2015,'август 2024'!$D$4:$D$2015,$B77,'август 2024'!$J$4:$J$2015,R$1)</f>
        <v>0</v>
      </c>
      <c r="S77" s="80">
        <f>SUMIFS('август 2024'!$G$4:$G$2015,'август 2024'!$D$4:$D$2015,$B77,'август 2024'!$J$4:$J$2015,S$1)</f>
        <v>0</v>
      </c>
      <c r="T77" s="80">
        <f>SUMIFS('август 2024'!$G$4:$G$2015,'август 2024'!$D$4:$D$2015,$B77,'август 2024'!$J$4:$J$2015,T$1)</f>
        <v>0</v>
      </c>
      <c r="U77" s="80">
        <f>SUMIFS('август 2024'!$G$4:$G$2015,'август 2024'!$D$4:$D$2015,$B77,'август 2024'!$J$4:$J$2015,U$1)</f>
        <v>0</v>
      </c>
      <c r="V77" s="80">
        <f>SUMIFS('август 2024'!$G$4:$G$2015,'август 2024'!$D$4:$D$2015,$B77,'август 2024'!$J$4:$J$2015,V$1)</f>
        <v>0</v>
      </c>
      <c r="W77" s="80">
        <f>SUMIFS('август 2024'!$G$4:$G$2015,'август 2024'!$D$4:$D$2015,$B77,'август 2024'!$J$4:$J$2015,W$1)</f>
        <v>0</v>
      </c>
      <c r="X77" s="80">
        <f>SUMIFS('август 2024'!$G$4:$G$2015,'август 2024'!$D$4:$D$2015,$B77,'август 2024'!$J$4:$J$2015,X$1)</f>
        <v>0</v>
      </c>
      <c r="Y77" s="80">
        <f>SUMIFS('август 2024'!$G$4:$G$2015,'август 2024'!$D$4:$D$2015,$B77,'август 2024'!$J$4:$J$2015,Y$1)</f>
        <v>0</v>
      </c>
      <c r="Z77" s="80">
        <f>SUMIFS('август 2024'!$G$4:$G$2015,'август 2024'!$D$4:$D$2015,$B77,'август 2024'!$J$4:$J$2015,Z$1)</f>
        <v>0</v>
      </c>
      <c r="AA77" s="80">
        <f>SUMIFS('август 2024'!$G$4:$G$2015,'август 2024'!$D$4:$D$2015,$B77,'август 2024'!$J$4:$J$2015,AA$1)</f>
        <v>0</v>
      </c>
      <c r="AB77" s="80">
        <f>SUMIFS('август 2024'!$G$4:$G$2015,'август 2024'!$D$4:$D$2015,$B77,'август 2024'!$J$4:$J$2015,AB$1)</f>
        <v>0</v>
      </c>
      <c r="AC77" s="80">
        <f>SUMIFS('август 2024'!$G$4:$G$2015,'август 2024'!$D$4:$D$2015,$B77,'август 2024'!$J$4:$J$2015,AC$1)</f>
        <v>0</v>
      </c>
      <c r="AD77" s="80">
        <f>SUMIFS('август 2024'!$G$4:$G$2015,'август 2024'!$D$4:$D$2015,$B77,'август 2024'!$J$4:$J$2015,AD$1)</f>
        <v>24</v>
      </c>
      <c r="AE77" s="80">
        <f>SUMIFS('август 2024'!$G$4:$G$2015,'август 2024'!$D$4:$D$2015,$B77,'август 2024'!$J$4:$J$2015,AE$1)</f>
        <v>0</v>
      </c>
      <c r="AF77" s="80">
        <f>SUMIFS('август 2024'!$G$4:$G$2015,'август 2024'!$D$4:$D$2015,$B77,'август 2024'!$J$4:$J$2015,AF$1)</f>
        <v>88</v>
      </c>
      <c r="AG77" s="80">
        <f>SUMIFS('август 2024'!$G$4:$G$2015,'август 2024'!$D$4:$D$2015,$B77,'август 2024'!$J$4:$J$2015,AG$1)</f>
        <v>0</v>
      </c>
      <c r="AH77" s="80">
        <f>SUMIFS('август 2024'!$G$4:$G$2015,'август 2024'!$D$4:$D$2015,$B77,'август 2024'!$J$4:$J$2015,AH$1)</f>
        <v>0</v>
      </c>
      <c r="AI77" s="21">
        <f t="shared" si="1"/>
        <v>112</v>
      </c>
    </row>
    <row r="78" spans="2:35" ht="15" customHeight="1" x14ac:dyDescent="0.25">
      <c r="B78" s="93" t="s">
        <v>1458</v>
      </c>
      <c r="C78" s="91">
        <v>200</v>
      </c>
      <c r="D78" s="80">
        <f>SUMIFS('август 2024'!$G$4:$G$2015,'август 2024'!$D$4:$D$2015,$B78,'август 2024'!$J$4:$J$2015,D$1)</f>
        <v>0</v>
      </c>
      <c r="E78" s="80">
        <f>SUMIFS('август 2024'!$G$4:$G$2015,'август 2024'!$D$4:$D$2015,$B78,'август 2024'!$J$4:$J$2015,E$1)</f>
        <v>0</v>
      </c>
      <c r="F78" s="80">
        <f>SUMIFS('август 2024'!$G$4:$G$2015,'август 2024'!$D$4:$D$2015,$B78,'август 2024'!$J$4:$J$2015,F$1)</f>
        <v>0</v>
      </c>
      <c r="G78" s="80">
        <f>SUMIFS('август 2024'!$G$4:$G$2015,'август 2024'!$D$4:$D$2015,$B78,'август 2024'!$J$4:$J$2015,G$1)</f>
        <v>0</v>
      </c>
      <c r="H78" s="80">
        <f>SUMIFS('август 2024'!$G$4:$G$2015,'август 2024'!$D$4:$D$2015,$B78,'август 2024'!$J$4:$J$2015,H$1)</f>
        <v>0</v>
      </c>
      <c r="I78" s="80">
        <f>SUMIFS('август 2024'!$G$4:$G$2015,'август 2024'!$D$4:$D$2015,$B78,'август 2024'!$J$4:$J$2015,I$1)</f>
        <v>0</v>
      </c>
      <c r="J78" s="80">
        <f>SUMIFS('август 2024'!$G$4:$G$2015,'август 2024'!$D$4:$D$2015,$B78,'август 2024'!$J$4:$J$2015,J$1)</f>
        <v>0</v>
      </c>
      <c r="K78" s="80">
        <f>SUMIFS('август 2024'!$G$4:$G$2015,'август 2024'!$D$4:$D$2015,$B78,'август 2024'!$J$4:$J$2015,K$1)</f>
        <v>0</v>
      </c>
      <c r="L78" s="80">
        <f>SUMIFS('август 2024'!$G$4:$G$2015,'август 2024'!$D$4:$D$2015,$B78,'август 2024'!$J$4:$J$2015,L$1)</f>
        <v>0</v>
      </c>
      <c r="M78" s="80">
        <f>SUMIFS('август 2024'!$G$4:$G$2015,'август 2024'!$D$4:$D$2015,$B78,'август 2024'!$J$4:$J$2015,M$1)</f>
        <v>0</v>
      </c>
      <c r="N78" s="80">
        <f>SUMIFS('август 2024'!$G$4:$G$2015,'август 2024'!$D$4:$D$2015,$B78,'август 2024'!$J$4:$J$2015,N$1)</f>
        <v>0</v>
      </c>
      <c r="O78" s="80">
        <f>SUMIFS('август 2024'!$G$4:$G$2015,'август 2024'!$D$4:$D$2015,$B78,'август 2024'!$J$4:$J$2015,O$1)</f>
        <v>0</v>
      </c>
      <c r="P78" s="80">
        <f>SUMIFS('август 2024'!$G$4:$G$2015,'август 2024'!$D$4:$D$2015,$B78,'август 2024'!$J$4:$J$2015,P$1)</f>
        <v>0</v>
      </c>
      <c r="Q78" s="80">
        <f>SUMIFS('август 2024'!$G$4:$G$2015,'август 2024'!$D$4:$D$2015,$B78,'август 2024'!$J$4:$J$2015,Q$1)</f>
        <v>0</v>
      </c>
      <c r="R78" s="80">
        <f>SUMIFS('август 2024'!$G$4:$G$2015,'август 2024'!$D$4:$D$2015,$B78,'август 2024'!$J$4:$J$2015,R$1)</f>
        <v>0</v>
      </c>
      <c r="S78" s="80">
        <f>SUMIFS('август 2024'!$G$4:$G$2015,'август 2024'!$D$4:$D$2015,$B78,'август 2024'!$J$4:$J$2015,S$1)</f>
        <v>0</v>
      </c>
      <c r="T78" s="80">
        <f>SUMIFS('август 2024'!$G$4:$G$2015,'август 2024'!$D$4:$D$2015,$B78,'август 2024'!$J$4:$J$2015,T$1)</f>
        <v>0</v>
      </c>
      <c r="U78" s="80">
        <f>SUMIFS('август 2024'!$G$4:$G$2015,'август 2024'!$D$4:$D$2015,$B78,'август 2024'!$J$4:$J$2015,U$1)</f>
        <v>0</v>
      </c>
      <c r="V78" s="80">
        <f>SUMIFS('август 2024'!$G$4:$G$2015,'август 2024'!$D$4:$D$2015,$B78,'август 2024'!$J$4:$J$2015,V$1)</f>
        <v>0</v>
      </c>
      <c r="W78" s="80">
        <f>SUMIFS('август 2024'!$G$4:$G$2015,'август 2024'!$D$4:$D$2015,$B78,'август 2024'!$J$4:$J$2015,W$1)</f>
        <v>0</v>
      </c>
      <c r="X78" s="80">
        <f>SUMIFS('август 2024'!$G$4:$G$2015,'август 2024'!$D$4:$D$2015,$B78,'август 2024'!$J$4:$J$2015,X$1)</f>
        <v>0</v>
      </c>
      <c r="Y78" s="80">
        <f>SUMIFS('август 2024'!$G$4:$G$2015,'август 2024'!$D$4:$D$2015,$B78,'август 2024'!$J$4:$J$2015,Y$1)</f>
        <v>0</v>
      </c>
      <c r="Z78" s="80">
        <f>SUMIFS('август 2024'!$G$4:$G$2015,'август 2024'!$D$4:$D$2015,$B78,'август 2024'!$J$4:$J$2015,Z$1)</f>
        <v>0</v>
      </c>
      <c r="AA78" s="80">
        <f>SUMIFS('август 2024'!$G$4:$G$2015,'август 2024'!$D$4:$D$2015,$B78,'август 2024'!$J$4:$J$2015,AA$1)</f>
        <v>0</v>
      </c>
      <c r="AB78" s="80">
        <f>SUMIFS('август 2024'!$G$4:$G$2015,'август 2024'!$D$4:$D$2015,$B78,'август 2024'!$J$4:$J$2015,AB$1)</f>
        <v>0</v>
      </c>
      <c r="AC78" s="80">
        <f>SUMIFS('август 2024'!$G$4:$G$2015,'август 2024'!$D$4:$D$2015,$B78,'август 2024'!$J$4:$J$2015,AC$1)</f>
        <v>0</v>
      </c>
      <c r="AD78" s="80">
        <f>SUMIFS('август 2024'!$G$4:$G$2015,'август 2024'!$D$4:$D$2015,$B78,'август 2024'!$J$4:$J$2015,AD$1)</f>
        <v>0</v>
      </c>
      <c r="AE78" s="80">
        <f>SUMIFS('август 2024'!$G$4:$G$2015,'август 2024'!$D$4:$D$2015,$B78,'август 2024'!$J$4:$J$2015,AE$1)</f>
        <v>0</v>
      </c>
      <c r="AF78" s="80">
        <f>SUMIFS('август 2024'!$G$4:$G$2015,'август 2024'!$D$4:$D$2015,$B78,'август 2024'!$J$4:$J$2015,AF$1)</f>
        <v>0</v>
      </c>
      <c r="AG78" s="80">
        <f>SUMIFS('август 2024'!$G$4:$G$2015,'август 2024'!$D$4:$D$2015,$B78,'август 2024'!$J$4:$J$2015,AG$1)</f>
        <v>0</v>
      </c>
      <c r="AH78" s="80">
        <f>SUMIFS('август 2024'!$G$4:$G$2015,'август 2024'!$D$4:$D$2015,$B78,'август 2024'!$J$4:$J$2015,AH$1)</f>
        <v>0</v>
      </c>
      <c r="AI78" s="21">
        <f t="shared" si="1"/>
        <v>0</v>
      </c>
    </row>
    <row r="79" spans="2:35" ht="15" customHeight="1" x14ac:dyDescent="0.25">
      <c r="B79" s="93" t="s">
        <v>321</v>
      </c>
      <c r="C79" s="91">
        <v>190</v>
      </c>
      <c r="D79" s="80">
        <f>SUMIFS('август 2024'!$G$4:$G$2015,'август 2024'!$D$4:$D$2015,$B79,'август 2024'!$J$4:$J$2015,D$1)</f>
        <v>0</v>
      </c>
      <c r="E79" s="80">
        <f>SUMIFS('август 2024'!$G$4:$G$2015,'август 2024'!$D$4:$D$2015,$B79,'август 2024'!$J$4:$J$2015,E$1)</f>
        <v>0</v>
      </c>
      <c r="F79" s="80">
        <f>SUMIFS('август 2024'!$G$4:$G$2015,'август 2024'!$D$4:$D$2015,$B79,'август 2024'!$J$4:$J$2015,F$1)</f>
        <v>0</v>
      </c>
      <c r="G79" s="80">
        <f>SUMIFS('август 2024'!$G$4:$G$2015,'август 2024'!$D$4:$D$2015,$B79,'август 2024'!$J$4:$J$2015,G$1)</f>
        <v>0</v>
      </c>
      <c r="H79" s="80">
        <f>SUMIFS('август 2024'!$G$4:$G$2015,'август 2024'!$D$4:$D$2015,$B79,'август 2024'!$J$4:$J$2015,H$1)</f>
        <v>0</v>
      </c>
      <c r="I79" s="80">
        <f>SUMIFS('август 2024'!$G$4:$G$2015,'август 2024'!$D$4:$D$2015,$B79,'август 2024'!$J$4:$J$2015,I$1)</f>
        <v>0</v>
      </c>
      <c r="J79" s="80">
        <f>SUMIFS('август 2024'!$G$4:$G$2015,'август 2024'!$D$4:$D$2015,$B79,'август 2024'!$J$4:$J$2015,J$1)</f>
        <v>0</v>
      </c>
      <c r="K79" s="80">
        <f>SUMIFS('август 2024'!$G$4:$G$2015,'август 2024'!$D$4:$D$2015,$B79,'август 2024'!$J$4:$J$2015,K$1)</f>
        <v>0</v>
      </c>
      <c r="L79" s="80">
        <f>SUMIFS('август 2024'!$G$4:$G$2015,'август 2024'!$D$4:$D$2015,$B79,'август 2024'!$J$4:$J$2015,L$1)</f>
        <v>0</v>
      </c>
      <c r="M79" s="80">
        <f>SUMIFS('август 2024'!$G$4:$G$2015,'август 2024'!$D$4:$D$2015,$B79,'август 2024'!$J$4:$J$2015,M$1)</f>
        <v>0</v>
      </c>
      <c r="N79" s="80">
        <f>SUMIFS('август 2024'!$G$4:$G$2015,'август 2024'!$D$4:$D$2015,$B79,'август 2024'!$J$4:$J$2015,N$1)</f>
        <v>0</v>
      </c>
      <c r="O79" s="80">
        <f>SUMIFS('август 2024'!$G$4:$G$2015,'август 2024'!$D$4:$D$2015,$B79,'август 2024'!$J$4:$J$2015,O$1)</f>
        <v>0</v>
      </c>
      <c r="P79" s="80">
        <f>SUMIFS('август 2024'!$G$4:$G$2015,'август 2024'!$D$4:$D$2015,$B79,'август 2024'!$J$4:$J$2015,P$1)</f>
        <v>0</v>
      </c>
      <c r="Q79" s="80">
        <f>SUMIFS('август 2024'!$G$4:$G$2015,'август 2024'!$D$4:$D$2015,$B79,'август 2024'!$J$4:$J$2015,Q$1)</f>
        <v>0</v>
      </c>
      <c r="R79" s="80">
        <f>SUMIFS('август 2024'!$G$4:$G$2015,'август 2024'!$D$4:$D$2015,$B79,'август 2024'!$J$4:$J$2015,R$1)</f>
        <v>0</v>
      </c>
      <c r="S79" s="80">
        <f>SUMIFS('август 2024'!$G$4:$G$2015,'август 2024'!$D$4:$D$2015,$B79,'август 2024'!$J$4:$J$2015,S$1)</f>
        <v>0</v>
      </c>
      <c r="T79" s="80">
        <f>SUMIFS('август 2024'!$G$4:$G$2015,'август 2024'!$D$4:$D$2015,$B79,'август 2024'!$J$4:$J$2015,T$1)</f>
        <v>0</v>
      </c>
      <c r="U79" s="80">
        <f>SUMIFS('август 2024'!$G$4:$G$2015,'август 2024'!$D$4:$D$2015,$B79,'август 2024'!$J$4:$J$2015,U$1)</f>
        <v>0</v>
      </c>
      <c r="V79" s="80">
        <f>SUMIFS('август 2024'!$G$4:$G$2015,'август 2024'!$D$4:$D$2015,$B79,'август 2024'!$J$4:$J$2015,V$1)</f>
        <v>0</v>
      </c>
      <c r="W79" s="80">
        <f>SUMIFS('август 2024'!$G$4:$G$2015,'август 2024'!$D$4:$D$2015,$B79,'август 2024'!$J$4:$J$2015,W$1)</f>
        <v>0</v>
      </c>
      <c r="X79" s="80">
        <f>SUMIFS('август 2024'!$G$4:$G$2015,'август 2024'!$D$4:$D$2015,$B79,'август 2024'!$J$4:$J$2015,X$1)</f>
        <v>0</v>
      </c>
      <c r="Y79" s="80">
        <f>SUMIFS('август 2024'!$G$4:$G$2015,'август 2024'!$D$4:$D$2015,$B79,'август 2024'!$J$4:$J$2015,Y$1)</f>
        <v>0</v>
      </c>
      <c r="Z79" s="80">
        <f>SUMIFS('август 2024'!$G$4:$G$2015,'август 2024'!$D$4:$D$2015,$B79,'август 2024'!$J$4:$J$2015,Z$1)</f>
        <v>0</v>
      </c>
      <c r="AA79" s="80">
        <f>SUMIFS('август 2024'!$G$4:$G$2015,'август 2024'!$D$4:$D$2015,$B79,'август 2024'!$J$4:$J$2015,AA$1)</f>
        <v>0</v>
      </c>
      <c r="AB79" s="80">
        <f>SUMIFS('август 2024'!$G$4:$G$2015,'август 2024'!$D$4:$D$2015,$B79,'август 2024'!$J$4:$J$2015,AB$1)</f>
        <v>0</v>
      </c>
      <c r="AC79" s="80">
        <f>SUMIFS('август 2024'!$G$4:$G$2015,'август 2024'!$D$4:$D$2015,$B79,'август 2024'!$J$4:$J$2015,AC$1)</f>
        <v>0</v>
      </c>
      <c r="AD79" s="80">
        <f>SUMIFS('август 2024'!$G$4:$G$2015,'август 2024'!$D$4:$D$2015,$B79,'август 2024'!$J$4:$J$2015,AD$1)</f>
        <v>0</v>
      </c>
      <c r="AE79" s="80">
        <f>SUMIFS('август 2024'!$G$4:$G$2015,'август 2024'!$D$4:$D$2015,$B79,'август 2024'!$J$4:$J$2015,AE$1)</f>
        <v>0</v>
      </c>
      <c r="AF79" s="80">
        <f>SUMIFS('август 2024'!$G$4:$G$2015,'август 2024'!$D$4:$D$2015,$B79,'август 2024'!$J$4:$J$2015,AF$1)</f>
        <v>0</v>
      </c>
      <c r="AG79" s="80">
        <f>SUMIFS('август 2024'!$G$4:$G$2015,'август 2024'!$D$4:$D$2015,$B79,'август 2024'!$J$4:$J$2015,AG$1)</f>
        <v>0</v>
      </c>
      <c r="AH79" s="80">
        <f>SUMIFS('август 2024'!$G$4:$G$2015,'август 2024'!$D$4:$D$2015,$B79,'август 2024'!$J$4:$J$2015,AH$1)</f>
        <v>0</v>
      </c>
      <c r="AI79" s="21">
        <f t="shared" si="1"/>
        <v>0</v>
      </c>
    </row>
    <row r="80" spans="2:35" ht="15" customHeight="1" x14ac:dyDescent="0.25">
      <c r="B80" s="89" t="s">
        <v>199</v>
      </c>
      <c r="C80" s="88">
        <v>180</v>
      </c>
      <c r="D80" s="80">
        <f>SUMIFS('август 2024'!$G$4:$G$2015,'август 2024'!$D$4:$D$2015,$B80,'август 2024'!$J$4:$J$2015,D$1)</f>
        <v>0</v>
      </c>
      <c r="E80" s="80">
        <f>SUMIFS('август 2024'!$G$4:$G$2015,'август 2024'!$D$4:$D$2015,$B80,'август 2024'!$J$4:$J$2015,E$1)</f>
        <v>0</v>
      </c>
      <c r="F80" s="80">
        <f>SUMIFS('август 2024'!$G$4:$G$2015,'август 2024'!$D$4:$D$2015,$B80,'август 2024'!$J$4:$J$2015,F$1)</f>
        <v>0</v>
      </c>
      <c r="G80" s="80">
        <f>SUMIFS('август 2024'!$G$4:$G$2015,'август 2024'!$D$4:$D$2015,$B80,'август 2024'!$J$4:$J$2015,G$1)</f>
        <v>0</v>
      </c>
      <c r="H80" s="80">
        <f>SUMIFS('август 2024'!$G$4:$G$2015,'август 2024'!$D$4:$D$2015,$B80,'август 2024'!$J$4:$J$2015,H$1)</f>
        <v>0</v>
      </c>
      <c r="I80" s="80">
        <f>SUMIFS('август 2024'!$G$4:$G$2015,'август 2024'!$D$4:$D$2015,$B80,'август 2024'!$J$4:$J$2015,I$1)</f>
        <v>0</v>
      </c>
      <c r="J80" s="80">
        <f>SUMIFS('август 2024'!$G$4:$G$2015,'август 2024'!$D$4:$D$2015,$B80,'август 2024'!$J$4:$J$2015,J$1)</f>
        <v>0</v>
      </c>
      <c r="K80" s="80">
        <f>SUMIFS('август 2024'!$G$4:$G$2015,'август 2024'!$D$4:$D$2015,$B80,'август 2024'!$J$4:$J$2015,K$1)</f>
        <v>0</v>
      </c>
      <c r="L80" s="80">
        <f>SUMIFS('август 2024'!$G$4:$G$2015,'август 2024'!$D$4:$D$2015,$B80,'август 2024'!$J$4:$J$2015,L$1)</f>
        <v>0</v>
      </c>
      <c r="M80" s="80">
        <f>SUMIFS('август 2024'!$G$4:$G$2015,'август 2024'!$D$4:$D$2015,$B80,'август 2024'!$J$4:$J$2015,M$1)</f>
        <v>0</v>
      </c>
      <c r="N80" s="80">
        <f>SUMIFS('август 2024'!$G$4:$G$2015,'август 2024'!$D$4:$D$2015,$B80,'август 2024'!$J$4:$J$2015,N$1)</f>
        <v>0</v>
      </c>
      <c r="O80" s="80">
        <f>SUMIFS('август 2024'!$G$4:$G$2015,'август 2024'!$D$4:$D$2015,$B80,'август 2024'!$J$4:$J$2015,O$1)</f>
        <v>0</v>
      </c>
      <c r="P80" s="80">
        <f>SUMIFS('август 2024'!$G$4:$G$2015,'август 2024'!$D$4:$D$2015,$B80,'август 2024'!$J$4:$J$2015,P$1)</f>
        <v>0</v>
      </c>
      <c r="Q80" s="80">
        <f>SUMIFS('август 2024'!$G$4:$G$2015,'август 2024'!$D$4:$D$2015,$B80,'август 2024'!$J$4:$J$2015,Q$1)</f>
        <v>0</v>
      </c>
      <c r="R80" s="80">
        <f>SUMIFS('август 2024'!$G$4:$G$2015,'август 2024'!$D$4:$D$2015,$B80,'август 2024'!$J$4:$J$2015,R$1)</f>
        <v>0</v>
      </c>
      <c r="S80" s="80">
        <f>SUMIFS('август 2024'!$G$4:$G$2015,'август 2024'!$D$4:$D$2015,$B80,'август 2024'!$J$4:$J$2015,S$1)</f>
        <v>0</v>
      </c>
      <c r="T80" s="80">
        <f>SUMIFS('август 2024'!$G$4:$G$2015,'август 2024'!$D$4:$D$2015,$B80,'август 2024'!$J$4:$J$2015,T$1)</f>
        <v>0</v>
      </c>
      <c r="U80" s="80">
        <f>SUMIFS('август 2024'!$G$4:$G$2015,'август 2024'!$D$4:$D$2015,$B80,'август 2024'!$J$4:$J$2015,U$1)</f>
        <v>0</v>
      </c>
      <c r="V80" s="80">
        <f>SUMIFS('август 2024'!$G$4:$G$2015,'август 2024'!$D$4:$D$2015,$B80,'август 2024'!$J$4:$J$2015,V$1)</f>
        <v>0</v>
      </c>
      <c r="W80" s="80">
        <f>SUMIFS('август 2024'!$G$4:$G$2015,'август 2024'!$D$4:$D$2015,$B80,'август 2024'!$J$4:$J$2015,W$1)</f>
        <v>0</v>
      </c>
      <c r="X80" s="80">
        <f>SUMIFS('август 2024'!$G$4:$G$2015,'август 2024'!$D$4:$D$2015,$B80,'август 2024'!$J$4:$J$2015,X$1)</f>
        <v>0</v>
      </c>
      <c r="Y80" s="80">
        <f>SUMIFS('август 2024'!$G$4:$G$2015,'август 2024'!$D$4:$D$2015,$B80,'август 2024'!$J$4:$J$2015,Y$1)</f>
        <v>0</v>
      </c>
      <c r="Z80" s="80">
        <f>SUMIFS('август 2024'!$G$4:$G$2015,'август 2024'!$D$4:$D$2015,$B80,'август 2024'!$J$4:$J$2015,Z$1)</f>
        <v>0</v>
      </c>
      <c r="AA80" s="80">
        <f>SUMIFS('август 2024'!$G$4:$G$2015,'август 2024'!$D$4:$D$2015,$B80,'август 2024'!$J$4:$J$2015,AA$1)</f>
        <v>0</v>
      </c>
      <c r="AB80" s="80">
        <f>SUMIFS('август 2024'!$G$4:$G$2015,'август 2024'!$D$4:$D$2015,$B80,'август 2024'!$J$4:$J$2015,AB$1)</f>
        <v>0</v>
      </c>
      <c r="AC80" s="80">
        <f>SUMIFS('август 2024'!$G$4:$G$2015,'август 2024'!$D$4:$D$2015,$B80,'август 2024'!$J$4:$J$2015,AC$1)</f>
        <v>0</v>
      </c>
      <c r="AD80" s="80">
        <f>SUMIFS('август 2024'!$G$4:$G$2015,'август 2024'!$D$4:$D$2015,$B80,'август 2024'!$J$4:$J$2015,AD$1)</f>
        <v>0</v>
      </c>
      <c r="AE80" s="80">
        <f>SUMIFS('август 2024'!$G$4:$G$2015,'август 2024'!$D$4:$D$2015,$B80,'август 2024'!$J$4:$J$2015,AE$1)</f>
        <v>0</v>
      </c>
      <c r="AF80" s="80">
        <f>SUMIFS('август 2024'!$G$4:$G$2015,'август 2024'!$D$4:$D$2015,$B80,'август 2024'!$J$4:$J$2015,AF$1)</f>
        <v>0</v>
      </c>
      <c r="AG80" s="80">
        <f>SUMIFS('август 2024'!$G$4:$G$2015,'август 2024'!$D$4:$D$2015,$B80,'август 2024'!$J$4:$J$2015,AG$1)</f>
        <v>0</v>
      </c>
      <c r="AH80" s="80">
        <f>SUMIFS('август 2024'!$G$4:$G$2015,'август 2024'!$D$4:$D$2015,$B80,'август 2024'!$J$4:$J$2015,AH$1)</f>
        <v>0</v>
      </c>
      <c r="AI80" s="21">
        <f t="shared" si="1"/>
        <v>0</v>
      </c>
    </row>
    <row r="81" spans="2:35" ht="15" customHeight="1" x14ac:dyDescent="0.25">
      <c r="B81" s="93" t="s">
        <v>200</v>
      </c>
      <c r="C81" s="91">
        <v>190</v>
      </c>
      <c r="D81" s="80">
        <f>SUMIFS('август 2024'!$G$4:$G$2015,'август 2024'!$D$4:$D$2015,$B81,'август 2024'!$J$4:$J$2015,D$1)</f>
        <v>0</v>
      </c>
      <c r="E81" s="80">
        <f>SUMIFS('август 2024'!$G$4:$G$2015,'август 2024'!$D$4:$D$2015,$B81,'август 2024'!$J$4:$J$2015,E$1)</f>
        <v>0</v>
      </c>
      <c r="F81" s="80">
        <f>SUMIFS('август 2024'!$G$4:$G$2015,'август 2024'!$D$4:$D$2015,$B81,'август 2024'!$J$4:$J$2015,F$1)</f>
        <v>0</v>
      </c>
      <c r="G81" s="80">
        <f>SUMIFS('август 2024'!$G$4:$G$2015,'август 2024'!$D$4:$D$2015,$B81,'август 2024'!$J$4:$J$2015,G$1)</f>
        <v>0</v>
      </c>
      <c r="H81" s="80">
        <f>SUMIFS('август 2024'!$G$4:$G$2015,'август 2024'!$D$4:$D$2015,$B81,'август 2024'!$J$4:$J$2015,H$1)</f>
        <v>0</v>
      </c>
      <c r="I81" s="80">
        <f>SUMIFS('август 2024'!$G$4:$G$2015,'август 2024'!$D$4:$D$2015,$B81,'август 2024'!$J$4:$J$2015,I$1)</f>
        <v>0</v>
      </c>
      <c r="J81" s="80">
        <f>SUMIFS('август 2024'!$G$4:$G$2015,'август 2024'!$D$4:$D$2015,$B81,'август 2024'!$J$4:$J$2015,J$1)</f>
        <v>0</v>
      </c>
      <c r="K81" s="80">
        <f>SUMIFS('август 2024'!$G$4:$G$2015,'август 2024'!$D$4:$D$2015,$B81,'август 2024'!$J$4:$J$2015,K$1)</f>
        <v>0</v>
      </c>
      <c r="L81" s="80">
        <f>SUMIFS('август 2024'!$G$4:$G$2015,'август 2024'!$D$4:$D$2015,$B81,'август 2024'!$J$4:$J$2015,L$1)</f>
        <v>0</v>
      </c>
      <c r="M81" s="80">
        <f>SUMIFS('август 2024'!$G$4:$G$2015,'август 2024'!$D$4:$D$2015,$B81,'август 2024'!$J$4:$J$2015,M$1)</f>
        <v>0</v>
      </c>
      <c r="N81" s="80">
        <f>SUMIFS('август 2024'!$G$4:$G$2015,'август 2024'!$D$4:$D$2015,$B81,'август 2024'!$J$4:$J$2015,N$1)</f>
        <v>0</v>
      </c>
      <c r="O81" s="80">
        <f>SUMIFS('август 2024'!$G$4:$G$2015,'август 2024'!$D$4:$D$2015,$B81,'август 2024'!$J$4:$J$2015,O$1)</f>
        <v>0</v>
      </c>
      <c r="P81" s="80">
        <f>SUMIFS('август 2024'!$G$4:$G$2015,'август 2024'!$D$4:$D$2015,$B81,'август 2024'!$J$4:$J$2015,P$1)</f>
        <v>0</v>
      </c>
      <c r="Q81" s="80">
        <f>SUMIFS('август 2024'!$G$4:$G$2015,'август 2024'!$D$4:$D$2015,$B81,'август 2024'!$J$4:$J$2015,Q$1)</f>
        <v>0</v>
      </c>
      <c r="R81" s="80">
        <f>SUMIFS('август 2024'!$G$4:$G$2015,'август 2024'!$D$4:$D$2015,$B81,'август 2024'!$J$4:$J$2015,R$1)</f>
        <v>0</v>
      </c>
      <c r="S81" s="80">
        <f>SUMIFS('август 2024'!$G$4:$G$2015,'август 2024'!$D$4:$D$2015,$B81,'август 2024'!$J$4:$J$2015,S$1)</f>
        <v>0</v>
      </c>
      <c r="T81" s="80">
        <f>SUMIFS('август 2024'!$G$4:$G$2015,'август 2024'!$D$4:$D$2015,$B81,'август 2024'!$J$4:$J$2015,T$1)</f>
        <v>0</v>
      </c>
      <c r="U81" s="80">
        <f>SUMIFS('август 2024'!$G$4:$G$2015,'август 2024'!$D$4:$D$2015,$B81,'август 2024'!$J$4:$J$2015,U$1)</f>
        <v>0</v>
      </c>
      <c r="V81" s="80">
        <f>SUMIFS('август 2024'!$G$4:$G$2015,'август 2024'!$D$4:$D$2015,$B81,'август 2024'!$J$4:$J$2015,V$1)</f>
        <v>0</v>
      </c>
      <c r="W81" s="80">
        <f>SUMIFS('август 2024'!$G$4:$G$2015,'август 2024'!$D$4:$D$2015,$B81,'август 2024'!$J$4:$J$2015,W$1)</f>
        <v>0</v>
      </c>
      <c r="X81" s="80">
        <f>SUMIFS('август 2024'!$G$4:$G$2015,'август 2024'!$D$4:$D$2015,$B81,'август 2024'!$J$4:$J$2015,X$1)</f>
        <v>0</v>
      </c>
      <c r="Y81" s="80">
        <f>SUMIFS('август 2024'!$G$4:$G$2015,'август 2024'!$D$4:$D$2015,$B81,'август 2024'!$J$4:$J$2015,Y$1)</f>
        <v>0</v>
      </c>
      <c r="Z81" s="80">
        <f>SUMIFS('август 2024'!$G$4:$G$2015,'август 2024'!$D$4:$D$2015,$B81,'август 2024'!$J$4:$J$2015,Z$1)</f>
        <v>0</v>
      </c>
      <c r="AA81" s="80">
        <f>SUMIFS('август 2024'!$G$4:$G$2015,'август 2024'!$D$4:$D$2015,$B81,'август 2024'!$J$4:$J$2015,AA$1)</f>
        <v>0</v>
      </c>
      <c r="AB81" s="80">
        <f>SUMIFS('август 2024'!$G$4:$G$2015,'август 2024'!$D$4:$D$2015,$B81,'август 2024'!$J$4:$J$2015,AB$1)</f>
        <v>0</v>
      </c>
      <c r="AC81" s="80">
        <f>SUMIFS('август 2024'!$G$4:$G$2015,'август 2024'!$D$4:$D$2015,$B81,'август 2024'!$J$4:$J$2015,AC$1)</f>
        <v>0</v>
      </c>
      <c r="AD81" s="80">
        <f>SUMIFS('август 2024'!$G$4:$G$2015,'август 2024'!$D$4:$D$2015,$B81,'август 2024'!$J$4:$J$2015,AD$1)</f>
        <v>0</v>
      </c>
      <c r="AE81" s="80">
        <f>SUMIFS('август 2024'!$G$4:$G$2015,'август 2024'!$D$4:$D$2015,$B81,'август 2024'!$J$4:$J$2015,AE$1)</f>
        <v>0</v>
      </c>
      <c r="AF81" s="80">
        <f>SUMIFS('август 2024'!$G$4:$G$2015,'август 2024'!$D$4:$D$2015,$B81,'август 2024'!$J$4:$J$2015,AF$1)</f>
        <v>0</v>
      </c>
      <c r="AG81" s="80">
        <f>SUMIFS('август 2024'!$G$4:$G$2015,'август 2024'!$D$4:$D$2015,$B81,'август 2024'!$J$4:$J$2015,AG$1)</f>
        <v>0</v>
      </c>
      <c r="AH81" s="80">
        <f>SUMIFS('август 2024'!$G$4:$G$2015,'август 2024'!$D$4:$D$2015,$B81,'август 2024'!$J$4:$J$2015,AH$1)</f>
        <v>0</v>
      </c>
      <c r="AI81" s="21">
        <f t="shared" si="1"/>
        <v>0</v>
      </c>
    </row>
    <row r="82" spans="2:35" ht="15" customHeight="1" x14ac:dyDescent="0.25">
      <c r="B82" s="93" t="s">
        <v>201</v>
      </c>
      <c r="C82" s="91">
        <v>190</v>
      </c>
      <c r="D82" s="80">
        <f>SUMIFS('август 2024'!$G$4:$G$2015,'август 2024'!$D$4:$D$2015,$B82,'август 2024'!$J$4:$J$2015,D$1)</f>
        <v>0</v>
      </c>
      <c r="E82" s="80">
        <f>SUMIFS('август 2024'!$G$4:$G$2015,'август 2024'!$D$4:$D$2015,$B82,'август 2024'!$J$4:$J$2015,E$1)</f>
        <v>0</v>
      </c>
      <c r="F82" s="80">
        <f>SUMIFS('август 2024'!$G$4:$G$2015,'август 2024'!$D$4:$D$2015,$B82,'август 2024'!$J$4:$J$2015,F$1)</f>
        <v>0</v>
      </c>
      <c r="G82" s="80">
        <f>SUMIFS('август 2024'!$G$4:$G$2015,'август 2024'!$D$4:$D$2015,$B82,'август 2024'!$J$4:$J$2015,G$1)</f>
        <v>0</v>
      </c>
      <c r="H82" s="80">
        <f>SUMIFS('август 2024'!$G$4:$G$2015,'август 2024'!$D$4:$D$2015,$B82,'август 2024'!$J$4:$J$2015,H$1)</f>
        <v>0</v>
      </c>
      <c r="I82" s="80">
        <f>SUMIFS('август 2024'!$G$4:$G$2015,'август 2024'!$D$4:$D$2015,$B82,'август 2024'!$J$4:$J$2015,I$1)</f>
        <v>0</v>
      </c>
      <c r="J82" s="80">
        <f>SUMIFS('август 2024'!$G$4:$G$2015,'август 2024'!$D$4:$D$2015,$B82,'август 2024'!$J$4:$J$2015,J$1)</f>
        <v>0</v>
      </c>
      <c r="K82" s="80">
        <f>SUMIFS('август 2024'!$G$4:$G$2015,'август 2024'!$D$4:$D$2015,$B82,'август 2024'!$J$4:$J$2015,K$1)</f>
        <v>0</v>
      </c>
      <c r="L82" s="80">
        <f>SUMIFS('август 2024'!$G$4:$G$2015,'август 2024'!$D$4:$D$2015,$B82,'август 2024'!$J$4:$J$2015,L$1)</f>
        <v>0</v>
      </c>
      <c r="M82" s="80">
        <f>SUMIFS('август 2024'!$G$4:$G$2015,'август 2024'!$D$4:$D$2015,$B82,'август 2024'!$J$4:$J$2015,M$1)</f>
        <v>0</v>
      </c>
      <c r="N82" s="80">
        <f>SUMIFS('август 2024'!$G$4:$G$2015,'август 2024'!$D$4:$D$2015,$B82,'август 2024'!$J$4:$J$2015,N$1)</f>
        <v>0</v>
      </c>
      <c r="O82" s="80">
        <f>SUMIFS('август 2024'!$G$4:$G$2015,'август 2024'!$D$4:$D$2015,$B82,'август 2024'!$J$4:$J$2015,O$1)</f>
        <v>0</v>
      </c>
      <c r="P82" s="80">
        <f>SUMIFS('август 2024'!$G$4:$G$2015,'август 2024'!$D$4:$D$2015,$B82,'август 2024'!$J$4:$J$2015,P$1)</f>
        <v>0</v>
      </c>
      <c r="Q82" s="80">
        <f>SUMIFS('август 2024'!$G$4:$G$2015,'август 2024'!$D$4:$D$2015,$B82,'август 2024'!$J$4:$J$2015,Q$1)</f>
        <v>0</v>
      </c>
      <c r="R82" s="80">
        <f>SUMIFS('август 2024'!$G$4:$G$2015,'август 2024'!$D$4:$D$2015,$B82,'август 2024'!$J$4:$J$2015,R$1)</f>
        <v>0</v>
      </c>
      <c r="S82" s="80">
        <f>SUMIFS('август 2024'!$G$4:$G$2015,'август 2024'!$D$4:$D$2015,$B82,'август 2024'!$J$4:$J$2015,S$1)</f>
        <v>0</v>
      </c>
      <c r="T82" s="80">
        <f>SUMIFS('август 2024'!$G$4:$G$2015,'август 2024'!$D$4:$D$2015,$B82,'август 2024'!$J$4:$J$2015,T$1)</f>
        <v>0</v>
      </c>
      <c r="U82" s="80">
        <f>SUMIFS('август 2024'!$G$4:$G$2015,'август 2024'!$D$4:$D$2015,$B82,'август 2024'!$J$4:$J$2015,U$1)</f>
        <v>0</v>
      </c>
      <c r="V82" s="80">
        <f>SUMIFS('август 2024'!$G$4:$G$2015,'август 2024'!$D$4:$D$2015,$B82,'август 2024'!$J$4:$J$2015,V$1)</f>
        <v>0</v>
      </c>
      <c r="W82" s="80">
        <f>SUMIFS('август 2024'!$G$4:$G$2015,'август 2024'!$D$4:$D$2015,$B82,'август 2024'!$J$4:$J$2015,W$1)</f>
        <v>0</v>
      </c>
      <c r="X82" s="80">
        <f>SUMIFS('август 2024'!$G$4:$G$2015,'август 2024'!$D$4:$D$2015,$B82,'август 2024'!$J$4:$J$2015,X$1)</f>
        <v>0</v>
      </c>
      <c r="Y82" s="80">
        <f>SUMIFS('август 2024'!$G$4:$G$2015,'август 2024'!$D$4:$D$2015,$B82,'август 2024'!$J$4:$J$2015,Y$1)</f>
        <v>0</v>
      </c>
      <c r="Z82" s="80">
        <f>SUMIFS('август 2024'!$G$4:$G$2015,'август 2024'!$D$4:$D$2015,$B82,'август 2024'!$J$4:$J$2015,Z$1)</f>
        <v>0</v>
      </c>
      <c r="AA82" s="80">
        <f>SUMIFS('август 2024'!$G$4:$G$2015,'август 2024'!$D$4:$D$2015,$B82,'август 2024'!$J$4:$J$2015,AA$1)</f>
        <v>0</v>
      </c>
      <c r="AB82" s="80">
        <f>SUMIFS('август 2024'!$G$4:$G$2015,'август 2024'!$D$4:$D$2015,$B82,'август 2024'!$J$4:$J$2015,AB$1)</f>
        <v>0</v>
      </c>
      <c r="AC82" s="80">
        <f>SUMIFS('август 2024'!$G$4:$G$2015,'август 2024'!$D$4:$D$2015,$B82,'август 2024'!$J$4:$J$2015,AC$1)</f>
        <v>0</v>
      </c>
      <c r="AD82" s="80">
        <f>SUMIFS('август 2024'!$G$4:$G$2015,'август 2024'!$D$4:$D$2015,$B82,'август 2024'!$J$4:$J$2015,AD$1)</f>
        <v>0</v>
      </c>
      <c r="AE82" s="80">
        <f>SUMIFS('август 2024'!$G$4:$G$2015,'август 2024'!$D$4:$D$2015,$B82,'август 2024'!$J$4:$J$2015,AE$1)</f>
        <v>0</v>
      </c>
      <c r="AF82" s="80">
        <f>SUMIFS('август 2024'!$G$4:$G$2015,'август 2024'!$D$4:$D$2015,$B82,'август 2024'!$J$4:$J$2015,AF$1)</f>
        <v>0</v>
      </c>
      <c r="AG82" s="80">
        <f>SUMIFS('август 2024'!$G$4:$G$2015,'август 2024'!$D$4:$D$2015,$B82,'август 2024'!$J$4:$J$2015,AG$1)</f>
        <v>0</v>
      </c>
      <c r="AH82" s="80">
        <f>SUMIFS('август 2024'!$G$4:$G$2015,'август 2024'!$D$4:$D$2015,$B82,'август 2024'!$J$4:$J$2015,AH$1)</f>
        <v>0</v>
      </c>
      <c r="AI82" s="21">
        <f t="shared" si="1"/>
        <v>0</v>
      </c>
    </row>
    <row r="83" spans="2:35" ht="15" customHeight="1" x14ac:dyDescent="0.25">
      <c r="B83" s="93" t="s">
        <v>1190</v>
      </c>
      <c r="C83" s="91">
        <v>200</v>
      </c>
      <c r="D83" s="80">
        <f>SUMIFS('август 2024'!$G$4:$G$2015,'август 2024'!$D$4:$D$2015,$B83,'август 2024'!$J$4:$J$2015,D$1)</f>
        <v>0</v>
      </c>
      <c r="E83" s="80">
        <f>SUMIFS('август 2024'!$G$4:$G$2015,'август 2024'!$D$4:$D$2015,$B83,'август 2024'!$J$4:$J$2015,E$1)</f>
        <v>0</v>
      </c>
      <c r="F83" s="80">
        <f>SUMIFS('август 2024'!$G$4:$G$2015,'август 2024'!$D$4:$D$2015,$B83,'август 2024'!$J$4:$J$2015,F$1)</f>
        <v>0</v>
      </c>
      <c r="G83" s="80">
        <f>SUMIFS('август 2024'!$G$4:$G$2015,'август 2024'!$D$4:$D$2015,$B83,'август 2024'!$J$4:$J$2015,G$1)</f>
        <v>0</v>
      </c>
      <c r="H83" s="80">
        <f>SUMIFS('август 2024'!$G$4:$G$2015,'август 2024'!$D$4:$D$2015,$B83,'август 2024'!$J$4:$J$2015,H$1)</f>
        <v>0</v>
      </c>
      <c r="I83" s="80">
        <f>SUMIFS('август 2024'!$G$4:$G$2015,'август 2024'!$D$4:$D$2015,$B83,'август 2024'!$J$4:$J$2015,I$1)</f>
        <v>0</v>
      </c>
      <c r="J83" s="80">
        <f>SUMIFS('август 2024'!$G$4:$G$2015,'август 2024'!$D$4:$D$2015,$B83,'август 2024'!$J$4:$J$2015,J$1)</f>
        <v>0</v>
      </c>
      <c r="K83" s="80">
        <f>SUMIFS('август 2024'!$G$4:$G$2015,'август 2024'!$D$4:$D$2015,$B83,'август 2024'!$J$4:$J$2015,K$1)</f>
        <v>0</v>
      </c>
      <c r="L83" s="80">
        <f>SUMIFS('август 2024'!$G$4:$G$2015,'август 2024'!$D$4:$D$2015,$B83,'август 2024'!$J$4:$J$2015,L$1)</f>
        <v>0</v>
      </c>
      <c r="M83" s="80">
        <f>SUMIFS('август 2024'!$G$4:$G$2015,'август 2024'!$D$4:$D$2015,$B83,'август 2024'!$J$4:$J$2015,M$1)</f>
        <v>0</v>
      </c>
      <c r="N83" s="80">
        <f>SUMIFS('август 2024'!$G$4:$G$2015,'август 2024'!$D$4:$D$2015,$B83,'август 2024'!$J$4:$J$2015,N$1)</f>
        <v>0</v>
      </c>
      <c r="O83" s="80">
        <f>SUMIFS('август 2024'!$G$4:$G$2015,'август 2024'!$D$4:$D$2015,$B83,'август 2024'!$J$4:$J$2015,O$1)</f>
        <v>0</v>
      </c>
      <c r="P83" s="80">
        <f>SUMIFS('август 2024'!$G$4:$G$2015,'август 2024'!$D$4:$D$2015,$B83,'август 2024'!$J$4:$J$2015,P$1)</f>
        <v>0</v>
      </c>
      <c r="Q83" s="80">
        <f>SUMIFS('август 2024'!$G$4:$G$2015,'август 2024'!$D$4:$D$2015,$B83,'август 2024'!$J$4:$J$2015,Q$1)</f>
        <v>0</v>
      </c>
      <c r="R83" s="80">
        <f>SUMIFS('август 2024'!$G$4:$G$2015,'август 2024'!$D$4:$D$2015,$B83,'август 2024'!$J$4:$J$2015,R$1)</f>
        <v>0</v>
      </c>
      <c r="S83" s="80">
        <f>SUMIFS('август 2024'!$G$4:$G$2015,'август 2024'!$D$4:$D$2015,$B83,'август 2024'!$J$4:$J$2015,S$1)</f>
        <v>0</v>
      </c>
      <c r="T83" s="80">
        <f>SUMIFS('август 2024'!$G$4:$G$2015,'август 2024'!$D$4:$D$2015,$B83,'август 2024'!$J$4:$J$2015,T$1)</f>
        <v>0</v>
      </c>
      <c r="U83" s="80">
        <f>SUMIFS('август 2024'!$G$4:$G$2015,'август 2024'!$D$4:$D$2015,$B83,'август 2024'!$J$4:$J$2015,U$1)</f>
        <v>0</v>
      </c>
      <c r="V83" s="80">
        <f>SUMIFS('август 2024'!$G$4:$G$2015,'август 2024'!$D$4:$D$2015,$B83,'август 2024'!$J$4:$J$2015,V$1)</f>
        <v>0</v>
      </c>
      <c r="W83" s="80">
        <f>SUMIFS('август 2024'!$G$4:$G$2015,'август 2024'!$D$4:$D$2015,$B83,'август 2024'!$J$4:$J$2015,W$1)</f>
        <v>0</v>
      </c>
      <c r="X83" s="80">
        <f>SUMIFS('август 2024'!$G$4:$G$2015,'август 2024'!$D$4:$D$2015,$B83,'август 2024'!$J$4:$J$2015,X$1)</f>
        <v>0</v>
      </c>
      <c r="Y83" s="80">
        <f>SUMIFS('август 2024'!$G$4:$G$2015,'август 2024'!$D$4:$D$2015,$B83,'август 2024'!$J$4:$J$2015,Y$1)</f>
        <v>0</v>
      </c>
      <c r="Z83" s="80">
        <f>SUMIFS('август 2024'!$G$4:$G$2015,'август 2024'!$D$4:$D$2015,$B83,'август 2024'!$J$4:$J$2015,Z$1)</f>
        <v>0</v>
      </c>
      <c r="AA83" s="80">
        <f>SUMIFS('август 2024'!$G$4:$G$2015,'август 2024'!$D$4:$D$2015,$B83,'август 2024'!$J$4:$J$2015,AA$1)</f>
        <v>0</v>
      </c>
      <c r="AB83" s="80">
        <f>SUMIFS('август 2024'!$G$4:$G$2015,'август 2024'!$D$4:$D$2015,$B83,'август 2024'!$J$4:$J$2015,AB$1)</f>
        <v>0</v>
      </c>
      <c r="AC83" s="80">
        <f>SUMIFS('август 2024'!$G$4:$G$2015,'август 2024'!$D$4:$D$2015,$B83,'август 2024'!$J$4:$J$2015,AC$1)</f>
        <v>0</v>
      </c>
      <c r="AD83" s="80">
        <f>SUMIFS('август 2024'!$G$4:$G$2015,'август 2024'!$D$4:$D$2015,$B83,'август 2024'!$J$4:$J$2015,AD$1)</f>
        <v>96</v>
      </c>
      <c r="AE83" s="80">
        <f>SUMIFS('август 2024'!$G$4:$G$2015,'август 2024'!$D$4:$D$2015,$B83,'август 2024'!$J$4:$J$2015,AE$1)</f>
        <v>1</v>
      </c>
      <c r="AF83" s="80">
        <f>SUMIFS('август 2024'!$G$4:$G$2015,'август 2024'!$D$4:$D$2015,$B83,'август 2024'!$J$4:$J$2015,AF$1)</f>
        <v>0</v>
      </c>
      <c r="AG83" s="80">
        <f>SUMIFS('август 2024'!$G$4:$G$2015,'август 2024'!$D$4:$D$2015,$B83,'август 2024'!$J$4:$J$2015,AG$1)</f>
        <v>0</v>
      </c>
      <c r="AH83" s="80">
        <f>SUMIFS('август 2024'!$G$4:$G$2015,'август 2024'!$D$4:$D$2015,$B83,'август 2024'!$J$4:$J$2015,AH$1)</f>
        <v>0</v>
      </c>
      <c r="AI83" s="21">
        <f t="shared" si="1"/>
        <v>97</v>
      </c>
    </row>
    <row r="84" spans="2:35" ht="15" customHeight="1" x14ac:dyDescent="0.25">
      <c r="B84" s="93" t="s">
        <v>202</v>
      </c>
      <c r="C84" s="91">
        <v>900</v>
      </c>
      <c r="D84" s="80">
        <f>SUMIFS('август 2024'!$G$4:$G$2015,'август 2024'!$D$4:$D$2015,$B84,'август 2024'!$J$4:$J$2015,D$1)</f>
        <v>0</v>
      </c>
      <c r="E84" s="80">
        <f>SUMIFS('август 2024'!$G$4:$G$2015,'август 2024'!$D$4:$D$2015,$B84,'август 2024'!$J$4:$J$2015,E$1)</f>
        <v>0</v>
      </c>
      <c r="F84" s="80">
        <f>SUMIFS('август 2024'!$G$4:$G$2015,'август 2024'!$D$4:$D$2015,$B84,'август 2024'!$J$4:$J$2015,F$1)</f>
        <v>0</v>
      </c>
      <c r="G84" s="80">
        <f>SUMIFS('август 2024'!$G$4:$G$2015,'август 2024'!$D$4:$D$2015,$B84,'август 2024'!$J$4:$J$2015,G$1)</f>
        <v>0</v>
      </c>
      <c r="H84" s="80">
        <f>SUMIFS('август 2024'!$G$4:$G$2015,'август 2024'!$D$4:$D$2015,$B84,'август 2024'!$J$4:$J$2015,H$1)</f>
        <v>0</v>
      </c>
      <c r="I84" s="80">
        <f>SUMIFS('август 2024'!$G$4:$G$2015,'август 2024'!$D$4:$D$2015,$B84,'август 2024'!$J$4:$J$2015,I$1)</f>
        <v>0</v>
      </c>
      <c r="J84" s="80">
        <f>SUMIFS('август 2024'!$G$4:$G$2015,'август 2024'!$D$4:$D$2015,$B84,'август 2024'!$J$4:$J$2015,J$1)</f>
        <v>0</v>
      </c>
      <c r="K84" s="80">
        <f>SUMIFS('август 2024'!$G$4:$G$2015,'август 2024'!$D$4:$D$2015,$B84,'август 2024'!$J$4:$J$2015,K$1)</f>
        <v>0</v>
      </c>
      <c r="L84" s="80">
        <f>SUMIFS('август 2024'!$G$4:$G$2015,'август 2024'!$D$4:$D$2015,$B84,'август 2024'!$J$4:$J$2015,L$1)</f>
        <v>0</v>
      </c>
      <c r="M84" s="80">
        <f>SUMIFS('август 2024'!$G$4:$G$2015,'август 2024'!$D$4:$D$2015,$B84,'август 2024'!$J$4:$J$2015,M$1)</f>
        <v>0</v>
      </c>
      <c r="N84" s="80">
        <f>SUMIFS('август 2024'!$G$4:$G$2015,'август 2024'!$D$4:$D$2015,$B84,'август 2024'!$J$4:$J$2015,N$1)</f>
        <v>0</v>
      </c>
      <c r="O84" s="80">
        <f>SUMIFS('август 2024'!$G$4:$G$2015,'август 2024'!$D$4:$D$2015,$B84,'август 2024'!$J$4:$J$2015,O$1)</f>
        <v>0</v>
      </c>
      <c r="P84" s="80">
        <f>SUMIFS('август 2024'!$G$4:$G$2015,'август 2024'!$D$4:$D$2015,$B84,'август 2024'!$J$4:$J$2015,P$1)</f>
        <v>0</v>
      </c>
      <c r="Q84" s="80">
        <f>SUMIFS('август 2024'!$G$4:$G$2015,'август 2024'!$D$4:$D$2015,$B84,'август 2024'!$J$4:$J$2015,Q$1)</f>
        <v>0</v>
      </c>
      <c r="R84" s="80">
        <f>SUMIFS('август 2024'!$G$4:$G$2015,'август 2024'!$D$4:$D$2015,$B84,'август 2024'!$J$4:$J$2015,R$1)</f>
        <v>0</v>
      </c>
      <c r="S84" s="80">
        <f>SUMIFS('август 2024'!$G$4:$G$2015,'август 2024'!$D$4:$D$2015,$B84,'август 2024'!$J$4:$J$2015,S$1)</f>
        <v>0</v>
      </c>
      <c r="T84" s="80">
        <f>SUMIFS('август 2024'!$G$4:$G$2015,'август 2024'!$D$4:$D$2015,$B84,'август 2024'!$J$4:$J$2015,T$1)</f>
        <v>0</v>
      </c>
      <c r="U84" s="80">
        <f>SUMIFS('август 2024'!$G$4:$G$2015,'август 2024'!$D$4:$D$2015,$B84,'август 2024'!$J$4:$J$2015,U$1)</f>
        <v>0</v>
      </c>
      <c r="V84" s="80">
        <f>SUMIFS('август 2024'!$G$4:$G$2015,'август 2024'!$D$4:$D$2015,$B84,'август 2024'!$J$4:$J$2015,V$1)</f>
        <v>0</v>
      </c>
      <c r="W84" s="80">
        <f>SUMIFS('август 2024'!$G$4:$G$2015,'август 2024'!$D$4:$D$2015,$B84,'август 2024'!$J$4:$J$2015,W$1)</f>
        <v>0</v>
      </c>
      <c r="X84" s="80">
        <f>SUMIFS('август 2024'!$G$4:$G$2015,'август 2024'!$D$4:$D$2015,$B84,'август 2024'!$J$4:$J$2015,X$1)</f>
        <v>0</v>
      </c>
      <c r="Y84" s="80">
        <f>SUMIFS('август 2024'!$G$4:$G$2015,'август 2024'!$D$4:$D$2015,$B84,'август 2024'!$J$4:$J$2015,Y$1)</f>
        <v>0</v>
      </c>
      <c r="Z84" s="80">
        <f>SUMIFS('август 2024'!$G$4:$G$2015,'август 2024'!$D$4:$D$2015,$B84,'август 2024'!$J$4:$J$2015,Z$1)</f>
        <v>0</v>
      </c>
      <c r="AA84" s="80">
        <f>SUMIFS('август 2024'!$G$4:$G$2015,'август 2024'!$D$4:$D$2015,$B84,'август 2024'!$J$4:$J$2015,AA$1)</f>
        <v>0</v>
      </c>
      <c r="AB84" s="80">
        <f>SUMIFS('август 2024'!$G$4:$G$2015,'август 2024'!$D$4:$D$2015,$B84,'август 2024'!$J$4:$J$2015,AB$1)</f>
        <v>0</v>
      </c>
      <c r="AC84" s="80">
        <f>SUMIFS('август 2024'!$G$4:$G$2015,'август 2024'!$D$4:$D$2015,$B84,'август 2024'!$J$4:$J$2015,AC$1)</f>
        <v>0</v>
      </c>
      <c r="AD84" s="80">
        <f>SUMIFS('август 2024'!$G$4:$G$2015,'август 2024'!$D$4:$D$2015,$B84,'август 2024'!$J$4:$J$2015,AD$1)</f>
        <v>0</v>
      </c>
      <c r="AE84" s="80">
        <f>SUMIFS('август 2024'!$G$4:$G$2015,'август 2024'!$D$4:$D$2015,$B84,'август 2024'!$J$4:$J$2015,AE$1)</f>
        <v>0</v>
      </c>
      <c r="AF84" s="80">
        <f>SUMIFS('август 2024'!$G$4:$G$2015,'август 2024'!$D$4:$D$2015,$B84,'август 2024'!$J$4:$J$2015,AF$1)</f>
        <v>0</v>
      </c>
      <c r="AG84" s="80">
        <f>SUMIFS('август 2024'!$G$4:$G$2015,'август 2024'!$D$4:$D$2015,$B84,'август 2024'!$J$4:$J$2015,AG$1)</f>
        <v>0</v>
      </c>
      <c r="AH84" s="80">
        <f>SUMIFS('август 2024'!$G$4:$G$2015,'август 2024'!$D$4:$D$2015,$B84,'август 2024'!$J$4:$J$2015,AH$1)</f>
        <v>0</v>
      </c>
      <c r="AI84" s="21">
        <f t="shared" si="1"/>
        <v>0</v>
      </c>
    </row>
    <row r="85" spans="2:35" ht="15" customHeight="1" x14ac:dyDescent="0.25">
      <c r="B85" s="89" t="s">
        <v>196</v>
      </c>
      <c r="C85" s="88">
        <v>190</v>
      </c>
      <c r="D85" s="80">
        <f>SUMIFS('август 2024'!$G$4:$G$2015,'август 2024'!$D$4:$D$2015,$B85,'август 2024'!$J$4:$J$2015,D$1)</f>
        <v>0</v>
      </c>
      <c r="E85" s="80">
        <f>SUMIFS('август 2024'!$G$4:$G$2015,'август 2024'!$D$4:$D$2015,$B85,'август 2024'!$J$4:$J$2015,E$1)</f>
        <v>0</v>
      </c>
      <c r="F85" s="80">
        <f>SUMIFS('август 2024'!$G$4:$G$2015,'август 2024'!$D$4:$D$2015,$B85,'август 2024'!$J$4:$J$2015,F$1)</f>
        <v>0</v>
      </c>
      <c r="G85" s="80">
        <f>SUMIFS('август 2024'!$G$4:$G$2015,'август 2024'!$D$4:$D$2015,$B85,'август 2024'!$J$4:$J$2015,G$1)</f>
        <v>0</v>
      </c>
      <c r="H85" s="80">
        <f>SUMIFS('август 2024'!$G$4:$G$2015,'август 2024'!$D$4:$D$2015,$B85,'август 2024'!$J$4:$J$2015,H$1)</f>
        <v>0</v>
      </c>
      <c r="I85" s="80">
        <f>SUMIFS('август 2024'!$G$4:$G$2015,'август 2024'!$D$4:$D$2015,$B85,'август 2024'!$J$4:$J$2015,I$1)</f>
        <v>0</v>
      </c>
      <c r="J85" s="80">
        <f>SUMIFS('август 2024'!$G$4:$G$2015,'август 2024'!$D$4:$D$2015,$B85,'август 2024'!$J$4:$J$2015,J$1)</f>
        <v>0</v>
      </c>
      <c r="K85" s="80">
        <f>SUMIFS('август 2024'!$G$4:$G$2015,'август 2024'!$D$4:$D$2015,$B85,'август 2024'!$J$4:$J$2015,K$1)</f>
        <v>0</v>
      </c>
      <c r="L85" s="80">
        <f>SUMIFS('август 2024'!$G$4:$G$2015,'август 2024'!$D$4:$D$2015,$B85,'август 2024'!$J$4:$J$2015,L$1)</f>
        <v>0</v>
      </c>
      <c r="M85" s="80">
        <f>SUMIFS('август 2024'!$G$4:$G$2015,'август 2024'!$D$4:$D$2015,$B85,'август 2024'!$J$4:$J$2015,M$1)</f>
        <v>0</v>
      </c>
      <c r="N85" s="80">
        <f>SUMIFS('август 2024'!$G$4:$G$2015,'август 2024'!$D$4:$D$2015,$B85,'август 2024'!$J$4:$J$2015,N$1)</f>
        <v>0</v>
      </c>
      <c r="O85" s="80">
        <f>SUMIFS('август 2024'!$G$4:$G$2015,'август 2024'!$D$4:$D$2015,$B85,'август 2024'!$J$4:$J$2015,O$1)</f>
        <v>0</v>
      </c>
      <c r="P85" s="80">
        <f>SUMIFS('август 2024'!$G$4:$G$2015,'август 2024'!$D$4:$D$2015,$B85,'август 2024'!$J$4:$J$2015,P$1)</f>
        <v>0</v>
      </c>
      <c r="Q85" s="80">
        <f>SUMIFS('август 2024'!$G$4:$G$2015,'август 2024'!$D$4:$D$2015,$B85,'август 2024'!$J$4:$J$2015,Q$1)</f>
        <v>0</v>
      </c>
      <c r="R85" s="80">
        <f>SUMIFS('август 2024'!$G$4:$G$2015,'август 2024'!$D$4:$D$2015,$B85,'август 2024'!$J$4:$J$2015,R$1)</f>
        <v>0</v>
      </c>
      <c r="S85" s="80">
        <f>SUMIFS('август 2024'!$G$4:$G$2015,'август 2024'!$D$4:$D$2015,$B85,'август 2024'!$J$4:$J$2015,S$1)</f>
        <v>0</v>
      </c>
      <c r="T85" s="80">
        <f>SUMIFS('август 2024'!$G$4:$G$2015,'август 2024'!$D$4:$D$2015,$B85,'август 2024'!$J$4:$J$2015,T$1)</f>
        <v>0</v>
      </c>
      <c r="U85" s="80">
        <f>SUMIFS('август 2024'!$G$4:$G$2015,'август 2024'!$D$4:$D$2015,$B85,'август 2024'!$J$4:$J$2015,U$1)</f>
        <v>0</v>
      </c>
      <c r="V85" s="80">
        <f>SUMIFS('август 2024'!$G$4:$G$2015,'август 2024'!$D$4:$D$2015,$B85,'август 2024'!$J$4:$J$2015,V$1)</f>
        <v>0</v>
      </c>
      <c r="W85" s="80">
        <f>SUMIFS('август 2024'!$G$4:$G$2015,'август 2024'!$D$4:$D$2015,$B85,'август 2024'!$J$4:$J$2015,W$1)</f>
        <v>0</v>
      </c>
      <c r="X85" s="80">
        <f>SUMIFS('август 2024'!$G$4:$G$2015,'август 2024'!$D$4:$D$2015,$B85,'август 2024'!$J$4:$J$2015,X$1)</f>
        <v>0</v>
      </c>
      <c r="Y85" s="80">
        <f>SUMIFS('август 2024'!$G$4:$G$2015,'август 2024'!$D$4:$D$2015,$B85,'август 2024'!$J$4:$J$2015,Y$1)</f>
        <v>0</v>
      </c>
      <c r="Z85" s="80">
        <f>SUMIFS('август 2024'!$G$4:$G$2015,'август 2024'!$D$4:$D$2015,$B85,'август 2024'!$J$4:$J$2015,Z$1)</f>
        <v>0</v>
      </c>
      <c r="AA85" s="80">
        <f>SUMIFS('август 2024'!$G$4:$G$2015,'август 2024'!$D$4:$D$2015,$B85,'август 2024'!$J$4:$J$2015,AA$1)</f>
        <v>0</v>
      </c>
      <c r="AB85" s="80">
        <f>SUMIFS('август 2024'!$G$4:$G$2015,'август 2024'!$D$4:$D$2015,$B85,'август 2024'!$J$4:$J$2015,AB$1)</f>
        <v>0</v>
      </c>
      <c r="AC85" s="80">
        <f>SUMIFS('август 2024'!$G$4:$G$2015,'август 2024'!$D$4:$D$2015,$B85,'август 2024'!$J$4:$J$2015,AC$1)</f>
        <v>0</v>
      </c>
      <c r="AD85" s="80">
        <f>SUMIFS('август 2024'!$G$4:$G$2015,'август 2024'!$D$4:$D$2015,$B85,'август 2024'!$J$4:$J$2015,AD$1)</f>
        <v>0</v>
      </c>
      <c r="AE85" s="80">
        <f>SUMIFS('август 2024'!$G$4:$G$2015,'август 2024'!$D$4:$D$2015,$B85,'август 2024'!$J$4:$J$2015,AE$1)</f>
        <v>0</v>
      </c>
      <c r="AF85" s="80">
        <f>SUMIFS('август 2024'!$G$4:$G$2015,'август 2024'!$D$4:$D$2015,$B85,'август 2024'!$J$4:$J$2015,AF$1)</f>
        <v>0</v>
      </c>
      <c r="AG85" s="80">
        <f>SUMIFS('август 2024'!$G$4:$G$2015,'август 2024'!$D$4:$D$2015,$B85,'август 2024'!$J$4:$J$2015,AG$1)</f>
        <v>0</v>
      </c>
      <c r="AH85" s="80">
        <f>SUMIFS('август 2024'!$G$4:$G$2015,'август 2024'!$D$4:$D$2015,$B85,'август 2024'!$J$4:$J$2015,AH$1)</f>
        <v>0</v>
      </c>
      <c r="AI85" s="21">
        <f t="shared" si="1"/>
        <v>0</v>
      </c>
    </row>
    <row r="86" spans="2:35" ht="15" customHeight="1" x14ac:dyDescent="0.25">
      <c r="B86" s="89" t="s">
        <v>217</v>
      </c>
      <c r="C86" s="88">
        <v>190</v>
      </c>
      <c r="D86" s="80">
        <f>SUMIFS('август 2024'!$G$4:$G$2015,'август 2024'!$D$4:$D$2015,$B86,'август 2024'!$J$4:$J$2015,D$1)</f>
        <v>0</v>
      </c>
      <c r="E86" s="80">
        <f>SUMIFS('август 2024'!$G$4:$G$2015,'август 2024'!$D$4:$D$2015,$B86,'август 2024'!$J$4:$J$2015,E$1)</f>
        <v>0</v>
      </c>
      <c r="F86" s="80">
        <f>SUMIFS('август 2024'!$G$4:$G$2015,'август 2024'!$D$4:$D$2015,$B86,'август 2024'!$J$4:$J$2015,F$1)</f>
        <v>0</v>
      </c>
      <c r="G86" s="80">
        <f>SUMIFS('август 2024'!$G$4:$G$2015,'август 2024'!$D$4:$D$2015,$B86,'август 2024'!$J$4:$J$2015,G$1)</f>
        <v>0</v>
      </c>
      <c r="H86" s="80">
        <f>SUMIFS('август 2024'!$G$4:$G$2015,'август 2024'!$D$4:$D$2015,$B86,'август 2024'!$J$4:$J$2015,H$1)</f>
        <v>0</v>
      </c>
      <c r="I86" s="80">
        <f>SUMIFS('август 2024'!$G$4:$G$2015,'август 2024'!$D$4:$D$2015,$B86,'август 2024'!$J$4:$J$2015,I$1)</f>
        <v>0</v>
      </c>
      <c r="J86" s="80">
        <f>SUMIFS('август 2024'!$G$4:$G$2015,'август 2024'!$D$4:$D$2015,$B86,'август 2024'!$J$4:$J$2015,J$1)</f>
        <v>0</v>
      </c>
      <c r="K86" s="80">
        <f>SUMIFS('август 2024'!$G$4:$G$2015,'август 2024'!$D$4:$D$2015,$B86,'август 2024'!$J$4:$J$2015,K$1)</f>
        <v>0</v>
      </c>
      <c r="L86" s="80">
        <f>SUMIFS('август 2024'!$G$4:$G$2015,'август 2024'!$D$4:$D$2015,$B86,'август 2024'!$J$4:$J$2015,L$1)</f>
        <v>0</v>
      </c>
      <c r="M86" s="80">
        <f>SUMIFS('август 2024'!$G$4:$G$2015,'август 2024'!$D$4:$D$2015,$B86,'август 2024'!$J$4:$J$2015,M$1)</f>
        <v>0</v>
      </c>
      <c r="N86" s="80">
        <f>SUMIFS('август 2024'!$G$4:$G$2015,'август 2024'!$D$4:$D$2015,$B86,'август 2024'!$J$4:$J$2015,N$1)</f>
        <v>0</v>
      </c>
      <c r="O86" s="80">
        <f>SUMIFS('август 2024'!$G$4:$G$2015,'август 2024'!$D$4:$D$2015,$B86,'август 2024'!$J$4:$J$2015,O$1)</f>
        <v>0</v>
      </c>
      <c r="P86" s="80">
        <f>SUMIFS('август 2024'!$G$4:$G$2015,'август 2024'!$D$4:$D$2015,$B86,'август 2024'!$J$4:$J$2015,P$1)</f>
        <v>0</v>
      </c>
      <c r="Q86" s="80">
        <f>SUMIFS('август 2024'!$G$4:$G$2015,'август 2024'!$D$4:$D$2015,$B86,'август 2024'!$J$4:$J$2015,Q$1)</f>
        <v>0</v>
      </c>
      <c r="R86" s="80">
        <f>SUMIFS('август 2024'!$G$4:$G$2015,'август 2024'!$D$4:$D$2015,$B86,'август 2024'!$J$4:$J$2015,R$1)</f>
        <v>0</v>
      </c>
      <c r="S86" s="80">
        <f>SUMIFS('август 2024'!$G$4:$G$2015,'август 2024'!$D$4:$D$2015,$B86,'август 2024'!$J$4:$J$2015,S$1)</f>
        <v>0</v>
      </c>
      <c r="T86" s="80">
        <f>SUMIFS('август 2024'!$G$4:$G$2015,'август 2024'!$D$4:$D$2015,$B86,'август 2024'!$J$4:$J$2015,T$1)</f>
        <v>0</v>
      </c>
      <c r="U86" s="80">
        <f>SUMIFS('август 2024'!$G$4:$G$2015,'август 2024'!$D$4:$D$2015,$B86,'август 2024'!$J$4:$J$2015,U$1)</f>
        <v>0</v>
      </c>
      <c r="V86" s="80">
        <f>SUMIFS('август 2024'!$G$4:$G$2015,'август 2024'!$D$4:$D$2015,$B86,'август 2024'!$J$4:$J$2015,V$1)</f>
        <v>0</v>
      </c>
      <c r="W86" s="80">
        <f>SUMIFS('август 2024'!$G$4:$G$2015,'август 2024'!$D$4:$D$2015,$B86,'август 2024'!$J$4:$J$2015,W$1)</f>
        <v>0</v>
      </c>
      <c r="X86" s="80">
        <f>SUMIFS('август 2024'!$G$4:$G$2015,'август 2024'!$D$4:$D$2015,$B86,'август 2024'!$J$4:$J$2015,X$1)</f>
        <v>0</v>
      </c>
      <c r="Y86" s="80">
        <f>SUMIFS('август 2024'!$G$4:$G$2015,'август 2024'!$D$4:$D$2015,$B86,'август 2024'!$J$4:$J$2015,Y$1)</f>
        <v>0</v>
      </c>
      <c r="Z86" s="80">
        <f>SUMIFS('август 2024'!$G$4:$G$2015,'август 2024'!$D$4:$D$2015,$B86,'август 2024'!$J$4:$J$2015,Z$1)</f>
        <v>0</v>
      </c>
      <c r="AA86" s="80">
        <f>SUMIFS('август 2024'!$G$4:$G$2015,'август 2024'!$D$4:$D$2015,$B86,'август 2024'!$J$4:$J$2015,AA$1)</f>
        <v>0</v>
      </c>
      <c r="AB86" s="80">
        <f>SUMIFS('август 2024'!$G$4:$G$2015,'август 2024'!$D$4:$D$2015,$B86,'август 2024'!$J$4:$J$2015,AB$1)</f>
        <v>0</v>
      </c>
      <c r="AC86" s="80">
        <f>SUMIFS('август 2024'!$G$4:$G$2015,'август 2024'!$D$4:$D$2015,$B86,'август 2024'!$J$4:$J$2015,AC$1)</f>
        <v>0</v>
      </c>
      <c r="AD86" s="80">
        <f>SUMIFS('август 2024'!$G$4:$G$2015,'август 2024'!$D$4:$D$2015,$B86,'август 2024'!$J$4:$J$2015,AD$1)</f>
        <v>0</v>
      </c>
      <c r="AE86" s="80">
        <f>SUMIFS('август 2024'!$G$4:$G$2015,'август 2024'!$D$4:$D$2015,$B86,'август 2024'!$J$4:$J$2015,AE$1)</f>
        <v>0</v>
      </c>
      <c r="AF86" s="80">
        <f>SUMIFS('август 2024'!$G$4:$G$2015,'август 2024'!$D$4:$D$2015,$B86,'август 2024'!$J$4:$J$2015,AF$1)</f>
        <v>0</v>
      </c>
      <c r="AG86" s="80">
        <f>SUMIFS('август 2024'!$G$4:$G$2015,'август 2024'!$D$4:$D$2015,$B86,'август 2024'!$J$4:$J$2015,AG$1)</f>
        <v>0</v>
      </c>
      <c r="AH86" s="80">
        <f>SUMIFS('август 2024'!$G$4:$G$2015,'август 2024'!$D$4:$D$2015,$B86,'август 2024'!$J$4:$J$2015,AH$1)</f>
        <v>0</v>
      </c>
      <c r="AI86" s="21">
        <f t="shared" si="1"/>
        <v>0</v>
      </c>
    </row>
    <row r="87" spans="2:35" ht="15" customHeight="1" x14ac:dyDescent="0.25">
      <c r="B87" s="93" t="s">
        <v>179</v>
      </c>
      <c r="C87" s="88">
        <v>190</v>
      </c>
      <c r="D87" s="80">
        <f>SUMIFS('август 2024'!$G$4:$G$2015,'август 2024'!$D$4:$D$2015,$B87,'август 2024'!$J$4:$J$2015,D$1)</f>
        <v>0</v>
      </c>
      <c r="E87" s="80">
        <f>SUMIFS('август 2024'!$G$4:$G$2015,'август 2024'!$D$4:$D$2015,$B87,'август 2024'!$J$4:$J$2015,E$1)</f>
        <v>0</v>
      </c>
      <c r="F87" s="80">
        <f>SUMIFS('август 2024'!$G$4:$G$2015,'август 2024'!$D$4:$D$2015,$B87,'август 2024'!$J$4:$J$2015,F$1)</f>
        <v>0</v>
      </c>
      <c r="G87" s="80">
        <f>SUMIFS('август 2024'!$G$4:$G$2015,'август 2024'!$D$4:$D$2015,$B87,'август 2024'!$J$4:$J$2015,G$1)</f>
        <v>0</v>
      </c>
      <c r="H87" s="80">
        <f>SUMIFS('август 2024'!$G$4:$G$2015,'август 2024'!$D$4:$D$2015,$B87,'август 2024'!$J$4:$J$2015,H$1)</f>
        <v>0</v>
      </c>
      <c r="I87" s="80">
        <f>SUMIFS('август 2024'!$G$4:$G$2015,'август 2024'!$D$4:$D$2015,$B87,'август 2024'!$J$4:$J$2015,I$1)</f>
        <v>0</v>
      </c>
      <c r="J87" s="80">
        <f>SUMIFS('август 2024'!$G$4:$G$2015,'август 2024'!$D$4:$D$2015,$B87,'август 2024'!$J$4:$J$2015,J$1)</f>
        <v>0</v>
      </c>
      <c r="K87" s="80">
        <f>SUMIFS('август 2024'!$G$4:$G$2015,'август 2024'!$D$4:$D$2015,$B87,'август 2024'!$J$4:$J$2015,K$1)</f>
        <v>0</v>
      </c>
      <c r="L87" s="80">
        <f>SUMIFS('август 2024'!$G$4:$G$2015,'август 2024'!$D$4:$D$2015,$B87,'август 2024'!$J$4:$J$2015,L$1)</f>
        <v>0</v>
      </c>
      <c r="M87" s="80">
        <f>SUMIFS('август 2024'!$G$4:$G$2015,'август 2024'!$D$4:$D$2015,$B87,'август 2024'!$J$4:$J$2015,M$1)</f>
        <v>0</v>
      </c>
      <c r="N87" s="80">
        <f>SUMIFS('август 2024'!$G$4:$G$2015,'август 2024'!$D$4:$D$2015,$B87,'август 2024'!$J$4:$J$2015,N$1)</f>
        <v>0</v>
      </c>
      <c r="O87" s="80">
        <f>SUMIFS('август 2024'!$G$4:$G$2015,'август 2024'!$D$4:$D$2015,$B87,'август 2024'!$J$4:$J$2015,O$1)</f>
        <v>0</v>
      </c>
      <c r="P87" s="80">
        <f>SUMIFS('август 2024'!$G$4:$G$2015,'август 2024'!$D$4:$D$2015,$B87,'август 2024'!$J$4:$J$2015,P$1)</f>
        <v>0</v>
      </c>
      <c r="Q87" s="80">
        <f>SUMIFS('август 2024'!$G$4:$G$2015,'август 2024'!$D$4:$D$2015,$B87,'август 2024'!$J$4:$J$2015,Q$1)</f>
        <v>0</v>
      </c>
      <c r="R87" s="80">
        <f>SUMIFS('август 2024'!$G$4:$G$2015,'август 2024'!$D$4:$D$2015,$B87,'август 2024'!$J$4:$J$2015,R$1)</f>
        <v>0</v>
      </c>
      <c r="S87" s="80">
        <f>SUMIFS('август 2024'!$G$4:$G$2015,'август 2024'!$D$4:$D$2015,$B87,'август 2024'!$J$4:$J$2015,S$1)</f>
        <v>0</v>
      </c>
      <c r="T87" s="80">
        <f>SUMIFS('август 2024'!$G$4:$G$2015,'август 2024'!$D$4:$D$2015,$B87,'август 2024'!$J$4:$J$2015,T$1)</f>
        <v>0</v>
      </c>
      <c r="U87" s="80">
        <f>SUMIFS('август 2024'!$G$4:$G$2015,'август 2024'!$D$4:$D$2015,$B87,'август 2024'!$J$4:$J$2015,U$1)</f>
        <v>0</v>
      </c>
      <c r="V87" s="80">
        <f>SUMIFS('август 2024'!$G$4:$G$2015,'август 2024'!$D$4:$D$2015,$B87,'август 2024'!$J$4:$J$2015,V$1)</f>
        <v>0</v>
      </c>
      <c r="W87" s="80">
        <f>SUMIFS('август 2024'!$G$4:$G$2015,'август 2024'!$D$4:$D$2015,$B87,'август 2024'!$J$4:$J$2015,W$1)</f>
        <v>0</v>
      </c>
      <c r="X87" s="80">
        <f>SUMIFS('август 2024'!$G$4:$G$2015,'август 2024'!$D$4:$D$2015,$B87,'август 2024'!$J$4:$J$2015,X$1)</f>
        <v>0</v>
      </c>
      <c r="Y87" s="80">
        <f>SUMIFS('август 2024'!$G$4:$G$2015,'август 2024'!$D$4:$D$2015,$B87,'август 2024'!$J$4:$J$2015,Y$1)</f>
        <v>0</v>
      </c>
      <c r="Z87" s="80">
        <f>SUMIFS('август 2024'!$G$4:$G$2015,'август 2024'!$D$4:$D$2015,$B87,'август 2024'!$J$4:$J$2015,Z$1)</f>
        <v>0</v>
      </c>
      <c r="AA87" s="80">
        <f>SUMIFS('август 2024'!$G$4:$G$2015,'август 2024'!$D$4:$D$2015,$B87,'август 2024'!$J$4:$J$2015,AA$1)</f>
        <v>0</v>
      </c>
      <c r="AB87" s="80">
        <f>SUMIFS('август 2024'!$G$4:$G$2015,'август 2024'!$D$4:$D$2015,$B87,'август 2024'!$J$4:$J$2015,AB$1)</f>
        <v>0</v>
      </c>
      <c r="AC87" s="80">
        <f>SUMIFS('август 2024'!$G$4:$G$2015,'август 2024'!$D$4:$D$2015,$B87,'август 2024'!$J$4:$J$2015,AC$1)</f>
        <v>0</v>
      </c>
      <c r="AD87" s="80">
        <f>SUMIFS('август 2024'!$G$4:$G$2015,'август 2024'!$D$4:$D$2015,$B87,'август 2024'!$J$4:$J$2015,AD$1)</f>
        <v>0</v>
      </c>
      <c r="AE87" s="80">
        <f>SUMIFS('август 2024'!$G$4:$G$2015,'август 2024'!$D$4:$D$2015,$B87,'август 2024'!$J$4:$J$2015,AE$1)</f>
        <v>0</v>
      </c>
      <c r="AF87" s="80">
        <f>SUMIFS('август 2024'!$G$4:$G$2015,'август 2024'!$D$4:$D$2015,$B87,'август 2024'!$J$4:$J$2015,AF$1)</f>
        <v>0</v>
      </c>
      <c r="AG87" s="80">
        <f>SUMIFS('август 2024'!$G$4:$G$2015,'август 2024'!$D$4:$D$2015,$B87,'август 2024'!$J$4:$J$2015,AG$1)</f>
        <v>0</v>
      </c>
      <c r="AH87" s="80">
        <f>SUMIFS('август 2024'!$G$4:$G$2015,'август 2024'!$D$4:$D$2015,$B87,'август 2024'!$J$4:$J$2015,AH$1)</f>
        <v>0</v>
      </c>
      <c r="AI87" s="21">
        <f t="shared" si="1"/>
        <v>0</v>
      </c>
    </row>
    <row r="88" spans="2:35" ht="15" customHeight="1" x14ac:dyDescent="0.25">
      <c r="B88" s="93" t="s">
        <v>192</v>
      </c>
      <c r="C88" s="91">
        <v>180</v>
      </c>
      <c r="D88" s="80">
        <f>SUMIFS('август 2024'!$G$4:$G$2015,'август 2024'!$D$4:$D$2015,$B88,'август 2024'!$J$4:$J$2015,D$1)</f>
        <v>0</v>
      </c>
      <c r="E88" s="80">
        <f>SUMIFS('август 2024'!$G$4:$G$2015,'август 2024'!$D$4:$D$2015,$B88,'август 2024'!$J$4:$J$2015,E$1)</f>
        <v>0</v>
      </c>
      <c r="F88" s="80">
        <f>SUMIFS('август 2024'!$G$4:$G$2015,'август 2024'!$D$4:$D$2015,$B88,'август 2024'!$J$4:$J$2015,F$1)</f>
        <v>0</v>
      </c>
      <c r="G88" s="80">
        <f>SUMIFS('август 2024'!$G$4:$G$2015,'август 2024'!$D$4:$D$2015,$B88,'август 2024'!$J$4:$J$2015,G$1)</f>
        <v>0</v>
      </c>
      <c r="H88" s="80">
        <f>SUMIFS('август 2024'!$G$4:$G$2015,'август 2024'!$D$4:$D$2015,$B88,'август 2024'!$J$4:$J$2015,H$1)</f>
        <v>0</v>
      </c>
      <c r="I88" s="80">
        <f>SUMIFS('август 2024'!$G$4:$G$2015,'август 2024'!$D$4:$D$2015,$B88,'август 2024'!$J$4:$J$2015,I$1)</f>
        <v>0</v>
      </c>
      <c r="J88" s="80">
        <f>SUMIFS('август 2024'!$G$4:$G$2015,'август 2024'!$D$4:$D$2015,$B88,'август 2024'!$J$4:$J$2015,J$1)</f>
        <v>0</v>
      </c>
      <c r="K88" s="80">
        <f>SUMIFS('август 2024'!$G$4:$G$2015,'август 2024'!$D$4:$D$2015,$B88,'август 2024'!$J$4:$J$2015,K$1)</f>
        <v>0</v>
      </c>
      <c r="L88" s="80">
        <f>SUMIFS('август 2024'!$G$4:$G$2015,'август 2024'!$D$4:$D$2015,$B88,'август 2024'!$J$4:$J$2015,L$1)</f>
        <v>0</v>
      </c>
      <c r="M88" s="80">
        <f>SUMIFS('август 2024'!$G$4:$G$2015,'август 2024'!$D$4:$D$2015,$B88,'август 2024'!$J$4:$J$2015,M$1)</f>
        <v>0</v>
      </c>
      <c r="N88" s="80">
        <f>SUMIFS('август 2024'!$G$4:$G$2015,'август 2024'!$D$4:$D$2015,$B88,'август 2024'!$J$4:$J$2015,N$1)</f>
        <v>0</v>
      </c>
      <c r="O88" s="80">
        <f>SUMIFS('август 2024'!$G$4:$G$2015,'август 2024'!$D$4:$D$2015,$B88,'август 2024'!$J$4:$J$2015,O$1)</f>
        <v>0</v>
      </c>
      <c r="P88" s="80">
        <f>SUMIFS('август 2024'!$G$4:$G$2015,'август 2024'!$D$4:$D$2015,$B88,'август 2024'!$J$4:$J$2015,P$1)</f>
        <v>0</v>
      </c>
      <c r="Q88" s="80">
        <f>SUMIFS('август 2024'!$G$4:$G$2015,'август 2024'!$D$4:$D$2015,$B88,'август 2024'!$J$4:$J$2015,Q$1)</f>
        <v>0</v>
      </c>
      <c r="R88" s="80">
        <f>SUMIFS('август 2024'!$G$4:$G$2015,'август 2024'!$D$4:$D$2015,$B88,'август 2024'!$J$4:$J$2015,R$1)</f>
        <v>0</v>
      </c>
      <c r="S88" s="80">
        <f>SUMIFS('август 2024'!$G$4:$G$2015,'август 2024'!$D$4:$D$2015,$B88,'август 2024'!$J$4:$J$2015,S$1)</f>
        <v>0</v>
      </c>
      <c r="T88" s="80">
        <f>SUMIFS('август 2024'!$G$4:$G$2015,'август 2024'!$D$4:$D$2015,$B88,'август 2024'!$J$4:$J$2015,T$1)</f>
        <v>0</v>
      </c>
      <c r="U88" s="80">
        <f>SUMIFS('август 2024'!$G$4:$G$2015,'август 2024'!$D$4:$D$2015,$B88,'август 2024'!$J$4:$J$2015,U$1)</f>
        <v>0</v>
      </c>
      <c r="V88" s="80">
        <f>SUMIFS('август 2024'!$G$4:$G$2015,'август 2024'!$D$4:$D$2015,$B88,'август 2024'!$J$4:$J$2015,V$1)</f>
        <v>0</v>
      </c>
      <c r="W88" s="80">
        <f>SUMIFS('август 2024'!$G$4:$G$2015,'август 2024'!$D$4:$D$2015,$B88,'август 2024'!$J$4:$J$2015,W$1)</f>
        <v>0</v>
      </c>
      <c r="X88" s="80">
        <f>SUMIFS('август 2024'!$G$4:$G$2015,'август 2024'!$D$4:$D$2015,$B88,'август 2024'!$J$4:$J$2015,X$1)</f>
        <v>0</v>
      </c>
      <c r="Y88" s="80">
        <f>SUMIFS('август 2024'!$G$4:$G$2015,'август 2024'!$D$4:$D$2015,$B88,'август 2024'!$J$4:$J$2015,Y$1)</f>
        <v>0</v>
      </c>
      <c r="Z88" s="80">
        <f>SUMIFS('август 2024'!$G$4:$G$2015,'август 2024'!$D$4:$D$2015,$B88,'август 2024'!$J$4:$J$2015,Z$1)</f>
        <v>0</v>
      </c>
      <c r="AA88" s="80">
        <f>SUMIFS('август 2024'!$G$4:$G$2015,'август 2024'!$D$4:$D$2015,$B88,'август 2024'!$J$4:$J$2015,AA$1)</f>
        <v>0</v>
      </c>
      <c r="AB88" s="80">
        <f>SUMIFS('август 2024'!$G$4:$G$2015,'август 2024'!$D$4:$D$2015,$B88,'август 2024'!$J$4:$J$2015,AB$1)</f>
        <v>0</v>
      </c>
      <c r="AC88" s="80">
        <f>SUMIFS('август 2024'!$G$4:$G$2015,'август 2024'!$D$4:$D$2015,$B88,'август 2024'!$J$4:$J$2015,AC$1)</f>
        <v>0</v>
      </c>
      <c r="AD88" s="80">
        <f>SUMIFS('август 2024'!$G$4:$G$2015,'август 2024'!$D$4:$D$2015,$B88,'август 2024'!$J$4:$J$2015,AD$1)</f>
        <v>0</v>
      </c>
      <c r="AE88" s="80">
        <f>SUMIFS('август 2024'!$G$4:$G$2015,'август 2024'!$D$4:$D$2015,$B88,'август 2024'!$J$4:$J$2015,AE$1)</f>
        <v>0</v>
      </c>
      <c r="AF88" s="80">
        <f>SUMIFS('август 2024'!$G$4:$G$2015,'август 2024'!$D$4:$D$2015,$B88,'август 2024'!$J$4:$J$2015,AF$1)</f>
        <v>0</v>
      </c>
      <c r="AG88" s="80">
        <f>SUMIFS('август 2024'!$G$4:$G$2015,'август 2024'!$D$4:$D$2015,$B88,'август 2024'!$J$4:$J$2015,AG$1)</f>
        <v>0</v>
      </c>
      <c r="AH88" s="80">
        <f>SUMIFS('август 2024'!$G$4:$G$2015,'август 2024'!$D$4:$D$2015,$B88,'август 2024'!$J$4:$J$2015,AH$1)</f>
        <v>0</v>
      </c>
      <c r="AI88" s="21">
        <f t="shared" si="1"/>
        <v>0</v>
      </c>
    </row>
    <row r="89" spans="2:35" ht="15" customHeight="1" x14ac:dyDescent="0.25">
      <c r="B89" s="93" t="s">
        <v>887</v>
      </c>
      <c r="C89" s="91">
        <v>190</v>
      </c>
      <c r="D89" s="80">
        <f>SUMIFS('август 2024'!$G$4:$G$2015,'август 2024'!$D$4:$D$2015,$B89,'август 2024'!$J$4:$J$2015,D$1)</f>
        <v>0</v>
      </c>
      <c r="E89" s="80">
        <f>SUMIFS('август 2024'!$G$4:$G$2015,'август 2024'!$D$4:$D$2015,$B89,'август 2024'!$J$4:$J$2015,E$1)</f>
        <v>0</v>
      </c>
      <c r="F89" s="80">
        <f>SUMIFS('август 2024'!$G$4:$G$2015,'август 2024'!$D$4:$D$2015,$B89,'август 2024'!$J$4:$J$2015,F$1)</f>
        <v>0</v>
      </c>
      <c r="G89" s="80">
        <f>SUMIFS('август 2024'!$G$4:$G$2015,'август 2024'!$D$4:$D$2015,$B89,'август 2024'!$J$4:$J$2015,G$1)</f>
        <v>0</v>
      </c>
      <c r="H89" s="80">
        <f>SUMIFS('август 2024'!$G$4:$G$2015,'август 2024'!$D$4:$D$2015,$B89,'август 2024'!$J$4:$J$2015,H$1)</f>
        <v>0</v>
      </c>
      <c r="I89" s="80">
        <f>SUMIFS('август 2024'!$G$4:$G$2015,'август 2024'!$D$4:$D$2015,$B89,'август 2024'!$J$4:$J$2015,I$1)</f>
        <v>0</v>
      </c>
      <c r="J89" s="80">
        <f>SUMIFS('август 2024'!$G$4:$G$2015,'август 2024'!$D$4:$D$2015,$B89,'август 2024'!$J$4:$J$2015,J$1)</f>
        <v>0</v>
      </c>
      <c r="K89" s="80">
        <f>SUMIFS('август 2024'!$G$4:$G$2015,'август 2024'!$D$4:$D$2015,$B89,'август 2024'!$J$4:$J$2015,K$1)</f>
        <v>0</v>
      </c>
      <c r="L89" s="80">
        <f>SUMIFS('август 2024'!$G$4:$G$2015,'август 2024'!$D$4:$D$2015,$B89,'август 2024'!$J$4:$J$2015,L$1)</f>
        <v>0</v>
      </c>
      <c r="M89" s="80">
        <f>SUMIFS('август 2024'!$G$4:$G$2015,'август 2024'!$D$4:$D$2015,$B89,'август 2024'!$J$4:$J$2015,M$1)</f>
        <v>0</v>
      </c>
      <c r="N89" s="80">
        <f>SUMIFS('август 2024'!$G$4:$G$2015,'август 2024'!$D$4:$D$2015,$B89,'август 2024'!$J$4:$J$2015,N$1)</f>
        <v>0</v>
      </c>
      <c r="O89" s="80">
        <f>SUMIFS('август 2024'!$G$4:$G$2015,'август 2024'!$D$4:$D$2015,$B89,'август 2024'!$J$4:$J$2015,O$1)</f>
        <v>0</v>
      </c>
      <c r="P89" s="80">
        <f>SUMIFS('август 2024'!$G$4:$G$2015,'август 2024'!$D$4:$D$2015,$B89,'август 2024'!$J$4:$J$2015,P$1)</f>
        <v>0</v>
      </c>
      <c r="Q89" s="80">
        <f>SUMIFS('август 2024'!$G$4:$G$2015,'август 2024'!$D$4:$D$2015,$B89,'август 2024'!$J$4:$J$2015,Q$1)</f>
        <v>0</v>
      </c>
      <c r="R89" s="80">
        <f>SUMIFS('август 2024'!$G$4:$G$2015,'август 2024'!$D$4:$D$2015,$B89,'август 2024'!$J$4:$J$2015,R$1)</f>
        <v>0</v>
      </c>
      <c r="S89" s="80">
        <f>SUMIFS('август 2024'!$G$4:$G$2015,'август 2024'!$D$4:$D$2015,$B89,'август 2024'!$J$4:$J$2015,S$1)</f>
        <v>0</v>
      </c>
      <c r="T89" s="80">
        <f>SUMIFS('август 2024'!$G$4:$G$2015,'август 2024'!$D$4:$D$2015,$B89,'август 2024'!$J$4:$J$2015,T$1)</f>
        <v>0</v>
      </c>
      <c r="U89" s="80">
        <f>SUMIFS('август 2024'!$G$4:$G$2015,'август 2024'!$D$4:$D$2015,$B89,'август 2024'!$J$4:$J$2015,U$1)</f>
        <v>0</v>
      </c>
      <c r="V89" s="80">
        <f>SUMIFS('август 2024'!$G$4:$G$2015,'август 2024'!$D$4:$D$2015,$B89,'август 2024'!$J$4:$J$2015,V$1)</f>
        <v>0</v>
      </c>
      <c r="W89" s="80">
        <f>SUMIFS('август 2024'!$G$4:$G$2015,'август 2024'!$D$4:$D$2015,$B89,'август 2024'!$J$4:$J$2015,W$1)</f>
        <v>0</v>
      </c>
      <c r="X89" s="80">
        <f>SUMIFS('август 2024'!$G$4:$G$2015,'август 2024'!$D$4:$D$2015,$B89,'август 2024'!$J$4:$J$2015,X$1)</f>
        <v>0</v>
      </c>
      <c r="Y89" s="80">
        <f>SUMIFS('август 2024'!$G$4:$G$2015,'август 2024'!$D$4:$D$2015,$B89,'август 2024'!$J$4:$J$2015,Y$1)</f>
        <v>0</v>
      </c>
      <c r="Z89" s="80">
        <f>SUMIFS('август 2024'!$G$4:$G$2015,'август 2024'!$D$4:$D$2015,$B89,'август 2024'!$J$4:$J$2015,Z$1)</f>
        <v>0</v>
      </c>
      <c r="AA89" s="80">
        <f>SUMIFS('август 2024'!$G$4:$G$2015,'август 2024'!$D$4:$D$2015,$B89,'август 2024'!$J$4:$J$2015,AA$1)</f>
        <v>0</v>
      </c>
      <c r="AB89" s="80">
        <f>SUMIFS('август 2024'!$G$4:$G$2015,'август 2024'!$D$4:$D$2015,$B89,'август 2024'!$J$4:$J$2015,AB$1)</f>
        <v>0</v>
      </c>
      <c r="AC89" s="80">
        <f>SUMIFS('август 2024'!$G$4:$G$2015,'август 2024'!$D$4:$D$2015,$B89,'август 2024'!$J$4:$J$2015,AC$1)</f>
        <v>0</v>
      </c>
      <c r="AD89" s="80">
        <f>SUMIFS('август 2024'!$G$4:$G$2015,'август 2024'!$D$4:$D$2015,$B89,'август 2024'!$J$4:$J$2015,AD$1)</f>
        <v>0</v>
      </c>
      <c r="AE89" s="80">
        <f>SUMIFS('август 2024'!$G$4:$G$2015,'август 2024'!$D$4:$D$2015,$B89,'август 2024'!$J$4:$J$2015,AE$1)</f>
        <v>0</v>
      </c>
      <c r="AF89" s="80">
        <f>SUMIFS('август 2024'!$G$4:$G$2015,'август 2024'!$D$4:$D$2015,$B89,'август 2024'!$J$4:$J$2015,AF$1)</f>
        <v>0</v>
      </c>
      <c r="AG89" s="80">
        <f>SUMIFS('август 2024'!$G$4:$G$2015,'август 2024'!$D$4:$D$2015,$B89,'август 2024'!$J$4:$J$2015,AG$1)</f>
        <v>0</v>
      </c>
      <c r="AH89" s="80">
        <f>SUMIFS('август 2024'!$G$4:$G$2015,'август 2024'!$D$4:$D$2015,$B89,'август 2024'!$J$4:$J$2015,AH$1)</f>
        <v>0</v>
      </c>
      <c r="AI89" s="21">
        <f t="shared" si="1"/>
        <v>0</v>
      </c>
    </row>
    <row r="90" spans="2:35" ht="15" customHeight="1" x14ac:dyDescent="0.25">
      <c r="B90" s="93" t="s">
        <v>1286</v>
      </c>
      <c r="C90" s="91">
        <v>190</v>
      </c>
      <c r="D90" s="80">
        <f>SUMIFS('август 2024'!$G$4:$G$2015,'август 2024'!$D$4:$D$2015,$B90,'август 2024'!$J$4:$J$2015,D$1)</f>
        <v>0</v>
      </c>
      <c r="E90" s="80">
        <f>SUMIFS('август 2024'!$G$4:$G$2015,'август 2024'!$D$4:$D$2015,$B90,'август 2024'!$J$4:$J$2015,E$1)</f>
        <v>0</v>
      </c>
      <c r="F90" s="80">
        <f>SUMIFS('август 2024'!$G$4:$G$2015,'август 2024'!$D$4:$D$2015,$B90,'август 2024'!$J$4:$J$2015,F$1)</f>
        <v>0</v>
      </c>
      <c r="G90" s="80">
        <f>SUMIFS('август 2024'!$G$4:$G$2015,'август 2024'!$D$4:$D$2015,$B90,'август 2024'!$J$4:$J$2015,G$1)</f>
        <v>0</v>
      </c>
      <c r="H90" s="80">
        <f>SUMIFS('август 2024'!$G$4:$G$2015,'август 2024'!$D$4:$D$2015,$B90,'август 2024'!$J$4:$J$2015,H$1)</f>
        <v>0</v>
      </c>
      <c r="I90" s="80">
        <f>SUMIFS('август 2024'!$G$4:$G$2015,'август 2024'!$D$4:$D$2015,$B90,'август 2024'!$J$4:$J$2015,I$1)</f>
        <v>0</v>
      </c>
      <c r="J90" s="80">
        <f>SUMIFS('август 2024'!$G$4:$G$2015,'август 2024'!$D$4:$D$2015,$B90,'август 2024'!$J$4:$J$2015,J$1)</f>
        <v>0</v>
      </c>
      <c r="K90" s="80">
        <f>SUMIFS('август 2024'!$G$4:$G$2015,'август 2024'!$D$4:$D$2015,$B90,'август 2024'!$J$4:$J$2015,K$1)</f>
        <v>0</v>
      </c>
      <c r="L90" s="80">
        <f>SUMIFS('август 2024'!$G$4:$G$2015,'август 2024'!$D$4:$D$2015,$B90,'август 2024'!$J$4:$J$2015,L$1)</f>
        <v>0</v>
      </c>
      <c r="M90" s="80">
        <f>SUMIFS('август 2024'!$G$4:$G$2015,'август 2024'!$D$4:$D$2015,$B90,'август 2024'!$J$4:$J$2015,M$1)</f>
        <v>0</v>
      </c>
      <c r="N90" s="80">
        <f>SUMIFS('август 2024'!$G$4:$G$2015,'август 2024'!$D$4:$D$2015,$B90,'август 2024'!$J$4:$J$2015,N$1)</f>
        <v>0</v>
      </c>
      <c r="O90" s="80">
        <f>SUMIFS('август 2024'!$G$4:$G$2015,'август 2024'!$D$4:$D$2015,$B90,'август 2024'!$J$4:$J$2015,O$1)</f>
        <v>0</v>
      </c>
      <c r="P90" s="80">
        <f>SUMIFS('август 2024'!$G$4:$G$2015,'август 2024'!$D$4:$D$2015,$B90,'август 2024'!$J$4:$J$2015,P$1)</f>
        <v>0</v>
      </c>
      <c r="Q90" s="80">
        <f>SUMIFS('август 2024'!$G$4:$G$2015,'август 2024'!$D$4:$D$2015,$B90,'август 2024'!$J$4:$J$2015,Q$1)</f>
        <v>0</v>
      </c>
      <c r="R90" s="80">
        <f>SUMIFS('август 2024'!$G$4:$G$2015,'август 2024'!$D$4:$D$2015,$B90,'август 2024'!$J$4:$J$2015,R$1)</f>
        <v>0</v>
      </c>
      <c r="S90" s="80">
        <f>SUMIFS('август 2024'!$G$4:$G$2015,'август 2024'!$D$4:$D$2015,$B90,'август 2024'!$J$4:$J$2015,S$1)</f>
        <v>0</v>
      </c>
      <c r="T90" s="80">
        <f>SUMIFS('август 2024'!$G$4:$G$2015,'август 2024'!$D$4:$D$2015,$B90,'август 2024'!$J$4:$J$2015,T$1)</f>
        <v>0</v>
      </c>
      <c r="U90" s="80">
        <f>SUMIFS('август 2024'!$G$4:$G$2015,'август 2024'!$D$4:$D$2015,$B90,'август 2024'!$J$4:$J$2015,U$1)</f>
        <v>0</v>
      </c>
      <c r="V90" s="80">
        <f>SUMIFS('август 2024'!$G$4:$G$2015,'август 2024'!$D$4:$D$2015,$B90,'август 2024'!$J$4:$J$2015,V$1)</f>
        <v>0</v>
      </c>
      <c r="W90" s="80">
        <f>SUMIFS('август 2024'!$G$4:$G$2015,'август 2024'!$D$4:$D$2015,$B90,'август 2024'!$J$4:$J$2015,W$1)</f>
        <v>0</v>
      </c>
      <c r="X90" s="80">
        <f>SUMIFS('август 2024'!$G$4:$G$2015,'август 2024'!$D$4:$D$2015,$B90,'август 2024'!$J$4:$J$2015,X$1)</f>
        <v>0</v>
      </c>
      <c r="Y90" s="80">
        <f>SUMIFS('август 2024'!$G$4:$G$2015,'август 2024'!$D$4:$D$2015,$B90,'август 2024'!$J$4:$J$2015,Y$1)</f>
        <v>0</v>
      </c>
      <c r="Z90" s="80">
        <f>SUMIFS('август 2024'!$G$4:$G$2015,'август 2024'!$D$4:$D$2015,$B90,'август 2024'!$J$4:$J$2015,Z$1)</f>
        <v>0</v>
      </c>
      <c r="AA90" s="80">
        <f>SUMIFS('август 2024'!$G$4:$G$2015,'август 2024'!$D$4:$D$2015,$B90,'август 2024'!$J$4:$J$2015,AA$1)</f>
        <v>0</v>
      </c>
      <c r="AB90" s="80">
        <f>SUMIFS('август 2024'!$G$4:$G$2015,'август 2024'!$D$4:$D$2015,$B90,'август 2024'!$J$4:$J$2015,AB$1)</f>
        <v>0</v>
      </c>
      <c r="AC90" s="80">
        <f>SUMIFS('август 2024'!$G$4:$G$2015,'август 2024'!$D$4:$D$2015,$B90,'август 2024'!$J$4:$J$2015,AC$1)</f>
        <v>0</v>
      </c>
      <c r="AD90" s="80">
        <f>SUMIFS('август 2024'!$G$4:$G$2015,'август 2024'!$D$4:$D$2015,$B90,'август 2024'!$J$4:$J$2015,AD$1)</f>
        <v>0</v>
      </c>
      <c r="AE90" s="80">
        <f>SUMIFS('август 2024'!$G$4:$G$2015,'август 2024'!$D$4:$D$2015,$B90,'август 2024'!$J$4:$J$2015,AE$1)</f>
        <v>0</v>
      </c>
      <c r="AF90" s="80">
        <f>SUMIFS('август 2024'!$G$4:$G$2015,'август 2024'!$D$4:$D$2015,$B90,'август 2024'!$J$4:$J$2015,AF$1)</f>
        <v>0</v>
      </c>
      <c r="AG90" s="80">
        <f>SUMIFS('август 2024'!$G$4:$G$2015,'август 2024'!$D$4:$D$2015,$B90,'август 2024'!$J$4:$J$2015,AG$1)</f>
        <v>0</v>
      </c>
      <c r="AH90" s="80">
        <f>SUMIFS('август 2024'!$G$4:$G$2015,'август 2024'!$D$4:$D$2015,$B90,'август 2024'!$J$4:$J$2015,AH$1)</f>
        <v>0</v>
      </c>
      <c r="AI90" s="21">
        <f t="shared" si="1"/>
        <v>0</v>
      </c>
    </row>
    <row r="91" spans="2:35" ht="15" customHeight="1" x14ac:dyDescent="0.25">
      <c r="B91" s="93" t="s">
        <v>399</v>
      </c>
      <c r="C91" s="91">
        <v>190</v>
      </c>
      <c r="D91" s="80">
        <f>SUMIFS('август 2024'!$G$4:$G$2015,'август 2024'!$D$4:$D$2015,$B91,'август 2024'!$J$4:$J$2015,D$1)</f>
        <v>0</v>
      </c>
      <c r="E91" s="80">
        <f>SUMIFS('август 2024'!$G$4:$G$2015,'август 2024'!$D$4:$D$2015,$B91,'август 2024'!$J$4:$J$2015,E$1)</f>
        <v>0</v>
      </c>
      <c r="F91" s="80">
        <f>SUMIFS('август 2024'!$G$4:$G$2015,'август 2024'!$D$4:$D$2015,$B91,'август 2024'!$J$4:$J$2015,F$1)</f>
        <v>0</v>
      </c>
      <c r="G91" s="80">
        <f>SUMIFS('август 2024'!$G$4:$G$2015,'август 2024'!$D$4:$D$2015,$B91,'август 2024'!$J$4:$J$2015,G$1)</f>
        <v>0</v>
      </c>
      <c r="H91" s="80">
        <f>SUMIFS('август 2024'!$G$4:$G$2015,'август 2024'!$D$4:$D$2015,$B91,'август 2024'!$J$4:$J$2015,H$1)</f>
        <v>0</v>
      </c>
      <c r="I91" s="80">
        <f>SUMIFS('август 2024'!$G$4:$G$2015,'август 2024'!$D$4:$D$2015,$B91,'август 2024'!$J$4:$J$2015,I$1)</f>
        <v>0</v>
      </c>
      <c r="J91" s="80">
        <f>SUMIFS('август 2024'!$G$4:$G$2015,'август 2024'!$D$4:$D$2015,$B91,'август 2024'!$J$4:$J$2015,J$1)</f>
        <v>0</v>
      </c>
      <c r="K91" s="80">
        <f>SUMIFS('август 2024'!$G$4:$G$2015,'август 2024'!$D$4:$D$2015,$B91,'август 2024'!$J$4:$J$2015,K$1)</f>
        <v>0</v>
      </c>
      <c r="L91" s="80">
        <f>SUMIFS('август 2024'!$G$4:$G$2015,'август 2024'!$D$4:$D$2015,$B91,'август 2024'!$J$4:$J$2015,L$1)</f>
        <v>0</v>
      </c>
      <c r="M91" s="80">
        <f>SUMIFS('август 2024'!$G$4:$G$2015,'август 2024'!$D$4:$D$2015,$B91,'август 2024'!$J$4:$J$2015,M$1)</f>
        <v>0</v>
      </c>
      <c r="N91" s="80">
        <f>SUMIFS('август 2024'!$G$4:$G$2015,'август 2024'!$D$4:$D$2015,$B91,'август 2024'!$J$4:$J$2015,N$1)</f>
        <v>0</v>
      </c>
      <c r="O91" s="80">
        <f>SUMIFS('август 2024'!$G$4:$G$2015,'август 2024'!$D$4:$D$2015,$B91,'август 2024'!$J$4:$J$2015,O$1)</f>
        <v>0</v>
      </c>
      <c r="P91" s="80">
        <f>SUMIFS('август 2024'!$G$4:$G$2015,'август 2024'!$D$4:$D$2015,$B91,'август 2024'!$J$4:$J$2015,P$1)</f>
        <v>0</v>
      </c>
      <c r="Q91" s="80">
        <f>SUMIFS('август 2024'!$G$4:$G$2015,'август 2024'!$D$4:$D$2015,$B91,'август 2024'!$J$4:$J$2015,Q$1)</f>
        <v>0</v>
      </c>
      <c r="R91" s="80">
        <f>SUMIFS('август 2024'!$G$4:$G$2015,'август 2024'!$D$4:$D$2015,$B91,'август 2024'!$J$4:$J$2015,R$1)</f>
        <v>0</v>
      </c>
      <c r="S91" s="80">
        <f>SUMIFS('август 2024'!$G$4:$G$2015,'август 2024'!$D$4:$D$2015,$B91,'август 2024'!$J$4:$J$2015,S$1)</f>
        <v>0</v>
      </c>
      <c r="T91" s="80">
        <f>SUMIFS('август 2024'!$G$4:$G$2015,'август 2024'!$D$4:$D$2015,$B91,'август 2024'!$J$4:$J$2015,T$1)</f>
        <v>0</v>
      </c>
      <c r="U91" s="80">
        <f>SUMIFS('август 2024'!$G$4:$G$2015,'август 2024'!$D$4:$D$2015,$B91,'август 2024'!$J$4:$J$2015,U$1)</f>
        <v>0</v>
      </c>
      <c r="V91" s="80">
        <f>SUMIFS('август 2024'!$G$4:$G$2015,'август 2024'!$D$4:$D$2015,$B91,'август 2024'!$J$4:$J$2015,V$1)</f>
        <v>0</v>
      </c>
      <c r="W91" s="80">
        <f>SUMIFS('август 2024'!$G$4:$G$2015,'август 2024'!$D$4:$D$2015,$B91,'август 2024'!$J$4:$J$2015,W$1)</f>
        <v>0</v>
      </c>
      <c r="X91" s="80">
        <f>SUMIFS('август 2024'!$G$4:$G$2015,'август 2024'!$D$4:$D$2015,$B91,'август 2024'!$J$4:$J$2015,X$1)</f>
        <v>0</v>
      </c>
      <c r="Y91" s="80">
        <f>SUMIFS('август 2024'!$G$4:$G$2015,'август 2024'!$D$4:$D$2015,$B91,'август 2024'!$J$4:$J$2015,Y$1)</f>
        <v>0</v>
      </c>
      <c r="Z91" s="80">
        <f>SUMIFS('август 2024'!$G$4:$G$2015,'август 2024'!$D$4:$D$2015,$B91,'август 2024'!$J$4:$J$2015,Z$1)</f>
        <v>0</v>
      </c>
      <c r="AA91" s="80">
        <f>SUMIFS('август 2024'!$G$4:$G$2015,'август 2024'!$D$4:$D$2015,$B91,'август 2024'!$J$4:$J$2015,AA$1)</f>
        <v>0</v>
      </c>
      <c r="AB91" s="80">
        <f>SUMIFS('август 2024'!$G$4:$G$2015,'август 2024'!$D$4:$D$2015,$B91,'август 2024'!$J$4:$J$2015,AB$1)</f>
        <v>0</v>
      </c>
      <c r="AC91" s="80">
        <f>SUMIFS('август 2024'!$G$4:$G$2015,'август 2024'!$D$4:$D$2015,$B91,'август 2024'!$J$4:$J$2015,AC$1)</f>
        <v>0</v>
      </c>
      <c r="AD91" s="80">
        <f>SUMIFS('август 2024'!$G$4:$G$2015,'август 2024'!$D$4:$D$2015,$B91,'август 2024'!$J$4:$J$2015,AD$1)</f>
        <v>0</v>
      </c>
      <c r="AE91" s="80">
        <f>SUMIFS('август 2024'!$G$4:$G$2015,'август 2024'!$D$4:$D$2015,$B91,'август 2024'!$J$4:$J$2015,AE$1)</f>
        <v>0</v>
      </c>
      <c r="AF91" s="80">
        <f>SUMIFS('август 2024'!$G$4:$G$2015,'август 2024'!$D$4:$D$2015,$B91,'август 2024'!$J$4:$J$2015,AF$1)</f>
        <v>0</v>
      </c>
      <c r="AG91" s="80">
        <f>SUMIFS('август 2024'!$G$4:$G$2015,'август 2024'!$D$4:$D$2015,$B91,'август 2024'!$J$4:$J$2015,AG$1)</f>
        <v>0</v>
      </c>
      <c r="AH91" s="80">
        <f>SUMIFS('август 2024'!$G$4:$G$2015,'август 2024'!$D$4:$D$2015,$B91,'август 2024'!$J$4:$J$2015,AH$1)</f>
        <v>0</v>
      </c>
      <c r="AI91" s="21">
        <f t="shared" si="1"/>
        <v>0</v>
      </c>
    </row>
    <row r="92" spans="2:35" ht="15" customHeight="1" x14ac:dyDescent="0.25">
      <c r="B92" s="93" t="s">
        <v>322</v>
      </c>
      <c r="C92" s="91">
        <v>180</v>
      </c>
      <c r="D92" s="80">
        <f>SUMIFS('август 2024'!$G$4:$G$2015,'август 2024'!$D$4:$D$2015,$B92,'август 2024'!$J$4:$J$2015,D$1)</f>
        <v>0</v>
      </c>
      <c r="E92" s="80">
        <f>SUMIFS('август 2024'!$G$4:$G$2015,'август 2024'!$D$4:$D$2015,$B92,'август 2024'!$J$4:$J$2015,E$1)</f>
        <v>0</v>
      </c>
      <c r="F92" s="80">
        <f>SUMIFS('август 2024'!$G$4:$G$2015,'август 2024'!$D$4:$D$2015,$B92,'август 2024'!$J$4:$J$2015,F$1)</f>
        <v>0</v>
      </c>
      <c r="G92" s="80">
        <f>SUMIFS('август 2024'!$G$4:$G$2015,'август 2024'!$D$4:$D$2015,$B92,'август 2024'!$J$4:$J$2015,G$1)</f>
        <v>0</v>
      </c>
      <c r="H92" s="80">
        <f>SUMIFS('август 2024'!$G$4:$G$2015,'август 2024'!$D$4:$D$2015,$B92,'август 2024'!$J$4:$J$2015,H$1)</f>
        <v>0</v>
      </c>
      <c r="I92" s="80">
        <f>SUMIFS('август 2024'!$G$4:$G$2015,'август 2024'!$D$4:$D$2015,$B92,'август 2024'!$J$4:$J$2015,I$1)</f>
        <v>0</v>
      </c>
      <c r="J92" s="80">
        <f>SUMIFS('август 2024'!$G$4:$G$2015,'август 2024'!$D$4:$D$2015,$B92,'август 2024'!$J$4:$J$2015,J$1)</f>
        <v>0</v>
      </c>
      <c r="K92" s="80">
        <f>SUMIFS('август 2024'!$G$4:$G$2015,'август 2024'!$D$4:$D$2015,$B92,'август 2024'!$J$4:$J$2015,K$1)</f>
        <v>0</v>
      </c>
      <c r="L92" s="80">
        <f>SUMIFS('август 2024'!$G$4:$G$2015,'август 2024'!$D$4:$D$2015,$B92,'август 2024'!$J$4:$J$2015,L$1)</f>
        <v>0</v>
      </c>
      <c r="M92" s="80">
        <f>SUMIFS('август 2024'!$G$4:$G$2015,'август 2024'!$D$4:$D$2015,$B92,'август 2024'!$J$4:$J$2015,M$1)</f>
        <v>0</v>
      </c>
      <c r="N92" s="80">
        <f>SUMIFS('август 2024'!$G$4:$G$2015,'август 2024'!$D$4:$D$2015,$B92,'август 2024'!$J$4:$J$2015,N$1)</f>
        <v>0</v>
      </c>
      <c r="O92" s="80">
        <f>SUMIFS('август 2024'!$G$4:$G$2015,'август 2024'!$D$4:$D$2015,$B92,'август 2024'!$J$4:$J$2015,O$1)</f>
        <v>0</v>
      </c>
      <c r="P92" s="80">
        <f>SUMIFS('август 2024'!$G$4:$G$2015,'август 2024'!$D$4:$D$2015,$B92,'август 2024'!$J$4:$J$2015,P$1)</f>
        <v>0</v>
      </c>
      <c r="Q92" s="80">
        <f>SUMIFS('август 2024'!$G$4:$G$2015,'август 2024'!$D$4:$D$2015,$B92,'август 2024'!$J$4:$J$2015,Q$1)</f>
        <v>0</v>
      </c>
      <c r="R92" s="80">
        <f>SUMIFS('август 2024'!$G$4:$G$2015,'август 2024'!$D$4:$D$2015,$B92,'август 2024'!$J$4:$J$2015,R$1)</f>
        <v>0</v>
      </c>
      <c r="S92" s="80">
        <f>SUMIFS('август 2024'!$G$4:$G$2015,'август 2024'!$D$4:$D$2015,$B92,'август 2024'!$J$4:$J$2015,S$1)</f>
        <v>0</v>
      </c>
      <c r="T92" s="80">
        <f>SUMIFS('август 2024'!$G$4:$G$2015,'август 2024'!$D$4:$D$2015,$B92,'август 2024'!$J$4:$J$2015,T$1)</f>
        <v>0</v>
      </c>
      <c r="U92" s="80">
        <f>SUMIFS('август 2024'!$G$4:$G$2015,'август 2024'!$D$4:$D$2015,$B92,'август 2024'!$J$4:$J$2015,U$1)</f>
        <v>0</v>
      </c>
      <c r="V92" s="80">
        <f>SUMIFS('август 2024'!$G$4:$G$2015,'август 2024'!$D$4:$D$2015,$B92,'август 2024'!$J$4:$J$2015,V$1)</f>
        <v>0</v>
      </c>
      <c r="W92" s="80">
        <f>SUMIFS('август 2024'!$G$4:$G$2015,'август 2024'!$D$4:$D$2015,$B92,'август 2024'!$J$4:$J$2015,W$1)</f>
        <v>0</v>
      </c>
      <c r="X92" s="80">
        <f>SUMIFS('август 2024'!$G$4:$G$2015,'август 2024'!$D$4:$D$2015,$B92,'август 2024'!$J$4:$J$2015,X$1)</f>
        <v>0</v>
      </c>
      <c r="Y92" s="80">
        <f>SUMIFS('август 2024'!$G$4:$G$2015,'август 2024'!$D$4:$D$2015,$B92,'август 2024'!$J$4:$J$2015,Y$1)</f>
        <v>0</v>
      </c>
      <c r="Z92" s="80">
        <f>SUMIFS('август 2024'!$G$4:$G$2015,'август 2024'!$D$4:$D$2015,$B92,'август 2024'!$J$4:$J$2015,Z$1)</f>
        <v>0</v>
      </c>
      <c r="AA92" s="80">
        <f>SUMIFS('август 2024'!$G$4:$G$2015,'август 2024'!$D$4:$D$2015,$B92,'август 2024'!$J$4:$J$2015,AA$1)</f>
        <v>0</v>
      </c>
      <c r="AB92" s="80">
        <f>SUMIFS('август 2024'!$G$4:$G$2015,'август 2024'!$D$4:$D$2015,$B92,'август 2024'!$J$4:$J$2015,AB$1)</f>
        <v>0</v>
      </c>
      <c r="AC92" s="80">
        <f>SUMIFS('август 2024'!$G$4:$G$2015,'август 2024'!$D$4:$D$2015,$B92,'август 2024'!$J$4:$J$2015,AC$1)</f>
        <v>0</v>
      </c>
      <c r="AD92" s="80">
        <f>SUMIFS('август 2024'!$G$4:$G$2015,'август 2024'!$D$4:$D$2015,$B92,'август 2024'!$J$4:$J$2015,AD$1)</f>
        <v>0</v>
      </c>
      <c r="AE92" s="80">
        <f>SUMIFS('август 2024'!$G$4:$G$2015,'август 2024'!$D$4:$D$2015,$B92,'август 2024'!$J$4:$J$2015,AE$1)</f>
        <v>0</v>
      </c>
      <c r="AF92" s="80">
        <f>SUMIFS('август 2024'!$G$4:$G$2015,'август 2024'!$D$4:$D$2015,$B92,'август 2024'!$J$4:$J$2015,AF$1)</f>
        <v>0</v>
      </c>
      <c r="AG92" s="80">
        <f>SUMIFS('август 2024'!$G$4:$G$2015,'август 2024'!$D$4:$D$2015,$B92,'август 2024'!$J$4:$J$2015,AG$1)</f>
        <v>0</v>
      </c>
      <c r="AH92" s="80">
        <f>SUMIFS('август 2024'!$G$4:$G$2015,'август 2024'!$D$4:$D$2015,$B92,'август 2024'!$J$4:$J$2015,AH$1)</f>
        <v>0</v>
      </c>
      <c r="AI92" s="21">
        <f t="shared" si="1"/>
        <v>0</v>
      </c>
    </row>
    <row r="93" spans="2:35" ht="15" customHeight="1" x14ac:dyDescent="0.25">
      <c r="B93" s="93" t="s">
        <v>323</v>
      </c>
      <c r="C93" s="91">
        <v>180</v>
      </c>
      <c r="D93" s="80">
        <f>SUMIFS('август 2024'!$G$4:$G$2015,'август 2024'!$D$4:$D$2015,$B93,'август 2024'!$J$4:$J$2015,D$1)</f>
        <v>0</v>
      </c>
      <c r="E93" s="80">
        <f>SUMIFS('август 2024'!$G$4:$G$2015,'август 2024'!$D$4:$D$2015,$B93,'август 2024'!$J$4:$J$2015,E$1)</f>
        <v>0</v>
      </c>
      <c r="F93" s="80">
        <f>SUMIFS('август 2024'!$G$4:$G$2015,'август 2024'!$D$4:$D$2015,$B93,'август 2024'!$J$4:$J$2015,F$1)</f>
        <v>0</v>
      </c>
      <c r="G93" s="80">
        <f>SUMIFS('август 2024'!$G$4:$G$2015,'август 2024'!$D$4:$D$2015,$B93,'август 2024'!$J$4:$J$2015,G$1)</f>
        <v>0</v>
      </c>
      <c r="H93" s="80">
        <f>SUMIFS('август 2024'!$G$4:$G$2015,'август 2024'!$D$4:$D$2015,$B93,'август 2024'!$J$4:$J$2015,H$1)</f>
        <v>0</v>
      </c>
      <c r="I93" s="80">
        <f>SUMIFS('август 2024'!$G$4:$G$2015,'август 2024'!$D$4:$D$2015,$B93,'август 2024'!$J$4:$J$2015,I$1)</f>
        <v>0</v>
      </c>
      <c r="J93" s="80">
        <f>SUMIFS('август 2024'!$G$4:$G$2015,'август 2024'!$D$4:$D$2015,$B93,'август 2024'!$J$4:$J$2015,J$1)</f>
        <v>0</v>
      </c>
      <c r="K93" s="80">
        <f>SUMIFS('август 2024'!$G$4:$G$2015,'август 2024'!$D$4:$D$2015,$B93,'август 2024'!$J$4:$J$2015,K$1)</f>
        <v>0</v>
      </c>
      <c r="L93" s="80">
        <f>SUMIFS('август 2024'!$G$4:$G$2015,'август 2024'!$D$4:$D$2015,$B93,'август 2024'!$J$4:$J$2015,L$1)</f>
        <v>0</v>
      </c>
      <c r="M93" s="80">
        <f>SUMIFS('август 2024'!$G$4:$G$2015,'август 2024'!$D$4:$D$2015,$B93,'август 2024'!$J$4:$J$2015,M$1)</f>
        <v>0</v>
      </c>
      <c r="N93" s="80">
        <f>SUMIFS('август 2024'!$G$4:$G$2015,'август 2024'!$D$4:$D$2015,$B93,'август 2024'!$J$4:$J$2015,N$1)</f>
        <v>0</v>
      </c>
      <c r="O93" s="80">
        <f>SUMIFS('август 2024'!$G$4:$G$2015,'август 2024'!$D$4:$D$2015,$B93,'август 2024'!$J$4:$J$2015,O$1)</f>
        <v>0</v>
      </c>
      <c r="P93" s="80">
        <f>SUMIFS('август 2024'!$G$4:$G$2015,'август 2024'!$D$4:$D$2015,$B93,'август 2024'!$J$4:$J$2015,P$1)</f>
        <v>0</v>
      </c>
      <c r="Q93" s="80">
        <f>SUMIFS('август 2024'!$G$4:$G$2015,'август 2024'!$D$4:$D$2015,$B93,'август 2024'!$J$4:$J$2015,Q$1)</f>
        <v>0</v>
      </c>
      <c r="R93" s="80">
        <f>SUMIFS('август 2024'!$G$4:$G$2015,'август 2024'!$D$4:$D$2015,$B93,'август 2024'!$J$4:$J$2015,R$1)</f>
        <v>0</v>
      </c>
      <c r="S93" s="80">
        <f>SUMIFS('август 2024'!$G$4:$G$2015,'август 2024'!$D$4:$D$2015,$B93,'август 2024'!$J$4:$J$2015,S$1)</f>
        <v>0</v>
      </c>
      <c r="T93" s="80">
        <f>SUMIFS('август 2024'!$G$4:$G$2015,'август 2024'!$D$4:$D$2015,$B93,'август 2024'!$J$4:$J$2015,T$1)</f>
        <v>0</v>
      </c>
      <c r="U93" s="80">
        <f>SUMIFS('август 2024'!$G$4:$G$2015,'август 2024'!$D$4:$D$2015,$B93,'август 2024'!$J$4:$J$2015,U$1)</f>
        <v>0</v>
      </c>
      <c r="V93" s="80">
        <f>SUMIFS('август 2024'!$G$4:$G$2015,'август 2024'!$D$4:$D$2015,$B93,'август 2024'!$J$4:$J$2015,V$1)</f>
        <v>0</v>
      </c>
      <c r="W93" s="80">
        <f>SUMIFS('август 2024'!$G$4:$G$2015,'август 2024'!$D$4:$D$2015,$B93,'август 2024'!$J$4:$J$2015,W$1)</f>
        <v>0</v>
      </c>
      <c r="X93" s="80">
        <f>SUMIFS('август 2024'!$G$4:$G$2015,'август 2024'!$D$4:$D$2015,$B93,'август 2024'!$J$4:$J$2015,X$1)</f>
        <v>0</v>
      </c>
      <c r="Y93" s="80">
        <f>SUMIFS('август 2024'!$G$4:$G$2015,'август 2024'!$D$4:$D$2015,$B93,'август 2024'!$J$4:$J$2015,Y$1)</f>
        <v>0</v>
      </c>
      <c r="Z93" s="80">
        <f>SUMIFS('август 2024'!$G$4:$G$2015,'август 2024'!$D$4:$D$2015,$B93,'август 2024'!$J$4:$J$2015,Z$1)</f>
        <v>0</v>
      </c>
      <c r="AA93" s="80">
        <f>SUMIFS('август 2024'!$G$4:$G$2015,'август 2024'!$D$4:$D$2015,$B93,'август 2024'!$J$4:$J$2015,AA$1)</f>
        <v>0</v>
      </c>
      <c r="AB93" s="80">
        <f>SUMIFS('август 2024'!$G$4:$G$2015,'август 2024'!$D$4:$D$2015,$B93,'август 2024'!$J$4:$J$2015,AB$1)</f>
        <v>0</v>
      </c>
      <c r="AC93" s="80">
        <f>SUMIFS('август 2024'!$G$4:$G$2015,'август 2024'!$D$4:$D$2015,$B93,'август 2024'!$J$4:$J$2015,AC$1)</f>
        <v>0</v>
      </c>
      <c r="AD93" s="80">
        <f>SUMIFS('август 2024'!$G$4:$G$2015,'август 2024'!$D$4:$D$2015,$B93,'август 2024'!$J$4:$J$2015,AD$1)</f>
        <v>0</v>
      </c>
      <c r="AE93" s="80">
        <f>SUMIFS('август 2024'!$G$4:$G$2015,'август 2024'!$D$4:$D$2015,$B93,'август 2024'!$J$4:$J$2015,AE$1)</f>
        <v>0</v>
      </c>
      <c r="AF93" s="80">
        <f>SUMIFS('август 2024'!$G$4:$G$2015,'август 2024'!$D$4:$D$2015,$B93,'август 2024'!$J$4:$J$2015,AF$1)</f>
        <v>0</v>
      </c>
      <c r="AG93" s="80">
        <f>SUMIFS('август 2024'!$G$4:$G$2015,'август 2024'!$D$4:$D$2015,$B93,'август 2024'!$J$4:$J$2015,AG$1)</f>
        <v>0</v>
      </c>
      <c r="AH93" s="80">
        <f>SUMIFS('август 2024'!$G$4:$G$2015,'август 2024'!$D$4:$D$2015,$B93,'август 2024'!$J$4:$J$2015,AH$1)</f>
        <v>0</v>
      </c>
      <c r="AI93" s="21">
        <f t="shared" si="1"/>
        <v>0</v>
      </c>
    </row>
    <row r="94" spans="2:35" ht="15" customHeight="1" x14ac:dyDescent="0.25">
      <c r="B94" s="93" t="s">
        <v>513</v>
      </c>
      <c r="C94" s="91">
        <v>20</v>
      </c>
      <c r="D94" s="80">
        <f>SUMIFS('август 2024'!$G$4:$G$2015,'август 2024'!$D$4:$D$2015,$B94,'август 2024'!$J$4:$J$2015,D$1)</f>
        <v>0</v>
      </c>
      <c r="E94" s="80">
        <f>SUMIFS('август 2024'!$G$4:$G$2015,'август 2024'!$D$4:$D$2015,$B94,'август 2024'!$J$4:$J$2015,E$1)</f>
        <v>0</v>
      </c>
      <c r="F94" s="80">
        <f>SUMIFS('август 2024'!$G$4:$G$2015,'август 2024'!$D$4:$D$2015,$B94,'август 2024'!$J$4:$J$2015,F$1)</f>
        <v>0</v>
      </c>
      <c r="G94" s="80">
        <f>SUMIFS('август 2024'!$G$4:$G$2015,'август 2024'!$D$4:$D$2015,$B94,'август 2024'!$J$4:$J$2015,G$1)</f>
        <v>0</v>
      </c>
      <c r="H94" s="80">
        <f>SUMIFS('август 2024'!$G$4:$G$2015,'август 2024'!$D$4:$D$2015,$B94,'август 2024'!$J$4:$J$2015,H$1)</f>
        <v>0</v>
      </c>
      <c r="I94" s="80">
        <f>SUMIFS('август 2024'!$G$4:$G$2015,'август 2024'!$D$4:$D$2015,$B94,'август 2024'!$J$4:$J$2015,I$1)</f>
        <v>0</v>
      </c>
      <c r="J94" s="80">
        <f>SUMIFS('август 2024'!$G$4:$G$2015,'август 2024'!$D$4:$D$2015,$B94,'август 2024'!$J$4:$J$2015,J$1)</f>
        <v>0</v>
      </c>
      <c r="K94" s="80">
        <f>SUMIFS('август 2024'!$G$4:$G$2015,'август 2024'!$D$4:$D$2015,$B94,'август 2024'!$J$4:$J$2015,K$1)</f>
        <v>0</v>
      </c>
      <c r="L94" s="80">
        <f>SUMIFS('август 2024'!$G$4:$G$2015,'август 2024'!$D$4:$D$2015,$B94,'август 2024'!$J$4:$J$2015,L$1)</f>
        <v>0</v>
      </c>
      <c r="M94" s="80">
        <f>SUMIFS('август 2024'!$G$4:$G$2015,'август 2024'!$D$4:$D$2015,$B94,'август 2024'!$J$4:$J$2015,M$1)</f>
        <v>0</v>
      </c>
      <c r="N94" s="80">
        <f>SUMIFS('август 2024'!$G$4:$G$2015,'август 2024'!$D$4:$D$2015,$B94,'август 2024'!$J$4:$J$2015,N$1)</f>
        <v>0</v>
      </c>
      <c r="O94" s="80">
        <f>SUMIFS('август 2024'!$G$4:$G$2015,'август 2024'!$D$4:$D$2015,$B94,'август 2024'!$J$4:$J$2015,O$1)</f>
        <v>0</v>
      </c>
      <c r="P94" s="80">
        <f>SUMIFS('август 2024'!$G$4:$G$2015,'август 2024'!$D$4:$D$2015,$B94,'август 2024'!$J$4:$J$2015,P$1)</f>
        <v>0</v>
      </c>
      <c r="Q94" s="80">
        <f>SUMIFS('август 2024'!$G$4:$G$2015,'август 2024'!$D$4:$D$2015,$B94,'август 2024'!$J$4:$J$2015,Q$1)</f>
        <v>0</v>
      </c>
      <c r="R94" s="80">
        <f>SUMIFS('август 2024'!$G$4:$G$2015,'август 2024'!$D$4:$D$2015,$B94,'август 2024'!$J$4:$J$2015,R$1)</f>
        <v>0</v>
      </c>
      <c r="S94" s="80">
        <f>SUMIFS('август 2024'!$G$4:$G$2015,'август 2024'!$D$4:$D$2015,$B94,'август 2024'!$J$4:$J$2015,S$1)</f>
        <v>0</v>
      </c>
      <c r="T94" s="80">
        <f>SUMIFS('август 2024'!$G$4:$G$2015,'август 2024'!$D$4:$D$2015,$B94,'август 2024'!$J$4:$J$2015,T$1)</f>
        <v>0</v>
      </c>
      <c r="U94" s="80">
        <f>SUMIFS('август 2024'!$G$4:$G$2015,'август 2024'!$D$4:$D$2015,$B94,'август 2024'!$J$4:$J$2015,U$1)</f>
        <v>0</v>
      </c>
      <c r="V94" s="80">
        <f>SUMIFS('август 2024'!$G$4:$G$2015,'август 2024'!$D$4:$D$2015,$B94,'август 2024'!$J$4:$J$2015,V$1)</f>
        <v>0</v>
      </c>
      <c r="W94" s="80">
        <f>SUMIFS('август 2024'!$G$4:$G$2015,'август 2024'!$D$4:$D$2015,$B94,'август 2024'!$J$4:$J$2015,W$1)</f>
        <v>0</v>
      </c>
      <c r="X94" s="80">
        <f>SUMIFS('август 2024'!$G$4:$G$2015,'август 2024'!$D$4:$D$2015,$B94,'август 2024'!$J$4:$J$2015,X$1)</f>
        <v>0</v>
      </c>
      <c r="Y94" s="80">
        <f>SUMIFS('август 2024'!$G$4:$G$2015,'август 2024'!$D$4:$D$2015,$B94,'август 2024'!$J$4:$J$2015,Y$1)</f>
        <v>0</v>
      </c>
      <c r="Z94" s="80">
        <f>SUMIFS('август 2024'!$G$4:$G$2015,'август 2024'!$D$4:$D$2015,$B94,'август 2024'!$J$4:$J$2015,Z$1)</f>
        <v>0</v>
      </c>
      <c r="AA94" s="80">
        <f>SUMIFS('август 2024'!$G$4:$G$2015,'август 2024'!$D$4:$D$2015,$B94,'август 2024'!$J$4:$J$2015,AA$1)</f>
        <v>0</v>
      </c>
      <c r="AB94" s="80">
        <f>SUMIFS('август 2024'!$G$4:$G$2015,'август 2024'!$D$4:$D$2015,$B94,'август 2024'!$J$4:$J$2015,AB$1)</f>
        <v>0</v>
      </c>
      <c r="AC94" s="80">
        <f>SUMIFS('август 2024'!$G$4:$G$2015,'август 2024'!$D$4:$D$2015,$B94,'август 2024'!$J$4:$J$2015,AC$1)</f>
        <v>0</v>
      </c>
      <c r="AD94" s="80">
        <f>SUMIFS('август 2024'!$G$4:$G$2015,'август 2024'!$D$4:$D$2015,$B94,'август 2024'!$J$4:$J$2015,AD$1)</f>
        <v>0</v>
      </c>
      <c r="AE94" s="80">
        <f>SUMIFS('август 2024'!$G$4:$G$2015,'август 2024'!$D$4:$D$2015,$B94,'август 2024'!$J$4:$J$2015,AE$1)</f>
        <v>0</v>
      </c>
      <c r="AF94" s="80">
        <f>SUMIFS('август 2024'!$G$4:$G$2015,'август 2024'!$D$4:$D$2015,$B94,'август 2024'!$J$4:$J$2015,AF$1)</f>
        <v>65</v>
      </c>
      <c r="AG94" s="80">
        <f>SUMIFS('август 2024'!$G$4:$G$2015,'август 2024'!$D$4:$D$2015,$B94,'август 2024'!$J$4:$J$2015,AG$1)</f>
        <v>0</v>
      </c>
      <c r="AH94" s="80">
        <f>SUMIFS('август 2024'!$G$4:$G$2015,'август 2024'!$D$4:$D$2015,$B94,'август 2024'!$J$4:$J$2015,AH$1)</f>
        <v>0</v>
      </c>
      <c r="AI94" s="21">
        <f t="shared" ref="AI94" si="2">SUM(D94:AH94)</f>
        <v>65</v>
      </c>
    </row>
    <row r="95" spans="2:35" ht="15" customHeight="1" x14ac:dyDescent="0.25">
      <c r="B95" s="93" t="s">
        <v>1489</v>
      </c>
      <c r="C95" s="91">
        <v>25</v>
      </c>
      <c r="D95" s="80">
        <f>SUMIFS('август 2024'!$G$4:$G$2015,'август 2024'!$D$4:$D$2015,$B95,'август 2024'!$J$4:$J$2015,D$1)</f>
        <v>0</v>
      </c>
      <c r="E95" s="80">
        <f>SUMIFS('август 2024'!$G$4:$G$2015,'август 2024'!$D$4:$D$2015,$B95,'август 2024'!$J$4:$J$2015,E$1)</f>
        <v>0</v>
      </c>
      <c r="F95" s="80">
        <f>SUMIFS('август 2024'!$G$4:$G$2015,'август 2024'!$D$4:$D$2015,$B95,'август 2024'!$J$4:$J$2015,F$1)</f>
        <v>0</v>
      </c>
      <c r="G95" s="80">
        <f>SUMIFS('август 2024'!$G$4:$G$2015,'август 2024'!$D$4:$D$2015,$B95,'август 2024'!$J$4:$J$2015,G$1)</f>
        <v>0</v>
      </c>
      <c r="H95" s="80">
        <f>SUMIFS('август 2024'!$G$4:$G$2015,'август 2024'!$D$4:$D$2015,$B95,'август 2024'!$J$4:$J$2015,H$1)</f>
        <v>0</v>
      </c>
      <c r="I95" s="80">
        <f>SUMIFS('август 2024'!$G$4:$G$2015,'август 2024'!$D$4:$D$2015,$B95,'август 2024'!$J$4:$J$2015,I$1)</f>
        <v>0</v>
      </c>
      <c r="J95" s="80">
        <f>SUMIFS('август 2024'!$G$4:$G$2015,'август 2024'!$D$4:$D$2015,$B95,'август 2024'!$J$4:$J$2015,J$1)</f>
        <v>0</v>
      </c>
      <c r="K95" s="80">
        <f>SUMIFS('август 2024'!$G$4:$G$2015,'август 2024'!$D$4:$D$2015,$B95,'август 2024'!$J$4:$J$2015,K$1)</f>
        <v>513</v>
      </c>
      <c r="L95" s="80">
        <f>SUMIFS('август 2024'!$G$4:$G$2015,'август 2024'!$D$4:$D$2015,$B95,'август 2024'!$J$4:$J$2015,L$1)</f>
        <v>0</v>
      </c>
      <c r="M95" s="80">
        <f>SUMIFS('август 2024'!$G$4:$G$2015,'август 2024'!$D$4:$D$2015,$B95,'август 2024'!$J$4:$J$2015,M$1)</f>
        <v>0</v>
      </c>
      <c r="N95" s="80">
        <f>SUMIFS('август 2024'!$G$4:$G$2015,'август 2024'!$D$4:$D$2015,$B95,'август 2024'!$J$4:$J$2015,N$1)</f>
        <v>0</v>
      </c>
      <c r="O95" s="80">
        <f>SUMIFS('август 2024'!$G$4:$G$2015,'август 2024'!$D$4:$D$2015,$B95,'август 2024'!$J$4:$J$2015,O$1)</f>
        <v>0</v>
      </c>
      <c r="P95" s="80">
        <f>SUMIFS('август 2024'!$G$4:$G$2015,'август 2024'!$D$4:$D$2015,$B95,'август 2024'!$J$4:$J$2015,P$1)</f>
        <v>0</v>
      </c>
      <c r="Q95" s="80">
        <f>SUMIFS('август 2024'!$G$4:$G$2015,'август 2024'!$D$4:$D$2015,$B95,'август 2024'!$J$4:$J$2015,Q$1)</f>
        <v>0</v>
      </c>
      <c r="R95" s="80">
        <f>SUMIFS('август 2024'!$G$4:$G$2015,'август 2024'!$D$4:$D$2015,$B95,'август 2024'!$J$4:$J$2015,R$1)</f>
        <v>0</v>
      </c>
      <c r="S95" s="80">
        <f>SUMIFS('август 2024'!$G$4:$G$2015,'август 2024'!$D$4:$D$2015,$B95,'август 2024'!$J$4:$J$2015,S$1)</f>
        <v>0</v>
      </c>
      <c r="T95" s="80">
        <f>SUMIFS('август 2024'!$G$4:$G$2015,'август 2024'!$D$4:$D$2015,$B95,'август 2024'!$J$4:$J$2015,T$1)</f>
        <v>0</v>
      </c>
      <c r="U95" s="80">
        <f>SUMIFS('август 2024'!$G$4:$G$2015,'август 2024'!$D$4:$D$2015,$B95,'август 2024'!$J$4:$J$2015,U$1)</f>
        <v>0</v>
      </c>
      <c r="V95" s="80">
        <f>SUMIFS('август 2024'!$G$4:$G$2015,'август 2024'!$D$4:$D$2015,$B95,'август 2024'!$J$4:$J$2015,V$1)</f>
        <v>0</v>
      </c>
      <c r="W95" s="80">
        <f>SUMIFS('август 2024'!$G$4:$G$2015,'август 2024'!$D$4:$D$2015,$B95,'август 2024'!$J$4:$J$2015,W$1)</f>
        <v>0</v>
      </c>
      <c r="X95" s="80">
        <f>SUMIFS('август 2024'!$G$4:$G$2015,'август 2024'!$D$4:$D$2015,$B95,'август 2024'!$J$4:$J$2015,X$1)</f>
        <v>0</v>
      </c>
      <c r="Y95" s="80">
        <f>SUMIFS('август 2024'!$G$4:$G$2015,'август 2024'!$D$4:$D$2015,$B95,'август 2024'!$J$4:$J$2015,Y$1)</f>
        <v>0</v>
      </c>
      <c r="Z95" s="80">
        <f>SUMIFS('август 2024'!$G$4:$G$2015,'август 2024'!$D$4:$D$2015,$B95,'август 2024'!$J$4:$J$2015,Z$1)</f>
        <v>0</v>
      </c>
      <c r="AA95" s="80">
        <f>SUMIFS('август 2024'!$G$4:$G$2015,'август 2024'!$D$4:$D$2015,$B95,'август 2024'!$J$4:$J$2015,AA$1)</f>
        <v>0</v>
      </c>
      <c r="AB95" s="80">
        <f>SUMIFS('август 2024'!$G$4:$G$2015,'август 2024'!$D$4:$D$2015,$B95,'август 2024'!$J$4:$J$2015,AB$1)</f>
        <v>0</v>
      </c>
      <c r="AC95" s="80">
        <f>SUMIFS('август 2024'!$G$4:$G$2015,'август 2024'!$D$4:$D$2015,$B95,'август 2024'!$J$4:$J$2015,AC$1)</f>
        <v>0</v>
      </c>
      <c r="AD95" s="80">
        <f>SUMIFS('август 2024'!$G$4:$G$2015,'август 2024'!$D$4:$D$2015,$B95,'август 2024'!$J$4:$J$2015,AD$1)</f>
        <v>0</v>
      </c>
      <c r="AE95" s="80">
        <f>SUMIFS('август 2024'!$G$4:$G$2015,'август 2024'!$D$4:$D$2015,$B95,'август 2024'!$J$4:$J$2015,AE$1)</f>
        <v>0</v>
      </c>
      <c r="AF95" s="80">
        <f>SUMIFS('август 2024'!$G$4:$G$2015,'август 2024'!$D$4:$D$2015,$B95,'август 2024'!$J$4:$J$2015,AF$1)</f>
        <v>0</v>
      </c>
      <c r="AG95" s="80">
        <f>SUMIFS('август 2024'!$G$4:$G$2015,'август 2024'!$D$4:$D$2015,$B95,'август 2024'!$J$4:$J$2015,AG$1)</f>
        <v>0</v>
      </c>
      <c r="AH95" s="80">
        <f>SUMIFS('август 2024'!$G$4:$G$2015,'август 2024'!$D$4:$D$2015,$B95,'август 2024'!$J$4:$J$2015,AH$1)</f>
        <v>0</v>
      </c>
      <c r="AI95" s="21">
        <f t="shared" si="1"/>
        <v>513</v>
      </c>
    </row>
    <row r="96" spans="2:35" ht="15" customHeight="1" x14ac:dyDescent="0.25">
      <c r="B96" s="93" t="s">
        <v>203</v>
      </c>
      <c r="C96" s="91">
        <v>180</v>
      </c>
      <c r="D96" s="80">
        <f>SUMIFS('август 2024'!$G$4:$G$2015,'август 2024'!$D$4:$D$2015,$B96,'август 2024'!$J$4:$J$2015,D$1)</f>
        <v>0</v>
      </c>
      <c r="E96" s="80">
        <f>SUMIFS('август 2024'!$G$4:$G$2015,'август 2024'!$D$4:$D$2015,$B96,'август 2024'!$J$4:$J$2015,E$1)</f>
        <v>0</v>
      </c>
      <c r="F96" s="80">
        <f>SUMIFS('август 2024'!$G$4:$G$2015,'август 2024'!$D$4:$D$2015,$B96,'август 2024'!$J$4:$J$2015,F$1)</f>
        <v>0</v>
      </c>
      <c r="G96" s="80">
        <f>SUMIFS('август 2024'!$G$4:$G$2015,'август 2024'!$D$4:$D$2015,$B96,'август 2024'!$J$4:$J$2015,G$1)</f>
        <v>0</v>
      </c>
      <c r="H96" s="80">
        <f>SUMIFS('август 2024'!$G$4:$G$2015,'август 2024'!$D$4:$D$2015,$B96,'август 2024'!$J$4:$J$2015,H$1)</f>
        <v>0</v>
      </c>
      <c r="I96" s="80">
        <f>SUMIFS('август 2024'!$G$4:$G$2015,'август 2024'!$D$4:$D$2015,$B96,'август 2024'!$J$4:$J$2015,I$1)</f>
        <v>0</v>
      </c>
      <c r="J96" s="80">
        <f>SUMIFS('август 2024'!$G$4:$G$2015,'август 2024'!$D$4:$D$2015,$B96,'август 2024'!$J$4:$J$2015,J$1)</f>
        <v>0</v>
      </c>
      <c r="K96" s="80">
        <f>SUMIFS('август 2024'!$G$4:$G$2015,'август 2024'!$D$4:$D$2015,$B96,'август 2024'!$J$4:$J$2015,K$1)</f>
        <v>0</v>
      </c>
      <c r="L96" s="80">
        <f>SUMIFS('август 2024'!$G$4:$G$2015,'август 2024'!$D$4:$D$2015,$B96,'август 2024'!$J$4:$J$2015,L$1)</f>
        <v>0</v>
      </c>
      <c r="M96" s="80">
        <f>SUMIFS('август 2024'!$G$4:$G$2015,'август 2024'!$D$4:$D$2015,$B96,'август 2024'!$J$4:$J$2015,M$1)</f>
        <v>0</v>
      </c>
      <c r="N96" s="80">
        <f>SUMIFS('август 2024'!$G$4:$G$2015,'август 2024'!$D$4:$D$2015,$B96,'август 2024'!$J$4:$J$2015,N$1)</f>
        <v>0</v>
      </c>
      <c r="O96" s="80">
        <f>SUMIFS('август 2024'!$G$4:$G$2015,'август 2024'!$D$4:$D$2015,$B96,'август 2024'!$J$4:$J$2015,O$1)</f>
        <v>0</v>
      </c>
      <c r="P96" s="80">
        <f>SUMIFS('август 2024'!$G$4:$G$2015,'август 2024'!$D$4:$D$2015,$B96,'август 2024'!$J$4:$J$2015,P$1)</f>
        <v>0</v>
      </c>
      <c r="Q96" s="80">
        <f>SUMIFS('август 2024'!$G$4:$G$2015,'август 2024'!$D$4:$D$2015,$B96,'август 2024'!$J$4:$J$2015,Q$1)</f>
        <v>0</v>
      </c>
      <c r="R96" s="80">
        <f>SUMIFS('август 2024'!$G$4:$G$2015,'август 2024'!$D$4:$D$2015,$B96,'август 2024'!$J$4:$J$2015,R$1)</f>
        <v>0</v>
      </c>
      <c r="S96" s="80">
        <f>SUMIFS('август 2024'!$G$4:$G$2015,'август 2024'!$D$4:$D$2015,$B96,'август 2024'!$J$4:$J$2015,S$1)</f>
        <v>0</v>
      </c>
      <c r="T96" s="80">
        <f>SUMIFS('август 2024'!$G$4:$G$2015,'август 2024'!$D$4:$D$2015,$B96,'август 2024'!$J$4:$J$2015,T$1)</f>
        <v>0</v>
      </c>
      <c r="U96" s="80">
        <f>SUMIFS('август 2024'!$G$4:$G$2015,'август 2024'!$D$4:$D$2015,$B96,'август 2024'!$J$4:$J$2015,U$1)</f>
        <v>0</v>
      </c>
      <c r="V96" s="80">
        <f>SUMIFS('август 2024'!$G$4:$G$2015,'август 2024'!$D$4:$D$2015,$B96,'август 2024'!$J$4:$J$2015,V$1)</f>
        <v>0</v>
      </c>
      <c r="W96" s="80">
        <f>SUMIFS('август 2024'!$G$4:$G$2015,'август 2024'!$D$4:$D$2015,$B96,'август 2024'!$J$4:$J$2015,W$1)</f>
        <v>0</v>
      </c>
      <c r="X96" s="80">
        <f>SUMIFS('август 2024'!$G$4:$G$2015,'август 2024'!$D$4:$D$2015,$B96,'август 2024'!$J$4:$J$2015,X$1)</f>
        <v>0</v>
      </c>
      <c r="Y96" s="80">
        <f>SUMIFS('август 2024'!$G$4:$G$2015,'август 2024'!$D$4:$D$2015,$B96,'август 2024'!$J$4:$J$2015,Y$1)</f>
        <v>0</v>
      </c>
      <c r="Z96" s="80">
        <f>SUMIFS('август 2024'!$G$4:$G$2015,'август 2024'!$D$4:$D$2015,$B96,'август 2024'!$J$4:$J$2015,Z$1)</f>
        <v>0</v>
      </c>
      <c r="AA96" s="80">
        <f>SUMIFS('август 2024'!$G$4:$G$2015,'август 2024'!$D$4:$D$2015,$B96,'август 2024'!$J$4:$J$2015,AA$1)</f>
        <v>0</v>
      </c>
      <c r="AB96" s="80">
        <f>SUMIFS('август 2024'!$G$4:$G$2015,'август 2024'!$D$4:$D$2015,$B96,'август 2024'!$J$4:$J$2015,AB$1)</f>
        <v>0</v>
      </c>
      <c r="AC96" s="80">
        <f>SUMIFS('август 2024'!$G$4:$G$2015,'август 2024'!$D$4:$D$2015,$B96,'август 2024'!$J$4:$J$2015,AC$1)</f>
        <v>0</v>
      </c>
      <c r="AD96" s="80">
        <f>SUMIFS('август 2024'!$G$4:$G$2015,'август 2024'!$D$4:$D$2015,$B96,'август 2024'!$J$4:$J$2015,AD$1)</f>
        <v>0</v>
      </c>
      <c r="AE96" s="80">
        <f>SUMIFS('август 2024'!$G$4:$G$2015,'август 2024'!$D$4:$D$2015,$B96,'август 2024'!$J$4:$J$2015,AE$1)</f>
        <v>0</v>
      </c>
      <c r="AF96" s="80">
        <f>SUMIFS('август 2024'!$G$4:$G$2015,'август 2024'!$D$4:$D$2015,$B96,'август 2024'!$J$4:$J$2015,AF$1)</f>
        <v>0</v>
      </c>
      <c r="AG96" s="80">
        <f>SUMIFS('август 2024'!$G$4:$G$2015,'август 2024'!$D$4:$D$2015,$B96,'август 2024'!$J$4:$J$2015,AG$1)</f>
        <v>0</v>
      </c>
      <c r="AH96" s="80">
        <f>SUMIFS('август 2024'!$G$4:$G$2015,'август 2024'!$D$4:$D$2015,$B96,'август 2024'!$J$4:$J$2015,AH$1)</f>
        <v>0</v>
      </c>
      <c r="AI96" s="21">
        <f t="shared" si="1"/>
        <v>0</v>
      </c>
    </row>
    <row r="97" spans="2:35" ht="15" customHeight="1" x14ac:dyDescent="0.25">
      <c r="B97" s="89" t="s">
        <v>204</v>
      </c>
      <c r="C97" s="88">
        <v>200</v>
      </c>
      <c r="D97" s="80">
        <f>SUMIFS('август 2024'!$G$4:$G$2015,'август 2024'!$D$4:$D$2015,$B97,'август 2024'!$J$4:$J$2015,D$1)</f>
        <v>0</v>
      </c>
      <c r="E97" s="80">
        <f>SUMIFS('август 2024'!$G$4:$G$2015,'август 2024'!$D$4:$D$2015,$B97,'август 2024'!$J$4:$J$2015,E$1)</f>
        <v>0</v>
      </c>
      <c r="F97" s="80">
        <f>SUMIFS('август 2024'!$G$4:$G$2015,'август 2024'!$D$4:$D$2015,$B97,'август 2024'!$J$4:$J$2015,F$1)</f>
        <v>0</v>
      </c>
      <c r="G97" s="80">
        <f>SUMIFS('август 2024'!$G$4:$G$2015,'август 2024'!$D$4:$D$2015,$B97,'август 2024'!$J$4:$J$2015,G$1)</f>
        <v>0</v>
      </c>
      <c r="H97" s="80">
        <f>SUMIFS('август 2024'!$G$4:$G$2015,'август 2024'!$D$4:$D$2015,$B97,'август 2024'!$J$4:$J$2015,H$1)</f>
        <v>0</v>
      </c>
      <c r="I97" s="80">
        <f>SUMIFS('август 2024'!$G$4:$G$2015,'август 2024'!$D$4:$D$2015,$B97,'август 2024'!$J$4:$J$2015,I$1)</f>
        <v>0</v>
      </c>
      <c r="J97" s="80">
        <f>SUMIFS('август 2024'!$G$4:$G$2015,'август 2024'!$D$4:$D$2015,$B97,'август 2024'!$J$4:$J$2015,J$1)</f>
        <v>0</v>
      </c>
      <c r="K97" s="80">
        <f>SUMIFS('август 2024'!$G$4:$G$2015,'август 2024'!$D$4:$D$2015,$B97,'август 2024'!$J$4:$J$2015,K$1)</f>
        <v>0</v>
      </c>
      <c r="L97" s="80">
        <f>SUMIFS('август 2024'!$G$4:$G$2015,'август 2024'!$D$4:$D$2015,$B97,'август 2024'!$J$4:$J$2015,L$1)</f>
        <v>0</v>
      </c>
      <c r="M97" s="80">
        <f>SUMIFS('август 2024'!$G$4:$G$2015,'август 2024'!$D$4:$D$2015,$B97,'август 2024'!$J$4:$J$2015,M$1)</f>
        <v>0</v>
      </c>
      <c r="N97" s="80">
        <f>SUMIFS('август 2024'!$G$4:$G$2015,'август 2024'!$D$4:$D$2015,$B97,'август 2024'!$J$4:$J$2015,N$1)</f>
        <v>0</v>
      </c>
      <c r="O97" s="80">
        <f>SUMIFS('август 2024'!$G$4:$G$2015,'август 2024'!$D$4:$D$2015,$B97,'август 2024'!$J$4:$J$2015,O$1)</f>
        <v>0</v>
      </c>
      <c r="P97" s="80">
        <f>SUMIFS('август 2024'!$G$4:$G$2015,'август 2024'!$D$4:$D$2015,$B97,'август 2024'!$J$4:$J$2015,P$1)</f>
        <v>0</v>
      </c>
      <c r="Q97" s="80">
        <f>SUMIFS('август 2024'!$G$4:$G$2015,'август 2024'!$D$4:$D$2015,$B97,'август 2024'!$J$4:$J$2015,Q$1)</f>
        <v>0</v>
      </c>
      <c r="R97" s="80">
        <f>SUMIFS('август 2024'!$G$4:$G$2015,'август 2024'!$D$4:$D$2015,$B97,'август 2024'!$J$4:$J$2015,R$1)</f>
        <v>0</v>
      </c>
      <c r="S97" s="80">
        <f>SUMIFS('август 2024'!$G$4:$G$2015,'август 2024'!$D$4:$D$2015,$B97,'август 2024'!$J$4:$J$2015,S$1)</f>
        <v>0</v>
      </c>
      <c r="T97" s="80">
        <f>SUMIFS('август 2024'!$G$4:$G$2015,'август 2024'!$D$4:$D$2015,$B97,'август 2024'!$J$4:$J$2015,T$1)</f>
        <v>0</v>
      </c>
      <c r="U97" s="80">
        <f>SUMIFS('август 2024'!$G$4:$G$2015,'август 2024'!$D$4:$D$2015,$B97,'август 2024'!$J$4:$J$2015,U$1)</f>
        <v>0</v>
      </c>
      <c r="V97" s="80">
        <f>SUMIFS('август 2024'!$G$4:$G$2015,'август 2024'!$D$4:$D$2015,$B97,'август 2024'!$J$4:$J$2015,V$1)</f>
        <v>0</v>
      </c>
      <c r="W97" s="80">
        <f>SUMIFS('август 2024'!$G$4:$G$2015,'август 2024'!$D$4:$D$2015,$B97,'август 2024'!$J$4:$J$2015,W$1)</f>
        <v>0</v>
      </c>
      <c r="X97" s="80">
        <f>SUMIFS('август 2024'!$G$4:$G$2015,'август 2024'!$D$4:$D$2015,$B97,'август 2024'!$J$4:$J$2015,X$1)</f>
        <v>0</v>
      </c>
      <c r="Y97" s="80">
        <f>SUMIFS('август 2024'!$G$4:$G$2015,'август 2024'!$D$4:$D$2015,$B97,'август 2024'!$J$4:$J$2015,Y$1)</f>
        <v>0</v>
      </c>
      <c r="Z97" s="80">
        <f>SUMIFS('август 2024'!$G$4:$G$2015,'август 2024'!$D$4:$D$2015,$B97,'август 2024'!$J$4:$J$2015,Z$1)</f>
        <v>0</v>
      </c>
      <c r="AA97" s="80">
        <f>SUMIFS('август 2024'!$G$4:$G$2015,'август 2024'!$D$4:$D$2015,$B97,'август 2024'!$J$4:$J$2015,AA$1)</f>
        <v>0</v>
      </c>
      <c r="AB97" s="80">
        <f>SUMIFS('август 2024'!$G$4:$G$2015,'август 2024'!$D$4:$D$2015,$B97,'август 2024'!$J$4:$J$2015,AB$1)</f>
        <v>0</v>
      </c>
      <c r="AC97" s="80">
        <f>SUMIFS('август 2024'!$G$4:$G$2015,'август 2024'!$D$4:$D$2015,$B97,'август 2024'!$J$4:$J$2015,AC$1)</f>
        <v>0</v>
      </c>
      <c r="AD97" s="80">
        <f>SUMIFS('август 2024'!$G$4:$G$2015,'август 2024'!$D$4:$D$2015,$B97,'август 2024'!$J$4:$J$2015,AD$1)</f>
        <v>0</v>
      </c>
      <c r="AE97" s="80">
        <f>SUMIFS('август 2024'!$G$4:$G$2015,'август 2024'!$D$4:$D$2015,$B97,'август 2024'!$J$4:$J$2015,AE$1)</f>
        <v>0</v>
      </c>
      <c r="AF97" s="80">
        <f>SUMIFS('август 2024'!$G$4:$G$2015,'август 2024'!$D$4:$D$2015,$B97,'август 2024'!$J$4:$J$2015,AF$1)</f>
        <v>0</v>
      </c>
      <c r="AG97" s="80">
        <f>SUMIFS('август 2024'!$G$4:$G$2015,'август 2024'!$D$4:$D$2015,$B97,'август 2024'!$J$4:$J$2015,AG$1)</f>
        <v>0</v>
      </c>
      <c r="AH97" s="80">
        <f>SUMIFS('август 2024'!$G$4:$G$2015,'август 2024'!$D$4:$D$2015,$B97,'август 2024'!$J$4:$J$2015,AH$1)</f>
        <v>0</v>
      </c>
      <c r="AI97" s="21">
        <f t="shared" si="1"/>
        <v>0</v>
      </c>
    </row>
    <row r="98" spans="2:35" ht="15" customHeight="1" x14ac:dyDescent="0.25">
      <c r="B98" s="92" t="s">
        <v>175</v>
      </c>
      <c r="C98" s="91">
        <v>180</v>
      </c>
      <c r="D98" s="80">
        <f>SUMIFS('август 2024'!$G$4:$G$2015,'август 2024'!$D$4:$D$2015,$B98,'август 2024'!$J$4:$J$2015,D$1)</f>
        <v>0</v>
      </c>
      <c r="E98" s="80">
        <f>SUMIFS('август 2024'!$G$4:$G$2015,'август 2024'!$D$4:$D$2015,$B98,'август 2024'!$J$4:$J$2015,E$1)</f>
        <v>0</v>
      </c>
      <c r="F98" s="80">
        <f>SUMIFS('август 2024'!$G$4:$G$2015,'август 2024'!$D$4:$D$2015,$B98,'август 2024'!$J$4:$J$2015,F$1)</f>
        <v>0</v>
      </c>
      <c r="G98" s="80">
        <f>SUMIFS('август 2024'!$G$4:$G$2015,'август 2024'!$D$4:$D$2015,$B98,'август 2024'!$J$4:$J$2015,G$1)</f>
        <v>0</v>
      </c>
      <c r="H98" s="80">
        <f>SUMIFS('август 2024'!$G$4:$G$2015,'август 2024'!$D$4:$D$2015,$B98,'август 2024'!$J$4:$J$2015,H$1)</f>
        <v>0</v>
      </c>
      <c r="I98" s="80">
        <f>SUMIFS('август 2024'!$G$4:$G$2015,'август 2024'!$D$4:$D$2015,$B98,'август 2024'!$J$4:$J$2015,I$1)</f>
        <v>0</v>
      </c>
      <c r="J98" s="80">
        <f>SUMIFS('август 2024'!$G$4:$G$2015,'август 2024'!$D$4:$D$2015,$B98,'август 2024'!$J$4:$J$2015,J$1)</f>
        <v>0</v>
      </c>
      <c r="K98" s="80">
        <f>SUMIFS('август 2024'!$G$4:$G$2015,'август 2024'!$D$4:$D$2015,$B98,'август 2024'!$J$4:$J$2015,K$1)</f>
        <v>0</v>
      </c>
      <c r="L98" s="80">
        <f>SUMIFS('август 2024'!$G$4:$G$2015,'август 2024'!$D$4:$D$2015,$B98,'август 2024'!$J$4:$J$2015,L$1)</f>
        <v>0</v>
      </c>
      <c r="M98" s="80">
        <f>SUMIFS('август 2024'!$G$4:$G$2015,'август 2024'!$D$4:$D$2015,$B98,'август 2024'!$J$4:$J$2015,M$1)</f>
        <v>0</v>
      </c>
      <c r="N98" s="80">
        <f>SUMIFS('август 2024'!$G$4:$G$2015,'август 2024'!$D$4:$D$2015,$B98,'август 2024'!$J$4:$J$2015,N$1)</f>
        <v>0</v>
      </c>
      <c r="O98" s="80">
        <f>SUMIFS('август 2024'!$G$4:$G$2015,'август 2024'!$D$4:$D$2015,$B98,'август 2024'!$J$4:$J$2015,O$1)</f>
        <v>0</v>
      </c>
      <c r="P98" s="80">
        <f>SUMIFS('август 2024'!$G$4:$G$2015,'август 2024'!$D$4:$D$2015,$B98,'август 2024'!$J$4:$J$2015,P$1)</f>
        <v>0</v>
      </c>
      <c r="Q98" s="80">
        <f>SUMIFS('август 2024'!$G$4:$G$2015,'август 2024'!$D$4:$D$2015,$B98,'август 2024'!$J$4:$J$2015,Q$1)</f>
        <v>0</v>
      </c>
      <c r="R98" s="80">
        <f>SUMIFS('август 2024'!$G$4:$G$2015,'август 2024'!$D$4:$D$2015,$B98,'август 2024'!$J$4:$J$2015,R$1)</f>
        <v>0</v>
      </c>
      <c r="S98" s="80">
        <f>SUMIFS('август 2024'!$G$4:$G$2015,'август 2024'!$D$4:$D$2015,$B98,'август 2024'!$J$4:$J$2015,S$1)</f>
        <v>0</v>
      </c>
      <c r="T98" s="80">
        <f>SUMIFS('август 2024'!$G$4:$G$2015,'август 2024'!$D$4:$D$2015,$B98,'август 2024'!$J$4:$J$2015,T$1)</f>
        <v>0</v>
      </c>
      <c r="U98" s="80">
        <f>SUMIFS('август 2024'!$G$4:$G$2015,'август 2024'!$D$4:$D$2015,$B98,'август 2024'!$J$4:$J$2015,U$1)</f>
        <v>0</v>
      </c>
      <c r="V98" s="80">
        <f>SUMIFS('август 2024'!$G$4:$G$2015,'август 2024'!$D$4:$D$2015,$B98,'август 2024'!$J$4:$J$2015,V$1)</f>
        <v>0</v>
      </c>
      <c r="W98" s="80">
        <f>SUMIFS('август 2024'!$G$4:$G$2015,'август 2024'!$D$4:$D$2015,$B98,'август 2024'!$J$4:$J$2015,W$1)</f>
        <v>0</v>
      </c>
      <c r="X98" s="80">
        <f>SUMIFS('август 2024'!$G$4:$G$2015,'август 2024'!$D$4:$D$2015,$B98,'август 2024'!$J$4:$J$2015,X$1)</f>
        <v>0</v>
      </c>
      <c r="Y98" s="80">
        <f>SUMIFS('август 2024'!$G$4:$G$2015,'август 2024'!$D$4:$D$2015,$B98,'август 2024'!$J$4:$J$2015,Y$1)</f>
        <v>0</v>
      </c>
      <c r="Z98" s="80">
        <f>SUMIFS('август 2024'!$G$4:$G$2015,'август 2024'!$D$4:$D$2015,$B98,'август 2024'!$J$4:$J$2015,Z$1)</f>
        <v>0</v>
      </c>
      <c r="AA98" s="80">
        <f>SUMIFS('август 2024'!$G$4:$G$2015,'август 2024'!$D$4:$D$2015,$B98,'август 2024'!$J$4:$J$2015,AA$1)</f>
        <v>0</v>
      </c>
      <c r="AB98" s="80">
        <f>SUMIFS('август 2024'!$G$4:$G$2015,'август 2024'!$D$4:$D$2015,$B98,'август 2024'!$J$4:$J$2015,AB$1)</f>
        <v>0</v>
      </c>
      <c r="AC98" s="80">
        <f>SUMIFS('август 2024'!$G$4:$G$2015,'август 2024'!$D$4:$D$2015,$B98,'август 2024'!$J$4:$J$2015,AC$1)</f>
        <v>0</v>
      </c>
      <c r="AD98" s="80">
        <f>SUMIFS('август 2024'!$G$4:$G$2015,'август 2024'!$D$4:$D$2015,$B98,'август 2024'!$J$4:$J$2015,AD$1)</f>
        <v>0</v>
      </c>
      <c r="AE98" s="80">
        <f>SUMIFS('август 2024'!$G$4:$G$2015,'август 2024'!$D$4:$D$2015,$B98,'август 2024'!$J$4:$J$2015,AE$1)</f>
        <v>0</v>
      </c>
      <c r="AF98" s="80">
        <f>SUMIFS('август 2024'!$G$4:$G$2015,'август 2024'!$D$4:$D$2015,$B98,'август 2024'!$J$4:$J$2015,AF$1)</f>
        <v>0</v>
      </c>
      <c r="AG98" s="80">
        <f>SUMIFS('август 2024'!$G$4:$G$2015,'август 2024'!$D$4:$D$2015,$B98,'август 2024'!$J$4:$J$2015,AG$1)</f>
        <v>0</v>
      </c>
      <c r="AH98" s="80">
        <f>SUMIFS('август 2024'!$G$4:$G$2015,'август 2024'!$D$4:$D$2015,$B98,'август 2024'!$J$4:$J$2015,AH$1)</f>
        <v>0</v>
      </c>
      <c r="AI98" s="21">
        <f t="shared" si="1"/>
        <v>0</v>
      </c>
    </row>
    <row r="99" spans="2:35" ht="15" customHeight="1" x14ac:dyDescent="0.25">
      <c r="B99" s="89" t="s">
        <v>176</v>
      </c>
      <c r="C99" s="91">
        <v>200</v>
      </c>
      <c r="D99" s="80">
        <f>SUMIFS('август 2024'!$G$4:$G$2015,'август 2024'!$D$4:$D$2015,$B99,'август 2024'!$J$4:$J$2015,D$1)</f>
        <v>0</v>
      </c>
      <c r="E99" s="80">
        <f>SUMIFS('август 2024'!$G$4:$G$2015,'август 2024'!$D$4:$D$2015,$B99,'август 2024'!$J$4:$J$2015,E$1)</f>
        <v>0</v>
      </c>
      <c r="F99" s="80">
        <f>SUMIFS('август 2024'!$G$4:$G$2015,'август 2024'!$D$4:$D$2015,$B99,'август 2024'!$J$4:$J$2015,F$1)</f>
        <v>0</v>
      </c>
      <c r="G99" s="80">
        <f>SUMIFS('август 2024'!$G$4:$G$2015,'август 2024'!$D$4:$D$2015,$B99,'август 2024'!$J$4:$J$2015,G$1)</f>
        <v>0</v>
      </c>
      <c r="H99" s="80">
        <f>SUMIFS('август 2024'!$G$4:$G$2015,'август 2024'!$D$4:$D$2015,$B99,'август 2024'!$J$4:$J$2015,H$1)</f>
        <v>0</v>
      </c>
      <c r="I99" s="80">
        <f>SUMIFS('август 2024'!$G$4:$G$2015,'август 2024'!$D$4:$D$2015,$B99,'август 2024'!$J$4:$J$2015,I$1)</f>
        <v>0</v>
      </c>
      <c r="J99" s="80">
        <f>SUMIFS('август 2024'!$G$4:$G$2015,'август 2024'!$D$4:$D$2015,$B99,'август 2024'!$J$4:$J$2015,J$1)</f>
        <v>0</v>
      </c>
      <c r="K99" s="80">
        <f>SUMIFS('август 2024'!$G$4:$G$2015,'август 2024'!$D$4:$D$2015,$B99,'август 2024'!$J$4:$J$2015,K$1)</f>
        <v>0</v>
      </c>
      <c r="L99" s="80">
        <f>SUMIFS('август 2024'!$G$4:$G$2015,'август 2024'!$D$4:$D$2015,$B99,'август 2024'!$J$4:$J$2015,L$1)</f>
        <v>0</v>
      </c>
      <c r="M99" s="80">
        <f>SUMIFS('август 2024'!$G$4:$G$2015,'август 2024'!$D$4:$D$2015,$B99,'август 2024'!$J$4:$J$2015,M$1)</f>
        <v>0</v>
      </c>
      <c r="N99" s="80">
        <f>SUMIFS('август 2024'!$G$4:$G$2015,'август 2024'!$D$4:$D$2015,$B99,'август 2024'!$J$4:$J$2015,N$1)</f>
        <v>0</v>
      </c>
      <c r="O99" s="80">
        <f>SUMIFS('август 2024'!$G$4:$G$2015,'август 2024'!$D$4:$D$2015,$B99,'август 2024'!$J$4:$J$2015,O$1)</f>
        <v>0</v>
      </c>
      <c r="P99" s="80">
        <f>SUMIFS('август 2024'!$G$4:$G$2015,'август 2024'!$D$4:$D$2015,$B99,'август 2024'!$J$4:$J$2015,P$1)</f>
        <v>0</v>
      </c>
      <c r="Q99" s="80">
        <f>SUMIFS('август 2024'!$G$4:$G$2015,'август 2024'!$D$4:$D$2015,$B99,'август 2024'!$J$4:$J$2015,Q$1)</f>
        <v>0</v>
      </c>
      <c r="R99" s="80">
        <f>SUMIFS('август 2024'!$G$4:$G$2015,'август 2024'!$D$4:$D$2015,$B99,'август 2024'!$J$4:$J$2015,R$1)</f>
        <v>0</v>
      </c>
      <c r="S99" s="80">
        <f>SUMIFS('август 2024'!$G$4:$G$2015,'август 2024'!$D$4:$D$2015,$B99,'август 2024'!$J$4:$J$2015,S$1)</f>
        <v>0</v>
      </c>
      <c r="T99" s="80">
        <f>SUMIFS('август 2024'!$G$4:$G$2015,'август 2024'!$D$4:$D$2015,$B99,'август 2024'!$J$4:$J$2015,T$1)</f>
        <v>0</v>
      </c>
      <c r="U99" s="80">
        <f>SUMIFS('август 2024'!$G$4:$G$2015,'август 2024'!$D$4:$D$2015,$B99,'август 2024'!$J$4:$J$2015,U$1)</f>
        <v>0</v>
      </c>
      <c r="V99" s="80">
        <f>SUMIFS('август 2024'!$G$4:$G$2015,'август 2024'!$D$4:$D$2015,$B99,'август 2024'!$J$4:$J$2015,V$1)</f>
        <v>0</v>
      </c>
      <c r="W99" s="80">
        <f>SUMIFS('август 2024'!$G$4:$G$2015,'август 2024'!$D$4:$D$2015,$B99,'август 2024'!$J$4:$J$2015,W$1)</f>
        <v>0</v>
      </c>
      <c r="X99" s="80">
        <f>SUMIFS('август 2024'!$G$4:$G$2015,'август 2024'!$D$4:$D$2015,$B99,'август 2024'!$J$4:$J$2015,X$1)</f>
        <v>0</v>
      </c>
      <c r="Y99" s="80">
        <f>SUMIFS('август 2024'!$G$4:$G$2015,'август 2024'!$D$4:$D$2015,$B99,'август 2024'!$J$4:$J$2015,Y$1)</f>
        <v>0</v>
      </c>
      <c r="Z99" s="80">
        <f>SUMIFS('август 2024'!$G$4:$G$2015,'август 2024'!$D$4:$D$2015,$B99,'август 2024'!$J$4:$J$2015,Z$1)</f>
        <v>0</v>
      </c>
      <c r="AA99" s="80">
        <f>SUMIFS('август 2024'!$G$4:$G$2015,'август 2024'!$D$4:$D$2015,$B99,'август 2024'!$J$4:$J$2015,AA$1)</f>
        <v>0</v>
      </c>
      <c r="AB99" s="80">
        <f>SUMIFS('август 2024'!$G$4:$G$2015,'август 2024'!$D$4:$D$2015,$B99,'август 2024'!$J$4:$J$2015,AB$1)</f>
        <v>0</v>
      </c>
      <c r="AC99" s="80">
        <f>SUMIFS('август 2024'!$G$4:$G$2015,'август 2024'!$D$4:$D$2015,$B99,'август 2024'!$J$4:$J$2015,AC$1)</f>
        <v>0</v>
      </c>
      <c r="AD99" s="80">
        <f>SUMIFS('август 2024'!$G$4:$G$2015,'август 2024'!$D$4:$D$2015,$B99,'август 2024'!$J$4:$J$2015,AD$1)</f>
        <v>0</v>
      </c>
      <c r="AE99" s="80">
        <f>SUMIFS('август 2024'!$G$4:$G$2015,'август 2024'!$D$4:$D$2015,$B99,'август 2024'!$J$4:$J$2015,AE$1)</f>
        <v>0</v>
      </c>
      <c r="AF99" s="80">
        <f>SUMIFS('август 2024'!$G$4:$G$2015,'август 2024'!$D$4:$D$2015,$B99,'август 2024'!$J$4:$J$2015,AF$1)</f>
        <v>0</v>
      </c>
      <c r="AG99" s="80">
        <f>SUMIFS('август 2024'!$G$4:$G$2015,'август 2024'!$D$4:$D$2015,$B99,'август 2024'!$J$4:$J$2015,AG$1)</f>
        <v>0</v>
      </c>
      <c r="AH99" s="80">
        <f>SUMIFS('август 2024'!$G$4:$G$2015,'август 2024'!$D$4:$D$2015,$B99,'август 2024'!$J$4:$J$2015,AH$1)</f>
        <v>0</v>
      </c>
      <c r="AI99" s="21">
        <f t="shared" si="1"/>
        <v>0</v>
      </c>
    </row>
    <row r="100" spans="2:35" ht="15" customHeight="1" x14ac:dyDescent="0.25">
      <c r="B100" s="89" t="s">
        <v>205</v>
      </c>
      <c r="C100" s="88">
        <v>185</v>
      </c>
      <c r="D100" s="80">
        <f>SUMIFS('август 2024'!$G$4:$G$2015,'август 2024'!$D$4:$D$2015,$B100,'август 2024'!$J$4:$J$2015,D$1)</f>
        <v>0</v>
      </c>
      <c r="E100" s="80">
        <f>SUMIFS('август 2024'!$G$4:$G$2015,'август 2024'!$D$4:$D$2015,$B100,'август 2024'!$J$4:$J$2015,E$1)</f>
        <v>0</v>
      </c>
      <c r="F100" s="80">
        <f>SUMIFS('август 2024'!$G$4:$G$2015,'август 2024'!$D$4:$D$2015,$B100,'август 2024'!$J$4:$J$2015,F$1)</f>
        <v>0</v>
      </c>
      <c r="G100" s="80">
        <f>SUMIFS('август 2024'!$G$4:$G$2015,'август 2024'!$D$4:$D$2015,$B100,'август 2024'!$J$4:$J$2015,G$1)</f>
        <v>0</v>
      </c>
      <c r="H100" s="80">
        <f>SUMIFS('август 2024'!$G$4:$G$2015,'август 2024'!$D$4:$D$2015,$B100,'август 2024'!$J$4:$J$2015,H$1)</f>
        <v>0</v>
      </c>
      <c r="I100" s="80">
        <f>SUMIFS('август 2024'!$G$4:$G$2015,'август 2024'!$D$4:$D$2015,$B100,'август 2024'!$J$4:$J$2015,I$1)</f>
        <v>0</v>
      </c>
      <c r="J100" s="80">
        <f>SUMIFS('август 2024'!$G$4:$G$2015,'август 2024'!$D$4:$D$2015,$B100,'август 2024'!$J$4:$J$2015,J$1)</f>
        <v>0</v>
      </c>
      <c r="K100" s="80">
        <f>SUMIFS('август 2024'!$G$4:$G$2015,'август 2024'!$D$4:$D$2015,$B100,'август 2024'!$J$4:$J$2015,K$1)</f>
        <v>0</v>
      </c>
      <c r="L100" s="80">
        <f>SUMIFS('август 2024'!$G$4:$G$2015,'август 2024'!$D$4:$D$2015,$B100,'август 2024'!$J$4:$J$2015,L$1)</f>
        <v>0</v>
      </c>
      <c r="M100" s="80">
        <f>SUMIFS('август 2024'!$G$4:$G$2015,'август 2024'!$D$4:$D$2015,$B100,'август 2024'!$J$4:$J$2015,M$1)</f>
        <v>0</v>
      </c>
      <c r="N100" s="80">
        <f>SUMIFS('август 2024'!$G$4:$G$2015,'август 2024'!$D$4:$D$2015,$B100,'август 2024'!$J$4:$J$2015,N$1)</f>
        <v>0</v>
      </c>
      <c r="O100" s="80">
        <f>SUMIFS('август 2024'!$G$4:$G$2015,'август 2024'!$D$4:$D$2015,$B100,'август 2024'!$J$4:$J$2015,O$1)</f>
        <v>0</v>
      </c>
      <c r="P100" s="80">
        <f>SUMIFS('август 2024'!$G$4:$G$2015,'август 2024'!$D$4:$D$2015,$B100,'август 2024'!$J$4:$J$2015,P$1)</f>
        <v>0</v>
      </c>
      <c r="Q100" s="80">
        <f>SUMIFS('август 2024'!$G$4:$G$2015,'август 2024'!$D$4:$D$2015,$B100,'август 2024'!$J$4:$J$2015,Q$1)</f>
        <v>0</v>
      </c>
      <c r="R100" s="80">
        <f>SUMIFS('август 2024'!$G$4:$G$2015,'август 2024'!$D$4:$D$2015,$B100,'август 2024'!$J$4:$J$2015,R$1)</f>
        <v>0</v>
      </c>
      <c r="S100" s="80">
        <f>SUMIFS('август 2024'!$G$4:$G$2015,'август 2024'!$D$4:$D$2015,$B100,'август 2024'!$J$4:$J$2015,S$1)</f>
        <v>0</v>
      </c>
      <c r="T100" s="80">
        <f>SUMIFS('август 2024'!$G$4:$G$2015,'август 2024'!$D$4:$D$2015,$B100,'август 2024'!$J$4:$J$2015,T$1)</f>
        <v>0</v>
      </c>
      <c r="U100" s="80">
        <f>SUMIFS('август 2024'!$G$4:$G$2015,'август 2024'!$D$4:$D$2015,$B100,'август 2024'!$J$4:$J$2015,U$1)</f>
        <v>0</v>
      </c>
      <c r="V100" s="80">
        <f>SUMIFS('август 2024'!$G$4:$G$2015,'август 2024'!$D$4:$D$2015,$B100,'август 2024'!$J$4:$J$2015,V$1)</f>
        <v>0</v>
      </c>
      <c r="W100" s="80">
        <f>SUMIFS('август 2024'!$G$4:$G$2015,'август 2024'!$D$4:$D$2015,$B100,'август 2024'!$J$4:$J$2015,W$1)</f>
        <v>80</v>
      </c>
      <c r="X100" s="80">
        <f>SUMIFS('август 2024'!$G$4:$G$2015,'август 2024'!$D$4:$D$2015,$B100,'август 2024'!$J$4:$J$2015,X$1)</f>
        <v>80</v>
      </c>
      <c r="Y100" s="80">
        <f>SUMIFS('август 2024'!$G$4:$G$2015,'август 2024'!$D$4:$D$2015,$B100,'август 2024'!$J$4:$J$2015,Y$1)</f>
        <v>0</v>
      </c>
      <c r="Z100" s="80">
        <f>SUMIFS('август 2024'!$G$4:$G$2015,'август 2024'!$D$4:$D$2015,$B100,'август 2024'!$J$4:$J$2015,Z$1)</f>
        <v>0</v>
      </c>
      <c r="AA100" s="80">
        <f>SUMIFS('август 2024'!$G$4:$G$2015,'август 2024'!$D$4:$D$2015,$B100,'август 2024'!$J$4:$J$2015,AA$1)</f>
        <v>0</v>
      </c>
      <c r="AB100" s="80">
        <f>SUMIFS('август 2024'!$G$4:$G$2015,'август 2024'!$D$4:$D$2015,$B100,'август 2024'!$J$4:$J$2015,AB$1)</f>
        <v>0</v>
      </c>
      <c r="AC100" s="80">
        <f>SUMIFS('август 2024'!$G$4:$G$2015,'август 2024'!$D$4:$D$2015,$B100,'август 2024'!$J$4:$J$2015,AC$1)</f>
        <v>0</v>
      </c>
      <c r="AD100" s="80">
        <f>SUMIFS('август 2024'!$G$4:$G$2015,'август 2024'!$D$4:$D$2015,$B100,'август 2024'!$J$4:$J$2015,AD$1)</f>
        <v>0</v>
      </c>
      <c r="AE100" s="80">
        <f>SUMIFS('август 2024'!$G$4:$G$2015,'август 2024'!$D$4:$D$2015,$B100,'август 2024'!$J$4:$J$2015,AE$1)</f>
        <v>0</v>
      </c>
      <c r="AF100" s="80">
        <f>SUMIFS('август 2024'!$G$4:$G$2015,'август 2024'!$D$4:$D$2015,$B100,'август 2024'!$J$4:$J$2015,AF$1)</f>
        <v>0</v>
      </c>
      <c r="AG100" s="80">
        <f>SUMIFS('август 2024'!$G$4:$G$2015,'август 2024'!$D$4:$D$2015,$B100,'август 2024'!$J$4:$J$2015,AG$1)</f>
        <v>0</v>
      </c>
      <c r="AH100" s="80">
        <f>SUMIFS('август 2024'!$G$4:$G$2015,'август 2024'!$D$4:$D$2015,$B100,'август 2024'!$J$4:$J$2015,AH$1)</f>
        <v>0</v>
      </c>
      <c r="AI100" s="21">
        <f t="shared" si="1"/>
        <v>160</v>
      </c>
    </row>
    <row r="101" spans="2:35" ht="15" customHeight="1" x14ac:dyDescent="0.25">
      <c r="B101" s="89" t="s">
        <v>206</v>
      </c>
      <c r="C101" s="88">
        <v>185</v>
      </c>
      <c r="D101" s="80">
        <f>SUMIFS('август 2024'!$G$4:$G$2015,'август 2024'!$D$4:$D$2015,$B101,'август 2024'!$J$4:$J$2015,D$1)</f>
        <v>0</v>
      </c>
      <c r="E101" s="80">
        <f>SUMIFS('август 2024'!$G$4:$G$2015,'август 2024'!$D$4:$D$2015,$B101,'август 2024'!$J$4:$J$2015,E$1)</f>
        <v>0</v>
      </c>
      <c r="F101" s="80">
        <f>SUMIFS('август 2024'!$G$4:$G$2015,'август 2024'!$D$4:$D$2015,$B101,'август 2024'!$J$4:$J$2015,F$1)</f>
        <v>0</v>
      </c>
      <c r="G101" s="80">
        <f>SUMIFS('август 2024'!$G$4:$G$2015,'август 2024'!$D$4:$D$2015,$B101,'август 2024'!$J$4:$J$2015,G$1)</f>
        <v>0</v>
      </c>
      <c r="H101" s="80">
        <f>SUMIFS('август 2024'!$G$4:$G$2015,'август 2024'!$D$4:$D$2015,$B101,'август 2024'!$J$4:$J$2015,H$1)</f>
        <v>0</v>
      </c>
      <c r="I101" s="80">
        <f>SUMIFS('август 2024'!$G$4:$G$2015,'август 2024'!$D$4:$D$2015,$B101,'август 2024'!$J$4:$J$2015,I$1)</f>
        <v>0</v>
      </c>
      <c r="J101" s="80">
        <f>SUMIFS('август 2024'!$G$4:$G$2015,'август 2024'!$D$4:$D$2015,$B101,'август 2024'!$J$4:$J$2015,J$1)</f>
        <v>0</v>
      </c>
      <c r="K101" s="80">
        <f>SUMIFS('август 2024'!$G$4:$G$2015,'август 2024'!$D$4:$D$2015,$B101,'август 2024'!$J$4:$J$2015,K$1)</f>
        <v>0</v>
      </c>
      <c r="L101" s="80">
        <f>SUMIFS('август 2024'!$G$4:$G$2015,'август 2024'!$D$4:$D$2015,$B101,'август 2024'!$J$4:$J$2015,L$1)</f>
        <v>0</v>
      </c>
      <c r="M101" s="80">
        <f>SUMIFS('август 2024'!$G$4:$G$2015,'август 2024'!$D$4:$D$2015,$B101,'август 2024'!$J$4:$J$2015,M$1)</f>
        <v>0</v>
      </c>
      <c r="N101" s="80">
        <f>SUMIFS('август 2024'!$G$4:$G$2015,'август 2024'!$D$4:$D$2015,$B101,'август 2024'!$J$4:$J$2015,N$1)</f>
        <v>0</v>
      </c>
      <c r="O101" s="80">
        <f>SUMIFS('август 2024'!$G$4:$G$2015,'август 2024'!$D$4:$D$2015,$B101,'август 2024'!$J$4:$J$2015,O$1)</f>
        <v>0</v>
      </c>
      <c r="P101" s="80">
        <f>SUMIFS('август 2024'!$G$4:$G$2015,'август 2024'!$D$4:$D$2015,$B101,'август 2024'!$J$4:$J$2015,P$1)</f>
        <v>0</v>
      </c>
      <c r="Q101" s="80">
        <f>SUMIFS('август 2024'!$G$4:$G$2015,'август 2024'!$D$4:$D$2015,$B101,'август 2024'!$J$4:$J$2015,Q$1)</f>
        <v>0</v>
      </c>
      <c r="R101" s="80">
        <f>SUMIFS('август 2024'!$G$4:$G$2015,'август 2024'!$D$4:$D$2015,$B101,'август 2024'!$J$4:$J$2015,R$1)</f>
        <v>0</v>
      </c>
      <c r="S101" s="80">
        <f>SUMIFS('август 2024'!$G$4:$G$2015,'август 2024'!$D$4:$D$2015,$B101,'август 2024'!$J$4:$J$2015,S$1)</f>
        <v>0</v>
      </c>
      <c r="T101" s="80">
        <f>SUMIFS('август 2024'!$G$4:$G$2015,'август 2024'!$D$4:$D$2015,$B101,'август 2024'!$J$4:$J$2015,T$1)</f>
        <v>0</v>
      </c>
      <c r="U101" s="80">
        <f>SUMIFS('август 2024'!$G$4:$G$2015,'август 2024'!$D$4:$D$2015,$B101,'август 2024'!$J$4:$J$2015,U$1)</f>
        <v>0</v>
      </c>
      <c r="V101" s="80">
        <f>SUMIFS('август 2024'!$G$4:$G$2015,'август 2024'!$D$4:$D$2015,$B101,'август 2024'!$J$4:$J$2015,V$1)</f>
        <v>0</v>
      </c>
      <c r="W101" s="80">
        <f>SUMIFS('август 2024'!$G$4:$G$2015,'август 2024'!$D$4:$D$2015,$B101,'август 2024'!$J$4:$J$2015,W$1)</f>
        <v>0</v>
      </c>
      <c r="X101" s="80">
        <f>SUMIFS('август 2024'!$G$4:$G$2015,'август 2024'!$D$4:$D$2015,$B101,'август 2024'!$J$4:$J$2015,X$1)</f>
        <v>0</v>
      </c>
      <c r="Y101" s="80">
        <f>SUMIFS('август 2024'!$G$4:$G$2015,'август 2024'!$D$4:$D$2015,$B101,'август 2024'!$J$4:$J$2015,Y$1)</f>
        <v>0</v>
      </c>
      <c r="Z101" s="80">
        <f>SUMIFS('август 2024'!$G$4:$G$2015,'август 2024'!$D$4:$D$2015,$B101,'август 2024'!$J$4:$J$2015,Z$1)</f>
        <v>0</v>
      </c>
      <c r="AA101" s="80">
        <f>SUMIFS('август 2024'!$G$4:$G$2015,'август 2024'!$D$4:$D$2015,$B101,'август 2024'!$J$4:$J$2015,AA$1)</f>
        <v>0</v>
      </c>
      <c r="AB101" s="80">
        <f>SUMIFS('август 2024'!$G$4:$G$2015,'август 2024'!$D$4:$D$2015,$B101,'август 2024'!$J$4:$J$2015,AB$1)</f>
        <v>0</v>
      </c>
      <c r="AC101" s="80">
        <f>SUMIFS('август 2024'!$G$4:$G$2015,'август 2024'!$D$4:$D$2015,$B101,'август 2024'!$J$4:$J$2015,AC$1)</f>
        <v>0</v>
      </c>
      <c r="AD101" s="80">
        <f>SUMIFS('август 2024'!$G$4:$G$2015,'август 2024'!$D$4:$D$2015,$B101,'август 2024'!$J$4:$J$2015,AD$1)</f>
        <v>0</v>
      </c>
      <c r="AE101" s="80">
        <f>SUMIFS('август 2024'!$G$4:$G$2015,'август 2024'!$D$4:$D$2015,$B101,'август 2024'!$J$4:$J$2015,AE$1)</f>
        <v>0</v>
      </c>
      <c r="AF101" s="80">
        <f>SUMIFS('август 2024'!$G$4:$G$2015,'август 2024'!$D$4:$D$2015,$B101,'август 2024'!$J$4:$J$2015,AF$1)</f>
        <v>0</v>
      </c>
      <c r="AG101" s="80">
        <f>SUMIFS('август 2024'!$G$4:$G$2015,'август 2024'!$D$4:$D$2015,$B101,'август 2024'!$J$4:$J$2015,AG$1)</f>
        <v>0</v>
      </c>
      <c r="AH101" s="80">
        <f>SUMIFS('август 2024'!$G$4:$G$2015,'август 2024'!$D$4:$D$2015,$B101,'август 2024'!$J$4:$J$2015,AH$1)</f>
        <v>0</v>
      </c>
      <c r="AI101" s="21">
        <f t="shared" si="1"/>
        <v>0</v>
      </c>
    </row>
    <row r="102" spans="2:35" ht="15" customHeight="1" x14ac:dyDescent="0.25">
      <c r="B102" s="89" t="s">
        <v>324</v>
      </c>
      <c r="C102" s="88">
        <v>180</v>
      </c>
      <c r="D102" s="80">
        <f>SUMIFS('август 2024'!$G$4:$G$2015,'август 2024'!$D$4:$D$2015,$B102,'август 2024'!$J$4:$J$2015,D$1)</f>
        <v>0</v>
      </c>
      <c r="E102" s="80">
        <f>SUMIFS('август 2024'!$G$4:$G$2015,'август 2024'!$D$4:$D$2015,$B102,'август 2024'!$J$4:$J$2015,E$1)</f>
        <v>0</v>
      </c>
      <c r="F102" s="80">
        <f>SUMIFS('август 2024'!$G$4:$G$2015,'август 2024'!$D$4:$D$2015,$B102,'август 2024'!$J$4:$J$2015,F$1)</f>
        <v>0</v>
      </c>
      <c r="G102" s="80">
        <f>SUMIFS('август 2024'!$G$4:$G$2015,'август 2024'!$D$4:$D$2015,$B102,'август 2024'!$J$4:$J$2015,G$1)</f>
        <v>0</v>
      </c>
      <c r="H102" s="80">
        <f>SUMIFS('август 2024'!$G$4:$G$2015,'август 2024'!$D$4:$D$2015,$B102,'август 2024'!$J$4:$J$2015,H$1)</f>
        <v>0</v>
      </c>
      <c r="I102" s="80">
        <f>SUMIFS('август 2024'!$G$4:$G$2015,'август 2024'!$D$4:$D$2015,$B102,'август 2024'!$J$4:$J$2015,I$1)</f>
        <v>0</v>
      </c>
      <c r="J102" s="80">
        <f>SUMIFS('август 2024'!$G$4:$G$2015,'август 2024'!$D$4:$D$2015,$B102,'август 2024'!$J$4:$J$2015,J$1)</f>
        <v>0</v>
      </c>
      <c r="K102" s="80">
        <f>SUMIFS('август 2024'!$G$4:$G$2015,'август 2024'!$D$4:$D$2015,$B102,'август 2024'!$J$4:$J$2015,K$1)</f>
        <v>0</v>
      </c>
      <c r="L102" s="80">
        <f>SUMIFS('август 2024'!$G$4:$G$2015,'август 2024'!$D$4:$D$2015,$B102,'август 2024'!$J$4:$J$2015,L$1)</f>
        <v>0</v>
      </c>
      <c r="M102" s="80">
        <f>SUMIFS('август 2024'!$G$4:$G$2015,'август 2024'!$D$4:$D$2015,$B102,'август 2024'!$J$4:$J$2015,M$1)</f>
        <v>0</v>
      </c>
      <c r="N102" s="80">
        <f>SUMIFS('август 2024'!$G$4:$G$2015,'август 2024'!$D$4:$D$2015,$B102,'август 2024'!$J$4:$J$2015,N$1)</f>
        <v>0</v>
      </c>
      <c r="O102" s="80">
        <f>SUMIFS('август 2024'!$G$4:$G$2015,'август 2024'!$D$4:$D$2015,$B102,'август 2024'!$J$4:$J$2015,O$1)</f>
        <v>0</v>
      </c>
      <c r="P102" s="80">
        <f>SUMIFS('август 2024'!$G$4:$G$2015,'август 2024'!$D$4:$D$2015,$B102,'август 2024'!$J$4:$J$2015,P$1)</f>
        <v>0</v>
      </c>
      <c r="Q102" s="80">
        <f>SUMIFS('август 2024'!$G$4:$G$2015,'август 2024'!$D$4:$D$2015,$B102,'август 2024'!$J$4:$J$2015,Q$1)</f>
        <v>0</v>
      </c>
      <c r="R102" s="80">
        <f>SUMIFS('август 2024'!$G$4:$G$2015,'август 2024'!$D$4:$D$2015,$B102,'август 2024'!$J$4:$J$2015,R$1)</f>
        <v>0</v>
      </c>
      <c r="S102" s="80">
        <f>SUMIFS('август 2024'!$G$4:$G$2015,'август 2024'!$D$4:$D$2015,$B102,'август 2024'!$J$4:$J$2015,S$1)</f>
        <v>0</v>
      </c>
      <c r="T102" s="80">
        <f>SUMIFS('август 2024'!$G$4:$G$2015,'август 2024'!$D$4:$D$2015,$B102,'август 2024'!$J$4:$J$2015,T$1)</f>
        <v>0</v>
      </c>
      <c r="U102" s="80">
        <f>SUMIFS('август 2024'!$G$4:$G$2015,'август 2024'!$D$4:$D$2015,$B102,'август 2024'!$J$4:$J$2015,U$1)</f>
        <v>0</v>
      </c>
      <c r="V102" s="80">
        <f>SUMIFS('август 2024'!$G$4:$G$2015,'август 2024'!$D$4:$D$2015,$B102,'август 2024'!$J$4:$J$2015,V$1)</f>
        <v>0</v>
      </c>
      <c r="W102" s="80">
        <f>SUMIFS('август 2024'!$G$4:$G$2015,'август 2024'!$D$4:$D$2015,$B102,'август 2024'!$J$4:$J$2015,W$1)</f>
        <v>0</v>
      </c>
      <c r="X102" s="80">
        <f>SUMIFS('август 2024'!$G$4:$G$2015,'август 2024'!$D$4:$D$2015,$B102,'август 2024'!$J$4:$J$2015,X$1)</f>
        <v>0</v>
      </c>
      <c r="Y102" s="80">
        <f>SUMIFS('август 2024'!$G$4:$G$2015,'август 2024'!$D$4:$D$2015,$B102,'август 2024'!$J$4:$J$2015,Y$1)</f>
        <v>0</v>
      </c>
      <c r="Z102" s="80">
        <f>SUMIFS('август 2024'!$G$4:$G$2015,'август 2024'!$D$4:$D$2015,$B102,'август 2024'!$J$4:$J$2015,Z$1)</f>
        <v>0</v>
      </c>
      <c r="AA102" s="80">
        <f>SUMIFS('август 2024'!$G$4:$G$2015,'август 2024'!$D$4:$D$2015,$B102,'август 2024'!$J$4:$J$2015,AA$1)</f>
        <v>0</v>
      </c>
      <c r="AB102" s="80">
        <f>SUMIFS('август 2024'!$G$4:$G$2015,'август 2024'!$D$4:$D$2015,$B102,'август 2024'!$J$4:$J$2015,AB$1)</f>
        <v>0</v>
      </c>
      <c r="AC102" s="80">
        <f>SUMIFS('август 2024'!$G$4:$G$2015,'август 2024'!$D$4:$D$2015,$B102,'август 2024'!$J$4:$J$2015,AC$1)</f>
        <v>0</v>
      </c>
      <c r="AD102" s="80">
        <f>SUMIFS('август 2024'!$G$4:$G$2015,'август 2024'!$D$4:$D$2015,$B102,'август 2024'!$J$4:$J$2015,AD$1)</f>
        <v>0</v>
      </c>
      <c r="AE102" s="80">
        <f>SUMIFS('август 2024'!$G$4:$G$2015,'август 2024'!$D$4:$D$2015,$B102,'август 2024'!$J$4:$J$2015,AE$1)</f>
        <v>0</v>
      </c>
      <c r="AF102" s="80">
        <f>SUMIFS('август 2024'!$G$4:$G$2015,'август 2024'!$D$4:$D$2015,$B102,'август 2024'!$J$4:$J$2015,AF$1)</f>
        <v>0</v>
      </c>
      <c r="AG102" s="80">
        <f>SUMIFS('август 2024'!$G$4:$G$2015,'август 2024'!$D$4:$D$2015,$B102,'август 2024'!$J$4:$J$2015,AG$1)</f>
        <v>0</v>
      </c>
      <c r="AH102" s="80">
        <f>SUMIFS('август 2024'!$G$4:$G$2015,'август 2024'!$D$4:$D$2015,$B102,'август 2024'!$J$4:$J$2015,AH$1)</f>
        <v>0</v>
      </c>
      <c r="AI102" s="21">
        <f t="shared" si="1"/>
        <v>0</v>
      </c>
    </row>
    <row r="103" spans="2:35" ht="15" customHeight="1" x14ac:dyDescent="0.25">
      <c r="B103" s="93" t="s">
        <v>325</v>
      </c>
      <c r="C103" s="91">
        <v>200</v>
      </c>
      <c r="D103" s="80">
        <f>SUMIFS('август 2024'!$G$4:$G$2015,'август 2024'!$D$4:$D$2015,$B103,'август 2024'!$J$4:$J$2015,D$1)</f>
        <v>0</v>
      </c>
      <c r="E103" s="80">
        <f>SUMIFS('август 2024'!$G$4:$G$2015,'август 2024'!$D$4:$D$2015,$B103,'август 2024'!$J$4:$J$2015,E$1)</f>
        <v>0</v>
      </c>
      <c r="F103" s="80">
        <f>SUMIFS('август 2024'!$G$4:$G$2015,'август 2024'!$D$4:$D$2015,$B103,'август 2024'!$J$4:$J$2015,F$1)</f>
        <v>0</v>
      </c>
      <c r="G103" s="80">
        <f>SUMIFS('август 2024'!$G$4:$G$2015,'август 2024'!$D$4:$D$2015,$B103,'август 2024'!$J$4:$J$2015,G$1)</f>
        <v>0</v>
      </c>
      <c r="H103" s="80">
        <f>SUMIFS('август 2024'!$G$4:$G$2015,'август 2024'!$D$4:$D$2015,$B103,'август 2024'!$J$4:$J$2015,H$1)</f>
        <v>0</v>
      </c>
      <c r="I103" s="80">
        <f>SUMIFS('август 2024'!$G$4:$G$2015,'август 2024'!$D$4:$D$2015,$B103,'август 2024'!$J$4:$J$2015,I$1)</f>
        <v>0</v>
      </c>
      <c r="J103" s="80">
        <f>SUMIFS('август 2024'!$G$4:$G$2015,'август 2024'!$D$4:$D$2015,$B103,'август 2024'!$J$4:$J$2015,J$1)</f>
        <v>0</v>
      </c>
      <c r="K103" s="80">
        <f>SUMIFS('август 2024'!$G$4:$G$2015,'август 2024'!$D$4:$D$2015,$B103,'август 2024'!$J$4:$J$2015,K$1)</f>
        <v>0</v>
      </c>
      <c r="L103" s="80">
        <f>SUMIFS('август 2024'!$G$4:$G$2015,'август 2024'!$D$4:$D$2015,$B103,'август 2024'!$J$4:$J$2015,L$1)</f>
        <v>0</v>
      </c>
      <c r="M103" s="80">
        <f>SUMIFS('август 2024'!$G$4:$G$2015,'август 2024'!$D$4:$D$2015,$B103,'август 2024'!$J$4:$J$2015,M$1)</f>
        <v>0</v>
      </c>
      <c r="N103" s="80">
        <f>SUMIFS('август 2024'!$G$4:$G$2015,'август 2024'!$D$4:$D$2015,$B103,'август 2024'!$J$4:$J$2015,N$1)</f>
        <v>0</v>
      </c>
      <c r="O103" s="80">
        <f>SUMIFS('август 2024'!$G$4:$G$2015,'август 2024'!$D$4:$D$2015,$B103,'август 2024'!$J$4:$J$2015,O$1)</f>
        <v>0</v>
      </c>
      <c r="P103" s="80">
        <f>SUMIFS('август 2024'!$G$4:$G$2015,'август 2024'!$D$4:$D$2015,$B103,'август 2024'!$J$4:$J$2015,P$1)</f>
        <v>0</v>
      </c>
      <c r="Q103" s="80">
        <f>SUMIFS('август 2024'!$G$4:$G$2015,'август 2024'!$D$4:$D$2015,$B103,'август 2024'!$J$4:$J$2015,Q$1)</f>
        <v>0</v>
      </c>
      <c r="R103" s="80">
        <f>SUMIFS('август 2024'!$G$4:$G$2015,'август 2024'!$D$4:$D$2015,$B103,'август 2024'!$J$4:$J$2015,R$1)</f>
        <v>0</v>
      </c>
      <c r="S103" s="80">
        <f>SUMIFS('август 2024'!$G$4:$G$2015,'август 2024'!$D$4:$D$2015,$B103,'август 2024'!$J$4:$J$2015,S$1)</f>
        <v>0</v>
      </c>
      <c r="T103" s="80">
        <f>SUMIFS('август 2024'!$G$4:$G$2015,'август 2024'!$D$4:$D$2015,$B103,'август 2024'!$J$4:$J$2015,T$1)</f>
        <v>0</v>
      </c>
      <c r="U103" s="80">
        <f>SUMIFS('август 2024'!$G$4:$G$2015,'август 2024'!$D$4:$D$2015,$B103,'август 2024'!$J$4:$J$2015,U$1)</f>
        <v>0</v>
      </c>
      <c r="V103" s="80">
        <f>SUMIFS('август 2024'!$G$4:$G$2015,'август 2024'!$D$4:$D$2015,$B103,'август 2024'!$J$4:$J$2015,V$1)</f>
        <v>0</v>
      </c>
      <c r="W103" s="80">
        <f>SUMIFS('август 2024'!$G$4:$G$2015,'август 2024'!$D$4:$D$2015,$B103,'август 2024'!$J$4:$J$2015,W$1)</f>
        <v>0</v>
      </c>
      <c r="X103" s="80">
        <f>SUMIFS('август 2024'!$G$4:$G$2015,'август 2024'!$D$4:$D$2015,$B103,'август 2024'!$J$4:$J$2015,X$1)</f>
        <v>0</v>
      </c>
      <c r="Y103" s="80">
        <f>SUMIFS('август 2024'!$G$4:$G$2015,'август 2024'!$D$4:$D$2015,$B103,'август 2024'!$J$4:$J$2015,Y$1)</f>
        <v>0</v>
      </c>
      <c r="Z103" s="80">
        <f>SUMIFS('август 2024'!$G$4:$G$2015,'август 2024'!$D$4:$D$2015,$B103,'август 2024'!$J$4:$J$2015,Z$1)</f>
        <v>0</v>
      </c>
      <c r="AA103" s="80">
        <f>SUMIFS('август 2024'!$G$4:$G$2015,'август 2024'!$D$4:$D$2015,$B103,'август 2024'!$J$4:$J$2015,AA$1)</f>
        <v>0</v>
      </c>
      <c r="AB103" s="80">
        <f>SUMIFS('август 2024'!$G$4:$G$2015,'август 2024'!$D$4:$D$2015,$B103,'август 2024'!$J$4:$J$2015,AB$1)</f>
        <v>0</v>
      </c>
      <c r="AC103" s="80">
        <f>SUMIFS('август 2024'!$G$4:$G$2015,'август 2024'!$D$4:$D$2015,$B103,'август 2024'!$J$4:$J$2015,AC$1)</f>
        <v>0</v>
      </c>
      <c r="AD103" s="80">
        <f>SUMIFS('август 2024'!$G$4:$G$2015,'август 2024'!$D$4:$D$2015,$B103,'август 2024'!$J$4:$J$2015,AD$1)</f>
        <v>0</v>
      </c>
      <c r="AE103" s="80">
        <f>SUMIFS('август 2024'!$G$4:$G$2015,'август 2024'!$D$4:$D$2015,$B103,'август 2024'!$J$4:$J$2015,AE$1)</f>
        <v>0</v>
      </c>
      <c r="AF103" s="80">
        <f>SUMIFS('август 2024'!$G$4:$G$2015,'август 2024'!$D$4:$D$2015,$B103,'август 2024'!$J$4:$J$2015,AF$1)</f>
        <v>0</v>
      </c>
      <c r="AG103" s="80">
        <f>SUMIFS('август 2024'!$G$4:$G$2015,'август 2024'!$D$4:$D$2015,$B103,'август 2024'!$J$4:$J$2015,AG$1)</f>
        <v>0</v>
      </c>
      <c r="AH103" s="80">
        <f>SUMIFS('август 2024'!$G$4:$G$2015,'август 2024'!$D$4:$D$2015,$B103,'август 2024'!$J$4:$J$2015,AH$1)</f>
        <v>0</v>
      </c>
      <c r="AI103" s="21">
        <f t="shared" si="1"/>
        <v>0</v>
      </c>
    </row>
    <row r="104" spans="2:35" ht="15" customHeight="1" x14ac:dyDescent="0.25">
      <c r="B104" s="93" t="s">
        <v>190</v>
      </c>
      <c r="C104" s="91">
        <v>200</v>
      </c>
      <c r="D104" s="80">
        <f>SUMIFS('август 2024'!$G$4:$G$2015,'август 2024'!$D$4:$D$2015,$B104,'август 2024'!$J$4:$J$2015,D$1)</f>
        <v>0</v>
      </c>
      <c r="E104" s="80">
        <f>SUMIFS('август 2024'!$G$4:$G$2015,'август 2024'!$D$4:$D$2015,$B104,'август 2024'!$J$4:$J$2015,E$1)</f>
        <v>0</v>
      </c>
      <c r="F104" s="80">
        <f>SUMIFS('август 2024'!$G$4:$G$2015,'август 2024'!$D$4:$D$2015,$B104,'август 2024'!$J$4:$J$2015,F$1)</f>
        <v>0</v>
      </c>
      <c r="G104" s="80">
        <f>SUMIFS('август 2024'!$G$4:$G$2015,'август 2024'!$D$4:$D$2015,$B104,'август 2024'!$J$4:$J$2015,G$1)</f>
        <v>0</v>
      </c>
      <c r="H104" s="80">
        <f>SUMIFS('август 2024'!$G$4:$G$2015,'август 2024'!$D$4:$D$2015,$B104,'август 2024'!$J$4:$J$2015,H$1)</f>
        <v>0</v>
      </c>
      <c r="I104" s="80">
        <f>SUMIFS('август 2024'!$G$4:$G$2015,'август 2024'!$D$4:$D$2015,$B104,'август 2024'!$J$4:$J$2015,I$1)</f>
        <v>0</v>
      </c>
      <c r="J104" s="80">
        <f>SUMIFS('август 2024'!$G$4:$G$2015,'август 2024'!$D$4:$D$2015,$B104,'август 2024'!$J$4:$J$2015,J$1)</f>
        <v>0</v>
      </c>
      <c r="K104" s="80">
        <f>SUMIFS('август 2024'!$G$4:$G$2015,'август 2024'!$D$4:$D$2015,$B104,'август 2024'!$J$4:$J$2015,K$1)</f>
        <v>0</v>
      </c>
      <c r="L104" s="80">
        <f>SUMIFS('август 2024'!$G$4:$G$2015,'август 2024'!$D$4:$D$2015,$B104,'август 2024'!$J$4:$J$2015,L$1)</f>
        <v>0</v>
      </c>
      <c r="M104" s="80">
        <f>SUMIFS('август 2024'!$G$4:$G$2015,'август 2024'!$D$4:$D$2015,$B104,'август 2024'!$J$4:$J$2015,M$1)</f>
        <v>0</v>
      </c>
      <c r="N104" s="80">
        <f>SUMIFS('август 2024'!$G$4:$G$2015,'август 2024'!$D$4:$D$2015,$B104,'август 2024'!$J$4:$J$2015,N$1)</f>
        <v>0</v>
      </c>
      <c r="O104" s="80">
        <f>SUMIFS('август 2024'!$G$4:$G$2015,'август 2024'!$D$4:$D$2015,$B104,'август 2024'!$J$4:$J$2015,O$1)</f>
        <v>0</v>
      </c>
      <c r="P104" s="80">
        <f>SUMIFS('август 2024'!$G$4:$G$2015,'август 2024'!$D$4:$D$2015,$B104,'август 2024'!$J$4:$J$2015,P$1)</f>
        <v>0</v>
      </c>
      <c r="Q104" s="80">
        <f>SUMIFS('август 2024'!$G$4:$G$2015,'август 2024'!$D$4:$D$2015,$B104,'август 2024'!$J$4:$J$2015,Q$1)</f>
        <v>0</v>
      </c>
      <c r="R104" s="80">
        <f>SUMIFS('август 2024'!$G$4:$G$2015,'август 2024'!$D$4:$D$2015,$B104,'август 2024'!$J$4:$J$2015,R$1)</f>
        <v>0</v>
      </c>
      <c r="S104" s="80">
        <f>SUMIFS('август 2024'!$G$4:$G$2015,'август 2024'!$D$4:$D$2015,$B104,'август 2024'!$J$4:$J$2015,S$1)</f>
        <v>0</v>
      </c>
      <c r="T104" s="80">
        <f>SUMIFS('август 2024'!$G$4:$G$2015,'август 2024'!$D$4:$D$2015,$B104,'август 2024'!$J$4:$J$2015,T$1)</f>
        <v>0</v>
      </c>
      <c r="U104" s="80">
        <f>SUMIFS('август 2024'!$G$4:$G$2015,'август 2024'!$D$4:$D$2015,$B104,'август 2024'!$J$4:$J$2015,U$1)</f>
        <v>0</v>
      </c>
      <c r="V104" s="80">
        <f>SUMIFS('август 2024'!$G$4:$G$2015,'август 2024'!$D$4:$D$2015,$B104,'август 2024'!$J$4:$J$2015,V$1)</f>
        <v>0</v>
      </c>
      <c r="W104" s="80">
        <f>SUMIFS('август 2024'!$G$4:$G$2015,'август 2024'!$D$4:$D$2015,$B104,'август 2024'!$J$4:$J$2015,W$1)</f>
        <v>0</v>
      </c>
      <c r="X104" s="80">
        <f>SUMIFS('август 2024'!$G$4:$G$2015,'август 2024'!$D$4:$D$2015,$B104,'август 2024'!$J$4:$J$2015,X$1)</f>
        <v>0</v>
      </c>
      <c r="Y104" s="80">
        <f>SUMIFS('август 2024'!$G$4:$G$2015,'август 2024'!$D$4:$D$2015,$B104,'август 2024'!$J$4:$J$2015,Y$1)</f>
        <v>0</v>
      </c>
      <c r="Z104" s="80">
        <f>SUMIFS('август 2024'!$G$4:$G$2015,'август 2024'!$D$4:$D$2015,$B104,'август 2024'!$J$4:$J$2015,Z$1)</f>
        <v>0</v>
      </c>
      <c r="AA104" s="80">
        <f>SUMIFS('август 2024'!$G$4:$G$2015,'август 2024'!$D$4:$D$2015,$B104,'август 2024'!$J$4:$J$2015,AA$1)</f>
        <v>0</v>
      </c>
      <c r="AB104" s="80">
        <f>SUMIFS('август 2024'!$G$4:$G$2015,'август 2024'!$D$4:$D$2015,$B104,'август 2024'!$J$4:$J$2015,AB$1)</f>
        <v>0</v>
      </c>
      <c r="AC104" s="80">
        <f>SUMIFS('август 2024'!$G$4:$G$2015,'август 2024'!$D$4:$D$2015,$B104,'август 2024'!$J$4:$J$2015,AC$1)</f>
        <v>0</v>
      </c>
      <c r="AD104" s="80">
        <f>SUMIFS('август 2024'!$G$4:$G$2015,'август 2024'!$D$4:$D$2015,$B104,'август 2024'!$J$4:$J$2015,AD$1)</f>
        <v>0</v>
      </c>
      <c r="AE104" s="80">
        <f>SUMIFS('август 2024'!$G$4:$G$2015,'август 2024'!$D$4:$D$2015,$B104,'август 2024'!$J$4:$J$2015,AE$1)</f>
        <v>0</v>
      </c>
      <c r="AF104" s="80">
        <f>SUMIFS('август 2024'!$G$4:$G$2015,'август 2024'!$D$4:$D$2015,$B104,'август 2024'!$J$4:$J$2015,AF$1)</f>
        <v>0</v>
      </c>
      <c r="AG104" s="80">
        <f>SUMIFS('август 2024'!$G$4:$G$2015,'август 2024'!$D$4:$D$2015,$B104,'август 2024'!$J$4:$J$2015,AG$1)</f>
        <v>0</v>
      </c>
      <c r="AH104" s="80">
        <f>SUMIFS('август 2024'!$G$4:$G$2015,'август 2024'!$D$4:$D$2015,$B104,'август 2024'!$J$4:$J$2015,AH$1)</f>
        <v>0</v>
      </c>
      <c r="AI104" s="21">
        <f t="shared" si="1"/>
        <v>0</v>
      </c>
    </row>
    <row r="105" spans="2:35" ht="15" customHeight="1" x14ac:dyDescent="0.25">
      <c r="B105" s="93" t="s">
        <v>326</v>
      </c>
      <c r="C105" s="91">
        <v>200</v>
      </c>
      <c r="D105" s="80">
        <f>SUMIFS('август 2024'!$G$4:$G$2015,'август 2024'!$D$4:$D$2015,$B105,'август 2024'!$J$4:$J$2015,D$1)</f>
        <v>0</v>
      </c>
      <c r="E105" s="80">
        <f>SUMIFS('август 2024'!$G$4:$G$2015,'август 2024'!$D$4:$D$2015,$B105,'август 2024'!$J$4:$J$2015,E$1)</f>
        <v>0</v>
      </c>
      <c r="F105" s="80">
        <f>SUMIFS('август 2024'!$G$4:$G$2015,'август 2024'!$D$4:$D$2015,$B105,'август 2024'!$J$4:$J$2015,F$1)</f>
        <v>0</v>
      </c>
      <c r="G105" s="80">
        <f>SUMIFS('август 2024'!$G$4:$G$2015,'август 2024'!$D$4:$D$2015,$B105,'август 2024'!$J$4:$J$2015,G$1)</f>
        <v>0</v>
      </c>
      <c r="H105" s="80">
        <f>SUMIFS('август 2024'!$G$4:$G$2015,'август 2024'!$D$4:$D$2015,$B105,'август 2024'!$J$4:$J$2015,H$1)</f>
        <v>0</v>
      </c>
      <c r="I105" s="80">
        <f>SUMIFS('август 2024'!$G$4:$G$2015,'август 2024'!$D$4:$D$2015,$B105,'август 2024'!$J$4:$J$2015,I$1)</f>
        <v>0</v>
      </c>
      <c r="J105" s="80">
        <f>SUMIFS('август 2024'!$G$4:$G$2015,'август 2024'!$D$4:$D$2015,$B105,'август 2024'!$J$4:$J$2015,J$1)</f>
        <v>0</v>
      </c>
      <c r="K105" s="80">
        <f>SUMIFS('август 2024'!$G$4:$G$2015,'август 2024'!$D$4:$D$2015,$B105,'август 2024'!$J$4:$J$2015,K$1)</f>
        <v>0</v>
      </c>
      <c r="L105" s="80">
        <f>SUMIFS('август 2024'!$G$4:$G$2015,'август 2024'!$D$4:$D$2015,$B105,'август 2024'!$J$4:$J$2015,L$1)</f>
        <v>0</v>
      </c>
      <c r="M105" s="80">
        <f>SUMIFS('август 2024'!$G$4:$G$2015,'август 2024'!$D$4:$D$2015,$B105,'август 2024'!$J$4:$J$2015,M$1)</f>
        <v>0</v>
      </c>
      <c r="N105" s="80">
        <f>SUMIFS('август 2024'!$G$4:$G$2015,'август 2024'!$D$4:$D$2015,$B105,'август 2024'!$J$4:$J$2015,N$1)</f>
        <v>0</v>
      </c>
      <c r="O105" s="80">
        <f>SUMIFS('август 2024'!$G$4:$G$2015,'август 2024'!$D$4:$D$2015,$B105,'август 2024'!$J$4:$J$2015,O$1)</f>
        <v>0</v>
      </c>
      <c r="P105" s="80">
        <f>SUMIFS('август 2024'!$G$4:$G$2015,'август 2024'!$D$4:$D$2015,$B105,'август 2024'!$J$4:$J$2015,P$1)</f>
        <v>0</v>
      </c>
      <c r="Q105" s="80">
        <f>SUMIFS('август 2024'!$G$4:$G$2015,'август 2024'!$D$4:$D$2015,$B105,'август 2024'!$J$4:$J$2015,Q$1)</f>
        <v>0</v>
      </c>
      <c r="R105" s="80">
        <f>SUMIFS('август 2024'!$G$4:$G$2015,'август 2024'!$D$4:$D$2015,$B105,'август 2024'!$J$4:$J$2015,R$1)</f>
        <v>0</v>
      </c>
      <c r="S105" s="80">
        <f>SUMIFS('август 2024'!$G$4:$G$2015,'август 2024'!$D$4:$D$2015,$B105,'август 2024'!$J$4:$J$2015,S$1)</f>
        <v>0</v>
      </c>
      <c r="T105" s="80">
        <f>SUMIFS('август 2024'!$G$4:$G$2015,'август 2024'!$D$4:$D$2015,$B105,'август 2024'!$J$4:$J$2015,T$1)</f>
        <v>0</v>
      </c>
      <c r="U105" s="80">
        <f>SUMIFS('август 2024'!$G$4:$G$2015,'август 2024'!$D$4:$D$2015,$B105,'август 2024'!$J$4:$J$2015,U$1)</f>
        <v>0</v>
      </c>
      <c r="V105" s="80">
        <f>SUMIFS('август 2024'!$G$4:$G$2015,'август 2024'!$D$4:$D$2015,$B105,'август 2024'!$J$4:$J$2015,V$1)</f>
        <v>0</v>
      </c>
      <c r="W105" s="80">
        <f>SUMIFS('август 2024'!$G$4:$G$2015,'август 2024'!$D$4:$D$2015,$B105,'август 2024'!$J$4:$J$2015,W$1)</f>
        <v>0</v>
      </c>
      <c r="X105" s="80">
        <f>SUMIFS('август 2024'!$G$4:$G$2015,'август 2024'!$D$4:$D$2015,$B105,'август 2024'!$J$4:$J$2015,X$1)</f>
        <v>0</v>
      </c>
      <c r="Y105" s="80">
        <f>SUMIFS('август 2024'!$G$4:$G$2015,'август 2024'!$D$4:$D$2015,$B105,'август 2024'!$J$4:$J$2015,Y$1)</f>
        <v>0</v>
      </c>
      <c r="Z105" s="80">
        <f>SUMIFS('август 2024'!$G$4:$G$2015,'август 2024'!$D$4:$D$2015,$B105,'август 2024'!$J$4:$J$2015,Z$1)</f>
        <v>0</v>
      </c>
      <c r="AA105" s="80">
        <f>SUMIFS('август 2024'!$G$4:$G$2015,'август 2024'!$D$4:$D$2015,$B105,'август 2024'!$J$4:$J$2015,AA$1)</f>
        <v>0</v>
      </c>
      <c r="AB105" s="80">
        <f>SUMIFS('август 2024'!$G$4:$G$2015,'август 2024'!$D$4:$D$2015,$B105,'август 2024'!$J$4:$J$2015,AB$1)</f>
        <v>0</v>
      </c>
      <c r="AC105" s="80">
        <f>SUMIFS('август 2024'!$G$4:$G$2015,'август 2024'!$D$4:$D$2015,$B105,'август 2024'!$J$4:$J$2015,AC$1)</f>
        <v>0</v>
      </c>
      <c r="AD105" s="80">
        <f>SUMIFS('август 2024'!$G$4:$G$2015,'август 2024'!$D$4:$D$2015,$B105,'август 2024'!$J$4:$J$2015,AD$1)</f>
        <v>0</v>
      </c>
      <c r="AE105" s="80">
        <f>SUMIFS('август 2024'!$G$4:$G$2015,'август 2024'!$D$4:$D$2015,$B105,'август 2024'!$J$4:$J$2015,AE$1)</f>
        <v>0</v>
      </c>
      <c r="AF105" s="80">
        <f>SUMIFS('август 2024'!$G$4:$G$2015,'август 2024'!$D$4:$D$2015,$B105,'август 2024'!$J$4:$J$2015,AF$1)</f>
        <v>0</v>
      </c>
      <c r="AG105" s="80">
        <f>SUMIFS('август 2024'!$G$4:$G$2015,'август 2024'!$D$4:$D$2015,$B105,'август 2024'!$J$4:$J$2015,AG$1)</f>
        <v>0</v>
      </c>
      <c r="AH105" s="80">
        <f>SUMIFS('август 2024'!$G$4:$G$2015,'август 2024'!$D$4:$D$2015,$B105,'август 2024'!$J$4:$J$2015,AH$1)</f>
        <v>0</v>
      </c>
      <c r="AI105" s="21">
        <f t="shared" si="1"/>
        <v>0</v>
      </c>
    </row>
    <row r="106" spans="2:35" ht="15" customHeight="1" x14ac:dyDescent="0.25">
      <c r="B106" s="93" t="s">
        <v>327</v>
      </c>
      <c r="C106" s="91">
        <v>200</v>
      </c>
      <c r="D106" s="80">
        <f>SUMIFS('август 2024'!$G$4:$G$2015,'август 2024'!$D$4:$D$2015,$B106,'август 2024'!$J$4:$J$2015,D$1)</f>
        <v>0</v>
      </c>
      <c r="E106" s="80">
        <f>SUMIFS('август 2024'!$G$4:$G$2015,'август 2024'!$D$4:$D$2015,$B106,'август 2024'!$J$4:$J$2015,E$1)</f>
        <v>0</v>
      </c>
      <c r="F106" s="80">
        <f>SUMIFS('август 2024'!$G$4:$G$2015,'август 2024'!$D$4:$D$2015,$B106,'август 2024'!$J$4:$J$2015,F$1)</f>
        <v>0</v>
      </c>
      <c r="G106" s="80">
        <f>SUMIFS('август 2024'!$G$4:$G$2015,'август 2024'!$D$4:$D$2015,$B106,'август 2024'!$J$4:$J$2015,G$1)</f>
        <v>0</v>
      </c>
      <c r="H106" s="80">
        <f>SUMIFS('август 2024'!$G$4:$G$2015,'август 2024'!$D$4:$D$2015,$B106,'август 2024'!$J$4:$J$2015,H$1)</f>
        <v>0</v>
      </c>
      <c r="I106" s="80">
        <f>SUMIFS('август 2024'!$G$4:$G$2015,'август 2024'!$D$4:$D$2015,$B106,'август 2024'!$J$4:$J$2015,I$1)</f>
        <v>0</v>
      </c>
      <c r="J106" s="80">
        <f>SUMIFS('август 2024'!$G$4:$G$2015,'август 2024'!$D$4:$D$2015,$B106,'август 2024'!$J$4:$J$2015,J$1)</f>
        <v>0</v>
      </c>
      <c r="K106" s="80">
        <f>SUMIFS('август 2024'!$G$4:$G$2015,'август 2024'!$D$4:$D$2015,$B106,'август 2024'!$J$4:$J$2015,K$1)</f>
        <v>0</v>
      </c>
      <c r="L106" s="80">
        <f>SUMIFS('август 2024'!$G$4:$G$2015,'август 2024'!$D$4:$D$2015,$B106,'август 2024'!$J$4:$J$2015,L$1)</f>
        <v>0</v>
      </c>
      <c r="M106" s="80">
        <f>SUMIFS('август 2024'!$G$4:$G$2015,'август 2024'!$D$4:$D$2015,$B106,'август 2024'!$J$4:$J$2015,M$1)</f>
        <v>0</v>
      </c>
      <c r="N106" s="80">
        <f>SUMIFS('август 2024'!$G$4:$G$2015,'август 2024'!$D$4:$D$2015,$B106,'август 2024'!$J$4:$J$2015,N$1)</f>
        <v>0</v>
      </c>
      <c r="O106" s="80">
        <f>SUMIFS('август 2024'!$G$4:$G$2015,'август 2024'!$D$4:$D$2015,$B106,'август 2024'!$J$4:$J$2015,O$1)</f>
        <v>0</v>
      </c>
      <c r="P106" s="80">
        <f>SUMIFS('август 2024'!$G$4:$G$2015,'август 2024'!$D$4:$D$2015,$B106,'август 2024'!$J$4:$J$2015,P$1)</f>
        <v>0</v>
      </c>
      <c r="Q106" s="80">
        <f>SUMIFS('август 2024'!$G$4:$G$2015,'август 2024'!$D$4:$D$2015,$B106,'август 2024'!$J$4:$J$2015,Q$1)</f>
        <v>0</v>
      </c>
      <c r="R106" s="80">
        <f>SUMIFS('август 2024'!$G$4:$G$2015,'август 2024'!$D$4:$D$2015,$B106,'август 2024'!$J$4:$J$2015,R$1)</f>
        <v>0</v>
      </c>
      <c r="S106" s="80">
        <f>SUMIFS('август 2024'!$G$4:$G$2015,'август 2024'!$D$4:$D$2015,$B106,'август 2024'!$J$4:$J$2015,S$1)</f>
        <v>0</v>
      </c>
      <c r="T106" s="80">
        <f>SUMIFS('август 2024'!$G$4:$G$2015,'август 2024'!$D$4:$D$2015,$B106,'август 2024'!$J$4:$J$2015,T$1)</f>
        <v>0</v>
      </c>
      <c r="U106" s="80">
        <f>SUMIFS('август 2024'!$G$4:$G$2015,'август 2024'!$D$4:$D$2015,$B106,'август 2024'!$J$4:$J$2015,U$1)</f>
        <v>0</v>
      </c>
      <c r="V106" s="80">
        <f>SUMIFS('август 2024'!$G$4:$G$2015,'август 2024'!$D$4:$D$2015,$B106,'август 2024'!$J$4:$J$2015,V$1)</f>
        <v>0</v>
      </c>
      <c r="W106" s="80">
        <f>SUMIFS('август 2024'!$G$4:$G$2015,'август 2024'!$D$4:$D$2015,$B106,'август 2024'!$J$4:$J$2015,W$1)</f>
        <v>0</v>
      </c>
      <c r="X106" s="80">
        <f>SUMIFS('август 2024'!$G$4:$G$2015,'август 2024'!$D$4:$D$2015,$B106,'август 2024'!$J$4:$J$2015,X$1)</f>
        <v>0</v>
      </c>
      <c r="Y106" s="80">
        <f>SUMIFS('август 2024'!$G$4:$G$2015,'август 2024'!$D$4:$D$2015,$B106,'август 2024'!$J$4:$J$2015,Y$1)</f>
        <v>0</v>
      </c>
      <c r="Z106" s="80">
        <f>SUMIFS('август 2024'!$G$4:$G$2015,'август 2024'!$D$4:$D$2015,$B106,'август 2024'!$J$4:$J$2015,Z$1)</f>
        <v>0</v>
      </c>
      <c r="AA106" s="80">
        <f>SUMIFS('август 2024'!$G$4:$G$2015,'август 2024'!$D$4:$D$2015,$B106,'август 2024'!$J$4:$J$2015,AA$1)</f>
        <v>0</v>
      </c>
      <c r="AB106" s="80">
        <f>SUMIFS('август 2024'!$G$4:$G$2015,'август 2024'!$D$4:$D$2015,$B106,'август 2024'!$J$4:$J$2015,AB$1)</f>
        <v>0</v>
      </c>
      <c r="AC106" s="80">
        <f>SUMIFS('август 2024'!$G$4:$G$2015,'август 2024'!$D$4:$D$2015,$B106,'август 2024'!$J$4:$J$2015,AC$1)</f>
        <v>0</v>
      </c>
      <c r="AD106" s="80">
        <f>SUMIFS('август 2024'!$G$4:$G$2015,'август 2024'!$D$4:$D$2015,$B106,'август 2024'!$J$4:$J$2015,AD$1)</f>
        <v>0</v>
      </c>
      <c r="AE106" s="80">
        <f>SUMIFS('август 2024'!$G$4:$G$2015,'август 2024'!$D$4:$D$2015,$B106,'август 2024'!$J$4:$J$2015,AE$1)</f>
        <v>0</v>
      </c>
      <c r="AF106" s="80">
        <f>SUMIFS('август 2024'!$G$4:$G$2015,'август 2024'!$D$4:$D$2015,$B106,'август 2024'!$J$4:$J$2015,AF$1)</f>
        <v>0</v>
      </c>
      <c r="AG106" s="80">
        <f>SUMIFS('август 2024'!$G$4:$G$2015,'август 2024'!$D$4:$D$2015,$B106,'август 2024'!$J$4:$J$2015,AG$1)</f>
        <v>0</v>
      </c>
      <c r="AH106" s="80">
        <f>SUMIFS('август 2024'!$G$4:$G$2015,'август 2024'!$D$4:$D$2015,$B106,'август 2024'!$J$4:$J$2015,AH$1)</f>
        <v>0</v>
      </c>
      <c r="AI106" s="21">
        <f t="shared" si="1"/>
        <v>0</v>
      </c>
    </row>
    <row r="107" spans="2:35" ht="15" customHeight="1" x14ac:dyDescent="0.25">
      <c r="B107" s="89" t="s">
        <v>223</v>
      </c>
      <c r="C107" s="88">
        <v>25</v>
      </c>
      <c r="D107" s="80">
        <f>SUMIFS('август 2024'!$G$4:$G$2015,'август 2024'!$D$4:$D$2015,$B107,'август 2024'!$J$4:$J$2015,D$1)</f>
        <v>0</v>
      </c>
      <c r="E107" s="80">
        <f>SUMIFS('август 2024'!$G$4:$G$2015,'август 2024'!$D$4:$D$2015,$B107,'август 2024'!$J$4:$J$2015,E$1)</f>
        <v>0</v>
      </c>
      <c r="F107" s="80">
        <f>SUMIFS('август 2024'!$G$4:$G$2015,'август 2024'!$D$4:$D$2015,$B107,'август 2024'!$J$4:$J$2015,F$1)</f>
        <v>0</v>
      </c>
      <c r="G107" s="80">
        <f>SUMIFS('август 2024'!$G$4:$G$2015,'август 2024'!$D$4:$D$2015,$B107,'август 2024'!$J$4:$J$2015,G$1)</f>
        <v>0</v>
      </c>
      <c r="H107" s="80">
        <f>SUMIFS('август 2024'!$G$4:$G$2015,'август 2024'!$D$4:$D$2015,$B107,'август 2024'!$J$4:$J$2015,H$1)</f>
        <v>0</v>
      </c>
      <c r="I107" s="80">
        <f>SUMIFS('август 2024'!$G$4:$G$2015,'август 2024'!$D$4:$D$2015,$B107,'август 2024'!$J$4:$J$2015,I$1)</f>
        <v>0</v>
      </c>
      <c r="J107" s="80">
        <f>SUMIFS('август 2024'!$G$4:$G$2015,'август 2024'!$D$4:$D$2015,$B107,'август 2024'!$J$4:$J$2015,J$1)</f>
        <v>0</v>
      </c>
      <c r="K107" s="80">
        <f>SUMIFS('август 2024'!$G$4:$G$2015,'август 2024'!$D$4:$D$2015,$B107,'август 2024'!$J$4:$J$2015,K$1)</f>
        <v>0</v>
      </c>
      <c r="L107" s="80">
        <f>SUMIFS('август 2024'!$G$4:$G$2015,'август 2024'!$D$4:$D$2015,$B107,'август 2024'!$J$4:$J$2015,L$1)</f>
        <v>0</v>
      </c>
      <c r="M107" s="80">
        <f>SUMIFS('август 2024'!$G$4:$G$2015,'август 2024'!$D$4:$D$2015,$B107,'август 2024'!$J$4:$J$2015,M$1)</f>
        <v>0</v>
      </c>
      <c r="N107" s="80">
        <f>SUMIFS('август 2024'!$G$4:$G$2015,'август 2024'!$D$4:$D$2015,$B107,'август 2024'!$J$4:$J$2015,N$1)</f>
        <v>0</v>
      </c>
      <c r="O107" s="80">
        <f>SUMIFS('август 2024'!$G$4:$G$2015,'август 2024'!$D$4:$D$2015,$B107,'август 2024'!$J$4:$J$2015,O$1)</f>
        <v>0</v>
      </c>
      <c r="P107" s="80">
        <f>SUMIFS('август 2024'!$G$4:$G$2015,'август 2024'!$D$4:$D$2015,$B107,'август 2024'!$J$4:$J$2015,P$1)</f>
        <v>0</v>
      </c>
      <c r="Q107" s="80">
        <f>SUMIFS('август 2024'!$G$4:$G$2015,'август 2024'!$D$4:$D$2015,$B107,'август 2024'!$J$4:$J$2015,Q$1)</f>
        <v>0</v>
      </c>
      <c r="R107" s="80">
        <f>SUMIFS('август 2024'!$G$4:$G$2015,'август 2024'!$D$4:$D$2015,$B107,'август 2024'!$J$4:$J$2015,R$1)</f>
        <v>0</v>
      </c>
      <c r="S107" s="80">
        <f>SUMIFS('август 2024'!$G$4:$G$2015,'август 2024'!$D$4:$D$2015,$B107,'август 2024'!$J$4:$J$2015,S$1)</f>
        <v>0</v>
      </c>
      <c r="T107" s="80">
        <f>SUMIFS('август 2024'!$G$4:$G$2015,'август 2024'!$D$4:$D$2015,$B107,'август 2024'!$J$4:$J$2015,T$1)</f>
        <v>0</v>
      </c>
      <c r="U107" s="80">
        <f>SUMIFS('август 2024'!$G$4:$G$2015,'август 2024'!$D$4:$D$2015,$B107,'август 2024'!$J$4:$J$2015,U$1)</f>
        <v>0</v>
      </c>
      <c r="V107" s="80">
        <f>SUMIFS('август 2024'!$G$4:$G$2015,'август 2024'!$D$4:$D$2015,$B107,'август 2024'!$J$4:$J$2015,V$1)</f>
        <v>0</v>
      </c>
      <c r="W107" s="80">
        <f>SUMIFS('август 2024'!$G$4:$G$2015,'август 2024'!$D$4:$D$2015,$B107,'август 2024'!$J$4:$J$2015,W$1)</f>
        <v>0</v>
      </c>
      <c r="X107" s="80">
        <f>SUMIFS('август 2024'!$G$4:$G$2015,'август 2024'!$D$4:$D$2015,$B107,'август 2024'!$J$4:$J$2015,X$1)</f>
        <v>0</v>
      </c>
      <c r="Y107" s="80">
        <f>SUMIFS('август 2024'!$G$4:$G$2015,'август 2024'!$D$4:$D$2015,$B107,'август 2024'!$J$4:$J$2015,Y$1)</f>
        <v>0</v>
      </c>
      <c r="Z107" s="80">
        <f>SUMIFS('август 2024'!$G$4:$G$2015,'август 2024'!$D$4:$D$2015,$B107,'август 2024'!$J$4:$J$2015,Z$1)</f>
        <v>0</v>
      </c>
      <c r="AA107" s="80">
        <f>SUMIFS('август 2024'!$G$4:$G$2015,'август 2024'!$D$4:$D$2015,$B107,'август 2024'!$J$4:$J$2015,AA$1)</f>
        <v>0</v>
      </c>
      <c r="AB107" s="80">
        <f>SUMIFS('август 2024'!$G$4:$G$2015,'август 2024'!$D$4:$D$2015,$B107,'август 2024'!$J$4:$J$2015,AB$1)</f>
        <v>0</v>
      </c>
      <c r="AC107" s="80">
        <f>SUMIFS('август 2024'!$G$4:$G$2015,'август 2024'!$D$4:$D$2015,$B107,'август 2024'!$J$4:$J$2015,AC$1)</f>
        <v>0</v>
      </c>
      <c r="AD107" s="80">
        <f>SUMIFS('август 2024'!$G$4:$G$2015,'август 2024'!$D$4:$D$2015,$B107,'август 2024'!$J$4:$J$2015,AD$1)</f>
        <v>0</v>
      </c>
      <c r="AE107" s="80">
        <f>SUMIFS('август 2024'!$G$4:$G$2015,'август 2024'!$D$4:$D$2015,$B107,'август 2024'!$J$4:$J$2015,AE$1)</f>
        <v>0</v>
      </c>
      <c r="AF107" s="80">
        <f>SUMIFS('август 2024'!$G$4:$G$2015,'август 2024'!$D$4:$D$2015,$B107,'август 2024'!$J$4:$J$2015,AF$1)</f>
        <v>0</v>
      </c>
      <c r="AG107" s="80">
        <f>SUMIFS('август 2024'!$G$4:$G$2015,'август 2024'!$D$4:$D$2015,$B107,'август 2024'!$J$4:$J$2015,AG$1)</f>
        <v>0</v>
      </c>
      <c r="AH107" s="80">
        <f>SUMIFS('август 2024'!$G$4:$G$2015,'август 2024'!$D$4:$D$2015,$B107,'август 2024'!$J$4:$J$2015,AH$1)</f>
        <v>0</v>
      </c>
      <c r="AI107" s="21">
        <f t="shared" si="1"/>
        <v>0</v>
      </c>
    </row>
    <row r="108" spans="2:35" ht="15" customHeight="1" x14ac:dyDescent="0.25">
      <c r="B108" s="93" t="s">
        <v>328</v>
      </c>
      <c r="C108" s="91">
        <v>50</v>
      </c>
      <c r="D108" s="80">
        <f>SUMIFS('август 2024'!$G$4:$G$2015,'август 2024'!$D$4:$D$2015,$B108,'август 2024'!$J$4:$J$2015,D$1)</f>
        <v>0</v>
      </c>
      <c r="E108" s="80">
        <f>SUMIFS('август 2024'!$G$4:$G$2015,'август 2024'!$D$4:$D$2015,$B108,'август 2024'!$J$4:$J$2015,E$1)</f>
        <v>0</v>
      </c>
      <c r="F108" s="80">
        <f>SUMIFS('август 2024'!$G$4:$G$2015,'август 2024'!$D$4:$D$2015,$B108,'август 2024'!$J$4:$J$2015,F$1)</f>
        <v>0</v>
      </c>
      <c r="G108" s="80">
        <f>SUMIFS('август 2024'!$G$4:$G$2015,'август 2024'!$D$4:$D$2015,$B108,'август 2024'!$J$4:$J$2015,G$1)</f>
        <v>0</v>
      </c>
      <c r="H108" s="80">
        <f>SUMIFS('август 2024'!$G$4:$G$2015,'август 2024'!$D$4:$D$2015,$B108,'август 2024'!$J$4:$J$2015,H$1)</f>
        <v>0</v>
      </c>
      <c r="I108" s="80">
        <f>SUMIFS('август 2024'!$G$4:$G$2015,'август 2024'!$D$4:$D$2015,$B108,'август 2024'!$J$4:$J$2015,I$1)</f>
        <v>0</v>
      </c>
      <c r="J108" s="80">
        <f>SUMIFS('август 2024'!$G$4:$G$2015,'август 2024'!$D$4:$D$2015,$B108,'август 2024'!$J$4:$J$2015,J$1)</f>
        <v>0</v>
      </c>
      <c r="K108" s="80">
        <f>SUMIFS('август 2024'!$G$4:$G$2015,'август 2024'!$D$4:$D$2015,$B108,'август 2024'!$J$4:$J$2015,K$1)</f>
        <v>0</v>
      </c>
      <c r="L108" s="80">
        <f>SUMIFS('август 2024'!$G$4:$G$2015,'август 2024'!$D$4:$D$2015,$B108,'август 2024'!$J$4:$J$2015,L$1)</f>
        <v>0</v>
      </c>
      <c r="M108" s="80">
        <f>SUMIFS('август 2024'!$G$4:$G$2015,'август 2024'!$D$4:$D$2015,$B108,'август 2024'!$J$4:$J$2015,M$1)</f>
        <v>0</v>
      </c>
      <c r="N108" s="80">
        <f>SUMIFS('август 2024'!$G$4:$G$2015,'август 2024'!$D$4:$D$2015,$B108,'август 2024'!$J$4:$J$2015,N$1)</f>
        <v>0</v>
      </c>
      <c r="O108" s="80">
        <f>SUMIFS('август 2024'!$G$4:$G$2015,'август 2024'!$D$4:$D$2015,$B108,'август 2024'!$J$4:$J$2015,O$1)</f>
        <v>0</v>
      </c>
      <c r="P108" s="80">
        <f>SUMIFS('август 2024'!$G$4:$G$2015,'август 2024'!$D$4:$D$2015,$B108,'август 2024'!$J$4:$J$2015,P$1)</f>
        <v>0</v>
      </c>
      <c r="Q108" s="80">
        <f>SUMIFS('август 2024'!$G$4:$G$2015,'август 2024'!$D$4:$D$2015,$B108,'август 2024'!$J$4:$J$2015,Q$1)</f>
        <v>0</v>
      </c>
      <c r="R108" s="80">
        <f>SUMIFS('август 2024'!$G$4:$G$2015,'август 2024'!$D$4:$D$2015,$B108,'август 2024'!$J$4:$J$2015,R$1)</f>
        <v>0</v>
      </c>
      <c r="S108" s="80">
        <f>SUMIFS('август 2024'!$G$4:$G$2015,'август 2024'!$D$4:$D$2015,$B108,'август 2024'!$J$4:$J$2015,S$1)</f>
        <v>0</v>
      </c>
      <c r="T108" s="80">
        <f>SUMIFS('август 2024'!$G$4:$G$2015,'август 2024'!$D$4:$D$2015,$B108,'август 2024'!$J$4:$J$2015,T$1)</f>
        <v>0</v>
      </c>
      <c r="U108" s="80">
        <f>SUMIFS('август 2024'!$G$4:$G$2015,'август 2024'!$D$4:$D$2015,$B108,'август 2024'!$J$4:$J$2015,U$1)</f>
        <v>0</v>
      </c>
      <c r="V108" s="80">
        <f>SUMIFS('август 2024'!$G$4:$G$2015,'август 2024'!$D$4:$D$2015,$B108,'август 2024'!$J$4:$J$2015,V$1)</f>
        <v>0</v>
      </c>
      <c r="W108" s="80">
        <f>SUMIFS('август 2024'!$G$4:$G$2015,'август 2024'!$D$4:$D$2015,$B108,'август 2024'!$J$4:$J$2015,W$1)</f>
        <v>0</v>
      </c>
      <c r="X108" s="80">
        <f>SUMIFS('август 2024'!$G$4:$G$2015,'август 2024'!$D$4:$D$2015,$B108,'август 2024'!$J$4:$J$2015,X$1)</f>
        <v>0</v>
      </c>
      <c r="Y108" s="80">
        <f>SUMIFS('август 2024'!$G$4:$G$2015,'август 2024'!$D$4:$D$2015,$B108,'август 2024'!$J$4:$J$2015,Y$1)</f>
        <v>0</v>
      </c>
      <c r="Z108" s="80">
        <f>SUMIFS('август 2024'!$G$4:$G$2015,'август 2024'!$D$4:$D$2015,$B108,'август 2024'!$J$4:$J$2015,Z$1)</f>
        <v>0</v>
      </c>
      <c r="AA108" s="80">
        <f>SUMIFS('август 2024'!$G$4:$G$2015,'август 2024'!$D$4:$D$2015,$B108,'август 2024'!$J$4:$J$2015,AA$1)</f>
        <v>0</v>
      </c>
      <c r="AB108" s="80">
        <f>SUMIFS('август 2024'!$G$4:$G$2015,'август 2024'!$D$4:$D$2015,$B108,'август 2024'!$J$4:$J$2015,AB$1)</f>
        <v>0</v>
      </c>
      <c r="AC108" s="80">
        <f>SUMIFS('август 2024'!$G$4:$G$2015,'август 2024'!$D$4:$D$2015,$B108,'август 2024'!$J$4:$J$2015,AC$1)</f>
        <v>0</v>
      </c>
      <c r="AD108" s="80">
        <f>SUMIFS('август 2024'!$G$4:$G$2015,'август 2024'!$D$4:$D$2015,$B108,'август 2024'!$J$4:$J$2015,AD$1)</f>
        <v>0</v>
      </c>
      <c r="AE108" s="80">
        <f>SUMIFS('август 2024'!$G$4:$G$2015,'август 2024'!$D$4:$D$2015,$B108,'август 2024'!$J$4:$J$2015,AE$1)</f>
        <v>0</v>
      </c>
      <c r="AF108" s="80">
        <f>SUMIFS('август 2024'!$G$4:$G$2015,'август 2024'!$D$4:$D$2015,$B108,'август 2024'!$J$4:$J$2015,AF$1)</f>
        <v>0</v>
      </c>
      <c r="AG108" s="80">
        <f>SUMIFS('август 2024'!$G$4:$G$2015,'август 2024'!$D$4:$D$2015,$B108,'август 2024'!$J$4:$J$2015,AG$1)</f>
        <v>0</v>
      </c>
      <c r="AH108" s="80">
        <f>SUMIFS('август 2024'!$G$4:$G$2015,'август 2024'!$D$4:$D$2015,$B108,'август 2024'!$J$4:$J$2015,AH$1)</f>
        <v>0</v>
      </c>
      <c r="AI108" s="21">
        <f t="shared" si="1"/>
        <v>0</v>
      </c>
    </row>
    <row r="109" spans="2:35" ht="15" customHeight="1" x14ac:dyDescent="0.25">
      <c r="B109" s="93" t="s">
        <v>195</v>
      </c>
      <c r="C109" s="91">
        <v>180</v>
      </c>
      <c r="D109" s="80">
        <f>SUMIFS('август 2024'!$G$4:$G$2015,'август 2024'!$D$4:$D$2015,$B109,'август 2024'!$J$4:$J$2015,D$1)</f>
        <v>0</v>
      </c>
      <c r="E109" s="80">
        <f>SUMIFS('август 2024'!$G$4:$G$2015,'август 2024'!$D$4:$D$2015,$B109,'август 2024'!$J$4:$J$2015,E$1)</f>
        <v>0</v>
      </c>
      <c r="F109" s="80">
        <f>SUMIFS('август 2024'!$G$4:$G$2015,'август 2024'!$D$4:$D$2015,$B109,'август 2024'!$J$4:$J$2015,F$1)</f>
        <v>0</v>
      </c>
      <c r="G109" s="80">
        <f>SUMIFS('август 2024'!$G$4:$G$2015,'август 2024'!$D$4:$D$2015,$B109,'август 2024'!$J$4:$J$2015,G$1)</f>
        <v>0</v>
      </c>
      <c r="H109" s="80">
        <f>SUMIFS('август 2024'!$G$4:$G$2015,'август 2024'!$D$4:$D$2015,$B109,'август 2024'!$J$4:$J$2015,H$1)</f>
        <v>0</v>
      </c>
      <c r="I109" s="80">
        <f>SUMIFS('август 2024'!$G$4:$G$2015,'август 2024'!$D$4:$D$2015,$B109,'август 2024'!$J$4:$J$2015,I$1)</f>
        <v>0</v>
      </c>
      <c r="J109" s="80">
        <f>SUMIFS('август 2024'!$G$4:$G$2015,'август 2024'!$D$4:$D$2015,$B109,'август 2024'!$J$4:$J$2015,J$1)</f>
        <v>0</v>
      </c>
      <c r="K109" s="80">
        <f>SUMIFS('август 2024'!$G$4:$G$2015,'август 2024'!$D$4:$D$2015,$B109,'август 2024'!$J$4:$J$2015,K$1)</f>
        <v>0</v>
      </c>
      <c r="L109" s="80">
        <f>SUMIFS('август 2024'!$G$4:$G$2015,'август 2024'!$D$4:$D$2015,$B109,'август 2024'!$J$4:$J$2015,L$1)</f>
        <v>0</v>
      </c>
      <c r="M109" s="80">
        <f>SUMIFS('август 2024'!$G$4:$G$2015,'август 2024'!$D$4:$D$2015,$B109,'август 2024'!$J$4:$J$2015,M$1)</f>
        <v>0</v>
      </c>
      <c r="N109" s="80">
        <f>SUMIFS('август 2024'!$G$4:$G$2015,'август 2024'!$D$4:$D$2015,$B109,'август 2024'!$J$4:$J$2015,N$1)</f>
        <v>0</v>
      </c>
      <c r="O109" s="80">
        <f>SUMIFS('август 2024'!$G$4:$G$2015,'август 2024'!$D$4:$D$2015,$B109,'август 2024'!$J$4:$J$2015,O$1)</f>
        <v>0</v>
      </c>
      <c r="P109" s="80">
        <f>SUMIFS('август 2024'!$G$4:$G$2015,'август 2024'!$D$4:$D$2015,$B109,'август 2024'!$J$4:$J$2015,P$1)</f>
        <v>0</v>
      </c>
      <c r="Q109" s="80">
        <f>SUMIFS('август 2024'!$G$4:$G$2015,'август 2024'!$D$4:$D$2015,$B109,'август 2024'!$J$4:$J$2015,Q$1)</f>
        <v>0</v>
      </c>
      <c r="R109" s="80">
        <f>SUMIFS('август 2024'!$G$4:$G$2015,'август 2024'!$D$4:$D$2015,$B109,'август 2024'!$J$4:$J$2015,R$1)</f>
        <v>0</v>
      </c>
      <c r="S109" s="80">
        <f>SUMIFS('август 2024'!$G$4:$G$2015,'август 2024'!$D$4:$D$2015,$B109,'август 2024'!$J$4:$J$2015,S$1)</f>
        <v>0</v>
      </c>
      <c r="T109" s="80">
        <f>SUMIFS('август 2024'!$G$4:$G$2015,'август 2024'!$D$4:$D$2015,$B109,'август 2024'!$J$4:$J$2015,T$1)</f>
        <v>0</v>
      </c>
      <c r="U109" s="80">
        <f>SUMIFS('август 2024'!$G$4:$G$2015,'август 2024'!$D$4:$D$2015,$B109,'август 2024'!$J$4:$J$2015,U$1)</f>
        <v>0</v>
      </c>
      <c r="V109" s="80">
        <f>SUMIFS('август 2024'!$G$4:$G$2015,'август 2024'!$D$4:$D$2015,$B109,'август 2024'!$J$4:$J$2015,V$1)</f>
        <v>0</v>
      </c>
      <c r="W109" s="80">
        <f>SUMIFS('август 2024'!$G$4:$G$2015,'август 2024'!$D$4:$D$2015,$B109,'август 2024'!$J$4:$J$2015,W$1)</f>
        <v>0</v>
      </c>
      <c r="X109" s="80">
        <f>SUMIFS('август 2024'!$G$4:$G$2015,'август 2024'!$D$4:$D$2015,$B109,'август 2024'!$J$4:$J$2015,X$1)</f>
        <v>0</v>
      </c>
      <c r="Y109" s="80">
        <f>SUMIFS('август 2024'!$G$4:$G$2015,'август 2024'!$D$4:$D$2015,$B109,'август 2024'!$J$4:$J$2015,Y$1)</f>
        <v>0</v>
      </c>
      <c r="Z109" s="80">
        <f>SUMIFS('август 2024'!$G$4:$G$2015,'август 2024'!$D$4:$D$2015,$B109,'август 2024'!$J$4:$J$2015,Z$1)</f>
        <v>0</v>
      </c>
      <c r="AA109" s="80">
        <f>SUMIFS('август 2024'!$G$4:$G$2015,'август 2024'!$D$4:$D$2015,$B109,'август 2024'!$J$4:$J$2015,AA$1)</f>
        <v>0</v>
      </c>
      <c r="AB109" s="80">
        <f>SUMIFS('август 2024'!$G$4:$G$2015,'август 2024'!$D$4:$D$2015,$B109,'август 2024'!$J$4:$J$2015,AB$1)</f>
        <v>0</v>
      </c>
      <c r="AC109" s="80">
        <f>SUMIFS('август 2024'!$G$4:$G$2015,'август 2024'!$D$4:$D$2015,$B109,'август 2024'!$J$4:$J$2015,AC$1)</f>
        <v>0</v>
      </c>
      <c r="AD109" s="80">
        <f>SUMIFS('август 2024'!$G$4:$G$2015,'август 2024'!$D$4:$D$2015,$B109,'август 2024'!$J$4:$J$2015,AD$1)</f>
        <v>0</v>
      </c>
      <c r="AE109" s="80">
        <f>SUMIFS('август 2024'!$G$4:$G$2015,'август 2024'!$D$4:$D$2015,$B109,'август 2024'!$J$4:$J$2015,AE$1)</f>
        <v>0</v>
      </c>
      <c r="AF109" s="80">
        <f>SUMIFS('август 2024'!$G$4:$G$2015,'август 2024'!$D$4:$D$2015,$B109,'август 2024'!$J$4:$J$2015,AF$1)</f>
        <v>0</v>
      </c>
      <c r="AG109" s="80">
        <f>SUMIFS('август 2024'!$G$4:$G$2015,'август 2024'!$D$4:$D$2015,$B109,'август 2024'!$J$4:$J$2015,AG$1)</f>
        <v>0</v>
      </c>
      <c r="AH109" s="80">
        <f>SUMIFS('август 2024'!$G$4:$G$2015,'август 2024'!$D$4:$D$2015,$B109,'август 2024'!$J$4:$J$2015,AH$1)</f>
        <v>0</v>
      </c>
      <c r="AI109" s="21">
        <f t="shared" si="1"/>
        <v>0</v>
      </c>
    </row>
    <row r="110" spans="2:35" ht="15" customHeight="1" x14ac:dyDescent="0.25">
      <c r="B110" s="93" t="s">
        <v>214</v>
      </c>
      <c r="C110" s="91">
        <v>185</v>
      </c>
      <c r="D110" s="80">
        <f>SUMIFS('август 2024'!$G$4:$G$2015,'август 2024'!$D$4:$D$2015,$B110,'август 2024'!$J$4:$J$2015,D$1)</f>
        <v>0</v>
      </c>
      <c r="E110" s="80">
        <f>SUMIFS('август 2024'!$G$4:$G$2015,'август 2024'!$D$4:$D$2015,$B110,'август 2024'!$J$4:$J$2015,E$1)</f>
        <v>0</v>
      </c>
      <c r="F110" s="80">
        <f>SUMIFS('август 2024'!$G$4:$G$2015,'август 2024'!$D$4:$D$2015,$B110,'август 2024'!$J$4:$J$2015,F$1)</f>
        <v>0</v>
      </c>
      <c r="G110" s="80">
        <f>SUMIFS('август 2024'!$G$4:$G$2015,'август 2024'!$D$4:$D$2015,$B110,'август 2024'!$J$4:$J$2015,G$1)</f>
        <v>0</v>
      </c>
      <c r="H110" s="80">
        <f>SUMIFS('август 2024'!$G$4:$G$2015,'август 2024'!$D$4:$D$2015,$B110,'август 2024'!$J$4:$J$2015,H$1)</f>
        <v>0</v>
      </c>
      <c r="I110" s="80">
        <f>SUMIFS('август 2024'!$G$4:$G$2015,'август 2024'!$D$4:$D$2015,$B110,'август 2024'!$J$4:$J$2015,I$1)</f>
        <v>0</v>
      </c>
      <c r="J110" s="80">
        <f>SUMIFS('август 2024'!$G$4:$G$2015,'август 2024'!$D$4:$D$2015,$B110,'август 2024'!$J$4:$J$2015,J$1)</f>
        <v>0</v>
      </c>
      <c r="K110" s="80">
        <f>SUMIFS('август 2024'!$G$4:$G$2015,'август 2024'!$D$4:$D$2015,$B110,'август 2024'!$J$4:$J$2015,K$1)</f>
        <v>0</v>
      </c>
      <c r="L110" s="80">
        <f>SUMIFS('август 2024'!$G$4:$G$2015,'август 2024'!$D$4:$D$2015,$B110,'август 2024'!$J$4:$J$2015,L$1)</f>
        <v>0</v>
      </c>
      <c r="M110" s="80">
        <f>SUMIFS('август 2024'!$G$4:$G$2015,'август 2024'!$D$4:$D$2015,$B110,'август 2024'!$J$4:$J$2015,M$1)</f>
        <v>0</v>
      </c>
      <c r="N110" s="80">
        <f>SUMIFS('август 2024'!$G$4:$G$2015,'август 2024'!$D$4:$D$2015,$B110,'август 2024'!$J$4:$J$2015,N$1)</f>
        <v>0</v>
      </c>
      <c r="O110" s="80">
        <f>SUMIFS('август 2024'!$G$4:$G$2015,'август 2024'!$D$4:$D$2015,$B110,'август 2024'!$J$4:$J$2015,O$1)</f>
        <v>0</v>
      </c>
      <c r="P110" s="80">
        <f>SUMIFS('август 2024'!$G$4:$G$2015,'август 2024'!$D$4:$D$2015,$B110,'август 2024'!$J$4:$J$2015,P$1)</f>
        <v>0</v>
      </c>
      <c r="Q110" s="80">
        <f>SUMIFS('август 2024'!$G$4:$G$2015,'август 2024'!$D$4:$D$2015,$B110,'август 2024'!$J$4:$J$2015,Q$1)</f>
        <v>0</v>
      </c>
      <c r="R110" s="80">
        <f>SUMIFS('август 2024'!$G$4:$G$2015,'август 2024'!$D$4:$D$2015,$B110,'август 2024'!$J$4:$J$2015,R$1)</f>
        <v>0</v>
      </c>
      <c r="S110" s="80">
        <f>SUMIFS('август 2024'!$G$4:$G$2015,'август 2024'!$D$4:$D$2015,$B110,'август 2024'!$J$4:$J$2015,S$1)</f>
        <v>0</v>
      </c>
      <c r="T110" s="80">
        <f>SUMIFS('август 2024'!$G$4:$G$2015,'август 2024'!$D$4:$D$2015,$B110,'август 2024'!$J$4:$J$2015,T$1)</f>
        <v>0</v>
      </c>
      <c r="U110" s="80">
        <f>SUMIFS('август 2024'!$G$4:$G$2015,'август 2024'!$D$4:$D$2015,$B110,'август 2024'!$J$4:$J$2015,U$1)</f>
        <v>0</v>
      </c>
      <c r="V110" s="80">
        <f>SUMIFS('август 2024'!$G$4:$G$2015,'август 2024'!$D$4:$D$2015,$B110,'август 2024'!$J$4:$J$2015,V$1)</f>
        <v>0</v>
      </c>
      <c r="W110" s="80">
        <f>SUMIFS('август 2024'!$G$4:$G$2015,'август 2024'!$D$4:$D$2015,$B110,'август 2024'!$J$4:$J$2015,W$1)</f>
        <v>0</v>
      </c>
      <c r="X110" s="80">
        <f>SUMIFS('август 2024'!$G$4:$G$2015,'август 2024'!$D$4:$D$2015,$B110,'август 2024'!$J$4:$J$2015,X$1)</f>
        <v>0</v>
      </c>
      <c r="Y110" s="80">
        <f>SUMIFS('август 2024'!$G$4:$G$2015,'август 2024'!$D$4:$D$2015,$B110,'август 2024'!$J$4:$J$2015,Y$1)</f>
        <v>0</v>
      </c>
      <c r="Z110" s="80">
        <f>SUMIFS('август 2024'!$G$4:$G$2015,'август 2024'!$D$4:$D$2015,$B110,'август 2024'!$J$4:$J$2015,Z$1)</f>
        <v>0</v>
      </c>
      <c r="AA110" s="80">
        <f>SUMIFS('август 2024'!$G$4:$G$2015,'август 2024'!$D$4:$D$2015,$B110,'август 2024'!$J$4:$J$2015,AA$1)</f>
        <v>0</v>
      </c>
      <c r="AB110" s="80">
        <f>SUMIFS('август 2024'!$G$4:$G$2015,'август 2024'!$D$4:$D$2015,$B110,'август 2024'!$J$4:$J$2015,AB$1)</f>
        <v>0</v>
      </c>
      <c r="AC110" s="80">
        <f>SUMIFS('август 2024'!$G$4:$G$2015,'август 2024'!$D$4:$D$2015,$B110,'август 2024'!$J$4:$J$2015,AC$1)</f>
        <v>0</v>
      </c>
      <c r="AD110" s="80">
        <f>SUMIFS('август 2024'!$G$4:$G$2015,'август 2024'!$D$4:$D$2015,$B110,'август 2024'!$J$4:$J$2015,AD$1)</f>
        <v>0</v>
      </c>
      <c r="AE110" s="80">
        <f>SUMIFS('август 2024'!$G$4:$G$2015,'август 2024'!$D$4:$D$2015,$B110,'август 2024'!$J$4:$J$2015,AE$1)</f>
        <v>0</v>
      </c>
      <c r="AF110" s="80">
        <f>SUMIFS('август 2024'!$G$4:$G$2015,'август 2024'!$D$4:$D$2015,$B110,'август 2024'!$J$4:$J$2015,AF$1)</f>
        <v>0</v>
      </c>
      <c r="AG110" s="80">
        <f>SUMIFS('август 2024'!$G$4:$G$2015,'август 2024'!$D$4:$D$2015,$B110,'август 2024'!$J$4:$J$2015,AG$1)</f>
        <v>0</v>
      </c>
      <c r="AH110" s="80">
        <f>SUMIFS('август 2024'!$G$4:$G$2015,'август 2024'!$D$4:$D$2015,$B110,'август 2024'!$J$4:$J$2015,AH$1)</f>
        <v>0</v>
      </c>
      <c r="AI110" s="21">
        <f t="shared" si="1"/>
        <v>0</v>
      </c>
    </row>
    <row r="111" spans="2:35" ht="15" customHeight="1" x14ac:dyDescent="0.25">
      <c r="B111" s="93" t="s">
        <v>1069</v>
      </c>
      <c r="C111" s="91">
        <v>175</v>
      </c>
      <c r="D111" s="80">
        <f>SUMIFS('август 2024'!$G$4:$G$2015,'август 2024'!$D$4:$D$2015,$B111,'август 2024'!$J$4:$J$2015,D$1)</f>
        <v>0</v>
      </c>
      <c r="E111" s="80">
        <f>SUMIFS('август 2024'!$G$4:$G$2015,'август 2024'!$D$4:$D$2015,$B111,'август 2024'!$J$4:$J$2015,E$1)</f>
        <v>0</v>
      </c>
      <c r="F111" s="80">
        <f>SUMIFS('август 2024'!$G$4:$G$2015,'август 2024'!$D$4:$D$2015,$B111,'август 2024'!$J$4:$J$2015,F$1)</f>
        <v>0</v>
      </c>
      <c r="G111" s="80">
        <f>SUMIFS('август 2024'!$G$4:$G$2015,'август 2024'!$D$4:$D$2015,$B111,'август 2024'!$J$4:$J$2015,G$1)</f>
        <v>0</v>
      </c>
      <c r="H111" s="80">
        <f>SUMIFS('август 2024'!$G$4:$G$2015,'август 2024'!$D$4:$D$2015,$B111,'август 2024'!$J$4:$J$2015,H$1)</f>
        <v>0</v>
      </c>
      <c r="I111" s="80">
        <f>SUMIFS('август 2024'!$G$4:$G$2015,'август 2024'!$D$4:$D$2015,$B111,'август 2024'!$J$4:$J$2015,I$1)</f>
        <v>0</v>
      </c>
      <c r="J111" s="80">
        <f>SUMIFS('август 2024'!$G$4:$G$2015,'август 2024'!$D$4:$D$2015,$B111,'август 2024'!$J$4:$J$2015,J$1)</f>
        <v>0</v>
      </c>
      <c r="K111" s="80">
        <f>SUMIFS('август 2024'!$G$4:$G$2015,'август 2024'!$D$4:$D$2015,$B111,'август 2024'!$J$4:$J$2015,K$1)</f>
        <v>0</v>
      </c>
      <c r="L111" s="80">
        <f>SUMIFS('август 2024'!$G$4:$G$2015,'август 2024'!$D$4:$D$2015,$B111,'август 2024'!$J$4:$J$2015,L$1)</f>
        <v>0</v>
      </c>
      <c r="M111" s="80">
        <f>SUMIFS('август 2024'!$G$4:$G$2015,'август 2024'!$D$4:$D$2015,$B111,'август 2024'!$J$4:$J$2015,M$1)</f>
        <v>0</v>
      </c>
      <c r="N111" s="80">
        <f>SUMIFS('август 2024'!$G$4:$G$2015,'август 2024'!$D$4:$D$2015,$B111,'август 2024'!$J$4:$J$2015,N$1)</f>
        <v>0</v>
      </c>
      <c r="O111" s="80">
        <f>SUMIFS('август 2024'!$G$4:$G$2015,'август 2024'!$D$4:$D$2015,$B111,'август 2024'!$J$4:$J$2015,O$1)</f>
        <v>0</v>
      </c>
      <c r="P111" s="80">
        <f>SUMIFS('август 2024'!$G$4:$G$2015,'август 2024'!$D$4:$D$2015,$B111,'август 2024'!$J$4:$J$2015,P$1)</f>
        <v>0</v>
      </c>
      <c r="Q111" s="80">
        <f>SUMIFS('август 2024'!$G$4:$G$2015,'август 2024'!$D$4:$D$2015,$B111,'август 2024'!$J$4:$J$2015,Q$1)</f>
        <v>0</v>
      </c>
      <c r="R111" s="80">
        <f>SUMIFS('август 2024'!$G$4:$G$2015,'август 2024'!$D$4:$D$2015,$B111,'август 2024'!$J$4:$J$2015,R$1)</f>
        <v>0</v>
      </c>
      <c r="S111" s="80">
        <f>SUMIFS('август 2024'!$G$4:$G$2015,'август 2024'!$D$4:$D$2015,$B111,'август 2024'!$J$4:$J$2015,S$1)</f>
        <v>0</v>
      </c>
      <c r="T111" s="80">
        <f>SUMIFS('август 2024'!$G$4:$G$2015,'август 2024'!$D$4:$D$2015,$B111,'август 2024'!$J$4:$J$2015,T$1)</f>
        <v>0</v>
      </c>
      <c r="U111" s="80">
        <f>SUMIFS('август 2024'!$G$4:$G$2015,'август 2024'!$D$4:$D$2015,$B111,'август 2024'!$J$4:$J$2015,U$1)</f>
        <v>0</v>
      </c>
      <c r="V111" s="80">
        <f>SUMIFS('август 2024'!$G$4:$G$2015,'август 2024'!$D$4:$D$2015,$B111,'август 2024'!$J$4:$J$2015,V$1)</f>
        <v>0</v>
      </c>
      <c r="W111" s="80">
        <f>SUMIFS('август 2024'!$G$4:$G$2015,'август 2024'!$D$4:$D$2015,$B111,'август 2024'!$J$4:$J$2015,W$1)</f>
        <v>0</v>
      </c>
      <c r="X111" s="80">
        <f>SUMIFS('август 2024'!$G$4:$G$2015,'август 2024'!$D$4:$D$2015,$B111,'август 2024'!$J$4:$J$2015,X$1)</f>
        <v>0</v>
      </c>
      <c r="Y111" s="80">
        <f>SUMIFS('август 2024'!$G$4:$G$2015,'август 2024'!$D$4:$D$2015,$B111,'август 2024'!$J$4:$J$2015,Y$1)</f>
        <v>0</v>
      </c>
      <c r="Z111" s="80">
        <f>SUMIFS('август 2024'!$G$4:$G$2015,'август 2024'!$D$4:$D$2015,$B111,'август 2024'!$J$4:$J$2015,Z$1)</f>
        <v>0</v>
      </c>
      <c r="AA111" s="80">
        <f>SUMIFS('август 2024'!$G$4:$G$2015,'август 2024'!$D$4:$D$2015,$B111,'август 2024'!$J$4:$J$2015,AA$1)</f>
        <v>0</v>
      </c>
      <c r="AB111" s="80">
        <f>SUMIFS('август 2024'!$G$4:$G$2015,'август 2024'!$D$4:$D$2015,$B111,'август 2024'!$J$4:$J$2015,AB$1)</f>
        <v>0</v>
      </c>
      <c r="AC111" s="80">
        <f>SUMIFS('август 2024'!$G$4:$G$2015,'август 2024'!$D$4:$D$2015,$B111,'август 2024'!$J$4:$J$2015,AC$1)</f>
        <v>0</v>
      </c>
      <c r="AD111" s="80">
        <f>SUMIFS('август 2024'!$G$4:$G$2015,'август 2024'!$D$4:$D$2015,$B111,'август 2024'!$J$4:$J$2015,AD$1)</f>
        <v>0</v>
      </c>
      <c r="AE111" s="80">
        <f>SUMIFS('август 2024'!$G$4:$G$2015,'август 2024'!$D$4:$D$2015,$B111,'август 2024'!$J$4:$J$2015,AE$1)</f>
        <v>0</v>
      </c>
      <c r="AF111" s="80">
        <f>SUMIFS('август 2024'!$G$4:$G$2015,'август 2024'!$D$4:$D$2015,$B111,'август 2024'!$J$4:$J$2015,AF$1)</f>
        <v>0</v>
      </c>
      <c r="AG111" s="80">
        <f>SUMIFS('август 2024'!$G$4:$G$2015,'август 2024'!$D$4:$D$2015,$B111,'август 2024'!$J$4:$J$2015,AG$1)</f>
        <v>80</v>
      </c>
      <c r="AH111" s="80">
        <f>SUMIFS('август 2024'!$G$4:$G$2015,'август 2024'!$D$4:$D$2015,$B111,'август 2024'!$J$4:$J$2015,AH$1)</f>
        <v>0</v>
      </c>
      <c r="AI111" s="21">
        <f t="shared" si="1"/>
        <v>80</v>
      </c>
    </row>
    <row r="112" spans="2:35" ht="15" customHeight="1" x14ac:dyDescent="0.25">
      <c r="B112" s="93" t="s">
        <v>1226</v>
      </c>
      <c r="C112" s="91">
        <v>200</v>
      </c>
      <c r="D112" s="80">
        <f>SUMIFS('август 2024'!$G$4:$G$2015,'август 2024'!$D$4:$D$2015,$B112,'август 2024'!$J$4:$J$2015,D$1)</f>
        <v>0</v>
      </c>
      <c r="E112" s="80">
        <f>SUMIFS('август 2024'!$G$4:$G$2015,'август 2024'!$D$4:$D$2015,$B112,'август 2024'!$J$4:$J$2015,E$1)</f>
        <v>0</v>
      </c>
      <c r="F112" s="80">
        <f>SUMIFS('август 2024'!$G$4:$G$2015,'август 2024'!$D$4:$D$2015,$B112,'август 2024'!$J$4:$J$2015,F$1)</f>
        <v>0</v>
      </c>
      <c r="G112" s="80">
        <f>SUMIFS('август 2024'!$G$4:$G$2015,'август 2024'!$D$4:$D$2015,$B112,'август 2024'!$J$4:$J$2015,G$1)</f>
        <v>0</v>
      </c>
      <c r="H112" s="80">
        <f>SUMIFS('август 2024'!$G$4:$G$2015,'август 2024'!$D$4:$D$2015,$B112,'август 2024'!$J$4:$J$2015,H$1)</f>
        <v>0</v>
      </c>
      <c r="I112" s="80">
        <f>SUMIFS('август 2024'!$G$4:$G$2015,'август 2024'!$D$4:$D$2015,$B112,'август 2024'!$J$4:$J$2015,I$1)</f>
        <v>0</v>
      </c>
      <c r="J112" s="80">
        <f>SUMIFS('август 2024'!$G$4:$G$2015,'август 2024'!$D$4:$D$2015,$B112,'август 2024'!$J$4:$J$2015,J$1)</f>
        <v>0</v>
      </c>
      <c r="K112" s="80">
        <f>SUMIFS('август 2024'!$G$4:$G$2015,'август 2024'!$D$4:$D$2015,$B112,'август 2024'!$J$4:$J$2015,K$1)</f>
        <v>0</v>
      </c>
      <c r="L112" s="80">
        <f>SUMIFS('август 2024'!$G$4:$G$2015,'август 2024'!$D$4:$D$2015,$B112,'август 2024'!$J$4:$J$2015,L$1)</f>
        <v>0</v>
      </c>
      <c r="M112" s="80">
        <f>SUMIFS('август 2024'!$G$4:$G$2015,'август 2024'!$D$4:$D$2015,$B112,'август 2024'!$J$4:$J$2015,M$1)</f>
        <v>0</v>
      </c>
      <c r="N112" s="80">
        <f>SUMIFS('август 2024'!$G$4:$G$2015,'август 2024'!$D$4:$D$2015,$B112,'август 2024'!$J$4:$J$2015,N$1)</f>
        <v>0</v>
      </c>
      <c r="O112" s="80">
        <f>SUMIFS('август 2024'!$G$4:$G$2015,'август 2024'!$D$4:$D$2015,$B112,'август 2024'!$J$4:$J$2015,O$1)</f>
        <v>0</v>
      </c>
      <c r="P112" s="80">
        <f>SUMIFS('август 2024'!$G$4:$G$2015,'август 2024'!$D$4:$D$2015,$B112,'август 2024'!$J$4:$J$2015,P$1)</f>
        <v>0</v>
      </c>
      <c r="Q112" s="80">
        <f>SUMIFS('август 2024'!$G$4:$G$2015,'август 2024'!$D$4:$D$2015,$B112,'август 2024'!$J$4:$J$2015,Q$1)</f>
        <v>0</v>
      </c>
      <c r="R112" s="80">
        <f>SUMIFS('август 2024'!$G$4:$G$2015,'август 2024'!$D$4:$D$2015,$B112,'август 2024'!$J$4:$J$2015,R$1)</f>
        <v>0</v>
      </c>
      <c r="S112" s="80">
        <f>SUMIFS('август 2024'!$G$4:$G$2015,'август 2024'!$D$4:$D$2015,$B112,'август 2024'!$J$4:$J$2015,S$1)</f>
        <v>0</v>
      </c>
      <c r="T112" s="80">
        <f>SUMIFS('август 2024'!$G$4:$G$2015,'август 2024'!$D$4:$D$2015,$B112,'август 2024'!$J$4:$J$2015,T$1)</f>
        <v>0</v>
      </c>
      <c r="U112" s="80">
        <f>SUMIFS('август 2024'!$G$4:$G$2015,'август 2024'!$D$4:$D$2015,$B112,'август 2024'!$J$4:$J$2015,U$1)</f>
        <v>0</v>
      </c>
      <c r="V112" s="80">
        <f>SUMIFS('август 2024'!$G$4:$G$2015,'август 2024'!$D$4:$D$2015,$B112,'август 2024'!$J$4:$J$2015,V$1)</f>
        <v>0</v>
      </c>
      <c r="W112" s="80">
        <f>SUMIFS('август 2024'!$G$4:$G$2015,'август 2024'!$D$4:$D$2015,$B112,'август 2024'!$J$4:$J$2015,W$1)</f>
        <v>0</v>
      </c>
      <c r="X112" s="80">
        <f>SUMIFS('август 2024'!$G$4:$G$2015,'август 2024'!$D$4:$D$2015,$B112,'август 2024'!$J$4:$J$2015,X$1)</f>
        <v>0</v>
      </c>
      <c r="Y112" s="80">
        <f>SUMIFS('август 2024'!$G$4:$G$2015,'август 2024'!$D$4:$D$2015,$B112,'август 2024'!$J$4:$J$2015,Y$1)</f>
        <v>0</v>
      </c>
      <c r="Z112" s="80">
        <f>SUMIFS('август 2024'!$G$4:$G$2015,'август 2024'!$D$4:$D$2015,$B112,'август 2024'!$J$4:$J$2015,Z$1)</f>
        <v>0</v>
      </c>
      <c r="AA112" s="80">
        <f>SUMIFS('август 2024'!$G$4:$G$2015,'август 2024'!$D$4:$D$2015,$B112,'август 2024'!$J$4:$J$2015,AA$1)</f>
        <v>0</v>
      </c>
      <c r="AB112" s="80">
        <f>SUMIFS('август 2024'!$G$4:$G$2015,'август 2024'!$D$4:$D$2015,$B112,'август 2024'!$J$4:$J$2015,AB$1)</f>
        <v>0</v>
      </c>
      <c r="AC112" s="80">
        <f>SUMIFS('август 2024'!$G$4:$G$2015,'август 2024'!$D$4:$D$2015,$B112,'август 2024'!$J$4:$J$2015,AC$1)</f>
        <v>0</v>
      </c>
      <c r="AD112" s="80">
        <f>SUMIFS('август 2024'!$G$4:$G$2015,'август 2024'!$D$4:$D$2015,$B112,'август 2024'!$J$4:$J$2015,AD$1)</f>
        <v>0</v>
      </c>
      <c r="AE112" s="80">
        <f>SUMIFS('август 2024'!$G$4:$G$2015,'август 2024'!$D$4:$D$2015,$B112,'август 2024'!$J$4:$J$2015,AE$1)</f>
        <v>0</v>
      </c>
      <c r="AF112" s="80">
        <f>SUMIFS('август 2024'!$G$4:$G$2015,'август 2024'!$D$4:$D$2015,$B112,'август 2024'!$J$4:$J$2015,AF$1)</f>
        <v>0</v>
      </c>
      <c r="AG112" s="80">
        <f>SUMIFS('август 2024'!$G$4:$G$2015,'август 2024'!$D$4:$D$2015,$B112,'август 2024'!$J$4:$J$2015,AG$1)</f>
        <v>0</v>
      </c>
      <c r="AH112" s="80">
        <f>SUMIFS('август 2024'!$G$4:$G$2015,'август 2024'!$D$4:$D$2015,$B112,'август 2024'!$J$4:$J$2015,AH$1)</f>
        <v>0</v>
      </c>
      <c r="AI112" s="21">
        <f t="shared" si="1"/>
        <v>0</v>
      </c>
    </row>
    <row r="113" spans="2:35" ht="15" customHeight="1" x14ac:dyDescent="0.25">
      <c r="B113" s="93" t="s">
        <v>329</v>
      </c>
      <c r="C113" s="91">
        <v>180</v>
      </c>
      <c r="D113" s="80">
        <f>SUMIFS('август 2024'!$G$4:$G$2015,'август 2024'!$D$4:$D$2015,$B113,'август 2024'!$J$4:$J$2015,D$1)</f>
        <v>0</v>
      </c>
      <c r="E113" s="80">
        <f>SUMIFS('август 2024'!$G$4:$G$2015,'август 2024'!$D$4:$D$2015,$B113,'август 2024'!$J$4:$J$2015,E$1)</f>
        <v>0</v>
      </c>
      <c r="F113" s="80">
        <f>SUMIFS('август 2024'!$G$4:$G$2015,'август 2024'!$D$4:$D$2015,$B113,'август 2024'!$J$4:$J$2015,F$1)</f>
        <v>0</v>
      </c>
      <c r="G113" s="80">
        <f>SUMIFS('август 2024'!$G$4:$G$2015,'август 2024'!$D$4:$D$2015,$B113,'август 2024'!$J$4:$J$2015,G$1)</f>
        <v>0</v>
      </c>
      <c r="H113" s="80">
        <f>SUMIFS('август 2024'!$G$4:$G$2015,'август 2024'!$D$4:$D$2015,$B113,'август 2024'!$J$4:$J$2015,H$1)</f>
        <v>0</v>
      </c>
      <c r="I113" s="80">
        <f>SUMIFS('август 2024'!$G$4:$G$2015,'август 2024'!$D$4:$D$2015,$B113,'август 2024'!$J$4:$J$2015,I$1)</f>
        <v>0</v>
      </c>
      <c r="J113" s="80">
        <f>SUMIFS('август 2024'!$G$4:$G$2015,'август 2024'!$D$4:$D$2015,$B113,'август 2024'!$J$4:$J$2015,J$1)</f>
        <v>0</v>
      </c>
      <c r="K113" s="80">
        <f>SUMIFS('август 2024'!$G$4:$G$2015,'август 2024'!$D$4:$D$2015,$B113,'август 2024'!$J$4:$J$2015,K$1)</f>
        <v>0</v>
      </c>
      <c r="L113" s="80">
        <f>SUMIFS('август 2024'!$G$4:$G$2015,'август 2024'!$D$4:$D$2015,$B113,'август 2024'!$J$4:$J$2015,L$1)</f>
        <v>0</v>
      </c>
      <c r="M113" s="80">
        <f>SUMIFS('август 2024'!$G$4:$G$2015,'август 2024'!$D$4:$D$2015,$B113,'август 2024'!$J$4:$J$2015,M$1)</f>
        <v>0</v>
      </c>
      <c r="N113" s="80">
        <f>SUMIFS('август 2024'!$G$4:$G$2015,'август 2024'!$D$4:$D$2015,$B113,'август 2024'!$J$4:$J$2015,N$1)</f>
        <v>0</v>
      </c>
      <c r="O113" s="80">
        <f>SUMIFS('август 2024'!$G$4:$G$2015,'август 2024'!$D$4:$D$2015,$B113,'август 2024'!$J$4:$J$2015,O$1)</f>
        <v>0</v>
      </c>
      <c r="P113" s="80">
        <f>SUMIFS('август 2024'!$G$4:$G$2015,'август 2024'!$D$4:$D$2015,$B113,'август 2024'!$J$4:$J$2015,P$1)</f>
        <v>0</v>
      </c>
      <c r="Q113" s="80">
        <f>SUMIFS('август 2024'!$G$4:$G$2015,'август 2024'!$D$4:$D$2015,$B113,'август 2024'!$J$4:$J$2015,Q$1)</f>
        <v>0</v>
      </c>
      <c r="R113" s="80">
        <f>SUMIFS('август 2024'!$G$4:$G$2015,'август 2024'!$D$4:$D$2015,$B113,'август 2024'!$J$4:$J$2015,R$1)</f>
        <v>0</v>
      </c>
      <c r="S113" s="80">
        <f>SUMIFS('август 2024'!$G$4:$G$2015,'август 2024'!$D$4:$D$2015,$B113,'август 2024'!$J$4:$J$2015,S$1)</f>
        <v>0</v>
      </c>
      <c r="T113" s="80">
        <f>SUMIFS('август 2024'!$G$4:$G$2015,'август 2024'!$D$4:$D$2015,$B113,'август 2024'!$J$4:$J$2015,T$1)</f>
        <v>0</v>
      </c>
      <c r="U113" s="80">
        <f>SUMIFS('август 2024'!$G$4:$G$2015,'август 2024'!$D$4:$D$2015,$B113,'август 2024'!$J$4:$J$2015,U$1)</f>
        <v>0</v>
      </c>
      <c r="V113" s="80">
        <f>SUMIFS('август 2024'!$G$4:$G$2015,'август 2024'!$D$4:$D$2015,$B113,'август 2024'!$J$4:$J$2015,V$1)</f>
        <v>0</v>
      </c>
      <c r="W113" s="80">
        <f>SUMIFS('август 2024'!$G$4:$G$2015,'август 2024'!$D$4:$D$2015,$B113,'август 2024'!$J$4:$J$2015,W$1)</f>
        <v>0</v>
      </c>
      <c r="X113" s="80">
        <f>SUMIFS('август 2024'!$G$4:$G$2015,'август 2024'!$D$4:$D$2015,$B113,'август 2024'!$J$4:$J$2015,X$1)</f>
        <v>0</v>
      </c>
      <c r="Y113" s="80">
        <f>SUMIFS('август 2024'!$G$4:$G$2015,'август 2024'!$D$4:$D$2015,$B113,'август 2024'!$J$4:$J$2015,Y$1)</f>
        <v>0</v>
      </c>
      <c r="Z113" s="80">
        <f>SUMIFS('август 2024'!$G$4:$G$2015,'август 2024'!$D$4:$D$2015,$B113,'август 2024'!$J$4:$J$2015,Z$1)</f>
        <v>0</v>
      </c>
      <c r="AA113" s="80">
        <f>SUMIFS('август 2024'!$G$4:$G$2015,'август 2024'!$D$4:$D$2015,$B113,'август 2024'!$J$4:$J$2015,AA$1)</f>
        <v>0</v>
      </c>
      <c r="AB113" s="80">
        <f>SUMIFS('август 2024'!$G$4:$G$2015,'август 2024'!$D$4:$D$2015,$B113,'август 2024'!$J$4:$J$2015,AB$1)</f>
        <v>0</v>
      </c>
      <c r="AC113" s="80">
        <f>SUMIFS('август 2024'!$G$4:$G$2015,'август 2024'!$D$4:$D$2015,$B113,'август 2024'!$J$4:$J$2015,AC$1)</f>
        <v>0</v>
      </c>
      <c r="AD113" s="80">
        <f>SUMIFS('август 2024'!$G$4:$G$2015,'август 2024'!$D$4:$D$2015,$B113,'август 2024'!$J$4:$J$2015,AD$1)</f>
        <v>0</v>
      </c>
      <c r="AE113" s="80">
        <f>SUMIFS('август 2024'!$G$4:$G$2015,'август 2024'!$D$4:$D$2015,$B113,'август 2024'!$J$4:$J$2015,AE$1)</f>
        <v>0</v>
      </c>
      <c r="AF113" s="80">
        <f>SUMIFS('август 2024'!$G$4:$G$2015,'август 2024'!$D$4:$D$2015,$B113,'август 2024'!$J$4:$J$2015,AF$1)</f>
        <v>0</v>
      </c>
      <c r="AG113" s="80">
        <f>SUMIFS('август 2024'!$G$4:$G$2015,'август 2024'!$D$4:$D$2015,$B113,'август 2024'!$J$4:$J$2015,AG$1)</f>
        <v>0</v>
      </c>
      <c r="AH113" s="80">
        <f>SUMIFS('август 2024'!$G$4:$G$2015,'август 2024'!$D$4:$D$2015,$B113,'август 2024'!$J$4:$J$2015,AH$1)</f>
        <v>0</v>
      </c>
      <c r="AI113" s="21">
        <f t="shared" si="1"/>
        <v>0</v>
      </c>
    </row>
    <row r="114" spans="2:35" ht="15" customHeight="1" x14ac:dyDescent="0.25">
      <c r="B114" s="93" t="s">
        <v>344</v>
      </c>
      <c r="C114" s="91">
        <v>185</v>
      </c>
      <c r="D114" s="80">
        <f>SUMIFS('август 2024'!$G$4:$G$2015,'август 2024'!$D$4:$D$2015,$B114,'август 2024'!$J$4:$J$2015,D$1)</f>
        <v>0</v>
      </c>
      <c r="E114" s="80">
        <f>SUMIFS('август 2024'!$G$4:$G$2015,'август 2024'!$D$4:$D$2015,$B114,'август 2024'!$J$4:$J$2015,E$1)</f>
        <v>0</v>
      </c>
      <c r="F114" s="80">
        <f>SUMIFS('август 2024'!$G$4:$G$2015,'август 2024'!$D$4:$D$2015,$B114,'август 2024'!$J$4:$J$2015,F$1)</f>
        <v>0</v>
      </c>
      <c r="G114" s="80">
        <f>SUMIFS('август 2024'!$G$4:$G$2015,'август 2024'!$D$4:$D$2015,$B114,'август 2024'!$J$4:$J$2015,G$1)</f>
        <v>0</v>
      </c>
      <c r="H114" s="80">
        <f>SUMIFS('август 2024'!$G$4:$G$2015,'август 2024'!$D$4:$D$2015,$B114,'август 2024'!$J$4:$J$2015,H$1)</f>
        <v>0</v>
      </c>
      <c r="I114" s="80">
        <f>SUMIFS('август 2024'!$G$4:$G$2015,'август 2024'!$D$4:$D$2015,$B114,'август 2024'!$J$4:$J$2015,I$1)</f>
        <v>0</v>
      </c>
      <c r="J114" s="80">
        <f>SUMIFS('август 2024'!$G$4:$G$2015,'август 2024'!$D$4:$D$2015,$B114,'август 2024'!$J$4:$J$2015,J$1)</f>
        <v>0</v>
      </c>
      <c r="K114" s="80">
        <f>SUMIFS('август 2024'!$G$4:$G$2015,'август 2024'!$D$4:$D$2015,$B114,'август 2024'!$J$4:$J$2015,K$1)</f>
        <v>0</v>
      </c>
      <c r="L114" s="80">
        <f>SUMIFS('август 2024'!$G$4:$G$2015,'август 2024'!$D$4:$D$2015,$B114,'август 2024'!$J$4:$J$2015,L$1)</f>
        <v>0</v>
      </c>
      <c r="M114" s="80">
        <f>SUMIFS('август 2024'!$G$4:$G$2015,'август 2024'!$D$4:$D$2015,$B114,'август 2024'!$J$4:$J$2015,M$1)</f>
        <v>0</v>
      </c>
      <c r="N114" s="80">
        <f>SUMIFS('август 2024'!$G$4:$G$2015,'август 2024'!$D$4:$D$2015,$B114,'август 2024'!$J$4:$J$2015,N$1)</f>
        <v>0</v>
      </c>
      <c r="O114" s="80">
        <f>SUMIFS('август 2024'!$G$4:$G$2015,'август 2024'!$D$4:$D$2015,$B114,'август 2024'!$J$4:$J$2015,O$1)</f>
        <v>0</v>
      </c>
      <c r="P114" s="80">
        <f>SUMIFS('август 2024'!$G$4:$G$2015,'август 2024'!$D$4:$D$2015,$B114,'август 2024'!$J$4:$J$2015,P$1)</f>
        <v>0</v>
      </c>
      <c r="Q114" s="80">
        <f>SUMIFS('август 2024'!$G$4:$G$2015,'август 2024'!$D$4:$D$2015,$B114,'август 2024'!$J$4:$J$2015,Q$1)</f>
        <v>0</v>
      </c>
      <c r="R114" s="80">
        <f>SUMIFS('август 2024'!$G$4:$G$2015,'август 2024'!$D$4:$D$2015,$B114,'август 2024'!$J$4:$J$2015,R$1)</f>
        <v>0</v>
      </c>
      <c r="S114" s="80">
        <f>SUMIFS('август 2024'!$G$4:$G$2015,'август 2024'!$D$4:$D$2015,$B114,'август 2024'!$J$4:$J$2015,S$1)</f>
        <v>0</v>
      </c>
      <c r="T114" s="80">
        <f>SUMIFS('август 2024'!$G$4:$G$2015,'август 2024'!$D$4:$D$2015,$B114,'август 2024'!$J$4:$J$2015,T$1)</f>
        <v>0</v>
      </c>
      <c r="U114" s="80">
        <f>SUMIFS('август 2024'!$G$4:$G$2015,'август 2024'!$D$4:$D$2015,$B114,'август 2024'!$J$4:$J$2015,U$1)</f>
        <v>0</v>
      </c>
      <c r="V114" s="80">
        <f>SUMIFS('август 2024'!$G$4:$G$2015,'август 2024'!$D$4:$D$2015,$B114,'август 2024'!$J$4:$J$2015,V$1)</f>
        <v>0</v>
      </c>
      <c r="W114" s="80">
        <f>SUMIFS('август 2024'!$G$4:$G$2015,'август 2024'!$D$4:$D$2015,$B114,'август 2024'!$J$4:$J$2015,W$1)</f>
        <v>0</v>
      </c>
      <c r="X114" s="80">
        <f>SUMIFS('август 2024'!$G$4:$G$2015,'август 2024'!$D$4:$D$2015,$B114,'август 2024'!$J$4:$J$2015,X$1)</f>
        <v>0</v>
      </c>
      <c r="Y114" s="80">
        <f>SUMIFS('август 2024'!$G$4:$G$2015,'август 2024'!$D$4:$D$2015,$B114,'август 2024'!$J$4:$J$2015,Y$1)</f>
        <v>0</v>
      </c>
      <c r="Z114" s="80">
        <f>SUMIFS('август 2024'!$G$4:$G$2015,'август 2024'!$D$4:$D$2015,$B114,'август 2024'!$J$4:$J$2015,Z$1)</f>
        <v>0</v>
      </c>
      <c r="AA114" s="80">
        <f>SUMIFS('август 2024'!$G$4:$G$2015,'август 2024'!$D$4:$D$2015,$B114,'август 2024'!$J$4:$J$2015,AA$1)</f>
        <v>0</v>
      </c>
      <c r="AB114" s="80">
        <f>SUMIFS('август 2024'!$G$4:$G$2015,'август 2024'!$D$4:$D$2015,$B114,'август 2024'!$J$4:$J$2015,AB$1)</f>
        <v>0</v>
      </c>
      <c r="AC114" s="80">
        <f>SUMIFS('август 2024'!$G$4:$G$2015,'август 2024'!$D$4:$D$2015,$B114,'август 2024'!$J$4:$J$2015,AC$1)</f>
        <v>0</v>
      </c>
      <c r="AD114" s="80">
        <f>SUMIFS('август 2024'!$G$4:$G$2015,'август 2024'!$D$4:$D$2015,$B114,'август 2024'!$J$4:$J$2015,AD$1)</f>
        <v>0</v>
      </c>
      <c r="AE114" s="80">
        <f>SUMIFS('август 2024'!$G$4:$G$2015,'август 2024'!$D$4:$D$2015,$B114,'август 2024'!$J$4:$J$2015,AE$1)</f>
        <v>0</v>
      </c>
      <c r="AF114" s="80">
        <f>SUMIFS('август 2024'!$G$4:$G$2015,'август 2024'!$D$4:$D$2015,$B114,'август 2024'!$J$4:$J$2015,AF$1)</f>
        <v>0</v>
      </c>
      <c r="AG114" s="80">
        <f>SUMIFS('август 2024'!$G$4:$G$2015,'август 2024'!$D$4:$D$2015,$B114,'август 2024'!$J$4:$J$2015,AG$1)</f>
        <v>0</v>
      </c>
      <c r="AH114" s="80">
        <f>SUMIFS('август 2024'!$G$4:$G$2015,'август 2024'!$D$4:$D$2015,$B114,'август 2024'!$J$4:$J$2015,AH$1)</f>
        <v>0</v>
      </c>
      <c r="AI114" s="21">
        <f t="shared" si="1"/>
        <v>0</v>
      </c>
    </row>
    <row r="115" spans="2:35" ht="15" customHeight="1" x14ac:dyDescent="0.25">
      <c r="B115" s="93" t="s">
        <v>400</v>
      </c>
      <c r="C115" s="91">
        <v>185</v>
      </c>
      <c r="D115" s="80">
        <f>SUMIFS('август 2024'!$G$4:$G$2015,'август 2024'!$D$4:$D$2015,$B115,'август 2024'!$J$4:$J$2015,D$1)</f>
        <v>0</v>
      </c>
      <c r="E115" s="80">
        <f>SUMIFS('август 2024'!$G$4:$G$2015,'август 2024'!$D$4:$D$2015,$B115,'август 2024'!$J$4:$J$2015,E$1)</f>
        <v>0</v>
      </c>
      <c r="F115" s="80">
        <f>SUMIFS('август 2024'!$G$4:$G$2015,'август 2024'!$D$4:$D$2015,$B115,'август 2024'!$J$4:$J$2015,F$1)</f>
        <v>0</v>
      </c>
      <c r="G115" s="80">
        <f>SUMIFS('август 2024'!$G$4:$G$2015,'август 2024'!$D$4:$D$2015,$B115,'август 2024'!$J$4:$J$2015,G$1)</f>
        <v>0</v>
      </c>
      <c r="H115" s="80">
        <f>SUMIFS('август 2024'!$G$4:$G$2015,'август 2024'!$D$4:$D$2015,$B115,'август 2024'!$J$4:$J$2015,H$1)</f>
        <v>0</v>
      </c>
      <c r="I115" s="80">
        <f>SUMIFS('август 2024'!$G$4:$G$2015,'август 2024'!$D$4:$D$2015,$B115,'август 2024'!$J$4:$J$2015,I$1)</f>
        <v>0</v>
      </c>
      <c r="J115" s="80">
        <f>SUMIFS('август 2024'!$G$4:$G$2015,'август 2024'!$D$4:$D$2015,$B115,'август 2024'!$J$4:$J$2015,J$1)</f>
        <v>0</v>
      </c>
      <c r="K115" s="80">
        <f>SUMIFS('август 2024'!$G$4:$G$2015,'август 2024'!$D$4:$D$2015,$B115,'август 2024'!$J$4:$J$2015,K$1)</f>
        <v>0</v>
      </c>
      <c r="L115" s="80">
        <f>SUMIFS('август 2024'!$G$4:$G$2015,'август 2024'!$D$4:$D$2015,$B115,'август 2024'!$J$4:$J$2015,L$1)</f>
        <v>0</v>
      </c>
      <c r="M115" s="80">
        <f>SUMIFS('август 2024'!$G$4:$G$2015,'август 2024'!$D$4:$D$2015,$B115,'август 2024'!$J$4:$J$2015,M$1)</f>
        <v>0</v>
      </c>
      <c r="N115" s="80">
        <f>SUMIFS('август 2024'!$G$4:$G$2015,'август 2024'!$D$4:$D$2015,$B115,'август 2024'!$J$4:$J$2015,N$1)</f>
        <v>0</v>
      </c>
      <c r="O115" s="80">
        <f>SUMIFS('август 2024'!$G$4:$G$2015,'август 2024'!$D$4:$D$2015,$B115,'август 2024'!$J$4:$J$2015,O$1)</f>
        <v>0</v>
      </c>
      <c r="P115" s="80">
        <f>SUMIFS('август 2024'!$G$4:$G$2015,'август 2024'!$D$4:$D$2015,$B115,'август 2024'!$J$4:$J$2015,P$1)</f>
        <v>0</v>
      </c>
      <c r="Q115" s="80">
        <f>SUMIFS('август 2024'!$G$4:$G$2015,'август 2024'!$D$4:$D$2015,$B115,'август 2024'!$J$4:$J$2015,Q$1)</f>
        <v>0</v>
      </c>
      <c r="R115" s="80">
        <f>SUMIFS('август 2024'!$G$4:$G$2015,'август 2024'!$D$4:$D$2015,$B115,'август 2024'!$J$4:$J$2015,R$1)</f>
        <v>0</v>
      </c>
      <c r="S115" s="80">
        <f>SUMIFS('август 2024'!$G$4:$G$2015,'август 2024'!$D$4:$D$2015,$B115,'август 2024'!$J$4:$J$2015,S$1)</f>
        <v>0</v>
      </c>
      <c r="T115" s="80">
        <f>SUMIFS('август 2024'!$G$4:$G$2015,'август 2024'!$D$4:$D$2015,$B115,'август 2024'!$J$4:$J$2015,T$1)</f>
        <v>0</v>
      </c>
      <c r="U115" s="80">
        <f>SUMIFS('август 2024'!$G$4:$G$2015,'август 2024'!$D$4:$D$2015,$B115,'август 2024'!$J$4:$J$2015,U$1)</f>
        <v>0</v>
      </c>
      <c r="V115" s="80">
        <f>SUMIFS('август 2024'!$G$4:$G$2015,'август 2024'!$D$4:$D$2015,$B115,'август 2024'!$J$4:$J$2015,V$1)</f>
        <v>0</v>
      </c>
      <c r="W115" s="80">
        <f>SUMIFS('август 2024'!$G$4:$G$2015,'август 2024'!$D$4:$D$2015,$B115,'август 2024'!$J$4:$J$2015,W$1)</f>
        <v>0</v>
      </c>
      <c r="X115" s="80">
        <f>SUMIFS('август 2024'!$G$4:$G$2015,'август 2024'!$D$4:$D$2015,$B115,'август 2024'!$J$4:$J$2015,X$1)</f>
        <v>0</v>
      </c>
      <c r="Y115" s="80">
        <f>SUMIFS('август 2024'!$G$4:$G$2015,'август 2024'!$D$4:$D$2015,$B115,'август 2024'!$J$4:$J$2015,Y$1)</f>
        <v>0</v>
      </c>
      <c r="Z115" s="80">
        <f>SUMIFS('август 2024'!$G$4:$G$2015,'август 2024'!$D$4:$D$2015,$B115,'август 2024'!$J$4:$J$2015,Z$1)</f>
        <v>0</v>
      </c>
      <c r="AA115" s="80">
        <f>SUMIFS('август 2024'!$G$4:$G$2015,'август 2024'!$D$4:$D$2015,$B115,'август 2024'!$J$4:$J$2015,AA$1)</f>
        <v>0</v>
      </c>
      <c r="AB115" s="80">
        <f>SUMIFS('август 2024'!$G$4:$G$2015,'август 2024'!$D$4:$D$2015,$B115,'август 2024'!$J$4:$J$2015,AB$1)</f>
        <v>0</v>
      </c>
      <c r="AC115" s="80">
        <f>SUMIFS('август 2024'!$G$4:$G$2015,'август 2024'!$D$4:$D$2015,$B115,'август 2024'!$J$4:$J$2015,AC$1)</f>
        <v>0</v>
      </c>
      <c r="AD115" s="80">
        <f>SUMIFS('август 2024'!$G$4:$G$2015,'август 2024'!$D$4:$D$2015,$B115,'август 2024'!$J$4:$J$2015,AD$1)</f>
        <v>0</v>
      </c>
      <c r="AE115" s="80">
        <f>SUMIFS('август 2024'!$G$4:$G$2015,'август 2024'!$D$4:$D$2015,$B115,'август 2024'!$J$4:$J$2015,AE$1)</f>
        <v>0</v>
      </c>
      <c r="AF115" s="80">
        <f>SUMIFS('август 2024'!$G$4:$G$2015,'август 2024'!$D$4:$D$2015,$B115,'август 2024'!$J$4:$J$2015,AF$1)</f>
        <v>0</v>
      </c>
      <c r="AG115" s="80">
        <f>SUMIFS('август 2024'!$G$4:$G$2015,'август 2024'!$D$4:$D$2015,$B115,'август 2024'!$J$4:$J$2015,AG$1)</f>
        <v>0</v>
      </c>
      <c r="AH115" s="80">
        <f>SUMIFS('август 2024'!$G$4:$G$2015,'август 2024'!$D$4:$D$2015,$B115,'август 2024'!$J$4:$J$2015,AH$1)</f>
        <v>0</v>
      </c>
      <c r="AI115" s="21">
        <f t="shared" si="1"/>
        <v>0</v>
      </c>
    </row>
    <row r="116" spans="2:35" ht="15" customHeight="1" x14ac:dyDescent="0.25">
      <c r="B116" s="93" t="s">
        <v>330</v>
      </c>
      <c r="C116" s="91">
        <v>180</v>
      </c>
      <c r="D116" s="80">
        <f>SUMIFS('август 2024'!$G$4:$G$2015,'август 2024'!$D$4:$D$2015,$B116,'август 2024'!$J$4:$J$2015,D$1)</f>
        <v>0</v>
      </c>
      <c r="E116" s="80">
        <f>SUMIFS('август 2024'!$G$4:$G$2015,'август 2024'!$D$4:$D$2015,$B116,'август 2024'!$J$4:$J$2015,E$1)</f>
        <v>0</v>
      </c>
      <c r="F116" s="80">
        <f>SUMIFS('август 2024'!$G$4:$G$2015,'август 2024'!$D$4:$D$2015,$B116,'август 2024'!$J$4:$J$2015,F$1)</f>
        <v>0</v>
      </c>
      <c r="G116" s="80">
        <f>SUMIFS('август 2024'!$G$4:$G$2015,'август 2024'!$D$4:$D$2015,$B116,'август 2024'!$J$4:$J$2015,G$1)</f>
        <v>0</v>
      </c>
      <c r="H116" s="80">
        <f>SUMIFS('август 2024'!$G$4:$G$2015,'август 2024'!$D$4:$D$2015,$B116,'август 2024'!$J$4:$J$2015,H$1)</f>
        <v>0</v>
      </c>
      <c r="I116" s="80">
        <f>SUMIFS('август 2024'!$G$4:$G$2015,'август 2024'!$D$4:$D$2015,$B116,'август 2024'!$J$4:$J$2015,I$1)</f>
        <v>0</v>
      </c>
      <c r="J116" s="80">
        <f>SUMIFS('август 2024'!$G$4:$G$2015,'август 2024'!$D$4:$D$2015,$B116,'август 2024'!$J$4:$J$2015,J$1)</f>
        <v>0</v>
      </c>
      <c r="K116" s="80">
        <f>SUMIFS('август 2024'!$G$4:$G$2015,'август 2024'!$D$4:$D$2015,$B116,'август 2024'!$J$4:$J$2015,K$1)</f>
        <v>0</v>
      </c>
      <c r="L116" s="80">
        <f>SUMIFS('август 2024'!$G$4:$G$2015,'август 2024'!$D$4:$D$2015,$B116,'август 2024'!$J$4:$J$2015,L$1)</f>
        <v>0</v>
      </c>
      <c r="M116" s="80">
        <f>SUMIFS('август 2024'!$G$4:$G$2015,'август 2024'!$D$4:$D$2015,$B116,'август 2024'!$J$4:$J$2015,M$1)</f>
        <v>0</v>
      </c>
      <c r="N116" s="80">
        <f>SUMIFS('август 2024'!$G$4:$G$2015,'август 2024'!$D$4:$D$2015,$B116,'август 2024'!$J$4:$J$2015,N$1)</f>
        <v>0</v>
      </c>
      <c r="O116" s="80">
        <f>SUMIFS('август 2024'!$G$4:$G$2015,'август 2024'!$D$4:$D$2015,$B116,'август 2024'!$J$4:$J$2015,O$1)</f>
        <v>0</v>
      </c>
      <c r="P116" s="80">
        <f>SUMIFS('август 2024'!$G$4:$G$2015,'август 2024'!$D$4:$D$2015,$B116,'август 2024'!$J$4:$J$2015,P$1)</f>
        <v>0</v>
      </c>
      <c r="Q116" s="80">
        <f>SUMIFS('август 2024'!$G$4:$G$2015,'август 2024'!$D$4:$D$2015,$B116,'август 2024'!$J$4:$J$2015,Q$1)</f>
        <v>0</v>
      </c>
      <c r="R116" s="80">
        <f>SUMIFS('август 2024'!$G$4:$G$2015,'август 2024'!$D$4:$D$2015,$B116,'август 2024'!$J$4:$J$2015,R$1)</f>
        <v>0</v>
      </c>
      <c r="S116" s="80">
        <f>SUMIFS('август 2024'!$G$4:$G$2015,'август 2024'!$D$4:$D$2015,$B116,'август 2024'!$J$4:$J$2015,S$1)</f>
        <v>0</v>
      </c>
      <c r="T116" s="80">
        <f>SUMIFS('август 2024'!$G$4:$G$2015,'август 2024'!$D$4:$D$2015,$B116,'август 2024'!$J$4:$J$2015,T$1)</f>
        <v>0</v>
      </c>
      <c r="U116" s="80">
        <f>SUMIFS('август 2024'!$G$4:$G$2015,'август 2024'!$D$4:$D$2015,$B116,'август 2024'!$J$4:$J$2015,U$1)</f>
        <v>0</v>
      </c>
      <c r="V116" s="80">
        <f>SUMIFS('август 2024'!$G$4:$G$2015,'август 2024'!$D$4:$D$2015,$B116,'август 2024'!$J$4:$J$2015,V$1)</f>
        <v>0</v>
      </c>
      <c r="W116" s="80">
        <f>SUMIFS('август 2024'!$G$4:$G$2015,'август 2024'!$D$4:$D$2015,$B116,'август 2024'!$J$4:$J$2015,W$1)</f>
        <v>0</v>
      </c>
      <c r="X116" s="80">
        <f>SUMIFS('август 2024'!$G$4:$G$2015,'август 2024'!$D$4:$D$2015,$B116,'август 2024'!$J$4:$J$2015,X$1)</f>
        <v>0</v>
      </c>
      <c r="Y116" s="80">
        <f>SUMIFS('август 2024'!$G$4:$G$2015,'август 2024'!$D$4:$D$2015,$B116,'август 2024'!$J$4:$J$2015,Y$1)</f>
        <v>0</v>
      </c>
      <c r="Z116" s="80">
        <f>SUMIFS('август 2024'!$G$4:$G$2015,'август 2024'!$D$4:$D$2015,$B116,'август 2024'!$J$4:$J$2015,Z$1)</f>
        <v>0</v>
      </c>
      <c r="AA116" s="80">
        <f>SUMIFS('август 2024'!$G$4:$G$2015,'август 2024'!$D$4:$D$2015,$B116,'август 2024'!$J$4:$J$2015,AA$1)</f>
        <v>0</v>
      </c>
      <c r="AB116" s="80">
        <f>SUMIFS('август 2024'!$G$4:$G$2015,'август 2024'!$D$4:$D$2015,$B116,'август 2024'!$J$4:$J$2015,AB$1)</f>
        <v>0</v>
      </c>
      <c r="AC116" s="80">
        <f>SUMIFS('август 2024'!$G$4:$G$2015,'август 2024'!$D$4:$D$2015,$B116,'август 2024'!$J$4:$J$2015,AC$1)</f>
        <v>0</v>
      </c>
      <c r="AD116" s="80">
        <f>SUMIFS('август 2024'!$G$4:$G$2015,'август 2024'!$D$4:$D$2015,$B116,'август 2024'!$J$4:$J$2015,AD$1)</f>
        <v>0</v>
      </c>
      <c r="AE116" s="80">
        <f>SUMIFS('август 2024'!$G$4:$G$2015,'август 2024'!$D$4:$D$2015,$B116,'август 2024'!$J$4:$J$2015,AE$1)</f>
        <v>0</v>
      </c>
      <c r="AF116" s="80">
        <f>SUMIFS('август 2024'!$G$4:$G$2015,'август 2024'!$D$4:$D$2015,$B116,'август 2024'!$J$4:$J$2015,AF$1)</f>
        <v>0</v>
      </c>
      <c r="AG116" s="80">
        <f>SUMIFS('август 2024'!$G$4:$G$2015,'август 2024'!$D$4:$D$2015,$B116,'август 2024'!$J$4:$J$2015,AG$1)</f>
        <v>0</v>
      </c>
      <c r="AH116" s="80">
        <f>SUMIFS('август 2024'!$G$4:$G$2015,'август 2024'!$D$4:$D$2015,$B116,'август 2024'!$J$4:$J$2015,AH$1)</f>
        <v>0</v>
      </c>
      <c r="AI116" s="21">
        <f t="shared" si="1"/>
        <v>0</v>
      </c>
    </row>
    <row r="117" spans="2:35" ht="15" customHeight="1" x14ac:dyDescent="0.25">
      <c r="B117" s="93" t="s">
        <v>331</v>
      </c>
      <c r="C117" s="91">
        <v>200</v>
      </c>
      <c r="D117" s="80">
        <f>SUMIFS('август 2024'!$G$4:$G$2015,'август 2024'!$D$4:$D$2015,$B117,'август 2024'!$J$4:$J$2015,D$1)</f>
        <v>0</v>
      </c>
      <c r="E117" s="80">
        <f>SUMIFS('август 2024'!$G$4:$G$2015,'август 2024'!$D$4:$D$2015,$B117,'август 2024'!$J$4:$J$2015,E$1)</f>
        <v>0</v>
      </c>
      <c r="F117" s="80">
        <f>SUMIFS('август 2024'!$G$4:$G$2015,'август 2024'!$D$4:$D$2015,$B117,'август 2024'!$J$4:$J$2015,F$1)</f>
        <v>0</v>
      </c>
      <c r="G117" s="80">
        <f>SUMIFS('август 2024'!$G$4:$G$2015,'август 2024'!$D$4:$D$2015,$B117,'август 2024'!$J$4:$J$2015,G$1)</f>
        <v>0</v>
      </c>
      <c r="H117" s="80">
        <f>SUMIFS('август 2024'!$G$4:$G$2015,'август 2024'!$D$4:$D$2015,$B117,'август 2024'!$J$4:$J$2015,H$1)</f>
        <v>88</v>
      </c>
      <c r="I117" s="80">
        <f>SUMIFS('август 2024'!$G$4:$G$2015,'август 2024'!$D$4:$D$2015,$B117,'август 2024'!$J$4:$J$2015,I$1)</f>
        <v>0</v>
      </c>
      <c r="J117" s="80">
        <f>SUMIFS('август 2024'!$G$4:$G$2015,'август 2024'!$D$4:$D$2015,$B117,'август 2024'!$J$4:$J$2015,J$1)</f>
        <v>88</v>
      </c>
      <c r="K117" s="80">
        <f>SUMIFS('август 2024'!$G$4:$G$2015,'август 2024'!$D$4:$D$2015,$B117,'август 2024'!$J$4:$J$2015,K$1)</f>
        <v>0</v>
      </c>
      <c r="L117" s="80">
        <f>SUMIFS('август 2024'!$G$4:$G$2015,'август 2024'!$D$4:$D$2015,$B117,'август 2024'!$J$4:$J$2015,L$1)</f>
        <v>88</v>
      </c>
      <c r="M117" s="80">
        <f>SUMIFS('август 2024'!$G$4:$G$2015,'август 2024'!$D$4:$D$2015,$B117,'август 2024'!$J$4:$J$2015,M$1)</f>
        <v>0</v>
      </c>
      <c r="N117" s="80">
        <f>SUMIFS('август 2024'!$G$4:$G$2015,'август 2024'!$D$4:$D$2015,$B117,'август 2024'!$J$4:$J$2015,N$1)</f>
        <v>0</v>
      </c>
      <c r="O117" s="80">
        <f>SUMIFS('август 2024'!$G$4:$G$2015,'август 2024'!$D$4:$D$2015,$B117,'август 2024'!$J$4:$J$2015,O$1)</f>
        <v>0</v>
      </c>
      <c r="P117" s="80">
        <f>SUMIFS('август 2024'!$G$4:$G$2015,'август 2024'!$D$4:$D$2015,$B117,'август 2024'!$J$4:$J$2015,P$1)</f>
        <v>0</v>
      </c>
      <c r="Q117" s="80">
        <f>SUMIFS('август 2024'!$G$4:$G$2015,'август 2024'!$D$4:$D$2015,$B117,'август 2024'!$J$4:$J$2015,Q$1)</f>
        <v>0</v>
      </c>
      <c r="R117" s="80">
        <f>SUMIFS('август 2024'!$G$4:$G$2015,'август 2024'!$D$4:$D$2015,$B117,'август 2024'!$J$4:$J$2015,R$1)</f>
        <v>0</v>
      </c>
      <c r="S117" s="80">
        <f>SUMIFS('август 2024'!$G$4:$G$2015,'август 2024'!$D$4:$D$2015,$B117,'август 2024'!$J$4:$J$2015,S$1)</f>
        <v>0</v>
      </c>
      <c r="T117" s="80">
        <f>SUMIFS('август 2024'!$G$4:$G$2015,'август 2024'!$D$4:$D$2015,$B117,'август 2024'!$J$4:$J$2015,T$1)</f>
        <v>0</v>
      </c>
      <c r="U117" s="80">
        <f>SUMIFS('август 2024'!$G$4:$G$2015,'август 2024'!$D$4:$D$2015,$B117,'август 2024'!$J$4:$J$2015,U$1)</f>
        <v>0</v>
      </c>
      <c r="V117" s="80">
        <f>SUMIFS('август 2024'!$G$4:$G$2015,'август 2024'!$D$4:$D$2015,$B117,'август 2024'!$J$4:$J$2015,V$1)</f>
        <v>0</v>
      </c>
      <c r="W117" s="80">
        <f>SUMIFS('август 2024'!$G$4:$G$2015,'август 2024'!$D$4:$D$2015,$B117,'август 2024'!$J$4:$J$2015,W$1)</f>
        <v>88</v>
      </c>
      <c r="X117" s="80">
        <f>SUMIFS('август 2024'!$G$4:$G$2015,'август 2024'!$D$4:$D$2015,$B117,'август 2024'!$J$4:$J$2015,X$1)</f>
        <v>88</v>
      </c>
      <c r="Y117" s="80">
        <f>SUMIFS('август 2024'!$G$4:$G$2015,'август 2024'!$D$4:$D$2015,$B117,'август 2024'!$J$4:$J$2015,Y$1)</f>
        <v>0</v>
      </c>
      <c r="Z117" s="80">
        <f>SUMIFS('август 2024'!$G$4:$G$2015,'август 2024'!$D$4:$D$2015,$B117,'август 2024'!$J$4:$J$2015,Z$1)</f>
        <v>0</v>
      </c>
      <c r="AA117" s="80">
        <f>SUMIFS('август 2024'!$G$4:$G$2015,'август 2024'!$D$4:$D$2015,$B117,'август 2024'!$J$4:$J$2015,AA$1)</f>
        <v>0</v>
      </c>
      <c r="AB117" s="80">
        <f>SUMIFS('август 2024'!$G$4:$G$2015,'август 2024'!$D$4:$D$2015,$B117,'август 2024'!$J$4:$J$2015,AB$1)</f>
        <v>0</v>
      </c>
      <c r="AC117" s="80">
        <f>SUMIFS('август 2024'!$G$4:$G$2015,'август 2024'!$D$4:$D$2015,$B117,'август 2024'!$J$4:$J$2015,AC$1)</f>
        <v>0</v>
      </c>
      <c r="AD117" s="80">
        <f>SUMIFS('август 2024'!$G$4:$G$2015,'август 2024'!$D$4:$D$2015,$B117,'август 2024'!$J$4:$J$2015,AD$1)</f>
        <v>0</v>
      </c>
      <c r="AE117" s="80">
        <f>SUMIFS('август 2024'!$G$4:$G$2015,'август 2024'!$D$4:$D$2015,$B117,'август 2024'!$J$4:$J$2015,AE$1)</f>
        <v>0</v>
      </c>
      <c r="AF117" s="80">
        <f>SUMIFS('август 2024'!$G$4:$G$2015,'август 2024'!$D$4:$D$2015,$B117,'август 2024'!$J$4:$J$2015,AF$1)</f>
        <v>0</v>
      </c>
      <c r="AG117" s="80">
        <f>SUMIFS('август 2024'!$G$4:$G$2015,'август 2024'!$D$4:$D$2015,$B117,'август 2024'!$J$4:$J$2015,AG$1)</f>
        <v>0</v>
      </c>
      <c r="AH117" s="80">
        <f>SUMIFS('август 2024'!$G$4:$G$2015,'август 2024'!$D$4:$D$2015,$B117,'август 2024'!$J$4:$J$2015,AH$1)</f>
        <v>0</v>
      </c>
      <c r="AI117" s="21">
        <f t="shared" si="1"/>
        <v>440</v>
      </c>
    </row>
    <row r="118" spans="2:35" ht="15" customHeight="1" x14ac:dyDescent="0.25">
      <c r="B118" s="89" t="s">
        <v>164</v>
      </c>
      <c r="C118" s="88">
        <v>950</v>
      </c>
      <c r="D118" s="80">
        <f>SUMIFS('август 2024'!$G$4:$G$2015,'август 2024'!$D$4:$D$2015,$B118,'август 2024'!$J$4:$J$2015,D$1)</f>
        <v>0</v>
      </c>
      <c r="E118" s="80">
        <f>SUMIFS('август 2024'!$G$4:$G$2015,'август 2024'!$D$4:$D$2015,$B118,'август 2024'!$J$4:$J$2015,E$1)</f>
        <v>0</v>
      </c>
      <c r="F118" s="80">
        <f>SUMIFS('август 2024'!$G$4:$G$2015,'август 2024'!$D$4:$D$2015,$B118,'август 2024'!$J$4:$J$2015,F$1)</f>
        <v>0</v>
      </c>
      <c r="G118" s="80">
        <f>SUMIFS('август 2024'!$G$4:$G$2015,'август 2024'!$D$4:$D$2015,$B118,'август 2024'!$J$4:$J$2015,G$1)</f>
        <v>0</v>
      </c>
      <c r="H118" s="80">
        <f>SUMIFS('август 2024'!$G$4:$G$2015,'август 2024'!$D$4:$D$2015,$B118,'август 2024'!$J$4:$J$2015,H$1)</f>
        <v>0</v>
      </c>
      <c r="I118" s="80">
        <f>SUMIFS('август 2024'!$G$4:$G$2015,'август 2024'!$D$4:$D$2015,$B118,'август 2024'!$J$4:$J$2015,I$1)</f>
        <v>0</v>
      </c>
      <c r="J118" s="80">
        <f>SUMIFS('август 2024'!$G$4:$G$2015,'август 2024'!$D$4:$D$2015,$B118,'август 2024'!$J$4:$J$2015,J$1)</f>
        <v>0</v>
      </c>
      <c r="K118" s="80">
        <f>SUMIFS('август 2024'!$G$4:$G$2015,'август 2024'!$D$4:$D$2015,$B118,'август 2024'!$J$4:$J$2015,K$1)</f>
        <v>0</v>
      </c>
      <c r="L118" s="80">
        <f>SUMIFS('август 2024'!$G$4:$G$2015,'август 2024'!$D$4:$D$2015,$B118,'август 2024'!$J$4:$J$2015,L$1)</f>
        <v>0</v>
      </c>
      <c r="M118" s="80">
        <f>SUMIFS('август 2024'!$G$4:$G$2015,'август 2024'!$D$4:$D$2015,$B118,'август 2024'!$J$4:$J$2015,M$1)</f>
        <v>0</v>
      </c>
      <c r="N118" s="80">
        <f>SUMIFS('август 2024'!$G$4:$G$2015,'август 2024'!$D$4:$D$2015,$B118,'август 2024'!$J$4:$J$2015,N$1)</f>
        <v>0</v>
      </c>
      <c r="O118" s="80">
        <f>SUMIFS('август 2024'!$G$4:$G$2015,'август 2024'!$D$4:$D$2015,$B118,'август 2024'!$J$4:$J$2015,O$1)</f>
        <v>0</v>
      </c>
      <c r="P118" s="80">
        <f>SUMIFS('август 2024'!$G$4:$G$2015,'август 2024'!$D$4:$D$2015,$B118,'август 2024'!$J$4:$J$2015,P$1)</f>
        <v>0</v>
      </c>
      <c r="Q118" s="80">
        <f>SUMIFS('август 2024'!$G$4:$G$2015,'август 2024'!$D$4:$D$2015,$B118,'август 2024'!$J$4:$J$2015,Q$1)</f>
        <v>0</v>
      </c>
      <c r="R118" s="80">
        <f>SUMIFS('август 2024'!$G$4:$G$2015,'август 2024'!$D$4:$D$2015,$B118,'август 2024'!$J$4:$J$2015,R$1)</f>
        <v>0</v>
      </c>
      <c r="S118" s="80">
        <f>SUMIFS('август 2024'!$G$4:$G$2015,'август 2024'!$D$4:$D$2015,$B118,'август 2024'!$J$4:$J$2015,S$1)</f>
        <v>0</v>
      </c>
      <c r="T118" s="80">
        <f>SUMIFS('август 2024'!$G$4:$G$2015,'август 2024'!$D$4:$D$2015,$B118,'август 2024'!$J$4:$J$2015,T$1)</f>
        <v>0</v>
      </c>
      <c r="U118" s="80">
        <f>SUMIFS('август 2024'!$G$4:$G$2015,'август 2024'!$D$4:$D$2015,$B118,'август 2024'!$J$4:$J$2015,U$1)</f>
        <v>0</v>
      </c>
      <c r="V118" s="80">
        <f>SUMIFS('август 2024'!$G$4:$G$2015,'август 2024'!$D$4:$D$2015,$B118,'август 2024'!$J$4:$J$2015,V$1)</f>
        <v>0</v>
      </c>
      <c r="W118" s="80">
        <f>SUMIFS('август 2024'!$G$4:$G$2015,'август 2024'!$D$4:$D$2015,$B118,'август 2024'!$J$4:$J$2015,W$1)</f>
        <v>0</v>
      </c>
      <c r="X118" s="80">
        <f>SUMIFS('август 2024'!$G$4:$G$2015,'август 2024'!$D$4:$D$2015,$B118,'август 2024'!$J$4:$J$2015,X$1)</f>
        <v>0</v>
      </c>
      <c r="Y118" s="80">
        <f>SUMIFS('август 2024'!$G$4:$G$2015,'август 2024'!$D$4:$D$2015,$B118,'август 2024'!$J$4:$J$2015,Y$1)</f>
        <v>0</v>
      </c>
      <c r="Z118" s="80">
        <f>SUMIFS('август 2024'!$G$4:$G$2015,'август 2024'!$D$4:$D$2015,$B118,'август 2024'!$J$4:$J$2015,Z$1)</f>
        <v>0</v>
      </c>
      <c r="AA118" s="80">
        <f>SUMIFS('август 2024'!$G$4:$G$2015,'август 2024'!$D$4:$D$2015,$B118,'август 2024'!$J$4:$J$2015,AA$1)</f>
        <v>0</v>
      </c>
      <c r="AB118" s="80">
        <f>SUMIFS('август 2024'!$G$4:$G$2015,'август 2024'!$D$4:$D$2015,$B118,'август 2024'!$J$4:$J$2015,AB$1)</f>
        <v>0</v>
      </c>
      <c r="AC118" s="80">
        <f>SUMIFS('август 2024'!$G$4:$G$2015,'август 2024'!$D$4:$D$2015,$B118,'август 2024'!$J$4:$J$2015,AC$1)</f>
        <v>0</v>
      </c>
      <c r="AD118" s="80">
        <f>SUMIFS('август 2024'!$G$4:$G$2015,'август 2024'!$D$4:$D$2015,$B118,'август 2024'!$J$4:$J$2015,AD$1)</f>
        <v>0</v>
      </c>
      <c r="AE118" s="80">
        <f>SUMIFS('август 2024'!$G$4:$G$2015,'август 2024'!$D$4:$D$2015,$B118,'август 2024'!$J$4:$J$2015,AE$1)</f>
        <v>0</v>
      </c>
      <c r="AF118" s="80">
        <f>SUMIFS('август 2024'!$G$4:$G$2015,'август 2024'!$D$4:$D$2015,$B118,'август 2024'!$J$4:$J$2015,AF$1)</f>
        <v>0</v>
      </c>
      <c r="AG118" s="80">
        <f>SUMIFS('август 2024'!$G$4:$G$2015,'август 2024'!$D$4:$D$2015,$B118,'август 2024'!$J$4:$J$2015,AG$1)</f>
        <v>0</v>
      </c>
      <c r="AH118" s="80">
        <f>SUMIFS('август 2024'!$G$4:$G$2015,'август 2024'!$D$4:$D$2015,$B118,'август 2024'!$J$4:$J$2015,AH$1)</f>
        <v>0</v>
      </c>
      <c r="AI118" s="21">
        <f t="shared" si="1"/>
        <v>0</v>
      </c>
    </row>
    <row r="119" spans="2:35" ht="15" customHeight="1" x14ac:dyDescent="0.25">
      <c r="B119" s="89" t="s">
        <v>193</v>
      </c>
      <c r="C119" s="88">
        <v>180</v>
      </c>
      <c r="D119" s="80">
        <f>SUMIFS('август 2024'!$G$4:$G$2015,'август 2024'!$D$4:$D$2015,$B119,'август 2024'!$J$4:$J$2015,D$1)</f>
        <v>0</v>
      </c>
      <c r="E119" s="80">
        <f>SUMIFS('август 2024'!$G$4:$G$2015,'август 2024'!$D$4:$D$2015,$B119,'август 2024'!$J$4:$J$2015,E$1)</f>
        <v>0</v>
      </c>
      <c r="F119" s="80">
        <f>SUMIFS('август 2024'!$G$4:$G$2015,'август 2024'!$D$4:$D$2015,$B119,'август 2024'!$J$4:$J$2015,F$1)</f>
        <v>0</v>
      </c>
      <c r="G119" s="80">
        <f>SUMIFS('август 2024'!$G$4:$G$2015,'август 2024'!$D$4:$D$2015,$B119,'август 2024'!$J$4:$J$2015,G$1)</f>
        <v>0</v>
      </c>
      <c r="H119" s="80">
        <f>SUMIFS('август 2024'!$G$4:$G$2015,'август 2024'!$D$4:$D$2015,$B119,'август 2024'!$J$4:$J$2015,H$1)</f>
        <v>0</v>
      </c>
      <c r="I119" s="80">
        <f>SUMIFS('август 2024'!$G$4:$G$2015,'август 2024'!$D$4:$D$2015,$B119,'август 2024'!$J$4:$J$2015,I$1)</f>
        <v>0</v>
      </c>
      <c r="J119" s="80">
        <f>SUMIFS('август 2024'!$G$4:$G$2015,'август 2024'!$D$4:$D$2015,$B119,'август 2024'!$J$4:$J$2015,J$1)</f>
        <v>0</v>
      </c>
      <c r="K119" s="80">
        <f>SUMIFS('август 2024'!$G$4:$G$2015,'август 2024'!$D$4:$D$2015,$B119,'август 2024'!$J$4:$J$2015,K$1)</f>
        <v>0</v>
      </c>
      <c r="L119" s="80">
        <f>SUMIFS('август 2024'!$G$4:$G$2015,'август 2024'!$D$4:$D$2015,$B119,'август 2024'!$J$4:$J$2015,L$1)</f>
        <v>0</v>
      </c>
      <c r="M119" s="80">
        <f>SUMIFS('август 2024'!$G$4:$G$2015,'август 2024'!$D$4:$D$2015,$B119,'август 2024'!$J$4:$J$2015,M$1)</f>
        <v>0</v>
      </c>
      <c r="N119" s="80">
        <f>SUMIFS('август 2024'!$G$4:$G$2015,'август 2024'!$D$4:$D$2015,$B119,'август 2024'!$J$4:$J$2015,N$1)</f>
        <v>0</v>
      </c>
      <c r="O119" s="80">
        <f>SUMIFS('август 2024'!$G$4:$G$2015,'август 2024'!$D$4:$D$2015,$B119,'август 2024'!$J$4:$J$2015,O$1)</f>
        <v>0</v>
      </c>
      <c r="P119" s="80">
        <f>SUMIFS('август 2024'!$G$4:$G$2015,'август 2024'!$D$4:$D$2015,$B119,'август 2024'!$J$4:$J$2015,P$1)</f>
        <v>0</v>
      </c>
      <c r="Q119" s="80">
        <f>SUMIFS('август 2024'!$G$4:$G$2015,'август 2024'!$D$4:$D$2015,$B119,'август 2024'!$J$4:$J$2015,Q$1)</f>
        <v>0</v>
      </c>
      <c r="R119" s="80">
        <f>SUMIFS('август 2024'!$G$4:$G$2015,'август 2024'!$D$4:$D$2015,$B119,'август 2024'!$J$4:$J$2015,R$1)</f>
        <v>0</v>
      </c>
      <c r="S119" s="80">
        <f>SUMIFS('август 2024'!$G$4:$G$2015,'август 2024'!$D$4:$D$2015,$B119,'август 2024'!$J$4:$J$2015,S$1)</f>
        <v>0</v>
      </c>
      <c r="T119" s="80">
        <f>SUMIFS('август 2024'!$G$4:$G$2015,'август 2024'!$D$4:$D$2015,$B119,'август 2024'!$J$4:$J$2015,T$1)</f>
        <v>0</v>
      </c>
      <c r="U119" s="80">
        <f>SUMIFS('август 2024'!$G$4:$G$2015,'август 2024'!$D$4:$D$2015,$B119,'август 2024'!$J$4:$J$2015,U$1)</f>
        <v>0</v>
      </c>
      <c r="V119" s="80">
        <f>SUMIFS('август 2024'!$G$4:$G$2015,'август 2024'!$D$4:$D$2015,$B119,'август 2024'!$J$4:$J$2015,V$1)</f>
        <v>0</v>
      </c>
      <c r="W119" s="80">
        <f>SUMIFS('август 2024'!$G$4:$G$2015,'август 2024'!$D$4:$D$2015,$B119,'август 2024'!$J$4:$J$2015,W$1)</f>
        <v>0</v>
      </c>
      <c r="X119" s="80">
        <f>SUMIFS('август 2024'!$G$4:$G$2015,'август 2024'!$D$4:$D$2015,$B119,'август 2024'!$J$4:$J$2015,X$1)</f>
        <v>0</v>
      </c>
      <c r="Y119" s="80">
        <f>SUMIFS('август 2024'!$G$4:$G$2015,'август 2024'!$D$4:$D$2015,$B119,'август 2024'!$J$4:$J$2015,Y$1)</f>
        <v>0</v>
      </c>
      <c r="Z119" s="80">
        <f>SUMIFS('август 2024'!$G$4:$G$2015,'август 2024'!$D$4:$D$2015,$B119,'август 2024'!$J$4:$J$2015,Z$1)</f>
        <v>0</v>
      </c>
      <c r="AA119" s="80">
        <f>SUMIFS('август 2024'!$G$4:$G$2015,'август 2024'!$D$4:$D$2015,$B119,'август 2024'!$J$4:$J$2015,AA$1)</f>
        <v>0</v>
      </c>
      <c r="AB119" s="80">
        <f>SUMIFS('август 2024'!$G$4:$G$2015,'август 2024'!$D$4:$D$2015,$B119,'август 2024'!$J$4:$J$2015,AB$1)</f>
        <v>0</v>
      </c>
      <c r="AC119" s="80">
        <f>SUMIFS('август 2024'!$G$4:$G$2015,'август 2024'!$D$4:$D$2015,$B119,'август 2024'!$J$4:$J$2015,AC$1)</f>
        <v>0</v>
      </c>
      <c r="AD119" s="80">
        <f>SUMIFS('август 2024'!$G$4:$G$2015,'август 2024'!$D$4:$D$2015,$B119,'август 2024'!$J$4:$J$2015,AD$1)</f>
        <v>0</v>
      </c>
      <c r="AE119" s="80">
        <f>SUMIFS('август 2024'!$G$4:$G$2015,'август 2024'!$D$4:$D$2015,$B119,'август 2024'!$J$4:$J$2015,AE$1)</f>
        <v>0</v>
      </c>
      <c r="AF119" s="80">
        <f>SUMIFS('август 2024'!$G$4:$G$2015,'август 2024'!$D$4:$D$2015,$B119,'август 2024'!$J$4:$J$2015,AF$1)</f>
        <v>0</v>
      </c>
      <c r="AG119" s="80">
        <f>SUMIFS('август 2024'!$G$4:$G$2015,'август 2024'!$D$4:$D$2015,$B119,'август 2024'!$J$4:$J$2015,AG$1)</f>
        <v>0</v>
      </c>
      <c r="AH119" s="80">
        <f>SUMIFS('август 2024'!$G$4:$G$2015,'август 2024'!$D$4:$D$2015,$B119,'август 2024'!$J$4:$J$2015,AH$1)</f>
        <v>0</v>
      </c>
      <c r="AI119" s="21">
        <f t="shared" si="1"/>
        <v>0</v>
      </c>
    </row>
    <row r="120" spans="2:35" ht="15" customHeight="1" x14ac:dyDescent="0.25">
      <c r="B120" s="89" t="s">
        <v>1070</v>
      </c>
      <c r="C120" s="88">
        <v>180</v>
      </c>
      <c r="D120" s="80">
        <f>SUMIFS('август 2024'!$G$4:$G$2015,'август 2024'!$D$4:$D$2015,$B120,'август 2024'!$J$4:$J$2015,D$1)</f>
        <v>0</v>
      </c>
      <c r="E120" s="80">
        <f>SUMIFS('август 2024'!$G$4:$G$2015,'август 2024'!$D$4:$D$2015,$B120,'август 2024'!$J$4:$J$2015,E$1)</f>
        <v>0</v>
      </c>
      <c r="F120" s="80">
        <f>SUMIFS('август 2024'!$G$4:$G$2015,'август 2024'!$D$4:$D$2015,$B120,'август 2024'!$J$4:$J$2015,F$1)</f>
        <v>0</v>
      </c>
      <c r="G120" s="80">
        <f>SUMIFS('август 2024'!$G$4:$G$2015,'август 2024'!$D$4:$D$2015,$B120,'август 2024'!$J$4:$J$2015,G$1)</f>
        <v>0</v>
      </c>
      <c r="H120" s="80">
        <f>SUMIFS('август 2024'!$G$4:$G$2015,'август 2024'!$D$4:$D$2015,$B120,'август 2024'!$J$4:$J$2015,H$1)</f>
        <v>0</v>
      </c>
      <c r="I120" s="80">
        <f>SUMIFS('август 2024'!$G$4:$G$2015,'август 2024'!$D$4:$D$2015,$B120,'август 2024'!$J$4:$J$2015,I$1)</f>
        <v>0</v>
      </c>
      <c r="J120" s="80">
        <f>SUMIFS('август 2024'!$G$4:$G$2015,'август 2024'!$D$4:$D$2015,$B120,'август 2024'!$J$4:$J$2015,J$1)</f>
        <v>0</v>
      </c>
      <c r="K120" s="80">
        <f>SUMIFS('август 2024'!$G$4:$G$2015,'август 2024'!$D$4:$D$2015,$B120,'август 2024'!$J$4:$J$2015,K$1)</f>
        <v>0</v>
      </c>
      <c r="L120" s="80">
        <f>SUMIFS('август 2024'!$G$4:$G$2015,'август 2024'!$D$4:$D$2015,$B120,'август 2024'!$J$4:$J$2015,L$1)</f>
        <v>0</v>
      </c>
      <c r="M120" s="80">
        <f>SUMIFS('август 2024'!$G$4:$G$2015,'август 2024'!$D$4:$D$2015,$B120,'август 2024'!$J$4:$J$2015,M$1)</f>
        <v>0</v>
      </c>
      <c r="N120" s="80">
        <f>SUMIFS('август 2024'!$G$4:$G$2015,'август 2024'!$D$4:$D$2015,$B120,'август 2024'!$J$4:$J$2015,N$1)</f>
        <v>0</v>
      </c>
      <c r="O120" s="80">
        <f>SUMIFS('август 2024'!$G$4:$G$2015,'август 2024'!$D$4:$D$2015,$B120,'август 2024'!$J$4:$J$2015,O$1)</f>
        <v>0</v>
      </c>
      <c r="P120" s="80">
        <f>SUMIFS('август 2024'!$G$4:$G$2015,'август 2024'!$D$4:$D$2015,$B120,'август 2024'!$J$4:$J$2015,P$1)</f>
        <v>0</v>
      </c>
      <c r="Q120" s="80">
        <f>SUMIFS('август 2024'!$G$4:$G$2015,'август 2024'!$D$4:$D$2015,$B120,'август 2024'!$J$4:$J$2015,Q$1)</f>
        <v>0</v>
      </c>
      <c r="R120" s="80">
        <f>SUMIFS('август 2024'!$G$4:$G$2015,'август 2024'!$D$4:$D$2015,$B120,'август 2024'!$J$4:$J$2015,R$1)</f>
        <v>0</v>
      </c>
      <c r="S120" s="80">
        <f>SUMIFS('август 2024'!$G$4:$G$2015,'август 2024'!$D$4:$D$2015,$B120,'август 2024'!$J$4:$J$2015,S$1)</f>
        <v>0</v>
      </c>
      <c r="T120" s="80">
        <f>SUMIFS('август 2024'!$G$4:$G$2015,'август 2024'!$D$4:$D$2015,$B120,'август 2024'!$J$4:$J$2015,T$1)</f>
        <v>0</v>
      </c>
      <c r="U120" s="80">
        <f>SUMIFS('август 2024'!$G$4:$G$2015,'август 2024'!$D$4:$D$2015,$B120,'август 2024'!$J$4:$J$2015,U$1)</f>
        <v>0</v>
      </c>
      <c r="V120" s="80">
        <f>SUMIFS('август 2024'!$G$4:$G$2015,'август 2024'!$D$4:$D$2015,$B120,'август 2024'!$J$4:$J$2015,V$1)</f>
        <v>0</v>
      </c>
      <c r="W120" s="80">
        <f>SUMIFS('август 2024'!$G$4:$G$2015,'август 2024'!$D$4:$D$2015,$B120,'август 2024'!$J$4:$J$2015,W$1)</f>
        <v>0</v>
      </c>
      <c r="X120" s="80">
        <f>SUMIFS('август 2024'!$G$4:$G$2015,'август 2024'!$D$4:$D$2015,$B120,'август 2024'!$J$4:$J$2015,X$1)</f>
        <v>0</v>
      </c>
      <c r="Y120" s="80">
        <f>SUMIFS('август 2024'!$G$4:$G$2015,'август 2024'!$D$4:$D$2015,$B120,'август 2024'!$J$4:$J$2015,Y$1)</f>
        <v>0</v>
      </c>
      <c r="Z120" s="80">
        <f>SUMIFS('август 2024'!$G$4:$G$2015,'август 2024'!$D$4:$D$2015,$B120,'август 2024'!$J$4:$J$2015,Z$1)</f>
        <v>0</v>
      </c>
      <c r="AA120" s="80">
        <f>SUMIFS('август 2024'!$G$4:$G$2015,'август 2024'!$D$4:$D$2015,$B120,'август 2024'!$J$4:$J$2015,AA$1)</f>
        <v>0</v>
      </c>
      <c r="AB120" s="80">
        <f>SUMIFS('август 2024'!$G$4:$G$2015,'август 2024'!$D$4:$D$2015,$B120,'август 2024'!$J$4:$J$2015,AB$1)</f>
        <v>0</v>
      </c>
      <c r="AC120" s="80">
        <f>SUMIFS('август 2024'!$G$4:$G$2015,'август 2024'!$D$4:$D$2015,$B120,'август 2024'!$J$4:$J$2015,AC$1)</f>
        <v>0</v>
      </c>
      <c r="AD120" s="80">
        <f>SUMIFS('август 2024'!$G$4:$G$2015,'август 2024'!$D$4:$D$2015,$B120,'август 2024'!$J$4:$J$2015,AD$1)</f>
        <v>0</v>
      </c>
      <c r="AE120" s="80">
        <f>SUMIFS('август 2024'!$G$4:$G$2015,'август 2024'!$D$4:$D$2015,$B120,'август 2024'!$J$4:$J$2015,AE$1)</f>
        <v>0</v>
      </c>
      <c r="AF120" s="80">
        <f>SUMIFS('август 2024'!$G$4:$G$2015,'август 2024'!$D$4:$D$2015,$B120,'август 2024'!$J$4:$J$2015,AF$1)</f>
        <v>0</v>
      </c>
      <c r="AG120" s="80">
        <f>SUMIFS('август 2024'!$G$4:$G$2015,'август 2024'!$D$4:$D$2015,$B120,'август 2024'!$J$4:$J$2015,AG$1)</f>
        <v>0</v>
      </c>
      <c r="AH120" s="80">
        <f>SUMIFS('август 2024'!$G$4:$G$2015,'август 2024'!$D$4:$D$2015,$B120,'август 2024'!$J$4:$J$2015,AH$1)</f>
        <v>0</v>
      </c>
      <c r="AI120" s="21"/>
    </row>
    <row r="121" spans="2:35" ht="15" customHeight="1" x14ac:dyDescent="0.25">
      <c r="B121" s="89" t="s">
        <v>177</v>
      </c>
      <c r="C121" s="88">
        <v>200</v>
      </c>
      <c r="D121" s="80">
        <f>SUMIFS('август 2024'!$G$4:$G$2015,'август 2024'!$D$4:$D$2015,$B121,'август 2024'!$J$4:$J$2015,D$1)</f>
        <v>0</v>
      </c>
      <c r="E121" s="80">
        <f>SUMIFS('август 2024'!$G$4:$G$2015,'август 2024'!$D$4:$D$2015,$B121,'август 2024'!$J$4:$J$2015,E$1)</f>
        <v>0</v>
      </c>
      <c r="F121" s="80">
        <f>SUMIFS('август 2024'!$G$4:$G$2015,'август 2024'!$D$4:$D$2015,$B121,'август 2024'!$J$4:$J$2015,F$1)</f>
        <v>0</v>
      </c>
      <c r="G121" s="80">
        <f>SUMIFS('август 2024'!$G$4:$G$2015,'август 2024'!$D$4:$D$2015,$B121,'август 2024'!$J$4:$J$2015,G$1)</f>
        <v>0</v>
      </c>
      <c r="H121" s="80">
        <f>SUMIFS('август 2024'!$G$4:$G$2015,'август 2024'!$D$4:$D$2015,$B121,'август 2024'!$J$4:$J$2015,H$1)</f>
        <v>0</v>
      </c>
      <c r="I121" s="80">
        <f>SUMIFS('август 2024'!$G$4:$G$2015,'август 2024'!$D$4:$D$2015,$B121,'август 2024'!$J$4:$J$2015,I$1)</f>
        <v>0</v>
      </c>
      <c r="J121" s="80">
        <f>SUMIFS('август 2024'!$G$4:$G$2015,'август 2024'!$D$4:$D$2015,$B121,'август 2024'!$J$4:$J$2015,J$1)</f>
        <v>0</v>
      </c>
      <c r="K121" s="80">
        <f>SUMIFS('август 2024'!$G$4:$G$2015,'август 2024'!$D$4:$D$2015,$B121,'август 2024'!$J$4:$J$2015,K$1)</f>
        <v>0</v>
      </c>
      <c r="L121" s="80">
        <f>SUMIFS('август 2024'!$G$4:$G$2015,'август 2024'!$D$4:$D$2015,$B121,'август 2024'!$J$4:$J$2015,L$1)</f>
        <v>0</v>
      </c>
      <c r="M121" s="80">
        <f>SUMIFS('август 2024'!$G$4:$G$2015,'август 2024'!$D$4:$D$2015,$B121,'август 2024'!$J$4:$J$2015,M$1)</f>
        <v>0</v>
      </c>
      <c r="N121" s="80">
        <f>SUMIFS('август 2024'!$G$4:$G$2015,'август 2024'!$D$4:$D$2015,$B121,'август 2024'!$J$4:$J$2015,N$1)</f>
        <v>0</v>
      </c>
      <c r="O121" s="80">
        <f>SUMIFS('август 2024'!$G$4:$G$2015,'август 2024'!$D$4:$D$2015,$B121,'август 2024'!$J$4:$J$2015,O$1)</f>
        <v>0</v>
      </c>
      <c r="P121" s="80">
        <f>SUMIFS('август 2024'!$G$4:$G$2015,'август 2024'!$D$4:$D$2015,$B121,'август 2024'!$J$4:$J$2015,P$1)</f>
        <v>0</v>
      </c>
      <c r="Q121" s="80">
        <f>SUMIFS('август 2024'!$G$4:$G$2015,'август 2024'!$D$4:$D$2015,$B121,'август 2024'!$J$4:$J$2015,Q$1)</f>
        <v>0</v>
      </c>
      <c r="R121" s="80">
        <f>SUMIFS('август 2024'!$G$4:$G$2015,'август 2024'!$D$4:$D$2015,$B121,'август 2024'!$J$4:$J$2015,R$1)</f>
        <v>0</v>
      </c>
      <c r="S121" s="80">
        <f>SUMIFS('август 2024'!$G$4:$G$2015,'август 2024'!$D$4:$D$2015,$B121,'август 2024'!$J$4:$J$2015,S$1)</f>
        <v>0</v>
      </c>
      <c r="T121" s="80">
        <f>SUMIFS('август 2024'!$G$4:$G$2015,'август 2024'!$D$4:$D$2015,$B121,'август 2024'!$J$4:$J$2015,T$1)</f>
        <v>0</v>
      </c>
      <c r="U121" s="80">
        <f>SUMIFS('август 2024'!$G$4:$G$2015,'август 2024'!$D$4:$D$2015,$B121,'август 2024'!$J$4:$J$2015,U$1)</f>
        <v>0</v>
      </c>
      <c r="V121" s="80">
        <f>SUMIFS('август 2024'!$G$4:$G$2015,'август 2024'!$D$4:$D$2015,$B121,'август 2024'!$J$4:$J$2015,V$1)</f>
        <v>0</v>
      </c>
      <c r="W121" s="80">
        <f>SUMIFS('август 2024'!$G$4:$G$2015,'август 2024'!$D$4:$D$2015,$B121,'август 2024'!$J$4:$J$2015,W$1)</f>
        <v>0</v>
      </c>
      <c r="X121" s="80">
        <f>SUMIFS('август 2024'!$G$4:$G$2015,'август 2024'!$D$4:$D$2015,$B121,'август 2024'!$J$4:$J$2015,X$1)</f>
        <v>0</v>
      </c>
      <c r="Y121" s="80">
        <f>SUMIFS('август 2024'!$G$4:$G$2015,'август 2024'!$D$4:$D$2015,$B121,'август 2024'!$J$4:$J$2015,Y$1)</f>
        <v>0</v>
      </c>
      <c r="Z121" s="80">
        <f>SUMIFS('август 2024'!$G$4:$G$2015,'август 2024'!$D$4:$D$2015,$B121,'август 2024'!$J$4:$J$2015,Z$1)</f>
        <v>0</v>
      </c>
      <c r="AA121" s="80">
        <f>SUMIFS('август 2024'!$G$4:$G$2015,'август 2024'!$D$4:$D$2015,$B121,'август 2024'!$J$4:$J$2015,AA$1)</f>
        <v>0</v>
      </c>
      <c r="AB121" s="80">
        <f>SUMIFS('август 2024'!$G$4:$G$2015,'август 2024'!$D$4:$D$2015,$B121,'август 2024'!$J$4:$J$2015,AB$1)</f>
        <v>0</v>
      </c>
      <c r="AC121" s="80">
        <f>SUMIFS('август 2024'!$G$4:$G$2015,'август 2024'!$D$4:$D$2015,$B121,'август 2024'!$J$4:$J$2015,AC$1)</f>
        <v>0</v>
      </c>
      <c r="AD121" s="80">
        <f>SUMIFS('август 2024'!$G$4:$G$2015,'август 2024'!$D$4:$D$2015,$B121,'август 2024'!$J$4:$J$2015,AD$1)</f>
        <v>0</v>
      </c>
      <c r="AE121" s="80">
        <f>SUMIFS('август 2024'!$G$4:$G$2015,'август 2024'!$D$4:$D$2015,$B121,'август 2024'!$J$4:$J$2015,AE$1)</f>
        <v>0</v>
      </c>
      <c r="AF121" s="80">
        <f>SUMIFS('август 2024'!$G$4:$G$2015,'август 2024'!$D$4:$D$2015,$B121,'август 2024'!$J$4:$J$2015,AF$1)</f>
        <v>0</v>
      </c>
      <c r="AG121" s="80">
        <f>SUMIFS('август 2024'!$G$4:$G$2015,'август 2024'!$D$4:$D$2015,$B121,'август 2024'!$J$4:$J$2015,AG$1)</f>
        <v>0</v>
      </c>
      <c r="AH121" s="80">
        <f>SUMIFS('август 2024'!$G$4:$G$2015,'август 2024'!$D$4:$D$2015,$B121,'август 2024'!$J$4:$J$2015,AH$1)</f>
        <v>0</v>
      </c>
      <c r="AI121" s="21">
        <f t="shared" si="1"/>
        <v>0</v>
      </c>
    </row>
    <row r="122" spans="2:35" ht="15" customHeight="1" x14ac:dyDescent="0.25">
      <c r="B122" s="89" t="s">
        <v>178</v>
      </c>
      <c r="C122" s="88">
        <v>200</v>
      </c>
      <c r="D122" s="80">
        <f>SUMIFS('август 2024'!$G$4:$G$2015,'август 2024'!$D$4:$D$2015,$B122,'август 2024'!$J$4:$J$2015,D$1)</f>
        <v>0</v>
      </c>
      <c r="E122" s="80">
        <f>SUMIFS('август 2024'!$G$4:$G$2015,'август 2024'!$D$4:$D$2015,$B122,'август 2024'!$J$4:$J$2015,E$1)</f>
        <v>0</v>
      </c>
      <c r="F122" s="80">
        <f>SUMIFS('август 2024'!$G$4:$G$2015,'август 2024'!$D$4:$D$2015,$B122,'август 2024'!$J$4:$J$2015,F$1)</f>
        <v>0</v>
      </c>
      <c r="G122" s="80">
        <f>SUMIFS('август 2024'!$G$4:$G$2015,'август 2024'!$D$4:$D$2015,$B122,'август 2024'!$J$4:$J$2015,G$1)</f>
        <v>0</v>
      </c>
      <c r="H122" s="80">
        <f>SUMIFS('август 2024'!$G$4:$G$2015,'август 2024'!$D$4:$D$2015,$B122,'август 2024'!$J$4:$J$2015,H$1)</f>
        <v>0</v>
      </c>
      <c r="I122" s="80">
        <f>SUMIFS('август 2024'!$G$4:$G$2015,'август 2024'!$D$4:$D$2015,$B122,'август 2024'!$J$4:$J$2015,I$1)</f>
        <v>0</v>
      </c>
      <c r="J122" s="80">
        <f>SUMIFS('август 2024'!$G$4:$G$2015,'август 2024'!$D$4:$D$2015,$B122,'август 2024'!$J$4:$J$2015,J$1)</f>
        <v>0</v>
      </c>
      <c r="K122" s="80">
        <f>SUMIFS('август 2024'!$G$4:$G$2015,'август 2024'!$D$4:$D$2015,$B122,'август 2024'!$J$4:$J$2015,K$1)</f>
        <v>0</v>
      </c>
      <c r="L122" s="80">
        <f>SUMIFS('август 2024'!$G$4:$G$2015,'август 2024'!$D$4:$D$2015,$B122,'август 2024'!$J$4:$J$2015,L$1)</f>
        <v>0</v>
      </c>
      <c r="M122" s="80">
        <f>SUMIFS('август 2024'!$G$4:$G$2015,'август 2024'!$D$4:$D$2015,$B122,'август 2024'!$J$4:$J$2015,M$1)</f>
        <v>0</v>
      </c>
      <c r="N122" s="80">
        <f>SUMIFS('август 2024'!$G$4:$G$2015,'август 2024'!$D$4:$D$2015,$B122,'август 2024'!$J$4:$J$2015,N$1)</f>
        <v>0</v>
      </c>
      <c r="O122" s="80">
        <f>SUMIFS('август 2024'!$G$4:$G$2015,'август 2024'!$D$4:$D$2015,$B122,'август 2024'!$J$4:$J$2015,O$1)</f>
        <v>0</v>
      </c>
      <c r="P122" s="80">
        <f>SUMIFS('август 2024'!$G$4:$G$2015,'август 2024'!$D$4:$D$2015,$B122,'август 2024'!$J$4:$J$2015,P$1)</f>
        <v>0</v>
      </c>
      <c r="Q122" s="80">
        <f>SUMIFS('август 2024'!$G$4:$G$2015,'август 2024'!$D$4:$D$2015,$B122,'август 2024'!$J$4:$J$2015,Q$1)</f>
        <v>0</v>
      </c>
      <c r="R122" s="80">
        <f>SUMIFS('август 2024'!$G$4:$G$2015,'август 2024'!$D$4:$D$2015,$B122,'август 2024'!$J$4:$J$2015,R$1)</f>
        <v>0</v>
      </c>
      <c r="S122" s="80">
        <f>SUMIFS('август 2024'!$G$4:$G$2015,'август 2024'!$D$4:$D$2015,$B122,'август 2024'!$J$4:$J$2015,S$1)</f>
        <v>0</v>
      </c>
      <c r="T122" s="80">
        <f>SUMIFS('август 2024'!$G$4:$G$2015,'август 2024'!$D$4:$D$2015,$B122,'август 2024'!$J$4:$J$2015,T$1)</f>
        <v>0</v>
      </c>
      <c r="U122" s="80">
        <f>SUMIFS('август 2024'!$G$4:$G$2015,'август 2024'!$D$4:$D$2015,$B122,'август 2024'!$J$4:$J$2015,U$1)</f>
        <v>0</v>
      </c>
      <c r="V122" s="80">
        <f>SUMIFS('август 2024'!$G$4:$G$2015,'август 2024'!$D$4:$D$2015,$B122,'август 2024'!$J$4:$J$2015,V$1)</f>
        <v>0</v>
      </c>
      <c r="W122" s="80">
        <f>SUMIFS('август 2024'!$G$4:$G$2015,'август 2024'!$D$4:$D$2015,$B122,'август 2024'!$J$4:$J$2015,W$1)</f>
        <v>0</v>
      </c>
      <c r="X122" s="80">
        <f>SUMIFS('август 2024'!$G$4:$G$2015,'август 2024'!$D$4:$D$2015,$B122,'август 2024'!$J$4:$J$2015,X$1)</f>
        <v>0</v>
      </c>
      <c r="Y122" s="80">
        <f>SUMIFS('август 2024'!$G$4:$G$2015,'август 2024'!$D$4:$D$2015,$B122,'август 2024'!$J$4:$J$2015,Y$1)</f>
        <v>0</v>
      </c>
      <c r="Z122" s="80">
        <f>SUMIFS('август 2024'!$G$4:$G$2015,'август 2024'!$D$4:$D$2015,$B122,'август 2024'!$J$4:$J$2015,Z$1)</f>
        <v>0</v>
      </c>
      <c r="AA122" s="80">
        <f>SUMIFS('август 2024'!$G$4:$G$2015,'август 2024'!$D$4:$D$2015,$B122,'август 2024'!$J$4:$J$2015,AA$1)</f>
        <v>0</v>
      </c>
      <c r="AB122" s="80">
        <f>SUMIFS('август 2024'!$G$4:$G$2015,'август 2024'!$D$4:$D$2015,$B122,'август 2024'!$J$4:$J$2015,AB$1)</f>
        <v>0</v>
      </c>
      <c r="AC122" s="80">
        <f>SUMIFS('август 2024'!$G$4:$G$2015,'август 2024'!$D$4:$D$2015,$B122,'август 2024'!$J$4:$J$2015,AC$1)</f>
        <v>0</v>
      </c>
      <c r="AD122" s="80">
        <f>SUMIFS('август 2024'!$G$4:$G$2015,'август 2024'!$D$4:$D$2015,$B122,'август 2024'!$J$4:$J$2015,AD$1)</f>
        <v>16</v>
      </c>
      <c r="AE122" s="80">
        <f>SUMIFS('август 2024'!$G$4:$G$2015,'август 2024'!$D$4:$D$2015,$B122,'август 2024'!$J$4:$J$2015,AE$1)</f>
        <v>0</v>
      </c>
      <c r="AF122" s="80">
        <f>SUMIFS('август 2024'!$G$4:$G$2015,'август 2024'!$D$4:$D$2015,$B122,'август 2024'!$J$4:$J$2015,AF$1)</f>
        <v>0</v>
      </c>
      <c r="AG122" s="80">
        <f>SUMIFS('август 2024'!$G$4:$G$2015,'август 2024'!$D$4:$D$2015,$B122,'август 2024'!$J$4:$J$2015,AG$1)</f>
        <v>0</v>
      </c>
      <c r="AH122" s="80">
        <f>SUMIFS('август 2024'!$G$4:$G$2015,'август 2024'!$D$4:$D$2015,$B122,'август 2024'!$J$4:$J$2015,AH$1)</f>
        <v>0</v>
      </c>
      <c r="AI122" s="21">
        <f t="shared" si="1"/>
        <v>16</v>
      </c>
    </row>
    <row r="123" spans="2:35" ht="15" customHeight="1" x14ac:dyDescent="0.25">
      <c r="B123" s="89" t="s">
        <v>180</v>
      </c>
      <c r="C123" s="88">
        <v>200</v>
      </c>
      <c r="D123" s="80">
        <f>SUMIFS('август 2024'!$G$4:$G$2015,'август 2024'!$D$4:$D$2015,$B123,'август 2024'!$J$4:$J$2015,D$1)</f>
        <v>0</v>
      </c>
      <c r="E123" s="80">
        <f>SUMIFS('август 2024'!$G$4:$G$2015,'август 2024'!$D$4:$D$2015,$B123,'август 2024'!$J$4:$J$2015,E$1)</f>
        <v>0</v>
      </c>
      <c r="F123" s="80">
        <f>SUMIFS('август 2024'!$G$4:$G$2015,'август 2024'!$D$4:$D$2015,$B123,'август 2024'!$J$4:$J$2015,F$1)</f>
        <v>0</v>
      </c>
      <c r="G123" s="80">
        <f>SUMIFS('август 2024'!$G$4:$G$2015,'август 2024'!$D$4:$D$2015,$B123,'август 2024'!$J$4:$J$2015,G$1)</f>
        <v>0</v>
      </c>
      <c r="H123" s="80">
        <f>SUMIFS('август 2024'!$G$4:$G$2015,'август 2024'!$D$4:$D$2015,$B123,'август 2024'!$J$4:$J$2015,H$1)</f>
        <v>0</v>
      </c>
      <c r="I123" s="80">
        <f>SUMIFS('август 2024'!$G$4:$G$2015,'август 2024'!$D$4:$D$2015,$B123,'август 2024'!$J$4:$J$2015,I$1)</f>
        <v>0</v>
      </c>
      <c r="J123" s="80">
        <f>SUMIFS('август 2024'!$G$4:$G$2015,'август 2024'!$D$4:$D$2015,$B123,'август 2024'!$J$4:$J$2015,J$1)</f>
        <v>0</v>
      </c>
      <c r="K123" s="80">
        <f>SUMIFS('август 2024'!$G$4:$G$2015,'август 2024'!$D$4:$D$2015,$B123,'август 2024'!$J$4:$J$2015,K$1)</f>
        <v>0</v>
      </c>
      <c r="L123" s="80">
        <f>SUMIFS('август 2024'!$G$4:$G$2015,'август 2024'!$D$4:$D$2015,$B123,'август 2024'!$J$4:$J$2015,L$1)</f>
        <v>0</v>
      </c>
      <c r="M123" s="80">
        <f>SUMIFS('август 2024'!$G$4:$G$2015,'август 2024'!$D$4:$D$2015,$B123,'август 2024'!$J$4:$J$2015,M$1)</f>
        <v>0</v>
      </c>
      <c r="N123" s="80">
        <f>SUMIFS('август 2024'!$G$4:$G$2015,'август 2024'!$D$4:$D$2015,$B123,'август 2024'!$J$4:$J$2015,N$1)</f>
        <v>0</v>
      </c>
      <c r="O123" s="80">
        <f>SUMIFS('август 2024'!$G$4:$G$2015,'август 2024'!$D$4:$D$2015,$B123,'август 2024'!$J$4:$J$2015,O$1)</f>
        <v>0</v>
      </c>
      <c r="P123" s="80">
        <f>SUMIFS('август 2024'!$G$4:$G$2015,'август 2024'!$D$4:$D$2015,$B123,'август 2024'!$J$4:$J$2015,P$1)</f>
        <v>0</v>
      </c>
      <c r="Q123" s="80">
        <f>SUMIFS('август 2024'!$G$4:$G$2015,'август 2024'!$D$4:$D$2015,$B123,'август 2024'!$J$4:$J$2015,Q$1)</f>
        <v>0</v>
      </c>
      <c r="R123" s="80">
        <f>SUMIFS('август 2024'!$G$4:$G$2015,'август 2024'!$D$4:$D$2015,$B123,'август 2024'!$J$4:$J$2015,R$1)</f>
        <v>0</v>
      </c>
      <c r="S123" s="80">
        <f>SUMIFS('август 2024'!$G$4:$G$2015,'август 2024'!$D$4:$D$2015,$B123,'август 2024'!$J$4:$J$2015,S$1)</f>
        <v>0</v>
      </c>
      <c r="T123" s="80">
        <f>SUMIFS('август 2024'!$G$4:$G$2015,'август 2024'!$D$4:$D$2015,$B123,'август 2024'!$J$4:$J$2015,T$1)</f>
        <v>0</v>
      </c>
      <c r="U123" s="80">
        <f>SUMIFS('август 2024'!$G$4:$G$2015,'август 2024'!$D$4:$D$2015,$B123,'август 2024'!$J$4:$J$2015,U$1)</f>
        <v>0</v>
      </c>
      <c r="V123" s="80">
        <f>SUMIFS('август 2024'!$G$4:$G$2015,'август 2024'!$D$4:$D$2015,$B123,'август 2024'!$J$4:$J$2015,V$1)</f>
        <v>0</v>
      </c>
      <c r="W123" s="80">
        <f>SUMIFS('август 2024'!$G$4:$G$2015,'август 2024'!$D$4:$D$2015,$B123,'август 2024'!$J$4:$J$2015,W$1)</f>
        <v>0</v>
      </c>
      <c r="X123" s="80">
        <f>SUMIFS('август 2024'!$G$4:$G$2015,'август 2024'!$D$4:$D$2015,$B123,'август 2024'!$J$4:$J$2015,X$1)</f>
        <v>0</v>
      </c>
      <c r="Y123" s="80">
        <f>SUMIFS('август 2024'!$G$4:$G$2015,'август 2024'!$D$4:$D$2015,$B123,'август 2024'!$J$4:$J$2015,Y$1)</f>
        <v>0</v>
      </c>
      <c r="Z123" s="80">
        <f>SUMIFS('август 2024'!$G$4:$G$2015,'август 2024'!$D$4:$D$2015,$B123,'август 2024'!$J$4:$J$2015,Z$1)</f>
        <v>0</v>
      </c>
      <c r="AA123" s="80">
        <f>SUMIFS('август 2024'!$G$4:$G$2015,'август 2024'!$D$4:$D$2015,$B123,'август 2024'!$J$4:$J$2015,AA$1)</f>
        <v>0</v>
      </c>
      <c r="AB123" s="80">
        <f>SUMIFS('август 2024'!$G$4:$G$2015,'август 2024'!$D$4:$D$2015,$B123,'август 2024'!$J$4:$J$2015,AB$1)</f>
        <v>0</v>
      </c>
      <c r="AC123" s="80">
        <f>SUMIFS('август 2024'!$G$4:$G$2015,'август 2024'!$D$4:$D$2015,$B123,'август 2024'!$J$4:$J$2015,AC$1)</f>
        <v>0</v>
      </c>
      <c r="AD123" s="80">
        <f>SUMIFS('август 2024'!$G$4:$G$2015,'август 2024'!$D$4:$D$2015,$B123,'август 2024'!$J$4:$J$2015,AD$1)</f>
        <v>0</v>
      </c>
      <c r="AE123" s="80">
        <f>SUMIFS('август 2024'!$G$4:$G$2015,'август 2024'!$D$4:$D$2015,$B123,'август 2024'!$J$4:$J$2015,AE$1)</f>
        <v>0</v>
      </c>
      <c r="AF123" s="80">
        <f>SUMIFS('август 2024'!$G$4:$G$2015,'август 2024'!$D$4:$D$2015,$B123,'август 2024'!$J$4:$J$2015,AF$1)</f>
        <v>0</v>
      </c>
      <c r="AG123" s="80">
        <f>SUMIFS('август 2024'!$G$4:$G$2015,'август 2024'!$D$4:$D$2015,$B123,'август 2024'!$J$4:$J$2015,AG$1)</f>
        <v>0</v>
      </c>
      <c r="AH123" s="80">
        <f>SUMIFS('август 2024'!$G$4:$G$2015,'август 2024'!$D$4:$D$2015,$B123,'август 2024'!$J$4:$J$2015,AH$1)</f>
        <v>0</v>
      </c>
      <c r="AI123" s="21">
        <f t="shared" si="1"/>
        <v>0</v>
      </c>
    </row>
    <row r="124" spans="2:35" ht="15" customHeight="1" x14ac:dyDescent="0.25">
      <c r="B124" s="94" t="s">
        <v>194</v>
      </c>
      <c r="C124" s="95">
        <v>180</v>
      </c>
      <c r="D124" s="80">
        <f>SUMIFS('август 2024'!$G$4:$G$2015,'август 2024'!$D$4:$D$2015,$B124,'август 2024'!$J$4:$J$2015,D$1)</f>
        <v>0</v>
      </c>
      <c r="E124" s="80">
        <f>SUMIFS('август 2024'!$G$4:$G$2015,'август 2024'!$D$4:$D$2015,$B124,'август 2024'!$J$4:$J$2015,E$1)</f>
        <v>0</v>
      </c>
      <c r="F124" s="80">
        <f>SUMIFS('август 2024'!$G$4:$G$2015,'август 2024'!$D$4:$D$2015,$B124,'август 2024'!$J$4:$J$2015,F$1)</f>
        <v>0</v>
      </c>
      <c r="G124" s="80">
        <f>SUMIFS('август 2024'!$G$4:$G$2015,'август 2024'!$D$4:$D$2015,$B124,'август 2024'!$J$4:$J$2015,G$1)</f>
        <v>0</v>
      </c>
      <c r="H124" s="80">
        <f>SUMIFS('август 2024'!$G$4:$G$2015,'август 2024'!$D$4:$D$2015,$B124,'август 2024'!$J$4:$J$2015,H$1)</f>
        <v>0</v>
      </c>
      <c r="I124" s="80">
        <f>SUMIFS('август 2024'!$G$4:$G$2015,'август 2024'!$D$4:$D$2015,$B124,'август 2024'!$J$4:$J$2015,I$1)</f>
        <v>0</v>
      </c>
      <c r="J124" s="80">
        <f>SUMIFS('август 2024'!$G$4:$G$2015,'август 2024'!$D$4:$D$2015,$B124,'август 2024'!$J$4:$J$2015,J$1)</f>
        <v>0</v>
      </c>
      <c r="K124" s="80">
        <f>SUMIFS('август 2024'!$G$4:$G$2015,'август 2024'!$D$4:$D$2015,$B124,'август 2024'!$J$4:$J$2015,K$1)</f>
        <v>0</v>
      </c>
      <c r="L124" s="80">
        <f>SUMIFS('август 2024'!$G$4:$G$2015,'август 2024'!$D$4:$D$2015,$B124,'август 2024'!$J$4:$J$2015,L$1)</f>
        <v>0</v>
      </c>
      <c r="M124" s="80">
        <f>SUMIFS('август 2024'!$G$4:$G$2015,'август 2024'!$D$4:$D$2015,$B124,'август 2024'!$J$4:$J$2015,M$1)</f>
        <v>0</v>
      </c>
      <c r="N124" s="80">
        <f>SUMIFS('август 2024'!$G$4:$G$2015,'август 2024'!$D$4:$D$2015,$B124,'август 2024'!$J$4:$J$2015,N$1)</f>
        <v>0</v>
      </c>
      <c r="O124" s="80">
        <f>SUMIFS('август 2024'!$G$4:$G$2015,'август 2024'!$D$4:$D$2015,$B124,'август 2024'!$J$4:$J$2015,O$1)</f>
        <v>0</v>
      </c>
      <c r="P124" s="80">
        <f>SUMIFS('август 2024'!$G$4:$G$2015,'август 2024'!$D$4:$D$2015,$B124,'август 2024'!$J$4:$J$2015,P$1)</f>
        <v>0</v>
      </c>
      <c r="Q124" s="80">
        <f>SUMIFS('август 2024'!$G$4:$G$2015,'август 2024'!$D$4:$D$2015,$B124,'август 2024'!$J$4:$J$2015,Q$1)</f>
        <v>0</v>
      </c>
      <c r="R124" s="80">
        <f>SUMIFS('август 2024'!$G$4:$G$2015,'август 2024'!$D$4:$D$2015,$B124,'август 2024'!$J$4:$J$2015,R$1)</f>
        <v>0</v>
      </c>
      <c r="S124" s="80">
        <f>SUMIFS('август 2024'!$G$4:$G$2015,'август 2024'!$D$4:$D$2015,$B124,'август 2024'!$J$4:$J$2015,S$1)</f>
        <v>0</v>
      </c>
      <c r="T124" s="80">
        <f>SUMIFS('август 2024'!$G$4:$G$2015,'август 2024'!$D$4:$D$2015,$B124,'август 2024'!$J$4:$J$2015,T$1)</f>
        <v>0</v>
      </c>
      <c r="U124" s="80">
        <f>SUMIFS('август 2024'!$G$4:$G$2015,'август 2024'!$D$4:$D$2015,$B124,'август 2024'!$J$4:$J$2015,U$1)</f>
        <v>0</v>
      </c>
      <c r="V124" s="80">
        <f>SUMIFS('август 2024'!$G$4:$G$2015,'август 2024'!$D$4:$D$2015,$B124,'август 2024'!$J$4:$J$2015,V$1)</f>
        <v>0</v>
      </c>
      <c r="W124" s="80">
        <f>SUMIFS('август 2024'!$G$4:$G$2015,'август 2024'!$D$4:$D$2015,$B124,'август 2024'!$J$4:$J$2015,W$1)</f>
        <v>0</v>
      </c>
      <c r="X124" s="80">
        <f>SUMIFS('август 2024'!$G$4:$G$2015,'август 2024'!$D$4:$D$2015,$B124,'август 2024'!$J$4:$J$2015,X$1)</f>
        <v>0</v>
      </c>
      <c r="Y124" s="80">
        <f>SUMIFS('август 2024'!$G$4:$G$2015,'август 2024'!$D$4:$D$2015,$B124,'август 2024'!$J$4:$J$2015,Y$1)</f>
        <v>0</v>
      </c>
      <c r="Z124" s="80">
        <f>SUMIFS('август 2024'!$G$4:$G$2015,'август 2024'!$D$4:$D$2015,$B124,'август 2024'!$J$4:$J$2015,Z$1)</f>
        <v>0</v>
      </c>
      <c r="AA124" s="80">
        <f>SUMIFS('август 2024'!$G$4:$G$2015,'август 2024'!$D$4:$D$2015,$B124,'август 2024'!$J$4:$J$2015,AA$1)</f>
        <v>0</v>
      </c>
      <c r="AB124" s="80">
        <f>SUMIFS('август 2024'!$G$4:$G$2015,'август 2024'!$D$4:$D$2015,$B124,'август 2024'!$J$4:$J$2015,AB$1)</f>
        <v>0</v>
      </c>
      <c r="AC124" s="80">
        <f>SUMIFS('август 2024'!$G$4:$G$2015,'август 2024'!$D$4:$D$2015,$B124,'август 2024'!$J$4:$J$2015,AC$1)</f>
        <v>0</v>
      </c>
      <c r="AD124" s="80">
        <f>SUMIFS('август 2024'!$G$4:$G$2015,'август 2024'!$D$4:$D$2015,$B124,'август 2024'!$J$4:$J$2015,AD$1)</f>
        <v>0</v>
      </c>
      <c r="AE124" s="80">
        <f>SUMIFS('август 2024'!$G$4:$G$2015,'август 2024'!$D$4:$D$2015,$B124,'август 2024'!$J$4:$J$2015,AE$1)</f>
        <v>0</v>
      </c>
      <c r="AF124" s="80">
        <f>SUMIFS('август 2024'!$G$4:$G$2015,'август 2024'!$D$4:$D$2015,$B124,'август 2024'!$J$4:$J$2015,AF$1)</f>
        <v>0</v>
      </c>
      <c r="AG124" s="80">
        <f>SUMIFS('август 2024'!$G$4:$G$2015,'август 2024'!$D$4:$D$2015,$B124,'август 2024'!$J$4:$J$2015,AG$1)</f>
        <v>0</v>
      </c>
      <c r="AH124" s="80">
        <f>SUMIFS('август 2024'!$G$4:$G$2015,'август 2024'!$D$4:$D$2015,$B124,'август 2024'!$J$4:$J$2015,AH$1)</f>
        <v>0</v>
      </c>
      <c r="AI124" s="21">
        <f t="shared" si="1"/>
        <v>0</v>
      </c>
    </row>
    <row r="125" spans="2:35" ht="15" customHeight="1" x14ac:dyDescent="0.25">
      <c r="B125" s="89" t="s">
        <v>332</v>
      </c>
      <c r="C125" s="91">
        <v>180</v>
      </c>
      <c r="D125" s="80">
        <f>SUMIFS('август 2024'!$G$4:$G$2015,'август 2024'!$D$4:$D$2015,$B125,'август 2024'!$J$4:$J$2015,D$1)</f>
        <v>0</v>
      </c>
      <c r="E125" s="80">
        <f>SUMIFS('август 2024'!$G$4:$G$2015,'август 2024'!$D$4:$D$2015,$B125,'август 2024'!$J$4:$J$2015,E$1)</f>
        <v>0</v>
      </c>
      <c r="F125" s="80">
        <f>SUMIFS('август 2024'!$G$4:$G$2015,'август 2024'!$D$4:$D$2015,$B125,'август 2024'!$J$4:$J$2015,F$1)</f>
        <v>0</v>
      </c>
      <c r="G125" s="80">
        <f>SUMIFS('август 2024'!$G$4:$G$2015,'август 2024'!$D$4:$D$2015,$B125,'август 2024'!$J$4:$J$2015,G$1)</f>
        <v>0</v>
      </c>
      <c r="H125" s="80">
        <f>SUMIFS('август 2024'!$G$4:$G$2015,'август 2024'!$D$4:$D$2015,$B125,'август 2024'!$J$4:$J$2015,H$1)</f>
        <v>0</v>
      </c>
      <c r="I125" s="80">
        <f>SUMIFS('август 2024'!$G$4:$G$2015,'август 2024'!$D$4:$D$2015,$B125,'август 2024'!$J$4:$J$2015,I$1)</f>
        <v>0</v>
      </c>
      <c r="J125" s="80">
        <f>SUMIFS('август 2024'!$G$4:$G$2015,'август 2024'!$D$4:$D$2015,$B125,'август 2024'!$J$4:$J$2015,J$1)</f>
        <v>0</v>
      </c>
      <c r="K125" s="80">
        <f>SUMIFS('август 2024'!$G$4:$G$2015,'август 2024'!$D$4:$D$2015,$B125,'август 2024'!$J$4:$J$2015,K$1)</f>
        <v>0</v>
      </c>
      <c r="L125" s="80">
        <f>SUMIFS('август 2024'!$G$4:$G$2015,'август 2024'!$D$4:$D$2015,$B125,'август 2024'!$J$4:$J$2015,L$1)</f>
        <v>0</v>
      </c>
      <c r="M125" s="80">
        <f>SUMIFS('август 2024'!$G$4:$G$2015,'август 2024'!$D$4:$D$2015,$B125,'август 2024'!$J$4:$J$2015,M$1)</f>
        <v>0</v>
      </c>
      <c r="N125" s="80">
        <f>SUMIFS('август 2024'!$G$4:$G$2015,'август 2024'!$D$4:$D$2015,$B125,'август 2024'!$J$4:$J$2015,N$1)</f>
        <v>0</v>
      </c>
      <c r="O125" s="80">
        <f>SUMIFS('август 2024'!$G$4:$G$2015,'август 2024'!$D$4:$D$2015,$B125,'август 2024'!$J$4:$J$2015,O$1)</f>
        <v>0</v>
      </c>
      <c r="P125" s="80">
        <f>SUMIFS('август 2024'!$G$4:$G$2015,'август 2024'!$D$4:$D$2015,$B125,'август 2024'!$J$4:$J$2015,P$1)</f>
        <v>0</v>
      </c>
      <c r="Q125" s="80">
        <f>SUMIFS('август 2024'!$G$4:$G$2015,'август 2024'!$D$4:$D$2015,$B125,'август 2024'!$J$4:$J$2015,Q$1)</f>
        <v>0</v>
      </c>
      <c r="R125" s="80">
        <f>SUMIFS('август 2024'!$G$4:$G$2015,'август 2024'!$D$4:$D$2015,$B125,'август 2024'!$J$4:$J$2015,R$1)</f>
        <v>0</v>
      </c>
      <c r="S125" s="80">
        <f>SUMIFS('август 2024'!$G$4:$G$2015,'август 2024'!$D$4:$D$2015,$B125,'август 2024'!$J$4:$J$2015,S$1)</f>
        <v>0</v>
      </c>
      <c r="T125" s="80">
        <f>SUMIFS('август 2024'!$G$4:$G$2015,'август 2024'!$D$4:$D$2015,$B125,'август 2024'!$J$4:$J$2015,T$1)</f>
        <v>0</v>
      </c>
      <c r="U125" s="80">
        <f>SUMIFS('август 2024'!$G$4:$G$2015,'август 2024'!$D$4:$D$2015,$B125,'август 2024'!$J$4:$J$2015,U$1)</f>
        <v>0</v>
      </c>
      <c r="V125" s="80">
        <f>SUMIFS('август 2024'!$G$4:$G$2015,'август 2024'!$D$4:$D$2015,$B125,'август 2024'!$J$4:$J$2015,V$1)</f>
        <v>0</v>
      </c>
      <c r="W125" s="80">
        <f>SUMIFS('август 2024'!$G$4:$G$2015,'август 2024'!$D$4:$D$2015,$B125,'август 2024'!$J$4:$J$2015,W$1)</f>
        <v>0</v>
      </c>
      <c r="X125" s="80">
        <f>SUMIFS('август 2024'!$G$4:$G$2015,'август 2024'!$D$4:$D$2015,$B125,'август 2024'!$J$4:$J$2015,X$1)</f>
        <v>0</v>
      </c>
      <c r="Y125" s="80">
        <f>SUMIFS('август 2024'!$G$4:$G$2015,'август 2024'!$D$4:$D$2015,$B125,'август 2024'!$J$4:$J$2015,Y$1)</f>
        <v>0</v>
      </c>
      <c r="Z125" s="80">
        <f>SUMIFS('август 2024'!$G$4:$G$2015,'август 2024'!$D$4:$D$2015,$B125,'август 2024'!$J$4:$J$2015,Z$1)</f>
        <v>0</v>
      </c>
      <c r="AA125" s="80">
        <f>SUMIFS('август 2024'!$G$4:$G$2015,'август 2024'!$D$4:$D$2015,$B125,'август 2024'!$J$4:$J$2015,AA$1)</f>
        <v>0</v>
      </c>
      <c r="AB125" s="80">
        <f>SUMIFS('август 2024'!$G$4:$G$2015,'август 2024'!$D$4:$D$2015,$B125,'август 2024'!$J$4:$J$2015,AB$1)</f>
        <v>0</v>
      </c>
      <c r="AC125" s="80">
        <f>SUMIFS('август 2024'!$G$4:$G$2015,'август 2024'!$D$4:$D$2015,$B125,'август 2024'!$J$4:$J$2015,AC$1)</f>
        <v>0</v>
      </c>
      <c r="AD125" s="80">
        <f>SUMIFS('август 2024'!$G$4:$G$2015,'август 2024'!$D$4:$D$2015,$B125,'август 2024'!$J$4:$J$2015,AD$1)</f>
        <v>0</v>
      </c>
      <c r="AE125" s="80">
        <f>SUMIFS('август 2024'!$G$4:$G$2015,'август 2024'!$D$4:$D$2015,$B125,'август 2024'!$J$4:$J$2015,AE$1)</f>
        <v>0</v>
      </c>
      <c r="AF125" s="80">
        <f>SUMIFS('август 2024'!$G$4:$G$2015,'август 2024'!$D$4:$D$2015,$B125,'август 2024'!$J$4:$J$2015,AF$1)</f>
        <v>0</v>
      </c>
      <c r="AG125" s="80">
        <f>SUMIFS('август 2024'!$G$4:$G$2015,'август 2024'!$D$4:$D$2015,$B125,'август 2024'!$J$4:$J$2015,AG$1)</f>
        <v>0</v>
      </c>
      <c r="AH125" s="80">
        <f>SUMIFS('август 2024'!$G$4:$G$2015,'август 2024'!$D$4:$D$2015,$B125,'август 2024'!$J$4:$J$2015,AH$1)</f>
        <v>0</v>
      </c>
      <c r="AI125" s="21">
        <f t="shared" si="1"/>
        <v>0</v>
      </c>
    </row>
    <row r="126" spans="2:35" ht="15" customHeight="1" x14ac:dyDescent="0.25">
      <c r="B126" s="89" t="s">
        <v>342</v>
      </c>
      <c r="C126" s="91">
        <v>180</v>
      </c>
      <c r="D126" s="80">
        <f>SUMIFS('август 2024'!$G$4:$G$2015,'август 2024'!$D$4:$D$2015,$B126,'август 2024'!$J$4:$J$2015,D$1)</f>
        <v>0</v>
      </c>
      <c r="E126" s="80">
        <f>SUMIFS('август 2024'!$G$4:$G$2015,'август 2024'!$D$4:$D$2015,$B126,'август 2024'!$J$4:$J$2015,E$1)</f>
        <v>0</v>
      </c>
      <c r="F126" s="80">
        <f>SUMIFS('август 2024'!$G$4:$G$2015,'август 2024'!$D$4:$D$2015,$B126,'август 2024'!$J$4:$J$2015,F$1)</f>
        <v>0</v>
      </c>
      <c r="G126" s="80">
        <f>SUMIFS('август 2024'!$G$4:$G$2015,'август 2024'!$D$4:$D$2015,$B126,'август 2024'!$J$4:$J$2015,G$1)</f>
        <v>0</v>
      </c>
      <c r="H126" s="80">
        <f>SUMIFS('август 2024'!$G$4:$G$2015,'август 2024'!$D$4:$D$2015,$B126,'август 2024'!$J$4:$J$2015,H$1)</f>
        <v>0</v>
      </c>
      <c r="I126" s="80">
        <f>SUMIFS('август 2024'!$G$4:$G$2015,'август 2024'!$D$4:$D$2015,$B126,'август 2024'!$J$4:$J$2015,I$1)</f>
        <v>0</v>
      </c>
      <c r="J126" s="80">
        <f>SUMIFS('август 2024'!$G$4:$G$2015,'август 2024'!$D$4:$D$2015,$B126,'август 2024'!$J$4:$J$2015,J$1)</f>
        <v>0</v>
      </c>
      <c r="K126" s="80">
        <f>SUMIFS('август 2024'!$G$4:$G$2015,'август 2024'!$D$4:$D$2015,$B126,'август 2024'!$J$4:$J$2015,K$1)</f>
        <v>0</v>
      </c>
      <c r="L126" s="80">
        <f>SUMIFS('август 2024'!$G$4:$G$2015,'август 2024'!$D$4:$D$2015,$B126,'август 2024'!$J$4:$J$2015,L$1)</f>
        <v>0</v>
      </c>
      <c r="M126" s="80">
        <f>SUMIFS('август 2024'!$G$4:$G$2015,'август 2024'!$D$4:$D$2015,$B126,'август 2024'!$J$4:$J$2015,M$1)</f>
        <v>0</v>
      </c>
      <c r="N126" s="80">
        <f>SUMIFS('август 2024'!$G$4:$G$2015,'август 2024'!$D$4:$D$2015,$B126,'август 2024'!$J$4:$J$2015,N$1)</f>
        <v>0</v>
      </c>
      <c r="O126" s="80">
        <f>SUMIFS('август 2024'!$G$4:$G$2015,'август 2024'!$D$4:$D$2015,$B126,'август 2024'!$J$4:$J$2015,O$1)</f>
        <v>0</v>
      </c>
      <c r="P126" s="80">
        <f>SUMIFS('август 2024'!$G$4:$G$2015,'август 2024'!$D$4:$D$2015,$B126,'август 2024'!$J$4:$J$2015,P$1)</f>
        <v>0</v>
      </c>
      <c r="Q126" s="80">
        <f>SUMIFS('август 2024'!$G$4:$G$2015,'август 2024'!$D$4:$D$2015,$B126,'август 2024'!$J$4:$J$2015,Q$1)</f>
        <v>0</v>
      </c>
      <c r="R126" s="80">
        <f>SUMIFS('август 2024'!$G$4:$G$2015,'август 2024'!$D$4:$D$2015,$B126,'август 2024'!$J$4:$J$2015,R$1)</f>
        <v>0</v>
      </c>
      <c r="S126" s="80">
        <f>SUMIFS('август 2024'!$G$4:$G$2015,'август 2024'!$D$4:$D$2015,$B126,'август 2024'!$J$4:$J$2015,S$1)</f>
        <v>0</v>
      </c>
      <c r="T126" s="80">
        <f>SUMIFS('август 2024'!$G$4:$G$2015,'август 2024'!$D$4:$D$2015,$B126,'август 2024'!$J$4:$J$2015,T$1)</f>
        <v>0</v>
      </c>
      <c r="U126" s="80">
        <f>SUMIFS('август 2024'!$G$4:$G$2015,'август 2024'!$D$4:$D$2015,$B126,'август 2024'!$J$4:$J$2015,U$1)</f>
        <v>0</v>
      </c>
      <c r="V126" s="80">
        <f>SUMIFS('август 2024'!$G$4:$G$2015,'август 2024'!$D$4:$D$2015,$B126,'август 2024'!$J$4:$J$2015,V$1)</f>
        <v>0</v>
      </c>
      <c r="W126" s="80">
        <f>SUMIFS('август 2024'!$G$4:$G$2015,'август 2024'!$D$4:$D$2015,$B126,'август 2024'!$J$4:$J$2015,W$1)</f>
        <v>0</v>
      </c>
      <c r="X126" s="80">
        <f>SUMIFS('август 2024'!$G$4:$G$2015,'август 2024'!$D$4:$D$2015,$B126,'август 2024'!$J$4:$J$2015,X$1)</f>
        <v>0</v>
      </c>
      <c r="Y126" s="80">
        <f>SUMIFS('август 2024'!$G$4:$G$2015,'август 2024'!$D$4:$D$2015,$B126,'август 2024'!$J$4:$J$2015,Y$1)</f>
        <v>0</v>
      </c>
      <c r="Z126" s="80">
        <f>SUMIFS('август 2024'!$G$4:$G$2015,'август 2024'!$D$4:$D$2015,$B126,'август 2024'!$J$4:$J$2015,Z$1)</f>
        <v>0</v>
      </c>
      <c r="AA126" s="80">
        <f>SUMIFS('август 2024'!$G$4:$G$2015,'август 2024'!$D$4:$D$2015,$B126,'август 2024'!$J$4:$J$2015,AA$1)</f>
        <v>0</v>
      </c>
      <c r="AB126" s="80">
        <f>SUMIFS('август 2024'!$G$4:$G$2015,'август 2024'!$D$4:$D$2015,$B126,'август 2024'!$J$4:$J$2015,AB$1)</f>
        <v>0</v>
      </c>
      <c r="AC126" s="80">
        <f>SUMIFS('август 2024'!$G$4:$G$2015,'август 2024'!$D$4:$D$2015,$B126,'август 2024'!$J$4:$J$2015,AC$1)</f>
        <v>0</v>
      </c>
      <c r="AD126" s="80">
        <f>SUMIFS('август 2024'!$G$4:$G$2015,'август 2024'!$D$4:$D$2015,$B126,'август 2024'!$J$4:$J$2015,AD$1)</f>
        <v>0</v>
      </c>
      <c r="AE126" s="80">
        <f>SUMIFS('август 2024'!$G$4:$G$2015,'август 2024'!$D$4:$D$2015,$B126,'август 2024'!$J$4:$J$2015,AE$1)</f>
        <v>0</v>
      </c>
      <c r="AF126" s="80">
        <f>SUMIFS('август 2024'!$G$4:$G$2015,'август 2024'!$D$4:$D$2015,$B126,'август 2024'!$J$4:$J$2015,AF$1)</f>
        <v>0</v>
      </c>
      <c r="AG126" s="80">
        <f>SUMIFS('август 2024'!$G$4:$G$2015,'август 2024'!$D$4:$D$2015,$B126,'август 2024'!$J$4:$J$2015,AG$1)</f>
        <v>0</v>
      </c>
      <c r="AH126" s="80">
        <f>SUMIFS('август 2024'!$G$4:$G$2015,'август 2024'!$D$4:$D$2015,$B126,'август 2024'!$J$4:$J$2015,AH$1)</f>
        <v>0</v>
      </c>
      <c r="AI126" s="21">
        <f t="shared" si="1"/>
        <v>0</v>
      </c>
    </row>
    <row r="127" spans="2:35" ht="15" customHeight="1" x14ac:dyDescent="0.25">
      <c r="B127" s="89" t="s">
        <v>760</v>
      </c>
      <c r="C127" s="91">
        <v>190</v>
      </c>
      <c r="D127" s="80">
        <f>SUMIFS('август 2024'!$G$4:$G$2015,'август 2024'!$D$4:$D$2015,$B127,'август 2024'!$J$4:$J$2015,D$1)</f>
        <v>0</v>
      </c>
      <c r="E127" s="80">
        <f>SUMIFS('август 2024'!$G$4:$G$2015,'август 2024'!$D$4:$D$2015,$B127,'август 2024'!$J$4:$J$2015,E$1)</f>
        <v>0</v>
      </c>
      <c r="F127" s="80">
        <f>SUMIFS('август 2024'!$G$4:$G$2015,'август 2024'!$D$4:$D$2015,$B127,'август 2024'!$J$4:$J$2015,F$1)</f>
        <v>0</v>
      </c>
      <c r="G127" s="80">
        <f>SUMIFS('август 2024'!$G$4:$G$2015,'август 2024'!$D$4:$D$2015,$B127,'август 2024'!$J$4:$J$2015,G$1)</f>
        <v>0</v>
      </c>
      <c r="H127" s="80">
        <f>SUMIFS('август 2024'!$G$4:$G$2015,'август 2024'!$D$4:$D$2015,$B127,'август 2024'!$J$4:$J$2015,H$1)</f>
        <v>0</v>
      </c>
      <c r="I127" s="80">
        <f>SUMIFS('август 2024'!$G$4:$G$2015,'август 2024'!$D$4:$D$2015,$B127,'август 2024'!$J$4:$J$2015,I$1)</f>
        <v>0</v>
      </c>
      <c r="J127" s="80">
        <f>SUMIFS('август 2024'!$G$4:$G$2015,'август 2024'!$D$4:$D$2015,$B127,'август 2024'!$J$4:$J$2015,J$1)</f>
        <v>0</v>
      </c>
      <c r="K127" s="80">
        <f>SUMIFS('август 2024'!$G$4:$G$2015,'август 2024'!$D$4:$D$2015,$B127,'август 2024'!$J$4:$J$2015,K$1)</f>
        <v>0</v>
      </c>
      <c r="L127" s="80">
        <f>SUMIFS('август 2024'!$G$4:$G$2015,'август 2024'!$D$4:$D$2015,$B127,'август 2024'!$J$4:$J$2015,L$1)</f>
        <v>0</v>
      </c>
      <c r="M127" s="80">
        <f>SUMIFS('август 2024'!$G$4:$G$2015,'август 2024'!$D$4:$D$2015,$B127,'август 2024'!$J$4:$J$2015,M$1)</f>
        <v>0</v>
      </c>
      <c r="N127" s="80">
        <f>SUMIFS('август 2024'!$G$4:$G$2015,'август 2024'!$D$4:$D$2015,$B127,'август 2024'!$J$4:$J$2015,N$1)</f>
        <v>0</v>
      </c>
      <c r="O127" s="80">
        <f>SUMIFS('август 2024'!$G$4:$G$2015,'август 2024'!$D$4:$D$2015,$B127,'август 2024'!$J$4:$J$2015,O$1)</f>
        <v>0</v>
      </c>
      <c r="P127" s="80">
        <f>SUMIFS('август 2024'!$G$4:$G$2015,'август 2024'!$D$4:$D$2015,$B127,'август 2024'!$J$4:$J$2015,P$1)</f>
        <v>0</v>
      </c>
      <c r="Q127" s="80">
        <f>SUMIFS('август 2024'!$G$4:$G$2015,'август 2024'!$D$4:$D$2015,$B127,'август 2024'!$J$4:$J$2015,Q$1)</f>
        <v>0</v>
      </c>
      <c r="R127" s="80">
        <f>SUMIFS('август 2024'!$G$4:$G$2015,'август 2024'!$D$4:$D$2015,$B127,'август 2024'!$J$4:$J$2015,R$1)</f>
        <v>0</v>
      </c>
      <c r="S127" s="80">
        <f>SUMIFS('август 2024'!$G$4:$G$2015,'август 2024'!$D$4:$D$2015,$B127,'август 2024'!$J$4:$J$2015,S$1)</f>
        <v>0</v>
      </c>
      <c r="T127" s="80">
        <f>SUMIFS('август 2024'!$G$4:$G$2015,'август 2024'!$D$4:$D$2015,$B127,'август 2024'!$J$4:$J$2015,T$1)</f>
        <v>0</v>
      </c>
      <c r="U127" s="80">
        <f>SUMIFS('август 2024'!$G$4:$G$2015,'август 2024'!$D$4:$D$2015,$B127,'август 2024'!$J$4:$J$2015,U$1)</f>
        <v>0</v>
      </c>
      <c r="V127" s="80">
        <f>SUMIFS('август 2024'!$G$4:$G$2015,'август 2024'!$D$4:$D$2015,$B127,'август 2024'!$J$4:$J$2015,V$1)</f>
        <v>0</v>
      </c>
      <c r="W127" s="80">
        <f>SUMIFS('август 2024'!$G$4:$G$2015,'август 2024'!$D$4:$D$2015,$B127,'август 2024'!$J$4:$J$2015,W$1)</f>
        <v>0</v>
      </c>
      <c r="X127" s="80">
        <f>SUMIFS('август 2024'!$G$4:$G$2015,'август 2024'!$D$4:$D$2015,$B127,'август 2024'!$J$4:$J$2015,X$1)</f>
        <v>0</v>
      </c>
      <c r="Y127" s="80">
        <f>SUMIFS('август 2024'!$G$4:$G$2015,'август 2024'!$D$4:$D$2015,$B127,'август 2024'!$J$4:$J$2015,Y$1)</f>
        <v>0</v>
      </c>
      <c r="Z127" s="80">
        <f>SUMIFS('август 2024'!$G$4:$G$2015,'август 2024'!$D$4:$D$2015,$B127,'август 2024'!$J$4:$J$2015,Z$1)</f>
        <v>0</v>
      </c>
      <c r="AA127" s="80">
        <f>SUMIFS('август 2024'!$G$4:$G$2015,'август 2024'!$D$4:$D$2015,$B127,'август 2024'!$J$4:$J$2015,AA$1)</f>
        <v>0</v>
      </c>
      <c r="AB127" s="80">
        <f>SUMIFS('август 2024'!$G$4:$G$2015,'август 2024'!$D$4:$D$2015,$B127,'август 2024'!$J$4:$J$2015,AB$1)</f>
        <v>0</v>
      </c>
      <c r="AC127" s="80">
        <f>SUMIFS('август 2024'!$G$4:$G$2015,'август 2024'!$D$4:$D$2015,$B127,'август 2024'!$J$4:$J$2015,AC$1)</f>
        <v>0</v>
      </c>
      <c r="AD127" s="80">
        <f>SUMIFS('август 2024'!$G$4:$G$2015,'август 2024'!$D$4:$D$2015,$B127,'август 2024'!$J$4:$J$2015,AD$1)</f>
        <v>0</v>
      </c>
      <c r="AE127" s="80">
        <f>SUMIFS('август 2024'!$G$4:$G$2015,'август 2024'!$D$4:$D$2015,$B127,'август 2024'!$J$4:$J$2015,AE$1)</f>
        <v>0</v>
      </c>
      <c r="AF127" s="80">
        <f>SUMIFS('август 2024'!$G$4:$G$2015,'август 2024'!$D$4:$D$2015,$B127,'август 2024'!$J$4:$J$2015,AF$1)</f>
        <v>0</v>
      </c>
      <c r="AG127" s="80">
        <f>SUMIFS('август 2024'!$G$4:$G$2015,'август 2024'!$D$4:$D$2015,$B127,'август 2024'!$J$4:$J$2015,AG$1)</f>
        <v>0</v>
      </c>
      <c r="AH127" s="80">
        <f>SUMIFS('август 2024'!$G$4:$G$2015,'август 2024'!$D$4:$D$2015,$B127,'август 2024'!$J$4:$J$2015,AH$1)</f>
        <v>0</v>
      </c>
      <c r="AI127" s="21">
        <f t="shared" si="1"/>
        <v>0</v>
      </c>
    </row>
    <row r="128" spans="2:35" ht="15" customHeight="1" x14ac:dyDescent="0.25">
      <c r="B128" s="89" t="s">
        <v>333</v>
      </c>
      <c r="C128" s="91">
        <v>200</v>
      </c>
      <c r="D128" s="80">
        <f>SUMIFS('август 2024'!$G$4:$G$2015,'август 2024'!$D$4:$D$2015,$B128,'август 2024'!$J$4:$J$2015,D$1)</f>
        <v>0</v>
      </c>
      <c r="E128" s="80">
        <f>SUMIFS('август 2024'!$G$4:$G$2015,'август 2024'!$D$4:$D$2015,$B128,'август 2024'!$J$4:$J$2015,E$1)</f>
        <v>0</v>
      </c>
      <c r="F128" s="80">
        <f>SUMIFS('август 2024'!$G$4:$G$2015,'август 2024'!$D$4:$D$2015,$B128,'август 2024'!$J$4:$J$2015,F$1)</f>
        <v>0</v>
      </c>
      <c r="G128" s="80">
        <f>SUMIFS('август 2024'!$G$4:$G$2015,'август 2024'!$D$4:$D$2015,$B128,'август 2024'!$J$4:$J$2015,G$1)</f>
        <v>0</v>
      </c>
      <c r="H128" s="80">
        <f>SUMIFS('август 2024'!$G$4:$G$2015,'август 2024'!$D$4:$D$2015,$B128,'август 2024'!$J$4:$J$2015,H$1)</f>
        <v>0</v>
      </c>
      <c r="I128" s="80">
        <f>SUMIFS('август 2024'!$G$4:$G$2015,'август 2024'!$D$4:$D$2015,$B128,'август 2024'!$J$4:$J$2015,I$1)</f>
        <v>0</v>
      </c>
      <c r="J128" s="80">
        <f>SUMIFS('август 2024'!$G$4:$G$2015,'август 2024'!$D$4:$D$2015,$B128,'август 2024'!$J$4:$J$2015,J$1)</f>
        <v>0</v>
      </c>
      <c r="K128" s="80">
        <f>SUMIFS('август 2024'!$G$4:$G$2015,'август 2024'!$D$4:$D$2015,$B128,'август 2024'!$J$4:$J$2015,K$1)</f>
        <v>0</v>
      </c>
      <c r="L128" s="80">
        <f>SUMIFS('август 2024'!$G$4:$G$2015,'август 2024'!$D$4:$D$2015,$B128,'август 2024'!$J$4:$J$2015,L$1)</f>
        <v>0</v>
      </c>
      <c r="M128" s="80">
        <f>SUMIFS('август 2024'!$G$4:$G$2015,'август 2024'!$D$4:$D$2015,$B128,'август 2024'!$J$4:$J$2015,M$1)</f>
        <v>0</v>
      </c>
      <c r="N128" s="80">
        <f>SUMIFS('август 2024'!$G$4:$G$2015,'август 2024'!$D$4:$D$2015,$B128,'август 2024'!$J$4:$J$2015,N$1)</f>
        <v>0</v>
      </c>
      <c r="O128" s="80">
        <f>SUMIFS('август 2024'!$G$4:$G$2015,'август 2024'!$D$4:$D$2015,$B128,'август 2024'!$J$4:$J$2015,O$1)</f>
        <v>0</v>
      </c>
      <c r="P128" s="80">
        <f>SUMIFS('август 2024'!$G$4:$G$2015,'август 2024'!$D$4:$D$2015,$B128,'август 2024'!$J$4:$J$2015,P$1)</f>
        <v>0</v>
      </c>
      <c r="Q128" s="80">
        <f>SUMIFS('август 2024'!$G$4:$G$2015,'август 2024'!$D$4:$D$2015,$B128,'август 2024'!$J$4:$J$2015,Q$1)</f>
        <v>0</v>
      </c>
      <c r="R128" s="80">
        <f>SUMIFS('август 2024'!$G$4:$G$2015,'август 2024'!$D$4:$D$2015,$B128,'август 2024'!$J$4:$J$2015,R$1)</f>
        <v>0</v>
      </c>
      <c r="S128" s="80">
        <f>SUMIFS('август 2024'!$G$4:$G$2015,'август 2024'!$D$4:$D$2015,$B128,'август 2024'!$J$4:$J$2015,S$1)</f>
        <v>0</v>
      </c>
      <c r="T128" s="80">
        <f>SUMIFS('август 2024'!$G$4:$G$2015,'август 2024'!$D$4:$D$2015,$B128,'август 2024'!$J$4:$J$2015,T$1)</f>
        <v>0</v>
      </c>
      <c r="U128" s="80">
        <f>SUMIFS('август 2024'!$G$4:$G$2015,'август 2024'!$D$4:$D$2015,$B128,'август 2024'!$J$4:$J$2015,U$1)</f>
        <v>0</v>
      </c>
      <c r="V128" s="80">
        <f>SUMIFS('август 2024'!$G$4:$G$2015,'август 2024'!$D$4:$D$2015,$B128,'август 2024'!$J$4:$J$2015,V$1)</f>
        <v>0</v>
      </c>
      <c r="W128" s="80">
        <f>SUMIFS('август 2024'!$G$4:$G$2015,'август 2024'!$D$4:$D$2015,$B128,'август 2024'!$J$4:$J$2015,W$1)</f>
        <v>0</v>
      </c>
      <c r="X128" s="80">
        <f>SUMIFS('август 2024'!$G$4:$G$2015,'август 2024'!$D$4:$D$2015,$B128,'август 2024'!$J$4:$J$2015,X$1)</f>
        <v>0</v>
      </c>
      <c r="Y128" s="80">
        <f>SUMIFS('август 2024'!$G$4:$G$2015,'август 2024'!$D$4:$D$2015,$B128,'август 2024'!$J$4:$J$2015,Y$1)</f>
        <v>0</v>
      </c>
      <c r="Z128" s="80">
        <f>SUMIFS('август 2024'!$G$4:$G$2015,'август 2024'!$D$4:$D$2015,$B128,'август 2024'!$J$4:$J$2015,Z$1)</f>
        <v>0</v>
      </c>
      <c r="AA128" s="80">
        <f>SUMIFS('август 2024'!$G$4:$G$2015,'август 2024'!$D$4:$D$2015,$B128,'август 2024'!$J$4:$J$2015,AA$1)</f>
        <v>0</v>
      </c>
      <c r="AB128" s="80">
        <f>SUMIFS('август 2024'!$G$4:$G$2015,'август 2024'!$D$4:$D$2015,$B128,'август 2024'!$J$4:$J$2015,AB$1)</f>
        <v>0</v>
      </c>
      <c r="AC128" s="80">
        <f>SUMIFS('август 2024'!$G$4:$G$2015,'август 2024'!$D$4:$D$2015,$B128,'август 2024'!$J$4:$J$2015,AC$1)</f>
        <v>0</v>
      </c>
      <c r="AD128" s="80">
        <f>SUMIFS('август 2024'!$G$4:$G$2015,'август 2024'!$D$4:$D$2015,$B128,'август 2024'!$J$4:$J$2015,AD$1)</f>
        <v>0</v>
      </c>
      <c r="AE128" s="80">
        <f>SUMIFS('август 2024'!$G$4:$G$2015,'август 2024'!$D$4:$D$2015,$B128,'август 2024'!$J$4:$J$2015,AE$1)</f>
        <v>0</v>
      </c>
      <c r="AF128" s="80">
        <f>SUMIFS('август 2024'!$G$4:$G$2015,'август 2024'!$D$4:$D$2015,$B128,'август 2024'!$J$4:$J$2015,AF$1)</f>
        <v>0</v>
      </c>
      <c r="AG128" s="80">
        <f>SUMIFS('август 2024'!$G$4:$G$2015,'август 2024'!$D$4:$D$2015,$B128,'август 2024'!$J$4:$J$2015,AG$1)</f>
        <v>0</v>
      </c>
      <c r="AH128" s="80">
        <f>SUMIFS('август 2024'!$G$4:$G$2015,'август 2024'!$D$4:$D$2015,$B128,'август 2024'!$J$4:$J$2015,AH$1)</f>
        <v>0</v>
      </c>
      <c r="AI128" s="21">
        <f t="shared" si="1"/>
        <v>0</v>
      </c>
    </row>
    <row r="129" spans="2:35" ht="15" customHeight="1" x14ac:dyDescent="0.25">
      <c r="B129" s="89" t="s">
        <v>343</v>
      </c>
      <c r="C129" s="91">
        <v>200</v>
      </c>
      <c r="D129" s="80">
        <f>SUMIFS('август 2024'!$G$4:$G$2015,'август 2024'!$D$4:$D$2015,$B129,'август 2024'!$J$4:$J$2015,D$1)</f>
        <v>0</v>
      </c>
      <c r="E129" s="80">
        <f>SUMIFS('август 2024'!$G$4:$G$2015,'август 2024'!$D$4:$D$2015,$B129,'август 2024'!$J$4:$J$2015,E$1)</f>
        <v>0</v>
      </c>
      <c r="F129" s="80">
        <f>SUMIFS('август 2024'!$G$4:$G$2015,'август 2024'!$D$4:$D$2015,$B129,'август 2024'!$J$4:$J$2015,F$1)</f>
        <v>0</v>
      </c>
      <c r="G129" s="80">
        <f>SUMIFS('август 2024'!$G$4:$G$2015,'август 2024'!$D$4:$D$2015,$B129,'август 2024'!$J$4:$J$2015,G$1)</f>
        <v>0</v>
      </c>
      <c r="H129" s="80">
        <f>SUMIFS('август 2024'!$G$4:$G$2015,'август 2024'!$D$4:$D$2015,$B129,'август 2024'!$J$4:$J$2015,H$1)</f>
        <v>0</v>
      </c>
      <c r="I129" s="80">
        <f>SUMIFS('август 2024'!$G$4:$G$2015,'август 2024'!$D$4:$D$2015,$B129,'август 2024'!$J$4:$J$2015,I$1)</f>
        <v>0</v>
      </c>
      <c r="J129" s="80">
        <f>SUMIFS('август 2024'!$G$4:$G$2015,'август 2024'!$D$4:$D$2015,$B129,'август 2024'!$J$4:$J$2015,J$1)</f>
        <v>0</v>
      </c>
      <c r="K129" s="80">
        <f>SUMIFS('август 2024'!$G$4:$G$2015,'август 2024'!$D$4:$D$2015,$B129,'август 2024'!$J$4:$J$2015,K$1)</f>
        <v>0</v>
      </c>
      <c r="L129" s="80">
        <f>SUMIFS('август 2024'!$G$4:$G$2015,'август 2024'!$D$4:$D$2015,$B129,'август 2024'!$J$4:$J$2015,L$1)</f>
        <v>0</v>
      </c>
      <c r="M129" s="80">
        <f>SUMIFS('август 2024'!$G$4:$G$2015,'август 2024'!$D$4:$D$2015,$B129,'август 2024'!$J$4:$J$2015,M$1)</f>
        <v>0</v>
      </c>
      <c r="N129" s="80">
        <f>SUMIFS('август 2024'!$G$4:$G$2015,'август 2024'!$D$4:$D$2015,$B129,'август 2024'!$J$4:$J$2015,N$1)</f>
        <v>0</v>
      </c>
      <c r="O129" s="80">
        <f>SUMIFS('август 2024'!$G$4:$G$2015,'август 2024'!$D$4:$D$2015,$B129,'август 2024'!$J$4:$J$2015,O$1)</f>
        <v>0</v>
      </c>
      <c r="P129" s="80">
        <f>SUMIFS('август 2024'!$G$4:$G$2015,'август 2024'!$D$4:$D$2015,$B129,'август 2024'!$J$4:$J$2015,P$1)</f>
        <v>0</v>
      </c>
      <c r="Q129" s="80">
        <f>SUMIFS('август 2024'!$G$4:$G$2015,'август 2024'!$D$4:$D$2015,$B129,'август 2024'!$J$4:$J$2015,Q$1)</f>
        <v>0</v>
      </c>
      <c r="R129" s="80">
        <f>SUMIFS('август 2024'!$G$4:$G$2015,'август 2024'!$D$4:$D$2015,$B129,'август 2024'!$J$4:$J$2015,R$1)</f>
        <v>0</v>
      </c>
      <c r="S129" s="80">
        <f>SUMIFS('август 2024'!$G$4:$G$2015,'август 2024'!$D$4:$D$2015,$B129,'август 2024'!$J$4:$J$2015,S$1)</f>
        <v>0</v>
      </c>
      <c r="T129" s="80">
        <f>SUMIFS('август 2024'!$G$4:$G$2015,'август 2024'!$D$4:$D$2015,$B129,'август 2024'!$J$4:$J$2015,T$1)</f>
        <v>0</v>
      </c>
      <c r="U129" s="80">
        <f>SUMIFS('август 2024'!$G$4:$G$2015,'август 2024'!$D$4:$D$2015,$B129,'август 2024'!$J$4:$J$2015,U$1)</f>
        <v>0</v>
      </c>
      <c r="V129" s="80">
        <f>SUMIFS('август 2024'!$G$4:$G$2015,'август 2024'!$D$4:$D$2015,$B129,'август 2024'!$J$4:$J$2015,V$1)</f>
        <v>0</v>
      </c>
      <c r="W129" s="80">
        <f>SUMIFS('август 2024'!$G$4:$G$2015,'август 2024'!$D$4:$D$2015,$B129,'август 2024'!$J$4:$J$2015,W$1)</f>
        <v>0</v>
      </c>
      <c r="X129" s="80">
        <f>SUMIFS('август 2024'!$G$4:$G$2015,'август 2024'!$D$4:$D$2015,$B129,'август 2024'!$J$4:$J$2015,X$1)</f>
        <v>0</v>
      </c>
      <c r="Y129" s="80">
        <f>SUMIFS('август 2024'!$G$4:$G$2015,'август 2024'!$D$4:$D$2015,$B129,'август 2024'!$J$4:$J$2015,Y$1)</f>
        <v>0</v>
      </c>
      <c r="Z129" s="80">
        <f>SUMIFS('август 2024'!$G$4:$G$2015,'август 2024'!$D$4:$D$2015,$B129,'август 2024'!$J$4:$J$2015,Z$1)</f>
        <v>0</v>
      </c>
      <c r="AA129" s="80">
        <f>SUMIFS('август 2024'!$G$4:$G$2015,'август 2024'!$D$4:$D$2015,$B129,'август 2024'!$J$4:$J$2015,AA$1)</f>
        <v>0</v>
      </c>
      <c r="AB129" s="80">
        <f>SUMIFS('август 2024'!$G$4:$G$2015,'август 2024'!$D$4:$D$2015,$B129,'август 2024'!$J$4:$J$2015,AB$1)</f>
        <v>0</v>
      </c>
      <c r="AC129" s="80">
        <f>SUMIFS('август 2024'!$G$4:$G$2015,'август 2024'!$D$4:$D$2015,$B129,'август 2024'!$J$4:$J$2015,AC$1)</f>
        <v>0</v>
      </c>
      <c r="AD129" s="80">
        <f>SUMIFS('август 2024'!$G$4:$G$2015,'август 2024'!$D$4:$D$2015,$B129,'август 2024'!$J$4:$J$2015,AD$1)</f>
        <v>0</v>
      </c>
      <c r="AE129" s="80">
        <f>SUMIFS('август 2024'!$G$4:$G$2015,'август 2024'!$D$4:$D$2015,$B129,'август 2024'!$J$4:$J$2015,AE$1)</f>
        <v>0</v>
      </c>
      <c r="AF129" s="80">
        <f>SUMIFS('август 2024'!$G$4:$G$2015,'август 2024'!$D$4:$D$2015,$B129,'август 2024'!$J$4:$J$2015,AF$1)</f>
        <v>0</v>
      </c>
      <c r="AG129" s="80">
        <f>SUMIFS('август 2024'!$G$4:$G$2015,'август 2024'!$D$4:$D$2015,$B129,'август 2024'!$J$4:$J$2015,AG$1)</f>
        <v>0</v>
      </c>
      <c r="AH129" s="80">
        <f>SUMIFS('август 2024'!$G$4:$G$2015,'август 2024'!$D$4:$D$2015,$B129,'август 2024'!$J$4:$J$2015,AH$1)</f>
        <v>0</v>
      </c>
      <c r="AI129" s="21">
        <f t="shared" si="1"/>
        <v>0</v>
      </c>
    </row>
    <row r="130" spans="2:35" ht="15" customHeight="1" x14ac:dyDescent="0.25">
      <c r="B130" s="89" t="s">
        <v>207</v>
      </c>
      <c r="C130" s="91">
        <v>180</v>
      </c>
      <c r="D130" s="80">
        <f>SUMIFS('август 2024'!$G$4:$G$2015,'август 2024'!$D$4:$D$2015,$B130,'август 2024'!$J$4:$J$2015,D$1)</f>
        <v>0</v>
      </c>
      <c r="E130" s="80">
        <f>SUMIFS('август 2024'!$G$4:$G$2015,'август 2024'!$D$4:$D$2015,$B130,'август 2024'!$J$4:$J$2015,E$1)</f>
        <v>0</v>
      </c>
      <c r="F130" s="80">
        <f>SUMIFS('август 2024'!$G$4:$G$2015,'август 2024'!$D$4:$D$2015,$B130,'август 2024'!$J$4:$J$2015,F$1)</f>
        <v>0</v>
      </c>
      <c r="G130" s="80">
        <f>SUMIFS('август 2024'!$G$4:$G$2015,'август 2024'!$D$4:$D$2015,$B130,'август 2024'!$J$4:$J$2015,G$1)</f>
        <v>0</v>
      </c>
      <c r="H130" s="80">
        <f>SUMIFS('август 2024'!$G$4:$G$2015,'август 2024'!$D$4:$D$2015,$B130,'август 2024'!$J$4:$J$2015,H$1)</f>
        <v>0</v>
      </c>
      <c r="I130" s="80">
        <f>SUMIFS('август 2024'!$G$4:$G$2015,'август 2024'!$D$4:$D$2015,$B130,'август 2024'!$J$4:$J$2015,I$1)</f>
        <v>0</v>
      </c>
      <c r="J130" s="80">
        <f>SUMIFS('август 2024'!$G$4:$G$2015,'август 2024'!$D$4:$D$2015,$B130,'август 2024'!$J$4:$J$2015,J$1)</f>
        <v>0</v>
      </c>
      <c r="K130" s="80">
        <f>SUMIFS('август 2024'!$G$4:$G$2015,'август 2024'!$D$4:$D$2015,$B130,'август 2024'!$J$4:$J$2015,K$1)</f>
        <v>0</v>
      </c>
      <c r="L130" s="80">
        <f>SUMIFS('август 2024'!$G$4:$G$2015,'август 2024'!$D$4:$D$2015,$B130,'август 2024'!$J$4:$J$2015,L$1)</f>
        <v>0</v>
      </c>
      <c r="M130" s="80">
        <f>SUMIFS('август 2024'!$G$4:$G$2015,'август 2024'!$D$4:$D$2015,$B130,'август 2024'!$J$4:$J$2015,M$1)</f>
        <v>0</v>
      </c>
      <c r="N130" s="80">
        <f>SUMIFS('август 2024'!$G$4:$G$2015,'август 2024'!$D$4:$D$2015,$B130,'август 2024'!$J$4:$J$2015,N$1)</f>
        <v>0</v>
      </c>
      <c r="O130" s="80">
        <f>SUMIFS('август 2024'!$G$4:$G$2015,'август 2024'!$D$4:$D$2015,$B130,'август 2024'!$J$4:$J$2015,O$1)</f>
        <v>0</v>
      </c>
      <c r="P130" s="80">
        <f>SUMIFS('август 2024'!$G$4:$G$2015,'август 2024'!$D$4:$D$2015,$B130,'август 2024'!$J$4:$J$2015,P$1)</f>
        <v>0</v>
      </c>
      <c r="Q130" s="80">
        <f>SUMIFS('август 2024'!$G$4:$G$2015,'август 2024'!$D$4:$D$2015,$B130,'август 2024'!$J$4:$J$2015,Q$1)</f>
        <v>0</v>
      </c>
      <c r="R130" s="80">
        <f>SUMIFS('август 2024'!$G$4:$G$2015,'август 2024'!$D$4:$D$2015,$B130,'август 2024'!$J$4:$J$2015,R$1)</f>
        <v>0</v>
      </c>
      <c r="S130" s="80">
        <f>SUMIFS('август 2024'!$G$4:$G$2015,'август 2024'!$D$4:$D$2015,$B130,'август 2024'!$J$4:$J$2015,S$1)</f>
        <v>0</v>
      </c>
      <c r="T130" s="80">
        <f>SUMIFS('август 2024'!$G$4:$G$2015,'август 2024'!$D$4:$D$2015,$B130,'август 2024'!$J$4:$J$2015,T$1)</f>
        <v>0</v>
      </c>
      <c r="U130" s="80">
        <f>SUMIFS('август 2024'!$G$4:$G$2015,'август 2024'!$D$4:$D$2015,$B130,'август 2024'!$J$4:$J$2015,U$1)</f>
        <v>0</v>
      </c>
      <c r="V130" s="80">
        <f>SUMIFS('август 2024'!$G$4:$G$2015,'август 2024'!$D$4:$D$2015,$B130,'август 2024'!$J$4:$J$2015,V$1)</f>
        <v>0</v>
      </c>
      <c r="W130" s="80">
        <f>SUMIFS('август 2024'!$G$4:$G$2015,'август 2024'!$D$4:$D$2015,$B130,'август 2024'!$J$4:$J$2015,W$1)</f>
        <v>0</v>
      </c>
      <c r="X130" s="80">
        <f>SUMIFS('август 2024'!$G$4:$G$2015,'август 2024'!$D$4:$D$2015,$B130,'август 2024'!$J$4:$J$2015,X$1)</f>
        <v>0</v>
      </c>
      <c r="Y130" s="80">
        <f>SUMIFS('август 2024'!$G$4:$G$2015,'август 2024'!$D$4:$D$2015,$B130,'август 2024'!$J$4:$J$2015,Y$1)</f>
        <v>0</v>
      </c>
      <c r="Z130" s="80">
        <f>SUMIFS('август 2024'!$G$4:$G$2015,'август 2024'!$D$4:$D$2015,$B130,'август 2024'!$J$4:$J$2015,Z$1)</f>
        <v>0</v>
      </c>
      <c r="AA130" s="80">
        <f>SUMIFS('август 2024'!$G$4:$G$2015,'август 2024'!$D$4:$D$2015,$B130,'август 2024'!$J$4:$J$2015,AA$1)</f>
        <v>0</v>
      </c>
      <c r="AB130" s="80">
        <f>SUMIFS('август 2024'!$G$4:$G$2015,'август 2024'!$D$4:$D$2015,$B130,'август 2024'!$J$4:$J$2015,AB$1)</f>
        <v>0</v>
      </c>
      <c r="AC130" s="80">
        <f>SUMIFS('август 2024'!$G$4:$G$2015,'август 2024'!$D$4:$D$2015,$B130,'август 2024'!$J$4:$J$2015,AC$1)</f>
        <v>0</v>
      </c>
      <c r="AD130" s="80">
        <f>SUMIFS('август 2024'!$G$4:$G$2015,'август 2024'!$D$4:$D$2015,$B130,'август 2024'!$J$4:$J$2015,AD$1)</f>
        <v>0</v>
      </c>
      <c r="AE130" s="80">
        <f>SUMIFS('август 2024'!$G$4:$G$2015,'август 2024'!$D$4:$D$2015,$B130,'август 2024'!$J$4:$J$2015,AE$1)</f>
        <v>0</v>
      </c>
      <c r="AF130" s="80">
        <f>SUMIFS('август 2024'!$G$4:$G$2015,'август 2024'!$D$4:$D$2015,$B130,'август 2024'!$J$4:$J$2015,AF$1)</f>
        <v>0</v>
      </c>
      <c r="AG130" s="80">
        <f>SUMIFS('август 2024'!$G$4:$G$2015,'август 2024'!$D$4:$D$2015,$B130,'август 2024'!$J$4:$J$2015,AG$1)</f>
        <v>0</v>
      </c>
      <c r="AH130" s="80">
        <f>SUMIFS('август 2024'!$G$4:$G$2015,'август 2024'!$D$4:$D$2015,$B130,'август 2024'!$J$4:$J$2015,AH$1)</f>
        <v>0</v>
      </c>
      <c r="AI130" s="21">
        <f t="shared" si="1"/>
        <v>0</v>
      </c>
    </row>
    <row r="131" spans="2:35" ht="15" customHeight="1" x14ac:dyDescent="0.25">
      <c r="B131" s="93" t="s">
        <v>621</v>
      </c>
      <c r="C131" s="91">
        <v>180</v>
      </c>
      <c r="D131" s="80">
        <f>SUMIFS('август 2024'!$G$4:$G$2015,'август 2024'!$D$4:$D$2015,$B131,'август 2024'!$J$4:$J$2015,D$1)</f>
        <v>0</v>
      </c>
      <c r="E131" s="80">
        <f>SUMIFS('август 2024'!$G$4:$G$2015,'август 2024'!$D$4:$D$2015,$B131,'август 2024'!$J$4:$J$2015,E$1)</f>
        <v>0</v>
      </c>
      <c r="F131" s="80">
        <f>SUMIFS('август 2024'!$G$4:$G$2015,'август 2024'!$D$4:$D$2015,$B131,'август 2024'!$J$4:$J$2015,F$1)</f>
        <v>0</v>
      </c>
      <c r="G131" s="80">
        <f>SUMIFS('август 2024'!$G$4:$G$2015,'август 2024'!$D$4:$D$2015,$B131,'август 2024'!$J$4:$J$2015,G$1)</f>
        <v>0</v>
      </c>
      <c r="H131" s="80">
        <f>SUMIFS('август 2024'!$G$4:$G$2015,'август 2024'!$D$4:$D$2015,$B131,'август 2024'!$J$4:$J$2015,H$1)</f>
        <v>0</v>
      </c>
      <c r="I131" s="80">
        <f>SUMIFS('август 2024'!$G$4:$G$2015,'август 2024'!$D$4:$D$2015,$B131,'август 2024'!$J$4:$J$2015,I$1)</f>
        <v>0</v>
      </c>
      <c r="J131" s="80">
        <f>SUMIFS('август 2024'!$G$4:$G$2015,'август 2024'!$D$4:$D$2015,$B131,'август 2024'!$J$4:$J$2015,J$1)</f>
        <v>88</v>
      </c>
      <c r="K131" s="80">
        <f>SUMIFS('август 2024'!$G$4:$G$2015,'август 2024'!$D$4:$D$2015,$B131,'август 2024'!$J$4:$J$2015,K$1)</f>
        <v>0</v>
      </c>
      <c r="L131" s="80">
        <f>SUMIFS('август 2024'!$G$4:$G$2015,'август 2024'!$D$4:$D$2015,$B131,'август 2024'!$J$4:$J$2015,L$1)</f>
        <v>0</v>
      </c>
      <c r="M131" s="80">
        <f>SUMIFS('август 2024'!$G$4:$G$2015,'август 2024'!$D$4:$D$2015,$B131,'август 2024'!$J$4:$J$2015,M$1)</f>
        <v>0</v>
      </c>
      <c r="N131" s="80">
        <f>SUMIFS('август 2024'!$G$4:$G$2015,'август 2024'!$D$4:$D$2015,$B131,'август 2024'!$J$4:$J$2015,N$1)</f>
        <v>0</v>
      </c>
      <c r="O131" s="80">
        <f>SUMIFS('август 2024'!$G$4:$G$2015,'август 2024'!$D$4:$D$2015,$B131,'август 2024'!$J$4:$J$2015,O$1)</f>
        <v>0</v>
      </c>
      <c r="P131" s="80">
        <f>SUMIFS('август 2024'!$G$4:$G$2015,'август 2024'!$D$4:$D$2015,$B131,'август 2024'!$J$4:$J$2015,P$1)</f>
        <v>0</v>
      </c>
      <c r="Q131" s="80">
        <f>SUMIFS('август 2024'!$G$4:$G$2015,'август 2024'!$D$4:$D$2015,$B131,'август 2024'!$J$4:$J$2015,Q$1)</f>
        <v>0</v>
      </c>
      <c r="R131" s="80">
        <f>SUMIFS('август 2024'!$G$4:$G$2015,'август 2024'!$D$4:$D$2015,$B131,'август 2024'!$J$4:$J$2015,R$1)</f>
        <v>0</v>
      </c>
      <c r="S131" s="80">
        <f>SUMIFS('август 2024'!$G$4:$G$2015,'август 2024'!$D$4:$D$2015,$B131,'август 2024'!$J$4:$J$2015,S$1)</f>
        <v>0</v>
      </c>
      <c r="T131" s="80">
        <f>SUMIFS('август 2024'!$G$4:$G$2015,'август 2024'!$D$4:$D$2015,$B131,'август 2024'!$J$4:$J$2015,T$1)</f>
        <v>0</v>
      </c>
      <c r="U131" s="80">
        <f>SUMIFS('август 2024'!$G$4:$G$2015,'август 2024'!$D$4:$D$2015,$B131,'август 2024'!$J$4:$J$2015,U$1)</f>
        <v>0</v>
      </c>
      <c r="V131" s="80">
        <f>SUMIFS('август 2024'!$G$4:$G$2015,'август 2024'!$D$4:$D$2015,$B131,'август 2024'!$J$4:$J$2015,V$1)</f>
        <v>0</v>
      </c>
      <c r="W131" s="80">
        <f>SUMIFS('август 2024'!$G$4:$G$2015,'август 2024'!$D$4:$D$2015,$B131,'август 2024'!$J$4:$J$2015,W$1)</f>
        <v>52</v>
      </c>
      <c r="X131" s="80">
        <f>SUMIFS('август 2024'!$G$4:$G$2015,'август 2024'!$D$4:$D$2015,$B131,'август 2024'!$J$4:$J$2015,X$1)</f>
        <v>0</v>
      </c>
      <c r="Y131" s="80">
        <f>SUMIFS('август 2024'!$G$4:$G$2015,'август 2024'!$D$4:$D$2015,$B131,'август 2024'!$J$4:$J$2015,Y$1)</f>
        <v>0</v>
      </c>
      <c r="Z131" s="80">
        <f>SUMIFS('август 2024'!$G$4:$G$2015,'август 2024'!$D$4:$D$2015,$B131,'август 2024'!$J$4:$J$2015,Z$1)</f>
        <v>0</v>
      </c>
      <c r="AA131" s="80">
        <f>SUMIFS('август 2024'!$G$4:$G$2015,'август 2024'!$D$4:$D$2015,$B131,'август 2024'!$J$4:$J$2015,AA$1)</f>
        <v>0</v>
      </c>
      <c r="AB131" s="80">
        <f>SUMIFS('август 2024'!$G$4:$G$2015,'август 2024'!$D$4:$D$2015,$B131,'август 2024'!$J$4:$J$2015,AB$1)</f>
        <v>0</v>
      </c>
      <c r="AC131" s="80">
        <f>SUMIFS('август 2024'!$G$4:$G$2015,'август 2024'!$D$4:$D$2015,$B131,'август 2024'!$J$4:$J$2015,AC$1)</f>
        <v>0</v>
      </c>
      <c r="AD131" s="80">
        <f>SUMIFS('август 2024'!$G$4:$G$2015,'август 2024'!$D$4:$D$2015,$B131,'август 2024'!$J$4:$J$2015,AD$1)</f>
        <v>0</v>
      </c>
      <c r="AE131" s="80">
        <f>SUMIFS('август 2024'!$G$4:$G$2015,'август 2024'!$D$4:$D$2015,$B131,'август 2024'!$J$4:$J$2015,AE$1)</f>
        <v>0</v>
      </c>
      <c r="AF131" s="80">
        <f>SUMIFS('август 2024'!$G$4:$G$2015,'август 2024'!$D$4:$D$2015,$B131,'август 2024'!$J$4:$J$2015,AF$1)</f>
        <v>0</v>
      </c>
      <c r="AG131" s="80">
        <f>SUMIFS('август 2024'!$G$4:$G$2015,'август 2024'!$D$4:$D$2015,$B131,'август 2024'!$J$4:$J$2015,AG$1)</f>
        <v>0</v>
      </c>
      <c r="AH131" s="80">
        <f>SUMIFS('август 2024'!$G$4:$G$2015,'август 2024'!$D$4:$D$2015,$B131,'август 2024'!$J$4:$J$2015,AH$1)</f>
        <v>0</v>
      </c>
      <c r="AI131" s="21">
        <f t="shared" si="1"/>
        <v>140</v>
      </c>
    </row>
    <row r="132" spans="2:35" ht="15" customHeight="1" x14ac:dyDescent="0.25">
      <c r="B132" s="93" t="s">
        <v>191</v>
      </c>
      <c r="C132" s="91">
        <v>190</v>
      </c>
      <c r="D132" s="80">
        <f>SUMIFS('август 2024'!$G$4:$G$2015,'август 2024'!$D$4:$D$2015,$B132,'август 2024'!$J$4:$J$2015,D$1)</f>
        <v>0</v>
      </c>
      <c r="E132" s="80">
        <f>SUMIFS('август 2024'!$G$4:$G$2015,'август 2024'!$D$4:$D$2015,$B132,'август 2024'!$J$4:$J$2015,E$1)</f>
        <v>0</v>
      </c>
      <c r="F132" s="80">
        <f>SUMIFS('август 2024'!$G$4:$G$2015,'август 2024'!$D$4:$D$2015,$B132,'август 2024'!$J$4:$J$2015,F$1)</f>
        <v>0</v>
      </c>
      <c r="G132" s="80">
        <f>SUMIFS('август 2024'!$G$4:$G$2015,'август 2024'!$D$4:$D$2015,$B132,'август 2024'!$J$4:$J$2015,G$1)</f>
        <v>0</v>
      </c>
      <c r="H132" s="80">
        <f>SUMIFS('август 2024'!$G$4:$G$2015,'август 2024'!$D$4:$D$2015,$B132,'август 2024'!$J$4:$J$2015,H$1)</f>
        <v>0</v>
      </c>
      <c r="I132" s="80">
        <f>SUMIFS('август 2024'!$G$4:$G$2015,'август 2024'!$D$4:$D$2015,$B132,'август 2024'!$J$4:$J$2015,I$1)</f>
        <v>0</v>
      </c>
      <c r="J132" s="80">
        <f>SUMIFS('август 2024'!$G$4:$G$2015,'август 2024'!$D$4:$D$2015,$B132,'август 2024'!$J$4:$J$2015,J$1)</f>
        <v>0</v>
      </c>
      <c r="K132" s="80">
        <f>SUMIFS('август 2024'!$G$4:$G$2015,'август 2024'!$D$4:$D$2015,$B132,'август 2024'!$J$4:$J$2015,K$1)</f>
        <v>0</v>
      </c>
      <c r="L132" s="80">
        <f>SUMIFS('август 2024'!$G$4:$G$2015,'август 2024'!$D$4:$D$2015,$B132,'август 2024'!$J$4:$J$2015,L$1)</f>
        <v>0</v>
      </c>
      <c r="M132" s="80">
        <f>SUMIFS('август 2024'!$G$4:$G$2015,'август 2024'!$D$4:$D$2015,$B132,'август 2024'!$J$4:$J$2015,M$1)</f>
        <v>0</v>
      </c>
      <c r="N132" s="80">
        <f>SUMIFS('август 2024'!$G$4:$G$2015,'август 2024'!$D$4:$D$2015,$B132,'август 2024'!$J$4:$J$2015,N$1)</f>
        <v>0</v>
      </c>
      <c r="O132" s="80">
        <f>SUMIFS('август 2024'!$G$4:$G$2015,'август 2024'!$D$4:$D$2015,$B132,'август 2024'!$J$4:$J$2015,O$1)</f>
        <v>0</v>
      </c>
      <c r="P132" s="80">
        <f>SUMIFS('август 2024'!$G$4:$G$2015,'август 2024'!$D$4:$D$2015,$B132,'август 2024'!$J$4:$J$2015,P$1)</f>
        <v>0</v>
      </c>
      <c r="Q132" s="80">
        <f>SUMIFS('август 2024'!$G$4:$G$2015,'август 2024'!$D$4:$D$2015,$B132,'август 2024'!$J$4:$J$2015,Q$1)</f>
        <v>0</v>
      </c>
      <c r="R132" s="80">
        <f>SUMIFS('август 2024'!$G$4:$G$2015,'август 2024'!$D$4:$D$2015,$B132,'август 2024'!$J$4:$J$2015,R$1)</f>
        <v>0</v>
      </c>
      <c r="S132" s="80">
        <f>SUMIFS('август 2024'!$G$4:$G$2015,'август 2024'!$D$4:$D$2015,$B132,'август 2024'!$J$4:$J$2015,S$1)</f>
        <v>0</v>
      </c>
      <c r="T132" s="80">
        <f>SUMIFS('август 2024'!$G$4:$G$2015,'август 2024'!$D$4:$D$2015,$B132,'август 2024'!$J$4:$J$2015,T$1)</f>
        <v>0</v>
      </c>
      <c r="U132" s="80">
        <f>SUMIFS('август 2024'!$G$4:$G$2015,'август 2024'!$D$4:$D$2015,$B132,'август 2024'!$J$4:$J$2015,U$1)</f>
        <v>0</v>
      </c>
      <c r="V132" s="80">
        <f>SUMIFS('август 2024'!$G$4:$G$2015,'август 2024'!$D$4:$D$2015,$B132,'август 2024'!$J$4:$J$2015,V$1)</f>
        <v>0</v>
      </c>
      <c r="W132" s="80">
        <f>SUMIFS('август 2024'!$G$4:$G$2015,'август 2024'!$D$4:$D$2015,$B132,'август 2024'!$J$4:$J$2015,W$1)</f>
        <v>0</v>
      </c>
      <c r="X132" s="80">
        <f>SUMIFS('август 2024'!$G$4:$G$2015,'август 2024'!$D$4:$D$2015,$B132,'август 2024'!$J$4:$J$2015,X$1)</f>
        <v>0</v>
      </c>
      <c r="Y132" s="80">
        <f>SUMIFS('август 2024'!$G$4:$G$2015,'август 2024'!$D$4:$D$2015,$B132,'август 2024'!$J$4:$J$2015,Y$1)</f>
        <v>0</v>
      </c>
      <c r="Z132" s="80">
        <f>SUMIFS('август 2024'!$G$4:$G$2015,'август 2024'!$D$4:$D$2015,$B132,'август 2024'!$J$4:$J$2015,Z$1)</f>
        <v>0</v>
      </c>
      <c r="AA132" s="80">
        <f>SUMIFS('август 2024'!$G$4:$G$2015,'август 2024'!$D$4:$D$2015,$B132,'август 2024'!$J$4:$J$2015,AA$1)</f>
        <v>0</v>
      </c>
      <c r="AB132" s="80">
        <f>SUMIFS('август 2024'!$G$4:$G$2015,'август 2024'!$D$4:$D$2015,$B132,'август 2024'!$J$4:$J$2015,AB$1)</f>
        <v>0</v>
      </c>
      <c r="AC132" s="80">
        <f>SUMIFS('август 2024'!$G$4:$G$2015,'август 2024'!$D$4:$D$2015,$B132,'август 2024'!$J$4:$J$2015,AC$1)</f>
        <v>0</v>
      </c>
      <c r="AD132" s="80">
        <f>SUMIFS('август 2024'!$G$4:$G$2015,'август 2024'!$D$4:$D$2015,$B132,'август 2024'!$J$4:$J$2015,AD$1)</f>
        <v>0</v>
      </c>
      <c r="AE132" s="80">
        <f>SUMIFS('август 2024'!$G$4:$G$2015,'август 2024'!$D$4:$D$2015,$B132,'август 2024'!$J$4:$J$2015,AE$1)</f>
        <v>0</v>
      </c>
      <c r="AF132" s="80">
        <f>SUMIFS('август 2024'!$G$4:$G$2015,'август 2024'!$D$4:$D$2015,$B132,'август 2024'!$J$4:$J$2015,AF$1)</f>
        <v>0</v>
      </c>
      <c r="AG132" s="80">
        <f>SUMIFS('август 2024'!$G$4:$G$2015,'август 2024'!$D$4:$D$2015,$B132,'август 2024'!$J$4:$J$2015,AG$1)</f>
        <v>0</v>
      </c>
      <c r="AH132" s="80">
        <f>SUMIFS('август 2024'!$G$4:$G$2015,'август 2024'!$D$4:$D$2015,$B132,'август 2024'!$J$4:$J$2015,AH$1)</f>
        <v>0</v>
      </c>
      <c r="AI132" s="21">
        <f t="shared" si="1"/>
        <v>0</v>
      </c>
    </row>
    <row r="133" spans="2:35" ht="15" customHeight="1" x14ac:dyDescent="0.25">
      <c r="B133" s="93" t="s">
        <v>334</v>
      </c>
      <c r="C133" s="91">
        <v>190</v>
      </c>
      <c r="D133" s="80">
        <f>SUMIFS('август 2024'!$G$4:$G$2015,'август 2024'!$D$4:$D$2015,$B133,'август 2024'!$J$4:$J$2015,D$1)</f>
        <v>0</v>
      </c>
      <c r="E133" s="80">
        <f>SUMIFS('август 2024'!$G$4:$G$2015,'август 2024'!$D$4:$D$2015,$B133,'август 2024'!$J$4:$J$2015,E$1)</f>
        <v>0</v>
      </c>
      <c r="F133" s="80">
        <f>SUMIFS('август 2024'!$G$4:$G$2015,'август 2024'!$D$4:$D$2015,$B133,'август 2024'!$J$4:$J$2015,F$1)</f>
        <v>0</v>
      </c>
      <c r="G133" s="80">
        <f>SUMIFS('август 2024'!$G$4:$G$2015,'август 2024'!$D$4:$D$2015,$B133,'август 2024'!$J$4:$J$2015,G$1)</f>
        <v>0</v>
      </c>
      <c r="H133" s="80">
        <f>SUMIFS('август 2024'!$G$4:$G$2015,'август 2024'!$D$4:$D$2015,$B133,'август 2024'!$J$4:$J$2015,H$1)</f>
        <v>0</v>
      </c>
      <c r="I133" s="80">
        <f>SUMIFS('август 2024'!$G$4:$G$2015,'август 2024'!$D$4:$D$2015,$B133,'август 2024'!$J$4:$J$2015,I$1)</f>
        <v>0</v>
      </c>
      <c r="J133" s="80">
        <f>SUMIFS('август 2024'!$G$4:$G$2015,'август 2024'!$D$4:$D$2015,$B133,'август 2024'!$J$4:$J$2015,J$1)</f>
        <v>0</v>
      </c>
      <c r="K133" s="80">
        <f>SUMIFS('август 2024'!$G$4:$G$2015,'август 2024'!$D$4:$D$2015,$B133,'август 2024'!$J$4:$J$2015,K$1)</f>
        <v>0</v>
      </c>
      <c r="L133" s="80">
        <f>SUMIFS('август 2024'!$G$4:$G$2015,'август 2024'!$D$4:$D$2015,$B133,'август 2024'!$J$4:$J$2015,L$1)</f>
        <v>0</v>
      </c>
      <c r="M133" s="80">
        <f>SUMIFS('август 2024'!$G$4:$G$2015,'август 2024'!$D$4:$D$2015,$B133,'август 2024'!$J$4:$J$2015,M$1)</f>
        <v>0</v>
      </c>
      <c r="N133" s="80">
        <f>SUMIFS('август 2024'!$G$4:$G$2015,'август 2024'!$D$4:$D$2015,$B133,'август 2024'!$J$4:$J$2015,N$1)</f>
        <v>0</v>
      </c>
      <c r="O133" s="80">
        <f>SUMIFS('август 2024'!$G$4:$G$2015,'август 2024'!$D$4:$D$2015,$B133,'август 2024'!$J$4:$J$2015,O$1)</f>
        <v>0</v>
      </c>
      <c r="P133" s="80">
        <f>SUMIFS('август 2024'!$G$4:$G$2015,'август 2024'!$D$4:$D$2015,$B133,'август 2024'!$J$4:$J$2015,P$1)</f>
        <v>0</v>
      </c>
      <c r="Q133" s="80">
        <f>SUMIFS('август 2024'!$G$4:$G$2015,'август 2024'!$D$4:$D$2015,$B133,'август 2024'!$J$4:$J$2015,Q$1)</f>
        <v>0</v>
      </c>
      <c r="R133" s="80">
        <f>SUMIFS('август 2024'!$G$4:$G$2015,'август 2024'!$D$4:$D$2015,$B133,'август 2024'!$J$4:$J$2015,R$1)</f>
        <v>0</v>
      </c>
      <c r="S133" s="80">
        <f>SUMIFS('август 2024'!$G$4:$G$2015,'август 2024'!$D$4:$D$2015,$B133,'август 2024'!$J$4:$J$2015,S$1)</f>
        <v>0</v>
      </c>
      <c r="T133" s="80">
        <f>SUMIFS('август 2024'!$G$4:$G$2015,'август 2024'!$D$4:$D$2015,$B133,'август 2024'!$J$4:$J$2015,T$1)</f>
        <v>0</v>
      </c>
      <c r="U133" s="80">
        <f>SUMIFS('август 2024'!$G$4:$G$2015,'август 2024'!$D$4:$D$2015,$B133,'август 2024'!$J$4:$J$2015,U$1)</f>
        <v>0</v>
      </c>
      <c r="V133" s="80">
        <f>SUMIFS('август 2024'!$G$4:$G$2015,'август 2024'!$D$4:$D$2015,$B133,'август 2024'!$J$4:$J$2015,V$1)</f>
        <v>0</v>
      </c>
      <c r="W133" s="80">
        <f>SUMIFS('август 2024'!$G$4:$G$2015,'август 2024'!$D$4:$D$2015,$B133,'август 2024'!$J$4:$J$2015,W$1)</f>
        <v>0</v>
      </c>
      <c r="X133" s="80">
        <f>SUMIFS('август 2024'!$G$4:$G$2015,'август 2024'!$D$4:$D$2015,$B133,'август 2024'!$J$4:$J$2015,X$1)</f>
        <v>0</v>
      </c>
      <c r="Y133" s="80">
        <f>SUMIFS('август 2024'!$G$4:$G$2015,'август 2024'!$D$4:$D$2015,$B133,'август 2024'!$J$4:$J$2015,Y$1)</f>
        <v>0</v>
      </c>
      <c r="Z133" s="80">
        <f>SUMIFS('август 2024'!$G$4:$G$2015,'август 2024'!$D$4:$D$2015,$B133,'август 2024'!$J$4:$J$2015,Z$1)</f>
        <v>0</v>
      </c>
      <c r="AA133" s="80">
        <f>SUMIFS('август 2024'!$G$4:$G$2015,'август 2024'!$D$4:$D$2015,$B133,'август 2024'!$J$4:$J$2015,AA$1)</f>
        <v>0</v>
      </c>
      <c r="AB133" s="80">
        <f>SUMIFS('август 2024'!$G$4:$G$2015,'август 2024'!$D$4:$D$2015,$B133,'август 2024'!$J$4:$J$2015,AB$1)</f>
        <v>0</v>
      </c>
      <c r="AC133" s="80">
        <f>SUMIFS('август 2024'!$G$4:$G$2015,'август 2024'!$D$4:$D$2015,$B133,'август 2024'!$J$4:$J$2015,AC$1)</f>
        <v>0</v>
      </c>
      <c r="AD133" s="80">
        <f>SUMIFS('август 2024'!$G$4:$G$2015,'август 2024'!$D$4:$D$2015,$B133,'август 2024'!$J$4:$J$2015,AD$1)</f>
        <v>0</v>
      </c>
      <c r="AE133" s="80">
        <f>SUMIFS('август 2024'!$G$4:$G$2015,'август 2024'!$D$4:$D$2015,$B133,'август 2024'!$J$4:$J$2015,AE$1)</f>
        <v>0</v>
      </c>
      <c r="AF133" s="80">
        <f>SUMIFS('август 2024'!$G$4:$G$2015,'август 2024'!$D$4:$D$2015,$B133,'август 2024'!$J$4:$J$2015,AF$1)</f>
        <v>0</v>
      </c>
      <c r="AG133" s="80">
        <f>SUMIFS('август 2024'!$G$4:$G$2015,'август 2024'!$D$4:$D$2015,$B133,'август 2024'!$J$4:$J$2015,AG$1)</f>
        <v>0</v>
      </c>
      <c r="AH133" s="80">
        <f>SUMIFS('август 2024'!$G$4:$G$2015,'август 2024'!$D$4:$D$2015,$B133,'август 2024'!$J$4:$J$2015,AH$1)</f>
        <v>0</v>
      </c>
      <c r="AI133" s="21">
        <f t="shared" si="1"/>
        <v>0</v>
      </c>
    </row>
    <row r="134" spans="2:35" ht="16.899999999999999" customHeight="1" x14ac:dyDescent="0.25">
      <c r="B134" s="89" t="s">
        <v>335</v>
      </c>
      <c r="C134" s="88">
        <v>200</v>
      </c>
      <c r="D134" s="80">
        <f>SUMIFS('август 2024'!$G$4:$G$2015,'август 2024'!$D$4:$D$2015,$B134,'август 2024'!$J$4:$J$2015,D$1)</f>
        <v>0</v>
      </c>
      <c r="E134" s="80">
        <f>SUMIFS('август 2024'!$G$4:$G$2015,'август 2024'!$D$4:$D$2015,$B134,'август 2024'!$J$4:$J$2015,E$1)</f>
        <v>0</v>
      </c>
      <c r="F134" s="80">
        <f>SUMIFS('август 2024'!$G$4:$G$2015,'август 2024'!$D$4:$D$2015,$B134,'август 2024'!$J$4:$J$2015,F$1)</f>
        <v>0</v>
      </c>
      <c r="G134" s="80">
        <f>SUMIFS('август 2024'!$G$4:$G$2015,'август 2024'!$D$4:$D$2015,$B134,'август 2024'!$J$4:$J$2015,G$1)</f>
        <v>0</v>
      </c>
      <c r="H134" s="80">
        <f>SUMIFS('август 2024'!$G$4:$G$2015,'август 2024'!$D$4:$D$2015,$B134,'август 2024'!$J$4:$J$2015,H$1)</f>
        <v>0</v>
      </c>
      <c r="I134" s="80">
        <f>SUMIFS('август 2024'!$G$4:$G$2015,'август 2024'!$D$4:$D$2015,$B134,'август 2024'!$J$4:$J$2015,I$1)</f>
        <v>0</v>
      </c>
      <c r="J134" s="80">
        <f>SUMIFS('август 2024'!$G$4:$G$2015,'август 2024'!$D$4:$D$2015,$B134,'август 2024'!$J$4:$J$2015,J$1)</f>
        <v>0</v>
      </c>
      <c r="K134" s="80">
        <f>SUMIFS('август 2024'!$G$4:$G$2015,'август 2024'!$D$4:$D$2015,$B134,'август 2024'!$J$4:$J$2015,K$1)</f>
        <v>0</v>
      </c>
      <c r="L134" s="80">
        <f>SUMIFS('август 2024'!$G$4:$G$2015,'август 2024'!$D$4:$D$2015,$B134,'август 2024'!$J$4:$J$2015,L$1)</f>
        <v>0</v>
      </c>
      <c r="M134" s="80">
        <f>SUMIFS('август 2024'!$G$4:$G$2015,'август 2024'!$D$4:$D$2015,$B134,'август 2024'!$J$4:$J$2015,M$1)</f>
        <v>0</v>
      </c>
      <c r="N134" s="80">
        <f>SUMIFS('август 2024'!$G$4:$G$2015,'август 2024'!$D$4:$D$2015,$B134,'август 2024'!$J$4:$J$2015,N$1)</f>
        <v>0</v>
      </c>
      <c r="O134" s="80">
        <f>SUMIFS('август 2024'!$G$4:$G$2015,'август 2024'!$D$4:$D$2015,$B134,'август 2024'!$J$4:$J$2015,O$1)</f>
        <v>0</v>
      </c>
      <c r="P134" s="80">
        <f>SUMIFS('август 2024'!$G$4:$G$2015,'август 2024'!$D$4:$D$2015,$B134,'август 2024'!$J$4:$J$2015,P$1)</f>
        <v>0</v>
      </c>
      <c r="Q134" s="80">
        <f>SUMIFS('август 2024'!$G$4:$G$2015,'август 2024'!$D$4:$D$2015,$B134,'август 2024'!$J$4:$J$2015,Q$1)</f>
        <v>0</v>
      </c>
      <c r="R134" s="80">
        <f>SUMIFS('август 2024'!$G$4:$G$2015,'август 2024'!$D$4:$D$2015,$B134,'август 2024'!$J$4:$J$2015,R$1)</f>
        <v>0</v>
      </c>
      <c r="S134" s="80">
        <f>SUMIFS('август 2024'!$G$4:$G$2015,'август 2024'!$D$4:$D$2015,$B134,'август 2024'!$J$4:$J$2015,S$1)</f>
        <v>0</v>
      </c>
      <c r="T134" s="80">
        <f>SUMIFS('август 2024'!$G$4:$G$2015,'август 2024'!$D$4:$D$2015,$B134,'август 2024'!$J$4:$J$2015,T$1)</f>
        <v>0</v>
      </c>
      <c r="U134" s="80">
        <f>SUMIFS('август 2024'!$G$4:$G$2015,'август 2024'!$D$4:$D$2015,$B134,'август 2024'!$J$4:$J$2015,U$1)</f>
        <v>0</v>
      </c>
      <c r="V134" s="80">
        <f>SUMIFS('август 2024'!$G$4:$G$2015,'август 2024'!$D$4:$D$2015,$B134,'август 2024'!$J$4:$J$2015,V$1)</f>
        <v>0</v>
      </c>
      <c r="W134" s="80">
        <f>SUMIFS('август 2024'!$G$4:$G$2015,'август 2024'!$D$4:$D$2015,$B134,'август 2024'!$J$4:$J$2015,W$1)</f>
        <v>0</v>
      </c>
      <c r="X134" s="80">
        <f>SUMIFS('август 2024'!$G$4:$G$2015,'август 2024'!$D$4:$D$2015,$B134,'август 2024'!$J$4:$J$2015,X$1)</f>
        <v>0</v>
      </c>
      <c r="Y134" s="80">
        <f>SUMIFS('август 2024'!$G$4:$G$2015,'август 2024'!$D$4:$D$2015,$B134,'август 2024'!$J$4:$J$2015,Y$1)</f>
        <v>0</v>
      </c>
      <c r="Z134" s="80">
        <f>SUMIFS('август 2024'!$G$4:$G$2015,'август 2024'!$D$4:$D$2015,$B134,'август 2024'!$J$4:$J$2015,Z$1)</f>
        <v>0</v>
      </c>
      <c r="AA134" s="80">
        <f>SUMIFS('август 2024'!$G$4:$G$2015,'август 2024'!$D$4:$D$2015,$B134,'август 2024'!$J$4:$J$2015,AA$1)</f>
        <v>0</v>
      </c>
      <c r="AB134" s="80">
        <f>SUMIFS('август 2024'!$G$4:$G$2015,'август 2024'!$D$4:$D$2015,$B134,'август 2024'!$J$4:$J$2015,AB$1)</f>
        <v>0</v>
      </c>
      <c r="AC134" s="80">
        <f>SUMIFS('август 2024'!$G$4:$G$2015,'август 2024'!$D$4:$D$2015,$B134,'август 2024'!$J$4:$J$2015,AC$1)</f>
        <v>0</v>
      </c>
      <c r="AD134" s="80">
        <f>SUMIFS('август 2024'!$G$4:$G$2015,'август 2024'!$D$4:$D$2015,$B134,'август 2024'!$J$4:$J$2015,AD$1)</f>
        <v>0</v>
      </c>
      <c r="AE134" s="80">
        <f>SUMIFS('август 2024'!$G$4:$G$2015,'август 2024'!$D$4:$D$2015,$B134,'август 2024'!$J$4:$J$2015,AE$1)</f>
        <v>0</v>
      </c>
      <c r="AF134" s="80">
        <f>SUMIFS('август 2024'!$G$4:$G$2015,'август 2024'!$D$4:$D$2015,$B134,'август 2024'!$J$4:$J$2015,AF$1)</f>
        <v>0</v>
      </c>
      <c r="AG134" s="80">
        <f>SUMIFS('август 2024'!$G$4:$G$2015,'август 2024'!$D$4:$D$2015,$B134,'август 2024'!$J$4:$J$2015,AG$1)</f>
        <v>0</v>
      </c>
      <c r="AH134" s="80">
        <f>SUMIFS('август 2024'!$G$4:$G$2015,'август 2024'!$D$4:$D$2015,$B134,'август 2024'!$J$4:$J$2015,AH$1)</f>
        <v>0</v>
      </c>
      <c r="AI134" s="21">
        <f t="shared" si="1"/>
        <v>0</v>
      </c>
    </row>
    <row r="135" spans="2:35" ht="16.899999999999999" customHeight="1" x14ac:dyDescent="0.25">
      <c r="B135" s="89" t="s">
        <v>340</v>
      </c>
      <c r="C135" s="88">
        <v>200</v>
      </c>
      <c r="D135" s="80">
        <f>SUMIFS('август 2024'!$G$4:$G$2015,'август 2024'!$D$4:$D$2015,$B135,'август 2024'!$J$4:$J$2015,D$1)</f>
        <v>0</v>
      </c>
      <c r="E135" s="80">
        <f>SUMIFS('август 2024'!$G$4:$G$2015,'август 2024'!$D$4:$D$2015,$B135,'август 2024'!$J$4:$J$2015,E$1)</f>
        <v>0</v>
      </c>
      <c r="F135" s="80">
        <f>SUMIFS('август 2024'!$G$4:$G$2015,'август 2024'!$D$4:$D$2015,$B135,'август 2024'!$J$4:$J$2015,F$1)</f>
        <v>0</v>
      </c>
      <c r="G135" s="80">
        <f>SUMIFS('август 2024'!$G$4:$G$2015,'август 2024'!$D$4:$D$2015,$B135,'август 2024'!$J$4:$J$2015,G$1)</f>
        <v>0</v>
      </c>
      <c r="H135" s="80">
        <f>SUMIFS('август 2024'!$G$4:$G$2015,'август 2024'!$D$4:$D$2015,$B135,'август 2024'!$J$4:$J$2015,H$1)</f>
        <v>0</v>
      </c>
      <c r="I135" s="80">
        <f>SUMIFS('август 2024'!$G$4:$G$2015,'август 2024'!$D$4:$D$2015,$B135,'август 2024'!$J$4:$J$2015,I$1)</f>
        <v>0</v>
      </c>
      <c r="J135" s="80">
        <f>SUMIFS('август 2024'!$G$4:$G$2015,'август 2024'!$D$4:$D$2015,$B135,'август 2024'!$J$4:$J$2015,J$1)</f>
        <v>0</v>
      </c>
      <c r="K135" s="80">
        <f>SUMIFS('август 2024'!$G$4:$G$2015,'август 2024'!$D$4:$D$2015,$B135,'август 2024'!$J$4:$J$2015,K$1)</f>
        <v>0</v>
      </c>
      <c r="L135" s="80">
        <f>SUMIFS('август 2024'!$G$4:$G$2015,'август 2024'!$D$4:$D$2015,$B135,'август 2024'!$J$4:$J$2015,L$1)</f>
        <v>0</v>
      </c>
      <c r="M135" s="80">
        <f>SUMIFS('август 2024'!$G$4:$G$2015,'август 2024'!$D$4:$D$2015,$B135,'август 2024'!$J$4:$J$2015,M$1)</f>
        <v>0</v>
      </c>
      <c r="N135" s="80">
        <f>SUMIFS('август 2024'!$G$4:$G$2015,'август 2024'!$D$4:$D$2015,$B135,'август 2024'!$J$4:$J$2015,N$1)</f>
        <v>0</v>
      </c>
      <c r="O135" s="80">
        <f>SUMIFS('август 2024'!$G$4:$G$2015,'август 2024'!$D$4:$D$2015,$B135,'август 2024'!$J$4:$J$2015,O$1)</f>
        <v>0</v>
      </c>
      <c r="P135" s="80">
        <f>SUMIFS('август 2024'!$G$4:$G$2015,'август 2024'!$D$4:$D$2015,$B135,'август 2024'!$J$4:$J$2015,P$1)</f>
        <v>0</v>
      </c>
      <c r="Q135" s="80">
        <f>SUMIFS('август 2024'!$G$4:$G$2015,'август 2024'!$D$4:$D$2015,$B135,'август 2024'!$J$4:$J$2015,Q$1)</f>
        <v>0</v>
      </c>
      <c r="R135" s="80">
        <f>SUMIFS('август 2024'!$G$4:$G$2015,'август 2024'!$D$4:$D$2015,$B135,'август 2024'!$J$4:$J$2015,R$1)</f>
        <v>0</v>
      </c>
      <c r="S135" s="80">
        <f>SUMIFS('август 2024'!$G$4:$G$2015,'август 2024'!$D$4:$D$2015,$B135,'август 2024'!$J$4:$J$2015,S$1)</f>
        <v>0</v>
      </c>
      <c r="T135" s="80">
        <f>SUMIFS('август 2024'!$G$4:$G$2015,'август 2024'!$D$4:$D$2015,$B135,'август 2024'!$J$4:$J$2015,T$1)</f>
        <v>0</v>
      </c>
      <c r="U135" s="80">
        <f>SUMIFS('август 2024'!$G$4:$G$2015,'август 2024'!$D$4:$D$2015,$B135,'август 2024'!$J$4:$J$2015,U$1)</f>
        <v>0</v>
      </c>
      <c r="V135" s="80">
        <f>SUMIFS('август 2024'!$G$4:$G$2015,'август 2024'!$D$4:$D$2015,$B135,'август 2024'!$J$4:$J$2015,V$1)</f>
        <v>0</v>
      </c>
      <c r="W135" s="80">
        <f>SUMIFS('август 2024'!$G$4:$G$2015,'август 2024'!$D$4:$D$2015,$B135,'август 2024'!$J$4:$J$2015,W$1)</f>
        <v>0</v>
      </c>
      <c r="X135" s="80">
        <f>SUMIFS('август 2024'!$G$4:$G$2015,'август 2024'!$D$4:$D$2015,$B135,'август 2024'!$J$4:$J$2015,X$1)</f>
        <v>0</v>
      </c>
      <c r="Y135" s="80">
        <f>SUMIFS('август 2024'!$G$4:$G$2015,'август 2024'!$D$4:$D$2015,$B135,'август 2024'!$J$4:$J$2015,Y$1)</f>
        <v>0</v>
      </c>
      <c r="Z135" s="80">
        <f>SUMIFS('август 2024'!$G$4:$G$2015,'август 2024'!$D$4:$D$2015,$B135,'август 2024'!$J$4:$J$2015,Z$1)</f>
        <v>0</v>
      </c>
      <c r="AA135" s="80">
        <f>SUMIFS('август 2024'!$G$4:$G$2015,'август 2024'!$D$4:$D$2015,$B135,'август 2024'!$J$4:$J$2015,AA$1)</f>
        <v>0</v>
      </c>
      <c r="AB135" s="80">
        <f>SUMIFS('август 2024'!$G$4:$G$2015,'август 2024'!$D$4:$D$2015,$B135,'август 2024'!$J$4:$J$2015,AB$1)</f>
        <v>0</v>
      </c>
      <c r="AC135" s="80">
        <f>SUMIFS('август 2024'!$G$4:$G$2015,'август 2024'!$D$4:$D$2015,$B135,'август 2024'!$J$4:$J$2015,AC$1)</f>
        <v>0</v>
      </c>
      <c r="AD135" s="80">
        <f>SUMIFS('август 2024'!$G$4:$G$2015,'август 2024'!$D$4:$D$2015,$B135,'август 2024'!$J$4:$J$2015,AD$1)</f>
        <v>0</v>
      </c>
      <c r="AE135" s="80">
        <f>SUMIFS('август 2024'!$G$4:$G$2015,'август 2024'!$D$4:$D$2015,$B135,'август 2024'!$J$4:$J$2015,AE$1)</f>
        <v>0</v>
      </c>
      <c r="AF135" s="80">
        <f>SUMIFS('август 2024'!$G$4:$G$2015,'август 2024'!$D$4:$D$2015,$B135,'август 2024'!$J$4:$J$2015,AF$1)</f>
        <v>0</v>
      </c>
      <c r="AG135" s="80">
        <f>SUMIFS('август 2024'!$G$4:$G$2015,'август 2024'!$D$4:$D$2015,$B135,'август 2024'!$J$4:$J$2015,AG$1)</f>
        <v>0</v>
      </c>
      <c r="AH135" s="80">
        <f>SUMIFS('август 2024'!$G$4:$G$2015,'август 2024'!$D$4:$D$2015,$B135,'август 2024'!$J$4:$J$2015,AH$1)</f>
        <v>0</v>
      </c>
      <c r="AI135" s="21">
        <f t="shared" si="1"/>
        <v>0</v>
      </c>
    </row>
    <row r="136" spans="2:35" ht="16.899999999999999" customHeight="1" x14ac:dyDescent="0.25">
      <c r="B136" s="89" t="s">
        <v>336</v>
      </c>
      <c r="C136" s="88">
        <v>200</v>
      </c>
      <c r="D136" s="80">
        <f>SUMIFS('август 2024'!$G$4:$G$2015,'август 2024'!$D$4:$D$2015,$B136,'август 2024'!$J$4:$J$2015,D$1)</f>
        <v>0</v>
      </c>
      <c r="E136" s="80">
        <f>SUMIFS('август 2024'!$G$4:$G$2015,'август 2024'!$D$4:$D$2015,$B136,'август 2024'!$J$4:$J$2015,E$1)</f>
        <v>0</v>
      </c>
      <c r="F136" s="80">
        <f>SUMIFS('август 2024'!$G$4:$G$2015,'август 2024'!$D$4:$D$2015,$B136,'август 2024'!$J$4:$J$2015,F$1)</f>
        <v>0</v>
      </c>
      <c r="G136" s="80">
        <f>SUMIFS('август 2024'!$G$4:$G$2015,'август 2024'!$D$4:$D$2015,$B136,'август 2024'!$J$4:$J$2015,G$1)</f>
        <v>0</v>
      </c>
      <c r="H136" s="80">
        <f>SUMIFS('август 2024'!$G$4:$G$2015,'август 2024'!$D$4:$D$2015,$B136,'август 2024'!$J$4:$J$2015,H$1)</f>
        <v>0</v>
      </c>
      <c r="I136" s="80">
        <f>SUMIFS('август 2024'!$G$4:$G$2015,'август 2024'!$D$4:$D$2015,$B136,'август 2024'!$J$4:$J$2015,I$1)</f>
        <v>0</v>
      </c>
      <c r="J136" s="80">
        <f>SUMIFS('август 2024'!$G$4:$G$2015,'август 2024'!$D$4:$D$2015,$B136,'август 2024'!$J$4:$J$2015,J$1)</f>
        <v>0</v>
      </c>
      <c r="K136" s="80">
        <f>SUMIFS('август 2024'!$G$4:$G$2015,'август 2024'!$D$4:$D$2015,$B136,'август 2024'!$J$4:$J$2015,K$1)</f>
        <v>0</v>
      </c>
      <c r="L136" s="80">
        <f>SUMIFS('август 2024'!$G$4:$G$2015,'август 2024'!$D$4:$D$2015,$B136,'август 2024'!$J$4:$J$2015,L$1)</f>
        <v>0</v>
      </c>
      <c r="M136" s="80">
        <f>SUMIFS('август 2024'!$G$4:$G$2015,'август 2024'!$D$4:$D$2015,$B136,'август 2024'!$J$4:$J$2015,M$1)</f>
        <v>0</v>
      </c>
      <c r="N136" s="80">
        <f>SUMIFS('август 2024'!$G$4:$G$2015,'август 2024'!$D$4:$D$2015,$B136,'август 2024'!$J$4:$J$2015,N$1)</f>
        <v>0</v>
      </c>
      <c r="O136" s="80">
        <f>SUMIFS('август 2024'!$G$4:$G$2015,'август 2024'!$D$4:$D$2015,$B136,'август 2024'!$J$4:$J$2015,O$1)</f>
        <v>0</v>
      </c>
      <c r="P136" s="80">
        <f>SUMIFS('август 2024'!$G$4:$G$2015,'август 2024'!$D$4:$D$2015,$B136,'август 2024'!$J$4:$J$2015,P$1)</f>
        <v>0</v>
      </c>
      <c r="Q136" s="80">
        <f>SUMIFS('август 2024'!$G$4:$G$2015,'август 2024'!$D$4:$D$2015,$B136,'август 2024'!$J$4:$J$2015,Q$1)</f>
        <v>0</v>
      </c>
      <c r="R136" s="80">
        <f>SUMIFS('август 2024'!$G$4:$G$2015,'август 2024'!$D$4:$D$2015,$B136,'август 2024'!$J$4:$J$2015,R$1)</f>
        <v>0</v>
      </c>
      <c r="S136" s="80">
        <f>SUMIFS('август 2024'!$G$4:$G$2015,'август 2024'!$D$4:$D$2015,$B136,'август 2024'!$J$4:$J$2015,S$1)</f>
        <v>0</v>
      </c>
      <c r="T136" s="80">
        <f>SUMIFS('август 2024'!$G$4:$G$2015,'август 2024'!$D$4:$D$2015,$B136,'август 2024'!$J$4:$J$2015,T$1)</f>
        <v>0</v>
      </c>
      <c r="U136" s="80">
        <f>SUMIFS('август 2024'!$G$4:$G$2015,'август 2024'!$D$4:$D$2015,$B136,'август 2024'!$J$4:$J$2015,U$1)</f>
        <v>0</v>
      </c>
      <c r="V136" s="80">
        <f>SUMIFS('август 2024'!$G$4:$G$2015,'август 2024'!$D$4:$D$2015,$B136,'август 2024'!$J$4:$J$2015,V$1)</f>
        <v>0</v>
      </c>
      <c r="W136" s="80">
        <f>SUMIFS('август 2024'!$G$4:$G$2015,'август 2024'!$D$4:$D$2015,$B136,'август 2024'!$J$4:$J$2015,W$1)</f>
        <v>0</v>
      </c>
      <c r="X136" s="80">
        <f>SUMIFS('август 2024'!$G$4:$G$2015,'август 2024'!$D$4:$D$2015,$B136,'август 2024'!$J$4:$J$2015,X$1)</f>
        <v>0</v>
      </c>
      <c r="Y136" s="80">
        <f>SUMIFS('август 2024'!$G$4:$G$2015,'август 2024'!$D$4:$D$2015,$B136,'август 2024'!$J$4:$J$2015,Y$1)</f>
        <v>0</v>
      </c>
      <c r="Z136" s="80">
        <f>SUMIFS('август 2024'!$G$4:$G$2015,'август 2024'!$D$4:$D$2015,$B136,'август 2024'!$J$4:$J$2015,Z$1)</f>
        <v>0</v>
      </c>
      <c r="AA136" s="80">
        <f>SUMIFS('август 2024'!$G$4:$G$2015,'август 2024'!$D$4:$D$2015,$B136,'август 2024'!$J$4:$J$2015,AA$1)</f>
        <v>0</v>
      </c>
      <c r="AB136" s="80">
        <f>SUMIFS('август 2024'!$G$4:$G$2015,'август 2024'!$D$4:$D$2015,$B136,'август 2024'!$J$4:$J$2015,AB$1)</f>
        <v>0</v>
      </c>
      <c r="AC136" s="80">
        <f>SUMIFS('август 2024'!$G$4:$G$2015,'август 2024'!$D$4:$D$2015,$B136,'август 2024'!$J$4:$J$2015,AC$1)</f>
        <v>0</v>
      </c>
      <c r="AD136" s="80">
        <f>SUMIFS('август 2024'!$G$4:$G$2015,'август 2024'!$D$4:$D$2015,$B136,'август 2024'!$J$4:$J$2015,AD$1)</f>
        <v>0</v>
      </c>
      <c r="AE136" s="80">
        <f>SUMIFS('август 2024'!$G$4:$G$2015,'август 2024'!$D$4:$D$2015,$B136,'август 2024'!$J$4:$J$2015,AE$1)</f>
        <v>0</v>
      </c>
      <c r="AF136" s="80">
        <f>SUMIFS('август 2024'!$G$4:$G$2015,'август 2024'!$D$4:$D$2015,$B136,'август 2024'!$J$4:$J$2015,AF$1)</f>
        <v>0</v>
      </c>
      <c r="AG136" s="80">
        <f>SUMIFS('август 2024'!$G$4:$G$2015,'август 2024'!$D$4:$D$2015,$B136,'август 2024'!$J$4:$J$2015,AG$1)</f>
        <v>0</v>
      </c>
      <c r="AH136" s="80">
        <f>SUMIFS('август 2024'!$G$4:$G$2015,'август 2024'!$D$4:$D$2015,$B136,'август 2024'!$J$4:$J$2015,AH$1)</f>
        <v>0</v>
      </c>
      <c r="AI136" s="21">
        <f t="shared" si="1"/>
        <v>0</v>
      </c>
    </row>
    <row r="137" spans="2:35" ht="15" customHeight="1" x14ac:dyDescent="0.25">
      <c r="B137" s="89" t="s">
        <v>341</v>
      </c>
      <c r="C137" s="88">
        <v>200</v>
      </c>
      <c r="D137" s="80">
        <f>SUMIFS('август 2024'!$G$4:$G$2015,'август 2024'!$D$4:$D$2015,$B137,'август 2024'!$J$4:$J$2015,D$1)</f>
        <v>0</v>
      </c>
      <c r="E137" s="80">
        <f>SUMIFS('август 2024'!$G$4:$G$2015,'август 2024'!$D$4:$D$2015,$B137,'август 2024'!$J$4:$J$2015,E$1)</f>
        <v>0</v>
      </c>
      <c r="F137" s="80">
        <f>SUMIFS('август 2024'!$G$4:$G$2015,'август 2024'!$D$4:$D$2015,$B137,'август 2024'!$J$4:$J$2015,F$1)</f>
        <v>0</v>
      </c>
      <c r="G137" s="80">
        <f>SUMIFS('август 2024'!$G$4:$G$2015,'август 2024'!$D$4:$D$2015,$B137,'август 2024'!$J$4:$J$2015,G$1)</f>
        <v>0</v>
      </c>
      <c r="H137" s="80">
        <f>SUMIFS('август 2024'!$G$4:$G$2015,'август 2024'!$D$4:$D$2015,$B137,'август 2024'!$J$4:$J$2015,H$1)</f>
        <v>0</v>
      </c>
      <c r="I137" s="80">
        <f>SUMIFS('август 2024'!$G$4:$G$2015,'август 2024'!$D$4:$D$2015,$B137,'август 2024'!$J$4:$J$2015,I$1)</f>
        <v>64</v>
      </c>
      <c r="J137" s="80">
        <f>SUMIFS('август 2024'!$G$4:$G$2015,'август 2024'!$D$4:$D$2015,$B137,'август 2024'!$J$4:$J$2015,J$1)</f>
        <v>0</v>
      </c>
      <c r="K137" s="80">
        <f>SUMIFS('август 2024'!$G$4:$G$2015,'август 2024'!$D$4:$D$2015,$B137,'август 2024'!$J$4:$J$2015,K$1)</f>
        <v>0</v>
      </c>
      <c r="L137" s="80">
        <f>SUMIFS('август 2024'!$G$4:$G$2015,'август 2024'!$D$4:$D$2015,$B137,'август 2024'!$J$4:$J$2015,L$1)</f>
        <v>0</v>
      </c>
      <c r="M137" s="80">
        <f>SUMIFS('август 2024'!$G$4:$G$2015,'август 2024'!$D$4:$D$2015,$B137,'август 2024'!$J$4:$J$2015,M$1)</f>
        <v>0</v>
      </c>
      <c r="N137" s="80">
        <f>SUMIFS('август 2024'!$G$4:$G$2015,'август 2024'!$D$4:$D$2015,$B137,'август 2024'!$J$4:$J$2015,N$1)</f>
        <v>0</v>
      </c>
      <c r="O137" s="80">
        <f>SUMIFS('август 2024'!$G$4:$G$2015,'август 2024'!$D$4:$D$2015,$B137,'август 2024'!$J$4:$J$2015,O$1)</f>
        <v>0</v>
      </c>
      <c r="P137" s="80">
        <f>SUMIFS('август 2024'!$G$4:$G$2015,'август 2024'!$D$4:$D$2015,$B137,'август 2024'!$J$4:$J$2015,P$1)</f>
        <v>0</v>
      </c>
      <c r="Q137" s="80">
        <f>SUMIFS('август 2024'!$G$4:$G$2015,'август 2024'!$D$4:$D$2015,$B137,'август 2024'!$J$4:$J$2015,Q$1)</f>
        <v>0</v>
      </c>
      <c r="R137" s="80">
        <f>SUMIFS('август 2024'!$G$4:$G$2015,'август 2024'!$D$4:$D$2015,$B137,'август 2024'!$J$4:$J$2015,R$1)</f>
        <v>0</v>
      </c>
      <c r="S137" s="80">
        <f>SUMIFS('август 2024'!$G$4:$G$2015,'август 2024'!$D$4:$D$2015,$B137,'август 2024'!$J$4:$J$2015,S$1)</f>
        <v>0</v>
      </c>
      <c r="T137" s="80">
        <f>SUMIFS('август 2024'!$G$4:$G$2015,'август 2024'!$D$4:$D$2015,$B137,'август 2024'!$J$4:$J$2015,T$1)</f>
        <v>0</v>
      </c>
      <c r="U137" s="80">
        <f>SUMIFS('август 2024'!$G$4:$G$2015,'август 2024'!$D$4:$D$2015,$B137,'август 2024'!$J$4:$J$2015,U$1)</f>
        <v>0</v>
      </c>
      <c r="V137" s="80">
        <f>SUMIFS('август 2024'!$G$4:$G$2015,'август 2024'!$D$4:$D$2015,$B137,'август 2024'!$J$4:$J$2015,V$1)</f>
        <v>0</v>
      </c>
      <c r="W137" s="80">
        <f>SUMIFS('август 2024'!$G$4:$G$2015,'август 2024'!$D$4:$D$2015,$B137,'август 2024'!$J$4:$J$2015,W$1)</f>
        <v>0</v>
      </c>
      <c r="X137" s="80">
        <f>SUMIFS('август 2024'!$G$4:$G$2015,'август 2024'!$D$4:$D$2015,$B137,'август 2024'!$J$4:$J$2015,X$1)</f>
        <v>0</v>
      </c>
      <c r="Y137" s="80">
        <f>SUMIFS('август 2024'!$G$4:$G$2015,'август 2024'!$D$4:$D$2015,$B137,'август 2024'!$J$4:$J$2015,Y$1)</f>
        <v>0</v>
      </c>
      <c r="Z137" s="80">
        <f>SUMIFS('август 2024'!$G$4:$G$2015,'август 2024'!$D$4:$D$2015,$B137,'август 2024'!$J$4:$J$2015,Z$1)</f>
        <v>0</v>
      </c>
      <c r="AA137" s="80">
        <f>SUMIFS('август 2024'!$G$4:$G$2015,'август 2024'!$D$4:$D$2015,$B137,'август 2024'!$J$4:$J$2015,AA$1)</f>
        <v>0</v>
      </c>
      <c r="AB137" s="80">
        <f>SUMIFS('август 2024'!$G$4:$G$2015,'август 2024'!$D$4:$D$2015,$B137,'август 2024'!$J$4:$J$2015,AB$1)</f>
        <v>0</v>
      </c>
      <c r="AC137" s="80">
        <f>SUMIFS('август 2024'!$G$4:$G$2015,'август 2024'!$D$4:$D$2015,$B137,'август 2024'!$J$4:$J$2015,AC$1)</f>
        <v>0</v>
      </c>
      <c r="AD137" s="80">
        <f>SUMIFS('август 2024'!$G$4:$G$2015,'август 2024'!$D$4:$D$2015,$B137,'август 2024'!$J$4:$J$2015,AD$1)</f>
        <v>0</v>
      </c>
      <c r="AE137" s="80">
        <f>SUMIFS('август 2024'!$G$4:$G$2015,'август 2024'!$D$4:$D$2015,$B137,'август 2024'!$J$4:$J$2015,AE$1)</f>
        <v>0</v>
      </c>
      <c r="AF137" s="80">
        <f>SUMIFS('август 2024'!$G$4:$G$2015,'август 2024'!$D$4:$D$2015,$B137,'август 2024'!$J$4:$J$2015,AF$1)</f>
        <v>0</v>
      </c>
      <c r="AG137" s="80">
        <f>SUMIFS('август 2024'!$G$4:$G$2015,'август 2024'!$D$4:$D$2015,$B137,'август 2024'!$J$4:$J$2015,AG$1)</f>
        <v>0</v>
      </c>
      <c r="AH137" s="80">
        <f>SUMIFS('август 2024'!$G$4:$G$2015,'август 2024'!$D$4:$D$2015,$B137,'август 2024'!$J$4:$J$2015,AH$1)</f>
        <v>0</v>
      </c>
      <c r="AI137" s="21">
        <f t="shared" si="1"/>
        <v>64</v>
      </c>
    </row>
    <row r="138" spans="2:35" ht="15" customHeight="1" x14ac:dyDescent="0.25">
      <c r="B138" s="89" t="s">
        <v>337</v>
      </c>
      <c r="C138" s="88">
        <v>200</v>
      </c>
      <c r="D138" s="80">
        <f>SUMIFS('август 2024'!$G$4:$G$2015,'август 2024'!$D$4:$D$2015,$B138,'август 2024'!$J$4:$J$2015,D$1)</f>
        <v>0</v>
      </c>
      <c r="E138" s="80">
        <f>SUMIFS('август 2024'!$G$4:$G$2015,'август 2024'!$D$4:$D$2015,$B138,'август 2024'!$J$4:$J$2015,E$1)</f>
        <v>0</v>
      </c>
      <c r="F138" s="80">
        <f>SUMIFS('август 2024'!$G$4:$G$2015,'август 2024'!$D$4:$D$2015,$B138,'август 2024'!$J$4:$J$2015,F$1)</f>
        <v>0</v>
      </c>
      <c r="G138" s="80">
        <f>SUMIFS('август 2024'!$G$4:$G$2015,'август 2024'!$D$4:$D$2015,$B138,'август 2024'!$J$4:$J$2015,G$1)</f>
        <v>0</v>
      </c>
      <c r="H138" s="80">
        <f>SUMIFS('август 2024'!$G$4:$G$2015,'август 2024'!$D$4:$D$2015,$B138,'август 2024'!$J$4:$J$2015,H$1)</f>
        <v>0</v>
      </c>
      <c r="I138" s="80">
        <f>SUMIFS('август 2024'!$G$4:$G$2015,'август 2024'!$D$4:$D$2015,$B138,'август 2024'!$J$4:$J$2015,I$1)</f>
        <v>0</v>
      </c>
      <c r="J138" s="80">
        <f>SUMIFS('август 2024'!$G$4:$G$2015,'август 2024'!$D$4:$D$2015,$B138,'август 2024'!$J$4:$J$2015,J$1)</f>
        <v>0</v>
      </c>
      <c r="K138" s="80">
        <f>SUMIFS('август 2024'!$G$4:$G$2015,'август 2024'!$D$4:$D$2015,$B138,'август 2024'!$J$4:$J$2015,K$1)</f>
        <v>0</v>
      </c>
      <c r="L138" s="80">
        <f>SUMIFS('август 2024'!$G$4:$G$2015,'август 2024'!$D$4:$D$2015,$B138,'август 2024'!$J$4:$J$2015,L$1)</f>
        <v>0</v>
      </c>
      <c r="M138" s="80">
        <f>SUMIFS('август 2024'!$G$4:$G$2015,'август 2024'!$D$4:$D$2015,$B138,'август 2024'!$J$4:$J$2015,M$1)</f>
        <v>0</v>
      </c>
      <c r="N138" s="80">
        <f>SUMIFS('август 2024'!$G$4:$G$2015,'август 2024'!$D$4:$D$2015,$B138,'август 2024'!$J$4:$J$2015,N$1)</f>
        <v>0</v>
      </c>
      <c r="O138" s="80">
        <f>SUMIFS('август 2024'!$G$4:$G$2015,'август 2024'!$D$4:$D$2015,$B138,'август 2024'!$J$4:$J$2015,O$1)</f>
        <v>0</v>
      </c>
      <c r="P138" s="80">
        <f>SUMIFS('август 2024'!$G$4:$G$2015,'август 2024'!$D$4:$D$2015,$B138,'август 2024'!$J$4:$J$2015,P$1)</f>
        <v>0</v>
      </c>
      <c r="Q138" s="80">
        <f>SUMIFS('август 2024'!$G$4:$G$2015,'август 2024'!$D$4:$D$2015,$B138,'август 2024'!$J$4:$J$2015,Q$1)</f>
        <v>0</v>
      </c>
      <c r="R138" s="80">
        <f>SUMIFS('август 2024'!$G$4:$G$2015,'август 2024'!$D$4:$D$2015,$B138,'август 2024'!$J$4:$J$2015,R$1)</f>
        <v>0</v>
      </c>
      <c r="S138" s="80">
        <f>SUMIFS('август 2024'!$G$4:$G$2015,'август 2024'!$D$4:$D$2015,$B138,'август 2024'!$J$4:$J$2015,S$1)</f>
        <v>0</v>
      </c>
      <c r="T138" s="80">
        <f>SUMIFS('август 2024'!$G$4:$G$2015,'август 2024'!$D$4:$D$2015,$B138,'август 2024'!$J$4:$J$2015,T$1)</f>
        <v>0</v>
      </c>
      <c r="U138" s="80">
        <f>SUMIFS('август 2024'!$G$4:$G$2015,'август 2024'!$D$4:$D$2015,$B138,'август 2024'!$J$4:$J$2015,U$1)</f>
        <v>0</v>
      </c>
      <c r="V138" s="80">
        <f>SUMIFS('август 2024'!$G$4:$G$2015,'август 2024'!$D$4:$D$2015,$B138,'август 2024'!$J$4:$J$2015,V$1)</f>
        <v>0</v>
      </c>
      <c r="W138" s="80">
        <f>SUMIFS('август 2024'!$G$4:$G$2015,'август 2024'!$D$4:$D$2015,$B138,'август 2024'!$J$4:$J$2015,W$1)</f>
        <v>0</v>
      </c>
      <c r="X138" s="80">
        <f>SUMIFS('август 2024'!$G$4:$G$2015,'август 2024'!$D$4:$D$2015,$B138,'август 2024'!$J$4:$J$2015,X$1)</f>
        <v>0</v>
      </c>
      <c r="Y138" s="80">
        <f>SUMIFS('август 2024'!$G$4:$G$2015,'август 2024'!$D$4:$D$2015,$B138,'август 2024'!$J$4:$J$2015,Y$1)</f>
        <v>0</v>
      </c>
      <c r="Z138" s="80">
        <f>SUMIFS('август 2024'!$G$4:$G$2015,'август 2024'!$D$4:$D$2015,$B138,'август 2024'!$J$4:$J$2015,Z$1)</f>
        <v>0</v>
      </c>
      <c r="AA138" s="80">
        <f>SUMIFS('август 2024'!$G$4:$G$2015,'август 2024'!$D$4:$D$2015,$B138,'август 2024'!$J$4:$J$2015,AA$1)</f>
        <v>0</v>
      </c>
      <c r="AB138" s="80">
        <f>SUMIFS('август 2024'!$G$4:$G$2015,'август 2024'!$D$4:$D$2015,$B138,'август 2024'!$J$4:$J$2015,AB$1)</f>
        <v>0</v>
      </c>
      <c r="AC138" s="80">
        <f>SUMIFS('август 2024'!$G$4:$G$2015,'август 2024'!$D$4:$D$2015,$B138,'август 2024'!$J$4:$J$2015,AC$1)</f>
        <v>0</v>
      </c>
      <c r="AD138" s="80">
        <f>SUMIFS('август 2024'!$G$4:$G$2015,'август 2024'!$D$4:$D$2015,$B138,'август 2024'!$J$4:$J$2015,AD$1)</f>
        <v>0</v>
      </c>
      <c r="AE138" s="80">
        <f>SUMIFS('август 2024'!$G$4:$G$2015,'август 2024'!$D$4:$D$2015,$B138,'август 2024'!$J$4:$J$2015,AE$1)</f>
        <v>0</v>
      </c>
      <c r="AF138" s="80">
        <f>SUMIFS('август 2024'!$G$4:$G$2015,'август 2024'!$D$4:$D$2015,$B138,'август 2024'!$J$4:$J$2015,AF$1)</f>
        <v>0</v>
      </c>
      <c r="AG138" s="80">
        <f>SUMIFS('август 2024'!$G$4:$G$2015,'август 2024'!$D$4:$D$2015,$B138,'август 2024'!$J$4:$J$2015,AG$1)</f>
        <v>0</v>
      </c>
      <c r="AH138" s="80">
        <f>SUMIFS('август 2024'!$G$4:$G$2015,'август 2024'!$D$4:$D$2015,$B138,'август 2024'!$J$4:$J$2015,AH$1)</f>
        <v>0</v>
      </c>
      <c r="AI138" s="21">
        <f t="shared" si="1"/>
        <v>0</v>
      </c>
    </row>
    <row r="139" spans="2:35" ht="15" customHeight="1" x14ac:dyDescent="0.25">
      <c r="B139" s="89" t="s">
        <v>338</v>
      </c>
      <c r="C139" s="88">
        <v>200</v>
      </c>
      <c r="D139" s="80">
        <f>SUMIFS('август 2024'!$G$4:$G$2015,'август 2024'!$D$4:$D$2015,$B139,'август 2024'!$J$4:$J$2015,D$1)</f>
        <v>0</v>
      </c>
      <c r="E139" s="80">
        <f>SUMIFS('август 2024'!$G$4:$G$2015,'август 2024'!$D$4:$D$2015,$B139,'август 2024'!$J$4:$J$2015,E$1)</f>
        <v>0</v>
      </c>
      <c r="F139" s="80">
        <f>SUMIFS('август 2024'!$G$4:$G$2015,'август 2024'!$D$4:$D$2015,$B139,'август 2024'!$J$4:$J$2015,F$1)</f>
        <v>0</v>
      </c>
      <c r="G139" s="80">
        <f>SUMIFS('август 2024'!$G$4:$G$2015,'август 2024'!$D$4:$D$2015,$B139,'август 2024'!$J$4:$J$2015,G$1)</f>
        <v>0</v>
      </c>
      <c r="H139" s="80">
        <f>SUMIFS('август 2024'!$G$4:$G$2015,'август 2024'!$D$4:$D$2015,$B139,'август 2024'!$J$4:$J$2015,H$1)</f>
        <v>0</v>
      </c>
      <c r="I139" s="80">
        <f>SUMIFS('август 2024'!$G$4:$G$2015,'август 2024'!$D$4:$D$2015,$B139,'август 2024'!$J$4:$J$2015,I$1)</f>
        <v>0</v>
      </c>
      <c r="J139" s="80">
        <f>SUMIFS('август 2024'!$G$4:$G$2015,'август 2024'!$D$4:$D$2015,$B139,'август 2024'!$J$4:$J$2015,J$1)</f>
        <v>0</v>
      </c>
      <c r="K139" s="80">
        <f>SUMIFS('август 2024'!$G$4:$G$2015,'август 2024'!$D$4:$D$2015,$B139,'август 2024'!$J$4:$J$2015,K$1)</f>
        <v>0</v>
      </c>
      <c r="L139" s="80">
        <f>SUMIFS('август 2024'!$G$4:$G$2015,'август 2024'!$D$4:$D$2015,$B139,'август 2024'!$J$4:$J$2015,L$1)</f>
        <v>0</v>
      </c>
      <c r="M139" s="80">
        <f>SUMIFS('август 2024'!$G$4:$G$2015,'август 2024'!$D$4:$D$2015,$B139,'август 2024'!$J$4:$J$2015,M$1)</f>
        <v>0</v>
      </c>
      <c r="N139" s="80">
        <f>SUMIFS('август 2024'!$G$4:$G$2015,'август 2024'!$D$4:$D$2015,$B139,'август 2024'!$J$4:$J$2015,N$1)</f>
        <v>0</v>
      </c>
      <c r="O139" s="80">
        <f>SUMIFS('август 2024'!$G$4:$G$2015,'август 2024'!$D$4:$D$2015,$B139,'август 2024'!$J$4:$J$2015,O$1)</f>
        <v>0</v>
      </c>
      <c r="P139" s="80">
        <f>SUMIFS('август 2024'!$G$4:$G$2015,'август 2024'!$D$4:$D$2015,$B139,'август 2024'!$J$4:$J$2015,P$1)</f>
        <v>0</v>
      </c>
      <c r="Q139" s="80">
        <f>SUMIFS('август 2024'!$G$4:$G$2015,'август 2024'!$D$4:$D$2015,$B139,'август 2024'!$J$4:$J$2015,Q$1)</f>
        <v>0</v>
      </c>
      <c r="R139" s="80">
        <f>SUMIFS('август 2024'!$G$4:$G$2015,'август 2024'!$D$4:$D$2015,$B139,'август 2024'!$J$4:$J$2015,R$1)</f>
        <v>0</v>
      </c>
      <c r="S139" s="80">
        <f>SUMIFS('август 2024'!$G$4:$G$2015,'август 2024'!$D$4:$D$2015,$B139,'август 2024'!$J$4:$J$2015,S$1)</f>
        <v>0</v>
      </c>
      <c r="T139" s="80">
        <f>SUMIFS('август 2024'!$G$4:$G$2015,'август 2024'!$D$4:$D$2015,$B139,'август 2024'!$J$4:$J$2015,T$1)</f>
        <v>0</v>
      </c>
      <c r="U139" s="80">
        <f>SUMIFS('август 2024'!$G$4:$G$2015,'август 2024'!$D$4:$D$2015,$B139,'август 2024'!$J$4:$J$2015,U$1)</f>
        <v>0</v>
      </c>
      <c r="V139" s="80">
        <f>SUMIFS('август 2024'!$G$4:$G$2015,'август 2024'!$D$4:$D$2015,$B139,'август 2024'!$J$4:$J$2015,V$1)</f>
        <v>0</v>
      </c>
      <c r="W139" s="80">
        <f>SUMIFS('август 2024'!$G$4:$G$2015,'август 2024'!$D$4:$D$2015,$B139,'август 2024'!$J$4:$J$2015,W$1)</f>
        <v>0</v>
      </c>
      <c r="X139" s="80">
        <f>SUMIFS('август 2024'!$G$4:$G$2015,'август 2024'!$D$4:$D$2015,$B139,'август 2024'!$J$4:$J$2015,X$1)</f>
        <v>0</v>
      </c>
      <c r="Y139" s="80">
        <f>SUMIFS('август 2024'!$G$4:$G$2015,'август 2024'!$D$4:$D$2015,$B139,'август 2024'!$J$4:$J$2015,Y$1)</f>
        <v>0</v>
      </c>
      <c r="Z139" s="80">
        <f>SUMIFS('август 2024'!$G$4:$G$2015,'август 2024'!$D$4:$D$2015,$B139,'август 2024'!$J$4:$J$2015,Z$1)</f>
        <v>0</v>
      </c>
      <c r="AA139" s="80">
        <f>SUMIFS('август 2024'!$G$4:$G$2015,'август 2024'!$D$4:$D$2015,$B139,'август 2024'!$J$4:$J$2015,AA$1)</f>
        <v>0</v>
      </c>
      <c r="AB139" s="80">
        <f>SUMIFS('август 2024'!$G$4:$G$2015,'август 2024'!$D$4:$D$2015,$B139,'август 2024'!$J$4:$J$2015,AB$1)</f>
        <v>0</v>
      </c>
      <c r="AC139" s="80">
        <f>SUMIFS('август 2024'!$G$4:$G$2015,'август 2024'!$D$4:$D$2015,$B139,'август 2024'!$J$4:$J$2015,AC$1)</f>
        <v>0</v>
      </c>
      <c r="AD139" s="80">
        <f>SUMIFS('август 2024'!$G$4:$G$2015,'август 2024'!$D$4:$D$2015,$B139,'август 2024'!$J$4:$J$2015,AD$1)</f>
        <v>0</v>
      </c>
      <c r="AE139" s="80">
        <f>SUMIFS('август 2024'!$G$4:$G$2015,'август 2024'!$D$4:$D$2015,$B139,'август 2024'!$J$4:$J$2015,AE$1)</f>
        <v>0</v>
      </c>
      <c r="AF139" s="80">
        <f>SUMIFS('август 2024'!$G$4:$G$2015,'август 2024'!$D$4:$D$2015,$B139,'август 2024'!$J$4:$J$2015,AF$1)</f>
        <v>56</v>
      </c>
      <c r="AG139" s="80">
        <f>SUMIFS('август 2024'!$G$4:$G$2015,'август 2024'!$D$4:$D$2015,$B139,'август 2024'!$J$4:$J$2015,AG$1)</f>
        <v>0</v>
      </c>
      <c r="AH139" s="80">
        <f>SUMIFS('август 2024'!$G$4:$G$2015,'август 2024'!$D$4:$D$2015,$B139,'август 2024'!$J$4:$J$2015,AH$1)</f>
        <v>0</v>
      </c>
      <c r="AI139" s="21">
        <f t="shared" si="1"/>
        <v>56</v>
      </c>
    </row>
    <row r="140" spans="2:35" ht="15" customHeight="1" x14ac:dyDescent="0.25">
      <c r="B140" s="89" t="s">
        <v>1441</v>
      </c>
      <c r="C140" s="88">
        <v>1000</v>
      </c>
      <c r="D140" s="80">
        <f>SUMIFS('август 2024'!$G$4:$G$2015,'август 2024'!$D$4:$D$2015,$B140,'август 2024'!$J$4:$J$2015,D$1)</f>
        <v>0</v>
      </c>
      <c r="E140" s="80">
        <f>SUMIFS('август 2024'!$G$4:$G$2015,'август 2024'!$D$4:$D$2015,$B140,'август 2024'!$J$4:$J$2015,E$1)</f>
        <v>0</v>
      </c>
      <c r="F140" s="80">
        <f>SUMIFS('август 2024'!$G$4:$G$2015,'август 2024'!$D$4:$D$2015,$B140,'август 2024'!$J$4:$J$2015,F$1)</f>
        <v>0</v>
      </c>
      <c r="G140" s="80">
        <f>SUMIFS('август 2024'!$G$4:$G$2015,'август 2024'!$D$4:$D$2015,$B140,'август 2024'!$J$4:$J$2015,G$1)</f>
        <v>0</v>
      </c>
      <c r="H140" s="80">
        <f>SUMIFS('август 2024'!$G$4:$G$2015,'август 2024'!$D$4:$D$2015,$B140,'август 2024'!$J$4:$J$2015,H$1)</f>
        <v>0</v>
      </c>
      <c r="I140" s="80">
        <f>SUMIFS('август 2024'!$G$4:$G$2015,'август 2024'!$D$4:$D$2015,$B140,'август 2024'!$J$4:$J$2015,I$1)</f>
        <v>0</v>
      </c>
      <c r="J140" s="80">
        <f>SUMIFS('август 2024'!$G$4:$G$2015,'август 2024'!$D$4:$D$2015,$B140,'август 2024'!$J$4:$J$2015,J$1)</f>
        <v>0</v>
      </c>
      <c r="K140" s="80">
        <f>SUMIFS('август 2024'!$G$4:$G$2015,'август 2024'!$D$4:$D$2015,$B140,'август 2024'!$J$4:$J$2015,K$1)</f>
        <v>0</v>
      </c>
      <c r="L140" s="80">
        <f>SUMIFS('август 2024'!$G$4:$G$2015,'август 2024'!$D$4:$D$2015,$B140,'август 2024'!$J$4:$J$2015,L$1)</f>
        <v>0</v>
      </c>
      <c r="M140" s="80">
        <f>SUMIFS('август 2024'!$G$4:$G$2015,'август 2024'!$D$4:$D$2015,$B140,'август 2024'!$J$4:$J$2015,M$1)</f>
        <v>0</v>
      </c>
      <c r="N140" s="80">
        <f>SUMIFS('август 2024'!$G$4:$G$2015,'август 2024'!$D$4:$D$2015,$B140,'август 2024'!$J$4:$J$2015,N$1)</f>
        <v>0</v>
      </c>
      <c r="O140" s="80">
        <f>SUMIFS('август 2024'!$G$4:$G$2015,'август 2024'!$D$4:$D$2015,$B140,'август 2024'!$J$4:$J$2015,O$1)</f>
        <v>0</v>
      </c>
      <c r="P140" s="80">
        <f>SUMIFS('август 2024'!$G$4:$G$2015,'август 2024'!$D$4:$D$2015,$B140,'август 2024'!$J$4:$J$2015,P$1)</f>
        <v>0</v>
      </c>
      <c r="Q140" s="80">
        <f>SUMIFS('август 2024'!$G$4:$G$2015,'август 2024'!$D$4:$D$2015,$B140,'август 2024'!$J$4:$J$2015,Q$1)</f>
        <v>0</v>
      </c>
      <c r="R140" s="80">
        <f>SUMIFS('август 2024'!$G$4:$G$2015,'август 2024'!$D$4:$D$2015,$B140,'август 2024'!$J$4:$J$2015,R$1)</f>
        <v>0</v>
      </c>
      <c r="S140" s="80">
        <f>SUMIFS('август 2024'!$G$4:$G$2015,'август 2024'!$D$4:$D$2015,$B140,'август 2024'!$J$4:$J$2015,S$1)</f>
        <v>0</v>
      </c>
      <c r="T140" s="80">
        <f>SUMIFS('август 2024'!$G$4:$G$2015,'август 2024'!$D$4:$D$2015,$B140,'август 2024'!$J$4:$J$2015,T$1)</f>
        <v>0</v>
      </c>
      <c r="U140" s="80">
        <f>SUMIFS('август 2024'!$G$4:$G$2015,'август 2024'!$D$4:$D$2015,$B140,'август 2024'!$J$4:$J$2015,U$1)</f>
        <v>0</v>
      </c>
      <c r="V140" s="80">
        <f>SUMIFS('август 2024'!$G$4:$G$2015,'август 2024'!$D$4:$D$2015,$B140,'август 2024'!$J$4:$J$2015,V$1)</f>
        <v>0</v>
      </c>
      <c r="W140" s="80">
        <f>SUMIFS('август 2024'!$G$4:$G$2015,'август 2024'!$D$4:$D$2015,$B140,'август 2024'!$J$4:$J$2015,W$1)</f>
        <v>0</v>
      </c>
      <c r="X140" s="80">
        <f>SUMIFS('август 2024'!$G$4:$G$2015,'август 2024'!$D$4:$D$2015,$B140,'август 2024'!$J$4:$J$2015,X$1)</f>
        <v>0</v>
      </c>
      <c r="Y140" s="80">
        <f>SUMIFS('август 2024'!$G$4:$G$2015,'август 2024'!$D$4:$D$2015,$B140,'август 2024'!$J$4:$J$2015,Y$1)</f>
        <v>0</v>
      </c>
      <c r="Z140" s="80">
        <f>SUMIFS('август 2024'!$G$4:$G$2015,'август 2024'!$D$4:$D$2015,$B140,'август 2024'!$J$4:$J$2015,Z$1)</f>
        <v>0</v>
      </c>
      <c r="AA140" s="80">
        <f>SUMIFS('август 2024'!$G$4:$G$2015,'август 2024'!$D$4:$D$2015,$B140,'август 2024'!$J$4:$J$2015,AA$1)</f>
        <v>0</v>
      </c>
      <c r="AB140" s="80">
        <f>SUMIFS('август 2024'!$G$4:$G$2015,'август 2024'!$D$4:$D$2015,$B140,'август 2024'!$J$4:$J$2015,AB$1)</f>
        <v>0</v>
      </c>
      <c r="AC140" s="80">
        <f>SUMIFS('август 2024'!$G$4:$G$2015,'август 2024'!$D$4:$D$2015,$B140,'август 2024'!$J$4:$J$2015,AC$1)</f>
        <v>0</v>
      </c>
      <c r="AD140" s="80">
        <f>SUMIFS('август 2024'!$G$4:$G$2015,'август 2024'!$D$4:$D$2015,$B140,'август 2024'!$J$4:$J$2015,AD$1)</f>
        <v>0</v>
      </c>
      <c r="AE140" s="80">
        <f>SUMIFS('август 2024'!$G$4:$G$2015,'август 2024'!$D$4:$D$2015,$B140,'август 2024'!$J$4:$J$2015,AE$1)</f>
        <v>0</v>
      </c>
      <c r="AF140" s="80">
        <f>SUMIFS('август 2024'!$G$4:$G$2015,'август 2024'!$D$4:$D$2015,$B140,'август 2024'!$J$4:$J$2015,AF$1)</f>
        <v>0</v>
      </c>
      <c r="AG140" s="80">
        <f>SUMIFS('август 2024'!$G$4:$G$2015,'август 2024'!$D$4:$D$2015,$B140,'август 2024'!$J$4:$J$2015,AG$1)</f>
        <v>0</v>
      </c>
      <c r="AH140" s="80">
        <f>SUMIFS('август 2024'!$G$4:$G$2015,'август 2024'!$D$4:$D$2015,$B140,'август 2024'!$J$4:$J$2015,AH$1)</f>
        <v>0</v>
      </c>
      <c r="AI140" s="21">
        <f t="shared" si="1"/>
        <v>0</v>
      </c>
    </row>
    <row r="141" spans="2:35" ht="15" customHeight="1" x14ac:dyDescent="0.25">
      <c r="B141" s="89" t="s">
        <v>211</v>
      </c>
      <c r="C141" s="88">
        <v>200</v>
      </c>
      <c r="D141" s="80">
        <f>SUMIFS('август 2024'!$G$4:$G$2015,'август 2024'!$D$4:$D$2015,$B141,'август 2024'!$J$4:$J$2015,D$1)</f>
        <v>0</v>
      </c>
      <c r="E141" s="80">
        <f>SUMIFS('август 2024'!$G$4:$G$2015,'август 2024'!$D$4:$D$2015,$B141,'август 2024'!$J$4:$J$2015,E$1)</f>
        <v>0</v>
      </c>
      <c r="F141" s="80">
        <f>SUMIFS('август 2024'!$G$4:$G$2015,'август 2024'!$D$4:$D$2015,$B141,'август 2024'!$J$4:$J$2015,F$1)</f>
        <v>0</v>
      </c>
      <c r="G141" s="80">
        <f>SUMIFS('август 2024'!$G$4:$G$2015,'август 2024'!$D$4:$D$2015,$B141,'август 2024'!$J$4:$J$2015,G$1)</f>
        <v>0</v>
      </c>
      <c r="H141" s="80">
        <f>SUMIFS('август 2024'!$G$4:$G$2015,'август 2024'!$D$4:$D$2015,$B141,'август 2024'!$J$4:$J$2015,H$1)</f>
        <v>0</v>
      </c>
      <c r="I141" s="80">
        <f>SUMIFS('август 2024'!$G$4:$G$2015,'август 2024'!$D$4:$D$2015,$B141,'август 2024'!$J$4:$J$2015,I$1)</f>
        <v>0</v>
      </c>
      <c r="J141" s="80">
        <f>SUMIFS('август 2024'!$G$4:$G$2015,'август 2024'!$D$4:$D$2015,$B141,'август 2024'!$J$4:$J$2015,J$1)</f>
        <v>0</v>
      </c>
      <c r="K141" s="80">
        <f>SUMIFS('август 2024'!$G$4:$G$2015,'август 2024'!$D$4:$D$2015,$B141,'август 2024'!$J$4:$J$2015,K$1)</f>
        <v>0</v>
      </c>
      <c r="L141" s="80">
        <f>SUMIFS('август 2024'!$G$4:$G$2015,'август 2024'!$D$4:$D$2015,$B141,'август 2024'!$J$4:$J$2015,L$1)</f>
        <v>0</v>
      </c>
      <c r="M141" s="80">
        <f>SUMIFS('август 2024'!$G$4:$G$2015,'август 2024'!$D$4:$D$2015,$B141,'август 2024'!$J$4:$J$2015,M$1)</f>
        <v>0</v>
      </c>
      <c r="N141" s="80">
        <f>SUMIFS('август 2024'!$G$4:$G$2015,'август 2024'!$D$4:$D$2015,$B141,'август 2024'!$J$4:$J$2015,N$1)</f>
        <v>0</v>
      </c>
      <c r="O141" s="80">
        <f>SUMIFS('август 2024'!$G$4:$G$2015,'август 2024'!$D$4:$D$2015,$B141,'август 2024'!$J$4:$J$2015,O$1)</f>
        <v>0</v>
      </c>
      <c r="P141" s="80">
        <f>SUMIFS('август 2024'!$G$4:$G$2015,'август 2024'!$D$4:$D$2015,$B141,'август 2024'!$J$4:$J$2015,P$1)</f>
        <v>0</v>
      </c>
      <c r="Q141" s="80">
        <f>SUMIFS('август 2024'!$G$4:$G$2015,'август 2024'!$D$4:$D$2015,$B141,'август 2024'!$J$4:$J$2015,Q$1)</f>
        <v>0</v>
      </c>
      <c r="R141" s="80">
        <f>SUMIFS('август 2024'!$G$4:$G$2015,'август 2024'!$D$4:$D$2015,$B141,'август 2024'!$J$4:$J$2015,R$1)</f>
        <v>0</v>
      </c>
      <c r="S141" s="80">
        <f>SUMIFS('август 2024'!$G$4:$G$2015,'август 2024'!$D$4:$D$2015,$B141,'август 2024'!$J$4:$J$2015,S$1)</f>
        <v>0</v>
      </c>
      <c r="T141" s="80">
        <f>SUMIFS('август 2024'!$G$4:$G$2015,'август 2024'!$D$4:$D$2015,$B141,'август 2024'!$J$4:$J$2015,T$1)</f>
        <v>0</v>
      </c>
      <c r="U141" s="80">
        <f>SUMIFS('август 2024'!$G$4:$G$2015,'август 2024'!$D$4:$D$2015,$B141,'август 2024'!$J$4:$J$2015,U$1)</f>
        <v>0</v>
      </c>
      <c r="V141" s="80">
        <f>SUMIFS('август 2024'!$G$4:$G$2015,'август 2024'!$D$4:$D$2015,$B141,'август 2024'!$J$4:$J$2015,V$1)</f>
        <v>0</v>
      </c>
      <c r="W141" s="80">
        <f>SUMIFS('август 2024'!$G$4:$G$2015,'август 2024'!$D$4:$D$2015,$B141,'август 2024'!$J$4:$J$2015,W$1)</f>
        <v>0</v>
      </c>
      <c r="X141" s="80">
        <f>SUMIFS('август 2024'!$G$4:$G$2015,'август 2024'!$D$4:$D$2015,$B141,'август 2024'!$J$4:$J$2015,X$1)</f>
        <v>0</v>
      </c>
      <c r="Y141" s="80">
        <f>SUMIFS('август 2024'!$G$4:$G$2015,'август 2024'!$D$4:$D$2015,$B141,'август 2024'!$J$4:$J$2015,Y$1)</f>
        <v>0</v>
      </c>
      <c r="Z141" s="80">
        <f>SUMIFS('август 2024'!$G$4:$G$2015,'август 2024'!$D$4:$D$2015,$B141,'август 2024'!$J$4:$J$2015,Z$1)</f>
        <v>0</v>
      </c>
      <c r="AA141" s="80">
        <f>SUMIFS('август 2024'!$G$4:$G$2015,'август 2024'!$D$4:$D$2015,$B141,'август 2024'!$J$4:$J$2015,AA$1)</f>
        <v>0</v>
      </c>
      <c r="AB141" s="80">
        <f>SUMIFS('август 2024'!$G$4:$G$2015,'август 2024'!$D$4:$D$2015,$B141,'август 2024'!$J$4:$J$2015,AB$1)</f>
        <v>0</v>
      </c>
      <c r="AC141" s="80">
        <f>SUMIFS('август 2024'!$G$4:$G$2015,'август 2024'!$D$4:$D$2015,$B141,'август 2024'!$J$4:$J$2015,AC$1)</f>
        <v>0</v>
      </c>
      <c r="AD141" s="80">
        <f>SUMIFS('август 2024'!$G$4:$G$2015,'август 2024'!$D$4:$D$2015,$B141,'август 2024'!$J$4:$J$2015,AD$1)</f>
        <v>0</v>
      </c>
      <c r="AE141" s="80">
        <f>SUMIFS('август 2024'!$G$4:$G$2015,'август 2024'!$D$4:$D$2015,$B141,'август 2024'!$J$4:$J$2015,AE$1)</f>
        <v>0</v>
      </c>
      <c r="AF141" s="80">
        <f>SUMIFS('август 2024'!$G$4:$G$2015,'август 2024'!$D$4:$D$2015,$B141,'август 2024'!$J$4:$J$2015,AF$1)</f>
        <v>0</v>
      </c>
      <c r="AG141" s="80">
        <f>SUMIFS('август 2024'!$G$4:$G$2015,'август 2024'!$D$4:$D$2015,$B141,'август 2024'!$J$4:$J$2015,AG$1)</f>
        <v>0</v>
      </c>
      <c r="AH141" s="80">
        <f>SUMIFS('август 2024'!$G$4:$G$2015,'август 2024'!$D$4:$D$2015,$B141,'август 2024'!$J$4:$J$2015,AH$1)</f>
        <v>0</v>
      </c>
      <c r="AI141" s="21">
        <f t="shared" si="1"/>
        <v>0</v>
      </c>
    </row>
    <row r="142" spans="2:35" ht="15" customHeight="1" x14ac:dyDescent="0.25">
      <c r="B142" s="89" t="s">
        <v>339</v>
      </c>
      <c r="C142" s="88">
        <v>200</v>
      </c>
      <c r="D142" s="80">
        <f>SUMIFS('август 2024'!$G$4:$G$2015,'август 2024'!$D$4:$D$2015,$B142,'август 2024'!$J$4:$J$2015,D$1)</f>
        <v>0</v>
      </c>
      <c r="E142" s="80">
        <f>SUMIFS('август 2024'!$G$4:$G$2015,'август 2024'!$D$4:$D$2015,$B142,'август 2024'!$J$4:$J$2015,E$1)</f>
        <v>0</v>
      </c>
      <c r="F142" s="80">
        <f>SUMIFS('август 2024'!$G$4:$G$2015,'август 2024'!$D$4:$D$2015,$B142,'август 2024'!$J$4:$J$2015,F$1)</f>
        <v>0</v>
      </c>
      <c r="G142" s="80">
        <f>SUMIFS('август 2024'!$G$4:$G$2015,'август 2024'!$D$4:$D$2015,$B142,'август 2024'!$J$4:$J$2015,G$1)</f>
        <v>0</v>
      </c>
      <c r="H142" s="80">
        <f>SUMIFS('август 2024'!$G$4:$G$2015,'август 2024'!$D$4:$D$2015,$B142,'август 2024'!$J$4:$J$2015,H$1)</f>
        <v>0</v>
      </c>
      <c r="I142" s="80">
        <f>SUMIFS('август 2024'!$G$4:$G$2015,'август 2024'!$D$4:$D$2015,$B142,'август 2024'!$J$4:$J$2015,I$1)</f>
        <v>0</v>
      </c>
      <c r="J142" s="80">
        <f>SUMIFS('август 2024'!$G$4:$G$2015,'август 2024'!$D$4:$D$2015,$B142,'август 2024'!$J$4:$J$2015,J$1)</f>
        <v>0</v>
      </c>
      <c r="K142" s="80">
        <f>SUMIFS('август 2024'!$G$4:$G$2015,'август 2024'!$D$4:$D$2015,$B142,'август 2024'!$J$4:$J$2015,K$1)</f>
        <v>0</v>
      </c>
      <c r="L142" s="80">
        <f>SUMIFS('август 2024'!$G$4:$G$2015,'август 2024'!$D$4:$D$2015,$B142,'август 2024'!$J$4:$J$2015,L$1)</f>
        <v>0</v>
      </c>
      <c r="M142" s="80">
        <f>SUMIFS('август 2024'!$G$4:$G$2015,'август 2024'!$D$4:$D$2015,$B142,'август 2024'!$J$4:$J$2015,M$1)</f>
        <v>0</v>
      </c>
      <c r="N142" s="80">
        <f>SUMIFS('август 2024'!$G$4:$G$2015,'август 2024'!$D$4:$D$2015,$B142,'август 2024'!$J$4:$J$2015,N$1)</f>
        <v>0</v>
      </c>
      <c r="O142" s="80">
        <f>SUMIFS('август 2024'!$G$4:$G$2015,'август 2024'!$D$4:$D$2015,$B142,'август 2024'!$J$4:$J$2015,O$1)</f>
        <v>0</v>
      </c>
      <c r="P142" s="80">
        <f>SUMIFS('август 2024'!$G$4:$G$2015,'август 2024'!$D$4:$D$2015,$B142,'август 2024'!$J$4:$J$2015,P$1)</f>
        <v>0</v>
      </c>
      <c r="Q142" s="80">
        <f>SUMIFS('август 2024'!$G$4:$G$2015,'август 2024'!$D$4:$D$2015,$B142,'август 2024'!$J$4:$J$2015,Q$1)</f>
        <v>0</v>
      </c>
      <c r="R142" s="80">
        <f>SUMIFS('август 2024'!$G$4:$G$2015,'август 2024'!$D$4:$D$2015,$B142,'август 2024'!$J$4:$J$2015,R$1)</f>
        <v>0</v>
      </c>
      <c r="S142" s="80">
        <f>SUMIFS('август 2024'!$G$4:$G$2015,'август 2024'!$D$4:$D$2015,$B142,'август 2024'!$J$4:$J$2015,S$1)</f>
        <v>0</v>
      </c>
      <c r="T142" s="80">
        <f>SUMIFS('август 2024'!$G$4:$G$2015,'август 2024'!$D$4:$D$2015,$B142,'август 2024'!$J$4:$J$2015,T$1)</f>
        <v>0</v>
      </c>
      <c r="U142" s="80">
        <f>SUMIFS('август 2024'!$G$4:$G$2015,'август 2024'!$D$4:$D$2015,$B142,'август 2024'!$J$4:$J$2015,U$1)</f>
        <v>0</v>
      </c>
      <c r="V142" s="80">
        <f>SUMIFS('август 2024'!$G$4:$G$2015,'август 2024'!$D$4:$D$2015,$B142,'август 2024'!$J$4:$J$2015,V$1)</f>
        <v>0</v>
      </c>
      <c r="W142" s="80">
        <f>SUMIFS('август 2024'!$G$4:$G$2015,'август 2024'!$D$4:$D$2015,$B142,'август 2024'!$J$4:$J$2015,W$1)</f>
        <v>0</v>
      </c>
      <c r="X142" s="80">
        <f>SUMIFS('август 2024'!$G$4:$G$2015,'август 2024'!$D$4:$D$2015,$B142,'август 2024'!$J$4:$J$2015,X$1)</f>
        <v>0</v>
      </c>
      <c r="Y142" s="80">
        <f>SUMIFS('август 2024'!$G$4:$G$2015,'август 2024'!$D$4:$D$2015,$B142,'август 2024'!$J$4:$J$2015,Y$1)</f>
        <v>0</v>
      </c>
      <c r="Z142" s="80">
        <f>SUMIFS('август 2024'!$G$4:$G$2015,'август 2024'!$D$4:$D$2015,$B142,'август 2024'!$J$4:$J$2015,Z$1)</f>
        <v>0</v>
      </c>
      <c r="AA142" s="80">
        <f>SUMIFS('август 2024'!$G$4:$G$2015,'август 2024'!$D$4:$D$2015,$B142,'август 2024'!$J$4:$J$2015,AA$1)</f>
        <v>0</v>
      </c>
      <c r="AB142" s="80">
        <f>SUMIFS('август 2024'!$G$4:$G$2015,'август 2024'!$D$4:$D$2015,$B142,'август 2024'!$J$4:$J$2015,AB$1)</f>
        <v>0</v>
      </c>
      <c r="AC142" s="80">
        <f>SUMIFS('август 2024'!$G$4:$G$2015,'август 2024'!$D$4:$D$2015,$B142,'август 2024'!$J$4:$J$2015,AC$1)</f>
        <v>0</v>
      </c>
      <c r="AD142" s="80">
        <f>SUMIFS('август 2024'!$G$4:$G$2015,'август 2024'!$D$4:$D$2015,$B142,'август 2024'!$J$4:$J$2015,AD$1)</f>
        <v>0</v>
      </c>
      <c r="AE142" s="80">
        <f>SUMIFS('август 2024'!$G$4:$G$2015,'август 2024'!$D$4:$D$2015,$B142,'август 2024'!$J$4:$J$2015,AE$1)</f>
        <v>0</v>
      </c>
      <c r="AF142" s="80">
        <f>SUMIFS('август 2024'!$G$4:$G$2015,'август 2024'!$D$4:$D$2015,$B142,'август 2024'!$J$4:$J$2015,AF$1)</f>
        <v>0</v>
      </c>
      <c r="AG142" s="80">
        <f>SUMIFS('август 2024'!$G$4:$G$2015,'август 2024'!$D$4:$D$2015,$B142,'август 2024'!$J$4:$J$2015,AG$1)</f>
        <v>0</v>
      </c>
      <c r="AH142" s="80">
        <f>SUMIFS('август 2024'!$G$4:$G$2015,'август 2024'!$D$4:$D$2015,$B142,'август 2024'!$J$4:$J$2015,AH$1)</f>
        <v>0</v>
      </c>
      <c r="AI142" s="21">
        <f t="shared" si="1"/>
        <v>0</v>
      </c>
    </row>
    <row r="143" spans="2:35" ht="15" customHeight="1" x14ac:dyDescent="0.25">
      <c r="B143" s="89" t="s">
        <v>215</v>
      </c>
      <c r="C143" s="91">
        <v>200</v>
      </c>
      <c r="D143" s="80">
        <f>SUMIFS('август 2024'!$G$4:$G$2015,'август 2024'!$D$4:$D$2015,$B143,'август 2024'!$J$4:$J$2015,D$1)</f>
        <v>0</v>
      </c>
      <c r="E143" s="80">
        <f>SUMIFS('август 2024'!$G$4:$G$2015,'август 2024'!$D$4:$D$2015,$B143,'август 2024'!$J$4:$J$2015,E$1)</f>
        <v>0</v>
      </c>
      <c r="F143" s="80">
        <f>SUMIFS('август 2024'!$G$4:$G$2015,'август 2024'!$D$4:$D$2015,$B143,'август 2024'!$J$4:$J$2015,F$1)</f>
        <v>0</v>
      </c>
      <c r="G143" s="80">
        <f>SUMIFS('август 2024'!$G$4:$G$2015,'август 2024'!$D$4:$D$2015,$B143,'август 2024'!$J$4:$J$2015,G$1)</f>
        <v>0</v>
      </c>
      <c r="H143" s="80">
        <f>SUMIFS('август 2024'!$G$4:$G$2015,'август 2024'!$D$4:$D$2015,$B143,'август 2024'!$J$4:$J$2015,H$1)</f>
        <v>0</v>
      </c>
      <c r="I143" s="80">
        <f>SUMIFS('август 2024'!$G$4:$G$2015,'август 2024'!$D$4:$D$2015,$B143,'август 2024'!$J$4:$J$2015,I$1)</f>
        <v>0</v>
      </c>
      <c r="J143" s="80">
        <f>SUMIFS('август 2024'!$G$4:$G$2015,'август 2024'!$D$4:$D$2015,$B143,'август 2024'!$J$4:$J$2015,J$1)</f>
        <v>0</v>
      </c>
      <c r="K143" s="80">
        <f>SUMIFS('август 2024'!$G$4:$G$2015,'август 2024'!$D$4:$D$2015,$B143,'август 2024'!$J$4:$J$2015,K$1)</f>
        <v>0</v>
      </c>
      <c r="L143" s="80">
        <f>SUMIFS('август 2024'!$G$4:$G$2015,'август 2024'!$D$4:$D$2015,$B143,'август 2024'!$J$4:$J$2015,L$1)</f>
        <v>0</v>
      </c>
      <c r="M143" s="80">
        <f>SUMIFS('август 2024'!$G$4:$G$2015,'август 2024'!$D$4:$D$2015,$B143,'август 2024'!$J$4:$J$2015,M$1)</f>
        <v>0</v>
      </c>
      <c r="N143" s="80">
        <f>SUMIFS('август 2024'!$G$4:$G$2015,'август 2024'!$D$4:$D$2015,$B143,'август 2024'!$J$4:$J$2015,N$1)</f>
        <v>0</v>
      </c>
      <c r="O143" s="80">
        <f>SUMIFS('август 2024'!$G$4:$G$2015,'август 2024'!$D$4:$D$2015,$B143,'август 2024'!$J$4:$J$2015,O$1)</f>
        <v>0</v>
      </c>
      <c r="P143" s="80">
        <f>SUMIFS('август 2024'!$G$4:$G$2015,'август 2024'!$D$4:$D$2015,$B143,'август 2024'!$J$4:$J$2015,P$1)</f>
        <v>0</v>
      </c>
      <c r="Q143" s="80">
        <f>SUMIFS('август 2024'!$G$4:$G$2015,'август 2024'!$D$4:$D$2015,$B143,'август 2024'!$J$4:$J$2015,Q$1)</f>
        <v>0</v>
      </c>
      <c r="R143" s="80">
        <f>SUMIFS('август 2024'!$G$4:$G$2015,'август 2024'!$D$4:$D$2015,$B143,'август 2024'!$J$4:$J$2015,R$1)</f>
        <v>0</v>
      </c>
      <c r="S143" s="80">
        <f>SUMIFS('август 2024'!$G$4:$G$2015,'август 2024'!$D$4:$D$2015,$B143,'август 2024'!$J$4:$J$2015,S$1)</f>
        <v>0</v>
      </c>
      <c r="T143" s="80">
        <f>SUMIFS('август 2024'!$G$4:$G$2015,'август 2024'!$D$4:$D$2015,$B143,'август 2024'!$J$4:$J$2015,T$1)</f>
        <v>0</v>
      </c>
      <c r="U143" s="80">
        <f>SUMIFS('август 2024'!$G$4:$G$2015,'август 2024'!$D$4:$D$2015,$B143,'август 2024'!$J$4:$J$2015,U$1)</f>
        <v>0</v>
      </c>
      <c r="V143" s="80">
        <f>SUMIFS('август 2024'!$G$4:$G$2015,'август 2024'!$D$4:$D$2015,$B143,'август 2024'!$J$4:$J$2015,V$1)</f>
        <v>0</v>
      </c>
      <c r="W143" s="80">
        <f>SUMIFS('август 2024'!$G$4:$G$2015,'август 2024'!$D$4:$D$2015,$B143,'август 2024'!$J$4:$J$2015,W$1)</f>
        <v>0</v>
      </c>
      <c r="X143" s="80">
        <f>SUMIFS('август 2024'!$G$4:$G$2015,'август 2024'!$D$4:$D$2015,$B143,'август 2024'!$J$4:$J$2015,X$1)</f>
        <v>0</v>
      </c>
      <c r="Y143" s="80">
        <f>SUMIFS('август 2024'!$G$4:$G$2015,'август 2024'!$D$4:$D$2015,$B143,'август 2024'!$J$4:$J$2015,Y$1)</f>
        <v>0</v>
      </c>
      <c r="Z143" s="80">
        <f>SUMIFS('август 2024'!$G$4:$G$2015,'август 2024'!$D$4:$D$2015,$B143,'август 2024'!$J$4:$J$2015,Z$1)</f>
        <v>0</v>
      </c>
      <c r="AA143" s="80">
        <f>SUMIFS('август 2024'!$G$4:$G$2015,'август 2024'!$D$4:$D$2015,$B143,'август 2024'!$J$4:$J$2015,AA$1)</f>
        <v>0</v>
      </c>
      <c r="AB143" s="80">
        <f>SUMIFS('август 2024'!$G$4:$G$2015,'август 2024'!$D$4:$D$2015,$B143,'август 2024'!$J$4:$J$2015,AB$1)</f>
        <v>0</v>
      </c>
      <c r="AC143" s="80">
        <f>SUMIFS('август 2024'!$G$4:$G$2015,'август 2024'!$D$4:$D$2015,$B143,'август 2024'!$J$4:$J$2015,AC$1)</f>
        <v>0</v>
      </c>
      <c r="AD143" s="80">
        <f>SUMIFS('август 2024'!$G$4:$G$2015,'август 2024'!$D$4:$D$2015,$B143,'август 2024'!$J$4:$J$2015,AD$1)</f>
        <v>0</v>
      </c>
      <c r="AE143" s="80">
        <f>SUMIFS('август 2024'!$G$4:$G$2015,'август 2024'!$D$4:$D$2015,$B143,'август 2024'!$J$4:$J$2015,AE$1)</f>
        <v>0</v>
      </c>
      <c r="AF143" s="80">
        <f>SUMIFS('август 2024'!$G$4:$G$2015,'август 2024'!$D$4:$D$2015,$B143,'август 2024'!$J$4:$J$2015,AF$1)</f>
        <v>0</v>
      </c>
      <c r="AG143" s="80">
        <f>SUMIFS('август 2024'!$G$4:$G$2015,'август 2024'!$D$4:$D$2015,$B143,'август 2024'!$J$4:$J$2015,AG$1)</f>
        <v>0</v>
      </c>
      <c r="AH143" s="80">
        <f>SUMIFS('август 2024'!$G$4:$G$2015,'август 2024'!$D$4:$D$2015,$B143,'август 2024'!$J$4:$J$2015,AH$1)</f>
        <v>0</v>
      </c>
      <c r="AI143" s="21">
        <f t="shared" si="1"/>
        <v>0</v>
      </c>
    </row>
    <row r="144" spans="2:35" ht="15" customHeight="1" x14ac:dyDescent="0.25">
      <c r="B144" s="89" t="s">
        <v>585</v>
      </c>
      <c r="C144" s="91">
        <v>200</v>
      </c>
      <c r="D144" s="80">
        <f>SUMIFS('август 2024'!$G$4:$G$2015,'август 2024'!$D$4:$D$2015,$B144,'август 2024'!$J$4:$J$2015,D$1)</f>
        <v>0</v>
      </c>
      <c r="E144" s="80">
        <f>SUMIFS('август 2024'!$G$4:$G$2015,'август 2024'!$D$4:$D$2015,$B144,'август 2024'!$J$4:$J$2015,E$1)</f>
        <v>0</v>
      </c>
      <c r="F144" s="80">
        <f>SUMIFS('август 2024'!$G$4:$G$2015,'август 2024'!$D$4:$D$2015,$B144,'август 2024'!$J$4:$J$2015,F$1)</f>
        <v>0</v>
      </c>
      <c r="G144" s="80">
        <f>SUMIFS('август 2024'!$G$4:$G$2015,'август 2024'!$D$4:$D$2015,$B144,'август 2024'!$J$4:$J$2015,G$1)</f>
        <v>0</v>
      </c>
      <c r="H144" s="80">
        <f>SUMIFS('август 2024'!$G$4:$G$2015,'август 2024'!$D$4:$D$2015,$B144,'август 2024'!$J$4:$J$2015,H$1)</f>
        <v>0</v>
      </c>
      <c r="I144" s="80">
        <f>SUMIFS('август 2024'!$G$4:$G$2015,'август 2024'!$D$4:$D$2015,$B144,'август 2024'!$J$4:$J$2015,I$1)</f>
        <v>0</v>
      </c>
      <c r="J144" s="80">
        <f>SUMIFS('август 2024'!$G$4:$G$2015,'август 2024'!$D$4:$D$2015,$B144,'август 2024'!$J$4:$J$2015,J$1)</f>
        <v>0</v>
      </c>
      <c r="K144" s="80">
        <f>SUMIFS('август 2024'!$G$4:$G$2015,'август 2024'!$D$4:$D$2015,$B144,'август 2024'!$J$4:$J$2015,K$1)</f>
        <v>0</v>
      </c>
      <c r="L144" s="80">
        <f>SUMIFS('август 2024'!$G$4:$G$2015,'август 2024'!$D$4:$D$2015,$B144,'август 2024'!$J$4:$J$2015,L$1)</f>
        <v>0</v>
      </c>
      <c r="M144" s="80">
        <f>SUMIFS('август 2024'!$G$4:$G$2015,'август 2024'!$D$4:$D$2015,$B144,'август 2024'!$J$4:$J$2015,M$1)</f>
        <v>0</v>
      </c>
      <c r="N144" s="80">
        <f>SUMIFS('август 2024'!$G$4:$G$2015,'август 2024'!$D$4:$D$2015,$B144,'август 2024'!$J$4:$J$2015,N$1)</f>
        <v>0</v>
      </c>
      <c r="O144" s="80">
        <f>SUMIFS('август 2024'!$G$4:$G$2015,'август 2024'!$D$4:$D$2015,$B144,'август 2024'!$J$4:$J$2015,O$1)</f>
        <v>0</v>
      </c>
      <c r="P144" s="80">
        <f>SUMIFS('август 2024'!$G$4:$G$2015,'август 2024'!$D$4:$D$2015,$B144,'август 2024'!$J$4:$J$2015,P$1)</f>
        <v>0</v>
      </c>
      <c r="Q144" s="80">
        <f>SUMIFS('август 2024'!$G$4:$G$2015,'август 2024'!$D$4:$D$2015,$B144,'август 2024'!$J$4:$J$2015,Q$1)</f>
        <v>0</v>
      </c>
      <c r="R144" s="80">
        <f>SUMIFS('август 2024'!$G$4:$G$2015,'август 2024'!$D$4:$D$2015,$B144,'август 2024'!$J$4:$J$2015,R$1)</f>
        <v>0</v>
      </c>
      <c r="S144" s="80">
        <f>SUMIFS('август 2024'!$G$4:$G$2015,'август 2024'!$D$4:$D$2015,$B144,'август 2024'!$J$4:$J$2015,S$1)</f>
        <v>0</v>
      </c>
      <c r="T144" s="80">
        <f>SUMIFS('август 2024'!$G$4:$G$2015,'август 2024'!$D$4:$D$2015,$B144,'август 2024'!$J$4:$J$2015,T$1)</f>
        <v>0</v>
      </c>
      <c r="U144" s="80">
        <f>SUMIFS('август 2024'!$G$4:$G$2015,'август 2024'!$D$4:$D$2015,$B144,'август 2024'!$J$4:$J$2015,U$1)</f>
        <v>0</v>
      </c>
      <c r="V144" s="80">
        <f>SUMIFS('август 2024'!$G$4:$G$2015,'август 2024'!$D$4:$D$2015,$B144,'август 2024'!$J$4:$J$2015,V$1)</f>
        <v>0</v>
      </c>
      <c r="W144" s="80">
        <f>SUMIFS('август 2024'!$G$4:$G$2015,'август 2024'!$D$4:$D$2015,$B144,'август 2024'!$J$4:$J$2015,W$1)</f>
        <v>0</v>
      </c>
      <c r="X144" s="80">
        <f>SUMIFS('август 2024'!$G$4:$G$2015,'август 2024'!$D$4:$D$2015,$B144,'август 2024'!$J$4:$J$2015,X$1)</f>
        <v>0</v>
      </c>
      <c r="Y144" s="80">
        <f>SUMIFS('август 2024'!$G$4:$G$2015,'август 2024'!$D$4:$D$2015,$B144,'август 2024'!$J$4:$J$2015,Y$1)</f>
        <v>0</v>
      </c>
      <c r="Z144" s="80">
        <f>SUMIFS('август 2024'!$G$4:$G$2015,'август 2024'!$D$4:$D$2015,$B144,'август 2024'!$J$4:$J$2015,Z$1)</f>
        <v>0</v>
      </c>
      <c r="AA144" s="80">
        <f>SUMIFS('август 2024'!$G$4:$G$2015,'август 2024'!$D$4:$D$2015,$B144,'август 2024'!$J$4:$J$2015,AA$1)</f>
        <v>0</v>
      </c>
      <c r="AB144" s="80">
        <f>SUMIFS('август 2024'!$G$4:$G$2015,'август 2024'!$D$4:$D$2015,$B144,'август 2024'!$J$4:$J$2015,AB$1)</f>
        <v>0</v>
      </c>
      <c r="AC144" s="80">
        <f>SUMIFS('август 2024'!$G$4:$G$2015,'август 2024'!$D$4:$D$2015,$B144,'август 2024'!$J$4:$J$2015,AC$1)</f>
        <v>0</v>
      </c>
      <c r="AD144" s="80">
        <f>SUMIFS('август 2024'!$G$4:$G$2015,'август 2024'!$D$4:$D$2015,$B144,'август 2024'!$J$4:$J$2015,AD$1)</f>
        <v>0</v>
      </c>
      <c r="AE144" s="80">
        <f>SUMIFS('август 2024'!$G$4:$G$2015,'август 2024'!$D$4:$D$2015,$B144,'август 2024'!$J$4:$J$2015,AE$1)</f>
        <v>0</v>
      </c>
      <c r="AF144" s="80">
        <f>SUMIFS('август 2024'!$G$4:$G$2015,'август 2024'!$D$4:$D$2015,$B144,'август 2024'!$J$4:$J$2015,AF$1)</f>
        <v>0</v>
      </c>
      <c r="AG144" s="80">
        <f>SUMIFS('август 2024'!$G$4:$G$2015,'август 2024'!$D$4:$D$2015,$B144,'август 2024'!$J$4:$J$2015,AG$1)</f>
        <v>0</v>
      </c>
      <c r="AH144" s="80">
        <f>SUMIFS('август 2024'!$G$4:$G$2015,'август 2024'!$D$4:$D$2015,$B144,'август 2024'!$J$4:$J$2015,AH$1)</f>
        <v>0</v>
      </c>
      <c r="AI144" s="21">
        <f t="shared" si="1"/>
        <v>0</v>
      </c>
    </row>
    <row r="145" spans="2:35" ht="15" customHeight="1" x14ac:dyDescent="0.25">
      <c r="B145" s="93" t="s">
        <v>186</v>
      </c>
      <c r="C145" s="91">
        <v>25</v>
      </c>
      <c r="D145" s="80">
        <f>SUMIFS('август 2024'!$G$4:$G$2015,'август 2024'!$D$4:$D$2015,$B145,'август 2024'!$J$4:$J$2015,D$1)</f>
        <v>0</v>
      </c>
      <c r="E145" s="80">
        <f>SUMIFS('август 2024'!$G$4:$G$2015,'август 2024'!$D$4:$D$2015,$B145,'август 2024'!$J$4:$J$2015,E$1)</f>
        <v>0</v>
      </c>
      <c r="F145" s="80">
        <f>SUMIFS('август 2024'!$G$4:$G$2015,'август 2024'!$D$4:$D$2015,$B145,'август 2024'!$J$4:$J$2015,F$1)</f>
        <v>0</v>
      </c>
      <c r="G145" s="80">
        <f>SUMIFS('август 2024'!$G$4:$G$2015,'август 2024'!$D$4:$D$2015,$B145,'август 2024'!$J$4:$J$2015,G$1)</f>
        <v>0</v>
      </c>
      <c r="H145" s="80">
        <f>SUMIFS('август 2024'!$G$4:$G$2015,'август 2024'!$D$4:$D$2015,$B145,'август 2024'!$J$4:$J$2015,H$1)</f>
        <v>0</v>
      </c>
      <c r="I145" s="80">
        <f>SUMIFS('август 2024'!$G$4:$G$2015,'август 2024'!$D$4:$D$2015,$B145,'август 2024'!$J$4:$J$2015,I$1)</f>
        <v>0</v>
      </c>
      <c r="J145" s="80">
        <f>SUMIFS('август 2024'!$G$4:$G$2015,'август 2024'!$D$4:$D$2015,$B145,'август 2024'!$J$4:$J$2015,J$1)</f>
        <v>0</v>
      </c>
      <c r="K145" s="80">
        <f>SUMIFS('август 2024'!$G$4:$G$2015,'август 2024'!$D$4:$D$2015,$B145,'август 2024'!$J$4:$J$2015,K$1)</f>
        <v>0</v>
      </c>
      <c r="L145" s="80">
        <f>SUMIFS('август 2024'!$G$4:$G$2015,'август 2024'!$D$4:$D$2015,$B145,'август 2024'!$J$4:$J$2015,L$1)</f>
        <v>0</v>
      </c>
      <c r="M145" s="80">
        <f>SUMIFS('август 2024'!$G$4:$G$2015,'август 2024'!$D$4:$D$2015,$B145,'август 2024'!$J$4:$J$2015,M$1)</f>
        <v>0</v>
      </c>
      <c r="N145" s="80">
        <f>SUMIFS('август 2024'!$G$4:$G$2015,'август 2024'!$D$4:$D$2015,$B145,'август 2024'!$J$4:$J$2015,N$1)</f>
        <v>0</v>
      </c>
      <c r="O145" s="80">
        <f>SUMIFS('август 2024'!$G$4:$G$2015,'август 2024'!$D$4:$D$2015,$B145,'август 2024'!$J$4:$J$2015,O$1)</f>
        <v>0</v>
      </c>
      <c r="P145" s="80">
        <f>SUMIFS('август 2024'!$G$4:$G$2015,'август 2024'!$D$4:$D$2015,$B145,'август 2024'!$J$4:$J$2015,P$1)</f>
        <v>0</v>
      </c>
      <c r="Q145" s="80">
        <f>SUMIFS('август 2024'!$G$4:$G$2015,'август 2024'!$D$4:$D$2015,$B145,'август 2024'!$J$4:$J$2015,Q$1)</f>
        <v>0</v>
      </c>
      <c r="R145" s="80">
        <f>SUMIFS('август 2024'!$G$4:$G$2015,'август 2024'!$D$4:$D$2015,$B145,'август 2024'!$J$4:$J$2015,R$1)</f>
        <v>0</v>
      </c>
      <c r="S145" s="80">
        <f>SUMIFS('август 2024'!$G$4:$G$2015,'август 2024'!$D$4:$D$2015,$B145,'август 2024'!$J$4:$J$2015,S$1)</f>
        <v>0</v>
      </c>
      <c r="T145" s="80">
        <f>SUMIFS('август 2024'!$G$4:$G$2015,'август 2024'!$D$4:$D$2015,$B145,'август 2024'!$J$4:$J$2015,T$1)</f>
        <v>0</v>
      </c>
      <c r="U145" s="80">
        <f>SUMIFS('август 2024'!$G$4:$G$2015,'август 2024'!$D$4:$D$2015,$B145,'август 2024'!$J$4:$J$2015,U$1)</f>
        <v>0</v>
      </c>
      <c r="V145" s="80">
        <f>SUMIFS('август 2024'!$G$4:$G$2015,'август 2024'!$D$4:$D$2015,$B145,'август 2024'!$J$4:$J$2015,V$1)</f>
        <v>0</v>
      </c>
      <c r="W145" s="80">
        <f>SUMIFS('август 2024'!$G$4:$G$2015,'август 2024'!$D$4:$D$2015,$B145,'август 2024'!$J$4:$J$2015,W$1)</f>
        <v>0</v>
      </c>
      <c r="X145" s="80">
        <f>SUMIFS('август 2024'!$G$4:$G$2015,'август 2024'!$D$4:$D$2015,$B145,'август 2024'!$J$4:$J$2015,X$1)</f>
        <v>0</v>
      </c>
      <c r="Y145" s="80">
        <f>SUMIFS('август 2024'!$G$4:$G$2015,'август 2024'!$D$4:$D$2015,$B145,'август 2024'!$J$4:$J$2015,Y$1)</f>
        <v>0</v>
      </c>
      <c r="Z145" s="80">
        <f>SUMIFS('август 2024'!$G$4:$G$2015,'август 2024'!$D$4:$D$2015,$B145,'август 2024'!$J$4:$J$2015,Z$1)</f>
        <v>0</v>
      </c>
      <c r="AA145" s="80">
        <f>SUMIFS('август 2024'!$G$4:$G$2015,'август 2024'!$D$4:$D$2015,$B145,'август 2024'!$J$4:$J$2015,AA$1)</f>
        <v>0</v>
      </c>
      <c r="AB145" s="80">
        <f>SUMIFS('август 2024'!$G$4:$G$2015,'август 2024'!$D$4:$D$2015,$B145,'август 2024'!$J$4:$J$2015,AB$1)</f>
        <v>0</v>
      </c>
      <c r="AC145" s="80">
        <f>SUMIFS('август 2024'!$G$4:$G$2015,'август 2024'!$D$4:$D$2015,$B145,'август 2024'!$J$4:$J$2015,AC$1)</f>
        <v>0</v>
      </c>
      <c r="AD145" s="80">
        <f>SUMIFS('август 2024'!$G$4:$G$2015,'август 2024'!$D$4:$D$2015,$B145,'август 2024'!$J$4:$J$2015,AD$1)</f>
        <v>0</v>
      </c>
      <c r="AE145" s="80">
        <f>SUMIFS('август 2024'!$G$4:$G$2015,'август 2024'!$D$4:$D$2015,$B145,'август 2024'!$J$4:$J$2015,AE$1)</f>
        <v>0</v>
      </c>
      <c r="AF145" s="80">
        <f>SUMIFS('август 2024'!$G$4:$G$2015,'август 2024'!$D$4:$D$2015,$B145,'август 2024'!$J$4:$J$2015,AF$1)</f>
        <v>0</v>
      </c>
      <c r="AG145" s="80">
        <f>SUMIFS('август 2024'!$G$4:$G$2015,'август 2024'!$D$4:$D$2015,$B145,'август 2024'!$J$4:$J$2015,AG$1)</f>
        <v>0</v>
      </c>
      <c r="AH145" s="80">
        <f>SUMIFS('август 2024'!$G$4:$G$2015,'август 2024'!$D$4:$D$2015,$B145,'август 2024'!$J$4:$J$2015,AH$1)</f>
        <v>0</v>
      </c>
      <c r="AI145" s="21">
        <f t="shared" si="1"/>
        <v>0</v>
      </c>
    </row>
    <row r="146" spans="2:35" ht="15" customHeight="1" x14ac:dyDescent="0.25">
      <c r="B146" s="89" t="s">
        <v>184</v>
      </c>
      <c r="C146" s="88">
        <v>25</v>
      </c>
      <c r="D146" s="80">
        <f>SUMIFS('август 2024'!$G$4:$G$2015,'август 2024'!$D$4:$D$2015,$B146,'август 2024'!$J$4:$J$2015,D$1)</f>
        <v>0</v>
      </c>
      <c r="E146" s="80">
        <f>SUMIFS('август 2024'!$G$4:$G$2015,'август 2024'!$D$4:$D$2015,$B146,'август 2024'!$J$4:$J$2015,E$1)</f>
        <v>0</v>
      </c>
      <c r="F146" s="80">
        <f>SUMIFS('август 2024'!$G$4:$G$2015,'август 2024'!$D$4:$D$2015,$B146,'август 2024'!$J$4:$J$2015,F$1)</f>
        <v>0</v>
      </c>
      <c r="G146" s="80">
        <f>SUMIFS('август 2024'!$G$4:$G$2015,'август 2024'!$D$4:$D$2015,$B146,'август 2024'!$J$4:$J$2015,G$1)</f>
        <v>0</v>
      </c>
      <c r="H146" s="80">
        <f>SUMIFS('август 2024'!$G$4:$G$2015,'август 2024'!$D$4:$D$2015,$B146,'август 2024'!$J$4:$J$2015,H$1)</f>
        <v>0</v>
      </c>
      <c r="I146" s="80">
        <f>SUMIFS('август 2024'!$G$4:$G$2015,'август 2024'!$D$4:$D$2015,$B146,'август 2024'!$J$4:$J$2015,I$1)</f>
        <v>0</v>
      </c>
      <c r="J146" s="80">
        <f>SUMIFS('август 2024'!$G$4:$G$2015,'август 2024'!$D$4:$D$2015,$B146,'август 2024'!$J$4:$J$2015,J$1)</f>
        <v>0</v>
      </c>
      <c r="K146" s="80">
        <f>SUMIFS('август 2024'!$G$4:$G$2015,'август 2024'!$D$4:$D$2015,$B146,'август 2024'!$J$4:$J$2015,K$1)</f>
        <v>0</v>
      </c>
      <c r="L146" s="80">
        <f>SUMIFS('август 2024'!$G$4:$G$2015,'август 2024'!$D$4:$D$2015,$B146,'август 2024'!$J$4:$J$2015,L$1)</f>
        <v>0</v>
      </c>
      <c r="M146" s="80">
        <f>SUMIFS('август 2024'!$G$4:$G$2015,'август 2024'!$D$4:$D$2015,$B146,'август 2024'!$J$4:$J$2015,M$1)</f>
        <v>0</v>
      </c>
      <c r="N146" s="80">
        <f>SUMIFS('август 2024'!$G$4:$G$2015,'август 2024'!$D$4:$D$2015,$B146,'август 2024'!$J$4:$J$2015,N$1)</f>
        <v>0</v>
      </c>
      <c r="O146" s="80">
        <f>SUMIFS('август 2024'!$G$4:$G$2015,'август 2024'!$D$4:$D$2015,$B146,'август 2024'!$J$4:$J$2015,O$1)</f>
        <v>0</v>
      </c>
      <c r="P146" s="80">
        <f>SUMIFS('август 2024'!$G$4:$G$2015,'август 2024'!$D$4:$D$2015,$B146,'август 2024'!$J$4:$J$2015,P$1)</f>
        <v>0</v>
      </c>
      <c r="Q146" s="80">
        <f>SUMIFS('август 2024'!$G$4:$G$2015,'август 2024'!$D$4:$D$2015,$B146,'август 2024'!$J$4:$J$2015,Q$1)</f>
        <v>0</v>
      </c>
      <c r="R146" s="80">
        <f>SUMIFS('август 2024'!$G$4:$G$2015,'август 2024'!$D$4:$D$2015,$B146,'август 2024'!$J$4:$J$2015,R$1)</f>
        <v>0</v>
      </c>
      <c r="S146" s="80">
        <f>SUMIFS('август 2024'!$G$4:$G$2015,'август 2024'!$D$4:$D$2015,$B146,'август 2024'!$J$4:$J$2015,S$1)</f>
        <v>0</v>
      </c>
      <c r="T146" s="80">
        <f>SUMIFS('август 2024'!$G$4:$G$2015,'август 2024'!$D$4:$D$2015,$B146,'август 2024'!$J$4:$J$2015,T$1)</f>
        <v>0</v>
      </c>
      <c r="U146" s="80">
        <f>SUMIFS('август 2024'!$G$4:$G$2015,'август 2024'!$D$4:$D$2015,$B146,'август 2024'!$J$4:$J$2015,U$1)</f>
        <v>0</v>
      </c>
      <c r="V146" s="80">
        <f>SUMIFS('август 2024'!$G$4:$G$2015,'август 2024'!$D$4:$D$2015,$B146,'август 2024'!$J$4:$J$2015,V$1)</f>
        <v>0</v>
      </c>
      <c r="W146" s="80">
        <f>SUMIFS('август 2024'!$G$4:$G$2015,'август 2024'!$D$4:$D$2015,$B146,'август 2024'!$J$4:$J$2015,W$1)</f>
        <v>0</v>
      </c>
      <c r="X146" s="80">
        <f>SUMIFS('август 2024'!$G$4:$G$2015,'август 2024'!$D$4:$D$2015,$B146,'август 2024'!$J$4:$J$2015,X$1)</f>
        <v>0</v>
      </c>
      <c r="Y146" s="80">
        <f>SUMIFS('август 2024'!$G$4:$G$2015,'август 2024'!$D$4:$D$2015,$B146,'август 2024'!$J$4:$J$2015,Y$1)</f>
        <v>0</v>
      </c>
      <c r="Z146" s="80">
        <f>SUMIFS('август 2024'!$G$4:$G$2015,'август 2024'!$D$4:$D$2015,$B146,'август 2024'!$J$4:$J$2015,Z$1)</f>
        <v>0</v>
      </c>
      <c r="AA146" s="80">
        <f>SUMIFS('август 2024'!$G$4:$G$2015,'август 2024'!$D$4:$D$2015,$B146,'август 2024'!$J$4:$J$2015,AA$1)</f>
        <v>0</v>
      </c>
      <c r="AB146" s="80">
        <f>SUMIFS('август 2024'!$G$4:$G$2015,'август 2024'!$D$4:$D$2015,$B146,'август 2024'!$J$4:$J$2015,AB$1)</f>
        <v>0</v>
      </c>
      <c r="AC146" s="80">
        <f>SUMIFS('август 2024'!$G$4:$G$2015,'август 2024'!$D$4:$D$2015,$B146,'август 2024'!$J$4:$J$2015,AC$1)</f>
        <v>0</v>
      </c>
      <c r="AD146" s="80">
        <f>SUMIFS('август 2024'!$G$4:$G$2015,'август 2024'!$D$4:$D$2015,$B146,'август 2024'!$J$4:$J$2015,AD$1)</f>
        <v>0</v>
      </c>
      <c r="AE146" s="80">
        <f>SUMIFS('август 2024'!$G$4:$G$2015,'август 2024'!$D$4:$D$2015,$B146,'август 2024'!$J$4:$J$2015,AE$1)</f>
        <v>0</v>
      </c>
      <c r="AF146" s="80">
        <f>SUMIFS('август 2024'!$G$4:$G$2015,'август 2024'!$D$4:$D$2015,$B146,'август 2024'!$J$4:$J$2015,AF$1)</f>
        <v>0</v>
      </c>
      <c r="AG146" s="80">
        <f>SUMIFS('август 2024'!$G$4:$G$2015,'август 2024'!$D$4:$D$2015,$B146,'август 2024'!$J$4:$J$2015,AG$1)</f>
        <v>0</v>
      </c>
      <c r="AH146" s="80">
        <f>SUMIFS('август 2024'!$G$4:$G$2015,'август 2024'!$D$4:$D$2015,$B146,'август 2024'!$J$4:$J$2015,AH$1)</f>
        <v>0</v>
      </c>
      <c r="AI146" s="21">
        <f t="shared" si="1"/>
        <v>0</v>
      </c>
    </row>
    <row r="147" spans="2:35" ht="15" customHeight="1" x14ac:dyDescent="0.25">
      <c r="B147" s="89" t="s">
        <v>185</v>
      </c>
      <c r="C147" s="88">
        <v>25</v>
      </c>
      <c r="D147" s="80">
        <f>SUMIFS('август 2024'!$G$4:$G$2015,'август 2024'!$D$4:$D$2015,$B147,'август 2024'!$J$4:$J$2015,D$1)</f>
        <v>0</v>
      </c>
      <c r="E147" s="80">
        <f>SUMIFS('август 2024'!$G$4:$G$2015,'август 2024'!$D$4:$D$2015,$B147,'август 2024'!$J$4:$J$2015,E$1)</f>
        <v>0</v>
      </c>
      <c r="F147" s="80">
        <f>SUMIFS('август 2024'!$G$4:$G$2015,'август 2024'!$D$4:$D$2015,$B147,'август 2024'!$J$4:$J$2015,F$1)</f>
        <v>0</v>
      </c>
      <c r="G147" s="80">
        <f>SUMIFS('август 2024'!$G$4:$G$2015,'август 2024'!$D$4:$D$2015,$B147,'август 2024'!$J$4:$J$2015,G$1)</f>
        <v>0</v>
      </c>
      <c r="H147" s="80">
        <f>SUMIFS('август 2024'!$G$4:$G$2015,'август 2024'!$D$4:$D$2015,$B147,'август 2024'!$J$4:$J$2015,H$1)</f>
        <v>0</v>
      </c>
      <c r="I147" s="80">
        <f>SUMIFS('август 2024'!$G$4:$G$2015,'август 2024'!$D$4:$D$2015,$B147,'август 2024'!$J$4:$J$2015,I$1)</f>
        <v>0</v>
      </c>
      <c r="J147" s="80">
        <f>SUMIFS('август 2024'!$G$4:$G$2015,'август 2024'!$D$4:$D$2015,$B147,'август 2024'!$J$4:$J$2015,J$1)</f>
        <v>0</v>
      </c>
      <c r="K147" s="80">
        <f>SUMIFS('август 2024'!$G$4:$G$2015,'август 2024'!$D$4:$D$2015,$B147,'август 2024'!$J$4:$J$2015,K$1)</f>
        <v>0</v>
      </c>
      <c r="L147" s="80">
        <f>SUMIFS('август 2024'!$G$4:$G$2015,'август 2024'!$D$4:$D$2015,$B147,'август 2024'!$J$4:$J$2015,L$1)</f>
        <v>0</v>
      </c>
      <c r="M147" s="80">
        <f>SUMIFS('август 2024'!$G$4:$G$2015,'август 2024'!$D$4:$D$2015,$B147,'август 2024'!$J$4:$J$2015,M$1)</f>
        <v>0</v>
      </c>
      <c r="N147" s="80">
        <f>SUMIFS('август 2024'!$G$4:$G$2015,'август 2024'!$D$4:$D$2015,$B147,'август 2024'!$J$4:$J$2015,N$1)</f>
        <v>0</v>
      </c>
      <c r="O147" s="80">
        <f>SUMIFS('август 2024'!$G$4:$G$2015,'август 2024'!$D$4:$D$2015,$B147,'август 2024'!$J$4:$J$2015,O$1)</f>
        <v>0</v>
      </c>
      <c r="P147" s="80">
        <f>SUMIFS('август 2024'!$G$4:$G$2015,'август 2024'!$D$4:$D$2015,$B147,'август 2024'!$J$4:$J$2015,P$1)</f>
        <v>0</v>
      </c>
      <c r="Q147" s="80">
        <f>SUMIFS('август 2024'!$G$4:$G$2015,'август 2024'!$D$4:$D$2015,$B147,'август 2024'!$J$4:$J$2015,Q$1)</f>
        <v>0</v>
      </c>
      <c r="R147" s="80">
        <f>SUMIFS('август 2024'!$G$4:$G$2015,'август 2024'!$D$4:$D$2015,$B147,'август 2024'!$J$4:$J$2015,R$1)</f>
        <v>0</v>
      </c>
      <c r="S147" s="80">
        <f>SUMIFS('август 2024'!$G$4:$G$2015,'август 2024'!$D$4:$D$2015,$B147,'август 2024'!$J$4:$J$2015,S$1)</f>
        <v>0</v>
      </c>
      <c r="T147" s="80">
        <f>SUMIFS('август 2024'!$G$4:$G$2015,'август 2024'!$D$4:$D$2015,$B147,'август 2024'!$J$4:$J$2015,T$1)</f>
        <v>0</v>
      </c>
      <c r="U147" s="80">
        <f>SUMIFS('август 2024'!$G$4:$G$2015,'август 2024'!$D$4:$D$2015,$B147,'август 2024'!$J$4:$J$2015,U$1)</f>
        <v>0</v>
      </c>
      <c r="V147" s="80">
        <f>SUMIFS('август 2024'!$G$4:$G$2015,'август 2024'!$D$4:$D$2015,$B147,'август 2024'!$J$4:$J$2015,V$1)</f>
        <v>0</v>
      </c>
      <c r="W147" s="80">
        <f>SUMIFS('август 2024'!$G$4:$G$2015,'август 2024'!$D$4:$D$2015,$B147,'август 2024'!$J$4:$J$2015,W$1)</f>
        <v>0</v>
      </c>
      <c r="X147" s="80">
        <f>SUMIFS('август 2024'!$G$4:$G$2015,'август 2024'!$D$4:$D$2015,$B147,'август 2024'!$J$4:$J$2015,X$1)</f>
        <v>0</v>
      </c>
      <c r="Y147" s="80">
        <f>SUMIFS('август 2024'!$G$4:$G$2015,'август 2024'!$D$4:$D$2015,$B147,'август 2024'!$J$4:$J$2015,Y$1)</f>
        <v>0</v>
      </c>
      <c r="Z147" s="80">
        <f>SUMIFS('август 2024'!$G$4:$G$2015,'август 2024'!$D$4:$D$2015,$B147,'август 2024'!$J$4:$J$2015,Z$1)</f>
        <v>0</v>
      </c>
      <c r="AA147" s="80">
        <f>SUMIFS('август 2024'!$G$4:$G$2015,'август 2024'!$D$4:$D$2015,$B147,'август 2024'!$J$4:$J$2015,AA$1)</f>
        <v>0</v>
      </c>
      <c r="AB147" s="80">
        <f>SUMIFS('август 2024'!$G$4:$G$2015,'август 2024'!$D$4:$D$2015,$B147,'август 2024'!$J$4:$J$2015,AB$1)</f>
        <v>0</v>
      </c>
      <c r="AC147" s="80">
        <f>SUMIFS('август 2024'!$G$4:$G$2015,'август 2024'!$D$4:$D$2015,$B147,'август 2024'!$J$4:$J$2015,AC$1)</f>
        <v>0</v>
      </c>
      <c r="AD147" s="80">
        <f>SUMIFS('август 2024'!$G$4:$G$2015,'август 2024'!$D$4:$D$2015,$B147,'август 2024'!$J$4:$J$2015,AD$1)</f>
        <v>0</v>
      </c>
      <c r="AE147" s="80">
        <f>SUMIFS('август 2024'!$G$4:$G$2015,'август 2024'!$D$4:$D$2015,$B147,'август 2024'!$J$4:$J$2015,AE$1)</f>
        <v>0</v>
      </c>
      <c r="AF147" s="80">
        <f>SUMIFS('август 2024'!$G$4:$G$2015,'август 2024'!$D$4:$D$2015,$B147,'август 2024'!$J$4:$J$2015,AF$1)</f>
        <v>0</v>
      </c>
      <c r="AG147" s="80">
        <f>SUMIFS('август 2024'!$G$4:$G$2015,'август 2024'!$D$4:$D$2015,$B147,'август 2024'!$J$4:$J$2015,AG$1)</f>
        <v>0</v>
      </c>
      <c r="AH147" s="80">
        <f>SUMIFS('август 2024'!$G$4:$G$2015,'август 2024'!$D$4:$D$2015,$B147,'август 2024'!$J$4:$J$2015,AH$1)</f>
        <v>0</v>
      </c>
      <c r="AI147" s="21">
        <f t="shared" si="1"/>
        <v>0</v>
      </c>
    </row>
    <row r="148" spans="2:35" ht="15" customHeight="1" x14ac:dyDescent="0.25">
      <c r="B148" s="89" t="s">
        <v>212</v>
      </c>
      <c r="C148" s="88">
        <v>25</v>
      </c>
      <c r="D148" s="80">
        <f>SUMIFS('август 2024'!$G$4:$G$2015,'август 2024'!$D$4:$D$2015,$B148,'август 2024'!$J$4:$J$2015,D$1)</f>
        <v>0</v>
      </c>
      <c r="E148" s="80">
        <f>SUMIFS('август 2024'!$G$4:$G$2015,'август 2024'!$D$4:$D$2015,$B148,'август 2024'!$J$4:$J$2015,E$1)</f>
        <v>0</v>
      </c>
      <c r="F148" s="80">
        <f>SUMIFS('август 2024'!$G$4:$G$2015,'август 2024'!$D$4:$D$2015,$B148,'август 2024'!$J$4:$J$2015,F$1)</f>
        <v>0</v>
      </c>
      <c r="G148" s="80">
        <f>SUMIFS('август 2024'!$G$4:$G$2015,'август 2024'!$D$4:$D$2015,$B148,'август 2024'!$J$4:$J$2015,G$1)</f>
        <v>0</v>
      </c>
      <c r="H148" s="80">
        <f>SUMIFS('август 2024'!$G$4:$G$2015,'август 2024'!$D$4:$D$2015,$B148,'август 2024'!$J$4:$J$2015,H$1)</f>
        <v>0</v>
      </c>
      <c r="I148" s="80">
        <f>SUMIFS('август 2024'!$G$4:$G$2015,'август 2024'!$D$4:$D$2015,$B148,'август 2024'!$J$4:$J$2015,I$1)</f>
        <v>0</v>
      </c>
      <c r="J148" s="80">
        <f>SUMIFS('август 2024'!$G$4:$G$2015,'август 2024'!$D$4:$D$2015,$B148,'август 2024'!$J$4:$J$2015,J$1)</f>
        <v>0</v>
      </c>
      <c r="K148" s="80">
        <f>SUMIFS('август 2024'!$G$4:$G$2015,'август 2024'!$D$4:$D$2015,$B148,'август 2024'!$J$4:$J$2015,K$1)</f>
        <v>0</v>
      </c>
      <c r="L148" s="80">
        <f>SUMIFS('август 2024'!$G$4:$G$2015,'август 2024'!$D$4:$D$2015,$B148,'август 2024'!$J$4:$J$2015,L$1)</f>
        <v>0</v>
      </c>
      <c r="M148" s="80">
        <f>SUMIFS('август 2024'!$G$4:$G$2015,'август 2024'!$D$4:$D$2015,$B148,'август 2024'!$J$4:$J$2015,M$1)</f>
        <v>0</v>
      </c>
      <c r="N148" s="80">
        <f>SUMIFS('август 2024'!$G$4:$G$2015,'август 2024'!$D$4:$D$2015,$B148,'август 2024'!$J$4:$J$2015,N$1)</f>
        <v>0</v>
      </c>
      <c r="O148" s="80">
        <f>SUMIFS('август 2024'!$G$4:$G$2015,'август 2024'!$D$4:$D$2015,$B148,'август 2024'!$J$4:$J$2015,O$1)</f>
        <v>0</v>
      </c>
      <c r="P148" s="80">
        <f>SUMIFS('август 2024'!$G$4:$G$2015,'август 2024'!$D$4:$D$2015,$B148,'август 2024'!$J$4:$J$2015,P$1)</f>
        <v>0</v>
      </c>
      <c r="Q148" s="80">
        <f>SUMIFS('август 2024'!$G$4:$G$2015,'август 2024'!$D$4:$D$2015,$B148,'август 2024'!$J$4:$J$2015,Q$1)</f>
        <v>0</v>
      </c>
      <c r="R148" s="80">
        <f>SUMIFS('август 2024'!$G$4:$G$2015,'август 2024'!$D$4:$D$2015,$B148,'август 2024'!$J$4:$J$2015,R$1)</f>
        <v>0</v>
      </c>
      <c r="S148" s="80">
        <f>SUMIFS('август 2024'!$G$4:$G$2015,'август 2024'!$D$4:$D$2015,$B148,'август 2024'!$J$4:$J$2015,S$1)</f>
        <v>0</v>
      </c>
      <c r="T148" s="80">
        <f>SUMIFS('август 2024'!$G$4:$G$2015,'август 2024'!$D$4:$D$2015,$B148,'август 2024'!$J$4:$J$2015,T$1)</f>
        <v>0</v>
      </c>
      <c r="U148" s="80">
        <f>SUMIFS('август 2024'!$G$4:$G$2015,'август 2024'!$D$4:$D$2015,$B148,'август 2024'!$J$4:$J$2015,U$1)</f>
        <v>0</v>
      </c>
      <c r="V148" s="80">
        <f>SUMIFS('август 2024'!$G$4:$G$2015,'август 2024'!$D$4:$D$2015,$B148,'август 2024'!$J$4:$J$2015,V$1)</f>
        <v>0</v>
      </c>
      <c r="W148" s="80">
        <f>SUMIFS('август 2024'!$G$4:$G$2015,'август 2024'!$D$4:$D$2015,$B148,'август 2024'!$J$4:$J$2015,W$1)</f>
        <v>0</v>
      </c>
      <c r="X148" s="80">
        <f>SUMIFS('август 2024'!$G$4:$G$2015,'август 2024'!$D$4:$D$2015,$B148,'август 2024'!$J$4:$J$2015,X$1)</f>
        <v>0</v>
      </c>
      <c r="Y148" s="80">
        <f>SUMIFS('август 2024'!$G$4:$G$2015,'август 2024'!$D$4:$D$2015,$B148,'август 2024'!$J$4:$J$2015,Y$1)</f>
        <v>0</v>
      </c>
      <c r="Z148" s="80">
        <f>SUMIFS('август 2024'!$G$4:$G$2015,'август 2024'!$D$4:$D$2015,$B148,'август 2024'!$J$4:$J$2015,Z$1)</f>
        <v>0</v>
      </c>
      <c r="AA148" s="80">
        <f>SUMIFS('август 2024'!$G$4:$G$2015,'август 2024'!$D$4:$D$2015,$B148,'август 2024'!$J$4:$J$2015,AA$1)</f>
        <v>0</v>
      </c>
      <c r="AB148" s="80">
        <f>SUMIFS('август 2024'!$G$4:$G$2015,'август 2024'!$D$4:$D$2015,$B148,'август 2024'!$J$4:$J$2015,AB$1)</f>
        <v>0</v>
      </c>
      <c r="AC148" s="80">
        <f>SUMIFS('август 2024'!$G$4:$G$2015,'август 2024'!$D$4:$D$2015,$B148,'август 2024'!$J$4:$J$2015,AC$1)</f>
        <v>0</v>
      </c>
      <c r="AD148" s="80">
        <f>SUMIFS('август 2024'!$G$4:$G$2015,'август 2024'!$D$4:$D$2015,$B148,'август 2024'!$J$4:$J$2015,AD$1)</f>
        <v>0</v>
      </c>
      <c r="AE148" s="80">
        <f>SUMIFS('август 2024'!$G$4:$G$2015,'август 2024'!$D$4:$D$2015,$B148,'август 2024'!$J$4:$J$2015,AE$1)</f>
        <v>0</v>
      </c>
      <c r="AF148" s="80">
        <f>SUMIFS('август 2024'!$G$4:$G$2015,'август 2024'!$D$4:$D$2015,$B148,'август 2024'!$J$4:$J$2015,AF$1)</f>
        <v>0</v>
      </c>
      <c r="AG148" s="80">
        <f>SUMIFS('август 2024'!$G$4:$G$2015,'август 2024'!$D$4:$D$2015,$B148,'август 2024'!$J$4:$J$2015,AG$1)</f>
        <v>0</v>
      </c>
      <c r="AH148" s="80">
        <f>SUMIFS('август 2024'!$G$4:$G$2015,'август 2024'!$D$4:$D$2015,$B148,'август 2024'!$J$4:$J$2015,AH$1)</f>
        <v>0</v>
      </c>
      <c r="AI148" s="21">
        <f t="shared" si="1"/>
        <v>0</v>
      </c>
    </row>
    <row r="149" spans="2:35" ht="15" customHeight="1" x14ac:dyDescent="0.25">
      <c r="B149" s="89" t="s">
        <v>994</v>
      </c>
      <c r="C149" s="88">
        <v>200</v>
      </c>
      <c r="D149" s="80">
        <f>SUMIFS('август 2024'!$G$4:$G$2015,'август 2024'!$D$4:$D$2015,$B149,'август 2024'!$J$4:$J$2015,D$1)</f>
        <v>0</v>
      </c>
      <c r="E149" s="80">
        <f>SUMIFS('август 2024'!$G$4:$G$2015,'август 2024'!$D$4:$D$2015,$B149,'август 2024'!$J$4:$J$2015,E$1)</f>
        <v>0</v>
      </c>
      <c r="F149" s="80">
        <f>SUMIFS('август 2024'!$G$4:$G$2015,'август 2024'!$D$4:$D$2015,$B149,'август 2024'!$J$4:$J$2015,F$1)</f>
        <v>0</v>
      </c>
      <c r="G149" s="80">
        <f>SUMIFS('август 2024'!$G$4:$G$2015,'август 2024'!$D$4:$D$2015,$B149,'август 2024'!$J$4:$J$2015,G$1)</f>
        <v>0</v>
      </c>
      <c r="H149" s="80">
        <f>SUMIFS('август 2024'!$G$4:$G$2015,'август 2024'!$D$4:$D$2015,$B149,'август 2024'!$J$4:$J$2015,H$1)</f>
        <v>0</v>
      </c>
      <c r="I149" s="80">
        <f>SUMIFS('август 2024'!$G$4:$G$2015,'август 2024'!$D$4:$D$2015,$B149,'август 2024'!$J$4:$J$2015,I$1)</f>
        <v>0</v>
      </c>
      <c r="J149" s="80">
        <f>SUMIFS('август 2024'!$G$4:$G$2015,'август 2024'!$D$4:$D$2015,$B149,'август 2024'!$J$4:$J$2015,J$1)</f>
        <v>0</v>
      </c>
      <c r="K149" s="80">
        <f>SUMIFS('август 2024'!$G$4:$G$2015,'август 2024'!$D$4:$D$2015,$B149,'август 2024'!$J$4:$J$2015,K$1)</f>
        <v>0</v>
      </c>
      <c r="L149" s="80">
        <f>SUMIFS('август 2024'!$G$4:$G$2015,'август 2024'!$D$4:$D$2015,$B149,'август 2024'!$J$4:$J$2015,L$1)</f>
        <v>0</v>
      </c>
      <c r="M149" s="80">
        <f>SUMIFS('август 2024'!$G$4:$G$2015,'август 2024'!$D$4:$D$2015,$B149,'август 2024'!$J$4:$J$2015,M$1)</f>
        <v>0</v>
      </c>
      <c r="N149" s="80">
        <f>SUMIFS('август 2024'!$G$4:$G$2015,'август 2024'!$D$4:$D$2015,$B149,'август 2024'!$J$4:$J$2015,N$1)</f>
        <v>0</v>
      </c>
      <c r="O149" s="80">
        <f>SUMIFS('август 2024'!$G$4:$G$2015,'август 2024'!$D$4:$D$2015,$B149,'август 2024'!$J$4:$J$2015,O$1)</f>
        <v>0</v>
      </c>
      <c r="P149" s="80">
        <f>SUMIFS('август 2024'!$G$4:$G$2015,'август 2024'!$D$4:$D$2015,$B149,'август 2024'!$J$4:$J$2015,P$1)</f>
        <v>0</v>
      </c>
      <c r="Q149" s="80">
        <f>SUMIFS('август 2024'!$G$4:$G$2015,'август 2024'!$D$4:$D$2015,$B149,'август 2024'!$J$4:$J$2015,Q$1)</f>
        <v>0</v>
      </c>
      <c r="R149" s="80">
        <f>SUMIFS('август 2024'!$G$4:$G$2015,'август 2024'!$D$4:$D$2015,$B149,'август 2024'!$J$4:$J$2015,R$1)</f>
        <v>0</v>
      </c>
      <c r="S149" s="80">
        <f>SUMIFS('август 2024'!$G$4:$G$2015,'август 2024'!$D$4:$D$2015,$B149,'август 2024'!$J$4:$J$2015,S$1)</f>
        <v>0</v>
      </c>
      <c r="T149" s="80">
        <f>SUMIFS('август 2024'!$G$4:$G$2015,'август 2024'!$D$4:$D$2015,$B149,'август 2024'!$J$4:$J$2015,T$1)</f>
        <v>0</v>
      </c>
      <c r="U149" s="80">
        <f>SUMIFS('август 2024'!$G$4:$G$2015,'август 2024'!$D$4:$D$2015,$B149,'август 2024'!$J$4:$J$2015,U$1)</f>
        <v>0</v>
      </c>
      <c r="V149" s="80">
        <f>SUMIFS('август 2024'!$G$4:$G$2015,'август 2024'!$D$4:$D$2015,$B149,'август 2024'!$J$4:$J$2015,V$1)</f>
        <v>0</v>
      </c>
      <c r="W149" s="80">
        <f>SUMIFS('август 2024'!$G$4:$G$2015,'август 2024'!$D$4:$D$2015,$B149,'август 2024'!$J$4:$J$2015,W$1)</f>
        <v>0</v>
      </c>
      <c r="X149" s="80">
        <f>SUMIFS('август 2024'!$G$4:$G$2015,'август 2024'!$D$4:$D$2015,$B149,'август 2024'!$J$4:$J$2015,X$1)</f>
        <v>0</v>
      </c>
      <c r="Y149" s="80">
        <f>SUMIFS('август 2024'!$G$4:$G$2015,'август 2024'!$D$4:$D$2015,$B149,'август 2024'!$J$4:$J$2015,Y$1)</f>
        <v>0</v>
      </c>
      <c r="Z149" s="80">
        <f>SUMIFS('август 2024'!$G$4:$G$2015,'август 2024'!$D$4:$D$2015,$B149,'август 2024'!$J$4:$J$2015,Z$1)</f>
        <v>0</v>
      </c>
      <c r="AA149" s="80">
        <f>SUMIFS('август 2024'!$G$4:$G$2015,'август 2024'!$D$4:$D$2015,$B149,'август 2024'!$J$4:$J$2015,AA$1)</f>
        <v>0</v>
      </c>
      <c r="AB149" s="80">
        <f>SUMIFS('август 2024'!$G$4:$G$2015,'август 2024'!$D$4:$D$2015,$B149,'август 2024'!$J$4:$J$2015,AB$1)</f>
        <v>0</v>
      </c>
      <c r="AC149" s="80">
        <f>SUMIFS('август 2024'!$G$4:$G$2015,'август 2024'!$D$4:$D$2015,$B149,'август 2024'!$J$4:$J$2015,AC$1)</f>
        <v>0</v>
      </c>
      <c r="AD149" s="80">
        <f>SUMIFS('август 2024'!$G$4:$G$2015,'август 2024'!$D$4:$D$2015,$B149,'август 2024'!$J$4:$J$2015,AD$1)</f>
        <v>0</v>
      </c>
      <c r="AE149" s="80">
        <f>SUMIFS('август 2024'!$G$4:$G$2015,'август 2024'!$D$4:$D$2015,$B149,'август 2024'!$J$4:$J$2015,AE$1)</f>
        <v>0</v>
      </c>
      <c r="AF149" s="80">
        <f>SUMIFS('август 2024'!$G$4:$G$2015,'август 2024'!$D$4:$D$2015,$B149,'август 2024'!$J$4:$J$2015,AF$1)</f>
        <v>0</v>
      </c>
      <c r="AG149" s="80">
        <f>SUMIFS('август 2024'!$G$4:$G$2015,'август 2024'!$D$4:$D$2015,$B149,'август 2024'!$J$4:$J$2015,AG$1)</f>
        <v>0</v>
      </c>
      <c r="AH149" s="80">
        <f>SUMIFS('август 2024'!$G$4:$G$2015,'август 2024'!$D$4:$D$2015,$B149,'август 2024'!$J$4:$J$2015,AH$1)</f>
        <v>0</v>
      </c>
      <c r="AI149" s="21">
        <f>SUM(D149:AH149)</f>
        <v>0</v>
      </c>
    </row>
    <row r="150" spans="2:35" ht="15" customHeight="1" x14ac:dyDescent="0.25">
      <c r="B150" s="89" t="s">
        <v>1118</v>
      </c>
      <c r="C150" s="88">
        <v>175</v>
      </c>
      <c r="D150" s="80">
        <f>SUMIFS('август 2024'!$G$4:$G$2015,'август 2024'!$D$4:$D$2015,$B150,'август 2024'!$J$4:$J$2015,D$1)</f>
        <v>0</v>
      </c>
      <c r="E150" s="80">
        <f>SUMIFS('август 2024'!$G$4:$G$2015,'август 2024'!$D$4:$D$2015,$B150,'август 2024'!$J$4:$J$2015,E$1)</f>
        <v>0</v>
      </c>
      <c r="F150" s="80">
        <f>SUMIFS('август 2024'!$G$4:$G$2015,'август 2024'!$D$4:$D$2015,$B150,'август 2024'!$J$4:$J$2015,F$1)</f>
        <v>0</v>
      </c>
      <c r="G150" s="80">
        <f>SUMIFS('август 2024'!$G$4:$G$2015,'август 2024'!$D$4:$D$2015,$B150,'август 2024'!$J$4:$J$2015,G$1)</f>
        <v>0</v>
      </c>
      <c r="H150" s="80">
        <f>SUMIFS('август 2024'!$G$4:$G$2015,'август 2024'!$D$4:$D$2015,$B150,'август 2024'!$J$4:$J$2015,H$1)</f>
        <v>0</v>
      </c>
      <c r="I150" s="80">
        <f>SUMIFS('август 2024'!$G$4:$G$2015,'август 2024'!$D$4:$D$2015,$B150,'август 2024'!$J$4:$J$2015,I$1)</f>
        <v>80</v>
      </c>
      <c r="J150" s="80">
        <f>SUMIFS('август 2024'!$G$4:$G$2015,'август 2024'!$D$4:$D$2015,$B150,'август 2024'!$J$4:$J$2015,J$1)</f>
        <v>0</v>
      </c>
      <c r="K150" s="80">
        <f>SUMIFS('август 2024'!$G$4:$G$2015,'август 2024'!$D$4:$D$2015,$B150,'август 2024'!$J$4:$J$2015,K$1)</f>
        <v>0</v>
      </c>
      <c r="L150" s="80">
        <f>SUMIFS('август 2024'!$G$4:$G$2015,'август 2024'!$D$4:$D$2015,$B150,'август 2024'!$J$4:$J$2015,L$1)</f>
        <v>0</v>
      </c>
      <c r="M150" s="80">
        <f>SUMIFS('август 2024'!$G$4:$G$2015,'август 2024'!$D$4:$D$2015,$B150,'август 2024'!$J$4:$J$2015,M$1)</f>
        <v>0</v>
      </c>
      <c r="N150" s="80">
        <f>SUMIFS('август 2024'!$G$4:$G$2015,'август 2024'!$D$4:$D$2015,$B150,'август 2024'!$J$4:$J$2015,N$1)</f>
        <v>0</v>
      </c>
      <c r="O150" s="80">
        <f>SUMIFS('август 2024'!$G$4:$G$2015,'август 2024'!$D$4:$D$2015,$B150,'август 2024'!$J$4:$J$2015,O$1)</f>
        <v>0</v>
      </c>
      <c r="P150" s="80">
        <f>SUMIFS('август 2024'!$G$4:$G$2015,'август 2024'!$D$4:$D$2015,$B150,'август 2024'!$J$4:$J$2015,P$1)</f>
        <v>0</v>
      </c>
      <c r="Q150" s="80">
        <f>SUMIFS('август 2024'!$G$4:$G$2015,'август 2024'!$D$4:$D$2015,$B150,'август 2024'!$J$4:$J$2015,Q$1)</f>
        <v>0</v>
      </c>
      <c r="R150" s="80">
        <f>SUMIFS('август 2024'!$G$4:$G$2015,'август 2024'!$D$4:$D$2015,$B150,'август 2024'!$J$4:$J$2015,R$1)</f>
        <v>0</v>
      </c>
      <c r="S150" s="80">
        <f>SUMIFS('август 2024'!$G$4:$G$2015,'август 2024'!$D$4:$D$2015,$B150,'август 2024'!$J$4:$J$2015,S$1)</f>
        <v>0</v>
      </c>
      <c r="T150" s="80">
        <f>SUMIFS('август 2024'!$G$4:$G$2015,'август 2024'!$D$4:$D$2015,$B150,'август 2024'!$J$4:$J$2015,T$1)</f>
        <v>0</v>
      </c>
      <c r="U150" s="80">
        <f>SUMIFS('август 2024'!$G$4:$G$2015,'август 2024'!$D$4:$D$2015,$B150,'август 2024'!$J$4:$J$2015,U$1)</f>
        <v>0</v>
      </c>
      <c r="V150" s="80">
        <f>SUMIFS('август 2024'!$G$4:$G$2015,'август 2024'!$D$4:$D$2015,$B150,'август 2024'!$J$4:$J$2015,V$1)</f>
        <v>0</v>
      </c>
      <c r="W150" s="80">
        <f>SUMIFS('август 2024'!$G$4:$G$2015,'август 2024'!$D$4:$D$2015,$B150,'август 2024'!$J$4:$J$2015,W$1)</f>
        <v>0</v>
      </c>
      <c r="X150" s="80">
        <f>SUMIFS('август 2024'!$G$4:$G$2015,'август 2024'!$D$4:$D$2015,$B150,'август 2024'!$J$4:$J$2015,X$1)</f>
        <v>0</v>
      </c>
      <c r="Y150" s="80">
        <f>SUMIFS('август 2024'!$G$4:$G$2015,'август 2024'!$D$4:$D$2015,$B150,'август 2024'!$J$4:$J$2015,Y$1)</f>
        <v>0</v>
      </c>
      <c r="Z150" s="80">
        <f>SUMIFS('август 2024'!$G$4:$G$2015,'август 2024'!$D$4:$D$2015,$B150,'август 2024'!$J$4:$J$2015,Z$1)</f>
        <v>0</v>
      </c>
      <c r="AA150" s="80">
        <f>SUMIFS('август 2024'!$G$4:$G$2015,'август 2024'!$D$4:$D$2015,$B150,'август 2024'!$J$4:$J$2015,AA$1)</f>
        <v>0</v>
      </c>
      <c r="AB150" s="80">
        <f>SUMIFS('август 2024'!$G$4:$G$2015,'август 2024'!$D$4:$D$2015,$B150,'август 2024'!$J$4:$J$2015,AB$1)</f>
        <v>0</v>
      </c>
      <c r="AC150" s="80">
        <f>SUMIFS('август 2024'!$G$4:$G$2015,'август 2024'!$D$4:$D$2015,$B150,'август 2024'!$J$4:$J$2015,AC$1)</f>
        <v>0</v>
      </c>
      <c r="AD150" s="80">
        <f>SUMIFS('август 2024'!$G$4:$G$2015,'август 2024'!$D$4:$D$2015,$B150,'август 2024'!$J$4:$J$2015,AD$1)</f>
        <v>0</v>
      </c>
      <c r="AE150" s="80">
        <f>SUMIFS('август 2024'!$G$4:$G$2015,'август 2024'!$D$4:$D$2015,$B150,'август 2024'!$J$4:$J$2015,AE$1)</f>
        <v>0</v>
      </c>
      <c r="AF150" s="80">
        <f>SUMIFS('август 2024'!$G$4:$G$2015,'август 2024'!$D$4:$D$2015,$B150,'август 2024'!$J$4:$J$2015,AF$1)</f>
        <v>0</v>
      </c>
      <c r="AG150" s="80">
        <f>SUMIFS('август 2024'!$G$4:$G$2015,'август 2024'!$D$4:$D$2015,$B150,'август 2024'!$J$4:$J$2015,AG$1)</f>
        <v>0</v>
      </c>
      <c r="AH150" s="80">
        <f>SUMIFS('август 2024'!$G$4:$G$2015,'август 2024'!$D$4:$D$2015,$B150,'август 2024'!$J$4:$J$2015,AH$1)</f>
        <v>0</v>
      </c>
      <c r="AI150" s="21">
        <f>SUM(D150:AH150)</f>
        <v>80</v>
      </c>
    </row>
    <row r="151" spans="2:35" ht="15" customHeight="1" x14ac:dyDescent="0.25">
      <c r="B151" s="89" t="s">
        <v>1587</v>
      </c>
      <c r="C151" s="88">
        <v>200</v>
      </c>
      <c r="D151" s="80">
        <f>SUMIFS('август 2024'!$G$4:$G$2015,'август 2024'!$D$4:$D$2015,$B151,'август 2024'!$J$4:$J$2015,D$1)</f>
        <v>0</v>
      </c>
      <c r="E151" s="80">
        <f>SUMIFS('август 2024'!$G$4:$G$2015,'август 2024'!$D$4:$D$2015,$B151,'август 2024'!$J$4:$J$2015,E$1)</f>
        <v>0</v>
      </c>
      <c r="F151" s="80">
        <f>SUMIFS('август 2024'!$G$4:$G$2015,'август 2024'!$D$4:$D$2015,$B151,'август 2024'!$J$4:$J$2015,F$1)</f>
        <v>0</v>
      </c>
      <c r="G151" s="80">
        <f>SUMIFS('август 2024'!$G$4:$G$2015,'август 2024'!$D$4:$D$2015,$B151,'август 2024'!$J$4:$J$2015,G$1)</f>
        <v>0</v>
      </c>
      <c r="H151" s="80">
        <f>SUMIFS('август 2024'!$G$4:$G$2015,'август 2024'!$D$4:$D$2015,$B151,'август 2024'!$J$4:$J$2015,H$1)</f>
        <v>0</v>
      </c>
      <c r="I151" s="80">
        <f>SUMIFS('август 2024'!$G$4:$G$2015,'август 2024'!$D$4:$D$2015,$B151,'август 2024'!$J$4:$J$2015,I$1)</f>
        <v>0</v>
      </c>
      <c r="J151" s="80">
        <f>SUMIFS('август 2024'!$G$4:$G$2015,'август 2024'!$D$4:$D$2015,$B151,'август 2024'!$J$4:$J$2015,J$1)</f>
        <v>0</v>
      </c>
      <c r="K151" s="80">
        <f>SUMIFS('август 2024'!$G$4:$G$2015,'август 2024'!$D$4:$D$2015,$B151,'август 2024'!$J$4:$J$2015,K$1)</f>
        <v>0</v>
      </c>
      <c r="L151" s="80">
        <f>SUMIFS('август 2024'!$G$4:$G$2015,'август 2024'!$D$4:$D$2015,$B151,'август 2024'!$J$4:$J$2015,L$1)</f>
        <v>0</v>
      </c>
      <c r="M151" s="80">
        <f>SUMIFS('август 2024'!$G$4:$G$2015,'август 2024'!$D$4:$D$2015,$B151,'август 2024'!$J$4:$J$2015,M$1)</f>
        <v>0</v>
      </c>
      <c r="N151" s="80">
        <f>SUMIFS('август 2024'!$G$4:$G$2015,'август 2024'!$D$4:$D$2015,$B151,'август 2024'!$J$4:$J$2015,N$1)</f>
        <v>0</v>
      </c>
      <c r="O151" s="80">
        <f>SUMIFS('август 2024'!$G$4:$G$2015,'август 2024'!$D$4:$D$2015,$B151,'август 2024'!$J$4:$J$2015,O$1)</f>
        <v>0</v>
      </c>
      <c r="P151" s="80">
        <f>SUMIFS('август 2024'!$G$4:$G$2015,'август 2024'!$D$4:$D$2015,$B151,'август 2024'!$J$4:$J$2015,P$1)</f>
        <v>0</v>
      </c>
      <c r="Q151" s="80">
        <f>SUMIFS('август 2024'!$G$4:$G$2015,'август 2024'!$D$4:$D$2015,$B151,'август 2024'!$J$4:$J$2015,Q$1)</f>
        <v>0</v>
      </c>
      <c r="R151" s="80">
        <f>SUMIFS('август 2024'!$G$4:$G$2015,'август 2024'!$D$4:$D$2015,$B151,'август 2024'!$J$4:$J$2015,R$1)</f>
        <v>0</v>
      </c>
      <c r="S151" s="80">
        <f>SUMIFS('август 2024'!$G$4:$G$2015,'август 2024'!$D$4:$D$2015,$B151,'август 2024'!$J$4:$J$2015,S$1)</f>
        <v>0</v>
      </c>
      <c r="T151" s="80">
        <f>SUMIFS('август 2024'!$G$4:$G$2015,'август 2024'!$D$4:$D$2015,$B151,'август 2024'!$J$4:$J$2015,T$1)</f>
        <v>0</v>
      </c>
      <c r="U151" s="80">
        <f>SUMIFS('август 2024'!$G$4:$G$2015,'август 2024'!$D$4:$D$2015,$B151,'август 2024'!$J$4:$J$2015,U$1)</f>
        <v>0</v>
      </c>
      <c r="V151" s="80">
        <f>SUMIFS('август 2024'!$G$4:$G$2015,'август 2024'!$D$4:$D$2015,$B151,'август 2024'!$J$4:$J$2015,V$1)</f>
        <v>0</v>
      </c>
      <c r="W151" s="80">
        <f>SUMIFS('август 2024'!$G$4:$G$2015,'август 2024'!$D$4:$D$2015,$B151,'август 2024'!$J$4:$J$2015,W$1)</f>
        <v>0</v>
      </c>
      <c r="X151" s="80">
        <f>SUMIFS('август 2024'!$G$4:$G$2015,'август 2024'!$D$4:$D$2015,$B151,'август 2024'!$J$4:$J$2015,X$1)</f>
        <v>0</v>
      </c>
      <c r="Y151" s="80">
        <f>SUMIFS('август 2024'!$G$4:$G$2015,'август 2024'!$D$4:$D$2015,$B151,'август 2024'!$J$4:$J$2015,Y$1)</f>
        <v>0</v>
      </c>
      <c r="Z151" s="80">
        <f>SUMIFS('август 2024'!$G$4:$G$2015,'август 2024'!$D$4:$D$2015,$B151,'август 2024'!$J$4:$J$2015,Z$1)</f>
        <v>0</v>
      </c>
      <c r="AA151" s="80">
        <f>SUMIFS('август 2024'!$G$4:$G$2015,'август 2024'!$D$4:$D$2015,$B151,'август 2024'!$J$4:$J$2015,AA$1)</f>
        <v>0</v>
      </c>
      <c r="AB151" s="80">
        <f>SUMIFS('август 2024'!$G$4:$G$2015,'август 2024'!$D$4:$D$2015,$B151,'август 2024'!$J$4:$J$2015,AB$1)</f>
        <v>0</v>
      </c>
      <c r="AC151" s="80">
        <f>SUMIFS('август 2024'!$G$4:$G$2015,'август 2024'!$D$4:$D$2015,$B151,'август 2024'!$J$4:$J$2015,AC$1)</f>
        <v>0</v>
      </c>
      <c r="AD151" s="80">
        <f>SUMIFS('август 2024'!$G$4:$G$2015,'август 2024'!$D$4:$D$2015,$B151,'август 2024'!$J$4:$J$2015,AD$1)</f>
        <v>12</v>
      </c>
      <c r="AE151" s="80">
        <f>SUMIFS('август 2024'!$G$4:$G$2015,'август 2024'!$D$4:$D$2015,$B151,'август 2024'!$J$4:$J$2015,AE$1)</f>
        <v>0</v>
      </c>
      <c r="AF151" s="80">
        <f>SUMIFS('август 2024'!$G$4:$G$2015,'август 2024'!$D$4:$D$2015,$B151,'август 2024'!$J$4:$J$2015,AF$1)</f>
        <v>0</v>
      </c>
      <c r="AG151" s="80">
        <f>SUMIFS('август 2024'!$G$4:$G$2015,'август 2024'!$D$4:$D$2015,$B151,'август 2024'!$J$4:$J$2015,AG$1)</f>
        <v>0</v>
      </c>
      <c r="AH151" s="80">
        <f>SUMIFS('август 2024'!$G$4:$G$2015,'август 2024'!$D$4:$D$2015,$B151,'август 2024'!$J$4:$J$2015,AH$1)</f>
        <v>0</v>
      </c>
      <c r="AI151" s="21">
        <f>SUM(D151:AH151)</f>
        <v>12</v>
      </c>
    </row>
    <row r="152" spans="2:35" ht="15" customHeight="1" x14ac:dyDescent="0.25">
      <c r="B152" s="89"/>
      <c r="C152" s="88"/>
      <c r="D152" s="86">
        <f>SUMIFS('март 2024'!$G$6:$G$1612,'март 2024'!$D$6:$D$1612,$B152,'март 2024'!$J$6:$J$1612,D$1)</f>
        <v>0</v>
      </c>
      <c r="E152" s="86">
        <f>SUMIFS('март 2024'!$G$6:$G$1612,'март 2024'!$D$6:$D$1612,$B152,'март 2024'!$J$6:$J$1612,E$1)</f>
        <v>0</v>
      </c>
      <c r="F152" s="86">
        <f>SUMIFS('март 2024'!$G$6:$G$1612,'март 2024'!$D$6:$D$1612,$B152,'март 2024'!$J$6:$J$1612,F$1)</f>
        <v>0</v>
      </c>
      <c r="G152" s="86">
        <f>SUMIFS('март 2024'!$G$6:$G$1612,'март 2024'!$D$6:$D$1612,$B152,'март 2024'!$J$6:$J$1612,G$1)</f>
        <v>0</v>
      </c>
      <c r="H152" s="86">
        <f>SUMIFS('март 2024'!$G$6:$G$1612,'март 2024'!$D$6:$D$1612,$B152,'март 2024'!$J$6:$J$1612,H$1)</f>
        <v>0</v>
      </c>
      <c r="I152" s="86">
        <f>SUMIFS('март 2024'!$G$6:$G$1612,'март 2024'!$D$6:$D$1612,$B152,'март 2024'!$J$6:$J$1612,I$1)</f>
        <v>0</v>
      </c>
      <c r="J152" s="86">
        <f>SUMIFS('март 2024'!$G$6:$G$1612,'март 2024'!$D$6:$D$1612,$B152,'март 2024'!$J$6:$J$1612,J$1)</f>
        <v>0</v>
      </c>
      <c r="K152" s="86">
        <f>SUMIFS('март 2024'!$G$6:$G$1612,'март 2024'!$D$6:$D$1612,$B152,'март 2024'!$J$6:$J$1612,K$1)</f>
        <v>0</v>
      </c>
      <c r="L152" s="86">
        <f>SUMIFS('март 2024'!$G$6:$G$1612,'март 2024'!$D$6:$D$1612,$B152,'март 2024'!$J$6:$J$1612,L$1)</f>
        <v>0</v>
      </c>
      <c r="M152" s="86">
        <f>SUMIFS('март 2024'!$G$6:$G$1612,'март 2024'!$D$6:$D$1612,$B152,'март 2024'!$J$6:$J$1612,M$1)</f>
        <v>0</v>
      </c>
      <c r="N152" s="86">
        <f>SUMIFS('март 2024'!$G$6:$G$1612,'март 2024'!$D$6:$D$1612,$B152,'март 2024'!$J$6:$J$1612,N$1)</f>
        <v>0</v>
      </c>
      <c r="O152" s="86">
        <f>SUMIFS('март 2024'!$G$6:$G$1612,'март 2024'!$D$6:$D$1612,$B152,'март 2024'!$J$6:$J$1612,O$1)</f>
        <v>0</v>
      </c>
      <c r="P152" s="86">
        <f>SUMIFS('март 2024'!$G$6:$G$1612,'март 2024'!$D$6:$D$1612,$B152,'март 2024'!$J$6:$J$1612,P$1)</f>
        <v>0</v>
      </c>
      <c r="Q152" s="86">
        <f>SUMIFS('март 2024'!$G$6:$G$1612,'март 2024'!$D$6:$D$1612,$B152,'март 2024'!$J$6:$J$1612,Q$1)</f>
        <v>0</v>
      </c>
      <c r="R152" s="86">
        <f>SUMIFS('март 2024'!$G$6:$G$1612,'март 2024'!$D$6:$D$1612,$B152,'март 2024'!$J$6:$J$1612,R$1)</f>
        <v>0</v>
      </c>
      <c r="S152" s="86">
        <f>SUMIFS('март 2024'!$G$6:$G$1612,'март 2024'!$D$6:$D$1612,$B152,'март 2024'!$J$6:$J$1612,S$1)</f>
        <v>0</v>
      </c>
      <c r="T152" s="86">
        <f>SUMIFS('март 2024'!$G$6:$G$1612,'март 2024'!$D$6:$D$1612,$B152,'март 2024'!$J$6:$J$1612,T$1)</f>
        <v>0</v>
      </c>
      <c r="U152" s="86">
        <f>SUMIFS('март 2024'!$G$6:$G$1612,'март 2024'!$D$6:$D$1612,$B152,'март 2024'!$J$6:$J$1612,U$1)</f>
        <v>0</v>
      </c>
      <c r="V152" s="86">
        <f>SUMIFS('март 2024'!$G$6:$G$1612,'март 2024'!$D$6:$D$1612,$B152,'март 2024'!$J$6:$J$1612,V$1)</f>
        <v>0</v>
      </c>
      <c r="W152" s="86">
        <f>SUMIFS('март 2024'!$G$6:$G$1612,'март 2024'!$D$6:$D$1612,$B152,'март 2024'!$J$6:$J$1612,W$1)</f>
        <v>0</v>
      </c>
      <c r="X152" s="86">
        <f>SUMIFS('март 2024'!$G$6:$G$1612,'март 2024'!$D$6:$D$1612,$B152,'март 2024'!$J$6:$J$1612,X$1)</f>
        <v>0</v>
      </c>
      <c r="Y152" s="86">
        <f>SUMIFS('март 2024'!$G$6:$G$1612,'март 2024'!$D$6:$D$1612,$B152,'март 2024'!$J$6:$J$1612,Y$1)</f>
        <v>0</v>
      </c>
      <c r="Z152" s="86">
        <f>SUMIFS('март 2024'!$G$6:$G$1612,'март 2024'!$D$6:$D$1612,$B152,'март 2024'!$J$6:$J$1612,Z$1)</f>
        <v>0</v>
      </c>
      <c r="AA152" s="86">
        <f>SUMIFS('март 2024'!$G$6:$G$1612,'март 2024'!$D$6:$D$1612,$B152,'март 2024'!$J$6:$J$1612,AA$1)</f>
        <v>0</v>
      </c>
      <c r="AB152" s="86">
        <f>SUMIFS('март 2024'!$G$6:$G$1612,'март 2024'!$D$6:$D$1612,$B152,'март 2024'!$J$6:$J$1612,AB$1)</f>
        <v>0</v>
      </c>
      <c r="AC152" s="86">
        <f>SUMIFS('март 2024'!$G$6:$G$1612,'март 2024'!$D$6:$D$1612,$B152,'март 2024'!$J$6:$J$1612,AC$1)</f>
        <v>0</v>
      </c>
      <c r="AD152" s="86">
        <f>SUMIFS('март 2024'!$G$6:$G$1612,'март 2024'!$D$6:$D$1612,$B152,'март 2024'!$J$6:$J$1612,AD$1)</f>
        <v>0</v>
      </c>
      <c r="AE152" s="86">
        <f>SUMIFS('март 2024'!$G$6:$G$1612,'март 2024'!$D$6:$D$1612,$B152,'март 2024'!$J$6:$J$1612,AE$1)</f>
        <v>0</v>
      </c>
      <c r="AF152" s="86">
        <f>SUMIFS('март 2024'!$G$6:$G$1612,'март 2024'!$D$6:$D$1612,$B152,'март 2024'!$J$6:$J$1612,AF$1)</f>
        <v>0</v>
      </c>
      <c r="AG152" s="86">
        <f>SUMIFS('март 2024'!$G$6:$G$1612,'март 2024'!$D$6:$D$1612,$B152,'март 2024'!$J$6:$J$1612,AG$1)</f>
        <v>0</v>
      </c>
      <c r="AH152" s="86">
        <f>SUMIFS('март 2024'!$G$6:$G$1612,'март 2024'!$D$6:$D$1612,$B152,'март 2024'!$J$6:$J$1612,AH$1)</f>
        <v>0</v>
      </c>
      <c r="AI152" s="21">
        <f>SUM(D152:AH152)</f>
        <v>0</v>
      </c>
    </row>
    <row r="153" spans="2:35" ht="15" hidden="1" customHeight="1" x14ac:dyDescent="0.25">
      <c r="B153" s="89"/>
      <c r="C153" s="88"/>
      <c r="D153" s="80">
        <f>SUMIFS('февраль 2024'!$G$6:$G$1413,'февраль 2024'!$D$6:$D$1413,$B153,'февраль 2024'!$J$6:$J$1413,D$1)</f>
        <v>0</v>
      </c>
      <c r="E153" s="80">
        <f>SUMIFS('февраль 2024'!$G$6:$G$1413,'февраль 2024'!$D$6:$D$1413,$B153,'февраль 2024'!$J$6:$J$1413,E$1)</f>
        <v>0</v>
      </c>
      <c r="F153" s="80">
        <f>SUMIFS('февраль 2024'!$G$6:$G$1413,'февраль 2024'!$D$6:$D$1413,$B153,'февраль 2024'!$J$6:$J$1413,F$1)</f>
        <v>0</v>
      </c>
      <c r="G153" s="80">
        <f>SUMIFS('февраль 2024'!$G$6:$G$1413,'февраль 2024'!$D$6:$D$1413,$B153,'февраль 2024'!$J$6:$J$1413,G$1)</f>
        <v>0</v>
      </c>
      <c r="H153" s="80">
        <f>SUMIFS('февраль 2024'!$G$6:$G$1413,'февраль 2024'!$D$6:$D$1413,$B153,'февраль 2024'!$J$6:$J$1413,H$1)</f>
        <v>0</v>
      </c>
      <c r="I153" s="80">
        <f>SUMIFS('февраль 2024'!$G$6:$G$1413,'февраль 2024'!$D$6:$D$1413,$B153,'февраль 2024'!$J$6:$J$1413,I$1)</f>
        <v>0</v>
      </c>
      <c r="J153" s="80">
        <f>SUMIFS('февраль 2024'!$G$6:$G$1413,'февраль 2024'!$D$6:$D$1413,$B153,'февраль 2024'!$J$6:$J$1413,J$1)</f>
        <v>0</v>
      </c>
      <c r="K153" s="80">
        <f>SUMIFS('февраль 2024'!$G$6:$G$1413,'февраль 2024'!$D$6:$D$1413,$B153,'февраль 2024'!$J$6:$J$1413,K$1)</f>
        <v>0</v>
      </c>
      <c r="L153" s="80">
        <f>SUMIFS('февраль 2024'!$G$6:$G$1413,'февраль 2024'!$D$6:$D$1413,$B153,'февраль 2024'!$J$6:$J$1413,L$1)</f>
        <v>0</v>
      </c>
      <c r="M153" s="80">
        <f>SUMIFS('февраль 2024'!$G$6:$G$1413,'февраль 2024'!$D$6:$D$1413,$B153,'февраль 2024'!$J$6:$J$1413,M$1)</f>
        <v>0</v>
      </c>
      <c r="N153" s="80">
        <f>SUMIFS('февраль 2024'!$G$6:$G$1413,'февраль 2024'!$D$6:$D$1413,$B153,'февраль 2024'!$J$6:$J$1413,N$1)</f>
        <v>0</v>
      </c>
      <c r="O153" s="80">
        <f>SUMIFS('февраль 2024'!$G$6:$G$1413,'февраль 2024'!$D$6:$D$1413,$B153,'февраль 2024'!$J$6:$J$1413,O$1)</f>
        <v>0</v>
      </c>
      <c r="P153" s="80">
        <f>SUMIFS('февраль 2024'!$G$6:$G$1413,'февраль 2024'!$D$6:$D$1413,$B153,'февраль 2024'!$J$6:$J$1413,P$1)</f>
        <v>0</v>
      </c>
      <c r="Q153" s="80">
        <f>SUMIFS('февраль 2024'!$G$6:$G$1413,'февраль 2024'!$D$6:$D$1413,$B153,'февраль 2024'!$J$6:$J$1413,Q$1)</f>
        <v>0</v>
      </c>
      <c r="R153" s="80">
        <f>SUMIFS('февраль 2024'!$G$6:$G$1413,'февраль 2024'!$D$6:$D$1413,$B153,'февраль 2024'!$J$6:$J$1413,R$1)</f>
        <v>0</v>
      </c>
      <c r="S153" s="80">
        <f>SUMIFS('февраль 2024'!$G$6:$G$1413,'февраль 2024'!$D$6:$D$1413,$B153,'февраль 2024'!$J$6:$J$1413,S$1)</f>
        <v>0</v>
      </c>
      <c r="T153" s="80">
        <f>SUMIFS('февраль 2024'!$G$6:$G$1413,'февраль 2024'!$D$6:$D$1413,$B153,'февраль 2024'!$J$6:$J$1413,T$1)</f>
        <v>0</v>
      </c>
      <c r="U153" s="80">
        <f>SUMIFS('февраль 2024'!$G$6:$G$1413,'февраль 2024'!$D$6:$D$1413,$B153,'февраль 2024'!$J$6:$J$1413,U$1)</f>
        <v>0</v>
      </c>
      <c r="V153" s="80">
        <f>SUMIFS('февраль 2024'!$G$6:$G$1413,'февраль 2024'!$D$6:$D$1413,$B153,'февраль 2024'!$J$6:$J$1413,V$1)</f>
        <v>0</v>
      </c>
      <c r="W153" s="80">
        <f>SUMIFS('февраль 2024'!$G$6:$G$1413,'февраль 2024'!$D$6:$D$1413,$B153,'февраль 2024'!$J$6:$J$1413,W$1)</f>
        <v>0</v>
      </c>
      <c r="X153" s="80">
        <f>SUMIFS('февраль 2024'!$G$6:$G$1413,'февраль 2024'!$D$6:$D$1413,$B153,'февраль 2024'!$J$6:$J$1413,X$1)</f>
        <v>0</v>
      </c>
      <c r="Y153" s="80">
        <f>SUMIFS('февраль 2024'!$G$6:$G$1413,'февраль 2024'!$D$6:$D$1413,$B153,'февраль 2024'!$J$6:$J$1413,Y$1)</f>
        <v>0</v>
      </c>
      <c r="Z153" s="80">
        <f>SUMIFS('февраль 2024'!$G$6:$G$1413,'февраль 2024'!$D$6:$D$1413,$B153,'февраль 2024'!$J$6:$J$1413,Z$1)</f>
        <v>0</v>
      </c>
      <c r="AA153" s="80">
        <f>SUMIFS('февраль 2024'!$G$6:$G$1413,'февраль 2024'!$D$6:$D$1413,$B153,'февраль 2024'!$J$6:$J$1413,AA$1)</f>
        <v>0</v>
      </c>
      <c r="AB153" s="80">
        <f>SUMIFS('февраль 2024'!$G$6:$G$1413,'февраль 2024'!$D$6:$D$1413,$B153,'февраль 2024'!$J$6:$J$1413,AB$1)</f>
        <v>0</v>
      </c>
      <c r="AC153" s="80">
        <f>SUMIFS('февраль 2024'!$G$6:$G$1413,'февраль 2024'!$D$6:$D$1413,$B153,'февраль 2024'!$J$6:$J$1413,AC$1)</f>
        <v>0</v>
      </c>
      <c r="AD153" s="80">
        <f>SUMIFS('февраль 2024'!$G$6:$G$1413,'февраль 2024'!$D$6:$D$1413,$B153,'февраль 2024'!$J$6:$J$1413,AD$1)</f>
        <v>0</v>
      </c>
      <c r="AE153" s="80">
        <f>SUMIFS('февраль 2024'!$G$6:$G$1413,'февраль 2024'!$D$6:$D$1413,$B153,'февраль 2024'!$J$6:$J$1413,AE$1)</f>
        <v>0</v>
      </c>
      <c r="AF153" s="80">
        <f>SUMIFS('февраль 2024'!$G$6:$G$1413,'февраль 2024'!$D$6:$D$1413,$B153,'февраль 2024'!$J$6:$J$1413,AF$1)</f>
        <v>0</v>
      </c>
      <c r="AG153" s="80">
        <f>SUMIFS('февраль 2024'!$G$6:$G$1413,'февраль 2024'!$D$6:$D$1413,$B153,'февраль 2024'!$J$6:$J$1413,AG$1)</f>
        <v>0</v>
      </c>
      <c r="AH153" s="80">
        <f>SUMIFS('февраль 2024'!$G$6:$G$1413,'февраль 2024'!$D$6:$D$1413,$B153,'февраль 2024'!$J$6:$J$1413,AH$1)</f>
        <v>0</v>
      </c>
      <c r="AI153" s="87"/>
    </row>
    <row r="154" spans="2:35" ht="15" hidden="1" customHeight="1" x14ac:dyDescent="0.25">
      <c r="B154" s="89"/>
      <c r="C154" s="88"/>
      <c r="D154" s="80">
        <f>SUMIFS('февраль 2024'!$G$6:$G$1413,'февраль 2024'!$D$6:$D$1413,$B154,'февраль 2024'!$J$6:$J$1413,D$1)</f>
        <v>0</v>
      </c>
      <c r="E154" s="80">
        <f>SUMIFS('февраль 2024'!$G$6:$G$1413,'февраль 2024'!$D$6:$D$1413,$B154,'февраль 2024'!$J$6:$J$1413,E$1)</f>
        <v>0</v>
      </c>
      <c r="F154" s="80">
        <f>SUMIFS('февраль 2024'!$G$6:$G$1413,'февраль 2024'!$D$6:$D$1413,$B154,'февраль 2024'!$J$6:$J$1413,F$1)</f>
        <v>0</v>
      </c>
      <c r="G154" s="80">
        <f>SUMIFS('февраль 2024'!$G$6:$G$1413,'февраль 2024'!$D$6:$D$1413,$B154,'февраль 2024'!$J$6:$J$1413,G$1)</f>
        <v>0</v>
      </c>
      <c r="H154" s="80">
        <f>SUMIFS('февраль 2024'!$G$6:$G$1413,'февраль 2024'!$D$6:$D$1413,$B154,'февраль 2024'!$J$6:$J$1413,H$1)</f>
        <v>0</v>
      </c>
      <c r="I154" s="80">
        <f>SUMIFS('февраль 2024'!$G$6:$G$1413,'февраль 2024'!$D$6:$D$1413,$B154,'февраль 2024'!$J$6:$J$1413,I$1)</f>
        <v>0</v>
      </c>
      <c r="J154" s="80">
        <f>SUMIFS('февраль 2024'!$G$6:$G$1413,'февраль 2024'!$D$6:$D$1413,$B154,'февраль 2024'!$J$6:$J$1413,J$1)</f>
        <v>0</v>
      </c>
      <c r="K154" s="80">
        <f>SUMIFS('февраль 2024'!$G$6:$G$1413,'февраль 2024'!$D$6:$D$1413,$B154,'февраль 2024'!$J$6:$J$1413,K$1)</f>
        <v>0</v>
      </c>
      <c r="L154" s="80">
        <f>SUMIFS('февраль 2024'!$G$6:$G$1413,'февраль 2024'!$D$6:$D$1413,$B154,'февраль 2024'!$J$6:$J$1413,L$1)</f>
        <v>0</v>
      </c>
      <c r="M154" s="80">
        <f>SUMIFS('февраль 2024'!$G$6:$G$1413,'февраль 2024'!$D$6:$D$1413,$B154,'февраль 2024'!$J$6:$J$1413,M$1)</f>
        <v>0</v>
      </c>
      <c r="N154" s="80">
        <f>SUMIFS('февраль 2024'!$G$6:$G$1413,'февраль 2024'!$D$6:$D$1413,$B154,'февраль 2024'!$J$6:$J$1413,N$1)</f>
        <v>0</v>
      </c>
      <c r="O154" s="80">
        <f>SUMIFS('февраль 2024'!$G$6:$G$1413,'февраль 2024'!$D$6:$D$1413,$B154,'февраль 2024'!$J$6:$J$1413,O$1)</f>
        <v>0</v>
      </c>
      <c r="P154" s="80">
        <f>SUMIFS('февраль 2024'!$G$6:$G$1413,'февраль 2024'!$D$6:$D$1413,$B154,'февраль 2024'!$J$6:$J$1413,P$1)</f>
        <v>0</v>
      </c>
      <c r="Q154" s="80">
        <f>SUMIFS('февраль 2024'!$G$6:$G$1413,'февраль 2024'!$D$6:$D$1413,$B154,'февраль 2024'!$J$6:$J$1413,Q$1)</f>
        <v>0</v>
      </c>
      <c r="R154" s="80">
        <f>SUMIFS('февраль 2024'!$G$6:$G$1413,'февраль 2024'!$D$6:$D$1413,$B154,'февраль 2024'!$J$6:$J$1413,R$1)</f>
        <v>0</v>
      </c>
      <c r="S154" s="80">
        <f>SUMIFS('февраль 2024'!$G$6:$G$1413,'февраль 2024'!$D$6:$D$1413,$B154,'февраль 2024'!$J$6:$J$1413,S$1)</f>
        <v>0</v>
      </c>
      <c r="T154" s="80">
        <f>SUMIFS('февраль 2024'!$G$6:$G$1413,'февраль 2024'!$D$6:$D$1413,$B154,'февраль 2024'!$J$6:$J$1413,T$1)</f>
        <v>0</v>
      </c>
      <c r="U154" s="80">
        <f>SUMIFS('февраль 2024'!$G$6:$G$1413,'февраль 2024'!$D$6:$D$1413,$B154,'февраль 2024'!$J$6:$J$1413,U$1)</f>
        <v>0</v>
      </c>
      <c r="V154" s="80">
        <f>SUMIFS('февраль 2024'!$G$6:$G$1413,'февраль 2024'!$D$6:$D$1413,$B154,'февраль 2024'!$J$6:$J$1413,V$1)</f>
        <v>0</v>
      </c>
      <c r="W154" s="80">
        <f>SUMIFS('февраль 2024'!$G$6:$G$1413,'февраль 2024'!$D$6:$D$1413,$B154,'февраль 2024'!$J$6:$J$1413,W$1)</f>
        <v>0</v>
      </c>
      <c r="X154" s="80">
        <f>SUMIFS('февраль 2024'!$G$6:$G$1413,'февраль 2024'!$D$6:$D$1413,$B154,'февраль 2024'!$J$6:$J$1413,X$1)</f>
        <v>0</v>
      </c>
      <c r="Y154" s="80">
        <f>SUMIFS('февраль 2024'!$G$6:$G$1413,'февраль 2024'!$D$6:$D$1413,$B154,'февраль 2024'!$J$6:$J$1413,Y$1)</f>
        <v>0</v>
      </c>
      <c r="Z154" s="80">
        <f>SUMIFS('февраль 2024'!$G$6:$G$1413,'февраль 2024'!$D$6:$D$1413,$B154,'февраль 2024'!$J$6:$J$1413,Z$1)</f>
        <v>0</v>
      </c>
      <c r="AA154" s="80">
        <f>SUMIFS('февраль 2024'!$G$6:$G$1413,'февраль 2024'!$D$6:$D$1413,$B154,'февраль 2024'!$J$6:$J$1413,AA$1)</f>
        <v>0</v>
      </c>
      <c r="AB154" s="80">
        <f>SUMIFS('февраль 2024'!$G$6:$G$1413,'февраль 2024'!$D$6:$D$1413,$B154,'февраль 2024'!$J$6:$J$1413,AB$1)</f>
        <v>0</v>
      </c>
      <c r="AC154" s="80">
        <f>SUMIFS('февраль 2024'!$G$6:$G$1413,'февраль 2024'!$D$6:$D$1413,$B154,'февраль 2024'!$J$6:$J$1413,AC$1)</f>
        <v>0</v>
      </c>
      <c r="AD154" s="80">
        <f>SUMIFS('февраль 2024'!$G$6:$G$1413,'февраль 2024'!$D$6:$D$1413,$B154,'февраль 2024'!$J$6:$J$1413,AD$1)</f>
        <v>0</v>
      </c>
      <c r="AE154" s="80">
        <f>SUMIFS('февраль 2024'!$G$6:$G$1413,'февраль 2024'!$D$6:$D$1413,$B154,'февраль 2024'!$J$6:$J$1413,AE$1)</f>
        <v>0</v>
      </c>
      <c r="AF154" s="80">
        <f>SUMIFS('февраль 2024'!$G$6:$G$1413,'февраль 2024'!$D$6:$D$1413,$B154,'февраль 2024'!$J$6:$J$1413,AF$1)</f>
        <v>0</v>
      </c>
      <c r="AG154" s="80">
        <f>SUMIFS('февраль 2024'!$G$6:$G$1413,'февраль 2024'!$D$6:$D$1413,$B154,'февраль 2024'!$J$6:$J$1413,AG$1)</f>
        <v>0</v>
      </c>
      <c r="AH154" s="80">
        <f>SUMIFS('февраль 2024'!$G$6:$G$1413,'февраль 2024'!$D$6:$D$1413,$B154,'февраль 2024'!$J$6:$J$1413,AH$1)</f>
        <v>0</v>
      </c>
      <c r="AI154" s="87"/>
    </row>
    <row r="155" spans="2:35" ht="15" hidden="1" customHeight="1" x14ac:dyDescent="0.25">
      <c r="B155" s="93"/>
      <c r="C155" s="88"/>
      <c r="D155" s="80">
        <f>SUMIFS('февраль 2024'!$G$6:$G$1413,'февраль 2024'!$D$6:$D$1413,$B155,'февраль 2024'!$J$6:$J$1413,D$1)</f>
        <v>0</v>
      </c>
      <c r="E155" s="80">
        <f>SUMIFS('февраль 2024'!$G$6:$G$1413,'февраль 2024'!$D$6:$D$1413,$B155,'февраль 2024'!$J$6:$J$1413,E$1)</f>
        <v>0</v>
      </c>
      <c r="F155" s="80">
        <f>SUMIFS('февраль 2024'!$G$6:$G$1413,'февраль 2024'!$D$6:$D$1413,$B155,'февраль 2024'!$J$6:$J$1413,F$1)</f>
        <v>0</v>
      </c>
      <c r="G155" s="80">
        <f>SUMIFS('февраль 2024'!$G$6:$G$1413,'февраль 2024'!$D$6:$D$1413,$B155,'февраль 2024'!$J$6:$J$1413,G$1)</f>
        <v>0</v>
      </c>
      <c r="H155" s="80">
        <f>SUMIFS('февраль 2024'!$G$6:$G$1413,'февраль 2024'!$D$6:$D$1413,$B155,'февраль 2024'!$J$6:$J$1413,H$1)</f>
        <v>0</v>
      </c>
      <c r="I155" s="80">
        <f>SUMIFS('февраль 2024'!$G$6:$G$1413,'февраль 2024'!$D$6:$D$1413,$B155,'февраль 2024'!$J$6:$J$1413,I$1)</f>
        <v>0</v>
      </c>
      <c r="J155" s="80">
        <f>SUMIFS('февраль 2024'!$G$6:$G$1413,'февраль 2024'!$D$6:$D$1413,$B155,'февраль 2024'!$J$6:$J$1413,J$1)</f>
        <v>0</v>
      </c>
      <c r="K155" s="80">
        <f>SUMIFS('февраль 2024'!$G$6:$G$1413,'февраль 2024'!$D$6:$D$1413,$B155,'февраль 2024'!$J$6:$J$1413,K$1)</f>
        <v>0</v>
      </c>
      <c r="L155" s="80">
        <f>SUMIFS('февраль 2024'!$G$6:$G$1413,'февраль 2024'!$D$6:$D$1413,$B155,'февраль 2024'!$J$6:$J$1413,L$1)</f>
        <v>0</v>
      </c>
      <c r="M155" s="80">
        <f>SUMIFS('февраль 2024'!$G$6:$G$1413,'февраль 2024'!$D$6:$D$1413,$B155,'февраль 2024'!$J$6:$J$1413,M$1)</f>
        <v>0</v>
      </c>
      <c r="N155" s="80">
        <f>SUMIFS('февраль 2024'!$G$6:$G$1413,'февраль 2024'!$D$6:$D$1413,$B155,'февраль 2024'!$J$6:$J$1413,N$1)</f>
        <v>0</v>
      </c>
      <c r="O155" s="80">
        <f>SUMIFS('февраль 2024'!$G$6:$G$1413,'февраль 2024'!$D$6:$D$1413,$B155,'февраль 2024'!$J$6:$J$1413,O$1)</f>
        <v>0</v>
      </c>
      <c r="P155" s="80">
        <f>SUMIFS('февраль 2024'!$G$6:$G$1413,'февраль 2024'!$D$6:$D$1413,$B155,'февраль 2024'!$J$6:$J$1413,P$1)</f>
        <v>0</v>
      </c>
      <c r="Q155" s="80">
        <f>SUMIFS('февраль 2024'!$G$6:$G$1413,'февраль 2024'!$D$6:$D$1413,$B155,'февраль 2024'!$J$6:$J$1413,Q$1)</f>
        <v>0</v>
      </c>
      <c r="R155" s="80">
        <f>SUMIFS('февраль 2024'!$G$6:$G$1413,'февраль 2024'!$D$6:$D$1413,$B155,'февраль 2024'!$J$6:$J$1413,R$1)</f>
        <v>0</v>
      </c>
      <c r="S155" s="80">
        <f>SUMIFS('февраль 2024'!$G$6:$G$1413,'февраль 2024'!$D$6:$D$1413,$B155,'февраль 2024'!$J$6:$J$1413,S$1)</f>
        <v>0</v>
      </c>
      <c r="T155" s="80">
        <f>SUMIFS('февраль 2024'!$G$6:$G$1413,'февраль 2024'!$D$6:$D$1413,$B155,'февраль 2024'!$J$6:$J$1413,T$1)</f>
        <v>0</v>
      </c>
      <c r="U155" s="80">
        <f>SUMIFS('февраль 2024'!$G$6:$G$1413,'февраль 2024'!$D$6:$D$1413,$B155,'февраль 2024'!$J$6:$J$1413,U$1)</f>
        <v>0</v>
      </c>
      <c r="V155" s="80">
        <f>SUMIFS('февраль 2024'!$G$6:$G$1413,'февраль 2024'!$D$6:$D$1413,$B155,'февраль 2024'!$J$6:$J$1413,V$1)</f>
        <v>0</v>
      </c>
      <c r="W155" s="80">
        <f>SUMIFS('февраль 2024'!$G$6:$G$1413,'февраль 2024'!$D$6:$D$1413,$B155,'февраль 2024'!$J$6:$J$1413,W$1)</f>
        <v>0</v>
      </c>
      <c r="X155" s="80">
        <f>SUMIFS('февраль 2024'!$G$6:$G$1413,'февраль 2024'!$D$6:$D$1413,$B155,'февраль 2024'!$J$6:$J$1413,X$1)</f>
        <v>0</v>
      </c>
      <c r="Y155" s="80">
        <f>SUMIFS('февраль 2024'!$G$6:$G$1413,'февраль 2024'!$D$6:$D$1413,$B155,'февраль 2024'!$J$6:$J$1413,Y$1)</f>
        <v>0</v>
      </c>
      <c r="Z155" s="80">
        <f>SUMIFS('февраль 2024'!$G$6:$G$1413,'февраль 2024'!$D$6:$D$1413,$B155,'февраль 2024'!$J$6:$J$1413,Z$1)</f>
        <v>0</v>
      </c>
      <c r="AA155" s="80">
        <f>SUMIFS('февраль 2024'!$G$6:$G$1413,'февраль 2024'!$D$6:$D$1413,$B155,'февраль 2024'!$J$6:$J$1413,AA$1)</f>
        <v>0</v>
      </c>
      <c r="AB155" s="80">
        <f>SUMIFS('февраль 2024'!$G$6:$G$1413,'февраль 2024'!$D$6:$D$1413,$B155,'февраль 2024'!$J$6:$J$1413,AB$1)</f>
        <v>0</v>
      </c>
      <c r="AC155" s="80">
        <f>SUMIFS('февраль 2024'!$G$6:$G$1413,'февраль 2024'!$D$6:$D$1413,$B155,'февраль 2024'!$J$6:$J$1413,AC$1)</f>
        <v>0</v>
      </c>
      <c r="AD155" s="80">
        <f>SUMIFS('февраль 2024'!$G$6:$G$1413,'февраль 2024'!$D$6:$D$1413,$B155,'февраль 2024'!$J$6:$J$1413,AD$1)</f>
        <v>0</v>
      </c>
      <c r="AE155" s="80">
        <f>SUMIFS('февраль 2024'!$G$6:$G$1413,'февраль 2024'!$D$6:$D$1413,$B155,'февраль 2024'!$J$6:$J$1413,AE$1)</f>
        <v>0</v>
      </c>
      <c r="AF155" s="80">
        <f>SUMIFS('февраль 2024'!$G$6:$G$1413,'февраль 2024'!$D$6:$D$1413,$B155,'февраль 2024'!$J$6:$J$1413,AF$1)</f>
        <v>0</v>
      </c>
      <c r="AG155" s="80">
        <f>SUMIFS('февраль 2024'!$G$6:$G$1413,'февраль 2024'!$D$6:$D$1413,$B155,'февраль 2024'!$J$6:$J$1413,AG$1)</f>
        <v>0</v>
      </c>
      <c r="AH155" s="80">
        <f>SUMIFS('февраль 2024'!$G$6:$G$1413,'февраль 2024'!$D$6:$D$1413,$B155,'февраль 2024'!$J$6:$J$1413,AH$1)</f>
        <v>0</v>
      </c>
      <c r="AI155" s="87"/>
    </row>
    <row r="156" spans="2:35" ht="15" hidden="1" customHeight="1" x14ac:dyDescent="0.25">
      <c r="B156" s="93"/>
      <c r="C156" s="91"/>
      <c r="D156" s="80">
        <f>SUMIFS('февраль 2024'!$G$6:$G$1413,'февраль 2024'!$D$6:$D$1413,$B156,'февраль 2024'!$J$6:$J$1413,D$1)</f>
        <v>0</v>
      </c>
      <c r="E156" s="80">
        <f>SUMIFS('февраль 2024'!$G$6:$G$1413,'февраль 2024'!$D$6:$D$1413,$B156,'февраль 2024'!$J$6:$J$1413,E$1)</f>
        <v>0</v>
      </c>
      <c r="F156" s="80">
        <f>SUMIFS('февраль 2024'!$G$6:$G$1413,'февраль 2024'!$D$6:$D$1413,$B156,'февраль 2024'!$J$6:$J$1413,F$1)</f>
        <v>0</v>
      </c>
      <c r="G156" s="80">
        <f>SUMIFS('февраль 2024'!$G$6:$G$1413,'февраль 2024'!$D$6:$D$1413,$B156,'февраль 2024'!$J$6:$J$1413,G$1)</f>
        <v>0</v>
      </c>
      <c r="H156" s="80">
        <f>SUMIFS('февраль 2024'!$G$6:$G$1413,'февраль 2024'!$D$6:$D$1413,$B156,'февраль 2024'!$J$6:$J$1413,H$1)</f>
        <v>0</v>
      </c>
      <c r="I156" s="80">
        <f>SUMIFS('февраль 2024'!$G$6:$G$1413,'февраль 2024'!$D$6:$D$1413,$B156,'февраль 2024'!$J$6:$J$1413,I$1)</f>
        <v>0</v>
      </c>
      <c r="J156" s="80">
        <f>SUMIFS('февраль 2024'!$G$6:$G$1413,'февраль 2024'!$D$6:$D$1413,$B156,'февраль 2024'!$J$6:$J$1413,J$1)</f>
        <v>0</v>
      </c>
      <c r="K156" s="80">
        <f>SUMIFS('февраль 2024'!$G$6:$G$1413,'февраль 2024'!$D$6:$D$1413,$B156,'февраль 2024'!$J$6:$J$1413,K$1)</f>
        <v>0</v>
      </c>
      <c r="L156" s="80">
        <f>SUMIFS('февраль 2024'!$G$6:$G$1413,'февраль 2024'!$D$6:$D$1413,$B156,'февраль 2024'!$J$6:$J$1413,L$1)</f>
        <v>0</v>
      </c>
      <c r="M156" s="80">
        <f>SUMIFS('февраль 2024'!$G$6:$G$1413,'февраль 2024'!$D$6:$D$1413,$B156,'февраль 2024'!$J$6:$J$1413,M$1)</f>
        <v>0</v>
      </c>
      <c r="N156" s="80">
        <f>SUMIFS('февраль 2024'!$G$6:$G$1413,'февраль 2024'!$D$6:$D$1413,$B156,'февраль 2024'!$J$6:$J$1413,N$1)</f>
        <v>0</v>
      </c>
      <c r="O156" s="80">
        <f>SUMIFS('февраль 2024'!$G$6:$G$1413,'февраль 2024'!$D$6:$D$1413,$B156,'февраль 2024'!$J$6:$J$1413,O$1)</f>
        <v>0</v>
      </c>
      <c r="P156" s="80">
        <f>SUMIFS('февраль 2024'!$G$6:$G$1413,'февраль 2024'!$D$6:$D$1413,$B156,'февраль 2024'!$J$6:$J$1413,P$1)</f>
        <v>0</v>
      </c>
      <c r="Q156" s="80">
        <f>SUMIFS('февраль 2024'!$G$6:$G$1413,'февраль 2024'!$D$6:$D$1413,$B156,'февраль 2024'!$J$6:$J$1413,Q$1)</f>
        <v>0</v>
      </c>
      <c r="R156" s="80">
        <f>SUMIFS('февраль 2024'!$G$6:$G$1413,'февраль 2024'!$D$6:$D$1413,$B156,'февраль 2024'!$J$6:$J$1413,R$1)</f>
        <v>0</v>
      </c>
      <c r="S156" s="80">
        <f>SUMIFS('февраль 2024'!$G$6:$G$1413,'февраль 2024'!$D$6:$D$1413,$B156,'февраль 2024'!$J$6:$J$1413,S$1)</f>
        <v>0</v>
      </c>
      <c r="T156" s="80">
        <f>SUMIFS('февраль 2024'!$G$6:$G$1413,'февраль 2024'!$D$6:$D$1413,$B156,'февраль 2024'!$J$6:$J$1413,T$1)</f>
        <v>0</v>
      </c>
      <c r="U156" s="80">
        <f>SUMIFS('февраль 2024'!$G$6:$G$1413,'февраль 2024'!$D$6:$D$1413,$B156,'февраль 2024'!$J$6:$J$1413,U$1)</f>
        <v>0</v>
      </c>
      <c r="V156" s="80">
        <f>SUMIFS('февраль 2024'!$G$6:$G$1413,'февраль 2024'!$D$6:$D$1413,$B156,'февраль 2024'!$J$6:$J$1413,V$1)</f>
        <v>0</v>
      </c>
      <c r="W156" s="80">
        <f>SUMIFS('февраль 2024'!$G$6:$G$1413,'февраль 2024'!$D$6:$D$1413,$B156,'февраль 2024'!$J$6:$J$1413,W$1)</f>
        <v>0</v>
      </c>
      <c r="X156" s="80">
        <f>SUMIFS('февраль 2024'!$G$6:$G$1413,'февраль 2024'!$D$6:$D$1413,$B156,'февраль 2024'!$J$6:$J$1413,X$1)</f>
        <v>0</v>
      </c>
      <c r="Y156" s="80">
        <f>SUMIFS('февраль 2024'!$G$6:$G$1413,'февраль 2024'!$D$6:$D$1413,$B156,'февраль 2024'!$J$6:$J$1413,Y$1)</f>
        <v>0</v>
      </c>
      <c r="Z156" s="80">
        <f>SUMIFS('февраль 2024'!$G$6:$G$1413,'февраль 2024'!$D$6:$D$1413,$B156,'февраль 2024'!$J$6:$J$1413,Z$1)</f>
        <v>0</v>
      </c>
      <c r="AA156" s="80">
        <f>SUMIFS('февраль 2024'!$G$6:$G$1413,'февраль 2024'!$D$6:$D$1413,$B156,'февраль 2024'!$J$6:$J$1413,AA$1)</f>
        <v>0</v>
      </c>
      <c r="AB156" s="80">
        <f>SUMIFS('февраль 2024'!$G$6:$G$1413,'февраль 2024'!$D$6:$D$1413,$B156,'февраль 2024'!$J$6:$J$1413,AB$1)</f>
        <v>0</v>
      </c>
      <c r="AC156" s="80">
        <f>SUMIFS('февраль 2024'!$G$6:$G$1413,'февраль 2024'!$D$6:$D$1413,$B156,'февраль 2024'!$J$6:$J$1413,AC$1)</f>
        <v>0</v>
      </c>
      <c r="AD156" s="80">
        <f>SUMIFS('февраль 2024'!$G$6:$G$1413,'февраль 2024'!$D$6:$D$1413,$B156,'февраль 2024'!$J$6:$J$1413,AD$1)</f>
        <v>0</v>
      </c>
      <c r="AE156" s="80">
        <f>SUMIFS('февраль 2024'!$G$6:$G$1413,'февраль 2024'!$D$6:$D$1413,$B156,'февраль 2024'!$J$6:$J$1413,AE$1)</f>
        <v>0</v>
      </c>
      <c r="AF156" s="80">
        <f>SUMIFS('февраль 2024'!$G$6:$G$1413,'февраль 2024'!$D$6:$D$1413,$B156,'февраль 2024'!$J$6:$J$1413,AF$1)</f>
        <v>0</v>
      </c>
      <c r="AG156" s="80">
        <f>SUMIFS('февраль 2024'!$G$6:$G$1413,'февраль 2024'!$D$6:$D$1413,$B156,'февраль 2024'!$J$6:$J$1413,AG$1)</f>
        <v>0</v>
      </c>
      <c r="AH156" s="80">
        <f>SUMIFS('февраль 2024'!$G$6:$G$1413,'февраль 2024'!$D$6:$D$1413,$B156,'февраль 2024'!$J$6:$J$1413,AH$1)</f>
        <v>0</v>
      </c>
      <c r="AI156" s="87"/>
    </row>
    <row r="157" spans="2:35" ht="15" hidden="1" customHeight="1" x14ac:dyDescent="0.25">
      <c r="B157" s="89"/>
      <c r="C157" s="88"/>
      <c r="D157" s="80">
        <f>SUMIFS('февраль 2024'!$G$6:$G$1413,'февраль 2024'!$D$6:$D$1413,$B157,'февраль 2024'!$J$6:$J$1413,D$1)</f>
        <v>0</v>
      </c>
      <c r="E157" s="80">
        <f>SUMIFS('февраль 2024'!$G$6:$G$1413,'февраль 2024'!$D$6:$D$1413,$B157,'февраль 2024'!$J$6:$J$1413,E$1)</f>
        <v>0</v>
      </c>
      <c r="F157" s="80">
        <f>SUMIFS('февраль 2024'!$G$6:$G$1413,'февраль 2024'!$D$6:$D$1413,$B157,'февраль 2024'!$J$6:$J$1413,F$1)</f>
        <v>0</v>
      </c>
      <c r="G157" s="80">
        <f>SUMIFS('февраль 2024'!$G$6:$G$1413,'февраль 2024'!$D$6:$D$1413,$B157,'февраль 2024'!$J$6:$J$1413,G$1)</f>
        <v>0</v>
      </c>
      <c r="H157" s="80">
        <f>SUMIFS('февраль 2024'!$G$6:$G$1413,'февраль 2024'!$D$6:$D$1413,$B157,'февраль 2024'!$J$6:$J$1413,H$1)</f>
        <v>0</v>
      </c>
      <c r="I157" s="80">
        <f>SUMIFS('февраль 2024'!$G$6:$G$1413,'февраль 2024'!$D$6:$D$1413,$B157,'февраль 2024'!$J$6:$J$1413,I$1)</f>
        <v>0</v>
      </c>
      <c r="J157" s="80">
        <f>SUMIFS('февраль 2024'!$G$6:$G$1413,'февраль 2024'!$D$6:$D$1413,$B157,'февраль 2024'!$J$6:$J$1413,J$1)</f>
        <v>0</v>
      </c>
      <c r="K157" s="80">
        <f>SUMIFS('февраль 2024'!$G$6:$G$1413,'февраль 2024'!$D$6:$D$1413,$B157,'февраль 2024'!$J$6:$J$1413,K$1)</f>
        <v>0</v>
      </c>
      <c r="L157" s="80">
        <f>SUMIFS('февраль 2024'!$G$6:$G$1413,'февраль 2024'!$D$6:$D$1413,$B157,'февраль 2024'!$J$6:$J$1413,L$1)</f>
        <v>0</v>
      </c>
      <c r="M157" s="80">
        <f>SUMIFS('февраль 2024'!$G$6:$G$1413,'февраль 2024'!$D$6:$D$1413,$B157,'февраль 2024'!$J$6:$J$1413,M$1)</f>
        <v>0</v>
      </c>
      <c r="N157" s="80">
        <f>SUMIFS('февраль 2024'!$G$6:$G$1413,'февраль 2024'!$D$6:$D$1413,$B157,'февраль 2024'!$J$6:$J$1413,N$1)</f>
        <v>0</v>
      </c>
      <c r="O157" s="80">
        <f>SUMIFS('февраль 2024'!$G$6:$G$1413,'февраль 2024'!$D$6:$D$1413,$B157,'февраль 2024'!$J$6:$J$1413,O$1)</f>
        <v>0</v>
      </c>
      <c r="P157" s="80">
        <f>SUMIFS('февраль 2024'!$G$6:$G$1413,'февраль 2024'!$D$6:$D$1413,$B157,'февраль 2024'!$J$6:$J$1413,P$1)</f>
        <v>0</v>
      </c>
      <c r="Q157" s="80">
        <f>SUMIFS('февраль 2024'!$G$6:$G$1413,'февраль 2024'!$D$6:$D$1413,$B157,'февраль 2024'!$J$6:$J$1413,Q$1)</f>
        <v>0</v>
      </c>
      <c r="R157" s="80">
        <f>SUMIFS('февраль 2024'!$G$6:$G$1413,'февраль 2024'!$D$6:$D$1413,$B157,'февраль 2024'!$J$6:$J$1413,R$1)</f>
        <v>0</v>
      </c>
      <c r="S157" s="80">
        <f>SUMIFS('февраль 2024'!$G$6:$G$1413,'февраль 2024'!$D$6:$D$1413,$B157,'февраль 2024'!$J$6:$J$1413,S$1)</f>
        <v>0</v>
      </c>
      <c r="T157" s="80">
        <f>SUMIFS('февраль 2024'!$G$6:$G$1413,'февраль 2024'!$D$6:$D$1413,$B157,'февраль 2024'!$J$6:$J$1413,T$1)</f>
        <v>0</v>
      </c>
      <c r="U157" s="80">
        <f>SUMIFS('февраль 2024'!$G$6:$G$1413,'февраль 2024'!$D$6:$D$1413,$B157,'февраль 2024'!$J$6:$J$1413,U$1)</f>
        <v>0</v>
      </c>
      <c r="V157" s="80">
        <f>SUMIFS('февраль 2024'!$G$6:$G$1413,'февраль 2024'!$D$6:$D$1413,$B157,'февраль 2024'!$J$6:$J$1413,V$1)</f>
        <v>0</v>
      </c>
      <c r="W157" s="80">
        <f>SUMIFS('февраль 2024'!$G$6:$G$1413,'февраль 2024'!$D$6:$D$1413,$B157,'февраль 2024'!$J$6:$J$1413,W$1)</f>
        <v>0</v>
      </c>
      <c r="X157" s="80">
        <f>SUMIFS('февраль 2024'!$G$6:$G$1413,'февраль 2024'!$D$6:$D$1413,$B157,'февраль 2024'!$J$6:$J$1413,X$1)</f>
        <v>0</v>
      </c>
      <c r="Y157" s="80">
        <f>SUMIFS('февраль 2024'!$G$6:$G$1413,'февраль 2024'!$D$6:$D$1413,$B157,'февраль 2024'!$J$6:$J$1413,Y$1)</f>
        <v>0</v>
      </c>
      <c r="Z157" s="80">
        <f>SUMIFS('февраль 2024'!$G$6:$G$1413,'февраль 2024'!$D$6:$D$1413,$B157,'февраль 2024'!$J$6:$J$1413,Z$1)</f>
        <v>0</v>
      </c>
      <c r="AA157" s="80">
        <f>SUMIFS('февраль 2024'!$G$6:$G$1413,'февраль 2024'!$D$6:$D$1413,$B157,'февраль 2024'!$J$6:$J$1413,AA$1)</f>
        <v>0</v>
      </c>
      <c r="AB157" s="80">
        <f>SUMIFS('февраль 2024'!$G$6:$G$1413,'февраль 2024'!$D$6:$D$1413,$B157,'февраль 2024'!$J$6:$J$1413,AB$1)</f>
        <v>0</v>
      </c>
      <c r="AC157" s="80">
        <f>SUMIFS('февраль 2024'!$G$6:$G$1413,'февраль 2024'!$D$6:$D$1413,$B157,'февраль 2024'!$J$6:$J$1413,AC$1)</f>
        <v>0</v>
      </c>
      <c r="AD157" s="80">
        <f>SUMIFS('февраль 2024'!$G$6:$G$1413,'февраль 2024'!$D$6:$D$1413,$B157,'февраль 2024'!$J$6:$J$1413,AD$1)</f>
        <v>0</v>
      </c>
      <c r="AE157" s="80">
        <f>SUMIFS('февраль 2024'!$G$6:$G$1413,'февраль 2024'!$D$6:$D$1413,$B157,'февраль 2024'!$J$6:$J$1413,AE$1)</f>
        <v>0</v>
      </c>
      <c r="AF157" s="80">
        <f>SUMIFS('февраль 2024'!$G$6:$G$1413,'февраль 2024'!$D$6:$D$1413,$B157,'февраль 2024'!$J$6:$J$1413,AF$1)</f>
        <v>0</v>
      </c>
      <c r="AG157" s="80">
        <f>SUMIFS('февраль 2024'!$G$6:$G$1413,'февраль 2024'!$D$6:$D$1413,$B157,'февраль 2024'!$J$6:$J$1413,AG$1)</f>
        <v>0</v>
      </c>
      <c r="AH157" s="80">
        <f>SUMIFS('февраль 2024'!$G$6:$G$1413,'февраль 2024'!$D$6:$D$1413,$B157,'февраль 2024'!$J$6:$J$1413,AH$1)</f>
        <v>0</v>
      </c>
      <c r="AI157" s="87"/>
    </row>
    <row r="158" spans="2:35" ht="15" hidden="1" customHeight="1" x14ac:dyDescent="0.25">
      <c r="B158" s="92"/>
      <c r="C158" s="91"/>
      <c r="D158" s="80">
        <f>SUMIFS('февраль 2024'!$G$6:$G$1413,'февраль 2024'!$D$6:$D$1413,$B158,'февраль 2024'!$J$6:$J$1413,D$1)</f>
        <v>0</v>
      </c>
      <c r="E158" s="80">
        <f>SUMIFS('февраль 2024'!$G$6:$G$1413,'февраль 2024'!$D$6:$D$1413,$B158,'февраль 2024'!$J$6:$J$1413,E$1)</f>
        <v>0</v>
      </c>
      <c r="F158" s="80">
        <f>SUMIFS('февраль 2024'!$G$6:$G$1413,'февраль 2024'!$D$6:$D$1413,$B158,'февраль 2024'!$J$6:$J$1413,F$1)</f>
        <v>0</v>
      </c>
      <c r="G158" s="80">
        <f>SUMIFS('февраль 2024'!$G$6:$G$1413,'февраль 2024'!$D$6:$D$1413,$B158,'февраль 2024'!$J$6:$J$1413,G$1)</f>
        <v>0</v>
      </c>
      <c r="H158" s="80">
        <f>SUMIFS('февраль 2024'!$G$6:$G$1413,'февраль 2024'!$D$6:$D$1413,$B158,'февраль 2024'!$J$6:$J$1413,H$1)</f>
        <v>0</v>
      </c>
      <c r="I158" s="80">
        <f>SUMIFS('февраль 2024'!$G$6:$G$1413,'февраль 2024'!$D$6:$D$1413,$B158,'февраль 2024'!$J$6:$J$1413,I$1)</f>
        <v>0</v>
      </c>
      <c r="J158" s="80">
        <f>SUMIFS('февраль 2024'!$G$6:$G$1413,'февраль 2024'!$D$6:$D$1413,$B158,'февраль 2024'!$J$6:$J$1413,J$1)</f>
        <v>0</v>
      </c>
      <c r="K158" s="80">
        <f>SUMIFS('февраль 2024'!$G$6:$G$1413,'февраль 2024'!$D$6:$D$1413,$B158,'февраль 2024'!$J$6:$J$1413,K$1)</f>
        <v>0</v>
      </c>
      <c r="L158" s="80">
        <f>SUMIFS('февраль 2024'!$G$6:$G$1413,'февраль 2024'!$D$6:$D$1413,$B158,'февраль 2024'!$J$6:$J$1413,L$1)</f>
        <v>0</v>
      </c>
      <c r="M158" s="80">
        <f>SUMIFS('февраль 2024'!$G$6:$G$1413,'февраль 2024'!$D$6:$D$1413,$B158,'февраль 2024'!$J$6:$J$1413,M$1)</f>
        <v>0</v>
      </c>
      <c r="N158" s="80">
        <f>SUMIFS('февраль 2024'!$G$6:$G$1413,'февраль 2024'!$D$6:$D$1413,$B158,'февраль 2024'!$J$6:$J$1413,N$1)</f>
        <v>0</v>
      </c>
      <c r="O158" s="80">
        <f>SUMIFS('февраль 2024'!$G$6:$G$1413,'февраль 2024'!$D$6:$D$1413,$B158,'февраль 2024'!$J$6:$J$1413,O$1)</f>
        <v>0</v>
      </c>
      <c r="P158" s="80">
        <f>SUMIFS('февраль 2024'!$G$6:$G$1413,'февраль 2024'!$D$6:$D$1413,$B158,'февраль 2024'!$J$6:$J$1413,P$1)</f>
        <v>0</v>
      </c>
      <c r="Q158" s="80">
        <f>SUMIFS('февраль 2024'!$G$6:$G$1413,'февраль 2024'!$D$6:$D$1413,$B158,'февраль 2024'!$J$6:$J$1413,Q$1)</f>
        <v>0</v>
      </c>
      <c r="R158" s="80">
        <f>SUMIFS('февраль 2024'!$G$6:$G$1413,'февраль 2024'!$D$6:$D$1413,$B158,'февраль 2024'!$J$6:$J$1413,R$1)</f>
        <v>0</v>
      </c>
      <c r="S158" s="80">
        <f>SUMIFS('февраль 2024'!$G$6:$G$1413,'февраль 2024'!$D$6:$D$1413,$B158,'февраль 2024'!$J$6:$J$1413,S$1)</f>
        <v>0</v>
      </c>
      <c r="T158" s="80">
        <f>SUMIFS('февраль 2024'!$G$6:$G$1413,'февраль 2024'!$D$6:$D$1413,$B158,'февраль 2024'!$J$6:$J$1413,T$1)</f>
        <v>0</v>
      </c>
      <c r="U158" s="80">
        <f>SUMIFS('февраль 2024'!$G$6:$G$1413,'февраль 2024'!$D$6:$D$1413,$B158,'февраль 2024'!$J$6:$J$1413,U$1)</f>
        <v>0</v>
      </c>
      <c r="V158" s="80">
        <f>SUMIFS('февраль 2024'!$G$6:$G$1413,'февраль 2024'!$D$6:$D$1413,$B158,'февраль 2024'!$J$6:$J$1413,V$1)</f>
        <v>0</v>
      </c>
      <c r="W158" s="80">
        <f>SUMIFS('февраль 2024'!$G$6:$G$1413,'февраль 2024'!$D$6:$D$1413,$B158,'февраль 2024'!$J$6:$J$1413,W$1)</f>
        <v>0</v>
      </c>
      <c r="X158" s="80">
        <f>SUMIFS('февраль 2024'!$G$6:$G$1413,'февраль 2024'!$D$6:$D$1413,$B158,'февраль 2024'!$J$6:$J$1413,X$1)</f>
        <v>0</v>
      </c>
      <c r="Y158" s="80">
        <f>SUMIFS('февраль 2024'!$G$6:$G$1413,'февраль 2024'!$D$6:$D$1413,$B158,'февраль 2024'!$J$6:$J$1413,Y$1)</f>
        <v>0</v>
      </c>
      <c r="Z158" s="80">
        <f>SUMIFS('февраль 2024'!$G$6:$G$1413,'февраль 2024'!$D$6:$D$1413,$B158,'февраль 2024'!$J$6:$J$1413,Z$1)</f>
        <v>0</v>
      </c>
      <c r="AA158" s="80">
        <f>SUMIFS('февраль 2024'!$G$6:$G$1413,'февраль 2024'!$D$6:$D$1413,$B158,'февраль 2024'!$J$6:$J$1413,AA$1)</f>
        <v>0</v>
      </c>
      <c r="AB158" s="80">
        <f>SUMIFS('февраль 2024'!$G$6:$G$1413,'февраль 2024'!$D$6:$D$1413,$B158,'февраль 2024'!$J$6:$J$1413,AB$1)</f>
        <v>0</v>
      </c>
      <c r="AC158" s="80">
        <f>SUMIFS('февраль 2024'!$G$6:$G$1413,'февраль 2024'!$D$6:$D$1413,$B158,'февраль 2024'!$J$6:$J$1413,AC$1)</f>
        <v>0</v>
      </c>
      <c r="AD158" s="80">
        <f>SUMIFS('февраль 2024'!$G$6:$G$1413,'февраль 2024'!$D$6:$D$1413,$B158,'февраль 2024'!$J$6:$J$1413,AD$1)</f>
        <v>0</v>
      </c>
      <c r="AE158" s="80">
        <f>SUMIFS('февраль 2024'!$G$6:$G$1413,'февраль 2024'!$D$6:$D$1413,$B158,'февраль 2024'!$J$6:$J$1413,AE$1)</f>
        <v>0</v>
      </c>
      <c r="AF158" s="80">
        <f>SUMIFS('февраль 2024'!$G$6:$G$1413,'февраль 2024'!$D$6:$D$1413,$B158,'февраль 2024'!$J$6:$J$1413,AF$1)</f>
        <v>0</v>
      </c>
      <c r="AG158" s="80">
        <f>SUMIFS('февраль 2024'!$G$6:$G$1413,'февраль 2024'!$D$6:$D$1413,$B158,'февраль 2024'!$J$6:$J$1413,AG$1)</f>
        <v>0</v>
      </c>
      <c r="AH158" s="80">
        <f>SUMIFS('февраль 2024'!$G$6:$G$1413,'февраль 2024'!$D$6:$D$1413,$B158,'февраль 2024'!$J$6:$J$1413,AH$1)</f>
        <v>0</v>
      </c>
      <c r="AI158" s="87"/>
    </row>
    <row r="159" spans="2:35" ht="15" hidden="1" customHeight="1" x14ac:dyDescent="0.25">
      <c r="B159" s="89"/>
      <c r="C159" s="91"/>
      <c r="D159" s="80">
        <f>SUMIFS('февраль 2024'!$G$6:$G$1413,'февраль 2024'!$D$6:$D$1413,$B159,'февраль 2024'!$J$6:$J$1413,D$1)</f>
        <v>0</v>
      </c>
      <c r="E159" s="80">
        <f>SUMIFS('февраль 2024'!$G$6:$G$1413,'февраль 2024'!$D$6:$D$1413,$B159,'февраль 2024'!$J$6:$J$1413,E$1)</f>
        <v>0</v>
      </c>
      <c r="F159" s="80">
        <f>SUMIFS('февраль 2024'!$G$6:$G$1413,'февраль 2024'!$D$6:$D$1413,$B159,'февраль 2024'!$J$6:$J$1413,F$1)</f>
        <v>0</v>
      </c>
      <c r="G159" s="80">
        <f>SUMIFS('февраль 2024'!$G$6:$G$1413,'февраль 2024'!$D$6:$D$1413,$B159,'февраль 2024'!$J$6:$J$1413,G$1)</f>
        <v>0</v>
      </c>
      <c r="H159" s="80">
        <f>SUMIFS('февраль 2024'!$G$6:$G$1413,'февраль 2024'!$D$6:$D$1413,$B159,'февраль 2024'!$J$6:$J$1413,H$1)</f>
        <v>0</v>
      </c>
      <c r="I159" s="80">
        <f>SUMIFS('февраль 2024'!$G$6:$G$1413,'февраль 2024'!$D$6:$D$1413,$B159,'февраль 2024'!$J$6:$J$1413,I$1)</f>
        <v>0</v>
      </c>
      <c r="J159" s="80">
        <f>SUMIFS('февраль 2024'!$G$6:$G$1413,'февраль 2024'!$D$6:$D$1413,$B159,'февраль 2024'!$J$6:$J$1413,J$1)</f>
        <v>0</v>
      </c>
      <c r="K159" s="80">
        <f>SUMIFS('февраль 2024'!$G$6:$G$1413,'февраль 2024'!$D$6:$D$1413,$B159,'февраль 2024'!$J$6:$J$1413,K$1)</f>
        <v>0</v>
      </c>
      <c r="L159" s="80">
        <f>SUMIFS('февраль 2024'!$G$6:$G$1413,'февраль 2024'!$D$6:$D$1413,$B159,'февраль 2024'!$J$6:$J$1413,L$1)</f>
        <v>0</v>
      </c>
      <c r="M159" s="80">
        <f>SUMIFS('февраль 2024'!$G$6:$G$1413,'февраль 2024'!$D$6:$D$1413,$B159,'февраль 2024'!$J$6:$J$1413,M$1)</f>
        <v>0</v>
      </c>
      <c r="N159" s="80">
        <f>SUMIFS('февраль 2024'!$G$6:$G$1413,'февраль 2024'!$D$6:$D$1413,$B159,'февраль 2024'!$J$6:$J$1413,N$1)</f>
        <v>0</v>
      </c>
      <c r="O159" s="80">
        <f>SUMIFS('февраль 2024'!$G$6:$G$1413,'февраль 2024'!$D$6:$D$1413,$B159,'февраль 2024'!$J$6:$J$1413,O$1)</f>
        <v>0</v>
      </c>
      <c r="P159" s="80">
        <f>SUMIFS('февраль 2024'!$G$6:$G$1413,'февраль 2024'!$D$6:$D$1413,$B159,'февраль 2024'!$J$6:$J$1413,P$1)</f>
        <v>0</v>
      </c>
      <c r="Q159" s="80">
        <f>SUMIFS('февраль 2024'!$G$6:$G$1413,'февраль 2024'!$D$6:$D$1413,$B159,'февраль 2024'!$J$6:$J$1413,Q$1)</f>
        <v>0</v>
      </c>
      <c r="R159" s="80">
        <f>SUMIFS('февраль 2024'!$G$6:$G$1413,'февраль 2024'!$D$6:$D$1413,$B159,'февраль 2024'!$J$6:$J$1413,R$1)</f>
        <v>0</v>
      </c>
      <c r="S159" s="80">
        <f>SUMIFS('февраль 2024'!$G$6:$G$1413,'февраль 2024'!$D$6:$D$1413,$B159,'февраль 2024'!$J$6:$J$1413,S$1)</f>
        <v>0</v>
      </c>
      <c r="T159" s="80">
        <f>SUMIFS('февраль 2024'!$G$6:$G$1413,'февраль 2024'!$D$6:$D$1413,$B159,'февраль 2024'!$J$6:$J$1413,T$1)</f>
        <v>0</v>
      </c>
      <c r="U159" s="80">
        <f>SUMIFS('февраль 2024'!$G$6:$G$1413,'февраль 2024'!$D$6:$D$1413,$B159,'февраль 2024'!$J$6:$J$1413,U$1)</f>
        <v>0</v>
      </c>
      <c r="V159" s="80">
        <f>SUMIFS('февраль 2024'!$G$6:$G$1413,'февраль 2024'!$D$6:$D$1413,$B159,'февраль 2024'!$J$6:$J$1413,V$1)</f>
        <v>0</v>
      </c>
      <c r="W159" s="80">
        <f>SUMIFS('февраль 2024'!$G$6:$G$1413,'февраль 2024'!$D$6:$D$1413,$B159,'февраль 2024'!$J$6:$J$1413,W$1)</f>
        <v>0</v>
      </c>
      <c r="X159" s="80">
        <f>SUMIFS('февраль 2024'!$G$6:$G$1413,'февраль 2024'!$D$6:$D$1413,$B159,'февраль 2024'!$J$6:$J$1413,X$1)</f>
        <v>0</v>
      </c>
      <c r="Y159" s="80">
        <f>SUMIFS('февраль 2024'!$G$6:$G$1413,'февраль 2024'!$D$6:$D$1413,$B159,'февраль 2024'!$J$6:$J$1413,Y$1)</f>
        <v>0</v>
      </c>
      <c r="Z159" s="80">
        <f>SUMIFS('февраль 2024'!$G$6:$G$1413,'февраль 2024'!$D$6:$D$1413,$B159,'февраль 2024'!$J$6:$J$1413,Z$1)</f>
        <v>0</v>
      </c>
      <c r="AA159" s="80">
        <f>SUMIFS('февраль 2024'!$G$6:$G$1413,'февраль 2024'!$D$6:$D$1413,$B159,'февраль 2024'!$J$6:$J$1413,AA$1)</f>
        <v>0</v>
      </c>
      <c r="AB159" s="80">
        <f>SUMIFS('февраль 2024'!$G$6:$G$1413,'февраль 2024'!$D$6:$D$1413,$B159,'февраль 2024'!$J$6:$J$1413,AB$1)</f>
        <v>0</v>
      </c>
      <c r="AC159" s="80">
        <f>SUMIFS('февраль 2024'!$G$6:$G$1413,'февраль 2024'!$D$6:$D$1413,$B159,'февраль 2024'!$J$6:$J$1413,AC$1)</f>
        <v>0</v>
      </c>
      <c r="AD159" s="80">
        <f>SUMIFS('февраль 2024'!$G$6:$G$1413,'февраль 2024'!$D$6:$D$1413,$B159,'февраль 2024'!$J$6:$J$1413,AD$1)</f>
        <v>0</v>
      </c>
      <c r="AE159" s="80">
        <f>SUMIFS('февраль 2024'!$G$6:$G$1413,'февраль 2024'!$D$6:$D$1413,$B159,'февраль 2024'!$J$6:$J$1413,AE$1)</f>
        <v>0</v>
      </c>
      <c r="AF159" s="80">
        <f>SUMIFS('февраль 2024'!$G$6:$G$1413,'февраль 2024'!$D$6:$D$1413,$B159,'февраль 2024'!$J$6:$J$1413,AF$1)</f>
        <v>0</v>
      </c>
      <c r="AG159" s="80">
        <f>SUMIFS('февраль 2024'!$G$6:$G$1413,'февраль 2024'!$D$6:$D$1413,$B159,'февраль 2024'!$J$6:$J$1413,AG$1)</f>
        <v>0</v>
      </c>
      <c r="AH159" s="80">
        <f>SUMIFS('февраль 2024'!$G$6:$G$1413,'февраль 2024'!$D$6:$D$1413,$B159,'февраль 2024'!$J$6:$J$1413,AH$1)</f>
        <v>0</v>
      </c>
      <c r="AI159" s="87"/>
    </row>
    <row r="160" spans="2:35" ht="15" hidden="1" customHeight="1" x14ac:dyDescent="0.25">
      <c r="B160" s="89"/>
      <c r="C160" s="88"/>
      <c r="D160" s="80">
        <f>SUMIFS('февраль 2024'!$G$6:$G$1413,'февраль 2024'!$D$6:$D$1413,$B160,'февраль 2024'!$J$6:$J$1413,D$1)</f>
        <v>0</v>
      </c>
      <c r="E160" s="80">
        <f>SUMIFS('февраль 2024'!$G$6:$G$1413,'февраль 2024'!$D$6:$D$1413,$B160,'февраль 2024'!$J$6:$J$1413,E$1)</f>
        <v>0</v>
      </c>
      <c r="F160" s="80">
        <f>SUMIFS('февраль 2024'!$G$6:$G$1413,'февраль 2024'!$D$6:$D$1413,$B160,'февраль 2024'!$J$6:$J$1413,F$1)</f>
        <v>0</v>
      </c>
      <c r="G160" s="80">
        <f>SUMIFS('февраль 2024'!$G$6:$G$1413,'февраль 2024'!$D$6:$D$1413,$B160,'февраль 2024'!$J$6:$J$1413,G$1)</f>
        <v>0</v>
      </c>
      <c r="H160" s="80">
        <f>SUMIFS('февраль 2024'!$G$6:$G$1413,'февраль 2024'!$D$6:$D$1413,$B160,'февраль 2024'!$J$6:$J$1413,H$1)</f>
        <v>0</v>
      </c>
      <c r="I160" s="80">
        <f>SUMIFS('февраль 2024'!$G$6:$G$1413,'февраль 2024'!$D$6:$D$1413,$B160,'февраль 2024'!$J$6:$J$1413,I$1)</f>
        <v>0</v>
      </c>
      <c r="J160" s="80">
        <f>SUMIFS('февраль 2024'!$G$6:$G$1413,'февраль 2024'!$D$6:$D$1413,$B160,'февраль 2024'!$J$6:$J$1413,J$1)</f>
        <v>0</v>
      </c>
      <c r="K160" s="80">
        <f>SUMIFS('февраль 2024'!$G$6:$G$1413,'февраль 2024'!$D$6:$D$1413,$B160,'февраль 2024'!$J$6:$J$1413,K$1)</f>
        <v>0</v>
      </c>
      <c r="L160" s="80">
        <f>SUMIFS('февраль 2024'!$G$6:$G$1413,'февраль 2024'!$D$6:$D$1413,$B160,'февраль 2024'!$J$6:$J$1413,L$1)</f>
        <v>0</v>
      </c>
      <c r="M160" s="80">
        <f>SUMIFS('февраль 2024'!$G$6:$G$1413,'февраль 2024'!$D$6:$D$1413,$B160,'февраль 2024'!$J$6:$J$1413,M$1)</f>
        <v>0</v>
      </c>
      <c r="N160" s="80">
        <f>SUMIFS('февраль 2024'!$G$6:$G$1413,'февраль 2024'!$D$6:$D$1413,$B160,'февраль 2024'!$J$6:$J$1413,N$1)</f>
        <v>0</v>
      </c>
      <c r="O160" s="80">
        <f>SUMIFS('февраль 2024'!$G$6:$G$1413,'февраль 2024'!$D$6:$D$1413,$B160,'февраль 2024'!$J$6:$J$1413,O$1)</f>
        <v>0</v>
      </c>
      <c r="P160" s="80">
        <f>SUMIFS('февраль 2024'!$G$6:$G$1413,'февраль 2024'!$D$6:$D$1413,$B160,'февраль 2024'!$J$6:$J$1413,P$1)</f>
        <v>0</v>
      </c>
      <c r="Q160" s="80">
        <f>SUMIFS('февраль 2024'!$G$6:$G$1413,'февраль 2024'!$D$6:$D$1413,$B160,'февраль 2024'!$J$6:$J$1413,Q$1)</f>
        <v>0</v>
      </c>
      <c r="R160" s="80">
        <f>SUMIFS('февраль 2024'!$G$6:$G$1413,'февраль 2024'!$D$6:$D$1413,$B160,'февраль 2024'!$J$6:$J$1413,R$1)</f>
        <v>0</v>
      </c>
      <c r="S160" s="80">
        <f>SUMIFS('февраль 2024'!$G$6:$G$1413,'февраль 2024'!$D$6:$D$1413,$B160,'февраль 2024'!$J$6:$J$1413,S$1)</f>
        <v>0</v>
      </c>
      <c r="T160" s="80">
        <f>SUMIFS('февраль 2024'!$G$6:$G$1413,'февраль 2024'!$D$6:$D$1413,$B160,'февраль 2024'!$J$6:$J$1413,T$1)</f>
        <v>0</v>
      </c>
      <c r="U160" s="80">
        <f>SUMIFS('февраль 2024'!$G$6:$G$1413,'февраль 2024'!$D$6:$D$1413,$B160,'февраль 2024'!$J$6:$J$1413,U$1)</f>
        <v>0</v>
      </c>
      <c r="V160" s="80">
        <f>SUMIFS('февраль 2024'!$G$6:$G$1413,'февраль 2024'!$D$6:$D$1413,$B160,'февраль 2024'!$J$6:$J$1413,V$1)</f>
        <v>0</v>
      </c>
      <c r="W160" s="80">
        <f>SUMIFS('февраль 2024'!$G$6:$G$1413,'февраль 2024'!$D$6:$D$1413,$B160,'февраль 2024'!$J$6:$J$1413,W$1)</f>
        <v>0</v>
      </c>
      <c r="X160" s="80">
        <f>SUMIFS('февраль 2024'!$G$6:$G$1413,'февраль 2024'!$D$6:$D$1413,$B160,'февраль 2024'!$J$6:$J$1413,X$1)</f>
        <v>0</v>
      </c>
      <c r="Y160" s="80">
        <f>SUMIFS('февраль 2024'!$G$6:$G$1413,'февраль 2024'!$D$6:$D$1413,$B160,'февраль 2024'!$J$6:$J$1413,Y$1)</f>
        <v>0</v>
      </c>
      <c r="Z160" s="80">
        <f>SUMIFS('февраль 2024'!$G$6:$G$1413,'февраль 2024'!$D$6:$D$1413,$B160,'февраль 2024'!$J$6:$J$1413,Z$1)</f>
        <v>0</v>
      </c>
      <c r="AA160" s="80">
        <f>SUMIFS('февраль 2024'!$G$6:$G$1413,'февраль 2024'!$D$6:$D$1413,$B160,'февраль 2024'!$J$6:$J$1413,AA$1)</f>
        <v>0</v>
      </c>
      <c r="AB160" s="80">
        <f>SUMIFS('февраль 2024'!$G$6:$G$1413,'февраль 2024'!$D$6:$D$1413,$B160,'февраль 2024'!$J$6:$J$1413,AB$1)</f>
        <v>0</v>
      </c>
      <c r="AC160" s="80">
        <f>SUMIFS('февраль 2024'!$G$6:$G$1413,'февраль 2024'!$D$6:$D$1413,$B160,'февраль 2024'!$J$6:$J$1413,AC$1)</f>
        <v>0</v>
      </c>
      <c r="AD160" s="80">
        <f>SUMIFS('февраль 2024'!$G$6:$G$1413,'февраль 2024'!$D$6:$D$1413,$B160,'февраль 2024'!$J$6:$J$1413,AD$1)</f>
        <v>0</v>
      </c>
      <c r="AE160" s="80">
        <f>SUMIFS('февраль 2024'!$G$6:$G$1413,'февраль 2024'!$D$6:$D$1413,$B160,'февраль 2024'!$J$6:$J$1413,AE$1)</f>
        <v>0</v>
      </c>
      <c r="AF160" s="80">
        <f>SUMIFS('февраль 2024'!$G$6:$G$1413,'февраль 2024'!$D$6:$D$1413,$B160,'февраль 2024'!$J$6:$J$1413,AF$1)</f>
        <v>0</v>
      </c>
      <c r="AG160" s="80">
        <f>SUMIFS('февраль 2024'!$G$6:$G$1413,'февраль 2024'!$D$6:$D$1413,$B160,'февраль 2024'!$J$6:$J$1413,AG$1)</f>
        <v>0</v>
      </c>
      <c r="AH160" s="80">
        <f>SUMIFS('февраль 2024'!$G$6:$G$1413,'февраль 2024'!$D$6:$D$1413,$B160,'февраль 2024'!$J$6:$J$1413,AH$1)</f>
        <v>0</v>
      </c>
      <c r="AI160" s="87"/>
    </row>
    <row r="161" spans="2:35" ht="15" hidden="1" customHeight="1" x14ac:dyDescent="0.25">
      <c r="B161" s="89"/>
      <c r="C161" s="88"/>
      <c r="D161" s="80">
        <f>SUMIFS('февраль 2024'!$G$6:$G$1413,'февраль 2024'!$D$6:$D$1413,$B161,'февраль 2024'!$J$6:$J$1413,D$1)</f>
        <v>0</v>
      </c>
      <c r="E161" s="80">
        <f>SUMIFS('февраль 2024'!$G$6:$G$1413,'февраль 2024'!$D$6:$D$1413,$B161,'февраль 2024'!$J$6:$J$1413,E$1)</f>
        <v>0</v>
      </c>
      <c r="F161" s="80">
        <f>SUMIFS('февраль 2024'!$G$6:$G$1413,'февраль 2024'!$D$6:$D$1413,$B161,'февраль 2024'!$J$6:$J$1413,F$1)</f>
        <v>0</v>
      </c>
      <c r="G161" s="80">
        <f>SUMIFS('февраль 2024'!$G$6:$G$1413,'февраль 2024'!$D$6:$D$1413,$B161,'февраль 2024'!$J$6:$J$1413,G$1)</f>
        <v>0</v>
      </c>
      <c r="H161" s="80">
        <f>SUMIFS('февраль 2024'!$G$6:$G$1413,'февраль 2024'!$D$6:$D$1413,$B161,'февраль 2024'!$J$6:$J$1413,H$1)</f>
        <v>0</v>
      </c>
      <c r="I161" s="80">
        <f>SUMIFS('февраль 2024'!$G$6:$G$1413,'февраль 2024'!$D$6:$D$1413,$B161,'февраль 2024'!$J$6:$J$1413,I$1)</f>
        <v>0</v>
      </c>
      <c r="J161" s="80">
        <f>SUMIFS('февраль 2024'!$G$6:$G$1413,'февраль 2024'!$D$6:$D$1413,$B161,'февраль 2024'!$J$6:$J$1413,J$1)</f>
        <v>0</v>
      </c>
      <c r="K161" s="80">
        <f>SUMIFS('февраль 2024'!$G$6:$G$1413,'февраль 2024'!$D$6:$D$1413,$B161,'февраль 2024'!$J$6:$J$1413,K$1)</f>
        <v>0</v>
      </c>
      <c r="L161" s="80">
        <f>SUMIFS('февраль 2024'!$G$6:$G$1413,'февраль 2024'!$D$6:$D$1413,$B161,'февраль 2024'!$J$6:$J$1413,L$1)</f>
        <v>0</v>
      </c>
      <c r="M161" s="80">
        <f>SUMIFS('февраль 2024'!$G$6:$G$1413,'февраль 2024'!$D$6:$D$1413,$B161,'февраль 2024'!$J$6:$J$1413,M$1)</f>
        <v>0</v>
      </c>
      <c r="N161" s="80">
        <f>SUMIFS('февраль 2024'!$G$6:$G$1413,'февраль 2024'!$D$6:$D$1413,$B161,'февраль 2024'!$J$6:$J$1413,N$1)</f>
        <v>0</v>
      </c>
      <c r="O161" s="80">
        <f>SUMIFS('февраль 2024'!$G$6:$G$1413,'февраль 2024'!$D$6:$D$1413,$B161,'февраль 2024'!$J$6:$J$1413,O$1)</f>
        <v>0</v>
      </c>
      <c r="P161" s="80">
        <f>SUMIFS('февраль 2024'!$G$6:$G$1413,'февраль 2024'!$D$6:$D$1413,$B161,'февраль 2024'!$J$6:$J$1413,P$1)</f>
        <v>0</v>
      </c>
      <c r="Q161" s="80">
        <f>SUMIFS('февраль 2024'!$G$6:$G$1413,'февраль 2024'!$D$6:$D$1413,$B161,'февраль 2024'!$J$6:$J$1413,Q$1)</f>
        <v>0</v>
      </c>
      <c r="R161" s="80">
        <f>SUMIFS('февраль 2024'!$G$6:$G$1413,'февраль 2024'!$D$6:$D$1413,$B161,'февраль 2024'!$J$6:$J$1413,R$1)</f>
        <v>0</v>
      </c>
      <c r="S161" s="80">
        <f>SUMIFS('февраль 2024'!$G$6:$G$1413,'февраль 2024'!$D$6:$D$1413,$B161,'февраль 2024'!$J$6:$J$1413,S$1)</f>
        <v>0</v>
      </c>
      <c r="T161" s="80">
        <f>SUMIFS('февраль 2024'!$G$6:$G$1413,'февраль 2024'!$D$6:$D$1413,$B161,'февраль 2024'!$J$6:$J$1413,T$1)</f>
        <v>0</v>
      </c>
      <c r="U161" s="80">
        <f>SUMIFS('февраль 2024'!$G$6:$G$1413,'февраль 2024'!$D$6:$D$1413,$B161,'февраль 2024'!$J$6:$J$1413,U$1)</f>
        <v>0</v>
      </c>
      <c r="V161" s="80">
        <f>SUMIFS('февраль 2024'!$G$6:$G$1413,'февраль 2024'!$D$6:$D$1413,$B161,'февраль 2024'!$J$6:$J$1413,V$1)</f>
        <v>0</v>
      </c>
      <c r="W161" s="80">
        <f>SUMIFS('февраль 2024'!$G$6:$G$1413,'февраль 2024'!$D$6:$D$1413,$B161,'февраль 2024'!$J$6:$J$1413,W$1)</f>
        <v>0</v>
      </c>
      <c r="X161" s="80">
        <f>SUMIFS('февраль 2024'!$G$6:$G$1413,'февраль 2024'!$D$6:$D$1413,$B161,'февраль 2024'!$J$6:$J$1413,X$1)</f>
        <v>0</v>
      </c>
      <c r="Y161" s="80">
        <f>SUMIFS('февраль 2024'!$G$6:$G$1413,'февраль 2024'!$D$6:$D$1413,$B161,'февраль 2024'!$J$6:$J$1413,Y$1)</f>
        <v>0</v>
      </c>
      <c r="Z161" s="80">
        <f>SUMIFS('февраль 2024'!$G$6:$G$1413,'февраль 2024'!$D$6:$D$1413,$B161,'февраль 2024'!$J$6:$J$1413,Z$1)</f>
        <v>0</v>
      </c>
      <c r="AA161" s="80">
        <f>SUMIFS('февраль 2024'!$G$6:$G$1413,'февраль 2024'!$D$6:$D$1413,$B161,'февраль 2024'!$J$6:$J$1413,AA$1)</f>
        <v>0</v>
      </c>
      <c r="AB161" s="80">
        <f>SUMIFS('февраль 2024'!$G$6:$G$1413,'февраль 2024'!$D$6:$D$1413,$B161,'февраль 2024'!$J$6:$J$1413,AB$1)</f>
        <v>0</v>
      </c>
      <c r="AC161" s="80">
        <f>SUMIFS('февраль 2024'!$G$6:$G$1413,'февраль 2024'!$D$6:$D$1413,$B161,'февраль 2024'!$J$6:$J$1413,AC$1)</f>
        <v>0</v>
      </c>
      <c r="AD161" s="80">
        <f>SUMIFS('февраль 2024'!$G$6:$G$1413,'февраль 2024'!$D$6:$D$1413,$B161,'февраль 2024'!$J$6:$J$1413,AD$1)</f>
        <v>0</v>
      </c>
      <c r="AE161" s="80">
        <f>SUMIFS('февраль 2024'!$G$6:$G$1413,'февраль 2024'!$D$6:$D$1413,$B161,'февраль 2024'!$J$6:$J$1413,AE$1)</f>
        <v>0</v>
      </c>
      <c r="AF161" s="80">
        <f>SUMIFS('февраль 2024'!$G$6:$G$1413,'февраль 2024'!$D$6:$D$1413,$B161,'февраль 2024'!$J$6:$J$1413,AF$1)</f>
        <v>0</v>
      </c>
      <c r="AG161" s="80">
        <f>SUMIFS('февраль 2024'!$G$6:$G$1413,'февраль 2024'!$D$6:$D$1413,$B161,'февраль 2024'!$J$6:$J$1413,AG$1)</f>
        <v>0</v>
      </c>
      <c r="AH161" s="80">
        <f>SUMIFS('февраль 2024'!$G$6:$G$1413,'февраль 2024'!$D$6:$D$1413,$B161,'февраль 2024'!$J$6:$J$1413,AH$1)</f>
        <v>0</v>
      </c>
      <c r="AI161" s="87"/>
    </row>
    <row r="162" spans="2:35" ht="15" hidden="1" customHeight="1" x14ac:dyDescent="0.25">
      <c r="B162" s="89"/>
      <c r="C162" s="88"/>
      <c r="D162" s="80">
        <f>SUMIFS('февраль 2024'!$G$6:$G$1413,'февраль 2024'!$D$6:$D$1413,$B162,'февраль 2024'!$J$6:$J$1413,D$1)</f>
        <v>0</v>
      </c>
      <c r="E162" s="80">
        <f>SUMIFS('февраль 2024'!$G$6:$G$1413,'февраль 2024'!$D$6:$D$1413,$B162,'февраль 2024'!$J$6:$J$1413,E$1)</f>
        <v>0</v>
      </c>
      <c r="F162" s="80">
        <f>SUMIFS('февраль 2024'!$G$6:$G$1413,'февраль 2024'!$D$6:$D$1413,$B162,'февраль 2024'!$J$6:$J$1413,F$1)</f>
        <v>0</v>
      </c>
      <c r="G162" s="80">
        <f>SUMIFS('февраль 2024'!$G$6:$G$1413,'февраль 2024'!$D$6:$D$1413,$B162,'февраль 2024'!$J$6:$J$1413,G$1)</f>
        <v>0</v>
      </c>
      <c r="H162" s="80">
        <f>SUMIFS('февраль 2024'!$G$6:$G$1413,'февраль 2024'!$D$6:$D$1413,$B162,'февраль 2024'!$J$6:$J$1413,H$1)</f>
        <v>0</v>
      </c>
      <c r="I162" s="80">
        <f>SUMIFS('февраль 2024'!$G$6:$G$1413,'февраль 2024'!$D$6:$D$1413,$B162,'февраль 2024'!$J$6:$J$1413,I$1)</f>
        <v>0</v>
      </c>
      <c r="J162" s="80">
        <f>SUMIFS('февраль 2024'!$G$6:$G$1413,'февраль 2024'!$D$6:$D$1413,$B162,'февраль 2024'!$J$6:$J$1413,J$1)</f>
        <v>0</v>
      </c>
      <c r="K162" s="80">
        <f>SUMIFS('февраль 2024'!$G$6:$G$1413,'февраль 2024'!$D$6:$D$1413,$B162,'февраль 2024'!$J$6:$J$1413,K$1)</f>
        <v>0</v>
      </c>
      <c r="L162" s="80">
        <f>SUMIFS('февраль 2024'!$G$6:$G$1413,'февраль 2024'!$D$6:$D$1413,$B162,'февраль 2024'!$J$6:$J$1413,L$1)</f>
        <v>0</v>
      </c>
      <c r="M162" s="80">
        <f>SUMIFS('февраль 2024'!$G$6:$G$1413,'февраль 2024'!$D$6:$D$1413,$B162,'февраль 2024'!$J$6:$J$1413,M$1)</f>
        <v>0</v>
      </c>
      <c r="N162" s="80">
        <f>SUMIFS('февраль 2024'!$G$6:$G$1413,'февраль 2024'!$D$6:$D$1413,$B162,'февраль 2024'!$J$6:$J$1413,N$1)</f>
        <v>0</v>
      </c>
      <c r="O162" s="80">
        <f>SUMIFS('февраль 2024'!$G$6:$G$1413,'февраль 2024'!$D$6:$D$1413,$B162,'февраль 2024'!$J$6:$J$1413,O$1)</f>
        <v>0</v>
      </c>
      <c r="P162" s="80">
        <f>SUMIFS('февраль 2024'!$G$6:$G$1413,'февраль 2024'!$D$6:$D$1413,$B162,'февраль 2024'!$J$6:$J$1413,P$1)</f>
        <v>0</v>
      </c>
      <c r="Q162" s="80">
        <f>SUMIFS('февраль 2024'!$G$6:$G$1413,'февраль 2024'!$D$6:$D$1413,$B162,'февраль 2024'!$J$6:$J$1413,Q$1)</f>
        <v>0</v>
      </c>
      <c r="R162" s="80">
        <f>SUMIFS('февраль 2024'!$G$6:$G$1413,'февраль 2024'!$D$6:$D$1413,$B162,'февраль 2024'!$J$6:$J$1413,R$1)</f>
        <v>0</v>
      </c>
      <c r="S162" s="80">
        <f>SUMIFS('февраль 2024'!$G$6:$G$1413,'февраль 2024'!$D$6:$D$1413,$B162,'февраль 2024'!$J$6:$J$1413,S$1)</f>
        <v>0</v>
      </c>
      <c r="T162" s="80">
        <f>SUMIFS('февраль 2024'!$G$6:$G$1413,'февраль 2024'!$D$6:$D$1413,$B162,'февраль 2024'!$J$6:$J$1413,T$1)</f>
        <v>0</v>
      </c>
      <c r="U162" s="80">
        <f>SUMIFS('февраль 2024'!$G$6:$G$1413,'февраль 2024'!$D$6:$D$1413,$B162,'февраль 2024'!$J$6:$J$1413,U$1)</f>
        <v>0</v>
      </c>
      <c r="V162" s="80">
        <f>SUMIFS('февраль 2024'!$G$6:$G$1413,'февраль 2024'!$D$6:$D$1413,$B162,'февраль 2024'!$J$6:$J$1413,V$1)</f>
        <v>0</v>
      </c>
      <c r="W162" s="80">
        <f>SUMIFS('февраль 2024'!$G$6:$G$1413,'февраль 2024'!$D$6:$D$1413,$B162,'февраль 2024'!$J$6:$J$1413,W$1)</f>
        <v>0</v>
      </c>
      <c r="X162" s="80">
        <f>SUMIFS('февраль 2024'!$G$6:$G$1413,'февраль 2024'!$D$6:$D$1413,$B162,'февраль 2024'!$J$6:$J$1413,X$1)</f>
        <v>0</v>
      </c>
      <c r="Y162" s="80">
        <f>SUMIFS('февраль 2024'!$G$6:$G$1413,'февраль 2024'!$D$6:$D$1413,$B162,'февраль 2024'!$J$6:$J$1413,Y$1)</f>
        <v>0</v>
      </c>
      <c r="Z162" s="80">
        <f>SUMIFS('февраль 2024'!$G$6:$G$1413,'февраль 2024'!$D$6:$D$1413,$B162,'февраль 2024'!$J$6:$J$1413,Z$1)</f>
        <v>0</v>
      </c>
      <c r="AA162" s="80">
        <f>SUMIFS('февраль 2024'!$G$6:$G$1413,'февраль 2024'!$D$6:$D$1413,$B162,'февраль 2024'!$J$6:$J$1413,AA$1)</f>
        <v>0</v>
      </c>
      <c r="AB162" s="80">
        <f>SUMIFS('февраль 2024'!$G$6:$G$1413,'февраль 2024'!$D$6:$D$1413,$B162,'февраль 2024'!$J$6:$J$1413,AB$1)</f>
        <v>0</v>
      </c>
      <c r="AC162" s="80">
        <f>SUMIFS('февраль 2024'!$G$6:$G$1413,'февраль 2024'!$D$6:$D$1413,$B162,'февраль 2024'!$J$6:$J$1413,AC$1)</f>
        <v>0</v>
      </c>
      <c r="AD162" s="80">
        <f>SUMIFS('февраль 2024'!$G$6:$G$1413,'февраль 2024'!$D$6:$D$1413,$B162,'февраль 2024'!$J$6:$J$1413,AD$1)</f>
        <v>0</v>
      </c>
      <c r="AE162" s="80">
        <f>SUMIFS('февраль 2024'!$G$6:$G$1413,'февраль 2024'!$D$6:$D$1413,$B162,'февраль 2024'!$J$6:$J$1413,AE$1)</f>
        <v>0</v>
      </c>
      <c r="AF162" s="80">
        <f>SUMIFS('февраль 2024'!$G$6:$G$1413,'февраль 2024'!$D$6:$D$1413,$B162,'февраль 2024'!$J$6:$J$1413,AF$1)</f>
        <v>0</v>
      </c>
      <c r="AG162" s="80">
        <f>SUMIFS('февраль 2024'!$G$6:$G$1413,'февраль 2024'!$D$6:$D$1413,$B162,'февраль 2024'!$J$6:$J$1413,AG$1)</f>
        <v>0</v>
      </c>
      <c r="AH162" s="80">
        <f>SUMIFS('февраль 2024'!$G$6:$G$1413,'февраль 2024'!$D$6:$D$1413,$B162,'февраль 2024'!$J$6:$J$1413,AH$1)</f>
        <v>0</v>
      </c>
      <c r="AI162" s="87"/>
    </row>
    <row r="163" spans="2:35" ht="15" hidden="1" customHeight="1" x14ac:dyDescent="0.25">
      <c r="B163" s="93"/>
      <c r="C163" s="91"/>
      <c r="D163" s="80">
        <f>SUMIFS('февраль 2024'!$G$6:$G$1413,'февраль 2024'!$D$6:$D$1413,$B163,'февраль 2024'!$J$6:$J$1413,D$1)</f>
        <v>0</v>
      </c>
      <c r="E163" s="80">
        <f>SUMIFS('февраль 2024'!$G$6:$G$1413,'февраль 2024'!$D$6:$D$1413,$B163,'февраль 2024'!$J$6:$J$1413,E$1)</f>
        <v>0</v>
      </c>
      <c r="F163" s="80">
        <f>SUMIFS('февраль 2024'!$G$6:$G$1413,'февраль 2024'!$D$6:$D$1413,$B163,'февраль 2024'!$J$6:$J$1413,F$1)</f>
        <v>0</v>
      </c>
      <c r="G163" s="80">
        <f>SUMIFS('февраль 2024'!$G$6:$G$1413,'февраль 2024'!$D$6:$D$1413,$B163,'февраль 2024'!$J$6:$J$1413,G$1)</f>
        <v>0</v>
      </c>
      <c r="H163" s="80">
        <f>SUMIFS('февраль 2024'!$G$6:$G$1413,'февраль 2024'!$D$6:$D$1413,$B163,'февраль 2024'!$J$6:$J$1413,H$1)</f>
        <v>0</v>
      </c>
      <c r="I163" s="80">
        <f>SUMIFS('февраль 2024'!$G$6:$G$1413,'февраль 2024'!$D$6:$D$1413,$B163,'февраль 2024'!$J$6:$J$1413,I$1)</f>
        <v>0</v>
      </c>
      <c r="J163" s="80">
        <f>SUMIFS('февраль 2024'!$G$6:$G$1413,'февраль 2024'!$D$6:$D$1413,$B163,'февраль 2024'!$J$6:$J$1413,J$1)</f>
        <v>0</v>
      </c>
      <c r="K163" s="80">
        <f>SUMIFS('февраль 2024'!$G$6:$G$1413,'февраль 2024'!$D$6:$D$1413,$B163,'февраль 2024'!$J$6:$J$1413,K$1)</f>
        <v>0</v>
      </c>
      <c r="L163" s="80">
        <f>SUMIFS('февраль 2024'!$G$6:$G$1413,'февраль 2024'!$D$6:$D$1413,$B163,'февраль 2024'!$J$6:$J$1413,L$1)</f>
        <v>0</v>
      </c>
      <c r="M163" s="80">
        <f>SUMIFS('февраль 2024'!$G$6:$G$1413,'февраль 2024'!$D$6:$D$1413,$B163,'февраль 2024'!$J$6:$J$1413,M$1)</f>
        <v>0</v>
      </c>
      <c r="N163" s="80">
        <f>SUMIFS('февраль 2024'!$G$6:$G$1413,'февраль 2024'!$D$6:$D$1413,$B163,'февраль 2024'!$J$6:$J$1413,N$1)</f>
        <v>0</v>
      </c>
      <c r="O163" s="80">
        <f>SUMIFS('февраль 2024'!$G$6:$G$1413,'февраль 2024'!$D$6:$D$1413,$B163,'февраль 2024'!$J$6:$J$1413,O$1)</f>
        <v>0</v>
      </c>
      <c r="P163" s="80">
        <f>SUMIFS('февраль 2024'!$G$6:$G$1413,'февраль 2024'!$D$6:$D$1413,$B163,'февраль 2024'!$J$6:$J$1413,P$1)</f>
        <v>0</v>
      </c>
      <c r="Q163" s="80">
        <f>SUMIFS('февраль 2024'!$G$6:$G$1413,'февраль 2024'!$D$6:$D$1413,$B163,'февраль 2024'!$J$6:$J$1413,Q$1)</f>
        <v>0</v>
      </c>
      <c r="R163" s="80">
        <f>SUMIFS('февраль 2024'!$G$6:$G$1413,'февраль 2024'!$D$6:$D$1413,$B163,'февраль 2024'!$J$6:$J$1413,R$1)</f>
        <v>0</v>
      </c>
      <c r="S163" s="80">
        <f>SUMIFS('февраль 2024'!$G$6:$G$1413,'февраль 2024'!$D$6:$D$1413,$B163,'февраль 2024'!$J$6:$J$1413,S$1)</f>
        <v>0</v>
      </c>
      <c r="T163" s="80">
        <f>SUMIFS('февраль 2024'!$G$6:$G$1413,'февраль 2024'!$D$6:$D$1413,$B163,'февраль 2024'!$J$6:$J$1413,T$1)</f>
        <v>0</v>
      </c>
      <c r="U163" s="80">
        <f>SUMIFS('февраль 2024'!$G$6:$G$1413,'февраль 2024'!$D$6:$D$1413,$B163,'февраль 2024'!$J$6:$J$1413,U$1)</f>
        <v>0</v>
      </c>
      <c r="V163" s="80">
        <f>SUMIFS('февраль 2024'!$G$6:$G$1413,'февраль 2024'!$D$6:$D$1413,$B163,'февраль 2024'!$J$6:$J$1413,V$1)</f>
        <v>0</v>
      </c>
      <c r="W163" s="80">
        <f>SUMIFS('февраль 2024'!$G$6:$G$1413,'февраль 2024'!$D$6:$D$1413,$B163,'февраль 2024'!$J$6:$J$1413,W$1)</f>
        <v>0</v>
      </c>
      <c r="X163" s="80">
        <f>SUMIFS('февраль 2024'!$G$6:$G$1413,'февраль 2024'!$D$6:$D$1413,$B163,'февраль 2024'!$J$6:$J$1413,X$1)</f>
        <v>0</v>
      </c>
      <c r="Y163" s="80">
        <f>SUMIFS('февраль 2024'!$G$6:$G$1413,'февраль 2024'!$D$6:$D$1413,$B163,'февраль 2024'!$J$6:$J$1413,Y$1)</f>
        <v>0</v>
      </c>
      <c r="Z163" s="80">
        <f>SUMIFS('февраль 2024'!$G$6:$G$1413,'февраль 2024'!$D$6:$D$1413,$B163,'февраль 2024'!$J$6:$J$1413,Z$1)</f>
        <v>0</v>
      </c>
      <c r="AA163" s="80">
        <f>SUMIFS('февраль 2024'!$G$6:$G$1413,'февраль 2024'!$D$6:$D$1413,$B163,'февраль 2024'!$J$6:$J$1413,AA$1)</f>
        <v>0</v>
      </c>
      <c r="AB163" s="80">
        <f>SUMIFS('февраль 2024'!$G$6:$G$1413,'февраль 2024'!$D$6:$D$1413,$B163,'февраль 2024'!$J$6:$J$1413,AB$1)</f>
        <v>0</v>
      </c>
      <c r="AC163" s="80">
        <f>SUMIFS('февраль 2024'!$G$6:$G$1413,'февраль 2024'!$D$6:$D$1413,$B163,'февраль 2024'!$J$6:$J$1413,AC$1)</f>
        <v>0</v>
      </c>
      <c r="AD163" s="80">
        <f>SUMIFS('февраль 2024'!$G$6:$G$1413,'февраль 2024'!$D$6:$D$1413,$B163,'февраль 2024'!$J$6:$J$1413,AD$1)</f>
        <v>0</v>
      </c>
      <c r="AE163" s="80">
        <f>SUMIFS('февраль 2024'!$G$6:$G$1413,'февраль 2024'!$D$6:$D$1413,$B163,'февраль 2024'!$J$6:$J$1413,AE$1)</f>
        <v>0</v>
      </c>
      <c r="AF163" s="80">
        <f>SUMIFS('февраль 2024'!$G$6:$G$1413,'февраль 2024'!$D$6:$D$1413,$B163,'февраль 2024'!$J$6:$J$1413,AF$1)</f>
        <v>0</v>
      </c>
      <c r="AG163" s="80">
        <f>SUMIFS('февраль 2024'!$G$6:$G$1413,'февраль 2024'!$D$6:$D$1413,$B163,'февраль 2024'!$J$6:$J$1413,AG$1)</f>
        <v>0</v>
      </c>
      <c r="AH163" s="80">
        <f>SUMIFS('февраль 2024'!$G$6:$G$1413,'февраль 2024'!$D$6:$D$1413,$B163,'февраль 2024'!$J$6:$J$1413,AH$1)</f>
        <v>0</v>
      </c>
      <c r="AI163" s="87"/>
    </row>
    <row r="164" spans="2:35" ht="15" hidden="1" customHeight="1" x14ac:dyDescent="0.25">
      <c r="B164" s="93"/>
      <c r="C164" s="91"/>
      <c r="D164" s="80">
        <f>SUMIFS('февраль 2024'!$G$6:$G$1413,'февраль 2024'!$D$6:$D$1413,$B164,'февраль 2024'!$J$6:$J$1413,D$1)</f>
        <v>0</v>
      </c>
      <c r="E164" s="80">
        <f>SUMIFS('февраль 2024'!$G$6:$G$1413,'февраль 2024'!$D$6:$D$1413,$B164,'февраль 2024'!$J$6:$J$1413,E$1)</f>
        <v>0</v>
      </c>
      <c r="F164" s="80">
        <f>SUMIFS('февраль 2024'!$G$6:$G$1413,'февраль 2024'!$D$6:$D$1413,$B164,'февраль 2024'!$J$6:$J$1413,F$1)</f>
        <v>0</v>
      </c>
      <c r="G164" s="80">
        <f>SUMIFS('февраль 2024'!$G$6:$G$1413,'февраль 2024'!$D$6:$D$1413,$B164,'февраль 2024'!$J$6:$J$1413,G$1)</f>
        <v>0</v>
      </c>
      <c r="H164" s="80">
        <f>SUMIFS('февраль 2024'!$G$6:$G$1413,'февраль 2024'!$D$6:$D$1413,$B164,'февраль 2024'!$J$6:$J$1413,H$1)</f>
        <v>0</v>
      </c>
      <c r="I164" s="80">
        <f>SUMIFS('февраль 2024'!$G$6:$G$1413,'февраль 2024'!$D$6:$D$1413,$B164,'февраль 2024'!$J$6:$J$1413,I$1)</f>
        <v>0</v>
      </c>
      <c r="J164" s="80">
        <f>SUMIFS('февраль 2024'!$G$6:$G$1413,'февраль 2024'!$D$6:$D$1413,$B164,'февраль 2024'!$J$6:$J$1413,J$1)</f>
        <v>0</v>
      </c>
      <c r="K164" s="80">
        <f>SUMIFS('февраль 2024'!$G$6:$G$1413,'февраль 2024'!$D$6:$D$1413,$B164,'февраль 2024'!$J$6:$J$1413,K$1)</f>
        <v>0</v>
      </c>
      <c r="L164" s="80">
        <f>SUMIFS('февраль 2024'!$G$6:$G$1413,'февраль 2024'!$D$6:$D$1413,$B164,'февраль 2024'!$J$6:$J$1413,L$1)</f>
        <v>0</v>
      </c>
      <c r="M164" s="80">
        <f>SUMIFS('февраль 2024'!$G$6:$G$1413,'февраль 2024'!$D$6:$D$1413,$B164,'февраль 2024'!$J$6:$J$1413,M$1)</f>
        <v>0</v>
      </c>
      <c r="N164" s="80">
        <f>SUMIFS('февраль 2024'!$G$6:$G$1413,'февраль 2024'!$D$6:$D$1413,$B164,'февраль 2024'!$J$6:$J$1413,N$1)</f>
        <v>0</v>
      </c>
      <c r="O164" s="80">
        <f>SUMIFS('февраль 2024'!$G$6:$G$1413,'февраль 2024'!$D$6:$D$1413,$B164,'февраль 2024'!$J$6:$J$1413,O$1)</f>
        <v>0</v>
      </c>
      <c r="P164" s="80">
        <f>SUMIFS('февраль 2024'!$G$6:$G$1413,'февраль 2024'!$D$6:$D$1413,$B164,'февраль 2024'!$J$6:$J$1413,P$1)</f>
        <v>0</v>
      </c>
      <c r="Q164" s="80">
        <f>SUMIFS('февраль 2024'!$G$6:$G$1413,'февраль 2024'!$D$6:$D$1413,$B164,'февраль 2024'!$J$6:$J$1413,Q$1)</f>
        <v>0</v>
      </c>
      <c r="R164" s="80">
        <f>SUMIFS('февраль 2024'!$G$6:$G$1413,'февраль 2024'!$D$6:$D$1413,$B164,'февраль 2024'!$J$6:$J$1413,R$1)</f>
        <v>0</v>
      </c>
      <c r="S164" s="80">
        <f>SUMIFS('февраль 2024'!$G$6:$G$1413,'февраль 2024'!$D$6:$D$1413,$B164,'февраль 2024'!$J$6:$J$1413,S$1)</f>
        <v>0</v>
      </c>
      <c r="T164" s="80">
        <f>SUMIFS('февраль 2024'!$G$6:$G$1413,'февраль 2024'!$D$6:$D$1413,$B164,'февраль 2024'!$J$6:$J$1413,T$1)</f>
        <v>0</v>
      </c>
      <c r="U164" s="80">
        <f>SUMIFS('февраль 2024'!$G$6:$G$1413,'февраль 2024'!$D$6:$D$1413,$B164,'февраль 2024'!$J$6:$J$1413,U$1)</f>
        <v>0</v>
      </c>
      <c r="V164" s="80">
        <f>SUMIFS('февраль 2024'!$G$6:$G$1413,'февраль 2024'!$D$6:$D$1413,$B164,'февраль 2024'!$J$6:$J$1413,V$1)</f>
        <v>0</v>
      </c>
      <c r="W164" s="80">
        <f>SUMIFS('февраль 2024'!$G$6:$G$1413,'февраль 2024'!$D$6:$D$1413,$B164,'февраль 2024'!$J$6:$J$1413,W$1)</f>
        <v>0</v>
      </c>
      <c r="X164" s="80">
        <f>SUMIFS('февраль 2024'!$G$6:$G$1413,'февраль 2024'!$D$6:$D$1413,$B164,'февраль 2024'!$J$6:$J$1413,X$1)</f>
        <v>0</v>
      </c>
      <c r="Y164" s="80">
        <f>SUMIFS('февраль 2024'!$G$6:$G$1413,'февраль 2024'!$D$6:$D$1413,$B164,'февраль 2024'!$J$6:$J$1413,Y$1)</f>
        <v>0</v>
      </c>
      <c r="Z164" s="80">
        <f>SUMIFS('февраль 2024'!$G$6:$G$1413,'февраль 2024'!$D$6:$D$1413,$B164,'февраль 2024'!$J$6:$J$1413,Z$1)</f>
        <v>0</v>
      </c>
      <c r="AA164" s="80">
        <f>SUMIFS('февраль 2024'!$G$6:$G$1413,'февраль 2024'!$D$6:$D$1413,$B164,'февраль 2024'!$J$6:$J$1413,AA$1)</f>
        <v>0</v>
      </c>
      <c r="AB164" s="80">
        <f>SUMIFS('февраль 2024'!$G$6:$G$1413,'февраль 2024'!$D$6:$D$1413,$B164,'февраль 2024'!$J$6:$J$1413,AB$1)</f>
        <v>0</v>
      </c>
      <c r="AC164" s="80">
        <f>SUMIFS('февраль 2024'!$G$6:$G$1413,'февраль 2024'!$D$6:$D$1413,$B164,'февраль 2024'!$J$6:$J$1413,AC$1)</f>
        <v>0</v>
      </c>
      <c r="AD164" s="80">
        <f>SUMIFS('февраль 2024'!$G$6:$G$1413,'февраль 2024'!$D$6:$D$1413,$B164,'февраль 2024'!$J$6:$J$1413,AD$1)</f>
        <v>0</v>
      </c>
      <c r="AE164" s="80">
        <f>SUMIFS('февраль 2024'!$G$6:$G$1413,'февраль 2024'!$D$6:$D$1413,$B164,'февраль 2024'!$J$6:$J$1413,AE$1)</f>
        <v>0</v>
      </c>
      <c r="AF164" s="80">
        <f>SUMIFS('февраль 2024'!$G$6:$G$1413,'февраль 2024'!$D$6:$D$1413,$B164,'февраль 2024'!$J$6:$J$1413,AF$1)</f>
        <v>0</v>
      </c>
      <c r="AG164" s="80">
        <f>SUMIFS('февраль 2024'!$G$6:$G$1413,'февраль 2024'!$D$6:$D$1413,$B164,'февраль 2024'!$J$6:$J$1413,AG$1)</f>
        <v>0</v>
      </c>
      <c r="AH164" s="80">
        <f>SUMIFS('февраль 2024'!$G$6:$G$1413,'февраль 2024'!$D$6:$D$1413,$B164,'февраль 2024'!$J$6:$J$1413,AH$1)</f>
        <v>0</v>
      </c>
      <c r="AI164" s="87"/>
    </row>
    <row r="165" spans="2:35" ht="15" hidden="1" customHeight="1" x14ac:dyDescent="0.25">
      <c r="B165" s="93"/>
      <c r="C165" s="91"/>
      <c r="D165" s="80">
        <f>SUMIFS('февраль 2024'!$G$6:$G$1413,'февраль 2024'!$D$6:$D$1413,$B165,'февраль 2024'!$J$6:$J$1413,D$1)</f>
        <v>0</v>
      </c>
      <c r="E165" s="80">
        <f>SUMIFS('февраль 2024'!$G$6:$G$1413,'февраль 2024'!$D$6:$D$1413,$B165,'февраль 2024'!$J$6:$J$1413,E$1)</f>
        <v>0</v>
      </c>
      <c r="F165" s="80">
        <f>SUMIFS('февраль 2024'!$G$6:$G$1413,'февраль 2024'!$D$6:$D$1413,$B165,'февраль 2024'!$J$6:$J$1413,F$1)</f>
        <v>0</v>
      </c>
      <c r="G165" s="80">
        <f>SUMIFS('февраль 2024'!$G$6:$G$1413,'февраль 2024'!$D$6:$D$1413,$B165,'февраль 2024'!$J$6:$J$1413,G$1)</f>
        <v>0</v>
      </c>
      <c r="H165" s="80">
        <f>SUMIFS('февраль 2024'!$G$6:$G$1413,'февраль 2024'!$D$6:$D$1413,$B165,'февраль 2024'!$J$6:$J$1413,H$1)</f>
        <v>0</v>
      </c>
      <c r="I165" s="80">
        <f>SUMIFS('февраль 2024'!$G$6:$G$1413,'февраль 2024'!$D$6:$D$1413,$B165,'февраль 2024'!$J$6:$J$1413,I$1)</f>
        <v>0</v>
      </c>
      <c r="J165" s="80">
        <f>SUMIFS('февраль 2024'!$G$6:$G$1413,'февраль 2024'!$D$6:$D$1413,$B165,'февраль 2024'!$J$6:$J$1413,J$1)</f>
        <v>0</v>
      </c>
      <c r="K165" s="80">
        <f>SUMIFS('февраль 2024'!$G$6:$G$1413,'февраль 2024'!$D$6:$D$1413,$B165,'февраль 2024'!$J$6:$J$1413,K$1)</f>
        <v>0</v>
      </c>
      <c r="L165" s="80">
        <f>SUMIFS('февраль 2024'!$G$6:$G$1413,'февраль 2024'!$D$6:$D$1413,$B165,'февраль 2024'!$J$6:$J$1413,L$1)</f>
        <v>0</v>
      </c>
      <c r="M165" s="80">
        <f>SUMIFS('февраль 2024'!$G$6:$G$1413,'февраль 2024'!$D$6:$D$1413,$B165,'февраль 2024'!$J$6:$J$1413,M$1)</f>
        <v>0</v>
      </c>
      <c r="N165" s="80">
        <f>SUMIFS('февраль 2024'!$G$6:$G$1413,'февраль 2024'!$D$6:$D$1413,$B165,'февраль 2024'!$J$6:$J$1413,N$1)</f>
        <v>0</v>
      </c>
      <c r="O165" s="80">
        <f>SUMIFS('февраль 2024'!$G$6:$G$1413,'февраль 2024'!$D$6:$D$1413,$B165,'февраль 2024'!$J$6:$J$1413,O$1)</f>
        <v>0</v>
      </c>
      <c r="P165" s="80">
        <f>SUMIFS('февраль 2024'!$G$6:$G$1413,'февраль 2024'!$D$6:$D$1413,$B165,'февраль 2024'!$J$6:$J$1413,P$1)</f>
        <v>0</v>
      </c>
      <c r="Q165" s="80">
        <f>SUMIFS('февраль 2024'!$G$6:$G$1413,'февраль 2024'!$D$6:$D$1413,$B165,'февраль 2024'!$J$6:$J$1413,Q$1)</f>
        <v>0</v>
      </c>
      <c r="R165" s="80">
        <f>SUMIFS('февраль 2024'!$G$6:$G$1413,'февраль 2024'!$D$6:$D$1413,$B165,'февраль 2024'!$J$6:$J$1413,R$1)</f>
        <v>0</v>
      </c>
      <c r="S165" s="80">
        <f>SUMIFS('февраль 2024'!$G$6:$G$1413,'февраль 2024'!$D$6:$D$1413,$B165,'февраль 2024'!$J$6:$J$1413,S$1)</f>
        <v>0</v>
      </c>
      <c r="T165" s="80">
        <f>SUMIFS('февраль 2024'!$G$6:$G$1413,'февраль 2024'!$D$6:$D$1413,$B165,'февраль 2024'!$J$6:$J$1413,T$1)</f>
        <v>0</v>
      </c>
      <c r="U165" s="80">
        <f>SUMIFS('февраль 2024'!$G$6:$G$1413,'февраль 2024'!$D$6:$D$1413,$B165,'февраль 2024'!$J$6:$J$1413,U$1)</f>
        <v>0</v>
      </c>
      <c r="V165" s="80">
        <f>SUMIFS('февраль 2024'!$G$6:$G$1413,'февраль 2024'!$D$6:$D$1413,$B165,'февраль 2024'!$J$6:$J$1413,V$1)</f>
        <v>0</v>
      </c>
      <c r="W165" s="80">
        <f>SUMIFS('февраль 2024'!$G$6:$G$1413,'февраль 2024'!$D$6:$D$1413,$B165,'февраль 2024'!$J$6:$J$1413,W$1)</f>
        <v>0</v>
      </c>
      <c r="X165" s="80">
        <f>SUMIFS('февраль 2024'!$G$6:$G$1413,'февраль 2024'!$D$6:$D$1413,$B165,'февраль 2024'!$J$6:$J$1413,X$1)</f>
        <v>0</v>
      </c>
      <c r="Y165" s="80">
        <f>SUMIFS('февраль 2024'!$G$6:$G$1413,'февраль 2024'!$D$6:$D$1413,$B165,'февраль 2024'!$J$6:$J$1413,Y$1)</f>
        <v>0</v>
      </c>
      <c r="Z165" s="80">
        <f>SUMIFS('февраль 2024'!$G$6:$G$1413,'февраль 2024'!$D$6:$D$1413,$B165,'февраль 2024'!$J$6:$J$1413,Z$1)</f>
        <v>0</v>
      </c>
      <c r="AA165" s="80">
        <f>SUMIFS('февраль 2024'!$G$6:$G$1413,'февраль 2024'!$D$6:$D$1413,$B165,'февраль 2024'!$J$6:$J$1413,AA$1)</f>
        <v>0</v>
      </c>
      <c r="AB165" s="80">
        <f>SUMIFS('февраль 2024'!$G$6:$G$1413,'февраль 2024'!$D$6:$D$1413,$B165,'февраль 2024'!$J$6:$J$1413,AB$1)</f>
        <v>0</v>
      </c>
      <c r="AC165" s="80">
        <f>SUMIFS('февраль 2024'!$G$6:$G$1413,'февраль 2024'!$D$6:$D$1413,$B165,'февраль 2024'!$J$6:$J$1413,AC$1)</f>
        <v>0</v>
      </c>
      <c r="AD165" s="80">
        <f>SUMIFS('февраль 2024'!$G$6:$G$1413,'февраль 2024'!$D$6:$D$1413,$B165,'февраль 2024'!$J$6:$J$1413,AD$1)</f>
        <v>0</v>
      </c>
      <c r="AE165" s="80">
        <f>SUMIFS('февраль 2024'!$G$6:$G$1413,'февраль 2024'!$D$6:$D$1413,$B165,'февраль 2024'!$J$6:$J$1413,AE$1)</f>
        <v>0</v>
      </c>
      <c r="AF165" s="80">
        <f>SUMIFS('февраль 2024'!$G$6:$G$1413,'февраль 2024'!$D$6:$D$1413,$B165,'февраль 2024'!$J$6:$J$1413,AF$1)</f>
        <v>0</v>
      </c>
      <c r="AG165" s="80">
        <f>SUMIFS('февраль 2024'!$G$6:$G$1413,'февраль 2024'!$D$6:$D$1413,$B165,'февраль 2024'!$J$6:$J$1413,AG$1)</f>
        <v>0</v>
      </c>
      <c r="AH165" s="80">
        <f>SUMIFS('февраль 2024'!$G$6:$G$1413,'февраль 2024'!$D$6:$D$1413,$B165,'февраль 2024'!$J$6:$J$1413,AH$1)</f>
        <v>0</v>
      </c>
      <c r="AI165" s="87"/>
    </row>
    <row r="166" spans="2:35" ht="15" hidden="1" customHeight="1" x14ac:dyDescent="0.25">
      <c r="B166" s="89"/>
      <c r="C166" s="88"/>
      <c r="D166" s="80">
        <f>SUMIFS('февраль 2024'!$G$6:$G$1413,'февраль 2024'!$D$6:$D$1413,$B166,'февраль 2024'!$J$6:$J$1413,D$1)</f>
        <v>0</v>
      </c>
      <c r="E166" s="80">
        <f>SUMIFS('февраль 2024'!$G$6:$G$1413,'февраль 2024'!$D$6:$D$1413,$B166,'февраль 2024'!$J$6:$J$1413,E$1)</f>
        <v>0</v>
      </c>
      <c r="F166" s="80">
        <f>SUMIFS('февраль 2024'!$G$6:$G$1413,'февраль 2024'!$D$6:$D$1413,$B166,'февраль 2024'!$J$6:$J$1413,F$1)</f>
        <v>0</v>
      </c>
      <c r="G166" s="80">
        <f>SUMIFS('февраль 2024'!$G$6:$G$1413,'февраль 2024'!$D$6:$D$1413,$B166,'февраль 2024'!$J$6:$J$1413,G$1)</f>
        <v>0</v>
      </c>
      <c r="H166" s="80">
        <f>SUMIFS('февраль 2024'!$G$6:$G$1413,'февраль 2024'!$D$6:$D$1413,$B166,'февраль 2024'!$J$6:$J$1413,H$1)</f>
        <v>0</v>
      </c>
      <c r="I166" s="80">
        <f>SUMIFS('февраль 2024'!$G$6:$G$1413,'февраль 2024'!$D$6:$D$1413,$B166,'февраль 2024'!$J$6:$J$1413,I$1)</f>
        <v>0</v>
      </c>
      <c r="J166" s="80">
        <f>SUMIFS('февраль 2024'!$G$6:$G$1413,'февраль 2024'!$D$6:$D$1413,$B166,'февраль 2024'!$J$6:$J$1413,J$1)</f>
        <v>0</v>
      </c>
      <c r="K166" s="80">
        <f>SUMIFS('февраль 2024'!$G$6:$G$1413,'февраль 2024'!$D$6:$D$1413,$B166,'февраль 2024'!$J$6:$J$1413,K$1)</f>
        <v>0</v>
      </c>
      <c r="L166" s="80">
        <f>SUMIFS('февраль 2024'!$G$6:$G$1413,'февраль 2024'!$D$6:$D$1413,$B166,'февраль 2024'!$J$6:$J$1413,L$1)</f>
        <v>0</v>
      </c>
      <c r="M166" s="80">
        <f>SUMIFS('февраль 2024'!$G$6:$G$1413,'февраль 2024'!$D$6:$D$1413,$B166,'февраль 2024'!$J$6:$J$1413,M$1)</f>
        <v>0</v>
      </c>
      <c r="N166" s="80">
        <f>SUMIFS('февраль 2024'!$G$6:$G$1413,'февраль 2024'!$D$6:$D$1413,$B166,'февраль 2024'!$J$6:$J$1413,N$1)</f>
        <v>0</v>
      </c>
      <c r="O166" s="80">
        <f>SUMIFS('февраль 2024'!$G$6:$G$1413,'февраль 2024'!$D$6:$D$1413,$B166,'февраль 2024'!$J$6:$J$1413,O$1)</f>
        <v>0</v>
      </c>
      <c r="P166" s="80">
        <f>SUMIFS('февраль 2024'!$G$6:$G$1413,'февраль 2024'!$D$6:$D$1413,$B166,'февраль 2024'!$J$6:$J$1413,P$1)</f>
        <v>0</v>
      </c>
      <c r="Q166" s="80">
        <f>SUMIFS('февраль 2024'!$G$6:$G$1413,'февраль 2024'!$D$6:$D$1413,$B166,'февраль 2024'!$J$6:$J$1413,Q$1)</f>
        <v>0</v>
      </c>
      <c r="R166" s="80">
        <f>SUMIFS('февраль 2024'!$G$6:$G$1413,'февраль 2024'!$D$6:$D$1413,$B166,'февраль 2024'!$J$6:$J$1413,R$1)</f>
        <v>0</v>
      </c>
      <c r="S166" s="80">
        <f>SUMIFS('февраль 2024'!$G$6:$G$1413,'февраль 2024'!$D$6:$D$1413,$B166,'февраль 2024'!$J$6:$J$1413,S$1)</f>
        <v>0</v>
      </c>
      <c r="T166" s="80">
        <f>SUMIFS('февраль 2024'!$G$6:$G$1413,'февраль 2024'!$D$6:$D$1413,$B166,'февраль 2024'!$J$6:$J$1413,T$1)</f>
        <v>0</v>
      </c>
      <c r="U166" s="80">
        <f>SUMIFS('февраль 2024'!$G$6:$G$1413,'февраль 2024'!$D$6:$D$1413,$B166,'февраль 2024'!$J$6:$J$1413,U$1)</f>
        <v>0</v>
      </c>
      <c r="V166" s="80">
        <f>SUMIFS('февраль 2024'!$G$6:$G$1413,'февраль 2024'!$D$6:$D$1413,$B166,'февраль 2024'!$J$6:$J$1413,V$1)</f>
        <v>0</v>
      </c>
      <c r="W166" s="80">
        <f>SUMIFS('февраль 2024'!$G$6:$G$1413,'февраль 2024'!$D$6:$D$1413,$B166,'февраль 2024'!$J$6:$J$1413,W$1)</f>
        <v>0</v>
      </c>
      <c r="X166" s="80">
        <f>SUMIFS('февраль 2024'!$G$6:$G$1413,'февраль 2024'!$D$6:$D$1413,$B166,'февраль 2024'!$J$6:$J$1413,X$1)</f>
        <v>0</v>
      </c>
      <c r="Y166" s="80">
        <f>SUMIFS('февраль 2024'!$G$6:$G$1413,'февраль 2024'!$D$6:$D$1413,$B166,'февраль 2024'!$J$6:$J$1413,Y$1)</f>
        <v>0</v>
      </c>
      <c r="Z166" s="80">
        <f>SUMIFS('февраль 2024'!$G$6:$G$1413,'февраль 2024'!$D$6:$D$1413,$B166,'февраль 2024'!$J$6:$J$1413,Z$1)</f>
        <v>0</v>
      </c>
      <c r="AA166" s="80">
        <f>SUMIFS('февраль 2024'!$G$6:$G$1413,'февраль 2024'!$D$6:$D$1413,$B166,'февраль 2024'!$J$6:$J$1413,AA$1)</f>
        <v>0</v>
      </c>
      <c r="AB166" s="80">
        <f>SUMIFS('февраль 2024'!$G$6:$G$1413,'февраль 2024'!$D$6:$D$1413,$B166,'февраль 2024'!$J$6:$J$1413,AB$1)</f>
        <v>0</v>
      </c>
      <c r="AC166" s="80">
        <f>SUMIFS('февраль 2024'!$G$6:$G$1413,'февраль 2024'!$D$6:$D$1413,$B166,'февраль 2024'!$J$6:$J$1413,AC$1)</f>
        <v>0</v>
      </c>
      <c r="AD166" s="80">
        <f>SUMIFS('февраль 2024'!$G$6:$G$1413,'февраль 2024'!$D$6:$D$1413,$B166,'февраль 2024'!$J$6:$J$1413,AD$1)</f>
        <v>0</v>
      </c>
      <c r="AE166" s="80">
        <f>SUMIFS('февраль 2024'!$G$6:$G$1413,'февраль 2024'!$D$6:$D$1413,$B166,'февраль 2024'!$J$6:$J$1413,AE$1)</f>
        <v>0</v>
      </c>
      <c r="AF166" s="80">
        <f>SUMIFS('февраль 2024'!$G$6:$G$1413,'февраль 2024'!$D$6:$D$1413,$B166,'февраль 2024'!$J$6:$J$1413,AF$1)</f>
        <v>0</v>
      </c>
      <c r="AG166" s="80">
        <f>SUMIFS('февраль 2024'!$G$6:$G$1413,'февраль 2024'!$D$6:$D$1413,$B166,'февраль 2024'!$J$6:$J$1413,AG$1)</f>
        <v>0</v>
      </c>
      <c r="AH166" s="80">
        <f>SUMIFS('февраль 2024'!$G$6:$G$1413,'февраль 2024'!$D$6:$D$1413,$B166,'февраль 2024'!$J$6:$J$1413,AH$1)</f>
        <v>0</v>
      </c>
      <c r="AI166" s="87"/>
    </row>
    <row r="167" spans="2:35" ht="15" hidden="1" customHeight="1" x14ac:dyDescent="0.25">
      <c r="B167" s="89"/>
      <c r="C167" s="88"/>
      <c r="D167" s="80">
        <f>SUMIFS('февраль 2024'!$G$6:$G$1413,'февраль 2024'!$D$6:$D$1413,$B167,'февраль 2024'!$J$6:$J$1413,D$1)</f>
        <v>0</v>
      </c>
      <c r="E167" s="80">
        <f>SUMIFS('февраль 2024'!$G$6:$G$1413,'февраль 2024'!$D$6:$D$1413,$B167,'февраль 2024'!$J$6:$J$1413,E$1)</f>
        <v>0</v>
      </c>
      <c r="F167" s="80">
        <f>SUMIFS('февраль 2024'!$G$6:$G$1413,'февраль 2024'!$D$6:$D$1413,$B167,'февраль 2024'!$J$6:$J$1413,F$1)</f>
        <v>0</v>
      </c>
      <c r="G167" s="80">
        <f>SUMIFS('февраль 2024'!$G$6:$G$1413,'февраль 2024'!$D$6:$D$1413,$B167,'февраль 2024'!$J$6:$J$1413,G$1)</f>
        <v>0</v>
      </c>
      <c r="H167" s="80">
        <f>SUMIFS('февраль 2024'!$G$6:$G$1413,'февраль 2024'!$D$6:$D$1413,$B167,'февраль 2024'!$J$6:$J$1413,H$1)</f>
        <v>0</v>
      </c>
      <c r="I167" s="80">
        <f>SUMIFS('февраль 2024'!$G$6:$G$1413,'февраль 2024'!$D$6:$D$1413,$B167,'февраль 2024'!$J$6:$J$1413,I$1)</f>
        <v>0</v>
      </c>
      <c r="J167" s="80">
        <f>SUMIFS('февраль 2024'!$G$6:$G$1413,'февраль 2024'!$D$6:$D$1413,$B167,'февраль 2024'!$J$6:$J$1413,J$1)</f>
        <v>0</v>
      </c>
      <c r="K167" s="80">
        <f>SUMIFS('февраль 2024'!$G$6:$G$1413,'февраль 2024'!$D$6:$D$1413,$B167,'февраль 2024'!$J$6:$J$1413,K$1)</f>
        <v>0</v>
      </c>
      <c r="L167" s="80">
        <f>SUMIFS('февраль 2024'!$G$6:$G$1413,'февраль 2024'!$D$6:$D$1413,$B167,'февраль 2024'!$J$6:$J$1413,L$1)</f>
        <v>0</v>
      </c>
      <c r="M167" s="80">
        <f>SUMIFS('февраль 2024'!$G$6:$G$1413,'февраль 2024'!$D$6:$D$1413,$B167,'февраль 2024'!$J$6:$J$1413,M$1)</f>
        <v>0</v>
      </c>
      <c r="N167" s="80">
        <f>SUMIFS('февраль 2024'!$G$6:$G$1413,'февраль 2024'!$D$6:$D$1413,$B167,'февраль 2024'!$J$6:$J$1413,N$1)</f>
        <v>0</v>
      </c>
      <c r="O167" s="80">
        <f>SUMIFS('февраль 2024'!$G$6:$G$1413,'февраль 2024'!$D$6:$D$1413,$B167,'февраль 2024'!$J$6:$J$1413,O$1)</f>
        <v>0</v>
      </c>
      <c r="P167" s="80">
        <f>SUMIFS('февраль 2024'!$G$6:$G$1413,'февраль 2024'!$D$6:$D$1413,$B167,'февраль 2024'!$J$6:$J$1413,P$1)</f>
        <v>0</v>
      </c>
      <c r="Q167" s="80">
        <f>SUMIFS('февраль 2024'!$G$6:$G$1413,'февраль 2024'!$D$6:$D$1413,$B167,'февраль 2024'!$J$6:$J$1413,Q$1)</f>
        <v>0</v>
      </c>
      <c r="R167" s="80">
        <f>SUMIFS('февраль 2024'!$G$6:$G$1413,'февраль 2024'!$D$6:$D$1413,$B167,'февраль 2024'!$J$6:$J$1413,R$1)</f>
        <v>0</v>
      </c>
      <c r="S167" s="80">
        <f>SUMIFS('февраль 2024'!$G$6:$G$1413,'февраль 2024'!$D$6:$D$1413,$B167,'февраль 2024'!$J$6:$J$1413,S$1)</f>
        <v>0</v>
      </c>
      <c r="T167" s="80">
        <f>SUMIFS('февраль 2024'!$G$6:$G$1413,'февраль 2024'!$D$6:$D$1413,$B167,'февраль 2024'!$J$6:$J$1413,T$1)</f>
        <v>0</v>
      </c>
      <c r="U167" s="80">
        <f>SUMIFS('февраль 2024'!$G$6:$G$1413,'февраль 2024'!$D$6:$D$1413,$B167,'февраль 2024'!$J$6:$J$1413,U$1)</f>
        <v>0</v>
      </c>
      <c r="V167" s="80">
        <f>SUMIFS('февраль 2024'!$G$6:$G$1413,'февраль 2024'!$D$6:$D$1413,$B167,'февраль 2024'!$J$6:$J$1413,V$1)</f>
        <v>0</v>
      </c>
      <c r="W167" s="80">
        <f>SUMIFS('февраль 2024'!$G$6:$G$1413,'февраль 2024'!$D$6:$D$1413,$B167,'февраль 2024'!$J$6:$J$1413,W$1)</f>
        <v>0</v>
      </c>
      <c r="X167" s="80">
        <f>SUMIFS('февраль 2024'!$G$6:$G$1413,'февраль 2024'!$D$6:$D$1413,$B167,'февраль 2024'!$J$6:$J$1413,X$1)</f>
        <v>0</v>
      </c>
      <c r="Y167" s="80">
        <f>SUMIFS('февраль 2024'!$G$6:$G$1413,'февраль 2024'!$D$6:$D$1413,$B167,'февраль 2024'!$J$6:$J$1413,Y$1)</f>
        <v>0</v>
      </c>
      <c r="Z167" s="80">
        <f>SUMIFS('февраль 2024'!$G$6:$G$1413,'февраль 2024'!$D$6:$D$1413,$B167,'февраль 2024'!$J$6:$J$1413,Z$1)</f>
        <v>0</v>
      </c>
      <c r="AA167" s="80">
        <f>SUMIFS('февраль 2024'!$G$6:$G$1413,'февраль 2024'!$D$6:$D$1413,$B167,'февраль 2024'!$J$6:$J$1413,AA$1)</f>
        <v>0</v>
      </c>
      <c r="AB167" s="80">
        <f>SUMIFS('февраль 2024'!$G$6:$G$1413,'февраль 2024'!$D$6:$D$1413,$B167,'февраль 2024'!$J$6:$J$1413,AB$1)</f>
        <v>0</v>
      </c>
      <c r="AC167" s="80">
        <f>SUMIFS('февраль 2024'!$G$6:$G$1413,'февраль 2024'!$D$6:$D$1413,$B167,'февраль 2024'!$J$6:$J$1413,AC$1)</f>
        <v>0</v>
      </c>
      <c r="AD167" s="80">
        <f>SUMIFS('февраль 2024'!$G$6:$G$1413,'февраль 2024'!$D$6:$D$1413,$B167,'февраль 2024'!$J$6:$J$1413,AD$1)</f>
        <v>0</v>
      </c>
      <c r="AE167" s="80">
        <f>SUMIFS('февраль 2024'!$G$6:$G$1413,'февраль 2024'!$D$6:$D$1413,$B167,'февраль 2024'!$J$6:$J$1413,AE$1)</f>
        <v>0</v>
      </c>
      <c r="AF167" s="80">
        <f>SUMIFS('февраль 2024'!$G$6:$G$1413,'февраль 2024'!$D$6:$D$1413,$B167,'февраль 2024'!$J$6:$J$1413,AF$1)</f>
        <v>0</v>
      </c>
      <c r="AG167" s="80">
        <f>SUMIFS('февраль 2024'!$G$6:$G$1413,'февраль 2024'!$D$6:$D$1413,$B167,'февраль 2024'!$J$6:$J$1413,AG$1)</f>
        <v>0</v>
      </c>
      <c r="AH167" s="80">
        <f>SUMIFS('февраль 2024'!$G$6:$G$1413,'февраль 2024'!$D$6:$D$1413,$B167,'февраль 2024'!$J$6:$J$1413,AH$1)</f>
        <v>0</v>
      </c>
      <c r="AI167" s="87"/>
    </row>
    <row r="168" spans="2:35" ht="15" hidden="1" customHeight="1" x14ac:dyDescent="0.25">
      <c r="B168" s="89"/>
      <c r="C168" s="88"/>
      <c r="D168" s="80">
        <f>SUMIFS('февраль 2024'!$G$6:$G$1413,'февраль 2024'!$D$6:$D$1413,$B168,'февраль 2024'!$J$6:$J$1413,D$1)</f>
        <v>0</v>
      </c>
      <c r="E168" s="80">
        <f>SUMIFS('февраль 2024'!$G$6:$G$1413,'февраль 2024'!$D$6:$D$1413,$B168,'февраль 2024'!$J$6:$J$1413,E$1)</f>
        <v>0</v>
      </c>
      <c r="F168" s="80">
        <f>SUMIFS('февраль 2024'!$G$6:$G$1413,'февраль 2024'!$D$6:$D$1413,$B168,'февраль 2024'!$J$6:$J$1413,F$1)</f>
        <v>0</v>
      </c>
      <c r="G168" s="80">
        <f>SUMIFS('февраль 2024'!$G$6:$G$1413,'февраль 2024'!$D$6:$D$1413,$B168,'февраль 2024'!$J$6:$J$1413,G$1)</f>
        <v>0</v>
      </c>
      <c r="H168" s="80">
        <f>SUMIFS('февраль 2024'!$G$6:$G$1413,'февраль 2024'!$D$6:$D$1413,$B168,'февраль 2024'!$J$6:$J$1413,H$1)</f>
        <v>0</v>
      </c>
      <c r="I168" s="80">
        <f>SUMIFS('февраль 2024'!$G$6:$G$1413,'февраль 2024'!$D$6:$D$1413,$B168,'февраль 2024'!$J$6:$J$1413,I$1)</f>
        <v>0</v>
      </c>
      <c r="J168" s="80">
        <f>SUMIFS('февраль 2024'!$G$6:$G$1413,'февраль 2024'!$D$6:$D$1413,$B168,'февраль 2024'!$J$6:$J$1413,J$1)</f>
        <v>0</v>
      </c>
      <c r="K168" s="80">
        <f>SUMIFS('февраль 2024'!$G$6:$G$1413,'февраль 2024'!$D$6:$D$1413,$B168,'февраль 2024'!$J$6:$J$1413,K$1)</f>
        <v>0</v>
      </c>
      <c r="L168" s="80">
        <f>SUMIFS('февраль 2024'!$G$6:$G$1413,'февраль 2024'!$D$6:$D$1413,$B168,'февраль 2024'!$J$6:$J$1413,L$1)</f>
        <v>0</v>
      </c>
      <c r="M168" s="80">
        <f>SUMIFS('февраль 2024'!$G$6:$G$1413,'февраль 2024'!$D$6:$D$1413,$B168,'февраль 2024'!$J$6:$J$1413,M$1)</f>
        <v>0</v>
      </c>
      <c r="N168" s="80">
        <f>SUMIFS('февраль 2024'!$G$6:$G$1413,'февраль 2024'!$D$6:$D$1413,$B168,'февраль 2024'!$J$6:$J$1413,N$1)</f>
        <v>0</v>
      </c>
      <c r="O168" s="80">
        <f>SUMIFS('февраль 2024'!$G$6:$G$1413,'февраль 2024'!$D$6:$D$1413,$B168,'февраль 2024'!$J$6:$J$1413,O$1)</f>
        <v>0</v>
      </c>
      <c r="P168" s="80">
        <f>SUMIFS('февраль 2024'!$G$6:$G$1413,'февраль 2024'!$D$6:$D$1413,$B168,'февраль 2024'!$J$6:$J$1413,P$1)</f>
        <v>0</v>
      </c>
      <c r="Q168" s="80">
        <f>SUMIFS('февраль 2024'!$G$6:$G$1413,'февраль 2024'!$D$6:$D$1413,$B168,'февраль 2024'!$J$6:$J$1413,Q$1)</f>
        <v>0</v>
      </c>
      <c r="R168" s="80">
        <f>SUMIFS('февраль 2024'!$G$6:$G$1413,'февраль 2024'!$D$6:$D$1413,$B168,'февраль 2024'!$J$6:$J$1413,R$1)</f>
        <v>0</v>
      </c>
      <c r="S168" s="80">
        <f>SUMIFS('февраль 2024'!$G$6:$G$1413,'февраль 2024'!$D$6:$D$1413,$B168,'февраль 2024'!$J$6:$J$1413,S$1)</f>
        <v>0</v>
      </c>
      <c r="T168" s="80">
        <f>SUMIFS('февраль 2024'!$G$6:$G$1413,'февраль 2024'!$D$6:$D$1413,$B168,'февраль 2024'!$J$6:$J$1413,T$1)</f>
        <v>0</v>
      </c>
      <c r="U168" s="80">
        <f>SUMIFS('февраль 2024'!$G$6:$G$1413,'февраль 2024'!$D$6:$D$1413,$B168,'февраль 2024'!$J$6:$J$1413,U$1)</f>
        <v>0</v>
      </c>
      <c r="V168" s="80">
        <f>SUMIFS('февраль 2024'!$G$6:$G$1413,'февраль 2024'!$D$6:$D$1413,$B168,'февраль 2024'!$J$6:$J$1413,V$1)</f>
        <v>0</v>
      </c>
      <c r="W168" s="80">
        <f>SUMIFS('февраль 2024'!$G$6:$G$1413,'февраль 2024'!$D$6:$D$1413,$B168,'февраль 2024'!$J$6:$J$1413,W$1)</f>
        <v>0</v>
      </c>
      <c r="X168" s="80">
        <f>SUMIFS('февраль 2024'!$G$6:$G$1413,'февраль 2024'!$D$6:$D$1413,$B168,'февраль 2024'!$J$6:$J$1413,X$1)</f>
        <v>0</v>
      </c>
      <c r="Y168" s="80">
        <f>SUMIFS('февраль 2024'!$G$6:$G$1413,'февраль 2024'!$D$6:$D$1413,$B168,'февраль 2024'!$J$6:$J$1413,Y$1)</f>
        <v>0</v>
      </c>
      <c r="Z168" s="80">
        <f>SUMIFS('февраль 2024'!$G$6:$G$1413,'февраль 2024'!$D$6:$D$1413,$B168,'февраль 2024'!$J$6:$J$1413,Z$1)</f>
        <v>0</v>
      </c>
      <c r="AA168" s="80">
        <f>SUMIFS('февраль 2024'!$G$6:$G$1413,'февраль 2024'!$D$6:$D$1413,$B168,'февраль 2024'!$J$6:$J$1413,AA$1)</f>
        <v>0</v>
      </c>
      <c r="AB168" s="80">
        <f>SUMIFS('февраль 2024'!$G$6:$G$1413,'февраль 2024'!$D$6:$D$1413,$B168,'февраль 2024'!$J$6:$J$1413,AB$1)</f>
        <v>0</v>
      </c>
      <c r="AC168" s="80">
        <f>SUMIFS('февраль 2024'!$G$6:$G$1413,'февраль 2024'!$D$6:$D$1413,$B168,'февраль 2024'!$J$6:$J$1413,AC$1)</f>
        <v>0</v>
      </c>
      <c r="AD168" s="80">
        <f>SUMIFS('февраль 2024'!$G$6:$G$1413,'февраль 2024'!$D$6:$D$1413,$B168,'февраль 2024'!$J$6:$J$1413,AD$1)</f>
        <v>0</v>
      </c>
      <c r="AE168" s="80">
        <f>SUMIFS('февраль 2024'!$G$6:$G$1413,'февраль 2024'!$D$6:$D$1413,$B168,'февраль 2024'!$J$6:$J$1413,AE$1)</f>
        <v>0</v>
      </c>
      <c r="AF168" s="80">
        <f>SUMIFS('февраль 2024'!$G$6:$G$1413,'февраль 2024'!$D$6:$D$1413,$B168,'февраль 2024'!$J$6:$J$1413,AF$1)</f>
        <v>0</v>
      </c>
      <c r="AG168" s="80">
        <f>SUMIFS('февраль 2024'!$G$6:$G$1413,'февраль 2024'!$D$6:$D$1413,$B168,'февраль 2024'!$J$6:$J$1413,AG$1)</f>
        <v>0</v>
      </c>
      <c r="AH168" s="80">
        <f>SUMIFS('февраль 2024'!$G$6:$G$1413,'февраль 2024'!$D$6:$D$1413,$B168,'февраль 2024'!$J$6:$J$1413,AH$1)</f>
        <v>0</v>
      </c>
      <c r="AI168" s="87"/>
    </row>
    <row r="169" spans="2:35" ht="15" hidden="1" customHeight="1" x14ac:dyDescent="0.25">
      <c r="B169" s="94"/>
      <c r="C169" s="95"/>
      <c r="D169" s="80">
        <f>SUMIFS('февраль 2024'!$G$6:$G$1413,'февраль 2024'!$D$6:$D$1413,$B169,'февраль 2024'!$J$6:$J$1413,D$1)</f>
        <v>0</v>
      </c>
      <c r="E169" s="80">
        <f>SUMIFS('февраль 2024'!$G$6:$G$1413,'февраль 2024'!$D$6:$D$1413,$B169,'февраль 2024'!$J$6:$J$1413,E$1)</f>
        <v>0</v>
      </c>
      <c r="F169" s="80">
        <f>SUMIFS('февраль 2024'!$G$6:$G$1413,'февраль 2024'!$D$6:$D$1413,$B169,'февраль 2024'!$J$6:$J$1413,F$1)</f>
        <v>0</v>
      </c>
      <c r="G169" s="80">
        <f>SUMIFS('февраль 2024'!$G$6:$G$1413,'февраль 2024'!$D$6:$D$1413,$B169,'февраль 2024'!$J$6:$J$1413,G$1)</f>
        <v>0</v>
      </c>
      <c r="H169" s="80">
        <f>SUMIFS('февраль 2024'!$G$6:$G$1413,'февраль 2024'!$D$6:$D$1413,$B169,'февраль 2024'!$J$6:$J$1413,H$1)</f>
        <v>0</v>
      </c>
      <c r="I169" s="80">
        <f>SUMIFS('февраль 2024'!$G$6:$G$1413,'февраль 2024'!$D$6:$D$1413,$B169,'февраль 2024'!$J$6:$J$1413,I$1)</f>
        <v>0</v>
      </c>
      <c r="J169" s="80">
        <f>SUMIFS('февраль 2024'!$G$6:$G$1413,'февраль 2024'!$D$6:$D$1413,$B169,'февраль 2024'!$J$6:$J$1413,J$1)</f>
        <v>0</v>
      </c>
      <c r="K169" s="80">
        <f>SUMIFS('февраль 2024'!$G$6:$G$1413,'февраль 2024'!$D$6:$D$1413,$B169,'февраль 2024'!$J$6:$J$1413,K$1)</f>
        <v>0</v>
      </c>
      <c r="L169" s="80">
        <f>SUMIFS('февраль 2024'!$G$6:$G$1413,'февраль 2024'!$D$6:$D$1413,$B169,'февраль 2024'!$J$6:$J$1413,L$1)</f>
        <v>0</v>
      </c>
      <c r="M169" s="80">
        <f>SUMIFS('февраль 2024'!$G$6:$G$1413,'февраль 2024'!$D$6:$D$1413,$B169,'февраль 2024'!$J$6:$J$1413,M$1)</f>
        <v>0</v>
      </c>
      <c r="N169" s="80">
        <f>SUMIFS('февраль 2024'!$G$6:$G$1413,'февраль 2024'!$D$6:$D$1413,$B169,'февраль 2024'!$J$6:$J$1413,N$1)</f>
        <v>0</v>
      </c>
      <c r="O169" s="80">
        <f>SUMIFS('февраль 2024'!$G$6:$G$1413,'февраль 2024'!$D$6:$D$1413,$B169,'февраль 2024'!$J$6:$J$1413,O$1)</f>
        <v>0</v>
      </c>
      <c r="P169" s="80">
        <f>SUMIFS('февраль 2024'!$G$6:$G$1413,'февраль 2024'!$D$6:$D$1413,$B169,'февраль 2024'!$J$6:$J$1413,P$1)</f>
        <v>0</v>
      </c>
      <c r="Q169" s="80">
        <f>SUMIFS('февраль 2024'!$G$6:$G$1413,'февраль 2024'!$D$6:$D$1413,$B169,'февраль 2024'!$J$6:$J$1413,Q$1)</f>
        <v>0</v>
      </c>
      <c r="R169" s="80">
        <f>SUMIFS('февраль 2024'!$G$6:$G$1413,'февраль 2024'!$D$6:$D$1413,$B169,'февраль 2024'!$J$6:$J$1413,R$1)</f>
        <v>0</v>
      </c>
      <c r="S169" s="80">
        <f>SUMIFS('февраль 2024'!$G$6:$G$1413,'февраль 2024'!$D$6:$D$1413,$B169,'февраль 2024'!$J$6:$J$1413,S$1)</f>
        <v>0</v>
      </c>
      <c r="T169" s="80">
        <f>SUMIFS('февраль 2024'!$G$6:$G$1413,'февраль 2024'!$D$6:$D$1413,$B169,'февраль 2024'!$J$6:$J$1413,T$1)</f>
        <v>0</v>
      </c>
      <c r="U169" s="80">
        <f>SUMIFS('февраль 2024'!$G$6:$G$1413,'февраль 2024'!$D$6:$D$1413,$B169,'февраль 2024'!$J$6:$J$1413,U$1)</f>
        <v>0</v>
      </c>
      <c r="V169" s="80">
        <f>SUMIFS('февраль 2024'!$G$6:$G$1413,'февраль 2024'!$D$6:$D$1413,$B169,'февраль 2024'!$J$6:$J$1413,V$1)</f>
        <v>0</v>
      </c>
      <c r="W169" s="80">
        <f>SUMIFS('февраль 2024'!$G$6:$G$1413,'февраль 2024'!$D$6:$D$1413,$B169,'февраль 2024'!$J$6:$J$1413,W$1)</f>
        <v>0</v>
      </c>
      <c r="X169" s="80">
        <f>SUMIFS('февраль 2024'!$G$6:$G$1413,'февраль 2024'!$D$6:$D$1413,$B169,'февраль 2024'!$J$6:$J$1413,X$1)</f>
        <v>0</v>
      </c>
      <c r="Y169" s="80">
        <f>SUMIFS('февраль 2024'!$G$6:$G$1413,'февраль 2024'!$D$6:$D$1413,$B169,'февраль 2024'!$J$6:$J$1413,Y$1)</f>
        <v>0</v>
      </c>
      <c r="Z169" s="80">
        <f>SUMIFS('февраль 2024'!$G$6:$G$1413,'февраль 2024'!$D$6:$D$1413,$B169,'февраль 2024'!$J$6:$J$1413,Z$1)</f>
        <v>0</v>
      </c>
      <c r="AA169" s="80">
        <f>SUMIFS('февраль 2024'!$G$6:$G$1413,'февраль 2024'!$D$6:$D$1413,$B169,'февраль 2024'!$J$6:$J$1413,AA$1)</f>
        <v>0</v>
      </c>
      <c r="AB169" s="80">
        <f>SUMIFS('февраль 2024'!$G$6:$G$1413,'февраль 2024'!$D$6:$D$1413,$B169,'февраль 2024'!$J$6:$J$1413,AB$1)</f>
        <v>0</v>
      </c>
      <c r="AC169" s="80">
        <f>SUMIFS('февраль 2024'!$G$6:$G$1413,'февраль 2024'!$D$6:$D$1413,$B169,'февраль 2024'!$J$6:$J$1413,AC$1)</f>
        <v>0</v>
      </c>
      <c r="AD169" s="80">
        <f>SUMIFS('февраль 2024'!$G$6:$G$1413,'февраль 2024'!$D$6:$D$1413,$B169,'февраль 2024'!$J$6:$J$1413,AD$1)</f>
        <v>0</v>
      </c>
      <c r="AE169" s="80">
        <f>SUMIFS('февраль 2024'!$G$6:$G$1413,'февраль 2024'!$D$6:$D$1413,$B169,'февраль 2024'!$J$6:$J$1413,AE$1)</f>
        <v>0</v>
      </c>
      <c r="AF169" s="80">
        <f>SUMIFS('февраль 2024'!$G$6:$G$1413,'февраль 2024'!$D$6:$D$1413,$B169,'февраль 2024'!$J$6:$J$1413,AF$1)</f>
        <v>0</v>
      </c>
      <c r="AG169" s="80">
        <f>SUMIFS('февраль 2024'!$G$6:$G$1413,'февраль 2024'!$D$6:$D$1413,$B169,'февраль 2024'!$J$6:$J$1413,AG$1)</f>
        <v>0</v>
      </c>
      <c r="AH169" s="80">
        <f>SUMIFS('февраль 2024'!$G$6:$G$1413,'февраль 2024'!$D$6:$D$1413,$B169,'февраль 2024'!$J$6:$J$1413,AH$1)</f>
        <v>0</v>
      </c>
      <c r="AI169" s="87"/>
    </row>
    <row r="170" spans="2:35" ht="15" hidden="1" customHeight="1" x14ac:dyDescent="0.25">
      <c r="B170" s="89"/>
      <c r="C170" s="91"/>
      <c r="D170" s="80">
        <f>SUMIFS('февраль 2024'!$G$6:$G$1413,'февраль 2024'!$D$6:$D$1413,$B170,'февраль 2024'!$J$6:$J$1413,D$1)</f>
        <v>0</v>
      </c>
      <c r="E170" s="80">
        <f>SUMIFS('февраль 2024'!$G$6:$G$1413,'февраль 2024'!$D$6:$D$1413,$B170,'февраль 2024'!$J$6:$J$1413,E$1)</f>
        <v>0</v>
      </c>
      <c r="F170" s="80">
        <f>SUMIFS('февраль 2024'!$G$6:$G$1413,'февраль 2024'!$D$6:$D$1413,$B170,'февраль 2024'!$J$6:$J$1413,F$1)</f>
        <v>0</v>
      </c>
      <c r="G170" s="80">
        <f>SUMIFS('февраль 2024'!$G$6:$G$1413,'февраль 2024'!$D$6:$D$1413,$B170,'февраль 2024'!$J$6:$J$1413,G$1)</f>
        <v>0</v>
      </c>
      <c r="H170" s="80">
        <f>SUMIFS('февраль 2024'!$G$6:$G$1413,'февраль 2024'!$D$6:$D$1413,$B170,'февраль 2024'!$J$6:$J$1413,H$1)</f>
        <v>0</v>
      </c>
      <c r="I170" s="80">
        <f>SUMIFS('февраль 2024'!$G$6:$G$1413,'февраль 2024'!$D$6:$D$1413,$B170,'февраль 2024'!$J$6:$J$1413,I$1)</f>
        <v>0</v>
      </c>
      <c r="J170" s="80">
        <f>SUMIFS('февраль 2024'!$G$6:$G$1413,'февраль 2024'!$D$6:$D$1413,$B170,'февраль 2024'!$J$6:$J$1413,J$1)</f>
        <v>0</v>
      </c>
      <c r="K170" s="80">
        <f>SUMIFS('февраль 2024'!$G$6:$G$1413,'февраль 2024'!$D$6:$D$1413,$B170,'февраль 2024'!$J$6:$J$1413,K$1)</f>
        <v>0</v>
      </c>
      <c r="L170" s="80">
        <f>SUMIFS('февраль 2024'!$G$6:$G$1413,'февраль 2024'!$D$6:$D$1413,$B170,'февраль 2024'!$J$6:$J$1413,L$1)</f>
        <v>0</v>
      </c>
      <c r="M170" s="80">
        <f>SUMIFS('февраль 2024'!$G$6:$G$1413,'февраль 2024'!$D$6:$D$1413,$B170,'февраль 2024'!$J$6:$J$1413,M$1)</f>
        <v>0</v>
      </c>
      <c r="N170" s="80">
        <f>SUMIFS('февраль 2024'!$G$6:$G$1413,'февраль 2024'!$D$6:$D$1413,$B170,'февраль 2024'!$J$6:$J$1413,N$1)</f>
        <v>0</v>
      </c>
      <c r="O170" s="80">
        <f>SUMIFS('февраль 2024'!$G$6:$G$1413,'февраль 2024'!$D$6:$D$1413,$B170,'февраль 2024'!$J$6:$J$1413,O$1)</f>
        <v>0</v>
      </c>
      <c r="P170" s="80">
        <f>SUMIFS('февраль 2024'!$G$6:$G$1413,'февраль 2024'!$D$6:$D$1413,$B170,'февраль 2024'!$J$6:$J$1413,P$1)</f>
        <v>0</v>
      </c>
      <c r="Q170" s="80">
        <f>SUMIFS('февраль 2024'!$G$6:$G$1413,'февраль 2024'!$D$6:$D$1413,$B170,'февраль 2024'!$J$6:$J$1413,Q$1)</f>
        <v>0</v>
      </c>
      <c r="R170" s="80">
        <f>SUMIFS('февраль 2024'!$G$6:$G$1413,'февраль 2024'!$D$6:$D$1413,$B170,'февраль 2024'!$J$6:$J$1413,R$1)</f>
        <v>0</v>
      </c>
      <c r="S170" s="80">
        <f>SUMIFS('февраль 2024'!$G$6:$G$1413,'февраль 2024'!$D$6:$D$1413,$B170,'февраль 2024'!$J$6:$J$1413,S$1)</f>
        <v>0</v>
      </c>
      <c r="T170" s="80">
        <f>SUMIFS('февраль 2024'!$G$6:$G$1413,'февраль 2024'!$D$6:$D$1413,$B170,'февраль 2024'!$J$6:$J$1413,T$1)</f>
        <v>0</v>
      </c>
      <c r="U170" s="80">
        <f>SUMIFS('февраль 2024'!$G$6:$G$1413,'февраль 2024'!$D$6:$D$1413,$B170,'февраль 2024'!$J$6:$J$1413,U$1)</f>
        <v>0</v>
      </c>
      <c r="V170" s="80">
        <f>SUMIFS('февраль 2024'!$G$6:$G$1413,'февраль 2024'!$D$6:$D$1413,$B170,'февраль 2024'!$J$6:$J$1413,V$1)</f>
        <v>0</v>
      </c>
      <c r="W170" s="80">
        <f>SUMIFS('февраль 2024'!$G$6:$G$1413,'февраль 2024'!$D$6:$D$1413,$B170,'февраль 2024'!$J$6:$J$1413,W$1)</f>
        <v>0</v>
      </c>
      <c r="X170" s="80">
        <f>SUMIFS('февраль 2024'!$G$6:$G$1413,'февраль 2024'!$D$6:$D$1413,$B170,'февраль 2024'!$J$6:$J$1413,X$1)</f>
        <v>0</v>
      </c>
      <c r="Y170" s="80">
        <f>SUMIFS('февраль 2024'!$G$6:$G$1413,'февраль 2024'!$D$6:$D$1413,$B170,'февраль 2024'!$J$6:$J$1413,Y$1)</f>
        <v>0</v>
      </c>
      <c r="Z170" s="80">
        <f>SUMIFS('февраль 2024'!$G$6:$G$1413,'февраль 2024'!$D$6:$D$1413,$B170,'февраль 2024'!$J$6:$J$1413,Z$1)</f>
        <v>0</v>
      </c>
      <c r="AA170" s="80">
        <f>SUMIFS('февраль 2024'!$G$6:$G$1413,'февраль 2024'!$D$6:$D$1413,$B170,'февраль 2024'!$J$6:$J$1413,AA$1)</f>
        <v>0</v>
      </c>
      <c r="AB170" s="80">
        <f>SUMIFS('февраль 2024'!$G$6:$G$1413,'февраль 2024'!$D$6:$D$1413,$B170,'февраль 2024'!$J$6:$J$1413,AB$1)</f>
        <v>0</v>
      </c>
      <c r="AC170" s="80">
        <f>SUMIFS('февраль 2024'!$G$6:$G$1413,'февраль 2024'!$D$6:$D$1413,$B170,'февраль 2024'!$J$6:$J$1413,AC$1)</f>
        <v>0</v>
      </c>
      <c r="AD170" s="80">
        <f>SUMIFS('февраль 2024'!$G$6:$G$1413,'февраль 2024'!$D$6:$D$1413,$B170,'февраль 2024'!$J$6:$J$1413,AD$1)</f>
        <v>0</v>
      </c>
      <c r="AE170" s="80">
        <f>SUMIFS('февраль 2024'!$G$6:$G$1413,'февраль 2024'!$D$6:$D$1413,$B170,'февраль 2024'!$J$6:$J$1413,AE$1)</f>
        <v>0</v>
      </c>
      <c r="AF170" s="80">
        <f>SUMIFS('февраль 2024'!$G$6:$G$1413,'февраль 2024'!$D$6:$D$1413,$B170,'февраль 2024'!$J$6:$J$1413,AF$1)</f>
        <v>0</v>
      </c>
      <c r="AG170" s="80">
        <f>SUMIFS('февраль 2024'!$G$6:$G$1413,'февраль 2024'!$D$6:$D$1413,$B170,'февраль 2024'!$J$6:$J$1413,AG$1)</f>
        <v>0</v>
      </c>
      <c r="AH170" s="80">
        <f>SUMIFS('февраль 2024'!$G$6:$G$1413,'февраль 2024'!$D$6:$D$1413,$B170,'февраль 2024'!$J$6:$J$1413,AH$1)</f>
        <v>0</v>
      </c>
      <c r="AI170" s="87"/>
    </row>
    <row r="171" spans="2:35" ht="15" hidden="1" customHeight="1" x14ac:dyDescent="0.25">
      <c r="B171" s="89"/>
      <c r="C171" s="88"/>
      <c r="D171" s="80">
        <f>SUMIFS('февраль 2024'!$G$6:$G$1413,'февраль 2024'!$D$6:$D$1413,$B171,'февраль 2024'!$J$6:$J$1413,D$1)</f>
        <v>0</v>
      </c>
      <c r="E171" s="80">
        <f>SUMIFS('февраль 2024'!$G$6:$G$1413,'февраль 2024'!$D$6:$D$1413,$B171,'февраль 2024'!$J$6:$J$1413,E$1)</f>
        <v>0</v>
      </c>
      <c r="F171" s="80">
        <f>SUMIFS('февраль 2024'!$G$6:$G$1413,'февраль 2024'!$D$6:$D$1413,$B171,'февраль 2024'!$J$6:$J$1413,F$1)</f>
        <v>0</v>
      </c>
      <c r="G171" s="80">
        <f>SUMIFS('февраль 2024'!$G$6:$G$1413,'февраль 2024'!$D$6:$D$1413,$B171,'февраль 2024'!$J$6:$J$1413,G$1)</f>
        <v>0</v>
      </c>
      <c r="H171" s="80">
        <f>SUMIFS('февраль 2024'!$G$6:$G$1413,'февраль 2024'!$D$6:$D$1413,$B171,'февраль 2024'!$J$6:$J$1413,H$1)</f>
        <v>0</v>
      </c>
      <c r="I171" s="80">
        <f>SUMIFS('февраль 2024'!$G$6:$G$1413,'февраль 2024'!$D$6:$D$1413,$B171,'февраль 2024'!$J$6:$J$1413,I$1)</f>
        <v>0</v>
      </c>
      <c r="J171" s="80">
        <f>SUMIFS('февраль 2024'!$G$6:$G$1413,'февраль 2024'!$D$6:$D$1413,$B171,'февраль 2024'!$J$6:$J$1413,J$1)</f>
        <v>0</v>
      </c>
      <c r="K171" s="80">
        <f>SUMIFS('февраль 2024'!$G$6:$G$1413,'февраль 2024'!$D$6:$D$1413,$B171,'февраль 2024'!$J$6:$J$1413,K$1)</f>
        <v>0</v>
      </c>
      <c r="L171" s="80">
        <f>SUMIFS('февраль 2024'!$G$6:$G$1413,'февраль 2024'!$D$6:$D$1413,$B171,'февраль 2024'!$J$6:$J$1413,L$1)</f>
        <v>0</v>
      </c>
      <c r="M171" s="80">
        <f>SUMIFS('февраль 2024'!$G$6:$G$1413,'февраль 2024'!$D$6:$D$1413,$B171,'февраль 2024'!$J$6:$J$1413,M$1)</f>
        <v>0</v>
      </c>
      <c r="N171" s="80">
        <f>SUMIFS('февраль 2024'!$G$6:$G$1413,'февраль 2024'!$D$6:$D$1413,$B171,'февраль 2024'!$J$6:$J$1413,N$1)</f>
        <v>0</v>
      </c>
      <c r="O171" s="80">
        <f>SUMIFS('февраль 2024'!$G$6:$G$1413,'февраль 2024'!$D$6:$D$1413,$B171,'февраль 2024'!$J$6:$J$1413,O$1)</f>
        <v>0</v>
      </c>
      <c r="P171" s="80">
        <f>SUMIFS('февраль 2024'!$G$6:$G$1413,'февраль 2024'!$D$6:$D$1413,$B171,'февраль 2024'!$J$6:$J$1413,P$1)</f>
        <v>0</v>
      </c>
      <c r="Q171" s="80">
        <f>SUMIFS('февраль 2024'!$G$6:$G$1413,'февраль 2024'!$D$6:$D$1413,$B171,'февраль 2024'!$J$6:$J$1413,Q$1)</f>
        <v>0</v>
      </c>
      <c r="R171" s="80">
        <f>SUMIFS('февраль 2024'!$G$6:$G$1413,'февраль 2024'!$D$6:$D$1413,$B171,'февраль 2024'!$J$6:$J$1413,R$1)</f>
        <v>0</v>
      </c>
      <c r="S171" s="80">
        <f>SUMIFS('февраль 2024'!$G$6:$G$1413,'февраль 2024'!$D$6:$D$1413,$B171,'февраль 2024'!$J$6:$J$1413,S$1)</f>
        <v>0</v>
      </c>
      <c r="T171" s="80">
        <f>SUMIFS('февраль 2024'!$G$6:$G$1413,'февраль 2024'!$D$6:$D$1413,$B171,'февраль 2024'!$J$6:$J$1413,T$1)</f>
        <v>0</v>
      </c>
      <c r="U171" s="80">
        <f>SUMIFS('февраль 2024'!$G$6:$G$1413,'февраль 2024'!$D$6:$D$1413,$B171,'февраль 2024'!$J$6:$J$1413,U$1)</f>
        <v>0</v>
      </c>
      <c r="V171" s="80">
        <f>SUMIFS('февраль 2024'!$G$6:$G$1413,'февраль 2024'!$D$6:$D$1413,$B171,'февраль 2024'!$J$6:$J$1413,V$1)</f>
        <v>0</v>
      </c>
      <c r="W171" s="80">
        <f>SUMIFS('февраль 2024'!$G$6:$G$1413,'февраль 2024'!$D$6:$D$1413,$B171,'февраль 2024'!$J$6:$J$1413,W$1)</f>
        <v>0</v>
      </c>
      <c r="X171" s="80">
        <f>SUMIFS('февраль 2024'!$G$6:$G$1413,'февраль 2024'!$D$6:$D$1413,$B171,'февраль 2024'!$J$6:$J$1413,X$1)</f>
        <v>0</v>
      </c>
      <c r="Y171" s="80">
        <f>SUMIFS('февраль 2024'!$G$6:$G$1413,'февраль 2024'!$D$6:$D$1413,$B171,'февраль 2024'!$J$6:$J$1413,Y$1)</f>
        <v>0</v>
      </c>
      <c r="Z171" s="80">
        <f>SUMIFS('февраль 2024'!$G$6:$G$1413,'февраль 2024'!$D$6:$D$1413,$B171,'февраль 2024'!$J$6:$J$1413,Z$1)</f>
        <v>0</v>
      </c>
      <c r="AA171" s="80">
        <f>SUMIFS('февраль 2024'!$G$6:$G$1413,'февраль 2024'!$D$6:$D$1413,$B171,'февраль 2024'!$J$6:$J$1413,AA$1)</f>
        <v>0</v>
      </c>
      <c r="AB171" s="80">
        <f>SUMIFS('февраль 2024'!$G$6:$G$1413,'февраль 2024'!$D$6:$D$1413,$B171,'февраль 2024'!$J$6:$J$1413,AB$1)</f>
        <v>0</v>
      </c>
      <c r="AC171" s="80">
        <f>SUMIFS('февраль 2024'!$G$6:$G$1413,'февраль 2024'!$D$6:$D$1413,$B171,'февраль 2024'!$J$6:$J$1413,AC$1)</f>
        <v>0</v>
      </c>
      <c r="AD171" s="80">
        <f>SUMIFS('февраль 2024'!$G$6:$G$1413,'февраль 2024'!$D$6:$D$1413,$B171,'февраль 2024'!$J$6:$J$1413,AD$1)</f>
        <v>0</v>
      </c>
      <c r="AE171" s="80">
        <f>SUMIFS('февраль 2024'!$G$6:$G$1413,'февраль 2024'!$D$6:$D$1413,$B171,'февраль 2024'!$J$6:$J$1413,AE$1)</f>
        <v>0</v>
      </c>
      <c r="AF171" s="80">
        <f>SUMIFS('февраль 2024'!$G$6:$G$1413,'февраль 2024'!$D$6:$D$1413,$B171,'февраль 2024'!$J$6:$J$1413,AF$1)</f>
        <v>0</v>
      </c>
      <c r="AG171" s="80">
        <f>SUMIFS('февраль 2024'!$G$6:$G$1413,'февраль 2024'!$D$6:$D$1413,$B171,'февраль 2024'!$J$6:$J$1413,AG$1)</f>
        <v>0</v>
      </c>
      <c r="AH171" s="80">
        <f>SUMIFS('февраль 2024'!$G$6:$G$1413,'февраль 2024'!$D$6:$D$1413,$B171,'февраль 2024'!$J$6:$J$1413,AH$1)</f>
        <v>0</v>
      </c>
      <c r="AI171" s="87"/>
    </row>
    <row r="172" spans="2:35" ht="15" hidden="1" customHeight="1" x14ac:dyDescent="0.25">
      <c r="B172" s="89"/>
      <c r="C172" s="88"/>
      <c r="D172" s="80">
        <f>SUMIFS('февраль 2024'!$G$6:$G$1413,'февраль 2024'!$D$6:$D$1413,$B172,'февраль 2024'!$J$6:$J$1413,D$1)</f>
        <v>0</v>
      </c>
      <c r="E172" s="80">
        <f>SUMIFS('февраль 2024'!$G$6:$G$1413,'февраль 2024'!$D$6:$D$1413,$B172,'февраль 2024'!$J$6:$J$1413,E$1)</f>
        <v>0</v>
      </c>
      <c r="F172" s="80">
        <f>SUMIFS('февраль 2024'!$G$6:$G$1413,'февраль 2024'!$D$6:$D$1413,$B172,'февраль 2024'!$J$6:$J$1413,F$1)</f>
        <v>0</v>
      </c>
      <c r="G172" s="80">
        <f>SUMIFS('февраль 2024'!$G$6:$G$1413,'февраль 2024'!$D$6:$D$1413,$B172,'февраль 2024'!$J$6:$J$1413,G$1)</f>
        <v>0</v>
      </c>
      <c r="H172" s="80">
        <f>SUMIFS('февраль 2024'!$G$6:$G$1413,'февраль 2024'!$D$6:$D$1413,$B172,'февраль 2024'!$J$6:$J$1413,H$1)</f>
        <v>0</v>
      </c>
      <c r="I172" s="80">
        <f>SUMIFS('февраль 2024'!$G$6:$G$1413,'февраль 2024'!$D$6:$D$1413,$B172,'февраль 2024'!$J$6:$J$1413,I$1)</f>
        <v>0</v>
      </c>
      <c r="J172" s="80">
        <f>SUMIFS('февраль 2024'!$G$6:$G$1413,'февраль 2024'!$D$6:$D$1413,$B172,'февраль 2024'!$J$6:$J$1413,J$1)</f>
        <v>0</v>
      </c>
      <c r="K172" s="80">
        <f>SUMIFS('февраль 2024'!$G$6:$G$1413,'февраль 2024'!$D$6:$D$1413,$B172,'февраль 2024'!$J$6:$J$1413,K$1)</f>
        <v>0</v>
      </c>
      <c r="L172" s="80">
        <f>SUMIFS('февраль 2024'!$G$6:$G$1413,'февраль 2024'!$D$6:$D$1413,$B172,'февраль 2024'!$J$6:$J$1413,L$1)</f>
        <v>0</v>
      </c>
      <c r="M172" s="80">
        <f>SUMIFS('февраль 2024'!$G$6:$G$1413,'февраль 2024'!$D$6:$D$1413,$B172,'февраль 2024'!$J$6:$J$1413,M$1)</f>
        <v>0</v>
      </c>
      <c r="N172" s="80">
        <f>SUMIFS('февраль 2024'!$G$6:$G$1413,'февраль 2024'!$D$6:$D$1413,$B172,'февраль 2024'!$J$6:$J$1413,N$1)</f>
        <v>0</v>
      </c>
      <c r="O172" s="80">
        <f>SUMIFS('февраль 2024'!$G$6:$G$1413,'февраль 2024'!$D$6:$D$1413,$B172,'февраль 2024'!$J$6:$J$1413,O$1)</f>
        <v>0</v>
      </c>
      <c r="P172" s="80">
        <f>SUMIFS('февраль 2024'!$G$6:$G$1413,'февраль 2024'!$D$6:$D$1413,$B172,'февраль 2024'!$J$6:$J$1413,P$1)</f>
        <v>0</v>
      </c>
      <c r="Q172" s="80">
        <f>SUMIFS('февраль 2024'!$G$6:$G$1413,'февраль 2024'!$D$6:$D$1413,$B172,'февраль 2024'!$J$6:$J$1413,Q$1)</f>
        <v>0</v>
      </c>
      <c r="R172" s="80">
        <f>SUMIFS('февраль 2024'!$G$6:$G$1413,'февраль 2024'!$D$6:$D$1413,$B172,'февраль 2024'!$J$6:$J$1413,R$1)</f>
        <v>0</v>
      </c>
      <c r="S172" s="80">
        <f>SUMIFS('февраль 2024'!$G$6:$G$1413,'февраль 2024'!$D$6:$D$1413,$B172,'февраль 2024'!$J$6:$J$1413,S$1)</f>
        <v>0</v>
      </c>
      <c r="T172" s="80">
        <f>SUMIFS('февраль 2024'!$G$6:$G$1413,'февраль 2024'!$D$6:$D$1413,$B172,'февраль 2024'!$J$6:$J$1413,T$1)</f>
        <v>0</v>
      </c>
      <c r="U172" s="80">
        <f>SUMIFS('февраль 2024'!$G$6:$G$1413,'февраль 2024'!$D$6:$D$1413,$B172,'февраль 2024'!$J$6:$J$1413,U$1)</f>
        <v>0</v>
      </c>
      <c r="V172" s="80">
        <f>SUMIFS('февраль 2024'!$G$6:$G$1413,'февраль 2024'!$D$6:$D$1413,$B172,'февраль 2024'!$J$6:$J$1413,V$1)</f>
        <v>0</v>
      </c>
      <c r="W172" s="80">
        <f>SUMIFS('февраль 2024'!$G$6:$G$1413,'февраль 2024'!$D$6:$D$1413,$B172,'февраль 2024'!$J$6:$J$1413,W$1)</f>
        <v>0</v>
      </c>
      <c r="X172" s="80">
        <f>SUMIFS('февраль 2024'!$G$6:$G$1413,'февраль 2024'!$D$6:$D$1413,$B172,'февраль 2024'!$J$6:$J$1413,X$1)</f>
        <v>0</v>
      </c>
      <c r="Y172" s="80">
        <f>SUMIFS('февраль 2024'!$G$6:$G$1413,'февраль 2024'!$D$6:$D$1413,$B172,'февраль 2024'!$J$6:$J$1413,Y$1)</f>
        <v>0</v>
      </c>
      <c r="Z172" s="80">
        <f>SUMIFS('февраль 2024'!$G$6:$G$1413,'февраль 2024'!$D$6:$D$1413,$B172,'февраль 2024'!$J$6:$J$1413,Z$1)</f>
        <v>0</v>
      </c>
      <c r="AA172" s="80">
        <f>SUMIFS('февраль 2024'!$G$6:$G$1413,'февраль 2024'!$D$6:$D$1413,$B172,'февраль 2024'!$J$6:$J$1413,AA$1)</f>
        <v>0</v>
      </c>
      <c r="AB172" s="80">
        <f>SUMIFS('февраль 2024'!$G$6:$G$1413,'февраль 2024'!$D$6:$D$1413,$B172,'февраль 2024'!$J$6:$J$1413,AB$1)</f>
        <v>0</v>
      </c>
      <c r="AC172" s="80">
        <f>SUMIFS('февраль 2024'!$G$6:$G$1413,'февраль 2024'!$D$6:$D$1413,$B172,'февраль 2024'!$J$6:$J$1413,AC$1)</f>
        <v>0</v>
      </c>
      <c r="AD172" s="80">
        <f>SUMIFS('февраль 2024'!$G$6:$G$1413,'февраль 2024'!$D$6:$D$1413,$B172,'февраль 2024'!$J$6:$J$1413,AD$1)</f>
        <v>0</v>
      </c>
      <c r="AE172" s="80">
        <f>SUMIFS('февраль 2024'!$G$6:$G$1413,'февраль 2024'!$D$6:$D$1413,$B172,'февраль 2024'!$J$6:$J$1413,AE$1)</f>
        <v>0</v>
      </c>
      <c r="AF172" s="80">
        <f>SUMIFS('февраль 2024'!$G$6:$G$1413,'февраль 2024'!$D$6:$D$1413,$B172,'февраль 2024'!$J$6:$J$1413,AF$1)</f>
        <v>0</v>
      </c>
      <c r="AG172" s="80">
        <f>SUMIFS('февраль 2024'!$G$6:$G$1413,'февраль 2024'!$D$6:$D$1413,$B172,'февраль 2024'!$J$6:$J$1413,AG$1)</f>
        <v>0</v>
      </c>
      <c r="AH172" s="80">
        <f>SUMIFS('февраль 2024'!$G$6:$G$1413,'февраль 2024'!$D$6:$D$1413,$B172,'февраль 2024'!$J$6:$J$1413,AH$1)</f>
        <v>0</v>
      </c>
      <c r="AI172" s="87"/>
    </row>
    <row r="173" spans="2:35" ht="15" hidden="1" customHeight="1" x14ac:dyDescent="0.25">
      <c r="B173" s="89"/>
      <c r="C173" s="90"/>
      <c r="D173" s="80">
        <f>SUMIFS('февраль 2024'!$G$6:$G$1413,'февраль 2024'!$D$6:$D$1413,$B173,'февраль 2024'!$J$6:$J$1413,D$1)</f>
        <v>0</v>
      </c>
      <c r="E173" s="80">
        <f>SUMIFS('февраль 2024'!$G$6:$G$1413,'февраль 2024'!$D$6:$D$1413,$B173,'февраль 2024'!$J$6:$J$1413,E$1)</f>
        <v>0</v>
      </c>
      <c r="F173" s="80">
        <f>SUMIFS('февраль 2024'!$G$6:$G$1413,'февраль 2024'!$D$6:$D$1413,$B173,'февраль 2024'!$J$6:$J$1413,F$1)</f>
        <v>0</v>
      </c>
      <c r="G173" s="80">
        <f>SUMIFS('февраль 2024'!$G$6:$G$1413,'февраль 2024'!$D$6:$D$1413,$B173,'февраль 2024'!$J$6:$J$1413,G$1)</f>
        <v>0</v>
      </c>
      <c r="H173" s="80">
        <f>SUMIFS('февраль 2024'!$G$6:$G$1413,'февраль 2024'!$D$6:$D$1413,$B173,'февраль 2024'!$J$6:$J$1413,H$1)</f>
        <v>0</v>
      </c>
      <c r="I173" s="80">
        <f>SUMIFS('февраль 2024'!$G$6:$G$1413,'февраль 2024'!$D$6:$D$1413,$B173,'февраль 2024'!$J$6:$J$1413,I$1)</f>
        <v>0</v>
      </c>
      <c r="J173" s="80">
        <f>SUMIFS('февраль 2024'!$G$6:$G$1413,'февраль 2024'!$D$6:$D$1413,$B173,'февраль 2024'!$J$6:$J$1413,J$1)</f>
        <v>0</v>
      </c>
      <c r="K173" s="80">
        <f>SUMIFS('февраль 2024'!$G$6:$G$1413,'февраль 2024'!$D$6:$D$1413,$B173,'февраль 2024'!$J$6:$J$1413,K$1)</f>
        <v>0</v>
      </c>
      <c r="L173" s="80">
        <f>SUMIFS('февраль 2024'!$G$6:$G$1413,'февраль 2024'!$D$6:$D$1413,$B173,'февраль 2024'!$J$6:$J$1413,L$1)</f>
        <v>0</v>
      </c>
      <c r="M173" s="80">
        <f>SUMIFS('февраль 2024'!$G$6:$G$1413,'февраль 2024'!$D$6:$D$1413,$B173,'февраль 2024'!$J$6:$J$1413,M$1)</f>
        <v>0</v>
      </c>
      <c r="N173" s="80">
        <f>SUMIFS('февраль 2024'!$G$6:$G$1413,'февраль 2024'!$D$6:$D$1413,$B173,'февраль 2024'!$J$6:$J$1413,N$1)</f>
        <v>0</v>
      </c>
      <c r="O173" s="80">
        <f>SUMIFS('февраль 2024'!$G$6:$G$1413,'февраль 2024'!$D$6:$D$1413,$B173,'февраль 2024'!$J$6:$J$1413,O$1)</f>
        <v>0</v>
      </c>
      <c r="P173" s="80">
        <f>SUMIFS('февраль 2024'!$G$6:$G$1413,'февраль 2024'!$D$6:$D$1413,$B173,'февраль 2024'!$J$6:$J$1413,P$1)</f>
        <v>0</v>
      </c>
      <c r="Q173" s="80">
        <f>SUMIFS('февраль 2024'!$G$6:$G$1413,'февраль 2024'!$D$6:$D$1413,$B173,'февраль 2024'!$J$6:$J$1413,Q$1)</f>
        <v>0</v>
      </c>
      <c r="R173" s="80">
        <f>SUMIFS('февраль 2024'!$G$6:$G$1413,'февраль 2024'!$D$6:$D$1413,$B173,'февраль 2024'!$J$6:$J$1413,R$1)</f>
        <v>0</v>
      </c>
      <c r="S173" s="80">
        <f>SUMIFS('февраль 2024'!$G$6:$G$1413,'февраль 2024'!$D$6:$D$1413,$B173,'февраль 2024'!$J$6:$J$1413,S$1)</f>
        <v>0</v>
      </c>
      <c r="T173" s="80">
        <f>SUMIFS('февраль 2024'!$G$6:$G$1413,'февраль 2024'!$D$6:$D$1413,$B173,'февраль 2024'!$J$6:$J$1413,T$1)</f>
        <v>0</v>
      </c>
      <c r="U173" s="80">
        <f>SUMIFS('февраль 2024'!$G$6:$G$1413,'февраль 2024'!$D$6:$D$1413,$B173,'февраль 2024'!$J$6:$J$1413,U$1)</f>
        <v>0</v>
      </c>
      <c r="V173" s="80">
        <f>SUMIFS('февраль 2024'!$G$6:$G$1413,'февраль 2024'!$D$6:$D$1413,$B173,'февраль 2024'!$J$6:$J$1413,V$1)</f>
        <v>0</v>
      </c>
      <c r="W173" s="80">
        <f>SUMIFS('февраль 2024'!$G$6:$G$1413,'февраль 2024'!$D$6:$D$1413,$B173,'февраль 2024'!$J$6:$J$1413,W$1)</f>
        <v>0</v>
      </c>
      <c r="X173" s="80">
        <f>SUMIFS('февраль 2024'!$G$6:$G$1413,'февраль 2024'!$D$6:$D$1413,$B173,'февраль 2024'!$J$6:$J$1413,X$1)</f>
        <v>0</v>
      </c>
      <c r="Y173" s="80">
        <f>SUMIFS('февраль 2024'!$G$6:$G$1413,'февраль 2024'!$D$6:$D$1413,$B173,'февраль 2024'!$J$6:$J$1413,Y$1)</f>
        <v>0</v>
      </c>
      <c r="Z173" s="80">
        <f>SUMIFS('февраль 2024'!$G$6:$G$1413,'февраль 2024'!$D$6:$D$1413,$B173,'февраль 2024'!$J$6:$J$1413,Z$1)</f>
        <v>0</v>
      </c>
      <c r="AA173" s="80">
        <f>SUMIFS('февраль 2024'!$G$6:$G$1413,'февраль 2024'!$D$6:$D$1413,$B173,'февраль 2024'!$J$6:$J$1413,AA$1)</f>
        <v>0</v>
      </c>
      <c r="AB173" s="80">
        <f>SUMIFS('февраль 2024'!$G$6:$G$1413,'февраль 2024'!$D$6:$D$1413,$B173,'февраль 2024'!$J$6:$J$1413,AB$1)</f>
        <v>0</v>
      </c>
      <c r="AC173" s="80">
        <f>SUMIFS('февраль 2024'!$G$6:$G$1413,'февраль 2024'!$D$6:$D$1413,$B173,'февраль 2024'!$J$6:$J$1413,AC$1)</f>
        <v>0</v>
      </c>
      <c r="AD173" s="80">
        <f>SUMIFS('февраль 2024'!$G$6:$G$1413,'февраль 2024'!$D$6:$D$1413,$B173,'февраль 2024'!$J$6:$J$1413,AD$1)</f>
        <v>0</v>
      </c>
      <c r="AE173" s="80">
        <f>SUMIFS('февраль 2024'!$G$6:$G$1413,'февраль 2024'!$D$6:$D$1413,$B173,'февраль 2024'!$J$6:$J$1413,AE$1)</f>
        <v>0</v>
      </c>
      <c r="AF173" s="80">
        <f>SUMIFS('февраль 2024'!$G$6:$G$1413,'февраль 2024'!$D$6:$D$1413,$B173,'февраль 2024'!$J$6:$J$1413,AF$1)</f>
        <v>0</v>
      </c>
      <c r="AG173" s="80">
        <f>SUMIFS('февраль 2024'!$G$6:$G$1413,'февраль 2024'!$D$6:$D$1413,$B173,'февраль 2024'!$J$6:$J$1413,AG$1)</f>
        <v>0</v>
      </c>
      <c r="AH173" s="80">
        <f>SUMIFS('февраль 2024'!$G$6:$G$1413,'февраль 2024'!$D$6:$D$1413,$B173,'февраль 2024'!$J$6:$J$1413,AH$1)</f>
        <v>0</v>
      </c>
      <c r="AI173" s="87"/>
    </row>
    <row r="174" spans="2:35" ht="15" hidden="1" customHeight="1" x14ac:dyDescent="0.25">
      <c r="B174" s="89"/>
      <c r="C174" s="91"/>
      <c r="D174" s="80">
        <f>SUMIFS('февраль 2024'!$G$6:$G$1413,'февраль 2024'!$D$6:$D$1413,$B174,'февраль 2024'!$J$6:$J$1413,D$1)</f>
        <v>0</v>
      </c>
      <c r="E174" s="80">
        <f>SUMIFS('февраль 2024'!$G$6:$G$1413,'февраль 2024'!$D$6:$D$1413,$B174,'февраль 2024'!$J$6:$J$1413,E$1)</f>
        <v>0</v>
      </c>
      <c r="F174" s="80">
        <f>SUMIFS('февраль 2024'!$G$6:$G$1413,'февраль 2024'!$D$6:$D$1413,$B174,'февраль 2024'!$J$6:$J$1413,F$1)</f>
        <v>0</v>
      </c>
      <c r="G174" s="80">
        <f>SUMIFS('февраль 2024'!$G$6:$G$1413,'февраль 2024'!$D$6:$D$1413,$B174,'февраль 2024'!$J$6:$J$1413,G$1)</f>
        <v>0</v>
      </c>
      <c r="H174" s="80">
        <f>SUMIFS('февраль 2024'!$G$6:$G$1413,'февраль 2024'!$D$6:$D$1413,$B174,'февраль 2024'!$J$6:$J$1413,H$1)</f>
        <v>0</v>
      </c>
      <c r="I174" s="80">
        <f>SUMIFS('февраль 2024'!$G$6:$G$1413,'февраль 2024'!$D$6:$D$1413,$B174,'февраль 2024'!$J$6:$J$1413,I$1)</f>
        <v>0</v>
      </c>
      <c r="J174" s="80">
        <f>SUMIFS('февраль 2024'!$G$6:$G$1413,'февраль 2024'!$D$6:$D$1413,$B174,'февраль 2024'!$J$6:$J$1413,J$1)</f>
        <v>0</v>
      </c>
      <c r="K174" s="80">
        <f>SUMIFS('февраль 2024'!$G$6:$G$1413,'февраль 2024'!$D$6:$D$1413,$B174,'февраль 2024'!$J$6:$J$1413,K$1)</f>
        <v>0</v>
      </c>
      <c r="L174" s="80">
        <f>SUMIFS('февраль 2024'!$G$6:$G$1413,'февраль 2024'!$D$6:$D$1413,$B174,'февраль 2024'!$J$6:$J$1413,L$1)</f>
        <v>0</v>
      </c>
      <c r="M174" s="80">
        <f>SUMIFS('февраль 2024'!$G$6:$G$1413,'февраль 2024'!$D$6:$D$1413,$B174,'февраль 2024'!$J$6:$J$1413,M$1)</f>
        <v>0</v>
      </c>
      <c r="N174" s="80">
        <f>SUMIFS('февраль 2024'!$G$6:$G$1413,'февраль 2024'!$D$6:$D$1413,$B174,'февраль 2024'!$J$6:$J$1413,N$1)</f>
        <v>0</v>
      </c>
      <c r="O174" s="80">
        <f>SUMIFS('февраль 2024'!$G$6:$G$1413,'февраль 2024'!$D$6:$D$1413,$B174,'февраль 2024'!$J$6:$J$1413,O$1)</f>
        <v>0</v>
      </c>
      <c r="P174" s="80">
        <f>SUMIFS('февраль 2024'!$G$6:$G$1413,'февраль 2024'!$D$6:$D$1413,$B174,'февраль 2024'!$J$6:$J$1413,P$1)</f>
        <v>0</v>
      </c>
      <c r="Q174" s="80">
        <f>SUMIFS('февраль 2024'!$G$6:$G$1413,'февраль 2024'!$D$6:$D$1413,$B174,'февраль 2024'!$J$6:$J$1413,Q$1)</f>
        <v>0</v>
      </c>
      <c r="R174" s="80">
        <f>SUMIFS('февраль 2024'!$G$6:$G$1413,'февраль 2024'!$D$6:$D$1413,$B174,'февраль 2024'!$J$6:$J$1413,R$1)</f>
        <v>0</v>
      </c>
      <c r="S174" s="80">
        <f>SUMIFS('февраль 2024'!$G$6:$G$1413,'февраль 2024'!$D$6:$D$1413,$B174,'февраль 2024'!$J$6:$J$1413,S$1)</f>
        <v>0</v>
      </c>
      <c r="T174" s="80">
        <f>SUMIFS('февраль 2024'!$G$6:$G$1413,'февраль 2024'!$D$6:$D$1413,$B174,'февраль 2024'!$J$6:$J$1413,T$1)</f>
        <v>0</v>
      </c>
      <c r="U174" s="80">
        <f>SUMIFS('февраль 2024'!$G$6:$G$1413,'февраль 2024'!$D$6:$D$1413,$B174,'февраль 2024'!$J$6:$J$1413,U$1)</f>
        <v>0</v>
      </c>
      <c r="V174" s="80">
        <f>SUMIFS('февраль 2024'!$G$6:$G$1413,'февраль 2024'!$D$6:$D$1413,$B174,'февраль 2024'!$J$6:$J$1413,V$1)</f>
        <v>0</v>
      </c>
      <c r="W174" s="80">
        <f>SUMIFS('февраль 2024'!$G$6:$G$1413,'февраль 2024'!$D$6:$D$1413,$B174,'февраль 2024'!$J$6:$J$1413,W$1)</f>
        <v>0</v>
      </c>
      <c r="X174" s="80">
        <f>SUMIFS('февраль 2024'!$G$6:$G$1413,'февраль 2024'!$D$6:$D$1413,$B174,'февраль 2024'!$J$6:$J$1413,X$1)</f>
        <v>0</v>
      </c>
      <c r="Y174" s="80">
        <f>SUMIFS('февраль 2024'!$G$6:$G$1413,'февраль 2024'!$D$6:$D$1413,$B174,'февраль 2024'!$J$6:$J$1413,Y$1)</f>
        <v>0</v>
      </c>
      <c r="Z174" s="80">
        <f>SUMIFS('февраль 2024'!$G$6:$G$1413,'февраль 2024'!$D$6:$D$1413,$B174,'февраль 2024'!$J$6:$J$1413,Z$1)</f>
        <v>0</v>
      </c>
      <c r="AA174" s="80">
        <f>SUMIFS('февраль 2024'!$G$6:$G$1413,'февраль 2024'!$D$6:$D$1413,$B174,'февраль 2024'!$J$6:$J$1413,AA$1)</f>
        <v>0</v>
      </c>
      <c r="AB174" s="80">
        <f>SUMIFS('февраль 2024'!$G$6:$G$1413,'февраль 2024'!$D$6:$D$1413,$B174,'февраль 2024'!$J$6:$J$1413,AB$1)</f>
        <v>0</v>
      </c>
      <c r="AC174" s="80">
        <f>SUMIFS('февраль 2024'!$G$6:$G$1413,'февраль 2024'!$D$6:$D$1413,$B174,'февраль 2024'!$J$6:$J$1413,AC$1)</f>
        <v>0</v>
      </c>
      <c r="AD174" s="80">
        <f>SUMIFS('февраль 2024'!$G$6:$G$1413,'февраль 2024'!$D$6:$D$1413,$B174,'февраль 2024'!$J$6:$J$1413,AD$1)</f>
        <v>0</v>
      </c>
      <c r="AE174" s="80">
        <f>SUMIFS('февраль 2024'!$G$6:$G$1413,'февраль 2024'!$D$6:$D$1413,$B174,'февраль 2024'!$J$6:$J$1413,AE$1)</f>
        <v>0</v>
      </c>
      <c r="AF174" s="80">
        <f>SUMIFS('февраль 2024'!$G$6:$G$1413,'февраль 2024'!$D$6:$D$1413,$B174,'февраль 2024'!$J$6:$J$1413,AF$1)</f>
        <v>0</v>
      </c>
      <c r="AG174" s="80">
        <f>SUMIFS('февраль 2024'!$G$6:$G$1413,'февраль 2024'!$D$6:$D$1413,$B174,'февраль 2024'!$J$6:$J$1413,AG$1)</f>
        <v>0</v>
      </c>
      <c r="AH174" s="80">
        <f>SUMIFS('февраль 2024'!$G$6:$G$1413,'февраль 2024'!$D$6:$D$1413,$B174,'февраль 2024'!$J$6:$J$1413,AH$1)</f>
        <v>0</v>
      </c>
      <c r="AI174" s="87"/>
    </row>
    <row r="175" spans="2:35" ht="15" hidden="1" customHeight="1" x14ac:dyDescent="0.25">
      <c r="B175" s="93"/>
      <c r="C175" s="91"/>
      <c r="D175" s="80">
        <f>SUMIFS('февраль 2024'!$G$6:$G$1413,'февраль 2024'!$D$6:$D$1413,$B175,'февраль 2024'!$J$6:$J$1413,D$1)</f>
        <v>0</v>
      </c>
      <c r="E175" s="80">
        <f>SUMIFS('февраль 2024'!$G$6:$G$1413,'февраль 2024'!$D$6:$D$1413,$B175,'февраль 2024'!$J$6:$J$1413,E$1)</f>
        <v>0</v>
      </c>
      <c r="F175" s="80">
        <f>SUMIFS('февраль 2024'!$G$6:$G$1413,'февраль 2024'!$D$6:$D$1413,$B175,'февраль 2024'!$J$6:$J$1413,F$1)</f>
        <v>0</v>
      </c>
      <c r="G175" s="80">
        <f>SUMIFS('февраль 2024'!$G$6:$G$1413,'февраль 2024'!$D$6:$D$1413,$B175,'февраль 2024'!$J$6:$J$1413,G$1)</f>
        <v>0</v>
      </c>
      <c r="H175" s="80">
        <f>SUMIFS('февраль 2024'!$G$6:$G$1413,'февраль 2024'!$D$6:$D$1413,$B175,'февраль 2024'!$J$6:$J$1413,H$1)</f>
        <v>0</v>
      </c>
      <c r="I175" s="80">
        <f>SUMIFS('февраль 2024'!$G$6:$G$1413,'февраль 2024'!$D$6:$D$1413,$B175,'февраль 2024'!$J$6:$J$1413,I$1)</f>
        <v>0</v>
      </c>
      <c r="J175" s="80">
        <f>SUMIFS('февраль 2024'!$G$6:$G$1413,'февраль 2024'!$D$6:$D$1413,$B175,'февраль 2024'!$J$6:$J$1413,J$1)</f>
        <v>0</v>
      </c>
      <c r="K175" s="80">
        <f>SUMIFS('февраль 2024'!$G$6:$G$1413,'февраль 2024'!$D$6:$D$1413,$B175,'февраль 2024'!$J$6:$J$1413,K$1)</f>
        <v>0</v>
      </c>
      <c r="L175" s="80">
        <f>SUMIFS('февраль 2024'!$G$6:$G$1413,'февраль 2024'!$D$6:$D$1413,$B175,'февраль 2024'!$J$6:$J$1413,L$1)</f>
        <v>0</v>
      </c>
      <c r="M175" s="80">
        <f>SUMIFS('февраль 2024'!$G$6:$G$1413,'февраль 2024'!$D$6:$D$1413,$B175,'февраль 2024'!$J$6:$J$1413,M$1)</f>
        <v>0</v>
      </c>
      <c r="N175" s="80">
        <f>SUMIFS('февраль 2024'!$G$6:$G$1413,'февраль 2024'!$D$6:$D$1413,$B175,'февраль 2024'!$J$6:$J$1413,N$1)</f>
        <v>0</v>
      </c>
      <c r="O175" s="80">
        <f>SUMIFS('февраль 2024'!$G$6:$G$1413,'февраль 2024'!$D$6:$D$1413,$B175,'февраль 2024'!$J$6:$J$1413,O$1)</f>
        <v>0</v>
      </c>
      <c r="P175" s="80">
        <f>SUMIFS('февраль 2024'!$G$6:$G$1413,'февраль 2024'!$D$6:$D$1413,$B175,'февраль 2024'!$J$6:$J$1413,P$1)</f>
        <v>0</v>
      </c>
      <c r="Q175" s="80">
        <f>SUMIFS('февраль 2024'!$G$6:$G$1413,'февраль 2024'!$D$6:$D$1413,$B175,'февраль 2024'!$J$6:$J$1413,Q$1)</f>
        <v>0</v>
      </c>
      <c r="R175" s="80">
        <f>SUMIFS('февраль 2024'!$G$6:$G$1413,'февраль 2024'!$D$6:$D$1413,$B175,'февраль 2024'!$J$6:$J$1413,R$1)</f>
        <v>0</v>
      </c>
      <c r="S175" s="80">
        <f>SUMIFS('февраль 2024'!$G$6:$G$1413,'февраль 2024'!$D$6:$D$1413,$B175,'февраль 2024'!$J$6:$J$1413,S$1)</f>
        <v>0</v>
      </c>
      <c r="T175" s="80">
        <f>SUMIFS('февраль 2024'!$G$6:$G$1413,'февраль 2024'!$D$6:$D$1413,$B175,'февраль 2024'!$J$6:$J$1413,T$1)</f>
        <v>0</v>
      </c>
      <c r="U175" s="80">
        <f>SUMIFS('февраль 2024'!$G$6:$G$1413,'февраль 2024'!$D$6:$D$1413,$B175,'февраль 2024'!$J$6:$J$1413,U$1)</f>
        <v>0</v>
      </c>
      <c r="V175" s="80">
        <f>SUMIFS('февраль 2024'!$G$6:$G$1413,'февраль 2024'!$D$6:$D$1413,$B175,'февраль 2024'!$J$6:$J$1413,V$1)</f>
        <v>0</v>
      </c>
      <c r="W175" s="80">
        <f>SUMIFS('февраль 2024'!$G$6:$G$1413,'февраль 2024'!$D$6:$D$1413,$B175,'февраль 2024'!$J$6:$J$1413,W$1)</f>
        <v>0</v>
      </c>
      <c r="X175" s="80">
        <f>SUMIFS('февраль 2024'!$G$6:$G$1413,'февраль 2024'!$D$6:$D$1413,$B175,'февраль 2024'!$J$6:$J$1413,X$1)</f>
        <v>0</v>
      </c>
      <c r="Y175" s="80">
        <f>SUMIFS('февраль 2024'!$G$6:$G$1413,'февраль 2024'!$D$6:$D$1413,$B175,'февраль 2024'!$J$6:$J$1413,Y$1)</f>
        <v>0</v>
      </c>
      <c r="Z175" s="80">
        <f>SUMIFS('февраль 2024'!$G$6:$G$1413,'февраль 2024'!$D$6:$D$1413,$B175,'февраль 2024'!$J$6:$J$1413,Z$1)</f>
        <v>0</v>
      </c>
      <c r="AA175" s="80">
        <f>SUMIFS('февраль 2024'!$G$6:$G$1413,'февраль 2024'!$D$6:$D$1413,$B175,'февраль 2024'!$J$6:$J$1413,AA$1)</f>
        <v>0</v>
      </c>
      <c r="AB175" s="80">
        <f>SUMIFS('февраль 2024'!$G$6:$G$1413,'февраль 2024'!$D$6:$D$1413,$B175,'февраль 2024'!$J$6:$J$1413,AB$1)</f>
        <v>0</v>
      </c>
      <c r="AC175" s="80">
        <f>SUMIFS('февраль 2024'!$G$6:$G$1413,'февраль 2024'!$D$6:$D$1413,$B175,'февраль 2024'!$J$6:$J$1413,AC$1)</f>
        <v>0</v>
      </c>
      <c r="AD175" s="80">
        <f>SUMIFS('февраль 2024'!$G$6:$G$1413,'февраль 2024'!$D$6:$D$1413,$B175,'февраль 2024'!$J$6:$J$1413,AD$1)</f>
        <v>0</v>
      </c>
      <c r="AE175" s="80">
        <f>SUMIFS('февраль 2024'!$G$6:$G$1413,'февраль 2024'!$D$6:$D$1413,$B175,'февраль 2024'!$J$6:$J$1413,AE$1)</f>
        <v>0</v>
      </c>
      <c r="AF175" s="80">
        <f>SUMIFS('февраль 2024'!$G$6:$G$1413,'февраль 2024'!$D$6:$D$1413,$B175,'февраль 2024'!$J$6:$J$1413,AF$1)</f>
        <v>0</v>
      </c>
      <c r="AG175" s="80">
        <f>SUMIFS('февраль 2024'!$G$6:$G$1413,'февраль 2024'!$D$6:$D$1413,$B175,'февраль 2024'!$J$6:$J$1413,AG$1)</f>
        <v>0</v>
      </c>
      <c r="AH175" s="80">
        <f>SUMIFS('февраль 2024'!$G$6:$G$1413,'февраль 2024'!$D$6:$D$1413,$B175,'февраль 2024'!$J$6:$J$1413,AH$1)</f>
        <v>0</v>
      </c>
      <c r="AI175" s="87"/>
    </row>
    <row r="176" spans="2:35" ht="15" hidden="1" customHeight="1" x14ac:dyDescent="0.25">
      <c r="B176" s="89"/>
      <c r="C176" s="88"/>
      <c r="D176" s="80">
        <f>SUMIFS('февраль 2024'!$G$6:$G$1413,'февраль 2024'!$D$6:$D$1413,$B176,'февраль 2024'!$J$6:$J$1413,D$1)</f>
        <v>0</v>
      </c>
      <c r="E176" s="80">
        <f>SUMIFS('февраль 2024'!$G$6:$G$1413,'февраль 2024'!$D$6:$D$1413,$B176,'февраль 2024'!$J$6:$J$1413,E$1)</f>
        <v>0</v>
      </c>
      <c r="F176" s="80">
        <f>SUMIFS('февраль 2024'!$G$6:$G$1413,'февраль 2024'!$D$6:$D$1413,$B176,'февраль 2024'!$J$6:$J$1413,F$1)</f>
        <v>0</v>
      </c>
      <c r="G176" s="80">
        <f>SUMIFS('февраль 2024'!$G$6:$G$1413,'февраль 2024'!$D$6:$D$1413,$B176,'февраль 2024'!$J$6:$J$1413,G$1)</f>
        <v>0</v>
      </c>
      <c r="H176" s="80">
        <f>SUMIFS('февраль 2024'!$G$6:$G$1413,'февраль 2024'!$D$6:$D$1413,$B176,'февраль 2024'!$J$6:$J$1413,H$1)</f>
        <v>0</v>
      </c>
      <c r="I176" s="80">
        <f>SUMIFS('февраль 2024'!$G$6:$G$1413,'февраль 2024'!$D$6:$D$1413,$B176,'февраль 2024'!$J$6:$J$1413,I$1)</f>
        <v>0</v>
      </c>
      <c r="J176" s="80">
        <f>SUMIFS('февраль 2024'!$G$6:$G$1413,'февраль 2024'!$D$6:$D$1413,$B176,'февраль 2024'!$J$6:$J$1413,J$1)</f>
        <v>0</v>
      </c>
      <c r="K176" s="80">
        <f>SUMIFS('февраль 2024'!$G$6:$G$1413,'февраль 2024'!$D$6:$D$1413,$B176,'февраль 2024'!$J$6:$J$1413,K$1)</f>
        <v>0</v>
      </c>
      <c r="L176" s="80">
        <f>SUMIFS('февраль 2024'!$G$6:$G$1413,'февраль 2024'!$D$6:$D$1413,$B176,'февраль 2024'!$J$6:$J$1413,L$1)</f>
        <v>0</v>
      </c>
      <c r="M176" s="80">
        <f>SUMIFS('февраль 2024'!$G$6:$G$1413,'февраль 2024'!$D$6:$D$1413,$B176,'февраль 2024'!$J$6:$J$1413,M$1)</f>
        <v>0</v>
      </c>
      <c r="N176" s="80">
        <f>SUMIFS('февраль 2024'!$G$6:$G$1413,'февраль 2024'!$D$6:$D$1413,$B176,'февраль 2024'!$J$6:$J$1413,N$1)</f>
        <v>0</v>
      </c>
      <c r="O176" s="80">
        <f>SUMIFS('февраль 2024'!$G$6:$G$1413,'февраль 2024'!$D$6:$D$1413,$B176,'февраль 2024'!$J$6:$J$1413,O$1)</f>
        <v>0</v>
      </c>
      <c r="P176" s="80">
        <f>SUMIFS('февраль 2024'!$G$6:$G$1413,'февраль 2024'!$D$6:$D$1413,$B176,'февраль 2024'!$J$6:$J$1413,P$1)</f>
        <v>0</v>
      </c>
      <c r="Q176" s="80">
        <f>SUMIFS('февраль 2024'!$G$6:$G$1413,'февраль 2024'!$D$6:$D$1413,$B176,'февраль 2024'!$J$6:$J$1413,Q$1)</f>
        <v>0</v>
      </c>
      <c r="R176" s="80">
        <f>SUMIFS('февраль 2024'!$G$6:$G$1413,'февраль 2024'!$D$6:$D$1413,$B176,'февраль 2024'!$J$6:$J$1413,R$1)</f>
        <v>0</v>
      </c>
      <c r="S176" s="80">
        <f>SUMIFS('февраль 2024'!$G$6:$G$1413,'февраль 2024'!$D$6:$D$1413,$B176,'февраль 2024'!$J$6:$J$1413,S$1)</f>
        <v>0</v>
      </c>
      <c r="T176" s="80">
        <f>SUMIFS('февраль 2024'!$G$6:$G$1413,'февраль 2024'!$D$6:$D$1413,$B176,'февраль 2024'!$J$6:$J$1413,T$1)</f>
        <v>0</v>
      </c>
      <c r="U176" s="80">
        <f>SUMIFS('февраль 2024'!$G$6:$G$1413,'февраль 2024'!$D$6:$D$1413,$B176,'февраль 2024'!$J$6:$J$1413,U$1)</f>
        <v>0</v>
      </c>
      <c r="V176" s="80">
        <f>SUMIFS('февраль 2024'!$G$6:$G$1413,'февраль 2024'!$D$6:$D$1413,$B176,'февраль 2024'!$J$6:$J$1413,V$1)</f>
        <v>0</v>
      </c>
      <c r="W176" s="80">
        <f>SUMIFS('февраль 2024'!$G$6:$G$1413,'февраль 2024'!$D$6:$D$1413,$B176,'февраль 2024'!$J$6:$J$1413,W$1)</f>
        <v>0</v>
      </c>
      <c r="X176" s="80">
        <f>SUMIFS('февраль 2024'!$G$6:$G$1413,'февраль 2024'!$D$6:$D$1413,$B176,'февраль 2024'!$J$6:$J$1413,X$1)</f>
        <v>0</v>
      </c>
      <c r="Y176" s="80">
        <f>SUMIFS('февраль 2024'!$G$6:$G$1413,'февраль 2024'!$D$6:$D$1413,$B176,'февраль 2024'!$J$6:$J$1413,Y$1)</f>
        <v>0</v>
      </c>
      <c r="Z176" s="80">
        <f>SUMIFS('февраль 2024'!$G$6:$G$1413,'февраль 2024'!$D$6:$D$1413,$B176,'февраль 2024'!$J$6:$J$1413,Z$1)</f>
        <v>0</v>
      </c>
      <c r="AA176" s="80">
        <f>SUMIFS('февраль 2024'!$G$6:$G$1413,'февраль 2024'!$D$6:$D$1413,$B176,'февраль 2024'!$J$6:$J$1413,AA$1)</f>
        <v>0</v>
      </c>
      <c r="AB176" s="80">
        <f>SUMIFS('февраль 2024'!$G$6:$G$1413,'февраль 2024'!$D$6:$D$1413,$B176,'февраль 2024'!$J$6:$J$1413,AB$1)</f>
        <v>0</v>
      </c>
      <c r="AC176" s="80">
        <f>SUMIFS('февраль 2024'!$G$6:$G$1413,'февраль 2024'!$D$6:$D$1413,$B176,'февраль 2024'!$J$6:$J$1413,AC$1)</f>
        <v>0</v>
      </c>
      <c r="AD176" s="80">
        <f>SUMIFS('февраль 2024'!$G$6:$G$1413,'февраль 2024'!$D$6:$D$1413,$B176,'февраль 2024'!$J$6:$J$1413,AD$1)</f>
        <v>0</v>
      </c>
      <c r="AE176" s="80">
        <f>SUMIFS('февраль 2024'!$G$6:$G$1413,'февраль 2024'!$D$6:$D$1413,$B176,'февраль 2024'!$J$6:$J$1413,AE$1)</f>
        <v>0</v>
      </c>
      <c r="AF176" s="80">
        <f>SUMIFS('февраль 2024'!$G$6:$G$1413,'февраль 2024'!$D$6:$D$1413,$B176,'февраль 2024'!$J$6:$J$1413,AF$1)</f>
        <v>0</v>
      </c>
      <c r="AG176" s="80">
        <f>SUMIFS('февраль 2024'!$G$6:$G$1413,'февраль 2024'!$D$6:$D$1413,$B176,'февраль 2024'!$J$6:$J$1413,AG$1)</f>
        <v>0</v>
      </c>
      <c r="AH176" s="80">
        <f>SUMIFS('февраль 2024'!$G$6:$G$1413,'февраль 2024'!$D$6:$D$1413,$B176,'февраль 2024'!$J$6:$J$1413,AH$1)</f>
        <v>0</v>
      </c>
      <c r="AI176" s="87"/>
    </row>
    <row r="177" spans="2:35" ht="15" hidden="1" customHeight="1" x14ac:dyDescent="0.25">
      <c r="B177" s="89"/>
      <c r="C177" s="91"/>
      <c r="D177" s="80">
        <f>SUMIFS('февраль 2024'!$G$6:$G$1413,'февраль 2024'!$D$6:$D$1413,$B177,'февраль 2024'!$J$6:$J$1413,D$1)</f>
        <v>0</v>
      </c>
      <c r="E177" s="80">
        <f>SUMIFS('февраль 2024'!$G$6:$G$1413,'февраль 2024'!$D$6:$D$1413,$B177,'февраль 2024'!$J$6:$J$1413,E$1)</f>
        <v>0</v>
      </c>
      <c r="F177" s="80">
        <f>SUMIFS('февраль 2024'!$G$6:$G$1413,'февраль 2024'!$D$6:$D$1413,$B177,'февраль 2024'!$J$6:$J$1413,F$1)</f>
        <v>0</v>
      </c>
      <c r="G177" s="80">
        <f>SUMIFS('февраль 2024'!$G$6:$G$1413,'февраль 2024'!$D$6:$D$1413,$B177,'февраль 2024'!$J$6:$J$1413,G$1)</f>
        <v>0</v>
      </c>
      <c r="H177" s="80">
        <f>SUMIFS('февраль 2024'!$G$6:$G$1413,'февраль 2024'!$D$6:$D$1413,$B177,'февраль 2024'!$J$6:$J$1413,H$1)</f>
        <v>0</v>
      </c>
      <c r="I177" s="80">
        <f>SUMIFS('февраль 2024'!$G$6:$G$1413,'февраль 2024'!$D$6:$D$1413,$B177,'февраль 2024'!$J$6:$J$1413,I$1)</f>
        <v>0</v>
      </c>
      <c r="J177" s="80">
        <f>SUMIFS('февраль 2024'!$G$6:$G$1413,'февраль 2024'!$D$6:$D$1413,$B177,'февраль 2024'!$J$6:$J$1413,J$1)</f>
        <v>0</v>
      </c>
      <c r="K177" s="80">
        <f>SUMIFS('февраль 2024'!$G$6:$G$1413,'февраль 2024'!$D$6:$D$1413,$B177,'февраль 2024'!$J$6:$J$1413,K$1)</f>
        <v>0</v>
      </c>
      <c r="L177" s="80">
        <f>SUMIFS('февраль 2024'!$G$6:$G$1413,'февраль 2024'!$D$6:$D$1413,$B177,'февраль 2024'!$J$6:$J$1413,L$1)</f>
        <v>0</v>
      </c>
      <c r="M177" s="80">
        <f>SUMIFS('февраль 2024'!$G$6:$G$1413,'февраль 2024'!$D$6:$D$1413,$B177,'февраль 2024'!$J$6:$J$1413,M$1)</f>
        <v>0</v>
      </c>
      <c r="N177" s="80">
        <f>SUMIFS('февраль 2024'!$G$6:$G$1413,'февраль 2024'!$D$6:$D$1413,$B177,'февраль 2024'!$J$6:$J$1413,N$1)</f>
        <v>0</v>
      </c>
      <c r="O177" s="80">
        <f>SUMIFS('февраль 2024'!$G$6:$G$1413,'февраль 2024'!$D$6:$D$1413,$B177,'февраль 2024'!$J$6:$J$1413,O$1)</f>
        <v>0</v>
      </c>
      <c r="P177" s="80">
        <f>SUMIFS('февраль 2024'!$G$6:$G$1413,'февраль 2024'!$D$6:$D$1413,$B177,'февраль 2024'!$J$6:$J$1413,P$1)</f>
        <v>0</v>
      </c>
      <c r="Q177" s="80">
        <f>SUMIFS('февраль 2024'!$G$6:$G$1413,'февраль 2024'!$D$6:$D$1413,$B177,'февраль 2024'!$J$6:$J$1413,Q$1)</f>
        <v>0</v>
      </c>
      <c r="R177" s="80">
        <f>SUMIFS('февраль 2024'!$G$6:$G$1413,'февраль 2024'!$D$6:$D$1413,$B177,'февраль 2024'!$J$6:$J$1413,R$1)</f>
        <v>0</v>
      </c>
      <c r="S177" s="80">
        <f>SUMIFS('февраль 2024'!$G$6:$G$1413,'февраль 2024'!$D$6:$D$1413,$B177,'февраль 2024'!$J$6:$J$1413,S$1)</f>
        <v>0</v>
      </c>
      <c r="T177" s="80">
        <f>SUMIFS('февраль 2024'!$G$6:$G$1413,'февраль 2024'!$D$6:$D$1413,$B177,'февраль 2024'!$J$6:$J$1413,T$1)</f>
        <v>0</v>
      </c>
      <c r="U177" s="80">
        <f>SUMIFS('февраль 2024'!$G$6:$G$1413,'февраль 2024'!$D$6:$D$1413,$B177,'февраль 2024'!$J$6:$J$1413,U$1)</f>
        <v>0</v>
      </c>
      <c r="V177" s="80">
        <f>SUMIFS('февраль 2024'!$G$6:$G$1413,'февраль 2024'!$D$6:$D$1413,$B177,'февраль 2024'!$J$6:$J$1413,V$1)</f>
        <v>0</v>
      </c>
      <c r="W177" s="80">
        <f>SUMIFS('февраль 2024'!$G$6:$G$1413,'февраль 2024'!$D$6:$D$1413,$B177,'февраль 2024'!$J$6:$J$1413,W$1)</f>
        <v>0</v>
      </c>
      <c r="X177" s="80">
        <f>SUMIFS('февраль 2024'!$G$6:$G$1413,'февраль 2024'!$D$6:$D$1413,$B177,'февраль 2024'!$J$6:$J$1413,X$1)</f>
        <v>0</v>
      </c>
      <c r="Y177" s="80">
        <f>SUMIFS('февраль 2024'!$G$6:$G$1413,'февраль 2024'!$D$6:$D$1413,$B177,'февраль 2024'!$J$6:$J$1413,Y$1)</f>
        <v>0</v>
      </c>
      <c r="Z177" s="80">
        <f>SUMIFS('февраль 2024'!$G$6:$G$1413,'февраль 2024'!$D$6:$D$1413,$B177,'февраль 2024'!$J$6:$J$1413,Z$1)</f>
        <v>0</v>
      </c>
      <c r="AA177" s="80">
        <f>SUMIFS('февраль 2024'!$G$6:$G$1413,'февраль 2024'!$D$6:$D$1413,$B177,'февраль 2024'!$J$6:$J$1413,AA$1)</f>
        <v>0</v>
      </c>
      <c r="AB177" s="80">
        <f>SUMIFS('февраль 2024'!$G$6:$G$1413,'февраль 2024'!$D$6:$D$1413,$B177,'февраль 2024'!$J$6:$J$1413,AB$1)</f>
        <v>0</v>
      </c>
      <c r="AC177" s="80">
        <f>SUMIFS('февраль 2024'!$G$6:$G$1413,'февраль 2024'!$D$6:$D$1413,$B177,'февраль 2024'!$J$6:$J$1413,AC$1)</f>
        <v>0</v>
      </c>
      <c r="AD177" s="80">
        <f>SUMIFS('февраль 2024'!$G$6:$G$1413,'февраль 2024'!$D$6:$D$1413,$B177,'февраль 2024'!$J$6:$J$1413,AD$1)</f>
        <v>0</v>
      </c>
      <c r="AE177" s="80">
        <f>SUMIFS('февраль 2024'!$G$6:$G$1413,'февраль 2024'!$D$6:$D$1413,$B177,'февраль 2024'!$J$6:$J$1413,AE$1)</f>
        <v>0</v>
      </c>
      <c r="AF177" s="80">
        <f>SUMIFS('февраль 2024'!$G$6:$G$1413,'февраль 2024'!$D$6:$D$1413,$B177,'февраль 2024'!$J$6:$J$1413,AF$1)</f>
        <v>0</v>
      </c>
      <c r="AG177" s="80">
        <f>SUMIFS('февраль 2024'!$G$6:$G$1413,'февраль 2024'!$D$6:$D$1413,$B177,'февраль 2024'!$J$6:$J$1413,AG$1)</f>
        <v>0</v>
      </c>
      <c r="AH177" s="80">
        <f>SUMIFS('февраль 2024'!$G$6:$G$1413,'февраль 2024'!$D$6:$D$1413,$B177,'февраль 2024'!$J$6:$J$1413,AH$1)</f>
        <v>0</v>
      </c>
      <c r="AI177" s="87"/>
    </row>
    <row r="178" spans="2:35" ht="15" hidden="1" customHeight="1" x14ac:dyDescent="0.25">
      <c r="B178" s="89"/>
      <c r="C178" s="91"/>
      <c r="D178" s="80">
        <f>SUMIFS('февраль 2024'!$G$6:$G$1413,'февраль 2024'!$D$6:$D$1413,$B178,'февраль 2024'!$J$6:$J$1413,D$1)</f>
        <v>0</v>
      </c>
      <c r="E178" s="80">
        <f>SUMIFS('февраль 2024'!$G$6:$G$1413,'февраль 2024'!$D$6:$D$1413,$B178,'февраль 2024'!$J$6:$J$1413,E$1)</f>
        <v>0</v>
      </c>
      <c r="F178" s="80">
        <f>SUMIFS('февраль 2024'!$G$6:$G$1413,'февраль 2024'!$D$6:$D$1413,$B178,'февраль 2024'!$J$6:$J$1413,F$1)</f>
        <v>0</v>
      </c>
      <c r="G178" s="80">
        <f>SUMIFS('февраль 2024'!$G$6:$G$1413,'февраль 2024'!$D$6:$D$1413,$B178,'февраль 2024'!$J$6:$J$1413,G$1)</f>
        <v>0</v>
      </c>
      <c r="H178" s="80">
        <f>SUMIFS('февраль 2024'!$G$6:$G$1413,'февраль 2024'!$D$6:$D$1413,$B178,'февраль 2024'!$J$6:$J$1413,H$1)</f>
        <v>0</v>
      </c>
      <c r="I178" s="80">
        <f>SUMIFS('февраль 2024'!$G$6:$G$1413,'февраль 2024'!$D$6:$D$1413,$B178,'февраль 2024'!$J$6:$J$1413,I$1)</f>
        <v>0</v>
      </c>
      <c r="J178" s="80">
        <f>SUMIFS('февраль 2024'!$G$6:$G$1413,'февраль 2024'!$D$6:$D$1413,$B178,'февраль 2024'!$J$6:$J$1413,J$1)</f>
        <v>0</v>
      </c>
      <c r="K178" s="80">
        <f>SUMIFS('февраль 2024'!$G$6:$G$1413,'февраль 2024'!$D$6:$D$1413,$B178,'февраль 2024'!$J$6:$J$1413,K$1)</f>
        <v>0</v>
      </c>
      <c r="L178" s="80">
        <f>SUMIFS('февраль 2024'!$G$6:$G$1413,'февраль 2024'!$D$6:$D$1413,$B178,'февраль 2024'!$J$6:$J$1413,L$1)</f>
        <v>0</v>
      </c>
      <c r="M178" s="80">
        <f>SUMIFS('февраль 2024'!$G$6:$G$1413,'февраль 2024'!$D$6:$D$1413,$B178,'февраль 2024'!$J$6:$J$1413,M$1)</f>
        <v>0</v>
      </c>
      <c r="N178" s="80">
        <f>SUMIFS('февраль 2024'!$G$6:$G$1413,'февраль 2024'!$D$6:$D$1413,$B178,'февраль 2024'!$J$6:$J$1413,N$1)</f>
        <v>0</v>
      </c>
      <c r="O178" s="80">
        <f>SUMIFS('февраль 2024'!$G$6:$G$1413,'февраль 2024'!$D$6:$D$1413,$B178,'февраль 2024'!$J$6:$J$1413,O$1)</f>
        <v>0</v>
      </c>
      <c r="P178" s="80">
        <f>SUMIFS('февраль 2024'!$G$6:$G$1413,'февраль 2024'!$D$6:$D$1413,$B178,'февраль 2024'!$J$6:$J$1413,P$1)</f>
        <v>0</v>
      </c>
      <c r="Q178" s="80">
        <f>SUMIFS('февраль 2024'!$G$6:$G$1413,'февраль 2024'!$D$6:$D$1413,$B178,'февраль 2024'!$J$6:$J$1413,Q$1)</f>
        <v>0</v>
      </c>
      <c r="R178" s="80">
        <f>SUMIFS('февраль 2024'!$G$6:$G$1413,'февраль 2024'!$D$6:$D$1413,$B178,'февраль 2024'!$J$6:$J$1413,R$1)</f>
        <v>0</v>
      </c>
      <c r="S178" s="80">
        <f>SUMIFS('февраль 2024'!$G$6:$G$1413,'февраль 2024'!$D$6:$D$1413,$B178,'февраль 2024'!$J$6:$J$1413,S$1)</f>
        <v>0</v>
      </c>
      <c r="T178" s="80">
        <f>SUMIFS('февраль 2024'!$G$6:$G$1413,'февраль 2024'!$D$6:$D$1413,$B178,'февраль 2024'!$J$6:$J$1413,T$1)</f>
        <v>0</v>
      </c>
      <c r="U178" s="80">
        <f>SUMIFS('февраль 2024'!$G$6:$G$1413,'февраль 2024'!$D$6:$D$1413,$B178,'февраль 2024'!$J$6:$J$1413,U$1)</f>
        <v>0</v>
      </c>
      <c r="V178" s="80">
        <f>SUMIFS('февраль 2024'!$G$6:$G$1413,'февраль 2024'!$D$6:$D$1413,$B178,'февраль 2024'!$J$6:$J$1413,V$1)</f>
        <v>0</v>
      </c>
      <c r="W178" s="80">
        <f>SUMIFS('февраль 2024'!$G$6:$G$1413,'февраль 2024'!$D$6:$D$1413,$B178,'февраль 2024'!$J$6:$J$1413,W$1)</f>
        <v>0</v>
      </c>
      <c r="X178" s="80">
        <f>SUMIFS('февраль 2024'!$G$6:$G$1413,'февраль 2024'!$D$6:$D$1413,$B178,'февраль 2024'!$J$6:$J$1413,X$1)</f>
        <v>0</v>
      </c>
      <c r="Y178" s="80">
        <f>SUMIFS('февраль 2024'!$G$6:$G$1413,'февраль 2024'!$D$6:$D$1413,$B178,'февраль 2024'!$J$6:$J$1413,Y$1)</f>
        <v>0</v>
      </c>
      <c r="Z178" s="80">
        <f>SUMIFS('февраль 2024'!$G$6:$G$1413,'февраль 2024'!$D$6:$D$1413,$B178,'февраль 2024'!$J$6:$J$1413,Z$1)</f>
        <v>0</v>
      </c>
      <c r="AA178" s="80">
        <f>SUMIFS('февраль 2024'!$G$6:$G$1413,'февраль 2024'!$D$6:$D$1413,$B178,'февраль 2024'!$J$6:$J$1413,AA$1)</f>
        <v>0</v>
      </c>
      <c r="AB178" s="80">
        <f>SUMIFS('февраль 2024'!$G$6:$G$1413,'февраль 2024'!$D$6:$D$1413,$B178,'февраль 2024'!$J$6:$J$1413,AB$1)</f>
        <v>0</v>
      </c>
      <c r="AC178" s="80">
        <f>SUMIFS('февраль 2024'!$G$6:$G$1413,'февраль 2024'!$D$6:$D$1413,$B178,'февраль 2024'!$J$6:$J$1413,AC$1)</f>
        <v>0</v>
      </c>
      <c r="AD178" s="80">
        <f>SUMIFS('февраль 2024'!$G$6:$G$1413,'февраль 2024'!$D$6:$D$1413,$B178,'февраль 2024'!$J$6:$J$1413,AD$1)</f>
        <v>0</v>
      </c>
      <c r="AE178" s="80">
        <f>SUMIFS('февраль 2024'!$G$6:$G$1413,'февраль 2024'!$D$6:$D$1413,$B178,'февраль 2024'!$J$6:$J$1413,AE$1)</f>
        <v>0</v>
      </c>
      <c r="AF178" s="80">
        <f>SUMIFS('февраль 2024'!$G$6:$G$1413,'февраль 2024'!$D$6:$D$1413,$B178,'февраль 2024'!$J$6:$J$1413,AF$1)</f>
        <v>0</v>
      </c>
      <c r="AG178" s="80">
        <f>SUMIFS('февраль 2024'!$G$6:$G$1413,'февраль 2024'!$D$6:$D$1413,$B178,'февраль 2024'!$J$6:$J$1413,AG$1)</f>
        <v>0</v>
      </c>
      <c r="AH178" s="80">
        <f>SUMIFS('февраль 2024'!$G$6:$G$1413,'февраль 2024'!$D$6:$D$1413,$B178,'февраль 2024'!$J$6:$J$1413,AH$1)</f>
        <v>0</v>
      </c>
      <c r="AI178" s="87"/>
    </row>
    <row r="179" spans="2:35" ht="15" hidden="1" customHeight="1" x14ac:dyDescent="0.25">
      <c r="B179" s="89"/>
      <c r="C179" s="91"/>
      <c r="D179" s="80">
        <f>SUMIFS('февраль 2024'!$G$6:$G$1413,'февраль 2024'!$D$6:$D$1413,$B179,'февраль 2024'!$J$6:$J$1413,D$1)</f>
        <v>0</v>
      </c>
      <c r="E179" s="80">
        <f>SUMIFS('февраль 2024'!$G$6:$G$1413,'февраль 2024'!$D$6:$D$1413,$B179,'февраль 2024'!$J$6:$J$1413,E$1)</f>
        <v>0</v>
      </c>
      <c r="F179" s="80">
        <f>SUMIFS('февраль 2024'!$G$6:$G$1413,'февраль 2024'!$D$6:$D$1413,$B179,'февраль 2024'!$J$6:$J$1413,F$1)</f>
        <v>0</v>
      </c>
      <c r="G179" s="80">
        <f>SUMIFS('февраль 2024'!$G$6:$G$1413,'февраль 2024'!$D$6:$D$1413,$B179,'февраль 2024'!$J$6:$J$1413,G$1)</f>
        <v>0</v>
      </c>
      <c r="H179" s="80">
        <f>SUMIFS('февраль 2024'!$G$6:$G$1413,'февраль 2024'!$D$6:$D$1413,$B179,'февраль 2024'!$J$6:$J$1413,H$1)</f>
        <v>0</v>
      </c>
      <c r="I179" s="80">
        <f>SUMIFS('февраль 2024'!$G$6:$G$1413,'февраль 2024'!$D$6:$D$1413,$B179,'февраль 2024'!$J$6:$J$1413,I$1)</f>
        <v>0</v>
      </c>
      <c r="J179" s="80">
        <f>SUMIFS('февраль 2024'!$G$6:$G$1413,'февраль 2024'!$D$6:$D$1413,$B179,'февраль 2024'!$J$6:$J$1413,J$1)</f>
        <v>0</v>
      </c>
      <c r="K179" s="80">
        <f>SUMIFS('февраль 2024'!$G$6:$G$1413,'февраль 2024'!$D$6:$D$1413,$B179,'февраль 2024'!$J$6:$J$1413,K$1)</f>
        <v>0</v>
      </c>
      <c r="L179" s="80">
        <f>SUMIFS('февраль 2024'!$G$6:$G$1413,'февраль 2024'!$D$6:$D$1413,$B179,'февраль 2024'!$J$6:$J$1413,L$1)</f>
        <v>0</v>
      </c>
      <c r="M179" s="80">
        <f>SUMIFS('февраль 2024'!$G$6:$G$1413,'февраль 2024'!$D$6:$D$1413,$B179,'февраль 2024'!$J$6:$J$1413,M$1)</f>
        <v>0</v>
      </c>
      <c r="N179" s="80">
        <f>SUMIFS('февраль 2024'!$G$6:$G$1413,'февраль 2024'!$D$6:$D$1413,$B179,'февраль 2024'!$J$6:$J$1413,N$1)</f>
        <v>0</v>
      </c>
      <c r="O179" s="80">
        <f>SUMIFS('февраль 2024'!$G$6:$G$1413,'февраль 2024'!$D$6:$D$1413,$B179,'февраль 2024'!$J$6:$J$1413,O$1)</f>
        <v>0</v>
      </c>
      <c r="P179" s="80">
        <f>SUMIFS('февраль 2024'!$G$6:$G$1413,'февраль 2024'!$D$6:$D$1413,$B179,'февраль 2024'!$J$6:$J$1413,P$1)</f>
        <v>0</v>
      </c>
      <c r="Q179" s="80">
        <f>SUMIFS('февраль 2024'!$G$6:$G$1413,'февраль 2024'!$D$6:$D$1413,$B179,'февраль 2024'!$J$6:$J$1413,Q$1)</f>
        <v>0</v>
      </c>
      <c r="R179" s="80">
        <f>SUMIFS('февраль 2024'!$G$6:$G$1413,'февраль 2024'!$D$6:$D$1413,$B179,'февраль 2024'!$J$6:$J$1413,R$1)</f>
        <v>0</v>
      </c>
      <c r="S179" s="80">
        <f>SUMIFS('февраль 2024'!$G$6:$G$1413,'февраль 2024'!$D$6:$D$1413,$B179,'февраль 2024'!$J$6:$J$1413,S$1)</f>
        <v>0</v>
      </c>
      <c r="T179" s="80">
        <f>SUMIFS('февраль 2024'!$G$6:$G$1413,'февраль 2024'!$D$6:$D$1413,$B179,'февраль 2024'!$J$6:$J$1413,T$1)</f>
        <v>0</v>
      </c>
      <c r="U179" s="80">
        <f>SUMIFS('февраль 2024'!$G$6:$G$1413,'февраль 2024'!$D$6:$D$1413,$B179,'февраль 2024'!$J$6:$J$1413,U$1)</f>
        <v>0</v>
      </c>
      <c r="V179" s="80">
        <f>SUMIFS('февраль 2024'!$G$6:$G$1413,'февраль 2024'!$D$6:$D$1413,$B179,'февраль 2024'!$J$6:$J$1413,V$1)</f>
        <v>0</v>
      </c>
      <c r="W179" s="80">
        <f>SUMIFS('февраль 2024'!$G$6:$G$1413,'февраль 2024'!$D$6:$D$1413,$B179,'февраль 2024'!$J$6:$J$1413,W$1)</f>
        <v>0</v>
      </c>
      <c r="X179" s="80">
        <f>SUMIFS('февраль 2024'!$G$6:$G$1413,'февраль 2024'!$D$6:$D$1413,$B179,'февраль 2024'!$J$6:$J$1413,X$1)</f>
        <v>0</v>
      </c>
      <c r="Y179" s="80">
        <f>SUMIFS('февраль 2024'!$G$6:$G$1413,'февраль 2024'!$D$6:$D$1413,$B179,'февраль 2024'!$J$6:$J$1413,Y$1)</f>
        <v>0</v>
      </c>
      <c r="Z179" s="80">
        <f>SUMIFS('февраль 2024'!$G$6:$G$1413,'февраль 2024'!$D$6:$D$1413,$B179,'февраль 2024'!$J$6:$J$1413,Z$1)</f>
        <v>0</v>
      </c>
      <c r="AA179" s="80">
        <f>SUMIFS('февраль 2024'!$G$6:$G$1413,'февраль 2024'!$D$6:$D$1413,$B179,'февраль 2024'!$J$6:$J$1413,AA$1)</f>
        <v>0</v>
      </c>
      <c r="AB179" s="80">
        <f>SUMIFS('февраль 2024'!$G$6:$G$1413,'февраль 2024'!$D$6:$D$1413,$B179,'февраль 2024'!$J$6:$J$1413,AB$1)</f>
        <v>0</v>
      </c>
      <c r="AC179" s="80">
        <f>SUMIFS('февраль 2024'!$G$6:$G$1413,'февраль 2024'!$D$6:$D$1413,$B179,'февраль 2024'!$J$6:$J$1413,AC$1)</f>
        <v>0</v>
      </c>
      <c r="AD179" s="80">
        <f>SUMIFS('февраль 2024'!$G$6:$G$1413,'февраль 2024'!$D$6:$D$1413,$B179,'февраль 2024'!$J$6:$J$1413,AD$1)</f>
        <v>0</v>
      </c>
      <c r="AE179" s="80">
        <f>SUMIFS('февраль 2024'!$G$6:$G$1413,'февраль 2024'!$D$6:$D$1413,$B179,'февраль 2024'!$J$6:$J$1413,AE$1)</f>
        <v>0</v>
      </c>
      <c r="AF179" s="80">
        <f>SUMIFS('февраль 2024'!$G$6:$G$1413,'февраль 2024'!$D$6:$D$1413,$B179,'февраль 2024'!$J$6:$J$1413,AF$1)</f>
        <v>0</v>
      </c>
      <c r="AG179" s="80">
        <f>SUMIFS('февраль 2024'!$G$6:$G$1413,'февраль 2024'!$D$6:$D$1413,$B179,'февраль 2024'!$J$6:$J$1413,AG$1)</f>
        <v>0</v>
      </c>
      <c r="AH179" s="80">
        <f>SUMIFS('февраль 2024'!$G$6:$G$1413,'февраль 2024'!$D$6:$D$1413,$B179,'февраль 2024'!$J$6:$J$1413,AH$1)</f>
        <v>0</v>
      </c>
      <c r="AI179" s="87"/>
    </row>
    <row r="180" spans="2:35" ht="15" hidden="1" customHeight="1" x14ac:dyDescent="0.25">
      <c r="B180" s="89"/>
      <c r="C180" s="91"/>
      <c r="D180" s="80">
        <f>SUMIFS('февраль 2024'!$G$6:$G$1413,'февраль 2024'!$D$6:$D$1413,$B180,'февраль 2024'!$J$6:$J$1413,D$1)</f>
        <v>0</v>
      </c>
      <c r="E180" s="80">
        <f>SUMIFS('февраль 2024'!$G$6:$G$1413,'февраль 2024'!$D$6:$D$1413,$B180,'февраль 2024'!$J$6:$J$1413,E$1)</f>
        <v>0</v>
      </c>
      <c r="F180" s="80">
        <f>SUMIFS('февраль 2024'!$G$6:$G$1413,'февраль 2024'!$D$6:$D$1413,$B180,'февраль 2024'!$J$6:$J$1413,F$1)</f>
        <v>0</v>
      </c>
      <c r="G180" s="80">
        <f>SUMIFS('февраль 2024'!$G$6:$G$1413,'февраль 2024'!$D$6:$D$1413,$B180,'февраль 2024'!$J$6:$J$1413,G$1)</f>
        <v>0</v>
      </c>
      <c r="H180" s="80">
        <f>SUMIFS('февраль 2024'!$G$6:$G$1413,'февраль 2024'!$D$6:$D$1413,$B180,'февраль 2024'!$J$6:$J$1413,H$1)</f>
        <v>0</v>
      </c>
      <c r="I180" s="80">
        <f>SUMIFS('февраль 2024'!$G$6:$G$1413,'февраль 2024'!$D$6:$D$1413,$B180,'февраль 2024'!$J$6:$J$1413,I$1)</f>
        <v>0</v>
      </c>
      <c r="J180" s="80">
        <f>SUMIFS('февраль 2024'!$G$6:$G$1413,'февраль 2024'!$D$6:$D$1413,$B180,'февраль 2024'!$J$6:$J$1413,J$1)</f>
        <v>0</v>
      </c>
      <c r="K180" s="80">
        <f>SUMIFS('февраль 2024'!$G$6:$G$1413,'февраль 2024'!$D$6:$D$1413,$B180,'февраль 2024'!$J$6:$J$1413,K$1)</f>
        <v>0</v>
      </c>
      <c r="L180" s="80">
        <f>SUMIFS('февраль 2024'!$G$6:$G$1413,'февраль 2024'!$D$6:$D$1413,$B180,'февраль 2024'!$J$6:$J$1413,L$1)</f>
        <v>0</v>
      </c>
      <c r="M180" s="80">
        <f>SUMIFS('февраль 2024'!$G$6:$G$1413,'февраль 2024'!$D$6:$D$1413,$B180,'февраль 2024'!$J$6:$J$1413,M$1)</f>
        <v>0</v>
      </c>
      <c r="N180" s="80">
        <f>SUMIFS('февраль 2024'!$G$6:$G$1413,'февраль 2024'!$D$6:$D$1413,$B180,'февраль 2024'!$J$6:$J$1413,N$1)</f>
        <v>0</v>
      </c>
      <c r="O180" s="80">
        <f>SUMIFS('февраль 2024'!$G$6:$G$1413,'февраль 2024'!$D$6:$D$1413,$B180,'февраль 2024'!$J$6:$J$1413,O$1)</f>
        <v>0</v>
      </c>
      <c r="P180" s="80">
        <f>SUMIFS('февраль 2024'!$G$6:$G$1413,'февраль 2024'!$D$6:$D$1413,$B180,'февраль 2024'!$J$6:$J$1413,P$1)</f>
        <v>0</v>
      </c>
      <c r="Q180" s="80">
        <f>SUMIFS('февраль 2024'!$G$6:$G$1413,'февраль 2024'!$D$6:$D$1413,$B180,'февраль 2024'!$J$6:$J$1413,Q$1)</f>
        <v>0</v>
      </c>
      <c r="R180" s="80">
        <f>SUMIFS('февраль 2024'!$G$6:$G$1413,'февраль 2024'!$D$6:$D$1413,$B180,'февраль 2024'!$J$6:$J$1413,R$1)</f>
        <v>0</v>
      </c>
      <c r="S180" s="80">
        <f>SUMIFS('февраль 2024'!$G$6:$G$1413,'февраль 2024'!$D$6:$D$1413,$B180,'февраль 2024'!$J$6:$J$1413,S$1)</f>
        <v>0</v>
      </c>
      <c r="T180" s="80">
        <f>SUMIFS('февраль 2024'!$G$6:$G$1413,'февраль 2024'!$D$6:$D$1413,$B180,'февраль 2024'!$J$6:$J$1413,T$1)</f>
        <v>0</v>
      </c>
      <c r="U180" s="80">
        <f>SUMIFS('февраль 2024'!$G$6:$G$1413,'февраль 2024'!$D$6:$D$1413,$B180,'февраль 2024'!$J$6:$J$1413,U$1)</f>
        <v>0</v>
      </c>
      <c r="V180" s="80">
        <f>SUMIFS('февраль 2024'!$G$6:$G$1413,'февраль 2024'!$D$6:$D$1413,$B180,'февраль 2024'!$J$6:$J$1413,V$1)</f>
        <v>0</v>
      </c>
      <c r="W180" s="80">
        <f>SUMIFS('февраль 2024'!$G$6:$G$1413,'февраль 2024'!$D$6:$D$1413,$B180,'февраль 2024'!$J$6:$J$1413,W$1)</f>
        <v>0</v>
      </c>
      <c r="X180" s="80">
        <f>SUMIFS('февраль 2024'!$G$6:$G$1413,'февраль 2024'!$D$6:$D$1413,$B180,'февраль 2024'!$J$6:$J$1413,X$1)</f>
        <v>0</v>
      </c>
      <c r="Y180" s="80">
        <f>SUMIFS('февраль 2024'!$G$6:$G$1413,'февраль 2024'!$D$6:$D$1413,$B180,'февраль 2024'!$J$6:$J$1413,Y$1)</f>
        <v>0</v>
      </c>
      <c r="Z180" s="80">
        <f>SUMIFS('февраль 2024'!$G$6:$G$1413,'февраль 2024'!$D$6:$D$1413,$B180,'февраль 2024'!$J$6:$J$1413,Z$1)</f>
        <v>0</v>
      </c>
      <c r="AA180" s="80">
        <f>SUMIFS('февраль 2024'!$G$6:$G$1413,'февраль 2024'!$D$6:$D$1413,$B180,'февраль 2024'!$J$6:$J$1413,AA$1)</f>
        <v>0</v>
      </c>
      <c r="AB180" s="80">
        <f>SUMIFS('февраль 2024'!$G$6:$G$1413,'февраль 2024'!$D$6:$D$1413,$B180,'февраль 2024'!$J$6:$J$1413,AB$1)</f>
        <v>0</v>
      </c>
      <c r="AC180" s="80">
        <f>SUMIFS('февраль 2024'!$G$6:$G$1413,'февраль 2024'!$D$6:$D$1413,$B180,'февраль 2024'!$J$6:$J$1413,AC$1)</f>
        <v>0</v>
      </c>
      <c r="AD180" s="80">
        <f>SUMIFS('февраль 2024'!$G$6:$G$1413,'февраль 2024'!$D$6:$D$1413,$B180,'февраль 2024'!$J$6:$J$1413,AD$1)</f>
        <v>0</v>
      </c>
      <c r="AE180" s="80">
        <f>SUMIFS('февраль 2024'!$G$6:$G$1413,'февраль 2024'!$D$6:$D$1413,$B180,'февраль 2024'!$J$6:$J$1413,AE$1)</f>
        <v>0</v>
      </c>
      <c r="AF180" s="80">
        <f>SUMIFS('февраль 2024'!$G$6:$G$1413,'февраль 2024'!$D$6:$D$1413,$B180,'февраль 2024'!$J$6:$J$1413,AF$1)</f>
        <v>0</v>
      </c>
      <c r="AG180" s="80">
        <f>SUMIFS('февраль 2024'!$G$6:$G$1413,'февраль 2024'!$D$6:$D$1413,$B180,'февраль 2024'!$J$6:$J$1413,AG$1)</f>
        <v>0</v>
      </c>
      <c r="AH180" s="80">
        <f>SUMIFS('февраль 2024'!$G$6:$G$1413,'февраль 2024'!$D$6:$D$1413,$B180,'февраль 2024'!$J$6:$J$1413,AH$1)</f>
        <v>0</v>
      </c>
      <c r="AI180" s="87"/>
    </row>
    <row r="181" spans="2:35" ht="15" hidden="1" customHeight="1" x14ac:dyDescent="0.25">
      <c r="B181" s="89"/>
      <c r="C181" s="91"/>
      <c r="D181" s="80">
        <f>SUMIFS('февраль 2024'!$G$6:$G$1413,'февраль 2024'!$D$6:$D$1413,$B181,'февраль 2024'!$J$6:$J$1413,D$1)</f>
        <v>0</v>
      </c>
      <c r="E181" s="80">
        <f>SUMIFS('февраль 2024'!$G$6:$G$1413,'февраль 2024'!$D$6:$D$1413,$B181,'февраль 2024'!$J$6:$J$1413,E$1)</f>
        <v>0</v>
      </c>
      <c r="F181" s="80">
        <f>SUMIFS('февраль 2024'!$G$6:$G$1413,'февраль 2024'!$D$6:$D$1413,$B181,'февраль 2024'!$J$6:$J$1413,F$1)</f>
        <v>0</v>
      </c>
      <c r="G181" s="80">
        <f>SUMIFS('февраль 2024'!$G$6:$G$1413,'февраль 2024'!$D$6:$D$1413,$B181,'февраль 2024'!$J$6:$J$1413,G$1)</f>
        <v>0</v>
      </c>
      <c r="H181" s="80">
        <f>SUMIFS('февраль 2024'!$G$6:$G$1413,'февраль 2024'!$D$6:$D$1413,$B181,'февраль 2024'!$J$6:$J$1413,H$1)</f>
        <v>0</v>
      </c>
      <c r="I181" s="80">
        <f>SUMIFS('февраль 2024'!$G$6:$G$1413,'февраль 2024'!$D$6:$D$1413,$B181,'февраль 2024'!$J$6:$J$1413,I$1)</f>
        <v>0</v>
      </c>
      <c r="J181" s="80">
        <f>SUMIFS('февраль 2024'!$G$6:$G$1413,'февраль 2024'!$D$6:$D$1413,$B181,'февраль 2024'!$J$6:$J$1413,J$1)</f>
        <v>0</v>
      </c>
      <c r="K181" s="80">
        <f>SUMIFS('февраль 2024'!$G$6:$G$1413,'февраль 2024'!$D$6:$D$1413,$B181,'февраль 2024'!$J$6:$J$1413,K$1)</f>
        <v>0</v>
      </c>
      <c r="L181" s="80">
        <f>SUMIFS('февраль 2024'!$G$6:$G$1413,'февраль 2024'!$D$6:$D$1413,$B181,'февраль 2024'!$J$6:$J$1413,L$1)</f>
        <v>0</v>
      </c>
      <c r="M181" s="80">
        <f>SUMIFS('февраль 2024'!$G$6:$G$1413,'февраль 2024'!$D$6:$D$1413,$B181,'февраль 2024'!$J$6:$J$1413,M$1)</f>
        <v>0</v>
      </c>
      <c r="N181" s="80">
        <f>SUMIFS('февраль 2024'!$G$6:$G$1413,'февраль 2024'!$D$6:$D$1413,$B181,'февраль 2024'!$J$6:$J$1413,N$1)</f>
        <v>0</v>
      </c>
      <c r="O181" s="80">
        <f>SUMIFS('февраль 2024'!$G$6:$G$1413,'февраль 2024'!$D$6:$D$1413,$B181,'февраль 2024'!$J$6:$J$1413,O$1)</f>
        <v>0</v>
      </c>
      <c r="P181" s="80">
        <f>SUMIFS('февраль 2024'!$G$6:$G$1413,'февраль 2024'!$D$6:$D$1413,$B181,'февраль 2024'!$J$6:$J$1413,P$1)</f>
        <v>0</v>
      </c>
      <c r="Q181" s="80">
        <f>SUMIFS('февраль 2024'!$G$6:$G$1413,'февраль 2024'!$D$6:$D$1413,$B181,'февраль 2024'!$J$6:$J$1413,Q$1)</f>
        <v>0</v>
      </c>
      <c r="R181" s="80">
        <f>SUMIFS('февраль 2024'!$G$6:$G$1413,'февраль 2024'!$D$6:$D$1413,$B181,'февраль 2024'!$J$6:$J$1413,R$1)</f>
        <v>0</v>
      </c>
      <c r="S181" s="80">
        <f>SUMIFS('февраль 2024'!$G$6:$G$1413,'февраль 2024'!$D$6:$D$1413,$B181,'февраль 2024'!$J$6:$J$1413,S$1)</f>
        <v>0</v>
      </c>
      <c r="T181" s="80">
        <f>SUMIFS('февраль 2024'!$G$6:$G$1413,'февраль 2024'!$D$6:$D$1413,$B181,'февраль 2024'!$J$6:$J$1413,T$1)</f>
        <v>0</v>
      </c>
      <c r="U181" s="80">
        <f>SUMIFS('февраль 2024'!$G$6:$G$1413,'февраль 2024'!$D$6:$D$1413,$B181,'февраль 2024'!$J$6:$J$1413,U$1)</f>
        <v>0</v>
      </c>
      <c r="V181" s="80">
        <f>SUMIFS('февраль 2024'!$G$6:$G$1413,'февраль 2024'!$D$6:$D$1413,$B181,'февраль 2024'!$J$6:$J$1413,V$1)</f>
        <v>0</v>
      </c>
      <c r="W181" s="80">
        <f>SUMIFS('февраль 2024'!$G$6:$G$1413,'февраль 2024'!$D$6:$D$1413,$B181,'февраль 2024'!$J$6:$J$1413,W$1)</f>
        <v>0</v>
      </c>
      <c r="X181" s="80">
        <f>SUMIFS('февраль 2024'!$G$6:$G$1413,'февраль 2024'!$D$6:$D$1413,$B181,'февраль 2024'!$J$6:$J$1413,X$1)</f>
        <v>0</v>
      </c>
      <c r="Y181" s="80">
        <f>SUMIFS('февраль 2024'!$G$6:$G$1413,'февраль 2024'!$D$6:$D$1413,$B181,'февраль 2024'!$J$6:$J$1413,Y$1)</f>
        <v>0</v>
      </c>
      <c r="Z181" s="80">
        <f>SUMIFS('февраль 2024'!$G$6:$G$1413,'февраль 2024'!$D$6:$D$1413,$B181,'февраль 2024'!$J$6:$J$1413,Z$1)</f>
        <v>0</v>
      </c>
      <c r="AA181" s="80">
        <f>SUMIFS('февраль 2024'!$G$6:$G$1413,'февраль 2024'!$D$6:$D$1413,$B181,'февраль 2024'!$J$6:$J$1413,AA$1)</f>
        <v>0</v>
      </c>
      <c r="AB181" s="80">
        <f>SUMIFS('февраль 2024'!$G$6:$G$1413,'февраль 2024'!$D$6:$D$1413,$B181,'февраль 2024'!$J$6:$J$1413,AB$1)</f>
        <v>0</v>
      </c>
      <c r="AC181" s="80">
        <f>SUMIFS('февраль 2024'!$G$6:$G$1413,'февраль 2024'!$D$6:$D$1413,$B181,'февраль 2024'!$J$6:$J$1413,AC$1)</f>
        <v>0</v>
      </c>
      <c r="AD181" s="80">
        <f>SUMIFS('февраль 2024'!$G$6:$G$1413,'февраль 2024'!$D$6:$D$1413,$B181,'февраль 2024'!$J$6:$J$1413,AD$1)</f>
        <v>0</v>
      </c>
      <c r="AE181" s="80">
        <f>SUMIFS('февраль 2024'!$G$6:$G$1413,'февраль 2024'!$D$6:$D$1413,$B181,'февраль 2024'!$J$6:$J$1413,AE$1)</f>
        <v>0</v>
      </c>
      <c r="AF181" s="80">
        <f>SUMIFS('февраль 2024'!$G$6:$G$1413,'февраль 2024'!$D$6:$D$1413,$B181,'февраль 2024'!$J$6:$J$1413,AF$1)</f>
        <v>0</v>
      </c>
      <c r="AG181" s="80">
        <f>SUMIFS('февраль 2024'!$G$6:$G$1413,'февраль 2024'!$D$6:$D$1413,$B181,'февраль 2024'!$J$6:$J$1413,AG$1)</f>
        <v>0</v>
      </c>
      <c r="AH181" s="80">
        <f>SUMIFS('февраль 2024'!$G$6:$G$1413,'февраль 2024'!$D$6:$D$1413,$B181,'февраль 2024'!$J$6:$J$1413,AH$1)</f>
        <v>0</v>
      </c>
      <c r="AI181" s="87"/>
    </row>
    <row r="182" spans="2:35" ht="15" hidden="1" customHeight="1" x14ac:dyDescent="0.25">
      <c r="B182" s="89"/>
      <c r="C182" s="88"/>
      <c r="D182" s="80">
        <f>SUMIFS('февраль 2024'!$G$6:$G$1413,'февраль 2024'!$D$6:$D$1413,$B182,'февраль 2024'!$J$6:$J$1413,D$1)</f>
        <v>0</v>
      </c>
      <c r="E182" s="80">
        <f>SUMIFS('февраль 2024'!$G$6:$G$1413,'февраль 2024'!$D$6:$D$1413,$B182,'февраль 2024'!$J$6:$J$1413,E$1)</f>
        <v>0</v>
      </c>
      <c r="F182" s="80">
        <f>SUMIFS('февраль 2024'!$G$6:$G$1413,'февраль 2024'!$D$6:$D$1413,$B182,'февраль 2024'!$J$6:$J$1413,F$1)</f>
        <v>0</v>
      </c>
      <c r="G182" s="80">
        <f>SUMIFS('февраль 2024'!$G$6:$G$1413,'февраль 2024'!$D$6:$D$1413,$B182,'февраль 2024'!$J$6:$J$1413,G$1)</f>
        <v>0</v>
      </c>
      <c r="H182" s="80">
        <f>SUMIFS('февраль 2024'!$G$6:$G$1413,'февраль 2024'!$D$6:$D$1413,$B182,'февраль 2024'!$J$6:$J$1413,H$1)</f>
        <v>0</v>
      </c>
      <c r="I182" s="80">
        <f>SUMIFS('февраль 2024'!$G$6:$G$1413,'февраль 2024'!$D$6:$D$1413,$B182,'февраль 2024'!$J$6:$J$1413,I$1)</f>
        <v>0</v>
      </c>
      <c r="J182" s="80">
        <f>SUMIFS('февраль 2024'!$G$6:$G$1413,'февраль 2024'!$D$6:$D$1413,$B182,'февраль 2024'!$J$6:$J$1413,J$1)</f>
        <v>0</v>
      </c>
      <c r="K182" s="80">
        <f>SUMIFS('февраль 2024'!$G$6:$G$1413,'февраль 2024'!$D$6:$D$1413,$B182,'февраль 2024'!$J$6:$J$1413,K$1)</f>
        <v>0</v>
      </c>
      <c r="L182" s="80">
        <f>SUMIFS('февраль 2024'!$G$6:$G$1413,'февраль 2024'!$D$6:$D$1413,$B182,'февраль 2024'!$J$6:$J$1413,L$1)</f>
        <v>0</v>
      </c>
      <c r="M182" s="80">
        <f>SUMIFS('февраль 2024'!$G$6:$G$1413,'февраль 2024'!$D$6:$D$1413,$B182,'февраль 2024'!$J$6:$J$1413,M$1)</f>
        <v>0</v>
      </c>
      <c r="N182" s="80">
        <f>SUMIFS('февраль 2024'!$G$6:$G$1413,'февраль 2024'!$D$6:$D$1413,$B182,'февраль 2024'!$J$6:$J$1413,N$1)</f>
        <v>0</v>
      </c>
      <c r="O182" s="80">
        <f>SUMIFS('февраль 2024'!$G$6:$G$1413,'февраль 2024'!$D$6:$D$1413,$B182,'февраль 2024'!$J$6:$J$1413,O$1)</f>
        <v>0</v>
      </c>
      <c r="P182" s="80">
        <f>SUMIFS('февраль 2024'!$G$6:$G$1413,'февраль 2024'!$D$6:$D$1413,$B182,'февраль 2024'!$J$6:$J$1413,P$1)</f>
        <v>0</v>
      </c>
      <c r="Q182" s="80">
        <f>SUMIFS('февраль 2024'!$G$6:$G$1413,'февраль 2024'!$D$6:$D$1413,$B182,'февраль 2024'!$J$6:$J$1413,Q$1)</f>
        <v>0</v>
      </c>
      <c r="R182" s="80">
        <f>SUMIFS('февраль 2024'!$G$6:$G$1413,'февраль 2024'!$D$6:$D$1413,$B182,'февраль 2024'!$J$6:$J$1413,R$1)</f>
        <v>0</v>
      </c>
      <c r="S182" s="80">
        <f>SUMIFS('февраль 2024'!$G$6:$G$1413,'февраль 2024'!$D$6:$D$1413,$B182,'февраль 2024'!$J$6:$J$1413,S$1)</f>
        <v>0</v>
      </c>
      <c r="T182" s="80">
        <f>SUMIFS('февраль 2024'!$G$6:$G$1413,'февраль 2024'!$D$6:$D$1413,$B182,'февраль 2024'!$J$6:$J$1413,T$1)</f>
        <v>0</v>
      </c>
      <c r="U182" s="80">
        <f>SUMIFS('февраль 2024'!$G$6:$G$1413,'февраль 2024'!$D$6:$D$1413,$B182,'февраль 2024'!$J$6:$J$1413,U$1)</f>
        <v>0</v>
      </c>
      <c r="V182" s="80">
        <f>SUMIFS('февраль 2024'!$G$6:$G$1413,'февраль 2024'!$D$6:$D$1413,$B182,'февраль 2024'!$J$6:$J$1413,V$1)</f>
        <v>0</v>
      </c>
      <c r="W182" s="80">
        <f>SUMIFS('февраль 2024'!$G$6:$G$1413,'февраль 2024'!$D$6:$D$1413,$B182,'февраль 2024'!$J$6:$J$1413,W$1)</f>
        <v>0</v>
      </c>
      <c r="X182" s="80">
        <f>SUMIFS('февраль 2024'!$G$6:$G$1413,'февраль 2024'!$D$6:$D$1413,$B182,'февраль 2024'!$J$6:$J$1413,X$1)</f>
        <v>0</v>
      </c>
      <c r="Y182" s="80">
        <f>SUMIFS('февраль 2024'!$G$6:$G$1413,'февраль 2024'!$D$6:$D$1413,$B182,'февраль 2024'!$J$6:$J$1413,Y$1)</f>
        <v>0</v>
      </c>
      <c r="Z182" s="80">
        <f>SUMIFS('февраль 2024'!$G$6:$G$1413,'февраль 2024'!$D$6:$D$1413,$B182,'февраль 2024'!$J$6:$J$1413,Z$1)</f>
        <v>0</v>
      </c>
      <c r="AA182" s="80">
        <f>SUMIFS('февраль 2024'!$G$6:$G$1413,'февраль 2024'!$D$6:$D$1413,$B182,'февраль 2024'!$J$6:$J$1413,AA$1)</f>
        <v>0</v>
      </c>
      <c r="AB182" s="80">
        <f>SUMIFS('февраль 2024'!$G$6:$G$1413,'февраль 2024'!$D$6:$D$1413,$B182,'февраль 2024'!$J$6:$J$1413,AB$1)</f>
        <v>0</v>
      </c>
      <c r="AC182" s="80">
        <f>SUMIFS('февраль 2024'!$G$6:$G$1413,'февраль 2024'!$D$6:$D$1413,$B182,'февраль 2024'!$J$6:$J$1413,AC$1)</f>
        <v>0</v>
      </c>
      <c r="AD182" s="80">
        <f>SUMIFS('февраль 2024'!$G$6:$G$1413,'февраль 2024'!$D$6:$D$1413,$B182,'февраль 2024'!$J$6:$J$1413,AD$1)</f>
        <v>0</v>
      </c>
      <c r="AE182" s="80">
        <f>SUMIFS('февраль 2024'!$G$6:$G$1413,'февраль 2024'!$D$6:$D$1413,$B182,'февраль 2024'!$J$6:$J$1413,AE$1)</f>
        <v>0</v>
      </c>
      <c r="AF182" s="80">
        <f>SUMIFS('февраль 2024'!$G$6:$G$1413,'февраль 2024'!$D$6:$D$1413,$B182,'февраль 2024'!$J$6:$J$1413,AF$1)</f>
        <v>0</v>
      </c>
      <c r="AG182" s="80">
        <f>SUMIFS('февраль 2024'!$G$6:$G$1413,'февраль 2024'!$D$6:$D$1413,$B182,'февраль 2024'!$J$6:$J$1413,AG$1)</f>
        <v>0</v>
      </c>
      <c r="AH182" s="80">
        <f>SUMIFS('февраль 2024'!$G$6:$G$1413,'февраль 2024'!$D$6:$D$1413,$B182,'февраль 2024'!$J$6:$J$1413,AH$1)</f>
        <v>0</v>
      </c>
      <c r="AI182" s="87"/>
    </row>
    <row r="183" spans="2:35" ht="15" hidden="1" customHeight="1" x14ac:dyDescent="0.25">
      <c r="B183" s="89"/>
      <c r="C183" s="88"/>
      <c r="D183" s="80">
        <f>SUMIFS('февраль 2024'!$G$6:$G$1413,'февраль 2024'!$D$6:$D$1413,$B183,'февраль 2024'!$J$6:$J$1413,D$1)</f>
        <v>0</v>
      </c>
      <c r="E183" s="80">
        <f>SUMIFS('февраль 2024'!$G$6:$G$1413,'февраль 2024'!$D$6:$D$1413,$B183,'февраль 2024'!$J$6:$J$1413,E$1)</f>
        <v>0</v>
      </c>
      <c r="F183" s="80">
        <f>SUMIFS('февраль 2024'!$G$6:$G$1413,'февраль 2024'!$D$6:$D$1413,$B183,'февраль 2024'!$J$6:$J$1413,F$1)</f>
        <v>0</v>
      </c>
      <c r="G183" s="80">
        <f>SUMIFS('февраль 2024'!$G$6:$G$1413,'февраль 2024'!$D$6:$D$1413,$B183,'февраль 2024'!$J$6:$J$1413,G$1)</f>
        <v>0</v>
      </c>
      <c r="H183" s="80">
        <f>SUMIFS('февраль 2024'!$G$6:$G$1413,'февраль 2024'!$D$6:$D$1413,$B183,'февраль 2024'!$J$6:$J$1413,H$1)</f>
        <v>0</v>
      </c>
      <c r="I183" s="80">
        <f>SUMIFS('февраль 2024'!$G$6:$G$1413,'февраль 2024'!$D$6:$D$1413,$B183,'февраль 2024'!$J$6:$J$1413,I$1)</f>
        <v>0</v>
      </c>
      <c r="J183" s="80">
        <f>SUMIFS('февраль 2024'!$G$6:$G$1413,'февраль 2024'!$D$6:$D$1413,$B183,'февраль 2024'!$J$6:$J$1413,J$1)</f>
        <v>0</v>
      </c>
      <c r="K183" s="80">
        <f>SUMIFS('февраль 2024'!$G$6:$G$1413,'февраль 2024'!$D$6:$D$1413,$B183,'февраль 2024'!$J$6:$J$1413,K$1)</f>
        <v>0</v>
      </c>
      <c r="L183" s="80">
        <f>SUMIFS('февраль 2024'!$G$6:$G$1413,'февраль 2024'!$D$6:$D$1413,$B183,'февраль 2024'!$J$6:$J$1413,L$1)</f>
        <v>0</v>
      </c>
      <c r="M183" s="80">
        <f>SUMIFS('февраль 2024'!$G$6:$G$1413,'февраль 2024'!$D$6:$D$1413,$B183,'февраль 2024'!$J$6:$J$1413,M$1)</f>
        <v>0</v>
      </c>
      <c r="N183" s="80">
        <f>SUMIFS('февраль 2024'!$G$6:$G$1413,'февраль 2024'!$D$6:$D$1413,$B183,'февраль 2024'!$J$6:$J$1413,N$1)</f>
        <v>0</v>
      </c>
      <c r="O183" s="80">
        <f>SUMIFS('февраль 2024'!$G$6:$G$1413,'февраль 2024'!$D$6:$D$1413,$B183,'февраль 2024'!$J$6:$J$1413,O$1)</f>
        <v>0</v>
      </c>
      <c r="P183" s="80">
        <f>SUMIFS('февраль 2024'!$G$6:$G$1413,'февраль 2024'!$D$6:$D$1413,$B183,'февраль 2024'!$J$6:$J$1413,P$1)</f>
        <v>0</v>
      </c>
      <c r="Q183" s="80">
        <f>SUMIFS('февраль 2024'!$G$6:$G$1413,'февраль 2024'!$D$6:$D$1413,$B183,'февраль 2024'!$J$6:$J$1413,Q$1)</f>
        <v>0</v>
      </c>
      <c r="R183" s="80">
        <f>SUMIFS('февраль 2024'!$G$6:$G$1413,'февраль 2024'!$D$6:$D$1413,$B183,'февраль 2024'!$J$6:$J$1413,R$1)</f>
        <v>0</v>
      </c>
      <c r="S183" s="80">
        <f>SUMIFS('февраль 2024'!$G$6:$G$1413,'февраль 2024'!$D$6:$D$1413,$B183,'февраль 2024'!$J$6:$J$1413,S$1)</f>
        <v>0</v>
      </c>
      <c r="T183" s="80">
        <f>SUMIFS('февраль 2024'!$G$6:$G$1413,'февраль 2024'!$D$6:$D$1413,$B183,'февраль 2024'!$J$6:$J$1413,T$1)</f>
        <v>0</v>
      </c>
      <c r="U183" s="80">
        <f>SUMIFS('февраль 2024'!$G$6:$G$1413,'февраль 2024'!$D$6:$D$1413,$B183,'февраль 2024'!$J$6:$J$1413,U$1)</f>
        <v>0</v>
      </c>
      <c r="V183" s="80">
        <f>SUMIFS('февраль 2024'!$G$6:$G$1413,'февраль 2024'!$D$6:$D$1413,$B183,'февраль 2024'!$J$6:$J$1413,V$1)</f>
        <v>0</v>
      </c>
      <c r="W183" s="80">
        <f>SUMIFS('февраль 2024'!$G$6:$G$1413,'февраль 2024'!$D$6:$D$1413,$B183,'февраль 2024'!$J$6:$J$1413,W$1)</f>
        <v>0</v>
      </c>
      <c r="X183" s="80">
        <f>SUMIFS('февраль 2024'!$G$6:$G$1413,'февраль 2024'!$D$6:$D$1413,$B183,'февраль 2024'!$J$6:$J$1413,X$1)</f>
        <v>0</v>
      </c>
      <c r="Y183" s="80">
        <f>SUMIFS('февраль 2024'!$G$6:$G$1413,'февраль 2024'!$D$6:$D$1413,$B183,'февраль 2024'!$J$6:$J$1413,Y$1)</f>
        <v>0</v>
      </c>
      <c r="Z183" s="80">
        <f>SUMIFS('февраль 2024'!$G$6:$G$1413,'февраль 2024'!$D$6:$D$1413,$B183,'февраль 2024'!$J$6:$J$1413,Z$1)</f>
        <v>0</v>
      </c>
      <c r="AA183" s="80">
        <f>SUMIFS('февраль 2024'!$G$6:$G$1413,'февраль 2024'!$D$6:$D$1413,$B183,'февраль 2024'!$J$6:$J$1413,AA$1)</f>
        <v>0</v>
      </c>
      <c r="AB183" s="80">
        <f>SUMIFS('февраль 2024'!$G$6:$G$1413,'февраль 2024'!$D$6:$D$1413,$B183,'февраль 2024'!$J$6:$J$1413,AB$1)</f>
        <v>0</v>
      </c>
      <c r="AC183" s="80">
        <f>SUMIFS('февраль 2024'!$G$6:$G$1413,'февраль 2024'!$D$6:$D$1413,$B183,'февраль 2024'!$J$6:$J$1413,AC$1)</f>
        <v>0</v>
      </c>
      <c r="AD183" s="80">
        <f>SUMIFS('февраль 2024'!$G$6:$G$1413,'февраль 2024'!$D$6:$D$1413,$B183,'февраль 2024'!$J$6:$J$1413,AD$1)</f>
        <v>0</v>
      </c>
      <c r="AE183" s="80">
        <f>SUMIFS('февраль 2024'!$G$6:$G$1413,'февраль 2024'!$D$6:$D$1413,$B183,'февраль 2024'!$J$6:$J$1413,AE$1)</f>
        <v>0</v>
      </c>
      <c r="AF183" s="80">
        <f>SUMIFS('февраль 2024'!$G$6:$G$1413,'февраль 2024'!$D$6:$D$1413,$B183,'февраль 2024'!$J$6:$J$1413,AF$1)</f>
        <v>0</v>
      </c>
      <c r="AG183" s="80">
        <f>SUMIFS('февраль 2024'!$G$6:$G$1413,'февраль 2024'!$D$6:$D$1413,$B183,'февраль 2024'!$J$6:$J$1413,AG$1)</f>
        <v>0</v>
      </c>
      <c r="AH183" s="80">
        <f>SUMIFS('февраль 2024'!$G$6:$G$1413,'февраль 2024'!$D$6:$D$1413,$B183,'февраль 2024'!$J$6:$J$1413,AH$1)</f>
        <v>0</v>
      </c>
      <c r="AI183" s="87"/>
    </row>
    <row r="184" spans="2:35" ht="15" hidden="1" customHeight="1" x14ac:dyDescent="0.25">
      <c r="B184" s="89"/>
      <c r="C184" s="88"/>
      <c r="D184" s="80">
        <f>SUMIFS('февраль 2024'!$G$6:$G$1413,'февраль 2024'!$D$6:$D$1413,$B184,'февраль 2024'!$J$6:$J$1413,D$1)</f>
        <v>0</v>
      </c>
      <c r="E184" s="80">
        <f>SUMIFS('февраль 2024'!$G$6:$G$1413,'февраль 2024'!$D$6:$D$1413,$B184,'февраль 2024'!$J$6:$J$1413,E$1)</f>
        <v>0</v>
      </c>
      <c r="F184" s="80">
        <f>SUMIFS('февраль 2024'!$G$6:$G$1413,'февраль 2024'!$D$6:$D$1413,$B184,'февраль 2024'!$J$6:$J$1413,F$1)</f>
        <v>0</v>
      </c>
      <c r="G184" s="80">
        <f>SUMIFS('февраль 2024'!$G$6:$G$1413,'февраль 2024'!$D$6:$D$1413,$B184,'февраль 2024'!$J$6:$J$1413,G$1)</f>
        <v>0</v>
      </c>
      <c r="H184" s="80">
        <f>SUMIFS('февраль 2024'!$G$6:$G$1413,'февраль 2024'!$D$6:$D$1413,$B184,'февраль 2024'!$J$6:$J$1413,H$1)</f>
        <v>0</v>
      </c>
      <c r="I184" s="80">
        <f>SUMIFS('февраль 2024'!$G$6:$G$1413,'февраль 2024'!$D$6:$D$1413,$B184,'февраль 2024'!$J$6:$J$1413,I$1)</f>
        <v>0</v>
      </c>
      <c r="J184" s="80">
        <f>SUMIFS('февраль 2024'!$G$6:$G$1413,'февраль 2024'!$D$6:$D$1413,$B184,'февраль 2024'!$J$6:$J$1413,J$1)</f>
        <v>0</v>
      </c>
      <c r="K184" s="80">
        <f>SUMIFS('февраль 2024'!$G$6:$G$1413,'февраль 2024'!$D$6:$D$1413,$B184,'февраль 2024'!$J$6:$J$1413,K$1)</f>
        <v>0</v>
      </c>
      <c r="L184" s="80">
        <f>SUMIFS('февраль 2024'!$G$6:$G$1413,'февраль 2024'!$D$6:$D$1413,$B184,'февраль 2024'!$J$6:$J$1413,L$1)</f>
        <v>0</v>
      </c>
      <c r="M184" s="80">
        <f>SUMIFS('февраль 2024'!$G$6:$G$1413,'февраль 2024'!$D$6:$D$1413,$B184,'февраль 2024'!$J$6:$J$1413,M$1)</f>
        <v>0</v>
      </c>
      <c r="N184" s="80">
        <f>SUMIFS('февраль 2024'!$G$6:$G$1413,'февраль 2024'!$D$6:$D$1413,$B184,'февраль 2024'!$J$6:$J$1413,N$1)</f>
        <v>0</v>
      </c>
      <c r="O184" s="80">
        <f>SUMIFS('февраль 2024'!$G$6:$G$1413,'февраль 2024'!$D$6:$D$1413,$B184,'февраль 2024'!$J$6:$J$1413,O$1)</f>
        <v>0</v>
      </c>
      <c r="P184" s="80">
        <f>SUMIFS('февраль 2024'!$G$6:$G$1413,'февраль 2024'!$D$6:$D$1413,$B184,'февраль 2024'!$J$6:$J$1413,P$1)</f>
        <v>0</v>
      </c>
      <c r="Q184" s="80">
        <f>SUMIFS('февраль 2024'!$G$6:$G$1413,'февраль 2024'!$D$6:$D$1413,$B184,'февраль 2024'!$J$6:$J$1413,Q$1)</f>
        <v>0</v>
      </c>
      <c r="R184" s="80">
        <f>SUMIFS('февраль 2024'!$G$6:$G$1413,'февраль 2024'!$D$6:$D$1413,$B184,'февраль 2024'!$J$6:$J$1413,R$1)</f>
        <v>0</v>
      </c>
      <c r="S184" s="80">
        <f>SUMIFS('февраль 2024'!$G$6:$G$1413,'февраль 2024'!$D$6:$D$1413,$B184,'февраль 2024'!$J$6:$J$1413,S$1)</f>
        <v>0</v>
      </c>
      <c r="T184" s="80">
        <f>SUMIFS('февраль 2024'!$G$6:$G$1413,'февраль 2024'!$D$6:$D$1413,$B184,'февраль 2024'!$J$6:$J$1413,T$1)</f>
        <v>0</v>
      </c>
      <c r="U184" s="80">
        <f>SUMIFS('февраль 2024'!$G$6:$G$1413,'февраль 2024'!$D$6:$D$1413,$B184,'февраль 2024'!$J$6:$J$1413,U$1)</f>
        <v>0</v>
      </c>
      <c r="V184" s="80">
        <f>SUMIFS('февраль 2024'!$G$6:$G$1413,'февраль 2024'!$D$6:$D$1413,$B184,'февраль 2024'!$J$6:$J$1413,V$1)</f>
        <v>0</v>
      </c>
      <c r="W184" s="80">
        <f>SUMIFS('февраль 2024'!$G$6:$G$1413,'февраль 2024'!$D$6:$D$1413,$B184,'февраль 2024'!$J$6:$J$1413,W$1)</f>
        <v>0</v>
      </c>
      <c r="X184" s="80">
        <f>SUMIFS('февраль 2024'!$G$6:$G$1413,'февраль 2024'!$D$6:$D$1413,$B184,'февраль 2024'!$J$6:$J$1413,X$1)</f>
        <v>0</v>
      </c>
      <c r="Y184" s="80">
        <f>SUMIFS('февраль 2024'!$G$6:$G$1413,'февраль 2024'!$D$6:$D$1413,$B184,'февраль 2024'!$J$6:$J$1413,Y$1)</f>
        <v>0</v>
      </c>
      <c r="Z184" s="80">
        <f>SUMIFS('февраль 2024'!$G$6:$G$1413,'февраль 2024'!$D$6:$D$1413,$B184,'февраль 2024'!$J$6:$J$1413,Z$1)</f>
        <v>0</v>
      </c>
      <c r="AA184" s="80">
        <f>SUMIFS('февраль 2024'!$G$6:$G$1413,'февраль 2024'!$D$6:$D$1413,$B184,'февраль 2024'!$J$6:$J$1413,AA$1)</f>
        <v>0</v>
      </c>
      <c r="AB184" s="80">
        <f>SUMIFS('февраль 2024'!$G$6:$G$1413,'февраль 2024'!$D$6:$D$1413,$B184,'февраль 2024'!$J$6:$J$1413,AB$1)</f>
        <v>0</v>
      </c>
      <c r="AC184" s="80">
        <f>SUMIFS('февраль 2024'!$G$6:$G$1413,'февраль 2024'!$D$6:$D$1413,$B184,'февраль 2024'!$J$6:$J$1413,AC$1)</f>
        <v>0</v>
      </c>
      <c r="AD184" s="80">
        <f>SUMIFS('февраль 2024'!$G$6:$G$1413,'февраль 2024'!$D$6:$D$1413,$B184,'февраль 2024'!$J$6:$J$1413,AD$1)</f>
        <v>0</v>
      </c>
      <c r="AE184" s="80">
        <f>SUMIFS('февраль 2024'!$G$6:$G$1413,'февраль 2024'!$D$6:$D$1413,$B184,'февраль 2024'!$J$6:$J$1413,AE$1)</f>
        <v>0</v>
      </c>
      <c r="AF184" s="80">
        <f>SUMIFS('февраль 2024'!$G$6:$G$1413,'февраль 2024'!$D$6:$D$1413,$B184,'февраль 2024'!$J$6:$J$1413,AF$1)</f>
        <v>0</v>
      </c>
      <c r="AG184" s="80">
        <f>SUMIFS('февраль 2024'!$G$6:$G$1413,'февраль 2024'!$D$6:$D$1413,$B184,'февраль 2024'!$J$6:$J$1413,AG$1)</f>
        <v>0</v>
      </c>
      <c r="AH184" s="80">
        <f>SUMIFS('февраль 2024'!$G$6:$G$1413,'февраль 2024'!$D$6:$D$1413,$B184,'февраль 2024'!$J$6:$J$1413,AH$1)</f>
        <v>0</v>
      </c>
      <c r="AI184" s="87"/>
    </row>
    <row r="185" spans="2:35" ht="15" hidden="1" customHeight="1" x14ac:dyDescent="0.25">
      <c r="B185" s="89"/>
      <c r="C185" s="88"/>
      <c r="D185" s="80">
        <f>SUMIFS('февраль 2024'!$G$6:$G$1413,'февраль 2024'!$D$6:$D$1413,$B185,'февраль 2024'!$J$6:$J$1413,D$1)</f>
        <v>0</v>
      </c>
      <c r="E185" s="80">
        <f>SUMIFS('февраль 2024'!$G$6:$G$1413,'февраль 2024'!$D$6:$D$1413,$B185,'февраль 2024'!$J$6:$J$1413,E$1)</f>
        <v>0</v>
      </c>
      <c r="F185" s="80">
        <f>SUMIFS('февраль 2024'!$G$6:$G$1413,'февраль 2024'!$D$6:$D$1413,$B185,'февраль 2024'!$J$6:$J$1413,F$1)</f>
        <v>0</v>
      </c>
      <c r="G185" s="80">
        <f>SUMIFS('февраль 2024'!$G$6:$G$1413,'февраль 2024'!$D$6:$D$1413,$B185,'февраль 2024'!$J$6:$J$1413,G$1)</f>
        <v>0</v>
      </c>
      <c r="H185" s="80">
        <f>SUMIFS('февраль 2024'!$G$6:$G$1413,'февраль 2024'!$D$6:$D$1413,$B185,'февраль 2024'!$J$6:$J$1413,H$1)</f>
        <v>0</v>
      </c>
      <c r="I185" s="80">
        <f>SUMIFS('февраль 2024'!$G$6:$G$1413,'февраль 2024'!$D$6:$D$1413,$B185,'февраль 2024'!$J$6:$J$1413,I$1)</f>
        <v>0</v>
      </c>
      <c r="J185" s="80">
        <f>SUMIFS('февраль 2024'!$G$6:$G$1413,'февраль 2024'!$D$6:$D$1413,$B185,'февраль 2024'!$J$6:$J$1413,J$1)</f>
        <v>0</v>
      </c>
      <c r="K185" s="80">
        <f>SUMIFS('февраль 2024'!$G$6:$G$1413,'февраль 2024'!$D$6:$D$1413,$B185,'февраль 2024'!$J$6:$J$1413,K$1)</f>
        <v>0</v>
      </c>
      <c r="L185" s="80">
        <f>SUMIFS('февраль 2024'!$G$6:$G$1413,'февраль 2024'!$D$6:$D$1413,$B185,'февраль 2024'!$J$6:$J$1413,L$1)</f>
        <v>0</v>
      </c>
      <c r="M185" s="80">
        <f>SUMIFS('февраль 2024'!$G$6:$G$1413,'февраль 2024'!$D$6:$D$1413,$B185,'февраль 2024'!$J$6:$J$1413,M$1)</f>
        <v>0</v>
      </c>
      <c r="N185" s="80">
        <f>SUMIFS('февраль 2024'!$G$6:$G$1413,'февраль 2024'!$D$6:$D$1413,$B185,'февраль 2024'!$J$6:$J$1413,N$1)</f>
        <v>0</v>
      </c>
      <c r="O185" s="80">
        <f>SUMIFS('февраль 2024'!$G$6:$G$1413,'февраль 2024'!$D$6:$D$1413,$B185,'февраль 2024'!$J$6:$J$1413,O$1)</f>
        <v>0</v>
      </c>
      <c r="P185" s="80">
        <f>SUMIFS('февраль 2024'!$G$6:$G$1413,'февраль 2024'!$D$6:$D$1413,$B185,'февраль 2024'!$J$6:$J$1413,P$1)</f>
        <v>0</v>
      </c>
      <c r="Q185" s="80">
        <f>SUMIFS('февраль 2024'!$G$6:$G$1413,'февраль 2024'!$D$6:$D$1413,$B185,'февраль 2024'!$J$6:$J$1413,Q$1)</f>
        <v>0</v>
      </c>
      <c r="R185" s="80">
        <f>SUMIFS('февраль 2024'!$G$6:$G$1413,'февраль 2024'!$D$6:$D$1413,$B185,'февраль 2024'!$J$6:$J$1413,R$1)</f>
        <v>0</v>
      </c>
      <c r="S185" s="80">
        <f>SUMIFS('февраль 2024'!$G$6:$G$1413,'февраль 2024'!$D$6:$D$1413,$B185,'февраль 2024'!$J$6:$J$1413,S$1)</f>
        <v>0</v>
      </c>
      <c r="T185" s="80">
        <f>SUMIFS('февраль 2024'!$G$6:$G$1413,'февраль 2024'!$D$6:$D$1413,$B185,'февраль 2024'!$J$6:$J$1413,T$1)</f>
        <v>0</v>
      </c>
      <c r="U185" s="80">
        <f>SUMIFS('февраль 2024'!$G$6:$G$1413,'февраль 2024'!$D$6:$D$1413,$B185,'февраль 2024'!$J$6:$J$1413,U$1)</f>
        <v>0</v>
      </c>
      <c r="V185" s="80">
        <f>SUMIFS('февраль 2024'!$G$6:$G$1413,'февраль 2024'!$D$6:$D$1413,$B185,'февраль 2024'!$J$6:$J$1413,V$1)</f>
        <v>0</v>
      </c>
      <c r="W185" s="80">
        <f>SUMIFS('февраль 2024'!$G$6:$G$1413,'февраль 2024'!$D$6:$D$1413,$B185,'февраль 2024'!$J$6:$J$1413,W$1)</f>
        <v>0</v>
      </c>
      <c r="X185" s="80">
        <f>SUMIFS('февраль 2024'!$G$6:$G$1413,'февраль 2024'!$D$6:$D$1413,$B185,'февраль 2024'!$J$6:$J$1413,X$1)</f>
        <v>0</v>
      </c>
      <c r="Y185" s="80">
        <f>SUMIFS('февраль 2024'!$G$6:$G$1413,'февраль 2024'!$D$6:$D$1413,$B185,'февраль 2024'!$J$6:$J$1413,Y$1)</f>
        <v>0</v>
      </c>
      <c r="Z185" s="80">
        <f>SUMIFS('февраль 2024'!$G$6:$G$1413,'февраль 2024'!$D$6:$D$1413,$B185,'февраль 2024'!$J$6:$J$1413,Z$1)</f>
        <v>0</v>
      </c>
      <c r="AA185" s="80">
        <f>SUMIFS('февраль 2024'!$G$6:$G$1413,'февраль 2024'!$D$6:$D$1413,$B185,'февраль 2024'!$J$6:$J$1413,AA$1)</f>
        <v>0</v>
      </c>
      <c r="AB185" s="80">
        <f>SUMIFS('февраль 2024'!$G$6:$G$1413,'февраль 2024'!$D$6:$D$1413,$B185,'февраль 2024'!$J$6:$J$1413,AB$1)</f>
        <v>0</v>
      </c>
      <c r="AC185" s="80">
        <f>SUMIFS('февраль 2024'!$G$6:$G$1413,'февраль 2024'!$D$6:$D$1413,$B185,'февраль 2024'!$J$6:$J$1413,AC$1)</f>
        <v>0</v>
      </c>
      <c r="AD185" s="80">
        <f>SUMIFS('февраль 2024'!$G$6:$G$1413,'февраль 2024'!$D$6:$D$1413,$B185,'февраль 2024'!$J$6:$J$1413,AD$1)</f>
        <v>0</v>
      </c>
      <c r="AE185" s="80">
        <f>SUMIFS('февраль 2024'!$G$6:$G$1413,'февраль 2024'!$D$6:$D$1413,$B185,'февраль 2024'!$J$6:$J$1413,AE$1)</f>
        <v>0</v>
      </c>
      <c r="AF185" s="80">
        <f>SUMIFS('февраль 2024'!$G$6:$G$1413,'февраль 2024'!$D$6:$D$1413,$B185,'февраль 2024'!$J$6:$J$1413,AF$1)</f>
        <v>0</v>
      </c>
      <c r="AG185" s="80">
        <f>SUMIFS('февраль 2024'!$G$6:$G$1413,'февраль 2024'!$D$6:$D$1413,$B185,'февраль 2024'!$J$6:$J$1413,AG$1)</f>
        <v>0</v>
      </c>
      <c r="AH185" s="80">
        <f>SUMIFS('февраль 2024'!$G$6:$G$1413,'февраль 2024'!$D$6:$D$1413,$B185,'февраль 2024'!$J$6:$J$1413,AH$1)</f>
        <v>0</v>
      </c>
      <c r="AI185" s="87"/>
    </row>
    <row r="186" spans="2:35" ht="15" hidden="1" customHeight="1" x14ac:dyDescent="0.25">
      <c r="B186" s="89"/>
      <c r="C186" s="88"/>
      <c r="D186" s="80">
        <f>SUMIFS('февраль 2024'!$G$6:$G$1413,'февраль 2024'!$D$6:$D$1413,$B186,'февраль 2024'!$J$6:$J$1413,D$1)</f>
        <v>0</v>
      </c>
      <c r="E186" s="80">
        <f>SUMIFS('февраль 2024'!$G$6:$G$1413,'февраль 2024'!$D$6:$D$1413,$B186,'февраль 2024'!$J$6:$J$1413,E$1)</f>
        <v>0</v>
      </c>
      <c r="F186" s="80">
        <f>SUMIFS('февраль 2024'!$G$6:$G$1413,'февраль 2024'!$D$6:$D$1413,$B186,'февраль 2024'!$J$6:$J$1413,F$1)</f>
        <v>0</v>
      </c>
      <c r="G186" s="80">
        <f>SUMIFS('февраль 2024'!$G$6:$G$1413,'февраль 2024'!$D$6:$D$1413,$B186,'февраль 2024'!$J$6:$J$1413,G$1)</f>
        <v>0</v>
      </c>
      <c r="H186" s="80">
        <f>SUMIFS('февраль 2024'!$G$6:$G$1413,'февраль 2024'!$D$6:$D$1413,$B186,'февраль 2024'!$J$6:$J$1413,H$1)</f>
        <v>0</v>
      </c>
      <c r="I186" s="80">
        <f>SUMIFS('февраль 2024'!$G$6:$G$1413,'февраль 2024'!$D$6:$D$1413,$B186,'февраль 2024'!$J$6:$J$1413,I$1)</f>
        <v>0</v>
      </c>
      <c r="J186" s="80">
        <f>SUMIFS('февраль 2024'!$G$6:$G$1413,'февраль 2024'!$D$6:$D$1413,$B186,'февраль 2024'!$J$6:$J$1413,J$1)</f>
        <v>0</v>
      </c>
      <c r="K186" s="80">
        <f>SUMIFS('февраль 2024'!$G$6:$G$1413,'февраль 2024'!$D$6:$D$1413,$B186,'февраль 2024'!$J$6:$J$1413,K$1)</f>
        <v>0</v>
      </c>
      <c r="L186" s="80">
        <f>SUMIFS('февраль 2024'!$G$6:$G$1413,'февраль 2024'!$D$6:$D$1413,$B186,'февраль 2024'!$J$6:$J$1413,L$1)</f>
        <v>0</v>
      </c>
      <c r="M186" s="80">
        <f>SUMIFS('февраль 2024'!$G$6:$G$1413,'февраль 2024'!$D$6:$D$1413,$B186,'февраль 2024'!$J$6:$J$1413,M$1)</f>
        <v>0</v>
      </c>
      <c r="N186" s="80">
        <f>SUMIFS('февраль 2024'!$G$6:$G$1413,'февраль 2024'!$D$6:$D$1413,$B186,'февраль 2024'!$J$6:$J$1413,N$1)</f>
        <v>0</v>
      </c>
      <c r="O186" s="80">
        <f>SUMIFS('февраль 2024'!$G$6:$G$1413,'февраль 2024'!$D$6:$D$1413,$B186,'февраль 2024'!$J$6:$J$1413,O$1)</f>
        <v>0</v>
      </c>
      <c r="P186" s="80">
        <f>SUMIFS('февраль 2024'!$G$6:$G$1413,'февраль 2024'!$D$6:$D$1413,$B186,'февраль 2024'!$J$6:$J$1413,P$1)</f>
        <v>0</v>
      </c>
      <c r="Q186" s="80">
        <f>SUMIFS('февраль 2024'!$G$6:$G$1413,'февраль 2024'!$D$6:$D$1413,$B186,'февраль 2024'!$J$6:$J$1413,Q$1)</f>
        <v>0</v>
      </c>
      <c r="R186" s="80">
        <f>SUMIFS('февраль 2024'!$G$6:$G$1413,'февраль 2024'!$D$6:$D$1413,$B186,'февраль 2024'!$J$6:$J$1413,R$1)</f>
        <v>0</v>
      </c>
      <c r="S186" s="80">
        <f>SUMIFS('февраль 2024'!$G$6:$G$1413,'февраль 2024'!$D$6:$D$1413,$B186,'февраль 2024'!$J$6:$J$1413,S$1)</f>
        <v>0</v>
      </c>
      <c r="T186" s="80">
        <f>SUMIFS('февраль 2024'!$G$6:$G$1413,'февраль 2024'!$D$6:$D$1413,$B186,'февраль 2024'!$J$6:$J$1413,T$1)</f>
        <v>0</v>
      </c>
      <c r="U186" s="80">
        <f>SUMIFS('февраль 2024'!$G$6:$G$1413,'февраль 2024'!$D$6:$D$1413,$B186,'февраль 2024'!$J$6:$J$1413,U$1)</f>
        <v>0</v>
      </c>
      <c r="V186" s="80">
        <f>SUMIFS('февраль 2024'!$G$6:$G$1413,'февраль 2024'!$D$6:$D$1413,$B186,'февраль 2024'!$J$6:$J$1413,V$1)</f>
        <v>0</v>
      </c>
      <c r="W186" s="80">
        <f>SUMIFS('февраль 2024'!$G$6:$G$1413,'февраль 2024'!$D$6:$D$1413,$B186,'февраль 2024'!$J$6:$J$1413,W$1)</f>
        <v>0</v>
      </c>
      <c r="X186" s="80">
        <f>SUMIFS('февраль 2024'!$G$6:$G$1413,'февраль 2024'!$D$6:$D$1413,$B186,'февраль 2024'!$J$6:$J$1413,X$1)</f>
        <v>0</v>
      </c>
      <c r="Y186" s="80">
        <f>SUMIFS('февраль 2024'!$G$6:$G$1413,'февраль 2024'!$D$6:$D$1413,$B186,'февраль 2024'!$J$6:$J$1413,Y$1)</f>
        <v>0</v>
      </c>
      <c r="Z186" s="80">
        <f>SUMIFS('февраль 2024'!$G$6:$G$1413,'февраль 2024'!$D$6:$D$1413,$B186,'февраль 2024'!$J$6:$J$1413,Z$1)</f>
        <v>0</v>
      </c>
      <c r="AA186" s="80">
        <f>SUMIFS('февраль 2024'!$G$6:$G$1413,'февраль 2024'!$D$6:$D$1413,$B186,'февраль 2024'!$J$6:$J$1413,AA$1)</f>
        <v>0</v>
      </c>
      <c r="AB186" s="80">
        <f>SUMIFS('февраль 2024'!$G$6:$G$1413,'февраль 2024'!$D$6:$D$1413,$B186,'февраль 2024'!$J$6:$J$1413,AB$1)</f>
        <v>0</v>
      </c>
      <c r="AC186" s="80">
        <f>SUMIFS('февраль 2024'!$G$6:$G$1413,'февраль 2024'!$D$6:$D$1413,$B186,'февраль 2024'!$J$6:$J$1413,AC$1)</f>
        <v>0</v>
      </c>
      <c r="AD186" s="80">
        <f>SUMIFS('февраль 2024'!$G$6:$G$1413,'февраль 2024'!$D$6:$D$1413,$B186,'февраль 2024'!$J$6:$J$1413,AD$1)</f>
        <v>0</v>
      </c>
      <c r="AE186" s="80">
        <f>SUMIFS('февраль 2024'!$G$6:$G$1413,'февраль 2024'!$D$6:$D$1413,$B186,'февраль 2024'!$J$6:$J$1413,AE$1)</f>
        <v>0</v>
      </c>
      <c r="AF186" s="80">
        <f>SUMIFS('февраль 2024'!$G$6:$G$1413,'февраль 2024'!$D$6:$D$1413,$B186,'февраль 2024'!$J$6:$J$1413,AF$1)</f>
        <v>0</v>
      </c>
      <c r="AG186" s="80">
        <f>SUMIFS('февраль 2024'!$G$6:$G$1413,'февраль 2024'!$D$6:$D$1413,$B186,'февраль 2024'!$J$6:$J$1413,AG$1)</f>
        <v>0</v>
      </c>
      <c r="AH186" s="80">
        <f>SUMIFS('февраль 2024'!$G$6:$G$1413,'февраль 2024'!$D$6:$D$1413,$B186,'февраль 2024'!$J$6:$J$1413,AH$1)</f>
        <v>0</v>
      </c>
      <c r="AI186" s="87"/>
    </row>
    <row r="187" spans="2:35" ht="15" hidden="1" customHeight="1" x14ac:dyDescent="0.25">
      <c r="B187" s="89"/>
      <c r="C187" s="88"/>
      <c r="D187" s="80">
        <f>SUMIFS('февраль 2024'!$G$6:$G$1413,'февраль 2024'!$D$6:$D$1413,$B187,'февраль 2024'!$J$6:$J$1413,D$1)</f>
        <v>0</v>
      </c>
      <c r="E187" s="80">
        <f>SUMIFS('февраль 2024'!$G$6:$G$1413,'февраль 2024'!$D$6:$D$1413,$B187,'февраль 2024'!$J$6:$J$1413,E$1)</f>
        <v>0</v>
      </c>
      <c r="F187" s="80">
        <f>SUMIFS('февраль 2024'!$G$6:$G$1413,'февраль 2024'!$D$6:$D$1413,$B187,'февраль 2024'!$J$6:$J$1413,F$1)</f>
        <v>0</v>
      </c>
      <c r="G187" s="80">
        <f>SUMIFS('февраль 2024'!$G$6:$G$1413,'февраль 2024'!$D$6:$D$1413,$B187,'февраль 2024'!$J$6:$J$1413,G$1)</f>
        <v>0</v>
      </c>
      <c r="H187" s="80">
        <f>SUMIFS('февраль 2024'!$G$6:$G$1413,'февраль 2024'!$D$6:$D$1413,$B187,'февраль 2024'!$J$6:$J$1413,H$1)</f>
        <v>0</v>
      </c>
      <c r="I187" s="80">
        <f>SUMIFS('февраль 2024'!$G$6:$G$1413,'февраль 2024'!$D$6:$D$1413,$B187,'февраль 2024'!$J$6:$J$1413,I$1)</f>
        <v>0</v>
      </c>
      <c r="J187" s="80">
        <f>SUMIFS('февраль 2024'!$G$6:$G$1413,'февраль 2024'!$D$6:$D$1413,$B187,'февраль 2024'!$J$6:$J$1413,J$1)</f>
        <v>0</v>
      </c>
      <c r="K187" s="80">
        <f>SUMIFS('февраль 2024'!$G$6:$G$1413,'февраль 2024'!$D$6:$D$1413,$B187,'февраль 2024'!$J$6:$J$1413,K$1)</f>
        <v>0</v>
      </c>
      <c r="L187" s="80">
        <f>SUMIFS('февраль 2024'!$G$6:$G$1413,'февраль 2024'!$D$6:$D$1413,$B187,'февраль 2024'!$J$6:$J$1413,L$1)</f>
        <v>0</v>
      </c>
      <c r="M187" s="80">
        <f>SUMIFS('февраль 2024'!$G$6:$G$1413,'февраль 2024'!$D$6:$D$1413,$B187,'февраль 2024'!$J$6:$J$1413,M$1)</f>
        <v>0</v>
      </c>
      <c r="N187" s="80">
        <f>SUMIFS('февраль 2024'!$G$6:$G$1413,'февраль 2024'!$D$6:$D$1413,$B187,'февраль 2024'!$J$6:$J$1413,N$1)</f>
        <v>0</v>
      </c>
      <c r="O187" s="80">
        <f>SUMIFS('февраль 2024'!$G$6:$G$1413,'февраль 2024'!$D$6:$D$1413,$B187,'февраль 2024'!$J$6:$J$1413,O$1)</f>
        <v>0</v>
      </c>
      <c r="P187" s="80">
        <f>SUMIFS('февраль 2024'!$G$6:$G$1413,'февраль 2024'!$D$6:$D$1413,$B187,'февраль 2024'!$J$6:$J$1413,P$1)</f>
        <v>0</v>
      </c>
      <c r="Q187" s="80">
        <f>SUMIFS('февраль 2024'!$G$6:$G$1413,'февраль 2024'!$D$6:$D$1413,$B187,'февраль 2024'!$J$6:$J$1413,Q$1)</f>
        <v>0</v>
      </c>
      <c r="R187" s="80">
        <f>SUMIFS('февраль 2024'!$G$6:$G$1413,'февраль 2024'!$D$6:$D$1413,$B187,'февраль 2024'!$J$6:$J$1413,R$1)</f>
        <v>0</v>
      </c>
      <c r="S187" s="80">
        <f>SUMIFS('февраль 2024'!$G$6:$G$1413,'февраль 2024'!$D$6:$D$1413,$B187,'февраль 2024'!$J$6:$J$1413,S$1)</f>
        <v>0</v>
      </c>
      <c r="T187" s="80">
        <f>SUMIFS('февраль 2024'!$G$6:$G$1413,'февраль 2024'!$D$6:$D$1413,$B187,'февраль 2024'!$J$6:$J$1413,T$1)</f>
        <v>0</v>
      </c>
      <c r="U187" s="80">
        <f>SUMIFS('февраль 2024'!$G$6:$G$1413,'февраль 2024'!$D$6:$D$1413,$B187,'февраль 2024'!$J$6:$J$1413,U$1)</f>
        <v>0</v>
      </c>
      <c r="V187" s="80">
        <f>SUMIFS('февраль 2024'!$G$6:$G$1413,'февраль 2024'!$D$6:$D$1413,$B187,'февраль 2024'!$J$6:$J$1413,V$1)</f>
        <v>0</v>
      </c>
      <c r="W187" s="80">
        <f>SUMIFS('февраль 2024'!$G$6:$G$1413,'февраль 2024'!$D$6:$D$1413,$B187,'февраль 2024'!$J$6:$J$1413,W$1)</f>
        <v>0</v>
      </c>
      <c r="X187" s="80">
        <f>SUMIFS('февраль 2024'!$G$6:$G$1413,'февраль 2024'!$D$6:$D$1413,$B187,'февраль 2024'!$J$6:$J$1413,X$1)</f>
        <v>0</v>
      </c>
      <c r="Y187" s="80">
        <f>SUMIFS('февраль 2024'!$G$6:$G$1413,'февраль 2024'!$D$6:$D$1413,$B187,'февраль 2024'!$J$6:$J$1413,Y$1)</f>
        <v>0</v>
      </c>
      <c r="Z187" s="80">
        <f>SUMIFS('февраль 2024'!$G$6:$G$1413,'февраль 2024'!$D$6:$D$1413,$B187,'февраль 2024'!$J$6:$J$1413,Z$1)</f>
        <v>0</v>
      </c>
      <c r="AA187" s="80">
        <f>SUMIFS('февраль 2024'!$G$6:$G$1413,'февраль 2024'!$D$6:$D$1413,$B187,'февраль 2024'!$J$6:$J$1413,AA$1)</f>
        <v>0</v>
      </c>
      <c r="AB187" s="80">
        <f>SUMIFS('февраль 2024'!$G$6:$G$1413,'февраль 2024'!$D$6:$D$1413,$B187,'февраль 2024'!$J$6:$J$1413,AB$1)</f>
        <v>0</v>
      </c>
      <c r="AC187" s="80">
        <f>SUMIFS('февраль 2024'!$G$6:$G$1413,'февраль 2024'!$D$6:$D$1413,$B187,'февраль 2024'!$J$6:$J$1413,AC$1)</f>
        <v>0</v>
      </c>
      <c r="AD187" s="80">
        <f>SUMIFS('февраль 2024'!$G$6:$G$1413,'февраль 2024'!$D$6:$D$1413,$B187,'февраль 2024'!$J$6:$J$1413,AD$1)</f>
        <v>0</v>
      </c>
      <c r="AE187" s="80">
        <f>SUMIFS('февраль 2024'!$G$6:$G$1413,'февраль 2024'!$D$6:$D$1413,$B187,'февраль 2024'!$J$6:$J$1413,AE$1)</f>
        <v>0</v>
      </c>
      <c r="AF187" s="80">
        <f>SUMIFS('февраль 2024'!$G$6:$G$1413,'февраль 2024'!$D$6:$D$1413,$B187,'февраль 2024'!$J$6:$J$1413,AF$1)</f>
        <v>0</v>
      </c>
      <c r="AG187" s="80">
        <f>SUMIFS('февраль 2024'!$G$6:$G$1413,'февраль 2024'!$D$6:$D$1413,$B187,'февраль 2024'!$J$6:$J$1413,AG$1)</f>
        <v>0</v>
      </c>
      <c r="AH187" s="80">
        <f>SUMIFS('февраль 2024'!$G$6:$G$1413,'февраль 2024'!$D$6:$D$1413,$B187,'февраль 2024'!$J$6:$J$1413,AH$1)</f>
        <v>0</v>
      </c>
      <c r="AI187" s="87"/>
    </row>
    <row r="188" spans="2:35" ht="15" hidden="1" customHeight="1" x14ac:dyDescent="0.25">
      <c r="B188" s="89"/>
      <c r="C188" s="88"/>
      <c r="D188" s="80">
        <f>SUMIFS('февраль 2024'!$G$6:$G$1413,'февраль 2024'!$D$6:$D$1413,$B188,'февраль 2024'!$J$6:$J$1413,D$1)</f>
        <v>0</v>
      </c>
      <c r="E188" s="80">
        <f>SUMIFS('февраль 2024'!$G$6:$G$1413,'февраль 2024'!$D$6:$D$1413,$B188,'февраль 2024'!$J$6:$J$1413,E$1)</f>
        <v>0</v>
      </c>
      <c r="F188" s="80">
        <f>SUMIFS('февраль 2024'!$G$6:$G$1413,'февраль 2024'!$D$6:$D$1413,$B188,'февраль 2024'!$J$6:$J$1413,F$1)</f>
        <v>0</v>
      </c>
      <c r="G188" s="80">
        <f>SUMIFS('февраль 2024'!$G$6:$G$1413,'февраль 2024'!$D$6:$D$1413,$B188,'февраль 2024'!$J$6:$J$1413,G$1)</f>
        <v>0</v>
      </c>
      <c r="H188" s="80">
        <f>SUMIFS('февраль 2024'!$G$6:$G$1413,'февраль 2024'!$D$6:$D$1413,$B188,'февраль 2024'!$J$6:$J$1413,H$1)</f>
        <v>0</v>
      </c>
      <c r="I188" s="80">
        <f>SUMIFS('февраль 2024'!$G$6:$G$1413,'февраль 2024'!$D$6:$D$1413,$B188,'февраль 2024'!$J$6:$J$1413,I$1)</f>
        <v>0</v>
      </c>
      <c r="J188" s="80">
        <f>SUMIFS('февраль 2024'!$G$6:$G$1413,'февраль 2024'!$D$6:$D$1413,$B188,'февраль 2024'!$J$6:$J$1413,J$1)</f>
        <v>0</v>
      </c>
      <c r="K188" s="80">
        <f>SUMIFS('февраль 2024'!$G$6:$G$1413,'февраль 2024'!$D$6:$D$1413,$B188,'февраль 2024'!$J$6:$J$1413,K$1)</f>
        <v>0</v>
      </c>
      <c r="L188" s="80">
        <f>SUMIFS('февраль 2024'!$G$6:$G$1413,'февраль 2024'!$D$6:$D$1413,$B188,'февраль 2024'!$J$6:$J$1413,L$1)</f>
        <v>0</v>
      </c>
      <c r="M188" s="80">
        <f>SUMIFS('февраль 2024'!$G$6:$G$1413,'февраль 2024'!$D$6:$D$1413,$B188,'февраль 2024'!$J$6:$J$1413,M$1)</f>
        <v>0</v>
      </c>
      <c r="N188" s="80">
        <f>SUMIFS('февраль 2024'!$G$6:$G$1413,'февраль 2024'!$D$6:$D$1413,$B188,'февраль 2024'!$J$6:$J$1413,N$1)</f>
        <v>0</v>
      </c>
      <c r="O188" s="80">
        <f>SUMIFS('февраль 2024'!$G$6:$G$1413,'февраль 2024'!$D$6:$D$1413,$B188,'февраль 2024'!$J$6:$J$1413,O$1)</f>
        <v>0</v>
      </c>
      <c r="P188" s="80">
        <f>SUMIFS('февраль 2024'!$G$6:$G$1413,'февраль 2024'!$D$6:$D$1413,$B188,'февраль 2024'!$J$6:$J$1413,P$1)</f>
        <v>0</v>
      </c>
      <c r="Q188" s="80">
        <f>SUMIFS('февраль 2024'!$G$6:$G$1413,'февраль 2024'!$D$6:$D$1413,$B188,'февраль 2024'!$J$6:$J$1413,Q$1)</f>
        <v>0</v>
      </c>
      <c r="R188" s="80">
        <f>SUMIFS('февраль 2024'!$G$6:$G$1413,'февраль 2024'!$D$6:$D$1413,$B188,'февраль 2024'!$J$6:$J$1413,R$1)</f>
        <v>0</v>
      </c>
      <c r="S188" s="80">
        <f>SUMIFS('февраль 2024'!$G$6:$G$1413,'февраль 2024'!$D$6:$D$1413,$B188,'февраль 2024'!$J$6:$J$1413,S$1)</f>
        <v>0</v>
      </c>
      <c r="T188" s="80">
        <f>SUMIFS('февраль 2024'!$G$6:$G$1413,'февраль 2024'!$D$6:$D$1413,$B188,'февраль 2024'!$J$6:$J$1413,T$1)</f>
        <v>0</v>
      </c>
      <c r="U188" s="80">
        <f>SUMIFS('февраль 2024'!$G$6:$G$1413,'февраль 2024'!$D$6:$D$1413,$B188,'февраль 2024'!$J$6:$J$1413,U$1)</f>
        <v>0</v>
      </c>
      <c r="V188" s="80">
        <f>SUMIFS('февраль 2024'!$G$6:$G$1413,'февраль 2024'!$D$6:$D$1413,$B188,'февраль 2024'!$J$6:$J$1413,V$1)</f>
        <v>0</v>
      </c>
      <c r="W188" s="80">
        <f>SUMIFS('февраль 2024'!$G$6:$G$1413,'февраль 2024'!$D$6:$D$1413,$B188,'февраль 2024'!$J$6:$J$1413,W$1)</f>
        <v>0</v>
      </c>
      <c r="X188" s="80">
        <f>SUMIFS('февраль 2024'!$G$6:$G$1413,'февраль 2024'!$D$6:$D$1413,$B188,'февраль 2024'!$J$6:$J$1413,X$1)</f>
        <v>0</v>
      </c>
      <c r="Y188" s="80">
        <f>SUMIFS('февраль 2024'!$G$6:$G$1413,'февраль 2024'!$D$6:$D$1413,$B188,'февраль 2024'!$J$6:$J$1413,Y$1)</f>
        <v>0</v>
      </c>
      <c r="Z188" s="80">
        <f>SUMIFS('февраль 2024'!$G$6:$G$1413,'февраль 2024'!$D$6:$D$1413,$B188,'февраль 2024'!$J$6:$J$1413,Z$1)</f>
        <v>0</v>
      </c>
      <c r="AA188" s="80">
        <f>SUMIFS('февраль 2024'!$G$6:$G$1413,'февраль 2024'!$D$6:$D$1413,$B188,'февраль 2024'!$J$6:$J$1413,AA$1)</f>
        <v>0</v>
      </c>
      <c r="AB188" s="80">
        <f>SUMIFS('февраль 2024'!$G$6:$G$1413,'февраль 2024'!$D$6:$D$1413,$B188,'февраль 2024'!$J$6:$J$1413,AB$1)</f>
        <v>0</v>
      </c>
      <c r="AC188" s="80">
        <f>SUMIFS('февраль 2024'!$G$6:$G$1413,'февраль 2024'!$D$6:$D$1413,$B188,'февраль 2024'!$J$6:$J$1413,AC$1)</f>
        <v>0</v>
      </c>
      <c r="AD188" s="80">
        <f>SUMIFS('февраль 2024'!$G$6:$G$1413,'февраль 2024'!$D$6:$D$1413,$B188,'февраль 2024'!$J$6:$J$1413,AD$1)</f>
        <v>0</v>
      </c>
      <c r="AE188" s="80">
        <f>SUMIFS('февраль 2024'!$G$6:$G$1413,'февраль 2024'!$D$6:$D$1413,$B188,'февраль 2024'!$J$6:$J$1413,AE$1)</f>
        <v>0</v>
      </c>
      <c r="AF188" s="80">
        <f>SUMIFS('февраль 2024'!$G$6:$G$1413,'февраль 2024'!$D$6:$D$1413,$B188,'февраль 2024'!$J$6:$J$1413,AF$1)</f>
        <v>0</v>
      </c>
      <c r="AG188" s="80">
        <f>SUMIFS('февраль 2024'!$G$6:$G$1413,'февраль 2024'!$D$6:$D$1413,$B188,'февраль 2024'!$J$6:$J$1413,AG$1)</f>
        <v>0</v>
      </c>
      <c r="AH188" s="80">
        <f>SUMIFS('февраль 2024'!$G$6:$G$1413,'февраль 2024'!$D$6:$D$1413,$B188,'февраль 2024'!$J$6:$J$1413,AH$1)</f>
        <v>0</v>
      </c>
      <c r="AI188" s="87"/>
    </row>
    <row r="189" spans="2:35" ht="15" hidden="1" customHeight="1" x14ac:dyDescent="0.25">
      <c r="B189" s="89"/>
      <c r="C189" s="88"/>
      <c r="D189" s="80">
        <f>SUMIFS('февраль 2024'!$G$6:$G$1413,'февраль 2024'!$D$6:$D$1413,$B189,'февраль 2024'!$J$6:$J$1413,D$1)</f>
        <v>0</v>
      </c>
      <c r="E189" s="80">
        <f>SUMIFS('февраль 2024'!$G$6:$G$1413,'февраль 2024'!$D$6:$D$1413,$B189,'февраль 2024'!$J$6:$J$1413,E$1)</f>
        <v>0</v>
      </c>
      <c r="F189" s="80">
        <f>SUMIFS('февраль 2024'!$G$6:$G$1413,'февраль 2024'!$D$6:$D$1413,$B189,'февраль 2024'!$J$6:$J$1413,F$1)</f>
        <v>0</v>
      </c>
      <c r="G189" s="80">
        <f>SUMIFS('февраль 2024'!$G$6:$G$1413,'февраль 2024'!$D$6:$D$1413,$B189,'февраль 2024'!$J$6:$J$1413,G$1)</f>
        <v>0</v>
      </c>
      <c r="H189" s="80">
        <f>SUMIFS('февраль 2024'!$G$6:$G$1413,'февраль 2024'!$D$6:$D$1413,$B189,'февраль 2024'!$J$6:$J$1413,H$1)</f>
        <v>0</v>
      </c>
      <c r="I189" s="80">
        <f>SUMIFS('февраль 2024'!$G$6:$G$1413,'февраль 2024'!$D$6:$D$1413,$B189,'февраль 2024'!$J$6:$J$1413,I$1)</f>
        <v>0</v>
      </c>
      <c r="J189" s="80">
        <f>SUMIFS('февраль 2024'!$G$6:$G$1413,'февраль 2024'!$D$6:$D$1413,$B189,'февраль 2024'!$J$6:$J$1413,J$1)</f>
        <v>0</v>
      </c>
      <c r="K189" s="80">
        <f>SUMIFS('февраль 2024'!$G$6:$G$1413,'февраль 2024'!$D$6:$D$1413,$B189,'февраль 2024'!$J$6:$J$1413,K$1)</f>
        <v>0</v>
      </c>
      <c r="L189" s="80">
        <f>SUMIFS('февраль 2024'!$G$6:$G$1413,'февраль 2024'!$D$6:$D$1413,$B189,'февраль 2024'!$J$6:$J$1413,L$1)</f>
        <v>0</v>
      </c>
      <c r="M189" s="80">
        <f>SUMIFS('февраль 2024'!$G$6:$G$1413,'февраль 2024'!$D$6:$D$1413,$B189,'февраль 2024'!$J$6:$J$1413,M$1)</f>
        <v>0</v>
      </c>
      <c r="N189" s="80">
        <f>SUMIFS('февраль 2024'!$G$6:$G$1413,'февраль 2024'!$D$6:$D$1413,$B189,'февраль 2024'!$J$6:$J$1413,N$1)</f>
        <v>0</v>
      </c>
      <c r="O189" s="80">
        <f>SUMIFS('февраль 2024'!$G$6:$G$1413,'февраль 2024'!$D$6:$D$1413,$B189,'февраль 2024'!$J$6:$J$1413,O$1)</f>
        <v>0</v>
      </c>
      <c r="P189" s="80">
        <f>SUMIFS('февраль 2024'!$G$6:$G$1413,'февраль 2024'!$D$6:$D$1413,$B189,'февраль 2024'!$J$6:$J$1413,P$1)</f>
        <v>0</v>
      </c>
      <c r="Q189" s="80">
        <f>SUMIFS('февраль 2024'!$G$6:$G$1413,'февраль 2024'!$D$6:$D$1413,$B189,'февраль 2024'!$J$6:$J$1413,Q$1)</f>
        <v>0</v>
      </c>
      <c r="R189" s="80">
        <f>SUMIFS('февраль 2024'!$G$6:$G$1413,'февраль 2024'!$D$6:$D$1413,$B189,'февраль 2024'!$J$6:$J$1413,R$1)</f>
        <v>0</v>
      </c>
      <c r="S189" s="80">
        <f>SUMIFS('февраль 2024'!$G$6:$G$1413,'февраль 2024'!$D$6:$D$1413,$B189,'февраль 2024'!$J$6:$J$1413,S$1)</f>
        <v>0</v>
      </c>
      <c r="T189" s="80">
        <f>SUMIFS('февраль 2024'!$G$6:$G$1413,'февраль 2024'!$D$6:$D$1413,$B189,'февраль 2024'!$J$6:$J$1413,T$1)</f>
        <v>0</v>
      </c>
      <c r="U189" s="80">
        <f>SUMIFS('февраль 2024'!$G$6:$G$1413,'февраль 2024'!$D$6:$D$1413,$B189,'февраль 2024'!$J$6:$J$1413,U$1)</f>
        <v>0</v>
      </c>
      <c r="V189" s="80">
        <f>SUMIFS('февраль 2024'!$G$6:$G$1413,'февраль 2024'!$D$6:$D$1413,$B189,'февраль 2024'!$J$6:$J$1413,V$1)</f>
        <v>0</v>
      </c>
      <c r="W189" s="80">
        <f>SUMIFS('февраль 2024'!$G$6:$G$1413,'февраль 2024'!$D$6:$D$1413,$B189,'февраль 2024'!$J$6:$J$1413,W$1)</f>
        <v>0</v>
      </c>
      <c r="X189" s="80">
        <f>SUMIFS('февраль 2024'!$G$6:$G$1413,'февраль 2024'!$D$6:$D$1413,$B189,'февраль 2024'!$J$6:$J$1413,X$1)</f>
        <v>0</v>
      </c>
      <c r="Y189" s="80">
        <f>SUMIFS('февраль 2024'!$G$6:$G$1413,'февраль 2024'!$D$6:$D$1413,$B189,'февраль 2024'!$J$6:$J$1413,Y$1)</f>
        <v>0</v>
      </c>
      <c r="Z189" s="80">
        <f>SUMIFS('февраль 2024'!$G$6:$G$1413,'февраль 2024'!$D$6:$D$1413,$B189,'февраль 2024'!$J$6:$J$1413,Z$1)</f>
        <v>0</v>
      </c>
      <c r="AA189" s="80">
        <f>SUMIFS('февраль 2024'!$G$6:$G$1413,'февраль 2024'!$D$6:$D$1413,$B189,'февраль 2024'!$J$6:$J$1413,AA$1)</f>
        <v>0</v>
      </c>
      <c r="AB189" s="80">
        <f>SUMIFS('февраль 2024'!$G$6:$G$1413,'февраль 2024'!$D$6:$D$1413,$B189,'февраль 2024'!$J$6:$J$1413,AB$1)</f>
        <v>0</v>
      </c>
      <c r="AC189" s="80">
        <f>SUMIFS('февраль 2024'!$G$6:$G$1413,'февраль 2024'!$D$6:$D$1413,$B189,'февраль 2024'!$J$6:$J$1413,AC$1)</f>
        <v>0</v>
      </c>
      <c r="AD189" s="80">
        <f>SUMIFS('февраль 2024'!$G$6:$G$1413,'февраль 2024'!$D$6:$D$1413,$B189,'февраль 2024'!$J$6:$J$1413,AD$1)</f>
        <v>0</v>
      </c>
      <c r="AE189" s="80">
        <f>SUMIFS('февраль 2024'!$G$6:$G$1413,'февраль 2024'!$D$6:$D$1413,$B189,'февраль 2024'!$J$6:$J$1413,AE$1)</f>
        <v>0</v>
      </c>
      <c r="AF189" s="80">
        <f>SUMIFS('февраль 2024'!$G$6:$G$1413,'февраль 2024'!$D$6:$D$1413,$B189,'февраль 2024'!$J$6:$J$1413,AF$1)</f>
        <v>0</v>
      </c>
      <c r="AG189" s="80">
        <f>SUMIFS('февраль 2024'!$G$6:$G$1413,'февраль 2024'!$D$6:$D$1413,$B189,'февраль 2024'!$J$6:$J$1413,AG$1)</f>
        <v>0</v>
      </c>
      <c r="AH189" s="80">
        <f>SUMIFS('февраль 2024'!$G$6:$G$1413,'февраль 2024'!$D$6:$D$1413,$B189,'февраль 2024'!$J$6:$J$1413,AH$1)</f>
        <v>0</v>
      </c>
      <c r="AI189" s="87"/>
    </row>
    <row r="190" spans="2:35" ht="15" hidden="1" customHeight="1" x14ac:dyDescent="0.25">
      <c r="B190" s="89"/>
      <c r="C190" s="88"/>
      <c r="D190" s="80">
        <f>SUMIFS('февраль 2024'!$G$6:$G$1413,'февраль 2024'!$D$6:$D$1413,$B190,'февраль 2024'!$J$6:$J$1413,D$1)</f>
        <v>0</v>
      </c>
      <c r="E190" s="80">
        <f>SUMIFS('февраль 2024'!$G$6:$G$1413,'февраль 2024'!$D$6:$D$1413,$B190,'февраль 2024'!$J$6:$J$1413,E$1)</f>
        <v>0</v>
      </c>
      <c r="F190" s="80">
        <f>SUMIFS('февраль 2024'!$G$6:$G$1413,'февраль 2024'!$D$6:$D$1413,$B190,'февраль 2024'!$J$6:$J$1413,F$1)</f>
        <v>0</v>
      </c>
      <c r="G190" s="80">
        <f>SUMIFS('февраль 2024'!$G$6:$G$1413,'февраль 2024'!$D$6:$D$1413,$B190,'февраль 2024'!$J$6:$J$1413,G$1)</f>
        <v>0</v>
      </c>
      <c r="H190" s="80">
        <f>SUMIFS('февраль 2024'!$G$6:$G$1413,'февраль 2024'!$D$6:$D$1413,$B190,'февраль 2024'!$J$6:$J$1413,H$1)</f>
        <v>0</v>
      </c>
      <c r="I190" s="80">
        <f>SUMIFS('февраль 2024'!$G$6:$G$1413,'февраль 2024'!$D$6:$D$1413,$B190,'февраль 2024'!$J$6:$J$1413,I$1)</f>
        <v>0</v>
      </c>
      <c r="J190" s="80">
        <f>SUMIFS('февраль 2024'!$G$6:$G$1413,'февраль 2024'!$D$6:$D$1413,$B190,'февраль 2024'!$J$6:$J$1413,J$1)</f>
        <v>0</v>
      </c>
      <c r="K190" s="80">
        <f>SUMIFS('февраль 2024'!$G$6:$G$1413,'февраль 2024'!$D$6:$D$1413,$B190,'февраль 2024'!$J$6:$J$1413,K$1)</f>
        <v>0</v>
      </c>
      <c r="L190" s="80">
        <f>SUMIFS('февраль 2024'!$G$6:$G$1413,'февраль 2024'!$D$6:$D$1413,$B190,'февраль 2024'!$J$6:$J$1413,L$1)</f>
        <v>0</v>
      </c>
      <c r="M190" s="80">
        <f>SUMIFS('февраль 2024'!$G$6:$G$1413,'февраль 2024'!$D$6:$D$1413,$B190,'февраль 2024'!$J$6:$J$1413,M$1)</f>
        <v>0</v>
      </c>
      <c r="N190" s="80">
        <f>SUMIFS('февраль 2024'!$G$6:$G$1413,'февраль 2024'!$D$6:$D$1413,$B190,'февраль 2024'!$J$6:$J$1413,N$1)</f>
        <v>0</v>
      </c>
      <c r="O190" s="80">
        <f>SUMIFS('февраль 2024'!$G$6:$G$1413,'февраль 2024'!$D$6:$D$1413,$B190,'февраль 2024'!$J$6:$J$1413,O$1)</f>
        <v>0</v>
      </c>
      <c r="P190" s="80">
        <f>SUMIFS('февраль 2024'!$G$6:$G$1413,'февраль 2024'!$D$6:$D$1413,$B190,'февраль 2024'!$J$6:$J$1413,P$1)</f>
        <v>0</v>
      </c>
      <c r="Q190" s="80">
        <f>SUMIFS('февраль 2024'!$G$6:$G$1413,'февраль 2024'!$D$6:$D$1413,$B190,'февраль 2024'!$J$6:$J$1413,Q$1)</f>
        <v>0</v>
      </c>
      <c r="R190" s="80">
        <f>SUMIFS('февраль 2024'!$G$6:$G$1413,'февраль 2024'!$D$6:$D$1413,$B190,'февраль 2024'!$J$6:$J$1413,R$1)</f>
        <v>0</v>
      </c>
      <c r="S190" s="80">
        <f>SUMIFS('февраль 2024'!$G$6:$G$1413,'февраль 2024'!$D$6:$D$1413,$B190,'февраль 2024'!$J$6:$J$1413,S$1)</f>
        <v>0</v>
      </c>
      <c r="T190" s="80">
        <f>SUMIFS('февраль 2024'!$G$6:$G$1413,'февраль 2024'!$D$6:$D$1413,$B190,'февраль 2024'!$J$6:$J$1413,T$1)</f>
        <v>0</v>
      </c>
      <c r="U190" s="80">
        <f>SUMIFS('февраль 2024'!$G$6:$G$1413,'февраль 2024'!$D$6:$D$1413,$B190,'февраль 2024'!$J$6:$J$1413,U$1)</f>
        <v>0</v>
      </c>
      <c r="V190" s="80">
        <f>SUMIFS('февраль 2024'!$G$6:$G$1413,'февраль 2024'!$D$6:$D$1413,$B190,'февраль 2024'!$J$6:$J$1413,V$1)</f>
        <v>0</v>
      </c>
      <c r="W190" s="80">
        <f>SUMIFS('февраль 2024'!$G$6:$G$1413,'февраль 2024'!$D$6:$D$1413,$B190,'февраль 2024'!$J$6:$J$1413,W$1)</f>
        <v>0</v>
      </c>
      <c r="X190" s="80">
        <f>SUMIFS('февраль 2024'!$G$6:$G$1413,'февраль 2024'!$D$6:$D$1413,$B190,'февраль 2024'!$J$6:$J$1413,X$1)</f>
        <v>0</v>
      </c>
      <c r="Y190" s="80">
        <f>SUMIFS('февраль 2024'!$G$6:$G$1413,'февраль 2024'!$D$6:$D$1413,$B190,'февраль 2024'!$J$6:$J$1413,Y$1)</f>
        <v>0</v>
      </c>
      <c r="Z190" s="80">
        <f>SUMIFS('февраль 2024'!$G$6:$G$1413,'февраль 2024'!$D$6:$D$1413,$B190,'февраль 2024'!$J$6:$J$1413,Z$1)</f>
        <v>0</v>
      </c>
      <c r="AA190" s="80">
        <f>SUMIFS('февраль 2024'!$G$6:$G$1413,'февраль 2024'!$D$6:$D$1413,$B190,'февраль 2024'!$J$6:$J$1413,AA$1)</f>
        <v>0</v>
      </c>
      <c r="AB190" s="80">
        <f>SUMIFS('февраль 2024'!$G$6:$G$1413,'февраль 2024'!$D$6:$D$1413,$B190,'февраль 2024'!$J$6:$J$1413,AB$1)</f>
        <v>0</v>
      </c>
      <c r="AC190" s="80">
        <f>SUMIFS('февраль 2024'!$G$6:$G$1413,'февраль 2024'!$D$6:$D$1413,$B190,'февраль 2024'!$J$6:$J$1413,AC$1)</f>
        <v>0</v>
      </c>
      <c r="AD190" s="80">
        <f>SUMIFS('февраль 2024'!$G$6:$G$1413,'февраль 2024'!$D$6:$D$1413,$B190,'февраль 2024'!$J$6:$J$1413,AD$1)</f>
        <v>0</v>
      </c>
      <c r="AE190" s="80">
        <f>SUMIFS('февраль 2024'!$G$6:$G$1413,'февраль 2024'!$D$6:$D$1413,$B190,'февраль 2024'!$J$6:$J$1413,AE$1)</f>
        <v>0</v>
      </c>
      <c r="AF190" s="80">
        <f>SUMIFS('февраль 2024'!$G$6:$G$1413,'февраль 2024'!$D$6:$D$1413,$B190,'февраль 2024'!$J$6:$J$1413,AF$1)</f>
        <v>0</v>
      </c>
      <c r="AG190" s="80">
        <f>SUMIFS('февраль 2024'!$G$6:$G$1413,'февраль 2024'!$D$6:$D$1413,$B190,'февраль 2024'!$J$6:$J$1413,AG$1)</f>
        <v>0</v>
      </c>
      <c r="AH190" s="80">
        <f>SUMIFS('февраль 2024'!$G$6:$G$1413,'февраль 2024'!$D$6:$D$1413,$B190,'февраль 2024'!$J$6:$J$1413,AH$1)</f>
        <v>0</v>
      </c>
      <c r="AI190" s="87"/>
    </row>
    <row r="191" spans="2:35" ht="15" hidden="1" customHeight="1" x14ac:dyDescent="0.25">
      <c r="B191" s="89"/>
      <c r="C191" s="88"/>
      <c r="D191" s="80">
        <f>SUMIFS('февраль 2024'!$G$6:$G$1413,'февраль 2024'!$D$6:$D$1413,$B191,'февраль 2024'!$J$6:$J$1413,D$1)</f>
        <v>0</v>
      </c>
      <c r="E191" s="80">
        <f>SUMIFS('февраль 2024'!$G$6:$G$1413,'февраль 2024'!$D$6:$D$1413,$B191,'февраль 2024'!$J$6:$J$1413,E$1)</f>
        <v>0</v>
      </c>
      <c r="F191" s="80">
        <f>SUMIFS('февраль 2024'!$G$6:$G$1413,'февраль 2024'!$D$6:$D$1413,$B191,'февраль 2024'!$J$6:$J$1413,F$1)</f>
        <v>0</v>
      </c>
      <c r="G191" s="80">
        <f>SUMIFS('февраль 2024'!$G$6:$G$1413,'февраль 2024'!$D$6:$D$1413,$B191,'февраль 2024'!$J$6:$J$1413,G$1)</f>
        <v>0</v>
      </c>
      <c r="H191" s="80">
        <f>SUMIFS('февраль 2024'!$G$6:$G$1413,'февраль 2024'!$D$6:$D$1413,$B191,'февраль 2024'!$J$6:$J$1413,H$1)</f>
        <v>0</v>
      </c>
      <c r="I191" s="80">
        <f>SUMIFS('февраль 2024'!$G$6:$G$1413,'февраль 2024'!$D$6:$D$1413,$B191,'февраль 2024'!$J$6:$J$1413,I$1)</f>
        <v>0</v>
      </c>
      <c r="J191" s="80">
        <f>SUMIFS('февраль 2024'!$G$6:$G$1413,'февраль 2024'!$D$6:$D$1413,$B191,'февраль 2024'!$J$6:$J$1413,J$1)</f>
        <v>0</v>
      </c>
      <c r="K191" s="80">
        <f>SUMIFS('февраль 2024'!$G$6:$G$1413,'февраль 2024'!$D$6:$D$1413,$B191,'февраль 2024'!$J$6:$J$1413,K$1)</f>
        <v>0</v>
      </c>
      <c r="L191" s="80">
        <f>SUMIFS('февраль 2024'!$G$6:$G$1413,'февраль 2024'!$D$6:$D$1413,$B191,'февраль 2024'!$J$6:$J$1413,L$1)</f>
        <v>0</v>
      </c>
      <c r="M191" s="80">
        <f>SUMIFS('февраль 2024'!$G$6:$G$1413,'февраль 2024'!$D$6:$D$1413,$B191,'февраль 2024'!$J$6:$J$1413,M$1)</f>
        <v>0</v>
      </c>
      <c r="N191" s="80">
        <f>SUMIFS('февраль 2024'!$G$6:$G$1413,'февраль 2024'!$D$6:$D$1413,$B191,'февраль 2024'!$J$6:$J$1413,N$1)</f>
        <v>0</v>
      </c>
      <c r="O191" s="80">
        <f>SUMIFS('февраль 2024'!$G$6:$G$1413,'февраль 2024'!$D$6:$D$1413,$B191,'февраль 2024'!$J$6:$J$1413,O$1)</f>
        <v>0</v>
      </c>
      <c r="P191" s="80">
        <f>SUMIFS('февраль 2024'!$G$6:$G$1413,'февраль 2024'!$D$6:$D$1413,$B191,'февраль 2024'!$J$6:$J$1413,P$1)</f>
        <v>0</v>
      </c>
      <c r="Q191" s="80">
        <f>SUMIFS('февраль 2024'!$G$6:$G$1413,'февраль 2024'!$D$6:$D$1413,$B191,'февраль 2024'!$J$6:$J$1413,Q$1)</f>
        <v>0</v>
      </c>
      <c r="R191" s="80">
        <f>SUMIFS('февраль 2024'!$G$6:$G$1413,'февраль 2024'!$D$6:$D$1413,$B191,'февраль 2024'!$J$6:$J$1413,R$1)</f>
        <v>0</v>
      </c>
      <c r="S191" s="80">
        <f>SUMIFS('февраль 2024'!$G$6:$G$1413,'февраль 2024'!$D$6:$D$1413,$B191,'февраль 2024'!$J$6:$J$1413,S$1)</f>
        <v>0</v>
      </c>
      <c r="T191" s="80">
        <f>SUMIFS('февраль 2024'!$G$6:$G$1413,'февраль 2024'!$D$6:$D$1413,$B191,'февраль 2024'!$J$6:$J$1413,T$1)</f>
        <v>0</v>
      </c>
      <c r="U191" s="80">
        <f>SUMIFS('февраль 2024'!$G$6:$G$1413,'февраль 2024'!$D$6:$D$1413,$B191,'февраль 2024'!$J$6:$J$1413,U$1)</f>
        <v>0</v>
      </c>
      <c r="V191" s="80">
        <f>SUMIFS('февраль 2024'!$G$6:$G$1413,'февраль 2024'!$D$6:$D$1413,$B191,'февраль 2024'!$J$6:$J$1413,V$1)</f>
        <v>0</v>
      </c>
      <c r="W191" s="80">
        <f>SUMIFS('февраль 2024'!$G$6:$G$1413,'февраль 2024'!$D$6:$D$1413,$B191,'февраль 2024'!$J$6:$J$1413,W$1)</f>
        <v>0</v>
      </c>
      <c r="X191" s="80">
        <f>SUMIFS('февраль 2024'!$G$6:$G$1413,'февраль 2024'!$D$6:$D$1413,$B191,'февраль 2024'!$J$6:$J$1413,X$1)</f>
        <v>0</v>
      </c>
      <c r="Y191" s="80">
        <f>SUMIFS('февраль 2024'!$G$6:$G$1413,'февраль 2024'!$D$6:$D$1413,$B191,'февраль 2024'!$J$6:$J$1413,Y$1)</f>
        <v>0</v>
      </c>
      <c r="Z191" s="80">
        <f>SUMIFS('февраль 2024'!$G$6:$G$1413,'февраль 2024'!$D$6:$D$1413,$B191,'февраль 2024'!$J$6:$J$1413,Z$1)</f>
        <v>0</v>
      </c>
      <c r="AA191" s="80">
        <f>SUMIFS('февраль 2024'!$G$6:$G$1413,'февраль 2024'!$D$6:$D$1413,$B191,'февраль 2024'!$J$6:$J$1413,AA$1)</f>
        <v>0</v>
      </c>
      <c r="AB191" s="80">
        <f>SUMIFS('февраль 2024'!$G$6:$G$1413,'февраль 2024'!$D$6:$D$1413,$B191,'февраль 2024'!$J$6:$J$1413,AB$1)</f>
        <v>0</v>
      </c>
      <c r="AC191" s="80">
        <f>SUMIFS('февраль 2024'!$G$6:$G$1413,'февраль 2024'!$D$6:$D$1413,$B191,'февраль 2024'!$J$6:$J$1413,AC$1)</f>
        <v>0</v>
      </c>
      <c r="AD191" s="80">
        <f>SUMIFS('февраль 2024'!$G$6:$G$1413,'февраль 2024'!$D$6:$D$1413,$B191,'февраль 2024'!$J$6:$J$1413,AD$1)</f>
        <v>0</v>
      </c>
      <c r="AE191" s="80">
        <f>SUMIFS('февраль 2024'!$G$6:$G$1413,'февраль 2024'!$D$6:$D$1413,$B191,'февраль 2024'!$J$6:$J$1413,AE$1)</f>
        <v>0</v>
      </c>
      <c r="AF191" s="80">
        <f>SUMIFS('февраль 2024'!$G$6:$G$1413,'февраль 2024'!$D$6:$D$1413,$B191,'февраль 2024'!$J$6:$J$1413,AF$1)</f>
        <v>0</v>
      </c>
      <c r="AG191" s="80">
        <f>SUMIFS('февраль 2024'!$G$6:$G$1413,'февраль 2024'!$D$6:$D$1413,$B191,'февраль 2024'!$J$6:$J$1413,AG$1)</f>
        <v>0</v>
      </c>
      <c r="AH191" s="80">
        <f>SUMIFS('февраль 2024'!$G$6:$G$1413,'февраль 2024'!$D$6:$D$1413,$B191,'февраль 2024'!$J$6:$J$1413,AH$1)</f>
        <v>0</v>
      </c>
      <c r="AI191" s="87"/>
    </row>
    <row r="192" spans="2:35" ht="15" hidden="1" customHeight="1" x14ac:dyDescent="0.25">
      <c r="B192" s="89"/>
      <c r="C192" s="88"/>
      <c r="D192" s="80">
        <f>SUMIFS('февраль 2024'!$G$6:$G$1413,'февраль 2024'!$D$6:$D$1413,$B192,'февраль 2024'!$J$6:$J$1413,D$1)</f>
        <v>0</v>
      </c>
      <c r="E192" s="80">
        <f>SUMIFS('февраль 2024'!$G$6:$G$1413,'февраль 2024'!$D$6:$D$1413,$B192,'февраль 2024'!$J$6:$J$1413,E$1)</f>
        <v>0</v>
      </c>
      <c r="F192" s="80">
        <f>SUMIFS('февраль 2024'!$G$6:$G$1413,'февраль 2024'!$D$6:$D$1413,$B192,'февраль 2024'!$J$6:$J$1413,F$1)</f>
        <v>0</v>
      </c>
      <c r="G192" s="80">
        <f>SUMIFS('февраль 2024'!$G$6:$G$1413,'февраль 2024'!$D$6:$D$1413,$B192,'февраль 2024'!$J$6:$J$1413,G$1)</f>
        <v>0</v>
      </c>
      <c r="H192" s="80">
        <f>SUMIFS('февраль 2024'!$G$6:$G$1413,'февраль 2024'!$D$6:$D$1413,$B192,'февраль 2024'!$J$6:$J$1413,H$1)</f>
        <v>0</v>
      </c>
      <c r="I192" s="80">
        <f>SUMIFS('февраль 2024'!$G$6:$G$1413,'февраль 2024'!$D$6:$D$1413,$B192,'февраль 2024'!$J$6:$J$1413,I$1)</f>
        <v>0</v>
      </c>
      <c r="J192" s="80">
        <f>SUMIFS('февраль 2024'!$G$6:$G$1413,'февраль 2024'!$D$6:$D$1413,$B192,'февраль 2024'!$J$6:$J$1413,J$1)</f>
        <v>0</v>
      </c>
      <c r="K192" s="80">
        <f>SUMIFS('февраль 2024'!$G$6:$G$1413,'февраль 2024'!$D$6:$D$1413,$B192,'февраль 2024'!$J$6:$J$1413,K$1)</f>
        <v>0</v>
      </c>
      <c r="L192" s="80">
        <f>SUMIFS('февраль 2024'!$G$6:$G$1413,'февраль 2024'!$D$6:$D$1413,$B192,'февраль 2024'!$J$6:$J$1413,L$1)</f>
        <v>0</v>
      </c>
      <c r="M192" s="80">
        <f>SUMIFS('февраль 2024'!$G$6:$G$1413,'февраль 2024'!$D$6:$D$1413,$B192,'февраль 2024'!$J$6:$J$1413,M$1)</f>
        <v>0</v>
      </c>
      <c r="N192" s="80">
        <f>SUMIFS('февраль 2024'!$G$6:$G$1413,'февраль 2024'!$D$6:$D$1413,$B192,'февраль 2024'!$J$6:$J$1413,N$1)</f>
        <v>0</v>
      </c>
      <c r="O192" s="80">
        <f>SUMIFS('февраль 2024'!$G$6:$G$1413,'февраль 2024'!$D$6:$D$1413,$B192,'февраль 2024'!$J$6:$J$1413,O$1)</f>
        <v>0</v>
      </c>
      <c r="P192" s="80">
        <f>SUMIFS('февраль 2024'!$G$6:$G$1413,'февраль 2024'!$D$6:$D$1413,$B192,'февраль 2024'!$J$6:$J$1413,P$1)</f>
        <v>0</v>
      </c>
      <c r="Q192" s="80">
        <f>SUMIFS('февраль 2024'!$G$6:$G$1413,'февраль 2024'!$D$6:$D$1413,$B192,'февраль 2024'!$J$6:$J$1413,Q$1)</f>
        <v>0</v>
      </c>
      <c r="R192" s="80">
        <f>SUMIFS('февраль 2024'!$G$6:$G$1413,'февраль 2024'!$D$6:$D$1413,$B192,'февраль 2024'!$J$6:$J$1413,R$1)</f>
        <v>0</v>
      </c>
      <c r="S192" s="80">
        <f>SUMIFS('февраль 2024'!$G$6:$G$1413,'февраль 2024'!$D$6:$D$1413,$B192,'февраль 2024'!$J$6:$J$1413,S$1)</f>
        <v>0</v>
      </c>
      <c r="T192" s="80">
        <f>SUMIFS('февраль 2024'!$G$6:$G$1413,'февраль 2024'!$D$6:$D$1413,$B192,'февраль 2024'!$J$6:$J$1413,T$1)</f>
        <v>0</v>
      </c>
      <c r="U192" s="80">
        <f>SUMIFS('февраль 2024'!$G$6:$G$1413,'февраль 2024'!$D$6:$D$1413,$B192,'февраль 2024'!$J$6:$J$1413,U$1)</f>
        <v>0</v>
      </c>
      <c r="V192" s="80">
        <f>SUMIFS('февраль 2024'!$G$6:$G$1413,'февраль 2024'!$D$6:$D$1413,$B192,'февраль 2024'!$J$6:$J$1413,V$1)</f>
        <v>0</v>
      </c>
      <c r="W192" s="80">
        <f>SUMIFS('февраль 2024'!$G$6:$G$1413,'февраль 2024'!$D$6:$D$1413,$B192,'февраль 2024'!$J$6:$J$1413,W$1)</f>
        <v>0</v>
      </c>
      <c r="X192" s="80">
        <f>SUMIFS('февраль 2024'!$G$6:$G$1413,'февраль 2024'!$D$6:$D$1413,$B192,'февраль 2024'!$J$6:$J$1413,X$1)</f>
        <v>0</v>
      </c>
      <c r="Y192" s="80">
        <f>SUMIFS('февраль 2024'!$G$6:$G$1413,'февраль 2024'!$D$6:$D$1413,$B192,'февраль 2024'!$J$6:$J$1413,Y$1)</f>
        <v>0</v>
      </c>
      <c r="Z192" s="80">
        <f>SUMIFS('февраль 2024'!$G$6:$G$1413,'февраль 2024'!$D$6:$D$1413,$B192,'февраль 2024'!$J$6:$J$1413,Z$1)</f>
        <v>0</v>
      </c>
      <c r="AA192" s="80">
        <f>SUMIFS('февраль 2024'!$G$6:$G$1413,'февраль 2024'!$D$6:$D$1413,$B192,'февраль 2024'!$J$6:$J$1413,AA$1)</f>
        <v>0</v>
      </c>
      <c r="AB192" s="80">
        <f>SUMIFS('февраль 2024'!$G$6:$G$1413,'февраль 2024'!$D$6:$D$1413,$B192,'февраль 2024'!$J$6:$J$1413,AB$1)</f>
        <v>0</v>
      </c>
      <c r="AC192" s="80">
        <f>SUMIFS('февраль 2024'!$G$6:$G$1413,'февраль 2024'!$D$6:$D$1413,$B192,'февраль 2024'!$J$6:$J$1413,AC$1)</f>
        <v>0</v>
      </c>
      <c r="AD192" s="80">
        <f>SUMIFS('февраль 2024'!$G$6:$G$1413,'февраль 2024'!$D$6:$D$1413,$B192,'февраль 2024'!$J$6:$J$1413,AD$1)</f>
        <v>0</v>
      </c>
      <c r="AE192" s="80">
        <f>SUMIFS('февраль 2024'!$G$6:$G$1413,'февраль 2024'!$D$6:$D$1413,$B192,'февраль 2024'!$J$6:$J$1413,AE$1)</f>
        <v>0</v>
      </c>
      <c r="AF192" s="80">
        <f>SUMIFS('февраль 2024'!$G$6:$G$1413,'февраль 2024'!$D$6:$D$1413,$B192,'февраль 2024'!$J$6:$J$1413,AF$1)</f>
        <v>0</v>
      </c>
      <c r="AG192" s="80">
        <f>SUMIFS('февраль 2024'!$G$6:$G$1413,'февраль 2024'!$D$6:$D$1413,$B192,'февраль 2024'!$J$6:$J$1413,AG$1)</f>
        <v>0</v>
      </c>
      <c r="AH192" s="80">
        <f>SUMIFS('февраль 2024'!$G$6:$G$1413,'февраль 2024'!$D$6:$D$1413,$B192,'февраль 2024'!$J$6:$J$1413,AH$1)</f>
        <v>0</v>
      </c>
      <c r="AI192" s="87"/>
    </row>
    <row r="193" spans="2:35" ht="15" hidden="1" customHeight="1" x14ac:dyDescent="0.25">
      <c r="B193" s="89"/>
      <c r="C193" s="88"/>
      <c r="D193" s="80">
        <f>SUMIFS('февраль 2024'!$G$6:$G$1413,'февраль 2024'!$D$6:$D$1413,$B193,'февраль 2024'!$J$6:$J$1413,D$1)</f>
        <v>0</v>
      </c>
      <c r="E193" s="80">
        <f>SUMIFS('февраль 2024'!$G$6:$G$1413,'февраль 2024'!$D$6:$D$1413,$B193,'февраль 2024'!$J$6:$J$1413,E$1)</f>
        <v>0</v>
      </c>
      <c r="F193" s="80">
        <f>SUMIFS('февраль 2024'!$G$6:$G$1413,'февраль 2024'!$D$6:$D$1413,$B193,'февраль 2024'!$J$6:$J$1413,F$1)</f>
        <v>0</v>
      </c>
      <c r="G193" s="80">
        <f>SUMIFS('февраль 2024'!$G$6:$G$1413,'февраль 2024'!$D$6:$D$1413,$B193,'февраль 2024'!$J$6:$J$1413,G$1)</f>
        <v>0</v>
      </c>
      <c r="H193" s="80">
        <f>SUMIFS('февраль 2024'!$G$6:$G$1413,'февраль 2024'!$D$6:$D$1413,$B193,'февраль 2024'!$J$6:$J$1413,H$1)</f>
        <v>0</v>
      </c>
      <c r="I193" s="80">
        <f>SUMIFS('февраль 2024'!$G$6:$G$1413,'февраль 2024'!$D$6:$D$1413,$B193,'февраль 2024'!$J$6:$J$1413,I$1)</f>
        <v>0</v>
      </c>
      <c r="J193" s="80">
        <f>SUMIFS('февраль 2024'!$G$6:$G$1413,'февраль 2024'!$D$6:$D$1413,$B193,'февраль 2024'!$J$6:$J$1413,J$1)</f>
        <v>0</v>
      </c>
      <c r="K193" s="80">
        <f>SUMIFS('февраль 2024'!$G$6:$G$1413,'февраль 2024'!$D$6:$D$1413,$B193,'февраль 2024'!$J$6:$J$1413,K$1)</f>
        <v>0</v>
      </c>
      <c r="L193" s="80">
        <f>SUMIFS('февраль 2024'!$G$6:$G$1413,'февраль 2024'!$D$6:$D$1413,$B193,'февраль 2024'!$J$6:$J$1413,L$1)</f>
        <v>0</v>
      </c>
      <c r="M193" s="80">
        <f>SUMIFS('февраль 2024'!$G$6:$G$1413,'февраль 2024'!$D$6:$D$1413,$B193,'февраль 2024'!$J$6:$J$1413,M$1)</f>
        <v>0</v>
      </c>
      <c r="N193" s="80">
        <f>SUMIFS('февраль 2024'!$G$6:$G$1413,'февраль 2024'!$D$6:$D$1413,$B193,'февраль 2024'!$J$6:$J$1413,N$1)</f>
        <v>0</v>
      </c>
      <c r="O193" s="80">
        <f>SUMIFS('февраль 2024'!$G$6:$G$1413,'февраль 2024'!$D$6:$D$1413,$B193,'февраль 2024'!$J$6:$J$1413,O$1)</f>
        <v>0</v>
      </c>
      <c r="P193" s="80">
        <f>SUMIFS('февраль 2024'!$G$6:$G$1413,'февраль 2024'!$D$6:$D$1413,$B193,'февраль 2024'!$J$6:$J$1413,P$1)</f>
        <v>0</v>
      </c>
      <c r="Q193" s="80">
        <f>SUMIFS('февраль 2024'!$G$6:$G$1413,'февраль 2024'!$D$6:$D$1413,$B193,'февраль 2024'!$J$6:$J$1413,Q$1)</f>
        <v>0</v>
      </c>
      <c r="R193" s="80">
        <f>SUMIFS('февраль 2024'!$G$6:$G$1413,'февраль 2024'!$D$6:$D$1413,$B193,'февраль 2024'!$J$6:$J$1413,R$1)</f>
        <v>0</v>
      </c>
      <c r="S193" s="80">
        <f>SUMIFS('февраль 2024'!$G$6:$G$1413,'февраль 2024'!$D$6:$D$1413,$B193,'февраль 2024'!$J$6:$J$1413,S$1)</f>
        <v>0</v>
      </c>
      <c r="T193" s="80">
        <f>SUMIFS('февраль 2024'!$G$6:$G$1413,'февраль 2024'!$D$6:$D$1413,$B193,'февраль 2024'!$J$6:$J$1413,T$1)</f>
        <v>0</v>
      </c>
      <c r="U193" s="80">
        <f>SUMIFS('февраль 2024'!$G$6:$G$1413,'февраль 2024'!$D$6:$D$1413,$B193,'февраль 2024'!$J$6:$J$1413,U$1)</f>
        <v>0</v>
      </c>
      <c r="V193" s="80">
        <f>SUMIFS('февраль 2024'!$G$6:$G$1413,'февраль 2024'!$D$6:$D$1413,$B193,'февраль 2024'!$J$6:$J$1413,V$1)</f>
        <v>0</v>
      </c>
      <c r="W193" s="80">
        <f>SUMIFS('февраль 2024'!$G$6:$G$1413,'февраль 2024'!$D$6:$D$1413,$B193,'февраль 2024'!$J$6:$J$1413,W$1)</f>
        <v>0</v>
      </c>
      <c r="X193" s="80">
        <f>SUMIFS('февраль 2024'!$G$6:$G$1413,'февраль 2024'!$D$6:$D$1413,$B193,'февраль 2024'!$J$6:$J$1413,X$1)</f>
        <v>0</v>
      </c>
      <c r="Y193" s="80">
        <f>SUMIFS('февраль 2024'!$G$6:$G$1413,'февраль 2024'!$D$6:$D$1413,$B193,'февраль 2024'!$J$6:$J$1413,Y$1)</f>
        <v>0</v>
      </c>
      <c r="Z193" s="80">
        <f>SUMIFS('февраль 2024'!$G$6:$G$1413,'февраль 2024'!$D$6:$D$1413,$B193,'февраль 2024'!$J$6:$J$1413,Z$1)</f>
        <v>0</v>
      </c>
      <c r="AA193" s="80">
        <f>SUMIFS('февраль 2024'!$G$6:$G$1413,'февраль 2024'!$D$6:$D$1413,$B193,'февраль 2024'!$J$6:$J$1413,AA$1)</f>
        <v>0</v>
      </c>
      <c r="AB193" s="80">
        <f>SUMIFS('февраль 2024'!$G$6:$G$1413,'февраль 2024'!$D$6:$D$1413,$B193,'февраль 2024'!$J$6:$J$1413,AB$1)</f>
        <v>0</v>
      </c>
      <c r="AC193" s="80">
        <f>SUMIFS('февраль 2024'!$G$6:$G$1413,'февраль 2024'!$D$6:$D$1413,$B193,'февраль 2024'!$J$6:$J$1413,AC$1)</f>
        <v>0</v>
      </c>
      <c r="AD193" s="80">
        <f>SUMIFS('февраль 2024'!$G$6:$G$1413,'февраль 2024'!$D$6:$D$1413,$B193,'февраль 2024'!$J$6:$J$1413,AD$1)</f>
        <v>0</v>
      </c>
      <c r="AE193" s="80">
        <f>SUMIFS('февраль 2024'!$G$6:$G$1413,'февраль 2024'!$D$6:$D$1413,$B193,'февраль 2024'!$J$6:$J$1413,AE$1)</f>
        <v>0</v>
      </c>
      <c r="AF193" s="80">
        <f>SUMIFS('февраль 2024'!$G$6:$G$1413,'февраль 2024'!$D$6:$D$1413,$B193,'февраль 2024'!$J$6:$J$1413,AF$1)</f>
        <v>0</v>
      </c>
      <c r="AG193" s="80">
        <f>SUMIFS('февраль 2024'!$G$6:$G$1413,'февраль 2024'!$D$6:$D$1413,$B193,'февраль 2024'!$J$6:$J$1413,AG$1)</f>
        <v>0</v>
      </c>
      <c r="AH193" s="80">
        <f>SUMIFS('февраль 2024'!$G$6:$G$1413,'февраль 2024'!$D$6:$D$1413,$B193,'февраль 2024'!$J$6:$J$1413,AH$1)</f>
        <v>0</v>
      </c>
      <c r="AI193" s="87"/>
    </row>
    <row r="194" spans="2:35" ht="15" hidden="1" customHeight="1" x14ac:dyDescent="0.25">
      <c r="B194" s="89"/>
      <c r="C194" s="88"/>
      <c r="D194" s="80">
        <f>SUMIFS('февраль 2024'!$G$6:$G$1413,'февраль 2024'!$D$6:$D$1413,$B194,'февраль 2024'!$J$6:$J$1413,D$1)</f>
        <v>0</v>
      </c>
      <c r="E194" s="80">
        <f>SUMIFS('февраль 2024'!$G$6:$G$1413,'февраль 2024'!$D$6:$D$1413,$B194,'февраль 2024'!$J$6:$J$1413,E$1)</f>
        <v>0</v>
      </c>
      <c r="F194" s="80">
        <f>SUMIFS('февраль 2024'!$G$6:$G$1413,'февраль 2024'!$D$6:$D$1413,$B194,'февраль 2024'!$J$6:$J$1413,F$1)</f>
        <v>0</v>
      </c>
      <c r="G194" s="80">
        <f>SUMIFS('февраль 2024'!$G$6:$G$1413,'февраль 2024'!$D$6:$D$1413,$B194,'февраль 2024'!$J$6:$J$1413,G$1)</f>
        <v>0</v>
      </c>
      <c r="H194" s="80">
        <f>SUMIFS('февраль 2024'!$G$6:$G$1413,'февраль 2024'!$D$6:$D$1413,$B194,'февраль 2024'!$J$6:$J$1413,H$1)</f>
        <v>0</v>
      </c>
      <c r="I194" s="80">
        <f>SUMIFS('февраль 2024'!$G$6:$G$1413,'февраль 2024'!$D$6:$D$1413,$B194,'февраль 2024'!$J$6:$J$1413,I$1)</f>
        <v>0</v>
      </c>
      <c r="J194" s="80">
        <f>SUMIFS('февраль 2024'!$G$6:$G$1413,'февраль 2024'!$D$6:$D$1413,$B194,'февраль 2024'!$J$6:$J$1413,J$1)</f>
        <v>0</v>
      </c>
      <c r="K194" s="80">
        <f>SUMIFS('февраль 2024'!$G$6:$G$1413,'февраль 2024'!$D$6:$D$1413,$B194,'февраль 2024'!$J$6:$J$1413,K$1)</f>
        <v>0</v>
      </c>
      <c r="L194" s="80">
        <f>SUMIFS('февраль 2024'!$G$6:$G$1413,'февраль 2024'!$D$6:$D$1413,$B194,'февраль 2024'!$J$6:$J$1413,L$1)</f>
        <v>0</v>
      </c>
      <c r="M194" s="80">
        <f>SUMIFS('февраль 2024'!$G$6:$G$1413,'февраль 2024'!$D$6:$D$1413,$B194,'февраль 2024'!$J$6:$J$1413,M$1)</f>
        <v>0</v>
      </c>
      <c r="N194" s="80">
        <f>SUMIFS('февраль 2024'!$G$6:$G$1413,'февраль 2024'!$D$6:$D$1413,$B194,'февраль 2024'!$J$6:$J$1413,N$1)</f>
        <v>0</v>
      </c>
      <c r="O194" s="80">
        <f>SUMIFS('февраль 2024'!$G$6:$G$1413,'февраль 2024'!$D$6:$D$1413,$B194,'февраль 2024'!$J$6:$J$1413,O$1)</f>
        <v>0</v>
      </c>
      <c r="P194" s="80">
        <f>SUMIFS('февраль 2024'!$G$6:$G$1413,'февраль 2024'!$D$6:$D$1413,$B194,'февраль 2024'!$J$6:$J$1413,P$1)</f>
        <v>0</v>
      </c>
      <c r="Q194" s="80">
        <f>SUMIFS('февраль 2024'!$G$6:$G$1413,'февраль 2024'!$D$6:$D$1413,$B194,'февраль 2024'!$J$6:$J$1413,Q$1)</f>
        <v>0</v>
      </c>
      <c r="R194" s="80">
        <f>SUMIFS('февраль 2024'!$G$6:$G$1413,'февраль 2024'!$D$6:$D$1413,$B194,'февраль 2024'!$J$6:$J$1413,R$1)</f>
        <v>0</v>
      </c>
      <c r="S194" s="80">
        <f>SUMIFS('февраль 2024'!$G$6:$G$1413,'февраль 2024'!$D$6:$D$1413,$B194,'февраль 2024'!$J$6:$J$1413,S$1)</f>
        <v>0</v>
      </c>
      <c r="T194" s="80">
        <f>SUMIFS('февраль 2024'!$G$6:$G$1413,'февраль 2024'!$D$6:$D$1413,$B194,'февраль 2024'!$J$6:$J$1413,T$1)</f>
        <v>0</v>
      </c>
      <c r="U194" s="80">
        <f>SUMIFS('февраль 2024'!$G$6:$G$1413,'февраль 2024'!$D$6:$D$1413,$B194,'февраль 2024'!$J$6:$J$1413,U$1)</f>
        <v>0</v>
      </c>
      <c r="V194" s="80">
        <f>SUMIFS('февраль 2024'!$G$6:$G$1413,'февраль 2024'!$D$6:$D$1413,$B194,'февраль 2024'!$J$6:$J$1413,V$1)</f>
        <v>0</v>
      </c>
      <c r="W194" s="80">
        <f>SUMIFS('февраль 2024'!$G$6:$G$1413,'февраль 2024'!$D$6:$D$1413,$B194,'февраль 2024'!$J$6:$J$1413,W$1)</f>
        <v>0</v>
      </c>
      <c r="X194" s="80">
        <f>SUMIFS('февраль 2024'!$G$6:$G$1413,'февраль 2024'!$D$6:$D$1413,$B194,'февраль 2024'!$J$6:$J$1413,X$1)</f>
        <v>0</v>
      </c>
      <c r="Y194" s="80">
        <f>SUMIFS('февраль 2024'!$G$6:$G$1413,'февраль 2024'!$D$6:$D$1413,$B194,'февраль 2024'!$J$6:$J$1413,Y$1)</f>
        <v>0</v>
      </c>
      <c r="Z194" s="80">
        <f>SUMIFS('февраль 2024'!$G$6:$G$1413,'февраль 2024'!$D$6:$D$1413,$B194,'февраль 2024'!$J$6:$J$1413,Z$1)</f>
        <v>0</v>
      </c>
      <c r="AA194" s="80">
        <f>SUMIFS('февраль 2024'!$G$6:$G$1413,'февраль 2024'!$D$6:$D$1413,$B194,'февраль 2024'!$J$6:$J$1413,AA$1)</f>
        <v>0</v>
      </c>
      <c r="AB194" s="80">
        <f>SUMIFS('февраль 2024'!$G$6:$G$1413,'февраль 2024'!$D$6:$D$1413,$B194,'февраль 2024'!$J$6:$J$1413,AB$1)</f>
        <v>0</v>
      </c>
      <c r="AC194" s="80">
        <f>SUMIFS('февраль 2024'!$G$6:$G$1413,'февраль 2024'!$D$6:$D$1413,$B194,'февраль 2024'!$J$6:$J$1413,AC$1)</f>
        <v>0</v>
      </c>
      <c r="AD194" s="80">
        <f>SUMIFS('февраль 2024'!$G$6:$G$1413,'февраль 2024'!$D$6:$D$1413,$B194,'февраль 2024'!$J$6:$J$1413,AD$1)</f>
        <v>0</v>
      </c>
      <c r="AE194" s="80">
        <f>SUMIFS('февраль 2024'!$G$6:$G$1413,'февраль 2024'!$D$6:$D$1413,$B194,'февраль 2024'!$J$6:$J$1413,AE$1)</f>
        <v>0</v>
      </c>
      <c r="AF194" s="80">
        <f>SUMIFS('февраль 2024'!$G$6:$G$1413,'февраль 2024'!$D$6:$D$1413,$B194,'февраль 2024'!$J$6:$J$1413,AF$1)</f>
        <v>0</v>
      </c>
      <c r="AG194" s="80">
        <f>SUMIFS('февраль 2024'!$G$6:$G$1413,'февраль 2024'!$D$6:$D$1413,$B194,'февраль 2024'!$J$6:$J$1413,AG$1)</f>
        <v>0</v>
      </c>
      <c r="AH194" s="80">
        <f>SUMIFS('февраль 2024'!$G$6:$G$1413,'февраль 2024'!$D$6:$D$1413,$B194,'февраль 2024'!$J$6:$J$1413,AH$1)</f>
        <v>0</v>
      </c>
      <c r="AI194" s="87"/>
    </row>
    <row r="195" spans="2:35" ht="15" hidden="1" customHeight="1" x14ac:dyDescent="0.25">
      <c r="B195" s="89"/>
      <c r="C195" s="88"/>
      <c r="D195" s="80">
        <f>SUMIFS('февраль 2024'!$G$6:$G$1413,'февраль 2024'!$D$6:$D$1413,$B195,'февраль 2024'!$J$6:$J$1413,D$1)</f>
        <v>0</v>
      </c>
      <c r="E195" s="80">
        <f>SUMIFS('февраль 2024'!$G$6:$G$1413,'февраль 2024'!$D$6:$D$1413,$B195,'февраль 2024'!$J$6:$J$1413,E$1)</f>
        <v>0</v>
      </c>
      <c r="F195" s="80">
        <f>SUMIFS('февраль 2024'!$G$6:$G$1413,'февраль 2024'!$D$6:$D$1413,$B195,'февраль 2024'!$J$6:$J$1413,F$1)</f>
        <v>0</v>
      </c>
      <c r="G195" s="80">
        <f>SUMIFS('февраль 2024'!$G$6:$G$1413,'февраль 2024'!$D$6:$D$1413,$B195,'февраль 2024'!$J$6:$J$1413,G$1)</f>
        <v>0</v>
      </c>
      <c r="H195" s="80">
        <f>SUMIFS('февраль 2024'!$G$6:$G$1413,'февраль 2024'!$D$6:$D$1413,$B195,'февраль 2024'!$J$6:$J$1413,H$1)</f>
        <v>0</v>
      </c>
      <c r="I195" s="80">
        <f>SUMIFS('февраль 2024'!$G$6:$G$1413,'февраль 2024'!$D$6:$D$1413,$B195,'февраль 2024'!$J$6:$J$1413,I$1)</f>
        <v>0</v>
      </c>
      <c r="J195" s="80">
        <f>SUMIFS('февраль 2024'!$G$6:$G$1413,'февраль 2024'!$D$6:$D$1413,$B195,'февраль 2024'!$J$6:$J$1413,J$1)</f>
        <v>0</v>
      </c>
      <c r="K195" s="80">
        <f>SUMIFS('февраль 2024'!$G$6:$G$1413,'февраль 2024'!$D$6:$D$1413,$B195,'февраль 2024'!$J$6:$J$1413,K$1)</f>
        <v>0</v>
      </c>
      <c r="L195" s="80">
        <f>SUMIFS('февраль 2024'!$G$6:$G$1413,'февраль 2024'!$D$6:$D$1413,$B195,'февраль 2024'!$J$6:$J$1413,L$1)</f>
        <v>0</v>
      </c>
      <c r="M195" s="80">
        <f>SUMIFS('февраль 2024'!$G$6:$G$1413,'февраль 2024'!$D$6:$D$1413,$B195,'февраль 2024'!$J$6:$J$1413,M$1)</f>
        <v>0</v>
      </c>
      <c r="N195" s="80">
        <f>SUMIFS('февраль 2024'!$G$6:$G$1413,'февраль 2024'!$D$6:$D$1413,$B195,'февраль 2024'!$J$6:$J$1413,N$1)</f>
        <v>0</v>
      </c>
      <c r="O195" s="80">
        <f>SUMIFS('февраль 2024'!$G$6:$G$1413,'февраль 2024'!$D$6:$D$1413,$B195,'февраль 2024'!$J$6:$J$1413,O$1)</f>
        <v>0</v>
      </c>
      <c r="P195" s="80">
        <f>SUMIFS('февраль 2024'!$G$6:$G$1413,'февраль 2024'!$D$6:$D$1413,$B195,'февраль 2024'!$J$6:$J$1413,P$1)</f>
        <v>0</v>
      </c>
      <c r="Q195" s="80">
        <f>SUMIFS('февраль 2024'!$G$6:$G$1413,'февраль 2024'!$D$6:$D$1413,$B195,'февраль 2024'!$J$6:$J$1413,Q$1)</f>
        <v>0</v>
      </c>
      <c r="R195" s="80">
        <f>SUMIFS('февраль 2024'!$G$6:$G$1413,'февраль 2024'!$D$6:$D$1413,$B195,'февраль 2024'!$J$6:$J$1413,R$1)</f>
        <v>0</v>
      </c>
      <c r="S195" s="80">
        <f>SUMIFS('февраль 2024'!$G$6:$G$1413,'февраль 2024'!$D$6:$D$1413,$B195,'февраль 2024'!$J$6:$J$1413,S$1)</f>
        <v>0</v>
      </c>
      <c r="T195" s="80">
        <f>SUMIFS('февраль 2024'!$G$6:$G$1413,'февраль 2024'!$D$6:$D$1413,$B195,'февраль 2024'!$J$6:$J$1413,T$1)</f>
        <v>0</v>
      </c>
      <c r="U195" s="80">
        <f>SUMIFS('февраль 2024'!$G$6:$G$1413,'февраль 2024'!$D$6:$D$1413,$B195,'февраль 2024'!$J$6:$J$1413,U$1)</f>
        <v>0</v>
      </c>
      <c r="V195" s="80">
        <f>SUMIFS('февраль 2024'!$G$6:$G$1413,'февраль 2024'!$D$6:$D$1413,$B195,'февраль 2024'!$J$6:$J$1413,V$1)</f>
        <v>0</v>
      </c>
      <c r="W195" s="80">
        <f>SUMIFS('февраль 2024'!$G$6:$G$1413,'февраль 2024'!$D$6:$D$1413,$B195,'февраль 2024'!$J$6:$J$1413,W$1)</f>
        <v>0</v>
      </c>
      <c r="X195" s="80">
        <f>SUMIFS('февраль 2024'!$G$6:$G$1413,'февраль 2024'!$D$6:$D$1413,$B195,'февраль 2024'!$J$6:$J$1413,X$1)</f>
        <v>0</v>
      </c>
      <c r="Y195" s="80">
        <f>SUMIFS('февраль 2024'!$G$6:$G$1413,'февраль 2024'!$D$6:$D$1413,$B195,'февраль 2024'!$J$6:$J$1413,Y$1)</f>
        <v>0</v>
      </c>
      <c r="Z195" s="80">
        <f>SUMIFS('февраль 2024'!$G$6:$G$1413,'февраль 2024'!$D$6:$D$1413,$B195,'февраль 2024'!$J$6:$J$1413,Z$1)</f>
        <v>0</v>
      </c>
      <c r="AA195" s="80">
        <f>SUMIFS('февраль 2024'!$G$6:$G$1413,'февраль 2024'!$D$6:$D$1413,$B195,'февраль 2024'!$J$6:$J$1413,AA$1)</f>
        <v>0</v>
      </c>
      <c r="AB195" s="80">
        <f>SUMIFS('февраль 2024'!$G$6:$G$1413,'февраль 2024'!$D$6:$D$1413,$B195,'февраль 2024'!$J$6:$J$1413,AB$1)</f>
        <v>0</v>
      </c>
      <c r="AC195" s="80">
        <f>SUMIFS('февраль 2024'!$G$6:$G$1413,'февраль 2024'!$D$6:$D$1413,$B195,'февраль 2024'!$J$6:$J$1413,AC$1)</f>
        <v>0</v>
      </c>
      <c r="AD195" s="80">
        <f>SUMIFS('февраль 2024'!$G$6:$G$1413,'февраль 2024'!$D$6:$D$1413,$B195,'февраль 2024'!$J$6:$J$1413,AD$1)</f>
        <v>0</v>
      </c>
      <c r="AE195" s="80">
        <f>SUMIFS('февраль 2024'!$G$6:$G$1413,'февраль 2024'!$D$6:$D$1413,$B195,'февраль 2024'!$J$6:$J$1413,AE$1)</f>
        <v>0</v>
      </c>
      <c r="AF195" s="80">
        <f>SUMIFS('февраль 2024'!$G$6:$G$1413,'февраль 2024'!$D$6:$D$1413,$B195,'февраль 2024'!$J$6:$J$1413,AF$1)</f>
        <v>0</v>
      </c>
      <c r="AG195" s="80">
        <f>SUMIFS('февраль 2024'!$G$6:$G$1413,'февраль 2024'!$D$6:$D$1413,$B195,'февраль 2024'!$J$6:$J$1413,AG$1)</f>
        <v>0</v>
      </c>
      <c r="AH195" s="80">
        <f>SUMIFS('февраль 2024'!$G$6:$G$1413,'февраль 2024'!$D$6:$D$1413,$B195,'февраль 2024'!$J$6:$J$1413,AH$1)</f>
        <v>0</v>
      </c>
      <c r="AI195" s="87"/>
    </row>
    <row r="196" spans="2:35" ht="15" hidden="1" customHeight="1" x14ac:dyDescent="0.25">
      <c r="B196" s="89"/>
      <c r="C196" s="88"/>
      <c r="D196" s="80">
        <f>SUMIFS('февраль 2024'!$G$6:$G$1413,'февраль 2024'!$D$6:$D$1413,$B196,'февраль 2024'!$J$6:$J$1413,D$1)</f>
        <v>0</v>
      </c>
      <c r="E196" s="80">
        <f>SUMIFS('февраль 2024'!$G$6:$G$1413,'февраль 2024'!$D$6:$D$1413,$B196,'февраль 2024'!$J$6:$J$1413,E$1)</f>
        <v>0</v>
      </c>
      <c r="F196" s="80">
        <f>SUMIFS('февраль 2024'!$G$6:$G$1413,'февраль 2024'!$D$6:$D$1413,$B196,'февраль 2024'!$J$6:$J$1413,F$1)</f>
        <v>0</v>
      </c>
      <c r="G196" s="80">
        <f>SUMIFS('февраль 2024'!$G$6:$G$1413,'февраль 2024'!$D$6:$D$1413,$B196,'февраль 2024'!$J$6:$J$1413,G$1)</f>
        <v>0</v>
      </c>
      <c r="H196" s="80">
        <f>SUMIFS('февраль 2024'!$G$6:$G$1413,'февраль 2024'!$D$6:$D$1413,$B196,'февраль 2024'!$J$6:$J$1413,H$1)</f>
        <v>0</v>
      </c>
      <c r="I196" s="80">
        <f>SUMIFS('февраль 2024'!$G$6:$G$1413,'февраль 2024'!$D$6:$D$1413,$B196,'февраль 2024'!$J$6:$J$1413,I$1)</f>
        <v>0</v>
      </c>
      <c r="J196" s="80">
        <f>SUMIFS('февраль 2024'!$G$6:$G$1413,'февраль 2024'!$D$6:$D$1413,$B196,'февраль 2024'!$J$6:$J$1413,J$1)</f>
        <v>0</v>
      </c>
      <c r="K196" s="80">
        <f>SUMIFS('февраль 2024'!$G$6:$G$1413,'февраль 2024'!$D$6:$D$1413,$B196,'февраль 2024'!$J$6:$J$1413,K$1)</f>
        <v>0</v>
      </c>
      <c r="L196" s="80">
        <f>SUMIFS('февраль 2024'!$G$6:$G$1413,'февраль 2024'!$D$6:$D$1413,$B196,'февраль 2024'!$J$6:$J$1413,L$1)</f>
        <v>0</v>
      </c>
      <c r="M196" s="80">
        <f>SUMIFS('февраль 2024'!$G$6:$G$1413,'февраль 2024'!$D$6:$D$1413,$B196,'февраль 2024'!$J$6:$J$1413,M$1)</f>
        <v>0</v>
      </c>
      <c r="N196" s="80">
        <f>SUMIFS('февраль 2024'!$G$6:$G$1413,'февраль 2024'!$D$6:$D$1413,$B196,'февраль 2024'!$J$6:$J$1413,N$1)</f>
        <v>0</v>
      </c>
      <c r="O196" s="80">
        <f>SUMIFS('февраль 2024'!$G$6:$G$1413,'февраль 2024'!$D$6:$D$1413,$B196,'февраль 2024'!$J$6:$J$1413,O$1)</f>
        <v>0</v>
      </c>
      <c r="P196" s="80">
        <f>SUMIFS('февраль 2024'!$G$6:$G$1413,'февраль 2024'!$D$6:$D$1413,$B196,'февраль 2024'!$J$6:$J$1413,P$1)</f>
        <v>0</v>
      </c>
      <c r="Q196" s="80">
        <f>SUMIFS('февраль 2024'!$G$6:$G$1413,'февраль 2024'!$D$6:$D$1413,$B196,'февраль 2024'!$J$6:$J$1413,Q$1)</f>
        <v>0</v>
      </c>
      <c r="R196" s="80">
        <f>SUMIFS('февраль 2024'!$G$6:$G$1413,'февраль 2024'!$D$6:$D$1413,$B196,'февраль 2024'!$J$6:$J$1413,R$1)</f>
        <v>0</v>
      </c>
      <c r="S196" s="80">
        <f>SUMIFS('февраль 2024'!$G$6:$G$1413,'февраль 2024'!$D$6:$D$1413,$B196,'февраль 2024'!$J$6:$J$1413,S$1)</f>
        <v>0</v>
      </c>
      <c r="T196" s="80">
        <f>SUMIFS('февраль 2024'!$G$6:$G$1413,'февраль 2024'!$D$6:$D$1413,$B196,'февраль 2024'!$J$6:$J$1413,T$1)</f>
        <v>0</v>
      </c>
      <c r="U196" s="80">
        <f>SUMIFS('февраль 2024'!$G$6:$G$1413,'февраль 2024'!$D$6:$D$1413,$B196,'февраль 2024'!$J$6:$J$1413,U$1)</f>
        <v>0</v>
      </c>
      <c r="V196" s="80">
        <f>SUMIFS('февраль 2024'!$G$6:$G$1413,'февраль 2024'!$D$6:$D$1413,$B196,'февраль 2024'!$J$6:$J$1413,V$1)</f>
        <v>0</v>
      </c>
      <c r="W196" s="80">
        <f>SUMIFS('февраль 2024'!$G$6:$G$1413,'февраль 2024'!$D$6:$D$1413,$B196,'февраль 2024'!$J$6:$J$1413,W$1)</f>
        <v>0</v>
      </c>
      <c r="X196" s="80">
        <f>SUMIFS('февраль 2024'!$G$6:$G$1413,'февраль 2024'!$D$6:$D$1413,$B196,'февраль 2024'!$J$6:$J$1413,X$1)</f>
        <v>0</v>
      </c>
      <c r="Y196" s="80">
        <f>SUMIFS('февраль 2024'!$G$6:$G$1413,'февраль 2024'!$D$6:$D$1413,$B196,'февраль 2024'!$J$6:$J$1413,Y$1)</f>
        <v>0</v>
      </c>
      <c r="Z196" s="80">
        <f>SUMIFS('февраль 2024'!$G$6:$G$1413,'февраль 2024'!$D$6:$D$1413,$B196,'февраль 2024'!$J$6:$J$1413,Z$1)</f>
        <v>0</v>
      </c>
      <c r="AA196" s="80">
        <f>SUMIFS('февраль 2024'!$G$6:$G$1413,'февраль 2024'!$D$6:$D$1413,$B196,'февраль 2024'!$J$6:$J$1413,AA$1)</f>
        <v>0</v>
      </c>
      <c r="AB196" s="80">
        <f>SUMIFS('февраль 2024'!$G$6:$G$1413,'февраль 2024'!$D$6:$D$1413,$B196,'февраль 2024'!$J$6:$J$1413,AB$1)</f>
        <v>0</v>
      </c>
      <c r="AC196" s="80">
        <f>SUMIFS('февраль 2024'!$G$6:$G$1413,'февраль 2024'!$D$6:$D$1413,$B196,'февраль 2024'!$J$6:$J$1413,AC$1)</f>
        <v>0</v>
      </c>
      <c r="AD196" s="80">
        <f>SUMIFS('февраль 2024'!$G$6:$G$1413,'февраль 2024'!$D$6:$D$1413,$B196,'февраль 2024'!$J$6:$J$1413,AD$1)</f>
        <v>0</v>
      </c>
      <c r="AE196" s="80">
        <f>SUMIFS('февраль 2024'!$G$6:$G$1413,'февраль 2024'!$D$6:$D$1413,$B196,'февраль 2024'!$J$6:$J$1413,AE$1)</f>
        <v>0</v>
      </c>
      <c r="AF196" s="80">
        <f>SUMIFS('февраль 2024'!$G$6:$G$1413,'февраль 2024'!$D$6:$D$1413,$B196,'февраль 2024'!$J$6:$J$1413,AF$1)</f>
        <v>0</v>
      </c>
      <c r="AG196" s="80">
        <f>SUMIFS('февраль 2024'!$G$6:$G$1413,'февраль 2024'!$D$6:$D$1413,$B196,'февраль 2024'!$J$6:$J$1413,AG$1)</f>
        <v>0</v>
      </c>
      <c r="AH196" s="80">
        <f>SUMIFS('февраль 2024'!$G$6:$G$1413,'февраль 2024'!$D$6:$D$1413,$B196,'февраль 2024'!$J$6:$J$1413,AH$1)</f>
        <v>0</v>
      </c>
      <c r="AI196" s="87"/>
    </row>
    <row r="197" spans="2:35" ht="15" hidden="1" customHeight="1" x14ac:dyDescent="0.25">
      <c r="B197" s="89"/>
      <c r="C197" s="88"/>
      <c r="D197" s="80">
        <f>SUMIFS('февраль 2024'!$G$6:$G$1413,'февраль 2024'!$D$6:$D$1413,$B197,'февраль 2024'!$J$6:$J$1413,D$1)</f>
        <v>0</v>
      </c>
      <c r="E197" s="80">
        <f>SUMIFS('февраль 2024'!$G$6:$G$1413,'февраль 2024'!$D$6:$D$1413,$B197,'февраль 2024'!$J$6:$J$1413,E$1)</f>
        <v>0</v>
      </c>
      <c r="F197" s="80">
        <f>SUMIFS('февраль 2024'!$G$6:$G$1413,'февраль 2024'!$D$6:$D$1413,$B197,'февраль 2024'!$J$6:$J$1413,F$1)</f>
        <v>0</v>
      </c>
      <c r="G197" s="80">
        <f>SUMIFS('февраль 2024'!$G$6:$G$1413,'февраль 2024'!$D$6:$D$1413,$B197,'февраль 2024'!$J$6:$J$1413,G$1)</f>
        <v>0</v>
      </c>
      <c r="H197" s="80">
        <f>SUMIFS('февраль 2024'!$G$6:$G$1413,'февраль 2024'!$D$6:$D$1413,$B197,'февраль 2024'!$J$6:$J$1413,H$1)</f>
        <v>0</v>
      </c>
      <c r="I197" s="80">
        <f>SUMIFS('февраль 2024'!$G$6:$G$1413,'февраль 2024'!$D$6:$D$1413,$B197,'февраль 2024'!$J$6:$J$1413,I$1)</f>
        <v>0</v>
      </c>
      <c r="J197" s="80">
        <f>SUMIFS('февраль 2024'!$G$6:$G$1413,'февраль 2024'!$D$6:$D$1413,$B197,'февраль 2024'!$J$6:$J$1413,J$1)</f>
        <v>0</v>
      </c>
      <c r="K197" s="80">
        <f>SUMIFS('февраль 2024'!$G$6:$G$1413,'февраль 2024'!$D$6:$D$1413,$B197,'февраль 2024'!$J$6:$J$1413,K$1)</f>
        <v>0</v>
      </c>
      <c r="L197" s="80">
        <f>SUMIFS('февраль 2024'!$G$6:$G$1413,'февраль 2024'!$D$6:$D$1413,$B197,'февраль 2024'!$J$6:$J$1413,L$1)</f>
        <v>0</v>
      </c>
      <c r="M197" s="80">
        <f>SUMIFS('февраль 2024'!$G$6:$G$1413,'февраль 2024'!$D$6:$D$1413,$B197,'февраль 2024'!$J$6:$J$1413,M$1)</f>
        <v>0</v>
      </c>
      <c r="N197" s="80">
        <f>SUMIFS('февраль 2024'!$G$6:$G$1413,'февраль 2024'!$D$6:$D$1413,$B197,'февраль 2024'!$J$6:$J$1413,N$1)</f>
        <v>0</v>
      </c>
      <c r="O197" s="80">
        <f>SUMIFS('февраль 2024'!$G$6:$G$1413,'февраль 2024'!$D$6:$D$1413,$B197,'февраль 2024'!$J$6:$J$1413,O$1)</f>
        <v>0</v>
      </c>
      <c r="P197" s="80">
        <f>SUMIFS('февраль 2024'!$G$6:$G$1413,'февраль 2024'!$D$6:$D$1413,$B197,'февраль 2024'!$J$6:$J$1413,P$1)</f>
        <v>0</v>
      </c>
      <c r="Q197" s="80">
        <f>SUMIFS('февраль 2024'!$G$6:$G$1413,'февраль 2024'!$D$6:$D$1413,$B197,'февраль 2024'!$J$6:$J$1413,Q$1)</f>
        <v>0</v>
      </c>
      <c r="R197" s="80">
        <f>SUMIFS('февраль 2024'!$G$6:$G$1413,'февраль 2024'!$D$6:$D$1413,$B197,'февраль 2024'!$J$6:$J$1413,R$1)</f>
        <v>0</v>
      </c>
      <c r="S197" s="80">
        <f>SUMIFS('февраль 2024'!$G$6:$G$1413,'февраль 2024'!$D$6:$D$1413,$B197,'февраль 2024'!$J$6:$J$1413,S$1)</f>
        <v>0</v>
      </c>
      <c r="T197" s="80">
        <f>SUMIFS('февраль 2024'!$G$6:$G$1413,'февраль 2024'!$D$6:$D$1413,$B197,'февраль 2024'!$J$6:$J$1413,T$1)</f>
        <v>0</v>
      </c>
      <c r="U197" s="80">
        <f>SUMIFS('февраль 2024'!$G$6:$G$1413,'февраль 2024'!$D$6:$D$1413,$B197,'февраль 2024'!$J$6:$J$1413,U$1)</f>
        <v>0</v>
      </c>
      <c r="V197" s="80">
        <f>SUMIFS('февраль 2024'!$G$6:$G$1413,'февраль 2024'!$D$6:$D$1413,$B197,'февраль 2024'!$J$6:$J$1413,V$1)</f>
        <v>0</v>
      </c>
      <c r="W197" s="80">
        <f>SUMIFS('февраль 2024'!$G$6:$G$1413,'февраль 2024'!$D$6:$D$1413,$B197,'февраль 2024'!$J$6:$J$1413,W$1)</f>
        <v>0</v>
      </c>
      <c r="X197" s="80">
        <f>SUMIFS('февраль 2024'!$G$6:$G$1413,'февраль 2024'!$D$6:$D$1413,$B197,'февраль 2024'!$J$6:$J$1413,X$1)</f>
        <v>0</v>
      </c>
      <c r="Y197" s="80">
        <f>SUMIFS('февраль 2024'!$G$6:$G$1413,'февраль 2024'!$D$6:$D$1413,$B197,'февраль 2024'!$J$6:$J$1413,Y$1)</f>
        <v>0</v>
      </c>
      <c r="Z197" s="80">
        <f>SUMIFS('февраль 2024'!$G$6:$G$1413,'февраль 2024'!$D$6:$D$1413,$B197,'февраль 2024'!$J$6:$J$1413,Z$1)</f>
        <v>0</v>
      </c>
      <c r="AA197" s="80">
        <f>SUMIFS('февраль 2024'!$G$6:$G$1413,'февраль 2024'!$D$6:$D$1413,$B197,'февраль 2024'!$J$6:$J$1413,AA$1)</f>
        <v>0</v>
      </c>
      <c r="AB197" s="80">
        <f>SUMIFS('февраль 2024'!$G$6:$G$1413,'февраль 2024'!$D$6:$D$1413,$B197,'февраль 2024'!$J$6:$J$1413,AB$1)</f>
        <v>0</v>
      </c>
      <c r="AC197" s="80">
        <f>SUMIFS('февраль 2024'!$G$6:$G$1413,'февраль 2024'!$D$6:$D$1413,$B197,'февраль 2024'!$J$6:$J$1413,AC$1)</f>
        <v>0</v>
      </c>
      <c r="AD197" s="80">
        <f>SUMIFS('февраль 2024'!$G$6:$G$1413,'февраль 2024'!$D$6:$D$1413,$B197,'февраль 2024'!$J$6:$J$1413,AD$1)</f>
        <v>0</v>
      </c>
      <c r="AE197" s="80">
        <f>SUMIFS('февраль 2024'!$G$6:$G$1413,'февраль 2024'!$D$6:$D$1413,$B197,'февраль 2024'!$J$6:$J$1413,AE$1)</f>
        <v>0</v>
      </c>
      <c r="AF197" s="80">
        <f>SUMIFS('февраль 2024'!$G$6:$G$1413,'февраль 2024'!$D$6:$D$1413,$B197,'февраль 2024'!$J$6:$J$1413,AF$1)</f>
        <v>0</v>
      </c>
      <c r="AG197" s="80">
        <f>SUMIFS('февраль 2024'!$G$6:$G$1413,'февраль 2024'!$D$6:$D$1413,$B197,'февраль 2024'!$J$6:$J$1413,AG$1)</f>
        <v>0</v>
      </c>
      <c r="AH197" s="80">
        <f>SUMIFS('февраль 2024'!$G$6:$G$1413,'февраль 2024'!$D$6:$D$1413,$B197,'февраль 2024'!$J$6:$J$1413,AH$1)</f>
        <v>0</v>
      </c>
      <c r="AI197" s="87"/>
    </row>
    <row r="198" spans="2:35" ht="15" hidden="1" customHeight="1" x14ac:dyDescent="0.25">
      <c r="B198" s="89"/>
      <c r="C198" s="88"/>
      <c r="D198" s="80">
        <f>SUMIFS('февраль 2024'!$G$6:$G$1413,'февраль 2024'!$D$6:$D$1413,$B198,'февраль 2024'!$J$6:$J$1413,D$1)</f>
        <v>0</v>
      </c>
      <c r="E198" s="80">
        <f>SUMIFS('февраль 2024'!$G$6:$G$1413,'февраль 2024'!$D$6:$D$1413,$B198,'февраль 2024'!$J$6:$J$1413,E$1)</f>
        <v>0</v>
      </c>
      <c r="F198" s="80">
        <f>SUMIFS('февраль 2024'!$G$6:$G$1413,'февраль 2024'!$D$6:$D$1413,$B198,'февраль 2024'!$J$6:$J$1413,F$1)</f>
        <v>0</v>
      </c>
      <c r="G198" s="80">
        <f>SUMIFS('февраль 2024'!$G$6:$G$1413,'февраль 2024'!$D$6:$D$1413,$B198,'февраль 2024'!$J$6:$J$1413,G$1)</f>
        <v>0</v>
      </c>
      <c r="H198" s="80">
        <f>SUMIFS('февраль 2024'!$G$6:$G$1413,'февраль 2024'!$D$6:$D$1413,$B198,'февраль 2024'!$J$6:$J$1413,H$1)</f>
        <v>0</v>
      </c>
      <c r="I198" s="80">
        <f>SUMIFS('февраль 2024'!$G$6:$G$1413,'февраль 2024'!$D$6:$D$1413,$B198,'февраль 2024'!$J$6:$J$1413,I$1)</f>
        <v>0</v>
      </c>
      <c r="J198" s="80">
        <f>SUMIFS('февраль 2024'!$G$6:$G$1413,'февраль 2024'!$D$6:$D$1413,$B198,'февраль 2024'!$J$6:$J$1413,J$1)</f>
        <v>0</v>
      </c>
      <c r="K198" s="80">
        <f>SUMIFS('февраль 2024'!$G$6:$G$1413,'февраль 2024'!$D$6:$D$1413,$B198,'февраль 2024'!$J$6:$J$1413,K$1)</f>
        <v>0</v>
      </c>
      <c r="L198" s="80">
        <f>SUMIFS('февраль 2024'!$G$6:$G$1413,'февраль 2024'!$D$6:$D$1413,$B198,'февраль 2024'!$J$6:$J$1413,L$1)</f>
        <v>0</v>
      </c>
      <c r="M198" s="80">
        <f>SUMIFS('февраль 2024'!$G$6:$G$1413,'февраль 2024'!$D$6:$D$1413,$B198,'февраль 2024'!$J$6:$J$1413,M$1)</f>
        <v>0</v>
      </c>
      <c r="N198" s="80">
        <f>SUMIFS('февраль 2024'!$G$6:$G$1413,'февраль 2024'!$D$6:$D$1413,$B198,'февраль 2024'!$J$6:$J$1413,N$1)</f>
        <v>0</v>
      </c>
      <c r="O198" s="80">
        <f>SUMIFS('февраль 2024'!$G$6:$G$1413,'февраль 2024'!$D$6:$D$1413,$B198,'февраль 2024'!$J$6:$J$1413,O$1)</f>
        <v>0</v>
      </c>
      <c r="P198" s="80">
        <f>SUMIFS('февраль 2024'!$G$6:$G$1413,'февраль 2024'!$D$6:$D$1413,$B198,'февраль 2024'!$J$6:$J$1413,P$1)</f>
        <v>0</v>
      </c>
      <c r="Q198" s="80">
        <f>SUMIFS('февраль 2024'!$G$6:$G$1413,'февраль 2024'!$D$6:$D$1413,$B198,'февраль 2024'!$J$6:$J$1413,Q$1)</f>
        <v>0</v>
      </c>
      <c r="R198" s="80">
        <f>SUMIFS('февраль 2024'!$G$6:$G$1413,'февраль 2024'!$D$6:$D$1413,$B198,'февраль 2024'!$J$6:$J$1413,R$1)</f>
        <v>0</v>
      </c>
      <c r="S198" s="80">
        <f>SUMIFS('февраль 2024'!$G$6:$G$1413,'февраль 2024'!$D$6:$D$1413,$B198,'февраль 2024'!$J$6:$J$1413,S$1)</f>
        <v>0</v>
      </c>
      <c r="T198" s="80">
        <f>SUMIFS('февраль 2024'!$G$6:$G$1413,'февраль 2024'!$D$6:$D$1413,$B198,'февраль 2024'!$J$6:$J$1413,T$1)</f>
        <v>0</v>
      </c>
      <c r="U198" s="80">
        <f>SUMIFS('февраль 2024'!$G$6:$G$1413,'февраль 2024'!$D$6:$D$1413,$B198,'февраль 2024'!$J$6:$J$1413,U$1)</f>
        <v>0</v>
      </c>
      <c r="V198" s="80">
        <f>SUMIFS('февраль 2024'!$G$6:$G$1413,'февраль 2024'!$D$6:$D$1413,$B198,'февраль 2024'!$J$6:$J$1413,V$1)</f>
        <v>0</v>
      </c>
      <c r="W198" s="80">
        <f>SUMIFS('февраль 2024'!$G$6:$G$1413,'февраль 2024'!$D$6:$D$1413,$B198,'февраль 2024'!$J$6:$J$1413,W$1)</f>
        <v>0</v>
      </c>
      <c r="X198" s="80">
        <f>SUMIFS('февраль 2024'!$G$6:$G$1413,'февраль 2024'!$D$6:$D$1413,$B198,'февраль 2024'!$J$6:$J$1413,X$1)</f>
        <v>0</v>
      </c>
      <c r="Y198" s="80">
        <f>SUMIFS('февраль 2024'!$G$6:$G$1413,'февраль 2024'!$D$6:$D$1413,$B198,'февраль 2024'!$J$6:$J$1413,Y$1)</f>
        <v>0</v>
      </c>
      <c r="Z198" s="80">
        <f>SUMIFS('февраль 2024'!$G$6:$G$1413,'февраль 2024'!$D$6:$D$1413,$B198,'февраль 2024'!$J$6:$J$1413,Z$1)</f>
        <v>0</v>
      </c>
      <c r="AA198" s="80">
        <f>SUMIFS('февраль 2024'!$G$6:$G$1413,'февраль 2024'!$D$6:$D$1413,$B198,'февраль 2024'!$J$6:$J$1413,AA$1)</f>
        <v>0</v>
      </c>
      <c r="AB198" s="80">
        <f>SUMIFS('февраль 2024'!$G$6:$G$1413,'февраль 2024'!$D$6:$D$1413,$B198,'февраль 2024'!$J$6:$J$1413,AB$1)</f>
        <v>0</v>
      </c>
      <c r="AC198" s="80">
        <f>SUMIFS('февраль 2024'!$G$6:$G$1413,'февраль 2024'!$D$6:$D$1413,$B198,'февраль 2024'!$J$6:$J$1413,AC$1)</f>
        <v>0</v>
      </c>
      <c r="AD198" s="80">
        <f>SUMIFS('февраль 2024'!$G$6:$G$1413,'февраль 2024'!$D$6:$D$1413,$B198,'февраль 2024'!$J$6:$J$1413,AD$1)</f>
        <v>0</v>
      </c>
      <c r="AE198" s="80">
        <f>SUMIFS('февраль 2024'!$G$6:$G$1413,'февраль 2024'!$D$6:$D$1413,$B198,'февраль 2024'!$J$6:$J$1413,AE$1)</f>
        <v>0</v>
      </c>
      <c r="AF198" s="80">
        <f>SUMIFS('февраль 2024'!$G$6:$G$1413,'февраль 2024'!$D$6:$D$1413,$B198,'февраль 2024'!$J$6:$J$1413,AF$1)</f>
        <v>0</v>
      </c>
      <c r="AG198" s="80">
        <f>SUMIFS('февраль 2024'!$G$6:$G$1413,'февраль 2024'!$D$6:$D$1413,$B198,'февраль 2024'!$J$6:$J$1413,AG$1)</f>
        <v>0</v>
      </c>
      <c r="AH198" s="80">
        <f>SUMIFS('февраль 2024'!$G$6:$G$1413,'февраль 2024'!$D$6:$D$1413,$B198,'февраль 2024'!$J$6:$J$1413,AH$1)</f>
        <v>0</v>
      </c>
      <c r="AI198" s="87"/>
    </row>
    <row r="199" spans="2:35" ht="15" hidden="1" customHeight="1" x14ac:dyDescent="0.25">
      <c r="B199" s="89"/>
      <c r="C199" s="88"/>
      <c r="D199" s="80">
        <f>SUMIFS('февраль 2024'!$G$6:$G$1413,'февраль 2024'!$D$6:$D$1413,$B199,'февраль 2024'!$J$6:$J$1413,D$1)</f>
        <v>0</v>
      </c>
      <c r="E199" s="80">
        <f>SUMIFS('февраль 2024'!$G$6:$G$1413,'февраль 2024'!$D$6:$D$1413,$B199,'февраль 2024'!$J$6:$J$1413,E$1)</f>
        <v>0</v>
      </c>
      <c r="F199" s="80">
        <f>SUMIFS('февраль 2024'!$G$6:$G$1413,'февраль 2024'!$D$6:$D$1413,$B199,'февраль 2024'!$J$6:$J$1413,F$1)</f>
        <v>0</v>
      </c>
      <c r="G199" s="80">
        <f>SUMIFS('февраль 2024'!$G$6:$G$1413,'февраль 2024'!$D$6:$D$1413,$B199,'февраль 2024'!$J$6:$J$1413,G$1)</f>
        <v>0</v>
      </c>
      <c r="H199" s="80">
        <f>SUMIFS('февраль 2024'!$G$6:$G$1413,'февраль 2024'!$D$6:$D$1413,$B199,'февраль 2024'!$J$6:$J$1413,H$1)</f>
        <v>0</v>
      </c>
      <c r="I199" s="80">
        <f>SUMIFS('февраль 2024'!$G$6:$G$1413,'февраль 2024'!$D$6:$D$1413,$B199,'февраль 2024'!$J$6:$J$1413,I$1)</f>
        <v>0</v>
      </c>
      <c r="J199" s="80">
        <f>SUMIFS('февраль 2024'!$G$6:$G$1413,'февраль 2024'!$D$6:$D$1413,$B199,'февраль 2024'!$J$6:$J$1413,J$1)</f>
        <v>0</v>
      </c>
      <c r="K199" s="80">
        <f>SUMIFS('февраль 2024'!$G$6:$G$1413,'февраль 2024'!$D$6:$D$1413,$B199,'февраль 2024'!$J$6:$J$1413,K$1)</f>
        <v>0</v>
      </c>
      <c r="L199" s="80">
        <f>SUMIFS('февраль 2024'!$G$6:$G$1413,'февраль 2024'!$D$6:$D$1413,$B199,'февраль 2024'!$J$6:$J$1413,L$1)</f>
        <v>0</v>
      </c>
      <c r="M199" s="80">
        <f>SUMIFS('февраль 2024'!$G$6:$G$1413,'февраль 2024'!$D$6:$D$1413,$B199,'февраль 2024'!$J$6:$J$1413,M$1)</f>
        <v>0</v>
      </c>
      <c r="N199" s="80">
        <f>SUMIFS('февраль 2024'!$G$6:$G$1413,'февраль 2024'!$D$6:$D$1413,$B199,'февраль 2024'!$J$6:$J$1413,N$1)</f>
        <v>0</v>
      </c>
      <c r="O199" s="80">
        <f>SUMIFS('февраль 2024'!$G$6:$G$1413,'февраль 2024'!$D$6:$D$1413,$B199,'февраль 2024'!$J$6:$J$1413,O$1)</f>
        <v>0</v>
      </c>
      <c r="P199" s="80">
        <f>SUMIFS('февраль 2024'!$G$6:$G$1413,'февраль 2024'!$D$6:$D$1413,$B199,'февраль 2024'!$J$6:$J$1413,P$1)</f>
        <v>0</v>
      </c>
      <c r="Q199" s="80">
        <f>SUMIFS('февраль 2024'!$G$6:$G$1413,'февраль 2024'!$D$6:$D$1413,$B199,'февраль 2024'!$J$6:$J$1413,Q$1)</f>
        <v>0</v>
      </c>
      <c r="R199" s="80">
        <f>SUMIFS('февраль 2024'!$G$6:$G$1413,'февраль 2024'!$D$6:$D$1413,$B199,'февраль 2024'!$J$6:$J$1413,R$1)</f>
        <v>0</v>
      </c>
      <c r="S199" s="80">
        <f>SUMIFS('февраль 2024'!$G$6:$G$1413,'февраль 2024'!$D$6:$D$1413,$B199,'февраль 2024'!$J$6:$J$1413,S$1)</f>
        <v>0</v>
      </c>
      <c r="T199" s="80">
        <f>SUMIFS('февраль 2024'!$G$6:$G$1413,'февраль 2024'!$D$6:$D$1413,$B199,'февраль 2024'!$J$6:$J$1413,T$1)</f>
        <v>0</v>
      </c>
      <c r="U199" s="80">
        <f>SUMIFS('февраль 2024'!$G$6:$G$1413,'февраль 2024'!$D$6:$D$1413,$B199,'февраль 2024'!$J$6:$J$1413,U$1)</f>
        <v>0</v>
      </c>
      <c r="V199" s="80">
        <f>SUMIFS('февраль 2024'!$G$6:$G$1413,'февраль 2024'!$D$6:$D$1413,$B199,'февраль 2024'!$J$6:$J$1413,V$1)</f>
        <v>0</v>
      </c>
      <c r="W199" s="80">
        <f>SUMIFS('февраль 2024'!$G$6:$G$1413,'февраль 2024'!$D$6:$D$1413,$B199,'февраль 2024'!$J$6:$J$1413,W$1)</f>
        <v>0</v>
      </c>
      <c r="X199" s="80">
        <f>SUMIFS('февраль 2024'!$G$6:$G$1413,'февраль 2024'!$D$6:$D$1413,$B199,'февраль 2024'!$J$6:$J$1413,X$1)</f>
        <v>0</v>
      </c>
      <c r="Y199" s="80">
        <f>SUMIFS('февраль 2024'!$G$6:$G$1413,'февраль 2024'!$D$6:$D$1413,$B199,'февраль 2024'!$J$6:$J$1413,Y$1)</f>
        <v>0</v>
      </c>
      <c r="Z199" s="80">
        <f>SUMIFS('февраль 2024'!$G$6:$G$1413,'февраль 2024'!$D$6:$D$1413,$B199,'февраль 2024'!$J$6:$J$1413,Z$1)</f>
        <v>0</v>
      </c>
      <c r="AA199" s="80">
        <f>SUMIFS('февраль 2024'!$G$6:$G$1413,'февраль 2024'!$D$6:$D$1413,$B199,'февраль 2024'!$J$6:$J$1413,AA$1)</f>
        <v>0</v>
      </c>
      <c r="AB199" s="80">
        <f>SUMIFS('февраль 2024'!$G$6:$G$1413,'февраль 2024'!$D$6:$D$1413,$B199,'февраль 2024'!$J$6:$J$1413,AB$1)</f>
        <v>0</v>
      </c>
      <c r="AC199" s="80">
        <f>SUMIFS('февраль 2024'!$G$6:$G$1413,'февраль 2024'!$D$6:$D$1413,$B199,'февраль 2024'!$J$6:$J$1413,AC$1)</f>
        <v>0</v>
      </c>
      <c r="AD199" s="80">
        <f>SUMIFS('февраль 2024'!$G$6:$G$1413,'февраль 2024'!$D$6:$D$1413,$B199,'февраль 2024'!$J$6:$J$1413,AD$1)</f>
        <v>0</v>
      </c>
      <c r="AE199" s="80">
        <f>SUMIFS('февраль 2024'!$G$6:$G$1413,'февраль 2024'!$D$6:$D$1413,$B199,'февраль 2024'!$J$6:$J$1413,AE$1)</f>
        <v>0</v>
      </c>
      <c r="AF199" s="80">
        <f>SUMIFS('февраль 2024'!$G$6:$G$1413,'февраль 2024'!$D$6:$D$1413,$B199,'февраль 2024'!$J$6:$J$1413,AF$1)</f>
        <v>0</v>
      </c>
      <c r="AG199" s="80">
        <f>SUMIFS('февраль 2024'!$G$6:$G$1413,'февраль 2024'!$D$6:$D$1413,$B199,'февраль 2024'!$J$6:$J$1413,AG$1)</f>
        <v>0</v>
      </c>
      <c r="AH199" s="80">
        <f>SUMIFS('февраль 2024'!$G$6:$G$1413,'февраль 2024'!$D$6:$D$1413,$B199,'февраль 2024'!$J$6:$J$1413,AH$1)</f>
        <v>0</v>
      </c>
      <c r="AI199" s="87"/>
    </row>
    <row r="200" spans="2:35" ht="15" hidden="1" customHeight="1" x14ac:dyDescent="0.25">
      <c r="B200" s="89"/>
      <c r="C200" s="88"/>
      <c r="D200" s="80">
        <f>SUMIFS('февраль 2024'!$G$6:$G$1413,'февраль 2024'!$D$6:$D$1413,$B200,'февраль 2024'!$J$6:$J$1413,D$1)</f>
        <v>0</v>
      </c>
      <c r="E200" s="80">
        <f>SUMIFS('февраль 2024'!$G$6:$G$1413,'февраль 2024'!$D$6:$D$1413,$B200,'февраль 2024'!$J$6:$J$1413,E$1)</f>
        <v>0</v>
      </c>
      <c r="F200" s="80">
        <f>SUMIFS('февраль 2024'!$G$6:$G$1413,'февраль 2024'!$D$6:$D$1413,$B200,'февраль 2024'!$J$6:$J$1413,F$1)</f>
        <v>0</v>
      </c>
      <c r="G200" s="80">
        <f>SUMIFS('февраль 2024'!$G$6:$G$1413,'февраль 2024'!$D$6:$D$1413,$B200,'февраль 2024'!$J$6:$J$1413,G$1)</f>
        <v>0</v>
      </c>
      <c r="H200" s="80">
        <f>SUMIFS('февраль 2024'!$G$6:$G$1413,'февраль 2024'!$D$6:$D$1413,$B200,'февраль 2024'!$J$6:$J$1413,H$1)</f>
        <v>0</v>
      </c>
      <c r="I200" s="80">
        <f>SUMIFS('февраль 2024'!$G$6:$G$1413,'февраль 2024'!$D$6:$D$1413,$B200,'февраль 2024'!$J$6:$J$1413,I$1)</f>
        <v>0</v>
      </c>
      <c r="J200" s="80">
        <f>SUMIFS('февраль 2024'!$G$6:$G$1413,'февраль 2024'!$D$6:$D$1413,$B200,'февраль 2024'!$J$6:$J$1413,J$1)</f>
        <v>0</v>
      </c>
      <c r="K200" s="80">
        <f>SUMIFS('февраль 2024'!$G$6:$G$1413,'февраль 2024'!$D$6:$D$1413,$B200,'февраль 2024'!$J$6:$J$1413,K$1)</f>
        <v>0</v>
      </c>
      <c r="L200" s="80">
        <f>SUMIFS('февраль 2024'!$G$6:$G$1413,'февраль 2024'!$D$6:$D$1413,$B200,'февраль 2024'!$J$6:$J$1413,L$1)</f>
        <v>0</v>
      </c>
      <c r="M200" s="80">
        <f>SUMIFS('февраль 2024'!$G$6:$G$1413,'февраль 2024'!$D$6:$D$1413,$B200,'февраль 2024'!$J$6:$J$1413,M$1)</f>
        <v>0</v>
      </c>
      <c r="N200" s="80">
        <f>SUMIFS('февраль 2024'!$G$6:$G$1413,'февраль 2024'!$D$6:$D$1413,$B200,'февраль 2024'!$J$6:$J$1413,N$1)</f>
        <v>0</v>
      </c>
      <c r="O200" s="80">
        <f>SUMIFS('февраль 2024'!$G$6:$G$1413,'февраль 2024'!$D$6:$D$1413,$B200,'февраль 2024'!$J$6:$J$1413,O$1)</f>
        <v>0</v>
      </c>
      <c r="P200" s="80">
        <f>SUMIFS('февраль 2024'!$G$6:$G$1413,'февраль 2024'!$D$6:$D$1413,$B200,'февраль 2024'!$J$6:$J$1413,P$1)</f>
        <v>0</v>
      </c>
      <c r="Q200" s="80">
        <f>SUMIFS('февраль 2024'!$G$6:$G$1413,'февраль 2024'!$D$6:$D$1413,$B200,'февраль 2024'!$J$6:$J$1413,Q$1)</f>
        <v>0</v>
      </c>
      <c r="R200" s="80">
        <f>SUMIFS('февраль 2024'!$G$6:$G$1413,'февраль 2024'!$D$6:$D$1413,$B200,'февраль 2024'!$J$6:$J$1413,R$1)</f>
        <v>0</v>
      </c>
      <c r="S200" s="80">
        <f>SUMIFS('февраль 2024'!$G$6:$G$1413,'февраль 2024'!$D$6:$D$1413,$B200,'февраль 2024'!$J$6:$J$1413,S$1)</f>
        <v>0</v>
      </c>
      <c r="T200" s="80">
        <f>SUMIFS('февраль 2024'!$G$6:$G$1413,'февраль 2024'!$D$6:$D$1413,$B200,'февраль 2024'!$J$6:$J$1413,T$1)</f>
        <v>0</v>
      </c>
      <c r="U200" s="80">
        <f>SUMIFS('февраль 2024'!$G$6:$G$1413,'февраль 2024'!$D$6:$D$1413,$B200,'февраль 2024'!$J$6:$J$1413,U$1)</f>
        <v>0</v>
      </c>
      <c r="V200" s="80">
        <f>SUMIFS('февраль 2024'!$G$6:$G$1413,'февраль 2024'!$D$6:$D$1413,$B200,'февраль 2024'!$J$6:$J$1413,V$1)</f>
        <v>0</v>
      </c>
      <c r="W200" s="80">
        <f>SUMIFS('февраль 2024'!$G$6:$G$1413,'февраль 2024'!$D$6:$D$1413,$B200,'февраль 2024'!$J$6:$J$1413,W$1)</f>
        <v>0</v>
      </c>
      <c r="X200" s="80">
        <f>SUMIFS('февраль 2024'!$G$6:$G$1413,'февраль 2024'!$D$6:$D$1413,$B200,'февраль 2024'!$J$6:$J$1413,X$1)</f>
        <v>0</v>
      </c>
      <c r="Y200" s="80">
        <f>SUMIFS('февраль 2024'!$G$6:$G$1413,'февраль 2024'!$D$6:$D$1413,$B200,'февраль 2024'!$J$6:$J$1413,Y$1)</f>
        <v>0</v>
      </c>
      <c r="Z200" s="80">
        <f>SUMIFS('февраль 2024'!$G$6:$G$1413,'февраль 2024'!$D$6:$D$1413,$B200,'февраль 2024'!$J$6:$J$1413,Z$1)</f>
        <v>0</v>
      </c>
      <c r="AA200" s="80">
        <f>SUMIFS('февраль 2024'!$G$6:$G$1413,'февраль 2024'!$D$6:$D$1413,$B200,'февраль 2024'!$J$6:$J$1413,AA$1)</f>
        <v>0</v>
      </c>
      <c r="AB200" s="80">
        <f>SUMIFS('февраль 2024'!$G$6:$G$1413,'февраль 2024'!$D$6:$D$1413,$B200,'февраль 2024'!$J$6:$J$1413,AB$1)</f>
        <v>0</v>
      </c>
      <c r="AC200" s="80">
        <f>SUMIFS('февраль 2024'!$G$6:$G$1413,'февраль 2024'!$D$6:$D$1413,$B200,'февраль 2024'!$J$6:$J$1413,AC$1)</f>
        <v>0</v>
      </c>
      <c r="AD200" s="80">
        <f>SUMIFS('февраль 2024'!$G$6:$G$1413,'февраль 2024'!$D$6:$D$1413,$B200,'февраль 2024'!$J$6:$J$1413,AD$1)</f>
        <v>0</v>
      </c>
      <c r="AE200" s="80">
        <f>SUMIFS('февраль 2024'!$G$6:$G$1413,'февраль 2024'!$D$6:$D$1413,$B200,'февраль 2024'!$J$6:$J$1413,AE$1)</f>
        <v>0</v>
      </c>
      <c r="AF200" s="80">
        <f>SUMIFS('февраль 2024'!$G$6:$G$1413,'февраль 2024'!$D$6:$D$1413,$B200,'февраль 2024'!$J$6:$J$1413,AF$1)</f>
        <v>0</v>
      </c>
      <c r="AG200" s="80">
        <f>SUMIFS('февраль 2024'!$G$6:$G$1413,'февраль 2024'!$D$6:$D$1413,$B200,'февраль 2024'!$J$6:$J$1413,AG$1)</f>
        <v>0</v>
      </c>
      <c r="AH200" s="80">
        <f>SUMIFS('февраль 2024'!$G$6:$G$1413,'февраль 2024'!$D$6:$D$1413,$B200,'февраль 2024'!$J$6:$J$1413,AH$1)</f>
        <v>0</v>
      </c>
      <c r="AI200" s="87"/>
    </row>
    <row r="201" spans="2:35" ht="15" hidden="1" customHeight="1" x14ac:dyDescent="0.25">
      <c r="B201" s="89"/>
      <c r="C201" s="88"/>
      <c r="D201" s="80">
        <f>SUMIFS('февраль 2024'!$G$6:$G$1413,'февраль 2024'!$D$6:$D$1413,$B201,'февраль 2024'!$J$6:$J$1413,D$1)</f>
        <v>0</v>
      </c>
      <c r="E201" s="80">
        <f>SUMIFS('февраль 2024'!$G$6:$G$1413,'февраль 2024'!$D$6:$D$1413,$B201,'февраль 2024'!$J$6:$J$1413,E$1)</f>
        <v>0</v>
      </c>
      <c r="F201" s="80">
        <f>SUMIFS('февраль 2024'!$G$6:$G$1413,'февраль 2024'!$D$6:$D$1413,$B201,'февраль 2024'!$J$6:$J$1413,F$1)</f>
        <v>0</v>
      </c>
      <c r="G201" s="80">
        <f>SUMIFS('февраль 2024'!$G$6:$G$1413,'февраль 2024'!$D$6:$D$1413,$B201,'февраль 2024'!$J$6:$J$1413,G$1)</f>
        <v>0</v>
      </c>
      <c r="H201" s="80">
        <f>SUMIFS('февраль 2024'!$G$6:$G$1413,'февраль 2024'!$D$6:$D$1413,$B201,'февраль 2024'!$J$6:$J$1413,H$1)</f>
        <v>0</v>
      </c>
      <c r="I201" s="80">
        <f>SUMIFS('февраль 2024'!$G$6:$G$1413,'февраль 2024'!$D$6:$D$1413,$B201,'февраль 2024'!$J$6:$J$1413,I$1)</f>
        <v>0</v>
      </c>
      <c r="J201" s="80">
        <f>SUMIFS('февраль 2024'!$G$6:$G$1413,'февраль 2024'!$D$6:$D$1413,$B201,'февраль 2024'!$J$6:$J$1413,J$1)</f>
        <v>0</v>
      </c>
      <c r="K201" s="80">
        <f>SUMIFS('февраль 2024'!$G$6:$G$1413,'февраль 2024'!$D$6:$D$1413,$B201,'февраль 2024'!$J$6:$J$1413,K$1)</f>
        <v>0</v>
      </c>
      <c r="L201" s="80">
        <f>SUMIFS('февраль 2024'!$G$6:$G$1413,'февраль 2024'!$D$6:$D$1413,$B201,'февраль 2024'!$J$6:$J$1413,L$1)</f>
        <v>0</v>
      </c>
      <c r="M201" s="80">
        <f>SUMIFS('февраль 2024'!$G$6:$G$1413,'февраль 2024'!$D$6:$D$1413,$B201,'февраль 2024'!$J$6:$J$1413,M$1)</f>
        <v>0</v>
      </c>
      <c r="N201" s="80">
        <f>SUMIFS('февраль 2024'!$G$6:$G$1413,'февраль 2024'!$D$6:$D$1413,$B201,'февраль 2024'!$J$6:$J$1413,N$1)</f>
        <v>0</v>
      </c>
      <c r="O201" s="80">
        <f>SUMIFS('февраль 2024'!$G$6:$G$1413,'февраль 2024'!$D$6:$D$1413,$B201,'февраль 2024'!$J$6:$J$1413,O$1)</f>
        <v>0</v>
      </c>
      <c r="P201" s="80">
        <f>SUMIFS('февраль 2024'!$G$6:$G$1413,'февраль 2024'!$D$6:$D$1413,$B201,'февраль 2024'!$J$6:$J$1413,P$1)</f>
        <v>0</v>
      </c>
      <c r="Q201" s="80">
        <f>SUMIFS('февраль 2024'!$G$6:$G$1413,'февраль 2024'!$D$6:$D$1413,$B201,'февраль 2024'!$J$6:$J$1413,Q$1)</f>
        <v>0</v>
      </c>
      <c r="R201" s="80">
        <f>SUMIFS('февраль 2024'!$G$6:$G$1413,'февраль 2024'!$D$6:$D$1413,$B201,'февраль 2024'!$J$6:$J$1413,R$1)</f>
        <v>0</v>
      </c>
      <c r="S201" s="80">
        <f>SUMIFS('февраль 2024'!$G$6:$G$1413,'февраль 2024'!$D$6:$D$1413,$B201,'февраль 2024'!$J$6:$J$1413,S$1)</f>
        <v>0</v>
      </c>
      <c r="T201" s="80">
        <f>SUMIFS('февраль 2024'!$G$6:$G$1413,'февраль 2024'!$D$6:$D$1413,$B201,'февраль 2024'!$J$6:$J$1413,T$1)</f>
        <v>0</v>
      </c>
      <c r="U201" s="80">
        <f>SUMIFS('февраль 2024'!$G$6:$G$1413,'февраль 2024'!$D$6:$D$1413,$B201,'февраль 2024'!$J$6:$J$1413,U$1)</f>
        <v>0</v>
      </c>
      <c r="V201" s="80">
        <f>SUMIFS('февраль 2024'!$G$6:$G$1413,'февраль 2024'!$D$6:$D$1413,$B201,'февраль 2024'!$J$6:$J$1413,V$1)</f>
        <v>0</v>
      </c>
      <c r="W201" s="80">
        <f>SUMIFS('февраль 2024'!$G$6:$G$1413,'февраль 2024'!$D$6:$D$1413,$B201,'февраль 2024'!$J$6:$J$1413,W$1)</f>
        <v>0</v>
      </c>
      <c r="X201" s="80">
        <f>SUMIFS('февраль 2024'!$G$6:$G$1413,'февраль 2024'!$D$6:$D$1413,$B201,'февраль 2024'!$J$6:$J$1413,X$1)</f>
        <v>0</v>
      </c>
      <c r="Y201" s="80">
        <f>SUMIFS('февраль 2024'!$G$6:$G$1413,'февраль 2024'!$D$6:$D$1413,$B201,'февраль 2024'!$J$6:$J$1413,Y$1)</f>
        <v>0</v>
      </c>
      <c r="Z201" s="80">
        <f>SUMIFS('февраль 2024'!$G$6:$G$1413,'февраль 2024'!$D$6:$D$1413,$B201,'февраль 2024'!$J$6:$J$1413,Z$1)</f>
        <v>0</v>
      </c>
      <c r="AA201" s="80">
        <f>SUMIFS('февраль 2024'!$G$6:$G$1413,'февраль 2024'!$D$6:$D$1413,$B201,'февраль 2024'!$J$6:$J$1413,AA$1)</f>
        <v>0</v>
      </c>
      <c r="AB201" s="80">
        <f>SUMIFS('февраль 2024'!$G$6:$G$1413,'февраль 2024'!$D$6:$D$1413,$B201,'февраль 2024'!$J$6:$J$1413,AB$1)</f>
        <v>0</v>
      </c>
      <c r="AC201" s="80">
        <f>SUMIFS('февраль 2024'!$G$6:$G$1413,'февраль 2024'!$D$6:$D$1413,$B201,'февраль 2024'!$J$6:$J$1413,AC$1)</f>
        <v>0</v>
      </c>
      <c r="AD201" s="80">
        <f>SUMIFS('февраль 2024'!$G$6:$G$1413,'февраль 2024'!$D$6:$D$1413,$B201,'февраль 2024'!$J$6:$J$1413,AD$1)</f>
        <v>0</v>
      </c>
      <c r="AE201" s="80">
        <f>SUMIFS('февраль 2024'!$G$6:$G$1413,'февраль 2024'!$D$6:$D$1413,$B201,'февраль 2024'!$J$6:$J$1413,AE$1)</f>
        <v>0</v>
      </c>
      <c r="AF201" s="80">
        <f>SUMIFS('февраль 2024'!$G$6:$G$1413,'февраль 2024'!$D$6:$D$1413,$B201,'февраль 2024'!$J$6:$J$1413,AF$1)</f>
        <v>0</v>
      </c>
      <c r="AG201" s="80">
        <f>SUMIFS('февраль 2024'!$G$6:$G$1413,'февраль 2024'!$D$6:$D$1413,$B201,'февраль 2024'!$J$6:$J$1413,AG$1)</f>
        <v>0</v>
      </c>
      <c r="AH201" s="80">
        <f>SUMIFS('февраль 2024'!$G$6:$G$1413,'февраль 2024'!$D$6:$D$1413,$B201,'февраль 2024'!$J$6:$J$1413,AH$1)</f>
        <v>0</v>
      </c>
      <c r="AI201" s="87"/>
    </row>
    <row r="202" spans="2:35" ht="15" hidden="1" customHeight="1" x14ac:dyDescent="0.25">
      <c r="B202" s="89"/>
      <c r="C202" s="88"/>
      <c r="D202" s="80">
        <f>SUMIFS('февраль 2024'!$G$6:$G$1413,'февраль 2024'!$D$6:$D$1413,$B202,'февраль 2024'!$J$6:$J$1413,D$1)</f>
        <v>0</v>
      </c>
      <c r="E202" s="80">
        <f>SUMIFS('февраль 2024'!$G$6:$G$1413,'февраль 2024'!$D$6:$D$1413,$B202,'февраль 2024'!$J$6:$J$1413,E$1)</f>
        <v>0</v>
      </c>
      <c r="F202" s="80">
        <f>SUMIFS('февраль 2024'!$G$6:$G$1413,'февраль 2024'!$D$6:$D$1413,$B202,'февраль 2024'!$J$6:$J$1413,F$1)</f>
        <v>0</v>
      </c>
      <c r="G202" s="80">
        <f>SUMIFS('февраль 2024'!$G$6:$G$1413,'февраль 2024'!$D$6:$D$1413,$B202,'февраль 2024'!$J$6:$J$1413,G$1)</f>
        <v>0</v>
      </c>
      <c r="H202" s="80">
        <f>SUMIFS('февраль 2024'!$G$6:$G$1413,'февраль 2024'!$D$6:$D$1413,$B202,'февраль 2024'!$J$6:$J$1413,H$1)</f>
        <v>0</v>
      </c>
      <c r="I202" s="80">
        <f>SUMIFS('февраль 2024'!$G$6:$G$1413,'февраль 2024'!$D$6:$D$1413,$B202,'февраль 2024'!$J$6:$J$1413,I$1)</f>
        <v>0</v>
      </c>
      <c r="J202" s="80">
        <f>SUMIFS('февраль 2024'!$G$6:$G$1413,'февраль 2024'!$D$6:$D$1413,$B202,'февраль 2024'!$J$6:$J$1413,J$1)</f>
        <v>0</v>
      </c>
      <c r="K202" s="80">
        <f>SUMIFS('февраль 2024'!$G$6:$G$1413,'февраль 2024'!$D$6:$D$1413,$B202,'февраль 2024'!$J$6:$J$1413,K$1)</f>
        <v>0</v>
      </c>
      <c r="L202" s="80">
        <f>SUMIFS('февраль 2024'!$G$6:$G$1413,'февраль 2024'!$D$6:$D$1413,$B202,'февраль 2024'!$J$6:$J$1413,L$1)</f>
        <v>0</v>
      </c>
      <c r="M202" s="80">
        <f>SUMIFS('февраль 2024'!$G$6:$G$1413,'февраль 2024'!$D$6:$D$1413,$B202,'февраль 2024'!$J$6:$J$1413,M$1)</f>
        <v>0</v>
      </c>
      <c r="N202" s="80">
        <f>SUMIFS('февраль 2024'!$G$6:$G$1413,'февраль 2024'!$D$6:$D$1413,$B202,'февраль 2024'!$J$6:$J$1413,N$1)</f>
        <v>0</v>
      </c>
      <c r="O202" s="80">
        <f>SUMIFS('февраль 2024'!$G$6:$G$1413,'февраль 2024'!$D$6:$D$1413,$B202,'февраль 2024'!$J$6:$J$1413,O$1)</f>
        <v>0</v>
      </c>
      <c r="P202" s="80">
        <f>SUMIFS('февраль 2024'!$G$6:$G$1413,'февраль 2024'!$D$6:$D$1413,$B202,'февраль 2024'!$J$6:$J$1413,P$1)</f>
        <v>0</v>
      </c>
      <c r="Q202" s="80">
        <f>SUMIFS('февраль 2024'!$G$6:$G$1413,'февраль 2024'!$D$6:$D$1413,$B202,'февраль 2024'!$J$6:$J$1413,Q$1)</f>
        <v>0</v>
      </c>
      <c r="R202" s="80">
        <f>SUMIFS('февраль 2024'!$G$6:$G$1413,'февраль 2024'!$D$6:$D$1413,$B202,'февраль 2024'!$J$6:$J$1413,R$1)</f>
        <v>0</v>
      </c>
      <c r="S202" s="80">
        <f>SUMIFS('февраль 2024'!$G$6:$G$1413,'февраль 2024'!$D$6:$D$1413,$B202,'февраль 2024'!$J$6:$J$1413,S$1)</f>
        <v>0</v>
      </c>
      <c r="T202" s="80">
        <f>SUMIFS('февраль 2024'!$G$6:$G$1413,'февраль 2024'!$D$6:$D$1413,$B202,'февраль 2024'!$J$6:$J$1413,T$1)</f>
        <v>0</v>
      </c>
      <c r="U202" s="80">
        <f>SUMIFS('февраль 2024'!$G$6:$G$1413,'февраль 2024'!$D$6:$D$1413,$B202,'февраль 2024'!$J$6:$J$1413,U$1)</f>
        <v>0</v>
      </c>
      <c r="V202" s="80">
        <f>SUMIFS('февраль 2024'!$G$6:$G$1413,'февраль 2024'!$D$6:$D$1413,$B202,'февраль 2024'!$J$6:$J$1413,V$1)</f>
        <v>0</v>
      </c>
      <c r="W202" s="80">
        <f>SUMIFS('февраль 2024'!$G$6:$G$1413,'февраль 2024'!$D$6:$D$1413,$B202,'февраль 2024'!$J$6:$J$1413,W$1)</f>
        <v>0</v>
      </c>
      <c r="X202" s="80">
        <f>SUMIFS('февраль 2024'!$G$6:$G$1413,'февраль 2024'!$D$6:$D$1413,$B202,'февраль 2024'!$J$6:$J$1413,X$1)</f>
        <v>0</v>
      </c>
      <c r="Y202" s="80">
        <f>SUMIFS('февраль 2024'!$G$6:$G$1413,'февраль 2024'!$D$6:$D$1413,$B202,'февраль 2024'!$J$6:$J$1413,Y$1)</f>
        <v>0</v>
      </c>
      <c r="Z202" s="80">
        <f>SUMIFS('февраль 2024'!$G$6:$G$1413,'февраль 2024'!$D$6:$D$1413,$B202,'февраль 2024'!$J$6:$J$1413,Z$1)</f>
        <v>0</v>
      </c>
      <c r="AA202" s="80">
        <f>SUMIFS('февраль 2024'!$G$6:$G$1413,'февраль 2024'!$D$6:$D$1413,$B202,'февраль 2024'!$J$6:$J$1413,AA$1)</f>
        <v>0</v>
      </c>
      <c r="AB202" s="80">
        <f>SUMIFS('февраль 2024'!$G$6:$G$1413,'февраль 2024'!$D$6:$D$1413,$B202,'февраль 2024'!$J$6:$J$1413,AB$1)</f>
        <v>0</v>
      </c>
      <c r="AC202" s="80">
        <f>SUMIFS('февраль 2024'!$G$6:$G$1413,'февраль 2024'!$D$6:$D$1413,$B202,'февраль 2024'!$J$6:$J$1413,AC$1)</f>
        <v>0</v>
      </c>
      <c r="AD202" s="80">
        <f>SUMIFS('февраль 2024'!$G$6:$G$1413,'февраль 2024'!$D$6:$D$1413,$B202,'февраль 2024'!$J$6:$J$1413,AD$1)</f>
        <v>0</v>
      </c>
      <c r="AE202" s="80">
        <f>SUMIFS('февраль 2024'!$G$6:$G$1413,'февраль 2024'!$D$6:$D$1413,$B202,'февраль 2024'!$J$6:$J$1413,AE$1)</f>
        <v>0</v>
      </c>
      <c r="AF202" s="80">
        <f>SUMIFS('февраль 2024'!$G$6:$G$1413,'февраль 2024'!$D$6:$D$1413,$B202,'февраль 2024'!$J$6:$J$1413,AF$1)</f>
        <v>0</v>
      </c>
      <c r="AG202" s="80">
        <f>SUMIFS('февраль 2024'!$G$6:$G$1413,'февраль 2024'!$D$6:$D$1413,$B202,'февраль 2024'!$J$6:$J$1413,AG$1)</f>
        <v>0</v>
      </c>
      <c r="AH202" s="80">
        <f>SUMIFS('февраль 2024'!$G$6:$G$1413,'февраль 2024'!$D$6:$D$1413,$B202,'февраль 2024'!$J$6:$J$1413,AH$1)</f>
        <v>0</v>
      </c>
      <c r="AI202" s="87"/>
    </row>
    <row r="203" spans="2:35" ht="15" hidden="1" customHeight="1" x14ac:dyDescent="0.25">
      <c r="B203" s="89"/>
      <c r="C203" s="88"/>
      <c r="D203" s="80">
        <f>SUMIFS('февраль 2024'!$G$6:$G$1413,'февраль 2024'!$D$6:$D$1413,$B203,'февраль 2024'!$J$6:$J$1413,D$1)</f>
        <v>0</v>
      </c>
      <c r="E203" s="80">
        <f>SUMIFS('февраль 2024'!$G$6:$G$1413,'февраль 2024'!$D$6:$D$1413,$B203,'февраль 2024'!$J$6:$J$1413,E$1)</f>
        <v>0</v>
      </c>
      <c r="F203" s="80">
        <f>SUMIFS('февраль 2024'!$G$6:$G$1413,'февраль 2024'!$D$6:$D$1413,$B203,'февраль 2024'!$J$6:$J$1413,F$1)</f>
        <v>0</v>
      </c>
      <c r="G203" s="80">
        <f>SUMIFS('февраль 2024'!$G$6:$G$1413,'февраль 2024'!$D$6:$D$1413,$B203,'февраль 2024'!$J$6:$J$1413,G$1)</f>
        <v>0</v>
      </c>
      <c r="H203" s="80">
        <f>SUMIFS('февраль 2024'!$G$6:$G$1413,'февраль 2024'!$D$6:$D$1413,$B203,'февраль 2024'!$J$6:$J$1413,H$1)</f>
        <v>0</v>
      </c>
      <c r="I203" s="80">
        <f>SUMIFS('февраль 2024'!$G$6:$G$1413,'февраль 2024'!$D$6:$D$1413,$B203,'февраль 2024'!$J$6:$J$1413,I$1)</f>
        <v>0</v>
      </c>
      <c r="J203" s="80">
        <f>SUMIFS('февраль 2024'!$G$6:$G$1413,'февраль 2024'!$D$6:$D$1413,$B203,'февраль 2024'!$J$6:$J$1413,J$1)</f>
        <v>0</v>
      </c>
      <c r="K203" s="80">
        <f>SUMIFS('февраль 2024'!$G$6:$G$1413,'февраль 2024'!$D$6:$D$1413,$B203,'февраль 2024'!$J$6:$J$1413,K$1)</f>
        <v>0</v>
      </c>
      <c r="L203" s="80">
        <f>SUMIFS('февраль 2024'!$G$6:$G$1413,'февраль 2024'!$D$6:$D$1413,$B203,'февраль 2024'!$J$6:$J$1413,L$1)</f>
        <v>0</v>
      </c>
      <c r="M203" s="80">
        <f>SUMIFS('февраль 2024'!$G$6:$G$1413,'февраль 2024'!$D$6:$D$1413,$B203,'февраль 2024'!$J$6:$J$1413,M$1)</f>
        <v>0</v>
      </c>
      <c r="N203" s="80">
        <f>SUMIFS('февраль 2024'!$G$6:$G$1413,'февраль 2024'!$D$6:$D$1413,$B203,'февраль 2024'!$J$6:$J$1413,N$1)</f>
        <v>0</v>
      </c>
      <c r="O203" s="80">
        <f>SUMIFS('февраль 2024'!$G$6:$G$1413,'февраль 2024'!$D$6:$D$1413,$B203,'февраль 2024'!$J$6:$J$1413,O$1)</f>
        <v>0</v>
      </c>
      <c r="P203" s="80">
        <f>SUMIFS('февраль 2024'!$G$6:$G$1413,'февраль 2024'!$D$6:$D$1413,$B203,'февраль 2024'!$J$6:$J$1413,P$1)</f>
        <v>0</v>
      </c>
      <c r="Q203" s="80">
        <f>SUMIFS('февраль 2024'!$G$6:$G$1413,'февраль 2024'!$D$6:$D$1413,$B203,'февраль 2024'!$J$6:$J$1413,Q$1)</f>
        <v>0</v>
      </c>
      <c r="R203" s="80">
        <f>SUMIFS('февраль 2024'!$G$6:$G$1413,'февраль 2024'!$D$6:$D$1413,$B203,'февраль 2024'!$J$6:$J$1413,R$1)</f>
        <v>0</v>
      </c>
      <c r="S203" s="80">
        <f>SUMIFS('февраль 2024'!$G$6:$G$1413,'февраль 2024'!$D$6:$D$1413,$B203,'февраль 2024'!$J$6:$J$1413,S$1)</f>
        <v>0</v>
      </c>
      <c r="T203" s="80">
        <f>SUMIFS('февраль 2024'!$G$6:$G$1413,'февраль 2024'!$D$6:$D$1413,$B203,'февраль 2024'!$J$6:$J$1413,T$1)</f>
        <v>0</v>
      </c>
      <c r="U203" s="80">
        <f>SUMIFS('февраль 2024'!$G$6:$G$1413,'февраль 2024'!$D$6:$D$1413,$B203,'февраль 2024'!$J$6:$J$1413,U$1)</f>
        <v>0</v>
      </c>
      <c r="V203" s="80">
        <f>SUMIFS('февраль 2024'!$G$6:$G$1413,'февраль 2024'!$D$6:$D$1413,$B203,'февраль 2024'!$J$6:$J$1413,V$1)</f>
        <v>0</v>
      </c>
      <c r="W203" s="80">
        <f>SUMIFS('февраль 2024'!$G$6:$G$1413,'февраль 2024'!$D$6:$D$1413,$B203,'февраль 2024'!$J$6:$J$1413,W$1)</f>
        <v>0</v>
      </c>
      <c r="X203" s="80">
        <f>SUMIFS('февраль 2024'!$G$6:$G$1413,'февраль 2024'!$D$6:$D$1413,$B203,'февраль 2024'!$J$6:$J$1413,X$1)</f>
        <v>0</v>
      </c>
      <c r="Y203" s="80">
        <f>SUMIFS('февраль 2024'!$G$6:$G$1413,'февраль 2024'!$D$6:$D$1413,$B203,'февраль 2024'!$J$6:$J$1413,Y$1)</f>
        <v>0</v>
      </c>
      <c r="Z203" s="80">
        <f>SUMIFS('февраль 2024'!$G$6:$G$1413,'февраль 2024'!$D$6:$D$1413,$B203,'февраль 2024'!$J$6:$J$1413,Z$1)</f>
        <v>0</v>
      </c>
      <c r="AA203" s="80">
        <f>SUMIFS('февраль 2024'!$G$6:$G$1413,'февраль 2024'!$D$6:$D$1413,$B203,'февраль 2024'!$J$6:$J$1413,AA$1)</f>
        <v>0</v>
      </c>
      <c r="AB203" s="80">
        <f>SUMIFS('февраль 2024'!$G$6:$G$1413,'февраль 2024'!$D$6:$D$1413,$B203,'февраль 2024'!$J$6:$J$1413,AB$1)</f>
        <v>0</v>
      </c>
      <c r="AC203" s="80">
        <f>SUMIFS('февраль 2024'!$G$6:$G$1413,'февраль 2024'!$D$6:$D$1413,$B203,'февраль 2024'!$J$6:$J$1413,AC$1)</f>
        <v>0</v>
      </c>
      <c r="AD203" s="80">
        <f>SUMIFS('февраль 2024'!$G$6:$G$1413,'февраль 2024'!$D$6:$D$1413,$B203,'февраль 2024'!$J$6:$J$1413,AD$1)</f>
        <v>0</v>
      </c>
      <c r="AE203" s="80">
        <f>SUMIFS('февраль 2024'!$G$6:$G$1413,'февраль 2024'!$D$6:$D$1413,$B203,'февраль 2024'!$J$6:$J$1413,AE$1)</f>
        <v>0</v>
      </c>
      <c r="AF203" s="80">
        <f>SUMIFS('февраль 2024'!$G$6:$G$1413,'февраль 2024'!$D$6:$D$1413,$B203,'февраль 2024'!$J$6:$J$1413,AF$1)</f>
        <v>0</v>
      </c>
      <c r="AG203" s="80">
        <f>SUMIFS('февраль 2024'!$G$6:$G$1413,'февраль 2024'!$D$6:$D$1413,$B203,'февраль 2024'!$J$6:$J$1413,AG$1)</f>
        <v>0</v>
      </c>
      <c r="AH203" s="80">
        <f>SUMIFS('февраль 2024'!$G$6:$G$1413,'февраль 2024'!$D$6:$D$1413,$B203,'февраль 2024'!$J$6:$J$1413,AH$1)</f>
        <v>0</v>
      </c>
      <c r="AI203" s="87"/>
    </row>
    <row r="204" spans="2:35" ht="15" hidden="1" customHeight="1" x14ac:dyDescent="0.25">
      <c r="B204" s="89"/>
      <c r="C204" s="88"/>
      <c r="D204" s="80">
        <f>SUMIFS('февраль 2024'!$G$6:$G$1413,'февраль 2024'!$D$6:$D$1413,$B204,'февраль 2024'!$J$6:$J$1413,D$1)</f>
        <v>0</v>
      </c>
      <c r="E204" s="80">
        <f>SUMIFS('февраль 2024'!$G$6:$G$1413,'февраль 2024'!$D$6:$D$1413,$B204,'февраль 2024'!$J$6:$J$1413,E$1)</f>
        <v>0</v>
      </c>
      <c r="F204" s="80">
        <f>SUMIFS('февраль 2024'!$G$6:$G$1413,'февраль 2024'!$D$6:$D$1413,$B204,'февраль 2024'!$J$6:$J$1413,F$1)</f>
        <v>0</v>
      </c>
      <c r="G204" s="80">
        <f>SUMIFS('февраль 2024'!$G$6:$G$1413,'февраль 2024'!$D$6:$D$1413,$B204,'февраль 2024'!$J$6:$J$1413,G$1)</f>
        <v>0</v>
      </c>
      <c r="H204" s="80">
        <f>SUMIFS('февраль 2024'!$G$6:$G$1413,'февраль 2024'!$D$6:$D$1413,$B204,'февраль 2024'!$J$6:$J$1413,H$1)</f>
        <v>0</v>
      </c>
      <c r="I204" s="80">
        <f>SUMIFS('февраль 2024'!$G$6:$G$1413,'февраль 2024'!$D$6:$D$1413,$B204,'февраль 2024'!$J$6:$J$1413,I$1)</f>
        <v>0</v>
      </c>
      <c r="J204" s="80">
        <f>SUMIFS('февраль 2024'!$G$6:$G$1413,'февраль 2024'!$D$6:$D$1413,$B204,'февраль 2024'!$J$6:$J$1413,J$1)</f>
        <v>0</v>
      </c>
      <c r="K204" s="80">
        <f>SUMIFS('февраль 2024'!$G$6:$G$1413,'февраль 2024'!$D$6:$D$1413,$B204,'февраль 2024'!$J$6:$J$1413,K$1)</f>
        <v>0</v>
      </c>
      <c r="L204" s="80">
        <f>SUMIFS('февраль 2024'!$G$6:$G$1413,'февраль 2024'!$D$6:$D$1413,$B204,'февраль 2024'!$J$6:$J$1413,L$1)</f>
        <v>0</v>
      </c>
      <c r="M204" s="80">
        <f>SUMIFS('февраль 2024'!$G$6:$G$1413,'февраль 2024'!$D$6:$D$1413,$B204,'февраль 2024'!$J$6:$J$1413,M$1)</f>
        <v>0</v>
      </c>
      <c r="N204" s="80">
        <f>SUMIFS('февраль 2024'!$G$6:$G$1413,'февраль 2024'!$D$6:$D$1413,$B204,'февраль 2024'!$J$6:$J$1413,N$1)</f>
        <v>0</v>
      </c>
      <c r="O204" s="80">
        <f>SUMIFS('февраль 2024'!$G$6:$G$1413,'февраль 2024'!$D$6:$D$1413,$B204,'февраль 2024'!$J$6:$J$1413,O$1)</f>
        <v>0</v>
      </c>
      <c r="P204" s="80">
        <f>SUMIFS('февраль 2024'!$G$6:$G$1413,'февраль 2024'!$D$6:$D$1413,$B204,'февраль 2024'!$J$6:$J$1413,P$1)</f>
        <v>0</v>
      </c>
      <c r="Q204" s="80">
        <f>SUMIFS('февраль 2024'!$G$6:$G$1413,'февраль 2024'!$D$6:$D$1413,$B204,'февраль 2024'!$J$6:$J$1413,Q$1)</f>
        <v>0</v>
      </c>
      <c r="R204" s="80">
        <f>SUMIFS('февраль 2024'!$G$6:$G$1413,'февраль 2024'!$D$6:$D$1413,$B204,'февраль 2024'!$J$6:$J$1413,R$1)</f>
        <v>0</v>
      </c>
      <c r="S204" s="80">
        <f>SUMIFS('февраль 2024'!$G$6:$G$1413,'февраль 2024'!$D$6:$D$1413,$B204,'февраль 2024'!$J$6:$J$1413,S$1)</f>
        <v>0</v>
      </c>
      <c r="T204" s="80">
        <f>SUMIFS('февраль 2024'!$G$6:$G$1413,'февраль 2024'!$D$6:$D$1413,$B204,'февраль 2024'!$J$6:$J$1413,T$1)</f>
        <v>0</v>
      </c>
      <c r="U204" s="80">
        <f>SUMIFS('февраль 2024'!$G$6:$G$1413,'февраль 2024'!$D$6:$D$1413,$B204,'февраль 2024'!$J$6:$J$1413,U$1)</f>
        <v>0</v>
      </c>
      <c r="V204" s="80">
        <f>SUMIFS('февраль 2024'!$G$6:$G$1413,'февраль 2024'!$D$6:$D$1413,$B204,'февраль 2024'!$J$6:$J$1413,V$1)</f>
        <v>0</v>
      </c>
      <c r="W204" s="80">
        <f>SUMIFS('февраль 2024'!$G$6:$G$1413,'февраль 2024'!$D$6:$D$1413,$B204,'февраль 2024'!$J$6:$J$1413,W$1)</f>
        <v>0</v>
      </c>
      <c r="X204" s="80">
        <f>SUMIFS('февраль 2024'!$G$6:$G$1413,'февраль 2024'!$D$6:$D$1413,$B204,'февраль 2024'!$J$6:$J$1413,X$1)</f>
        <v>0</v>
      </c>
      <c r="Y204" s="80">
        <f>SUMIFS('февраль 2024'!$G$6:$G$1413,'февраль 2024'!$D$6:$D$1413,$B204,'февраль 2024'!$J$6:$J$1413,Y$1)</f>
        <v>0</v>
      </c>
      <c r="Z204" s="80">
        <f>SUMIFS('февраль 2024'!$G$6:$G$1413,'февраль 2024'!$D$6:$D$1413,$B204,'февраль 2024'!$J$6:$J$1413,Z$1)</f>
        <v>0</v>
      </c>
      <c r="AA204" s="80">
        <f>SUMIFS('февраль 2024'!$G$6:$G$1413,'февраль 2024'!$D$6:$D$1413,$B204,'февраль 2024'!$J$6:$J$1413,AA$1)</f>
        <v>0</v>
      </c>
      <c r="AB204" s="80">
        <f>SUMIFS('февраль 2024'!$G$6:$G$1413,'февраль 2024'!$D$6:$D$1413,$B204,'февраль 2024'!$J$6:$J$1413,AB$1)</f>
        <v>0</v>
      </c>
      <c r="AC204" s="80">
        <f>SUMIFS('февраль 2024'!$G$6:$G$1413,'февраль 2024'!$D$6:$D$1413,$B204,'февраль 2024'!$J$6:$J$1413,AC$1)</f>
        <v>0</v>
      </c>
      <c r="AD204" s="80">
        <f>SUMIFS('февраль 2024'!$G$6:$G$1413,'февраль 2024'!$D$6:$D$1413,$B204,'февраль 2024'!$J$6:$J$1413,AD$1)</f>
        <v>0</v>
      </c>
      <c r="AE204" s="80">
        <f>SUMIFS('февраль 2024'!$G$6:$G$1413,'февраль 2024'!$D$6:$D$1413,$B204,'февраль 2024'!$J$6:$J$1413,AE$1)</f>
        <v>0</v>
      </c>
      <c r="AF204" s="80">
        <f>SUMIFS('февраль 2024'!$G$6:$G$1413,'февраль 2024'!$D$6:$D$1413,$B204,'февраль 2024'!$J$6:$J$1413,AF$1)</f>
        <v>0</v>
      </c>
      <c r="AG204" s="80">
        <f>SUMIFS('февраль 2024'!$G$6:$G$1413,'февраль 2024'!$D$6:$D$1413,$B204,'февраль 2024'!$J$6:$J$1413,AG$1)</f>
        <v>0</v>
      </c>
      <c r="AH204" s="80">
        <f>SUMIFS('февраль 2024'!$G$6:$G$1413,'февраль 2024'!$D$6:$D$1413,$B204,'февраль 2024'!$J$6:$J$1413,AH$1)</f>
        <v>0</v>
      </c>
      <c r="AI204" s="87"/>
    </row>
    <row r="205" spans="2:35" ht="15" hidden="1" customHeight="1" x14ac:dyDescent="0.25">
      <c r="B205" s="89"/>
      <c r="C205" s="88"/>
      <c r="D205" s="80">
        <f>SUMIFS('февраль 2024'!$G$6:$G$1413,'февраль 2024'!$D$6:$D$1413,$B205,'февраль 2024'!$J$6:$J$1413,D$1)</f>
        <v>0</v>
      </c>
      <c r="E205" s="80">
        <f>SUMIFS('февраль 2024'!$G$6:$G$1413,'февраль 2024'!$D$6:$D$1413,$B205,'февраль 2024'!$J$6:$J$1413,E$1)</f>
        <v>0</v>
      </c>
      <c r="F205" s="80">
        <f>SUMIFS('февраль 2024'!$G$6:$G$1413,'февраль 2024'!$D$6:$D$1413,$B205,'февраль 2024'!$J$6:$J$1413,F$1)</f>
        <v>0</v>
      </c>
      <c r="G205" s="80">
        <f>SUMIFS('февраль 2024'!$G$6:$G$1413,'февраль 2024'!$D$6:$D$1413,$B205,'февраль 2024'!$J$6:$J$1413,G$1)</f>
        <v>0</v>
      </c>
      <c r="H205" s="80">
        <f>SUMIFS('февраль 2024'!$G$6:$G$1413,'февраль 2024'!$D$6:$D$1413,$B205,'февраль 2024'!$J$6:$J$1413,H$1)</f>
        <v>0</v>
      </c>
      <c r="I205" s="80">
        <f>SUMIFS('февраль 2024'!$G$6:$G$1413,'февраль 2024'!$D$6:$D$1413,$B205,'февраль 2024'!$J$6:$J$1413,I$1)</f>
        <v>0</v>
      </c>
      <c r="J205" s="80">
        <f>SUMIFS('февраль 2024'!$G$6:$G$1413,'февраль 2024'!$D$6:$D$1413,$B205,'февраль 2024'!$J$6:$J$1413,J$1)</f>
        <v>0</v>
      </c>
      <c r="K205" s="80">
        <f>SUMIFS('февраль 2024'!$G$6:$G$1413,'февраль 2024'!$D$6:$D$1413,$B205,'февраль 2024'!$J$6:$J$1413,K$1)</f>
        <v>0</v>
      </c>
      <c r="L205" s="80">
        <f>SUMIFS('февраль 2024'!$G$6:$G$1413,'февраль 2024'!$D$6:$D$1413,$B205,'февраль 2024'!$J$6:$J$1413,L$1)</f>
        <v>0</v>
      </c>
      <c r="M205" s="80">
        <f>SUMIFS('февраль 2024'!$G$6:$G$1413,'февраль 2024'!$D$6:$D$1413,$B205,'февраль 2024'!$J$6:$J$1413,M$1)</f>
        <v>0</v>
      </c>
      <c r="N205" s="80">
        <f>SUMIFS('февраль 2024'!$G$6:$G$1413,'февраль 2024'!$D$6:$D$1413,$B205,'февраль 2024'!$J$6:$J$1413,N$1)</f>
        <v>0</v>
      </c>
      <c r="O205" s="80">
        <f>SUMIFS('февраль 2024'!$G$6:$G$1413,'февраль 2024'!$D$6:$D$1413,$B205,'февраль 2024'!$J$6:$J$1413,O$1)</f>
        <v>0</v>
      </c>
      <c r="P205" s="80">
        <f>SUMIFS('февраль 2024'!$G$6:$G$1413,'февраль 2024'!$D$6:$D$1413,$B205,'февраль 2024'!$J$6:$J$1413,P$1)</f>
        <v>0</v>
      </c>
      <c r="Q205" s="80">
        <f>SUMIFS('февраль 2024'!$G$6:$G$1413,'февраль 2024'!$D$6:$D$1413,$B205,'февраль 2024'!$J$6:$J$1413,Q$1)</f>
        <v>0</v>
      </c>
      <c r="R205" s="80">
        <f>SUMIFS('февраль 2024'!$G$6:$G$1413,'февраль 2024'!$D$6:$D$1413,$B205,'февраль 2024'!$J$6:$J$1413,R$1)</f>
        <v>0</v>
      </c>
      <c r="S205" s="80">
        <f>SUMIFS('февраль 2024'!$G$6:$G$1413,'февраль 2024'!$D$6:$D$1413,$B205,'февраль 2024'!$J$6:$J$1413,S$1)</f>
        <v>0</v>
      </c>
      <c r="T205" s="80">
        <f>SUMIFS('февраль 2024'!$G$6:$G$1413,'февраль 2024'!$D$6:$D$1413,$B205,'февраль 2024'!$J$6:$J$1413,T$1)</f>
        <v>0</v>
      </c>
      <c r="U205" s="80">
        <f>SUMIFS('февраль 2024'!$G$6:$G$1413,'февраль 2024'!$D$6:$D$1413,$B205,'февраль 2024'!$J$6:$J$1413,U$1)</f>
        <v>0</v>
      </c>
      <c r="V205" s="80">
        <f>SUMIFS('февраль 2024'!$G$6:$G$1413,'февраль 2024'!$D$6:$D$1413,$B205,'февраль 2024'!$J$6:$J$1413,V$1)</f>
        <v>0</v>
      </c>
      <c r="W205" s="80">
        <f>SUMIFS('февраль 2024'!$G$6:$G$1413,'февраль 2024'!$D$6:$D$1413,$B205,'февраль 2024'!$J$6:$J$1413,W$1)</f>
        <v>0</v>
      </c>
      <c r="X205" s="80">
        <f>SUMIFS('февраль 2024'!$G$6:$G$1413,'февраль 2024'!$D$6:$D$1413,$B205,'февраль 2024'!$J$6:$J$1413,X$1)</f>
        <v>0</v>
      </c>
      <c r="Y205" s="80">
        <f>SUMIFS('февраль 2024'!$G$6:$G$1413,'февраль 2024'!$D$6:$D$1413,$B205,'февраль 2024'!$J$6:$J$1413,Y$1)</f>
        <v>0</v>
      </c>
      <c r="Z205" s="80">
        <f>SUMIFS('февраль 2024'!$G$6:$G$1413,'февраль 2024'!$D$6:$D$1413,$B205,'февраль 2024'!$J$6:$J$1413,Z$1)</f>
        <v>0</v>
      </c>
      <c r="AA205" s="80">
        <f>SUMIFS('февраль 2024'!$G$6:$G$1413,'февраль 2024'!$D$6:$D$1413,$B205,'февраль 2024'!$J$6:$J$1413,AA$1)</f>
        <v>0</v>
      </c>
      <c r="AB205" s="80">
        <f>SUMIFS('февраль 2024'!$G$6:$G$1413,'февраль 2024'!$D$6:$D$1413,$B205,'февраль 2024'!$J$6:$J$1413,AB$1)</f>
        <v>0</v>
      </c>
      <c r="AC205" s="80">
        <f>SUMIFS('февраль 2024'!$G$6:$G$1413,'февраль 2024'!$D$6:$D$1413,$B205,'февраль 2024'!$J$6:$J$1413,AC$1)</f>
        <v>0</v>
      </c>
      <c r="AD205" s="80">
        <f>SUMIFS('февраль 2024'!$G$6:$G$1413,'февраль 2024'!$D$6:$D$1413,$B205,'февраль 2024'!$J$6:$J$1413,AD$1)</f>
        <v>0</v>
      </c>
      <c r="AE205" s="80">
        <f>SUMIFS('февраль 2024'!$G$6:$G$1413,'февраль 2024'!$D$6:$D$1413,$B205,'февраль 2024'!$J$6:$J$1413,AE$1)</f>
        <v>0</v>
      </c>
      <c r="AF205" s="80">
        <f>SUMIFS('февраль 2024'!$G$6:$G$1413,'февраль 2024'!$D$6:$D$1413,$B205,'февраль 2024'!$J$6:$J$1413,AF$1)</f>
        <v>0</v>
      </c>
      <c r="AG205" s="80">
        <f>SUMIFS('февраль 2024'!$G$6:$G$1413,'февраль 2024'!$D$6:$D$1413,$B205,'февраль 2024'!$J$6:$J$1413,AG$1)</f>
        <v>0</v>
      </c>
      <c r="AH205" s="80">
        <f>SUMIFS('февраль 2024'!$G$6:$G$1413,'февраль 2024'!$D$6:$D$1413,$B205,'февраль 2024'!$J$6:$J$1413,AH$1)</f>
        <v>0</v>
      </c>
      <c r="AI205" s="87"/>
    </row>
    <row r="206" spans="2:35" ht="15" hidden="1" customHeight="1" x14ac:dyDescent="0.25">
      <c r="B206" s="89"/>
      <c r="C206" s="88"/>
      <c r="D206" s="80">
        <f>SUMIFS('февраль 2024'!$G$6:$G$1413,'февраль 2024'!$D$6:$D$1413,$B206,'февраль 2024'!$J$6:$J$1413,D$1)</f>
        <v>0</v>
      </c>
      <c r="E206" s="80">
        <f>SUMIFS('февраль 2024'!$G$6:$G$1413,'февраль 2024'!$D$6:$D$1413,$B206,'февраль 2024'!$J$6:$J$1413,E$1)</f>
        <v>0</v>
      </c>
      <c r="F206" s="80">
        <f>SUMIFS('февраль 2024'!$G$6:$G$1413,'февраль 2024'!$D$6:$D$1413,$B206,'февраль 2024'!$J$6:$J$1413,F$1)</f>
        <v>0</v>
      </c>
      <c r="G206" s="80">
        <f>SUMIFS('февраль 2024'!$G$6:$G$1413,'февраль 2024'!$D$6:$D$1413,$B206,'февраль 2024'!$J$6:$J$1413,G$1)</f>
        <v>0</v>
      </c>
      <c r="H206" s="80">
        <f>SUMIFS('февраль 2024'!$G$6:$G$1413,'февраль 2024'!$D$6:$D$1413,$B206,'февраль 2024'!$J$6:$J$1413,H$1)</f>
        <v>0</v>
      </c>
      <c r="I206" s="80">
        <f>SUMIFS('февраль 2024'!$G$6:$G$1413,'февраль 2024'!$D$6:$D$1413,$B206,'февраль 2024'!$J$6:$J$1413,I$1)</f>
        <v>0</v>
      </c>
      <c r="J206" s="80">
        <f>SUMIFS('февраль 2024'!$G$6:$G$1413,'февраль 2024'!$D$6:$D$1413,$B206,'февраль 2024'!$J$6:$J$1413,J$1)</f>
        <v>0</v>
      </c>
      <c r="K206" s="80">
        <f>SUMIFS('февраль 2024'!$G$6:$G$1413,'февраль 2024'!$D$6:$D$1413,$B206,'февраль 2024'!$J$6:$J$1413,K$1)</f>
        <v>0</v>
      </c>
      <c r="L206" s="80">
        <f>SUMIFS('февраль 2024'!$G$6:$G$1413,'февраль 2024'!$D$6:$D$1413,$B206,'февраль 2024'!$J$6:$J$1413,L$1)</f>
        <v>0</v>
      </c>
      <c r="M206" s="80">
        <f>SUMIFS('февраль 2024'!$G$6:$G$1413,'февраль 2024'!$D$6:$D$1413,$B206,'февраль 2024'!$J$6:$J$1413,M$1)</f>
        <v>0</v>
      </c>
      <c r="N206" s="80">
        <f>SUMIFS('февраль 2024'!$G$6:$G$1413,'февраль 2024'!$D$6:$D$1413,$B206,'февраль 2024'!$J$6:$J$1413,N$1)</f>
        <v>0</v>
      </c>
      <c r="O206" s="80">
        <f>SUMIFS('февраль 2024'!$G$6:$G$1413,'февраль 2024'!$D$6:$D$1413,$B206,'февраль 2024'!$J$6:$J$1413,O$1)</f>
        <v>0</v>
      </c>
      <c r="P206" s="80">
        <f>SUMIFS('февраль 2024'!$G$6:$G$1413,'февраль 2024'!$D$6:$D$1413,$B206,'февраль 2024'!$J$6:$J$1413,P$1)</f>
        <v>0</v>
      </c>
      <c r="Q206" s="80">
        <f>SUMIFS('февраль 2024'!$G$6:$G$1413,'февраль 2024'!$D$6:$D$1413,$B206,'февраль 2024'!$J$6:$J$1413,Q$1)</f>
        <v>0</v>
      </c>
      <c r="R206" s="80">
        <f>SUMIFS('февраль 2024'!$G$6:$G$1413,'февраль 2024'!$D$6:$D$1413,$B206,'февраль 2024'!$J$6:$J$1413,R$1)</f>
        <v>0</v>
      </c>
      <c r="S206" s="80">
        <f>SUMIFS('февраль 2024'!$G$6:$G$1413,'февраль 2024'!$D$6:$D$1413,$B206,'февраль 2024'!$J$6:$J$1413,S$1)</f>
        <v>0</v>
      </c>
      <c r="T206" s="80">
        <f>SUMIFS('февраль 2024'!$G$6:$G$1413,'февраль 2024'!$D$6:$D$1413,$B206,'февраль 2024'!$J$6:$J$1413,T$1)</f>
        <v>0</v>
      </c>
      <c r="U206" s="80">
        <f>SUMIFS('февраль 2024'!$G$6:$G$1413,'февраль 2024'!$D$6:$D$1413,$B206,'февраль 2024'!$J$6:$J$1413,U$1)</f>
        <v>0</v>
      </c>
      <c r="V206" s="80">
        <f>SUMIFS('февраль 2024'!$G$6:$G$1413,'февраль 2024'!$D$6:$D$1413,$B206,'февраль 2024'!$J$6:$J$1413,V$1)</f>
        <v>0</v>
      </c>
      <c r="W206" s="80">
        <f>SUMIFS('февраль 2024'!$G$6:$G$1413,'февраль 2024'!$D$6:$D$1413,$B206,'февраль 2024'!$J$6:$J$1413,W$1)</f>
        <v>0</v>
      </c>
      <c r="X206" s="80">
        <f>SUMIFS('февраль 2024'!$G$6:$G$1413,'февраль 2024'!$D$6:$D$1413,$B206,'февраль 2024'!$J$6:$J$1413,X$1)</f>
        <v>0</v>
      </c>
      <c r="Y206" s="80">
        <f>SUMIFS('февраль 2024'!$G$6:$G$1413,'февраль 2024'!$D$6:$D$1413,$B206,'февраль 2024'!$J$6:$J$1413,Y$1)</f>
        <v>0</v>
      </c>
      <c r="Z206" s="80">
        <f>SUMIFS('февраль 2024'!$G$6:$G$1413,'февраль 2024'!$D$6:$D$1413,$B206,'февраль 2024'!$J$6:$J$1413,Z$1)</f>
        <v>0</v>
      </c>
      <c r="AA206" s="80">
        <f>SUMIFS('февраль 2024'!$G$6:$G$1413,'февраль 2024'!$D$6:$D$1413,$B206,'февраль 2024'!$J$6:$J$1413,AA$1)</f>
        <v>0</v>
      </c>
      <c r="AB206" s="80">
        <f>SUMIFS('февраль 2024'!$G$6:$G$1413,'февраль 2024'!$D$6:$D$1413,$B206,'февраль 2024'!$J$6:$J$1413,AB$1)</f>
        <v>0</v>
      </c>
      <c r="AC206" s="80">
        <f>SUMIFS('февраль 2024'!$G$6:$G$1413,'февраль 2024'!$D$6:$D$1413,$B206,'февраль 2024'!$J$6:$J$1413,AC$1)</f>
        <v>0</v>
      </c>
      <c r="AD206" s="80">
        <f>SUMIFS('февраль 2024'!$G$6:$G$1413,'февраль 2024'!$D$6:$D$1413,$B206,'февраль 2024'!$J$6:$J$1413,AD$1)</f>
        <v>0</v>
      </c>
      <c r="AE206" s="80">
        <f>SUMIFS('февраль 2024'!$G$6:$G$1413,'февраль 2024'!$D$6:$D$1413,$B206,'февраль 2024'!$J$6:$J$1413,AE$1)</f>
        <v>0</v>
      </c>
      <c r="AF206" s="80">
        <f>SUMIFS('февраль 2024'!$G$6:$G$1413,'февраль 2024'!$D$6:$D$1413,$B206,'февраль 2024'!$J$6:$J$1413,AF$1)</f>
        <v>0</v>
      </c>
      <c r="AG206" s="80">
        <f>SUMIFS('февраль 2024'!$G$6:$G$1413,'февраль 2024'!$D$6:$D$1413,$B206,'февраль 2024'!$J$6:$J$1413,AG$1)</f>
        <v>0</v>
      </c>
      <c r="AH206" s="80">
        <f>SUMIFS('февраль 2024'!$G$6:$G$1413,'февраль 2024'!$D$6:$D$1413,$B206,'февраль 2024'!$J$6:$J$1413,AH$1)</f>
        <v>0</v>
      </c>
      <c r="AI206" s="87"/>
    </row>
    <row r="207" spans="2:35" ht="15" hidden="1" customHeight="1" x14ac:dyDescent="0.25">
      <c r="B207" s="89"/>
      <c r="C207" s="88"/>
      <c r="D207" s="80">
        <f>SUMIFS('февраль 2024'!$G$6:$G$1413,'февраль 2024'!$D$6:$D$1413,$B207,'февраль 2024'!$J$6:$J$1413,D$1)</f>
        <v>0</v>
      </c>
      <c r="E207" s="80">
        <f>SUMIFS('февраль 2024'!$G$6:$G$1413,'февраль 2024'!$D$6:$D$1413,$B207,'февраль 2024'!$J$6:$J$1413,E$1)</f>
        <v>0</v>
      </c>
      <c r="F207" s="80">
        <f>SUMIFS('февраль 2024'!$G$6:$G$1413,'февраль 2024'!$D$6:$D$1413,$B207,'февраль 2024'!$J$6:$J$1413,F$1)</f>
        <v>0</v>
      </c>
      <c r="G207" s="80">
        <f>SUMIFS('февраль 2024'!$G$6:$G$1413,'февраль 2024'!$D$6:$D$1413,$B207,'февраль 2024'!$J$6:$J$1413,G$1)</f>
        <v>0</v>
      </c>
      <c r="H207" s="80">
        <f>SUMIFS('февраль 2024'!$G$6:$G$1413,'февраль 2024'!$D$6:$D$1413,$B207,'февраль 2024'!$J$6:$J$1413,H$1)</f>
        <v>0</v>
      </c>
      <c r="I207" s="80">
        <f>SUMIFS('февраль 2024'!$G$6:$G$1413,'февраль 2024'!$D$6:$D$1413,$B207,'февраль 2024'!$J$6:$J$1413,I$1)</f>
        <v>0</v>
      </c>
      <c r="J207" s="80">
        <f>SUMIFS('февраль 2024'!$G$6:$G$1413,'февраль 2024'!$D$6:$D$1413,$B207,'февраль 2024'!$J$6:$J$1413,J$1)</f>
        <v>0</v>
      </c>
      <c r="K207" s="80">
        <f>SUMIFS('февраль 2024'!$G$6:$G$1413,'февраль 2024'!$D$6:$D$1413,$B207,'февраль 2024'!$J$6:$J$1413,K$1)</f>
        <v>0</v>
      </c>
      <c r="L207" s="80">
        <f>SUMIFS('февраль 2024'!$G$6:$G$1413,'февраль 2024'!$D$6:$D$1413,$B207,'февраль 2024'!$J$6:$J$1413,L$1)</f>
        <v>0</v>
      </c>
      <c r="M207" s="80">
        <f>SUMIFS('февраль 2024'!$G$6:$G$1413,'февраль 2024'!$D$6:$D$1413,$B207,'февраль 2024'!$J$6:$J$1413,M$1)</f>
        <v>0</v>
      </c>
      <c r="N207" s="80">
        <f>SUMIFS('февраль 2024'!$G$6:$G$1413,'февраль 2024'!$D$6:$D$1413,$B207,'февраль 2024'!$J$6:$J$1413,N$1)</f>
        <v>0</v>
      </c>
      <c r="O207" s="80">
        <f>SUMIFS('февраль 2024'!$G$6:$G$1413,'февраль 2024'!$D$6:$D$1413,$B207,'февраль 2024'!$J$6:$J$1413,O$1)</f>
        <v>0</v>
      </c>
      <c r="P207" s="80">
        <f>SUMIFS('февраль 2024'!$G$6:$G$1413,'февраль 2024'!$D$6:$D$1413,$B207,'февраль 2024'!$J$6:$J$1413,P$1)</f>
        <v>0</v>
      </c>
      <c r="Q207" s="80">
        <f>SUMIFS('февраль 2024'!$G$6:$G$1413,'февраль 2024'!$D$6:$D$1413,$B207,'февраль 2024'!$J$6:$J$1413,Q$1)</f>
        <v>0</v>
      </c>
      <c r="R207" s="80">
        <f>SUMIFS('февраль 2024'!$G$6:$G$1413,'февраль 2024'!$D$6:$D$1413,$B207,'февраль 2024'!$J$6:$J$1413,R$1)</f>
        <v>0</v>
      </c>
      <c r="S207" s="80">
        <f>SUMIFS('февраль 2024'!$G$6:$G$1413,'февраль 2024'!$D$6:$D$1413,$B207,'февраль 2024'!$J$6:$J$1413,S$1)</f>
        <v>0</v>
      </c>
      <c r="T207" s="80">
        <f>SUMIFS('февраль 2024'!$G$6:$G$1413,'февраль 2024'!$D$6:$D$1413,$B207,'февраль 2024'!$J$6:$J$1413,T$1)</f>
        <v>0</v>
      </c>
      <c r="U207" s="80">
        <f>SUMIFS('февраль 2024'!$G$6:$G$1413,'февраль 2024'!$D$6:$D$1413,$B207,'февраль 2024'!$J$6:$J$1413,U$1)</f>
        <v>0</v>
      </c>
      <c r="V207" s="80">
        <f>SUMIFS('февраль 2024'!$G$6:$G$1413,'февраль 2024'!$D$6:$D$1413,$B207,'февраль 2024'!$J$6:$J$1413,V$1)</f>
        <v>0</v>
      </c>
      <c r="W207" s="80">
        <f>SUMIFS('февраль 2024'!$G$6:$G$1413,'февраль 2024'!$D$6:$D$1413,$B207,'февраль 2024'!$J$6:$J$1413,W$1)</f>
        <v>0</v>
      </c>
      <c r="X207" s="80">
        <f>SUMIFS('февраль 2024'!$G$6:$G$1413,'февраль 2024'!$D$6:$D$1413,$B207,'февраль 2024'!$J$6:$J$1413,X$1)</f>
        <v>0</v>
      </c>
      <c r="Y207" s="80">
        <f>SUMIFS('февраль 2024'!$G$6:$G$1413,'февраль 2024'!$D$6:$D$1413,$B207,'февраль 2024'!$J$6:$J$1413,Y$1)</f>
        <v>0</v>
      </c>
      <c r="Z207" s="80">
        <f>SUMIFS('февраль 2024'!$G$6:$G$1413,'февраль 2024'!$D$6:$D$1413,$B207,'февраль 2024'!$J$6:$J$1413,Z$1)</f>
        <v>0</v>
      </c>
      <c r="AA207" s="80">
        <f>SUMIFS('февраль 2024'!$G$6:$G$1413,'февраль 2024'!$D$6:$D$1413,$B207,'февраль 2024'!$J$6:$J$1413,AA$1)</f>
        <v>0</v>
      </c>
      <c r="AB207" s="80">
        <f>SUMIFS('февраль 2024'!$G$6:$G$1413,'февраль 2024'!$D$6:$D$1413,$B207,'февраль 2024'!$J$6:$J$1413,AB$1)</f>
        <v>0</v>
      </c>
      <c r="AC207" s="80">
        <f>SUMIFS('февраль 2024'!$G$6:$G$1413,'февраль 2024'!$D$6:$D$1413,$B207,'февраль 2024'!$J$6:$J$1413,AC$1)</f>
        <v>0</v>
      </c>
      <c r="AD207" s="80">
        <f>SUMIFS('февраль 2024'!$G$6:$G$1413,'февраль 2024'!$D$6:$D$1413,$B207,'февраль 2024'!$J$6:$J$1413,AD$1)</f>
        <v>0</v>
      </c>
      <c r="AE207" s="80">
        <f>SUMIFS('февраль 2024'!$G$6:$G$1413,'февраль 2024'!$D$6:$D$1413,$B207,'февраль 2024'!$J$6:$J$1413,AE$1)</f>
        <v>0</v>
      </c>
      <c r="AF207" s="80">
        <f>SUMIFS('февраль 2024'!$G$6:$G$1413,'февраль 2024'!$D$6:$D$1413,$B207,'февраль 2024'!$J$6:$J$1413,AF$1)</f>
        <v>0</v>
      </c>
      <c r="AG207" s="80">
        <f>SUMIFS('февраль 2024'!$G$6:$G$1413,'февраль 2024'!$D$6:$D$1413,$B207,'февраль 2024'!$J$6:$J$1413,AG$1)</f>
        <v>0</v>
      </c>
      <c r="AH207" s="80">
        <f>SUMIFS('февраль 2024'!$G$6:$G$1413,'февраль 2024'!$D$6:$D$1413,$B207,'февраль 2024'!$J$6:$J$1413,AH$1)</f>
        <v>0</v>
      </c>
      <c r="AI207" s="87"/>
    </row>
    <row r="208" spans="2:35" ht="15" hidden="1" customHeight="1" x14ac:dyDescent="0.25">
      <c r="B208" s="89"/>
      <c r="C208" s="88"/>
      <c r="D208" s="80">
        <f>SUMIFS('февраль 2024'!$G$6:$G$1413,'февраль 2024'!$D$6:$D$1413,$B208,'февраль 2024'!$J$6:$J$1413,D$1)</f>
        <v>0</v>
      </c>
      <c r="E208" s="80">
        <f>SUMIFS('февраль 2024'!$G$6:$G$1413,'февраль 2024'!$D$6:$D$1413,$B208,'февраль 2024'!$J$6:$J$1413,E$1)</f>
        <v>0</v>
      </c>
      <c r="F208" s="80">
        <f>SUMIFS('февраль 2024'!$G$6:$G$1413,'февраль 2024'!$D$6:$D$1413,$B208,'февраль 2024'!$J$6:$J$1413,F$1)</f>
        <v>0</v>
      </c>
      <c r="G208" s="80">
        <f>SUMIFS('февраль 2024'!$G$6:$G$1413,'февраль 2024'!$D$6:$D$1413,$B208,'февраль 2024'!$J$6:$J$1413,G$1)</f>
        <v>0</v>
      </c>
      <c r="H208" s="80">
        <f>SUMIFS('февраль 2024'!$G$6:$G$1413,'февраль 2024'!$D$6:$D$1413,$B208,'февраль 2024'!$J$6:$J$1413,H$1)</f>
        <v>0</v>
      </c>
      <c r="I208" s="80">
        <f>SUMIFS('февраль 2024'!$G$6:$G$1413,'февраль 2024'!$D$6:$D$1413,$B208,'февраль 2024'!$J$6:$J$1413,I$1)</f>
        <v>0</v>
      </c>
      <c r="J208" s="80">
        <f>SUMIFS('февраль 2024'!$G$6:$G$1413,'февраль 2024'!$D$6:$D$1413,$B208,'февраль 2024'!$J$6:$J$1413,J$1)</f>
        <v>0</v>
      </c>
      <c r="K208" s="80">
        <f>SUMIFS('февраль 2024'!$G$6:$G$1413,'февраль 2024'!$D$6:$D$1413,$B208,'февраль 2024'!$J$6:$J$1413,K$1)</f>
        <v>0</v>
      </c>
      <c r="L208" s="80">
        <f>SUMIFS('февраль 2024'!$G$6:$G$1413,'февраль 2024'!$D$6:$D$1413,$B208,'февраль 2024'!$J$6:$J$1413,L$1)</f>
        <v>0</v>
      </c>
      <c r="M208" s="80">
        <f>SUMIFS('февраль 2024'!$G$6:$G$1413,'февраль 2024'!$D$6:$D$1413,$B208,'февраль 2024'!$J$6:$J$1413,M$1)</f>
        <v>0</v>
      </c>
      <c r="N208" s="80">
        <f>SUMIFS('февраль 2024'!$G$6:$G$1413,'февраль 2024'!$D$6:$D$1413,$B208,'февраль 2024'!$J$6:$J$1413,N$1)</f>
        <v>0</v>
      </c>
      <c r="O208" s="80">
        <f>SUMIFS('февраль 2024'!$G$6:$G$1413,'февраль 2024'!$D$6:$D$1413,$B208,'февраль 2024'!$J$6:$J$1413,O$1)</f>
        <v>0</v>
      </c>
      <c r="P208" s="80">
        <f>SUMIFS('февраль 2024'!$G$6:$G$1413,'февраль 2024'!$D$6:$D$1413,$B208,'февраль 2024'!$J$6:$J$1413,P$1)</f>
        <v>0</v>
      </c>
      <c r="Q208" s="80">
        <f>SUMIFS('февраль 2024'!$G$6:$G$1413,'февраль 2024'!$D$6:$D$1413,$B208,'февраль 2024'!$J$6:$J$1413,Q$1)</f>
        <v>0</v>
      </c>
      <c r="R208" s="80">
        <f>SUMIFS('февраль 2024'!$G$6:$G$1413,'февраль 2024'!$D$6:$D$1413,$B208,'февраль 2024'!$J$6:$J$1413,R$1)</f>
        <v>0</v>
      </c>
      <c r="S208" s="80">
        <f>SUMIFS('февраль 2024'!$G$6:$G$1413,'февраль 2024'!$D$6:$D$1413,$B208,'февраль 2024'!$J$6:$J$1413,S$1)</f>
        <v>0</v>
      </c>
      <c r="T208" s="80">
        <f>SUMIFS('февраль 2024'!$G$6:$G$1413,'февраль 2024'!$D$6:$D$1413,$B208,'февраль 2024'!$J$6:$J$1413,T$1)</f>
        <v>0</v>
      </c>
      <c r="U208" s="80">
        <f>SUMIFS('февраль 2024'!$G$6:$G$1413,'февраль 2024'!$D$6:$D$1413,$B208,'февраль 2024'!$J$6:$J$1413,U$1)</f>
        <v>0</v>
      </c>
      <c r="V208" s="80">
        <f>SUMIFS('февраль 2024'!$G$6:$G$1413,'февраль 2024'!$D$6:$D$1413,$B208,'февраль 2024'!$J$6:$J$1413,V$1)</f>
        <v>0</v>
      </c>
      <c r="W208" s="80">
        <f>SUMIFS('февраль 2024'!$G$6:$G$1413,'февраль 2024'!$D$6:$D$1413,$B208,'февраль 2024'!$J$6:$J$1413,W$1)</f>
        <v>0</v>
      </c>
      <c r="X208" s="80">
        <f>SUMIFS('февраль 2024'!$G$6:$G$1413,'февраль 2024'!$D$6:$D$1413,$B208,'февраль 2024'!$J$6:$J$1413,X$1)</f>
        <v>0</v>
      </c>
      <c r="Y208" s="80">
        <f>SUMIFS('февраль 2024'!$G$6:$G$1413,'февраль 2024'!$D$6:$D$1413,$B208,'февраль 2024'!$J$6:$J$1413,Y$1)</f>
        <v>0</v>
      </c>
      <c r="Z208" s="80">
        <f>SUMIFS('февраль 2024'!$G$6:$G$1413,'февраль 2024'!$D$6:$D$1413,$B208,'февраль 2024'!$J$6:$J$1413,Z$1)</f>
        <v>0</v>
      </c>
      <c r="AA208" s="80">
        <f>SUMIFS('февраль 2024'!$G$6:$G$1413,'февраль 2024'!$D$6:$D$1413,$B208,'февраль 2024'!$J$6:$J$1413,AA$1)</f>
        <v>0</v>
      </c>
      <c r="AB208" s="80">
        <f>SUMIFS('февраль 2024'!$G$6:$G$1413,'февраль 2024'!$D$6:$D$1413,$B208,'февраль 2024'!$J$6:$J$1413,AB$1)</f>
        <v>0</v>
      </c>
      <c r="AC208" s="80">
        <f>SUMIFS('февраль 2024'!$G$6:$G$1413,'февраль 2024'!$D$6:$D$1413,$B208,'февраль 2024'!$J$6:$J$1413,AC$1)</f>
        <v>0</v>
      </c>
      <c r="AD208" s="80">
        <f>SUMIFS('февраль 2024'!$G$6:$G$1413,'февраль 2024'!$D$6:$D$1413,$B208,'февраль 2024'!$J$6:$J$1413,AD$1)</f>
        <v>0</v>
      </c>
      <c r="AE208" s="80">
        <f>SUMIFS('февраль 2024'!$G$6:$G$1413,'февраль 2024'!$D$6:$D$1413,$B208,'февраль 2024'!$J$6:$J$1413,AE$1)</f>
        <v>0</v>
      </c>
      <c r="AF208" s="80">
        <f>SUMIFS('февраль 2024'!$G$6:$G$1413,'февраль 2024'!$D$6:$D$1413,$B208,'февраль 2024'!$J$6:$J$1413,AF$1)</f>
        <v>0</v>
      </c>
      <c r="AG208" s="80">
        <f>SUMIFS('февраль 2024'!$G$6:$G$1413,'февраль 2024'!$D$6:$D$1413,$B208,'февраль 2024'!$J$6:$J$1413,AG$1)</f>
        <v>0</v>
      </c>
      <c r="AH208" s="80">
        <f>SUMIFS('февраль 2024'!$G$6:$G$1413,'февраль 2024'!$D$6:$D$1413,$B208,'февраль 2024'!$J$6:$J$1413,AH$1)</f>
        <v>0</v>
      </c>
      <c r="AI208" s="87"/>
    </row>
    <row r="209" spans="2:35" ht="15" hidden="1" customHeight="1" x14ac:dyDescent="0.25">
      <c r="B209" s="89"/>
      <c r="C209" s="88"/>
      <c r="D209" s="80">
        <f>SUMIFS('февраль 2024'!$G$6:$G$1413,'февраль 2024'!$D$6:$D$1413,$B209,'февраль 2024'!$J$6:$J$1413,D$1)</f>
        <v>0</v>
      </c>
      <c r="E209" s="80">
        <f>SUMIFS('февраль 2024'!$G$6:$G$1413,'февраль 2024'!$D$6:$D$1413,$B209,'февраль 2024'!$J$6:$J$1413,E$1)</f>
        <v>0</v>
      </c>
      <c r="F209" s="80">
        <f>SUMIFS('февраль 2024'!$G$6:$G$1413,'февраль 2024'!$D$6:$D$1413,$B209,'февраль 2024'!$J$6:$J$1413,F$1)</f>
        <v>0</v>
      </c>
      <c r="G209" s="80">
        <f>SUMIFS('февраль 2024'!$G$6:$G$1413,'февраль 2024'!$D$6:$D$1413,$B209,'февраль 2024'!$J$6:$J$1413,G$1)</f>
        <v>0</v>
      </c>
      <c r="H209" s="80">
        <f>SUMIFS('февраль 2024'!$G$6:$G$1413,'февраль 2024'!$D$6:$D$1413,$B209,'февраль 2024'!$J$6:$J$1413,H$1)</f>
        <v>0</v>
      </c>
      <c r="I209" s="80">
        <f>SUMIFS('февраль 2024'!$G$6:$G$1413,'февраль 2024'!$D$6:$D$1413,$B209,'февраль 2024'!$J$6:$J$1413,I$1)</f>
        <v>0</v>
      </c>
      <c r="J209" s="80">
        <f>SUMIFS('февраль 2024'!$G$6:$G$1413,'февраль 2024'!$D$6:$D$1413,$B209,'февраль 2024'!$J$6:$J$1413,J$1)</f>
        <v>0</v>
      </c>
      <c r="K209" s="80">
        <f>SUMIFS('февраль 2024'!$G$6:$G$1413,'февраль 2024'!$D$6:$D$1413,$B209,'февраль 2024'!$J$6:$J$1413,K$1)</f>
        <v>0</v>
      </c>
      <c r="L209" s="80">
        <f>SUMIFS('февраль 2024'!$G$6:$G$1413,'февраль 2024'!$D$6:$D$1413,$B209,'февраль 2024'!$J$6:$J$1413,L$1)</f>
        <v>0</v>
      </c>
      <c r="M209" s="80">
        <f>SUMIFS('февраль 2024'!$G$6:$G$1413,'февраль 2024'!$D$6:$D$1413,$B209,'февраль 2024'!$J$6:$J$1413,M$1)</f>
        <v>0</v>
      </c>
      <c r="N209" s="80">
        <f>SUMIFS('февраль 2024'!$G$6:$G$1413,'февраль 2024'!$D$6:$D$1413,$B209,'февраль 2024'!$J$6:$J$1413,N$1)</f>
        <v>0</v>
      </c>
      <c r="O209" s="80">
        <f>SUMIFS('февраль 2024'!$G$6:$G$1413,'февраль 2024'!$D$6:$D$1413,$B209,'февраль 2024'!$J$6:$J$1413,O$1)</f>
        <v>0</v>
      </c>
      <c r="P209" s="80">
        <f>SUMIFS('февраль 2024'!$G$6:$G$1413,'февраль 2024'!$D$6:$D$1413,$B209,'февраль 2024'!$J$6:$J$1413,P$1)</f>
        <v>0</v>
      </c>
      <c r="Q209" s="80">
        <f>SUMIFS('февраль 2024'!$G$6:$G$1413,'февраль 2024'!$D$6:$D$1413,$B209,'февраль 2024'!$J$6:$J$1413,Q$1)</f>
        <v>0</v>
      </c>
      <c r="R209" s="80">
        <f>SUMIFS('февраль 2024'!$G$6:$G$1413,'февраль 2024'!$D$6:$D$1413,$B209,'февраль 2024'!$J$6:$J$1413,R$1)</f>
        <v>0</v>
      </c>
      <c r="S209" s="80">
        <f>SUMIFS('февраль 2024'!$G$6:$G$1413,'февраль 2024'!$D$6:$D$1413,$B209,'февраль 2024'!$J$6:$J$1413,S$1)</f>
        <v>0</v>
      </c>
      <c r="T209" s="80">
        <f>SUMIFS('февраль 2024'!$G$6:$G$1413,'февраль 2024'!$D$6:$D$1413,$B209,'февраль 2024'!$J$6:$J$1413,T$1)</f>
        <v>0</v>
      </c>
      <c r="U209" s="80">
        <f>SUMIFS('февраль 2024'!$G$6:$G$1413,'февраль 2024'!$D$6:$D$1413,$B209,'февраль 2024'!$J$6:$J$1413,U$1)</f>
        <v>0</v>
      </c>
      <c r="V209" s="80">
        <f>SUMIFS('февраль 2024'!$G$6:$G$1413,'февраль 2024'!$D$6:$D$1413,$B209,'февраль 2024'!$J$6:$J$1413,V$1)</f>
        <v>0</v>
      </c>
      <c r="W209" s="80">
        <f>SUMIFS('февраль 2024'!$G$6:$G$1413,'февраль 2024'!$D$6:$D$1413,$B209,'февраль 2024'!$J$6:$J$1413,W$1)</f>
        <v>0</v>
      </c>
      <c r="X209" s="80">
        <f>SUMIFS('февраль 2024'!$G$6:$G$1413,'февраль 2024'!$D$6:$D$1413,$B209,'февраль 2024'!$J$6:$J$1413,X$1)</f>
        <v>0</v>
      </c>
      <c r="Y209" s="80">
        <f>SUMIFS('февраль 2024'!$G$6:$G$1413,'февраль 2024'!$D$6:$D$1413,$B209,'февраль 2024'!$J$6:$J$1413,Y$1)</f>
        <v>0</v>
      </c>
      <c r="Z209" s="80">
        <f>SUMIFS('февраль 2024'!$G$6:$G$1413,'февраль 2024'!$D$6:$D$1413,$B209,'февраль 2024'!$J$6:$J$1413,Z$1)</f>
        <v>0</v>
      </c>
      <c r="AA209" s="80">
        <f>SUMIFS('февраль 2024'!$G$6:$G$1413,'февраль 2024'!$D$6:$D$1413,$B209,'февраль 2024'!$J$6:$J$1413,AA$1)</f>
        <v>0</v>
      </c>
      <c r="AB209" s="80">
        <f>SUMIFS('февраль 2024'!$G$6:$G$1413,'февраль 2024'!$D$6:$D$1413,$B209,'февраль 2024'!$J$6:$J$1413,AB$1)</f>
        <v>0</v>
      </c>
      <c r="AC209" s="80">
        <f>SUMIFS('февраль 2024'!$G$6:$G$1413,'февраль 2024'!$D$6:$D$1413,$B209,'февраль 2024'!$J$6:$J$1413,AC$1)</f>
        <v>0</v>
      </c>
      <c r="AD209" s="80">
        <f>SUMIFS('февраль 2024'!$G$6:$G$1413,'февраль 2024'!$D$6:$D$1413,$B209,'февраль 2024'!$J$6:$J$1413,AD$1)</f>
        <v>0</v>
      </c>
      <c r="AE209" s="80">
        <f>SUMIFS('февраль 2024'!$G$6:$G$1413,'февраль 2024'!$D$6:$D$1413,$B209,'февраль 2024'!$J$6:$J$1413,AE$1)</f>
        <v>0</v>
      </c>
      <c r="AF209" s="80">
        <f>SUMIFS('февраль 2024'!$G$6:$G$1413,'февраль 2024'!$D$6:$D$1413,$B209,'февраль 2024'!$J$6:$J$1413,AF$1)</f>
        <v>0</v>
      </c>
      <c r="AG209" s="80">
        <f>SUMIFS('февраль 2024'!$G$6:$G$1413,'февраль 2024'!$D$6:$D$1413,$B209,'февраль 2024'!$J$6:$J$1413,AG$1)</f>
        <v>0</v>
      </c>
      <c r="AH209" s="80">
        <f>SUMIFS('февраль 2024'!$G$6:$G$1413,'февраль 2024'!$D$6:$D$1413,$B209,'февраль 2024'!$J$6:$J$1413,AH$1)</f>
        <v>0</v>
      </c>
      <c r="AI209" s="87"/>
    </row>
    <row r="210" spans="2:35" ht="15" hidden="1" customHeight="1" x14ac:dyDescent="0.25">
      <c r="B210" s="89"/>
      <c r="C210" s="88"/>
      <c r="D210" s="80">
        <f>SUMIFS('февраль 2024'!$G$6:$G$1413,'февраль 2024'!$D$6:$D$1413,$B210,'февраль 2024'!$J$6:$J$1413,D$1)</f>
        <v>0</v>
      </c>
      <c r="E210" s="80">
        <f>SUMIFS('февраль 2024'!$G$6:$G$1413,'февраль 2024'!$D$6:$D$1413,$B210,'февраль 2024'!$J$6:$J$1413,E$1)</f>
        <v>0</v>
      </c>
      <c r="F210" s="80">
        <f>SUMIFS('февраль 2024'!$G$6:$G$1413,'февраль 2024'!$D$6:$D$1413,$B210,'февраль 2024'!$J$6:$J$1413,F$1)</f>
        <v>0</v>
      </c>
      <c r="G210" s="80">
        <f>SUMIFS('февраль 2024'!$G$6:$G$1413,'февраль 2024'!$D$6:$D$1413,$B210,'февраль 2024'!$J$6:$J$1413,G$1)</f>
        <v>0</v>
      </c>
      <c r="H210" s="80">
        <f>SUMIFS('февраль 2024'!$G$6:$G$1413,'февраль 2024'!$D$6:$D$1413,$B210,'февраль 2024'!$J$6:$J$1413,H$1)</f>
        <v>0</v>
      </c>
      <c r="I210" s="80">
        <f>SUMIFS('февраль 2024'!$G$6:$G$1413,'февраль 2024'!$D$6:$D$1413,$B210,'февраль 2024'!$J$6:$J$1413,I$1)</f>
        <v>0</v>
      </c>
      <c r="J210" s="80">
        <f>SUMIFS('февраль 2024'!$G$6:$G$1413,'февраль 2024'!$D$6:$D$1413,$B210,'февраль 2024'!$J$6:$J$1413,J$1)</f>
        <v>0</v>
      </c>
      <c r="K210" s="80">
        <f>SUMIFS('февраль 2024'!$G$6:$G$1413,'февраль 2024'!$D$6:$D$1413,$B210,'февраль 2024'!$J$6:$J$1413,K$1)</f>
        <v>0</v>
      </c>
      <c r="L210" s="80">
        <f>SUMIFS('февраль 2024'!$G$6:$G$1413,'февраль 2024'!$D$6:$D$1413,$B210,'февраль 2024'!$J$6:$J$1413,L$1)</f>
        <v>0</v>
      </c>
      <c r="M210" s="80">
        <f>SUMIFS('февраль 2024'!$G$6:$G$1413,'февраль 2024'!$D$6:$D$1413,$B210,'февраль 2024'!$J$6:$J$1413,M$1)</f>
        <v>0</v>
      </c>
      <c r="N210" s="80">
        <f>SUMIFS('февраль 2024'!$G$6:$G$1413,'февраль 2024'!$D$6:$D$1413,$B210,'февраль 2024'!$J$6:$J$1413,N$1)</f>
        <v>0</v>
      </c>
      <c r="O210" s="80">
        <f>SUMIFS('февраль 2024'!$G$6:$G$1413,'февраль 2024'!$D$6:$D$1413,$B210,'февраль 2024'!$J$6:$J$1413,O$1)</f>
        <v>0</v>
      </c>
      <c r="P210" s="80">
        <f>SUMIFS('февраль 2024'!$G$6:$G$1413,'февраль 2024'!$D$6:$D$1413,$B210,'февраль 2024'!$J$6:$J$1413,P$1)</f>
        <v>0</v>
      </c>
      <c r="Q210" s="80">
        <f>SUMIFS('февраль 2024'!$G$6:$G$1413,'февраль 2024'!$D$6:$D$1413,$B210,'февраль 2024'!$J$6:$J$1413,Q$1)</f>
        <v>0</v>
      </c>
      <c r="R210" s="80">
        <f>SUMIFS('февраль 2024'!$G$6:$G$1413,'февраль 2024'!$D$6:$D$1413,$B210,'февраль 2024'!$J$6:$J$1413,R$1)</f>
        <v>0</v>
      </c>
      <c r="S210" s="80">
        <f>SUMIFS('февраль 2024'!$G$6:$G$1413,'февраль 2024'!$D$6:$D$1413,$B210,'февраль 2024'!$J$6:$J$1413,S$1)</f>
        <v>0</v>
      </c>
      <c r="T210" s="80">
        <f>SUMIFS('февраль 2024'!$G$6:$G$1413,'февраль 2024'!$D$6:$D$1413,$B210,'февраль 2024'!$J$6:$J$1413,T$1)</f>
        <v>0</v>
      </c>
      <c r="U210" s="80">
        <f>SUMIFS('февраль 2024'!$G$6:$G$1413,'февраль 2024'!$D$6:$D$1413,$B210,'февраль 2024'!$J$6:$J$1413,U$1)</f>
        <v>0</v>
      </c>
      <c r="V210" s="80">
        <f>SUMIFS('февраль 2024'!$G$6:$G$1413,'февраль 2024'!$D$6:$D$1413,$B210,'февраль 2024'!$J$6:$J$1413,V$1)</f>
        <v>0</v>
      </c>
      <c r="W210" s="80">
        <f>SUMIFS('февраль 2024'!$G$6:$G$1413,'февраль 2024'!$D$6:$D$1413,$B210,'февраль 2024'!$J$6:$J$1413,W$1)</f>
        <v>0</v>
      </c>
      <c r="X210" s="80">
        <f>SUMIFS('февраль 2024'!$G$6:$G$1413,'февраль 2024'!$D$6:$D$1413,$B210,'февраль 2024'!$J$6:$J$1413,X$1)</f>
        <v>0</v>
      </c>
      <c r="Y210" s="80">
        <f>SUMIFS('февраль 2024'!$G$6:$G$1413,'февраль 2024'!$D$6:$D$1413,$B210,'февраль 2024'!$J$6:$J$1413,Y$1)</f>
        <v>0</v>
      </c>
      <c r="Z210" s="80">
        <f>SUMIFS('февраль 2024'!$G$6:$G$1413,'февраль 2024'!$D$6:$D$1413,$B210,'февраль 2024'!$J$6:$J$1413,Z$1)</f>
        <v>0</v>
      </c>
      <c r="AA210" s="80">
        <f>SUMIFS('февраль 2024'!$G$6:$G$1413,'февраль 2024'!$D$6:$D$1413,$B210,'февраль 2024'!$J$6:$J$1413,AA$1)</f>
        <v>0</v>
      </c>
      <c r="AB210" s="80">
        <f>SUMIFS('февраль 2024'!$G$6:$G$1413,'февраль 2024'!$D$6:$D$1413,$B210,'февраль 2024'!$J$6:$J$1413,AB$1)</f>
        <v>0</v>
      </c>
      <c r="AC210" s="80">
        <f>SUMIFS('февраль 2024'!$G$6:$G$1413,'февраль 2024'!$D$6:$D$1413,$B210,'февраль 2024'!$J$6:$J$1413,AC$1)</f>
        <v>0</v>
      </c>
      <c r="AD210" s="80">
        <f>SUMIFS('февраль 2024'!$G$6:$G$1413,'февраль 2024'!$D$6:$D$1413,$B210,'февраль 2024'!$J$6:$J$1413,AD$1)</f>
        <v>0</v>
      </c>
      <c r="AE210" s="80">
        <f>SUMIFS('февраль 2024'!$G$6:$G$1413,'февраль 2024'!$D$6:$D$1413,$B210,'февраль 2024'!$J$6:$J$1413,AE$1)</f>
        <v>0</v>
      </c>
      <c r="AF210" s="80">
        <f>SUMIFS('февраль 2024'!$G$6:$G$1413,'февраль 2024'!$D$6:$D$1413,$B210,'февраль 2024'!$J$6:$J$1413,AF$1)</f>
        <v>0</v>
      </c>
      <c r="AG210" s="80">
        <f>SUMIFS('февраль 2024'!$G$6:$G$1413,'февраль 2024'!$D$6:$D$1413,$B210,'февраль 2024'!$J$6:$J$1413,AG$1)</f>
        <v>0</v>
      </c>
      <c r="AH210" s="80">
        <f>SUMIFS('февраль 2024'!$G$6:$G$1413,'февраль 2024'!$D$6:$D$1413,$B210,'февраль 2024'!$J$6:$J$1413,AH$1)</f>
        <v>0</v>
      </c>
      <c r="AI210" s="87"/>
    </row>
    <row r="211" spans="2:35" ht="15" hidden="1" customHeight="1" x14ac:dyDescent="0.25">
      <c r="B211" s="89"/>
      <c r="C211" s="88"/>
      <c r="D211" s="80">
        <f>SUMIFS('февраль 2024'!$G$6:$G$1413,'февраль 2024'!$D$6:$D$1413,$B211,'февраль 2024'!$J$6:$J$1413,D$1)</f>
        <v>0</v>
      </c>
      <c r="E211" s="80">
        <f>SUMIFS('февраль 2024'!$G$6:$G$1413,'февраль 2024'!$D$6:$D$1413,$B211,'февраль 2024'!$J$6:$J$1413,E$1)</f>
        <v>0</v>
      </c>
      <c r="F211" s="80">
        <f>SUMIFS('февраль 2024'!$G$6:$G$1413,'февраль 2024'!$D$6:$D$1413,$B211,'февраль 2024'!$J$6:$J$1413,F$1)</f>
        <v>0</v>
      </c>
      <c r="G211" s="80">
        <f>SUMIFS('февраль 2024'!$G$6:$G$1413,'февраль 2024'!$D$6:$D$1413,$B211,'февраль 2024'!$J$6:$J$1413,G$1)</f>
        <v>0</v>
      </c>
      <c r="H211" s="80">
        <f>SUMIFS('февраль 2024'!$G$6:$G$1413,'февраль 2024'!$D$6:$D$1413,$B211,'февраль 2024'!$J$6:$J$1413,H$1)</f>
        <v>0</v>
      </c>
      <c r="I211" s="80">
        <f>SUMIFS('февраль 2024'!$G$6:$G$1413,'февраль 2024'!$D$6:$D$1413,$B211,'февраль 2024'!$J$6:$J$1413,I$1)</f>
        <v>0</v>
      </c>
      <c r="J211" s="80">
        <f>SUMIFS('февраль 2024'!$G$6:$G$1413,'февраль 2024'!$D$6:$D$1413,$B211,'февраль 2024'!$J$6:$J$1413,J$1)</f>
        <v>0</v>
      </c>
      <c r="K211" s="80">
        <f>SUMIFS('февраль 2024'!$G$6:$G$1413,'февраль 2024'!$D$6:$D$1413,$B211,'февраль 2024'!$J$6:$J$1413,K$1)</f>
        <v>0</v>
      </c>
      <c r="L211" s="80">
        <f>SUMIFS('февраль 2024'!$G$6:$G$1413,'февраль 2024'!$D$6:$D$1413,$B211,'февраль 2024'!$J$6:$J$1413,L$1)</f>
        <v>0</v>
      </c>
      <c r="M211" s="80">
        <f>SUMIFS('февраль 2024'!$G$6:$G$1413,'февраль 2024'!$D$6:$D$1413,$B211,'февраль 2024'!$J$6:$J$1413,M$1)</f>
        <v>0</v>
      </c>
      <c r="N211" s="80">
        <f>SUMIFS('февраль 2024'!$G$6:$G$1413,'февраль 2024'!$D$6:$D$1413,$B211,'февраль 2024'!$J$6:$J$1413,N$1)</f>
        <v>0</v>
      </c>
      <c r="O211" s="80">
        <f>SUMIFS('февраль 2024'!$G$6:$G$1413,'февраль 2024'!$D$6:$D$1413,$B211,'февраль 2024'!$J$6:$J$1413,O$1)</f>
        <v>0</v>
      </c>
      <c r="P211" s="80">
        <f>SUMIFS('февраль 2024'!$G$6:$G$1413,'февраль 2024'!$D$6:$D$1413,$B211,'февраль 2024'!$J$6:$J$1413,P$1)</f>
        <v>0</v>
      </c>
      <c r="Q211" s="80">
        <f>SUMIFS('февраль 2024'!$G$6:$G$1413,'февраль 2024'!$D$6:$D$1413,$B211,'февраль 2024'!$J$6:$J$1413,Q$1)</f>
        <v>0</v>
      </c>
      <c r="R211" s="80">
        <f>SUMIFS('февраль 2024'!$G$6:$G$1413,'февраль 2024'!$D$6:$D$1413,$B211,'февраль 2024'!$J$6:$J$1413,R$1)</f>
        <v>0</v>
      </c>
      <c r="S211" s="80">
        <f>SUMIFS('февраль 2024'!$G$6:$G$1413,'февраль 2024'!$D$6:$D$1413,$B211,'февраль 2024'!$J$6:$J$1413,S$1)</f>
        <v>0</v>
      </c>
      <c r="T211" s="80">
        <f>SUMIFS('февраль 2024'!$G$6:$G$1413,'февраль 2024'!$D$6:$D$1413,$B211,'февраль 2024'!$J$6:$J$1413,T$1)</f>
        <v>0</v>
      </c>
      <c r="U211" s="80">
        <f>SUMIFS('февраль 2024'!$G$6:$G$1413,'февраль 2024'!$D$6:$D$1413,$B211,'февраль 2024'!$J$6:$J$1413,U$1)</f>
        <v>0</v>
      </c>
      <c r="V211" s="80">
        <f>SUMIFS('февраль 2024'!$G$6:$G$1413,'февраль 2024'!$D$6:$D$1413,$B211,'февраль 2024'!$J$6:$J$1413,V$1)</f>
        <v>0</v>
      </c>
      <c r="W211" s="80">
        <f>SUMIFS('февраль 2024'!$G$6:$G$1413,'февраль 2024'!$D$6:$D$1413,$B211,'февраль 2024'!$J$6:$J$1413,W$1)</f>
        <v>0</v>
      </c>
      <c r="X211" s="80">
        <f>SUMIFS('февраль 2024'!$G$6:$G$1413,'февраль 2024'!$D$6:$D$1413,$B211,'февраль 2024'!$J$6:$J$1413,X$1)</f>
        <v>0</v>
      </c>
      <c r="Y211" s="80">
        <f>SUMIFS('февраль 2024'!$G$6:$G$1413,'февраль 2024'!$D$6:$D$1413,$B211,'февраль 2024'!$J$6:$J$1413,Y$1)</f>
        <v>0</v>
      </c>
      <c r="Z211" s="80">
        <f>SUMIFS('февраль 2024'!$G$6:$G$1413,'февраль 2024'!$D$6:$D$1413,$B211,'февраль 2024'!$J$6:$J$1413,Z$1)</f>
        <v>0</v>
      </c>
      <c r="AA211" s="80">
        <f>SUMIFS('февраль 2024'!$G$6:$G$1413,'февраль 2024'!$D$6:$D$1413,$B211,'февраль 2024'!$J$6:$J$1413,AA$1)</f>
        <v>0</v>
      </c>
      <c r="AB211" s="80">
        <f>SUMIFS('февраль 2024'!$G$6:$G$1413,'февраль 2024'!$D$6:$D$1413,$B211,'февраль 2024'!$J$6:$J$1413,AB$1)</f>
        <v>0</v>
      </c>
      <c r="AC211" s="80">
        <f>SUMIFS('февраль 2024'!$G$6:$G$1413,'февраль 2024'!$D$6:$D$1413,$B211,'февраль 2024'!$J$6:$J$1413,AC$1)</f>
        <v>0</v>
      </c>
      <c r="AD211" s="80">
        <f>SUMIFS('февраль 2024'!$G$6:$G$1413,'февраль 2024'!$D$6:$D$1413,$B211,'февраль 2024'!$J$6:$J$1413,AD$1)</f>
        <v>0</v>
      </c>
      <c r="AE211" s="80">
        <f>SUMIFS('февраль 2024'!$G$6:$G$1413,'февраль 2024'!$D$6:$D$1413,$B211,'февраль 2024'!$J$6:$J$1413,AE$1)</f>
        <v>0</v>
      </c>
      <c r="AF211" s="80">
        <f>SUMIFS('февраль 2024'!$G$6:$G$1413,'февраль 2024'!$D$6:$D$1413,$B211,'февраль 2024'!$J$6:$J$1413,AF$1)</f>
        <v>0</v>
      </c>
      <c r="AG211" s="80">
        <f>SUMIFS('февраль 2024'!$G$6:$G$1413,'февраль 2024'!$D$6:$D$1413,$B211,'февраль 2024'!$J$6:$J$1413,AG$1)</f>
        <v>0</v>
      </c>
      <c r="AH211" s="80">
        <f>SUMIFS('февраль 2024'!$G$6:$G$1413,'февраль 2024'!$D$6:$D$1413,$B211,'февраль 2024'!$J$6:$J$1413,AH$1)</f>
        <v>0</v>
      </c>
      <c r="AI211" s="87"/>
    </row>
    <row r="212" spans="2:35" ht="15" hidden="1" customHeight="1" x14ac:dyDescent="0.25">
      <c r="B212" s="89"/>
      <c r="C212" s="88"/>
      <c r="D212" s="80">
        <f>SUMIFS('февраль 2024'!$G$6:$G$1413,'февраль 2024'!$D$6:$D$1413,$B212,'февраль 2024'!$J$6:$J$1413,D$1)</f>
        <v>0</v>
      </c>
      <c r="E212" s="80">
        <f>SUMIFS('февраль 2024'!$G$6:$G$1413,'февраль 2024'!$D$6:$D$1413,$B212,'февраль 2024'!$J$6:$J$1413,E$1)</f>
        <v>0</v>
      </c>
      <c r="F212" s="80">
        <f>SUMIFS('февраль 2024'!$G$6:$G$1413,'февраль 2024'!$D$6:$D$1413,$B212,'февраль 2024'!$J$6:$J$1413,F$1)</f>
        <v>0</v>
      </c>
      <c r="G212" s="80">
        <f>SUMIFS('февраль 2024'!$G$6:$G$1413,'февраль 2024'!$D$6:$D$1413,$B212,'февраль 2024'!$J$6:$J$1413,G$1)</f>
        <v>0</v>
      </c>
      <c r="H212" s="80">
        <f>SUMIFS('февраль 2024'!$G$6:$G$1413,'февраль 2024'!$D$6:$D$1413,$B212,'февраль 2024'!$J$6:$J$1413,H$1)</f>
        <v>0</v>
      </c>
      <c r="I212" s="80">
        <f>SUMIFS('февраль 2024'!$G$6:$G$1413,'февраль 2024'!$D$6:$D$1413,$B212,'февраль 2024'!$J$6:$J$1413,I$1)</f>
        <v>0</v>
      </c>
      <c r="J212" s="80">
        <f>SUMIFS('февраль 2024'!$G$6:$G$1413,'февраль 2024'!$D$6:$D$1413,$B212,'февраль 2024'!$J$6:$J$1413,J$1)</f>
        <v>0</v>
      </c>
      <c r="K212" s="80">
        <f>SUMIFS('февраль 2024'!$G$6:$G$1413,'февраль 2024'!$D$6:$D$1413,$B212,'февраль 2024'!$J$6:$J$1413,K$1)</f>
        <v>0</v>
      </c>
      <c r="L212" s="80">
        <f>SUMIFS('февраль 2024'!$G$6:$G$1413,'февраль 2024'!$D$6:$D$1413,$B212,'февраль 2024'!$J$6:$J$1413,L$1)</f>
        <v>0</v>
      </c>
      <c r="M212" s="80">
        <f>SUMIFS('февраль 2024'!$G$6:$G$1413,'февраль 2024'!$D$6:$D$1413,$B212,'февраль 2024'!$J$6:$J$1413,M$1)</f>
        <v>0</v>
      </c>
      <c r="N212" s="80">
        <f>SUMIFS('февраль 2024'!$G$6:$G$1413,'февраль 2024'!$D$6:$D$1413,$B212,'февраль 2024'!$J$6:$J$1413,N$1)</f>
        <v>0</v>
      </c>
      <c r="O212" s="80">
        <f>SUMIFS('февраль 2024'!$G$6:$G$1413,'февраль 2024'!$D$6:$D$1413,$B212,'февраль 2024'!$J$6:$J$1413,O$1)</f>
        <v>0</v>
      </c>
      <c r="P212" s="80">
        <f>SUMIFS('февраль 2024'!$G$6:$G$1413,'февраль 2024'!$D$6:$D$1413,$B212,'февраль 2024'!$J$6:$J$1413,P$1)</f>
        <v>0</v>
      </c>
      <c r="Q212" s="80">
        <f>SUMIFS('февраль 2024'!$G$6:$G$1413,'февраль 2024'!$D$6:$D$1413,$B212,'февраль 2024'!$J$6:$J$1413,Q$1)</f>
        <v>0</v>
      </c>
      <c r="R212" s="80">
        <f>SUMIFS('февраль 2024'!$G$6:$G$1413,'февраль 2024'!$D$6:$D$1413,$B212,'февраль 2024'!$J$6:$J$1413,R$1)</f>
        <v>0</v>
      </c>
      <c r="S212" s="80">
        <f>SUMIFS('февраль 2024'!$G$6:$G$1413,'февраль 2024'!$D$6:$D$1413,$B212,'февраль 2024'!$J$6:$J$1413,S$1)</f>
        <v>0</v>
      </c>
      <c r="T212" s="80">
        <f>SUMIFS('февраль 2024'!$G$6:$G$1413,'февраль 2024'!$D$6:$D$1413,$B212,'февраль 2024'!$J$6:$J$1413,T$1)</f>
        <v>0</v>
      </c>
      <c r="U212" s="80">
        <f>SUMIFS('февраль 2024'!$G$6:$G$1413,'февраль 2024'!$D$6:$D$1413,$B212,'февраль 2024'!$J$6:$J$1413,U$1)</f>
        <v>0</v>
      </c>
      <c r="V212" s="80">
        <f>SUMIFS('февраль 2024'!$G$6:$G$1413,'февраль 2024'!$D$6:$D$1413,$B212,'февраль 2024'!$J$6:$J$1413,V$1)</f>
        <v>0</v>
      </c>
      <c r="W212" s="80">
        <f>SUMIFS('февраль 2024'!$G$6:$G$1413,'февраль 2024'!$D$6:$D$1413,$B212,'февраль 2024'!$J$6:$J$1413,W$1)</f>
        <v>0</v>
      </c>
      <c r="X212" s="80">
        <f>SUMIFS('февраль 2024'!$G$6:$G$1413,'февраль 2024'!$D$6:$D$1413,$B212,'февраль 2024'!$J$6:$J$1413,X$1)</f>
        <v>0</v>
      </c>
      <c r="Y212" s="80">
        <f>SUMIFS('февраль 2024'!$G$6:$G$1413,'февраль 2024'!$D$6:$D$1413,$B212,'февраль 2024'!$J$6:$J$1413,Y$1)</f>
        <v>0</v>
      </c>
      <c r="Z212" s="80">
        <f>SUMIFS('февраль 2024'!$G$6:$G$1413,'февраль 2024'!$D$6:$D$1413,$B212,'февраль 2024'!$J$6:$J$1413,Z$1)</f>
        <v>0</v>
      </c>
      <c r="AA212" s="80">
        <f>SUMIFS('февраль 2024'!$G$6:$G$1413,'февраль 2024'!$D$6:$D$1413,$B212,'февраль 2024'!$J$6:$J$1413,AA$1)</f>
        <v>0</v>
      </c>
      <c r="AB212" s="80">
        <f>SUMIFS('февраль 2024'!$G$6:$G$1413,'февраль 2024'!$D$6:$D$1413,$B212,'февраль 2024'!$J$6:$J$1413,AB$1)</f>
        <v>0</v>
      </c>
      <c r="AC212" s="80">
        <f>SUMIFS('февраль 2024'!$G$6:$G$1413,'февраль 2024'!$D$6:$D$1413,$B212,'февраль 2024'!$J$6:$J$1413,AC$1)</f>
        <v>0</v>
      </c>
      <c r="AD212" s="80">
        <f>SUMIFS('февраль 2024'!$G$6:$G$1413,'февраль 2024'!$D$6:$D$1413,$B212,'февраль 2024'!$J$6:$J$1413,AD$1)</f>
        <v>0</v>
      </c>
      <c r="AE212" s="80">
        <f>SUMIFS('февраль 2024'!$G$6:$G$1413,'февраль 2024'!$D$6:$D$1413,$B212,'февраль 2024'!$J$6:$J$1413,AE$1)</f>
        <v>0</v>
      </c>
      <c r="AF212" s="80">
        <f>SUMIFS('февраль 2024'!$G$6:$G$1413,'февраль 2024'!$D$6:$D$1413,$B212,'февраль 2024'!$J$6:$J$1413,AF$1)</f>
        <v>0</v>
      </c>
      <c r="AG212" s="80">
        <f>SUMIFS('февраль 2024'!$G$6:$G$1413,'февраль 2024'!$D$6:$D$1413,$B212,'февраль 2024'!$J$6:$J$1413,AG$1)</f>
        <v>0</v>
      </c>
      <c r="AH212" s="80">
        <f>SUMIFS('февраль 2024'!$G$6:$G$1413,'февраль 2024'!$D$6:$D$1413,$B212,'февраль 2024'!$J$6:$J$1413,AH$1)</f>
        <v>0</v>
      </c>
      <c r="AI212" s="87"/>
    </row>
    <row r="213" spans="2:35" ht="15" hidden="1" customHeight="1" x14ac:dyDescent="0.25">
      <c r="B213" s="89"/>
      <c r="C213" s="88"/>
      <c r="D213" s="80">
        <f>SUMIFS('февраль 2024'!$G$6:$G$1413,'февраль 2024'!$D$6:$D$1413,$B213,'февраль 2024'!$J$6:$J$1413,D$1)</f>
        <v>0</v>
      </c>
      <c r="E213" s="80">
        <f>SUMIFS('февраль 2024'!$G$6:$G$1413,'февраль 2024'!$D$6:$D$1413,$B213,'февраль 2024'!$J$6:$J$1413,E$1)</f>
        <v>0</v>
      </c>
      <c r="F213" s="80">
        <f>SUMIFS('февраль 2024'!$G$6:$G$1413,'февраль 2024'!$D$6:$D$1413,$B213,'февраль 2024'!$J$6:$J$1413,F$1)</f>
        <v>0</v>
      </c>
      <c r="G213" s="80">
        <f>SUMIFS('февраль 2024'!$G$6:$G$1413,'февраль 2024'!$D$6:$D$1413,$B213,'февраль 2024'!$J$6:$J$1413,G$1)</f>
        <v>0</v>
      </c>
      <c r="H213" s="80">
        <f>SUMIFS('февраль 2024'!$G$6:$G$1413,'февраль 2024'!$D$6:$D$1413,$B213,'февраль 2024'!$J$6:$J$1413,H$1)</f>
        <v>0</v>
      </c>
      <c r="I213" s="80">
        <f>SUMIFS('февраль 2024'!$G$6:$G$1413,'февраль 2024'!$D$6:$D$1413,$B213,'февраль 2024'!$J$6:$J$1413,I$1)</f>
        <v>0</v>
      </c>
      <c r="J213" s="80">
        <f>SUMIFS('февраль 2024'!$G$6:$G$1413,'февраль 2024'!$D$6:$D$1413,$B213,'февраль 2024'!$J$6:$J$1413,J$1)</f>
        <v>0</v>
      </c>
      <c r="K213" s="80">
        <f>SUMIFS('февраль 2024'!$G$6:$G$1413,'февраль 2024'!$D$6:$D$1413,$B213,'февраль 2024'!$J$6:$J$1413,K$1)</f>
        <v>0</v>
      </c>
      <c r="L213" s="80">
        <f>SUMIFS('февраль 2024'!$G$6:$G$1413,'февраль 2024'!$D$6:$D$1413,$B213,'февраль 2024'!$J$6:$J$1413,L$1)</f>
        <v>0</v>
      </c>
      <c r="M213" s="80">
        <f>SUMIFS('февраль 2024'!$G$6:$G$1413,'февраль 2024'!$D$6:$D$1413,$B213,'февраль 2024'!$J$6:$J$1413,M$1)</f>
        <v>0</v>
      </c>
      <c r="N213" s="80">
        <f>SUMIFS('февраль 2024'!$G$6:$G$1413,'февраль 2024'!$D$6:$D$1413,$B213,'февраль 2024'!$J$6:$J$1413,N$1)</f>
        <v>0</v>
      </c>
      <c r="O213" s="80">
        <f>SUMIFS('февраль 2024'!$G$6:$G$1413,'февраль 2024'!$D$6:$D$1413,$B213,'февраль 2024'!$J$6:$J$1413,O$1)</f>
        <v>0</v>
      </c>
      <c r="P213" s="80">
        <f>SUMIFS('февраль 2024'!$G$6:$G$1413,'февраль 2024'!$D$6:$D$1413,$B213,'февраль 2024'!$J$6:$J$1413,P$1)</f>
        <v>0</v>
      </c>
      <c r="Q213" s="80">
        <f>SUMIFS('февраль 2024'!$G$6:$G$1413,'февраль 2024'!$D$6:$D$1413,$B213,'февраль 2024'!$J$6:$J$1413,Q$1)</f>
        <v>0</v>
      </c>
      <c r="R213" s="80">
        <f>SUMIFS('февраль 2024'!$G$6:$G$1413,'февраль 2024'!$D$6:$D$1413,$B213,'февраль 2024'!$J$6:$J$1413,R$1)</f>
        <v>0</v>
      </c>
      <c r="S213" s="80">
        <f>SUMIFS('февраль 2024'!$G$6:$G$1413,'февраль 2024'!$D$6:$D$1413,$B213,'февраль 2024'!$J$6:$J$1413,S$1)</f>
        <v>0</v>
      </c>
      <c r="T213" s="80">
        <f>SUMIFS('февраль 2024'!$G$6:$G$1413,'февраль 2024'!$D$6:$D$1413,$B213,'февраль 2024'!$J$6:$J$1413,T$1)</f>
        <v>0</v>
      </c>
      <c r="U213" s="80">
        <f>SUMIFS('февраль 2024'!$G$6:$G$1413,'февраль 2024'!$D$6:$D$1413,$B213,'февраль 2024'!$J$6:$J$1413,U$1)</f>
        <v>0</v>
      </c>
      <c r="V213" s="80">
        <f>SUMIFS('февраль 2024'!$G$6:$G$1413,'февраль 2024'!$D$6:$D$1413,$B213,'февраль 2024'!$J$6:$J$1413,V$1)</f>
        <v>0</v>
      </c>
      <c r="W213" s="80">
        <f>SUMIFS('февраль 2024'!$G$6:$G$1413,'февраль 2024'!$D$6:$D$1413,$B213,'февраль 2024'!$J$6:$J$1413,W$1)</f>
        <v>0</v>
      </c>
      <c r="X213" s="80">
        <f>SUMIFS('февраль 2024'!$G$6:$G$1413,'февраль 2024'!$D$6:$D$1413,$B213,'февраль 2024'!$J$6:$J$1413,X$1)</f>
        <v>0</v>
      </c>
      <c r="Y213" s="80">
        <f>SUMIFS('февраль 2024'!$G$6:$G$1413,'февраль 2024'!$D$6:$D$1413,$B213,'февраль 2024'!$J$6:$J$1413,Y$1)</f>
        <v>0</v>
      </c>
      <c r="Z213" s="80">
        <f>SUMIFS('февраль 2024'!$G$6:$G$1413,'февраль 2024'!$D$6:$D$1413,$B213,'февраль 2024'!$J$6:$J$1413,Z$1)</f>
        <v>0</v>
      </c>
      <c r="AA213" s="80">
        <f>SUMIFS('февраль 2024'!$G$6:$G$1413,'февраль 2024'!$D$6:$D$1413,$B213,'февраль 2024'!$J$6:$J$1413,AA$1)</f>
        <v>0</v>
      </c>
      <c r="AB213" s="80">
        <f>SUMIFS('февраль 2024'!$G$6:$G$1413,'февраль 2024'!$D$6:$D$1413,$B213,'февраль 2024'!$J$6:$J$1413,AB$1)</f>
        <v>0</v>
      </c>
      <c r="AC213" s="80">
        <f>SUMIFS('февраль 2024'!$G$6:$G$1413,'февраль 2024'!$D$6:$D$1413,$B213,'февраль 2024'!$J$6:$J$1413,AC$1)</f>
        <v>0</v>
      </c>
      <c r="AD213" s="80">
        <f>SUMIFS('февраль 2024'!$G$6:$G$1413,'февраль 2024'!$D$6:$D$1413,$B213,'февраль 2024'!$J$6:$J$1413,AD$1)</f>
        <v>0</v>
      </c>
      <c r="AE213" s="80">
        <f>SUMIFS('февраль 2024'!$G$6:$G$1413,'февраль 2024'!$D$6:$D$1413,$B213,'февраль 2024'!$J$6:$J$1413,AE$1)</f>
        <v>0</v>
      </c>
      <c r="AF213" s="80">
        <f>SUMIFS('февраль 2024'!$G$6:$G$1413,'февраль 2024'!$D$6:$D$1413,$B213,'февраль 2024'!$J$6:$J$1413,AF$1)</f>
        <v>0</v>
      </c>
      <c r="AG213" s="80">
        <f>SUMIFS('февраль 2024'!$G$6:$G$1413,'февраль 2024'!$D$6:$D$1413,$B213,'февраль 2024'!$J$6:$J$1413,AG$1)</f>
        <v>0</v>
      </c>
      <c r="AH213" s="80">
        <f>SUMIFS('февраль 2024'!$G$6:$G$1413,'февраль 2024'!$D$6:$D$1413,$B213,'февраль 2024'!$J$6:$J$1413,AH$1)</f>
        <v>0</v>
      </c>
      <c r="AI213" s="87"/>
    </row>
    <row r="214" spans="2:35" ht="15" hidden="1" customHeight="1" x14ac:dyDescent="0.25">
      <c r="B214" s="89"/>
      <c r="C214" s="88"/>
      <c r="D214" s="80">
        <f>SUMIFS('февраль 2024'!$G$6:$G$1413,'февраль 2024'!$D$6:$D$1413,$B214,'февраль 2024'!$J$6:$J$1413,D$1)</f>
        <v>0</v>
      </c>
      <c r="E214" s="80">
        <f>SUMIFS('февраль 2024'!$G$6:$G$1413,'февраль 2024'!$D$6:$D$1413,$B214,'февраль 2024'!$J$6:$J$1413,E$1)</f>
        <v>0</v>
      </c>
      <c r="F214" s="80">
        <f>SUMIFS('февраль 2024'!$G$6:$G$1413,'февраль 2024'!$D$6:$D$1413,$B214,'февраль 2024'!$J$6:$J$1413,F$1)</f>
        <v>0</v>
      </c>
      <c r="G214" s="80">
        <f>SUMIFS('февраль 2024'!$G$6:$G$1413,'февраль 2024'!$D$6:$D$1413,$B214,'февраль 2024'!$J$6:$J$1413,G$1)</f>
        <v>0</v>
      </c>
      <c r="H214" s="80">
        <f>SUMIFS('февраль 2024'!$G$6:$G$1413,'февраль 2024'!$D$6:$D$1413,$B214,'февраль 2024'!$J$6:$J$1413,H$1)</f>
        <v>0</v>
      </c>
      <c r="I214" s="80">
        <f>SUMIFS('февраль 2024'!$G$6:$G$1413,'февраль 2024'!$D$6:$D$1413,$B214,'февраль 2024'!$J$6:$J$1413,I$1)</f>
        <v>0</v>
      </c>
      <c r="J214" s="80">
        <f>SUMIFS('февраль 2024'!$G$6:$G$1413,'февраль 2024'!$D$6:$D$1413,$B214,'февраль 2024'!$J$6:$J$1413,J$1)</f>
        <v>0</v>
      </c>
      <c r="K214" s="80">
        <f>SUMIFS('февраль 2024'!$G$6:$G$1413,'февраль 2024'!$D$6:$D$1413,$B214,'февраль 2024'!$J$6:$J$1413,K$1)</f>
        <v>0</v>
      </c>
      <c r="L214" s="80">
        <f>SUMIFS('февраль 2024'!$G$6:$G$1413,'февраль 2024'!$D$6:$D$1413,$B214,'февраль 2024'!$J$6:$J$1413,L$1)</f>
        <v>0</v>
      </c>
      <c r="M214" s="80">
        <f>SUMIFS('февраль 2024'!$G$6:$G$1413,'февраль 2024'!$D$6:$D$1413,$B214,'февраль 2024'!$J$6:$J$1413,M$1)</f>
        <v>0</v>
      </c>
      <c r="N214" s="80">
        <f>SUMIFS('февраль 2024'!$G$6:$G$1413,'февраль 2024'!$D$6:$D$1413,$B214,'февраль 2024'!$J$6:$J$1413,N$1)</f>
        <v>0</v>
      </c>
      <c r="O214" s="80">
        <f>SUMIFS('февраль 2024'!$G$6:$G$1413,'февраль 2024'!$D$6:$D$1413,$B214,'февраль 2024'!$J$6:$J$1413,O$1)</f>
        <v>0</v>
      </c>
      <c r="P214" s="80">
        <f>SUMIFS('февраль 2024'!$G$6:$G$1413,'февраль 2024'!$D$6:$D$1413,$B214,'февраль 2024'!$J$6:$J$1413,P$1)</f>
        <v>0</v>
      </c>
      <c r="Q214" s="80">
        <f>SUMIFS('февраль 2024'!$G$6:$G$1413,'февраль 2024'!$D$6:$D$1413,$B214,'февраль 2024'!$J$6:$J$1413,Q$1)</f>
        <v>0</v>
      </c>
      <c r="R214" s="80">
        <f>SUMIFS('февраль 2024'!$G$6:$G$1413,'февраль 2024'!$D$6:$D$1413,$B214,'февраль 2024'!$J$6:$J$1413,R$1)</f>
        <v>0</v>
      </c>
      <c r="S214" s="80">
        <f>SUMIFS('февраль 2024'!$G$6:$G$1413,'февраль 2024'!$D$6:$D$1413,$B214,'февраль 2024'!$J$6:$J$1413,S$1)</f>
        <v>0</v>
      </c>
      <c r="T214" s="80">
        <f>SUMIFS('февраль 2024'!$G$6:$G$1413,'февраль 2024'!$D$6:$D$1413,$B214,'февраль 2024'!$J$6:$J$1413,T$1)</f>
        <v>0</v>
      </c>
      <c r="U214" s="80">
        <f>SUMIFS('февраль 2024'!$G$6:$G$1413,'февраль 2024'!$D$6:$D$1413,$B214,'февраль 2024'!$J$6:$J$1413,U$1)</f>
        <v>0</v>
      </c>
      <c r="V214" s="80">
        <f>SUMIFS('февраль 2024'!$G$6:$G$1413,'февраль 2024'!$D$6:$D$1413,$B214,'февраль 2024'!$J$6:$J$1413,V$1)</f>
        <v>0</v>
      </c>
      <c r="W214" s="80">
        <f>SUMIFS('февраль 2024'!$G$6:$G$1413,'февраль 2024'!$D$6:$D$1413,$B214,'февраль 2024'!$J$6:$J$1413,W$1)</f>
        <v>0</v>
      </c>
      <c r="X214" s="80">
        <f>SUMIFS('февраль 2024'!$G$6:$G$1413,'февраль 2024'!$D$6:$D$1413,$B214,'февраль 2024'!$J$6:$J$1413,X$1)</f>
        <v>0</v>
      </c>
      <c r="Y214" s="80">
        <f>SUMIFS('февраль 2024'!$G$6:$G$1413,'февраль 2024'!$D$6:$D$1413,$B214,'февраль 2024'!$J$6:$J$1413,Y$1)</f>
        <v>0</v>
      </c>
      <c r="Z214" s="80">
        <f>SUMIFS('февраль 2024'!$G$6:$G$1413,'февраль 2024'!$D$6:$D$1413,$B214,'февраль 2024'!$J$6:$J$1413,Z$1)</f>
        <v>0</v>
      </c>
      <c r="AA214" s="80">
        <f>SUMIFS('февраль 2024'!$G$6:$G$1413,'февраль 2024'!$D$6:$D$1413,$B214,'февраль 2024'!$J$6:$J$1413,AA$1)</f>
        <v>0</v>
      </c>
      <c r="AB214" s="80">
        <f>SUMIFS('февраль 2024'!$G$6:$G$1413,'февраль 2024'!$D$6:$D$1413,$B214,'февраль 2024'!$J$6:$J$1413,AB$1)</f>
        <v>0</v>
      </c>
      <c r="AC214" s="80">
        <f>SUMIFS('февраль 2024'!$G$6:$G$1413,'февраль 2024'!$D$6:$D$1413,$B214,'февраль 2024'!$J$6:$J$1413,AC$1)</f>
        <v>0</v>
      </c>
      <c r="AD214" s="80">
        <f>SUMIFS('февраль 2024'!$G$6:$G$1413,'февраль 2024'!$D$6:$D$1413,$B214,'февраль 2024'!$J$6:$J$1413,AD$1)</f>
        <v>0</v>
      </c>
      <c r="AE214" s="80">
        <f>SUMIFS('февраль 2024'!$G$6:$G$1413,'февраль 2024'!$D$6:$D$1413,$B214,'февраль 2024'!$J$6:$J$1413,AE$1)</f>
        <v>0</v>
      </c>
      <c r="AF214" s="80">
        <f>SUMIFS('февраль 2024'!$G$6:$G$1413,'февраль 2024'!$D$6:$D$1413,$B214,'февраль 2024'!$J$6:$J$1413,AF$1)</f>
        <v>0</v>
      </c>
      <c r="AG214" s="80">
        <f>SUMIFS('февраль 2024'!$G$6:$G$1413,'февраль 2024'!$D$6:$D$1413,$B214,'февраль 2024'!$J$6:$J$1413,AG$1)</f>
        <v>0</v>
      </c>
      <c r="AH214" s="80">
        <f>SUMIFS('февраль 2024'!$G$6:$G$1413,'февраль 2024'!$D$6:$D$1413,$B214,'февраль 2024'!$J$6:$J$1413,AH$1)</f>
        <v>0</v>
      </c>
      <c r="AI214" s="87"/>
    </row>
    <row r="215" spans="2:35" ht="15" hidden="1" customHeight="1" x14ac:dyDescent="0.25">
      <c r="B215" s="89"/>
      <c r="C215" s="88"/>
      <c r="D215" s="80">
        <f>SUMIFS('февраль 2024'!$G$6:$G$1413,'февраль 2024'!$D$6:$D$1413,$B215,'февраль 2024'!$J$6:$J$1413,D$1)</f>
        <v>0</v>
      </c>
      <c r="E215" s="80">
        <f>SUMIFS('февраль 2024'!$G$6:$G$1413,'февраль 2024'!$D$6:$D$1413,$B215,'февраль 2024'!$J$6:$J$1413,E$1)</f>
        <v>0</v>
      </c>
      <c r="F215" s="80">
        <f>SUMIFS('февраль 2024'!$G$6:$G$1413,'февраль 2024'!$D$6:$D$1413,$B215,'февраль 2024'!$J$6:$J$1413,F$1)</f>
        <v>0</v>
      </c>
      <c r="G215" s="80">
        <f>SUMIFS('февраль 2024'!$G$6:$G$1413,'февраль 2024'!$D$6:$D$1413,$B215,'февраль 2024'!$J$6:$J$1413,G$1)</f>
        <v>0</v>
      </c>
      <c r="H215" s="80">
        <f>SUMIFS('февраль 2024'!$G$6:$G$1413,'февраль 2024'!$D$6:$D$1413,$B215,'февраль 2024'!$J$6:$J$1413,H$1)</f>
        <v>0</v>
      </c>
      <c r="I215" s="80">
        <f>SUMIFS('февраль 2024'!$G$6:$G$1413,'февраль 2024'!$D$6:$D$1413,$B215,'февраль 2024'!$J$6:$J$1413,I$1)</f>
        <v>0</v>
      </c>
      <c r="J215" s="80">
        <f>SUMIFS('февраль 2024'!$G$6:$G$1413,'февраль 2024'!$D$6:$D$1413,$B215,'февраль 2024'!$J$6:$J$1413,J$1)</f>
        <v>0</v>
      </c>
      <c r="K215" s="80">
        <f>SUMIFS('февраль 2024'!$G$6:$G$1413,'февраль 2024'!$D$6:$D$1413,$B215,'февраль 2024'!$J$6:$J$1413,K$1)</f>
        <v>0</v>
      </c>
      <c r="L215" s="80">
        <f>SUMIFS('февраль 2024'!$G$6:$G$1413,'февраль 2024'!$D$6:$D$1413,$B215,'февраль 2024'!$J$6:$J$1413,L$1)</f>
        <v>0</v>
      </c>
      <c r="M215" s="80">
        <f>SUMIFS('февраль 2024'!$G$6:$G$1413,'февраль 2024'!$D$6:$D$1413,$B215,'февраль 2024'!$J$6:$J$1413,M$1)</f>
        <v>0</v>
      </c>
      <c r="N215" s="80">
        <f>SUMIFS('февраль 2024'!$G$6:$G$1413,'февраль 2024'!$D$6:$D$1413,$B215,'февраль 2024'!$J$6:$J$1413,N$1)</f>
        <v>0</v>
      </c>
      <c r="O215" s="80">
        <f>SUMIFS('февраль 2024'!$G$6:$G$1413,'февраль 2024'!$D$6:$D$1413,$B215,'февраль 2024'!$J$6:$J$1413,O$1)</f>
        <v>0</v>
      </c>
      <c r="P215" s="80">
        <f>SUMIFS('февраль 2024'!$G$6:$G$1413,'февраль 2024'!$D$6:$D$1413,$B215,'февраль 2024'!$J$6:$J$1413,P$1)</f>
        <v>0</v>
      </c>
      <c r="Q215" s="80">
        <f>SUMIFS('февраль 2024'!$G$6:$G$1413,'февраль 2024'!$D$6:$D$1413,$B215,'февраль 2024'!$J$6:$J$1413,Q$1)</f>
        <v>0</v>
      </c>
      <c r="R215" s="80">
        <f>SUMIFS('февраль 2024'!$G$6:$G$1413,'февраль 2024'!$D$6:$D$1413,$B215,'февраль 2024'!$J$6:$J$1413,R$1)</f>
        <v>0</v>
      </c>
      <c r="S215" s="80">
        <f>SUMIFS('февраль 2024'!$G$6:$G$1413,'февраль 2024'!$D$6:$D$1413,$B215,'февраль 2024'!$J$6:$J$1413,S$1)</f>
        <v>0</v>
      </c>
      <c r="T215" s="80">
        <f>SUMIFS('февраль 2024'!$G$6:$G$1413,'февраль 2024'!$D$6:$D$1413,$B215,'февраль 2024'!$J$6:$J$1413,T$1)</f>
        <v>0</v>
      </c>
      <c r="U215" s="80">
        <f>SUMIFS('февраль 2024'!$G$6:$G$1413,'февраль 2024'!$D$6:$D$1413,$B215,'февраль 2024'!$J$6:$J$1413,U$1)</f>
        <v>0</v>
      </c>
      <c r="V215" s="80">
        <f>SUMIFS('февраль 2024'!$G$6:$G$1413,'февраль 2024'!$D$6:$D$1413,$B215,'февраль 2024'!$J$6:$J$1413,V$1)</f>
        <v>0</v>
      </c>
      <c r="W215" s="80">
        <f>SUMIFS('февраль 2024'!$G$6:$G$1413,'февраль 2024'!$D$6:$D$1413,$B215,'февраль 2024'!$J$6:$J$1413,W$1)</f>
        <v>0</v>
      </c>
      <c r="X215" s="80">
        <f>SUMIFS('февраль 2024'!$G$6:$G$1413,'февраль 2024'!$D$6:$D$1413,$B215,'февраль 2024'!$J$6:$J$1413,X$1)</f>
        <v>0</v>
      </c>
      <c r="Y215" s="80">
        <f>SUMIFS('февраль 2024'!$G$6:$G$1413,'февраль 2024'!$D$6:$D$1413,$B215,'февраль 2024'!$J$6:$J$1413,Y$1)</f>
        <v>0</v>
      </c>
      <c r="Z215" s="80">
        <f>SUMIFS('февраль 2024'!$G$6:$G$1413,'февраль 2024'!$D$6:$D$1413,$B215,'февраль 2024'!$J$6:$J$1413,Z$1)</f>
        <v>0</v>
      </c>
      <c r="AA215" s="80">
        <f>SUMIFS('февраль 2024'!$G$6:$G$1413,'февраль 2024'!$D$6:$D$1413,$B215,'февраль 2024'!$J$6:$J$1413,AA$1)</f>
        <v>0</v>
      </c>
      <c r="AB215" s="80">
        <f>SUMIFS('февраль 2024'!$G$6:$G$1413,'февраль 2024'!$D$6:$D$1413,$B215,'февраль 2024'!$J$6:$J$1413,AB$1)</f>
        <v>0</v>
      </c>
      <c r="AC215" s="80">
        <f>SUMIFS('февраль 2024'!$G$6:$G$1413,'февраль 2024'!$D$6:$D$1413,$B215,'февраль 2024'!$J$6:$J$1413,AC$1)</f>
        <v>0</v>
      </c>
      <c r="AD215" s="80">
        <f>SUMIFS('февраль 2024'!$G$6:$G$1413,'февраль 2024'!$D$6:$D$1413,$B215,'февраль 2024'!$J$6:$J$1413,AD$1)</f>
        <v>0</v>
      </c>
      <c r="AE215" s="80">
        <f>SUMIFS('февраль 2024'!$G$6:$G$1413,'февраль 2024'!$D$6:$D$1413,$B215,'февраль 2024'!$J$6:$J$1413,AE$1)</f>
        <v>0</v>
      </c>
      <c r="AF215" s="80">
        <f>SUMIFS('февраль 2024'!$G$6:$G$1413,'февраль 2024'!$D$6:$D$1413,$B215,'февраль 2024'!$J$6:$J$1413,AF$1)</f>
        <v>0</v>
      </c>
      <c r="AG215" s="80">
        <f>SUMIFS('февраль 2024'!$G$6:$G$1413,'февраль 2024'!$D$6:$D$1413,$B215,'февраль 2024'!$J$6:$J$1413,AG$1)</f>
        <v>0</v>
      </c>
      <c r="AH215" s="80">
        <f>SUMIFS('февраль 2024'!$G$6:$G$1413,'февраль 2024'!$D$6:$D$1413,$B215,'февраль 2024'!$J$6:$J$1413,AH$1)</f>
        <v>0</v>
      </c>
      <c r="AI215" s="87"/>
    </row>
    <row r="216" spans="2:35" ht="15" hidden="1" customHeight="1" thickBot="1" x14ac:dyDescent="0.3">
      <c r="B216" s="89"/>
      <c r="C216" s="96"/>
      <c r="D216" s="80">
        <f>SUMIFS('февраль 2024'!$G$6:$G$1413,'февраль 2024'!$D$6:$D$1413,$B216,'февраль 2024'!$J$6:$J$1413,D$1)</f>
        <v>0</v>
      </c>
      <c r="E216" s="80">
        <f>SUMIFS('февраль 2024'!$G$6:$G$1413,'февраль 2024'!$D$6:$D$1413,$B216,'февраль 2024'!$J$6:$J$1413,E$1)</f>
        <v>0</v>
      </c>
      <c r="F216" s="80">
        <f>SUMIFS('февраль 2024'!$G$6:$G$1413,'февраль 2024'!$D$6:$D$1413,$B216,'февраль 2024'!$J$6:$J$1413,F$1)</f>
        <v>0</v>
      </c>
      <c r="G216" s="80">
        <f>SUMIFS('февраль 2024'!$G$6:$G$1413,'февраль 2024'!$D$6:$D$1413,$B216,'февраль 2024'!$J$6:$J$1413,G$1)</f>
        <v>0</v>
      </c>
      <c r="H216" s="80">
        <f>SUMIFS('февраль 2024'!$G$6:$G$1413,'февраль 2024'!$D$6:$D$1413,$B216,'февраль 2024'!$J$6:$J$1413,H$1)</f>
        <v>0</v>
      </c>
      <c r="I216" s="80">
        <f>SUMIFS('февраль 2024'!$G$6:$G$1413,'февраль 2024'!$D$6:$D$1413,$B216,'февраль 2024'!$J$6:$J$1413,I$1)</f>
        <v>0</v>
      </c>
      <c r="J216" s="80">
        <f>SUMIFS('февраль 2024'!$G$6:$G$1413,'февраль 2024'!$D$6:$D$1413,$B216,'февраль 2024'!$J$6:$J$1413,J$1)</f>
        <v>0</v>
      </c>
      <c r="K216" s="80">
        <f>SUMIFS('февраль 2024'!$G$6:$G$1413,'февраль 2024'!$D$6:$D$1413,$B216,'февраль 2024'!$J$6:$J$1413,K$1)</f>
        <v>0</v>
      </c>
      <c r="L216" s="80">
        <f>SUMIFS('февраль 2024'!$G$6:$G$1413,'февраль 2024'!$D$6:$D$1413,$B216,'февраль 2024'!$J$6:$J$1413,L$1)</f>
        <v>0</v>
      </c>
      <c r="M216" s="80">
        <f>SUMIFS('февраль 2024'!$G$6:$G$1413,'февраль 2024'!$D$6:$D$1413,$B216,'февраль 2024'!$J$6:$J$1413,M$1)</f>
        <v>0</v>
      </c>
      <c r="N216" s="80">
        <f>SUMIFS('февраль 2024'!$G$6:$G$1413,'февраль 2024'!$D$6:$D$1413,$B216,'февраль 2024'!$J$6:$J$1413,N$1)</f>
        <v>0</v>
      </c>
      <c r="O216" s="80">
        <f>SUMIFS('февраль 2024'!$G$6:$G$1413,'февраль 2024'!$D$6:$D$1413,$B216,'февраль 2024'!$J$6:$J$1413,O$1)</f>
        <v>0</v>
      </c>
      <c r="P216" s="80">
        <f>SUMIFS('февраль 2024'!$G$6:$G$1413,'февраль 2024'!$D$6:$D$1413,$B216,'февраль 2024'!$J$6:$J$1413,P$1)</f>
        <v>0</v>
      </c>
      <c r="Q216" s="80">
        <f>SUMIFS('февраль 2024'!$G$6:$G$1413,'февраль 2024'!$D$6:$D$1413,$B216,'февраль 2024'!$J$6:$J$1413,Q$1)</f>
        <v>0</v>
      </c>
      <c r="R216" s="80">
        <f>SUMIFS('февраль 2024'!$G$6:$G$1413,'февраль 2024'!$D$6:$D$1413,$B216,'февраль 2024'!$J$6:$J$1413,R$1)</f>
        <v>0</v>
      </c>
      <c r="S216" s="80">
        <f>SUMIFS('февраль 2024'!$G$6:$G$1413,'февраль 2024'!$D$6:$D$1413,$B216,'февраль 2024'!$J$6:$J$1413,S$1)</f>
        <v>0</v>
      </c>
      <c r="T216" s="80">
        <f>SUMIFS('февраль 2024'!$G$6:$G$1413,'февраль 2024'!$D$6:$D$1413,$B216,'февраль 2024'!$J$6:$J$1413,T$1)</f>
        <v>0</v>
      </c>
      <c r="U216" s="80">
        <f>SUMIFS('февраль 2024'!$G$6:$G$1413,'февраль 2024'!$D$6:$D$1413,$B216,'февраль 2024'!$J$6:$J$1413,U$1)</f>
        <v>0</v>
      </c>
      <c r="V216" s="80">
        <f>SUMIFS('февраль 2024'!$G$6:$G$1413,'февраль 2024'!$D$6:$D$1413,$B216,'февраль 2024'!$J$6:$J$1413,V$1)</f>
        <v>0</v>
      </c>
      <c r="W216" s="80">
        <f>SUMIFS('февраль 2024'!$G$6:$G$1413,'февраль 2024'!$D$6:$D$1413,$B216,'февраль 2024'!$J$6:$J$1413,W$1)</f>
        <v>0</v>
      </c>
      <c r="X216" s="80">
        <f>SUMIFS('февраль 2024'!$G$6:$G$1413,'февраль 2024'!$D$6:$D$1413,$B216,'февраль 2024'!$J$6:$J$1413,X$1)</f>
        <v>0</v>
      </c>
      <c r="Y216" s="80">
        <f>SUMIFS('февраль 2024'!$G$6:$G$1413,'февраль 2024'!$D$6:$D$1413,$B216,'февраль 2024'!$J$6:$J$1413,Y$1)</f>
        <v>0</v>
      </c>
      <c r="Z216" s="80">
        <f>SUMIFS('февраль 2024'!$G$6:$G$1413,'февраль 2024'!$D$6:$D$1413,$B216,'февраль 2024'!$J$6:$J$1413,Z$1)</f>
        <v>0</v>
      </c>
      <c r="AA216" s="80">
        <f>SUMIFS('февраль 2024'!$G$6:$G$1413,'февраль 2024'!$D$6:$D$1413,$B216,'февраль 2024'!$J$6:$J$1413,AA$1)</f>
        <v>0</v>
      </c>
      <c r="AB216" s="80">
        <f>SUMIFS('февраль 2024'!$G$6:$G$1413,'февраль 2024'!$D$6:$D$1413,$B216,'февраль 2024'!$J$6:$J$1413,AB$1)</f>
        <v>0</v>
      </c>
      <c r="AC216" s="80">
        <f>SUMIFS('февраль 2024'!$G$6:$G$1413,'февраль 2024'!$D$6:$D$1413,$B216,'февраль 2024'!$J$6:$J$1413,AC$1)</f>
        <v>0</v>
      </c>
      <c r="AD216" s="80">
        <f>SUMIFS('февраль 2024'!$G$6:$G$1413,'февраль 2024'!$D$6:$D$1413,$B216,'февраль 2024'!$J$6:$J$1413,AD$1)</f>
        <v>0</v>
      </c>
      <c r="AE216" s="80">
        <f>SUMIFS('февраль 2024'!$G$6:$G$1413,'февраль 2024'!$D$6:$D$1413,$B216,'февраль 2024'!$J$6:$J$1413,AE$1)</f>
        <v>0</v>
      </c>
      <c r="AF216" s="80">
        <f>SUMIFS('февраль 2024'!$G$6:$G$1413,'февраль 2024'!$D$6:$D$1413,$B216,'февраль 2024'!$J$6:$J$1413,AF$1)</f>
        <v>0</v>
      </c>
      <c r="AG216" s="80">
        <f>SUMIFS('февраль 2024'!$G$6:$G$1413,'февраль 2024'!$D$6:$D$1413,$B216,'февраль 2024'!$J$6:$J$1413,AG$1)</f>
        <v>0</v>
      </c>
      <c r="AH216" s="80">
        <f>SUMIFS('февраль 2024'!$G$6:$G$1413,'февраль 2024'!$D$6:$D$1413,$B216,'февраль 2024'!$J$6:$J$1413,AH$1)</f>
        <v>0</v>
      </c>
      <c r="AI216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300-000000000000}">
          <x14:formula1>
            <xm:f>справочник!$E$2:$E$155</xm:f>
          </x14:formula1>
          <xm:sqref>B3:B196</xm:sqref>
        </x14:dataValidation>
        <x14:dataValidation type="list" allowBlank="1" showInputMessage="1" showErrorMessage="1" xr:uid="{00000000-0002-0000-1300-000001000000}">
          <x14:formula1>
            <xm:f>справочник!$E$1:$E$2+справочник!$E$2:$E$37</xm:f>
          </x14:formula1>
          <xm:sqref>B197:B216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I215"/>
  <sheetViews>
    <sheetView showZeros="0" topLeftCell="A76" zoomScale="70" zoomScaleNormal="70" workbookViewId="0">
      <selection activeCell="C95" sqref="C95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45474</v>
      </c>
      <c r="C1" s="72"/>
      <c r="D1" s="73">
        <f>B1</f>
        <v>45474</v>
      </c>
      <c r="E1" s="73">
        <f>D1+1</f>
        <v>45475</v>
      </c>
      <c r="F1" s="73">
        <f t="shared" ref="F1:AH1" si="0">E1+1</f>
        <v>45476</v>
      </c>
      <c r="G1" s="73">
        <f t="shared" si="0"/>
        <v>45477</v>
      </c>
      <c r="H1" s="73">
        <f t="shared" si="0"/>
        <v>45478</v>
      </c>
      <c r="I1" s="73">
        <f t="shared" si="0"/>
        <v>45479</v>
      </c>
      <c r="J1" s="73">
        <f t="shared" si="0"/>
        <v>45480</v>
      </c>
      <c r="K1" s="73">
        <f t="shared" si="0"/>
        <v>45481</v>
      </c>
      <c r="L1" s="73">
        <f t="shared" si="0"/>
        <v>45482</v>
      </c>
      <c r="M1" s="73">
        <f t="shared" si="0"/>
        <v>45483</v>
      </c>
      <c r="N1" s="73">
        <f t="shared" si="0"/>
        <v>45484</v>
      </c>
      <c r="O1" s="73">
        <f t="shared" si="0"/>
        <v>45485</v>
      </c>
      <c r="P1" s="73">
        <f t="shared" si="0"/>
        <v>45486</v>
      </c>
      <c r="Q1" s="73">
        <f t="shared" si="0"/>
        <v>45487</v>
      </c>
      <c r="R1" s="73">
        <f t="shared" si="0"/>
        <v>45488</v>
      </c>
      <c r="S1" s="73">
        <f t="shared" si="0"/>
        <v>45489</v>
      </c>
      <c r="T1" s="73">
        <f t="shared" si="0"/>
        <v>45490</v>
      </c>
      <c r="U1" s="73">
        <f t="shared" si="0"/>
        <v>45491</v>
      </c>
      <c r="V1" s="73">
        <f t="shared" si="0"/>
        <v>45492</v>
      </c>
      <c r="W1" s="73">
        <f t="shared" si="0"/>
        <v>45493</v>
      </c>
      <c r="X1" s="73">
        <f t="shared" si="0"/>
        <v>45494</v>
      </c>
      <c r="Y1" s="73">
        <f t="shared" si="0"/>
        <v>45495</v>
      </c>
      <c r="Z1" s="73">
        <f t="shared" si="0"/>
        <v>45496</v>
      </c>
      <c r="AA1" s="73">
        <f t="shared" si="0"/>
        <v>45497</v>
      </c>
      <c r="AB1" s="73">
        <f t="shared" si="0"/>
        <v>45498</v>
      </c>
      <c r="AC1" s="73">
        <f t="shared" si="0"/>
        <v>45499</v>
      </c>
      <c r="AD1" s="73">
        <f t="shared" si="0"/>
        <v>45500</v>
      </c>
      <c r="AE1" s="73">
        <f t="shared" si="0"/>
        <v>45501</v>
      </c>
      <c r="AF1" s="73">
        <f t="shared" si="0"/>
        <v>45502</v>
      </c>
      <c r="AG1" s="73">
        <f t="shared" si="0"/>
        <v>45503</v>
      </c>
      <c r="AH1" s="73">
        <f t="shared" si="0"/>
        <v>45504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SUMIFS('июль 2024'!$G$4:$G$1872,'июль 2024'!$D$4:$D$1872,$B3,'июль 2024'!$J$4:$J$1872,D$1)</f>
        <v>0</v>
      </c>
      <c r="E3" s="80">
        <f>SUMIFS('июль 2024'!$G$4:$G$1872,'июль 2024'!$D$4:$D$1872,$B3,'июль 2024'!$J$4:$J$1872,E$1)</f>
        <v>0</v>
      </c>
      <c r="F3" s="80">
        <f>SUMIFS('июль 2024'!$G$4:$G$1872,'июль 2024'!$D$4:$D$1872,$B3,'июль 2024'!$J$4:$J$1872,F$1)</f>
        <v>0</v>
      </c>
      <c r="G3" s="80">
        <f>SUMIFS('июль 2024'!$G$4:$G$1872,'июль 2024'!$D$4:$D$1872,$B3,'июль 2024'!$J$4:$J$1872,G$1)</f>
        <v>0</v>
      </c>
      <c r="H3" s="80">
        <f>SUMIFS('июль 2024'!$G$4:$G$1872,'июль 2024'!$D$4:$D$1872,$B3,'июль 2024'!$J$4:$J$1872,H$1)</f>
        <v>0</v>
      </c>
      <c r="I3" s="80">
        <f>SUMIFS('июль 2024'!$G$4:$G$1872,'июль 2024'!$D$4:$D$1872,$B3,'июль 2024'!$J$4:$J$1872,I$1)</f>
        <v>0</v>
      </c>
      <c r="J3" s="80">
        <f>SUMIFS('июль 2024'!$G$4:$G$1872,'июль 2024'!$D$4:$D$1872,$B3,'июль 2024'!$J$4:$J$1872,J$1)</f>
        <v>0</v>
      </c>
      <c r="K3" s="80">
        <f>SUMIFS('июль 2024'!$G$4:$G$1872,'июль 2024'!$D$4:$D$1872,$B3,'июль 2024'!$J$4:$J$1872,K$1)</f>
        <v>0</v>
      </c>
      <c r="L3" s="80">
        <f>SUMIFS('июль 2024'!$G$4:$G$1872,'июль 2024'!$D$4:$D$1872,$B3,'июль 2024'!$J$4:$J$1872,L$1)</f>
        <v>0</v>
      </c>
      <c r="M3" s="80">
        <f>SUMIFS('июль 2024'!$G$4:$G$1872,'июль 2024'!$D$4:$D$1872,$B3,'июль 2024'!$J$4:$J$1872,M$1)</f>
        <v>0</v>
      </c>
      <c r="N3" s="80">
        <f>SUMIFS('июль 2024'!$G$4:$G$1872,'июль 2024'!$D$4:$D$1872,$B3,'июль 2024'!$J$4:$J$1872,N$1)</f>
        <v>0</v>
      </c>
      <c r="O3" s="80">
        <f>SUMIFS('июль 2024'!$G$4:$G$1872,'июль 2024'!$D$4:$D$1872,$B3,'июль 2024'!$J$4:$J$1872,O$1)</f>
        <v>0</v>
      </c>
      <c r="P3" s="80">
        <f>SUMIFS('июль 2024'!$G$4:$G$1872,'июль 2024'!$D$4:$D$1872,$B3,'июль 2024'!$J$4:$J$1872,P$1)</f>
        <v>0</v>
      </c>
      <c r="Q3" s="80">
        <f>SUMIFS('июль 2024'!$G$4:$G$1872,'июль 2024'!$D$4:$D$1872,$B3,'июль 2024'!$J$4:$J$1872,Q$1)</f>
        <v>0</v>
      </c>
      <c r="R3" s="80">
        <f>SUMIFS('июль 2024'!$G$4:$G$1872,'июль 2024'!$D$4:$D$1872,$B3,'июль 2024'!$J$4:$J$1872,R$1)</f>
        <v>0</v>
      </c>
      <c r="S3" s="80">
        <f>SUMIFS('июль 2024'!$G$4:$G$1872,'июль 2024'!$D$4:$D$1872,$B3,'июль 2024'!$J$4:$J$1872,S$1)</f>
        <v>0</v>
      </c>
      <c r="T3" s="80">
        <f>SUMIFS('июль 2024'!$G$4:$G$1872,'июль 2024'!$D$4:$D$1872,$B3,'июль 2024'!$J$4:$J$1872,T$1)</f>
        <v>0</v>
      </c>
      <c r="U3" s="80">
        <f>SUMIFS('июль 2024'!$G$4:$G$1872,'июль 2024'!$D$4:$D$1872,$B3,'июль 2024'!$J$4:$J$1872,U$1)</f>
        <v>0</v>
      </c>
      <c r="V3" s="80">
        <f>SUMIFS('июль 2024'!$G$4:$G$1872,'июль 2024'!$D$4:$D$1872,$B3,'июль 2024'!$J$4:$J$1872,V$1)</f>
        <v>0</v>
      </c>
      <c r="W3" s="80">
        <f>SUMIFS('июль 2024'!$G$4:$G$1872,'июль 2024'!$D$4:$D$1872,$B3,'июль 2024'!$J$4:$J$1872,W$1)</f>
        <v>0</v>
      </c>
      <c r="X3" s="80">
        <f>SUMIFS('июль 2024'!$G$4:$G$1872,'июль 2024'!$D$4:$D$1872,$B3,'июль 2024'!$J$4:$J$1872,X$1)</f>
        <v>0</v>
      </c>
      <c r="Y3" s="80">
        <f>SUMIFS('июль 2024'!$G$4:$G$1872,'июль 2024'!$D$4:$D$1872,$B3,'июль 2024'!$J$4:$J$1872,Y$1)</f>
        <v>0</v>
      </c>
      <c r="Z3" s="80">
        <f>SUMIFS('июль 2024'!$G$4:$G$1872,'июль 2024'!$D$4:$D$1872,$B3,'июль 2024'!$J$4:$J$1872,Z$1)</f>
        <v>0</v>
      </c>
      <c r="AA3" s="80">
        <f>SUMIFS('июль 2024'!$G$4:$G$1872,'июль 2024'!$D$4:$D$1872,$B3,'июль 2024'!$J$4:$J$1872,AA$1)</f>
        <v>0</v>
      </c>
      <c r="AB3" s="80">
        <f>SUMIFS('июль 2024'!$G$4:$G$1872,'июль 2024'!$D$4:$D$1872,$B3,'июль 2024'!$J$4:$J$1872,AB$1)</f>
        <v>0</v>
      </c>
      <c r="AC3" s="80">
        <f>SUMIFS('июль 2024'!$G$4:$G$1872,'июль 2024'!$D$4:$D$1872,$B3,'июль 2024'!$J$4:$J$1872,AC$1)</f>
        <v>0</v>
      </c>
      <c r="AD3" s="80">
        <f>SUMIFS('июль 2024'!$G$4:$G$1872,'июль 2024'!$D$4:$D$1872,$B3,'июль 2024'!$J$4:$J$1872,AD$1)</f>
        <v>0</v>
      </c>
      <c r="AE3" s="80">
        <f>SUMIFS('июль 2024'!$G$4:$G$1872,'июль 2024'!$D$4:$D$1872,$B3,'июль 2024'!$J$4:$J$1872,AE$1)</f>
        <v>0</v>
      </c>
      <c r="AF3" s="80">
        <f>SUMIFS('июль 2024'!$G$4:$G$1872,'июль 2024'!$D$4:$D$1872,$B3,'июль 2024'!$J$4:$J$1872,AF$1)</f>
        <v>0</v>
      </c>
      <c r="AG3" s="80">
        <f>SUMIFS('июль 2024'!$G$4:$G$1872,'июль 2024'!$D$4:$D$1872,$B3,'июль 2024'!$J$4:$J$1872,AG$1)</f>
        <v>0</v>
      </c>
      <c r="AH3" s="80">
        <f>SUMIFS('июль 2024'!$G$4:$G$1872,'июль 2024'!$D$4:$D$1872,$B3,'июль 2024'!$J$4:$J$1872,AH$1)</f>
        <v>0</v>
      </c>
      <c r="AI3" s="49">
        <f t="shared" ref="AI3:AI147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SUMIFS('июль 2024'!$G$4:$G$1872,'июль 2024'!$D$4:$D$1872,$B4,'июль 2024'!$J$4:$J$1872,D$1)</f>
        <v>0</v>
      </c>
      <c r="E4" s="80">
        <f>SUMIFS('июль 2024'!$G$4:$G$1872,'июль 2024'!$D$4:$D$1872,$B4,'июль 2024'!$J$4:$J$1872,E$1)</f>
        <v>0</v>
      </c>
      <c r="F4" s="80">
        <f>SUMIFS('июль 2024'!$G$4:$G$1872,'июль 2024'!$D$4:$D$1872,$B4,'июль 2024'!$J$4:$J$1872,F$1)</f>
        <v>0</v>
      </c>
      <c r="G4" s="80">
        <f>SUMIFS('июль 2024'!$G$4:$G$1872,'июль 2024'!$D$4:$D$1872,$B4,'июль 2024'!$J$4:$J$1872,G$1)</f>
        <v>0</v>
      </c>
      <c r="H4" s="80">
        <f>SUMIFS('июль 2024'!$G$4:$G$1872,'июль 2024'!$D$4:$D$1872,$B4,'июль 2024'!$J$4:$J$1872,H$1)</f>
        <v>0</v>
      </c>
      <c r="I4" s="80">
        <f>SUMIFS('июль 2024'!$G$4:$G$1872,'июль 2024'!$D$4:$D$1872,$B4,'июль 2024'!$J$4:$J$1872,I$1)</f>
        <v>0</v>
      </c>
      <c r="J4" s="80">
        <f>SUMIFS('июль 2024'!$G$4:$G$1872,'июль 2024'!$D$4:$D$1872,$B4,'июль 2024'!$J$4:$J$1872,J$1)</f>
        <v>0</v>
      </c>
      <c r="K4" s="80">
        <f>SUMIFS('июль 2024'!$G$4:$G$1872,'июль 2024'!$D$4:$D$1872,$B4,'июль 2024'!$J$4:$J$1872,K$1)</f>
        <v>0</v>
      </c>
      <c r="L4" s="80">
        <f>SUMIFS('июль 2024'!$G$4:$G$1872,'июль 2024'!$D$4:$D$1872,$B4,'июль 2024'!$J$4:$J$1872,L$1)</f>
        <v>0</v>
      </c>
      <c r="M4" s="80">
        <f>SUMIFS('июль 2024'!$G$4:$G$1872,'июль 2024'!$D$4:$D$1872,$B4,'июль 2024'!$J$4:$J$1872,M$1)</f>
        <v>0</v>
      </c>
      <c r="N4" s="80">
        <f>SUMIFS('июль 2024'!$G$4:$G$1872,'июль 2024'!$D$4:$D$1872,$B4,'июль 2024'!$J$4:$J$1872,N$1)</f>
        <v>0</v>
      </c>
      <c r="O4" s="80">
        <f>SUMIFS('июль 2024'!$G$4:$G$1872,'июль 2024'!$D$4:$D$1872,$B4,'июль 2024'!$J$4:$J$1872,O$1)</f>
        <v>0</v>
      </c>
      <c r="P4" s="80">
        <f>SUMIFS('июль 2024'!$G$4:$G$1872,'июль 2024'!$D$4:$D$1872,$B4,'июль 2024'!$J$4:$J$1872,P$1)</f>
        <v>0</v>
      </c>
      <c r="Q4" s="80">
        <f>SUMIFS('июль 2024'!$G$4:$G$1872,'июль 2024'!$D$4:$D$1872,$B4,'июль 2024'!$J$4:$J$1872,Q$1)</f>
        <v>0</v>
      </c>
      <c r="R4" s="80">
        <f>SUMIFS('июль 2024'!$G$4:$G$1872,'июль 2024'!$D$4:$D$1872,$B4,'июль 2024'!$J$4:$J$1872,R$1)</f>
        <v>0</v>
      </c>
      <c r="S4" s="80">
        <f>SUMIFS('июль 2024'!$G$4:$G$1872,'июль 2024'!$D$4:$D$1872,$B4,'июль 2024'!$J$4:$J$1872,S$1)</f>
        <v>0</v>
      </c>
      <c r="T4" s="80">
        <f>SUMIFS('июль 2024'!$G$4:$G$1872,'июль 2024'!$D$4:$D$1872,$B4,'июль 2024'!$J$4:$J$1872,T$1)</f>
        <v>0</v>
      </c>
      <c r="U4" s="80">
        <f>SUMIFS('июль 2024'!$G$4:$G$1872,'июль 2024'!$D$4:$D$1872,$B4,'июль 2024'!$J$4:$J$1872,U$1)</f>
        <v>0</v>
      </c>
      <c r="V4" s="80">
        <f>SUMIFS('июль 2024'!$G$4:$G$1872,'июль 2024'!$D$4:$D$1872,$B4,'июль 2024'!$J$4:$J$1872,V$1)</f>
        <v>0</v>
      </c>
      <c r="W4" s="80">
        <f>SUMIFS('июль 2024'!$G$4:$G$1872,'июль 2024'!$D$4:$D$1872,$B4,'июль 2024'!$J$4:$J$1872,W$1)</f>
        <v>0</v>
      </c>
      <c r="X4" s="80">
        <f>SUMIFS('июль 2024'!$G$4:$G$1872,'июль 2024'!$D$4:$D$1872,$B4,'июль 2024'!$J$4:$J$1872,X$1)</f>
        <v>0</v>
      </c>
      <c r="Y4" s="80">
        <f>SUMIFS('июль 2024'!$G$4:$G$1872,'июль 2024'!$D$4:$D$1872,$B4,'июль 2024'!$J$4:$J$1872,Y$1)</f>
        <v>0</v>
      </c>
      <c r="Z4" s="80">
        <f>SUMIFS('июль 2024'!$G$4:$G$1872,'июль 2024'!$D$4:$D$1872,$B4,'июль 2024'!$J$4:$J$1872,Z$1)</f>
        <v>0</v>
      </c>
      <c r="AA4" s="80">
        <f>SUMIFS('июль 2024'!$G$4:$G$1872,'июль 2024'!$D$4:$D$1872,$B4,'июль 2024'!$J$4:$J$1872,AA$1)</f>
        <v>0</v>
      </c>
      <c r="AB4" s="80">
        <f>SUMIFS('июль 2024'!$G$4:$G$1872,'июль 2024'!$D$4:$D$1872,$B4,'июль 2024'!$J$4:$J$1872,AB$1)</f>
        <v>0</v>
      </c>
      <c r="AC4" s="80">
        <f>SUMIFS('июль 2024'!$G$4:$G$1872,'июль 2024'!$D$4:$D$1872,$B4,'июль 2024'!$J$4:$J$1872,AC$1)</f>
        <v>0</v>
      </c>
      <c r="AD4" s="80">
        <f>SUMIFS('июль 2024'!$G$4:$G$1872,'июль 2024'!$D$4:$D$1872,$B4,'июль 2024'!$J$4:$J$1872,AD$1)</f>
        <v>0</v>
      </c>
      <c r="AE4" s="80">
        <f>SUMIFS('июль 2024'!$G$4:$G$1872,'июль 2024'!$D$4:$D$1872,$B4,'июль 2024'!$J$4:$J$1872,AE$1)</f>
        <v>0</v>
      </c>
      <c r="AF4" s="80">
        <f>SUMIFS('июль 2024'!$G$4:$G$1872,'июль 2024'!$D$4:$D$1872,$B4,'июль 2024'!$J$4:$J$1872,AF$1)</f>
        <v>0</v>
      </c>
      <c r="AG4" s="80">
        <f>SUMIFS('июль 2024'!$G$4:$G$1872,'июль 2024'!$D$4:$D$1872,$B4,'июль 2024'!$J$4:$J$1872,AG$1)</f>
        <v>0</v>
      </c>
      <c r="AH4" s="80">
        <f>SUMIFS('июль 2024'!$G$4:$G$1872,'июль 2024'!$D$4:$D$1872,$B4,'июль 2024'!$J$4:$J$1872,AH$1)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SUMIFS('июль 2024'!$G$4:$G$1872,'июль 2024'!$D$4:$D$1872,$B5,'июль 2024'!$J$4:$J$1872,D$1)</f>
        <v>0</v>
      </c>
      <c r="E5" s="80">
        <f>SUMIFS('июль 2024'!$G$4:$G$1872,'июль 2024'!$D$4:$D$1872,$B5,'июль 2024'!$J$4:$J$1872,E$1)</f>
        <v>0</v>
      </c>
      <c r="F5" s="80">
        <f>SUMIFS('июль 2024'!$G$4:$G$1872,'июль 2024'!$D$4:$D$1872,$B5,'июль 2024'!$J$4:$J$1872,F$1)</f>
        <v>0</v>
      </c>
      <c r="G5" s="80">
        <f>SUMIFS('июль 2024'!$G$4:$G$1872,'июль 2024'!$D$4:$D$1872,$B5,'июль 2024'!$J$4:$J$1872,G$1)</f>
        <v>0</v>
      </c>
      <c r="H5" s="80">
        <f>SUMIFS('июль 2024'!$G$4:$G$1872,'июль 2024'!$D$4:$D$1872,$B5,'июль 2024'!$J$4:$J$1872,H$1)</f>
        <v>0</v>
      </c>
      <c r="I5" s="80">
        <f>SUMIFS('июль 2024'!$G$4:$G$1872,'июль 2024'!$D$4:$D$1872,$B5,'июль 2024'!$J$4:$J$1872,I$1)</f>
        <v>0</v>
      </c>
      <c r="J5" s="80">
        <f>SUMIFS('июль 2024'!$G$4:$G$1872,'июль 2024'!$D$4:$D$1872,$B5,'июль 2024'!$J$4:$J$1872,J$1)</f>
        <v>0</v>
      </c>
      <c r="K5" s="80">
        <f>SUMIFS('июль 2024'!$G$4:$G$1872,'июль 2024'!$D$4:$D$1872,$B5,'июль 2024'!$J$4:$J$1872,K$1)</f>
        <v>0</v>
      </c>
      <c r="L5" s="80">
        <f>SUMIFS('июль 2024'!$G$4:$G$1872,'июль 2024'!$D$4:$D$1872,$B5,'июль 2024'!$J$4:$J$1872,L$1)</f>
        <v>0</v>
      </c>
      <c r="M5" s="80">
        <f>SUMIFS('июль 2024'!$G$4:$G$1872,'июль 2024'!$D$4:$D$1872,$B5,'июль 2024'!$J$4:$J$1872,M$1)</f>
        <v>0</v>
      </c>
      <c r="N5" s="80">
        <f>SUMIFS('июль 2024'!$G$4:$G$1872,'июль 2024'!$D$4:$D$1872,$B5,'июль 2024'!$J$4:$J$1872,N$1)</f>
        <v>0</v>
      </c>
      <c r="O5" s="80">
        <f>SUMIFS('июль 2024'!$G$4:$G$1872,'июль 2024'!$D$4:$D$1872,$B5,'июль 2024'!$J$4:$J$1872,O$1)</f>
        <v>0</v>
      </c>
      <c r="P5" s="80">
        <f>SUMIFS('июль 2024'!$G$4:$G$1872,'июль 2024'!$D$4:$D$1872,$B5,'июль 2024'!$J$4:$J$1872,P$1)</f>
        <v>0</v>
      </c>
      <c r="Q5" s="80">
        <f>SUMIFS('июль 2024'!$G$4:$G$1872,'июль 2024'!$D$4:$D$1872,$B5,'июль 2024'!$J$4:$J$1872,Q$1)</f>
        <v>0</v>
      </c>
      <c r="R5" s="80">
        <f>SUMIFS('июль 2024'!$G$4:$G$1872,'июль 2024'!$D$4:$D$1872,$B5,'июль 2024'!$J$4:$J$1872,R$1)</f>
        <v>0</v>
      </c>
      <c r="S5" s="80">
        <f>SUMIFS('июль 2024'!$G$4:$G$1872,'июль 2024'!$D$4:$D$1872,$B5,'июль 2024'!$J$4:$J$1872,S$1)</f>
        <v>0</v>
      </c>
      <c r="T5" s="80">
        <f>SUMIFS('июль 2024'!$G$4:$G$1872,'июль 2024'!$D$4:$D$1872,$B5,'июль 2024'!$J$4:$J$1872,T$1)</f>
        <v>0</v>
      </c>
      <c r="U5" s="80">
        <f>SUMIFS('июль 2024'!$G$4:$G$1872,'июль 2024'!$D$4:$D$1872,$B5,'июль 2024'!$J$4:$J$1872,U$1)</f>
        <v>0</v>
      </c>
      <c r="V5" s="80">
        <f>SUMIFS('июль 2024'!$G$4:$G$1872,'июль 2024'!$D$4:$D$1872,$B5,'июль 2024'!$J$4:$J$1872,V$1)</f>
        <v>0</v>
      </c>
      <c r="W5" s="80">
        <f>SUMIFS('июль 2024'!$G$4:$G$1872,'июль 2024'!$D$4:$D$1872,$B5,'июль 2024'!$J$4:$J$1872,W$1)</f>
        <v>0</v>
      </c>
      <c r="X5" s="80">
        <f>SUMIFS('июль 2024'!$G$4:$G$1872,'июль 2024'!$D$4:$D$1872,$B5,'июль 2024'!$J$4:$J$1872,X$1)</f>
        <v>0</v>
      </c>
      <c r="Y5" s="80">
        <f>SUMIFS('июль 2024'!$G$4:$G$1872,'июль 2024'!$D$4:$D$1872,$B5,'июль 2024'!$J$4:$J$1872,Y$1)</f>
        <v>800</v>
      </c>
      <c r="Z5" s="80">
        <f>SUMIFS('июль 2024'!$G$4:$G$1872,'июль 2024'!$D$4:$D$1872,$B5,'июль 2024'!$J$4:$J$1872,Z$1)</f>
        <v>0</v>
      </c>
      <c r="AA5" s="80">
        <f>SUMIFS('июль 2024'!$G$4:$G$1872,'июль 2024'!$D$4:$D$1872,$B5,'июль 2024'!$J$4:$J$1872,AA$1)</f>
        <v>0</v>
      </c>
      <c r="AB5" s="80">
        <f>SUMIFS('июль 2024'!$G$4:$G$1872,'июль 2024'!$D$4:$D$1872,$B5,'июль 2024'!$J$4:$J$1872,AB$1)</f>
        <v>0</v>
      </c>
      <c r="AC5" s="80">
        <f>SUMIFS('июль 2024'!$G$4:$G$1872,'июль 2024'!$D$4:$D$1872,$B5,'июль 2024'!$J$4:$J$1872,AC$1)</f>
        <v>0</v>
      </c>
      <c r="AD5" s="80">
        <f>SUMIFS('июль 2024'!$G$4:$G$1872,'июль 2024'!$D$4:$D$1872,$B5,'июль 2024'!$J$4:$J$1872,AD$1)</f>
        <v>0</v>
      </c>
      <c r="AE5" s="80">
        <f>SUMIFS('июль 2024'!$G$4:$G$1872,'июль 2024'!$D$4:$D$1872,$B5,'июль 2024'!$J$4:$J$1872,AE$1)</f>
        <v>0</v>
      </c>
      <c r="AF5" s="80">
        <f>SUMIFS('июль 2024'!$G$4:$G$1872,'июль 2024'!$D$4:$D$1872,$B5,'июль 2024'!$J$4:$J$1872,AF$1)</f>
        <v>0</v>
      </c>
      <c r="AG5" s="80">
        <f>SUMIFS('июль 2024'!$G$4:$G$1872,'июль 2024'!$D$4:$D$1872,$B5,'июль 2024'!$J$4:$J$1872,AG$1)</f>
        <v>0</v>
      </c>
      <c r="AH5" s="80">
        <f>SUMIFS('июль 2024'!$G$4:$G$1872,'июль 2024'!$D$4:$D$1872,$B5,'июль 2024'!$J$4:$J$1872,AH$1)</f>
        <v>0</v>
      </c>
      <c r="AI5" s="21">
        <f t="shared" si="1"/>
        <v>800</v>
      </c>
    </row>
    <row r="6" spans="2:35" ht="15" customHeight="1" x14ac:dyDescent="0.25">
      <c r="B6" s="81" t="s">
        <v>281</v>
      </c>
      <c r="C6" s="82">
        <v>22.7</v>
      </c>
      <c r="D6" s="80">
        <f>SUMIFS('июль 2024'!$G$4:$G$1872,'июль 2024'!$D$4:$D$1872,$B6,'июль 2024'!$J$4:$J$1872,D$1)</f>
        <v>0</v>
      </c>
      <c r="E6" s="80">
        <f>SUMIFS('июль 2024'!$G$4:$G$1872,'июль 2024'!$D$4:$D$1872,$B6,'июль 2024'!$J$4:$J$1872,E$1)</f>
        <v>0</v>
      </c>
      <c r="F6" s="80">
        <f>SUMIFS('июль 2024'!$G$4:$G$1872,'июль 2024'!$D$4:$D$1872,$B6,'июль 2024'!$J$4:$J$1872,F$1)</f>
        <v>0</v>
      </c>
      <c r="G6" s="80">
        <f>SUMIFS('июль 2024'!$G$4:$G$1872,'июль 2024'!$D$4:$D$1872,$B6,'июль 2024'!$J$4:$J$1872,G$1)</f>
        <v>0</v>
      </c>
      <c r="H6" s="80">
        <f>SUMIFS('июль 2024'!$G$4:$G$1872,'июль 2024'!$D$4:$D$1872,$B6,'июль 2024'!$J$4:$J$1872,H$1)</f>
        <v>0</v>
      </c>
      <c r="I6" s="80">
        <f>SUMIFS('июль 2024'!$G$4:$G$1872,'июль 2024'!$D$4:$D$1872,$B6,'июль 2024'!$J$4:$J$1872,I$1)</f>
        <v>0</v>
      </c>
      <c r="J6" s="80">
        <f>SUMIFS('июль 2024'!$G$4:$G$1872,'июль 2024'!$D$4:$D$1872,$B6,'июль 2024'!$J$4:$J$1872,J$1)</f>
        <v>0</v>
      </c>
      <c r="K6" s="80">
        <f>SUMIFS('июль 2024'!$G$4:$G$1872,'июль 2024'!$D$4:$D$1872,$B6,'июль 2024'!$J$4:$J$1872,K$1)</f>
        <v>0</v>
      </c>
      <c r="L6" s="80">
        <f>SUMIFS('июль 2024'!$G$4:$G$1872,'июль 2024'!$D$4:$D$1872,$B6,'июль 2024'!$J$4:$J$1872,L$1)</f>
        <v>0</v>
      </c>
      <c r="M6" s="80">
        <f>SUMIFS('июль 2024'!$G$4:$G$1872,'июль 2024'!$D$4:$D$1872,$B6,'июль 2024'!$J$4:$J$1872,M$1)</f>
        <v>0</v>
      </c>
      <c r="N6" s="80">
        <f>SUMIFS('июль 2024'!$G$4:$G$1872,'июль 2024'!$D$4:$D$1872,$B6,'июль 2024'!$J$4:$J$1872,N$1)</f>
        <v>0</v>
      </c>
      <c r="O6" s="80">
        <f>SUMIFS('июль 2024'!$G$4:$G$1872,'июль 2024'!$D$4:$D$1872,$B6,'июль 2024'!$J$4:$J$1872,O$1)</f>
        <v>0</v>
      </c>
      <c r="P6" s="80">
        <f>SUMIFS('июль 2024'!$G$4:$G$1872,'июль 2024'!$D$4:$D$1872,$B6,'июль 2024'!$J$4:$J$1872,P$1)</f>
        <v>0</v>
      </c>
      <c r="Q6" s="80">
        <f>SUMIFS('июль 2024'!$G$4:$G$1872,'июль 2024'!$D$4:$D$1872,$B6,'июль 2024'!$J$4:$J$1872,Q$1)</f>
        <v>0</v>
      </c>
      <c r="R6" s="80">
        <f>SUMIFS('июль 2024'!$G$4:$G$1872,'июль 2024'!$D$4:$D$1872,$B6,'июль 2024'!$J$4:$J$1872,R$1)</f>
        <v>0</v>
      </c>
      <c r="S6" s="80">
        <f>SUMIFS('июль 2024'!$G$4:$G$1872,'июль 2024'!$D$4:$D$1872,$B6,'июль 2024'!$J$4:$J$1872,S$1)</f>
        <v>0</v>
      </c>
      <c r="T6" s="80">
        <f>SUMIFS('июль 2024'!$G$4:$G$1872,'июль 2024'!$D$4:$D$1872,$B6,'июль 2024'!$J$4:$J$1872,T$1)</f>
        <v>0</v>
      </c>
      <c r="U6" s="80">
        <f>SUMIFS('июль 2024'!$G$4:$G$1872,'июль 2024'!$D$4:$D$1872,$B6,'июль 2024'!$J$4:$J$1872,U$1)</f>
        <v>0</v>
      </c>
      <c r="V6" s="80">
        <f>SUMIFS('июль 2024'!$G$4:$G$1872,'июль 2024'!$D$4:$D$1872,$B6,'июль 2024'!$J$4:$J$1872,V$1)</f>
        <v>0</v>
      </c>
      <c r="W6" s="80">
        <f>SUMIFS('июль 2024'!$G$4:$G$1872,'июль 2024'!$D$4:$D$1872,$B6,'июль 2024'!$J$4:$J$1872,W$1)</f>
        <v>0</v>
      </c>
      <c r="X6" s="80">
        <f>SUMIFS('июль 2024'!$G$4:$G$1872,'июль 2024'!$D$4:$D$1872,$B6,'июль 2024'!$J$4:$J$1872,X$1)</f>
        <v>0</v>
      </c>
      <c r="Y6" s="80">
        <f>SUMIFS('июль 2024'!$G$4:$G$1872,'июль 2024'!$D$4:$D$1872,$B6,'июль 2024'!$J$4:$J$1872,Y$1)</f>
        <v>0</v>
      </c>
      <c r="Z6" s="80">
        <f>SUMIFS('июль 2024'!$G$4:$G$1872,'июль 2024'!$D$4:$D$1872,$B6,'июль 2024'!$J$4:$J$1872,Z$1)</f>
        <v>0</v>
      </c>
      <c r="AA6" s="80">
        <f>SUMIFS('июль 2024'!$G$4:$G$1872,'июль 2024'!$D$4:$D$1872,$B6,'июль 2024'!$J$4:$J$1872,AA$1)</f>
        <v>0</v>
      </c>
      <c r="AB6" s="80">
        <f>SUMIFS('июль 2024'!$G$4:$G$1872,'июль 2024'!$D$4:$D$1872,$B6,'июль 2024'!$J$4:$J$1872,AB$1)</f>
        <v>0</v>
      </c>
      <c r="AC6" s="80">
        <f>SUMIFS('июль 2024'!$G$4:$G$1872,'июль 2024'!$D$4:$D$1872,$B6,'июль 2024'!$J$4:$J$1872,AC$1)</f>
        <v>0</v>
      </c>
      <c r="AD6" s="80">
        <f>SUMIFS('июль 2024'!$G$4:$G$1872,'июль 2024'!$D$4:$D$1872,$B6,'июль 2024'!$J$4:$J$1872,AD$1)</f>
        <v>0</v>
      </c>
      <c r="AE6" s="80">
        <f>SUMIFS('июль 2024'!$G$4:$G$1872,'июль 2024'!$D$4:$D$1872,$B6,'июль 2024'!$J$4:$J$1872,AE$1)</f>
        <v>0</v>
      </c>
      <c r="AF6" s="80">
        <f>SUMIFS('июль 2024'!$G$4:$G$1872,'июль 2024'!$D$4:$D$1872,$B6,'июль 2024'!$J$4:$J$1872,AF$1)</f>
        <v>0</v>
      </c>
      <c r="AG6" s="80">
        <f>SUMIFS('июль 2024'!$G$4:$G$1872,'июль 2024'!$D$4:$D$1872,$B6,'июль 2024'!$J$4:$J$1872,AG$1)</f>
        <v>0</v>
      </c>
      <c r="AH6" s="80">
        <f>SUMIFS('июль 2024'!$G$4:$G$1872,'июль 2024'!$D$4:$D$1872,$B6,'июль 2024'!$J$4:$J$1872,AH$1)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SUMIFS('июль 2024'!$G$4:$G$1872,'июль 2024'!$D$4:$D$1872,$B7,'июль 2024'!$J$4:$J$1872,D$1)</f>
        <v>0</v>
      </c>
      <c r="E7" s="80">
        <f>SUMIFS('июль 2024'!$G$4:$G$1872,'июль 2024'!$D$4:$D$1872,$B7,'июль 2024'!$J$4:$J$1872,E$1)</f>
        <v>0</v>
      </c>
      <c r="F7" s="80">
        <f>SUMIFS('июль 2024'!$G$4:$G$1872,'июль 2024'!$D$4:$D$1872,$B7,'июль 2024'!$J$4:$J$1872,F$1)</f>
        <v>0</v>
      </c>
      <c r="G7" s="80">
        <f>SUMIFS('июль 2024'!$G$4:$G$1872,'июль 2024'!$D$4:$D$1872,$B7,'июль 2024'!$J$4:$J$1872,G$1)</f>
        <v>0</v>
      </c>
      <c r="H7" s="80">
        <f>SUMIFS('июль 2024'!$G$4:$G$1872,'июль 2024'!$D$4:$D$1872,$B7,'июль 2024'!$J$4:$J$1872,H$1)</f>
        <v>0</v>
      </c>
      <c r="I7" s="80">
        <f>SUMIFS('июль 2024'!$G$4:$G$1872,'июль 2024'!$D$4:$D$1872,$B7,'июль 2024'!$J$4:$J$1872,I$1)</f>
        <v>0</v>
      </c>
      <c r="J7" s="80">
        <f>SUMIFS('июль 2024'!$G$4:$G$1872,'июль 2024'!$D$4:$D$1872,$B7,'июль 2024'!$J$4:$J$1872,J$1)</f>
        <v>0</v>
      </c>
      <c r="K7" s="80">
        <f>SUMIFS('июль 2024'!$G$4:$G$1872,'июль 2024'!$D$4:$D$1872,$B7,'июль 2024'!$J$4:$J$1872,K$1)</f>
        <v>0</v>
      </c>
      <c r="L7" s="80">
        <f>SUMIFS('июль 2024'!$G$4:$G$1872,'июль 2024'!$D$4:$D$1872,$B7,'июль 2024'!$J$4:$J$1872,L$1)</f>
        <v>0</v>
      </c>
      <c r="M7" s="80">
        <f>SUMIFS('июль 2024'!$G$4:$G$1872,'июль 2024'!$D$4:$D$1872,$B7,'июль 2024'!$J$4:$J$1872,M$1)</f>
        <v>0</v>
      </c>
      <c r="N7" s="80">
        <f>SUMIFS('июль 2024'!$G$4:$G$1872,'июль 2024'!$D$4:$D$1872,$B7,'июль 2024'!$J$4:$J$1872,N$1)</f>
        <v>0</v>
      </c>
      <c r="O7" s="80">
        <f>SUMIFS('июль 2024'!$G$4:$G$1872,'июль 2024'!$D$4:$D$1872,$B7,'июль 2024'!$J$4:$J$1872,O$1)</f>
        <v>0</v>
      </c>
      <c r="P7" s="80">
        <f>SUMIFS('июль 2024'!$G$4:$G$1872,'июль 2024'!$D$4:$D$1872,$B7,'июль 2024'!$J$4:$J$1872,P$1)</f>
        <v>0</v>
      </c>
      <c r="Q7" s="80">
        <f>SUMIFS('июль 2024'!$G$4:$G$1872,'июль 2024'!$D$4:$D$1872,$B7,'июль 2024'!$J$4:$J$1872,Q$1)</f>
        <v>0</v>
      </c>
      <c r="R7" s="80">
        <f>SUMIFS('июль 2024'!$G$4:$G$1872,'июль 2024'!$D$4:$D$1872,$B7,'июль 2024'!$J$4:$J$1872,R$1)</f>
        <v>0</v>
      </c>
      <c r="S7" s="80">
        <f>SUMIFS('июль 2024'!$G$4:$G$1872,'июль 2024'!$D$4:$D$1872,$B7,'июль 2024'!$J$4:$J$1872,S$1)</f>
        <v>0</v>
      </c>
      <c r="T7" s="80">
        <f>SUMIFS('июль 2024'!$G$4:$G$1872,'июль 2024'!$D$4:$D$1872,$B7,'июль 2024'!$J$4:$J$1872,T$1)</f>
        <v>0</v>
      </c>
      <c r="U7" s="80">
        <f>SUMIFS('июль 2024'!$G$4:$G$1872,'июль 2024'!$D$4:$D$1872,$B7,'июль 2024'!$J$4:$J$1872,U$1)</f>
        <v>0</v>
      </c>
      <c r="V7" s="80">
        <f>SUMIFS('июль 2024'!$G$4:$G$1872,'июль 2024'!$D$4:$D$1872,$B7,'июль 2024'!$J$4:$J$1872,V$1)</f>
        <v>0</v>
      </c>
      <c r="W7" s="80">
        <f>SUMIFS('июль 2024'!$G$4:$G$1872,'июль 2024'!$D$4:$D$1872,$B7,'июль 2024'!$J$4:$J$1872,W$1)</f>
        <v>0</v>
      </c>
      <c r="X7" s="80">
        <f>SUMIFS('июль 2024'!$G$4:$G$1872,'июль 2024'!$D$4:$D$1872,$B7,'июль 2024'!$J$4:$J$1872,X$1)</f>
        <v>0</v>
      </c>
      <c r="Y7" s="80">
        <f>SUMIFS('июль 2024'!$G$4:$G$1872,'июль 2024'!$D$4:$D$1872,$B7,'июль 2024'!$J$4:$J$1872,Y$1)</f>
        <v>0</v>
      </c>
      <c r="Z7" s="80">
        <f>SUMIFS('июль 2024'!$G$4:$G$1872,'июль 2024'!$D$4:$D$1872,$B7,'июль 2024'!$J$4:$J$1872,Z$1)</f>
        <v>0</v>
      </c>
      <c r="AA7" s="80">
        <f>SUMIFS('июль 2024'!$G$4:$G$1872,'июль 2024'!$D$4:$D$1872,$B7,'июль 2024'!$J$4:$J$1872,AA$1)</f>
        <v>0</v>
      </c>
      <c r="AB7" s="80">
        <f>SUMIFS('июль 2024'!$G$4:$G$1872,'июль 2024'!$D$4:$D$1872,$B7,'июль 2024'!$J$4:$J$1872,AB$1)</f>
        <v>0</v>
      </c>
      <c r="AC7" s="80">
        <f>SUMIFS('июль 2024'!$G$4:$G$1872,'июль 2024'!$D$4:$D$1872,$B7,'июль 2024'!$J$4:$J$1872,AC$1)</f>
        <v>0</v>
      </c>
      <c r="AD7" s="80">
        <f>SUMIFS('июль 2024'!$G$4:$G$1872,'июль 2024'!$D$4:$D$1872,$B7,'июль 2024'!$J$4:$J$1872,AD$1)</f>
        <v>0</v>
      </c>
      <c r="AE7" s="80">
        <f>SUMIFS('июль 2024'!$G$4:$G$1872,'июль 2024'!$D$4:$D$1872,$B7,'июль 2024'!$J$4:$J$1872,AE$1)</f>
        <v>0</v>
      </c>
      <c r="AF7" s="80">
        <f>SUMIFS('июль 2024'!$G$4:$G$1872,'июль 2024'!$D$4:$D$1872,$B7,'июль 2024'!$J$4:$J$1872,AF$1)</f>
        <v>0</v>
      </c>
      <c r="AG7" s="80">
        <f>SUMIFS('июль 2024'!$G$4:$G$1872,'июль 2024'!$D$4:$D$1872,$B7,'июль 2024'!$J$4:$J$1872,AG$1)</f>
        <v>0</v>
      </c>
      <c r="AH7" s="80">
        <f>SUMIFS('июль 2024'!$G$4:$G$1872,'июль 2024'!$D$4:$D$1872,$B7,'июль 2024'!$J$4:$J$1872,AH$1)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SUMIFS('июль 2024'!$G$4:$G$1872,'июль 2024'!$D$4:$D$1872,$B8,'июль 2024'!$J$4:$J$1872,D$1)</f>
        <v>600</v>
      </c>
      <c r="E8" s="80">
        <f>SUMIFS('июль 2024'!$G$4:$G$1872,'июль 2024'!$D$4:$D$1872,$B8,'июль 2024'!$J$4:$J$1872,E$1)</f>
        <v>0</v>
      </c>
      <c r="F8" s="80">
        <f>SUMIFS('июль 2024'!$G$4:$G$1872,'июль 2024'!$D$4:$D$1872,$B8,'июль 2024'!$J$4:$J$1872,F$1)</f>
        <v>0</v>
      </c>
      <c r="G8" s="80">
        <f>SUMIFS('июль 2024'!$G$4:$G$1872,'июль 2024'!$D$4:$D$1872,$B8,'июль 2024'!$J$4:$J$1872,G$1)</f>
        <v>0</v>
      </c>
      <c r="H8" s="80">
        <f>SUMIFS('июль 2024'!$G$4:$G$1872,'июль 2024'!$D$4:$D$1872,$B8,'июль 2024'!$J$4:$J$1872,H$1)</f>
        <v>0</v>
      </c>
      <c r="I8" s="80">
        <f>SUMIFS('июль 2024'!$G$4:$G$1872,'июль 2024'!$D$4:$D$1872,$B8,'июль 2024'!$J$4:$J$1872,I$1)</f>
        <v>0</v>
      </c>
      <c r="J8" s="80">
        <f>SUMIFS('июль 2024'!$G$4:$G$1872,'июль 2024'!$D$4:$D$1872,$B8,'июль 2024'!$J$4:$J$1872,J$1)</f>
        <v>0</v>
      </c>
      <c r="K8" s="80">
        <f>SUMIFS('июль 2024'!$G$4:$G$1872,'июль 2024'!$D$4:$D$1872,$B8,'июль 2024'!$J$4:$J$1872,K$1)</f>
        <v>800</v>
      </c>
      <c r="L8" s="80">
        <f>SUMIFS('июль 2024'!$G$4:$G$1872,'июль 2024'!$D$4:$D$1872,$B8,'июль 2024'!$J$4:$J$1872,L$1)</f>
        <v>0</v>
      </c>
      <c r="M8" s="80">
        <f>SUMIFS('июль 2024'!$G$4:$G$1872,'июль 2024'!$D$4:$D$1872,$B8,'июль 2024'!$J$4:$J$1872,M$1)</f>
        <v>1600</v>
      </c>
      <c r="N8" s="80">
        <f>SUMIFS('июль 2024'!$G$4:$G$1872,'июль 2024'!$D$4:$D$1872,$B8,'июль 2024'!$J$4:$J$1872,N$1)</f>
        <v>0</v>
      </c>
      <c r="O8" s="80">
        <f>SUMIFS('июль 2024'!$G$4:$G$1872,'июль 2024'!$D$4:$D$1872,$B8,'июль 2024'!$J$4:$J$1872,O$1)</f>
        <v>800</v>
      </c>
      <c r="P8" s="80">
        <f>SUMIFS('июль 2024'!$G$4:$G$1872,'июль 2024'!$D$4:$D$1872,$B8,'июль 2024'!$J$4:$J$1872,P$1)</f>
        <v>0</v>
      </c>
      <c r="Q8" s="80">
        <f>SUMIFS('июль 2024'!$G$4:$G$1872,'июль 2024'!$D$4:$D$1872,$B8,'июль 2024'!$J$4:$J$1872,Q$1)</f>
        <v>0</v>
      </c>
      <c r="R8" s="80">
        <f>SUMIFS('июль 2024'!$G$4:$G$1872,'июль 2024'!$D$4:$D$1872,$B8,'июль 2024'!$J$4:$J$1872,R$1)</f>
        <v>0</v>
      </c>
      <c r="S8" s="80">
        <f>SUMIFS('июль 2024'!$G$4:$G$1872,'июль 2024'!$D$4:$D$1872,$B8,'июль 2024'!$J$4:$J$1872,S$1)</f>
        <v>0</v>
      </c>
      <c r="T8" s="80">
        <f>SUMIFS('июль 2024'!$G$4:$G$1872,'июль 2024'!$D$4:$D$1872,$B8,'июль 2024'!$J$4:$J$1872,T$1)</f>
        <v>0</v>
      </c>
      <c r="U8" s="80">
        <f>SUMIFS('июль 2024'!$G$4:$G$1872,'июль 2024'!$D$4:$D$1872,$B8,'июль 2024'!$J$4:$J$1872,U$1)</f>
        <v>280</v>
      </c>
      <c r="V8" s="80">
        <f>SUMIFS('июль 2024'!$G$4:$G$1872,'июль 2024'!$D$4:$D$1872,$B8,'июль 2024'!$J$4:$J$1872,V$1)</f>
        <v>0</v>
      </c>
      <c r="W8" s="80">
        <f>SUMIFS('июль 2024'!$G$4:$G$1872,'июль 2024'!$D$4:$D$1872,$B8,'июль 2024'!$J$4:$J$1872,W$1)</f>
        <v>0</v>
      </c>
      <c r="X8" s="80">
        <f>SUMIFS('июль 2024'!$G$4:$G$1872,'июль 2024'!$D$4:$D$1872,$B8,'июль 2024'!$J$4:$J$1872,X$1)</f>
        <v>0</v>
      </c>
      <c r="Y8" s="80">
        <f>SUMIFS('июль 2024'!$G$4:$G$1872,'июль 2024'!$D$4:$D$1872,$B8,'июль 2024'!$J$4:$J$1872,Y$1)</f>
        <v>0</v>
      </c>
      <c r="Z8" s="80">
        <f>SUMIFS('июль 2024'!$G$4:$G$1872,'июль 2024'!$D$4:$D$1872,$B8,'июль 2024'!$J$4:$J$1872,Z$1)</f>
        <v>0</v>
      </c>
      <c r="AA8" s="80">
        <f>SUMIFS('июль 2024'!$G$4:$G$1872,'июль 2024'!$D$4:$D$1872,$B8,'июль 2024'!$J$4:$J$1872,AA$1)</f>
        <v>0</v>
      </c>
      <c r="AB8" s="80">
        <f>SUMIFS('июль 2024'!$G$4:$G$1872,'июль 2024'!$D$4:$D$1872,$B8,'июль 2024'!$J$4:$J$1872,AB$1)</f>
        <v>0</v>
      </c>
      <c r="AC8" s="80">
        <f>SUMIFS('июль 2024'!$G$4:$G$1872,'июль 2024'!$D$4:$D$1872,$B8,'июль 2024'!$J$4:$J$1872,AC$1)</f>
        <v>0</v>
      </c>
      <c r="AD8" s="80">
        <f>SUMIFS('июль 2024'!$G$4:$G$1872,'июль 2024'!$D$4:$D$1872,$B8,'июль 2024'!$J$4:$J$1872,AD$1)</f>
        <v>0</v>
      </c>
      <c r="AE8" s="80">
        <f>SUMIFS('июль 2024'!$G$4:$G$1872,'июль 2024'!$D$4:$D$1872,$B8,'июль 2024'!$J$4:$J$1872,AE$1)</f>
        <v>0</v>
      </c>
      <c r="AF8" s="80">
        <f>SUMIFS('июль 2024'!$G$4:$G$1872,'июль 2024'!$D$4:$D$1872,$B8,'июль 2024'!$J$4:$J$1872,AF$1)</f>
        <v>0</v>
      </c>
      <c r="AG8" s="80">
        <f>SUMIFS('июль 2024'!$G$4:$G$1872,'июль 2024'!$D$4:$D$1872,$B8,'июль 2024'!$J$4:$J$1872,AG$1)</f>
        <v>0</v>
      </c>
      <c r="AH8" s="80">
        <f>SUMIFS('июль 2024'!$G$4:$G$1872,'июль 2024'!$D$4:$D$1872,$B8,'июль 2024'!$J$4:$J$1872,AH$1)</f>
        <v>0</v>
      </c>
      <c r="AI8" s="21">
        <f t="shared" si="1"/>
        <v>4080</v>
      </c>
    </row>
    <row r="9" spans="2:35" ht="15" customHeight="1" x14ac:dyDescent="0.25">
      <c r="B9" s="81" t="s">
        <v>287</v>
      </c>
      <c r="C9" s="82">
        <v>25</v>
      </c>
      <c r="D9" s="80">
        <f>SUMIFS('июль 2024'!$G$4:$G$1872,'июль 2024'!$D$4:$D$1872,$B9,'июль 2024'!$J$4:$J$1872,D$1)</f>
        <v>0</v>
      </c>
      <c r="E9" s="80">
        <f>SUMIFS('июль 2024'!$G$4:$G$1872,'июль 2024'!$D$4:$D$1872,$B9,'июль 2024'!$J$4:$J$1872,E$1)</f>
        <v>0</v>
      </c>
      <c r="F9" s="80">
        <f>SUMIFS('июль 2024'!$G$4:$G$1872,'июль 2024'!$D$4:$D$1872,$B9,'июль 2024'!$J$4:$J$1872,F$1)</f>
        <v>0</v>
      </c>
      <c r="G9" s="80">
        <f>SUMIFS('июль 2024'!$G$4:$G$1872,'июль 2024'!$D$4:$D$1872,$B9,'июль 2024'!$J$4:$J$1872,G$1)</f>
        <v>800</v>
      </c>
      <c r="H9" s="80">
        <f>SUMIFS('июль 2024'!$G$4:$G$1872,'июль 2024'!$D$4:$D$1872,$B9,'июль 2024'!$J$4:$J$1872,H$1)</f>
        <v>0</v>
      </c>
      <c r="I9" s="80">
        <f>SUMIFS('июль 2024'!$G$4:$G$1872,'июль 2024'!$D$4:$D$1872,$B9,'июль 2024'!$J$4:$J$1872,I$1)</f>
        <v>0</v>
      </c>
      <c r="J9" s="80">
        <f>SUMIFS('июль 2024'!$G$4:$G$1872,'июль 2024'!$D$4:$D$1872,$B9,'июль 2024'!$J$4:$J$1872,J$1)</f>
        <v>0</v>
      </c>
      <c r="K9" s="80">
        <f>SUMIFS('июль 2024'!$G$4:$G$1872,'июль 2024'!$D$4:$D$1872,$B9,'июль 2024'!$J$4:$J$1872,K$1)</f>
        <v>0</v>
      </c>
      <c r="L9" s="80">
        <f>SUMIFS('июль 2024'!$G$4:$G$1872,'июль 2024'!$D$4:$D$1872,$B9,'июль 2024'!$J$4:$J$1872,L$1)</f>
        <v>0</v>
      </c>
      <c r="M9" s="80">
        <f>SUMIFS('июль 2024'!$G$4:$G$1872,'июль 2024'!$D$4:$D$1872,$B9,'июль 2024'!$J$4:$J$1872,M$1)</f>
        <v>0</v>
      </c>
      <c r="N9" s="80">
        <f>SUMIFS('июль 2024'!$G$4:$G$1872,'июль 2024'!$D$4:$D$1872,$B9,'июль 2024'!$J$4:$J$1872,N$1)</f>
        <v>0</v>
      </c>
      <c r="O9" s="80">
        <f>SUMIFS('июль 2024'!$G$4:$G$1872,'июль 2024'!$D$4:$D$1872,$B9,'июль 2024'!$J$4:$J$1872,O$1)</f>
        <v>800</v>
      </c>
      <c r="P9" s="80">
        <f>SUMIFS('июль 2024'!$G$4:$G$1872,'июль 2024'!$D$4:$D$1872,$B9,'июль 2024'!$J$4:$J$1872,P$1)</f>
        <v>0</v>
      </c>
      <c r="Q9" s="80">
        <f>SUMIFS('июль 2024'!$G$4:$G$1872,'июль 2024'!$D$4:$D$1872,$B9,'июль 2024'!$J$4:$J$1872,Q$1)</f>
        <v>0</v>
      </c>
      <c r="R9" s="80">
        <f>SUMIFS('июль 2024'!$G$4:$G$1872,'июль 2024'!$D$4:$D$1872,$B9,'июль 2024'!$J$4:$J$1872,R$1)</f>
        <v>400</v>
      </c>
      <c r="S9" s="80">
        <f>SUMIFS('июль 2024'!$G$4:$G$1872,'июль 2024'!$D$4:$D$1872,$B9,'июль 2024'!$J$4:$J$1872,S$1)</f>
        <v>800</v>
      </c>
      <c r="T9" s="80">
        <f>SUMIFS('июль 2024'!$G$4:$G$1872,'июль 2024'!$D$4:$D$1872,$B9,'июль 2024'!$J$4:$J$1872,T$1)</f>
        <v>0</v>
      </c>
      <c r="U9" s="80">
        <f>SUMIFS('июль 2024'!$G$4:$G$1872,'июль 2024'!$D$4:$D$1872,$B9,'июль 2024'!$J$4:$J$1872,U$1)</f>
        <v>800</v>
      </c>
      <c r="V9" s="80">
        <f>SUMIFS('июль 2024'!$G$4:$G$1872,'июль 2024'!$D$4:$D$1872,$B9,'июль 2024'!$J$4:$J$1872,V$1)</f>
        <v>0</v>
      </c>
      <c r="W9" s="80">
        <f>SUMIFS('июль 2024'!$G$4:$G$1872,'июль 2024'!$D$4:$D$1872,$B9,'июль 2024'!$J$4:$J$1872,W$1)</f>
        <v>0</v>
      </c>
      <c r="X9" s="80">
        <f>SUMIFS('июль 2024'!$G$4:$G$1872,'июль 2024'!$D$4:$D$1872,$B9,'июль 2024'!$J$4:$J$1872,X$1)</f>
        <v>0</v>
      </c>
      <c r="Y9" s="80">
        <f>SUMIFS('июль 2024'!$G$4:$G$1872,'июль 2024'!$D$4:$D$1872,$B9,'июль 2024'!$J$4:$J$1872,Y$1)</f>
        <v>0</v>
      </c>
      <c r="Z9" s="80">
        <f>SUMIFS('июль 2024'!$G$4:$G$1872,'июль 2024'!$D$4:$D$1872,$B9,'июль 2024'!$J$4:$J$1872,Z$1)</f>
        <v>0</v>
      </c>
      <c r="AA9" s="80">
        <f>SUMIFS('июль 2024'!$G$4:$G$1872,'июль 2024'!$D$4:$D$1872,$B9,'июль 2024'!$J$4:$J$1872,AA$1)</f>
        <v>0</v>
      </c>
      <c r="AB9" s="80">
        <f>SUMIFS('июль 2024'!$G$4:$G$1872,'июль 2024'!$D$4:$D$1872,$B9,'июль 2024'!$J$4:$J$1872,AB$1)</f>
        <v>0</v>
      </c>
      <c r="AC9" s="80">
        <f>SUMIFS('июль 2024'!$G$4:$G$1872,'июль 2024'!$D$4:$D$1872,$B9,'июль 2024'!$J$4:$J$1872,AC$1)</f>
        <v>0</v>
      </c>
      <c r="AD9" s="80">
        <f>SUMIFS('июль 2024'!$G$4:$G$1872,'июль 2024'!$D$4:$D$1872,$B9,'июль 2024'!$J$4:$J$1872,AD$1)</f>
        <v>0</v>
      </c>
      <c r="AE9" s="80">
        <f>SUMIFS('июль 2024'!$G$4:$G$1872,'июль 2024'!$D$4:$D$1872,$B9,'июль 2024'!$J$4:$J$1872,AE$1)</f>
        <v>0</v>
      </c>
      <c r="AF9" s="80">
        <f>SUMIFS('июль 2024'!$G$4:$G$1872,'июль 2024'!$D$4:$D$1872,$B9,'июль 2024'!$J$4:$J$1872,AF$1)</f>
        <v>0</v>
      </c>
      <c r="AG9" s="80">
        <f>SUMIFS('июль 2024'!$G$4:$G$1872,'июль 2024'!$D$4:$D$1872,$B9,'июль 2024'!$J$4:$J$1872,AG$1)</f>
        <v>800</v>
      </c>
      <c r="AH9" s="80">
        <f>SUMIFS('июль 2024'!$G$4:$G$1872,'июль 2024'!$D$4:$D$1872,$B9,'июль 2024'!$J$4:$J$1872,AH$1)</f>
        <v>0</v>
      </c>
      <c r="AI9" s="21">
        <f t="shared" si="1"/>
        <v>4400</v>
      </c>
    </row>
    <row r="10" spans="2:35" ht="15" customHeight="1" x14ac:dyDescent="0.25">
      <c r="B10" s="81" t="s">
        <v>289</v>
      </c>
      <c r="C10" s="82">
        <v>25</v>
      </c>
      <c r="D10" s="80">
        <f>SUMIFS('июль 2024'!$G$4:$G$1872,'июль 2024'!$D$4:$D$1872,$B10,'июль 2024'!$J$4:$J$1872,D$1)</f>
        <v>0</v>
      </c>
      <c r="E10" s="80">
        <f>SUMIFS('июль 2024'!$G$4:$G$1872,'июль 2024'!$D$4:$D$1872,$B10,'июль 2024'!$J$4:$J$1872,E$1)</f>
        <v>0</v>
      </c>
      <c r="F10" s="80">
        <f>SUMIFS('июль 2024'!$G$4:$G$1872,'июль 2024'!$D$4:$D$1872,$B10,'июль 2024'!$J$4:$J$1872,F$1)</f>
        <v>0</v>
      </c>
      <c r="G10" s="80">
        <f>SUMIFS('июль 2024'!$G$4:$G$1872,'июль 2024'!$D$4:$D$1872,$B10,'июль 2024'!$J$4:$J$1872,G$1)</f>
        <v>0</v>
      </c>
      <c r="H10" s="80">
        <f>SUMIFS('июль 2024'!$G$4:$G$1872,'июль 2024'!$D$4:$D$1872,$B10,'июль 2024'!$J$4:$J$1872,H$1)</f>
        <v>0</v>
      </c>
      <c r="I10" s="80">
        <f>SUMIFS('июль 2024'!$G$4:$G$1872,'июль 2024'!$D$4:$D$1872,$B10,'июль 2024'!$J$4:$J$1872,I$1)</f>
        <v>0</v>
      </c>
      <c r="J10" s="80">
        <f>SUMIFS('июль 2024'!$G$4:$G$1872,'июль 2024'!$D$4:$D$1872,$B10,'июль 2024'!$J$4:$J$1872,J$1)</f>
        <v>0</v>
      </c>
      <c r="K10" s="80">
        <f>SUMIFS('июль 2024'!$G$4:$G$1872,'июль 2024'!$D$4:$D$1872,$B10,'июль 2024'!$J$4:$J$1872,K$1)</f>
        <v>0</v>
      </c>
      <c r="L10" s="80">
        <f>SUMIFS('июль 2024'!$G$4:$G$1872,'июль 2024'!$D$4:$D$1872,$B10,'июль 2024'!$J$4:$J$1872,L$1)</f>
        <v>0</v>
      </c>
      <c r="M10" s="80">
        <f>SUMIFS('июль 2024'!$G$4:$G$1872,'июль 2024'!$D$4:$D$1872,$B10,'июль 2024'!$J$4:$J$1872,M$1)</f>
        <v>0</v>
      </c>
      <c r="N10" s="80">
        <f>SUMIFS('июль 2024'!$G$4:$G$1872,'июль 2024'!$D$4:$D$1872,$B10,'июль 2024'!$J$4:$J$1872,N$1)</f>
        <v>0</v>
      </c>
      <c r="O10" s="80">
        <f>SUMIFS('июль 2024'!$G$4:$G$1872,'июль 2024'!$D$4:$D$1872,$B10,'июль 2024'!$J$4:$J$1872,O$1)</f>
        <v>0</v>
      </c>
      <c r="P10" s="80">
        <f>SUMIFS('июль 2024'!$G$4:$G$1872,'июль 2024'!$D$4:$D$1872,$B10,'июль 2024'!$J$4:$J$1872,P$1)</f>
        <v>0</v>
      </c>
      <c r="Q10" s="80">
        <f>SUMIFS('июль 2024'!$G$4:$G$1872,'июль 2024'!$D$4:$D$1872,$B10,'июль 2024'!$J$4:$J$1872,Q$1)</f>
        <v>0</v>
      </c>
      <c r="R10" s="80">
        <f>SUMIFS('июль 2024'!$G$4:$G$1872,'июль 2024'!$D$4:$D$1872,$B10,'июль 2024'!$J$4:$J$1872,R$1)</f>
        <v>0</v>
      </c>
      <c r="S10" s="80">
        <f>SUMIFS('июль 2024'!$G$4:$G$1872,'июль 2024'!$D$4:$D$1872,$B10,'июль 2024'!$J$4:$J$1872,S$1)</f>
        <v>0</v>
      </c>
      <c r="T10" s="80">
        <f>SUMIFS('июль 2024'!$G$4:$G$1872,'июль 2024'!$D$4:$D$1872,$B10,'июль 2024'!$J$4:$J$1872,T$1)</f>
        <v>0</v>
      </c>
      <c r="U10" s="80">
        <f>SUMIFS('июль 2024'!$G$4:$G$1872,'июль 2024'!$D$4:$D$1872,$B10,'июль 2024'!$J$4:$J$1872,U$1)</f>
        <v>0</v>
      </c>
      <c r="V10" s="80">
        <f>SUMIFS('июль 2024'!$G$4:$G$1872,'июль 2024'!$D$4:$D$1872,$B10,'июль 2024'!$J$4:$J$1872,V$1)</f>
        <v>0</v>
      </c>
      <c r="W10" s="80">
        <f>SUMIFS('июль 2024'!$G$4:$G$1872,'июль 2024'!$D$4:$D$1872,$B10,'июль 2024'!$J$4:$J$1872,W$1)</f>
        <v>0</v>
      </c>
      <c r="X10" s="80">
        <f>SUMIFS('июль 2024'!$G$4:$G$1872,'июль 2024'!$D$4:$D$1872,$B10,'июль 2024'!$J$4:$J$1872,X$1)</f>
        <v>0</v>
      </c>
      <c r="Y10" s="80">
        <f>SUMIFS('июль 2024'!$G$4:$G$1872,'июль 2024'!$D$4:$D$1872,$B10,'июль 2024'!$J$4:$J$1872,Y$1)</f>
        <v>0</v>
      </c>
      <c r="Z10" s="80">
        <f>SUMIFS('июль 2024'!$G$4:$G$1872,'июль 2024'!$D$4:$D$1872,$B10,'июль 2024'!$J$4:$J$1872,Z$1)</f>
        <v>0</v>
      </c>
      <c r="AA10" s="80">
        <f>SUMIFS('июль 2024'!$G$4:$G$1872,'июль 2024'!$D$4:$D$1872,$B10,'июль 2024'!$J$4:$J$1872,AA$1)</f>
        <v>0</v>
      </c>
      <c r="AB10" s="80">
        <f>SUMIFS('июль 2024'!$G$4:$G$1872,'июль 2024'!$D$4:$D$1872,$B10,'июль 2024'!$J$4:$J$1872,AB$1)</f>
        <v>0</v>
      </c>
      <c r="AC10" s="80">
        <f>SUMIFS('июль 2024'!$G$4:$G$1872,'июль 2024'!$D$4:$D$1872,$B10,'июль 2024'!$J$4:$J$1872,AC$1)</f>
        <v>0</v>
      </c>
      <c r="AD10" s="80">
        <f>SUMIFS('июль 2024'!$G$4:$G$1872,'июль 2024'!$D$4:$D$1872,$B10,'июль 2024'!$J$4:$J$1872,AD$1)</f>
        <v>0</v>
      </c>
      <c r="AE10" s="80">
        <f>SUMIFS('июль 2024'!$G$4:$G$1872,'июль 2024'!$D$4:$D$1872,$B10,'июль 2024'!$J$4:$J$1872,AE$1)</f>
        <v>0</v>
      </c>
      <c r="AF10" s="80">
        <f>SUMIFS('июль 2024'!$G$4:$G$1872,'июль 2024'!$D$4:$D$1872,$B10,'июль 2024'!$J$4:$J$1872,AF$1)</f>
        <v>0</v>
      </c>
      <c r="AG10" s="80">
        <f>SUMIFS('июль 2024'!$G$4:$G$1872,'июль 2024'!$D$4:$D$1872,$B10,'июль 2024'!$J$4:$J$1872,AG$1)</f>
        <v>0</v>
      </c>
      <c r="AH10" s="80">
        <f>SUMIFS('июль 2024'!$G$4:$G$1872,'июль 2024'!$D$4:$D$1872,$B10,'июль 2024'!$J$4:$J$1872,AH$1)</f>
        <v>0</v>
      </c>
      <c r="AI10" s="21">
        <f t="shared" si="1"/>
        <v>0</v>
      </c>
    </row>
    <row r="11" spans="2:35" ht="15" customHeight="1" x14ac:dyDescent="0.25">
      <c r="B11" s="84" t="s">
        <v>291</v>
      </c>
      <c r="C11" s="85">
        <v>22.68</v>
      </c>
      <c r="D11" s="80">
        <f>SUMIFS('июль 2024'!$G$4:$G$1872,'июль 2024'!$D$4:$D$1872,$B11,'июль 2024'!$J$4:$J$1872,D$1)</f>
        <v>0</v>
      </c>
      <c r="E11" s="80">
        <f>SUMIFS('июль 2024'!$G$4:$G$1872,'июль 2024'!$D$4:$D$1872,$B11,'июль 2024'!$J$4:$J$1872,E$1)</f>
        <v>0</v>
      </c>
      <c r="F11" s="80">
        <f>SUMIFS('июль 2024'!$G$4:$G$1872,'июль 2024'!$D$4:$D$1872,$B11,'июль 2024'!$J$4:$J$1872,F$1)</f>
        <v>0</v>
      </c>
      <c r="G11" s="80">
        <f>SUMIFS('июль 2024'!$G$4:$G$1872,'июль 2024'!$D$4:$D$1872,$B11,'июль 2024'!$J$4:$J$1872,G$1)</f>
        <v>0</v>
      </c>
      <c r="H11" s="80">
        <f>SUMIFS('июль 2024'!$G$4:$G$1872,'июль 2024'!$D$4:$D$1872,$B11,'июль 2024'!$J$4:$J$1872,H$1)</f>
        <v>0</v>
      </c>
      <c r="I11" s="80">
        <f>SUMIFS('июль 2024'!$G$4:$G$1872,'июль 2024'!$D$4:$D$1872,$B11,'июль 2024'!$J$4:$J$1872,I$1)</f>
        <v>0</v>
      </c>
      <c r="J11" s="80">
        <f>SUMIFS('июль 2024'!$G$4:$G$1872,'июль 2024'!$D$4:$D$1872,$B11,'июль 2024'!$J$4:$J$1872,J$1)</f>
        <v>0</v>
      </c>
      <c r="K11" s="80">
        <f>SUMIFS('июль 2024'!$G$4:$G$1872,'июль 2024'!$D$4:$D$1872,$B11,'июль 2024'!$J$4:$J$1872,K$1)</f>
        <v>0</v>
      </c>
      <c r="L11" s="80">
        <f>SUMIFS('июль 2024'!$G$4:$G$1872,'июль 2024'!$D$4:$D$1872,$B11,'июль 2024'!$J$4:$J$1872,L$1)</f>
        <v>0</v>
      </c>
      <c r="M11" s="80">
        <f>SUMIFS('июль 2024'!$G$4:$G$1872,'июль 2024'!$D$4:$D$1872,$B11,'июль 2024'!$J$4:$J$1872,M$1)</f>
        <v>0</v>
      </c>
      <c r="N11" s="80">
        <f>SUMIFS('июль 2024'!$G$4:$G$1872,'июль 2024'!$D$4:$D$1872,$B11,'июль 2024'!$J$4:$J$1872,N$1)</f>
        <v>0</v>
      </c>
      <c r="O11" s="80">
        <f>SUMIFS('июль 2024'!$G$4:$G$1872,'июль 2024'!$D$4:$D$1872,$B11,'июль 2024'!$J$4:$J$1872,O$1)</f>
        <v>0</v>
      </c>
      <c r="P11" s="80">
        <f>SUMIFS('июль 2024'!$G$4:$G$1872,'июль 2024'!$D$4:$D$1872,$B11,'июль 2024'!$J$4:$J$1872,P$1)</f>
        <v>0</v>
      </c>
      <c r="Q11" s="80">
        <f>SUMIFS('июль 2024'!$G$4:$G$1872,'июль 2024'!$D$4:$D$1872,$B11,'июль 2024'!$J$4:$J$1872,Q$1)</f>
        <v>0</v>
      </c>
      <c r="R11" s="80">
        <f>SUMIFS('июль 2024'!$G$4:$G$1872,'июль 2024'!$D$4:$D$1872,$B11,'июль 2024'!$J$4:$J$1872,R$1)</f>
        <v>0</v>
      </c>
      <c r="S11" s="80">
        <f>SUMIFS('июль 2024'!$G$4:$G$1872,'июль 2024'!$D$4:$D$1872,$B11,'июль 2024'!$J$4:$J$1872,S$1)</f>
        <v>0</v>
      </c>
      <c r="T11" s="80">
        <f>SUMIFS('июль 2024'!$G$4:$G$1872,'июль 2024'!$D$4:$D$1872,$B11,'июль 2024'!$J$4:$J$1872,T$1)</f>
        <v>0</v>
      </c>
      <c r="U11" s="80">
        <f>SUMIFS('июль 2024'!$G$4:$G$1872,'июль 2024'!$D$4:$D$1872,$B11,'июль 2024'!$J$4:$J$1872,U$1)</f>
        <v>0</v>
      </c>
      <c r="V11" s="80">
        <f>SUMIFS('июль 2024'!$G$4:$G$1872,'июль 2024'!$D$4:$D$1872,$B11,'июль 2024'!$J$4:$J$1872,V$1)</f>
        <v>0</v>
      </c>
      <c r="W11" s="80">
        <f>SUMIFS('июль 2024'!$G$4:$G$1872,'июль 2024'!$D$4:$D$1872,$B11,'июль 2024'!$J$4:$J$1872,W$1)</f>
        <v>0</v>
      </c>
      <c r="X11" s="80">
        <f>SUMIFS('июль 2024'!$G$4:$G$1872,'июль 2024'!$D$4:$D$1872,$B11,'июль 2024'!$J$4:$J$1872,X$1)</f>
        <v>0</v>
      </c>
      <c r="Y11" s="80">
        <f>SUMIFS('июль 2024'!$G$4:$G$1872,'июль 2024'!$D$4:$D$1872,$B11,'июль 2024'!$J$4:$J$1872,Y$1)</f>
        <v>0</v>
      </c>
      <c r="Z11" s="80">
        <f>SUMIFS('июль 2024'!$G$4:$G$1872,'июль 2024'!$D$4:$D$1872,$B11,'июль 2024'!$J$4:$J$1872,Z$1)</f>
        <v>0</v>
      </c>
      <c r="AA11" s="80">
        <f>SUMIFS('июль 2024'!$G$4:$G$1872,'июль 2024'!$D$4:$D$1872,$B11,'июль 2024'!$J$4:$J$1872,AA$1)</f>
        <v>0</v>
      </c>
      <c r="AB11" s="80">
        <f>SUMIFS('июль 2024'!$G$4:$G$1872,'июль 2024'!$D$4:$D$1872,$B11,'июль 2024'!$J$4:$J$1872,AB$1)</f>
        <v>0</v>
      </c>
      <c r="AC11" s="80">
        <f>SUMIFS('июль 2024'!$G$4:$G$1872,'июль 2024'!$D$4:$D$1872,$B11,'июль 2024'!$J$4:$J$1872,AC$1)</f>
        <v>0</v>
      </c>
      <c r="AD11" s="80">
        <f>SUMIFS('июль 2024'!$G$4:$G$1872,'июль 2024'!$D$4:$D$1872,$B11,'июль 2024'!$J$4:$J$1872,AD$1)</f>
        <v>0</v>
      </c>
      <c r="AE11" s="80">
        <f>SUMIFS('июль 2024'!$G$4:$G$1872,'июль 2024'!$D$4:$D$1872,$B11,'июль 2024'!$J$4:$J$1872,AE$1)</f>
        <v>0</v>
      </c>
      <c r="AF11" s="80">
        <f>SUMIFS('июль 2024'!$G$4:$G$1872,'июль 2024'!$D$4:$D$1872,$B11,'июль 2024'!$J$4:$J$1872,AF$1)</f>
        <v>0</v>
      </c>
      <c r="AG11" s="80">
        <f>SUMIFS('июль 2024'!$G$4:$G$1872,'июль 2024'!$D$4:$D$1872,$B11,'июль 2024'!$J$4:$J$1872,AG$1)</f>
        <v>0</v>
      </c>
      <c r="AH11" s="80">
        <f>SUMIFS('июль 2024'!$G$4:$G$1872,'июль 2024'!$D$4:$D$1872,$B11,'июль 2024'!$J$4:$J$1872,AH$1)</f>
        <v>0</v>
      </c>
      <c r="AI11" s="21">
        <f t="shared" si="1"/>
        <v>0</v>
      </c>
    </row>
    <row r="12" spans="2:35" ht="15" customHeight="1" x14ac:dyDescent="0.25">
      <c r="B12" s="84" t="s">
        <v>293</v>
      </c>
      <c r="C12" s="85">
        <v>22.68</v>
      </c>
      <c r="D12" s="80">
        <f>SUMIFS('июль 2024'!$G$4:$G$1872,'июль 2024'!$D$4:$D$1872,$B12,'июль 2024'!$J$4:$J$1872,D$1)</f>
        <v>0</v>
      </c>
      <c r="E12" s="80">
        <f>SUMIFS('июль 2024'!$G$4:$G$1872,'июль 2024'!$D$4:$D$1872,$B12,'июль 2024'!$J$4:$J$1872,E$1)</f>
        <v>0</v>
      </c>
      <c r="F12" s="80">
        <f>SUMIFS('июль 2024'!$G$4:$G$1872,'июль 2024'!$D$4:$D$1872,$B12,'июль 2024'!$J$4:$J$1872,F$1)</f>
        <v>0</v>
      </c>
      <c r="G12" s="80">
        <f>SUMIFS('июль 2024'!$G$4:$G$1872,'июль 2024'!$D$4:$D$1872,$B12,'июль 2024'!$J$4:$J$1872,G$1)</f>
        <v>0</v>
      </c>
      <c r="H12" s="80">
        <f>SUMIFS('июль 2024'!$G$4:$G$1872,'июль 2024'!$D$4:$D$1872,$B12,'июль 2024'!$J$4:$J$1872,H$1)</f>
        <v>0</v>
      </c>
      <c r="I12" s="80">
        <f>SUMIFS('июль 2024'!$G$4:$G$1872,'июль 2024'!$D$4:$D$1872,$B12,'июль 2024'!$J$4:$J$1872,I$1)</f>
        <v>0</v>
      </c>
      <c r="J12" s="80">
        <f>SUMIFS('июль 2024'!$G$4:$G$1872,'июль 2024'!$D$4:$D$1872,$B12,'июль 2024'!$J$4:$J$1872,J$1)</f>
        <v>0</v>
      </c>
      <c r="K12" s="80">
        <f>SUMIFS('июль 2024'!$G$4:$G$1872,'июль 2024'!$D$4:$D$1872,$B12,'июль 2024'!$J$4:$J$1872,K$1)</f>
        <v>0</v>
      </c>
      <c r="L12" s="80">
        <f>SUMIFS('июль 2024'!$G$4:$G$1872,'июль 2024'!$D$4:$D$1872,$B12,'июль 2024'!$J$4:$J$1872,L$1)</f>
        <v>0</v>
      </c>
      <c r="M12" s="80">
        <f>SUMIFS('июль 2024'!$G$4:$G$1872,'июль 2024'!$D$4:$D$1872,$B12,'июль 2024'!$J$4:$J$1872,M$1)</f>
        <v>0</v>
      </c>
      <c r="N12" s="80">
        <f>SUMIFS('июль 2024'!$G$4:$G$1872,'июль 2024'!$D$4:$D$1872,$B12,'июль 2024'!$J$4:$J$1872,N$1)</f>
        <v>0</v>
      </c>
      <c r="O12" s="80">
        <f>SUMIFS('июль 2024'!$G$4:$G$1872,'июль 2024'!$D$4:$D$1872,$B12,'июль 2024'!$J$4:$J$1872,O$1)</f>
        <v>0</v>
      </c>
      <c r="P12" s="80">
        <f>SUMIFS('июль 2024'!$G$4:$G$1872,'июль 2024'!$D$4:$D$1872,$B12,'июль 2024'!$J$4:$J$1872,P$1)</f>
        <v>0</v>
      </c>
      <c r="Q12" s="80">
        <f>SUMIFS('июль 2024'!$G$4:$G$1872,'июль 2024'!$D$4:$D$1872,$B12,'июль 2024'!$J$4:$J$1872,Q$1)</f>
        <v>0</v>
      </c>
      <c r="R12" s="80">
        <f>SUMIFS('июль 2024'!$G$4:$G$1872,'июль 2024'!$D$4:$D$1872,$B12,'июль 2024'!$J$4:$J$1872,R$1)</f>
        <v>0</v>
      </c>
      <c r="S12" s="80">
        <f>SUMIFS('июль 2024'!$G$4:$G$1872,'июль 2024'!$D$4:$D$1872,$B12,'июль 2024'!$J$4:$J$1872,S$1)</f>
        <v>0</v>
      </c>
      <c r="T12" s="80">
        <f>SUMIFS('июль 2024'!$G$4:$G$1872,'июль 2024'!$D$4:$D$1872,$B12,'июль 2024'!$J$4:$J$1872,T$1)</f>
        <v>0</v>
      </c>
      <c r="U12" s="80">
        <f>SUMIFS('июль 2024'!$G$4:$G$1872,'июль 2024'!$D$4:$D$1872,$B12,'июль 2024'!$J$4:$J$1872,U$1)</f>
        <v>0</v>
      </c>
      <c r="V12" s="80">
        <f>SUMIFS('июль 2024'!$G$4:$G$1872,'июль 2024'!$D$4:$D$1872,$B12,'июль 2024'!$J$4:$J$1872,V$1)</f>
        <v>0</v>
      </c>
      <c r="W12" s="80">
        <f>SUMIFS('июль 2024'!$G$4:$G$1872,'июль 2024'!$D$4:$D$1872,$B12,'июль 2024'!$J$4:$J$1872,W$1)</f>
        <v>0</v>
      </c>
      <c r="X12" s="80">
        <f>SUMIFS('июль 2024'!$G$4:$G$1872,'июль 2024'!$D$4:$D$1872,$B12,'июль 2024'!$J$4:$J$1872,X$1)</f>
        <v>0</v>
      </c>
      <c r="Y12" s="80">
        <f>SUMIFS('июль 2024'!$G$4:$G$1872,'июль 2024'!$D$4:$D$1872,$B12,'июль 2024'!$J$4:$J$1872,Y$1)</f>
        <v>0</v>
      </c>
      <c r="Z12" s="80">
        <f>SUMIFS('июль 2024'!$G$4:$G$1872,'июль 2024'!$D$4:$D$1872,$B12,'июль 2024'!$J$4:$J$1872,Z$1)</f>
        <v>0</v>
      </c>
      <c r="AA12" s="80">
        <f>SUMIFS('июль 2024'!$G$4:$G$1872,'июль 2024'!$D$4:$D$1872,$B12,'июль 2024'!$J$4:$J$1872,AA$1)</f>
        <v>0</v>
      </c>
      <c r="AB12" s="80">
        <f>SUMIFS('июль 2024'!$G$4:$G$1872,'июль 2024'!$D$4:$D$1872,$B12,'июль 2024'!$J$4:$J$1872,AB$1)</f>
        <v>0</v>
      </c>
      <c r="AC12" s="80">
        <f>SUMIFS('июль 2024'!$G$4:$G$1872,'июль 2024'!$D$4:$D$1872,$B12,'июль 2024'!$J$4:$J$1872,AC$1)</f>
        <v>0</v>
      </c>
      <c r="AD12" s="80">
        <f>SUMIFS('июль 2024'!$G$4:$G$1872,'июль 2024'!$D$4:$D$1872,$B12,'июль 2024'!$J$4:$J$1872,AD$1)</f>
        <v>0</v>
      </c>
      <c r="AE12" s="80">
        <f>SUMIFS('июль 2024'!$G$4:$G$1872,'июль 2024'!$D$4:$D$1872,$B12,'июль 2024'!$J$4:$J$1872,AE$1)</f>
        <v>0</v>
      </c>
      <c r="AF12" s="80">
        <f>SUMIFS('июль 2024'!$G$4:$G$1872,'июль 2024'!$D$4:$D$1872,$B12,'июль 2024'!$J$4:$J$1872,AF$1)</f>
        <v>0</v>
      </c>
      <c r="AG12" s="80">
        <f>SUMIFS('июль 2024'!$G$4:$G$1872,'июль 2024'!$D$4:$D$1872,$B12,'июль 2024'!$J$4:$J$1872,AG$1)</f>
        <v>0</v>
      </c>
      <c r="AH12" s="80">
        <f>SUMIFS('июль 2024'!$G$4:$G$1872,'июль 2024'!$D$4:$D$1872,$B12,'июль 2024'!$J$4:$J$1872,AH$1)</f>
        <v>0</v>
      </c>
      <c r="AI12" s="21">
        <f t="shared" si="1"/>
        <v>0</v>
      </c>
    </row>
    <row r="13" spans="2:35" ht="15" customHeight="1" x14ac:dyDescent="0.25">
      <c r="B13" s="84" t="s">
        <v>1043</v>
      </c>
      <c r="C13" s="85">
        <v>25</v>
      </c>
      <c r="D13" s="80">
        <f>SUMIFS('июль 2024'!$G$4:$G$1872,'июль 2024'!$D$4:$D$1872,$B13,'июль 2024'!$J$4:$J$1872,D$1)</f>
        <v>0</v>
      </c>
      <c r="E13" s="80">
        <f>SUMIFS('июль 2024'!$G$4:$G$1872,'июль 2024'!$D$4:$D$1872,$B13,'июль 2024'!$J$4:$J$1872,E$1)</f>
        <v>0</v>
      </c>
      <c r="F13" s="80">
        <f>SUMIFS('июль 2024'!$G$4:$G$1872,'июль 2024'!$D$4:$D$1872,$B13,'июль 2024'!$J$4:$J$1872,F$1)</f>
        <v>0</v>
      </c>
      <c r="G13" s="80">
        <f>SUMIFS('июль 2024'!$G$4:$G$1872,'июль 2024'!$D$4:$D$1872,$B13,'июль 2024'!$J$4:$J$1872,G$1)</f>
        <v>0</v>
      </c>
      <c r="H13" s="80">
        <f>SUMIFS('июль 2024'!$G$4:$G$1872,'июль 2024'!$D$4:$D$1872,$B13,'июль 2024'!$J$4:$J$1872,H$1)</f>
        <v>0</v>
      </c>
      <c r="I13" s="80">
        <f>SUMIFS('июль 2024'!$G$4:$G$1872,'июль 2024'!$D$4:$D$1872,$B13,'июль 2024'!$J$4:$J$1872,I$1)</f>
        <v>0</v>
      </c>
      <c r="J13" s="80">
        <f>SUMIFS('июль 2024'!$G$4:$G$1872,'июль 2024'!$D$4:$D$1872,$B13,'июль 2024'!$J$4:$J$1872,J$1)</f>
        <v>0</v>
      </c>
      <c r="K13" s="80">
        <f>SUMIFS('июль 2024'!$G$4:$G$1872,'июль 2024'!$D$4:$D$1872,$B13,'июль 2024'!$J$4:$J$1872,K$1)</f>
        <v>0</v>
      </c>
      <c r="L13" s="80">
        <f>SUMIFS('июль 2024'!$G$4:$G$1872,'июль 2024'!$D$4:$D$1872,$B13,'июль 2024'!$J$4:$J$1872,L$1)</f>
        <v>0</v>
      </c>
      <c r="M13" s="80">
        <f>SUMIFS('июль 2024'!$G$4:$G$1872,'июль 2024'!$D$4:$D$1872,$B13,'июль 2024'!$J$4:$J$1872,M$1)</f>
        <v>0</v>
      </c>
      <c r="N13" s="80">
        <f>SUMIFS('июль 2024'!$G$4:$G$1872,'июль 2024'!$D$4:$D$1872,$B13,'июль 2024'!$J$4:$J$1872,N$1)</f>
        <v>0</v>
      </c>
      <c r="O13" s="80">
        <f>SUMIFS('июль 2024'!$G$4:$G$1872,'июль 2024'!$D$4:$D$1872,$B13,'июль 2024'!$J$4:$J$1872,O$1)</f>
        <v>0</v>
      </c>
      <c r="P13" s="80">
        <f>SUMIFS('июль 2024'!$G$4:$G$1872,'июль 2024'!$D$4:$D$1872,$B13,'июль 2024'!$J$4:$J$1872,P$1)</f>
        <v>0</v>
      </c>
      <c r="Q13" s="80">
        <f>SUMIFS('июль 2024'!$G$4:$G$1872,'июль 2024'!$D$4:$D$1872,$B13,'июль 2024'!$J$4:$J$1872,Q$1)</f>
        <v>0</v>
      </c>
      <c r="R13" s="80">
        <f>SUMIFS('июль 2024'!$G$4:$G$1872,'июль 2024'!$D$4:$D$1872,$B13,'июль 2024'!$J$4:$J$1872,R$1)</f>
        <v>0</v>
      </c>
      <c r="S13" s="80">
        <f>SUMIFS('июль 2024'!$G$4:$G$1872,'июль 2024'!$D$4:$D$1872,$B13,'июль 2024'!$J$4:$J$1872,S$1)</f>
        <v>0</v>
      </c>
      <c r="T13" s="80">
        <f>SUMIFS('июль 2024'!$G$4:$G$1872,'июль 2024'!$D$4:$D$1872,$B13,'июль 2024'!$J$4:$J$1872,T$1)</f>
        <v>0</v>
      </c>
      <c r="U13" s="80">
        <f>SUMIFS('июль 2024'!$G$4:$G$1872,'июль 2024'!$D$4:$D$1872,$B13,'июль 2024'!$J$4:$J$1872,U$1)</f>
        <v>0</v>
      </c>
      <c r="V13" s="80">
        <f>SUMIFS('июль 2024'!$G$4:$G$1872,'июль 2024'!$D$4:$D$1872,$B13,'июль 2024'!$J$4:$J$1872,V$1)</f>
        <v>0</v>
      </c>
      <c r="W13" s="80">
        <f>SUMIFS('июль 2024'!$G$4:$G$1872,'июль 2024'!$D$4:$D$1872,$B13,'июль 2024'!$J$4:$J$1872,W$1)</f>
        <v>0</v>
      </c>
      <c r="X13" s="80">
        <f>SUMIFS('июль 2024'!$G$4:$G$1872,'июль 2024'!$D$4:$D$1872,$B13,'июль 2024'!$J$4:$J$1872,X$1)</f>
        <v>0</v>
      </c>
      <c r="Y13" s="80">
        <f>SUMIFS('июль 2024'!$G$4:$G$1872,'июль 2024'!$D$4:$D$1872,$B13,'июль 2024'!$J$4:$J$1872,Y$1)</f>
        <v>0</v>
      </c>
      <c r="Z13" s="80">
        <f>SUMIFS('июль 2024'!$G$4:$G$1872,'июль 2024'!$D$4:$D$1872,$B13,'июль 2024'!$J$4:$J$1872,Z$1)</f>
        <v>0</v>
      </c>
      <c r="AA13" s="80">
        <f>SUMIFS('июль 2024'!$G$4:$G$1872,'июль 2024'!$D$4:$D$1872,$B13,'июль 2024'!$J$4:$J$1872,AA$1)</f>
        <v>0</v>
      </c>
      <c r="AB13" s="80">
        <f>SUMIFS('июль 2024'!$G$4:$G$1872,'июль 2024'!$D$4:$D$1872,$B13,'июль 2024'!$J$4:$J$1872,AB$1)</f>
        <v>0</v>
      </c>
      <c r="AC13" s="80">
        <f>SUMIFS('июль 2024'!$G$4:$G$1872,'июль 2024'!$D$4:$D$1872,$B13,'июль 2024'!$J$4:$J$1872,AC$1)</f>
        <v>0</v>
      </c>
      <c r="AD13" s="80">
        <f>SUMIFS('июль 2024'!$G$4:$G$1872,'июль 2024'!$D$4:$D$1872,$B13,'июль 2024'!$J$4:$J$1872,AD$1)</f>
        <v>0</v>
      </c>
      <c r="AE13" s="80">
        <f>SUMIFS('июль 2024'!$G$4:$G$1872,'июль 2024'!$D$4:$D$1872,$B13,'июль 2024'!$J$4:$J$1872,AE$1)</f>
        <v>0</v>
      </c>
      <c r="AF13" s="80">
        <f>SUMIFS('июль 2024'!$G$4:$G$1872,'июль 2024'!$D$4:$D$1872,$B13,'июль 2024'!$J$4:$J$1872,AF$1)</f>
        <v>0</v>
      </c>
      <c r="AG13" s="80">
        <f>SUMIFS('июль 2024'!$G$4:$G$1872,'июль 2024'!$D$4:$D$1872,$B13,'июль 2024'!$J$4:$J$1872,AG$1)</f>
        <v>0</v>
      </c>
      <c r="AH13" s="80">
        <f>SUMIFS('июль 2024'!$G$4:$G$1872,'июль 2024'!$D$4:$D$1872,$B13,'июль 2024'!$J$4:$J$1872,AH$1)</f>
        <v>0</v>
      </c>
      <c r="AI13" s="21">
        <f t="shared" si="1"/>
        <v>0</v>
      </c>
    </row>
    <row r="14" spans="2:35" ht="15" customHeight="1" x14ac:dyDescent="0.25">
      <c r="B14" s="84" t="s">
        <v>1097</v>
      </c>
      <c r="C14" s="85">
        <v>25</v>
      </c>
      <c r="D14" s="80">
        <f>SUMIFS('июль 2024'!$G$4:$G$1872,'июль 2024'!$D$4:$D$1872,$B14,'июль 2024'!$J$4:$J$1872,D$1)</f>
        <v>0</v>
      </c>
      <c r="E14" s="80">
        <f>SUMIFS('июль 2024'!$G$4:$G$1872,'июль 2024'!$D$4:$D$1872,$B14,'июль 2024'!$J$4:$J$1872,E$1)</f>
        <v>0</v>
      </c>
      <c r="F14" s="80">
        <f>SUMIFS('июль 2024'!$G$4:$G$1872,'июль 2024'!$D$4:$D$1872,$B14,'июль 2024'!$J$4:$J$1872,F$1)</f>
        <v>0</v>
      </c>
      <c r="G14" s="80">
        <f>SUMIFS('июль 2024'!$G$4:$G$1872,'июль 2024'!$D$4:$D$1872,$B14,'июль 2024'!$J$4:$J$1872,G$1)</f>
        <v>1400</v>
      </c>
      <c r="H14" s="80">
        <f>SUMIFS('июль 2024'!$G$4:$G$1872,'июль 2024'!$D$4:$D$1872,$B14,'июль 2024'!$J$4:$J$1872,H$1)</f>
        <v>0</v>
      </c>
      <c r="I14" s="80">
        <f>SUMIFS('июль 2024'!$G$4:$G$1872,'июль 2024'!$D$4:$D$1872,$B14,'июль 2024'!$J$4:$J$1872,I$1)</f>
        <v>0</v>
      </c>
      <c r="J14" s="80">
        <f>SUMIFS('июль 2024'!$G$4:$G$1872,'июль 2024'!$D$4:$D$1872,$B14,'июль 2024'!$J$4:$J$1872,J$1)</f>
        <v>0</v>
      </c>
      <c r="K14" s="80">
        <f>SUMIFS('июль 2024'!$G$4:$G$1872,'июль 2024'!$D$4:$D$1872,$B14,'июль 2024'!$J$4:$J$1872,K$1)</f>
        <v>0</v>
      </c>
      <c r="L14" s="80">
        <f>SUMIFS('июль 2024'!$G$4:$G$1872,'июль 2024'!$D$4:$D$1872,$B14,'июль 2024'!$J$4:$J$1872,L$1)</f>
        <v>0</v>
      </c>
      <c r="M14" s="80">
        <f>SUMIFS('июль 2024'!$G$4:$G$1872,'июль 2024'!$D$4:$D$1872,$B14,'июль 2024'!$J$4:$J$1872,M$1)</f>
        <v>0</v>
      </c>
      <c r="N14" s="80">
        <f>SUMIFS('июль 2024'!$G$4:$G$1872,'июль 2024'!$D$4:$D$1872,$B14,'июль 2024'!$J$4:$J$1872,N$1)</f>
        <v>0</v>
      </c>
      <c r="O14" s="80">
        <f>SUMIFS('июль 2024'!$G$4:$G$1872,'июль 2024'!$D$4:$D$1872,$B14,'июль 2024'!$J$4:$J$1872,O$1)</f>
        <v>1505</v>
      </c>
      <c r="P14" s="80">
        <f>SUMIFS('июль 2024'!$G$4:$G$1872,'июль 2024'!$D$4:$D$1872,$B14,'июль 2024'!$J$4:$J$1872,P$1)</f>
        <v>0</v>
      </c>
      <c r="Q14" s="80">
        <f>SUMIFS('июль 2024'!$G$4:$G$1872,'июль 2024'!$D$4:$D$1872,$B14,'июль 2024'!$J$4:$J$1872,Q$1)</f>
        <v>0</v>
      </c>
      <c r="R14" s="80">
        <f>SUMIFS('июль 2024'!$G$4:$G$1872,'июль 2024'!$D$4:$D$1872,$B14,'июль 2024'!$J$4:$J$1872,R$1)</f>
        <v>0</v>
      </c>
      <c r="S14" s="80">
        <f>SUMIFS('июль 2024'!$G$4:$G$1872,'июль 2024'!$D$4:$D$1872,$B14,'июль 2024'!$J$4:$J$1872,S$1)</f>
        <v>0</v>
      </c>
      <c r="T14" s="80">
        <f>SUMIFS('июль 2024'!$G$4:$G$1872,'июль 2024'!$D$4:$D$1872,$B14,'июль 2024'!$J$4:$J$1872,T$1)</f>
        <v>0</v>
      </c>
      <c r="U14" s="80">
        <f>SUMIFS('июль 2024'!$G$4:$G$1872,'июль 2024'!$D$4:$D$1872,$B14,'июль 2024'!$J$4:$J$1872,U$1)</f>
        <v>0</v>
      </c>
      <c r="V14" s="80">
        <f>SUMIFS('июль 2024'!$G$4:$G$1872,'июль 2024'!$D$4:$D$1872,$B14,'июль 2024'!$J$4:$J$1872,V$1)</f>
        <v>0</v>
      </c>
      <c r="W14" s="80">
        <f>SUMIFS('июль 2024'!$G$4:$G$1872,'июль 2024'!$D$4:$D$1872,$B14,'июль 2024'!$J$4:$J$1872,W$1)</f>
        <v>0</v>
      </c>
      <c r="X14" s="80">
        <f>SUMIFS('июль 2024'!$G$4:$G$1872,'июль 2024'!$D$4:$D$1872,$B14,'июль 2024'!$J$4:$J$1872,X$1)</f>
        <v>0</v>
      </c>
      <c r="Y14" s="80">
        <f>SUMIFS('июль 2024'!$G$4:$G$1872,'июль 2024'!$D$4:$D$1872,$B14,'июль 2024'!$J$4:$J$1872,Y$1)</f>
        <v>0</v>
      </c>
      <c r="Z14" s="80">
        <f>SUMIFS('июль 2024'!$G$4:$G$1872,'июль 2024'!$D$4:$D$1872,$B14,'июль 2024'!$J$4:$J$1872,Z$1)</f>
        <v>2800</v>
      </c>
      <c r="AA14" s="80">
        <f>SUMIFS('июль 2024'!$G$4:$G$1872,'июль 2024'!$D$4:$D$1872,$B14,'июль 2024'!$J$4:$J$1872,AA$1)</f>
        <v>0</v>
      </c>
      <c r="AB14" s="80">
        <f>SUMIFS('июль 2024'!$G$4:$G$1872,'июль 2024'!$D$4:$D$1872,$B14,'июль 2024'!$J$4:$J$1872,AB$1)</f>
        <v>0</v>
      </c>
      <c r="AC14" s="80">
        <f>SUMIFS('июль 2024'!$G$4:$G$1872,'июль 2024'!$D$4:$D$1872,$B14,'июль 2024'!$J$4:$J$1872,AC$1)</f>
        <v>1400</v>
      </c>
      <c r="AD14" s="80">
        <f>SUMIFS('июль 2024'!$G$4:$G$1872,'июль 2024'!$D$4:$D$1872,$B14,'июль 2024'!$J$4:$J$1872,AD$1)</f>
        <v>0</v>
      </c>
      <c r="AE14" s="80">
        <f>SUMIFS('июль 2024'!$G$4:$G$1872,'июль 2024'!$D$4:$D$1872,$B14,'июль 2024'!$J$4:$J$1872,AE$1)</f>
        <v>0</v>
      </c>
      <c r="AF14" s="80">
        <f>SUMIFS('июль 2024'!$G$4:$G$1872,'июль 2024'!$D$4:$D$1872,$B14,'июль 2024'!$J$4:$J$1872,AF$1)</f>
        <v>0</v>
      </c>
      <c r="AG14" s="80">
        <f>SUMIFS('июль 2024'!$G$4:$G$1872,'июль 2024'!$D$4:$D$1872,$B14,'июль 2024'!$J$4:$J$1872,AG$1)</f>
        <v>2100</v>
      </c>
      <c r="AH14" s="80">
        <f>SUMIFS('июль 2024'!$G$4:$G$1872,'июль 2024'!$D$4:$D$1872,$B14,'июль 2024'!$J$4:$J$1872,AH$1)</f>
        <v>0</v>
      </c>
      <c r="AI14" s="21">
        <f t="shared" si="1"/>
        <v>9205</v>
      </c>
    </row>
    <row r="15" spans="2:35" ht="15" customHeight="1" x14ac:dyDescent="0.25">
      <c r="B15" s="84" t="s">
        <v>295</v>
      </c>
      <c r="C15" s="85">
        <v>22.7</v>
      </c>
      <c r="D15" s="80">
        <f>SUMIFS('июль 2024'!$G$4:$G$1872,'июль 2024'!$D$4:$D$1872,$B15,'июль 2024'!$J$4:$J$1872,D$1)</f>
        <v>0</v>
      </c>
      <c r="E15" s="80">
        <f>SUMIFS('июль 2024'!$G$4:$G$1872,'июль 2024'!$D$4:$D$1872,$B15,'июль 2024'!$J$4:$J$1872,E$1)</f>
        <v>0</v>
      </c>
      <c r="F15" s="80">
        <f>SUMIFS('июль 2024'!$G$4:$G$1872,'июль 2024'!$D$4:$D$1872,$B15,'июль 2024'!$J$4:$J$1872,F$1)</f>
        <v>0</v>
      </c>
      <c r="G15" s="80">
        <f>SUMIFS('июль 2024'!$G$4:$G$1872,'июль 2024'!$D$4:$D$1872,$B15,'июль 2024'!$J$4:$J$1872,G$1)</f>
        <v>0</v>
      </c>
      <c r="H15" s="80">
        <f>SUMIFS('июль 2024'!$G$4:$G$1872,'июль 2024'!$D$4:$D$1872,$B15,'июль 2024'!$J$4:$J$1872,H$1)</f>
        <v>0</v>
      </c>
      <c r="I15" s="80">
        <f>SUMIFS('июль 2024'!$G$4:$G$1872,'июль 2024'!$D$4:$D$1872,$B15,'июль 2024'!$J$4:$J$1872,I$1)</f>
        <v>0</v>
      </c>
      <c r="J15" s="80">
        <f>SUMIFS('июль 2024'!$G$4:$G$1872,'июль 2024'!$D$4:$D$1872,$B15,'июль 2024'!$J$4:$J$1872,J$1)</f>
        <v>0</v>
      </c>
      <c r="K15" s="80">
        <f>SUMIFS('июль 2024'!$G$4:$G$1872,'июль 2024'!$D$4:$D$1872,$B15,'июль 2024'!$J$4:$J$1872,K$1)</f>
        <v>0</v>
      </c>
      <c r="L15" s="80">
        <f>SUMIFS('июль 2024'!$G$4:$G$1872,'июль 2024'!$D$4:$D$1872,$B15,'июль 2024'!$J$4:$J$1872,L$1)</f>
        <v>0</v>
      </c>
      <c r="M15" s="80">
        <f>SUMIFS('июль 2024'!$G$4:$G$1872,'июль 2024'!$D$4:$D$1872,$B15,'июль 2024'!$J$4:$J$1872,M$1)</f>
        <v>0</v>
      </c>
      <c r="N15" s="80">
        <f>SUMIFS('июль 2024'!$G$4:$G$1872,'июль 2024'!$D$4:$D$1872,$B15,'июль 2024'!$J$4:$J$1872,N$1)</f>
        <v>0</v>
      </c>
      <c r="O15" s="80">
        <f>SUMIFS('июль 2024'!$G$4:$G$1872,'июль 2024'!$D$4:$D$1872,$B15,'июль 2024'!$J$4:$J$1872,O$1)</f>
        <v>0</v>
      </c>
      <c r="P15" s="80">
        <f>SUMIFS('июль 2024'!$G$4:$G$1872,'июль 2024'!$D$4:$D$1872,$B15,'июль 2024'!$J$4:$J$1872,P$1)</f>
        <v>0</v>
      </c>
      <c r="Q15" s="80">
        <f>SUMIFS('июль 2024'!$G$4:$G$1872,'июль 2024'!$D$4:$D$1872,$B15,'июль 2024'!$J$4:$J$1872,Q$1)</f>
        <v>0</v>
      </c>
      <c r="R15" s="80">
        <f>SUMIFS('июль 2024'!$G$4:$G$1872,'июль 2024'!$D$4:$D$1872,$B15,'июль 2024'!$J$4:$J$1872,R$1)</f>
        <v>0</v>
      </c>
      <c r="S15" s="80">
        <f>SUMIFS('июль 2024'!$G$4:$G$1872,'июль 2024'!$D$4:$D$1872,$B15,'июль 2024'!$J$4:$J$1872,S$1)</f>
        <v>0</v>
      </c>
      <c r="T15" s="80">
        <f>SUMIFS('июль 2024'!$G$4:$G$1872,'июль 2024'!$D$4:$D$1872,$B15,'июль 2024'!$J$4:$J$1872,T$1)</f>
        <v>0</v>
      </c>
      <c r="U15" s="80">
        <f>SUMIFS('июль 2024'!$G$4:$G$1872,'июль 2024'!$D$4:$D$1872,$B15,'июль 2024'!$J$4:$J$1872,U$1)</f>
        <v>0</v>
      </c>
      <c r="V15" s="80">
        <f>SUMIFS('июль 2024'!$G$4:$G$1872,'июль 2024'!$D$4:$D$1872,$B15,'июль 2024'!$J$4:$J$1872,V$1)</f>
        <v>0</v>
      </c>
      <c r="W15" s="80">
        <f>SUMIFS('июль 2024'!$G$4:$G$1872,'июль 2024'!$D$4:$D$1872,$B15,'июль 2024'!$J$4:$J$1872,W$1)</f>
        <v>0</v>
      </c>
      <c r="X15" s="80">
        <f>SUMIFS('июль 2024'!$G$4:$G$1872,'июль 2024'!$D$4:$D$1872,$B15,'июль 2024'!$J$4:$J$1872,X$1)</f>
        <v>0</v>
      </c>
      <c r="Y15" s="80">
        <f>SUMIFS('июль 2024'!$G$4:$G$1872,'июль 2024'!$D$4:$D$1872,$B15,'июль 2024'!$J$4:$J$1872,Y$1)</f>
        <v>0</v>
      </c>
      <c r="Z15" s="80">
        <f>SUMIFS('июль 2024'!$G$4:$G$1872,'июль 2024'!$D$4:$D$1872,$B15,'июль 2024'!$J$4:$J$1872,Z$1)</f>
        <v>0</v>
      </c>
      <c r="AA15" s="80">
        <f>SUMIFS('июль 2024'!$G$4:$G$1872,'июль 2024'!$D$4:$D$1872,$B15,'июль 2024'!$J$4:$J$1872,AA$1)</f>
        <v>0</v>
      </c>
      <c r="AB15" s="80">
        <f>SUMIFS('июль 2024'!$G$4:$G$1872,'июль 2024'!$D$4:$D$1872,$B15,'июль 2024'!$J$4:$J$1872,AB$1)</f>
        <v>0</v>
      </c>
      <c r="AC15" s="80">
        <f>SUMIFS('июль 2024'!$G$4:$G$1872,'июль 2024'!$D$4:$D$1872,$B15,'июль 2024'!$J$4:$J$1872,AC$1)</f>
        <v>0</v>
      </c>
      <c r="AD15" s="80">
        <f>SUMIFS('июль 2024'!$G$4:$G$1872,'июль 2024'!$D$4:$D$1872,$B15,'июль 2024'!$J$4:$J$1872,AD$1)</f>
        <v>0</v>
      </c>
      <c r="AE15" s="80">
        <f>SUMIFS('июль 2024'!$G$4:$G$1872,'июль 2024'!$D$4:$D$1872,$B15,'июль 2024'!$J$4:$J$1872,AE$1)</f>
        <v>0</v>
      </c>
      <c r="AF15" s="80">
        <f>SUMIFS('июль 2024'!$G$4:$G$1872,'июль 2024'!$D$4:$D$1872,$B15,'июль 2024'!$J$4:$J$1872,AF$1)</f>
        <v>0</v>
      </c>
      <c r="AG15" s="80">
        <f>SUMIFS('июль 2024'!$G$4:$G$1872,'июль 2024'!$D$4:$D$1872,$B15,'июль 2024'!$J$4:$J$1872,AG$1)</f>
        <v>0</v>
      </c>
      <c r="AH15" s="80">
        <f>SUMIFS('июль 2024'!$G$4:$G$1872,'июль 2024'!$D$4:$D$1872,$B15,'июль 2024'!$J$4:$J$1872,AH$1)</f>
        <v>0</v>
      </c>
      <c r="AI15" s="21">
        <f t="shared" si="1"/>
        <v>0</v>
      </c>
    </row>
    <row r="16" spans="2:35" ht="15" customHeight="1" x14ac:dyDescent="0.25">
      <c r="B16" s="81" t="s">
        <v>297</v>
      </c>
      <c r="C16" s="82">
        <v>22.7</v>
      </c>
      <c r="D16" s="80">
        <f>SUMIFS('июль 2024'!$G$4:$G$1872,'июль 2024'!$D$4:$D$1872,$B16,'июль 2024'!$J$4:$J$1872,D$1)</f>
        <v>0</v>
      </c>
      <c r="E16" s="80">
        <f>SUMIFS('июль 2024'!$G$4:$G$1872,'июль 2024'!$D$4:$D$1872,$B16,'июль 2024'!$J$4:$J$1872,E$1)</f>
        <v>0</v>
      </c>
      <c r="F16" s="80">
        <f>SUMIFS('июль 2024'!$G$4:$G$1872,'июль 2024'!$D$4:$D$1872,$B16,'июль 2024'!$J$4:$J$1872,F$1)</f>
        <v>0</v>
      </c>
      <c r="G16" s="80">
        <f>SUMIFS('июль 2024'!$G$4:$G$1872,'июль 2024'!$D$4:$D$1872,$B16,'июль 2024'!$J$4:$J$1872,G$1)</f>
        <v>0</v>
      </c>
      <c r="H16" s="80">
        <f>SUMIFS('июль 2024'!$G$4:$G$1872,'июль 2024'!$D$4:$D$1872,$B16,'июль 2024'!$J$4:$J$1872,H$1)</f>
        <v>0</v>
      </c>
      <c r="I16" s="80">
        <f>SUMIFS('июль 2024'!$G$4:$G$1872,'июль 2024'!$D$4:$D$1872,$B16,'июль 2024'!$J$4:$J$1872,I$1)</f>
        <v>0</v>
      </c>
      <c r="J16" s="80">
        <f>SUMIFS('июль 2024'!$G$4:$G$1872,'июль 2024'!$D$4:$D$1872,$B16,'июль 2024'!$J$4:$J$1872,J$1)</f>
        <v>0</v>
      </c>
      <c r="K16" s="80">
        <f>SUMIFS('июль 2024'!$G$4:$G$1872,'июль 2024'!$D$4:$D$1872,$B16,'июль 2024'!$J$4:$J$1872,K$1)</f>
        <v>0</v>
      </c>
      <c r="L16" s="80">
        <f>SUMIFS('июль 2024'!$G$4:$G$1872,'июль 2024'!$D$4:$D$1872,$B16,'июль 2024'!$J$4:$J$1872,L$1)</f>
        <v>0</v>
      </c>
      <c r="M16" s="80">
        <f>SUMIFS('июль 2024'!$G$4:$G$1872,'июль 2024'!$D$4:$D$1872,$B16,'июль 2024'!$J$4:$J$1872,M$1)</f>
        <v>0</v>
      </c>
      <c r="N16" s="80">
        <f>SUMIFS('июль 2024'!$G$4:$G$1872,'июль 2024'!$D$4:$D$1872,$B16,'июль 2024'!$J$4:$J$1872,N$1)</f>
        <v>0</v>
      </c>
      <c r="O16" s="80">
        <f>SUMIFS('июль 2024'!$G$4:$G$1872,'июль 2024'!$D$4:$D$1872,$B16,'июль 2024'!$J$4:$J$1872,O$1)</f>
        <v>0</v>
      </c>
      <c r="P16" s="80">
        <f>SUMIFS('июль 2024'!$G$4:$G$1872,'июль 2024'!$D$4:$D$1872,$B16,'июль 2024'!$J$4:$J$1872,P$1)</f>
        <v>0</v>
      </c>
      <c r="Q16" s="80">
        <f>SUMIFS('июль 2024'!$G$4:$G$1872,'июль 2024'!$D$4:$D$1872,$B16,'июль 2024'!$J$4:$J$1872,Q$1)</f>
        <v>0</v>
      </c>
      <c r="R16" s="80">
        <f>SUMIFS('июль 2024'!$G$4:$G$1872,'июль 2024'!$D$4:$D$1872,$B16,'июль 2024'!$J$4:$J$1872,R$1)</f>
        <v>0</v>
      </c>
      <c r="S16" s="80">
        <f>SUMIFS('июль 2024'!$G$4:$G$1872,'июль 2024'!$D$4:$D$1872,$B16,'июль 2024'!$J$4:$J$1872,S$1)</f>
        <v>0</v>
      </c>
      <c r="T16" s="80">
        <f>SUMIFS('июль 2024'!$G$4:$G$1872,'июль 2024'!$D$4:$D$1872,$B16,'июль 2024'!$J$4:$J$1872,T$1)</f>
        <v>0</v>
      </c>
      <c r="U16" s="80">
        <f>SUMIFS('июль 2024'!$G$4:$G$1872,'июль 2024'!$D$4:$D$1872,$B16,'июль 2024'!$J$4:$J$1872,U$1)</f>
        <v>0</v>
      </c>
      <c r="V16" s="80">
        <f>SUMIFS('июль 2024'!$G$4:$G$1872,'июль 2024'!$D$4:$D$1872,$B16,'июль 2024'!$J$4:$J$1872,V$1)</f>
        <v>0</v>
      </c>
      <c r="W16" s="80">
        <f>SUMIFS('июль 2024'!$G$4:$G$1872,'июль 2024'!$D$4:$D$1872,$B16,'июль 2024'!$J$4:$J$1872,W$1)</f>
        <v>0</v>
      </c>
      <c r="X16" s="80">
        <f>SUMIFS('июль 2024'!$G$4:$G$1872,'июль 2024'!$D$4:$D$1872,$B16,'июль 2024'!$J$4:$J$1872,X$1)</f>
        <v>0</v>
      </c>
      <c r="Y16" s="80">
        <f>SUMIFS('июль 2024'!$G$4:$G$1872,'июль 2024'!$D$4:$D$1872,$B16,'июль 2024'!$J$4:$J$1872,Y$1)</f>
        <v>0</v>
      </c>
      <c r="Z16" s="80">
        <f>SUMIFS('июль 2024'!$G$4:$G$1872,'июль 2024'!$D$4:$D$1872,$B16,'июль 2024'!$J$4:$J$1872,Z$1)</f>
        <v>0</v>
      </c>
      <c r="AA16" s="80">
        <f>SUMIFS('июль 2024'!$G$4:$G$1872,'июль 2024'!$D$4:$D$1872,$B16,'июль 2024'!$J$4:$J$1872,AA$1)</f>
        <v>0</v>
      </c>
      <c r="AB16" s="80">
        <f>SUMIFS('июль 2024'!$G$4:$G$1872,'июль 2024'!$D$4:$D$1872,$B16,'июль 2024'!$J$4:$J$1872,AB$1)</f>
        <v>0</v>
      </c>
      <c r="AC16" s="80">
        <f>SUMIFS('июль 2024'!$G$4:$G$1872,'июль 2024'!$D$4:$D$1872,$B16,'июль 2024'!$J$4:$J$1872,AC$1)</f>
        <v>0</v>
      </c>
      <c r="AD16" s="80">
        <f>SUMIFS('июль 2024'!$G$4:$G$1872,'июль 2024'!$D$4:$D$1872,$B16,'июль 2024'!$J$4:$J$1872,AD$1)</f>
        <v>0</v>
      </c>
      <c r="AE16" s="80">
        <f>SUMIFS('июль 2024'!$G$4:$G$1872,'июль 2024'!$D$4:$D$1872,$B16,'июль 2024'!$J$4:$J$1872,AE$1)</f>
        <v>0</v>
      </c>
      <c r="AF16" s="80">
        <f>SUMIFS('июль 2024'!$G$4:$G$1872,'июль 2024'!$D$4:$D$1872,$B16,'июль 2024'!$J$4:$J$1872,AF$1)</f>
        <v>0</v>
      </c>
      <c r="AG16" s="80">
        <f>SUMIFS('июль 2024'!$G$4:$G$1872,'июль 2024'!$D$4:$D$1872,$B16,'июль 2024'!$J$4:$J$1872,AG$1)</f>
        <v>0</v>
      </c>
      <c r="AH16" s="80">
        <f>SUMIFS('июль 2024'!$G$4:$G$1872,'июль 2024'!$D$4:$D$1872,$B16,'июль 2024'!$J$4:$J$1872,AH$1)</f>
        <v>0</v>
      </c>
      <c r="AI16" s="21">
        <f t="shared" si="1"/>
        <v>0</v>
      </c>
    </row>
    <row r="17" spans="2:35" ht="15" customHeight="1" x14ac:dyDescent="0.25">
      <c r="B17" s="84" t="s">
        <v>299</v>
      </c>
      <c r="C17" s="85">
        <v>22.7</v>
      </c>
      <c r="D17" s="80">
        <f>SUMIFS('июль 2024'!$G$4:$G$1872,'июль 2024'!$D$4:$D$1872,$B17,'июль 2024'!$J$4:$J$1872,D$1)</f>
        <v>0</v>
      </c>
      <c r="E17" s="80">
        <f>SUMIFS('июль 2024'!$G$4:$G$1872,'июль 2024'!$D$4:$D$1872,$B17,'июль 2024'!$J$4:$J$1872,E$1)</f>
        <v>0</v>
      </c>
      <c r="F17" s="80">
        <f>SUMIFS('июль 2024'!$G$4:$G$1872,'июль 2024'!$D$4:$D$1872,$B17,'июль 2024'!$J$4:$J$1872,F$1)</f>
        <v>0</v>
      </c>
      <c r="G17" s="80">
        <f>SUMIFS('июль 2024'!$G$4:$G$1872,'июль 2024'!$D$4:$D$1872,$B17,'июль 2024'!$J$4:$J$1872,G$1)</f>
        <v>0</v>
      </c>
      <c r="H17" s="80">
        <f>SUMIFS('июль 2024'!$G$4:$G$1872,'июль 2024'!$D$4:$D$1872,$B17,'июль 2024'!$J$4:$J$1872,H$1)</f>
        <v>0</v>
      </c>
      <c r="I17" s="80">
        <f>SUMIFS('июль 2024'!$G$4:$G$1872,'июль 2024'!$D$4:$D$1872,$B17,'июль 2024'!$J$4:$J$1872,I$1)</f>
        <v>0</v>
      </c>
      <c r="J17" s="80">
        <f>SUMIFS('июль 2024'!$G$4:$G$1872,'июль 2024'!$D$4:$D$1872,$B17,'июль 2024'!$J$4:$J$1872,J$1)</f>
        <v>0</v>
      </c>
      <c r="K17" s="80">
        <f>SUMIFS('июль 2024'!$G$4:$G$1872,'июль 2024'!$D$4:$D$1872,$B17,'июль 2024'!$J$4:$J$1872,K$1)</f>
        <v>0</v>
      </c>
      <c r="L17" s="80">
        <f>SUMIFS('июль 2024'!$G$4:$G$1872,'июль 2024'!$D$4:$D$1872,$B17,'июль 2024'!$J$4:$J$1872,L$1)</f>
        <v>0</v>
      </c>
      <c r="M17" s="80">
        <f>SUMIFS('июль 2024'!$G$4:$G$1872,'июль 2024'!$D$4:$D$1872,$B17,'июль 2024'!$J$4:$J$1872,M$1)</f>
        <v>0</v>
      </c>
      <c r="N17" s="80">
        <f>SUMIFS('июль 2024'!$G$4:$G$1872,'июль 2024'!$D$4:$D$1872,$B17,'июль 2024'!$J$4:$J$1872,N$1)</f>
        <v>0</v>
      </c>
      <c r="O17" s="80">
        <f>SUMIFS('июль 2024'!$G$4:$G$1872,'июль 2024'!$D$4:$D$1872,$B17,'июль 2024'!$J$4:$J$1872,O$1)</f>
        <v>0</v>
      </c>
      <c r="P17" s="80">
        <f>SUMIFS('июль 2024'!$G$4:$G$1872,'июль 2024'!$D$4:$D$1872,$B17,'июль 2024'!$J$4:$J$1872,P$1)</f>
        <v>0</v>
      </c>
      <c r="Q17" s="80">
        <f>SUMIFS('июль 2024'!$G$4:$G$1872,'июль 2024'!$D$4:$D$1872,$B17,'июль 2024'!$J$4:$J$1872,Q$1)</f>
        <v>0</v>
      </c>
      <c r="R17" s="80">
        <f>SUMIFS('июль 2024'!$G$4:$G$1872,'июль 2024'!$D$4:$D$1872,$B17,'июль 2024'!$J$4:$J$1872,R$1)</f>
        <v>0</v>
      </c>
      <c r="S17" s="80">
        <f>SUMIFS('июль 2024'!$G$4:$G$1872,'июль 2024'!$D$4:$D$1872,$B17,'июль 2024'!$J$4:$J$1872,S$1)</f>
        <v>0</v>
      </c>
      <c r="T17" s="80">
        <f>SUMIFS('июль 2024'!$G$4:$G$1872,'июль 2024'!$D$4:$D$1872,$B17,'июль 2024'!$J$4:$J$1872,T$1)</f>
        <v>0</v>
      </c>
      <c r="U17" s="80">
        <f>SUMIFS('июль 2024'!$G$4:$G$1872,'июль 2024'!$D$4:$D$1872,$B17,'июль 2024'!$J$4:$J$1872,U$1)</f>
        <v>0</v>
      </c>
      <c r="V17" s="80">
        <f>SUMIFS('июль 2024'!$G$4:$G$1872,'июль 2024'!$D$4:$D$1872,$B17,'июль 2024'!$J$4:$J$1872,V$1)</f>
        <v>0</v>
      </c>
      <c r="W17" s="80">
        <f>SUMIFS('июль 2024'!$G$4:$G$1872,'июль 2024'!$D$4:$D$1872,$B17,'июль 2024'!$J$4:$J$1872,W$1)</f>
        <v>0</v>
      </c>
      <c r="X17" s="80">
        <f>SUMIFS('июль 2024'!$G$4:$G$1872,'июль 2024'!$D$4:$D$1872,$B17,'июль 2024'!$J$4:$J$1872,X$1)</f>
        <v>0</v>
      </c>
      <c r="Y17" s="80">
        <f>SUMIFS('июль 2024'!$G$4:$G$1872,'июль 2024'!$D$4:$D$1872,$B17,'июль 2024'!$J$4:$J$1872,Y$1)</f>
        <v>0</v>
      </c>
      <c r="Z17" s="80">
        <f>SUMIFS('июль 2024'!$G$4:$G$1872,'июль 2024'!$D$4:$D$1872,$B17,'июль 2024'!$J$4:$J$1872,Z$1)</f>
        <v>0</v>
      </c>
      <c r="AA17" s="80">
        <f>SUMIFS('июль 2024'!$G$4:$G$1872,'июль 2024'!$D$4:$D$1872,$B17,'июль 2024'!$J$4:$J$1872,AA$1)</f>
        <v>0</v>
      </c>
      <c r="AB17" s="80">
        <f>SUMIFS('июль 2024'!$G$4:$G$1872,'июль 2024'!$D$4:$D$1872,$B17,'июль 2024'!$J$4:$J$1872,AB$1)</f>
        <v>0</v>
      </c>
      <c r="AC17" s="80">
        <f>SUMIFS('июль 2024'!$G$4:$G$1872,'июль 2024'!$D$4:$D$1872,$B17,'июль 2024'!$J$4:$J$1872,AC$1)</f>
        <v>0</v>
      </c>
      <c r="AD17" s="80">
        <f>SUMIFS('июль 2024'!$G$4:$G$1872,'июль 2024'!$D$4:$D$1872,$B17,'июль 2024'!$J$4:$J$1872,AD$1)</f>
        <v>0</v>
      </c>
      <c r="AE17" s="80">
        <f>SUMIFS('июль 2024'!$G$4:$G$1872,'июль 2024'!$D$4:$D$1872,$B17,'июль 2024'!$J$4:$J$1872,AE$1)</f>
        <v>0</v>
      </c>
      <c r="AF17" s="80">
        <f>SUMIFS('июль 2024'!$G$4:$G$1872,'июль 2024'!$D$4:$D$1872,$B17,'июль 2024'!$J$4:$J$1872,AF$1)</f>
        <v>0</v>
      </c>
      <c r="AG17" s="80">
        <f>SUMIFS('июль 2024'!$G$4:$G$1872,'июль 2024'!$D$4:$D$1872,$B17,'июль 2024'!$J$4:$J$1872,AG$1)</f>
        <v>0</v>
      </c>
      <c r="AH17" s="80">
        <f>SUMIFS('июль 2024'!$G$4:$G$1872,'июль 2024'!$D$4:$D$1872,$B17,'июль 2024'!$J$4:$J$1872,AH$1)</f>
        <v>0</v>
      </c>
      <c r="AI17" s="21">
        <f t="shared" si="1"/>
        <v>0</v>
      </c>
    </row>
    <row r="18" spans="2:35" ht="15" customHeight="1" x14ac:dyDescent="0.25">
      <c r="B18" s="84" t="s">
        <v>301</v>
      </c>
      <c r="C18" s="85">
        <v>25</v>
      </c>
      <c r="D18" s="80">
        <f>SUMIFS('июль 2024'!$G$4:$G$1872,'июль 2024'!$D$4:$D$1872,$B18,'июль 2024'!$J$4:$J$1872,D$1)</f>
        <v>0</v>
      </c>
      <c r="E18" s="80">
        <f>SUMIFS('июль 2024'!$G$4:$G$1872,'июль 2024'!$D$4:$D$1872,$B18,'июль 2024'!$J$4:$J$1872,E$1)</f>
        <v>0</v>
      </c>
      <c r="F18" s="80">
        <f>SUMIFS('июль 2024'!$G$4:$G$1872,'июль 2024'!$D$4:$D$1872,$B18,'июль 2024'!$J$4:$J$1872,F$1)</f>
        <v>0</v>
      </c>
      <c r="G18" s="80">
        <f>SUMIFS('июль 2024'!$G$4:$G$1872,'июль 2024'!$D$4:$D$1872,$B18,'июль 2024'!$J$4:$J$1872,G$1)</f>
        <v>0</v>
      </c>
      <c r="H18" s="80">
        <f>SUMIFS('июль 2024'!$G$4:$G$1872,'июль 2024'!$D$4:$D$1872,$B18,'июль 2024'!$J$4:$J$1872,H$1)</f>
        <v>0</v>
      </c>
      <c r="I18" s="80">
        <f>SUMIFS('июль 2024'!$G$4:$G$1872,'июль 2024'!$D$4:$D$1872,$B18,'июль 2024'!$J$4:$J$1872,I$1)</f>
        <v>0</v>
      </c>
      <c r="J18" s="80">
        <f>SUMIFS('июль 2024'!$G$4:$G$1872,'июль 2024'!$D$4:$D$1872,$B18,'июль 2024'!$J$4:$J$1872,J$1)</f>
        <v>0</v>
      </c>
      <c r="K18" s="80">
        <f>SUMIFS('июль 2024'!$G$4:$G$1872,'июль 2024'!$D$4:$D$1872,$B18,'июль 2024'!$J$4:$J$1872,K$1)</f>
        <v>0</v>
      </c>
      <c r="L18" s="80">
        <f>SUMIFS('июль 2024'!$G$4:$G$1872,'июль 2024'!$D$4:$D$1872,$B18,'июль 2024'!$J$4:$J$1872,L$1)</f>
        <v>0</v>
      </c>
      <c r="M18" s="80">
        <f>SUMIFS('июль 2024'!$G$4:$G$1872,'июль 2024'!$D$4:$D$1872,$B18,'июль 2024'!$J$4:$J$1872,M$1)</f>
        <v>0</v>
      </c>
      <c r="N18" s="80">
        <f>SUMIFS('июль 2024'!$G$4:$G$1872,'июль 2024'!$D$4:$D$1872,$B18,'июль 2024'!$J$4:$J$1872,N$1)</f>
        <v>0</v>
      </c>
      <c r="O18" s="80">
        <f>SUMIFS('июль 2024'!$G$4:$G$1872,'июль 2024'!$D$4:$D$1872,$B18,'июль 2024'!$J$4:$J$1872,O$1)</f>
        <v>0</v>
      </c>
      <c r="P18" s="80">
        <f>SUMIFS('июль 2024'!$G$4:$G$1872,'июль 2024'!$D$4:$D$1872,$B18,'июль 2024'!$J$4:$J$1872,P$1)</f>
        <v>0</v>
      </c>
      <c r="Q18" s="80">
        <f>SUMIFS('июль 2024'!$G$4:$G$1872,'июль 2024'!$D$4:$D$1872,$B18,'июль 2024'!$J$4:$J$1872,Q$1)</f>
        <v>0</v>
      </c>
      <c r="R18" s="80">
        <f>SUMIFS('июль 2024'!$G$4:$G$1872,'июль 2024'!$D$4:$D$1872,$B18,'июль 2024'!$J$4:$J$1872,R$1)</f>
        <v>0</v>
      </c>
      <c r="S18" s="80">
        <f>SUMIFS('июль 2024'!$G$4:$G$1872,'июль 2024'!$D$4:$D$1872,$B18,'июль 2024'!$J$4:$J$1872,S$1)</f>
        <v>0</v>
      </c>
      <c r="T18" s="80">
        <f>SUMIFS('июль 2024'!$G$4:$G$1872,'июль 2024'!$D$4:$D$1872,$B18,'июль 2024'!$J$4:$J$1872,T$1)</f>
        <v>0</v>
      </c>
      <c r="U18" s="80">
        <f>SUMIFS('июль 2024'!$G$4:$G$1872,'июль 2024'!$D$4:$D$1872,$B18,'июль 2024'!$J$4:$J$1872,U$1)</f>
        <v>0</v>
      </c>
      <c r="V18" s="80">
        <f>SUMIFS('июль 2024'!$G$4:$G$1872,'июль 2024'!$D$4:$D$1872,$B18,'июль 2024'!$J$4:$J$1872,V$1)</f>
        <v>0</v>
      </c>
      <c r="W18" s="80">
        <f>SUMIFS('июль 2024'!$G$4:$G$1872,'июль 2024'!$D$4:$D$1872,$B18,'июль 2024'!$J$4:$J$1872,W$1)</f>
        <v>0</v>
      </c>
      <c r="X18" s="80">
        <f>SUMIFS('июль 2024'!$G$4:$G$1872,'июль 2024'!$D$4:$D$1872,$B18,'июль 2024'!$J$4:$J$1872,X$1)</f>
        <v>0</v>
      </c>
      <c r="Y18" s="80">
        <f>SUMIFS('июль 2024'!$G$4:$G$1872,'июль 2024'!$D$4:$D$1872,$B18,'июль 2024'!$J$4:$J$1872,Y$1)</f>
        <v>0</v>
      </c>
      <c r="Z18" s="80">
        <f>SUMIFS('июль 2024'!$G$4:$G$1872,'июль 2024'!$D$4:$D$1872,$B18,'июль 2024'!$J$4:$J$1872,Z$1)</f>
        <v>0</v>
      </c>
      <c r="AA18" s="80">
        <f>SUMIFS('июль 2024'!$G$4:$G$1872,'июль 2024'!$D$4:$D$1872,$B18,'июль 2024'!$J$4:$J$1872,AA$1)</f>
        <v>0</v>
      </c>
      <c r="AB18" s="80">
        <f>SUMIFS('июль 2024'!$G$4:$G$1872,'июль 2024'!$D$4:$D$1872,$B18,'июль 2024'!$J$4:$J$1872,AB$1)</f>
        <v>0</v>
      </c>
      <c r="AC18" s="80">
        <f>SUMIFS('июль 2024'!$G$4:$G$1872,'июль 2024'!$D$4:$D$1872,$B18,'июль 2024'!$J$4:$J$1872,AC$1)</f>
        <v>0</v>
      </c>
      <c r="AD18" s="80">
        <f>SUMIFS('июль 2024'!$G$4:$G$1872,'июль 2024'!$D$4:$D$1872,$B18,'июль 2024'!$J$4:$J$1872,AD$1)</f>
        <v>0</v>
      </c>
      <c r="AE18" s="80">
        <f>SUMIFS('июль 2024'!$G$4:$G$1872,'июль 2024'!$D$4:$D$1872,$B18,'июль 2024'!$J$4:$J$1872,AE$1)</f>
        <v>0</v>
      </c>
      <c r="AF18" s="80">
        <f>SUMIFS('июль 2024'!$G$4:$G$1872,'июль 2024'!$D$4:$D$1872,$B18,'июль 2024'!$J$4:$J$1872,AF$1)</f>
        <v>0</v>
      </c>
      <c r="AG18" s="80">
        <f>SUMIFS('июль 2024'!$G$4:$G$1872,'июль 2024'!$D$4:$D$1872,$B18,'июль 2024'!$J$4:$J$1872,AG$1)</f>
        <v>0</v>
      </c>
      <c r="AH18" s="80">
        <f>SUMIFS('июль 2024'!$G$4:$G$1872,'июль 2024'!$D$4:$D$1872,$B18,'июль 2024'!$J$4:$J$1872,AH$1)</f>
        <v>0</v>
      </c>
      <c r="AI18" s="21">
        <f t="shared" si="1"/>
        <v>0</v>
      </c>
    </row>
    <row r="19" spans="2:35" ht="15" customHeight="1" x14ac:dyDescent="0.25">
      <c r="B19" s="81" t="s">
        <v>303</v>
      </c>
      <c r="C19" s="82">
        <v>25</v>
      </c>
      <c r="D19" s="80">
        <f>SUMIFS('июль 2024'!$G$4:$G$1872,'июль 2024'!$D$4:$D$1872,$B19,'июль 2024'!$J$4:$J$1872,D$1)</f>
        <v>0</v>
      </c>
      <c r="E19" s="80">
        <f>SUMIFS('июль 2024'!$G$4:$G$1872,'июль 2024'!$D$4:$D$1872,$B19,'июль 2024'!$J$4:$J$1872,E$1)</f>
        <v>0</v>
      </c>
      <c r="F19" s="80">
        <f>SUMIFS('июль 2024'!$G$4:$G$1872,'июль 2024'!$D$4:$D$1872,$B19,'июль 2024'!$J$4:$J$1872,F$1)</f>
        <v>0</v>
      </c>
      <c r="G19" s="80">
        <f>SUMIFS('июль 2024'!$G$4:$G$1872,'июль 2024'!$D$4:$D$1872,$B19,'июль 2024'!$J$4:$J$1872,G$1)</f>
        <v>0</v>
      </c>
      <c r="H19" s="80">
        <f>SUMIFS('июль 2024'!$G$4:$G$1872,'июль 2024'!$D$4:$D$1872,$B19,'июль 2024'!$J$4:$J$1872,H$1)</f>
        <v>0</v>
      </c>
      <c r="I19" s="80">
        <f>SUMIFS('июль 2024'!$G$4:$G$1872,'июль 2024'!$D$4:$D$1872,$B19,'июль 2024'!$J$4:$J$1872,I$1)</f>
        <v>0</v>
      </c>
      <c r="J19" s="80">
        <f>SUMIFS('июль 2024'!$G$4:$G$1872,'июль 2024'!$D$4:$D$1872,$B19,'июль 2024'!$J$4:$J$1872,J$1)</f>
        <v>0</v>
      </c>
      <c r="K19" s="80">
        <f>SUMIFS('июль 2024'!$G$4:$G$1872,'июль 2024'!$D$4:$D$1872,$B19,'июль 2024'!$J$4:$J$1872,K$1)</f>
        <v>0</v>
      </c>
      <c r="L19" s="80">
        <f>SUMIFS('июль 2024'!$G$4:$G$1872,'июль 2024'!$D$4:$D$1872,$B19,'июль 2024'!$J$4:$J$1872,L$1)</f>
        <v>0</v>
      </c>
      <c r="M19" s="80">
        <f>SUMIFS('июль 2024'!$G$4:$G$1872,'июль 2024'!$D$4:$D$1872,$B19,'июль 2024'!$J$4:$J$1872,M$1)</f>
        <v>0</v>
      </c>
      <c r="N19" s="80">
        <f>SUMIFS('июль 2024'!$G$4:$G$1872,'июль 2024'!$D$4:$D$1872,$B19,'июль 2024'!$J$4:$J$1872,N$1)</f>
        <v>0</v>
      </c>
      <c r="O19" s="80">
        <f>SUMIFS('июль 2024'!$G$4:$G$1872,'июль 2024'!$D$4:$D$1872,$B19,'июль 2024'!$J$4:$J$1872,O$1)</f>
        <v>0</v>
      </c>
      <c r="P19" s="80">
        <f>SUMIFS('июль 2024'!$G$4:$G$1872,'июль 2024'!$D$4:$D$1872,$B19,'июль 2024'!$J$4:$J$1872,P$1)</f>
        <v>0</v>
      </c>
      <c r="Q19" s="80">
        <f>SUMIFS('июль 2024'!$G$4:$G$1872,'июль 2024'!$D$4:$D$1872,$B19,'июль 2024'!$J$4:$J$1872,Q$1)</f>
        <v>0</v>
      </c>
      <c r="R19" s="80">
        <f>SUMIFS('июль 2024'!$G$4:$G$1872,'июль 2024'!$D$4:$D$1872,$B19,'июль 2024'!$J$4:$J$1872,R$1)</f>
        <v>0</v>
      </c>
      <c r="S19" s="80">
        <f>SUMIFS('июль 2024'!$G$4:$G$1872,'июль 2024'!$D$4:$D$1872,$B19,'июль 2024'!$J$4:$J$1872,S$1)</f>
        <v>0</v>
      </c>
      <c r="T19" s="80">
        <f>SUMIFS('июль 2024'!$G$4:$G$1872,'июль 2024'!$D$4:$D$1872,$B19,'июль 2024'!$J$4:$J$1872,T$1)</f>
        <v>0</v>
      </c>
      <c r="U19" s="80">
        <f>SUMIFS('июль 2024'!$G$4:$G$1872,'июль 2024'!$D$4:$D$1872,$B19,'июль 2024'!$J$4:$J$1872,U$1)</f>
        <v>0</v>
      </c>
      <c r="V19" s="80">
        <f>SUMIFS('июль 2024'!$G$4:$G$1872,'июль 2024'!$D$4:$D$1872,$B19,'июль 2024'!$J$4:$J$1872,V$1)</f>
        <v>0</v>
      </c>
      <c r="W19" s="80">
        <f>SUMIFS('июль 2024'!$G$4:$G$1872,'июль 2024'!$D$4:$D$1872,$B19,'июль 2024'!$J$4:$J$1872,W$1)</f>
        <v>0</v>
      </c>
      <c r="X19" s="80">
        <f>SUMIFS('июль 2024'!$G$4:$G$1872,'июль 2024'!$D$4:$D$1872,$B19,'июль 2024'!$J$4:$J$1872,X$1)</f>
        <v>0</v>
      </c>
      <c r="Y19" s="80">
        <f>SUMIFS('июль 2024'!$G$4:$G$1872,'июль 2024'!$D$4:$D$1872,$B19,'июль 2024'!$J$4:$J$1872,Y$1)</f>
        <v>0</v>
      </c>
      <c r="Z19" s="80">
        <f>SUMIFS('июль 2024'!$G$4:$G$1872,'июль 2024'!$D$4:$D$1872,$B19,'июль 2024'!$J$4:$J$1872,Z$1)</f>
        <v>0</v>
      </c>
      <c r="AA19" s="80">
        <f>SUMIFS('июль 2024'!$G$4:$G$1872,'июль 2024'!$D$4:$D$1872,$B19,'июль 2024'!$J$4:$J$1872,AA$1)</f>
        <v>0</v>
      </c>
      <c r="AB19" s="80">
        <f>SUMIFS('июль 2024'!$G$4:$G$1872,'июль 2024'!$D$4:$D$1872,$B19,'июль 2024'!$J$4:$J$1872,AB$1)</f>
        <v>0</v>
      </c>
      <c r="AC19" s="80">
        <f>SUMIFS('июль 2024'!$G$4:$G$1872,'июль 2024'!$D$4:$D$1872,$B19,'июль 2024'!$J$4:$J$1872,AC$1)</f>
        <v>0</v>
      </c>
      <c r="AD19" s="80">
        <f>SUMIFS('июль 2024'!$G$4:$G$1872,'июль 2024'!$D$4:$D$1872,$B19,'июль 2024'!$J$4:$J$1872,AD$1)</f>
        <v>0</v>
      </c>
      <c r="AE19" s="80">
        <f>SUMIFS('июль 2024'!$G$4:$G$1872,'июль 2024'!$D$4:$D$1872,$B19,'июль 2024'!$J$4:$J$1872,AE$1)</f>
        <v>0</v>
      </c>
      <c r="AF19" s="80">
        <f>SUMIFS('июль 2024'!$G$4:$G$1872,'июль 2024'!$D$4:$D$1872,$B19,'июль 2024'!$J$4:$J$1872,AF$1)</f>
        <v>0</v>
      </c>
      <c r="AG19" s="80">
        <f>SUMIFS('июль 2024'!$G$4:$G$1872,'июль 2024'!$D$4:$D$1872,$B19,'июль 2024'!$J$4:$J$1872,AG$1)</f>
        <v>0</v>
      </c>
      <c r="AH19" s="80">
        <f>SUMIFS('июль 2024'!$G$4:$G$1872,'июль 2024'!$D$4:$D$1872,$B19,'июль 2024'!$J$4:$J$1872,AH$1)</f>
        <v>0</v>
      </c>
      <c r="AI19" s="21">
        <f t="shared" si="1"/>
        <v>0</v>
      </c>
    </row>
    <row r="20" spans="2:35" ht="15" customHeight="1" x14ac:dyDescent="0.25">
      <c r="B20" s="81" t="s">
        <v>305</v>
      </c>
      <c r="C20" s="82">
        <v>25</v>
      </c>
      <c r="D20" s="80">
        <f>SUMIFS('июль 2024'!$G$4:$G$1872,'июль 2024'!$D$4:$D$1872,$B20,'июль 2024'!$J$4:$J$1872,D$1)</f>
        <v>0</v>
      </c>
      <c r="E20" s="80">
        <f>SUMIFS('июль 2024'!$G$4:$G$1872,'июль 2024'!$D$4:$D$1872,$B20,'июль 2024'!$J$4:$J$1872,E$1)</f>
        <v>0</v>
      </c>
      <c r="F20" s="80">
        <f>SUMIFS('июль 2024'!$G$4:$G$1872,'июль 2024'!$D$4:$D$1872,$B20,'июль 2024'!$J$4:$J$1872,F$1)</f>
        <v>0</v>
      </c>
      <c r="G20" s="80">
        <f>SUMIFS('июль 2024'!$G$4:$G$1872,'июль 2024'!$D$4:$D$1872,$B20,'июль 2024'!$J$4:$J$1872,G$1)</f>
        <v>0</v>
      </c>
      <c r="H20" s="80">
        <f>SUMIFS('июль 2024'!$G$4:$G$1872,'июль 2024'!$D$4:$D$1872,$B20,'июль 2024'!$J$4:$J$1872,H$1)</f>
        <v>0</v>
      </c>
      <c r="I20" s="80">
        <f>SUMIFS('июль 2024'!$G$4:$G$1872,'июль 2024'!$D$4:$D$1872,$B20,'июль 2024'!$J$4:$J$1872,I$1)</f>
        <v>0</v>
      </c>
      <c r="J20" s="80">
        <f>SUMIFS('июль 2024'!$G$4:$G$1872,'июль 2024'!$D$4:$D$1872,$B20,'июль 2024'!$J$4:$J$1872,J$1)</f>
        <v>0</v>
      </c>
      <c r="K20" s="80">
        <f>SUMIFS('июль 2024'!$G$4:$G$1872,'июль 2024'!$D$4:$D$1872,$B20,'июль 2024'!$J$4:$J$1872,K$1)</f>
        <v>0</v>
      </c>
      <c r="L20" s="80">
        <f>SUMIFS('июль 2024'!$G$4:$G$1872,'июль 2024'!$D$4:$D$1872,$B20,'июль 2024'!$J$4:$J$1872,L$1)</f>
        <v>0</v>
      </c>
      <c r="M20" s="80">
        <f>SUMIFS('июль 2024'!$G$4:$G$1872,'июль 2024'!$D$4:$D$1872,$B20,'июль 2024'!$J$4:$J$1872,M$1)</f>
        <v>0</v>
      </c>
      <c r="N20" s="80">
        <f>SUMIFS('июль 2024'!$G$4:$G$1872,'июль 2024'!$D$4:$D$1872,$B20,'июль 2024'!$J$4:$J$1872,N$1)</f>
        <v>0</v>
      </c>
      <c r="O20" s="80">
        <f>SUMIFS('июль 2024'!$G$4:$G$1872,'июль 2024'!$D$4:$D$1872,$B20,'июль 2024'!$J$4:$J$1872,O$1)</f>
        <v>0</v>
      </c>
      <c r="P20" s="80">
        <f>SUMIFS('июль 2024'!$G$4:$G$1872,'июль 2024'!$D$4:$D$1872,$B20,'июль 2024'!$J$4:$J$1872,P$1)</f>
        <v>0</v>
      </c>
      <c r="Q20" s="80">
        <f>SUMIFS('июль 2024'!$G$4:$G$1872,'июль 2024'!$D$4:$D$1872,$B20,'июль 2024'!$J$4:$J$1872,Q$1)</f>
        <v>0</v>
      </c>
      <c r="R20" s="80">
        <f>SUMIFS('июль 2024'!$G$4:$G$1872,'июль 2024'!$D$4:$D$1872,$B20,'июль 2024'!$J$4:$J$1872,R$1)</f>
        <v>0</v>
      </c>
      <c r="S20" s="80">
        <f>SUMIFS('июль 2024'!$G$4:$G$1872,'июль 2024'!$D$4:$D$1872,$B20,'июль 2024'!$J$4:$J$1872,S$1)</f>
        <v>0</v>
      </c>
      <c r="T20" s="80">
        <f>SUMIFS('июль 2024'!$G$4:$G$1872,'июль 2024'!$D$4:$D$1872,$B20,'июль 2024'!$J$4:$J$1872,T$1)</f>
        <v>0</v>
      </c>
      <c r="U20" s="80">
        <f>SUMIFS('июль 2024'!$G$4:$G$1872,'июль 2024'!$D$4:$D$1872,$B20,'июль 2024'!$J$4:$J$1872,U$1)</f>
        <v>0</v>
      </c>
      <c r="V20" s="80">
        <f>SUMIFS('июль 2024'!$G$4:$G$1872,'июль 2024'!$D$4:$D$1872,$B20,'июль 2024'!$J$4:$J$1872,V$1)</f>
        <v>0</v>
      </c>
      <c r="W20" s="80">
        <f>SUMIFS('июль 2024'!$G$4:$G$1872,'июль 2024'!$D$4:$D$1872,$B20,'июль 2024'!$J$4:$J$1872,W$1)</f>
        <v>0</v>
      </c>
      <c r="X20" s="80">
        <f>SUMIFS('июль 2024'!$G$4:$G$1872,'июль 2024'!$D$4:$D$1872,$B20,'июль 2024'!$J$4:$J$1872,X$1)</f>
        <v>0</v>
      </c>
      <c r="Y20" s="80">
        <f>SUMIFS('июль 2024'!$G$4:$G$1872,'июль 2024'!$D$4:$D$1872,$B20,'июль 2024'!$J$4:$J$1872,Y$1)</f>
        <v>0</v>
      </c>
      <c r="Z20" s="80">
        <f>SUMIFS('июль 2024'!$G$4:$G$1872,'июль 2024'!$D$4:$D$1872,$B20,'июль 2024'!$J$4:$J$1872,Z$1)</f>
        <v>0</v>
      </c>
      <c r="AA20" s="80">
        <f>SUMIFS('июль 2024'!$G$4:$G$1872,'июль 2024'!$D$4:$D$1872,$B20,'июль 2024'!$J$4:$J$1872,AA$1)</f>
        <v>0</v>
      </c>
      <c r="AB20" s="80">
        <f>SUMIFS('июль 2024'!$G$4:$G$1872,'июль 2024'!$D$4:$D$1872,$B20,'июль 2024'!$J$4:$J$1872,AB$1)</f>
        <v>0</v>
      </c>
      <c r="AC20" s="80">
        <f>SUMIFS('июль 2024'!$G$4:$G$1872,'июль 2024'!$D$4:$D$1872,$B20,'июль 2024'!$J$4:$J$1872,AC$1)</f>
        <v>0</v>
      </c>
      <c r="AD20" s="80">
        <f>SUMIFS('июль 2024'!$G$4:$G$1872,'июль 2024'!$D$4:$D$1872,$B20,'июль 2024'!$J$4:$J$1872,AD$1)</f>
        <v>0</v>
      </c>
      <c r="AE20" s="80">
        <f>SUMIFS('июль 2024'!$G$4:$G$1872,'июль 2024'!$D$4:$D$1872,$B20,'июль 2024'!$J$4:$J$1872,AE$1)</f>
        <v>0</v>
      </c>
      <c r="AF20" s="80">
        <f>SUMIFS('июль 2024'!$G$4:$G$1872,'июль 2024'!$D$4:$D$1872,$B20,'июль 2024'!$J$4:$J$1872,AF$1)</f>
        <v>0</v>
      </c>
      <c r="AG20" s="80">
        <f>SUMIFS('июль 2024'!$G$4:$G$1872,'июль 2024'!$D$4:$D$1872,$B20,'июль 2024'!$J$4:$J$1872,AG$1)</f>
        <v>0</v>
      </c>
      <c r="AH20" s="80">
        <f>SUMIFS('июль 2024'!$G$4:$G$1872,'июль 2024'!$D$4:$D$1872,$B20,'июль 2024'!$J$4:$J$1872,AH$1)</f>
        <v>0</v>
      </c>
      <c r="AI20" s="21">
        <f t="shared" si="1"/>
        <v>0</v>
      </c>
    </row>
    <row r="21" spans="2:35" ht="15" customHeight="1" x14ac:dyDescent="0.25">
      <c r="B21" s="81" t="s">
        <v>307</v>
      </c>
      <c r="C21" s="82">
        <v>25</v>
      </c>
      <c r="D21" s="80">
        <f>SUMIFS('июль 2024'!$G$4:$G$1872,'июль 2024'!$D$4:$D$1872,$B21,'июль 2024'!$J$4:$J$1872,D$1)</f>
        <v>0</v>
      </c>
      <c r="E21" s="80">
        <f>SUMIFS('июль 2024'!$G$4:$G$1872,'июль 2024'!$D$4:$D$1872,$B21,'июль 2024'!$J$4:$J$1872,E$1)</f>
        <v>0</v>
      </c>
      <c r="F21" s="80">
        <f>SUMIFS('июль 2024'!$G$4:$G$1872,'июль 2024'!$D$4:$D$1872,$B21,'июль 2024'!$J$4:$J$1872,F$1)</f>
        <v>0</v>
      </c>
      <c r="G21" s="80">
        <f>SUMIFS('июль 2024'!$G$4:$G$1872,'июль 2024'!$D$4:$D$1872,$B21,'июль 2024'!$J$4:$J$1872,G$1)</f>
        <v>0</v>
      </c>
      <c r="H21" s="80">
        <f>SUMIFS('июль 2024'!$G$4:$G$1872,'июль 2024'!$D$4:$D$1872,$B21,'июль 2024'!$J$4:$J$1872,H$1)</f>
        <v>0</v>
      </c>
      <c r="I21" s="80">
        <f>SUMIFS('июль 2024'!$G$4:$G$1872,'июль 2024'!$D$4:$D$1872,$B21,'июль 2024'!$J$4:$J$1872,I$1)</f>
        <v>0</v>
      </c>
      <c r="J21" s="80">
        <f>SUMIFS('июль 2024'!$G$4:$G$1872,'июль 2024'!$D$4:$D$1872,$B21,'июль 2024'!$J$4:$J$1872,J$1)</f>
        <v>0</v>
      </c>
      <c r="K21" s="80">
        <f>SUMIFS('июль 2024'!$G$4:$G$1872,'июль 2024'!$D$4:$D$1872,$B21,'июль 2024'!$J$4:$J$1872,K$1)</f>
        <v>0</v>
      </c>
      <c r="L21" s="80">
        <f>SUMIFS('июль 2024'!$G$4:$G$1872,'июль 2024'!$D$4:$D$1872,$B21,'июль 2024'!$J$4:$J$1872,L$1)</f>
        <v>0</v>
      </c>
      <c r="M21" s="80">
        <f>SUMIFS('июль 2024'!$G$4:$G$1872,'июль 2024'!$D$4:$D$1872,$B21,'июль 2024'!$J$4:$J$1872,M$1)</f>
        <v>0</v>
      </c>
      <c r="N21" s="80">
        <f>SUMIFS('июль 2024'!$G$4:$G$1872,'июль 2024'!$D$4:$D$1872,$B21,'июль 2024'!$J$4:$J$1872,N$1)</f>
        <v>0</v>
      </c>
      <c r="O21" s="80">
        <f>SUMIFS('июль 2024'!$G$4:$G$1872,'июль 2024'!$D$4:$D$1872,$B21,'июль 2024'!$J$4:$J$1872,O$1)</f>
        <v>0</v>
      </c>
      <c r="P21" s="80">
        <f>SUMIFS('июль 2024'!$G$4:$G$1872,'июль 2024'!$D$4:$D$1872,$B21,'июль 2024'!$J$4:$J$1872,P$1)</f>
        <v>0</v>
      </c>
      <c r="Q21" s="80">
        <f>SUMIFS('июль 2024'!$G$4:$G$1872,'июль 2024'!$D$4:$D$1872,$B21,'июль 2024'!$J$4:$J$1872,Q$1)</f>
        <v>0</v>
      </c>
      <c r="R21" s="80">
        <f>SUMIFS('июль 2024'!$G$4:$G$1872,'июль 2024'!$D$4:$D$1872,$B21,'июль 2024'!$J$4:$J$1872,R$1)</f>
        <v>0</v>
      </c>
      <c r="S21" s="80">
        <f>SUMIFS('июль 2024'!$G$4:$G$1872,'июль 2024'!$D$4:$D$1872,$B21,'июль 2024'!$J$4:$J$1872,S$1)</f>
        <v>0</v>
      </c>
      <c r="T21" s="80">
        <f>SUMIFS('июль 2024'!$G$4:$G$1872,'июль 2024'!$D$4:$D$1872,$B21,'июль 2024'!$J$4:$J$1872,T$1)</f>
        <v>0</v>
      </c>
      <c r="U21" s="80">
        <f>SUMIFS('июль 2024'!$G$4:$G$1872,'июль 2024'!$D$4:$D$1872,$B21,'июль 2024'!$J$4:$J$1872,U$1)</f>
        <v>0</v>
      </c>
      <c r="V21" s="80">
        <f>SUMIFS('июль 2024'!$G$4:$G$1872,'июль 2024'!$D$4:$D$1872,$B21,'июль 2024'!$J$4:$J$1872,V$1)</f>
        <v>0</v>
      </c>
      <c r="W21" s="80">
        <f>SUMIFS('июль 2024'!$G$4:$G$1872,'июль 2024'!$D$4:$D$1872,$B21,'июль 2024'!$J$4:$J$1872,W$1)</f>
        <v>0</v>
      </c>
      <c r="X21" s="80">
        <f>SUMIFS('июль 2024'!$G$4:$G$1872,'июль 2024'!$D$4:$D$1872,$B21,'июль 2024'!$J$4:$J$1872,X$1)</f>
        <v>0</v>
      </c>
      <c r="Y21" s="80">
        <f>SUMIFS('июль 2024'!$G$4:$G$1872,'июль 2024'!$D$4:$D$1872,$B21,'июль 2024'!$J$4:$J$1872,Y$1)</f>
        <v>0</v>
      </c>
      <c r="Z21" s="80">
        <f>SUMIFS('июль 2024'!$G$4:$G$1872,'июль 2024'!$D$4:$D$1872,$B21,'июль 2024'!$J$4:$J$1872,Z$1)</f>
        <v>0</v>
      </c>
      <c r="AA21" s="80">
        <f>SUMIFS('июль 2024'!$G$4:$G$1872,'июль 2024'!$D$4:$D$1872,$B21,'июль 2024'!$J$4:$J$1872,AA$1)</f>
        <v>0</v>
      </c>
      <c r="AB21" s="80">
        <f>SUMIFS('июль 2024'!$G$4:$G$1872,'июль 2024'!$D$4:$D$1872,$B21,'июль 2024'!$J$4:$J$1872,AB$1)</f>
        <v>0</v>
      </c>
      <c r="AC21" s="80">
        <f>SUMIFS('июль 2024'!$G$4:$G$1872,'июль 2024'!$D$4:$D$1872,$B21,'июль 2024'!$J$4:$J$1872,AC$1)</f>
        <v>0</v>
      </c>
      <c r="AD21" s="80">
        <f>SUMIFS('июль 2024'!$G$4:$G$1872,'июль 2024'!$D$4:$D$1872,$B21,'июль 2024'!$J$4:$J$1872,AD$1)</f>
        <v>0</v>
      </c>
      <c r="AE21" s="80">
        <f>SUMIFS('июль 2024'!$G$4:$G$1872,'июль 2024'!$D$4:$D$1872,$B21,'июль 2024'!$J$4:$J$1872,AE$1)</f>
        <v>0</v>
      </c>
      <c r="AF21" s="80">
        <f>SUMIFS('июль 2024'!$G$4:$G$1872,'июль 2024'!$D$4:$D$1872,$B21,'июль 2024'!$J$4:$J$1872,AF$1)</f>
        <v>0</v>
      </c>
      <c r="AG21" s="80">
        <f>SUMIFS('июль 2024'!$G$4:$G$1872,'июль 2024'!$D$4:$D$1872,$B21,'июль 2024'!$J$4:$J$1872,AG$1)</f>
        <v>0</v>
      </c>
      <c r="AH21" s="80">
        <f>SUMIFS('июль 2024'!$G$4:$G$1872,'июль 2024'!$D$4:$D$1872,$B21,'июль 2024'!$J$4:$J$1872,AH$1)</f>
        <v>0</v>
      </c>
      <c r="AI21" s="21">
        <f t="shared" si="1"/>
        <v>0</v>
      </c>
    </row>
    <row r="22" spans="2:35" ht="15" customHeight="1" x14ac:dyDescent="0.25">
      <c r="B22" s="81" t="s">
        <v>309</v>
      </c>
      <c r="C22" s="82">
        <v>25</v>
      </c>
      <c r="D22" s="80">
        <f>SUMIFS('июль 2024'!$G$4:$G$1872,'июль 2024'!$D$4:$D$1872,$B22,'июль 2024'!$J$4:$J$1872,D$1)</f>
        <v>0</v>
      </c>
      <c r="E22" s="80">
        <f>SUMIFS('июль 2024'!$G$4:$G$1872,'июль 2024'!$D$4:$D$1872,$B22,'июль 2024'!$J$4:$J$1872,E$1)</f>
        <v>0</v>
      </c>
      <c r="F22" s="80">
        <f>SUMIFS('июль 2024'!$G$4:$G$1872,'июль 2024'!$D$4:$D$1872,$B22,'июль 2024'!$J$4:$J$1872,F$1)</f>
        <v>0</v>
      </c>
      <c r="G22" s="80">
        <f>SUMIFS('июль 2024'!$G$4:$G$1872,'июль 2024'!$D$4:$D$1872,$B22,'июль 2024'!$J$4:$J$1872,G$1)</f>
        <v>0</v>
      </c>
      <c r="H22" s="80">
        <f>SUMIFS('июль 2024'!$G$4:$G$1872,'июль 2024'!$D$4:$D$1872,$B22,'июль 2024'!$J$4:$J$1872,H$1)</f>
        <v>0</v>
      </c>
      <c r="I22" s="80">
        <f>SUMIFS('июль 2024'!$G$4:$G$1872,'июль 2024'!$D$4:$D$1872,$B22,'июль 2024'!$J$4:$J$1872,I$1)</f>
        <v>0</v>
      </c>
      <c r="J22" s="80">
        <f>SUMIFS('июль 2024'!$G$4:$G$1872,'июль 2024'!$D$4:$D$1872,$B22,'июль 2024'!$J$4:$J$1872,J$1)</f>
        <v>0</v>
      </c>
      <c r="K22" s="80">
        <f>SUMIFS('июль 2024'!$G$4:$G$1872,'июль 2024'!$D$4:$D$1872,$B22,'июль 2024'!$J$4:$J$1872,K$1)</f>
        <v>0</v>
      </c>
      <c r="L22" s="80">
        <f>SUMIFS('июль 2024'!$G$4:$G$1872,'июль 2024'!$D$4:$D$1872,$B22,'июль 2024'!$J$4:$J$1872,L$1)</f>
        <v>0</v>
      </c>
      <c r="M22" s="80">
        <f>SUMIFS('июль 2024'!$G$4:$G$1872,'июль 2024'!$D$4:$D$1872,$B22,'июль 2024'!$J$4:$J$1872,M$1)</f>
        <v>0</v>
      </c>
      <c r="N22" s="80">
        <f>SUMIFS('июль 2024'!$G$4:$G$1872,'июль 2024'!$D$4:$D$1872,$B22,'июль 2024'!$J$4:$J$1872,N$1)</f>
        <v>0</v>
      </c>
      <c r="O22" s="80">
        <f>SUMIFS('июль 2024'!$G$4:$G$1872,'июль 2024'!$D$4:$D$1872,$B22,'июль 2024'!$J$4:$J$1872,O$1)</f>
        <v>0</v>
      </c>
      <c r="P22" s="80">
        <f>SUMIFS('июль 2024'!$G$4:$G$1872,'июль 2024'!$D$4:$D$1872,$B22,'июль 2024'!$J$4:$J$1872,P$1)</f>
        <v>0</v>
      </c>
      <c r="Q22" s="80">
        <f>SUMIFS('июль 2024'!$G$4:$G$1872,'июль 2024'!$D$4:$D$1872,$B22,'июль 2024'!$J$4:$J$1872,Q$1)</f>
        <v>0</v>
      </c>
      <c r="R22" s="80">
        <f>SUMIFS('июль 2024'!$G$4:$G$1872,'июль 2024'!$D$4:$D$1872,$B22,'июль 2024'!$J$4:$J$1872,R$1)</f>
        <v>0</v>
      </c>
      <c r="S22" s="80">
        <f>SUMIFS('июль 2024'!$G$4:$G$1872,'июль 2024'!$D$4:$D$1872,$B22,'июль 2024'!$J$4:$J$1872,S$1)</f>
        <v>0</v>
      </c>
      <c r="T22" s="80">
        <f>SUMIFS('июль 2024'!$G$4:$G$1872,'июль 2024'!$D$4:$D$1872,$B22,'июль 2024'!$J$4:$J$1872,T$1)</f>
        <v>0</v>
      </c>
      <c r="U22" s="80">
        <f>SUMIFS('июль 2024'!$G$4:$G$1872,'июль 2024'!$D$4:$D$1872,$B22,'июль 2024'!$J$4:$J$1872,U$1)</f>
        <v>0</v>
      </c>
      <c r="V22" s="80">
        <f>SUMIFS('июль 2024'!$G$4:$G$1872,'июль 2024'!$D$4:$D$1872,$B22,'июль 2024'!$J$4:$J$1872,V$1)</f>
        <v>0</v>
      </c>
      <c r="W22" s="80">
        <f>SUMIFS('июль 2024'!$G$4:$G$1872,'июль 2024'!$D$4:$D$1872,$B22,'июль 2024'!$J$4:$J$1872,W$1)</f>
        <v>0</v>
      </c>
      <c r="X22" s="80">
        <f>SUMIFS('июль 2024'!$G$4:$G$1872,'июль 2024'!$D$4:$D$1872,$B22,'июль 2024'!$J$4:$J$1872,X$1)</f>
        <v>0</v>
      </c>
      <c r="Y22" s="80">
        <f>SUMIFS('июль 2024'!$G$4:$G$1872,'июль 2024'!$D$4:$D$1872,$B22,'июль 2024'!$J$4:$J$1872,Y$1)</f>
        <v>0</v>
      </c>
      <c r="Z22" s="80">
        <f>SUMIFS('июль 2024'!$G$4:$G$1872,'июль 2024'!$D$4:$D$1872,$B22,'июль 2024'!$J$4:$J$1872,Z$1)</f>
        <v>0</v>
      </c>
      <c r="AA22" s="80">
        <f>SUMIFS('июль 2024'!$G$4:$G$1872,'июль 2024'!$D$4:$D$1872,$B22,'июль 2024'!$J$4:$J$1872,AA$1)</f>
        <v>0</v>
      </c>
      <c r="AB22" s="80">
        <f>SUMIFS('июль 2024'!$G$4:$G$1872,'июль 2024'!$D$4:$D$1872,$B22,'июль 2024'!$J$4:$J$1872,AB$1)</f>
        <v>0</v>
      </c>
      <c r="AC22" s="80">
        <f>SUMIFS('июль 2024'!$G$4:$G$1872,'июль 2024'!$D$4:$D$1872,$B22,'июль 2024'!$J$4:$J$1872,AC$1)</f>
        <v>0</v>
      </c>
      <c r="AD22" s="80">
        <f>SUMIFS('июль 2024'!$G$4:$G$1872,'июль 2024'!$D$4:$D$1872,$B22,'июль 2024'!$J$4:$J$1872,AD$1)</f>
        <v>0</v>
      </c>
      <c r="AE22" s="80">
        <f>SUMIFS('июль 2024'!$G$4:$G$1872,'июль 2024'!$D$4:$D$1872,$B22,'июль 2024'!$J$4:$J$1872,AE$1)</f>
        <v>0</v>
      </c>
      <c r="AF22" s="80">
        <f>SUMIFS('июль 2024'!$G$4:$G$1872,'июль 2024'!$D$4:$D$1872,$B22,'июль 2024'!$J$4:$J$1872,AF$1)</f>
        <v>0</v>
      </c>
      <c r="AG22" s="80">
        <f>SUMIFS('июль 2024'!$G$4:$G$1872,'июль 2024'!$D$4:$D$1872,$B22,'июль 2024'!$J$4:$J$1872,AG$1)</f>
        <v>0</v>
      </c>
      <c r="AH22" s="80">
        <f>SUMIFS('июль 2024'!$G$4:$G$1872,'июль 2024'!$D$4:$D$1872,$B22,'июль 2024'!$J$4:$J$1872,AH$1)</f>
        <v>0</v>
      </c>
      <c r="AI22" s="21">
        <f t="shared" si="1"/>
        <v>0</v>
      </c>
    </row>
    <row r="23" spans="2:35" ht="15" customHeight="1" x14ac:dyDescent="0.25">
      <c r="B23" s="84" t="s">
        <v>311</v>
      </c>
      <c r="C23" s="103">
        <v>25</v>
      </c>
      <c r="D23" s="80">
        <f>SUMIFS('июль 2024'!$G$4:$G$1872,'июль 2024'!$D$4:$D$1872,$B23,'июль 2024'!$J$4:$J$1872,D$1)</f>
        <v>0</v>
      </c>
      <c r="E23" s="80">
        <f>SUMIFS('июль 2024'!$G$4:$G$1872,'июль 2024'!$D$4:$D$1872,$B23,'июль 2024'!$J$4:$J$1872,E$1)</f>
        <v>0</v>
      </c>
      <c r="F23" s="80">
        <f>SUMIFS('июль 2024'!$G$4:$G$1872,'июль 2024'!$D$4:$D$1872,$B23,'июль 2024'!$J$4:$J$1872,F$1)</f>
        <v>0</v>
      </c>
      <c r="G23" s="80">
        <f>SUMIFS('июль 2024'!$G$4:$G$1872,'июль 2024'!$D$4:$D$1872,$B23,'июль 2024'!$J$4:$J$1872,G$1)</f>
        <v>0</v>
      </c>
      <c r="H23" s="80">
        <f>SUMIFS('июль 2024'!$G$4:$G$1872,'июль 2024'!$D$4:$D$1872,$B23,'июль 2024'!$J$4:$J$1872,H$1)</f>
        <v>0</v>
      </c>
      <c r="I23" s="80">
        <f>SUMIFS('июль 2024'!$G$4:$G$1872,'июль 2024'!$D$4:$D$1872,$B23,'июль 2024'!$J$4:$J$1872,I$1)</f>
        <v>0</v>
      </c>
      <c r="J23" s="80">
        <f>SUMIFS('июль 2024'!$G$4:$G$1872,'июль 2024'!$D$4:$D$1872,$B23,'июль 2024'!$J$4:$J$1872,J$1)</f>
        <v>0</v>
      </c>
      <c r="K23" s="80">
        <f>SUMIFS('июль 2024'!$G$4:$G$1872,'июль 2024'!$D$4:$D$1872,$B23,'июль 2024'!$J$4:$J$1872,K$1)</f>
        <v>0</v>
      </c>
      <c r="L23" s="80">
        <f>SUMIFS('июль 2024'!$G$4:$G$1872,'июль 2024'!$D$4:$D$1872,$B23,'июль 2024'!$J$4:$J$1872,L$1)</f>
        <v>0</v>
      </c>
      <c r="M23" s="80">
        <f>SUMIFS('июль 2024'!$G$4:$G$1872,'июль 2024'!$D$4:$D$1872,$B23,'июль 2024'!$J$4:$J$1872,M$1)</f>
        <v>0</v>
      </c>
      <c r="N23" s="80">
        <f>SUMIFS('июль 2024'!$G$4:$G$1872,'июль 2024'!$D$4:$D$1872,$B23,'июль 2024'!$J$4:$J$1872,N$1)</f>
        <v>0</v>
      </c>
      <c r="O23" s="80">
        <f>SUMIFS('июль 2024'!$G$4:$G$1872,'июль 2024'!$D$4:$D$1872,$B23,'июль 2024'!$J$4:$J$1872,O$1)</f>
        <v>0</v>
      </c>
      <c r="P23" s="80">
        <f>SUMIFS('июль 2024'!$G$4:$G$1872,'июль 2024'!$D$4:$D$1872,$B23,'июль 2024'!$J$4:$J$1872,P$1)</f>
        <v>0</v>
      </c>
      <c r="Q23" s="80">
        <f>SUMIFS('июль 2024'!$G$4:$G$1872,'июль 2024'!$D$4:$D$1872,$B23,'июль 2024'!$J$4:$J$1872,Q$1)</f>
        <v>0</v>
      </c>
      <c r="R23" s="80">
        <f>SUMIFS('июль 2024'!$G$4:$G$1872,'июль 2024'!$D$4:$D$1872,$B23,'июль 2024'!$J$4:$J$1872,R$1)</f>
        <v>0</v>
      </c>
      <c r="S23" s="80">
        <f>SUMIFS('июль 2024'!$G$4:$G$1872,'июль 2024'!$D$4:$D$1872,$B23,'июль 2024'!$J$4:$J$1872,S$1)</f>
        <v>0</v>
      </c>
      <c r="T23" s="80">
        <f>SUMIFS('июль 2024'!$G$4:$G$1872,'июль 2024'!$D$4:$D$1872,$B23,'июль 2024'!$J$4:$J$1872,T$1)</f>
        <v>0</v>
      </c>
      <c r="U23" s="80">
        <f>SUMIFS('июль 2024'!$G$4:$G$1872,'июль 2024'!$D$4:$D$1872,$B23,'июль 2024'!$J$4:$J$1872,U$1)</f>
        <v>0</v>
      </c>
      <c r="V23" s="80">
        <f>SUMIFS('июль 2024'!$G$4:$G$1872,'июль 2024'!$D$4:$D$1872,$B23,'июль 2024'!$J$4:$J$1872,V$1)</f>
        <v>0</v>
      </c>
      <c r="W23" s="80">
        <f>SUMIFS('июль 2024'!$G$4:$G$1872,'июль 2024'!$D$4:$D$1872,$B23,'июль 2024'!$J$4:$J$1872,W$1)</f>
        <v>0</v>
      </c>
      <c r="X23" s="80">
        <f>SUMIFS('июль 2024'!$G$4:$G$1872,'июль 2024'!$D$4:$D$1872,$B23,'июль 2024'!$J$4:$J$1872,X$1)</f>
        <v>0</v>
      </c>
      <c r="Y23" s="80">
        <f>SUMIFS('июль 2024'!$G$4:$G$1872,'июль 2024'!$D$4:$D$1872,$B23,'июль 2024'!$J$4:$J$1872,Y$1)</f>
        <v>0</v>
      </c>
      <c r="Z23" s="80">
        <f>SUMIFS('июль 2024'!$G$4:$G$1872,'июль 2024'!$D$4:$D$1872,$B23,'июль 2024'!$J$4:$J$1872,Z$1)</f>
        <v>0</v>
      </c>
      <c r="AA23" s="80">
        <f>SUMIFS('июль 2024'!$G$4:$G$1872,'июль 2024'!$D$4:$D$1872,$B23,'июль 2024'!$J$4:$J$1872,AA$1)</f>
        <v>0</v>
      </c>
      <c r="AB23" s="80">
        <f>SUMIFS('июль 2024'!$G$4:$G$1872,'июль 2024'!$D$4:$D$1872,$B23,'июль 2024'!$J$4:$J$1872,AB$1)</f>
        <v>0</v>
      </c>
      <c r="AC23" s="80">
        <f>SUMIFS('июль 2024'!$G$4:$G$1872,'июль 2024'!$D$4:$D$1872,$B23,'июль 2024'!$J$4:$J$1872,AC$1)</f>
        <v>0</v>
      </c>
      <c r="AD23" s="80">
        <f>SUMIFS('июль 2024'!$G$4:$G$1872,'июль 2024'!$D$4:$D$1872,$B23,'июль 2024'!$J$4:$J$1872,AD$1)</f>
        <v>0</v>
      </c>
      <c r="AE23" s="80">
        <f>SUMIFS('июль 2024'!$G$4:$G$1872,'июль 2024'!$D$4:$D$1872,$B23,'июль 2024'!$J$4:$J$1872,AE$1)</f>
        <v>0</v>
      </c>
      <c r="AF23" s="80">
        <f>SUMIFS('июль 2024'!$G$4:$G$1872,'июль 2024'!$D$4:$D$1872,$B23,'июль 2024'!$J$4:$J$1872,AF$1)</f>
        <v>0</v>
      </c>
      <c r="AG23" s="80">
        <f>SUMIFS('июль 2024'!$G$4:$G$1872,'июль 2024'!$D$4:$D$1872,$B23,'июль 2024'!$J$4:$J$1872,AG$1)</f>
        <v>0</v>
      </c>
      <c r="AH23" s="80">
        <f>SUMIFS('июль 2024'!$G$4:$G$1872,'июль 2024'!$D$4:$D$1872,$B23,'июль 2024'!$J$4:$J$1872,AH$1)</f>
        <v>0</v>
      </c>
      <c r="AI23" s="21">
        <f t="shared" si="1"/>
        <v>0</v>
      </c>
    </row>
    <row r="24" spans="2:35" ht="15" customHeight="1" x14ac:dyDescent="0.25">
      <c r="B24" s="84" t="s">
        <v>312</v>
      </c>
      <c r="C24" s="82">
        <v>25</v>
      </c>
      <c r="D24" s="80">
        <f>SUMIFS('июль 2024'!$G$4:$G$1872,'июль 2024'!$D$4:$D$1872,$B24,'июль 2024'!$J$4:$J$1872,D$1)</f>
        <v>0</v>
      </c>
      <c r="E24" s="80">
        <f>SUMIFS('июль 2024'!$G$4:$G$1872,'июль 2024'!$D$4:$D$1872,$B24,'июль 2024'!$J$4:$J$1872,E$1)</f>
        <v>0</v>
      </c>
      <c r="F24" s="80">
        <f>SUMIFS('июль 2024'!$G$4:$G$1872,'июль 2024'!$D$4:$D$1872,$B24,'июль 2024'!$J$4:$J$1872,F$1)</f>
        <v>0</v>
      </c>
      <c r="G24" s="80">
        <f>SUMIFS('июль 2024'!$G$4:$G$1872,'июль 2024'!$D$4:$D$1872,$B24,'июль 2024'!$J$4:$J$1872,G$1)</f>
        <v>0</v>
      </c>
      <c r="H24" s="80">
        <f>SUMIFS('июль 2024'!$G$4:$G$1872,'июль 2024'!$D$4:$D$1872,$B24,'июль 2024'!$J$4:$J$1872,H$1)</f>
        <v>0</v>
      </c>
      <c r="I24" s="80">
        <f>SUMIFS('июль 2024'!$G$4:$G$1872,'июль 2024'!$D$4:$D$1872,$B24,'июль 2024'!$J$4:$J$1872,I$1)</f>
        <v>0</v>
      </c>
      <c r="J24" s="80">
        <f>SUMIFS('июль 2024'!$G$4:$G$1872,'июль 2024'!$D$4:$D$1872,$B24,'июль 2024'!$J$4:$J$1872,J$1)</f>
        <v>0</v>
      </c>
      <c r="K24" s="80">
        <f>SUMIFS('июль 2024'!$G$4:$G$1872,'июль 2024'!$D$4:$D$1872,$B24,'июль 2024'!$J$4:$J$1872,K$1)</f>
        <v>0</v>
      </c>
      <c r="L24" s="80">
        <f>SUMIFS('июль 2024'!$G$4:$G$1872,'июль 2024'!$D$4:$D$1872,$B24,'июль 2024'!$J$4:$J$1872,L$1)</f>
        <v>0</v>
      </c>
      <c r="M24" s="80">
        <f>SUMIFS('июль 2024'!$G$4:$G$1872,'июль 2024'!$D$4:$D$1872,$B24,'июль 2024'!$J$4:$J$1872,M$1)</f>
        <v>0</v>
      </c>
      <c r="N24" s="80">
        <f>SUMIFS('июль 2024'!$G$4:$G$1872,'июль 2024'!$D$4:$D$1872,$B24,'июль 2024'!$J$4:$J$1872,N$1)</f>
        <v>0</v>
      </c>
      <c r="O24" s="80">
        <f>SUMIFS('июль 2024'!$G$4:$G$1872,'июль 2024'!$D$4:$D$1872,$B24,'июль 2024'!$J$4:$J$1872,O$1)</f>
        <v>0</v>
      </c>
      <c r="P24" s="80">
        <f>SUMIFS('июль 2024'!$G$4:$G$1872,'июль 2024'!$D$4:$D$1872,$B24,'июль 2024'!$J$4:$J$1872,P$1)</f>
        <v>0</v>
      </c>
      <c r="Q24" s="80">
        <f>SUMIFS('июль 2024'!$G$4:$G$1872,'июль 2024'!$D$4:$D$1872,$B24,'июль 2024'!$J$4:$J$1872,Q$1)</f>
        <v>0</v>
      </c>
      <c r="R24" s="80">
        <f>SUMIFS('июль 2024'!$G$4:$G$1872,'июль 2024'!$D$4:$D$1872,$B24,'июль 2024'!$J$4:$J$1872,R$1)</f>
        <v>0</v>
      </c>
      <c r="S24" s="80">
        <f>SUMIFS('июль 2024'!$G$4:$G$1872,'июль 2024'!$D$4:$D$1872,$B24,'июль 2024'!$J$4:$J$1872,S$1)</f>
        <v>0</v>
      </c>
      <c r="T24" s="80">
        <f>SUMIFS('июль 2024'!$G$4:$G$1872,'июль 2024'!$D$4:$D$1872,$B24,'июль 2024'!$J$4:$J$1872,T$1)</f>
        <v>0</v>
      </c>
      <c r="U24" s="80">
        <f>SUMIFS('июль 2024'!$G$4:$G$1872,'июль 2024'!$D$4:$D$1872,$B24,'июль 2024'!$J$4:$J$1872,U$1)</f>
        <v>0</v>
      </c>
      <c r="V24" s="80">
        <f>SUMIFS('июль 2024'!$G$4:$G$1872,'июль 2024'!$D$4:$D$1872,$B24,'июль 2024'!$J$4:$J$1872,V$1)</f>
        <v>0</v>
      </c>
      <c r="W24" s="80">
        <f>SUMIFS('июль 2024'!$G$4:$G$1872,'июль 2024'!$D$4:$D$1872,$B24,'июль 2024'!$J$4:$J$1872,W$1)</f>
        <v>0</v>
      </c>
      <c r="X24" s="80">
        <f>SUMIFS('июль 2024'!$G$4:$G$1872,'июль 2024'!$D$4:$D$1872,$B24,'июль 2024'!$J$4:$J$1872,X$1)</f>
        <v>0</v>
      </c>
      <c r="Y24" s="80">
        <f>SUMIFS('июль 2024'!$G$4:$G$1872,'июль 2024'!$D$4:$D$1872,$B24,'июль 2024'!$J$4:$J$1872,Y$1)</f>
        <v>0</v>
      </c>
      <c r="Z24" s="80">
        <f>SUMIFS('июль 2024'!$G$4:$G$1872,'июль 2024'!$D$4:$D$1872,$B24,'июль 2024'!$J$4:$J$1872,Z$1)</f>
        <v>0</v>
      </c>
      <c r="AA24" s="80">
        <f>SUMIFS('июль 2024'!$G$4:$G$1872,'июль 2024'!$D$4:$D$1872,$B24,'июль 2024'!$J$4:$J$1872,AA$1)</f>
        <v>0</v>
      </c>
      <c r="AB24" s="80">
        <f>SUMIFS('июль 2024'!$G$4:$G$1872,'июль 2024'!$D$4:$D$1872,$B24,'июль 2024'!$J$4:$J$1872,AB$1)</f>
        <v>0</v>
      </c>
      <c r="AC24" s="80">
        <f>SUMIFS('июль 2024'!$G$4:$G$1872,'июль 2024'!$D$4:$D$1872,$B24,'июль 2024'!$J$4:$J$1872,AC$1)</f>
        <v>0</v>
      </c>
      <c r="AD24" s="80">
        <f>SUMIFS('июль 2024'!$G$4:$G$1872,'июль 2024'!$D$4:$D$1872,$B24,'июль 2024'!$J$4:$J$1872,AD$1)</f>
        <v>0</v>
      </c>
      <c r="AE24" s="80">
        <f>SUMIFS('июль 2024'!$G$4:$G$1872,'июль 2024'!$D$4:$D$1872,$B24,'июль 2024'!$J$4:$J$1872,AE$1)</f>
        <v>0</v>
      </c>
      <c r="AF24" s="80">
        <f>SUMIFS('июль 2024'!$G$4:$G$1872,'июль 2024'!$D$4:$D$1872,$B24,'июль 2024'!$J$4:$J$1872,AF$1)</f>
        <v>0</v>
      </c>
      <c r="AG24" s="80">
        <f>SUMIFS('июль 2024'!$G$4:$G$1872,'июль 2024'!$D$4:$D$1872,$B24,'июль 2024'!$J$4:$J$1872,AG$1)</f>
        <v>0</v>
      </c>
      <c r="AH24" s="80">
        <f>SUMIFS('июль 2024'!$G$4:$G$1872,'июль 2024'!$D$4:$D$1872,$B24,'июль 2024'!$J$4:$J$1872,AH$1)</f>
        <v>0</v>
      </c>
      <c r="AI24" s="21">
        <f t="shared" si="1"/>
        <v>0</v>
      </c>
    </row>
    <row r="25" spans="2:35" ht="15" customHeight="1" x14ac:dyDescent="0.25">
      <c r="B25" s="84" t="s">
        <v>313</v>
      </c>
      <c r="C25" s="82">
        <v>25</v>
      </c>
      <c r="D25" s="80">
        <f>SUMIFS('июль 2024'!$G$4:$G$1872,'июль 2024'!$D$4:$D$1872,$B25,'июль 2024'!$J$4:$J$1872,D$1)</f>
        <v>0</v>
      </c>
      <c r="E25" s="80">
        <f>SUMIFS('июль 2024'!$G$4:$G$1872,'июль 2024'!$D$4:$D$1872,$B25,'июль 2024'!$J$4:$J$1872,E$1)</f>
        <v>0</v>
      </c>
      <c r="F25" s="80">
        <f>SUMIFS('июль 2024'!$G$4:$G$1872,'июль 2024'!$D$4:$D$1872,$B25,'июль 2024'!$J$4:$J$1872,F$1)</f>
        <v>0</v>
      </c>
      <c r="G25" s="80">
        <f>SUMIFS('июль 2024'!$G$4:$G$1872,'июль 2024'!$D$4:$D$1872,$B25,'июль 2024'!$J$4:$J$1872,G$1)</f>
        <v>0</v>
      </c>
      <c r="H25" s="80">
        <f>SUMIFS('июль 2024'!$G$4:$G$1872,'июль 2024'!$D$4:$D$1872,$B25,'июль 2024'!$J$4:$J$1872,H$1)</f>
        <v>0</v>
      </c>
      <c r="I25" s="80">
        <f>SUMIFS('июль 2024'!$G$4:$G$1872,'июль 2024'!$D$4:$D$1872,$B25,'июль 2024'!$J$4:$J$1872,I$1)</f>
        <v>0</v>
      </c>
      <c r="J25" s="80">
        <f>SUMIFS('июль 2024'!$G$4:$G$1872,'июль 2024'!$D$4:$D$1872,$B25,'июль 2024'!$J$4:$J$1872,J$1)</f>
        <v>0</v>
      </c>
      <c r="K25" s="80">
        <f>SUMIFS('июль 2024'!$G$4:$G$1872,'июль 2024'!$D$4:$D$1872,$B25,'июль 2024'!$J$4:$J$1872,K$1)</f>
        <v>0</v>
      </c>
      <c r="L25" s="80">
        <f>SUMIFS('июль 2024'!$G$4:$G$1872,'июль 2024'!$D$4:$D$1872,$B25,'июль 2024'!$J$4:$J$1872,L$1)</f>
        <v>0</v>
      </c>
      <c r="M25" s="80">
        <f>SUMIFS('июль 2024'!$G$4:$G$1872,'июль 2024'!$D$4:$D$1872,$B25,'июль 2024'!$J$4:$J$1872,M$1)</f>
        <v>0</v>
      </c>
      <c r="N25" s="80">
        <f>SUMIFS('июль 2024'!$G$4:$G$1872,'июль 2024'!$D$4:$D$1872,$B25,'июль 2024'!$J$4:$J$1872,N$1)</f>
        <v>0</v>
      </c>
      <c r="O25" s="80">
        <f>SUMIFS('июль 2024'!$G$4:$G$1872,'июль 2024'!$D$4:$D$1872,$B25,'июль 2024'!$J$4:$J$1872,O$1)</f>
        <v>0</v>
      </c>
      <c r="P25" s="80">
        <f>SUMIFS('июль 2024'!$G$4:$G$1872,'июль 2024'!$D$4:$D$1872,$B25,'июль 2024'!$J$4:$J$1872,P$1)</f>
        <v>0</v>
      </c>
      <c r="Q25" s="80">
        <f>SUMIFS('июль 2024'!$G$4:$G$1872,'июль 2024'!$D$4:$D$1872,$B25,'июль 2024'!$J$4:$J$1872,Q$1)</f>
        <v>0</v>
      </c>
      <c r="R25" s="80">
        <f>SUMIFS('июль 2024'!$G$4:$G$1872,'июль 2024'!$D$4:$D$1872,$B25,'июль 2024'!$J$4:$J$1872,R$1)</f>
        <v>0</v>
      </c>
      <c r="S25" s="80">
        <f>SUMIFS('июль 2024'!$G$4:$G$1872,'июль 2024'!$D$4:$D$1872,$B25,'июль 2024'!$J$4:$J$1872,S$1)</f>
        <v>0</v>
      </c>
      <c r="T25" s="80">
        <f>SUMIFS('июль 2024'!$G$4:$G$1872,'июль 2024'!$D$4:$D$1872,$B25,'июль 2024'!$J$4:$J$1872,T$1)</f>
        <v>0</v>
      </c>
      <c r="U25" s="80">
        <f>SUMIFS('июль 2024'!$G$4:$G$1872,'июль 2024'!$D$4:$D$1872,$B25,'июль 2024'!$J$4:$J$1872,U$1)</f>
        <v>0</v>
      </c>
      <c r="V25" s="80">
        <f>SUMIFS('июль 2024'!$G$4:$G$1872,'июль 2024'!$D$4:$D$1872,$B25,'июль 2024'!$J$4:$J$1872,V$1)</f>
        <v>0</v>
      </c>
      <c r="W25" s="80">
        <f>SUMIFS('июль 2024'!$G$4:$G$1872,'июль 2024'!$D$4:$D$1872,$B25,'июль 2024'!$J$4:$J$1872,W$1)</f>
        <v>0</v>
      </c>
      <c r="X25" s="80">
        <f>SUMIFS('июль 2024'!$G$4:$G$1872,'июль 2024'!$D$4:$D$1872,$B25,'июль 2024'!$J$4:$J$1872,X$1)</f>
        <v>0</v>
      </c>
      <c r="Y25" s="80">
        <f>SUMIFS('июль 2024'!$G$4:$G$1872,'июль 2024'!$D$4:$D$1872,$B25,'июль 2024'!$J$4:$J$1872,Y$1)</f>
        <v>0</v>
      </c>
      <c r="Z25" s="80">
        <f>SUMIFS('июль 2024'!$G$4:$G$1872,'июль 2024'!$D$4:$D$1872,$B25,'июль 2024'!$J$4:$J$1872,Z$1)</f>
        <v>0</v>
      </c>
      <c r="AA25" s="80">
        <f>SUMIFS('июль 2024'!$G$4:$G$1872,'июль 2024'!$D$4:$D$1872,$B25,'июль 2024'!$J$4:$J$1872,AA$1)</f>
        <v>0</v>
      </c>
      <c r="AB25" s="80">
        <f>SUMIFS('июль 2024'!$G$4:$G$1872,'июль 2024'!$D$4:$D$1872,$B25,'июль 2024'!$J$4:$J$1872,AB$1)</f>
        <v>0</v>
      </c>
      <c r="AC25" s="80">
        <f>SUMIFS('июль 2024'!$G$4:$G$1872,'июль 2024'!$D$4:$D$1872,$B25,'июль 2024'!$J$4:$J$1872,AC$1)</f>
        <v>0</v>
      </c>
      <c r="AD25" s="80">
        <f>SUMIFS('июль 2024'!$G$4:$G$1872,'июль 2024'!$D$4:$D$1872,$B25,'июль 2024'!$J$4:$J$1872,AD$1)</f>
        <v>0</v>
      </c>
      <c r="AE25" s="80">
        <f>SUMIFS('июль 2024'!$G$4:$G$1872,'июль 2024'!$D$4:$D$1872,$B25,'июль 2024'!$J$4:$J$1872,AE$1)</f>
        <v>0</v>
      </c>
      <c r="AF25" s="80">
        <f>SUMIFS('июль 2024'!$G$4:$G$1872,'июль 2024'!$D$4:$D$1872,$B25,'июль 2024'!$J$4:$J$1872,AF$1)</f>
        <v>0</v>
      </c>
      <c r="AG25" s="80">
        <f>SUMIFS('июль 2024'!$G$4:$G$1872,'июль 2024'!$D$4:$D$1872,$B25,'июль 2024'!$J$4:$J$1872,AG$1)</f>
        <v>0</v>
      </c>
      <c r="AH25" s="80">
        <f>SUMIFS('июль 2024'!$G$4:$G$1872,'июль 2024'!$D$4:$D$1872,$B25,'июль 2024'!$J$4:$J$1872,AH$1)</f>
        <v>0</v>
      </c>
      <c r="AI25" s="21">
        <f t="shared" si="1"/>
        <v>0</v>
      </c>
    </row>
    <row r="26" spans="2:35" ht="15" customHeight="1" x14ac:dyDescent="0.25">
      <c r="B26" s="84" t="s">
        <v>314</v>
      </c>
      <c r="C26" s="82">
        <v>25</v>
      </c>
      <c r="D26" s="80">
        <f>SUMIFS('июль 2024'!$G$4:$G$1872,'июль 2024'!$D$4:$D$1872,$B26,'июль 2024'!$J$4:$J$1872,D$1)</f>
        <v>0</v>
      </c>
      <c r="E26" s="80">
        <f>SUMIFS('июль 2024'!$G$4:$G$1872,'июль 2024'!$D$4:$D$1872,$B26,'июль 2024'!$J$4:$J$1872,E$1)</f>
        <v>0</v>
      </c>
      <c r="F26" s="80">
        <f>SUMIFS('июль 2024'!$G$4:$G$1872,'июль 2024'!$D$4:$D$1872,$B26,'июль 2024'!$J$4:$J$1872,F$1)</f>
        <v>0</v>
      </c>
      <c r="G26" s="80">
        <f>SUMIFS('июль 2024'!$G$4:$G$1872,'июль 2024'!$D$4:$D$1872,$B26,'июль 2024'!$J$4:$J$1872,G$1)</f>
        <v>0</v>
      </c>
      <c r="H26" s="80">
        <f>SUMIFS('июль 2024'!$G$4:$G$1872,'июль 2024'!$D$4:$D$1872,$B26,'июль 2024'!$J$4:$J$1872,H$1)</f>
        <v>0</v>
      </c>
      <c r="I26" s="80">
        <f>SUMIFS('июль 2024'!$G$4:$G$1872,'июль 2024'!$D$4:$D$1872,$B26,'июль 2024'!$J$4:$J$1872,I$1)</f>
        <v>0</v>
      </c>
      <c r="J26" s="80">
        <f>SUMIFS('июль 2024'!$G$4:$G$1872,'июль 2024'!$D$4:$D$1872,$B26,'июль 2024'!$J$4:$J$1872,J$1)</f>
        <v>0</v>
      </c>
      <c r="K26" s="80">
        <f>SUMIFS('июль 2024'!$G$4:$G$1872,'июль 2024'!$D$4:$D$1872,$B26,'июль 2024'!$J$4:$J$1872,K$1)</f>
        <v>0</v>
      </c>
      <c r="L26" s="80">
        <f>SUMIFS('июль 2024'!$G$4:$G$1872,'июль 2024'!$D$4:$D$1872,$B26,'июль 2024'!$J$4:$J$1872,L$1)</f>
        <v>0</v>
      </c>
      <c r="M26" s="80">
        <f>SUMIFS('июль 2024'!$G$4:$G$1872,'июль 2024'!$D$4:$D$1872,$B26,'июль 2024'!$J$4:$J$1872,M$1)</f>
        <v>0</v>
      </c>
      <c r="N26" s="80">
        <f>SUMIFS('июль 2024'!$G$4:$G$1872,'июль 2024'!$D$4:$D$1872,$B26,'июль 2024'!$J$4:$J$1872,N$1)</f>
        <v>0</v>
      </c>
      <c r="O26" s="80">
        <f>SUMIFS('июль 2024'!$G$4:$G$1872,'июль 2024'!$D$4:$D$1872,$B26,'июль 2024'!$J$4:$J$1872,O$1)</f>
        <v>0</v>
      </c>
      <c r="P26" s="80">
        <f>SUMIFS('июль 2024'!$G$4:$G$1872,'июль 2024'!$D$4:$D$1872,$B26,'июль 2024'!$J$4:$J$1872,P$1)</f>
        <v>0</v>
      </c>
      <c r="Q26" s="80">
        <f>SUMIFS('июль 2024'!$G$4:$G$1872,'июль 2024'!$D$4:$D$1872,$B26,'июль 2024'!$J$4:$J$1872,Q$1)</f>
        <v>0</v>
      </c>
      <c r="R26" s="80">
        <f>SUMIFS('июль 2024'!$G$4:$G$1872,'июль 2024'!$D$4:$D$1872,$B26,'июль 2024'!$J$4:$J$1872,R$1)</f>
        <v>0</v>
      </c>
      <c r="S26" s="80">
        <f>SUMIFS('июль 2024'!$G$4:$G$1872,'июль 2024'!$D$4:$D$1872,$B26,'июль 2024'!$J$4:$J$1872,S$1)</f>
        <v>0</v>
      </c>
      <c r="T26" s="80">
        <f>SUMIFS('июль 2024'!$G$4:$G$1872,'июль 2024'!$D$4:$D$1872,$B26,'июль 2024'!$J$4:$J$1872,T$1)</f>
        <v>0</v>
      </c>
      <c r="U26" s="80">
        <f>SUMIFS('июль 2024'!$G$4:$G$1872,'июль 2024'!$D$4:$D$1872,$B26,'июль 2024'!$J$4:$J$1872,U$1)</f>
        <v>0</v>
      </c>
      <c r="V26" s="80">
        <f>SUMIFS('июль 2024'!$G$4:$G$1872,'июль 2024'!$D$4:$D$1872,$B26,'июль 2024'!$J$4:$J$1872,V$1)</f>
        <v>0</v>
      </c>
      <c r="W26" s="80">
        <f>SUMIFS('июль 2024'!$G$4:$G$1872,'июль 2024'!$D$4:$D$1872,$B26,'июль 2024'!$J$4:$J$1872,W$1)</f>
        <v>0</v>
      </c>
      <c r="X26" s="80">
        <f>SUMIFS('июль 2024'!$G$4:$G$1872,'июль 2024'!$D$4:$D$1872,$B26,'июль 2024'!$J$4:$J$1872,X$1)</f>
        <v>0</v>
      </c>
      <c r="Y26" s="80">
        <f>SUMIFS('июль 2024'!$G$4:$G$1872,'июль 2024'!$D$4:$D$1872,$B26,'июль 2024'!$J$4:$J$1872,Y$1)</f>
        <v>0</v>
      </c>
      <c r="Z26" s="80">
        <f>SUMIFS('июль 2024'!$G$4:$G$1872,'июль 2024'!$D$4:$D$1872,$B26,'июль 2024'!$J$4:$J$1872,Z$1)</f>
        <v>0</v>
      </c>
      <c r="AA26" s="80">
        <f>SUMIFS('июль 2024'!$G$4:$G$1872,'июль 2024'!$D$4:$D$1872,$B26,'июль 2024'!$J$4:$J$1872,AA$1)</f>
        <v>0</v>
      </c>
      <c r="AB26" s="80">
        <f>SUMIFS('июль 2024'!$G$4:$G$1872,'июль 2024'!$D$4:$D$1872,$B26,'июль 2024'!$J$4:$J$1872,AB$1)</f>
        <v>0</v>
      </c>
      <c r="AC26" s="80">
        <f>SUMIFS('июль 2024'!$G$4:$G$1872,'июль 2024'!$D$4:$D$1872,$B26,'июль 2024'!$J$4:$J$1872,AC$1)</f>
        <v>0</v>
      </c>
      <c r="AD26" s="80">
        <f>SUMIFS('июль 2024'!$G$4:$G$1872,'июль 2024'!$D$4:$D$1872,$B26,'июль 2024'!$J$4:$J$1872,AD$1)</f>
        <v>0</v>
      </c>
      <c r="AE26" s="80">
        <f>SUMIFS('июль 2024'!$G$4:$G$1872,'июль 2024'!$D$4:$D$1872,$B26,'июль 2024'!$J$4:$J$1872,AE$1)</f>
        <v>0</v>
      </c>
      <c r="AF26" s="80">
        <f>SUMIFS('июль 2024'!$G$4:$G$1872,'июль 2024'!$D$4:$D$1872,$B26,'июль 2024'!$J$4:$J$1872,AF$1)</f>
        <v>0</v>
      </c>
      <c r="AG26" s="80">
        <f>SUMIFS('июль 2024'!$G$4:$G$1872,'июль 2024'!$D$4:$D$1872,$B26,'июль 2024'!$J$4:$J$1872,AG$1)</f>
        <v>0</v>
      </c>
      <c r="AH26" s="80">
        <f>SUMIFS('июль 2024'!$G$4:$G$1872,'июль 2024'!$D$4:$D$1872,$B26,'июль 2024'!$J$4:$J$1872,AH$1)</f>
        <v>0</v>
      </c>
      <c r="AI26" s="21">
        <f t="shared" si="1"/>
        <v>0</v>
      </c>
    </row>
    <row r="27" spans="2:35" ht="15" customHeight="1" x14ac:dyDescent="0.25">
      <c r="B27" s="84" t="s">
        <v>315</v>
      </c>
      <c r="C27" s="82">
        <v>25</v>
      </c>
      <c r="D27" s="80">
        <f>SUMIFS('июль 2024'!$G$4:$G$1872,'июль 2024'!$D$4:$D$1872,$B27,'июль 2024'!$J$4:$J$1872,D$1)</f>
        <v>0</v>
      </c>
      <c r="E27" s="80">
        <f>SUMIFS('июль 2024'!$G$4:$G$1872,'июль 2024'!$D$4:$D$1872,$B27,'июль 2024'!$J$4:$J$1872,E$1)</f>
        <v>0</v>
      </c>
      <c r="F27" s="80">
        <f>SUMIFS('июль 2024'!$G$4:$G$1872,'июль 2024'!$D$4:$D$1872,$B27,'июль 2024'!$J$4:$J$1872,F$1)</f>
        <v>0</v>
      </c>
      <c r="G27" s="80">
        <f>SUMIFS('июль 2024'!$G$4:$G$1872,'июль 2024'!$D$4:$D$1872,$B27,'июль 2024'!$J$4:$J$1872,G$1)</f>
        <v>0</v>
      </c>
      <c r="H27" s="80">
        <f>SUMIFS('июль 2024'!$G$4:$G$1872,'июль 2024'!$D$4:$D$1872,$B27,'июль 2024'!$J$4:$J$1872,H$1)</f>
        <v>0</v>
      </c>
      <c r="I27" s="80">
        <f>SUMIFS('июль 2024'!$G$4:$G$1872,'июль 2024'!$D$4:$D$1872,$B27,'июль 2024'!$J$4:$J$1872,I$1)</f>
        <v>0</v>
      </c>
      <c r="J27" s="80">
        <f>SUMIFS('июль 2024'!$G$4:$G$1872,'июль 2024'!$D$4:$D$1872,$B27,'июль 2024'!$J$4:$J$1872,J$1)</f>
        <v>0</v>
      </c>
      <c r="K27" s="80">
        <f>SUMIFS('июль 2024'!$G$4:$G$1872,'июль 2024'!$D$4:$D$1872,$B27,'июль 2024'!$J$4:$J$1872,K$1)</f>
        <v>0</v>
      </c>
      <c r="L27" s="80">
        <f>SUMIFS('июль 2024'!$G$4:$G$1872,'июль 2024'!$D$4:$D$1872,$B27,'июль 2024'!$J$4:$J$1872,L$1)</f>
        <v>0</v>
      </c>
      <c r="M27" s="80">
        <f>SUMIFS('июль 2024'!$G$4:$G$1872,'июль 2024'!$D$4:$D$1872,$B27,'июль 2024'!$J$4:$J$1872,M$1)</f>
        <v>0</v>
      </c>
      <c r="N27" s="80">
        <f>SUMIFS('июль 2024'!$G$4:$G$1872,'июль 2024'!$D$4:$D$1872,$B27,'июль 2024'!$J$4:$J$1872,N$1)</f>
        <v>0</v>
      </c>
      <c r="O27" s="80">
        <f>SUMIFS('июль 2024'!$G$4:$G$1872,'июль 2024'!$D$4:$D$1872,$B27,'июль 2024'!$J$4:$J$1872,O$1)</f>
        <v>0</v>
      </c>
      <c r="P27" s="80">
        <f>SUMIFS('июль 2024'!$G$4:$G$1872,'июль 2024'!$D$4:$D$1872,$B27,'июль 2024'!$J$4:$J$1872,P$1)</f>
        <v>0</v>
      </c>
      <c r="Q27" s="80">
        <f>SUMIFS('июль 2024'!$G$4:$G$1872,'июль 2024'!$D$4:$D$1872,$B27,'июль 2024'!$J$4:$J$1872,Q$1)</f>
        <v>0</v>
      </c>
      <c r="R27" s="80">
        <f>SUMIFS('июль 2024'!$G$4:$G$1872,'июль 2024'!$D$4:$D$1872,$B27,'июль 2024'!$J$4:$J$1872,R$1)</f>
        <v>0</v>
      </c>
      <c r="S27" s="80">
        <f>SUMIFS('июль 2024'!$G$4:$G$1872,'июль 2024'!$D$4:$D$1872,$B27,'июль 2024'!$J$4:$J$1872,S$1)</f>
        <v>0</v>
      </c>
      <c r="T27" s="80">
        <f>SUMIFS('июль 2024'!$G$4:$G$1872,'июль 2024'!$D$4:$D$1872,$B27,'июль 2024'!$J$4:$J$1872,T$1)</f>
        <v>0</v>
      </c>
      <c r="U27" s="80">
        <f>SUMIFS('июль 2024'!$G$4:$G$1872,'июль 2024'!$D$4:$D$1872,$B27,'июль 2024'!$J$4:$J$1872,U$1)</f>
        <v>0</v>
      </c>
      <c r="V27" s="80">
        <f>SUMIFS('июль 2024'!$G$4:$G$1872,'июль 2024'!$D$4:$D$1872,$B27,'июль 2024'!$J$4:$J$1872,V$1)</f>
        <v>0</v>
      </c>
      <c r="W27" s="80">
        <f>SUMIFS('июль 2024'!$G$4:$G$1872,'июль 2024'!$D$4:$D$1872,$B27,'июль 2024'!$J$4:$J$1872,W$1)</f>
        <v>0</v>
      </c>
      <c r="X27" s="80">
        <f>SUMIFS('июль 2024'!$G$4:$G$1872,'июль 2024'!$D$4:$D$1872,$B27,'июль 2024'!$J$4:$J$1872,X$1)</f>
        <v>0</v>
      </c>
      <c r="Y27" s="80">
        <f>SUMIFS('июль 2024'!$G$4:$G$1872,'июль 2024'!$D$4:$D$1872,$B27,'июль 2024'!$J$4:$J$1872,Y$1)</f>
        <v>0</v>
      </c>
      <c r="Z27" s="80">
        <f>SUMIFS('июль 2024'!$G$4:$G$1872,'июль 2024'!$D$4:$D$1872,$B27,'июль 2024'!$J$4:$J$1872,Z$1)</f>
        <v>0</v>
      </c>
      <c r="AA27" s="80">
        <f>SUMIFS('июль 2024'!$G$4:$G$1872,'июль 2024'!$D$4:$D$1872,$B27,'июль 2024'!$J$4:$J$1872,AA$1)</f>
        <v>0</v>
      </c>
      <c r="AB27" s="80">
        <f>SUMIFS('июль 2024'!$G$4:$G$1872,'июль 2024'!$D$4:$D$1872,$B27,'июль 2024'!$J$4:$J$1872,AB$1)</f>
        <v>0</v>
      </c>
      <c r="AC27" s="80">
        <f>SUMIFS('июль 2024'!$G$4:$G$1872,'июль 2024'!$D$4:$D$1872,$B27,'июль 2024'!$J$4:$J$1872,AC$1)</f>
        <v>0</v>
      </c>
      <c r="AD27" s="80">
        <f>SUMIFS('июль 2024'!$G$4:$G$1872,'июль 2024'!$D$4:$D$1872,$B27,'июль 2024'!$J$4:$J$1872,AD$1)</f>
        <v>0</v>
      </c>
      <c r="AE27" s="80">
        <f>SUMIFS('июль 2024'!$G$4:$G$1872,'июль 2024'!$D$4:$D$1872,$B27,'июль 2024'!$J$4:$J$1872,AE$1)</f>
        <v>0</v>
      </c>
      <c r="AF27" s="80">
        <f>SUMIFS('июль 2024'!$G$4:$G$1872,'июль 2024'!$D$4:$D$1872,$B27,'июль 2024'!$J$4:$J$1872,AF$1)</f>
        <v>0</v>
      </c>
      <c r="AG27" s="80">
        <f>SUMIFS('июль 2024'!$G$4:$G$1872,'июль 2024'!$D$4:$D$1872,$B27,'июль 2024'!$J$4:$J$1872,AG$1)</f>
        <v>0</v>
      </c>
      <c r="AH27" s="80">
        <f>SUMIFS('июль 2024'!$G$4:$G$1872,'июль 2024'!$D$4:$D$1872,$B27,'июль 2024'!$J$4:$J$1872,AH$1)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80">
        <f>SUMIFS('июль 2024'!$G$4:$G$1872,'июль 2024'!$D$4:$D$1872,$B28,'июль 2024'!$J$4:$J$1872,D$1)</f>
        <v>0</v>
      </c>
      <c r="E28" s="80">
        <f>SUMIFS('июль 2024'!$G$4:$G$1872,'июль 2024'!$D$4:$D$1872,$B28,'июль 2024'!$J$4:$J$1872,E$1)</f>
        <v>0</v>
      </c>
      <c r="F28" s="80">
        <f>SUMIFS('июль 2024'!$G$4:$G$1872,'июль 2024'!$D$4:$D$1872,$B28,'июль 2024'!$J$4:$J$1872,F$1)</f>
        <v>0</v>
      </c>
      <c r="G28" s="80">
        <f>SUMIFS('июль 2024'!$G$4:$G$1872,'июль 2024'!$D$4:$D$1872,$B28,'июль 2024'!$J$4:$J$1872,G$1)</f>
        <v>0</v>
      </c>
      <c r="H28" s="80">
        <f>SUMIFS('июль 2024'!$G$4:$G$1872,'июль 2024'!$D$4:$D$1872,$B28,'июль 2024'!$J$4:$J$1872,H$1)</f>
        <v>0</v>
      </c>
      <c r="I28" s="80">
        <f>SUMIFS('июль 2024'!$G$4:$G$1872,'июль 2024'!$D$4:$D$1872,$B28,'июль 2024'!$J$4:$J$1872,I$1)</f>
        <v>0</v>
      </c>
      <c r="J28" s="80">
        <f>SUMIFS('июль 2024'!$G$4:$G$1872,'июль 2024'!$D$4:$D$1872,$B28,'июль 2024'!$J$4:$J$1872,J$1)</f>
        <v>0</v>
      </c>
      <c r="K28" s="80">
        <f>SUMIFS('июль 2024'!$G$4:$G$1872,'июль 2024'!$D$4:$D$1872,$B28,'июль 2024'!$J$4:$J$1872,K$1)</f>
        <v>0</v>
      </c>
      <c r="L28" s="80">
        <f>SUMIFS('июль 2024'!$G$4:$G$1872,'июль 2024'!$D$4:$D$1872,$B28,'июль 2024'!$J$4:$J$1872,L$1)</f>
        <v>0</v>
      </c>
      <c r="M28" s="80">
        <f>SUMIFS('июль 2024'!$G$4:$G$1872,'июль 2024'!$D$4:$D$1872,$B28,'июль 2024'!$J$4:$J$1872,M$1)</f>
        <v>0</v>
      </c>
      <c r="N28" s="80">
        <f>SUMIFS('июль 2024'!$G$4:$G$1872,'июль 2024'!$D$4:$D$1872,$B28,'июль 2024'!$J$4:$J$1872,N$1)</f>
        <v>0</v>
      </c>
      <c r="O28" s="80">
        <f>SUMIFS('июль 2024'!$G$4:$G$1872,'июль 2024'!$D$4:$D$1872,$B28,'июль 2024'!$J$4:$J$1872,O$1)</f>
        <v>0</v>
      </c>
      <c r="P28" s="80">
        <f>SUMIFS('июль 2024'!$G$4:$G$1872,'июль 2024'!$D$4:$D$1872,$B28,'июль 2024'!$J$4:$J$1872,P$1)</f>
        <v>0</v>
      </c>
      <c r="Q28" s="80">
        <f>SUMIFS('июль 2024'!$G$4:$G$1872,'июль 2024'!$D$4:$D$1872,$B28,'июль 2024'!$J$4:$J$1872,Q$1)</f>
        <v>0</v>
      </c>
      <c r="R28" s="80">
        <f>SUMIFS('июль 2024'!$G$4:$G$1872,'июль 2024'!$D$4:$D$1872,$B28,'июль 2024'!$J$4:$J$1872,R$1)</f>
        <v>0</v>
      </c>
      <c r="S28" s="80">
        <f>SUMIFS('июль 2024'!$G$4:$G$1872,'июль 2024'!$D$4:$D$1872,$B28,'июль 2024'!$J$4:$J$1872,S$1)</f>
        <v>0</v>
      </c>
      <c r="T28" s="80">
        <f>SUMIFS('июль 2024'!$G$4:$G$1872,'июль 2024'!$D$4:$D$1872,$B28,'июль 2024'!$J$4:$J$1872,T$1)</f>
        <v>0</v>
      </c>
      <c r="U28" s="80">
        <f>SUMIFS('июль 2024'!$G$4:$G$1872,'июль 2024'!$D$4:$D$1872,$B28,'июль 2024'!$J$4:$J$1872,U$1)</f>
        <v>0</v>
      </c>
      <c r="V28" s="80">
        <f>SUMIFS('июль 2024'!$G$4:$G$1872,'июль 2024'!$D$4:$D$1872,$B28,'июль 2024'!$J$4:$J$1872,V$1)</f>
        <v>0</v>
      </c>
      <c r="W28" s="80">
        <f>SUMIFS('июль 2024'!$G$4:$G$1872,'июль 2024'!$D$4:$D$1872,$B28,'июль 2024'!$J$4:$J$1872,W$1)</f>
        <v>0</v>
      </c>
      <c r="X28" s="80">
        <f>SUMIFS('июль 2024'!$G$4:$G$1872,'июль 2024'!$D$4:$D$1872,$B28,'июль 2024'!$J$4:$J$1872,X$1)</f>
        <v>0</v>
      </c>
      <c r="Y28" s="80">
        <f>SUMIFS('июль 2024'!$G$4:$G$1872,'июль 2024'!$D$4:$D$1872,$B28,'июль 2024'!$J$4:$J$1872,Y$1)</f>
        <v>0</v>
      </c>
      <c r="Z28" s="80">
        <f>SUMIFS('июль 2024'!$G$4:$G$1872,'июль 2024'!$D$4:$D$1872,$B28,'июль 2024'!$J$4:$J$1872,Z$1)</f>
        <v>0</v>
      </c>
      <c r="AA28" s="80">
        <f>SUMIFS('июль 2024'!$G$4:$G$1872,'июль 2024'!$D$4:$D$1872,$B28,'июль 2024'!$J$4:$J$1872,AA$1)</f>
        <v>0</v>
      </c>
      <c r="AB28" s="80">
        <f>SUMIFS('июль 2024'!$G$4:$G$1872,'июль 2024'!$D$4:$D$1872,$B28,'июль 2024'!$J$4:$J$1872,AB$1)</f>
        <v>0</v>
      </c>
      <c r="AC28" s="80">
        <f>SUMIFS('июль 2024'!$G$4:$G$1872,'июль 2024'!$D$4:$D$1872,$B28,'июль 2024'!$J$4:$J$1872,AC$1)</f>
        <v>0</v>
      </c>
      <c r="AD28" s="80">
        <f>SUMIFS('июль 2024'!$G$4:$G$1872,'июль 2024'!$D$4:$D$1872,$B28,'июль 2024'!$J$4:$J$1872,AD$1)</f>
        <v>0</v>
      </c>
      <c r="AE28" s="80">
        <f>SUMIFS('июль 2024'!$G$4:$G$1872,'июль 2024'!$D$4:$D$1872,$B28,'июль 2024'!$J$4:$J$1872,AE$1)</f>
        <v>0</v>
      </c>
      <c r="AF28" s="80">
        <f>SUMIFS('июль 2024'!$G$4:$G$1872,'июль 2024'!$D$4:$D$1872,$B28,'июль 2024'!$J$4:$J$1872,AF$1)</f>
        <v>0</v>
      </c>
      <c r="AG28" s="80">
        <f>SUMIFS('июль 2024'!$G$4:$G$1872,'июль 2024'!$D$4:$D$1872,$B28,'июль 2024'!$J$4:$J$1872,AG$1)</f>
        <v>0</v>
      </c>
      <c r="AH28" s="80">
        <f>SUMIFS('июль 2024'!$G$4:$G$1872,'июль 2024'!$D$4:$D$1872,$B28,'июль 2024'!$J$4:$J$1872,AH$1)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80">
        <f>SUMIFS('июль 2024'!$G$4:$G$1872,'июль 2024'!$D$4:$D$1872,$B29,'июль 2024'!$J$4:$J$1872,D$1)</f>
        <v>0</v>
      </c>
      <c r="E29" s="80">
        <f>SUMIFS('июль 2024'!$G$4:$G$1872,'июль 2024'!$D$4:$D$1872,$B29,'июль 2024'!$J$4:$J$1872,E$1)</f>
        <v>0</v>
      </c>
      <c r="F29" s="80">
        <f>SUMIFS('июль 2024'!$G$4:$G$1872,'июль 2024'!$D$4:$D$1872,$B29,'июль 2024'!$J$4:$J$1872,F$1)</f>
        <v>0</v>
      </c>
      <c r="G29" s="80">
        <f>SUMIFS('июль 2024'!$G$4:$G$1872,'июль 2024'!$D$4:$D$1872,$B29,'июль 2024'!$J$4:$J$1872,G$1)</f>
        <v>0</v>
      </c>
      <c r="H29" s="80">
        <f>SUMIFS('июль 2024'!$G$4:$G$1872,'июль 2024'!$D$4:$D$1872,$B29,'июль 2024'!$J$4:$J$1872,H$1)</f>
        <v>0</v>
      </c>
      <c r="I29" s="80">
        <f>SUMIFS('июль 2024'!$G$4:$G$1872,'июль 2024'!$D$4:$D$1872,$B29,'июль 2024'!$J$4:$J$1872,I$1)</f>
        <v>0</v>
      </c>
      <c r="J29" s="80">
        <f>SUMIFS('июль 2024'!$G$4:$G$1872,'июль 2024'!$D$4:$D$1872,$B29,'июль 2024'!$J$4:$J$1872,J$1)</f>
        <v>0</v>
      </c>
      <c r="K29" s="80">
        <f>SUMIFS('июль 2024'!$G$4:$G$1872,'июль 2024'!$D$4:$D$1872,$B29,'июль 2024'!$J$4:$J$1872,K$1)</f>
        <v>0</v>
      </c>
      <c r="L29" s="80">
        <f>SUMIFS('июль 2024'!$G$4:$G$1872,'июль 2024'!$D$4:$D$1872,$B29,'июль 2024'!$J$4:$J$1872,L$1)</f>
        <v>0</v>
      </c>
      <c r="M29" s="80">
        <f>SUMIFS('июль 2024'!$G$4:$G$1872,'июль 2024'!$D$4:$D$1872,$B29,'июль 2024'!$J$4:$J$1872,M$1)</f>
        <v>0</v>
      </c>
      <c r="N29" s="80">
        <f>SUMIFS('июль 2024'!$G$4:$G$1872,'июль 2024'!$D$4:$D$1872,$B29,'июль 2024'!$J$4:$J$1872,N$1)</f>
        <v>0</v>
      </c>
      <c r="O29" s="80">
        <f>SUMIFS('июль 2024'!$G$4:$G$1872,'июль 2024'!$D$4:$D$1872,$B29,'июль 2024'!$J$4:$J$1872,O$1)</f>
        <v>0</v>
      </c>
      <c r="P29" s="80">
        <f>SUMIFS('июль 2024'!$G$4:$G$1872,'июль 2024'!$D$4:$D$1872,$B29,'июль 2024'!$J$4:$J$1872,P$1)</f>
        <v>0</v>
      </c>
      <c r="Q29" s="80">
        <f>SUMIFS('июль 2024'!$G$4:$G$1872,'июль 2024'!$D$4:$D$1872,$B29,'июль 2024'!$J$4:$J$1872,Q$1)</f>
        <v>0</v>
      </c>
      <c r="R29" s="80">
        <f>SUMIFS('июль 2024'!$G$4:$G$1872,'июль 2024'!$D$4:$D$1872,$B29,'июль 2024'!$J$4:$J$1872,R$1)</f>
        <v>0</v>
      </c>
      <c r="S29" s="80">
        <f>SUMIFS('июль 2024'!$G$4:$G$1872,'июль 2024'!$D$4:$D$1872,$B29,'июль 2024'!$J$4:$J$1872,S$1)</f>
        <v>0</v>
      </c>
      <c r="T29" s="80">
        <f>SUMIFS('июль 2024'!$G$4:$G$1872,'июль 2024'!$D$4:$D$1872,$B29,'июль 2024'!$J$4:$J$1872,T$1)</f>
        <v>0</v>
      </c>
      <c r="U29" s="80">
        <f>SUMIFS('июль 2024'!$G$4:$G$1872,'июль 2024'!$D$4:$D$1872,$B29,'июль 2024'!$J$4:$J$1872,U$1)</f>
        <v>0</v>
      </c>
      <c r="V29" s="80">
        <f>SUMIFS('июль 2024'!$G$4:$G$1872,'июль 2024'!$D$4:$D$1872,$B29,'июль 2024'!$J$4:$J$1872,V$1)</f>
        <v>0</v>
      </c>
      <c r="W29" s="80">
        <f>SUMIFS('июль 2024'!$G$4:$G$1872,'июль 2024'!$D$4:$D$1872,$B29,'июль 2024'!$J$4:$J$1872,W$1)</f>
        <v>0</v>
      </c>
      <c r="X29" s="80">
        <f>SUMIFS('июль 2024'!$G$4:$G$1872,'июль 2024'!$D$4:$D$1872,$B29,'июль 2024'!$J$4:$J$1872,X$1)</f>
        <v>0</v>
      </c>
      <c r="Y29" s="80">
        <f>SUMIFS('июль 2024'!$G$4:$G$1872,'июль 2024'!$D$4:$D$1872,$B29,'июль 2024'!$J$4:$J$1872,Y$1)</f>
        <v>0</v>
      </c>
      <c r="Z29" s="80">
        <f>SUMIFS('июль 2024'!$G$4:$G$1872,'июль 2024'!$D$4:$D$1872,$B29,'июль 2024'!$J$4:$J$1872,Z$1)</f>
        <v>0</v>
      </c>
      <c r="AA29" s="80">
        <f>SUMIFS('июль 2024'!$G$4:$G$1872,'июль 2024'!$D$4:$D$1872,$B29,'июль 2024'!$J$4:$J$1872,AA$1)</f>
        <v>0</v>
      </c>
      <c r="AB29" s="80">
        <f>SUMIFS('июль 2024'!$G$4:$G$1872,'июль 2024'!$D$4:$D$1872,$B29,'июль 2024'!$J$4:$J$1872,AB$1)</f>
        <v>0</v>
      </c>
      <c r="AC29" s="80">
        <f>SUMIFS('июль 2024'!$G$4:$G$1872,'июль 2024'!$D$4:$D$1872,$B29,'июль 2024'!$J$4:$J$1872,AC$1)</f>
        <v>0</v>
      </c>
      <c r="AD29" s="80">
        <f>SUMIFS('июль 2024'!$G$4:$G$1872,'июль 2024'!$D$4:$D$1872,$B29,'июль 2024'!$J$4:$J$1872,AD$1)</f>
        <v>0</v>
      </c>
      <c r="AE29" s="80">
        <f>SUMIFS('июль 2024'!$G$4:$G$1872,'июль 2024'!$D$4:$D$1872,$B29,'июль 2024'!$J$4:$J$1872,AE$1)</f>
        <v>0</v>
      </c>
      <c r="AF29" s="80">
        <f>SUMIFS('июль 2024'!$G$4:$G$1872,'июль 2024'!$D$4:$D$1872,$B29,'июль 2024'!$J$4:$J$1872,AF$1)</f>
        <v>0</v>
      </c>
      <c r="AG29" s="80">
        <f>SUMIFS('июль 2024'!$G$4:$G$1872,'июль 2024'!$D$4:$D$1872,$B29,'июль 2024'!$J$4:$J$1872,AG$1)</f>
        <v>0</v>
      </c>
      <c r="AH29" s="80">
        <f>SUMIFS('июль 2024'!$G$4:$G$1872,'июль 2024'!$D$4:$D$1872,$B29,'июль 2024'!$J$4:$J$1872,AH$1)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SUMIFS('июль 2024'!$G$4:$G$1872,'июль 2024'!$D$4:$D$1872,$B30,'июль 2024'!$J$4:$J$1872,D$1)</f>
        <v>0</v>
      </c>
      <c r="E30" s="80">
        <f>SUMIFS('июль 2024'!$G$4:$G$1872,'июль 2024'!$D$4:$D$1872,$B30,'июль 2024'!$J$4:$J$1872,E$1)</f>
        <v>0</v>
      </c>
      <c r="F30" s="80">
        <f>SUMIFS('июль 2024'!$G$4:$G$1872,'июль 2024'!$D$4:$D$1872,$B30,'июль 2024'!$J$4:$J$1872,F$1)</f>
        <v>0</v>
      </c>
      <c r="G30" s="80">
        <f>SUMIFS('июль 2024'!$G$4:$G$1872,'июль 2024'!$D$4:$D$1872,$B30,'июль 2024'!$J$4:$J$1872,G$1)</f>
        <v>0</v>
      </c>
      <c r="H30" s="80">
        <f>SUMIFS('июль 2024'!$G$4:$G$1872,'июль 2024'!$D$4:$D$1872,$B30,'июль 2024'!$J$4:$J$1872,H$1)</f>
        <v>0</v>
      </c>
      <c r="I30" s="80">
        <f>SUMIFS('июль 2024'!$G$4:$G$1872,'июль 2024'!$D$4:$D$1872,$B30,'июль 2024'!$J$4:$J$1872,I$1)</f>
        <v>0</v>
      </c>
      <c r="J30" s="80">
        <f>SUMIFS('июль 2024'!$G$4:$G$1872,'июль 2024'!$D$4:$D$1872,$B30,'июль 2024'!$J$4:$J$1872,J$1)</f>
        <v>0</v>
      </c>
      <c r="K30" s="80">
        <f>SUMIFS('июль 2024'!$G$4:$G$1872,'июль 2024'!$D$4:$D$1872,$B30,'июль 2024'!$J$4:$J$1872,K$1)</f>
        <v>0</v>
      </c>
      <c r="L30" s="80">
        <f>SUMIFS('июль 2024'!$G$4:$G$1872,'июль 2024'!$D$4:$D$1872,$B30,'июль 2024'!$J$4:$J$1872,L$1)</f>
        <v>0</v>
      </c>
      <c r="M30" s="80">
        <f>SUMIFS('июль 2024'!$G$4:$G$1872,'июль 2024'!$D$4:$D$1872,$B30,'июль 2024'!$J$4:$J$1872,M$1)</f>
        <v>0</v>
      </c>
      <c r="N30" s="80">
        <f>SUMIFS('июль 2024'!$G$4:$G$1872,'июль 2024'!$D$4:$D$1872,$B30,'июль 2024'!$J$4:$J$1872,N$1)</f>
        <v>0</v>
      </c>
      <c r="O30" s="80">
        <f>SUMIFS('июль 2024'!$G$4:$G$1872,'июль 2024'!$D$4:$D$1872,$B30,'июль 2024'!$J$4:$J$1872,O$1)</f>
        <v>0</v>
      </c>
      <c r="P30" s="80">
        <f>SUMIFS('июль 2024'!$G$4:$G$1872,'июль 2024'!$D$4:$D$1872,$B30,'июль 2024'!$J$4:$J$1872,P$1)</f>
        <v>0</v>
      </c>
      <c r="Q30" s="80">
        <f>SUMIFS('июль 2024'!$G$4:$G$1872,'июль 2024'!$D$4:$D$1872,$B30,'июль 2024'!$J$4:$J$1872,Q$1)</f>
        <v>0</v>
      </c>
      <c r="R30" s="80">
        <f>SUMIFS('июль 2024'!$G$4:$G$1872,'июль 2024'!$D$4:$D$1872,$B30,'июль 2024'!$J$4:$J$1872,R$1)</f>
        <v>0</v>
      </c>
      <c r="S30" s="80">
        <f>SUMIFS('июль 2024'!$G$4:$G$1872,'июль 2024'!$D$4:$D$1872,$B30,'июль 2024'!$J$4:$J$1872,S$1)</f>
        <v>0</v>
      </c>
      <c r="T30" s="80">
        <f>SUMIFS('июль 2024'!$G$4:$G$1872,'июль 2024'!$D$4:$D$1872,$B30,'июль 2024'!$J$4:$J$1872,T$1)</f>
        <v>0</v>
      </c>
      <c r="U30" s="80">
        <f>SUMIFS('июль 2024'!$G$4:$G$1872,'июль 2024'!$D$4:$D$1872,$B30,'июль 2024'!$J$4:$J$1872,U$1)</f>
        <v>0</v>
      </c>
      <c r="V30" s="80">
        <f>SUMIFS('июль 2024'!$G$4:$G$1872,'июль 2024'!$D$4:$D$1872,$B30,'июль 2024'!$J$4:$J$1872,V$1)</f>
        <v>0</v>
      </c>
      <c r="W30" s="80">
        <f>SUMIFS('июль 2024'!$G$4:$G$1872,'июль 2024'!$D$4:$D$1872,$B30,'июль 2024'!$J$4:$J$1872,W$1)</f>
        <v>0</v>
      </c>
      <c r="X30" s="80">
        <f>SUMIFS('июль 2024'!$G$4:$G$1872,'июль 2024'!$D$4:$D$1872,$B30,'июль 2024'!$J$4:$J$1872,X$1)</f>
        <v>0</v>
      </c>
      <c r="Y30" s="80">
        <f>SUMIFS('июль 2024'!$G$4:$G$1872,'июль 2024'!$D$4:$D$1872,$B30,'июль 2024'!$J$4:$J$1872,Y$1)</f>
        <v>0</v>
      </c>
      <c r="Z30" s="80">
        <f>SUMIFS('июль 2024'!$G$4:$G$1872,'июль 2024'!$D$4:$D$1872,$B30,'июль 2024'!$J$4:$J$1872,Z$1)</f>
        <v>0</v>
      </c>
      <c r="AA30" s="80">
        <f>SUMIFS('июль 2024'!$G$4:$G$1872,'июль 2024'!$D$4:$D$1872,$B30,'июль 2024'!$J$4:$J$1872,AA$1)</f>
        <v>0</v>
      </c>
      <c r="AB30" s="80">
        <f>SUMIFS('июль 2024'!$G$4:$G$1872,'июль 2024'!$D$4:$D$1872,$B30,'июль 2024'!$J$4:$J$1872,AB$1)</f>
        <v>0</v>
      </c>
      <c r="AC30" s="80">
        <f>SUMIFS('июль 2024'!$G$4:$G$1872,'июль 2024'!$D$4:$D$1872,$B30,'июль 2024'!$J$4:$J$1872,AC$1)</f>
        <v>0</v>
      </c>
      <c r="AD30" s="80">
        <f>SUMIFS('июль 2024'!$G$4:$G$1872,'июль 2024'!$D$4:$D$1872,$B30,'июль 2024'!$J$4:$J$1872,AD$1)</f>
        <v>0</v>
      </c>
      <c r="AE30" s="80">
        <f>SUMIFS('июль 2024'!$G$4:$G$1872,'июль 2024'!$D$4:$D$1872,$B30,'июль 2024'!$J$4:$J$1872,AE$1)</f>
        <v>0</v>
      </c>
      <c r="AF30" s="80">
        <f>SUMIFS('июль 2024'!$G$4:$G$1872,'июль 2024'!$D$4:$D$1872,$B30,'июль 2024'!$J$4:$J$1872,AF$1)</f>
        <v>0</v>
      </c>
      <c r="AG30" s="80">
        <f>SUMIFS('июль 2024'!$G$4:$G$1872,'июль 2024'!$D$4:$D$1872,$B30,'июль 2024'!$J$4:$J$1872,AG$1)</f>
        <v>0</v>
      </c>
      <c r="AH30" s="80">
        <f>SUMIFS('июль 2024'!$G$4:$G$1872,'июль 2024'!$D$4:$D$1872,$B30,'июль 2024'!$J$4:$J$1872,AH$1)</f>
        <v>0</v>
      </c>
      <c r="AI30" s="21">
        <f t="shared" si="1"/>
        <v>0</v>
      </c>
    </row>
    <row r="31" spans="2:35" ht="15" customHeight="1" x14ac:dyDescent="0.25">
      <c r="B31" s="84"/>
      <c r="C31" s="82"/>
      <c r="D31" s="80">
        <f>SUMIFS('июль 2024'!$G$4:$G$1872,'июль 2024'!$D$4:$D$1872,$B31,'июль 2024'!$J$4:$J$1872,D$1)</f>
        <v>0</v>
      </c>
      <c r="E31" s="80">
        <f>SUMIFS('июль 2024'!$G$4:$G$1872,'июль 2024'!$D$4:$D$1872,$B31,'июль 2024'!$J$4:$J$1872,E$1)</f>
        <v>0</v>
      </c>
      <c r="F31" s="80">
        <f>SUMIFS('июль 2024'!$G$4:$G$1872,'июль 2024'!$D$4:$D$1872,$B31,'июль 2024'!$J$4:$J$1872,F$1)</f>
        <v>0</v>
      </c>
      <c r="G31" s="80">
        <f>SUMIFS('июль 2024'!$G$4:$G$1872,'июль 2024'!$D$4:$D$1872,$B31,'июль 2024'!$J$4:$J$1872,G$1)</f>
        <v>0</v>
      </c>
      <c r="H31" s="80">
        <f>SUMIFS('июль 2024'!$G$4:$G$1872,'июль 2024'!$D$4:$D$1872,$B31,'июль 2024'!$J$4:$J$1872,H$1)</f>
        <v>0</v>
      </c>
      <c r="I31" s="80">
        <f>SUMIFS('июль 2024'!$G$4:$G$1872,'июль 2024'!$D$4:$D$1872,$B31,'июль 2024'!$J$4:$J$1872,I$1)</f>
        <v>0</v>
      </c>
      <c r="J31" s="80">
        <f>SUMIFS('июль 2024'!$G$4:$G$1872,'июль 2024'!$D$4:$D$1872,$B31,'июль 2024'!$J$4:$J$1872,J$1)</f>
        <v>0</v>
      </c>
      <c r="K31" s="80">
        <f>SUMIFS('июль 2024'!$G$4:$G$1872,'июль 2024'!$D$4:$D$1872,$B31,'июль 2024'!$J$4:$J$1872,K$1)</f>
        <v>0</v>
      </c>
      <c r="L31" s="80">
        <f>SUMIFS('июль 2024'!$G$4:$G$1872,'июль 2024'!$D$4:$D$1872,$B31,'июль 2024'!$J$4:$J$1872,L$1)</f>
        <v>0</v>
      </c>
      <c r="M31" s="80">
        <f>SUMIFS('июль 2024'!$G$4:$G$1872,'июль 2024'!$D$4:$D$1872,$B31,'июль 2024'!$J$4:$J$1872,M$1)</f>
        <v>0</v>
      </c>
      <c r="N31" s="80">
        <f>SUMIFS('июль 2024'!$G$4:$G$1872,'июль 2024'!$D$4:$D$1872,$B31,'июль 2024'!$J$4:$J$1872,N$1)</f>
        <v>0</v>
      </c>
      <c r="O31" s="80">
        <f>SUMIFS('июль 2024'!$G$4:$G$1872,'июль 2024'!$D$4:$D$1872,$B31,'июль 2024'!$J$4:$J$1872,O$1)</f>
        <v>0</v>
      </c>
      <c r="P31" s="80">
        <f>SUMIFS('июль 2024'!$G$4:$G$1872,'июль 2024'!$D$4:$D$1872,$B31,'июль 2024'!$J$4:$J$1872,P$1)</f>
        <v>0</v>
      </c>
      <c r="Q31" s="80">
        <f>SUMIFS('июль 2024'!$G$4:$G$1872,'июль 2024'!$D$4:$D$1872,$B31,'июль 2024'!$J$4:$J$1872,Q$1)</f>
        <v>0</v>
      </c>
      <c r="R31" s="80">
        <f>SUMIFS('июль 2024'!$G$4:$G$1872,'июль 2024'!$D$4:$D$1872,$B31,'июль 2024'!$J$4:$J$1872,R$1)</f>
        <v>0</v>
      </c>
      <c r="S31" s="80">
        <f>SUMIFS('июль 2024'!$G$4:$G$1872,'июль 2024'!$D$4:$D$1872,$B31,'июль 2024'!$J$4:$J$1872,S$1)</f>
        <v>0</v>
      </c>
      <c r="T31" s="80">
        <f>SUMIFS('июль 2024'!$G$4:$G$1872,'июль 2024'!$D$4:$D$1872,$B31,'июль 2024'!$J$4:$J$1872,T$1)</f>
        <v>0</v>
      </c>
      <c r="U31" s="80">
        <f>SUMIFS('июль 2024'!$G$4:$G$1872,'июль 2024'!$D$4:$D$1872,$B31,'июль 2024'!$J$4:$J$1872,U$1)</f>
        <v>0</v>
      </c>
      <c r="V31" s="80">
        <f>SUMIFS('июль 2024'!$G$4:$G$1872,'июль 2024'!$D$4:$D$1872,$B31,'июль 2024'!$J$4:$J$1872,V$1)</f>
        <v>0</v>
      </c>
      <c r="W31" s="80">
        <f>SUMIFS('июль 2024'!$G$4:$G$1872,'июль 2024'!$D$4:$D$1872,$B31,'июль 2024'!$J$4:$J$1872,W$1)</f>
        <v>0</v>
      </c>
      <c r="X31" s="80">
        <f>SUMIFS('июль 2024'!$G$4:$G$1872,'июль 2024'!$D$4:$D$1872,$B31,'июль 2024'!$J$4:$J$1872,X$1)</f>
        <v>0</v>
      </c>
      <c r="Y31" s="80">
        <f>SUMIFS('июль 2024'!$G$4:$G$1872,'июль 2024'!$D$4:$D$1872,$B31,'июль 2024'!$J$4:$J$1872,Y$1)</f>
        <v>0</v>
      </c>
      <c r="Z31" s="80">
        <f>SUMIFS('июль 2024'!$G$4:$G$1872,'июль 2024'!$D$4:$D$1872,$B31,'июль 2024'!$J$4:$J$1872,Z$1)</f>
        <v>0</v>
      </c>
      <c r="AA31" s="80">
        <f>SUMIFS('июль 2024'!$G$4:$G$1872,'июль 2024'!$D$4:$D$1872,$B31,'июль 2024'!$J$4:$J$1872,AA$1)</f>
        <v>0</v>
      </c>
      <c r="AB31" s="80">
        <f>SUMIFS('июль 2024'!$G$4:$G$1872,'июль 2024'!$D$4:$D$1872,$B31,'июль 2024'!$J$4:$J$1872,AB$1)</f>
        <v>0</v>
      </c>
      <c r="AC31" s="80">
        <f>SUMIFS('июль 2024'!$G$4:$G$1872,'июль 2024'!$D$4:$D$1872,$B31,'июль 2024'!$J$4:$J$1872,AC$1)</f>
        <v>0</v>
      </c>
      <c r="AD31" s="80">
        <f>SUMIFS('июль 2024'!$G$4:$G$1872,'июль 2024'!$D$4:$D$1872,$B31,'июль 2024'!$J$4:$J$1872,AD$1)</f>
        <v>0</v>
      </c>
      <c r="AE31" s="80">
        <f>SUMIFS('июль 2024'!$G$4:$G$1872,'июль 2024'!$D$4:$D$1872,$B31,'июль 2024'!$J$4:$J$1872,AE$1)</f>
        <v>0</v>
      </c>
      <c r="AF31" s="80">
        <f>SUMIFS('июль 2024'!$G$4:$G$1872,'июль 2024'!$D$4:$D$1872,$B31,'июль 2024'!$J$4:$J$1872,AF$1)</f>
        <v>0</v>
      </c>
      <c r="AG31" s="80">
        <f>SUMIFS('июль 2024'!$G$4:$G$1872,'июль 2024'!$D$4:$D$1872,$B31,'июль 2024'!$J$4:$J$1872,AG$1)</f>
        <v>0</v>
      </c>
      <c r="AH31" s="80">
        <f>SUMIFS('июль 2024'!$G$4:$G$1872,'июль 2024'!$D$4:$D$1872,$B31,'июль 2024'!$J$4:$J$1872,AH$1)</f>
        <v>0</v>
      </c>
      <c r="AI31" s="21">
        <f t="shared" si="1"/>
        <v>0</v>
      </c>
    </row>
    <row r="32" spans="2:35" ht="15" customHeight="1" x14ac:dyDescent="0.25">
      <c r="B32" s="84"/>
      <c r="C32" s="82"/>
      <c r="D32" s="80">
        <f>SUMIFS('июль 2024'!$G$4:$G$1872,'июль 2024'!$D$4:$D$1872,$B32,'июль 2024'!$J$4:$J$1872,D$1)</f>
        <v>0</v>
      </c>
      <c r="E32" s="80">
        <f>SUMIFS('июль 2024'!$G$4:$G$1872,'июль 2024'!$D$4:$D$1872,$B32,'июль 2024'!$J$4:$J$1872,E$1)</f>
        <v>0</v>
      </c>
      <c r="F32" s="80">
        <f>SUMIFS('июль 2024'!$G$4:$G$1872,'июль 2024'!$D$4:$D$1872,$B32,'июль 2024'!$J$4:$J$1872,F$1)</f>
        <v>0</v>
      </c>
      <c r="G32" s="80">
        <f>SUMIFS('июль 2024'!$G$4:$G$1872,'июль 2024'!$D$4:$D$1872,$B32,'июль 2024'!$J$4:$J$1872,G$1)</f>
        <v>0</v>
      </c>
      <c r="H32" s="80">
        <f>SUMIFS('июль 2024'!$G$4:$G$1872,'июль 2024'!$D$4:$D$1872,$B32,'июль 2024'!$J$4:$J$1872,H$1)</f>
        <v>0</v>
      </c>
      <c r="I32" s="80">
        <f>SUMIFS('июль 2024'!$G$4:$G$1872,'июль 2024'!$D$4:$D$1872,$B32,'июль 2024'!$J$4:$J$1872,I$1)</f>
        <v>0</v>
      </c>
      <c r="J32" s="80">
        <f>SUMIFS('июль 2024'!$G$4:$G$1872,'июль 2024'!$D$4:$D$1872,$B32,'июль 2024'!$J$4:$J$1872,J$1)</f>
        <v>0</v>
      </c>
      <c r="K32" s="80">
        <f>SUMIFS('июль 2024'!$G$4:$G$1872,'июль 2024'!$D$4:$D$1872,$B32,'июль 2024'!$J$4:$J$1872,K$1)</f>
        <v>0</v>
      </c>
      <c r="L32" s="80">
        <f>SUMIFS('июль 2024'!$G$4:$G$1872,'июль 2024'!$D$4:$D$1872,$B32,'июль 2024'!$J$4:$J$1872,L$1)</f>
        <v>0</v>
      </c>
      <c r="M32" s="80">
        <f>SUMIFS('июль 2024'!$G$4:$G$1872,'июль 2024'!$D$4:$D$1872,$B32,'июль 2024'!$J$4:$J$1872,M$1)</f>
        <v>0</v>
      </c>
      <c r="N32" s="80">
        <f>SUMIFS('июль 2024'!$G$4:$G$1872,'июль 2024'!$D$4:$D$1872,$B32,'июль 2024'!$J$4:$J$1872,N$1)</f>
        <v>0</v>
      </c>
      <c r="O32" s="80">
        <f>SUMIFS('июль 2024'!$G$4:$G$1872,'июль 2024'!$D$4:$D$1872,$B32,'июль 2024'!$J$4:$J$1872,O$1)</f>
        <v>0</v>
      </c>
      <c r="P32" s="80">
        <f>SUMIFS('июль 2024'!$G$4:$G$1872,'июль 2024'!$D$4:$D$1872,$B32,'июль 2024'!$J$4:$J$1872,P$1)</f>
        <v>0</v>
      </c>
      <c r="Q32" s="80">
        <f>SUMIFS('июль 2024'!$G$4:$G$1872,'июль 2024'!$D$4:$D$1872,$B32,'июль 2024'!$J$4:$J$1872,Q$1)</f>
        <v>0</v>
      </c>
      <c r="R32" s="80">
        <f>SUMIFS('июль 2024'!$G$4:$G$1872,'июль 2024'!$D$4:$D$1872,$B32,'июль 2024'!$J$4:$J$1872,R$1)</f>
        <v>0</v>
      </c>
      <c r="S32" s="80">
        <f>SUMIFS('июль 2024'!$G$4:$G$1872,'июль 2024'!$D$4:$D$1872,$B32,'июль 2024'!$J$4:$J$1872,S$1)</f>
        <v>0</v>
      </c>
      <c r="T32" s="80">
        <f>SUMIFS('июль 2024'!$G$4:$G$1872,'июль 2024'!$D$4:$D$1872,$B32,'июль 2024'!$J$4:$J$1872,T$1)</f>
        <v>0</v>
      </c>
      <c r="U32" s="80">
        <f>SUMIFS('июль 2024'!$G$4:$G$1872,'июль 2024'!$D$4:$D$1872,$B32,'июль 2024'!$J$4:$J$1872,U$1)</f>
        <v>0</v>
      </c>
      <c r="V32" s="80">
        <f>SUMIFS('июль 2024'!$G$4:$G$1872,'июль 2024'!$D$4:$D$1872,$B32,'июль 2024'!$J$4:$J$1872,V$1)</f>
        <v>0</v>
      </c>
      <c r="W32" s="80">
        <f>SUMIFS('июль 2024'!$G$4:$G$1872,'июль 2024'!$D$4:$D$1872,$B32,'июль 2024'!$J$4:$J$1872,W$1)</f>
        <v>0</v>
      </c>
      <c r="X32" s="80">
        <f>SUMIFS('июль 2024'!$G$4:$G$1872,'июль 2024'!$D$4:$D$1872,$B32,'июль 2024'!$J$4:$J$1872,X$1)</f>
        <v>0</v>
      </c>
      <c r="Y32" s="80">
        <f>SUMIFS('июль 2024'!$G$4:$G$1872,'июль 2024'!$D$4:$D$1872,$B32,'июль 2024'!$J$4:$J$1872,Y$1)</f>
        <v>0</v>
      </c>
      <c r="Z32" s="80">
        <f>SUMIFS('июль 2024'!$G$4:$G$1872,'июль 2024'!$D$4:$D$1872,$B32,'июль 2024'!$J$4:$J$1872,Z$1)</f>
        <v>0</v>
      </c>
      <c r="AA32" s="80">
        <f>SUMIFS('июль 2024'!$G$4:$G$1872,'июль 2024'!$D$4:$D$1872,$B32,'июль 2024'!$J$4:$J$1872,AA$1)</f>
        <v>0</v>
      </c>
      <c r="AB32" s="80">
        <f>SUMIFS('июль 2024'!$G$4:$G$1872,'июль 2024'!$D$4:$D$1872,$B32,'июль 2024'!$J$4:$J$1872,AB$1)</f>
        <v>0</v>
      </c>
      <c r="AC32" s="80">
        <f>SUMIFS('июль 2024'!$G$4:$G$1872,'июль 2024'!$D$4:$D$1872,$B32,'июль 2024'!$J$4:$J$1872,AC$1)</f>
        <v>0</v>
      </c>
      <c r="AD32" s="80">
        <f>SUMIFS('июль 2024'!$G$4:$G$1872,'июль 2024'!$D$4:$D$1872,$B32,'июль 2024'!$J$4:$J$1872,AD$1)</f>
        <v>0</v>
      </c>
      <c r="AE32" s="80">
        <f>SUMIFS('июль 2024'!$G$4:$G$1872,'июль 2024'!$D$4:$D$1872,$B32,'июль 2024'!$J$4:$J$1872,AE$1)</f>
        <v>0</v>
      </c>
      <c r="AF32" s="80">
        <f>SUMIFS('июль 2024'!$G$4:$G$1872,'июль 2024'!$D$4:$D$1872,$B32,'июль 2024'!$J$4:$J$1872,AF$1)</f>
        <v>0</v>
      </c>
      <c r="AG32" s="80">
        <f>SUMIFS('июль 2024'!$G$4:$G$1872,'июль 2024'!$D$4:$D$1872,$B32,'июль 2024'!$J$4:$J$1872,AG$1)</f>
        <v>0</v>
      </c>
      <c r="AH32" s="80">
        <f>SUMIFS('июль 2024'!$G$4:$G$1872,'июль 2024'!$D$4:$D$1872,$B32,'июль 2024'!$J$4:$J$1872,AH$1)</f>
        <v>0</v>
      </c>
      <c r="AI32" s="21">
        <f t="shared" si="1"/>
        <v>0</v>
      </c>
    </row>
    <row r="33" spans="2:35" ht="15" customHeight="1" x14ac:dyDescent="0.25">
      <c r="B33" s="142" t="s">
        <v>276</v>
      </c>
      <c r="C33" s="143">
        <v>25</v>
      </c>
      <c r="D33" s="80">
        <f>SUMIFS('июль 2024'!$G$4:$G$1872,'июль 2024'!$D$4:$D$1872,$B33,'июль 2024'!$J$4:$J$1872,D$1)</f>
        <v>0</v>
      </c>
      <c r="E33" s="80">
        <f>SUMIFS('июль 2024'!$G$4:$G$1872,'июль 2024'!$D$4:$D$1872,$B33,'июль 2024'!$J$4:$J$1872,E$1)</f>
        <v>0</v>
      </c>
      <c r="F33" s="80">
        <f>SUMIFS('июль 2024'!$G$4:$G$1872,'июль 2024'!$D$4:$D$1872,$B33,'июль 2024'!$J$4:$J$1872,F$1)</f>
        <v>0</v>
      </c>
      <c r="G33" s="80">
        <f>SUMIFS('июль 2024'!$G$4:$G$1872,'июль 2024'!$D$4:$D$1872,$B33,'июль 2024'!$J$4:$J$1872,G$1)</f>
        <v>0</v>
      </c>
      <c r="H33" s="80">
        <f>SUMIFS('июль 2024'!$G$4:$G$1872,'июль 2024'!$D$4:$D$1872,$B33,'июль 2024'!$J$4:$J$1872,H$1)</f>
        <v>0</v>
      </c>
      <c r="I33" s="80">
        <f>SUMIFS('июль 2024'!$G$4:$G$1872,'июль 2024'!$D$4:$D$1872,$B33,'июль 2024'!$J$4:$J$1872,I$1)</f>
        <v>0</v>
      </c>
      <c r="J33" s="80">
        <f>SUMIFS('июль 2024'!$G$4:$G$1872,'июль 2024'!$D$4:$D$1872,$B33,'июль 2024'!$J$4:$J$1872,J$1)</f>
        <v>0</v>
      </c>
      <c r="K33" s="80">
        <f>SUMIFS('июль 2024'!$G$4:$G$1872,'июль 2024'!$D$4:$D$1872,$B33,'июль 2024'!$J$4:$J$1872,K$1)</f>
        <v>0</v>
      </c>
      <c r="L33" s="80">
        <f>SUMIFS('июль 2024'!$G$4:$G$1872,'июль 2024'!$D$4:$D$1872,$B33,'июль 2024'!$J$4:$J$1872,L$1)</f>
        <v>0</v>
      </c>
      <c r="M33" s="80">
        <f>SUMIFS('июль 2024'!$G$4:$G$1872,'июль 2024'!$D$4:$D$1872,$B33,'июль 2024'!$J$4:$J$1872,M$1)</f>
        <v>0</v>
      </c>
      <c r="N33" s="80">
        <f>SUMIFS('июль 2024'!$G$4:$G$1872,'июль 2024'!$D$4:$D$1872,$B33,'июль 2024'!$J$4:$J$1872,N$1)</f>
        <v>0</v>
      </c>
      <c r="O33" s="80">
        <f>SUMIFS('июль 2024'!$G$4:$G$1872,'июль 2024'!$D$4:$D$1872,$B33,'июль 2024'!$J$4:$J$1872,O$1)</f>
        <v>0</v>
      </c>
      <c r="P33" s="80">
        <f>SUMIFS('июль 2024'!$G$4:$G$1872,'июль 2024'!$D$4:$D$1872,$B33,'июль 2024'!$J$4:$J$1872,P$1)</f>
        <v>0</v>
      </c>
      <c r="Q33" s="80">
        <f>SUMIFS('июль 2024'!$G$4:$G$1872,'июль 2024'!$D$4:$D$1872,$B33,'июль 2024'!$J$4:$J$1872,Q$1)</f>
        <v>0</v>
      </c>
      <c r="R33" s="80">
        <f>SUMIFS('июль 2024'!$G$4:$G$1872,'июль 2024'!$D$4:$D$1872,$B33,'июль 2024'!$J$4:$J$1872,R$1)</f>
        <v>0</v>
      </c>
      <c r="S33" s="80">
        <f>SUMIFS('июль 2024'!$G$4:$G$1872,'июль 2024'!$D$4:$D$1872,$B33,'июль 2024'!$J$4:$J$1872,S$1)</f>
        <v>0</v>
      </c>
      <c r="T33" s="80">
        <f>SUMIFS('июль 2024'!$G$4:$G$1872,'июль 2024'!$D$4:$D$1872,$B33,'июль 2024'!$J$4:$J$1872,T$1)</f>
        <v>0</v>
      </c>
      <c r="U33" s="80">
        <f>SUMIFS('июль 2024'!$G$4:$G$1872,'июль 2024'!$D$4:$D$1872,$B33,'июль 2024'!$J$4:$J$1872,U$1)</f>
        <v>0</v>
      </c>
      <c r="V33" s="80">
        <f>SUMIFS('июль 2024'!$G$4:$G$1872,'июль 2024'!$D$4:$D$1872,$B33,'июль 2024'!$J$4:$J$1872,V$1)</f>
        <v>0</v>
      </c>
      <c r="W33" s="80">
        <f>SUMIFS('июль 2024'!$G$4:$G$1872,'июль 2024'!$D$4:$D$1872,$B33,'июль 2024'!$J$4:$J$1872,W$1)</f>
        <v>0</v>
      </c>
      <c r="X33" s="80">
        <f>SUMIFS('июль 2024'!$G$4:$G$1872,'июль 2024'!$D$4:$D$1872,$B33,'июль 2024'!$J$4:$J$1872,X$1)</f>
        <v>0</v>
      </c>
      <c r="Y33" s="80">
        <f>SUMIFS('июль 2024'!$G$4:$G$1872,'июль 2024'!$D$4:$D$1872,$B33,'июль 2024'!$J$4:$J$1872,Y$1)</f>
        <v>0</v>
      </c>
      <c r="Z33" s="80">
        <f>SUMIFS('июль 2024'!$G$4:$G$1872,'июль 2024'!$D$4:$D$1872,$B33,'июль 2024'!$J$4:$J$1872,Z$1)</f>
        <v>0</v>
      </c>
      <c r="AA33" s="80">
        <f>SUMIFS('июль 2024'!$G$4:$G$1872,'июль 2024'!$D$4:$D$1872,$B33,'июль 2024'!$J$4:$J$1872,AA$1)</f>
        <v>0</v>
      </c>
      <c r="AB33" s="80">
        <f>SUMIFS('июль 2024'!$G$4:$G$1872,'июль 2024'!$D$4:$D$1872,$B33,'июль 2024'!$J$4:$J$1872,AB$1)</f>
        <v>0</v>
      </c>
      <c r="AC33" s="80">
        <f>SUMIFS('июль 2024'!$G$4:$G$1872,'июль 2024'!$D$4:$D$1872,$B33,'июль 2024'!$J$4:$J$1872,AC$1)</f>
        <v>0</v>
      </c>
      <c r="AD33" s="80">
        <f>SUMIFS('июль 2024'!$G$4:$G$1872,'июль 2024'!$D$4:$D$1872,$B33,'июль 2024'!$J$4:$J$1872,AD$1)</f>
        <v>0</v>
      </c>
      <c r="AE33" s="80">
        <f>SUMIFS('июль 2024'!$G$4:$G$1872,'июль 2024'!$D$4:$D$1872,$B33,'июль 2024'!$J$4:$J$1872,AE$1)</f>
        <v>0</v>
      </c>
      <c r="AF33" s="80">
        <f>SUMIFS('июль 2024'!$G$4:$G$1872,'июль 2024'!$D$4:$D$1872,$B33,'июль 2024'!$J$4:$J$1872,AF$1)</f>
        <v>0</v>
      </c>
      <c r="AG33" s="80">
        <f>SUMIFS('июль 2024'!$G$4:$G$1872,'июль 2024'!$D$4:$D$1872,$B33,'июль 2024'!$J$4:$J$1872,AG$1)</f>
        <v>0</v>
      </c>
      <c r="AH33" s="80">
        <f>SUMIFS('июль 2024'!$G$4:$G$1872,'июль 2024'!$D$4:$D$1872,$B33,'июль 2024'!$J$4:$J$1872,AH$1)</f>
        <v>0</v>
      </c>
      <c r="AI33" s="21">
        <f t="shared" si="1"/>
        <v>0</v>
      </c>
    </row>
    <row r="34" spans="2:35" ht="15" customHeight="1" x14ac:dyDescent="0.25">
      <c r="B34" s="146" t="s">
        <v>278</v>
      </c>
      <c r="C34" s="143">
        <v>25</v>
      </c>
      <c r="D34" s="80">
        <f>SUMIFS('июль 2024'!$G$4:$G$1872,'июль 2024'!$D$4:$D$1872,$B34,'июль 2024'!$J$4:$J$1872,D$1)</f>
        <v>0</v>
      </c>
      <c r="E34" s="80">
        <f>SUMIFS('июль 2024'!$G$4:$G$1872,'июль 2024'!$D$4:$D$1872,$B34,'июль 2024'!$J$4:$J$1872,E$1)</f>
        <v>0</v>
      </c>
      <c r="F34" s="80">
        <f>SUMIFS('июль 2024'!$G$4:$G$1872,'июль 2024'!$D$4:$D$1872,$B34,'июль 2024'!$J$4:$J$1872,F$1)</f>
        <v>0</v>
      </c>
      <c r="G34" s="80">
        <f>SUMIFS('июль 2024'!$G$4:$G$1872,'июль 2024'!$D$4:$D$1872,$B34,'июль 2024'!$J$4:$J$1872,G$1)</f>
        <v>0</v>
      </c>
      <c r="H34" s="80">
        <f>SUMIFS('июль 2024'!$G$4:$G$1872,'июль 2024'!$D$4:$D$1872,$B34,'июль 2024'!$J$4:$J$1872,H$1)</f>
        <v>0</v>
      </c>
      <c r="I34" s="80">
        <f>SUMIFS('июль 2024'!$G$4:$G$1872,'июль 2024'!$D$4:$D$1872,$B34,'июль 2024'!$J$4:$J$1872,I$1)</f>
        <v>0</v>
      </c>
      <c r="J34" s="80">
        <f>SUMIFS('июль 2024'!$G$4:$G$1872,'июль 2024'!$D$4:$D$1872,$B34,'июль 2024'!$J$4:$J$1872,J$1)</f>
        <v>0</v>
      </c>
      <c r="K34" s="80">
        <f>SUMIFS('июль 2024'!$G$4:$G$1872,'июль 2024'!$D$4:$D$1872,$B34,'июль 2024'!$J$4:$J$1872,K$1)</f>
        <v>0</v>
      </c>
      <c r="L34" s="80">
        <f>SUMIFS('июль 2024'!$G$4:$G$1872,'июль 2024'!$D$4:$D$1872,$B34,'июль 2024'!$J$4:$J$1872,L$1)</f>
        <v>0</v>
      </c>
      <c r="M34" s="80">
        <f>SUMIFS('июль 2024'!$G$4:$G$1872,'июль 2024'!$D$4:$D$1872,$B34,'июль 2024'!$J$4:$J$1872,M$1)</f>
        <v>0</v>
      </c>
      <c r="N34" s="80">
        <f>SUMIFS('июль 2024'!$G$4:$G$1872,'июль 2024'!$D$4:$D$1872,$B34,'июль 2024'!$J$4:$J$1872,N$1)</f>
        <v>0</v>
      </c>
      <c r="O34" s="80">
        <f>SUMIFS('июль 2024'!$G$4:$G$1872,'июль 2024'!$D$4:$D$1872,$B34,'июль 2024'!$J$4:$J$1872,O$1)</f>
        <v>0</v>
      </c>
      <c r="P34" s="80">
        <f>SUMIFS('июль 2024'!$G$4:$G$1872,'июль 2024'!$D$4:$D$1872,$B34,'июль 2024'!$J$4:$J$1872,P$1)</f>
        <v>0</v>
      </c>
      <c r="Q34" s="80">
        <f>SUMIFS('июль 2024'!$G$4:$G$1872,'июль 2024'!$D$4:$D$1872,$B34,'июль 2024'!$J$4:$J$1872,Q$1)</f>
        <v>0</v>
      </c>
      <c r="R34" s="80">
        <f>SUMIFS('июль 2024'!$G$4:$G$1872,'июль 2024'!$D$4:$D$1872,$B34,'июль 2024'!$J$4:$J$1872,R$1)</f>
        <v>0</v>
      </c>
      <c r="S34" s="80">
        <f>SUMIFS('июль 2024'!$G$4:$G$1872,'июль 2024'!$D$4:$D$1872,$B34,'июль 2024'!$J$4:$J$1872,S$1)</f>
        <v>0</v>
      </c>
      <c r="T34" s="80">
        <f>SUMIFS('июль 2024'!$G$4:$G$1872,'июль 2024'!$D$4:$D$1872,$B34,'июль 2024'!$J$4:$J$1872,T$1)</f>
        <v>0</v>
      </c>
      <c r="U34" s="80">
        <f>SUMIFS('июль 2024'!$G$4:$G$1872,'июль 2024'!$D$4:$D$1872,$B34,'июль 2024'!$J$4:$J$1872,U$1)</f>
        <v>0</v>
      </c>
      <c r="V34" s="80">
        <f>SUMIFS('июль 2024'!$G$4:$G$1872,'июль 2024'!$D$4:$D$1872,$B34,'июль 2024'!$J$4:$J$1872,V$1)</f>
        <v>0</v>
      </c>
      <c r="W34" s="80">
        <f>SUMIFS('июль 2024'!$G$4:$G$1872,'июль 2024'!$D$4:$D$1872,$B34,'июль 2024'!$J$4:$J$1872,W$1)</f>
        <v>0</v>
      </c>
      <c r="X34" s="80">
        <f>SUMIFS('июль 2024'!$G$4:$G$1872,'июль 2024'!$D$4:$D$1872,$B34,'июль 2024'!$J$4:$J$1872,X$1)</f>
        <v>0</v>
      </c>
      <c r="Y34" s="80">
        <f>SUMIFS('июль 2024'!$G$4:$G$1872,'июль 2024'!$D$4:$D$1872,$B34,'июль 2024'!$J$4:$J$1872,Y$1)</f>
        <v>0</v>
      </c>
      <c r="Z34" s="80">
        <f>SUMIFS('июль 2024'!$G$4:$G$1872,'июль 2024'!$D$4:$D$1872,$B34,'июль 2024'!$J$4:$J$1872,Z$1)</f>
        <v>0</v>
      </c>
      <c r="AA34" s="80">
        <f>SUMIFS('июль 2024'!$G$4:$G$1872,'июль 2024'!$D$4:$D$1872,$B34,'июль 2024'!$J$4:$J$1872,AA$1)</f>
        <v>0</v>
      </c>
      <c r="AB34" s="80">
        <f>SUMIFS('июль 2024'!$G$4:$G$1872,'июль 2024'!$D$4:$D$1872,$B34,'июль 2024'!$J$4:$J$1872,AB$1)</f>
        <v>0</v>
      </c>
      <c r="AC34" s="80">
        <f>SUMIFS('июль 2024'!$G$4:$G$1872,'июль 2024'!$D$4:$D$1872,$B34,'июль 2024'!$J$4:$J$1872,AC$1)</f>
        <v>0</v>
      </c>
      <c r="AD34" s="80">
        <f>SUMIFS('июль 2024'!$G$4:$G$1872,'июль 2024'!$D$4:$D$1872,$B34,'июль 2024'!$J$4:$J$1872,AD$1)</f>
        <v>0</v>
      </c>
      <c r="AE34" s="80">
        <f>SUMIFS('июль 2024'!$G$4:$G$1872,'июль 2024'!$D$4:$D$1872,$B34,'июль 2024'!$J$4:$J$1872,AE$1)</f>
        <v>0</v>
      </c>
      <c r="AF34" s="80">
        <f>SUMIFS('июль 2024'!$G$4:$G$1872,'июль 2024'!$D$4:$D$1872,$B34,'июль 2024'!$J$4:$J$1872,AF$1)</f>
        <v>0</v>
      </c>
      <c r="AG34" s="80">
        <f>SUMIFS('июль 2024'!$G$4:$G$1872,'июль 2024'!$D$4:$D$1872,$B34,'июль 2024'!$J$4:$J$1872,AG$1)</f>
        <v>0</v>
      </c>
      <c r="AH34" s="80">
        <f>SUMIFS('июль 2024'!$G$4:$G$1872,'июль 2024'!$D$4:$D$1872,$B34,'июль 2024'!$J$4:$J$1872,AH$1)</f>
        <v>0</v>
      </c>
      <c r="AI34" s="21">
        <f t="shared" si="1"/>
        <v>0</v>
      </c>
    </row>
    <row r="35" spans="2:35" ht="15" customHeight="1" x14ac:dyDescent="0.25">
      <c r="B35" s="147" t="s">
        <v>280</v>
      </c>
      <c r="C35" s="143">
        <v>25</v>
      </c>
      <c r="D35" s="80">
        <f>SUMIFS('июль 2024'!$G$4:$G$1872,'июль 2024'!$D$4:$D$1872,$B35,'июль 2024'!$J$4:$J$1872,D$1)</f>
        <v>0</v>
      </c>
      <c r="E35" s="80">
        <f>SUMIFS('июль 2024'!$G$4:$G$1872,'июль 2024'!$D$4:$D$1872,$B35,'июль 2024'!$J$4:$J$1872,E$1)</f>
        <v>0</v>
      </c>
      <c r="F35" s="80">
        <f>SUMIFS('июль 2024'!$G$4:$G$1872,'июль 2024'!$D$4:$D$1872,$B35,'июль 2024'!$J$4:$J$1872,F$1)</f>
        <v>0</v>
      </c>
      <c r="G35" s="80">
        <f>SUMIFS('июль 2024'!$G$4:$G$1872,'июль 2024'!$D$4:$D$1872,$B35,'июль 2024'!$J$4:$J$1872,G$1)</f>
        <v>0</v>
      </c>
      <c r="H35" s="80">
        <f>SUMIFS('июль 2024'!$G$4:$G$1872,'июль 2024'!$D$4:$D$1872,$B35,'июль 2024'!$J$4:$J$1872,H$1)</f>
        <v>0</v>
      </c>
      <c r="I35" s="80">
        <f>SUMIFS('июль 2024'!$G$4:$G$1872,'июль 2024'!$D$4:$D$1872,$B35,'июль 2024'!$J$4:$J$1872,I$1)</f>
        <v>0</v>
      </c>
      <c r="J35" s="80">
        <f>SUMIFS('июль 2024'!$G$4:$G$1872,'июль 2024'!$D$4:$D$1872,$B35,'июль 2024'!$J$4:$J$1872,J$1)</f>
        <v>0</v>
      </c>
      <c r="K35" s="80">
        <f>SUMIFS('июль 2024'!$G$4:$G$1872,'июль 2024'!$D$4:$D$1872,$B35,'июль 2024'!$J$4:$J$1872,K$1)</f>
        <v>0</v>
      </c>
      <c r="L35" s="80">
        <f>SUMIFS('июль 2024'!$G$4:$G$1872,'июль 2024'!$D$4:$D$1872,$B35,'июль 2024'!$J$4:$J$1872,L$1)</f>
        <v>0</v>
      </c>
      <c r="M35" s="80">
        <f>SUMIFS('июль 2024'!$G$4:$G$1872,'июль 2024'!$D$4:$D$1872,$B35,'июль 2024'!$J$4:$J$1872,M$1)</f>
        <v>0</v>
      </c>
      <c r="N35" s="80">
        <f>SUMIFS('июль 2024'!$G$4:$G$1872,'июль 2024'!$D$4:$D$1872,$B35,'июль 2024'!$J$4:$J$1872,N$1)</f>
        <v>0</v>
      </c>
      <c r="O35" s="80">
        <f>SUMIFS('июль 2024'!$G$4:$G$1872,'июль 2024'!$D$4:$D$1872,$B35,'июль 2024'!$J$4:$J$1872,O$1)</f>
        <v>0</v>
      </c>
      <c r="P35" s="80">
        <f>SUMIFS('июль 2024'!$G$4:$G$1872,'июль 2024'!$D$4:$D$1872,$B35,'июль 2024'!$J$4:$J$1872,P$1)</f>
        <v>0</v>
      </c>
      <c r="Q35" s="80">
        <f>SUMIFS('июль 2024'!$G$4:$G$1872,'июль 2024'!$D$4:$D$1872,$B35,'июль 2024'!$J$4:$J$1872,Q$1)</f>
        <v>0</v>
      </c>
      <c r="R35" s="80">
        <f>SUMIFS('июль 2024'!$G$4:$G$1872,'июль 2024'!$D$4:$D$1872,$B35,'июль 2024'!$J$4:$J$1872,R$1)</f>
        <v>0</v>
      </c>
      <c r="S35" s="80">
        <f>SUMIFS('июль 2024'!$G$4:$G$1872,'июль 2024'!$D$4:$D$1872,$B35,'июль 2024'!$J$4:$J$1872,S$1)</f>
        <v>0</v>
      </c>
      <c r="T35" s="80">
        <f>SUMIFS('июль 2024'!$G$4:$G$1872,'июль 2024'!$D$4:$D$1872,$B35,'июль 2024'!$J$4:$J$1872,T$1)</f>
        <v>0</v>
      </c>
      <c r="U35" s="80">
        <f>SUMIFS('июль 2024'!$G$4:$G$1872,'июль 2024'!$D$4:$D$1872,$B35,'июль 2024'!$J$4:$J$1872,U$1)</f>
        <v>0</v>
      </c>
      <c r="V35" s="80">
        <f>SUMIFS('июль 2024'!$G$4:$G$1872,'июль 2024'!$D$4:$D$1872,$B35,'июль 2024'!$J$4:$J$1872,V$1)</f>
        <v>0</v>
      </c>
      <c r="W35" s="80">
        <f>SUMIFS('июль 2024'!$G$4:$G$1872,'июль 2024'!$D$4:$D$1872,$B35,'июль 2024'!$J$4:$J$1872,W$1)</f>
        <v>0</v>
      </c>
      <c r="X35" s="80">
        <f>SUMIFS('июль 2024'!$G$4:$G$1872,'июль 2024'!$D$4:$D$1872,$B35,'июль 2024'!$J$4:$J$1872,X$1)</f>
        <v>0</v>
      </c>
      <c r="Y35" s="80">
        <f>SUMIFS('июль 2024'!$G$4:$G$1872,'июль 2024'!$D$4:$D$1872,$B35,'июль 2024'!$J$4:$J$1872,Y$1)</f>
        <v>0</v>
      </c>
      <c r="Z35" s="80">
        <f>SUMIFS('июль 2024'!$G$4:$G$1872,'июль 2024'!$D$4:$D$1872,$B35,'июль 2024'!$J$4:$J$1872,Z$1)</f>
        <v>0</v>
      </c>
      <c r="AA35" s="80">
        <f>SUMIFS('июль 2024'!$G$4:$G$1872,'июль 2024'!$D$4:$D$1872,$B35,'июль 2024'!$J$4:$J$1872,AA$1)</f>
        <v>0</v>
      </c>
      <c r="AB35" s="80">
        <f>SUMIFS('июль 2024'!$G$4:$G$1872,'июль 2024'!$D$4:$D$1872,$B35,'июль 2024'!$J$4:$J$1872,AB$1)</f>
        <v>0</v>
      </c>
      <c r="AC35" s="80">
        <f>SUMIFS('июль 2024'!$G$4:$G$1872,'июль 2024'!$D$4:$D$1872,$B35,'июль 2024'!$J$4:$J$1872,AC$1)</f>
        <v>0</v>
      </c>
      <c r="AD35" s="80">
        <f>SUMIFS('июль 2024'!$G$4:$G$1872,'июль 2024'!$D$4:$D$1872,$B35,'июль 2024'!$J$4:$J$1872,AD$1)</f>
        <v>0</v>
      </c>
      <c r="AE35" s="80">
        <f>SUMIFS('июль 2024'!$G$4:$G$1872,'июль 2024'!$D$4:$D$1872,$B35,'июль 2024'!$J$4:$J$1872,AE$1)</f>
        <v>0</v>
      </c>
      <c r="AF35" s="80">
        <f>SUMIFS('июль 2024'!$G$4:$G$1872,'июль 2024'!$D$4:$D$1872,$B35,'июль 2024'!$J$4:$J$1872,AF$1)</f>
        <v>0</v>
      </c>
      <c r="AG35" s="80">
        <f>SUMIFS('июль 2024'!$G$4:$G$1872,'июль 2024'!$D$4:$D$1872,$B35,'июль 2024'!$J$4:$J$1872,AG$1)</f>
        <v>0</v>
      </c>
      <c r="AH35" s="80">
        <f>SUMIFS('июль 2024'!$G$4:$G$1872,'июль 2024'!$D$4:$D$1872,$B35,'июль 2024'!$J$4:$J$1872,AH$1)</f>
        <v>0</v>
      </c>
      <c r="AI35" s="21">
        <f t="shared" si="1"/>
        <v>0</v>
      </c>
    </row>
    <row r="36" spans="2:35" ht="15" customHeight="1" x14ac:dyDescent="0.25">
      <c r="B36" s="148" t="s">
        <v>282</v>
      </c>
      <c r="C36" s="149">
        <v>25</v>
      </c>
      <c r="D36" s="80">
        <f>SUMIFS('июль 2024'!$G$4:$G$1872,'июль 2024'!$D$4:$D$1872,$B36,'июль 2024'!$J$4:$J$1872,D$1)</f>
        <v>0</v>
      </c>
      <c r="E36" s="80">
        <f>SUMIFS('июль 2024'!$G$4:$G$1872,'июль 2024'!$D$4:$D$1872,$B36,'июль 2024'!$J$4:$J$1872,E$1)</f>
        <v>0</v>
      </c>
      <c r="F36" s="80">
        <f>SUMIFS('июль 2024'!$G$4:$G$1872,'июль 2024'!$D$4:$D$1872,$B36,'июль 2024'!$J$4:$J$1872,F$1)</f>
        <v>0</v>
      </c>
      <c r="G36" s="80">
        <f>SUMIFS('июль 2024'!$G$4:$G$1872,'июль 2024'!$D$4:$D$1872,$B36,'июль 2024'!$J$4:$J$1872,G$1)</f>
        <v>0</v>
      </c>
      <c r="H36" s="80">
        <f>SUMIFS('июль 2024'!$G$4:$G$1872,'июль 2024'!$D$4:$D$1872,$B36,'июль 2024'!$J$4:$J$1872,H$1)</f>
        <v>0</v>
      </c>
      <c r="I36" s="80">
        <f>SUMIFS('июль 2024'!$G$4:$G$1872,'июль 2024'!$D$4:$D$1872,$B36,'июль 2024'!$J$4:$J$1872,I$1)</f>
        <v>0</v>
      </c>
      <c r="J36" s="80">
        <f>SUMIFS('июль 2024'!$G$4:$G$1872,'июль 2024'!$D$4:$D$1872,$B36,'июль 2024'!$J$4:$J$1872,J$1)</f>
        <v>0</v>
      </c>
      <c r="K36" s="80">
        <f>SUMIFS('июль 2024'!$G$4:$G$1872,'июль 2024'!$D$4:$D$1872,$B36,'июль 2024'!$J$4:$J$1872,K$1)</f>
        <v>0</v>
      </c>
      <c r="L36" s="80">
        <f>SUMIFS('июль 2024'!$G$4:$G$1872,'июль 2024'!$D$4:$D$1872,$B36,'июль 2024'!$J$4:$J$1872,L$1)</f>
        <v>0</v>
      </c>
      <c r="M36" s="80">
        <f>SUMIFS('июль 2024'!$G$4:$G$1872,'июль 2024'!$D$4:$D$1872,$B36,'июль 2024'!$J$4:$J$1872,M$1)</f>
        <v>0</v>
      </c>
      <c r="N36" s="80">
        <f>SUMIFS('июль 2024'!$G$4:$G$1872,'июль 2024'!$D$4:$D$1872,$B36,'июль 2024'!$J$4:$J$1872,N$1)</f>
        <v>0</v>
      </c>
      <c r="O36" s="80">
        <f>SUMIFS('июль 2024'!$G$4:$G$1872,'июль 2024'!$D$4:$D$1872,$B36,'июль 2024'!$J$4:$J$1872,O$1)</f>
        <v>0</v>
      </c>
      <c r="P36" s="80">
        <f>SUMIFS('июль 2024'!$G$4:$G$1872,'июль 2024'!$D$4:$D$1872,$B36,'июль 2024'!$J$4:$J$1872,P$1)</f>
        <v>0</v>
      </c>
      <c r="Q36" s="80">
        <f>SUMIFS('июль 2024'!$G$4:$G$1872,'июль 2024'!$D$4:$D$1872,$B36,'июль 2024'!$J$4:$J$1872,Q$1)</f>
        <v>0</v>
      </c>
      <c r="R36" s="80">
        <f>SUMIFS('июль 2024'!$G$4:$G$1872,'июль 2024'!$D$4:$D$1872,$B36,'июль 2024'!$J$4:$J$1872,R$1)</f>
        <v>0</v>
      </c>
      <c r="S36" s="80">
        <f>SUMIFS('июль 2024'!$G$4:$G$1872,'июль 2024'!$D$4:$D$1872,$B36,'июль 2024'!$J$4:$J$1872,S$1)</f>
        <v>0</v>
      </c>
      <c r="T36" s="80">
        <f>SUMIFS('июль 2024'!$G$4:$G$1872,'июль 2024'!$D$4:$D$1872,$B36,'июль 2024'!$J$4:$J$1872,T$1)</f>
        <v>0</v>
      </c>
      <c r="U36" s="80">
        <f>SUMIFS('июль 2024'!$G$4:$G$1872,'июль 2024'!$D$4:$D$1872,$B36,'июль 2024'!$J$4:$J$1872,U$1)</f>
        <v>0</v>
      </c>
      <c r="V36" s="80">
        <f>SUMIFS('июль 2024'!$G$4:$G$1872,'июль 2024'!$D$4:$D$1872,$B36,'июль 2024'!$J$4:$J$1872,V$1)</f>
        <v>0</v>
      </c>
      <c r="W36" s="80">
        <f>SUMIFS('июль 2024'!$G$4:$G$1872,'июль 2024'!$D$4:$D$1872,$B36,'июль 2024'!$J$4:$J$1872,W$1)</f>
        <v>0</v>
      </c>
      <c r="X36" s="80">
        <f>SUMIFS('июль 2024'!$G$4:$G$1872,'июль 2024'!$D$4:$D$1872,$B36,'июль 2024'!$J$4:$J$1872,X$1)</f>
        <v>0</v>
      </c>
      <c r="Y36" s="80">
        <f>SUMIFS('июль 2024'!$G$4:$G$1872,'июль 2024'!$D$4:$D$1872,$B36,'июль 2024'!$J$4:$J$1872,Y$1)</f>
        <v>0</v>
      </c>
      <c r="Z36" s="80">
        <f>SUMIFS('июль 2024'!$G$4:$G$1872,'июль 2024'!$D$4:$D$1872,$B36,'июль 2024'!$J$4:$J$1872,Z$1)</f>
        <v>0</v>
      </c>
      <c r="AA36" s="80">
        <f>SUMIFS('июль 2024'!$G$4:$G$1872,'июль 2024'!$D$4:$D$1872,$B36,'июль 2024'!$J$4:$J$1872,AA$1)</f>
        <v>0</v>
      </c>
      <c r="AB36" s="80">
        <f>SUMIFS('июль 2024'!$G$4:$G$1872,'июль 2024'!$D$4:$D$1872,$B36,'июль 2024'!$J$4:$J$1872,AB$1)</f>
        <v>0</v>
      </c>
      <c r="AC36" s="80">
        <f>SUMIFS('июль 2024'!$G$4:$G$1872,'июль 2024'!$D$4:$D$1872,$B36,'июль 2024'!$J$4:$J$1872,AC$1)</f>
        <v>0</v>
      </c>
      <c r="AD36" s="80">
        <f>SUMIFS('июль 2024'!$G$4:$G$1872,'июль 2024'!$D$4:$D$1872,$B36,'июль 2024'!$J$4:$J$1872,AD$1)</f>
        <v>0</v>
      </c>
      <c r="AE36" s="80">
        <f>SUMIFS('июль 2024'!$G$4:$G$1872,'июль 2024'!$D$4:$D$1872,$B36,'июль 2024'!$J$4:$J$1872,AE$1)</f>
        <v>0</v>
      </c>
      <c r="AF36" s="80">
        <f>SUMIFS('июль 2024'!$G$4:$G$1872,'июль 2024'!$D$4:$D$1872,$B36,'июль 2024'!$J$4:$J$1872,AF$1)</f>
        <v>0</v>
      </c>
      <c r="AG36" s="80">
        <f>SUMIFS('июль 2024'!$G$4:$G$1872,'июль 2024'!$D$4:$D$1872,$B36,'июль 2024'!$J$4:$J$1872,AG$1)</f>
        <v>0</v>
      </c>
      <c r="AH36" s="80">
        <f>SUMIFS('июль 2024'!$G$4:$G$1872,'июль 2024'!$D$4:$D$1872,$B36,'июль 2024'!$J$4:$J$1872,AH$1)</f>
        <v>0</v>
      </c>
      <c r="AI36" s="21">
        <f t="shared" si="1"/>
        <v>0</v>
      </c>
    </row>
    <row r="37" spans="2:35" ht="15" customHeight="1" x14ac:dyDescent="0.25">
      <c r="B37" s="150" t="s">
        <v>284</v>
      </c>
      <c r="C37" s="151">
        <v>22.68</v>
      </c>
      <c r="D37" s="80">
        <f>SUMIFS('июль 2024'!$G$4:$G$1872,'июль 2024'!$D$4:$D$1872,$B37,'июль 2024'!$J$4:$J$1872,D$1)</f>
        <v>0</v>
      </c>
      <c r="E37" s="80">
        <f>SUMIFS('июль 2024'!$G$4:$G$1872,'июль 2024'!$D$4:$D$1872,$B37,'июль 2024'!$J$4:$J$1872,E$1)</f>
        <v>0</v>
      </c>
      <c r="F37" s="80">
        <f>SUMIFS('июль 2024'!$G$4:$G$1872,'июль 2024'!$D$4:$D$1872,$B37,'июль 2024'!$J$4:$J$1872,F$1)</f>
        <v>0</v>
      </c>
      <c r="G37" s="80">
        <f>SUMIFS('июль 2024'!$G$4:$G$1872,'июль 2024'!$D$4:$D$1872,$B37,'июль 2024'!$J$4:$J$1872,G$1)</f>
        <v>0</v>
      </c>
      <c r="H37" s="80">
        <f>SUMIFS('июль 2024'!$G$4:$G$1872,'июль 2024'!$D$4:$D$1872,$B37,'июль 2024'!$J$4:$J$1872,H$1)</f>
        <v>0</v>
      </c>
      <c r="I37" s="80">
        <f>SUMIFS('июль 2024'!$G$4:$G$1872,'июль 2024'!$D$4:$D$1872,$B37,'июль 2024'!$J$4:$J$1872,I$1)</f>
        <v>0</v>
      </c>
      <c r="J37" s="80">
        <f>SUMIFS('июль 2024'!$G$4:$G$1872,'июль 2024'!$D$4:$D$1872,$B37,'июль 2024'!$J$4:$J$1872,J$1)</f>
        <v>0</v>
      </c>
      <c r="K37" s="80">
        <f>SUMIFS('июль 2024'!$G$4:$G$1872,'июль 2024'!$D$4:$D$1872,$B37,'июль 2024'!$J$4:$J$1872,K$1)</f>
        <v>0</v>
      </c>
      <c r="L37" s="80">
        <f>SUMIFS('июль 2024'!$G$4:$G$1872,'июль 2024'!$D$4:$D$1872,$B37,'июль 2024'!$J$4:$J$1872,L$1)</f>
        <v>0</v>
      </c>
      <c r="M37" s="80">
        <f>SUMIFS('июль 2024'!$G$4:$G$1872,'июль 2024'!$D$4:$D$1872,$B37,'июль 2024'!$J$4:$J$1872,M$1)</f>
        <v>0</v>
      </c>
      <c r="N37" s="80">
        <f>SUMIFS('июль 2024'!$G$4:$G$1872,'июль 2024'!$D$4:$D$1872,$B37,'июль 2024'!$J$4:$J$1872,N$1)</f>
        <v>0</v>
      </c>
      <c r="O37" s="80">
        <f>SUMIFS('июль 2024'!$G$4:$G$1872,'июль 2024'!$D$4:$D$1872,$B37,'июль 2024'!$J$4:$J$1872,O$1)</f>
        <v>0</v>
      </c>
      <c r="P37" s="80">
        <f>SUMIFS('июль 2024'!$G$4:$G$1872,'июль 2024'!$D$4:$D$1872,$B37,'июль 2024'!$J$4:$J$1872,P$1)</f>
        <v>0</v>
      </c>
      <c r="Q37" s="80">
        <f>SUMIFS('июль 2024'!$G$4:$G$1872,'июль 2024'!$D$4:$D$1872,$B37,'июль 2024'!$J$4:$J$1872,Q$1)</f>
        <v>0</v>
      </c>
      <c r="R37" s="80">
        <f>SUMIFS('июль 2024'!$G$4:$G$1872,'июль 2024'!$D$4:$D$1872,$B37,'июль 2024'!$J$4:$J$1872,R$1)</f>
        <v>0</v>
      </c>
      <c r="S37" s="80">
        <f>SUMIFS('июль 2024'!$G$4:$G$1872,'июль 2024'!$D$4:$D$1872,$B37,'июль 2024'!$J$4:$J$1872,S$1)</f>
        <v>0</v>
      </c>
      <c r="T37" s="80">
        <f>SUMIFS('июль 2024'!$G$4:$G$1872,'июль 2024'!$D$4:$D$1872,$B37,'июль 2024'!$J$4:$J$1872,T$1)</f>
        <v>0</v>
      </c>
      <c r="U37" s="80">
        <f>SUMIFS('июль 2024'!$G$4:$G$1872,'июль 2024'!$D$4:$D$1872,$B37,'июль 2024'!$J$4:$J$1872,U$1)</f>
        <v>0</v>
      </c>
      <c r="V37" s="80">
        <f>SUMIFS('июль 2024'!$G$4:$G$1872,'июль 2024'!$D$4:$D$1872,$B37,'июль 2024'!$J$4:$J$1872,V$1)</f>
        <v>0</v>
      </c>
      <c r="W37" s="80">
        <f>SUMIFS('июль 2024'!$G$4:$G$1872,'июль 2024'!$D$4:$D$1872,$B37,'июль 2024'!$J$4:$J$1872,W$1)</f>
        <v>0</v>
      </c>
      <c r="X37" s="80">
        <f>SUMIFS('июль 2024'!$G$4:$G$1872,'июль 2024'!$D$4:$D$1872,$B37,'июль 2024'!$J$4:$J$1872,X$1)</f>
        <v>0</v>
      </c>
      <c r="Y37" s="80">
        <f>SUMIFS('июль 2024'!$G$4:$G$1872,'июль 2024'!$D$4:$D$1872,$B37,'июль 2024'!$J$4:$J$1872,Y$1)</f>
        <v>0</v>
      </c>
      <c r="Z37" s="80">
        <f>SUMIFS('июль 2024'!$G$4:$G$1872,'июль 2024'!$D$4:$D$1872,$B37,'июль 2024'!$J$4:$J$1872,Z$1)</f>
        <v>0</v>
      </c>
      <c r="AA37" s="80">
        <f>SUMIFS('июль 2024'!$G$4:$G$1872,'июль 2024'!$D$4:$D$1872,$B37,'июль 2024'!$J$4:$J$1872,AA$1)</f>
        <v>0</v>
      </c>
      <c r="AB37" s="80">
        <f>SUMIFS('июль 2024'!$G$4:$G$1872,'июль 2024'!$D$4:$D$1872,$B37,'июль 2024'!$J$4:$J$1872,AB$1)</f>
        <v>0</v>
      </c>
      <c r="AC37" s="80">
        <f>SUMIFS('июль 2024'!$G$4:$G$1872,'июль 2024'!$D$4:$D$1872,$B37,'июль 2024'!$J$4:$J$1872,AC$1)</f>
        <v>0</v>
      </c>
      <c r="AD37" s="80">
        <f>SUMIFS('июль 2024'!$G$4:$G$1872,'июль 2024'!$D$4:$D$1872,$B37,'июль 2024'!$J$4:$J$1872,AD$1)</f>
        <v>0</v>
      </c>
      <c r="AE37" s="80">
        <f>SUMIFS('июль 2024'!$G$4:$G$1872,'июль 2024'!$D$4:$D$1872,$B37,'июль 2024'!$J$4:$J$1872,AE$1)</f>
        <v>0</v>
      </c>
      <c r="AF37" s="80">
        <f>SUMIFS('июль 2024'!$G$4:$G$1872,'июль 2024'!$D$4:$D$1872,$B37,'июль 2024'!$J$4:$J$1872,AF$1)</f>
        <v>0</v>
      </c>
      <c r="AG37" s="80">
        <f>SUMIFS('июль 2024'!$G$4:$G$1872,'июль 2024'!$D$4:$D$1872,$B37,'июль 2024'!$J$4:$J$1872,AG$1)</f>
        <v>0</v>
      </c>
      <c r="AH37" s="80">
        <f>SUMIFS('июль 2024'!$G$4:$G$1872,'июль 2024'!$D$4:$D$1872,$B37,'июль 2024'!$J$4:$J$1872,AH$1)</f>
        <v>0</v>
      </c>
      <c r="AI37" s="21">
        <f t="shared" si="1"/>
        <v>0</v>
      </c>
    </row>
    <row r="38" spans="2:35" ht="15" customHeight="1" x14ac:dyDescent="0.25">
      <c r="B38" s="150" t="s">
        <v>286</v>
      </c>
      <c r="C38" s="152">
        <v>25</v>
      </c>
      <c r="D38" s="80">
        <f>SUMIFS('июль 2024'!$G$4:$G$1872,'июль 2024'!$D$4:$D$1872,$B38,'июль 2024'!$J$4:$J$1872,D$1)</f>
        <v>0</v>
      </c>
      <c r="E38" s="80">
        <f>SUMIFS('июль 2024'!$G$4:$G$1872,'июль 2024'!$D$4:$D$1872,$B38,'июль 2024'!$J$4:$J$1872,E$1)</f>
        <v>0</v>
      </c>
      <c r="F38" s="80">
        <f>SUMIFS('июль 2024'!$G$4:$G$1872,'июль 2024'!$D$4:$D$1872,$B38,'июль 2024'!$J$4:$J$1872,F$1)</f>
        <v>0</v>
      </c>
      <c r="G38" s="80">
        <f>SUMIFS('июль 2024'!$G$4:$G$1872,'июль 2024'!$D$4:$D$1872,$B38,'июль 2024'!$J$4:$J$1872,G$1)</f>
        <v>0</v>
      </c>
      <c r="H38" s="80">
        <f>SUMIFS('июль 2024'!$G$4:$G$1872,'июль 2024'!$D$4:$D$1872,$B38,'июль 2024'!$J$4:$J$1872,H$1)</f>
        <v>0</v>
      </c>
      <c r="I38" s="80">
        <f>SUMIFS('июль 2024'!$G$4:$G$1872,'июль 2024'!$D$4:$D$1872,$B38,'июль 2024'!$J$4:$J$1872,I$1)</f>
        <v>0</v>
      </c>
      <c r="J38" s="80">
        <f>SUMIFS('июль 2024'!$G$4:$G$1872,'июль 2024'!$D$4:$D$1872,$B38,'июль 2024'!$J$4:$J$1872,J$1)</f>
        <v>0</v>
      </c>
      <c r="K38" s="80">
        <f>SUMIFS('июль 2024'!$G$4:$G$1872,'июль 2024'!$D$4:$D$1872,$B38,'июль 2024'!$J$4:$J$1872,K$1)</f>
        <v>0</v>
      </c>
      <c r="L38" s="80">
        <f>SUMIFS('июль 2024'!$G$4:$G$1872,'июль 2024'!$D$4:$D$1872,$B38,'июль 2024'!$J$4:$J$1872,L$1)</f>
        <v>0</v>
      </c>
      <c r="M38" s="80">
        <f>SUMIFS('июль 2024'!$G$4:$G$1872,'июль 2024'!$D$4:$D$1872,$B38,'июль 2024'!$J$4:$J$1872,M$1)</f>
        <v>0</v>
      </c>
      <c r="N38" s="80">
        <f>SUMIFS('июль 2024'!$G$4:$G$1872,'июль 2024'!$D$4:$D$1872,$B38,'июль 2024'!$J$4:$J$1872,N$1)</f>
        <v>0</v>
      </c>
      <c r="O38" s="80">
        <f>SUMIFS('июль 2024'!$G$4:$G$1872,'июль 2024'!$D$4:$D$1872,$B38,'июль 2024'!$J$4:$J$1872,O$1)</f>
        <v>0</v>
      </c>
      <c r="P38" s="80">
        <f>SUMIFS('июль 2024'!$G$4:$G$1872,'июль 2024'!$D$4:$D$1872,$B38,'июль 2024'!$J$4:$J$1872,P$1)</f>
        <v>0</v>
      </c>
      <c r="Q38" s="80">
        <f>SUMIFS('июль 2024'!$G$4:$G$1872,'июль 2024'!$D$4:$D$1872,$B38,'июль 2024'!$J$4:$J$1872,Q$1)</f>
        <v>0</v>
      </c>
      <c r="R38" s="80">
        <f>SUMIFS('июль 2024'!$G$4:$G$1872,'июль 2024'!$D$4:$D$1872,$B38,'июль 2024'!$J$4:$J$1872,R$1)</f>
        <v>0</v>
      </c>
      <c r="S38" s="80">
        <f>SUMIFS('июль 2024'!$G$4:$G$1872,'июль 2024'!$D$4:$D$1872,$B38,'июль 2024'!$J$4:$J$1872,S$1)</f>
        <v>0</v>
      </c>
      <c r="T38" s="80">
        <f>SUMIFS('июль 2024'!$G$4:$G$1872,'июль 2024'!$D$4:$D$1872,$B38,'июль 2024'!$J$4:$J$1872,T$1)</f>
        <v>0</v>
      </c>
      <c r="U38" s="80">
        <f>SUMIFS('июль 2024'!$G$4:$G$1872,'июль 2024'!$D$4:$D$1872,$B38,'июль 2024'!$J$4:$J$1872,U$1)</f>
        <v>520</v>
      </c>
      <c r="V38" s="80">
        <f>SUMIFS('июль 2024'!$G$4:$G$1872,'июль 2024'!$D$4:$D$1872,$B38,'июль 2024'!$J$4:$J$1872,V$1)</f>
        <v>0</v>
      </c>
      <c r="W38" s="80">
        <f>SUMIFS('июль 2024'!$G$4:$G$1872,'июль 2024'!$D$4:$D$1872,$B38,'июль 2024'!$J$4:$J$1872,W$1)</f>
        <v>0</v>
      </c>
      <c r="X38" s="80">
        <f>SUMIFS('июль 2024'!$G$4:$G$1872,'июль 2024'!$D$4:$D$1872,$B38,'июль 2024'!$J$4:$J$1872,X$1)</f>
        <v>0</v>
      </c>
      <c r="Y38" s="80">
        <f>SUMIFS('июль 2024'!$G$4:$G$1872,'июль 2024'!$D$4:$D$1872,$B38,'июль 2024'!$J$4:$J$1872,Y$1)</f>
        <v>0</v>
      </c>
      <c r="Z38" s="80">
        <f>SUMIFS('июль 2024'!$G$4:$G$1872,'июль 2024'!$D$4:$D$1872,$B38,'июль 2024'!$J$4:$J$1872,Z$1)</f>
        <v>0</v>
      </c>
      <c r="AA38" s="80">
        <f>SUMIFS('июль 2024'!$G$4:$G$1872,'июль 2024'!$D$4:$D$1872,$B38,'июль 2024'!$J$4:$J$1872,AA$1)</f>
        <v>0</v>
      </c>
      <c r="AB38" s="80">
        <f>SUMIFS('июль 2024'!$G$4:$G$1872,'июль 2024'!$D$4:$D$1872,$B38,'июль 2024'!$J$4:$J$1872,AB$1)</f>
        <v>0</v>
      </c>
      <c r="AC38" s="80">
        <f>SUMIFS('июль 2024'!$G$4:$G$1872,'июль 2024'!$D$4:$D$1872,$B38,'июль 2024'!$J$4:$J$1872,AC$1)</f>
        <v>0</v>
      </c>
      <c r="AD38" s="80">
        <f>SUMIFS('июль 2024'!$G$4:$G$1872,'июль 2024'!$D$4:$D$1872,$B38,'июль 2024'!$J$4:$J$1872,AD$1)</f>
        <v>0</v>
      </c>
      <c r="AE38" s="80">
        <f>SUMIFS('июль 2024'!$G$4:$G$1872,'июль 2024'!$D$4:$D$1872,$B38,'июль 2024'!$J$4:$J$1872,AE$1)</f>
        <v>0</v>
      </c>
      <c r="AF38" s="80">
        <f>SUMIFS('июль 2024'!$G$4:$G$1872,'июль 2024'!$D$4:$D$1872,$B38,'июль 2024'!$J$4:$J$1872,AF$1)</f>
        <v>0</v>
      </c>
      <c r="AG38" s="80">
        <f>SUMIFS('июль 2024'!$G$4:$G$1872,'июль 2024'!$D$4:$D$1872,$B38,'июль 2024'!$J$4:$J$1872,AG$1)</f>
        <v>0</v>
      </c>
      <c r="AH38" s="80">
        <f>SUMIFS('июль 2024'!$G$4:$G$1872,'июль 2024'!$D$4:$D$1872,$B38,'июль 2024'!$J$4:$J$1872,AH$1)</f>
        <v>0</v>
      </c>
      <c r="AI38" s="21">
        <f t="shared" si="1"/>
        <v>520</v>
      </c>
    </row>
    <row r="39" spans="2:35" ht="15" customHeight="1" x14ac:dyDescent="0.25">
      <c r="B39" s="150" t="s">
        <v>288</v>
      </c>
      <c r="C39" s="153">
        <v>25</v>
      </c>
      <c r="D39" s="80">
        <f>SUMIFS('июль 2024'!$G$4:$G$1872,'июль 2024'!$D$4:$D$1872,$B39,'июль 2024'!$J$4:$J$1872,D$1)</f>
        <v>0</v>
      </c>
      <c r="E39" s="80">
        <f>SUMIFS('июль 2024'!$G$4:$G$1872,'июль 2024'!$D$4:$D$1872,$B39,'июль 2024'!$J$4:$J$1872,E$1)</f>
        <v>0</v>
      </c>
      <c r="F39" s="80">
        <f>SUMIFS('июль 2024'!$G$4:$G$1872,'июль 2024'!$D$4:$D$1872,$B39,'июль 2024'!$J$4:$J$1872,F$1)</f>
        <v>0</v>
      </c>
      <c r="G39" s="80">
        <f>SUMIFS('июль 2024'!$G$4:$G$1872,'июль 2024'!$D$4:$D$1872,$B39,'июль 2024'!$J$4:$J$1872,G$1)</f>
        <v>0</v>
      </c>
      <c r="H39" s="80">
        <f>SUMIFS('июль 2024'!$G$4:$G$1872,'июль 2024'!$D$4:$D$1872,$B39,'июль 2024'!$J$4:$J$1872,H$1)</f>
        <v>0</v>
      </c>
      <c r="I39" s="80">
        <f>SUMIFS('июль 2024'!$G$4:$G$1872,'июль 2024'!$D$4:$D$1872,$B39,'июль 2024'!$J$4:$J$1872,I$1)</f>
        <v>0</v>
      </c>
      <c r="J39" s="80">
        <f>SUMIFS('июль 2024'!$G$4:$G$1872,'июль 2024'!$D$4:$D$1872,$B39,'июль 2024'!$J$4:$J$1872,J$1)</f>
        <v>0</v>
      </c>
      <c r="K39" s="80">
        <f>SUMIFS('июль 2024'!$G$4:$G$1872,'июль 2024'!$D$4:$D$1872,$B39,'июль 2024'!$J$4:$J$1872,K$1)</f>
        <v>0</v>
      </c>
      <c r="L39" s="80">
        <f>SUMIFS('июль 2024'!$G$4:$G$1872,'июль 2024'!$D$4:$D$1872,$B39,'июль 2024'!$J$4:$J$1872,L$1)</f>
        <v>0</v>
      </c>
      <c r="M39" s="80">
        <f>SUMIFS('июль 2024'!$G$4:$G$1872,'июль 2024'!$D$4:$D$1872,$B39,'июль 2024'!$J$4:$J$1872,M$1)</f>
        <v>0</v>
      </c>
      <c r="N39" s="80">
        <f>SUMIFS('июль 2024'!$G$4:$G$1872,'июль 2024'!$D$4:$D$1872,$B39,'июль 2024'!$J$4:$J$1872,N$1)</f>
        <v>0</v>
      </c>
      <c r="O39" s="80">
        <f>SUMIFS('июль 2024'!$G$4:$G$1872,'июль 2024'!$D$4:$D$1872,$B39,'июль 2024'!$J$4:$J$1872,O$1)</f>
        <v>0</v>
      </c>
      <c r="P39" s="80">
        <f>SUMIFS('июль 2024'!$G$4:$G$1872,'июль 2024'!$D$4:$D$1872,$B39,'июль 2024'!$J$4:$J$1872,P$1)</f>
        <v>0</v>
      </c>
      <c r="Q39" s="80">
        <f>SUMIFS('июль 2024'!$G$4:$G$1872,'июль 2024'!$D$4:$D$1872,$B39,'июль 2024'!$J$4:$J$1872,Q$1)</f>
        <v>0</v>
      </c>
      <c r="R39" s="80">
        <f>SUMIFS('июль 2024'!$G$4:$G$1872,'июль 2024'!$D$4:$D$1872,$B39,'июль 2024'!$J$4:$J$1872,R$1)</f>
        <v>0</v>
      </c>
      <c r="S39" s="80">
        <f>SUMIFS('июль 2024'!$G$4:$G$1872,'июль 2024'!$D$4:$D$1872,$B39,'июль 2024'!$J$4:$J$1872,S$1)</f>
        <v>0</v>
      </c>
      <c r="T39" s="80">
        <f>SUMIFS('июль 2024'!$G$4:$G$1872,'июль 2024'!$D$4:$D$1872,$B39,'июль 2024'!$J$4:$J$1872,T$1)</f>
        <v>0</v>
      </c>
      <c r="U39" s="80">
        <f>SUMIFS('июль 2024'!$G$4:$G$1872,'июль 2024'!$D$4:$D$1872,$B39,'июль 2024'!$J$4:$J$1872,U$1)</f>
        <v>0</v>
      </c>
      <c r="V39" s="80">
        <f>SUMIFS('июль 2024'!$G$4:$G$1872,'июль 2024'!$D$4:$D$1872,$B39,'июль 2024'!$J$4:$J$1872,V$1)</f>
        <v>0</v>
      </c>
      <c r="W39" s="80">
        <f>SUMIFS('июль 2024'!$G$4:$G$1872,'июль 2024'!$D$4:$D$1872,$B39,'июль 2024'!$J$4:$J$1872,W$1)</f>
        <v>0</v>
      </c>
      <c r="X39" s="80">
        <f>SUMIFS('июль 2024'!$G$4:$G$1872,'июль 2024'!$D$4:$D$1872,$B39,'июль 2024'!$J$4:$J$1872,X$1)</f>
        <v>0</v>
      </c>
      <c r="Y39" s="80">
        <f>SUMIFS('июль 2024'!$G$4:$G$1872,'июль 2024'!$D$4:$D$1872,$B39,'июль 2024'!$J$4:$J$1872,Y$1)</f>
        <v>0</v>
      </c>
      <c r="Z39" s="80">
        <f>SUMIFS('июль 2024'!$G$4:$G$1872,'июль 2024'!$D$4:$D$1872,$B39,'июль 2024'!$J$4:$J$1872,Z$1)</f>
        <v>0</v>
      </c>
      <c r="AA39" s="80">
        <f>SUMIFS('июль 2024'!$G$4:$G$1872,'июль 2024'!$D$4:$D$1872,$B39,'июль 2024'!$J$4:$J$1872,AA$1)</f>
        <v>0</v>
      </c>
      <c r="AB39" s="80">
        <f>SUMIFS('июль 2024'!$G$4:$G$1872,'июль 2024'!$D$4:$D$1872,$B39,'июль 2024'!$J$4:$J$1872,AB$1)</f>
        <v>0</v>
      </c>
      <c r="AC39" s="80">
        <f>SUMIFS('июль 2024'!$G$4:$G$1872,'июль 2024'!$D$4:$D$1872,$B39,'июль 2024'!$J$4:$J$1872,AC$1)</f>
        <v>0</v>
      </c>
      <c r="AD39" s="80">
        <f>SUMIFS('июль 2024'!$G$4:$G$1872,'июль 2024'!$D$4:$D$1872,$B39,'июль 2024'!$J$4:$J$1872,AD$1)</f>
        <v>0</v>
      </c>
      <c r="AE39" s="80">
        <f>SUMIFS('июль 2024'!$G$4:$G$1872,'июль 2024'!$D$4:$D$1872,$B39,'июль 2024'!$J$4:$J$1872,AE$1)</f>
        <v>0</v>
      </c>
      <c r="AF39" s="80">
        <f>SUMIFS('июль 2024'!$G$4:$G$1872,'июль 2024'!$D$4:$D$1872,$B39,'июль 2024'!$J$4:$J$1872,AF$1)</f>
        <v>0</v>
      </c>
      <c r="AG39" s="80">
        <f>SUMIFS('июль 2024'!$G$4:$G$1872,'июль 2024'!$D$4:$D$1872,$B39,'июль 2024'!$J$4:$J$1872,AG$1)</f>
        <v>0</v>
      </c>
      <c r="AH39" s="80">
        <f>SUMIFS('июль 2024'!$G$4:$G$1872,'июль 2024'!$D$4:$D$1872,$B39,'июль 2024'!$J$4:$J$1872,AH$1)</f>
        <v>0</v>
      </c>
      <c r="AI39" s="21">
        <f t="shared" si="1"/>
        <v>0</v>
      </c>
    </row>
    <row r="40" spans="2:35" ht="15" customHeight="1" x14ac:dyDescent="0.25">
      <c r="B40" s="150" t="s">
        <v>290</v>
      </c>
      <c r="C40" s="149">
        <v>22.68</v>
      </c>
      <c r="D40" s="80">
        <f>SUMIFS('июль 2024'!$G$4:$G$1872,'июль 2024'!$D$4:$D$1872,$B40,'июль 2024'!$J$4:$J$1872,D$1)</f>
        <v>0</v>
      </c>
      <c r="E40" s="80">
        <f>SUMIFS('июль 2024'!$G$4:$G$1872,'июль 2024'!$D$4:$D$1872,$B40,'июль 2024'!$J$4:$J$1872,E$1)</f>
        <v>0</v>
      </c>
      <c r="F40" s="80">
        <f>SUMIFS('июль 2024'!$G$4:$G$1872,'июль 2024'!$D$4:$D$1872,$B40,'июль 2024'!$J$4:$J$1872,F$1)</f>
        <v>0</v>
      </c>
      <c r="G40" s="80">
        <f>SUMIFS('июль 2024'!$G$4:$G$1872,'июль 2024'!$D$4:$D$1872,$B40,'июль 2024'!$J$4:$J$1872,G$1)</f>
        <v>0</v>
      </c>
      <c r="H40" s="80">
        <f>SUMIFS('июль 2024'!$G$4:$G$1872,'июль 2024'!$D$4:$D$1872,$B40,'июль 2024'!$J$4:$J$1872,H$1)</f>
        <v>0</v>
      </c>
      <c r="I40" s="80">
        <f>SUMIFS('июль 2024'!$G$4:$G$1872,'июль 2024'!$D$4:$D$1872,$B40,'июль 2024'!$J$4:$J$1872,I$1)</f>
        <v>0</v>
      </c>
      <c r="J40" s="80">
        <f>SUMIFS('июль 2024'!$G$4:$G$1872,'июль 2024'!$D$4:$D$1872,$B40,'июль 2024'!$J$4:$J$1872,J$1)</f>
        <v>0</v>
      </c>
      <c r="K40" s="80">
        <f>SUMIFS('июль 2024'!$G$4:$G$1872,'июль 2024'!$D$4:$D$1872,$B40,'июль 2024'!$J$4:$J$1872,K$1)</f>
        <v>0</v>
      </c>
      <c r="L40" s="80">
        <f>SUMIFS('июль 2024'!$G$4:$G$1872,'июль 2024'!$D$4:$D$1872,$B40,'июль 2024'!$J$4:$J$1872,L$1)</f>
        <v>0</v>
      </c>
      <c r="M40" s="80">
        <f>SUMIFS('июль 2024'!$G$4:$G$1872,'июль 2024'!$D$4:$D$1872,$B40,'июль 2024'!$J$4:$J$1872,M$1)</f>
        <v>0</v>
      </c>
      <c r="N40" s="80">
        <f>SUMIFS('июль 2024'!$G$4:$G$1872,'июль 2024'!$D$4:$D$1872,$B40,'июль 2024'!$J$4:$J$1872,N$1)</f>
        <v>0</v>
      </c>
      <c r="O40" s="80">
        <f>SUMIFS('июль 2024'!$G$4:$G$1872,'июль 2024'!$D$4:$D$1872,$B40,'июль 2024'!$J$4:$J$1872,O$1)</f>
        <v>0</v>
      </c>
      <c r="P40" s="80">
        <f>SUMIFS('июль 2024'!$G$4:$G$1872,'июль 2024'!$D$4:$D$1872,$B40,'июль 2024'!$J$4:$J$1872,P$1)</f>
        <v>0</v>
      </c>
      <c r="Q40" s="80">
        <f>SUMIFS('июль 2024'!$G$4:$G$1872,'июль 2024'!$D$4:$D$1872,$B40,'июль 2024'!$J$4:$J$1872,Q$1)</f>
        <v>0</v>
      </c>
      <c r="R40" s="80">
        <f>SUMIFS('июль 2024'!$G$4:$G$1872,'июль 2024'!$D$4:$D$1872,$B40,'июль 2024'!$J$4:$J$1872,R$1)</f>
        <v>0</v>
      </c>
      <c r="S40" s="80">
        <f>SUMIFS('июль 2024'!$G$4:$G$1872,'июль 2024'!$D$4:$D$1872,$B40,'июль 2024'!$J$4:$J$1872,S$1)</f>
        <v>0</v>
      </c>
      <c r="T40" s="80">
        <f>SUMIFS('июль 2024'!$G$4:$G$1872,'июль 2024'!$D$4:$D$1872,$B40,'июль 2024'!$J$4:$J$1872,T$1)</f>
        <v>0</v>
      </c>
      <c r="U40" s="80">
        <f>SUMIFS('июль 2024'!$G$4:$G$1872,'июль 2024'!$D$4:$D$1872,$B40,'июль 2024'!$J$4:$J$1872,U$1)</f>
        <v>0</v>
      </c>
      <c r="V40" s="80">
        <f>SUMIFS('июль 2024'!$G$4:$G$1872,'июль 2024'!$D$4:$D$1872,$B40,'июль 2024'!$J$4:$J$1872,V$1)</f>
        <v>0</v>
      </c>
      <c r="W40" s="80">
        <f>SUMIFS('июль 2024'!$G$4:$G$1872,'июль 2024'!$D$4:$D$1872,$B40,'июль 2024'!$J$4:$J$1872,W$1)</f>
        <v>0</v>
      </c>
      <c r="X40" s="80">
        <f>SUMIFS('июль 2024'!$G$4:$G$1872,'июль 2024'!$D$4:$D$1872,$B40,'июль 2024'!$J$4:$J$1872,X$1)</f>
        <v>0</v>
      </c>
      <c r="Y40" s="80">
        <f>SUMIFS('июль 2024'!$G$4:$G$1872,'июль 2024'!$D$4:$D$1872,$B40,'июль 2024'!$J$4:$J$1872,Y$1)</f>
        <v>0</v>
      </c>
      <c r="Z40" s="80">
        <f>SUMIFS('июль 2024'!$G$4:$G$1872,'июль 2024'!$D$4:$D$1872,$B40,'июль 2024'!$J$4:$J$1872,Z$1)</f>
        <v>0</v>
      </c>
      <c r="AA40" s="80">
        <f>SUMIFS('июль 2024'!$G$4:$G$1872,'июль 2024'!$D$4:$D$1872,$B40,'июль 2024'!$J$4:$J$1872,AA$1)</f>
        <v>0</v>
      </c>
      <c r="AB40" s="80">
        <f>SUMIFS('июль 2024'!$G$4:$G$1872,'июль 2024'!$D$4:$D$1872,$B40,'июль 2024'!$J$4:$J$1872,AB$1)</f>
        <v>0</v>
      </c>
      <c r="AC40" s="80">
        <f>SUMIFS('июль 2024'!$G$4:$G$1872,'июль 2024'!$D$4:$D$1872,$B40,'июль 2024'!$J$4:$J$1872,AC$1)</f>
        <v>0</v>
      </c>
      <c r="AD40" s="80">
        <f>SUMIFS('июль 2024'!$G$4:$G$1872,'июль 2024'!$D$4:$D$1872,$B40,'июль 2024'!$J$4:$J$1872,AD$1)</f>
        <v>0</v>
      </c>
      <c r="AE40" s="80">
        <f>SUMIFS('июль 2024'!$G$4:$G$1872,'июль 2024'!$D$4:$D$1872,$B40,'июль 2024'!$J$4:$J$1872,AE$1)</f>
        <v>0</v>
      </c>
      <c r="AF40" s="80">
        <f>SUMIFS('июль 2024'!$G$4:$G$1872,'июль 2024'!$D$4:$D$1872,$B40,'июль 2024'!$J$4:$J$1872,AF$1)</f>
        <v>0</v>
      </c>
      <c r="AG40" s="80">
        <f>SUMIFS('июль 2024'!$G$4:$G$1872,'июль 2024'!$D$4:$D$1872,$B40,'июль 2024'!$J$4:$J$1872,AG$1)</f>
        <v>0</v>
      </c>
      <c r="AH40" s="80">
        <f>SUMIFS('июль 2024'!$G$4:$G$1872,'июль 2024'!$D$4:$D$1872,$B40,'июль 2024'!$J$4:$J$1872,AH$1)</f>
        <v>0</v>
      </c>
      <c r="AI40" s="21">
        <f t="shared" si="1"/>
        <v>0</v>
      </c>
    </row>
    <row r="41" spans="2:35" ht="15" customHeight="1" x14ac:dyDescent="0.25">
      <c r="B41" s="154" t="s">
        <v>292</v>
      </c>
      <c r="C41" s="151">
        <v>25</v>
      </c>
      <c r="D41" s="80">
        <f>SUMIFS('июль 2024'!$G$4:$G$1872,'июль 2024'!$D$4:$D$1872,$B41,'июль 2024'!$J$4:$J$1872,D$1)</f>
        <v>0</v>
      </c>
      <c r="E41" s="80">
        <f>SUMIFS('июль 2024'!$G$4:$G$1872,'июль 2024'!$D$4:$D$1872,$B41,'июль 2024'!$J$4:$J$1872,E$1)</f>
        <v>0</v>
      </c>
      <c r="F41" s="80">
        <f>SUMIFS('июль 2024'!$G$4:$G$1872,'июль 2024'!$D$4:$D$1872,$B41,'июль 2024'!$J$4:$J$1872,F$1)</f>
        <v>0</v>
      </c>
      <c r="G41" s="80">
        <f>SUMIFS('июль 2024'!$G$4:$G$1872,'июль 2024'!$D$4:$D$1872,$B41,'июль 2024'!$J$4:$J$1872,G$1)</f>
        <v>0</v>
      </c>
      <c r="H41" s="80">
        <f>SUMIFS('июль 2024'!$G$4:$G$1872,'июль 2024'!$D$4:$D$1872,$B41,'июль 2024'!$J$4:$J$1872,H$1)</f>
        <v>0</v>
      </c>
      <c r="I41" s="80">
        <f>SUMIFS('июль 2024'!$G$4:$G$1872,'июль 2024'!$D$4:$D$1872,$B41,'июль 2024'!$J$4:$J$1872,I$1)</f>
        <v>0</v>
      </c>
      <c r="J41" s="80">
        <f>SUMIFS('июль 2024'!$G$4:$G$1872,'июль 2024'!$D$4:$D$1872,$B41,'июль 2024'!$J$4:$J$1872,J$1)</f>
        <v>0</v>
      </c>
      <c r="K41" s="80">
        <f>SUMIFS('июль 2024'!$G$4:$G$1872,'июль 2024'!$D$4:$D$1872,$B41,'июль 2024'!$J$4:$J$1872,K$1)</f>
        <v>0</v>
      </c>
      <c r="L41" s="80">
        <f>SUMIFS('июль 2024'!$G$4:$G$1872,'июль 2024'!$D$4:$D$1872,$B41,'июль 2024'!$J$4:$J$1872,L$1)</f>
        <v>0</v>
      </c>
      <c r="M41" s="80">
        <f>SUMIFS('июль 2024'!$G$4:$G$1872,'июль 2024'!$D$4:$D$1872,$B41,'июль 2024'!$J$4:$J$1872,M$1)</f>
        <v>0</v>
      </c>
      <c r="N41" s="80">
        <f>SUMIFS('июль 2024'!$G$4:$G$1872,'июль 2024'!$D$4:$D$1872,$B41,'июль 2024'!$J$4:$J$1872,N$1)</f>
        <v>0</v>
      </c>
      <c r="O41" s="80">
        <f>SUMIFS('июль 2024'!$G$4:$G$1872,'июль 2024'!$D$4:$D$1872,$B41,'июль 2024'!$J$4:$J$1872,O$1)</f>
        <v>0</v>
      </c>
      <c r="P41" s="80">
        <f>SUMIFS('июль 2024'!$G$4:$G$1872,'июль 2024'!$D$4:$D$1872,$B41,'июль 2024'!$J$4:$J$1872,P$1)</f>
        <v>0</v>
      </c>
      <c r="Q41" s="80">
        <f>SUMIFS('июль 2024'!$G$4:$G$1872,'июль 2024'!$D$4:$D$1872,$B41,'июль 2024'!$J$4:$J$1872,Q$1)</f>
        <v>0</v>
      </c>
      <c r="R41" s="80">
        <f>SUMIFS('июль 2024'!$G$4:$G$1872,'июль 2024'!$D$4:$D$1872,$B41,'июль 2024'!$J$4:$J$1872,R$1)</f>
        <v>0</v>
      </c>
      <c r="S41" s="80">
        <f>SUMIFS('июль 2024'!$G$4:$G$1872,'июль 2024'!$D$4:$D$1872,$B41,'июль 2024'!$J$4:$J$1872,S$1)</f>
        <v>0</v>
      </c>
      <c r="T41" s="80">
        <f>SUMIFS('июль 2024'!$G$4:$G$1872,'июль 2024'!$D$4:$D$1872,$B41,'июль 2024'!$J$4:$J$1872,T$1)</f>
        <v>0</v>
      </c>
      <c r="U41" s="80">
        <f>SUMIFS('июль 2024'!$G$4:$G$1872,'июль 2024'!$D$4:$D$1872,$B41,'июль 2024'!$J$4:$J$1872,U$1)</f>
        <v>0</v>
      </c>
      <c r="V41" s="80">
        <f>SUMIFS('июль 2024'!$G$4:$G$1872,'июль 2024'!$D$4:$D$1872,$B41,'июль 2024'!$J$4:$J$1872,V$1)</f>
        <v>0</v>
      </c>
      <c r="W41" s="80">
        <f>SUMIFS('июль 2024'!$G$4:$G$1872,'июль 2024'!$D$4:$D$1872,$B41,'июль 2024'!$J$4:$J$1872,W$1)</f>
        <v>0</v>
      </c>
      <c r="X41" s="80">
        <f>SUMIFS('июль 2024'!$G$4:$G$1872,'июль 2024'!$D$4:$D$1872,$B41,'июль 2024'!$J$4:$J$1872,X$1)</f>
        <v>0</v>
      </c>
      <c r="Y41" s="80">
        <f>SUMIFS('июль 2024'!$G$4:$G$1872,'июль 2024'!$D$4:$D$1872,$B41,'июль 2024'!$J$4:$J$1872,Y$1)</f>
        <v>0</v>
      </c>
      <c r="Z41" s="80">
        <f>SUMIFS('июль 2024'!$G$4:$G$1872,'июль 2024'!$D$4:$D$1872,$B41,'июль 2024'!$J$4:$J$1872,Z$1)</f>
        <v>0</v>
      </c>
      <c r="AA41" s="80">
        <f>SUMIFS('июль 2024'!$G$4:$G$1872,'июль 2024'!$D$4:$D$1872,$B41,'июль 2024'!$J$4:$J$1872,AA$1)</f>
        <v>0</v>
      </c>
      <c r="AB41" s="80">
        <f>SUMIFS('июль 2024'!$G$4:$G$1872,'июль 2024'!$D$4:$D$1872,$B41,'июль 2024'!$J$4:$J$1872,AB$1)</f>
        <v>0</v>
      </c>
      <c r="AC41" s="80">
        <f>SUMIFS('июль 2024'!$G$4:$G$1872,'июль 2024'!$D$4:$D$1872,$B41,'июль 2024'!$J$4:$J$1872,AC$1)</f>
        <v>0</v>
      </c>
      <c r="AD41" s="80">
        <f>SUMIFS('июль 2024'!$G$4:$G$1872,'июль 2024'!$D$4:$D$1872,$B41,'июль 2024'!$J$4:$J$1872,AD$1)</f>
        <v>0</v>
      </c>
      <c r="AE41" s="80">
        <f>SUMIFS('июль 2024'!$G$4:$G$1872,'июль 2024'!$D$4:$D$1872,$B41,'июль 2024'!$J$4:$J$1872,AE$1)</f>
        <v>0</v>
      </c>
      <c r="AF41" s="80">
        <f>SUMIFS('июль 2024'!$G$4:$G$1872,'июль 2024'!$D$4:$D$1872,$B41,'июль 2024'!$J$4:$J$1872,AF$1)</f>
        <v>0</v>
      </c>
      <c r="AG41" s="80">
        <f>SUMIFS('июль 2024'!$G$4:$G$1872,'июль 2024'!$D$4:$D$1872,$B41,'июль 2024'!$J$4:$J$1872,AG$1)</f>
        <v>0</v>
      </c>
      <c r="AH41" s="80">
        <f>SUMIFS('июль 2024'!$G$4:$G$1872,'июль 2024'!$D$4:$D$1872,$B41,'июль 2024'!$J$4:$J$1872,AH$1)</f>
        <v>0</v>
      </c>
      <c r="AI41" s="21">
        <f t="shared" si="1"/>
        <v>0</v>
      </c>
    </row>
    <row r="42" spans="2:35" ht="15" customHeight="1" x14ac:dyDescent="0.25">
      <c r="B42" s="150" t="s">
        <v>294</v>
      </c>
      <c r="C42" s="153">
        <v>25</v>
      </c>
      <c r="D42" s="80">
        <f>SUMIFS('июль 2024'!$G$4:$G$1872,'июль 2024'!$D$4:$D$1872,$B42,'июль 2024'!$J$4:$J$1872,D$1)</f>
        <v>80</v>
      </c>
      <c r="E42" s="80">
        <f>SUMIFS('июль 2024'!$G$4:$G$1872,'июль 2024'!$D$4:$D$1872,$B42,'июль 2024'!$J$4:$J$1872,E$1)</f>
        <v>0</v>
      </c>
      <c r="F42" s="80">
        <f>SUMIFS('июль 2024'!$G$4:$G$1872,'июль 2024'!$D$4:$D$1872,$B42,'июль 2024'!$J$4:$J$1872,F$1)</f>
        <v>0</v>
      </c>
      <c r="G42" s="80">
        <f>SUMIFS('июль 2024'!$G$4:$G$1872,'июль 2024'!$D$4:$D$1872,$B42,'июль 2024'!$J$4:$J$1872,G$1)</f>
        <v>0</v>
      </c>
      <c r="H42" s="80">
        <f>SUMIFS('июль 2024'!$G$4:$G$1872,'июль 2024'!$D$4:$D$1872,$B42,'июль 2024'!$J$4:$J$1872,H$1)</f>
        <v>0</v>
      </c>
      <c r="I42" s="80">
        <f>SUMIFS('июль 2024'!$G$4:$G$1872,'июль 2024'!$D$4:$D$1872,$B42,'июль 2024'!$J$4:$J$1872,I$1)</f>
        <v>0</v>
      </c>
      <c r="J42" s="80">
        <f>SUMIFS('июль 2024'!$G$4:$G$1872,'июль 2024'!$D$4:$D$1872,$B42,'июль 2024'!$J$4:$J$1872,J$1)</f>
        <v>0</v>
      </c>
      <c r="K42" s="80">
        <f>SUMIFS('июль 2024'!$G$4:$G$1872,'июль 2024'!$D$4:$D$1872,$B42,'июль 2024'!$J$4:$J$1872,K$1)</f>
        <v>0</v>
      </c>
      <c r="L42" s="80">
        <f>SUMIFS('июль 2024'!$G$4:$G$1872,'июль 2024'!$D$4:$D$1872,$B42,'июль 2024'!$J$4:$J$1872,L$1)</f>
        <v>0</v>
      </c>
      <c r="M42" s="80">
        <f>SUMIFS('июль 2024'!$G$4:$G$1872,'июль 2024'!$D$4:$D$1872,$B42,'июль 2024'!$J$4:$J$1872,M$1)</f>
        <v>0</v>
      </c>
      <c r="N42" s="80">
        <f>SUMIFS('июль 2024'!$G$4:$G$1872,'июль 2024'!$D$4:$D$1872,$B42,'июль 2024'!$J$4:$J$1872,N$1)</f>
        <v>0</v>
      </c>
      <c r="O42" s="80">
        <f>SUMIFS('июль 2024'!$G$4:$G$1872,'июль 2024'!$D$4:$D$1872,$B42,'июль 2024'!$J$4:$J$1872,O$1)</f>
        <v>0</v>
      </c>
      <c r="P42" s="80">
        <f>SUMIFS('июль 2024'!$G$4:$G$1872,'июль 2024'!$D$4:$D$1872,$B42,'июль 2024'!$J$4:$J$1872,P$1)</f>
        <v>0</v>
      </c>
      <c r="Q42" s="80">
        <f>SUMIFS('июль 2024'!$G$4:$G$1872,'июль 2024'!$D$4:$D$1872,$B42,'июль 2024'!$J$4:$J$1872,Q$1)</f>
        <v>0</v>
      </c>
      <c r="R42" s="80">
        <f>SUMIFS('июль 2024'!$G$4:$G$1872,'июль 2024'!$D$4:$D$1872,$B42,'июль 2024'!$J$4:$J$1872,R$1)</f>
        <v>0</v>
      </c>
      <c r="S42" s="80">
        <f>SUMIFS('июль 2024'!$G$4:$G$1872,'июль 2024'!$D$4:$D$1872,$B42,'июль 2024'!$J$4:$J$1872,S$1)</f>
        <v>0</v>
      </c>
      <c r="T42" s="80">
        <f>SUMIFS('июль 2024'!$G$4:$G$1872,'июль 2024'!$D$4:$D$1872,$B42,'июль 2024'!$J$4:$J$1872,T$1)</f>
        <v>0</v>
      </c>
      <c r="U42" s="80">
        <f>SUMIFS('июль 2024'!$G$4:$G$1872,'июль 2024'!$D$4:$D$1872,$B42,'июль 2024'!$J$4:$J$1872,U$1)</f>
        <v>0</v>
      </c>
      <c r="V42" s="80">
        <f>SUMIFS('июль 2024'!$G$4:$G$1872,'июль 2024'!$D$4:$D$1872,$B42,'июль 2024'!$J$4:$J$1872,V$1)</f>
        <v>0</v>
      </c>
      <c r="W42" s="80">
        <f>SUMIFS('июль 2024'!$G$4:$G$1872,'июль 2024'!$D$4:$D$1872,$B42,'июль 2024'!$J$4:$J$1872,W$1)</f>
        <v>0</v>
      </c>
      <c r="X42" s="80">
        <f>SUMIFS('июль 2024'!$G$4:$G$1872,'июль 2024'!$D$4:$D$1872,$B42,'июль 2024'!$J$4:$J$1872,X$1)</f>
        <v>0</v>
      </c>
      <c r="Y42" s="80">
        <f>SUMIFS('июль 2024'!$G$4:$G$1872,'июль 2024'!$D$4:$D$1872,$B42,'июль 2024'!$J$4:$J$1872,Y$1)</f>
        <v>0</v>
      </c>
      <c r="Z42" s="80">
        <f>SUMIFS('июль 2024'!$G$4:$G$1872,'июль 2024'!$D$4:$D$1872,$B42,'июль 2024'!$J$4:$J$1872,Z$1)</f>
        <v>0</v>
      </c>
      <c r="AA42" s="80">
        <f>SUMIFS('июль 2024'!$G$4:$G$1872,'июль 2024'!$D$4:$D$1872,$B42,'июль 2024'!$J$4:$J$1872,AA$1)</f>
        <v>0</v>
      </c>
      <c r="AB42" s="80">
        <f>SUMIFS('июль 2024'!$G$4:$G$1872,'июль 2024'!$D$4:$D$1872,$B42,'июль 2024'!$J$4:$J$1872,AB$1)</f>
        <v>0</v>
      </c>
      <c r="AC42" s="80">
        <f>SUMIFS('июль 2024'!$G$4:$G$1872,'июль 2024'!$D$4:$D$1872,$B42,'июль 2024'!$J$4:$J$1872,AC$1)</f>
        <v>0</v>
      </c>
      <c r="AD42" s="80">
        <f>SUMIFS('июль 2024'!$G$4:$G$1872,'июль 2024'!$D$4:$D$1872,$B42,'июль 2024'!$J$4:$J$1872,AD$1)</f>
        <v>0</v>
      </c>
      <c r="AE42" s="80">
        <f>SUMIFS('июль 2024'!$G$4:$G$1872,'июль 2024'!$D$4:$D$1872,$B42,'июль 2024'!$J$4:$J$1872,AE$1)</f>
        <v>0</v>
      </c>
      <c r="AF42" s="80">
        <f>SUMIFS('июль 2024'!$G$4:$G$1872,'июль 2024'!$D$4:$D$1872,$B42,'июль 2024'!$J$4:$J$1872,AF$1)</f>
        <v>0</v>
      </c>
      <c r="AG42" s="80">
        <f>SUMIFS('июль 2024'!$G$4:$G$1872,'июль 2024'!$D$4:$D$1872,$B42,'июль 2024'!$J$4:$J$1872,AG$1)</f>
        <v>0</v>
      </c>
      <c r="AH42" s="80">
        <f>SUMIFS('июль 2024'!$G$4:$G$1872,'июль 2024'!$D$4:$D$1872,$B42,'июль 2024'!$J$4:$J$1872,AH$1)</f>
        <v>0</v>
      </c>
      <c r="AI42" s="21">
        <f t="shared" si="1"/>
        <v>80</v>
      </c>
    </row>
    <row r="43" spans="2:35" ht="15" customHeight="1" x14ac:dyDescent="0.25">
      <c r="B43" s="154" t="s">
        <v>468</v>
      </c>
      <c r="C43" s="170">
        <v>25</v>
      </c>
      <c r="D43" s="80">
        <f>SUMIFS('июль 2024'!$G$4:$G$1872,'июль 2024'!$D$4:$D$1872,$B43,'июль 2024'!$J$4:$J$1872,D$1)</f>
        <v>0</v>
      </c>
      <c r="E43" s="80">
        <f>SUMIFS('июль 2024'!$G$4:$G$1872,'июль 2024'!$D$4:$D$1872,$B43,'июль 2024'!$J$4:$J$1872,E$1)</f>
        <v>0</v>
      </c>
      <c r="F43" s="80">
        <f>SUMIFS('июль 2024'!$G$4:$G$1872,'июль 2024'!$D$4:$D$1872,$B43,'июль 2024'!$J$4:$J$1872,F$1)</f>
        <v>0</v>
      </c>
      <c r="G43" s="80">
        <f>SUMIFS('июль 2024'!$G$4:$G$1872,'июль 2024'!$D$4:$D$1872,$B43,'июль 2024'!$J$4:$J$1872,G$1)</f>
        <v>0</v>
      </c>
      <c r="H43" s="80">
        <f>SUMIFS('июль 2024'!$G$4:$G$1872,'июль 2024'!$D$4:$D$1872,$B43,'июль 2024'!$J$4:$J$1872,H$1)</f>
        <v>0</v>
      </c>
      <c r="I43" s="80">
        <f>SUMIFS('июль 2024'!$G$4:$G$1872,'июль 2024'!$D$4:$D$1872,$B43,'июль 2024'!$J$4:$J$1872,I$1)</f>
        <v>0</v>
      </c>
      <c r="J43" s="80">
        <f>SUMIFS('июль 2024'!$G$4:$G$1872,'июль 2024'!$D$4:$D$1872,$B43,'июль 2024'!$J$4:$J$1872,J$1)</f>
        <v>0</v>
      </c>
      <c r="K43" s="80">
        <f>SUMIFS('июль 2024'!$G$4:$G$1872,'июль 2024'!$D$4:$D$1872,$B43,'июль 2024'!$J$4:$J$1872,K$1)</f>
        <v>0</v>
      </c>
      <c r="L43" s="80">
        <f>SUMIFS('июль 2024'!$G$4:$G$1872,'июль 2024'!$D$4:$D$1872,$B43,'июль 2024'!$J$4:$J$1872,L$1)</f>
        <v>0</v>
      </c>
      <c r="M43" s="80">
        <f>SUMIFS('июль 2024'!$G$4:$G$1872,'июль 2024'!$D$4:$D$1872,$B43,'июль 2024'!$J$4:$J$1872,M$1)</f>
        <v>0</v>
      </c>
      <c r="N43" s="80">
        <f>SUMIFS('июль 2024'!$G$4:$G$1872,'июль 2024'!$D$4:$D$1872,$B43,'июль 2024'!$J$4:$J$1872,N$1)</f>
        <v>0</v>
      </c>
      <c r="O43" s="80">
        <f>SUMIFS('июль 2024'!$G$4:$G$1872,'июль 2024'!$D$4:$D$1872,$B43,'июль 2024'!$J$4:$J$1872,O$1)</f>
        <v>0</v>
      </c>
      <c r="P43" s="80">
        <f>SUMIFS('июль 2024'!$G$4:$G$1872,'июль 2024'!$D$4:$D$1872,$B43,'июль 2024'!$J$4:$J$1872,P$1)</f>
        <v>0</v>
      </c>
      <c r="Q43" s="80">
        <f>SUMIFS('июль 2024'!$G$4:$G$1872,'июль 2024'!$D$4:$D$1872,$B43,'июль 2024'!$J$4:$J$1872,Q$1)</f>
        <v>0</v>
      </c>
      <c r="R43" s="80">
        <f>SUMIFS('июль 2024'!$G$4:$G$1872,'июль 2024'!$D$4:$D$1872,$B43,'июль 2024'!$J$4:$J$1872,R$1)</f>
        <v>0</v>
      </c>
      <c r="S43" s="80">
        <f>SUMIFS('июль 2024'!$G$4:$G$1872,'июль 2024'!$D$4:$D$1872,$B43,'июль 2024'!$J$4:$J$1872,S$1)</f>
        <v>0</v>
      </c>
      <c r="T43" s="80">
        <f>SUMIFS('июль 2024'!$G$4:$G$1872,'июль 2024'!$D$4:$D$1872,$B43,'июль 2024'!$J$4:$J$1872,T$1)</f>
        <v>0</v>
      </c>
      <c r="U43" s="80">
        <f>SUMIFS('июль 2024'!$G$4:$G$1872,'июль 2024'!$D$4:$D$1872,$B43,'июль 2024'!$J$4:$J$1872,U$1)</f>
        <v>0</v>
      </c>
      <c r="V43" s="80">
        <f>SUMIFS('июль 2024'!$G$4:$G$1872,'июль 2024'!$D$4:$D$1872,$B43,'июль 2024'!$J$4:$J$1872,V$1)</f>
        <v>0</v>
      </c>
      <c r="W43" s="80">
        <f>SUMIFS('июль 2024'!$G$4:$G$1872,'июль 2024'!$D$4:$D$1872,$B43,'июль 2024'!$J$4:$J$1872,W$1)</f>
        <v>0</v>
      </c>
      <c r="X43" s="80">
        <f>SUMIFS('июль 2024'!$G$4:$G$1872,'июль 2024'!$D$4:$D$1872,$B43,'июль 2024'!$J$4:$J$1872,X$1)</f>
        <v>0</v>
      </c>
      <c r="Y43" s="80">
        <f>SUMIFS('июль 2024'!$G$4:$G$1872,'июль 2024'!$D$4:$D$1872,$B43,'июль 2024'!$J$4:$J$1872,Y$1)</f>
        <v>0</v>
      </c>
      <c r="Z43" s="80">
        <f>SUMIFS('июль 2024'!$G$4:$G$1872,'июль 2024'!$D$4:$D$1872,$B43,'июль 2024'!$J$4:$J$1872,Z$1)</f>
        <v>0</v>
      </c>
      <c r="AA43" s="80">
        <f>SUMIFS('июль 2024'!$G$4:$G$1872,'июль 2024'!$D$4:$D$1872,$B43,'июль 2024'!$J$4:$J$1872,AA$1)</f>
        <v>0</v>
      </c>
      <c r="AB43" s="80">
        <f>SUMIFS('июль 2024'!$G$4:$G$1872,'июль 2024'!$D$4:$D$1872,$B43,'июль 2024'!$J$4:$J$1872,AB$1)</f>
        <v>0</v>
      </c>
      <c r="AC43" s="80">
        <f>SUMIFS('июль 2024'!$G$4:$G$1872,'июль 2024'!$D$4:$D$1872,$B43,'июль 2024'!$J$4:$J$1872,AC$1)</f>
        <v>0</v>
      </c>
      <c r="AD43" s="80">
        <f>SUMIFS('июль 2024'!$G$4:$G$1872,'июль 2024'!$D$4:$D$1872,$B43,'июль 2024'!$J$4:$J$1872,AD$1)</f>
        <v>0</v>
      </c>
      <c r="AE43" s="80">
        <f>SUMIFS('июль 2024'!$G$4:$G$1872,'июль 2024'!$D$4:$D$1872,$B43,'июль 2024'!$J$4:$J$1872,AE$1)</f>
        <v>0</v>
      </c>
      <c r="AF43" s="80">
        <f>SUMIFS('июль 2024'!$G$4:$G$1872,'июль 2024'!$D$4:$D$1872,$B43,'июль 2024'!$J$4:$J$1872,AF$1)</f>
        <v>0</v>
      </c>
      <c r="AG43" s="80">
        <f>SUMIFS('июль 2024'!$G$4:$G$1872,'июль 2024'!$D$4:$D$1872,$B43,'июль 2024'!$J$4:$J$1872,AG$1)</f>
        <v>0</v>
      </c>
      <c r="AH43" s="80">
        <f>SUMIFS('июль 2024'!$G$4:$G$1872,'июль 2024'!$D$4:$D$1872,$B43,'июль 2024'!$J$4:$J$1872,AH$1)</f>
        <v>0</v>
      </c>
      <c r="AI43" s="21">
        <f t="shared" si="1"/>
        <v>0</v>
      </c>
    </row>
    <row r="44" spans="2:35" ht="15" customHeight="1" x14ac:dyDescent="0.25">
      <c r="B44" s="154" t="s">
        <v>296</v>
      </c>
      <c r="C44" s="151">
        <v>25</v>
      </c>
      <c r="D44" s="80">
        <f>SUMIFS('июль 2024'!$G$4:$G$1872,'июль 2024'!$D$4:$D$1872,$B44,'июль 2024'!$J$4:$J$1872,D$1)</f>
        <v>0</v>
      </c>
      <c r="E44" s="80">
        <f>SUMIFS('июль 2024'!$G$4:$G$1872,'июль 2024'!$D$4:$D$1872,$B44,'июль 2024'!$J$4:$J$1872,E$1)</f>
        <v>0</v>
      </c>
      <c r="F44" s="80">
        <f>SUMIFS('июль 2024'!$G$4:$G$1872,'июль 2024'!$D$4:$D$1872,$B44,'июль 2024'!$J$4:$J$1872,F$1)</f>
        <v>0</v>
      </c>
      <c r="G44" s="80">
        <f>SUMIFS('июль 2024'!$G$4:$G$1872,'июль 2024'!$D$4:$D$1872,$B44,'июль 2024'!$J$4:$J$1872,G$1)</f>
        <v>0</v>
      </c>
      <c r="H44" s="80">
        <f>SUMIFS('июль 2024'!$G$4:$G$1872,'июль 2024'!$D$4:$D$1872,$B44,'июль 2024'!$J$4:$J$1872,H$1)</f>
        <v>0</v>
      </c>
      <c r="I44" s="80">
        <f>SUMIFS('июль 2024'!$G$4:$G$1872,'июль 2024'!$D$4:$D$1872,$B44,'июль 2024'!$J$4:$J$1872,I$1)</f>
        <v>0</v>
      </c>
      <c r="J44" s="80">
        <f>SUMIFS('июль 2024'!$G$4:$G$1872,'июль 2024'!$D$4:$D$1872,$B44,'июль 2024'!$J$4:$J$1872,J$1)</f>
        <v>0</v>
      </c>
      <c r="K44" s="80">
        <f>SUMIFS('июль 2024'!$G$4:$G$1872,'июль 2024'!$D$4:$D$1872,$B44,'июль 2024'!$J$4:$J$1872,K$1)</f>
        <v>0</v>
      </c>
      <c r="L44" s="80">
        <f>SUMIFS('июль 2024'!$G$4:$G$1872,'июль 2024'!$D$4:$D$1872,$B44,'июль 2024'!$J$4:$J$1872,L$1)</f>
        <v>0</v>
      </c>
      <c r="M44" s="80">
        <f>SUMIFS('июль 2024'!$G$4:$G$1872,'июль 2024'!$D$4:$D$1872,$B44,'июль 2024'!$J$4:$J$1872,M$1)</f>
        <v>0</v>
      </c>
      <c r="N44" s="80">
        <f>SUMIFS('июль 2024'!$G$4:$G$1872,'июль 2024'!$D$4:$D$1872,$B44,'июль 2024'!$J$4:$J$1872,N$1)</f>
        <v>0</v>
      </c>
      <c r="O44" s="80">
        <f>SUMIFS('июль 2024'!$G$4:$G$1872,'июль 2024'!$D$4:$D$1872,$B44,'июль 2024'!$J$4:$J$1872,O$1)</f>
        <v>0</v>
      </c>
      <c r="P44" s="80">
        <f>SUMIFS('июль 2024'!$G$4:$G$1872,'июль 2024'!$D$4:$D$1872,$B44,'июль 2024'!$J$4:$J$1872,P$1)</f>
        <v>0</v>
      </c>
      <c r="Q44" s="80">
        <f>SUMIFS('июль 2024'!$G$4:$G$1872,'июль 2024'!$D$4:$D$1872,$B44,'июль 2024'!$J$4:$J$1872,Q$1)</f>
        <v>0</v>
      </c>
      <c r="R44" s="80">
        <f>SUMIFS('июль 2024'!$G$4:$G$1872,'июль 2024'!$D$4:$D$1872,$B44,'июль 2024'!$J$4:$J$1872,R$1)</f>
        <v>0</v>
      </c>
      <c r="S44" s="80">
        <f>SUMIFS('июль 2024'!$G$4:$G$1872,'июль 2024'!$D$4:$D$1872,$B44,'июль 2024'!$J$4:$J$1872,S$1)</f>
        <v>0</v>
      </c>
      <c r="T44" s="80">
        <f>SUMIFS('июль 2024'!$G$4:$G$1872,'июль 2024'!$D$4:$D$1872,$B44,'июль 2024'!$J$4:$J$1872,T$1)</f>
        <v>0</v>
      </c>
      <c r="U44" s="80">
        <f>SUMIFS('июль 2024'!$G$4:$G$1872,'июль 2024'!$D$4:$D$1872,$B44,'июль 2024'!$J$4:$J$1872,U$1)</f>
        <v>0</v>
      </c>
      <c r="V44" s="80">
        <f>SUMIFS('июль 2024'!$G$4:$G$1872,'июль 2024'!$D$4:$D$1872,$B44,'июль 2024'!$J$4:$J$1872,V$1)</f>
        <v>0</v>
      </c>
      <c r="W44" s="80">
        <f>SUMIFS('июль 2024'!$G$4:$G$1872,'июль 2024'!$D$4:$D$1872,$B44,'июль 2024'!$J$4:$J$1872,W$1)</f>
        <v>0</v>
      </c>
      <c r="X44" s="80">
        <f>SUMIFS('июль 2024'!$G$4:$G$1872,'июль 2024'!$D$4:$D$1872,$B44,'июль 2024'!$J$4:$J$1872,X$1)</f>
        <v>0</v>
      </c>
      <c r="Y44" s="80">
        <f>SUMIFS('июль 2024'!$G$4:$G$1872,'июль 2024'!$D$4:$D$1872,$B44,'июль 2024'!$J$4:$J$1872,Y$1)</f>
        <v>0</v>
      </c>
      <c r="Z44" s="80">
        <f>SUMIFS('июль 2024'!$G$4:$G$1872,'июль 2024'!$D$4:$D$1872,$B44,'июль 2024'!$J$4:$J$1872,Z$1)</f>
        <v>0</v>
      </c>
      <c r="AA44" s="80">
        <f>SUMIFS('июль 2024'!$G$4:$G$1872,'июль 2024'!$D$4:$D$1872,$B44,'июль 2024'!$J$4:$J$1872,AA$1)</f>
        <v>0</v>
      </c>
      <c r="AB44" s="80">
        <f>SUMIFS('июль 2024'!$G$4:$G$1872,'июль 2024'!$D$4:$D$1872,$B44,'июль 2024'!$J$4:$J$1872,AB$1)</f>
        <v>0</v>
      </c>
      <c r="AC44" s="80">
        <f>SUMIFS('июль 2024'!$G$4:$G$1872,'июль 2024'!$D$4:$D$1872,$B44,'июль 2024'!$J$4:$J$1872,AC$1)</f>
        <v>0</v>
      </c>
      <c r="AD44" s="80">
        <f>SUMIFS('июль 2024'!$G$4:$G$1872,'июль 2024'!$D$4:$D$1872,$B44,'июль 2024'!$J$4:$J$1872,AD$1)</f>
        <v>0</v>
      </c>
      <c r="AE44" s="80">
        <f>SUMIFS('июль 2024'!$G$4:$G$1872,'июль 2024'!$D$4:$D$1872,$B44,'июль 2024'!$J$4:$J$1872,AE$1)</f>
        <v>0</v>
      </c>
      <c r="AF44" s="80">
        <f>SUMIFS('июль 2024'!$G$4:$G$1872,'июль 2024'!$D$4:$D$1872,$B44,'июль 2024'!$J$4:$J$1872,AF$1)</f>
        <v>0</v>
      </c>
      <c r="AG44" s="80">
        <f>SUMIFS('июль 2024'!$G$4:$G$1872,'июль 2024'!$D$4:$D$1872,$B44,'июль 2024'!$J$4:$J$1872,AG$1)</f>
        <v>0</v>
      </c>
      <c r="AH44" s="80">
        <f>SUMIFS('июль 2024'!$G$4:$G$1872,'июль 2024'!$D$4:$D$1872,$B44,'июль 2024'!$J$4:$J$1872,AH$1)</f>
        <v>0</v>
      </c>
      <c r="AI44" s="21">
        <f t="shared" si="1"/>
        <v>0</v>
      </c>
    </row>
    <row r="45" spans="2:35" ht="15" customHeight="1" x14ac:dyDescent="0.25">
      <c r="B45" s="154" t="s">
        <v>298</v>
      </c>
      <c r="C45" s="151">
        <v>18</v>
      </c>
      <c r="D45" s="80">
        <f>SUMIFS('июль 2024'!$G$4:$G$1872,'июль 2024'!$D$4:$D$1872,$B45,'июль 2024'!$J$4:$J$1872,D$1)</f>
        <v>0</v>
      </c>
      <c r="E45" s="80">
        <f>SUMIFS('июль 2024'!$G$4:$G$1872,'июль 2024'!$D$4:$D$1872,$B45,'июль 2024'!$J$4:$J$1872,E$1)</f>
        <v>0</v>
      </c>
      <c r="F45" s="80">
        <f>SUMIFS('июль 2024'!$G$4:$G$1872,'июль 2024'!$D$4:$D$1872,$B45,'июль 2024'!$J$4:$J$1872,F$1)</f>
        <v>0</v>
      </c>
      <c r="G45" s="80">
        <f>SUMIFS('июль 2024'!$G$4:$G$1872,'июль 2024'!$D$4:$D$1872,$B45,'июль 2024'!$J$4:$J$1872,G$1)</f>
        <v>0</v>
      </c>
      <c r="H45" s="80">
        <f>SUMIFS('июль 2024'!$G$4:$G$1872,'июль 2024'!$D$4:$D$1872,$B45,'июль 2024'!$J$4:$J$1872,H$1)</f>
        <v>0</v>
      </c>
      <c r="I45" s="80">
        <f>SUMIFS('июль 2024'!$G$4:$G$1872,'июль 2024'!$D$4:$D$1872,$B45,'июль 2024'!$J$4:$J$1872,I$1)</f>
        <v>0</v>
      </c>
      <c r="J45" s="80">
        <f>SUMIFS('июль 2024'!$G$4:$G$1872,'июль 2024'!$D$4:$D$1872,$B45,'июль 2024'!$J$4:$J$1872,J$1)</f>
        <v>0</v>
      </c>
      <c r="K45" s="80">
        <f>SUMIFS('июль 2024'!$G$4:$G$1872,'июль 2024'!$D$4:$D$1872,$B45,'июль 2024'!$J$4:$J$1872,K$1)</f>
        <v>0</v>
      </c>
      <c r="L45" s="80">
        <f>SUMIFS('июль 2024'!$G$4:$G$1872,'июль 2024'!$D$4:$D$1872,$B45,'июль 2024'!$J$4:$J$1872,L$1)</f>
        <v>0</v>
      </c>
      <c r="M45" s="80">
        <f>SUMIFS('июль 2024'!$G$4:$G$1872,'июль 2024'!$D$4:$D$1872,$B45,'июль 2024'!$J$4:$J$1872,M$1)</f>
        <v>0</v>
      </c>
      <c r="N45" s="80">
        <f>SUMIFS('июль 2024'!$G$4:$G$1872,'июль 2024'!$D$4:$D$1872,$B45,'июль 2024'!$J$4:$J$1872,N$1)</f>
        <v>0</v>
      </c>
      <c r="O45" s="80">
        <f>SUMIFS('июль 2024'!$G$4:$G$1872,'июль 2024'!$D$4:$D$1872,$B45,'июль 2024'!$J$4:$J$1872,O$1)</f>
        <v>0</v>
      </c>
      <c r="P45" s="80">
        <f>SUMIFS('июль 2024'!$G$4:$G$1872,'июль 2024'!$D$4:$D$1872,$B45,'июль 2024'!$J$4:$J$1872,P$1)</f>
        <v>0</v>
      </c>
      <c r="Q45" s="80">
        <f>SUMIFS('июль 2024'!$G$4:$G$1872,'июль 2024'!$D$4:$D$1872,$B45,'июль 2024'!$J$4:$J$1872,Q$1)</f>
        <v>0</v>
      </c>
      <c r="R45" s="80">
        <f>SUMIFS('июль 2024'!$G$4:$G$1872,'июль 2024'!$D$4:$D$1872,$B45,'июль 2024'!$J$4:$J$1872,R$1)</f>
        <v>0</v>
      </c>
      <c r="S45" s="80">
        <f>SUMIFS('июль 2024'!$G$4:$G$1872,'июль 2024'!$D$4:$D$1872,$B45,'июль 2024'!$J$4:$J$1872,S$1)</f>
        <v>0</v>
      </c>
      <c r="T45" s="80">
        <f>SUMIFS('июль 2024'!$G$4:$G$1872,'июль 2024'!$D$4:$D$1872,$B45,'июль 2024'!$J$4:$J$1872,T$1)</f>
        <v>0</v>
      </c>
      <c r="U45" s="80">
        <f>SUMIFS('июль 2024'!$G$4:$G$1872,'июль 2024'!$D$4:$D$1872,$B45,'июль 2024'!$J$4:$J$1872,U$1)</f>
        <v>0</v>
      </c>
      <c r="V45" s="80">
        <f>SUMIFS('июль 2024'!$G$4:$G$1872,'июль 2024'!$D$4:$D$1872,$B45,'июль 2024'!$J$4:$J$1872,V$1)</f>
        <v>0</v>
      </c>
      <c r="W45" s="80">
        <f>SUMIFS('июль 2024'!$G$4:$G$1872,'июль 2024'!$D$4:$D$1872,$B45,'июль 2024'!$J$4:$J$1872,W$1)</f>
        <v>0</v>
      </c>
      <c r="X45" s="80">
        <f>SUMIFS('июль 2024'!$G$4:$G$1872,'июль 2024'!$D$4:$D$1872,$B45,'июль 2024'!$J$4:$J$1872,X$1)</f>
        <v>0</v>
      </c>
      <c r="Y45" s="80">
        <f>SUMIFS('июль 2024'!$G$4:$G$1872,'июль 2024'!$D$4:$D$1872,$B45,'июль 2024'!$J$4:$J$1872,Y$1)</f>
        <v>0</v>
      </c>
      <c r="Z45" s="80">
        <f>SUMIFS('июль 2024'!$G$4:$G$1872,'июль 2024'!$D$4:$D$1872,$B45,'июль 2024'!$J$4:$J$1872,Z$1)</f>
        <v>160</v>
      </c>
      <c r="AA45" s="80">
        <f>SUMIFS('июль 2024'!$G$4:$G$1872,'июль 2024'!$D$4:$D$1872,$B45,'июль 2024'!$J$4:$J$1872,AA$1)</f>
        <v>0</v>
      </c>
      <c r="AB45" s="80">
        <f>SUMIFS('июль 2024'!$G$4:$G$1872,'июль 2024'!$D$4:$D$1872,$B45,'июль 2024'!$J$4:$J$1872,AB$1)</f>
        <v>0</v>
      </c>
      <c r="AC45" s="80">
        <f>SUMIFS('июль 2024'!$G$4:$G$1872,'июль 2024'!$D$4:$D$1872,$B45,'июль 2024'!$J$4:$J$1872,AC$1)</f>
        <v>0</v>
      </c>
      <c r="AD45" s="80">
        <f>SUMIFS('июль 2024'!$G$4:$G$1872,'июль 2024'!$D$4:$D$1872,$B45,'июль 2024'!$J$4:$J$1872,AD$1)</f>
        <v>0</v>
      </c>
      <c r="AE45" s="80">
        <f>SUMIFS('июль 2024'!$G$4:$G$1872,'июль 2024'!$D$4:$D$1872,$B45,'июль 2024'!$J$4:$J$1872,AE$1)</f>
        <v>0</v>
      </c>
      <c r="AF45" s="80">
        <f>SUMIFS('июль 2024'!$G$4:$G$1872,'июль 2024'!$D$4:$D$1872,$B45,'июль 2024'!$J$4:$J$1872,AF$1)</f>
        <v>0</v>
      </c>
      <c r="AG45" s="80">
        <f>SUMIFS('июль 2024'!$G$4:$G$1872,'июль 2024'!$D$4:$D$1872,$B45,'июль 2024'!$J$4:$J$1872,AG$1)</f>
        <v>0</v>
      </c>
      <c r="AH45" s="80">
        <f>SUMIFS('июль 2024'!$G$4:$G$1872,'июль 2024'!$D$4:$D$1872,$B45,'июль 2024'!$J$4:$J$1872,AH$1)</f>
        <v>0</v>
      </c>
      <c r="AI45" s="21">
        <f t="shared" si="1"/>
        <v>160</v>
      </c>
    </row>
    <row r="46" spans="2:35" ht="15" customHeight="1" x14ac:dyDescent="0.25">
      <c r="B46" s="154" t="s">
        <v>300</v>
      </c>
      <c r="C46" s="151">
        <v>20</v>
      </c>
      <c r="D46" s="80">
        <f>SUMIFS('июль 2024'!$G$4:$G$1872,'июль 2024'!$D$4:$D$1872,$B46,'июль 2024'!$J$4:$J$1872,D$1)</f>
        <v>0</v>
      </c>
      <c r="E46" s="80">
        <f>SUMIFS('июль 2024'!$G$4:$G$1872,'июль 2024'!$D$4:$D$1872,$B46,'июль 2024'!$J$4:$J$1872,E$1)</f>
        <v>0</v>
      </c>
      <c r="F46" s="80">
        <f>SUMIFS('июль 2024'!$G$4:$G$1872,'июль 2024'!$D$4:$D$1872,$B46,'июль 2024'!$J$4:$J$1872,F$1)</f>
        <v>0</v>
      </c>
      <c r="G46" s="80">
        <f>SUMIFS('июль 2024'!$G$4:$G$1872,'июль 2024'!$D$4:$D$1872,$B46,'июль 2024'!$J$4:$J$1872,G$1)</f>
        <v>0</v>
      </c>
      <c r="H46" s="80">
        <f>SUMIFS('июль 2024'!$G$4:$G$1872,'июль 2024'!$D$4:$D$1872,$B46,'июль 2024'!$J$4:$J$1872,H$1)</f>
        <v>0</v>
      </c>
      <c r="I46" s="80">
        <f>SUMIFS('июль 2024'!$G$4:$G$1872,'июль 2024'!$D$4:$D$1872,$B46,'июль 2024'!$J$4:$J$1872,I$1)</f>
        <v>0</v>
      </c>
      <c r="J46" s="80">
        <f>SUMIFS('июль 2024'!$G$4:$G$1872,'июль 2024'!$D$4:$D$1872,$B46,'июль 2024'!$J$4:$J$1872,J$1)</f>
        <v>0</v>
      </c>
      <c r="K46" s="80">
        <f>SUMIFS('июль 2024'!$G$4:$G$1872,'июль 2024'!$D$4:$D$1872,$B46,'июль 2024'!$J$4:$J$1872,K$1)</f>
        <v>0</v>
      </c>
      <c r="L46" s="80">
        <f>SUMIFS('июль 2024'!$G$4:$G$1872,'июль 2024'!$D$4:$D$1872,$B46,'июль 2024'!$J$4:$J$1872,L$1)</f>
        <v>0</v>
      </c>
      <c r="M46" s="80">
        <f>SUMIFS('июль 2024'!$G$4:$G$1872,'июль 2024'!$D$4:$D$1872,$B46,'июль 2024'!$J$4:$J$1872,M$1)</f>
        <v>0</v>
      </c>
      <c r="N46" s="80">
        <f>SUMIFS('июль 2024'!$G$4:$G$1872,'июль 2024'!$D$4:$D$1872,$B46,'июль 2024'!$J$4:$J$1872,N$1)</f>
        <v>0</v>
      </c>
      <c r="O46" s="80">
        <f>SUMIFS('июль 2024'!$G$4:$G$1872,'июль 2024'!$D$4:$D$1872,$B46,'июль 2024'!$J$4:$J$1872,O$1)</f>
        <v>0</v>
      </c>
      <c r="P46" s="80">
        <f>SUMIFS('июль 2024'!$G$4:$G$1872,'июль 2024'!$D$4:$D$1872,$B46,'июль 2024'!$J$4:$J$1872,P$1)</f>
        <v>0</v>
      </c>
      <c r="Q46" s="80">
        <f>SUMIFS('июль 2024'!$G$4:$G$1872,'июль 2024'!$D$4:$D$1872,$B46,'июль 2024'!$J$4:$J$1872,Q$1)</f>
        <v>0</v>
      </c>
      <c r="R46" s="80">
        <f>SUMIFS('июль 2024'!$G$4:$G$1872,'июль 2024'!$D$4:$D$1872,$B46,'июль 2024'!$J$4:$J$1872,R$1)</f>
        <v>0</v>
      </c>
      <c r="S46" s="80">
        <f>SUMIFS('июль 2024'!$G$4:$G$1872,'июль 2024'!$D$4:$D$1872,$B46,'июль 2024'!$J$4:$J$1872,S$1)</f>
        <v>0</v>
      </c>
      <c r="T46" s="80">
        <f>SUMIFS('июль 2024'!$G$4:$G$1872,'июль 2024'!$D$4:$D$1872,$B46,'июль 2024'!$J$4:$J$1872,T$1)</f>
        <v>0</v>
      </c>
      <c r="U46" s="80">
        <f>SUMIFS('июль 2024'!$G$4:$G$1872,'июль 2024'!$D$4:$D$1872,$B46,'июль 2024'!$J$4:$J$1872,U$1)</f>
        <v>0</v>
      </c>
      <c r="V46" s="80">
        <f>SUMIFS('июль 2024'!$G$4:$G$1872,'июль 2024'!$D$4:$D$1872,$B46,'июль 2024'!$J$4:$J$1872,V$1)</f>
        <v>0</v>
      </c>
      <c r="W46" s="80">
        <f>SUMIFS('июль 2024'!$G$4:$G$1872,'июль 2024'!$D$4:$D$1872,$B46,'июль 2024'!$J$4:$J$1872,W$1)</f>
        <v>0</v>
      </c>
      <c r="X46" s="80">
        <f>SUMIFS('июль 2024'!$G$4:$G$1872,'июль 2024'!$D$4:$D$1872,$B46,'июль 2024'!$J$4:$J$1872,X$1)</f>
        <v>0</v>
      </c>
      <c r="Y46" s="80">
        <f>SUMIFS('июль 2024'!$G$4:$G$1872,'июль 2024'!$D$4:$D$1872,$B46,'июль 2024'!$J$4:$J$1872,Y$1)</f>
        <v>0</v>
      </c>
      <c r="Z46" s="80">
        <f>SUMIFS('июль 2024'!$G$4:$G$1872,'июль 2024'!$D$4:$D$1872,$B46,'июль 2024'!$J$4:$J$1872,Z$1)</f>
        <v>0</v>
      </c>
      <c r="AA46" s="80">
        <f>SUMIFS('июль 2024'!$G$4:$G$1872,'июль 2024'!$D$4:$D$1872,$B46,'июль 2024'!$J$4:$J$1872,AA$1)</f>
        <v>0</v>
      </c>
      <c r="AB46" s="80">
        <f>SUMIFS('июль 2024'!$G$4:$G$1872,'июль 2024'!$D$4:$D$1872,$B46,'июль 2024'!$J$4:$J$1872,AB$1)</f>
        <v>0</v>
      </c>
      <c r="AC46" s="80">
        <f>SUMIFS('июль 2024'!$G$4:$G$1872,'июль 2024'!$D$4:$D$1872,$B46,'июль 2024'!$J$4:$J$1872,AC$1)</f>
        <v>0</v>
      </c>
      <c r="AD46" s="80">
        <f>SUMIFS('июль 2024'!$G$4:$G$1872,'июль 2024'!$D$4:$D$1872,$B46,'июль 2024'!$J$4:$J$1872,AD$1)</f>
        <v>0</v>
      </c>
      <c r="AE46" s="80">
        <f>SUMIFS('июль 2024'!$G$4:$G$1872,'июль 2024'!$D$4:$D$1872,$B46,'июль 2024'!$J$4:$J$1872,AE$1)</f>
        <v>0</v>
      </c>
      <c r="AF46" s="80">
        <f>SUMIFS('июль 2024'!$G$4:$G$1872,'июль 2024'!$D$4:$D$1872,$B46,'июль 2024'!$J$4:$J$1872,AF$1)</f>
        <v>0</v>
      </c>
      <c r="AG46" s="80">
        <f>SUMIFS('июль 2024'!$G$4:$G$1872,'июль 2024'!$D$4:$D$1872,$B46,'июль 2024'!$J$4:$J$1872,AG$1)</f>
        <v>0</v>
      </c>
      <c r="AH46" s="80">
        <f>SUMIFS('июль 2024'!$G$4:$G$1872,'июль 2024'!$D$4:$D$1872,$B46,'июль 2024'!$J$4:$J$1872,AH$1)</f>
        <v>0</v>
      </c>
      <c r="AI46" s="21">
        <f t="shared" si="1"/>
        <v>0</v>
      </c>
    </row>
    <row r="47" spans="2:35" ht="15" customHeight="1" x14ac:dyDescent="0.25">
      <c r="B47" s="150" t="s">
        <v>302</v>
      </c>
      <c r="C47" s="153">
        <v>20</v>
      </c>
      <c r="D47" s="80">
        <f>SUMIFS('июль 2024'!$G$4:$G$1872,'июль 2024'!$D$4:$D$1872,$B47,'июль 2024'!$J$4:$J$1872,D$1)</f>
        <v>0</v>
      </c>
      <c r="E47" s="80">
        <f>SUMIFS('июль 2024'!$G$4:$G$1872,'июль 2024'!$D$4:$D$1872,$B47,'июль 2024'!$J$4:$J$1872,E$1)</f>
        <v>0</v>
      </c>
      <c r="F47" s="80">
        <f>SUMIFS('июль 2024'!$G$4:$G$1872,'июль 2024'!$D$4:$D$1872,$B47,'июль 2024'!$J$4:$J$1872,F$1)</f>
        <v>0</v>
      </c>
      <c r="G47" s="80">
        <f>SUMIFS('июль 2024'!$G$4:$G$1872,'июль 2024'!$D$4:$D$1872,$B47,'июль 2024'!$J$4:$J$1872,G$1)</f>
        <v>0</v>
      </c>
      <c r="H47" s="80">
        <f>SUMIFS('июль 2024'!$G$4:$G$1872,'июль 2024'!$D$4:$D$1872,$B47,'июль 2024'!$J$4:$J$1872,H$1)</f>
        <v>0</v>
      </c>
      <c r="I47" s="80">
        <f>SUMIFS('июль 2024'!$G$4:$G$1872,'июль 2024'!$D$4:$D$1872,$B47,'июль 2024'!$J$4:$J$1872,I$1)</f>
        <v>0</v>
      </c>
      <c r="J47" s="80">
        <f>SUMIFS('июль 2024'!$G$4:$G$1872,'июль 2024'!$D$4:$D$1872,$B47,'июль 2024'!$J$4:$J$1872,J$1)</f>
        <v>0</v>
      </c>
      <c r="K47" s="80">
        <f>SUMIFS('июль 2024'!$G$4:$G$1872,'июль 2024'!$D$4:$D$1872,$B47,'июль 2024'!$J$4:$J$1872,K$1)</f>
        <v>0</v>
      </c>
      <c r="L47" s="80">
        <f>SUMIFS('июль 2024'!$G$4:$G$1872,'июль 2024'!$D$4:$D$1872,$B47,'июль 2024'!$J$4:$J$1872,L$1)</f>
        <v>0</v>
      </c>
      <c r="M47" s="80">
        <f>SUMIFS('июль 2024'!$G$4:$G$1872,'июль 2024'!$D$4:$D$1872,$B47,'июль 2024'!$J$4:$J$1872,M$1)</f>
        <v>0</v>
      </c>
      <c r="N47" s="80">
        <f>SUMIFS('июль 2024'!$G$4:$G$1872,'июль 2024'!$D$4:$D$1872,$B47,'июль 2024'!$J$4:$J$1872,N$1)</f>
        <v>0</v>
      </c>
      <c r="O47" s="80">
        <f>SUMIFS('июль 2024'!$G$4:$G$1872,'июль 2024'!$D$4:$D$1872,$B47,'июль 2024'!$J$4:$J$1872,O$1)</f>
        <v>0</v>
      </c>
      <c r="P47" s="80">
        <f>SUMIFS('июль 2024'!$G$4:$G$1872,'июль 2024'!$D$4:$D$1872,$B47,'июль 2024'!$J$4:$J$1872,P$1)</f>
        <v>0</v>
      </c>
      <c r="Q47" s="80">
        <f>SUMIFS('июль 2024'!$G$4:$G$1872,'июль 2024'!$D$4:$D$1872,$B47,'июль 2024'!$J$4:$J$1872,Q$1)</f>
        <v>0</v>
      </c>
      <c r="R47" s="80">
        <f>SUMIFS('июль 2024'!$G$4:$G$1872,'июль 2024'!$D$4:$D$1872,$B47,'июль 2024'!$J$4:$J$1872,R$1)</f>
        <v>0</v>
      </c>
      <c r="S47" s="80">
        <f>SUMIFS('июль 2024'!$G$4:$G$1872,'июль 2024'!$D$4:$D$1872,$B47,'июль 2024'!$J$4:$J$1872,S$1)</f>
        <v>0</v>
      </c>
      <c r="T47" s="80">
        <f>SUMIFS('июль 2024'!$G$4:$G$1872,'июль 2024'!$D$4:$D$1872,$B47,'июль 2024'!$J$4:$J$1872,T$1)</f>
        <v>0</v>
      </c>
      <c r="U47" s="80">
        <f>SUMIFS('июль 2024'!$G$4:$G$1872,'июль 2024'!$D$4:$D$1872,$B47,'июль 2024'!$J$4:$J$1872,U$1)</f>
        <v>0</v>
      </c>
      <c r="V47" s="80">
        <f>SUMIFS('июль 2024'!$G$4:$G$1872,'июль 2024'!$D$4:$D$1872,$B47,'июль 2024'!$J$4:$J$1872,V$1)</f>
        <v>0</v>
      </c>
      <c r="W47" s="80">
        <f>SUMIFS('июль 2024'!$G$4:$G$1872,'июль 2024'!$D$4:$D$1872,$B47,'июль 2024'!$J$4:$J$1872,W$1)</f>
        <v>0</v>
      </c>
      <c r="X47" s="80">
        <f>SUMIFS('июль 2024'!$G$4:$G$1872,'июль 2024'!$D$4:$D$1872,$B47,'июль 2024'!$J$4:$J$1872,X$1)</f>
        <v>0</v>
      </c>
      <c r="Y47" s="80">
        <f>SUMIFS('июль 2024'!$G$4:$G$1872,'июль 2024'!$D$4:$D$1872,$B47,'июль 2024'!$J$4:$J$1872,Y$1)</f>
        <v>0</v>
      </c>
      <c r="Z47" s="80">
        <f>SUMIFS('июль 2024'!$G$4:$G$1872,'июль 2024'!$D$4:$D$1872,$B47,'июль 2024'!$J$4:$J$1872,Z$1)</f>
        <v>0</v>
      </c>
      <c r="AA47" s="80">
        <f>SUMIFS('июль 2024'!$G$4:$G$1872,'июль 2024'!$D$4:$D$1872,$B47,'июль 2024'!$J$4:$J$1872,AA$1)</f>
        <v>0</v>
      </c>
      <c r="AB47" s="80">
        <f>SUMIFS('июль 2024'!$G$4:$G$1872,'июль 2024'!$D$4:$D$1872,$B47,'июль 2024'!$J$4:$J$1872,AB$1)</f>
        <v>0</v>
      </c>
      <c r="AC47" s="80">
        <f>SUMIFS('июль 2024'!$G$4:$G$1872,'июль 2024'!$D$4:$D$1872,$B47,'июль 2024'!$J$4:$J$1872,AC$1)</f>
        <v>0</v>
      </c>
      <c r="AD47" s="80">
        <f>SUMIFS('июль 2024'!$G$4:$G$1872,'июль 2024'!$D$4:$D$1872,$B47,'июль 2024'!$J$4:$J$1872,AD$1)</f>
        <v>0</v>
      </c>
      <c r="AE47" s="80">
        <f>SUMIFS('июль 2024'!$G$4:$G$1872,'июль 2024'!$D$4:$D$1872,$B47,'июль 2024'!$J$4:$J$1872,AE$1)</f>
        <v>0</v>
      </c>
      <c r="AF47" s="80">
        <f>SUMIFS('июль 2024'!$G$4:$G$1872,'июль 2024'!$D$4:$D$1872,$B47,'июль 2024'!$J$4:$J$1872,AF$1)</f>
        <v>0</v>
      </c>
      <c r="AG47" s="80">
        <f>SUMIFS('июль 2024'!$G$4:$G$1872,'июль 2024'!$D$4:$D$1872,$B47,'июль 2024'!$J$4:$J$1872,AG$1)</f>
        <v>0</v>
      </c>
      <c r="AH47" s="80">
        <f>SUMIFS('июль 2024'!$G$4:$G$1872,'июль 2024'!$D$4:$D$1872,$B47,'июль 2024'!$J$4:$J$1872,AH$1)</f>
        <v>0</v>
      </c>
      <c r="AI47" s="21">
        <f t="shared" si="1"/>
        <v>0</v>
      </c>
    </row>
    <row r="48" spans="2:35" ht="15" customHeight="1" x14ac:dyDescent="0.25">
      <c r="B48" s="150" t="s">
        <v>304</v>
      </c>
      <c r="C48" s="149">
        <v>20</v>
      </c>
      <c r="D48" s="80">
        <f>SUMIFS('июль 2024'!$G$4:$G$1872,'июль 2024'!$D$4:$D$1872,$B48,'июль 2024'!$J$4:$J$1872,D$1)</f>
        <v>0</v>
      </c>
      <c r="E48" s="80">
        <f>SUMIFS('июль 2024'!$G$4:$G$1872,'июль 2024'!$D$4:$D$1872,$B48,'июль 2024'!$J$4:$J$1872,E$1)</f>
        <v>0</v>
      </c>
      <c r="F48" s="80">
        <f>SUMIFS('июль 2024'!$G$4:$G$1872,'июль 2024'!$D$4:$D$1872,$B48,'июль 2024'!$J$4:$J$1872,F$1)</f>
        <v>0</v>
      </c>
      <c r="G48" s="80">
        <f>SUMIFS('июль 2024'!$G$4:$G$1872,'июль 2024'!$D$4:$D$1872,$B48,'июль 2024'!$J$4:$J$1872,G$1)</f>
        <v>0</v>
      </c>
      <c r="H48" s="80">
        <f>SUMIFS('июль 2024'!$G$4:$G$1872,'июль 2024'!$D$4:$D$1872,$B48,'июль 2024'!$J$4:$J$1872,H$1)</f>
        <v>0</v>
      </c>
      <c r="I48" s="80">
        <f>SUMIFS('июль 2024'!$G$4:$G$1872,'июль 2024'!$D$4:$D$1872,$B48,'июль 2024'!$J$4:$J$1872,I$1)</f>
        <v>0</v>
      </c>
      <c r="J48" s="80">
        <f>SUMIFS('июль 2024'!$G$4:$G$1872,'июль 2024'!$D$4:$D$1872,$B48,'июль 2024'!$J$4:$J$1872,J$1)</f>
        <v>0</v>
      </c>
      <c r="K48" s="80">
        <f>SUMIFS('июль 2024'!$G$4:$G$1872,'июль 2024'!$D$4:$D$1872,$B48,'июль 2024'!$J$4:$J$1872,K$1)</f>
        <v>0</v>
      </c>
      <c r="L48" s="80">
        <f>SUMIFS('июль 2024'!$G$4:$G$1872,'июль 2024'!$D$4:$D$1872,$B48,'июль 2024'!$J$4:$J$1872,L$1)</f>
        <v>0</v>
      </c>
      <c r="M48" s="80">
        <f>SUMIFS('июль 2024'!$G$4:$G$1872,'июль 2024'!$D$4:$D$1872,$B48,'июль 2024'!$J$4:$J$1872,M$1)</f>
        <v>0</v>
      </c>
      <c r="N48" s="80">
        <f>SUMIFS('июль 2024'!$G$4:$G$1872,'июль 2024'!$D$4:$D$1872,$B48,'июль 2024'!$J$4:$J$1872,N$1)</f>
        <v>0</v>
      </c>
      <c r="O48" s="80">
        <f>SUMIFS('июль 2024'!$G$4:$G$1872,'июль 2024'!$D$4:$D$1872,$B48,'июль 2024'!$J$4:$J$1872,O$1)</f>
        <v>0</v>
      </c>
      <c r="P48" s="80">
        <f>SUMIFS('июль 2024'!$G$4:$G$1872,'июль 2024'!$D$4:$D$1872,$B48,'июль 2024'!$J$4:$J$1872,P$1)</f>
        <v>0</v>
      </c>
      <c r="Q48" s="80">
        <f>SUMIFS('июль 2024'!$G$4:$G$1872,'июль 2024'!$D$4:$D$1872,$B48,'июль 2024'!$J$4:$J$1872,Q$1)</f>
        <v>0</v>
      </c>
      <c r="R48" s="80">
        <f>SUMIFS('июль 2024'!$G$4:$G$1872,'июль 2024'!$D$4:$D$1872,$B48,'июль 2024'!$J$4:$J$1872,R$1)</f>
        <v>0</v>
      </c>
      <c r="S48" s="80">
        <f>SUMIFS('июль 2024'!$G$4:$G$1872,'июль 2024'!$D$4:$D$1872,$B48,'июль 2024'!$J$4:$J$1872,S$1)</f>
        <v>0</v>
      </c>
      <c r="T48" s="80">
        <f>SUMIFS('июль 2024'!$G$4:$G$1872,'июль 2024'!$D$4:$D$1872,$B48,'июль 2024'!$J$4:$J$1872,T$1)</f>
        <v>0</v>
      </c>
      <c r="U48" s="80">
        <f>SUMIFS('июль 2024'!$G$4:$G$1872,'июль 2024'!$D$4:$D$1872,$B48,'июль 2024'!$J$4:$J$1872,U$1)</f>
        <v>0</v>
      </c>
      <c r="V48" s="80">
        <f>SUMIFS('июль 2024'!$G$4:$G$1872,'июль 2024'!$D$4:$D$1872,$B48,'июль 2024'!$J$4:$J$1872,V$1)</f>
        <v>0</v>
      </c>
      <c r="W48" s="80">
        <f>SUMIFS('июль 2024'!$G$4:$G$1872,'июль 2024'!$D$4:$D$1872,$B48,'июль 2024'!$J$4:$J$1872,W$1)</f>
        <v>0</v>
      </c>
      <c r="X48" s="80">
        <f>SUMIFS('июль 2024'!$G$4:$G$1872,'июль 2024'!$D$4:$D$1872,$B48,'июль 2024'!$J$4:$J$1872,X$1)</f>
        <v>0</v>
      </c>
      <c r="Y48" s="80">
        <f>SUMIFS('июль 2024'!$G$4:$G$1872,'июль 2024'!$D$4:$D$1872,$B48,'июль 2024'!$J$4:$J$1872,Y$1)</f>
        <v>0</v>
      </c>
      <c r="Z48" s="80">
        <f>SUMIFS('июль 2024'!$G$4:$G$1872,'июль 2024'!$D$4:$D$1872,$B48,'июль 2024'!$J$4:$J$1872,Z$1)</f>
        <v>0</v>
      </c>
      <c r="AA48" s="80">
        <f>SUMIFS('июль 2024'!$G$4:$G$1872,'июль 2024'!$D$4:$D$1872,$B48,'июль 2024'!$J$4:$J$1872,AA$1)</f>
        <v>0</v>
      </c>
      <c r="AB48" s="80">
        <f>SUMIFS('июль 2024'!$G$4:$G$1872,'июль 2024'!$D$4:$D$1872,$B48,'июль 2024'!$J$4:$J$1872,AB$1)</f>
        <v>0</v>
      </c>
      <c r="AC48" s="80">
        <f>SUMIFS('июль 2024'!$G$4:$G$1872,'июль 2024'!$D$4:$D$1872,$B48,'июль 2024'!$J$4:$J$1872,AC$1)</f>
        <v>0</v>
      </c>
      <c r="AD48" s="80">
        <f>SUMIFS('июль 2024'!$G$4:$G$1872,'июль 2024'!$D$4:$D$1872,$B48,'июль 2024'!$J$4:$J$1872,AD$1)</f>
        <v>0</v>
      </c>
      <c r="AE48" s="80">
        <f>SUMIFS('июль 2024'!$G$4:$G$1872,'июль 2024'!$D$4:$D$1872,$B48,'июль 2024'!$J$4:$J$1872,AE$1)</f>
        <v>0</v>
      </c>
      <c r="AF48" s="80">
        <f>SUMIFS('июль 2024'!$G$4:$G$1872,'июль 2024'!$D$4:$D$1872,$B48,'июль 2024'!$J$4:$J$1872,AF$1)</f>
        <v>0</v>
      </c>
      <c r="AG48" s="80">
        <f>SUMIFS('июль 2024'!$G$4:$G$1872,'июль 2024'!$D$4:$D$1872,$B48,'июль 2024'!$J$4:$J$1872,AG$1)</f>
        <v>0</v>
      </c>
      <c r="AH48" s="80">
        <f>SUMIFS('июль 2024'!$G$4:$G$1872,'июль 2024'!$D$4:$D$1872,$B48,'июль 2024'!$J$4:$J$1872,AH$1)</f>
        <v>0</v>
      </c>
      <c r="AI48" s="21">
        <f t="shared" si="1"/>
        <v>0</v>
      </c>
    </row>
    <row r="49" spans="2:35" ht="15" customHeight="1" x14ac:dyDescent="0.25">
      <c r="B49" s="150" t="s">
        <v>306</v>
      </c>
      <c r="C49" s="151">
        <v>20</v>
      </c>
      <c r="D49" s="80">
        <f>SUMIFS('июль 2024'!$G$4:$G$1872,'июль 2024'!$D$4:$D$1872,$B49,'июль 2024'!$J$4:$J$1872,D$1)</f>
        <v>0</v>
      </c>
      <c r="E49" s="80">
        <f>SUMIFS('июль 2024'!$G$4:$G$1872,'июль 2024'!$D$4:$D$1872,$B49,'июль 2024'!$J$4:$J$1872,E$1)</f>
        <v>0</v>
      </c>
      <c r="F49" s="80">
        <f>SUMIFS('июль 2024'!$G$4:$G$1872,'июль 2024'!$D$4:$D$1872,$B49,'июль 2024'!$J$4:$J$1872,F$1)</f>
        <v>0</v>
      </c>
      <c r="G49" s="80">
        <f>SUMIFS('июль 2024'!$G$4:$G$1872,'июль 2024'!$D$4:$D$1872,$B49,'июль 2024'!$J$4:$J$1872,G$1)</f>
        <v>0</v>
      </c>
      <c r="H49" s="80">
        <f>SUMIFS('июль 2024'!$G$4:$G$1872,'июль 2024'!$D$4:$D$1872,$B49,'июль 2024'!$J$4:$J$1872,H$1)</f>
        <v>0</v>
      </c>
      <c r="I49" s="80">
        <f>SUMIFS('июль 2024'!$G$4:$G$1872,'июль 2024'!$D$4:$D$1872,$B49,'июль 2024'!$J$4:$J$1872,I$1)</f>
        <v>0</v>
      </c>
      <c r="J49" s="80">
        <f>SUMIFS('июль 2024'!$G$4:$G$1872,'июль 2024'!$D$4:$D$1872,$B49,'июль 2024'!$J$4:$J$1872,J$1)</f>
        <v>0</v>
      </c>
      <c r="K49" s="80">
        <f>SUMIFS('июль 2024'!$G$4:$G$1872,'июль 2024'!$D$4:$D$1872,$B49,'июль 2024'!$J$4:$J$1872,K$1)</f>
        <v>0</v>
      </c>
      <c r="L49" s="80">
        <f>SUMIFS('июль 2024'!$G$4:$G$1872,'июль 2024'!$D$4:$D$1872,$B49,'июль 2024'!$J$4:$J$1872,L$1)</f>
        <v>0</v>
      </c>
      <c r="M49" s="80">
        <f>SUMIFS('июль 2024'!$G$4:$G$1872,'июль 2024'!$D$4:$D$1872,$B49,'июль 2024'!$J$4:$J$1872,M$1)</f>
        <v>0</v>
      </c>
      <c r="N49" s="80">
        <f>SUMIFS('июль 2024'!$G$4:$G$1872,'июль 2024'!$D$4:$D$1872,$B49,'июль 2024'!$J$4:$J$1872,N$1)</f>
        <v>0</v>
      </c>
      <c r="O49" s="80">
        <f>SUMIFS('июль 2024'!$G$4:$G$1872,'июль 2024'!$D$4:$D$1872,$B49,'июль 2024'!$J$4:$J$1872,O$1)</f>
        <v>0</v>
      </c>
      <c r="P49" s="80">
        <f>SUMIFS('июль 2024'!$G$4:$G$1872,'июль 2024'!$D$4:$D$1872,$B49,'июль 2024'!$J$4:$J$1872,P$1)</f>
        <v>0</v>
      </c>
      <c r="Q49" s="80">
        <f>SUMIFS('июль 2024'!$G$4:$G$1872,'июль 2024'!$D$4:$D$1872,$B49,'июль 2024'!$J$4:$J$1872,Q$1)</f>
        <v>0</v>
      </c>
      <c r="R49" s="80">
        <f>SUMIFS('июль 2024'!$G$4:$G$1872,'июль 2024'!$D$4:$D$1872,$B49,'июль 2024'!$J$4:$J$1872,R$1)</f>
        <v>0</v>
      </c>
      <c r="S49" s="80">
        <f>SUMIFS('июль 2024'!$G$4:$G$1872,'июль 2024'!$D$4:$D$1872,$B49,'июль 2024'!$J$4:$J$1872,S$1)</f>
        <v>0</v>
      </c>
      <c r="T49" s="80">
        <f>SUMIFS('июль 2024'!$G$4:$G$1872,'июль 2024'!$D$4:$D$1872,$B49,'июль 2024'!$J$4:$J$1872,T$1)</f>
        <v>0</v>
      </c>
      <c r="U49" s="80">
        <f>SUMIFS('июль 2024'!$G$4:$G$1872,'июль 2024'!$D$4:$D$1872,$B49,'июль 2024'!$J$4:$J$1872,U$1)</f>
        <v>0</v>
      </c>
      <c r="V49" s="80">
        <f>SUMIFS('июль 2024'!$G$4:$G$1872,'июль 2024'!$D$4:$D$1872,$B49,'июль 2024'!$J$4:$J$1872,V$1)</f>
        <v>0</v>
      </c>
      <c r="W49" s="80">
        <f>SUMIFS('июль 2024'!$G$4:$G$1872,'июль 2024'!$D$4:$D$1872,$B49,'июль 2024'!$J$4:$J$1872,W$1)</f>
        <v>0</v>
      </c>
      <c r="X49" s="80">
        <f>SUMIFS('июль 2024'!$G$4:$G$1872,'июль 2024'!$D$4:$D$1872,$B49,'июль 2024'!$J$4:$J$1872,X$1)</f>
        <v>0</v>
      </c>
      <c r="Y49" s="80">
        <f>SUMIFS('июль 2024'!$G$4:$G$1872,'июль 2024'!$D$4:$D$1872,$B49,'июль 2024'!$J$4:$J$1872,Y$1)</f>
        <v>0</v>
      </c>
      <c r="Z49" s="80">
        <f>SUMIFS('июль 2024'!$G$4:$G$1872,'июль 2024'!$D$4:$D$1872,$B49,'июль 2024'!$J$4:$J$1872,Z$1)</f>
        <v>0</v>
      </c>
      <c r="AA49" s="80">
        <f>SUMIFS('июль 2024'!$G$4:$G$1872,'июль 2024'!$D$4:$D$1872,$B49,'июль 2024'!$J$4:$J$1872,AA$1)</f>
        <v>0</v>
      </c>
      <c r="AB49" s="80">
        <f>SUMIFS('июль 2024'!$G$4:$G$1872,'июль 2024'!$D$4:$D$1872,$B49,'июль 2024'!$J$4:$J$1872,AB$1)</f>
        <v>0</v>
      </c>
      <c r="AC49" s="80">
        <f>SUMIFS('июль 2024'!$G$4:$G$1872,'июль 2024'!$D$4:$D$1872,$B49,'июль 2024'!$J$4:$J$1872,AC$1)</f>
        <v>0</v>
      </c>
      <c r="AD49" s="80">
        <f>SUMIFS('июль 2024'!$G$4:$G$1872,'июль 2024'!$D$4:$D$1872,$B49,'июль 2024'!$J$4:$J$1872,AD$1)</f>
        <v>0</v>
      </c>
      <c r="AE49" s="80">
        <f>SUMIFS('июль 2024'!$G$4:$G$1872,'июль 2024'!$D$4:$D$1872,$B49,'июль 2024'!$J$4:$J$1872,AE$1)</f>
        <v>0</v>
      </c>
      <c r="AF49" s="80">
        <f>SUMIFS('июль 2024'!$G$4:$G$1872,'июль 2024'!$D$4:$D$1872,$B49,'июль 2024'!$J$4:$J$1872,AF$1)</f>
        <v>0</v>
      </c>
      <c r="AG49" s="80">
        <f>SUMIFS('июль 2024'!$G$4:$G$1872,'июль 2024'!$D$4:$D$1872,$B49,'июль 2024'!$J$4:$J$1872,AG$1)</f>
        <v>0</v>
      </c>
      <c r="AH49" s="80">
        <f>SUMIFS('июль 2024'!$G$4:$G$1872,'июль 2024'!$D$4:$D$1872,$B49,'июль 2024'!$J$4:$J$1872,AH$1)</f>
        <v>0</v>
      </c>
      <c r="AI49" s="21">
        <f t="shared" si="1"/>
        <v>0</v>
      </c>
    </row>
    <row r="50" spans="2:35" ht="15" customHeight="1" x14ac:dyDescent="0.25">
      <c r="B50" s="150" t="s">
        <v>308</v>
      </c>
      <c r="C50" s="151">
        <v>14</v>
      </c>
      <c r="D50" s="80">
        <f>SUMIFS('июль 2024'!$G$4:$G$1872,'июль 2024'!$D$4:$D$1872,$B50,'июль 2024'!$J$4:$J$1872,D$1)</f>
        <v>0</v>
      </c>
      <c r="E50" s="80">
        <f>SUMIFS('июль 2024'!$G$4:$G$1872,'июль 2024'!$D$4:$D$1872,$B50,'июль 2024'!$J$4:$J$1872,E$1)</f>
        <v>0</v>
      </c>
      <c r="F50" s="80">
        <f>SUMIFS('июль 2024'!$G$4:$G$1872,'июль 2024'!$D$4:$D$1872,$B50,'июль 2024'!$J$4:$J$1872,F$1)</f>
        <v>0</v>
      </c>
      <c r="G50" s="80">
        <f>SUMIFS('июль 2024'!$G$4:$G$1872,'июль 2024'!$D$4:$D$1872,$B50,'июль 2024'!$J$4:$J$1872,G$1)</f>
        <v>0</v>
      </c>
      <c r="H50" s="80">
        <f>SUMIFS('июль 2024'!$G$4:$G$1872,'июль 2024'!$D$4:$D$1872,$B50,'июль 2024'!$J$4:$J$1872,H$1)</f>
        <v>0</v>
      </c>
      <c r="I50" s="80">
        <f>SUMIFS('июль 2024'!$G$4:$G$1872,'июль 2024'!$D$4:$D$1872,$B50,'июль 2024'!$J$4:$J$1872,I$1)</f>
        <v>0</v>
      </c>
      <c r="J50" s="80">
        <f>SUMIFS('июль 2024'!$G$4:$G$1872,'июль 2024'!$D$4:$D$1872,$B50,'июль 2024'!$J$4:$J$1872,J$1)</f>
        <v>0</v>
      </c>
      <c r="K50" s="80">
        <f>SUMIFS('июль 2024'!$G$4:$G$1872,'июль 2024'!$D$4:$D$1872,$B50,'июль 2024'!$J$4:$J$1872,K$1)</f>
        <v>0</v>
      </c>
      <c r="L50" s="80">
        <f>SUMIFS('июль 2024'!$G$4:$G$1872,'июль 2024'!$D$4:$D$1872,$B50,'июль 2024'!$J$4:$J$1872,L$1)</f>
        <v>0</v>
      </c>
      <c r="M50" s="80">
        <f>SUMIFS('июль 2024'!$G$4:$G$1872,'июль 2024'!$D$4:$D$1872,$B50,'июль 2024'!$J$4:$J$1872,M$1)</f>
        <v>0</v>
      </c>
      <c r="N50" s="80">
        <f>SUMIFS('июль 2024'!$G$4:$G$1872,'июль 2024'!$D$4:$D$1872,$B50,'июль 2024'!$J$4:$J$1872,N$1)</f>
        <v>0</v>
      </c>
      <c r="O50" s="80">
        <f>SUMIFS('июль 2024'!$G$4:$G$1872,'июль 2024'!$D$4:$D$1872,$B50,'июль 2024'!$J$4:$J$1872,O$1)</f>
        <v>0</v>
      </c>
      <c r="P50" s="80">
        <f>SUMIFS('июль 2024'!$G$4:$G$1872,'июль 2024'!$D$4:$D$1872,$B50,'июль 2024'!$J$4:$J$1872,P$1)</f>
        <v>0</v>
      </c>
      <c r="Q50" s="80">
        <f>SUMIFS('июль 2024'!$G$4:$G$1872,'июль 2024'!$D$4:$D$1872,$B50,'июль 2024'!$J$4:$J$1872,Q$1)</f>
        <v>0</v>
      </c>
      <c r="R50" s="80">
        <f>SUMIFS('июль 2024'!$G$4:$G$1872,'июль 2024'!$D$4:$D$1872,$B50,'июль 2024'!$J$4:$J$1872,R$1)</f>
        <v>0</v>
      </c>
      <c r="S50" s="80">
        <f>SUMIFS('июль 2024'!$G$4:$G$1872,'июль 2024'!$D$4:$D$1872,$B50,'июль 2024'!$J$4:$J$1872,S$1)</f>
        <v>0</v>
      </c>
      <c r="T50" s="80">
        <f>SUMIFS('июль 2024'!$G$4:$G$1872,'июль 2024'!$D$4:$D$1872,$B50,'июль 2024'!$J$4:$J$1872,T$1)</f>
        <v>0</v>
      </c>
      <c r="U50" s="80">
        <f>SUMIFS('июль 2024'!$G$4:$G$1872,'июль 2024'!$D$4:$D$1872,$B50,'июль 2024'!$J$4:$J$1872,U$1)</f>
        <v>0</v>
      </c>
      <c r="V50" s="80">
        <f>SUMIFS('июль 2024'!$G$4:$G$1872,'июль 2024'!$D$4:$D$1872,$B50,'июль 2024'!$J$4:$J$1872,V$1)</f>
        <v>0</v>
      </c>
      <c r="W50" s="80">
        <f>SUMIFS('июль 2024'!$G$4:$G$1872,'июль 2024'!$D$4:$D$1872,$B50,'июль 2024'!$J$4:$J$1872,W$1)</f>
        <v>0</v>
      </c>
      <c r="X50" s="80">
        <f>SUMIFS('июль 2024'!$G$4:$G$1872,'июль 2024'!$D$4:$D$1872,$B50,'июль 2024'!$J$4:$J$1872,X$1)</f>
        <v>0</v>
      </c>
      <c r="Y50" s="80">
        <f>SUMIFS('июль 2024'!$G$4:$G$1872,'июль 2024'!$D$4:$D$1872,$B50,'июль 2024'!$J$4:$J$1872,Y$1)</f>
        <v>0</v>
      </c>
      <c r="Z50" s="80">
        <f>SUMIFS('июль 2024'!$G$4:$G$1872,'июль 2024'!$D$4:$D$1872,$B50,'июль 2024'!$J$4:$J$1872,Z$1)</f>
        <v>0</v>
      </c>
      <c r="AA50" s="80">
        <f>SUMIFS('июль 2024'!$G$4:$G$1872,'июль 2024'!$D$4:$D$1872,$B50,'июль 2024'!$J$4:$J$1872,AA$1)</f>
        <v>0</v>
      </c>
      <c r="AB50" s="80">
        <f>SUMIFS('июль 2024'!$G$4:$G$1872,'июль 2024'!$D$4:$D$1872,$B50,'июль 2024'!$J$4:$J$1872,AB$1)</f>
        <v>0</v>
      </c>
      <c r="AC50" s="80">
        <f>SUMIFS('июль 2024'!$G$4:$G$1872,'июль 2024'!$D$4:$D$1872,$B50,'июль 2024'!$J$4:$J$1872,AC$1)</f>
        <v>0</v>
      </c>
      <c r="AD50" s="80">
        <f>SUMIFS('июль 2024'!$G$4:$G$1872,'июль 2024'!$D$4:$D$1872,$B50,'июль 2024'!$J$4:$J$1872,AD$1)</f>
        <v>0</v>
      </c>
      <c r="AE50" s="80">
        <f>SUMIFS('июль 2024'!$G$4:$G$1872,'июль 2024'!$D$4:$D$1872,$B50,'июль 2024'!$J$4:$J$1872,AE$1)</f>
        <v>0</v>
      </c>
      <c r="AF50" s="80">
        <f>SUMIFS('июль 2024'!$G$4:$G$1872,'июль 2024'!$D$4:$D$1872,$B50,'июль 2024'!$J$4:$J$1872,AF$1)</f>
        <v>0</v>
      </c>
      <c r="AG50" s="80">
        <f>SUMIFS('июль 2024'!$G$4:$G$1872,'июль 2024'!$D$4:$D$1872,$B50,'июль 2024'!$J$4:$J$1872,AG$1)</f>
        <v>0</v>
      </c>
      <c r="AH50" s="80">
        <f>SUMIFS('июль 2024'!$G$4:$G$1872,'июль 2024'!$D$4:$D$1872,$B50,'июль 2024'!$J$4:$J$1872,AH$1)</f>
        <v>0</v>
      </c>
      <c r="AI50" s="21">
        <f t="shared" si="1"/>
        <v>0</v>
      </c>
    </row>
    <row r="51" spans="2:35" ht="15" customHeight="1" x14ac:dyDescent="0.25">
      <c r="B51" s="150" t="s">
        <v>310</v>
      </c>
      <c r="C51" s="151">
        <v>25</v>
      </c>
      <c r="D51" s="80">
        <f>SUMIFS('июль 2024'!$G$4:$G$1872,'июль 2024'!$D$4:$D$1872,$B51,'июль 2024'!$J$4:$J$1872,D$1)</f>
        <v>0</v>
      </c>
      <c r="E51" s="80">
        <f>SUMIFS('июль 2024'!$G$4:$G$1872,'июль 2024'!$D$4:$D$1872,$B51,'июль 2024'!$J$4:$J$1872,E$1)</f>
        <v>0</v>
      </c>
      <c r="F51" s="80">
        <f>SUMIFS('июль 2024'!$G$4:$G$1872,'июль 2024'!$D$4:$D$1872,$B51,'июль 2024'!$J$4:$J$1872,F$1)</f>
        <v>0</v>
      </c>
      <c r="G51" s="80">
        <f>SUMIFS('июль 2024'!$G$4:$G$1872,'июль 2024'!$D$4:$D$1872,$B51,'июль 2024'!$J$4:$J$1872,G$1)</f>
        <v>0</v>
      </c>
      <c r="H51" s="80">
        <f>SUMIFS('июль 2024'!$G$4:$G$1872,'июль 2024'!$D$4:$D$1872,$B51,'июль 2024'!$J$4:$J$1872,H$1)</f>
        <v>0</v>
      </c>
      <c r="I51" s="80">
        <f>SUMIFS('июль 2024'!$G$4:$G$1872,'июль 2024'!$D$4:$D$1872,$B51,'июль 2024'!$J$4:$J$1872,I$1)</f>
        <v>0</v>
      </c>
      <c r="J51" s="80">
        <f>SUMIFS('июль 2024'!$G$4:$G$1872,'июль 2024'!$D$4:$D$1872,$B51,'июль 2024'!$J$4:$J$1872,J$1)</f>
        <v>0</v>
      </c>
      <c r="K51" s="80">
        <f>SUMIFS('июль 2024'!$G$4:$G$1872,'июль 2024'!$D$4:$D$1872,$B51,'июль 2024'!$J$4:$J$1872,K$1)</f>
        <v>0</v>
      </c>
      <c r="L51" s="80">
        <f>SUMIFS('июль 2024'!$G$4:$G$1872,'июль 2024'!$D$4:$D$1872,$B51,'июль 2024'!$J$4:$J$1872,L$1)</f>
        <v>0</v>
      </c>
      <c r="M51" s="80">
        <f>SUMIFS('июль 2024'!$G$4:$G$1872,'июль 2024'!$D$4:$D$1872,$B51,'июль 2024'!$J$4:$J$1872,M$1)</f>
        <v>0</v>
      </c>
      <c r="N51" s="80">
        <f>SUMIFS('июль 2024'!$G$4:$G$1872,'июль 2024'!$D$4:$D$1872,$B51,'июль 2024'!$J$4:$J$1872,N$1)</f>
        <v>0</v>
      </c>
      <c r="O51" s="80">
        <f>SUMIFS('июль 2024'!$G$4:$G$1872,'июль 2024'!$D$4:$D$1872,$B51,'июль 2024'!$J$4:$J$1872,O$1)</f>
        <v>0</v>
      </c>
      <c r="P51" s="80">
        <f>SUMIFS('июль 2024'!$G$4:$G$1872,'июль 2024'!$D$4:$D$1872,$B51,'июль 2024'!$J$4:$J$1872,P$1)</f>
        <v>0</v>
      </c>
      <c r="Q51" s="80">
        <f>SUMIFS('июль 2024'!$G$4:$G$1872,'июль 2024'!$D$4:$D$1872,$B51,'июль 2024'!$J$4:$J$1872,Q$1)</f>
        <v>0</v>
      </c>
      <c r="R51" s="80">
        <f>SUMIFS('июль 2024'!$G$4:$G$1872,'июль 2024'!$D$4:$D$1872,$B51,'июль 2024'!$J$4:$J$1872,R$1)</f>
        <v>0</v>
      </c>
      <c r="S51" s="80">
        <f>SUMIFS('июль 2024'!$G$4:$G$1872,'июль 2024'!$D$4:$D$1872,$B51,'июль 2024'!$J$4:$J$1872,S$1)</f>
        <v>0</v>
      </c>
      <c r="T51" s="80">
        <f>SUMIFS('июль 2024'!$G$4:$G$1872,'июль 2024'!$D$4:$D$1872,$B51,'июль 2024'!$J$4:$J$1872,T$1)</f>
        <v>0</v>
      </c>
      <c r="U51" s="80">
        <f>SUMIFS('июль 2024'!$G$4:$G$1872,'июль 2024'!$D$4:$D$1872,$B51,'июль 2024'!$J$4:$J$1872,U$1)</f>
        <v>0</v>
      </c>
      <c r="V51" s="80">
        <f>SUMIFS('июль 2024'!$G$4:$G$1872,'июль 2024'!$D$4:$D$1872,$B51,'июль 2024'!$J$4:$J$1872,V$1)</f>
        <v>0</v>
      </c>
      <c r="W51" s="80">
        <f>SUMIFS('июль 2024'!$G$4:$G$1872,'июль 2024'!$D$4:$D$1872,$B51,'июль 2024'!$J$4:$J$1872,W$1)</f>
        <v>0</v>
      </c>
      <c r="X51" s="80">
        <f>SUMIFS('июль 2024'!$G$4:$G$1872,'июль 2024'!$D$4:$D$1872,$B51,'июль 2024'!$J$4:$J$1872,X$1)</f>
        <v>0</v>
      </c>
      <c r="Y51" s="80">
        <f>SUMIFS('июль 2024'!$G$4:$G$1872,'июль 2024'!$D$4:$D$1872,$B51,'июль 2024'!$J$4:$J$1872,Y$1)</f>
        <v>0</v>
      </c>
      <c r="Z51" s="80">
        <f>SUMIFS('июль 2024'!$G$4:$G$1872,'июль 2024'!$D$4:$D$1872,$B51,'июль 2024'!$J$4:$J$1872,Z$1)</f>
        <v>0</v>
      </c>
      <c r="AA51" s="80">
        <f>SUMIFS('июль 2024'!$G$4:$G$1872,'июль 2024'!$D$4:$D$1872,$B51,'июль 2024'!$J$4:$J$1872,AA$1)</f>
        <v>0</v>
      </c>
      <c r="AB51" s="80">
        <f>SUMIFS('июль 2024'!$G$4:$G$1872,'июль 2024'!$D$4:$D$1872,$B51,'июль 2024'!$J$4:$J$1872,AB$1)</f>
        <v>0</v>
      </c>
      <c r="AC51" s="80">
        <f>SUMIFS('июль 2024'!$G$4:$G$1872,'июль 2024'!$D$4:$D$1872,$B51,'июль 2024'!$J$4:$J$1872,AC$1)</f>
        <v>0</v>
      </c>
      <c r="AD51" s="80">
        <f>SUMIFS('июль 2024'!$G$4:$G$1872,'июль 2024'!$D$4:$D$1872,$B51,'июль 2024'!$J$4:$J$1872,AD$1)</f>
        <v>0</v>
      </c>
      <c r="AE51" s="80">
        <f>SUMIFS('июль 2024'!$G$4:$G$1872,'июль 2024'!$D$4:$D$1872,$B51,'июль 2024'!$J$4:$J$1872,AE$1)</f>
        <v>0</v>
      </c>
      <c r="AF51" s="80">
        <f>SUMIFS('июль 2024'!$G$4:$G$1872,'июль 2024'!$D$4:$D$1872,$B51,'июль 2024'!$J$4:$J$1872,AF$1)</f>
        <v>0</v>
      </c>
      <c r="AG51" s="80">
        <f>SUMIFS('июль 2024'!$G$4:$G$1872,'июль 2024'!$D$4:$D$1872,$B51,'июль 2024'!$J$4:$J$1872,AG$1)</f>
        <v>0</v>
      </c>
      <c r="AH51" s="80">
        <f>SUMIFS('июль 2024'!$G$4:$G$1872,'июль 2024'!$D$4:$D$1872,$B51,'июль 2024'!$J$4:$J$1872,AH$1)</f>
        <v>0</v>
      </c>
      <c r="AI51" s="21">
        <f t="shared" si="1"/>
        <v>0</v>
      </c>
    </row>
    <row r="52" spans="2:35" ht="15" customHeight="1" x14ac:dyDescent="0.25">
      <c r="B52" s="150" t="s">
        <v>316</v>
      </c>
      <c r="C52" s="151">
        <v>20</v>
      </c>
      <c r="D52" s="80">
        <f>SUMIFS('июль 2024'!$G$4:$G$1872,'июль 2024'!$D$4:$D$1872,$B52,'июль 2024'!$J$4:$J$1872,D$1)</f>
        <v>0</v>
      </c>
      <c r="E52" s="80">
        <f>SUMIFS('июль 2024'!$G$4:$G$1872,'июль 2024'!$D$4:$D$1872,$B52,'июль 2024'!$J$4:$J$1872,E$1)</f>
        <v>0</v>
      </c>
      <c r="F52" s="80">
        <f>SUMIFS('июль 2024'!$G$4:$G$1872,'июль 2024'!$D$4:$D$1872,$B52,'июль 2024'!$J$4:$J$1872,F$1)</f>
        <v>0</v>
      </c>
      <c r="G52" s="80">
        <f>SUMIFS('июль 2024'!$G$4:$G$1872,'июль 2024'!$D$4:$D$1872,$B52,'июль 2024'!$J$4:$J$1872,G$1)</f>
        <v>0</v>
      </c>
      <c r="H52" s="80">
        <f>SUMIFS('июль 2024'!$G$4:$G$1872,'июль 2024'!$D$4:$D$1872,$B52,'июль 2024'!$J$4:$J$1872,H$1)</f>
        <v>0</v>
      </c>
      <c r="I52" s="80">
        <f>SUMIFS('июль 2024'!$G$4:$G$1872,'июль 2024'!$D$4:$D$1872,$B52,'июль 2024'!$J$4:$J$1872,I$1)</f>
        <v>0</v>
      </c>
      <c r="J52" s="80">
        <f>SUMIFS('июль 2024'!$G$4:$G$1872,'июль 2024'!$D$4:$D$1872,$B52,'июль 2024'!$J$4:$J$1872,J$1)</f>
        <v>0</v>
      </c>
      <c r="K52" s="80">
        <f>SUMIFS('июль 2024'!$G$4:$G$1872,'июль 2024'!$D$4:$D$1872,$B52,'июль 2024'!$J$4:$J$1872,K$1)</f>
        <v>0</v>
      </c>
      <c r="L52" s="80">
        <f>SUMIFS('июль 2024'!$G$4:$G$1872,'июль 2024'!$D$4:$D$1872,$B52,'июль 2024'!$J$4:$J$1872,L$1)</f>
        <v>0</v>
      </c>
      <c r="M52" s="80">
        <f>SUMIFS('июль 2024'!$G$4:$G$1872,'июль 2024'!$D$4:$D$1872,$B52,'июль 2024'!$J$4:$J$1872,M$1)</f>
        <v>0</v>
      </c>
      <c r="N52" s="80">
        <f>SUMIFS('июль 2024'!$G$4:$G$1872,'июль 2024'!$D$4:$D$1872,$B52,'июль 2024'!$J$4:$J$1872,N$1)</f>
        <v>0</v>
      </c>
      <c r="O52" s="80">
        <f>SUMIFS('июль 2024'!$G$4:$G$1872,'июль 2024'!$D$4:$D$1872,$B52,'июль 2024'!$J$4:$J$1872,O$1)</f>
        <v>0</v>
      </c>
      <c r="P52" s="80">
        <f>SUMIFS('июль 2024'!$G$4:$G$1872,'июль 2024'!$D$4:$D$1872,$B52,'июль 2024'!$J$4:$J$1872,P$1)</f>
        <v>0</v>
      </c>
      <c r="Q52" s="80">
        <f>SUMIFS('июль 2024'!$G$4:$G$1872,'июль 2024'!$D$4:$D$1872,$B52,'июль 2024'!$J$4:$J$1872,Q$1)</f>
        <v>0</v>
      </c>
      <c r="R52" s="80">
        <f>SUMIFS('июль 2024'!$G$4:$G$1872,'июль 2024'!$D$4:$D$1872,$B52,'июль 2024'!$J$4:$J$1872,R$1)</f>
        <v>0</v>
      </c>
      <c r="S52" s="80">
        <f>SUMIFS('июль 2024'!$G$4:$G$1872,'июль 2024'!$D$4:$D$1872,$B52,'июль 2024'!$J$4:$J$1872,S$1)</f>
        <v>0</v>
      </c>
      <c r="T52" s="80">
        <f>SUMIFS('июль 2024'!$G$4:$G$1872,'июль 2024'!$D$4:$D$1872,$B52,'июль 2024'!$J$4:$J$1872,T$1)</f>
        <v>0</v>
      </c>
      <c r="U52" s="80">
        <f>SUMIFS('июль 2024'!$G$4:$G$1872,'июль 2024'!$D$4:$D$1872,$B52,'июль 2024'!$J$4:$J$1872,U$1)</f>
        <v>0</v>
      </c>
      <c r="V52" s="80">
        <f>SUMIFS('июль 2024'!$G$4:$G$1872,'июль 2024'!$D$4:$D$1872,$B52,'июль 2024'!$J$4:$J$1872,V$1)</f>
        <v>0</v>
      </c>
      <c r="W52" s="80">
        <f>SUMIFS('июль 2024'!$G$4:$G$1872,'июль 2024'!$D$4:$D$1872,$B52,'июль 2024'!$J$4:$J$1872,W$1)</f>
        <v>0</v>
      </c>
      <c r="X52" s="80">
        <f>SUMIFS('июль 2024'!$G$4:$G$1872,'июль 2024'!$D$4:$D$1872,$B52,'июль 2024'!$J$4:$J$1872,X$1)</f>
        <v>0</v>
      </c>
      <c r="Y52" s="80">
        <f>SUMIFS('июль 2024'!$G$4:$G$1872,'июль 2024'!$D$4:$D$1872,$B52,'июль 2024'!$J$4:$J$1872,Y$1)</f>
        <v>0</v>
      </c>
      <c r="Z52" s="80">
        <f>SUMIFS('июль 2024'!$G$4:$G$1872,'июль 2024'!$D$4:$D$1872,$B52,'июль 2024'!$J$4:$J$1872,Z$1)</f>
        <v>0</v>
      </c>
      <c r="AA52" s="80">
        <f>SUMIFS('июль 2024'!$G$4:$G$1872,'июль 2024'!$D$4:$D$1872,$B52,'июль 2024'!$J$4:$J$1872,AA$1)</f>
        <v>0</v>
      </c>
      <c r="AB52" s="80">
        <f>SUMIFS('июль 2024'!$G$4:$G$1872,'июль 2024'!$D$4:$D$1872,$B52,'июль 2024'!$J$4:$J$1872,AB$1)</f>
        <v>0</v>
      </c>
      <c r="AC52" s="80">
        <f>SUMIFS('июль 2024'!$G$4:$G$1872,'июль 2024'!$D$4:$D$1872,$B52,'июль 2024'!$J$4:$J$1872,AC$1)</f>
        <v>0</v>
      </c>
      <c r="AD52" s="80">
        <f>SUMIFS('июль 2024'!$G$4:$G$1872,'июль 2024'!$D$4:$D$1872,$B52,'июль 2024'!$J$4:$J$1872,AD$1)</f>
        <v>0</v>
      </c>
      <c r="AE52" s="80">
        <f>SUMIFS('июль 2024'!$G$4:$G$1872,'июль 2024'!$D$4:$D$1872,$B52,'июль 2024'!$J$4:$J$1872,AE$1)</f>
        <v>0</v>
      </c>
      <c r="AF52" s="80">
        <f>SUMIFS('июль 2024'!$G$4:$G$1872,'июль 2024'!$D$4:$D$1872,$B52,'июль 2024'!$J$4:$J$1872,AF$1)</f>
        <v>500</v>
      </c>
      <c r="AG52" s="80">
        <f>SUMIFS('июль 2024'!$G$4:$G$1872,'июль 2024'!$D$4:$D$1872,$B52,'июль 2024'!$J$4:$J$1872,AG$1)</f>
        <v>0</v>
      </c>
      <c r="AH52" s="80">
        <f>SUMIFS('июль 2024'!$G$4:$G$1872,'июль 2024'!$D$4:$D$1872,$B52,'июль 2024'!$J$4:$J$1872,AH$1)</f>
        <v>0</v>
      </c>
      <c r="AI52" s="21">
        <f t="shared" si="1"/>
        <v>500</v>
      </c>
    </row>
    <row r="53" spans="2:35" ht="15" customHeight="1" x14ac:dyDescent="0.25">
      <c r="B53" s="146" t="s">
        <v>317</v>
      </c>
      <c r="C53" s="151">
        <v>20</v>
      </c>
      <c r="D53" s="80">
        <f>SUMIFS('июль 2024'!$G$4:$G$1872,'июль 2024'!$D$4:$D$1872,$B53,'июль 2024'!$J$4:$J$1872,D$1)</f>
        <v>0</v>
      </c>
      <c r="E53" s="80">
        <f>SUMIFS('июль 2024'!$G$4:$G$1872,'июль 2024'!$D$4:$D$1872,$B53,'июль 2024'!$J$4:$J$1872,E$1)</f>
        <v>0</v>
      </c>
      <c r="F53" s="80">
        <f>SUMIFS('июль 2024'!$G$4:$G$1872,'июль 2024'!$D$4:$D$1872,$B53,'июль 2024'!$J$4:$J$1872,F$1)</f>
        <v>0</v>
      </c>
      <c r="G53" s="80">
        <f>SUMIFS('июль 2024'!$G$4:$G$1872,'июль 2024'!$D$4:$D$1872,$B53,'июль 2024'!$J$4:$J$1872,G$1)</f>
        <v>0</v>
      </c>
      <c r="H53" s="80">
        <f>SUMIFS('июль 2024'!$G$4:$G$1872,'июль 2024'!$D$4:$D$1872,$B53,'июль 2024'!$J$4:$J$1872,H$1)</f>
        <v>0</v>
      </c>
      <c r="I53" s="80">
        <f>SUMIFS('июль 2024'!$G$4:$G$1872,'июль 2024'!$D$4:$D$1872,$B53,'июль 2024'!$J$4:$J$1872,I$1)</f>
        <v>0</v>
      </c>
      <c r="J53" s="80">
        <f>SUMIFS('июль 2024'!$G$4:$G$1872,'июль 2024'!$D$4:$D$1872,$B53,'июль 2024'!$J$4:$J$1872,J$1)</f>
        <v>0</v>
      </c>
      <c r="K53" s="80">
        <f>SUMIFS('июль 2024'!$G$4:$G$1872,'июль 2024'!$D$4:$D$1872,$B53,'июль 2024'!$J$4:$J$1872,K$1)</f>
        <v>0</v>
      </c>
      <c r="L53" s="80">
        <f>SUMIFS('июль 2024'!$G$4:$G$1872,'июль 2024'!$D$4:$D$1872,$B53,'июль 2024'!$J$4:$J$1872,L$1)</f>
        <v>0</v>
      </c>
      <c r="M53" s="80">
        <f>SUMIFS('июль 2024'!$G$4:$G$1872,'июль 2024'!$D$4:$D$1872,$B53,'июль 2024'!$J$4:$J$1872,M$1)</f>
        <v>0</v>
      </c>
      <c r="N53" s="80">
        <f>SUMIFS('июль 2024'!$G$4:$G$1872,'июль 2024'!$D$4:$D$1872,$B53,'июль 2024'!$J$4:$J$1872,N$1)</f>
        <v>0</v>
      </c>
      <c r="O53" s="80">
        <f>SUMIFS('июль 2024'!$G$4:$G$1872,'июль 2024'!$D$4:$D$1872,$B53,'июль 2024'!$J$4:$J$1872,O$1)</f>
        <v>0</v>
      </c>
      <c r="P53" s="80">
        <f>SUMIFS('июль 2024'!$G$4:$G$1872,'июль 2024'!$D$4:$D$1872,$B53,'июль 2024'!$J$4:$J$1872,P$1)</f>
        <v>0</v>
      </c>
      <c r="Q53" s="80">
        <f>SUMIFS('июль 2024'!$G$4:$G$1872,'июль 2024'!$D$4:$D$1872,$B53,'июль 2024'!$J$4:$J$1872,Q$1)</f>
        <v>0</v>
      </c>
      <c r="R53" s="80">
        <f>SUMIFS('июль 2024'!$G$4:$G$1872,'июль 2024'!$D$4:$D$1872,$B53,'июль 2024'!$J$4:$J$1872,R$1)</f>
        <v>0</v>
      </c>
      <c r="S53" s="80">
        <f>SUMIFS('июль 2024'!$G$4:$G$1872,'июль 2024'!$D$4:$D$1872,$B53,'июль 2024'!$J$4:$J$1872,S$1)</f>
        <v>0</v>
      </c>
      <c r="T53" s="80">
        <f>SUMIFS('июль 2024'!$G$4:$G$1872,'июль 2024'!$D$4:$D$1872,$B53,'июль 2024'!$J$4:$J$1872,T$1)</f>
        <v>0</v>
      </c>
      <c r="U53" s="80">
        <f>SUMIFS('июль 2024'!$G$4:$G$1872,'июль 2024'!$D$4:$D$1872,$B53,'июль 2024'!$J$4:$J$1872,U$1)</f>
        <v>0</v>
      </c>
      <c r="V53" s="80">
        <f>SUMIFS('июль 2024'!$G$4:$G$1872,'июль 2024'!$D$4:$D$1872,$B53,'июль 2024'!$J$4:$J$1872,V$1)</f>
        <v>0</v>
      </c>
      <c r="W53" s="80">
        <f>SUMIFS('июль 2024'!$G$4:$G$1872,'июль 2024'!$D$4:$D$1872,$B53,'июль 2024'!$J$4:$J$1872,W$1)</f>
        <v>0</v>
      </c>
      <c r="X53" s="80">
        <f>SUMIFS('июль 2024'!$G$4:$G$1872,'июль 2024'!$D$4:$D$1872,$B53,'июль 2024'!$J$4:$J$1872,X$1)</f>
        <v>0</v>
      </c>
      <c r="Y53" s="80">
        <f>SUMIFS('июль 2024'!$G$4:$G$1872,'июль 2024'!$D$4:$D$1872,$B53,'июль 2024'!$J$4:$J$1872,Y$1)</f>
        <v>0</v>
      </c>
      <c r="Z53" s="80">
        <f>SUMIFS('июль 2024'!$G$4:$G$1872,'июль 2024'!$D$4:$D$1872,$B53,'июль 2024'!$J$4:$J$1872,Z$1)</f>
        <v>0</v>
      </c>
      <c r="AA53" s="80">
        <f>SUMIFS('июль 2024'!$G$4:$G$1872,'июль 2024'!$D$4:$D$1872,$B53,'июль 2024'!$J$4:$J$1872,AA$1)</f>
        <v>0</v>
      </c>
      <c r="AB53" s="80">
        <f>SUMIFS('июль 2024'!$G$4:$G$1872,'июль 2024'!$D$4:$D$1872,$B53,'июль 2024'!$J$4:$J$1872,AB$1)</f>
        <v>0</v>
      </c>
      <c r="AC53" s="80">
        <f>SUMIFS('июль 2024'!$G$4:$G$1872,'июль 2024'!$D$4:$D$1872,$B53,'июль 2024'!$J$4:$J$1872,AC$1)</f>
        <v>0</v>
      </c>
      <c r="AD53" s="80">
        <f>SUMIFS('июль 2024'!$G$4:$G$1872,'июль 2024'!$D$4:$D$1872,$B53,'июль 2024'!$J$4:$J$1872,AD$1)</f>
        <v>0</v>
      </c>
      <c r="AE53" s="80">
        <f>SUMIFS('июль 2024'!$G$4:$G$1872,'июль 2024'!$D$4:$D$1872,$B53,'июль 2024'!$J$4:$J$1872,AE$1)</f>
        <v>0</v>
      </c>
      <c r="AF53" s="80">
        <f>SUMIFS('июль 2024'!$G$4:$G$1872,'июль 2024'!$D$4:$D$1872,$B53,'июль 2024'!$J$4:$J$1872,AF$1)</f>
        <v>0</v>
      </c>
      <c r="AG53" s="80">
        <f>SUMIFS('июль 2024'!$G$4:$G$1872,'июль 2024'!$D$4:$D$1872,$B53,'июль 2024'!$J$4:$J$1872,AG$1)</f>
        <v>0</v>
      </c>
      <c r="AH53" s="80">
        <f>SUMIFS('июль 2024'!$G$4:$G$1872,'июль 2024'!$D$4:$D$1872,$B53,'июль 2024'!$J$4:$J$1872,AH$1)</f>
        <v>0</v>
      </c>
      <c r="AI53" s="21">
        <f t="shared" si="1"/>
        <v>0</v>
      </c>
    </row>
    <row r="54" spans="2:35" ht="15" customHeight="1" x14ac:dyDescent="0.25">
      <c r="B54" s="150" t="s">
        <v>318</v>
      </c>
      <c r="C54" s="151">
        <v>20</v>
      </c>
      <c r="D54" s="80">
        <f>SUMIFS('июль 2024'!$G$4:$G$1872,'июль 2024'!$D$4:$D$1872,$B54,'июль 2024'!$J$4:$J$1872,D$1)</f>
        <v>0</v>
      </c>
      <c r="E54" s="80">
        <f>SUMIFS('июль 2024'!$G$4:$G$1872,'июль 2024'!$D$4:$D$1872,$B54,'июль 2024'!$J$4:$J$1872,E$1)</f>
        <v>0</v>
      </c>
      <c r="F54" s="80">
        <f>SUMIFS('июль 2024'!$G$4:$G$1872,'июль 2024'!$D$4:$D$1872,$B54,'июль 2024'!$J$4:$J$1872,F$1)</f>
        <v>0</v>
      </c>
      <c r="G54" s="80">
        <f>SUMIFS('июль 2024'!$G$4:$G$1872,'июль 2024'!$D$4:$D$1872,$B54,'июль 2024'!$J$4:$J$1872,G$1)</f>
        <v>0</v>
      </c>
      <c r="H54" s="80">
        <f>SUMIFS('июль 2024'!$G$4:$G$1872,'июль 2024'!$D$4:$D$1872,$B54,'июль 2024'!$J$4:$J$1872,H$1)</f>
        <v>0</v>
      </c>
      <c r="I54" s="80">
        <f>SUMIFS('июль 2024'!$G$4:$G$1872,'июль 2024'!$D$4:$D$1872,$B54,'июль 2024'!$J$4:$J$1872,I$1)</f>
        <v>0</v>
      </c>
      <c r="J54" s="80">
        <f>SUMIFS('июль 2024'!$G$4:$G$1872,'июль 2024'!$D$4:$D$1872,$B54,'июль 2024'!$J$4:$J$1872,J$1)</f>
        <v>0</v>
      </c>
      <c r="K54" s="80">
        <f>SUMIFS('июль 2024'!$G$4:$G$1872,'июль 2024'!$D$4:$D$1872,$B54,'июль 2024'!$J$4:$J$1872,K$1)</f>
        <v>0</v>
      </c>
      <c r="L54" s="80">
        <f>SUMIFS('июль 2024'!$G$4:$G$1872,'июль 2024'!$D$4:$D$1872,$B54,'июль 2024'!$J$4:$J$1872,L$1)</f>
        <v>0</v>
      </c>
      <c r="M54" s="80">
        <f>SUMIFS('июль 2024'!$G$4:$G$1872,'июль 2024'!$D$4:$D$1872,$B54,'июль 2024'!$J$4:$J$1872,M$1)</f>
        <v>0</v>
      </c>
      <c r="N54" s="80">
        <f>SUMIFS('июль 2024'!$G$4:$G$1872,'июль 2024'!$D$4:$D$1872,$B54,'июль 2024'!$J$4:$J$1872,N$1)</f>
        <v>0</v>
      </c>
      <c r="O54" s="80">
        <f>SUMIFS('июль 2024'!$G$4:$G$1872,'июль 2024'!$D$4:$D$1872,$B54,'июль 2024'!$J$4:$J$1872,O$1)</f>
        <v>0</v>
      </c>
      <c r="P54" s="80">
        <f>SUMIFS('июль 2024'!$G$4:$G$1872,'июль 2024'!$D$4:$D$1872,$B54,'июль 2024'!$J$4:$J$1872,P$1)</f>
        <v>0</v>
      </c>
      <c r="Q54" s="80">
        <f>SUMIFS('июль 2024'!$G$4:$G$1872,'июль 2024'!$D$4:$D$1872,$B54,'июль 2024'!$J$4:$J$1872,Q$1)</f>
        <v>0</v>
      </c>
      <c r="R54" s="80">
        <f>SUMIFS('июль 2024'!$G$4:$G$1872,'июль 2024'!$D$4:$D$1872,$B54,'июль 2024'!$J$4:$J$1872,R$1)</f>
        <v>0</v>
      </c>
      <c r="S54" s="80">
        <f>SUMIFS('июль 2024'!$G$4:$G$1872,'июль 2024'!$D$4:$D$1872,$B54,'июль 2024'!$J$4:$J$1872,S$1)</f>
        <v>0</v>
      </c>
      <c r="T54" s="80">
        <f>SUMIFS('июль 2024'!$G$4:$G$1872,'июль 2024'!$D$4:$D$1872,$B54,'июль 2024'!$J$4:$J$1872,T$1)</f>
        <v>0</v>
      </c>
      <c r="U54" s="80">
        <f>SUMIFS('июль 2024'!$G$4:$G$1872,'июль 2024'!$D$4:$D$1872,$B54,'июль 2024'!$J$4:$J$1872,U$1)</f>
        <v>0</v>
      </c>
      <c r="V54" s="80">
        <f>SUMIFS('июль 2024'!$G$4:$G$1872,'июль 2024'!$D$4:$D$1872,$B54,'июль 2024'!$J$4:$J$1872,V$1)</f>
        <v>0</v>
      </c>
      <c r="W54" s="80">
        <f>SUMIFS('июль 2024'!$G$4:$G$1872,'июль 2024'!$D$4:$D$1872,$B54,'июль 2024'!$J$4:$J$1872,W$1)</f>
        <v>0</v>
      </c>
      <c r="X54" s="80">
        <f>SUMIFS('июль 2024'!$G$4:$G$1872,'июль 2024'!$D$4:$D$1872,$B54,'июль 2024'!$J$4:$J$1872,X$1)</f>
        <v>0</v>
      </c>
      <c r="Y54" s="80">
        <f>SUMIFS('июль 2024'!$G$4:$G$1872,'июль 2024'!$D$4:$D$1872,$B54,'июль 2024'!$J$4:$J$1872,Y$1)</f>
        <v>0</v>
      </c>
      <c r="Z54" s="80">
        <f>SUMIFS('июль 2024'!$G$4:$G$1872,'июль 2024'!$D$4:$D$1872,$B54,'июль 2024'!$J$4:$J$1872,Z$1)</f>
        <v>0</v>
      </c>
      <c r="AA54" s="80">
        <f>SUMIFS('июль 2024'!$G$4:$G$1872,'июль 2024'!$D$4:$D$1872,$B54,'июль 2024'!$J$4:$J$1872,AA$1)</f>
        <v>0</v>
      </c>
      <c r="AB54" s="80">
        <f>SUMIFS('июль 2024'!$G$4:$G$1872,'июль 2024'!$D$4:$D$1872,$B54,'июль 2024'!$J$4:$J$1872,AB$1)</f>
        <v>0</v>
      </c>
      <c r="AC54" s="80">
        <f>SUMIFS('июль 2024'!$G$4:$G$1872,'июль 2024'!$D$4:$D$1872,$B54,'июль 2024'!$J$4:$J$1872,AC$1)</f>
        <v>0</v>
      </c>
      <c r="AD54" s="80">
        <f>SUMIFS('июль 2024'!$G$4:$G$1872,'июль 2024'!$D$4:$D$1872,$B54,'июль 2024'!$J$4:$J$1872,AD$1)</f>
        <v>0</v>
      </c>
      <c r="AE54" s="80">
        <f>SUMIFS('июль 2024'!$G$4:$G$1872,'июль 2024'!$D$4:$D$1872,$B54,'июль 2024'!$J$4:$J$1872,AE$1)</f>
        <v>0</v>
      </c>
      <c r="AF54" s="80">
        <f>SUMIFS('июль 2024'!$G$4:$G$1872,'июль 2024'!$D$4:$D$1872,$B54,'июль 2024'!$J$4:$J$1872,AF$1)</f>
        <v>0</v>
      </c>
      <c r="AG54" s="80">
        <f>SUMIFS('июль 2024'!$G$4:$G$1872,'июль 2024'!$D$4:$D$1872,$B54,'июль 2024'!$J$4:$J$1872,AG$1)</f>
        <v>0</v>
      </c>
      <c r="AH54" s="80">
        <f>SUMIFS('июль 2024'!$G$4:$G$1872,'июль 2024'!$D$4:$D$1872,$B54,'июль 2024'!$J$4:$J$1872,AH$1)</f>
        <v>0</v>
      </c>
      <c r="AI54" s="21">
        <f t="shared" si="1"/>
        <v>0</v>
      </c>
    </row>
    <row r="55" spans="2:35" ht="15" customHeight="1" x14ac:dyDescent="0.25">
      <c r="B55" s="150" t="s">
        <v>319</v>
      </c>
      <c r="C55" s="151">
        <v>20</v>
      </c>
      <c r="D55" s="80">
        <f>SUMIFS('июль 2024'!$G$4:$G$1872,'июль 2024'!$D$4:$D$1872,$B55,'июль 2024'!$J$4:$J$1872,D$1)</f>
        <v>0</v>
      </c>
      <c r="E55" s="80">
        <f>SUMIFS('июль 2024'!$G$4:$G$1872,'июль 2024'!$D$4:$D$1872,$B55,'июль 2024'!$J$4:$J$1872,E$1)</f>
        <v>0</v>
      </c>
      <c r="F55" s="80">
        <f>SUMIFS('июль 2024'!$G$4:$G$1872,'июль 2024'!$D$4:$D$1872,$B55,'июль 2024'!$J$4:$J$1872,F$1)</f>
        <v>0</v>
      </c>
      <c r="G55" s="80">
        <f>SUMIFS('июль 2024'!$G$4:$G$1872,'июль 2024'!$D$4:$D$1872,$B55,'июль 2024'!$J$4:$J$1872,G$1)</f>
        <v>0</v>
      </c>
      <c r="H55" s="80">
        <f>SUMIFS('июль 2024'!$G$4:$G$1872,'июль 2024'!$D$4:$D$1872,$B55,'июль 2024'!$J$4:$J$1872,H$1)</f>
        <v>0</v>
      </c>
      <c r="I55" s="80">
        <f>SUMIFS('июль 2024'!$G$4:$G$1872,'июль 2024'!$D$4:$D$1872,$B55,'июль 2024'!$J$4:$J$1872,I$1)</f>
        <v>0</v>
      </c>
      <c r="J55" s="80">
        <f>SUMIFS('июль 2024'!$G$4:$G$1872,'июль 2024'!$D$4:$D$1872,$B55,'июль 2024'!$J$4:$J$1872,J$1)</f>
        <v>0</v>
      </c>
      <c r="K55" s="80">
        <f>SUMIFS('июль 2024'!$G$4:$G$1872,'июль 2024'!$D$4:$D$1872,$B55,'июль 2024'!$J$4:$J$1872,K$1)</f>
        <v>0</v>
      </c>
      <c r="L55" s="80">
        <f>SUMIFS('июль 2024'!$G$4:$G$1872,'июль 2024'!$D$4:$D$1872,$B55,'июль 2024'!$J$4:$J$1872,L$1)</f>
        <v>0</v>
      </c>
      <c r="M55" s="80">
        <f>SUMIFS('июль 2024'!$G$4:$G$1872,'июль 2024'!$D$4:$D$1872,$B55,'июль 2024'!$J$4:$J$1872,M$1)</f>
        <v>0</v>
      </c>
      <c r="N55" s="80">
        <f>SUMIFS('июль 2024'!$G$4:$G$1872,'июль 2024'!$D$4:$D$1872,$B55,'июль 2024'!$J$4:$J$1872,N$1)</f>
        <v>0</v>
      </c>
      <c r="O55" s="80">
        <f>SUMIFS('июль 2024'!$G$4:$G$1872,'июль 2024'!$D$4:$D$1872,$B55,'июль 2024'!$J$4:$J$1872,O$1)</f>
        <v>0</v>
      </c>
      <c r="P55" s="80">
        <f>SUMIFS('июль 2024'!$G$4:$G$1872,'июль 2024'!$D$4:$D$1872,$B55,'июль 2024'!$J$4:$J$1872,P$1)</f>
        <v>0</v>
      </c>
      <c r="Q55" s="80">
        <f>SUMIFS('июль 2024'!$G$4:$G$1872,'июль 2024'!$D$4:$D$1872,$B55,'июль 2024'!$J$4:$J$1872,Q$1)</f>
        <v>0</v>
      </c>
      <c r="R55" s="80">
        <f>SUMIFS('июль 2024'!$G$4:$G$1872,'июль 2024'!$D$4:$D$1872,$B55,'июль 2024'!$J$4:$J$1872,R$1)</f>
        <v>0</v>
      </c>
      <c r="S55" s="80">
        <f>SUMIFS('июль 2024'!$G$4:$G$1872,'июль 2024'!$D$4:$D$1872,$B55,'июль 2024'!$J$4:$J$1872,S$1)</f>
        <v>0</v>
      </c>
      <c r="T55" s="80">
        <f>SUMIFS('июль 2024'!$G$4:$G$1872,'июль 2024'!$D$4:$D$1872,$B55,'июль 2024'!$J$4:$J$1872,T$1)</f>
        <v>0</v>
      </c>
      <c r="U55" s="80">
        <f>SUMIFS('июль 2024'!$G$4:$G$1872,'июль 2024'!$D$4:$D$1872,$B55,'июль 2024'!$J$4:$J$1872,U$1)</f>
        <v>0</v>
      </c>
      <c r="V55" s="80">
        <f>SUMIFS('июль 2024'!$G$4:$G$1872,'июль 2024'!$D$4:$D$1872,$B55,'июль 2024'!$J$4:$J$1872,V$1)</f>
        <v>0</v>
      </c>
      <c r="W55" s="80">
        <f>SUMIFS('июль 2024'!$G$4:$G$1872,'июль 2024'!$D$4:$D$1872,$B55,'июль 2024'!$J$4:$J$1872,W$1)</f>
        <v>0</v>
      </c>
      <c r="X55" s="80">
        <f>SUMIFS('июль 2024'!$G$4:$G$1872,'июль 2024'!$D$4:$D$1872,$B55,'июль 2024'!$J$4:$J$1872,X$1)</f>
        <v>0</v>
      </c>
      <c r="Y55" s="80">
        <f>SUMIFS('июль 2024'!$G$4:$G$1872,'июль 2024'!$D$4:$D$1872,$B55,'июль 2024'!$J$4:$J$1872,Y$1)</f>
        <v>0</v>
      </c>
      <c r="Z55" s="80">
        <f>SUMIFS('июль 2024'!$G$4:$G$1872,'июль 2024'!$D$4:$D$1872,$B55,'июль 2024'!$J$4:$J$1872,Z$1)</f>
        <v>0</v>
      </c>
      <c r="AA55" s="80">
        <f>SUMIFS('июль 2024'!$G$4:$G$1872,'июль 2024'!$D$4:$D$1872,$B55,'июль 2024'!$J$4:$J$1872,AA$1)</f>
        <v>0</v>
      </c>
      <c r="AB55" s="80">
        <f>SUMIFS('июль 2024'!$G$4:$G$1872,'июль 2024'!$D$4:$D$1872,$B55,'июль 2024'!$J$4:$J$1872,AB$1)</f>
        <v>0</v>
      </c>
      <c r="AC55" s="80">
        <f>SUMIFS('июль 2024'!$G$4:$G$1872,'июль 2024'!$D$4:$D$1872,$B55,'июль 2024'!$J$4:$J$1872,AC$1)</f>
        <v>0</v>
      </c>
      <c r="AD55" s="80">
        <f>SUMIFS('июль 2024'!$G$4:$G$1872,'июль 2024'!$D$4:$D$1872,$B55,'июль 2024'!$J$4:$J$1872,AD$1)</f>
        <v>0</v>
      </c>
      <c r="AE55" s="80">
        <f>SUMIFS('июль 2024'!$G$4:$G$1872,'июль 2024'!$D$4:$D$1872,$B55,'июль 2024'!$J$4:$J$1872,AE$1)</f>
        <v>0</v>
      </c>
      <c r="AF55" s="80">
        <f>SUMIFS('июль 2024'!$G$4:$G$1872,'июль 2024'!$D$4:$D$1872,$B55,'июль 2024'!$J$4:$J$1872,AF$1)</f>
        <v>500</v>
      </c>
      <c r="AG55" s="80">
        <f>SUMIFS('июль 2024'!$G$4:$G$1872,'июль 2024'!$D$4:$D$1872,$B55,'июль 2024'!$J$4:$J$1872,AG$1)</f>
        <v>0</v>
      </c>
      <c r="AH55" s="80">
        <f>SUMIFS('июль 2024'!$G$4:$G$1872,'июль 2024'!$D$4:$D$1872,$B55,'июль 2024'!$J$4:$J$1872,AH$1)</f>
        <v>0</v>
      </c>
      <c r="AI55" s="21">
        <f t="shared" si="1"/>
        <v>500</v>
      </c>
    </row>
    <row r="56" spans="2:35" ht="15" customHeight="1" x14ac:dyDescent="0.25">
      <c r="B56" s="150"/>
      <c r="C56" s="151"/>
      <c r="D56" s="80">
        <f>SUMIFS('июль 2024'!$G$4:$G$1872,'июль 2024'!$D$4:$D$1872,$B56,'июль 2024'!$J$4:$J$1872,D$1)</f>
        <v>0</v>
      </c>
      <c r="E56" s="80">
        <f>SUMIFS('июль 2024'!$G$4:$G$1872,'июль 2024'!$D$4:$D$1872,$B56,'июль 2024'!$J$4:$J$1872,E$1)</f>
        <v>0</v>
      </c>
      <c r="F56" s="80">
        <f>SUMIFS('июль 2024'!$G$4:$G$1872,'июль 2024'!$D$4:$D$1872,$B56,'июль 2024'!$J$4:$J$1872,F$1)</f>
        <v>0</v>
      </c>
      <c r="G56" s="80">
        <f>SUMIFS('июль 2024'!$G$4:$G$1872,'июль 2024'!$D$4:$D$1872,$B56,'июль 2024'!$J$4:$J$1872,G$1)</f>
        <v>0</v>
      </c>
      <c r="H56" s="80">
        <f>SUMIFS('июль 2024'!$G$4:$G$1872,'июль 2024'!$D$4:$D$1872,$B56,'июль 2024'!$J$4:$J$1872,H$1)</f>
        <v>0</v>
      </c>
      <c r="I56" s="80">
        <f>SUMIFS('июль 2024'!$G$4:$G$1872,'июль 2024'!$D$4:$D$1872,$B56,'июль 2024'!$J$4:$J$1872,I$1)</f>
        <v>0</v>
      </c>
      <c r="J56" s="80">
        <f>SUMIFS('июль 2024'!$G$4:$G$1872,'июль 2024'!$D$4:$D$1872,$B56,'июль 2024'!$J$4:$J$1872,J$1)</f>
        <v>0</v>
      </c>
      <c r="K56" s="80">
        <f>SUMIFS('июль 2024'!$G$4:$G$1872,'июль 2024'!$D$4:$D$1872,$B56,'июль 2024'!$J$4:$J$1872,K$1)</f>
        <v>0</v>
      </c>
      <c r="L56" s="80">
        <f>SUMIFS('июль 2024'!$G$4:$G$1872,'июль 2024'!$D$4:$D$1872,$B56,'июль 2024'!$J$4:$J$1872,L$1)</f>
        <v>0</v>
      </c>
      <c r="M56" s="80">
        <f>SUMIFS('июль 2024'!$G$4:$G$1872,'июль 2024'!$D$4:$D$1872,$B56,'июль 2024'!$J$4:$J$1872,M$1)</f>
        <v>0</v>
      </c>
      <c r="N56" s="80">
        <f>SUMIFS('июль 2024'!$G$4:$G$1872,'июль 2024'!$D$4:$D$1872,$B56,'июль 2024'!$J$4:$J$1872,N$1)</f>
        <v>0</v>
      </c>
      <c r="O56" s="80">
        <f>SUMIFS('июль 2024'!$G$4:$G$1872,'июль 2024'!$D$4:$D$1872,$B56,'июль 2024'!$J$4:$J$1872,O$1)</f>
        <v>0</v>
      </c>
      <c r="P56" s="80">
        <f>SUMIFS('июль 2024'!$G$4:$G$1872,'июль 2024'!$D$4:$D$1872,$B56,'июль 2024'!$J$4:$J$1872,P$1)</f>
        <v>0</v>
      </c>
      <c r="Q56" s="80">
        <f>SUMIFS('июль 2024'!$G$4:$G$1872,'июль 2024'!$D$4:$D$1872,$B56,'июль 2024'!$J$4:$J$1872,Q$1)</f>
        <v>0</v>
      </c>
      <c r="R56" s="80">
        <f>SUMIFS('июль 2024'!$G$4:$G$1872,'июль 2024'!$D$4:$D$1872,$B56,'июль 2024'!$J$4:$J$1872,R$1)</f>
        <v>0</v>
      </c>
      <c r="S56" s="80">
        <f>SUMIFS('июль 2024'!$G$4:$G$1872,'июль 2024'!$D$4:$D$1872,$B56,'июль 2024'!$J$4:$J$1872,S$1)</f>
        <v>0</v>
      </c>
      <c r="T56" s="80">
        <f>SUMIFS('июль 2024'!$G$4:$G$1872,'июль 2024'!$D$4:$D$1872,$B56,'июль 2024'!$J$4:$J$1872,T$1)</f>
        <v>0</v>
      </c>
      <c r="U56" s="80">
        <f>SUMIFS('июль 2024'!$G$4:$G$1872,'июль 2024'!$D$4:$D$1872,$B56,'июль 2024'!$J$4:$J$1872,U$1)</f>
        <v>0</v>
      </c>
      <c r="V56" s="80">
        <f>SUMIFS('июль 2024'!$G$4:$G$1872,'июль 2024'!$D$4:$D$1872,$B56,'июль 2024'!$J$4:$J$1872,V$1)</f>
        <v>0</v>
      </c>
      <c r="W56" s="80">
        <f>SUMIFS('июль 2024'!$G$4:$G$1872,'июль 2024'!$D$4:$D$1872,$B56,'июль 2024'!$J$4:$J$1872,W$1)</f>
        <v>0</v>
      </c>
      <c r="X56" s="80">
        <f>SUMIFS('июль 2024'!$G$4:$G$1872,'июль 2024'!$D$4:$D$1872,$B56,'июль 2024'!$J$4:$J$1872,X$1)</f>
        <v>0</v>
      </c>
      <c r="Y56" s="80">
        <f>SUMIFS('июль 2024'!$G$4:$G$1872,'июль 2024'!$D$4:$D$1872,$B56,'июль 2024'!$J$4:$J$1872,Y$1)</f>
        <v>0</v>
      </c>
      <c r="Z56" s="80">
        <f>SUMIFS('июль 2024'!$G$4:$G$1872,'июль 2024'!$D$4:$D$1872,$B56,'июль 2024'!$J$4:$J$1872,Z$1)</f>
        <v>0</v>
      </c>
      <c r="AA56" s="80">
        <f>SUMIFS('июль 2024'!$G$4:$G$1872,'июль 2024'!$D$4:$D$1872,$B56,'июль 2024'!$J$4:$J$1872,AA$1)</f>
        <v>0</v>
      </c>
      <c r="AB56" s="80">
        <f>SUMIFS('июль 2024'!$G$4:$G$1872,'июль 2024'!$D$4:$D$1872,$B56,'июль 2024'!$J$4:$J$1872,AB$1)</f>
        <v>0</v>
      </c>
      <c r="AC56" s="80">
        <f>SUMIFS('июль 2024'!$G$4:$G$1872,'июль 2024'!$D$4:$D$1872,$B56,'июль 2024'!$J$4:$J$1872,AC$1)</f>
        <v>0</v>
      </c>
      <c r="AD56" s="80">
        <f>SUMIFS('июль 2024'!$G$4:$G$1872,'июль 2024'!$D$4:$D$1872,$B56,'июль 2024'!$J$4:$J$1872,AD$1)</f>
        <v>0</v>
      </c>
      <c r="AE56" s="80">
        <f>SUMIFS('июль 2024'!$G$4:$G$1872,'июль 2024'!$D$4:$D$1872,$B56,'июль 2024'!$J$4:$J$1872,AE$1)</f>
        <v>0</v>
      </c>
      <c r="AF56" s="80">
        <f>SUMIFS('июль 2024'!$G$4:$G$1872,'июль 2024'!$D$4:$D$1872,$B56,'июль 2024'!$J$4:$J$1872,AF$1)</f>
        <v>0</v>
      </c>
      <c r="AG56" s="80">
        <f>SUMIFS('июль 2024'!$G$4:$G$1872,'июль 2024'!$D$4:$D$1872,$B56,'июль 2024'!$J$4:$J$1872,AG$1)</f>
        <v>0</v>
      </c>
      <c r="AH56" s="80">
        <f>SUMIFS('июль 2024'!$G$4:$G$1872,'июль 2024'!$D$4:$D$1872,$B56,'июль 2024'!$J$4:$J$1872,AH$1)</f>
        <v>0</v>
      </c>
      <c r="AI56" s="21">
        <f t="shared" si="1"/>
        <v>0</v>
      </c>
    </row>
    <row r="57" spans="2:35" ht="15" customHeight="1" x14ac:dyDescent="0.25">
      <c r="B57" s="150"/>
      <c r="C57" s="151"/>
      <c r="D57" s="80">
        <f>SUMIFS('июль 2024'!$G$4:$G$1872,'июль 2024'!$D$4:$D$1872,$B57,'июль 2024'!$J$4:$J$1872,D$1)</f>
        <v>0</v>
      </c>
      <c r="E57" s="80">
        <f>SUMIFS('июль 2024'!$G$4:$G$1872,'июль 2024'!$D$4:$D$1872,$B57,'июль 2024'!$J$4:$J$1872,E$1)</f>
        <v>0</v>
      </c>
      <c r="F57" s="80">
        <f>SUMIFS('июль 2024'!$G$4:$G$1872,'июль 2024'!$D$4:$D$1872,$B57,'июль 2024'!$J$4:$J$1872,F$1)</f>
        <v>0</v>
      </c>
      <c r="G57" s="80">
        <f>SUMIFS('июль 2024'!$G$4:$G$1872,'июль 2024'!$D$4:$D$1872,$B57,'июль 2024'!$J$4:$J$1872,G$1)</f>
        <v>0</v>
      </c>
      <c r="H57" s="80">
        <f>SUMIFS('июль 2024'!$G$4:$G$1872,'июль 2024'!$D$4:$D$1872,$B57,'июль 2024'!$J$4:$J$1872,H$1)</f>
        <v>0</v>
      </c>
      <c r="I57" s="80">
        <f>SUMIFS('июль 2024'!$G$4:$G$1872,'июль 2024'!$D$4:$D$1872,$B57,'июль 2024'!$J$4:$J$1872,I$1)</f>
        <v>0</v>
      </c>
      <c r="J57" s="80">
        <f>SUMIFS('июль 2024'!$G$4:$G$1872,'июль 2024'!$D$4:$D$1872,$B57,'июль 2024'!$J$4:$J$1872,J$1)</f>
        <v>0</v>
      </c>
      <c r="K57" s="80">
        <f>SUMIFS('июль 2024'!$G$4:$G$1872,'июль 2024'!$D$4:$D$1872,$B57,'июль 2024'!$J$4:$J$1872,K$1)</f>
        <v>0</v>
      </c>
      <c r="L57" s="80">
        <f>SUMIFS('июль 2024'!$G$4:$G$1872,'июль 2024'!$D$4:$D$1872,$B57,'июль 2024'!$J$4:$J$1872,L$1)</f>
        <v>0</v>
      </c>
      <c r="M57" s="80">
        <f>SUMIFS('июль 2024'!$G$4:$G$1872,'июль 2024'!$D$4:$D$1872,$B57,'июль 2024'!$J$4:$J$1872,M$1)</f>
        <v>0</v>
      </c>
      <c r="N57" s="80">
        <f>SUMIFS('июль 2024'!$G$4:$G$1872,'июль 2024'!$D$4:$D$1872,$B57,'июль 2024'!$J$4:$J$1872,N$1)</f>
        <v>0</v>
      </c>
      <c r="O57" s="80">
        <f>SUMIFS('июль 2024'!$G$4:$G$1872,'июль 2024'!$D$4:$D$1872,$B57,'июль 2024'!$J$4:$J$1872,O$1)</f>
        <v>0</v>
      </c>
      <c r="P57" s="80">
        <f>SUMIFS('июль 2024'!$G$4:$G$1872,'июль 2024'!$D$4:$D$1872,$B57,'июль 2024'!$J$4:$J$1872,P$1)</f>
        <v>0</v>
      </c>
      <c r="Q57" s="80">
        <f>SUMIFS('июль 2024'!$G$4:$G$1872,'июль 2024'!$D$4:$D$1872,$B57,'июль 2024'!$J$4:$J$1872,Q$1)</f>
        <v>0</v>
      </c>
      <c r="R57" s="80">
        <f>SUMIFS('июль 2024'!$G$4:$G$1872,'июль 2024'!$D$4:$D$1872,$B57,'июль 2024'!$J$4:$J$1872,R$1)</f>
        <v>0</v>
      </c>
      <c r="S57" s="80">
        <f>SUMIFS('июль 2024'!$G$4:$G$1872,'июль 2024'!$D$4:$D$1872,$B57,'июль 2024'!$J$4:$J$1872,S$1)</f>
        <v>0</v>
      </c>
      <c r="T57" s="80">
        <f>SUMIFS('июль 2024'!$G$4:$G$1872,'июль 2024'!$D$4:$D$1872,$B57,'июль 2024'!$J$4:$J$1872,T$1)</f>
        <v>0</v>
      </c>
      <c r="U57" s="80">
        <f>SUMIFS('июль 2024'!$G$4:$G$1872,'июль 2024'!$D$4:$D$1872,$B57,'июль 2024'!$J$4:$J$1872,U$1)</f>
        <v>0</v>
      </c>
      <c r="V57" s="80">
        <f>SUMIFS('июль 2024'!$G$4:$G$1872,'июль 2024'!$D$4:$D$1872,$B57,'июль 2024'!$J$4:$J$1872,V$1)</f>
        <v>0</v>
      </c>
      <c r="W57" s="80">
        <f>SUMIFS('июль 2024'!$G$4:$G$1872,'июль 2024'!$D$4:$D$1872,$B57,'июль 2024'!$J$4:$J$1872,W$1)</f>
        <v>0</v>
      </c>
      <c r="X57" s="80">
        <f>SUMIFS('июль 2024'!$G$4:$G$1872,'июль 2024'!$D$4:$D$1872,$B57,'июль 2024'!$J$4:$J$1872,X$1)</f>
        <v>0</v>
      </c>
      <c r="Y57" s="80">
        <f>SUMIFS('июль 2024'!$G$4:$G$1872,'июль 2024'!$D$4:$D$1872,$B57,'июль 2024'!$J$4:$J$1872,Y$1)</f>
        <v>0</v>
      </c>
      <c r="Z57" s="80">
        <f>SUMIFS('июль 2024'!$G$4:$G$1872,'июль 2024'!$D$4:$D$1872,$B57,'июль 2024'!$J$4:$J$1872,Z$1)</f>
        <v>0</v>
      </c>
      <c r="AA57" s="80">
        <f>SUMIFS('июль 2024'!$G$4:$G$1872,'июль 2024'!$D$4:$D$1872,$B57,'июль 2024'!$J$4:$J$1872,AA$1)</f>
        <v>0</v>
      </c>
      <c r="AB57" s="80">
        <f>SUMIFS('июль 2024'!$G$4:$G$1872,'июль 2024'!$D$4:$D$1872,$B57,'июль 2024'!$J$4:$J$1872,AB$1)</f>
        <v>0</v>
      </c>
      <c r="AC57" s="80">
        <f>SUMIFS('июль 2024'!$G$4:$G$1872,'июль 2024'!$D$4:$D$1872,$B57,'июль 2024'!$J$4:$J$1872,AC$1)</f>
        <v>0</v>
      </c>
      <c r="AD57" s="80">
        <f>SUMIFS('июль 2024'!$G$4:$G$1872,'июль 2024'!$D$4:$D$1872,$B57,'июль 2024'!$J$4:$J$1872,AD$1)</f>
        <v>0</v>
      </c>
      <c r="AE57" s="80">
        <f>SUMIFS('июль 2024'!$G$4:$G$1872,'июль 2024'!$D$4:$D$1872,$B57,'июль 2024'!$J$4:$J$1872,AE$1)</f>
        <v>0</v>
      </c>
      <c r="AF57" s="80">
        <f>SUMIFS('июль 2024'!$G$4:$G$1872,'июль 2024'!$D$4:$D$1872,$B57,'июль 2024'!$J$4:$J$1872,AF$1)</f>
        <v>0</v>
      </c>
      <c r="AG57" s="80">
        <f>SUMIFS('июль 2024'!$G$4:$G$1872,'июль 2024'!$D$4:$D$1872,$B57,'июль 2024'!$J$4:$J$1872,AG$1)</f>
        <v>0</v>
      </c>
      <c r="AH57" s="80">
        <f>SUMIFS('июль 2024'!$G$4:$G$1872,'июль 2024'!$D$4:$D$1872,$B57,'июль 2024'!$J$4:$J$1872,AH$1)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80">
        <f>SUMIFS('июль 2024'!$G$4:$G$1872,'июль 2024'!$D$4:$D$1872,$B58,'июль 2024'!$J$4:$J$1872,D$1)</f>
        <v>0</v>
      </c>
      <c r="E58" s="80">
        <f>SUMIFS('июль 2024'!$G$4:$G$1872,'июль 2024'!$D$4:$D$1872,$B58,'июль 2024'!$J$4:$J$1872,E$1)</f>
        <v>0</v>
      </c>
      <c r="F58" s="80">
        <f>SUMIFS('июль 2024'!$G$4:$G$1872,'июль 2024'!$D$4:$D$1872,$B58,'июль 2024'!$J$4:$J$1872,F$1)</f>
        <v>0</v>
      </c>
      <c r="G58" s="80">
        <f>SUMIFS('июль 2024'!$G$4:$G$1872,'июль 2024'!$D$4:$D$1872,$B58,'июль 2024'!$J$4:$J$1872,G$1)</f>
        <v>0</v>
      </c>
      <c r="H58" s="80">
        <f>SUMIFS('июль 2024'!$G$4:$G$1872,'июль 2024'!$D$4:$D$1872,$B58,'июль 2024'!$J$4:$J$1872,H$1)</f>
        <v>0</v>
      </c>
      <c r="I58" s="80">
        <f>SUMIFS('июль 2024'!$G$4:$G$1872,'июль 2024'!$D$4:$D$1872,$B58,'июль 2024'!$J$4:$J$1872,I$1)</f>
        <v>0</v>
      </c>
      <c r="J58" s="80">
        <f>SUMIFS('июль 2024'!$G$4:$G$1872,'июль 2024'!$D$4:$D$1872,$B58,'июль 2024'!$J$4:$J$1872,J$1)</f>
        <v>0</v>
      </c>
      <c r="K58" s="80">
        <f>SUMIFS('июль 2024'!$G$4:$G$1872,'июль 2024'!$D$4:$D$1872,$B58,'июль 2024'!$J$4:$J$1872,K$1)</f>
        <v>0</v>
      </c>
      <c r="L58" s="80">
        <f>SUMIFS('июль 2024'!$G$4:$G$1872,'июль 2024'!$D$4:$D$1872,$B58,'июль 2024'!$J$4:$J$1872,L$1)</f>
        <v>0</v>
      </c>
      <c r="M58" s="80">
        <f>SUMIFS('июль 2024'!$G$4:$G$1872,'июль 2024'!$D$4:$D$1872,$B58,'июль 2024'!$J$4:$J$1872,M$1)</f>
        <v>0</v>
      </c>
      <c r="N58" s="80">
        <f>SUMIFS('июль 2024'!$G$4:$G$1872,'июль 2024'!$D$4:$D$1872,$B58,'июль 2024'!$J$4:$J$1872,N$1)</f>
        <v>0</v>
      </c>
      <c r="O58" s="80">
        <f>SUMIFS('июль 2024'!$G$4:$G$1872,'июль 2024'!$D$4:$D$1872,$B58,'июль 2024'!$J$4:$J$1872,O$1)</f>
        <v>0</v>
      </c>
      <c r="P58" s="80">
        <f>SUMIFS('июль 2024'!$G$4:$G$1872,'июль 2024'!$D$4:$D$1872,$B58,'июль 2024'!$J$4:$J$1872,P$1)</f>
        <v>0</v>
      </c>
      <c r="Q58" s="80">
        <f>SUMIFS('июль 2024'!$G$4:$G$1872,'июль 2024'!$D$4:$D$1872,$B58,'июль 2024'!$J$4:$J$1872,Q$1)</f>
        <v>0</v>
      </c>
      <c r="R58" s="80">
        <f>SUMIFS('июль 2024'!$G$4:$G$1872,'июль 2024'!$D$4:$D$1872,$B58,'июль 2024'!$J$4:$J$1872,R$1)</f>
        <v>0</v>
      </c>
      <c r="S58" s="80">
        <f>SUMIFS('июль 2024'!$G$4:$G$1872,'июль 2024'!$D$4:$D$1872,$B58,'июль 2024'!$J$4:$J$1872,S$1)</f>
        <v>0</v>
      </c>
      <c r="T58" s="80">
        <f>SUMIFS('июль 2024'!$G$4:$G$1872,'июль 2024'!$D$4:$D$1872,$B58,'июль 2024'!$J$4:$J$1872,T$1)</f>
        <v>0</v>
      </c>
      <c r="U58" s="80">
        <f>SUMIFS('июль 2024'!$G$4:$G$1872,'июль 2024'!$D$4:$D$1872,$B58,'июль 2024'!$J$4:$J$1872,U$1)</f>
        <v>0</v>
      </c>
      <c r="V58" s="80">
        <f>SUMIFS('июль 2024'!$G$4:$G$1872,'июль 2024'!$D$4:$D$1872,$B58,'июль 2024'!$J$4:$J$1872,V$1)</f>
        <v>0</v>
      </c>
      <c r="W58" s="80">
        <f>SUMIFS('июль 2024'!$G$4:$G$1872,'июль 2024'!$D$4:$D$1872,$B58,'июль 2024'!$J$4:$J$1872,W$1)</f>
        <v>0</v>
      </c>
      <c r="X58" s="80">
        <f>SUMIFS('июль 2024'!$G$4:$G$1872,'июль 2024'!$D$4:$D$1872,$B58,'июль 2024'!$J$4:$J$1872,X$1)</f>
        <v>0</v>
      </c>
      <c r="Y58" s="80">
        <f>SUMIFS('июль 2024'!$G$4:$G$1872,'июль 2024'!$D$4:$D$1872,$B58,'июль 2024'!$J$4:$J$1872,Y$1)</f>
        <v>0</v>
      </c>
      <c r="Z58" s="80">
        <f>SUMIFS('июль 2024'!$G$4:$G$1872,'июль 2024'!$D$4:$D$1872,$B58,'июль 2024'!$J$4:$J$1872,Z$1)</f>
        <v>0</v>
      </c>
      <c r="AA58" s="80">
        <f>SUMIFS('июль 2024'!$G$4:$G$1872,'июль 2024'!$D$4:$D$1872,$B58,'июль 2024'!$J$4:$J$1872,AA$1)</f>
        <v>0</v>
      </c>
      <c r="AB58" s="80">
        <f>SUMIFS('июль 2024'!$G$4:$G$1872,'июль 2024'!$D$4:$D$1872,$B58,'июль 2024'!$J$4:$J$1872,AB$1)</f>
        <v>0</v>
      </c>
      <c r="AC58" s="80">
        <f>SUMIFS('июль 2024'!$G$4:$G$1872,'июль 2024'!$D$4:$D$1872,$B58,'июль 2024'!$J$4:$J$1872,AC$1)</f>
        <v>0</v>
      </c>
      <c r="AD58" s="80">
        <f>SUMIFS('июль 2024'!$G$4:$G$1872,'июль 2024'!$D$4:$D$1872,$B58,'июль 2024'!$J$4:$J$1872,AD$1)</f>
        <v>0</v>
      </c>
      <c r="AE58" s="80">
        <f>SUMIFS('июль 2024'!$G$4:$G$1872,'июль 2024'!$D$4:$D$1872,$B58,'июль 2024'!$J$4:$J$1872,AE$1)</f>
        <v>0</v>
      </c>
      <c r="AF58" s="80">
        <f>SUMIFS('июль 2024'!$G$4:$G$1872,'июль 2024'!$D$4:$D$1872,$B58,'июль 2024'!$J$4:$J$1872,AF$1)</f>
        <v>0</v>
      </c>
      <c r="AG58" s="80">
        <f>SUMIFS('июль 2024'!$G$4:$G$1872,'июль 2024'!$D$4:$D$1872,$B58,'июль 2024'!$J$4:$J$1872,AG$1)</f>
        <v>0</v>
      </c>
      <c r="AH58" s="80">
        <f>SUMIFS('июль 2024'!$G$4:$G$1872,'июль 2024'!$D$4:$D$1872,$B58,'июль 2024'!$J$4:$J$1872,AH$1)</f>
        <v>0</v>
      </c>
      <c r="AI58" s="21">
        <f t="shared" si="1"/>
        <v>0</v>
      </c>
    </row>
    <row r="59" spans="2:35" ht="15" customHeight="1" x14ac:dyDescent="0.25">
      <c r="B59" s="155"/>
      <c r="C59" s="151"/>
      <c r="D59" s="80">
        <f>SUMIFS('июль 2024'!$G$4:$G$1872,'июль 2024'!$D$4:$D$1872,$B59,'июль 2024'!$J$4:$J$1872,D$1)</f>
        <v>0</v>
      </c>
      <c r="E59" s="80">
        <f>SUMIFS('июль 2024'!$G$4:$G$1872,'июль 2024'!$D$4:$D$1872,$B59,'июль 2024'!$J$4:$J$1872,E$1)</f>
        <v>0</v>
      </c>
      <c r="F59" s="80">
        <f>SUMIFS('июль 2024'!$G$4:$G$1872,'июль 2024'!$D$4:$D$1872,$B59,'июль 2024'!$J$4:$J$1872,F$1)</f>
        <v>0</v>
      </c>
      <c r="G59" s="80">
        <f>SUMIFS('июль 2024'!$G$4:$G$1872,'июль 2024'!$D$4:$D$1872,$B59,'июль 2024'!$J$4:$J$1872,G$1)</f>
        <v>0</v>
      </c>
      <c r="H59" s="80">
        <f>SUMIFS('июль 2024'!$G$4:$G$1872,'июль 2024'!$D$4:$D$1872,$B59,'июль 2024'!$J$4:$J$1872,H$1)</f>
        <v>0</v>
      </c>
      <c r="I59" s="80">
        <f>SUMIFS('июль 2024'!$G$4:$G$1872,'июль 2024'!$D$4:$D$1872,$B59,'июль 2024'!$J$4:$J$1872,I$1)</f>
        <v>0</v>
      </c>
      <c r="J59" s="80">
        <f>SUMIFS('июль 2024'!$G$4:$G$1872,'июль 2024'!$D$4:$D$1872,$B59,'июль 2024'!$J$4:$J$1872,J$1)</f>
        <v>0</v>
      </c>
      <c r="K59" s="80">
        <f>SUMIFS('июль 2024'!$G$4:$G$1872,'июль 2024'!$D$4:$D$1872,$B59,'июль 2024'!$J$4:$J$1872,K$1)</f>
        <v>0</v>
      </c>
      <c r="L59" s="80">
        <f>SUMIFS('июль 2024'!$G$4:$G$1872,'июль 2024'!$D$4:$D$1872,$B59,'июль 2024'!$J$4:$J$1872,L$1)</f>
        <v>0</v>
      </c>
      <c r="M59" s="80">
        <f>SUMIFS('июль 2024'!$G$4:$G$1872,'июль 2024'!$D$4:$D$1872,$B59,'июль 2024'!$J$4:$J$1872,M$1)</f>
        <v>0</v>
      </c>
      <c r="N59" s="80">
        <f>SUMIFS('июль 2024'!$G$4:$G$1872,'июль 2024'!$D$4:$D$1872,$B59,'июль 2024'!$J$4:$J$1872,N$1)</f>
        <v>0</v>
      </c>
      <c r="O59" s="80">
        <f>SUMIFS('июль 2024'!$G$4:$G$1872,'июль 2024'!$D$4:$D$1872,$B59,'июль 2024'!$J$4:$J$1872,O$1)</f>
        <v>0</v>
      </c>
      <c r="P59" s="80">
        <f>SUMIFS('июль 2024'!$G$4:$G$1872,'июль 2024'!$D$4:$D$1872,$B59,'июль 2024'!$J$4:$J$1872,P$1)</f>
        <v>0</v>
      </c>
      <c r="Q59" s="80">
        <f>SUMIFS('июль 2024'!$G$4:$G$1872,'июль 2024'!$D$4:$D$1872,$B59,'июль 2024'!$J$4:$J$1872,Q$1)</f>
        <v>0</v>
      </c>
      <c r="R59" s="80">
        <f>SUMIFS('июль 2024'!$G$4:$G$1872,'июль 2024'!$D$4:$D$1872,$B59,'июль 2024'!$J$4:$J$1872,R$1)</f>
        <v>0</v>
      </c>
      <c r="S59" s="80">
        <f>SUMIFS('июль 2024'!$G$4:$G$1872,'июль 2024'!$D$4:$D$1872,$B59,'июль 2024'!$J$4:$J$1872,S$1)</f>
        <v>0</v>
      </c>
      <c r="T59" s="80">
        <f>SUMIFS('июль 2024'!$G$4:$G$1872,'июль 2024'!$D$4:$D$1872,$B59,'июль 2024'!$J$4:$J$1872,T$1)</f>
        <v>0</v>
      </c>
      <c r="U59" s="80">
        <f>SUMIFS('июль 2024'!$G$4:$G$1872,'июль 2024'!$D$4:$D$1872,$B59,'июль 2024'!$J$4:$J$1872,U$1)</f>
        <v>0</v>
      </c>
      <c r="V59" s="80">
        <f>SUMIFS('июль 2024'!$G$4:$G$1872,'июль 2024'!$D$4:$D$1872,$B59,'июль 2024'!$J$4:$J$1872,V$1)</f>
        <v>0</v>
      </c>
      <c r="W59" s="80">
        <f>SUMIFS('июль 2024'!$G$4:$G$1872,'июль 2024'!$D$4:$D$1872,$B59,'июль 2024'!$J$4:$J$1872,W$1)</f>
        <v>0</v>
      </c>
      <c r="X59" s="80">
        <f>SUMIFS('июль 2024'!$G$4:$G$1872,'июль 2024'!$D$4:$D$1872,$B59,'июль 2024'!$J$4:$J$1872,X$1)</f>
        <v>0</v>
      </c>
      <c r="Y59" s="80">
        <f>SUMIFS('июль 2024'!$G$4:$G$1872,'июль 2024'!$D$4:$D$1872,$B59,'июль 2024'!$J$4:$J$1872,Y$1)</f>
        <v>0</v>
      </c>
      <c r="Z59" s="80">
        <f>SUMIFS('июль 2024'!$G$4:$G$1872,'июль 2024'!$D$4:$D$1872,$B59,'июль 2024'!$J$4:$J$1872,Z$1)</f>
        <v>0</v>
      </c>
      <c r="AA59" s="80">
        <f>SUMIFS('июль 2024'!$G$4:$G$1872,'июль 2024'!$D$4:$D$1872,$B59,'июль 2024'!$J$4:$J$1872,AA$1)</f>
        <v>0</v>
      </c>
      <c r="AB59" s="80">
        <f>SUMIFS('июль 2024'!$G$4:$G$1872,'июль 2024'!$D$4:$D$1872,$B59,'июль 2024'!$J$4:$J$1872,AB$1)</f>
        <v>0</v>
      </c>
      <c r="AC59" s="80">
        <f>SUMIFS('июль 2024'!$G$4:$G$1872,'июль 2024'!$D$4:$D$1872,$B59,'июль 2024'!$J$4:$J$1872,AC$1)</f>
        <v>0</v>
      </c>
      <c r="AD59" s="80">
        <f>SUMIFS('июль 2024'!$G$4:$G$1872,'июль 2024'!$D$4:$D$1872,$B59,'июль 2024'!$J$4:$J$1872,AD$1)</f>
        <v>0</v>
      </c>
      <c r="AE59" s="80">
        <f>SUMIFS('июль 2024'!$G$4:$G$1872,'июль 2024'!$D$4:$D$1872,$B59,'июль 2024'!$J$4:$J$1872,AE$1)</f>
        <v>0</v>
      </c>
      <c r="AF59" s="80">
        <f>SUMIFS('июль 2024'!$G$4:$G$1872,'июль 2024'!$D$4:$D$1872,$B59,'июль 2024'!$J$4:$J$1872,AF$1)</f>
        <v>0</v>
      </c>
      <c r="AG59" s="80">
        <f>SUMIFS('июль 2024'!$G$4:$G$1872,'июль 2024'!$D$4:$D$1872,$B59,'июль 2024'!$J$4:$J$1872,AG$1)</f>
        <v>0</v>
      </c>
      <c r="AH59" s="80">
        <f>SUMIFS('июль 2024'!$G$4:$G$1872,'июль 2024'!$D$4:$D$1872,$B59,'июль 2024'!$J$4:$J$1872,AH$1)</f>
        <v>0</v>
      </c>
      <c r="AI59" s="21">
        <f t="shared" si="1"/>
        <v>0</v>
      </c>
    </row>
    <row r="60" spans="2:35" ht="15" customHeight="1" x14ac:dyDescent="0.25">
      <c r="B60" s="155"/>
      <c r="C60" s="151"/>
      <c r="D60" s="80">
        <f>SUMIFS('июль 2024'!$G$4:$G$1872,'июль 2024'!$D$4:$D$1872,$B60,'июль 2024'!$J$4:$J$1872,D$1)</f>
        <v>0</v>
      </c>
      <c r="E60" s="80">
        <f>SUMIFS('июль 2024'!$G$4:$G$1872,'июль 2024'!$D$4:$D$1872,$B60,'июль 2024'!$J$4:$J$1872,E$1)</f>
        <v>0</v>
      </c>
      <c r="F60" s="80">
        <f>SUMIFS('июль 2024'!$G$4:$G$1872,'июль 2024'!$D$4:$D$1872,$B60,'июль 2024'!$J$4:$J$1872,F$1)</f>
        <v>0</v>
      </c>
      <c r="G60" s="80">
        <f>SUMIFS('июль 2024'!$G$4:$G$1872,'июль 2024'!$D$4:$D$1872,$B60,'июль 2024'!$J$4:$J$1872,G$1)</f>
        <v>0</v>
      </c>
      <c r="H60" s="80">
        <f>SUMIFS('июль 2024'!$G$4:$G$1872,'июль 2024'!$D$4:$D$1872,$B60,'июль 2024'!$J$4:$J$1872,H$1)</f>
        <v>0</v>
      </c>
      <c r="I60" s="80">
        <f>SUMIFS('июль 2024'!$G$4:$G$1872,'июль 2024'!$D$4:$D$1872,$B60,'июль 2024'!$J$4:$J$1872,I$1)</f>
        <v>0</v>
      </c>
      <c r="J60" s="80">
        <f>SUMIFS('июль 2024'!$G$4:$G$1872,'июль 2024'!$D$4:$D$1872,$B60,'июль 2024'!$J$4:$J$1872,J$1)</f>
        <v>0</v>
      </c>
      <c r="K60" s="80">
        <f>SUMIFS('июль 2024'!$G$4:$G$1872,'июль 2024'!$D$4:$D$1872,$B60,'июль 2024'!$J$4:$J$1872,K$1)</f>
        <v>0</v>
      </c>
      <c r="L60" s="80">
        <f>SUMIFS('июль 2024'!$G$4:$G$1872,'июль 2024'!$D$4:$D$1872,$B60,'июль 2024'!$J$4:$J$1872,L$1)</f>
        <v>0</v>
      </c>
      <c r="M60" s="80">
        <f>SUMIFS('июль 2024'!$G$4:$G$1872,'июль 2024'!$D$4:$D$1872,$B60,'июль 2024'!$J$4:$J$1872,M$1)</f>
        <v>0</v>
      </c>
      <c r="N60" s="80">
        <f>SUMIFS('июль 2024'!$G$4:$G$1872,'июль 2024'!$D$4:$D$1872,$B60,'июль 2024'!$J$4:$J$1872,N$1)</f>
        <v>0</v>
      </c>
      <c r="O60" s="80">
        <f>SUMIFS('июль 2024'!$G$4:$G$1872,'июль 2024'!$D$4:$D$1872,$B60,'июль 2024'!$J$4:$J$1872,O$1)</f>
        <v>0</v>
      </c>
      <c r="P60" s="80">
        <f>SUMIFS('июль 2024'!$G$4:$G$1872,'июль 2024'!$D$4:$D$1872,$B60,'июль 2024'!$J$4:$J$1872,P$1)</f>
        <v>0</v>
      </c>
      <c r="Q60" s="80">
        <f>SUMIFS('июль 2024'!$G$4:$G$1872,'июль 2024'!$D$4:$D$1872,$B60,'июль 2024'!$J$4:$J$1872,Q$1)</f>
        <v>0</v>
      </c>
      <c r="R60" s="80">
        <f>SUMIFS('июль 2024'!$G$4:$G$1872,'июль 2024'!$D$4:$D$1872,$B60,'июль 2024'!$J$4:$J$1872,R$1)</f>
        <v>0</v>
      </c>
      <c r="S60" s="80">
        <f>SUMIFS('июль 2024'!$G$4:$G$1872,'июль 2024'!$D$4:$D$1872,$B60,'июль 2024'!$J$4:$J$1872,S$1)</f>
        <v>0</v>
      </c>
      <c r="T60" s="80">
        <f>SUMIFS('июль 2024'!$G$4:$G$1872,'июль 2024'!$D$4:$D$1872,$B60,'июль 2024'!$J$4:$J$1872,T$1)</f>
        <v>0</v>
      </c>
      <c r="U60" s="80">
        <f>SUMIFS('июль 2024'!$G$4:$G$1872,'июль 2024'!$D$4:$D$1872,$B60,'июль 2024'!$J$4:$J$1872,U$1)</f>
        <v>0</v>
      </c>
      <c r="V60" s="80">
        <f>SUMIFS('июль 2024'!$G$4:$G$1872,'июль 2024'!$D$4:$D$1872,$B60,'июль 2024'!$J$4:$J$1872,V$1)</f>
        <v>0</v>
      </c>
      <c r="W60" s="80">
        <f>SUMIFS('июль 2024'!$G$4:$G$1872,'июль 2024'!$D$4:$D$1872,$B60,'июль 2024'!$J$4:$J$1872,W$1)</f>
        <v>0</v>
      </c>
      <c r="X60" s="80">
        <f>SUMIFS('июль 2024'!$G$4:$G$1872,'июль 2024'!$D$4:$D$1872,$B60,'июль 2024'!$J$4:$J$1872,X$1)</f>
        <v>0</v>
      </c>
      <c r="Y60" s="80">
        <f>SUMIFS('июль 2024'!$G$4:$G$1872,'июль 2024'!$D$4:$D$1872,$B60,'июль 2024'!$J$4:$J$1872,Y$1)</f>
        <v>0</v>
      </c>
      <c r="Z60" s="80">
        <f>SUMIFS('июль 2024'!$G$4:$G$1872,'июль 2024'!$D$4:$D$1872,$B60,'июль 2024'!$J$4:$J$1872,Z$1)</f>
        <v>0</v>
      </c>
      <c r="AA60" s="80">
        <f>SUMIFS('июль 2024'!$G$4:$G$1872,'июль 2024'!$D$4:$D$1872,$B60,'июль 2024'!$J$4:$J$1872,AA$1)</f>
        <v>0</v>
      </c>
      <c r="AB60" s="80">
        <f>SUMIFS('июль 2024'!$G$4:$G$1872,'июль 2024'!$D$4:$D$1872,$B60,'июль 2024'!$J$4:$J$1872,AB$1)</f>
        <v>0</v>
      </c>
      <c r="AC60" s="80">
        <f>SUMIFS('июль 2024'!$G$4:$G$1872,'июль 2024'!$D$4:$D$1872,$B60,'июль 2024'!$J$4:$J$1872,AC$1)</f>
        <v>0</v>
      </c>
      <c r="AD60" s="80">
        <f>SUMIFS('июль 2024'!$G$4:$G$1872,'июль 2024'!$D$4:$D$1872,$B60,'июль 2024'!$J$4:$J$1872,AD$1)</f>
        <v>0</v>
      </c>
      <c r="AE60" s="80">
        <f>SUMIFS('июль 2024'!$G$4:$G$1872,'июль 2024'!$D$4:$D$1872,$B60,'июль 2024'!$J$4:$J$1872,AE$1)</f>
        <v>0</v>
      </c>
      <c r="AF60" s="80">
        <f>SUMIFS('июль 2024'!$G$4:$G$1872,'июль 2024'!$D$4:$D$1872,$B60,'июль 2024'!$J$4:$J$1872,AF$1)</f>
        <v>0</v>
      </c>
      <c r="AG60" s="80">
        <f>SUMIFS('июль 2024'!$G$4:$G$1872,'июль 2024'!$D$4:$D$1872,$B60,'июль 2024'!$J$4:$J$1872,AG$1)</f>
        <v>0</v>
      </c>
      <c r="AH60" s="80">
        <f>SUMIFS('июль 2024'!$G$4:$G$1872,'июль 2024'!$D$4:$D$1872,$B60,'июль 2024'!$J$4:$J$1872,AH$1)</f>
        <v>0</v>
      </c>
      <c r="AI60" s="21">
        <f t="shared" si="1"/>
        <v>0</v>
      </c>
    </row>
    <row r="61" spans="2:35" ht="15" customHeight="1" x14ac:dyDescent="0.25">
      <c r="B61" s="92" t="s">
        <v>161</v>
      </c>
      <c r="C61" s="91">
        <v>200</v>
      </c>
      <c r="D61" s="80">
        <f>SUMIFS('июль 2024'!$G$4:$G$1872,'июль 2024'!$D$4:$D$1872,$B61,'июль 2024'!$J$4:$J$1872,D$1)</f>
        <v>0</v>
      </c>
      <c r="E61" s="80">
        <f>SUMIFS('июль 2024'!$G$4:$G$1872,'июль 2024'!$D$4:$D$1872,$B61,'июль 2024'!$J$4:$J$1872,E$1)</f>
        <v>0</v>
      </c>
      <c r="F61" s="80">
        <f>SUMIFS('июль 2024'!$G$4:$G$1872,'июль 2024'!$D$4:$D$1872,$B61,'июль 2024'!$J$4:$J$1872,F$1)</f>
        <v>0</v>
      </c>
      <c r="G61" s="80">
        <f>SUMIFS('июль 2024'!$G$4:$G$1872,'июль 2024'!$D$4:$D$1872,$B61,'июль 2024'!$J$4:$J$1872,G$1)</f>
        <v>0</v>
      </c>
      <c r="H61" s="80">
        <f>SUMIFS('июль 2024'!$G$4:$G$1872,'июль 2024'!$D$4:$D$1872,$B61,'июль 2024'!$J$4:$J$1872,H$1)</f>
        <v>0</v>
      </c>
      <c r="I61" s="80">
        <f>SUMIFS('июль 2024'!$G$4:$G$1872,'июль 2024'!$D$4:$D$1872,$B61,'июль 2024'!$J$4:$J$1872,I$1)</f>
        <v>0</v>
      </c>
      <c r="J61" s="80">
        <f>SUMIFS('июль 2024'!$G$4:$G$1872,'июль 2024'!$D$4:$D$1872,$B61,'июль 2024'!$J$4:$J$1872,J$1)</f>
        <v>0</v>
      </c>
      <c r="K61" s="80">
        <f>SUMIFS('июль 2024'!$G$4:$G$1872,'июль 2024'!$D$4:$D$1872,$B61,'июль 2024'!$J$4:$J$1872,K$1)</f>
        <v>0</v>
      </c>
      <c r="L61" s="80">
        <f>SUMIFS('июль 2024'!$G$4:$G$1872,'июль 2024'!$D$4:$D$1872,$B61,'июль 2024'!$J$4:$J$1872,L$1)</f>
        <v>0</v>
      </c>
      <c r="M61" s="80">
        <f>SUMIFS('июль 2024'!$G$4:$G$1872,'июль 2024'!$D$4:$D$1872,$B61,'июль 2024'!$J$4:$J$1872,M$1)</f>
        <v>0</v>
      </c>
      <c r="N61" s="80">
        <f>SUMIFS('июль 2024'!$G$4:$G$1872,'июль 2024'!$D$4:$D$1872,$B61,'июль 2024'!$J$4:$J$1872,N$1)</f>
        <v>0</v>
      </c>
      <c r="O61" s="80">
        <f>SUMIFS('июль 2024'!$G$4:$G$1872,'июль 2024'!$D$4:$D$1872,$B61,'июль 2024'!$J$4:$J$1872,O$1)</f>
        <v>0</v>
      </c>
      <c r="P61" s="80">
        <f>SUMIFS('июль 2024'!$G$4:$G$1872,'июль 2024'!$D$4:$D$1872,$B61,'июль 2024'!$J$4:$J$1872,P$1)</f>
        <v>0</v>
      </c>
      <c r="Q61" s="80">
        <f>SUMIFS('июль 2024'!$G$4:$G$1872,'июль 2024'!$D$4:$D$1872,$B61,'июль 2024'!$J$4:$J$1872,Q$1)</f>
        <v>0</v>
      </c>
      <c r="R61" s="80">
        <f>SUMIFS('июль 2024'!$G$4:$G$1872,'июль 2024'!$D$4:$D$1872,$B61,'июль 2024'!$J$4:$J$1872,R$1)</f>
        <v>0</v>
      </c>
      <c r="S61" s="80">
        <f>SUMIFS('июль 2024'!$G$4:$G$1872,'июль 2024'!$D$4:$D$1872,$B61,'июль 2024'!$J$4:$J$1872,S$1)</f>
        <v>0</v>
      </c>
      <c r="T61" s="80">
        <f>SUMIFS('июль 2024'!$G$4:$G$1872,'июль 2024'!$D$4:$D$1872,$B61,'июль 2024'!$J$4:$J$1872,T$1)</f>
        <v>0</v>
      </c>
      <c r="U61" s="80">
        <f>SUMIFS('июль 2024'!$G$4:$G$1872,'июль 2024'!$D$4:$D$1872,$B61,'июль 2024'!$J$4:$J$1872,U$1)</f>
        <v>0</v>
      </c>
      <c r="V61" s="80">
        <f>SUMIFS('июль 2024'!$G$4:$G$1872,'июль 2024'!$D$4:$D$1872,$B61,'июль 2024'!$J$4:$J$1872,V$1)</f>
        <v>0</v>
      </c>
      <c r="W61" s="80">
        <f>SUMIFS('июль 2024'!$G$4:$G$1872,'июль 2024'!$D$4:$D$1872,$B61,'июль 2024'!$J$4:$J$1872,W$1)</f>
        <v>0</v>
      </c>
      <c r="X61" s="80">
        <f>SUMIFS('июль 2024'!$G$4:$G$1872,'июль 2024'!$D$4:$D$1872,$B61,'июль 2024'!$J$4:$J$1872,X$1)</f>
        <v>0</v>
      </c>
      <c r="Y61" s="80">
        <f>SUMIFS('июль 2024'!$G$4:$G$1872,'июль 2024'!$D$4:$D$1872,$B61,'июль 2024'!$J$4:$J$1872,Y$1)</f>
        <v>0</v>
      </c>
      <c r="Z61" s="80">
        <f>SUMIFS('июль 2024'!$G$4:$G$1872,'июль 2024'!$D$4:$D$1872,$B61,'июль 2024'!$J$4:$J$1872,Z$1)</f>
        <v>0</v>
      </c>
      <c r="AA61" s="80">
        <f>SUMIFS('июль 2024'!$G$4:$G$1872,'июль 2024'!$D$4:$D$1872,$B61,'июль 2024'!$J$4:$J$1872,AA$1)</f>
        <v>0</v>
      </c>
      <c r="AB61" s="80">
        <f>SUMIFS('июль 2024'!$G$4:$G$1872,'июль 2024'!$D$4:$D$1872,$B61,'июль 2024'!$J$4:$J$1872,AB$1)</f>
        <v>0</v>
      </c>
      <c r="AC61" s="80">
        <f>SUMIFS('июль 2024'!$G$4:$G$1872,'июль 2024'!$D$4:$D$1872,$B61,'июль 2024'!$J$4:$J$1872,AC$1)</f>
        <v>0</v>
      </c>
      <c r="AD61" s="80">
        <f>SUMIFS('июль 2024'!$G$4:$G$1872,'июль 2024'!$D$4:$D$1872,$B61,'июль 2024'!$J$4:$J$1872,AD$1)</f>
        <v>0</v>
      </c>
      <c r="AE61" s="80">
        <f>SUMIFS('июль 2024'!$G$4:$G$1872,'июль 2024'!$D$4:$D$1872,$B61,'июль 2024'!$J$4:$J$1872,AE$1)</f>
        <v>0</v>
      </c>
      <c r="AF61" s="80">
        <f>SUMIFS('июль 2024'!$G$4:$G$1872,'июль 2024'!$D$4:$D$1872,$B61,'июль 2024'!$J$4:$J$1872,AF$1)</f>
        <v>0</v>
      </c>
      <c r="AG61" s="80">
        <f>SUMIFS('июль 2024'!$G$4:$G$1872,'июль 2024'!$D$4:$D$1872,$B61,'июль 2024'!$J$4:$J$1872,AG$1)</f>
        <v>0</v>
      </c>
      <c r="AH61" s="80">
        <f>SUMIFS('июль 2024'!$G$4:$G$1872,'июль 2024'!$D$4:$D$1872,$B61,'июль 2024'!$J$4:$J$1872,AH$1)</f>
        <v>0</v>
      </c>
      <c r="AI61" s="21">
        <f t="shared" si="1"/>
        <v>0</v>
      </c>
    </row>
    <row r="62" spans="2:35" ht="15" customHeight="1" x14ac:dyDescent="0.25">
      <c r="B62" s="92" t="s">
        <v>1153</v>
      </c>
      <c r="C62" s="91">
        <v>50</v>
      </c>
      <c r="D62" s="80">
        <f>SUMIFS('июль 2024'!$G$4:$G$1872,'июль 2024'!$D$4:$D$1872,$B62,'июль 2024'!$J$4:$J$1872,D$1)</f>
        <v>0</v>
      </c>
      <c r="E62" s="80">
        <f>SUMIFS('июль 2024'!$G$4:$G$1872,'июль 2024'!$D$4:$D$1872,$B62,'июль 2024'!$J$4:$J$1872,E$1)</f>
        <v>0</v>
      </c>
      <c r="F62" s="80">
        <f>SUMIFS('июль 2024'!$G$4:$G$1872,'июль 2024'!$D$4:$D$1872,$B62,'июль 2024'!$J$4:$J$1872,F$1)</f>
        <v>0</v>
      </c>
      <c r="G62" s="80">
        <f>SUMIFS('июль 2024'!$G$4:$G$1872,'июль 2024'!$D$4:$D$1872,$B62,'июль 2024'!$J$4:$J$1872,G$1)</f>
        <v>0</v>
      </c>
      <c r="H62" s="80">
        <f>SUMIFS('июль 2024'!$G$4:$G$1872,'июль 2024'!$D$4:$D$1872,$B62,'июль 2024'!$J$4:$J$1872,H$1)</f>
        <v>0</v>
      </c>
      <c r="I62" s="80">
        <f>SUMIFS('июль 2024'!$G$4:$G$1872,'июль 2024'!$D$4:$D$1872,$B62,'июль 2024'!$J$4:$J$1872,I$1)</f>
        <v>0</v>
      </c>
      <c r="J62" s="80">
        <f>SUMIFS('июль 2024'!$G$4:$G$1872,'июль 2024'!$D$4:$D$1872,$B62,'июль 2024'!$J$4:$J$1872,J$1)</f>
        <v>0</v>
      </c>
      <c r="K62" s="80">
        <f>SUMIFS('июль 2024'!$G$4:$G$1872,'июль 2024'!$D$4:$D$1872,$B62,'июль 2024'!$J$4:$J$1872,K$1)</f>
        <v>0</v>
      </c>
      <c r="L62" s="80">
        <f>SUMIFS('июль 2024'!$G$4:$G$1872,'июль 2024'!$D$4:$D$1872,$B62,'июль 2024'!$J$4:$J$1872,L$1)</f>
        <v>0</v>
      </c>
      <c r="M62" s="80">
        <f>SUMIFS('июль 2024'!$G$4:$G$1872,'июль 2024'!$D$4:$D$1872,$B62,'июль 2024'!$J$4:$J$1872,M$1)</f>
        <v>0</v>
      </c>
      <c r="N62" s="80">
        <f>SUMIFS('июль 2024'!$G$4:$G$1872,'июль 2024'!$D$4:$D$1872,$B62,'июль 2024'!$J$4:$J$1872,N$1)</f>
        <v>0</v>
      </c>
      <c r="O62" s="80">
        <f>SUMIFS('июль 2024'!$G$4:$G$1872,'июль 2024'!$D$4:$D$1872,$B62,'июль 2024'!$J$4:$J$1872,O$1)</f>
        <v>0</v>
      </c>
      <c r="P62" s="80">
        <f>SUMIFS('июль 2024'!$G$4:$G$1872,'июль 2024'!$D$4:$D$1872,$B62,'июль 2024'!$J$4:$J$1872,P$1)</f>
        <v>0</v>
      </c>
      <c r="Q62" s="80">
        <f>SUMIFS('июль 2024'!$G$4:$G$1872,'июль 2024'!$D$4:$D$1872,$B62,'июль 2024'!$J$4:$J$1872,Q$1)</f>
        <v>0</v>
      </c>
      <c r="R62" s="80">
        <f>SUMIFS('июль 2024'!$G$4:$G$1872,'июль 2024'!$D$4:$D$1872,$B62,'июль 2024'!$J$4:$J$1872,R$1)</f>
        <v>0</v>
      </c>
      <c r="S62" s="80">
        <f>SUMIFS('июль 2024'!$G$4:$G$1872,'июль 2024'!$D$4:$D$1872,$B62,'июль 2024'!$J$4:$J$1872,S$1)</f>
        <v>0</v>
      </c>
      <c r="T62" s="80">
        <f>SUMIFS('июль 2024'!$G$4:$G$1872,'июль 2024'!$D$4:$D$1872,$B62,'июль 2024'!$J$4:$J$1872,T$1)</f>
        <v>0</v>
      </c>
      <c r="U62" s="80">
        <f>SUMIFS('июль 2024'!$G$4:$G$1872,'июль 2024'!$D$4:$D$1872,$B62,'июль 2024'!$J$4:$J$1872,U$1)</f>
        <v>0</v>
      </c>
      <c r="V62" s="80">
        <f>SUMIFS('июль 2024'!$G$4:$G$1872,'июль 2024'!$D$4:$D$1872,$B62,'июль 2024'!$J$4:$J$1872,V$1)</f>
        <v>0</v>
      </c>
      <c r="W62" s="80">
        <f>SUMIFS('июль 2024'!$G$4:$G$1872,'июль 2024'!$D$4:$D$1872,$B62,'июль 2024'!$J$4:$J$1872,W$1)</f>
        <v>0</v>
      </c>
      <c r="X62" s="80">
        <f>SUMIFS('июль 2024'!$G$4:$G$1872,'июль 2024'!$D$4:$D$1872,$B62,'июль 2024'!$J$4:$J$1872,X$1)</f>
        <v>0</v>
      </c>
      <c r="Y62" s="80">
        <f>SUMIFS('июль 2024'!$G$4:$G$1872,'июль 2024'!$D$4:$D$1872,$B62,'июль 2024'!$J$4:$J$1872,Y$1)</f>
        <v>0</v>
      </c>
      <c r="Z62" s="80">
        <f>SUMIFS('июль 2024'!$G$4:$G$1872,'июль 2024'!$D$4:$D$1872,$B62,'июль 2024'!$J$4:$J$1872,Z$1)</f>
        <v>0</v>
      </c>
      <c r="AA62" s="80">
        <f>SUMIFS('июль 2024'!$G$4:$G$1872,'июль 2024'!$D$4:$D$1872,$B62,'июль 2024'!$J$4:$J$1872,AA$1)</f>
        <v>0</v>
      </c>
      <c r="AB62" s="80">
        <f>SUMIFS('июль 2024'!$G$4:$G$1872,'июль 2024'!$D$4:$D$1872,$B62,'июль 2024'!$J$4:$J$1872,AB$1)</f>
        <v>0</v>
      </c>
      <c r="AC62" s="80">
        <f>SUMIFS('июль 2024'!$G$4:$G$1872,'июль 2024'!$D$4:$D$1872,$B62,'июль 2024'!$J$4:$J$1872,AC$1)</f>
        <v>0</v>
      </c>
      <c r="AD62" s="80">
        <f>SUMIFS('июль 2024'!$G$4:$G$1872,'июль 2024'!$D$4:$D$1872,$B62,'июль 2024'!$J$4:$J$1872,AD$1)</f>
        <v>0</v>
      </c>
      <c r="AE62" s="80">
        <f>SUMIFS('июль 2024'!$G$4:$G$1872,'июль 2024'!$D$4:$D$1872,$B62,'июль 2024'!$J$4:$J$1872,AE$1)</f>
        <v>0</v>
      </c>
      <c r="AF62" s="80">
        <f>SUMIFS('июль 2024'!$G$4:$G$1872,'июль 2024'!$D$4:$D$1872,$B62,'июль 2024'!$J$4:$J$1872,AF$1)</f>
        <v>0</v>
      </c>
      <c r="AG62" s="80">
        <f>SUMIFS('июль 2024'!$G$4:$G$1872,'июль 2024'!$D$4:$D$1872,$B62,'июль 2024'!$J$4:$J$1872,AG$1)</f>
        <v>0</v>
      </c>
      <c r="AH62" s="80">
        <f>SUMIFS('июль 2024'!$G$4:$G$1872,'июль 2024'!$D$4:$D$1872,$B62,'июль 2024'!$J$4:$J$1872,AH$1)</f>
        <v>0</v>
      </c>
      <c r="AI62" s="21">
        <f t="shared" si="1"/>
        <v>0</v>
      </c>
    </row>
    <row r="63" spans="2:35" ht="15" customHeight="1" x14ac:dyDescent="0.25">
      <c r="B63" s="93" t="s">
        <v>209</v>
      </c>
      <c r="C63" s="91">
        <v>200</v>
      </c>
      <c r="D63" s="80">
        <f>SUMIFS('июль 2024'!$G$4:$G$1872,'июль 2024'!$D$4:$D$1872,$B63,'июль 2024'!$J$4:$J$1872,D$1)</f>
        <v>0</v>
      </c>
      <c r="E63" s="80">
        <f>SUMIFS('июль 2024'!$G$4:$G$1872,'июль 2024'!$D$4:$D$1872,$B63,'июль 2024'!$J$4:$J$1872,E$1)</f>
        <v>0</v>
      </c>
      <c r="F63" s="80">
        <f>SUMIFS('июль 2024'!$G$4:$G$1872,'июль 2024'!$D$4:$D$1872,$B63,'июль 2024'!$J$4:$J$1872,F$1)</f>
        <v>0</v>
      </c>
      <c r="G63" s="80">
        <f>SUMIFS('июль 2024'!$G$4:$G$1872,'июль 2024'!$D$4:$D$1872,$B63,'июль 2024'!$J$4:$J$1872,G$1)</f>
        <v>0</v>
      </c>
      <c r="H63" s="80">
        <f>SUMIFS('июль 2024'!$G$4:$G$1872,'июль 2024'!$D$4:$D$1872,$B63,'июль 2024'!$J$4:$J$1872,H$1)</f>
        <v>0</v>
      </c>
      <c r="I63" s="80">
        <f>SUMIFS('июль 2024'!$G$4:$G$1872,'июль 2024'!$D$4:$D$1872,$B63,'июль 2024'!$J$4:$J$1872,I$1)</f>
        <v>0</v>
      </c>
      <c r="J63" s="80">
        <f>SUMIFS('июль 2024'!$G$4:$G$1872,'июль 2024'!$D$4:$D$1872,$B63,'июль 2024'!$J$4:$J$1872,J$1)</f>
        <v>0</v>
      </c>
      <c r="K63" s="80">
        <f>SUMIFS('июль 2024'!$G$4:$G$1872,'июль 2024'!$D$4:$D$1872,$B63,'июль 2024'!$J$4:$J$1872,K$1)</f>
        <v>0</v>
      </c>
      <c r="L63" s="80">
        <f>SUMIFS('июль 2024'!$G$4:$G$1872,'июль 2024'!$D$4:$D$1872,$B63,'июль 2024'!$J$4:$J$1872,L$1)</f>
        <v>0</v>
      </c>
      <c r="M63" s="80">
        <f>SUMIFS('июль 2024'!$G$4:$G$1872,'июль 2024'!$D$4:$D$1872,$B63,'июль 2024'!$J$4:$J$1872,M$1)</f>
        <v>0</v>
      </c>
      <c r="N63" s="80">
        <f>SUMIFS('июль 2024'!$G$4:$G$1872,'июль 2024'!$D$4:$D$1872,$B63,'июль 2024'!$J$4:$J$1872,N$1)</f>
        <v>0</v>
      </c>
      <c r="O63" s="80">
        <f>SUMIFS('июль 2024'!$G$4:$G$1872,'июль 2024'!$D$4:$D$1872,$B63,'июль 2024'!$J$4:$J$1872,O$1)</f>
        <v>0</v>
      </c>
      <c r="P63" s="80">
        <f>SUMIFS('июль 2024'!$G$4:$G$1872,'июль 2024'!$D$4:$D$1872,$B63,'июль 2024'!$J$4:$J$1872,P$1)</f>
        <v>0</v>
      </c>
      <c r="Q63" s="80">
        <f>SUMIFS('июль 2024'!$G$4:$G$1872,'июль 2024'!$D$4:$D$1872,$B63,'июль 2024'!$J$4:$J$1872,Q$1)</f>
        <v>0</v>
      </c>
      <c r="R63" s="80">
        <f>SUMIFS('июль 2024'!$G$4:$G$1872,'июль 2024'!$D$4:$D$1872,$B63,'июль 2024'!$J$4:$J$1872,R$1)</f>
        <v>0</v>
      </c>
      <c r="S63" s="80">
        <f>SUMIFS('июль 2024'!$G$4:$G$1872,'июль 2024'!$D$4:$D$1872,$B63,'июль 2024'!$J$4:$J$1872,S$1)</f>
        <v>0</v>
      </c>
      <c r="T63" s="80">
        <f>SUMIFS('июль 2024'!$G$4:$G$1872,'июль 2024'!$D$4:$D$1872,$B63,'июль 2024'!$J$4:$J$1872,T$1)</f>
        <v>0</v>
      </c>
      <c r="U63" s="80">
        <f>SUMIFS('июль 2024'!$G$4:$G$1872,'июль 2024'!$D$4:$D$1872,$B63,'июль 2024'!$J$4:$J$1872,U$1)</f>
        <v>0</v>
      </c>
      <c r="V63" s="80">
        <f>SUMIFS('июль 2024'!$G$4:$G$1872,'июль 2024'!$D$4:$D$1872,$B63,'июль 2024'!$J$4:$J$1872,V$1)</f>
        <v>0</v>
      </c>
      <c r="W63" s="80">
        <f>SUMIFS('июль 2024'!$G$4:$G$1872,'июль 2024'!$D$4:$D$1872,$B63,'июль 2024'!$J$4:$J$1872,W$1)</f>
        <v>0</v>
      </c>
      <c r="X63" s="80">
        <f>SUMIFS('июль 2024'!$G$4:$G$1872,'июль 2024'!$D$4:$D$1872,$B63,'июль 2024'!$J$4:$J$1872,X$1)</f>
        <v>0</v>
      </c>
      <c r="Y63" s="80">
        <f>SUMIFS('июль 2024'!$G$4:$G$1872,'июль 2024'!$D$4:$D$1872,$B63,'июль 2024'!$J$4:$J$1872,Y$1)</f>
        <v>0</v>
      </c>
      <c r="Z63" s="80">
        <f>SUMIFS('июль 2024'!$G$4:$G$1872,'июль 2024'!$D$4:$D$1872,$B63,'июль 2024'!$J$4:$J$1872,Z$1)</f>
        <v>0</v>
      </c>
      <c r="AA63" s="80">
        <f>SUMIFS('июль 2024'!$G$4:$G$1872,'июль 2024'!$D$4:$D$1872,$B63,'июль 2024'!$J$4:$J$1872,AA$1)</f>
        <v>0</v>
      </c>
      <c r="AB63" s="80">
        <f>SUMIFS('июль 2024'!$G$4:$G$1872,'июль 2024'!$D$4:$D$1872,$B63,'июль 2024'!$J$4:$J$1872,AB$1)</f>
        <v>0</v>
      </c>
      <c r="AC63" s="80">
        <f>SUMIFS('июль 2024'!$G$4:$G$1872,'июль 2024'!$D$4:$D$1872,$B63,'июль 2024'!$J$4:$J$1872,AC$1)</f>
        <v>0</v>
      </c>
      <c r="AD63" s="80">
        <f>SUMIFS('июль 2024'!$G$4:$G$1872,'июль 2024'!$D$4:$D$1872,$B63,'июль 2024'!$J$4:$J$1872,AD$1)</f>
        <v>0</v>
      </c>
      <c r="AE63" s="80">
        <f>SUMIFS('июль 2024'!$G$4:$G$1872,'июль 2024'!$D$4:$D$1872,$B63,'июль 2024'!$J$4:$J$1872,AE$1)</f>
        <v>0</v>
      </c>
      <c r="AF63" s="80">
        <f>SUMIFS('июль 2024'!$G$4:$G$1872,'июль 2024'!$D$4:$D$1872,$B63,'июль 2024'!$J$4:$J$1872,AF$1)</f>
        <v>0</v>
      </c>
      <c r="AG63" s="80">
        <f>SUMIFS('июль 2024'!$G$4:$G$1872,'июль 2024'!$D$4:$D$1872,$B63,'июль 2024'!$J$4:$J$1872,AG$1)</f>
        <v>0</v>
      </c>
      <c r="AH63" s="80">
        <f>SUMIFS('июль 2024'!$G$4:$G$1872,'июль 2024'!$D$4:$D$1872,$B63,'июль 2024'!$J$4:$J$1872,AH$1)</f>
        <v>0</v>
      </c>
      <c r="AI63" s="21">
        <f t="shared" si="1"/>
        <v>0</v>
      </c>
    </row>
    <row r="64" spans="2:35" ht="15" customHeight="1" x14ac:dyDescent="0.25">
      <c r="B64" s="93" t="s">
        <v>222</v>
      </c>
      <c r="C64" s="91">
        <v>25</v>
      </c>
      <c r="D64" s="80">
        <f>SUMIFS('июль 2024'!$G$4:$G$1872,'июль 2024'!$D$4:$D$1872,$B64,'июль 2024'!$J$4:$J$1872,D$1)</f>
        <v>0</v>
      </c>
      <c r="E64" s="80">
        <f>SUMIFS('июль 2024'!$G$4:$G$1872,'июль 2024'!$D$4:$D$1872,$B64,'июль 2024'!$J$4:$J$1872,E$1)</f>
        <v>0</v>
      </c>
      <c r="F64" s="80">
        <f>SUMIFS('июль 2024'!$G$4:$G$1872,'июль 2024'!$D$4:$D$1872,$B64,'июль 2024'!$J$4:$J$1872,F$1)</f>
        <v>0</v>
      </c>
      <c r="G64" s="80">
        <f>SUMIFS('июль 2024'!$G$4:$G$1872,'июль 2024'!$D$4:$D$1872,$B64,'июль 2024'!$J$4:$J$1872,G$1)</f>
        <v>0</v>
      </c>
      <c r="H64" s="80">
        <f>SUMIFS('июль 2024'!$G$4:$G$1872,'июль 2024'!$D$4:$D$1872,$B64,'июль 2024'!$J$4:$J$1872,H$1)</f>
        <v>0</v>
      </c>
      <c r="I64" s="80">
        <f>SUMIFS('июль 2024'!$G$4:$G$1872,'июль 2024'!$D$4:$D$1872,$B64,'июль 2024'!$J$4:$J$1872,I$1)</f>
        <v>0</v>
      </c>
      <c r="J64" s="80">
        <f>SUMIFS('июль 2024'!$G$4:$G$1872,'июль 2024'!$D$4:$D$1872,$B64,'июль 2024'!$J$4:$J$1872,J$1)</f>
        <v>0</v>
      </c>
      <c r="K64" s="80">
        <f>SUMIFS('июль 2024'!$G$4:$G$1872,'июль 2024'!$D$4:$D$1872,$B64,'июль 2024'!$J$4:$J$1872,K$1)</f>
        <v>0</v>
      </c>
      <c r="L64" s="80">
        <f>SUMIFS('июль 2024'!$G$4:$G$1872,'июль 2024'!$D$4:$D$1872,$B64,'июль 2024'!$J$4:$J$1872,L$1)</f>
        <v>0</v>
      </c>
      <c r="M64" s="80">
        <f>SUMIFS('июль 2024'!$G$4:$G$1872,'июль 2024'!$D$4:$D$1872,$B64,'июль 2024'!$J$4:$J$1872,M$1)</f>
        <v>0</v>
      </c>
      <c r="N64" s="80">
        <f>SUMIFS('июль 2024'!$G$4:$G$1872,'июль 2024'!$D$4:$D$1872,$B64,'июль 2024'!$J$4:$J$1872,N$1)</f>
        <v>0</v>
      </c>
      <c r="O64" s="80">
        <f>SUMIFS('июль 2024'!$G$4:$G$1872,'июль 2024'!$D$4:$D$1872,$B64,'июль 2024'!$J$4:$J$1872,O$1)</f>
        <v>0</v>
      </c>
      <c r="P64" s="80">
        <f>SUMIFS('июль 2024'!$G$4:$G$1872,'июль 2024'!$D$4:$D$1872,$B64,'июль 2024'!$J$4:$J$1872,P$1)</f>
        <v>0</v>
      </c>
      <c r="Q64" s="80">
        <f>SUMIFS('июль 2024'!$G$4:$G$1872,'июль 2024'!$D$4:$D$1872,$B64,'июль 2024'!$J$4:$J$1872,Q$1)</f>
        <v>0</v>
      </c>
      <c r="R64" s="80">
        <f>SUMIFS('июль 2024'!$G$4:$G$1872,'июль 2024'!$D$4:$D$1872,$B64,'июль 2024'!$J$4:$J$1872,R$1)</f>
        <v>0</v>
      </c>
      <c r="S64" s="80">
        <f>SUMIFS('июль 2024'!$G$4:$G$1872,'июль 2024'!$D$4:$D$1872,$B64,'июль 2024'!$J$4:$J$1872,S$1)</f>
        <v>0</v>
      </c>
      <c r="T64" s="80">
        <f>SUMIFS('июль 2024'!$G$4:$G$1872,'июль 2024'!$D$4:$D$1872,$B64,'июль 2024'!$J$4:$J$1872,T$1)</f>
        <v>0</v>
      </c>
      <c r="U64" s="80">
        <f>SUMIFS('июль 2024'!$G$4:$G$1872,'июль 2024'!$D$4:$D$1872,$B64,'июль 2024'!$J$4:$J$1872,U$1)</f>
        <v>0</v>
      </c>
      <c r="V64" s="80">
        <f>SUMIFS('июль 2024'!$G$4:$G$1872,'июль 2024'!$D$4:$D$1872,$B64,'июль 2024'!$J$4:$J$1872,V$1)</f>
        <v>0</v>
      </c>
      <c r="W64" s="80">
        <f>SUMIFS('июль 2024'!$G$4:$G$1872,'июль 2024'!$D$4:$D$1872,$B64,'июль 2024'!$J$4:$J$1872,W$1)</f>
        <v>0</v>
      </c>
      <c r="X64" s="80">
        <f>SUMIFS('июль 2024'!$G$4:$G$1872,'июль 2024'!$D$4:$D$1872,$B64,'июль 2024'!$J$4:$J$1872,X$1)</f>
        <v>0</v>
      </c>
      <c r="Y64" s="80">
        <f>SUMIFS('июль 2024'!$G$4:$G$1872,'июль 2024'!$D$4:$D$1872,$B64,'июль 2024'!$J$4:$J$1872,Y$1)</f>
        <v>0</v>
      </c>
      <c r="Z64" s="80">
        <f>SUMIFS('июль 2024'!$G$4:$G$1872,'июль 2024'!$D$4:$D$1872,$B64,'июль 2024'!$J$4:$J$1872,Z$1)</f>
        <v>0</v>
      </c>
      <c r="AA64" s="80">
        <f>SUMIFS('июль 2024'!$G$4:$G$1872,'июль 2024'!$D$4:$D$1872,$B64,'июль 2024'!$J$4:$J$1872,AA$1)</f>
        <v>0</v>
      </c>
      <c r="AB64" s="80">
        <f>SUMIFS('июль 2024'!$G$4:$G$1872,'июль 2024'!$D$4:$D$1872,$B64,'июль 2024'!$J$4:$J$1872,AB$1)</f>
        <v>0</v>
      </c>
      <c r="AC64" s="80">
        <f>SUMIFS('июль 2024'!$G$4:$G$1872,'июль 2024'!$D$4:$D$1872,$B64,'июль 2024'!$J$4:$J$1872,AC$1)</f>
        <v>0</v>
      </c>
      <c r="AD64" s="80">
        <f>SUMIFS('июль 2024'!$G$4:$G$1872,'июль 2024'!$D$4:$D$1872,$B64,'июль 2024'!$J$4:$J$1872,AD$1)</f>
        <v>0</v>
      </c>
      <c r="AE64" s="80">
        <f>SUMIFS('июль 2024'!$G$4:$G$1872,'июль 2024'!$D$4:$D$1872,$B64,'июль 2024'!$J$4:$J$1872,AE$1)</f>
        <v>0</v>
      </c>
      <c r="AF64" s="80">
        <f>SUMIFS('июль 2024'!$G$4:$G$1872,'июль 2024'!$D$4:$D$1872,$B64,'июль 2024'!$J$4:$J$1872,AF$1)</f>
        <v>0</v>
      </c>
      <c r="AG64" s="80">
        <f>SUMIFS('июль 2024'!$G$4:$G$1872,'июль 2024'!$D$4:$D$1872,$B64,'июль 2024'!$J$4:$J$1872,AG$1)</f>
        <v>0</v>
      </c>
      <c r="AH64" s="80">
        <f>SUMIFS('июль 2024'!$G$4:$G$1872,'июль 2024'!$D$4:$D$1872,$B64,'июль 2024'!$J$4:$J$1872,AH$1)</f>
        <v>0</v>
      </c>
      <c r="AI64" s="21">
        <f t="shared" si="1"/>
        <v>0</v>
      </c>
    </row>
    <row r="65" spans="2:35" ht="15" customHeight="1" x14ac:dyDescent="0.25">
      <c r="B65" s="93" t="s">
        <v>189</v>
      </c>
      <c r="C65" s="91">
        <v>50</v>
      </c>
      <c r="D65" s="80">
        <f>SUMIFS('июль 2024'!$G$4:$G$1872,'июль 2024'!$D$4:$D$1872,$B65,'июль 2024'!$J$4:$J$1872,D$1)</f>
        <v>0</v>
      </c>
      <c r="E65" s="80">
        <f>SUMIFS('июль 2024'!$G$4:$G$1872,'июль 2024'!$D$4:$D$1872,$B65,'июль 2024'!$J$4:$J$1872,E$1)</f>
        <v>0</v>
      </c>
      <c r="F65" s="80">
        <f>SUMIFS('июль 2024'!$G$4:$G$1872,'июль 2024'!$D$4:$D$1872,$B65,'июль 2024'!$J$4:$J$1872,F$1)</f>
        <v>0</v>
      </c>
      <c r="G65" s="80">
        <f>SUMIFS('июль 2024'!$G$4:$G$1872,'июль 2024'!$D$4:$D$1872,$B65,'июль 2024'!$J$4:$J$1872,G$1)</f>
        <v>0</v>
      </c>
      <c r="H65" s="80">
        <f>SUMIFS('июль 2024'!$G$4:$G$1872,'июль 2024'!$D$4:$D$1872,$B65,'июль 2024'!$J$4:$J$1872,H$1)</f>
        <v>0</v>
      </c>
      <c r="I65" s="80">
        <f>SUMIFS('июль 2024'!$G$4:$G$1872,'июль 2024'!$D$4:$D$1872,$B65,'июль 2024'!$J$4:$J$1872,I$1)</f>
        <v>0</v>
      </c>
      <c r="J65" s="80">
        <f>SUMIFS('июль 2024'!$G$4:$G$1872,'июль 2024'!$D$4:$D$1872,$B65,'июль 2024'!$J$4:$J$1872,J$1)</f>
        <v>0</v>
      </c>
      <c r="K65" s="80">
        <f>SUMIFS('июль 2024'!$G$4:$G$1872,'июль 2024'!$D$4:$D$1872,$B65,'июль 2024'!$J$4:$J$1872,K$1)</f>
        <v>0</v>
      </c>
      <c r="L65" s="80">
        <f>SUMIFS('июль 2024'!$G$4:$G$1872,'июль 2024'!$D$4:$D$1872,$B65,'июль 2024'!$J$4:$J$1872,L$1)</f>
        <v>0</v>
      </c>
      <c r="M65" s="80">
        <f>SUMIFS('июль 2024'!$G$4:$G$1872,'июль 2024'!$D$4:$D$1872,$B65,'июль 2024'!$J$4:$J$1872,M$1)</f>
        <v>0</v>
      </c>
      <c r="N65" s="80">
        <f>SUMIFS('июль 2024'!$G$4:$G$1872,'июль 2024'!$D$4:$D$1872,$B65,'июль 2024'!$J$4:$J$1872,N$1)</f>
        <v>0</v>
      </c>
      <c r="O65" s="80">
        <f>SUMIFS('июль 2024'!$G$4:$G$1872,'июль 2024'!$D$4:$D$1872,$B65,'июль 2024'!$J$4:$J$1872,O$1)</f>
        <v>0</v>
      </c>
      <c r="P65" s="80">
        <f>SUMIFS('июль 2024'!$G$4:$G$1872,'июль 2024'!$D$4:$D$1872,$B65,'июль 2024'!$J$4:$J$1872,P$1)</f>
        <v>0</v>
      </c>
      <c r="Q65" s="80">
        <f>SUMIFS('июль 2024'!$G$4:$G$1872,'июль 2024'!$D$4:$D$1872,$B65,'июль 2024'!$J$4:$J$1872,Q$1)</f>
        <v>0</v>
      </c>
      <c r="R65" s="80">
        <f>SUMIFS('июль 2024'!$G$4:$G$1872,'июль 2024'!$D$4:$D$1872,$B65,'июль 2024'!$J$4:$J$1872,R$1)</f>
        <v>0</v>
      </c>
      <c r="S65" s="80">
        <f>SUMIFS('июль 2024'!$G$4:$G$1872,'июль 2024'!$D$4:$D$1872,$B65,'июль 2024'!$J$4:$J$1872,S$1)</f>
        <v>0</v>
      </c>
      <c r="T65" s="80">
        <f>SUMIFS('июль 2024'!$G$4:$G$1872,'июль 2024'!$D$4:$D$1872,$B65,'июль 2024'!$J$4:$J$1872,T$1)</f>
        <v>0</v>
      </c>
      <c r="U65" s="80">
        <f>SUMIFS('июль 2024'!$G$4:$G$1872,'июль 2024'!$D$4:$D$1872,$B65,'июль 2024'!$J$4:$J$1872,U$1)</f>
        <v>0</v>
      </c>
      <c r="V65" s="80">
        <f>SUMIFS('июль 2024'!$G$4:$G$1872,'июль 2024'!$D$4:$D$1872,$B65,'июль 2024'!$J$4:$J$1872,V$1)</f>
        <v>0</v>
      </c>
      <c r="W65" s="80">
        <f>SUMIFS('июль 2024'!$G$4:$G$1872,'июль 2024'!$D$4:$D$1872,$B65,'июль 2024'!$J$4:$J$1872,W$1)</f>
        <v>0</v>
      </c>
      <c r="X65" s="80">
        <f>SUMIFS('июль 2024'!$G$4:$G$1872,'июль 2024'!$D$4:$D$1872,$B65,'июль 2024'!$J$4:$J$1872,X$1)</f>
        <v>0</v>
      </c>
      <c r="Y65" s="80">
        <f>SUMIFS('июль 2024'!$G$4:$G$1872,'июль 2024'!$D$4:$D$1872,$B65,'июль 2024'!$J$4:$J$1872,Y$1)</f>
        <v>0</v>
      </c>
      <c r="Z65" s="80">
        <f>SUMIFS('июль 2024'!$G$4:$G$1872,'июль 2024'!$D$4:$D$1872,$B65,'июль 2024'!$J$4:$J$1872,Z$1)</f>
        <v>0</v>
      </c>
      <c r="AA65" s="80">
        <f>SUMIFS('июль 2024'!$G$4:$G$1872,'июль 2024'!$D$4:$D$1872,$B65,'июль 2024'!$J$4:$J$1872,AA$1)</f>
        <v>0</v>
      </c>
      <c r="AB65" s="80">
        <f>SUMIFS('июль 2024'!$G$4:$G$1872,'июль 2024'!$D$4:$D$1872,$B65,'июль 2024'!$J$4:$J$1872,AB$1)</f>
        <v>0</v>
      </c>
      <c r="AC65" s="80">
        <f>SUMIFS('июль 2024'!$G$4:$G$1872,'июль 2024'!$D$4:$D$1872,$B65,'июль 2024'!$J$4:$J$1872,AC$1)</f>
        <v>0</v>
      </c>
      <c r="AD65" s="80">
        <f>SUMIFS('июль 2024'!$G$4:$G$1872,'июль 2024'!$D$4:$D$1872,$B65,'июль 2024'!$J$4:$J$1872,AD$1)</f>
        <v>0</v>
      </c>
      <c r="AE65" s="80">
        <f>SUMIFS('июль 2024'!$G$4:$G$1872,'июль 2024'!$D$4:$D$1872,$B65,'июль 2024'!$J$4:$J$1872,AE$1)</f>
        <v>0</v>
      </c>
      <c r="AF65" s="80">
        <f>SUMIFS('июль 2024'!$G$4:$G$1872,'июль 2024'!$D$4:$D$1872,$B65,'июль 2024'!$J$4:$J$1872,AF$1)</f>
        <v>0</v>
      </c>
      <c r="AG65" s="80">
        <f>SUMIFS('июль 2024'!$G$4:$G$1872,'июль 2024'!$D$4:$D$1872,$B65,'июль 2024'!$J$4:$J$1872,AG$1)</f>
        <v>0</v>
      </c>
      <c r="AH65" s="80">
        <f>SUMIFS('июль 2024'!$G$4:$G$1872,'июль 2024'!$D$4:$D$1872,$B65,'июль 2024'!$J$4:$J$1872,AH$1)</f>
        <v>0</v>
      </c>
      <c r="AI65" s="21">
        <f t="shared" si="1"/>
        <v>0</v>
      </c>
    </row>
    <row r="66" spans="2:35" ht="15.75" x14ac:dyDescent="0.25">
      <c r="B66" s="89" t="s">
        <v>159</v>
      </c>
      <c r="C66" s="88">
        <v>200</v>
      </c>
      <c r="D66" s="80">
        <f>SUMIFS('июль 2024'!$G$4:$G$1872,'июль 2024'!$D$4:$D$1872,$B66,'июль 2024'!$J$4:$J$1872,D$1)</f>
        <v>0</v>
      </c>
      <c r="E66" s="80">
        <f>SUMIFS('июль 2024'!$G$4:$G$1872,'июль 2024'!$D$4:$D$1872,$B66,'июль 2024'!$J$4:$J$1872,E$1)</f>
        <v>0</v>
      </c>
      <c r="F66" s="80">
        <f>SUMIFS('июль 2024'!$G$4:$G$1872,'июль 2024'!$D$4:$D$1872,$B66,'июль 2024'!$J$4:$J$1872,F$1)</f>
        <v>0</v>
      </c>
      <c r="G66" s="80">
        <f>SUMIFS('июль 2024'!$G$4:$G$1872,'июль 2024'!$D$4:$D$1872,$B66,'июль 2024'!$J$4:$J$1872,G$1)</f>
        <v>0</v>
      </c>
      <c r="H66" s="80">
        <f>SUMIFS('июль 2024'!$G$4:$G$1872,'июль 2024'!$D$4:$D$1872,$B66,'июль 2024'!$J$4:$J$1872,H$1)</f>
        <v>0</v>
      </c>
      <c r="I66" s="80">
        <f>SUMIFS('июль 2024'!$G$4:$G$1872,'июль 2024'!$D$4:$D$1872,$B66,'июль 2024'!$J$4:$J$1872,I$1)</f>
        <v>0</v>
      </c>
      <c r="J66" s="80">
        <f>SUMIFS('июль 2024'!$G$4:$G$1872,'июль 2024'!$D$4:$D$1872,$B66,'июль 2024'!$J$4:$J$1872,J$1)</f>
        <v>0</v>
      </c>
      <c r="K66" s="80">
        <f>SUMIFS('июль 2024'!$G$4:$G$1872,'июль 2024'!$D$4:$D$1872,$B66,'июль 2024'!$J$4:$J$1872,K$1)</f>
        <v>0</v>
      </c>
      <c r="L66" s="80">
        <f>SUMIFS('июль 2024'!$G$4:$G$1872,'июль 2024'!$D$4:$D$1872,$B66,'июль 2024'!$J$4:$J$1872,L$1)</f>
        <v>0</v>
      </c>
      <c r="M66" s="80">
        <f>SUMIFS('июль 2024'!$G$4:$G$1872,'июль 2024'!$D$4:$D$1872,$B66,'июль 2024'!$J$4:$J$1872,M$1)</f>
        <v>0</v>
      </c>
      <c r="N66" s="80">
        <f>SUMIFS('июль 2024'!$G$4:$G$1872,'июль 2024'!$D$4:$D$1872,$B66,'июль 2024'!$J$4:$J$1872,N$1)</f>
        <v>0</v>
      </c>
      <c r="O66" s="80">
        <f>SUMIFS('июль 2024'!$G$4:$G$1872,'июль 2024'!$D$4:$D$1872,$B66,'июль 2024'!$J$4:$J$1872,O$1)</f>
        <v>0</v>
      </c>
      <c r="P66" s="80">
        <f>SUMIFS('июль 2024'!$G$4:$G$1872,'июль 2024'!$D$4:$D$1872,$B66,'июль 2024'!$J$4:$J$1872,P$1)</f>
        <v>0</v>
      </c>
      <c r="Q66" s="80">
        <f>SUMIFS('июль 2024'!$G$4:$G$1872,'июль 2024'!$D$4:$D$1872,$B66,'июль 2024'!$J$4:$J$1872,Q$1)</f>
        <v>0</v>
      </c>
      <c r="R66" s="80">
        <f>SUMIFS('июль 2024'!$G$4:$G$1872,'июль 2024'!$D$4:$D$1872,$B66,'июль 2024'!$J$4:$J$1872,R$1)</f>
        <v>0</v>
      </c>
      <c r="S66" s="80">
        <f>SUMIFS('июль 2024'!$G$4:$G$1872,'июль 2024'!$D$4:$D$1872,$B66,'июль 2024'!$J$4:$J$1872,S$1)</f>
        <v>0</v>
      </c>
      <c r="T66" s="80">
        <f>SUMIFS('июль 2024'!$G$4:$G$1872,'июль 2024'!$D$4:$D$1872,$B66,'июль 2024'!$J$4:$J$1872,T$1)</f>
        <v>0</v>
      </c>
      <c r="U66" s="80">
        <f>SUMIFS('июль 2024'!$G$4:$G$1872,'июль 2024'!$D$4:$D$1872,$B66,'июль 2024'!$J$4:$J$1872,U$1)</f>
        <v>0</v>
      </c>
      <c r="V66" s="80">
        <f>SUMIFS('июль 2024'!$G$4:$G$1872,'июль 2024'!$D$4:$D$1872,$B66,'июль 2024'!$J$4:$J$1872,V$1)</f>
        <v>0</v>
      </c>
      <c r="W66" s="80">
        <f>SUMIFS('июль 2024'!$G$4:$G$1872,'июль 2024'!$D$4:$D$1872,$B66,'июль 2024'!$J$4:$J$1872,W$1)</f>
        <v>0</v>
      </c>
      <c r="X66" s="80">
        <f>SUMIFS('июль 2024'!$G$4:$G$1872,'июль 2024'!$D$4:$D$1872,$B66,'июль 2024'!$J$4:$J$1872,X$1)</f>
        <v>0</v>
      </c>
      <c r="Y66" s="80">
        <f>SUMIFS('июль 2024'!$G$4:$G$1872,'июль 2024'!$D$4:$D$1872,$B66,'июль 2024'!$J$4:$J$1872,Y$1)</f>
        <v>0</v>
      </c>
      <c r="Z66" s="80">
        <f>SUMIFS('июль 2024'!$G$4:$G$1872,'июль 2024'!$D$4:$D$1872,$B66,'июль 2024'!$J$4:$J$1872,Z$1)</f>
        <v>0</v>
      </c>
      <c r="AA66" s="80">
        <f>SUMIFS('июль 2024'!$G$4:$G$1872,'июль 2024'!$D$4:$D$1872,$B66,'июль 2024'!$J$4:$J$1872,AA$1)</f>
        <v>0</v>
      </c>
      <c r="AB66" s="80">
        <f>SUMIFS('июль 2024'!$G$4:$G$1872,'июль 2024'!$D$4:$D$1872,$B66,'июль 2024'!$J$4:$J$1872,AB$1)</f>
        <v>0</v>
      </c>
      <c r="AC66" s="80">
        <f>SUMIFS('июль 2024'!$G$4:$G$1872,'июль 2024'!$D$4:$D$1872,$B66,'июль 2024'!$J$4:$J$1872,AC$1)</f>
        <v>0</v>
      </c>
      <c r="AD66" s="80">
        <f>SUMIFS('июль 2024'!$G$4:$G$1872,'июль 2024'!$D$4:$D$1872,$B66,'июль 2024'!$J$4:$J$1872,AD$1)</f>
        <v>0</v>
      </c>
      <c r="AE66" s="80">
        <f>SUMIFS('июль 2024'!$G$4:$G$1872,'июль 2024'!$D$4:$D$1872,$B66,'июль 2024'!$J$4:$J$1872,AE$1)</f>
        <v>0</v>
      </c>
      <c r="AF66" s="80">
        <f>SUMIFS('июль 2024'!$G$4:$G$1872,'июль 2024'!$D$4:$D$1872,$B66,'июль 2024'!$J$4:$J$1872,AF$1)</f>
        <v>0</v>
      </c>
      <c r="AG66" s="80">
        <f>SUMIFS('июль 2024'!$G$4:$G$1872,'июль 2024'!$D$4:$D$1872,$B66,'июль 2024'!$J$4:$J$1872,AG$1)</f>
        <v>0</v>
      </c>
      <c r="AH66" s="80">
        <f>SUMIFS('июль 2024'!$G$4:$G$1872,'июль 2024'!$D$4:$D$1872,$B66,'июль 2024'!$J$4:$J$1872,AH$1)</f>
        <v>0</v>
      </c>
      <c r="AI66" s="21">
        <f t="shared" si="1"/>
        <v>0</v>
      </c>
    </row>
    <row r="67" spans="2:35" ht="15.75" x14ac:dyDescent="0.25">
      <c r="B67" s="93" t="s">
        <v>158</v>
      </c>
      <c r="C67" s="91">
        <v>200</v>
      </c>
      <c r="D67" s="80">
        <f>SUMIFS('июль 2024'!$G$4:$G$1872,'июль 2024'!$D$4:$D$1872,$B67,'июль 2024'!$J$4:$J$1872,D$1)</f>
        <v>80</v>
      </c>
      <c r="E67" s="80">
        <f>SUMIFS('июль 2024'!$G$4:$G$1872,'июль 2024'!$D$4:$D$1872,$B67,'июль 2024'!$J$4:$J$1872,E$1)</f>
        <v>0</v>
      </c>
      <c r="F67" s="80">
        <f>SUMIFS('июль 2024'!$G$4:$G$1872,'июль 2024'!$D$4:$D$1872,$B67,'июль 2024'!$J$4:$J$1872,F$1)</f>
        <v>0</v>
      </c>
      <c r="G67" s="80">
        <f>SUMIFS('июль 2024'!$G$4:$G$1872,'июль 2024'!$D$4:$D$1872,$B67,'июль 2024'!$J$4:$J$1872,G$1)</f>
        <v>0</v>
      </c>
      <c r="H67" s="80">
        <f>SUMIFS('июль 2024'!$G$4:$G$1872,'июль 2024'!$D$4:$D$1872,$B67,'июль 2024'!$J$4:$J$1872,H$1)</f>
        <v>0</v>
      </c>
      <c r="I67" s="80">
        <f>SUMIFS('июль 2024'!$G$4:$G$1872,'июль 2024'!$D$4:$D$1872,$B67,'июль 2024'!$J$4:$J$1872,I$1)</f>
        <v>0</v>
      </c>
      <c r="J67" s="80">
        <f>SUMIFS('июль 2024'!$G$4:$G$1872,'июль 2024'!$D$4:$D$1872,$B67,'июль 2024'!$J$4:$J$1872,J$1)</f>
        <v>0</v>
      </c>
      <c r="K67" s="80">
        <f>SUMIFS('июль 2024'!$G$4:$G$1872,'июль 2024'!$D$4:$D$1872,$B67,'июль 2024'!$J$4:$J$1872,K$1)</f>
        <v>0</v>
      </c>
      <c r="L67" s="80">
        <f>SUMIFS('июль 2024'!$G$4:$G$1872,'июль 2024'!$D$4:$D$1872,$B67,'июль 2024'!$J$4:$J$1872,L$1)</f>
        <v>0</v>
      </c>
      <c r="M67" s="80">
        <f>SUMIFS('июль 2024'!$G$4:$G$1872,'июль 2024'!$D$4:$D$1872,$B67,'июль 2024'!$J$4:$J$1872,M$1)</f>
        <v>44</v>
      </c>
      <c r="N67" s="80">
        <f>SUMIFS('июль 2024'!$G$4:$G$1872,'июль 2024'!$D$4:$D$1872,$B67,'июль 2024'!$J$4:$J$1872,N$1)</f>
        <v>0</v>
      </c>
      <c r="O67" s="80">
        <f>SUMIFS('июль 2024'!$G$4:$G$1872,'июль 2024'!$D$4:$D$1872,$B67,'июль 2024'!$J$4:$J$1872,O$1)</f>
        <v>0</v>
      </c>
      <c r="P67" s="80">
        <f>SUMIFS('июль 2024'!$G$4:$G$1872,'июль 2024'!$D$4:$D$1872,$B67,'июль 2024'!$J$4:$J$1872,P$1)</f>
        <v>0</v>
      </c>
      <c r="Q67" s="80">
        <f>SUMIFS('июль 2024'!$G$4:$G$1872,'июль 2024'!$D$4:$D$1872,$B67,'июль 2024'!$J$4:$J$1872,Q$1)</f>
        <v>0</v>
      </c>
      <c r="R67" s="80">
        <f>SUMIFS('июль 2024'!$G$4:$G$1872,'июль 2024'!$D$4:$D$1872,$B67,'июль 2024'!$J$4:$J$1872,R$1)</f>
        <v>0</v>
      </c>
      <c r="S67" s="80">
        <f>SUMIFS('июль 2024'!$G$4:$G$1872,'июль 2024'!$D$4:$D$1872,$B67,'июль 2024'!$J$4:$J$1872,S$1)</f>
        <v>0</v>
      </c>
      <c r="T67" s="80">
        <f>SUMIFS('июль 2024'!$G$4:$G$1872,'июль 2024'!$D$4:$D$1872,$B67,'июль 2024'!$J$4:$J$1872,T$1)</f>
        <v>0</v>
      </c>
      <c r="U67" s="80">
        <f>SUMIFS('июль 2024'!$G$4:$G$1872,'июль 2024'!$D$4:$D$1872,$B67,'июль 2024'!$J$4:$J$1872,U$1)</f>
        <v>0</v>
      </c>
      <c r="V67" s="80">
        <f>SUMIFS('июль 2024'!$G$4:$G$1872,'июль 2024'!$D$4:$D$1872,$B67,'июль 2024'!$J$4:$J$1872,V$1)</f>
        <v>0</v>
      </c>
      <c r="W67" s="80">
        <f>SUMIFS('июль 2024'!$G$4:$G$1872,'июль 2024'!$D$4:$D$1872,$B67,'июль 2024'!$J$4:$J$1872,W$1)</f>
        <v>0</v>
      </c>
      <c r="X67" s="80">
        <f>SUMIFS('июль 2024'!$G$4:$G$1872,'июль 2024'!$D$4:$D$1872,$B67,'июль 2024'!$J$4:$J$1872,X$1)</f>
        <v>0</v>
      </c>
      <c r="Y67" s="80">
        <f>SUMIFS('июль 2024'!$G$4:$G$1872,'июль 2024'!$D$4:$D$1872,$B67,'июль 2024'!$J$4:$J$1872,Y$1)</f>
        <v>0</v>
      </c>
      <c r="Z67" s="80">
        <f>SUMIFS('июль 2024'!$G$4:$G$1872,'июль 2024'!$D$4:$D$1872,$B67,'июль 2024'!$J$4:$J$1872,Z$1)</f>
        <v>0</v>
      </c>
      <c r="AA67" s="80">
        <f>SUMIFS('июль 2024'!$G$4:$G$1872,'июль 2024'!$D$4:$D$1872,$B67,'июль 2024'!$J$4:$J$1872,AA$1)</f>
        <v>0</v>
      </c>
      <c r="AB67" s="80">
        <f>SUMIFS('июль 2024'!$G$4:$G$1872,'июль 2024'!$D$4:$D$1872,$B67,'июль 2024'!$J$4:$J$1872,AB$1)</f>
        <v>0</v>
      </c>
      <c r="AC67" s="80">
        <f>SUMIFS('июль 2024'!$G$4:$G$1872,'июль 2024'!$D$4:$D$1872,$B67,'июль 2024'!$J$4:$J$1872,AC$1)</f>
        <v>0</v>
      </c>
      <c r="AD67" s="80">
        <f>SUMIFS('июль 2024'!$G$4:$G$1872,'июль 2024'!$D$4:$D$1872,$B67,'июль 2024'!$J$4:$J$1872,AD$1)</f>
        <v>0</v>
      </c>
      <c r="AE67" s="80">
        <f>SUMIFS('июль 2024'!$G$4:$G$1872,'июль 2024'!$D$4:$D$1872,$B67,'июль 2024'!$J$4:$J$1872,AE$1)</f>
        <v>0</v>
      </c>
      <c r="AF67" s="80">
        <f>SUMIFS('июль 2024'!$G$4:$G$1872,'июль 2024'!$D$4:$D$1872,$B67,'июль 2024'!$J$4:$J$1872,AF$1)</f>
        <v>0</v>
      </c>
      <c r="AG67" s="80">
        <f>SUMIFS('июль 2024'!$G$4:$G$1872,'июль 2024'!$D$4:$D$1872,$B67,'июль 2024'!$J$4:$J$1872,AG$1)</f>
        <v>0</v>
      </c>
      <c r="AH67" s="80">
        <f>SUMIFS('июль 2024'!$G$4:$G$1872,'июль 2024'!$D$4:$D$1872,$B67,'июль 2024'!$J$4:$J$1872,AH$1)</f>
        <v>0</v>
      </c>
      <c r="AI67" s="21">
        <f t="shared" si="1"/>
        <v>124</v>
      </c>
    </row>
    <row r="68" spans="2:35" ht="15.75" x14ac:dyDescent="0.25">
      <c r="B68" s="93" t="s">
        <v>897</v>
      </c>
      <c r="C68" s="91">
        <v>200</v>
      </c>
      <c r="D68" s="80">
        <f>SUMIFS('июль 2024'!$G$4:$G$1872,'июль 2024'!$D$4:$D$1872,$B68,'июль 2024'!$J$4:$J$1872,D$1)</f>
        <v>0</v>
      </c>
      <c r="E68" s="80">
        <f>SUMIFS('июль 2024'!$G$4:$G$1872,'июль 2024'!$D$4:$D$1872,$B68,'июль 2024'!$J$4:$J$1872,E$1)</f>
        <v>0</v>
      </c>
      <c r="F68" s="80">
        <f>SUMIFS('июль 2024'!$G$4:$G$1872,'июль 2024'!$D$4:$D$1872,$B68,'июль 2024'!$J$4:$J$1872,F$1)</f>
        <v>0</v>
      </c>
      <c r="G68" s="80">
        <f>SUMIFS('июль 2024'!$G$4:$G$1872,'июль 2024'!$D$4:$D$1872,$B68,'июль 2024'!$J$4:$J$1872,G$1)</f>
        <v>0</v>
      </c>
      <c r="H68" s="80">
        <f>SUMIFS('июль 2024'!$G$4:$G$1872,'июль 2024'!$D$4:$D$1872,$B68,'июль 2024'!$J$4:$J$1872,H$1)</f>
        <v>0</v>
      </c>
      <c r="I68" s="80">
        <f>SUMIFS('июль 2024'!$G$4:$G$1872,'июль 2024'!$D$4:$D$1872,$B68,'июль 2024'!$J$4:$J$1872,I$1)</f>
        <v>0</v>
      </c>
      <c r="J68" s="80">
        <f>SUMIFS('июль 2024'!$G$4:$G$1872,'июль 2024'!$D$4:$D$1872,$B68,'июль 2024'!$J$4:$J$1872,J$1)</f>
        <v>0</v>
      </c>
      <c r="K68" s="80">
        <f>SUMIFS('июль 2024'!$G$4:$G$1872,'июль 2024'!$D$4:$D$1872,$B68,'июль 2024'!$J$4:$J$1872,K$1)</f>
        <v>0</v>
      </c>
      <c r="L68" s="80">
        <f>SUMIFS('июль 2024'!$G$4:$G$1872,'июль 2024'!$D$4:$D$1872,$B68,'июль 2024'!$J$4:$J$1872,L$1)</f>
        <v>0</v>
      </c>
      <c r="M68" s="80">
        <f>SUMIFS('июль 2024'!$G$4:$G$1872,'июль 2024'!$D$4:$D$1872,$B68,'июль 2024'!$J$4:$J$1872,M$1)</f>
        <v>0</v>
      </c>
      <c r="N68" s="80">
        <f>SUMIFS('июль 2024'!$G$4:$G$1872,'июль 2024'!$D$4:$D$1872,$B68,'июль 2024'!$J$4:$J$1872,N$1)</f>
        <v>0</v>
      </c>
      <c r="O68" s="80">
        <f>SUMIFS('июль 2024'!$G$4:$G$1872,'июль 2024'!$D$4:$D$1872,$B68,'июль 2024'!$J$4:$J$1872,O$1)</f>
        <v>80</v>
      </c>
      <c r="P68" s="80">
        <f>SUMIFS('июль 2024'!$G$4:$G$1872,'июль 2024'!$D$4:$D$1872,$B68,'июль 2024'!$J$4:$J$1872,P$1)</f>
        <v>0</v>
      </c>
      <c r="Q68" s="80">
        <f>SUMIFS('июль 2024'!$G$4:$G$1872,'июль 2024'!$D$4:$D$1872,$B68,'июль 2024'!$J$4:$J$1872,Q$1)</f>
        <v>0</v>
      </c>
      <c r="R68" s="80">
        <f>SUMIFS('июль 2024'!$G$4:$G$1872,'июль 2024'!$D$4:$D$1872,$B68,'июль 2024'!$J$4:$J$1872,R$1)</f>
        <v>0</v>
      </c>
      <c r="S68" s="80">
        <f>SUMIFS('июль 2024'!$G$4:$G$1872,'июль 2024'!$D$4:$D$1872,$B68,'июль 2024'!$J$4:$J$1872,S$1)</f>
        <v>0</v>
      </c>
      <c r="T68" s="80">
        <f>SUMIFS('июль 2024'!$G$4:$G$1872,'июль 2024'!$D$4:$D$1872,$B68,'июль 2024'!$J$4:$J$1872,T$1)</f>
        <v>88</v>
      </c>
      <c r="U68" s="80">
        <f>SUMIFS('июль 2024'!$G$4:$G$1872,'июль 2024'!$D$4:$D$1872,$B68,'июль 2024'!$J$4:$J$1872,U$1)</f>
        <v>0</v>
      </c>
      <c r="V68" s="80">
        <f>SUMIFS('июль 2024'!$G$4:$G$1872,'июль 2024'!$D$4:$D$1872,$B68,'июль 2024'!$J$4:$J$1872,V$1)</f>
        <v>0</v>
      </c>
      <c r="W68" s="80">
        <f>SUMIFS('июль 2024'!$G$4:$G$1872,'июль 2024'!$D$4:$D$1872,$B68,'июль 2024'!$J$4:$J$1872,W$1)</f>
        <v>0</v>
      </c>
      <c r="X68" s="80">
        <f>SUMIFS('июль 2024'!$G$4:$G$1872,'июль 2024'!$D$4:$D$1872,$B68,'июль 2024'!$J$4:$J$1872,X$1)</f>
        <v>0</v>
      </c>
      <c r="Y68" s="80">
        <f>SUMIFS('июль 2024'!$G$4:$G$1872,'июль 2024'!$D$4:$D$1872,$B68,'июль 2024'!$J$4:$J$1872,Y$1)</f>
        <v>0</v>
      </c>
      <c r="Z68" s="80">
        <f>SUMIFS('июль 2024'!$G$4:$G$1872,'июль 2024'!$D$4:$D$1872,$B68,'июль 2024'!$J$4:$J$1872,Z$1)</f>
        <v>0</v>
      </c>
      <c r="AA68" s="80">
        <f>SUMIFS('июль 2024'!$G$4:$G$1872,'июль 2024'!$D$4:$D$1872,$B68,'июль 2024'!$J$4:$J$1872,AA$1)</f>
        <v>0</v>
      </c>
      <c r="AB68" s="80">
        <f>SUMIFS('июль 2024'!$G$4:$G$1872,'июль 2024'!$D$4:$D$1872,$B68,'июль 2024'!$J$4:$J$1872,AB$1)</f>
        <v>0</v>
      </c>
      <c r="AC68" s="80">
        <f>SUMIFS('июль 2024'!$G$4:$G$1872,'июль 2024'!$D$4:$D$1872,$B68,'июль 2024'!$J$4:$J$1872,AC$1)</f>
        <v>0</v>
      </c>
      <c r="AD68" s="80">
        <f>SUMIFS('июль 2024'!$G$4:$G$1872,'июль 2024'!$D$4:$D$1872,$B68,'июль 2024'!$J$4:$J$1872,AD$1)</f>
        <v>0</v>
      </c>
      <c r="AE68" s="80">
        <f>SUMIFS('июль 2024'!$G$4:$G$1872,'июль 2024'!$D$4:$D$1872,$B68,'июль 2024'!$J$4:$J$1872,AE$1)</f>
        <v>0</v>
      </c>
      <c r="AF68" s="80">
        <f>SUMIFS('июль 2024'!$G$4:$G$1872,'июль 2024'!$D$4:$D$1872,$B68,'июль 2024'!$J$4:$J$1872,AF$1)</f>
        <v>0</v>
      </c>
      <c r="AG68" s="80">
        <f>SUMIFS('июль 2024'!$G$4:$G$1872,'июль 2024'!$D$4:$D$1872,$B68,'июль 2024'!$J$4:$J$1872,AG$1)</f>
        <v>0</v>
      </c>
      <c r="AH68" s="80">
        <f>SUMIFS('июль 2024'!$G$4:$G$1872,'июль 2024'!$D$4:$D$1872,$B68,'июль 2024'!$J$4:$J$1872,AH$1)</f>
        <v>0</v>
      </c>
      <c r="AI68" s="21">
        <f t="shared" si="1"/>
        <v>168</v>
      </c>
    </row>
    <row r="69" spans="2:35" ht="15" customHeight="1" x14ac:dyDescent="0.25">
      <c r="B69" s="93" t="s">
        <v>213</v>
      </c>
      <c r="C69" s="91">
        <v>200</v>
      </c>
      <c r="D69" s="80">
        <f>SUMIFS('июль 2024'!$G$4:$G$1872,'июль 2024'!$D$4:$D$1872,$B69,'июль 2024'!$J$4:$J$1872,D$1)</f>
        <v>0</v>
      </c>
      <c r="E69" s="80">
        <f>SUMIFS('июль 2024'!$G$4:$G$1872,'июль 2024'!$D$4:$D$1872,$B69,'июль 2024'!$J$4:$J$1872,E$1)</f>
        <v>0</v>
      </c>
      <c r="F69" s="80">
        <f>SUMIFS('июль 2024'!$G$4:$G$1872,'июль 2024'!$D$4:$D$1872,$B69,'июль 2024'!$J$4:$J$1872,F$1)</f>
        <v>0</v>
      </c>
      <c r="G69" s="80">
        <f>SUMIFS('июль 2024'!$G$4:$G$1872,'июль 2024'!$D$4:$D$1872,$B69,'июль 2024'!$J$4:$J$1872,G$1)</f>
        <v>0</v>
      </c>
      <c r="H69" s="80">
        <f>SUMIFS('июль 2024'!$G$4:$G$1872,'июль 2024'!$D$4:$D$1872,$B69,'июль 2024'!$J$4:$J$1872,H$1)</f>
        <v>0</v>
      </c>
      <c r="I69" s="80">
        <f>SUMIFS('июль 2024'!$G$4:$G$1872,'июль 2024'!$D$4:$D$1872,$B69,'июль 2024'!$J$4:$J$1872,I$1)</f>
        <v>0</v>
      </c>
      <c r="J69" s="80">
        <f>SUMIFS('июль 2024'!$G$4:$G$1872,'июль 2024'!$D$4:$D$1872,$B69,'июль 2024'!$J$4:$J$1872,J$1)</f>
        <v>0</v>
      </c>
      <c r="K69" s="80">
        <f>SUMIFS('июль 2024'!$G$4:$G$1872,'июль 2024'!$D$4:$D$1872,$B69,'июль 2024'!$J$4:$J$1872,K$1)</f>
        <v>0</v>
      </c>
      <c r="L69" s="80">
        <f>SUMIFS('июль 2024'!$G$4:$G$1872,'июль 2024'!$D$4:$D$1872,$B69,'июль 2024'!$J$4:$J$1872,L$1)</f>
        <v>0</v>
      </c>
      <c r="M69" s="80">
        <f>SUMIFS('июль 2024'!$G$4:$G$1872,'июль 2024'!$D$4:$D$1872,$B69,'июль 2024'!$J$4:$J$1872,M$1)</f>
        <v>0</v>
      </c>
      <c r="N69" s="80">
        <f>SUMIFS('июль 2024'!$G$4:$G$1872,'июль 2024'!$D$4:$D$1872,$B69,'июль 2024'!$J$4:$J$1872,N$1)</f>
        <v>0</v>
      </c>
      <c r="O69" s="80">
        <f>SUMIFS('июль 2024'!$G$4:$G$1872,'июль 2024'!$D$4:$D$1872,$B69,'июль 2024'!$J$4:$J$1872,O$1)</f>
        <v>0</v>
      </c>
      <c r="P69" s="80">
        <f>SUMIFS('июль 2024'!$G$4:$G$1872,'июль 2024'!$D$4:$D$1872,$B69,'июль 2024'!$J$4:$J$1872,P$1)</f>
        <v>0</v>
      </c>
      <c r="Q69" s="80">
        <f>SUMIFS('июль 2024'!$G$4:$G$1872,'июль 2024'!$D$4:$D$1872,$B69,'июль 2024'!$J$4:$J$1872,Q$1)</f>
        <v>0</v>
      </c>
      <c r="R69" s="80">
        <f>SUMIFS('июль 2024'!$G$4:$G$1872,'июль 2024'!$D$4:$D$1872,$B69,'июль 2024'!$J$4:$J$1872,R$1)</f>
        <v>0</v>
      </c>
      <c r="S69" s="80">
        <f>SUMIFS('июль 2024'!$G$4:$G$1872,'июль 2024'!$D$4:$D$1872,$B69,'июль 2024'!$J$4:$J$1872,S$1)</f>
        <v>0</v>
      </c>
      <c r="T69" s="80">
        <f>SUMIFS('июль 2024'!$G$4:$G$1872,'июль 2024'!$D$4:$D$1872,$B69,'июль 2024'!$J$4:$J$1872,T$1)</f>
        <v>0</v>
      </c>
      <c r="U69" s="80">
        <f>SUMIFS('июль 2024'!$G$4:$G$1872,'июль 2024'!$D$4:$D$1872,$B69,'июль 2024'!$J$4:$J$1872,U$1)</f>
        <v>0</v>
      </c>
      <c r="V69" s="80">
        <f>SUMIFS('июль 2024'!$G$4:$G$1872,'июль 2024'!$D$4:$D$1872,$B69,'июль 2024'!$J$4:$J$1872,V$1)</f>
        <v>0</v>
      </c>
      <c r="W69" s="80">
        <f>SUMIFS('июль 2024'!$G$4:$G$1872,'июль 2024'!$D$4:$D$1872,$B69,'июль 2024'!$J$4:$J$1872,W$1)</f>
        <v>0</v>
      </c>
      <c r="X69" s="80">
        <f>SUMIFS('июль 2024'!$G$4:$G$1872,'июль 2024'!$D$4:$D$1872,$B69,'июль 2024'!$J$4:$J$1872,X$1)</f>
        <v>0</v>
      </c>
      <c r="Y69" s="80">
        <f>SUMIFS('июль 2024'!$G$4:$G$1872,'июль 2024'!$D$4:$D$1872,$B69,'июль 2024'!$J$4:$J$1872,Y$1)</f>
        <v>0</v>
      </c>
      <c r="Z69" s="80">
        <f>SUMIFS('июль 2024'!$G$4:$G$1872,'июль 2024'!$D$4:$D$1872,$B69,'июль 2024'!$J$4:$J$1872,Z$1)</f>
        <v>0</v>
      </c>
      <c r="AA69" s="80">
        <f>SUMIFS('июль 2024'!$G$4:$G$1872,'июль 2024'!$D$4:$D$1872,$B69,'июль 2024'!$J$4:$J$1872,AA$1)</f>
        <v>0</v>
      </c>
      <c r="AB69" s="80">
        <f>SUMIFS('июль 2024'!$G$4:$G$1872,'июль 2024'!$D$4:$D$1872,$B69,'июль 2024'!$J$4:$J$1872,AB$1)</f>
        <v>0</v>
      </c>
      <c r="AC69" s="80">
        <f>SUMIFS('июль 2024'!$G$4:$G$1872,'июль 2024'!$D$4:$D$1872,$B69,'июль 2024'!$J$4:$J$1872,AC$1)</f>
        <v>0</v>
      </c>
      <c r="AD69" s="80">
        <f>SUMIFS('июль 2024'!$G$4:$G$1872,'июль 2024'!$D$4:$D$1872,$B69,'июль 2024'!$J$4:$J$1872,AD$1)</f>
        <v>0</v>
      </c>
      <c r="AE69" s="80">
        <f>SUMIFS('июль 2024'!$G$4:$G$1872,'июль 2024'!$D$4:$D$1872,$B69,'июль 2024'!$J$4:$J$1872,AE$1)</f>
        <v>0</v>
      </c>
      <c r="AF69" s="80">
        <f>SUMIFS('июль 2024'!$G$4:$G$1872,'июль 2024'!$D$4:$D$1872,$B69,'июль 2024'!$J$4:$J$1872,AF$1)</f>
        <v>0</v>
      </c>
      <c r="AG69" s="80">
        <f>SUMIFS('июль 2024'!$G$4:$G$1872,'июль 2024'!$D$4:$D$1872,$B69,'июль 2024'!$J$4:$J$1872,AG$1)</f>
        <v>0</v>
      </c>
      <c r="AH69" s="80">
        <f>SUMIFS('июль 2024'!$G$4:$G$1872,'июль 2024'!$D$4:$D$1872,$B69,'июль 2024'!$J$4:$J$1872,AH$1)</f>
        <v>0</v>
      </c>
      <c r="AI69" s="21">
        <f t="shared" si="1"/>
        <v>0</v>
      </c>
    </row>
    <row r="70" spans="2:35" ht="15" customHeight="1" x14ac:dyDescent="0.25">
      <c r="B70" s="93" t="s">
        <v>197</v>
      </c>
      <c r="C70" s="91">
        <v>200</v>
      </c>
      <c r="D70" s="80">
        <f>SUMIFS('июль 2024'!$G$4:$G$1872,'июль 2024'!$D$4:$D$1872,$B70,'июль 2024'!$J$4:$J$1872,D$1)</f>
        <v>0</v>
      </c>
      <c r="E70" s="80">
        <f>SUMIFS('июль 2024'!$G$4:$G$1872,'июль 2024'!$D$4:$D$1872,$B70,'июль 2024'!$J$4:$J$1872,E$1)</f>
        <v>0</v>
      </c>
      <c r="F70" s="80">
        <f>SUMIFS('июль 2024'!$G$4:$G$1872,'июль 2024'!$D$4:$D$1872,$B70,'июль 2024'!$J$4:$J$1872,F$1)</f>
        <v>0</v>
      </c>
      <c r="G70" s="80">
        <f>SUMIFS('июль 2024'!$G$4:$G$1872,'июль 2024'!$D$4:$D$1872,$B70,'июль 2024'!$J$4:$J$1872,G$1)</f>
        <v>0</v>
      </c>
      <c r="H70" s="80">
        <f>SUMIFS('июль 2024'!$G$4:$G$1872,'июль 2024'!$D$4:$D$1872,$B70,'июль 2024'!$J$4:$J$1872,H$1)</f>
        <v>0</v>
      </c>
      <c r="I70" s="80">
        <f>SUMIFS('июль 2024'!$G$4:$G$1872,'июль 2024'!$D$4:$D$1872,$B70,'июль 2024'!$J$4:$J$1872,I$1)</f>
        <v>0</v>
      </c>
      <c r="J70" s="80">
        <f>SUMIFS('июль 2024'!$G$4:$G$1872,'июль 2024'!$D$4:$D$1872,$B70,'июль 2024'!$J$4:$J$1872,J$1)</f>
        <v>0</v>
      </c>
      <c r="K70" s="80">
        <f>SUMIFS('июль 2024'!$G$4:$G$1872,'июль 2024'!$D$4:$D$1872,$B70,'июль 2024'!$J$4:$J$1872,K$1)</f>
        <v>0</v>
      </c>
      <c r="L70" s="80">
        <f>SUMIFS('июль 2024'!$G$4:$G$1872,'июль 2024'!$D$4:$D$1872,$B70,'июль 2024'!$J$4:$J$1872,L$1)</f>
        <v>0</v>
      </c>
      <c r="M70" s="80">
        <f>SUMIFS('июль 2024'!$G$4:$G$1872,'июль 2024'!$D$4:$D$1872,$B70,'июль 2024'!$J$4:$J$1872,M$1)</f>
        <v>0</v>
      </c>
      <c r="N70" s="80">
        <f>SUMIFS('июль 2024'!$G$4:$G$1872,'июль 2024'!$D$4:$D$1872,$B70,'июль 2024'!$J$4:$J$1872,N$1)</f>
        <v>0</v>
      </c>
      <c r="O70" s="80">
        <f>SUMIFS('июль 2024'!$G$4:$G$1872,'июль 2024'!$D$4:$D$1872,$B70,'июль 2024'!$J$4:$J$1872,O$1)</f>
        <v>0</v>
      </c>
      <c r="P70" s="80">
        <f>SUMIFS('июль 2024'!$G$4:$G$1872,'июль 2024'!$D$4:$D$1872,$B70,'июль 2024'!$J$4:$J$1872,P$1)</f>
        <v>0</v>
      </c>
      <c r="Q70" s="80">
        <f>SUMIFS('июль 2024'!$G$4:$G$1872,'июль 2024'!$D$4:$D$1872,$B70,'июль 2024'!$J$4:$J$1872,Q$1)</f>
        <v>0</v>
      </c>
      <c r="R70" s="80">
        <f>SUMIFS('июль 2024'!$G$4:$G$1872,'июль 2024'!$D$4:$D$1872,$B70,'июль 2024'!$J$4:$J$1872,R$1)</f>
        <v>0</v>
      </c>
      <c r="S70" s="80">
        <f>SUMIFS('июль 2024'!$G$4:$G$1872,'июль 2024'!$D$4:$D$1872,$B70,'июль 2024'!$J$4:$J$1872,S$1)</f>
        <v>0</v>
      </c>
      <c r="T70" s="80">
        <f>SUMIFS('июль 2024'!$G$4:$G$1872,'июль 2024'!$D$4:$D$1872,$B70,'июль 2024'!$J$4:$J$1872,T$1)</f>
        <v>0</v>
      </c>
      <c r="U70" s="80">
        <f>SUMIFS('июль 2024'!$G$4:$G$1872,'июль 2024'!$D$4:$D$1872,$B70,'июль 2024'!$J$4:$J$1872,U$1)</f>
        <v>0</v>
      </c>
      <c r="V70" s="80">
        <f>SUMIFS('июль 2024'!$G$4:$G$1872,'июль 2024'!$D$4:$D$1872,$B70,'июль 2024'!$J$4:$J$1872,V$1)</f>
        <v>0</v>
      </c>
      <c r="W70" s="80">
        <f>SUMIFS('июль 2024'!$G$4:$G$1872,'июль 2024'!$D$4:$D$1872,$B70,'июль 2024'!$J$4:$J$1872,W$1)</f>
        <v>0</v>
      </c>
      <c r="X70" s="80">
        <f>SUMIFS('июль 2024'!$G$4:$G$1872,'июль 2024'!$D$4:$D$1872,$B70,'июль 2024'!$J$4:$J$1872,X$1)</f>
        <v>0</v>
      </c>
      <c r="Y70" s="80">
        <f>SUMIFS('июль 2024'!$G$4:$G$1872,'июль 2024'!$D$4:$D$1872,$B70,'июль 2024'!$J$4:$J$1872,Y$1)</f>
        <v>0</v>
      </c>
      <c r="Z70" s="80">
        <f>SUMIFS('июль 2024'!$G$4:$G$1872,'июль 2024'!$D$4:$D$1872,$B70,'июль 2024'!$J$4:$J$1872,Z$1)</f>
        <v>0</v>
      </c>
      <c r="AA70" s="80">
        <f>SUMIFS('июль 2024'!$G$4:$G$1872,'июль 2024'!$D$4:$D$1872,$B70,'июль 2024'!$J$4:$J$1872,AA$1)</f>
        <v>0</v>
      </c>
      <c r="AB70" s="80">
        <f>SUMIFS('июль 2024'!$G$4:$G$1872,'июль 2024'!$D$4:$D$1872,$B70,'июль 2024'!$J$4:$J$1872,AB$1)</f>
        <v>0</v>
      </c>
      <c r="AC70" s="80">
        <f>SUMIFS('июль 2024'!$G$4:$G$1872,'июль 2024'!$D$4:$D$1872,$B70,'июль 2024'!$J$4:$J$1872,AC$1)</f>
        <v>0</v>
      </c>
      <c r="AD70" s="80">
        <f>SUMIFS('июль 2024'!$G$4:$G$1872,'июль 2024'!$D$4:$D$1872,$B70,'июль 2024'!$J$4:$J$1872,AD$1)</f>
        <v>0</v>
      </c>
      <c r="AE70" s="80">
        <f>SUMIFS('июль 2024'!$G$4:$G$1872,'июль 2024'!$D$4:$D$1872,$B70,'июль 2024'!$J$4:$J$1872,AE$1)</f>
        <v>0</v>
      </c>
      <c r="AF70" s="80">
        <f>SUMIFS('июль 2024'!$G$4:$G$1872,'июль 2024'!$D$4:$D$1872,$B70,'июль 2024'!$J$4:$J$1872,AF$1)</f>
        <v>0</v>
      </c>
      <c r="AG70" s="80">
        <f>SUMIFS('июль 2024'!$G$4:$G$1872,'июль 2024'!$D$4:$D$1872,$B70,'июль 2024'!$J$4:$J$1872,AG$1)</f>
        <v>0</v>
      </c>
      <c r="AH70" s="80">
        <f>SUMIFS('июль 2024'!$G$4:$G$1872,'июль 2024'!$D$4:$D$1872,$B70,'июль 2024'!$J$4:$J$1872,AH$1)</f>
        <v>0</v>
      </c>
      <c r="AI70" s="21">
        <f t="shared" si="1"/>
        <v>0</v>
      </c>
    </row>
    <row r="71" spans="2:35" ht="15" customHeight="1" x14ac:dyDescent="0.25">
      <c r="B71" s="93" t="s">
        <v>198</v>
      </c>
      <c r="C71" s="91">
        <v>200</v>
      </c>
      <c r="D71" s="80">
        <f>SUMIFS('июль 2024'!$G$4:$G$1872,'июль 2024'!$D$4:$D$1872,$B71,'июль 2024'!$J$4:$J$1872,D$1)</f>
        <v>0</v>
      </c>
      <c r="E71" s="80">
        <f>SUMIFS('июль 2024'!$G$4:$G$1872,'июль 2024'!$D$4:$D$1872,$B71,'июль 2024'!$J$4:$J$1872,E$1)</f>
        <v>0</v>
      </c>
      <c r="F71" s="80">
        <f>SUMIFS('июль 2024'!$G$4:$G$1872,'июль 2024'!$D$4:$D$1872,$B71,'июль 2024'!$J$4:$J$1872,F$1)</f>
        <v>0</v>
      </c>
      <c r="G71" s="80">
        <f>SUMIFS('июль 2024'!$G$4:$G$1872,'июль 2024'!$D$4:$D$1872,$B71,'июль 2024'!$J$4:$J$1872,G$1)</f>
        <v>0</v>
      </c>
      <c r="H71" s="80">
        <f>SUMIFS('июль 2024'!$G$4:$G$1872,'июль 2024'!$D$4:$D$1872,$B71,'июль 2024'!$J$4:$J$1872,H$1)</f>
        <v>0</v>
      </c>
      <c r="I71" s="80">
        <f>SUMIFS('июль 2024'!$G$4:$G$1872,'июль 2024'!$D$4:$D$1872,$B71,'июль 2024'!$J$4:$J$1872,I$1)</f>
        <v>0</v>
      </c>
      <c r="J71" s="80">
        <f>SUMIFS('июль 2024'!$G$4:$G$1872,'июль 2024'!$D$4:$D$1872,$B71,'июль 2024'!$J$4:$J$1872,J$1)</f>
        <v>0</v>
      </c>
      <c r="K71" s="80">
        <f>SUMIFS('июль 2024'!$G$4:$G$1872,'июль 2024'!$D$4:$D$1872,$B71,'июль 2024'!$J$4:$J$1872,K$1)</f>
        <v>0</v>
      </c>
      <c r="L71" s="80">
        <f>SUMIFS('июль 2024'!$G$4:$G$1872,'июль 2024'!$D$4:$D$1872,$B71,'июль 2024'!$J$4:$J$1872,L$1)</f>
        <v>0</v>
      </c>
      <c r="M71" s="80">
        <f>SUMIFS('июль 2024'!$G$4:$G$1872,'июль 2024'!$D$4:$D$1872,$B71,'июль 2024'!$J$4:$J$1872,M$1)</f>
        <v>0</v>
      </c>
      <c r="N71" s="80">
        <f>SUMIFS('июль 2024'!$G$4:$G$1872,'июль 2024'!$D$4:$D$1872,$B71,'июль 2024'!$J$4:$J$1872,N$1)</f>
        <v>0</v>
      </c>
      <c r="O71" s="80">
        <f>SUMIFS('июль 2024'!$G$4:$G$1872,'июль 2024'!$D$4:$D$1872,$B71,'июль 2024'!$J$4:$J$1872,O$1)</f>
        <v>0</v>
      </c>
      <c r="P71" s="80">
        <f>SUMIFS('июль 2024'!$G$4:$G$1872,'июль 2024'!$D$4:$D$1872,$B71,'июль 2024'!$J$4:$J$1872,P$1)</f>
        <v>0</v>
      </c>
      <c r="Q71" s="80">
        <f>SUMIFS('июль 2024'!$G$4:$G$1872,'июль 2024'!$D$4:$D$1872,$B71,'июль 2024'!$J$4:$J$1872,Q$1)</f>
        <v>0</v>
      </c>
      <c r="R71" s="80">
        <f>SUMIFS('июль 2024'!$G$4:$G$1872,'июль 2024'!$D$4:$D$1872,$B71,'июль 2024'!$J$4:$J$1872,R$1)</f>
        <v>0</v>
      </c>
      <c r="S71" s="80">
        <f>SUMIFS('июль 2024'!$G$4:$G$1872,'июль 2024'!$D$4:$D$1872,$B71,'июль 2024'!$J$4:$J$1872,S$1)</f>
        <v>0</v>
      </c>
      <c r="T71" s="80">
        <f>SUMIFS('июль 2024'!$G$4:$G$1872,'июль 2024'!$D$4:$D$1872,$B71,'июль 2024'!$J$4:$J$1872,T$1)</f>
        <v>0</v>
      </c>
      <c r="U71" s="80">
        <f>SUMIFS('июль 2024'!$G$4:$G$1872,'июль 2024'!$D$4:$D$1872,$B71,'июль 2024'!$J$4:$J$1872,U$1)</f>
        <v>0</v>
      </c>
      <c r="V71" s="80">
        <f>SUMIFS('июль 2024'!$G$4:$G$1872,'июль 2024'!$D$4:$D$1872,$B71,'июль 2024'!$J$4:$J$1872,V$1)</f>
        <v>0</v>
      </c>
      <c r="W71" s="80">
        <f>SUMIFS('июль 2024'!$G$4:$G$1872,'июль 2024'!$D$4:$D$1872,$B71,'июль 2024'!$J$4:$J$1872,W$1)</f>
        <v>0</v>
      </c>
      <c r="X71" s="80">
        <f>SUMIFS('июль 2024'!$G$4:$G$1872,'июль 2024'!$D$4:$D$1872,$B71,'июль 2024'!$J$4:$J$1872,X$1)</f>
        <v>0</v>
      </c>
      <c r="Y71" s="80">
        <f>SUMIFS('июль 2024'!$G$4:$G$1872,'июль 2024'!$D$4:$D$1872,$B71,'июль 2024'!$J$4:$J$1872,Y$1)</f>
        <v>0</v>
      </c>
      <c r="Z71" s="80">
        <f>SUMIFS('июль 2024'!$G$4:$G$1872,'июль 2024'!$D$4:$D$1872,$B71,'июль 2024'!$J$4:$J$1872,Z$1)</f>
        <v>0</v>
      </c>
      <c r="AA71" s="80">
        <f>SUMIFS('июль 2024'!$G$4:$G$1872,'июль 2024'!$D$4:$D$1872,$B71,'июль 2024'!$J$4:$J$1872,AA$1)</f>
        <v>0</v>
      </c>
      <c r="AB71" s="80">
        <f>SUMIFS('июль 2024'!$G$4:$G$1872,'июль 2024'!$D$4:$D$1872,$B71,'июль 2024'!$J$4:$J$1872,AB$1)</f>
        <v>0</v>
      </c>
      <c r="AC71" s="80">
        <f>SUMIFS('июль 2024'!$G$4:$G$1872,'июль 2024'!$D$4:$D$1872,$B71,'июль 2024'!$J$4:$J$1872,AC$1)</f>
        <v>0</v>
      </c>
      <c r="AD71" s="80">
        <f>SUMIFS('июль 2024'!$G$4:$G$1872,'июль 2024'!$D$4:$D$1872,$B71,'июль 2024'!$J$4:$J$1872,AD$1)</f>
        <v>0</v>
      </c>
      <c r="AE71" s="80">
        <f>SUMIFS('июль 2024'!$G$4:$G$1872,'июль 2024'!$D$4:$D$1872,$B71,'июль 2024'!$J$4:$J$1872,AE$1)</f>
        <v>0</v>
      </c>
      <c r="AF71" s="80">
        <f>SUMIFS('июль 2024'!$G$4:$G$1872,'июль 2024'!$D$4:$D$1872,$B71,'июль 2024'!$J$4:$J$1872,AF$1)</f>
        <v>0</v>
      </c>
      <c r="AG71" s="80">
        <f>SUMIFS('июль 2024'!$G$4:$G$1872,'июль 2024'!$D$4:$D$1872,$B71,'июль 2024'!$J$4:$J$1872,AG$1)</f>
        <v>0</v>
      </c>
      <c r="AH71" s="80">
        <f>SUMIFS('июль 2024'!$G$4:$G$1872,'июль 2024'!$D$4:$D$1872,$B71,'июль 2024'!$J$4:$J$1872,AH$1)</f>
        <v>0</v>
      </c>
      <c r="AI71" s="21">
        <f t="shared" si="1"/>
        <v>0</v>
      </c>
    </row>
    <row r="72" spans="2:35" ht="15" customHeight="1" x14ac:dyDescent="0.25">
      <c r="B72" s="93" t="s">
        <v>320</v>
      </c>
      <c r="C72" s="91">
        <v>190</v>
      </c>
      <c r="D72" s="80">
        <f>SUMIFS('июль 2024'!$G$4:$G$1872,'июль 2024'!$D$4:$D$1872,$B72,'июль 2024'!$J$4:$J$1872,D$1)</f>
        <v>0</v>
      </c>
      <c r="E72" s="80">
        <f>SUMIFS('июль 2024'!$G$4:$G$1872,'июль 2024'!$D$4:$D$1872,$B72,'июль 2024'!$J$4:$J$1872,E$1)</f>
        <v>0</v>
      </c>
      <c r="F72" s="80">
        <f>SUMIFS('июль 2024'!$G$4:$G$1872,'июль 2024'!$D$4:$D$1872,$B72,'июль 2024'!$J$4:$J$1872,F$1)</f>
        <v>0</v>
      </c>
      <c r="G72" s="80">
        <f>SUMIFS('июль 2024'!$G$4:$G$1872,'июль 2024'!$D$4:$D$1872,$B72,'июль 2024'!$J$4:$J$1872,G$1)</f>
        <v>0</v>
      </c>
      <c r="H72" s="80">
        <f>SUMIFS('июль 2024'!$G$4:$G$1872,'июль 2024'!$D$4:$D$1872,$B72,'июль 2024'!$J$4:$J$1872,H$1)</f>
        <v>0</v>
      </c>
      <c r="I72" s="80">
        <f>SUMIFS('июль 2024'!$G$4:$G$1872,'июль 2024'!$D$4:$D$1872,$B72,'июль 2024'!$J$4:$J$1872,I$1)</f>
        <v>0</v>
      </c>
      <c r="J72" s="80">
        <f>SUMIFS('июль 2024'!$G$4:$G$1872,'июль 2024'!$D$4:$D$1872,$B72,'июль 2024'!$J$4:$J$1872,J$1)</f>
        <v>0</v>
      </c>
      <c r="K72" s="80">
        <f>SUMIFS('июль 2024'!$G$4:$G$1872,'июль 2024'!$D$4:$D$1872,$B72,'июль 2024'!$J$4:$J$1872,K$1)</f>
        <v>0</v>
      </c>
      <c r="L72" s="80">
        <f>SUMIFS('июль 2024'!$G$4:$G$1872,'июль 2024'!$D$4:$D$1872,$B72,'июль 2024'!$J$4:$J$1872,L$1)</f>
        <v>0</v>
      </c>
      <c r="M72" s="80">
        <f>SUMIFS('июль 2024'!$G$4:$G$1872,'июль 2024'!$D$4:$D$1872,$B72,'июль 2024'!$J$4:$J$1872,M$1)</f>
        <v>0</v>
      </c>
      <c r="N72" s="80">
        <f>SUMIFS('июль 2024'!$G$4:$G$1872,'июль 2024'!$D$4:$D$1872,$B72,'июль 2024'!$J$4:$J$1872,N$1)</f>
        <v>0</v>
      </c>
      <c r="O72" s="80">
        <f>SUMIFS('июль 2024'!$G$4:$G$1872,'июль 2024'!$D$4:$D$1872,$B72,'июль 2024'!$J$4:$J$1872,O$1)</f>
        <v>0</v>
      </c>
      <c r="P72" s="80">
        <f>SUMIFS('июль 2024'!$G$4:$G$1872,'июль 2024'!$D$4:$D$1872,$B72,'июль 2024'!$J$4:$J$1872,P$1)</f>
        <v>0</v>
      </c>
      <c r="Q72" s="80">
        <f>SUMIFS('июль 2024'!$G$4:$G$1872,'июль 2024'!$D$4:$D$1872,$B72,'июль 2024'!$J$4:$J$1872,Q$1)</f>
        <v>0</v>
      </c>
      <c r="R72" s="80">
        <f>SUMIFS('июль 2024'!$G$4:$G$1872,'июль 2024'!$D$4:$D$1872,$B72,'июль 2024'!$J$4:$J$1872,R$1)</f>
        <v>0</v>
      </c>
      <c r="S72" s="80">
        <f>SUMIFS('июль 2024'!$G$4:$G$1872,'июль 2024'!$D$4:$D$1872,$B72,'июль 2024'!$J$4:$J$1872,S$1)</f>
        <v>0</v>
      </c>
      <c r="T72" s="80">
        <f>SUMIFS('июль 2024'!$G$4:$G$1872,'июль 2024'!$D$4:$D$1872,$B72,'июль 2024'!$J$4:$J$1872,T$1)</f>
        <v>0</v>
      </c>
      <c r="U72" s="80">
        <f>SUMIFS('июль 2024'!$G$4:$G$1872,'июль 2024'!$D$4:$D$1872,$B72,'июль 2024'!$J$4:$J$1872,U$1)</f>
        <v>0</v>
      </c>
      <c r="V72" s="80">
        <f>SUMIFS('июль 2024'!$G$4:$G$1872,'июль 2024'!$D$4:$D$1872,$B72,'июль 2024'!$J$4:$J$1872,V$1)</f>
        <v>0</v>
      </c>
      <c r="W72" s="80">
        <f>SUMIFS('июль 2024'!$G$4:$G$1872,'июль 2024'!$D$4:$D$1872,$B72,'июль 2024'!$J$4:$J$1872,W$1)</f>
        <v>0</v>
      </c>
      <c r="X72" s="80">
        <f>SUMIFS('июль 2024'!$G$4:$G$1872,'июль 2024'!$D$4:$D$1872,$B72,'июль 2024'!$J$4:$J$1872,X$1)</f>
        <v>0</v>
      </c>
      <c r="Y72" s="80">
        <f>SUMIFS('июль 2024'!$G$4:$G$1872,'июль 2024'!$D$4:$D$1872,$B72,'июль 2024'!$J$4:$J$1872,Y$1)</f>
        <v>0</v>
      </c>
      <c r="Z72" s="80">
        <f>SUMIFS('июль 2024'!$G$4:$G$1872,'июль 2024'!$D$4:$D$1872,$B72,'июль 2024'!$J$4:$J$1872,Z$1)</f>
        <v>0</v>
      </c>
      <c r="AA72" s="80">
        <f>SUMIFS('июль 2024'!$G$4:$G$1872,'июль 2024'!$D$4:$D$1872,$B72,'июль 2024'!$J$4:$J$1872,AA$1)</f>
        <v>0</v>
      </c>
      <c r="AB72" s="80">
        <f>SUMIFS('июль 2024'!$G$4:$G$1872,'июль 2024'!$D$4:$D$1872,$B72,'июль 2024'!$J$4:$J$1872,AB$1)</f>
        <v>0</v>
      </c>
      <c r="AC72" s="80">
        <f>SUMIFS('июль 2024'!$G$4:$G$1872,'июль 2024'!$D$4:$D$1872,$B72,'июль 2024'!$J$4:$J$1872,AC$1)</f>
        <v>0</v>
      </c>
      <c r="AD72" s="80">
        <f>SUMIFS('июль 2024'!$G$4:$G$1872,'июль 2024'!$D$4:$D$1872,$B72,'июль 2024'!$J$4:$J$1872,AD$1)</f>
        <v>0</v>
      </c>
      <c r="AE72" s="80">
        <f>SUMIFS('июль 2024'!$G$4:$G$1872,'июль 2024'!$D$4:$D$1872,$B72,'июль 2024'!$J$4:$J$1872,AE$1)</f>
        <v>0</v>
      </c>
      <c r="AF72" s="80">
        <f>SUMIFS('июль 2024'!$G$4:$G$1872,'июль 2024'!$D$4:$D$1872,$B72,'июль 2024'!$J$4:$J$1872,AF$1)</f>
        <v>0</v>
      </c>
      <c r="AG72" s="80">
        <f>SUMIFS('июль 2024'!$G$4:$G$1872,'июль 2024'!$D$4:$D$1872,$B72,'июль 2024'!$J$4:$J$1872,AG$1)</f>
        <v>0</v>
      </c>
      <c r="AH72" s="80">
        <f>SUMIFS('июль 2024'!$G$4:$G$1872,'июль 2024'!$D$4:$D$1872,$B72,'июль 2024'!$J$4:$J$1872,AH$1)</f>
        <v>0</v>
      </c>
      <c r="AI72" s="21">
        <f t="shared" si="1"/>
        <v>0</v>
      </c>
    </row>
    <row r="73" spans="2:35" ht="15" customHeight="1" x14ac:dyDescent="0.25">
      <c r="B73" s="93" t="s">
        <v>210</v>
      </c>
      <c r="C73" s="91">
        <v>200</v>
      </c>
      <c r="D73" s="80">
        <f>SUMIFS('июль 2024'!$G$4:$G$1872,'июль 2024'!$D$4:$D$1872,$B73,'июль 2024'!$J$4:$J$1872,D$1)</f>
        <v>0</v>
      </c>
      <c r="E73" s="80">
        <f>SUMIFS('июль 2024'!$G$4:$G$1872,'июль 2024'!$D$4:$D$1872,$B73,'июль 2024'!$J$4:$J$1872,E$1)</f>
        <v>0</v>
      </c>
      <c r="F73" s="80">
        <f>SUMIFS('июль 2024'!$G$4:$G$1872,'июль 2024'!$D$4:$D$1872,$B73,'июль 2024'!$J$4:$J$1872,F$1)</f>
        <v>0</v>
      </c>
      <c r="G73" s="80">
        <f>SUMIFS('июль 2024'!$G$4:$G$1872,'июль 2024'!$D$4:$D$1872,$B73,'июль 2024'!$J$4:$J$1872,G$1)</f>
        <v>0</v>
      </c>
      <c r="H73" s="80">
        <f>SUMIFS('июль 2024'!$G$4:$G$1872,'июль 2024'!$D$4:$D$1872,$B73,'июль 2024'!$J$4:$J$1872,H$1)</f>
        <v>0</v>
      </c>
      <c r="I73" s="80">
        <f>SUMIFS('июль 2024'!$G$4:$G$1872,'июль 2024'!$D$4:$D$1872,$B73,'июль 2024'!$J$4:$J$1872,I$1)</f>
        <v>0</v>
      </c>
      <c r="J73" s="80">
        <f>SUMIFS('июль 2024'!$G$4:$G$1872,'июль 2024'!$D$4:$D$1872,$B73,'июль 2024'!$J$4:$J$1872,J$1)</f>
        <v>0</v>
      </c>
      <c r="K73" s="80">
        <f>SUMIFS('июль 2024'!$G$4:$G$1872,'июль 2024'!$D$4:$D$1872,$B73,'июль 2024'!$J$4:$J$1872,K$1)</f>
        <v>0</v>
      </c>
      <c r="L73" s="80">
        <f>SUMIFS('июль 2024'!$G$4:$G$1872,'июль 2024'!$D$4:$D$1872,$B73,'июль 2024'!$J$4:$J$1872,L$1)</f>
        <v>0</v>
      </c>
      <c r="M73" s="80">
        <f>SUMIFS('июль 2024'!$G$4:$G$1872,'июль 2024'!$D$4:$D$1872,$B73,'июль 2024'!$J$4:$J$1872,M$1)</f>
        <v>0</v>
      </c>
      <c r="N73" s="80">
        <f>SUMIFS('июль 2024'!$G$4:$G$1872,'июль 2024'!$D$4:$D$1872,$B73,'июль 2024'!$J$4:$J$1872,N$1)</f>
        <v>0</v>
      </c>
      <c r="O73" s="80">
        <f>SUMIFS('июль 2024'!$G$4:$G$1872,'июль 2024'!$D$4:$D$1872,$B73,'июль 2024'!$J$4:$J$1872,O$1)</f>
        <v>0</v>
      </c>
      <c r="P73" s="80">
        <f>SUMIFS('июль 2024'!$G$4:$G$1872,'июль 2024'!$D$4:$D$1872,$B73,'июль 2024'!$J$4:$J$1872,P$1)</f>
        <v>0</v>
      </c>
      <c r="Q73" s="80">
        <f>SUMIFS('июль 2024'!$G$4:$G$1872,'июль 2024'!$D$4:$D$1872,$B73,'июль 2024'!$J$4:$J$1872,Q$1)</f>
        <v>0</v>
      </c>
      <c r="R73" s="80">
        <f>SUMIFS('июль 2024'!$G$4:$G$1872,'июль 2024'!$D$4:$D$1872,$B73,'июль 2024'!$J$4:$J$1872,R$1)</f>
        <v>0</v>
      </c>
      <c r="S73" s="80">
        <f>SUMIFS('июль 2024'!$G$4:$G$1872,'июль 2024'!$D$4:$D$1872,$B73,'июль 2024'!$J$4:$J$1872,S$1)</f>
        <v>0</v>
      </c>
      <c r="T73" s="80">
        <f>SUMIFS('июль 2024'!$G$4:$G$1872,'июль 2024'!$D$4:$D$1872,$B73,'июль 2024'!$J$4:$J$1872,T$1)</f>
        <v>0</v>
      </c>
      <c r="U73" s="80">
        <f>SUMIFS('июль 2024'!$G$4:$G$1872,'июль 2024'!$D$4:$D$1872,$B73,'июль 2024'!$J$4:$J$1872,U$1)</f>
        <v>0</v>
      </c>
      <c r="V73" s="80">
        <f>SUMIFS('июль 2024'!$G$4:$G$1872,'июль 2024'!$D$4:$D$1872,$B73,'июль 2024'!$J$4:$J$1872,V$1)</f>
        <v>0</v>
      </c>
      <c r="W73" s="80">
        <f>SUMIFS('июль 2024'!$G$4:$G$1872,'июль 2024'!$D$4:$D$1872,$B73,'июль 2024'!$J$4:$J$1872,W$1)</f>
        <v>0</v>
      </c>
      <c r="X73" s="80">
        <f>SUMIFS('июль 2024'!$G$4:$G$1872,'июль 2024'!$D$4:$D$1872,$B73,'июль 2024'!$J$4:$J$1872,X$1)</f>
        <v>0</v>
      </c>
      <c r="Y73" s="80">
        <f>SUMIFS('июль 2024'!$G$4:$G$1872,'июль 2024'!$D$4:$D$1872,$B73,'июль 2024'!$J$4:$J$1872,Y$1)</f>
        <v>0</v>
      </c>
      <c r="Z73" s="80">
        <f>SUMIFS('июль 2024'!$G$4:$G$1872,'июль 2024'!$D$4:$D$1872,$B73,'июль 2024'!$J$4:$J$1872,Z$1)</f>
        <v>0</v>
      </c>
      <c r="AA73" s="80">
        <f>SUMIFS('июль 2024'!$G$4:$G$1872,'июль 2024'!$D$4:$D$1872,$B73,'июль 2024'!$J$4:$J$1872,AA$1)</f>
        <v>0</v>
      </c>
      <c r="AB73" s="80">
        <f>SUMIFS('июль 2024'!$G$4:$G$1872,'июль 2024'!$D$4:$D$1872,$B73,'июль 2024'!$J$4:$J$1872,AB$1)</f>
        <v>0</v>
      </c>
      <c r="AC73" s="80">
        <f>SUMIFS('июль 2024'!$G$4:$G$1872,'июль 2024'!$D$4:$D$1872,$B73,'июль 2024'!$J$4:$J$1872,AC$1)</f>
        <v>0</v>
      </c>
      <c r="AD73" s="80">
        <f>SUMIFS('июль 2024'!$G$4:$G$1872,'июль 2024'!$D$4:$D$1872,$B73,'июль 2024'!$J$4:$J$1872,AD$1)</f>
        <v>0</v>
      </c>
      <c r="AE73" s="80">
        <f>SUMIFS('июль 2024'!$G$4:$G$1872,'июль 2024'!$D$4:$D$1872,$B73,'июль 2024'!$J$4:$J$1872,AE$1)</f>
        <v>0</v>
      </c>
      <c r="AF73" s="80">
        <f>SUMIFS('июль 2024'!$G$4:$G$1872,'июль 2024'!$D$4:$D$1872,$B73,'июль 2024'!$J$4:$J$1872,AF$1)</f>
        <v>0</v>
      </c>
      <c r="AG73" s="80">
        <f>SUMIFS('июль 2024'!$G$4:$G$1872,'июль 2024'!$D$4:$D$1872,$B73,'июль 2024'!$J$4:$J$1872,AG$1)</f>
        <v>0</v>
      </c>
      <c r="AH73" s="80">
        <f>SUMIFS('июль 2024'!$G$4:$G$1872,'июль 2024'!$D$4:$D$1872,$B73,'июль 2024'!$J$4:$J$1872,AH$1)</f>
        <v>0</v>
      </c>
      <c r="AI73" s="21">
        <f t="shared" si="1"/>
        <v>0</v>
      </c>
    </row>
    <row r="74" spans="2:35" ht="15" customHeight="1" x14ac:dyDescent="0.25">
      <c r="B74" s="93" t="s">
        <v>221</v>
      </c>
      <c r="C74" s="91">
        <v>25</v>
      </c>
      <c r="D74" s="80">
        <f>SUMIFS('июль 2024'!$G$4:$G$1872,'июль 2024'!$D$4:$D$1872,$B74,'июль 2024'!$J$4:$J$1872,D$1)</f>
        <v>0</v>
      </c>
      <c r="E74" s="80">
        <f>SUMIFS('июль 2024'!$G$4:$G$1872,'июль 2024'!$D$4:$D$1872,$B74,'июль 2024'!$J$4:$J$1872,E$1)</f>
        <v>0</v>
      </c>
      <c r="F74" s="80">
        <f>SUMIFS('июль 2024'!$G$4:$G$1872,'июль 2024'!$D$4:$D$1872,$B74,'июль 2024'!$J$4:$J$1872,F$1)</f>
        <v>0</v>
      </c>
      <c r="G74" s="80">
        <f>SUMIFS('июль 2024'!$G$4:$G$1872,'июль 2024'!$D$4:$D$1872,$B74,'июль 2024'!$J$4:$J$1872,G$1)</f>
        <v>0</v>
      </c>
      <c r="H74" s="80">
        <f>SUMIFS('июль 2024'!$G$4:$G$1872,'июль 2024'!$D$4:$D$1872,$B74,'июль 2024'!$J$4:$J$1872,H$1)</f>
        <v>0</v>
      </c>
      <c r="I74" s="80">
        <f>SUMIFS('июль 2024'!$G$4:$G$1872,'июль 2024'!$D$4:$D$1872,$B74,'июль 2024'!$J$4:$J$1872,I$1)</f>
        <v>0</v>
      </c>
      <c r="J74" s="80">
        <f>SUMIFS('июль 2024'!$G$4:$G$1872,'июль 2024'!$D$4:$D$1872,$B74,'июль 2024'!$J$4:$J$1872,J$1)</f>
        <v>0</v>
      </c>
      <c r="K74" s="80">
        <f>SUMIFS('июль 2024'!$G$4:$G$1872,'июль 2024'!$D$4:$D$1872,$B74,'июль 2024'!$J$4:$J$1872,K$1)</f>
        <v>0</v>
      </c>
      <c r="L74" s="80">
        <f>SUMIFS('июль 2024'!$G$4:$G$1872,'июль 2024'!$D$4:$D$1872,$B74,'июль 2024'!$J$4:$J$1872,L$1)</f>
        <v>0</v>
      </c>
      <c r="M74" s="80">
        <f>SUMIFS('июль 2024'!$G$4:$G$1872,'июль 2024'!$D$4:$D$1872,$B74,'июль 2024'!$J$4:$J$1872,M$1)</f>
        <v>0</v>
      </c>
      <c r="N74" s="80">
        <f>SUMIFS('июль 2024'!$G$4:$G$1872,'июль 2024'!$D$4:$D$1872,$B74,'июль 2024'!$J$4:$J$1872,N$1)</f>
        <v>0</v>
      </c>
      <c r="O74" s="80">
        <f>SUMIFS('июль 2024'!$G$4:$G$1872,'июль 2024'!$D$4:$D$1872,$B74,'июль 2024'!$J$4:$J$1872,O$1)</f>
        <v>0</v>
      </c>
      <c r="P74" s="80">
        <f>SUMIFS('июль 2024'!$G$4:$G$1872,'июль 2024'!$D$4:$D$1872,$B74,'июль 2024'!$J$4:$J$1872,P$1)</f>
        <v>0</v>
      </c>
      <c r="Q74" s="80">
        <f>SUMIFS('июль 2024'!$G$4:$G$1872,'июль 2024'!$D$4:$D$1872,$B74,'июль 2024'!$J$4:$J$1872,Q$1)</f>
        <v>0</v>
      </c>
      <c r="R74" s="80">
        <f>SUMIFS('июль 2024'!$G$4:$G$1872,'июль 2024'!$D$4:$D$1872,$B74,'июль 2024'!$J$4:$J$1872,R$1)</f>
        <v>0</v>
      </c>
      <c r="S74" s="80">
        <f>SUMIFS('июль 2024'!$G$4:$G$1872,'июль 2024'!$D$4:$D$1872,$B74,'июль 2024'!$J$4:$J$1872,S$1)</f>
        <v>0</v>
      </c>
      <c r="T74" s="80">
        <f>SUMIFS('июль 2024'!$G$4:$G$1872,'июль 2024'!$D$4:$D$1872,$B74,'июль 2024'!$J$4:$J$1872,T$1)</f>
        <v>0</v>
      </c>
      <c r="U74" s="80">
        <f>SUMIFS('июль 2024'!$G$4:$G$1872,'июль 2024'!$D$4:$D$1872,$B74,'июль 2024'!$J$4:$J$1872,U$1)</f>
        <v>0</v>
      </c>
      <c r="V74" s="80">
        <f>SUMIFS('июль 2024'!$G$4:$G$1872,'июль 2024'!$D$4:$D$1872,$B74,'июль 2024'!$J$4:$J$1872,V$1)</f>
        <v>0</v>
      </c>
      <c r="W74" s="80">
        <f>SUMIFS('июль 2024'!$G$4:$G$1872,'июль 2024'!$D$4:$D$1872,$B74,'июль 2024'!$J$4:$J$1872,W$1)</f>
        <v>0</v>
      </c>
      <c r="X74" s="80">
        <f>SUMIFS('июль 2024'!$G$4:$G$1872,'июль 2024'!$D$4:$D$1872,$B74,'июль 2024'!$J$4:$J$1872,X$1)</f>
        <v>0</v>
      </c>
      <c r="Y74" s="80">
        <f>SUMIFS('июль 2024'!$G$4:$G$1872,'июль 2024'!$D$4:$D$1872,$B74,'июль 2024'!$J$4:$J$1872,Y$1)</f>
        <v>0</v>
      </c>
      <c r="Z74" s="80">
        <f>SUMIFS('июль 2024'!$G$4:$G$1872,'июль 2024'!$D$4:$D$1872,$B74,'июль 2024'!$J$4:$J$1872,Z$1)</f>
        <v>0</v>
      </c>
      <c r="AA74" s="80">
        <f>SUMIFS('июль 2024'!$G$4:$G$1872,'июль 2024'!$D$4:$D$1872,$B74,'июль 2024'!$J$4:$J$1872,AA$1)</f>
        <v>0</v>
      </c>
      <c r="AB74" s="80">
        <f>SUMIFS('июль 2024'!$G$4:$G$1872,'июль 2024'!$D$4:$D$1872,$B74,'июль 2024'!$J$4:$J$1872,AB$1)</f>
        <v>0</v>
      </c>
      <c r="AC74" s="80">
        <f>SUMIFS('июль 2024'!$G$4:$G$1872,'июль 2024'!$D$4:$D$1872,$B74,'июль 2024'!$J$4:$J$1872,AC$1)</f>
        <v>0</v>
      </c>
      <c r="AD74" s="80">
        <f>SUMIFS('июль 2024'!$G$4:$G$1872,'июль 2024'!$D$4:$D$1872,$B74,'июль 2024'!$J$4:$J$1872,AD$1)</f>
        <v>0</v>
      </c>
      <c r="AE74" s="80">
        <f>SUMIFS('июль 2024'!$G$4:$G$1872,'июль 2024'!$D$4:$D$1872,$B74,'июль 2024'!$J$4:$J$1872,AE$1)</f>
        <v>0</v>
      </c>
      <c r="AF74" s="80">
        <f>SUMIFS('июль 2024'!$G$4:$G$1872,'июль 2024'!$D$4:$D$1872,$B74,'июль 2024'!$J$4:$J$1872,AF$1)</f>
        <v>0</v>
      </c>
      <c r="AG74" s="80">
        <f>SUMIFS('июль 2024'!$G$4:$G$1872,'июль 2024'!$D$4:$D$1872,$B74,'июль 2024'!$J$4:$J$1872,AG$1)</f>
        <v>0</v>
      </c>
      <c r="AH74" s="80">
        <f>SUMIFS('июль 2024'!$G$4:$G$1872,'июль 2024'!$D$4:$D$1872,$B74,'июль 2024'!$J$4:$J$1872,AH$1)</f>
        <v>0</v>
      </c>
      <c r="AI74" s="21">
        <f t="shared" si="1"/>
        <v>0</v>
      </c>
    </row>
    <row r="75" spans="2:35" ht="15" customHeight="1" x14ac:dyDescent="0.25">
      <c r="B75" s="93" t="s">
        <v>188</v>
      </c>
      <c r="C75" s="91">
        <v>50</v>
      </c>
      <c r="D75" s="80">
        <f>SUMIFS('июль 2024'!$G$4:$G$1872,'июль 2024'!$D$4:$D$1872,$B75,'июль 2024'!$J$4:$J$1872,D$1)</f>
        <v>0</v>
      </c>
      <c r="E75" s="80">
        <f>SUMIFS('июль 2024'!$G$4:$G$1872,'июль 2024'!$D$4:$D$1872,$B75,'июль 2024'!$J$4:$J$1872,E$1)</f>
        <v>0</v>
      </c>
      <c r="F75" s="80">
        <f>SUMIFS('июль 2024'!$G$4:$G$1872,'июль 2024'!$D$4:$D$1872,$B75,'июль 2024'!$J$4:$J$1872,F$1)</f>
        <v>0</v>
      </c>
      <c r="G75" s="80">
        <f>SUMIFS('июль 2024'!$G$4:$G$1872,'июль 2024'!$D$4:$D$1872,$B75,'июль 2024'!$J$4:$J$1872,G$1)</f>
        <v>0</v>
      </c>
      <c r="H75" s="80">
        <f>SUMIFS('июль 2024'!$G$4:$G$1872,'июль 2024'!$D$4:$D$1872,$B75,'июль 2024'!$J$4:$J$1872,H$1)</f>
        <v>0</v>
      </c>
      <c r="I75" s="80">
        <f>SUMIFS('июль 2024'!$G$4:$G$1872,'июль 2024'!$D$4:$D$1872,$B75,'июль 2024'!$J$4:$J$1872,I$1)</f>
        <v>0</v>
      </c>
      <c r="J75" s="80">
        <f>SUMIFS('июль 2024'!$G$4:$G$1872,'июль 2024'!$D$4:$D$1872,$B75,'июль 2024'!$J$4:$J$1872,J$1)</f>
        <v>0</v>
      </c>
      <c r="K75" s="80">
        <f>SUMIFS('июль 2024'!$G$4:$G$1872,'июль 2024'!$D$4:$D$1872,$B75,'июль 2024'!$J$4:$J$1872,K$1)</f>
        <v>0</v>
      </c>
      <c r="L75" s="80">
        <f>SUMIFS('июль 2024'!$G$4:$G$1872,'июль 2024'!$D$4:$D$1872,$B75,'июль 2024'!$J$4:$J$1872,L$1)</f>
        <v>0</v>
      </c>
      <c r="M75" s="80">
        <f>SUMIFS('июль 2024'!$G$4:$G$1872,'июль 2024'!$D$4:$D$1872,$B75,'июль 2024'!$J$4:$J$1872,M$1)</f>
        <v>0</v>
      </c>
      <c r="N75" s="80">
        <f>SUMIFS('июль 2024'!$G$4:$G$1872,'июль 2024'!$D$4:$D$1872,$B75,'июль 2024'!$J$4:$J$1872,N$1)</f>
        <v>0</v>
      </c>
      <c r="O75" s="80">
        <f>SUMIFS('июль 2024'!$G$4:$G$1872,'июль 2024'!$D$4:$D$1872,$B75,'июль 2024'!$J$4:$J$1872,O$1)</f>
        <v>0</v>
      </c>
      <c r="P75" s="80">
        <f>SUMIFS('июль 2024'!$G$4:$G$1872,'июль 2024'!$D$4:$D$1872,$B75,'июль 2024'!$J$4:$J$1872,P$1)</f>
        <v>0</v>
      </c>
      <c r="Q75" s="80">
        <f>SUMIFS('июль 2024'!$G$4:$G$1872,'июль 2024'!$D$4:$D$1872,$B75,'июль 2024'!$J$4:$J$1872,Q$1)</f>
        <v>0</v>
      </c>
      <c r="R75" s="80">
        <f>SUMIFS('июль 2024'!$G$4:$G$1872,'июль 2024'!$D$4:$D$1872,$B75,'июль 2024'!$J$4:$J$1872,R$1)</f>
        <v>0</v>
      </c>
      <c r="S75" s="80">
        <f>SUMIFS('июль 2024'!$G$4:$G$1872,'июль 2024'!$D$4:$D$1872,$B75,'июль 2024'!$J$4:$J$1872,S$1)</f>
        <v>0</v>
      </c>
      <c r="T75" s="80">
        <f>SUMIFS('июль 2024'!$G$4:$G$1872,'июль 2024'!$D$4:$D$1872,$B75,'июль 2024'!$J$4:$J$1872,T$1)</f>
        <v>0</v>
      </c>
      <c r="U75" s="80">
        <f>SUMIFS('июль 2024'!$G$4:$G$1872,'июль 2024'!$D$4:$D$1872,$B75,'июль 2024'!$J$4:$J$1872,U$1)</f>
        <v>0</v>
      </c>
      <c r="V75" s="80">
        <f>SUMIFS('июль 2024'!$G$4:$G$1872,'июль 2024'!$D$4:$D$1872,$B75,'июль 2024'!$J$4:$J$1872,V$1)</f>
        <v>0</v>
      </c>
      <c r="W75" s="80">
        <f>SUMIFS('июль 2024'!$G$4:$G$1872,'июль 2024'!$D$4:$D$1872,$B75,'июль 2024'!$J$4:$J$1872,W$1)</f>
        <v>0</v>
      </c>
      <c r="X75" s="80">
        <f>SUMIFS('июль 2024'!$G$4:$G$1872,'июль 2024'!$D$4:$D$1872,$B75,'июль 2024'!$J$4:$J$1872,X$1)</f>
        <v>0</v>
      </c>
      <c r="Y75" s="80">
        <f>SUMIFS('июль 2024'!$G$4:$G$1872,'июль 2024'!$D$4:$D$1872,$B75,'июль 2024'!$J$4:$J$1872,Y$1)</f>
        <v>0</v>
      </c>
      <c r="Z75" s="80">
        <f>SUMIFS('июль 2024'!$G$4:$G$1872,'июль 2024'!$D$4:$D$1872,$B75,'июль 2024'!$J$4:$J$1872,Z$1)</f>
        <v>0</v>
      </c>
      <c r="AA75" s="80">
        <f>SUMIFS('июль 2024'!$G$4:$G$1872,'июль 2024'!$D$4:$D$1872,$B75,'июль 2024'!$J$4:$J$1872,AA$1)</f>
        <v>0</v>
      </c>
      <c r="AB75" s="80">
        <f>SUMIFS('июль 2024'!$G$4:$G$1872,'июль 2024'!$D$4:$D$1872,$B75,'июль 2024'!$J$4:$J$1872,AB$1)</f>
        <v>0</v>
      </c>
      <c r="AC75" s="80">
        <f>SUMIFS('июль 2024'!$G$4:$G$1872,'июль 2024'!$D$4:$D$1872,$B75,'июль 2024'!$J$4:$J$1872,AC$1)</f>
        <v>0</v>
      </c>
      <c r="AD75" s="80">
        <f>SUMIFS('июль 2024'!$G$4:$G$1872,'июль 2024'!$D$4:$D$1872,$B75,'июль 2024'!$J$4:$J$1872,AD$1)</f>
        <v>0</v>
      </c>
      <c r="AE75" s="80">
        <f>SUMIFS('июль 2024'!$G$4:$G$1872,'июль 2024'!$D$4:$D$1872,$B75,'июль 2024'!$J$4:$J$1872,AE$1)</f>
        <v>0</v>
      </c>
      <c r="AF75" s="80">
        <f>SUMIFS('июль 2024'!$G$4:$G$1872,'июль 2024'!$D$4:$D$1872,$B75,'июль 2024'!$J$4:$J$1872,AF$1)</f>
        <v>0</v>
      </c>
      <c r="AG75" s="80">
        <f>SUMIFS('июль 2024'!$G$4:$G$1872,'июль 2024'!$D$4:$D$1872,$B75,'июль 2024'!$J$4:$J$1872,AG$1)</f>
        <v>0</v>
      </c>
      <c r="AH75" s="80">
        <f>SUMIFS('июль 2024'!$G$4:$G$1872,'июль 2024'!$D$4:$D$1872,$B75,'июль 2024'!$J$4:$J$1872,AH$1)</f>
        <v>0</v>
      </c>
      <c r="AI75" s="21">
        <f t="shared" si="1"/>
        <v>0</v>
      </c>
    </row>
    <row r="76" spans="2:35" ht="15" customHeight="1" x14ac:dyDescent="0.25">
      <c r="B76" s="93" t="s">
        <v>173</v>
      </c>
      <c r="C76" s="91">
        <v>200</v>
      </c>
      <c r="D76" s="80">
        <f>SUMIFS('июль 2024'!$G$4:$G$1872,'июль 2024'!$D$4:$D$1872,$B76,'июль 2024'!$J$4:$J$1872,D$1)</f>
        <v>0</v>
      </c>
      <c r="E76" s="80">
        <f>SUMIFS('июль 2024'!$G$4:$G$1872,'июль 2024'!$D$4:$D$1872,$B76,'июль 2024'!$J$4:$J$1872,E$1)</f>
        <v>0</v>
      </c>
      <c r="F76" s="80">
        <f>SUMIFS('июль 2024'!$G$4:$G$1872,'июль 2024'!$D$4:$D$1872,$B76,'июль 2024'!$J$4:$J$1872,F$1)</f>
        <v>0</v>
      </c>
      <c r="G76" s="80">
        <f>SUMIFS('июль 2024'!$G$4:$G$1872,'июль 2024'!$D$4:$D$1872,$B76,'июль 2024'!$J$4:$J$1872,G$1)</f>
        <v>0</v>
      </c>
      <c r="H76" s="80">
        <f>SUMIFS('июль 2024'!$G$4:$G$1872,'июль 2024'!$D$4:$D$1872,$B76,'июль 2024'!$J$4:$J$1872,H$1)</f>
        <v>0</v>
      </c>
      <c r="I76" s="80">
        <f>SUMIFS('июль 2024'!$G$4:$G$1872,'июль 2024'!$D$4:$D$1872,$B76,'июль 2024'!$J$4:$J$1872,I$1)</f>
        <v>0</v>
      </c>
      <c r="J76" s="80">
        <f>SUMIFS('июль 2024'!$G$4:$G$1872,'июль 2024'!$D$4:$D$1872,$B76,'июль 2024'!$J$4:$J$1872,J$1)</f>
        <v>0</v>
      </c>
      <c r="K76" s="80">
        <f>SUMIFS('июль 2024'!$G$4:$G$1872,'июль 2024'!$D$4:$D$1872,$B76,'июль 2024'!$J$4:$J$1872,K$1)</f>
        <v>0</v>
      </c>
      <c r="L76" s="80">
        <f>SUMIFS('июль 2024'!$G$4:$G$1872,'июль 2024'!$D$4:$D$1872,$B76,'июль 2024'!$J$4:$J$1872,L$1)</f>
        <v>0</v>
      </c>
      <c r="M76" s="80">
        <f>SUMIFS('июль 2024'!$G$4:$G$1872,'июль 2024'!$D$4:$D$1872,$B76,'июль 2024'!$J$4:$J$1872,M$1)</f>
        <v>0</v>
      </c>
      <c r="N76" s="80">
        <f>SUMIFS('июль 2024'!$G$4:$G$1872,'июль 2024'!$D$4:$D$1872,$B76,'июль 2024'!$J$4:$J$1872,N$1)</f>
        <v>0</v>
      </c>
      <c r="O76" s="80">
        <f>SUMIFS('июль 2024'!$G$4:$G$1872,'июль 2024'!$D$4:$D$1872,$B76,'июль 2024'!$J$4:$J$1872,O$1)</f>
        <v>0</v>
      </c>
      <c r="P76" s="80">
        <f>SUMIFS('июль 2024'!$G$4:$G$1872,'июль 2024'!$D$4:$D$1872,$B76,'июль 2024'!$J$4:$J$1872,P$1)</f>
        <v>0</v>
      </c>
      <c r="Q76" s="80">
        <f>SUMIFS('июль 2024'!$G$4:$G$1872,'июль 2024'!$D$4:$D$1872,$B76,'июль 2024'!$J$4:$J$1872,Q$1)</f>
        <v>0</v>
      </c>
      <c r="R76" s="80">
        <f>SUMIFS('июль 2024'!$G$4:$G$1872,'июль 2024'!$D$4:$D$1872,$B76,'июль 2024'!$J$4:$J$1872,R$1)</f>
        <v>0</v>
      </c>
      <c r="S76" s="80">
        <f>SUMIFS('июль 2024'!$G$4:$G$1872,'июль 2024'!$D$4:$D$1872,$B76,'июль 2024'!$J$4:$J$1872,S$1)</f>
        <v>0</v>
      </c>
      <c r="T76" s="80">
        <f>SUMIFS('июль 2024'!$G$4:$G$1872,'июль 2024'!$D$4:$D$1872,$B76,'июль 2024'!$J$4:$J$1872,T$1)</f>
        <v>0</v>
      </c>
      <c r="U76" s="80">
        <f>SUMIFS('июль 2024'!$G$4:$G$1872,'июль 2024'!$D$4:$D$1872,$B76,'июль 2024'!$J$4:$J$1872,U$1)</f>
        <v>0</v>
      </c>
      <c r="V76" s="80">
        <f>SUMIFS('июль 2024'!$G$4:$G$1872,'июль 2024'!$D$4:$D$1872,$B76,'июль 2024'!$J$4:$J$1872,V$1)</f>
        <v>0</v>
      </c>
      <c r="W76" s="80">
        <f>SUMIFS('июль 2024'!$G$4:$G$1872,'июль 2024'!$D$4:$D$1872,$B76,'июль 2024'!$J$4:$J$1872,W$1)</f>
        <v>0</v>
      </c>
      <c r="X76" s="80">
        <f>SUMIFS('июль 2024'!$G$4:$G$1872,'июль 2024'!$D$4:$D$1872,$B76,'июль 2024'!$J$4:$J$1872,X$1)</f>
        <v>0</v>
      </c>
      <c r="Y76" s="80">
        <f>SUMIFS('июль 2024'!$G$4:$G$1872,'июль 2024'!$D$4:$D$1872,$B76,'июль 2024'!$J$4:$J$1872,Y$1)</f>
        <v>0</v>
      </c>
      <c r="Z76" s="80">
        <f>SUMIFS('июль 2024'!$G$4:$G$1872,'июль 2024'!$D$4:$D$1872,$B76,'июль 2024'!$J$4:$J$1872,Z$1)</f>
        <v>0</v>
      </c>
      <c r="AA76" s="80">
        <f>SUMIFS('июль 2024'!$G$4:$G$1872,'июль 2024'!$D$4:$D$1872,$B76,'июль 2024'!$J$4:$J$1872,AA$1)</f>
        <v>0</v>
      </c>
      <c r="AB76" s="80">
        <f>SUMIFS('июль 2024'!$G$4:$G$1872,'июль 2024'!$D$4:$D$1872,$B76,'июль 2024'!$J$4:$J$1872,AB$1)</f>
        <v>0</v>
      </c>
      <c r="AC76" s="80">
        <f>SUMIFS('июль 2024'!$G$4:$G$1872,'июль 2024'!$D$4:$D$1872,$B76,'июль 2024'!$J$4:$J$1872,AC$1)</f>
        <v>0</v>
      </c>
      <c r="AD76" s="80">
        <f>SUMIFS('июль 2024'!$G$4:$G$1872,'июль 2024'!$D$4:$D$1872,$B76,'июль 2024'!$J$4:$J$1872,AD$1)</f>
        <v>0</v>
      </c>
      <c r="AE76" s="80">
        <f>SUMIFS('июль 2024'!$G$4:$G$1872,'июль 2024'!$D$4:$D$1872,$B76,'июль 2024'!$J$4:$J$1872,AE$1)</f>
        <v>0</v>
      </c>
      <c r="AF76" s="80">
        <f>SUMIFS('июль 2024'!$G$4:$G$1872,'июль 2024'!$D$4:$D$1872,$B76,'июль 2024'!$J$4:$J$1872,AF$1)</f>
        <v>0</v>
      </c>
      <c r="AG76" s="80">
        <f>SUMIFS('июль 2024'!$G$4:$G$1872,'июль 2024'!$D$4:$D$1872,$B76,'июль 2024'!$J$4:$J$1872,AG$1)</f>
        <v>0</v>
      </c>
      <c r="AH76" s="80">
        <f>SUMIFS('июль 2024'!$G$4:$G$1872,'июль 2024'!$D$4:$D$1872,$B76,'июль 2024'!$J$4:$J$1872,AH$1)</f>
        <v>0</v>
      </c>
      <c r="AI76" s="21">
        <f t="shared" si="1"/>
        <v>0</v>
      </c>
    </row>
    <row r="77" spans="2:35" ht="15" customHeight="1" x14ac:dyDescent="0.25">
      <c r="B77" s="93" t="s">
        <v>174</v>
      </c>
      <c r="C77" s="91">
        <v>200</v>
      </c>
      <c r="D77" s="80">
        <f>SUMIFS('июль 2024'!$G$4:$G$1872,'июль 2024'!$D$4:$D$1872,$B77,'июль 2024'!$J$4:$J$1872,D$1)</f>
        <v>24</v>
      </c>
      <c r="E77" s="80">
        <f>SUMIFS('июль 2024'!$G$4:$G$1872,'июль 2024'!$D$4:$D$1872,$B77,'июль 2024'!$J$4:$J$1872,E$1)</f>
        <v>0</v>
      </c>
      <c r="F77" s="80">
        <f>SUMIFS('июль 2024'!$G$4:$G$1872,'июль 2024'!$D$4:$D$1872,$B77,'июль 2024'!$J$4:$J$1872,F$1)</f>
        <v>0</v>
      </c>
      <c r="G77" s="80">
        <f>SUMIFS('июль 2024'!$G$4:$G$1872,'июль 2024'!$D$4:$D$1872,$B77,'июль 2024'!$J$4:$J$1872,G$1)</f>
        <v>0</v>
      </c>
      <c r="H77" s="80">
        <f>SUMIFS('июль 2024'!$G$4:$G$1872,'июль 2024'!$D$4:$D$1872,$B77,'июль 2024'!$J$4:$J$1872,H$1)</f>
        <v>80</v>
      </c>
      <c r="I77" s="80">
        <f>SUMIFS('июль 2024'!$G$4:$G$1872,'июль 2024'!$D$4:$D$1872,$B77,'июль 2024'!$J$4:$J$1872,I$1)</f>
        <v>0</v>
      </c>
      <c r="J77" s="80">
        <f>SUMIFS('июль 2024'!$G$4:$G$1872,'июль 2024'!$D$4:$D$1872,$B77,'июль 2024'!$J$4:$J$1872,J$1)</f>
        <v>0</v>
      </c>
      <c r="K77" s="80">
        <f>SUMIFS('июль 2024'!$G$4:$G$1872,'июль 2024'!$D$4:$D$1872,$B77,'июль 2024'!$J$4:$J$1872,K$1)</f>
        <v>0</v>
      </c>
      <c r="L77" s="80">
        <f>SUMIFS('июль 2024'!$G$4:$G$1872,'июль 2024'!$D$4:$D$1872,$B77,'июль 2024'!$J$4:$J$1872,L$1)</f>
        <v>0</v>
      </c>
      <c r="M77" s="80">
        <f>SUMIFS('июль 2024'!$G$4:$G$1872,'июль 2024'!$D$4:$D$1872,$B77,'июль 2024'!$J$4:$J$1872,M$1)</f>
        <v>0</v>
      </c>
      <c r="N77" s="80">
        <f>SUMIFS('июль 2024'!$G$4:$G$1872,'июль 2024'!$D$4:$D$1872,$B77,'июль 2024'!$J$4:$J$1872,N$1)</f>
        <v>0</v>
      </c>
      <c r="O77" s="80">
        <f>SUMIFS('июль 2024'!$G$4:$G$1872,'июль 2024'!$D$4:$D$1872,$B77,'июль 2024'!$J$4:$J$1872,O$1)</f>
        <v>176</v>
      </c>
      <c r="P77" s="80">
        <f>SUMIFS('июль 2024'!$G$4:$G$1872,'июль 2024'!$D$4:$D$1872,$B77,'июль 2024'!$J$4:$J$1872,P$1)</f>
        <v>0</v>
      </c>
      <c r="Q77" s="80">
        <f>SUMIFS('июль 2024'!$G$4:$G$1872,'июль 2024'!$D$4:$D$1872,$B77,'июль 2024'!$J$4:$J$1872,Q$1)</f>
        <v>0</v>
      </c>
      <c r="R77" s="80">
        <f>SUMIFS('июль 2024'!$G$4:$G$1872,'июль 2024'!$D$4:$D$1872,$B77,'июль 2024'!$J$4:$J$1872,R$1)</f>
        <v>0</v>
      </c>
      <c r="S77" s="80">
        <f>SUMIFS('июль 2024'!$G$4:$G$1872,'июль 2024'!$D$4:$D$1872,$B77,'июль 2024'!$J$4:$J$1872,S$1)</f>
        <v>0</v>
      </c>
      <c r="T77" s="80">
        <f>SUMIFS('июль 2024'!$G$4:$G$1872,'июль 2024'!$D$4:$D$1872,$B77,'июль 2024'!$J$4:$J$1872,T$1)</f>
        <v>0</v>
      </c>
      <c r="U77" s="80">
        <f>SUMIFS('июль 2024'!$G$4:$G$1872,'июль 2024'!$D$4:$D$1872,$B77,'июль 2024'!$J$4:$J$1872,U$1)</f>
        <v>0</v>
      </c>
      <c r="V77" s="80">
        <f>SUMIFS('июль 2024'!$G$4:$G$1872,'июль 2024'!$D$4:$D$1872,$B77,'июль 2024'!$J$4:$J$1872,V$1)</f>
        <v>0</v>
      </c>
      <c r="W77" s="80">
        <f>SUMIFS('июль 2024'!$G$4:$G$1872,'июль 2024'!$D$4:$D$1872,$B77,'июль 2024'!$J$4:$J$1872,W$1)</f>
        <v>0</v>
      </c>
      <c r="X77" s="80">
        <f>SUMIFS('июль 2024'!$G$4:$G$1872,'июль 2024'!$D$4:$D$1872,$B77,'июль 2024'!$J$4:$J$1872,X$1)</f>
        <v>0</v>
      </c>
      <c r="Y77" s="80">
        <f>SUMIFS('июль 2024'!$G$4:$G$1872,'июль 2024'!$D$4:$D$1872,$B77,'июль 2024'!$J$4:$J$1872,Y$1)</f>
        <v>0</v>
      </c>
      <c r="Z77" s="80">
        <f>SUMIFS('июль 2024'!$G$4:$G$1872,'июль 2024'!$D$4:$D$1872,$B77,'июль 2024'!$J$4:$J$1872,Z$1)</f>
        <v>0</v>
      </c>
      <c r="AA77" s="80">
        <f>SUMIFS('июль 2024'!$G$4:$G$1872,'июль 2024'!$D$4:$D$1872,$B77,'июль 2024'!$J$4:$J$1872,AA$1)</f>
        <v>0</v>
      </c>
      <c r="AB77" s="80">
        <f>SUMIFS('июль 2024'!$G$4:$G$1872,'июль 2024'!$D$4:$D$1872,$B77,'июль 2024'!$J$4:$J$1872,AB$1)</f>
        <v>0</v>
      </c>
      <c r="AC77" s="80">
        <f>SUMIFS('июль 2024'!$G$4:$G$1872,'июль 2024'!$D$4:$D$1872,$B77,'июль 2024'!$J$4:$J$1872,AC$1)</f>
        <v>0</v>
      </c>
      <c r="AD77" s="80">
        <f>SUMIFS('июль 2024'!$G$4:$G$1872,'июль 2024'!$D$4:$D$1872,$B77,'июль 2024'!$J$4:$J$1872,AD$1)</f>
        <v>0</v>
      </c>
      <c r="AE77" s="80">
        <f>SUMIFS('июль 2024'!$G$4:$G$1872,'июль 2024'!$D$4:$D$1872,$B77,'июль 2024'!$J$4:$J$1872,AE$1)</f>
        <v>0</v>
      </c>
      <c r="AF77" s="80">
        <f>SUMIFS('июль 2024'!$G$4:$G$1872,'июль 2024'!$D$4:$D$1872,$B77,'июль 2024'!$J$4:$J$1872,AF$1)</f>
        <v>0</v>
      </c>
      <c r="AG77" s="80">
        <f>SUMIFS('июль 2024'!$G$4:$G$1872,'июль 2024'!$D$4:$D$1872,$B77,'июль 2024'!$J$4:$J$1872,AG$1)</f>
        <v>0</v>
      </c>
      <c r="AH77" s="80">
        <f>SUMIFS('июль 2024'!$G$4:$G$1872,'июль 2024'!$D$4:$D$1872,$B77,'июль 2024'!$J$4:$J$1872,AH$1)</f>
        <v>0</v>
      </c>
      <c r="AI77" s="21">
        <f t="shared" si="1"/>
        <v>280</v>
      </c>
    </row>
    <row r="78" spans="2:35" ht="15" customHeight="1" x14ac:dyDescent="0.25">
      <c r="B78" s="93" t="s">
        <v>1458</v>
      </c>
      <c r="C78" s="91">
        <v>200</v>
      </c>
      <c r="D78" s="80">
        <f>SUMIFS('июль 2024'!$G$4:$G$1872,'июль 2024'!$D$4:$D$1872,$B78,'июль 2024'!$J$4:$J$1872,D$1)</f>
        <v>0</v>
      </c>
      <c r="E78" s="80">
        <f>SUMIFS('июль 2024'!$G$4:$G$1872,'июль 2024'!$D$4:$D$1872,$B78,'июль 2024'!$J$4:$J$1872,E$1)</f>
        <v>0</v>
      </c>
      <c r="F78" s="80">
        <f>SUMIFS('июль 2024'!$G$4:$G$1872,'июль 2024'!$D$4:$D$1872,$B78,'июль 2024'!$J$4:$J$1872,F$1)</f>
        <v>0</v>
      </c>
      <c r="G78" s="80">
        <f>SUMIFS('июль 2024'!$G$4:$G$1872,'июль 2024'!$D$4:$D$1872,$B78,'июль 2024'!$J$4:$J$1872,G$1)</f>
        <v>0</v>
      </c>
      <c r="H78" s="80">
        <f>SUMIFS('июль 2024'!$G$4:$G$1872,'июль 2024'!$D$4:$D$1872,$B78,'июль 2024'!$J$4:$J$1872,H$1)</f>
        <v>0</v>
      </c>
      <c r="I78" s="80">
        <f>SUMIFS('июль 2024'!$G$4:$G$1872,'июль 2024'!$D$4:$D$1872,$B78,'июль 2024'!$J$4:$J$1872,I$1)</f>
        <v>0</v>
      </c>
      <c r="J78" s="80">
        <f>SUMIFS('июль 2024'!$G$4:$G$1872,'июль 2024'!$D$4:$D$1872,$B78,'июль 2024'!$J$4:$J$1872,J$1)</f>
        <v>0</v>
      </c>
      <c r="K78" s="80">
        <f>SUMIFS('июль 2024'!$G$4:$G$1872,'июль 2024'!$D$4:$D$1872,$B78,'июль 2024'!$J$4:$J$1872,K$1)</f>
        <v>0</v>
      </c>
      <c r="L78" s="80">
        <f>SUMIFS('июль 2024'!$G$4:$G$1872,'июль 2024'!$D$4:$D$1872,$B78,'июль 2024'!$J$4:$J$1872,L$1)</f>
        <v>0</v>
      </c>
      <c r="M78" s="80">
        <f>SUMIFS('июль 2024'!$G$4:$G$1872,'июль 2024'!$D$4:$D$1872,$B78,'июль 2024'!$J$4:$J$1872,M$1)</f>
        <v>0</v>
      </c>
      <c r="N78" s="80">
        <f>SUMIFS('июль 2024'!$G$4:$G$1872,'июль 2024'!$D$4:$D$1872,$B78,'июль 2024'!$J$4:$J$1872,N$1)</f>
        <v>0</v>
      </c>
      <c r="O78" s="80">
        <f>SUMIFS('июль 2024'!$G$4:$G$1872,'июль 2024'!$D$4:$D$1872,$B78,'июль 2024'!$J$4:$J$1872,O$1)</f>
        <v>0</v>
      </c>
      <c r="P78" s="80">
        <f>SUMIFS('июль 2024'!$G$4:$G$1872,'июль 2024'!$D$4:$D$1872,$B78,'июль 2024'!$J$4:$J$1872,P$1)</f>
        <v>0</v>
      </c>
      <c r="Q78" s="80">
        <f>SUMIFS('июль 2024'!$G$4:$G$1872,'июль 2024'!$D$4:$D$1872,$B78,'июль 2024'!$J$4:$J$1872,Q$1)</f>
        <v>0</v>
      </c>
      <c r="R78" s="80">
        <f>SUMIFS('июль 2024'!$G$4:$G$1872,'июль 2024'!$D$4:$D$1872,$B78,'июль 2024'!$J$4:$J$1872,R$1)</f>
        <v>0</v>
      </c>
      <c r="S78" s="80">
        <f>SUMIFS('июль 2024'!$G$4:$G$1872,'июль 2024'!$D$4:$D$1872,$B78,'июль 2024'!$J$4:$J$1872,S$1)</f>
        <v>0</v>
      </c>
      <c r="T78" s="80">
        <f>SUMIFS('июль 2024'!$G$4:$G$1872,'июль 2024'!$D$4:$D$1872,$B78,'июль 2024'!$J$4:$J$1872,T$1)</f>
        <v>0</v>
      </c>
      <c r="U78" s="80">
        <f>SUMIFS('июль 2024'!$G$4:$G$1872,'июль 2024'!$D$4:$D$1872,$B78,'июль 2024'!$J$4:$J$1872,U$1)</f>
        <v>0</v>
      </c>
      <c r="V78" s="80">
        <f>SUMIFS('июль 2024'!$G$4:$G$1872,'июль 2024'!$D$4:$D$1872,$B78,'июль 2024'!$J$4:$J$1872,V$1)</f>
        <v>0</v>
      </c>
      <c r="W78" s="80">
        <f>SUMIFS('июль 2024'!$G$4:$G$1872,'июль 2024'!$D$4:$D$1872,$B78,'июль 2024'!$J$4:$J$1872,W$1)</f>
        <v>0</v>
      </c>
      <c r="X78" s="80">
        <f>SUMIFS('июль 2024'!$G$4:$G$1872,'июль 2024'!$D$4:$D$1872,$B78,'июль 2024'!$J$4:$J$1872,X$1)</f>
        <v>0</v>
      </c>
      <c r="Y78" s="80">
        <f>SUMIFS('июль 2024'!$G$4:$G$1872,'июль 2024'!$D$4:$D$1872,$B78,'июль 2024'!$J$4:$J$1872,Y$1)</f>
        <v>0</v>
      </c>
      <c r="Z78" s="80">
        <f>SUMIFS('июль 2024'!$G$4:$G$1872,'июль 2024'!$D$4:$D$1872,$B78,'июль 2024'!$J$4:$J$1872,Z$1)</f>
        <v>0</v>
      </c>
      <c r="AA78" s="80">
        <f>SUMIFS('июль 2024'!$G$4:$G$1872,'июль 2024'!$D$4:$D$1872,$B78,'июль 2024'!$J$4:$J$1872,AA$1)</f>
        <v>0</v>
      </c>
      <c r="AB78" s="80">
        <f>SUMIFS('июль 2024'!$G$4:$G$1872,'июль 2024'!$D$4:$D$1872,$B78,'июль 2024'!$J$4:$J$1872,AB$1)</f>
        <v>0</v>
      </c>
      <c r="AC78" s="80">
        <f>SUMIFS('июль 2024'!$G$4:$G$1872,'июль 2024'!$D$4:$D$1872,$B78,'июль 2024'!$J$4:$J$1872,AC$1)</f>
        <v>80</v>
      </c>
      <c r="AD78" s="80">
        <f>SUMIFS('июль 2024'!$G$4:$G$1872,'июль 2024'!$D$4:$D$1872,$B78,'июль 2024'!$J$4:$J$1872,AD$1)</f>
        <v>0</v>
      </c>
      <c r="AE78" s="80">
        <f>SUMIFS('июль 2024'!$G$4:$G$1872,'июль 2024'!$D$4:$D$1872,$B78,'июль 2024'!$J$4:$J$1872,AE$1)</f>
        <v>0</v>
      </c>
      <c r="AF78" s="80">
        <f>SUMIFS('июль 2024'!$G$4:$G$1872,'июль 2024'!$D$4:$D$1872,$B78,'июль 2024'!$J$4:$J$1872,AF$1)</f>
        <v>0</v>
      </c>
      <c r="AG78" s="80">
        <f>SUMIFS('июль 2024'!$G$4:$G$1872,'июль 2024'!$D$4:$D$1872,$B78,'июль 2024'!$J$4:$J$1872,AG$1)</f>
        <v>0</v>
      </c>
      <c r="AH78" s="80">
        <f>SUMIFS('июль 2024'!$G$4:$G$1872,'июль 2024'!$D$4:$D$1872,$B78,'июль 2024'!$J$4:$J$1872,AH$1)</f>
        <v>0</v>
      </c>
      <c r="AI78" s="21">
        <f>SUM(D78:AH78)</f>
        <v>80</v>
      </c>
    </row>
    <row r="79" spans="2:35" ht="15" customHeight="1" x14ac:dyDescent="0.25">
      <c r="B79" s="93" t="s">
        <v>321</v>
      </c>
      <c r="C79" s="91">
        <v>190</v>
      </c>
      <c r="D79" s="80">
        <f>SUMIFS('июль 2024'!$G$4:$G$1872,'июль 2024'!$D$4:$D$1872,$B79,'июль 2024'!$J$4:$J$1872,D$1)</f>
        <v>0</v>
      </c>
      <c r="E79" s="80">
        <f>SUMIFS('июль 2024'!$G$4:$G$1872,'июль 2024'!$D$4:$D$1872,$B79,'июль 2024'!$J$4:$J$1872,E$1)</f>
        <v>0</v>
      </c>
      <c r="F79" s="80">
        <f>SUMIFS('июль 2024'!$G$4:$G$1872,'июль 2024'!$D$4:$D$1872,$B79,'июль 2024'!$J$4:$J$1872,F$1)</f>
        <v>0</v>
      </c>
      <c r="G79" s="80">
        <f>SUMIFS('июль 2024'!$G$4:$G$1872,'июль 2024'!$D$4:$D$1872,$B79,'июль 2024'!$J$4:$J$1872,G$1)</f>
        <v>0</v>
      </c>
      <c r="H79" s="80">
        <f>SUMIFS('июль 2024'!$G$4:$G$1872,'июль 2024'!$D$4:$D$1872,$B79,'июль 2024'!$J$4:$J$1872,H$1)</f>
        <v>0</v>
      </c>
      <c r="I79" s="80">
        <f>SUMIFS('июль 2024'!$G$4:$G$1872,'июль 2024'!$D$4:$D$1872,$B79,'июль 2024'!$J$4:$J$1872,I$1)</f>
        <v>0</v>
      </c>
      <c r="J79" s="80">
        <f>SUMIFS('июль 2024'!$G$4:$G$1872,'июль 2024'!$D$4:$D$1872,$B79,'июль 2024'!$J$4:$J$1872,J$1)</f>
        <v>0</v>
      </c>
      <c r="K79" s="80">
        <f>SUMIFS('июль 2024'!$G$4:$G$1872,'июль 2024'!$D$4:$D$1872,$B79,'июль 2024'!$J$4:$J$1872,K$1)</f>
        <v>0</v>
      </c>
      <c r="L79" s="80">
        <f>SUMIFS('июль 2024'!$G$4:$G$1872,'июль 2024'!$D$4:$D$1872,$B79,'июль 2024'!$J$4:$J$1872,L$1)</f>
        <v>0</v>
      </c>
      <c r="M79" s="80">
        <f>SUMIFS('июль 2024'!$G$4:$G$1872,'июль 2024'!$D$4:$D$1872,$B79,'июль 2024'!$J$4:$J$1872,M$1)</f>
        <v>0</v>
      </c>
      <c r="N79" s="80">
        <f>SUMIFS('июль 2024'!$G$4:$G$1872,'июль 2024'!$D$4:$D$1872,$B79,'июль 2024'!$J$4:$J$1872,N$1)</f>
        <v>0</v>
      </c>
      <c r="O79" s="80">
        <f>SUMIFS('июль 2024'!$G$4:$G$1872,'июль 2024'!$D$4:$D$1872,$B79,'июль 2024'!$J$4:$J$1872,O$1)</f>
        <v>0</v>
      </c>
      <c r="P79" s="80">
        <f>SUMIFS('июль 2024'!$G$4:$G$1872,'июль 2024'!$D$4:$D$1872,$B79,'июль 2024'!$J$4:$J$1872,P$1)</f>
        <v>0</v>
      </c>
      <c r="Q79" s="80">
        <f>SUMIFS('июль 2024'!$G$4:$G$1872,'июль 2024'!$D$4:$D$1872,$B79,'июль 2024'!$J$4:$J$1872,Q$1)</f>
        <v>0</v>
      </c>
      <c r="R79" s="80">
        <f>SUMIFS('июль 2024'!$G$4:$G$1872,'июль 2024'!$D$4:$D$1872,$B79,'июль 2024'!$J$4:$J$1872,R$1)</f>
        <v>0</v>
      </c>
      <c r="S79" s="80">
        <f>SUMIFS('июль 2024'!$G$4:$G$1872,'июль 2024'!$D$4:$D$1872,$B79,'июль 2024'!$J$4:$J$1872,S$1)</f>
        <v>0</v>
      </c>
      <c r="T79" s="80">
        <f>SUMIFS('июль 2024'!$G$4:$G$1872,'июль 2024'!$D$4:$D$1872,$B79,'июль 2024'!$J$4:$J$1872,T$1)</f>
        <v>0</v>
      </c>
      <c r="U79" s="80">
        <f>SUMIFS('июль 2024'!$G$4:$G$1872,'июль 2024'!$D$4:$D$1872,$B79,'июль 2024'!$J$4:$J$1872,U$1)</f>
        <v>0</v>
      </c>
      <c r="V79" s="80">
        <f>SUMIFS('июль 2024'!$G$4:$G$1872,'июль 2024'!$D$4:$D$1872,$B79,'июль 2024'!$J$4:$J$1872,V$1)</f>
        <v>0</v>
      </c>
      <c r="W79" s="80">
        <f>SUMIFS('июль 2024'!$G$4:$G$1872,'июль 2024'!$D$4:$D$1872,$B79,'июль 2024'!$J$4:$J$1872,W$1)</f>
        <v>0</v>
      </c>
      <c r="X79" s="80">
        <f>SUMIFS('июль 2024'!$G$4:$G$1872,'июль 2024'!$D$4:$D$1872,$B79,'июль 2024'!$J$4:$J$1872,X$1)</f>
        <v>0</v>
      </c>
      <c r="Y79" s="80">
        <f>SUMIFS('июль 2024'!$G$4:$G$1872,'июль 2024'!$D$4:$D$1872,$B79,'июль 2024'!$J$4:$J$1872,Y$1)</f>
        <v>0</v>
      </c>
      <c r="Z79" s="80">
        <f>SUMIFS('июль 2024'!$G$4:$G$1872,'июль 2024'!$D$4:$D$1872,$B79,'июль 2024'!$J$4:$J$1872,Z$1)</f>
        <v>0</v>
      </c>
      <c r="AA79" s="80">
        <f>SUMIFS('июль 2024'!$G$4:$G$1872,'июль 2024'!$D$4:$D$1872,$B79,'июль 2024'!$J$4:$J$1872,AA$1)</f>
        <v>0</v>
      </c>
      <c r="AB79" s="80">
        <f>SUMIFS('июль 2024'!$G$4:$G$1872,'июль 2024'!$D$4:$D$1872,$B79,'июль 2024'!$J$4:$J$1872,AB$1)</f>
        <v>0</v>
      </c>
      <c r="AC79" s="80">
        <f>SUMIFS('июль 2024'!$G$4:$G$1872,'июль 2024'!$D$4:$D$1872,$B79,'июль 2024'!$J$4:$J$1872,AC$1)</f>
        <v>0</v>
      </c>
      <c r="AD79" s="80">
        <f>SUMIFS('июль 2024'!$G$4:$G$1872,'июль 2024'!$D$4:$D$1872,$B79,'июль 2024'!$J$4:$J$1872,AD$1)</f>
        <v>0</v>
      </c>
      <c r="AE79" s="80">
        <f>SUMIFS('июль 2024'!$G$4:$G$1872,'июль 2024'!$D$4:$D$1872,$B79,'июль 2024'!$J$4:$J$1872,AE$1)</f>
        <v>0</v>
      </c>
      <c r="AF79" s="80">
        <f>SUMIFS('июль 2024'!$G$4:$G$1872,'июль 2024'!$D$4:$D$1872,$B79,'июль 2024'!$J$4:$J$1872,AF$1)</f>
        <v>0</v>
      </c>
      <c r="AG79" s="80">
        <f>SUMIFS('июль 2024'!$G$4:$G$1872,'июль 2024'!$D$4:$D$1872,$B79,'июль 2024'!$J$4:$J$1872,AG$1)</f>
        <v>0</v>
      </c>
      <c r="AH79" s="80">
        <f>SUMIFS('июль 2024'!$G$4:$G$1872,'июль 2024'!$D$4:$D$1872,$B79,'июль 2024'!$J$4:$J$1872,AH$1)</f>
        <v>0</v>
      </c>
      <c r="AI79" s="21">
        <f t="shared" si="1"/>
        <v>0</v>
      </c>
    </row>
    <row r="80" spans="2:35" ht="15" customHeight="1" x14ac:dyDescent="0.25">
      <c r="B80" s="89" t="s">
        <v>199</v>
      </c>
      <c r="C80" s="88">
        <v>180</v>
      </c>
      <c r="D80" s="80">
        <f>SUMIFS('июль 2024'!$G$4:$G$1872,'июль 2024'!$D$4:$D$1872,$B80,'июль 2024'!$J$4:$J$1872,D$1)</f>
        <v>0</v>
      </c>
      <c r="E80" s="80">
        <f>SUMIFS('июль 2024'!$G$4:$G$1872,'июль 2024'!$D$4:$D$1872,$B80,'июль 2024'!$J$4:$J$1872,E$1)</f>
        <v>0</v>
      </c>
      <c r="F80" s="80">
        <f>SUMIFS('июль 2024'!$G$4:$G$1872,'июль 2024'!$D$4:$D$1872,$B80,'июль 2024'!$J$4:$J$1872,F$1)</f>
        <v>0</v>
      </c>
      <c r="G80" s="80">
        <f>SUMIFS('июль 2024'!$G$4:$G$1872,'июль 2024'!$D$4:$D$1872,$B80,'июль 2024'!$J$4:$J$1872,G$1)</f>
        <v>0</v>
      </c>
      <c r="H80" s="80">
        <f>SUMIFS('июль 2024'!$G$4:$G$1872,'июль 2024'!$D$4:$D$1872,$B80,'июль 2024'!$J$4:$J$1872,H$1)</f>
        <v>0</v>
      </c>
      <c r="I80" s="80">
        <f>SUMIFS('июль 2024'!$G$4:$G$1872,'июль 2024'!$D$4:$D$1872,$B80,'июль 2024'!$J$4:$J$1872,I$1)</f>
        <v>0</v>
      </c>
      <c r="J80" s="80">
        <f>SUMIFS('июль 2024'!$G$4:$G$1872,'июль 2024'!$D$4:$D$1872,$B80,'июль 2024'!$J$4:$J$1872,J$1)</f>
        <v>0</v>
      </c>
      <c r="K80" s="80">
        <f>SUMIFS('июль 2024'!$G$4:$G$1872,'июль 2024'!$D$4:$D$1872,$B80,'июль 2024'!$J$4:$J$1872,K$1)</f>
        <v>0</v>
      </c>
      <c r="L80" s="80">
        <f>SUMIFS('июль 2024'!$G$4:$G$1872,'июль 2024'!$D$4:$D$1872,$B80,'июль 2024'!$J$4:$J$1872,L$1)</f>
        <v>0</v>
      </c>
      <c r="M80" s="80">
        <f>SUMIFS('июль 2024'!$G$4:$G$1872,'июль 2024'!$D$4:$D$1872,$B80,'июль 2024'!$J$4:$J$1872,M$1)</f>
        <v>0</v>
      </c>
      <c r="N80" s="80">
        <f>SUMIFS('июль 2024'!$G$4:$G$1872,'июль 2024'!$D$4:$D$1872,$B80,'июль 2024'!$J$4:$J$1872,N$1)</f>
        <v>0</v>
      </c>
      <c r="O80" s="80">
        <f>SUMIFS('июль 2024'!$G$4:$G$1872,'июль 2024'!$D$4:$D$1872,$B80,'июль 2024'!$J$4:$J$1872,O$1)</f>
        <v>0</v>
      </c>
      <c r="P80" s="80">
        <f>SUMIFS('июль 2024'!$G$4:$G$1872,'июль 2024'!$D$4:$D$1872,$B80,'июль 2024'!$J$4:$J$1872,P$1)</f>
        <v>0</v>
      </c>
      <c r="Q80" s="80">
        <f>SUMIFS('июль 2024'!$G$4:$G$1872,'июль 2024'!$D$4:$D$1872,$B80,'июль 2024'!$J$4:$J$1872,Q$1)</f>
        <v>0</v>
      </c>
      <c r="R80" s="80">
        <f>SUMIFS('июль 2024'!$G$4:$G$1872,'июль 2024'!$D$4:$D$1872,$B80,'июль 2024'!$J$4:$J$1872,R$1)</f>
        <v>0</v>
      </c>
      <c r="S80" s="80">
        <f>SUMIFS('июль 2024'!$G$4:$G$1872,'июль 2024'!$D$4:$D$1872,$B80,'июль 2024'!$J$4:$J$1872,S$1)</f>
        <v>0</v>
      </c>
      <c r="T80" s="80">
        <f>SUMIFS('июль 2024'!$G$4:$G$1872,'июль 2024'!$D$4:$D$1872,$B80,'июль 2024'!$J$4:$J$1872,T$1)</f>
        <v>0</v>
      </c>
      <c r="U80" s="80">
        <f>SUMIFS('июль 2024'!$G$4:$G$1872,'июль 2024'!$D$4:$D$1872,$B80,'июль 2024'!$J$4:$J$1872,U$1)</f>
        <v>0</v>
      </c>
      <c r="V80" s="80">
        <f>SUMIFS('июль 2024'!$G$4:$G$1872,'июль 2024'!$D$4:$D$1872,$B80,'июль 2024'!$J$4:$J$1872,V$1)</f>
        <v>0</v>
      </c>
      <c r="W80" s="80">
        <f>SUMIFS('июль 2024'!$G$4:$G$1872,'июль 2024'!$D$4:$D$1872,$B80,'июль 2024'!$J$4:$J$1872,W$1)</f>
        <v>0</v>
      </c>
      <c r="X80" s="80">
        <f>SUMIFS('июль 2024'!$G$4:$G$1872,'июль 2024'!$D$4:$D$1872,$B80,'июль 2024'!$J$4:$J$1872,X$1)</f>
        <v>0</v>
      </c>
      <c r="Y80" s="80">
        <f>SUMIFS('июль 2024'!$G$4:$G$1872,'июль 2024'!$D$4:$D$1872,$B80,'июль 2024'!$J$4:$J$1872,Y$1)</f>
        <v>0</v>
      </c>
      <c r="Z80" s="80">
        <f>SUMIFS('июль 2024'!$G$4:$G$1872,'июль 2024'!$D$4:$D$1872,$B80,'июль 2024'!$J$4:$J$1872,Z$1)</f>
        <v>134</v>
      </c>
      <c r="AA80" s="80">
        <f>SUMIFS('июль 2024'!$G$4:$G$1872,'июль 2024'!$D$4:$D$1872,$B80,'июль 2024'!$J$4:$J$1872,AA$1)</f>
        <v>0</v>
      </c>
      <c r="AB80" s="80">
        <f>SUMIFS('июль 2024'!$G$4:$G$1872,'июль 2024'!$D$4:$D$1872,$B80,'июль 2024'!$J$4:$J$1872,AB$1)</f>
        <v>0</v>
      </c>
      <c r="AC80" s="80">
        <f>SUMIFS('июль 2024'!$G$4:$G$1872,'июль 2024'!$D$4:$D$1872,$B80,'июль 2024'!$J$4:$J$1872,AC$1)</f>
        <v>0</v>
      </c>
      <c r="AD80" s="80">
        <f>SUMIFS('июль 2024'!$G$4:$G$1872,'июль 2024'!$D$4:$D$1872,$B80,'июль 2024'!$J$4:$J$1872,AD$1)</f>
        <v>0</v>
      </c>
      <c r="AE80" s="80">
        <f>SUMIFS('июль 2024'!$G$4:$G$1872,'июль 2024'!$D$4:$D$1872,$B80,'июль 2024'!$J$4:$J$1872,AE$1)</f>
        <v>0</v>
      </c>
      <c r="AF80" s="80">
        <f>SUMIFS('июль 2024'!$G$4:$G$1872,'июль 2024'!$D$4:$D$1872,$B80,'июль 2024'!$J$4:$J$1872,AF$1)</f>
        <v>0</v>
      </c>
      <c r="AG80" s="80">
        <f>SUMIFS('июль 2024'!$G$4:$G$1872,'июль 2024'!$D$4:$D$1872,$B80,'июль 2024'!$J$4:$J$1872,AG$1)</f>
        <v>0</v>
      </c>
      <c r="AH80" s="80">
        <f>SUMIFS('июль 2024'!$G$4:$G$1872,'июль 2024'!$D$4:$D$1872,$B80,'июль 2024'!$J$4:$J$1872,AH$1)</f>
        <v>0</v>
      </c>
      <c r="AI80" s="21">
        <f t="shared" si="1"/>
        <v>134</v>
      </c>
    </row>
    <row r="81" spans="2:35" ht="15" customHeight="1" x14ac:dyDescent="0.25">
      <c r="B81" s="93" t="s">
        <v>200</v>
      </c>
      <c r="C81" s="91">
        <v>190</v>
      </c>
      <c r="D81" s="80">
        <f>SUMIFS('июль 2024'!$G$4:$G$1872,'июль 2024'!$D$4:$D$1872,$B81,'июль 2024'!$J$4:$J$1872,D$1)</f>
        <v>0</v>
      </c>
      <c r="E81" s="80">
        <f>SUMIFS('июль 2024'!$G$4:$G$1872,'июль 2024'!$D$4:$D$1872,$B81,'июль 2024'!$J$4:$J$1872,E$1)</f>
        <v>0</v>
      </c>
      <c r="F81" s="80">
        <f>SUMIFS('июль 2024'!$G$4:$G$1872,'июль 2024'!$D$4:$D$1872,$B81,'июль 2024'!$J$4:$J$1872,F$1)</f>
        <v>0</v>
      </c>
      <c r="G81" s="80">
        <f>SUMIFS('июль 2024'!$G$4:$G$1872,'июль 2024'!$D$4:$D$1872,$B81,'июль 2024'!$J$4:$J$1872,G$1)</f>
        <v>0</v>
      </c>
      <c r="H81" s="80">
        <f>SUMIFS('июль 2024'!$G$4:$G$1872,'июль 2024'!$D$4:$D$1872,$B81,'июль 2024'!$J$4:$J$1872,H$1)</f>
        <v>0</v>
      </c>
      <c r="I81" s="80">
        <f>SUMIFS('июль 2024'!$G$4:$G$1872,'июль 2024'!$D$4:$D$1872,$B81,'июль 2024'!$J$4:$J$1872,I$1)</f>
        <v>0</v>
      </c>
      <c r="J81" s="80">
        <f>SUMIFS('июль 2024'!$G$4:$G$1872,'июль 2024'!$D$4:$D$1872,$B81,'июль 2024'!$J$4:$J$1872,J$1)</f>
        <v>0</v>
      </c>
      <c r="K81" s="80">
        <f>SUMIFS('июль 2024'!$G$4:$G$1872,'июль 2024'!$D$4:$D$1872,$B81,'июль 2024'!$J$4:$J$1872,K$1)</f>
        <v>0</v>
      </c>
      <c r="L81" s="80">
        <f>SUMIFS('июль 2024'!$G$4:$G$1872,'июль 2024'!$D$4:$D$1872,$B81,'июль 2024'!$J$4:$J$1872,L$1)</f>
        <v>0</v>
      </c>
      <c r="M81" s="80">
        <f>SUMIFS('июль 2024'!$G$4:$G$1872,'июль 2024'!$D$4:$D$1872,$B81,'июль 2024'!$J$4:$J$1872,M$1)</f>
        <v>0</v>
      </c>
      <c r="N81" s="80">
        <f>SUMIFS('июль 2024'!$G$4:$G$1872,'июль 2024'!$D$4:$D$1872,$B81,'июль 2024'!$J$4:$J$1872,N$1)</f>
        <v>0</v>
      </c>
      <c r="O81" s="80">
        <f>SUMIFS('июль 2024'!$G$4:$G$1872,'июль 2024'!$D$4:$D$1872,$B81,'июль 2024'!$J$4:$J$1872,O$1)</f>
        <v>0</v>
      </c>
      <c r="P81" s="80">
        <f>SUMIFS('июль 2024'!$G$4:$G$1872,'июль 2024'!$D$4:$D$1872,$B81,'июль 2024'!$J$4:$J$1872,P$1)</f>
        <v>0</v>
      </c>
      <c r="Q81" s="80">
        <f>SUMIFS('июль 2024'!$G$4:$G$1872,'июль 2024'!$D$4:$D$1872,$B81,'июль 2024'!$J$4:$J$1872,Q$1)</f>
        <v>0</v>
      </c>
      <c r="R81" s="80">
        <f>SUMIFS('июль 2024'!$G$4:$G$1872,'июль 2024'!$D$4:$D$1872,$B81,'июль 2024'!$J$4:$J$1872,R$1)</f>
        <v>0</v>
      </c>
      <c r="S81" s="80">
        <f>SUMIFS('июль 2024'!$G$4:$G$1872,'июль 2024'!$D$4:$D$1872,$B81,'июль 2024'!$J$4:$J$1872,S$1)</f>
        <v>0</v>
      </c>
      <c r="T81" s="80">
        <f>SUMIFS('июль 2024'!$G$4:$G$1872,'июль 2024'!$D$4:$D$1872,$B81,'июль 2024'!$J$4:$J$1872,T$1)</f>
        <v>0</v>
      </c>
      <c r="U81" s="80">
        <f>SUMIFS('июль 2024'!$G$4:$G$1872,'июль 2024'!$D$4:$D$1872,$B81,'июль 2024'!$J$4:$J$1872,U$1)</f>
        <v>0</v>
      </c>
      <c r="V81" s="80">
        <f>SUMIFS('июль 2024'!$G$4:$G$1872,'июль 2024'!$D$4:$D$1872,$B81,'июль 2024'!$J$4:$J$1872,V$1)</f>
        <v>0</v>
      </c>
      <c r="W81" s="80">
        <f>SUMIFS('июль 2024'!$G$4:$G$1872,'июль 2024'!$D$4:$D$1872,$B81,'июль 2024'!$J$4:$J$1872,W$1)</f>
        <v>0</v>
      </c>
      <c r="X81" s="80">
        <f>SUMIFS('июль 2024'!$G$4:$G$1872,'июль 2024'!$D$4:$D$1872,$B81,'июль 2024'!$J$4:$J$1872,X$1)</f>
        <v>0</v>
      </c>
      <c r="Y81" s="80">
        <f>SUMIFS('июль 2024'!$G$4:$G$1872,'июль 2024'!$D$4:$D$1872,$B81,'июль 2024'!$J$4:$J$1872,Y$1)</f>
        <v>0</v>
      </c>
      <c r="Z81" s="80">
        <f>SUMIFS('июль 2024'!$G$4:$G$1872,'июль 2024'!$D$4:$D$1872,$B81,'июль 2024'!$J$4:$J$1872,Z$1)</f>
        <v>0</v>
      </c>
      <c r="AA81" s="80">
        <f>SUMIFS('июль 2024'!$G$4:$G$1872,'июль 2024'!$D$4:$D$1872,$B81,'июль 2024'!$J$4:$J$1872,AA$1)</f>
        <v>0</v>
      </c>
      <c r="AB81" s="80">
        <f>SUMIFS('июль 2024'!$G$4:$G$1872,'июль 2024'!$D$4:$D$1872,$B81,'июль 2024'!$J$4:$J$1872,AB$1)</f>
        <v>0</v>
      </c>
      <c r="AC81" s="80">
        <f>SUMIFS('июль 2024'!$G$4:$G$1872,'июль 2024'!$D$4:$D$1872,$B81,'июль 2024'!$J$4:$J$1872,AC$1)</f>
        <v>0</v>
      </c>
      <c r="AD81" s="80">
        <f>SUMIFS('июль 2024'!$G$4:$G$1872,'июль 2024'!$D$4:$D$1872,$B81,'июль 2024'!$J$4:$J$1872,AD$1)</f>
        <v>0</v>
      </c>
      <c r="AE81" s="80">
        <f>SUMIFS('июль 2024'!$G$4:$G$1872,'июль 2024'!$D$4:$D$1872,$B81,'июль 2024'!$J$4:$J$1872,AE$1)</f>
        <v>0</v>
      </c>
      <c r="AF81" s="80">
        <f>SUMIFS('июль 2024'!$G$4:$G$1872,'июль 2024'!$D$4:$D$1872,$B81,'июль 2024'!$J$4:$J$1872,AF$1)</f>
        <v>0</v>
      </c>
      <c r="AG81" s="80">
        <f>SUMIFS('июль 2024'!$G$4:$G$1872,'июль 2024'!$D$4:$D$1872,$B81,'июль 2024'!$J$4:$J$1872,AG$1)</f>
        <v>0</v>
      </c>
      <c r="AH81" s="80">
        <f>SUMIFS('июль 2024'!$G$4:$G$1872,'июль 2024'!$D$4:$D$1872,$B81,'июль 2024'!$J$4:$J$1872,AH$1)</f>
        <v>0</v>
      </c>
      <c r="AI81" s="21">
        <f t="shared" si="1"/>
        <v>0</v>
      </c>
    </row>
    <row r="82" spans="2:35" ht="15" customHeight="1" x14ac:dyDescent="0.25">
      <c r="B82" s="93" t="s">
        <v>201</v>
      </c>
      <c r="C82" s="91">
        <v>190</v>
      </c>
      <c r="D82" s="80">
        <f>SUMIFS('июль 2024'!$G$4:$G$1872,'июль 2024'!$D$4:$D$1872,$B82,'июль 2024'!$J$4:$J$1872,D$1)</f>
        <v>0</v>
      </c>
      <c r="E82" s="80">
        <f>SUMIFS('июль 2024'!$G$4:$G$1872,'июль 2024'!$D$4:$D$1872,$B82,'июль 2024'!$J$4:$J$1872,E$1)</f>
        <v>0</v>
      </c>
      <c r="F82" s="80">
        <f>SUMIFS('июль 2024'!$G$4:$G$1872,'июль 2024'!$D$4:$D$1872,$B82,'июль 2024'!$J$4:$J$1872,F$1)</f>
        <v>0</v>
      </c>
      <c r="G82" s="80">
        <f>SUMIFS('июль 2024'!$G$4:$G$1872,'июль 2024'!$D$4:$D$1872,$B82,'июль 2024'!$J$4:$J$1872,G$1)</f>
        <v>0</v>
      </c>
      <c r="H82" s="80">
        <f>SUMIFS('июль 2024'!$G$4:$G$1872,'июль 2024'!$D$4:$D$1872,$B82,'июль 2024'!$J$4:$J$1872,H$1)</f>
        <v>0</v>
      </c>
      <c r="I82" s="80">
        <f>SUMIFS('июль 2024'!$G$4:$G$1872,'июль 2024'!$D$4:$D$1872,$B82,'июль 2024'!$J$4:$J$1872,I$1)</f>
        <v>0</v>
      </c>
      <c r="J82" s="80">
        <f>SUMIFS('июль 2024'!$G$4:$G$1872,'июль 2024'!$D$4:$D$1872,$B82,'июль 2024'!$J$4:$J$1872,J$1)</f>
        <v>0</v>
      </c>
      <c r="K82" s="80">
        <f>SUMIFS('июль 2024'!$G$4:$G$1872,'июль 2024'!$D$4:$D$1872,$B82,'июль 2024'!$J$4:$J$1872,K$1)</f>
        <v>0</v>
      </c>
      <c r="L82" s="80">
        <f>SUMIFS('июль 2024'!$G$4:$G$1872,'июль 2024'!$D$4:$D$1872,$B82,'июль 2024'!$J$4:$J$1872,L$1)</f>
        <v>0</v>
      </c>
      <c r="M82" s="80">
        <f>SUMIFS('июль 2024'!$G$4:$G$1872,'июль 2024'!$D$4:$D$1872,$B82,'июль 2024'!$J$4:$J$1872,M$1)</f>
        <v>0</v>
      </c>
      <c r="N82" s="80">
        <f>SUMIFS('июль 2024'!$G$4:$G$1872,'июль 2024'!$D$4:$D$1872,$B82,'июль 2024'!$J$4:$J$1872,N$1)</f>
        <v>0</v>
      </c>
      <c r="O82" s="80">
        <f>SUMIFS('июль 2024'!$G$4:$G$1872,'июль 2024'!$D$4:$D$1872,$B82,'июль 2024'!$J$4:$J$1872,O$1)</f>
        <v>0</v>
      </c>
      <c r="P82" s="80">
        <f>SUMIFS('июль 2024'!$G$4:$G$1872,'июль 2024'!$D$4:$D$1872,$B82,'июль 2024'!$J$4:$J$1872,P$1)</f>
        <v>0</v>
      </c>
      <c r="Q82" s="80">
        <f>SUMIFS('июль 2024'!$G$4:$G$1872,'июль 2024'!$D$4:$D$1872,$B82,'июль 2024'!$J$4:$J$1872,Q$1)</f>
        <v>0</v>
      </c>
      <c r="R82" s="80">
        <f>SUMIFS('июль 2024'!$G$4:$G$1872,'июль 2024'!$D$4:$D$1872,$B82,'июль 2024'!$J$4:$J$1872,R$1)</f>
        <v>0</v>
      </c>
      <c r="S82" s="80">
        <f>SUMIFS('июль 2024'!$G$4:$G$1872,'июль 2024'!$D$4:$D$1872,$B82,'июль 2024'!$J$4:$J$1872,S$1)</f>
        <v>0</v>
      </c>
      <c r="T82" s="80">
        <f>SUMIFS('июль 2024'!$G$4:$G$1872,'июль 2024'!$D$4:$D$1872,$B82,'июль 2024'!$J$4:$J$1872,T$1)</f>
        <v>0</v>
      </c>
      <c r="U82" s="80">
        <f>SUMIFS('июль 2024'!$G$4:$G$1872,'июль 2024'!$D$4:$D$1872,$B82,'июль 2024'!$J$4:$J$1872,U$1)</f>
        <v>0</v>
      </c>
      <c r="V82" s="80">
        <f>SUMIFS('июль 2024'!$G$4:$G$1872,'июль 2024'!$D$4:$D$1872,$B82,'июль 2024'!$J$4:$J$1872,V$1)</f>
        <v>0</v>
      </c>
      <c r="W82" s="80">
        <f>SUMIFS('июль 2024'!$G$4:$G$1872,'июль 2024'!$D$4:$D$1872,$B82,'июль 2024'!$J$4:$J$1872,W$1)</f>
        <v>0</v>
      </c>
      <c r="X82" s="80">
        <f>SUMIFS('июль 2024'!$G$4:$G$1872,'июль 2024'!$D$4:$D$1872,$B82,'июль 2024'!$J$4:$J$1872,X$1)</f>
        <v>0</v>
      </c>
      <c r="Y82" s="80">
        <f>SUMIFS('июль 2024'!$G$4:$G$1872,'июль 2024'!$D$4:$D$1872,$B82,'июль 2024'!$J$4:$J$1872,Y$1)</f>
        <v>0</v>
      </c>
      <c r="Z82" s="80">
        <f>SUMIFS('июль 2024'!$G$4:$G$1872,'июль 2024'!$D$4:$D$1872,$B82,'июль 2024'!$J$4:$J$1872,Z$1)</f>
        <v>0</v>
      </c>
      <c r="AA82" s="80">
        <f>SUMIFS('июль 2024'!$G$4:$G$1872,'июль 2024'!$D$4:$D$1872,$B82,'июль 2024'!$J$4:$J$1872,AA$1)</f>
        <v>0</v>
      </c>
      <c r="AB82" s="80">
        <f>SUMIFS('июль 2024'!$G$4:$G$1872,'июль 2024'!$D$4:$D$1872,$B82,'июль 2024'!$J$4:$J$1872,AB$1)</f>
        <v>0</v>
      </c>
      <c r="AC82" s="80">
        <f>SUMIFS('июль 2024'!$G$4:$G$1872,'июль 2024'!$D$4:$D$1872,$B82,'июль 2024'!$J$4:$J$1872,AC$1)</f>
        <v>0</v>
      </c>
      <c r="AD82" s="80">
        <f>SUMIFS('июль 2024'!$G$4:$G$1872,'июль 2024'!$D$4:$D$1872,$B82,'июль 2024'!$J$4:$J$1872,AD$1)</f>
        <v>0</v>
      </c>
      <c r="AE82" s="80">
        <f>SUMIFS('июль 2024'!$G$4:$G$1872,'июль 2024'!$D$4:$D$1872,$B82,'июль 2024'!$J$4:$J$1872,AE$1)</f>
        <v>0</v>
      </c>
      <c r="AF82" s="80">
        <f>SUMIFS('июль 2024'!$G$4:$G$1872,'июль 2024'!$D$4:$D$1872,$B82,'июль 2024'!$J$4:$J$1872,AF$1)</f>
        <v>0</v>
      </c>
      <c r="AG82" s="80">
        <f>SUMIFS('июль 2024'!$G$4:$G$1872,'июль 2024'!$D$4:$D$1872,$B82,'июль 2024'!$J$4:$J$1872,AG$1)</f>
        <v>0</v>
      </c>
      <c r="AH82" s="80">
        <f>SUMIFS('июль 2024'!$G$4:$G$1872,'июль 2024'!$D$4:$D$1872,$B82,'июль 2024'!$J$4:$J$1872,AH$1)</f>
        <v>0</v>
      </c>
      <c r="AI82" s="21">
        <f t="shared" si="1"/>
        <v>0</v>
      </c>
    </row>
    <row r="83" spans="2:35" ht="15" customHeight="1" x14ac:dyDescent="0.25">
      <c r="B83" s="93" t="s">
        <v>1190</v>
      </c>
      <c r="C83" s="91">
        <v>200</v>
      </c>
      <c r="D83" s="80">
        <f>SUMIFS('июль 2024'!$G$4:$G$1872,'июль 2024'!$D$4:$D$1872,$B83,'июль 2024'!$J$4:$J$1872,D$1)</f>
        <v>0</v>
      </c>
      <c r="E83" s="80">
        <f>SUMIFS('июль 2024'!$G$4:$G$1872,'июль 2024'!$D$4:$D$1872,$B83,'июль 2024'!$J$4:$J$1872,E$1)</f>
        <v>0</v>
      </c>
      <c r="F83" s="80">
        <f>SUMIFS('июль 2024'!$G$4:$G$1872,'июль 2024'!$D$4:$D$1872,$B83,'июль 2024'!$J$4:$J$1872,F$1)</f>
        <v>0</v>
      </c>
      <c r="G83" s="80">
        <f>SUMIFS('июль 2024'!$G$4:$G$1872,'июль 2024'!$D$4:$D$1872,$B83,'июль 2024'!$J$4:$J$1872,G$1)</f>
        <v>0</v>
      </c>
      <c r="H83" s="80">
        <f>SUMIFS('июль 2024'!$G$4:$G$1872,'июль 2024'!$D$4:$D$1872,$B83,'июль 2024'!$J$4:$J$1872,H$1)</f>
        <v>0</v>
      </c>
      <c r="I83" s="80">
        <f>SUMIFS('июль 2024'!$G$4:$G$1872,'июль 2024'!$D$4:$D$1872,$B83,'июль 2024'!$J$4:$J$1872,I$1)</f>
        <v>0</v>
      </c>
      <c r="J83" s="80">
        <f>SUMIFS('июль 2024'!$G$4:$G$1872,'июль 2024'!$D$4:$D$1872,$B83,'июль 2024'!$J$4:$J$1872,J$1)</f>
        <v>0</v>
      </c>
      <c r="K83" s="80">
        <f>SUMIFS('июль 2024'!$G$4:$G$1872,'июль 2024'!$D$4:$D$1872,$B83,'июль 2024'!$J$4:$J$1872,K$1)</f>
        <v>0</v>
      </c>
      <c r="L83" s="80">
        <f>SUMIFS('июль 2024'!$G$4:$G$1872,'июль 2024'!$D$4:$D$1872,$B83,'июль 2024'!$J$4:$J$1872,L$1)</f>
        <v>0</v>
      </c>
      <c r="M83" s="80">
        <f>SUMIFS('июль 2024'!$G$4:$G$1872,'июль 2024'!$D$4:$D$1872,$B83,'июль 2024'!$J$4:$J$1872,M$1)</f>
        <v>0</v>
      </c>
      <c r="N83" s="80">
        <f>SUMIFS('июль 2024'!$G$4:$G$1872,'июль 2024'!$D$4:$D$1872,$B83,'июль 2024'!$J$4:$J$1872,N$1)</f>
        <v>0</v>
      </c>
      <c r="O83" s="80">
        <f>SUMIFS('июль 2024'!$G$4:$G$1872,'июль 2024'!$D$4:$D$1872,$B83,'июль 2024'!$J$4:$J$1872,O$1)</f>
        <v>0</v>
      </c>
      <c r="P83" s="80">
        <f>SUMIFS('июль 2024'!$G$4:$G$1872,'июль 2024'!$D$4:$D$1872,$B83,'июль 2024'!$J$4:$J$1872,P$1)</f>
        <v>0</v>
      </c>
      <c r="Q83" s="80">
        <f>SUMIFS('июль 2024'!$G$4:$G$1872,'июль 2024'!$D$4:$D$1872,$B83,'июль 2024'!$J$4:$J$1872,Q$1)</f>
        <v>0</v>
      </c>
      <c r="R83" s="80">
        <f>SUMIFS('июль 2024'!$G$4:$G$1872,'июль 2024'!$D$4:$D$1872,$B83,'июль 2024'!$J$4:$J$1872,R$1)</f>
        <v>0</v>
      </c>
      <c r="S83" s="80">
        <f>SUMIFS('июль 2024'!$G$4:$G$1872,'июль 2024'!$D$4:$D$1872,$B83,'июль 2024'!$J$4:$J$1872,S$1)</f>
        <v>0</v>
      </c>
      <c r="T83" s="80">
        <f>SUMIFS('июль 2024'!$G$4:$G$1872,'июль 2024'!$D$4:$D$1872,$B83,'июль 2024'!$J$4:$J$1872,T$1)</f>
        <v>0</v>
      </c>
      <c r="U83" s="80">
        <f>SUMIFS('июль 2024'!$G$4:$G$1872,'июль 2024'!$D$4:$D$1872,$B83,'июль 2024'!$J$4:$J$1872,U$1)</f>
        <v>0</v>
      </c>
      <c r="V83" s="80">
        <f>SUMIFS('июль 2024'!$G$4:$G$1872,'июль 2024'!$D$4:$D$1872,$B83,'июль 2024'!$J$4:$J$1872,V$1)</f>
        <v>0</v>
      </c>
      <c r="W83" s="80">
        <f>SUMIFS('июль 2024'!$G$4:$G$1872,'июль 2024'!$D$4:$D$1872,$B83,'июль 2024'!$J$4:$J$1872,W$1)</f>
        <v>0</v>
      </c>
      <c r="X83" s="80">
        <f>SUMIFS('июль 2024'!$G$4:$G$1872,'июль 2024'!$D$4:$D$1872,$B83,'июль 2024'!$J$4:$J$1872,X$1)</f>
        <v>0</v>
      </c>
      <c r="Y83" s="80">
        <f>SUMIFS('июль 2024'!$G$4:$G$1872,'июль 2024'!$D$4:$D$1872,$B83,'июль 2024'!$J$4:$J$1872,Y$1)</f>
        <v>0</v>
      </c>
      <c r="Z83" s="80">
        <f>SUMIFS('июль 2024'!$G$4:$G$1872,'июль 2024'!$D$4:$D$1872,$B83,'июль 2024'!$J$4:$J$1872,Z$1)</f>
        <v>0</v>
      </c>
      <c r="AA83" s="80">
        <f>SUMIFS('июль 2024'!$G$4:$G$1872,'июль 2024'!$D$4:$D$1872,$B83,'июль 2024'!$J$4:$J$1872,AA$1)</f>
        <v>0</v>
      </c>
      <c r="AB83" s="80">
        <f>SUMIFS('июль 2024'!$G$4:$G$1872,'июль 2024'!$D$4:$D$1872,$B83,'июль 2024'!$J$4:$J$1872,AB$1)</f>
        <v>0</v>
      </c>
      <c r="AC83" s="80">
        <f>SUMIFS('июль 2024'!$G$4:$G$1872,'июль 2024'!$D$4:$D$1872,$B83,'июль 2024'!$J$4:$J$1872,AC$1)</f>
        <v>0</v>
      </c>
      <c r="AD83" s="80">
        <f>SUMIFS('июль 2024'!$G$4:$G$1872,'июль 2024'!$D$4:$D$1872,$B83,'июль 2024'!$J$4:$J$1872,AD$1)</f>
        <v>0</v>
      </c>
      <c r="AE83" s="80">
        <f>SUMIFS('июль 2024'!$G$4:$G$1872,'июль 2024'!$D$4:$D$1872,$B83,'июль 2024'!$J$4:$J$1872,AE$1)</f>
        <v>0</v>
      </c>
      <c r="AF83" s="80">
        <f>SUMIFS('июль 2024'!$G$4:$G$1872,'июль 2024'!$D$4:$D$1872,$B83,'июль 2024'!$J$4:$J$1872,AF$1)</f>
        <v>0</v>
      </c>
      <c r="AG83" s="80">
        <f>SUMIFS('июль 2024'!$G$4:$G$1872,'июль 2024'!$D$4:$D$1872,$B83,'июль 2024'!$J$4:$J$1872,AG$1)</f>
        <v>0</v>
      </c>
      <c r="AH83" s="80">
        <f>SUMIFS('июль 2024'!$G$4:$G$1872,'июль 2024'!$D$4:$D$1872,$B83,'июль 2024'!$J$4:$J$1872,AH$1)</f>
        <v>0</v>
      </c>
      <c r="AI83" s="21">
        <f t="shared" si="1"/>
        <v>0</v>
      </c>
    </row>
    <row r="84" spans="2:35" ht="15" customHeight="1" x14ac:dyDescent="0.25">
      <c r="B84" s="93" t="s">
        <v>202</v>
      </c>
      <c r="C84" s="91">
        <v>900</v>
      </c>
      <c r="D84" s="80">
        <f>SUMIFS('июль 2024'!$G$4:$G$1872,'июль 2024'!$D$4:$D$1872,$B84,'июль 2024'!$J$4:$J$1872,D$1)</f>
        <v>0</v>
      </c>
      <c r="E84" s="80">
        <f>SUMIFS('июль 2024'!$G$4:$G$1872,'июль 2024'!$D$4:$D$1872,$B84,'июль 2024'!$J$4:$J$1872,E$1)</f>
        <v>0</v>
      </c>
      <c r="F84" s="80">
        <f>SUMIFS('июль 2024'!$G$4:$G$1872,'июль 2024'!$D$4:$D$1872,$B84,'июль 2024'!$J$4:$J$1872,F$1)</f>
        <v>0</v>
      </c>
      <c r="G84" s="80">
        <f>SUMIFS('июль 2024'!$G$4:$G$1872,'июль 2024'!$D$4:$D$1872,$B84,'июль 2024'!$J$4:$J$1872,G$1)</f>
        <v>0</v>
      </c>
      <c r="H84" s="80">
        <f>SUMIFS('июль 2024'!$G$4:$G$1872,'июль 2024'!$D$4:$D$1872,$B84,'июль 2024'!$J$4:$J$1872,H$1)</f>
        <v>0</v>
      </c>
      <c r="I84" s="80">
        <f>SUMIFS('июль 2024'!$G$4:$G$1872,'июль 2024'!$D$4:$D$1872,$B84,'июль 2024'!$J$4:$J$1872,I$1)</f>
        <v>0</v>
      </c>
      <c r="J84" s="80">
        <f>SUMIFS('июль 2024'!$G$4:$G$1872,'июль 2024'!$D$4:$D$1872,$B84,'июль 2024'!$J$4:$J$1872,J$1)</f>
        <v>0</v>
      </c>
      <c r="K84" s="80">
        <f>SUMIFS('июль 2024'!$G$4:$G$1872,'июль 2024'!$D$4:$D$1872,$B84,'июль 2024'!$J$4:$J$1872,K$1)</f>
        <v>0</v>
      </c>
      <c r="L84" s="80">
        <f>SUMIFS('июль 2024'!$G$4:$G$1872,'июль 2024'!$D$4:$D$1872,$B84,'июль 2024'!$J$4:$J$1872,L$1)</f>
        <v>0</v>
      </c>
      <c r="M84" s="80">
        <f>SUMIFS('июль 2024'!$G$4:$G$1872,'июль 2024'!$D$4:$D$1872,$B84,'июль 2024'!$J$4:$J$1872,M$1)</f>
        <v>0</v>
      </c>
      <c r="N84" s="80">
        <f>SUMIFS('июль 2024'!$G$4:$G$1872,'июль 2024'!$D$4:$D$1872,$B84,'июль 2024'!$J$4:$J$1872,N$1)</f>
        <v>0</v>
      </c>
      <c r="O84" s="80">
        <f>SUMIFS('июль 2024'!$G$4:$G$1872,'июль 2024'!$D$4:$D$1872,$B84,'июль 2024'!$J$4:$J$1872,O$1)</f>
        <v>0</v>
      </c>
      <c r="P84" s="80">
        <f>SUMIFS('июль 2024'!$G$4:$G$1872,'июль 2024'!$D$4:$D$1872,$B84,'июль 2024'!$J$4:$J$1872,P$1)</f>
        <v>0</v>
      </c>
      <c r="Q84" s="80">
        <f>SUMIFS('июль 2024'!$G$4:$G$1872,'июль 2024'!$D$4:$D$1872,$B84,'июль 2024'!$J$4:$J$1872,Q$1)</f>
        <v>0</v>
      </c>
      <c r="R84" s="80">
        <f>SUMIFS('июль 2024'!$G$4:$G$1872,'июль 2024'!$D$4:$D$1872,$B84,'июль 2024'!$J$4:$J$1872,R$1)</f>
        <v>0</v>
      </c>
      <c r="S84" s="80">
        <f>SUMIFS('июль 2024'!$G$4:$G$1872,'июль 2024'!$D$4:$D$1872,$B84,'июль 2024'!$J$4:$J$1872,S$1)</f>
        <v>0</v>
      </c>
      <c r="T84" s="80">
        <f>SUMIFS('июль 2024'!$G$4:$G$1872,'июль 2024'!$D$4:$D$1872,$B84,'июль 2024'!$J$4:$J$1872,T$1)</f>
        <v>0</v>
      </c>
      <c r="U84" s="80">
        <f>SUMIFS('июль 2024'!$G$4:$G$1872,'июль 2024'!$D$4:$D$1872,$B84,'июль 2024'!$J$4:$J$1872,U$1)</f>
        <v>0</v>
      </c>
      <c r="V84" s="80">
        <f>SUMIFS('июль 2024'!$G$4:$G$1872,'июль 2024'!$D$4:$D$1872,$B84,'июль 2024'!$J$4:$J$1872,V$1)</f>
        <v>0</v>
      </c>
      <c r="W84" s="80">
        <f>SUMIFS('июль 2024'!$G$4:$G$1872,'июль 2024'!$D$4:$D$1872,$B84,'июль 2024'!$J$4:$J$1872,W$1)</f>
        <v>0</v>
      </c>
      <c r="X84" s="80">
        <f>SUMIFS('июль 2024'!$G$4:$G$1872,'июль 2024'!$D$4:$D$1872,$B84,'июль 2024'!$J$4:$J$1872,X$1)</f>
        <v>0</v>
      </c>
      <c r="Y84" s="80">
        <f>SUMIFS('июль 2024'!$G$4:$G$1872,'июль 2024'!$D$4:$D$1872,$B84,'июль 2024'!$J$4:$J$1872,Y$1)</f>
        <v>0</v>
      </c>
      <c r="Z84" s="80">
        <f>SUMIFS('июль 2024'!$G$4:$G$1872,'июль 2024'!$D$4:$D$1872,$B84,'июль 2024'!$J$4:$J$1872,Z$1)</f>
        <v>0</v>
      </c>
      <c r="AA84" s="80">
        <f>SUMIFS('июль 2024'!$G$4:$G$1872,'июль 2024'!$D$4:$D$1872,$B84,'июль 2024'!$J$4:$J$1872,AA$1)</f>
        <v>0</v>
      </c>
      <c r="AB84" s="80">
        <f>SUMIFS('июль 2024'!$G$4:$G$1872,'июль 2024'!$D$4:$D$1872,$B84,'июль 2024'!$J$4:$J$1872,AB$1)</f>
        <v>0</v>
      </c>
      <c r="AC84" s="80">
        <f>SUMIFS('июль 2024'!$G$4:$G$1872,'июль 2024'!$D$4:$D$1872,$B84,'июль 2024'!$J$4:$J$1872,AC$1)</f>
        <v>0</v>
      </c>
      <c r="AD84" s="80">
        <f>SUMIFS('июль 2024'!$G$4:$G$1872,'июль 2024'!$D$4:$D$1872,$B84,'июль 2024'!$J$4:$J$1872,AD$1)</f>
        <v>0</v>
      </c>
      <c r="AE84" s="80">
        <f>SUMIFS('июль 2024'!$G$4:$G$1872,'июль 2024'!$D$4:$D$1872,$B84,'июль 2024'!$J$4:$J$1872,AE$1)</f>
        <v>0</v>
      </c>
      <c r="AF84" s="80">
        <f>SUMIFS('июль 2024'!$G$4:$G$1872,'июль 2024'!$D$4:$D$1872,$B84,'июль 2024'!$J$4:$J$1872,AF$1)</f>
        <v>0</v>
      </c>
      <c r="AG84" s="80">
        <f>SUMIFS('июль 2024'!$G$4:$G$1872,'июль 2024'!$D$4:$D$1872,$B84,'июль 2024'!$J$4:$J$1872,AG$1)</f>
        <v>0</v>
      </c>
      <c r="AH84" s="80">
        <f>SUMIFS('июль 2024'!$G$4:$G$1872,'июль 2024'!$D$4:$D$1872,$B84,'июль 2024'!$J$4:$J$1872,AH$1)</f>
        <v>0</v>
      </c>
      <c r="AI84" s="21">
        <f t="shared" si="1"/>
        <v>0</v>
      </c>
    </row>
    <row r="85" spans="2:35" ht="15" customHeight="1" x14ac:dyDescent="0.25">
      <c r="B85" s="89" t="s">
        <v>196</v>
      </c>
      <c r="C85" s="88">
        <v>190</v>
      </c>
      <c r="D85" s="80">
        <f>SUMIFS('июль 2024'!$G$4:$G$1872,'июль 2024'!$D$4:$D$1872,$B85,'июль 2024'!$J$4:$J$1872,D$1)</f>
        <v>0</v>
      </c>
      <c r="E85" s="80">
        <f>SUMIFS('июль 2024'!$G$4:$G$1872,'июль 2024'!$D$4:$D$1872,$B85,'июль 2024'!$J$4:$J$1872,E$1)</f>
        <v>0</v>
      </c>
      <c r="F85" s="80">
        <f>SUMIFS('июль 2024'!$G$4:$G$1872,'июль 2024'!$D$4:$D$1872,$B85,'июль 2024'!$J$4:$J$1872,F$1)</f>
        <v>0</v>
      </c>
      <c r="G85" s="80">
        <f>SUMIFS('июль 2024'!$G$4:$G$1872,'июль 2024'!$D$4:$D$1872,$B85,'июль 2024'!$J$4:$J$1872,G$1)</f>
        <v>0</v>
      </c>
      <c r="H85" s="80">
        <f>SUMIFS('июль 2024'!$G$4:$G$1872,'июль 2024'!$D$4:$D$1872,$B85,'июль 2024'!$J$4:$J$1872,H$1)</f>
        <v>0</v>
      </c>
      <c r="I85" s="80">
        <f>SUMIFS('июль 2024'!$G$4:$G$1872,'июль 2024'!$D$4:$D$1872,$B85,'июль 2024'!$J$4:$J$1872,I$1)</f>
        <v>0</v>
      </c>
      <c r="J85" s="80">
        <f>SUMIFS('июль 2024'!$G$4:$G$1872,'июль 2024'!$D$4:$D$1872,$B85,'июль 2024'!$J$4:$J$1872,J$1)</f>
        <v>0</v>
      </c>
      <c r="K85" s="80">
        <f>SUMIFS('июль 2024'!$G$4:$G$1872,'июль 2024'!$D$4:$D$1872,$B85,'июль 2024'!$J$4:$J$1872,K$1)</f>
        <v>0</v>
      </c>
      <c r="L85" s="80">
        <f>SUMIFS('июль 2024'!$G$4:$G$1872,'июль 2024'!$D$4:$D$1872,$B85,'июль 2024'!$J$4:$J$1872,L$1)</f>
        <v>0</v>
      </c>
      <c r="M85" s="80">
        <f>SUMIFS('июль 2024'!$G$4:$G$1872,'июль 2024'!$D$4:$D$1872,$B85,'июль 2024'!$J$4:$J$1872,M$1)</f>
        <v>0</v>
      </c>
      <c r="N85" s="80">
        <f>SUMIFS('июль 2024'!$G$4:$G$1872,'июль 2024'!$D$4:$D$1872,$B85,'июль 2024'!$J$4:$J$1872,N$1)</f>
        <v>0</v>
      </c>
      <c r="O85" s="80">
        <f>SUMIFS('июль 2024'!$G$4:$G$1872,'июль 2024'!$D$4:$D$1872,$B85,'июль 2024'!$J$4:$J$1872,O$1)</f>
        <v>0</v>
      </c>
      <c r="P85" s="80">
        <f>SUMIFS('июль 2024'!$G$4:$G$1872,'июль 2024'!$D$4:$D$1872,$B85,'июль 2024'!$J$4:$J$1872,P$1)</f>
        <v>0</v>
      </c>
      <c r="Q85" s="80">
        <f>SUMIFS('июль 2024'!$G$4:$G$1872,'июль 2024'!$D$4:$D$1872,$B85,'июль 2024'!$J$4:$J$1872,Q$1)</f>
        <v>0</v>
      </c>
      <c r="R85" s="80">
        <f>SUMIFS('июль 2024'!$G$4:$G$1872,'июль 2024'!$D$4:$D$1872,$B85,'июль 2024'!$J$4:$J$1872,R$1)</f>
        <v>0</v>
      </c>
      <c r="S85" s="80">
        <f>SUMIFS('июль 2024'!$G$4:$G$1872,'июль 2024'!$D$4:$D$1872,$B85,'июль 2024'!$J$4:$J$1872,S$1)</f>
        <v>0</v>
      </c>
      <c r="T85" s="80">
        <f>SUMIFS('июль 2024'!$G$4:$G$1872,'июль 2024'!$D$4:$D$1872,$B85,'июль 2024'!$J$4:$J$1872,T$1)</f>
        <v>0</v>
      </c>
      <c r="U85" s="80">
        <f>SUMIFS('июль 2024'!$G$4:$G$1872,'июль 2024'!$D$4:$D$1872,$B85,'июль 2024'!$J$4:$J$1872,U$1)</f>
        <v>0</v>
      </c>
      <c r="V85" s="80">
        <f>SUMIFS('июль 2024'!$G$4:$G$1872,'июль 2024'!$D$4:$D$1872,$B85,'июль 2024'!$J$4:$J$1872,V$1)</f>
        <v>0</v>
      </c>
      <c r="W85" s="80">
        <f>SUMIFS('июль 2024'!$G$4:$G$1872,'июль 2024'!$D$4:$D$1872,$B85,'июль 2024'!$J$4:$J$1872,W$1)</f>
        <v>0</v>
      </c>
      <c r="X85" s="80">
        <f>SUMIFS('июль 2024'!$G$4:$G$1872,'июль 2024'!$D$4:$D$1872,$B85,'июль 2024'!$J$4:$J$1872,X$1)</f>
        <v>0</v>
      </c>
      <c r="Y85" s="80">
        <f>SUMIFS('июль 2024'!$G$4:$G$1872,'июль 2024'!$D$4:$D$1872,$B85,'июль 2024'!$J$4:$J$1872,Y$1)</f>
        <v>0</v>
      </c>
      <c r="Z85" s="80">
        <f>SUMIFS('июль 2024'!$G$4:$G$1872,'июль 2024'!$D$4:$D$1872,$B85,'июль 2024'!$J$4:$J$1872,Z$1)</f>
        <v>0</v>
      </c>
      <c r="AA85" s="80">
        <f>SUMIFS('июль 2024'!$G$4:$G$1872,'июль 2024'!$D$4:$D$1872,$B85,'июль 2024'!$J$4:$J$1872,AA$1)</f>
        <v>0</v>
      </c>
      <c r="AB85" s="80">
        <f>SUMIFS('июль 2024'!$G$4:$G$1872,'июль 2024'!$D$4:$D$1872,$B85,'июль 2024'!$J$4:$J$1872,AB$1)</f>
        <v>0</v>
      </c>
      <c r="AC85" s="80">
        <f>SUMIFS('июль 2024'!$G$4:$G$1872,'июль 2024'!$D$4:$D$1872,$B85,'июль 2024'!$J$4:$J$1872,AC$1)</f>
        <v>0</v>
      </c>
      <c r="AD85" s="80">
        <f>SUMIFS('июль 2024'!$G$4:$G$1872,'июль 2024'!$D$4:$D$1872,$B85,'июль 2024'!$J$4:$J$1872,AD$1)</f>
        <v>0</v>
      </c>
      <c r="AE85" s="80">
        <f>SUMIFS('июль 2024'!$G$4:$G$1872,'июль 2024'!$D$4:$D$1872,$B85,'июль 2024'!$J$4:$J$1872,AE$1)</f>
        <v>0</v>
      </c>
      <c r="AF85" s="80">
        <f>SUMIFS('июль 2024'!$G$4:$G$1872,'июль 2024'!$D$4:$D$1872,$B85,'июль 2024'!$J$4:$J$1872,AF$1)</f>
        <v>0</v>
      </c>
      <c r="AG85" s="80">
        <f>SUMIFS('июль 2024'!$G$4:$G$1872,'июль 2024'!$D$4:$D$1872,$B85,'июль 2024'!$J$4:$J$1872,AG$1)</f>
        <v>0</v>
      </c>
      <c r="AH85" s="80">
        <f>SUMIFS('июль 2024'!$G$4:$G$1872,'июль 2024'!$D$4:$D$1872,$B85,'июль 2024'!$J$4:$J$1872,AH$1)</f>
        <v>0</v>
      </c>
      <c r="AI85" s="21">
        <f t="shared" si="1"/>
        <v>0</v>
      </c>
    </row>
    <row r="86" spans="2:35" ht="15" customHeight="1" x14ac:dyDescent="0.25">
      <c r="B86" s="89" t="s">
        <v>217</v>
      </c>
      <c r="C86" s="88">
        <v>190</v>
      </c>
      <c r="D86" s="80">
        <f>SUMIFS('июль 2024'!$G$4:$G$1872,'июль 2024'!$D$4:$D$1872,$B86,'июль 2024'!$J$4:$J$1872,D$1)</f>
        <v>0</v>
      </c>
      <c r="E86" s="80">
        <f>SUMIFS('июль 2024'!$G$4:$G$1872,'июль 2024'!$D$4:$D$1872,$B86,'июль 2024'!$J$4:$J$1872,E$1)</f>
        <v>0</v>
      </c>
      <c r="F86" s="80">
        <f>SUMIFS('июль 2024'!$G$4:$G$1872,'июль 2024'!$D$4:$D$1872,$B86,'июль 2024'!$J$4:$J$1872,F$1)</f>
        <v>0</v>
      </c>
      <c r="G86" s="80">
        <f>SUMIFS('июль 2024'!$G$4:$G$1872,'июль 2024'!$D$4:$D$1872,$B86,'июль 2024'!$J$4:$J$1872,G$1)</f>
        <v>0</v>
      </c>
      <c r="H86" s="80">
        <f>SUMIFS('июль 2024'!$G$4:$G$1872,'июль 2024'!$D$4:$D$1872,$B86,'июль 2024'!$J$4:$J$1872,H$1)</f>
        <v>0</v>
      </c>
      <c r="I86" s="80">
        <f>SUMIFS('июль 2024'!$G$4:$G$1872,'июль 2024'!$D$4:$D$1872,$B86,'июль 2024'!$J$4:$J$1872,I$1)</f>
        <v>0</v>
      </c>
      <c r="J86" s="80">
        <f>SUMIFS('июль 2024'!$G$4:$G$1872,'июль 2024'!$D$4:$D$1872,$B86,'июль 2024'!$J$4:$J$1872,J$1)</f>
        <v>0</v>
      </c>
      <c r="K86" s="80">
        <f>SUMIFS('июль 2024'!$G$4:$G$1872,'июль 2024'!$D$4:$D$1872,$B86,'июль 2024'!$J$4:$J$1872,K$1)</f>
        <v>0</v>
      </c>
      <c r="L86" s="80">
        <f>SUMIFS('июль 2024'!$G$4:$G$1872,'июль 2024'!$D$4:$D$1872,$B86,'июль 2024'!$J$4:$J$1872,L$1)</f>
        <v>0</v>
      </c>
      <c r="M86" s="80">
        <f>SUMIFS('июль 2024'!$G$4:$G$1872,'июль 2024'!$D$4:$D$1872,$B86,'июль 2024'!$J$4:$J$1872,M$1)</f>
        <v>0</v>
      </c>
      <c r="N86" s="80">
        <f>SUMIFS('июль 2024'!$G$4:$G$1872,'июль 2024'!$D$4:$D$1872,$B86,'июль 2024'!$J$4:$J$1872,N$1)</f>
        <v>0</v>
      </c>
      <c r="O86" s="80">
        <f>SUMIFS('июль 2024'!$G$4:$G$1872,'июль 2024'!$D$4:$D$1872,$B86,'июль 2024'!$J$4:$J$1872,O$1)</f>
        <v>0</v>
      </c>
      <c r="P86" s="80">
        <f>SUMIFS('июль 2024'!$G$4:$G$1872,'июль 2024'!$D$4:$D$1872,$B86,'июль 2024'!$J$4:$J$1872,P$1)</f>
        <v>0</v>
      </c>
      <c r="Q86" s="80">
        <f>SUMIFS('июль 2024'!$G$4:$G$1872,'июль 2024'!$D$4:$D$1872,$B86,'июль 2024'!$J$4:$J$1872,Q$1)</f>
        <v>0</v>
      </c>
      <c r="R86" s="80">
        <f>SUMIFS('июль 2024'!$G$4:$G$1872,'июль 2024'!$D$4:$D$1872,$B86,'июль 2024'!$J$4:$J$1872,R$1)</f>
        <v>0</v>
      </c>
      <c r="S86" s="80">
        <f>SUMIFS('июль 2024'!$G$4:$G$1872,'июль 2024'!$D$4:$D$1872,$B86,'июль 2024'!$J$4:$J$1872,S$1)</f>
        <v>0</v>
      </c>
      <c r="T86" s="80">
        <f>SUMIFS('июль 2024'!$G$4:$G$1872,'июль 2024'!$D$4:$D$1872,$B86,'июль 2024'!$J$4:$J$1872,T$1)</f>
        <v>0</v>
      </c>
      <c r="U86" s="80">
        <f>SUMIFS('июль 2024'!$G$4:$G$1872,'июль 2024'!$D$4:$D$1872,$B86,'июль 2024'!$J$4:$J$1872,U$1)</f>
        <v>0</v>
      </c>
      <c r="V86" s="80">
        <f>SUMIFS('июль 2024'!$G$4:$G$1872,'июль 2024'!$D$4:$D$1872,$B86,'июль 2024'!$J$4:$J$1872,V$1)</f>
        <v>0</v>
      </c>
      <c r="W86" s="80">
        <f>SUMIFS('июль 2024'!$G$4:$G$1872,'июль 2024'!$D$4:$D$1872,$B86,'июль 2024'!$J$4:$J$1872,W$1)</f>
        <v>0</v>
      </c>
      <c r="X86" s="80">
        <f>SUMIFS('июль 2024'!$G$4:$G$1872,'июль 2024'!$D$4:$D$1872,$B86,'июль 2024'!$J$4:$J$1872,X$1)</f>
        <v>0</v>
      </c>
      <c r="Y86" s="80">
        <f>SUMIFS('июль 2024'!$G$4:$G$1872,'июль 2024'!$D$4:$D$1872,$B86,'июль 2024'!$J$4:$J$1872,Y$1)</f>
        <v>0</v>
      </c>
      <c r="Z86" s="80">
        <f>SUMIFS('июль 2024'!$G$4:$G$1872,'июль 2024'!$D$4:$D$1872,$B86,'июль 2024'!$J$4:$J$1872,Z$1)</f>
        <v>0</v>
      </c>
      <c r="AA86" s="80">
        <f>SUMIFS('июль 2024'!$G$4:$G$1872,'июль 2024'!$D$4:$D$1872,$B86,'июль 2024'!$J$4:$J$1872,AA$1)</f>
        <v>0</v>
      </c>
      <c r="AB86" s="80">
        <f>SUMIFS('июль 2024'!$G$4:$G$1872,'июль 2024'!$D$4:$D$1872,$B86,'июль 2024'!$J$4:$J$1872,AB$1)</f>
        <v>0</v>
      </c>
      <c r="AC86" s="80">
        <f>SUMIFS('июль 2024'!$G$4:$G$1872,'июль 2024'!$D$4:$D$1872,$B86,'июль 2024'!$J$4:$J$1872,AC$1)</f>
        <v>0</v>
      </c>
      <c r="AD86" s="80">
        <f>SUMIFS('июль 2024'!$G$4:$G$1872,'июль 2024'!$D$4:$D$1872,$B86,'июль 2024'!$J$4:$J$1872,AD$1)</f>
        <v>0</v>
      </c>
      <c r="AE86" s="80">
        <f>SUMIFS('июль 2024'!$G$4:$G$1872,'июль 2024'!$D$4:$D$1872,$B86,'июль 2024'!$J$4:$J$1872,AE$1)</f>
        <v>0</v>
      </c>
      <c r="AF86" s="80">
        <f>SUMIFS('июль 2024'!$G$4:$G$1872,'июль 2024'!$D$4:$D$1872,$B86,'июль 2024'!$J$4:$J$1872,AF$1)</f>
        <v>0</v>
      </c>
      <c r="AG86" s="80">
        <f>SUMIFS('июль 2024'!$G$4:$G$1872,'июль 2024'!$D$4:$D$1872,$B86,'июль 2024'!$J$4:$J$1872,AG$1)</f>
        <v>0</v>
      </c>
      <c r="AH86" s="80">
        <f>SUMIFS('июль 2024'!$G$4:$G$1872,'июль 2024'!$D$4:$D$1872,$B86,'июль 2024'!$J$4:$J$1872,AH$1)</f>
        <v>0</v>
      </c>
      <c r="AI86" s="21">
        <f t="shared" si="1"/>
        <v>0</v>
      </c>
    </row>
    <row r="87" spans="2:35" ht="15" customHeight="1" x14ac:dyDescent="0.25">
      <c r="B87" s="93" t="s">
        <v>179</v>
      </c>
      <c r="C87" s="88">
        <v>190</v>
      </c>
      <c r="D87" s="80">
        <f>SUMIFS('июль 2024'!$G$4:$G$1872,'июль 2024'!$D$4:$D$1872,$B87,'июль 2024'!$J$4:$J$1872,D$1)</f>
        <v>0</v>
      </c>
      <c r="E87" s="80">
        <f>SUMIFS('июль 2024'!$G$4:$G$1872,'июль 2024'!$D$4:$D$1872,$B87,'июль 2024'!$J$4:$J$1872,E$1)</f>
        <v>0</v>
      </c>
      <c r="F87" s="80">
        <f>SUMIFS('июль 2024'!$G$4:$G$1872,'июль 2024'!$D$4:$D$1872,$B87,'июль 2024'!$J$4:$J$1872,F$1)</f>
        <v>0</v>
      </c>
      <c r="G87" s="80">
        <f>SUMIFS('июль 2024'!$G$4:$G$1872,'июль 2024'!$D$4:$D$1872,$B87,'июль 2024'!$J$4:$J$1872,G$1)</f>
        <v>0</v>
      </c>
      <c r="H87" s="80">
        <f>SUMIFS('июль 2024'!$G$4:$G$1872,'июль 2024'!$D$4:$D$1872,$B87,'июль 2024'!$J$4:$J$1872,H$1)</f>
        <v>0</v>
      </c>
      <c r="I87" s="80">
        <f>SUMIFS('июль 2024'!$G$4:$G$1872,'июль 2024'!$D$4:$D$1872,$B87,'июль 2024'!$J$4:$J$1872,I$1)</f>
        <v>0</v>
      </c>
      <c r="J87" s="80">
        <f>SUMIFS('июль 2024'!$G$4:$G$1872,'июль 2024'!$D$4:$D$1872,$B87,'июль 2024'!$J$4:$J$1872,J$1)</f>
        <v>0</v>
      </c>
      <c r="K87" s="80">
        <f>SUMIFS('июль 2024'!$G$4:$G$1872,'июль 2024'!$D$4:$D$1872,$B87,'июль 2024'!$J$4:$J$1872,K$1)</f>
        <v>0</v>
      </c>
      <c r="L87" s="80">
        <f>SUMIFS('июль 2024'!$G$4:$G$1872,'июль 2024'!$D$4:$D$1872,$B87,'июль 2024'!$J$4:$J$1872,L$1)</f>
        <v>0</v>
      </c>
      <c r="M87" s="80">
        <f>SUMIFS('июль 2024'!$G$4:$G$1872,'июль 2024'!$D$4:$D$1872,$B87,'июль 2024'!$J$4:$J$1872,M$1)</f>
        <v>0</v>
      </c>
      <c r="N87" s="80">
        <f>SUMIFS('июль 2024'!$G$4:$G$1872,'июль 2024'!$D$4:$D$1872,$B87,'июль 2024'!$J$4:$J$1872,N$1)</f>
        <v>0</v>
      </c>
      <c r="O87" s="80">
        <f>SUMIFS('июль 2024'!$G$4:$G$1872,'июль 2024'!$D$4:$D$1872,$B87,'июль 2024'!$J$4:$J$1872,O$1)</f>
        <v>0</v>
      </c>
      <c r="P87" s="80">
        <f>SUMIFS('июль 2024'!$G$4:$G$1872,'июль 2024'!$D$4:$D$1872,$B87,'июль 2024'!$J$4:$J$1872,P$1)</f>
        <v>0</v>
      </c>
      <c r="Q87" s="80">
        <f>SUMIFS('июль 2024'!$G$4:$G$1872,'июль 2024'!$D$4:$D$1872,$B87,'июль 2024'!$J$4:$J$1872,Q$1)</f>
        <v>0</v>
      </c>
      <c r="R87" s="80">
        <f>SUMIFS('июль 2024'!$G$4:$G$1872,'июль 2024'!$D$4:$D$1872,$B87,'июль 2024'!$J$4:$J$1872,R$1)</f>
        <v>0</v>
      </c>
      <c r="S87" s="80">
        <f>SUMIFS('июль 2024'!$G$4:$G$1872,'июль 2024'!$D$4:$D$1872,$B87,'июль 2024'!$J$4:$J$1872,S$1)</f>
        <v>0</v>
      </c>
      <c r="T87" s="80">
        <f>SUMIFS('июль 2024'!$G$4:$G$1872,'июль 2024'!$D$4:$D$1872,$B87,'июль 2024'!$J$4:$J$1872,T$1)</f>
        <v>0</v>
      </c>
      <c r="U87" s="80">
        <f>SUMIFS('июль 2024'!$G$4:$G$1872,'июль 2024'!$D$4:$D$1872,$B87,'июль 2024'!$J$4:$J$1872,U$1)</f>
        <v>0</v>
      </c>
      <c r="V87" s="80">
        <f>SUMIFS('июль 2024'!$G$4:$G$1872,'июль 2024'!$D$4:$D$1872,$B87,'июль 2024'!$J$4:$J$1872,V$1)</f>
        <v>0</v>
      </c>
      <c r="W87" s="80">
        <f>SUMIFS('июль 2024'!$G$4:$G$1872,'июль 2024'!$D$4:$D$1872,$B87,'июль 2024'!$J$4:$J$1872,W$1)</f>
        <v>0</v>
      </c>
      <c r="X87" s="80">
        <f>SUMIFS('июль 2024'!$G$4:$G$1872,'июль 2024'!$D$4:$D$1872,$B87,'июль 2024'!$J$4:$J$1872,X$1)</f>
        <v>0</v>
      </c>
      <c r="Y87" s="80">
        <f>SUMIFS('июль 2024'!$G$4:$G$1872,'июль 2024'!$D$4:$D$1872,$B87,'июль 2024'!$J$4:$J$1872,Y$1)</f>
        <v>0</v>
      </c>
      <c r="Z87" s="80">
        <f>SUMIFS('июль 2024'!$G$4:$G$1872,'июль 2024'!$D$4:$D$1872,$B87,'июль 2024'!$J$4:$J$1872,Z$1)</f>
        <v>0</v>
      </c>
      <c r="AA87" s="80">
        <f>SUMIFS('июль 2024'!$G$4:$G$1872,'июль 2024'!$D$4:$D$1872,$B87,'июль 2024'!$J$4:$J$1872,AA$1)</f>
        <v>0</v>
      </c>
      <c r="AB87" s="80">
        <f>SUMIFS('июль 2024'!$G$4:$G$1872,'июль 2024'!$D$4:$D$1872,$B87,'июль 2024'!$J$4:$J$1872,AB$1)</f>
        <v>0</v>
      </c>
      <c r="AC87" s="80">
        <f>SUMIFS('июль 2024'!$G$4:$G$1872,'июль 2024'!$D$4:$D$1872,$B87,'июль 2024'!$J$4:$J$1872,AC$1)</f>
        <v>0</v>
      </c>
      <c r="AD87" s="80">
        <f>SUMIFS('июль 2024'!$G$4:$G$1872,'июль 2024'!$D$4:$D$1872,$B87,'июль 2024'!$J$4:$J$1872,AD$1)</f>
        <v>0</v>
      </c>
      <c r="AE87" s="80">
        <f>SUMIFS('июль 2024'!$G$4:$G$1872,'июль 2024'!$D$4:$D$1872,$B87,'июль 2024'!$J$4:$J$1872,AE$1)</f>
        <v>0</v>
      </c>
      <c r="AF87" s="80">
        <f>SUMIFS('июль 2024'!$G$4:$G$1872,'июль 2024'!$D$4:$D$1872,$B87,'июль 2024'!$J$4:$J$1872,AF$1)</f>
        <v>0</v>
      </c>
      <c r="AG87" s="80">
        <f>SUMIFS('июль 2024'!$G$4:$G$1872,'июль 2024'!$D$4:$D$1872,$B87,'июль 2024'!$J$4:$J$1872,AG$1)</f>
        <v>0</v>
      </c>
      <c r="AH87" s="80">
        <f>SUMIFS('июль 2024'!$G$4:$G$1872,'июль 2024'!$D$4:$D$1872,$B87,'июль 2024'!$J$4:$J$1872,AH$1)</f>
        <v>0</v>
      </c>
      <c r="AI87" s="21">
        <f t="shared" si="1"/>
        <v>0</v>
      </c>
    </row>
    <row r="88" spans="2:35" ht="15" customHeight="1" x14ac:dyDescent="0.25">
      <c r="B88" s="93" t="s">
        <v>192</v>
      </c>
      <c r="C88" s="91">
        <v>180</v>
      </c>
      <c r="D88" s="80">
        <f>SUMIFS('июль 2024'!$G$4:$G$1872,'июль 2024'!$D$4:$D$1872,$B88,'июль 2024'!$J$4:$J$1872,D$1)</f>
        <v>0</v>
      </c>
      <c r="E88" s="80">
        <f>SUMIFS('июль 2024'!$G$4:$G$1872,'июль 2024'!$D$4:$D$1872,$B88,'июль 2024'!$J$4:$J$1872,E$1)</f>
        <v>0</v>
      </c>
      <c r="F88" s="80">
        <f>SUMIFS('июль 2024'!$G$4:$G$1872,'июль 2024'!$D$4:$D$1872,$B88,'июль 2024'!$J$4:$J$1872,F$1)</f>
        <v>0</v>
      </c>
      <c r="G88" s="80">
        <f>SUMIFS('июль 2024'!$G$4:$G$1872,'июль 2024'!$D$4:$D$1872,$B88,'июль 2024'!$J$4:$J$1872,G$1)</f>
        <v>0</v>
      </c>
      <c r="H88" s="80">
        <f>SUMIFS('июль 2024'!$G$4:$G$1872,'июль 2024'!$D$4:$D$1872,$B88,'июль 2024'!$J$4:$J$1872,H$1)</f>
        <v>0</v>
      </c>
      <c r="I88" s="80">
        <f>SUMIFS('июль 2024'!$G$4:$G$1872,'июль 2024'!$D$4:$D$1872,$B88,'июль 2024'!$J$4:$J$1872,I$1)</f>
        <v>0</v>
      </c>
      <c r="J88" s="80">
        <f>SUMIFS('июль 2024'!$G$4:$G$1872,'июль 2024'!$D$4:$D$1872,$B88,'июль 2024'!$J$4:$J$1872,J$1)</f>
        <v>0</v>
      </c>
      <c r="K88" s="80">
        <f>SUMIFS('июль 2024'!$G$4:$G$1872,'июль 2024'!$D$4:$D$1872,$B88,'июль 2024'!$J$4:$J$1872,K$1)</f>
        <v>0</v>
      </c>
      <c r="L88" s="80">
        <f>SUMIFS('июль 2024'!$G$4:$G$1872,'июль 2024'!$D$4:$D$1872,$B88,'июль 2024'!$J$4:$J$1872,L$1)</f>
        <v>0</v>
      </c>
      <c r="M88" s="80">
        <f>SUMIFS('июль 2024'!$G$4:$G$1872,'июль 2024'!$D$4:$D$1872,$B88,'июль 2024'!$J$4:$J$1872,M$1)</f>
        <v>0</v>
      </c>
      <c r="N88" s="80">
        <f>SUMIFS('июль 2024'!$G$4:$G$1872,'июль 2024'!$D$4:$D$1872,$B88,'июль 2024'!$J$4:$J$1872,N$1)</f>
        <v>0</v>
      </c>
      <c r="O88" s="80">
        <f>SUMIFS('июль 2024'!$G$4:$G$1872,'июль 2024'!$D$4:$D$1872,$B88,'июль 2024'!$J$4:$J$1872,O$1)</f>
        <v>0</v>
      </c>
      <c r="P88" s="80">
        <f>SUMIFS('июль 2024'!$G$4:$G$1872,'июль 2024'!$D$4:$D$1872,$B88,'июль 2024'!$J$4:$J$1872,P$1)</f>
        <v>0</v>
      </c>
      <c r="Q88" s="80">
        <f>SUMIFS('июль 2024'!$G$4:$G$1872,'июль 2024'!$D$4:$D$1872,$B88,'июль 2024'!$J$4:$J$1872,Q$1)</f>
        <v>0</v>
      </c>
      <c r="R88" s="80">
        <f>SUMIFS('июль 2024'!$G$4:$G$1872,'июль 2024'!$D$4:$D$1872,$B88,'июль 2024'!$J$4:$J$1872,R$1)</f>
        <v>0</v>
      </c>
      <c r="S88" s="80">
        <f>SUMIFS('июль 2024'!$G$4:$G$1872,'июль 2024'!$D$4:$D$1872,$B88,'июль 2024'!$J$4:$J$1872,S$1)</f>
        <v>0</v>
      </c>
      <c r="T88" s="80">
        <f>SUMIFS('июль 2024'!$G$4:$G$1872,'июль 2024'!$D$4:$D$1872,$B88,'июль 2024'!$J$4:$J$1872,T$1)</f>
        <v>0</v>
      </c>
      <c r="U88" s="80">
        <f>SUMIFS('июль 2024'!$G$4:$G$1872,'июль 2024'!$D$4:$D$1872,$B88,'июль 2024'!$J$4:$J$1872,U$1)</f>
        <v>0</v>
      </c>
      <c r="V88" s="80">
        <f>SUMIFS('июль 2024'!$G$4:$G$1872,'июль 2024'!$D$4:$D$1872,$B88,'июль 2024'!$J$4:$J$1872,V$1)</f>
        <v>0</v>
      </c>
      <c r="W88" s="80">
        <f>SUMIFS('июль 2024'!$G$4:$G$1872,'июль 2024'!$D$4:$D$1872,$B88,'июль 2024'!$J$4:$J$1872,W$1)</f>
        <v>0</v>
      </c>
      <c r="X88" s="80">
        <f>SUMIFS('июль 2024'!$G$4:$G$1872,'июль 2024'!$D$4:$D$1872,$B88,'июль 2024'!$J$4:$J$1872,X$1)</f>
        <v>0</v>
      </c>
      <c r="Y88" s="80">
        <f>SUMIFS('июль 2024'!$G$4:$G$1872,'июль 2024'!$D$4:$D$1872,$B88,'июль 2024'!$J$4:$J$1872,Y$1)</f>
        <v>0</v>
      </c>
      <c r="Z88" s="80">
        <f>SUMIFS('июль 2024'!$G$4:$G$1872,'июль 2024'!$D$4:$D$1872,$B88,'июль 2024'!$J$4:$J$1872,Z$1)</f>
        <v>0</v>
      </c>
      <c r="AA88" s="80">
        <f>SUMIFS('июль 2024'!$G$4:$G$1872,'июль 2024'!$D$4:$D$1872,$B88,'июль 2024'!$J$4:$J$1872,AA$1)</f>
        <v>0</v>
      </c>
      <c r="AB88" s="80">
        <f>SUMIFS('июль 2024'!$G$4:$G$1872,'июль 2024'!$D$4:$D$1872,$B88,'июль 2024'!$J$4:$J$1872,AB$1)</f>
        <v>0</v>
      </c>
      <c r="AC88" s="80">
        <f>SUMIFS('июль 2024'!$G$4:$G$1872,'июль 2024'!$D$4:$D$1872,$B88,'июль 2024'!$J$4:$J$1872,AC$1)</f>
        <v>0</v>
      </c>
      <c r="AD88" s="80">
        <f>SUMIFS('июль 2024'!$G$4:$G$1872,'июль 2024'!$D$4:$D$1872,$B88,'июль 2024'!$J$4:$J$1872,AD$1)</f>
        <v>0</v>
      </c>
      <c r="AE88" s="80">
        <f>SUMIFS('июль 2024'!$G$4:$G$1872,'июль 2024'!$D$4:$D$1872,$B88,'июль 2024'!$J$4:$J$1872,AE$1)</f>
        <v>0</v>
      </c>
      <c r="AF88" s="80">
        <f>SUMIFS('июль 2024'!$G$4:$G$1872,'июль 2024'!$D$4:$D$1872,$B88,'июль 2024'!$J$4:$J$1872,AF$1)</f>
        <v>0</v>
      </c>
      <c r="AG88" s="80">
        <f>SUMIFS('июль 2024'!$G$4:$G$1872,'июль 2024'!$D$4:$D$1872,$B88,'июль 2024'!$J$4:$J$1872,AG$1)</f>
        <v>0</v>
      </c>
      <c r="AH88" s="80">
        <f>SUMIFS('июль 2024'!$G$4:$G$1872,'июль 2024'!$D$4:$D$1872,$B88,'июль 2024'!$J$4:$J$1872,AH$1)</f>
        <v>0</v>
      </c>
      <c r="AI88" s="21">
        <f t="shared" si="1"/>
        <v>0</v>
      </c>
    </row>
    <row r="89" spans="2:35" ht="15" customHeight="1" x14ac:dyDescent="0.25">
      <c r="B89" s="93" t="s">
        <v>887</v>
      </c>
      <c r="C89" s="91">
        <v>190</v>
      </c>
      <c r="D89" s="80">
        <f>SUMIFS('июль 2024'!$G$4:$G$1872,'июль 2024'!$D$4:$D$1872,$B89,'июль 2024'!$J$4:$J$1872,D$1)</f>
        <v>0</v>
      </c>
      <c r="E89" s="80">
        <f>SUMIFS('июль 2024'!$G$4:$G$1872,'июль 2024'!$D$4:$D$1872,$B89,'июль 2024'!$J$4:$J$1872,E$1)</f>
        <v>0</v>
      </c>
      <c r="F89" s="80">
        <f>SUMIFS('июль 2024'!$G$4:$G$1872,'июль 2024'!$D$4:$D$1872,$B89,'июль 2024'!$J$4:$J$1872,F$1)</f>
        <v>0</v>
      </c>
      <c r="G89" s="80">
        <f>SUMIFS('июль 2024'!$G$4:$G$1872,'июль 2024'!$D$4:$D$1872,$B89,'июль 2024'!$J$4:$J$1872,G$1)</f>
        <v>0</v>
      </c>
      <c r="H89" s="80">
        <f>SUMIFS('июль 2024'!$G$4:$G$1872,'июль 2024'!$D$4:$D$1872,$B89,'июль 2024'!$J$4:$J$1872,H$1)</f>
        <v>0</v>
      </c>
      <c r="I89" s="80">
        <f>SUMIFS('июль 2024'!$G$4:$G$1872,'июль 2024'!$D$4:$D$1872,$B89,'июль 2024'!$J$4:$J$1872,I$1)</f>
        <v>0</v>
      </c>
      <c r="J89" s="80">
        <f>SUMIFS('июль 2024'!$G$4:$G$1872,'июль 2024'!$D$4:$D$1872,$B89,'июль 2024'!$J$4:$J$1872,J$1)</f>
        <v>0</v>
      </c>
      <c r="K89" s="80">
        <f>SUMIFS('июль 2024'!$G$4:$G$1872,'июль 2024'!$D$4:$D$1872,$B89,'июль 2024'!$J$4:$J$1872,K$1)</f>
        <v>0</v>
      </c>
      <c r="L89" s="80">
        <f>SUMIFS('июль 2024'!$G$4:$G$1872,'июль 2024'!$D$4:$D$1872,$B89,'июль 2024'!$J$4:$J$1872,L$1)</f>
        <v>0</v>
      </c>
      <c r="M89" s="80">
        <f>SUMIFS('июль 2024'!$G$4:$G$1872,'июль 2024'!$D$4:$D$1872,$B89,'июль 2024'!$J$4:$J$1872,M$1)</f>
        <v>0</v>
      </c>
      <c r="N89" s="80">
        <f>SUMIFS('июль 2024'!$G$4:$G$1872,'июль 2024'!$D$4:$D$1872,$B89,'июль 2024'!$J$4:$J$1872,N$1)</f>
        <v>0</v>
      </c>
      <c r="O89" s="80">
        <f>SUMIFS('июль 2024'!$G$4:$G$1872,'июль 2024'!$D$4:$D$1872,$B89,'июль 2024'!$J$4:$J$1872,O$1)</f>
        <v>0</v>
      </c>
      <c r="P89" s="80">
        <f>SUMIFS('июль 2024'!$G$4:$G$1872,'июль 2024'!$D$4:$D$1872,$B89,'июль 2024'!$J$4:$J$1872,P$1)</f>
        <v>0</v>
      </c>
      <c r="Q89" s="80">
        <f>SUMIFS('июль 2024'!$G$4:$G$1872,'июль 2024'!$D$4:$D$1872,$B89,'июль 2024'!$J$4:$J$1872,Q$1)</f>
        <v>0</v>
      </c>
      <c r="R89" s="80">
        <f>SUMIFS('июль 2024'!$G$4:$G$1872,'июль 2024'!$D$4:$D$1872,$B89,'июль 2024'!$J$4:$J$1872,R$1)</f>
        <v>0</v>
      </c>
      <c r="S89" s="80">
        <f>SUMIFS('июль 2024'!$G$4:$G$1872,'июль 2024'!$D$4:$D$1872,$B89,'июль 2024'!$J$4:$J$1872,S$1)</f>
        <v>0</v>
      </c>
      <c r="T89" s="80">
        <f>SUMIFS('июль 2024'!$G$4:$G$1872,'июль 2024'!$D$4:$D$1872,$B89,'июль 2024'!$J$4:$J$1872,T$1)</f>
        <v>0</v>
      </c>
      <c r="U89" s="80">
        <f>SUMIFS('июль 2024'!$G$4:$G$1872,'июль 2024'!$D$4:$D$1872,$B89,'июль 2024'!$J$4:$J$1872,U$1)</f>
        <v>0</v>
      </c>
      <c r="V89" s="80">
        <f>SUMIFS('июль 2024'!$G$4:$G$1872,'июль 2024'!$D$4:$D$1872,$B89,'июль 2024'!$J$4:$J$1872,V$1)</f>
        <v>0</v>
      </c>
      <c r="W89" s="80">
        <f>SUMIFS('июль 2024'!$G$4:$G$1872,'июль 2024'!$D$4:$D$1872,$B89,'июль 2024'!$J$4:$J$1872,W$1)</f>
        <v>0</v>
      </c>
      <c r="X89" s="80">
        <f>SUMIFS('июль 2024'!$G$4:$G$1872,'июль 2024'!$D$4:$D$1872,$B89,'июль 2024'!$J$4:$J$1872,X$1)</f>
        <v>0</v>
      </c>
      <c r="Y89" s="80">
        <f>SUMIFS('июль 2024'!$G$4:$G$1872,'июль 2024'!$D$4:$D$1872,$B89,'июль 2024'!$J$4:$J$1872,Y$1)</f>
        <v>0</v>
      </c>
      <c r="Z89" s="80">
        <f>SUMIFS('июль 2024'!$G$4:$G$1872,'июль 2024'!$D$4:$D$1872,$B89,'июль 2024'!$J$4:$J$1872,Z$1)</f>
        <v>0</v>
      </c>
      <c r="AA89" s="80">
        <f>SUMIFS('июль 2024'!$G$4:$G$1872,'июль 2024'!$D$4:$D$1872,$B89,'июль 2024'!$J$4:$J$1872,AA$1)</f>
        <v>0</v>
      </c>
      <c r="AB89" s="80">
        <f>SUMIFS('июль 2024'!$G$4:$G$1872,'июль 2024'!$D$4:$D$1872,$B89,'июль 2024'!$J$4:$J$1872,AB$1)</f>
        <v>0</v>
      </c>
      <c r="AC89" s="80">
        <f>SUMIFS('июль 2024'!$G$4:$G$1872,'июль 2024'!$D$4:$D$1872,$B89,'июль 2024'!$J$4:$J$1872,AC$1)</f>
        <v>0</v>
      </c>
      <c r="AD89" s="80">
        <f>SUMIFS('июль 2024'!$G$4:$G$1872,'июль 2024'!$D$4:$D$1872,$B89,'июль 2024'!$J$4:$J$1872,AD$1)</f>
        <v>0</v>
      </c>
      <c r="AE89" s="80">
        <f>SUMIFS('июль 2024'!$G$4:$G$1872,'июль 2024'!$D$4:$D$1872,$B89,'июль 2024'!$J$4:$J$1872,AE$1)</f>
        <v>0</v>
      </c>
      <c r="AF89" s="80">
        <f>SUMIFS('июль 2024'!$G$4:$G$1872,'июль 2024'!$D$4:$D$1872,$B89,'июль 2024'!$J$4:$J$1872,AF$1)</f>
        <v>0</v>
      </c>
      <c r="AG89" s="80">
        <f>SUMIFS('июль 2024'!$G$4:$G$1872,'июль 2024'!$D$4:$D$1872,$B89,'июль 2024'!$J$4:$J$1872,AG$1)</f>
        <v>0</v>
      </c>
      <c r="AH89" s="80">
        <f>SUMIFS('июль 2024'!$G$4:$G$1872,'июль 2024'!$D$4:$D$1872,$B89,'июль 2024'!$J$4:$J$1872,AH$1)</f>
        <v>0</v>
      </c>
      <c r="AI89" s="21">
        <f t="shared" si="1"/>
        <v>0</v>
      </c>
    </row>
    <row r="90" spans="2:35" ht="15" customHeight="1" x14ac:dyDescent="0.25">
      <c r="B90" s="93" t="s">
        <v>1286</v>
      </c>
      <c r="C90" s="91">
        <v>190</v>
      </c>
      <c r="D90" s="80">
        <f>SUMIFS('июль 2024'!$G$4:$G$1872,'июль 2024'!$D$4:$D$1872,$B90,'июль 2024'!$J$4:$J$1872,D$1)</f>
        <v>0</v>
      </c>
      <c r="E90" s="80">
        <f>SUMIFS('июль 2024'!$G$4:$G$1872,'июль 2024'!$D$4:$D$1872,$B90,'июль 2024'!$J$4:$J$1872,E$1)</f>
        <v>0</v>
      </c>
      <c r="F90" s="80">
        <f>SUMIFS('июль 2024'!$G$4:$G$1872,'июль 2024'!$D$4:$D$1872,$B90,'июль 2024'!$J$4:$J$1872,F$1)</f>
        <v>0</v>
      </c>
      <c r="G90" s="80">
        <f>SUMIFS('июль 2024'!$G$4:$G$1872,'июль 2024'!$D$4:$D$1872,$B90,'июль 2024'!$J$4:$J$1872,G$1)</f>
        <v>0</v>
      </c>
      <c r="H90" s="80">
        <f>SUMIFS('июль 2024'!$G$4:$G$1872,'июль 2024'!$D$4:$D$1872,$B90,'июль 2024'!$J$4:$J$1872,H$1)</f>
        <v>0</v>
      </c>
      <c r="I90" s="80">
        <f>SUMIFS('июль 2024'!$G$4:$G$1872,'июль 2024'!$D$4:$D$1872,$B90,'июль 2024'!$J$4:$J$1872,I$1)</f>
        <v>0</v>
      </c>
      <c r="J90" s="80">
        <f>SUMIFS('июль 2024'!$G$4:$G$1872,'июль 2024'!$D$4:$D$1872,$B90,'июль 2024'!$J$4:$J$1872,J$1)</f>
        <v>0</v>
      </c>
      <c r="K90" s="80">
        <f>SUMIFS('июль 2024'!$G$4:$G$1872,'июль 2024'!$D$4:$D$1872,$B90,'июль 2024'!$J$4:$J$1872,K$1)</f>
        <v>0</v>
      </c>
      <c r="L90" s="80">
        <f>SUMIFS('июль 2024'!$G$4:$G$1872,'июль 2024'!$D$4:$D$1872,$B90,'июль 2024'!$J$4:$J$1872,L$1)</f>
        <v>0</v>
      </c>
      <c r="M90" s="80">
        <f>SUMIFS('июль 2024'!$G$4:$G$1872,'июль 2024'!$D$4:$D$1872,$B90,'июль 2024'!$J$4:$J$1872,M$1)</f>
        <v>0</v>
      </c>
      <c r="N90" s="80">
        <f>SUMIFS('июль 2024'!$G$4:$G$1872,'июль 2024'!$D$4:$D$1872,$B90,'июль 2024'!$J$4:$J$1872,N$1)</f>
        <v>0</v>
      </c>
      <c r="O90" s="80">
        <f>SUMIFS('июль 2024'!$G$4:$G$1872,'июль 2024'!$D$4:$D$1872,$B90,'июль 2024'!$J$4:$J$1872,O$1)</f>
        <v>0</v>
      </c>
      <c r="P90" s="80">
        <f>SUMIFS('июль 2024'!$G$4:$G$1872,'июль 2024'!$D$4:$D$1872,$B90,'июль 2024'!$J$4:$J$1872,P$1)</f>
        <v>0</v>
      </c>
      <c r="Q90" s="80">
        <f>SUMIFS('июль 2024'!$G$4:$G$1872,'июль 2024'!$D$4:$D$1872,$B90,'июль 2024'!$J$4:$J$1872,Q$1)</f>
        <v>0</v>
      </c>
      <c r="R90" s="80">
        <f>SUMIFS('июль 2024'!$G$4:$G$1872,'июль 2024'!$D$4:$D$1872,$B90,'июль 2024'!$J$4:$J$1872,R$1)</f>
        <v>0</v>
      </c>
      <c r="S90" s="80">
        <f>SUMIFS('июль 2024'!$G$4:$G$1872,'июль 2024'!$D$4:$D$1872,$B90,'июль 2024'!$J$4:$J$1872,S$1)</f>
        <v>0</v>
      </c>
      <c r="T90" s="80">
        <f>SUMIFS('июль 2024'!$G$4:$G$1872,'июль 2024'!$D$4:$D$1872,$B90,'июль 2024'!$J$4:$J$1872,T$1)</f>
        <v>0</v>
      </c>
      <c r="U90" s="80">
        <f>SUMIFS('июль 2024'!$G$4:$G$1872,'июль 2024'!$D$4:$D$1872,$B90,'июль 2024'!$J$4:$J$1872,U$1)</f>
        <v>0</v>
      </c>
      <c r="V90" s="80">
        <f>SUMIFS('июль 2024'!$G$4:$G$1872,'июль 2024'!$D$4:$D$1872,$B90,'июль 2024'!$J$4:$J$1872,V$1)</f>
        <v>0</v>
      </c>
      <c r="W90" s="80">
        <f>SUMIFS('июль 2024'!$G$4:$G$1872,'июль 2024'!$D$4:$D$1872,$B90,'июль 2024'!$J$4:$J$1872,W$1)</f>
        <v>0</v>
      </c>
      <c r="X90" s="80">
        <f>SUMIFS('июль 2024'!$G$4:$G$1872,'июль 2024'!$D$4:$D$1872,$B90,'июль 2024'!$J$4:$J$1872,X$1)</f>
        <v>0</v>
      </c>
      <c r="Y90" s="80">
        <f>SUMIFS('июль 2024'!$G$4:$G$1872,'июль 2024'!$D$4:$D$1872,$B90,'июль 2024'!$J$4:$J$1872,Y$1)</f>
        <v>0</v>
      </c>
      <c r="Z90" s="80">
        <f>SUMIFS('июль 2024'!$G$4:$G$1872,'июль 2024'!$D$4:$D$1872,$B90,'июль 2024'!$J$4:$J$1872,Z$1)</f>
        <v>0</v>
      </c>
      <c r="AA90" s="80">
        <f>SUMIFS('июль 2024'!$G$4:$G$1872,'июль 2024'!$D$4:$D$1872,$B90,'июль 2024'!$J$4:$J$1872,AA$1)</f>
        <v>0</v>
      </c>
      <c r="AB90" s="80">
        <f>SUMIFS('июль 2024'!$G$4:$G$1872,'июль 2024'!$D$4:$D$1872,$B90,'июль 2024'!$J$4:$J$1872,AB$1)</f>
        <v>0</v>
      </c>
      <c r="AC90" s="80">
        <f>SUMIFS('июль 2024'!$G$4:$G$1872,'июль 2024'!$D$4:$D$1872,$B90,'июль 2024'!$J$4:$J$1872,AC$1)</f>
        <v>0</v>
      </c>
      <c r="AD90" s="80">
        <f>SUMIFS('июль 2024'!$G$4:$G$1872,'июль 2024'!$D$4:$D$1872,$B90,'июль 2024'!$J$4:$J$1872,AD$1)</f>
        <v>0</v>
      </c>
      <c r="AE90" s="80">
        <f>SUMIFS('июль 2024'!$G$4:$G$1872,'июль 2024'!$D$4:$D$1872,$B90,'июль 2024'!$J$4:$J$1872,AE$1)</f>
        <v>0</v>
      </c>
      <c r="AF90" s="80">
        <f>SUMIFS('июль 2024'!$G$4:$G$1872,'июль 2024'!$D$4:$D$1872,$B90,'июль 2024'!$J$4:$J$1872,AF$1)</f>
        <v>0</v>
      </c>
      <c r="AG90" s="80">
        <f>SUMIFS('июль 2024'!$G$4:$G$1872,'июль 2024'!$D$4:$D$1872,$B90,'июль 2024'!$J$4:$J$1872,AG$1)</f>
        <v>0</v>
      </c>
      <c r="AH90" s="80">
        <f>SUMIFS('июль 2024'!$G$4:$G$1872,'июль 2024'!$D$4:$D$1872,$B90,'июль 2024'!$J$4:$J$1872,AH$1)</f>
        <v>0</v>
      </c>
      <c r="AI90" s="21">
        <f t="shared" si="1"/>
        <v>0</v>
      </c>
    </row>
    <row r="91" spans="2:35" ht="15" customHeight="1" x14ac:dyDescent="0.25">
      <c r="B91" s="93" t="s">
        <v>399</v>
      </c>
      <c r="C91" s="91">
        <v>190</v>
      </c>
      <c r="D91" s="80">
        <f>SUMIFS('июль 2024'!$G$4:$G$1872,'июль 2024'!$D$4:$D$1872,$B91,'июль 2024'!$J$4:$J$1872,D$1)</f>
        <v>0</v>
      </c>
      <c r="E91" s="80">
        <f>SUMIFS('июль 2024'!$G$4:$G$1872,'июль 2024'!$D$4:$D$1872,$B91,'июль 2024'!$J$4:$J$1872,E$1)</f>
        <v>0</v>
      </c>
      <c r="F91" s="80">
        <f>SUMIFS('июль 2024'!$G$4:$G$1872,'июль 2024'!$D$4:$D$1872,$B91,'июль 2024'!$J$4:$J$1872,F$1)</f>
        <v>0</v>
      </c>
      <c r="G91" s="80">
        <f>SUMIFS('июль 2024'!$G$4:$G$1872,'июль 2024'!$D$4:$D$1872,$B91,'июль 2024'!$J$4:$J$1872,G$1)</f>
        <v>0</v>
      </c>
      <c r="H91" s="80">
        <f>SUMIFS('июль 2024'!$G$4:$G$1872,'июль 2024'!$D$4:$D$1872,$B91,'июль 2024'!$J$4:$J$1872,H$1)</f>
        <v>0</v>
      </c>
      <c r="I91" s="80">
        <f>SUMIFS('июль 2024'!$G$4:$G$1872,'июль 2024'!$D$4:$D$1872,$B91,'июль 2024'!$J$4:$J$1872,I$1)</f>
        <v>0</v>
      </c>
      <c r="J91" s="80">
        <f>SUMIFS('июль 2024'!$G$4:$G$1872,'июль 2024'!$D$4:$D$1872,$B91,'июль 2024'!$J$4:$J$1872,J$1)</f>
        <v>0</v>
      </c>
      <c r="K91" s="80">
        <f>SUMIFS('июль 2024'!$G$4:$G$1872,'июль 2024'!$D$4:$D$1872,$B91,'июль 2024'!$J$4:$J$1872,K$1)</f>
        <v>0</v>
      </c>
      <c r="L91" s="80">
        <f>SUMIFS('июль 2024'!$G$4:$G$1872,'июль 2024'!$D$4:$D$1872,$B91,'июль 2024'!$J$4:$J$1872,L$1)</f>
        <v>0</v>
      </c>
      <c r="M91" s="80">
        <f>SUMIFS('июль 2024'!$G$4:$G$1872,'июль 2024'!$D$4:$D$1872,$B91,'июль 2024'!$J$4:$J$1872,M$1)</f>
        <v>0</v>
      </c>
      <c r="N91" s="80">
        <f>SUMIFS('июль 2024'!$G$4:$G$1872,'июль 2024'!$D$4:$D$1872,$B91,'июль 2024'!$J$4:$J$1872,N$1)</f>
        <v>0</v>
      </c>
      <c r="O91" s="80">
        <f>SUMIFS('июль 2024'!$G$4:$G$1872,'июль 2024'!$D$4:$D$1872,$B91,'июль 2024'!$J$4:$J$1872,O$1)</f>
        <v>0</v>
      </c>
      <c r="P91" s="80">
        <f>SUMIFS('июль 2024'!$G$4:$G$1872,'июль 2024'!$D$4:$D$1872,$B91,'июль 2024'!$J$4:$J$1872,P$1)</f>
        <v>0</v>
      </c>
      <c r="Q91" s="80">
        <f>SUMIFS('июль 2024'!$G$4:$G$1872,'июль 2024'!$D$4:$D$1872,$B91,'июль 2024'!$J$4:$J$1872,Q$1)</f>
        <v>0</v>
      </c>
      <c r="R91" s="80">
        <f>SUMIFS('июль 2024'!$G$4:$G$1872,'июль 2024'!$D$4:$D$1872,$B91,'июль 2024'!$J$4:$J$1872,R$1)</f>
        <v>0</v>
      </c>
      <c r="S91" s="80">
        <f>SUMIFS('июль 2024'!$G$4:$G$1872,'июль 2024'!$D$4:$D$1872,$B91,'июль 2024'!$J$4:$J$1872,S$1)</f>
        <v>0</v>
      </c>
      <c r="T91" s="80">
        <f>SUMIFS('июль 2024'!$G$4:$G$1872,'июль 2024'!$D$4:$D$1872,$B91,'июль 2024'!$J$4:$J$1872,T$1)</f>
        <v>0</v>
      </c>
      <c r="U91" s="80">
        <f>SUMIFS('июль 2024'!$G$4:$G$1872,'июль 2024'!$D$4:$D$1872,$B91,'июль 2024'!$J$4:$J$1872,U$1)</f>
        <v>0</v>
      </c>
      <c r="V91" s="80">
        <f>SUMIFS('июль 2024'!$G$4:$G$1872,'июль 2024'!$D$4:$D$1872,$B91,'июль 2024'!$J$4:$J$1872,V$1)</f>
        <v>0</v>
      </c>
      <c r="W91" s="80">
        <f>SUMIFS('июль 2024'!$G$4:$G$1872,'июль 2024'!$D$4:$D$1872,$B91,'июль 2024'!$J$4:$J$1872,W$1)</f>
        <v>0</v>
      </c>
      <c r="X91" s="80">
        <f>SUMIFS('июль 2024'!$G$4:$G$1872,'июль 2024'!$D$4:$D$1872,$B91,'июль 2024'!$J$4:$J$1872,X$1)</f>
        <v>0</v>
      </c>
      <c r="Y91" s="80">
        <f>SUMIFS('июль 2024'!$G$4:$G$1872,'июль 2024'!$D$4:$D$1872,$B91,'июль 2024'!$J$4:$J$1872,Y$1)</f>
        <v>0</v>
      </c>
      <c r="Z91" s="80">
        <f>SUMIFS('июль 2024'!$G$4:$G$1872,'июль 2024'!$D$4:$D$1872,$B91,'июль 2024'!$J$4:$J$1872,Z$1)</f>
        <v>0</v>
      </c>
      <c r="AA91" s="80">
        <f>SUMIFS('июль 2024'!$G$4:$G$1872,'июль 2024'!$D$4:$D$1872,$B91,'июль 2024'!$J$4:$J$1872,AA$1)</f>
        <v>0</v>
      </c>
      <c r="AB91" s="80">
        <f>SUMIFS('июль 2024'!$G$4:$G$1872,'июль 2024'!$D$4:$D$1872,$B91,'июль 2024'!$J$4:$J$1872,AB$1)</f>
        <v>0</v>
      </c>
      <c r="AC91" s="80">
        <f>SUMIFS('июль 2024'!$G$4:$G$1872,'июль 2024'!$D$4:$D$1872,$B91,'июль 2024'!$J$4:$J$1872,AC$1)</f>
        <v>0</v>
      </c>
      <c r="AD91" s="80">
        <f>SUMIFS('июль 2024'!$G$4:$G$1872,'июль 2024'!$D$4:$D$1872,$B91,'июль 2024'!$J$4:$J$1872,AD$1)</f>
        <v>0</v>
      </c>
      <c r="AE91" s="80">
        <f>SUMIFS('июль 2024'!$G$4:$G$1872,'июль 2024'!$D$4:$D$1872,$B91,'июль 2024'!$J$4:$J$1872,AE$1)</f>
        <v>0</v>
      </c>
      <c r="AF91" s="80">
        <f>SUMIFS('июль 2024'!$G$4:$G$1872,'июль 2024'!$D$4:$D$1872,$B91,'июль 2024'!$J$4:$J$1872,AF$1)</f>
        <v>0</v>
      </c>
      <c r="AG91" s="80">
        <f>SUMIFS('июль 2024'!$G$4:$G$1872,'июль 2024'!$D$4:$D$1872,$B91,'июль 2024'!$J$4:$J$1872,AG$1)</f>
        <v>0</v>
      </c>
      <c r="AH91" s="80">
        <f>SUMIFS('июль 2024'!$G$4:$G$1872,'июль 2024'!$D$4:$D$1872,$B91,'июль 2024'!$J$4:$J$1872,AH$1)</f>
        <v>0</v>
      </c>
      <c r="AI91" s="21">
        <f t="shared" si="1"/>
        <v>0</v>
      </c>
    </row>
    <row r="92" spans="2:35" ht="15" customHeight="1" x14ac:dyDescent="0.25">
      <c r="B92" s="93" t="s">
        <v>322</v>
      </c>
      <c r="C92" s="91">
        <v>180</v>
      </c>
      <c r="D92" s="80">
        <f>SUMIFS('июль 2024'!$G$4:$G$1872,'июль 2024'!$D$4:$D$1872,$B92,'июль 2024'!$J$4:$J$1872,D$1)</f>
        <v>0</v>
      </c>
      <c r="E92" s="80">
        <f>SUMIFS('июль 2024'!$G$4:$G$1872,'июль 2024'!$D$4:$D$1872,$B92,'июль 2024'!$J$4:$J$1872,E$1)</f>
        <v>0</v>
      </c>
      <c r="F92" s="80">
        <f>SUMIFS('июль 2024'!$G$4:$G$1872,'июль 2024'!$D$4:$D$1872,$B92,'июль 2024'!$J$4:$J$1872,F$1)</f>
        <v>0</v>
      </c>
      <c r="G92" s="80">
        <f>SUMIFS('июль 2024'!$G$4:$G$1872,'июль 2024'!$D$4:$D$1872,$B92,'июль 2024'!$J$4:$J$1872,G$1)</f>
        <v>0</v>
      </c>
      <c r="H92" s="80">
        <f>SUMIFS('июль 2024'!$G$4:$G$1872,'июль 2024'!$D$4:$D$1872,$B92,'июль 2024'!$J$4:$J$1872,H$1)</f>
        <v>0</v>
      </c>
      <c r="I92" s="80">
        <f>SUMIFS('июль 2024'!$G$4:$G$1872,'июль 2024'!$D$4:$D$1872,$B92,'июль 2024'!$J$4:$J$1872,I$1)</f>
        <v>0</v>
      </c>
      <c r="J92" s="80">
        <f>SUMIFS('июль 2024'!$G$4:$G$1872,'июль 2024'!$D$4:$D$1872,$B92,'июль 2024'!$J$4:$J$1872,J$1)</f>
        <v>0</v>
      </c>
      <c r="K92" s="80">
        <f>SUMIFS('июль 2024'!$G$4:$G$1872,'июль 2024'!$D$4:$D$1872,$B92,'июль 2024'!$J$4:$J$1872,K$1)</f>
        <v>0</v>
      </c>
      <c r="L92" s="80">
        <f>SUMIFS('июль 2024'!$G$4:$G$1872,'июль 2024'!$D$4:$D$1872,$B92,'июль 2024'!$J$4:$J$1872,L$1)</f>
        <v>0</v>
      </c>
      <c r="M92" s="80">
        <f>SUMIFS('июль 2024'!$G$4:$G$1872,'июль 2024'!$D$4:$D$1872,$B92,'июль 2024'!$J$4:$J$1872,M$1)</f>
        <v>0</v>
      </c>
      <c r="N92" s="80">
        <f>SUMIFS('июль 2024'!$G$4:$G$1872,'июль 2024'!$D$4:$D$1872,$B92,'июль 2024'!$J$4:$J$1872,N$1)</f>
        <v>0</v>
      </c>
      <c r="O92" s="80">
        <f>SUMIFS('июль 2024'!$G$4:$G$1872,'июль 2024'!$D$4:$D$1872,$B92,'июль 2024'!$J$4:$J$1872,O$1)</f>
        <v>0</v>
      </c>
      <c r="P92" s="80">
        <f>SUMIFS('июль 2024'!$G$4:$G$1872,'июль 2024'!$D$4:$D$1872,$B92,'июль 2024'!$J$4:$J$1872,P$1)</f>
        <v>0</v>
      </c>
      <c r="Q92" s="80">
        <f>SUMIFS('июль 2024'!$G$4:$G$1872,'июль 2024'!$D$4:$D$1872,$B92,'июль 2024'!$J$4:$J$1872,Q$1)</f>
        <v>0</v>
      </c>
      <c r="R92" s="80">
        <f>SUMIFS('июль 2024'!$G$4:$G$1872,'июль 2024'!$D$4:$D$1872,$B92,'июль 2024'!$J$4:$J$1872,R$1)</f>
        <v>0</v>
      </c>
      <c r="S92" s="80">
        <f>SUMIFS('июль 2024'!$G$4:$G$1872,'июль 2024'!$D$4:$D$1872,$B92,'июль 2024'!$J$4:$J$1872,S$1)</f>
        <v>0</v>
      </c>
      <c r="T92" s="80">
        <f>SUMIFS('июль 2024'!$G$4:$G$1872,'июль 2024'!$D$4:$D$1872,$B92,'июль 2024'!$J$4:$J$1872,T$1)</f>
        <v>0</v>
      </c>
      <c r="U92" s="80">
        <f>SUMIFS('июль 2024'!$G$4:$G$1872,'июль 2024'!$D$4:$D$1872,$B92,'июль 2024'!$J$4:$J$1872,U$1)</f>
        <v>0</v>
      </c>
      <c r="V92" s="80">
        <f>SUMIFS('июль 2024'!$G$4:$G$1872,'июль 2024'!$D$4:$D$1872,$B92,'июль 2024'!$J$4:$J$1872,V$1)</f>
        <v>0</v>
      </c>
      <c r="W92" s="80">
        <f>SUMIFS('июль 2024'!$G$4:$G$1872,'июль 2024'!$D$4:$D$1872,$B92,'июль 2024'!$J$4:$J$1872,W$1)</f>
        <v>0</v>
      </c>
      <c r="X92" s="80">
        <f>SUMIFS('июль 2024'!$G$4:$G$1872,'июль 2024'!$D$4:$D$1872,$B92,'июль 2024'!$J$4:$J$1872,X$1)</f>
        <v>0</v>
      </c>
      <c r="Y92" s="80">
        <f>SUMIFS('июль 2024'!$G$4:$G$1872,'июль 2024'!$D$4:$D$1872,$B92,'июль 2024'!$J$4:$J$1872,Y$1)</f>
        <v>0</v>
      </c>
      <c r="Z92" s="80">
        <f>SUMIFS('июль 2024'!$G$4:$G$1872,'июль 2024'!$D$4:$D$1872,$B92,'июль 2024'!$J$4:$J$1872,Z$1)</f>
        <v>0</v>
      </c>
      <c r="AA92" s="80">
        <f>SUMIFS('июль 2024'!$G$4:$G$1872,'июль 2024'!$D$4:$D$1872,$B92,'июль 2024'!$J$4:$J$1872,AA$1)</f>
        <v>0</v>
      </c>
      <c r="AB92" s="80">
        <f>SUMIFS('июль 2024'!$G$4:$G$1872,'июль 2024'!$D$4:$D$1872,$B92,'июль 2024'!$J$4:$J$1872,AB$1)</f>
        <v>0</v>
      </c>
      <c r="AC92" s="80">
        <f>SUMIFS('июль 2024'!$G$4:$G$1872,'июль 2024'!$D$4:$D$1872,$B92,'июль 2024'!$J$4:$J$1872,AC$1)</f>
        <v>0</v>
      </c>
      <c r="AD92" s="80">
        <f>SUMIFS('июль 2024'!$G$4:$G$1872,'июль 2024'!$D$4:$D$1872,$B92,'июль 2024'!$J$4:$J$1872,AD$1)</f>
        <v>0</v>
      </c>
      <c r="AE92" s="80">
        <f>SUMIFS('июль 2024'!$G$4:$G$1872,'июль 2024'!$D$4:$D$1872,$B92,'июль 2024'!$J$4:$J$1872,AE$1)</f>
        <v>0</v>
      </c>
      <c r="AF92" s="80">
        <f>SUMIFS('июль 2024'!$G$4:$G$1872,'июль 2024'!$D$4:$D$1872,$B92,'июль 2024'!$J$4:$J$1872,AF$1)</f>
        <v>0</v>
      </c>
      <c r="AG92" s="80">
        <f>SUMIFS('июль 2024'!$G$4:$G$1872,'июль 2024'!$D$4:$D$1872,$B92,'июль 2024'!$J$4:$J$1872,AG$1)</f>
        <v>0</v>
      </c>
      <c r="AH92" s="80">
        <f>SUMIFS('июль 2024'!$G$4:$G$1872,'июль 2024'!$D$4:$D$1872,$B92,'июль 2024'!$J$4:$J$1872,AH$1)</f>
        <v>0</v>
      </c>
      <c r="AI92" s="21">
        <f t="shared" si="1"/>
        <v>0</v>
      </c>
    </row>
    <row r="93" spans="2:35" ht="15" customHeight="1" x14ac:dyDescent="0.25">
      <c r="B93" s="93" t="s">
        <v>323</v>
      </c>
      <c r="C93" s="91">
        <v>180</v>
      </c>
      <c r="D93" s="80">
        <f>SUMIFS('июль 2024'!$G$4:$G$1872,'июль 2024'!$D$4:$D$1872,$B93,'июль 2024'!$J$4:$J$1872,D$1)</f>
        <v>0</v>
      </c>
      <c r="E93" s="80">
        <f>SUMIFS('июль 2024'!$G$4:$G$1872,'июль 2024'!$D$4:$D$1872,$B93,'июль 2024'!$J$4:$J$1872,E$1)</f>
        <v>0</v>
      </c>
      <c r="F93" s="80">
        <f>SUMIFS('июль 2024'!$G$4:$G$1872,'июль 2024'!$D$4:$D$1872,$B93,'июль 2024'!$J$4:$J$1872,F$1)</f>
        <v>0</v>
      </c>
      <c r="G93" s="80">
        <f>SUMIFS('июль 2024'!$G$4:$G$1872,'июль 2024'!$D$4:$D$1872,$B93,'июль 2024'!$J$4:$J$1872,G$1)</f>
        <v>0</v>
      </c>
      <c r="H93" s="80">
        <f>SUMIFS('июль 2024'!$G$4:$G$1872,'июль 2024'!$D$4:$D$1872,$B93,'июль 2024'!$J$4:$J$1872,H$1)</f>
        <v>0</v>
      </c>
      <c r="I93" s="80">
        <f>SUMIFS('июль 2024'!$G$4:$G$1872,'июль 2024'!$D$4:$D$1872,$B93,'июль 2024'!$J$4:$J$1872,I$1)</f>
        <v>0</v>
      </c>
      <c r="J93" s="80">
        <f>SUMIFS('июль 2024'!$G$4:$G$1872,'июль 2024'!$D$4:$D$1872,$B93,'июль 2024'!$J$4:$J$1872,J$1)</f>
        <v>0</v>
      </c>
      <c r="K93" s="80">
        <f>SUMIFS('июль 2024'!$G$4:$G$1872,'июль 2024'!$D$4:$D$1872,$B93,'июль 2024'!$J$4:$J$1872,K$1)</f>
        <v>0</v>
      </c>
      <c r="L93" s="80">
        <f>SUMIFS('июль 2024'!$G$4:$G$1872,'июль 2024'!$D$4:$D$1872,$B93,'июль 2024'!$J$4:$J$1872,L$1)</f>
        <v>0</v>
      </c>
      <c r="M93" s="80">
        <f>SUMIFS('июль 2024'!$G$4:$G$1872,'июль 2024'!$D$4:$D$1872,$B93,'июль 2024'!$J$4:$J$1872,M$1)</f>
        <v>0</v>
      </c>
      <c r="N93" s="80">
        <f>SUMIFS('июль 2024'!$G$4:$G$1872,'июль 2024'!$D$4:$D$1872,$B93,'июль 2024'!$J$4:$J$1872,N$1)</f>
        <v>0</v>
      </c>
      <c r="O93" s="80">
        <f>SUMIFS('июль 2024'!$G$4:$G$1872,'июль 2024'!$D$4:$D$1872,$B93,'июль 2024'!$J$4:$J$1872,O$1)</f>
        <v>0</v>
      </c>
      <c r="P93" s="80">
        <f>SUMIFS('июль 2024'!$G$4:$G$1872,'июль 2024'!$D$4:$D$1872,$B93,'июль 2024'!$J$4:$J$1872,P$1)</f>
        <v>0</v>
      </c>
      <c r="Q93" s="80">
        <f>SUMIFS('июль 2024'!$G$4:$G$1872,'июль 2024'!$D$4:$D$1872,$B93,'июль 2024'!$J$4:$J$1872,Q$1)</f>
        <v>0</v>
      </c>
      <c r="R93" s="80">
        <f>SUMIFS('июль 2024'!$G$4:$G$1872,'июль 2024'!$D$4:$D$1872,$B93,'июль 2024'!$J$4:$J$1872,R$1)</f>
        <v>0</v>
      </c>
      <c r="S93" s="80">
        <f>SUMIFS('июль 2024'!$G$4:$G$1872,'июль 2024'!$D$4:$D$1872,$B93,'июль 2024'!$J$4:$J$1872,S$1)</f>
        <v>0</v>
      </c>
      <c r="T93" s="80">
        <f>SUMIFS('июль 2024'!$G$4:$G$1872,'июль 2024'!$D$4:$D$1872,$B93,'июль 2024'!$J$4:$J$1872,T$1)</f>
        <v>0</v>
      </c>
      <c r="U93" s="80">
        <f>SUMIFS('июль 2024'!$G$4:$G$1872,'июль 2024'!$D$4:$D$1872,$B93,'июль 2024'!$J$4:$J$1872,U$1)</f>
        <v>0</v>
      </c>
      <c r="V93" s="80">
        <f>SUMIFS('июль 2024'!$G$4:$G$1872,'июль 2024'!$D$4:$D$1872,$B93,'июль 2024'!$J$4:$J$1872,V$1)</f>
        <v>0</v>
      </c>
      <c r="W93" s="80">
        <f>SUMIFS('июль 2024'!$G$4:$G$1872,'июль 2024'!$D$4:$D$1872,$B93,'июль 2024'!$J$4:$J$1872,W$1)</f>
        <v>0</v>
      </c>
      <c r="X93" s="80">
        <f>SUMIFS('июль 2024'!$G$4:$G$1872,'июль 2024'!$D$4:$D$1872,$B93,'июль 2024'!$J$4:$J$1872,X$1)</f>
        <v>0</v>
      </c>
      <c r="Y93" s="80">
        <f>SUMIFS('июль 2024'!$G$4:$G$1872,'июль 2024'!$D$4:$D$1872,$B93,'июль 2024'!$J$4:$J$1872,Y$1)</f>
        <v>0</v>
      </c>
      <c r="Z93" s="80">
        <f>SUMIFS('июль 2024'!$G$4:$G$1872,'июль 2024'!$D$4:$D$1872,$B93,'июль 2024'!$J$4:$J$1872,Z$1)</f>
        <v>0</v>
      </c>
      <c r="AA93" s="80">
        <f>SUMIFS('июль 2024'!$G$4:$G$1872,'июль 2024'!$D$4:$D$1872,$B93,'июль 2024'!$J$4:$J$1872,AA$1)</f>
        <v>0</v>
      </c>
      <c r="AB93" s="80">
        <f>SUMIFS('июль 2024'!$G$4:$G$1872,'июль 2024'!$D$4:$D$1872,$B93,'июль 2024'!$J$4:$J$1872,AB$1)</f>
        <v>0</v>
      </c>
      <c r="AC93" s="80">
        <f>SUMIFS('июль 2024'!$G$4:$G$1872,'июль 2024'!$D$4:$D$1872,$B93,'июль 2024'!$J$4:$J$1872,AC$1)</f>
        <v>0</v>
      </c>
      <c r="AD93" s="80">
        <f>SUMIFS('июль 2024'!$G$4:$G$1872,'июль 2024'!$D$4:$D$1872,$B93,'июль 2024'!$J$4:$J$1872,AD$1)</f>
        <v>0</v>
      </c>
      <c r="AE93" s="80">
        <f>SUMIFS('июль 2024'!$G$4:$G$1872,'июль 2024'!$D$4:$D$1872,$B93,'июль 2024'!$J$4:$J$1872,AE$1)</f>
        <v>0</v>
      </c>
      <c r="AF93" s="80">
        <f>SUMIFS('июль 2024'!$G$4:$G$1872,'июль 2024'!$D$4:$D$1872,$B93,'июль 2024'!$J$4:$J$1872,AF$1)</f>
        <v>0</v>
      </c>
      <c r="AG93" s="80">
        <f>SUMIFS('июль 2024'!$G$4:$G$1872,'июль 2024'!$D$4:$D$1872,$B93,'июль 2024'!$J$4:$J$1872,AG$1)</f>
        <v>0</v>
      </c>
      <c r="AH93" s="80">
        <f>SUMIFS('июль 2024'!$G$4:$G$1872,'июль 2024'!$D$4:$D$1872,$B93,'июль 2024'!$J$4:$J$1872,AH$1)</f>
        <v>0</v>
      </c>
      <c r="AI93" s="21">
        <f t="shared" si="1"/>
        <v>0</v>
      </c>
    </row>
    <row r="94" spans="2:35" ht="15" customHeight="1" x14ac:dyDescent="0.25">
      <c r="B94" s="93" t="s">
        <v>1489</v>
      </c>
      <c r="C94" s="91">
        <v>25</v>
      </c>
      <c r="D94" s="80">
        <f>SUMIFS('июль 2024'!$G$4:$G$1872,'июль 2024'!$D$4:$D$1872,$B94,'июль 2024'!$J$4:$J$1872,D$1)</f>
        <v>0</v>
      </c>
      <c r="E94" s="80">
        <f>SUMIFS('июль 2024'!$G$4:$G$1872,'июль 2024'!$D$4:$D$1872,$B94,'июль 2024'!$J$4:$J$1872,E$1)</f>
        <v>0</v>
      </c>
      <c r="F94" s="80">
        <f>SUMIFS('июль 2024'!$G$4:$G$1872,'июль 2024'!$D$4:$D$1872,$B94,'июль 2024'!$J$4:$J$1872,F$1)</f>
        <v>0</v>
      </c>
      <c r="G94" s="80">
        <f>SUMIFS('июль 2024'!$G$4:$G$1872,'июль 2024'!$D$4:$D$1872,$B94,'июль 2024'!$J$4:$J$1872,G$1)</f>
        <v>0</v>
      </c>
      <c r="H94" s="80">
        <f>SUMIFS('июль 2024'!$G$4:$G$1872,'июль 2024'!$D$4:$D$1872,$B94,'июль 2024'!$J$4:$J$1872,H$1)</f>
        <v>0</v>
      </c>
      <c r="I94" s="80">
        <f>SUMIFS('июль 2024'!$G$4:$G$1872,'июль 2024'!$D$4:$D$1872,$B94,'июль 2024'!$J$4:$J$1872,I$1)</f>
        <v>0</v>
      </c>
      <c r="J94" s="80">
        <f>SUMIFS('июль 2024'!$G$4:$G$1872,'июль 2024'!$D$4:$D$1872,$B94,'июль 2024'!$J$4:$J$1872,J$1)</f>
        <v>0</v>
      </c>
      <c r="K94" s="80">
        <f>SUMIFS('июль 2024'!$G$4:$G$1872,'июль 2024'!$D$4:$D$1872,$B94,'июль 2024'!$J$4:$J$1872,K$1)</f>
        <v>0</v>
      </c>
      <c r="L94" s="80">
        <f>SUMIFS('июль 2024'!$G$4:$G$1872,'июль 2024'!$D$4:$D$1872,$B94,'июль 2024'!$J$4:$J$1872,L$1)</f>
        <v>0</v>
      </c>
      <c r="M94" s="80">
        <f>SUMIFS('июль 2024'!$G$4:$G$1872,'июль 2024'!$D$4:$D$1872,$B94,'июль 2024'!$J$4:$J$1872,M$1)</f>
        <v>0</v>
      </c>
      <c r="N94" s="80">
        <f>SUMIFS('июль 2024'!$G$4:$G$1872,'июль 2024'!$D$4:$D$1872,$B94,'июль 2024'!$J$4:$J$1872,N$1)</f>
        <v>0</v>
      </c>
      <c r="O94" s="80">
        <f>SUMIFS('июль 2024'!$G$4:$G$1872,'июль 2024'!$D$4:$D$1872,$B94,'июль 2024'!$J$4:$J$1872,O$1)</f>
        <v>0</v>
      </c>
      <c r="P94" s="80">
        <f>SUMIFS('июль 2024'!$G$4:$G$1872,'июль 2024'!$D$4:$D$1872,$B94,'июль 2024'!$J$4:$J$1872,P$1)</f>
        <v>0</v>
      </c>
      <c r="Q94" s="80">
        <f>SUMIFS('июль 2024'!$G$4:$G$1872,'июль 2024'!$D$4:$D$1872,$B94,'июль 2024'!$J$4:$J$1872,Q$1)</f>
        <v>0</v>
      </c>
      <c r="R94" s="80">
        <f>SUMIFS('июль 2024'!$G$4:$G$1872,'июль 2024'!$D$4:$D$1872,$B94,'июль 2024'!$J$4:$J$1872,R$1)</f>
        <v>0</v>
      </c>
      <c r="S94" s="80">
        <f>SUMIFS('июль 2024'!$G$4:$G$1872,'июль 2024'!$D$4:$D$1872,$B94,'июль 2024'!$J$4:$J$1872,S$1)</f>
        <v>0</v>
      </c>
      <c r="T94" s="80">
        <f>SUMIFS('июль 2024'!$G$4:$G$1872,'июль 2024'!$D$4:$D$1872,$B94,'июль 2024'!$J$4:$J$1872,T$1)</f>
        <v>0</v>
      </c>
      <c r="U94" s="80">
        <f>SUMIFS('июль 2024'!$G$4:$G$1872,'июль 2024'!$D$4:$D$1872,$B94,'июль 2024'!$J$4:$J$1872,U$1)</f>
        <v>0</v>
      </c>
      <c r="V94" s="80">
        <f>SUMIFS('июль 2024'!$G$4:$G$1872,'июль 2024'!$D$4:$D$1872,$B94,'июль 2024'!$J$4:$J$1872,V$1)</f>
        <v>0</v>
      </c>
      <c r="W94" s="80">
        <f>SUMIFS('июль 2024'!$G$4:$G$1872,'июль 2024'!$D$4:$D$1872,$B94,'июль 2024'!$J$4:$J$1872,W$1)</f>
        <v>0</v>
      </c>
      <c r="X94" s="80">
        <f>SUMIFS('июль 2024'!$G$4:$G$1872,'июль 2024'!$D$4:$D$1872,$B94,'июль 2024'!$J$4:$J$1872,X$1)</f>
        <v>0</v>
      </c>
      <c r="Y94" s="80">
        <f>SUMIFS('июль 2024'!$G$4:$G$1872,'июль 2024'!$D$4:$D$1872,$B94,'июль 2024'!$J$4:$J$1872,Y$1)</f>
        <v>0</v>
      </c>
      <c r="Z94" s="80">
        <f>SUMIFS('июль 2024'!$G$4:$G$1872,'июль 2024'!$D$4:$D$1872,$B94,'июль 2024'!$J$4:$J$1872,Z$1)</f>
        <v>0</v>
      </c>
      <c r="AA94" s="80">
        <f>SUMIFS('июль 2024'!$G$4:$G$1872,'июль 2024'!$D$4:$D$1872,$B94,'июль 2024'!$J$4:$J$1872,AA$1)</f>
        <v>0</v>
      </c>
      <c r="AB94" s="80">
        <f>SUMIFS('июль 2024'!$G$4:$G$1872,'июль 2024'!$D$4:$D$1872,$B94,'июль 2024'!$J$4:$J$1872,AB$1)</f>
        <v>0</v>
      </c>
      <c r="AC94" s="80">
        <f>SUMIFS('июль 2024'!$G$4:$G$1872,'июль 2024'!$D$4:$D$1872,$B94,'июль 2024'!$J$4:$J$1872,AC$1)</f>
        <v>0</v>
      </c>
      <c r="AD94" s="80">
        <f>SUMIFS('июль 2024'!$G$4:$G$1872,'июль 2024'!$D$4:$D$1872,$B94,'июль 2024'!$J$4:$J$1872,AD$1)</f>
        <v>0</v>
      </c>
      <c r="AE94" s="80">
        <f>SUMIFS('июль 2024'!$G$4:$G$1872,'июль 2024'!$D$4:$D$1872,$B94,'июль 2024'!$J$4:$J$1872,AE$1)</f>
        <v>0</v>
      </c>
      <c r="AF94" s="80">
        <f>SUMIFS('июль 2024'!$G$4:$G$1872,'июль 2024'!$D$4:$D$1872,$B94,'июль 2024'!$J$4:$J$1872,AF$1)</f>
        <v>0</v>
      </c>
      <c r="AG94" s="80">
        <f>SUMIFS('июль 2024'!$G$4:$G$1872,'июль 2024'!$D$4:$D$1872,$B94,'июль 2024'!$J$4:$J$1872,AG$1)</f>
        <v>0</v>
      </c>
      <c r="AH94" s="80">
        <f>SUMIFS('июль 2024'!$G$4:$G$1872,'июль 2024'!$D$4:$D$1872,$B94,'июль 2024'!$J$4:$J$1872,AH$1)</f>
        <v>0</v>
      </c>
      <c r="AI94" s="21">
        <f t="shared" si="1"/>
        <v>0</v>
      </c>
    </row>
    <row r="95" spans="2:35" ht="15" customHeight="1" x14ac:dyDescent="0.25">
      <c r="B95" s="93" t="s">
        <v>203</v>
      </c>
      <c r="C95" s="91">
        <v>180</v>
      </c>
      <c r="D95" s="80">
        <f>SUMIFS('июль 2024'!$G$4:$G$1872,'июль 2024'!$D$4:$D$1872,$B95,'июль 2024'!$J$4:$J$1872,D$1)</f>
        <v>0</v>
      </c>
      <c r="E95" s="80">
        <f>SUMIFS('июль 2024'!$G$4:$G$1872,'июль 2024'!$D$4:$D$1872,$B95,'июль 2024'!$J$4:$J$1872,E$1)</f>
        <v>0</v>
      </c>
      <c r="F95" s="80">
        <f>SUMIFS('июль 2024'!$G$4:$G$1872,'июль 2024'!$D$4:$D$1872,$B95,'июль 2024'!$J$4:$J$1872,F$1)</f>
        <v>0</v>
      </c>
      <c r="G95" s="80">
        <f>SUMIFS('июль 2024'!$G$4:$G$1872,'июль 2024'!$D$4:$D$1872,$B95,'июль 2024'!$J$4:$J$1872,G$1)</f>
        <v>0</v>
      </c>
      <c r="H95" s="80">
        <f>SUMIFS('июль 2024'!$G$4:$G$1872,'июль 2024'!$D$4:$D$1872,$B95,'июль 2024'!$J$4:$J$1872,H$1)</f>
        <v>0</v>
      </c>
      <c r="I95" s="80">
        <f>SUMIFS('июль 2024'!$G$4:$G$1872,'июль 2024'!$D$4:$D$1872,$B95,'июль 2024'!$J$4:$J$1872,I$1)</f>
        <v>0</v>
      </c>
      <c r="J95" s="80">
        <f>SUMIFS('июль 2024'!$G$4:$G$1872,'июль 2024'!$D$4:$D$1872,$B95,'июль 2024'!$J$4:$J$1872,J$1)</f>
        <v>0</v>
      </c>
      <c r="K95" s="80">
        <f>SUMIFS('июль 2024'!$G$4:$G$1872,'июль 2024'!$D$4:$D$1872,$B95,'июль 2024'!$J$4:$J$1872,K$1)</f>
        <v>0</v>
      </c>
      <c r="L95" s="80">
        <f>SUMIFS('июль 2024'!$G$4:$G$1872,'июль 2024'!$D$4:$D$1872,$B95,'июль 2024'!$J$4:$J$1872,L$1)</f>
        <v>0</v>
      </c>
      <c r="M95" s="80">
        <f>SUMIFS('июль 2024'!$G$4:$G$1872,'июль 2024'!$D$4:$D$1872,$B95,'июль 2024'!$J$4:$J$1872,M$1)</f>
        <v>0</v>
      </c>
      <c r="N95" s="80">
        <f>SUMIFS('июль 2024'!$G$4:$G$1872,'июль 2024'!$D$4:$D$1872,$B95,'июль 2024'!$J$4:$J$1872,N$1)</f>
        <v>0</v>
      </c>
      <c r="O95" s="80">
        <f>SUMIFS('июль 2024'!$G$4:$G$1872,'июль 2024'!$D$4:$D$1872,$B95,'июль 2024'!$J$4:$J$1872,O$1)</f>
        <v>0</v>
      </c>
      <c r="P95" s="80">
        <f>SUMIFS('июль 2024'!$G$4:$G$1872,'июль 2024'!$D$4:$D$1872,$B95,'июль 2024'!$J$4:$J$1872,P$1)</f>
        <v>0</v>
      </c>
      <c r="Q95" s="80">
        <f>SUMIFS('июль 2024'!$G$4:$G$1872,'июль 2024'!$D$4:$D$1872,$B95,'июль 2024'!$J$4:$J$1872,Q$1)</f>
        <v>0</v>
      </c>
      <c r="R95" s="80">
        <f>SUMIFS('июль 2024'!$G$4:$G$1872,'июль 2024'!$D$4:$D$1872,$B95,'июль 2024'!$J$4:$J$1872,R$1)</f>
        <v>0</v>
      </c>
      <c r="S95" s="80">
        <f>SUMIFS('июль 2024'!$G$4:$G$1872,'июль 2024'!$D$4:$D$1872,$B95,'июль 2024'!$J$4:$J$1872,S$1)</f>
        <v>0</v>
      </c>
      <c r="T95" s="80">
        <f>SUMIFS('июль 2024'!$G$4:$G$1872,'июль 2024'!$D$4:$D$1872,$B95,'июль 2024'!$J$4:$J$1872,T$1)</f>
        <v>0</v>
      </c>
      <c r="U95" s="80">
        <f>SUMIFS('июль 2024'!$G$4:$G$1872,'июль 2024'!$D$4:$D$1872,$B95,'июль 2024'!$J$4:$J$1872,U$1)</f>
        <v>0</v>
      </c>
      <c r="V95" s="80">
        <f>SUMIFS('июль 2024'!$G$4:$G$1872,'июль 2024'!$D$4:$D$1872,$B95,'июль 2024'!$J$4:$J$1872,V$1)</f>
        <v>0</v>
      </c>
      <c r="W95" s="80">
        <f>SUMIFS('июль 2024'!$G$4:$G$1872,'июль 2024'!$D$4:$D$1872,$B95,'июль 2024'!$J$4:$J$1872,W$1)</f>
        <v>0</v>
      </c>
      <c r="X95" s="80">
        <f>SUMIFS('июль 2024'!$G$4:$G$1872,'июль 2024'!$D$4:$D$1872,$B95,'июль 2024'!$J$4:$J$1872,X$1)</f>
        <v>0</v>
      </c>
      <c r="Y95" s="80">
        <f>SUMIFS('июль 2024'!$G$4:$G$1872,'июль 2024'!$D$4:$D$1872,$B95,'июль 2024'!$J$4:$J$1872,Y$1)</f>
        <v>0</v>
      </c>
      <c r="Z95" s="80">
        <f>SUMIFS('июль 2024'!$G$4:$G$1872,'июль 2024'!$D$4:$D$1872,$B95,'июль 2024'!$J$4:$J$1872,Z$1)</f>
        <v>0</v>
      </c>
      <c r="AA95" s="80">
        <f>SUMIFS('июль 2024'!$G$4:$G$1872,'июль 2024'!$D$4:$D$1872,$B95,'июль 2024'!$J$4:$J$1872,AA$1)</f>
        <v>0</v>
      </c>
      <c r="AB95" s="80">
        <f>SUMIFS('июль 2024'!$G$4:$G$1872,'июль 2024'!$D$4:$D$1872,$B95,'июль 2024'!$J$4:$J$1872,AB$1)</f>
        <v>0</v>
      </c>
      <c r="AC95" s="80">
        <f>SUMIFS('июль 2024'!$G$4:$G$1872,'июль 2024'!$D$4:$D$1872,$B95,'июль 2024'!$J$4:$J$1872,AC$1)</f>
        <v>0</v>
      </c>
      <c r="AD95" s="80">
        <f>SUMIFS('июль 2024'!$G$4:$G$1872,'июль 2024'!$D$4:$D$1872,$B95,'июль 2024'!$J$4:$J$1872,AD$1)</f>
        <v>0</v>
      </c>
      <c r="AE95" s="80">
        <f>SUMIFS('июль 2024'!$G$4:$G$1872,'июль 2024'!$D$4:$D$1872,$B95,'июль 2024'!$J$4:$J$1872,AE$1)</f>
        <v>0</v>
      </c>
      <c r="AF95" s="80">
        <f>SUMIFS('июль 2024'!$G$4:$G$1872,'июль 2024'!$D$4:$D$1872,$B95,'июль 2024'!$J$4:$J$1872,AF$1)</f>
        <v>0</v>
      </c>
      <c r="AG95" s="80">
        <f>SUMIFS('июль 2024'!$G$4:$G$1872,'июль 2024'!$D$4:$D$1872,$B95,'июль 2024'!$J$4:$J$1872,AG$1)</f>
        <v>0</v>
      </c>
      <c r="AH95" s="80">
        <f>SUMIFS('июль 2024'!$G$4:$G$1872,'июль 2024'!$D$4:$D$1872,$B95,'июль 2024'!$J$4:$J$1872,AH$1)</f>
        <v>0</v>
      </c>
      <c r="AI95" s="21">
        <f t="shared" si="1"/>
        <v>0</v>
      </c>
    </row>
    <row r="96" spans="2:35" ht="15" customHeight="1" x14ac:dyDescent="0.25">
      <c r="B96" s="89" t="s">
        <v>204</v>
      </c>
      <c r="C96" s="88">
        <v>200</v>
      </c>
      <c r="D96" s="80">
        <f>SUMIFS('июль 2024'!$G$4:$G$1872,'июль 2024'!$D$4:$D$1872,$B96,'июль 2024'!$J$4:$J$1872,D$1)</f>
        <v>0</v>
      </c>
      <c r="E96" s="80">
        <f>SUMIFS('июль 2024'!$G$4:$G$1872,'июль 2024'!$D$4:$D$1872,$B96,'июль 2024'!$J$4:$J$1872,E$1)</f>
        <v>0</v>
      </c>
      <c r="F96" s="80">
        <f>SUMIFS('июль 2024'!$G$4:$G$1872,'июль 2024'!$D$4:$D$1872,$B96,'июль 2024'!$J$4:$J$1872,F$1)</f>
        <v>0</v>
      </c>
      <c r="G96" s="80">
        <f>SUMIFS('июль 2024'!$G$4:$G$1872,'июль 2024'!$D$4:$D$1872,$B96,'июль 2024'!$J$4:$J$1872,G$1)</f>
        <v>0</v>
      </c>
      <c r="H96" s="80">
        <f>SUMIFS('июль 2024'!$G$4:$G$1872,'июль 2024'!$D$4:$D$1872,$B96,'июль 2024'!$J$4:$J$1872,H$1)</f>
        <v>0</v>
      </c>
      <c r="I96" s="80">
        <f>SUMIFS('июль 2024'!$G$4:$G$1872,'июль 2024'!$D$4:$D$1872,$B96,'июль 2024'!$J$4:$J$1872,I$1)</f>
        <v>0</v>
      </c>
      <c r="J96" s="80">
        <f>SUMIFS('июль 2024'!$G$4:$G$1872,'июль 2024'!$D$4:$D$1872,$B96,'июль 2024'!$J$4:$J$1872,J$1)</f>
        <v>0</v>
      </c>
      <c r="K96" s="80">
        <f>SUMIFS('июль 2024'!$G$4:$G$1872,'июль 2024'!$D$4:$D$1872,$B96,'июль 2024'!$J$4:$J$1872,K$1)</f>
        <v>0</v>
      </c>
      <c r="L96" s="80">
        <f>SUMIFS('июль 2024'!$G$4:$G$1872,'июль 2024'!$D$4:$D$1872,$B96,'июль 2024'!$J$4:$J$1872,L$1)</f>
        <v>0</v>
      </c>
      <c r="M96" s="80">
        <f>SUMIFS('июль 2024'!$G$4:$G$1872,'июль 2024'!$D$4:$D$1872,$B96,'июль 2024'!$J$4:$J$1872,M$1)</f>
        <v>16</v>
      </c>
      <c r="N96" s="80">
        <f>SUMIFS('июль 2024'!$G$4:$G$1872,'июль 2024'!$D$4:$D$1872,$B96,'июль 2024'!$J$4:$J$1872,N$1)</f>
        <v>0</v>
      </c>
      <c r="O96" s="80">
        <f>SUMIFS('июль 2024'!$G$4:$G$1872,'июль 2024'!$D$4:$D$1872,$B96,'июль 2024'!$J$4:$J$1872,O$1)</f>
        <v>0</v>
      </c>
      <c r="P96" s="80">
        <f>SUMIFS('июль 2024'!$G$4:$G$1872,'июль 2024'!$D$4:$D$1872,$B96,'июль 2024'!$J$4:$J$1872,P$1)</f>
        <v>0</v>
      </c>
      <c r="Q96" s="80">
        <f>SUMIFS('июль 2024'!$G$4:$G$1872,'июль 2024'!$D$4:$D$1872,$B96,'июль 2024'!$J$4:$J$1872,Q$1)</f>
        <v>0</v>
      </c>
      <c r="R96" s="80">
        <f>SUMIFS('июль 2024'!$G$4:$G$1872,'июль 2024'!$D$4:$D$1872,$B96,'июль 2024'!$J$4:$J$1872,R$1)</f>
        <v>48</v>
      </c>
      <c r="S96" s="80">
        <f>SUMIFS('июль 2024'!$G$4:$G$1872,'июль 2024'!$D$4:$D$1872,$B96,'июль 2024'!$J$4:$J$1872,S$1)</f>
        <v>0</v>
      </c>
      <c r="T96" s="80">
        <f>SUMIFS('июль 2024'!$G$4:$G$1872,'июль 2024'!$D$4:$D$1872,$B96,'июль 2024'!$J$4:$J$1872,T$1)</f>
        <v>0</v>
      </c>
      <c r="U96" s="80">
        <f>SUMIFS('июль 2024'!$G$4:$G$1872,'июль 2024'!$D$4:$D$1872,$B96,'июль 2024'!$J$4:$J$1872,U$1)</f>
        <v>0</v>
      </c>
      <c r="V96" s="80">
        <f>SUMIFS('июль 2024'!$G$4:$G$1872,'июль 2024'!$D$4:$D$1872,$B96,'июль 2024'!$J$4:$J$1872,V$1)</f>
        <v>0</v>
      </c>
      <c r="W96" s="80">
        <f>SUMIFS('июль 2024'!$G$4:$G$1872,'июль 2024'!$D$4:$D$1872,$B96,'июль 2024'!$J$4:$J$1872,W$1)</f>
        <v>0</v>
      </c>
      <c r="X96" s="80">
        <f>SUMIFS('июль 2024'!$G$4:$G$1872,'июль 2024'!$D$4:$D$1872,$B96,'июль 2024'!$J$4:$J$1872,X$1)</f>
        <v>0</v>
      </c>
      <c r="Y96" s="80">
        <f>SUMIFS('июль 2024'!$G$4:$G$1872,'июль 2024'!$D$4:$D$1872,$B96,'июль 2024'!$J$4:$J$1872,Y$1)</f>
        <v>0</v>
      </c>
      <c r="Z96" s="80">
        <f>SUMIFS('июль 2024'!$G$4:$G$1872,'июль 2024'!$D$4:$D$1872,$B96,'июль 2024'!$J$4:$J$1872,Z$1)</f>
        <v>0</v>
      </c>
      <c r="AA96" s="80">
        <f>SUMIFS('июль 2024'!$G$4:$G$1872,'июль 2024'!$D$4:$D$1872,$B96,'июль 2024'!$J$4:$J$1872,AA$1)</f>
        <v>0</v>
      </c>
      <c r="AB96" s="80">
        <f>SUMIFS('июль 2024'!$G$4:$G$1872,'июль 2024'!$D$4:$D$1872,$B96,'июль 2024'!$J$4:$J$1872,AB$1)</f>
        <v>0</v>
      </c>
      <c r="AC96" s="80">
        <f>SUMIFS('июль 2024'!$G$4:$G$1872,'июль 2024'!$D$4:$D$1872,$B96,'июль 2024'!$J$4:$J$1872,AC$1)</f>
        <v>0</v>
      </c>
      <c r="AD96" s="80">
        <f>SUMIFS('июль 2024'!$G$4:$G$1872,'июль 2024'!$D$4:$D$1872,$B96,'июль 2024'!$J$4:$J$1872,AD$1)</f>
        <v>0</v>
      </c>
      <c r="AE96" s="80">
        <f>SUMIFS('июль 2024'!$G$4:$G$1872,'июль 2024'!$D$4:$D$1872,$B96,'июль 2024'!$J$4:$J$1872,AE$1)</f>
        <v>0</v>
      </c>
      <c r="AF96" s="80">
        <f>SUMIFS('июль 2024'!$G$4:$G$1872,'июль 2024'!$D$4:$D$1872,$B96,'июль 2024'!$J$4:$J$1872,AF$1)</f>
        <v>0</v>
      </c>
      <c r="AG96" s="80">
        <f>SUMIFS('июль 2024'!$G$4:$G$1872,'июль 2024'!$D$4:$D$1872,$B96,'июль 2024'!$J$4:$J$1872,AG$1)</f>
        <v>0</v>
      </c>
      <c r="AH96" s="80">
        <f>SUMIFS('июль 2024'!$G$4:$G$1872,'июль 2024'!$D$4:$D$1872,$B96,'июль 2024'!$J$4:$J$1872,AH$1)</f>
        <v>0</v>
      </c>
      <c r="AI96" s="21">
        <f t="shared" si="1"/>
        <v>64</v>
      </c>
    </row>
    <row r="97" spans="2:35" ht="15" customHeight="1" x14ac:dyDescent="0.25">
      <c r="B97" s="92" t="s">
        <v>175</v>
      </c>
      <c r="C97" s="91">
        <v>180</v>
      </c>
      <c r="D97" s="80">
        <f>SUMIFS('июль 2024'!$G$4:$G$1872,'июль 2024'!$D$4:$D$1872,$B97,'июль 2024'!$J$4:$J$1872,D$1)</f>
        <v>0</v>
      </c>
      <c r="E97" s="80">
        <f>SUMIFS('июль 2024'!$G$4:$G$1872,'июль 2024'!$D$4:$D$1872,$B97,'июль 2024'!$J$4:$J$1872,E$1)</f>
        <v>0</v>
      </c>
      <c r="F97" s="80">
        <f>SUMIFS('июль 2024'!$G$4:$G$1872,'июль 2024'!$D$4:$D$1872,$B97,'июль 2024'!$J$4:$J$1872,F$1)</f>
        <v>0</v>
      </c>
      <c r="G97" s="80">
        <f>SUMIFS('июль 2024'!$G$4:$G$1872,'июль 2024'!$D$4:$D$1872,$B97,'июль 2024'!$J$4:$J$1872,G$1)</f>
        <v>0</v>
      </c>
      <c r="H97" s="80">
        <f>SUMIFS('июль 2024'!$G$4:$G$1872,'июль 2024'!$D$4:$D$1872,$B97,'июль 2024'!$J$4:$J$1872,H$1)</f>
        <v>0</v>
      </c>
      <c r="I97" s="80">
        <f>SUMIFS('июль 2024'!$G$4:$G$1872,'июль 2024'!$D$4:$D$1872,$B97,'июль 2024'!$J$4:$J$1872,I$1)</f>
        <v>0</v>
      </c>
      <c r="J97" s="80">
        <f>SUMIFS('июль 2024'!$G$4:$G$1872,'июль 2024'!$D$4:$D$1872,$B97,'июль 2024'!$J$4:$J$1872,J$1)</f>
        <v>0</v>
      </c>
      <c r="K97" s="80">
        <f>SUMIFS('июль 2024'!$G$4:$G$1872,'июль 2024'!$D$4:$D$1872,$B97,'июль 2024'!$J$4:$J$1872,K$1)</f>
        <v>0</v>
      </c>
      <c r="L97" s="80">
        <f>SUMIFS('июль 2024'!$G$4:$G$1872,'июль 2024'!$D$4:$D$1872,$B97,'июль 2024'!$J$4:$J$1872,L$1)</f>
        <v>0</v>
      </c>
      <c r="M97" s="80">
        <f>SUMIFS('июль 2024'!$G$4:$G$1872,'июль 2024'!$D$4:$D$1872,$B97,'июль 2024'!$J$4:$J$1872,M$1)</f>
        <v>0</v>
      </c>
      <c r="N97" s="80">
        <f>SUMIFS('июль 2024'!$G$4:$G$1872,'июль 2024'!$D$4:$D$1872,$B97,'июль 2024'!$J$4:$J$1872,N$1)</f>
        <v>0</v>
      </c>
      <c r="O97" s="80">
        <f>SUMIFS('июль 2024'!$G$4:$G$1872,'июль 2024'!$D$4:$D$1872,$B97,'июль 2024'!$J$4:$J$1872,O$1)</f>
        <v>0</v>
      </c>
      <c r="P97" s="80">
        <f>SUMIFS('июль 2024'!$G$4:$G$1872,'июль 2024'!$D$4:$D$1872,$B97,'июль 2024'!$J$4:$J$1872,P$1)</f>
        <v>0</v>
      </c>
      <c r="Q97" s="80">
        <f>SUMIFS('июль 2024'!$G$4:$G$1872,'июль 2024'!$D$4:$D$1872,$B97,'июль 2024'!$J$4:$J$1872,Q$1)</f>
        <v>0</v>
      </c>
      <c r="R97" s="80">
        <f>SUMIFS('июль 2024'!$G$4:$G$1872,'июль 2024'!$D$4:$D$1872,$B97,'июль 2024'!$J$4:$J$1872,R$1)</f>
        <v>0</v>
      </c>
      <c r="S97" s="80">
        <f>SUMIFS('июль 2024'!$G$4:$G$1872,'июль 2024'!$D$4:$D$1872,$B97,'июль 2024'!$J$4:$J$1872,S$1)</f>
        <v>0</v>
      </c>
      <c r="T97" s="80">
        <f>SUMIFS('июль 2024'!$G$4:$G$1872,'июль 2024'!$D$4:$D$1872,$B97,'июль 2024'!$J$4:$J$1872,T$1)</f>
        <v>0</v>
      </c>
      <c r="U97" s="80">
        <f>SUMIFS('июль 2024'!$G$4:$G$1872,'июль 2024'!$D$4:$D$1872,$B97,'июль 2024'!$J$4:$J$1872,U$1)</f>
        <v>0</v>
      </c>
      <c r="V97" s="80">
        <f>SUMIFS('июль 2024'!$G$4:$G$1872,'июль 2024'!$D$4:$D$1872,$B97,'июль 2024'!$J$4:$J$1872,V$1)</f>
        <v>0</v>
      </c>
      <c r="W97" s="80">
        <f>SUMIFS('июль 2024'!$G$4:$G$1872,'июль 2024'!$D$4:$D$1872,$B97,'июль 2024'!$J$4:$J$1872,W$1)</f>
        <v>0</v>
      </c>
      <c r="X97" s="80">
        <f>SUMIFS('июль 2024'!$G$4:$G$1872,'июль 2024'!$D$4:$D$1872,$B97,'июль 2024'!$J$4:$J$1872,X$1)</f>
        <v>0</v>
      </c>
      <c r="Y97" s="80">
        <f>SUMIFS('июль 2024'!$G$4:$G$1872,'июль 2024'!$D$4:$D$1872,$B97,'июль 2024'!$J$4:$J$1872,Y$1)</f>
        <v>0</v>
      </c>
      <c r="Z97" s="80">
        <f>SUMIFS('июль 2024'!$G$4:$G$1872,'июль 2024'!$D$4:$D$1872,$B97,'июль 2024'!$J$4:$J$1872,Z$1)</f>
        <v>0</v>
      </c>
      <c r="AA97" s="80">
        <f>SUMIFS('июль 2024'!$G$4:$G$1872,'июль 2024'!$D$4:$D$1872,$B97,'июль 2024'!$J$4:$J$1872,AA$1)</f>
        <v>0</v>
      </c>
      <c r="AB97" s="80">
        <f>SUMIFS('июль 2024'!$G$4:$G$1872,'июль 2024'!$D$4:$D$1872,$B97,'июль 2024'!$J$4:$J$1872,AB$1)</f>
        <v>0</v>
      </c>
      <c r="AC97" s="80">
        <f>SUMIFS('июль 2024'!$G$4:$G$1872,'июль 2024'!$D$4:$D$1872,$B97,'июль 2024'!$J$4:$J$1872,AC$1)</f>
        <v>0</v>
      </c>
      <c r="AD97" s="80">
        <f>SUMIFS('июль 2024'!$G$4:$G$1872,'июль 2024'!$D$4:$D$1872,$B97,'июль 2024'!$J$4:$J$1872,AD$1)</f>
        <v>0</v>
      </c>
      <c r="AE97" s="80">
        <f>SUMIFS('июль 2024'!$G$4:$G$1872,'июль 2024'!$D$4:$D$1872,$B97,'июль 2024'!$J$4:$J$1872,AE$1)</f>
        <v>0</v>
      </c>
      <c r="AF97" s="80">
        <f>SUMIFS('июль 2024'!$G$4:$G$1872,'июль 2024'!$D$4:$D$1872,$B97,'июль 2024'!$J$4:$J$1872,AF$1)</f>
        <v>0</v>
      </c>
      <c r="AG97" s="80">
        <f>SUMIFS('июль 2024'!$G$4:$G$1872,'июль 2024'!$D$4:$D$1872,$B97,'июль 2024'!$J$4:$J$1872,AG$1)</f>
        <v>0</v>
      </c>
      <c r="AH97" s="80">
        <f>SUMIFS('июль 2024'!$G$4:$G$1872,'июль 2024'!$D$4:$D$1872,$B97,'июль 2024'!$J$4:$J$1872,AH$1)</f>
        <v>0</v>
      </c>
      <c r="AI97" s="21">
        <f t="shared" si="1"/>
        <v>0</v>
      </c>
    </row>
    <row r="98" spans="2:35" ht="15" customHeight="1" x14ac:dyDescent="0.25">
      <c r="B98" s="89" t="s">
        <v>176</v>
      </c>
      <c r="C98" s="91">
        <v>200</v>
      </c>
      <c r="D98" s="80">
        <f>SUMIFS('июль 2024'!$G$4:$G$1872,'июль 2024'!$D$4:$D$1872,$B98,'июль 2024'!$J$4:$J$1872,D$1)</f>
        <v>0</v>
      </c>
      <c r="E98" s="80">
        <f>SUMIFS('июль 2024'!$G$4:$G$1872,'июль 2024'!$D$4:$D$1872,$B98,'июль 2024'!$J$4:$J$1872,E$1)</f>
        <v>0</v>
      </c>
      <c r="F98" s="80">
        <f>SUMIFS('июль 2024'!$G$4:$G$1872,'июль 2024'!$D$4:$D$1872,$B98,'июль 2024'!$J$4:$J$1872,F$1)</f>
        <v>0</v>
      </c>
      <c r="G98" s="80">
        <f>SUMIFS('июль 2024'!$G$4:$G$1872,'июль 2024'!$D$4:$D$1872,$B98,'июль 2024'!$J$4:$J$1872,G$1)</f>
        <v>0</v>
      </c>
      <c r="H98" s="80">
        <f>SUMIFS('июль 2024'!$G$4:$G$1872,'июль 2024'!$D$4:$D$1872,$B98,'июль 2024'!$J$4:$J$1872,H$1)</f>
        <v>0</v>
      </c>
      <c r="I98" s="80">
        <f>SUMIFS('июль 2024'!$G$4:$G$1872,'июль 2024'!$D$4:$D$1872,$B98,'июль 2024'!$J$4:$J$1872,I$1)</f>
        <v>0</v>
      </c>
      <c r="J98" s="80">
        <f>SUMIFS('июль 2024'!$G$4:$G$1872,'июль 2024'!$D$4:$D$1872,$B98,'июль 2024'!$J$4:$J$1872,J$1)</f>
        <v>0</v>
      </c>
      <c r="K98" s="80">
        <f>SUMIFS('июль 2024'!$G$4:$G$1872,'июль 2024'!$D$4:$D$1872,$B98,'июль 2024'!$J$4:$J$1872,K$1)</f>
        <v>0</v>
      </c>
      <c r="L98" s="80">
        <f>SUMIFS('июль 2024'!$G$4:$G$1872,'июль 2024'!$D$4:$D$1872,$B98,'июль 2024'!$J$4:$J$1872,L$1)</f>
        <v>0</v>
      </c>
      <c r="M98" s="80">
        <f>SUMIFS('июль 2024'!$G$4:$G$1872,'июль 2024'!$D$4:$D$1872,$B98,'июль 2024'!$J$4:$J$1872,M$1)</f>
        <v>0</v>
      </c>
      <c r="N98" s="80">
        <f>SUMIFS('июль 2024'!$G$4:$G$1872,'июль 2024'!$D$4:$D$1872,$B98,'июль 2024'!$J$4:$J$1872,N$1)</f>
        <v>0</v>
      </c>
      <c r="O98" s="80">
        <f>SUMIFS('июль 2024'!$G$4:$G$1872,'июль 2024'!$D$4:$D$1872,$B98,'июль 2024'!$J$4:$J$1872,O$1)</f>
        <v>0</v>
      </c>
      <c r="P98" s="80">
        <f>SUMIFS('июль 2024'!$G$4:$G$1872,'июль 2024'!$D$4:$D$1872,$B98,'июль 2024'!$J$4:$J$1872,P$1)</f>
        <v>0</v>
      </c>
      <c r="Q98" s="80">
        <f>SUMIFS('июль 2024'!$G$4:$G$1872,'июль 2024'!$D$4:$D$1872,$B98,'июль 2024'!$J$4:$J$1872,Q$1)</f>
        <v>0</v>
      </c>
      <c r="R98" s="80">
        <f>SUMIFS('июль 2024'!$G$4:$G$1872,'июль 2024'!$D$4:$D$1872,$B98,'июль 2024'!$J$4:$J$1872,R$1)</f>
        <v>0</v>
      </c>
      <c r="S98" s="80">
        <f>SUMIFS('июль 2024'!$G$4:$G$1872,'июль 2024'!$D$4:$D$1872,$B98,'июль 2024'!$J$4:$J$1872,S$1)</f>
        <v>0</v>
      </c>
      <c r="T98" s="80">
        <f>SUMIFS('июль 2024'!$G$4:$G$1872,'июль 2024'!$D$4:$D$1872,$B98,'июль 2024'!$J$4:$J$1872,T$1)</f>
        <v>0</v>
      </c>
      <c r="U98" s="80">
        <f>SUMIFS('июль 2024'!$G$4:$G$1872,'июль 2024'!$D$4:$D$1872,$B98,'июль 2024'!$J$4:$J$1872,U$1)</f>
        <v>0</v>
      </c>
      <c r="V98" s="80">
        <f>SUMIFS('июль 2024'!$G$4:$G$1872,'июль 2024'!$D$4:$D$1872,$B98,'июль 2024'!$J$4:$J$1872,V$1)</f>
        <v>0</v>
      </c>
      <c r="W98" s="80">
        <f>SUMIFS('июль 2024'!$G$4:$G$1872,'июль 2024'!$D$4:$D$1872,$B98,'июль 2024'!$J$4:$J$1872,W$1)</f>
        <v>0</v>
      </c>
      <c r="X98" s="80">
        <f>SUMIFS('июль 2024'!$G$4:$G$1872,'июль 2024'!$D$4:$D$1872,$B98,'июль 2024'!$J$4:$J$1872,X$1)</f>
        <v>0</v>
      </c>
      <c r="Y98" s="80">
        <f>SUMIFS('июль 2024'!$G$4:$G$1872,'июль 2024'!$D$4:$D$1872,$B98,'июль 2024'!$J$4:$J$1872,Y$1)</f>
        <v>0</v>
      </c>
      <c r="Z98" s="80">
        <f>SUMIFS('июль 2024'!$G$4:$G$1872,'июль 2024'!$D$4:$D$1872,$B98,'июль 2024'!$J$4:$J$1872,Z$1)</f>
        <v>0</v>
      </c>
      <c r="AA98" s="80">
        <f>SUMIFS('июль 2024'!$G$4:$G$1872,'июль 2024'!$D$4:$D$1872,$B98,'июль 2024'!$J$4:$J$1872,AA$1)</f>
        <v>0</v>
      </c>
      <c r="AB98" s="80">
        <f>SUMIFS('июль 2024'!$G$4:$G$1872,'июль 2024'!$D$4:$D$1872,$B98,'июль 2024'!$J$4:$J$1872,AB$1)</f>
        <v>0</v>
      </c>
      <c r="AC98" s="80">
        <f>SUMIFS('июль 2024'!$G$4:$G$1872,'июль 2024'!$D$4:$D$1872,$B98,'июль 2024'!$J$4:$J$1872,AC$1)</f>
        <v>0</v>
      </c>
      <c r="AD98" s="80">
        <f>SUMIFS('июль 2024'!$G$4:$G$1872,'июль 2024'!$D$4:$D$1872,$B98,'июль 2024'!$J$4:$J$1872,AD$1)</f>
        <v>0</v>
      </c>
      <c r="AE98" s="80">
        <f>SUMIFS('июль 2024'!$G$4:$G$1872,'июль 2024'!$D$4:$D$1872,$B98,'июль 2024'!$J$4:$J$1872,AE$1)</f>
        <v>0</v>
      </c>
      <c r="AF98" s="80">
        <f>SUMIFS('июль 2024'!$G$4:$G$1872,'июль 2024'!$D$4:$D$1872,$B98,'июль 2024'!$J$4:$J$1872,AF$1)</f>
        <v>0</v>
      </c>
      <c r="AG98" s="80">
        <f>SUMIFS('июль 2024'!$G$4:$G$1872,'июль 2024'!$D$4:$D$1872,$B98,'июль 2024'!$J$4:$J$1872,AG$1)</f>
        <v>0</v>
      </c>
      <c r="AH98" s="80">
        <f>SUMIFS('июль 2024'!$G$4:$G$1872,'июль 2024'!$D$4:$D$1872,$B98,'июль 2024'!$J$4:$J$1872,AH$1)</f>
        <v>0</v>
      </c>
      <c r="AI98" s="21">
        <f t="shared" si="1"/>
        <v>0</v>
      </c>
    </row>
    <row r="99" spans="2:35" ht="15" customHeight="1" x14ac:dyDescent="0.25">
      <c r="B99" s="89" t="s">
        <v>205</v>
      </c>
      <c r="C99" s="88">
        <v>185</v>
      </c>
      <c r="D99" s="80">
        <f>SUMIFS('июль 2024'!$G$4:$G$1872,'июль 2024'!$D$4:$D$1872,$B99,'июль 2024'!$J$4:$J$1872,D$1)</f>
        <v>0</v>
      </c>
      <c r="E99" s="80">
        <f>SUMIFS('июль 2024'!$G$4:$G$1872,'июль 2024'!$D$4:$D$1872,$B99,'июль 2024'!$J$4:$J$1872,E$1)</f>
        <v>0</v>
      </c>
      <c r="F99" s="80">
        <f>SUMIFS('июль 2024'!$G$4:$G$1872,'июль 2024'!$D$4:$D$1872,$B99,'июль 2024'!$J$4:$J$1872,F$1)</f>
        <v>0</v>
      </c>
      <c r="G99" s="80">
        <f>SUMIFS('июль 2024'!$G$4:$G$1872,'июль 2024'!$D$4:$D$1872,$B99,'июль 2024'!$J$4:$J$1872,G$1)</f>
        <v>0</v>
      </c>
      <c r="H99" s="80">
        <f>SUMIFS('июль 2024'!$G$4:$G$1872,'июль 2024'!$D$4:$D$1872,$B99,'июль 2024'!$J$4:$J$1872,H$1)</f>
        <v>0</v>
      </c>
      <c r="I99" s="80">
        <f>SUMIFS('июль 2024'!$G$4:$G$1872,'июль 2024'!$D$4:$D$1872,$B99,'июль 2024'!$J$4:$J$1872,I$1)</f>
        <v>0</v>
      </c>
      <c r="J99" s="80">
        <f>SUMIFS('июль 2024'!$G$4:$G$1872,'июль 2024'!$D$4:$D$1872,$B99,'июль 2024'!$J$4:$J$1872,J$1)</f>
        <v>0</v>
      </c>
      <c r="K99" s="80">
        <f>SUMIFS('июль 2024'!$G$4:$G$1872,'июль 2024'!$D$4:$D$1872,$B99,'июль 2024'!$J$4:$J$1872,K$1)</f>
        <v>0</v>
      </c>
      <c r="L99" s="80">
        <f>SUMIFS('июль 2024'!$G$4:$G$1872,'июль 2024'!$D$4:$D$1872,$B99,'июль 2024'!$J$4:$J$1872,L$1)</f>
        <v>0</v>
      </c>
      <c r="M99" s="80">
        <f>SUMIFS('июль 2024'!$G$4:$G$1872,'июль 2024'!$D$4:$D$1872,$B99,'июль 2024'!$J$4:$J$1872,M$1)</f>
        <v>0</v>
      </c>
      <c r="N99" s="80">
        <f>SUMIFS('июль 2024'!$G$4:$G$1872,'июль 2024'!$D$4:$D$1872,$B99,'июль 2024'!$J$4:$J$1872,N$1)</f>
        <v>0</v>
      </c>
      <c r="O99" s="80">
        <f>SUMIFS('июль 2024'!$G$4:$G$1872,'июль 2024'!$D$4:$D$1872,$B99,'июль 2024'!$J$4:$J$1872,O$1)</f>
        <v>0</v>
      </c>
      <c r="P99" s="80">
        <f>SUMIFS('июль 2024'!$G$4:$G$1872,'июль 2024'!$D$4:$D$1872,$B99,'июль 2024'!$J$4:$J$1872,P$1)</f>
        <v>0</v>
      </c>
      <c r="Q99" s="80">
        <f>SUMIFS('июль 2024'!$G$4:$G$1872,'июль 2024'!$D$4:$D$1872,$B99,'июль 2024'!$J$4:$J$1872,Q$1)</f>
        <v>0</v>
      </c>
      <c r="R99" s="80">
        <f>SUMIFS('июль 2024'!$G$4:$G$1872,'июль 2024'!$D$4:$D$1872,$B99,'июль 2024'!$J$4:$J$1872,R$1)</f>
        <v>0</v>
      </c>
      <c r="S99" s="80">
        <f>SUMIFS('июль 2024'!$G$4:$G$1872,'июль 2024'!$D$4:$D$1872,$B99,'июль 2024'!$J$4:$J$1872,S$1)</f>
        <v>0</v>
      </c>
      <c r="T99" s="80">
        <f>SUMIFS('июль 2024'!$G$4:$G$1872,'июль 2024'!$D$4:$D$1872,$B99,'июль 2024'!$J$4:$J$1872,T$1)</f>
        <v>0</v>
      </c>
      <c r="U99" s="80">
        <f>SUMIFS('июль 2024'!$G$4:$G$1872,'июль 2024'!$D$4:$D$1872,$B99,'июль 2024'!$J$4:$J$1872,U$1)</f>
        <v>0</v>
      </c>
      <c r="V99" s="80">
        <f>SUMIFS('июль 2024'!$G$4:$G$1872,'июль 2024'!$D$4:$D$1872,$B99,'июль 2024'!$J$4:$J$1872,V$1)</f>
        <v>0</v>
      </c>
      <c r="W99" s="80">
        <f>SUMIFS('июль 2024'!$G$4:$G$1872,'июль 2024'!$D$4:$D$1872,$B99,'июль 2024'!$J$4:$J$1872,W$1)</f>
        <v>0</v>
      </c>
      <c r="X99" s="80">
        <f>SUMIFS('июль 2024'!$G$4:$G$1872,'июль 2024'!$D$4:$D$1872,$B99,'июль 2024'!$J$4:$J$1872,X$1)</f>
        <v>0</v>
      </c>
      <c r="Y99" s="80">
        <f>SUMIFS('июль 2024'!$G$4:$G$1872,'июль 2024'!$D$4:$D$1872,$B99,'июль 2024'!$J$4:$J$1872,Y$1)</f>
        <v>0</v>
      </c>
      <c r="Z99" s="80">
        <f>SUMIFS('июль 2024'!$G$4:$G$1872,'июль 2024'!$D$4:$D$1872,$B99,'июль 2024'!$J$4:$J$1872,Z$1)</f>
        <v>0</v>
      </c>
      <c r="AA99" s="80">
        <f>SUMIFS('июль 2024'!$G$4:$G$1872,'июль 2024'!$D$4:$D$1872,$B99,'июль 2024'!$J$4:$J$1872,AA$1)</f>
        <v>0</v>
      </c>
      <c r="AB99" s="80">
        <f>SUMIFS('июль 2024'!$G$4:$G$1872,'июль 2024'!$D$4:$D$1872,$B99,'июль 2024'!$J$4:$J$1872,AB$1)</f>
        <v>0</v>
      </c>
      <c r="AC99" s="80">
        <f>SUMIFS('июль 2024'!$G$4:$G$1872,'июль 2024'!$D$4:$D$1872,$B99,'июль 2024'!$J$4:$J$1872,AC$1)</f>
        <v>0</v>
      </c>
      <c r="AD99" s="80">
        <f>SUMIFS('июль 2024'!$G$4:$G$1872,'июль 2024'!$D$4:$D$1872,$B99,'июль 2024'!$J$4:$J$1872,AD$1)</f>
        <v>0</v>
      </c>
      <c r="AE99" s="80">
        <f>SUMIFS('июль 2024'!$G$4:$G$1872,'июль 2024'!$D$4:$D$1872,$B99,'июль 2024'!$J$4:$J$1872,AE$1)</f>
        <v>0</v>
      </c>
      <c r="AF99" s="80">
        <f>SUMIFS('июль 2024'!$G$4:$G$1872,'июль 2024'!$D$4:$D$1872,$B99,'июль 2024'!$J$4:$J$1872,AF$1)</f>
        <v>0</v>
      </c>
      <c r="AG99" s="80">
        <f>SUMIFS('июль 2024'!$G$4:$G$1872,'июль 2024'!$D$4:$D$1872,$B99,'июль 2024'!$J$4:$J$1872,AG$1)</f>
        <v>0</v>
      </c>
      <c r="AH99" s="80">
        <f>SUMIFS('июль 2024'!$G$4:$G$1872,'июль 2024'!$D$4:$D$1872,$B99,'июль 2024'!$J$4:$J$1872,AH$1)</f>
        <v>0</v>
      </c>
      <c r="AI99" s="21">
        <f t="shared" si="1"/>
        <v>0</v>
      </c>
    </row>
    <row r="100" spans="2:35" ht="15" customHeight="1" x14ac:dyDescent="0.25">
      <c r="B100" s="89" t="s">
        <v>206</v>
      </c>
      <c r="C100" s="88">
        <v>185</v>
      </c>
      <c r="D100" s="80">
        <f>SUMIFS('июль 2024'!$G$4:$G$1872,'июль 2024'!$D$4:$D$1872,$B100,'июль 2024'!$J$4:$J$1872,D$1)</f>
        <v>0</v>
      </c>
      <c r="E100" s="80">
        <f>SUMIFS('июль 2024'!$G$4:$G$1872,'июль 2024'!$D$4:$D$1872,$B100,'июль 2024'!$J$4:$J$1872,E$1)</f>
        <v>0</v>
      </c>
      <c r="F100" s="80">
        <f>SUMIFS('июль 2024'!$G$4:$G$1872,'июль 2024'!$D$4:$D$1872,$B100,'июль 2024'!$J$4:$J$1872,F$1)</f>
        <v>0</v>
      </c>
      <c r="G100" s="80">
        <f>SUMIFS('июль 2024'!$G$4:$G$1872,'июль 2024'!$D$4:$D$1872,$B100,'июль 2024'!$J$4:$J$1872,G$1)</f>
        <v>0</v>
      </c>
      <c r="H100" s="80">
        <f>SUMIFS('июль 2024'!$G$4:$G$1872,'июль 2024'!$D$4:$D$1872,$B100,'июль 2024'!$J$4:$J$1872,H$1)</f>
        <v>0</v>
      </c>
      <c r="I100" s="80">
        <f>SUMIFS('июль 2024'!$G$4:$G$1872,'июль 2024'!$D$4:$D$1872,$B100,'июль 2024'!$J$4:$J$1872,I$1)</f>
        <v>0</v>
      </c>
      <c r="J100" s="80">
        <f>SUMIFS('июль 2024'!$G$4:$G$1872,'июль 2024'!$D$4:$D$1872,$B100,'июль 2024'!$J$4:$J$1872,J$1)</f>
        <v>0</v>
      </c>
      <c r="K100" s="80">
        <f>SUMIFS('июль 2024'!$G$4:$G$1872,'июль 2024'!$D$4:$D$1872,$B100,'июль 2024'!$J$4:$J$1872,K$1)</f>
        <v>0</v>
      </c>
      <c r="L100" s="80">
        <f>SUMIFS('июль 2024'!$G$4:$G$1872,'июль 2024'!$D$4:$D$1872,$B100,'июль 2024'!$J$4:$J$1872,L$1)</f>
        <v>0</v>
      </c>
      <c r="M100" s="80">
        <f>SUMIFS('июль 2024'!$G$4:$G$1872,'июль 2024'!$D$4:$D$1872,$B100,'июль 2024'!$J$4:$J$1872,M$1)</f>
        <v>80</v>
      </c>
      <c r="N100" s="80">
        <f>SUMIFS('июль 2024'!$G$4:$G$1872,'июль 2024'!$D$4:$D$1872,$B100,'июль 2024'!$J$4:$J$1872,N$1)</f>
        <v>0</v>
      </c>
      <c r="O100" s="80">
        <f>SUMIFS('июль 2024'!$G$4:$G$1872,'июль 2024'!$D$4:$D$1872,$B100,'июль 2024'!$J$4:$J$1872,O$1)</f>
        <v>0</v>
      </c>
      <c r="P100" s="80">
        <f>SUMIFS('июль 2024'!$G$4:$G$1872,'июль 2024'!$D$4:$D$1872,$B100,'июль 2024'!$J$4:$J$1872,P$1)</f>
        <v>0</v>
      </c>
      <c r="Q100" s="80">
        <f>SUMIFS('июль 2024'!$G$4:$G$1872,'июль 2024'!$D$4:$D$1872,$B100,'июль 2024'!$J$4:$J$1872,Q$1)</f>
        <v>0</v>
      </c>
      <c r="R100" s="80">
        <f>SUMIFS('июль 2024'!$G$4:$G$1872,'июль 2024'!$D$4:$D$1872,$B100,'июль 2024'!$J$4:$J$1872,R$1)</f>
        <v>0</v>
      </c>
      <c r="S100" s="80">
        <f>SUMIFS('июль 2024'!$G$4:$G$1872,'июль 2024'!$D$4:$D$1872,$B100,'июль 2024'!$J$4:$J$1872,S$1)</f>
        <v>0</v>
      </c>
      <c r="T100" s="80">
        <f>SUMIFS('июль 2024'!$G$4:$G$1872,'июль 2024'!$D$4:$D$1872,$B100,'июль 2024'!$J$4:$J$1872,T$1)</f>
        <v>0</v>
      </c>
      <c r="U100" s="80">
        <f>SUMIFS('июль 2024'!$G$4:$G$1872,'июль 2024'!$D$4:$D$1872,$B100,'июль 2024'!$J$4:$J$1872,U$1)</f>
        <v>0</v>
      </c>
      <c r="V100" s="80">
        <f>SUMIFS('июль 2024'!$G$4:$G$1872,'июль 2024'!$D$4:$D$1872,$B100,'июль 2024'!$J$4:$J$1872,V$1)</f>
        <v>160</v>
      </c>
      <c r="W100" s="80">
        <f>SUMIFS('июль 2024'!$G$4:$G$1872,'июль 2024'!$D$4:$D$1872,$B100,'июль 2024'!$J$4:$J$1872,W$1)</f>
        <v>0</v>
      </c>
      <c r="X100" s="80">
        <f>SUMIFS('июль 2024'!$G$4:$G$1872,'июль 2024'!$D$4:$D$1872,$B100,'июль 2024'!$J$4:$J$1872,X$1)</f>
        <v>0</v>
      </c>
      <c r="Y100" s="80">
        <f>SUMIFS('июль 2024'!$G$4:$G$1872,'июль 2024'!$D$4:$D$1872,$B100,'июль 2024'!$J$4:$J$1872,Y$1)</f>
        <v>0</v>
      </c>
      <c r="Z100" s="80">
        <f>SUMIFS('июль 2024'!$G$4:$G$1872,'июль 2024'!$D$4:$D$1872,$B100,'июль 2024'!$J$4:$J$1872,Z$1)</f>
        <v>0</v>
      </c>
      <c r="AA100" s="80">
        <f>SUMIFS('июль 2024'!$G$4:$G$1872,'июль 2024'!$D$4:$D$1872,$B100,'июль 2024'!$J$4:$J$1872,AA$1)</f>
        <v>0</v>
      </c>
      <c r="AB100" s="80">
        <f>SUMIFS('июль 2024'!$G$4:$G$1872,'июль 2024'!$D$4:$D$1872,$B100,'июль 2024'!$J$4:$J$1872,AB$1)</f>
        <v>0</v>
      </c>
      <c r="AC100" s="80">
        <f>SUMIFS('июль 2024'!$G$4:$G$1872,'июль 2024'!$D$4:$D$1872,$B100,'июль 2024'!$J$4:$J$1872,AC$1)</f>
        <v>0</v>
      </c>
      <c r="AD100" s="80">
        <f>SUMIFS('июль 2024'!$G$4:$G$1872,'июль 2024'!$D$4:$D$1872,$B100,'июль 2024'!$J$4:$J$1872,AD$1)</f>
        <v>0</v>
      </c>
      <c r="AE100" s="80">
        <f>SUMIFS('июль 2024'!$G$4:$G$1872,'июль 2024'!$D$4:$D$1872,$B100,'июль 2024'!$J$4:$J$1872,AE$1)</f>
        <v>0</v>
      </c>
      <c r="AF100" s="80">
        <f>SUMIFS('июль 2024'!$G$4:$G$1872,'июль 2024'!$D$4:$D$1872,$B100,'июль 2024'!$J$4:$J$1872,AF$1)</f>
        <v>0</v>
      </c>
      <c r="AG100" s="80">
        <f>SUMIFS('июль 2024'!$G$4:$G$1872,'июль 2024'!$D$4:$D$1872,$B100,'июль 2024'!$J$4:$J$1872,AG$1)</f>
        <v>0</v>
      </c>
      <c r="AH100" s="80">
        <f>SUMIFS('июль 2024'!$G$4:$G$1872,'июль 2024'!$D$4:$D$1872,$B100,'июль 2024'!$J$4:$J$1872,AH$1)</f>
        <v>0</v>
      </c>
      <c r="AI100" s="21">
        <f t="shared" si="1"/>
        <v>240</v>
      </c>
    </row>
    <row r="101" spans="2:35" ht="15" customHeight="1" x14ac:dyDescent="0.25">
      <c r="B101" s="89" t="s">
        <v>324</v>
      </c>
      <c r="C101" s="88">
        <v>180</v>
      </c>
      <c r="D101" s="80">
        <f>SUMIFS('июль 2024'!$G$4:$G$1872,'июль 2024'!$D$4:$D$1872,$B101,'июль 2024'!$J$4:$J$1872,D$1)</f>
        <v>0</v>
      </c>
      <c r="E101" s="80">
        <f>SUMIFS('июль 2024'!$G$4:$G$1872,'июль 2024'!$D$4:$D$1872,$B101,'июль 2024'!$J$4:$J$1872,E$1)</f>
        <v>0</v>
      </c>
      <c r="F101" s="80">
        <f>SUMIFS('июль 2024'!$G$4:$G$1872,'июль 2024'!$D$4:$D$1872,$B101,'июль 2024'!$J$4:$J$1872,F$1)</f>
        <v>0</v>
      </c>
      <c r="G101" s="80">
        <f>SUMIFS('июль 2024'!$G$4:$G$1872,'июль 2024'!$D$4:$D$1872,$B101,'июль 2024'!$J$4:$J$1872,G$1)</f>
        <v>0</v>
      </c>
      <c r="H101" s="80">
        <f>SUMIFS('июль 2024'!$G$4:$G$1872,'июль 2024'!$D$4:$D$1872,$B101,'июль 2024'!$J$4:$J$1872,H$1)</f>
        <v>0</v>
      </c>
      <c r="I101" s="80">
        <f>SUMIFS('июль 2024'!$G$4:$G$1872,'июль 2024'!$D$4:$D$1872,$B101,'июль 2024'!$J$4:$J$1872,I$1)</f>
        <v>0</v>
      </c>
      <c r="J101" s="80">
        <f>SUMIFS('июль 2024'!$G$4:$G$1872,'июль 2024'!$D$4:$D$1872,$B101,'июль 2024'!$J$4:$J$1872,J$1)</f>
        <v>0</v>
      </c>
      <c r="K101" s="80">
        <f>SUMIFS('июль 2024'!$G$4:$G$1872,'июль 2024'!$D$4:$D$1872,$B101,'июль 2024'!$J$4:$J$1872,K$1)</f>
        <v>0</v>
      </c>
      <c r="L101" s="80">
        <f>SUMIFS('июль 2024'!$G$4:$G$1872,'июль 2024'!$D$4:$D$1872,$B101,'июль 2024'!$J$4:$J$1872,L$1)</f>
        <v>0</v>
      </c>
      <c r="M101" s="80">
        <f>SUMIFS('июль 2024'!$G$4:$G$1872,'июль 2024'!$D$4:$D$1872,$B101,'июль 2024'!$J$4:$J$1872,M$1)</f>
        <v>0</v>
      </c>
      <c r="N101" s="80">
        <f>SUMIFS('июль 2024'!$G$4:$G$1872,'июль 2024'!$D$4:$D$1872,$B101,'июль 2024'!$J$4:$J$1872,N$1)</f>
        <v>0</v>
      </c>
      <c r="O101" s="80">
        <f>SUMIFS('июль 2024'!$G$4:$G$1872,'июль 2024'!$D$4:$D$1872,$B101,'июль 2024'!$J$4:$J$1872,O$1)</f>
        <v>0</v>
      </c>
      <c r="P101" s="80">
        <f>SUMIFS('июль 2024'!$G$4:$G$1872,'июль 2024'!$D$4:$D$1872,$B101,'июль 2024'!$J$4:$J$1872,P$1)</f>
        <v>0</v>
      </c>
      <c r="Q101" s="80">
        <f>SUMIFS('июль 2024'!$G$4:$G$1872,'июль 2024'!$D$4:$D$1872,$B101,'июль 2024'!$J$4:$J$1872,Q$1)</f>
        <v>0</v>
      </c>
      <c r="R101" s="80">
        <f>SUMIFS('июль 2024'!$G$4:$G$1872,'июль 2024'!$D$4:$D$1872,$B101,'июль 2024'!$J$4:$J$1872,R$1)</f>
        <v>0</v>
      </c>
      <c r="S101" s="80">
        <f>SUMIFS('июль 2024'!$G$4:$G$1872,'июль 2024'!$D$4:$D$1872,$B101,'июль 2024'!$J$4:$J$1872,S$1)</f>
        <v>0</v>
      </c>
      <c r="T101" s="80">
        <f>SUMIFS('июль 2024'!$G$4:$G$1872,'июль 2024'!$D$4:$D$1872,$B101,'июль 2024'!$J$4:$J$1872,T$1)</f>
        <v>0</v>
      </c>
      <c r="U101" s="80">
        <f>SUMIFS('июль 2024'!$G$4:$G$1872,'июль 2024'!$D$4:$D$1872,$B101,'июль 2024'!$J$4:$J$1872,U$1)</f>
        <v>0</v>
      </c>
      <c r="V101" s="80">
        <f>SUMIFS('июль 2024'!$G$4:$G$1872,'июль 2024'!$D$4:$D$1872,$B101,'июль 2024'!$J$4:$J$1872,V$1)</f>
        <v>0</v>
      </c>
      <c r="W101" s="80">
        <f>SUMIFS('июль 2024'!$G$4:$G$1872,'июль 2024'!$D$4:$D$1872,$B101,'июль 2024'!$J$4:$J$1872,W$1)</f>
        <v>0</v>
      </c>
      <c r="X101" s="80">
        <f>SUMIFS('июль 2024'!$G$4:$G$1872,'июль 2024'!$D$4:$D$1872,$B101,'июль 2024'!$J$4:$J$1872,X$1)</f>
        <v>0</v>
      </c>
      <c r="Y101" s="80">
        <f>SUMIFS('июль 2024'!$G$4:$G$1872,'июль 2024'!$D$4:$D$1872,$B101,'июль 2024'!$J$4:$J$1872,Y$1)</f>
        <v>0</v>
      </c>
      <c r="Z101" s="80">
        <f>SUMIFS('июль 2024'!$G$4:$G$1872,'июль 2024'!$D$4:$D$1872,$B101,'июль 2024'!$J$4:$J$1872,Z$1)</f>
        <v>0</v>
      </c>
      <c r="AA101" s="80">
        <f>SUMIFS('июль 2024'!$G$4:$G$1872,'июль 2024'!$D$4:$D$1872,$B101,'июль 2024'!$J$4:$J$1872,AA$1)</f>
        <v>0</v>
      </c>
      <c r="AB101" s="80">
        <f>SUMIFS('июль 2024'!$G$4:$G$1872,'июль 2024'!$D$4:$D$1872,$B101,'июль 2024'!$J$4:$J$1872,AB$1)</f>
        <v>0</v>
      </c>
      <c r="AC101" s="80">
        <f>SUMIFS('июль 2024'!$G$4:$G$1872,'июль 2024'!$D$4:$D$1872,$B101,'июль 2024'!$J$4:$J$1872,AC$1)</f>
        <v>0</v>
      </c>
      <c r="AD101" s="80">
        <f>SUMIFS('июль 2024'!$G$4:$G$1872,'июль 2024'!$D$4:$D$1872,$B101,'июль 2024'!$J$4:$J$1872,AD$1)</f>
        <v>0</v>
      </c>
      <c r="AE101" s="80">
        <f>SUMIFS('июль 2024'!$G$4:$G$1872,'июль 2024'!$D$4:$D$1872,$B101,'июль 2024'!$J$4:$J$1872,AE$1)</f>
        <v>0</v>
      </c>
      <c r="AF101" s="80">
        <f>SUMIFS('июль 2024'!$G$4:$G$1872,'июль 2024'!$D$4:$D$1872,$B101,'июль 2024'!$J$4:$J$1872,AF$1)</f>
        <v>0</v>
      </c>
      <c r="AG101" s="80">
        <f>SUMIFS('июль 2024'!$G$4:$G$1872,'июль 2024'!$D$4:$D$1872,$B101,'июль 2024'!$J$4:$J$1872,AG$1)</f>
        <v>0</v>
      </c>
      <c r="AH101" s="80">
        <f>SUMIFS('июль 2024'!$G$4:$G$1872,'июль 2024'!$D$4:$D$1872,$B101,'июль 2024'!$J$4:$J$1872,AH$1)</f>
        <v>0</v>
      </c>
      <c r="AI101" s="21">
        <f t="shared" si="1"/>
        <v>0</v>
      </c>
    </row>
    <row r="102" spans="2:35" ht="15" customHeight="1" x14ac:dyDescent="0.25">
      <c r="B102" s="93" t="s">
        <v>325</v>
      </c>
      <c r="C102" s="91">
        <v>200</v>
      </c>
      <c r="D102" s="80">
        <f>SUMIFS('июль 2024'!$G$4:$G$1872,'июль 2024'!$D$4:$D$1872,$B102,'июль 2024'!$J$4:$J$1872,D$1)</f>
        <v>0</v>
      </c>
      <c r="E102" s="80">
        <f>SUMIFS('июль 2024'!$G$4:$G$1872,'июль 2024'!$D$4:$D$1872,$B102,'июль 2024'!$J$4:$J$1872,E$1)</f>
        <v>0</v>
      </c>
      <c r="F102" s="80">
        <f>SUMIFS('июль 2024'!$G$4:$G$1872,'июль 2024'!$D$4:$D$1872,$B102,'июль 2024'!$J$4:$J$1872,F$1)</f>
        <v>0</v>
      </c>
      <c r="G102" s="80">
        <f>SUMIFS('июль 2024'!$G$4:$G$1872,'июль 2024'!$D$4:$D$1872,$B102,'июль 2024'!$J$4:$J$1872,G$1)</f>
        <v>0</v>
      </c>
      <c r="H102" s="80">
        <f>SUMIFS('июль 2024'!$G$4:$G$1872,'июль 2024'!$D$4:$D$1872,$B102,'июль 2024'!$J$4:$J$1872,H$1)</f>
        <v>0</v>
      </c>
      <c r="I102" s="80">
        <f>SUMIFS('июль 2024'!$G$4:$G$1872,'июль 2024'!$D$4:$D$1872,$B102,'июль 2024'!$J$4:$J$1872,I$1)</f>
        <v>0</v>
      </c>
      <c r="J102" s="80">
        <f>SUMIFS('июль 2024'!$G$4:$G$1872,'июль 2024'!$D$4:$D$1872,$B102,'июль 2024'!$J$4:$J$1872,J$1)</f>
        <v>0</v>
      </c>
      <c r="K102" s="80">
        <f>SUMIFS('июль 2024'!$G$4:$G$1872,'июль 2024'!$D$4:$D$1872,$B102,'июль 2024'!$J$4:$J$1872,K$1)</f>
        <v>0</v>
      </c>
      <c r="L102" s="80">
        <f>SUMIFS('июль 2024'!$G$4:$G$1872,'июль 2024'!$D$4:$D$1872,$B102,'июль 2024'!$J$4:$J$1872,L$1)</f>
        <v>0</v>
      </c>
      <c r="M102" s="80">
        <f>SUMIFS('июль 2024'!$G$4:$G$1872,'июль 2024'!$D$4:$D$1872,$B102,'июль 2024'!$J$4:$J$1872,M$1)</f>
        <v>0</v>
      </c>
      <c r="N102" s="80">
        <f>SUMIFS('июль 2024'!$G$4:$G$1872,'июль 2024'!$D$4:$D$1872,$B102,'июль 2024'!$J$4:$J$1872,N$1)</f>
        <v>0</v>
      </c>
      <c r="O102" s="80">
        <f>SUMIFS('июль 2024'!$G$4:$G$1872,'июль 2024'!$D$4:$D$1872,$B102,'июль 2024'!$J$4:$J$1872,O$1)</f>
        <v>0</v>
      </c>
      <c r="P102" s="80">
        <f>SUMIFS('июль 2024'!$G$4:$G$1872,'июль 2024'!$D$4:$D$1872,$B102,'июль 2024'!$J$4:$J$1872,P$1)</f>
        <v>0</v>
      </c>
      <c r="Q102" s="80">
        <f>SUMIFS('июль 2024'!$G$4:$G$1872,'июль 2024'!$D$4:$D$1872,$B102,'июль 2024'!$J$4:$J$1872,Q$1)</f>
        <v>0</v>
      </c>
      <c r="R102" s="80">
        <f>SUMIFS('июль 2024'!$G$4:$G$1872,'июль 2024'!$D$4:$D$1872,$B102,'июль 2024'!$J$4:$J$1872,R$1)</f>
        <v>0</v>
      </c>
      <c r="S102" s="80">
        <f>SUMIFS('июль 2024'!$G$4:$G$1872,'июль 2024'!$D$4:$D$1872,$B102,'июль 2024'!$J$4:$J$1872,S$1)</f>
        <v>0</v>
      </c>
      <c r="T102" s="80">
        <f>SUMIFS('июль 2024'!$G$4:$G$1872,'июль 2024'!$D$4:$D$1872,$B102,'июль 2024'!$J$4:$J$1872,T$1)</f>
        <v>0</v>
      </c>
      <c r="U102" s="80">
        <f>SUMIFS('июль 2024'!$G$4:$G$1872,'июль 2024'!$D$4:$D$1872,$B102,'июль 2024'!$J$4:$J$1872,U$1)</f>
        <v>0</v>
      </c>
      <c r="V102" s="80">
        <f>SUMIFS('июль 2024'!$G$4:$G$1872,'июль 2024'!$D$4:$D$1872,$B102,'июль 2024'!$J$4:$J$1872,V$1)</f>
        <v>0</v>
      </c>
      <c r="W102" s="80">
        <f>SUMIFS('июль 2024'!$G$4:$G$1872,'июль 2024'!$D$4:$D$1872,$B102,'июль 2024'!$J$4:$J$1872,W$1)</f>
        <v>0</v>
      </c>
      <c r="X102" s="80">
        <f>SUMIFS('июль 2024'!$G$4:$G$1872,'июль 2024'!$D$4:$D$1872,$B102,'июль 2024'!$J$4:$J$1872,X$1)</f>
        <v>0</v>
      </c>
      <c r="Y102" s="80">
        <f>SUMIFS('июль 2024'!$G$4:$G$1872,'июль 2024'!$D$4:$D$1872,$B102,'июль 2024'!$J$4:$J$1872,Y$1)</f>
        <v>0</v>
      </c>
      <c r="Z102" s="80">
        <f>SUMIFS('июль 2024'!$G$4:$G$1872,'июль 2024'!$D$4:$D$1872,$B102,'июль 2024'!$J$4:$J$1872,Z$1)</f>
        <v>0</v>
      </c>
      <c r="AA102" s="80">
        <f>SUMIFS('июль 2024'!$G$4:$G$1872,'июль 2024'!$D$4:$D$1872,$B102,'июль 2024'!$J$4:$J$1872,AA$1)</f>
        <v>0</v>
      </c>
      <c r="AB102" s="80">
        <f>SUMIFS('июль 2024'!$G$4:$G$1872,'июль 2024'!$D$4:$D$1872,$B102,'июль 2024'!$J$4:$J$1872,AB$1)</f>
        <v>0</v>
      </c>
      <c r="AC102" s="80">
        <f>SUMIFS('июль 2024'!$G$4:$G$1872,'июль 2024'!$D$4:$D$1872,$B102,'июль 2024'!$J$4:$J$1872,AC$1)</f>
        <v>0</v>
      </c>
      <c r="AD102" s="80">
        <f>SUMIFS('июль 2024'!$G$4:$G$1872,'июль 2024'!$D$4:$D$1872,$B102,'июль 2024'!$J$4:$J$1872,AD$1)</f>
        <v>0</v>
      </c>
      <c r="AE102" s="80">
        <f>SUMIFS('июль 2024'!$G$4:$G$1872,'июль 2024'!$D$4:$D$1872,$B102,'июль 2024'!$J$4:$J$1872,AE$1)</f>
        <v>0</v>
      </c>
      <c r="AF102" s="80">
        <f>SUMIFS('июль 2024'!$G$4:$G$1872,'июль 2024'!$D$4:$D$1872,$B102,'июль 2024'!$J$4:$J$1872,AF$1)</f>
        <v>0</v>
      </c>
      <c r="AG102" s="80">
        <f>SUMIFS('июль 2024'!$G$4:$G$1872,'июль 2024'!$D$4:$D$1872,$B102,'июль 2024'!$J$4:$J$1872,AG$1)</f>
        <v>0</v>
      </c>
      <c r="AH102" s="80">
        <f>SUMIFS('июль 2024'!$G$4:$G$1872,'июль 2024'!$D$4:$D$1872,$B102,'июль 2024'!$J$4:$J$1872,AH$1)</f>
        <v>0</v>
      </c>
      <c r="AI102" s="21">
        <f t="shared" si="1"/>
        <v>0</v>
      </c>
    </row>
    <row r="103" spans="2:35" ht="15" customHeight="1" x14ac:dyDescent="0.25">
      <c r="B103" s="93" t="s">
        <v>190</v>
      </c>
      <c r="C103" s="91">
        <v>200</v>
      </c>
      <c r="D103" s="80">
        <f>SUMIFS('июль 2024'!$G$4:$G$1872,'июль 2024'!$D$4:$D$1872,$B103,'июль 2024'!$J$4:$J$1872,D$1)</f>
        <v>0</v>
      </c>
      <c r="E103" s="80">
        <f>SUMIFS('июль 2024'!$G$4:$G$1872,'июль 2024'!$D$4:$D$1872,$B103,'июль 2024'!$J$4:$J$1872,E$1)</f>
        <v>0</v>
      </c>
      <c r="F103" s="80">
        <f>SUMIFS('июль 2024'!$G$4:$G$1872,'июль 2024'!$D$4:$D$1872,$B103,'июль 2024'!$J$4:$J$1872,F$1)</f>
        <v>0</v>
      </c>
      <c r="G103" s="80">
        <f>SUMIFS('июль 2024'!$G$4:$G$1872,'июль 2024'!$D$4:$D$1872,$B103,'июль 2024'!$J$4:$J$1872,G$1)</f>
        <v>0</v>
      </c>
      <c r="H103" s="80">
        <f>SUMIFS('июль 2024'!$G$4:$G$1872,'июль 2024'!$D$4:$D$1872,$B103,'июль 2024'!$J$4:$J$1872,H$1)</f>
        <v>0</v>
      </c>
      <c r="I103" s="80">
        <f>SUMIFS('июль 2024'!$G$4:$G$1872,'июль 2024'!$D$4:$D$1872,$B103,'июль 2024'!$J$4:$J$1872,I$1)</f>
        <v>0</v>
      </c>
      <c r="J103" s="80">
        <f>SUMIFS('июль 2024'!$G$4:$G$1872,'июль 2024'!$D$4:$D$1872,$B103,'июль 2024'!$J$4:$J$1872,J$1)</f>
        <v>0</v>
      </c>
      <c r="K103" s="80">
        <f>SUMIFS('июль 2024'!$G$4:$G$1872,'июль 2024'!$D$4:$D$1872,$B103,'июль 2024'!$J$4:$J$1872,K$1)</f>
        <v>0</v>
      </c>
      <c r="L103" s="80">
        <f>SUMIFS('июль 2024'!$G$4:$G$1872,'июль 2024'!$D$4:$D$1872,$B103,'июль 2024'!$J$4:$J$1872,L$1)</f>
        <v>0</v>
      </c>
      <c r="M103" s="80">
        <f>SUMIFS('июль 2024'!$G$4:$G$1872,'июль 2024'!$D$4:$D$1872,$B103,'июль 2024'!$J$4:$J$1872,M$1)</f>
        <v>0</v>
      </c>
      <c r="N103" s="80">
        <f>SUMIFS('июль 2024'!$G$4:$G$1872,'июль 2024'!$D$4:$D$1872,$B103,'июль 2024'!$J$4:$J$1872,N$1)</f>
        <v>0</v>
      </c>
      <c r="O103" s="80">
        <f>SUMIFS('июль 2024'!$G$4:$G$1872,'июль 2024'!$D$4:$D$1872,$B103,'июль 2024'!$J$4:$J$1872,O$1)</f>
        <v>0</v>
      </c>
      <c r="P103" s="80">
        <f>SUMIFS('июль 2024'!$G$4:$G$1872,'июль 2024'!$D$4:$D$1872,$B103,'июль 2024'!$J$4:$J$1872,P$1)</f>
        <v>0</v>
      </c>
      <c r="Q103" s="80">
        <f>SUMIFS('июль 2024'!$G$4:$G$1872,'июль 2024'!$D$4:$D$1872,$B103,'июль 2024'!$J$4:$J$1872,Q$1)</f>
        <v>0</v>
      </c>
      <c r="R103" s="80">
        <f>SUMIFS('июль 2024'!$G$4:$G$1872,'июль 2024'!$D$4:$D$1872,$B103,'июль 2024'!$J$4:$J$1872,R$1)</f>
        <v>0</v>
      </c>
      <c r="S103" s="80">
        <f>SUMIFS('июль 2024'!$G$4:$G$1872,'июль 2024'!$D$4:$D$1872,$B103,'июль 2024'!$J$4:$J$1872,S$1)</f>
        <v>0</v>
      </c>
      <c r="T103" s="80">
        <f>SUMIFS('июль 2024'!$G$4:$G$1872,'июль 2024'!$D$4:$D$1872,$B103,'июль 2024'!$J$4:$J$1872,T$1)</f>
        <v>0</v>
      </c>
      <c r="U103" s="80">
        <f>SUMIFS('июль 2024'!$G$4:$G$1872,'июль 2024'!$D$4:$D$1872,$B103,'июль 2024'!$J$4:$J$1872,U$1)</f>
        <v>0</v>
      </c>
      <c r="V103" s="80">
        <f>SUMIFS('июль 2024'!$G$4:$G$1872,'июль 2024'!$D$4:$D$1872,$B103,'июль 2024'!$J$4:$J$1872,V$1)</f>
        <v>0</v>
      </c>
      <c r="W103" s="80">
        <f>SUMIFS('июль 2024'!$G$4:$G$1872,'июль 2024'!$D$4:$D$1872,$B103,'июль 2024'!$J$4:$J$1872,W$1)</f>
        <v>0</v>
      </c>
      <c r="X103" s="80">
        <f>SUMIFS('июль 2024'!$G$4:$G$1872,'июль 2024'!$D$4:$D$1872,$B103,'июль 2024'!$J$4:$J$1872,X$1)</f>
        <v>0</v>
      </c>
      <c r="Y103" s="80">
        <f>SUMIFS('июль 2024'!$G$4:$G$1872,'июль 2024'!$D$4:$D$1872,$B103,'июль 2024'!$J$4:$J$1872,Y$1)</f>
        <v>0</v>
      </c>
      <c r="Z103" s="80">
        <f>SUMIFS('июль 2024'!$G$4:$G$1872,'июль 2024'!$D$4:$D$1872,$B103,'июль 2024'!$J$4:$J$1872,Z$1)</f>
        <v>0</v>
      </c>
      <c r="AA103" s="80">
        <f>SUMIFS('июль 2024'!$G$4:$G$1872,'июль 2024'!$D$4:$D$1872,$B103,'июль 2024'!$J$4:$J$1872,AA$1)</f>
        <v>0</v>
      </c>
      <c r="AB103" s="80">
        <f>SUMIFS('июль 2024'!$G$4:$G$1872,'июль 2024'!$D$4:$D$1872,$B103,'июль 2024'!$J$4:$J$1872,AB$1)</f>
        <v>0</v>
      </c>
      <c r="AC103" s="80">
        <f>SUMIFS('июль 2024'!$G$4:$G$1872,'июль 2024'!$D$4:$D$1872,$B103,'июль 2024'!$J$4:$J$1872,AC$1)</f>
        <v>0</v>
      </c>
      <c r="AD103" s="80">
        <f>SUMIFS('июль 2024'!$G$4:$G$1872,'июль 2024'!$D$4:$D$1872,$B103,'июль 2024'!$J$4:$J$1872,AD$1)</f>
        <v>0</v>
      </c>
      <c r="AE103" s="80">
        <f>SUMIFS('июль 2024'!$G$4:$G$1872,'июль 2024'!$D$4:$D$1872,$B103,'июль 2024'!$J$4:$J$1872,AE$1)</f>
        <v>0</v>
      </c>
      <c r="AF103" s="80">
        <f>SUMIFS('июль 2024'!$G$4:$G$1872,'июль 2024'!$D$4:$D$1872,$B103,'июль 2024'!$J$4:$J$1872,AF$1)</f>
        <v>0</v>
      </c>
      <c r="AG103" s="80">
        <f>SUMIFS('июль 2024'!$G$4:$G$1872,'июль 2024'!$D$4:$D$1872,$B103,'июль 2024'!$J$4:$J$1872,AG$1)</f>
        <v>0</v>
      </c>
      <c r="AH103" s="80">
        <f>SUMIFS('июль 2024'!$G$4:$G$1872,'июль 2024'!$D$4:$D$1872,$B103,'июль 2024'!$J$4:$J$1872,AH$1)</f>
        <v>0</v>
      </c>
      <c r="AI103" s="21">
        <f t="shared" si="1"/>
        <v>0</v>
      </c>
    </row>
    <row r="104" spans="2:35" ht="15" customHeight="1" x14ac:dyDescent="0.25">
      <c r="B104" s="93" t="s">
        <v>326</v>
      </c>
      <c r="C104" s="91">
        <v>200</v>
      </c>
      <c r="D104" s="80">
        <f>SUMIFS('июль 2024'!$G$4:$G$1872,'июль 2024'!$D$4:$D$1872,$B104,'июль 2024'!$J$4:$J$1872,D$1)</f>
        <v>0</v>
      </c>
      <c r="E104" s="80">
        <f>SUMIFS('июль 2024'!$G$4:$G$1872,'июль 2024'!$D$4:$D$1872,$B104,'июль 2024'!$J$4:$J$1872,E$1)</f>
        <v>0</v>
      </c>
      <c r="F104" s="80">
        <f>SUMIFS('июль 2024'!$G$4:$G$1872,'июль 2024'!$D$4:$D$1872,$B104,'июль 2024'!$J$4:$J$1872,F$1)</f>
        <v>0</v>
      </c>
      <c r="G104" s="80">
        <f>SUMIFS('июль 2024'!$G$4:$G$1872,'июль 2024'!$D$4:$D$1872,$B104,'июль 2024'!$J$4:$J$1872,G$1)</f>
        <v>0</v>
      </c>
      <c r="H104" s="80">
        <f>SUMIFS('июль 2024'!$G$4:$G$1872,'июль 2024'!$D$4:$D$1872,$B104,'июль 2024'!$J$4:$J$1872,H$1)</f>
        <v>0</v>
      </c>
      <c r="I104" s="80">
        <f>SUMIFS('июль 2024'!$G$4:$G$1872,'июль 2024'!$D$4:$D$1872,$B104,'июль 2024'!$J$4:$J$1872,I$1)</f>
        <v>0</v>
      </c>
      <c r="J104" s="80">
        <f>SUMIFS('июль 2024'!$G$4:$G$1872,'июль 2024'!$D$4:$D$1872,$B104,'июль 2024'!$J$4:$J$1872,J$1)</f>
        <v>0</v>
      </c>
      <c r="K104" s="80">
        <f>SUMIFS('июль 2024'!$G$4:$G$1872,'июль 2024'!$D$4:$D$1872,$B104,'июль 2024'!$J$4:$J$1872,K$1)</f>
        <v>0</v>
      </c>
      <c r="L104" s="80">
        <f>SUMIFS('июль 2024'!$G$4:$G$1872,'июль 2024'!$D$4:$D$1872,$B104,'июль 2024'!$J$4:$J$1872,L$1)</f>
        <v>0</v>
      </c>
      <c r="M104" s="80">
        <f>SUMIFS('июль 2024'!$G$4:$G$1872,'июль 2024'!$D$4:$D$1872,$B104,'июль 2024'!$J$4:$J$1872,M$1)</f>
        <v>0</v>
      </c>
      <c r="N104" s="80">
        <f>SUMIFS('июль 2024'!$G$4:$G$1872,'июль 2024'!$D$4:$D$1872,$B104,'июль 2024'!$J$4:$J$1872,N$1)</f>
        <v>0</v>
      </c>
      <c r="O104" s="80">
        <f>SUMIFS('июль 2024'!$G$4:$G$1872,'июль 2024'!$D$4:$D$1872,$B104,'июль 2024'!$J$4:$J$1872,O$1)</f>
        <v>0</v>
      </c>
      <c r="P104" s="80">
        <f>SUMIFS('июль 2024'!$G$4:$G$1872,'июль 2024'!$D$4:$D$1872,$B104,'июль 2024'!$J$4:$J$1872,P$1)</f>
        <v>0</v>
      </c>
      <c r="Q104" s="80">
        <f>SUMIFS('июль 2024'!$G$4:$G$1872,'июль 2024'!$D$4:$D$1872,$B104,'июль 2024'!$J$4:$J$1872,Q$1)</f>
        <v>0</v>
      </c>
      <c r="R104" s="80">
        <f>SUMIFS('июль 2024'!$G$4:$G$1872,'июль 2024'!$D$4:$D$1872,$B104,'июль 2024'!$J$4:$J$1872,R$1)</f>
        <v>0</v>
      </c>
      <c r="S104" s="80">
        <f>SUMIFS('июль 2024'!$G$4:$G$1872,'июль 2024'!$D$4:$D$1872,$B104,'июль 2024'!$J$4:$J$1872,S$1)</f>
        <v>0</v>
      </c>
      <c r="T104" s="80">
        <f>SUMIFS('июль 2024'!$G$4:$G$1872,'июль 2024'!$D$4:$D$1872,$B104,'июль 2024'!$J$4:$J$1872,T$1)</f>
        <v>0</v>
      </c>
      <c r="U104" s="80">
        <f>SUMIFS('июль 2024'!$G$4:$G$1872,'июль 2024'!$D$4:$D$1872,$B104,'июль 2024'!$J$4:$J$1872,U$1)</f>
        <v>0</v>
      </c>
      <c r="V104" s="80">
        <f>SUMIFS('июль 2024'!$G$4:$G$1872,'июль 2024'!$D$4:$D$1872,$B104,'июль 2024'!$J$4:$J$1872,V$1)</f>
        <v>0</v>
      </c>
      <c r="W104" s="80">
        <f>SUMIFS('июль 2024'!$G$4:$G$1872,'июль 2024'!$D$4:$D$1872,$B104,'июль 2024'!$J$4:$J$1872,W$1)</f>
        <v>0</v>
      </c>
      <c r="X104" s="80">
        <f>SUMIFS('июль 2024'!$G$4:$G$1872,'июль 2024'!$D$4:$D$1872,$B104,'июль 2024'!$J$4:$J$1872,X$1)</f>
        <v>0</v>
      </c>
      <c r="Y104" s="80">
        <f>SUMIFS('июль 2024'!$G$4:$G$1872,'июль 2024'!$D$4:$D$1872,$B104,'июль 2024'!$J$4:$J$1872,Y$1)</f>
        <v>0</v>
      </c>
      <c r="Z104" s="80">
        <f>SUMIFS('июль 2024'!$G$4:$G$1872,'июль 2024'!$D$4:$D$1872,$B104,'июль 2024'!$J$4:$J$1872,Z$1)</f>
        <v>0</v>
      </c>
      <c r="AA104" s="80">
        <f>SUMIFS('июль 2024'!$G$4:$G$1872,'июль 2024'!$D$4:$D$1872,$B104,'июль 2024'!$J$4:$J$1872,AA$1)</f>
        <v>0</v>
      </c>
      <c r="AB104" s="80">
        <f>SUMIFS('июль 2024'!$G$4:$G$1872,'июль 2024'!$D$4:$D$1872,$B104,'июль 2024'!$J$4:$J$1872,AB$1)</f>
        <v>0</v>
      </c>
      <c r="AC104" s="80">
        <f>SUMIFS('июль 2024'!$G$4:$G$1872,'июль 2024'!$D$4:$D$1872,$B104,'июль 2024'!$J$4:$J$1872,AC$1)</f>
        <v>0</v>
      </c>
      <c r="AD104" s="80">
        <f>SUMIFS('июль 2024'!$G$4:$G$1872,'июль 2024'!$D$4:$D$1872,$B104,'июль 2024'!$J$4:$J$1872,AD$1)</f>
        <v>0</v>
      </c>
      <c r="AE104" s="80">
        <f>SUMIFS('июль 2024'!$G$4:$G$1872,'июль 2024'!$D$4:$D$1872,$B104,'июль 2024'!$J$4:$J$1872,AE$1)</f>
        <v>0</v>
      </c>
      <c r="AF104" s="80">
        <f>SUMIFS('июль 2024'!$G$4:$G$1872,'июль 2024'!$D$4:$D$1872,$B104,'июль 2024'!$J$4:$J$1872,AF$1)</f>
        <v>0</v>
      </c>
      <c r="AG104" s="80">
        <f>SUMIFS('июль 2024'!$G$4:$G$1872,'июль 2024'!$D$4:$D$1872,$B104,'июль 2024'!$J$4:$J$1872,AG$1)</f>
        <v>0</v>
      </c>
      <c r="AH104" s="80">
        <f>SUMIFS('июль 2024'!$G$4:$G$1872,'июль 2024'!$D$4:$D$1872,$B104,'июль 2024'!$J$4:$J$1872,AH$1)</f>
        <v>0</v>
      </c>
      <c r="AI104" s="21">
        <f t="shared" si="1"/>
        <v>0</v>
      </c>
    </row>
    <row r="105" spans="2:35" ht="15" customHeight="1" x14ac:dyDescent="0.25">
      <c r="B105" s="93" t="s">
        <v>327</v>
      </c>
      <c r="C105" s="91">
        <v>200</v>
      </c>
      <c r="D105" s="80">
        <f>SUMIFS('июль 2024'!$G$4:$G$1872,'июль 2024'!$D$4:$D$1872,$B105,'июль 2024'!$J$4:$J$1872,D$1)</f>
        <v>0</v>
      </c>
      <c r="E105" s="80">
        <f>SUMIFS('июль 2024'!$G$4:$G$1872,'июль 2024'!$D$4:$D$1872,$B105,'июль 2024'!$J$4:$J$1872,E$1)</f>
        <v>0</v>
      </c>
      <c r="F105" s="80">
        <f>SUMIFS('июль 2024'!$G$4:$G$1872,'июль 2024'!$D$4:$D$1872,$B105,'июль 2024'!$J$4:$J$1872,F$1)</f>
        <v>0</v>
      </c>
      <c r="G105" s="80">
        <f>SUMIFS('июль 2024'!$G$4:$G$1872,'июль 2024'!$D$4:$D$1872,$B105,'июль 2024'!$J$4:$J$1872,G$1)</f>
        <v>0</v>
      </c>
      <c r="H105" s="80">
        <f>SUMIFS('июль 2024'!$G$4:$G$1872,'июль 2024'!$D$4:$D$1872,$B105,'июль 2024'!$J$4:$J$1872,H$1)</f>
        <v>0</v>
      </c>
      <c r="I105" s="80">
        <f>SUMIFS('июль 2024'!$G$4:$G$1872,'июль 2024'!$D$4:$D$1872,$B105,'июль 2024'!$J$4:$J$1872,I$1)</f>
        <v>0</v>
      </c>
      <c r="J105" s="80">
        <f>SUMIFS('июль 2024'!$G$4:$G$1872,'июль 2024'!$D$4:$D$1872,$B105,'июль 2024'!$J$4:$J$1872,J$1)</f>
        <v>0</v>
      </c>
      <c r="K105" s="80">
        <f>SUMIFS('июль 2024'!$G$4:$G$1872,'июль 2024'!$D$4:$D$1872,$B105,'июль 2024'!$J$4:$J$1872,K$1)</f>
        <v>0</v>
      </c>
      <c r="L105" s="80">
        <f>SUMIFS('июль 2024'!$G$4:$G$1872,'июль 2024'!$D$4:$D$1872,$B105,'июль 2024'!$J$4:$J$1872,L$1)</f>
        <v>0</v>
      </c>
      <c r="M105" s="80">
        <f>SUMIFS('июль 2024'!$G$4:$G$1872,'июль 2024'!$D$4:$D$1872,$B105,'июль 2024'!$J$4:$J$1872,M$1)</f>
        <v>0</v>
      </c>
      <c r="N105" s="80">
        <f>SUMIFS('июль 2024'!$G$4:$G$1872,'июль 2024'!$D$4:$D$1872,$B105,'июль 2024'!$J$4:$J$1872,N$1)</f>
        <v>0</v>
      </c>
      <c r="O105" s="80">
        <f>SUMIFS('июль 2024'!$G$4:$G$1872,'июль 2024'!$D$4:$D$1872,$B105,'июль 2024'!$J$4:$J$1872,O$1)</f>
        <v>0</v>
      </c>
      <c r="P105" s="80">
        <f>SUMIFS('июль 2024'!$G$4:$G$1872,'июль 2024'!$D$4:$D$1872,$B105,'июль 2024'!$J$4:$J$1872,P$1)</f>
        <v>0</v>
      </c>
      <c r="Q105" s="80">
        <f>SUMIFS('июль 2024'!$G$4:$G$1872,'июль 2024'!$D$4:$D$1872,$B105,'июль 2024'!$J$4:$J$1872,Q$1)</f>
        <v>0</v>
      </c>
      <c r="R105" s="80">
        <f>SUMIFS('июль 2024'!$G$4:$G$1872,'июль 2024'!$D$4:$D$1872,$B105,'июль 2024'!$J$4:$J$1872,R$1)</f>
        <v>0</v>
      </c>
      <c r="S105" s="80">
        <f>SUMIFS('июль 2024'!$G$4:$G$1872,'июль 2024'!$D$4:$D$1872,$B105,'июль 2024'!$J$4:$J$1872,S$1)</f>
        <v>0</v>
      </c>
      <c r="T105" s="80">
        <f>SUMIFS('июль 2024'!$G$4:$G$1872,'июль 2024'!$D$4:$D$1872,$B105,'июль 2024'!$J$4:$J$1872,T$1)</f>
        <v>0</v>
      </c>
      <c r="U105" s="80">
        <f>SUMIFS('июль 2024'!$G$4:$G$1872,'июль 2024'!$D$4:$D$1872,$B105,'июль 2024'!$J$4:$J$1872,U$1)</f>
        <v>0</v>
      </c>
      <c r="V105" s="80">
        <f>SUMIFS('июль 2024'!$G$4:$G$1872,'июль 2024'!$D$4:$D$1872,$B105,'июль 2024'!$J$4:$J$1872,V$1)</f>
        <v>0</v>
      </c>
      <c r="W105" s="80">
        <f>SUMIFS('июль 2024'!$G$4:$G$1872,'июль 2024'!$D$4:$D$1872,$B105,'июль 2024'!$J$4:$J$1872,W$1)</f>
        <v>0</v>
      </c>
      <c r="X105" s="80">
        <f>SUMIFS('июль 2024'!$G$4:$G$1872,'июль 2024'!$D$4:$D$1872,$B105,'июль 2024'!$J$4:$J$1872,X$1)</f>
        <v>0</v>
      </c>
      <c r="Y105" s="80">
        <f>SUMIFS('июль 2024'!$G$4:$G$1872,'июль 2024'!$D$4:$D$1872,$B105,'июль 2024'!$J$4:$J$1872,Y$1)</f>
        <v>0</v>
      </c>
      <c r="Z105" s="80">
        <f>SUMIFS('июль 2024'!$G$4:$G$1872,'июль 2024'!$D$4:$D$1872,$B105,'июль 2024'!$J$4:$J$1872,Z$1)</f>
        <v>0</v>
      </c>
      <c r="AA105" s="80">
        <f>SUMIFS('июль 2024'!$G$4:$G$1872,'июль 2024'!$D$4:$D$1872,$B105,'июль 2024'!$J$4:$J$1872,AA$1)</f>
        <v>5</v>
      </c>
      <c r="AB105" s="80">
        <f>SUMIFS('июль 2024'!$G$4:$G$1872,'июль 2024'!$D$4:$D$1872,$B105,'июль 2024'!$J$4:$J$1872,AB$1)</f>
        <v>0</v>
      </c>
      <c r="AC105" s="80">
        <f>SUMIFS('июль 2024'!$G$4:$G$1872,'июль 2024'!$D$4:$D$1872,$B105,'июль 2024'!$J$4:$J$1872,AC$1)</f>
        <v>0</v>
      </c>
      <c r="AD105" s="80">
        <f>SUMIFS('июль 2024'!$G$4:$G$1872,'июль 2024'!$D$4:$D$1872,$B105,'июль 2024'!$J$4:$J$1872,AD$1)</f>
        <v>0</v>
      </c>
      <c r="AE105" s="80">
        <f>SUMIFS('июль 2024'!$G$4:$G$1872,'июль 2024'!$D$4:$D$1872,$B105,'июль 2024'!$J$4:$J$1872,AE$1)</f>
        <v>0</v>
      </c>
      <c r="AF105" s="80">
        <f>SUMIFS('июль 2024'!$G$4:$G$1872,'июль 2024'!$D$4:$D$1872,$B105,'июль 2024'!$J$4:$J$1872,AF$1)</f>
        <v>0</v>
      </c>
      <c r="AG105" s="80">
        <f>SUMIFS('июль 2024'!$G$4:$G$1872,'июль 2024'!$D$4:$D$1872,$B105,'июль 2024'!$J$4:$J$1872,AG$1)</f>
        <v>0</v>
      </c>
      <c r="AH105" s="80">
        <f>SUMIFS('июль 2024'!$G$4:$G$1872,'июль 2024'!$D$4:$D$1872,$B105,'июль 2024'!$J$4:$J$1872,AH$1)</f>
        <v>0</v>
      </c>
      <c r="AI105" s="21">
        <f t="shared" si="1"/>
        <v>5</v>
      </c>
    </row>
    <row r="106" spans="2:35" ht="15" customHeight="1" x14ac:dyDescent="0.25">
      <c r="B106" s="89" t="s">
        <v>223</v>
      </c>
      <c r="C106" s="88">
        <v>25</v>
      </c>
      <c r="D106" s="80">
        <f>SUMIFS('июль 2024'!$G$4:$G$1872,'июль 2024'!$D$4:$D$1872,$B106,'июль 2024'!$J$4:$J$1872,D$1)</f>
        <v>0</v>
      </c>
      <c r="E106" s="80">
        <f>SUMIFS('июль 2024'!$G$4:$G$1872,'июль 2024'!$D$4:$D$1872,$B106,'июль 2024'!$J$4:$J$1872,E$1)</f>
        <v>0</v>
      </c>
      <c r="F106" s="80">
        <f>SUMIFS('июль 2024'!$G$4:$G$1872,'июль 2024'!$D$4:$D$1872,$B106,'июль 2024'!$J$4:$J$1872,F$1)</f>
        <v>0</v>
      </c>
      <c r="G106" s="80">
        <f>SUMIFS('июль 2024'!$G$4:$G$1872,'июль 2024'!$D$4:$D$1872,$B106,'июль 2024'!$J$4:$J$1872,G$1)</f>
        <v>0</v>
      </c>
      <c r="H106" s="80">
        <f>SUMIFS('июль 2024'!$G$4:$G$1872,'июль 2024'!$D$4:$D$1872,$B106,'июль 2024'!$J$4:$J$1872,H$1)</f>
        <v>0</v>
      </c>
      <c r="I106" s="80">
        <f>SUMIFS('июль 2024'!$G$4:$G$1872,'июль 2024'!$D$4:$D$1872,$B106,'июль 2024'!$J$4:$J$1872,I$1)</f>
        <v>0</v>
      </c>
      <c r="J106" s="80">
        <f>SUMIFS('июль 2024'!$G$4:$G$1872,'июль 2024'!$D$4:$D$1872,$B106,'июль 2024'!$J$4:$J$1872,J$1)</f>
        <v>0</v>
      </c>
      <c r="K106" s="80">
        <f>SUMIFS('июль 2024'!$G$4:$G$1872,'июль 2024'!$D$4:$D$1872,$B106,'июль 2024'!$J$4:$J$1872,K$1)</f>
        <v>0</v>
      </c>
      <c r="L106" s="80">
        <f>SUMIFS('июль 2024'!$G$4:$G$1872,'июль 2024'!$D$4:$D$1872,$B106,'июль 2024'!$J$4:$J$1872,L$1)</f>
        <v>0</v>
      </c>
      <c r="M106" s="80">
        <f>SUMIFS('июль 2024'!$G$4:$G$1872,'июль 2024'!$D$4:$D$1872,$B106,'июль 2024'!$J$4:$J$1872,M$1)</f>
        <v>0</v>
      </c>
      <c r="N106" s="80">
        <f>SUMIFS('июль 2024'!$G$4:$G$1872,'июль 2024'!$D$4:$D$1872,$B106,'июль 2024'!$J$4:$J$1872,N$1)</f>
        <v>0</v>
      </c>
      <c r="O106" s="80">
        <f>SUMIFS('июль 2024'!$G$4:$G$1872,'июль 2024'!$D$4:$D$1872,$B106,'июль 2024'!$J$4:$J$1872,O$1)</f>
        <v>0</v>
      </c>
      <c r="P106" s="80">
        <f>SUMIFS('июль 2024'!$G$4:$G$1872,'июль 2024'!$D$4:$D$1872,$B106,'июль 2024'!$J$4:$J$1872,P$1)</f>
        <v>0</v>
      </c>
      <c r="Q106" s="80">
        <f>SUMIFS('июль 2024'!$G$4:$G$1872,'июль 2024'!$D$4:$D$1872,$B106,'июль 2024'!$J$4:$J$1872,Q$1)</f>
        <v>0</v>
      </c>
      <c r="R106" s="80">
        <f>SUMIFS('июль 2024'!$G$4:$G$1872,'июль 2024'!$D$4:$D$1872,$B106,'июль 2024'!$J$4:$J$1872,R$1)</f>
        <v>0</v>
      </c>
      <c r="S106" s="80">
        <f>SUMIFS('июль 2024'!$G$4:$G$1872,'июль 2024'!$D$4:$D$1872,$B106,'июль 2024'!$J$4:$J$1872,S$1)</f>
        <v>0</v>
      </c>
      <c r="T106" s="80">
        <f>SUMIFS('июль 2024'!$G$4:$G$1872,'июль 2024'!$D$4:$D$1872,$B106,'июль 2024'!$J$4:$J$1872,T$1)</f>
        <v>0</v>
      </c>
      <c r="U106" s="80">
        <f>SUMIFS('июль 2024'!$G$4:$G$1872,'июль 2024'!$D$4:$D$1872,$B106,'июль 2024'!$J$4:$J$1872,U$1)</f>
        <v>0</v>
      </c>
      <c r="V106" s="80">
        <f>SUMIFS('июль 2024'!$G$4:$G$1872,'июль 2024'!$D$4:$D$1872,$B106,'июль 2024'!$J$4:$J$1872,V$1)</f>
        <v>0</v>
      </c>
      <c r="W106" s="80">
        <f>SUMIFS('июль 2024'!$G$4:$G$1872,'июль 2024'!$D$4:$D$1872,$B106,'июль 2024'!$J$4:$J$1872,W$1)</f>
        <v>0</v>
      </c>
      <c r="X106" s="80">
        <f>SUMIFS('июль 2024'!$G$4:$G$1872,'июль 2024'!$D$4:$D$1872,$B106,'июль 2024'!$J$4:$J$1872,X$1)</f>
        <v>0</v>
      </c>
      <c r="Y106" s="80">
        <f>SUMIFS('июль 2024'!$G$4:$G$1872,'июль 2024'!$D$4:$D$1872,$B106,'июль 2024'!$J$4:$J$1872,Y$1)</f>
        <v>0</v>
      </c>
      <c r="Z106" s="80">
        <f>SUMIFS('июль 2024'!$G$4:$G$1872,'июль 2024'!$D$4:$D$1872,$B106,'июль 2024'!$J$4:$J$1872,Z$1)</f>
        <v>0</v>
      </c>
      <c r="AA106" s="80">
        <f>SUMIFS('июль 2024'!$G$4:$G$1872,'июль 2024'!$D$4:$D$1872,$B106,'июль 2024'!$J$4:$J$1872,AA$1)</f>
        <v>0</v>
      </c>
      <c r="AB106" s="80">
        <f>SUMIFS('июль 2024'!$G$4:$G$1872,'июль 2024'!$D$4:$D$1872,$B106,'июль 2024'!$J$4:$J$1872,AB$1)</f>
        <v>0</v>
      </c>
      <c r="AC106" s="80">
        <f>SUMIFS('июль 2024'!$G$4:$G$1872,'июль 2024'!$D$4:$D$1872,$B106,'июль 2024'!$J$4:$J$1872,AC$1)</f>
        <v>0</v>
      </c>
      <c r="AD106" s="80">
        <f>SUMIFS('июль 2024'!$G$4:$G$1872,'июль 2024'!$D$4:$D$1872,$B106,'июль 2024'!$J$4:$J$1872,AD$1)</f>
        <v>0</v>
      </c>
      <c r="AE106" s="80">
        <f>SUMIFS('июль 2024'!$G$4:$G$1872,'июль 2024'!$D$4:$D$1872,$B106,'июль 2024'!$J$4:$J$1872,AE$1)</f>
        <v>0</v>
      </c>
      <c r="AF106" s="80">
        <f>SUMIFS('июль 2024'!$G$4:$G$1872,'июль 2024'!$D$4:$D$1872,$B106,'июль 2024'!$J$4:$J$1872,AF$1)</f>
        <v>0</v>
      </c>
      <c r="AG106" s="80">
        <f>SUMIFS('июль 2024'!$G$4:$G$1872,'июль 2024'!$D$4:$D$1872,$B106,'июль 2024'!$J$4:$J$1872,AG$1)</f>
        <v>0</v>
      </c>
      <c r="AH106" s="80">
        <f>SUMIFS('июль 2024'!$G$4:$G$1872,'июль 2024'!$D$4:$D$1872,$B106,'июль 2024'!$J$4:$J$1872,AH$1)</f>
        <v>0</v>
      </c>
      <c r="AI106" s="21">
        <f t="shared" si="1"/>
        <v>0</v>
      </c>
    </row>
    <row r="107" spans="2:35" ht="15" customHeight="1" x14ac:dyDescent="0.25">
      <c r="B107" s="93" t="s">
        <v>328</v>
      </c>
      <c r="C107" s="91">
        <v>50</v>
      </c>
      <c r="D107" s="80">
        <f>SUMIFS('июль 2024'!$G$4:$G$1872,'июль 2024'!$D$4:$D$1872,$B107,'июль 2024'!$J$4:$J$1872,D$1)</f>
        <v>0</v>
      </c>
      <c r="E107" s="80">
        <f>SUMIFS('июль 2024'!$G$4:$G$1872,'июль 2024'!$D$4:$D$1872,$B107,'июль 2024'!$J$4:$J$1872,E$1)</f>
        <v>0</v>
      </c>
      <c r="F107" s="80">
        <f>SUMIFS('июль 2024'!$G$4:$G$1872,'июль 2024'!$D$4:$D$1872,$B107,'июль 2024'!$J$4:$J$1872,F$1)</f>
        <v>0</v>
      </c>
      <c r="G107" s="80">
        <f>SUMIFS('июль 2024'!$G$4:$G$1872,'июль 2024'!$D$4:$D$1872,$B107,'июль 2024'!$J$4:$J$1872,G$1)</f>
        <v>0</v>
      </c>
      <c r="H107" s="80">
        <f>SUMIFS('июль 2024'!$G$4:$G$1872,'июль 2024'!$D$4:$D$1872,$B107,'июль 2024'!$J$4:$J$1872,H$1)</f>
        <v>0</v>
      </c>
      <c r="I107" s="80">
        <f>SUMIFS('июль 2024'!$G$4:$G$1872,'июль 2024'!$D$4:$D$1872,$B107,'июль 2024'!$J$4:$J$1872,I$1)</f>
        <v>0</v>
      </c>
      <c r="J107" s="80">
        <f>SUMIFS('июль 2024'!$G$4:$G$1872,'июль 2024'!$D$4:$D$1872,$B107,'июль 2024'!$J$4:$J$1872,J$1)</f>
        <v>0</v>
      </c>
      <c r="K107" s="80">
        <f>SUMIFS('июль 2024'!$G$4:$G$1872,'июль 2024'!$D$4:$D$1872,$B107,'июль 2024'!$J$4:$J$1872,K$1)</f>
        <v>0</v>
      </c>
      <c r="L107" s="80">
        <f>SUMIFS('июль 2024'!$G$4:$G$1872,'июль 2024'!$D$4:$D$1872,$B107,'июль 2024'!$J$4:$J$1872,L$1)</f>
        <v>0</v>
      </c>
      <c r="M107" s="80">
        <f>SUMIFS('июль 2024'!$G$4:$G$1872,'июль 2024'!$D$4:$D$1872,$B107,'июль 2024'!$J$4:$J$1872,M$1)</f>
        <v>0</v>
      </c>
      <c r="N107" s="80">
        <f>SUMIFS('июль 2024'!$G$4:$G$1872,'июль 2024'!$D$4:$D$1872,$B107,'июль 2024'!$J$4:$J$1872,N$1)</f>
        <v>0</v>
      </c>
      <c r="O107" s="80">
        <f>SUMIFS('июль 2024'!$G$4:$G$1872,'июль 2024'!$D$4:$D$1872,$B107,'июль 2024'!$J$4:$J$1872,O$1)</f>
        <v>0</v>
      </c>
      <c r="P107" s="80">
        <f>SUMIFS('июль 2024'!$G$4:$G$1872,'июль 2024'!$D$4:$D$1872,$B107,'июль 2024'!$J$4:$J$1872,P$1)</f>
        <v>0</v>
      </c>
      <c r="Q107" s="80">
        <f>SUMIFS('июль 2024'!$G$4:$G$1872,'июль 2024'!$D$4:$D$1872,$B107,'июль 2024'!$J$4:$J$1872,Q$1)</f>
        <v>0</v>
      </c>
      <c r="R107" s="80">
        <f>SUMIFS('июль 2024'!$G$4:$G$1872,'июль 2024'!$D$4:$D$1872,$B107,'июль 2024'!$J$4:$J$1872,R$1)</f>
        <v>0</v>
      </c>
      <c r="S107" s="80">
        <f>SUMIFS('июль 2024'!$G$4:$G$1872,'июль 2024'!$D$4:$D$1872,$B107,'июль 2024'!$J$4:$J$1872,S$1)</f>
        <v>0</v>
      </c>
      <c r="T107" s="80">
        <f>SUMIFS('июль 2024'!$G$4:$G$1872,'июль 2024'!$D$4:$D$1872,$B107,'июль 2024'!$J$4:$J$1872,T$1)</f>
        <v>0</v>
      </c>
      <c r="U107" s="80">
        <f>SUMIFS('июль 2024'!$G$4:$G$1872,'июль 2024'!$D$4:$D$1872,$B107,'июль 2024'!$J$4:$J$1872,U$1)</f>
        <v>0</v>
      </c>
      <c r="V107" s="80">
        <f>SUMIFS('июль 2024'!$G$4:$G$1872,'июль 2024'!$D$4:$D$1872,$B107,'июль 2024'!$J$4:$J$1872,V$1)</f>
        <v>0</v>
      </c>
      <c r="W107" s="80">
        <f>SUMIFS('июль 2024'!$G$4:$G$1872,'июль 2024'!$D$4:$D$1872,$B107,'июль 2024'!$J$4:$J$1872,W$1)</f>
        <v>0</v>
      </c>
      <c r="X107" s="80">
        <f>SUMIFS('июль 2024'!$G$4:$G$1872,'июль 2024'!$D$4:$D$1872,$B107,'июль 2024'!$J$4:$J$1872,X$1)</f>
        <v>0</v>
      </c>
      <c r="Y107" s="80">
        <f>SUMIFS('июль 2024'!$G$4:$G$1872,'июль 2024'!$D$4:$D$1872,$B107,'июль 2024'!$J$4:$J$1872,Y$1)</f>
        <v>0</v>
      </c>
      <c r="Z107" s="80">
        <f>SUMIFS('июль 2024'!$G$4:$G$1872,'июль 2024'!$D$4:$D$1872,$B107,'июль 2024'!$J$4:$J$1872,Z$1)</f>
        <v>0</v>
      </c>
      <c r="AA107" s="80">
        <f>SUMIFS('июль 2024'!$G$4:$G$1872,'июль 2024'!$D$4:$D$1872,$B107,'июль 2024'!$J$4:$J$1872,AA$1)</f>
        <v>0</v>
      </c>
      <c r="AB107" s="80">
        <f>SUMIFS('июль 2024'!$G$4:$G$1872,'июль 2024'!$D$4:$D$1872,$B107,'июль 2024'!$J$4:$J$1872,AB$1)</f>
        <v>0</v>
      </c>
      <c r="AC107" s="80">
        <f>SUMIFS('июль 2024'!$G$4:$G$1872,'июль 2024'!$D$4:$D$1872,$B107,'июль 2024'!$J$4:$J$1872,AC$1)</f>
        <v>0</v>
      </c>
      <c r="AD107" s="80">
        <f>SUMIFS('июль 2024'!$G$4:$G$1872,'июль 2024'!$D$4:$D$1872,$B107,'июль 2024'!$J$4:$J$1872,AD$1)</f>
        <v>0</v>
      </c>
      <c r="AE107" s="80">
        <f>SUMIFS('июль 2024'!$G$4:$G$1872,'июль 2024'!$D$4:$D$1872,$B107,'июль 2024'!$J$4:$J$1872,AE$1)</f>
        <v>0</v>
      </c>
      <c r="AF107" s="80">
        <f>SUMIFS('июль 2024'!$G$4:$G$1872,'июль 2024'!$D$4:$D$1872,$B107,'июль 2024'!$J$4:$J$1872,AF$1)</f>
        <v>0</v>
      </c>
      <c r="AG107" s="80">
        <f>SUMIFS('июль 2024'!$G$4:$G$1872,'июль 2024'!$D$4:$D$1872,$B107,'июль 2024'!$J$4:$J$1872,AG$1)</f>
        <v>0</v>
      </c>
      <c r="AH107" s="80">
        <f>SUMIFS('июль 2024'!$G$4:$G$1872,'июль 2024'!$D$4:$D$1872,$B107,'июль 2024'!$J$4:$J$1872,AH$1)</f>
        <v>0</v>
      </c>
      <c r="AI107" s="21">
        <f t="shared" si="1"/>
        <v>0</v>
      </c>
    </row>
    <row r="108" spans="2:35" ht="15" customHeight="1" x14ac:dyDescent="0.25">
      <c r="B108" s="93" t="s">
        <v>195</v>
      </c>
      <c r="C108" s="91">
        <v>180</v>
      </c>
      <c r="D108" s="80">
        <f>SUMIFS('июль 2024'!$G$4:$G$1872,'июль 2024'!$D$4:$D$1872,$B108,'июль 2024'!$J$4:$J$1872,D$1)</f>
        <v>0</v>
      </c>
      <c r="E108" s="80">
        <f>SUMIFS('июль 2024'!$G$4:$G$1872,'июль 2024'!$D$4:$D$1872,$B108,'июль 2024'!$J$4:$J$1872,E$1)</f>
        <v>0</v>
      </c>
      <c r="F108" s="80">
        <f>SUMIFS('июль 2024'!$G$4:$G$1872,'июль 2024'!$D$4:$D$1872,$B108,'июль 2024'!$J$4:$J$1872,F$1)</f>
        <v>0</v>
      </c>
      <c r="G108" s="80">
        <f>SUMIFS('июль 2024'!$G$4:$G$1872,'июль 2024'!$D$4:$D$1872,$B108,'июль 2024'!$J$4:$J$1872,G$1)</f>
        <v>0</v>
      </c>
      <c r="H108" s="80">
        <f>SUMIFS('июль 2024'!$G$4:$G$1872,'июль 2024'!$D$4:$D$1872,$B108,'июль 2024'!$J$4:$J$1872,H$1)</f>
        <v>0</v>
      </c>
      <c r="I108" s="80">
        <f>SUMIFS('июль 2024'!$G$4:$G$1872,'июль 2024'!$D$4:$D$1872,$B108,'июль 2024'!$J$4:$J$1872,I$1)</f>
        <v>0</v>
      </c>
      <c r="J108" s="80">
        <f>SUMIFS('июль 2024'!$G$4:$G$1872,'июль 2024'!$D$4:$D$1872,$B108,'июль 2024'!$J$4:$J$1872,J$1)</f>
        <v>0</v>
      </c>
      <c r="K108" s="80">
        <f>SUMIFS('июль 2024'!$G$4:$G$1872,'июль 2024'!$D$4:$D$1872,$B108,'июль 2024'!$J$4:$J$1872,K$1)</f>
        <v>0</v>
      </c>
      <c r="L108" s="80">
        <f>SUMIFS('июль 2024'!$G$4:$G$1872,'июль 2024'!$D$4:$D$1872,$B108,'июль 2024'!$J$4:$J$1872,L$1)</f>
        <v>0</v>
      </c>
      <c r="M108" s="80">
        <f>SUMIFS('июль 2024'!$G$4:$G$1872,'июль 2024'!$D$4:$D$1872,$B108,'июль 2024'!$J$4:$J$1872,M$1)</f>
        <v>0</v>
      </c>
      <c r="N108" s="80">
        <f>SUMIFS('июль 2024'!$G$4:$G$1872,'июль 2024'!$D$4:$D$1872,$B108,'июль 2024'!$J$4:$J$1872,N$1)</f>
        <v>0</v>
      </c>
      <c r="O108" s="80">
        <f>SUMIFS('июль 2024'!$G$4:$G$1872,'июль 2024'!$D$4:$D$1872,$B108,'июль 2024'!$J$4:$J$1872,O$1)</f>
        <v>0</v>
      </c>
      <c r="P108" s="80">
        <f>SUMIFS('июль 2024'!$G$4:$G$1872,'июль 2024'!$D$4:$D$1872,$B108,'июль 2024'!$J$4:$J$1872,P$1)</f>
        <v>0</v>
      </c>
      <c r="Q108" s="80">
        <f>SUMIFS('июль 2024'!$G$4:$G$1872,'июль 2024'!$D$4:$D$1872,$B108,'июль 2024'!$J$4:$J$1872,Q$1)</f>
        <v>0</v>
      </c>
      <c r="R108" s="80">
        <f>SUMIFS('июль 2024'!$G$4:$G$1872,'июль 2024'!$D$4:$D$1872,$B108,'июль 2024'!$J$4:$J$1872,R$1)</f>
        <v>0</v>
      </c>
      <c r="S108" s="80">
        <f>SUMIFS('июль 2024'!$G$4:$G$1872,'июль 2024'!$D$4:$D$1872,$B108,'июль 2024'!$J$4:$J$1872,S$1)</f>
        <v>0</v>
      </c>
      <c r="T108" s="80">
        <f>SUMIFS('июль 2024'!$G$4:$G$1872,'июль 2024'!$D$4:$D$1872,$B108,'июль 2024'!$J$4:$J$1872,T$1)</f>
        <v>0</v>
      </c>
      <c r="U108" s="80">
        <f>SUMIFS('июль 2024'!$G$4:$G$1872,'июль 2024'!$D$4:$D$1872,$B108,'июль 2024'!$J$4:$J$1872,U$1)</f>
        <v>0</v>
      </c>
      <c r="V108" s="80">
        <f>SUMIFS('июль 2024'!$G$4:$G$1872,'июль 2024'!$D$4:$D$1872,$B108,'июль 2024'!$J$4:$J$1872,V$1)</f>
        <v>0</v>
      </c>
      <c r="W108" s="80">
        <f>SUMIFS('июль 2024'!$G$4:$G$1872,'июль 2024'!$D$4:$D$1872,$B108,'июль 2024'!$J$4:$J$1872,W$1)</f>
        <v>0</v>
      </c>
      <c r="X108" s="80">
        <f>SUMIFS('июль 2024'!$G$4:$G$1872,'июль 2024'!$D$4:$D$1872,$B108,'июль 2024'!$J$4:$J$1872,X$1)</f>
        <v>0</v>
      </c>
      <c r="Y108" s="80">
        <f>SUMIFS('июль 2024'!$G$4:$G$1872,'июль 2024'!$D$4:$D$1872,$B108,'июль 2024'!$J$4:$J$1872,Y$1)</f>
        <v>0</v>
      </c>
      <c r="Z108" s="80">
        <f>SUMIFS('июль 2024'!$G$4:$G$1872,'июль 2024'!$D$4:$D$1872,$B108,'июль 2024'!$J$4:$J$1872,Z$1)</f>
        <v>0</v>
      </c>
      <c r="AA108" s="80">
        <f>SUMIFS('июль 2024'!$G$4:$G$1872,'июль 2024'!$D$4:$D$1872,$B108,'июль 2024'!$J$4:$J$1872,AA$1)</f>
        <v>0</v>
      </c>
      <c r="AB108" s="80">
        <f>SUMIFS('июль 2024'!$G$4:$G$1872,'июль 2024'!$D$4:$D$1872,$B108,'июль 2024'!$J$4:$J$1872,AB$1)</f>
        <v>0</v>
      </c>
      <c r="AC108" s="80">
        <f>SUMIFS('июль 2024'!$G$4:$G$1872,'июль 2024'!$D$4:$D$1872,$B108,'июль 2024'!$J$4:$J$1872,AC$1)</f>
        <v>0</v>
      </c>
      <c r="AD108" s="80">
        <f>SUMIFS('июль 2024'!$G$4:$G$1872,'июль 2024'!$D$4:$D$1872,$B108,'июль 2024'!$J$4:$J$1872,AD$1)</f>
        <v>0</v>
      </c>
      <c r="AE108" s="80">
        <f>SUMIFS('июль 2024'!$G$4:$G$1872,'июль 2024'!$D$4:$D$1872,$B108,'июль 2024'!$J$4:$J$1872,AE$1)</f>
        <v>0</v>
      </c>
      <c r="AF108" s="80">
        <f>SUMIFS('июль 2024'!$G$4:$G$1872,'июль 2024'!$D$4:$D$1872,$B108,'июль 2024'!$J$4:$J$1872,AF$1)</f>
        <v>0</v>
      </c>
      <c r="AG108" s="80">
        <f>SUMIFS('июль 2024'!$G$4:$G$1872,'июль 2024'!$D$4:$D$1872,$B108,'июль 2024'!$J$4:$J$1872,AG$1)</f>
        <v>0</v>
      </c>
      <c r="AH108" s="80">
        <f>SUMIFS('июль 2024'!$G$4:$G$1872,'июль 2024'!$D$4:$D$1872,$B108,'июль 2024'!$J$4:$J$1872,AH$1)</f>
        <v>0</v>
      </c>
      <c r="AI108" s="21">
        <f t="shared" si="1"/>
        <v>0</v>
      </c>
    </row>
    <row r="109" spans="2:35" ht="15" customHeight="1" x14ac:dyDescent="0.25">
      <c r="B109" s="93" t="s">
        <v>214</v>
      </c>
      <c r="C109" s="91">
        <v>185</v>
      </c>
      <c r="D109" s="80">
        <f>SUMIFS('июль 2024'!$G$4:$G$1872,'июль 2024'!$D$4:$D$1872,$B109,'июль 2024'!$J$4:$J$1872,D$1)</f>
        <v>0</v>
      </c>
      <c r="E109" s="80">
        <f>SUMIFS('июль 2024'!$G$4:$G$1872,'июль 2024'!$D$4:$D$1872,$B109,'июль 2024'!$J$4:$J$1872,E$1)</f>
        <v>0</v>
      </c>
      <c r="F109" s="80">
        <f>SUMIFS('июль 2024'!$G$4:$G$1872,'июль 2024'!$D$4:$D$1872,$B109,'июль 2024'!$J$4:$J$1872,F$1)</f>
        <v>0</v>
      </c>
      <c r="G109" s="80">
        <f>SUMIFS('июль 2024'!$G$4:$G$1872,'июль 2024'!$D$4:$D$1872,$B109,'июль 2024'!$J$4:$J$1872,G$1)</f>
        <v>0</v>
      </c>
      <c r="H109" s="80">
        <f>SUMIFS('июль 2024'!$G$4:$G$1872,'июль 2024'!$D$4:$D$1872,$B109,'июль 2024'!$J$4:$J$1872,H$1)</f>
        <v>0</v>
      </c>
      <c r="I109" s="80">
        <f>SUMIFS('июль 2024'!$G$4:$G$1872,'июль 2024'!$D$4:$D$1872,$B109,'июль 2024'!$J$4:$J$1872,I$1)</f>
        <v>0</v>
      </c>
      <c r="J109" s="80">
        <f>SUMIFS('июль 2024'!$G$4:$G$1872,'июль 2024'!$D$4:$D$1872,$B109,'июль 2024'!$J$4:$J$1872,J$1)</f>
        <v>0</v>
      </c>
      <c r="K109" s="80">
        <f>SUMIFS('июль 2024'!$G$4:$G$1872,'июль 2024'!$D$4:$D$1872,$B109,'июль 2024'!$J$4:$J$1872,K$1)</f>
        <v>0</v>
      </c>
      <c r="L109" s="80">
        <f>SUMIFS('июль 2024'!$G$4:$G$1872,'июль 2024'!$D$4:$D$1872,$B109,'июль 2024'!$J$4:$J$1872,L$1)</f>
        <v>0</v>
      </c>
      <c r="M109" s="80">
        <f>SUMIFS('июль 2024'!$G$4:$G$1872,'июль 2024'!$D$4:$D$1872,$B109,'июль 2024'!$J$4:$J$1872,M$1)</f>
        <v>0</v>
      </c>
      <c r="N109" s="80">
        <f>SUMIFS('июль 2024'!$G$4:$G$1872,'июль 2024'!$D$4:$D$1872,$B109,'июль 2024'!$J$4:$J$1872,N$1)</f>
        <v>0</v>
      </c>
      <c r="O109" s="80">
        <f>SUMIFS('июль 2024'!$G$4:$G$1872,'июль 2024'!$D$4:$D$1872,$B109,'июль 2024'!$J$4:$J$1872,O$1)</f>
        <v>0</v>
      </c>
      <c r="P109" s="80">
        <f>SUMIFS('июль 2024'!$G$4:$G$1872,'июль 2024'!$D$4:$D$1872,$B109,'июль 2024'!$J$4:$J$1872,P$1)</f>
        <v>0</v>
      </c>
      <c r="Q109" s="80">
        <f>SUMIFS('июль 2024'!$G$4:$G$1872,'июль 2024'!$D$4:$D$1872,$B109,'июль 2024'!$J$4:$J$1872,Q$1)</f>
        <v>0</v>
      </c>
      <c r="R109" s="80">
        <f>SUMIFS('июль 2024'!$G$4:$G$1872,'июль 2024'!$D$4:$D$1872,$B109,'июль 2024'!$J$4:$J$1872,R$1)</f>
        <v>0</v>
      </c>
      <c r="S109" s="80">
        <f>SUMIFS('июль 2024'!$G$4:$G$1872,'июль 2024'!$D$4:$D$1872,$B109,'июль 2024'!$J$4:$J$1872,S$1)</f>
        <v>0</v>
      </c>
      <c r="T109" s="80">
        <f>SUMIFS('июль 2024'!$G$4:$G$1872,'июль 2024'!$D$4:$D$1872,$B109,'июль 2024'!$J$4:$J$1872,T$1)</f>
        <v>0</v>
      </c>
      <c r="U109" s="80">
        <f>SUMIFS('июль 2024'!$G$4:$G$1872,'июль 2024'!$D$4:$D$1872,$B109,'июль 2024'!$J$4:$J$1872,U$1)</f>
        <v>0</v>
      </c>
      <c r="V109" s="80">
        <f>SUMIFS('июль 2024'!$G$4:$G$1872,'июль 2024'!$D$4:$D$1872,$B109,'июль 2024'!$J$4:$J$1872,V$1)</f>
        <v>0</v>
      </c>
      <c r="W109" s="80">
        <f>SUMIFS('июль 2024'!$G$4:$G$1872,'июль 2024'!$D$4:$D$1872,$B109,'июль 2024'!$J$4:$J$1872,W$1)</f>
        <v>0</v>
      </c>
      <c r="X109" s="80">
        <f>SUMIFS('июль 2024'!$G$4:$G$1872,'июль 2024'!$D$4:$D$1872,$B109,'июль 2024'!$J$4:$J$1872,X$1)</f>
        <v>0</v>
      </c>
      <c r="Y109" s="80">
        <f>SUMIFS('июль 2024'!$G$4:$G$1872,'июль 2024'!$D$4:$D$1872,$B109,'июль 2024'!$J$4:$J$1872,Y$1)</f>
        <v>0</v>
      </c>
      <c r="Z109" s="80">
        <f>SUMIFS('июль 2024'!$G$4:$G$1872,'июль 2024'!$D$4:$D$1872,$B109,'июль 2024'!$J$4:$J$1872,Z$1)</f>
        <v>0</v>
      </c>
      <c r="AA109" s="80">
        <f>SUMIFS('июль 2024'!$G$4:$G$1872,'июль 2024'!$D$4:$D$1872,$B109,'июль 2024'!$J$4:$J$1872,AA$1)</f>
        <v>0</v>
      </c>
      <c r="AB109" s="80">
        <f>SUMIFS('июль 2024'!$G$4:$G$1872,'июль 2024'!$D$4:$D$1872,$B109,'июль 2024'!$J$4:$J$1872,AB$1)</f>
        <v>0</v>
      </c>
      <c r="AC109" s="80">
        <f>SUMIFS('июль 2024'!$G$4:$G$1872,'июль 2024'!$D$4:$D$1872,$B109,'июль 2024'!$J$4:$J$1872,AC$1)</f>
        <v>0</v>
      </c>
      <c r="AD109" s="80">
        <f>SUMIFS('июль 2024'!$G$4:$G$1872,'июль 2024'!$D$4:$D$1872,$B109,'июль 2024'!$J$4:$J$1872,AD$1)</f>
        <v>0</v>
      </c>
      <c r="AE109" s="80">
        <f>SUMIFS('июль 2024'!$G$4:$G$1872,'июль 2024'!$D$4:$D$1872,$B109,'июль 2024'!$J$4:$J$1872,AE$1)</f>
        <v>0</v>
      </c>
      <c r="AF109" s="80">
        <f>SUMIFS('июль 2024'!$G$4:$G$1872,'июль 2024'!$D$4:$D$1872,$B109,'июль 2024'!$J$4:$J$1872,AF$1)</f>
        <v>0</v>
      </c>
      <c r="AG109" s="80">
        <f>SUMIFS('июль 2024'!$G$4:$G$1872,'июль 2024'!$D$4:$D$1872,$B109,'июль 2024'!$J$4:$J$1872,AG$1)</f>
        <v>0</v>
      </c>
      <c r="AH109" s="80">
        <f>SUMIFS('июль 2024'!$G$4:$G$1872,'июль 2024'!$D$4:$D$1872,$B109,'июль 2024'!$J$4:$J$1872,AH$1)</f>
        <v>0</v>
      </c>
      <c r="AI109" s="21">
        <f t="shared" si="1"/>
        <v>0</v>
      </c>
    </row>
    <row r="110" spans="2:35" ht="15" customHeight="1" x14ac:dyDescent="0.25">
      <c r="B110" s="93" t="s">
        <v>1069</v>
      </c>
      <c r="C110" s="91">
        <v>175</v>
      </c>
      <c r="D110" s="80">
        <f>SUMIFS('июль 2024'!$G$4:$G$1872,'июль 2024'!$D$4:$D$1872,$B110,'июль 2024'!$J$4:$J$1872,D$1)</f>
        <v>0</v>
      </c>
      <c r="E110" s="80">
        <f>SUMIFS('июль 2024'!$G$4:$G$1872,'июль 2024'!$D$4:$D$1872,$B110,'июль 2024'!$J$4:$J$1872,E$1)</f>
        <v>0</v>
      </c>
      <c r="F110" s="80">
        <f>SUMIFS('июль 2024'!$G$4:$G$1872,'июль 2024'!$D$4:$D$1872,$B110,'июль 2024'!$J$4:$J$1872,F$1)</f>
        <v>0</v>
      </c>
      <c r="G110" s="80">
        <f>SUMIFS('июль 2024'!$G$4:$G$1872,'июль 2024'!$D$4:$D$1872,$B110,'июль 2024'!$J$4:$J$1872,G$1)</f>
        <v>0</v>
      </c>
      <c r="H110" s="80">
        <f>SUMIFS('июль 2024'!$G$4:$G$1872,'июль 2024'!$D$4:$D$1872,$B110,'июль 2024'!$J$4:$J$1872,H$1)</f>
        <v>0</v>
      </c>
      <c r="I110" s="80">
        <f>SUMIFS('июль 2024'!$G$4:$G$1872,'июль 2024'!$D$4:$D$1872,$B110,'июль 2024'!$J$4:$J$1872,I$1)</f>
        <v>0</v>
      </c>
      <c r="J110" s="80">
        <f>SUMIFS('июль 2024'!$G$4:$G$1872,'июль 2024'!$D$4:$D$1872,$B110,'июль 2024'!$J$4:$J$1872,J$1)</f>
        <v>0</v>
      </c>
      <c r="K110" s="80">
        <f>SUMIFS('июль 2024'!$G$4:$G$1872,'июль 2024'!$D$4:$D$1872,$B110,'июль 2024'!$J$4:$J$1872,K$1)</f>
        <v>0</v>
      </c>
      <c r="L110" s="80">
        <f>SUMIFS('июль 2024'!$G$4:$G$1872,'июль 2024'!$D$4:$D$1872,$B110,'июль 2024'!$J$4:$J$1872,L$1)</f>
        <v>0</v>
      </c>
      <c r="M110" s="80">
        <f>SUMIFS('июль 2024'!$G$4:$G$1872,'июль 2024'!$D$4:$D$1872,$B110,'июль 2024'!$J$4:$J$1872,M$1)</f>
        <v>0</v>
      </c>
      <c r="N110" s="80">
        <f>SUMIFS('июль 2024'!$G$4:$G$1872,'июль 2024'!$D$4:$D$1872,$B110,'июль 2024'!$J$4:$J$1872,N$1)</f>
        <v>0</v>
      </c>
      <c r="O110" s="80">
        <f>SUMIFS('июль 2024'!$G$4:$G$1872,'июль 2024'!$D$4:$D$1872,$B110,'июль 2024'!$J$4:$J$1872,O$1)</f>
        <v>0</v>
      </c>
      <c r="P110" s="80">
        <f>SUMIFS('июль 2024'!$G$4:$G$1872,'июль 2024'!$D$4:$D$1872,$B110,'июль 2024'!$J$4:$J$1872,P$1)</f>
        <v>0</v>
      </c>
      <c r="Q110" s="80">
        <f>SUMIFS('июль 2024'!$G$4:$G$1872,'июль 2024'!$D$4:$D$1872,$B110,'июль 2024'!$J$4:$J$1872,Q$1)</f>
        <v>0</v>
      </c>
      <c r="R110" s="80">
        <f>SUMIFS('июль 2024'!$G$4:$G$1872,'июль 2024'!$D$4:$D$1872,$B110,'июль 2024'!$J$4:$J$1872,R$1)</f>
        <v>0</v>
      </c>
      <c r="S110" s="80">
        <f>SUMIFS('июль 2024'!$G$4:$G$1872,'июль 2024'!$D$4:$D$1872,$B110,'июль 2024'!$J$4:$J$1872,S$1)</f>
        <v>0</v>
      </c>
      <c r="T110" s="80">
        <f>SUMIFS('июль 2024'!$G$4:$G$1872,'июль 2024'!$D$4:$D$1872,$B110,'июль 2024'!$J$4:$J$1872,T$1)</f>
        <v>0</v>
      </c>
      <c r="U110" s="80">
        <f>SUMIFS('июль 2024'!$G$4:$G$1872,'июль 2024'!$D$4:$D$1872,$B110,'июль 2024'!$J$4:$J$1872,U$1)</f>
        <v>0</v>
      </c>
      <c r="V110" s="80">
        <f>SUMIFS('июль 2024'!$G$4:$G$1872,'июль 2024'!$D$4:$D$1872,$B110,'июль 2024'!$J$4:$J$1872,V$1)</f>
        <v>0</v>
      </c>
      <c r="W110" s="80">
        <f>SUMIFS('июль 2024'!$G$4:$G$1872,'июль 2024'!$D$4:$D$1872,$B110,'июль 2024'!$J$4:$J$1872,W$1)</f>
        <v>0</v>
      </c>
      <c r="X110" s="80">
        <f>SUMIFS('июль 2024'!$G$4:$G$1872,'июль 2024'!$D$4:$D$1872,$B110,'июль 2024'!$J$4:$J$1872,X$1)</f>
        <v>0</v>
      </c>
      <c r="Y110" s="80">
        <f>SUMIFS('июль 2024'!$G$4:$G$1872,'июль 2024'!$D$4:$D$1872,$B110,'июль 2024'!$J$4:$J$1872,Y$1)</f>
        <v>0</v>
      </c>
      <c r="Z110" s="80">
        <f>SUMIFS('июль 2024'!$G$4:$G$1872,'июль 2024'!$D$4:$D$1872,$B110,'июль 2024'!$J$4:$J$1872,Z$1)</f>
        <v>0</v>
      </c>
      <c r="AA110" s="80">
        <f>SUMIFS('июль 2024'!$G$4:$G$1872,'июль 2024'!$D$4:$D$1872,$B110,'июль 2024'!$J$4:$J$1872,AA$1)</f>
        <v>0</v>
      </c>
      <c r="AB110" s="80">
        <f>SUMIFS('июль 2024'!$G$4:$G$1872,'июль 2024'!$D$4:$D$1872,$B110,'июль 2024'!$J$4:$J$1872,AB$1)</f>
        <v>0</v>
      </c>
      <c r="AC110" s="80">
        <f>SUMIFS('июль 2024'!$G$4:$G$1872,'июль 2024'!$D$4:$D$1872,$B110,'июль 2024'!$J$4:$J$1872,AC$1)</f>
        <v>0</v>
      </c>
      <c r="AD110" s="80">
        <f>SUMIFS('июль 2024'!$G$4:$G$1872,'июль 2024'!$D$4:$D$1872,$B110,'июль 2024'!$J$4:$J$1872,AD$1)</f>
        <v>0</v>
      </c>
      <c r="AE110" s="80">
        <f>SUMIFS('июль 2024'!$G$4:$G$1872,'июль 2024'!$D$4:$D$1872,$B110,'июль 2024'!$J$4:$J$1872,AE$1)</f>
        <v>0</v>
      </c>
      <c r="AF110" s="80">
        <f>SUMIFS('июль 2024'!$G$4:$G$1872,'июль 2024'!$D$4:$D$1872,$B110,'июль 2024'!$J$4:$J$1872,AF$1)</f>
        <v>0</v>
      </c>
      <c r="AG110" s="80">
        <f>SUMIFS('июль 2024'!$G$4:$G$1872,'июль 2024'!$D$4:$D$1872,$B110,'июль 2024'!$J$4:$J$1872,AG$1)</f>
        <v>0</v>
      </c>
      <c r="AH110" s="80">
        <f>SUMIFS('июль 2024'!$G$4:$G$1872,'июль 2024'!$D$4:$D$1872,$B110,'июль 2024'!$J$4:$J$1872,AH$1)</f>
        <v>0</v>
      </c>
      <c r="AI110" s="21">
        <f t="shared" si="1"/>
        <v>0</v>
      </c>
    </row>
    <row r="111" spans="2:35" ht="15" customHeight="1" x14ac:dyDescent="0.25">
      <c r="B111" s="93" t="s">
        <v>1226</v>
      </c>
      <c r="C111" s="91">
        <v>200</v>
      </c>
      <c r="D111" s="80">
        <f>SUMIFS('июль 2024'!$G$4:$G$1872,'июль 2024'!$D$4:$D$1872,$B111,'июль 2024'!$J$4:$J$1872,D$1)</f>
        <v>0</v>
      </c>
      <c r="E111" s="80">
        <f>SUMIFS('июль 2024'!$G$4:$G$1872,'июль 2024'!$D$4:$D$1872,$B111,'июль 2024'!$J$4:$J$1872,E$1)</f>
        <v>0</v>
      </c>
      <c r="F111" s="80">
        <f>SUMIFS('июль 2024'!$G$4:$G$1872,'июль 2024'!$D$4:$D$1872,$B111,'июль 2024'!$J$4:$J$1872,F$1)</f>
        <v>0</v>
      </c>
      <c r="G111" s="80">
        <f>SUMIFS('июль 2024'!$G$4:$G$1872,'июль 2024'!$D$4:$D$1872,$B111,'июль 2024'!$J$4:$J$1872,G$1)</f>
        <v>0</v>
      </c>
      <c r="H111" s="80">
        <f>SUMIFS('июль 2024'!$G$4:$G$1872,'июль 2024'!$D$4:$D$1872,$B111,'июль 2024'!$J$4:$J$1872,H$1)</f>
        <v>0</v>
      </c>
      <c r="I111" s="80">
        <f>SUMIFS('июль 2024'!$G$4:$G$1872,'июль 2024'!$D$4:$D$1872,$B111,'июль 2024'!$J$4:$J$1872,I$1)</f>
        <v>0</v>
      </c>
      <c r="J111" s="80">
        <f>SUMIFS('июль 2024'!$G$4:$G$1872,'июль 2024'!$D$4:$D$1872,$B111,'июль 2024'!$J$4:$J$1872,J$1)</f>
        <v>0</v>
      </c>
      <c r="K111" s="80">
        <f>SUMIFS('июль 2024'!$G$4:$G$1872,'июль 2024'!$D$4:$D$1872,$B111,'июль 2024'!$J$4:$J$1872,K$1)</f>
        <v>0</v>
      </c>
      <c r="L111" s="80">
        <f>SUMIFS('июль 2024'!$G$4:$G$1872,'июль 2024'!$D$4:$D$1872,$B111,'июль 2024'!$J$4:$J$1872,L$1)</f>
        <v>0</v>
      </c>
      <c r="M111" s="80">
        <f>SUMIFS('июль 2024'!$G$4:$G$1872,'июль 2024'!$D$4:$D$1872,$B111,'июль 2024'!$J$4:$J$1872,M$1)</f>
        <v>0</v>
      </c>
      <c r="N111" s="80">
        <f>SUMIFS('июль 2024'!$G$4:$G$1872,'июль 2024'!$D$4:$D$1872,$B111,'июль 2024'!$J$4:$J$1872,N$1)</f>
        <v>0</v>
      </c>
      <c r="O111" s="80">
        <f>SUMIFS('июль 2024'!$G$4:$G$1872,'июль 2024'!$D$4:$D$1872,$B111,'июль 2024'!$J$4:$J$1872,O$1)</f>
        <v>0</v>
      </c>
      <c r="P111" s="80">
        <f>SUMIFS('июль 2024'!$G$4:$G$1872,'июль 2024'!$D$4:$D$1872,$B111,'июль 2024'!$J$4:$J$1872,P$1)</f>
        <v>0</v>
      </c>
      <c r="Q111" s="80">
        <f>SUMIFS('июль 2024'!$G$4:$G$1872,'июль 2024'!$D$4:$D$1872,$B111,'июль 2024'!$J$4:$J$1872,Q$1)</f>
        <v>0</v>
      </c>
      <c r="R111" s="80">
        <f>SUMIFS('июль 2024'!$G$4:$G$1872,'июль 2024'!$D$4:$D$1872,$B111,'июль 2024'!$J$4:$J$1872,R$1)</f>
        <v>0</v>
      </c>
      <c r="S111" s="80">
        <f>SUMIFS('июль 2024'!$G$4:$G$1872,'июль 2024'!$D$4:$D$1872,$B111,'июль 2024'!$J$4:$J$1872,S$1)</f>
        <v>0</v>
      </c>
      <c r="T111" s="80">
        <f>SUMIFS('июль 2024'!$G$4:$G$1872,'июль 2024'!$D$4:$D$1872,$B111,'июль 2024'!$J$4:$J$1872,T$1)</f>
        <v>0</v>
      </c>
      <c r="U111" s="80">
        <f>SUMIFS('июль 2024'!$G$4:$G$1872,'июль 2024'!$D$4:$D$1872,$B111,'июль 2024'!$J$4:$J$1872,U$1)</f>
        <v>0</v>
      </c>
      <c r="V111" s="80">
        <f>SUMIFS('июль 2024'!$G$4:$G$1872,'июль 2024'!$D$4:$D$1872,$B111,'июль 2024'!$J$4:$J$1872,V$1)</f>
        <v>0</v>
      </c>
      <c r="W111" s="80">
        <f>SUMIFS('июль 2024'!$G$4:$G$1872,'июль 2024'!$D$4:$D$1872,$B111,'июль 2024'!$J$4:$J$1872,W$1)</f>
        <v>0</v>
      </c>
      <c r="X111" s="80">
        <f>SUMIFS('июль 2024'!$G$4:$G$1872,'июль 2024'!$D$4:$D$1872,$B111,'июль 2024'!$J$4:$J$1872,X$1)</f>
        <v>0</v>
      </c>
      <c r="Y111" s="80">
        <f>SUMIFS('июль 2024'!$G$4:$G$1872,'июль 2024'!$D$4:$D$1872,$B111,'июль 2024'!$J$4:$J$1872,Y$1)</f>
        <v>0</v>
      </c>
      <c r="Z111" s="80">
        <f>SUMIFS('июль 2024'!$G$4:$G$1872,'июль 2024'!$D$4:$D$1872,$B111,'июль 2024'!$J$4:$J$1872,Z$1)</f>
        <v>0</v>
      </c>
      <c r="AA111" s="80">
        <f>SUMIFS('июль 2024'!$G$4:$G$1872,'июль 2024'!$D$4:$D$1872,$B111,'июль 2024'!$J$4:$J$1872,AA$1)</f>
        <v>0</v>
      </c>
      <c r="AB111" s="80">
        <f>SUMIFS('июль 2024'!$G$4:$G$1872,'июль 2024'!$D$4:$D$1872,$B111,'июль 2024'!$J$4:$J$1872,AB$1)</f>
        <v>0</v>
      </c>
      <c r="AC111" s="80">
        <f>SUMIFS('июль 2024'!$G$4:$G$1872,'июль 2024'!$D$4:$D$1872,$B111,'июль 2024'!$J$4:$J$1872,AC$1)</f>
        <v>0</v>
      </c>
      <c r="AD111" s="80">
        <f>SUMIFS('июль 2024'!$G$4:$G$1872,'июль 2024'!$D$4:$D$1872,$B111,'июль 2024'!$J$4:$J$1872,AD$1)</f>
        <v>0</v>
      </c>
      <c r="AE111" s="80">
        <f>SUMIFS('июль 2024'!$G$4:$G$1872,'июль 2024'!$D$4:$D$1872,$B111,'июль 2024'!$J$4:$J$1872,AE$1)</f>
        <v>0</v>
      </c>
      <c r="AF111" s="80">
        <f>SUMIFS('июль 2024'!$G$4:$G$1872,'июль 2024'!$D$4:$D$1872,$B111,'июль 2024'!$J$4:$J$1872,AF$1)</f>
        <v>0</v>
      </c>
      <c r="AG111" s="80">
        <f>SUMIFS('июль 2024'!$G$4:$G$1872,'июль 2024'!$D$4:$D$1872,$B111,'июль 2024'!$J$4:$J$1872,AG$1)</f>
        <v>0</v>
      </c>
      <c r="AH111" s="80">
        <f>SUMIFS('июль 2024'!$G$4:$G$1872,'июль 2024'!$D$4:$D$1872,$B111,'июль 2024'!$J$4:$J$1872,AH$1)</f>
        <v>0</v>
      </c>
      <c r="AI111" s="21">
        <f t="shared" si="1"/>
        <v>0</v>
      </c>
    </row>
    <row r="112" spans="2:35" ht="15" customHeight="1" x14ac:dyDescent="0.25">
      <c r="B112" s="93" t="s">
        <v>329</v>
      </c>
      <c r="C112" s="91">
        <v>180</v>
      </c>
      <c r="D112" s="80">
        <f>SUMIFS('июль 2024'!$G$4:$G$1872,'июль 2024'!$D$4:$D$1872,$B112,'июль 2024'!$J$4:$J$1872,D$1)</f>
        <v>0</v>
      </c>
      <c r="E112" s="80">
        <f>SUMIFS('июль 2024'!$G$4:$G$1872,'июль 2024'!$D$4:$D$1872,$B112,'июль 2024'!$J$4:$J$1872,E$1)</f>
        <v>0</v>
      </c>
      <c r="F112" s="80">
        <f>SUMIFS('июль 2024'!$G$4:$G$1872,'июль 2024'!$D$4:$D$1872,$B112,'июль 2024'!$J$4:$J$1872,F$1)</f>
        <v>0</v>
      </c>
      <c r="G112" s="80">
        <f>SUMIFS('июль 2024'!$G$4:$G$1872,'июль 2024'!$D$4:$D$1872,$B112,'июль 2024'!$J$4:$J$1872,G$1)</f>
        <v>0</v>
      </c>
      <c r="H112" s="80">
        <f>SUMIFS('июль 2024'!$G$4:$G$1872,'июль 2024'!$D$4:$D$1872,$B112,'июль 2024'!$J$4:$J$1872,H$1)</f>
        <v>0</v>
      </c>
      <c r="I112" s="80">
        <f>SUMIFS('июль 2024'!$G$4:$G$1872,'июль 2024'!$D$4:$D$1872,$B112,'июль 2024'!$J$4:$J$1872,I$1)</f>
        <v>0</v>
      </c>
      <c r="J112" s="80">
        <f>SUMIFS('июль 2024'!$G$4:$G$1872,'июль 2024'!$D$4:$D$1872,$B112,'июль 2024'!$J$4:$J$1872,J$1)</f>
        <v>0</v>
      </c>
      <c r="K112" s="80">
        <f>SUMIFS('июль 2024'!$G$4:$G$1872,'июль 2024'!$D$4:$D$1872,$B112,'июль 2024'!$J$4:$J$1872,K$1)</f>
        <v>0</v>
      </c>
      <c r="L112" s="80">
        <f>SUMIFS('июль 2024'!$G$4:$G$1872,'июль 2024'!$D$4:$D$1872,$B112,'июль 2024'!$J$4:$J$1872,L$1)</f>
        <v>0</v>
      </c>
      <c r="M112" s="80">
        <f>SUMIFS('июль 2024'!$G$4:$G$1872,'июль 2024'!$D$4:$D$1872,$B112,'июль 2024'!$J$4:$J$1872,M$1)</f>
        <v>0</v>
      </c>
      <c r="N112" s="80">
        <f>SUMIFS('июль 2024'!$G$4:$G$1872,'июль 2024'!$D$4:$D$1872,$B112,'июль 2024'!$J$4:$J$1872,N$1)</f>
        <v>0</v>
      </c>
      <c r="O112" s="80">
        <f>SUMIFS('июль 2024'!$G$4:$G$1872,'июль 2024'!$D$4:$D$1872,$B112,'июль 2024'!$J$4:$J$1872,O$1)</f>
        <v>0</v>
      </c>
      <c r="P112" s="80">
        <f>SUMIFS('июль 2024'!$G$4:$G$1872,'июль 2024'!$D$4:$D$1872,$B112,'июль 2024'!$J$4:$J$1872,P$1)</f>
        <v>0</v>
      </c>
      <c r="Q112" s="80">
        <f>SUMIFS('июль 2024'!$G$4:$G$1872,'июль 2024'!$D$4:$D$1872,$B112,'июль 2024'!$J$4:$J$1872,Q$1)</f>
        <v>0</v>
      </c>
      <c r="R112" s="80">
        <f>SUMIFS('июль 2024'!$G$4:$G$1872,'июль 2024'!$D$4:$D$1872,$B112,'июль 2024'!$J$4:$J$1872,R$1)</f>
        <v>0</v>
      </c>
      <c r="S112" s="80">
        <f>SUMIFS('июль 2024'!$G$4:$G$1872,'июль 2024'!$D$4:$D$1872,$B112,'июль 2024'!$J$4:$J$1872,S$1)</f>
        <v>0</v>
      </c>
      <c r="T112" s="80">
        <f>SUMIFS('июль 2024'!$G$4:$G$1872,'июль 2024'!$D$4:$D$1872,$B112,'июль 2024'!$J$4:$J$1872,T$1)</f>
        <v>0</v>
      </c>
      <c r="U112" s="80">
        <f>SUMIFS('июль 2024'!$G$4:$G$1872,'июль 2024'!$D$4:$D$1872,$B112,'июль 2024'!$J$4:$J$1872,U$1)</f>
        <v>0</v>
      </c>
      <c r="V112" s="80">
        <f>SUMIFS('июль 2024'!$G$4:$G$1872,'июль 2024'!$D$4:$D$1872,$B112,'июль 2024'!$J$4:$J$1872,V$1)</f>
        <v>0</v>
      </c>
      <c r="W112" s="80">
        <f>SUMIFS('июль 2024'!$G$4:$G$1872,'июль 2024'!$D$4:$D$1872,$B112,'июль 2024'!$J$4:$J$1872,W$1)</f>
        <v>0</v>
      </c>
      <c r="X112" s="80">
        <f>SUMIFS('июль 2024'!$G$4:$G$1872,'июль 2024'!$D$4:$D$1872,$B112,'июль 2024'!$J$4:$J$1872,X$1)</f>
        <v>0</v>
      </c>
      <c r="Y112" s="80">
        <f>SUMIFS('июль 2024'!$G$4:$G$1872,'июль 2024'!$D$4:$D$1872,$B112,'июль 2024'!$J$4:$J$1872,Y$1)</f>
        <v>0</v>
      </c>
      <c r="Z112" s="80">
        <f>SUMIFS('июль 2024'!$G$4:$G$1872,'июль 2024'!$D$4:$D$1872,$B112,'июль 2024'!$J$4:$J$1872,Z$1)</f>
        <v>0</v>
      </c>
      <c r="AA112" s="80">
        <f>SUMIFS('июль 2024'!$G$4:$G$1872,'июль 2024'!$D$4:$D$1872,$B112,'июль 2024'!$J$4:$J$1872,AA$1)</f>
        <v>0</v>
      </c>
      <c r="AB112" s="80">
        <f>SUMIFS('июль 2024'!$G$4:$G$1872,'июль 2024'!$D$4:$D$1872,$B112,'июль 2024'!$J$4:$J$1872,AB$1)</f>
        <v>0</v>
      </c>
      <c r="AC112" s="80">
        <f>SUMIFS('июль 2024'!$G$4:$G$1872,'июль 2024'!$D$4:$D$1872,$B112,'июль 2024'!$J$4:$J$1872,AC$1)</f>
        <v>0</v>
      </c>
      <c r="AD112" s="80">
        <f>SUMIFS('июль 2024'!$G$4:$G$1872,'июль 2024'!$D$4:$D$1872,$B112,'июль 2024'!$J$4:$J$1872,AD$1)</f>
        <v>0</v>
      </c>
      <c r="AE112" s="80">
        <f>SUMIFS('июль 2024'!$G$4:$G$1872,'июль 2024'!$D$4:$D$1872,$B112,'июль 2024'!$J$4:$J$1872,AE$1)</f>
        <v>0</v>
      </c>
      <c r="AF112" s="80">
        <f>SUMIFS('июль 2024'!$G$4:$G$1872,'июль 2024'!$D$4:$D$1872,$B112,'июль 2024'!$J$4:$J$1872,AF$1)</f>
        <v>0</v>
      </c>
      <c r="AG112" s="80">
        <f>SUMIFS('июль 2024'!$G$4:$G$1872,'июль 2024'!$D$4:$D$1872,$B112,'июль 2024'!$J$4:$J$1872,AG$1)</f>
        <v>0</v>
      </c>
      <c r="AH112" s="80">
        <f>SUMIFS('июль 2024'!$G$4:$G$1872,'июль 2024'!$D$4:$D$1872,$B112,'июль 2024'!$J$4:$J$1872,AH$1)</f>
        <v>0</v>
      </c>
      <c r="AI112" s="21">
        <f t="shared" si="1"/>
        <v>0</v>
      </c>
    </row>
    <row r="113" spans="2:35" ht="15" customHeight="1" x14ac:dyDescent="0.25">
      <c r="B113" s="93" t="s">
        <v>344</v>
      </c>
      <c r="C113" s="91">
        <v>185</v>
      </c>
      <c r="D113" s="80">
        <f>SUMIFS('июль 2024'!$G$4:$G$1872,'июль 2024'!$D$4:$D$1872,$B113,'июль 2024'!$J$4:$J$1872,D$1)</f>
        <v>0</v>
      </c>
      <c r="E113" s="80">
        <f>SUMIFS('июль 2024'!$G$4:$G$1872,'июль 2024'!$D$4:$D$1872,$B113,'июль 2024'!$J$4:$J$1872,E$1)</f>
        <v>0</v>
      </c>
      <c r="F113" s="80">
        <f>SUMIFS('июль 2024'!$G$4:$G$1872,'июль 2024'!$D$4:$D$1872,$B113,'июль 2024'!$J$4:$J$1872,F$1)</f>
        <v>0</v>
      </c>
      <c r="G113" s="80">
        <f>SUMIFS('июль 2024'!$G$4:$G$1872,'июль 2024'!$D$4:$D$1872,$B113,'июль 2024'!$J$4:$J$1872,G$1)</f>
        <v>0</v>
      </c>
      <c r="H113" s="80">
        <f>SUMIFS('июль 2024'!$G$4:$G$1872,'июль 2024'!$D$4:$D$1872,$B113,'июль 2024'!$J$4:$J$1872,H$1)</f>
        <v>0</v>
      </c>
      <c r="I113" s="80">
        <f>SUMIFS('июль 2024'!$G$4:$G$1872,'июль 2024'!$D$4:$D$1872,$B113,'июль 2024'!$J$4:$J$1872,I$1)</f>
        <v>0</v>
      </c>
      <c r="J113" s="80">
        <f>SUMIFS('июль 2024'!$G$4:$G$1872,'июль 2024'!$D$4:$D$1872,$B113,'июль 2024'!$J$4:$J$1872,J$1)</f>
        <v>0</v>
      </c>
      <c r="K113" s="80">
        <f>SUMIFS('июль 2024'!$G$4:$G$1872,'июль 2024'!$D$4:$D$1872,$B113,'июль 2024'!$J$4:$J$1872,K$1)</f>
        <v>0</v>
      </c>
      <c r="L113" s="80">
        <f>SUMIFS('июль 2024'!$G$4:$G$1872,'июль 2024'!$D$4:$D$1872,$B113,'июль 2024'!$J$4:$J$1872,L$1)</f>
        <v>0</v>
      </c>
      <c r="M113" s="80">
        <f>SUMIFS('июль 2024'!$G$4:$G$1872,'июль 2024'!$D$4:$D$1872,$B113,'июль 2024'!$J$4:$J$1872,M$1)</f>
        <v>0</v>
      </c>
      <c r="N113" s="80">
        <f>SUMIFS('июль 2024'!$G$4:$G$1872,'июль 2024'!$D$4:$D$1872,$B113,'июль 2024'!$J$4:$J$1872,N$1)</f>
        <v>0</v>
      </c>
      <c r="O113" s="80">
        <f>SUMIFS('июль 2024'!$G$4:$G$1872,'июль 2024'!$D$4:$D$1872,$B113,'июль 2024'!$J$4:$J$1872,O$1)</f>
        <v>0</v>
      </c>
      <c r="P113" s="80">
        <f>SUMIFS('июль 2024'!$G$4:$G$1872,'июль 2024'!$D$4:$D$1872,$B113,'июль 2024'!$J$4:$J$1872,P$1)</f>
        <v>0</v>
      </c>
      <c r="Q113" s="80">
        <f>SUMIFS('июль 2024'!$G$4:$G$1872,'июль 2024'!$D$4:$D$1872,$B113,'июль 2024'!$J$4:$J$1872,Q$1)</f>
        <v>0</v>
      </c>
      <c r="R113" s="80">
        <f>SUMIFS('июль 2024'!$G$4:$G$1872,'июль 2024'!$D$4:$D$1872,$B113,'июль 2024'!$J$4:$J$1872,R$1)</f>
        <v>0</v>
      </c>
      <c r="S113" s="80">
        <f>SUMIFS('июль 2024'!$G$4:$G$1872,'июль 2024'!$D$4:$D$1872,$B113,'июль 2024'!$J$4:$J$1872,S$1)</f>
        <v>0</v>
      </c>
      <c r="T113" s="80">
        <f>SUMIFS('июль 2024'!$G$4:$G$1872,'июль 2024'!$D$4:$D$1872,$B113,'июль 2024'!$J$4:$J$1872,T$1)</f>
        <v>0</v>
      </c>
      <c r="U113" s="80">
        <f>SUMIFS('июль 2024'!$G$4:$G$1872,'июль 2024'!$D$4:$D$1872,$B113,'июль 2024'!$J$4:$J$1872,U$1)</f>
        <v>0</v>
      </c>
      <c r="V113" s="80">
        <f>SUMIFS('июль 2024'!$G$4:$G$1872,'июль 2024'!$D$4:$D$1872,$B113,'июль 2024'!$J$4:$J$1872,V$1)</f>
        <v>0</v>
      </c>
      <c r="W113" s="80">
        <f>SUMIFS('июль 2024'!$G$4:$G$1872,'июль 2024'!$D$4:$D$1872,$B113,'июль 2024'!$J$4:$J$1872,W$1)</f>
        <v>0</v>
      </c>
      <c r="X113" s="80">
        <f>SUMIFS('июль 2024'!$G$4:$G$1872,'июль 2024'!$D$4:$D$1872,$B113,'июль 2024'!$J$4:$J$1872,X$1)</f>
        <v>0</v>
      </c>
      <c r="Y113" s="80">
        <f>SUMIFS('июль 2024'!$G$4:$G$1872,'июль 2024'!$D$4:$D$1872,$B113,'июль 2024'!$J$4:$J$1872,Y$1)</f>
        <v>0</v>
      </c>
      <c r="Z113" s="80">
        <f>SUMIFS('июль 2024'!$G$4:$G$1872,'июль 2024'!$D$4:$D$1872,$B113,'июль 2024'!$J$4:$J$1872,Z$1)</f>
        <v>0</v>
      </c>
      <c r="AA113" s="80">
        <f>SUMIFS('июль 2024'!$G$4:$G$1872,'июль 2024'!$D$4:$D$1872,$B113,'июль 2024'!$J$4:$J$1872,AA$1)</f>
        <v>0</v>
      </c>
      <c r="AB113" s="80">
        <f>SUMIFS('июль 2024'!$G$4:$G$1872,'июль 2024'!$D$4:$D$1872,$B113,'июль 2024'!$J$4:$J$1872,AB$1)</f>
        <v>0</v>
      </c>
      <c r="AC113" s="80">
        <f>SUMIFS('июль 2024'!$G$4:$G$1872,'июль 2024'!$D$4:$D$1872,$B113,'июль 2024'!$J$4:$J$1872,AC$1)</f>
        <v>0</v>
      </c>
      <c r="AD113" s="80">
        <f>SUMIFS('июль 2024'!$G$4:$G$1872,'июль 2024'!$D$4:$D$1872,$B113,'июль 2024'!$J$4:$J$1872,AD$1)</f>
        <v>0</v>
      </c>
      <c r="AE113" s="80">
        <f>SUMIFS('июль 2024'!$G$4:$G$1872,'июль 2024'!$D$4:$D$1872,$B113,'июль 2024'!$J$4:$J$1872,AE$1)</f>
        <v>0</v>
      </c>
      <c r="AF113" s="80">
        <f>SUMIFS('июль 2024'!$G$4:$G$1872,'июль 2024'!$D$4:$D$1872,$B113,'июль 2024'!$J$4:$J$1872,AF$1)</f>
        <v>0</v>
      </c>
      <c r="AG113" s="80">
        <f>SUMIFS('июль 2024'!$G$4:$G$1872,'июль 2024'!$D$4:$D$1872,$B113,'июль 2024'!$J$4:$J$1872,AG$1)</f>
        <v>0</v>
      </c>
      <c r="AH113" s="80">
        <f>SUMIFS('июль 2024'!$G$4:$G$1872,'июль 2024'!$D$4:$D$1872,$B113,'июль 2024'!$J$4:$J$1872,AH$1)</f>
        <v>0</v>
      </c>
      <c r="AI113" s="21">
        <f t="shared" si="1"/>
        <v>0</v>
      </c>
    </row>
    <row r="114" spans="2:35" ht="15" customHeight="1" x14ac:dyDescent="0.25">
      <c r="B114" s="93" t="s">
        <v>400</v>
      </c>
      <c r="C114" s="91">
        <v>185</v>
      </c>
      <c r="D114" s="80">
        <f>SUMIFS('июль 2024'!$G$4:$G$1872,'июль 2024'!$D$4:$D$1872,$B114,'июль 2024'!$J$4:$J$1872,D$1)</f>
        <v>0</v>
      </c>
      <c r="E114" s="80">
        <f>SUMIFS('июль 2024'!$G$4:$G$1872,'июль 2024'!$D$4:$D$1872,$B114,'июль 2024'!$J$4:$J$1872,E$1)</f>
        <v>0</v>
      </c>
      <c r="F114" s="80">
        <f>SUMIFS('июль 2024'!$G$4:$G$1872,'июль 2024'!$D$4:$D$1872,$B114,'июль 2024'!$J$4:$J$1872,F$1)</f>
        <v>0</v>
      </c>
      <c r="G114" s="80">
        <f>SUMIFS('июль 2024'!$G$4:$G$1872,'июль 2024'!$D$4:$D$1872,$B114,'июль 2024'!$J$4:$J$1872,G$1)</f>
        <v>0</v>
      </c>
      <c r="H114" s="80">
        <f>SUMIFS('июль 2024'!$G$4:$G$1872,'июль 2024'!$D$4:$D$1872,$B114,'июль 2024'!$J$4:$J$1872,H$1)</f>
        <v>0</v>
      </c>
      <c r="I114" s="80">
        <f>SUMIFS('июль 2024'!$G$4:$G$1872,'июль 2024'!$D$4:$D$1872,$B114,'июль 2024'!$J$4:$J$1872,I$1)</f>
        <v>0</v>
      </c>
      <c r="J114" s="80">
        <f>SUMIFS('июль 2024'!$G$4:$G$1872,'июль 2024'!$D$4:$D$1872,$B114,'июль 2024'!$J$4:$J$1872,J$1)</f>
        <v>0</v>
      </c>
      <c r="K114" s="80">
        <f>SUMIFS('июль 2024'!$G$4:$G$1872,'июль 2024'!$D$4:$D$1872,$B114,'июль 2024'!$J$4:$J$1872,K$1)</f>
        <v>0</v>
      </c>
      <c r="L114" s="80">
        <f>SUMIFS('июль 2024'!$G$4:$G$1872,'июль 2024'!$D$4:$D$1872,$B114,'июль 2024'!$J$4:$J$1872,L$1)</f>
        <v>0</v>
      </c>
      <c r="M114" s="80">
        <f>SUMIFS('июль 2024'!$G$4:$G$1872,'июль 2024'!$D$4:$D$1872,$B114,'июль 2024'!$J$4:$J$1872,M$1)</f>
        <v>0</v>
      </c>
      <c r="N114" s="80">
        <f>SUMIFS('июль 2024'!$G$4:$G$1872,'июль 2024'!$D$4:$D$1872,$B114,'июль 2024'!$J$4:$J$1872,N$1)</f>
        <v>0</v>
      </c>
      <c r="O114" s="80">
        <f>SUMIFS('июль 2024'!$G$4:$G$1872,'июль 2024'!$D$4:$D$1872,$B114,'июль 2024'!$J$4:$J$1872,O$1)</f>
        <v>0</v>
      </c>
      <c r="P114" s="80">
        <f>SUMIFS('июль 2024'!$G$4:$G$1872,'июль 2024'!$D$4:$D$1872,$B114,'июль 2024'!$J$4:$J$1872,P$1)</f>
        <v>0</v>
      </c>
      <c r="Q114" s="80">
        <f>SUMIFS('июль 2024'!$G$4:$G$1872,'июль 2024'!$D$4:$D$1872,$B114,'июль 2024'!$J$4:$J$1872,Q$1)</f>
        <v>0</v>
      </c>
      <c r="R114" s="80">
        <f>SUMIFS('июль 2024'!$G$4:$G$1872,'июль 2024'!$D$4:$D$1872,$B114,'июль 2024'!$J$4:$J$1872,R$1)</f>
        <v>0</v>
      </c>
      <c r="S114" s="80">
        <f>SUMIFS('июль 2024'!$G$4:$G$1872,'июль 2024'!$D$4:$D$1872,$B114,'июль 2024'!$J$4:$J$1872,S$1)</f>
        <v>0</v>
      </c>
      <c r="T114" s="80">
        <f>SUMIFS('июль 2024'!$G$4:$G$1872,'июль 2024'!$D$4:$D$1872,$B114,'июль 2024'!$J$4:$J$1872,T$1)</f>
        <v>0</v>
      </c>
      <c r="U114" s="80">
        <f>SUMIFS('июль 2024'!$G$4:$G$1872,'июль 2024'!$D$4:$D$1872,$B114,'июль 2024'!$J$4:$J$1872,U$1)</f>
        <v>0</v>
      </c>
      <c r="V114" s="80">
        <f>SUMIFS('июль 2024'!$G$4:$G$1872,'июль 2024'!$D$4:$D$1872,$B114,'июль 2024'!$J$4:$J$1872,V$1)</f>
        <v>0</v>
      </c>
      <c r="W114" s="80">
        <f>SUMIFS('июль 2024'!$G$4:$G$1872,'июль 2024'!$D$4:$D$1872,$B114,'июль 2024'!$J$4:$J$1872,W$1)</f>
        <v>0</v>
      </c>
      <c r="X114" s="80">
        <f>SUMIFS('июль 2024'!$G$4:$G$1872,'июль 2024'!$D$4:$D$1872,$B114,'июль 2024'!$J$4:$J$1872,X$1)</f>
        <v>0</v>
      </c>
      <c r="Y114" s="80">
        <f>SUMIFS('июль 2024'!$G$4:$G$1872,'июль 2024'!$D$4:$D$1872,$B114,'июль 2024'!$J$4:$J$1872,Y$1)</f>
        <v>0</v>
      </c>
      <c r="Z114" s="80">
        <f>SUMIFS('июль 2024'!$G$4:$G$1872,'июль 2024'!$D$4:$D$1872,$B114,'июль 2024'!$J$4:$J$1872,Z$1)</f>
        <v>0</v>
      </c>
      <c r="AA114" s="80">
        <f>SUMIFS('июль 2024'!$G$4:$G$1872,'июль 2024'!$D$4:$D$1872,$B114,'июль 2024'!$J$4:$J$1872,AA$1)</f>
        <v>0</v>
      </c>
      <c r="AB114" s="80">
        <f>SUMIFS('июль 2024'!$G$4:$G$1872,'июль 2024'!$D$4:$D$1872,$B114,'июль 2024'!$J$4:$J$1872,AB$1)</f>
        <v>0</v>
      </c>
      <c r="AC114" s="80">
        <f>SUMIFS('июль 2024'!$G$4:$G$1872,'июль 2024'!$D$4:$D$1872,$B114,'июль 2024'!$J$4:$J$1872,AC$1)</f>
        <v>0</v>
      </c>
      <c r="AD114" s="80">
        <f>SUMIFS('июль 2024'!$G$4:$G$1872,'июль 2024'!$D$4:$D$1872,$B114,'июль 2024'!$J$4:$J$1872,AD$1)</f>
        <v>0</v>
      </c>
      <c r="AE114" s="80">
        <f>SUMIFS('июль 2024'!$G$4:$G$1872,'июль 2024'!$D$4:$D$1872,$B114,'июль 2024'!$J$4:$J$1872,AE$1)</f>
        <v>0</v>
      </c>
      <c r="AF114" s="80">
        <f>SUMIFS('июль 2024'!$G$4:$G$1872,'июль 2024'!$D$4:$D$1872,$B114,'июль 2024'!$J$4:$J$1872,AF$1)</f>
        <v>0</v>
      </c>
      <c r="AG114" s="80">
        <f>SUMIFS('июль 2024'!$G$4:$G$1872,'июль 2024'!$D$4:$D$1872,$B114,'июль 2024'!$J$4:$J$1872,AG$1)</f>
        <v>0</v>
      </c>
      <c r="AH114" s="80">
        <f>SUMIFS('июль 2024'!$G$4:$G$1872,'июль 2024'!$D$4:$D$1872,$B114,'июль 2024'!$J$4:$J$1872,AH$1)</f>
        <v>0</v>
      </c>
      <c r="AI114" s="21">
        <f t="shared" si="1"/>
        <v>0</v>
      </c>
    </row>
    <row r="115" spans="2:35" ht="15" customHeight="1" x14ac:dyDescent="0.25">
      <c r="B115" s="93" t="s">
        <v>330</v>
      </c>
      <c r="C115" s="91">
        <v>180</v>
      </c>
      <c r="D115" s="80">
        <f>SUMIFS('июль 2024'!$G$4:$G$1872,'июль 2024'!$D$4:$D$1872,$B115,'июль 2024'!$J$4:$J$1872,D$1)</f>
        <v>0</v>
      </c>
      <c r="E115" s="80">
        <f>SUMIFS('июль 2024'!$G$4:$G$1872,'июль 2024'!$D$4:$D$1872,$B115,'июль 2024'!$J$4:$J$1872,E$1)</f>
        <v>0</v>
      </c>
      <c r="F115" s="80">
        <f>SUMIFS('июль 2024'!$G$4:$G$1872,'июль 2024'!$D$4:$D$1872,$B115,'июль 2024'!$J$4:$J$1872,F$1)</f>
        <v>0</v>
      </c>
      <c r="G115" s="80">
        <f>SUMIFS('июль 2024'!$G$4:$G$1872,'июль 2024'!$D$4:$D$1872,$B115,'июль 2024'!$J$4:$J$1872,G$1)</f>
        <v>0</v>
      </c>
      <c r="H115" s="80">
        <f>SUMIFS('июль 2024'!$G$4:$G$1872,'июль 2024'!$D$4:$D$1872,$B115,'июль 2024'!$J$4:$J$1872,H$1)</f>
        <v>0</v>
      </c>
      <c r="I115" s="80">
        <f>SUMIFS('июль 2024'!$G$4:$G$1872,'июль 2024'!$D$4:$D$1872,$B115,'июль 2024'!$J$4:$J$1872,I$1)</f>
        <v>0</v>
      </c>
      <c r="J115" s="80">
        <f>SUMIFS('июль 2024'!$G$4:$G$1872,'июль 2024'!$D$4:$D$1872,$B115,'июль 2024'!$J$4:$J$1872,J$1)</f>
        <v>0</v>
      </c>
      <c r="K115" s="80">
        <f>SUMIFS('июль 2024'!$G$4:$G$1872,'июль 2024'!$D$4:$D$1872,$B115,'июль 2024'!$J$4:$J$1872,K$1)</f>
        <v>0</v>
      </c>
      <c r="L115" s="80">
        <f>SUMIFS('июль 2024'!$G$4:$G$1872,'июль 2024'!$D$4:$D$1872,$B115,'июль 2024'!$J$4:$J$1872,L$1)</f>
        <v>0</v>
      </c>
      <c r="M115" s="80">
        <f>SUMIFS('июль 2024'!$G$4:$G$1872,'июль 2024'!$D$4:$D$1872,$B115,'июль 2024'!$J$4:$J$1872,M$1)</f>
        <v>0</v>
      </c>
      <c r="N115" s="80">
        <f>SUMIFS('июль 2024'!$G$4:$G$1872,'июль 2024'!$D$4:$D$1872,$B115,'июль 2024'!$J$4:$J$1872,N$1)</f>
        <v>0</v>
      </c>
      <c r="O115" s="80">
        <f>SUMIFS('июль 2024'!$G$4:$G$1872,'июль 2024'!$D$4:$D$1872,$B115,'июль 2024'!$J$4:$J$1872,O$1)</f>
        <v>0</v>
      </c>
      <c r="P115" s="80">
        <f>SUMIFS('июль 2024'!$G$4:$G$1872,'июль 2024'!$D$4:$D$1872,$B115,'июль 2024'!$J$4:$J$1872,P$1)</f>
        <v>0</v>
      </c>
      <c r="Q115" s="80">
        <f>SUMIFS('июль 2024'!$G$4:$G$1872,'июль 2024'!$D$4:$D$1872,$B115,'июль 2024'!$J$4:$J$1872,Q$1)</f>
        <v>0</v>
      </c>
      <c r="R115" s="80">
        <f>SUMIFS('июль 2024'!$G$4:$G$1872,'июль 2024'!$D$4:$D$1872,$B115,'июль 2024'!$J$4:$J$1872,R$1)</f>
        <v>0</v>
      </c>
      <c r="S115" s="80">
        <f>SUMIFS('июль 2024'!$G$4:$G$1872,'июль 2024'!$D$4:$D$1872,$B115,'июль 2024'!$J$4:$J$1872,S$1)</f>
        <v>0</v>
      </c>
      <c r="T115" s="80">
        <f>SUMIFS('июль 2024'!$G$4:$G$1872,'июль 2024'!$D$4:$D$1872,$B115,'июль 2024'!$J$4:$J$1872,T$1)</f>
        <v>0</v>
      </c>
      <c r="U115" s="80">
        <f>SUMIFS('июль 2024'!$G$4:$G$1872,'июль 2024'!$D$4:$D$1872,$B115,'июль 2024'!$J$4:$J$1872,U$1)</f>
        <v>0</v>
      </c>
      <c r="V115" s="80">
        <f>SUMIFS('июль 2024'!$G$4:$G$1872,'июль 2024'!$D$4:$D$1872,$B115,'июль 2024'!$J$4:$J$1872,V$1)</f>
        <v>0</v>
      </c>
      <c r="W115" s="80">
        <f>SUMIFS('июль 2024'!$G$4:$G$1872,'июль 2024'!$D$4:$D$1872,$B115,'июль 2024'!$J$4:$J$1872,W$1)</f>
        <v>0</v>
      </c>
      <c r="X115" s="80">
        <f>SUMIFS('июль 2024'!$G$4:$G$1872,'июль 2024'!$D$4:$D$1872,$B115,'июль 2024'!$J$4:$J$1872,X$1)</f>
        <v>0</v>
      </c>
      <c r="Y115" s="80">
        <f>SUMIFS('июль 2024'!$G$4:$G$1872,'июль 2024'!$D$4:$D$1872,$B115,'июль 2024'!$J$4:$J$1872,Y$1)</f>
        <v>0</v>
      </c>
      <c r="Z115" s="80">
        <f>SUMIFS('июль 2024'!$G$4:$G$1872,'июль 2024'!$D$4:$D$1872,$B115,'июль 2024'!$J$4:$J$1872,Z$1)</f>
        <v>0</v>
      </c>
      <c r="AA115" s="80">
        <f>SUMIFS('июль 2024'!$G$4:$G$1872,'июль 2024'!$D$4:$D$1872,$B115,'июль 2024'!$J$4:$J$1872,AA$1)</f>
        <v>0</v>
      </c>
      <c r="AB115" s="80">
        <f>SUMIFS('июль 2024'!$G$4:$G$1872,'июль 2024'!$D$4:$D$1872,$B115,'июль 2024'!$J$4:$J$1872,AB$1)</f>
        <v>0</v>
      </c>
      <c r="AC115" s="80">
        <f>SUMIFS('июль 2024'!$G$4:$G$1872,'июль 2024'!$D$4:$D$1872,$B115,'июль 2024'!$J$4:$J$1872,AC$1)</f>
        <v>0</v>
      </c>
      <c r="AD115" s="80">
        <f>SUMIFS('июль 2024'!$G$4:$G$1872,'июль 2024'!$D$4:$D$1872,$B115,'июль 2024'!$J$4:$J$1872,AD$1)</f>
        <v>0</v>
      </c>
      <c r="AE115" s="80">
        <f>SUMIFS('июль 2024'!$G$4:$G$1872,'июль 2024'!$D$4:$D$1872,$B115,'июль 2024'!$J$4:$J$1872,AE$1)</f>
        <v>0</v>
      </c>
      <c r="AF115" s="80">
        <f>SUMIFS('июль 2024'!$G$4:$G$1872,'июль 2024'!$D$4:$D$1872,$B115,'июль 2024'!$J$4:$J$1872,AF$1)</f>
        <v>0</v>
      </c>
      <c r="AG115" s="80">
        <f>SUMIFS('июль 2024'!$G$4:$G$1872,'июль 2024'!$D$4:$D$1872,$B115,'июль 2024'!$J$4:$J$1872,AG$1)</f>
        <v>0</v>
      </c>
      <c r="AH115" s="80">
        <f>SUMIFS('июль 2024'!$G$4:$G$1872,'июль 2024'!$D$4:$D$1872,$B115,'июль 2024'!$J$4:$J$1872,AH$1)</f>
        <v>0</v>
      </c>
      <c r="AI115" s="21">
        <f t="shared" si="1"/>
        <v>0</v>
      </c>
    </row>
    <row r="116" spans="2:35" ht="15" customHeight="1" x14ac:dyDescent="0.25">
      <c r="B116" s="93" t="s">
        <v>331</v>
      </c>
      <c r="C116" s="91">
        <v>200</v>
      </c>
      <c r="D116" s="80">
        <f>SUMIFS('июль 2024'!$G$4:$G$1872,'июль 2024'!$D$4:$D$1872,$B116,'июль 2024'!$J$4:$J$1872,D$1)</f>
        <v>0</v>
      </c>
      <c r="E116" s="80">
        <f>SUMIFS('июль 2024'!$G$4:$G$1872,'июль 2024'!$D$4:$D$1872,$B116,'июль 2024'!$J$4:$J$1872,E$1)</f>
        <v>0</v>
      </c>
      <c r="F116" s="80">
        <f>SUMIFS('июль 2024'!$G$4:$G$1872,'июль 2024'!$D$4:$D$1872,$B116,'июль 2024'!$J$4:$J$1872,F$1)</f>
        <v>0</v>
      </c>
      <c r="G116" s="80">
        <f>SUMIFS('июль 2024'!$G$4:$G$1872,'июль 2024'!$D$4:$D$1872,$B116,'июль 2024'!$J$4:$J$1872,G$1)</f>
        <v>0</v>
      </c>
      <c r="H116" s="80">
        <f>SUMIFS('июль 2024'!$G$4:$G$1872,'июль 2024'!$D$4:$D$1872,$B116,'июль 2024'!$J$4:$J$1872,H$1)</f>
        <v>0</v>
      </c>
      <c r="I116" s="80">
        <f>SUMIFS('июль 2024'!$G$4:$G$1872,'июль 2024'!$D$4:$D$1872,$B116,'июль 2024'!$J$4:$J$1872,I$1)</f>
        <v>0</v>
      </c>
      <c r="J116" s="80">
        <f>SUMIFS('июль 2024'!$G$4:$G$1872,'июль 2024'!$D$4:$D$1872,$B116,'июль 2024'!$J$4:$J$1872,J$1)</f>
        <v>0</v>
      </c>
      <c r="K116" s="80">
        <f>SUMIFS('июль 2024'!$G$4:$G$1872,'июль 2024'!$D$4:$D$1872,$B116,'июль 2024'!$J$4:$J$1872,K$1)</f>
        <v>0</v>
      </c>
      <c r="L116" s="80">
        <f>SUMIFS('июль 2024'!$G$4:$G$1872,'июль 2024'!$D$4:$D$1872,$B116,'июль 2024'!$J$4:$J$1872,L$1)</f>
        <v>0</v>
      </c>
      <c r="M116" s="80">
        <f>SUMIFS('июль 2024'!$G$4:$G$1872,'июль 2024'!$D$4:$D$1872,$B116,'июль 2024'!$J$4:$J$1872,M$1)</f>
        <v>0</v>
      </c>
      <c r="N116" s="80">
        <f>SUMIFS('июль 2024'!$G$4:$G$1872,'июль 2024'!$D$4:$D$1872,$B116,'июль 2024'!$J$4:$J$1872,N$1)</f>
        <v>0</v>
      </c>
      <c r="O116" s="80">
        <f>SUMIFS('июль 2024'!$G$4:$G$1872,'июль 2024'!$D$4:$D$1872,$B116,'июль 2024'!$J$4:$J$1872,O$1)</f>
        <v>0</v>
      </c>
      <c r="P116" s="80">
        <f>SUMIFS('июль 2024'!$G$4:$G$1872,'июль 2024'!$D$4:$D$1872,$B116,'июль 2024'!$J$4:$J$1872,P$1)</f>
        <v>0</v>
      </c>
      <c r="Q116" s="80">
        <f>SUMIFS('июль 2024'!$G$4:$G$1872,'июль 2024'!$D$4:$D$1872,$B116,'июль 2024'!$J$4:$J$1872,Q$1)</f>
        <v>0</v>
      </c>
      <c r="R116" s="80">
        <f>SUMIFS('июль 2024'!$G$4:$G$1872,'июль 2024'!$D$4:$D$1872,$B116,'июль 2024'!$J$4:$J$1872,R$1)</f>
        <v>0</v>
      </c>
      <c r="S116" s="80">
        <f>SUMIFS('июль 2024'!$G$4:$G$1872,'июль 2024'!$D$4:$D$1872,$B116,'июль 2024'!$J$4:$J$1872,S$1)</f>
        <v>0</v>
      </c>
      <c r="T116" s="80">
        <f>SUMIFS('июль 2024'!$G$4:$G$1872,'июль 2024'!$D$4:$D$1872,$B116,'июль 2024'!$J$4:$J$1872,T$1)</f>
        <v>0</v>
      </c>
      <c r="U116" s="80">
        <f>SUMIFS('июль 2024'!$G$4:$G$1872,'июль 2024'!$D$4:$D$1872,$B116,'июль 2024'!$J$4:$J$1872,U$1)</f>
        <v>0</v>
      </c>
      <c r="V116" s="80">
        <f>SUMIFS('июль 2024'!$G$4:$G$1872,'июль 2024'!$D$4:$D$1872,$B116,'июль 2024'!$J$4:$J$1872,V$1)</f>
        <v>0</v>
      </c>
      <c r="W116" s="80">
        <f>SUMIFS('июль 2024'!$G$4:$G$1872,'июль 2024'!$D$4:$D$1872,$B116,'июль 2024'!$J$4:$J$1872,W$1)</f>
        <v>0</v>
      </c>
      <c r="X116" s="80">
        <f>SUMIFS('июль 2024'!$G$4:$G$1872,'июль 2024'!$D$4:$D$1872,$B116,'июль 2024'!$J$4:$J$1872,X$1)</f>
        <v>0</v>
      </c>
      <c r="Y116" s="80">
        <f>SUMIFS('июль 2024'!$G$4:$G$1872,'июль 2024'!$D$4:$D$1872,$B116,'июль 2024'!$J$4:$J$1872,Y$1)</f>
        <v>0</v>
      </c>
      <c r="Z116" s="80">
        <f>SUMIFS('июль 2024'!$G$4:$G$1872,'июль 2024'!$D$4:$D$1872,$B116,'июль 2024'!$J$4:$J$1872,Z$1)</f>
        <v>0</v>
      </c>
      <c r="AA116" s="80">
        <f>SUMIFS('июль 2024'!$G$4:$G$1872,'июль 2024'!$D$4:$D$1872,$B116,'июль 2024'!$J$4:$J$1872,AA$1)</f>
        <v>0</v>
      </c>
      <c r="AB116" s="80">
        <f>SUMIFS('июль 2024'!$G$4:$G$1872,'июль 2024'!$D$4:$D$1872,$B116,'июль 2024'!$J$4:$J$1872,AB$1)</f>
        <v>0</v>
      </c>
      <c r="AC116" s="80">
        <f>SUMIFS('июль 2024'!$G$4:$G$1872,'июль 2024'!$D$4:$D$1872,$B116,'июль 2024'!$J$4:$J$1872,AC$1)</f>
        <v>0</v>
      </c>
      <c r="AD116" s="80">
        <f>SUMIFS('июль 2024'!$G$4:$G$1872,'июль 2024'!$D$4:$D$1872,$B116,'июль 2024'!$J$4:$J$1872,AD$1)</f>
        <v>0</v>
      </c>
      <c r="AE116" s="80">
        <f>SUMIFS('июль 2024'!$G$4:$G$1872,'июль 2024'!$D$4:$D$1872,$B116,'июль 2024'!$J$4:$J$1872,AE$1)</f>
        <v>0</v>
      </c>
      <c r="AF116" s="80">
        <f>SUMIFS('июль 2024'!$G$4:$G$1872,'июль 2024'!$D$4:$D$1872,$B116,'июль 2024'!$J$4:$J$1872,AF$1)</f>
        <v>0</v>
      </c>
      <c r="AG116" s="80">
        <f>SUMIFS('июль 2024'!$G$4:$G$1872,'июль 2024'!$D$4:$D$1872,$B116,'июль 2024'!$J$4:$J$1872,AG$1)</f>
        <v>0</v>
      </c>
      <c r="AH116" s="80">
        <f>SUMIFS('июль 2024'!$G$4:$G$1872,'июль 2024'!$D$4:$D$1872,$B116,'июль 2024'!$J$4:$J$1872,AH$1)</f>
        <v>0</v>
      </c>
      <c r="AI116" s="21">
        <f t="shared" si="1"/>
        <v>0</v>
      </c>
    </row>
    <row r="117" spans="2:35" ht="15" customHeight="1" x14ac:dyDescent="0.25">
      <c r="B117" s="89" t="s">
        <v>164</v>
      </c>
      <c r="C117" s="88">
        <v>950</v>
      </c>
      <c r="D117" s="80">
        <f>SUMIFS('июль 2024'!$G$4:$G$1872,'июль 2024'!$D$4:$D$1872,$B117,'июль 2024'!$J$4:$J$1872,D$1)</f>
        <v>0</v>
      </c>
      <c r="E117" s="80">
        <f>SUMIFS('июль 2024'!$G$4:$G$1872,'июль 2024'!$D$4:$D$1872,$B117,'июль 2024'!$J$4:$J$1872,E$1)</f>
        <v>0</v>
      </c>
      <c r="F117" s="80">
        <f>SUMIFS('июль 2024'!$G$4:$G$1872,'июль 2024'!$D$4:$D$1872,$B117,'июль 2024'!$J$4:$J$1872,F$1)</f>
        <v>0</v>
      </c>
      <c r="G117" s="80">
        <f>SUMIFS('июль 2024'!$G$4:$G$1872,'июль 2024'!$D$4:$D$1872,$B117,'июль 2024'!$J$4:$J$1872,G$1)</f>
        <v>0</v>
      </c>
      <c r="H117" s="80">
        <f>SUMIFS('июль 2024'!$G$4:$G$1872,'июль 2024'!$D$4:$D$1872,$B117,'июль 2024'!$J$4:$J$1872,H$1)</f>
        <v>0</v>
      </c>
      <c r="I117" s="80">
        <f>SUMIFS('июль 2024'!$G$4:$G$1872,'июль 2024'!$D$4:$D$1872,$B117,'июль 2024'!$J$4:$J$1872,I$1)</f>
        <v>0</v>
      </c>
      <c r="J117" s="80">
        <f>SUMIFS('июль 2024'!$G$4:$G$1872,'июль 2024'!$D$4:$D$1872,$B117,'июль 2024'!$J$4:$J$1872,J$1)</f>
        <v>0</v>
      </c>
      <c r="K117" s="80">
        <f>SUMIFS('июль 2024'!$G$4:$G$1872,'июль 2024'!$D$4:$D$1872,$B117,'июль 2024'!$J$4:$J$1872,K$1)</f>
        <v>0</v>
      </c>
      <c r="L117" s="80">
        <f>SUMIFS('июль 2024'!$G$4:$G$1872,'июль 2024'!$D$4:$D$1872,$B117,'июль 2024'!$J$4:$J$1872,L$1)</f>
        <v>0</v>
      </c>
      <c r="M117" s="80">
        <f>SUMIFS('июль 2024'!$G$4:$G$1872,'июль 2024'!$D$4:$D$1872,$B117,'июль 2024'!$J$4:$J$1872,M$1)</f>
        <v>0</v>
      </c>
      <c r="N117" s="80">
        <f>SUMIFS('июль 2024'!$G$4:$G$1872,'июль 2024'!$D$4:$D$1872,$B117,'июль 2024'!$J$4:$J$1872,N$1)</f>
        <v>0</v>
      </c>
      <c r="O117" s="80">
        <f>SUMIFS('июль 2024'!$G$4:$G$1872,'июль 2024'!$D$4:$D$1872,$B117,'июль 2024'!$J$4:$J$1872,O$1)</f>
        <v>0</v>
      </c>
      <c r="P117" s="80">
        <f>SUMIFS('июль 2024'!$G$4:$G$1872,'июль 2024'!$D$4:$D$1872,$B117,'июль 2024'!$J$4:$J$1872,P$1)</f>
        <v>0</v>
      </c>
      <c r="Q117" s="80">
        <f>SUMIFS('июль 2024'!$G$4:$G$1872,'июль 2024'!$D$4:$D$1872,$B117,'июль 2024'!$J$4:$J$1872,Q$1)</f>
        <v>0</v>
      </c>
      <c r="R117" s="80">
        <f>SUMIFS('июль 2024'!$G$4:$G$1872,'июль 2024'!$D$4:$D$1872,$B117,'июль 2024'!$J$4:$J$1872,R$1)</f>
        <v>0</v>
      </c>
      <c r="S117" s="80">
        <f>SUMIFS('июль 2024'!$G$4:$G$1872,'июль 2024'!$D$4:$D$1872,$B117,'июль 2024'!$J$4:$J$1872,S$1)</f>
        <v>0</v>
      </c>
      <c r="T117" s="80">
        <f>SUMIFS('июль 2024'!$G$4:$G$1872,'июль 2024'!$D$4:$D$1872,$B117,'июль 2024'!$J$4:$J$1872,T$1)</f>
        <v>0</v>
      </c>
      <c r="U117" s="80">
        <f>SUMIFS('июль 2024'!$G$4:$G$1872,'июль 2024'!$D$4:$D$1872,$B117,'июль 2024'!$J$4:$J$1872,U$1)</f>
        <v>0</v>
      </c>
      <c r="V117" s="80">
        <f>SUMIFS('июль 2024'!$G$4:$G$1872,'июль 2024'!$D$4:$D$1872,$B117,'июль 2024'!$J$4:$J$1872,V$1)</f>
        <v>0</v>
      </c>
      <c r="W117" s="80">
        <f>SUMIFS('июль 2024'!$G$4:$G$1872,'июль 2024'!$D$4:$D$1872,$B117,'июль 2024'!$J$4:$J$1872,W$1)</f>
        <v>0</v>
      </c>
      <c r="X117" s="80">
        <f>SUMIFS('июль 2024'!$G$4:$G$1872,'июль 2024'!$D$4:$D$1872,$B117,'июль 2024'!$J$4:$J$1872,X$1)</f>
        <v>0</v>
      </c>
      <c r="Y117" s="80">
        <f>SUMIFS('июль 2024'!$G$4:$G$1872,'июль 2024'!$D$4:$D$1872,$B117,'июль 2024'!$J$4:$J$1872,Y$1)</f>
        <v>0</v>
      </c>
      <c r="Z117" s="80">
        <f>SUMIFS('июль 2024'!$G$4:$G$1872,'июль 2024'!$D$4:$D$1872,$B117,'июль 2024'!$J$4:$J$1872,Z$1)</f>
        <v>0</v>
      </c>
      <c r="AA117" s="80">
        <f>SUMIFS('июль 2024'!$G$4:$G$1872,'июль 2024'!$D$4:$D$1872,$B117,'июль 2024'!$J$4:$J$1872,AA$1)</f>
        <v>0</v>
      </c>
      <c r="AB117" s="80">
        <f>SUMIFS('июль 2024'!$G$4:$G$1872,'июль 2024'!$D$4:$D$1872,$B117,'июль 2024'!$J$4:$J$1872,AB$1)</f>
        <v>0</v>
      </c>
      <c r="AC117" s="80">
        <f>SUMIFS('июль 2024'!$G$4:$G$1872,'июль 2024'!$D$4:$D$1872,$B117,'июль 2024'!$J$4:$J$1872,AC$1)</f>
        <v>0</v>
      </c>
      <c r="AD117" s="80">
        <f>SUMIFS('июль 2024'!$G$4:$G$1872,'июль 2024'!$D$4:$D$1872,$B117,'июль 2024'!$J$4:$J$1872,AD$1)</f>
        <v>0</v>
      </c>
      <c r="AE117" s="80">
        <f>SUMIFS('июль 2024'!$G$4:$G$1872,'июль 2024'!$D$4:$D$1872,$B117,'июль 2024'!$J$4:$J$1872,AE$1)</f>
        <v>0</v>
      </c>
      <c r="AF117" s="80">
        <f>SUMIFS('июль 2024'!$G$4:$G$1872,'июль 2024'!$D$4:$D$1872,$B117,'июль 2024'!$J$4:$J$1872,AF$1)</f>
        <v>0</v>
      </c>
      <c r="AG117" s="80">
        <f>SUMIFS('июль 2024'!$G$4:$G$1872,'июль 2024'!$D$4:$D$1872,$B117,'июль 2024'!$J$4:$J$1872,AG$1)</f>
        <v>0</v>
      </c>
      <c r="AH117" s="80">
        <f>SUMIFS('июль 2024'!$G$4:$G$1872,'июль 2024'!$D$4:$D$1872,$B117,'июль 2024'!$J$4:$J$1872,AH$1)</f>
        <v>0</v>
      </c>
      <c r="AI117" s="21">
        <f t="shared" si="1"/>
        <v>0</v>
      </c>
    </row>
    <row r="118" spans="2:35" ht="15" customHeight="1" x14ac:dyDescent="0.25">
      <c r="B118" s="89" t="s">
        <v>193</v>
      </c>
      <c r="C118" s="88">
        <v>180</v>
      </c>
      <c r="D118" s="80">
        <f>SUMIFS('июль 2024'!$G$4:$G$1872,'июль 2024'!$D$4:$D$1872,$B118,'июль 2024'!$J$4:$J$1872,D$1)</f>
        <v>0</v>
      </c>
      <c r="E118" s="80">
        <f>SUMIFS('июль 2024'!$G$4:$G$1872,'июль 2024'!$D$4:$D$1872,$B118,'июль 2024'!$J$4:$J$1872,E$1)</f>
        <v>0</v>
      </c>
      <c r="F118" s="80">
        <f>SUMIFS('июль 2024'!$G$4:$G$1872,'июль 2024'!$D$4:$D$1872,$B118,'июль 2024'!$J$4:$J$1872,F$1)</f>
        <v>0</v>
      </c>
      <c r="G118" s="80">
        <f>SUMIFS('июль 2024'!$G$4:$G$1872,'июль 2024'!$D$4:$D$1872,$B118,'июль 2024'!$J$4:$J$1872,G$1)</f>
        <v>0</v>
      </c>
      <c r="H118" s="80">
        <f>SUMIFS('июль 2024'!$G$4:$G$1872,'июль 2024'!$D$4:$D$1872,$B118,'июль 2024'!$J$4:$J$1872,H$1)</f>
        <v>0</v>
      </c>
      <c r="I118" s="80">
        <f>SUMIFS('июль 2024'!$G$4:$G$1872,'июль 2024'!$D$4:$D$1872,$B118,'июль 2024'!$J$4:$J$1872,I$1)</f>
        <v>0</v>
      </c>
      <c r="J118" s="80">
        <f>SUMIFS('июль 2024'!$G$4:$G$1872,'июль 2024'!$D$4:$D$1872,$B118,'июль 2024'!$J$4:$J$1872,J$1)</f>
        <v>0</v>
      </c>
      <c r="K118" s="80">
        <f>SUMIFS('июль 2024'!$G$4:$G$1872,'июль 2024'!$D$4:$D$1872,$B118,'июль 2024'!$J$4:$J$1872,K$1)</f>
        <v>0</v>
      </c>
      <c r="L118" s="80">
        <f>SUMIFS('июль 2024'!$G$4:$G$1872,'июль 2024'!$D$4:$D$1872,$B118,'июль 2024'!$J$4:$J$1872,L$1)</f>
        <v>0</v>
      </c>
      <c r="M118" s="80">
        <f>SUMIFS('июль 2024'!$G$4:$G$1872,'июль 2024'!$D$4:$D$1872,$B118,'июль 2024'!$J$4:$J$1872,M$1)</f>
        <v>0</v>
      </c>
      <c r="N118" s="80">
        <f>SUMIFS('июль 2024'!$G$4:$G$1872,'июль 2024'!$D$4:$D$1872,$B118,'июль 2024'!$J$4:$J$1872,N$1)</f>
        <v>0</v>
      </c>
      <c r="O118" s="80">
        <f>SUMIFS('июль 2024'!$G$4:$G$1872,'июль 2024'!$D$4:$D$1872,$B118,'июль 2024'!$J$4:$J$1872,O$1)</f>
        <v>0</v>
      </c>
      <c r="P118" s="80">
        <f>SUMIFS('июль 2024'!$G$4:$G$1872,'июль 2024'!$D$4:$D$1872,$B118,'июль 2024'!$J$4:$J$1872,P$1)</f>
        <v>0</v>
      </c>
      <c r="Q118" s="80">
        <f>SUMIFS('июль 2024'!$G$4:$G$1872,'июль 2024'!$D$4:$D$1872,$B118,'июль 2024'!$J$4:$J$1872,Q$1)</f>
        <v>0</v>
      </c>
      <c r="R118" s="80">
        <f>SUMIFS('июль 2024'!$G$4:$G$1872,'июль 2024'!$D$4:$D$1872,$B118,'июль 2024'!$J$4:$J$1872,R$1)</f>
        <v>0</v>
      </c>
      <c r="S118" s="80">
        <f>SUMIFS('июль 2024'!$G$4:$G$1872,'июль 2024'!$D$4:$D$1872,$B118,'июль 2024'!$J$4:$J$1872,S$1)</f>
        <v>0</v>
      </c>
      <c r="T118" s="80">
        <f>SUMIFS('июль 2024'!$G$4:$G$1872,'июль 2024'!$D$4:$D$1872,$B118,'июль 2024'!$J$4:$J$1872,T$1)</f>
        <v>0</v>
      </c>
      <c r="U118" s="80">
        <f>SUMIFS('июль 2024'!$G$4:$G$1872,'июль 2024'!$D$4:$D$1872,$B118,'июль 2024'!$J$4:$J$1872,U$1)</f>
        <v>0</v>
      </c>
      <c r="V118" s="80">
        <f>SUMIFS('июль 2024'!$G$4:$G$1872,'июль 2024'!$D$4:$D$1872,$B118,'июль 2024'!$J$4:$J$1872,V$1)</f>
        <v>0</v>
      </c>
      <c r="W118" s="80">
        <f>SUMIFS('июль 2024'!$G$4:$G$1872,'июль 2024'!$D$4:$D$1872,$B118,'июль 2024'!$J$4:$J$1872,W$1)</f>
        <v>0</v>
      </c>
      <c r="X118" s="80">
        <f>SUMIFS('июль 2024'!$G$4:$G$1872,'июль 2024'!$D$4:$D$1872,$B118,'июль 2024'!$J$4:$J$1872,X$1)</f>
        <v>0</v>
      </c>
      <c r="Y118" s="80">
        <f>SUMIFS('июль 2024'!$G$4:$G$1872,'июль 2024'!$D$4:$D$1872,$B118,'июль 2024'!$J$4:$J$1872,Y$1)</f>
        <v>0</v>
      </c>
      <c r="Z118" s="80">
        <f>SUMIFS('июль 2024'!$G$4:$G$1872,'июль 2024'!$D$4:$D$1872,$B118,'июль 2024'!$J$4:$J$1872,Z$1)</f>
        <v>26</v>
      </c>
      <c r="AA118" s="80">
        <f>SUMIFS('июль 2024'!$G$4:$G$1872,'июль 2024'!$D$4:$D$1872,$B118,'июль 2024'!$J$4:$J$1872,AA$1)</f>
        <v>0</v>
      </c>
      <c r="AB118" s="80">
        <f>SUMIFS('июль 2024'!$G$4:$G$1872,'июль 2024'!$D$4:$D$1872,$B118,'июль 2024'!$J$4:$J$1872,AB$1)</f>
        <v>0</v>
      </c>
      <c r="AC118" s="80">
        <f>SUMIFS('июль 2024'!$G$4:$G$1872,'июль 2024'!$D$4:$D$1872,$B118,'июль 2024'!$J$4:$J$1872,AC$1)</f>
        <v>0</v>
      </c>
      <c r="AD118" s="80">
        <f>SUMIFS('июль 2024'!$G$4:$G$1872,'июль 2024'!$D$4:$D$1872,$B118,'июль 2024'!$J$4:$J$1872,AD$1)</f>
        <v>0</v>
      </c>
      <c r="AE118" s="80">
        <f>SUMIFS('июль 2024'!$G$4:$G$1872,'июль 2024'!$D$4:$D$1872,$B118,'июль 2024'!$J$4:$J$1872,AE$1)</f>
        <v>0</v>
      </c>
      <c r="AF118" s="80">
        <f>SUMIFS('июль 2024'!$G$4:$G$1872,'июль 2024'!$D$4:$D$1872,$B118,'июль 2024'!$J$4:$J$1872,AF$1)</f>
        <v>0</v>
      </c>
      <c r="AG118" s="80">
        <f>SUMIFS('июль 2024'!$G$4:$G$1872,'июль 2024'!$D$4:$D$1872,$B118,'июль 2024'!$J$4:$J$1872,AG$1)</f>
        <v>0</v>
      </c>
      <c r="AH118" s="80">
        <f>SUMIFS('июль 2024'!$G$4:$G$1872,'июль 2024'!$D$4:$D$1872,$B118,'июль 2024'!$J$4:$J$1872,AH$1)</f>
        <v>0</v>
      </c>
      <c r="AI118" s="21">
        <f t="shared" si="1"/>
        <v>26</v>
      </c>
    </row>
    <row r="119" spans="2:35" ht="15" customHeight="1" x14ac:dyDescent="0.25">
      <c r="B119" s="89" t="s">
        <v>1070</v>
      </c>
      <c r="C119" s="88">
        <v>180</v>
      </c>
      <c r="D119" s="80">
        <f>SUMIFS('июль 2024'!$G$4:$G$1872,'июль 2024'!$D$4:$D$1872,$B119,'июль 2024'!$J$4:$J$1872,D$1)</f>
        <v>0</v>
      </c>
      <c r="E119" s="80">
        <f>SUMIFS('июль 2024'!$G$4:$G$1872,'июль 2024'!$D$4:$D$1872,$B119,'июль 2024'!$J$4:$J$1872,E$1)</f>
        <v>0</v>
      </c>
      <c r="F119" s="80">
        <f>SUMIFS('июль 2024'!$G$4:$G$1872,'июль 2024'!$D$4:$D$1872,$B119,'июль 2024'!$J$4:$J$1872,F$1)</f>
        <v>0</v>
      </c>
      <c r="G119" s="80">
        <f>SUMIFS('июль 2024'!$G$4:$G$1872,'июль 2024'!$D$4:$D$1872,$B119,'июль 2024'!$J$4:$J$1872,G$1)</f>
        <v>0</v>
      </c>
      <c r="H119" s="80">
        <f>SUMIFS('июль 2024'!$G$4:$G$1872,'июль 2024'!$D$4:$D$1872,$B119,'июль 2024'!$J$4:$J$1872,H$1)</f>
        <v>0</v>
      </c>
      <c r="I119" s="80">
        <f>SUMIFS('июль 2024'!$G$4:$G$1872,'июль 2024'!$D$4:$D$1872,$B119,'июль 2024'!$J$4:$J$1872,I$1)</f>
        <v>0</v>
      </c>
      <c r="J119" s="80">
        <f>SUMIFS('июль 2024'!$G$4:$G$1872,'июль 2024'!$D$4:$D$1872,$B119,'июль 2024'!$J$4:$J$1872,J$1)</f>
        <v>0</v>
      </c>
      <c r="K119" s="80">
        <f>SUMIFS('июль 2024'!$G$4:$G$1872,'июль 2024'!$D$4:$D$1872,$B119,'июль 2024'!$J$4:$J$1872,K$1)</f>
        <v>0</v>
      </c>
      <c r="L119" s="80">
        <f>SUMIFS('июль 2024'!$G$4:$G$1872,'июль 2024'!$D$4:$D$1872,$B119,'июль 2024'!$J$4:$J$1872,L$1)</f>
        <v>0</v>
      </c>
      <c r="M119" s="80">
        <f>SUMIFS('июль 2024'!$G$4:$G$1872,'июль 2024'!$D$4:$D$1872,$B119,'июль 2024'!$J$4:$J$1872,M$1)</f>
        <v>0</v>
      </c>
      <c r="N119" s="80">
        <f>SUMIFS('июль 2024'!$G$4:$G$1872,'июль 2024'!$D$4:$D$1872,$B119,'июль 2024'!$J$4:$J$1872,N$1)</f>
        <v>0</v>
      </c>
      <c r="O119" s="80">
        <f>SUMIFS('июль 2024'!$G$4:$G$1872,'июль 2024'!$D$4:$D$1872,$B119,'июль 2024'!$J$4:$J$1872,O$1)</f>
        <v>0</v>
      </c>
      <c r="P119" s="80">
        <f>SUMIFS('июль 2024'!$G$4:$G$1872,'июль 2024'!$D$4:$D$1872,$B119,'июль 2024'!$J$4:$J$1872,P$1)</f>
        <v>0</v>
      </c>
      <c r="Q119" s="80">
        <f>SUMIFS('июль 2024'!$G$4:$G$1872,'июль 2024'!$D$4:$D$1872,$B119,'июль 2024'!$J$4:$J$1872,Q$1)</f>
        <v>0</v>
      </c>
      <c r="R119" s="80">
        <f>SUMIFS('июль 2024'!$G$4:$G$1872,'июль 2024'!$D$4:$D$1872,$B119,'июль 2024'!$J$4:$J$1872,R$1)</f>
        <v>0</v>
      </c>
      <c r="S119" s="80">
        <f>SUMIFS('июль 2024'!$G$4:$G$1872,'июль 2024'!$D$4:$D$1872,$B119,'июль 2024'!$J$4:$J$1872,S$1)</f>
        <v>0</v>
      </c>
      <c r="T119" s="80">
        <f>SUMIFS('июль 2024'!$G$4:$G$1872,'июль 2024'!$D$4:$D$1872,$B119,'июль 2024'!$J$4:$J$1872,T$1)</f>
        <v>0</v>
      </c>
      <c r="U119" s="80">
        <f>SUMIFS('июль 2024'!$G$4:$G$1872,'июль 2024'!$D$4:$D$1872,$B119,'июль 2024'!$J$4:$J$1872,U$1)</f>
        <v>0</v>
      </c>
      <c r="V119" s="80">
        <f>SUMIFS('июль 2024'!$G$4:$G$1872,'июль 2024'!$D$4:$D$1872,$B119,'июль 2024'!$J$4:$J$1872,V$1)</f>
        <v>0</v>
      </c>
      <c r="W119" s="80">
        <f>SUMIFS('июль 2024'!$G$4:$G$1872,'июль 2024'!$D$4:$D$1872,$B119,'июль 2024'!$J$4:$J$1872,W$1)</f>
        <v>0</v>
      </c>
      <c r="X119" s="80">
        <f>SUMIFS('июль 2024'!$G$4:$G$1872,'июль 2024'!$D$4:$D$1872,$B119,'июль 2024'!$J$4:$J$1872,X$1)</f>
        <v>0</v>
      </c>
      <c r="Y119" s="80">
        <f>SUMIFS('июль 2024'!$G$4:$G$1872,'июль 2024'!$D$4:$D$1872,$B119,'июль 2024'!$J$4:$J$1872,Y$1)</f>
        <v>0</v>
      </c>
      <c r="Z119" s="80">
        <f>SUMIFS('июль 2024'!$G$4:$G$1872,'июль 2024'!$D$4:$D$1872,$B119,'июль 2024'!$J$4:$J$1872,Z$1)</f>
        <v>0</v>
      </c>
      <c r="AA119" s="80">
        <f>SUMIFS('июль 2024'!$G$4:$G$1872,'июль 2024'!$D$4:$D$1872,$B119,'июль 2024'!$J$4:$J$1872,AA$1)</f>
        <v>0</v>
      </c>
      <c r="AB119" s="80">
        <f>SUMIFS('июль 2024'!$G$4:$G$1872,'июль 2024'!$D$4:$D$1872,$B119,'июль 2024'!$J$4:$J$1872,AB$1)</f>
        <v>0</v>
      </c>
      <c r="AC119" s="80">
        <f>SUMIFS('июль 2024'!$G$4:$G$1872,'июль 2024'!$D$4:$D$1872,$B119,'июль 2024'!$J$4:$J$1872,AC$1)</f>
        <v>0</v>
      </c>
      <c r="AD119" s="80">
        <f>SUMIFS('июль 2024'!$G$4:$G$1872,'июль 2024'!$D$4:$D$1872,$B119,'июль 2024'!$J$4:$J$1872,AD$1)</f>
        <v>0</v>
      </c>
      <c r="AE119" s="80">
        <f>SUMIFS('июль 2024'!$G$4:$G$1872,'июль 2024'!$D$4:$D$1872,$B119,'июль 2024'!$J$4:$J$1872,AE$1)</f>
        <v>0</v>
      </c>
      <c r="AF119" s="80">
        <f>SUMIFS('июль 2024'!$G$4:$G$1872,'июль 2024'!$D$4:$D$1872,$B119,'июль 2024'!$J$4:$J$1872,AF$1)</f>
        <v>0</v>
      </c>
      <c r="AG119" s="80">
        <f>SUMIFS('июль 2024'!$G$4:$G$1872,'июль 2024'!$D$4:$D$1872,$B119,'июль 2024'!$J$4:$J$1872,AG$1)</f>
        <v>0</v>
      </c>
      <c r="AH119" s="80">
        <f>SUMIFS('июль 2024'!$G$4:$G$1872,'июль 2024'!$D$4:$D$1872,$B119,'июль 2024'!$J$4:$J$1872,AH$1)</f>
        <v>0</v>
      </c>
      <c r="AI119" s="21"/>
    </row>
    <row r="120" spans="2:35" ht="15" customHeight="1" x14ac:dyDescent="0.25">
      <c r="B120" s="89" t="s">
        <v>177</v>
      </c>
      <c r="C120" s="88">
        <v>200</v>
      </c>
      <c r="D120" s="80">
        <f>SUMIFS('июль 2024'!$G$4:$G$1872,'июль 2024'!$D$4:$D$1872,$B120,'июль 2024'!$J$4:$J$1872,D$1)</f>
        <v>0</v>
      </c>
      <c r="E120" s="80">
        <f>SUMIFS('июль 2024'!$G$4:$G$1872,'июль 2024'!$D$4:$D$1872,$B120,'июль 2024'!$J$4:$J$1872,E$1)</f>
        <v>0</v>
      </c>
      <c r="F120" s="80">
        <f>SUMIFS('июль 2024'!$G$4:$G$1872,'июль 2024'!$D$4:$D$1872,$B120,'июль 2024'!$J$4:$J$1872,F$1)</f>
        <v>0</v>
      </c>
      <c r="G120" s="80">
        <f>SUMIFS('июль 2024'!$G$4:$G$1872,'июль 2024'!$D$4:$D$1872,$B120,'июль 2024'!$J$4:$J$1872,G$1)</f>
        <v>0</v>
      </c>
      <c r="H120" s="80">
        <f>SUMIFS('июль 2024'!$G$4:$G$1872,'июль 2024'!$D$4:$D$1872,$B120,'июль 2024'!$J$4:$J$1872,H$1)</f>
        <v>0</v>
      </c>
      <c r="I120" s="80">
        <f>SUMIFS('июль 2024'!$G$4:$G$1872,'июль 2024'!$D$4:$D$1872,$B120,'июль 2024'!$J$4:$J$1872,I$1)</f>
        <v>0</v>
      </c>
      <c r="J120" s="80">
        <f>SUMIFS('июль 2024'!$G$4:$G$1872,'июль 2024'!$D$4:$D$1872,$B120,'июль 2024'!$J$4:$J$1872,J$1)</f>
        <v>0</v>
      </c>
      <c r="K120" s="80">
        <f>SUMIFS('июль 2024'!$G$4:$G$1872,'июль 2024'!$D$4:$D$1872,$B120,'июль 2024'!$J$4:$J$1872,K$1)</f>
        <v>0</v>
      </c>
      <c r="L120" s="80">
        <f>SUMIFS('июль 2024'!$G$4:$G$1872,'июль 2024'!$D$4:$D$1872,$B120,'июль 2024'!$J$4:$J$1872,L$1)</f>
        <v>0</v>
      </c>
      <c r="M120" s="80">
        <f>SUMIFS('июль 2024'!$G$4:$G$1872,'июль 2024'!$D$4:$D$1872,$B120,'июль 2024'!$J$4:$J$1872,M$1)</f>
        <v>0</v>
      </c>
      <c r="N120" s="80">
        <f>SUMIFS('июль 2024'!$G$4:$G$1872,'июль 2024'!$D$4:$D$1872,$B120,'июль 2024'!$J$4:$J$1872,N$1)</f>
        <v>0</v>
      </c>
      <c r="O120" s="80">
        <f>SUMIFS('июль 2024'!$G$4:$G$1872,'июль 2024'!$D$4:$D$1872,$B120,'июль 2024'!$J$4:$J$1872,O$1)</f>
        <v>0</v>
      </c>
      <c r="P120" s="80">
        <f>SUMIFS('июль 2024'!$G$4:$G$1872,'июль 2024'!$D$4:$D$1872,$B120,'июль 2024'!$J$4:$J$1872,P$1)</f>
        <v>0</v>
      </c>
      <c r="Q120" s="80">
        <f>SUMIFS('июль 2024'!$G$4:$G$1872,'июль 2024'!$D$4:$D$1872,$B120,'июль 2024'!$J$4:$J$1872,Q$1)</f>
        <v>0</v>
      </c>
      <c r="R120" s="80">
        <f>SUMIFS('июль 2024'!$G$4:$G$1872,'июль 2024'!$D$4:$D$1872,$B120,'июль 2024'!$J$4:$J$1872,R$1)</f>
        <v>0</v>
      </c>
      <c r="S120" s="80">
        <f>SUMIFS('июль 2024'!$G$4:$G$1872,'июль 2024'!$D$4:$D$1872,$B120,'июль 2024'!$J$4:$J$1872,S$1)</f>
        <v>0</v>
      </c>
      <c r="T120" s="80">
        <f>SUMIFS('июль 2024'!$G$4:$G$1872,'июль 2024'!$D$4:$D$1872,$B120,'июль 2024'!$J$4:$J$1872,T$1)</f>
        <v>0</v>
      </c>
      <c r="U120" s="80">
        <f>SUMIFS('июль 2024'!$G$4:$G$1872,'июль 2024'!$D$4:$D$1872,$B120,'июль 2024'!$J$4:$J$1872,U$1)</f>
        <v>0</v>
      </c>
      <c r="V120" s="80">
        <f>SUMIFS('июль 2024'!$G$4:$G$1872,'июль 2024'!$D$4:$D$1872,$B120,'июль 2024'!$J$4:$J$1872,V$1)</f>
        <v>0</v>
      </c>
      <c r="W120" s="80">
        <f>SUMIFS('июль 2024'!$G$4:$G$1872,'июль 2024'!$D$4:$D$1872,$B120,'июль 2024'!$J$4:$J$1872,W$1)</f>
        <v>0</v>
      </c>
      <c r="X120" s="80">
        <f>SUMIFS('июль 2024'!$G$4:$G$1872,'июль 2024'!$D$4:$D$1872,$B120,'июль 2024'!$J$4:$J$1872,X$1)</f>
        <v>0</v>
      </c>
      <c r="Y120" s="80">
        <f>SUMIFS('июль 2024'!$G$4:$G$1872,'июль 2024'!$D$4:$D$1872,$B120,'июль 2024'!$J$4:$J$1872,Y$1)</f>
        <v>0</v>
      </c>
      <c r="Z120" s="80">
        <f>SUMIFS('июль 2024'!$G$4:$G$1872,'июль 2024'!$D$4:$D$1872,$B120,'июль 2024'!$J$4:$J$1872,Z$1)</f>
        <v>0</v>
      </c>
      <c r="AA120" s="80">
        <f>SUMIFS('июль 2024'!$G$4:$G$1872,'июль 2024'!$D$4:$D$1872,$B120,'июль 2024'!$J$4:$J$1872,AA$1)</f>
        <v>0</v>
      </c>
      <c r="AB120" s="80">
        <f>SUMIFS('июль 2024'!$G$4:$G$1872,'июль 2024'!$D$4:$D$1872,$B120,'июль 2024'!$J$4:$J$1872,AB$1)</f>
        <v>0</v>
      </c>
      <c r="AC120" s="80">
        <f>SUMIFS('июль 2024'!$G$4:$G$1872,'июль 2024'!$D$4:$D$1872,$B120,'июль 2024'!$J$4:$J$1872,AC$1)</f>
        <v>0</v>
      </c>
      <c r="AD120" s="80">
        <f>SUMIFS('июль 2024'!$G$4:$G$1872,'июль 2024'!$D$4:$D$1872,$B120,'июль 2024'!$J$4:$J$1872,AD$1)</f>
        <v>0</v>
      </c>
      <c r="AE120" s="80">
        <f>SUMIFS('июль 2024'!$G$4:$G$1872,'июль 2024'!$D$4:$D$1872,$B120,'июль 2024'!$J$4:$J$1872,AE$1)</f>
        <v>0</v>
      </c>
      <c r="AF120" s="80">
        <f>SUMIFS('июль 2024'!$G$4:$G$1872,'июль 2024'!$D$4:$D$1872,$B120,'июль 2024'!$J$4:$J$1872,AF$1)</f>
        <v>0</v>
      </c>
      <c r="AG120" s="80">
        <f>SUMIFS('июль 2024'!$G$4:$G$1872,'июль 2024'!$D$4:$D$1872,$B120,'июль 2024'!$J$4:$J$1872,AG$1)</f>
        <v>0</v>
      </c>
      <c r="AH120" s="80">
        <f>SUMIFS('июль 2024'!$G$4:$G$1872,'июль 2024'!$D$4:$D$1872,$B120,'июль 2024'!$J$4:$J$1872,AH$1)</f>
        <v>0</v>
      </c>
      <c r="AI120" s="21">
        <f t="shared" si="1"/>
        <v>0</v>
      </c>
    </row>
    <row r="121" spans="2:35" ht="15" customHeight="1" x14ac:dyDescent="0.25">
      <c r="B121" s="89" t="s">
        <v>178</v>
      </c>
      <c r="C121" s="88">
        <v>200</v>
      </c>
      <c r="D121" s="80">
        <f>SUMIFS('июль 2024'!$G$4:$G$1872,'июль 2024'!$D$4:$D$1872,$B121,'июль 2024'!$J$4:$J$1872,D$1)</f>
        <v>0</v>
      </c>
      <c r="E121" s="80">
        <f>SUMIFS('июль 2024'!$G$4:$G$1872,'июль 2024'!$D$4:$D$1872,$B121,'июль 2024'!$J$4:$J$1872,E$1)</f>
        <v>0</v>
      </c>
      <c r="F121" s="80">
        <f>SUMIFS('июль 2024'!$G$4:$G$1872,'июль 2024'!$D$4:$D$1872,$B121,'июль 2024'!$J$4:$J$1872,F$1)</f>
        <v>0</v>
      </c>
      <c r="G121" s="80">
        <f>SUMIFS('июль 2024'!$G$4:$G$1872,'июль 2024'!$D$4:$D$1872,$B121,'июль 2024'!$J$4:$J$1872,G$1)</f>
        <v>0</v>
      </c>
      <c r="H121" s="80">
        <f>SUMIFS('июль 2024'!$G$4:$G$1872,'июль 2024'!$D$4:$D$1872,$B121,'июль 2024'!$J$4:$J$1872,H$1)</f>
        <v>0</v>
      </c>
      <c r="I121" s="80">
        <f>SUMIFS('июль 2024'!$G$4:$G$1872,'июль 2024'!$D$4:$D$1872,$B121,'июль 2024'!$J$4:$J$1872,I$1)</f>
        <v>0</v>
      </c>
      <c r="J121" s="80">
        <f>SUMIFS('июль 2024'!$G$4:$G$1872,'июль 2024'!$D$4:$D$1872,$B121,'июль 2024'!$J$4:$J$1872,J$1)</f>
        <v>0</v>
      </c>
      <c r="K121" s="80">
        <f>SUMIFS('июль 2024'!$G$4:$G$1872,'июль 2024'!$D$4:$D$1872,$B121,'июль 2024'!$J$4:$J$1872,K$1)</f>
        <v>0</v>
      </c>
      <c r="L121" s="80">
        <f>SUMIFS('июль 2024'!$G$4:$G$1872,'июль 2024'!$D$4:$D$1872,$B121,'июль 2024'!$J$4:$J$1872,L$1)</f>
        <v>0</v>
      </c>
      <c r="M121" s="80">
        <f>SUMIFS('июль 2024'!$G$4:$G$1872,'июль 2024'!$D$4:$D$1872,$B121,'июль 2024'!$J$4:$J$1872,M$1)</f>
        <v>0</v>
      </c>
      <c r="N121" s="80">
        <f>SUMIFS('июль 2024'!$G$4:$G$1872,'июль 2024'!$D$4:$D$1872,$B121,'июль 2024'!$J$4:$J$1872,N$1)</f>
        <v>0</v>
      </c>
      <c r="O121" s="80">
        <f>SUMIFS('июль 2024'!$G$4:$G$1872,'июль 2024'!$D$4:$D$1872,$B121,'июль 2024'!$J$4:$J$1872,O$1)</f>
        <v>0</v>
      </c>
      <c r="P121" s="80">
        <f>SUMIFS('июль 2024'!$G$4:$G$1872,'июль 2024'!$D$4:$D$1872,$B121,'июль 2024'!$J$4:$J$1872,P$1)</f>
        <v>0</v>
      </c>
      <c r="Q121" s="80">
        <f>SUMIFS('июль 2024'!$G$4:$G$1872,'июль 2024'!$D$4:$D$1872,$B121,'июль 2024'!$J$4:$J$1872,Q$1)</f>
        <v>0</v>
      </c>
      <c r="R121" s="80">
        <f>SUMIFS('июль 2024'!$G$4:$G$1872,'июль 2024'!$D$4:$D$1872,$B121,'июль 2024'!$J$4:$J$1872,R$1)</f>
        <v>0</v>
      </c>
      <c r="S121" s="80">
        <f>SUMIFS('июль 2024'!$G$4:$G$1872,'июль 2024'!$D$4:$D$1872,$B121,'июль 2024'!$J$4:$J$1872,S$1)</f>
        <v>0</v>
      </c>
      <c r="T121" s="80">
        <f>SUMIFS('июль 2024'!$G$4:$G$1872,'июль 2024'!$D$4:$D$1872,$B121,'июль 2024'!$J$4:$J$1872,T$1)</f>
        <v>0</v>
      </c>
      <c r="U121" s="80">
        <f>SUMIFS('июль 2024'!$G$4:$G$1872,'июль 2024'!$D$4:$D$1872,$B121,'июль 2024'!$J$4:$J$1872,U$1)</f>
        <v>0</v>
      </c>
      <c r="V121" s="80">
        <f>SUMIFS('июль 2024'!$G$4:$G$1872,'июль 2024'!$D$4:$D$1872,$B121,'июль 2024'!$J$4:$J$1872,V$1)</f>
        <v>0</v>
      </c>
      <c r="W121" s="80">
        <f>SUMIFS('июль 2024'!$G$4:$G$1872,'июль 2024'!$D$4:$D$1872,$B121,'июль 2024'!$J$4:$J$1872,W$1)</f>
        <v>0</v>
      </c>
      <c r="X121" s="80">
        <f>SUMIFS('июль 2024'!$G$4:$G$1872,'июль 2024'!$D$4:$D$1872,$B121,'июль 2024'!$J$4:$J$1872,X$1)</f>
        <v>0</v>
      </c>
      <c r="Y121" s="80">
        <f>SUMIFS('июль 2024'!$G$4:$G$1872,'июль 2024'!$D$4:$D$1872,$B121,'июль 2024'!$J$4:$J$1872,Y$1)</f>
        <v>0</v>
      </c>
      <c r="Z121" s="80">
        <f>SUMIFS('июль 2024'!$G$4:$G$1872,'июль 2024'!$D$4:$D$1872,$B121,'июль 2024'!$J$4:$J$1872,Z$1)</f>
        <v>0</v>
      </c>
      <c r="AA121" s="80">
        <f>SUMIFS('июль 2024'!$G$4:$G$1872,'июль 2024'!$D$4:$D$1872,$B121,'июль 2024'!$J$4:$J$1872,AA$1)</f>
        <v>0</v>
      </c>
      <c r="AB121" s="80">
        <f>SUMIFS('июль 2024'!$G$4:$G$1872,'июль 2024'!$D$4:$D$1872,$B121,'июль 2024'!$J$4:$J$1872,AB$1)</f>
        <v>0</v>
      </c>
      <c r="AC121" s="80">
        <f>SUMIFS('июль 2024'!$G$4:$G$1872,'июль 2024'!$D$4:$D$1872,$B121,'июль 2024'!$J$4:$J$1872,AC$1)</f>
        <v>0</v>
      </c>
      <c r="AD121" s="80">
        <f>SUMIFS('июль 2024'!$G$4:$G$1872,'июль 2024'!$D$4:$D$1872,$B121,'июль 2024'!$J$4:$J$1872,AD$1)</f>
        <v>0</v>
      </c>
      <c r="AE121" s="80">
        <f>SUMIFS('июль 2024'!$G$4:$G$1872,'июль 2024'!$D$4:$D$1872,$B121,'июль 2024'!$J$4:$J$1872,AE$1)</f>
        <v>0</v>
      </c>
      <c r="AF121" s="80">
        <f>SUMIFS('июль 2024'!$G$4:$G$1872,'июль 2024'!$D$4:$D$1872,$B121,'июль 2024'!$J$4:$J$1872,AF$1)</f>
        <v>0</v>
      </c>
      <c r="AG121" s="80">
        <f>SUMIFS('июль 2024'!$G$4:$G$1872,'июль 2024'!$D$4:$D$1872,$B121,'июль 2024'!$J$4:$J$1872,AG$1)</f>
        <v>0</v>
      </c>
      <c r="AH121" s="80">
        <f>SUMIFS('июль 2024'!$G$4:$G$1872,'июль 2024'!$D$4:$D$1872,$B121,'июль 2024'!$J$4:$J$1872,AH$1)</f>
        <v>0</v>
      </c>
      <c r="AI121" s="21">
        <f t="shared" si="1"/>
        <v>0</v>
      </c>
    </row>
    <row r="122" spans="2:35" ht="15" customHeight="1" x14ac:dyDescent="0.25">
      <c r="B122" s="89" t="s">
        <v>180</v>
      </c>
      <c r="C122" s="88">
        <v>200</v>
      </c>
      <c r="D122" s="80">
        <f>SUMIFS('июль 2024'!$G$4:$G$1872,'июль 2024'!$D$4:$D$1872,$B122,'июль 2024'!$J$4:$J$1872,D$1)</f>
        <v>0</v>
      </c>
      <c r="E122" s="80">
        <f>SUMIFS('июль 2024'!$G$4:$G$1872,'июль 2024'!$D$4:$D$1872,$B122,'июль 2024'!$J$4:$J$1872,E$1)</f>
        <v>0</v>
      </c>
      <c r="F122" s="80">
        <f>SUMIFS('июль 2024'!$G$4:$G$1872,'июль 2024'!$D$4:$D$1872,$B122,'июль 2024'!$J$4:$J$1872,F$1)</f>
        <v>0</v>
      </c>
      <c r="G122" s="80">
        <f>SUMIFS('июль 2024'!$G$4:$G$1872,'июль 2024'!$D$4:$D$1872,$B122,'июль 2024'!$J$4:$J$1872,G$1)</f>
        <v>0</v>
      </c>
      <c r="H122" s="80">
        <f>SUMIFS('июль 2024'!$G$4:$G$1872,'июль 2024'!$D$4:$D$1872,$B122,'июль 2024'!$J$4:$J$1872,H$1)</f>
        <v>0</v>
      </c>
      <c r="I122" s="80">
        <f>SUMIFS('июль 2024'!$G$4:$G$1872,'июль 2024'!$D$4:$D$1872,$B122,'июль 2024'!$J$4:$J$1872,I$1)</f>
        <v>0</v>
      </c>
      <c r="J122" s="80">
        <f>SUMIFS('июль 2024'!$G$4:$G$1872,'июль 2024'!$D$4:$D$1872,$B122,'июль 2024'!$J$4:$J$1872,J$1)</f>
        <v>0</v>
      </c>
      <c r="K122" s="80">
        <f>SUMIFS('июль 2024'!$G$4:$G$1872,'июль 2024'!$D$4:$D$1872,$B122,'июль 2024'!$J$4:$J$1872,K$1)</f>
        <v>0</v>
      </c>
      <c r="L122" s="80">
        <f>SUMIFS('июль 2024'!$G$4:$G$1872,'июль 2024'!$D$4:$D$1872,$B122,'июль 2024'!$J$4:$J$1872,L$1)</f>
        <v>0</v>
      </c>
      <c r="M122" s="80">
        <f>SUMIFS('июль 2024'!$G$4:$G$1872,'июль 2024'!$D$4:$D$1872,$B122,'июль 2024'!$J$4:$J$1872,M$1)</f>
        <v>160</v>
      </c>
      <c r="N122" s="80">
        <f>SUMIFS('июль 2024'!$G$4:$G$1872,'июль 2024'!$D$4:$D$1872,$B122,'июль 2024'!$J$4:$J$1872,N$1)</f>
        <v>0</v>
      </c>
      <c r="O122" s="80">
        <f>SUMIFS('июль 2024'!$G$4:$G$1872,'июль 2024'!$D$4:$D$1872,$B122,'июль 2024'!$J$4:$J$1872,O$1)</f>
        <v>0</v>
      </c>
      <c r="P122" s="80">
        <f>SUMIFS('июль 2024'!$G$4:$G$1872,'июль 2024'!$D$4:$D$1872,$B122,'июль 2024'!$J$4:$J$1872,P$1)</f>
        <v>0</v>
      </c>
      <c r="Q122" s="80">
        <f>SUMIFS('июль 2024'!$G$4:$G$1872,'июль 2024'!$D$4:$D$1872,$B122,'июль 2024'!$J$4:$J$1872,Q$1)</f>
        <v>0</v>
      </c>
      <c r="R122" s="80">
        <f>SUMIFS('июль 2024'!$G$4:$G$1872,'июль 2024'!$D$4:$D$1872,$B122,'июль 2024'!$J$4:$J$1872,R$1)</f>
        <v>0</v>
      </c>
      <c r="S122" s="80">
        <f>SUMIFS('июль 2024'!$G$4:$G$1872,'июль 2024'!$D$4:$D$1872,$B122,'июль 2024'!$J$4:$J$1872,S$1)</f>
        <v>0</v>
      </c>
      <c r="T122" s="80">
        <f>SUMIFS('июль 2024'!$G$4:$G$1872,'июль 2024'!$D$4:$D$1872,$B122,'июль 2024'!$J$4:$J$1872,T$1)</f>
        <v>0</v>
      </c>
      <c r="U122" s="80">
        <f>SUMIFS('июль 2024'!$G$4:$G$1872,'июль 2024'!$D$4:$D$1872,$B122,'июль 2024'!$J$4:$J$1872,U$1)</f>
        <v>0</v>
      </c>
      <c r="V122" s="80">
        <f>SUMIFS('июль 2024'!$G$4:$G$1872,'июль 2024'!$D$4:$D$1872,$B122,'июль 2024'!$J$4:$J$1872,V$1)</f>
        <v>0</v>
      </c>
      <c r="W122" s="80">
        <f>SUMIFS('июль 2024'!$G$4:$G$1872,'июль 2024'!$D$4:$D$1872,$B122,'июль 2024'!$J$4:$J$1872,W$1)</f>
        <v>0</v>
      </c>
      <c r="X122" s="80">
        <f>SUMIFS('июль 2024'!$G$4:$G$1872,'июль 2024'!$D$4:$D$1872,$B122,'июль 2024'!$J$4:$J$1872,X$1)</f>
        <v>0</v>
      </c>
      <c r="Y122" s="80">
        <f>SUMIFS('июль 2024'!$G$4:$G$1872,'июль 2024'!$D$4:$D$1872,$B122,'июль 2024'!$J$4:$J$1872,Y$1)</f>
        <v>0</v>
      </c>
      <c r="Z122" s="80">
        <f>SUMIFS('июль 2024'!$G$4:$G$1872,'июль 2024'!$D$4:$D$1872,$B122,'июль 2024'!$J$4:$J$1872,Z$1)</f>
        <v>0</v>
      </c>
      <c r="AA122" s="80">
        <f>SUMIFS('июль 2024'!$G$4:$G$1872,'июль 2024'!$D$4:$D$1872,$B122,'июль 2024'!$J$4:$J$1872,AA$1)</f>
        <v>0</v>
      </c>
      <c r="AB122" s="80">
        <f>SUMIFS('июль 2024'!$G$4:$G$1872,'июль 2024'!$D$4:$D$1872,$B122,'июль 2024'!$J$4:$J$1872,AB$1)</f>
        <v>0</v>
      </c>
      <c r="AC122" s="80">
        <f>SUMIFS('июль 2024'!$G$4:$G$1872,'июль 2024'!$D$4:$D$1872,$B122,'июль 2024'!$J$4:$J$1872,AC$1)</f>
        <v>0</v>
      </c>
      <c r="AD122" s="80">
        <f>SUMIFS('июль 2024'!$G$4:$G$1872,'июль 2024'!$D$4:$D$1872,$B122,'июль 2024'!$J$4:$J$1872,AD$1)</f>
        <v>0</v>
      </c>
      <c r="AE122" s="80">
        <f>SUMIFS('июль 2024'!$G$4:$G$1872,'июль 2024'!$D$4:$D$1872,$B122,'июль 2024'!$J$4:$J$1872,AE$1)</f>
        <v>0</v>
      </c>
      <c r="AF122" s="80">
        <f>SUMIFS('июль 2024'!$G$4:$G$1872,'июль 2024'!$D$4:$D$1872,$B122,'июль 2024'!$J$4:$J$1872,AF$1)</f>
        <v>0</v>
      </c>
      <c r="AG122" s="80">
        <f>SUMIFS('июль 2024'!$G$4:$G$1872,'июль 2024'!$D$4:$D$1872,$B122,'июль 2024'!$J$4:$J$1872,AG$1)</f>
        <v>0</v>
      </c>
      <c r="AH122" s="80">
        <f>SUMIFS('июль 2024'!$G$4:$G$1872,'июль 2024'!$D$4:$D$1872,$B122,'июль 2024'!$J$4:$J$1872,AH$1)</f>
        <v>0</v>
      </c>
      <c r="AI122" s="21">
        <f t="shared" si="1"/>
        <v>160</v>
      </c>
    </row>
    <row r="123" spans="2:35" ht="15" customHeight="1" x14ac:dyDescent="0.25">
      <c r="B123" s="94" t="s">
        <v>194</v>
      </c>
      <c r="C123" s="95">
        <v>180</v>
      </c>
      <c r="D123" s="80">
        <f>SUMIFS('июль 2024'!$G$4:$G$1872,'июль 2024'!$D$4:$D$1872,$B123,'июль 2024'!$J$4:$J$1872,D$1)</f>
        <v>0</v>
      </c>
      <c r="E123" s="80">
        <f>SUMIFS('июль 2024'!$G$4:$G$1872,'июль 2024'!$D$4:$D$1872,$B123,'июль 2024'!$J$4:$J$1872,E$1)</f>
        <v>0</v>
      </c>
      <c r="F123" s="80">
        <f>SUMIFS('июль 2024'!$G$4:$G$1872,'июль 2024'!$D$4:$D$1872,$B123,'июль 2024'!$J$4:$J$1872,F$1)</f>
        <v>0</v>
      </c>
      <c r="G123" s="80">
        <f>SUMIFS('июль 2024'!$G$4:$G$1872,'июль 2024'!$D$4:$D$1872,$B123,'июль 2024'!$J$4:$J$1872,G$1)</f>
        <v>0</v>
      </c>
      <c r="H123" s="80">
        <f>SUMIFS('июль 2024'!$G$4:$G$1872,'июль 2024'!$D$4:$D$1872,$B123,'июль 2024'!$J$4:$J$1872,H$1)</f>
        <v>0</v>
      </c>
      <c r="I123" s="80">
        <f>SUMIFS('июль 2024'!$G$4:$G$1872,'июль 2024'!$D$4:$D$1872,$B123,'июль 2024'!$J$4:$J$1872,I$1)</f>
        <v>0</v>
      </c>
      <c r="J123" s="80">
        <f>SUMIFS('июль 2024'!$G$4:$G$1872,'июль 2024'!$D$4:$D$1872,$B123,'июль 2024'!$J$4:$J$1872,J$1)</f>
        <v>0</v>
      </c>
      <c r="K123" s="80">
        <f>SUMIFS('июль 2024'!$G$4:$G$1872,'июль 2024'!$D$4:$D$1872,$B123,'июль 2024'!$J$4:$J$1872,K$1)</f>
        <v>0</v>
      </c>
      <c r="L123" s="80">
        <f>SUMIFS('июль 2024'!$G$4:$G$1872,'июль 2024'!$D$4:$D$1872,$B123,'июль 2024'!$J$4:$J$1872,L$1)</f>
        <v>0</v>
      </c>
      <c r="M123" s="80">
        <f>SUMIFS('июль 2024'!$G$4:$G$1872,'июль 2024'!$D$4:$D$1872,$B123,'июль 2024'!$J$4:$J$1872,M$1)</f>
        <v>0</v>
      </c>
      <c r="N123" s="80">
        <f>SUMIFS('июль 2024'!$G$4:$G$1872,'июль 2024'!$D$4:$D$1872,$B123,'июль 2024'!$J$4:$J$1872,N$1)</f>
        <v>0</v>
      </c>
      <c r="O123" s="80">
        <f>SUMIFS('июль 2024'!$G$4:$G$1872,'июль 2024'!$D$4:$D$1872,$B123,'июль 2024'!$J$4:$J$1872,O$1)</f>
        <v>0</v>
      </c>
      <c r="P123" s="80">
        <f>SUMIFS('июль 2024'!$G$4:$G$1872,'июль 2024'!$D$4:$D$1872,$B123,'июль 2024'!$J$4:$J$1872,P$1)</f>
        <v>0</v>
      </c>
      <c r="Q123" s="80">
        <f>SUMIFS('июль 2024'!$G$4:$G$1872,'июль 2024'!$D$4:$D$1872,$B123,'июль 2024'!$J$4:$J$1872,Q$1)</f>
        <v>0</v>
      </c>
      <c r="R123" s="80">
        <f>SUMIFS('июль 2024'!$G$4:$G$1872,'июль 2024'!$D$4:$D$1872,$B123,'июль 2024'!$J$4:$J$1872,R$1)</f>
        <v>0</v>
      </c>
      <c r="S123" s="80">
        <f>SUMIFS('июль 2024'!$G$4:$G$1872,'июль 2024'!$D$4:$D$1872,$B123,'июль 2024'!$J$4:$J$1872,S$1)</f>
        <v>0</v>
      </c>
      <c r="T123" s="80">
        <f>SUMIFS('июль 2024'!$G$4:$G$1872,'июль 2024'!$D$4:$D$1872,$B123,'июль 2024'!$J$4:$J$1872,T$1)</f>
        <v>0</v>
      </c>
      <c r="U123" s="80">
        <f>SUMIFS('июль 2024'!$G$4:$G$1872,'июль 2024'!$D$4:$D$1872,$B123,'июль 2024'!$J$4:$J$1872,U$1)</f>
        <v>0</v>
      </c>
      <c r="V123" s="80">
        <f>SUMIFS('июль 2024'!$G$4:$G$1872,'июль 2024'!$D$4:$D$1872,$B123,'июль 2024'!$J$4:$J$1872,V$1)</f>
        <v>0</v>
      </c>
      <c r="W123" s="80">
        <f>SUMIFS('июль 2024'!$G$4:$G$1872,'июль 2024'!$D$4:$D$1872,$B123,'июль 2024'!$J$4:$J$1872,W$1)</f>
        <v>0</v>
      </c>
      <c r="X123" s="80">
        <f>SUMIFS('июль 2024'!$G$4:$G$1872,'июль 2024'!$D$4:$D$1872,$B123,'июль 2024'!$J$4:$J$1872,X$1)</f>
        <v>0</v>
      </c>
      <c r="Y123" s="80">
        <f>SUMIFS('июль 2024'!$G$4:$G$1872,'июль 2024'!$D$4:$D$1872,$B123,'июль 2024'!$J$4:$J$1872,Y$1)</f>
        <v>0</v>
      </c>
      <c r="Z123" s="80">
        <f>SUMIFS('июль 2024'!$G$4:$G$1872,'июль 2024'!$D$4:$D$1872,$B123,'июль 2024'!$J$4:$J$1872,Z$1)</f>
        <v>0</v>
      </c>
      <c r="AA123" s="80">
        <f>SUMIFS('июль 2024'!$G$4:$G$1872,'июль 2024'!$D$4:$D$1872,$B123,'июль 2024'!$J$4:$J$1872,AA$1)</f>
        <v>0</v>
      </c>
      <c r="AB123" s="80">
        <f>SUMIFS('июль 2024'!$G$4:$G$1872,'июль 2024'!$D$4:$D$1872,$B123,'июль 2024'!$J$4:$J$1872,AB$1)</f>
        <v>0</v>
      </c>
      <c r="AC123" s="80">
        <f>SUMIFS('июль 2024'!$G$4:$G$1872,'июль 2024'!$D$4:$D$1872,$B123,'июль 2024'!$J$4:$J$1872,AC$1)</f>
        <v>0</v>
      </c>
      <c r="AD123" s="80">
        <f>SUMIFS('июль 2024'!$G$4:$G$1872,'июль 2024'!$D$4:$D$1872,$B123,'июль 2024'!$J$4:$J$1872,AD$1)</f>
        <v>0</v>
      </c>
      <c r="AE123" s="80">
        <f>SUMIFS('июль 2024'!$G$4:$G$1872,'июль 2024'!$D$4:$D$1872,$B123,'июль 2024'!$J$4:$J$1872,AE$1)</f>
        <v>0</v>
      </c>
      <c r="AF123" s="80">
        <f>SUMIFS('июль 2024'!$G$4:$G$1872,'июль 2024'!$D$4:$D$1872,$B123,'июль 2024'!$J$4:$J$1872,AF$1)</f>
        <v>0</v>
      </c>
      <c r="AG123" s="80">
        <f>SUMIFS('июль 2024'!$G$4:$G$1872,'июль 2024'!$D$4:$D$1872,$B123,'июль 2024'!$J$4:$J$1872,AG$1)</f>
        <v>0</v>
      </c>
      <c r="AH123" s="80">
        <f>SUMIFS('июль 2024'!$G$4:$G$1872,'июль 2024'!$D$4:$D$1872,$B123,'июль 2024'!$J$4:$J$1872,AH$1)</f>
        <v>0</v>
      </c>
      <c r="AI123" s="21">
        <f t="shared" si="1"/>
        <v>0</v>
      </c>
    </row>
    <row r="124" spans="2:35" ht="15" customHeight="1" x14ac:dyDescent="0.25">
      <c r="B124" s="89" t="s">
        <v>332</v>
      </c>
      <c r="C124" s="91">
        <v>180</v>
      </c>
      <c r="D124" s="80">
        <f>SUMIFS('июль 2024'!$G$4:$G$1872,'июль 2024'!$D$4:$D$1872,$B124,'июль 2024'!$J$4:$J$1872,D$1)</f>
        <v>0</v>
      </c>
      <c r="E124" s="80">
        <f>SUMIFS('июль 2024'!$G$4:$G$1872,'июль 2024'!$D$4:$D$1872,$B124,'июль 2024'!$J$4:$J$1872,E$1)</f>
        <v>0</v>
      </c>
      <c r="F124" s="80">
        <f>SUMIFS('июль 2024'!$G$4:$G$1872,'июль 2024'!$D$4:$D$1872,$B124,'июль 2024'!$J$4:$J$1872,F$1)</f>
        <v>0</v>
      </c>
      <c r="G124" s="80">
        <f>SUMIFS('июль 2024'!$G$4:$G$1872,'июль 2024'!$D$4:$D$1872,$B124,'июль 2024'!$J$4:$J$1872,G$1)</f>
        <v>0</v>
      </c>
      <c r="H124" s="80">
        <f>SUMIFS('июль 2024'!$G$4:$G$1872,'июль 2024'!$D$4:$D$1872,$B124,'июль 2024'!$J$4:$J$1872,H$1)</f>
        <v>0</v>
      </c>
      <c r="I124" s="80">
        <f>SUMIFS('июль 2024'!$G$4:$G$1872,'июль 2024'!$D$4:$D$1872,$B124,'июль 2024'!$J$4:$J$1872,I$1)</f>
        <v>0</v>
      </c>
      <c r="J124" s="80">
        <f>SUMIFS('июль 2024'!$G$4:$G$1872,'июль 2024'!$D$4:$D$1872,$B124,'июль 2024'!$J$4:$J$1872,J$1)</f>
        <v>0</v>
      </c>
      <c r="K124" s="80">
        <f>SUMIFS('июль 2024'!$G$4:$G$1872,'июль 2024'!$D$4:$D$1872,$B124,'июль 2024'!$J$4:$J$1872,K$1)</f>
        <v>0</v>
      </c>
      <c r="L124" s="80">
        <f>SUMIFS('июль 2024'!$G$4:$G$1872,'июль 2024'!$D$4:$D$1872,$B124,'июль 2024'!$J$4:$J$1872,L$1)</f>
        <v>0</v>
      </c>
      <c r="M124" s="80">
        <f>SUMIFS('июль 2024'!$G$4:$G$1872,'июль 2024'!$D$4:$D$1872,$B124,'июль 2024'!$J$4:$J$1872,M$1)</f>
        <v>0</v>
      </c>
      <c r="N124" s="80">
        <f>SUMIFS('июль 2024'!$G$4:$G$1872,'июль 2024'!$D$4:$D$1872,$B124,'июль 2024'!$J$4:$J$1872,N$1)</f>
        <v>0</v>
      </c>
      <c r="O124" s="80">
        <f>SUMIFS('июль 2024'!$G$4:$G$1872,'июль 2024'!$D$4:$D$1872,$B124,'июль 2024'!$J$4:$J$1872,O$1)</f>
        <v>0</v>
      </c>
      <c r="P124" s="80">
        <f>SUMIFS('июль 2024'!$G$4:$G$1872,'июль 2024'!$D$4:$D$1872,$B124,'июль 2024'!$J$4:$J$1872,P$1)</f>
        <v>0</v>
      </c>
      <c r="Q124" s="80">
        <f>SUMIFS('июль 2024'!$G$4:$G$1872,'июль 2024'!$D$4:$D$1872,$B124,'июль 2024'!$J$4:$J$1872,Q$1)</f>
        <v>0</v>
      </c>
      <c r="R124" s="80">
        <f>SUMIFS('июль 2024'!$G$4:$G$1872,'июль 2024'!$D$4:$D$1872,$B124,'июль 2024'!$J$4:$J$1872,R$1)</f>
        <v>0</v>
      </c>
      <c r="S124" s="80">
        <f>SUMIFS('июль 2024'!$G$4:$G$1872,'июль 2024'!$D$4:$D$1872,$B124,'июль 2024'!$J$4:$J$1872,S$1)</f>
        <v>0</v>
      </c>
      <c r="T124" s="80">
        <f>SUMIFS('июль 2024'!$G$4:$G$1872,'июль 2024'!$D$4:$D$1872,$B124,'июль 2024'!$J$4:$J$1872,T$1)</f>
        <v>0</v>
      </c>
      <c r="U124" s="80">
        <f>SUMIFS('июль 2024'!$G$4:$G$1872,'июль 2024'!$D$4:$D$1872,$B124,'июль 2024'!$J$4:$J$1872,U$1)</f>
        <v>0</v>
      </c>
      <c r="V124" s="80">
        <f>SUMIFS('июль 2024'!$G$4:$G$1872,'июль 2024'!$D$4:$D$1872,$B124,'июль 2024'!$J$4:$J$1872,V$1)</f>
        <v>0</v>
      </c>
      <c r="W124" s="80">
        <f>SUMIFS('июль 2024'!$G$4:$G$1872,'июль 2024'!$D$4:$D$1872,$B124,'июль 2024'!$J$4:$J$1872,W$1)</f>
        <v>0</v>
      </c>
      <c r="X124" s="80">
        <f>SUMIFS('июль 2024'!$G$4:$G$1872,'июль 2024'!$D$4:$D$1872,$B124,'июль 2024'!$J$4:$J$1872,X$1)</f>
        <v>0</v>
      </c>
      <c r="Y124" s="80">
        <f>SUMIFS('июль 2024'!$G$4:$G$1872,'июль 2024'!$D$4:$D$1872,$B124,'июль 2024'!$J$4:$J$1872,Y$1)</f>
        <v>0</v>
      </c>
      <c r="Z124" s="80">
        <f>SUMIFS('июль 2024'!$G$4:$G$1872,'июль 2024'!$D$4:$D$1872,$B124,'июль 2024'!$J$4:$J$1872,Z$1)</f>
        <v>0</v>
      </c>
      <c r="AA124" s="80">
        <f>SUMIFS('июль 2024'!$G$4:$G$1872,'июль 2024'!$D$4:$D$1872,$B124,'июль 2024'!$J$4:$J$1872,AA$1)</f>
        <v>0</v>
      </c>
      <c r="AB124" s="80">
        <f>SUMIFS('июль 2024'!$G$4:$G$1872,'июль 2024'!$D$4:$D$1872,$B124,'июль 2024'!$J$4:$J$1872,AB$1)</f>
        <v>0</v>
      </c>
      <c r="AC124" s="80">
        <f>SUMIFS('июль 2024'!$G$4:$G$1872,'июль 2024'!$D$4:$D$1872,$B124,'июль 2024'!$J$4:$J$1872,AC$1)</f>
        <v>0</v>
      </c>
      <c r="AD124" s="80">
        <f>SUMIFS('июль 2024'!$G$4:$G$1872,'июль 2024'!$D$4:$D$1872,$B124,'июль 2024'!$J$4:$J$1872,AD$1)</f>
        <v>0</v>
      </c>
      <c r="AE124" s="80">
        <f>SUMIFS('июль 2024'!$G$4:$G$1872,'июль 2024'!$D$4:$D$1872,$B124,'июль 2024'!$J$4:$J$1872,AE$1)</f>
        <v>0</v>
      </c>
      <c r="AF124" s="80">
        <f>SUMIFS('июль 2024'!$G$4:$G$1872,'июль 2024'!$D$4:$D$1872,$B124,'июль 2024'!$J$4:$J$1872,AF$1)</f>
        <v>0</v>
      </c>
      <c r="AG124" s="80">
        <f>SUMIFS('июль 2024'!$G$4:$G$1872,'июль 2024'!$D$4:$D$1872,$B124,'июль 2024'!$J$4:$J$1872,AG$1)</f>
        <v>0</v>
      </c>
      <c r="AH124" s="80">
        <f>SUMIFS('июль 2024'!$G$4:$G$1872,'июль 2024'!$D$4:$D$1872,$B124,'июль 2024'!$J$4:$J$1872,AH$1)</f>
        <v>0</v>
      </c>
      <c r="AI124" s="21">
        <f t="shared" si="1"/>
        <v>0</v>
      </c>
    </row>
    <row r="125" spans="2:35" ht="15" customHeight="1" x14ac:dyDescent="0.25">
      <c r="B125" s="89" t="s">
        <v>342</v>
      </c>
      <c r="C125" s="91">
        <v>180</v>
      </c>
      <c r="D125" s="80">
        <f>SUMIFS('июль 2024'!$G$4:$G$1872,'июль 2024'!$D$4:$D$1872,$B125,'июль 2024'!$J$4:$J$1872,D$1)</f>
        <v>0</v>
      </c>
      <c r="E125" s="80">
        <f>SUMIFS('июль 2024'!$G$4:$G$1872,'июль 2024'!$D$4:$D$1872,$B125,'июль 2024'!$J$4:$J$1872,E$1)</f>
        <v>0</v>
      </c>
      <c r="F125" s="80">
        <f>SUMIFS('июль 2024'!$G$4:$G$1872,'июль 2024'!$D$4:$D$1872,$B125,'июль 2024'!$J$4:$J$1872,F$1)</f>
        <v>0</v>
      </c>
      <c r="G125" s="80">
        <f>SUMIFS('июль 2024'!$G$4:$G$1872,'июль 2024'!$D$4:$D$1872,$B125,'июль 2024'!$J$4:$J$1872,G$1)</f>
        <v>0</v>
      </c>
      <c r="H125" s="80">
        <f>SUMIFS('июль 2024'!$G$4:$G$1872,'июль 2024'!$D$4:$D$1872,$B125,'июль 2024'!$J$4:$J$1872,H$1)</f>
        <v>0</v>
      </c>
      <c r="I125" s="80">
        <f>SUMIFS('июль 2024'!$G$4:$G$1872,'июль 2024'!$D$4:$D$1872,$B125,'июль 2024'!$J$4:$J$1872,I$1)</f>
        <v>0</v>
      </c>
      <c r="J125" s="80">
        <f>SUMIFS('июль 2024'!$G$4:$G$1872,'июль 2024'!$D$4:$D$1872,$B125,'июль 2024'!$J$4:$J$1872,J$1)</f>
        <v>0</v>
      </c>
      <c r="K125" s="80">
        <f>SUMIFS('июль 2024'!$G$4:$G$1872,'июль 2024'!$D$4:$D$1872,$B125,'июль 2024'!$J$4:$J$1872,K$1)</f>
        <v>0</v>
      </c>
      <c r="L125" s="80">
        <f>SUMIFS('июль 2024'!$G$4:$G$1872,'июль 2024'!$D$4:$D$1872,$B125,'июль 2024'!$J$4:$J$1872,L$1)</f>
        <v>0</v>
      </c>
      <c r="M125" s="80">
        <f>SUMIFS('июль 2024'!$G$4:$G$1872,'июль 2024'!$D$4:$D$1872,$B125,'июль 2024'!$J$4:$J$1872,M$1)</f>
        <v>0</v>
      </c>
      <c r="N125" s="80">
        <f>SUMIFS('июль 2024'!$G$4:$G$1872,'июль 2024'!$D$4:$D$1872,$B125,'июль 2024'!$J$4:$J$1872,N$1)</f>
        <v>0</v>
      </c>
      <c r="O125" s="80">
        <f>SUMIFS('июль 2024'!$G$4:$G$1872,'июль 2024'!$D$4:$D$1872,$B125,'июль 2024'!$J$4:$J$1872,O$1)</f>
        <v>0</v>
      </c>
      <c r="P125" s="80">
        <f>SUMIFS('июль 2024'!$G$4:$G$1872,'июль 2024'!$D$4:$D$1872,$B125,'июль 2024'!$J$4:$J$1872,P$1)</f>
        <v>0</v>
      </c>
      <c r="Q125" s="80">
        <f>SUMIFS('июль 2024'!$G$4:$G$1872,'июль 2024'!$D$4:$D$1872,$B125,'июль 2024'!$J$4:$J$1872,Q$1)</f>
        <v>0</v>
      </c>
      <c r="R125" s="80">
        <f>SUMIFS('июль 2024'!$G$4:$G$1872,'июль 2024'!$D$4:$D$1872,$B125,'июль 2024'!$J$4:$J$1872,R$1)</f>
        <v>0</v>
      </c>
      <c r="S125" s="80">
        <f>SUMIFS('июль 2024'!$G$4:$G$1872,'июль 2024'!$D$4:$D$1872,$B125,'июль 2024'!$J$4:$J$1872,S$1)</f>
        <v>0</v>
      </c>
      <c r="T125" s="80">
        <f>SUMIFS('июль 2024'!$G$4:$G$1872,'июль 2024'!$D$4:$D$1872,$B125,'июль 2024'!$J$4:$J$1872,T$1)</f>
        <v>0</v>
      </c>
      <c r="U125" s="80">
        <f>SUMIFS('июль 2024'!$G$4:$G$1872,'июль 2024'!$D$4:$D$1872,$B125,'июль 2024'!$J$4:$J$1872,U$1)</f>
        <v>0</v>
      </c>
      <c r="V125" s="80">
        <f>SUMIFS('июль 2024'!$G$4:$G$1872,'июль 2024'!$D$4:$D$1872,$B125,'июль 2024'!$J$4:$J$1872,V$1)</f>
        <v>0</v>
      </c>
      <c r="W125" s="80">
        <f>SUMIFS('июль 2024'!$G$4:$G$1872,'июль 2024'!$D$4:$D$1872,$B125,'июль 2024'!$J$4:$J$1872,W$1)</f>
        <v>0</v>
      </c>
      <c r="X125" s="80">
        <f>SUMIFS('июль 2024'!$G$4:$G$1872,'июль 2024'!$D$4:$D$1872,$B125,'июль 2024'!$J$4:$J$1872,X$1)</f>
        <v>0</v>
      </c>
      <c r="Y125" s="80">
        <f>SUMIFS('июль 2024'!$G$4:$G$1872,'июль 2024'!$D$4:$D$1872,$B125,'июль 2024'!$J$4:$J$1872,Y$1)</f>
        <v>0</v>
      </c>
      <c r="Z125" s="80">
        <f>SUMIFS('июль 2024'!$G$4:$G$1872,'июль 2024'!$D$4:$D$1872,$B125,'июль 2024'!$J$4:$J$1872,Z$1)</f>
        <v>0</v>
      </c>
      <c r="AA125" s="80">
        <f>SUMIFS('июль 2024'!$G$4:$G$1872,'июль 2024'!$D$4:$D$1872,$B125,'июль 2024'!$J$4:$J$1872,AA$1)</f>
        <v>0</v>
      </c>
      <c r="AB125" s="80">
        <f>SUMIFS('июль 2024'!$G$4:$G$1872,'июль 2024'!$D$4:$D$1872,$B125,'июль 2024'!$J$4:$J$1872,AB$1)</f>
        <v>0</v>
      </c>
      <c r="AC125" s="80">
        <f>SUMIFS('июль 2024'!$G$4:$G$1872,'июль 2024'!$D$4:$D$1872,$B125,'июль 2024'!$J$4:$J$1872,AC$1)</f>
        <v>0</v>
      </c>
      <c r="AD125" s="80">
        <f>SUMIFS('июль 2024'!$G$4:$G$1872,'июль 2024'!$D$4:$D$1872,$B125,'июль 2024'!$J$4:$J$1872,AD$1)</f>
        <v>0</v>
      </c>
      <c r="AE125" s="80">
        <f>SUMIFS('июль 2024'!$G$4:$G$1872,'июль 2024'!$D$4:$D$1872,$B125,'июль 2024'!$J$4:$J$1872,AE$1)</f>
        <v>0</v>
      </c>
      <c r="AF125" s="80">
        <f>SUMIFS('июль 2024'!$G$4:$G$1872,'июль 2024'!$D$4:$D$1872,$B125,'июль 2024'!$J$4:$J$1872,AF$1)</f>
        <v>0</v>
      </c>
      <c r="AG125" s="80">
        <f>SUMIFS('июль 2024'!$G$4:$G$1872,'июль 2024'!$D$4:$D$1872,$B125,'июль 2024'!$J$4:$J$1872,AG$1)</f>
        <v>0</v>
      </c>
      <c r="AH125" s="80">
        <f>SUMIFS('июль 2024'!$G$4:$G$1872,'июль 2024'!$D$4:$D$1872,$B125,'июль 2024'!$J$4:$J$1872,AH$1)</f>
        <v>0</v>
      </c>
      <c r="AI125" s="21">
        <f t="shared" si="1"/>
        <v>0</v>
      </c>
    </row>
    <row r="126" spans="2:35" ht="15" customHeight="1" x14ac:dyDescent="0.25">
      <c r="B126" s="89" t="s">
        <v>760</v>
      </c>
      <c r="C126" s="91">
        <v>190</v>
      </c>
      <c r="D126" s="80">
        <f>SUMIFS('июль 2024'!$G$4:$G$1872,'июль 2024'!$D$4:$D$1872,$B126,'июль 2024'!$J$4:$J$1872,D$1)</f>
        <v>0</v>
      </c>
      <c r="E126" s="80">
        <f>SUMIFS('июль 2024'!$G$4:$G$1872,'июль 2024'!$D$4:$D$1872,$B126,'июль 2024'!$J$4:$J$1872,E$1)</f>
        <v>0</v>
      </c>
      <c r="F126" s="80">
        <f>SUMIFS('июль 2024'!$G$4:$G$1872,'июль 2024'!$D$4:$D$1872,$B126,'июль 2024'!$J$4:$J$1872,F$1)</f>
        <v>0</v>
      </c>
      <c r="G126" s="80">
        <f>SUMIFS('июль 2024'!$G$4:$G$1872,'июль 2024'!$D$4:$D$1872,$B126,'июль 2024'!$J$4:$J$1872,G$1)</f>
        <v>0</v>
      </c>
      <c r="H126" s="80">
        <f>SUMIFS('июль 2024'!$G$4:$G$1872,'июль 2024'!$D$4:$D$1872,$B126,'июль 2024'!$J$4:$J$1872,H$1)</f>
        <v>0</v>
      </c>
      <c r="I126" s="80">
        <f>SUMIFS('июль 2024'!$G$4:$G$1872,'июль 2024'!$D$4:$D$1872,$B126,'июль 2024'!$J$4:$J$1872,I$1)</f>
        <v>0</v>
      </c>
      <c r="J126" s="80">
        <f>SUMIFS('июль 2024'!$G$4:$G$1872,'июль 2024'!$D$4:$D$1872,$B126,'июль 2024'!$J$4:$J$1872,J$1)</f>
        <v>0</v>
      </c>
      <c r="K126" s="80">
        <f>SUMIFS('июль 2024'!$G$4:$G$1872,'июль 2024'!$D$4:$D$1872,$B126,'июль 2024'!$J$4:$J$1872,K$1)</f>
        <v>0</v>
      </c>
      <c r="L126" s="80">
        <f>SUMIFS('июль 2024'!$G$4:$G$1872,'июль 2024'!$D$4:$D$1872,$B126,'июль 2024'!$J$4:$J$1872,L$1)</f>
        <v>0</v>
      </c>
      <c r="M126" s="80">
        <f>SUMIFS('июль 2024'!$G$4:$G$1872,'июль 2024'!$D$4:$D$1872,$B126,'июль 2024'!$J$4:$J$1872,M$1)</f>
        <v>0</v>
      </c>
      <c r="N126" s="80">
        <f>SUMIFS('июль 2024'!$G$4:$G$1872,'июль 2024'!$D$4:$D$1872,$B126,'июль 2024'!$J$4:$J$1872,N$1)</f>
        <v>0</v>
      </c>
      <c r="O126" s="80">
        <f>SUMIFS('июль 2024'!$G$4:$G$1872,'июль 2024'!$D$4:$D$1872,$B126,'июль 2024'!$J$4:$J$1872,O$1)</f>
        <v>0</v>
      </c>
      <c r="P126" s="80">
        <f>SUMIFS('июль 2024'!$G$4:$G$1872,'июль 2024'!$D$4:$D$1872,$B126,'июль 2024'!$J$4:$J$1872,P$1)</f>
        <v>0</v>
      </c>
      <c r="Q126" s="80">
        <f>SUMIFS('июль 2024'!$G$4:$G$1872,'июль 2024'!$D$4:$D$1872,$B126,'июль 2024'!$J$4:$J$1872,Q$1)</f>
        <v>0</v>
      </c>
      <c r="R126" s="80">
        <f>SUMIFS('июль 2024'!$G$4:$G$1872,'июль 2024'!$D$4:$D$1872,$B126,'июль 2024'!$J$4:$J$1872,R$1)</f>
        <v>0</v>
      </c>
      <c r="S126" s="80">
        <f>SUMIFS('июль 2024'!$G$4:$G$1872,'июль 2024'!$D$4:$D$1872,$B126,'июль 2024'!$J$4:$J$1872,S$1)</f>
        <v>0</v>
      </c>
      <c r="T126" s="80">
        <f>SUMIFS('июль 2024'!$G$4:$G$1872,'июль 2024'!$D$4:$D$1872,$B126,'июль 2024'!$J$4:$J$1872,T$1)</f>
        <v>0</v>
      </c>
      <c r="U126" s="80">
        <f>SUMIFS('июль 2024'!$G$4:$G$1872,'июль 2024'!$D$4:$D$1872,$B126,'июль 2024'!$J$4:$J$1872,U$1)</f>
        <v>0</v>
      </c>
      <c r="V126" s="80">
        <f>SUMIFS('июль 2024'!$G$4:$G$1872,'июль 2024'!$D$4:$D$1872,$B126,'июль 2024'!$J$4:$J$1872,V$1)</f>
        <v>0</v>
      </c>
      <c r="W126" s="80">
        <f>SUMIFS('июль 2024'!$G$4:$G$1872,'июль 2024'!$D$4:$D$1872,$B126,'июль 2024'!$J$4:$J$1872,W$1)</f>
        <v>0</v>
      </c>
      <c r="X126" s="80">
        <f>SUMIFS('июль 2024'!$G$4:$G$1872,'июль 2024'!$D$4:$D$1872,$B126,'июль 2024'!$J$4:$J$1872,X$1)</f>
        <v>0</v>
      </c>
      <c r="Y126" s="80">
        <f>SUMIFS('июль 2024'!$G$4:$G$1872,'июль 2024'!$D$4:$D$1872,$B126,'июль 2024'!$J$4:$J$1872,Y$1)</f>
        <v>0</v>
      </c>
      <c r="Z126" s="80">
        <f>SUMIFS('июль 2024'!$G$4:$G$1872,'июль 2024'!$D$4:$D$1872,$B126,'июль 2024'!$J$4:$J$1872,Z$1)</f>
        <v>0</v>
      </c>
      <c r="AA126" s="80">
        <f>SUMIFS('июль 2024'!$G$4:$G$1872,'июль 2024'!$D$4:$D$1872,$B126,'июль 2024'!$J$4:$J$1872,AA$1)</f>
        <v>0</v>
      </c>
      <c r="AB126" s="80">
        <f>SUMIFS('июль 2024'!$G$4:$G$1872,'июль 2024'!$D$4:$D$1872,$B126,'июль 2024'!$J$4:$J$1872,AB$1)</f>
        <v>0</v>
      </c>
      <c r="AC126" s="80">
        <f>SUMIFS('июль 2024'!$G$4:$G$1872,'июль 2024'!$D$4:$D$1872,$B126,'июль 2024'!$J$4:$J$1872,AC$1)</f>
        <v>0</v>
      </c>
      <c r="AD126" s="80">
        <f>SUMIFS('июль 2024'!$G$4:$G$1872,'июль 2024'!$D$4:$D$1872,$B126,'июль 2024'!$J$4:$J$1872,AD$1)</f>
        <v>0</v>
      </c>
      <c r="AE126" s="80">
        <f>SUMIFS('июль 2024'!$G$4:$G$1872,'июль 2024'!$D$4:$D$1872,$B126,'июль 2024'!$J$4:$J$1872,AE$1)</f>
        <v>0</v>
      </c>
      <c r="AF126" s="80">
        <f>SUMIFS('июль 2024'!$G$4:$G$1872,'июль 2024'!$D$4:$D$1872,$B126,'июль 2024'!$J$4:$J$1872,AF$1)</f>
        <v>0</v>
      </c>
      <c r="AG126" s="80">
        <f>SUMIFS('июль 2024'!$G$4:$G$1872,'июль 2024'!$D$4:$D$1872,$B126,'июль 2024'!$J$4:$J$1872,AG$1)</f>
        <v>0</v>
      </c>
      <c r="AH126" s="80">
        <f>SUMIFS('июль 2024'!$G$4:$G$1872,'июль 2024'!$D$4:$D$1872,$B126,'июль 2024'!$J$4:$J$1872,AH$1)</f>
        <v>0</v>
      </c>
      <c r="AI126" s="21">
        <f t="shared" si="1"/>
        <v>0</v>
      </c>
    </row>
    <row r="127" spans="2:35" ht="15" customHeight="1" x14ac:dyDescent="0.25">
      <c r="B127" s="89" t="s">
        <v>333</v>
      </c>
      <c r="C127" s="91">
        <v>200</v>
      </c>
      <c r="D127" s="80">
        <f>SUMIFS('июль 2024'!$G$4:$G$1872,'июль 2024'!$D$4:$D$1872,$B127,'июль 2024'!$J$4:$J$1872,D$1)</f>
        <v>0</v>
      </c>
      <c r="E127" s="80">
        <f>SUMIFS('июль 2024'!$G$4:$G$1872,'июль 2024'!$D$4:$D$1872,$B127,'июль 2024'!$J$4:$J$1872,E$1)</f>
        <v>0</v>
      </c>
      <c r="F127" s="80">
        <f>SUMIFS('июль 2024'!$G$4:$G$1872,'июль 2024'!$D$4:$D$1872,$B127,'июль 2024'!$J$4:$J$1872,F$1)</f>
        <v>0</v>
      </c>
      <c r="G127" s="80">
        <f>SUMIFS('июль 2024'!$G$4:$G$1872,'июль 2024'!$D$4:$D$1872,$B127,'июль 2024'!$J$4:$J$1872,G$1)</f>
        <v>0</v>
      </c>
      <c r="H127" s="80">
        <f>SUMIFS('июль 2024'!$G$4:$G$1872,'июль 2024'!$D$4:$D$1872,$B127,'июль 2024'!$J$4:$J$1872,H$1)</f>
        <v>0</v>
      </c>
      <c r="I127" s="80">
        <f>SUMIFS('июль 2024'!$G$4:$G$1872,'июль 2024'!$D$4:$D$1872,$B127,'июль 2024'!$J$4:$J$1872,I$1)</f>
        <v>0</v>
      </c>
      <c r="J127" s="80">
        <f>SUMIFS('июль 2024'!$G$4:$G$1872,'июль 2024'!$D$4:$D$1872,$B127,'июль 2024'!$J$4:$J$1872,J$1)</f>
        <v>0</v>
      </c>
      <c r="K127" s="80">
        <f>SUMIFS('июль 2024'!$G$4:$G$1872,'июль 2024'!$D$4:$D$1872,$B127,'июль 2024'!$J$4:$J$1872,K$1)</f>
        <v>0</v>
      </c>
      <c r="L127" s="80">
        <f>SUMIFS('июль 2024'!$G$4:$G$1872,'июль 2024'!$D$4:$D$1872,$B127,'июль 2024'!$J$4:$J$1872,L$1)</f>
        <v>0</v>
      </c>
      <c r="M127" s="80">
        <f>SUMIFS('июль 2024'!$G$4:$G$1872,'июль 2024'!$D$4:$D$1872,$B127,'июль 2024'!$J$4:$J$1872,M$1)</f>
        <v>0</v>
      </c>
      <c r="N127" s="80">
        <f>SUMIFS('июль 2024'!$G$4:$G$1872,'июль 2024'!$D$4:$D$1872,$B127,'июль 2024'!$J$4:$J$1872,N$1)</f>
        <v>0</v>
      </c>
      <c r="O127" s="80">
        <f>SUMIFS('июль 2024'!$G$4:$G$1872,'июль 2024'!$D$4:$D$1872,$B127,'июль 2024'!$J$4:$J$1872,O$1)</f>
        <v>0</v>
      </c>
      <c r="P127" s="80">
        <f>SUMIFS('июль 2024'!$G$4:$G$1872,'июль 2024'!$D$4:$D$1872,$B127,'июль 2024'!$J$4:$J$1872,P$1)</f>
        <v>0</v>
      </c>
      <c r="Q127" s="80">
        <f>SUMIFS('июль 2024'!$G$4:$G$1872,'июль 2024'!$D$4:$D$1872,$B127,'июль 2024'!$J$4:$J$1872,Q$1)</f>
        <v>0</v>
      </c>
      <c r="R127" s="80">
        <f>SUMIFS('июль 2024'!$G$4:$G$1872,'июль 2024'!$D$4:$D$1872,$B127,'июль 2024'!$J$4:$J$1872,R$1)</f>
        <v>0</v>
      </c>
      <c r="S127" s="80">
        <f>SUMIFS('июль 2024'!$G$4:$G$1872,'июль 2024'!$D$4:$D$1872,$B127,'июль 2024'!$J$4:$J$1872,S$1)</f>
        <v>0</v>
      </c>
      <c r="T127" s="80">
        <f>SUMIFS('июль 2024'!$G$4:$G$1872,'июль 2024'!$D$4:$D$1872,$B127,'июль 2024'!$J$4:$J$1872,T$1)</f>
        <v>0</v>
      </c>
      <c r="U127" s="80">
        <f>SUMIFS('июль 2024'!$G$4:$G$1872,'июль 2024'!$D$4:$D$1872,$B127,'июль 2024'!$J$4:$J$1872,U$1)</f>
        <v>0</v>
      </c>
      <c r="V127" s="80">
        <f>SUMIFS('июль 2024'!$G$4:$G$1872,'июль 2024'!$D$4:$D$1872,$B127,'июль 2024'!$J$4:$J$1872,V$1)</f>
        <v>0</v>
      </c>
      <c r="W127" s="80">
        <f>SUMIFS('июль 2024'!$G$4:$G$1872,'июль 2024'!$D$4:$D$1872,$B127,'июль 2024'!$J$4:$J$1872,W$1)</f>
        <v>0</v>
      </c>
      <c r="X127" s="80">
        <f>SUMIFS('июль 2024'!$G$4:$G$1872,'июль 2024'!$D$4:$D$1872,$B127,'июль 2024'!$J$4:$J$1872,X$1)</f>
        <v>0</v>
      </c>
      <c r="Y127" s="80">
        <f>SUMIFS('июль 2024'!$G$4:$G$1872,'июль 2024'!$D$4:$D$1872,$B127,'июль 2024'!$J$4:$J$1872,Y$1)</f>
        <v>0</v>
      </c>
      <c r="Z127" s="80">
        <f>SUMIFS('июль 2024'!$G$4:$G$1872,'июль 2024'!$D$4:$D$1872,$B127,'июль 2024'!$J$4:$J$1872,Z$1)</f>
        <v>0</v>
      </c>
      <c r="AA127" s="80">
        <f>SUMIFS('июль 2024'!$G$4:$G$1872,'июль 2024'!$D$4:$D$1872,$B127,'июль 2024'!$J$4:$J$1872,AA$1)</f>
        <v>0</v>
      </c>
      <c r="AB127" s="80">
        <f>SUMIFS('июль 2024'!$G$4:$G$1872,'июль 2024'!$D$4:$D$1872,$B127,'июль 2024'!$J$4:$J$1872,AB$1)</f>
        <v>0</v>
      </c>
      <c r="AC127" s="80">
        <f>SUMIFS('июль 2024'!$G$4:$G$1872,'июль 2024'!$D$4:$D$1872,$B127,'июль 2024'!$J$4:$J$1872,AC$1)</f>
        <v>0</v>
      </c>
      <c r="AD127" s="80">
        <f>SUMIFS('июль 2024'!$G$4:$G$1872,'июль 2024'!$D$4:$D$1872,$B127,'июль 2024'!$J$4:$J$1872,AD$1)</f>
        <v>0</v>
      </c>
      <c r="AE127" s="80">
        <f>SUMIFS('июль 2024'!$G$4:$G$1872,'июль 2024'!$D$4:$D$1872,$B127,'июль 2024'!$J$4:$J$1872,AE$1)</f>
        <v>0</v>
      </c>
      <c r="AF127" s="80">
        <f>SUMIFS('июль 2024'!$G$4:$G$1872,'июль 2024'!$D$4:$D$1872,$B127,'июль 2024'!$J$4:$J$1872,AF$1)</f>
        <v>0</v>
      </c>
      <c r="AG127" s="80">
        <f>SUMIFS('июль 2024'!$G$4:$G$1872,'июль 2024'!$D$4:$D$1872,$B127,'июль 2024'!$J$4:$J$1872,AG$1)</f>
        <v>0</v>
      </c>
      <c r="AH127" s="80">
        <f>SUMIFS('июль 2024'!$G$4:$G$1872,'июль 2024'!$D$4:$D$1872,$B127,'июль 2024'!$J$4:$J$1872,AH$1)</f>
        <v>0</v>
      </c>
      <c r="AI127" s="21">
        <f t="shared" si="1"/>
        <v>0</v>
      </c>
    </row>
    <row r="128" spans="2:35" ht="15" customHeight="1" x14ac:dyDescent="0.25">
      <c r="B128" s="89" t="s">
        <v>343</v>
      </c>
      <c r="C128" s="91">
        <v>200</v>
      </c>
      <c r="D128" s="80">
        <f>SUMIFS('июль 2024'!$G$4:$G$1872,'июль 2024'!$D$4:$D$1872,$B128,'июль 2024'!$J$4:$J$1872,D$1)</f>
        <v>0</v>
      </c>
      <c r="E128" s="80">
        <f>SUMIFS('июль 2024'!$G$4:$G$1872,'июль 2024'!$D$4:$D$1872,$B128,'июль 2024'!$J$4:$J$1872,E$1)</f>
        <v>0</v>
      </c>
      <c r="F128" s="80">
        <f>SUMIFS('июль 2024'!$G$4:$G$1872,'июль 2024'!$D$4:$D$1872,$B128,'июль 2024'!$J$4:$J$1872,F$1)</f>
        <v>0</v>
      </c>
      <c r="G128" s="80">
        <f>SUMIFS('июль 2024'!$G$4:$G$1872,'июль 2024'!$D$4:$D$1872,$B128,'июль 2024'!$J$4:$J$1872,G$1)</f>
        <v>0</v>
      </c>
      <c r="H128" s="80">
        <f>SUMIFS('июль 2024'!$G$4:$G$1872,'июль 2024'!$D$4:$D$1872,$B128,'июль 2024'!$J$4:$J$1872,H$1)</f>
        <v>0</v>
      </c>
      <c r="I128" s="80">
        <f>SUMIFS('июль 2024'!$G$4:$G$1872,'июль 2024'!$D$4:$D$1872,$B128,'июль 2024'!$J$4:$J$1872,I$1)</f>
        <v>0</v>
      </c>
      <c r="J128" s="80">
        <f>SUMIFS('июль 2024'!$G$4:$G$1872,'июль 2024'!$D$4:$D$1872,$B128,'июль 2024'!$J$4:$J$1872,J$1)</f>
        <v>0</v>
      </c>
      <c r="K128" s="80">
        <f>SUMIFS('июль 2024'!$G$4:$G$1872,'июль 2024'!$D$4:$D$1872,$B128,'июль 2024'!$J$4:$J$1872,K$1)</f>
        <v>0</v>
      </c>
      <c r="L128" s="80">
        <f>SUMIFS('июль 2024'!$G$4:$G$1872,'июль 2024'!$D$4:$D$1872,$B128,'июль 2024'!$J$4:$J$1872,L$1)</f>
        <v>0</v>
      </c>
      <c r="M128" s="80">
        <f>SUMIFS('июль 2024'!$G$4:$G$1872,'июль 2024'!$D$4:$D$1872,$B128,'июль 2024'!$J$4:$J$1872,M$1)</f>
        <v>0</v>
      </c>
      <c r="N128" s="80">
        <f>SUMIFS('июль 2024'!$G$4:$G$1872,'июль 2024'!$D$4:$D$1872,$B128,'июль 2024'!$J$4:$J$1872,N$1)</f>
        <v>0</v>
      </c>
      <c r="O128" s="80">
        <f>SUMIFS('июль 2024'!$G$4:$G$1872,'июль 2024'!$D$4:$D$1872,$B128,'июль 2024'!$J$4:$J$1872,O$1)</f>
        <v>0</v>
      </c>
      <c r="P128" s="80">
        <f>SUMIFS('июль 2024'!$G$4:$G$1872,'июль 2024'!$D$4:$D$1872,$B128,'июль 2024'!$J$4:$J$1872,P$1)</f>
        <v>0</v>
      </c>
      <c r="Q128" s="80">
        <f>SUMIFS('июль 2024'!$G$4:$G$1872,'июль 2024'!$D$4:$D$1872,$B128,'июль 2024'!$J$4:$J$1872,Q$1)</f>
        <v>0</v>
      </c>
      <c r="R128" s="80">
        <f>SUMIFS('июль 2024'!$G$4:$G$1872,'июль 2024'!$D$4:$D$1872,$B128,'июль 2024'!$J$4:$J$1872,R$1)</f>
        <v>0</v>
      </c>
      <c r="S128" s="80">
        <f>SUMIFS('июль 2024'!$G$4:$G$1872,'июль 2024'!$D$4:$D$1872,$B128,'июль 2024'!$J$4:$J$1872,S$1)</f>
        <v>0</v>
      </c>
      <c r="T128" s="80">
        <f>SUMIFS('июль 2024'!$G$4:$G$1872,'июль 2024'!$D$4:$D$1872,$B128,'июль 2024'!$J$4:$J$1872,T$1)</f>
        <v>0</v>
      </c>
      <c r="U128" s="80">
        <f>SUMIFS('июль 2024'!$G$4:$G$1872,'июль 2024'!$D$4:$D$1872,$B128,'июль 2024'!$J$4:$J$1872,U$1)</f>
        <v>0</v>
      </c>
      <c r="V128" s="80">
        <f>SUMIFS('июль 2024'!$G$4:$G$1872,'июль 2024'!$D$4:$D$1872,$B128,'июль 2024'!$J$4:$J$1872,V$1)</f>
        <v>0</v>
      </c>
      <c r="W128" s="80">
        <f>SUMIFS('июль 2024'!$G$4:$G$1872,'июль 2024'!$D$4:$D$1872,$B128,'июль 2024'!$J$4:$J$1872,W$1)</f>
        <v>0</v>
      </c>
      <c r="X128" s="80">
        <f>SUMIFS('июль 2024'!$G$4:$G$1872,'июль 2024'!$D$4:$D$1872,$B128,'июль 2024'!$J$4:$J$1872,X$1)</f>
        <v>0</v>
      </c>
      <c r="Y128" s="80">
        <f>SUMIFS('июль 2024'!$G$4:$G$1872,'июль 2024'!$D$4:$D$1872,$B128,'июль 2024'!$J$4:$J$1872,Y$1)</f>
        <v>0</v>
      </c>
      <c r="Z128" s="80">
        <f>SUMIFS('июль 2024'!$G$4:$G$1872,'июль 2024'!$D$4:$D$1872,$B128,'июль 2024'!$J$4:$J$1872,Z$1)</f>
        <v>0</v>
      </c>
      <c r="AA128" s="80">
        <f>SUMIFS('июль 2024'!$G$4:$G$1872,'июль 2024'!$D$4:$D$1872,$B128,'июль 2024'!$J$4:$J$1872,AA$1)</f>
        <v>0</v>
      </c>
      <c r="AB128" s="80">
        <f>SUMIFS('июль 2024'!$G$4:$G$1872,'июль 2024'!$D$4:$D$1872,$B128,'июль 2024'!$J$4:$J$1872,AB$1)</f>
        <v>0</v>
      </c>
      <c r="AC128" s="80">
        <f>SUMIFS('июль 2024'!$G$4:$G$1872,'июль 2024'!$D$4:$D$1872,$B128,'июль 2024'!$J$4:$J$1872,AC$1)</f>
        <v>0</v>
      </c>
      <c r="AD128" s="80">
        <f>SUMIFS('июль 2024'!$G$4:$G$1872,'июль 2024'!$D$4:$D$1872,$B128,'июль 2024'!$J$4:$J$1872,AD$1)</f>
        <v>0</v>
      </c>
      <c r="AE128" s="80">
        <f>SUMIFS('июль 2024'!$G$4:$G$1872,'июль 2024'!$D$4:$D$1872,$B128,'июль 2024'!$J$4:$J$1872,AE$1)</f>
        <v>0</v>
      </c>
      <c r="AF128" s="80">
        <f>SUMIFS('июль 2024'!$G$4:$G$1872,'июль 2024'!$D$4:$D$1872,$B128,'июль 2024'!$J$4:$J$1872,AF$1)</f>
        <v>0</v>
      </c>
      <c r="AG128" s="80">
        <f>SUMIFS('июль 2024'!$G$4:$G$1872,'июль 2024'!$D$4:$D$1872,$B128,'июль 2024'!$J$4:$J$1872,AG$1)</f>
        <v>0</v>
      </c>
      <c r="AH128" s="80">
        <f>SUMIFS('июль 2024'!$G$4:$G$1872,'июль 2024'!$D$4:$D$1872,$B128,'июль 2024'!$J$4:$J$1872,AH$1)</f>
        <v>0</v>
      </c>
      <c r="AI128" s="21">
        <f t="shared" si="1"/>
        <v>0</v>
      </c>
    </row>
    <row r="129" spans="2:35" ht="15" customHeight="1" x14ac:dyDescent="0.25">
      <c r="B129" s="89" t="s">
        <v>207</v>
      </c>
      <c r="C129" s="91">
        <v>180</v>
      </c>
      <c r="D129" s="80">
        <f>SUMIFS('июль 2024'!$G$4:$G$1872,'июль 2024'!$D$4:$D$1872,$B129,'июль 2024'!$J$4:$J$1872,D$1)</f>
        <v>0</v>
      </c>
      <c r="E129" s="80">
        <f>SUMIFS('июль 2024'!$G$4:$G$1872,'июль 2024'!$D$4:$D$1872,$B129,'июль 2024'!$J$4:$J$1872,E$1)</f>
        <v>0</v>
      </c>
      <c r="F129" s="80">
        <f>SUMIFS('июль 2024'!$G$4:$G$1872,'июль 2024'!$D$4:$D$1872,$B129,'июль 2024'!$J$4:$J$1872,F$1)</f>
        <v>0</v>
      </c>
      <c r="G129" s="80">
        <f>SUMIFS('июль 2024'!$G$4:$G$1872,'июль 2024'!$D$4:$D$1872,$B129,'июль 2024'!$J$4:$J$1872,G$1)</f>
        <v>0</v>
      </c>
      <c r="H129" s="80">
        <f>SUMIFS('июль 2024'!$G$4:$G$1872,'июль 2024'!$D$4:$D$1872,$B129,'июль 2024'!$J$4:$J$1872,H$1)</f>
        <v>0</v>
      </c>
      <c r="I129" s="80">
        <f>SUMIFS('июль 2024'!$G$4:$G$1872,'июль 2024'!$D$4:$D$1872,$B129,'июль 2024'!$J$4:$J$1872,I$1)</f>
        <v>0</v>
      </c>
      <c r="J129" s="80">
        <f>SUMIFS('июль 2024'!$G$4:$G$1872,'июль 2024'!$D$4:$D$1872,$B129,'июль 2024'!$J$4:$J$1872,J$1)</f>
        <v>0</v>
      </c>
      <c r="K129" s="80">
        <f>SUMIFS('июль 2024'!$G$4:$G$1872,'июль 2024'!$D$4:$D$1872,$B129,'июль 2024'!$J$4:$J$1872,K$1)</f>
        <v>0</v>
      </c>
      <c r="L129" s="80">
        <f>SUMIFS('июль 2024'!$G$4:$G$1872,'июль 2024'!$D$4:$D$1872,$B129,'июль 2024'!$J$4:$J$1872,L$1)</f>
        <v>0</v>
      </c>
      <c r="M129" s="80">
        <f>SUMIFS('июль 2024'!$G$4:$G$1872,'июль 2024'!$D$4:$D$1872,$B129,'июль 2024'!$J$4:$J$1872,M$1)</f>
        <v>0</v>
      </c>
      <c r="N129" s="80">
        <f>SUMIFS('июль 2024'!$G$4:$G$1872,'июль 2024'!$D$4:$D$1872,$B129,'июль 2024'!$J$4:$J$1872,N$1)</f>
        <v>0</v>
      </c>
      <c r="O129" s="80">
        <f>SUMIFS('июль 2024'!$G$4:$G$1872,'июль 2024'!$D$4:$D$1872,$B129,'июль 2024'!$J$4:$J$1872,O$1)</f>
        <v>0</v>
      </c>
      <c r="P129" s="80">
        <f>SUMIFS('июль 2024'!$G$4:$G$1872,'июль 2024'!$D$4:$D$1872,$B129,'июль 2024'!$J$4:$J$1872,P$1)</f>
        <v>0</v>
      </c>
      <c r="Q129" s="80">
        <f>SUMIFS('июль 2024'!$G$4:$G$1872,'июль 2024'!$D$4:$D$1872,$B129,'июль 2024'!$J$4:$J$1872,Q$1)</f>
        <v>0</v>
      </c>
      <c r="R129" s="80">
        <f>SUMIFS('июль 2024'!$G$4:$G$1872,'июль 2024'!$D$4:$D$1872,$B129,'июль 2024'!$J$4:$J$1872,R$1)</f>
        <v>0</v>
      </c>
      <c r="S129" s="80">
        <f>SUMIFS('июль 2024'!$G$4:$G$1872,'июль 2024'!$D$4:$D$1872,$B129,'июль 2024'!$J$4:$J$1872,S$1)</f>
        <v>0</v>
      </c>
      <c r="T129" s="80">
        <f>SUMIFS('июль 2024'!$G$4:$G$1872,'июль 2024'!$D$4:$D$1872,$B129,'июль 2024'!$J$4:$J$1872,T$1)</f>
        <v>0</v>
      </c>
      <c r="U129" s="80">
        <f>SUMIFS('июль 2024'!$G$4:$G$1872,'июль 2024'!$D$4:$D$1872,$B129,'июль 2024'!$J$4:$J$1872,U$1)</f>
        <v>0</v>
      </c>
      <c r="V129" s="80">
        <f>SUMIFS('июль 2024'!$G$4:$G$1872,'июль 2024'!$D$4:$D$1872,$B129,'июль 2024'!$J$4:$J$1872,V$1)</f>
        <v>0</v>
      </c>
      <c r="W129" s="80">
        <f>SUMIFS('июль 2024'!$G$4:$G$1872,'июль 2024'!$D$4:$D$1872,$B129,'июль 2024'!$J$4:$J$1872,W$1)</f>
        <v>0</v>
      </c>
      <c r="X129" s="80">
        <f>SUMIFS('июль 2024'!$G$4:$G$1872,'июль 2024'!$D$4:$D$1872,$B129,'июль 2024'!$J$4:$J$1872,X$1)</f>
        <v>0</v>
      </c>
      <c r="Y129" s="80">
        <f>SUMIFS('июль 2024'!$G$4:$G$1872,'июль 2024'!$D$4:$D$1872,$B129,'июль 2024'!$J$4:$J$1872,Y$1)</f>
        <v>0</v>
      </c>
      <c r="Z129" s="80">
        <f>SUMIFS('июль 2024'!$G$4:$G$1872,'июль 2024'!$D$4:$D$1872,$B129,'июль 2024'!$J$4:$J$1872,Z$1)</f>
        <v>0</v>
      </c>
      <c r="AA129" s="80">
        <f>SUMIFS('июль 2024'!$G$4:$G$1872,'июль 2024'!$D$4:$D$1872,$B129,'июль 2024'!$J$4:$J$1872,AA$1)</f>
        <v>0</v>
      </c>
      <c r="AB129" s="80">
        <f>SUMIFS('июль 2024'!$G$4:$G$1872,'июль 2024'!$D$4:$D$1872,$B129,'июль 2024'!$J$4:$J$1872,AB$1)</f>
        <v>0</v>
      </c>
      <c r="AC129" s="80">
        <f>SUMIFS('июль 2024'!$G$4:$G$1872,'июль 2024'!$D$4:$D$1872,$B129,'июль 2024'!$J$4:$J$1872,AC$1)</f>
        <v>0</v>
      </c>
      <c r="AD129" s="80">
        <f>SUMIFS('июль 2024'!$G$4:$G$1872,'июль 2024'!$D$4:$D$1872,$B129,'июль 2024'!$J$4:$J$1872,AD$1)</f>
        <v>0</v>
      </c>
      <c r="AE129" s="80">
        <f>SUMIFS('июль 2024'!$G$4:$G$1872,'июль 2024'!$D$4:$D$1872,$B129,'июль 2024'!$J$4:$J$1872,AE$1)</f>
        <v>0</v>
      </c>
      <c r="AF129" s="80">
        <f>SUMIFS('июль 2024'!$G$4:$G$1872,'июль 2024'!$D$4:$D$1872,$B129,'июль 2024'!$J$4:$J$1872,AF$1)</f>
        <v>0</v>
      </c>
      <c r="AG129" s="80">
        <f>SUMIFS('июль 2024'!$G$4:$G$1872,'июль 2024'!$D$4:$D$1872,$B129,'июль 2024'!$J$4:$J$1872,AG$1)</f>
        <v>0</v>
      </c>
      <c r="AH129" s="80">
        <f>SUMIFS('июль 2024'!$G$4:$G$1872,'июль 2024'!$D$4:$D$1872,$B129,'июль 2024'!$J$4:$J$1872,AH$1)</f>
        <v>0</v>
      </c>
      <c r="AI129" s="21">
        <f t="shared" si="1"/>
        <v>0</v>
      </c>
    </row>
    <row r="130" spans="2:35" ht="15" customHeight="1" x14ac:dyDescent="0.25">
      <c r="B130" s="93" t="s">
        <v>621</v>
      </c>
      <c r="C130" s="91">
        <v>180</v>
      </c>
      <c r="D130" s="80">
        <f>SUMIFS('июль 2024'!$G$4:$G$1872,'июль 2024'!$D$4:$D$1872,$B130,'июль 2024'!$J$4:$J$1872,D$1)</f>
        <v>0</v>
      </c>
      <c r="E130" s="80">
        <f>SUMIFS('июль 2024'!$G$4:$G$1872,'июль 2024'!$D$4:$D$1872,$B130,'июль 2024'!$J$4:$J$1872,E$1)</f>
        <v>0</v>
      </c>
      <c r="F130" s="80">
        <f>SUMIFS('июль 2024'!$G$4:$G$1872,'июль 2024'!$D$4:$D$1872,$B130,'июль 2024'!$J$4:$J$1872,F$1)</f>
        <v>0</v>
      </c>
      <c r="G130" s="80">
        <f>SUMIFS('июль 2024'!$G$4:$G$1872,'июль 2024'!$D$4:$D$1872,$B130,'июль 2024'!$J$4:$J$1872,G$1)</f>
        <v>0</v>
      </c>
      <c r="H130" s="80">
        <f>SUMIFS('июль 2024'!$G$4:$G$1872,'июль 2024'!$D$4:$D$1872,$B130,'июль 2024'!$J$4:$J$1872,H$1)</f>
        <v>0</v>
      </c>
      <c r="I130" s="80">
        <f>SUMIFS('июль 2024'!$G$4:$G$1872,'июль 2024'!$D$4:$D$1872,$B130,'июль 2024'!$J$4:$J$1872,I$1)</f>
        <v>0</v>
      </c>
      <c r="J130" s="80">
        <f>SUMIFS('июль 2024'!$G$4:$G$1872,'июль 2024'!$D$4:$D$1872,$B130,'июль 2024'!$J$4:$J$1872,J$1)</f>
        <v>0</v>
      </c>
      <c r="K130" s="80">
        <f>SUMIFS('июль 2024'!$G$4:$G$1872,'июль 2024'!$D$4:$D$1872,$B130,'июль 2024'!$J$4:$J$1872,K$1)</f>
        <v>0</v>
      </c>
      <c r="L130" s="80">
        <f>SUMIFS('июль 2024'!$G$4:$G$1872,'июль 2024'!$D$4:$D$1872,$B130,'июль 2024'!$J$4:$J$1872,L$1)</f>
        <v>0</v>
      </c>
      <c r="M130" s="80">
        <f>SUMIFS('июль 2024'!$G$4:$G$1872,'июль 2024'!$D$4:$D$1872,$B130,'июль 2024'!$J$4:$J$1872,M$1)</f>
        <v>0</v>
      </c>
      <c r="N130" s="80">
        <f>SUMIFS('июль 2024'!$G$4:$G$1872,'июль 2024'!$D$4:$D$1872,$B130,'июль 2024'!$J$4:$J$1872,N$1)</f>
        <v>0</v>
      </c>
      <c r="O130" s="80">
        <f>SUMIFS('июль 2024'!$G$4:$G$1872,'июль 2024'!$D$4:$D$1872,$B130,'июль 2024'!$J$4:$J$1872,O$1)</f>
        <v>0</v>
      </c>
      <c r="P130" s="80">
        <f>SUMIFS('июль 2024'!$G$4:$G$1872,'июль 2024'!$D$4:$D$1872,$B130,'июль 2024'!$J$4:$J$1872,P$1)</f>
        <v>0</v>
      </c>
      <c r="Q130" s="80">
        <f>SUMIFS('июль 2024'!$G$4:$G$1872,'июль 2024'!$D$4:$D$1872,$B130,'июль 2024'!$J$4:$J$1872,Q$1)</f>
        <v>0</v>
      </c>
      <c r="R130" s="80">
        <f>SUMIFS('июль 2024'!$G$4:$G$1872,'июль 2024'!$D$4:$D$1872,$B130,'июль 2024'!$J$4:$J$1872,R$1)</f>
        <v>0</v>
      </c>
      <c r="S130" s="80">
        <f>SUMIFS('июль 2024'!$G$4:$G$1872,'июль 2024'!$D$4:$D$1872,$B130,'июль 2024'!$J$4:$J$1872,S$1)</f>
        <v>0</v>
      </c>
      <c r="T130" s="80">
        <f>SUMIFS('июль 2024'!$G$4:$G$1872,'июль 2024'!$D$4:$D$1872,$B130,'июль 2024'!$J$4:$J$1872,T$1)</f>
        <v>0</v>
      </c>
      <c r="U130" s="80">
        <f>SUMIFS('июль 2024'!$G$4:$G$1872,'июль 2024'!$D$4:$D$1872,$B130,'июль 2024'!$J$4:$J$1872,U$1)</f>
        <v>0</v>
      </c>
      <c r="V130" s="80">
        <f>SUMIFS('июль 2024'!$G$4:$G$1872,'июль 2024'!$D$4:$D$1872,$B130,'июль 2024'!$J$4:$J$1872,V$1)</f>
        <v>0</v>
      </c>
      <c r="W130" s="80">
        <f>SUMIFS('июль 2024'!$G$4:$G$1872,'июль 2024'!$D$4:$D$1872,$B130,'июль 2024'!$J$4:$J$1872,W$1)</f>
        <v>0</v>
      </c>
      <c r="X130" s="80">
        <f>SUMIFS('июль 2024'!$G$4:$G$1872,'июль 2024'!$D$4:$D$1872,$B130,'июль 2024'!$J$4:$J$1872,X$1)</f>
        <v>0</v>
      </c>
      <c r="Y130" s="80">
        <f>SUMIFS('июль 2024'!$G$4:$G$1872,'июль 2024'!$D$4:$D$1872,$B130,'июль 2024'!$J$4:$J$1872,Y$1)</f>
        <v>0</v>
      </c>
      <c r="Z130" s="80">
        <f>SUMIFS('июль 2024'!$G$4:$G$1872,'июль 2024'!$D$4:$D$1872,$B130,'июль 2024'!$J$4:$J$1872,Z$1)</f>
        <v>0</v>
      </c>
      <c r="AA130" s="80">
        <f>SUMIFS('июль 2024'!$G$4:$G$1872,'июль 2024'!$D$4:$D$1872,$B130,'июль 2024'!$J$4:$J$1872,AA$1)</f>
        <v>0</v>
      </c>
      <c r="AB130" s="80">
        <f>SUMIFS('июль 2024'!$G$4:$G$1872,'июль 2024'!$D$4:$D$1872,$B130,'июль 2024'!$J$4:$J$1872,AB$1)</f>
        <v>0</v>
      </c>
      <c r="AC130" s="80">
        <f>SUMIFS('июль 2024'!$G$4:$G$1872,'июль 2024'!$D$4:$D$1872,$B130,'июль 2024'!$J$4:$J$1872,AC$1)</f>
        <v>0</v>
      </c>
      <c r="AD130" s="80">
        <f>SUMIFS('июль 2024'!$G$4:$G$1872,'июль 2024'!$D$4:$D$1872,$B130,'июль 2024'!$J$4:$J$1872,AD$1)</f>
        <v>0</v>
      </c>
      <c r="AE130" s="80">
        <f>SUMIFS('июль 2024'!$G$4:$G$1872,'июль 2024'!$D$4:$D$1872,$B130,'июль 2024'!$J$4:$J$1872,AE$1)</f>
        <v>0</v>
      </c>
      <c r="AF130" s="80">
        <f>SUMIFS('июль 2024'!$G$4:$G$1872,'июль 2024'!$D$4:$D$1872,$B130,'июль 2024'!$J$4:$J$1872,AF$1)</f>
        <v>0</v>
      </c>
      <c r="AG130" s="80">
        <f>SUMIFS('июль 2024'!$G$4:$G$1872,'июль 2024'!$D$4:$D$1872,$B130,'июль 2024'!$J$4:$J$1872,AG$1)</f>
        <v>0</v>
      </c>
      <c r="AH130" s="80">
        <f>SUMIFS('июль 2024'!$G$4:$G$1872,'июль 2024'!$D$4:$D$1872,$B130,'июль 2024'!$J$4:$J$1872,AH$1)</f>
        <v>0</v>
      </c>
      <c r="AI130" s="21">
        <f t="shared" si="1"/>
        <v>0</v>
      </c>
    </row>
    <row r="131" spans="2:35" ht="15" customHeight="1" x14ac:dyDescent="0.25">
      <c r="B131" s="93" t="s">
        <v>191</v>
      </c>
      <c r="C131" s="91">
        <v>190</v>
      </c>
      <c r="D131" s="80">
        <f>SUMIFS('июль 2024'!$G$4:$G$1872,'июль 2024'!$D$4:$D$1872,$B131,'июль 2024'!$J$4:$J$1872,D$1)</f>
        <v>0</v>
      </c>
      <c r="E131" s="80">
        <f>SUMIFS('июль 2024'!$G$4:$G$1872,'июль 2024'!$D$4:$D$1872,$B131,'июль 2024'!$J$4:$J$1872,E$1)</f>
        <v>0</v>
      </c>
      <c r="F131" s="80">
        <f>SUMIFS('июль 2024'!$G$4:$G$1872,'июль 2024'!$D$4:$D$1872,$B131,'июль 2024'!$J$4:$J$1872,F$1)</f>
        <v>0</v>
      </c>
      <c r="G131" s="80">
        <f>SUMIFS('июль 2024'!$G$4:$G$1872,'июль 2024'!$D$4:$D$1872,$B131,'июль 2024'!$J$4:$J$1872,G$1)</f>
        <v>0</v>
      </c>
      <c r="H131" s="80">
        <f>SUMIFS('июль 2024'!$G$4:$G$1872,'июль 2024'!$D$4:$D$1872,$B131,'июль 2024'!$J$4:$J$1872,H$1)</f>
        <v>0</v>
      </c>
      <c r="I131" s="80">
        <f>SUMIFS('июль 2024'!$G$4:$G$1872,'июль 2024'!$D$4:$D$1872,$B131,'июль 2024'!$J$4:$J$1872,I$1)</f>
        <v>0</v>
      </c>
      <c r="J131" s="80">
        <f>SUMIFS('июль 2024'!$G$4:$G$1872,'июль 2024'!$D$4:$D$1872,$B131,'июль 2024'!$J$4:$J$1872,J$1)</f>
        <v>0</v>
      </c>
      <c r="K131" s="80">
        <f>SUMIFS('июль 2024'!$G$4:$G$1872,'июль 2024'!$D$4:$D$1872,$B131,'июль 2024'!$J$4:$J$1872,K$1)</f>
        <v>0</v>
      </c>
      <c r="L131" s="80">
        <f>SUMIFS('июль 2024'!$G$4:$G$1872,'июль 2024'!$D$4:$D$1872,$B131,'июль 2024'!$J$4:$J$1872,L$1)</f>
        <v>0</v>
      </c>
      <c r="M131" s="80">
        <f>SUMIFS('июль 2024'!$G$4:$G$1872,'июль 2024'!$D$4:$D$1872,$B131,'июль 2024'!$J$4:$J$1872,M$1)</f>
        <v>0</v>
      </c>
      <c r="N131" s="80">
        <f>SUMIFS('июль 2024'!$G$4:$G$1872,'июль 2024'!$D$4:$D$1872,$B131,'июль 2024'!$J$4:$J$1872,N$1)</f>
        <v>0</v>
      </c>
      <c r="O131" s="80">
        <f>SUMIFS('июль 2024'!$G$4:$G$1872,'июль 2024'!$D$4:$D$1872,$B131,'июль 2024'!$J$4:$J$1872,O$1)</f>
        <v>0</v>
      </c>
      <c r="P131" s="80">
        <f>SUMIFS('июль 2024'!$G$4:$G$1872,'июль 2024'!$D$4:$D$1872,$B131,'июль 2024'!$J$4:$J$1872,P$1)</f>
        <v>0</v>
      </c>
      <c r="Q131" s="80">
        <f>SUMIFS('июль 2024'!$G$4:$G$1872,'июль 2024'!$D$4:$D$1872,$B131,'июль 2024'!$J$4:$J$1872,Q$1)</f>
        <v>0</v>
      </c>
      <c r="R131" s="80">
        <f>SUMIFS('июль 2024'!$G$4:$G$1872,'июль 2024'!$D$4:$D$1872,$B131,'июль 2024'!$J$4:$J$1872,R$1)</f>
        <v>0</v>
      </c>
      <c r="S131" s="80">
        <f>SUMIFS('июль 2024'!$G$4:$G$1872,'июль 2024'!$D$4:$D$1872,$B131,'июль 2024'!$J$4:$J$1872,S$1)</f>
        <v>0</v>
      </c>
      <c r="T131" s="80">
        <f>SUMIFS('июль 2024'!$G$4:$G$1872,'июль 2024'!$D$4:$D$1872,$B131,'июль 2024'!$J$4:$J$1872,T$1)</f>
        <v>0</v>
      </c>
      <c r="U131" s="80">
        <f>SUMIFS('июль 2024'!$G$4:$G$1872,'июль 2024'!$D$4:$D$1872,$B131,'июль 2024'!$J$4:$J$1872,U$1)</f>
        <v>0</v>
      </c>
      <c r="V131" s="80">
        <f>SUMIFS('июль 2024'!$G$4:$G$1872,'июль 2024'!$D$4:$D$1872,$B131,'июль 2024'!$J$4:$J$1872,V$1)</f>
        <v>0</v>
      </c>
      <c r="W131" s="80">
        <f>SUMIFS('июль 2024'!$G$4:$G$1872,'июль 2024'!$D$4:$D$1872,$B131,'июль 2024'!$J$4:$J$1872,W$1)</f>
        <v>0</v>
      </c>
      <c r="X131" s="80">
        <f>SUMIFS('июль 2024'!$G$4:$G$1872,'июль 2024'!$D$4:$D$1872,$B131,'июль 2024'!$J$4:$J$1872,X$1)</f>
        <v>0</v>
      </c>
      <c r="Y131" s="80">
        <f>SUMIFS('июль 2024'!$G$4:$G$1872,'июль 2024'!$D$4:$D$1872,$B131,'июль 2024'!$J$4:$J$1872,Y$1)</f>
        <v>0</v>
      </c>
      <c r="Z131" s="80">
        <f>SUMIFS('июль 2024'!$G$4:$G$1872,'июль 2024'!$D$4:$D$1872,$B131,'июль 2024'!$J$4:$J$1872,Z$1)</f>
        <v>0</v>
      </c>
      <c r="AA131" s="80">
        <f>SUMIFS('июль 2024'!$G$4:$G$1872,'июль 2024'!$D$4:$D$1872,$B131,'июль 2024'!$J$4:$J$1872,AA$1)</f>
        <v>0</v>
      </c>
      <c r="AB131" s="80">
        <f>SUMIFS('июль 2024'!$G$4:$G$1872,'июль 2024'!$D$4:$D$1872,$B131,'июль 2024'!$J$4:$J$1872,AB$1)</f>
        <v>0</v>
      </c>
      <c r="AC131" s="80">
        <f>SUMIFS('июль 2024'!$G$4:$G$1872,'июль 2024'!$D$4:$D$1872,$B131,'июль 2024'!$J$4:$J$1872,AC$1)</f>
        <v>0</v>
      </c>
      <c r="AD131" s="80">
        <f>SUMIFS('июль 2024'!$G$4:$G$1872,'июль 2024'!$D$4:$D$1872,$B131,'июль 2024'!$J$4:$J$1872,AD$1)</f>
        <v>0</v>
      </c>
      <c r="AE131" s="80">
        <f>SUMIFS('июль 2024'!$G$4:$G$1872,'июль 2024'!$D$4:$D$1872,$B131,'июль 2024'!$J$4:$J$1872,AE$1)</f>
        <v>0</v>
      </c>
      <c r="AF131" s="80">
        <f>SUMIFS('июль 2024'!$G$4:$G$1872,'июль 2024'!$D$4:$D$1872,$B131,'июль 2024'!$J$4:$J$1872,AF$1)</f>
        <v>0</v>
      </c>
      <c r="AG131" s="80">
        <f>SUMIFS('июль 2024'!$G$4:$G$1872,'июль 2024'!$D$4:$D$1872,$B131,'июль 2024'!$J$4:$J$1872,AG$1)</f>
        <v>0</v>
      </c>
      <c r="AH131" s="80">
        <f>SUMIFS('июль 2024'!$G$4:$G$1872,'июль 2024'!$D$4:$D$1872,$B131,'июль 2024'!$J$4:$J$1872,AH$1)</f>
        <v>0</v>
      </c>
      <c r="AI131" s="21">
        <f t="shared" si="1"/>
        <v>0</v>
      </c>
    </row>
    <row r="132" spans="2:35" ht="15" customHeight="1" x14ac:dyDescent="0.25">
      <c r="B132" s="93" t="s">
        <v>334</v>
      </c>
      <c r="C132" s="91">
        <v>190</v>
      </c>
      <c r="D132" s="80">
        <f>SUMIFS('июль 2024'!$G$4:$G$1872,'июль 2024'!$D$4:$D$1872,$B132,'июль 2024'!$J$4:$J$1872,D$1)</f>
        <v>0</v>
      </c>
      <c r="E132" s="80">
        <f>SUMIFS('июль 2024'!$G$4:$G$1872,'июль 2024'!$D$4:$D$1872,$B132,'июль 2024'!$J$4:$J$1872,E$1)</f>
        <v>0</v>
      </c>
      <c r="F132" s="80">
        <f>SUMIFS('июль 2024'!$G$4:$G$1872,'июль 2024'!$D$4:$D$1872,$B132,'июль 2024'!$J$4:$J$1872,F$1)</f>
        <v>0</v>
      </c>
      <c r="G132" s="80">
        <f>SUMIFS('июль 2024'!$G$4:$G$1872,'июль 2024'!$D$4:$D$1872,$B132,'июль 2024'!$J$4:$J$1872,G$1)</f>
        <v>0</v>
      </c>
      <c r="H132" s="80">
        <f>SUMIFS('июль 2024'!$G$4:$G$1872,'июль 2024'!$D$4:$D$1872,$B132,'июль 2024'!$J$4:$J$1872,H$1)</f>
        <v>0</v>
      </c>
      <c r="I132" s="80">
        <f>SUMIFS('июль 2024'!$G$4:$G$1872,'июль 2024'!$D$4:$D$1872,$B132,'июль 2024'!$J$4:$J$1872,I$1)</f>
        <v>0</v>
      </c>
      <c r="J132" s="80">
        <f>SUMIFS('июль 2024'!$G$4:$G$1872,'июль 2024'!$D$4:$D$1872,$B132,'июль 2024'!$J$4:$J$1872,J$1)</f>
        <v>0</v>
      </c>
      <c r="K132" s="80">
        <f>SUMIFS('июль 2024'!$G$4:$G$1872,'июль 2024'!$D$4:$D$1872,$B132,'июль 2024'!$J$4:$J$1872,K$1)</f>
        <v>0</v>
      </c>
      <c r="L132" s="80">
        <f>SUMIFS('июль 2024'!$G$4:$G$1872,'июль 2024'!$D$4:$D$1872,$B132,'июль 2024'!$J$4:$J$1872,L$1)</f>
        <v>0</v>
      </c>
      <c r="M132" s="80">
        <f>SUMIFS('июль 2024'!$G$4:$G$1872,'июль 2024'!$D$4:$D$1872,$B132,'июль 2024'!$J$4:$J$1872,M$1)</f>
        <v>0</v>
      </c>
      <c r="N132" s="80">
        <f>SUMIFS('июль 2024'!$G$4:$G$1872,'июль 2024'!$D$4:$D$1872,$B132,'июль 2024'!$J$4:$J$1872,N$1)</f>
        <v>0</v>
      </c>
      <c r="O132" s="80">
        <f>SUMIFS('июль 2024'!$G$4:$G$1872,'июль 2024'!$D$4:$D$1872,$B132,'июль 2024'!$J$4:$J$1872,O$1)</f>
        <v>0</v>
      </c>
      <c r="P132" s="80">
        <f>SUMIFS('июль 2024'!$G$4:$G$1872,'июль 2024'!$D$4:$D$1872,$B132,'июль 2024'!$J$4:$J$1872,P$1)</f>
        <v>0</v>
      </c>
      <c r="Q132" s="80">
        <f>SUMIFS('июль 2024'!$G$4:$G$1872,'июль 2024'!$D$4:$D$1872,$B132,'июль 2024'!$J$4:$J$1872,Q$1)</f>
        <v>0</v>
      </c>
      <c r="R132" s="80">
        <f>SUMIFS('июль 2024'!$G$4:$G$1872,'июль 2024'!$D$4:$D$1872,$B132,'июль 2024'!$J$4:$J$1872,R$1)</f>
        <v>0</v>
      </c>
      <c r="S132" s="80">
        <f>SUMIFS('июль 2024'!$G$4:$G$1872,'июль 2024'!$D$4:$D$1872,$B132,'июль 2024'!$J$4:$J$1872,S$1)</f>
        <v>0</v>
      </c>
      <c r="T132" s="80">
        <f>SUMIFS('июль 2024'!$G$4:$G$1872,'июль 2024'!$D$4:$D$1872,$B132,'июль 2024'!$J$4:$J$1872,T$1)</f>
        <v>0</v>
      </c>
      <c r="U132" s="80">
        <f>SUMIFS('июль 2024'!$G$4:$G$1872,'июль 2024'!$D$4:$D$1872,$B132,'июль 2024'!$J$4:$J$1872,U$1)</f>
        <v>0</v>
      </c>
      <c r="V132" s="80">
        <f>SUMIFS('июль 2024'!$G$4:$G$1872,'июль 2024'!$D$4:$D$1872,$B132,'июль 2024'!$J$4:$J$1872,V$1)</f>
        <v>0</v>
      </c>
      <c r="W132" s="80">
        <f>SUMIFS('июль 2024'!$G$4:$G$1872,'июль 2024'!$D$4:$D$1872,$B132,'июль 2024'!$J$4:$J$1872,W$1)</f>
        <v>0</v>
      </c>
      <c r="X132" s="80">
        <f>SUMIFS('июль 2024'!$G$4:$G$1872,'июль 2024'!$D$4:$D$1872,$B132,'июль 2024'!$J$4:$J$1872,X$1)</f>
        <v>0</v>
      </c>
      <c r="Y132" s="80">
        <f>SUMIFS('июль 2024'!$G$4:$G$1872,'июль 2024'!$D$4:$D$1872,$B132,'июль 2024'!$J$4:$J$1872,Y$1)</f>
        <v>0</v>
      </c>
      <c r="Z132" s="80">
        <f>SUMIFS('июль 2024'!$G$4:$G$1872,'июль 2024'!$D$4:$D$1872,$B132,'июль 2024'!$J$4:$J$1872,Z$1)</f>
        <v>0</v>
      </c>
      <c r="AA132" s="80">
        <f>SUMIFS('июль 2024'!$G$4:$G$1872,'июль 2024'!$D$4:$D$1872,$B132,'июль 2024'!$J$4:$J$1872,AA$1)</f>
        <v>0</v>
      </c>
      <c r="AB132" s="80">
        <f>SUMIFS('июль 2024'!$G$4:$G$1872,'июль 2024'!$D$4:$D$1872,$B132,'июль 2024'!$J$4:$J$1872,AB$1)</f>
        <v>0</v>
      </c>
      <c r="AC132" s="80">
        <f>SUMIFS('июль 2024'!$G$4:$G$1872,'июль 2024'!$D$4:$D$1872,$B132,'июль 2024'!$J$4:$J$1872,AC$1)</f>
        <v>0</v>
      </c>
      <c r="AD132" s="80">
        <f>SUMIFS('июль 2024'!$G$4:$G$1872,'июль 2024'!$D$4:$D$1872,$B132,'июль 2024'!$J$4:$J$1872,AD$1)</f>
        <v>0</v>
      </c>
      <c r="AE132" s="80">
        <f>SUMIFS('июль 2024'!$G$4:$G$1872,'июль 2024'!$D$4:$D$1872,$B132,'июль 2024'!$J$4:$J$1872,AE$1)</f>
        <v>0</v>
      </c>
      <c r="AF132" s="80">
        <f>SUMIFS('июль 2024'!$G$4:$G$1872,'июль 2024'!$D$4:$D$1872,$B132,'июль 2024'!$J$4:$J$1872,AF$1)</f>
        <v>0</v>
      </c>
      <c r="AG132" s="80">
        <f>SUMIFS('июль 2024'!$G$4:$G$1872,'июль 2024'!$D$4:$D$1872,$B132,'июль 2024'!$J$4:$J$1872,AG$1)</f>
        <v>0</v>
      </c>
      <c r="AH132" s="80">
        <f>SUMIFS('июль 2024'!$G$4:$G$1872,'июль 2024'!$D$4:$D$1872,$B132,'июль 2024'!$J$4:$J$1872,AH$1)</f>
        <v>0</v>
      </c>
      <c r="AI132" s="21">
        <f t="shared" si="1"/>
        <v>0</v>
      </c>
    </row>
    <row r="133" spans="2:35" ht="16.899999999999999" customHeight="1" x14ac:dyDescent="0.25">
      <c r="B133" s="89" t="s">
        <v>335</v>
      </c>
      <c r="C133" s="88">
        <v>200</v>
      </c>
      <c r="D133" s="80">
        <f>SUMIFS('июль 2024'!$G$4:$G$1872,'июль 2024'!$D$4:$D$1872,$B133,'июль 2024'!$J$4:$J$1872,D$1)</f>
        <v>0</v>
      </c>
      <c r="E133" s="80">
        <f>SUMIFS('июль 2024'!$G$4:$G$1872,'июль 2024'!$D$4:$D$1872,$B133,'июль 2024'!$J$4:$J$1872,E$1)</f>
        <v>0</v>
      </c>
      <c r="F133" s="80">
        <f>SUMIFS('июль 2024'!$G$4:$G$1872,'июль 2024'!$D$4:$D$1872,$B133,'июль 2024'!$J$4:$J$1872,F$1)</f>
        <v>0</v>
      </c>
      <c r="G133" s="80">
        <f>SUMIFS('июль 2024'!$G$4:$G$1872,'июль 2024'!$D$4:$D$1872,$B133,'июль 2024'!$J$4:$J$1872,G$1)</f>
        <v>0</v>
      </c>
      <c r="H133" s="80">
        <f>SUMIFS('июль 2024'!$G$4:$G$1872,'июль 2024'!$D$4:$D$1872,$B133,'июль 2024'!$J$4:$J$1872,H$1)</f>
        <v>0</v>
      </c>
      <c r="I133" s="80">
        <f>SUMIFS('июль 2024'!$G$4:$G$1872,'июль 2024'!$D$4:$D$1872,$B133,'июль 2024'!$J$4:$J$1872,I$1)</f>
        <v>0</v>
      </c>
      <c r="J133" s="80">
        <f>SUMIFS('июль 2024'!$G$4:$G$1872,'июль 2024'!$D$4:$D$1872,$B133,'июль 2024'!$J$4:$J$1872,J$1)</f>
        <v>0</v>
      </c>
      <c r="K133" s="80">
        <f>SUMIFS('июль 2024'!$G$4:$G$1872,'июль 2024'!$D$4:$D$1872,$B133,'июль 2024'!$J$4:$J$1872,K$1)</f>
        <v>0</v>
      </c>
      <c r="L133" s="80">
        <f>SUMIFS('июль 2024'!$G$4:$G$1872,'июль 2024'!$D$4:$D$1872,$B133,'июль 2024'!$J$4:$J$1872,L$1)</f>
        <v>0</v>
      </c>
      <c r="M133" s="80">
        <f>SUMIFS('июль 2024'!$G$4:$G$1872,'июль 2024'!$D$4:$D$1872,$B133,'июль 2024'!$J$4:$J$1872,M$1)</f>
        <v>0</v>
      </c>
      <c r="N133" s="80">
        <f>SUMIFS('июль 2024'!$G$4:$G$1872,'июль 2024'!$D$4:$D$1872,$B133,'июль 2024'!$J$4:$J$1872,N$1)</f>
        <v>0</v>
      </c>
      <c r="O133" s="80">
        <f>SUMIFS('июль 2024'!$G$4:$G$1872,'июль 2024'!$D$4:$D$1872,$B133,'июль 2024'!$J$4:$J$1872,O$1)</f>
        <v>0</v>
      </c>
      <c r="P133" s="80">
        <f>SUMIFS('июль 2024'!$G$4:$G$1872,'июль 2024'!$D$4:$D$1872,$B133,'июль 2024'!$J$4:$J$1872,P$1)</f>
        <v>0</v>
      </c>
      <c r="Q133" s="80">
        <f>SUMIFS('июль 2024'!$G$4:$G$1872,'июль 2024'!$D$4:$D$1872,$B133,'июль 2024'!$J$4:$J$1872,Q$1)</f>
        <v>0</v>
      </c>
      <c r="R133" s="80">
        <f>SUMIFS('июль 2024'!$G$4:$G$1872,'июль 2024'!$D$4:$D$1872,$B133,'июль 2024'!$J$4:$J$1872,R$1)</f>
        <v>0</v>
      </c>
      <c r="S133" s="80">
        <f>SUMIFS('июль 2024'!$G$4:$G$1872,'июль 2024'!$D$4:$D$1872,$B133,'июль 2024'!$J$4:$J$1872,S$1)</f>
        <v>0</v>
      </c>
      <c r="T133" s="80">
        <f>SUMIFS('июль 2024'!$G$4:$G$1872,'июль 2024'!$D$4:$D$1872,$B133,'июль 2024'!$J$4:$J$1872,T$1)</f>
        <v>0</v>
      </c>
      <c r="U133" s="80">
        <f>SUMIFS('июль 2024'!$G$4:$G$1872,'июль 2024'!$D$4:$D$1872,$B133,'июль 2024'!$J$4:$J$1872,U$1)</f>
        <v>0</v>
      </c>
      <c r="V133" s="80">
        <f>SUMIFS('июль 2024'!$G$4:$G$1872,'июль 2024'!$D$4:$D$1872,$B133,'июль 2024'!$J$4:$J$1872,V$1)</f>
        <v>0</v>
      </c>
      <c r="W133" s="80">
        <f>SUMIFS('июль 2024'!$G$4:$G$1872,'июль 2024'!$D$4:$D$1872,$B133,'июль 2024'!$J$4:$J$1872,W$1)</f>
        <v>0</v>
      </c>
      <c r="X133" s="80">
        <f>SUMIFS('июль 2024'!$G$4:$G$1872,'июль 2024'!$D$4:$D$1872,$B133,'июль 2024'!$J$4:$J$1872,X$1)</f>
        <v>0</v>
      </c>
      <c r="Y133" s="80">
        <f>SUMIFS('июль 2024'!$G$4:$G$1872,'июль 2024'!$D$4:$D$1872,$B133,'июль 2024'!$J$4:$J$1872,Y$1)</f>
        <v>0</v>
      </c>
      <c r="Z133" s="80">
        <f>SUMIFS('июль 2024'!$G$4:$G$1872,'июль 2024'!$D$4:$D$1872,$B133,'июль 2024'!$J$4:$J$1872,Z$1)</f>
        <v>0</v>
      </c>
      <c r="AA133" s="80">
        <f>SUMIFS('июль 2024'!$G$4:$G$1872,'июль 2024'!$D$4:$D$1872,$B133,'июль 2024'!$J$4:$J$1872,AA$1)</f>
        <v>0</v>
      </c>
      <c r="AB133" s="80">
        <f>SUMIFS('июль 2024'!$G$4:$G$1872,'июль 2024'!$D$4:$D$1872,$B133,'июль 2024'!$J$4:$J$1872,AB$1)</f>
        <v>0</v>
      </c>
      <c r="AC133" s="80">
        <f>SUMIFS('июль 2024'!$G$4:$G$1872,'июль 2024'!$D$4:$D$1872,$B133,'июль 2024'!$J$4:$J$1872,AC$1)</f>
        <v>0</v>
      </c>
      <c r="AD133" s="80">
        <f>SUMIFS('июль 2024'!$G$4:$G$1872,'июль 2024'!$D$4:$D$1872,$B133,'июль 2024'!$J$4:$J$1872,AD$1)</f>
        <v>0</v>
      </c>
      <c r="AE133" s="80">
        <f>SUMIFS('июль 2024'!$G$4:$G$1872,'июль 2024'!$D$4:$D$1872,$B133,'июль 2024'!$J$4:$J$1872,AE$1)</f>
        <v>0</v>
      </c>
      <c r="AF133" s="80">
        <f>SUMIFS('июль 2024'!$G$4:$G$1872,'июль 2024'!$D$4:$D$1872,$B133,'июль 2024'!$J$4:$J$1872,AF$1)</f>
        <v>0</v>
      </c>
      <c r="AG133" s="80">
        <f>SUMIFS('июль 2024'!$G$4:$G$1872,'июль 2024'!$D$4:$D$1872,$B133,'июль 2024'!$J$4:$J$1872,AG$1)</f>
        <v>0</v>
      </c>
      <c r="AH133" s="80">
        <f>SUMIFS('июль 2024'!$G$4:$G$1872,'июль 2024'!$D$4:$D$1872,$B133,'июль 2024'!$J$4:$J$1872,AH$1)</f>
        <v>0</v>
      </c>
      <c r="AI133" s="21">
        <f t="shared" si="1"/>
        <v>0</v>
      </c>
    </row>
    <row r="134" spans="2:35" ht="16.899999999999999" customHeight="1" x14ac:dyDescent="0.25">
      <c r="B134" s="89" t="s">
        <v>340</v>
      </c>
      <c r="C134" s="88">
        <v>200</v>
      </c>
      <c r="D134" s="80">
        <f>SUMIFS('июль 2024'!$G$4:$G$1872,'июль 2024'!$D$4:$D$1872,$B134,'июль 2024'!$J$4:$J$1872,D$1)</f>
        <v>0</v>
      </c>
      <c r="E134" s="80">
        <f>SUMIFS('июль 2024'!$G$4:$G$1872,'июль 2024'!$D$4:$D$1872,$B134,'июль 2024'!$J$4:$J$1872,E$1)</f>
        <v>0</v>
      </c>
      <c r="F134" s="80">
        <f>SUMIFS('июль 2024'!$G$4:$G$1872,'июль 2024'!$D$4:$D$1872,$B134,'июль 2024'!$J$4:$J$1872,F$1)</f>
        <v>0</v>
      </c>
      <c r="G134" s="80">
        <f>SUMIFS('июль 2024'!$G$4:$G$1872,'июль 2024'!$D$4:$D$1872,$B134,'июль 2024'!$J$4:$J$1872,G$1)</f>
        <v>0</v>
      </c>
      <c r="H134" s="80">
        <f>SUMIFS('июль 2024'!$G$4:$G$1872,'июль 2024'!$D$4:$D$1872,$B134,'июль 2024'!$J$4:$J$1872,H$1)</f>
        <v>0</v>
      </c>
      <c r="I134" s="80">
        <f>SUMIFS('июль 2024'!$G$4:$G$1872,'июль 2024'!$D$4:$D$1872,$B134,'июль 2024'!$J$4:$J$1872,I$1)</f>
        <v>0</v>
      </c>
      <c r="J134" s="80">
        <f>SUMIFS('июль 2024'!$G$4:$G$1872,'июль 2024'!$D$4:$D$1872,$B134,'июль 2024'!$J$4:$J$1872,J$1)</f>
        <v>0</v>
      </c>
      <c r="K134" s="80">
        <f>SUMIFS('июль 2024'!$G$4:$G$1872,'июль 2024'!$D$4:$D$1872,$B134,'июль 2024'!$J$4:$J$1872,K$1)</f>
        <v>0</v>
      </c>
      <c r="L134" s="80">
        <f>SUMIFS('июль 2024'!$G$4:$G$1872,'июль 2024'!$D$4:$D$1872,$B134,'июль 2024'!$J$4:$J$1872,L$1)</f>
        <v>0</v>
      </c>
      <c r="M134" s="80">
        <f>SUMIFS('июль 2024'!$G$4:$G$1872,'июль 2024'!$D$4:$D$1872,$B134,'июль 2024'!$J$4:$J$1872,M$1)</f>
        <v>0</v>
      </c>
      <c r="N134" s="80">
        <f>SUMIFS('июль 2024'!$G$4:$G$1872,'июль 2024'!$D$4:$D$1872,$B134,'июль 2024'!$J$4:$J$1872,N$1)</f>
        <v>0</v>
      </c>
      <c r="O134" s="80">
        <f>SUMIFS('июль 2024'!$G$4:$G$1872,'июль 2024'!$D$4:$D$1872,$B134,'июль 2024'!$J$4:$J$1872,O$1)</f>
        <v>0</v>
      </c>
      <c r="P134" s="80">
        <f>SUMIFS('июль 2024'!$G$4:$G$1872,'июль 2024'!$D$4:$D$1872,$B134,'июль 2024'!$J$4:$J$1872,P$1)</f>
        <v>0</v>
      </c>
      <c r="Q134" s="80">
        <f>SUMIFS('июль 2024'!$G$4:$G$1872,'июль 2024'!$D$4:$D$1872,$B134,'июль 2024'!$J$4:$J$1872,Q$1)</f>
        <v>0</v>
      </c>
      <c r="R134" s="80">
        <f>SUMIFS('июль 2024'!$G$4:$G$1872,'июль 2024'!$D$4:$D$1872,$B134,'июль 2024'!$J$4:$J$1872,R$1)</f>
        <v>0</v>
      </c>
      <c r="S134" s="80">
        <f>SUMIFS('июль 2024'!$G$4:$G$1872,'июль 2024'!$D$4:$D$1872,$B134,'июль 2024'!$J$4:$J$1872,S$1)</f>
        <v>0</v>
      </c>
      <c r="T134" s="80">
        <f>SUMIFS('июль 2024'!$G$4:$G$1872,'июль 2024'!$D$4:$D$1872,$B134,'июль 2024'!$J$4:$J$1872,T$1)</f>
        <v>0</v>
      </c>
      <c r="U134" s="80">
        <f>SUMIFS('июль 2024'!$G$4:$G$1872,'июль 2024'!$D$4:$D$1872,$B134,'июль 2024'!$J$4:$J$1872,U$1)</f>
        <v>0</v>
      </c>
      <c r="V134" s="80">
        <f>SUMIFS('июль 2024'!$G$4:$G$1872,'июль 2024'!$D$4:$D$1872,$B134,'июль 2024'!$J$4:$J$1872,V$1)</f>
        <v>0</v>
      </c>
      <c r="W134" s="80">
        <f>SUMIFS('июль 2024'!$G$4:$G$1872,'июль 2024'!$D$4:$D$1872,$B134,'июль 2024'!$J$4:$J$1872,W$1)</f>
        <v>0</v>
      </c>
      <c r="X134" s="80">
        <f>SUMIFS('июль 2024'!$G$4:$G$1872,'июль 2024'!$D$4:$D$1872,$B134,'июль 2024'!$J$4:$J$1872,X$1)</f>
        <v>0</v>
      </c>
      <c r="Y134" s="80">
        <f>SUMIFS('июль 2024'!$G$4:$G$1872,'июль 2024'!$D$4:$D$1872,$B134,'июль 2024'!$J$4:$J$1872,Y$1)</f>
        <v>0</v>
      </c>
      <c r="Z134" s="80">
        <f>SUMIFS('июль 2024'!$G$4:$G$1872,'июль 2024'!$D$4:$D$1872,$B134,'июль 2024'!$J$4:$J$1872,Z$1)</f>
        <v>0</v>
      </c>
      <c r="AA134" s="80">
        <f>SUMIFS('июль 2024'!$G$4:$G$1872,'июль 2024'!$D$4:$D$1872,$B134,'июль 2024'!$J$4:$J$1872,AA$1)</f>
        <v>0</v>
      </c>
      <c r="AB134" s="80">
        <f>SUMIFS('июль 2024'!$G$4:$G$1872,'июль 2024'!$D$4:$D$1872,$B134,'июль 2024'!$J$4:$J$1872,AB$1)</f>
        <v>0</v>
      </c>
      <c r="AC134" s="80">
        <f>SUMIFS('июль 2024'!$G$4:$G$1872,'июль 2024'!$D$4:$D$1872,$B134,'июль 2024'!$J$4:$J$1872,AC$1)</f>
        <v>0</v>
      </c>
      <c r="AD134" s="80">
        <f>SUMIFS('июль 2024'!$G$4:$G$1872,'июль 2024'!$D$4:$D$1872,$B134,'июль 2024'!$J$4:$J$1872,AD$1)</f>
        <v>0</v>
      </c>
      <c r="AE134" s="80">
        <f>SUMIFS('июль 2024'!$G$4:$G$1872,'июль 2024'!$D$4:$D$1872,$B134,'июль 2024'!$J$4:$J$1872,AE$1)</f>
        <v>0</v>
      </c>
      <c r="AF134" s="80">
        <f>SUMIFS('июль 2024'!$G$4:$G$1872,'июль 2024'!$D$4:$D$1872,$B134,'июль 2024'!$J$4:$J$1872,AF$1)</f>
        <v>0</v>
      </c>
      <c r="AG134" s="80">
        <f>SUMIFS('июль 2024'!$G$4:$G$1872,'июль 2024'!$D$4:$D$1872,$B134,'июль 2024'!$J$4:$J$1872,AG$1)</f>
        <v>0</v>
      </c>
      <c r="AH134" s="80">
        <f>SUMIFS('июль 2024'!$G$4:$G$1872,'июль 2024'!$D$4:$D$1872,$B134,'июль 2024'!$J$4:$J$1872,AH$1)</f>
        <v>0</v>
      </c>
      <c r="AI134" s="21">
        <f t="shared" si="1"/>
        <v>0</v>
      </c>
    </row>
    <row r="135" spans="2:35" ht="16.899999999999999" customHeight="1" x14ac:dyDescent="0.25">
      <c r="B135" s="89" t="s">
        <v>336</v>
      </c>
      <c r="C135" s="88">
        <v>200</v>
      </c>
      <c r="D135" s="80">
        <f>SUMIFS('июль 2024'!$G$4:$G$1872,'июль 2024'!$D$4:$D$1872,$B135,'июль 2024'!$J$4:$J$1872,D$1)</f>
        <v>0</v>
      </c>
      <c r="E135" s="80">
        <f>SUMIFS('июль 2024'!$G$4:$G$1872,'июль 2024'!$D$4:$D$1872,$B135,'июль 2024'!$J$4:$J$1872,E$1)</f>
        <v>0</v>
      </c>
      <c r="F135" s="80">
        <f>SUMIFS('июль 2024'!$G$4:$G$1872,'июль 2024'!$D$4:$D$1872,$B135,'июль 2024'!$J$4:$J$1872,F$1)</f>
        <v>0</v>
      </c>
      <c r="G135" s="80">
        <f>SUMIFS('июль 2024'!$G$4:$G$1872,'июль 2024'!$D$4:$D$1872,$B135,'июль 2024'!$J$4:$J$1872,G$1)</f>
        <v>0</v>
      </c>
      <c r="H135" s="80">
        <f>SUMIFS('июль 2024'!$G$4:$G$1872,'июль 2024'!$D$4:$D$1872,$B135,'июль 2024'!$J$4:$J$1872,H$1)</f>
        <v>0</v>
      </c>
      <c r="I135" s="80">
        <f>SUMIFS('июль 2024'!$G$4:$G$1872,'июль 2024'!$D$4:$D$1872,$B135,'июль 2024'!$J$4:$J$1872,I$1)</f>
        <v>0</v>
      </c>
      <c r="J135" s="80">
        <f>SUMIFS('июль 2024'!$G$4:$G$1872,'июль 2024'!$D$4:$D$1872,$B135,'июль 2024'!$J$4:$J$1872,J$1)</f>
        <v>0</v>
      </c>
      <c r="K135" s="80">
        <f>SUMIFS('июль 2024'!$G$4:$G$1872,'июль 2024'!$D$4:$D$1872,$B135,'июль 2024'!$J$4:$J$1872,K$1)</f>
        <v>0</v>
      </c>
      <c r="L135" s="80">
        <f>SUMIFS('июль 2024'!$G$4:$G$1872,'июль 2024'!$D$4:$D$1872,$B135,'июль 2024'!$J$4:$J$1872,L$1)</f>
        <v>0</v>
      </c>
      <c r="M135" s="80">
        <f>SUMIFS('июль 2024'!$G$4:$G$1872,'июль 2024'!$D$4:$D$1872,$B135,'июль 2024'!$J$4:$J$1872,M$1)</f>
        <v>0</v>
      </c>
      <c r="N135" s="80">
        <f>SUMIFS('июль 2024'!$G$4:$G$1872,'июль 2024'!$D$4:$D$1872,$B135,'июль 2024'!$J$4:$J$1872,N$1)</f>
        <v>0</v>
      </c>
      <c r="O135" s="80">
        <f>SUMIFS('июль 2024'!$G$4:$G$1872,'июль 2024'!$D$4:$D$1872,$B135,'июль 2024'!$J$4:$J$1872,O$1)</f>
        <v>0</v>
      </c>
      <c r="P135" s="80">
        <f>SUMIFS('июль 2024'!$G$4:$G$1872,'июль 2024'!$D$4:$D$1872,$B135,'июль 2024'!$J$4:$J$1872,P$1)</f>
        <v>0</v>
      </c>
      <c r="Q135" s="80">
        <f>SUMIFS('июль 2024'!$G$4:$G$1872,'июль 2024'!$D$4:$D$1872,$B135,'июль 2024'!$J$4:$J$1872,Q$1)</f>
        <v>0</v>
      </c>
      <c r="R135" s="80">
        <f>SUMIFS('июль 2024'!$G$4:$G$1872,'июль 2024'!$D$4:$D$1872,$B135,'июль 2024'!$J$4:$J$1872,R$1)</f>
        <v>0</v>
      </c>
      <c r="S135" s="80">
        <f>SUMIFS('июль 2024'!$G$4:$G$1872,'июль 2024'!$D$4:$D$1872,$B135,'июль 2024'!$J$4:$J$1872,S$1)</f>
        <v>0</v>
      </c>
      <c r="T135" s="80">
        <f>SUMIFS('июль 2024'!$G$4:$G$1872,'июль 2024'!$D$4:$D$1872,$B135,'июль 2024'!$J$4:$J$1872,T$1)</f>
        <v>0</v>
      </c>
      <c r="U135" s="80">
        <f>SUMIFS('июль 2024'!$G$4:$G$1872,'июль 2024'!$D$4:$D$1872,$B135,'июль 2024'!$J$4:$J$1872,U$1)</f>
        <v>0</v>
      </c>
      <c r="V135" s="80">
        <f>SUMIFS('июль 2024'!$G$4:$G$1872,'июль 2024'!$D$4:$D$1872,$B135,'июль 2024'!$J$4:$J$1872,V$1)</f>
        <v>0</v>
      </c>
      <c r="W135" s="80">
        <f>SUMIFS('июль 2024'!$G$4:$G$1872,'июль 2024'!$D$4:$D$1872,$B135,'июль 2024'!$J$4:$J$1872,W$1)</f>
        <v>0</v>
      </c>
      <c r="X135" s="80">
        <f>SUMIFS('июль 2024'!$G$4:$G$1872,'июль 2024'!$D$4:$D$1872,$B135,'июль 2024'!$J$4:$J$1872,X$1)</f>
        <v>0</v>
      </c>
      <c r="Y135" s="80">
        <f>SUMIFS('июль 2024'!$G$4:$G$1872,'июль 2024'!$D$4:$D$1872,$B135,'июль 2024'!$J$4:$J$1872,Y$1)</f>
        <v>0</v>
      </c>
      <c r="Z135" s="80">
        <f>SUMIFS('июль 2024'!$G$4:$G$1872,'июль 2024'!$D$4:$D$1872,$B135,'июль 2024'!$J$4:$J$1872,Z$1)</f>
        <v>0</v>
      </c>
      <c r="AA135" s="80">
        <f>SUMIFS('июль 2024'!$G$4:$G$1872,'июль 2024'!$D$4:$D$1872,$B135,'июль 2024'!$J$4:$J$1872,AA$1)</f>
        <v>0</v>
      </c>
      <c r="AB135" s="80">
        <f>SUMIFS('июль 2024'!$G$4:$G$1872,'июль 2024'!$D$4:$D$1872,$B135,'июль 2024'!$J$4:$J$1872,AB$1)</f>
        <v>0</v>
      </c>
      <c r="AC135" s="80">
        <f>SUMIFS('июль 2024'!$G$4:$G$1872,'июль 2024'!$D$4:$D$1872,$B135,'июль 2024'!$J$4:$J$1872,AC$1)</f>
        <v>0</v>
      </c>
      <c r="AD135" s="80">
        <f>SUMIFS('июль 2024'!$G$4:$G$1872,'июль 2024'!$D$4:$D$1872,$B135,'июль 2024'!$J$4:$J$1872,AD$1)</f>
        <v>0</v>
      </c>
      <c r="AE135" s="80">
        <f>SUMIFS('июль 2024'!$G$4:$G$1872,'июль 2024'!$D$4:$D$1872,$B135,'июль 2024'!$J$4:$J$1872,AE$1)</f>
        <v>0</v>
      </c>
      <c r="AF135" s="80">
        <f>SUMIFS('июль 2024'!$G$4:$G$1872,'июль 2024'!$D$4:$D$1872,$B135,'июль 2024'!$J$4:$J$1872,AF$1)</f>
        <v>0</v>
      </c>
      <c r="AG135" s="80">
        <f>SUMIFS('июль 2024'!$G$4:$G$1872,'июль 2024'!$D$4:$D$1872,$B135,'июль 2024'!$J$4:$J$1872,AG$1)</f>
        <v>0</v>
      </c>
      <c r="AH135" s="80">
        <f>SUMIFS('июль 2024'!$G$4:$G$1872,'июль 2024'!$D$4:$D$1872,$B135,'июль 2024'!$J$4:$J$1872,AH$1)</f>
        <v>0</v>
      </c>
      <c r="AI135" s="21">
        <f t="shared" si="1"/>
        <v>0</v>
      </c>
    </row>
    <row r="136" spans="2:35" ht="15" customHeight="1" x14ac:dyDescent="0.25">
      <c r="B136" s="89" t="s">
        <v>341</v>
      </c>
      <c r="C136" s="88">
        <v>200</v>
      </c>
      <c r="D136" s="80">
        <f>SUMIFS('июль 2024'!$G$4:$G$1872,'июль 2024'!$D$4:$D$1872,$B136,'июль 2024'!$J$4:$J$1872,D$1)</f>
        <v>0</v>
      </c>
      <c r="E136" s="80">
        <f>SUMIFS('июль 2024'!$G$4:$G$1872,'июль 2024'!$D$4:$D$1872,$B136,'июль 2024'!$J$4:$J$1872,E$1)</f>
        <v>0</v>
      </c>
      <c r="F136" s="80">
        <f>SUMIFS('июль 2024'!$G$4:$G$1872,'июль 2024'!$D$4:$D$1872,$B136,'июль 2024'!$J$4:$J$1872,F$1)</f>
        <v>0</v>
      </c>
      <c r="G136" s="80">
        <f>SUMIFS('июль 2024'!$G$4:$G$1872,'июль 2024'!$D$4:$D$1872,$B136,'июль 2024'!$J$4:$J$1872,G$1)</f>
        <v>0</v>
      </c>
      <c r="H136" s="80">
        <f>SUMIFS('июль 2024'!$G$4:$G$1872,'июль 2024'!$D$4:$D$1872,$B136,'июль 2024'!$J$4:$J$1872,H$1)</f>
        <v>0</v>
      </c>
      <c r="I136" s="80">
        <f>SUMIFS('июль 2024'!$G$4:$G$1872,'июль 2024'!$D$4:$D$1872,$B136,'июль 2024'!$J$4:$J$1872,I$1)</f>
        <v>0</v>
      </c>
      <c r="J136" s="80">
        <f>SUMIFS('июль 2024'!$G$4:$G$1872,'июль 2024'!$D$4:$D$1872,$B136,'июль 2024'!$J$4:$J$1872,J$1)</f>
        <v>0</v>
      </c>
      <c r="K136" s="80">
        <f>SUMIFS('июль 2024'!$G$4:$G$1872,'июль 2024'!$D$4:$D$1872,$B136,'июль 2024'!$J$4:$J$1872,K$1)</f>
        <v>0</v>
      </c>
      <c r="L136" s="80">
        <f>SUMIFS('июль 2024'!$G$4:$G$1872,'июль 2024'!$D$4:$D$1872,$B136,'июль 2024'!$J$4:$J$1872,L$1)</f>
        <v>0</v>
      </c>
      <c r="M136" s="80">
        <f>SUMIFS('июль 2024'!$G$4:$G$1872,'июль 2024'!$D$4:$D$1872,$B136,'июль 2024'!$J$4:$J$1872,M$1)</f>
        <v>0</v>
      </c>
      <c r="N136" s="80">
        <f>SUMIFS('июль 2024'!$G$4:$G$1872,'июль 2024'!$D$4:$D$1872,$B136,'июль 2024'!$J$4:$J$1872,N$1)</f>
        <v>0</v>
      </c>
      <c r="O136" s="80">
        <f>SUMIFS('июль 2024'!$G$4:$G$1872,'июль 2024'!$D$4:$D$1872,$B136,'июль 2024'!$J$4:$J$1872,O$1)</f>
        <v>0</v>
      </c>
      <c r="P136" s="80">
        <f>SUMIFS('июль 2024'!$G$4:$G$1872,'июль 2024'!$D$4:$D$1872,$B136,'июль 2024'!$J$4:$J$1872,P$1)</f>
        <v>0</v>
      </c>
      <c r="Q136" s="80">
        <f>SUMIFS('июль 2024'!$G$4:$G$1872,'июль 2024'!$D$4:$D$1872,$B136,'июль 2024'!$J$4:$J$1872,Q$1)</f>
        <v>0</v>
      </c>
      <c r="R136" s="80">
        <f>SUMIFS('июль 2024'!$G$4:$G$1872,'июль 2024'!$D$4:$D$1872,$B136,'июль 2024'!$J$4:$J$1872,R$1)</f>
        <v>0</v>
      </c>
      <c r="S136" s="80">
        <f>SUMIFS('июль 2024'!$G$4:$G$1872,'июль 2024'!$D$4:$D$1872,$B136,'июль 2024'!$J$4:$J$1872,S$1)</f>
        <v>0</v>
      </c>
      <c r="T136" s="80">
        <f>SUMIFS('июль 2024'!$G$4:$G$1872,'июль 2024'!$D$4:$D$1872,$B136,'июль 2024'!$J$4:$J$1872,T$1)</f>
        <v>0</v>
      </c>
      <c r="U136" s="80">
        <f>SUMIFS('июль 2024'!$G$4:$G$1872,'июль 2024'!$D$4:$D$1872,$B136,'июль 2024'!$J$4:$J$1872,U$1)</f>
        <v>0</v>
      </c>
      <c r="V136" s="80">
        <f>SUMIFS('июль 2024'!$G$4:$G$1872,'июль 2024'!$D$4:$D$1872,$B136,'июль 2024'!$J$4:$J$1872,V$1)</f>
        <v>0</v>
      </c>
      <c r="W136" s="80">
        <f>SUMIFS('июль 2024'!$G$4:$G$1872,'июль 2024'!$D$4:$D$1872,$B136,'июль 2024'!$J$4:$J$1872,W$1)</f>
        <v>0</v>
      </c>
      <c r="X136" s="80">
        <f>SUMIFS('июль 2024'!$G$4:$G$1872,'июль 2024'!$D$4:$D$1872,$B136,'июль 2024'!$J$4:$J$1872,X$1)</f>
        <v>0</v>
      </c>
      <c r="Y136" s="80">
        <f>SUMIFS('июль 2024'!$G$4:$G$1872,'июль 2024'!$D$4:$D$1872,$B136,'июль 2024'!$J$4:$J$1872,Y$1)</f>
        <v>0</v>
      </c>
      <c r="Z136" s="80">
        <f>SUMIFS('июль 2024'!$G$4:$G$1872,'июль 2024'!$D$4:$D$1872,$B136,'июль 2024'!$J$4:$J$1872,Z$1)</f>
        <v>0</v>
      </c>
      <c r="AA136" s="80">
        <f>SUMIFS('июль 2024'!$G$4:$G$1872,'июль 2024'!$D$4:$D$1872,$B136,'июль 2024'!$J$4:$J$1872,AA$1)</f>
        <v>0</v>
      </c>
      <c r="AB136" s="80">
        <f>SUMIFS('июль 2024'!$G$4:$G$1872,'июль 2024'!$D$4:$D$1872,$B136,'июль 2024'!$J$4:$J$1872,AB$1)</f>
        <v>0</v>
      </c>
      <c r="AC136" s="80">
        <f>SUMIFS('июль 2024'!$G$4:$G$1872,'июль 2024'!$D$4:$D$1872,$B136,'июль 2024'!$J$4:$J$1872,AC$1)</f>
        <v>0</v>
      </c>
      <c r="AD136" s="80">
        <f>SUMIFS('июль 2024'!$G$4:$G$1872,'июль 2024'!$D$4:$D$1872,$B136,'июль 2024'!$J$4:$J$1872,AD$1)</f>
        <v>0</v>
      </c>
      <c r="AE136" s="80">
        <f>SUMIFS('июль 2024'!$G$4:$G$1872,'июль 2024'!$D$4:$D$1872,$B136,'июль 2024'!$J$4:$J$1872,AE$1)</f>
        <v>0</v>
      </c>
      <c r="AF136" s="80">
        <f>SUMIFS('июль 2024'!$G$4:$G$1872,'июль 2024'!$D$4:$D$1872,$B136,'июль 2024'!$J$4:$J$1872,AF$1)</f>
        <v>0</v>
      </c>
      <c r="AG136" s="80">
        <f>SUMIFS('июль 2024'!$G$4:$G$1872,'июль 2024'!$D$4:$D$1872,$B136,'июль 2024'!$J$4:$J$1872,AG$1)</f>
        <v>0</v>
      </c>
      <c r="AH136" s="80">
        <f>SUMIFS('июль 2024'!$G$4:$G$1872,'июль 2024'!$D$4:$D$1872,$B136,'июль 2024'!$J$4:$J$1872,AH$1)</f>
        <v>0</v>
      </c>
      <c r="AI136" s="21">
        <f t="shared" si="1"/>
        <v>0</v>
      </c>
    </row>
    <row r="137" spans="2:35" ht="15" customHeight="1" x14ac:dyDescent="0.25">
      <c r="B137" s="89" t="s">
        <v>337</v>
      </c>
      <c r="C137" s="88">
        <v>200</v>
      </c>
      <c r="D137" s="80">
        <f>SUMIFS('июль 2024'!$G$4:$G$1872,'июль 2024'!$D$4:$D$1872,$B137,'июль 2024'!$J$4:$J$1872,D$1)</f>
        <v>0</v>
      </c>
      <c r="E137" s="80">
        <f>SUMIFS('июль 2024'!$G$4:$G$1872,'июль 2024'!$D$4:$D$1872,$B137,'июль 2024'!$J$4:$J$1872,E$1)</f>
        <v>0</v>
      </c>
      <c r="F137" s="80">
        <f>SUMIFS('июль 2024'!$G$4:$G$1872,'июль 2024'!$D$4:$D$1872,$B137,'июль 2024'!$J$4:$J$1872,F$1)</f>
        <v>0</v>
      </c>
      <c r="G137" s="80">
        <f>SUMIFS('июль 2024'!$G$4:$G$1872,'июль 2024'!$D$4:$D$1872,$B137,'июль 2024'!$J$4:$J$1872,G$1)</f>
        <v>0</v>
      </c>
      <c r="H137" s="80">
        <f>SUMIFS('июль 2024'!$G$4:$G$1872,'июль 2024'!$D$4:$D$1872,$B137,'июль 2024'!$J$4:$J$1872,H$1)</f>
        <v>0</v>
      </c>
      <c r="I137" s="80">
        <f>SUMIFS('июль 2024'!$G$4:$G$1872,'июль 2024'!$D$4:$D$1872,$B137,'июль 2024'!$J$4:$J$1872,I$1)</f>
        <v>0</v>
      </c>
      <c r="J137" s="80">
        <f>SUMIFS('июль 2024'!$G$4:$G$1872,'июль 2024'!$D$4:$D$1872,$B137,'июль 2024'!$J$4:$J$1872,J$1)</f>
        <v>0</v>
      </c>
      <c r="K137" s="80">
        <f>SUMIFS('июль 2024'!$G$4:$G$1872,'июль 2024'!$D$4:$D$1872,$B137,'июль 2024'!$J$4:$J$1872,K$1)</f>
        <v>0</v>
      </c>
      <c r="L137" s="80">
        <f>SUMIFS('июль 2024'!$G$4:$G$1872,'июль 2024'!$D$4:$D$1872,$B137,'июль 2024'!$J$4:$J$1872,L$1)</f>
        <v>0</v>
      </c>
      <c r="M137" s="80">
        <f>SUMIFS('июль 2024'!$G$4:$G$1872,'июль 2024'!$D$4:$D$1872,$B137,'июль 2024'!$J$4:$J$1872,M$1)</f>
        <v>0</v>
      </c>
      <c r="N137" s="80">
        <f>SUMIFS('июль 2024'!$G$4:$G$1872,'июль 2024'!$D$4:$D$1872,$B137,'июль 2024'!$J$4:$J$1872,N$1)</f>
        <v>0</v>
      </c>
      <c r="O137" s="80">
        <f>SUMIFS('июль 2024'!$G$4:$G$1872,'июль 2024'!$D$4:$D$1872,$B137,'июль 2024'!$J$4:$J$1872,O$1)</f>
        <v>0</v>
      </c>
      <c r="P137" s="80">
        <f>SUMIFS('июль 2024'!$G$4:$G$1872,'июль 2024'!$D$4:$D$1872,$B137,'июль 2024'!$J$4:$J$1872,P$1)</f>
        <v>0</v>
      </c>
      <c r="Q137" s="80">
        <f>SUMIFS('июль 2024'!$G$4:$G$1872,'июль 2024'!$D$4:$D$1872,$B137,'июль 2024'!$J$4:$J$1872,Q$1)</f>
        <v>0</v>
      </c>
      <c r="R137" s="80">
        <f>SUMIFS('июль 2024'!$G$4:$G$1872,'июль 2024'!$D$4:$D$1872,$B137,'июль 2024'!$J$4:$J$1872,R$1)</f>
        <v>0</v>
      </c>
      <c r="S137" s="80">
        <f>SUMIFS('июль 2024'!$G$4:$G$1872,'июль 2024'!$D$4:$D$1872,$B137,'июль 2024'!$J$4:$J$1872,S$1)</f>
        <v>0</v>
      </c>
      <c r="T137" s="80">
        <f>SUMIFS('июль 2024'!$G$4:$G$1872,'июль 2024'!$D$4:$D$1872,$B137,'июль 2024'!$J$4:$J$1872,T$1)</f>
        <v>0</v>
      </c>
      <c r="U137" s="80">
        <f>SUMIFS('июль 2024'!$G$4:$G$1872,'июль 2024'!$D$4:$D$1872,$B137,'июль 2024'!$J$4:$J$1872,U$1)</f>
        <v>0</v>
      </c>
      <c r="V137" s="80">
        <f>SUMIFS('июль 2024'!$G$4:$G$1872,'июль 2024'!$D$4:$D$1872,$B137,'июль 2024'!$J$4:$J$1872,V$1)</f>
        <v>0</v>
      </c>
      <c r="W137" s="80">
        <f>SUMIFS('июль 2024'!$G$4:$G$1872,'июль 2024'!$D$4:$D$1872,$B137,'июль 2024'!$J$4:$J$1872,W$1)</f>
        <v>0</v>
      </c>
      <c r="X137" s="80">
        <f>SUMIFS('июль 2024'!$G$4:$G$1872,'июль 2024'!$D$4:$D$1872,$B137,'июль 2024'!$J$4:$J$1872,X$1)</f>
        <v>0</v>
      </c>
      <c r="Y137" s="80">
        <f>SUMIFS('июль 2024'!$G$4:$G$1872,'июль 2024'!$D$4:$D$1872,$B137,'июль 2024'!$J$4:$J$1872,Y$1)</f>
        <v>0</v>
      </c>
      <c r="Z137" s="80">
        <f>SUMIFS('июль 2024'!$G$4:$G$1872,'июль 2024'!$D$4:$D$1872,$B137,'июль 2024'!$J$4:$J$1872,Z$1)</f>
        <v>0</v>
      </c>
      <c r="AA137" s="80">
        <f>SUMIFS('июль 2024'!$G$4:$G$1872,'июль 2024'!$D$4:$D$1872,$B137,'июль 2024'!$J$4:$J$1872,AA$1)</f>
        <v>0</v>
      </c>
      <c r="AB137" s="80">
        <f>SUMIFS('июль 2024'!$G$4:$G$1872,'июль 2024'!$D$4:$D$1872,$B137,'июль 2024'!$J$4:$J$1872,AB$1)</f>
        <v>0</v>
      </c>
      <c r="AC137" s="80">
        <f>SUMIFS('июль 2024'!$G$4:$G$1872,'июль 2024'!$D$4:$D$1872,$B137,'июль 2024'!$J$4:$J$1872,AC$1)</f>
        <v>0</v>
      </c>
      <c r="AD137" s="80">
        <f>SUMIFS('июль 2024'!$G$4:$G$1872,'июль 2024'!$D$4:$D$1872,$B137,'июль 2024'!$J$4:$J$1872,AD$1)</f>
        <v>0</v>
      </c>
      <c r="AE137" s="80">
        <f>SUMIFS('июль 2024'!$G$4:$G$1872,'июль 2024'!$D$4:$D$1872,$B137,'июль 2024'!$J$4:$J$1872,AE$1)</f>
        <v>0</v>
      </c>
      <c r="AF137" s="80">
        <f>SUMIFS('июль 2024'!$G$4:$G$1872,'июль 2024'!$D$4:$D$1872,$B137,'июль 2024'!$J$4:$J$1872,AF$1)</f>
        <v>0</v>
      </c>
      <c r="AG137" s="80">
        <f>SUMIFS('июль 2024'!$G$4:$G$1872,'июль 2024'!$D$4:$D$1872,$B137,'июль 2024'!$J$4:$J$1872,AG$1)</f>
        <v>0</v>
      </c>
      <c r="AH137" s="80">
        <f>SUMIFS('июль 2024'!$G$4:$G$1872,'июль 2024'!$D$4:$D$1872,$B137,'июль 2024'!$J$4:$J$1872,AH$1)</f>
        <v>0</v>
      </c>
      <c r="AI137" s="21">
        <f t="shared" si="1"/>
        <v>0</v>
      </c>
    </row>
    <row r="138" spans="2:35" ht="15" customHeight="1" x14ac:dyDescent="0.25">
      <c r="B138" s="89" t="s">
        <v>338</v>
      </c>
      <c r="C138" s="88">
        <v>200</v>
      </c>
      <c r="D138" s="80">
        <f>SUMIFS('июль 2024'!$G$4:$G$1872,'июль 2024'!$D$4:$D$1872,$B138,'июль 2024'!$J$4:$J$1872,D$1)</f>
        <v>0</v>
      </c>
      <c r="E138" s="80">
        <f>SUMIFS('июль 2024'!$G$4:$G$1872,'июль 2024'!$D$4:$D$1872,$B138,'июль 2024'!$J$4:$J$1872,E$1)</f>
        <v>0</v>
      </c>
      <c r="F138" s="80">
        <f>SUMIFS('июль 2024'!$G$4:$G$1872,'июль 2024'!$D$4:$D$1872,$B138,'июль 2024'!$J$4:$J$1872,F$1)</f>
        <v>0</v>
      </c>
      <c r="G138" s="80">
        <f>SUMIFS('июль 2024'!$G$4:$G$1872,'июль 2024'!$D$4:$D$1872,$B138,'июль 2024'!$J$4:$J$1872,G$1)</f>
        <v>0</v>
      </c>
      <c r="H138" s="80">
        <f>SUMIFS('июль 2024'!$G$4:$G$1872,'июль 2024'!$D$4:$D$1872,$B138,'июль 2024'!$J$4:$J$1872,H$1)</f>
        <v>0</v>
      </c>
      <c r="I138" s="80">
        <f>SUMIFS('июль 2024'!$G$4:$G$1872,'июль 2024'!$D$4:$D$1872,$B138,'июль 2024'!$J$4:$J$1872,I$1)</f>
        <v>0</v>
      </c>
      <c r="J138" s="80">
        <f>SUMIFS('июль 2024'!$G$4:$G$1872,'июль 2024'!$D$4:$D$1872,$B138,'июль 2024'!$J$4:$J$1872,J$1)</f>
        <v>0</v>
      </c>
      <c r="K138" s="80">
        <f>SUMIFS('июль 2024'!$G$4:$G$1872,'июль 2024'!$D$4:$D$1872,$B138,'июль 2024'!$J$4:$J$1872,K$1)</f>
        <v>0</v>
      </c>
      <c r="L138" s="80">
        <f>SUMIFS('июль 2024'!$G$4:$G$1872,'июль 2024'!$D$4:$D$1872,$B138,'июль 2024'!$J$4:$J$1872,L$1)</f>
        <v>0</v>
      </c>
      <c r="M138" s="80">
        <f>SUMIFS('июль 2024'!$G$4:$G$1872,'июль 2024'!$D$4:$D$1872,$B138,'июль 2024'!$J$4:$J$1872,M$1)</f>
        <v>0</v>
      </c>
      <c r="N138" s="80">
        <f>SUMIFS('июль 2024'!$G$4:$G$1872,'июль 2024'!$D$4:$D$1872,$B138,'июль 2024'!$J$4:$J$1872,N$1)</f>
        <v>0</v>
      </c>
      <c r="O138" s="80">
        <f>SUMIFS('июль 2024'!$G$4:$G$1872,'июль 2024'!$D$4:$D$1872,$B138,'июль 2024'!$J$4:$J$1872,O$1)</f>
        <v>0</v>
      </c>
      <c r="P138" s="80">
        <f>SUMIFS('июль 2024'!$G$4:$G$1872,'июль 2024'!$D$4:$D$1872,$B138,'июль 2024'!$J$4:$J$1872,P$1)</f>
        <v>0</v>
      </c>
      <c r="Q138" s="80">
        <f>SUMIFS('июль 2024'!$G$4:$G$1872,'июль 2024'!$D$4:$D$1872,$B138,'июль 2024'!$J$4:$J$1872,Q$1)</f>
        <v>0</v>
      </c>
      <c r="R138" s="80">
        <f>SUMIFS('июль 2024'!$G$4:$G$1872,'июль 2024'!$D$4:$D$1872,$B138,'июль 2024'!$J$4:$J$1872,R$1)</f>
        <v>0</v>
      </c>
      <c r="S138" s="80">
        <f>SUMIFS('июль 2024'!$G$4:$G$1872,'июль 2024'!$D$4:$D$1872,$B138,'июль 2024'!$J$4:$J$1872,S$1)</f>
        <v>0</v>
      </c>
      <c r="T138" s="80">
        <f>SUMIFS('июль 2024'!$G$4:$G$1872,'июль 2024'!$D$4:$D$1872,$B138,'июль 2024'!$J$4:$J$1872,T$1)</f>
        <v>0</v>
      </c>
      <c r="U138" s="80">
        <f>SUMIFS('июль 2024'!$G$4:$G$1872,'июль 2024'!$D$4:$D$1872,$B138,'июль 2024'!$J$4:$J$1872,U$1)</f>
        <v>0</v>
      </c>
      <c r="V138" s="80">
        <f>SUMIFS('июль 2024'!$G$4:$G$1872,'июль 2024'!$D$4:$D$1872,$B138,'июль 2024'!$J$4:$J$1872,V$1)</f>
        <v>0</v>
      </c>
      <c r="W138" s="80">
        <f>SUMIFS('июль 2024'!$G$4:$G$1872,'июль 2024'!$D$4:$D$1872,$B138,'июль 2024'!$J$4:$J$1872,W$1)</f>
        <v>0</v>
      </c>
      <c r="X138" s="80">
        <f>SUMIFS('июль 2024'!$G$4:$G$1872,'июль 2024'!$D$4:$D$1872,$B138,'июль 2024'!$J$4:$J$1872,X$1)</f>
        <v>0</v>
      </c>
      <c r="Y138" s="80">
        <f>SUMIFS('июль 2024'!$G$4:$G$1872,'июль 2024'!$D$4:$D$1872,$B138,'июль 2024'!$J$4:$J$1872,Y$1)</f>
        <v>0</v>
      </c>
      <c r="Z138" s="80">
        <f>SUMIFS('июль 2024'!$G$4:$G$1872,'июль 2024'!$D$4:$D$1872,$B138,'июль 2024'!$J$4:$J$1872,Z$1)</f>
        <v>0</v>
      </c>
      <c r="AA138" s="80">
        <f>SUMIFS('июль 2024'!$G$4:$G$1872,'июль 2024'!$D$4:$D$1872,$B138,'июль 2024'!$J$4:$J$1872,AA$1)</f>
        <v>0</v>
      </c>
      <c r="AB138" s="80">
        <f>SUMIFS('июль 2024'!$G$4:$G$1872,'июль 2024'!$D$4:$D$1872,$B138,'июль 2024'!$J$4:$J$1872,AB$1)</f>
        <v>0</v>
      </c>
      <c r="AC138" s="80">
        <f>SUMIFS('июль 2024'!$G$4:$G$1872,'июль 2024'!$D$4:$D$1872,$B138,'июль 2024'!$J$4:$J$1872,AC$1)</f>
        <v>0</v>
      </c>
      <c r="AD138" s="80">
        <f>SUMIFS('июль 2024'!$G$4:$G$1872,'июль 2024'!$D$4:$D$1872,$B138,'июль 2024'!$J$4:$J$1872,AD$1)</f>
        <v>0</v>
      </c>
      <c r="AE138" s="80">
        <f>SUMIFS('июль 2024'!$G$4:$G$1872,'июль 2024'!$D$4:$D$1872,$B138,'июль 2024'!$J$4:$J$1872,AE$1)</f>
        <v>0</v>
      </c>
      <c r="AF138" s="80">
        <f>SUMIFS('июль 2024'!$G$4:$G$1872,'июль 2024'!$D$4:$D$1872,$B138,'июль 2024'!$J$4:$J$1872,AF$1)</f>
        <v>0</v>
      </c>
      <c r="AG138" s="80">
        <f>SUMIFS('июль 2024'!$G$4:$G$1872,'июль 2024'!$D$4:$D$1872,$B138,'июль 2024'!$J$4:$J$1872,AG$1)</f>
        <v>0</v>
      </c>
      <c r="AH138" s="80">
        <f>SUMIFS('июль 2024'!$G$4:$G$1872,'июль 2024'!$D$4:$D$1872,$B138,'июль 2024'!$J$4:$J$1872,AH$1)</f>
        <v>0</v>
      </c>
      <c r="AI138" s="21">
        <f t="shared" si="1"/>
        <v>0</v>
      </c>
    </row>
    <row r="139" spans="2:35" ht="15" customHeight="1" x14ac:dyDescent="0.25">
      <c r="B139" s="89" t="s">
        <v>1441</v>
      </c>
      <c r="C139" s="88">
        <v>1000</v>
      </c>
      <c r="D139" s="80">
        <f>SUMIFS('июль 2024'!$G$4:$G$1872,'июль 2024'!$D$4:$D$1872,$B139,'июль 2024'!$J$4:$J$1872,D$1)</f>
        <v>0</v>
      </c>
      <c r="E139" s="80">
        <f>SUMIFS('июль 2024'!$G$4:$G$1872,'июль 2024'!$D$4:$D$1872,$B139,'июль 2024'!$J$4:$J$1872,E$1)</f>
        <v>0</v>
      </c>
      <c r="F139" s="80">
        <f>SUMIFS('июль 2024'!$G$4:$G$1872,'июль 2024'!$D$4:$D$1872,$B139,'июль 2024'!$J$4:$J$1872,F$1)</f>
        <v>0</v>
      </c>
      <c r="G139" s="80">
        <f>SUMIFS('июль 2024'!$G$4:$G$1872,'июль 2024'!$D$4:$D$1872,$B139,'июль 2024'!$J$4:$J$1872,G$1)</f>
        <v>0</v>
      </c>
      <c r="H139" s="80">
        <f>SUMIFS('июль 2024'!$G$4:$G$1872,'июль 2024'!$D$4:$D$1872,$B139,'июль 2024'!$J$4:$J$1872,H$1)</f>
        <v>0</v>
      </c>
      <c r="I139" s="80">
        <f>SUMIFS('июль 2024'!$G$4:$G$1872,'июль 2024'!$D$4:$D$1872,$B139,'июль 2024'!$J$4:$J$1872,I$1)</f>
        <v>0</v>
      </c>
      <c r="J139" s="80">
        <f>SUMIFS('июль 2024'!$G$4:$G$1872,'июль 2024'!$D$4:$D$1872,$B139,'июль 2024'!$J$4:$J$1872,J$1)</f>
        <v>0</v>
      </c>
      <c r="K139" s="80">
        <f>SUMIFS('июль 2024'!$G$4:$G$1872,'июль 2024'!$D$4:$D$1872,$B139,'июль 2024'!$J$4:$J$1872,K$1)</f>
        <v>0</v>
      </c>
      <c r="L139" s="80">
        <f>SUMIFS('июль 2024'!$G$4:$G$1872,'июль 2024'!$D$4:$D$1872,$B139,'июль 2024'!$J$4:$J$1872,L$1)</f>
        <v>0</v>
      </c>
      <c r="M139" s="80">
        <f>SUMIFS('июль 2024'!$G$4:$G$1872,'июль 2024'!$D$4:$D$1872,$B139,'июль 2024'!$J$4:$J$1872,M$1)</f>
        <v>0</v>
      </c>
      <c r="N139" s="80">
        <f>SUMIFS('июль 2024'!$G$4:$G$1872,'июль 2024'!$D$4:$D$1872,$B139,'июль 2024'!$J$4:$J$1872,N$1)</f>
        <v>0</v>
      </c>
      <c r="O139" s="80">
        <f>SUMIFS('июль 2024'!$G$4:$G$1872,'июль 2024'!$D$4:$D$1872,$B139,'июль 2024'!$J$4:$J$1872,O$1)</f>
        <v>0</v>
      </c>
      <c r="P139" s="80">
        <f>SUMIFS('июль 2024'!$G$4:$G$1872,'июль 2024'!$D$4:$D$1872,$B139,'июль 2024'!$J$4:$J$1872,P$1)</f>
        <v>0</v>
      </c>
      <c r="Q139" s="80">
        <f>SUMIFS('июль 2024'!$G$4:$G$1872,'июль 2024'!$D$4:$D$1872,$B139,'июль 2024'!$J$4:$J$1872,Q$1)</f>
        <v>0</v>
      </c>
      <c r="R139" s="80">
        <f>SUMIFS('июль 2024'!$G$4:$G$1872,'июль 2024'!$D$4:$D$1872,$B139,'июль 2024'!$J$4:$J$1872,R$1)</f>
        <v>0</v>
      </c>
      <c r="S139" s="80">
        <f>SUMIFS('июль 2024'!$G$4:$G$1872,'июль 2024'!$D$4:$D$1872,$B139,'июль 2024'!$J$4:$J$1872,S$1)</f>
        <v>0</v>
      </c>
      <c r="T139" s="80">
        <f>SUMIFS('июль 2024'!$G$4:$G$1872,'июль 2024'!$D$4:$D$1872,$B139,'июль 2024'!$J$4:$J$1872,T$1)</f>
        <v>0</v>
      </c>
      <c r="U139" s="80">
        <f>SUMIFS('июль 2024'!$G$4:$G$1872,'июль 2024'!$D$4:$D$1872,$B139,'июль 2024'!$J$4:$J$1872,U$1)</f>
        <v>0</v>
      </c>
      <c r="V139" s="80">
        <f>SUMIFS('июль 2024'!$G$4:$G$1872,'июль 2024'!$D$4:$D$1872,$B139,'июль 2024'!$J$4:$J$1872,V$1)</f>
        <v>0</v>
      </c>
      <c r="W139" s="80">
        <f>SUMIFS('июль 2024'!$G$4:$G$1872,'июль 2024'!$D$4:$D$1872,$B139,'июль 2024'!$J$4:$J$1872,W$1)</f>
        <v>0</v>
      </c>
      <c r="X139" s="80">
        <f>SUMIFS('июль 2024'!$G$4:$G$1872,'июль 2024'!$D$4:$D$1872,$B139,'июль 2024'!$J$4:$J$1872,X$1)</f>
        <v>0</v>
      </c>
      <c r="Y139" s="80">
        <f>SUMIFS('июль 2024'!$G$4:$G$1872,'июль 2024'!$D$4:$D$1872,$B139,'июль 2024'!$J$4:$J$1872,Y$1)</f>
        <v>0</v>
      </c>
      <c r="Z139" s="80">
        <f>SUMIFS('июль 2024'!$G$4:$G$1872,'июль 2024'!$D$4:$D$1872,$B139,'июль 2024'!$J$4:$J$1872,Z$1)</f>
        <v>0</v>
      </c>
      <c r="AA139" s="80">
        <f>SUMIFS('июль 2024'!$G$4:$G$1872,'июль 2024'!$D$4:$D$1872,$B139,'июль 2024'!$J$4:$J$1872,AA$1)</f>
        <v>1</v>
      </c>
      <c r="AB139" s="80">
        <f>SUMIFS('июль 2024'!$G$4:$G$1872,'июль 2024'!$D$4:$D$1872,$B139,'июль 2024'!$J$4:$J$1872,AB$1)</f>
        <v>0</v>
      </c>
      <c r="AC139" s="80">
        <f>SUMIFS('июль 2024'!$G$4:$G$1872,'июль 2024'!$D$4:$D$1872,$B139,'июль 2024'!$J$4:$J$1872,AC$1)</f>
        <v>0</v>
      </c>
      <c r="AD139" s="80">
        <f>SUMIFS('июль 2024'!$G$4:$G$1872,'июль 2024'!$D$4:$D$1872,$B139,'июль 2024'!$J$4:$J$1872,AD$1)</f>
        <v>0</v>
      </c>
      <c r="AE139" s="80">
        <f>SUMIFS('июль 2024'!$G$4:$G$1872,'июль 2024'!$D$4:$D$1872,$B139,'июль 2024'!$J$4:$J$1872,AE$1)</f>
        <v>0</v>
      </c>
      <c r="AF139" s="80">
        <f>SUMIFS('июль 2024'!$G$4:$G$1872,'июль 2024'!$D$4:$D$1872,$B139,'июль 2024'!$J$4:$J$1872,AF$1)</f>
        <v>0</v>
      </c>
      <c r="AG139" s="80">
        <f>SUMIFS('июль 2024'!$G$4:$G$1872,'июль 2024'!$D$4:$D$1872,$B139,'июль 2024'!$J$4:$J$1872,AG$1)</f>
        <v>0</v>
      </c>
      <c r="AH139" s="80">
        <f>SUMIFS('июль 2024'!$G$4:$G$1872,'июль 2024'!$D$4:$D$1872,$B139,'июль 2024'!$J$4:$J$1872,AH$1)</f>
        <v>0</v>
      </c>
      <c r="AI139" s="21">
        <f>SUM(D139:AH139)</f>
        <v>1</v>
      </c>
    </row>
    <row r="140" spans="2:35" ht="15" customHeight="1" x14ac:dyDescent="0.25">
      <c r="B140" s="89" t="s">
        <v>211</v>
      </c>
      <c r="C140" s="88">
        <v>200</v>
      </c>
      <c r="D140" s="80">
        <f>SUMIFS('июль 2024'!$G$4:$G$1872,'июль 2024'!$D$4:$D$1872,$B140,'июль 2024'!$J$4:$J$1872,D$1)</f>
        <v>0</v>
      </c>
      <c r="E140" s="80">
        <f>SUMIFS('июль 2024'!$G$4:$G$1872,'июль 2024'!$D$4:$D$1872,$B140,'июль 2024'!$J$4:$J$1872,E$1)</f>
        <v>0</v>
      </c>
      <c r="F140" s="80">
        <f>SUMIFS('июль 2024'!$G$4:$G$1872,'июль 2024'!$D$4:$D$1872,$B140,'июль 2024'!$J$4:$J$1872,F$1)</f>
        <v>0</v>
      </c>
      <c r="G140" s="80">
        <f>SUMIFS('июль 2024'!$G$4:$G$1872,'июль 2024'!$D$4:$D$1872,$B140,'июль 2024'!$J$4:$J$1872,G$1)</f>
        <v>0</v>
      </c>
      <c r="H140" s="80">
        <f>SUMIFS('июль 2024'!$G$4:$G$1872,'июль 2024'!$D$4:$D$1872,$B140,'июль 2024'!$J$4:$J$1872,H$1)</f>
        <v>0</v>
      </c>
      <c r="I140" s="80">
        <f>SUMIFS('июль 2024'!$G$4:$G$1872,'июль 2024'!$D$4:$D$1872,$B140,'июль 2024'!$J$4:$J$1872,I$1)</f>
        <v>0</v>
      </c>
      <c r="J140" s="80">
        <f>SUMIFS('июль 2024'!$G$4:$G$1872,'июль 2024'!$D$4:$D$1872,$B140,'июль 2024'!$J$4:$J$1872,J$1)</f>
        <v>0</v>
      </c>
      <c r="K140" s="80">
        <f>SUMIFS('июль 2024'!$G$4:$G$1872,'июль 2024'!$D$4:$D$1872,$B140,'июль 2024'!$J$4:$J$1872,K$1)</f>
        <v>0</v>
      </c>
      <c r="L140" s="80">
        <f>SUMIFS('июль 2024'!$G$4:$G$1872,'июль 2024'!$D$4:$D$1872,$B140,'июль 2024'!$J$4:$J$1872,L$1)</f>
        <v>0</v>
      </c>
      <c r="M140" s="80">
        <f>SUMIFS('июль 2024'!$G$4:$G$1872,'июль 2024'!$D$4:$D$1872,$B140,'июль 2024'!$J$4:$J$1872,M$1)</f>
        <v>0</v>
      </c>
      <c r="N140" s="80">
        <f>SUMIFS('июль 2024'!$G$4:$G$1872,'июль 2024'!$D$4:$D$1872,$B140,'июль 2024'!$J$4:$J$1872,N$1)</f>
        <v>0</v>
      </c>
      <c r="O140" s="80">
        <f>SUMIFS('июль 2024'!$G$4:$G$1872,'июль 2024'!$D$4:$D$1872,$B140,'июль 2024'!$J$4:$J$1872,O$1)</f>
        <v>0</v>
      </c>
      <c r="P140" s="80">
        <f>SUMIFS('июль 2024'!$G$4:$G$1872,'июль 2024'!$D$4:$D$1872,$B140,'июль 2024'!$J$4:$J$1872,P$1)</f>
        <v>0</v>
      </c>
      <c r="Q140" s="80">
        <f>SUMIFS('июль 2024'!$G$4:$G$1872,'июль 2024'!$D$4:$D$1872,$B140,'июль 2024'!$J$4:$J$1872,Q$1)</f>
        <v>0</v>
      </c>
      <c r="R140" s="80">
        <f>SUMIFS('июль 2024'!$G$4:$G$1872,'июль 2024'!$D$4:$D$1872,$B140,'июль 2024'!$J$4:$J$1872,R$1)</f>
        <v>0</v>
      </c>
      <c r="S140" s="80">
        <f>SUMIFS('июль 2024'!$G$4:$G$1872,'июль 2024'!$D$4:$D$1872,$B140,'июль 2024'!$J$4:$J$1872,S$1)</f>
        <v>0</v>
      </c>
      <c r="T140" s="80">
        <f>SUMIFS('июль 2024'!$G$4:$G$1872,'июль 2024'!$D$4:$D$1872,$B140,'июль 2024'!$J$4:$J$1872,T$1)</f>
        <v>0</v>
      </c>
      <c r="U140" s="80">
        <f>SUMIFS('июль 2024'!$G$4:$G$1872,'июль 2024'!$D$4:$D$1872,$B140,'июль 2024'!$J$4:$J$1872,U$1)</f>
        <v>0</v>
      </c>
      <c r="V140" s="80">
        <f>SUMIFS('июль 2024'!$G$4:$G$1872,'июль 2024'!$D$4:$D$1872,$B140,'июль 2024'!$J$4:$J$1872,V$1)</f>
        <v>0</v>
      </c>
      <c r="W140" s="80">
        <f>SUMIFS('июль 2024'!$G$4:$G$1872,'июль 2024'!$D$4:$D$1872,$B140,'июль 2024'!$J$4:$J$1872,W$1)</f>
        <v>0</v>
      </c>
      <c r="X140" s="80">
        <f>SUMIFS('июль 2024'!$G$4:$G$1872,'июль 2024'!$D$4:$D$1872,$B140,'июль 2024'!$J$4:$J$1872,X$1)</f>
        <v>0</v>
      </c>
      <c r="Y140" s="80">
        <f>SUMIFS('июль 2024'!$G$4:$G$1872,'июль 2024'!$D$4:$D$1872,$B140,'июль 2024'!$J$4:$J$1872,Y$1)</f>
        <v>0</v>
      </c>
      <c r="Z140" s="80">
        <f>SUMIFS('июль 2024'!$G$4:$G$1872,'июль 2024'!$D$4:$D$1872,$B140,'июль 2024'!$J$4:$J$1872,Z$1)</f>
        <v>0</v>
      </c>
      <c r="AA140" s="80">
        <f>SUMIFS('июль 2024'!$G$4:$G$1872,'июль 2024'!$D$4:$D$1872,$B140,'июль 2024'!$J$4:$J$1872,AA$1)</f>
        <v>0</v>
      </c>
      <c r="AB140" s="80">
        <f>SUMIFS('июль 2024'!$G$4:$G$1872,'июль 2024'!$D$4:$D$1872,$B140,'июль 2024'!$J$4:$J$1872,AB$1)</f>
        <v>0</v>
      </c>
      <c r="AC140" s="80">
        <f>SUMIFS('июль 2024'!$G$4:$G$1872,'июль 2024'!$D$4:$D$1872,$B140,'июль 2024'!$J$4:$J$1872,AC$1)</f>
        <v>0</v>
      </c>
      <c r="AD140" s="80">
        <f>SUMIFS('июль 2024'!$G$4:$G$1872,'июль 2024'!$D$4:$D$1872,$B140,'июль 2024'!$J$4:$J$1872,AD$1)</f>
        <v>0</v>
      </c>
      <c r="AE140" s="80">
        <f>SUMIFS('июль 2024'!$G$4:$G$1872,'июль 2024'!$D$4:$D$1872,$B140,'июль 2024'!$J$4:$J$1872,AE$1)</f>
        <v>0</v>
      </c>
      <c r="AF140" s="80">
        <f>SUMIFS('июль 2024'!$G$4:$G$1872,'июль 2024'!$D$4:$D$1872,$B140,'июль 2024'!$J$4:$J$1872,AF$1)</f>
        <v>0</v>
      </c>
      <c r="AG140" s="80">
        <f>SUMIFS('июль 2024'!$G$4:$G$1872,'июль 2024'!$D$4:$D$1872,$B140,'июль 2024'!$J$4:$J$1872,AG$1)</f>
        <v>0</v>
      </c>
      <c r="AH140" s="80">
        <f>SUMIFS('июль 2024'!$G$4:$G$1872,'июль 2024'!$D$4:$D$1872,$B140,'июль 2024'!$J$4:$J$1872,AH$1)</f>
        <v>0</v>
      </c>
      <c r="AI140" s="21">
        <f t="shared" si="1"/>
        <v>0</v>
      </c>
    </row>
    <row r="141" spans="2:35" ht="15" customHeight="1" x14ac:dyDescent="0.25">
      <c r="B141" s="89" t="s">
        <v>339</v>
      </c>
      <c r="C141" s="88">
        <v>200</v>
      </c>
      <c r="D141" s="80">
        <f>SUMIFS('июль 2024'!$G$4:$G$1872,'июль 2024'!$D$4:$D$1872,$B141,'июль 2024'!$J$4:$J$1872,D$1)</f>
        <v>0</v>
      </c>
      <c r="E141" s="80">
        <f>SUMIFS('июль 2024'!$G$4:$G$1872,'июль 2024'!$D$4:$D$1872,$B141,'июль 2024'!$J$4:$J$1872,E$1)</f>
        <v>0</v>
      </c>
      <c r="F141" s="80">
        <f>SUMIFS('июль 2024'!$G$4:$G$1872,'июль 2024'!$D$4:$D$1872,$B141,'июль 2024'!$J$4:$J$1872,F$1)</f>
        <v>0</v>
      </c>
      <c r="G141" s="80">
        <f>SUMIFS('июль 2024'!$G$4:$G$1872,'июль 2024'!$D$4:$D$1872,$B141,'июль 2024'!$J$4:$J$1872,G$1)</f>
        <v>0</v>
      </c>
      <c r="H141" s="80">
        <f>SUMIFS('июль 2024'!$G$4:$G$1872,'июль 2024'!$D$4:$D$1872,$B141,'июль 2024'!$J$4:$J$1872,H$1)</f>
        <v>0</v>
      </c>
      <c r="I141" s="80">
        <f>SUMIFS('июль 2024'!$G$4:$G$1872,'июль 2024'!$D$4:$D$1872,$B141,'июль 2024'!$J$4:$J$1872,I$1)</f>
        <v>0</v>
      </c>
      <c r="J141" s="80">
        <f>SUMIFS('июль 2024'!$G$4:$G$1872,'июль 2024'!$D$4:$D$1872,$B141,'июль 2024'!$J$4:$J$1872,J$1)</f>
        <v>0</v>
      </c>
      <c r="K141" s="80">
        <f>SUMIFS('июль 2024'!$G$4:$G$1872,'июль 2024'!$D$4:$D$1872,$B141,'июль 2024'!$J$4:$J$1872,K$1)</f>
        <v>0</v>
      </c>
      <c r="L141" s="80">
        <f>SUMIFS('июль 2024'!$G$4:$G$1872,'июль 2024'!$D$4:$D$1872,$B141,'июль 2024'!$J$4:$J$1872,L$1)</f>
        <v>0</v>
      </c>
      <c r="M141" s="80">
        <f>SUMIFS('июль 2024'!$G$4:$G$1872,'июль 2024'!$D$4:$D$1872,$B141,'июль 2024'!$J$4:$J$1872,M$1)</f>
        <v>0</v>
      </c>
      <c r="N141" s="80">
        <f>SUMIFS('июль 2024'!$G$4:$G$1872,'июль 2024'!$D$4:$D$1872,$B141,'июль 2024'!$J$4:$J$1872,N$1)</f>
        <v>0</v>
      </c>
      <c r="O141" s="80">
        <f>SUMIFS('июль 2024'!$G$4:$G$1872,'июль 2024'!$D$4:$D$1872,$B141,'июль 2024'!$J$4:$J$1872,O$1)</f>
        <v>0</v>
      </c>
      <c r="P141" s="80">
        <f>SUMIFS('июль 2024'!$G$4:$G$1872,'июль 2024'!$D$4:$D$1872,$B141,'июль 2024'!$J$4:$J$1872,P$1)</f>
        <v>0</v>
      </c>
      <c r="Q141" s="80">
        <f>SUMIFS('июль 2024'!$G$4:$G$1872,'июль 2024'!$D$4:$D$1872,$B141,'июль 2024'!$J$4:$J$1872,Q$1)</f>
        <v>0</v>
      </c>
      <c r="R141" s="80">
        <f>SUMIFS('июль 2024'!$G$4:$G$1872,'июль 2024'!$D$4:$D$1872,$B141,'июль 2024'!$J$4:$J$1872,R$1)</f>
        <v>0</v>
      </c>
      <c r="S141" s="80">
        <f>SUMIFS('июль 2024'!$G$4:$G$1872,'июль 2024'!$D$4:$D$1872,$B141,'июль 2024'!$J$4:$J$1872,S$1)</f>
        <v>0</v>
      </c>
      <c r="T141" s="80">
        <f>SUMIFS('июль 2024'!$G$4:$G$1872,'июль 2024'!$D$4:$D$1872,$B141,'июль 2024'!$J$4:$J$1872,T$1)</f>
        <v>0</v>
      </c>
      <c r="U141" s="80">
        <f>SUMIFS('июль 2024'!$G$4:$G$1872,'июль 2024'!$D$4:$D$1872,$B141,'июль 2024'!$J$4:$J$1872,U$1)</f>
        <v>0</v>
      </c>
      <c r="V141" s="80">
        <f>SUMIFS('июль 2024'!$G$4:$G$1872,'июль 2024'!$D$4:$D$1872,$B141,'июль 2024'!$J$4:$J$1872,V$1)</f>
        <v>0</v>
      </c>
      <c r="W141" s="80">
        <f>SUMIFS('июль 2024'!$G$4:$G$1872,'июль 2024'!$D$4:$D$1872,$B141,'июль 2024'!$J$4:$J$1872,W$1)</f>
        <v>0</v>
      </c>
      <c r="X141" s="80">
        <f>SUMIFS('июль 2024'!$G$4:$G$1872,'июль 2024'!$D$4:$D$1872,$B141,'июль 2024'!$J$4:$J$1872,X$1)</f>
        <v>0</v>
      </c>
      <c r="Y141" s="80">
        <f>SUMIFS('июль 2024'!$G$4:$G$1872,'июль 2024'!$D$4:$D$1872,$B141,'июль 2024'!$J$4:$J$1872,Y$1)</f>
        <v>0</v>
      </c>
      <c r="Z141" s="80">
        <f>SUMIFS('июль 2024'!$G$4:$G$1872,'июль 2024'!$D$4:$D$1872,$B141,'июль 2024'!$J$4:$J$1872,Z$1)</f>
        <v>0</v>
      </c>
      <c r="AA141" s="80">
        <f>SUMIFS('июль 2024'!$G$4:$G$1872,'июль 2024'!$D$4:$D$1872,$B141,'июль 2024'!$J$4:$J$1872,AA$1)</f>
        <v>0</v>
      </c>
      <c r="AB141" s="80">
        <f>SUMIFS('июль 2024'!$G$4:$G$1872,'июль 2024'!$D$4:$D$1872,$B141,'июль 2024'!$J$4:$J$1872,AB$1)</f>
        <v>0</v>
      </c>
      <c r="AC141" s="80">
        <f>SUMIFS('июль 2024'!$G$4:$G$1872,'июль 2024'!$D$4:$D$1872,$B141,'июль 2024'!$J$4:$J$1872,AC$1)</f>
        <v>0</v>
      </c>
      <c r="AD141" s="80">
        <f>SUMIFS('июль 2024'!$G$4:$G$1872,'июль 2024'!$D$4:$D$1872,$B141,'июль 2024'!$J$4:$J$1872,AD$1)</f>
        <v>0</v>
      </c>
      <c r="AE141" s="80">
        <f>SUMIFS('июль 2024'!$G$4:$G$1872,'июль 2024'!$D$4:$D$1872,$B141,'июль 2024'!$J$4:$J$1872,AE$1)</f>
        <v>0</v>
      </c>
      <c r="AF141" s="80">
        <f>SUMIFS('июль 2024'!$G$4:$G$1872,'июль 2024'!$D$4:$D$1872,$B141,'июль 2024'!$J$4:$J$1872,AF$1)</f>
        <v>0</v>
      </c>
      <c r="AG141" s="80">
        <f>SUMIFS('июль 2024'!$G$4:$G$1872,'июль 2024'!$D$4:$D$1872,$B141,'июль 2024'!$J$4:$J$1872,AG$1)</f>
        <v>0</v>
      </c>
      <c r="AH141" s="80">
        <f>SUMIFS('июль 2024'!$G$4:$G$1872,'июль 2024'!$D$4:$D$1872,$B141,'июль 2024'!$J$4:$J$1872,AH$1)</f>
        <v>0</v>
      </c>
      <c r="AI141" s="21">
        <f t="shared" si="1"/>
        <v>0</v>
      </c>
    </row>
    <row r="142" spans="2:35" ht="15" customHeight="1" x14ac:dyDescent="0.25">
      <c r="B142" s="89" t="s">
        <v>215</v>
      </c>
      <c r="C142" s="91">
        <v>200</v>
      </c>
      <c r="D142" s="80">
        <f>SUMIFS('июль 2024'!$G$4:$G$1872,'июль 2024'!$D$4:$D$1872,$B142,'июль 2024'!$J$4:$J$1872,D$1)</f>
        <v>0</v>
      </c>
      <c r="E142" s="80">
        <f>SUMIFS('июль 2024'!$G$4:$G$1872,'июль 2024'!$D$4:$D$1872,$B142,'июль 2024'!$J$4:$J$1872,E$1)</f>
        <v>0</v>
      </c>
      <c r="F142" s="80">
        <f>SUMIFS('июль 2024'!$G$4:$G$1872,'июль 2024'!$D$4:$D$1872,$B142,'июль 2024'!$J$4:$J$1872,F$1)</f>
        <v>0</v>
      </c>
      <c r="G142" s="80">
        <f>SUMIFS('июль 2024'!$G$4:$G$1872,'июль 2024'!$D$4:$D$1872,$B142,'июль 2024'!$J$4:$J$1872,G$1)</f>
        <v>0</v>
      </c>
      <c r="H142" s="80">
        <f>SUMIFS('июль 2024'!$G$4:$G$1872,'июль 2024'!$D$4:$D$1872,$B142,'июль 2024'!$J$4:$J$1872,H$1)</f>
        <v>0</v>
      </c>
      <c r="I142" s="80">
        <f>SUMIFS('июль 2024'!$G$4:$G$1872,'июль 2024'!$D$4:$D$1872,$B142,'июль 2024'!$J$4:$J$1872,I$1)</f>
        <v>0</v>
      </c>
      <c r="J142" s="80">
        <f>SUMIFS('июль 2024'!$G$4:$G$1872,'июль 2024'!$D$4:$D$1872,$B142,'июль 2024'!$J$4:$J$1872,J$1)</f>
        <v>0</v>
      </c>
      <c r="K142" s="80">
        <f>SUMIFS('июль 2024'!$G$4:$G$1872,'июль 2024'!$D$4:$D$1872,$B142,'июль 2024'!$J$4:$J$1872,K$1)</f>
        <v>0</v>
      </c>
      <c r="L142" s="80">
        <f>SUMIFS('июль 2024'!$G$4:$G$1872,'июль 2024'!$D$4:$D$1872,$B142,'июль 2024'!$J$4:$J$1872,L$1)</f>
        <v>0</v>
      </c>
      <c r="M142" s="80">
        <f>SUMIFS('июль 2024'!$G$4:$G$1872,'июль 2024'!$D$4:$D$1872,$B142,'июль 2024'!$J$4:$J$1872,M$1)</f>
        <v>0</v>
      </c>
      <c r="N142" s="80">
        <f>SUMIFS('июль 2024'!$G$4:$G$1872,'июль 2024'!$D$4:$D$1872,$B142,'июль 2024'!$J$4:$J$1872,N$1)</f>
        <v>0</v>
      </c>
      <c r="O142" s="80">
        <f>SUMIFS('июль 2024'!$G$4:$G$1872,'июль 2024'!$D$4:$D$1872,$B142,'июль 2024'!$J$4:$J$1872,O$1)</f>
        <v>0</v>
      </c>
      <c r="P142" s="80">
        <f>SUMIFS('июль 2024'!$G$4:$G$1872,'июль 2024'!$D$4:$D$1872,$B142,'июль 2024'!$J$4:$J$1872,P$1)</f>
        <v>0</v>
      </c>
      <c r="Q142" s="80">
        <f>SUMIFS('июль 2024'!$G$4:$G$1872,'июль 2024'!$D$4:$D$1872,$B142,'июль 2024'!$J$4:$J$1872,Q$1)</f>
        <v>0</v>
      </c>
      <c r="R142" s="80">
        <f>SUMIFS('июль 2024'!$G$4:$G$1872,'июль 2024'!$D$4:$D$1872,$B142,'июль 2024'!$J$4:$J$1872,R$1)</f>
        <v>0</v>
      </c>
      <c r="S142" s="80">
        <f>SUMIFS('июль 2024'!$G$4:$G$1872,'июль 2024'!$D$4:$D$1872,$B142,'июль 2024'!$J$4:$J$1872,S$1)</f>
        <v>0</v>
      </c>
      <c r="T142" s="80">
        <f>SUMIFS('июль 2024'!$G$4:$G$1872,'июль 2024'!$D$4:$D$1872,$B142,'июль 2024'!$J$4:$J$1872,T$1)</f>
        <v>0</v>
      </c>
      <c r="U142" s="80">
        <f>SUMIFS('июль 2024'!$G$4:$G$1872,'июль 2024'!$D$4:$D$1872,$B142,'июль 2024'!$J$4:$J$1872,U$1)</f>
        <v>0</v>
      </c>
      <c r="V142" s="80">
        <f>SUMIFS('июль 2024'!$G$4:$G$1872,'июль 2024'!$D$4:$D$1872,$B142,'июль 2024'!$J$4:$J$1872,V$1)</f>
        <v>0</v>
      </c>
      <c r="W142" s="80">
        <f>SUMIFS('июль 2024'!$G$4:$G$1872,'июль 2024'!$D$4:$D$1872,$B142,'июль 2024'!$J$4:$J$1872,W$1)</f>
        <v>0</v>
      </c>
      <c r="X142" s="80">
        <f>SUMIFS('июль 2024'!$G$4:$G$1872,'июль 2024'!$D$4:$D$1872,$B142,'июль 2024'!$J$4:$J$1872,X$1)</f>
        <v>0</v>
      </c>
      <c r="Y142" s="80">
        <f>SUMIFS('июль 2024'!$G$4:$G$1872,'июль 2024'!$D$4:$D$1872,$B142,'июль 2024'!$J$4:$J$1872,Y$1)</f>
        <v>0</v>
      </c>
      <c r="Z142" s="80">
        <f>SUMIFS('июль 2024'!$G$4:$G$1872,'июль 2024'!$D$4:$D$1872,$B142,'июль 2024'!$J$4:$J$1872,Z$1)</f>
        <v>0</v>
      </c>
      <c r="AA142" s="80">
        <f>SUMIFS('июль 2024'!$G$4:$G$1872,'июль 2024'!$D$4:$D$1872,$B142,'июль 2024'!$J$4:$J$1872,AA$1)</f>
        <v>0</v>
      </c>
      <c r="AB142" s="80">
        <f>SUMIFS('июль 2024'!$G$4:$G$1872,'июль 2024'!$D$4:$D$1872,$B142,'июль 2024'!$J$4:$J$1872,AB$1)</f>
        <v>0</v>
      </c>
      <c r="AC142" s="80">
        <f>SUMIFS('июль 2024'!$G$4:$G$1872,'июль 2024'!$D$4:$D$1872,$B142,'июль 2024'!$J$4:$J$1872,AC$1)</f>
        <v>0</v>
      </c>
      <c r="AD142" s="80">
        <f>SUMIFS('июль 2024'!$G$4:$G$1872,'июль 2024'!$D$4:$D$1872,$B142,'июль 2024'!$J$4:$J$1872,AD$1)</f>
        <v>0</v>
      </c>
      <c r="AE142" s="80">
        <f>SUMIFS('июль 2024'!$G$4:$G$1872,'июль 2024'!$D$4:$D$1872,$B142,'июль 2024'!$J$4:$J$1872,AE$1)</f>
        <v>0</v>
      </c>
      <c r="AF142" s="80">
        <f>SUMIFS('июль 2024'!$G$4:$G$1872,'июль 2024'!$D$4:$D$1872,$B142,'июль 2024'!$J$4:$J$1872,AF$1)</f>
        <v>0</v>
      </c>
      <c r="AG142" s="80">
        <f>SUMIFS('июль 2024'!$G$4:$G$1872,'июль 2024'!$D$4:$D$1872,$B142,'июль 2024'!$J$4:$J$1872,AG$1)</f>
        <v>0</v>
      </c>
      <c r="AH142" s="80">
        <f>SUMIFS('июль 2024'!$G$4:$G$1872,'июль 2024'!$D$4:$D$1872,$B142,'июль 2024'!$J$4:$J$1872,AH$1)</f>
        <v>0</v>
      </c>
      <c r="AI142" s="21">
        <f t="shared" si="1"/>
        <v>0</v>
      </c>
    </row>
    <row r="143" spans="2:35" ht="15" customHeight="1" x14ac:dyDescent="0.25">
      <c r="B143" s="89" t="s">
        <v>585</v>
      </c>
      <c r="C143" s="91">
        <v>200</v>
      </c>
      <c r="D143" s="80">
        <f>SUMIFS('июль 2024'!$G$4:$G$1872,'июль 2024'!$D$4:$D$1872,$B143,'июль 2024'!$J$4:$J$1872,D$1)</f>
        <v>0</v>
      </c>
      <c r="E143" s="80">
        <f>SUMIFS('июль 2024'!$G$4:$G$1872,'июль 2024'!$D$4:$D$1872,$B143,'июль 2024'!$J$4:$J$1872,E$1)</f>
        <v>0</v>
      </c>
      <c r="F143" s="80">
        <f>SUMIFS('июль 2024'!$G$4:$G$1872,'июль 2024'!$D$4:$D$1872,$B143,'июль 2024'!$J$4:$J$1872,F$1)</f>
        <v>0</v>
      </c>
      <c r="G143" s="80">
        <f>SUMIFS('июль 2024'!$G$4:$G$1872,'июль 2024'!$D$4:$D$1872,$B143,'июль 2024'!$J$4:$J$1872,G$1)</f>
        <v>0</v>
      </c>
      <c r="H143" s="80">
        <f>SUMIFS('июль 2024'!$G$4:$G$1872,'июль 2024'!$D$4:$D$1872,$B143,'июль 2024'!$J$4:$J$1872,H$1)</f>
        <v>0</v>
      </c>
      <c r="I143" s="80">
        <f>SUMIFS('июль 2024'!$G$4:$G$1872,'июль 2024'!$D$4:$D$1872,$B143,'июль 2024'!$J$4:$J$1872,I$1)</f>
        <v>0</v>
      </c>
      <c r="J143" s="80">
        <f>SUMIFS('июль 2024'!$G$4:$G$1872,'июль 2024'!$D$4:$D$1872,$B143,'июль 2024'!$J$4:$J$1872,J$1)</f>
        <v>0</v>
      </c>
      <c r="K143" s="80">
        <f>SUMIFS('июль 2024'!$G$4:$G$1872,'июль 2024'!$D$4:$D$1872,$B143,'июль 2024'!$J$4:$J$1872,K$1)</f>
        <v>0</v>
      </c>
      <c r="L143" s="80">
        <f>SUMIFS('июль 2024'!$G$4:$G$1872,'июль 2024'!$D$4:$D$1872,$B143,'июль 2024'!$J$4:$J$1872,L$1)</f>
        <v>0</v>
      </c>
      <c r="M143" s="80">
        <f>SUMIFS('июль 2024'!$G$4:$G$1872,'июль 2024'!$D$4:$D$1872,$B143,'июль 2024'!$J$4:$J$1872,M$1)</f>
        <v>0</v>
      </c>
      <c r="N143" s="80">
        <f>SUMIFS('июль 2024'!$G$4:$G$1872,'июль 2024'!$D$4:$D$1872,$B143,'июль 2024'!$J$4:$J$1872,N$1)</f>
        <v>0</v>
      </c>
      <c r="O143" s="80">
        <f>SUMIFS('июль 2024'!$G$4:$G$1872,'июль 2024'!$D$4:$D$1872,$B143,'июль 2024'!$J$4:$J$1872,O$1)</f>
        <v>0</v>
      </c>
      <c r="P143" s="80">
        <f>SUMIFS('июль 2024'!$G$4:$G$1872,'июль 2024'!$D$4:$D$1872,$B143,'июль 2024'!$J$4:$J$1872,P$1)</f>
        <v>0</v>
      </c>
      <c r="Q143" s="80">
        <f>SUMIFS('июль 2024'!$G$4:$G$1872,'июль 2024'!$D$4:$D$1872,$B143,'июль 2024'!$J$4:$J$1872,Q$1)</f>
        <v>0</v>
      </c>
      <c r="R143" s="80">
        <f>SUMIFS('июль 2024'!$G$4:$G$1872,'июль 2024'!$D$4:$D$1872,$B143,'июль 2024'!$J$4:$J$1872,R$1)</f>
        <v>0</v>
      </c>
      <c r="S143" s="80">
        <f>SUMIFS('июль 2024'!$G$4:$G$1872,'июль 2024'!$D$4:$D$1872,$B143,'июль 2024'!$J$4:$J$1872,S$1)</f>
        <v>0</v>
      </c>
      <c r="T143" s="80">
        <f>SUMIFS('июль 2024'!$G$4:$G$1872,'июль 2024'!$D$4:$D$1872,$B143,'июль 2024'!$J$4:$J$1872,T$1)</f>
        <v>0</v>
      </c>
      <c r="U143" s="80">
        <f>SUMIFS('июль 2024'!$G$4:$G$1872,'июль 2024'!$D$4:$D$1872,$B143,'июль 2024'!$J$4:$J$1872,U$1)</f>
        <v>0</v>
      </c>
      <c r="V143" s="80">
        <f>SUMIFS('июль 2024'!$G$4:$G$1872,'июль 2024'!$D$4:$D$1872,$B143,'июль 2024'!$J$4:$J$1872,V$1)</f>
        <v>0</v>
      </c>
      <c r="W143" s="80">
        <f>SUMIFS('июль 2024'!$G$4:$G$1872,'июль 2024'!$D$4:$D$1872,$B143,'июль 2024'!$J$4:$J$1872,W$1)</f>
        <v>0</v>
      </c>
      <c r="X143" s="80">
        <f>SUMIFS('июль 2024'!$G$4:$G$1872,'июль 2024'!$D$4:$D$1872,$B143,'июль 2024'!$J$4:$J$1872,X$1)</f>
        <v>0</v>
      </c>
      <c r="Y143" s="80">
        <f>SUMIFS('июль 2024'!$G$4:$G$1872,'июль 2024'!$D$4:$D$1872,$B143,'июль 2024'!$J$4:$J$1872,Y$1)</f>
        <v>0</v>
      </c>
      <c r="Z143" s="80">
        <f>SUMIFS('июль 2024'!$G$4:$G$1872,'июль 2024'!$D$4:$D$1872,$B143,'июль 2024'!$J$4:$J$1872,Z$1)</f>
        <v>0</v>
      </c>
      <c r="AA143" s="80">
        <f>SUMIFS('июль 2024'!$G$4:$G$1872,'июль 2024'!$D$4:$D$1872,$B143,'июль 2024'!$J$4:$J$1872,AA$1)</f>
        <v>0</v>
      </c>
      <c r="AB143" s="80">
        <f>SUMIFS('июль 2024'!$G$4:$G$1872,'июль 2024'!$D$4:$D$1872,$B143,'июль 2024'!$J$4:$J$1872,AB$1)</f>
        <v>0</v>
      </c>
      <c r="AC143" s="80">
        <f>SUMIFS('июль 2024'!$G$4:$G$1872,'июль 2024'!$D$4:$D$1872,$B143,'июль 2024'!$J$4:$J$1872,AC$1)</f>
        <v>0</v>
      </c>
      <c r="AD143" s="80">
        <f>SUMIFS('июль 2024'!$G$4:$G$1872,'июль 2024'!$D$4:$D$1872,$B143,'июль 2024'!$J$4:$J$1872,AD$1)</f>
        <v>0</v>
      </c>
      <c r="AE143" s="80">
        <f>SUMIFS('июль 2024'!$G$4:$G$1872,'июль 2024'!$D$4:$D$1872,$B143,'июль 2024'!$J$4:$J$1872,AE$1)</f>
        <v>0</v>
      </c>
      <c r="AF143" s="80">
        <f>SUMIFS('июль 2024'!$G$4:$G$1872,'июль 2024'!$D$4:$D$1872,$B143,'июль 2024'!$J$4:$J$1872,AF$1)</f>
        <v>0</v>
      </c>
      <c r="AG143" s="80">
        <f>SUMIFS('июль 2024'!$G$4:$G$1872,'июль 2024'!$D$4:$D$1872,$B143,'июль 2024'!$J$4:$J$1872,AG$1)</f>
        <v>0</v>
      </c>
      <c r="AH143" s="80">
        <f>SUMIFS('июль 2024'!$G$4:$G$1872,'июль 2024'!$D$4:$D$1872,$B143,'июль 2024'!$J$4:$J$1872,AH$1)</f>
        <v>0</v>
      </c>
      <c r="AI143" s="21">
        <f t="shared" si="1"/>
        <v>0</v>
      </c>
    </row>
    <row r="144" spans="2:35" ht="15" customHeight="1" x14ac:dyDescent="0.25">
      <c r="B144" s="93" t="s">
        <v>186</v>
      </c>
      <c r="C144" s="91">
        <v>25</v>
      </c>
      <c r="D144" s="80">
        <f>SUMIFS('июль 2024'!$G$4:$G$1872,'июль 2024'!$D$4:$D$1872,$B144,'июль 2024'!$J$4:$J$1872,D$1)</f>
        <v>0</v>
      </c>
      <c r="E144" s="80">
        <f>SUMIFS('июль 2024'!$G$4:$G$1872,'июль 2024'!$D$4:$D$1872,$B144,'июль 2024'!$J$4:$J$1872,E$1)</f>
        <v>0</v>
      </c>
      <c r="F144" s="80">
        <f>SUMIFS('июль 2024'!$G$4:$G$1872,'июль 2024'!$D$4:$D$1872,$B144,'июль 2024'!$J$4:$J$1872,F$1)</f>
        <v>0</v>
      </c>
      <c r="G144" s="80">
        <f>SUMIFS('июль 2024'!$G$4:$G$1872,'июль 2024'!$D$4:$D$1872,$B144,'июль 2024'!$J$4:$J$1872,G$1)</f>
        <v>0</v>
      </c>
      <c r="H144" s="80">
        <f>SUMIFS('июль 2024'!$G$4:$G$1872,'июль 2024'!$D$4:$D$1872,$B144,'июль 2024'!$J$4:$J$1872,H$1)</f>
        <v>0</v>
      </c>
      <c r="I144" s="80">
        <f>SUMIFS('июль 2024'!$G$4:$G$1872,'июль 2024'!$D$4:$D$1872,$B144,'июль 2024'!$J$4:$J$1872,I$1)</f>
        <v>0</v>
      </c>
      <c r="J144" s="80">
        <f>SUMIFS('июль 2024'!$G$4:$G$1872,'июль 2024'!$D$4:$D$1872,$B144,'июль 2024'!$J$4:$J$1872,J$1)</f>
        <v>0</v>
      </c>
      <c r="K144" s="80">
        <f>SUMIFS('июль 2024'!$G$4:$G$1872,'июль 2024'!$D$4:$D$1872,$B144,'июль 2024'!$J$4:$J$1872,K$1)</f>
        <v>0</v>
      </c>
      <c r="L144" s="80">
        <f>SUMIFS('июль 2024'!$G$4:$G$1872,'июль 2024'!$D$4:$D$1872,$B144,'июль 2024'!$J$4:$J$1872,L$1)</f>
        <v>0</v>
      </c>
      <c r="M144" s="80">
        <f>SUMIFS('июль 2024'!$G$4:$G$1872,'июль 2024'!$D$4:$D$1872,$B144,'июль 2024'!$J$4:$J$1872,M$1)</f>
        <v>0</v>
      </c>
      <c r="N144" s="80">
        <f>SUMIFS('июль 2024'!$G$4:$G$1872,'июль 2024'!$D$4:$D$1872,$B144,'июль 2024'!$J$4:$J$1872,N$1)</f>
        <v>0</v>
      </c>
      <c r="O144" s="80">
        <f>SUMIFS('июль 2024'!$G$4:$G$1872,'июль 2024'!$D$4:$D$1872,$B144,'июль 2024'!$J$4:$J$1872,O$1)</f>
        <v>0</v>
      </c>
      <c r="P144" s="80">
        <f>SUMIFS('июль 2024'!$G$4:$G$1872,'июль 2024'!$D$4:$D$1872,$B144,'июль 2024'!$J$4:$J$1872,P$1)</f>
        <v>0</v>
      </c>
      <c r="Q144" s="80">
        <f>SUMIFS('июль 2024'!$G$4:$G$1872,'июль 2024'!$D$4:$D$1872,$B144,'июль 2024'!$J$4:$J$1872,Q$1)</f>
        <v>0</v>
      </c>
      <c r="R144" s="80">
        <f>SUMIFS('июль 2024'!$G$4:$G$1872,'июль 2024'!$D$4:$D$1872,$B144,'июль 2024'!$J$4:$J$1872,R$1)</f>
        <v>0</v>
      </c>
      <c r="S144" s="80">
        <f>SUMIFS('июль 2024'!$G$4:$G$1872,'июль 2024'!$D$4:$D$1872,$B144,'июль 2024'!$J$4:$J$1872,S$1)</f>
        <v>0</v>
      </c>
      <c r="T144" s="80">
        <f>SUMIFS('июль 2024'!$G$4:$G$1872,'июль 2024'!$D$4:$D$1872,$B144,'июль 2024'!$J$4:$J$1872,T$1)</f>
        <v>0</v>
      </c>
      <c r="U144" s="80">
        <f>SUMIFS('июль 2024'!$G$4:$G$1872,'июль 2024'!$D$4:$D$1872,$B144,'июль 2024'!$J$4:$J$1872,U$1)</f>
        <v>0</v>
      </c>
      <c r="V144" s="80">
        <f>SUMIFS('июль 2024'!$G$4:$G$1872,'июль 2024'!$D$4:$D$1872,$B144,'июль 2024'!$J$4:$J$1872,V$1)</f>
        <v>0</v>
      </c>
      <c r="W144" s="80">
        <f>SUMIFS('июль 2024'!$G$4:$G$1872,'июль 2024'!$D$4:$D$1872,$B144,'июль 2024'!$J$4:$J$1872,W$1)</f>
        <v>0</v>
      </c>
      <c r="X144" s="80">
        <f>SUMIFS('июль 2024'!$G$4:$G$1872,'июль 2024'!$D$4:$D$1872,$B144,'июль 2024'!$J$4:$J$1872,X$1)</f>
        <v>0</v>
      </c>
      <c r="Y144" s="80">
        <f>SUMIFS('июль 2024'!$G$4:$G$1872,'июль 2024'!$D$4:$D$1872,$B144,'июль 2024'!$J$4:$J$1872,Y$1)</f>
        <v>0</v>
      </c>
      <c r="Z144" s="80">
        <f>SUMIFS('июль 2024'!$G$4:$G$1872,'июль 2024'!$D$4:$D$1872,$B144,'июль 2024'!$J$4:$J$1872,Z$1)</f>
        <v>0</v>
      </c>
      <c r="AA144" s="80">
        <f>SUMIFS('июль 2024'!$G$4:$G$1872,'июль 2024'!$D$4:$D$1872,$B144,'июль 2024'!$J$4:$J$1872,AA$1)</f>
        <v>0</v>
      </c>
      <c r="AB144" s="80">
        <f>SUMIFS('июль 2024'!$G$4:$G$1872,'июль 2024'!$D$4:$D$1872,$B144,'июль 2024'!$J$4:$J$1872,AB$1)</f>
        <v>0</v>
      </c>
      <c r="AC144" s="80">
        <f>SUMIFS('июль 2024'!$G$4:$G$1872,'июль 2024'!$D$4:$D$1872,$B144,'июль 2024'!$J$4:$J$1872,AC$1)</f>
        <v>0</v>
      </c>
      <c r="AD144" s="80">
        <f>SUMIFS('июль 2024'!$G$4:$G$1872,'июль 2024'!$D$4:$D$1872,$B144,'июль 2024'!$J$4:$J$1872,AD$1)</f>
        <v>0</v>
      </c>
      <c r="AE144" s="80">
        <f>SUMIFS('июль 2024'!$G$4:$G$1872,'июль 2024'!$D$4:$D$1872,$B144,'июль 2024'!$J$4:$J$1872,AE$1)</f>
        <v>0</v>
      </c>
      <c r="AF144" s="80">
        <f>SUMIFS('июль 2024'!$G$4:$G$1872,'июль 2024'!$D$4:$D$1872,$B144,'июль 2024'!$J$4:$J$1872,AF$1)</f>
        <v>0</v>
      </c>
      <c r="AG144" s="80">
        <f>SUMIFS('июль 2024'!$G$4:$G$1872,'июль 2024'!$D$4:$D$1872,$B144,'июль 2024'!$J$4:$J$1872,AG$1)</f>
        <v>0</v>
      </c>
      <c r="AH144" s="80">
        <f>SUMIFS('июль 2024'!$G$4:$G$1872,'июль 2024'!$D$4:$D$1872,$B144,'июль 2024'!$J$4:$J$1872,AH$1)</f>
        <v>0</v>
      </c>
      <c r="AI144" s="21">
        <f t="shared" si="1"/>
        <v>0</v>
      </c>
    </row>
    <row r="145" spans="2:35" ht="15" customHeight="1" x14ac:dyDescent="0.25">
      <c r="B145" s="89" t="s">
        <v>184</v>
      </c>
      <c r="C145" s="88">
        <v>25</v>
      </c>
      <c r="D145" s="80">
        <f>SUMIFS('июль 2024'!$G$4:$G$1872,'июль 2024'!$D$4:$D$1872,$B145,'июль 2024'!$J$4:$J$1872,D$1)</f>
        <v>0</v>
      </c>
      <c r="E145" s="80">
        <f>SUMIFS('июль 2024'!$G$4:$G$1872,'июль 2024'!$D$4:$D$1872,$B145,'июль 2024'!$J$4:$J$1872,E$1)</f>
        <v>0</v>
      </c>
      <c r="F145" s="80">
        <f>SUMIFS('июль 2024'!$G$4:$G$1872,'июль 2024'!$D$4:$D$1872,$B145,'июль 2024'!$J$4:$J$1872,F$1)</f>
        <v>0</v>
      </c>
      <c r="G145" s="80">
        <f>SUMIFS('июль 2024'!$G$4:$G$1872,'июль 2024'!$D$4:$D$1872,$B145,'июль 2024'!$J$4:$J$1872,G$1)</f>
        <v>0</v>
      </c>
      <c r="H145" s="80">
        <f>SUMIFS('июль 2024'!$G$4:$G$1872,'июль 2024'!$D$4:$D$1872,$B145,'июль 2024'!$J$4:$J$1872,H$1)</f>
        <v>0</v>
      </c>
      <c r="I145" s="80">
        <f>SUMIFS('июль 2024'!$G$4:$G$1872,'июль 2024'!$D$4:$D$1872,$B145,'июль 2024'!$J$4:$J$1872,I$1)</f>
        <v>0</v>
      </c>
      <c r="J145" s="80">
        <f>SUMIFS('июль 2024'!$G$4:$G$1872,'июль 2024'!$D$4:$D$1872,$B145,'июль 2024'!$J$4:$J$1872,J$1)</f>
        <v>0</v>
      </c>
      <c r="K145" s="80">
        <f>SUMIFS('июль 2024'!$G$4:$G$1872,'июль 2024'!$D$4:$D$1872,$B145,'июль 2024'!$J$4:$J$1872,K$1)</f>
        <v>0</v>
      </c>
      <c r="L145" s="80">
        <f>SUMIFS('июль 2024'!$G$4:$G$1872,'июль 2024'!$D$4:$D$1872,$B145,'июль 2024'!$J$4:$J$1872,L$1)</f>
        <v>0</v>
      </c>
      <c r="M145" s="80">
        <f>SUMIFS('июль 2024'!$G$4:$G$1872,'июль 2024'!$D$4:$D$1872,$B145,'июль 2024'!$J$4:$J$1872,M$1)</f>
        <v>0</v>
      </c>
      <c r="N145" s="80">
        <f>SUMIFS('июль 2024'!$G$4:$G$1872,'июль 2024'!$D$4:$D$1872,$B145,'июль 2024'!$J$4:$J$1872,N$1)</f>
        <v>0</v>
      </c>
      <c r="O145" s="80">
        <f>SUMIFS('июль 2024'!$G$4:$G$1872,'июль 2024'!$D$4:$D$1872,$B145,'июль 2024'!$J$4:$J$1872,O$1)</f>
        <v>400</v>
      </c>
      <c r="P145" s="80">
        <f>SUMIFS('июль 2024'!$G$4:$G$1872,'июль 2024'!$D$4:$D$1872,$B145,'июль 2024'!$J$4:$J$1872,P$1)</f>
        <v>0</v>
      </c>
      <c r="Q145" s="80">
        <f>SUMIFS('июль 2024'!$G$4:$G$1872,'июль 2024'!$D$4:$D$1872,$B145,'июль 2024'!$J$4:$J$1872,Q$1)</f>
        <v>0</v>
      </c>
      <c r="R145" s="80">
        <f>SUMIFS('июль 2024'!$G$4:$G$1872,'июль 2024'!$D$4:$D$1872,$B145,'июль 2024'!$J$4:$J$1872,R$1)</f>
        <v>0</v>
      </c>
      <c r="S145" s="80">
        <f>SUMIFS('июль 2024'!$G$4:$G$1872,'июль 2024'!$D$4:$D$1872,$B145,'июль 2024'!$J$4:$J$1872,S$1)</f>
        <v>0</v>
      </c>
      <c r="T145" s="80">
        <f>SUMIFS('июль 2024'!$G$4:$G$1872,'июль 2024'!$D$4:$D$1872,$B145,'июль 2024'!$J$4:$J$1872,T$1)</f>
        <v>0</v>
      </c>
      <c r="U145" s="80">
        <f>SUMIFS('июль 2024'!$G$4:$G$1872,'июль 2024'!$D$4:$D$1872,$B145,'июль 2024'!$J$4:$J$1872,U$1)</f>
        <v>0</v>
      </c>
      <c r="V145" s="80">
        <f>SUMIFS('июль 2024'!$G$4:$G$1872,'июль 2024'!$D$4:$D$1872,$B145,'июль 2024'!$J$4:$J$1872,V$1)</f>
        <v>0</v>
      </c>
      <c r="W145" s="80">
        <f>SUMIFS('июль 2024'!$G$4:$G$1872,'июль 2024'!$D$4:$D$1872,$B145,'июль 2024'!$J$4:$J$1872,W$1)</f>
        <v>0</v>
      </c>
      <c r="X145" s="80">
        <f>SUMIFS('июль 2024'!$G$4:$G$1872,'июль 2024'!$D$4:$D$1872,$B145,'июль 2024'!$J$4:$J$1872,X$1)</f>
        <v>0</v>
      </c>
      <c r="Y145" s="80">
        <f>SUMIFS('июль 2024'!$G$4:$G$1872,'июль 2024'!$D$4:$D$1872,$B145,'июль 2024'!$J$4:$J$1872,Y$1)</f>
        <v>0</v>
      </c>
      <c r="Z145" s="80">
        <f>SUMIFS('июль 2024'!$G$4:$G$1872,'июль 2024'!$D$4:$D$1872,$B145,'июль 2024'!$J$4:$J$1872,Z$1)</f>
        <v>0</v>
      </c>
      <c r="AA145" s="80">
        <f>SUMIFS('июль 2024'!$G$4:$G$1872,'июль 2024'!$D$4:$D$1872,$B145,'июль 2024'!$J$4:$J$1872,AA$1)</f>
        <v>0</v>
      </c>
      <c r="AB145" s="80">
        <f>SUMIFS('июль 2024'!$G$4:$G$1872,'июль 2024'!$D$4:$D$1872,$B145,'июль 2024'!$J$4:$J$1872,AB$1)</f>
        <v>0</v>
      </c>
      <c r="AC145" s="80">
        <f>SUMIFS('июль 2024'!$G$4:$G$1872,'июль 2024'!$D$4:$D$1872,$B145,'июль 2024'!$J$4:$J$1872,AC$1)</f>
        <v>0</v>
      </c>
      <c r="AD145" s="80">
        <f>SUMIFS('июль 2024'!$G$4:$G$1872,'июль 2024'!$D$4:$D$1872,$B145,'июль 2024'!$J$4:$J$1872,AD$1)</f>
        <v>0</v>
      </c>
      <c r="AE145" s="80">
        <f>SUMIFS('июль 2024'!$G$4:$G$1872,'июль 2024'!$D$4:$D$1872,$B145,'июль 2024'!$J$4:$J$1872,AE$1)</f>
        <v>0</v>
      </c>
      <c r="AF145" s="80">
        <f>SUMIFS('июль 2024'!$G$4:$G$1872,'июль 2024'!$D$4:$D$1872,$B145,'июль 2024'!$J$4:$J$1872,AF$1)</f>
        <v>0</v>
      </c>
      <c r="AG145" s="80">
        <f>SUMIFS('июль 2024'!$G$4:$G$1872,'июль 2024'!$D$4:$D$1872,$B145,'июль 2024'!$J$4:$J$1872,AG$1)</f>
        <v>0</v>
      </c>
      <c r="AH145" s="80">
        <f>SUMIFS('июль 2024'!$G$4:$G$1872,'июль 2024'!$D$4:$D$1872,$B145,'июль 2024'!$J$4:$J$1872,AH$1)</f>
        <v>0</v>
      </c>
      <c r="AI145" s="21">
        <f t="shared" si="1"/>
        <v>400</v>
      </c>
    </row>
    <row r="146" spans="2:35" ht="15" customHeight="1" x14ac:dyDescent="0.25">
      <c r="B146" s="89" t="s">
        <v>185</v>
      </c>
      <c r="C146" s="88">
        <v>25</v>
      </c>
      <c r="D146" s="80">
        <f>SUMIFS('июль 2024'!$G$4:$G$1872,'июль 2024'!$D$4:$D$1872,$B146,'июль 2024'!$J$4:$J$1872,D$1)</f>
        <v>0</v>
      </c>
      <c r="E146" s="80">
        <f>SUMIFS('июль 2024'!$G$4:$G$1872,'июль 2024'!$D$4:$D$1872,$B146,'июль 2024'!$J$4:$J$1872,E$1)</f>
        <v>0</v>
      </c>
      <c r="F146" s="80">
        <f>SUMIFS('июль 2024'!$G$4:$G$1872,'июль 2024'!$D$4:$D$1872,$B146,'июль 2024'!$J$4:$J$1872,F$1)</f>
        <v>0</v>
      </c>
      <c r="G146" s="80">
        <f>SUMIFS('июль 2024'!$G$4:$G$1872,'июль 2024'!$D$4:$D$1872,$B146,'июль 2024'!$J$4:$J$1872,G$1)</f>
        <v>0</v>
      </c>
      <c r="H146" s="80">
        <f>SUMIFS('июль 2024'!$G$4:$G$1872,'июль 2024'!$D$4:$D$1872,$B146,'июль 2024'!$J$4:$J$1872,H$1)</f>
        <v>0</v>
      </c>
      <c r="I146" s="80">
        <f>SUMIFS('июль 2024'!$G$4:$G$1872,'июль 2024'!$D$4:$D$1872,$B146,'июль 2024'!$J$4:$J$1872,I$1)</f>
        <v>0</v>
      </c>
      <c r="J146" s="80">
        <f>SUMIFS('июль 2024'!$G$4:$G$1872,'июль 2024'!$D$4:$D$1872,$B146,'июль 2024'!$J$4:$J$1872,J$1)</f>
        <v>0</v>
      </c>
      <c r="K146" s="80">
        <f>SUMIFS('июль 2024'!$G$4:$G$1872,'июль 2024'!$D$4:$D$1872,$B146,'июль 2024'!$J$4:$J$1872,K$1)</f>
        <v>0</v>
      </c>
      <c r="L146" s="80">
        <f>SUMIFS('июль 2024'!$G$4:$G$1872,'июль 2024'!$D$4:$D$1872,$B146,'июль 2024'!$J$4:$J$1872,L$1)</f>
        <v>0</v>
      </c>
      <c r="M146" s="80">
        <f>SUMIFS('июль 2024'!$G$4:$G$1872,'июль 2024'!$D$4:$D$1872,$B146,'июль 2024'!$J$4:$J$1872,M$1)</f>
        <v>0</v>
      </c>
      <c r="N146" s="80">
        <f>SUMIFS('июль 2024'!$G$4:$G$1872,'июль 2024'!$D$4:$D$1872,$B146,'июль 2024'!$J$4:$J$1872,N$1)</f>
        <v>0</v>
      </c>
      <c r="O146" s="80">
        <f>SUMIFS('июль 2024'!$G$4:$G$1872,'июль 2024'!$D$4:$D$1872,$B146,'июль 2024'!$J$4:$J$1872,O$1)</f>
        <v>0</v>
      </c>
      <c r="P146" s="80">
        <f>SUMIFS('июль 2024'!$G$4:$G$1872,'июль 2024'!$D$4:$D$1872,$B146,'июль 2024'!$J$4:$J$1872,P$1)</f>
        <v>0</v>
      </c>
      <c r="Q146" s="80">
        <f>SUMIFS('июль 2024'!$G$4:$G$1872,'июль 2024'!$D$4:$D$1872,$B146,'июль 2024'!$J$4:$J$1872,Q$1)</f>
        <v>0</v>
      </c>
      <c r="R146" s="80">
        <f>SUMIFS('июль 2024'!$G$4:$G$1872,'июль 2024'!$D$4:$D$1872,$B146,'июль 2024'!$J$4:$J$1872,R$1)</f>
        <v>0</v>
      </c>
      <c r="S146" s="80">
        <f>SUMIFS('июль 2024'!$G$4:$G$1872,'июль 2024'!$D$4:$D$1872,$B146,'июль 2024'!$J$4:$J$1872,S$1)</f>
        <v>0</v>
      </c>
      <c r="T146" s="80">
        <f>SUMIFS('июль 2024'!$G$4:$G$1872,'июль 2024'!$D$4:$D$1872,$B146,'июль 2024'!$J$4:$J$1872,T$1)</f>
        <v>0</v>
      </c>
      <c r="U146" s="80">
        <f>SUMIFS('июль 2024'!$G$4:$G$1872,'июль 2024'!$D$4:$D$1872,$B146,'июль 2024'!$J$4:$J$1872,U$1)</f>
        <v>0</v>
      </c>
      <c r="V146" s="80">
        <f>SUMIFS('июль 2024'!$G$4:$G$1872,'июль 2024'!$D$4:$D$1872,$B146,'июль 2024'!$J$4:$J$1872,V$1)</f>
        <v>0</v>
      </c>
      <c r="W146" s="80">
        <f>SUMIFS('июль 2024'!$G$4:$G$1872,'июль 2024'!$D$4:$D$1872,$B146,'июль 2024'!$J$4:$J$1872,W$1)</f>
        <v>0</v>
      </c>
      <c r="X146" s="80">
        <f>SUMIFS('июль 2024'!$G$4:$G$1872,'июль 2024'!$D$4:$D$1872,$B146,'июль 2024'!$J$4:$J$1872,X$1)</f>
        <v>0</v>
      </c>
      <c r="Y146" s="80">
        <f>SUMIFS('июль 2024'!$G$4:$G$1872,'июль 2024'!$D$4:$D$1872,$B146,'июль 2024'!$J$4:$J$1872,Y$1)</f>
        <v>0</v>
      </c>
      <c r="Z146" s="80">
        <f>SUMIFS('июль 2024'!$G$4:$G$1872,'июль 2024'!$D$4:$D$1872,$B146,'июль 2024'!$J$4:$J$1872,Z$1)</f>
        <v>0</v>
      </c>
      <c r="AA146" s="80">
        <f>SUMIFS('июль 2024'!$G$4:$G$1872,'июль 2024'!$D$4:$D$1872,$B146,'июль 2024'!$J$4:$J$1872,AA$1)</f>
        <v>0</v>
      </c>
      <c r="AB146" s="80">
        <f>SUMIFS('июль 2024'!$G$4:$G$1872,'июль 2024'!$D$4:$D$1872,$B146,'июль 2024'!$J$4:$J$1872,AB$1)</f>
        <v>0</v>
      </c>
      <c r="AC146" s="80">
        <f>SUMIFS('июль 2024'!$G$4:$G$1872,'июль 2024'!$D$4:$D$1872,$B146,'июль 2024'!$J$4:$J$1872,AC$1)</f>
        <v>0</v>
      </c>
      <c r="AD146" s="80">
        <f>SUMIFS('июль 2024'!$G$4:$G$1872,'июль 2024'!$D$4:$D$1872,$B146,'июль 2024'!$J$4:$J$1872,AD$1)</f>
        <v>0</v>
      </c>
      <c r="AE146" s="80">
        <f>SUMIFS('июль 2024'!$G$4:$G$1872,'июль 2024'!$D$4:$D$1872,$B146,'июль 2024'!$J$4:$J$1872,AE$1)</f>
        <v>0</v>
      </c>
      <c r="AF146" s="80">
        <f>SUMIFS('июль 2024'!$G$4:$G$1872,'июль 2024'!$D$4:$D$1872,$B146,'июль 2024'!$J$4:$J$1872,AF$1)</f>
        <v>0</v>
      </c>
      <c r="AG146" s="80">
        <f>SUMIFS('июль 2024'!$G$4:$G$1872,'июль 2024'!$D$4:$D$1872,$B146,'июль 2024'!$J$4:$J$1872,AG$1)</f>
        <v>0</v>
      </c>
      <c r="AH146" s="80">
        <f>SUMIFS('июль 2024'!$G$4:$G$1872,'июль 2024'!$D$4:$D$1872,$B146,'июль 2024'!$J$4:$J$1872,AH$1)</f>
        <v>0</v>
      </c>
      <c r="AI146" s="21">
        <f t="shared" si="1"/>
        <v>0</v>
      </c>
    </row>
    <row r="147" spans="2:35" ht="15" customHeight="1" x14ac:dyDescent="0.25">
      <c r="B147" s="89" t="s">
        <v>212</v>
      </c>
      <c r="C147" s="88">
        <v>25</v>
      </c>
      <c r="D147" s="80">
        <f>SUMIFS('июль 2024'!$G$4:$G$1872,'июль 2024'!$D$4:$D$1872,$B147,'июль 2024'!$J$4:$J$1872,D$1)</f>
        <v>0</v>
      </c>
      <c r="E147" s="80">
        <f>SUMIFS('июль 2024'!$G$4:$G$1872,'июль 2024'!$D$4:$D$1872,$B147,'июль 2024'!$J$4:$J$1872,E$1)</f>
        <v>0</v>
      </c>
      <c r="F147" s="80">
        <f>SUMIFS('июль 2024'!$G$4:$G$1872,'июль 2024'!$D$4:$D$1872,$B147,'июль 2024'!$J$4:$J$1872,F$1)</f>
        <v>0</v>
      </c>
      <c r="G147" s="80">
        <f>SUMIFS('июль 2024'!$G$4:$G$1872,'июль 2024'!$D$4:$D$1872,$B147,'июль 2024'!$J$4:$J$1872,G$1)</f>
        <v>0</v>
      </c>
      <c r="H147" s="80">
        <f>SUMIFS('июль 2024'!$G$4:$G$1872,'июль 2024'!$D$4:$D$1872,$B147,'июль 2024'!$J$4:$J$1872,H$1)</f>
        <v>0</v>
      </c>
      <c r="I147" s="80">
        <f>SUMIFS('июль 2024'!$G$4:$G$1872,'июль 2024'!$D$4:$D$1872,$B147,'июль 2024'!$J$4:$J$1872,I$1)</f>
        <v>0</v>
      </c>
      <c r="J147" s="80">
        <f>SUMIFS('июль 2024'!$G$4:$G$1872,'июль 2024'!$D$4:$D$1872,$B147,'июль 2024'!$J$4:$J$1872,J$1)</f>
        <v>0</v>
      </c>
      <c r="K147" s="80">
        <f>SUMIFS('июль 2024'!$G$4:$G$1872,'июль 2024'!$D$4:$D$1872,$B147,'июль 2024'!$J$4:$J$1872,K$1)</f>
        <v>0</v>
      </c>
      <c r="L147" s="80">
        <f>SUMIFS('июль 2024'!$G$4:$G$1872,'июль 2024'!$D$4:$D$1872,$B147,'июль 2024'!$J$4:$J$1872,L$1)</f>
        <v>0</v>
      </c>
      <c r="M147" s="80">
        <f>SUMIFS('июль 2024'!$G$4:$G$1872,'июль 2024'!$D$4:$D$1872,$B147,'июль 2024'!$J$4:$J$1872,M$1)</f>
        <v>0</v>
      </c>
      <c r="N147" s="80">
        <f>SUMIFS('июль 2024'!$G$4:$G$1872,'июль 2024'!$D$4:$D$1872,$B147,'июль 2024'!$J$4:$J$1872,N$1)</f>
        <v>0</v>
      </c>
      <c r="O147" s="80">
        <f>SUMIFS('июль 2024'!$G$4:$G$1872,'июль 2024'!$D$4:$D$1872,$B147,'июль 2024'!$J$4:$J$1872,O$1)</f>
        <v>0</v>
      </c>
      <c r="P147" s="80">
        <f>SUMIFS('июль 2024'!$G$4:$G$1872,'июль 2024'!$D$4:$D$1872,$B147,'июль 2024'!$J$4:$J$1872,P$1)</f>
        <v>0</v>
      </c>
      <c r="Q147" s="80">
        <f>SUMIFS('июль 2024'!$G$4:$G$1872,'июль 2024'!$D$4:$D$1872,$B147,'июль 2024'!$J$4:$J$1872,Q$1)</f>
        <v>0</v>
      </c>
      <c r="R147" s="80">
        <f>SUMIFS('июль 2024'!$G$4:$G$1872,'июль 2024'!$D$4:$D$1872,$B147,'июль 2024'!$J$4:$J$1872,R$1)</f>
        <v>0</v>
      </c>
      <c r="S147" s="80">
        <f>SUMIFS('июль 2024'!$G$4:$G$1872,'июль 2024'!$D$4:$D$1872,$B147,'июль 2024'!$J$4:$J$1872,S$1)</f>
        <v>0</v>
      </c>
      <c r="T147" s="80">
        <f>SUMIFS('июль 2024'!$G$4:$G$1872,'июль 2024'!$D$4:$D$1872,$B147,'июль 2024'!$J$4:$J$1872,T$1)</f>
        <v>0</v>
      </c>
      <c r="U147" s="80">
        <f>SUMIFS('июль 2024'!$G$4:$G$1872,'июль 2024'!$D$4:$D$1872,$B147,'июль 2024'!$J$4:$J$1872,U$1)</f>
        <v>0</v>
      </c>
      <c r="V147" s="80">
        <f>SUMIFS('июль 2024'!$G$4:$G$1872,'июль 2024'!$D$4:$D$1872,$B147,'июль 2024'!$J$4:$J$1872,V$1)</f>
        <v>0</v>
      </c>
      <c r="W147" s="80">
        <f>SUMIFS('июль 2024'!$G$4:$G$1872,'июль 2024'!$D$4:$D$1872,$B147,'июль 2024'!$J$4:$J$1872,W$1)</f>
        <v>0</v>
      </c>
      <c r="X147" s="80">
        <f>SUMIFS('июль 2024'!$G$4:$G$1872,'июль 2024'!$D$4:$D$1872,$B147,'июль 2024'!$J$4:$J$1872,X$1)</f>
        <v>0</v>
      </c>
      <c r="Y147" s="80">
        <f>SUMIFS('июль 2024'!$G$4:$G$1872,'июль 2024'!$D$4:$D$1872,$B147,'июль 2024'!$J$4:$J$1872,Y$1)</f>
        <v>0</v>
      </c>
      <c r="Z147" s="80">
        <f>SUMIFS('июль 2024'!$G$4:$G$1872,'июль 2024'!$D$4:$D$1872,$B147,'июль 2024'!$J$4:$J$1872,Z$1)</f>
        <v>0</v>
      </c>
      <c r="AA147" s="80">
        <f>SUMIFS('июль 2024'!$G$4:$G$1872,'июль 2024'!$D$4:$D$1872,$B147,'июль 2024'!$J$4:$J$1872,AA$1)</f>
        <v>0</v>
      </c>
      <c r="AB147" s="80">
        <f>SUMIFS('июль 2024'!$G$4:$G$1872,'июль 2024'!$D$4:$D$1872,$B147,'июль 2024'!$J$4:$J$1872,AB$1)</f>
        <v>0</v>
      </c>
      <c r="AC147" s="80">
        <f>SUMIFS('июль 2024'!$G$4:$G$1872,'июль 2024'!$D$4:$D$1872,$B147,'июль 2024'!$J$4:$J$1872,AC$1)</f>
        <v>0</v>
      </c>
      <c r="AD147" s="80">
        <f>SUMIFS('июль 2024'!$G$4:$G$1872,'июль 2024'!$D$4:$D$1872,$B147,'июль 2024'!$J$4:$J$1872,AD$1)</f>
        <v>0</v>
      </c>
      <c r="AE147" s="80">
        <f>SUMIFS('июль 2024'!$G$4:$G$1872,'июль 2024'!$D$4:$D$1872,$B147,'июль 2024'!$J$4:$J$1872,AE$1)</f>
        <v>0</v>
      </c>
      <c r="AF147" s="80">
        <f>SUMIFS('июль 2024'!$G$4:$G$1872,'июль 2024'!$D$4:$D$1872,$B147,'июль 2024'!$J$4:$J$1872,AF$1)</f>
        <v>0</v>
      </c>
      <c r="AG147" s="80">
        <f>SUMIFS('июль 2024'!$G$4:$G$1872,'июль 2024'!$D$4:$D$1872,$B147,'июль 2024'!$J$4:$J$1872,AG$1)</f>
        <v>0</v>
      </c>
      <c r="AH147" s="80">
        <f>SUMIFS('июль 2024'!$G$4:$G$1872,'июль 2024'!$D$4:$D$1872,$B147,'июль 2024'!$J$4:$J$1872,AH$1)</f>
        <v>0</v>
      </c>
      <c r="AI147" s="21">
        <f t="shared" si="1"/>
        <v>0</v>
      </c>
    </row>
    <row r="148" spans="2:35" ht="15" customHeight="1" x14ac:dyDescent="0.25">
      <c r="B148" s="89" t="s">
        <v>994</v>
      </c>
      <c r="C148" s="88">
        <v>200</v>
      </c>
      <c r="D148" s="80">
        <f>SUMIFS('июль 2024'!$G$4:$G$1872,'июль 2024'!$D$4:$D$1872,$B148,'июль 2024'!$J$4:$J$1872,D$1)</f>
        <v>0</v>
      </c>
      <c r="E148" s="80">
        <f>SUMIFS('июль 2024'!$G$4:$G$1872,'июль 2024'!$D$4:$D$1872,$B148,'июль 2024'!$J$4:$J$1872,E$1)</f>
        <v>0</v>
      </c>
      <c r="F148" s="80">
        <f>SUMIFS('июль 2024'!$G$4:$G$1872,'июль 2024'!$D$4:$D$1872,$B148,'июль 2024'!$J$4:$J$1872,F$1)</f>
        <v>0</v>
      </c>
      <c r="G148" s="80">
        <f>SUMIFS('июль 2024'!$G$4:$G$1872,'июль 2024'!$D$4:$D$1872,$B148,'июль 2024'!$J$4:$J$1872,G$1)</f>
        <v>0</v>
      </c>
      <c r="H148" s="80">
        <f>SUMIFS('июль 2024'!$G$4:$G$1872,'июль 2024'!$D$4:$D$1872,$B148,'июль 2024'!$J$4:$J$1872,H$1)</f>
        <v>0</v>
      </c>
      <c r="I148" s="80">
        <f>SUMIFS('июль 2024'!$G$4:$G$1872,'июль 2024'!$D$4:$D$1872,$B148,'июль 2024'!$J$4:$J$1872,I$1)</f>
        <v>0</v>
      </c>
      <c r="J148" s="80">
        <f>SUMIFS('июль 2024'!$G$4:$G$1872,'июль 2024'!$D$4:$D$1872,$B148,'июль 2024'!$J$4:$J$1872,J$1)</f>
        <v>0</v>
      </c>
      <c r="K148" s="80">
        <f>SUMIFS('июль 2024'!$G$4:$G$1872,'июль 2024'!$D$4:$D$1872,$B148,'июль 2024'!$J$4:$J$1872,K$1)</f>
        <v>0</v>
      </c>
      <c r="L148" s="80">
        <f>SUMIFS('июль 2024'!$G$4:$G$1872,'июль 2024'!$D$4:$D$1872,$B148,'июль 2024'!$J$4:$J$1872,L$1)</f>
        <v>0</v>
      </c>
      <c r="M148" s="80">
        <f>SUMIFS('июль 2024'!$G$4:$G$1872,'июль 2024'!$D$4:$D$1872,$B148,'июль 2024'!$J$4:$J$1872,M$1)</f>
        <v>0</v>
      </c>
      <c r="N148" s="80">
        <f>SUMIFS('июль 2024'!$G$4:$G$1872,'июль 2024'!$D$4:$D$1872,$B148,'июль 2024'!$J$4:$J$1872,N$1)</f>
        <v>0</v>
      </c>
      <c r="O148" s="80">
        <f>SUMIFS('июль 2024'!$G$4:$G$1872,'июль 2024'!$D$4:$D$1872,$B148,'июль 2024'!$J$4:$J$1872,O$1)</f>
        <v>0</v>
      </c>
      <c r="P148" s="80">
        <f>SUMIFS('июль 2024'!$G$4:$G$1872,'июль 2024'!$D$4:$D$1872,$B148,'июль 2024'!$J$4:$J$1872,P$1)</f>
        <v>0</v>
      </c>
      <c r="Q148" s="80">
        <f>SUMIFS('июль 2024'!$G$4:$G$1872,'июль 2024'!$D$4:$D$1872,$B148,'июль 2024'!$J$4:$J$1872,Q$1)</f>
        <v>0</v>
      </c>
      <c r="R148" s="80">
        <f>SUMIFS('июль 2024'!$G$4:$G$1872,'июль 2024'!$D$4:$D$1872,$B148,'июль 2024'!$J$4:$J$1872,R$1)</f>
        <v>0</v>
      </c>
      <c r="S148" s="80">
        <f>SUMIFS('июль 2024'!$G$4:$G$1872,'июль 2024'!$D$4:$D$1872,$B148,'июль 2024'!$J$4:$J$1872,S$1)</f>
        <v>0</v>
      </c>
      <c r="T148" s="80">
        <f>SUMIFS('июль 2024'!$G$4:$G$1872,'июль 2024'!$D$4:$D$1872,$B148,'июль 2024'!$J$4:$J$1872,T$1)</f>
        <v>0</v>
      </c>
      <c r="U148" s="80">
        <f>SUMIFS('июль 2024'!$G$4:$G$1872,'июль 2024'!$D$4:$D$1872,$B148,'июль 2024'!$J$4:$J$1872,U$1)</f>
        <v>0</v>
      </c>
      <c r="V148" s="80">
        <f>SUMIFS('июль 2024'!$G$4:$G$1872,'июль 2024'!$D$4:$D$1872,$B148,'июль 2024'!$J$4:$J$1872,V$1)</f>
        <v>0</v>
      </c>
      <c r="W148" s="80">
        <f>SUMIFS('июль 2024'!$G$4:$G$1872,'июль 2024'!$D$4:$D$1872,$B148,'июль 2024'!$J$4:$J$1872,W$1)</f>
        <v>0</v>
      </c>
      <c r="X148" s="80">
        <f>SUMIFS('июль 2024'!$G$4:$G$1872,'июль 2024'!$D$4:$D$1872,$B148,'июль 2024'!$J$4:$J$1872,X$1)</f>
        <v>0</v>
      </c>
      <c r="Y148" s="80">
        <f>SUMIFS('июль 2024'!$G$4:$G$1872,'июль 2024'!$D$4:$D$1872,$B148,'июль 2024'!$J$4:$J$1872,Y$1)</f>
        <v>0</v>
      </c>
      <c r="Z148" s="80">
        <f>SUMIFS('июль 2024'!$G$4:$G$1872,'июль 2024'!$D$4:$D$1872,$B148,'июль 2024'!$J$4:$J$1872,Z$1)</f>
        <v>0</v>
      </c>
      <c r="AA148" s="80">
        <f>SUMIFS('июль 2024'!$G$4:$G$1872,'июль 2024'!$D$4:$D$1872,$B148,'июль 2024'!$J$4:$J$1872,AA$1)</f>
        <v>0</v>
      </c>
      <c r="AB148" s="80">
        <f>SUMIFS('июль 2024'!$G$4:$G$1872,'июль 2024'!$D$4:$D$1872,$B148,'июль 2024'!$J$4:$J$1872,AB$1)</f>
        <v>0</v>
      </c>
      <c r="AC148" s="80">
        <f>SUMIFS('июль 2024'!$G$4:$G$1872,'июль 2024'!$D$4:$D$1872,$B148,'июль 2024'!$J$4:$J$1872,AC$1)</f>
        <v>0</v>
      </c>
      <c r="AD148" s="80">
        <f>SUMIFS('июль 2024'!$G$4:$G$1872,'июль 2024'!$D$4:$D$1872,$B148,'июль 2024'!$J$4:$J$1872,AD$1)</f>
        <v>0</v>
      </c>
      <c r="AE148" s="80">
        <f>SUMIFS('июль 2024'!$G$4:$G$1872,'июль 2024'!$D$4:$D$1872,$B148,'июль 2024'!$J$4:$J$1872,AE$1)</f>
        <v>0</v>
      </c>
      <c r="AF148" s="80">
        <f>SUMIFS('июль 2024'!$G$4:$G$1872,'июль 2024'!$D$4:$D$1872,$B148,'июль 2024'!$J$4:$J$1872,AF$1)</f>
        <v>0</v>
      </c>
      <c r="AG148" s="80">
        <f>SUMIFS('июль 2024'!$G$4:$G$1872,'июль 2024'!$D$4:$D$1872,$B148,'июль 2024'!$J$4:$J$1872,AG$1)</f>
        <v>0</v>
      </c>
      <c r="AH148" s="80">
        <f>SUMIFS('июль 2024'!$G$4:$G$1872,'июль 2024'!$D$4:$D$1872,$B148,'июль 2024'!$J$4:$J$1872,AH$1)</f>
        <v>0</v>
      </c>
      <c r="AI148" s="21">
        <f>SUM(D148:AH148)</f>
        <v>0</v>
      </c>
    </row>
    <row r="149" spans="2:35" ht="15" customHeight="1" x14ac:dyDescent="0.25">
      <c r="B149" s="89" t="s">
        <v>1118</v>
      </c>
      <c r="C149" s="88">
        <v>175</v>
      </c>
      <c r="D149" s="80">
        <f>SUMIFS('июль 2024'!$G$4:$G$1872,'июль 2024'!$D$4:$D$1872,$B149,'июль 2024'!$J$4:$J$1872,D$1)</f>
        <v>0</v>
      </c>
      <c r="E149" s="80">
        <f>SUMIFS('июль 2024'!$G$4:$G$1872,'июль 2024'!$D$4:$D$1872,$B149,'июль 2024'!$J$4:$J$1872,E$1)</f>
        <v>0</v>
      </c>
      <c r="F149" s="80">
        <f>SUMIFS('июль 2024'!$G$4:$G$1872,'июль 2024'!$D$4:$D$1872,$B149,'июль 2024'!$J$4:$J$1872,F$1)</f>
        <v>0</v>
      </c>
      <c r="G149" s="80">
        <f>SUMIFS('июль 2024'!$G$4:$G$1872,'июль 2024'!$D$4:$D$1872,$B149,'июль 2024'!$J$4:$J$1872,G$1)</f>
        <v>0</v>
      </c>
      <c r="H149" s="80">
        <f>SUMIFS('июль 2024'!$G$4:$G$1872,'июль 2024'!$D$4:$D$1872,$B149,'июль 2024'!$J$4:$J$1872,H$1)</f>
        <v>0</v>
      </c>
      <c r="I149" s="80">
        <f>SUMIFS('июль 2024'!$G$4:$G$1872,'июль 2024'!$D$4:$D$1872,$B149,'июль 2024'!$J$4:$J$1872,I$1)</f>
        <v>0</v>
      </c>
      <c r="J149" s="80">
        <f>SUMIFS('июль 2024'!$G$4:$G$1872,'июль 2024'!$D$4:$D$1872,$B149,'июль 2024'!$J$4:$J$1872,J$1)</f>
        <v>0</v>
      </c>
      <c r="K149" s="80">
        <f>SUMIFS('июль 2024'!$G$4:$G$1872,'июль 2024'!$D$4:$D$1872,$B149,'июль 2024'!$J$4:$J$1872,K$1)</f>
        <v>0</v>
      </c>
      <c r="L149" s="80">
        <f>SUMIFS('июль 2024'!$G$4:$G$1872,'июль 2024'!$D$4:$D$1872,$B149,'июль 2024'!$J$4:$J$1872,L$1)</f>
        <v>0</v>
      </c>
      <c r="M149" s="80">
        <f>SUMIFS('июль 2024'!$G$4:$G$1872,'июль 2024'!$D$4:$D$1872,$B149,'июль 2024'!$J$4:$J$1872,M$1)</f>
        <v>0</v>
      </c>
      <c r="N149" s="80">
        <f>SUMIFS('июль 2024'!$G$4:$G$1872,'июль 2024'!$D$4:$D$1872,$B149,'июль 2024'!$J$4:$J$1872,N$1)</f>
        <v>0</v>
      </c>
      <c r="O149" s="80">
        <f>SUMIFS('июль 2024'!$G$4:$G$1872,'июль 2024'!$D$4:$D$1872,$B149,'июль 2024'!$J$4:$J$1872,O$1)</f>
        <v>0</v>
      </c>
      <c r="P149" s="80">
        <f>SUMIFS('июль 2024'!$G$4:$G$1872,'июль 2024'!$D$4:$D$1872,$B149,'июль 2024'!$J$4:$J$1872,P$1)</f>
        <v>0</v>
      </c>
      <c r="Q149" s="80">
        <f>SUMIFS('июль 2024'!$G$4:$G$1872,'июль 2024'!$D$4:$D$1872,$B149,'июль 2024'!$J$4:$J$1872,Q$1)</f>
        <v>0</v>
      </c>
      <c r="R149" s="80">
        <f>SUMIFS('июль 2024'!$G$4:$G$1872,'июль 2024'!$D$4:$D$1872,$B149,'июль 2024'!$J$4:$J$1872,R$1)</f>
        <v>0</v>
      </c>
      <c r="S149" s="80">
        <f>SUMIFS('июль 2024'!$G$4:$G$1872,'июль 2024'!$D$4:$D$1872,$B149,'июль 2024'!$J$4:$J$1872,S$1)</f>
        <v>0</v>
      </c>
      <c r="T149" s="80">
        <f>SUMIFS('июль 2024'!$G$4:$G$1872,'июль 2024'!$D$4:$D$1872,$B149,'июль 2024'!$J$4:$J$1872,T$1)</f>
        <v>0</v>
      </c>
      <c r="U149" s="80">
        <f>SUMIFS('июль 2024'!$G$4:$G$1872,'июль 2024'!$D$4:$D$1872,$B149,'июль 2024'!$J$4:$J$1872,U$1)</f>
        <v>0</v>
      </c>
      <c r="V149" s="80">
        <f>SUMIFS('июль 2024'!$G$4:$G$1872,'июль 2024'!$D$4:$D$1872,$B149,'июль 2024'!$J$4:$J$1872,V$1)</f>
        <v>0</v>
      </c>
      <c r="W149" s="80">
        <f>SUMIFS('июль 2024'!$G$4:$G$1872,'июль 2024'!$D$4:$D$1872,$B149,'июль 2024'!$J$4:$J$1872,W$1)</f>
        <v>0</v>
      </c>
      <c r="X149" s="80">
        <f>SUMIFS('июль 2024'!$G$4:$G$1872,'июль 2024'!$D$4:$D$1872,$B149,'июль 2024'!$J$4:$J$1872,X$1)</f>
        <v>0</v>
      </c>
      <c r="Y149" s="80">
        <f>SUMIFS('июль 2024'!$G$4:$G$1872,'июль 2024'!$D$4:$D$1872,$B149,'июль 2024'!$J$4:$J$1872,Y$1)</f>
        <v>0</v>
      </c>
      <c r="Z149" s="80">
        <f>SUMIFS('июль 2024'!$G$4:$G$1872,'июль 2024'!$D$4:$D$1872,$B149,'июль 2024'!$J$4:$J$1872,Z$1)</f>
        <v>0</v>
      </c>
      <c r="AA149" s="80">
        <f>SUMIFS('июль 2024'!$G$4:$G$1872,'июль 2024'!$D$4:$D$1872,$B149,'июль 2024'!$J$4:$J$1872,AA$1)</f>
        <v>0</v>
      </c>
      <c r="AB149" s="80">
        <f>SUMIFS('июль 2024'!$G$4:$G$1872,'июль 2024'!$D$4:$D$1872,$B149,'июль 2024'!$J$4:$J$1872,AB$1)</f>
        <v>0</v>
      </c>
      <c r="AC149" s="80">
        <f>SUMIFS('июль 2024'!$G$4:$G$1872,'июль 2024'!$D$4:$D$1872,$B149,'июль 2024'!$J$4:$J$1872,AC$1)</f>
        <v>0</v>
      </c>
      <c r="AD149" s="80">
        <f>SUMIFS('июль 2024'!$G$4:$G$1872,'июль 2024'!$D$4:$D$1872,$B149,'июль 2024'!$J$4:$J$1872,AD$1)</f>
        <v>0</v>
      </c>
      <c r="AE149" s="80">
        <f>SUMIFS('июль 2024'!$G$4:$G$1872,'июль 2024'!$D$4:$D$1872,$B149,'июль 2024'!$J$4:$J$1872,AE$1)</f>
        <v>0</v>
      </c>
      <c r="AF149" s="80">
        <f>SUMIFS('июль 2024'!$G$4:$G$1872,'июль 2024'!$D$4:$D$1872,$B149,'июль 2024'!$J$4:$J$1872,AF$1)</f>
        <v>0</v>
      </c>
      <c r="AG149" s="80">
        <f>SUMIFS('июль 2024'!$G$4:$G$1872,'июль 2024'!$D$4:$D$1872,$B149,'июль 2024'!$J$4:$J$1872,AG$1)</f>
        <v>0</v>
      </c>
      <c r="AH149" s="80">
        <f>SUMIFS('июль 2024'!$G$4:$G$1872,'июль 2024'!$D$4:$D$1872,$B149,'июль 2024'!$J$4:$J$1872,AH$1)</f>
        <v>0</v>
      </c>
      <c r="AI149" s="21">
        <f>SUM(D149:AH149)</f>
        <v>0</v>
      </c>
    </row>
    <row r="150" spans="2:35" ht="15" customHeight="1" x14ac:dyDescent="0.25">
      <c r="B150" s="89"/>
      <c r="C150" s="88"/>
      <c r="D150" s="80">
        <f>SUMIFS('июль 2024'!$G$4:$G$1872,'июль 2024'!$D$4:$D$1872,$B150,'июль 2024'!$J$4:$J$1872,D$1)</f>
        <v>0</v>
      </c>
      <c r="E150" s="80">
        <f>SUMIFS('июль 2024'!$G$4:$G$1872,'июль 2024'!$D$4:$D$1872,$B150,'июль 2024'!$J$4:$J$1872,E$1)</f>
        <v>0</v>
      </c>
      <c r="F150" s="80">
        <f>SUMIFS('июль 2024'!$G$4:$G$1872,'июль 2024'!$D$4:$D$1872,$B150,'июль 2024'!$J$4:$J$1872,F$1)</f>
        <v>0</v>
      </c>
      <c r="G150" s="80">
        <f>SUMIFS('июль 2024'!$G$4:$G$1872,'июль 2024'!$D$4:$D$1872,$B150,'июль 2024'!$J$4:$J$1872,G$1)</f>
        <v>0</v>
      </c>
      <c r="H150" s="80">
        <f>SUMIFS('июль 2024'!$G$4:$G$1872,'июль 2024'!$D$4:$D$1872,$B150,'июль 2024'!$J$4:$J$1872,H$1)</f>
        <v>0</v>
      </c>
      <c r="I150" s="80">
        <f>SUMIFS('июль 2024'!$G$4:$G$1872,'июль 2024'!$D$4:$D$1872,$B150,'июль 2024'!$J$4:$J$1872,I$1)</f>
        <v>0</v>
      </c>
      <c r="J150" s="80">
        <f>SUMIFS('июль 2024'!$G$4:$G$1872,'июль 2024'!$D$4:$D$1872,$B150,'июль 2024'!$J$4:$J$1872,J$1)</f>
        <v>0</v>
      </c>
      <c r="K150" s="80">
        <f>SUMIFS('июль 2024'!$G$4:$G$1872,'июль 2024'!$D$4:$D$1872,$B150,'июль 2024'!$J$4:$J$1872,K$1)</f>
        <v>0</v>
      </c>
      <c r="L150" s="80">
        <f>SUMIFS('июль 2024'!$G$4:$G$1872,'июль 2024'!$D$4:$D$1872,$B150,'июль 2024'!$J$4:$J$1872,L$1)</f>
        <v>0</v>
      </c>
      <c r="M150" s="80">
        <f>SUMIFS('июль 2024'!$G$4:$G$1872,'июль 2024'!$D$4:$D$1872,$B150,'июль 2024'!$J$4:$J$1872,M$1)</f>
        <v>0</v>
      </c>
      <c r="N150" s="80">
        <f>SUMIFS('июль 2024'!$G$4:$G$1872,'июль 2024'!$D$4:$D$1872,$B150,'июль 2024'!$J$4:$J$1872,N$1)</f>
        <v>0</v>
      </c>
      <c r="O150" s="80">
        <f>SUMIFS('июль 2024'!$G$4:$G$1872,'июль 2024'!$D$4:$D$1872,$B150,'июль 2024'!$J$4:$J$1872,O$1)</f>
        <v>0</v>
      </c>
      <c r="P150" s="80">
        <f>SUMIFS('июль 2024'!$G$4:$G$1872,'июль 2024'!$D$4:$D$1872,$B150,'июль 2024'!$J$4:$J$1872,P$1)</f>
        <v>0</v>
      </c>
      <c r="Q150" s="80">
        <f>SUMIFS('июль 2024'!$G$4:$G$1872,'июль 2024'!$D$4:$D$1872,$B150,'июль 2024'!$J$4:$J$1872,Q$1)</f>
        <v>0</v>
      </c>
      <c r="R150" s="80">
        <f>SUMIFS('июль 2024'!$G$4:$G$1872,'июль 2024'!$D$4:$D$1872,$B150,'июль 2024'!$J$4:$J$1872,R$1)</f>
        <v>0</v>
      </c>
      <c r="S150" s="80">
        <f>SUMIFS('июль 2024'!$G$4:$G$1872,'июль 2024'!$D$4:$D$1872,$B150,'июль 2024'!$J$4:$J$1872,S$1)</f>
        <v>0</v>
      </c>
      <c r="T150" s="80">
        <f>SUMIFS('июль 2024'!$G$4:$G$1872,'июль 2024'!$D$4:$D$1872,$B150,'июль 2024'!$J$4:$J$1872,T$1)</f>
        <v>0</v>
      </c>
      <c r="U150" s="80">
        <f>SUMIFS('июль 2024'!$G$4:$G$1872,'июль 2024'!$D$4:$D$1872,$B150,'июль 2024'!$J$4:$J$1872,U$1)</f>
        <v>0</v>
      </c>
      <c r="V150" s="80">
        <f>SUMIFS('июль 2024'!$G$4:$G$1872,'июль 2024'!$D$4:$D$1872,$B150,'июль 2024'!$J$4:$J$1872,V$1)</f>
        <v>0</v>
      </c>
      <c r="W150" s="80">
        <f>SUMIFS('июль 2024'!$G$4:$G$1872,'июль 2024'!$D$4:$D$1872,$B150,'июль 2024'!$J$4:$J$1872,W$1)</f>
        <v>0</v>
      </c>
      <c r="X150" s="80">
        <f>SUMIFS('июль 2024'!$G$4:$G$1872,'июль 2024'!$D$4:$D$1872,$B150,'июль 2024'!$J$4:$J$1872,X$1)</f>
        <v>0</v>
      </c>
      <c r="Y150" s="80">
        <f>SUMIFS('июль 2024'!$G$4:$G$1872,'июль 2024'!$D$4:$D$1872,$B150,'июль 2024'!$J$4:$J$1872,Y$1)</f>
        <v>0</v>
      </c>
      <c r="Z150" s="80">
        <f>SUMIFS('июль 2024'!$G$4:$G$1872,'июль 2024'!$D$4:$D$1872,$B150,'июль 2024'!$J$4:$J$1872,Z$1)</f>
        <v>0</v>
      </c>
      <c r="AA150" s="80">
        <f>SUMIFS('июль 2024'!$G$4:$G$1872,'июль 2024'!$D$4:$D$1872,$B150,'июль 2024'!$J$4:$J$1872,AA$1)</f>
        <v>0</v>
      </c>
      <c r="AB150" s="80">
        <f>SUMIFS('июль 2024'!$G$4:$G$1872,'июль 2024'!$D$4:$D$1872,$B150,'июль 2024'!$J$4:$J$1872,AB$1)</f>
        <v>0</v>
      </c>
      <c r="AC150" s="80">
        <f>SUMIFS('июль 2024'!$G$4:$G$1872,'июль 2024'!$D$4:$D$1872,$B150,'июль 2024'!$J$4:$J$1872,AC$1)</f>
        <v>0</v>
      </c>
      <c r="AD150" s="80">
        <f>SUMIFS('июль 2024'!$G$4:$G$1872,'июль 2024'!$D$4:$D$1872,$B150,'июль 2024'!$J$4:$J$1872,AD$1)</f>
        <v>0</v>
      </c>
      <c r="AE150" s="80">
        <f>SUMIFS('июль 2024'!$G$4:$G$1872,'июль 2024'!$D$4:$D$1872,$B150,'июль 2024'!$J$4:$J$1872,AE$1)</f>
        <v>0</v>
      </c>
      <c r="AF150" s="80">
        <f>SUMIFS('июль 2024'!$G$4:$G$1872,'июль 2024'!$D$4:$D$1872,$B150,'июль 2024'!$J$4:$J$1872,AF$1)</f>
        <v>0</v>
      </c>
      <c r="AG150" s="80">
        <f>SUMIFS('июль 2024'!$G$4:$G$1872,'июль 2024'!$D$4:$D$1872,$B150,'июль 2024'!$J$4:$J$1872,AG$1)</f>
        <v>0</v>
      </c>
      <c r="AH150" s="80">
        <f>SUMIFS('июль 2024'!$G$4:$G$1872,'июль 2024'!$D$4:$D$1872,$B150,'июль 2024'!$J$4:$J$1872,AH$1)</f>
        <v>0</v>
      </c>
      <c r="AI150" s="21">
        <f>SUM(D150:AH150)</f>
        <v>0</v>
      </c>
    </row>
    <row r="151" spans="2:35" ht="15" customHeight="1" x14ac:dyDescent="0.25">
      <c r="B151" s="89"/>
      <c r="C151" s="88"/>
      <c r="D151" s="86">
        <f>SUMIFS('март 2024'!$G$6:$G$1612,'март 2024'!$D$6:$D$1612,$B151,'март 2024'!$J$6:$J$1612,D$1)</f>
        <v>0</v>
      </c>
      <c r="E151" s="86">
        <f>SUMIFS('март 2024'!$G$6:$G$1612,'март 2024'!$D$6:$D$1612,$B151,'март 2024'!$J$6:$J$1612,E$1)</f>
        <v>0</v>
      </c>
      <c r="F151" s="86">
        <f>SUMIFS('март 2024'!$G$6:$G$1612,'март 2024'!$D$6:$D$1612,$B151,'март 2024'!$J$6:$J$1612,F$1)</f>
        <v>0</v>
      </c>
      <c r="G151" s="86">
        <f>SUMIFS('март 2024'!$G$6:$G$1612,'март 2024'!$D$6:$D$1612,$B151,'март 2024'!$J$6:$J$1612,G$1)</f>
        <v>0</v>
      </c>
      <c r="H151" s="86">
        <f>SUMIFS('март 2024'!$G$6:$G$1612,'март 2024'!$D$6:$D$1612,$B151,'март 2024'!$J$6:$J$1612,H$1)</f>
        <v>0</v>
      </c>
      <c r="I151" s="86">
        <f>SUMIFS('март 2024'!$G$6:$G$1612,'март 2024'!$D$6:$D$1612,$B151,'март 2024'!$J$6:$J$1612,I$1)</f>
        <v>0</v>
      </c>
      <c r="J151" s="86">
        <f>SUMIFS('март 2024'!$G$6:$G$1612,'март 2024'!$D$6:$D$1612,$B151,'март 2024'!$J$6:$J$1612,J$1)</f>
        <v>0</v>
      </c>
      <c r="K151" s="86">
        <f>SUMIFS('март 2024'!$G$6:$G$1612,'март 2024'!$D$6:$D$1612,$B151,'март 2024'!$J$6:$J$1612,K$1)</f>
        <v>0</v>
      </c>
      <c r="L151" s="86">
        <f>SUMIFS('март 2024'!$G$6:$G$1612,'март 2024'!$D$6:$D$1612,$B151,'март 2024'!$J$6:$J$1612,L$1)</f>
        <v>0</v>
      </c>
      <c r="M151" s="86">
        <f>SUMIFS('март 2024'!$G$6:$G$1612,'март 2024'!$D$6:$D$1612,$B151,'март 2024'!$J$6:$J$1612,M$1)</f>
        <v>0</v>
      </c>
      <c r="N151" s="86">
        <f>SUMIFS('март 2024'!$G$6:$G$1612,'март 2024'!$D$6:$D$1612,$B151,'март 2024'!$J$6:$J$1612,N$1)</f>
        <v>0</v>
      </c>
      <c r="O151" s="86">
        <f>SUMIFS('март 2024'!$G$6:$G$1612,'март 2024'!$D$6:$D$1612,$B151,'март 2024'!$J$6:$J$1612,O$1)</f>
        <v>0</v>
      </c>
      <c r="P151" s="86">
        <f>SUMIFS('март 2024'!$G$6:$G$1612,'март 2024'!$D$6:$D$1612,$B151,'март 2024'!$J$6:$J$1612,P$1)</f>
        <v>0</v>
      </c>
      <c r="Q151" s="86">
        <f>SUMIFS('март 2024'!$G$6:$G$1612,'март 2024'!$D$6:$D$1612,$B151,'март 2024'!$J$6:$J$1612,Q$1)</f>
        <v>0</v>
      </c>
      <c r="R151" s="86">
        <f>SUMIFS('март 2024'!$G$6:$G$1612,'март 2024'!$D$6:$D$1612,$B151,'март 2024'!$J$6:$J$1612,R$1)</f>
        <v>0</v>
      </c>
      <c r="S151" s="86">
        <f>SUMIFS('март 2024'!$G$6:$G$1612,'март 2024'!$D$6:$D$1612,$B151,'март 2024'!$J$6:$J$1612,S$1)</f>
        <v>0</v>
      </c>
      <c r="T151" s="86">
        <f>SUMIFS('март 2024'!$G$6:$G$1612,'март 2024'!$D$6:$D$1612,$B151,'март 2024'!$J$6:$J$1612,T$1)</f>
        <v>0</v>
      </c>
      <c r="U151" s="86">
        <f>SUMIFS('март 2024'!$G$6:$G$1612,'март 2024'!$D$6:$D$1612,$B151,'март 2024'!$J$6:$J$1612,U$1)</f>
        <v>0</v>
      </c>
      <c r="V151" s="86">
        <f>SUMIFS('март 2024'!$G$6:$G$1612,'март 2024'!$D$6:$D$1612,$B151,'март 2024'!$J$6:$J$1612,V$1)</f>
        <v>0</v>
      </c>
      <c r="W151" s="86">
        <f>SUMIFS('март 2024'!$G$6:$G$1612,'март 2024'!$D$6:$D$1612,$B151,'март 2024'!$J$6:$J$1612,W$1)</f>
        <v>0</v>
      </c>
      <c r="X151" s="86">
        <f>SUMIFS('март 2024'!$G$6:$G$1612,'март 2024'!$D$6:$D$1612,$B151,'март 2024'!$J$6:$J$1612,X$1)</f>
        <v>0</v>
      </c>
      <c r="Y151" s="86">
        <f>SUMIFS('март 2024'!$G$6:$G$1612,'март 2024'!$D$6:$D$1612,$B151,'март 2024'!$J$6:$J$1612,Y$1)</f>
        <v>0</v>
      </c>
      <c r="Z151" s="86">
        <f>SUMIFS('март 2024'!$G$6:$G$1612,'март 2024'!$D$6:$D$1612,$B151,'март 2024'!$J$6:$J$1612,Z$1)</f>
        <v>0</v>
      </c>
      <c r="AA151" s="86">
        <f>SUMIFS('март 2024'!$G$6:$G$1612,'март 2024'!$D$6:$D$1612,$B151,'март 2024'!$J$6:$J$1612,AA$1)</f>
        <v>0</v>
      </c>
      <c r="AB151" s="86">
        <f>SUMIFS('март 2024'!$G$6:$G$1612,'март 2024'!$D$6:$D$1612,$B151,'март 2024'!$J$6:$J$1612,AB$1)</f>
        <v>0</v>
      </c>
      <c r="AC151" s="86">
        <f>SUMIFS('март 2024'!$G$6:$G$1612,'март 2024'!$D$6:$D$1612,$B151,'март 2024'!$J$6:$J$1612,AC$1)</f>
        <v>0</v>
      </c>
      <c r="AD151" s="86">
        <f>SUMIFS('март 2024'!$G$6:$G$1612,'март 2024'!$D$6:$D$1612,$B151,'март 2024'!$J$6:$J$1612,AD$1)</f>
        <v>0</v>
      </c>
      <c r="AE151" s="86">
        <f>SUMIFS('март 2024'!$G$6:$G$1612,'март 2024'!$D$6:$D$1612,$B151,'март 2024'!$J$6:$J$1612,AE$1)</f>
        <v>0</v>
      </c>
      <c r="AF151" s="86">
        <f>SUMIFS('март 2024'!$G$6:$G$1612,'март 2024'!$D$6:$D$1612,$B151,'март 2024'!$J$6:$J$1612,AF$1)</f>
        <v>0</v>
      </c>
      <c r="AG151" s="86">
        <f>SUMIFS('март 2024'!$G$6:$G$1612,'март 2024'!$D$6:$D$1612,$B151,'март 2024'!$J$6:$J$1612,AG$1)</f>
        <v>0</v>
      </c>
      <c r="AH151" s="86">
        <f>SUMIFS('март 2024'!$G$6:$G$1612,'март 2024'!$D$6:$D$1612,$B151,'март 2024'!$J$6:$J$1612,AH$1)</f>
        <v>0</v>
      </c>
      <c r="AI151" s="21">
        <f>SUM(D151:AH151)</f>
        <v>0</v>
      </c>
    </row>
    <row r="152" spans="2:35" ht="15" hidden="1" customHeight="1" x14ac:dyDescent="0.25">
      <c r="B152" s="89"/>
      <c r="C152" s="88"/>
      <c r="D152" s="80">
        <f>SUMIFS('февраль 2024'!$G$6:$G$1413,'февраль 2024'!$D$6:$D$1413,$B152,'февраль 2024'!$J$6:$J$1413,D$1)</f>
        <v>0</v>
      </c>
      <c r="E152" s="80">
        <f>SUMIFS('февраль 2024'!$G$6:$G$1413,'февраль 2024'!$D$6:$D$1413,$B152,'февраль 2024'!$J$6:$J$1413,E$1)</f>
        <v>0</v>
      </c>
      <c r="F152" s="80">
        <f>SUMIFS('февраль 2024'!$G$6:$G$1413,'февраль 2024'!$D$6:$D$1413,$B152,'февраль 2024'!$J$6:$J$1413,F$1)</f>
        <v>0</v>
      </c>
      <c r="G152" s="80">
        <f>SUMIFS('февраль 2024'!$G$6:$G$1413,'февраль 2024'!$D$6:$D$1413,$B152,'февраль 2024'!$J$6:$J$1413,G$1)</f>
        <v>0</v>
      </c>
      <c r="H152" s="80">
        <f>SUMIFS('февраль 2024'!$G$6:$G$1413,'февраль 2024'!$D$6:$D$1413,$B152,'февраль 2024'!$J$6:$J$1413,H$1)</f>
        <v>0</v>
      </c>
      <c r="I152" s="80">
        <f>SUMIFS('февраль 2024'!$G$6:$G$1413,'февраль 2024'!$D$6:$D$1413,$B152,'февраль 2024'!$J$6:$J$1413,I$1)</f>
        <v>0</v>
      </c>
      <c r="J152" s="80">
        <f>SUMIFS('февраль 2024'!$G$6:$G$1413,'февраль 2024'!$D$6:$D$1413,$B152,'февраль 2024'!$J$6:$J$1413,J$1)</f>
        <v>0</v>
      </c>
      <c r="K152" s="80">
        <f>SUMIFS('февраль 2024'!$G$6:$G$1413,'февраль 2024'!$D$6:$D$1413,$B152,'февраль 2024'!$J$6:$J$1413,K$1)</f>
        <v>0</v>
      </c>
      <c r="L152" s="80">
        <f>SUMIFS('февраль 2024'!$G$6:$G$1413,'февраль 2024'!$D$6:$D$1413,$B152,'февраль 2024'!$J$6:$J$1413,L$1)</f>
        <v>0</v>
      </c>
      <c r="M152" s="80">
        <f>SUMIFS('февраль 2024'!$G$6:$G$1413,'февраль 2024'!$D$6:$D$1413,$B152,'февраль 2024'!$J$6:$J$1413,M$1)</f>
        <v>0</v>
      </c>
      <c r="N152" s="80">
        <f>SUMIFS('февраль 2024'!$G$6:$G$1413,'февраль 2024'!$D$6:$D$1413,$B152,'февраль 2024'!$J$6:$J$1413,N$1)</f>
        <v>0</v>
      </c>
      <c r="O152" s="80">
        <f>SUMIFS('февраль 2024'!$G$6:$G$1413,'февраль 2024'!$D$6:$D$1413,$B152,'февраль 2024'!$J$6:$J$1413,O$1)</f>
        <v>0</v>
      </c>
      <c r="P152" s="80">
        <f>SUMIFS('февраль 2024'!$G$6:$G$1413,'февраль 2024'!$D$6:$D$1413,$B152,'февраль 2024'!$J$6:$J$1413,P$1)</f>
        <v>0</v>
      </c>
      <c r="Q152" s="80">
        <f>SUMIFS('февраль 2024'!$G$6:$G$1413,'февраль 2024'!$D$6:$D$1413,$B152,'февраль 2024'!$J$6:$J$1413,Q$1)</f>
        <v>0</v>
      </c>
      <c r="R152" s="80">
        <f>SUMIFS('февраль 2024'!$G$6:$G$1413,'февраль 2024'!$D$6:$D$1413,$B152,'февраль 2024'!$J$6:$J$1413,R$1)</f>
        <v>0</v>
      </c>
      <c r="S152" s="80">
        <f>SUMIFS('февраль 2024'!$G$6:$G$1413,'февраль 2024'!$D$6:$D$1413,$B152,'февраль 2024'!$J$6:$J$1413,S$1)</f>
        <v>0</v>
      </c>
      <c r="T152" s="80">
        <f>SUMIFS('февраль 2024'!$G$6:$G$1413,'февраль 2024'!$D$6:$D$1413,$B152,'февраль 2024'!$J$6:$J$1413,T$1)</f>
        <v>0</v>
      </c>
      <c r="U152" s="80">
        <f>SUMIFS('февраль 2024'!$G$6:$G$1413,'февраль 2024'!$D$6:$D$1413,$B152,'февраль 2024'!$J$6:$J$1413,U$1)</f>
        <v>0</v>
      </c>
      <c r="V152" s="80">
        <f>SUMIFS('февраль 2024'!$G$6:$G$1413,'февраль 2024'!$D$6:$D$1413,$B152,'февраль 2024'!$J$6:$J$1413,V$1)</f>
        <v>0</v>
      </c>
      <c r="W152" s="80">
        <f>SUMIFS('февраль 2024'!$G$6:$G$1413,'февраль 2024'!$D$6:$D$1413,$B152,'февраль 2024'!$J$6:$J$1413,W$1)</f>
        <v>0</v>
      </c>
      <c r="X152" s="80">
        <f>SUMIFS('февраль 2024'!$G$6:$G$1413,'февраль 2024'!$D$6:$D$1413,$B152,'февраль 2024'!$J$6:$J$1413,X$1)</f>
        <v>0</v>
      </c>
      <c r="Y152" s="80">
        <f>SUMIFS('февраль 2024'!$G$6:$G$1413,'февраль 2024'!$D$6:$D$1413,$B152,'февраль 2024'!$J$6:$J$1413,Y$1)</f>
        <v>0</v>
      </c>
      <c r="Z152" s="80">
        <f>SUMIFS('февраль 2024'!$G$6:$G$1413,'февраль 2024'!$D$6:$D$1413,$B152,'февраль 2024'!$J$6:$J$1413,Z$1)</f>
        <v>0</v>
      </c>
      <c r="AA152" s="80">
        <f>SUMIFS('февраль 2024'!$G$6:$G$1413,'февраль 2024'!$D$6:$D$1413,$B152,'февраль 2024'!$J$6:$J$1413,AA$1)</f>
        <v>0</v>
      </c>
      <c r="AB152" s="80">
        <f>SUMIFS('февраль 2024'!$G$6:$G$1413,'февраль 2024'!$D$6:$D$1413,$B152,'февраль 2024'!$J$6:$J$1413,AB$1)</f>
        <v>0</v>
      </c>
      <c r="AC152" s="80">
        <f>SUMIFS('февраль 2024'!$G$6:$G$1413,'февраль 2024'!$D$6:$D$1413,$B152,'февраль 2024'!$J$6:$J$1413,AC$1)</f>
        <v>0</v>
      </c>
      <c r="AD152" s="80">
        <f>SUMIFS('февраль 2024'!$G$6:$G$1413,'февраль 2024'!$D$6:$D$1413,$B152,'февраль 2024'!$J$6:$J$1413,AD$1)</f>
        <v>0</v>
      </c>
      <c r="AE152" s="80">
        <f>SUMIFS('февраль 2024'!$G$6:$G$1413,'февраль 2024'!$D$6:$D$1413,$B152,'февраль 2024'!$J$6:$J$1413,AE$1)</f>
        <v>0</v>
      </c>
      <c r="AF152" s="80">
        <f>SUMIFS('февраль 2024'!$G$6:$G$1413,'февраль 2024'!$D$6:$D$1413,$B152,'февраль 2024'!$J$6:$J$1413,AF$1)</f>
        <v>0</v>
      </c>
      <c r="AG152" s="80">
        <f>SUMIFS('февраль 2024'!$G$6:$G$1413,'февраль 2024'!$D$6:$D$1413,$B152,'февраль 2024'!$J$6:$J$1413,AG$1)</f>
        <v>0</v>
      </c>
      <c r="AH152" s="80">
        <f>SUMIFS('февраль 2024'!$G$6:$G$1413,'февраль 2024'!$D$6:$D$1413,$B152,'февраль 2024'!$J$6:$J$1413,AH$1)</f>
        <v>0</v>
      </c>
      <c r="AI152" s="87"/>
    </row>
    <row r="153" spans="2:35" ht="15" hidden="1" customHeight="1" x14ac:dyDescent="0.25">
      <c r="B153" s="89"/>
      <c r="C153" s="88"/>
      <c r="D153" s="80">
        <f>SUMIFS('февраль 2024'!$G$6:$G$1413,'февраль 2024'!$D$6:$D$1413,$B153,'февраль 2024'!$J$6:$J$1413,D$1)</f>
        <v>0</v>
      </c>
      <c r="E153" s="80">
        <f>SUMIFS('февраль 2024'!$G$6:$G$1413,'февраль 2024'!$D$6:$D$1413,$B153,'февраль 2024'!$J$6:$J$1413,E$1)</f>
        <v>0</v>
      </c>
      <c r="F153" s="80">
        <f>SUMIFS('февраль 2024'!$G$6:$G$1413,'февраль 2024'!$D$6:$D$1413,$B153,'февраль 2024'!$J$6:$J$1413,F$1)</f>
        <v>0</v>
      </c>
      <c r="G153" s="80">
        <f>SUMIFS('февраль 2024'!$G$6:$G$1413,'февраль 2024'!$D$6:$D$1413,$B153,'февраль 2024'!$J$6:$J$1413,G$1)</f>
        <v>0</v>
      </c>
      <c r="H153" s="80">
        <f>SUMIFS('февраль 2024'!$G$6:$G$1413,'февраль 2024'!$D$6:$D$1413,$B153,'февраль 2024'!$J$6:$J$1413,H$1)</f>
        <v>0</v>
      </c>
      <c r="I153" s="80">
        <f>SUMIFS('февраль 2024'!$G$6:$G$1413,'февраль 2024'!$D$6:$D$1413,$B153,'февраль 2024'!$J$6:$J$1413,I$1)</f>
        <v>0</v>
      </c>
      <c r="J153" s="80">
        <f>SUMIFS('февраль 2024'!$G$6:$G$1413,'февраль 2024'!$D$6:$D$1413,$B153,'февраль 2024'!$J$6:$J$1413,J$1)</f>
        <v>0</v>
      </c>
      <c r="K153" s="80">
        <f>SUMIFS('февраль 2024'!$G$6:$G$1413,'февраль 2024'!$D$6:$D$1413,$B153,'февраль 2024'!$J$6:$J$1413,K$1)</f>
        <v>0</v>
      </c>
      <c r="L153" s="80">
        <f>SUMIFS('февраль 2024'!$G$6:$G$1413,'февраль 2024'!$D$6:$D$1413,$B153,'февраль 2024'!$J$6:$J$1413,L$1)</f>
        <v>0</v>
      </c>
      <c r="M153" s="80">
        <f>SUMIFS('февраль 2024'!$G$6:$G$1413,'февраль 2024'!$D$6:$D$1413,$B153,'февраль 2024'!$J$6:$J$1413,M$1)</f>
        <v>0</v>
      </c>
      <c r="N153" s="80">
        <f>SUMIFS('февраль 2024'!$G$6:$G$1413,'февраль 2024'!$D$6:$D$1413,$B153,'февраль 2024'!$J$6:$J$1413,N$1)</f>
        <v>0</v>
      </c>
      <c r="O153" s="80">
        <f>SUMIFS('февраль 2024'!$G$6:$G$1413,'февраль 2024'!$D$6:$D$1413,$B153,'февраль 2024'!$J$6:$J$1413,O$1)</f>
        <v>0</v>
      </c>
      <c r="P153" s="80">
        <f>SUMIFS('февраль 2024'!$G$6:$G$1413,'февраль 2024'!$D$6:$D$1413,$B153,'февраль 2024'!$J$6:$J$1413,P$1)</f>
        <v>0</v>
      </c>
      <c r="Q153" s="80">
        <f>SUMIFS('февраль 2024'!$G$6:$G$1413,'февраль 2024'!$D$6:$D$1413,$B153,'февраль 2024'!$J$6:$J$1413,Q$1)</f>
        <v>0</v>
      </c>
      <c r="R153" s="80">
        <f>SUMIFS('февраль 2024'!$G$6:$G$1413,'февраль 2024'!$D$6:$D$1413,$B153,'февраль 2024'!$J$6:$J$1413,R$1)</f>
        <v>0</v>
      </c>
      <c r="S153" s="80">
        <f>SUMIFS('февраль 2024'!$G$6:$G$1413,'февраль 2024'!$D$6:$D$1413,$B153,'февраль 2024'!$J$6:$J$1413,S$1)</f>
        <v>0</v>
      </c>
      <c r="T153" s="80">
        <f>SUMIFS('февраль 2024'!$G$6:$G$1413,'февраль 2024'!$D$6:$D$1413,$B153,'февраль 2024'!$J$6:$J$1413,T$1)</f>
        <v>0</v>
      </c>
      <c r="U153" s="80">
        <f>SUMIFS('февраль 2024'!$G$6:$G$1413,'февраль 2024'!$D$6:$D$1413,$B153,'февраль 2024'!$J$6:$J$1413,U$1)</f>
        <v>0</v>
      </c>
      <c r="V153" s="80">
        <f>SUMIFS('февраль 2024'!$G$6:$G$1413,'февраль 2024'!$D$6:$D$1413,$B153,'февраль 2024'!$J$6:$J$1413,V$1)</f>
        <v>0</v>
      </c>
      <c r="W153" s="80">
        <f>SUMIFS('февраль 2024'!$G$6:$G$1413,'февраль 2024'!$D$6:$D$1413,$B153,'февраль 2024'!$J$6:$J$1413,W$1)</f>
        <v>0</v>
      </c>
      <c r="X153" s="80">
        <f>SUMIFS('февраль 2024'!$G$6:$G$1413,'февраль 2024'!$D$6:$D$1413,$B153,'февраль 2024'!$J$6:$J$1413,X$1)</f>
        <v>0</v>
      </c>
      <c r="Y153" s="80">
        <f>SUMIFS('февраль 2024'!$G$6:$G$1413,'февраль 2024'!$D$6:$D$1413,$B153,'февраль 2024'!$J$6:$J$1413,Y$1)</f>
        <v>0</v>
      </c>
      <c r="Z153" s="80">
        <f>SUMIFS('февраль 2024'!$G$6:$G$1413,'февраль 2024'!$D$6:$D$1413,$B153,'февраль 2024'!$J$6:$J$1413,Z$1)</f>
        <v>0</v>
      </c>
      <c r="AA153" s="80">
        <f>SUMIFS('февраль 2024'!$G$6:$G$1413,'февраль 2024'!$D$6:$D$1413,$B153,'февраль 2024'!$J$6:$J$1413,AA$1)</f>
        <v>0</v>
      </c>
      <c r="AB153" s="80">
        <f>SUMIFS('февраль 2024'!$G$6:$G$1413,'февраль 2024'!$D$6:$D$1413,$B153,'февраль 2024'!$J$6:$J$1413,AB$1)</f>
        <v>0</v>
      </c>
      <c r="AC153" s="80">
        <f>SUMIFS('февраль 2024'!$G$6:$G$1413,'февраль 2024'!$D$6:$D$1413,$B153,'февраль 2024'!$J$6:$J$1413,AC$1)</f>
        <v>0</v>
      </c>
      <c r="AD153" s="80">
        <f>SUMIFS('февраль 2024'!$G$6:$G$1413,'февраль 2024'!$D$6:$D$1413,$B153,'февраль 2024'!$J$6:$J$1413,AD$1)</f>
        <v>0</v>
      </c>
      <c r="AE153" s="80">
        <f>SUMIFS('февраль 2024'!$G$6:$G$1413,'февраль 2024'!$D$6:$D$1413,$B153,'февраль 2024'!$J$6:$J$1413,AE$1)</f>
        <v>0</v>
      </c>
      <c r="AF153" s="80">
        <f>SUMIFS('февраль 2024'!$G$6:$G$1413,'февраль 2024'!$D$6:$D$1413,$B153,'февраль 2024'!$J$6:$J$1413,AF$1)</f>
        <v>0</v>
      </c>
      <c r="AG153" s="80">
        <f>SUMIFS('февраль 2024'!$G$6:$G$1413,'февраль 2024'!$D$6:$D$1413,$B153,'февраль 2024'!$J$6:$J$1413,AG$1)</f>
        <v>0</v>
      </c>
      <c r="AH153" s="80">
        <f>SUMIFS('февраль 2024'!$G$6:$G$1413,'февраль 2024'!$D$6:$D$1413,$B153,'февраль 2024'!$J$6:$J$1413,AH$1)</f>
        <v>0</v>
      </c>
      <c r="AI153" s="87"/>
    </row>
    <row r="154" spans="2:35" ht="15" hidden="1" customHeight="1" x14ac:dyDescent="0.25">
      <c r="B154" s="93"/>
      <c r="C154" s="88"/>
      <c r="D154" s="80">
        <f>SUMIFS('февраль 2024'!$G$6:$G$1413,'февраль 2024'!$D$6:$D$1413,$B154,'февраль 2024'!$J$6:$J$1413,D$1)</f>
        <v>0</v>
      </c>
      <c r="E154" s="80">
        <f>SUMIFS('февраль 2024'!$G$6:$G$1413,'февраль 2024'!$D$6:$D$1413,$B154,'февраль 2024'!$J$6:$J$1413,E$1)</f>
        <v>0</v>
      </c>
      <c r="F154" s="80">
        <f>SUMIFS('февраль 2024'!$G$6:$G$1413,'февраль 2024'!$D$6:$D$1413,$B154,'февраль 2024'!$J$6:$J$1413,F$1)</f>
        <v>0</v>
      </c>
      <c r="G154" s="80">
        <f>SUMIFS('февраль 2024'!$G$6:$G$1413,'февраль 2024'!$D$6:$D$1413,$B154,'февраль 2024'!$J$6:$J$1413,G$1)</f>
        <v>0</v>
      </c>
      <c r="H154" s="80">
        <f>SUMIFS('февраль 2024'!$G$6:$G$1413,'февраль 2024'!$D$6:$D$1413,$B154,'февраль 2024'!$J$6:$J$1413,H$1)</f>
        <v>0</v>
      </c>
      <c r="I154" s="80">
        <f>SUMIFS('февраль 2024'!$G$6:$G$1413,'февраль 2024'!$D$6:$D$1413,$B154,'февраль 2024'!$J$6:$J$1413,I$1)</f>
        <v>0</v>
      </c>
      <c r="J154" s="80">
        <f>SUMIFS('февраль 2024'!$G$6:$G$1413,'февраль 2024'!$D$6:$D$1413,$B154,'февраль 2024'!$J$6:$J$1413,J$1)</f>
        <v>0</v>
      </c>
      <c r="K154" s="80">
        <f>SUMIFS('февраль 2024'!$G$6:$G$1413,'февраль 2024'!$D$6:$D$1413,$B154,'февраль 2024'!$J$6:$J$1413,K$1)</f>
        <v>0</v>
      </c>
      <c r="L154" s="80">
        <f>SUMIFS('февраль 2024'!$G$6:$G$1413,'февраль 2024'!$D$6:$D$1413,$B154,'февраль 2024'!$J$6:$J$1413,L$1)</f>
        <v>0</v>
      </c>
      <c r="M154" s="80">
        <f>SUMIFS('февраль 2024'!$G$6:$G$1413,'февраль 2024'!$D$6:$D$1413,$B154,'февраль 2024'!$J$6:$J$1413,M$1)</f>
        <v>0</v>
      </c>
      <c r="N154" s="80">
        <f>SUMIFS('февраль 2024'!$G$6:$G$1413,'февраль 2024'!$D$6:$D$1413,$B154,'февраль 2024'!$J$6:$J$1413,N$1)</f>
        <v>0</v>
      </c>
      <c r="O154" s="80">
        <f>SUMIFS('февраль 2024'!$G$6:$G$1413,'февраль 2024'!$D$6:$D$1413,$B154,'февраль 2024'!$J$6:$J$1413,O$1)</f>
        <v>0</v>
      </c>
      <c r="P154" s="80">
        <f>SUMIFS('февраль 2024'!$G$6:$G$1413,'февраль 2024'!$D$6:$D$1413,$B154,'февраль 2024'!$J$6:$J$1413,P$1)</f>
        <v>0</v>
      </c>
      <c r="Q154" s="80">
        <f>SUMIFS('февраль 2024'!$G$6:$G$1413,'февраль 2024'!$D$6:$D$1413,$B154,'февраль 2024'!$J$6:$J$1413,Q$1)</f>
        <v>0</v>
      </c>
      <c r="R154" s="80">
        <f>SUMIFS('февраль 2024'!$G$6:$G$1413,'февраль 2024'!$D$6:$D$1413,$B154,'февраль 2024'!$J$6:$J$1413,R$1)</f>
        <v>0</v>
      </c>
      <c r="S154" s="80">
        <f>SUMIFS('февраль 2024'!$G$6:$G$1413,'февраль 2024'!$D$6:$D$1413,$B154,'февраль 2024'!$J$6:$J$1413,S$1)</f>
        <v>0</v>
      </c>
      <c r="T154" s="80">
        <f>SUMIFS('февраль 2024'!$G$6:$G$1413,'февраль 2024'!$D$6:$D$1413,$B154,'февраль 2024'!$J$6:$J$1413,T$1)</f>
        <v>0</v>
      </c>
      <c r="U154" s="80">
        <f>SUMIFS('февраль 2024'!$G$6:$G$1413,'февраль 2024'!$D$6:$D$1413,$B154,'февраль 2024'!$J$6:$J$1413,U$1)</f>
        <v>0</v>
      </c>
      <c r="V154" s="80">
        <f>SUMIFS('февраль 2024'!$G$6:$G$1413,'февраль 2024'!$D$6:$D$1413,$B154,'февраль 2024'!$J$6:$J$1413,V$1)</f>
        <v>0</v>
      </c>
      <c r="W154" s="80">
        <f>SUMIFS('февраль 2024'!$G$6:$G$1413,'февраль 2024'!$D$6:$D$1413,$B154,'февраль 2024'!$J$6:$J$1413,W$1)</f>
        <v>0</v>
      </c>
      <c r="X154" s="80">
        <f>SUMIFS('февраль 2024'!$G$6:$G$1413,'февраль 2024'!$D$6:$D$1413,$B154,'февраль 2024'!$J$6:$J$1413,X$1)</f>
        <v>0</v>
      </c>
      <c r="Y154" s="80">
        <f>SUMIFS('февраль 2024'!$G$6:$G$1413,'февраль 2024'!$D$6:$D$1413,$B154,'февраль 2024'!$J$6:$J$1413,Y$1)</f>
        <v>0</v>
      </c>
      <c r="Z154" s="80">
        <f>SUMIFS('февраль 2024'!$G$6:$G$1413,'февраль 2024'!$D$6:$D$1413,$B154,'февраль 2024'!$J$6:$J$1413,Z$1)</f>
        <v>0</v>
      </c>
      <c r="AA154" s="80">
        <f>SUMIFS('февраль 2024'!$G$6:$G$1413,'февраль 2024'!$D$6:$D$1413,$B154,'февраль 2024'!$J$6:$J$1413,AA$1)</f>
        <v>0</v>
      </c>
      <c r="AB154" s="80">
        <f>SUMIFS('февраль 2024'!$G$6:$G$1413,'февраль 2024'!$D$6:$D$1413,$B154,'февраль 2024'!$J$6:$J$1413,AB$1)</f>
        <v>0</v>
      </c>
      <c r="AC154" s="80">
        <f>SUMIFS('февраль 2024'!$G$6:$G$1413,'февраль 2024'!$D$6:$D$1413,$B154,'февраль 2024'!$J$6:$J$1413,AC$1)</f>
        <v>0</v>
      </c>
      <c r="AD154" s="80">
        <f>SUMIFS('февраль 2024'!$G$6:$G$1413,'февраль 2024'!$D$6:$D$1413,$B154,'февраль 2024'!$J$6:$J$1413,AD$1)</f>
        <v>0</v>
      </c>
      <c r="AE154" s="80">
        <f>SUMIFS('февраль 2024'!$G$6:$G$1413,'февраль 2024'!$D$6:$D$1413,$B154,'февраль 2024'!$J$6:$J$1413,AE$1)</f>
        <v>0</v>
      </c>
      <c r="AF154" s="80">
        <f>SUMIFS('февраль 2024'!$G$6:$G$1413,'февраль 2024'!$D$6:$D$1413,$B154,'февраль 2024'!$J$6:$J$1413,AF$1)</f>
        <v>0</v>
      </c>
      <c r="AG154" s="80">
        <f>SUMIFS('февраль 2024'!$G$6:$G$1413,'февраль 2024'!$D$6:$D$1413,$B154,'февраль 2024'!$J$6:$J$1413,AG$1)</f>
        <v>0</v>
      </c>
      <c r="AH154" s="80">
        <f>SUMIFS('февраль 2024'!$G$6:$G$1413,'февраль 2024'!$D$6:$D$1413,$B154,'февраль 2024'!$J$6:$J$1413,AH$1)</f>
        <v>0</v>
      </c>
      <c r="AI154" s="87"/>
    </row>
    <row r="155" spans="2:35" ht="15" hidden="1" customHeight="1" x14ac:dyDescent="0.25">
      <c r="B155" s="93"/>
      <c r="C155" s="91"/>
      <c r="D155" s="80">
        <f>SUMIFS('февраль 2024'!$G$6:$G$1413,'февраль 2024'!$D$6:$D$1413,$B155,'февраль 2024'!$J$6:$J$1413,D$1)</f>
        <v>0</v>
      </c>
      <c r="E155" s="80">
        <f>SUMIFS('февраль 2024'!$G$6:$G$1413,'февраль 2024'!$D$6:$D$1413,$B155,'февраль 2024'!$J$6:$J$1413,E$1)</f>
        <v>0</v>
      </c>
      <c r="F155" s="80">
        <f>SUMIFS('февраль 2024'!$G$6:$G$1413,'февраль 2024'!$D$6:$D$1413,$B155,'февраль 2024'!$J$6:$J$1413,F$1)</f>
        <v>0</v>
      </c>
      <c r="G155" s="80">
        <f>SUMIFS('февраль 2024'!$G$6:$G$1413,'февраль 2024'!$D$6:$D$1413,$B155,'февраль 2024'!$J$6:$J$1413,G$1)</f>
        <v>0</v>
      </c>
      <c r="H155" s="80">
        <f>SUMIFS('февраль 2024'!$G$6:$G$1413,'февраль 2024'!$D$6:$D$1413,$B155,'февраль 2024'!$J$6:$J$1413,H$1)</f>
        <v>0</v>
      </c>
      <c r="I155" s="80">
        <f>SUMIFS('февраль 2024'!$G$6:$G$1413,'февраль 2024'!$D$6:$D$1413,$B155,'февраль 2024'!$J$6:$J$1413,I$1)</f>
        <v>0</v>
      </c>
      <c r="J155" s="80">
        <f>SUMIFS('февраль 2024'!$G$6:$G$1413,'февраль 2024'!$D$6:$D$1413,$B155,'февраль 2024'!$J$6:$J$1413,J$1)</f>
        <v>0</v>
      </c>
      <c r="K155" s="80">
        <f>SUMIFS('февраль 2024'!$G$6:$G$1413,'февраль 2024'!$D$6:$D$1413,$B155,'февраль 2024'!$J$6:$J$1413,K$1)</f>
        <v>0</v>
      </c>
      <c r="L155" s="80">
        <f>SUMIFS('февраль 2024'!$G$6:$G$1413,'февраль 2024'!$D$6:$D$1413,$B155,'февраль 2024'!$J$6:$J$1413,L$1)</f>
        <v>0</v>
      </c>
      <c r="M155" s="80">
        <f>SUMIFS('февраль 2024'!$G$6:$G$1413,'февраль 2024'!$D$6:$D$1413,$B155,'февраль 2024'!$J$6:$J$1413,M$1)</f>
        <v>0</v>
      </c>
      <c r="N155" s="80">
        <f>SUMIFS('февраль 2024'!$G$6:$G$1413,'февраль 2024'!$D$6:$D$1413,$B155,'февраль 2024'!$J$6:$J$1413,N$1)</f>
        <v>0</v>
      </c>
      <c r="O155" s="80">
        <f>SUMIFS('февраль 2024'!$G$6:$G$1413,'февраль 2024'!$D$6:$D$1413,$B155,'февраль 2024'!$J$6:$J$1413,O$1)</f>
        <v>0</v>
      </c>
      <c r="P155" s="80">
        <f>SUMIFS('февраль 2024'!$G$6:$G$1413,'февраль 2024'!$D$6:$D$1413,$B155,'февраль 2024'!$J$6:$J$1413,P$1)</f>
        <v>0</v>
      </c>
      <c r="Q155" s="80">
        <f>SUMIFS('февраль 2024'!$G$6:$G$1413,'февраль 2024'!$D$6:$D$1413,$B155,'февраль 2024'!$J$6:$J$1413,Q$1)</f>
        <v>0</v>
      </c>
      <c r="R155" s="80">
        <f>SUMIFS('февраль 2024'!$G$6:$G$1413,'февраль 2024'!$D$6:$D$1413,$B155,'февраль 2024'!$J$6:$J$1413,R$1)</f>
        <v>0</v>
      </c>
      <c r="S155" s="80">
        <f>SUMIFS('февраль 2024'!$G$6:$G$1413,'февраль 2024'!$D$6:$D$1413,$B155,'февраль 2024'!$J$6:$J$1413,S$1)</f>
        <v>0</v>
      </c>
      <c r="T155" s="80">
        <f>SUMIFS('февраль 2024'!$G$6:$G$1413,'февраль 2024'!$D$6:$D$1413,$B155,'февраль 2024'!$J$6:$J$1413,T$1)</f>
        <v>0</v>
      </c>
      <c r="U155" s="80">
        <f>SUMIFS('февраль 2024'!$G$6:$G$1413,'февраль 2024'!$D$6:$D$1413,$B155,'февраль 2024'!$J$6:$J$1413,U$1)</f>
        <v>0</v>
      </c>
      <c r="V155" s="80">
        <f>SUMIFS('февраль 2024'!$G$6:$G$1413,'февраль 2024'!$D$6:$D$1413,$B155,'февраль 2024'!$J$6:$J$1413,V$1)</f>
        <v>0</v>
      </c>
      <c r="W155" s="80">
        <f>SUMIFS('февраль 2024'!$G$6:$G$1413,'февраль 2024'!$D$6:$D$1413,$B155,'февраль 2024'!$J$6:$J$1413,W$1)</f>
        <v>0</v>
      </c>
      <c r="X155" s="80">
        <f>SUMIFS('февраль 2024'!$G$6:$G$1413,'февраль 2024'!$D$6:$D$1413,$B155,'февраль 2024'!$J$6:$J$1413,X$1)</f>
        <v>0</v>
      </c>
      <c r="Y155" s="80">
        <f>SUMIFS('февраль 2024'!$G$6:$G$1413,'февраль 2024'!$D$6:$D$1413,$B155,'февраль 2024'!$J$6:$J$1413,Y$1)</f>
        <v>0</v>
      </c>
      <c r="Z155" s="80">
        <f>SUMIFS('февраль 2024'!$G$6:$G$1413,'февраль 2024'!$D$6:$D$1413,$B155,'февраль 2024'!$J$6:$J$1413,Z$1)</f>
        <v>0</v>
      </c>
      <c r="AA155" s="80">
        <f>SUMIFS('февраль 2024'!$G$6:$G$1413,'февраль 2024'!$D$6:$D$1413,$B155,'февраль 2024'!$J$6:$J$1413,AA$1)</f>
        <v>0</v>
      </c>
      <c r="AB155" s="80">
        <f>SUMIFS('февраль 2024'!$G$6:$G$1413,'февраль 2024'!$D$6:$D$1413,$B155,'февраль 2024'!$J$6:$J$1413,AB$1)</f>
        <v>0</v>
      </c>
      <c r="AC155" s="80">
        <f>SUMIFS('февраль 2024'!$G$6:$G$1413,'февраль 2024'!$D$6:$D$1413,$B155,'февраль 2024'!$J$6:$J$1413,AC$1)</f>
        <v>0</v>
      </c>
      <c r="AD155" s="80">
        <f>SUMIFS('февраль 2024'!$G$6:$G$1413,'февраль 2024'!$D$6:$D$1413,$B155,'февраль 2024'!$J$6:$J$1413,AD$1)</f>
        <v>0</v>
      </c>
      <c r="AE155" s="80">
        <f>SUMIFS('февраль 2024'!$G$6:$G$1413,'февраль 2024'!$D$6:$D$1413,$B155,'февраль 2024'!$J$6:$J$1413,AE$1)</f>
        <v>0</v>
      </c>
      <c r="AF155" s="80">
        <f>SUMIFS('февраль 2024'!$G$6:$G$1413,'февраль 2024'!$D$6:$D$1413,$B155,'февраль 2024'!$J$6:$J$1413,AF$1)</f>
        <v>0</v>
      </c>
      <c r="AG155" s="80">
        <f>SUMIFS('февраль 2024'!$G$6:$G$1413,'февраль 2024'!$D$6:$D$1413,$B155,'февраль 2024'!$J$6:$J$1413,AG$1)</f>
        <v>0</v>
      </c>
      <c r="AH155" s="80">
        <f>SUMIFS('февраль 2024'!$G$6:$G$1413,'февраль 2024'!$D$6:$D$1413,$B155,'февраль 2024'!$J$6:$J$1413,AH$1)</f>
        <v>0</v>
      </c>
      <c r="AI155" s="87"/>
    </row>
    <row r="156" spans="2:35" ht="15" hidden="1" customHeight="1" x14ac:dyDescent="0.25">
      <c r="B156" s="89"/>
      <c r="C156" s="88"/>
      <c r="D156" s="80">
        <f>SUMIFS('февраль 2024'!$G$6:$G$1413,'февраль 2024'!$D$6:$D$1413,$B156,'февраль 2024'!$J$6:$J$1413,D$1)</f>
        <v>0</v>
      </c>
      <c r="E156" s="80">
        <f>SUMIFS('февраль 2024'!$G$6:$G$1413,'февраль 2024'!$D$6:$D$1413,$B156,'февраль 2024'!$J$6:$J$1413,E$1)</f>
        <v>0</v>
      </c>
      <c r="F156" s="80">
        <f>SUMIFS('февраль 2024'!$G$6:$G$1413,'февраль 2024'!$D$6:$D$1413,$B156,'февраль 2024'!$J$6:$J$1413,F$1)</f>
        <v>0</v>
      </c>
      <c r="G156" s="80">
        <f>SUMIFS('февраль 2024'!$G$6:$G$1413,'февраль 2024'!$D$6:$D$1413,$B156,'февраль 2024'!$J$6:$J$1413,G$1)</f>
        <v>0</v>
      </c>
      <c r="H156" s="80">
        <f>SUMIFS('февраль 2024'!$G$6:$G$1413,'февраль 2024'!$D$6:$D$1413,$B156,'февраль 2024'!$J$6:$J$1413,H$1)</f>
        <v>0</v>
      </c>
      <c r="I156" s="80">
        <f>SUMIFS('февраль 2024'!$G$6:$G$1413,'февраль 2024'!$D$6:$D$1413,$B156,'февраль 2024'!$J$6:$J$1413,I$1)</f>
        <v>0</v>
      </c>
      <c r="J156" s="80">
        <f>SUMIFS('февраль 2024'!$G$6:$G$1413,'февраль 2024'!$D$6:$D$1413,$B156,'февраль 2024'!$J$6:$J$1413,J$1)</f>
        <v>0</v>
      </c>
      <c r="K156" s="80">
        <f>SUMIFS('февраль 2024'!$G$6:$G$1413,'февраль 2024'!$D$6:$D$1413,$B156,'февраль 2024'!$J$6:$J$1413,K$1)</f>
        <v>0</v>
      </c>
      <c r="L156" s="80">
        <f>SUMIFS('февраль 2024'!$G$6:$G$1413,'февраль 2024'!$D$6:$D$1413,$B156,'февраль 2024'!$J$6:$J$1413,L$1)</f>
        <v>0</v>
      </c>
      <c r="M156" s="80">
        <f>SUMIFS('февраль 2024'!$G$6:$G$1413,'февраль 2024'!$D$6:$D$1413,$B156,'февраль 2024'!$J$6:$J$1413,M$1)</f>
        <v>0</v>
      </c>
      <c r="N156" s="80">
        <f>SUMIFS('февраль 2024'!$G$6:$G$1413,'февраль 2024'!$D$6:$D$1413,$B156,'февраль 2024'!$J$6:$J$1413,N$1)</f>
        <v>0</v>
      </c>
      <c r="O156" s="80">
        <f>SUMIFS('февраль 2024'!$G$6:$G$1413,'февраль 2024'!$D$6:$D$1413,$B156,'февраль 2024'!$J$6:$J$1413,O$1)</f>
        <v>0</v>
      </c>
      <c r="P156" s="80">
        <f>SUMIFS('февраль 2024'!$G$6:$G$1413,'февраль 2024'!$D$6:$D$1413,$B156,'февраль 2024'!$J$6:$J$1413,P$1)</f>
        <v>0</v>
      </c>
      <c r="Q156" s="80">
        <f>SUMIFS('февраль 2024'!$G$6:$G$1413,'февраль 2024'!$D$6:$D$1413,$B156,'февраль 2024'!$J$6:$J$1413,Q$1)</f>
        <v>0</v>
      </c>
      <c r="R156" s="80">
        <f>SUMIFS('февраль 2024'!$G$6:$G$1413,'февраль 2024'!$D$6:$D$1413,$B156,'февраль 2024'!$J$6:$J$1413,R$1)</f>
        <v>0</v>
      </c>
      <c r="S156" s="80">
        <f>SUMIFS('февраль 2024'!$G$6:$G$1413,'февраль 2024'!$D$6:$D$1413,$B156,'февраль 2024'!$J$6:$J$1413,S$1)</f>
        <v>0</v>
      </c>
      <c r="T156" s="80">
        <f>SUMIFS('февраль 2024'!$G$6:$G$1413,'февраль 2024'!$D$6:$D$1413,$B156,'февраль 2024'!$J$6:$J$1413,T$1)</f>
        <v>0</v>
      </c>
      <c r="U156" s="80">
        <f>SUMIFS('февраль 2024'!$G$6:$G$1413,'февраль 2024'!$D$6:$D$1413,$B156,'февраль 2024'!$J$6:$J$1413,U$1)</f>
        <v>0</v>
      </c>
      <c r="V156" s="80">
        <f>SUMIFS('февраль 2024'!$G$6:$G$1413,'февраль 2024'!$D$6:$D$1413,$B156,'февраль 2024'!$J$6:$J$1413,V$1)</f>
        <v>0</v>
      </c>
      <c r="W156" s="80">
        <f>SUMIFS('февраль 2024'!$G$6:$G$1413,'февраль 2024'!$D$6:$D$1413,$B156,'февраль 2024'!$J$6:$J$1413,W$1)</f>
        <v>0</v>
      </c>
      <c r="X156" s="80">
        <f>SUMIFS('февраль 2024'!$G$6:$G$1413,'февраль 2024'!$D$6:$D$1413,$B156,'февраль 2024'!$J$6:$J$1413,X$1)</f>
        <v>0</v>
      </c>
      <c r="Y156" s="80">
        <f>SUMIFS('февраль 2024'!$G$6:$G$1413,'февраль 2024'!$D$6:$D$1413,$B156,'февраль 2024'!$J$6:$J$1413,Y$1)</f>
        <v>0</v>
      </c>
      <c r="Z156" s="80">
        <f>SUMIFS('февраль 2024'!$G$6:$G$1413,'февраль 2024'!$D$6:$D$1413,$B156,'февраль 2024'!$J$6:$J$1413,Z$1)</f>
        <v>0</v>
      </c>
      <c r="AA156" s="80">
        <f>SUMIFS('февраль 2024'!$G$6:$G$1413,'февраль 2024'!$D$6:$D$1413,$B156,'февраль 2024'!$J$6:$J$1413,AA$1)</f>
        <v>0</v>
      </c>
      <c r="AB156" s="80">
        <f>SUMIFS('февраль 2024'!$G$6:$G$1413,'февраль 2024'!$D$6:$D$1413,$B156,'февраль 2024'!$J$6:$J$1413,AB$1)</f>
        <v>0</v>
      </c>
      <c r="AC156" s="80">
        <f>SUMIFS('февраль 2024'!$G$6:$G$1413,'февраль 2024'!$D$6:$D$1413,$B156,'февраль 2024'!$J$6:$J$1413,AC$1)</f>
        <v>0</v>
      </c>
      <c r="AD156" s="80">
        <f>SUMIFS('февраль 2024'!$G$6:$G$1413,'февраль 2024'!$D$6:$D$1413,$B156,'февраль 2024'!$J$6:$J$1413,AD$1)</f>
        <v>0</v>
      </c>
      <c r="AE156" s="80">
        <f>SUMIFS('февраль 2024'!$G$6:$G$1413,'февраль 2024'!$D$6:$D$1413,$B156,'февраль 2024'!$J$6:$J$1413,AE$1)</f>
        <v>0</v>
      </c>
      <c r="AF156" s="80">
        <f>SUMIFS('февраль 2024'!$G$6:$G$1413,'февраль 2024'!$D$6:$D$1413,$B156,'февраль 2024'!$J$6:$J$1413,AF$1)</f>
        <v>0</v>
      </c>
      <c r="AG156" s="80">
        <f>SUMIFS('февраль 2024'!$G$6:$G$1413,'февраль 2024'!$D$6:$D$1413,$B156,'февраль 2024'!$J$6:$J$1413,AG$1)</f>
        <v>0</v>
      </c>
      <c r="AH156" s="80">
        <f>SUMIFS('февраль 2024'!$G$6:$G$1413,'февраль 2024'!$D$6:$D$1413,$B156,'февраль 2024'!$J$6:$J$1413,AH$1)</f>
        <v>0</v>
      </c>
      <c r="AI156" s="87"/>
    </row>
    <row r="157" spans="2:35" ht="15" hidden="1" customHeight="1" x14ac:dyDescent="0.25">
      <c r="B157" s="92"/>
      <c r="C157" s="91"/>
      <c r="D157" s="80">
        <f>SUMIFS('февраль 2024'!$G$6:$G$1413,'февраль 2024'!$D$6:$D$1413,$B157,'февраль 2024'!$J$6:$J$1413,D$1)</f>
        <v>0</v>
      </c>
      <c r="E157" s="80">
        <f>SUMIFS('февраль 2024'!$G$6:$G$1413,'февраль 2024'!$D$6:$D$1413,$B157,'февраль 2024'!$J$6:$J$1413,E$1)</f>
        <v>0</v>
      </c>
      <c r="F157" s="80">
        <f>SUMIFS('февраль 2024'!$G$6:$G$1413,'февраль 2024'!$D$6:$D$1413,$B157,'февраль 2024'!$J$6:$J$1413,F$1)</f>
        <v>0</v>
      </c>
      <c r="G157" s="80">
        <f>SUMIFS('февраль 2024'!$G$6:$G$1413,'февраль 2024'!$D$6:$D$1413,$B157,'февраль 2024'!$J$6:$J$1413,G$1)</f>
        <v>0</v>
      </c>
      <c r="H157" s="80">
        <f>SUMIFS('февраль 2024'!$G$6:$G$1413,'февраль 2024'!$D$6:$D$1413,$B157,'февраль 2024'!$J$6:$J$1413,H$1)</f>
        <v>0</v>
      </c>
      <c r="I157" s="80">
        <f>SUMIFS('февраль 2024'!$G$6:$G$1413,'февраль 2024'!$D$6:$D$1413,$B157,'февраль 2024'!$J$6:$J$1413,I$1)</f>
        <v>0</v>
      </c>
      <c r="J157" s="80">
        <f>SUMIFS('февраль 2024'!$G$6:$G$1413,'февраль 2024'!$D$6:$D$1413,$B157,'февраль 2024'!$J$6:$J$1413,J$1)</f>
        <v>0</v>
      </c>
      <c r="K157" s="80">
        <f>SUMIFS('февраль 2024'!$G$6:$G$1413,'февраль 2024'!$D$6:$D$1413,$B157,'февраль 2024'!$J$6:$J$1413,K$1)</f>
        <v>0</v>
      </c>
      <c r="L157" s="80">
        <f>SUMIFS('февраль 2024'!$G$6:$G$1413,'февраль 2024'!$D$6:$D$1413,$B157,'февраль 2024'!$J$6:$J$1413,L$1)</f>
        <v>0</v>
      </c>
      <c r="M157" s="80">
        <f>SUMIFS('февраль 2024'!$G$6:$G$1413,'февраль 2024'!$D$6:$D$1413,$B157,'февраль 2024'!$J$6:$J$1413,M$1)</f>
        <v>0</v>
      </c>
      <c r="N157" s="80">
        <f>SUMIFS('февраль 2024'!$G$6:$G$1413,'февраль 2024'!$D$6:$D$1413,$B157,'февраль 2024'!$J$6:$J$1413,N$1)</f>
        <v>0</v>
      </c>
      <c r="O157" s="80">
        <f>SUMIFS('февраль 2024'!$G$6:$G$1413,'февраль 2024'!$D$6:$D$1413,$B157,'февраль 2024'!$J$6:$J$1413,O$1)</f>
        <v>0</v>
      </c>
      <c r="P157" s="80">
        <f>SUMIFS('февраль 2024'!$G$6:$G$1413,'февраль 2024'!$D$6:$D$1413,$B157,'февраль 2024'!$J$6:$J$1413,P$1)</f>
        <v>0</v>
      </c>
      <c r="Q157" s="80">
        <f>SUMIFS('февраль 2024'!$G$6:$G$1413,'февраль 2024'!$D$6:$D$1413,$B157,'февраль 2024'!$J$6:$J$1413,Q$1)</f>
        <v>0</v>
      </c>
      <c r="R157" s="80">
        <f>SUMIFS('февраль 2024'!$G$6:$G$1413,'февраль 2024'!$D$6:$D$1413,$B157,'февраль 2024'!$J$6:$J$1413,R$1)</f>
        <v>0</v>
      </c>
      <c r="S157" s="80">
        <f>SUMIFS('февраль 2024'!$G$6:$G$1413,'февраль 2024'!$D$6:$D$1413,$B157,'февраль 2024'!$J$6:$J$1413,S$1)</f>
        <v>0</v>
      </c>
      <c r="T157" s="80">
        <f>SUMIFS('февраль 2024'!$G$6:$G$1413,'февраль 2024'!$D$6:$D$1413,$B157,'февраль 2024'!$J$6:$J$1413,T$1)</f>
        <v>0</v>
      </c>
      <c r="U157" s="80">
        <f>SUMIFS('февраль 2024'!$G$6:$G$1413,'февраль 2024'!$D$6:$D$1413,$B157,'февраль 2024'!$J$6:$J$1413,U$1)</f>
        <v>0</v>
      </c>
      <c r="V157" s="80">
        <f>SUMIFS('февраль 2024'!$G$6:$G$1413,'февраль 2024'!$D$6:$D$1413,$B157,'февраль 2024'!$J$6:$J$1413,V$1)</f>
        <v>0</v>
      </c>
      <c r="W157" s="80">
        <f>SUMIFS('февраль 2024'!$G$6:$G$1413,'февраль 2024'!$D$6:$D$1413,$B157,'февраль 2024'!$J$6:$J$1413,W$1)</f>
        <v>0</v>
      </c>
      <c r="X157" s="80">
        <f>SUMIFS('февраль 2024'!$G$6:$G$1413,'февраль 2024'!$D$6:$D$1413,$B157,'февраль 2024'!$J$6:$J$1413,X$1)</f>
        <v>0</v>
      </c>
      <c r="Y157" s="80">
        <f>SUMIFS('февраль 2024'!$G$6:$G$1413,'февраль 2024'!$D$6:$D$1413,$B157,'февраль 2024'!$J$6:$J$1413,Y$1)</f>
        <v>0</v>
      </c>
      <c r="Z157" s="80">
        <f>SUMIFS('февраль 2024'!$G$6:$G$1413,'февраль 2024'!$D$6:$D$1413,$B157,'февраль 2024'!$J$6:$J$1413,Z$1)</f>
        <v>0</v>
      </c>
      <c r="AA157" s="80">
        <f>SUMIFS('февраль 2024'!$G$6:$G$1413,'февраль 2024'!$D$6:$D$1413,$B157,'февраль 2024'!$J$6:$J$1413,AA$1)</f>
        <v>0</v>
      </c>
      <c r="AB157" s="80">
        <f>SUMIFS('февраль 2024'!$G$6:$G$1413,'февраль 2024'!$D$6:$D$1413,$B157,'февраль 2024'!$J$6:$J$1413,AB$1)</f>
        <v>0</v>
      </c>
      <c r="AC157" s="80">
        <f>SUMIFS('февраль 2024'!$G$6:$G$1413,'февраль 2024'!$D$6:$D$1413,$B157,'февраль 2024'!$J$6:$J$1413,AC$1)</f>
        <v>0</v>
      </c>
      <c r="AD157" s="80">
        <f>SUMIFS('февраль 2024'!$G$6:$G$1413,'февраль 2024'!$D$6:$D$1413,$B157,'февраль 2024'!$J$6:$J$1413,AD$1)</f>
        <v>0</v>
      </c>
      <c r="AE157" s="80">
        <f>SUMIFS('февраль 2024'!$G$6:$G$1413,'февраль 2024'!$D$6:$D$1413,$B157,'февраль 2024'!$J$6:$J$1413,AE$1)</f>
        <v>0</v>
      </c>
      <c r="AF157" s="80">
        <f>SUMIFS('февраль 2024'!$G$6:$G$1413,'февраль 2024'!$D$6:$D$1413,$B157,'февраль 2024'!$J$6:$J$1413,AF$1)</f>
        <v>0</v>
      </c>
      <c r="AG157" s="80">
        <f>SUMIFS('февраль 2024'!$G$6:$G$1413,'февраль 2024'!$D$6:$D$1413,$B157,'февраль 2024'!$J$6:$J$1413,AG$1)</f>
        <v>0</v>
      </c>
      <c r="AH157" s="80">
        <f>SUMIFS('февраль 2024'!$G$6:$G$1413,'февраль 2024'!$D$6:$D$1413,$B157,'февраль 2024'!$J$6:$J$1413,AH$1)</f>
        <v>0</v>
      </c>
      <c r="AI157" s="87"/>
    </row>
    <row r="158" spans="2:35" ht="15" hidden="1" customHeight="1" x14ac:dyDescent="0.25">
      <c r="B158" s="89"/>
      <c r="C158" s="91"/>
      <c r="D158" s="80">
        <f>SUMIFS('февраль 2024'!$G$6:$G$1413,'февраль 2024'!$D$6:$D$1413,$B158,'февраль 2024'!$J$6:$J$1413,D$1)</f>
        <v>0</v>
      </c>
      <c r="E158" s="80">
        <f>SUMIFS('февраль 2024'!$G$6:$G$1413,'февраль 2024'!$D$6:$D$1413,$B158,'февраль 2024'!$J$6:$J$1413,E$1)</f>
        <v>0</v>
      </c>
      <c r="F158" s="80">
        <f>SUMIFS('февраль 2024'!$G$6:$G$1413,'февраль 2024'!$D$6:$D$1413,$B158,'февраль 2024'!$J$6:$J$1413,F$1)</f>
        <v>0</v>
      </c>
      <c r="G158" s="80">
        <f>SUMIFS('февраль 2024'!$G$6:$G$1413,'февраль 2024'!$D$6:$D$1413,$B158,'февраль 2024'!$J$6:$J$1413,G$1)</f>
        <v>0</v>
      </c>
      <c r="H158" s="80">
        <f>SUMIFS('февраль 2024'!$G$6:$G$1413,'февраль 2024'!$D$6:$D$1413,$B158,'февраль 2024'!$J$6:$J$1413,H$1)</f>
        <v>0</v>
      </c>
      <c r="I158" s="80">
        <f>SUMIFS('февраль 2024'!$G$6:$G$1413,'февраль 2024'!$D$6:$D$1413,$B158,'февраль 2024'!$J$6:$J$1413,I$1)</f>
        <v>0</v>
      </c>
      <c r="J158" s="80">
        <f>SUMIFS('февраль 2024'!$G$6:$G$1413,'февраль 2024'!$D$6:$D$1413,$B158,'февраль 2024'!$J$6:$J$1413,J$1)</f>
        <v>0</v>
      </c>
      <c r="K158" s="80">
        <f>SUMIFS('февраль 2024'!$G$6:$G$1413,'февраль 2024'!$D$6:$D$1413,$B158,'февраль 2024'!$J$6:$J$1413,K$1)</f>
        <v>0</v>
      </c>
      <c r="L158" s="80">
        <f>SUMIFS('февраль 2024'!$G$6:$G$1413,'февраль 2024'!$D$6:$D$1413,$B158,'февраль 2024'!$J$6:$J$1413,L$1)</f>
        <v>0</v>
      </c>
      <c r="M158" s="80">
        <f>SUMIFS('февраль 2024'!$G$6:$G$1413,'февраль 2024'!$D$6:$D$1413,$B158,'февраль 2024'!$J$6:$J$1413,M$1)</f>
        <v>0</v>
      </c>
      <c r="N158" s="80">
        <f>SUMIFS('февраль 2024'!$G$6:$G$1413,'февраль 2024'!$D$6:$D$1413,$B158,'февраль 2024'!$J$6:$J$1413,N$1)</f>
        <v>0</v>
      </c>
      <c r="O158" s="80">
        <f>SUMIFS('февраль 2024'!$G$6:$G$1413,'февраль 2024'!$D$6:$D$1413,$B158,'февраль 2024'!$J$6:$J$1413,O$1)</f>
        <v>0</v>
      </c>
      <c r="P158" s="80">
        <f>SUMIFS('февраль 2024'!$G$6:$G$1413,'февраль 2024'!$D$6:$D$1413,$B158,'февраль 2024'!$J$6:$J$1413,P$1)</f>
        <v>0</v>
      </c>
      <c r="Q158" s="80">
        <f>SUMIFS('февраль 2024'!$G$6:$G$1413,'февраль 2024'!$D$6:$D$1413,$B158,'февраль 2024'!$J$6:$J$1413,Q$1)</f>
        <v>0</v>
      </c>
      <c r="R158" s="80">
        <f>SUMIFS('февраль 2024'!$G$6:$G$1413,'февраль 2024'!$D$6:$D$1413,$B158,'февраль 2024'!$J$6:$J$1413,R$1)</f>
        <v>0</v>
      </c>
      <c r="S158" s="80">
        <f>SUMIFS('февраль 2024'!$G$6:$G$1413,'февраль 2024'!$D$6:$D$1413,$B158,'февраль 2024'!$J$6:$J$1413,S$1)</f>
        <v>0</v>
      </c>
      <c r="T158" s="80">
        <f>SUMIFS('февраль 2024'!$G$6:$G$1413,'февраль 2024'!$D$6:$D$1413,$B158,'февраль 2024'!$J$6:$J$1413,T$1)</f>
        <v>0</v>
      </c>
      <c r="U158" s="80">
        <f>SUMIFS('февраль 2024'!$G$6:$G$1413,'февраль 2024'!$D$6:$D$1413,$B158,'февраль 2024'!$J$6:$J$1413,U$1)</f>
        <v>0</v>
      </c>
      <c r="V158" s="80">
        <f>SUMIFS('февраль 2024'!$G$6:$G$1413,'февраль 2024'!$D$6:$D$1413,$B158,'февраль 2024'!$J$6:$J$1413,V$1)</f>
        <v>0</v>
      </c>
      <c r="W158" s="80">
        <f>SUMIFS('февраль 2024'!$G$6:$G$1413,'февраль 2024'!$D$6:$D$1413,$B158,'февраль 2024'!$J$6:$J$1413,W$1)</f>
        <v>0</v>
      </c>
      <c r="X158" s="80">
        <f>SUMIFS('февраль 2024'!$G$6:$G$1413,'февраль 2024'!$D$6:$D$1413,$B158,'февраль 2024'!$J$6:$J$1413,X$1)</f>
        <v>0</v>
      </c>
      <c r="Y158" s="80">
        <f>SUMIFS('февраль 2024'!$G$6:$G$1413,'февраль 2024'!$D$6:$D$1413,$B158,'февраль 2024'!$J$6:$J$1413,Y$1)</f>
        <v>0</v>
      </c>
      <c r="Z158" s="80">
        <f>SUMIFS('февраль 2024'!$G$6:$G$1413,'февраль 2024'!$D$6:$D$1413,$B158,'февраль 2024'!$J$6:$J$1413,Z$1)</f>
        <v>0</v>
      </c>
      <c r="AA158" s="80">
        <f>SUMIFS('февраль 2024'!$G$6:$G$1413,'февраль 2024'!$D$6:$D$1413,$B158,'февраль 2024'!$J$6:$J$1413,AA$1)</f>
        <v>0</v>
      </c>
      <c r="AB158" s="80">
        <f>SUMIFS('февраль 2024'!$G$6:$G$1413,'февраль 2024'!$D$6:$D$1413,$B158,'февраль 2024'!$J$6:$J$1413,AB$1)</f>
        <v>0</v>
      </c>
      <c r="AC158" s="80">
        <f>SUMIFS('февраль 2024'!$G$6:$G$1413,'февраль 2024'!$D$6:$D$1413,$B158,'февраль 2024'!$J$6:$J$1413,AC$1)</f>
        <v>0</v>
      </c>
      <c r="AD158" s="80">
        <f>SUMIFS('февраль 2024'!$G$6:$G$1413,'февраль 2024'!$D$6:$D$1413,$B158,'февраль 2024'!$J$6:$J$1413,AD$1)</f>
        <v>0</v>
      </c>
      <c r="AE158" s="80">
        <f>SUMIFS('февраль 2024'!$G$6:$G$1413,'февраль 2024'!$D$6:$D$1413,$B158,'февраль 2024'!$J$6:$J$1413,AE$1)</f>
        <v>0</v>
      </c>
      <c r="AF158" s="80">
        <f>SUMIFS('февраль 2024'!$G$6:$G$1413,'февраль 2024'!$D$6:$D$1413,$B158,'февраль 2024'!$J$6:$J$1413,AF$1)</f>
        <v>0</v>
      </c>
      <c r="AG158" s="80">
        <f>SUMIFS('февраль 2024'!$G$6:$G$1413,'февраль 2024'!$D$6:$D$1413,$B158,'февраль 2024'!$J$6:$J$1413,AG$1)</f>
        <v>0</v>
      </c>
      <c r="AH158" s="80">
        <f>SUMIFS('февраль 2024'!$G$6:$G$1413,'февраль 2024'!$D$6:$D$1413,$B158,'февраль 2024'!$J$6:$J$1413,AH$1)</f>
        <v>0</v>
      </c>
      <c r="AI158" s="87"/>
    </row>
    <row r="159" spans="2:35" ht="15" hidden="1" customHeight="1" x14ac:dyDescent="0.25">
      <c r="B159" s="89"/>
      <c r="C159" s="88"/>
      <c r="D159" s="80">
        <f>SUMIFS('февраль 2024'!$G$6:$G$1413,'февраль 2024'!$D$6:$D$1413,$B159,'февраль 2024'!$J$6:$J$1413,D$1)</f>
        <v>0</v>
      </c>
      <c r="E159" s="80">
        <f>SUMIFS('февраль 2024'!$G$6:$G$1413,'февраль 2024'!$D$6:$D$1413,$B159,'февраль 2024'!$J$6:$J$1413,E$1)</f>
        <v>0</v>
      </c>
      <c r="F159" s="80">
        <f>SUMIFS('февраль 2024'!$G$6:$G$1413,'февраль 2024'!$D$6:$D$1413,$B159,'февраль 2024'!$J$6:$J$1413,F$1)</f>
        <v>0</v>
      </c>
      <c r="G159" s="80">
        <f>SUMIFS('февраль 2024'!$G$6:$G$1413,'февраль 2024'!$D$6:$D$1413,$B159,'февраль 2024'!$J$6:$J$1413,G$1)</f>
        <v>0</v>
      </c>
      <c r="H159" s="80">
        <f>SUMIFS('февраль 2024'!$G$6:$G$1413,'февраль 2024'!$D$6:$D$1413,$B159,'февраль 2024'!$J$6:$J$1413,H$1)</f>
        <v>0</v>
      </c>
      <c r="I159" s="80">
        <f>SUMIFS('февраль 2024'!$G$6:$G$1413,'февраль 2024'!$D$6:$D$1413,$B159,'февраль 2024'!$J$6:$J$1413,I$1)</f>
        <v>0</v>
      </c>
      <c r="J159" s="80">
        <f>SUMIFS('февраль 2024'!$G$6:$G$1413,'февраль 2024'!$D$6:$D$1413,$B159,'февраль 2024'!$J$6:$J$1413,J$1)</f>
        <v>0</v>
      </c>
      <c r="K159" s="80">
        <f>SUMIFS('февраль 2024'!$G$6:$G$1413,'февраль 2024'!$D$6:$D$1413,$B159,'февраль 2024'!$J$6:$J$1413,K$1)</f>
        <v>0</v>
      </c>
      <c r="L159" s="80">
        <f>SUMIFS('февраль 2024'!$G$6:$G$1413,'февраль 2024'!$D$6:$D$1413,$B159,'февраль 2024'!$J$6:$J$1413,L$1)</f>
        <v>0</v>
      </c>
      <c r="M159" s="80">
        <f>SUMIFS('февраль 2024'!$G$6:$G$1413,'февраль 2024'!$D$6:$D$1413,$B159,'февраль 2024'!$J$6:$J$1413,M$1)</f>
        <v>0</v>
      </c>
      <c r="N159" s="80">
        <f>SUMIFS('февраль 2024'!$G$6:$G$1413,'февраль 2024'!$D$6:$D$1413,$B159,'февраль 2024'!$J$6:$J$1413,N$1)</f>
        <v>0</v>
      </c>
      <c r="O159" s="80">
        <f>SUMIFS('февраль 2024'!$G$6:$G$1413,'февраль 2024'!$D$6:$D$1413,$B159,'февраль 2024'!$J$6:$J$1413,O$1)</f>
        <v>0</v>
      </c>
      <c r="P159" s="80">
        <f>SUMIFS('февраль 2024'!$G$6:$G$1413,'февраль 2024'!$D$6:$D$1413,$B159,'февраль 2024'!$J$6:$J$1413,P$1)</f>
        <v>0</v>
      </c>
      <c r="Q159" s="80">
        <f>SUMIFS('февраль 2024'!$G$6:$G$1413,'февраль 2024'!$D$6:$D$1413,$B159,'февраль 2024'!$J$6:$J$1413,Q$1)</f>
        <v>0</v>
      </c>
      <c r="R159" s="80">
        <f>SUMIFS('февраль 2024'!$G$6:$G$1413,'февраль 2024'!$D$6:$D$1413,$B159,'февраль 2024'!$J$6:$J$1413,R$1)</f>
        <v>0</v>
      </c>
      <c r="S159" s="80">
        <f>SUMIFS('февраль 2024'!$G$6:$G$1413,'февраль 2024'!$D$6:$D$1413,$B159,'февраль 2024'!$J$6:$J$1413,S$1)</f>
        <v>0</v>
      </c>
      <c r="T159" s="80">
        <f>SUMIFS('февраль 2024'!$G$6:$G$1413,'февраль 2024'!$D$6:$D$1413,$B159,'февраль 2024'!$J$6:$J$1413,T$1)</f>
        <v>0</v>
      </c>
      <c r="U159" s="80">
        <f>SUMIFS('февраль 2024'!$G$6:$G$1413,'февраль 2024'!$D$6:$D$1413,$B159,'февраль 2024'!$J$6:$J$1413,U$1)</f>
        <v>0</v>
      </c>
      <c r="V159" s="80">
        <f>SUMIFS('февраль 2024'!$G$6:$G$1413,'февраль 2024'!$D$6:$D$1413,$B159,'февраль 2024'!$J$6:$J$1413,V$1)</f>
        <v>0</v>
      </c>
      <c r="W159" s="80">
        <f>SUMIFS('февраль 2024'!$G$6:$G$1413,'февраль 2024'!$D$6:$D$1413,$B159,'февраль 2024'!$J$6:$J$1413,W$1)</f>
        <v>0</v>
      </c>
      <c r="X159" s="80">
        <f>SUMIFS('февраль 2024'!$G$6:$G$1413,'февраль 2024'!$D$6:$D$1413,$B159,'февраль 2024'!$J$6:$J$1413,X$1)</f>
        <v>0</v>
      </c>
      <c r="Y159" s="80">
        <f>SUMIFS('февраль 2024'!$G$6:$G$1413,'февраль 2024'!$D$6:$D$1413,$B159,'февраль 2024'!$J$6:$J$1413,Y$1)</f>
        <v>0</v>
      </c>
      <c r="Z159" s="80">
        <f>SUMIFS('февраль 2024'!$G$6:$G$1413,'февраль 2024'!$D$6:$D$1413,$B159,'февраль 2024'!$J$6:$J$1413,Z$1)</f>
        <v>0</v>
      </c>
      <c r="AA159" s="80">
        <f>SUMIFS('февраль 2024'!$G$6:$G$1413,'февраль 2024'!$D$6:$D$1413,$B159,'февраль 2024'!$J$6:$J$1413,AA$1)</f>
        <v>0</v>
      </c>
      <c r="AB159" s="80">
        <f>SUMIFS('февраль 2024'!$G$6:$G$1413,'февраль 2024'!$D$6:$D$1413,$B159,'февраль 2024'!$J$6:$J$1413,AB$1)</f>
        <v>0</v>
      </c>
      <c r="AC159" s="80">
        <f>SUMIFS('февраль 2024'!$G$6:$G$1413,'февраль 2024'!$D$6:$D$1413,$B159,'февраль 2024'!$J$6:$J$1413,AC$1)</f>
        <v>0</v>
      </c>
      <c r="AD159" s="80">
        <f>SUMIFS('февраль 2024'!$G$6:$G$1413,'февраль 2024'!$D$6:$D$1413,$B159,'февраль 2024'!$J$6:$J$1413,AD$1)</f>
        <v>0</v>
      </c>
      <c r="AE159" s="80">
        <f>SUMIFS('февраль 2024'!$G$6:$G$1413,'февраль 2024'!$D$6:$D$1413,$B159,'февраль 2024'!$J$6:$J$1413,AE$1)</f>
        <v>0</v>
      </c>
      <c r="AF159" s="80">
        <f>SUMIFS('февраль 2024'!$G$6:$G$1413,'февраль 2024'!$D$6:$D$1413,$B159,'февраль 2024'!$J$6:$J$1413,AF$1)</f>
        <v>0</v>
      </c>
      <c r="AG159" s="80">
        <f>SUMIFS('февраль 2024'!$G$6:$G$1413,'февраль 2024'!$D$6:$D$1413,$B159,'февраль 2024'!$J$6:$J$1413,AG$1)</f>
        <v>0</v>
      </c>
      <c r="AH159" s="80">
        <f>SUMIFS('февраль 2024'!$G$6:$G$1413,'февраль 2024'!$D$6:$D$1413,$B159,'февраль 2024'!$J$6:$J$1413,AH$1)</f>
        <v>0</v>
      </c>
      <c r="AI159" s="87"/>
    </row>
    <row r="160" spans="2:35" ht="15" hidden="1" customHeight="1" x14ac:dyDescent="0.25">
      <c r="B160" s="89"/>
      <c r="C160" s="88"/>
      <c r="D160" s="80">
        <f>SUMIFS('февраль 2024'!$G$6:$G$1413,'февраль 2024'!$D$6:$D$1413,$B160,'февраль 2024'!$J$6:$J$1413,D$1)</f>
        <v>0</v>
      </c>
      <c r="E160" s="80">
        <f>SUMIFS('февраль 2024'!$G$6:$G$1413,'февраль 2024'!$D$6:$D$1413,$B160,'февраль 2024'!$J$6:$J$1413,E$1)</f>
        <v>0</v>
      </c>
      <c r="F160" s="80">
        <f>SUMIFS('февраль 2024'!$G$6:$G$1413,'февраль 2024'!$D$6:$D$1413,$B160,'февраль 2024'!$J$6:$J$1413,F$1)</f>
        <v>0</v>
      </c>
      <c r="G160" s="80">
        <f>SUMIFS('февраль 2024'!$G$6:$G$1413,'февраль 2024'!$D$6:$D$1413,$B160,'февраль 2024'!$J$6:$J$1413,G$1)</f>
        <v>0</v>
      </c>
      <c r="H160" s="80">
        <f>SUMIFS('февраль 2024'!$G$6:$G$1413,'февраль 2024'!$D$6:$D$1413,$B160,'февраль 2024'!$J$6:$J$1413,H$1)</f>
        <v>0</v>
      </c>
      <c r="I160" s="80">
        <f>SUMIFS('февраль 2024'!$G$6:$G$1413,'февраль 2024'!$D$6:$D$1413,$B160,'февраль 2024'!$J$6:$J$1413,I$1)</f>
        <v>0</v>
      </c>
      <c r="J160" s="80">
        <f>SUMIFS('февраль 2024'!$G$6:$G$1413,'февраль 2024'!$D$6:$D$1413,$B160,'февраль 2024'!$J$6:$J$1413,J$1)</f>
        <v>0</v>
      </c>
      <c r="K160" s="80">
        <f>SUMIFS('февраль 2024'!$G$6:$G$1413,'февраль 2024'!$D$6:$D$1413,$B160,'февраль 2024'!$J$6:$J$1413,K$1)</f>
        <v>0</v>
      </c>
      <c r="L160" s="80">
        <f>SUMIFS('февраль 2024'!$G$6:$G$1413,'февраль 2024'!$D$6:$D$1413,$B160,'февраль 2024'!$J$6:$J$1413,L$1)</f>
        <v>0</v>
      </c>
      <c r="M160" s="80">
        <f>SUMIFS('февраль 2024'!$G$6:$G$1413,'февраль 2024'!$D$6:$D$1413,$B160,'февраль 2024'!$J$6:$J$1413,M$1)</f>
        <v>0</v>
      </c>
      <c r="N160" s="80">
        <f>SUMIFS('февраль 2024'!$G$6:$G$1413,'февраль 2024'!$D$6:$D$1413,$B160,'февраль 2024'!$J$6:$J$1413,N$1)</f>
        <v>0</v>
      </c>
      <c r="O160" s="80">
        <f>SUMIFS('февраль 2024'!$G$6:$G$1413,'февраль 2024'!$D$6:$D$1413,$B160,'февраль 2024'!$J$6:$J$1413,O$1)</f>
        <v>0</v>
      </c>
      <c r="P160" s="80">
        <f>SUMIFS('февраль 2024'!$G$6:$G$1413,'февраль 2024'!$D$6:$D$1413,$B160,'февраль 2024'!$J$6:$J$1413,P$1)</f>
        <v>0</v>
      </c>
      <c r="Q160" s="80">
        <f>SUMIFS('февраль 2024'!$G$6:$G$1413,'февраль 2024'!$D$6:$D$1413,$B160,'февраль 2024'!$J$6:$J$1413,Q$1)</f>
        <v>0</v>
      </c>
      <c r="R160" s="80">
        <f>SUMIFS('февраль 2024'!$G$6:$G$1413,'февраль 2024'!$D$6:$D$1413,$B160,'февраль 2024'!$J$6:$J$1413,R$1)</f>
        <v>0</v>
      </c>
      <c r="S160" s="80">
        <f>SUMIFS('февраль 2024'!$G$6:$G$1413,'февраль 2024'!$D$6:$D$1413,$B160,'февраль 2024'!$J$6:$J$1413,S$1)</f>
        <v>0</v>
      </c>
      <c r="T160" s="80">
        <f>SUMIFS('февраль 2024'!$G$6:$G$1413,'февраль 2024'!$D$6:$D$1413,$B160,'февраль 2024'!$J$6:$J$1413,T$1)</f>
        <v>0</v>
      </c>
      <c r="U160" s="80">
        <f>SUMIFS('февраль 2024'!$G$6:$G$1413,'февраль 2024'!$D$6:$D$1413,$B160,'февраль 2024'!$J$6:$J$1413,U$1)</f>
        <v>0</v>
      </c>
      <c r="V160" s="80">
        <f>SUMIFS('февраль 2024'!$G$6:$G$1413,'февраль 2024'!$D$6:$D$1413,$B160,'февраль 2024'!$J$6:$J$1413,V$1)</f>
        <v>0</v>
      </c>
      <c r="W160" s="80">
        <f>SUMIFS('февраль 2024'!$G$6:$G$1413,'февраль 2024'!$D$6:$D$1413,$B160,'февраль 2024'!$J$6:$J$1413,W$1)</f>
        <v>0</v>
      </c>
      <c r="X160" s="80">
        <f>SUMIFS('февраль 2024'!$G$6:$G$1413,'февраль 2024'!$D$6:$D$1413,$B160,'февраль 2024'!$J$6:$J$1413,X$1)</f>
        <v>0</v>
      </c>
      <c r="Y160" s="80">
        <f>SUMIFS('февраль 2024'!$G$6:$G$1413,'февраль 2024'!$D$6:$D$1413,$B160,'февраль 2024'!$J$6:$J$1413,Y$1)</f>
        <v>0</v>
      </c>
      <c r="Z160" s="80">
        <f>SUMIFS('февраль 2024'!$G$6:$G$1413,'февраль 2024'!$D$6:$D$1413,$B160,'февраль 2024'!$J$6:$J$1413,Z$1)</f>
        <v>0</v>
      </c>
      <c r="AA160" s="80">
        <f>SUMIFS('февраль 2024'!$G$6:$G$1413,'февраль 2024'!$D$6:$D$1413,$B160,'февраль 2024'!$J$6:$J$1413,AA$1)</f>
        <v>0</v>
      </c>
      <c r="AB160" s="80">
        <f>SUMIFS('февраль 2024'!$G$6:$G$1413,'февраль 2024'!$D$6:$D$1413,$B160,'февраль 2024'!$J$6:$J$1413,AB$1)</f>
        <v>0</v>
      </c>
      <c r="AC160" s="80">
        <f>SUMIFS('февраль 2024'!$G$6:$G$1413,'февраль 2024'!$D$6:$D$1413,$B160,'февраль 2024'!$J$6:$J$1413,AC$1)</f>
        <v>0</v>
      </c>
      <c r="AD160" s="80">
        <f>SUMIFS('февраль 2024'!$G$6:$G$1413,'февраль 2024'!$D$6:$D$1413,$B160,'февраль 2024'!$J$6:$J$1413,AD$1)</f>
        <v>0</v>
      </c>
      <c r="AE160" s="80">
        <f>SUMIFS('февраль 2024'!$G$6:$G$1413,'февраль 2024'!$D$6:$D$1413,$B160,'февраль 2024'!$J$6:$J$1413,AE$1)</f>
        <v>0</v>
      </c>
      <c r="AF160" s="80">
        <f>SUMIFS('февраль 2024'!$G$6:$G$1413,'февраль 2024'!$D$6:$D$1413,$B160,'февраль 2024'!$J$6:$J$1413,AF$1)</f>
        <v>0</v>
      </c>
      <c r="AG160" s="80">
        <f>SUMIFS('февраль 2024'!$G$6:$G$1413,'февраль 2024'!$D$6:$D$1413,$B160,'февраль 2024'!$J$6:$J$1413,AG$1)</f>
        <v>0</v>
      </c>
      <c r="AH160" s="80">
        <f>SUMIFS('февраль 2024'!$G$6:$G$1413,'февраль 2024'!$D$6:$D$1413,$B160,'февраль 2024'!$J$6:$J$1413,AH$1)</f>
        <v>0</v>
      </c>
      <c r="AI160" s="87"/>
    </row>
    <row r="161" spans="2:35" ht="15" hidden="1" customHeight="1" x14ac:dyDescent="0.25">
      <c r="B161" s="89"/>
      <c r="C161" s="88"/>
      <c r="D161" s="80">
        <f>SUMIFS('февраль 2024'!$G$6:$G$1413,'февраль 2024'!$D$6:$D$1413,$B161,'февраль 2024'!$J$6:$J$1413,D$1)</f>
        <v>0</v>
      </c>
      <c r="E161" s="80">
        <f>SUMIFS('февраль 2024'!$G$6:$G$1413,'февраль 2024'!$D$6:$D$1413,$B161,'февраль 2024'!$J$6:$J$1413,E$1)</f>
        <v>0</v>
      </c>
      <c r="F161" s="80">
        <f>SUMIFS('февраль 2024'!$G$6:$G$1413,'февраль 2024'!$D$6:$D$1413,$B161,'февраль 2024'!$J$6:$J$1413,F$1)</f>
        <v>0</v>
      </c>
      <c r="G161" s="80">
        <f>SUMIFS('февраль 2024'!$G$6:$G$1413,'февраль 2024'!$D$6:$D$1413,$B161,'февраль 2024'!$J$6:$J$1413,G$1)</f>
        <v>0</v>
      </c>
      <c r="H161" s="80">
        <f>SUMIFS('февраль 2024'!$G$6:$G$1413,'февраль 2024'!$D$6:$D$1413,$B161,'февраль 2024'!$J$6:$J$1413,H$1)</f>
        <v>0</v>
      </c>
      <c r="I161" s="80">
        <f>SUMIFS('февраль 2024'!$G$6:$G$1413,'февраль 2024'!$D$6:$D$1413,$B161,'февраль 2024'!$J$6:$J$1413,I$1)</f>
        <v>0</v>
      </c>
      <c r="J161" s="80">
        <f>SUMIFS('февраль 2024'!$G$6:$G$1413,'февраль 2024'!$D$6:$D$1413,$B161,'февраль 2024'!$J$6:$J$1413,J$1)</f>
        <v>0</v>
      </c>
      <c r="K161" s="80">
        <f>SUMIFS('февраль 2024'!$G$6:$G$1413,'февраль 2024'!$D$6:$D$1413,$B161,'февраль 2024'!$J$6:$J$1413,K$1)</f>
        <v>0</v>
      </c>
      <c r="L161" s="80">
        <f>SUMIFS('февраль 2024'!$G$6:$G$1413,'февраль 2024'!$D$6:$D$1413,$B161,'февраль 2024'!$J$6:$J$1413,L$1)</f>
        <v>0</v>
      </c>
      <c r="M161" s="80">
        <f>SUMIFS('февраль 2024'!$G$6:$G$1413,'февраль 2024'!$D$6:$D$1413,$B161,'февраль 2024'!$J$6:$J$1413,M$1)</f>
        <v>0</v>
      </c>
      <c r="N161" s="80">
        <f>SUMIFS('февраль 2024'!$G$6:$G$1413,'февраль 2024'!$D$6:$D$1413,$B161,'февраль 2024'!$J$6:$J$1413,N$1)</f>
        <v>0</v>
      </c>
      <c r="O161" s="80">
        <f>SUMIFS('февраль 2024'!$G$6:$G$1413,'февраль 2024'!$D$6:$D$1413,$B161,'февраль 2024'!$J$6:$J$1413,O$1)</f>
        <v>0</v>
      </c>
      <c r="P161" s="80">
        <f>SUMIFS('февраль 2024'!$G$6:$G$1413,'февраль 2024'!$D$6:$D$1413,$B161,'февраль 2024'!$J$6:$J$1413,P$1)</f>
        <v>0</v>
      </c>
      <c r="Q161" s="80">
        <f>SUMIFS('февраль 2024'!$G$6:$G$1413,'февраль 2024'!$D$6:$D$1413,$B161,'февраль 2024'!$J$6:$J$1413,Q$1)</f>
        <v>0</v>
      </c>
      <c r="R161" s="80">
        <f>SUMIFS('февраль 2024'!$G$6:$G$1413,'февраль 2024'!$D$6:$D$1413,$B161,'февраль 2024'!$J$6:$J$1413,R$1)</f>
        <v>0</v>
      </c>
      <c r="S161" s="80">
        <f>SUMIFS('февраль 2024'!$G$6:$G$1413,'февраль 2024'!$D$6:$D$1413,$B161,'февраль 2024'!$J$6:$J$1413,S$1)</f>
        <v>0</v>
      </c>
      <c r="T161" s="80">
        <f>SUMIFS('февраль 2024'!$G$6:$G$1413,'февраль 2024'!$D$6:$D$1413,$B161,'февраль 2024'!$J$6:$J$1413,T$1)</f>
        <v>0</v>
      </c>
      <c r="U161" s="80">
        <f>SUMIFS('февраль 2024'!$G$6:$G$1413,'февраль 2024'!$D$6:$D$1413,$B161,'февраль 2024'!$J$6:$J$1413,U$1)</f>
        <v>0</v>
      </c>
      <c r="V161" s="80">
        <f>SUMIFS('февраль 2024'!$G$6:$G$1413,'февраль 2024'!$D$6:$D$1413,$B161,'февраль 2024'!$J$6:$J$1413,V$1)</f>
        <v>0</v>
      </c>
      <c r="W161" s="80">
        <f>SUMIFS('февраль 2024'!$G$6:$G$1413,'февраль 2024'!$D$6:$D$1413,$B161,'февраль 2024'!$J$6:$J$1413,W$1)</f>
        <v>0</v>
      </c>
      <c r="X161" s="80">
        <f>SUMIFS('февраль 2024'!$G$6:$G$1413,'февраль 2024'!$D$6:$D$1413,$B161,'февраль 2024'!$J$6:$J$1413,X$1)</f>
        <v>0</v>
      </c>
      <c r="Y161" s="80">
        <f>SUMIFS('февраль 2024'!$G$6:$G$1413,'февраль 2024'!$D$6:$D$1413,$B161,'февраль 2024'!$J$6:$J$1413,Y$1)</f>
        <v>0</v>
      </c>
      <c r="Z161" s="80">
        <f>SUMIFS('февраль 2024'!$G$6:$G$1413,'февраль 2024'!$D$6:$D$1413,$B161,'февраль 2024'!$J$6:$J$1413,Z$1)</f>
        <v>0</v>
      </c>
      <c r="AA161" s="80">
        <f>SUMIFS('февраль 2024'!$G$6:$G$1413,'февраль 2024'!$D$6:$D$1413,$B161,'февраль 2024'!$J$6:$J$1413,AA$1)</f>
        <v>0</v>
      </c>
      <c r="AB161" s="80">
        <f>SUMIFS('февраль 2024'!$G$6:$G$1413,'февраль 2024'!$D$6:$D$1413,$B161,'февраль 2024'!$J$6:$J$1413,AB$1)</f>
        <v>0</v>
      </c>
      <c r="AC161" s="80">
        <f>SUMIFS('февраль 2024'!$G$6:$G$1413,'февраль 2024'!$D$6:$D$1413,$B161,'февраль 2024'!$J$6:$J$1413,AC$1)</f>
        <v>0</v>
      </c>
      <c r="AD161" s="80">
        <f>SUMIFS('февраль 2024'!$G$6:$G$1413,'февраль 2024'!$D$6:$D$1413,$B161,'февраль 2024'!$J$6:$J$1413,AD$1)</f>
        <v>0</v>
      </c>
      <c r="AE161" s="80">
        <f>SUMIFS('февраль 2024'!$G$6:$G$1413,'февраль 2024'!$D$6:$D$1413,$B161,'февраль 2024'!$J$6:$J$1413,AE$1)</f>
        <v>0</v>
      </c>
      <c r="AF161" s="80">
        <f>SUMIFS('февраль 2024'!$G$6:$G$1413,'февраль 2024'!$D$6:$D$1413,$B161,'февраль 2024'!$J$6:$J$1413,AF$1)</f>
        <v>0</v>
      </c>
      <c r="AG161" s="80">
        <f>SUMIFS('февраль 2024'!$G$6:$G$1413,'февраль 2024'!$D$6:$D$1413,$B161,'февраль 2024'!$J$6:$J$1413,AG$1)</f>
        <v>0</v>
      </c>
      <c r="AH161" s="80">
        <f>SUMIFS('февраль 2024'!$G$6:$G$1413,'февраль 2024'!$D$6:$D$1413,$B161,'февраль 2024'!$J$6:$J$1413,AH$1)</f>
        <v>0</v>
      </c>
      <c r="AI161" s="87"/>
    </row>
    <row r="162" spans="2:35" ht="15" hidden="1" customHeight="1" x14ac:dyDescent="0.25">
      <c r="B162" s="93"/>
      <c r="C162" s="91"/>
      <c r="D162" s="80">
        <f>SUMIFS('февраль 2024'!$G$6:$G$1413,'февраль 2024'!$D$6:$D$1413,$B162,'февраль 2024'!$J$6:$J$1413,D$1)</f>
        <v>0</v>
      </c>
      <c r="E162" s="80">
        <f>SUMIFS('февраль 2024'!$G$6:$G$1413,'февраль 2024'!$D$6:$D$1413,$B162,'февраль 2024'!$J$6:$J$1413,E$1)</f>
        <v>0</v>
      </c>
      <c r="F162" s="80">
        <f>SUMIFS('февраль 2024'!$G$6:$G$1413,'февраль 2024'!$D$6:$D$1413,$B162,'февраль 2024'!$J$6:$J$1413,F$1)</f>
        <v>0</v>
      </c>
      <c r="G162" s="80">
        <f>SUMIFS('февраль 2024'!$G$6:$G$1413,'февраль 2024'!$D$6:$D$1413,$B162,'февраль 2024'!$J$6:$J$1413,G$1)</f>
        <v>0</v>
      </c>
      <c r="H162" s="80">
        <f>SUMIFS('февраль 2024'!$G$6:$G$1413,'февраль 2024'!$D$6:$D$1413,$B162,'февраль 2024'!$J$6:$J$1413,H$1)</f>
        <v>0</v>
      </c>
      <c r="I162" s="80">
        <f>SUMIFS('февраль 2024'!$G$6:$G$1413,'февраль 2024'!$D$6:$D$1413,$B162,'февраль 2024'!$J$6:$J$1413,I$1)</f>
        <v>0</v>
      </c>
      <c r="J162" s="80">
        <f>SUMIFS('февраль 2024'!$G$6:$G$1413,'февраль 2024'!$D$6:$D$1413,$B162,'февраль 2024'!$J$6:$J$1413,J$1)</f>
        <v>0</v>
      </c>
      <c r="K162" s="80">
        <f>SUMIFS('февраль 2024'!$G$6:$G$1413,'февраль 2024'!$D$6:$D$1413,$B162,'февраль 2024'!$J$6:$J$1413,K$1)</f>
        <v>0</v>
      </c>
      <c r="L162" s="80">
        <f>SUMIFS('февраль 2024'!$G$6:$G$1413,'февраль 2024'!$D$6:$D$1413,$B162,'февраль 2024'!$J$6:$J$1413,L$1)</f>
        <v>0</v>
      </c>
      <c r="M162" s="80">
        <f>SUMIFS('февраль 2024'!$G$6:$G$1413,'февраль 2024'!$D$6:$D$1413,$B162,'февраль 2024'!$J$6:$J$1413,M$1)</f>
        <v>0</v>
      </c>
      <c r="N162" s="80">
        <f>SUMIFS('февраль 2024'!$G$6:$G$1413,'февраль 2024'!$D$6:$D$1413,$B162,'февраль 2024'!$J$6:$J$1413,N$1)</f>
        <v>0</v>
      </c>
      <c r="O162" s="80">
        <f>SUMIFS('февраль 2024'!$G$6:$G$1413,'февраль 2024'!$D$6:$D$1413,$B162,'февраль 2024'!$J$6:$J$1413,O$1)</f>
        <v>0</v>
      </c>
      <c r="P162" s="80">
        <f>SUMIFS('февраль 2024'!$G$6:$G$1413,'февраль 2024'!$D$6:$D$1413,$B162,'февраль 2024'!$J$6:$J$1413,P$1)</f>
        <v>0</v>
      </c>
      <c r="Q162" s="80">
        <f>SUMIFS('февраль 2024'!$G$6:$G$1413,'февраль 2024'!$D$6:$D$1413,$B162,'февраль 2024'!$J$6:$J$1413,Q$1)</f>
        <v>0</v>
      </c>
      <c r="R162" s="80">
        <f>SUMIFS('февраль 2024'!$G$6:$G$1413,'февраль 2024'!$D$6:$D$1413,$B162,'февраль 2024'!$J$6:$J$1413,R$1)</f>
        <v>0</v>
      </c>
      <c r="S162" s="80">
        <f>SUMIFS('февраль 2024'!$G$6:$G$1413,'февраль 2024'!$D$6:$D$1413,$B162,'февраль 2024'!$J$6:$J$1413,S$1)</f>
        <v>0</v>
      </c>
      <c r="T162" s="80">
        <f>SUMIFS('февраль 2024'!$G$6:$G$1413,'февраль 2024'!$D$6:$D$1413,$B162,'февраль 2024'!$J$6:$J$1413,T$1)</f>
        <v>0</v>
      </c>
      <c r="U162" s="80">
        <f>SUMIFS('февраль 2024'!$G$6:$G$1413,'февраль 2024'!$D$6:$D$1413,$B162,'февраль 2024'!$J$6:$J$1413,U$1)</f>
        <v>0</v>
      </c>
      <c r="V162" s="80">
        <f>SUMIFS('февраль 2024'!$G$6:$G$1413,'февраль 2024'!$D$6:$D$1413,$B162,'февраль 2024'!$J$6:$J$1413,V$1)</f>
        <v>0</v>
      </c>
      <c r="W162" s="80">
        <f>SUMIFS('февраль 2024'!$G$6:$G$1413,'февраль 2024'!$D$6:$D$1413,$B162,'февраль 2024'!$J$6:$J$1413,W$1)</f>
        <v>0</v>
      </c>
      <c r="X162" s="80">
        <f>SUMIFS('февраль 2024'!$G$6:$G$1413,'февраль 2024'!$D$6:$D$1413,$B162,'февраль 2024'!$J$6:$J$1413,X$1)</f>
        <v>0</v>
      </c>
      <c r="Y162" s="80">
        <f>SUMIFS('февраль 2024'!$G$6:$G$1413,'февраль 2024'!$D$6:$D$1413,$B162,'февраль 2024'!$J$6:$J$1413,Y$1)</f>
        <v>0</v>
      </c>
      <c r="Z162" s="80">
        <f>SUMIFS('февраль 2024'!$G$6:$G$1413,'февраль 2024'!$D$6:$D$1413,$B162,'февраль 2024'!$J$6:$J$1413,Z$1)</f>
        <v>0</v>
      </c>
      <c r="AA162" s="80">
        <f>SUMIFS('февраль 2024'!$G$6:$G$1413,'февраль 2024'!$D$6:$D$1413,$B162,'февраль 2024'!$J$6:$J$1413,AA$1)</f>
        <v>0</v>
      </c>
      <c r="AB162" s="80">
        <f>SUMIFS('февраль 2024'!$G$6:$G$1413,'февраль 2024'!$D$6:$D$1413,$B162,'февраль 2024'!$J$6:$J$1413,AB$1)</f>
        <v>0</v>
      </c>
      <c r="AC162" s="80">
        <f>SUMIFS('февраль 2024'!$G$6:$G$1413,'февраль 2024'!$D$6:$D$1413,$B162,'февраль 2024'!$J$6:$J$1413,AC$1)</f>
        <v>0</v>
      </c>
      <c r="AD162" s="80">
        <f>SUMIFS('февраль 2024'!$G$6:$G$1413,'февраль 2024'!$D$6:$D$1413,$B162,'февраль 2024'!$J$6:$J$1413,AD$1)</f>
        <v>0</v>
      </c>
      <c r="AE162" s="80">
        <f>SUMIFS('февраль 2024'!$G$6:$G$1413,'февраль 2024'!$D$6:$D$1413,$B162,'февраль 2024'!$J$6:$J$1413,AE$1)</f>
        <v>0</v>
      </c>
      <c r="AF162" s="80">
        <f>SUMIFS('февраль 2024'!$G$6:$G$1413,'февраль 2024'!$D$6:$D$1413,$B162,'февраль 2024'!$J$6:$J$1413,AF$1)</f>
        <v>0</v>
      </c>
      <c r="AG162" s="80">
        <f>SUMIFS('февраль 2024'!$G$6:$G$1413,'февраль 2024'!$D$6:$D$1413,$B162,'февраль 2024'!$J$6:$J$1413,AG$1)</f>
        <v>0</v>
      </c>
      <c r="AH162" s="80">
        <f>SUMIFS('февраль 2024'!$G$6:$G$1413,'февраль 2024'!$D$6:$D$1413,$B162,'февраль 2024'!$J$6:$J$1413,AH$1)</f>
        <v>0</v>
      </c>
      <c r="AI162" s="87"/>
    </row>
    <row r="163" spans="2:35" ht="15" hidden="1" customHeight="1" x14ac:dyDescent="0.25">
      <c r="B163" s="93"/>
      <c r="C163" s="91"/>
      <c r="D163" s="80">
        <f>SUMIFS('февраль 2024'!$G$6:$G$1413,'февраль 2024'!$D$6:$D$1413,$B163,'февраль 2024'!$J$6:$J$1413,D$1)</f>
        <v>0</v>
      </c>
      <c r="E163" s="80">
        <f>SUMIFS('февраль 2024'!$G$6:$G$1413,'февраль 2024'!$D$6:$D$1413,$B163,'февраль 2024'!$J$6:$J$1413,E$1)</f>
        <v>0</v>
      </c>
      <c r="F163" s="80">
        <f>SUMIFS('февраль 2024'!$G$6:$G$1413,'февраль 2024'!$D$6:$D$1413,$B163,'февраль 2024'!$J$6:$J$1413,F$1)</f>
        <v>0</v>
      </c>
      <c r="G163" s="80">
        <f>SUMIFS('февраль 2024'!$G$6:$G$1413,'февраль 2024'!$D$6:$D$1413,$B163,'февраль 2024'!$J$6:$J$1413,G$1)</f>
        <v>0</v>
      </c>
      <c r="H163" s="80">
        <f>SUMIFS('февраль 2024'!$G$6:$G$1413,'февраль 2024'!$D$6:$D$1413,$B163,'февраль 2024'!$J$6:$J$1413,H$1)</f>
        <v>0</v>
      </c>
      <c r="I163" s="80">
        <f>SUMIFS('февраль 2024'!$G$6:$G$1413,'февраль 2024'!$D$6:$D$1413,$B163,'февраль 2024'!$J$6:$J$1413,I$1)</f>
        <v>0</v>
      </c>
      <c r="J163" s="80">
        <f>SUMIFS('февраль 2024'!$G$6:$G$1413,'февраль 2024'!$D$6:$D$1413,$B163,'февраль 2024'!$J$6:$J$1413,J$1)</f>
        <v>0</v>
      </c>
      <c r="K163" s="80">
        <f>SUMIFS('февраль 2024'!$G$6:$G$1413,'февраль 2024'!$D$6:$D$1413,$B163,'февраль 2024'!$J$6:$J$1413,K$1)</f>
        <v>0</v>
      </c>
      <c r="L163" s="80">
        <f>SUMIFS('февраль 2024'!$G$6:$G$1413,'февраль 2024'!$D$6:$D$1413,$B163,'февраль 2024'!$J$6:$J$1413,L$1)</f>
        <v>0</v>
      </c>
      <c r="M163" s="80">
        <f>SUMIFS('февраль 2024'!$G$6:$G$1413,'февраль 2024'!$D$6:$D$1413,$B163,'февраль 2024'!$J$6:$J$1413,M$1)</f>
        <v>0</v>
      </c>
      <c r="N163" s="80">
        <f>SUMIFS('февраль 2024'!$G$6:$G$1413,'февраль 2024'!$D$6:$D$1413,$B163,'февраль 2024'!$J$6:$J$1413,N$1)</f>
        <v>0</v>
      </c>
      <c r="O163" s="80">
        <f>SUMIFS('февраль 2024'!$G$6:$G$1413,'февраль 2024'!$D$6:$D$1413,$B163,'февраль 2024'!$J$6:$J$1413,O$1)</f>
        <v>0</v>
      </c>
      <c r="P163" s="80">
        <f>SUMIFS('февраль 2024'!$G$6:$G$1413,'февраль 2024'!$D$6:$D$1413,$B163,'февраль 2024'!$J$6:$J$1413,P$1)</f>
        <v>0</v>
      </c>
      <c r="Q163" s="80">
        <f>SUMIFS('февраль 2024'!$G$6:$G$1413,'февраль 2024'!$D$6:$D$1413,$B163,'февраль 2024'!$J$6:$J$1413,Q$1)</f>
        <v>0</v>
      </c>
      <c r="R163" s="80">
        <f>SUMIFS('февраль 2024'!$G$6:$G$1413,'февраль 2024'!$D$6:$D$1413,$B163,'февраль 2024'!$J$6:$J$1413,R$1)</f>
        <v>0</v>
      </c>
      <c r="S163" s="80">
        <f>SUMIFS('февраль 2024'!$G$6:$G$1413,'февраль 2024'!$D$6:$D$1413,$B163,'февраль 2024'!$J$6:$J$1413,S$1)</f>
        <v>0</v>
      </c>
      <c r="T163" s="80">
        <f>SUMIFS('февраль 2024'!$G$6:$G$1413,'февраль 2024'!$D$6:$D$1413,$B163,'февраль 2024'!$J$6:$J$1413,T$1)</f>
        <v>0</v>
      </c>
      <c r="U163" s="80">
        <f>SUMIFS('февраль 2024'!$G$6:$G$1413,'февраль 2024'!$D$6:$D$1413,$B163,'февраль 2024'!$J$6:$J$1413,U$1)</f>
        <v>0</v>
      </c>
      <c r="V163" s="80">
        <f>SUMIFS('февраль 2024'!$G$6:$G$1413,'февраль 2024'!$D$6:$D$1413,$B163,'февраль 2024'!$J$6:$J$1413,V$1)</f>
        <v>0</v>
      </c>
      <c r="W163" s="80">
        <f>SUMIFS('февраль 2024'!$G$6:$G$1413,'февраль 2024'!$D$6:$D$1413,$B163,'февраль 2024'!$J$6:$J$1413,W$1)</f>
        <v>0</v>
      </c>
      <c r="X163" s="80">
        <f>SUMIFS('февраль 2024'!$G$6:$G$1413,'февраль 2024'!$D$6:$D$1413,$B163,'февраль 2024'!$J$6:$J$1413,X$1)</f>
        <v>0</v>
      </c>
      <c r="Y163" s="80">
        <f>SUMIFS('февраль 2024'!$G$6:$G$1413,'февраль 2024'!$D$6:$D$1413,$B163,'февраль 2024'!$J$6:$J$1413,Y$1)</f>
        <v>0</v>
      </c>
      <c r="Z163" s="80">
        <f>SUMIFS('февраль 2024'!$G$6:$G$1413,'февраль 2024'!$D$6:$D$1413,$B163,'февраль 2024'!$J$6:$J$1413,Z$1)</f>
        <v>0</v>
      </c>
      <c r="AA163" s="80">
        <f>SUMIFS('февраль 2024'!$G$6:$G$1413,'февраль 2024'!$D$6:$D$1413,$B163,'февраль 2024'!$J$6:$J$1413,AA$1)</f>
        <v>0</v>
      </c>
      <c r="AB163" s="80">
        <f>SUMIFS('февраль 2024'!$G$6:$G$1413,'февраль 2024'!$D$6:$D$1413,$B163,'февраль 2024'!$J$6:$J$1413,AB$1)</f>
        <v>0</v>
      </c>
      <c r="AC163" s="80">
        <f>SUMIFS('февраль 2024'!$G$6:$G$1413,'февраль 2024'!$D$6:$D$1413,$B163,'февраль 2024'!$J$6:$J$1413,AC$1)</f>
        <v>0</v>
      </c>
      <c r="AD163" s="80">
        <f>SUMIFS('февраль 2024'!$G$6:$G$1413,'февраль 2024'!$D$6:$D$1413,$B163,'февраль 2024'!$J$6:$J$1413,AD$1)</f>
        <v>0</v>
      </c>
      <c r="AE163" s="80">
        <f>SUMIFS('февраль 2024'!$G$6:$G$1413,'февраль 2024'!$D$6:$D$1413,$B163,'февраль 2024'!$J$6:$J$1413,AE$1)</f>
        <v>0</v>
      </c>
      <c r="AF163" s="80">
        <f>SUMIFS('февраль 2024'!$G$6:$G$1413,'февраль 2024'!$D$6:$D$1413,$B163,'февраль 2024'!$J$6:$J$1413,AF$1)</f>
        <v>0</v>
      </c>
      <c r="AG163" s="80">
        <f>SUMIFS('февраль 2024'!$G$6:$G$1413,'февраль 2024'!$D$6:$D$1413,$B163,'февраль 2024'!$J$6:$J$1413,AG$1)</f>
        <v>0</v>
      </c>
      <c r="AH163" s="80">
        <f>SUMIFS('февраль 2024'!$G$6:$G$1413,'февраль 2024'!$D$6:$D$1413,$B163,'февраль 2024'!$J$6:$J$1413,AH$1)</f>
        <v>0</v>
      </c>
      <c r="AI163" s="87"/>
    </row>
    <row r="164" spans="2:35" ht="15" hidden="1" customHeight="1" x14ac:dyDescent="0.25">
      <c r="B164" s="93"/>
      <c r="C164" s="91"/>
      <c r="D164" s="80">
        <f>SUMIFS('февраль 2024'!$G$6:$G$1413,'февраль 2024'!$D$6:$D$1413,$B164,'февраль 2024'!$J$6:$J$1413,D$1)</f>
        <v>0</v>
      </c>
      <c r="E164" s="80">
        <f>SUMIFS('февраль 2024'!$G$6:$G$1413,'февраль 2024'!$D$6:$D$1413,$B164,'февраль 2024'!$J$6:$J$1413,E$1)</f>
        <v>0</v>
      </c>
      <c r="F164" s="80">
        <f>SUMIFS('февраль 2024'!$G$6:$G$1413,'февраль 2024'!$D$6:$D$1413,$B164,'февраль 2024'!$J$6:$J$1413,F$1)</f>
        <v>0</v>
      </c>
      <c r="G164" s="80">
        <f>SUMIFS('февраль 2024'!$G$6:$G$1413,'февраль 2024'!$D$6:$D$1413,$B164,'февраль 2024'!$J$6:$J$1413,G$1)</f>
        <v>0</v>
      </c>
      <c r="H164" s="80">
        <f>SUMIFS('февраль 2024'!$G$6:$G$1413,'февраль 2024'!$D$6:$D$1413,$B164,'февраль 2024'!$J$6:$J$1413,H$1)</f>
        <v>0</v>
      </c>
      <c r="I164" s="80">
        <f>SUMIFS('февраль 2024'!$G$6:$G$1413,'февраль 2024'!$D$6:$D$1413,$B164,'февраль 2024'!$J$6:$J$1413,I$1)</f>
        <v>0</v>
      </c>
      <c r="J164" s="80">
        <f>SUMIFS('февраль 2024'!$G$6:$G$1413,'февраль 2024'!$D$6:$D$1413,$B164,'февраль 2024'!$J$6:$J$1413,J$1)</f>
        <v>0</v>
      </c>
      <c r="K164" s="80">
        <f>SUMIFS('февраль 2024'!$G$6:$G$1413,'февраль 2024'!$D$6:$D$1413,$B164,'февраль 2024'!$J$6:$J$1413,K$1)</f>
        <v>0</v>
      </c>
      <c r="L164" s="80">
        <f>SUMIFS('февраль 2024'!$G$6:$G$1413,'февраль 2024'!$D$6:$D$1413,$B164,'февраль 2024'!$J$6:$J$1413,L$1)</f>
        <v>0</v>
      </c>
      <c r="M164" s="80">
        <f>SUMIFS('февраль 2024'!$G$6:$G$1413,'февраль 2024'!$D$6:$D$1413,$B164,'февраль 2024'!$J$6:$J$1413,M$1)</f>
        <v>0</v>
      </c>
      <c r="N164" s="80">
        <f>SUMIFS('февраль 2024'!$G$6:$G$1413,'февраль 2024'!$D$6:$D$1413,$B164,'февраль 2024'!$J$6:$J$1413,N$1)</f>
        <v>0</v>
      </c>
      <c r="O164" s="80">
        <f>SUMIFS('февраль 2024'!$G$6:$G$1413,'февраль 2024'!$D$6:$D$1413,$B164,'февраль 2024'!$J$6:$J$1413,O$1)</f>
        <v>0</v>
      </c>
      <c r="P164" s="80">
        <f>SUMIFS('февраль 2024'!$G$6:$G$1413,'февраль 2024'!$D$6:$D$1413,$B164,'февраль 2024'!$J$6:$J$1413,P$1)</f>
        <v>0</v>
      </c>
      <c r="Q164" s="80">
        <f>SUMIFS('февраль 2024'!$G$6:$G$1413,'февраль 2024'!$D$6:$D$1413,$B164,'февраль 2024'!$J$6:$J$1413,Q$1)</f>
        <v>0</v>
      </c>
      <c r="R164" s="80">
        <f>SUMIFS('февраль 2024'!$G$6:$G$1413,'февраль 2024'!$D$6:$D$1413,$B164,'февраль 2024'!$J$6:$J$1413,R$1)</f>
        <v>0</v>
      </c>
      <c r="S164" s="80">
        <f>SUMIFS('февраль 2024'!$G$6:$G$1413,'февраль 2024'!$D$6:$D$1413,$B164,'февраль 2024'!$J$6:$J$1413,S$1)</f>
        <v>0</v>
      </c>
      <c r="T164" s="80">
        <f>SUMIFS('февраль 2024'!$G$6:$G$1413,'февраль 2024'!$D$6:$D$1413,$B164,'февраль 2024'!$J$6:$J$1413,T$1)</f>
        <v>0</v>
      </c>
      <c r="U164" s="80">
        <f>SUMIFS('февраль 2024'!$G$6:$G$1413,'февраль 2024'!$D$6:$D$1413,$B164,'февраль 2024'!$J$6:$J$1413,U$1)</f>
        <v>0</v>
      </c>
      <c r="V164" s="80">
        <f>SUMIFS('февраль 2024'!$G$6:$G$1413,'февраль 2024'!$D$6:$D$1413,$B164,'февраль 2024'!$J$6:$J$1413,V$1)</f>
        <v>0</v>
      </c>
      <c r="W164" s="80">
        <f>SUMIFS('февраль 2024'!$G$6:$G$1413,'февраль 2024'!$D$6:$D$1413,$B164,'февраль 2024'!$J$6:$J$1413,W$1)</f>
        <v>0</v>
      </c>
      <c r="X164" s="80">
        <f>SUMIFS('февраль 2024'!$G$6:$G$1413,'февраль 2024'!$D$6:$D$1413,$B164,'февраль 2024'!$J$6:$J$1413,X$1)</f>
        <v>0</v>
      </c>
      <c r="Y164" s="80">
        <f>SUMIFS('февраль 2024'!$G$6:$G$1413,'февраль 2024'!$D$6:$D$1413,$B164,'февраль 2024'!$J$6:$J$1413,Y$1)</f>
        <v>0</v>
      </c>
      <c r="Z164" s="80">
        <f>SUMIFS('февраль 2024'!$G$6:$G$1413,'февраль 2024'!$D$6:$D$1413,$B164,'февраль 2024'!$J$6:$J$1413,Z$1)</f>
        <v>0</v>
      </c>
      <c r="AA164" s="80">
        <f>SUMIFS('февраль 2024'!$G$6:$G$1413,'февраль 2024'!$D$6:$D$1413,$B164,'февраль 2024'!$J$6:$J$1413,AA$1)</f>
        <v>0</v>
      </c>
      <c r="AB164" s="80">
        <f>SUMIFS('февраль 2024'!$G$6:$G$1413,'февраль 2024'!$D$6:$D$1413,$B164,'февраль 2024'!$J$6:$J$1413,AB$1)</f>
        <v>0</v>
      </c>
      <c r="AC164" s="80">
        <f>SUMIFS('февраль 2024'!$G$6:$G$1413,'февраль 2024'!$D$6:$D$1413,$B164,'февраль 2024'!$J$6:$J$1413,AC$1)</f>
        <v>0</v>
      </c>
      <c r="AD164" s="80">
        <f>SUMIFS('февраль 2024'!$G$6:$G$1413,'февраль 2024'!$D$6:$D$1413,$B164,'февраль 2024'!$J$6:$J$1413,AD$1)</f>
        <v>0</v>
      </c>
      <c r="AE164" s="80">
        <f>SUMIFS('февраль 2024'!$G$6:$G$1413,'февраль 2024'!$D$6:$D$1413,$B164,'февраль 2024'!$J$6:$J$1413,AE$1)</f>
        <v>0</v>
      </c>
      <c r="AF164" s="80">
        <f>SUMIFS('февраль 2024'!$G$6:$G$1413,'февраль 2024'!$D$6:$D$1413,$B164,'февраль 2024'!$J$6:$J$1413,AF$1)</f>
        <v>0</v>
      </c>
      <c r="AG164" s="80">
        <f>SUMIFS('февраль 2024'!$G$6:$G$1413,'февраль 2024'!$D$6:$D$1413,$B164,'февраль 2024'!$J$6:$J$1413,AG$1)</f>
        <v>0</v>
      </c>
      <c r="AH164" s="80">
        <f>SUMIFS('февраль 2024'!$G$6:$G$1413,'февраль 2024'!$D$6:$D$1413,$B164,'февраль 2024'!$J$6:$J$1413,AH$1)</f>
        <v>0</v>
      </c>
      <c r="AI164" s="87"/>
    </row>
    <row r="165" spans="2:35" ht="15" hidden="1" customHeight="1" x14ac:dyDescent="0.25">
      <c r="B165" s="89"/>
      <c r="C165" s="88"/>
      <c r="D165" s="80">
        <f>SUMIFS('февраль 2024'!$G$6:$G$1413,'февраль 2024'!$D$6:$D$1413,$B165,'февраль 2024'!$J$6:$J$1413,D$1)</f>
        <v>0</v>
      </c>
      <c r="E165" s="80">
        <f>SUMIFS('февраль 2024'!$G$6:$G$1413,'февраль 2024'!$D$6:$D$1413,$B165,'февраль 2024'!$J$6:$J$1413,E$1)</f>
        <v>0</v>
      </c>
      <c r="F165" s="80">
        <f>SUMIFS('февраль 2024'!$G$6:$G$1413,'февраль 2024'!$D$6:$D$1413,$B165,'февраль 2024'!$J$6:$J$1413,F$1)</f>
        <v>0</v>
      </c>
      <c r="G165" s="80">
        <f>SUMIFS('февраль 2024'!$G$6:$G$1413,'февраль 2024'!$D$6:$D$1413,$B165,'февраль 2024'!$J$6:$J$1413,G$1)</f>
        <v>0</v>
      </c>
      <c r="H165" s="80">
        <f>SUMIFS('февраль 2024'!$G$6:$G$1413,'февраль 2024'!$D$6:$D$1413,$B165,'февраль 2024'!$J$6:$J$1413,H$1)</f>
        <v>0</v>
      </c>
      <c r="I165" s="80">
        <f>SUMIFS('февраль 2024'!$G$6:$G$1413,'февраль 2024'!$D$6:$D$1413,$B165,'февраль 2024'!$J$6:$J$1413,I$1)</f>
        <v>0</v>
      </c>
      <c r="J165" s="80">
        <f>SUMIFS('февраль 2024'!$G$6:$G$1413,'февраль 2024'!$D$6:$D$1413,$B165,'февраль 2024'!$J$6:$J$1413,J$1)</f>
        <v>0</v>
      </c>
      <c r="K165" s="80">
        <f>SUMIFS('февраль 2024'!$G$6:$G$1413,'февраль 2024'!$D$6:$D$1413,$B165,'февраль 2024'!$J$6:$J$1413,K$1)</f>
        <v>0</v>
      </c>
      <c r="L165" s="80">
        <f>SUMIFS('февраль 2024'!$G$6:$G$1413,'февраль 2024'!$D$6:$D$1413,$B165,'февраль 2024'!$J$6:$J$1413,L$1)</f>
        <v>0</v>
      </c>
      <c r="M165" s="80">
        <f>SUMIFS('февраль 2024'!$G$6:$G$1413,'февраль 2024'!$D$6:$D$1413,$B165,'февраль 2024'!$J$6:$J$1413,M$1)</f>
        <v>0</v>
      </c>
      <c r="N165" s="80">
        <f>SUMIFS('февраль 2024'!$G$6:$G$1413,'февраль 2024'!$D$6:$D$1413,$B165,'февраль 2024'!$J$6:$J$1413,N$1)</f>
        <v>0</v>
      </c>
      <c r="O165" s="80">
        <f>SUMIFS('февраль 2024'!$G$6:$G$1413,'февраль 2024'!$D$6:$D$1413,$B165,'февраль 2024'!$J$6:$J$1413,O$1)</f>
        <v>0</v>
      </c>
      <c r="P165" s="80">
        <f>SUMIFS('февраль 2024'!$G$6:$G$1413,'февраль 2024'!$D$6:$D$1413,$B165,'февраль 2024'!$J$6:$J$1413,P$1)</f>
        <v>0</v>
      </c>
      <c r="Q165" s="80">
        <f>SUMIFS('февраль 2024'!$G$6:$G$1413,'февраль 2024'!$D$6:$D$1413,$B165,'февраль 2024'!$J$6:$J$1413,Q$1)</f>
        <v>0</v>
      </c>
      <c r="R165" s="80">
        <f>SUMIFS('февраль 2024'!$G$6:$G$1413,'февраль 2024'!$D$6:$D$1413,$B165,'февраль 2024'!$J$6:$J$1413,R$1)</f>
        <v>0</v>
      </c>
      <c r="S165" s="80">
        <f>SUMIFS('февраль 2024'!$G$6:$G$1413,'февраль 2024'!$D$6:$D$1413,$B165,'февраль 2024'!$J$6:$J$1413,S$1)</f>
        <v>0</v>
      </c>
      <c r="T165" s="80">
        <f>SUMIFS('февраль 2024'!$G$6:$G$1413,'февраль 2024'!$D$6:$D$1413,$B165,'февраль 2024'!$J$6:$J$1413,T$1)</f>
        <v>0</v>
      </c>
      <c r="U165" s="80">
        <f>SUMIFS('февраль 2024'!$G$6:$G$1413,'февраль 2024'!$D$6:$D$1413,$B165,'февраль 2024'!$J$6:$J$1413,U$1)</f>
        <v>0</v>
      </c>
      <c r="V165" s="80">
        <f>SUMIFS('февраль 2024'!$G$6:$G$1413,'февраль 2024'!$D$6:$D$1413,$B165,'февраль 2024'!$J$6:$J$1413,V$1)</f>
        <v>0</v>
      </c>
      <c r="W165" s="80">
        <f>SUMIFS('февраль 2024'!$G$6:$G$1413,'февраль 2024'!$D$6:$D$1413,$B165,'февраль 2024'!$J$6:$J$1413,W$1)</f>
        <v>0</v>
      </c>
      <c r="X165" s="80">
        <f>SUMIFS('февраль 2024'!$G$6:$G$1413,'февраль 2024'!$D$6:$D$1413,$B165,'февраль 2024'!$J$6:$J$1413,X$1)</f>
        <v>0</v>
      </c>
      <c r="Y165" s="80">
        <f>SUMIFS('февраль 2024'!$G$6:$G$1413,'февраль 2024'!$D$6:$D$1413,$B165,'февраль 2024'!$J$6:$J$1413,Y$1)</f>
        <v>0</v>
      </c>
      <c r="Z165" s="80">
        <f>SUMIFS('февраль 2024'!$G$6:$G$1413,'февраль 2024'!$D$6:$D$1413,$B165,'февраль 2024'!$J$6:$J$1413,Z$1)</f>
        <v>0</v>
      </c>
      <c r="AA165" s="80">
        <f>SUMIFS('февраль 2024'!$G$6:$G$1413,'февраль 2024'!$D$6:$D$1413,$B165,'февраль 2024'!$J$6:$J$1413,AA$1)</f>
        <v>0</v>
      </c>
      <c r="AB165" s="80">
        <f>SUMIFS('февраль 2024'!$G$6:$G$1413,'февраль 2024'!$D$6:$D$1413,$B165,'февраль 2024'!$J$6:$J$1413,AB$1)</f>
        <v>0</v>
      </c>
      <c r="AC165" s="80">
        <f>SUMIFS('февраль 2024'!$G$6:$G$1413,'февраль 2024'!$D$6:$D$1413,$B165,'февраль 2024'!$J$6:$J$1413,AC$1)</f>
        <v>0</v>
      </c>
      <c r="AD165" s="80">
        <f>SUMIFS('февраль 2024'!$G$6:$G$1413,'февраль 2024'!$D$6:$D$1413,$B165,'февраль 2024'!$J$6:$J$1413,AD$1)</f>
        <v>0</v>
      </c>
      <c r="AE165" s="80">
        <f>SUMIFS('февраль 2024'!$G$6:$G$1413,'февраль 2024'!$D$6:$D$1413,$B165,'февраль 2024'!$J$6:$J$1413,AE$1)</f>
        <v>0</v>
      </c>
      <c r="AF165" s="80">
        <f>SUMIFS('февраль 2024'!$G$6:$G$1413,'февраль 2024'!$D$6:$D$1413,$B165,'февраль 2024'!$J$6:$J$1413,AF$1)</f>
        <v>0</v>
      </c>
      <c r="AG165" s="80">
        <f>SUMIFS('февраль 2024'!$G$6:$G$1413,'февраль 2024'!$D$6:$D$1413,$B165,'февраль 2024'!$J$6:$J$1413,AG$1)</f>
        <v>0</v>
      </c>
      <c r="AH165" s="80">
        <f>SUMIFS('февраль 2024'!$G$6:$G$1413,'февраль 2024'!$D$6:$D$1413,$B165,'февраль 2024'!$J$6:$J$1413,AH$1)</f>
        <v>0</v>
      </c>
      <c r="AI165" s="87"/>
    </row>
    <row r="166" spans="2:35" ht="15" hidden="1" customHeight="1" x14ac:dyDescent="0.25">
      <c r="B166" s="89"/>
      <c r="C166" s="88"/>
      <c r="D166" s="80">
        <f>SUMIFS('февраль 2024'!$G$6:$G$1413,'февраль 2024'!$D$6:$D$1413,$B166,'февраль 2024'!$J$6:$J$1413,D$1)</f>
        <v>0</v>
      </c>
      <c r="E166" s="80">
        <f>SUMIFS('февраль 2024'!$G$6:$G$1413,'февраль 2024'!$D$6:$D$1413,$B166,'февраль 2024'!$J$6:$J$1413,E$1)</f>
        <v>0</v>
      </c>
      <c r="F166" s="80">
        <f>SUMIFS('февраль 2024'!$G$6:$G$1413,'февраль 2024'!$D$6:$D$1413,$B166,'февраль 2024'!$J$6:$J$1413,F$1)</f>
        <v>0</v>
      </c>
      <c r="G166" s="80">
        <f>SUMIFS('февраль 2024'!$G$6:$G$1413,'февраль 2024'!$D$6:$D$1413,$B166,'февраль 2024'!$J$6:$J$1413,G$1)</f>
        <v>0</v>
      </c>
      <c r="H166" s="80">
        <f>SUMIFS('февраль 2024'!$G$6:$G$1413,'февраль 2024'!$D$6:$D$1413,$B166,'февраль 2024'!$J$6:$J$1413,H$1)</f>
        <v>0</v>
      </c>
      <c r="I166" s="80">
        <f>SUMIFS('февраль 2024'!$G$6:$G$1413,'февраль 2024'!$D$6:$D$1413,$B166,'февраль 2024'!$J$6:$J$1413,I$1)</f>
        <v>0</v>
      </c>
      <c r="J166" s="80">
        <f>SUMIFS('февраль 2024'!$G$6:$G$1413,'февраль 2024'!$D$6:$D$1413,$B166,'февраль 2024'!$J$6:$J$1413,J$1)</f>
        <v>0</v>
      </c>
      <c r="K166" s="80">
        <f>SUMIFS('февраль 2024'!$G$6:$G$1413,'февраль 2024'!$D$6:$D$1413,$B166,'февраль 2024'!$J$6:$J$1413,K$1)</f>
        <v>0</v>
      </c>
      <c r="L166" s="80">
        <f>SUMIFS('февраль 2024'!$G$6:$G$1413,'февраль 2024'!$D$6:$D$1413,$B166,'февраль 2024'!$J$6:$J$1413,L$1)</f>
        <v>0</v>
      </c>
      <c r="M166" s="80">
        <f>SUMIFS('февраль 2024'!$G$6:$G$1413,'февраль 2024'!$D$6:$D$1413,$B166,'февраль 2024'!$J$6:$J$1413,M$1)</f>
        <v>0</v>
      </c>
      <c r="N166" s="80">
        <f>SUMIFS('февраль 2024'!$G$6:$G$1413,'февраль 2024'!$D$6:$D$1413,$B166,'февраль 2024'!$J$6:$J$1413,N$1)</f>
        <v>0</v>
      </c>
      <c r="O166" s="80">
        <f>SUMIFS('февраль 2024'!$G$6:$G$1413,'февраль 2024'!$D$6:$D$1413,$B166,'февраль 2024'!$J$6:$J$1413,O$1)</f>
        <v>0</v>
      </c>
      <c r="P166" s="80">
        <f>SUMIFS('февраль 2024'!$G$6:$G$1413,'февраль 2024'!$D$6:$D$1413,$B166,'февраль 2024'!$J$6:$J$1413,P$1)</f>
        <v>0</v>
      </c>
      <c r="Q166" s="80">
        <f>SUMIFS('февраль 2024'!$G$6:$G$1413,'февраль 2024'!$D$6:$D$1413,$B166,'февраль 2024'!$J$6:$J$1413,Q$1)</f>
        <v>0</v>
      </c>
      <c r="R166" s="80">
        <f>SUMIFS('февраль 2024'!$G$6:$G$1413,'февраль 2024'!$D$6:$D$1413,$B166,'февраль 2024'!$J$6:$J$1413,R$1)</f>
        <v>0</v>
      </c>
      <c r="S166" s="80">
        <f>SUMIFS('февраль 2024'!$G$6:$G$1413,'февраль 2024'!$D$6:$D$1413,$B166,'февраль 2024'!$J$6:$J$1413,S$1)</f>
        <v>0</v>
      </c>
      <c r="T166" s="80">
        <f>SUMIFS('февраль 2024'!$G$6:$G$1413,'февраль 2024'!$D$6:$D$1413,$B166,'февраль 2024'!$J$6:$J$1413,T$1)</f>
        <v>0</v>
      </c>
      <c r="U166" s="80">
        <f>SUMIFS('февраль 2024'!$G$6:$G$1413,'февраль 2024'!$D$6:$D$1413,$B166,'февраль 2024'!$J$6:$J$1413,U$1)</f>
        <v>0</v>
      </c>
      <c r="V166" s="80">
        <f>SUMIFS('февраль 2024'!$G$6:$G$1413,'февраль 2024'!$D$6:$D$1413,$B166,'февраль 2024'!$J$6:$J$1413,V$1)</f>
        <v>0</v>
      </c>
      <c r="W166" s="80">
        <f>SUMIFS('февраль 2024'!$G$6:$G$1413,'февраль 2024'!$D$6:$D$1413,$B166,'февраль 2024'!$J$6:$J$1413,W$1)</f>
        <v>0</v>
      </c>
      <c r="X166" s="80">
        <f>SUMIFS('февраль 2024'!$G$6:$G$1413,'февраль 2024'!$D$6:$D$1413,$B166,'февраль 2024'!$J$6:$J$1413,X$1)</f>
        <v>0</v>
      </c>
      <c r="Y166" s="80">
        <f>SUMIFS('февраль 2024'!$G$6:$G$1413,'февраль 2024'!$D$6:$D$1413,$B166,'февраль 2024'!$J$6:$J$1413,Y$1)</f>
        <v>0</v>
      </c>
      <c r="Z166" s="80">
        <f>SUMIFS('февраль 2024'!$G$6:$G$1413,'февраль 2024'!$D$6:$D$1413,$B166,'февраль 2024'!$J$6:$J$1413,Z$1)</f>
        <v>0</v>
      </c>
      <c r="AA166" s="80">
        <f>SUMIFS('февраль 2024'!$G$6:$G$1413,'февраль 2024'!$D$6:$D$1413,$B166,'февраль 2024'!$J$6:$J$1413,AA$1)</f>
        <v>0</v>
      </c>
      <c r="AB166" s="80">
        <f>SUMIFS('февраль 2024'!$G$6:$G$1413,'февраль 2024'!$D$6:$D$1413,$B166,'февраль 2024'!$J$6:$J$1413,AB$1)</f>
        <v>0</v>
      </c>
      <c r="AC166" s="80">
        <f>SUMIFS('февраль 2024'!$G$6:$G$1413,'февраль 2024'!$D$6:$D$1413,$B166,'февраль 2024'!$J$6:$J$1413,AC$1)</f>
        <v>0</v>
      </c>
      <c r="AD166" s="80">
        <f>SUMIFS('февраль 2024'!$G$6:$G$1413,'февраль 2024'!$D$6:$D$1413,$B166,'февраль 2024'!$J$6:$J$1413,AD$1)</f>
        <v>0</v>
      </c>
      <c r="AE166" s="80">
        <f>SUMIFS('февраль 2024'!$G$6:$G$1413,'февраль 2024'!$D$6:$D$1413,$B166,'февраль 2024'!$J$6:$J$1413,AE$1)</f>
        <v>0</v>
      </c>
      <c r="AF166" s="80">
        <f>SUMIFS('февраль 2024'!$G$6:$G$1413,'февраль 2024'!$D$6:$D$1413,$B166,'февраль 2024'!$J$6:$J$1413,AF$1)</f>
        <v>0</v>
      </c>
      <c r="AG166" s="80">
        <f>SUMIFS('февраль 2024'!$G$6:$G$1413,'февраль 2024'!$D$6:$D$1413,$B166,'февраль 2024'!$J$6:$J$1413,AG$1)</f>
        <v>0</v>
      </c>
      <c r="AH166" s="80">
        <f>SUMIFS('февраль 2024'!$G$6:$G$1413,'февраль 2024'!$D$6:$D$1413,$B166,'февраль 2024'!$J$6:$J$1413,AH$1)</f>
        <v>0</v>
      </c>
      <c r="AI166" s="87"/>
    </row>
    <row r="167" spans="2:35" ht="15" hidden="1" customHeight="1" x14ac:dyDescent="0.25">
      <c r="B167" s="89"/>
      <c r="C167" s="88"/>
      <c r="D167" s="80">
        <f>SUMIFS('февраль 2024'!$G$6:$G$1413,'февраль 2024'!$D$6:$D$1413,$B167,'февраль 2024'!$J$6:$J$1413,D$1)</f>
        <v>0</v>
      </c>
      <c r="E167" s="80">
        <f>SUMIFS('февраль 2024'!$G$6:$G$1413,'февраль 2024'!$D$6:$D$1413,$B167,'февраль 2024'!$J$6:$J$1413,E$1)</f>
        <v>0</v>
      </c>
      <c r="F167" s="80">
        <f>SUMIFS('февраль 2024'!$G$6:$G$1413,'февраль 2024'!$D$6:$D$1413,$B167,'февраль 2024'!$J$6:$J$1413,F$1)</f>
        <v>0</v>
      </c>
      <c r="G167" s="80">
        <f>SUMIFS('февраль 2024'!$G$6:$G$1413,'февраль 2024'!$D$6:$D$1413,$B167,'февраль 2024'!$J$6:$J$1413,G$1)</f>
        <v>0</v>
      </c>
      <c r="H167" s="80">
        <f>SUMIFS('февраль 2024'!$G$6:$G$1413,'февраль 2024'!$D$6:$D$1413,$B167,'февраль 2024'!$J$6:$J$1413,H$1)</f>
        <v>0</v>
      </c>
      <c r="I167" s="80">
        <f>SUMIFS('февраль 2024'!$G$6:$G$1413,'февраль 2024'!$D$6:$D$1413,$B167,'февраль 2024'!$J$6:$J$1413,I$1)</f>
        <v>0</v>
      </c>
      <c r="J167" s="80">
        <f>SUMIFS('февраль 2024'!$G$6:$G$1413,'февраль 2024'!$D$6:$D$1413,$B167,'февраль 2024'!$J$6:$J$1413,J$1)</f>
        <v>0</v>
      </c>
      <c r="K167" s="80">
        <f>SUMIFS('февраль 2024'!$G$6:$G$1413,'февраль 2024'!$D$6:$D$1413,$B167,'февраль 2024'!$J$6:$J$1413,K$1)</f>
        <v>0</v>
      </c>
      <c r="L167" s="80">
        <f>SUMIFS('февраль 2024'!$G$6:$G$1413,'февраль 2024'!$D$6:$D$1413,$B167,'февраль 2024'!$J$6:$J$1413,L$1)</f>
        <v>0</v>
      </c>
      <c r="M167" s="80">
        <f>SUMIFS('февраль 2024'!$G$6:$G$1413,'февраль 2024'!$D$6:$D$1413,$B167,'февраль 2024'!$J$6:$J$1413,M$1)</f>
        <v>0</v>
      </c>
      <c r="N167" s="80">
        <f>SUMIFS('февраль 2024'!$G$6:$G$1413,'февраль 2024'!$D$6:$D$1413,$B167,'февраль 2024'!$J$6:$J$1413,N$1)</f>
        <v>0</v>
      </c>
      <c r="O167" s="80">
        <f>SUMIFS('февраль 2024'!$G$6:$G$1413,'февраль 2024'!$D$6:$D$1413,$B167,'февраль 2024'!$J$6:$J$1413,O$1)</f>
        <v>0</v>
      </c>
      <c r="P167" s="80">
        <f>SUMIFS('февраль 2024'!$G$6:$G$1413,'февраль 2024'!$D$6:$D$1413,$B167,'февраль 2024'!$J$6:$J$1413,P$1)</f>
        <v>0</v>
      </c>
      <c r="Q167" s="80">
        <f>SUMIFS('февраль 2024'!$G$6:$G$1413,'февраль 2024'!$D$6:$D$1413,$B167,'февраль 2024'!$J$6:$J$1413,Q$1)</f>
        <v>0</v>
      </c>
      <c r="R167" s="80">
        <f>SUMIFS('февраль 2024'!$G$6:$G$1413,'февраль 2024'!$D$6:$D$1413,$B167,'февраль 2024'!$J$6:$J$1413,R$1)</f>
        <v>0</v>
      </c>
      <c r="S167" s="80">
        <f>SUMIFS('февраль 2024'!$G$6:$G$1413,'февраль 2024'!$D$6:$D$1413,$B167,'февраль 2024'!$J$6:$J$1413,S$1)</f>
        <v>0</v>
      </c>
      <c r="T167" s="80">
        <f>SUMIFS('февраль 2024'!$G$6:$G$1413,'февраль 2024'!$D$6:$D$1413,$B167,'февраль 2024'!$J$6:$J$1413,T$1)</f>
        <v>0</v>
      </c>
      <c r="U167" s="80">
        <f>SUMIFS('февраль 2024'!$G$6:$G$1413,'февраль 2024'!$D$6:$D$1413,$B167,'февраль 2024'!$J$6:$J$1413,U$1)</f>
        <v>0</v>
      </c>
      <c r="V167" s="80">
        <f>SUMIFS('февраль 2024'!$G$6:$G$1413,'февраль 2024'!$D$6:$D$1413,$B167,'февраль 2024'!$J$6:$J$1413,V$1)</f>
        <v>0</v>
      </c>
      <c r="W167" s="80">
        <f>SUMIFS('февраль 2024'!$G$6:$G$1413,'февраль 2024'!$D$6:$D$1413,$B167,'февраль 2024'!$J$6:$J$1413,W$1)</f>
        <v>0</v>
      </c>
      <c r="X167" s="80">
        <f>SUMIFS('февраль 2024'!$G$6:$G$1413,'февраль 2024'!$D$6:$D$1413,$B167,'февраль 2024'!$J$6:$J$1413,X$1)</f>
        <v>0</v>
      </c>
      <c r="Y167" s="80">
        <f>SUMIFS('февраль 2024'!$G$6:$G$1413,'февраль 2024'!$D$6:$D$1413,$B167,'февраль 2024'!$J$6:$J$1413,Y$1)</f>
        <v>0</v>
      </c>
      <c r="Z167" s="80">
        <f>SUMIFS('февраль 2024'!$G$6:$G$1413,'февраль 2024'!$D$6:$D$1413,$B167,'февраль 2024'!$J$6:$J$1413,Z$1)</f>
        <v>0</v>
      </c>
      <c r="AA167" s="80">
        <f>SUMIFS('февраль 2024'!$G$6:$G$1413,'февраль 2024'!$D$6:$D$1413,$B167,'февраль 2024'!$J$6:$J$1413,AA$1)</f>
        <v>0</v>
      </c>
      <c r="AB167" s="80">
        <f>SUMIFS('февраль 2024'!$G$6:$G$1413,'февраль 2024'!$D$6:$D$1413,$B167,'февраль 2024'!$J$6:$J$1413,AB$1)</f>
        <v>0</v>
      </c>
      <c r="AC167" s="80">
        <f>SUMIFS('февраль 2024'!$G$6:$G$1413,'февраль 2024'!$D$6:$D$1413,$B167,'февраль 2024'!$J$6:$J$1413,AC$1)</f>
        <v>0</v>
      </c>
      <c r="AD167" s="80">
        <f>SUMIFS('февраль 2024'!$G$6:$G$1413,'февраль 2024'!$D$6:$D$1413,$B167,'февраль 2024'!$J$6:$J$1413,AD$1)</f>
        <v>0</v>
      </c>
      <c r="AE167" s="80">
        <f>SUMIFS('февраль 2024'!$G$6:$G$1413,'февраль 2024'!$D$6:$D$1413,$B167,'февраль 2024'!$J$6:$J$1413,AE$1)</f>
        <v>0</v>
      </c>
      <c r="AF167" s="80">
        <f>SUMIFS('февраль 2024'!$G$6:$G$1413,'февраль 2024'!$D$6:$D$1413,$B167,'февраль 2024'!$J$6:$J$1413,AF$1)</f>
        <v>0</v>
      </c>
      <c r="AG167" s="80">
        <f>SUMIFS('февраль 2024'!$G$6:$G$1413,'февраль 2024'!$D$6:$D$1413,$B167,'февраль 2024'!$J$6:$J$1413,AG$1)</f>
        <v>0</v>
      </c>
      <c r="AH167" s="80">
        <f>SUMIFS('февраль 2024'!$G$6:$G$1413,'февраль 2024'!$D$6:$D$1413,$B167,'февраль 2024'!$J$6:$J$1413,AH$1)</f>
        <v>0</v>
      </c>
      <c r="AI167" s="87"/>
    </row>
    <row r="168" spans="2:35" ht="15" hidden="1" customHeight="1" x14ac:dyDescent="0.25">
      <c r="B168" s="94"/>
      <c r="C168" s="95"/>
      <c r="D168" s="80">
        <f>SUMIFS('февраль 2024'!$G$6:$G$1413,'февраль 2024'!$D$6:$D$1413,$B168,'февраль 2024'!$J$6:$J$1413,D$1)</f>
        <v>0</v>
      </c>
      <c r="E168" s="80">
        <f>SUMIFS('февраль 2024'!$G$6:$G$1413,'февраль 2024'!$D$6:$D$1413,$B168,'февраль 2024'!$J$6:$J$1413,E$1)</f>
        <v>0</v>
      </c>
      <c r="F168" s="80">
        <f>SUMIFS('февраль 2024'!$G$6:$G$1413,'февраль 2024'!$D$6:$D$1413,$B168,'февраль 2024'!$J$6:$J$1413,F$1)</f>
        <v>0</v>
      </c>
      <c r="G168" s="80">
        <f>SUMIFS('февраль 2024'!$G$6:$G$1413,'февраль 2024'!$D$6:$D$1413,$B168,'февраль 2024'!$J$6:$J$1413,G$1)</f>
        <v>0</v>
      </c>
      <c r="H168" s="80">
        <f>SUMIFS('февраль 2024'!$G$6:$G$1413,'февраль 2024'!$D$6:$D$1413,$B168,'февраль 2024'!$J$6:$J$1413,H$1)</f>
        <v>0</v>
      </c>
      <c r="I168" s="80">
        <f>SUMIFS('февраль 2024'!$G$6:$G$1413,'февраль 2024'!$D$6:$D$1413,$B168,'февраль 2024'!$J$6:$J$1413,I$1)</f>
        <v>0</v>
      </c>
      <c r="J168" s="80">
        <f>SUMIFS('февраль 2024'!$G$6:$G$1413,'февраль 2024'!$D$6:$D$1413,$B168,'февраль 2024'!$J$6:$J$1413,J$1)</f>
        <v>0</v>
      </c>
      <c r="K168" s="80">
        <f>SUMIFS('февраль 2024'!$G$6:$G$1413,'февраль 2024'!$D$6:$D$1413,$B168,'февраль 2024'!$J$6:$J$1413,K$1)</f>
        <v>0</v>
      </c>
      <c r="L168" s="80">
        <f>SUMIFS('февраль 2024'!$G$6:$G$1413,'февраль 2024'!$D$6:$D$1413,$B168,'февраль 2024'!$J$6:$J$1413,L$1)</f>
        <v>0</v>
      </c>
      <c r="M168" s="80">
        <f>SUMIFS('февраль 2024'!$G$6:$G$1413,'февраль 2024'!$D$6:$D$1413,$B168,'февраль 2024'!$J$6:$J$1413,M$1)</f>
        <v>0</v>
      </c>
      <c r="N168" s="80">
        <f>SUMIFS('февраль 2024'!$G$6:$G$1413,'февраль 2024'!$D$6:$D$1413,$B168,'февраль 2024'!$J$6:$J$1413,N$1)</f>
        <v>0</v>
      </c>
      <c r="O168" s="80">
        <f>SUMIFS('февраль 2024'!$G$6:$G$1413,'февраль 2024'!$D$6:$D$1413,$B168,'февраль 2024'!$J$6:$J$1413,O$1)</f>
        <v>0</v>
      </c>
      <c r="P168" s="80">
        <f>SUMIFS('февраль 2024'!$G$6:$G$1413,'февраль 2024'!$D$6:$D$1413,$B168,'февраль 2024'!$J$6:$J$1413,P$1)</f>
        <v>0</v>
      </c>
      <c r="Q168" s="80">
        <f>SUMIFS('февраль 2024'!$G$6:$G$1413,'февраль 2024'!$D$6:$D$1413,$B168,'февраль 2024'!$J$6:$J$1413,Q$1)</f>
        <v>0</v>
      </c>
      <c r="R168" s="80">
        <f>SUMIFS('февраль 2024'!$G$6:$G$1413,'февраль 2024'!$D$6:$D$1413,$B168,'февраль 2024'!$J$6:$J$1413,R$1)</f>
        <v>0</v>
      </c>
      <c r="S168" s="80">
        <f>SUMIFS('февраль 2024'!$G$6:$G$1413,'февраль 2024'!$D$6:$D$1413,$B168,'февраль 2024'!$J$6:$J$1413,S$1)</f>
        <v>0</v>
      </c>
      <c r="T168" s="80">
        <f>SUMIFS('февраль 2024'!$G$6:$G$1413,'февраль 2024'!$D$6:$D$1413,$B168,'февраль 2024'!$J$6:$J$1413,T$1)</f>
        <v>0</v>
      </c>
      <c r="U168" s="80">
        <f>SUMIFS('февраль 2024'!$G$6:$G$1413,'февраль 2024'!$D$6:$D$1413,$B168,'февраль 2024'!$J$6:$J$1413,U$1)</f>
        <v>0</v>
      </c>
      <c r="V168" s="80">
        <f>SUMIFS('февраль 2024'!$G$6:$G$1413,'февраль 2024'!$D$6:$D$1413,$B168,'февраль 2024'!$J$6:$J$1413,V$1)</f>
        <v>0</v>
      </c>
      <c r="W168" s="80">
        <f>SUMIFS('февраль 2024'!$G$6:$G$1413,'февраль 2024'!$D$6:$D$1413,$B168,'февраль 2024'!$J$6:$J$1413,W$1)</f>
        <v>0</v>
      </c>
      <c r="X168" s="80">
        <f>SUMIFS('февраль 2024'!$G$6:$G$1413,'февраль 2024'!$D$6:$D$1413,$B168,'февраль 2024'!$J$6:$J$1413,X$1)</f>
        <v>0</v>
      </c>
      <c r="Y168" s="80">
        <f>SUMIFS('февраль 2024'!$G$6:$G$1413,'февраль 2024'!$D$6:$D$1413,$B168,'февраль 2024'!$J$6:$J$1413,Y$1)</f>
        <v>0</v>
      </c>
      <c r="Z168" s="80">
        <f>SUMIFS('февраль 2024'!$G$6:$G$1413,'февраль 2024'!$D$6:$D$1413,$B168,'февраль 2024'!$J$6:$J$1413,Z$1)</f>
        <v>0</v>
      </c>
      <c r="AA168" s="80">
        <f>SUMIFS('февраль 2024'!$G$6:$G$1413,'февраль 2024'!$D$6:$D$1413,$B168,'февраль 2024'!$J$6:$J$1413,AA$1)</f>
        <v>0</v>
      </c>
      <c r="AB168" s="80">
        <f>SUMIFS('февраль 2024'!$G$6:$G$1413,'февраль 2024'!$D$6:$D$1413,$B168,'февраль 2024'!$J$6:$J$1413,AB$1)</f>
        <v>0</v>
      </c>
      <c r="AC168" s="80">
        <f>SUMIFS('февраль 2024'!$G$6:$G$1413,'февраль 2024'!$D$6:$D$1413,$B168,'февраль 2024'!$J$6:$J$1413,AC$1)</f>
        <v>0</v>
      </c>
      <c r="AD168" s="80">
        <f>SUMIFS('февраль 2024'!$G$6:$G$1413,'февраль 2024'!$D$6:$D$1413,$B168,'февраль 2024'!$J$6:$J$1413,AD$1)</f>
        <v>0</v>
      </c>
      <c r="AE168" s="80">
        <f>SUMIFS('февраль 2024'!$G$6:$G$1413,'февраль 2024'!$D$6:$D$1413,$B168,'февраль 2024'!$J$6:$J$1413,AE$1)</f>
        <v>0</v>
      </c>
      <c r="AF168" s="80">
        <f>SUMIFS('февраль 2024'!$G$6:$G$1413,'февраль 2024'!$D$6:$D$1413,$B168,'февраль 2024'!$J$6:$J$1413,AF$1)</f>
        <v>0</v>
      </c>
      <c r="AG168" s="80">
        <f>SUMIFS('февраль 2024'!$G$6:$G$1413,'февраль 2024'!$D$6:$D$1413,$B168,'февраль 2024'!$J$6:$J$1413,AG$1)</f>
        <v>0</v>
      </c>
      <c r="AH168" s="80">
        <f>SUMIFS('февраль 2024'!$G$6:$G$1413,'февраль 2024'!$D$6:$D$1413,$B168,'февраль 2024'!$J$6:$J$1413,AH$1)</f>
        <v>0</v>
      </c>
      <c r="AI168" s="87"/>
    </row>
    <row r="169" spans="2:35" ht="15" hidden="1" customHeight="1" x14ac:dyDescent="0.25">
      <c r="B169" s="89"/>
      <c r="C169" s="91"/>
      <c r="D169" s="80">
        <f>SUMIFS('февраль 2024'!$G$6:$G$1413,'февраль 2024'!$D$6:$D$1413,$B169,'февраль 2024'!$J$6:$J$1413,D$1)</f>
        <v>0</v>
      </c>
      <c r="E169" s="80">
        <f>SUMIFS('февраль 2024'!$G$6:$G$1413,'февраль 2024'!$D$6:$D$1413,$B169,'февраль 2024'!$J$6:$J$1413,E$1)</f>
        <v>0</v>
      </c>
      <c r="F169" s="80">
        <f>SUMIFS('февраль 2024'!$G$6:$G$1413,'февраль 2024'!$D$6:$D$1413,$B169,'февраль 2024'!$J$6:$J$1413,F$1)</f>
        <v>0</v>
      </c>
      <c r="G169" s="80">
        <f>SUMIFS('февраль 2024'!$G$6:$G$1413,'февраль 2024'!$D$6:$D$1413,$B169,'февраль 2024'!$J$6:$J$1413,G$1)</f>
        <v>0</v>
      </c>
      <c r="H169" s="80">
        <f>SUMIFS('февраль 2024'!$G$6:$G$1413,'февраль 2024'!$D$6:$D$1413,$B169,'февраль 2024'!$J$6:$J$1413,H$1)</f>
        <v>0</v>
      </c>
      <c r="I169" s="80">
        <f>SUMIFS('февраль 2024'!$G$6:$G$1413,'февраль 2024'!$D$6:$D$1413,$B169,'февраль 2024'!$J$6:$J$1413,I$1)</f>
        <v>0</v>
      </c>
      <c r="J169" s="80">
        <f>SUMIFS('февраль 2024'!$G$6:$G$1413,'февраль 2024'!$D$6:$D$1413,$B169,'февраль 2024'!$J$6:$J$1413,J$1)</f>
        <v>0</v>
      </c>
      <c r="K169" s="80">
        <f>SUMIFS('февраль 2024'!$G$6:$G$1413,'февраль 2024'!$D$6:$D$1413,$B169,'февраль 2024'!$J$6:$J$1413,K$1)</f>
        <v>0</v>
      </c>
      <c r="L169" s="80">
        <f>SUMIFS('февраль 2024'!$G$6:$G$1413,'февраль 2024'!$D$6:$D$1413,$B169,'февраль 2024'!$J$6:$J$1413,L$1)</f>
        <v>0</v>
      </c>
      <c r="M169" s="80">
        <f>SUMIFS('февраль 2024'!$G$6:$G$1413,'февраль 2024'!$D$6:$D$1413,$B169,'февраль 2024'!$J$6:$J$1413,M$1)</f>
        <v>0</v>
      </c>
      <c r="N169" s="80">
        <f>SUMIFS('февраль 2024'!$G$6:$G$1413,'февраль 2024'!$D$6:$D$1413,$B169,'февраль 2024'!$J$6:$J$1413,N$1)</f>
        <v>0</v>
      </c>
      <c r="O169" s="80">
        <f>SUMIFS('февраль 2024'!$G$6:$G$1413,'февраль 2024'!$D$6:$D$1413,$B169,'февраль 2024'!$J$6:$J$1413,O$1)</f>
        <v>0</v>
      </c>
      <c r="P169" s="80">
        <f>SUMIFS('февраль 2024'!$G$6:$G$1413,'февраль 2024'!$D$6:$D$1413,$B169,'февраль 2024'!$J$6:$J$1413,P$1)</f>
        <v>0</v>
      </c>
      <c r="Q169" s="80">
        <f>SUMIFS('февраль 2024'!$G$6:$G$1413,'февраль 2024'!$D$6:$D$1413,$B169,'февраль 2024'!$J$6:$J$1413,Q$1)</f>
        <v>0</v>
      </c>
      <c r="R169" s="80">
        <f>SUMIFS('февраль 2024'!$G$6:$G$1413,'февраль 2024'!$D$6:$D$1413,$B169,'февраль 2024'!$J$6:$J$1413,R$1)</f>
        <v>0</v>
      </c>
      <c r="S169" s="80">
        <f>SUMIFS('февраль 2024'!$G$6:$G$1413,'февраль 2024'!$D$6:$D$1413,$B169,'февраль 2024'!$J$6:$J$1413,S$1)</f>
        <v>0</v>
      </c>
      <c r="T169" s="80">
        <f>SUMIFS('февраль 2024'!$G$6:$G$1413,'февраль 2024'!$D$6:$D$1413,$B169,'февраль 2024'!$J$6:$J$1413,T$1)</f>
        <v>0</v>
      </c>
      <c r="U169" s="80">
        <f>SUMIFS('февраль 2024'!$G$6:$G$1413,'февраль 2024'!$D$6:$D$1413,$B169,'февраль 2024'!$J$6:$J$1413,U$1)</f>
        <v>0</v>
      </c>
      <c r="V169" s="80">
        <f>SUMIFS('февраль 2024'!$G$6:$G$1413,'февраль 2024'!$D$6:$D$1413,$B169,'февраль 2024'!$J$6:$J$1413,V$1)</f>
        <v>0</v>
      </c>
      <c r="W169" s="80">
        <f>SUMIFS('февраль 2024'!$G$6:$G$1413,'февраль 2024'!$D$6:$D$1413,$B169,'февраль 2024'!$J$6:$J$1413,W$1)</f>
        <v>0</v>
      </c>
      <c r="X169" s="80">
        <f>SUMIFS('февраль 2024'!$G$6:$G$1413,'февраль 2024'!$D$6:$D$1413,$B169,'февраль 2024'!$J$6:$J$1413,X$1)</f>
        <v>0</v>
      </c>
      <c r="Y169" s="80">
        <f>SUMIFS('февраль 2024'!$G$6:$G$1413,'февраль 2024'!$D$6:$D$1413,$B169,'февраль 2024'!$J$6:$J$1413,Y$1)</f>
        <v>0</v>
      </c>
      <c r="Z169" s="80">
        <f>SUMIFS('февраль 2024'!$G$6:$G$1413,'февраль 2024'!$D$6:$D$1413,$B169,'февраль 2024'!$J$6:$J$1413,Z$1)</f>
        <v>0</v>
      </c>
      <c r="AA169" s="80">
        <f>SUMIFS('февраль 2024'!$G$6:$G$1413,'февраль 2024'!$D$6:$D$1413,$B169,'февраль 2024'!$J$6:$J$1413,AA$1)</f>
        <v>0</v>
      </c>
      <c r="AB169" s="80">
        <f>SUMIFS('февраль 2024'!$G$6:$G$1413,'февраль 2024'!$D$6:$D$1413,$B169,'февраль 2024'!$J$6:$J$1413,AB$1)</f>
        <v>0</v>
      </c>
      <c r="AC169" s="80">
        <f>SUMIFS('февраль 2024'!$G$6:$G$1413,'февраль 2024'!$D$6:$D$1413,$B169,'февраль 2024'!$J$6:$J$1413,AC$1)</f>
        <v>0</v>
      </c>
      <c r="AD169" s="80">
        <f>SUMIFS('февраль 2024'!$G$6:$G$1413,'февраль 2024'!$D$6:$D$1413,$B169,'февраль 2024'!$J$6:$J$1413,AD$1)</f>
        <v>0</v>
      </c>
      <c r="AE169" s="80">
        <f>SUMIFS('февраль 2024'!$G$6:$G$1413,'февраль 2024'!$D$6:$D$1413,$B169,'февраль 2024'!$J$6:$J$1413,AE$1)</f>
        <v>0</v>
      </c>
      <c r="AF169" s="80">
        <f>SUMIFS('февраль 2024'!$G$6:$G$1413,'февраль 2024'!$D$6:$D$1413,$B169,'февраль 2024'!$J$6:$J$1413,AF$1)</f>
        <v>0</v>
      </c>
      <c r="AG169" s="80">
        <f>SUMIFS('февраль 2024'!$G$6:$G$1413,'февраль 2024'!$D$6:$D$1413,$B169,'февраль 2024'!$J$6:$J$1413,AG$1)</f>
        <v>0</v>
      </c>
      <c r="AH169" s="80">
        <f>SUMIFS('февраль 2024'!$G$6:$G$1413,'февраль 2024'!$D$6:$D$1413,$B169,'февраль 2024'!$J$6:$J$1413,AH$1)</f>
        <v>0</v>
      </c>
      <c r="AI169" s="87"/>
    </row>
    <row r="170" spans="2:35" ht="15" hidden="1" customHeight="1" x14ac:dyDescent="0.25">
      <c r="B170" s="89"/>
      <c r="C170" s="88"/>
      <c r="D170" s="80">
        <f>SUMIFS('февраль 2024'!$G$6:$G$1413,'февраль 2024'!$D$6:$D$1413,$B170,'февраль 2024'!$J$6:$J$1413,D$1)</f>
        <v>0</v>
      </c>
      <c r="E170" s="80">
        <f>SUMIFS('февраль 2024'!$G$6:$G$1413,'февраль 2024'!$D$6:$D$1413,$B170,'февраль 2024'!$J$6:$J$1413,E$1)</f>
        <v>0</v>
      </c>
      <c r="F170" s="80">
        <f>SUMIFS('февраль 2024'!$G$6:$G$1413,'февраль 2024'!$D$6:$D$1413,$B170,'февраль 2024'!$J$6:$J$1413,F$1)</f>
        <v>0</v>
      </c>
      <c r="G170" s="80">
        <f>SUMIFS('февраль 2024'!$G$6:$G$1413,'февраль 2024'!$D$6:$D$1413,$B170,'февраль 2024'!$J$6:$J$1413,G$1)</f>
        <v>0</v>
      </c>
      <c r="H170" s="80">
        <f>SUMIFS('февраль 2024'!$G$6:$G$1413,'февраль 2024'!$D$6:$D$1413,$B170,'февраль 2024'!$J$6:$J$1413,H$1)</f>
        <v>0</v>
      </c>
      <c r="I170" s="80">
        <f>SUMIFS('февраль 2024'!$G$6:$G$1413,'февраль 2024'!$D$6:$D$1413,$B170,'февраль 2024'!$J$6:$J$1413,I$1)</f>
        <v>0</v>
      </c>
      <c r="J170" s="80">
        <f>SUMIFS('февраль 2024'!$G$6:$G$1413,'февраль 2024'!$D$6:$D$1413,$B170,'февраль 2024'!$J$6:$J$1413,J$1)</f>
        <v>0</v>
      </c>
      <c r="K170" s="80">
        <f>SUMIFS('февраль 2024'!$G$6:$G$1413,'февраль 2024'!$D$6:$D$1413,$B170,'февраль 2024'!$J$6:$J$1413,K$1)</f>
        <v>0</v>
      </c>
      <c r="L170" s="80">
        <f>SUMIFS('февраль 2024'!$G$6:$G$1413,'февраль 2024'!$D$6:$D$1413,$B170,'февраль 2024'!$J$6:$J$1413,L$1)</f>
        <v>0</v>
      </c>
      <c r="M170" s="80">
        <f>SUMIFS('февраль 2024'!$G$6:$G$1413,'февраль 2024'!$D$6:$D$1413,$B170,'февраль 2024'!$J$6:$J$1413,M$1)</f>
        <v>0</v>
      </c>
      <c r="N170" s="80">
        <f>SUMIFS('февраль 2024'!$G$6:$G$1413,'февраль 2024'!$D$6:$D$1413,$B170,'февраль 2024'!$J$6:$J$1413,N$1)</f>
        <v>0</v>
      </c>
      <c r="O170" s="80">
        <f>SUMIFS('февраль 2024'!$G$6:$G$1413,'февраль 2024'!$D$6:$D$1413,$B170,'февраль 2024'!$J$6:$J$1413,O$1)</f>
        <v>0</v>
      </c>
      <c r="P170" s="80">
        <f>SUMIFS('февраль 2024'!$G$6:$G$1413,'февраль 2024'!$D$6:$D$1413,$B170,'февраль 2024'!$J$6:$J$1413,P$1)</f>
        <v>0</v>
      </c>
      <c r="Q170" s="80">
        <f>SUMIFS('февраль 2024'!$G$6:$G$1413,'февраль 2024'!$D$6:$D$1413,$B170,'февраль 2024'!$J$6:$J$1413,Q$1)</f>
        <v>0</v>
      </c>
      <c r="R170" s="80">
        <f>SUMIFS('февраль 2024'!$G$6:$G$1413,'февраль 2024'!$D$6:$D$1413,$B170,'февраль 2024'!$J$6:$J$1413,R$1)</f>
        <v>0</v>
      </c>
      <c r="S170" s="80">
        <f>SUMIFS('февраль 2024'!$G$6:$G$1413,'февраль 2024'!$D$6:$D$1413,$B170,'февраль 2024'!$J$6:$J$1413,S$1)</f>
        <v>0</v>
      </c>
      <c r="T170" s="80">
        <f>SUMIFS('февраль 2024'!$G$6:$G$1413,'февраль 2024'!$D$6:$D$1413,$B170,'февраль 2024'!$J$6:$J$1413,T$1)</f>
        <v>0</v>
      </c>
      <c r="U170" s="80">
        <f>SUMIFS('февраль 2024'!$G$6:$G$1413,'февраль 2024'!$D$6:$D$1413,$B170,'февраль 2024'!$J$6:$J$1413,U$1)</f>
        <v>0</v>
      </c>
      <c r="V170" s="80">
        <f>SUMIFS('февраль 2024'!$G$6:$G$1413,'февраль 2024'!$D$6:$D$1413,$B170,'февраль 2024'!$J$6:$J$1413,V$1)</f>
        <v>0</v>
      </c>
      <c r="W170" s="80">
        <f>SUMIFS('февраль 2024'!$G$6:$G$1413,'февраль 2024'!$D$6:$D$1413,$B170,'февраль 2024'!$J$6:$J$1413,W$1)</f>
        <v>0</v>
      </c>
      <c r="X170" s="80">
        <f>SUMIFS('февраль 2024'!$G$6:$G$1413,'февраль 2024'!$D$6:$D$1413,$B170,'февраль 2024'!$J$6:$J$1413,X$1)</f>
        <v>0</v>
      </c>
      <c r="Y170" s="80">
        <f>SUMIFS('февраль 2024'!$G$6:$G$1413,'февраль 2024'!$D$6:$D$1413,$B170,'февраль 2024'!$J$6:$J$1413,Y$1)</f>
        <v>0</v>
      </c>
      <c r="Z170" s="80">
        <f>SUMIFS('февраль 2024'!$G$6:$G$1413,'февраль 2024'!$D$6:$D$1413,$B170,'февраль 2024'!$J$6:$J$1413,Z$1)</f>
        <v>0</v>
      </c>
      <c r="AA170" s="80">
        <f>SUMIFS('февраль 2024'!$G$6:$G$1413,'февраль 2024'!$D$6:$D$1413,$B170,'февраль 2024'!$J$6:$J$1413,AA$1)</f>
        <v>0</v>
      </c>
      <c r="AB170" s="80">
        <f>SUMIFS('февраль 2024'!$G$6:$G$1413,'февраль 2024'!$D$6:$D$1413,$B170,'февраль 2024'!$J$6:$J$1413,AB$1)</f>
        <v>0</v>
      </c>
      <c r="AC170" s="80">
        <f>SUMIFS('февраль 2024'!$G$6:$G$1413,'февраль 2024'!$D$6:$D$1413,$B170,'февраль 2024'!$J$6:$J$1413,AC$1)</f>
        <v>0</v>
      </c>
      <c r="AD170" s="80">
        <f>SUMIFS('февраль 2024'!$G$6:$G$1413,'февраль 2024'!$D$6:$D$1413,$B170,'февраль 2024'!$J$6:$J$1413,AD$1)</f>
        <v>0</v>
      </c>
      <c r="AE170" s="80">
        <f>SUMIFS('февраль 2024'!$G$6:$G$1413,'февраль 2024'!$D$6:$D$1413,$B170,'февраль 2024'!$J$6:$J$1413,AE$1)</f>
        <v>0</v>
      </c>
      <c r="AF170" s="80">
        <f>SUMIFS('февраль 2024'!$G$6:$G$1413,'февраль 2024'!$D$6:$D$1413,$B170,'февраль 2024'!$J$6:$J$1413,AF$1)</f>
        <v>0</v>
      </c>
      <c r="AG170" s="80">
        <f>SUMIFS('февраль 2024'!$G$6:$G$1413,'февраль 2024'!$D$6:$D$1413,$B170,'февраль 2024'!$J$6:$J$1413,AG$1)</f>
        <v>0</v>
      </c>
      <c r="AH170" s="80">
        <f>SUMIFS('февраль 2024'!$G$6:$G$1413,'февраль 2024'!$D$6:$D$1413,$B170,'февраль 2024'!$J$6:$J$1413,AH$1)</f>
        <v>0</v>
      </c>
      <c r="AI170" s="87"/>
    </row>
    <row r="171" spans="2:35" ht="15" hidden="1" customHeight="1" x14ac:dyDescent="0.25">
      <c r="B171" s="89"/>
      <c r="C171" s="88"/>
      <c r="D171" s="80">
        <f>SUMIFS('февраль 2024'!$G$6:$G$1413,'февраль 2024'!$D$6:$D$1413,$B171,'февраль 2024'!$J$6:$J$1413,D$1)</f>
        <v>0</v>
      </c>
      <c r="E171" s="80">
        <f>SUMIFS('февраль 2024'!$G$6:$G$1413,'февраль 2024'!$D$6:$D$1413,$B171,'февраль 2024'!$J$6:$J$1413,E$1)</f>
        <v>0</v>
      </c>
      <c r="F171" s="80">
        <f>SUMIFS('февраль 2024'!$G$6:$G$1413,'февраль 2024'!$D$6:$D$1413,$B171,'февраль 2024'!$J$6:$J$1413,F$1)</f>
        <v>0</v>
      </c>
      <c r="G171" s="80">
        <f>SUMIFS('февраль 2024'!$G$6:$G$1413,'февраль 2024'!$D$6:$D$1413,$B171,'февраль 2024'!$J$6:$J$1413,G$1)</f>
        <v>0</v>
      </c>
      <c r="H171" s="80">
        <f>SUMIFS('февраль 2024'!$G$6:$G$1413,'февраль 2024'!$D$6:$D$1413,$B171,'февраль 2024'!$J$6:$J$1413,H$1)</f>
        <v>0</v>
      </c>
      <c r="I171" s="80">
        <f>SUMIFS('февраль 2024'!$G$6:$G$1413,'февраль 2024'!$D$6:$D$1413,$B171,'февраль 2024'!$J$6:$J$1413,I$1)</f>
        <v>0</v>
      </c>
      <c r="J171" s="80">
        <f>SUMIFS('февраль 2024'!$G$6:$G$1413,'февраль 2024'!$D$6:$D$1413,$B171,'февраль 2024'!$J$6:$J$1413,J$1)</f>
        <v>0</v>
      </c>
      <c r="K171" s="80">
        <f>SUMIFS('февраль 2024'!$G$6:$G$1413,'февраль 2024'!$D$6:$D$1413,$B171,'февраль 2024'!$J$6:$J$1413,K$1)</f>
        <v>0</v>
      </c>
      <c r="L171" s="80">
        <f>SUMIFS('февраль 2024'!$G$6:$G$1413,'февраль 2024'!$D$6:$D$1413,$B171,'февраль 2024'!$J$6:$J$1413,L$1)</f>
        <v>0</v>
      </c>
      <c r="M171" s="80">
        <f>SUMIFS('февраль 2024'!$G$6:$G$1413,'февраль 2024'!$D$6:$D$1413,$B171,'февраль 2024'!$J$6:$J$1413,M$1)</f>
        <v>0</v>
      </c>
      <c r="N171" s="80">
        <f>SUMIFS('февраль 2024'!$G$6:$G$1413,'февраль 2024'!$D$6:$D$1413,$B171,'февраль 2024'!$J$6:$J$1413,N$1)</f>
        <v>0</v>
      </c>
      <c r="O171" s="80">
        <f>SUMIFS('февраль 2024'!$G$6:$G$1413,'февраль 2024'!$D$6:$D$1413,$B171,'февраль 2024'!$J$6:$J$1413,O$1)</f>
        <v>0</v>
      </c>
      <c r="P171" s="80">
        <f>SUMIFS('февраль 2024'!$G$6:$G$1413,'февраль 2024'!$D$6:$D$1413,$B171,'февраль 2024'!$J$6:$J$1413,P$1)</f>
        <v>0</v>
      </c>
      <c r="Q171" s="80">
        <f>SUMIFS('февраль 2024'!$G$6:$G$1413,'февраль 2024'!$D$6:$D$1413,$B171,'февраль 2024'!$J$6:$J$1413,Q$1)</f>
        <v>0</v>
      </c>
      <c r="R171" s="80">
        <f>SUMIFS('февраль 2024'!$G$6:$G$1413,'февраль 2024'!$D$6:$D$1413,$B171,'февраль 2024'!$J$6:$J$1413,R$1)</f>
        <v>0</v>
      </c>
      <c r="S171" s="80">
        <f>SUMIFS('февраль 2024'!$G$6:$G$1413,'февраль 2024'!$D$6:$D$1413,$B171,'февраль 2024'!$J$6:$J$1413,S$1)</f>
        <v>0</v>
      </c>
      <c r="T171" s="80">
        <f>SUMIFS('февраль 2024'!$G$6:$G$1413,'февраль 2024'!$D$6:$D$1413,$B171,'февраль 2024'!$J$6:$J$1413,T$1)</f>
        <v>0</v>
      </c>
      <c r="U171" s="80">
        <f>SUMIFS('февраль 2024'!$G$6:$G$1413,'февраль 2024'!$D$6:$D$1413,$B171,'февраль 2024'!$J$6:$J$1413,U$1)</f>
        <v>0</v>
      </c>
      <c r="V171" s="80">
        <f>SUMIFS('февраль 2024'!$G$6:$G$1413,'февраль 2024'!$D$6:$D$1413,$B171,'февраль 2024'!$J$6:$J$1413,V$1)</f>
        <v>0</v>
      </c>
      <c r="W171" s="80">
        <f>SUMIFS('февраль 2024'!$G$6:$G$1413,'февраль 2024'!$D$6:$D$1413,$B171,'февраль 2024'!$J$6:$J$1413,W$1)</f>
        <v>0</v>
      </c>
      <c r="X171" s="80">
        <f>SUMIFS('февраль 2024'!$G$6:$G$1413,'февраль 2024'!$D$6:$D$1413,$B171,'февраль 2024'!$J$6:$J$1413,X$1)</f>
        <v>0</v>
      </c>
      <c r="Y171" s="80">
        <f>SUMIFS('февраль 2024'!$G$6:$G$1413,'февраль 2024'!$D$6:$D$1413,$B171,'февраль 2024'!$J$6:$J$1413,Y$1)</f>
        <v>0</v>
      </c>
      <c r="Z171" s="80">
        <f>SUMIFS('февраль 2024'!$G$6:$G$1413,'февраль 2024'!$D$6:$D$1413,$B171,'февраль 2024'!$J$6:$J$1413,Z$1)</f>
        <v>0</v>
      </c>
      <c r="AA171" s="80">
        <f>SUMIFS('февраль 2024'!$G$6:$G$1413,'февраль 2024'!$D$6:$D$1413,$B171,'февраль 2024'!$J$6:$J$1413,AA$1)</f>
        <v>0</v>
      </c>
      <c r="AB171" s="80">
        <f>SUMIFS('февраль 2024'!$G$6:$G$1413,'февраль 2024'!$D$6:$D$1413,$B171,'февраль 2024'!$J$6:$J$1413,AB$1)</f>
        <v>0</v>
      </c>
      <c r="AC171" s="80">
        <f>SUMIFS('февраль 2024'!$G$6:$G$1413,'февраль 2024'!$D$6:$D$1413,$B171,'февраль 2024'!$J$6:$J$1413,AC$1)</f>
        <v>0</v>
      </c>
      <c r="AD171" s="80">
        <f>SUMIFS('февраль 2024'!$G$6:$G$1413,'февраль 2024'!$D$6:$D$1413,$B171,'февраль 2024'!$J$6:$J$1413,AD$1)</f>
        <v>0</v>
      </c>
      <c r="AE171" s="80">
        <f>SUMIFS('февраль 2024'!$G$6:$G$1413,'февраль 2024'!$D$6:$D$1413,$B171,'февраль 2024'!$J$6:$J$1413,AE$1)</f>
        <v>0</v>
      </c>
      <c r="AF171" s="80">
        <f>SUMIFS('февраль 2024'!$G$6:$G$1413,'февраль 2024'!$D$6:$D$1413,$B171,'февраль 2024'!$J$6:$J$1413,AF$1)</f>
        <v>0</v>
      </c>
      <c r="AG171" s="80">
        <f>SUMIFS('февраль 2024'!$G$6:$G$1413,'февраль 2024'!$D$6:$D$1413,$B171,'февраль 2024'!$J$6:$J$1413,AG$1)</f>
        <v>0</v>
      </c>
      <c r="AH171" s="80">
        <f>SUMIFS('февраль 2024'!$G$6:$G$1413,'февраль 2024'!$D$6:$D$1413,$B171,'февраль 2024'!$J$6:$J$1413,AH$1)</f>
        <v>0</v>
      </c>
      <c r="AI171" s="87"/>
    </row>
    <row r="172" spans="2:35" ht="15" hidden="1" customHeight="1" x14ac:dyDescent="0.25">
      <c r="B172" s="89"/>
      <c r="C172" s="90"/>
      <c r="D172" s="80">
        <f>SUMIFS('февраль 2024'!$G$6:$G$1413,'февраль 2024'!$D$6:$D$1413,$B172,'февраль 2024'!$J$6:$J$1413,D$1)</f>
        <v>0</v>
      </c>
      <c r="E172" s="80">
        <f>SUMIFS('февраль 2024'!$G$6:$G$1413,'февраль 2024'!$D$6:$D$1413,$B172,'февраль 2024'!$J$6:$J$1413,E$1)</f>
        <v>0</v>
      </c>
      <c r="F172" s="80">
        <f>SUMIFS('февраль 2024'!$G$6:$G$1413,'февраль 2024'!$D$6:$D$1413,$B172,'февраль 2024'!$J$6:$J$1413,F$1)</f>
        <v>0</v>
      </c>
      <c r="G172" s="80">
        <f>SUMIFS('февраль 2024'!$G$6:$G$1413,'февраль 2024'!$D$6:$D$1413,$B172,'февраль 2024'!$J$6:$J$1413,G$1)</f>
        <v>0</v>
      </c>
      <c r="H172" s="80">
        <f>SUMIFS('февраль 2024'!$G$6:$G$1413,'февраль 2024'!$D$6:$D$1413,$B172,'февраль 2024'!$J$6:$J$1413,H$1)</f>
        <v>0</v>
      </c>
      <c r="I172" s="80">
        <f>SUMIFS('февраль 2024'!$G$6:$G$1413,'февраль 2024'!$D$6:$D$1413,$B172,'февраль 2024'!$J$6:$J$1413,I$1)</f>
        <v>0</v>
      </c>
      <c r="J172" s="80">
        <f>SUMIFS('февраль 2024'!$G$6:$G$1413,'февраль 2024'!$D$6:$D$1413,$B172,'февраль 2024'!$J$6:$J$1413,J$1)</f>
        <v>0</v>
      </c>
      <c r="K172" s="80">
        <f>SUMIFS('февраль 2024'!$G$6:$G$1413,'февраль 2024'!$D$6:$D$1413,$B172,'февраль 2024'!$J$6:$J$1413,K$1)</f>
        <v>0</v>
      </c>
      <c r="L172" s="80">
        <f>SUMIFS('февраль 2024'!$G$6:$G$1413,'февраль 2024'!$D$6:$D$1413,$B172,'февраль 2024'!$J$6:$J$1413,L$1)</f>
        <v>0</v>
      </c>
      <c r="M172" s="80">
        <f>SUMIFS('февраль 2024'!$G$6:$G$1413,'февраль 2024'!$D$6:$D$1413,$B172,'февраль 2024'!$J$6:$J$1413,M$1)</f>
        <v>0</v>
      </c>
      <c r="N172" s="80">
        <f>SUMIFS('февраль 2024'!$G$6:$G$1413,'февраль 2024'!$D$6:$D$1413,$B172,'февраль 2024'!$J$6:$J$1413,N$1)</f>
        <v>0</v>
      </c>
      <c r="O172" s="80">
        <f>SUMIFS('февраль 2024'!$G$6:$G$1413,'февраль 2024'!$D$6:$D$1413,$B172,'февраль 2024'!$J$6:$J$1413,O$1)</f>
        <v>0</v>
      </c>
      <c r="P172" s="80">
        <f>SUMIFS('февраль 2024'!$G$6:$G$1413,'февраль 2024'!$D$6:$D$1413,$B172,'февраль 2024'!$J$6:$J$1413,P$1)</f>
        <v>0</v>
      </c>
      <c r="Q172" s="80">
        <f>SUMIFS('февраль 2024'!$G$6:$G$1413,'февраль 2024'!$D$6:$D$1413,$B172,'февраль 2024'!$J$6:$J$1413,Q$1)</f>
        <v>0</v>
      </c>
      <c r="R172" s="80">
        <f>SUMIFS('февраль 2024'!$G$6:$G$1413,'февраль 2024'!$D$6:$D$1413,$B172,'февраль 2024'!$J$6:$J$1413,R$1)</f>
        <v>0</v>
      </c>
      <c r="S172" s="80">
        <f>SUMIFS('февраль 2024'!$G$6:$G$1413,'февраль 2024'!$D$6:$D$1413,$B172,'февраль 2024'!$J$6:$J$1413,S$1)</f>
        <v>0</v>
      </c>
      <c r="T172" s="80">
        <f>SUMIFS('февраль 2024'!$G$6:$G$1413,'февраль 2024'!$D$6:$D$1413,$B172,'февраль 2024'!$J$6:$J$1413,T$1)</f>
        <v>0</v>
      </c>
      <c r="U172" s="80">
        <f>SUMIFS('февраль 2024'!$G$6:$G$1413,'февраль 2024'!$D$6:$D$1413,$B172,'февраль 2024'!$J$6:$J$1413,U$1)</f>
        <v>0</v>
      </c>
      <c r="V172" s="80">
        <f>SUMIFS('февраль 2024'!$G$6:$G$1413,'февраль 2024'!$D$6:$D$1413,$B172,'февраль 2024'!$J$6:$J$1413,V$1)</f>
        <v>0</v>
      </c>
      <c r="W172" s="80">
        <f>SUMIFS('февраль 2024'!$G$6:$G$1413,'февраль 2024'!$D$6:$D$1413,$B172,'февраль 2024'!$J$6:$J$1413,W$1)</f>
        <v>0</v>
      </c>
      <c r="X172" s="80">
        <f>SUMIFS('февраль 2024'!$G$6:$G$1413,'февраль 2024'!$D$6:$D$1413,$B172,'февраль 2024'!$J$6:$J$1413,X$1)</f>
        <v>0</v>
      </c>
      <c r="Y172" s="80">
        <f>SUMIFS('февраль 2024'!$G$6:$G$1413,'февраль 2024'!$D$6:$D$1413,$B172,'февраль 2024'!$J$6:$J$1413,Y$1)</f>
        <v>0</v>
      </c>
      <c r="Z172" s="80">
        <f>SUMIFS('февраль 2024'!$G$6:$G$1413,'февраль 2024'!$D$6:$D$1413,$B172,'февраль 2024'!$J$6:$J$1413,Z$1)</f>
        <v>0</v>
      </c>
      <c r="AA172" s="80">
        <f>SUMIFS('февраль 2024'!$G$6:$G$1413,'февраль 2024'!$D$6:$D$1413,$B172,'февраль 2024'!$J$6:$J$1413,AA$1)</f>
        <v>0</v>
      </c>
      <c r="AB172" s="80">
        <f>SUMIFS('февраль 2024'!$G$6:$G$1413,'февраль 2024'!$D$6:$D$1413,$B172,'февраль 2024'!$J$6:$J$1413,AB$1)</f>
        <v>0</v>
      </c>
      <c r="AC172" s="80">
        <f>SUMIFS('февраль 2024'!$G$6:$G$1413,'февраль 2024'!$D$6:$D$1413,$B172,'февраль 2024'!$J$6:$J$1413,AC$1)</f>
        <v>0</v>
      </c>
      <c r="AD172" s="80">
        <f>SUMIFS('февраль 2024'!$G$6:$G$1413,'февраль 2024'!$D$6:$D$1413,$B172,'февраль 2024'!$J$6:$J$1413,AD$1)</f>
        <v>0</v>
      </c>
      <c r="AE172" s="80">
        <f>SUMIFS('февраль 2024'!$G$6:$G$1413,'февраль 2024'!$D$6:$D$1413,$B172,'февраль 2024'!$J$6:$J$1413,AE$1)</f>
        <v>0</v>
      </c>
      <c r="AF172" s="80">
        <f>SUMIFS('февраль 2024'!$G$6:$G$1413,'февраль 2024'!$D$6:$D$1413,$B172,'февраль 2024'!$J$6:$J$1413,AF$1)</f>
        <v>0</v>
      </c>
      <c r="AG172" s="80">
        <f>SUMIFS('февраль 2024'!$G$6:$G$1413,'февраль 2024'!$D$6:$D$1413,$B172,'февраль 2024'!$J$6:$J$1413,AG$1)</f>
        <v>0</v>
      </c>
      <c r="AH172" s="80">
        <f>SUMIFS('февраль 2024'!$G$6:$G$1413,'февраль 2024'!$D$6:$D$1413,$B172,'февраль 2024'!$J$6:$J$1413,AH$1)</f>
        <v>0</v>
      </c>
      <c r="AI172" s="87"/>
    </row>
    <row r="173" spans="2:35" ht="15" hidden="1" customHeight="1" x14ac:dyDescent="0.25">
      <c r="B173" s="89"/>
      <c r="C173" s="91"/>
      <c r="D173" s="80">
        <f>SUMIFS('февраль 2024'!$G$6:$G$1413,'февраль 2024'!$D$6:$D$1413,$B173,'февраль 2024'!$J$6:$J$1413,D$1)</f>
        <v>0</v>
      </c>
      <c r="E173" s="80">
        <f>SUMIFS('февраль 2024'!$G$6:$G$1413,'февраль 2024'!$D$6:$D$1413,$B173,'февраль 2024'!$J$6:$J$1413,E$1)</f>
        <v>0</v>
      </c>
      <c r="F173" s="80">
        <f>SUMIFS('февраль 2024'!$G$6:$G$1413,'февраль 2024'!$D$6:$D$1413,$B173,'февраль 2024'!$J$6:$J$1413,F$1)</f>
        <v>0</v>
      </c>
      <c r="G173" s="80">
        <f>SUMIFS('февраль 2024'!$G$6:$G$1413,'февраль 2024'!$D$6:$D$1413,$B173,'февраль 2024'!$J$6:$J$1413,G$1)</f>
        <v>0</v>
      </c>
      <c r="H173" s="80">
        <f>SUMIFS('февраль 2024'!$G$6:$G$1413,'февраль 2024'!$D$6:$D$1413,$B173,'февраль 2024'!$J$6:$J$1413,H$1)</f>
        <v>0</v>
      </c>
      <c r="I173" s="80">
        <f>SUMIFS('февраль 2024'!$G$6:$G$1413,'февраль 2024'!$D$6:$D$1413,$B173,'февраль 2024'!$J$6:$J$1413,I$1)</f>
        <v>0</v>
      </c>
      <c r="J173" s="80">
        <f>SUMIFS('февраль 2024'!$G$6:$G$1413,'февраль 2024'!$D$6:$D$1413,$B173,'февраль 2024'!$J$6:$J$1413,J$1)</f>
        <v>0</v>
      </c>
      <c r="K173" s="80">
        <f>SUMIFS('февраль 2024'!$G$6:$G$1413,'февраль 2024'!$D$6:$D$1413,$B173,'февраль 2024'!$J$6:$J$1413,K$1)</f>
        <v>0</v>
      </c>
      <c r="L173" s="80">
        <f>SUMIFS('февраль 2024'!$G$6:$G$1413,'февраль 2024'!$D$6:$D$1413,$B173,'февраль 2024'!$J$6:$J$1413,L$1)</f>
        <v>0</v>
      </c>
      <c r="M173" s="80">
        <f>SUMIFS('февраль 2024'!$G$6:$G$1413,'февраль 2024'!$D$6:$D$1413,$B173,'февраль 2024'!$J$6:$J$1413,M$1)</f>
        <v>0</v>
      </c>
      <c r="N173" s="80">
        <f>SUMIFS('февраль 2024'!$G$6:$G$1413,'февраль 2024'!$D$6:$D$1413,$B173,'февраль 2024'!$J$6:$J$1413,N$1)</f>
        <v>0</v>
      </c>
      <c r="O173" s="80">
        <f>SUMIFS('февраль 2024'!$G$6:$G$1413,'февраль 2024'!$D$6:$D$1413,$B173,'февраль 2024'!$J$6:$J$1413,O$1)</f>
        <v>0</v>
      </c>
      <c r="P173" s="80">
        <f>SUMIFS('февраль 2024'!$G$6:$G$1413,'февраль 2024'!$D$6:$D$1413,$B173,'февраль 2024'!$J$6:$J$1413,P$1)</f>
        <v>0</v>
      </c>
      <c r="Q173" s="80">
        <f>SUMIFS('февраль 2024'!$G$6:$G$1413,'февраль 2024'!$D$6:$D$1413,$B173,'февраль 2024'!$J$6:$J$1413,Q$1)</f>
        <v>0</v>
      </c>
      <c r="R173" s="80">
        <f>SUMIFS('февраль 2024'!$G$6:$G$1413,'февраль 2024'!$D$6:$D$1413,$B173,'февраль 2024'!$J$6:$J$1413,R$1)</f>
        <v>0</v>
      </c>
      <c r="S173" s="80">
        <f>SUMIFS('февраль 2024'!$G$6:$G$1413,'февраль 2024'!$D$6:$D$1413,$B173,'февраль 2024'!$J$6:$J$1413,S$1)</f>
        <v>0</v>
      </c>
      <c r="T173" s="80">
        <f>SUMIFS('февраль 2024'!$G$6:$G$1413,'февраль 2024'!$D$6:$D$1413,$B173,'февраль 2024'!$J$6:$J$1413,T$1)</f>
        <v>0</v>
      </c>
      <c r="U173" s="80">
        <f>SUMIFS('февраль 2024'!$G$6:$G$1413,'февраль 2024'!$D$6:$D$1413,$B173,'февраль 2024'!$J$6:$J$1413,U$1)</f>
        <v>0</v>
      </c>
      <c r="V173" s="80">
        <f>SUMIFS('февраль 2024'!$G$6:$G$1413,'февраль 2024'!$D$6:$D$1413,$B173,'февраль 2024'!$J$6:$J$1413,V$1)</f>
        <v>0</v>
      </c>
      <c r="W173" s="80">
        <f>SUMIFS('февраль 2024'!$G$6:$G$1413,'февраль 2024'!$D$6:$D$1413,$B173,'февраль 2024'!$J$6:$J$1413,W$1)</f>
        <v>0</v>
      </c>
      <c r="X173" s="80">
        <f>SUMIFS('февраль 2024'!$G$6:$G$1413,'февраль 2024'!$D$6:$D$1413,$B173,'февраль 2024'!$J$6:$J$1413,X$1)</f>
        <v>0</v>
      </c>
      <c r="Y173" s="80">
        <f>SUMIFS('февраль 2024'!$G$6:$G$1413,'февраль 2024'!$D$6:$D$1413,$B173,'февраль 2024'!$J$6:$J$1413,Y$1)</f>
        <v>0</v>
      </c>
      <c r="Z173" s="80">
        <f>SUMIFS('февраль 2024'!$G$6:$G$1413,'февраль 2024'!$D$6:$D$1413,$B173,'февраль 2024'!$J$6:$J$1413,Z$1)</f>
        <v>0</v>
      </c>
      <c r="AA173" s="80">
        <f>SUMIFS('февраль 2024'!$G$6:$G$1413,'февраль 2024'!$D$6:$D$1413,$B173,'февраль 2024'!$J$6:$J$1413,AA$1)</f>
        <v>0</v>
      </c>
      <c r="AB173" s="80">
        <f>SUMIFS('февраль 2024'!$G$6:$G$1413,'февраль 2024'!$D$6:$D$1413,$B173,'февраль 2024'!$J$6:$J$1413,AB$1)</f>
        <v>0</v>
      </c>
      <c r="AC173" s="80">
        <f>SUMIFS('февраль 2024'!$G$6:$G$1413,'февраль 2024'!$D$6:$D$1413,$B173,'февраль 2024'!$J$6:$J$1413,AC$1)</f>
        <v>0</v>
      </c>
      <c r="AD173" s="80">
        <f>SUMIFS('февраль 2024'!$G$6:$G$1413,'февраль 2024'!$D$6:$D$1413,$B173,'февраль 2024'!$J$6:$J$1413,AD$1)</f>
        <v>0</v>
      </c>
      <c r="AE173" s="80">
        <f>SUMIFS('февраль 2024'!$G$6:$G$1413,'февраль 2024'!$D$6:$D$1413,$B173,'февраль 2024'!$J$6:$J$1413,AE$1)</f>
        <v>0</v>
      </c>
      <c r="AF173" s="80">
        <f>SUMIFS('февраль 2024'!$G$6:$G$1413,'февраль 2024'!$D$6:$D$1413,$B173,'февраль 2024'!$J$6:$J$1413,AF$1)</f>
        <v>0</v>
      </c>
      <c r="AG173" s="80">
        <f>SUMIFS('февраль 2024'!$G$6:$G$1413,'февраль 2024'!$D$6:$D$1413,$B173,'февраль 2024'!$J$6:$J$1413,AG$1)</f>
        <v>0</v>
      </c>
      <c r="AH173" s="80">
        <f>SUMIFS('февраль 2024'!$G$6:$G$1413,'февраль 2024'!$D$6:$D$1413,$B173,'февраль 2024'!$J$6:$J$1413,AH$1)</f>
        <v>0</v>
      </c>
      <c r="AI173" s="87"/>
    </row>
    <row r="174" spans="2:35" ht="15" hidden="1" customHeight="1" x14ac:dyDescent="0.25">
      <c r="B174" s="93"/>
      <c r="C174" s="91"/>
      <c r="D174" s="80">
        <f>SUMIFS('февраль 2024'!$G$6:$G$1413,'февраль 2024'!$D$6:$D$1413,$B174,'февраль 2024'!$J$6:$J$1413,D$1)</f>
        <v>0</v>
      </c>
      <c r="E174" s="80">
        <f>SUMIFS('февраль 2024'!$G$6:$G$1413,'февраль 2024'!$D$6:$D$1413,$B174,'февраль 2024'!$J$6:$J$1413,E$1)</f>
        <v>0</v>
      </c>
      <c r="F174" s="80">
        <f>SUMIFS('февраль 2024'!$G$6:$G$1413,'февраль 2024'!$D$6:$D$1413,$B174,'февраль 2024'!$J$6:$J$1413,F$1)</f>
        <v>0</v>
      </c>
      <c r="G174" s="80">
        <f>SUMIFS('февраль 2024'!$G$6:$G$1413,'февраль 2024'!$D$6:$D$1413,$B174,'февраль 2024'!$J$6:$J$1413,G$1)</f>
        <v>0</v>
      </c>
      <c r="H174" s="80">
        <f>SUMIFS('февраль 2024'!$G$6:$G$1413,'февраль 2024'!$D$6:$D$1413,$B174,'февраль 2024'!$J$6:$J$1413,H$1)</f>
        <v>0</v>
      </c>
      <c r="I174" s="80">
        <f>SUMIFS('февраль 2024'!$G$6:$G$1413,'февраль 2024'!$D$6:$D$1413,$B174,'февраль 2024'!$J$6:$J$1413,I$1)</f>
        <v>0</v>
      </c>
      <c r="J174" s="80">
        <f>SUMIFS('февраль 2024'!$G$6:$G$1413,'февраль 2024'!$D$6:$D$1413,$B174,'февраль 2024'!$J$6:$J$1413,J$1)</f>
        <v>0</v>
      </c>
      <c r="K174" s="80">
        <f>SUMIFS('февраль 2024'!$G$6:$G$1413,'февраль 2024'!$D$6:$D$1413,$B174,'февраль 2024'!$J$6:$J$1413,K$1)</f>
        <v>0</v>
      </c>
      <c r="L174" s="80">
        <f>SUMIFS('февраль 2024'!$G$6:$G$1413,'февраль 2024'!$D$6:$D$1413,$B174,'февраль 2024'!$J$6:$J$1413,L$1)</f>
        <v>0</v>
      </c>
      <c r="M174" s="80">
        <f>SUMIFS('февраль 2024'!$G$6:$G$1413,'февраль 2024'!$D$6:$D$1413,$B174,'февраль 2024'!$J$6:$J$1413,M$1)</f>
        <v>0</v>
      </c>
      <c r="N174" s="80">
        <f>SUMIFS('февраль 2024'!$G$6:$G$1413,'февраль 2024'!$D$6:$D$1413,$B174,'февраль 2024'!$J$6:$J$1413,N$1)</f>
        <v>0</v>
      </c>
      <c r="O174" s="80">
        <f>SUMIFS('февраль 2024'!$G$6:$G$1413,'февраль 2024'!$D$6:$D$1413,$B174,'февраль 2024'!$J$6:$J$1413,O$1)</f>
        <v>0</v>
      </c>
      <c r="P174" s="80">
        <f>SUMIFS('февраль 2024'!$G$6:$G$1413,'февраль 2024'!$D$6:$D$1413,$B174,'февраль 2024'!$J$6:$J$1413,P$1)</f>
        <v>0</v>
      </c>
      <c r="Q174" s="80">
        <f>SUMIFS('февраль 2024'!$G$6:$G$1413,'февраль 2024'!$D$6:$D$1413,$B174,'февраль 2024'!$J$6:$J$1413,Q$1)</f>
        <v>0</v>
      </c>
      <c r="R174" s="80">
        <f>SUMIFS('февраль 2024'!$G$6:$G$1413,'февраль 2024'!$D$6:$D$1413,$B174,'февраль 2024'!$J$6:$J$1413,R$1)</f>
        <v>0</v>
      </c>
      <c r="S174" s="80">
        <f>SUMIFS('февраль 2024'!$G$6:$G$1413,'февраль 2024'!$D$6:$D$1413,$B174,'февраль 2024'!$J$6:$J$1413,S$1)</f>
        <v>0</v>
      </c>
      <c r="T174" s="80">
        <f>SUMIFS('февраль 2024'!$G$6:$G$1413,'февраль 2024'!$D$6:$D$1413,$B174,'февраль 2024'!$J$6:$J$1413,T$1)</f>
        <v>0</v>
      </c>
      <c r="U174" s="80">
        <f>SUMIFS('февраль 2024'!$G$6:$G$1413,'февраль 2024'!$D$6:$D$1413,$B174,'февраль 2024'!$J$6:$J$1413,U$1)</f>
        <v>0</v>
      </c>
      <c r="V174" s="80">
        <f>SUMIFS('февраль 2024'!$G$6:$G$1413,'февраль 2024'!$D$6:$D$1413,$B174,'февраль 2024'!$J$6:$J$1413,V$1)</f>
        <v>0</v>
      </c>
      <c r="W174" s="80">
        <f>SUMIFS('февраль 2024'!$G$6:$G$1413,'февраль 2024'!$D$6:$D$1413,$B174,'февраль 2024'!$J$6:$J$1413,W$1)</f>
        <v>0</v>
      </c>
      <c r="X174" s="80">
        <f>SUMIFS('февраль 2024'!$G$6:$G$1413,'февраль 2024'!$D$6:$D$1413,$B174,'февраль 2024'!$J$6:$J$1413,X$1)</f>
        <v>0</v>
      </c>
      <c r="Y174" s="80">
        <f>SUMIFS('февраль 2024'!$G$6:$G$1413,'февраль 2024'!$D$6:$D$1413,$B174,'февраль 2024'!$J$6:$J$1413,Y$1)</f>
        <v>0</v>
      </c>
      <c r="Z174" s="80">
        <f>SUMIFS('февраль 2024'!$G$6:$G$1413,'февраль 2024'!$D$6:$D$1413,$B174,'февраль 2024'!$J$6:$J$1413,Z$1)</f>
        <v>0</v>
      </c>
      <c r="AA174" s="80">
        <f>SUMIFS('февраль 2024'!$G$6:$G$1413,'февраль 2024'!$D$6:$D$1413,$B174,'февраль 2024'!$J$6:$J$1413,AA$1)</f>
        <v>0</v>
      </c>
      <c r="AB174" s="80">
        <f>SUMIFS('февраль 2024'!$G$6:$G$1413,'февраль 2024'!$D$6:$D$1413,$B174,'февраль 2024'!$J$6:$J$1413,AB$1)</f>
        <v>0</v>
      </c>
      <c r="AC174" s="80">
        <f>SUMIFS('февраль 2024'!$G$6:$G$1413,'февраль 2024'!$D$6:$D$1413,$B174,'февраль 2024'!$J$6:$J$1413,AC$1)</f>
        <v>0</v>
      </c>
      <c r="AD174" s="80">
        <f>SUMIFS('февраль 2024'!$G$6:$G$1413,'февраль 2024'!$D$6:$D$1413,$B174,'февраль 2024'!$J$6:$J$1413,AD$1)</f>
        <v>0</v>
      </c>
      <c r="AE174" s="80">
        <f>SUMIFS('февраль 2024'!$G$6:$G$1413,'февраль 2024'!$D$6:$D$1413,$B174,'февраль 2024'!$J$6:$J$1413,AE$1)</f>
        <v>0</v>
      </c>
      <c r="AF174" s="80">
        <f>SUMIFS('февраль 2024'!$G$6:$G$1413,'февраль 2024'!$D$6:$D$1413,$B174,'февраль 2024'!$J$6:$J$1413,AF$1)</f>
        <v>0</v>
      </c>
      <c r="AG174" s="80">
        <f>SUMIFS('февраль 2024'!$G$6:$G$1413,'февраль 2024'!$D$6:$D$1413,$B174,'февраль 2024'!$J$6:$J$1413,AG$1)</f>
        <v>0</v>
      </c>
      <c r="AH174" s="80">
        <f>SUMIFS('февраль 2024'!$G$6:$G$1413,'февраль 2024'!$D$6:$D$1413,$B174,'февраль 2024'!$J$6:$J$1413,AH$1)</f>
        <v>0</v>
      </c>
      <c r="AI174" s="87"/>
    </row>
    <row r="175" spans="2:35" ht="15" hidden="1" customHeight="1" x14ac:dyDescent="0.25">
      <c r="B175" s="89"/>
      <c r="C175" s="88"/>
      <c r="D175" s="80">
        <f>SUMIFS('февраль 2024'!$G$6:$G$1413,'февраль 2024'!$D$6:$D$1413,$B175,'февраль 2024'!$J$6:$J$1413,D$1)</f>
        <v>0</v>
      </c>
      <c r="E175" s="80">
        <f>SUMIFS('февраль 2024'!$G$6:$G$1413,'февраль 2024'!$D$6:$D$1413,$B175,'февраль 2024'!$J$6:$J$1413,E$1)</f>
        <v>0</v>
      </c>
      <c r="F175" s="80">
        <f>SUMIFS('февраль 2024'!$G$6:$G$1413,'февраль 2024'!$D$6:$D$1413,$B175,'февраль 2024'!$J$6:$J$1413,F$1)</f>
        <v>0</v>
      </c>
      <c r="G175" s="80">
        <f>SUMIFS('февраль 2024'!$G$6:$G$1413,'февраль 2024'!$D$6:$D$1413,$B175,'февраль 2024'!$J$6:$J$1413,G$1)</f>
        <v>0</v>
      </c>
      <c r="H175" s="80">
        <f>SUMIFS('февраль 2024'!$G$6:$G$1413,'февраль 2024'!$D$6:$D$1413,$B175,'февраль 2024'!$J$6:$J$1413,H$1)</f>
        <v>0</v>
      </c>
      <c r="I175" s="80">
        <f>SUMIFS('февраль 2024'!$G$6:$G$1413,'февраль 2024'!$D$6:$D$1413,$B175,'февраль 2024'!$J$6:$J$1413,I$1)</f>
        <v>0</v>
      </c>
      <c r="J175" s="80">
        <f>SUMIFS('февраль 2024'!$G$6:$G$1413,'февраль 2024'!$D$6:$D$1413,$B175,'февраль 2024'!$J$6:$J$1413,J$1)</f>
        <v>0</v>
      </c>
      <c r="K175" s="80">
        <f>SUMIFS('февраль 2024'!$G$6:$G$1413,'февраль 2024'!$D$6:$D$1413,$B175,'февраль 2024'!$J$6:$J$1413,K$1)</f>
        <v>0</v>
      </c>
      <c r="L175" s="80">
        <f>SUMIFS('февраль 2024'!$G$6:$G$1413,'февраль 2024'!$D$6:$D$1413,$B175,'февраль 2024'!$J$6:$J$1413,L$1)</f>
        <v>0</v>
      </c>
      <c r="M175" s="80">
        <f>SUMIFS('февраль 2024'!$G$6:$G$1413,'февраль 2024'!$D$6:$D$1413,$B175,'февраль 2024'!$J$6:$J$1413,M$1)</f>
        <v>0</v>
      </c>
      <c r="N175" s="80">
        <f>SUMIFS('февраль 2024'!$G$6:$G$1413,'февраль 2024'!$D$6:$D$1413,$B175,'февраль 2024'!$J$6:$J$1413,N$1)</f>
        <v>0</v>
      </c>
      <c r="O175" s="80">
        <f>SUMIFS('февраль 2024'!$G$6:$G$1413,'февраль 2024'!$D$6:$D$1413,$B175,'февраль 2024'!$J$6:$J$1413,O$1)</f>
        <v>0</v>
      </c>
      <c r="P175" s="80">
        <f>SUMIFS('февраль 2024'!$G$6:$G$1413,'февраль 2024'!$D$6:$D$1413,$B175,'февраль 2024'!$J$6:$J$1413,P$1)</f>
        <v>0</v>
      </c>
      <c r="Q175" s="80">
        <f>SUMIFS('февраль 2024'!$G$6:$G$1413,'февраль 2024'!$D$6:$D$1413,$B175,'февраль 2024'!$J$6:$J$1413,Q$1)</f>
        <v>0</v>
      </c>
      <c r="R175" s="80">
        <f>SUMIFS('февраль 2024'!$G$6:$G$1413,'февраль 2024'!$D$6:$D$1413,$B175,'февраль 2024'!$J$6:$J$1413,R$1)</f>
        <v>0</v>
      </c>
      <c r="S175" s="80">
        <f>SUMIFS('февраль 2024'!$G$6:$G$1413,'февраль 2024'!$D$6:$D$1413,$B175,'февраль 2024'!$J$6:$J$1413,S$1)</f>
        <v>0</v>
      </c>
      <c r="T175" s="80">
        <f>SUMIFS('февраль 2024'!$G$6:$G$1413,'февраль 2024'!$D$6:$D$1413,$B175,'февраль 2024'!$J$6:$J$1413,T$1)</f>
        <v>0</v>
      </c>
      <c r="U175" s="80">
        <f>SUMIFS('февраль 2024'!$G$6:$G$1413,'февраль 2024'!$D$6:$D$1413,$B175,'февраль 2024'!$J$6:$J$1413,U$1)</f>
        <v>0</v>
      </c>
      <c r="V175" s="80">
        <f>SUMIFS('февраль 2024'!$G$6:$G$1413,'февраль 2024'!$D$6:$D$1413,$B175,'февраль 2024'!$J$6:$J$1413,V$1)</f>
        <v>0</v>
      </c>
      <c r="W175" s="80">
        <f>SUMIFS('февраль 2024'!$G$6:$G$1413,'февраль 2024'!$D$6:$D$1413,$B175,'февраль 2024'!$J$6:$J$1413,W$1)</f>
        <v>0</v>
      </c>
      <c r="X175" s="80">
        <f>SUMIFS('февраль 2024'!$G$6:$G$1413,'февраль 2024'!$D$6:$D$1413,$B175,'февраль 2024'!$J$6:$J$1413,X$1)</f>
        <v>0</v>
      </c>
      <c r="Y175" s="80">
        <f>SUMIFS('февраль 2024'!$G$6:$G$1413,'февраль 2024'!$D$6:$D$1413,$B175,'февраль 2024'!$J$6:$J$1413,Y$1)</f>
        <v>0</v>
      </c>
      <c r="Z175" s="80">
        <f>SUMIFS('февраль 2024'!$G$6:$G$1413,'февраль 2024'!$D$6:$D$1413,$B175,'февраль 2024'!$J$6:$J$1413,Z$1)</f>
        <v>0</v>
      </c>
      <c r="AA175" s="80">
        <f>SUMIFS('февраль 2024'!$G$6:$G$1413,'февраль 2024'!$D$6:$D$1413,$B175,'февраль 2024'!$J$6:$J$1413,AA$1)</f>
        <v>0</v>
      </c>
      <c r="AB175" s="80">
        <f>SUMIFS('февраль 2024'!$G$6:$G$1413,'февраль 2024'!$D$6:$D$1413,$B175,'февраль 2024'!$J$6:$J$1413,AB$1)</f>
        <v>0</v>
      </c>
      <c r="AC175" s="80">
        <f>SUMIFS('февраль 2024'!$G$6:$G$1413,'февраль 2024'!$D$6:$D$1413,$B175,'февраль 2024'!$J$6:$J$1413,AC$1)</f>
        <v>0</v>
      </c>
      <c r="AD175" s="80">
        <f>SUMIFS('февраль 2024'!$G$6:$G$1413,'февраль 2024'!$D$6:$D$1413,$B175,'февраль 2024'!$J$6:$J$1413,AD$1)</f>
        <v>0</v>
      </c>
      <c r="AE175" s="80">
        <f>SUMIFS('февраль 2024'!$G$6:$G$1413,'февраль 2024'!$D$6:$D$1413,$B175,'февраль 2024'!$J$6:$J$1413,AE$1)</f>
        <v>0</v>
      </c>
      <c r="AF175" s="80">
        <f>SUMIFS('февраль 2024'!$G$6:$G$1413,'февраль 2024'!$D$6:$D$1413,$B175,'февраль 2024'!$J$6:$J$1413,AF$1)</f>
        <v>0</v>
      </c>
      <c r="AG175" s="80">
        <f>SUMIFS('февраль 2024'!$G$6:$G$1413,'февраль 2024'!$D$6:$D$1413,$B175,'февраль 2024'!$J$6:$J$1413,AG$1)</f>
        <v>0</v>
      </c>
      <c r="AH175" s="80">
        <f>SUMIFS('февраль 2024'!$G$6:$G$1413,'февраль 2024'!$D$6:$D$1413,$B175,'февраль 2024'!$J$6:$J$1413,AH$1)</f>
        <v>0</v>
      </c>
      <c r="AI175" s="87"/>
    </row>
    <row r="176" spans="2:35" ht="15" hidden="1" customHeight="1" x14ac:dyDescent="0.25">
      <c r="B176" s="89"/>
      <c r="C176" s="91"/>
      <c r="D176" s="80">
        <f>SUMIFS('февраль 2024'!$G$6:$G$1413,'февраль 2024'!$D$6:$D$1413,$B176,'февраль 2024'!$J$6:$J$1413,D$1)</f>
        <v>0</v>
      </c>
      <c r="E176" s="80">
        <f>SUMIFS('февраль 2024'!$G$6:$G$1413,'февраль 2024'!$D$6:$D$1413,$B176,'февраль 2024'!$J$6:$J$1413,E$1)</f>
        <v>0</v>
      </c>
      <c r="F176" s="80">
        <f>SUMIFS('февраль 2024'!$G$6:$G$1413,'февраль 2024'!$D$6:$D$1413,$B176,'февраль 2024'!$J$6:$J$1413,F$1)</f>
        <v>0</v>
      </c>
      <c r="G176" s="80">
        <f>SUMIFS('февраль 2024'!$G$6:$G$1413,'февраль 2024'!$D$6:$D$1413,$B176,'февраль 2024'!$J$6:$J$1413,G$1)</f>
        <v>0</v>
      </c>
      <c r="H176" s="80">
        <f>SUMIFS('февраль 2024'!$G$6:$G$1413,'февраль 2024'!$D$6:$D$1413,$B176,'февраль 2024'!$J$6:$J$1413,H$1)</f>
        <v>0</v>
      </c>
      <c r="I176" s="80">
        <f>SUMIFS('февраль 2024'!$G$6:$G$1413,'февраль 2024'!$D$6:$D$1413,$B176,'февраль 2024'!$J$6:$J$1413,I$1)</f>
        <v>0</v>
      </c>
      <c r="J176" s="80">
        <f>SUMIFS('февраль 2024'!$G$6:$G$1413,'февраль 2024'!$D$6:$D$1413,$B176,'февраль 2024'!$J$6:$J$1413,J$1)</f>
        <v>0</v>
      </c>
      <c r="K176" s="80">
        <f>SUMIFS('февраль 2024'!$G$6:$G$1413,'февраль 2024'!$D$6:$D$1413,$B176,'февраль 2024'!$J$6:$J$1413,K$1)</f>
        <v>0</v>
      </c>
      <c r="L176" s="80">
        <f>SUMIFS('февраль 2024'!$G$6:$G$1413,'февраль 2024'!$D$6:$D$1413,$B176,'февраль 2024'!$J$6:$J$1413,L$1)</f>
        <v>0</v>
      </c>
      <c r="M176" s="80">
        <f>SUMIFS('февраль 2024'!$G$6:$G$1413,'февраль 2024'!$D$6:$D$1413,$B176,'февраль 2024'!$J$6:$J$1413,M$1)</f>
        <v>0</v>
      </c>
      <c r="N176" s="80">
        <f>SUMIFS('февраль 2024'!$G$6:$G$1413,'февраль 2024'!$D$6:$D$1413,$B176,'февраль 2024'!$J$6:$J$1413,N$1)</f>
        <v>0</v>
      </c>
      <c r="O176" s="80">
        <f>SUMIFS('февраль 2024'!$G$6:$G$1413,'февраль 2024'!$D$6:$D$1413,$B176,'февраль 2024'!$J$6:$J$1413,O$1)</f>
        <v>0</v>
      </c>
      <c r="P176" s="80">
        <f>SUMIFS('февраль 2024'!$G$6:$G$1413,'февраль 2024'!$D$6:$D$1413,$B176,'февраль 2024'!$J$6:$J$1413,P$1)</f>
        <v>0</v>
      </c>
      <c r="Q176" s="80">
        <f>SUMIFS('февраль 2024'!$G$6:$G$1413,'февраль 2024'!$D$6:$D$1413,$B176,'февраль 2024'!$J$6:$J$1413,Q$1)</f>
        <v>0</v>
      </c>
      <c r="R176" s="80">
        <f>SUMIFS('февраль 2024'!$G$6:$G$1413,'февраль 2024'!$D$6:$D$1413,$B176,'февраль 2024'!$J$6:$J$1413,R$1)</f>
        <v>0</v>
      </c>
      <c r="S176" s="80">
        <f>SUMIFS('февраль 2024'!$G$6:$G$1413,'февраль 2024'!$D$6:$D$1413,$B176,'февраль 2024'!$J$6:$J$1413,S$1)</f>
        <v>0</v>
      </c>
      <c r="T176" s="80">
        <f>SUMIFS('февраль 2024'!$G$6:$G$1413,'февраль 2024'!$D$6:$D$1413,$B176,'февраль 2024'!$J$6:$J$1413,T$1)</f>
        <v>0</v>
      </c>
      <c r="U176" s="80">
        <f>SUMIFS('февраль 2024'!$G$6:$G$1413,'февраль 2024'!$D$6:$D$1413,$B176,'февраль 2024'!$J$6:$J$1413,U$1)</f>
        <v>0</v>
      </c>
      <c r="V176" s="80">
        <f>SUMIFS('февраль 2024'!$G$6:$G$1413,'февраль 2024'!$D$6:$D$1413,$B176,'февраль 2024'!$J$6:$J$1413,V$1)</f>
        <v>0</v>
      </c>
      <c r="W176" s="80">
        <f>SUMIFS('февраль 2024'!$G$6:$G$1413,'февраль 2024'!$D$6:$D$1413,$B176,'февраль 2024'!$J$6:$J$1413,W$1)</f>
        <v>0</v>
      </c>
      <c r="X176" s="80">
        <f>SUMIFS('февраль 2024'!$G$6:$G$1413,'февраль 2024'!$D$6:$D$1413,$B176,'февраль 2024'!$J$6:$J$1413,X$1)</f>
        <v>0</v>
      </c>
      <c r="Y176" s="80">
        <f>SUMIFS('февраль 2024'!$G$6:$G$1413,'февраль 2024'!$D$6:$D$1413,$B176,'февраль 2024'!$J$6:$J$1413,Y$1)</f>
        <v>0</v>
      </c>
      <c r="Z176" s="80">
        <f>SUMIFS('февраль 2024'!$G$6:$G$1413,'февраль 2024'!$D$6:$D$1413,$B176,'февраль 2024'!$J$6:$J$1413,Z$1)</f>
        <v>0</v>
      </c>
      <c r="AA176" s="80">
        <f>SUMIFS('февраль 2024'!$G$6:$G$1413,'февраль 2024'!$D$6:$D$1413,$B176,'февраль 2024'!$J$6:$J$1413,AA$1)</f>
        <v>0</v>
      </c>
      <c r="AB176" s="80">
        <f>SUMIFS('февраль 2024'!$G$6:$G$1413,'февраль 2024'!$D$6:$D$1413,$B176,'февраль 2024'!$J$6:$J$1413,AB$1)</f>
        <v>0</v>
      </c>
      <c r="AC176" s="80">
        <f>SUMIFS('февраль 2024'!$G$6:$G$1413,'февраль 2024'!$D$6:$D$1413,$B176,'февраль 2024'!$J$6:$J$1413,AC$1)</f>
        <v>0</v>
      </c>
      <c r="AD176" s="80">
        <f>SUMIFS('февраль 2024'!$G$6:$G$1413,'февраль 2024'!$D$6:$D$1413,$B176,'февраль 2024'!$J$6:$J$1413,AD$1)</f>
        <v>0</v>
      </c>
      <c r="AE176" s="80">
        <f>SUMIFS('февраль 2024'!$G$6:$G$1413,'февраль 2024'!$D$6:$D$1413,$B176,'февраль 2024'!$J$6:$J$1413,AE$1)</f>
        <v>0</v>
      </c>
      <c r="AF176" s="80">
        <f>SUMIFS('февраль 2024'!$G$6:$G$1413,'февраль 2024'!$D$6:$D$1413,$B176,'февраль 2024'!$J$6:$J$1413,AF$1)</f>
        <v>0</v>
      </c>
      <c r="AG176" s="80">
        <f>SUMIFS('февраль 2024'!$G$6:$G$1413,'февраль 2024'!$D$6:$D$1413,$B176,'февраль 2024'!$J$6:$J$1413,AG$1)</f>
        <v>0</v>
      </c>
      <c r="AH176" s="80">
        <f>SUMIFS('февраль 2024'!$G$6:$G$1413,'февраль 2024'!$D$6:$D$1413,$B176,'февраль 2024'!$J$6:$J$1413,AH$1)</f>
        <v>0</v>
      </c>
      <c r="AI176" s="87"/>
    </row>
    <row r="177" spans="2:35" ht="15" hidden="1" customHeight="1" x14ac:dyDescent="0.25">
      <c r="B177" s="89"/>
      <c r="C177" s="91"/>
      <c r="D177" s="80">
        <f>SUMIFS('февраль 2024'!$G$6:$G$1413,'февраль 2024'!$D$6:$D$1413,$B177,'февраль 2024'!$J$6:$J$1413,D$1)</f>
        <v>0</v>
      </c>
      <c r="E177" s="80">
        <f>SUMIFS('февраль 2024'!$G$6:$G$1413,'февраль 2024'!$D$6:$D$1413,$B177,'февраль 2024'!$J$6:$J$1413,E$1)</f>
        <v>0</v>
      </c>
      <c r="F177" s="80">
        <f>SUMIFS('февраль 2024'!$G$6:$G$1413,'февраль 2024'!$D$6:$D$1413,$B177,'февраль 2024'!$J$6:$J$1413,F$1)</f>
        <v>0</v>
      </c>
      <c r="G177" s="80">
        <f>SUMIFS('февраль 2024'!$G$6:$G$1413,'февраль 2024'!$D$6:$D$1413,$B177,'февраль 2024'!$J$6:$J$1413,G$1)</f>
        <v>0</v>
      </c>
      <c r="H177" s="80">
        <f>SUMIFS('февраль 2024'!$G$6:$G$1413,'февраль 2024'!$D$6:$D$1413,$B177,'февраль 2024'!$J$6:$J$1413,H$1)</f>
        <v>0</v>
      </c>
      <c r="I177" s="80">
        <f>SUMIFS('февраль 2024'!$G$6:$G$1413,'февраль 2024'!$D$6:$D$1413,$B177,'февраль 2024'!$J$6:$J$1413,I$1)</f>
        <v>0</v>
      </c>
      <c r="J177" s="80">
        <f>SUMIFS('февраль 2024'!$G$6:$G$1413,'февраль 2024'!$D$6:$D$1413,$B177,'февраль 2024'!$J$6:$J$1413,J$1)</f>
        <v>0</v>
      </c>
      <c r="K177" s="80">
        <f>SUMIFS('февраль 2024'!$G$6:$G$1413,'февраль 2024'!$D$6:$D$1413,$B177,'февраль 2024'!$J$6:$J$1413,K$1)</f>
        <v>0</v>
      </c>
      <c r="L177" s="80">
        <f>SUMIFS('февраль 2024'!$G$6:$G$1413,'февраль 2024'!$D$6:$D$1413,$B177,'февраль 2024'!$J$6:$J$1413,L$1)</f>
        <v>0</v>
      </c>
      <c r="M177" s="80">
        <f>SUMIFS('февраль 2024'!$G$6:$G$1413,'февраль 2024'!$D$6:$D$1413,$B177,'февраль 2024'!$J$6:$J$1413,M$1)</f>
        <v>0</v>
      </c>
      <c r="N177" s="80">
        <f>SUMIFS('февраль 2024'!$G$6:$G$1413,'февраль 2024'!$D$6:$D$1413,$B177,'февраль 2024'!$J$6:$J$1413,N$1)</f>
        <v>0</v>
      </c>
      <c r="O177" s="80">
        <f>SUMIFS('февраль 2024'!$G$6:$G$1413,'февраль 2024'!$D$6:$D$1413,$B177,'февраль 2024'!$J$6:$J$1413,O$1)</f>
        <v>0</v>
      </c>
      <c r="P177" s="80">
        <f>SUMIFS('февраль 2024'!$G$6:$G$1413,'февраль 2024'!$D$6:$D$1413,$B177,'февраль 2024'!$J$6:$J$1413,P$1)</f>
        <v>0</v>
      </c>
      <c r="Q177" s="80">
        <f>SUMIFS('февраль 2024'!$G$6:$G$1413,'февраль 2024'!$D$6:$D$1413,$B177,'февраль 2024'!$J$6:$J$1413,Q$1)</f>
        <v>0</v>
      </c>
      <c r="R177" s="80">
        <f>SUMIFS('февраль 2024'!$G$6:$G$1413,'февраль 2024'!$D$6:$D$1413,$B177,'февраль 2024'!$J$6:$J$1413,R$1)</f>
        <v>0</v>
      </c>
      <c r="S177" s="80">
        <f>SUMIFS('февраль 2024'!$G$6:$G$1413,'февраль 2024'!$D$6:$D$1413,$B177,'февраль 2024'!$J$6:$J$1413,S$1)</f>
        <v>0</v>
      </c>
      <c r="T177" s="80">
        <f>SUMIFS('февраль 2024'!$G$6:$G$1413,'февраль 2024'!$D$6:$D$1413,$B177,'февраль 2024'!$J$6:$J$1413,T$1)</f>
        <v>0</v>
      </c>
      <c r="U177" s="80">
        <f>SUMIFS('февраль 2024'!$G$6:$G$1413,'февраль 2024'!$D$6:$D$1413,$B177,'февраль 2024'!$J$6:$J$1413,U$1)</f>
        <v>0</v>
      </c>
      <c r="V177" s="80">
        <f>SUMIFS('февраль 2024'!$G$6:$G$1413,'февраль 2024'!$D$6:$D$1413,$B177,'февраль 2024'!$J$6:$J$1413,V$1)</f>
        <v>0</v>
      </c>
      <c r="W177" s="80">
        <f>SUMIFS('февраль 2024'!$G$6:$G$1413,'февраль 2024'!$D$6:$D$1413,$B177,'февраль 2024'!$J$6:$J$1413,W$1)</f>
        <v>0</v>
      </c>
      <c r="X177" s="80">
        <f>SUMIFS('февраль 2024'!$G$6:$G$1413,'февраль 2024'!$D$6:$D$1413,$B177,'февраль 2024'!$J$6:$J$1413,X$1)</f>
        <v>0</v>
      </c>
      <c r="Y177" s="80">
        <f>SUMIFS('февраль 2024'!$G$6:$G$1413,'февраль 2024'!$D$6:$D$1413,$B177,'февраль 2024'!$J$6:$J$1413,Y$1)</f>
        <v>0</v>
      </c>
      <c r="Z177" s="80">
        <f>SUMIFS('февраль 2024'!$G$6:$G$1413,'февраль 2024'!$D$6:$D$1413,$B177,'февраль 2024'!$J$6:$J$1413,Z$1)</f>
        <v>0</v>
      </c>
      <c r="AA177" s="80">
        <f>SUMIFS('февраль 2024'!$G$6:$G$1413,'февраль 2024'!$D$6:$D$1413,$B177,'февраль 2024'!$J$6:$J$1413,AA$1)</f>
        <v>0</v>
      </c>
      <c r="AB177" s="80">
        <f>SUMIFS('февраль 2024'!$G$6:$G$1413,'февраль 2024'!$D$6:$D$1413,$B177,'февраль 2024'!$J$6:$J$1413,AB$1)</f>
        <v>0</v>
      </c>
      <c r="AC177" s="80">
        <f>SUMIFS('февраль 2024'!$G$6:$G$1413,'февраль 2024'!$D$6:$D$1413,$B177,'февраль 2024'!$J$6:$J$1413,AC$1)</f>
        <v>0</v>
      </c>
      <c r="AD177" s="80">
        <f>SUMIFS('февраль 2024'!$G$6:$G$1413,'февраль 2024'!$D$6:$D$1413,$B177,'февраль 2024'!$J$6:$J$1413,AD$1)</f>
        <v>0</v>
      </c>
      <c r="AE177" s="80">
        <f>SUMIFS('февраль 2024'!$G$6:$G$1413,'февраль 2024'!$D$6:$D$1413,$B177,'февраль 2024'!$J$6:$J$1413,AE$1)</f>
        <v>0</v>
      </c>
      <c r="AF177" s="80">
        <f>SUMIFS('февраль 2024'!$G$6:$G$1413,'февраль 2024'!$D$6:$D$1413,$B177,'февраль 2024'!$J$6:$J$1413,AF$1)</f>
        <v>0</v>
      </c>
      <c r="AG177" s="80">
        <f>SUMIFS('февраль 2024'!$G$6:$G$1413,'февраль 2024'!$D$6:$D$1413,$B177,'февраль 2024'!$J$6:$J$1413,AG$1)</f>
        <v>0</v>
      </c>
      <c r="AH177" s="80">
        <f>SUMIFS('февраль 2024'!$G$6:$G$1413,'февраль 2024'!$D$6:$D$1413,$B177,'февраль 2024'!$J$6:$J$1413,AH$1)</f>
        <v>0</v>
      </c>
      <c r="AI177" s="87"/>
    </row>
    <row r="178" spans="2:35" ht="15" hidden="1" customHeight="1" x14ac:dyDescent="0.25">
      <c r="B178" s="89"/>
      <c r="C178" s="91"/>
      <c r="D178" s="80">
        <f>SUMIFS('февраль 2024'!$G$6:$G$1413,'февраль 2024'!$D$6:$D$1413,$B178,'февраль 2024'!$J$6:$J$1413,D$1)</f>
        <v>0</v>
      </c>
      <c r="E178" s="80">
        <f>SUMIFS('февраль 2024'!$G$6:$G$1413,'февраль 2024'!$D$6:$D$1413,$B178,'февраль 2024'!$J$6:$J$1413,E$1)</f>
        <v>0</v>
      </c>
      <c r="F178" s="80">
        <f>SUMIFS('февраль 2024'!$G$6:$G$1413,'февраль 2024'!$D$6:$D$1413,$B178,'февраль 2024'!$J$6:$J$1413,F$1)</f>
        <v>0</v>
      </c>
      <c r="G178" s="80">
        <f>SUMIFS('февраль 2024'!$G$6:$G$1413,'февраль 2024'!$D$6:$D$1413,$B178,'февраль 2024'!$J$6:$J$1413,G$1)</f>
        <v>0</v>
      </c>
      <c r="H178" s="80">
        <f>SUMIFS('февраль 2024'!$G$6:$G$1413,'февраль 2024'!$D$6:$D$1413,$B178,'февраль 2024'!$J$6:$J$1413,H$1)</f>
        <v>0</v>
      </c>
      <c r="I178" s="80">
        <f>SUMIFS('февраль 2024'!$G$6:$G$1413,'февраль 2024'!$D$6:$D$1413,$B178,'февраль 2024'!$J$6:$J$1413,I$1)</f>
        <v>0</v>
      </c>
      <c r="J178" s="80">
        <f>SUMIFS('февраль 2024'!$G$6:$G$1413,'февраль 2024'!$D$6:$D$1413,$B178,'февраль 2024'!$J$6:$J$1413,J$1)</f>
        <v>0</v>
      </c>
      <c r="K178" s="80">
        <f>SUMIFS('февраль 2024'!$G$6:$G$1413,'февраль 2024'!$D$6:$D$1413,$B178,'февраль 2024'!$J$6:$J$1413,K$1)</f>
        <v>0</v>
      </c>
      <c r="L178" s="80">
        <f>SUMIFS('февраль 2024'!$G$6:$G$1413,'февраль 2024'!$D$6:$D$1413,$B178,'февраль 2024'!$J$6:$J$1413,L$1)</f>
        <v>0</v>
      </c>
      <c r="M178" s="80">
        <f>SUMIFS('февраль 2024'!$G$6:$G$1413,'февраль 2024'!$D$6:$D$1413,$B178,'февраль 2024'!$J$6:$J$1413,M$1)</f>
        <v>0</v>
      </c>
      <c r="N178" s="80">
        <f>SUMIFS('февраль 2024'!$G$6:$G$1413,'февраль 2024'!$D$6:$D$1413,$B178,'февраль 2024'!$J$6:$J$1413,N$1)</f>
        <v>0</v>
      </c>
      <c r="O178" s="80">
        <f>SUMIFS('февраль 2024'!$G$6:$G$1413,'февраль 2024'!$D$6:$D$1413,$B178,'февраль 2024'!$J$6:$J$1413,O$1)</f>
        <v>0</v>
      </c>
      <c r="P178" s="80">
        <f>SUMIFS('февраль 2024'!$G$6:$G$1413,'февраль 2024'!$D$6:$D$1413,$B178,'февраль 2024'!$J$6:$J$1413,P$1)</f>
        <v>0</v>
      </c>
      <c r="Q178" s="80">
        <f>SUMIFS('февраль 2024'!$G$6:$G$1413,'февраль 2024'!$D$6:$D$1413,$B178,'февраль 2024'!$J$6:$J$1413,Q$1)</f>
        <v>0</v>
      </c>
      <c r="R178" s="80">
        <f>SUMIFS('февраль 2024'!$G$6:$G$1413,'февраль 2024'!$D$6:$D$1413,$B178,'февраль 2024'!$J$6:$J$1413,R$1)</f>
        <v>0</v>
      </c>
      <c r="S178" s="80">
        <f>SUMIFS('февраль 2024'!$G$6:$G$1413,'февраль 2024'!$D$6:$D$1413,$B178,'февраль 2024'!$J$6:$J$1413,S$1)</f>
        <v>0</v>
      </c>
      <c r="T178" s="80">
        <f>SUMIFS('февраль 2024'!$G$6:$G$1413,'февраль 2024'!$D$6:$D$1413,$B178,'февраль 2024'!$J$6:$J$1413,T$1)</f>
        <v>0</v>
      </c>
      <c r="U178" s="80">
        <f>SUMIFS('февраль 2024'!$G$6:$G$1413,'февраль 2024'!$D$6:$D$1413,$B178,'февраль 2024'!$J$6:$J$1413,U$1)</f>
        <v>0</v>
      </c>
      <c r="V178" s="80">
        <f>SUMIFS('февраль 2024'!$G$6:$G$1413,'февраль 2024'!$D$6:$D$1413,$B178,'февраль 2024'!$J$6:$J$1413,V$1)</f>
        <v>0</v>
      </c>
      <c r="W178" s="80">
        <f>SUMIFS('февраль 2024'!$G$6:$G$1413,'февраль 2024'!$D$6:$D$1413,$B178,'февраль 2024'!$J$6:$J$1413,W$1)</f>
        <v>0</v>
      </c>
      <c r="X178" s="80">
        <f>SUMIFS('февраль 2024'!$G$6:$G$1413,'февраль 2024'!$D$6:$D$1413,$B178,'февраль 2024'!$J$6:$J$1413,X$1)</f>
        <v>0</v>
      </c>
      <c r="Y178" s="80">
        <f>SUMIFS('февраль 2024'!$G$6:$G$1413,'февраль 2024'!$D$6:$D$1413,$B178,'февраль 2024'!$J$6:$J$1413,Y$1)</f>
        <v>0</v>
      </c>
      <c r="Z178" s="80">
        <f>SUMIFS('февраль 2024'!$G$6:$G$1413,'февраль 2024'!$D$6:$D$1413,$B178,'февраль 2024'!$J$6:$J$1413,Z$1)</f>
        <v>0</v>
      </c>
      <c r="AA178" s="80">
        <f>SUMIFS('февраль 2024'!$G$6:$G$1413,'февраль 2024'!$D$6:$D$1413,$B178,'февраль 2024'!$J$6:$J$1413,AA$1)</f>
        <v>0</v>
      </c>
      <c r="AB178" s="80">
        <f>SUMIFS('февраль 2024'!$G$6:$G$1413,'февраль 2024'!$D$6:$D$1413,$B178,'февраль 2024'!$J$6:$J$1413,AB$1)</f>
        <v>0</v>
      </c>
      <c r="AC178" s="80">
        <f>SUMIFS('февраль 2024'!$G$6:$G$1413,'февраль 2024'!$D$6:$D$1413,$B178,'февраль 2024'!$J$6:$J$1413,AC$1)</f>
        <v>0</v>
      </c>
      <c r="AD178" s="80">
        <f>SUMIFS('февраль 2024'!$G$6:$G$1413,'февраль 2024'!$D$6:$D$1413,$B178,'февраль 2024'!$J$6:$J$1413,AD$1)</f>
        <v>0</v>
      </c>
      <c r="AE178" s="80">
        <f>SUMIFS('февраль 2024'!$G$6:$G$1413,'февраль 2024'!$D$6:$D$1413,$B178,'февраль 2024'!$J$6:$J$1413,AE$1)</f>
        <v>0</v>
      </c>
      <c r="AF178" s="80">
        <f>SUMIFS('февраль 2024'!$G$6:$G$1413,'февраль 2024'!$D$6:$D$1413,$B178,'февраль 2024'!$J$6:$J$1413,AF$1)</f>
        <v>0</v>
      </c>
      <c r="AG178" s="80">
        <f>SUMIFS('февраль 2024'!$G$6:$G$1413,'февраль 2024'!$D$6:$D$1413,$B178,'февраль 2024'!$J$6:$J$1413,AG$1)</f>
        <v>0</v>
      </c>
      <c r="AH178" s="80">
        <f>SUMIFS('февраль 2024'!$G$6:$G$1413,'февраль 2024'!$D$6:$D$1413,$B178,'февраль 2024'!$J$6:$J$1413,AH$1)</f>
        <v>0</v>
      </c>
      <c r="AI178" s="87"/>
    </row>
    <row r="179" spans="2:35" ht="15" hidden="1" customHeight="1" x14ac:dyDescent="0.25">
      <c r="B179" s="89"/>
      <c r="C179" s="91"/>
      <c r="D179" s="80">
        <f>SUMIFS('февраль 2024'!$G$6:$G$1413,'февраль 2024'!$D$6:$D$1413,$B179,'февраль 2024'!$J$6:$J$1413,D$1)</f>
        <v>0</v>
      </c>
      <c r="E179" s="80">
        <f>SUMIFS('февраль 2024'!$G$6:$G$1413,'февраль 2024'!$D$6:$D$1413,$B179,'февраль 2024'!$J$6:$J$1413,E$1)</f>
        <v>0</v>
      </c>
      <c r="F179" s="80">
        <f>SUMIFS('февраль 2024'!$G$6:$G$1413,'февраль 2024'!$D$6:$D$1413,$B179,'февраль 2024'!$J$6:$J$1413,F$1)</f>
        <v>0</v>
      </c>
      <c r="G179" s="80">
        <f>SUMIFS('февраль 2024'!$G$6:$G$1413,'февраль 2024'!$D$6:$D$1413,$B179,'февраль 2024'!$J$6:$J$1413,G$1)</f>
        <v>0</v>
      </c>
      <c r="H179" s="80">
        <f>SUMIFS('февраль 2024'!$G$6:$G$1413,'февраль 2024'!$D$6:$D$1413,$B179,'февраль 2024'!$J$6:$J$1413,H$1)</f>
        <v>0</v>
      </c>
      <c r="I179" s="80">
        <f>SUMIFS('февраль 2024'!$G$6:$G$1413,'февраль 2024'!$D$6:$D$1413,$B179,'февраль 2024'!$J$6:$J$1413,I$1)</f>
        <v>0</v>
      </c>
      <c r="J179" s="80">
        <f>SUMIFS('февраль 2024'!$G$6:$G$1413,'февраль 2024'!$D$6:$D$1413,$B179,'февраль 2024'!$J$6:$J$1413,J$1)</f>
        <v>0</v>
      </c>
      <c r="K179" s="80">
        <f>SUMIFS('февраль 2024'!$G$6:$G$1413,'февраль 2024'!$D$6:$D$1413,$B179,'февраль 2024'!$J$6:$J$1413,K$1)</f>
        <v>0</v>
      </c>
      <c r="L179" s="80">
        <f>SUMIFS('февраль 2024'!$G$6:$G$1413,'февраль 2024'!$D$6:$D$1413,$B179,'февраль 2024'!$J$6:$J$1413,L$1)</f>
        <v>0</v>
      </c>
      <c r="M179" s="80">
        <f>SUMIFS('февраль 2024'!$G$6:$G$1413,'февраль 2024'!$D$6:$D$1413,$B179,'февраль 2024'!$J$6:$J$1413,M$1)</f>
        <v>0</v>
      </c>
      <c r="N179" s="80">
        <f>SUMIFS('февраль 2024'!$G$6:$G$1413,'февраль 2024'!$D$6:$D$1413,$B179,'февраль 2024'!$J$6:$J$1413,N$1)</f>
        <v>0</v>
      </c>
      <c r="O179" s="80">
        <f>SUMIFS('февраль 2024'!$G$6:$G$1413,'февраль 2024'!$D$6:$D$1413,$B179,'февраль 2024'!$J$6:$J$1413,O$1)</f>
        <v>0</v>
      </c>
      <c r="P179" s="80">
        <f>SUMIFS('февраль 2024'!$G$6:$G$1413,'февраль 2024'!$D$6:$D$1413,$B179,'февраль 2024'!$J$6:$J$1413,P$1)</f>
        <v>0</v>
      </c>
      <c r="Q179" s="80">
        <f>SUMIFS('февраль 2024'!$G$6:$G$1413,'февраль 2024'!$D$6:$D$1413,$B179,'февраль 2024'!$J$6:$J$1413,Q$1)</f>
        <v>0</v>
      </c>
      <c r="R179" s="80">
        <f>SUMIFS('февраль 2024'!$G$6:$G$1413,'февраль 2024'!$D$6:$D$1413,$B179,'февраль 2024'!$J$6:$J$1413,R$1)</f>
        <v>0</v>
      </c>
      <c r="S179" s="80">
        <f>SUMIFS('февраль 2024'!$G$6:$G$1413,'февраль 2024'!$D$6:$D$1413,$B179,'февраль 2024'!$J$6:$J$1413,S$1)</f>
        <v>0</v>
      </c>
      <c r="T179" s="80">
        <f>SUMIFS('февраль 2024'!$G$6:$G$1413,'февраль 2024'!$D$6:$D$1413,$B179,'февраль 2024'!$J$6:$J$1413,T$1)</f>
        <v>0</v>
      </c>
      <c r="U179" s="80">
        <f>SUMIFS('февраль 2024'!$G$6:$G$1413,'февраль 2024'!$D$6:$D$1413,$B179,'февраль 2024'!$J$6:$J$1413,U$1)</f>
        <v>0</v>
      </c>
      <c r="V179" s="80">
        <f>SUMIFS('февраль 2024'!$G$6:$G$1413,'февраль 2024'!$D$6:$D$1413,$B179,'февраль 2024'!$J$6:$J$1413,V$1)</f>
        <v>0</v>
      </c>
      <c r="W179" s="80">
        <f>SUMIFS('февраль 2024'!$G$6:$G$1413,'февраль 2024'!$D$6:$D$1413,$B179,'февраль 2024'!$J$6:$J$1413,W$1)</f>
        <v>0</v>
      </c>
      <c r="X179" s="80">
        <f>SUMIFS('февраль 2024'!$G$6:$G$1413,'февраль 2024'!$D$6:$D$1413,$B179,'февраль 2024'!$J$6:$J$1413,X$1)</f>
        <v>0</v>
      </c>
      <c r="Y179" s="80">
        <f>SUMIFS('февраль 2024'!$G$6:$G$1413,'февраль 2024'!$D$6:$D$1413,$B179,'февраль 2024'!$J$6:$J$1413,Y$1)</f>
        <v>0</v>
      </c>
      <c r="Z179" s="80">
        <f>SUMIFS('февраль 2024'!$G$6:$G$1413,'февраль 2024'!$D$6:$D$1413,$B179,'февраль 2024'!$J$6:$J$1413,Z$1)</f>
        <v>0</v>
      </c>
      <c r="AA179" s="80">
        <f>SUMIFS('февраль 2024'!$G$6:$G$1413,'февраль 2024'!$D$6:$D$1413,$B179,'февраль 2024'!$J$6:$J$1413,AA$1)</f>
        <v>0</v>
      </c>
      <c r="AB179" s="80">
        <f>SUMIFS('февраль 2024'!$G$6:$G$1413,'февраль 2024'!$D$6:$D$1413,$B179,'февраль 2024'!$J$6:$J$1413,AB$1)</f>
        <v>0</v>
      </c>
      <c r="AC179" s="80">
        <f>SUMIFS('февраль 2024'!$G$6:$G$1413,'февраль 2024'!$D$6:$D$1413,$B179,'февраль 2024'!$J$6:$J$1413,AC$1)</f>
        <v>0</v>
      </c>
      <c r="AD179" s="80">
        <f>SUMIFS('февраль 2024'!$G$6:$G$1413,'февраль 2024'!$D$6:$D$1413,$B179,'февраль 2024'!$J$6:$J$1413,AD$1)</f>
        <v>0</v>
      </c>
      <c r="AE179" s="80">
        <f>SUMIFS('февраль 2024'!$G$6:$G$1413,'февраль 2024'!$D$6:$D$1413,$B179,'февраль 2024'!$J$6:$J$1413,AE$1)</f>
        <v>0</v>
      </c>
      <c r="AF179" s="80">
        <f>SUMIFS('февраль 2024'!$G$6:$G$1413,'февраль 2024'!$D$6:$D$1413,$B179,'февраль 2024'!$J$6:$J$1413,AF$1)</f>
        <v>0</v>
      </c>
      <c r="AG179" s="80">
        <f>SUMIFS('февраль 2024'!$G$6:$G$1413,'февраль 2024'!$D$6:$D$1413,$B179,'февраль 2024'!$J$6:$J$1413,AG$1)</f>
        <v>0</v>
      </c>
      <c r="AH179" s="80">
        <f>SUMIFS('февраль 2024'!$G$6:$G$1413,'февраль 2024'!$D$6:$D$1413,$B179,'февраль 2024'!$J$6:$J$1413,AH$1)</f>
        <v>0</v>
      </c>
      <c r="AI179" s="87"/>
    </row>
    <row r="180" spans="2:35" ht="15" hidden="1" customHeight="1" x14ac:dyDescent="0.25">
      <c r="B180" s="89"/>
      <c r="C180" s="91"/>
      <c r="D180" s="80">
        <f>SUMIFS('февраль 2024'!$G$6:$G$1413,'февраль 2024'!$D$6:$D$1413,$B180,'февраль 2024'!$J$6:$J$1413,D$1)</f>
        <v>0</v>
      </c>
      <c r="E180" s="80">
        <f>SUMIFS('февраль 2024'!$G$6:$G$1413,'февраль 2024'!$D$6:$D$1413,$B180,'февраль 2024'!$J$6:$J$1413,E$1)</f>
        <v>0</v>
      </c>
      <c r="F180" s="80">
        <f>SUMIFS('февраль 2024'!$G$6:$G$1413,'февраль 2024'!$D$6:$D$1413,$B180,'февраль 2024'!$J$6:$J$1413,F$1)</f>
        <v>0</v>
      </c>
      <c r="G180" s="80">
        <f>SUMIFS('февраль 2024'!$G$6:$G$1413,'февраль 2024'!$D$6:$D$1413,$B180,'февраль 2024'!$J$6:$J$1413,G$1)</f>
        <v>0</v>
      </c>
      <c r="H180" s="80">
        <f>SUMIFS('февраль 2024'!$G$6:$G$1413,'февраль 2024'!$D$6:$D$1413,$B180,'февраль 2024'!$J$6:$J$1413,H$1)</f>
        <v>0</v>
      </c>
      <c r="I180" s="80">
        <f>SUMIFS('февраль 2024'!$G$6:$G$1413,'февраль 2024'!$D$6:$D$1413,$B180,'февраль 2024'!$J$6:$J$1413,I$1)</f>
        <v>0</v>
      </c>
      <c r="J180" s="80">
        <f>SUMIFS('февраль 2024'!$G$6:$G$1413,'февраль 2024'!$D$6:$D$1413,$B180,'февраль 2024'!$J$6:$J$1413,J$1)</f>
        <v>0</v>
      </c>
      <c r="K180" s="80">
        <f>SUMIFS('февраль 2024'!$G$6:$G$1413,'февраль 2024'!$D$6:$D$1413,$B180,'февраль 2024'!$J$6:$J$1413,K$1)</f>
        <v>0</v>
      </c>
      <c r="L180" s="80">
        <f>SUMIFS('февраль 2024'!$G$6:$G$1413,'февраль 2024'!$D$6:$D$1413,$B180,'февраль 2024'!$J$6:$J$1413,L$1)</f>
        <v>0</v>
      </c>
      <c r="M180" s="80">
        <f>SUMIFS('февраль 2024'!$G$6:$G$1413,'февраль 2024'!$D$6:$D$1413,$B180,'февраль 2024'!$J$6:$J$1413,M$1)</f>
        <v>0</v>
      </c>
      <c r="N180" s="80">
        <f>SUMIFS('февраль 2024'!$G$6:$G$1413,'февраль 2024'!$D$6:$D$1413,$B180,'февраль 2024'!$J$6:$J$1413,N$1)</f>
        <v>0</v>
      </c>
      <c r="O180" s="80">
        <f>SUMIFS('февраль 2024'!$G$6:$G$1413,'февраль 2024'!$D$6:$D$1413,$B180,'февраль 2024'!$J$6:$J$1413,O$1)</f>
        <v>0</v>
      </c>
      <c r="P180" s="80">
        <f>SUMIFS('февраль 2024'!$G$6:$G$1413,'февраль 2024'!$D$6:$D$1413,$B180,'февраль 2024'!$J$6:$J$1413,P$1)</f>
        <v>0</v>
      </c>
      <c r="Q180" s="80">
        <f>SUMIFS('февраль 2024'!$G$6:$G$1413,'февраль 2024'!$D$6:$D$1413,$B180,'февраль 2024'!$J$6:$J$1413,Q$1)</f>
        <v>0</v>
      </c>
      <c r="R180" s="80">
        <f>SUMIFS('февраль 2024'!$G$6:$G$1413,'февраль 2024'!$D$6:$D$1413,$B180,'февраль 2024'!$J$6:$J$1413,R$1)</f>
        <v>0</v>
      </c>
      <c r="S180" s="80">
        <f>SUMIFS('февраль 2024'!$G$6:$G$1413,'февраль 2024'!$D$6:$D$1413,$B180,'февраль 2024'!$J$6:$J$1413,S$1)</f>
        <v>0</v>
      </c>
      <c r="T180" s="80">
        <f>SUMIFS('февраль 2024'!$G$6:$G$1413,'февраль 2024'!$D$6:$D$1413,$B180,'февраль 2024'!$J$6:$J$1413,T$1)</f>
        <v>0</v>
      </c>
      <c r="U180" s="80">
        <f>SUMIFS('февраль 2024'!$G$6:$G$1413,'февраль 2024'!$D$6:$D$1413,$B180,'февраль 2024'!$J$6:$J$1413,U$1)</f>
        <v>0</v>
      </c>
      <c r="V180" s="80">
        <f>SUMIFS('февраль 2024'!$G$6:$G$1413,'февраль 2024'!$D$6:$D$1413,$B180,'февраль 2024'!$J$6:$J$1413,V$1)</f>
        <v>0</v>
      </c>
      <c r="W180" s="80">
        <f>SUMIFS('февраль 2024'!$G$6:$G$1413,'февраль 2024'!$D$6:$D$1413,$B180,'февраль 2024'!$J$6:$J$1413,W$1)</f>
        <v>0</v>
      </c>
      <c r="X180" s="80">
        <f>SUMIFS('февраль 2024'!$G$6:$G$1413,'февраль 2024'!$D$6:$D$1413,$B180,'февраль 2024'!$J$6:$J$1413,X$1)</f>
        <v>0</v>
      </c>
      <c r="Y180" s="80">
        <f>SUMIFS('февраль 2024'!$G$6:$G$1413,'февраль 2024'!$D$6:$D$1413,$B180,'февраль 2024'!$J$6:$J$1413,Y$1)</f>
        <v>0</v>
      </c>
      <c r="Z180" s="80">
        <f>SUMIFS('февраль 2024'!$G$6:$G$1413,'февраль 2024'!$D$6:$D$1413,$B180,'февраль 2024'!$J$6:$J$1413,Z$1)</f>
        <v>0</v>
      </c>
      <c r="AA180" s="80">
        <f>SUMIFS('февраль 2024'!$G$6:$G$1413,'февраль 2024'!$D$6:$D$1413,$B180,'февраль 2024'!$J$6:$J$1413,AA$1)</f>
        <v>0</v>
      </c>
      <c r="AB180" s="80">
        <f>SUMIFS('февраль 2024'!$G$6:$G$1413,'февраль 2024'!$D$6:$D$1413,$B180,'февраль 2024'!$J$6:$J$1413,AB$1)</f>
        <v>0</v>
      </c>
      <c r="AC180" s="80">
        <f>SUMIFS('февраль 2024'!$G$6:$G$1413,'февраль 2024'!$D$6:$D$1413,$B180,'февраль 2024'!$J$6:$J$1413,AC$1)</f>
        <v>0</v>
      </c>
      <c r="AD180" s="80">
        <f>SUMIFS('февраль 2024'!$G$6:$G$1413,'февраль 2024'!$D$6:$D$1413,$B180,'февраль 2024'!$J$6:$J$1413,AD$1)</f>
        <v>0</v>
      </c>
      <c r="AE180" s="80">
        <f>SUMIFS('февраль 2024'!$G$6:$G$1413,'февраль 2024'!$D$6:$D$1413,$B180,'февраль 2024'!$J$6:$J$1413,AE$1)</f>
        <v>0</v>
      </c>
      <c r="AF180" s="80">
        <f>SUMIFS('февраль 2024'!$G$6:$G$1413,'февраль 2024'!$D$6:$D$1413,$B180,'февраль 2024'!$J$6:$J$1413,AF$1)</f>
        <v>0</v>
      </c>
      <c r="AG180" s="80">
        <f>SUMIFS('февраль 2024'!$G$6:$G$1413,'февраль 2024'!$D$6:$D$1413,$B180,'февраль 2024'!$J$6:$J$1413,AG$1)</f>
        <v>0</v>
      </c>
      <c r="AH180" s="80">
        <f>SUMIFS('февраль 2024'!$G$6:$G$1413,'февраль 2024'!$D$6:$D$1413,$B180,'февраль 2024'!$J$6:$J$1413,AH$1)</f>
        <v>0</v>
      </c>
      <c r="AI180" s="87"/>
    </row>
    <row r="181" spans="2:35" ht="15" hidden="1" customHeight="1" x14ac:dyDescent="0.25">
      <c r="B181" s="89"/>
      <c r="C181" s="88"/>
      <c r="D181" s="80">
        <f>SUMIFS('февраль 2024'!$G$6:$G$1413,'февраль 2024'!$D$6:$D$1413,$B181,'февраль 2024'!$J$6:$J$1413,D$1)</f>
        <v>0</v>
      </c>
      <c r="E181" s="80">
        <f>SUMIFS('февраль 2024'!$G$6:$G$1413,'февраль 2024'!$D$6:$D$1413,$B181,'февраль 2024'!$J$6:$J$1413,E$1)</f>
        <v>0</v>
      </c>
      <c r="F181" s="80">
        <f>SUMIFS('февраль 2024'!$G$6:$G$1413,'февраль 2024'!$D$6:$D$1413,$B181,'февраль 2024'!$J$6:$J$1413,F$1)</f>
        <v>0</v>
      </c>
      <c r="G181" s="80">
        <f>SUMIFS('февраль 2024'!$G$6:$G$1413,'февраль 2024'!$D$6:$D$1413,$B181,'февраль 2024'!$J$6:$J$1413,G$1)</f>
        <v>0</v>
      </c>
      <c r="H181" s="80">
        <f>SUMIFS('февраль 2024'!$G$6:$G$1413,'февраль 2024'!$D$6:$D$1413,$B181,'февраль 2024'!$J$6:$J$1413,H$1)</f>
        <v>0</v>
      </c>
      <c r="I181" s="80">
        <f>SUMIFS('февраль 2024'!$G$6:$G$1413,'февраль 2024'!$D$6:$D$1413,$B181,'февраль 2024'!$J$6:$J$1413,I$1)</f>
        <v>0</v>
      </c>
      <c r="J181" s="80">
        <f>SUMIFS('февраль 2024'!$G$6:$G$1413,'февраль 2024'!$D$6:$D$1413,$B181,'февраль 2024'!$J$6:$J$1413,J$1)</f>
        <v>0</v>
      </c>
      <c r="K181" s="80">
        <f>SUMIFS('февраль 2024'!$G$6:$G$1413,'февраль 2024'!$D$6:$D$1413,$B181,'февраль 2024'!$J$6:$J$1413,K$1)</f>
        <v>0</v>
      </c>
      <c r="L181" s="80">
        <f>SUMIFS('февраль 2024'!$G$6:$G$1413,'февраль 2024'!$D$6:$D$1413,$B181,'февраль 2024'!$J$6:$J$1413,L$1)</f>
        <v>0</v>
      </c>
      <c r="M181" s="80">
        <f>SUMIFS('февраль 2024'!$G$6:$G$1413,'февраль 2024'!$D$6:$D$1413,$B181,'февраль 2024'!$J$6:$J$1413,M$1)</f>
        <v>0</v>
      </c>
      <c r="N181" s="80">
        <f>SUMIFS('февраль 2024'!$G$6:$G$1413,'февраль 2024'!$D$6:$D$1413,$B181,'февраль 2024'!$J$6:$J$1413,N$1)</f>
        <v>0</v>
      </c>
      <c r="O181" s="80">
        <f>SUMIFS('февраль 2024'!$G$6:$G$1413,'февраль 2024'!$D$6:$D$1413,$B181,'февраль 2024'!$J$6:$J$1413,O$1)</f>
        <v>0</v>
      </c>
      <c r="P181" s="80">
        <f>SUMIFS('февраль 2024'!$G$6:$G$1413,'февраль 2024'!$D$6:$D$1413,$B181,'февраль 2024'!$J$6:$J$1413,P$1)</f>
        <v>0</v>
      </c>
      <c r="Q181" s="80">
        <f>SUMIFS('февраль 2024'!$G$6:$G$1413,'февраль 2024'!$D$6:$D$1413,$B181,'февраль 2024'!$J$6:$J$1413,Q$1)</f>
        <v>0</v>
      </c>
      <c r="R181" s="80">
        <f>SUMIFS('февраль 2024'!$G$6:$G$1413,'февраль 2024'!$D$6:$D$1413,$B181,'февраль 2024'!$J$6:$J$1413,R$1)</f>
        <v>0</v>
      </c>
      <c r="S181" s="80">
        <f>SUMIFS('февраль 2024'!$G$6:$G$1413,'февраль 2024'!$D$6:$D$1413,$B181,'февраль 2024'!$J$6:$J$1413,S$1)</f>
        <v>0</v>
      </c>
      <c r="T181" s="80">
        <f>SUMIFS('февраль 2024'!$G$6:$G$1413,'февраль 2024'!$D$6:$D$1413,$B181,'февраль 2024'!$J$6:$J$1413,T$1)</f>
        <v>0</v>
      </c>
      <c r="U181" s="80">
        <f>SUMIFS('февраль 2024'!$G$6:$G$1413,'февраль 2024'!$D$6:$D$1413,$B181,'февраль 2024'!$J$6:$J$1413,U$1)</f>
        <v>0</v>
      </c>
      <c r="V181" s="80">
        <f>SUMIFS('февраль 2024'!$G$6:$G$1413,'февраль 2024'!$D$6:$D$1413,$B181,'февраль 2024'!$J$6:$J$1413,V$1)</f>
        <v>0</v>
      </c>
      <c r="W181" s="80">
        <f>SUMIFS('февраль 2024'!$G$6:$G$1413,'февраль 2024'!$D$6:$D$1413,$B181,'февраль 2024'!$J$6:$J$1413,W$1)</f>
        <v>0</v>
      </c>
      <c r="X181" s="80">
        <f>SUMIFS('февраль 2024'!$G$6:$G$1413,'февраль 2024'!$D$6:$D$1413,$B181,'февраль 2024'!$J$6:$J$1413,X$1)</f>
        <v>0</v>
      </c>
      <c r="Y181" s="80">
        <f>SUMIFS('февраль 2024'!$G$6:$G$1413,'февраль 2024'!$D$6:$D$1413,$B181,'февраль 2024'!$J$6:$J$1413,Y$1)</f>
        <v>0</v>
      </c>
      <c r="Z181" s="80">
        <f>SUMIFS('февраль 2024'!$G$6:$G$1413,'февраль 2024'!$D$6:$D$1413,$B181,'февраль 2024'!$J$6:$J$1413,Z$1)</f>
        <v>0</v>
      </c>
      <c r="AA181" s="80">
        <f>SUMIFS('февраль 2024'!$G$6:$G$1413,'февраль 2024'!$D$6:$D$1413,$B181,'февраль 2024'!$J$6:$J$1413,AA$1)</f>
        <v>0</v>
      </c>
      <c r="AB181" s="80">
        <f>SUMIFS('февраль 2024'!$G$6:$G$1413,'февраль 2024'!$D$6:$D$1413,$B181,'февраль 2024'!$J$6:$J$1413,AB$1)</f>
        <v>0</v>
      </c>
      <c r="AC181" s="80">
        <f>SUMIFS('февраль 2024'!$G$6:$G$1413,'февраль 2024'!$D$6:$D$1413,$B181,'февраль 2024'!$J$6:$J$1413,AC$1)</f>
        <v>0</v>
      </c>
      <c r="AD181" s="80">
        <f>SUMIFS('февраль 2024'!$G$6:$G$1413,'февраль 2024'!$D$6:$D$1413,$B181,'февраль 2024'!$J$6:$J$1413,AD$1)</f>
        <v>0</v>
      </c>
      <c r="AE181" s="80">
        <f>SUMIFS('февраль 2024'!$G$6:$G$1413,'февраль 2024'!$D$6:$D$1413,$B181,'февраль 2024'!$J$6:$J$1413,AE$1)</f>
        <v>0</v>
      </c>
      <c r="AF181" s="80">
        <f>SUMIFS('февраль 2024'!$G$6:$G$1413,'февраль 2024'!$D$6:$D$1413,$B181,'февраль 2024'!$J$6:$J$1413,AF$1)</f>
        <v>0</v>
      </c>
      <c r="AG181" s="80">
        <f>SUMIFS('февраль 2024'!$G$6:$G$1413,'февраль 2024'!$D$6:$D$1413,$B181,'февраль 2024'!$J$6:$J$1413,AG$1)</f>
        <v>0</v>
      </c>
      <c r="AH181" s="80">
        <f>SUMIFS('февраль 2024'!$G$6:$G$1413,'февраль 2024'!$D$6:$D$1413,$B181,'февраль 2024'!$J$6:$J$1413,AH$1)</f>
        <v>0</v>
      </c>
      <c r="AI181" s="87"/>
    </row>
    <row r="182" spans="2:35" ht="15" hidden="1" customHeight="1" x14ac:dyDescent="0.25">
      <c r="B182" s="89"/>
      <c r="C182" s="88"/>
      <c r="D182" s="80">
        <f>SUMIFS('февраль 2024'!$G$6:$G$1413,'февраль 2024'!$D$6:$D$1413,$B182,'февраль 2024'!$J$6:$J$1413,D$1)</f>
        <v>0</v>
      </c>
      <c r="E182" s="80">
        <f>SUMIFS('февраль 2024'!$G$6:$G$1413,'февраль 2024'!$D$6:$D$1413,$B182,'февраль 2024'!$J$6:$J$1413,E$1)</f>
        <v>0</v>
      </c>
      <c r="F182" s="80">
        <f>SUMIFS('февраль 2024'!$G$6:$G$1413,'февраль 2024'!$D$6:$D$1413,$B182,'февраль 2024'!$J$6:$J$1413,F$1)</f>
        <v>0</v>
      </c>
      <c r="G182" s="80">
        <f>SUMIFS('февраль 2024'!$G$6:$G$1413,'февраль 2024'!$D$6:$D$1413,$B182,'февраль 2024'!$J$6:$J$1413,G$1)</f>
        <v>0</v>
      </c>
      <c r="H182" s="80">
        <f>SUMIFS('февраль 2024'!$G$6:$G$1413,'февраль 2024'!$D$6:$D$1413,$B182,'февраль 2024'!$J$6:$J$1413,H$1)</f>
        <v>0</v>
      </c>
      <c r="I182" s="80">
        <f>SUMIFS('февраль 2024'!$G$6:$G$1413,'февраль 2024'!$D$6:$D$1413,$B182,'февраль 2024'!$J$6:$J$1413,I$1)</f>
        <v>0</v>
      </c>
      <c r="J182" s="80">
        <f>SUMIFS('февраль 2024'!$G$6:$G$1413,'февраль 2024'!$D$6:$D$1413,$B182,'февраль 2024'!$J$6:$J$1413,J$1)</f>
        <v>0</v>
      </c>
      <c r="K182" s="80">
        <f>SUMIFS('февраль 2024'!$G$6:$G$1413,'февраль 2024'!$D$6:$D$1413,$B182,'февраль 2024'!$J$6:$J$1413,K$1)</f>
        <v>0</v>
      </c>
      <c r="L182" s="80">
        <f>SUMIFS('февраль 2024'!$G$6:$G$1413,'февраль 2024'!$D$6:$D$1413,$B182,'февраль 2024'!$J$6:$J$1413,L$1)</f>
        <v>0</v>
      </c>
      <c r="M182" s="80">
        <f>SUMIFS('февраль 2024'!$G$6:$G$1413,'февраль 2024'!$D$6:$D$1413,$B182,'февраль 2024'!$J$6:$J$1413,M$1)</f>
        <v>0</v>
      </c>
      <c r="N182" s="80">
        <f>SUMIFS('февраль 2024'!$G$6:$G$1413,'февраль 2024'!$D$6:$D$1413,$B182,'февраль 2024'!$J$6:$J$1413,N$1)</f>
        <v>0</v>
      </c>
      <c r="O182" s="80">
        <f>SUMIFS('февраль 2024'!$G$6:$G$1413,'февраль 2024'!$D$6:$D$1413,$B182,'февраль 2024'!$J$6:$J$1413,O$1)</f>
        <v>0</v>
      </c>
      <c r="P182" s="80">
        <f>SUMIFS('февраль 2024'!$G$6:$G$1413,'февраль 2024'!$D$6:$D$1413,$B182,'февраль 2024'!$J$6:$J$1413,P$1)</f>
        <v>0</v>
      </c>
      <c r="Q182" s="80">
        <f>SUMIFS('февраль 2024'!$G$6:$G$1413,'февраль 2024'!$D$6:$D$1413,$B182,'февраль 2024'!$J$6:$J$1413,Q$1)</f>
        <v>0</v>
      </c>
      <c r="R182" s="80">
        <f>SUMIFS('февраль 2024'!$G$6:$G$1413,'февраль 2024'!$D$6:$D$1413,$B182,'февраль 2024'!$J$6:$J$1413,R$1)</f>
        <v>0</v>
      </c>
      <c r="S182" s="80">
        <f>SUMIFS('февраль 2024'!$G$6:$G$1413,'февраль 2024'!$D$6:$D$1413,$B182,'февраль 2024'!$J$6:$J$1413,S$1)</f>
        <v>0</v>
      </c>
      <c r="T182" s="80">
        <f>SUMIFS('февраль 2024'!$G$6:$G$1413,'февраль 2024'!$D$6:$D$1413,$B182,'февраль 2024'!$J$6:$J$1413,T$1)</f>
        <v>0</v>
      </c>
      <c r="U182" s="80">
        <f>SUMIFS('февраль 2024'!$G$6:$G$1413,'февраль 2024'!$D$6:$D$1413,$B182,'февраль 2024'!$J$6:$J$1413,U$1)</f>
        <v>0</v>
      </c>
      <c r="V182" s="80">
        <f>SUMIFS('февраль 2024'!$G$6:$G$1413,'февраль 2024'!$D$6:$D$1413,$B182,'февраль 2024'!$J$6:$J$1413,V$1)</f>
        <v>0</v>
      </c>
      <c r="W182" s="80">
        <f>SUMIFS('февраль 2024'!$G$6:$G$1413,'февраль 2024'!$D$6:$D$1413,$B182,'февраль 2024'!$J$6:$J$1413,W$1)</f>
        <v>0</v>
      </c>
      <c r="X182" s="80">
        <f>SUMIFS('февраль 2024'!$G$6:$G$1413,'февраль 2024'!$D$6:$D$1413,$B182,'февраль 2024'!$J$6:$J$1413,X$1)</f>
        <v>0</v>
      </c>
      <c r="Y182" s="80">
        <f>SUMIFS('февраль 2024'!$G$6:$G$1413,'февраль 2024'!$D$6:$D$1413,$B182,'февраль 2024'!$J$6:$J$1413,Y$1)</f>
        <v>0</v>
      </c>
      <c r="Z182" s="80">
        <f>SUMIFS('февраль 2024'!$G$6:$G$1413,'февраль 2024'!$D$6:$D$1413,$B182,'февраль 2024'!$J$6:$J$1413,Z$1)</f>
        <v>0</v>
      </c>
      <c r="AA182" s="80">
        <f>SUMIFS('февраль 2024'!$G$6:$G$1413,'февраль 2024'!$D$6:$D$1413,$B182,'февраль 2024'!$J$6:$J$1413,AA$1)</f>
        <v>0</v>
      </c>
      <c r="AB182" s="80">
        <f>SUMIFS('февраль 2024'!$G$6:$G$1413,'февраль 2024'!$D$6:$D$1413,$B182,'февраль 2024'!$J$6:$J$1413,AB$1)</f>
        <v>0</v>
      </c>
      <c r="AC182" s="80">
        <f>SUMIFS('февраль 2024'!$G$6:$G$1413,'февраль 2024'!$D$6:$D$1413,$B182,'февраль 2024'!$J$6:$J$1413,AC$1)</f>
        <v>0</v>
      </c>
      <c r="AD182" s="80">
        <f>SUMIFS('февраль 2024'!$G$6:$G$1413,'февраль 2024'!$D$6:$D$1413,$B182,'февраль 2024'!$J$6:$J$1413,AD$1)</f>
        <v>0</v>
      </c>
      <c r="AE182" s="80">
        <f>SUMIFS('февраль 2024'!$G$6:$G$1413,'февраль 2024'!$D$6:$D$1413,$B182,'февраль 2024'!$J$6:$J$1413,AE$1)</f>
        <v>0</v>
      </c>
      <c r="AF182" s="80">
        <f>SUMIFS('февраль 2024'!$G$6:$G$1413,'февраль 2024'!$D$6:$D$1413,$B182,'февраль 2024'!$J$6:$J$1413,AF$1)</f>
        <v>0</v>
      </c>
      <c r="AG182" s="80">
        <f>SUMIFS('февраль 2024'!$G$6:$G$1413,'февраль 2024'!$D$6:$D$1413,$B182,'февраль 2024'!$J$6:$J$1413,AG$1)</f>
        <v>0</v>
      </c>
      <c r="AH182" s="80">
        <f>SUMIFS('февраль 2024'!$G$6:$G$1413,'февраль 2024'!$D$6:$D$1413,$B182,'февраль 2024'!$J$6:$J$1413,AH$1)</f>
        <v>0</v>
      </c>
      <c r="AI182" s="87"/>
    </row>
    <row r="183" spans="2:35" ht="15" hidden="1" customHeight="1" x14ac:dyDescent="0.25">
      <c r="B183" s="89"/>
      <c r="C183" s="88"/>
      <c r="D183" s="80">
        <f>SUMIFS('февраль 2024'!$G$6:$G$1413,'февраль 2024'!$D$6:$D$1413,$B183,'февраль 2024'!$J$6:$J$1413,D$1)</f>
        <v>0</v>
      </c>
      <c r="E183" s="80">
        <f>SUMIFS('февраль 2024'!$G$6:$G$1413,'февраль 2024'!$D$6:$D$1413,$B183,'февраль 2024'!$J$6:$J$1413,E$1)</f>
        <v>0</v>
      </c>
      <c r="F183" s="80">
        <f>SUMIFS('февраль 2024'!$G$6:$G$1413,'февраль 2024'!$D$6:$D$1413,$B183,'февраль 2024'!$J$6:$J$1413,F$1)</f>
        <v>0</v>
      </c>
      <c r="G183" s="80">
        <f>SUMIFS('февраль 2024'!$G$6:$G$1413,'февраль 2024'!$D$6:$D$1413,$B183,'февраль 2024'!$J$6:$J$1413,G$1)</f>
        <v>0</v>
      </c>
      <c r="H183" s="80">
        <f>SUMIFS('февраль 2024'!$G$6:$G$1413,'февраль 2024'!$D$6:$D$1413,$B183,'февраль 2024'!$J$6:$J$1413,H$1)</f>
        <v>0</v>
      </c>
      <c r="I183" s="80">
        <f>SUMIFS('февраль 2024'!$G$6:$G$1413,'февраль 2024'!$D$6:$D$1413,$B183,'февраль 2024'!$J$6:$J$1413,I$1)</f>
        <v>0</v>
      </c>
      <c r="J183" s="80">
        <f>SUMIFS('февраль 2024'!$G$6:$G$1413,'февраль 2024'!$D$6:$D$1413,$B183,'февраль 2024'!$J$6:$J$1413,J$1)</f>
        <v>0</v>
      </c>
      <c r="K183" s="80">
        <f>SUMIFS('февраль 2024'!$G$6:$G$1413,'февраль 2024'!$D$6:$D$1413,$B183,'февраль 2024'!$J$6:$J$1413,K$1)</f>
        <v>0</v>
      </c>
      <c r="L183" s="80">
        <f>SUMIFS('февраль 2024'!$G$6:$G$1413,'февраль 2024'!$D$6:$D$1413,$B183,'февраль 2024'!$J$6:$J$1413,L$1)</f>
        <v>0</v>
      </c>
      <c r="M183" s="80">
        <f>SUMIFS('февраль 2024'!$G$6:$G$1413,'февраль 2024'!$D$6:$D$1413,$B183,'февраль 2024'!$J$6:$J$1413,M$1)</f>
        <v>0</v>
      </c>
      <c r="N183" s="80">
        <f>SUMIFS('февраль 2024'!$G$6:$G$1413,'февраль 2024'!$D$6:$D$1413,$B183,'февраль 2024'!$J$6:$J$1413,N$1)</f>
        <v>0</v>
      </c>
      <c r="O183" s="80">
        <f>SUMIFS('февраль 2024'!$G$6:$G$1413,'февраль 2024'!$D$6:$D$1413,$B183,'февраль 2024'!$J$6:$J$1413,O$1)</f>
        <v>0</v>
      </c>
      <c r="P183" s="80">
        <f>SUMIFS('февраль 2024'!$G$6:$G$1413,'февраль 2024'!$D$6:$D$1413,$B183,'февраль 2024'!$J$6:$J$1413,P$1)</f>
        <v>0</v>
      </c>
      <c r="Q183" s="80">
        <f>SUMIFS('февраль 2024'!$G$6:$G$1413,'февраль 2024'!$D$6:$D$1413,$B183,'февраль 2024'!$J$6:$J$1413,Q$1)</f>
        <v>0</v>
      </c>
      <c r="R183" s="80">
        <f>SUMIFS('февраль 2024'!$G$6:$G$1413,'февраль 2024'!$D$6:$D$1413,$B183,'февраль 2024'!$J$6:$J$1413,R$1)</f>
        <v>0</v>
      </c>
      <c r="S183" s="80">
        <f>SUMIFS('февраль 2024'!$G$6:$G$1413,'февраль 2024'!$D$6:$D$1413,$B183,'февраль 2024'!$J$6:$J$1413,S$1)</f>
        <v>0</v>
      </c>
      <c r="T183" s="80">
        <f>SUMIFS('февраль 2024'!$G$6:$G$1413,'февраль 2024'!$D$6:$D$1413,$B183,'февраль 2024'!$J$6:$J$1413,T$1)</f>
        <v>0</v>
      </c>
      <c r="U183" s="80">
        <f>SUMIFS('февраль 2024'!$G$6:$G$1413,'февраль 2024'!$D$6:$D$1413,$B183,'февраль 2024'!$J$6:$J$1413,U$1)</f>
        <v>0</v>
      </c>
      <c r="V183" s="80">
        <f>SUMIFS('февраль 2024'!$G$6:$G$1413,'февраль 2024'!$D$6:$D$1413,$B183,'февраль 2024'!$J$6:$J$1413,V$1)</f>
        <v>0</v>
      </c>
      <c r="W183" s="80">
        <f>SUMIFS('февраль 2024'!$G$6:$G$1413,'февраль 2024'!$D$6:$D$1413,$B183,'февраль 2024'!$J$6:$J$1413,W$1)</f>
        <v>0</v>
      </c>
      <c r="X183" s="80">
        <f>SUMIFS('февраль 2024'!$G$6:$G$1413,'февраль 2024'!$D$6:$D$1413,$B183,'февраль 2024'!$J$6:$J$1413,X$1)</f>
        <v>0</v>
      </c>
      <c r="Y183" s="80">
        <f>SUMIFS('февраль 2024'!$G$6:$G$1413,'февраль 2024'!$D$6:$D$1413,$B183,'февраль 2024'!$J$6:$J$1413,Y$1)</f>
        <v>0</v>
      </c>
      <c r="Z183" s="80">
        <f>SUMIFS('февраль 2024'!$G$6:$G$1413,'февраль 2024'!$D$6:$D$1413,$B183,'февраль 2024'!$J$6:$J$1413,Z$1)</f>
        <v>0</v>
      </c>
      <c r="AA183" s="80">
        <f>SUMIFS('февраль 2024'!$G$6:$G$1413,'февраль 2024'!$D$6:$D$1413,$B183,'февраль 2024'!$J$6:$J$1413,AA$1)</f>
        <v>0</v>
      </c>
      <c r="AB183" s="80">
        <f>SUMIFS('февраль 2024'!$G$6:$G$1413,'февраль 2024'!$D$6:$D$1413,$B183,'февраль 2024'!$J$6:$J$1413,AB$1)</f>
        <v>0</v>
      </c>
      <c r="AC183" s="80">
        <f>SUMIFS('февраль 2024'!$G$6:$G$1413,'февраль 2024'!$D$6:$D$1413,$B183,'февраль 2024'!$J$6:$J$1413,AC$1)</f>
        <v>0</v>
      </c>
      <c r="AD183" s="80">
        <f>SUMIFS('февраль 2024'!$G$6:$G$1413,'февраль 2024'!$D$6:$D$1413,$B183,'февраль 2024'!$J$6:$J$1413,AD$1)</f>
        <v>0</v>
      </c>
      <c r="AE183" s="80">
        <f>SUMIFS('февраль 2024'!$G$6:$G$1413,'февраль 2024'!$D$6:$D$1413,$B183,'февраль 2024'!$J$6:$J$1413,AE$1)</f>
        <v>0</v>
      </c>
      <c r="AF183" s="80">
        <f>SUMIFS('февраль 2024'!$G$6:$G$1413,'февраль 2024'!$D$6:$D$1413,$B183,'февраль 2024'!$J$6:$J$1413,AF$1)</f>
        <v>0</v>
      </c>
      <c r="AG183" s="80">
        <f>SUMIFS('февраль 2024'!$G$6:$G$1413,'февраль 2024'!$D$6:$D$1413,$B183,'февраль 2024'!$J$6:$J$1413,AG$1)</f>
        <v>0</v>
      </c>
      <c r="AH183" s="80">
        <f>SUMIFS('февраль 2024'!$G$6:$G$1413,'февраль 2024'!$D$6:$D$1413,$B183,'февраль 2024'!$J$6:$J$1413,AH$1)</f>
        <v>0</v>
      </c>
      <c r="AI183" s="87"/>
    </row>
    <row r="184" spans="2:35" ht="15" hidden="1" customHeight="1" x14ac:dyDescent="0.25">
      <c r="B184" s="89"/>
      <c r="C184" s="88"/>
      <c r="D184" s="80">
        <f>SUMIFS('февраль 2024'!$G$6:$G$1413,'февраль 2024'!$D$6:$D$1413,$B184,'февраль 2024'!$J$6:$J$1413,D$1)</f>
        <v>0</v>
      </c>
      <c r="E184" s="80">
        <f>SUMIFS('февраль 2024'!$G$6:$G$1413,'февраль 2024'!$D$6:$D$1413,$B184,'февраль 2024'!$J$6:$J$1413,E$1)</f>
        <v>0</v>
      </c>
      <c r="F184" s="80">
        <f>SUMIFS('февраль 2024'!$G$6:$G$1413,'февраль 2024'!$D$6:$D$1413,$B184,'февраль 2024'!$J$6:$J$1413,F$1)</f>
        <v>0</v>
      </c>
      <c r="G184" s="80">
        <f>SUMIFS('февраль 2024'!$G$6:$G$1413,'февраль 2024'!$D$6:$D$1413,$B184,'февраль 2024'!$J$6:$J$1413,G$1)</f>
        <v>0</v>
      </c>
      <c r="H184" s="80">
        <f>SUMIFS('февраль 2024'!$G$6:$G$1413,'февраль 2024'!$D$6:$D$1413,$B184,'февраль 2024'!$J$6:$J$1413,H$1)</f>
        <v>0</v>
      </c>
      <c r="I184" s="80">
        <f>SUMIFS('февраль 2024'!$G$6:$G$1413,'февраль 2024'!$D$6:$D$1413,$B184,'февраль 2024'!$J$6:$J$1413,I$1)</f>
        <v>0</v>
      </c>
      <c r="J184" s="80">
        <f>SUMIFS('февраль 2024'!$G$6:$G$1413,'февраль 2024'!$D$6:$D$1413,$B184,'февраль 2024'!$J$6:$J$1413,J$1)</f>
        <v>0</v>
      </c>
      <c r="K184" s="80">
        <f>SUMIFS('февраль 2024'!$G$6:$G$1413,'февраль 2024'!$D$6:$D$1413,$B184,'февраль 2024'!$J$6:$J$1413,K$1)</f>
        <v>0</v>
      </c>
      <c r="L184" s="80">
        <f>SUMIFS('февраль 2024'!$G$6:$G$1413,'февраль 2024'!$D$6:$D$1413,$B184,'февраль 2024'!$J$6:$J$1413,L$1)</f>
        <v>0</v>
      </c>
      <c r="M184" s="80">
        <f>SUMIFS('февраль 2024'!$G$6:$G$1413,'февраль 2024'!$D$6:$D$1413,$B184,'февраль 2024'!$J$6:$J$1413,M$1)</f>
        <v>0</v>
      </c>
      <c r="N184" s="80">
        <f>SUMIFS('февраль 2024'!$G$6:$G$1413,'февраль 2024'!$D$6:$D$1413,$B184,'февраль 2024'!$J$6:$J$1413,N$1)</f>
        <v>0</v>
      </c>
      <c r="O184" s="80">
        <f>SUMIFS('февраль 2024'!$G$6:$G$1413,'февраль 2024'!$D$6:$D$1413,$B184,'февраль 2024'!$J$6:$J$1413,O$1)</f>
        <v>0</v>
      </c>
      <c r="P184" s="80">
        <f>SUMIFS('февраль 2024'!$G$6:$G$1413,'февраль 2024'!$D$6:$D$1413,$B184,'февраль 2024'!$J$6:$J$1413,P$1)</f>
        <v>0</v>
      </c>
      <c r="Q184" s="80">
        <f>SUMIFS('февраль 2024'!$G$6:$G$1413,'февраль 2024'!$D$6:$D$1413,$B184,'февраль 2024'!$J$6:$J$1413,Q$1)</f>
        <v>0</v>
      </c>
      <c r="R184" s="80">
        <f>SUMIFS('февраль 2024'!$G$6:$G$1413,'февраль 2024'!$D$6:$D$1413,$B184,'февраль 2024'!$J$6:$J$1413,R$1)</f>
        <v>0</v>
      </c>
      <c r="S184" s="80">
        <f>SUMIFS('февраль 2024'!$G$6:$G$1413,'февраль 2024'!$D$6:$D$1413,$B184,'февраль 2024'!$J$6:$J$1413,S$1)</f>
        <v>0</v>
      </c>
      <c r="T184" s="80">
        <f>SUMIFS('февраль 2024'!$G$6:$G$1413,'февраль 2024'!$D$6:$D$1413,$B184,'февраль 2024'!$J$6:$J$1413,T$1)</f>
        <v>0</v>
      </c>
      <c r="U184" s="80">
        <f>SUMIFS('февраль 2024'!$G$6:$G$1413,'февраль 2024'!$D$6:$D$1413,$B184,'февраль 2024'!$J$6:$J$1413,U$1)</f>
        <v>0</v>
      </c>
      <c r="V184" s="80">
        <f>SUMIFS('февраль 2024'!$G$6:$G$1413,'февраль 2024'!$D$6:$D$1413,$B184,'февраль 2024'!$J$6:$J$1413,V$1)</f>
        <v>0</v>
      </c>
      <c r="W184" s="80">
        <f>SUMIFS('февраль 2024'!$G$6:$G$1413,'февраль 2024'!$D$6:$D$1413,$B184,'февраль 2024'!$J$6:$J$1413,W$1)</f>
        <v>0</v>
      </c>
      <c r="X184" s="80">
        <f>SUMIFS('февраль 2024'!$G$6:$G$1413,'февраль 2024'!$D$6:$D$1413,$B184,'февраль 2024'!$J$6:$J$1413,X$1)</f>
        <v>0</v>
      </c>
      <c r="Y184" s="80">
        <f>SUMIFS('февраль 2024'!$G$6:$G$1413,'февраль 2024'!$D$6:$D$1413,$B184,'февраль 2024'!$J$6:$J$1413,Y$1)</f>
        <v>0</v>
      </c>
      <c r="Z184" s="80">
        <f>SUMIFS('февраль 2024'!$G$6:$G$1413,'февраль 2024'!$D$6:$D$1413,$B184,'февраль 2024'!$J$6:$J$1413,Z$1)</f>
        <v>0</v>
      </c>
      <c r="AA184" s="80">
        <f>SUMIFS('февраль 2024'!$G$6:$G$1413,'февраль 2024'!$D$6:$D$1413,$B184,'февраль 2024'!$J$6:$J$1413,AA$1)</f>
        <v>0</v>
      </c>
      <c r="AB184" s="80">
        <f>SUMIFS('февраль 2024'!$G$6:$G$1413,'февраль 2024'!$D$6:$D$1413,$B184,'февраль 2024'!$J$6:$J$1413,AB$1)</f>
        <v>0</v>
      </c>
      <c r="AC184" s="80">
        <f>SUMIFS('февраль 2024'!$G$6:$G$1413,'февраль 2024'!$D$6:$D$1413,$B184,'февраль 2024'!$J$6:$J$1413,AC$1)</f>
        <v>0</v>
      </c>
      <c r="AD184" s="80">
        <f>SUMIFS('февраль 2024'!$G$6:$G$1413,'февраль 2024'!$D$6:$D$1413,$B184,'февраль 2024'!$J$6:$J$1413,AD$1)</f>
        <v>0</v>
      </c>
      <c r="AE184" s="80">
        <f>SUMIFS('февраль 2024'!$G$6:$G$1413,'февраль 2024'!$D$6:$D$1413,$B184,'февраль 2024'!$J$6:$J$1413,AE$1)</f>
        <v>0</v>
      </c>
      <c r="AF184" s="80">
        <f>SUMIFS('февраль 2024'!$G$6:$G$1413,'февраль 2024'!$D$6:$D$1413,$B184,'февраль 2024'!$J$6:$J$1413,AF$1)</f>
        <v>0</v>
      </c>
      <c r="AG184" s="80">
        <f>SUMIFS('февраль 2024'!$G$6:$G$1413,'февраль 2024'!$D$6:$D$1413,$B184,'февраль 2024'!$J$6:$J$1413,AG$1)</f>
        <v>0</v>
      </c>
      <c r="AH184" s="80">
        <f>SUMIFS('февраль 2024'!$G$6:$G$1413,'февраль 2024'!$D$6:$D$1413,$B184,'февраль 2024'!$J$6:$J$1413,AH$1)</f>
        <v>0</v>
      </c>
      <c r="AI184" s="87"/>
    </row>
    <row r="185" spans="2:35" ht="15" hidden="1" customHeight="1" x14ac:dyDescent="0.25">
      <c r="B185" s="89"/>
      <c r="C185" s="88"/>
      <c r="D185" s="80">
        <f>SUMIFS('февраль 2024'!$G$6:$G$1413,'февраль 2024'!$D$6:$D$1413,$B185,'февраль 2024'!$J$6:$J$1413,D$1)</f>
        <v>0</v>
      </c>
      <c r="E185" s="80">
        <f>SUMIFS('февраль 2024'!$G$6:$G$1413,'февраль 2024'!$D$6:$D$1413,$B185,'февраль 2024'!$J$6:$J$1413,E$1)</f>
        <v>0</v>
      </c>
      <c r="F185" s="80">
        <f>SUMIFS('февраль 2024'!$G$6:$G$1413,'февраль 2024'!$D$6:$D$1413,$B185,'февраль 2024'!$J$6:$J$1413,F$1)</f>
        <v>0</v>
      </c>
      <c r="G185" s="80">
        <f>SUMIFS('февраль 2024'!$G$6:$G$1413,'февраль 2024'!$D$6:$D$1413,$B185,'февраль 2024'!$J$6:$J$1413,G$1)</f>
        <v>0</v>
      </c>
      <c r="H185" s="80">
        <f>SUMIFS('февраль 2024'!$G$6:$G$1413,'февраль 2024'!$D$6:$D$1413,$B185,'февраль 2024'!$J$6:$J$1413,H$1)</f>
        <v>0</v>
      </c>
      <c r="I185" s="80">
        <f>SUMIFS('февраль 2024'!$G$6:$G$1413,'февраль 2024'!$D$6:$D$1413,$B185,'февраль 2024'!$J$6:$J$1413,I$1)</f>
        <v>0</v>
      </c>
      <c r="J185" s="80">
        <f>SUMIFS('февраль 2024'!$G$6:$G$1413,'февраль 2024'!$D$6:$D$1413,$B185,'февраль 2024'!$J$6:$J$1413,J$1)</f>
        <v>0</v>
      </c>
      <c r="K185" s="80">
        <f>SUMIFS('февраль 2024'!$G$6:$G$1413,'февраль 2024'!$D$6:$D$1413,$B185,'февраль 2024'!$J$6:$J$1413,K$1)</f>
        <v>0</v>
      </c>
      <c r="L185" s="80">
        <f>SUMIFS('февраль 2024'!$G$6:$G$1413,'февраль 2024'!$D$6:$D$1413,$B185,'февраль 2024'!$J$6:$J$1413,L$1)</f>
        <v>0</v>
      </c>
      <c r="M185" s="80">
        <f>SUMIFS('февраль 2024'!$G$6:$G$1413,'февраль 2024'!$D$6:$D$1413,$B185,'февраль 2024'!$J$6:$J$1413,M$1)</f>
        <v>0</v>
      </c>
      <c r="N185" s="80">
        <f>SUMIFS('февраль 2024'!$G$6:$G$1413,'февраль 2024'!$D$6:$D$1413,$B185,'февраль 2024'!$J$6:$J$1413,N$1)</f>
        <v>0</v>
      </c>
      <c r="O185" s="80">
        <f>SUMIFS('февраль 2024'!$G$6:$G$1413,'февраль 2024'!$D$6:$D$1413,$B185,'февраль 2024'!$J$6:$J$1413,O$1)</f>
        <v>0</v>
      </c>
      <c r="P185" s="80">
        <f>SUMIFS('февраль 2024'!$G$6:$G$1413,'февраль 2024'!$D$6:$D$1413,$B185,'февраль 2024'!$J$6:$J$1413,P$1)</f>
        <v>0</v>
      </c>
      <c r="Q185" s="80">
        <f>SUMIFS('февраль 2024'!$G$6:$G$1413,'февраль 2024'!$D$6:$D$1413,$B185,'февраль 2024'!$J$6:$J$1413,Q$1)</f>
        <v>0</v>
      </c>
      <c r="R185" s="80">
        <f>SUMIFS('февраль 2024'!$G$6:$G$1413,'февраль 2024'!$D$6:$D$1413,$B185,'февраль 2024'!$J$6:$J$1413,R$1)</f>
        <v>0</v>
      </c>
      <c r="S185" s="80">
        <f>SUMIFS('февраль 2024'!$G$6:$G$1413,'февраль 2024'!$D$6:$D$1413,$B185,'февраль 2024'!$J$6:$J$1413,S$1)</f>
        <v>0</v>
      </c>
      <c r="T185" s="80">
        <f>SUMIFS('февраль 2024'!$G$6:$G$1413,'февраль 2024'!$D$6:$D$1413,$B185,'февраль 2024'!$J$6:$J$1413,T$1)</f>
        <v>0</v>
      </c>
      <c r="U185" s="80">
        <f>SUMIFS('февраль 2024'!$G$6:$G$1413,'февраль 2024'!$D$6:$D$1413,$B185,'февраль 2024'!$J$6:$J$1413,U$1)</f>
        <v>0</v>
      </c>
      <c r="V185" s="80">
        <f>SUMIFS('февраль 2024'!$G$6:$G$1413,'февраль 2024'!$D$6:$D$1413,$B185,'февраль 2024'!$J$6:$J$1413,V$1)</f>
        <v>0</v>
      </c>
      <c r="W185" s="80">
        <f>SUMIFS('февраль 2024'!$G$6:$G$1413,'февраль 2024'!$D$6:$D$1413,$B185,'февраль 2024'!$J$6:$J$1413,W$1)</f>
        <v>0</v>
      </c>
      <c r="X185" s="80">
        <f>SUMIFS('февраль 2024'!$G$6:$G$1413,'февраль 2024'!$D$6:$D$1413,$B185,'февраль 2024'!$J$6:$J$1413,X$1)</f>
        <v>0</v>
      </c>
      <c r="Y185" s="80">
        <f>SUMIFS('февраль 2024'!$G$6:$G$1413,'февраль 2024'!$D$6:$D$1413,$B185,'февраль 2024'!$J$6:$J$1413,Y$1)</f>
        <v>0</v>
      </c>
      <c r="Z185" s="80">
        <f>SUMIFS('февраль 2024'!$G$6:$G$1413,'февраль 2024'!$D$6:$D$1413,$B185,'февраль 2024'!$J$6:$J$1413,Z$1)</f>
        <v>0</v>
      </c>
      <c r="AA185" s="80">
        <f>SUMIFS('февраль 2024'!$G$6:$G$1413,'февраль 2024'!$D$6:$D$1413,$B185,'февраль 2024'!$J$6:$J$1413,AA$1)</f>
        <v>0</v>
      </c>
      <c r="AB185" s="80">
        <f>SUMIFS('февраль 2024'!$G$6:$G$1413,'февраль 2024'!$D$6:$D$1413,$B185,'февраль 2024'!$J$6:$J$1413,AB$1)</f>
        <v>0</v>
      </c>
      <c r="AC185" s="80">
        <f>SUMIFS('февраль 2024'!$G$6:$G$1413,'февраль 2024'!$D$6:$D$1413,$B185,'февраль 2024'!$J$6:$J$1413,AC$1)</f>
        <v>0</v>
      </c>
      <c r="AD185" s="80">
        <f>SUMIFS('февраль 2024'!$G$6:$G$1413,'февраль 2024'!$D$6:$D$1413,$B185,'февраль 2024'!$J$6:$J$1413,AD$1)</f>
        <v>0</v>
      </c>
      <c r="AE185" s="80">
        <f>SUMIFS('февраль 2024'!$G$6:$G$1413,'февраль 2024'!$D$6:$D$1413,$B185,'февраль 2024'!$J$6:$J$1413,AE$1)</f>
        <v>0</v>
      </c>
      <c r="AF185" s="80">
        <f>SUMIFS('февраль 2024'!$G$6:$G$1413,'февраль 2024'!$D$6:$D$1413,$B185,'февраль 2024'!$J$6:$J$1413,AF$1)</f>
        <v>0</v>
      </c>
      <c r="AG185" s="80">
        <f>SUMIFS('февраль 2024'!$G$6:$G$1413,'февраль 2024'!$D$6:$D$1413,$B185,'февраль 2024'!$J$6:$J$1413,AG$1)</f>
        <v>0</v>
      </c>
      <c r="AH185" s="80">
        <f>SUMIFS('февраль 2024'!$G$6:$G$1413,'февраль 2024'!$D$6:$D$1413,$B185,'февраль 2024'!$J$6:$J$1413,AH$1)</f>
        <v>0</v>
      </c>
      <c r="AI185" s="87"/>
    </row>
    <row r="186" spans="2:35" ht="15" hidden="1" customHeight="1" x14ac:dyDescent="0.25">
      <c r="B186" s="89"/>
      <c r="C186" s="88"/>
      <c r="D186" s="80">
        <f>SUMIFS('февраль 2024'!$G$6:$G$1413,'февраль 2024'!$D$6:$D$1413,$B186,'февраль 2024'!$J$6:$J$1413,D$1)</f>
        <v>0</v>
      </c>
      <c r="E186" s="80">
        <f>SUMIFS('февраль 2024'!$G$6:$G$1413,'февраль 2024'!$D$6:$D$1413,$B186,'февраль 2024'!$J$6:$J$1413,E$1)</f>
        <v>0</v>
      </c>
      <c r="F186" s="80">
        <f>SUMIFS('февраль 2024'!$G$6:$G$1413,'февраль 2024'!$D$6:$D$1413,$B186,'февраль 2024'!$J$6:$J$1413,F$1)</f>
        <v>0</v>
      </c>
      <c r="G186" s="80">
        <f>SUMIFS('февраль 2024'!$G$6:$G$1413,'февраль 2024'!$D$6:$D$1413,$B186,'февраль 2024'!$J$6:$J$1413,G$1)</f>
        <v>0</v>
      </c>
      <c r="H186" s="80">
        <f>SUMIFS('февраль 2024'!$G$6:$G$1413,'февраль 2024'!$D$6:$D$1413,$B186,'февраль 2024'!$J$6:$J$1413,H$1)</f>
        <v>0</v>
      </c>
      <c r="I186" s="80">
        <f>SUMIFS('февраль 2024'!$G$6:$G$1413,'февраль 2024'!$D$6:$D$1413,$B186,'февраль 2024'!$J$6:$J$1413,I$1)</f>
        <v>0</v>
      </c>
      <c r="J186" s="80">
        <f>SUMIFS('февраль 2024'!$G$6:$G$1413,'февраль 2024'!$D$6:$D$1413,$B186,'февраль 2024'!$J$6:$J$1413,J$1)</f>
        <v>0</v>
      </c>
      <c r="K186" s="80">
        <f>SUMIFS('февраль 2024'!$G$6:$G$1413,'февраль 2024'!$D$6:$D$1413,$B186,'февраль 2024'!$J$6:$J$1413,K$1)</f>
        <v>0</v>
      </c>
      <c r="L186" s="80">
        <f>SUMIFS('февраль 2024'!$G$6:$G$1413,'февраль 2024'!$D$6:$D$1413,$B186,'февраль 2024'!$J$6:$J$1413,L$1)</f>
        <v>0</v>
      </c>
      <c r="M186" s="80">
        <f>SUMIFS('февраль 2024'!$G$6:$G$1413,'февраль 2024'!$D$6:$D$1413,$B186,'февраль 2024'!$J$6:$J$1413,M$1)</f>
        <v>0</v>
      </c>
      <c r="N186" s="80">
        <f>SUMIFS('февраль 2024'!$G$6:$G$1413,'февраль 2024'!$D$6:$D$1413,$B186,'февраль 2024'!$J$6:$J$1413,N$1)</f>
        <v>0</v>
      </c>
      <c r="O186" s="80">
        <f>SUMIFS('февраль 2024'!$G$6:$G$1413,'февраль 2024'!$D$6:$D$1413,$B186,'февраль 2024'!$J$6:$J$1413,O$1)</f>
        <v>0</v>
      </c>
      <c r="P186" s="80">
        <f>SUMIFS('февраль 2024'!$G$6:$G$1413,'февраль 2024'!$D$6:$D$1413,$B186,'февраль 2024'!$J$6:$J$1413,P$1)</f>
        <v>0</v>
      </c>
      <c r="Q186" s="80">
        <f>SUMIFS('февраль 2024'!$G$6:$G$1413,'февраль 2024'!$D$6:$D$1413,$B186,'февраль 2024'!$J$6:$J$1413,Q$1)</f>
        <v>0</v>
      </c>
      <c r="R186" s="80">
        <f>SUMIFS('февраль 2024'!$G$6:$G$1413,'февраль 2024'!$D$6:$D$1413,$B186,'февраль 2024'!$J$6:$J$1413,R$1)</f>
        <v>0</v>
      </c>
      <c r="S186" s="80">
        <f>SUMIFS('февраль 2024'!$G$6:$G$1413,'февраль 2024'!$D$6:$D$1413,$B186,'февраль 2024'!$J$6:$J$1413,S$1)</f>
        <v>0</v>
      </c>
      <c r="T186" s="80">
        <f>SUMIFS('февраль 2024'!$G$6:$G$1413,'февраль 2024'!$D$6:$D$1413,$B186,'февраль 2024'!$J$6:$J$1413,T$1)</f>
        <v>0</v>
      </c>
      <c r="U186" s="80">
        <f>SUMIFS('февраль 2024'!$G$6:$G$1413,'февраль 2024'!$D$6:$D$1413,$B186,'февраль 2024'!$J$6:$J$1413,U$1)</f>
        <v>0</v>
      </c>
      <c r="V186" s="80">
        <f>SUMIFS('февраль 2024'!$G$6:$G$1413,'февраль 2024'!$D$6:$D$1413,$B186,'февраль 2024'!$J$6:$J$1413,V$1)</f>
        <v>0</v>
      </c>
      <c r="W186" s="80">
        <f>SUMIFS('февраль 2024'!$G$6:$G$1413,'февраль 2024'!$D$6:$D$1413,$B186,'февраль 2024'!$J$6:$J$1413,W$1)</f>
        <v>0</v>
      </c>
      <c r="X186" s="80">
        <f>SUMIFS('февраль 2024'!$G$6:$G$1413,'февраль 2024'!$D$6:$D$1413,$B186,'февраль 2024'!$J$6:$J$1413,X$1)</f>
        <v>0</v>
      </c>
      <c r="Y186" s="80">
        <f>SUMIFS('февраль 2024'!$G$6:$G$1413,'февраль 2024'!$D$6:$D$1413,$B186,'февраль 2024'!$J$6:$J$1413,Y$1)</f>
        <v>0</v>
      </c>
      <c r="Z186" s="80">
        <f>SUMIFS('февраль 2024'!$G$6:$G$1413,'февраль 2024'!$D$6:$D$1413,$B186,'февраль 2024'!$J$6:$J$1413,Z$1)</f>
        <v>0</v>
      </c>
      <c r="AA186" s="80">
        <f>SUMIFS('февраль 2024'!$G$6:$G$1413,'февраль 2024'!$D$6:$D$1413,$B186,'февраль 2024'!$J$6:$J$1413,AA$1)</f>
        <v>0</v>
      </c>
      <c r="AB186" s="80">
        <f>SUMIFS('февраль 2024'!$G$6:$G$1413,'февраль 2024'!$D$6:$D$1413,$B186,'февраль 2024'!$J$6:$J$1413,AB$1)</f>
        <v>0</v>
      </c>
      <c r="AC186" s="80">
        <f>SUMIFS('февраль 2024'!$G$6:$G$1413,'февраль 2024'!$D$6:$D$1413,$B186,'февраль 2024'!$J$6:$J$1413,AC$1)</f>
        <v>0</v>
      </c>
      <c r="AD186" s="80">
        <f>SUMIFS('февраль 2024'!$G$6:$G$1413,'февраль 2024'!$D$6:$D$1413,$B186,'февраль 2024'!$J$6:$J$1413,AD$1)</f>
        <v>0</v>
      </c>
      <c r="AE186" s="80">
        <f>SUMIFS('февраль 2024'!$G$6:$G$1413,'февраль 2024'!$D$6:$D$1413,$B186,'февраль 2024'!$J$6:$J$1413,AE$1)</f>
        <v>0</v>
      </c>
      <c r="AF186" s="80">
        <f>SUMIFS('февраль 2024'!$G$6:$G$1413,'февраль 2024'!$D$6:$D$1413,$B186,'февраль 2024'!$J$6:$J$1413,AF$1)</f>
        <v>0</v>
      </c>
      <c r="AG186" s="80">
        <f>SUMIFS('февраль 2024'!$G$6:$G$1413,'февраль 2024'!$D$6:$D$1413,$B186,'февраль 2024'!$J$6:$J$1413,AG$1)</f>
        <v>0</v>
      </c>
      <c r="AH186" s="80">
        <f>SUMIFS('февраль 2024'!$G$6:$G$1413,'февраль 2024'!$D$6:$D$1413,$B186,'февраль 2024'!$J$6:$J$1413,AH$1)</f>
        <v>0</v>
      </c>
      <c r="AI186" s="87"/>
    </row>
    <row r="187" spans="2:35" ht="15" hidden="1" customHeight="1" x14ac:dyDescent="0.25">
      <c r="B187" s="89"/>
      <c r="C187" s="88"/>
      <c r="D187" s="80">
        <f>SUMIFS('февраль 2024'!$G$6:$G$1413,'февраль 2024'!$D$6:$D$1413,$B187,'февраль 2024'!$J$6:$J$1413,D$1)</f>
        <v>0</v>
      </c>
      <c r="E187" s="80">
        <f>SUMIFS('февраль 2024'!$G$6:$G$1413,'февраль 2024'!$D$6:$D$1413,$B187,'февраль 2024'!$J$6:$J$1413,E$1)</f>
        <v>0</v>
      </c>
      <c r="F187" s="80">
        <f>SUMIFS('февраль 2024'!$G$6:$G$1413,'февраль 2024'!$D$6:$D$1413,$B187,'февраль 2024'!$J$6:$J$1413,F$1)</f>
        <v>0</v>
      </c>
      <c r="G187" s="80">
        <f>SUMIFS('февраль 2024'!$G$6:$G$1413,'февраль 2024'!$D$6:$D$1413,$B187,'февраль 2024'!$J$6:$J$1413,G$1)</f>
        <v>0</v>
      </c>
      <c r="H187" s="80">
        <f>SUMIFS('февраль 2024'!$G$6:$G$1413,'февраль 2024'!$D$6:$D$1413,$B187,'февраль 2024'!$J$6:$J$1413,H$1)</f>
        <v>0</v>
      </c>
      <c r="I187" s="80">
        <f>SUMIFS('февраль 2024'!$G$6:$G$1413,'февраль 2024'!$D$6:$D$1413,$B187,'февраль 2024'!$J$6:$J$1413,I$1)</f>
        <v>0</v>
      </c>
      <c r="J187" s="80">
        <f>SUMIFS('февраль 2024'!$G$6:$G$1413,'февраль 2024'!$D$6:$D$1413,$B187,'февраль 2024'!$J$6:$J$1413,J$1)</f>
        <v>0</v>
      </c>
      <c r="K187" s="80">
        <f>SUMIFS('февраль 2024'!$G$6:$G$1413,'февраль 2024'!$D$6:$D$1413,$B187,'февраль 2024'!$J$6:$J$1413,K$1)</f>
        <v>0</v>
      </c>
      <c r="L187" s="80">
        <f>SUMIFS('февраль 2024'!$G$6:$G$1413,'февраль 2024'!$D$6:$D$1413,$B187,'февраль 2024'!$J$6:$J$1413,L$1)</f>
        <v>0</v>
      </c>
      <c r="M187" s="80">
        <f>SUMIFS('февраль 2024'!$G$6:$G$1413,'февраль 2024'!$D$6:$D$1413,$B187,'февраль 2024'!$J$6:$J$1413,M$1)</f>
        <v>0</v>
      </c>
      <c r="N187" s="80">
        <f>SUMIFS('февраль 2024'!$G$6:$G$1413,'февраль 2024'!$D$6:$D$1413,$B187,'февраль 2024'!$J$6:$J$1413,N$1)</f>
        <v>0</v>
      </c>
      <c r="O187" s="80">
        <f>SUMIFS('февраль 2024'!$G$6:$G$1413,'февраль 2024'!$D$6:$D$1413,$B187,'февраль 2024'!$J$6:$J$1413,O$1)</f>
        <v>0</v>
      </c>
      <c r="P187" s="80">
        <f>SUMIFS('февраль 2024'!$G$6:$G$1413,'февраль 2024'!$D$6:$D$1413,$B187,'февраль 2024'!$J$6:$J$1413,P$1)</f>
        <v>0</v>
      </c>
      <c r="Q187" s="80">
        <f>SUMIFS('февраль 2024'!$G$6:$G$1413,'февраль 2024'!$D$6:$D$1413,$B187,'февраль 2024'!$J$6:$J$1413,Q$1)</f>
        <v>0</v>
      </c>
      <c r="R187" s="80">
        <f>SUMIFS('февраль 2024'!$G$6:$G$1413,'февраль 2024'!$D$6:$D$1413,$B187,'февраль 2024'!$J$6:$J$1413,R$1)</f>
        <v>0</v>
      </c>
      <c r="S187" s="80">
        <f>SUMIFS('февраль 2024'!$G$6:$G$1413,'февраль 2024'!$D$6:$D$1413,$B187,'февраль 2024'!$J$6:$J$1413,S$1)</f>
        <v>0</v>
      </c>
      <c r="T187" s="80">
        <f>SUMIFS('февраль 2024'!$G$6:$G$1413,'февраль 2024'!$D$6:$D$1413,$B187,'февраль 2024'!$J$6:$J$1413,T$1)</f>
        <v>0</v>
      </c>
      <c r="U187" s="80">
        <f>SUMIFS('февраль 2024'!$G$6:$G$1413,'февраль 2024'!$D$6:$D$1413,$B187,'февраль 2024'!$J$6:$J$1413,U$1)</f>
        <v>0</v>
      </c>
      <c r="V187" s="80">
        <f>SUMIFS('февраль 2024'!$G$6:$G$1413,'февраль 2024'!$D$6:$D$1413,$B187,'февраль 2024'!$J$6:$J$1413,V$1)</f>
        <v>0</v>
      </c>
      <c r="W187" s="80">
        <f>SUMIFS('февраль 2024'!$G$6:$G$1413,'февраль 2024'!$D$6:$D$1413,$B187,'февраль 2024'!$J$6:$J$1413,W$1)</f>
        <v>0</v>
      </c>
      <c r="X187" s="80">
        <f>SUMIFS('февраль 2024'!$G$6:$G$1413,'февраль 2024'!$D$6:$D$1413,$B187,'февраль 2024'!$J$6:$J$1413,X$1)</f>
        <v>0</v>
      </c>
      <c r="Y187" s="80">
        <f>SUMIFS('февраль 2024'!$G$6:$G$1413,'февраль 2024'!$D$6:$D$1413,$B187,'февраль 2024'!$J$6:$J$1413,Y$1)</f>
        <v>0</v>
      </c>
      <c r="Z187" s="80">
        <f>SUMIFS('февраль 2024'!$G$6:$G$1413,'февраль 2024'!$D$6:$D$1413,$B187,'февраль 2024'!$J$6:$J$1413,Z$1)</f>
        <v>0</v>
      </c>
      <c r="AA187" s="80">
        <f>SUMIFS('февраль 2024'!$G$6:$G$1413,'февраль 2024'!$D$6:$D$1413,$B187,'февраль 2024'!$J$6:$J$1413,AA$1)</f>
        <v>0</v>
      </c>
      <c r="AB187" s="80">
        <f>SUMIFS('февраль 2024'!$G$6:$G$1413,'февраль 2024'!$D$6:$D$1413,$B187,'февраль 2024'!$J$6:$J$1413,AB$1)</f>
        <v>0</v>
      </c>
      <c r="AC187" s="80">
        <f>SUMIFS('февраль 2024'!$G$6:$G$1413,'февраль 2024'!$D$6:$D$1413,$B187,'февраль 2024'!$J$6:$J$1413,AC$1)</f>
        <v>0</v>
      </c>
      <c r="AD187" s="80">
        <f>SUMIFS('февраль 2024'!$G$6:$G$1413,'февраль 2024'!$D$6:$D$1413,$B187,'февраль 2024'!$J$6:$J$1413,AD$1)</f>
        <v>0</v>
      </c>
      <c r="AE187" s="80">
        <f>SUMIFS('февраль 2024'!$G$6:$G$1413,'февраль 2024'!$D$6:$D$1413,$B187,'февраль 2024'!$J$6:$J$1413,AE$1)</f>
        <v>0</v>
      </c>
      <c r="AF187" s="80">
        <f>SUMIFS('февраль 2024'!$G$6:$G$1413,'февраль 2024'!$D$6:$D$1413,$B187,'февраль 2024'!$J$6:$J$1413,AF$1)</f>
        <v>0</v>
      </c>
      <c r="AG187" s="80">
        <f>SUMIFS('февраль 2024'!$G$6:$G$1413,'февраль 2024'!$D$6:$D$1413,$B187,'февраль 2024'!$J$6:$J$1413,AG$1)</f>
        <v>0</v>
      </c>
      <c r="AH187" s="80">
        <f>SUMIFS('февраль 2024'!$G$6:$G$1413,'февраль 2024'!$D$6:$D$1413,$B187,'февраль 2024'!$J$6:$J$1413,AH$1)</f>
        <v>0</v>
      </c>
      <c r="AI187" s="87"/>
    </row>
    <row r="188" spans="2:35" ht="15" hidden="1" customHeight="1" x14ac:dyDescent="0.25">
      <c r="B188" s="89"/>
      <c r="C188" s="88"/>
      <c r="D188" s="80">
        <f>SUMIFS('февраль 2024'!$G$6:$G$1413,'февраль 2024'!$D$6:$D$1413,$B188,'февраль 2024'!$J$6:$J$1413,D$1)</f>
        <v>0</v>
      </c>
      <c r="E188" s="80">
        <f>SUMIFS('февраль 2024'!$G$6:$G$1413,'февраль 2024'!$D$6:$D$1413,$B188,'февраль 2024'!$J$6:$J$1413,E$1)</f>
        <v>0</v>
      </c>
      <c r="F188" s="80">
        <f>SUMIFS('февраль 2024'!$G$6:$G$1413,'февраль 2024'!$D$6:$D$1413,$B188,'февраль 2024'!$J$6:$J$1413,F$1)</f>
        <v>0</v>
      </c>
      <c r="G188" s="80">
        <f>SUMIFS('февраль 2024'!$G$6:$G$1413,'февраль 2024'!$D$6:$D$1413,$B188,'февраль 2024'!$J$6:$J$1413,G$1)</f>
        <v>0</v>
      </c>
      <c r="H188" s="80">
        <f>SUMIFS('февраль 2024'!$G$6:$G$1413,'февраль 2024'!$D$6:$D$1413,$B188,'февраль 2024'!$J$6:$J$1413,H$1)</f>
        <v>0</v>
      </c>
      <c r="I188" s="80">
        <f>SUMIFS('февраль 2024'!$G$6:$G$1413,'февраль 2024'!$D$6:$D$1413,$B188,'февраль 2024'!$J$6:$J$1413,I$1)</f>
        <v>0</v>
      </c>
      <c r="J188" s="80">
        <f>SUMIFS('февраль 2024'!$G$6:$G$1413,'февраль 2024'!$D$6:$D$1413,$B188,'февраль 2024'!$J$6:$J$1413,J$1)</f>
        <v>0</v>
      </c>
      <c r="K188" s="80">
        <f>SUMIFS('февраль 2024'!$G$6:$G$1413,'февраль 2024'!$D$6:$D$1413,$B188,'февраль 2024'!$J$6:$J$1413,K$1)</f>
        <v>0</v>
      </c>
      <c r="L188" s="80">
        <f>SUMIFS('февраль 2024'!$G$6:$G$1413,'февраль 2024'!$D$6:$D$1413,$B188,'февраль 2024'!$J$6:$J$1413,L$1)</f>
        <v>0</v>
      </c>
      <c r="M188" s="80">
        <f>SUMIFS('февраль 2024'!$G$6:$G$1413,'февраль 2024'!$D$6:$D$1413,$B188,'февраль 2024'!$J$6:$J$1413,M$1)</f>
        <v>0</v>
      </c>
      <c r="N188" s="80">
        <f>SUMIFS('февраль 2024'!$G$6:$G$1413,'февраль 2024'!$D$6:$D$1413,$B188,'февраль 2024'!$J$6:$J$1413,N$1)</f>
        <v>0</v>
      </c>
      <c r="O188" s="80">
        <f>SUMIFS('февраль 2024'!$G$6:$G$1413,'февраль 2024'!$D$6:$D$1413,$B188,'февраль 2024'!$J$6:$J$1413,O$1)</f>
        <v>0</v>
      </c>
      <c r="P188" s="80">
        <f>SUMIFS('февраль 2024'!$G$6:$G$1413,'февраль 2024'!$D$6:$D$1413,$B188,'февраль 2024'!$J$6:$J$1413,P$1)</f>
        <v>0</v>
      </c>
      <c r="Q188" s="80">
        <f>SUMIFS('февраль 2024'!$G$6:$G$1413,'февраль 2024'!$D$6:$D$1413,$B188,'февраль 2024'!$J$6:$J$1413,Q$1)</f>
        <v>0</v>
      </c>
      <c r="R188" s="80">
        <f>SUMIFS('февраль 2024'!$G$6:$G$1413,'февраль 2024'!$D$6:$D$1413,$B188,'февраль 2024'!$J$6:$J$1413,R$1)</f>
        <v>0</v>
      </c>
      <c r="S188" s="80">
        <f>SUMIFS('февраль 2024'!$G$6:$G$1413,'февраль 2024'!$D$6:$D$1413,$B188,'февраль 2024'!$J$6:$J$1413,S$1)</f>
        <v>0</v>
      </c>
      <c r="T188" s="80">
        <f>SUMIFS('февраль 2024'!$G$6:$G$1413,'февраль 2024'!$D$6:$D$1413,$B188,'февраль 2024'!$J$6:$J$1413,T$1)</f>
        <v>0</v>
      </c>
      <c r="U188" s="80">
        <f>SUMIFS('февраль 2024'!$G$6:$G$1413,'февраль 2024'!$D$6:$D$1413,$B188,'февраль 2024'!$J$6:$J$1413,U$1)</f>
        <v>0</v>
      </c>
      <c r="V188" s="80">
        <f>SUMIFS('февраль 2024'!$G$6:$G$1413,'февраль 2024'!$D$6:$D$1413,$B188,'февраль 2024'!$J$6:$J$1413,V$1)</f>
        <v>0</v>
      </c>
      <c r="W188" s="80">
        <f>SUMIFS('февраль 2024'!$G$6:$G$1413,'февраль 2024'!$D$6:$D$1413,$B188,'февраль 2024'!$J$6:$J$1413,W$1)</f>
        <v>0</v>
      </c>
      <c r="X188" s="80">
        <f>SUMIFS('февраль 2024'!$G$6:$G$1413,'февраль 2024'!$D$6:$D$1413,$B188,'февраль 2024'!$J$6:$J$1413,X$1)</f>
        <v>0</v>
      </c>
      <c r="Y188" s="80">
        <f>SUMIFS('февраль 2024'!$G$6:$G$1413,'февраль 2024'!$D$6:$D$1413,$B188,'февраль 2024'!$J$6:$J$1413,Y$1)</f>
        <v>0</v>
      </c>
      <c r="Z188" s="80">
        <f>SUMIFS('февраль 2024'!$G$6:$G$1413,'февраль 2024'!$D$6:$D$1413,$B188,'февраль 2024'!$J$6:$J$1413,Z$1)</f>
        <v>0</v>
      </c>
      <c r="AA188" s="80">
        <f>SUMIFS('февраль 2024'!$G$6:$G$1413,'февраль 2024'!$D$6:$D$1413,$B188,'февраль 2024'!$J$6:$J$1413,AA$1)</f>
        <v>0</v>
      </c>
      <c r="AB188" s="80">
        <f>SUMIFS('февраль 2024'!$G$6:$G$1413,'февраль 2024'!$D$6:$D$1413,$B188,'февраль 2024'!$J$6:$J$1413,AB$1)</f>
        <v>0</v>
      </c>
      <c r="AC188" s="80">
        <f>SUMIFS('февраль 2024'!$G$6:$G$1413,'февраль 2024'!$D$6:$D$1413,$B188,'февраль 2024'!$J$6:$J$1413,AC$1)</f>
        <v>0</v>
      </c>
      <c r="AD188" s="80">
        <f>SUMIFS('февраль 2024'!$G$6:$G$1413,'февраль 2024'!$D$6:$D$1413,$B188,'февраль 2024'!$J$6:$J$1413,AD$1)</f>
        <v>0</v>
      </c>
      <c r="AE188" s="80">
        <f>SUMIFS('февраль 2024'!$G$6:$G$1413,'февраль 2024'!$D$6:$D$1413,$B188,'февраль 2024'!$J$6:$J$1413,AE$1)</f>
        <v>0</v>
      </c>
      <c r="AF188" s="80">
        <f>SUMIFS('февраль 2024'!$G$6:$G$1413,'февраль 2024'!$D$6:$D$1413,$B188,'февраль 2024'!$J$6:$J$1413,AF$1)</f>
        <v>0</v>
      </c>
      <c r="AG188" s="80">
        <f>SUMIFS('февраль 2024'!$G$6:$G$1413,'февраль 2024'!$D$6:$D$1413,$B188,'февраль 2024'!$J$6:$J$1413,AG$1)</f>
        <v>0</v>
      </c>
      <c r="AH188" s="80">
        <f>SUMIFS('февраль 2024'!$G$6:$G$1413,'февраль 2024'!$D$6:$D$1413,$B188,'февраль 2024'!$J$6:$J$1413,AH$1)</f>
        <v>0</v>
      </c>
      <c r="AI188" s="87"/>
    </row>
    <row r="189" spans="2:35" ht="15" hidden="1" customHeight="1" x14ac:dyDescent="0.25">
      <c r="B189" s="89"/>
      <c r="C189" s="88"/>
      <c r="D189" s="80">
        <f>SUMIFS('февраль 2024'!$G$6:$G$1413,'февраль 2024'!$D$6:$D$1413,$B189,'февраль 2024'!$J$6:$J$1413,D$1)</f>
        <v>0</v>
      </c>
      <c r="E189" s="80">
        <f>SUMIFS('февраль 2024'!$G$6:$G$1413,'февраль 2024'!$D$6:$D$1413,$B189,'февраль 2024'!$J$6:$J$1413,E$1)</f>
        <v>0</v>
      </c>
      <c r="F189" s="80">
        <f>SUMIFS('февраль 2024'!$G$6:$G$1413,'февраль 2024'!$D$6:$D$1413,$B189,'февраль 2024'!$J$6:$J$1413,F$1)</f>
        <v>0</v>
      </c>
      <c r="G189" s="80">
        <f>SUMIFS('февраль 2024'!$G$6:$G$1413,'февраль 2024'!$D$6:$D$1413,$B189,'февраль 2024'!$J$6:$J$1413,G$1)</f>
        <v>0</v>
      </c>
      <c r="H189" s="80">
        <f>SUMIFS('февраль 2024'!$G$6:$G$1413,'февраль 2024'!$D$6:$D$1413,$B189,'февраль 2024'!$J$6:$J$1413,H$1)</f>
        <v>0</v>
      </c>
      <c r="I189" s="80">
        <f>SUMIFS('февраль 2024'!$G$6:$G$1413,'февраль 2024'!$D$6:$D$1413,$B189,'февраль 2024'!$J$6:$J$1413,I$1)</f>
        <v>0</v>
      </c>
      <c r="J189" s="80">
        <f>SUMIFS('февраль 2024'!$G$6:$G$1413,'февраль 2024'!$D$6:$D$1413,$B189,'февраль 2024'!$J$6:$J$1413,J$1)</f>
        <v>0</v>
      </c>
      <c r="K189" s="80">
        <f>SUMIFS('февраль 2024'!$G$6:$G$1413,'февраль 2024'!$D$6:$D$1413,$B189,'февраль 2024'!$J$6:$J$1413,K$1)</f>
        <v>0</v>
      </c>
      <c r="L189" s="80">
        <f>SUMIFS('февраль 2024'!$G$6:$G$1413,'февраль 2024'!$D$6:$D$1413,$B189,'февраль 2024'!$J$6:$J$1413,L$1)</f>
        <v>0</v>
      </c>
      <c r="M189" s="80">
        <f>SUMIFS('февраль 2024'!$G$6:$G$1413,'февраль 2024'!$D$6:$D$1413,$B189,'февраль 2024'!$J$6:$J$1413,M$1)</f>
        <v>0</v>
      </c>
      <c r="N189" s="80">
        <f>SUMIFS('февраль 2024'!$G$6:$G$1413,'февраль 2024'!$D$6:$D$1413,$B189,'февраль 2024'!$J$6:$J$1413,N$1)</f>
        <v>0</v>
      </c>
      <c r="O189" s="80">
        <f>SUMIFS('февраль 2024'!$G$6:$G$1413,'февраль 2024'!$D$6:$D$1413,$B189,'февраль 2024'!$J$6:$J$1413,O$1)</f>
        <v>0</v>
      </c>
      <c r="P189" s="80">
        <f>SUMIFS('февраль 2024'!$G$6:$G$1413,'февраль 2024'!$D$6:$D$1413,$B189,'февраль 2024'!$J$6:$J$1413,P$1)</f>
        <v>0</v>
      </c>
      <c r="Q189" s="80">
        <f>SUMIFS('февраль 2024'!$G$6:$G$1413,'февраль 2024'!$D$6:$D$1413,$B189,'февраль 2024'!$J$6:$J$1413,Q$1)</f>
        <v>0</v>
      </c>
      <c r="R189" s="80">
        <f>SUMIFS('февраль 2024'!$G$6:$G$1413,'февраль 2024'!$D$6:$D$1413,$B189,'февраль 2024'!$J$6:$J$1413,R$1)</f>
        <v>0</v>
      </c>
      <c r="S189" s="80">
        <f>SUMIFS('февраль 2024'!$G$6:$G$1413,'февраль 2024'!$D$6:$D$1413,$B189,'февраль 2024'!$J$6:$J$1413,S$1)</f>
        <v>0</v>
      </c>
      <c r="T189" s="80">
        <f>SUMIFS('февраль 2024'!$G$6:$G$1413,'февраль 2024'!$D$6:$D$1413,$B189,'февраль 2024'!$J$6:$J$1413,T$1)</f>
        <v>0</v>
      </c>
      <c r="U189" s="80">
        <f>SUMIFS('февраль 2024'!$G$6:$G$1413,'февраль 2024'!$D$6:$D$1413,$B189,'февраль 2024'!$J$6:$J$1413,U$1)</f>
        <v>0</v>
      </c>
      <c r="V189" s="80">
        <f>SUMIFS('февраль 2024'!$G$6:$G$1413,'февраль 2024'!$D$6:$D$1413,$B189,'февраль 2024'!$J$6:$J$1413,V$1)</f>
        <v>0</v>
      </c>
      <c r="W189" s="80">
        <f>SUMIFS('февраль 2024'!$G$6:$G$1413,'февраль 2024'!$D$6:$D$1413,$B189,'февраль 2024'!$J$6:$J$1413,W$1)</f>
        <v>0</v>
      </c>
      <c r="X189" s="80">
        <f>SUMIFS('февраль 2024'!$G$6:$G$1413,'февраль 2024'!$D$6:$D$1413,$B189,'февраль 2024'!$J$6:$J$1413,X$1)</f>
        <v>0</v>
      </c>
      <c r="Y189" s="80">
        <f>SUMIFS('февраль 2024'!$G$6:$G$1413,'февраль 2024'!$D$6:$D$1413,$B189,'февраль 2024'!$J$6:$J$1413,Y$1)</f>
        <v>0</v>
      </c>
      <c r="Z189" s="80">
        <f>SUMIFS('февраль 2024'!$G$6:$G$1413,'февраль 2024'!$D$6:$D$1413,$B189,'февраль 2024'!$J$6:$J$1413,Z$1)</f>
        <v>0</v>
      </c>
      <c r="AA189" s="80">
        <f>SUMIFS('февраль 2024'!$G$6:$G$1413,'февраль 2024'!$D$6:$D$1413,$B189,'февраль 2024'!$J$6:$J$1413,AA$1)</f>
        <v>0</v>
      </c>
      <c r="AB189" s="80">
        <f>SUMIFS('февраль 2024'!$G$6:$G$1413,'февраль 2024'!$D$6:$D$1413,$B189,'февраль 2024'!$J$6:$J$1413,AB$1)</f>
        <v>0</v>
      </c>
      <c r="AC189" s="80">
        <f>SUMIFS('февраль 2024'!$G$6:$G$1413,'февраль 2024'!$D$6:$D$1413,$B189,'февраль 2024'!$J$6:$J$1413,AC$1)</f>
        <v>0</v>
      </c>
      <c r="AD189" s="80">
        <f>SUMIFS('февраль 2024'!$G$6:$G$1413,'февраль 2024'!$D$6:$D$1413,$B189,'февраль 2024'!$J$6:$J$1413,AD$1)</f>
        <v>0</v>
      </c>
      <c r="AE189" s="80">
        <f>SUMIFS('февраль 2024'!$G$6:$G$1413,'февраль 2024'!$D$6:$D$1413,$B189,'февраль 2024'!$J$6:$J$1413,AE$1)</f>
        <v>0</v>
      </c>
      <c r="AF189" s="80">
        <f>SUMIFS('февраль 2024'!$G$6:$G$1413,'февраль 2024'!$D$6:$D$1413,$B189,'февраль 2024'!$J$6:$J$1413,AF$1)</f>
        <v>0</v>
      </c>
      <c r="AG189" s="80">
        <f>SUMIFS('февраль 2024'!$G$6:$G$1413,'февраль 2024'!$D$6:$D$1413,$B189,'февраль 2024'!$J$6:$J$1413,AG$1)</f>
        <v>0</v>
      </c>
      <c r="AH189" s="80">
        <f>SUMIFS('февраль 2024'!$G$6:$G$1413,'февраль 2024'!$D$6:$D$1413,$B189,'февраль 2024'!$J$6:$J$1413,AH$1)</f>
        <v>0</v>
      </c>
      <c r="AI189" s="87"/>
    </row>
    <row r="190" spans="2:35" ht="15" hidden="1" customHeight="1" x14ac:dyDescent="0.25">
      <c r="B190" s="89"/>
      <c r="C190" s="88"/>
      <c r="D190" s="80">
        <f>SUMIFS('февраль 2024'!$G$6:$G$1413,'февраль 2024'!$D$6:$D$1413,$B190,'февраль 2024'!$J$6:$J$1413,D$1)</f>
        <v>0</v>
      </c>
      <c r="E190" s="80">
        <f>SUMIFS('февраль 2024'!$G$6:$G$1413,'февраль 2024'!$D$6:$D$1413,$B190,'февраль 2024'!$J$6:$J$1413,E$1)</f>
        <v>0</v>
      </c>
      <c r="F190" s="80">
        <f>SUMIFS('февраль 2024'!$G$6:$G$1413,'февраль 2024'!$D$6:$D$1413,$B190,'февраль 2024'!$J$6:$J$1413,F$1)</f>
        <v>0</v>
      </c>
      <c r="G190" s="80">
        <f>SUMIFS('февраль 2024'!$G$6:$G$1413,'февраль 2024'!$D$6:$D$1413,$B190,'февраль 2024'!$J$6:$J$1413,G$1)</f>
        <v>0</v>
      </c>
      <c r="H190" s="80">
        <f>SUMIFS('февраль 2024'!$G$6:$G$1413,'февраль 2024'!$D$6:$D$1413,$B190,'февраль 2024'!$J$6:$J$1413,H$1)</f>
        <v>0</v>
      </c>
      <c r="I190" s="80">
        <f>SUMIFS('февраль 2024'!$G$6:$G$1413,'февраль 2024'!$D$6:$D$1413,$B190,'февраль 2024'!$J$6:$J$1413,I$1)</f>
        <v>0</v>
      </c>
      <c r="J190" s="80">
        <f>SUMIFS('февраль 2024'!$G$6:$G$1413,'февраль 2024'!$D$6:$D$1413,$B190,'февраль 2024'!$J$6:$J$1413,J$1)</f>
        <v>0</v>
      </c>
      <c r="K190" s="80">
        <f>SUMIFS('февраль 2024'!$G$6:$G$1413,'февраль 2024'!$D$6:$D$1413,$B190,'февраль 2024'!$J$6:$J$1413,K$1)</f>
        <v>0</v>
      </c>
      <c r="L190" s="80">
        <f>SUMIFS('февраль 2024'!$G$6:$G$1413,'февраль 2024'!$D$6:$D$1413,$B190,'февраль 2024'!$J$6:$J$1413,L$1)</f>
        <v>0</v>
      </c>
      <c r="M190" s="80">
        <f>SUMIFS('февраль 2024'!$G$6:$G$1413,'февраль 2024'!$D$6:$D$1413,$B190,'февраль 2024'!$J$6:$J$1413,M$1)</f>
        <v>0</v>
      </c>
      <c r="N190" s="80">
        <f>SUMIFS('февраль 2024'!$G$6:$G$1413,'февраль 2024'!$D$6:$D$1413,$B190,'февраль 2024'!$J$6:$J$1413,N$1)</f>
        <v>0</v>
      </c>
      <c r="O190" s="80">
        <f>SUMIFS('февраль 2024'!$G$6:$G$1413,'февраль 2024'!$D$6:$D$1413,$B190,'февраль 2024'!$J$6:$J$1413,O$1)</f>
        <v>0</v>
      </c>
      <c r="P190" s="80">
        <f>SUMIFS('февраль 2024'!$G$6:$G$1413,'февраль 2024'!$D$6:$D$1413,$B190,'февраль 2024'!$J$6:$J$1413,P$1)</f>
        <v>0</v>
      </c>
      <c r="Q190" s="80">
        <f>SUMIFS('февраль 2024'!$G$6:$G$1413,'февраль 2024'!$D$6:$D$1413,$B190,'февраль 2024'!$J$6:$J$1413,Q$1)</f>
        <v>0</v>
      </c>
      <c r="R190" s="80">
        <f>SUMIFS('февраль 2024'!$G$6:$G$1413,'февраль 2024'!$D$6:$D$1413,$B190,'февраль 2024'!$J$6:$J$1413,R$1)</f>
        <v>0</v>
      </c>
      <c r="S190" s="80">
        <f>SUMIFS('февраль 2024'!$G$6:$G$1413,'февраль 2024'!$D$6:$D$1413,$B190,'февраль 2024'!$J$6:$J$1413,S$1)</f>
        <v>0</v>
      </c>
      <c r="T190" s="80">
        <f>SUMIFS('февраль 2024'!$G$6:$G$1413,'февраль 2024'!$D$6:$D$1413,$B190,'февраль 2024'!$J$6:$J$1413,T$1)</f>
        <v>0</v>
      </c>
      <c r="U190" s="80">
        <f>SUMIFS('февраль 2024'!$G$6:$G$1413,'февраль 2024'!$D$6:$D$1413,$B190,'февраль 2024'!$J$6:$J$1413,U$1)</f>
        <v>0</v>
      </c>
      <c r="V190" s="80">
        <f>SUMIFS('февраль 2024'!$G$6:$G$1413,'февраль 2024'!$D$6:$D$1413,$B190,'февраль 2024'!$J$6:$J$1413,V$1)</f>
        <v>0</v>
      </c>
      <c r="W190" s="80">
        <f>SUMIFS('февраль 2024'!$G$6:$G$1413,'февраль 2024'!$D$6:$D$1413,$B190,'февраль 2024'!$J$6:$J$1413,W$1)</f>
        <v>0</v>
      </c>
      <c r="X190" s="80">
        <f>SUMIFS('февраль 2024'!$G$6:$G$1413,'февраль 2024'!$D$6:$D$1413,$B190,'февраль 2024'!$J$6:$J$1413,X$1)</f>
        <v>0</v>
      </c>
      <c r="Y190" s="80">
        <f>SUMIFS('февраль 2024'!$G$6:$G$1413,'февраль 2024'!$D$6:$D$1413,$B190,'февраль 2024'!$J$6:$J$1413,Y$1)</f>
        <v>0</v>
      </c>
      <c r="Z190" s="80">
        <f>SUMIFS('февраль 2024'!$G$6:$G$1413,'февраль 2024'!$D$6:$D$1413,$B190,'февраль 2024'!$J$6:$J$1413,Z$1)</f>
        <v>0</v>
      </c>
      <c r="AA190" s="80">
        <f>SUMIFS('февраль 2024'!$G$6:$G$1413,'февраль 2024'!$D$6:$D$1413,$B190,'февраль 2024'!$J$6:$J$1413,AA$1)</f>
        <v>0</v>
      </c>
      <c r="AB190" s="80">
        <f>SUMIFS('февраль 2024'!$G$6:$G$1413,'февраль 2024'!$D$6:$D$1413,$B190,'февраль 2024'!$J$6:$J$1413,AB$1)</f>
        <v>0</v>
      </c>
      <c r="AC190" s="80">
        <f>SUMIFS('февраль 2024'!$G$6:$G$1413,'февраль 2024'!$D$6:$D$1413,$B190,'февраль 2024'!$J$6:$J$1413,AC$1)</f>
        <v>0</v>
      </c>
      <c r="AD190" s="80">
        <f>SUMIFS('февраль 2024'!$G$6:$G$1413,'февраль 2024'!$D$6:$D$1413,$B190,'февраль 2024'!$J$6:$J$1413,AD$1)</f>
        <v>0</v>
      </c>
      <c r="AE190" s="80">
        <f>SUMIFS('февраль 2024'!$G$6:$G$1413,'февраль 2024'!$D$6:$D$1413,$B190,'февраль 2024'!$J$6:$J$1413,AE$1)</f>
        <v>0</v>
      </c>
      <c r="AF190" s="80">
        <f>SUMIFS('февраль 2024'!$G$6:$G$1413,'февраль 2024'!$D$6:$D$1413,$B190,'февраль 2024'!$J$6:$J$1413,AF$1)</f>
        <v>0</v>
      </c>
      <c r="AG190" s="80">
        <f>SUMIFS('февраль 2024'!$G$6:$G$1413,'февраль 2024'!$D$6:$D$1413,$B190,'февраль 2024'!$J$6:$J$1413,AG$1)</f>
        <v>0</v>
      </c>
      <c r="AH190" s="80">
        <f>SUMIFS('февраль 2024'!$G$6:$G$1413,'февраль 2024'!$D$6:$D$1413,$B190,'февраль 2024'!$J$6:$J$1413,AH$1)</f>
        <v>0</v>
      </c>
      <c r="AI190" s="87"/>
    </row>
    <row r="191" spans="2:35" ht="15" hidden="1" customHeight="1" x14ac:dyDescent="0.25">
      <c r="B191" s="89"/>
      <c r="C191" s="88"/>
      <c r="D191" s="80">
        <f>SUMIFS('февраль 2024'!$G$6:$G$1413,'февраль 2024'!$D$6:$D$1413,$B191,'февраль 2024'!$J$6:$J$1413,D$1)</f>
        <v>0</v>
      </c>
      <c r="E191" s="80">
        <f>SUMIFS('февраль 2024'!$G$6:$G$1413,'февраль 2024'!$D$6:$D$1413,$B191,'февраль 2024'!$J$6:$J$1413,E$1)</f>
        <v>0</v>
      </c>
      <c r="F191" s="80">
        <f>SUMIFS('февраль 2024'!$G$6:$G$1413,'февраль 2024'!$D$6:$D$1413,$B191,'февраль 2024'!$J$6:$J$1413,F$1)</f>
        <v>0</v>
      </c>
      <c r="G191" s="80">
        <f>SUMIFS('февраль 2024'!$G$6:$G$1413,'февраль 2024'!$D$6:$D$1413,$B191,'февраль 2024'!$J$6:$J$1413,G$1)</f>
        <v>0</v>
      </c>
      <c r="H191" s="80">
        <f>SUMIFS('февраль 2024'!$G$6:$G$1413,'февраль 2024'!$D$6:$D$1413,$B191,'февраль 2024'!$J$6:$J$1413,H$1)</f>
        <v>0</v>
      </c>
      <c r="I191" s="80">
        <f>SUMIFS('февраль 2024'!$G$6:$G$1413,'февраль 2024'!$D$6:$D$1413,$B191,'февраль 2024'!$J$6:$J$1413,I$1)</f>
        <v>0</v>
      </c>
      <c r="J191" s="80">
        <f>SUMIFS('февраль 2024'!$G$6:$G$1413,'февраль 2024'!$D$6:$D$1413,$B191,'февраль 2024'!$J$6:$J$1413,J$1)</f>
        <v>0</v>
      </c>
      <c r="K191" s="80">
        <f>SUMIFS('февраль 2024'!$G$6:$G$1413,'февраль 2024'!$D$6:$D$1413,$B191,'февраль 2024'!$J$6:$J$1413,K$1)</f>
        <v>0</v>
      </c>
      <c r="L191" s="80">
        <f>SUMIFS('февраль 2024'!$G$6:$G$1413,'февраль 2024'!$D$6:$D$1413,$B191,'февраль 2024'!$J$6:$J$1413,L$1)</f>
        <v>0</v>
      </c>
      <c r="M191" s="80">
        <f>SUMIFS('февраль 2024'!$G$6:$G$1413,'февраль 2024'!$D$6:$D$1413,$B191,'февраль 2024'!$J$6:$J$1413,M$1)</f>
        <v>0</v>
      </c>
      <c r="N191" s="80">
        <f>SUMIFS('февраль 2024'!$G$6:$G$1413,'февраль 2024'!$D$6:$D$1413,$B191,'февраль 2024'!$J$6:$J$1413,N$1)</f>
        <v>0</v>
      </c>
      <c r="O191" s="80">
        <f>SUMIFS('февраль 2024'!$G$6:$G$1413,'февраль 2024'!$D$6:$D$1413,$B191,'февраль 2024'!$J$6:$J$1413,O$1)</f>
        <v>0</v>
      </c>
      <c r="P191" s="80">
        <f>SUMIFS('февраль 2024'!$G$6:$G$1413,'февраль 2024'!$D$6:$D$1413,$B191,'февраль 2024'!$J$6:$J$1413,P$1)</f>
        <v>0</v>
      </c>
      <c r="Q191" s="80">
        <f>SUMIFS('февраль 2024'!$G$6:$G$1413,'февраль 2024'!$D$6:$D$1413,$B191,'февраль 2024'!$J$6:$J$1413,Q$1)</f>
        <v>0</v>
      </c>
      <c r="R191" s="80">
        <f>SUMIFS('февраль 2024'!$G$6:$G$1413,'февраль 2024'!$D$6:$D$1413,$B191,'февраль 2024'!$J$6:$J$1413,R$1)</f>
        <v>0</v>
      </c>
      <c r="S191" s="80">
        <f>SUMIFS('февраль 2024'!$G$6:$G$1413,'февраль 2024'!$D$6:$D$1413,$B191,'февраль 2024'!$J$6:$J$1413,S$1)</f>
        <v>0</v>
      </c>
      <c r="T191" s="80">
        <f>SUMIFS('февраль 2024'!$G$6:$G$1413,'февраль 2024'!$D$6:$D$1413,$B191,'февраль 2024'!$J$6:$J$1413,T$1)</f>
        <v>0</v>
      </c>
      <c r="U191" s="80">
        <f>SUMIFS('февраль 2024'!$G$6:$G$1413,'февраль 2024'!$D$6:$D$1413,$B191,'февраль 2024'!$J$6:$J$1413,U$1)</f>
        <v>0</v>
      </c>
      <c r="V191" s="80">
        <f>SUMIFS('февраль 2024'!$G$6:$G$1413,'февраль 2024'!$D$6:$D$1413,$B191,'февраль 2024'!$J$6:$J$1413,V$1)</f>
        <v>0</v>
      </c>
      <c r="W191" s="80">
        <f>SUMIFS('февраль 2024'!$G$6:$G$1413,'февраль 2024'!$D$6:$D$1413,$B191,'февраль 2024'!$J$6:$J$1413,W$1)</f>
        <v>0</v>
      </c>
      <c r="X191" s="80">
        <f>SUMIFS('февраль 2024'!$G$6:$G$1413,'февраль 2024'!$D$6:$D$1413,$B191,'февраль 2024'!$J$6:$J$1413,X$1)</f>
        <v>0</v>
      </c>
      <c r="Y191" s="80">
        <f>SUMIFS('февраль 2024'!$G$6:$G$1413,'февраль 2024'!$D$6:$D$1413,$B191,'февраль 2024'!$J$6:$J$1413,Y$1)</f>
        <v>0</v>
      </c>
      <c r="Z191" s="80">
        <f>SUMIFS('февраль 2024'!$G$6:$G$1413,'февраль 2024'!$D$6:$D$1413,$B191,'февраль 2024'!$J$6:$J$1413,Z$1)</f>
        <v>0</v>
      </c>
      <c r="AA191" s="80">
        <f>SUMIFS('февраль 2024'!$G$6:$G$1413,'февраль 2024'!$D$6:$D$1413,$B191,'февраль 2024'!$J$6:$J$1413,AA$1)</f>
        <v>0</v>
      </c>
      <c r="AB191" s="80">
        <f>SUMIFS('февраль 2024'!$G$6:$G$1413,'февраль 2024'!$D$6:$D$1413,$B191,'февраль 2024'!$J$6:$J$1413,AB$1)</f>
        <v>0</v>
      </c>
      <c r="AC191" s="80">
        <f>SUMIFS('февраль 2024'!$G$6:$G$1413,'февраль 2024'!$D$6:$D$1413,$B191,'февраль 2024'!$J$6:$J$1413,AC$1)</f>
        <v>0</v>
      </c>
      <c r="AD191" s="80">
        <f>SUMIFS('февраль 2024'!$G$6:$G$1413,'февраль 2024'!$D$6:$D$1413,$B191,'февраль 2024'!$J$6:$J$1413,AD$1)</f>
        <v>0</v>
      </c>
      <c r="AE191" s="80">
        <f>SUMIFS('февраль 2024'!$G$6:$G$1413,'февраль 2024'!$D$6:$D$1413,$B191,'февраль 2024'!$J$6:$J$1413,AE$1)</f>
        <v>0</v>
      </c>
      <c r="AF191" s="80">
        <f>SUMIFS('февраль 2024'!$G$6:$G$1413,'февраль 2024'!$D$6:$D$1413,$B191,'февраль 2024'!$J$6:$J$1413,AF$1)</f>
        <v>0</v>
      </c>
      <c r="AG191" s="80">
        <f>SUMIFS('февраль 2024'!$G$6:$G$1413,'февраль 2024'!$D$6:$D$1413,$B191,'февраль 2024'!$J$6:$J$1413,AG$1)</f>
        <v>0</v>
      </c>
      <c r="AH191" s="80">
        <f>SUMIFS('февраль 2024'!$G$6:$G$1413,'февраль 2024'!$D$6:$D$1413,$B191,'февраль 2024'!$J$6:$J$1413,AH$1)</f>
        <v>0</v>
      </c>
      <c r="AI191" s="87"/>
    </row>
    <row r="192" spans="2:35" ht="15" hidden="1" customHeight="1" x14ac:dyDescent="0.25">
      <c r="B192" s="89"/>
      <c r="C192" s="88"/>
      <c r="D192" s="80">
        <f>SUMIFS('февраль 2024'!$G$6:$G$1413,'февраль 2024'!$D$6:$D$1413,$B192,'февраль 2024'!$J$6:$J$1413,D$1)</f>
        <v>0</v>
      </c>
      <c r="E192" s="80">
        <f>SUMIFS('февраль 2024'!$G$6:$G$1413,'февраль 2024'!$D$6:$D$1413,$B192,'февраль 2024'!$J$6:$J$1413,E$1)</f>
        <v>0</v>
      </c>
      <c r="F192" s="80">
        <f>SUMIFS('февраль 2024'!$G$6:$G$1413,'февраль 2024'!$D$6:$D$1413,$B192,'февраль 2024'!$J$6:$J$1413,F$1)</f>
        <v>0</v>
      </c>
      <c r="G192" s="80">
        <f>SUMIFS('февраль 2024'!$G$6:$G$1413,'февраль 2024'!$D$6:$D$1413,$B192,'февраль 2024'!$J$6:$J$1413,G$1)</f>
        <v>0</v>
      </c>
      <c r="H192" s="80">
        <f>SUMIFS('февраль 2024'!$G$6:$G$1413,'февраль 2024'!$D$6:$D$1413,$B192,'февраль 2024'!$J$6:$J$1413,H$1)</f>
        <v>0</v>
      </c>
      <c r="I192" s="80">
        <f>SUMIFS('февраль 2024'!$G$6:$G$1413,'февраль 2024'!$D$6:$D$1413,$B192,'февраль 2024'!$J$6:$J$1413,I$1)</f>
        <v>0</v>
      </c>
      <c r="J192" s="80">
        <f>SUMIFS('февраль 2024'!$G$6:$G$1413,'февраль 2024'!$D$6:$D$1413,$B192,'февраль 2024'!$J$6:$J$1413,J$1)</f>
        <v>0</v>
      </c>
      <c r="K192" s="80">
        <f>SUMIFS('февраль 2024'!$G$6:$G$1413,'февраль 2024'!$D$6:$D$1413,$B192,'февраль 2024'!$J$6:$J$1413,K$1)</f>
        <v>0</v>
      </c>
      <c r="L192" s="80">
        <f>SUMIFS('февраль 2024'!$G$6:$G$1413,'февраль 2024'!$D$6:$D$1413,$B192,'февраль 2024'!$J$6:$J$1413,L$1)</f>
        <v>0</v>
      </c>
      <c r="M192" s="80">
        <f>SUMIFS('февраль 2024'!$G$6:$G$1413,'февраль 2024'!$D$6:$D$1413,$B192,'февраль 2024'!$J$6:$J$1413,M$1)</f>
        <v>0</v>
      </c>
      <c r="N192" s="80">
        <f>SUMIFS('февраль 2024'!$G$6:$G$1413,'февраль 2024'!$D$6:$D$1413,$B192,'февраль 2024'!$J$6:$J$1413,N$1)</f>
        <v>0</v>
      </c>
      <c r="O192" s="80">
        <f>SUMIFS('февраль 2024'!$G$6:$G$1413,'февраль 2024'!$D$6:$D$1413,$B192,'февраль 2024'!$J$6:$J$1413,O$1)</f>
        <v>0</v>
      </c>
      <c r="P192" s="80">
        <f>SUMIFS('февраль 2024'!$G$6:$G$1413,'февраль 2024'!$D$6:$D$1413,$B192,'февраль 2024'!$J$6:$J$1413,P$1)</f>
        <v>0</v>
      </c>
      <c r="Q192" s="80">
        <f>SUMIFS('февраль 2024'!$G$6:$G$1413,'февраль 2024'!$D$6:$D$1413,$B192,'февраль 2024'!$J$6:$J$1413,Q$1)</f>
        <v>0</v>
      </c>
      <c r="R192" s="80">
        <f>SUMIFS('февраль 2024'!$G$6:$G$1413,'февраль 2024'!$D$6:$D$1413,$B192,'февраль 2024'!$J$6:$J$1413,R$1)</f>
        <v>0</v>
      </c>
      <c r="S192" s="80">
        <f>SUMIFS('февраль 2024'!$G$6:$G$1413,'февраль 2024'!$D$6:$D$1413,$B192,'февраль 2024'!$J$6:$J$1413,S$1)</f>
        <v>0</v>
      </c>
      <c r="T192" s="80">
        <f>SUMIFS('февраль 2024'!$G$6:$G$1413,'февраль 2024'!$D$6:$D$1413,$B192,'февраль 2024'!$J$6:$J$1413,T$1)</f>
        <v>0</v>
      </c>
      <c r="U192" s="80">
        <f>SUMIFS('февраль 2024'!$G$6:$G$1413,'февраль 2024'!$D$6:$D$1413,$B192,'февраль 2024'!$J$6:$J$1413,U$1)</f>
        <v>0</v>
      </c>
      <c r="V192" s="80">
        <f>SUMIFS('февраль 2024'!$G$6:$G$1413,'февраль 2024'!$D$6:$D$1413,$B192,'февраль 2024'!$J$6:$J$1413,V$1)</f>
        <v>0</v>
      </c>
      <c r="W192" s="80">
        <f>SUMIFS('февраль 2024'!$G$6:$G$1413,'февраль 2024'!$D$6:$D$1413,$B192,'февраль 2024'!$J$6:$J$1413,W$1)</f>
        <v>0</v>
      </c>
      <c r="X192" s="80">
        <f>SUMIFS('февраль 2024'!$G$6:$G$1413,'февраль 2024'!$D$6:$D$1413,$B192,'февраль 2024'!$J$6:$J$1413,X$1)</f>
        <v>0</v>
      </c>
      <c r="Y192" s="80">
        <f>SUMIFS('февраль 2024'!$G$6:$G$1413,'февраль 2024'!$D$6:$D$1413,$B192,'февраль 2024'!$J$6:$J$1413,Y$1)</f>
        <v>0</v>
      </c>
      <c r="Z192" s="80">
        <f>SUMIFS('февраль 2024'!$G$6:$G$1413,'февраль 2024'!$D$6:$D$1413,$B192,'февраль 2024'!$J$6:$J$1413,Z$1)</f>
        <v>0</v>
      </c>
      <c r="AA192" s="80">
        <f>SUMIFS('февраль 2024'!$G$6:$G$1413,'февраль 2024'!$D$6:$D$1413,$B192,'февраль 2024'!$J$6:$J$1413,AA$1)</f>
        <v>0</v>
      </c>
      <c r="AB192" s="80">
        <f>SUMIFS('февраль 2024'!$G$6:$G$1413,'февраль 2024'!$D$6:$D$1413,$B192,'февраль 2024'!$J$6:$J$1413,AB$1)</f>
        <v>0</v>
      </c>
      <c r="AC192" s="80">
        <f>SUMIFS('февраль 2024'!$G$6:$G$1413,'февраль 2024'!$D$6:$D$1413,$B192,'февраль 2024'!$J$6:$J$1413,AC$1)</f>
        <v>0</v>
      </c>
      <c r="AD192" s="80">
        <f>SUMIFS('февраль 2024'!$G$6:$G$1413,'февраль 2024'!$D$6:$D$1413,$B192,'февраль 2024'!$J$6:$J$1413,AD$1)</f>
        <v>0</v>
      </c>
      <c r="AE192" s="80">
        <f>SUMIFS('февраль 2024'!$G$6:$G$1413,'февраль 2024'!$D$6:$D$1413,$B192,'февраль 2024'!$J$6:$J$1413,AE$1)</f>
        <v>0</v>
      </c>
      <c r="AF192" s="80">
        <f>SUMIFS('февраль 2024'!$G$6:$G$1413,'февраль 2024'!$D$6:$D$1413,$B192,'февраль 2024'!$J$6:$J$1413,AF$1)</f>
        <v>0</v>
      </c>
      <c r="AG192" s="80">
        <f>SUMIFS('февраль 2024'!$G$6:$G$1413,'февраль 2024'!$D$6:$D$1413,$B192,'февраль 2024'!$J$6:$J$1413,AG$1)</f>
        <v>0</v>
      </c>
      <c r="AH192" s="80">
        <f>SUMIFS('февраль 2024'!$G$6:$G$1413,'февраль 2024'!$D$6:$D$1413,$B192,'февраль 2024'!$J$6:$J$1413,AH$1)</f>
        <v>0</v>
      </c>
      <c r="AI192" s="87"/>
    </row>
    <row r="193" spans="2:35" ht="15" hidden="1" customHeight="1" x14ac:dyDescent="0.25">
      <c r="B193" s="89"/>
      <c r="C193" s="88"/>
      <c r="D193" s="80">
        <f>SUMIFS('февраль 2024'!$G$6:$G$1413,'февраль 2024'!$D$6:$D$1413,$B193,'февраль 2024'!$J$6:$J$1413,D$1)</f>
        <v>0</v>
      </c>
      <c r="E193" s="80">
        <f>SUMIFS('февраль 2024'!$G$6:$G$1413,'февраль 2024'!$D$6:$D$1413,$B193,'февраль 2024'!$J$6:$J$1413,E$1)</f>
        <v>0</v>
      </c>
      <c r="F193" s="80">
        <f>SUMIFS('февраль 2024'!$G$6:$G$1413,'февраль 2024'!$D$6:$D$1413,$B193,'февраль 2024'!$J$6:$J$1413,F$1)</f>
        <v>0</v>
      </c>
      <c r="G193" s="80">
        <f>SUMIFS('февраль 2024'!$G$6:$G$1413,'февраль 2024'!$D$6:$D$1413,$B193,'февраль 2024'!$J$6:$J$1413,G$1)</f>
        <v>0</v>
      </c>
      <c r="H193" s="80">
        <f>SUMIFS('февраль 2024'!$G$6:$G$1413,'февраль 2024'!$D$6:$D$1413,$B193,'февраль 2024'!$J$6:$J$1413,H$1)</f>
        <v>0</v>
      </c>
      <c r="I193" s="80">
        <f>SUMIFS('февраль 2024'!$G$6:$G$1413,'февраль 2024'!$D$6:$D$1413,$B193,'февраль 2024'!$J$6:$J$1413,I$1)</f>
        <v>0</v>
      </c>
      <c r="J193" s="80">
        <f>SUMIFS('февраль 2024'!$G$6:$G$1413,'февраль 2024'!$D$6:$D$1413,$B193,'февраль 2024'!$J$6:$J$1413,J$1)</f>
        <v>0</v>
      </c>
      <c r="K193" s="80">
        <f>SUMIFS('февраль 2024'!$G$6:$G$1413,'февраль 2024'!$D$6:$D$1413,$B193,'февраль 2024'!$J$6:$J$1413,K$1)</f>
        <v>0</v>
      </c>
      <c r="L193" s="80">
        <f>SUMIFS('февраль 2024'!$G$6:$G$1413,'февраль 2024'!$D$6:$D$1413,$B193,'февраль 2024'!$J$6:$J$1413,L$1)</f>
        <v>0</v>
      </c>
      <c r="M193" s="80">
        <f>SUMIFS('февраль 2024'!$G$6:$G$1413,'февраль 2024'!$D$6:$D$1413,$B193,'февраль 2024'!$J$6:$J$1413,M$1)</f>
        <v>0</v>
      </c>
      <c r="N193" s="80">
        <f>SUMIFS('февраль 2024'!$G$6:$G$1413,'февраль 2024'!$D$6:$D$1413,$B193,'февраль 2024'!$J$6:$J$1413,N$1)</f>
        <v>0</v>
      </c>
      <c r="O193" s="80">
        <f>SUMIFS('февраль 2024'!$G$6:$G$1413,'февраль 2024'!$D$6:$D$1413,$B193,'февраль 2024'!$J$6:$J$1413,O$1)</f>
        <v>0</v>
      </c>
      <c r="P193" s="80">
        <f>SUMIFS('февраль 2024'!$G$6:$G$1413,'февраль 2024'!$D$6:$D$1413,$B193,'февраль 2024'!$J$6:$J$1413,P$1)</f>
        <v>0</v>
      </c>
      <c r="Q193" s="80">
        <f>SUMIFS('февраль 2024'!$G$6:$G$1413,'февраль 2024'!$D$6:$D$1413,$B193,'февраль 2024'!$J$6:$J$1413,Q$1)</f>
        <v>0</v>
      </c>
      <c r="R193" s="80">
        <f>SUMIFS('февраль 2024'!$G$6:$G$1413,'февраль 2024'!$D$6:$D$1413,$B193,'февраль 2024'!$J$6:$J$1413,R$1)</f>
        <v>0</v>
      </c>
      <c r="S193" s="80">
        <f>SUMIFS('февраль 2024'!$G$6:$G$1413,'февраль 2024'!$D$6:$D$1413,$B193,'февраль 2024'!$J$6:$J$1413,S$1)</f>
        <v>0</v>
      </c>
      <c r="T193" s="80">
        <f>SUMIFS('февраль 2024'!$G$6:$G$1413,'февраль 2024'!$D$6:$D$1413,$B193,'февраль 2024'!$J$6:$J$1413,T$1)</f>
        <v>0</v>
      </c>
      <c r="U193" s="80">
        <f>SUMIFS('февраль 2024'!$G$6:$G$1413,'февраль 2024'!$D$6:$D$1413,$B193,'февраль 2024'!$J$6:$J$1413,U$1)</f>
        <v>0</v>
      </c>
      <c r="V193" s="80">
        <f>SUMIFS('февраль 2024'!$G$6:$G$1413,'февраль 2024'!$D$6:$D$1413,$B193,'февраль 2024'!$J$6:$J$1413,V$1)</f>
        <v>0</v>
      </c>
      <c r="W193" s="80">
        <f>SUMIFS('февраль 2024'!$G$6:$G$1413,'февраль 2024'!$D$6:$D$1413,$B193,'февраль 2024'!$J$6:$J$1413,W$1)</f>
        <v>0</v>
      </c>
      <c r="X193" s="80">
        <f>SUMIFS('февраль 2024'!$G$6:$G$1413,'февраль 2024'!$D$6:$D$1413,$B193,'февраль 2024'!$J$6:$J$1413,X$1)</f>
        <v>0</v>
      </c>
      <c r="Y193" s="80">
        <f>SUMIFS('февраль 2024'!$G$6:$G$1413,'февраль 2024'!$D$6:$D$1413,$B193,'февраль 2024'!$J$6:$J$1413,Y$1)</f>
        <v>0</v>
      </c>
      <c r="Z193" s="80">
        <f>SUMIFS('февраль 2024'!$G$6:$G$1413,'февраль 2024'!$D$6:$D$1413,$B193,'февраль 2024'!$J$6:$J$1413,Z$1)</f>
        <v>0</v>
      </c>
      <c r="AA193" s="80">
        <f>SUMIFS('февраль 2024'!$G$6:$G$1413,'февраль 2024'!$D$6:$D$1413,$B193,'февраль 2024'!$J$6:$J$1413,AA$1)</f>
        <v>0</v>
      </c>
      <c r="AB193" s="80">
        <f>SUMIFS('февраль 2024'!$G$6:$G$1413,'февраль 2024'!$D$6:$D$1413,$B193,'февраль 2024'!$J$6:$J$1413,AB$1)</f>
        <v>0</v>
      </c>
      <c r="AC193" s="80">
        <f>SUMIFS('февраль 2024'!$G$6:$G$1413,'февраль 2024'!$D$6:$D$1413,$B193,'февраль 2024'!$J$6:$J$1413,AC$1)</f>
        <v>0</v>
      </c>
      <c r="AD193" s="80">
        <f>SUMIFS('февраль 2024'!$G$6:$G$1413,'февраль 2024'!$D$6:$D$1413,$B193,'февраль 2024'!$J$6:$J$1413,AD$1)</f>
        <v>0</v>
      </c>
      <c r="AE193" s="80">
        <f>SUMIFS('февраль 2024'!$G$6:$G$1413,'февраль 2024'!$D$6:$D$1413,$B193,'февраль 2024'!$J$6:$J$1413,AE$1)</f>
        <v>0</v>
      </c>
      <c r="AF193" s="80">
        <f>SUMIFS('февраль 2024'!$G$6:$G$1413,'февраль 2024'!$D$6:$D$1413,$B193,'февраль 2024'!$J$6:$J$1413,AF$1)</f>
        <v>0</v>
      </c>
      <c r="AG193" s="80">
        <f>SUMIFS('февраль 2024'!$G$6:$G$1413,'февраль 2024'!$D$6:$D$1413,$B193,'февраль 2024'!$J$6:$J$1413,AG$1)</f>
        <v>0</v>
      </c>
      <c r="AH193" s="80">
        <f>SUMIFS('февраль 2024'!$G$6:$G$1413,'февраль 2024'!$D$6:$D$1413,$B193,'февраль 2024'!$J$6:$J$1413,AH$1)</f>
        <v>0</v>
      </c>
      <c r="AI193" s="87"/>
    </row>
    <row r="194" spans="2:35" ht="15" hidden="1" customHeight="1" x14ac:dyDescent="0.25">
      <c r="B194" s="89"/>
      <c r="C194" s="88"/>
      <c r="D194" s="80">
        <f>SUMIFS('февраль 2024'!$G$6:$G$1413,'февраль 2024'!$D$6:$D$1413,$B194,'февраль 2024'!$J$6:$J$1413,D$1)</f>
        <v>0</v>
      </c>
      <c r="E194" s="80">
        <f>SUMIFS('февраль 2024'!$G$6:$G$1413,'февраль 2024'!$D$6:$D$1413,$B194,'февраль 2024'!$J$6:$J$1413,E$1)</f>
        <v>0</v>
      </c>
      <c r="F194" s="80">
        <f>SUMIFS('февраль 2024'!$G$6:$G$1413,'февраль 2024'!$D$6:$D$1413,$B194,'февраль 2024'!$J$6:$J$1413,F$1)</f>
        <v>0</v>
      </c>
      <c r="G194" s="80">
        <f>SUMIFS('февраль 2024'!$G$6:$G$1413,'февраль 2024'!$D$6:$D$1413,$B194,'февраль 2024'!$J$6:$J$1413,G$1)</f>
        <v>0</v>
      </c>
      <c r="H194" s="80">
        <f>SUMIFS('февраль 2024'!$G$6:$G$1413,'февраль 2024'!$D$6:$D$1413,$B194,'февраль 2024'!$J$6:$J$1413,H$1)</f>
        <v>0</v>
      </c>
      <c r="I194" s="80">
        <f>SUMIFS('февраль 2024'!$G$6:$G$1413,'февраль 2024'!$D$6:$D$1413,$B194,'февраль 2024'!$J$6:$J$1413,I$1)</f>
        <v>0</v>
      </c>
      <c r="J194" s="80">
        <f>SUMIFS('февраль 2024'!$G$6:$G$1413,'февраль 2024'!$D$6:$D$1413,$B194,'февраль 2024'!$J$6:$J$1413,J$1)</f>
        <v>0</v>
      </c>
      <c r="K194" s="80">
        <f>SUMIFS('февраль 2024'!$G$6:$G$1413,'февраль 2024'!$D$6:$D$1413,$B194,'февраль 2024'!$J$6:$J$1413,K$1)</f>
        <v>0</v>
      </c>
      <c r="L194" s="80">
        <f>SUMIFS('февраль 2024'!$G$6:$G$1413,'февраль 2024'!$D$6:$D$1413,$B194,'февраль 2024'!$J$6:$J$1413,L$1)</f>
        <v>0</v>
      </c>
      <c r="M194" s="80">
        <f>SUMIFS('февраль 2024'!$G$6:$G$1413,'февраль 2024'!$D$6:$D$1413,$B194,'февраль 2024'!$J$6:$J$1413,M$1)</f>
        <v>0</v>
      </c>
      <c r="N194" s="80">
        <f>SUMIFS('февраль 2024'!$G$6:$G$1413,'февраль 2024'!$D$6:$D$1413,$B194,'февраль 2024'!$J$6:$J$1413,N$1)</f>
        <v>0</v>
      </c>
      <c r="O194" s="80">
        <f>SUMIFS('февраль 2024'!$G$6:$G$1413,'февраль 2024'!$D$6:$D$1413,$B194,'февраль 2024'!$J$6:$J$1413,O$1)</f>
        <v>0</v>
      </c>
      <c r="P194" s="80">
        <f>SUMIFS('февраль 2024'!$G$6:$G$1413,'февраль 2024'!$D$6:$D$1413,$B194,'февраль 2024'!$J$6:$J$1413,P$1)</f>
        <v>0</v>
      </c>
      <c r="Q194" s="80">
        <f>SUMIFS('февраль 2024'!$G$6:$G$1413,'февраль 2024'!$D$6:$D$1413,$B194,'февраль 2024'!$J$6:$J$1413,Q$1)</f>
        <v>0</v>
      </c>
      <c r="R194" s="80">
        <f>SUMIFS('февраль 2024'!$G$6:$G$1413,'февраль 2024'!$D$6:$D$1413,$B194,'февраль 2024'!$J$6:$J$1413,R$1)</f>
        <v>0</v>
      </c>
      <c r="S194" s="80">
        <f>SUMIFS('февраль 2024'!$G$6:$G$1413,'февраль 2024'!$D$6:$D$1413,$B194,'февраль 2024'!$J$6:$J$1413,S$1)</f>
        <v>0</v>
      </c>
      <c r="T194" s="80">
        <f>SUMIFS('февраль 2024'!$G$6:$G$1413,'февраль 2024'!$D$6:$D$1413,$B194,'февраль 2024'!$J$6:$J$1413,T$1)</f>
        <v>0</v>
      </c>
      <c r="U194" s="80">
        <f>SUMIFS('февраль 2024'!$G$6:$G$1413,'февраль 2024'!$D$6:$D$1413,$B194,'февраль 2024'!$J$6:$J$1413,U$1)</f>
        <v>0</v>
      </c>
      <c r="V194" s="80">
        <f>SUMIFS('февраль 2024'!$G$6:$G$1413,'февраль 2024'!$D$6:$D$1413,$B194,'февраль 2024'!$J$6:$J$1413,V$1)</f>
        <v>0</v>
      </c>
      <c r="W194" s="80">
        <f>SUMIFS('февраль 2024'!$G$6:$G$1413,'февраль 2024'!$D$6:$D$1413,$B194,'февраль 2024'!$J$6:$J$1413,W$1)</f>
        <v>0</v>
      </c>
      <c r="X194" s="80">
        <f>SUMIFS('февраль 2024'!$G$6:$G$1413,'февраль 2024'!$D$6:$D$1413,$B194,'февраль 2024'!$J$6:$J$1413,X$1)</f>
        <v>0</v>
      </c>
      <c r="Y194" s="80">
        <f>SUMIFS('февраль 2024'!$G$6:$G$1413,'февраль 2024'!$D$6:$D$1413,$B194,'февраль 2024'!$J$6:$J$1413,Y$1)</f>
        <v>0</v>
      </c>
      <c r="Z194" s="80">
        <f>SUMIFS('февраль 2024'!$G$6:$G$1413,'февраль 2024'!$D$6:$D$1413,$B194,'февраль 2024'!$J$6:$J$1413,Z$1)</f>
        <v>0</v>
      </c>
      <c r="AA194" s="80">
        <f>SUMIFS('февраль 2024'!$G$6:$G$1413,'февраль 2024'!$D$6:$D$1413,$B194,'февраль 2024'!$J$6:$J$1413,AA$1)</f>
        <v>0</v>
      </c>
      <c r="AB194" s="80">
        <f>SUMIFS('февраль 2024'!$G$6:$G$1413,'февраль 2024'!$D$6:$D$1413,$B194,'февраль 2024'!$J$6:$J$1413,AB$1)</f>
        <v>0</v>
      </c>
      <c r="AC194" s="80">
        <f>SUMIFS('февраль 2024'!$G$6:$G$1413,'февраль 2024'!$D$6:$D$1413,$B194,'февраль 2024'!$J$6:$J$1413,AC$1)</f>
        <v>0</v>
      </c>
      <c r="AD194" s="80">
        <f>SUMIFS('февраль 2024'!$G$6:$G$1413,'февраль 2024'!$D$6:$D$1413,$B194,'февраль 2024'!$J$6:$J$1413,AD$1)</f>
        <v>0</v>
      </c>
      <c r="AE194" s="80">
        <f>SUMIFS('февраль 2024'!$G$6:$G$1413,'февраль 2024'!$D$6:$D$1413,$B194,'февраль 2024'!$J$6:$J$1413,AE$1)</f>
        <v>0</v>
      </c>
      <c r="AF194" s="80">
        <f>SUMIFS('февраль 2024'!$G$6:$G$1413,'февраль 2024'!$D$6:$D$1413,$B194,'февраль 2024'!$J$6:$J$1413,AF$1)</f>
        <v>0</v>
      </c>
      <c r="AG194" s="80">
        <f>SUMIFS('февраль 2024'!$G$6:$G$1413,'февраль 2024'!$D$6:$D$1413,$B194,'февраль 2024'!$J$6:$J$1413,AG$1)</f>
        <v>0</v>
      </c>
      <c r="AH194" s="80">
        <f>SUMIFS('февраль 2024'!$G$6:$G$1413,'февраль 2024'!$D$6:$D$1413,$B194,'февраль 2024'!$J$6:$J$1413,AH$1)</f>
        <v>0</v>
      </c>
      <c r="AI194" s="87"/>
    </row>
    <row r="195" spans="2:35" ht="15" hidden="1" customHeight="1" x14ac:dyDescent="0.25">
      <c r="B195" s="89"/>
      <c r="C195" s="88"/>
      <c r="D195" s="80">
        <f>SUMIFS('февраль 2024'!$G$6:$G$1413,'февраль 2024'!$D$6:$D$1413,$B195,'февраль 2024'!$J$6:$J$1413,D$1)</f>
        <v>0</v>
      </c>
      <c r="E195" s="80">
        <f>SUMIFS('февраль 2024'!$G$6:$G$1413,'февраль 2024'!$D$6:$D$1413,$B195,'февраль 2024'!$J$6:$J$1413,E$1)</f>
        <v>0</v>
      </c>
      <c r="F195" s="80">
        <f>SUMIFS('февраль 2024'!$G$6:$G$1413,'февраль 2024'!$D$6:$D$1413,$B195,'февраль 2024'!$J$6:$J$1413,F$1)</f>
        <v>0</v>
      </c>
      <c r="G195" s="80">
        <f>SUMIFS('февраль 2024'!$G$6:$G$1413,'февраль 2024'!$D$6:$D$1413,$B195,'февраль 2024'!$J$6:$J$1413,G$1)</f>
        <v>0</v>
      </c>
      <c r="H195" s="80">
        <f>SUMIFS('февраль 2024'!$G$6:$G$1413,'февраль 2024'!$D$6:$D$1413,$B195,'февраль 2024'!$J$6:$J$1413,H$1)</f>
        <v>0</v>
      </c>
      <c r="I195" s="80">
        <f>SUMIFS('февраль 2024'!$G$6:$G$1413,'февраль 2024'!$D$6:$D$1413,$B195,'февраль 2024'!$J$6:$J$1413,I$1)</f>
        <v>0</v>
      </c>
      <c r="J195" s="80">
        <f>SUMIFS('февраль 2024'!$G$6:$G$1413,'февраль 2024'!$D$6:$D$1413,$B195,'февраль 2024'!$J$6:$J$1413,J$1)</f>
        <v>0</v>
      </c>
      <c r="K195" s="80">
        <f>SUMIFS('февраль 2024'!$G$6:$G$1413,'февраль 2024'!$D$6:$D$1413,$B195,'февраль 2024'!$J$6:$J$1413,K$1)</f>
        <v>0</v>
      </c>
      <c r="L195" s="80">
        <f>SUMIFS('февраль 2024'!$G$6:$G$1413,'февраль 2024'!$D$6:$D$1413,$B195,'февраль 2024'!$J$6:$J$1413,L$1)</f>
        <v>0</v>
      </c>
      <c r="M195" s="80">
        <f>SUMIFS('февраль 2024'!$G$6:$G$1413,'февраль 2024'!$D$6:$D$1413,$B195,'февраль 2024'!$J$6:$J$1413,M$1)</f>
        <v>0</v>
      </c>
      <c r="N195" s="80">
        <f>SUMIFS('февраль 2024'!$G$6:$G$1413,'февраль 2024'!$D$6:$D$1413,$B195,'февраль 2024'!$J$6:$J$1413,N$1)</f>
        <v>0</v>
      </c>
      <c r="O195" s="80">
        <f>SUMIFS('февраль 2024'!$G$6:$G$1413,'февраль 2024'!$D$6:$D$1413,$B195,'февраль 2024'!$J$6:$J$1413,O$1)</f>
        <v>0</v>
      </c>
      <c r="P195" s="80">
        <f>SUMIFS('февраль 2024'!$G$6:$G$1413,'февраль 2024'!$D$6:$D$1413,$B195,'февраль 2024'!$J$6:$J$1413,P$1)</f>
        <v>0</v>
      </c>
      <c r="Q195" s="80">
        <f>SUMIFS('февраль 2024'!$G$6:$G$1413,'февраль 2024'!$D$6:$D$1413,$B195,'февраль 2024'!$J$6:$J$1413,Q$1)</f>
        <v>0</v>
      </c>
      <c r="R195" s="80">
        <f>SUMIFS('февраль 2024'!$G$6:$G$1413,'февраль 2024'!$D$6:$D$1413,$B195,'февраль 2024'!$J$6:$J$1413,R$1)</f>
        <v>0</v>
      </c>
      <c r="S195" s="80">
        <f>SUMIFS('февраль 2024'!$G$6:$G$1413,'февраль 2024'!$D$6:$D$1413,$B195,'февраль 2024'!$J$6:$J$1413,S$1)</f>
        <v>0</v>
      </c>
      <c r="T195" s="80">
        <f>SUMIFS('февраль 2024'!$G$6:$G$1413,'февраль 2024'!$D$6:$D$1413,$B195,'февраль 2024'!$J$6:$J$1413,T$1)</f>
        <v>0</v>
      </c>
      <c r="U195" s="80">
        <f>SUMIFS('февраль 2024'!$G$6:$G$1413,'февраль 2024'!$D$6:$D$1413,$B195,'февраль 2024'!$J$6:$J$1413,U$1)</f>
        <v>0</v>
      </c>
      <c r="V195" s="80">
        <f>SUMIFS('февраль 2024'!$G$6:$G$1413,'февраль 2024'!$D$6:$D$1413,$B195,'февраль 2024'!$J$6:$J$1413,V$1)</f>
        <v>0</v>
      </c>
      <c r="W195" s="80">
        <f>SUMIFS('февраль 2024'!$G$6:$G$1413,'февраль 2024'!$D$6:$D$1413,$B195,'февраль 2024'!$J$6:$J$1413,W$1)</f>
        <v>0</v>
      </c>
      <c r="X195" s="80">
        <f>SUMIFS('февраль 2024'!$G$6:$G$1413,'февраль 2024'!$D$6:$D$1413,$B195,'февраль 2024'!$J$6:$J$1413,X$1)</f>
        <v>0</v>
      </c>
      <c r="Y195" s="80">
        <f>SUMIFS('февраль 2024'!$G$6:$G$1413,'февраль 2024'!$D$6:$D$1413,$B195,'февраль 2024'!$J$6:$J$1413,Y$1)</f>
        <v>0</v>
      </c>
      <c r="Z195" s="80">
        <f>SUMIFS('февраль 2024'!$G$6:$G$1413,'февраль 2024'!$D$6:$D$1413,$B195,'февраль 2024'!$J$6:$J$1413,Z$1)</f>
        <v>0</v>
      </c>
      <c r="AA195" s="80">
        <f>SUMIFS('февраль 2024'!$G$6:$G$1413,'февраль 2024'!$D$6:$D$1413,$B195,'февраль 2024'!$J$6:$J$1413,AA$1)</f>
        <v>0</v>
      </c>
      <c r="AB195" s="80">
        <f>SUMIFS('февраль 2024'!$G$6:$G$1413,'февраль 2024'!$D$6:$D$1413,$B195,'февраль 2024'!$J$6:$J$1413,AB$1)</f>
        <v>0</v>
      </c>
      <c r="AC195" s="80">
        <f>SUMIFS('февраль 2024'!$G$6:$G$1413,'февраль 2024'!$D$6:$D$1413,$B195,'февраль 2024'!$J$6:$J$1413,AC$1)</f>
        <v>0</v>
      </c>
      <c r="AD195" s="80">
        <f>SUMIFS('февраль 2024'!$G$6:$G$1413,'февраль 2024'!$D$6:$D$1413,$B195,'февраль 2024'!$J$6:$J$1413,AD$1)</f>
        <v>0</v>
      </c>
      <c r="AE195" s="80">
        <f>SUMIFS('февраль 2024'!$G$6:$G$1413,'февраль 2024'!$D$6:$D$1413,$B195,'февраль 2024'!$J$6:$J$1413,AE$1)</f>
        <v>0</v>
      </c>
      <c r="AF195" s="80">
        <f>SUMIFS('февраль 2024'!$G$6:$G$1413,'февраль 2024'!$D$6:$D$1413,$B195,'февраль 2024'!$J$6:$J$1413,AF$1)</f>
        <v>0</v>
      </c>
      <c r="AG195" s="80">
        <f>SUMIFS('февраль 2024'!$G$6:$G$1413,'февраль 2024'!$D$6:$D$1413,$B195,'февраль 2024'!$J$6:$J$1413,AG$1)</f>
        <v>0</v>
      </c>
      <c r="AH195" s="80">
        <f>SUMIFS('февраль 2024'!$G$6:$G$1413,'февраль 2024'!$D$6:$D$1413,$B195,'февраль 2024'!$J$6:$J$1413,AH$1)</f>
        <v>0</v>
      </c>
      <c r="AI195" s="87"/>
    </row>
    <row r="196" spans="2:35" ht="15" hidden="1" customHeight="1" x14ac:dyDescent="0.25">
      <c r="B196" s="89"/>
      <c r="C196" s="88"/>
      <c r="D196" s="80">
        <f>SUMIFS('февраль 2024'!$G$6:$G$1413,'февраль 2024'!$D$6:$D$1413,$B196,'февраль 2024'!$J$6:$J$1413,D$1)</f>
        <v>0</v>
      </c>
      <c r="E196" s="80">
        <f>SUMIFS('февраль 2024'!$G$6:$G$1413,'февраль 2024'!$D$6:$D$1413,$B196,'февраль 2024'!$J$6:$J$1413,E$1)</f>
        <v>0</v>
      </c>
      <c r="F196" s="80">
        <f>SUMIFS('февраль 2024'!$G$6:$G$1413,'февраль 2024'!$D$6:$D$1413,$B196,'февраль 2024'!$J$6:$J$1413,F$1)</f>
        <v>0</v>
      </c>
      <c r="G196" s="80">
        <f>SUMIFS('февраль 2024'!$G$6:$G$1413,'февраль 2024'!$D$6:$D$1413,$B196,'февраль 2024'!$J$6:$J$1413,G$1)</f>
        <v>0</v>
      </c>
      <c r="H196" s="80">
        <f>SUMIFS('февраль 2024'!$G$6:$G$1413,'февраль 2024'!$D$6:$D$1413,$B196,'февраль 2024'!$J$6:$J$1413,H$1)</f>
        <v>0</v>
      </c>
      <c r="I196" s="80">
        <f>SUMIFS('февраль 2024'!$G$6:$G$1413,'февраль 2024'!$D$6:$D$1413,$B196,'февраль 2024'!$J$6:$J$1413,I$1)</f>
        <v>0</v>
      </c>
      <c r="J196" s="80">
        <f>SUMIFS('февраль 2024'!$G$6:$G$1413,'февраль 2024'!$D$6:$D$1413,$B196,'февраль 2024'!$J$6:$J$1413,J$1)</f>
        <v>0</v>
      </c>
      <c r="K196" s="80">
        <f>SUMIFS('февраль 2024'!$G$6:$G$1413,'февраль 2024'!$D$6:$D$1413,$B196,'февраль 2024'!$J$6:$J$1413,K$1)</f>
        <v>0</v>
      </c>
      <c r="L196" s="80">
        <f>SUMIFS('февраль 2024'!$G$6:$G$1413,'февраль 2024'!$D$6:$D$1413,$B196,'февраль 2024'!$J$6:$J$1413,L$1)</f>
        <v>0</v>
      </c>
      <c r="M196" s="80">
        <f>SUMIFS('февраль 2024'!$G$6:$G$1413,'февраль 2024'!$D$6:$D$1413,$B196,'февраль 2024'!$J$6:$J$1413,M$1)</f>
        <v>0</v>
      </c>
      <c r="N196" s="80">
        <f>SUMIFS('февраль 2024'!$G$6:$G$1413,'февраль 2024'!$D$6:$D$1413,$B196,'февраль 2024'!$J$6:$J$1413,N$1)</f>
        <v>0</v>
      </c>
      <c r="O196" s="80">
        <f>SUMIFS('февраль 2024'!$G$6:$G$1413,'февраль 2024'!$D$6:$D$1413,$B196,'февраль 2024'!$J$6:$J$1413,O$1)</f>
        <v>0</v>
      </c>
      <c r="P196" s="80">
        <f>SUMIFS('февраль 2024'!$G$6:$G$1413,'февраль 2024'!$D$6:$D$1413,$B196,'февраль 2024'!$J$6:$J$1413,P$1)</f>
        <v>0</v>
      </c>
      <c r="Q196" s="80">
        <f>SUMIFS('февраль 2024'!$G$6:$G$1413,'февраль 2024'!$D$6:$D$1413,$B196,'февраль 2024'!$J$6:$J$1413,Q$1)</f>
        <v>0</v>
      </c>
      <c r="R196" s="80">
        <f>SUMIFS('февраль 2024'!$G$6:$G$1413,'февраль 2024'!$D$6:$D$1413,$B196,'февраль 2024'!$J$6:$J$1413,R$1)</f>
        <v>0</v>
      </c>
      <c r="S196" s="80">
        <f>SUMIFS('февраль 2024'!$G$6:$G$1413,'февраль 2024'!$D$6:$D$1413,$B196,'февраль 2024'!$J$6:$J$1413,S$1)</f>
        <v>0</v>
      </c>
      <c r="T196" s="80">
        <f>SUMIFS('февраль 2024'!$G$6:$G$1413,'февраль 2024'!$D$6:$D$1413,$B196,'февраль 2024'!$J$6:$J$1413,T$1)</f>
        <v>0</v>
      </c>
      <c r="U196" s="80">
        <f>SUMIFS('февраль 2024'!$G$6:$G$1413,'февраль 2024'!$D$6:$D$1413,$B196,'февраль 2024'!$J$6:$J$1413,U$1)</f>
        <v>0</v>
      </c>
      <c r="V196" s="80">
        <f>SUMIFS('февраль 2024'!$G$6:$G$1413,'февраль 2024'!$D$6:$D$1413,$B196,'февраль 2024'!$J$6:$J$1413,V$1)</f>
        <v>0</v>
      </c>
      <c r="W196" s="80">
        <f>SUMIFS('февраль 2024'!$G$6:$G$1413,'февраль 2024'!$D$6:$D$1413,$B196,'февраль 2024'!$J$6:$J$1413,W$1)</f>
        <v>0</v>
      </c>
      <c r="X196" s="80">
        <f>SUMIFS('февраль 2024'!$G$6:$G$1413,'февраль 2024'!$D$6:$D$1413,$B196,'февраль 2024'!$J$6:$J$1413,X$1)</f>
        <v>0</v>
      </c>
      <c r="Y196" s="80">
        <f>SUMIFS('февраль 2024'!$G$6:$G$1413,'февраль 2024'!$D$6:$D$1413,$B196,'февраль 2024'!$J$6:$J$1413,Y$1)</f>
        <v>0</v>
      </c>
      <c r="Z196" s="80">
        <f>SUMIFS('февраль 2024'!$G$6:$G$1413,'февраль 2024'!$D$6:$D$1413,$B196,'февраль 2024'!$J$6:$J$1413,Z$1)</f>
        <v>0</v>
      </c>
      <c r="AA196" s="80">
        <f>SUMIFS('февраль 2024'!$G$6:$G$1413,'февраль 2024'!$D$6:$D$1413,$B196,'февраль 2024'!$J$6:$J$1413,AA$1)</f>
        <v>0</v>
      </c>
      <c r="AB196" s="80">
        <f>SUMIFS('февраль 2024'!$G$6:$G$1413,'февраль 2024'!$D$6:$D$1413,$B196,'февраль 2024'!$J$6:$J$1413,AB$1)</f>
        <v>0</v>
      </c>
      <c r="AC196" s="80">
        <f>SUMIFS('февраль 2024'!$G$6:$G$1413,'февраль 2024'!$D$6:$D$1413,$B196,'февраль 2024'!$J$6:$J$1413,AC$1)</f>
        <v>0</v>
      </c>
      <c r="AD196" s="80">
        <f>SUMIFS('февраль 2024'!$G$6:$G$1413,'февраль 2024'!$D$6:$D$1413,$B196,'февраль 2024'!$J$6:$J$1413,AD$1)</f>
        <v>0</v>
      </c>
      <c r="AE196" s="80">
        <f>SUMIFS('февраль 2024'!$G$6:$G$1413,'февраль 2024'!$D$6:$D$1413,$B196,'февраль 2024'!$J$6:$J$1413,AE$1)</f>
        <v>0</v>
      </c>
      <c r="AF196" s="80">
        <f>SUMIFS('февраль 2024'!$G$6:$G$1413,'февраль 2024'!$D$6:$D$1413,$B196,'февраль 2024'!$J$6:$J$1413,AF$1)</f>
        <v>0</v>
      </c>
      <c r="AG196" s="80">
        <f>SUMIFS('февраль 2024'!$G$6:$G$1413,'февраль 2024'!$D$6:$D$1413,$B196,'февраль 2024'!$J$6:$J$1413,AG$1)</f>
        <v>0</v>
      </c>
      <c r="AH196" s="80">
        <f>SUMIFS('февраль 2024'!$G$6:$G$1413,'февраль 2024'!$D$6:$D$1413,$B196,'февраль 2024'!$J$6:$J$1413,AH$1)</f>
        <v>0</v>
      </c>
      <c r="AI196" s="87"/>
    </row>
    <row r="197" spans="2:35" ht="15" hidden="1" customHeight="1" x14ac:dyDescent="0.25">
      <c r="B197" s="89"/>
      <c r="C197" s="88"/>
      <c r="D197" s="80">
        <f>SUMIFS('февраль 2024'!$G$6:$G$1413,'февраль 2024'!$D$6:$D$1413,$B197,'февраль 2024'!$J$6:$J$1413,D$1)</f>
        <v>0</v>
      </c>
      <c r="E197" s="80">
        <f>SUMIFS('февраль 2024'!$G$6:$G$1413,'февраль 2024'!$D$6:$D$1413,$B197,'февраль 2024'!$J$6:$J$1413,E$1)</f>
        <v>0</v>
      </c>
      <c r="F197" s="80">
        <f>SUMIFS('февраль 2024'!$G$6:$G$1413,'февраль 2024'!$D$6:$D$1413,$B197,'февраль 2024'!$J$6:$J$1413,F$1)</f>
        <v>0</v>
      </c>
      <c r="G197" s="80">
        <f>SUMIFS('февраль 2024'!$G$6:$G$1413,'февраль 2024'!$D$6:$D$1413,$B197,'февраль 2024'!$J$6:$J$1413,G$1)</f>
        <v>0</v>
      </c>
      <c r="H197" s="80">
        <f>SUMIFS('февраль 2024'!$G$6:$G$1413,'февраль 2024'!$D$6:$D$1413,$B197,'февраль 2024'!$J$6:$J$1413,H$1)</f>
        <v>0</v>
      </c>
      <c r="I197" s="80">
        <f>SUMIFS('февраль 2024'!$G$6:$G$1413,'февраль 2024'!$D$6:$D$1413,$B197,'февраль 2024'!$J$6:$J$1413,I$1)</f>
        <v>0</v>
      </c>
      <c r="J197" s="80">
        <f>SUMIFS('февраль 2024'!$G$6:$G$1413,'февраль 2024'!$D$6:$D$1413,$B197,'февраль 2024'!$J$6:$J$1413,J$1)</f>
        <v>0</v>
      </c>
      <c r="K197" s="80">
        <f>SUMIFS('февраль 2024'!$G$6:$G$1413,'февраль 2024'!$D$6:$D$1413,$B197,'февраль 2024'!$J$6:$J$1413,K$1)</f>
        <v>0</v>
      </c>
      <c r="L197" s="80">
        <f>SUMIFS('февраль 2024'!$G$6:$G$1413,'февраль 2024'!$D$6:$D$1413,$B197,'февраль 2024'!$J$6:$J$1413,L$1)</f>
        <v>0</v>
      </c>
      <c r="M197" s="80">
        <f>SUMIFS('февраль 2024'!$G$6:$G$1413,'февраль 2024'!$D$6:$D$1413,$B197,'февраль 2024'!$J$6:$J$1413,M$1)</f>
        <v>0</v>
      </c>
      <c r="N197" s="80">
        <f>SUMIFS('февраль 2024'!$G$6:$G$1413,'февраль 2024'!$D$6:$D$1413,$B197,'февраль 2024'!$J$6:$J$1413,N$1)</f>
        <v>0</v>
      </c>
      <c r="O197" s="80">
        <f>SUMIFS('февраль 2024'!$G$6:$G$1413,'февраль 2024'!$D$6:$D$1413,$B197,'февраль 2024'!$J$6:$J$1413,O$1)</f>
        <v>0</v>
      </c>
      <c r="P197" s="80">
        <f>SUMIFS('февраль 2024'!$G$6:$G$1413,'февраль 2024'!$D$6:$D$1413,$B197,'февраль 2024'!$J$6:$J$1413,P$1)</f>
        <v>0</v>
      </c>
      <c r="Q197" s="80">
        <f>SUMIFS('февраль 2024'!$G$6:$G$1413,'февраль 2024'!$D$6:$D$1413,$B197,'февраль 2024'!$J$6:$J$1413,Q$1)</f>
        <v>0</v>
      </c>
      <c r="R197" s="80">
        <f>SUMIFS('февраль 2024'!$G$6:$G$1413,'февраль 2024'!$D$6:$D$1413,$B197,'февраль 2024'!$J$6:$J$1413,R$1)</f>
        <v>0</v>
      </c>
      <c r="S197" s="80">
        <f>SUMIFS('февраль 2024'!$G$6:$G$1413,'февраль 2024'!$D$6:$D$1413,$B197,'февраль 2024'!$J$6:$J$1413,S$1)</f>
        <v>0</v>
      </c>
      <c r="T197" s="80">
        <f>SUMIFS('февраль 2024'!$G$6:$G$1413,'февраль 2024'!$D$6:$D$1413,$B197,'февраль 2024'!$J$6:$J$1413,T$1)</f>
        <v>0</v>
      </c>
      <c r="U197" s="80">
        <f>SUMIFS('февраль 2024'!$G$6:$G$1413,'февраль 2024'!$D$6:$D$1413,$B197,'февраль 2024'!$J$6:$J$1413,U$1)</f>
        <v>0</v>
      </c>
      <c r="V197" s="80">
        <f>SUMIFS('февраль 2024'!$G$6:$G$1413,'февраль 2024'!$D$6:$D$1413,$B197,'февраль 2024'!$J$6:$J$1413,V$1)</f>
        <v>0</v>
      </c>
      <c r="W197" s="80">
        <f>SUMIFS('февраль 2024'!$G$6:$G$1413,'февраль 2024'!$D$6:$D$1413,$B197,'февраль 2024'!$J$6:$J$1413,W$1)</f>
        <v>0</v>
      </c>
      <c r="X197" s="80">
        <f>SUMIFS('февраль 2024'!$G$6:$G$1413,'февраль 2024'!$D$6:$D$1413,$B197,'февраль 2024'!$J$6:$J$1413,X$1)</f>
        <v>0</v>
      </c>
      <c r="Y197" s="80">
        <f>SUMIFS('февраль 2024'!$G$6:$G$1413,'февраль 2024'!$D$6:$D$1413,$B197,'февраль 2024'!$J$6:$J$1413,Y$1)</f>
        <v>0</v>
      </c>
      <c r="Z197" s="80">
        <f>SUMIFS('февраль 2024'!$G$6:$G$1413,'февраль 2024'!$D$6:$D$1413,$B197,'февраль 2024'!$J$6:$J$1413,Z$1)</f>
        <v>0</v>
      </c>
      <c r="AA197" s="80">
        <f>SUMIFS('февраль 2024'!$G$6:$G$1413,'февраль 2024'!$D$6:$D$1413,$B197,'февраль 2024'!$J$6:$J$1413,AA$1)</f>
        <v>0</v>
      </c>
      <c r="AB197" s="80">
        <f>SUMIFS('февраль 2024'!$G$6:$G$1413,'февраль 2024'!$D$6:$D$1413,$B197,'февраль 2024'!$J$6:$J$1413,AB$1)</f>
        <v>0</v>
      </c>
      <c r="AC197" s="80">
        <f>SUMIFS('февраль 2024'!$G$6:$G$1413,'февраль 2024'!$D$6:$D$1413,$B197,'февраль 2024'!$J$6:$J$1413,AC$1)</f>
        <v>0</v>
      </c>
      <c r="AD197" s="80">
        <f>SUMIFS('февраль 2024'!$G$6:$G$1413,'февраль 2024'!$D$6:$D$1413,$B197,'февраль 2024'!$J$6:$J$1413,AD$1)</f>
        <v>0</v>
      </c>
      <c r="AE197" s="80">
        <f>SUMIFS('февраль 2024'!$G$6:$G$1413,'февраль 2024'!$D$6:$D$1413,$B197,'февраль 2024'!$J$6:$J$1413,AE$1)</f>
        <v>0</v>
      </c>
      <c r="AF197" s="80">
        <f>SUMIFS('февраль 2024'!$G$6:$G$1413,'февраль 2024'!$D$6:$D$1413,$B197,'февраль 2024'!$J$6:$J$1413,AF$1)</f>
        <v>0</v>
      </c>
      <c r="AG197" s="80">
        <f>SUMIFS('февраль 2024'!$G$6:$G$1413,'февраль 2024'!$D$6:$D$1413,$B197,'февраль 2024'!$J$6:$J$1413,AG$1)</f>
        <v>0</v>
      </c>
      <c r="AH197" s="80">
        <f>SUMIFS('февраль 2024'!$G$6:$G$1413,'февраль 2024'!$D$6:$D$1413,$B197,'февраль 2024'!$J$6:$J$1413,AH$1)</f>
        <v>0</v>
      </c>
      <c r="AI197" s="87"/>
    </row>
    <row r="198" spans="2:35" ht="15" hidden="1" customHeight="1" x14ac:dyDescent="0.25">
      <c r="B198" s="89"/>
      <c r="C198" s="88"/>
      <c r="D198" s="80">
        <f>SUMIFS('февраль 2024'!$G$6:$G$1413,'февраль 2024'!$D$6:$D$1413,$B198,'февраль 2024'!$J$6:$J$1413,D$1)</f>
        <v>0</v>
      </c>
      <c r="E198" s="80">
        <f>SUMIFS('февраль 2024'!$G$6:$G$1413,'февраль 2024'!$D$6:$D$1413,$B198,'февраль 2024'!$J$6:$J$1413,E$1)</f>
        <v>0</v>
      </c>
      <c r="F198" s="80">
        <f>SUMIFS('февраль 2024'!$G$6:$G$1413,'февраль 2024'!$D$6:$D$1413,$B198,'февраль 2024'!$J$6:$J$1413,F$1)</f>
        <v>0</v>
      </c>
      <c r="G198" s="80">
        <f>SUMIFS('февраль 2024'!$G$6:$G$1413,'февраль 2024'!$D$6:$D$1413,$B198,'февраль 2024'!$J$6:$J$1413,G$1)</f>
        <v>0</v>
      </c>
      <c r="H198" s="80">
        <f>SUMIFS('февраль 2024'!$G$6:$G$1413,'февраль 2024'!$D$6:$D$1413,$B198,'февраль 2024'!$J$6:$J$1413,H$1)</f>
        <v>0</v>
      </c>
      <c r="I198" s="80">
        <f>SUMIFS('февраль 2024'!$G$6:$G$1413,'февраль 2024'!$D$6:$D$1413,$B198,'февраль 2024'!$J$6:$J$1413,I$1)</f>
        <v>0</v>
      </c>
      <c r="J198" s="80">
        <f>SUMIFS('февраль 2024'!$G$6:$G$1413,'февраль 2024'!$D$6:$D$1413,$B198,'февраль 2024'!$J$6:$J$1413,J$1)</f>
        <v>0</v>
      </c>
      <c r="K198" s="80">
        <f>SUMIFS('февраль 2024'!$G$6:$G$1413,'февраль 2024'!$D$6:$D$1413,$B198,'февраль 2024'!$J$6:$J$1413,K$1)</f>
        <v>0</v>
      </c>
      <c r="L198" s="80">
        <f>SUMIFS('февраль 2024'!$G$6:$G$1413,'февраль 2024'!$D$6:$D$1413,$B198,'февраль 2024'!$J$6:$J$1413,L$1)</f>
        <v>0</v>
      </c>
      <c r="M198" s="80">
        <f>SUMIFS('февраль 2024'!$G$6:$G$1413,'февраль 2024'!$D$6:$D$1413,$B198,'февраль 2024'!$J$6:$J$1413,M$1)</f>
        <v>0</v>
      </c>
      <c r="N198" s="80">
        <f>SUMIFS('февраль 2024'!$G$6:$G$1413,'февраль 2024'!$D$6:$D$1413,$B198,'февраль 2024'!$J$6:$J$1413,N$1)</f>
        <v>0</v>
      </c>
      <c r="O198" s="80">
        <f>SUMIFS('февраль 2024'!$G$6:$G$1413,'февраль 2024'!$D$6:$D$1413,$B198,'февраль 2024'!$J$6:$J$1413,O$1)</f>
        <v>0</v>
      </c>
      <c r="P198" s="80">
        <f>SUMIFS('февраль 2024'!$G$6:$G$1413,'февраль 2024'!$D$6:$D$1413,$B198,'февраль 2024'!$J$6:$J$1413,P$1)</f>
        <v>0</v>
      </c>
      <c r="Q198" s="80">
        <f>SUMIFS('февраль 2024'!$G$6:$G$1413,'февраль 2024'!$D$6:$D$1413,$B198,'февраль 2024'!$J$6:$J$1413,Q$1)</f>
        <v>0</v>
      </c>
      <c r="R198" s="80">
        <f>SUMIFS('февраль 2024'!$G$6:$G$1413,'февраль 2024'!$D$6:$D$1413,$B198,'февраль 2024'!$J$6:$J$1413,R$1)</f>
        <v>0</v>
      </c>
      <c r="S198" s="80">
        <f>SUMIFS('февраль 2024'!$G$6:$G$1413,'февраль 2024'!$D$6:$D$1413,$B198,'февраль 2024'!$J$6:$J$1413,S$1)</f>
        <v>0</v>
      </c>
      <c r="T198" s="80">
        <f>SUMIFS('февраль 2024'!$G$6:$G$1413,'февраль 2024'!$D$6:$D$1413,$B198,'февраль 2024'!$J$6:$J$1413,T$1)</f>
        <v>0</v>
      </c>
      <c r="U198" s="80">
        <f>SUMIFS('февраль 2024'!$G$6:$G$1413,'февраль 2024'!$D$6:$D$1413,$B198,'февраль 2024'!$J$6:$J$1413,U$1)</f>
        <v>0</v>
      </c>
      <c r="V198" s="80">
        <f>SUMIFS('февраль 2024'!$G$6:$G$1413,'февраль 2024'!$D$6:$D$1413,$B198,'февраль 2024'!$J$6:$J$1413,V$1)</f>
        <v>0</v>
      </c>
      <c r="W198" s="80">
        <f>SUMIFS('февраль 2024'!$G$6:$G$1413,'февраль 2024'!$D$6:$D$1413,$B198,'февраль 2024'!$J$6:$J$1413,W$1)</f>
        <v>0</v>
      </c>
      <c r="X198" s="80">
        <f>SUMIFS('февраль 2024'!$G$6:$G$1413,'февраль 2024'!$D$6:$D$1413,$B198,'февраль 2024'!$J$6:$J$1413,X$1)</f>
        <v>0</v>
      </c>
      <c r="Y198" s="80">
        <f>SUMIFS('февраль 2024'!$G$6:$G$1413,'февраль 2024'!$D$6:$D$1413,$B198,'февраль 2024'!$J$6:$J$1413,Y$1)</f>
        <v>0</v>
      </c>
      <c r="Z198" s="80">
        <f>SUMIFS('февраль 2024'!$G$6:$G$1413,'февраль 2024'!$D$6:$D$1413,$B198,'февраль 2024'!$J$6:$J$1413,Z$1)</f>
        <v>0</v>
      </c>
      <c r="AA198" s="80">
        <f>SUMIFS('февраль 2024'!$G$6:$G$1413,'февраль 2024'!$D$6:$D$1413,$B198,'февраль 2024'!$J$6:$J$1413,AA$1)</f>
        <v>0</v>
      </c>
      <c r="AB198" s="80">
        <f>SUMIFS('февраль 2024'!$G$6:$G$1413,'февраль 2024'!$D$6:$D$1413,$B198,'февраль 2024'!$J$6:$J$1413,AB$1)</f>
        <v>0</v>
      </c>
      <c r="AC198" s="80">
        <f>SUMIFS('февраль 2024'!$G$6:$G$1413,'февраль 2024'!$D$6:$D$1413,$B198,'февраль 2024'!$J$6:$J$1413,AC$1)</f>
        <v>0</v>
      </c>
      <c r="AD198" s="80">
        <f>SUMIFS('февраль 2024'!$G$6:$G$1413,'февраль 2024'!$D$6:$D$1413,$B198,'февраль 2024'!$J$6:$J$1413,AD$1)</f>
        <v>0</v>
      </c>
      <c r="AE198" s="80">
        <f>SUMIFS('февраль 2024'!$G$6:$G$1413,'февраль 2024'!$D$6:$D$1413,$B198,'февраль 2024'!$J$6:$J$1413,AE$1)</f>
        <v>0</v>
      </c>
      <c r="AF198" s="80">
        <f>SUMIFS('февраль 2024'!$G$6:$G$1413,'февраль 2024'!$D$6:$D$1413,$B198,'февраль 2024'!$J$6:$J$1413,AF$1)</f>
        <v>0</v>
      </c>
      <c r="AG198" s="80">
        <f>SUMIFS('февраль 2024'!$G$6:$G$1413,'февраль 2024'!$D$6:$D$1413,$B198,'февраль 2024'!$J$6:$J$1413,AG$1)</f>
        <v>0</v>
      </c>
      <c r="AH198" s="80">
        <f>SUMIFS('февраль 2024'!$G$6:$G$1413,'февраль 2024'!$D$6:$D$1413,$B198,'февраль 2024'!$J$6:$J$1413,AH$1)</f>
        <v>0</v>
      </c>
      <c r="AI198" s="87"/>
    </row>
    <row r="199" spans="2:35" ht="15" hidden="1" customHeight="1" x14ac:dyDescent="0.25">
      <c r="B199" s="89"/>
      <c r="C199" s="88"/>
      <c r="D199" s="80">
        <f>SUMIFS('февраль 2024'!$G$6:$G$1413,'февраль 2024'!$D$6:$D$1413,$B199,'февраль 2024'!$J$6:$J$1413,D$1)</f>
        <v>0</v>
      </c>
      <c r="E199" s="80">
        <f>SUMIFS('февраль 2024'!$G$6:$G$1413,'февраль 2024'!$D$6:$D$1413,$B199,'февраль 2024'!$J$6:$J$1413,E$1)</f>
        <v>0</v>
      </c>
      <c r="F199" s="80">
        <f>SUMIFS('февраль 2024'!$G$6:$G$1413,'февраль 2024'!$D$6:$D$1413,$B199,'февраль 2024'!$J$6:$J$1413,F$1)</f>
        <v>0</v>
      </c>
      <c r="G199" s="80">
        <f>SUMIFS('февраль 2024'!$G$6:$G$1413,'февраль 2024'!$D$6:$D$1413,$B199,'февраль 2024'!$J$6:$J$1413,G$1)</f>
        <v>0</v>
      </c>
      <c r="H199" s="80">
        <f>SUMIFS('февраль 2024'!$G$6:$G$1413,'февраль 2024'!$D$6:$D$1413,$B199,'февраль 2024'!$J$6:$J$1413,H$1)</f>
        <v>0</v>
      </c>
      <c r="I199" s="80">
        <f>SUMIFS('февраль 2024'!$G$6:$G$1413,'февраль 2024'!$D$6:$D$1413,$B199,'февраль 2024'!$J$6:$J$1413,I$1)</f>
        <v>0</v>
      </c>
      <c r="J199" s="80">
        <f>SUMIFS('февраль 2024'!$G$6:$G$1413,'февраль 2024'!$D$6:$D$1413,$B199,'февраль 2024'!$J$6:$J$1413,J$1)</f>
        <v>0</v>
      </c>
      <c r="K199" s="80">
        <f>SUMIFS('февраль 2024'!$G$6:$G$1413,'февраль 2024'!$D$6:$D$1413,$B199,'февраль 2024'!$J$6:$J$1413,K$1)</f>
        <v>0</v>
      </c>
      <c r="L199" s="80">
        <f>SUMIFS('февраль 2024'!$G$6:$G$1413,'февраль 2024'!$D$6:$D$1413,$B199,'февраль 2024'!$J$6:$J$1413,L$1)</f>
        <v>0</v>
      </c>
      <c r="M199" s="80">
        <f>SUMIFS('февраль 2024'!$G$6:$G$1413,'февраль 2024'!$D$6:$D$1413,$B199,'февраль 2024'!$J$6:$J$1413,M$1)</f>
        <v>0</v>
      </c>
      <c r="N199" s="80">
        <f>SUMIFS('февраль 2024'!$G$6:$G$1413,'февраль 2024'!$D$6:$D$1413,$B199,'февраль 2024'!$J$6:$J$1413,N$1)</f>
        <v>0</v>
      </c>
      <c r="O199" s="80">
        <f>SUMIFS('февраль 2024'!$G$6:$G$1413,'февраль 2024'!$D$6:$D$1413,$B199,'февраль 2024'!$J$6:$J$1413,O$1)</f>
        <v>0</v>
      </c>
      <c r="P199" s="80">
        <f>SUMIFS('февраль 2024'!$G$6:$G$1413,'февраль 2024'!$D$6:$D$1413,$B199,'февраль 2024'!$J$6:$J$1413,P$1)</f>
        <v>0</v>
      </c>
      <c r="Q199" s="80">
        <f>SUMIFS('февраль 2024'!$G$6:$G$1413,'февраль 2024'!$D$6:$D$1413,$B199,'февраль 2024'!$J$6:$J$1413,Q$1)</f>
        <v>0</v>
      </c>
      <c r="R199" s="80">
        <f>SUMIFS('февраль 2024'!$G$6:$G$1413,'февраль 2024'!$D$6:$D$1413,$B199,'февраль 2024'!$J$6:$J$1413,R$1)</f>
        <v>0</v>
      </c>
      <c r="S199" s="80">
        <f>SUMIFS('февраль 2024'!$G$6:$G$1413,'февраль 2024'!$D$6:$D$1413,$B199,'февраль 2024'!$J$6:$J$1413,S$1)</f>
        <v>0</v>
      </c>
      <c r="T199" s="80">
        <f>SUMIFS('февраль 2024'!$G$6:$G$1413,'февраль 2024'!$D$6:$D$1413,$B199,'февраль 2024'!$J$6:$J$1413,T$1)</f>
        <v>0</v>
      </c>
      <c r="U199" s="80">
        <f>SUMIFS('февраль 2024'!$G$6:$G$1413,'февраль 2024'!$D$6:$D$1413,$B199,'февраль 2024'!$J$6:$J$1413,U$1)</f>
        <v>0</v>
      </c>
      <c r="V199" s="80">
        <f>SUMIFS('февраль 2024'!$G$6:$G$1413,'февраль 2024'!$D$6:$D$1413,$B199,'февраль 2024'!$J$6:$J$1413,V$1)</f>
        <v>0</v>
      </c>
      <c r="W199" s="80">
        <f>SUMIFS('февраль 2024'!$G$6:$G$1413,'февраль 2024'!$D$6:$D$1413,$B199,'февраль 2024'!$J$6:$J$1413,W$1)</f>
        <v>0</v>
      </c>
      <c r="X199" s="80">
        <f>SUMIFS('февраль 2024'!$G$6:$G$1413,'февраль 2024'!$D$6:$D$1413,$B199,'февраль 2024'!$J$6:$J$1413,X$1)</f>
        <v>0</v>
      </c>
      <c r="Y199" s="80">
        <f>SUMIFS('февраль 2024'!$G$6:$G$1413,'февраль 2024'!$D$6:$D$1413,$B199,'февраль 2024'!$J$6:$J$1413,Y$1)</f>
        <v>0</v>
      </c>
      <c r="Z199" s="80">
        <f>SUMIFS('февраль 2024'!$G$6:$G$1413,'февраль 2024'!$D$6:$D$1413,$B199,'февраль 2024'!$J$6:$J$1413,Z$1)</f>
        <v>0</v>
      </c>
      <c r="AA199" s="80">
        <f>SUMIFS('февраль 2024'!$G$6:$G$1413,'февраль 2024'!$D$6:$D$1413,$B199,'февраль 2024'!$J$6:$J$1413,AA$1)</f>
        <v>0</v>
      </c>
      <c r="AB199" s="80">
        <f>SUMIFS('февраль 2024'!$G$6:$G$1413,'февраль 2024'!$D$6:$D$1413,$B199,'февраль 2024'!$J$6:$J$1413,AB$1)</f>
        <v>0</v>
      </c>
      <c r="AC199" s="80">
        <f>SUMIFS('февраль 2024'!$G$6:$G$1413,'февраль 2024'!$D$6:$D$1413,$B199,'февраль 2024'!$J$6:$J$1413,AC$1)</f>
        <v>0</v>
      </c>
      <c r="AD199" s="80">
        <f>SUMIFS('февраль 2024'!$G$6:$G$1413,'февраль 2024'!$D$6:$D$1413,$B199,'февраль 2024'!$J$6:$J$1413,AD$1)</f>
        <v>0</v>
      </c>
      <c r="AE199" s="80">
        <f>SUMIFS('февраль 2024'!$G$6:$G$1413,'февраль 2024'!$D$6:$D$1413,$B199,'февраль 2024'!$J$6:$J$1413,AE$1)</f>
        <v>0</v>
      </c>
      <c r="AF199" s="80">
        <f>SUMIFS('февраль 2024'!$G$6:$G$1413,'февраль 2024'!$D$6:$D$1413,$B199,'февраль 2024'!$J$6:$J$1413,AF$1)</f>
        <v>0</v>
      </c>
      <c r="AG199" s="80">
        <f>SUMIFS('февраль 2024'!$G$6:$G$1413,'февраль 2024'!$D$6:$D$1413,$B199,'февраль 2024'!$J$6:$J$1413,AG$1)</f>
        <v>0</v>
      </c>
      <c r="AH199" s="80">
        <f>SUMIFS('февраль 2024'!$G$6:$G$1413,'февраль 2024'!$D$6:$D$1413,$B199,'февраль 2024'!$J$6:$J$1413,AH$1)</f>
        <v>0</v>
      </c>
      <c r="AI199" s="87"/>
    </row>
    <row r="200" spans="2:35" ht="15" hidden="1" customHeight="1" x14ac:dyDescent="0.25">
      <c r="B200" s="89"/>
      <c r="C200" s="88"/>
      <c r="D200" s="80">
        <f>SUMIFS('февраль 2024'!$G$6:$G$1413,'февраль 2024'!$D$6:$D$1413,$B200,'февраль 2024'!$J$6:$J$1413,D$1)</f>
        <v>0</v>
      </c>
      <c r="E200" s="80">
        <f>SUMIFS('февраль 2024'!$G$6:$G$1413,'февраль 2024'!$D$6:$D$1413,$B200,'февраль 2024'!$J$6:$J$1413,E$1)</f>
        <v>0</v>
      </c>
      <c r="F200" s="80">
        <f>SUMIFS('февраль 2024'!$G$6:$G$1413,'февраль 2024'!$D$6:$D$1413,$B200,'февраль 2024'!$J$6:$J$1413,F$1)</f>
        <v>0</v>
      </c>
      <c r="G200" s="80">
        <f>SUMIFS('февраль 2024'!$G$6:$G$1413,'февраль 2024'!$D$6:$D$1413,$B200,'февраль 2024'!$J$6:$J$1413,G$1)</f>
        <v>0</v>
      </c>
      <c r="H200" s="80">
        <f>SUMIFS('февраль 2024'!$G$6:$G$1413,'февраль 2024'!$D$6:$D$1413,$B200,'февраль 2024'!$J$6:$J$1413,H$1)</f>
        <v>0</v>
      </c>
      <c r="I200" s="80">
        <f>SUMIFS('февраль 2024'!$G$6:$G$1413,'февраль 2024'!$D$6:$D$1413,$B200,'февраль 2024'!$J$6:$J$1413,I$1)</f>
        <v>0</v>
      </c>
      <c r="J200" s="80">
        <f>SUMIFS('февраль 2024'!$G$6:$G$1413,'февраль 2024'!$D$6:$D$1413,$B200,'февраль 2024'!$J$6:$J$1413,J$1)</f>
        <v>0</v>
      </c>
      <c r="K200" s="80">
        <f>SUMIFS('февраль 2024'!$G$6:$G$1413,'февраль 2024'!$D$6:$D$1413,$B200,'февраль 2024'!$J$6:$J$1413,K$1)</f>
        <v>0</v>
      </c>
      <c r="L200" s="80">
        <f>SUMIFS('февраль 2024'!$G$6:$G$1413,'февраль 2024'!$D$6:$D$1413,$B200,'февраль 2024'!$J$6:$J$1413,L$1)</f>
        <v>0</v>
      </c>
      <c r="M200" s="80">
        <f>SUMIFS('февраль 2024'!$G$6:$G$1413,'февраль 2024'!$D$6:$D$1413,$B200,'февраль 2024'!$J$6:$J$1413,M$1)</f>
        <v>0</v>
      </c>
      <c r="N200" s="80">
        <f>SUMIFS('февраль 2024'!$G$6:$G$1413,'февраль 2024'!$D$6:$D$1413,$B200,'февраль 2024'!$J$6:$J$1413,N$1)</f>
        <v>0</v>
      </c>
      <c r="O200" s="80">
        <f>SUMIFS('февраль 2024'!$G$6:$G$1413,'февраль 2024'!$D$6:$D$1413,$B200,'февраль 2024'!$J$6:$J$1413,O$1)</f>
        <v>0</v>
      </c>
      <c r="P200" s="80">
        <f>SUMIFS('февраль 2024'!$G$6:$G$1413,'февраль 2024'!$D$6:$D$1413,$B200,'февраль 2024'!$J$6:$J$1413,P$1)</f>
        <v>0</v>
      </c>
      <c r="Q200" s="80">
        <f>SUMIFS('февраль 2024'!$G$6:$G$1413,'февраль 2024'!$D$6:$D$1413,$B200,'февраль 2024'!$J$6:$J$1413,Q$1)</f>
        <v>0</v>
      </c>
      <c r="R200" s="80">
        <f>SUMIFS('февраль 2024'!$G$6:$G$1413,'февраль 2024'!$D$6:$D$1413,$B200,'февраль 2024'!$J$6:$J$1413,R$1)</f>
        <v>0</v>
      </c>
      <c r="S200" s="80">
        <f>SUMIFS('февраль 2024'!$G$6:$G$1413,'февраль 2024'!$D$6:$D$1413,$B200,'февраль 2024'!$J$6:$J$1413,S$1)</f>
        <v>0</v>
      </c>
      <c r="T200" s="80">
        <f>SUMIFS('февраль 2024'!$G$6:$G$1413,'февраль 2024'!$D$6:$D$1413,$B200,'февраль 2024'!$J$6:$J$1413,T$1)</f>
        <v>0</v>
      </c>
      <c r="U200" s="80">
        <f>SUMIFS('февраль 2024'!$G$6:$G$1413,'февраль 2024'!$D$6:$D$1413,$B200,'февраль 2024'!$J$6:$J$1413,U$1)</f>
        <v>0</v>
      </c>
      <c r="V200" s="80">
        <f>SUMIFS('февраль 2024'!$G$6:$G$1413,'февраль 2024'!$D$6:$D$1413,$B200,'февраль 2024'!$J$6:$J$1413,V$1)</f>
        <v>0</v>
      </c>
      <c r="W200" s="80">
        <f>SUMIFS('февраль 2024'!$G$6:$G$1413,'февраль 2024'!$D$6:$D$1413,$B200,'февраль 2024'!$J$6:$J$1413,W$1)</f>
        <v>0</v>
      </c>
      <c r="X200" s="80">
        <f>SUMIFS('февраль 2024'!$G$6:$G$1413,'февраль 2024'!$D$6:$D$1413,$B200,'февраль 2024'!$J$6:$J$1413,X$1)</f>
        <v>0</v>
      </c>
      <c r="Y200" s="80">
        <f>SUMIFS('февраль 2024'!$G$6:$G$1413,'февраль 2024'!$D$6:$D$1413,$B200,'февраль 2024'!$J$6:$J$1413,Y$1)</f>
        <v>0</v>
      </c>
      <c r="Z200" s="80">
        <f>SUMIFS('февраль 2024'!$G$6:$G$1413,'февраль 2024'!$D$6:$D$1413,$B200,'февраль 2024'!$J$6:$J$1413,Z$1)</f>
        <v>0</v>
      </c>
      <c r="AA200" s="80">
        <f>SUMIFS('февраль 2024'!$G$6:$G$1413,'февраль 2024'!$D$6:$D$1413,$B200,'февраль 2024'!$J$6:$J$1413,AA$1)</f>
        <v>0</v>
      </c>
      <c r="AB200" s="80">
        <f>SUMIFS('февраль 2024'!$G$6:$G$1413,'февраль 2024'!$D$6:$D$1413,$B200,'февраль 2024'!$J$6:$J$1413,AB$1)</f>
        <v>0</v>
      </c>
      <c r="AC200" s="80">
        <f>SUMIFS('февраль 2024'!$G$6:$G$1413,'февраль 2024'!$D$6:$D$1413,$B200,'февраль 2024'!$J$6:$J$1413,AC$1)</f>
        <v>0</v>
      </c>
      <c r="AD200" s="80">
        <f>SUMIFS('февраль 2024'!$G$6:$G$1413,'февраль 2024'!$D$6:$D$1413,$B200,'февраль 2024'!$J$6:$J$1413,AD$1)</f>
        <v>0</v>
      </c>
      <c r="AE200" s="80">
        <f>SUMIFS('февраль 2024'!$G$6:$G$1413,'февраль 2024'!$D$6:$D$1413,$B200,'февраль 2024'!$J$6:$J$1413,AE$1)</f>
        <v>0</v>
      </c>
      <c r="AF200" s="80">
        <f>SUMIFS('февраль 2024'!$G$6:$G$1413,'февраль 2024'!$D$6:$D$1413,$B200,'февраль 2024'!$J$6:$J$1413,AF$1)</f>
        <v>0</v>
      </c>
      <c r="AG200" s="80">
        <f>SUMIFS('февраль 2024'!$G$6:$G$1413,'февраль 2024'!$D$6:$D$1413,$B200,'февраль 2024'!$J$6:$J$1413,AG$1)</f>
        <v>0</v>
      </c>
      <c r="AH200" s="80">
        <f>SUMIFS('февраль 2024'!$G$6:$G$1413,'февраль 2024'!$D$6:$D$1413,$B200,'февраль 2024'!$J$6:$J$1413,AH$1)</f>
        <v>0</v>
      </c>
      <c r="AI200" s="87"/>
    </row>
    <row r="201" spans="2:35" ht="15" hidden="1" customHeight="1" x14ac:dyDescent="0.25">
      <c r="B201" s="89"/>
      <c r="C201" s="88"/>
      <c r="D201" s="80">
        <f>SUMIFS('февраль 2024'!$G$6:$G$1413,'февраль 2024'!$D$6:$D$1413,$B201,'февраль 2024'!$J$6:$J$1413,D$1)</f>
        <v>0</v>
      </c>
      <c r="E201" s="80">
        <f>SUMIFS('февраль 2024'!$G$6:$G$1413,'февраль 2024'!$D$6:$D$1413,$B201,'февраль 2024'!$J$6:$J$1413,E$1)</f>
        <v>0</v>
      </c>
      <c r="F201" s="80">
        <f>SUMIFS('февраль 2024'!$G$6:$G$1413,'февраль 2024'!$D$6:$D$1413,$B201,'февраль 2024'!$J$6:$J$1413,F$1)</f>
        <v>0</v>
      </c>
      <c r="G201" s="80">
        <f>SUMIFS('февраль 2024'!$G$6:$G$1413,'февраль 2024'!$D$6:$D$1413,$B201,'февраль 2024'!$J$6:$J$1413,G$1)</f>
        <v>0</v>
      </c>
      <c r="H201" s="80">
        <f>SUMIFS('февраль 2024'!$G$6:$G$1413,'февраль 2024'!$D$6:$D$1413,$B201,'февраль 2024'!$J$6:$J$1413,H$1)</f>
        <v>0</v>
      </c>
      <c r="I201" s="80">
        <f>SUMIFS('февраль 2024'!$G$6:$G$1413,'февраль 2024'!$D$6:$D$1413,$B201,'февраль 2024'!$J$6:$J$1413,I$1)</f>
        <v>0</v>
      </c>
      <c r="J201" s="80">
        <f>SUMIFS('февраль 2024'!$G$6:$G$1413,'февраль 2024'!$D$6:$D$1413,$B201,'февраль 2024'!$J$6:$J$1413,J$1)</f>
        <v>0</v>
      </c>
      <c r="K201" s="80">
        <f>SUMIFS('февраль 2024'!$G$6:$G$1413,'февраль 2024'!$D$6:$D$1413,$B201,'февраль 2024'!$J$6:$J$1413,K$1)</f>
        <v>0</v>
      </c>
      <c r="L201" s="80">
        <f>SUMIFS('февраль 2024'!$G$6:$G$1413,'февраль 2024'!$D$6:$D$1413,$B201,'февраль 2024'!$J$6:$J$1413,L$1)</f>
        <v>0</v>
      </c>
      <c r="M201" s="80">
        <f>SUMIFS('февраль 2024'!$G$6:$G$1413,'февраль 2024'!$D$6:$D$1413,$B201,'февраль 2024'!$J$6:$J$1413,M$1)</f>
        <v>0</v>
      </c>
      <c r="N201" s="80">
        <f>SUMIFS('февраль 2024'!$G$6:$G$1413,'февраль 2024'!$D$6:$D$1413,$B201,'февраль 2024'!$J$6:$J$1413,N$1)</f>
        <v>0</v>
      </c>
      <c r="O201" s="80">
        <f>SUMIFS('февраль 2024'!$G$6:$G$1413,'февраль 2024'!$D$6:$D$1413,$B201,'февраль 2024'!$J$6:$J$1413,O$1)</f>
        <v>0</v>
      </c>
      <c r="P201" s="80">
        <f>SUMIFS('февраль 2024'!$G$6:$G$1413,'февраль 2024'!$D$6:$D$1413,$B201,'февраль 2024'!$J$6:$J$1413,P$1)</f>
        <v>0</v>
      </c>
      <c r="Q201" s="80">
        <f>SUMIFS('февраль 2024'!$G$6:$G$1413,'февраль 2024'!$D$6:$D$1413,$B201,'февраль 2024'!$J$6:$J$1413,Q$1)</f>
        <v>0</v>
      </c>
      <c r="R201" s="80">
        <f>SUMIFS('февраль 2024'!$G$6:$G$1413,'февраль 2024'!$D$6:$D$1413,$B201,'февраль 2024'!$J$6:$J$1413,R$1)</f>
        <v>0</v>
      </c>
      <c r="S201" s="80">
        <f>SUMIFS('февраль 2024'!$G$6:$G$1413,'февраль 2024'!$D$6:$D$1413,$B201,'февраль 2024'!$J$6:$J$1413,S$1)</f>
        <v>0</v>
      </c>
      <c r="T201" s="80">
        <f>SUMIFS('февраль 2024'!$G$6:$G$1413,'февраль 2024'!$D$6:$D$1413,$B201,'февраль 2024'!$J$6:$J$1413,T$1)</f>
        <v>0</v>
      </c>
      <c r="U201" s="80">
        <f>SUMIFS('февраль 2024'!$G$6:$G$1413,'февраль 2024'!$D$6:$D$1413,$B201,'февраль 2024'!$J$6:$J$1413,U$1)</f>
        <v>0</v>
      </c>
      <c r="V201" s="80">
        <f>SUMIFS('февраль 2024'!$G$6:$G$1413,'февраль 2024'!$D$6:$D$1413,$B201,'февраль 2024'!$J$6:$J$1413,V$1)</f>
        <v>0</v>
      </c>
      <c r="W201" s="80">
        <f>SUMIFS('февраль 2024'!$G$6:$G$1413,'февраль 2024'!$D$6:$D$1413,$B201,'февраль 2024'!$J$6:$J$1413,W$1)</f>
        <v>0</v>
      </c>
      <c r="X201" s="80">
        <f>SUMIFS('февраль 2024'!$G$6:$G$1413,'февраль 2024'!$D$6:$D$1413,$B201,'февраль 2024'!$J$6:$J$1413,X$1)</f>
        <v>0</v>
      </c>
      <c r="Y201" s="80">
        <f>SUMIFS('февраль 2024'!$G$6:$G$1413,'февраль 2024'!$D$6:$D$1413,$B201,'февраль 2024'!$J$6:$J$1413,Y$1)</f>
        <v>0</v>
      </c>
      <c r="Z201" s="80">
        <f>SUMIFS('февраль 2024'!$G$6:$G$1413,'февраль 2024'!$D$6:$D$1413,$B201,'февраль 2024'!$J$6:$J$1413,Z$1)</f>
        <v>0</v>
      </c>
      <c r="AA201" s="80">
        <f>SUMIFS('февраль 2024'!$G$6:$G$1413,'февраль 2024'!$D$6:$D$1413,$B201,'февраль 2024'!$J$6:$J$1413,AA$1)</f>
        <v>0</v>
      </c>
      <c r="AB201" s="80">
        <f>SUMIFS('февраль 2024'!$G$6:$G$1413,'февраль 2024'!$D$6:$D$1413,$B201,'февраль 2024'!$J$6:$J$1413,AB$1)</f>
        <v>0</v>
      </c>
      <c r="AC201" s="80">
        <f>SUMIFS('февраль 2024'!$G$6:$G$1413,'февраль 2024'!$D$6:$D$1413,$B201,'февраль 2024'!$J$6:$J$1413,AC$1)</f>
        <v>0</v>
      </c>
      <c r="AD201" s="80">
        <f>SUMIFS('февраль 2024'!$G$6:$G$1413,'февраль 2024'!$D$6:$D$1413,$B201,'февраль 2024'!$J$6:$J$1413,AD$1)</f>
        <v>0</v>
      </c>
      <c r="AE201" s="80">
        <f>SUMIFS('февраль 2024'!$G$6:$G$1413,'февраль 2024'!$D$6:$D$1413,$B201,'февраль 2024'!$J$6:$J$1413,AE$1)</f>
        <v>0</v>
      </c>
      <c r="AF201" s="80">
        <f>SUMIFS('февраль 2024'!$G$6:$G$1413,'февраль 2024'!$D$6:$D$1413,$B201,'февраль 2024'!$J$6:$J$1413,AF$1)</f>
        <v>0</v>
      </c>
      <c r="AG201" s="80">
        <f>SUMIFS('февраль 2024'!$G$6:$G$1413,'февраль 2024'!$D$6:$D$1413,$B201,'февраль 2024'!$J$6:$J$1413,AG$1)</f>
        <v>0</v>
      </c>
      <c r="AH201" s="80">
        <f>SUMIFS('февраль 2024'!$G$6:$G$1413,'февраль 2024'!$D$6:$D$1413,$B201,'февраль 2024'!$J$6:$J$1413,AH$1)</f>
        <v>0</v>
      </c>
      <c r="AI201" s="87"/>
    </row>
    <row r="202" spans="2:35" ht="15" hidden="1" customHeight="1" x14ac:dyDescent="0.25">
      <c r="B202" s="89"/>
      <c r="C202" s="88"/>
      <c r="D202" s="80">
        <f>SUMIFS('февраль 2024'!$G$6:$G$1413,'февраль 2024'!$D$6:$D$1413,$B202,'февраль 2024'!$J$6:$J$1413,D$1)</f>
        <v>0</v>
      </c>
      <c r="E202" s="80">
        <f>SUMIFS('февраль 2024'!$G$6:$G$1413,'февраль 2024'!$D$6:$D$1413,$B202,'февраль 2024'!$J$6:$J$1413,E$1)</f>
        <v>0</v>
      </c>
      <c r="F202" s="80">
        <f>SUMIFS('февраль 2024'!$G$6:$G$1413,'февраль 2024'!$D$6:$D$1413,$B202,'февраль 2024'!$J$6:$J$1413,F$1)</f>
        <v>0</v>
      </c>
      <c r="G202" s="80">
        <f>SUMIFS('февраль 2024'!$G$6:$G$1413,'февраль 2024'!$D$6:$D$1413,$B202,'февраль 2024'!$J$6:$J$1413,G$1)</f>
        <v>0</v>
      </c>
      <c r="H202" s="80">
        <f>SUMIFS('февраль 2024'!$G$6:$G$1413,'февраль 2024'!$D$6:$D$1413,$B202,'февраль 2024'!$J$6:$J$1413,H$1)</f>
        <v>0</v>
      </c>
      <c r="I202" s="80">
        <f>SUMIFS('февраль 2024'!$G$6:$G$1413,'февраль 2024'!$D$6:$D$1413,$B202,'февраль 2024'!$J$6:$J$1413,I$1)</f>
        <v>0</v>
      </c>
      <c r="J202" s="80">
        <f>SUMIFS('февраль 2024'!$G$6:$G$1413,'февраль 2024'!$D$6:$D$1413,$B202,'февраль 2024'!$J$6:$J$1413,J$1)</f>
        <v>0</v>
      </c>
      <c r="K202" s="80">
        <f>SUMIFS('февраль 2024'!$G$6:$G$1413,'февраль 2024'!$D$6:$D$1413,$B202,'февраль 2024'!$J$6:$J$1413,K$1)</f>
        <v>0</v>
      </c>
      <c r="L202" s="80">
        <f>SUMIFS('февраль 2024'!$G$6:$G$1413,'февраль 2024'!$D$6:$D$1413,$B202,'февраль 2024'!$J$6:$J$1413,L$1)</f>
        <v>0</v>
      </c>
      <c r="M202" s="80">
        <f>SUMIFS('февраль 2024'!$G$6:$G$1413,'февраль 2024'!$D$6:$D$1413,$B202,'февраль 2024'!$J$6:$J$1413,M$1)</f>
        <v>0</v>
      </c>
      <c r="N202" s="80">
        <f>SUMIFS('февраль 2024'!$G$6:$G$1413,'февраль 2024'!$D$6:$D$1413,$B202,'февраль 2024'!$J$6:$J$1413,N$1)</f>
        <v>0</v>
      </c>
      <c r="O202" s="80">
        <f>SUMIFS('февраль 2024'!$G$6:$G$1413,'февраль 2024'!$D$6:$D$1413,$B202,'февраль 2024'!$J$6:$J$1413,O$1)</f>
        <v>0</v>
      </c>
      <c r="P202" s="80">
        <f>SUMIFS('февраль 2024'!$G$6:$G$1413,'февраль 2024'!$D$6:$D$1413,$B202,'февраль 2024'!$J$6:$J$1413,P$1)</f>
        <v>0</v>
      </c>
      <c r="Q202" s="80">
        <f>SUMIFS('февраль 2024'!$G$6:$G$1413,'февраль 2024'!$D$6:$D$1413,$B202,'февраль 2024'!$J$6:$J$1413,Q$1)</f>
        <v>0</v>
      </c>
      <c r="R202" s="80">
        <f>SUMIFS('февраль 2024'!$G$6:$G$1413,'февраль 2024'!$D$6:$D$1413,$B202,'февраль 2024'!$J$6:$J$1413,R$1)</f>
        <v>0</v>
      </c>
      <c r="S202" s="80">
        <f>SUMIFS('февраль 2024'!$G$6:$G$1413,'февраль 2024'!$D$6:$D$1413,$B202,'февраль 2024'!$J$6:$J$1413,S$1)</f>
        <v>0</v>
      </c>
      <c r="T202" s="80">
        <f>SUMIFS('февраль 2024'!$G$6:$G$1413,'февраль 2024'!$D$6:$D$1413,$B202,'февраль 2024'!$J$6:$J$1413,T$1)</f>
        <v>0</v>
      </c>
      <c r="U202" s="80">
        <f>SUMIFS('февраль 2024'!$G$6:$G$1413,'февраль 2024'!$D$6:$D$1413,$B202,'февраль 2024'!$J$6:$J$1413,U$1)</f>
        <v>0</v>
      </c>
      <c r="V202" s="80">
        <f>SUMIFS('февраль 2024'!$G$6:$G$1413,'февраль 2024'!$D$6:$D$1413,$B202,'февраль 2024'!$J$6:$J$1413,V$1)</f>
        <v>0</v>
      </c>
      <c r="W202" s="80">
        <f>SUMIFS('февраль 2024'!$G$6:$G$1413,'февраль 2024'!$D$6:$D$1413,$B202,'февраль 2024'!$J$6:$J$1413,W$1)</f>
        <v>0</v>
      </c>
      <c r="X202" s="80">
        <f>SUMIFS('февраль 2024'!$G$6:$G$1413,'февраль 2024'!$D$6:$D$1413,$B202,'февраль 2024'!$J$6:$J$1413,X$1)</f>
        <v>0</v>
      </c>
      <c r="Y202" s="80">
        <f>SUMIFS('февраль 2024'!$G$6:$G$1413,'февраль 2024'!$D$6:$D$1413,$B202,'февраль 2024'!$J$6:$J$1413,Y$1)</f>
        <v>0</v>
      </c>
      <c r="Z202" s="80">
        <f>SUMIFS('февраль 2024'!$G$6:$G$1413,'февраль 2024'!$D$6:$D$1413,$B202,'февраль 2024'!$J$6:$J$1413,Z$1)</f>
        <v>0</v>
      </c>
      <c r="AA202" s="80">
        <f>SUMIFS('февраль 2024'!$G$6:$G$1413,'февраль 2024'!$D$6:$D$1413,$B202,'февраль 2024'!$J$6:$J$1413,AA$1)</f>
        <v>0</v>
      </c>
      <c r="AB202" s="80">
        <f>SUMIFS('февраль 2024'!$G$6:$G$1413,'февраль 2024'!$D$6:$D$1413,$B202,'февраль 2024'!$J$6:$J$1413,AB$1)</f>
        <v>0</v>
      </c>
      <c r="AC202" s="80">
        <f>SUMIFS('февраль 2024'!$G$6:$G$1413,'февраль 2024'!$D$6:$D$1413,$B202,'февраль 2024'!$J$6:$J$1413,AC$1)</f>
        <v>0</v>
      </c>
      <c r="AD202" s="80">
        <f>SUMIFS('февраль 2024'!$G$6:$G$1413,'февраль 2024'!$D$6:$D$1413,$B202,'февраль 2024'!$J$6:$J$1413,AD$1)</f>
        <v>0</v>
      </c>
      <c r="AE202" s="80">
        <f>SUMIFS('февраль 2024'!$G$6:$G$1413,'февраль 2024'!$D$6:$D$1413,$B202,'февраль 2024'!$J$6:$J$1413,AE$1)</f>
        <v>0</v>
      </c>
      <c r="AF202" s="80">
        <f>SUMIFS('февраль 2024'!$G$6:$G$1413,'февраль 2024'!$D$6:$D$1413,$B202,'февраль 2024'!$J$6:$J$1413,AF$1)</f>
        <v>0</v>
      </c>
      <c r="AG202" s="80">
        <f>SUMIFS('февраль 2024'!$G$6:$G$1413,'февраль 2024'!$D$6:$D$1413,$B202,'февраль 2024'!$J$6:$J$1413,AG$1)</f>
        <v>0</v>
      </c>
      <c r="AH202" s="80">
        <f>SUMIFS('февраль 2024'!$G$6:$G$1413,'февраль 2024'!$D$6:$D$1413,$B202,'февраль 2024'!$J$6:$J$1413,AH$1)</f>
        <v>0</v>
      </c>
      <c r="AI202" s="87"/>
    </row>
    <row r="203" spans="2:35" ht="15" hidden="1" customHeight="1" x14ac:dyDescent="0.25">
      <c r="B203" s="89"/>
      <c r="C203" s="88"/>
      <c r="D203" s="80">
        <f>SUMIFS('февраль 2024'!$G$6:$G$1413,'февраль 2024'!$D$6:$D$1413,$B203,'февраль 2024'!$J$6:$J$1413,D$1)</f>
        <v>0</v>
      </c>
      <c r="E203" s="80">
        <f>SUMIFS('февраль 2024'!$G$6:$G$1413,'февраль 2024'!$D$6:$D$1413,$B203,'февраль 2024'!$J$6:$J$1413,E$1)</f>
        <v>0</v>
      </c>
      <c r="F203" s="80">
        <f>SUMIFS('февраль 2024'!$G$6:$G$1413,'февраль 2024'!$D$6:$D$1413,$B203,'февраль 2024'!$J$6:$J$1413,F$1)</f>
        <v>0</v>
      </c>
      <c r="G203" s="80">
        <f>SUMIFS('февраль 2024'!$G$6:$G$1413,'февраль 2024'!$D$6:$D$1413,$B203,'февраль 2024'!$J$6:$J$1413,G$1)</f>
        <v>0</v>
      </c>
      <c r="H203" s="80">
        <f>SUMIFS('февраль 2024'!$G$6:$G$1413,'февраль 2024'!$D$6:$D$1413,$B203,'февраль 2024'!$J$6:$J$1413,H$1)</f>
        <v>0</v>
      </c>
      <c r="I203" s="80">
        <f>SUMIFS('февраль 2024'!$G$6:$G$1413,'февраль 2024'!$D$6:$D$1413,$B203,'февраль 2024'!$J$6:$J$1413,I$1)</f>
        <v>0</v>
      </c>
      <c r="J203" s="80">
        <f>SUMIFS('февраль 2024'!$G$6:$G$1413,'февраль 2024'!$D$6:$D$1413,$B203,'февраль 2024'!$J$6:$J$1413,J$1)</f>
        <v>0</v>
      </c>
      <c r="K203" s="80">
        <f>SUMIFS('февраль 2024'!$G$6:$G$1413,'февраль 2024'!$D$6:$D$1413,$B203,'февраль 2024'!$J$6:$J$1413,K$1)</f>
        <v>0</v>
      </c>
      <c r="L203" s="80">
        <f>SUMIFS('февраль 2024'!$G$6:$G$1413,'февраль 2024'!$D$6:$D$1413,$B203,'февраль 2024'!$J$6:$J$1413,L$1)</f>
        <v>0</v>
      </c>
      <c r="M203" s="80">
        <f>SUMIFS('февраль 2024'!$G$6:$G$1413,'февраль 2024'!$D$6:$D$1413,$B203,'февраль 2024'!$J$6:$J$1413,M$1)</f>
        <v>0</v>
      </c>
      <c r="N203" s="80">
        <f>SUMIFS('февраль 2024'!$G$6:$G$1413,'февраль 2024'!$D$6:$D$1413,$B203,'февраль 2024'!$J$6:$J$1413,N$1)</f>
        <v>0</v>
      </c>
      <c r="O203" s="80">
        <f>SUMIFS('февраль 2024'!$G$6:$G$1413,'февраль 2024'!$D$6:$D$1413,$B203,'февраль 2024'!$J$6:$J$1413,O$1)</f>
        <v>0</v>
      </c>
      <c r="P203" s="80">
        <f>SUMIFS('февраль 2024'!$G$6:$G$1413,'февраль 2024'!$D$6:$D$1413,$B203,'февраль 2024'!$J$6:$J$1413,P$1)</f>
        <v>0</v>
      </c>
      <c r="Q203" s="80">
        <f>SUMIFS('февраль 2024'!$G$6:$G$1413,'февраль 2024'!$D$6:$D$1413,$B203,'февраль 2024'!$J$6:$J$1413,Q$1)</f>
        <v>0</v>
      </c>
      <c r="R203" s="80">
        <f>SUMIFS('февраль 2024'!$G$6:$G$1413,'февраль 2024'!$D$6:$D$1413,$B203,'февраль 2024'!$J$6:$J$1413,R$1)</f>
        <v>0</v>
      </c>
      <c r="S203" s="80">
        <f>SUMIFS('февраль 2024'!$G$6:$G$1413,'февраль 2024'!$D$6:$D$1413,$B203,'февраль 2024'!$J$6:$J$1413,S$1)</f>
        <v>0</v>
      </c>
      <c r="T203" s="80">
        <f>SUMIFS('февраль 2024'!$G$6:$G$1413,'февраль 2024'!$D$6:$D$1413,$B203,'февраль 2024'!$J$6:$J$1413,T$1)</f>
        <v>0</v>
      </c>
      <c r="U203" s="80">
        <f>SUMIFS('февраль 2024'!$G$6:$G$1413,'февраль 2024'!$D$6:$D$1413,$B203,'февраль 2024'!$J$6:$J$1413,U$1)</f>
        <v>0</v>
      </c>
      <c r="V203" s="80">
        <f>SUMIFS('февраль 2024'!$G$6:$G$1413,'февраль 2024'!$D$6:$D$1413,$B203,'февраль 2024'!$J$6:$J$1413,V$1)</f>
        <v>0</v>
      </c>
      <c r="W203" s="80">
        <f>SUMIFS('февраль 2024'!$G$6:$G$1413,'февраль 2024'!$D$6:$D$1413,$B203,'февраль 2024'!$J$6:$J$1413,W$1)</f>
        <v>0</v>
      </c>
      <c r="X203" s="80">
        <f>SUMIFS('февраль 2024'!$G$6:$G$1413,'февраль 2024'!$D$6:$D$1413,$B203,'февраль 2024'!$J$6:$J$1413,X$1)</f>
        <v>0</v>
      </c>
      <c r="Y203" s="80">
        <f>SUMIFS('февраль 2024'!$G$6:$G$1413,'февраль 2024'!$D$6:$D$1413,$B203,'февраль 2024'!$J$6:$J$1413,Y$1)</f>
        <v>0</v>
      </c>
      <c r="Z203" s="80">
        <f>SUMIFS('февраль 2024'!$G$6:$G$1413,'февраль 2024'!$D$6:$D$1413,$B203,'февраль 2024'!$J$6:$J$1413,Z$1)</f>
        <v>0</v>
      </c>
      <c r="AA203" s="80">
        <f>SUMIFS('февраль 2024'!$G$6:$G$1413,'февраль 2024'!$D$6:$D$1413,$B203,'февраль 2024'!$J$6:$J$1413,AA$1)</f>
        <v>0</v>
      </c>
      <c r="AB203" s="80">
        <f>SUMIFS('февраль 2024'!$G$6:$G$1413,'февраль 2024'!$D$6:$D$1413,$B203,'февраль 2024'!$J$6:$J$1413,AB$1)</f>
        <v>0</v>
      </c>
      <c r="AC203" s="80">
        <f>SUMIFS('февраль 2024'!$G$6:$G$1413,'февраль 2024'!$D$6:$D$1413,$B203,'февраль 2024'!$J$6:$J$1413,AC$1)</f>
        <v>0</v>
      </c>
      <c r="AD203" s="80">
        <f>SUMIFS('февраль 2024'!$G$6:$G$1413,'февраль 2024'!$D$6:$D$1413,$B203,'февраль 2024'!$J$6:$J$1413,AD$1)</f>
        <v>0</v>
      </c>
      <c r="AE203" s="80">
        <f>SUMIFS('февраль 2024'!$G$6:$G$1413,'февраль 2024'!$D$6:$D$1413,$B203,'февраль 2024'!$J$6:$J$1413,AE$1)</f>
        <v>0</v>
      </c>
      <c r="AF203" s="80">
        <f>SUMIFS('февраль 2024'!$G$6:$G$1413,'февраль 2024'!$D$6:$D$1413,$B203,'февраль 2024'!$J$6:$J$1413,AF$1)</f>
        <v>0</v>
      </c>
      <c r="AG203" s="80">
        <f>SUMIFS('февраль 2024'!$G$6:$G$1413,'февраль 2024'!$D$6:$D$1413,$B203,'февраль 2024'!$J$6:$J$1413,AG$1)</f>
        <v>0</v>
      </c>
      <c r="AH203" s="80">
        <f>SUMIFS('февраль 2024'!$G$6:$G$1413,'февраль 2024'!$D$6:$D$1413,$B203,'февраль 2024'!$J$6:$J$1413,AH$1)</f>
        <v>0</v>
      </c>
      <c r="AI203" s="87"/>
    </row>
    <row r="204" spans="2:35" ht="15" hidden="1" customHeight="1" x14ac:dyDescent="0.25">
      <c r="B204" s="89"/>
      <c r="C204" s="88"/>
      <c r="D204" s="80">
        <f>SUMIFS('февраль 2024'!$G$6:$G$1413,'февраль 2024'!$D$6:$D$1413,$B204,'февраль 2024'!$J$6:$J$1413,D$1)</f>
        <v>0</v>
      </c>
      <c r="E204" s="80">
        <f>SUMIFS('февраль 2024'!$G$6:$G$1413,'февраль 2024'!$D$6:$D$1413,$B204,'февраль 2024'!$J$6:$J$1413,E$1)</f>
        <v>0</v>
      </c>
      <c r="F204" s="80">
        <f>SUMIFS('февраль 2024'!$G$6:$G$1413,'февраль 2024'!$D$6:$D$1413,$B204,'февраль 2024'!$J$6:$J$1413,F$1)</f>
        <v>0</v>
      </c>
      <c r="G204" s="80">
        <f>SUMIFS('февраль 2024'!$G$6:$G$1413,'февраль 2024'!$D$6:$D$1413,$B204,'февраль 2024'!$J$6:$J$1413,G$1)</f>
        <v>0</v>
      </c>
      <c r="H204" s="80">
        <f>SUMIFS('февраль 2024'!$G$6:$G$1413,'февраль 2024'!$D$6:$D$1413,$B204,'февраль 2024'!$J$6:$J$1413,H$1)</f>
        <v>0</v>
      </c>
      <c r="I204" s="80">
        <f>SUMIFS('февраль 2024'!$G$6:$G$1413,'февраль 2024'!$D$6:$D$1413,$B204,'февраль 2024'!$J$6:$J$1413,I$1)</f>
        <v>0</v>
      </c>
      <c r="J204" s="80">
        <f>SUMIFS('февраль 2024'!$G$6:$G$1413,'февраль 2024'!$D$6:$D$1413,$B204,'февраль 2024'!$J$6:$J$1413,J$1)</f>
        <v>0</v>
      </c>
      <c r="K204" s="80">
        <f>SUMIFS('февраль 2024'!$G$6:$G$1413,'февраль 2024'!$D$6:$D$1413,$B204,'февраль 2024'!$J$6:$J$1413,K$1)</f>
        <v>0</v>
      </c>
      <c r="L204" s="80">
        <f>SUMIFS('февраль 2024'!$G$6:$G$1413,'февраль 2024'!$D$6:$D$1413,$B204,'февраль 2024'!$J$6:$J$1413,L$1)</f>
        <v>0</v>
      </c>
      <c r="M204" s="80">
        <f>SUMIFS('февраль 2024'!$G$6:$G$1413,'февраль 2024'!$D$6:$D$1413,$B204,'февраль 2024'!$J$6:$J$1413,M$1)</f>
        <v>0</v>
      </c>
      <c r="N204" s="80">
        <f>SUMIFS('февраль 2024'!$G$6:$G$1413,'февраль 2024'!$D$6:$D$1413,$B204,'февраль 2024'!$J$6:$J$1413,N$1)</f>
        <v>0</v>
      </c>
      <c r="O204" s="80">
        <f>SUMIFS('февраль 2024'!$G$6:$G$1413,'февраль 2024'!$D$6:$D$1413,$B204,'февраль 2024'!$J$6:$J$1413,O$1)</f>
        <v>0</v>
      </c>
      <c r="P204" s="80">
        <f>SUMIFS('февраль 2024'!$G$6:$G$1413,'февраль 2024'!$D$6:$D$1413,$B204,'февраль 2024'!$J$6:$J$1413,P$1)</f>
        <v>0</v>
      </c>
      <c r="Q204" s="80">
        <f>SUMIFS('февраль 2024'!$G$6:$G$1413,'февраль 2024'!$D$6:$D$1413,$B204,'февраль 2024'!$J$6:$J$1413,Q$1)</f>
        <v>0</v>
      </c>
      <c r="R204" s="80">
        <f>SUMIFS('февраль 2024'!$G$6:$G$1413,'февраль 2024'!$D$6:$D$1413,$B204,'февраль 2024'!$J$6:$J$1413,R$1)</f>
        <v>0</v>
      </c>
      <c r="S204" s="80">
        <f>SUMIFS('февраль 2024'!$G$6:$G$1413,'февраль 2024'!$D$6:$D$1413,$B204,'февраль 2024'!$J$6:$J$1413,S$1)</f>
        <v>0</v>
      </c>
      <c r="T204" s="80">
        <f>SUMIFS('февраль 2024'!$G$6:$G$1413,'февраль 2024'!$D$6:$D$1413,$B204,'февраль 2024'!$J$6:$J$1413,T$1)</f>
        <v>0</v>
      </c>
      <c r="U204" s="80">
        <f>SUMIFS('февраль 2024'!$G$6:$G$1413,'февраль 2024'!$D$6:$D$1413,$B204,'февраль 2024'!$J$6:$J$1413,U$1)</f>
        <v>0</v>
      </c>
      <c r="V204" s="80">
        <f>SUMIFS('февраль 2024'!$G$6:$G$1413,'февраль 2024'!$D$6:$D$1413,$B204,'февраль 2024'!$J$6:$J$1413,V$1)</f>
        <v>0</v>
      </c>
      <c r="W204" s="80">
        <f>SUMIFS('февраль 2024'!$G$6:$G$1413,'февраль 2024'!$D$6:$D$1413,$B204,'февраль 2024'!$J$6:$J$1413,W$1)</f>
        <v>0</v>
      </c>
      <c r="X204" s="80">
        <f>SUMIFS('февраль 2024'!$G$6:$G$1413,'февраль 2024'!$D$6:$D$1413,$B204,'февраль 2024'!$J$6:$J$1413,X$1)</f>
        <v>0</v>
      </c>
      <c r="Y204" s="80">
        <f>SUMIFS('февраль 2024'!$G$6:$G$1413,'февраль 2024'!$D$6:$D$1413,$B204,'февраль 2024'!$J$6:$J$1413,Y$1)</f>
        <v>0</v>
      </c>
      <c r="Z204" s="80">
        <f>SUMIFS('февраль 2024'!$G$6:$G$1413,'февраль 2024'!$D$6:$D$1413,$B204,'февраль 2024'!$J$6:$J$1413,Z$1)</f>
        <v>0</v>
      </c>
      <c r="AA204" s="80">
        <f>SUMIFS('февраль 2024'!$G$6:$G$1413,'февраль 2024'!$D$6:$D$1413,$B204,'февраль 2024'!$J$6:$J$1413,AA$1)</f>
        <v>0</v>
      </c>
      <c r="AB204" s="80">
        <f>SUMIFS('февраль 2024'!$G$6:$G$1413,'февраль 2024'!$D$6:$D$1413,$B204,'февраль 2024'!$J$6:$J$1413,AB$1)</f>
        <v>0</v>
      </c>
      <c r="AC204" s="80">
        <f>SUMIFS('февраль 2024'!$G$6:$G$1413,'февраль 2024'!$D$6:$D$1413,$B204,'февраль 2024'!$J$6:$J$1413,AC$1)</f>
        <v>0</v>
      </c>
      <c r="AD204" s="80">
        <f>SUMIFS('февраль 2024'!$G$6:$G$1413,'февраль 2024'!$D$6:$D$1413,$B204,'февраль 2024'!$J$6:$J$1413,AD$1)</f>
        <v>0</v>
      </c>
      <c r="AE204" s="80">
        <f>SUMIFS('февраль 2024'!$G$6:$G$1413,'февраль 2024'!$D$6:$D$1413,$B204,'февраль 2024'!$J$6:$J$1413,AE$1)</f>
        <v>0</v>
      </c>
      <c r="AF204" s="80">
        <f>SUMIFS('февраль 2024'!$G$6:$G$1413,'февраль 2024'!$D$6:$D$1413,$B204,'февраль 2024'!$J$6:$J$1413,AF$1)</f>
        <v>0</v>
      </c>
      <c r="AG204" s="80">
        <f>SUMIFS('февраль 2024'!$G$6:$G$1413,'февраль 2024'!$D$6:$D$1413,$B204,'февраль 2024'!$J$6:$J$1413,AG$1)</f>
        <v>0</v>
      </c>
      <c r="AH204" s="80">
        <f>SUMIFS('февраль 2024'!$G$6:$G$1413,'февраль 2024'!$D$6:$D$1413,$B204,'февраль 2024'!$J$6:$J$1413,AH$1)</f>
        <v>0</v>
      </c>
      <c r="AI204" s="87"/>
    </row>
    <row r="205" spans="2:35" ht="15" hidden="1" customHeight="1" x14ac:dyDescent="0.25">
      <c r="B205" s="89"/>
      <c r="C205" s="88"/>
      <c r="D205" s="80">
        <f>SUMIFS('февраль 2024'!$G$6:$G$1413,'февраль 2024'!$D$6:$D$1413,$B205,'февраль 2024'!$J$6:$J$1413,D$1)</f>
        <v>0</v>
      </c>
      <c r="E205" s="80">
        <f>SUMIFS('февраль 2024'!$G$6:$G$1413,'февраль 2024'!$D$6:$D$1413,$B205,'февраль 2024'!$J$6:$J$1413,E$1)</f>
        <v>0</v>
      </c>
      <c r="F205" s="80">
        <f>SUMIFS('февраль 2024'!$G$6:$G$1413,'февраль 2024'!$D$6:$D$1413,$B205,'февраль 2024'!$J$6:$J$1413,F$1)</f>
        <v>0</v>
      </c>
      <c r="G205" s="80">
        <f>SUMIFS('февраль 2024'!$G$6:$G$1413,'февраль 2024'!$D$6:$D$1413,$B205,'февраль 2024'!$J$6:$J$1413,G$1)</f>
        <v>0</v>
      </c>
      <c r="H205" s="80">
        <f>SUMIFS('февраль 2024'!$G$6:$G$1413,'февраль 2024'!$D$6:$D$1413,$B205,'февраль 2024'!$J$6:$J$1413,H$1)</f>
        <v>0</v>
      </c>
      <c r="I205" s="80">
        <f>SUMIFS('февраль 2024'!$G$6:$G$1413,'февраль 2024'!$D$6:$D$1413,$B205,'февраль 2024'!$J$6:$J$1413,I$1)</f>
        <v>0</v>
      </c>
      <c r="J205" s="80">
        <f>SUMIFS('февраль 2024'!$G$6:$G$1413,'февраль 2024'!$D$6:$D$1413,$B205,'февраль 2024'!$J$6:$J$1413,J$1)</f>
        <v>0</v>
      </c>
      <c r="K205" s="80">
        <f>SUMIFS('февраль 2024'!$G$6:$G$1413,'февраль 2024'!$D$6:$D$1413,$B205,'февраль 2024'!$J$6:$J$1413,K$1)</f>
        <v>0</v>
      </c>
      <c r="L205" s="80">
        <f>SUMIFS('февраль 2024'!$G$6:$G$1413,'февраль 2024'!$D$6:$D$1413,$B205,'февраль 2024'!$J$6:$J$1413,L$1)</f>
        <v>0</v>
      </c>
      <c r="M205" s="80">
        <f>SUMIFS('февраль 2024'!$G$6:$G$1413,'февраль 2024'!$D$6:$D$1413,$B205,'февраль 2024'!$J$6:$J$1413,M$1)</f>
        <v>0</v>
      </c>
      <c r="N205" s="80">
        <f>SUMIFS('февраль 2024'!$G$6:$G$1413,'февраль 2024'!$D$6:$D$1413,$B205,'февраль 2024'!$J$6:$J$1413,N$1)</f>
        <v>0</v>
      </c>
      <c r="O205" s="80">
        <f>SUMIFS('февраль 2024'!$G$6:$G$1413,'февраль 2024'!$D$6:$D$1413,$B205,'февраль 2024'!$J$6:$J$1413,O$1)</f>
        <v>0</v>
      </c>
      <c r="P205" s="80">
        <f>SUMIFS('февраль 2024'!$G$6:$G$1413,'февраль 2024'!$D$6:$D$1413,$B205,'февраль 2024'!$J$6:$J$1413,P$1)</f>
        <v>0</v>
      </c>
      <c r="Q205" s="80">
        <f>SUMIFS('февраль 2024'!$G$6:$G$1413,'февраль 2024'!$D$6:$D$1413,$B205,'февраль 2024'!$J$6:$J$1413,Q$1)</f>
        <v>0</v>
      </c>
      <c r="R205" s="80">
        <f>SUMIFS('февраль 2024'!$G$6:$G$1413,'февраль 2024'!$D$6:$D$1413,$B205,'февраль 2024'!$J$6:$J$1413,R$1)</f>
        <v>0</v>
      </c>
      <c r="S205" s="80">
        <f>SUMIFS('февраль 2024'!$G$6:$G$1413,'февраль 2024'!$D$6:$D$1413,$B205,'февраль 2024'!$J$6:$J$1413,S$1)</f>
        <v>0</v>
      </c>
      <c r="T205" s="80">
        <f>SUMIFS('февраль 2024'!$G$6:$G$1413,'февраль 2024'!$D$6:$D$1413,$B205,'февраль 2024'!$J$6:$J$1413,T$1)</f>
        <v>0</v>
      </c>
      <c r="U205" s="80">
        <f>SUMIFS('февраль 2024'!$G$6:$G$1413,'февраль 2024'!$D$6:$D$1413,$B205,'февраль 2024'!$J$6:$J$1413,U$1)</f>
        <v>0</v>
      </c>
      <c r="V205" s="80">
        <f>SUMIFS('февраль 2024'!$G$6:$G$1413,'февраль 2024'!$D$6:$D$1413,$B205,'февраль 2024'!$J$6:$J$1413,V$1)</f>
        <v>0</v>
      </c>
      <c r="W205" s="80">
        <f>SUMIFS('февраль 2024'!$G$6:$G$1413,'февраль 2024'!$D$6:$D$1413,$B205,'февраль 2024'!$J$6:$J$1413,W$1)</f>
        <v>0</v>
      </c>
      <c r="X205" s="80">
        <f>SUMIFS('февраль 2024'!$G$6:$G$1413,'февраль 2024'!$D$6:$D$1413,$B205,'февраль 2024'!$J$6:$J$1413,X$1)</f>
        <v>0</v>
      </c>
      <c r="Y205" s="80">
        <f>SUMIFS('февраль 2024'!$G$6:$G$1413,'февраль 2024'!$D$6:$D$1413,$B205,'февраль 2024'!$J$6:$J$1413,Y$1)</f>
        <v>0</v>
      </c>
      <c r="Z205" s="80">
        <f>SUMIFS('февраль 2024'!$G$6:$G$1413,'февраль 2024'!$D$6:$D$1413,$B205,'февраль 2024'!$J$6:$J$1413,Z$1)</f>
        <v>0</v>
      </c>
      <c r="AA205" s="80">
        <f>SUMIFS('февраль 2024'!$G$6:$G$1413,'февраль 2024'!$D$6:$D$1413,$B205,'февраль 2024'!$J$6:$J$1413,AA$1)</f>
        <v>0</v>
      </c>
      <c r="AB205" s="80">
        <f>SUMIFS('февраль 2024'!$G$6:$G$1413,'февраль 2024'!$D$6:$D$1413,$B205,'февраль 2024'!$J$6:$J$1413,AB$1)</f>
        <v>0</v>
      </c>
      <c r="AC205" s="80">
        <f>SUMIFS('февраль 2024'!$G$6:$G$1413,'февраль 2024'!$D$6:$D$1413,$B205,'февраль 2024'!$J$6:$J$1413,AC$1)</f>
        <v>0</v>
      </c>
      <c r="AD205" s="80">
        <f>SUMIFS('февраль 2024'!$G$6:$G$1413,'февраль 2024'!$D$6:$D$1413,$B205,'февраль 2024'!$J$6:$J$1413,AD$1)</f>
        <v>0</v>
      </c>
      <c r="AE205" s="80">
        <f>SUMIFS('февраль 2024'!$G$6:$G$1413,'февраль 2024'!$D$6:$D$1413,$B205,'февраль 2024'!$J$6:$J$1413,AE$1)</f>
        <v>0</v>
      </c>
      <c r="AF205" s="80">
        <f>SUMIFS('февраль 2024'!$G$6:$G$1413,'февраль 2024'!$D$6:$D$1413,$B205,'февраль 2024'!$J$6:$J$1413,AF$1)</f>
        <v>0</v>
      </c>
      <c r="AG205" s="80">
        <f>SUMIFS('февраль 2024'!$G$6:$G$1413,'февраль 2024'!$D$6:$D$1413,$B205,'февраль 2024'!$J$6:$J$1413,AG$1)</f>
        <v>0</v>
      </c>
      <c r="AH205" s="80">
        <f>SUMIFS('февраль 2024'!$G$6:$G$1413,'февраль 2024'!$D$6:$D$1413,$B205,'февраль 2024'!$J$6:$J$1413,AH$1)</f>
        <v>0</v>
      </c>
      <c r="AI205" s="87"/>
    </row>
    <row r="206" spans="2:35" ht="15" hidden="1" customHeight="1" x14ac:dyDescent="0.25">
      <c r="B206" s="89"/>
      <c r="C206" s="88"/>
      <c r="D206" s="80">
        <f>SUMIFS('февраль 2024'!$G$6:$G$1413,'февраль 2024'!$D$6:$D$1413,$B206,'февраль 2024'!$J$6:$J$1413,D$1)</f>
        <v>0</v>
      </c>
      <c r="E206" s="80">
        <f>SUMIFS('февраль 2024'!$G$6:$G$1413,'февраль 2024'!$D$6:$D$1413,$B206,'февраль 2024'!$J$6:$J$1413,E$1)</f>
        <v>0</v>
      </c>
      <c r="F206" s="80">
        <f>SUMIFS('февраль 2024'!$G$6:$G$1413,'февраль 2024'!$D$6:$D$1413,$B206,'февраль 2024'!$J$6:$J$1413,F$1)</f>
        <v>0</v>
      </c>
      <c r="G206" s="80">
        <f>SUMIFS('февраль 2024'!$G$6:$G$1413,'февраль 2024'!$D$6:$D$1413,$B206,'февраль 2024'!$J$6:$J$1413,G$1)</f>
        <v>0</v>
      </c>
      <c r="H206" s="80">
        <f>SUMIFS('февраль 2024'!$G$6:$G$1413,'февраль 2024'!$D$6:$D$1413,$B206,'февраль 2024'!$J$6:$J$1413,H$1)</f>
        <v>0</v>
      </c>
      <c r="I206" s="80">
        <f>SUMIFS('февраль 2024'!$G$6:$G$1413,'февраль 2024'!$D$6:$D$1413,$B206,'февраль 2024'!$J$6:$J$1413,I$1)</f>
        <v>0</v>
      </c>
      <c r="J206" s="80">
        <f>SUMIFS('февраль 2024'!$G$6:$G$1413,'февраль 2024'!$D$6:$D$1413,$B206,'февраль 2024'!$J$6:$J$1413,J$1)</f>
        <v>0</v>
      </c>
      <c r="K206" s="80">
        <f>SUMIFS('февраль 2024'!$G$6:$G$1413,'февраль 2024'!$D$6:$D$1413,$B206,'февраль 2024'!$J$6:$J$1413,K$1)</f>
        <v>0</v>
      </c>
      <c r="L206" s="80">
        <f>SUMIFS('февраль 2024'!$G$6:$G$1413,'февраль 2024'!$D$6:$D$1413,$B206,'февраль 2024'!$J$6:$J$1413,L$1)</f>
        <v>0</v>
      </c>
      <c r="M206" s="80">
        <f>SUMIFS('февраль 2024'!$G$6:$G$1413,'февраль 2024'!$D$6:$D$1413,$B206,'февраль 2024'!$J$6:$J$1413,M$1)</f>
        <v>0</v>
      </c>
      <c r="N206" s="80">
        <f>SUMIFS('февраль 2024'!$G$6:$G$1413,'февраль 2024'!$D$6:$D$1413,$B206,'февраль 2024'!$J$6:$J$1413,N$1)</f>
        <v>0</v>
      </c>
      <c r="O206" s="80">
        <f>SUMIFS('февраль 2024'!$G$6:$G$1413,'февраль 2024'!$D$6:$D$1413,$B206,'февраль 2024'!$J$6:$J$1413,O$1)</f>
        <v>0</v>
      </c>
      <c r="P206" s="80">
        <f>SUMIFS('февраль 2024'!$G$6:$G$1413,'февраль 2024'!$D$6:$D$1413,$B206,'февраль 2024'!$J$6:$J$1413,P$1)</f>
        <v>0</v>
      </c>
      <c r="Q206" s="80">
        <f>SUMIFS('февраль 2024'!$G$6:$G$1413,'февраль 2024'!$D$6:$D$1413,$B206,'февраль 2024'!$J$6:$J$1413,Q$1)</f>
        <v>0</v>
      </c>
      <c r="R206" s="80">
        <f>SUMIFS('февраль 2024'!$G$6:$G$1413,'февраль 2024'!$D$6:$D$1413,$B206,'февраль 2024'!$J$6:$J$1413,R$1)</f>
        <v>0</v>
      </c>
      <c r="S206" s="80">
        <f>SUMIFS('февраль 2024'!$G$6:$G$1413,'февраль 2024'!$D$6:$D$1413,$B206,'февраль 2024'!$J$6:$J$1413,S$1)</f>
        <v>0</v>
      </c>
      <c r="T206" s="80">
        <f>SUMIFS('февраль 2024'!$G$6:$G$1413,'февраль 2024'!$D$6:$D$1413,$B206,'февраль 2024'!$J$6:$J$1413,T$1)</f>
        <v>0</v>
      </c>
      <c r="U206" s="80">
        <f>SUMIFS('февраль 2024'!$G$6:$G$1413,'февраль 2024'!$D$6:$D$1413,$B206,'февраль 2024'!$J$6:$J$1413,U$1)</f>
        <v>0</v>
      </c>
      <c r="V206" s="80">
        <f>SUMIFS('февраль 2024'!$G$6:$G$1413,'февраль 2024'!$D$6:$D$1413,$B206,'февраль 2024'!$J$6:$J$1413,V$1)</f>
        <v>0</v>
      </c>
      <c r="W206" s="80">
        <f>SUMIFS('февраль 2024'!$G$6:$G$1413,'февраль 2024'!$D$6:$D$1413,$B206,'февраль 2024'!$J$6:$J$1413,W$1)</f>
        <v>0</v>
      </c>
      <c r="X206" s="80">
        <f>SUMIFS('февраль 2024'!$G$6:$G$1413,'февраль 2024'!$D$6:$D$1413,$B206,'февраль 2024'!$J$6:$J$1413,X$1)</f>
        <v>0</v>
      </c>
      <c r="Y206" s="80">
        <f>SUMIFS('февраль 2024'!$G$6:$G$1413,'февраль 2024'!$D$6:$D$1413,$B206,'февраль 2024'!$J$6:$J$1413,Y$1)</f>
        <v>0</v>
      </c>
      <c r="Z206" s="80">
        <f>SUMIFS('февраль 2024'!$G$6:$G$1413,'февраль 2024'!$D$6:$D$1413,$B206,'февраль 2024'!$J$6:$J$1413,Z$1)</f>
        <v>0</v>
      </c>
      <c r="AA206" s="80">
        <f>SUMIFS('февраль 2024'!$G$6:$G$1413,'февраль 2024'!$D$6:$D$1413,$B206,'февраль 2024'!$J$6:$J$1413,AA$1)</f>
        <v>0</v>
      </c>
      <c r="AB206" s="80">
        <f>SUMIFS('февраль 2024'!$G$6:$G$1413,'февраль 2024'!$D$6:$D$1413,$B206,'февраль 2024'!$J$6:$J$1413,AB$1)</f>
        <v>0</v>
      </c>
      <c r="AC206" s="80">
        <f>SUMIFS('февраль 2024'!$G$6:$G$1413,'февраль 2024'!$D$6:$D$1413,$B206,'февраль 2024'!$J$6:$J$1413,AC$1)</f>
        <v>0</v>
      </c>
      <c r="AD206" s="80">
        <f>SUMIFS('февраль 2024'!$G$6:$G$1413,'февраль 2024'!$D$6:$D$1413,$B206,'февраль 2024'!$J$6:$J$1413,AD$1)</f>
        <v>0</v>
      </c>
      <c r="AE206" s="80">
        <f>SUMIFS('февраль 2024'!$G$6:$G$1413,'февраль 2024'!$D$6:$D$1413,$B206,'февраль 2024'!$J$6:$J$1413,AE$1)</f>
        <v>0</v>
      </c>
      <c r="AF206" s="80">
        <f>SUMIFS('февраль 2024'!$G$6:$G$1413,'февраль 2024'!$D$6:$D$1413,$B206,'февраль 2024'!$J$6:$J$1413,AF$1)</f>
        <v>0</v>
      </c>
      <c r="AG206" s="80">
        <f>SUMIFS('февраль 2024'!$G$6:$G$1413,'февраль 2024'!$D$6:$D$1413,$B206,'февраль 2024'!$J$6:$J$1413,AG$1)</f>
        <v>0</v>
      </c>
      <c r="AH206" s="80">
        <f>SUMIFS('февраль 2024'!$G$6:$G$1413,'февраль 2024'!$D$6:$D$1413,$B206,'февраль 2024'!$J$6:$J$1413,AH$1)</f>
        <v>0</v>
      </c>
      <c r="AI206" s="87"/>
    </row>
    <row r="207" spans="2:35" ht="15" hidden="1" customHeight="1" x14ac:dyDescent="0.25">
      <c r="B207" s="89"/>
      <c r="C207" s="88"/>
      <c r="D207" s="80">
        <f>SUMIFS('февраль 2024'!$G$6:$G$1413,'февраль 2024'!$D$6:$D$1413,$B207,'февраль 2024'!$J$6:$J$1413,D$1)</f>
        <v>0</v>
      </c>
      <c r="E207" s="80">
        <f>SUMIFS('февраль 2024'!$G$6:$G$1413,'февраль 2024'!$D$6:$D$1413,$B207,'февраль 2024'!$J$6:$J$1413,E$1)</f>
        <v>0</v>
      </c>
      <c r="F207" s="80">
        <f>SUMIFS('февраль 2024'!$G$6:$G$1413,'февраль 2024'!$D$6:$D$1413,$B207,'февраль 2024'!$J$6:$J$1413,F$1)</f>
        <v>0</v>
      </c>
      <c r="G207" s="80">
        <f>SUMIFS('февраль 2024'!$G$6:$G$1413,'февраль 2024'!$D$6:$D$1413,$B207,'февраль 2024'!$J$6:$J$1413,G$1)</f>
        <v>0</v>
      </c>
      <c r="H207" s="80">
        <f>SUMIFS('февраль 2024'!$G$6:$G$1413,'февраль 2024'!$D$6:$D$1413,$B207,'февраль 2024'!$J$6:$J$1413,H$1)</f>
        <v>0</v>
      </c>
      <c r="I207" s="80">
        <f>SUMIFS('февраль 2024'!$G$6:$G$1413,'февраль 2024'!$D$6:$D$1413,$B207,'февраль 2024'!$J$6:$J$1413,I$1)</f>
        <v>0</v>
      </c>
      <c r="J207" s="80">
        <f>SUMIFS('февраль 2024'!$G$6:$G$1413,'февраль 2024'!$D$6:$D$1413,$B207,'февраль 2024'!$J$6:$J$1413,J$1)</f>
        <v>0</v>
      </c>
      <c r="K207" s="80">
        <f>SUMIFS('февраль 2024'!$G$6:$G$1413,'февраль 2024'!$D$6:$D$1413,$B207,'февраль 2024'!$J$6:$J$1413,K$1)</f>
        <v>0</v>
      </c>
      <c r="L207" s="80">
        <f>SUMIFS('февраль 2024'!$G$6:$G$1413,'февраль 2024'!$D$6:$D$1413,$B207,'февраль 2024'!$J$6:$J$1413,L$1)</f>
        <v>0</v>
      </c>
      <c r="M207" s="80">
        <f>SUMIFS('февраль 2024'!$G$6:$G$1413,'февраль 2024'!$D$6:$D$1413,$B207,'февраль 2024'!$J$6:$J$1413,M$1)</f>
        <v>0</v>
      </c>
      <c r="N207" s="80">
        <f>SUMIFS('февраль 2024'!$G$6:$G$1413,'февраль 2024'!$D$6:$D$1413,$B207,'февраль 2024'!$J$6:$J$1413,N$1)</f>
        <v>0</v>
      </c>
      <c r="O207" s="80">
        <f>SUMIFS('февраль 2024'!$G$6:$G$1413,'февраль 2024'!$D$6:$D$1413,$B207,'февраль 2024'!$J$6:$J$1413,O$1)</f>
        <v>0</v>
      </c>
      <c r="P207" s="80">
        <f>SUMIFS('февраль 2024'!$G$6:$G$1413,'февраль 2024'!$D$6:$D$1413,$B207,'февраль 2024'!$J$6:$J$1413,P$1)</f>
        <v>0</v>
      </c>
      <c r="Q207" s="80">
        <f>SUMIFS('февраль 2024'!$G$6:$G$1413,'февраль 2024'!$D$6:$D$1413,$B207,'февраль 2024'!$J$6:$J$1413,Q$1)</f>
        <v>0</v>
      </c>
      <c r="R207" s="80">
        <f>SUMIFS('февраль 2024'!$G$6:$G$1413,'февраль 2024'!$D$6:$D$1413,$B207,'февраль 2024'!$J$6:$J$1413,R$1)</f>
        <v>0</v>
      </c>
      <c r="S207" s="80">
        <f>SUMIFS('февраль 2024'!$G$6:$G$1413,'февраль 2024'!$D$6:$D$1413,$B207,'февраль 2024'!$J$6:$J$1413,S$1)</f>
        <v>0</v>
      </c>
      <c r="T207" s="80">
        <f>SUMIFS('февраль 2024'!$G$6:$G$1413,'февраль 2024'!$D$6:$D$1413,$B207,'февраль 2024'!$J$6:$J$1413,T$1)</f>
        <v>0</v>
      </c>
      <c r="U207" s="80">
        <f>SUMIFS('февраль 2024'!$G$6:$G$1413,'февраль 2024'!$D$6:$D$1413,$B207,'февраль 2024'!$J$6:$J$1413,U$1)</f>
        <v>0</v>
      </c>
      <c r="V207" s="80">
        <f>SUMIFS('февраль 2024'!$G$6:$G$1413,'февраль 2024'!$D$6:$D$1413,$B207,'февраль 2024'!$J$6:$J$1413,V$1)</f>
        <v>0</v>
      </c>
      <c r="W207" s="80">
        <f>SUMIFS('февраль 2024'!$G$6:$G$1413,'февраль 2024'!$D$6:$D$1413,$B207,'февраль 2024'!$J$6:$J$1413,W$1)</f>
        <v>0</v>
      </c>
      <c r="X207" s="80">
        <f>SUMIFS('февраль 2024'!$G$6:$G$1413,'февраль 2024'!$D$6:$D$1413,$B207,'февраль 2024'!$J$6:$J$1413,X$1)</f>
        <v>0</v>
      </c>
      <c r="Y207" s="80">
        <f>SUMIFS('февраль 2024'!$G$6:$G$1413,'февраль 2024'!$D$6:$D$1413,$B207,'февраль 2024'!$J$6:$J$1413,Y$1)</f>
        <v>0</v>
      </c>
      <c r="Z207" s="80">
        <f>SUMIFS('февраль 2024'!$G$6:$G$1413,'февраль 2024'!$D$6:$D$1413,$B207,'февраль 2024'!$J$6:$J$1413,Z$1)</f>
        <v>0</v>
      </c>
      <c r="AA207" s="80">
        <f>SUMIFS('февраль 2024'!$G$6:$G$1413,'февраль 2024'!$D$6:$D$1413,$B207,'февраль 2024'!$J$6:$J$1413,AA$1)</f>
        <v>0</v>
      </c>
      <c r="AB207" s="80">
        <f>SUMIFS('февраль 2024'!$G$6:$G$1413,'февраль 2024'!$D$6:$D$1413,$B207,'февраль 2024'!$J$6:$J$1413,AB$1)</f>
        <v>0</v>
      </c>
      <c r="AC207" s="80">
        <f>SUMIFS('февраль 2024'!$G$6:$G$1413,'февраль 2024'!$D$6:$D$1413,$B207,'февраль 2024'!$J$6:$J$1413,AC$1)</f>
        <v>0</v>
      </c>
      <c r="AD207" s="80">
        <f>SUMIFS('февраль 2024'!$G$6:$G$1413,'февраль 2024'!$D$6:$D$1413,$B207,'февраль 2024'!$J$6:$J$1413,AD$1)</f>
        <v>0</v>
      </c>
      <c r="AE207" s="80">
        <f>SUMIFS('февраль 2024'!$G$6:$G$1413,'февраль 2024'!$D$6:$D$1413,$B207,'февраль 2024'!$J$6:$J$1413,AE$1)</f>
        <v>0</v>
      </c>
      <c r="AF207" s="80">
        <f>SUMIFS('февраль 2024'!$G$6:$G$1413,'февраль 2024'!$D$6:$D$1413,$B207,'февраль 2024'!$J$6:$J$1413,AF$1)</f>
        <v>0</v>
      </c>
      <c r="AG207" s="80">
        <f>SUMIFS('февраль 2024'!$G$6:$G$1413,'февраль 2024'!$D$6:$D$1413,$B207,'февраль 2024'!$J$6:$J$1413,AG$1)</f>
        <v>0</v>
      </c>
      <c r="AH207" s="80">
        <f>SUMIFS('февраль 2024'!$G$6:$G$1413,'февраль 2024'!$D$6:$D$1413,$B207,'февраль 2024'!$J$6:$J$1413,AH$1)</f>
        <v>0</v>
      </c>
      <c r="AI207" s="87"/>
    </row>
    <row r="208" spans="2:35" ht="15" hidden="1" customHeight="1" x14ac:dyDescent="0.25">
      <c r="B208" s="89"/>
      <c r="C208" s="88"/>
      <c r="D208" s="80">
        <f>SUMIFS('февраль 2024'!$G$6:$G$1413,'февраль 2024'!$D$6:$D$1413,$B208,'февраль 2024'!$J$6:$J$1413,D$1)</f>
        <v>0</v>
      </c>
      <c r="E208" s="80">
        <f>SUMIFS('февраль 2024'!$G$6:$G$1413,'февраль 2024'!$D$6:$D$1413,$B208,'февраль 2024'!$J$6:$J$1413,E$1)</f>
        <v>0</v>
      </c>
      <c r="F208" s="80">
        <f>SUMIFS('февраль 2024'!$G$6:$G$1413,'февраль 2024'!$D$6:$D$1413,$B208,'февраль 2024'!$J$6:$J$1413,F$1)</f>
        <v>0</v>
      </c>
      <c r="G208" s="80">
        <f>SUMIFS('февраль 2024'!$G$6:$G$1413,'февраль 2024'!$D$6:$D$1413,$B208,'февраль 2024'!$J$6:$J$1413,G$1)</f>
        <v>0</v>
      </c>
      <c r="H208" s="80">
        <f>SUMIFS('февраль 2024'!$G$6:$G$1413,'февраль 2024'!$D$6:$D$1413,$B208,'февраль 2024'!$J$6:$J$1413,H$1)</f>
        <v>0</v>
      </c>
      <c r="I208" s="80">
        <f>SUMIFS('февраль 2024'!$G$6:$G$1413,'февраль 2024'!$D$6:$D$1413,$B208,'февраль 2024'!$J$6:$J$1413,I$1)</f>
        <v>0</v>
      </c>
      <c r="J208" s="80">
        <f>SUMIFS('февраль 2024'!$G$6:$G$1413,'февраль 2024'!$D$6:$D$1413,$B208,'февраль 2024'!$J$6:$J$1413,J$1)</f>
        <v>0</v>
      </c>
      <c r="K208" s="80">
        <f>SUMIFS('февраль 2024'!$G$6:$G$1413,'февраль 2024'!$D$6:$D$1413,$B208,'февраль 2024'!$J$6:$J$1413,K$1)</f>
        <v>0</v>
      </c>
      <c r="L208" s="80">
        <f>SUMIFS('февраль 2024'!$G$6:$G$1413,'февраль 2024'!$D$6:$D$1413,$B208,'февраль 2024'!$J$6:$J$1413,L$1)</f>
        <v>0</v>
      </c>
      <c r="M208" s="80">
        <f>SUMIFS('февраль 2024'!$G$6:$G$1413,'февраль 2024'!$D$6:$D$1413,$B208,'февраль 2024'!$J$6:$J$1413,M$1)</f>
        <v>0</v>
      </c>
      <c r="N208" s="80">
        <f>SUMIFS('февраль 2024'!$G$6:$G$1413,'февраль 2024'!$D$6:$D$1413,$B208,'февраль 2024'!$J$6:$J$1413,N$1)</f>
        <v>0</v>
      </c>
      <c r="O208" s="80">
        <f>SUMIFS('февраль 2024'!$G$6:$G$1413,'февраль 2024'!$D$6:$D$1413,$B208,'февраль 2024'!$J$6:$J$1413,O$1)</f>
        <v>0</v>
      </c>
      <c r="P208" s="80">
        <f>SUMIFS('февраль 2024'!$G$6:$G$1413,'февраль 2024'!$D$6:$D$1413,$B208,'февраль 2024'!$J$6:$J$1413,P$1)</f>
        <v>0</v>
      </c>
      <c r="Q208" s="80">
        <f>SUMIFS('февраль 2024'!$G$6:$G$1413,'февраль 2024'!$D$6:$D$1413,$B208,'февраль 2024'!$J$6:$J$1413,Q$1)</f>
        <v>0</v>
      </c>
      <c r="R208" s="80">
        <f>SUMIFS('февраль 2024'!$G$6:$G$1413,'февраль 2024'!$D$6:$D$1413,$B208,'февраль 2024'!$J$6:$J$1413,R$1)</f>
        <v>0</v>
      </c>
      <c r="S208" s="80">
        <f>SUMIFS('февраль 2024'!$G$6:$G$1413,'февраль 2024'!$D$6:$D$1413,$B208,'февраль 2024'!$J$6:$J$1413,S$1)</f>
        <v>0</v>
      </c>
      <c r="T208" s="80">
        <f>SUMIFS('февраль 2024'!$G$6:$G$1413,'февраль 2024'!$D$6:$D$1413,$B208,'февраль 2024'!$J$6:$J$1413,T$1)</f>
        <v>0</v>
      </c>
      <c r="U208" s="80">
        <f>SUMIFS('февраль 2024'!$G$6:$G$1413,'февраль 2024'!$D$6:$D$1413,$B208,'февраль 2024'!$J$6:$J$1413,U$1)</f>
        <v>0</v>
      </c>
      <c r="V208" s="80">
        <f>SUMIFS('февраль 2024'!$G$6:$G$1413,'февраль 2024'!$D$6:$D$1413,$B208,'февраль 2024'!$J$6:$J$1413,V$1)</f>
        <v>0</v>
      </c>
      <c r="W208" s="80">
        <f>SUMIFS('февраль 2024'!$G$6:$G$1413,'февраль 2024'!$D$6:$D$1413,$B208,'февраль 2024'!$J$6:$J$1413,W$1)</f>
        <v>0</v>
      </c>
      <c r="X208" s="80">
        <f>SUMIFS('февраль 2024'!$G$6:$G$1413,'февраль 2024'!$D$6:$D$1413,$B208,'февраль 2024'!$J$6:$J$1413,X$1)</f>
        <v>0</v>
      </c>
      <c r="Y208" s="80">
        <f>SUMIFS('февраль 2024'!$G$6:$G$1413,'февраль 2024'!$D$6:$D$1413,$B208,'февраль 2024'!$J$6:$J$1413,Y$1)</f>
        <v>0</v>
      </c>
      <c r="Z208" s="80">
        <f>SUMIFS('февраль 2024'!$G$6:$G$1413,'февраль 2024'!$D$6:$D$1413,$B208,'февраль 2024'!$J$6:$J$1413,Z$1)</f>
        <v>0</v>
      </c>
      <c r="AA208" s="80">
        <f>SUMIFS('февраль 2024'!$G$6:$G$1413,'февраль 2024'!$D$6:$D$1413,$B208,'февраль 2024'!$J$6:$J$1413,AA$1)</f>
        <v>0</v>
      </c>
      <c r="AB208" s="80">
        <f>SUMIFS('февраль 2024'!$G$6:$G$1413,'февраль 2024'!$D$6:$D$1413,$B208,'февраль 2024'!$J$6:$J$1413,AB$1)</f>
        <v>0</v>
      </c>
      <c r="AC208" s="80">
        <f>SUMIFS('февраль 2024'!$G$6:$G$1413,'февраль 2024'!$D$6:$D$1413,$B208,'февраль 2024'!$J$6:$J$1413,AC$1)</f>
        <v>0</v>
      </c>
      <c r="AD208" s="80">
        <f>SUMIFS('февраль 2024'!$G$6:$G$1413,'февраль 2024'!$D$6:$D$1413,$B208,'февраль 2024'!$J$6:$J$1413,AD$1)</f>
        <v>0</v>
      </c>
      <c r="AE208" s="80">
        <f>SUMIFS('февраль 2024'!$G$6:$G$1413,'февраль 2024'!$D$6:$D$1413,$B208,'февраль 2024'!$J$6:$J$1413,AE$1)</f>
        <v>0</v>
      </c>
      <c r="AF208" s="80">
        <f>SUMIFS('февраль 2024'!$G$6:$G$1413,'февраль 2024'!$D$6:$D$1413,$B208,'февраль 2024'!$J$6:$J$1413,AF$1)</f>
        <v>0</v>
      </c>
      <c r="AG208" s="80">
        <f>SUMIFS('февраль 2024'!$G$6:$G$1413,'февраль 2024'!$D$6:$D$1413,$B208,'февраль 2024'!$J$6:$J$1413,AG$1)</f>
        <v>0</v>
      </c>
      <c r="AH208" s="80">
        <f>SUMIFS('февраль 2024'!$G$6:$G$1413,'февраль 2024'!$D$6:$D$1413,$B208,'февраль 2024'!$J$6:$J$1413,AH$1)</f>
        <v>0</v>
      </c>
      <c r="AI208" s="87"/>
    </row>
    <row r="209" spans="2:35" ht="15" hidden="1" customHeight="1" x14ac:dyDescent="0.25">
      <c r="B209" s="89"/>
      <c r="C209" s="88"/>
      <c r="D209" s="80">
        <f>SUMIFS('февраль 2024'!$G$6:$G$1413,'февраль 2024'!$D$6:$D$1413,$B209,'февраль 2024'!$J$6:$J$1413,D$1)</f>
        <v>0</v>
      </c>
      <c r="E209" s="80">
        <f>SUMIFS('февраль 2024'!$G$6:$G$1413,'февраль 2024'!$D$6:$D$1413,$B209,'февраль 2024'!$J$6:$J$1413,E$1)</f>
        <v>0</v>
      </c>
      <c r="F209" s="80">
        <f>SUMIFS('февраль 2024'!$G$6:$G$1413,'февраль 2024'!$D$6:$D$1413,$B209,'февраль 2024'!$J$6:$J$1413,F$1)</f>
        <v>0</v>
      </c>
      <c r="G209" s="80">
        <f>SUMIFS('февраль 2024'!$G$6:$G$1413,'февраль 2024'!$D$6:$D$1413,$B209,'февраль 2024'!$J$6:$J$1413,G$1)</f>
        <v>0</v>
      </c>
      <c r="H209" s="80">
        <f>SUMIFS('февраль 2024'!$G$6:$G$1413,'февраль 2024'!$D$6:$D$1413,$B209,'февраль 2024'!$J$6:$J$1413,H$1)</f>
        <v>0</v>
      </c>
      <c r="I209" s="80">
        <f>SUMIFS('февраль 2024'!$G$6:$G$1413,'февраль 2024'!$D$6:$D$1413,$B209,'февраль 2024'!$J$6:$J$1413,I$1)</f>
        <v>0</v>
      </c>
      <c r="J209" s="80">
        <f>SUMIFS('февраль 2024'!$G$6:$G$1413,'февраль 2024'!$D$6:$D$1413,$B209,'февраль 2024'!$J$6:$J$1413,J$1)</f>
        <v>0</v>
      </c>
      <c r="K209" s="80">
        <f>SUMIFS('февраль 2024'!$G$6:$G$1413,'февраль 2024'!$D$6:$D$1413,$B209,'февраль 2024'!$J$6:$J$1413,K$1)</f>
        <v>0</v>
      </c>
      <c r="L209" s="80">
        <f>SUMIFS('февраль 2024'!$G$6:$G$1413,'февраль 2024'!$D$6:$D$1413,$B209,'февраль 2024'!$J$6:$J$1413,L$1)</f>
        <v>0</v>
      </c>
      <c r="M209" s="80">
        <f>SUMIFS('февраль 2024'!$G$6:$G$1413,'февраль 2024'!$D$6:$D$1413,$B209,'февраль 2024'!$J$6:$J$1413,M$1)</f>
        <v>0</v>
      </c>
      <c r="N209" s="80">
        <f>SUMIFS('февраль 2024'!$G$6:$G$1413,'февраль 2024'!$D$6:$D$1413,$B209,'февраль 2024'!$J$6:$J$1413,N$1)</f>
        <v>0</v>
      </c>
      <c r="O209" s="80">
        <f>SUMIFS('февраль 2024'!$G$6:$G$1413,'февраль 2024'!$D$6:$D$1413,$B209,'февраль 2024'!$J$6:$J$1413,O$1)</f>
        <v>0</v>
      </c>
      <c r="P209" s="80">
        <f>SUMIFS('февраль 2024'!$G$6:$G$1413,'февраль 2024'!$D$6:$D$1413,$B209,'февраль 2024'!$J$6:$J$1413,P$1)</f>
        <v>0</v>
      </c>
      <c r="Q209" s="80">
        <f>SUMIFS('февраль 2024'!$G$6:$G$1413,'февраль 2024'!$D$6:$D$1413,$B209,'февраль 2024'!$J$6:$J$1413,Q$1)</f>
        <v>0</v>
      </c>
      <c r="R209" s="80">
        <f>SUMIFS('февраль 2024'!$G$6:$G$1413,'февраль 2024'!$D$6:$D$1413,$B209,'февраль 2024'!$J$6:$J$1413,R$1)</f>
        <v>0</v>
      </c>
      <c r="S209" s="80">
        <f>SUMIFS('февраль 2024'!$G$6:$G$1413,'февраль 2024'!$D$6:$D$1413,$B209,'февраль 2024'!$J$6:$J$1413,S$1)</f>
        <v>0</v>
      </c>
      <c r="T209" s="80">
        <f>SUMIFS('февраль 2024'!$G$6:$G$1413,'февраль 2024'!$D$6:$D$1413,$B209,'февраль 2024'!$J$6:$J$1413,T$1)</f>
        <v>0</v>
      </c>
      <c r="U209" s="80">
        <f>SUMIFS('февраль 2024'!$G$6:$G$1413,'февраль 2024'!$D$6:$D$1413,$B209,'февраль 2024'!$J$6:$J$1413,U$1)</f>
        <v>0</v>
      </c>
      <c r="V209" s="80">
        <f>SUMIFS('февраль 2024'!$G$6:$G$1413,'февраль 2024'!$D$6:$D$1413,$B209,'февраль 2024'!$J$6:$J$1413,V$1)</f>
        <v>0</v>
      </c>
      <c r="W209" s="80">
        <f>SUMIFS('февраль 2024'!$G$6:$G$1413,'февраль 2024'!$D$6:$D$1413,$B209,'февраль 2024'!$J$6:$J$1413,W$1)</f>
        <v>0</v>
      </c>
      <c r="X209" s="80">
        <f>SUMIFS('февраль 2024'!$G$6:$G$1413,'февраль 2024'!$D$6:$D$1413,$B209,'февраль 2024'!$J$6:$J$1413,X$1)</f>
        <v>0</v>
      </c>
      <c r="Y209" s="80">
        <f>SUMIFS('февраль 2024'!$G$6:$G$1413,'февраль 2024'!$D$6:$D$1413,$B209,'февраль 2024'!$J$6:$J$1413,Y$1)</f>
        <v>0</v>
      </c>
      <c r="Z209" s="80">
        <f>SUMIFS('февраль 2024'!$G$6:$G$1413,'февраль 2024'!$D$6:$D$1413,$B209,'февраль 2024'!$J$6:$J$1413,Z$1)</f>
        <v>0</v>
      </c>
      <c r="AA209" s="80">
        <f>SUMIFS('февраль 2024'!$G$6:$G$1413,'февраль 2024'!$D$6:$D$1413,$B209,'февраль 2024'!$J$6:$J$1413,AA$1)</f>
        <v>0</v>
      </c>
      <c r="AB209" s="80">
        <f>SUMIFS('февраль 2024'!$G$6:$G$1413,'февраль 2024'!$D$6:$D$1413,$B209,'февраль 2024'!$J$6:$J$1413,AB$1)</f>
        <v>0</v>
      </c>
      <c r="AC209" s="80">
        <f>SUMIFS('февраль 2024'!$G$6:$G$1413,'февраль 2024'!$D$6:$D$1413,$B209,'февраль 2024'!$J$6:$J$1413,AC$1)</f>
        <v>0</v>
      </c>
      <c r="AD209" s="80">
        <f>SUMIFS('февраль 2024'!$G$6:$G$1413,'февраль 2024'!$D$6:$D$1413,$B209,'февраль 2024'!$J$6:$J$1413,AD$1)</f>
        <v>0</v>
      </c>
      <c r="AE209" s="80">
        <f>SUMIFS('февраль 2024'!$G$6:$G$1413,'февраль 2024'!$D$6:$D$1413,$B209,'февраль 2024'!$J$6:$J$1413,AE$1)</f>
        <v>0</v>
      </c>
      <c r="AF209" s="80">
        <f>SUMIFS('февраль 2024'!$G$6:$G$1413,'февраль 2024'!$D$6:$D$1413,$B209,'февраль 2024'!$J$6:$J$1413,AF$1)</f>
        <v>0</v>
      </c>
      <c r="AG209" s="80">
        <f>SUMIFS('февраль 2024'!$G$6:$G$1413,'февраль 2024'!$D$6:$D$1413,$B209,'февраль 2024'!$J$6:$J$1413,AG$1)</f>
        <v>0</v>
      </c>
      <c r="AH209" s="80">
        <f>SUMIFS('февраль 2024'!$G$6:$G$1413,'февраль 2024'!$D$6:$D$1413,$B209,'февраль 2024'!$J$6:$J$1413,AH$1)</f>
        <v>0</v>
      </c>
      <c r="AI209" s="87"/>
    </row>
    <row r="210" spans="2:35" ht="15" hidden="1" customHeight="1" x14ac:dyDescent="0.25">
      <c r="B210" s="89"/>
      <c r="C210" s="88"/>
      <c r="D210" s="80">
        <f>SUMIFS('февраль 2024'!$G$6:$G$1413,'февраль 2024'!$D$6:$D$1413,$B210,'февраль 2024'!$J$6:$J$1413,D$1)</f>
        <v>0</v>
      </c>
      <c r="E210" s="80">
        <f>SUMIFS('февраль 2024'!$G$6:$G$1413,'февраль 2024'!$D$6:$D$1413,$B210,'февраль 2024'!$J$6:$J$1413,E$1)</f>
        <v>0</v>
      </c>
      <c r="F210" s="80">
        <f>SUMIFS('февраль 2024'!$G$6:$G$1413,'февраль 2024'!$D$6:$D$1413,$B210,'февраль 2024'!$J$6:$J$1413,F$1)</f>
        <v>0</v>
      </c>
      <c r="G210" s="80">
        <f>SUMIFS('февраль 2024'!$G$6:$G$1413,'февраль 2024'!$D$6:$D$1413,$B210,'февраль 2024'!$J$6:$J$1413,G$1)</f>
        <v>0</v>
      </c>
      <c r="H210" s="80">
        <f>SUMIFS('февраль 2024'!$G$6:$G$1413,'февраль 2024'!$D$6:$D$1413,$B210,'февраль 2024'!$J$6:$J$1413,H$1)</f>
        <v>0</v>
      </c>
      <c r="I210" s="80">
        <f>SUMIFS('февраль 2024'!$G$6:$G$1413,'февраль 2024'!$D$6:$D$1413,$B210,'февраль 2024'!$J$6:$J$1413,I$1)</f>
        <v>0</v>
      </c>
      <c r="J210" s="80">
        <f>SUMIFS('февраль 2024'!$G$6:$G$1413,'февраль 2024'!$D$6:$D$1413,$B210,'февраль 2024'!$J$6:$J$1413,J$1)</f>
        <v>0</v>
      </c>
      <c r="K210" s="80">
        <f>SUMIFS('февраль 2024'!$G$6:$G$1413,'февраль 2024'!$D$6:$D$1413,$B210,'февраль 2024'!$J$6:$J$1413,K$1)</f>
        <v>0</v>
      </c>
      <c r="L210" s="80">
        <f>SUMIFS('февраль 2024'!$G$6:$G$1413,'февраль 2024'!$D$6:$D$1413,$B210,'февраль 2024'!$J$6:$J$1413,L$1)</f>
        <v>0</v>
      </c>
      <c r="M210" s="80">
        <f>SUMIFS('февраль 2024'!$G$6:$G$1413,'февраль 2024'!$D$6:$D$1413,$B210,'февраль 2024'!$J$6:$J$1413,M$1)</f>
        <v>0</v>
      </c>
      <c r="N210" s="80">
        <f>SUMIFS('февраль 2024'!$G$6:$G$1413,'февраль 2024'!$D$6:$D$1413,$B210,'февраль 2024'!$J$6:$J$1413,N$1)</f>
        <v>0</v>
      </c>
      <c r="O210" s="80">
        <f>SUMIFS('февраль 2024'!$G$6:$G$1413,'февраль 2024'!$D$6:$D$1413,$B210,'февраль 2024'!$J$6:$J$1413,O$1)</f>
        <v>0</v>
      </c>
      <c r="P210" s="80">
        <f>SUMIFS('февраль 2024'!$G$6:$G$1413,'февраль 2024'!$D$6:$D$1413,$B210,'февраль 2024'!$J$6:$J$1413,P$1)</f>
        <v>0</v>
      </c>
      <c r="Q210" s="80">
        <f>SUMIFS('февраль 2024'!$G$6:$G$1413,'февраль 2024'!$D$6:$D$1413,$B210,'февраль 2024'!$J$6:$J$1413,Q$1)</f>
        <v>0</v>
      </c>
      <c r="R210" s="80">
        <f>SUMIFS('февраль 2024'!$G$6:$G$1413,'февраль 2024'!$D$6:$D$1413,$B210,'февраль 2024'!$J$6:$J$1413,R$1)</f>
        <v>0</v>
      </c>
      <c r="S210" s="80">
        <f>SUMIFS('февраль 2024'!$G$6:$G$1413,'февраль 2024'!$D$6:$D$1413,$B210,'февраль 2024'!$J$6:$J$1413,S$1)</f>
        <v>0</v>
      </c>
      <c r="T210" s="80">
        <f>SUMIFS('февраль 2024'!$G$6:$G$1413,'февраль 2024'!$D$6:$D$1413,$B210,'февраль 2024'!$J$6:$J$1413,T$1)</f>
        <v>0</v>
      </c>
      <c r="U210" s="80">
        <f>SUMIFS('февраль 2024'!$G$6:$G$1413,'февраль 2024'!$D$6:$D$1413,$B210,'февраль 2024'!$J$6:$J$1413,U$1)</f>
        <v>0</v>
      </c>
      <c r="V210" s="80">
        <f>SUMIFS('февраль 2024'!$G$6:$G$1413,'февраль 2024'!$D$6:$D$1413,$B210,'февраль 2024'!$J$6:$J$1413,V$1)</f>
        <v>0</v>
      </c>
      <c r="W210" s="80">
        <f>SUMIFS('февраль 2024'!$G$6:$G$1413,'февраль 2024'!$D$6:$D$1413,$B210,'февраль 2024'!$J$6:$J$1413,W$1)</f>
        <v>0</v>
      </c>
      <c r="X210" s="80">
        <f>SUMIFS('февраль 2024'!$G$6:$G$1413,'февраль 2024'!$D$6:$D$1413,$B210,'февраль 2024'!$J$6:$J$1413,X$1)</f>
        <v>0</v>
      </c>
      <c r="Y210" s="80">
        <f>SUMIFS('февраль 2024'!$G$6:$G$1413,'февраль 2024'!$D$6:$D$1413,$B210,'февраль 2024'!$J$6:$J$1413,Y$1)</f>
        <v>0</v>
      </c>
      <c r="Z210" s="80">
        <f>SUMIFS('февраль 2024'!$G$6:$G$1413,'февраль 2024'!$D$6:$D$1413,$B210,'февраль 2024'!$J$6:$J$1413,Z$1)</f>
        <v>0</v>
      </c>
      <c r="AA210" s="80">
        <f>SUMIFS('февраль 2024'!$G$6:$G$1413,'февраль 2024'!$D$6:$D$1413,$B210,'февраль 2024'!$J$6:$J$1413,AA$1)</f>
        <v>0</v>
      </c>
      <c r="AB210" s="80">
        <f>SUMIFS('февраль 2024'!$G$6:$G$1413,'февраль 2024'!$D$6:$D$1413,$B210,'февраль 2024'!$J$6:$J$1413,AB$1)</f>
        <v>0</v>
      </c>
      <c r="AC210" s="80">
        <f>SUMIFS('февраль 2024'!$G$6:$G$1413,'февраль 2024'!$D$6:$D$1413,$B210,'февраль 2024'!$J$6:$J$1413,AC$1)</f>
        <v>0</v>
      </c>
      <c r="AD210" s="80">
        <f>SUMIFS('февраль 2024'!$G$6:$G$1413,'февраль 2024'!$D$6:$D$1413,$B210,'февраль 2024'!$J$6:$J$1413,AD$1)</f>
        <v>0</v>
      </c>
      <c r="AE210" s="80">
        <f>SUMIFS('февраль 2024'!$G$6:$G$1413,'февраль 2024'!$D$6:$D$1413,$B210,'февраль 2024'!$J$6:$J$1413,AE$1)</f>
        <v>0</v>
      </c>
      <c r="AF210" s="80">
        <f>SUMIFS('февраль 2024'!$G$6:$G$1413,'февраль 2024'!$D$6:$D$1413,$B210,'февраль 2024'!$J$6:$J$1413,AF$1)</f>
        <v>0</v>
      </c>
      <c r="AG210" s="80">
        <f>SUMIFS('февраль 2024'!$G$6:$G$1413,'февраль 2024'!$D$6:$D$1413,$B210,'февраль 2024'!$J$6:$J$1413,AG$1)</f>
        <v>0</v>
      </c>
      <c r="AH210" s="80">
        <f>SUMIFS('февраль 2024'!$G$6:$G$1413,'февраль 2024'!$D$6:$D$1413,$B210,'февраль 2024'!$J$6:$J$1413,AH$1)</f>
        <v>0</v>
      </c>
      <c r="AI210" s="87"/>
    </row>
    <row r="211" spans="2:35" ht="15" hidden="1" customHeight="1" x14ac:dyDescent="0.25">
      <c r="B211" s="89"/>
      <c r="C211" s="88"/>
      <c r="D211" s="80">
        <f>SUMIFS('февраль 2024'!$G$6:$G$1413,'февраль 2024'!$D$6:$D$1413,$B211,'февраль 2024'!$J$6:$J$1413,D$1)</f>
        <v>0</v>
      </c>
      <c r="E211" s="80">
        <f>SUMIFS('февраль 2024'!$G$6:$G$1413,'февраль 2024'!$D$6:$D$1413,$B211,'февраль 2024'!$J$6:$J$1413,E$1)</f>
        <v>0</v>
      </c>
      <c r="F211" s="80">
        <f>SUMIFS('февраль 2024'!$G$6:$G$1413,'февраль 2024'!$D$6:$D$1413,$B211,'февраль 2024'!$J$6:$J$1413,F$1)</f>
        <v>0</v>
      </c>
      <c r="G211" s="80">
        <f>SUMIFS('февраль 2024'!$G$6:$G$1413,'февраль 2024'!$D$6:$D$1413,$B211,'февраль 2024'!$J$6:$J$1413,G$1)</f>
        <v>0</v>
      </c>
      <c r="H211" s="80">
        <f>SUMIFS('февраль 2024'!$G$6:$G$1413,'февраль 2024'!$D$6:$D$1413,$B211,'февраль 2024'!$J$6:$J$1413,H$1)</f>
        <v>0</v>
      </c>
      <c r="I211" s="80">
        <f>SUMIFS('февраль 2024'!$G$6:$G$1413,'февраль 2024'!$D$6:$D$1413,$B211,'февраль 2024'!$J$6:$J$1413,I$1)</f>
        <v>0</v>
      </c>
      <c r="J211" s="80">
        <f>SUMIFS('февраль 2024'!$G$6:$G$1413,'февраль 2024'!$D$6:$D$1413,$B211,'февраль 2024'!$J$6:$J$1413,J$1)</f>
        <v>0</v>
      </c>
      <c r="K211" s="80">
        <f>SUMIFS('февраль 2024'!$G$6:$G$1413,'февраль 2024'!$D$6:$D$1413,$B211,'февраль 2024'!$J$6:$J$1413,K$1)</f>
        <v>0</v>
      </c>
      <c r="L211" s="80">
        <f>SUMIFS('февраль 2024'!$G$6:$G$1413,'февраль 2024'!$D$6:$D$1413,$B211,'февраль 2024'!$J$6:$J$1413,L$1)</f>
        <v>0</v>
      </c>
      <c r="M211" s="80">
        <f>SUMIFS('февраль 2024'!$G$6:$G$1413,'февраль 2024'!$D$6:$D$1413,$B211,'февраль 2024'!$J$6:$J$1413,M$1)</f>
        <v>0</v>
      </c>
      <c r="N211" s="80">
        <f>SUMIFS('февраль 2024'!$G$6:$G$1413,'февраль 2024'!$D$6:$D$1413,$B211,'февраль 2024'!$J$6:$J$1413,N$1)</f>
        <v>0</v>
      </c>
      <c r="O211" s="80">
        <f>SUMIFS('февраль 2024'!$G$6:$G$1413,'февраль 2024'!$D$6:$D$1413,$B211,'февраль 2024'!$J$6:$J$1413,O$1)</f>
        <v>0</v>
      </c>
      <c r="P211" s="80">
        <f>SUMIFS('февраль 2024'!$G$6:$G$1413,'февраль 2024'!$D$6:$D$1413,$B211,'февраль 2024'!$J$6:$J$1413,P$1)</f>
        <v>0</v>
      </c>
      <c r="Q211" s="80">
        <f>SUMIFS('февраль 2024'!$G$6:$G$1413,'февраль 2024'!$D$6:$D$1413,$B211,'февраль 2024'!$J$6:$J$1413,Q$1)</f>
        <v>0</v>
      </c>
      <c r="R211" s="80">
        <f>SUMIFS('февраль 2024'!$G$6:$G$1413,'февраль 2024'!$D$6:$D$1413,$B211,'февраль 2024'!$J$6:$J$1413,R$1)</f>
        <v>0</v>
      </c>
      <c r="S211" s="80">
        <f>SUMIFS('февраль 2024'!$G$6:$G$1413,'февраль 2024'!$D$6:$D$1413,$B211,'февраль 2024'!$J$6:$J$1413,S$1)</f>
        <v>0</v>
      </c>
      <c r="T211" s="80">
        <f>SUMIFS('февраль 2024'!$G$6:$G$1413,'февраль 2024'!$D$6:$D$1413,$B211,'февраль 2024'!$J$6:$J$1413,T$1)</f>
        <v>0</v>
      </c>
      <c r="U211" s="80">
        <f>SUMIFS('февраль 2024'!$G$6:$G$1413,'февраль 2024'!$D$6:$D$1413,$B211,'февраль 2024'!$J$6:$J$1413,U$1)</f>
        <v>0</v>
      </c>
      <c r="V211" s="80">
        <f>SUMIFS('февраль 2024'!$G$6:$G$1413,'февраль 2024'!$D$6:$D$1413,$B211,'февраль 2024'!$J$6:$J$1413,V$1)</f>
        <v>0</v>
      </c>
      <c r="W211" s="80">
        <f>SUMIFS('февраль 2024'!$G$6:$G$1413,'февраль 2024'!$D$6:$D$1413,$B211,'февраль 2024'!$J$6:$J$1413,W$1)</f>
        <v>0</v>
      </c>
      <c r="X211" s="80">
        <f>SUMIFS('февраль 2024'!$G$6:$G$1413,'февраль 2024'!$D$6:$D$1413,$B211,'февраль 2024'!$J$6:$J$1413,X$1)</f>
        <v>0</v>
      </c>
      <c r="Y211" s="80">
        <f>SUMIFS('февраль 2024'!$G$6:$G$1413,'февраль 2024'!$D$6:$D$1413,$B211,'февраль 2024'!$J$6:$J$1413,Y$1)</f>
        <v>0</v>
      </c>
      <c r="Z211" s="80">
        <f>SUMIFS('февраль 2024'!$G$6:$G$1413,'февраль 2024'!$D$6:$D$1413,$B211,'февраль 2024'!$J$6:$J$1413,Z$1)</f>
        <v>0</v>
      </c>
      <c r="AA211" s="80">
        <f>SUMIFS('февраль 2024'!$G$6:$G$1413,'февраль 2024'!$D$6:$D$1413,$B211,'февраль 2024'!$J$6:$J$1413,AA$1)</f>
        <v>0</v>
      </c>
      <c r="AB211" s="80">
        <f>SUMIFS('февраль 2024'!$G$6:$G$1413,'февраль 2024'!$D$6:$D$1413,$B211,'февраль 2024'!$J$6:$J$1413,AB$1)</f>
        <v>0</v>
      </c>
      <c r="AC211" s="80">
        <f>SUMIFS('февраль 2024'!$G$6:$G$1413,'февраль 2024'!$D$6:$D$1413,$B211,'февраль 2024'!$J$6:$J$1413,AC$1)</f>
        <v>0</v>
      </c>
      <c r="AD211" s="80">
        <f>SUMIFS('февраль 2024'!$G$6:$G$1413,'февраль 2024'!$D$6:$D$1413,$B211,'февраль 2024'!$J$6:$J$1413,AD$1)</f>
        <v>0</v>
      </c>
      <c r="AE211" s="80">
        <f>SUMIFS('февраль 2024'!$G$6:$G$1413,'февраль 2024'!$D$6:$D$1413,$B211,'февраль 2024'!$J$6:$J$1413,AE$1)</f>
        <v>0</v>
      </c>
      <c r="AF211" s="80">
        <f>SUMIFS('февраль 2024'!$G$6:$G$1413,'февраль 2024'!$D$6:$D$1413,$B211,'февраль 2024'!$J$6:$J$1413,AF$1)</f>
        <v>0</v>
      </c>
      <c r="AG211" s="80">
        <f>SUMIFS('февраль 2024'!$G$6:$G$1413,'февраль 2024'!$D$6:$D$1413,$B211,'февраль 2024'!$J$6:$J$1413,AG$1)</f>
        <v>0</v>
      </c>
      <c r="AH211" s="80">
        <f>SUMIFS('февраль 2024'!$G$6:$G$1413,'февраль 2024'!$D$6:$D$1413,$B211,'февраль 2024'!$J$6:$J$1413,AH$1)</f>
        <v>0</v>
      </c>
      <c r="AI211" s="87"/>
    </row>
    <row r="212" spans="2:35" ht="15" hidden="1" customHeight="1" x14ac:dyDescent="0.25">
      <c r="B212" s="89"/>
      <c r="C212" s="88"/>
      <c r="D212" s="80">
        <f>SUMIFS('февраль 2024'!$G$6:$G$1413,'февраль 2024'!$D$6:$D$1413,$B212,'февраль 2024'!$J$6:$J$1413,D$1)</f>
        <v>0</v>
      </c>
      <c r="E212" s="80">
        <f>SUMIFS('февраль 2024'!$G$6:$G$1413,'февраль 2024'!$D$6:$D$1413,$B212,'февраль 2024'!$J$6:$J$1413,E$1)</f>
        <v>0</v>
      </c>
      <c r="F212" s="80">
        <f>SUMIFS('февраль 2024'!$G$6:$G$1413,'февраль 2024'!$D$6:$D$1413,$B212,'февраль 2024'!$J$6:$J$1413,F$1)</f>
        <v>0</v>
      </c>
      <c r="G212" s="80">
        <f>SUMIFS('февраль 2024'!$G$6:$G$1413,'февраль 2024'!$D$6:$D$1413,$B212,'февраль 2024'!$J$6:$J$1413,G$1)</f>
        <v>0</v>
      </c>
      <c r="H212" s="80">
        <f>SUMIFS('февраль 2024'!$G$6:$G$1413,'февраль 2024'!$D$6:$D$1413,$B212,'февраль 2024'!$J$6:$J$1413,H$1)</f>
        <v>0</v>
      </c>
      <c r="I212" s="80">
        <f>SUMIFS('февраль 2024'!$G$6:$G$1413,'февраль 2024'!$D$6:$D$1413,$B212,'февраль 2024'!$J$6:$J$1413,I$1)</f>
        <v>0</v>
      </c>
      <c r="J212" s="80">
        <f>SUMIFS('февраль 2024'!$G$6:$G$1413,'февраль 2024'!$D$6:$D$1413,$B212,'февраль 2024'!$J$6:$J$1413,J$1)</f>
        <v>0</v>
      </c>
      <c r="K212" s="80">
        <f>SUMIFS('февраль 2024'!$G$6:$G$1413,'февраль 2024'!$D$6:$D$1413,$B212,'февраль 2024'!$J$6:$J$1413,K$1)</f>
        <v>0</v>
      </c>
      <c r="L212" s="80">
        <f>SUMIFS('февраль 2024'!$G$6:$G$1413,'февраль 2024'!$D$6:$D$1413,$B212,'февраль 2024'!$J$6:$J$1413,L$1)</f>
        <v>0</v>
      </c>
      <c r="M212" s="80">
        <f>SUMIFS('февраль 2024'!$G$6:$G$1413,'февраль 2024'!$D$6:$D$1413,$B212,'февраль 2024'!$J$6:$J$1413,M$1)</f>
        <v>0</v>
      </c>
      <c r="N212" s="80">
        <f>SUMIFS('февраль 2024'!$G$6:$G$1413,'февраль 2024'!$D$6:$D$1413,$B212,'февраль 2024'!$J$6:$J$1413,N$1)</f>
        <v>0</v>
      </c>
      <c r="O212" s="80">
        <f>SUMIFS('февраль 2024'!$G$6:$G$1413,'февраль 2024'!$D$6:$D$1413,$B212,'февраль 2024'!$J$6:$J$1413,O$1)</f>
        <v>0</v>
      </c>
      <c r="P212" s="80">
        <f>SUMIFS('февраль 2024'!$G$6:$G$1413,'февраль 2024'!$D$6:$D$1413,$B212,'февраль 2024'!$J$6:$J$1413,P$1)</f>
        <v>0</v>
      </c>
      <c r="Q212" s="80">
        <f>SUMIFS('февраль 2024'!$G$6:$G$1413,'февраль 2024'!$D$6:$D$1413,$B212,'февраль 2024'!$J$6:$J$1413,Q$1)</f>
        <v>0</v>
      </c>
      <c r="R212" s="80">
        <f>SUMIFS('февраль 2024'!$G$6:$G$1413,'февраль 2024'!$D$6:$D$1413,$B212,'февраль 2024'!$J$6:$J$1413,R$1)</f>
        <v>0</v>
      </c>
      <c r="S212" s="80">
        <f>SUMIFS('февраль 2024'!$G$6:$G$1413,'февраль 2024'!$D$6:$D$1413,$B212,'февраль 2024'!$J$6:$J$1413,S$1)</f>
        <v>0</v>
      </c>
      <c r="T212" s="80">
        <f>SUMIFS('февраль 2024'!$G$6:$G$1413,'февраль 2024'!$D$6:$D$1413,$B212,'февраль 2024'!$J$6:$J$1413,T$1)</f>
        <v>0</v>
      </c>
      <c r="U212" s="80">
        <f>SUMIFS('февраль 2024'!$G$6:$G$1413,'февраль 2024'!$D$6:$D$1413,$B212,'февраль 2024'!$J$6:$J$1413,U$1)</f>
        <v>0</v>
      </c>
      <c r="V212" s="80">
        <f>SUMIFS('февраль 2024'!$G$6:$G$1413,'февраль 2024'!$D$6:$D$1413,$B212,'февраль 2024'!$J$6:$J$1413,V$1)</f>
        <v>0</v>
      </c>
      <c r="W212" s="80">
        <f>SUMIFS('февраль 2024'!$G$6:$G$1413,'февраль 2024'!$D$6:$D$1413,$B212,'февраль 2024'!$J$6:$J$1413,W$1)</f>
        <v>0</v>
      </c>
      <c r="X212" s="80">
        <f>SUMIFS('февраль 2024'!$G$6:$G$1413,'февраль 2024'!$D$6:$D$1413,$B212,'февраль 2024'!$J$6:$J$1413,X$1)</f>
        <v>0</v>
      </c>
      <c r="Y212" s="80">
        <f>SUMIFS('февраль 2024'!$G$6:$G$1413,'февраль 2024'!$D$6:$D$1413,$B212,'февраль 2024'!$J$6:$J$1413,Y$1)</f>
        <v>0</v>
      </c>
      <c r="Z212" s="80">
        <f>SUMIFS('февраль 2024'!$G$6:$G$1413,'февраль 2024'!$D$6:$D$1413,$B212,'февраль 2024'!$J$6:$J$1413,Z$1)</f>
        <v>0</v>
      </c>
      <c r="AA212" s="80">
        <f>SUMIFS('февраль 2024'!$G$6:$G$1413,'февраль 2024'!$D$6:$D$1413,$B212,'февраль 2024'!$J$6:$J$1413,AA$1)</f>
        <v>0</v>
      </c>
      <c r="AB212" s="80">
        <f>SUMIFS('февраль 2024'!$G$6:$G$1413,'февраль 2024'!$D$6:$D$1413,$B212,'февраль 2024'!$J$6:$J$1413,AB$1)</f>
        <v>0</v>
      </c>
      <c r="AC212" s="80">
        <f>SUMIFS('февраль 2024'!$G$6:$G$1413,'февраль 2024'!$D$6:$D$1413,$B212,'февраль 2024'!$J$6:$J$1413,AC$1)</f>
        <v>0</v>
      </c>
      <c r="AD212" s="80">
        <f>SUMIFS('февраль 2024'!$G$6:$G$1413,'февраль 2024'!$D$6:$D$1413,$B212,'февраль 2024'!$J$6:$J$1413,AD$1)</f>
        <v>0</v>
      </c>
      <c r="AE212" s="80">
        <f>SUMIFS('февраль 2024'!$G$6:$G$1413,'февраль 2024'!$D$6:$D$1413,$B212,'февраль 2024'!$J$6:$J$1413,AE$1)</f>
        <v>0</v>
      </c>
      <c r="AF212" s="80">
        <f>SUMIFS('февраль 2024'!$G$6:$G$1413,'февраль 2024'!$D$6:$D$1413,$B212,'февраль 2024'!$J$6:$J$1413,AF$1)</f>
        <v>0</v>
      </c>
      <c r="AG212" s="80">
        <f>SUMIFS('февраль 2024'!$G$6:$G$1413,'февраль 2024'!$D$6:$D$1413,$B212,'февраль 2024'!$J$6:$J$1413,AG$1)</f>
        <v>0</v>
      </c>
      <c r="AH212" s="80">
        <f>SUMIFS('февраль 2024'!$G$6:$G$1413,'февраль 2024'!$D$6:$D$1413,$B212,'февраль 2024'!$J$6:$J$1413,AH$1)</f>
        <v>0</v>
      </c>
      <c r="AI212" s="87"/>
    </row>
    <row r="213" spans="2:35" ht="15" hidden="1" customHeight="1" x14ac:dyDescent="0.25">
      <c r="B213" s="89"/>
      <c r="C213" s="88"/>
      <c r="D213" s="80">
        <f>SUMIFS('февраль 2024'!$G$6:$G$1413,'февраль 2024'!$D$6:$D$1413,$B213,'февраль 2024'!$J$6:$J$1413,D$1)</f>
        <v>0</v>
      </c>
      <c r="E213" s="80">
        <f>SUMIFS('февраль 2024'!$G$6:$G$1413,'февраль 2024'!$D$6:$D$1413,$B213,'февраль 2024'!$J$6:$J$1413,E$1)</f>
        <v>0</v>
      </c>
      <c r="F213" s="80">
        <f>SUMIFS('февраль 2024'!$G$6:$G$1413,'февраль 2024'!$D$6:$D$1413,$B213,'февраль 2024'!$J$6:$J$1413,F$1)</f>
        <v>0</v>
      </c>
      <c r="G213" s="80">
        <f>SUMIFS('февраль 2024'!$G$6:$G$1413,'февраль 2024'!$D$6:$D$1413,$B213,'февраль 2024'!$J$6:$J$1413,G$1)</f>
        <v>0</v>
      </c>
      <c r="H213" s="80">
        <f>SUMIFS('февраль 2024'!$G$6:$G$1413,'февраль 2024'!$D$6:$D$1413,$B213,'февраль 2024'!$J$6:$J$1413,H$1)</f>
        <v>0</v>
      </c>
      <c r="I213" s="80">
        <f>SUMIFS('февраль 2024'!$G$6:$G$1413,'февраль 2024'!$D$6:$D$1413,$B213,'февраль 2024'!$J$6:$J$1413,I$1)</f>
        <v>0</v>
      </c>
      <c r="J213" s="80">
        <f>SUMIFS('февраль 2024'!$G$6:$G$1413,'февраль 2024'!$D$6:$D$1413,$B213,'февраль 2024'!$J$6:$J$1413,J$1)</f>
        <v>0</v>
      </c>
      <c r="K213" s="80">
        <f>SUMIFS('февраль 2024'!$G$6:$G$1413,'февраль 2024'!$D$6:$D$1413,$B213,'февраль 2024'!$J$6:$J$1413,K$1)</f>
        <v>0</v>
      </c>
      <c r="L213" s="80">
        <f>SUMIFS('февраль 2024'!$G$6:$G$1413,'февраль 2024'!$D$6:$D$1413,$B213,'февраль 2024'!$J$6:$J$1413,L$1)</f>
        <v>0</v>
      </c>
      <c r="M213" s="80">
        <f>SUMIFS('февраль 2024'!$G$6:$G$1413,'февраль 2024'!$D$6:$D$1413,$B213,'февраль 2024'!$J$6:$J$1413,M$1)</f>
        <v>0</v>
      </c>
      <c r="N213" s="80">
        <f>SUMIFS('февраль 2024'!$G$6:$G$1413,'февраль 2024'!$D$6:$D$1413,$B213,'февраль 2024'!$J$6:$J$1413,N$1)</f>
        <v>0</v>
      </c>
      <c r="O213" s="80">
        <f>SUMIFS('февраль 2024'!$G$6:$G$1413,'февраль 2024'!$D$6:$D$1413,$B213,'февраль 2024'!$J$6:$J$1413,O$1)</f>
        <v>0</v>
      </c>
      <c r="P213" s="80">
        <f>SUMIFS('февраль 2024'!$G$6:$G$1413,'февраль 2024'!$D$6:$D$1413,$B213,'февраль 2024'!$J$6:$J$1413,P$1)</f>
        <v>0</v>
      </c>
      <c r="Q213" s="80">
        <f>SUMIFS('февраль 2024'!$G$6:$G$1413,'февраль 2024'!$D$6:$D$1413,$B213,'февраль 2024'!$J$6:$J$1413,Q$1)</f>
        <v>0</v>
      </c>
      <c r="R213" s="80">
        <f>SUMIFS('февраль 2024'!$G$6:$G$1413,'февраль 2024'!$D$6:$D$1413,$B213,'февраль 2024'!$J$6:$J$1413,R$1)</f>
        <v>0</v>
      </c>
      <c r="S213" s="80">
        <f>SUMIFS('февраль 2024'!$G$6:$G$1413,'февраль 2024'!$D$6:$D$1413,$B213,'февраль 2024'!$J$6:$J$1413,S$1)</f>
        <v>0</v>
      </c>
      <c r="T213" s="80">
        <f>SUMIFS('февраль 2024'!$G$6:$G$1413,'февраль 2024'!$D$6:$D$1413,$B213,'февраль 2024'!$J$6:$J$1413,T$1)</f>
        <v>0</v>
      </c>
      <c r="U213" s="80">
        <f>SUMIFS('февраль 2024'!$G$6:$G$1413,'февраль 2024'!$D$6:$D$1413,$B213,'февраль 2024'!$J$6:$J$1413,U$1)</f>
        <v>0</v>
      </c>
      <c r="V213" s="80">
        <f>SUMIFS('февраль 2024'!$G$6:$G$1413,'февраль 2024'!$D$6:$D$1413,$B213,'февраль 2024'!$J$6:$J$1413,V$1)</f>
        <v>0</v>
      </c>
      <c r="W213" s="80">
        <f>SUMIFS('февраль 2024'!$G$6:$G$1413,'февраль 2024'!$D$6:$D$1413,$B213,'февраль 2024'!$J$6:$J$1413,W$1)</f>
        <v>0</v>
      </c>
      <c r="X213" s="80">
        <f>SUMIFS('февраль 2024'!$G$6:$G$1413,'февраль 2024'!$D$6:$D$1413,$B213,'февраль 2024'!$J$6:$J$1413,X$1)</f>
        <v>0</v>
      </c>
      <c r="Y213" s="80">
        <f>SUMIFS('февраль 2024'!$G$6:$G$1413,'февраль 2024'!$D$6:$D$1413,$B213,'февраль 2024'!$J$6:$J$1413,Y$1)</f>
        <v>0</v>
      </c>
      <c r="Z213" s="80">
        <f>SUMIFS('февраль 2024'!$G$6:$G$1413,'февраль 2024'!$D$6:$D$1413,$B213,'февраль 2024'!$J$6:$J$1413,Z$1)</f>
        <v>0</v>
      </c>
      <c r="AA213" s="80">
        <f>SUMIFS('февраль 2024'!$G$6:$G$1413,'февраль 2024'!$D$6:$D$1413,$B213,'февраль 2024'!$J$6:$J$1413,AA$1)</f>
        <v>0</v>
      </c>
      <c r="AB213" s="80">
        <f>SUMIFS('февраль 2024'!$G$6:$G$1413,'февраль 2024'!$D$6:$D$1413,$B213,'февраль 2024'!$J$6:$J$1413,AB$1)</f>
        <v>0</v>
      </c>
      <c r="AC213" s="80">
        <f>SUMIFS('февраль 2024'!$G$6:$G$1413,'февраль 2024'!$D$6:$D$1413,$B213,'февраль 2024'!$J$6:$J$1413,AC$1)</f>
        <v>0</v>
      </c>
      <c r="AD213" s="80">
        <f>SUMIFS('февраль 2024'!$G$6:$G$1413,'февраль 2024'!$D$6:$D$1413,$B213,'февраль 2024'!$J$6:$J$1413,AD$1)</f>
        <v>0</v>
      </c>
      <c r="AE213" s="80">
        <f>SUMIFS('февраль 2024'!$G$6:$G$1413,'февраль 2024'!$D$6:$D$1413,$B213,'февраль 2024'!$J$6:$J$1413,AE$1)</f>
        <v>0</v>
      </c>
      <c r="AF213" s="80">
        <f>SUMIFS('февраль 2024'!$G$6:$G$1413,'февраль 2024'!$D$6:$D$1413,$B213,'февраль 2024'!$J$6:$J$1413,AF$1)</f>
        <v>0</v>
      </c>
      <c r="AG213" s="80">
        <f>SUMIFS('февраль 2024'!$G$6:$G$1413,'февраль 2024'!$D$6:$D$1413,$B213,'февраль 2024'!$J$6:$J$1413,AG$1)</f>
        <v>0</v>
      </c>
      <c r="AH213" s="80">
        <f>SUMIFS('февраль 2024'!$G$6:$G$1413,'февраль 2024'!$D$6:$D$1413,$B213,'февраль 2024'!$J$6:$J$1413,AH$1)</f>
        <v>0</v>
      </c>
      <c r="AI213" s="87"/>
    </row>
    <row r="214" spans="2:35" ht="15" hidden="1" customHeight="1" x14ac:dyDescent="0.25">
      <c r="B214" s="89"/>
      <c r="C214" s="88"/>
      <c r="D214" s="80">
        <f>SUMIFS('февраль 2024'!$G$6:$G$1413,'февраль 2024'!$D$6:$D$1413,$B214,'февраль 2024'!$J$6:$J$1413,D$1)</f>
        <v>0</v>
      </c>
      <c r="E214" s="80">
        <f>SUMIFS('февраль 2024'!$G$6:$G$1413,'февраль 2024'!$D$6:$D$1413,$B214,'февраль 2024'!$J$6:$J$1413,E$1)</f>
        <v>0</v>
      </c>
      <c r="F214" s="80">
        <f>SUMIFS('февраль 2024'!$G$6:$G$1413,'февраль 2024'!$D$6:$D$1413,$B214,'февраль 2024'!$J$6:$J$1413,F$1)</f>
        <v>0</v>
      </c>
      <c r="G214" s="80">
        <f>SUMIFS('февраль 2024'!$G$6:$G$1413,'февраль 2024'!$D$6:$D$1413,$B214,'февраль 2024'!$J$6:$J$1413,G$1)</f>
        <v>0</v>
      </c>
      <c r="H214" s="80">
        <f>SUMIFS('февраль 2024'!$G$6:$G$1413,'февраль 2024'!$D$6:$D$1413,$B214,'февраль 2024'!$J$6:$J$1413,H$1)</f>
        <v>0</v>
      </c>
      <c r="I214" s="80">
        <f>SUMIFS('февраль 2024'!$G$6:$G$1413,'февраль 2024'!$D$6:$D$1413,$B214,'февраль 2024'!$J$6:$J$1413,I$1)</f>
        <v>0</v>
      </c>
      <c r="J214" s="80">
        <f>SUMIFS('февраль 2024'!$G$6:$G$1413,'февраль 2024'!$D$6:$D$1413,$B214,'февраль 2024'!$J$6:$J$1413,J$1)</f>
        <v>0</v>
      </c>
      <c r="K214" s="80">
        <f>SUMIFS('февраль 2024'!$G$6:$G$1413,'февраль 2024'!$D$6:$D$1413,$B214,'февраль 2024'!$J$6:$J$1413,K$1)</f>
        <v>0</v>
      </c>
      <c r="L214" s="80">
        <f>SUMIFS('февраль 2024'!$G$6:$G$1413,'февраль 2024'!$D$6:$D$1413,$B214,'февраль 2024'!$J$6:$J$1413,L$1)</f>
        <v>0</v>
      </c>
      <c r="M214" s="80">
        <f>SUMIFS('февраль 2024'!$G$6:$G$1413,'февраль 2024'!$D$6:$D$1413,$B214,'февраль 2024'!$J$6:$J$1413,M$1)</f>
        <v>0</v>
      </c>
      <c r="N214" s="80">
        <f>SUMIFS('февраль 2024'!$G$6:$G$1413,'февраль 2024'!$D$6:$D$1413,$B214,'февраль 2024'!$J$6:$J$1413,N$1)</f>
        <v>0</v>
      </c>
      <c r="O214" s="80">
        <f>SUMIFS('февраль 2024'!$G$6:$G$1413,'февраль 2024'!$D$6:$D$1413,$B214,'февраль 2024'!$J$6:$J$1413,O$1)</f>
        <v>0</v>
      </c>
      <c r="P214" s="80">
        <f>SUMIFS('февраль 2024'!$G$6:$G$1413,'февраль 2024'!$D$6:$D$1413,$B214,'февраль 2024'!$J$6:$J$1413,P$1)</f>
        <v>0</v>
      </c>
      <c r="Q214" s="80">
        <f>SUMIFS('февраль 2024'!$G$6:$G$1413,'февраль 2024'!$D$6:$D$1413,$B214,'февраль 2024'!$J$6:$J$1413,Q$1)</f>
        <v>0</v>
      </c>
      <c r="R214" s="80">
        <f>SUMIFS('февраль 2024'!$G$6:$G$1413,'февраль 2024'!$D$6:$D$1413,$B214,'февраль 2024'!$J$6:$J$1413,R$1)</f>
        <v>0</v>
      </c>
      <c r="S214" s="80">
        <f>SUMIFS('февраль 2024'!$G$6:$G$1413,'февраль 2024'!$D$6:$D$1413,$B214,'февраль 2024'!$J$6:$J$1413,S$1)</f>
        <v>0</v>
      </c>
      <c r="T214" s="80">
        <f>SUMIFS('февраль 2024'!$G$6:$G$1413,'февраль 2024'!$D$6:$D$1413,$B214,'февраль 2024'!$J$6:$J$1413,T$1)</f>
        <v>0</v>
      </c>
      <c r="U214" s="80">
        <f>SUMIFS('февраль 2024'!$G$6:$G$1413,'февраль 2024'!$D$6:$D$1413,$B214,'февраль 2024'!$J$6:$J$1413,U$1)</f>
        <v>0</v>
      </c>
      <c r="V214" s="80">
        <f>SUMIFS('февраль 2024'!$G$6:$G$1413,'февраль 2024'!$D$6:$D$1413,$B214,'февраль 2024'!$J$6:$J$1413,V$1)</f>
        <v>0</v>
      </c>
      <c r="W214" s="80">
        <f>SUMIFS('февраль 2024'!$G$6:$G$1413,'февраль 2024'!$D$6:$D$1413,$B214,'февраль 2024'!$J$6:$J$1413,W$1)</f>
        <v>0</v>
      </c>
      <c r="X214" s="80">
        <f>SUMIFS('февраль 2024'!$G$6:$G$1413,'февраль 2024'!$D$6:$D$1413,$B214,'февраль 2024'!$J$6:$J$1413,X$1)</f>
        <v>0</v>
      </c>
      <c r="Y214" s="80">
        <f>SUMIFS('февраль 2024'!$G$6:$G$1413,'февраль 2024'!$D$6:$D$1413,$B214,'февраль 2024'!$J$6:$J$1413,Y$1)</f>
        <v>0</v>
      </c>
      <c r="Z214" s="80">
        <f>SUMIFS('февраль 2024'!$G$6:$G$1413,'февраль 2024'!$D$6:$D$1413,$B214,'февраль 2024'!$J$6:$J$1413,Z$1)</f>
        <v>0</v>
      </c>
      <c r="AA214" s="80">
        <f>SUMIFS('февраль 2024'!$G$6:$G$1413,'февраль 2024'!$D$6:$D$1413,$B214,'февраль 2024'!$J$6:$J$1413,AA$1)</f>
        <v>0</v>
      </c>
      <c r="AB214" s="80">
        <f>SUMIFS('февраль 2024'!$G$6:$G$1413,'февраль 2024'!$D$6:$D$1413,$B214,'февраль 2024'!$J$6:$J$1413,AB$1)</f>
        <v>0</v>
      </c>
      <c r="AC214" s="80">
        <f>SUMIFS('февраль 2024'!$G$6:$G$1413,'февраль 2024'!$D$6:$D$1413,$B214,'февраль 2024'!$J$6:$J$1413,AC$1)</f>
        <v>0</v>
      </c>
      <c r="AD214" s="80">
        <f>SUMIFS('февраль 2024'!$G$6:$G$1413,'февраль 2024'!$D$6:$D$1413,$B214,'февраль 2024'!$J$6:$J$1413,AD$1)</f>
        <v>0</v>
      </c>
      <c r="AE214" s="80">
        <f>SUMIFS('февраль 2024'!$G$6:$G$1413,'февраль 2024'!$D$6:$D$1413,$B214,'февраль 2024'!$J$6:$J$1413,AE$1)</f>
        <v>0</v>
      </c>
      <c r="AF214" s="80">
        <f>SUMIFS('февраль 2024'!$G$6:$G$1413,'февраль 2024'!$D$6:$D$1413,$B214,'февраль 2024'!$J$6:$J$1413,AF$1)</f>
        <v>0</v>
      </c>
      <c r="AG214" s="80">
        <f>SUMIFS('февраль 2024'!$G$6:$G$1413,'февраль 2024'!$D$6:$D$1413,$B214,'февраль 2024'!$J$6:$J$1413,AG$1)</f>
        <v>0</v>
      </c>
      <c r="AH214" s="80">
        <f>SUMIFS('февраль 2024'!$G$6:$G$1413,'февраль 2024'!$D$6:$D$1413,$B214,'февраль 2024'!$J$6:$J$1413,AH$1)</f>
        <v>0</v>
      </c>
      <c r="AI214" s="87"/>
    </row>
    <row r="215" spans="2:35" ht="15" hidden="1" customHeight="1" thickBot="1" x14ac:dyDescent="0.3">
      <c r="B215" s="89"/>
      <c r="C215" s="96"/>
      <c r="D215" s="80">
        <f>SUMIFS('февраль 2024'!$G$6:$G$1413,'февраль 2024'!$D$6:$D$1413,$B215,'февраль 2024'!$J$6:$J$1413,D$1)</f>
        <v>0</v>
      </c>
      <c r="E215" s="80">
        <f>SUMIFS('февраль 2024'!$G$6:$G$1413,'февраль 2024'!$D$6:$D$1413,$B215,'февраль 2024'!$J$6:$J$1413,E$1)</f>
        <v>0</v>
      </c>
      <c r="F215" s="80">
        <f>SUMIFS('февраль 2024'!$G$6:$G$1413,'февраль 2024'!$D$6:$D$1413,$B215,'февраль 2024'!$J$6:$J$1413,F$1)</f>
        <v>0</v>
      </c>
      <c r="G215" s="80">
        <f>SUMIFS('февраль 2024'!$G$6:$G$1413,'февраль 2024'!$D$6:$D$1413,$B215,'февраль 2024'!$J$6:$J$1413,G$1)</f>
        <v>0</v>
      </c>
      <c r="H215" s="80">
        <f>SUMIFS('февраль 2024'!$G$6:$G$1413,'февраль 2024'!$D$6:$D$1413,$B215,'февраль 2024'!$J$6:$J$1413,H$1)</f>
        <v>0</v>
      </c>
      <c r="I215" s="80">
        <f>SUMIFS('февраль 2024'!$G$6:$G$1413,'февраль 2024'!$D$6:$D$1413,$B215,'февраль 2024'!$J$6:$J$1413,I$1)</f>
        <v>0</v>
      </c>
      <c r="J215" s="80">
        <f>SUMIFS('февраль 2024'!$G$6:$G$1413,'февраль 2024'!$D$6:$D$1413,$B215,'февраль 2024'!$J$6:$J$1413,J$1)</f>
        <v>0</v>
      </c>
      <c r="K215" s="80">
        <f>SUMIFS('февраль 2024'!$G$6:$G$1413,'февраль 2024'!$D$6:$D$1413,$B215,'февраль 2024'!$J$6:$J$1413,K$1)</f>
        <v>0</v>
      </c>
      <c r="L215" s="80">
        <f>SUMIFS('февраль 2024'!$G$6:$G$1413,'февраль 2024'!$D$6:$D$1413,$B215,'февраль 2024'!$J$6:$J$1413,L$1)</f>
        <v>0</v>
      </c>
      <c r="M215" s="80">
        <f>SUMIFS('февраль 2024'!$G$6:$G$1413,'февраль 2024'!$D$6:$D$1413,$B215,'февраль 2024'!$J$6:$J$1413,M$1)</f>
        <v>0</v>
      </c>
      <c r="N215" s="80">
        <f>SUMIFS('февраль 2024'!$G$6:$G$1413,'февраль 2024'!$D$6:$D$1413,$B215,'февраль 2024'!$J$6:$J$1413,N$1)</f>
        <v>0</v>
      </c>
      <c r="O215" s="80">
        <f>SUMIFS('февраль 2024'!$G$6:$G$1413,'февраль 2024'!$D$6:$D$1413,$B215,'февраль 2024'!$J$6:$J$1413,O$1)</f>
        <v>0</v>
      </c>
      <c r="P215" s="80">
        <f>SUMIFS('февраль 2024'!$G$6:$G$1413,'февраль 2024'!$D$6:$D$1413,$B215,'февраль 2024'!$J$6:$J$1413,P$1)</f>
        <v>0</v>
      </c>
      <c r="Q215" s="80">
        <f>SUMIFS('февраль 2024'!$G$6:$G$1413,'февраль 2024'!$D$6:$D$1413,$B215,'февраль 2024'!$J$6:$J$1413,Q$1)</f>
        <v>0</v>
      </c>
      <c r="R215" s="80">
        <f>SUMIFS('февраль 2024'!$G$6:$G$1413,'февраль 2024'!$D$6:$D$1413,$B215,'февраль 2024'!$J$6:$J$1413,R$1)</f>
        <v>0</v>
      </c>
      <c r="S215" s="80">
        <f>SUMIFS('февраль 2024'!$G$6:$G$1413,'февраль 2024'!$D$6:$D$1413,$B215,'февраль 2024'!$J$6:$J$1413,S$1)</f>
        <v>0</v>
      </c>
      <c r="T215" s="80">
        <f>SUMIFS('февраль 2024'!$G$6:$G$1413,'февраль 2024'!$D$6:$D$1413,$B215,'февраль 2024'!$J$6:$J$1413,T$1)</f>
        <v>0</v>
      </c>
      <c r="U215" s="80">
        <f>SUMIFS('февраль 2024'!$G$6:$G$1413,'февраль 2024'!$D$6:$D$1413,$B215,'февраль 2024'!$J$6:$J$1413,U$1)</f>
        <v>0</v>
      </c>
      <c r="V215" s="80">
        <f>SUMIFS('февраль 2024'!$G$6:$G$1413,'февраль 2024'!$D$6:$D$1413,$B215,'февраль 2024'!$J$6:$J$1413,V$1)</f>
        <v>0</v>
      </c>
      <c r="W215" s="80">
        <f>SUMIFS('февраль 2024'!$G$6:$G$1413,'февраль 2024'!$D$6:$D$1413,$B215,'февраль 2024'!$J$6:$J$1413,W$1)</f>
        <v>0</v>
      </c>
      <c r="X215" s="80">
        <f>SUMIFS('февраль 2024'!$G$6:$G$1413,'февраль 2024'!$D$6:$D$1413,$B215,'февраль 2024'!$J$6:$J$1413,X$1)</f>
        <v>0</v>
      </c>
      <c r="Y215" s="80">
        <f>SUMIFS('февраль 2024'!$G$6:$G$1413,'февраль 2024'!$D$6:$D$1413,$B215,'февраль 2024'!$J$6:$J$1413,Y$1)</f>
        <v>0</v>
      </c>
      <c r="Z215" s="80">
        <f>SUMIFS('февраль 2024'!$G$6:$G$1413,'февраль 2024'!$D$6:$D$1413,$B215,'февраль 2024'!$J$6:$J$1413,Z$1)</f>
        <v>0</v>
      </c>
      <c r="AA215" s="80">
        <f>SUMIFS('февраль 2024'!$G$6:$G$1413,'февраль 2024'!$D$6:$D$1413,$B215,'февраль 2024'!$J$6:$J$1413,AA$1)</f>
        <v>0</v>
      </c>
      <c r="AB215" s="80">
        <f>SUMIFS('февраль 2024'!$G$6:$G$1413,'февраль 2024'!$D$6:$D$1413,$B215,'февраль 2024'!$J$6:$J$1413,AB$1)</f>
        <v>0</v>
      </c>
      <c r="AC215" s="80">
        <f>SUMIFS('февраль 2024'!$G$6:$G$1413,'февраль 2024'!$D$6:$D$1413,$B215,'февраль 2024'!$J$6:$J$1413,AC$1)</f>
        <v>0</v>
      </c>
      <c r="AD215" s="80">
        <f>SUMIFS('февраль 2024'!$G$6:$G$1413,'февраль 2024'!$D$6:$D$1413,$B215,'февраль 2024'!$J$6:$J$1413,AD$1)</f>
        <v>0</v>
      </c>
      <c r="AE215" s="80">
        <f>SUMIFS('февраль 2024'!$G$6:$G$1413,'февраль 2024'!$D$6:$D$1413,$B215,'февраль 2024'!$J$6:$J$1413,AE$1)</f>
        <v>0</v>
      </c>
      <c r="AF215" s="80">
        <f>SUMIFS('февраль 2024'!$G$6:$G$1413,'февраль 2024'!$D$6:$D$1413,$B215,'февраль 2024'!$J$6:$J$1413,AF$1)</f>
        <v>0</v>
      </c>
      <c r="AG215" s="80">
        <f>SUMIFS('февраль 2024'!$G$6:$G$1413,'февраль 2024'!$D$6:$D$1413,$B215,'февраль 2024'!$J$6:$J$1413,AG$1)</f>
        <v>0</v>
      </c>
      <c r="AH215" s="80">
        <f>SUMIFS('февраль 2024'!$G$6:$G$1413,'февраль 2024'!$D$6:$D$1413,$B215,'февраль 2024'!$J$6:$J$1413,AH$1)</f>
        <v>0</v>
      </c>
      <c r="AI215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400-000000000000}">
          <x14:formula1>
            <xm:f>справочник!$E$1:$E$2+справочник!$E$2:$E$37</xm:f>
          </x14:formula1>
          <xm:sqref>B196:B215</xm:sqref>
        </x14:dataValidation>
        <x14:dataValidation type="list" allowBlank="1" showInputMessage="1" showErrorMessage="1" xr:uid="{00000000-0002-0000-1400-000001000000}">
          <x14:formula1>
            <xm:f>справочник!$E$2:$E$155</xm:f>
          </x14:formula1>
          <xm:sqref>B3:B195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AI213"/>
  <sheetViews>
    <sheetView showZeros="0" topLeftCell="A65" zoomScale="70" zoomScaleNormal="70" workbookViewId="0">
      <selection activeCell="D88" sqref="D88:AI89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45444</v>
      </c>
      <c r="C1" s="72"/>
      <c r="D1" s="73">
        <f>B1</f>
        <v>45444</v>
      </c>
      <c r="E1" s="73">
        <f>D1+1</f>
        <v>45445</v>
      </c>
      <c r="F1" s="73">
        <f t="shared" ref="F1:AH1" si="0">E1+1</f>
        <v>45446</v>
      </c>
      <c r="G1" s="73">
        <f t="shared" si="0"/>
        <v>45447</v>
      </c>
      <c r="H1" s="73">
        <f t="shared" si="0"/>
        <v>45448</v>
      </c>
      <c r="I1" s="73">
        <f t="shared" si="0"/>
        <v>45449</v>
      </c>
      <c r="J1" s="73">
        <f t="shared" si="0"/>
        <v>45450</v>
      </c>
      <c r="K1" s="73">
        <f t="shared" si="0"/>
        <v>45451</v>
      </c>
      <c r="L1" s="73">
        <f t="shared" si="0"/>
        <v>45452</v>
      </c>
      <c r="M1" s="73">
        <f t="shared" si="0"/>
        <v>45453</v>
      </c>
      <c r="N1" s="73">
        <f t="shared" si="0"/>
        <v>45454</v>
      </c>
      <c r="O1" s="73">
        <f t="shared" si="0"/>
        <v>45455</v>
      </c>
      <c r="P1" s="73">
        <f t="shared" si="0"/>
        <v>45456</v>
      </c>
      <c r="Q1" s="73">
        <f t="shared" si="0"/>
        <v>45457</v>
      </c>
      <c r="R1" s="73">
        <f t="shared" si="0"/>
        <v>45458</v>
      </c>
      <c r="S1" s="73">
        <f t="shared" si="0"/>
        <v>45459</v>
      </c>
      <c r="T1" s="73">
        <f t="shared" si="0"/>
        <v>45460</v>
      </c>
      <c r="U1" s="73">
        <f t="shared" si="0"/>
        <v>45461</v>
      </c>
      <c r="V1" s="73">
        <f t="shared" si="0"/>
        <v>45462</v>
      </c>
      <c r="W1" s="73">
        <f t="shared" si="0"/>
        <v>45463</v>
      </c>
      <c r="X1" s="73">
        <f t="shared" si="0"/>
        <v>45464</v>
      </c>
      <c r="Y1" s="73">
        <f t="shared" si="0"/>
        <v>45465</v>
      </c>
      <c r="Z1" s="73">
        <f t="shared" si="0"/>
        <v>45466</v>
      </c>
      <c r="AA1" s="73">
        <f t="shared" si="0"/>
        <v>45467</v>
      </c>
      <c r="AB1" s="73">
        <f t="shared" si="0"/>
        <v>45468</v>
      </c>
      <c r="AC1" s="73">
        <f t="shared" si="0"/>
        <v>45469</v>
      </c>
      <c r="AD1" s="73">
        <f t="shared" si="0"/>
        <v>45470</v>
      </c>
      <c r="AE1" s="73">
        <f t="shared" si="0"/>
        <v>45471</v>
      </c>
      <c r="AF1" s="73">
        <f t="shared" si="0"/>
        <v>45472</v>
      </c>
      <c r="AG1" s="73">
        <f t="shared" si="0"/>
        <v>45473</v>
      </c>
      <c r="AH1" s="73">
        <f t="shared" si="0"/>
        <v>45474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SUMIFS('июнь 2024'!$G$4:$G$1823,'июнь 2024'!$D$4:$D$1823,$B3,'июнь 2024'!$J$4:$J$1823,D$1)</f>
        <v>0</v>
      </c>
      <c r="E3" s="80">
        <f>SUMIFS('июнь 2024'!$G$4:$G$1823,'июнь 2024'!$D$4:$D$1823,$B3,'июнь 2024'!$J$4:$J$1823,E$1)</f>
        <v>0</v>
      </c>
      <c r="F3" s="80">
        <f>SUMIFS('июнь 2024'!$G$4:$G$1823,'июнь 2024'!$D$4:$D$1823,$B3,'июнь 2024'!$J$4:$J$1823,F$1)</f>
        <v>0</v>
      </c>
      <c r="G3" s="80">
        <f>SUMIFS('июнь 2024'!$G$4:$G$1823,'июнь 2024'!$D$4:$D$1823,$B3,'июнь 2024'!$J$4:$J$1823,G$1)</f>
        <v>0</v>
      </c>
      <c r="H3" s="80">
        <f>SUMIFS('июнь 2024'!$G$4:$G$1823,'июнь 2024'!$D$4:$D$1823,$B3,'июнь 2024'!$J$4:$J$1823,H$1)</f>
        <v>0</v>
      </c>
      <c r="I3" s="80">
        <f>SUMIFS('июнь 2024'!$G$4:$G$1823,'июнь 2024'!$D$4:$D$1823,$B3,'июнь 2024'!$J$4:$J$1823,I$1)</f>
        <v>0</v>
      </c>
      <c r="J3" s="80">
        <f>SUMIFS('июнь 2024'!$G$4:$G$1823,'июнь 2024'!$D$4:$D$1823,$B3,'июнь 2024'!$J$4:$J$1823,J$1)</f>
        <v>0</v>
      </c>
      <c r="K3" s="80">
        <f>SUMIFS('июнь 2024'!$G$4:$G$1823,'июнь 2024'!$D$4:$D$1823,$B3,'июнь 2024'!$J$4:$J$1823,K$1)</f>
        <v>0</v>
      </c>
      <c r="L3" s="80">
        <f>SUMIFS('июнь 2024'!$G$4:$G$1823,'июнь 2024'!$D$4:$D$1823,$B3,'июнь 2024'!$J$4:$J$1823,L$1)</f>
        <v>0</v>
      </c>
      <c r="M3" s="80">
        <f>SUMIFS('июнь 2024'!$G$4:$G$1823,'июнь 2024'!$D$4:$D$1823,$B3,'июнь 2024'!$J$4:$J$1823,M$1)</f>
        <v>0</v>
      </c>
      <c r="N3" s="80">
        <f>SUMIFS('июнь 2024'!$G$4:$G$1823,'июнь 2024'!$D$4:$D$1823,$B3,'июнь 2024'!$J$4:$J$1823,N$1)</f>
        <v>0</v>
      </c>
      <c r="O3" s="80">
        <f>SUMIFS('июнь 2024'!$G$4:$G$1823,'июнь 2024'!$D$4:$D$1823,$B3,'июнь 2024'!$J$4:$J$1823,O$1)</f>
        <v>0</v>
      </c>
      <c r="P3" s="80">
        <f>SUMIFS('июнь 2024'!$G$4:$G$1823,'июнь 2024'!$D$4:$D$1823,$B3,'июнь 2024'!$J$4:$J$1823,P$1)</f>
        <v>0</v>
      </c>
      <c r="Q3" s="80">
        <f>SUMIFS('июнь 2024'!$G$4:$G$1823,'июнь 2024'!$D$4:$D$1823,$B3,'июнь 2024'!$J$4:$J$1823,Q$1)</f>
        <v>0</v>
      </c>
      <c r="R3" s="80">
        <f>SUMIFS('июнь 2024'!$G$4:$G$1823,'июнь 2024'!$D$4:$D$1823,$B3,'июнь 2024'!$J$4:$J$1823,R$1)</f>
        <v>0</v>
      </c>
      <c r="S3" s="80">
        <f>SUMIFS('июнь 2024'!$G$4:$G$1823,'июнь 2024'!$D$4:$D$1823,$B3,'июнь 2024'!$J$4:$J$1823,S$1)</f>
        <v>0</v>
      </c>
      <c r="T3" s="80">
        <f>SUMIFS('июнь 2024'!$G$4:$G$1823,'июнь 2024'!$D$4:$D$1823,$B3,'июнь 2024'!$J$4:$J$1823,T$1)</f>
        <v>0</v>
      </c>
      <c r="U3" s="80">
        <f>SUMIFS('июнь 2024'!$G$4:$G$1823,'июнь 2024'!$D$4:$D$1823,$B3,'июнь 2024'!$J$4:$J$1823,U$1)</f>
        <v>0</v>
      </c>
      <c r="V3" s="80">
        <f>SUMIFS('июнь 2024'!$G$4:$G$1823,'июнь 2024'!$D$4:$D$1823,$B3,'июнь 2024'!$J$4:$J$1823,V$1)</f>
        <v>0</v>
      </c>
      <c r="W3" s="80">
        <f>SUMIFS('июнь 2024'!$G$4:$G$1823,'июнь 2024'!$D$4:$D$1823,$B3,'июнь 2024'!$J$4:$J$1823,W$1)</f>
        <v>0</v>
      </c>
      <c r="X3" s="80">
        <f>SUMIFS('июнь 2024'!$G$4:$G$1823,'июнь 2024'!$D$4:$D$1823,$B3,'июнь 2024'!$J$4:$J$1823,X$1)</f>
        <v>0</v>
      </c>
      <c r="Y3" s="80">
        <f>SUMIFS('июнь 2024'!$G$4:$G$1823,'июнь 2024'!$D$4:$D$1823,$B3,'июнь 2024'!$J$4:$J$1823,Y$1)</f>
        <v>0</v>
      </c>
      <c r="Z3" s="80">
        <f>SUMIFS('июнь 2024'!$G$4:$G$1823,'июнь 2024'!$D$4:$D$1823,$B3,'июнь 2024'!$J$4:$J$1823,Z$1)</f>
        <v>0</v>
      </c>
      <c r="AA3" s="80">
        <f>SUMIFS('июнь 2024'!$G$4:$G$1823,'июнь 2024'!$D$4:$D$1823,$B3,'июнь 2024'!$J$4:$J$1823,AA$1)</f>
        <v>0</v>
      </c>
      <c r="AB3" s="80">
        <f>SUMIFS('июнь 2024'!$G$4:$G$1823,'июнь 2024'!$D$4:$D$1823,$B3,'июнь 2024'!$J$4:$J$1823,AB$1)</f>
        <v>0</v>
      </c>
      <c r="AC3" s="80">
        <f>SUMIFS('июнь 2024'!$G$4:$G$1823,'июнь 2024'!$D$4:$D$1823,$B3,'июнь 2024'!$J$4:$J$1823,AC$1)</f>
        <v>0</v>
      </c>
      <c r="AD3" s="80">
        <f>SUMIFS('июнь 2024'!$G$4:$G$1823,'июнь 2024'!$D$4:$D$1823,$B3,'июнь 2024'!$J$4:$J$1823,AD$1)</f>
        <v>0</v>
      </c>
      <c r="AE3" s="80">
        <f>SUMIFS('июнь 2024'!$G$4:$G$1823,'июнь 2024'!$D$4:$D$1823,$B3,'июнь 2024'!$J$4:$J$1823,AE$1)</f>
        <v>0</v>
      </c>
      <c r="AF3" s="80">
        <f>SUMIFS('июнь 2024'!$G$4:$G$1823,'июнь 2024'!$D$4:$D$1823,$B3,'июнь 2024'!$J$4:$J$1823,AF$1)</f>
        <v>0</v>
      </c>
      <c r="AG3" s="80">
        <f>SUMIFS('июнь 2024'!$G$4:$G$1823,'июнь 2024'!$D$4:$D$1823,$B3,'июнь 2024'!$J$4:$J$1823,AG$1)</f>
        <v>0</v>
      </c>
      <c r="AH3" s="80">
        <f>SUMIFS('июнь 2024'!$G$4:$G$1823,'июнь 2024'!$D$4:$D$1823,$B3,'июнь 2024'!$J$4:$J$1823,AH$1)</f>
        <v>0</v>
      </c>
      <c r="AI3" s="49">
        <f t="shared" ref="AI3:AI145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SUMIFS('июнь 2024'!$G$4:$G$1823,'июнь 2024'!$D$4:$D$1823,$B4,'июнь 2024'!$J$4:$J$1823,D$1)</f>
        <v>0</v>
      </c>
      <c r="E4" s="80">
        <f>SUMIFS('июнь 2024'!$G$4:$G$1823,'июнь 2024'!$D$4:$D$1823,$B4,'июнь 2024'!$J$4:$J$1823,E$1)</f>
        <v>0</v>
      </c>
      <c r="F4" s="80">
        <f>SUMIFS('июнь 2024'!$G$4:$G$1823,'июнь 2024'!$D$4:$D$1823,$B4,'июнь 2024'!$J$4:$J$1823,F$1)</f>
        <v>0</v>
      </c>
      <c r="G4" s="80">
        <f>SUMIFS('июнь 2024'!$G$4:$G$1823,'июнь 2024'!$D$4:$D$1823,$B4,'июнь 2024'!$J$4:$J$1823,G$1)</f>
        <v>0</v>
      </c>
      <c r="H4" s="80">
        <f>SUMIFS('июнь 2024'!$G$4:$G$1823,'июнь 2024'!$D$4:$D$1823,$B4,'июнь 2024'!$J$4:$J$1823,H$1)</f>
        <v>0</v>
      </c>
      <c r="I4" s="80">
        <f>SUMIFS('июнь 2024'!$G$4:$G$1823,'июнь 2024'!$D$4:$D$1823,$B4,'июнь 2024'!$J$4:$J$1823,I$1)</f>
        <v>0</v>
      </c>
      <c r="J4" s="80">
        <f>SUMIFS('июнь 2024'!$G$4:$G$1823,'июнь 2024'!$D$4:$D$1823,$B4,'июнь 2024'!$J$4:$J$1823,J$1)</f>
        <v>0</v>
      </c>
      <c r="K4" s="80">
        <f>SUMIFS('июнь 2024'!$G$4:$G$1823,'июнь 2024'!$D$4:$D$1823,$B4,'июнь 2024'!$J$4:$J$1823,K$1)</f>
        <v>0</v>
      </c>
      <c r="L4" s="80">
        <f>SUMIFS('июнь 2024'!$G$4:$G$1823,'июнь 2024'!$D$4:$D$1823,$B4,'июнь 2024'!$J$4:$J$1823,L$1)</f>
        <v>0</v>
      </c>
      <c r="M4" s="80">
        <f>SUMIFS('июнь 2024'!$G$4:$G$1823,'июнь 2024'!$D$4:$D$1823,$B4,'июнь 2024'!$J$4:$J$1823,M$1)</f>
        <v>0</v>
      </c>
      <c r="N4" s="80">
        <f>SUMIFS('июнь 2024'!$G$4:$G$1823,'июнь 2024'!$D$4:$D$1823,$B4,'июнь 2024'!$J$4:$J$1823,N$1)</f>
        <v>0</v>
      </c>
      <c r="O4" s="80">
        <f>SUMIFS('июнь 2024'!$G$4:$G$1823,'июнь 2024'!$D$4:$D$1823,$B4,'июнь 2024'!$J$4:$J$1823,O$1)</f>
        <v>0</v>
      </c>
      <c r="P4" s="80">
        <f>SUMIFS('июнь 2024'!$G$4:$G$1823,'июнь 2024'!$D$4:$D$1823,$B4,'июнь 2024'!$J$4:$J$1823,P$1)</f>
        <v>0</v>
      </c>
      <c r="Q4" s="80">
        <f>SUMIFS('июнь 2024'!$G$4:$G$1823,'июнь 2024'!$D$4:$D$1823,$B4,'июнь 2024'!$J$4:$J$1823,Q$1)</f>
        <v>0</v>
      </c>
      <c r="R4" s="80">
        <f>SUMIFS('июнь 2024'!$G$4:$G$1823,'июнь 2024'!$D$4:$D$1823,$B4,'июнь 2024'!$J$4:$J$1823,R$1)</f>
        <v>0</v>
      </c>
      <c r="S4" s="80">
        <f>SUMIFS('июнь 2024'!$G$4:$G$1823,'июнь 2024'!$D$4:$D$1823,$B4,'июнь 2024'!$J$4:$J$1823,S$1)</f>
        <v>0</v>
      </c>
      <c r="T4" s="80">
        <f>SUMIFS('июнь 2024'!$G$4:$G$1823,'июнь 2024'!$D$4:$D$1823,$B4,'июнь 2024'!$J$4:$J$1823,T$1)</f>
        <v>0</v>
      </c>
      <c r="U4" s="80">
        <f>SUMIFS('июнь 2024'!$G$4:$G$1823,'июнь 2024'!$D$4:$D$1823,$B4,'июнь 2024'!$J$4:$J$1823,U$1)</f>
        <v>0</v>
      </c>
      <c r="V4" s="80">
        <f>SUMIFS('июнь 2024'!$G$4:$G$1823,'июнь 2024'!$D$4:$D$1823,$B4,'июнь 2024'!$J$4:$J$1823,V$1)</f>
        <v>0</v>
      </c>
      <c r="W4" s="80">
        <f>SUMIFS('июнь 2024'!$G$4:$G$1823,'июнь 2024'!$D$4:$D$1823,$B4,'июнь 2024'!$J$4:$J$1823,W$1)</f>
        <v>0</v>
      </c>
      <c r="X4" s="80">
        <f>SUMIFS('июнь 2024'!$G$4:$G$1823,'июнь 2024'!$D$4:$D$1823,$B4,'июнь 2024'!$J$4:$J$1823,X$1)</f>
        <v>0</v>
      </c>
      <c r="Y4" s="80">
        <f>SUMIFS('июнь 2024'!$G$4:$G$1823,'июнь 2024'!$D$4:$D$1823,$B4,'июнь 2024'!$J$4:$J$1823,Y$1)</f>
        <v>0</v>
      </c>
      <c r="Z4" s="80">
        <f>SUMIFS('июнь 2024'!$G$4:$G$1823,'июнь 2024'!$D$4:$D$1823,$B4,'июнь 2024'!$J$4:$J$1823,Z$1)</f>
        <v>0</v>
      </c>
      <c r="AA4" s="80">
        <f>SUMIFS('июнь 2024'!$G$4:$G$1823,'июнь 2024'!$D$4:$D$1823,$B4,'июнь 2024'!$J$4:$J$1823,AA$1)</f>
        <v>0</v>
      </c>
      <c r="AB4" s="80">
        <f>SUMIFS('июнь 2024'!$G$4:$G$1823,'июнь 2024'!$D$4:$D$1823,$B4,'июнь 2024'!$J$4:$J$1823,AB$1)</f>
        <v>0</v>
      </c>
      <c r="AC4" s="80">
        <f>SUMIFS('июнь 2024'!$G$4:$G$1823,'июнь 2024'!$D$4:$D$1823,$B4,'июнь 2024'!$J$4:$J$1823,AC$1)</f>
        <v>0</v>
      </c>
      <c r="AD4" s="80">
        <f>SUMIFS('июнь 2024'!$G$4:$G$1823,'июнь 2024'!$D$4:$D$1823,$B4,'июнь 2024'!$J$4:$J$1823,AD$1)</f>
        <v>0</v>
      </c>
      <c r="AE4" s="80">
        <f>SUMIFS('июнь 2024'!$G$4:$G$1823,'июнь 2024'!$D$4:$D$1823,$B4,'июнь 2024'!$J$4:$J$1823,AE$1)</f>
        <v>0</v>
      </c>
      <c r="AF4" s="80">
        <f>SUMIFS('июнь 2024'!$G$4:$G$1823,'июнь 2024'!$D$4:$D$1823,$B4,'июнь 2024'!$J$4:$J$1823,AF$1)</f>
        <v>0</v>
      </c>
      <c r="AG4" s="80">
        <f>SUMIFS('июнь 2024'!$G$4:$G$1823,'июнь 2024'!$D$4:$D$1823,$B4,'июнь 2024'!$J$4:$J$1823,AG$1)</f>
        <v>0</v>
      </c>
      <c r="AH4" s="80">
        <f>SUMIFS('июнь 2024'!$G$4:$G$1823,'июнь 2024'!$D$4:$D$1823,$B4,'июнь 2024'!$J$4:$J$1823,AH$1)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SUMIFS('июнь 2024'!$G$4:$G$1823,'июнь 2024'!$D$4:$D$1823,$B5,'июнь 2024'!$J$4:$J$1823,D$1)</f>
        <v>0</v>
      </c>
      <c r="E5" s="80">
        <f>SUMIFS('июнь 2024'!$G$4:$G$1823,'июнь 2024'!$D$4:$D$1823,$B5,'июнь 2024'!$J$4:$J$1823,E$1)</f>
        <v>0</v>
      </c>
      <c r="F5" s="80">
        <f>SUMIFS('июнь 2024'!$G$4:$G$1823,'июнь 2024'!$D$4:$D$1823,$B5,'июнь 2024'!$J$4:$J$1823,F$1)</f>
        <v>0</v>
      </c>
      <c r="G5" s="80">
        <f>SUMIFS('июнь 2024'!$G$4:$G$1823,'июнь 2024'!$D$4:$D$1823,$B5,'июнь 2024'!$J$4:$J$1823,G$1)</f>
        <v>0</v>
      </c>
      <c r="H5" s="80">
        <f>SUMIFS('июнь 2024'!$G$4:$G$1823,'июнь 2024'!$D$4:$D$1823,$B5,'июнь 2024'!$J$4:$J$1823,H$1)</f>
        <v>0</v>
      </c>
      <c r="I5" s="80">
        <f>SUMIFS('июнь 2024'!$G$4:$G$1823,'июнь 2024'!$D$4:$D$1823,$B5,'июнь 2024'!$J$4:$J$1823,I$1)</f>
        <v>0</v>
      </c>
      <c r="J5" s="80">
        <f>SUMIFS('июнь 2024'!$G$4:$G$1823,'июнь 2024'!$D$4:$D$1823,$B5,'июнь 2024'!$J$4:$J$1823,J$1)</f>
        <v>0</v>
      </c>
      <c r="K5" s="80">
        <f>SUMIFS('июнь 2024'!$G$4:$G$1823,'июнь 2024'!$D$4:$D$1823,$B5,'июнь 2024'!$J$4:$J$1823,K$1)</f>
        <v>0</v>
      </c>
      <c r="L5" s="80">
        <f>SUMIFS('июнь 2024'!$G$4:$G$1823,'июнь 2024'!$D$4:$D$1823,$B5,'июнь 2024'!$J$4:$J$1823,L$1)</f>
        <v>0</v>
      </c>
      <c r="M5" s="80">
        <f>SUMIFS('июнь 2024'!$G$4:$G$1823,'июнь 2024'!$D$4:$D$1823,$B5,'июнь 2024'!$J$4:$J$1823,M$1)</f>
        <v>0</v>
      </c>
      <c r="N5" s="80">
        <f>SUMIFS('июнь 2024'!$G$4:$G$1823,'июнь 2024'!$D$4:$D$1823,$B5,'июнь 2024'!$J$4:$J$1823,N$1)</f>
        <v>0</v>
      </c>
      <c r="O5" s="80">
        <f>SUMIFS('июнь 2024'!$G$4:$G$1823,'июнь 2024'!$D$4:$D$1823,$B5,'июнь 2024'!$J$4:$J$1823,O$1)</f>
        <v>0</v>
      </c>
      <c r="P5" s="80">
        <f>SUMIFS('июнь 2024'!$G$4:$G$1823,'июнь 2024'!$D$4:$D$1823,$B5,'июнь 2024'!$J$4:$J$1823,P$1)</f>
        <v>0</v>
      </c>
      <c r="Q5" s="80">
        <f>SUMIFS('июнь 2024'!$G$4:$G$1823,'июнь 2024'!$D$4:$D$1823,$B5,'июнь 2024'!$J$4:$J$1823,Q$1)</f>
        <v>0</v>
      </c>
      <c r="R5" s="80">
        <f>SUMIFS('июнь 2024'!$G$4:$G$1823,'июнь 2024'!$D$4:$D$1823,$B5,'июнь 2024'!$J$4:$J$1823,R$1)</f>
        <v>0</v>
      </c>
      <c r="S5" s="80">
        <f>SUMIFS('июнь 2024'!$G$4:$G$1823,'июнь 2024'!$D$4:$D$1823,$B5,'июнь 2024'!$J$4:$J$1823,S$1)</f>
        <v>0</v>
      </c>
      <c r="T5" s="80">
        <f>SUMIFS('июнь 2024'!$G$4:$G$1823,'июнь 2024'!$D$4:$D$1823,$B5,'июнь 2024'!$J$4:$J$1823,T$1)</f>
        <v>0</v>
      </c>
      <c r="U5" s="80">
        <f>SUMIFS('июнь 2024'!$G$4:$G$1823,'июнь 2024'!$D$4:$D$1823,$B5,'июнь 2024'!$J$4:$J$1823,U$1)</f>
        <v>0</v>
      </c>
      <c r="V5" s="80">
        <f>SUMIFS('июнь 2024'!$G$4:$G$1823,'июнь 2024'!$D$4:$D$1823,$B5,'июнь 2024'!$J$4:$J$1823,V$1)</f>
        <v>0</v>
      </c>
      <c r="W5" s="80">
        <f>SUMIFS('июнь 2024'!$G$4:$G$1823,'июнь 2024'!$D$4:$D$1823,$B5,'июнь 2024'!$J$4:$J$1823,W$1)</f>
        <v>0</v>
      </c>
      <c r="X5" s="80">
        <f>SUMIFS('июнь 2024'!$G$4:$G$1823,'июнь 2024'!$D$4:$D$1823,$B5,'июнь 2024'!$J$4:$J$1823,X$1)</f>
        <v>0</v>
      </c>
      <c r="Y5" s="80">
        <f>SUMIFS('июнь 2024'!$G$4:$G$1823,'июнь 2024'!$D$4:$D$1823,$B5,'июнь 2024'!$J$4:$J$1823,Y$1)</f>
        <v>0</v>
      </c>
      <c r="Z5" s="80">
        <f>SUMIFS('июнь 2024'!$G$4:$G$1823,'июнь 2024'!$D$4:$D$1823,$B5,'июнь 2024'!$J$4:$J$1823,Z$1)</f>
        <v>0</v>
      </c>
      <c r="AA5" s="80">
        <f>SUMIFS('июнь 2024'!$G$4:$G$1823,'июнь 2024'!$D$4:$D$1823,$B5,'июнь 2024'!$J$4:$J$1823,AA$1)</f>
        <v>0</v>
      </c>
      <c r="AB5" s="80">
        <f>SUMIFS('июнь 2024'!$G$4:$G$1823,'июнь 2024'!$D$4:$D$1823,$B5,'июнь 2024'!$J$4:$J$1823,AB$1)</f>
        <v>0</v>
      </c>
      <c r="AC5" s="80">
        <f>SUMIFS('июнь 2024'!$G$4:$G$1823,'июнь 2024'!$D$4:$D$1823,$B5,'июнь 2024'!$J$4:$J$1823,AC$1)</f>
        <v>0</v>
      </c>
      <c r="AD5" s="80">
        <f>SUMIFS('июнь 2024'!$G$4:$G$1823,'июнь 2024'!$D$4:$D$1823,$B5,'июнь 2024'!$J$4:$J$1823,AD$1)</f>
        <v>0</v>
      </c>
      <c r="AE5" s="80">
        <f>SUMIFS('июнь 2024'!$G$4:$G$1823,'июнь 2024'!$D$4:$D$1823,$B5,'июнь 2024'!$J$4:$J$1823,AE$1)</f>
        <v>0</v>
      </c>
      <c r="AF5" s="80">
        <f>SUMIFS('июнь 2024'!$G$4:$G$1823,'июнь 2024'!$D$4:$D$1823,$B5,'июнь 2024'!$J$4:$J$1823,AF$1)</f>
        <v>0</v>
      </c>
      <c r="AG5" s="80">
        <f>SUMIFS('июнь 2024'!$G$4:$G$1823,'июнь 2024'!$D$4:$D$1823,$B5,'июнь 2024'!$J$4:$J$1823,AG$1)</f>
        <v>0</v>
      </c>
      <c r="AH5" s="80">
        <f>SUMIFS('июнь 2024'!$G$4:$G$1823,'июнь 2024'!$D$4:$D$1823,$B5,'июнь 2024'!$J$4:$J$1823,AH$1)</f>
        <v>0</v>
      </c>
      <c r="AI5" s="21">
        <f t="shared" si="1"/>
        <v>0</v>
      </c>
    </row>
    <row r="6" spans="2:35" ht="15" customHeight="1" x14ac:dyDescent="0.25">
      <c r="B6" s="81" t="s">
        <v>281</v>
      </c>
      <c r="C6" s="82">
        <v>22.7</v>
      </c>
      <c r="D6" s="80">
        <f>SUMIFS('июнь 2024'!$G$4:$G$1823,'июнь 2024'!$D$4:$D$1823,$B6,'июнь 2024'!$J$4:$J$1823,D$1)</f>
        <v>0</v>
      </c>
      <c r="E6" s="80">
        <f>SUMIFS('июнь 2024'!$G$4:$G$1823,'июнь 2024'!$D$4:$D$1823,$B6,'июнь 2024'!$J$4:$J$1823,E$1)</f>
        <v>0</v>
      </c>
      <c r="F6" s="80">
        <f>SUMIFS('июнь 2024'!$G$4:$G$1823,'июнь 2024'!$D$4:$D$1823,$B6,'июнь 2024'!$J$4:$J$1823,F$1)</f>
        <v>0</v>
      </c>
      <c r="G6" s="80">
        <f>SUMIFS('июнь 2024'!$G$4:$G$1823,'июнь 2024'!$D$4:$D$1823,$B6,'июнь 2024'!$J$4:$J$1823,G$1)</f>
        <v>0</v>
      </c>
      <c r="H6" s="80">
        <f>SUMIFS('июнь 2024'!$G$4:$G$1823,'июнь 2024'!$D$4:$D$1823,$B6,'июнь 2024'!$J$4:$J$1823,H$1)</f>
        <v>0</v>
      </c>
      <c r="I6" s="80">
        <f>SUMIFS('июнь 2024'!$G$4:$G$1823,'июнь 2024'!$D$4:$D$1823,$B6,'июнь 2024'!$J$4:$J$1823,I$1)</f>
        <v>0</v>
      </c>
      <c r="J6" s="80">
        <f>SUMIFS('июнь 2024'!$G$4:$G$1823,'июнь 2024'!$D$4:$D$1823,$B6,'июнь 2024'!$J$4:$J$1823,J$1)</f>
        <v>0</v>
      </c>
      <c r="K6" s="80">
        <f>SUMIFS('июнь 2024'!$G$4:$G$1823,'июнь 2024'!$D$4:$D$1823,$B6,'июнь 2024'!$J$4:$J$1823,K$1)</f>
        <v>0</v>
      </c>
      <c r="L6" s="80">
        <f>SUMIFS('июнь 2024'!$G$4:$G$1823,'июнь 2024'!$D$4:$D$1823,$B6,'июнь 2024'!$J$4:$J$1823,L$1)</f>
        <v>0</v>
      </c>
      <c r="M6" s="80">
        <f>SUMIFS('июнь 2024'!$G$4:$G$1823,'июнь 2024'!$D$4:$D$1823,$B6,'июнь 2024'!$J$4:$J$1823,M$1)</f>
        <v>0</v>
      </c>
      <c r="N6" s="80">
        <f>SUMIFS('июнь 2024'!$G$4:$G$1823,'июнь 2024'!$D$4:$D$1823,$B6,'июнь 2024'!$J$4:$J$1823,N$1)</f>
        <v>0</v>
      </c>
      <c r="O6" s="80">
        <f>SUMIFS('июнь 2024'!$G$4:$G$1823,'июнь 2024'!$D$4:$D$1823,$B6,'июнь 2024'!$J$4:$J$1823,O$1)</f>
        <v>0</v>
      </c>
      <c r="P6" s="80">
        <f>SUMIFS('июнь 2024'!$G$4:$G$1823,'июнь 2024'!$D$4:$D$1823,$B6,'июнь 2024'!$J$4:$J$1823,P$1)</f>
        <v>0</v>
      </c>
      <c r="Q6" s="80">
        <f>SUMIFS('июнь 2024'!$G$4:$G$1823,'июнь 2024'!$D$4:$D$1823,$B6,'июнь 2024'!$J$4:$J$1823,Q$1)</f>
        <v>0</v>
      </c>
      <c r="R6" s="80">
        <f>SUMIFS('июнь 2024'!$G$4:$G$1823,'июнь 2024'!$D$4:$D$1823,$B6,'июнь 2024'!$J$4:$J$1823,R$1)</f>
        <v>0</v>
      </c>
      <c r="S6" s="80">
        <f>SUMIFS('июнь 2024'!$G$4:$G$1823,'июнь 2024'!$D$4:$D$1823,$B6,'июнь 2024'!$J$4:$J$1823,S$1)</f>
        <v>0</v>
      </c>
      <c r="T6" s="80">
        <f>SUMIFS('июнь 2024'!$G$4:$G$1823,'июнь 2024'!$D$4:$D$1823,$B6,'июнь 2024'!$J$4:$J$1823,T$1)</f>
        <v>0</v>
      </c>
      <c r="U6" s="80">
        <f>SUMIFS('июнь 2024'!$G$4:$G$1823,'июнь 2024'!$D$4:$D$1823,$B6,'июнь 2024'!$J$4:$J$1823,U$1)</f>
        <v>0</v>
      </c>
      <c r="V6" s="80">
        <f>SUMIFS('июнь 2024'!$G$4:$G$1823,'июнь 2024'!$D$4:$D$1823,$B6,'июнь 2024'!$J$4:$J$1823,V$1)</f>
        <v>0</v>
      </c>
      <c r="W6" s="80">
        <f>SUMIFS('июнь 2024'!$G$4:$G$1823,'июнь 2024'!$D$4:$D$1823,$B6,'июнь 2024'!$J$4:$J$1823,W$1)</f>
        <v>0</v>
      </c>
      <c r="X6" s="80">
        <f>SUMIFS('июнь 2024'!$G$4:$G$1823,'июнь 2024'!$D$4:$D$1823,$B6,'июнь 2024'!$J$4:$J$1823,X$1)</f>
        <v>0</v>
      </c>
      <c r="Y6" s="80">
        <f>SUMIFS('июнь 2024'!$G$4:$G$1823,'июнь 2024'!$D$4:$D$1823,$B6,'июнь 2024'!$J$4:$J$1823,Y$1)</f>
        <v>0</v>
      </c>
      <c r="Z6" s="80">
        <f>SUMIFS('июнь 2024'!$G$4:$G$1823,'июнь 2024'!$D$4:$D$1823,$B6,'июнь 2024'!$J$4:$J$1823,Z$1)</f>
        <v>0</v>
      </c>
      <c r="AA6" s="80">
        <f>SUMIFS('июнь 2024'!$G$4:$G$1823,'июнь 2024'!$D$4:$D$1823,$B6,'июнь 2024'!$J$4:$J$1823,AA$1)</f>
        <v>0</v>
      </c>
      <c r="AB6" s="80">
        <f>SUMIFS('июнь 2024'!$G$4:$G$1823,'июнь 2024'!$D$4:$D$1823,$B6,'июнь 2024'!$J$4:$J$1823,AB$1)</f>
        <v>0</v>
      </c>
      <c r="AC6" s="80">
        <f>SUMIFS('июнь 2024'!$G$4:$G$1823,'июнь 2024'!$D$4:$D$1823,$B6,'июнь 2024'!$J$4:$J$1823,AC$1)</f>
        <v>0</v>
      </c>
      <c r="AD6" s="80">
        <f>SUMIFS('июнь 2024'!$G$4:$G$1823,'июнь 2024'!$D$4:$D$1823,$B6,'июнь 2024'!$J$4:$J$1823,AD$1)</f>
        <v>0</v>
      </c>
      <c r="AE6" s="80">
        <f>SUMIFS('июнь 2024'!$G$4:$G$1823,'июнь 2024'!$D$4:$D$1823,$B6,'июнь 2024'!$J$4:$J$1823,AE$1)</f>
        <v>0</v>
      </c>
      <c r="AF6" s="80">
        <f>SUMIFS('июнь 2024'!$G$4:$G$1823,'июнь 2024'!$D$4:$D$1823,$B6,'июнь 2024'!$J$4:$J$1823,AF$1)</f>
        <v>0</v>
      </c>
      <c r="AG6" s="80">
        <f>SUMIFS('июнь 2024'!$G$4:$G$1823,'июнь 2024'!$D$4:$D$1823,$B6,'июнь 2024'!$J$4:$J$1823,AG$1)</f>
        <v>0</v>
      </c>
      <c r="AH6" s="80">
        <f>SUMIFS('июнь 2024'!$G$4:$G$1823,'июнь 2024'!$D$4:$D$1823,$B6,'июнь 2024'!$J$4:$J$1823,AH$1)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SUMIFS('июнь 2024'!$G$4:$G$1823,'июнь 2024'!$D$4:$D$1823,$B7,'июнь 2024'!$J$4:$J$1823,D$1)</f>
        <v>0</v>
      </c>
      <c r="E7" s="80">
        <f>SUMIFS('июнь 2024'!$G$4:$G$1823,'июнь 2024'!$D$4:$D$1823,$B7,'июнь 2024'!$J$4:$J$1823,E$1)</f>
        <v>0</v>
      </c>
      <c r="F7" s="80">
        <f>SUMIFS('июнь 2024'!$G$4:$G$1823,'июнь 2024'!$D$4:$D$1823,$B7,'июнь 2024'!$J$4:$J$1823,F$1)</f>
        <v>0</v>
      </c>
      <c r="G7" s="80">
        <f>SUMIFS('июнь 2024'!$G$4:$G$1823,'июнь 2024'!$D$4:$D$1823,$B7,'июнь 2024'!$J$4:$J$1823,G$1)</f>
        <v>0</v>
      </c>
      <c r="H7" s="80">
        <f>SUMIFS('июнь 2024'!$G$4:$G$1823,'июнь 2024'!$D$4:$D$1823,$B7,'июнь 2024'!$J$4:$J$1823,H$1)</f>
        <v>0</v>
      </c>
      <c r="I7" s="80">
        <f>SUMIFS('июнь 2024'!$G$4:$G$1823,'июнь 2024'!$D$4:$D$1823,$B7,'июнь 2024'!$J$4:$J$1823,I$1)</f>
        <v>0</v>
      </c>
      <c r="J7" s="80">
        <f>SUMIFS('июнь 2024'!$G$4:$G$1823,'июнь 2024'!$D$4:$D$1823,$B7,'июнь 2024'!$J$4:$J$1823,J$1)</f>
        <v>0</v>
      </c>
      <c r="K7" s="80">
        <f>SUMIFS('июнь 2024'!$G$4:$G$1823,'июнь 2024'!$D$4:$D$1823,$B7,'июнь 2024'!$J$4:$J$1823,K$1)</f>
        <v>0</v>
      </c>
      <c r="L7" s="80">
        <f>SUMIFS('июнь 2024'!$G$4:$G$1823,'июнь 2024'!$D$4:$D$1823,$B7,'июнь 2024'!$J$4:$J$1823,L$1)</f>
        <v>0</v>
      </c>
      <c r="M7" s="80">
        <f>SUMIFS('июнь 2024'!$G$4:$G$1823,'июнь 2024'!$D$4:$D$1823,$B7,'июнь 2024'!$J$4:$J$1823,M$1)</f>
        <v>0</v>
      </c>
      <c r="N7" s="80">
        <f>SUMIFS('июнь 2024'!$G$4:$G$1823,'июнь 2024'!$D$4:$D$1823,$B7,'июнь 2024'!$J$4:$J$1823,N$1)</f>
        <v>0</v>
      </c>
      <c r="O7" s="80">
        <f>SUMIFS('июнь 2024'!$G$4:$G$1823,'июнь 2024'!$D$4:$D$1823,$B7,'июнь 2024'!$J$4:$J$1823,O$1)</f>
        <v>0</v>
      </c>
      <c r="P7" s="80">
        <f>SUMIFS('июнь 2024'!$G$4:$G$1823,'июнь 2024'!$D$4:$D$1823,$B7,'июнь 2024'!$J$4:$J$1823,P$1)</f>
        <v>0</v>
      </c>
      <c r="Q7" s="80">
        <f>SUMIFS('июнь 2024'!$G$4:$G$1823,'июнь 2024'!$D$4:$D$1823,$B7,'июнь 2024'!$J$4:$J$1823,Q$1)</f>
        <v>0</v>
      </c>
      <c r="R7" s="80">
        <f>SUMIFS('июнь 2024'!$G$4:$G$1823,'июнь 2024'!$D$4:$D$1823,$B7,'июнь 2024'!$J$4:$J$1823,R$1)</f>
        <v>0</v>
      </c>
      <c r="S7" s="80">
        <f>SUMIFS('июнь 2024'!$G$4:$G$1823,'июнь 2024'!$D$4:$D$1823,$B7,'июнь 2024'!$J$4:$J$1823,S$1)</f>
        <v>0</v>
      </c>
      <c r="T7" s="80">
        <f>SUMIFS('июнь 2024'!$G$4:$G$1823,'июнь 2024'!$D$4:$D$1823,$B7,'июнь 2024'!$J$4:$J$1823,T$1)</f>
        <v>0</v>
      </c>
      <c r="U7" s="80">
        <f>SUMIFS('июнь 2024'!$G$4:$G$1823,'июнь 2024'!$D$4:$D$1823,$B7,'июнь 2024'!$J$4:$J$1823,U$1)</f>
        <v>0</v>
      </c>
      <c r="V7" s="80">
        <f>SUMIFS('июнь 2024'!$G$4:$G$1823,'июнь 2024'!$D$4:$D$1823,$B7,'июнь 2024'!$J$4:$J$1823,V$1)</f>
        <v>0</v>
      </c>
      <c r="W7" s="80">
        <f>SUMIFS('июнь 2024'!$G$4:$G$1823,'июнь 2024'!$D$4:$D$1823,$B7,'июнь 2024'!$J$4:$J$1823,W$1)</f>
        <v>0</v>
      </c>
      <c r="X7" s="80">
        <f>SUMIFS('июнь 2024'!$G$4:$G$1823,'июнь 2024'!$D$4:$D$1823,$B7,'июнь 2024'!$J$4:$J$1823,X$1)</f>
        <v>0</v>
      </c>
      <c r="Y7" s="80">
        <f>SUMIFS('июнь 2024'!$G$4:$G$1823,'июнь 2024'!$D$4:$D$1823,$B7,'июнь 2024'!$J$4:$J$1823,Y$1)</f>
        <v>0</v>
      </c>
      <c r="Z7" s="80">
        <f>SUMIFS('июнь 2024'!$G$4:$G$1823,'июнь 2024'!$D$4:$D$1823,$B7,'июнь 2024'!$J$4:$J$1823,Z$1)</f>
        <v>0</v>
      </c>
      <c r="AA7" s="80">
        <f>SUMIFS('июнь 2024'!$G$4:$G$1823,'июнь 2024'!$D$4:$D$1823,$B7,'июнь 2024'!$J$4:$J$1823,AA$1)</f>
        <v>0</v>
      </c>
      <c r="AB7" s="80">
        <f>SUMIFS('июнь 2024'!$G$4:$G$1823,'июнь 2024'!$D$4:$D$1823,$B7,'июнь 2024'!$J$4:$J$1823,AB$1)</f>
        <v>0</v>
      </c>
      <c r="AC7" s="80">
        <f>SUMIFS('июнь 2024'!$G$4:$G$1823,'июнь 2024'!$D$4:$D$1823,$B7,'июнь 2024'!$J$4:$J$1823,AC$1)</f>
        <v>0</v>
      </c>
      <c r="AD7" s="80">
        <f>SUMIFS('июнь 2024'!$G$4:$G$1823,'июнь 2024'!$D$4:$D$1823,$B7,'июнь 2024'!$J$4:$J$1823,AD$1)</f>
        <v>0</v>
      </c>
      <c r="AE7" s="80">
        <f>SUMIFS('июнь 2024'!$G$4:$G$1823,'июнь 2024'!$D$4:$D$1823,$B7,'июнь 2024'!$J$4:$J$1823,AE$1)</f>
        <v>0</v>
      </c>
      <c r="AF7" s="80">
        <f>SUMIFS('июнь 2024'!$G$4:$G$1823,'июнь 2024'!$D$4:$D$1823,$B7,'июнь 2024'!$J$4:$J$1823,AF$1)</f>
        <v>0</v>
      </c>
      <c r="AG7" s="80">
        <f>SUMIFS('июнь 2024'!$G$4:$G$1823,'июнь 2024'!$D$4:$D$1823,$B7,'июнь 2024'!$J$4:$J$1823,AG$1)</f>
        <v>0</v>
      </c>
      <c r="AH7" s="80">
        <f>SUMIFS('июнь 2024'!$G$4:$G$1823,'июнь 2024'!$D$4:$D$1823,$B7,'июнь 2024'!$J$4:$J$1823,AH$1)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SUMIFS('июнь 2024'!$G$4:$G$1823,'июнь 2024'!$D$4:$D$1823,$B8,'июнь 2024'!$J$4:$J$1823,D$1)</f>
        <v>0</v>
      </c>
      <c r="E8" s="80">
        <f>SUMIFS('июнь 2024'!$G$4:$G$1823,'июнь 2024'!$D$4:$D$1823,$B8,'июнь 2024'!$J$4:$J$1823,E$1)</f>
        <v>0</v>
      </c>
      <c r="F8" s="80">
        <f>SUMIFS('июнь 2024'!$G$4:$G$1823,'июнь 2024'!$D$4:$D$1823,$B8,'июнь 2024'!$J$4:$J$1823,F$1)</f>
        <v>0</v>
      </c>
      <c r="G8" s="80">
        <f>SUMIFS('июнь 2024'!$G$4:$G$1823,'июнь 2024'!$D$4:$D$1823,$B8,'июнь 2024'!$J$4:$J$1823,G$1)</f>
        <v>0</v>
      </c>
      <c r="H8" s="80">
        <f>SUMIFS('июнь 2024'!$G$4:$G$1823,'июнь 2024'!$D$4:$D$1823,$B8,'июнь 2024'!$J$4:$J$1823,H$1)</f>
        <v>0</v>
      </c>
      <c r="I8" s="80">
        <f>SUMIFS('июнь 2024'!$G$4:$G$1823,'июнь 2024'!$D$4:$D$1823,$B8,'июнь 2024'!$J$4:$J$1823,I$1)</f>
        <v>0</v>
      </c>
      <c r="J8" s="80">
        <f>SUMIFS('июнь 2024'!$G$4:$G$1823,'июнь 2024'!$D$4:$D$1823,$B8,'июнь 2024'!$J$4:$J$1823,J$1)</f>
        <v>0</v>
      </c>
      <c r="K8" s="80">
        <f>SUMIFS('июнь 2024'!$G$4:$G$1823,'июнь 2024'!$D$4:$D$1823,$B8,'июнь 2024'!$J$4:$J$1823,K$1)</f>
        <v>0</v>
      </c>
      <c r="L8" s="80">
        <f>SUMIFS('июнь 2024'!$G$4:$G$1823,'июнь 2024'!$D$4:$D$1823,$B8,'июнь 2024'!$J$4:$J$1823,L$1)</f>
        <v>0</v>
      </c>
      <c r="M8" s="80">
        <f>SUMIFS('июнь 2024'!$G$4:$G$1823,'июнь 2024'!$D$4:$D$1823,$B8,'июнь 2024'!$J$4:$J$1823,M$1)</f>
        <v>0</v>
      </c>
      <c r="N8" s="80">
        <f>SUMIFS('июнь 2024'!$G$4:$G$1823,'июнь 2024'!$D$4:$D$1823,$B8,'июнь 2024'!$J$4:$J$1823,N$1)</f>
        <v>0</v>
      </c>
      <c r="O8" s="80">
        <f>SUMIFS('июнь 2024'!$G$4:$G$1823,'июнь 2024'!$D$4:$D$1823,$B8,'июнь 2024'!$J$4:$J$1823,O$1)</f>
        <v>0</v>
      </c>
      <c r="P8" s="80">
        <f>SUMIFS('июнь 2024'!$G$4:$G$1823,'июнь 2024'!$D$4:$D$1823,$B8,'июнь 2024'!$J$4:$J$1823,P$1)</f>
        <v>0</v>
      </c>
      <c r="Q8" s="80">
        <f>SUMIFS('июнь 2024'!$G$4:$G$1823,'июнь 2024'!$D$4:$D$1823,$B8,'июнь 2024'!$J$4:$J$1823,Q$1)</f>
        <v>0</v>
      </c>
      <c r="R8" s="80">
        <f>SUMIFS('июнь 2024'!$G$4:$G$1823,'июнь 2024'!$D$4:$D$1823,$B8,'июнь 2024'!$J$4:$J$1823,R$1)</f>
        <v>0</v>
      </c>
      <c r="S8" s="80">
        <f>SUMIFS('июнь 2024'!$G$4:$G$1823,'июнь 2024'!$D$4:$D$1823,$B8,'июнь 2024'!$J$4:$J$1823,S$1)</f>
        <v>0</v>
      </c>
      <c r="T8" s="80">
        <f>SUMIFS('июнь 2024'!$G$4:$G$1823,'июнь 2024'!$D$4:$D$1823,$B8,'июнь 2024'!$J$4:$J$1823,T$1)</f>
        <v>0</v>
      </c>
      <c r="U8" s="80">
        <f>SUMIFS('июнь 2024'!$G$4:$G$1823,'июнь 2024'!$D$4:$D$1823,$B8,'июнь 2024'!$J$4:$J$1823,U$1)</f>
        <v>0</v>
      </c>
      <c r="V8" s="80">
        <f>SUMIFS('июнь 2024'!$G$4:$G$1823,'июнь 2024'!$D$4:$D$1823,$B8,'июнь 2024'!$J$4:$J$1823,V$1)</f>
        <v>0</v>
      </c>
      <c r="W8" s="80">
        <f>SUMIFS('июнь 2024'!$G$4:$G$1823,'июнь 2024'!$D$4:$D$1823,$B8,'июнь 2024'!$J$4:$J$1823,W$1)</f>
        <v>0</v>
      </c>
      <c r="X8" s="80">
        <f>SUMIFS('июнь 2024'!$G$4:$G$1823,'июнь 2024'!$D$4:$D$1823,$B8,'июнь 2024'!$J$4:$J$1823,X$1)</f>
        <v>0</v>
      </c>
      <c r="Y8" s="80">
        <f>SUMIFS('июнь 2024'!$G$4:$G$1823,'июнь 2024'!$D$4:$D$1823,$B8,'июнь 2024'!$J$4:$J$1823,Y$1)</f>
        <v>0</v>
      </c>
      <c r="Z8" s="80">
        <f>SUMIFS('июнь 2024'!$G$4:$G$1823,'июнь 2024'!$D$4:$D$1823,$B8,'июнь 2024'!$J$4:$J$1823,Z$1)</f>
        <v>0</v>
      </c>
      <c r="AA8" s="80">
        <f>SUMIFS('июнь 2024'!$G$4:$G$1823,'июнь 2024'!$D$4:$D$1823,$B8,'июнь 2024'!$J$4:$J$1823,AA$1)</f>
        <v>0</v>
      </c>
      <c r="AB8" s="80">
        <f>SUMIFS('июнь 2024'!$G$4:$G$1823,'июнь 2024'!$D$4:$D$1823,$B8,'июнь 2024'!$J$4:$J$1823,AB$1)</f>
        <v>0</v>
      </c>
      <c r="AC8" s="80">
        <f>SUMIFS('июнь 2024'!$G$4:$G$1823,'июнь 2024'!$D$4:$D$1823,$B8,'июнь 2024'!$J$4:$J$1823,AC$1)</f>
        <v>0</v>
      </c>
      <c r="AD8" s="80">
        <f>SUMIFS('июнь 2024'!$G$4:$G$1823,'июнь 2024'!$D$4:$D$1823,$B8,'июнь 2024'!$J$4:$J$1823,AD$1)</f>
        <v>0</v>
      </c>
      <c r="AE8" s="80">
        <f>SUMIFS('июнь 2024'!$G$4:$G$1823,'июнь 2024'!$D$4:$D$1823,$B8,'июнь 2024'!$J$4:$J$1823,AE$1)</f>
        <v>0</v>
      </c>
      <c r="AF8" s="80">
        <f>SUMIFS('июнь 2024'!$G$4:$G$1823,'июнь 2024'!$D$4:$D$1823,$B8,'июнь 2024'!$J$4:$J$1823,AF$1)</f>
        <v>0</v>
      </c>
      <c r="AG8" s="80">
        <f>SUMIFS('июнь 2024'!$G$4:$G$1823,'июнь 2024'!$D$4:$D$1823,$B8,'июнь 2024'!$J$4:$J$1823,AG$1)</f>
        <v>0</v>
      </c>
      <c r="AH8" s="80">
        <f>SUMIFS('июнь 2024'!$G$4:$G$1823,'июнь 2024'!$D$4:$D$1823,$B8,'июнь 2024'!$J$4:$J$1823,AH$1)</f>
        <v>0</v>
      </c>
      <c r="AI8" s="21">
        <f t="shared" si="1"/>
        <v>0</v>
      </c>
    </row>
    <row r="9" spans="2:35" ht="15" customHeight="1" x14ac:dyDescent="0.25">
      <c r="B9" s="81" t="s">
        <v>287</v>
      </c>
      <c r="C9" s="82">
        <v>25</v>
      </c>
      <c r="D9" s="80">
        <f>SUMIFS('июнь 2024'!$G$4:$G$1823,'июнь 2024'!$D$4:$D$1823,$B9,'июнь 2024'!$J$4:$J$1823,D$1)</f>
        <v>0</v>
      </c>
      <c r="E9" s="80">
        <f>SUMIFS('июнь 2024'!$G$4:$G$1823,'июнь 2024'!$D$4:$D$1823,$B9,'июнь 2024'!$J$4:$J$1823,E$1)</f>
        <v>0</v>
      </c>
      <c r="F9" s="80">
        <f>SUMIFS('июнь 2024'!$G$4:$G$1823,'июнь 2024'!$D$4:$D$1823,$B9,'июнь 2024'!$J$4:$J$1823,F$1)</f>
        <v>400</v>
      </c>
      <c r="G9" s="80">
        <f>SUMIFS('июнь 2024'!$G$4:$G$1823,'июнь 2024'!$D$4:$D$1823,$B9,'июнь 2024'!$J$4:$J$1823,G$1)</f>
        <v>0</v>
      </c>
      <c r="H9" s="80">
        <f>SUMIFS('июнь 2024'!$G$4:$G$1823,'июнь 2024'!$D$4:$D$1823,$B9,'июнь 2024'!$J$4:$J$1823,H$1)</f>
        <v>0</v>
      </c>
      <c r="I9" s="80">
        <f>SUMIFS('июнь 2024'!$G$4:$G$1823,'июнь 2024'!$D$4:$D$1823,$B9,'июнь 2024'!$J$4:$J$1823,I$1)</f>
        <v>0</v>
      </c>
      <c r="J9" s="80">
        <f>SUMIFS('июнь 2024'!$G$4:$G$1823,'июнь 2024'!$D$4:$D$1823,$B9,'июнь 2024'!$J$4:$J$1823,J$1)</f>
        <v>0</v>
      </c>
      <c r="K9" s="80">
        <f>SUMIFS('июнь 2024'!$G$4:$G$1823,'июнь 2024'!$D$4:$D$1823,$B9,'июнь 2024'!$J$4:$J$1823,K$1)</f>
        <v>0</v>
      </c>
      <c r="L9" s="80">
        <f>SUMIFS('июнь 2024'!$G$4:$G$1823,'июнь 2024'!$D$4:$D$1823,$B9,'июнь 2024'!$J$4:$J$1823,L$1)</f>
        <v>0</v>
      </c>
      <c r="M9" s="80">
        <f>SUMIFS('июнь 2024'!$G$4:$G$1823,'июнь 2024'!$D$4:$D$1823,$B9,'июнь 2024'!$J$4:$J$1823,M$1)</f>
        <v>0</v>
      </c>
      <c r="N9" s="80">
        <f>SUMIFS('июнь 2024'!$G$4:$G$1823,'июнь 2024'!$D$4:$D$1823,$B9,'июнь 2024'!$J$4:$J$1823,N$1)</f>
        <v>800</v>
      </c>
      <c r="O9" s="80">
        <f>SUMIFS('июнь 2024'!$G$4:$G$1823,'июнь 2024'!$D$4:$D$1823,$B9,'июнь 2024'!$J$4:$J$1823,O$1)</f>
        <v>0</v>
      </c>
      <c r="P9" s="80">
        <f>SUMIFS('июнь 2024'!$G$4:$G$1823,'июнь 2024'!$D$4:$D$1823,$B9,'июнь 2024'!$J$4:$J$1823,P$1)</f>
        <v>0</v>
      </c>
      <c r="Q9" s="80">
        <f>SUMIFS('июнь 2024'!$G$4:$G$1823,'июнь 2024'!$D$4:$D$1823,$B9,'июнь 2024'!$J$4:$J$1823,Q$1)</f>
        <v>0</v>
      </c>
      <c r="R9" s="80">
        <f>SUMIFS('июнь 2024'!$G$4:$G$1823,'июнь 2024'!$D$4:$D$1823,$B9,'июнь 2024'!$J$4:$J$1823,R$1)</f>
        <v>0</v>
      </c>
      <c r="S9" s="80">
        <f>SUMIFS('июнь 2024'!$G$4:$G$1823,'июнь 2024'!$D$4:$D$1823,$B9,'июнь 2024'!$J$4:$J$1823,S$1)</f>
        <v>0</v>
      </c>
      <c r="T9" s="80">
        <f>SUMIFS('июнь 2024'!$G$4:$G$1823,'июнь 2024'!$D$4:$D$1823,$B9,'июнь 2024'!$J$4:$J$1823,T$1)</f>
        <v>800</v>
      </c>
      <c r="U9" s="80">
        <f>SUMIFS('июнь 2024'!$G$4:$G$1823,'июнь 2024'!$D$4:$D$1823,$B9,'июнь 2024'!$J$4:$J$1823,U$1)</f>
        <v>0</v>
      </c>
      <c r="V9" s="80">
        <f>SUMIFS('июнь 2024'!$G$4:$G$1823,'июнь 2024'!$D$4:$D$1823,$B9,'июнь 2024'!$J$4:$J$1823,V$1)</f>
        <v>0</v>
      </c>
      <c r="W9" s="80">
        <f>SUMIFS('июнь 2024'!$G$4:$G$1823,'июнь 2024'!$D$4:$D$1823,$B9,'июнь 2024'!$J$4:$J$1823,W$1)</f>
        <v>0</v>
      </c>
      <c r="X9" s="80">
        <f>SUMIFS('июнь 2024'!$G$4:$G$1823,'июнь 2024'!$D$4:$D$1823,$B9,'июнь 2024'!$J$4:$J$1823,X$1)</f>
        <v>0</v>
      </c>
      <c r="Y9" s="80">
        <f>SUMIFS('июнь 2024'!$G$4:$G$1823,'июнь 2024'!$D$4:$D$1823,$B9,'июнь 2024'!$J$4:$J$1823,Y$1)</f>
        <v>0</v>
      </c>
      <c r="Z9" s="80">
        <f>SUMIFS('июнь 2024'!$G$4:$G$1823,'июнь 2024'!$D$4:$D$1823,$B9,'июнь 2024'!$J$4:$J$1823,Z$1)</f>
        <v>0</v>
      </c>
      <c r="AA9" s="80">
        <f>SUMIFS('июнь 2024'!$G$4:$G$1823,'июнь 2024'!$D$4:$D$1823,$B9,'июнь 2024'!$J$4:$J$1823,AA$1)</f>
        <v>0</v>
      </c>
      <c r="AB9" s="80">
        <f>SUMIFS('июнь 2024'!$G$4:$G$1823,'июнь 2024'!$D$4:$D$1823,$B9,'июнь 2024'!$J$4:$J$1823,AB$1)</f>
        <v>0</v>
      </c>
      <c r="AC9" s="80">
        <f>SUMIFS('июнь 2024'!$G$4:$G$1823,'июнь 2024'!$D$4:$D$1823,$B9,'июнь 2024'!$J$4:$J$1823,AC$1)</f>
        <v>0</v>
      </c>
      <c r="AD9" s="80">
        <f>SUMIFS('июнь 2024'!$G$4:$G$1823,'июнь 2024'!$D$4:$D$1823,$B9,'июнь 2024'!$J$4:$J$1823,AD$1)</f>
        <v>0</v>
      </c>
      <c r="AE9" s="80">
        <f>SUMIFS('июнь 2024'!$G$4:$G$1823,'июнь 2024'!$D$4:$D$1823,$B9,'июнь 2024'!$J$4:$J$1823,AE$1)</f>
        <v>0</v>
      </c>
      <c r="AF9" s="80">
        <f>SUMIFS('июнь 2024'!$G$4:$G$1823,'июнь 2024'!$D$4:$D$1823,$B9,'июнь 2024'!$J$4:$J$1823,AF$1)</f>
        <v>0</v>
      </c>
      <c r="AG9" s="80">
        <f>SUMIFS('июнь 2024'!$G$4:$G$1823,'июнь 2024'!$D$4:$D$1823,$B9,'июнь 2024'!$J$4:$J$1823,AG$1)</f>
        <v>0</v>
      </c>
      <c r="AH9" s="80">
        <f>SUMIFS('июнь 2024'!$G$4:$G$1823,'июнь 2024'!$D$4:$D$1823,$B9,'июнь 2024'!$J$4:$J$1823,AH$1)</f>
        <v>0</v>
      </c>
      <c r="AI9" s="21">
        <f t="shared" si="1"/>
        <v>2000</v>
      </c>
    </row>
    <row r="10" spans="2:35" ht="15" customHeight="1" x14ac:dyDescent="0.25">
      <c r="B10" s="81" t="s">
        <v>289</v>
      </c>
      <c r="C10" s="82">
        <v>25</v>
      </c>
      <c r="D10" s="80">
        <f>SUMIFS('июнь 2024'!$G$4:$G$1823,'июнь 2024'!$D$4:$D$1823,$B10,'июнь 2024'!$J$4:$J$1823,D$1)</f>
        <v>0</v>
      </c>
      <c r="E10" s="80">
        <f>SUMIFS('июнь 2024'!$G$4:$G$1823,'июнь 2024'!$D$4:$D$1823,$B10,'июнь 2024'!$J$4:$J$1823,E$1)</f>
        <v>0</v>
      </c>
      <c r="F10" s="80">
        <f>SUMIFS('июнь 2024'!$G$4:$G$1823,'июнь 2024'!$D$4:$D$1823,$B10,'июнь 2024'!$J$4:$J$1823,F$1)</f>
        <v>0</v>
      </c>
      <c r="G10" s="80">
        <f>SUMIFS('июнь 2024'!$G$4:$G$1823,'июнь 2024'!$D$4:$D$1823,$B10,'июнь 2024'!$J$4:$J$1823,G$1)</f>
        <v>0</v>
      </c>
      <c r="H10" s="80">
        <f>SUMIFS('июнь 2024'!$G$4:$G$1823,'июнь 2024'!$D$4:$D$1823,$B10,'июнь 2024'!$J$4:$J$1823,H$1)</f>
        <v>0</v>
      </c>
      <c r="I10" s="80">
        <f>SUMIFS('июнь 2024'!$G$4:$G$1823,'июнь 2024'!$D$4:$D$1823,$B10,'июнь 2024'!$J$4:$J$1823,I$1)</f>
        <v>0</v>
      </c>
      <c r="J10" s="80">
        <f>SUMIFS('июнь 2024'!$G$4:$G$1823,'июнь 2024'!$D$4:$D$1823,$B10,'июнь 2024'!$J$4:$J$1823,J$1)</f>
        <v>0</v>
      </c>
      <c r="K10" s="80">
        <f>SUMIFS('июнь 2024'!$G$4:$G$1823,'июнь 2024'!$D$4:$D$1823,$B10,'июнь 2024'!$J$4:$J$1823,K$1)</f>
        <v>0</v>
      </c>
      <c r="L10" s="80">
        <f>SUMIFS('июнь 2024'!$G$4:$G$1823,'июнь 2024'!$D$4:$D$1823,$B10,'июнь 2024'!$J$4:$J$1823,L$1)</f>
        <v>0</v>
      </c>
      <c r="M10" s="80">
        <f>SUMIFS('июнь 2024'!$G$4:$G$1823,'июнь 2024'!$D$4:$D$1823,$B10,'июнь 2024'!$J$4:$J$1823,M$1)</f>
        <v>0</v>
      </c>
      <c r="N10" s="80">
        <f>SUMIFS('июнь 2024'!$G$4:$G$1823,'июнь 2024'!$D$4:$D$1823,$B10,'июнь 2024'!$J$4:$J$1823,N$1)</f>
        <v>0</v>
      </c>
      <c r="O10" s="80">
        <f>SUMIFS('июнь 2024'!$G$4:$G$1823,'июнь 2024'!$D$4:$D$1823,$B10,'июнь 2024'!$J$4:$J$1823,O$1)</f>
        <v>0</v>
      </c>
      <c r="P10" s="80">
        <f>SUMIFS('июнь 2024'!$G$4:$G$1823,'июнь 2024'!$D$4:$D$1823,$B10,'июнь 2024'!$J$4:$J$1823,P$1)</f>
        <v>0</v>
      </c>
      <c r="Q10" s="80">
        <f>SUMIFS('июнь 2024'!$G$4:$G$1823,'июнь 2024'!$D$4:$D$1823,$B10,'июнь 2024'!$J$4:$J$1823,Q$1)</f>
        <v>0</v>
      </c>
      <c r="R10" s="80">
        <f>SUMIFS('июнь 2024'!$G$4:$G$1823,'июнь 2024'!$D$4:$D$1823,$B10,'июнь 2024'!$J$4:$J$1823,R$1)</f>
        <v>0</v>
      </c>
      <c r="S10" s="80">
        <f>SUMIFS('июнь 2024'!$G$4:$G$1823,'июнь 2024'!$D$4:$D$1823,$B10,'июнь 2024'!$J$4:$J$1823,S$1)</f>
        <v>0</v>
      </c>
      <c r="T10" s="80">
        <f>SUMIFS('июнь 2024'!$G$4:$G$1823,'июнь 2024'!$D$4:$D$1823,$B10,'июнь 2024'!$J$4:$J$1823,T$1)</f>
        <v>600</v>
      </c>
      <c r="U10" s="80">
        <f>SUMIFS('июнь 2024'!$G$4:$G$1823,'июнь 2024'!$D$4:$D$1823,$B10,'июнь 2024'!$J$4:$J$1823,U$1)</f>
        <v>0</v>
      </c>
      <c r="V10" s="80">
        <f>SUMIFS('июнь 2024'!$G$4:$G$1823,'июнь 2024'!$D$4:$D$1823,$B10,'июнь 2024'!$J$4:$J$1823,V$1)</f>
        <v>600</v>
      </c>
      <c r="W10" s="80">
        <f>SUMIFS('июнь 2024'!$G$4:$G$1823,'июнь 2024'!$D$4:$D$1823,$B10,'июнь 2024'!$J$4:$J$1823,W$1)</f>
        <v>0</v>
      </c>
      <c r="X10" s="80">
        <f>SUMIFS('июнь 2024'!$G$4:$G$1823,'июнь 2024'!$D$4:$D$1823,$B10,'июнь 2024'!$J$4:$J$1823,X$1)</f>
        <v>0</v>
      </c>
      <c r="Y10" s="80">
        <f>SUMIFS('июнь 2024'!$G$4:$G$1823,'июнь 2024'!$D$4:$D$1823,$B10,'июнь 2024'!$J$4:$J$1823,Y$1)</f>
        <v>0</v>
      </c>
      <c r="Z10" s="80">
        <f>SUMIFS('июнь 2024'!$G$4:$G$1823,'июнь 2024'!$D$4:$D$1823,$B10,'июнь 2024'!$J$4:$J$1823,Z$1)</f>
        <v>0</v>
      </c>
      <c r="AA10" s="80">
        <f>SUMIFS('июнь 2024'!$G$4:$G$1823,'июнь 2024'!$D$4:$D$1823,$B10,'июнь 2024'!$J$4:$J$1823,AA$1)</f>
        <v>0</v>
      </c>
      <c r="AB10" s="80">
        <f>SUMIFS('июнь 2024'!$G$4:$G$1823,'июнь 2024'!$D$4:$D$1823,$B10,'июнь 2024'!$J$4:$J$1823,AB$1)</f>
        <v>0</v>
      </c>
      <c r="AC10" s="80">
        <f>SUMIFS('июнь 2024'!$G$4:$G$1823,'июнь 2024'!$D$4:$D$1823,$B10,'июнь 2024'!$J$4:$J$1823,AC$1)</f>
        <v>0</v>
      </c>
      <c r="AD10" s="80">
        <f>SUMIFS('июнь 2024'!$G$4:$G$1823,'июнь 2024'!$D$4:$D$1823,$B10,'июнь 2024'!$J$4:$J$1823,AD$1)</f>
        <v>0</v>
      </c>
      <c r="AE10" s="80">
        <f>SUMIFS('июнь 2024'!$G$4:$G$1823,'июнь 2024'!$D$4:$D$1823,$B10,'июнь 2024'!$J$4:$J$1823,AE$1)</f>
        <v>0</v>
      </c>
      <c r="AF10" s="80">
        <f>SUMIFS('июнь 2024'!$G$4:$G$1823,'июнь 2024'!$D$4:$D$1823,$B10,'июнь 2024'!$J$4:$J$1823,AF$1)</f>
        <v>0</v>
      </c>
      <c r="AG10" s="80">
        <f>SUMIFS('июнь 2024'!$G$4:$G$1823,'июнь 2024'!$D$4:$D$1823,$B10,'июнь 2024'!$J$4:$J$1823,AG$1)</f>
        <v>0</v>
      </c>
      <c r="AH10" s="80">
        <f>SUMIFS('июнь 2024'!$G$4:$G$1823,'июнь 2024'!$D$4:$D$1823,$B10,'июнь 2024'!$J$4:$J$1823,AH$1)</f>
        <v>0</v>
      </c>
      <c r="AI10" s="21">
        <f t="shared" si="1"/>
        <v>1200</v>
      </c>
    </row>
    <row r="11" spans="2:35" ht="15" customHeight="1" x14ac:dyDescent="0.25">
      <c r="B11" s="84" t="s">
        <v>291</v>
      </c>
      <c r="C11" s="85">
        <v>22.68</v>
      </c>
      <c r="D11" s="80">
        <f>SUMIFS('июнь 2024'!$G$4:$G$1823,'июнь 2024'!$D$4:$D$1823,$B11,'июнь 2024'!$J$4:$J$1823,D$1)</f>
        <v>0</v>
      </c>
      <c r="E11" s="80">
        <f>SUMIFS('июнь 2024'!$G$4:$G$1823,'июнь 2024'!$D$4:$D$1823,$B11,'июнь 2024'!$J$4:$J$1823,E$1)</f>
        <v>0</v>
      </c>
      <c r="F11" s="80">
        <f>SUMIFS('июнь 2024'!$G$4:$G$1823,'июнь 2024'!$D$4:$D$1823,$B11,'июнь 2024'!$J$4:$J$1823,F$1)</f>
        <v>0</v>
      </c>
      <c r="G11" s="80">
        <f>SUMIFS('июнь 2024'!$G$4:$G$1823,'июнь 2024'!$D$4:$D$1823,$B11,'июнь 2024'!$J$4:$J$1823,G$1)</f>
        <v>0</v>
      </c>
      <c r="H11" s="80">
        <f>SUMIFS('июнь 2024'!$G$4:$G$1823,'июнь 2024'!$D$4:$D$1823,$B11,'июнь 2024'!$J$4:$J$1823,H$1)</f>
        <v>0</v>
      </c>
      <c r="I11" s="80">
        <f>SUMIFS('июнь 2024'!$G$4:$G$1823,'июнь 2024'!$D$4:$D$1823,$B11,'июнь 2024'!$J$4:$J$1823,I$1)</f>
        <v>0</v>
      </c>
      <c r="J11" s="80">
        <f>SUMIFS('июнь 2024'!$G$4:$G$1823,'июнь 2024'!$D$4:$D$1823,$B11,'июнь 2024'!$J$4:$J$1823,J$1)</f>
        <v>0</v>
      </c>
      <c r="K11" s="80">
        <f>SUMIFS('июнь 2024'!$G$4:$G$1823,'июнь 2024'!$D$4:$D$1823,$B11,'июнь 2024'!$J$4:$J$1823,K$1)</f>
        <v>0</v>
      </c>
      <c r="L11" s="80">
        <f>SUMIFS('июнь 2024'!$G$4:$G$1823,'июнь 2024'!$D$4:$D$1823,$B11,'июнь 2024'!$J$4:$J$1823,L$1)</f>
        <v>0</v>
      </c>
      <c r="M11" s="80">
        <f>SUMIFS('июнь 2024'!$G$4:$G$1823,'июнь 2024'!$D$4:$D$1823,$B11,'июнь 2024'!$J$4:$J$1823,M$1)</f>
        <v>0</v>
      </c>
      <c r="N11" s="80">
        <f>SUMIFS('июнь 2024'!$G$4:$G$1823,'июнь 2024'!$D$4:$D$1823,$B11,'июнь 2024'!$J$4:$J$1823,N$1)</f>
        <v>0</v>
      </c>
      <c r="O11" s="80">
        <f>SUMIFS('июнь 2024'!$G$4:$G$1823,'июнь 2024'!$D$4:$D$1823,$B11,'июнь 2024'!$J$4:$J$1823,O$1)</f>
        <v>0</v>
      </c>
      <c r="P11" s="80">
        <f>SUMIFS('июнь 2024'!$G$4:$G$1823,'июнь 2024'!$D$4:$D$1823,$B11,'июнь 2024'!$J$4:$J$1823,P$1)</f>
        <v>0</v>
      </c>
      <c r="Q11" s="80">
        <f>SUMIFS('июнь 2024'!$G$4:$G$1823,'июнь 2024'!$D$4:$D$1823,$B11,'июнь 2024'!$J$4:$J$1823,Q$1)</f>
        <v>0</v>
      </c>
      <c r="R11" s="80">
        <f>SUMIFS('июнь 2024'!$G$4:$G$1823,'июнь 2024'!$D$4:$D$1823,$B11,'июнь 2024'!$J$4:$J$1823,R$1)</f>
        <v>0</v>
      </c>
      <c r="S11" s="80">
        <f>SUMIFS('июнь 2024'!$G$4:$G$1823,'июнь 2024'!$D$4:$D$1823,$B11,'июнь 2024'!$J$4:$J$1823,S$1)</f>
        <v>0</v>
      </c>
      <c r="T11" s="80">
        <f>SUMIFS('июнь 2024'!$G$4:$G$1823,'июнь 2024'!$D$4:$D$1823,$B11,'июнь 2024'!$J$4:$J$1823,T$1)</f>
        <v>0</v>
      </c>
      <c r="U11" s="80">
        <f>SUMIFS('июнь 2024'!$G$4:$G$1823,'июнь 2024'!$D$4:$D$1823,$B11,'июнь 2024'!$J$4:$J$1823,U$1)</f>
        <v>0</v>
      </c>
      <c r="V11" s="80">
        <f>SUMIFS('июнь 2024'!$G$4:$G$1823,'июнь 2024'!$D$4:$D$1823,$B11,'июнь 2024'!$J$4:$J$1823,V$1)</f>
        <v>0</v>
      </c>
      <c r="W11" s="80">
        <f>SUMIFS('июнь 2024'!$G$4:$G$1823,'июнь 2024'!$D$4:$D$1823,$B11,'июнь 2024'!$J$4:$J$1823,W$1)</f>
        <v>0</v>
      </c>
      <c r="X11" s="80">
        <f>SUMIFS('июнь 2024'!$G$4:$G$1823,'июнь 2024'!$D$4:$D$1823,$B11,'июнь 2024'!$J$4:$J$1823,X$1)</f>
        <v>0</v>
      </c>
      <c r="Y11" s="80">
        <f>SUMIFS('июнь 2024'!$G$4:$G$1823,'июнь 2024'!$D$4:$D$1823,$B11,'июнь 2024'!$J$4:$J$1823,Y$1)</f>
        <v>0</v>
      </c>
      <c r="Z11" s="80">
        <f>SUMIFS('июнь 2024'!$G$4:$G$1823,'июнь 2024'!$D$4:$D$1823,$B11,'июнь 2024'!$J$4:$J$1823,Z$1)</f>
        <v>0</v>
      </c>
      <c r="AA11" s="80">
        <f>SUMIFS('июнь 2024'!$G$4:$G$1823,'июнь 2024'!$D$4:$D$1823,$B11,'июнь 2024'!$J$4:$J$1823,AA$1)</f>
        <v>0</v>
      </c>
      <c r="AB11" s="80">
        <f>SUMIFS('июнь 2024'!$G$4:$G$1823,'июнь 2024'!$D$4:$D$1823,$B11,'июнь 2024'!$J$4:$J$1823,AB$1)</f>
        <v>0</v>
      </c>
      <c r="AC11" s="80">
        <f>SUMIFS('июнь 2024'!$G$4:$G$1823,'июнь 2024'!$D$4:$D$1823,$B11,'июнь 2024'!$J$4:$J$1823,AC$1)</f>
        <v>0</v>
      </c>
      <c r="AD11" s="80">
        <f>SUMIFS('июнь 2024'!$G$4:$G$1823,'июнь 2024'!$D$4:$D$1823,$B11,'июнь 2024'!$J$4:$J$1823,AD$1)</f>
        <v>0</v>
      </c>
      <c r="AE11" s="80">
        <f>SUMIFS('июнь 2024'!$G$4:$G$1823,'июнь 2024'!$D$4:$D$1823,$B11,'июнь 2024'!$J$4:$J$1823,AE$1)</f>
        <v>0</v>
      </c>
      <c r="AF11" s="80">
        <f>SUMIFS('июнь 2024'!$G$4:$G$1823,'июнь 2024'!$D$4:$D$1823,$B11,'июнь 2024'!$J$4:$J$1823,AF$1)</f>
        <v>0</v>
      </c>
      <c r="AG11" s="80">
        <f>SUMIFS('июнь 2024'!$G$4:$G$1823,'июнь 2024'!$D$4:$D$1823,$B11,'июнь 2024'!$J$4:$J$1823,AG$1)</f>
        <v>0</v>
      </c>
      <c r="AH11" s="80">
        <f>SUMIFS('июнь 2024'!$G$4:$G$1823,'июнь 2024'!$D$4:$D$1823,$B11,'июнь 2024'!$J$4:$J$1823,AH$1)</f>
        <v>0</v>
      </c>
      <c r="AI11" s="21">
        <f t="shared" si="1"/>
        <v>0</v>
      </c>
    </row>
    <row r="12" spans="2:35" ht="15" customHeight="1" x14ac:dyDescent="0.25">
      <c r="B12" s="84" t="s">
        <v>293</v>
      </c>
      <c r="C12" s="85">
        <v>22.68</v>
      </c>
      <c r="D12" s="80">
        <f>SUMIFS('июнь 2024'!$G$4:$G$1823,'июнь 2024'!$D$4:$D$1823,$B12,'июнь 2024'!$J$4:$J$1823,D$1)</f>
        <v>0</v>
      </c>
      <c r="E12" s="80">
        <f>SUMIFS('июнь 2024'!$G$4:$G$1823,'июнь 2024'!$D$4:$D$1823,$B12,'июнь 2024'!$J$4:$J$1823,E$1)</f>
        <v>0</v>
      </c>
      <c r="F12" s="80">
        <f>SUMIFS('июнь 2024'!$G$4:$G$1823,'июнь 2024'!$D$4:$D$1823,$B12,'июнь 2024'!$J$4:$J$1823,F$1)</f>
        <v>0</v>
      </c>
      <c r="G12" s="80">
        <f>SUMIFS('июнь 2024'!$G$4:$G$1823,'июнь 2024'!$D$4:$D$1823,$B12,'июнь 2024'!$J$4:$J$1823,G$1)</f>
        <v>0</v>
      </c>
      <c r="H12" s="80">
        <f>SUMIFS('июнь 2024'!$G$4:$G$1823,'июнь 2024'!$D$4:$D$1823,$B12,'июнь 2024'!$J$4:$J$1823,H$1)</f>
        <v>0</v>
      </c>
      <c r="I12" s="80">
        <f>SUMIFS('июнь 2024'!$G$4:$G$1823,'июнь 2024'!$D$4:$D$1823,$B12,'июнь 2024'!$J$4:$J$1823,I$1)</f>
        <v>0</v>
      </c>
      <c r="J12" s="80">
        <f>SUMIFS('июнь 2024'!$G$4:$G$1823,'июнь 2024'!$D$4:$D$1823,$B12,'июнь 2024'!$J$4:$J$1823,J$1)</f>
        <v>0</v>
      </c>
      <c r="K12" s="80">
        <f>SUMIFS('июнь 2024'!$G$4:$G$1823,'июнь 2024'!$D$4:$D$1823,$B12,'июнь 2024'!$J$4:$J$1823,K$1)</f>
        <v>0</v>
      </c>
      <c r="L12" s="80">
        <f>SUMIFS('июнь 2024'!$G$4:$G$1823,'июнь 2024'!$D$4:$D$1823,$B12,'июнь 2024'!$J$4:$J$1823,L$1)</f>
        <v>0</v>
      </c>
      <c r="M12" s="80">
        <f>SUMIFS('июнь 2024'!$G$4:$G$1823,'июнь 2024'!$D$4:$D$1823,$B12,'июнь 2024'!$J$4:$J$1823,M$1)</f>
        <v>0</v>
      </c>
      <c r="N12" s="80">
        <f>SUMIFS('июнь 2024'!$G$4:$G$1823,'июнь 2024'!$D$4:$D$1823,$B12,'июнь 2024'!$J$4:$J$1823,N$1)</f>
        <v>0</v>
      </c>
      <c r="O12" s="80">
        <f>SUMIFS('июнь 2024'!$G$4:$G$1823,'июнь 2024'!$D$4:$D$1823,$B12,'июнь 2024'!$J$4:$J$1823,O$1)</f>
        <v>0</v>
      </c>
      <c r="P12" s="80">
        <f>SUMIFS('июнь 2024'!$G$4:$G$1823,'июнь 2024'!$D$4:$D$1823,$B12,'июнь 2024'!$J$4:$J$1823,P$1)</f>
        <v>0</v>
      </c>
      <c r="Q12" s="80">
        <f>SUMIFS('июнь 2024'!$G$4:$G$1823,'июнь 2024'!$D$4:$D$1823,$B12,'июнь 2024'!$J$4:$J$1823,Q$1)</f>
        <v>0</v>
      </c>
      <c r="R12" s="80">
        <f>SUMIFS('июнь 2024'!$G$4:$G$1823,'июнь 2024'!$D$4:$D$1823,$B12,'июнь 2024'!$J$4:$J$1823,R$1)</f>
        <v>0</v>
      </c>
      <c r="S12" s="80">
        <f>SUMIFS('июнь 2024'!$G$4:$G$1823,'июнь 2024'!$D$4:$D$1823,$B12,'июнь 2024'!$J$4:$J$1823,S$1)</f>
        <v>0</v>
      </c>
      <c r="T12" s="80">
        <f>SUMIFS('июнь 2024'!$G$4:$G$1823,'июнь 2024'!$D$4:$D$1823,$B12,'июнь 2024'!$J$4:$J$1823,T$1)</f>
        <v>0</v>
      </c>
      <c r="U12" s="80">
        <f>SUMIFS('июнь 2024'!$G$4:$G$1823,'июнь 2024'!$D$4:$D$1823,$B12,'июнь 2024'!$J$4:$J$1823,U$1)</f>
        <v>0</v>
      </c>
      <c r="V12" s="80">
        <f>SUMIFS('июнь 2024'!$G$4:$G$1823,'июнь 2024'!$D$4:$D$1823,$B12,'июнь 2024'!$J$4:$J$1823,V$1)</f>
        <v>0</v>
      </c>
      <c r="W12" s="80">
        <f>SUMIFS('июнь 2024'!$G$4:$G$1823,'июнь 2024'!$D$4:$D$1823,$B12,'июнь 2024'!$J$4:$J$1823,W$1)</f>
        <v>0</v>
      </c>
      <c r="X12" s="80">
        <f>SUMIFS('июнь 2024'!$G$4:$G$1823,'июнь 2024'!$D$4:$D$1823,$B12,'июнь 2024'!$J$4:$J$1823,X$1)</f>
        <v>0</v>
      </c>
      <c r="Y12" s="80">
        <f>SUMIFS('июнь 2024'!$G$4:$G$1823,'июнь 2024'!$D$4:$D$1823,$B12,'июнь 2024'!$J$4:$J$1823,Y$1)</f>
        <v>0</v>
      </c>
      <c r="Z12" s="80">
        <f>SUMIFS('июнь 2024'!$G$4:$G$1823,'июнь 2024'!$D$4:$D$1823,$B12,'июнь 2024'!$J$4:$J$1823,Z$1)</f>
        <v>0</v>
      </c>
      <c r="AA12" s="80">
        <f>SUMIFS('июнь 2024'!$G$4:$G$1823,'июнь 2024'!$D$4:$D$1823,$B12,'июнь 2024'!$J$4:$J$1823,AA$1)</f>
        <v>0</v>
      </c>
      <c r="AB12" s="80">
        <f>SUMIFS('июнь 2024'!$G$4:$G$1823,'июнь 2024'!$D$4:$D$1823,$B12,'июнь 2024'!$J$4:$J$1823,AB$1)</f>
        <v>0</v>
      </c>
      <c r="AC12" s="80">
        <f>SUMIFS('июнь 2024'!$G$4:$G$1823,'июнь 2024'!$D$4:$D$1823,$B12,'июнь 2024'!$J$4:$J$1823,AC$1)</f>
        <v>0</v>
      </c>
      <c r="AD12" s="80">
        <f>SUMIFS('июнь 2024'!$G$4:$G$1823,'июнь 2024'!$D$4:$D$1823,$B12,'июнь 2024'!$J$4:$J$1823,AD$1)</f>
        <v>0</v>
      </c>
      <c r="AE12" s="80">
        <f>SUMIFS('июнь 2024'!$G$4:$G$1823,'июнь 2024'!$D$4:$D$1823,$B12,'июнь 2024'!$J$4:$J$1823,AE$1)</f>
        <v>0</v>
      </c>
      <c r="AF12" s="80">
        <f>SUMIFS('июнь 2024'!$G$4:$G$1823,'июнь 2024'!$D$4:$D$1823,$B12,'июнь 2024'!$J$4:$J$1823,AF$1)</f>
        <v>0</v>
      </c>
      <c r="AG12" s="80">
        <f>SUMIFS('июнь 2024'!$G$4:$G$1823,'июнь 2024'!$D$4:$D$1823,$B12,'июнь 2024'!$J$4:$J$1823,AG$1)</f>
        <v>0</v>
      </c>
      <c r="AH12" s="80">
        <f>SUMIFS('июнь 2024'!$G$4:$G$1823,'июнь 2024'!$D$4:$D$1823,$B12,'июнь 2024'!$J$4:$J$1823,AH$1)</f>
        <v>0</v>
      </c>
      <c r="AI12" s="21">
        <f t="shared" si="1"/>
        <v>0</v>
      </c>
    </row>
    <row r="13" spans="2:35" ht="15" customHeight="1" x14ac:dyDescent="0.25">
      <c r="B13" s="84" t="s">
        <v>1043</v>
      </c>
      <c r="C13" s="85">
        <v>25</v>
      </c>
      <c r="D13" s="80">
        <f>SUMIFS('июнь 2024'!$G$4:$G$1823,'июнь 2024'!$D$4:$D$1823,$B13,'июнь 2024'!$J$4:$J$1823,D$1)</f>
        <v>0</v>
      </c>
      <c r="E13" s="80">
        <f>SUMIFS('июнь 2024'!$G$4:$G$1823,'июнь 2024'!$D$4:$D$1823,$B13,'июнь 2024'!$J$4:$J$1823,E$1)</f>
        <v>0</v>
      </c>
      <c r="F13" s="80">
        <f>SUMIFS('июнь 2024'!$G$4:$G$1823,'июнь 2024'!$D$4:$D$1823,$B13,'июнь 2024'!$J$4:$J$1823,F$1)</f>
        <v>2800</v>
      </c>
      <c r="G13" s="80">
        <f>SUMIFS('июнь 2024'!$G$4:$G$1823,'июнь 2024'!$D$4:$D$1823,$B13,'июнь 2024'!$J$4:$J$1823,G$1)</f>
        <v>0</v>
      </c>
      <c r="H13" s="80">
        <f>SUMIFS('июнь 2024'!$G$4:$G$1823,'июнь 2024'!$D$4:$D$1823,$B13,'июнь 2024'!$J$4:$J$1823,H$1)</f>
        <v>2800</v>
      </c>
      <c r="I13" s="80">
        <f>SUMIFS('июнь 2024'!$G$4:$G$1823,'июнь 2024'!$D$4:$D$1823,$B13,'июнь 2024'!$J$4:$J$1823,I$1)</f>
        <v>0</v>
      </c>
      <c r="J13" s="80">
        <f>SUMIFS('июнь 2024'!$G$4:$G$1823,'июнь 2024'!$D$4:$D$1823,$B13,'июнь 2024'!$J$4:$J$1823,J$1)</f>
        <v>0</v>
      </c>
      <c r="K13" s="80">
        <f>SUMIFS('июнь 2024'!$G$4:$G$1823,'июнь 2024'!$D$4:$D$1823,$B13,'июнь 2024'!$J$4:$J$1823,K$1)</f>
        <v>0</v>
      </c>
      <c r="L13" s="80">
        <f>SUMIFS('июнь 2024'!$G$4:$G$1823,'июнь 2024'!$D$4:$D$1823,$B13,'июнь 2024'!$J$4:$J$1823,L$1)</f>
        <v>0</v>
      </c>
      <c r="M13" s="80">
        <f>SUMIFS('июнь 2024'!$G$4:$G$1823,'июнь 2024'!$D$4:$D$1823,$B13,'июнь 2024'!$J$4:$J$1823,M$1)</f>
        <v>0</v>
      </c>
      <c r="N13" s="80">
        <f>SUMIFS('июнь 2024'!$G$4:$G$1823,'июнь 2024'!$D$4:$D$1823,$B13,'июнь 2024'!$J$4:$J$1823,N$1)</f>
        <v>0</v>
      </c>
      <c r="O13" s="80">
        <f>SUMIFS('июнь 2024'!$G$4:$G$1823,'июнь 2024'!$D$4:$D$1823,$B13,'июнь 2024'!$J$4:$J$1823,O$1)</f>
        <v>0</v>
      </c>
      <c r="P13" s="80">
        <f>SUMIFS('июнь 2024'!$G$4:$G$1823,'июнь 2024'!$D$4:$D$1823,$B13,'июнь 2024'!$J$4:$J$1823,P$1)</f>
        <v>0</v>
      </c>
      <c r="Q13" s="80">
        <f>SUMIFS('июнь 2024'!$G$4:$G$1823,'июнь 2024'!$D$4:$D$1823,$B13,'июнь 2024'!$J$4:$J$1823,Q$1)</f>
        <v>0</v>
      </c>
      <c r="R13" s="80">
        <f>SUMIFS('июнь 2024'!$G$4:$G$1823,'июнь 2024'!$D$4:$D$1823,$B13,'июнь 2024'!$J$4:$J$1823,R$1)</f>
        <v>0</v>
      </c>
      <c r="S13" s="80">
        <f>SUMIFS('июнь 2024'!$G$4:$G$1823,'июнь 2024'!$D$4:$D$1823,$B13,'июнь 2024'!$J$4:$J$1823,S$1)</f>
        <v>0</v>
      </c>
      <c r="T13" s="80">
        <f>SUMIFS('июнь 2024'!$G$4:$G$1823,'июнь 2024'!$D$4:$D$1823,$B13,'июнь 2024'!$J$4:$J$1823,T$1)</f>
        <v>0</v>
      </c>
      <c r="U13" s="80">
        <f>SUMIFS('июнь 2024'!$G$4:$G$1823,'июнь 2024'!$D$4:$D$1823,$B13,'июнь 2024'!$J$4:$J$1823,U$1)</f>
        <v>0</v>
      </c>
      <c r="V13" s="80">
        <f>SUMIFS('июнь 2024'!$G$4:$G$1823,'июнь 2024'!$D$4:$D$1823,$B13,'июнь 2024'!$J$4:$J$1823,V$1)</f>
        <v>0</v>
      </c>
      <c r="W13" s="80">
        <f>SUMIFS('июнь 2024'!$G$4:$G$1823,'июнь 2024'!$D$4:$D$1823,$B13,'июнь 2024'!$J$4:$J$1823,W$1)</f>
        <v>0</v>
      </c>
      <c r="X13" s="80">
        <f>SUMIFS('июнь 2024'!$G$4:$G$1823,'июнь 2024'!$D$4:$D$1823,$B13,'июнь 2024'!$J$4:$J$1823,X$1)</f>
        <v>0</v>
      </c>
      <c r="Y13" s="80">
        <f>SUMIFS('июнь 2024'!$G$4:$G$1823,'июнь 2024'!$D$4:$D$1823,$B13,'июнь 2024'!$J$4:$J$1823,Y$1)</f>
        <v>0</v>
      </c>
      <c r="Z13" s="80">
        <f>SUMIFS('июнь 2024'!$G$4:$G$1823,'июнь 2024'!$D$4:$D$1823,$B13,'июнь 2024'!$J$4:$J$1823,Z$1)</f>
        <v>0</v>
      </c>
      <c r="AA13" s="80">
        <f>SUMIFS('июнь 2024'!$G$4:$G$1823,'июнь 2024'!$D$4:$D$1823,$B13,'июнь 2024'!$J$4:$J$1823,AA$1)</f>
        <v>0</v>
      </c>
      <c r="AB13" s="80">
        <f>SUMIFS('июнь 2024'!$G$4:$G$1823,'июнь 2024'!$D$4:$D$1823,$B13,'июнь 2024'!$J$4:$J$1823,AB$1)</f>
        <v>0</v>
      </c>
      <c r="AC13" s="80">
        <f>SUMIFS('июнь 2024'!$G$4:$G$1823,'июнь 2024'!$D$4:$D$1823,$B13,'июнь 2024'!$J$4:$J$1823,AC$1)</f>
        <v>0</v>
      </c>
      <c r="AD13" s="80">
        <f>SUMIFS('июнь 2024'!$G$4:$G$1823,'июнь 2024'!$D$4:$D$1823,$B13,'июнь 2024'!$J$4:$J$1823,AD$1)</f>
        <v>0</v>
      </c>
      <c r="AE13" s="80">
        <f>SUMIFS('июнь 2024'!$G$4:$G$1823,'июнь 2024'!$D$4:$D$1823,$B13,'июнь 2024'!$J$4:$J$1823,AE$1)</f>
        <v>0</v>
      </c>
      <c r="AF13" s="80">
        <f>SUMIFS('июнь 2024'!$G$4:$G$1823,'июнь 2024'!$D$4:$D$1823,$B13,'июнь 2024'!$J$4:$J$1823,AF$1)</f>
        <v>0</v>
      </c>
      <c r="AG13" s="80">
        <f>SUMIFS('июнь 2024'!$G$4:$G$1823,'июнь 2024'!$D$4:$D$1823,$B13,'июнь 2024'!$J$4:$J$1823,AG$1)</f>
        <v>0</v>
      </c>
      <c r="AH13" s="80">
        <f>SUMIFS('июнь 2024'!$G$4:$G$1823,'июнь 2024'!$D$4:$D$1823,$B13,'июнь 2024'!$J$4:$J$1823,AH$1)</f>
        <v>0</v>
      </c>
      <c r="AI13" s="21">
        <f t="shared" si="1"/>
        <v>5600</v>
      </c>
    </row>
    <row r="14" spans="2:35" ht="15" customHeight="1" x14ac:dyDescent="0.25">
      <c r="B14" s="84" t="s">
        <v>1097</v>
      </c>
      <c r="C14" s="85">
        <v>25</v>
      </c>
      <c r="D14" s="80">
        <f>SUMIFS('июнь 2024'!$G$4:$G$1823,'июнь 2024'!$D$4:$D$1823,$B14,'июнь 2024'!$J$4:$J$1823,D$1)</f>
        <v>0</v>
      </c>
      <c r="E14" s="80">
        <f>SUMIFS('июнь 2024'!$G$4:$G$1823,'июнь 2024'!$D$4:$D$1823,$B14,'июнь 2024'!$J$4:$J$1823,E$1)</f>
        <v>0</v>
      </c>
      <c r="F14" s="80">
        <f>SUMIFS('июнь 2024'!$G$4:$G$1823,'июнь 2024'!$D$4:$D$1823,$B14,'июнь 2024'!$J$4:$J$1823,F$1)</f>
        <v>0</v>
      </c>
      <c r="G14" s="80">
        <f>SUMIFS('июнь 2024'!$G$4:$G$1823,'июнь 2024'!$D$4:$D$1823,$B14,'июнь 2024'!$J$4:$J$1823,G$1)</f>
        <v>0</v>
      </c>
      <c r="H14" s="80">
        <f>SUMIFS('июнь 2024'!$G$4:$G$1823,'июнь 2024'!$D$4:$D$1823,$B14,'июнь 2024'!$J$4:$J$1823,H$1)</f>
        <v>0</v>
      </c>
      <c r="I14" s="80">
        <f>SUMIFS('июнь 2024'!$G$4:$G$1823,'июнь 2024'!$D$4:$D$1823,$B14,'июнь 2024'!$J$4:$J$1823,I$1)</f>
        <v>0</v>
      </c>
      <c r="J14" s="80">
        <f>SUMIFS('июнь 2024'!$G$4:$G$1823,'июнь 2024'!$D$4:$D$1823,$B14,'июнь 2024'!$J$4:$J$1823,J$1)</f>
        <v>0</v>
      </c>
      <c r="K14" s="80">
        <f>SUMIFS('июнь 2024'!$G$4:$G$1823,'июнь 2024'!$D$4:$D$1823,$B14,'июнь 2024'!$J$4:$J$1823,K$1)</f>
        <v>0</v>
      </c>
      <c r="L14" s="80">
        <f>SUMIFS('июнь 2024'!$G$4:$G$1823,'июнь 2024'!$D$4:$D$1823,$B14,'июнь 2024'!$J$4:$J$1823,L$1)</f>
        <v>0</v>
      </c>
      <c r="M14" s="80">
        <f>SUMIFS('июнь 2024'!$G$4:$G$1823,'июнь 2024'!$D$4:$D$1823,$B14,'июнь 2024'!$J$4:$J$1823,M$1)</f>
        <v>0</v>
      </c>
      <c r="N14" s="80">
        <f>SUMIFS('июнь 2024'!$G$4:$G$1823,'июнь 2024'!$D$4:$D$1823,$B14,'июнь 2024'!$J$4:$J$1823,N$1)</f>
        <v>0</v>
      </c>
      <c r="O14" s="80">
        <f>SUMIFS('июнь 2024'!$G$4:$G$1823,'июнь 2024'!$D$4:$D$1823,$B14,'июнь 2024'!$J$4:$J$1823,O$1)</f>
        <v>0</v>
      </c>
      <c r="P14" s="80">
        <f>SUMIFS('июнь 2024'!$G$4:$G$1823,'июнь 2024'!$D$4:$D$1823,$B14,'июнь 2024'!$J$4:$J$1823,P$1)</f>
        <v>0</v>
      </c>
      <c r="Q14" s="80">
        <f>SUMIFS('июнь 2024'!$G$4:$G$1823,'июнь 2024'!$D$4:$D$1823,$B14,'июнь 2024'!$J$4:$J$1823,Q$1)</f>
        <v>700</v>
      </c>
      <c r="R14" s="80">
        <f>SUMIFS('июнь 2024'!$G$4:$G$1823,'июнь 2024'!$D$4:$D$1823,$B14,'июнь 2024'!$J$4:$J$1823,R$1)</f>
        <v>0</v>
      </c>
      <c r="S14" s="80">
        <f>SUMIFS('июнь 2024'!$G$4:$G$1823,'июнь 2024'!$D$4:$D$1823,$B14,'июнь 2024'!$J$4:$J$1823,S$1)</f>
        <v>0</v>
      </c>
      <c r="T14" s="80">
        <f>SUMIFS('июнь 2024'!$G$4:$G$1823,'июнь 2024'!$D$4:$D$1823,$B14,'июнь 2024'!$J$4:$J$1823,T$1)</f>
        <v>0</v>
      </c>
      <c r="U14" s="80">
        <f>SUMIFS('июнь 2024'!$G$4:$G$1823,'июнь 2024'!$D$4:$D$1823,$B14,'июнь 2024'!$J$4:$J$1823,U$1)</f>
        <v>0</v>
      </c>
      <c r="V14" s="80">
        <f>SUMIFS('июнь 2024'!$G$4:$G$1823,'июнь 2024'!$D$4:$D$1823,$B14,'июнь 2024'!$J$4:$J$1823,V$1)</f>
        <v>0</v>
      </c>
      <c r="W14" s="80">
        <f>SUMIFS('июнь 2024'!$G$4:$G$1823,'июнь 2024'!$D$4:$D$1823,$B14,'июнь 2024'!$J$4:$J$1823,W$1)</f>
        <v>0</v>
      </c>
      <c r="X14" s="80">
        <f>SUMIFS('июнь 2024'!$G$4:$G$1823,'июнь 2024'!$D$4:$D$1823,$B14,'июнь 2024'!$J$4:$J$1823,X$1)</f>
        <v>0</v>
      </c>
      <c r="Y14" s="80">
        <f>SUMIFS('июнь 2024'!$G$4:$G$1823,'июнь 2024'!$D$4:$D$1823,$B14,'июнь 2024'!$J$4:$J$1823,Y$1)</f>
        <v>0</v>
      </c>
      <c r="Z14" s="80">
        <f>SUMIFS('июнь 2024'!$G$4:$G$1823,'июнь 2024'!$D$4:$D$1823,$B14,'июнь 2024'!$J$4:$J$1823,Z$1)</f>
        <v>0</v>
      </c>
      <c r="AA14" s="80">
        <f>SUMIFS('июнь 2024'!$G$4:$G$1823,'июнь 2024'!$D$4:$D$1823,$B14,'июнь 2024'!$J$4:$J$1823,AA$1)</f>
        <v>0</v>
      </c>
      <c r="AB14" s="80">
        <f>SUMIFS('июнь 2024'!$G$4:$G$1823,'июнь 2024'!$D$4:$D$1823,$B14,'июнь 2024'!$J$4:$J$1823,AB$1)</f>
        <v>0</v>
      </c>
      <c r="AC14" s="80">
        <f>SUMIFS('июнь 2024'!$G$4:$G$1823,'июнь 2024'!$D$4:$D$1823,$B14,'июнь 2024'!$J$4:$J$1823,AC$1)</f>
        <v>0</v>
      </c>
      <c r="AD14" s="80">
        <f>SUMIFS('июнь 2024'!$G$4:$G$1823,'июнь 2024'!$D$4:$D$1823,$B14,'июнь 2024'!$J$4:$J$1823,AD$1)</f>
        <v>700</v>
      </c>
      <c r="AE14" s="80">
        <f>SUMIFS('июнь 2024'!$G$4:$G$1823,'июнь 2024'!$D$4:$D$1823,$B14,'июнь 2024'!$J$4:$J$1823,AE$1)</f>
        <v>700</v>
      </c>
      <c r="AF14" s="80">
        <f>SUMIFS('июнь 2024'!$G$4:$G$1823,'июнь 2024'!$D$4:$D$1823,$B14,'июнь 2024'!$J$4:$J$1823,AF$1)</f>
        <v>0</v>
      </c>
      <c r="AG14" s="80">
        <f>SUMIFS('июнь 2024'!$G$4:$G$1823,'июнь 2024'!$D$4:$D$1823,$B14,'июнь 2024'!$J$4:$J$1823,AG$1)</f>
        <v>0</v>
      </c>
      <c r="AH14" s="80">
        <f>SUMIFS('июнь 2024'!$G$4:$G$1823,'июнь 2024'!$D$4:$D$1823,$B14,'июнь 2024'!$J$4:$J$1823,AH$1)</f>
        <v>0</v>
      </c>
      <c r="AI14" s="21">
        <f t="shared" si="1"/>
        <v>2100</v>
      </c>
    </row>
    <row r="15" spans="2:35" ht="15" customHeight="1" x14ac:dyDescent="0.25">
      <c r="B15" s="84" t="s">
        <v>295</v>
      </c>
      <c r="C15" s="85">
        <v>22.7</v>
      </c>
      <c r="D15" s="80">
        <f>SUMIFS('июнь 2024'!$G$4:$G$1823,'июнь 2024'!$D$4:$D$1823,$B15,'июнь 2024'!$J$4:$J$1823,D$1)</f>
        <v>0</v>
      </c>
      <c r="E15" s="80">
        <f>SUMIFS('июнь 2024'!$G$4:$G$1823,'июнь 2024'!$D$4:$D$1823,$B15,'июнь 2024'!$J$4:$J$1823,E$1)</f>
        <v>0</v>
      </c>
      <c r="F15" s="80">
        <f>SUMIFS('июнь 2024'!$G$4:$G$1823,'июнь 2024'!$D$4:$D$1823,$B15,'июнь 2024'!$J$4:$J$1823,F$1)</f>
        <v>0</v>
      </c>
      <c r="G15" s="80">
        <f>SUMIFS('июнь 2024'!$G$4:$G$1823,'июнь 2024'!$D$4:$D$1823,$B15,'июнь 2024'!$J$4:$J$1823,G$1)</f>
        <v>0</v>
      </c>
      <c r="H15" s="80">
        <f>SUMIFS('июнь 2024'!$G$4:$G$1823,'июнь 2024'!$D$4:$D$1823,$B15,'июнь 2024'!$J$4:$J$1823,H$1)</f>
        <v>0</v>
      </c>
      <c r="I15" s="80">
        <f>SUMIFS('июнь 2024'!$G$4:$G$1823,'июнь 2024'!$D$4:$D$1823,$B15,'июнь 2024'!$J$4:$J$1823,I$1)</f>
        <v>0</v>
      </c>
      <c r="J15" s="80">
        <f>SUMIFS('июнь 2024'!$G$4:$G$1823,'июнь 2024'!$D$4:$D$1823,$B15,'июнь 2024'!$J$4:$J$1823,J$1)</f>
        <v>0</v>
      </c>
      <c r="K15" s="80">
        <f>SUMIFS('июнь 2024'!$G$4:$G$1823,'июнь 2024'!$D$4:$D$1823,$B15,'июнь 2024'!$J$4:$J$1823,K$1)</f>
        <v>0</v>
      </c>
      <c r="L15" s="80">
        <f>SUMIFS('июнь 2024'!$G$4:$G$1823,'июнь 2024'!$D$4:$D$1823,$B15,'июнь 2024'!$J$4:$J$1823,L$1)</f>
        <v>0</v>
      </c>
      <c r="M15" s="80">
        <f>SUMIFS('июнь 2024'!$G$4:$G$1823,'июнь 2024'!$D$4:$D$1823,$B15,'июнь 2024'!$J$4:$J$1823,M$1)</f>
        <v>0</v>
      </c>
      <c r="N15" s="80">
        <f>SUMIFS('июнь 2024'!$G$4:$G$1823,'июнь 2024'!$D$4:$D$1823,$B15,'июнь 2024'!$J$4:$J$1823,N$1)</f>
        <v>0</v>
      </c>
      <c r="O15" s="80">
        <f>SUMIFS('июнь 2024'!$G$4:$G$1823,'июнь 2024'!$D$4:$D$1823,$B15,'июнь 2024'!$J$4:$J$1823,O$1)</f>
        <v>0</v>
      </c>
      <c r="P15" s="80">
        <f>SUMIFS('июнь 2024'!$G$4:$G$1823,'июнь 2024'!$D$4:$D$1823,$B15,'июнь 2024'!$J$4:$J$1823,P$1)</f>
        <v>0</v>
      </c>
      <c r="Q15" s="80">
        <f>SUMIFS('июнь 2024'!$G$4:$G$1823,'июнь 2024'!$D$4:$D$1823,$B15,'июнь 2024'!$J$4:$J$1823,Q$1)</f>
        <v>0</v>
      </c>
      <c r="R15" s="80">
        <f>SUMIFS('июнь 2024'!$G$4:$G$1823,'июнь 2024'!$D$4:$D$1823,$B15,'июнь 2024'!$J$4:$J$1823,R$1)</f>
        <v>0</v>
      </c>
      <c r="S15" s="80">
        <f>SUMIFS('июнь 2024'!$G$4:$G$1823,'июнь 2024'!$D$4:$D$1823,$B15,'июнь 2024'!$J$4:$J$1823,S$1)</f>
        <v>0</v>
      </c>
      <c r="T15" s="80">
        <f>SUMIFS('июнь 2024'!$G$4:$G$1823,'июнь 2024'!$D$4:$D$1823,$B15,'июнь 2024'!$J$4:$J$1823,T$1)</f>
        <v>0</v>
      </c>
      <c r="U15" s="80">
        <f>SUMIFS('июнь 2024'!$G$4:$G$1823,'июнь 2024'!$D$4:$D$1823,$B15,'июнь 2024'!$J$4:$J$1823,U$1)</f>
        <v>0</v>
      </c>
      <c r="V15" s="80">
        <f>SUMIFS('июнь 2024'!$G$4:$G$1823,'июнь 2024'!$D$4:$D$1823,$B15,'июнь 2024'!$J$4:$J$1823,V$1)</f>
        <v>0</v>
      </c>
      <c r="W15" s="80">
        <f>SUMIFS('июнь 2024'!$G$4:$G$1823,'июнь 2024'!$D$4:$D$1823,$B15,'июнь 2024'!$J$4:$J$1823,W$1)</f>
        <v>0</v>
      </c>
      <c r="X15" s="80">
        <f>SUMIFS('июнь 2024'!$G$4:$G$1823,'июнь 2024'!$D$4:$D$1823,$B15,'июнь 2024'!$J$4:$J$1823,X$1)</f>
        <v>0</v>
      </c>
      <c r="Y15" s="80">
        <f>SUMIFS('июнь 2024'!$G$4:$G$1823,'июнь 2024'!$D$4:$D$1823,$B15,'июнь 2024'!$J$4:$J$1823,Y$1)</f>
        <v>0</v>
      </c>
      <c r="Z15" s="80">
        <f>SUMIFS('июнь 2024'!$G$4:$G$1823,'июнь 2024'!$D$4:$D$1823,$B15,'июнь 2024'!$J$4:$J$1823,Z$1)</f>
        <v>0</v>
      </c>
      <c r="AA15" s="80">
        <f>SUMIFS('июнь 2024'!$G$4:$G$1823,'июнь 2024'!$D$4:$D$1823,$B15,'июнь 2024'!$J$4:$J$1823,AA$1)</f>
        <v>0</v>
      </c>
      <c r="AB15" s="80">
        <f>SUMIFS('июнь 2024'!$G$4:$G$1823,'июнь 2024'!$D$4:$D$1823,$B15,'июнь 2024'!$J$4:$J$1823,AB$1)</f>
        <v>0</v>
      </c>
      <c r="AC15" s="80">
        <f>SUMIFS('июнь 2024'!$G$4:$G$1823,'июнь 2024'!$D$4:$D$1823,$B15,'июнь 2024'!$J$4:$J$1823,AC$1)</f>
        <v>0</v>
      </c>
      <c r="AD15" s="80">
        <f>SUMIFS('июнь 2024'!$G$4:$G$1823,'июнь 2024'!$D$4:$D$1823,$B15,'июнь 2024'!$J$4:$J$1823,AD$1)</f>
        <v>0</v>
      </c>
      <c r="AE15" s="80">
        <f>SUMIFS('июнь 2024'!$G$4:$G$1823,'июнь 2024'!$D$4:$D$1823,$B15,'июнь 2024'!$J$4:$J$1823,AE$1)</f>
        <v>0</v>
      </c>
      <c r="AF15" s="80">
        <f>SUMIFS('июнь 2024'!$G$4:$G$1823,'июнь 2024'!$D$4:$D$1823,$B15,'июнь 2024'!$J$4:$J$1823,AF$1)</f>
        <v>0</v>
      </c>
      <c r="AG15" s="80">
        <f>SUMIFS('июнь 2024'!$G$4:$G$1823,'июнь 2024'!$D$4:$D$1823,$B15,'июнь 2024'!$J$4:$J$1823,AG$1)</f>
        <v>0</v>
      </c>
      <c r="AH15" s="80">
        <f>SUMIFS('июнь 2024'!$G$4:$G$1823,'июнь 2024'!$D$4:$D$1823,$B15,'июнь 2024'!$J$4:$J$1823,AH$1)</f>
        <v>0</v>
      </c>
      <c r="AI15" s="21">
        <f t="shared" si="1"/>
        <v>0</v>
      </c>
    </row>
    <row r="16" spans="2:35" ht="15" customHeight="1" x14ac:dyDescent="0.25">
      <c r="B16" s="81" t="s">
        <v>297</v>
      </c>
      <c r="C16" s="82">
        <v>22.7</v>
      </c>
      <c r="D16" s="80">
        <f>SUMIFS('июнь 2024'!$G$4:$G$1823,'июнь 2024'!$D$4:$D$1823,$B16,'июнь 2024'!$J$4:$J$1823,D$1)</f>
        <v>0</v>
      </c>
      <c r="E16" s="80">
        <f>SUMIFS('июнь 2024'!$G$4:$G$1823,'июнь 2024'!$D$4:$D$1823,$B16,'июнь 2024'!$J$4:$J$1823,E$1)</f>
        <v>0</v>
      </c>
      <c r="F16" s="80">
        <f>SUMIFS('июнь 2024'!$G$4:$G$1823,'июнь 2024'!$D$4:$D$1823,$B16,'июнь 2024'!$J$4:$J$1823,F$1)</f>
        <v>0</v>
      </c>
      <c r="G16" s="80">
        <f>SUMIFS('июнь 2024'!$G$4:$G$1823,'июнь 2024'!$D$4:$D$1823,$B16,'июнь 2024'!$J$4:$J$1823,G$1)</f>
        <v>0</v>
      </c>
      <c r="H16" s="80">
        <f>SUMIFS('июнь 2024'!$G$4:$G$1823,'июнь 2024'!$D$4:$D$1823,$B16,'июнь 2024'!$J$4:$J$1823,H$1)</f>
        <v>0</v>
      </c>
      <c r="I16" s="80">
        <f>SUMIFS('июнь 2024'!$G$4:$G$1823,'июнь 2024'!$D$4:$D$1823,$B16,'июнь 2024'!$J$4:$J$1823,I$1)</f>
        <v>0</v>
      </c>
      <c r="J16" s="80">
        <f>SUMIFS('июнь 2024'!$G$4:$G$1823,'июнь 2024'!$D$4:$D$1823,$B16,'июнь 2024'!$J$4:$J$1823,J$1)</f>
        <v>0</v>
      </c>
      <c r="K16" s="80">
        <f>SUMIFS('июнь 2024'!$G$4:$G$1823,'июнь 2024'!$D$4:$D$1823,$B16,'июнь 2024'!$J$4:$J$1823,K$1)</f>
        <v>0</v>
      </c>
      <c r="L16" s="80">
        <f>SUMIFS('июнь 2024'!$G$4:$G$1823,'июнь 2024'!$D$4:$D$1823,$B16,'июнь 2024'!$J$4:$J$1823,L$1)</f>
        <v>0</v>
      </c>
      <c r="M16" s="80">
        <f>SUMIFS('июнь 2024'!$G$4:$G$1823,'июнь 2024'!$D$4:$D$1823,$B16,'июнь 2024'!$J$4:$J$1823,M$1)</f>
        <v>0</v>
      </c>
      <c r="N16" s="80">
        <f>SUMIFS('июнь 2024'!$G$4:$G$1823,'июнь 2024'!$D$4:$D$1823,$B16,'июнь 2024'!$J$4:$J$1823,N$1)</f>
        <v>0</v>
      </c>
      <c r="O16" s="80">
        <f>SUMIFS('июнь 2024'!$G$4:$G$1823,'июнь 2024'!$D$4:$D$1823,$B16,'июнь 2024'!$J$4:$J$1823,O$1)</f>
        <v>0</v>
      </c>
      <c r="P16" s="80">
        <f>SUMIFS('июнь 2024'!$G$4:$G$1823,'июнь 2024'!$D$4:$D$1823,$B16,'июнь 2024'!$J$4:$J$1823,P$1)</f>
        <v>0</v>
      </c>
      <c r="Q16" s="80">
        <f>SUMIFS('июнь 2024'!$G$4:$G$1823,'июнь 2024'!$D$4:$D$1823,$B16,'июнь 2024'!$J$4:$J$1823,Q$1)</f>
        <v>0</v>
      </c>
      <c r="R16" s="80">
        <f>SUMIFS('июнь 2024'!$G$4:$G$1823,'июнь 2024'!$D$4:$D$1823,$B16,'июнь 2024'!$J$4:$J$1823,R$1)</f>
        <v>0</v>
      </c>
      <c r="S16" s="80">
        <f>SUMIFS('июнь 2024'!$G$4:$G$1823,'июнь 2024'!$D$4:$D$1823,$B16,'июнь 2024'!$J$4:$J$1823,S$1)</f>
        <v>0</v>
      </c>
      <c r="T16" s="80">
        <f>SUMIFS('июнь 2024'!$G$4:$G$1823,'июнь 2024'!$D$4:$D$1823,$B16,'июнь 2024'!$J$4:$J$1823,T$1)</f>
        <v>0</v>
      </c>
      <c r="U16" s="80">
        <f>SUMIFS('июнь 2024'!$G$4:$G$1823,'июнь 2024'!$D$4:$D$1823,$B16,'июнь 2024'!$J$4:$J$1823,U$1)</f>
        <v>0</v>
      </c>
      <c r="V16" s="80">
        <f>SUMIFS('июнь 2024'!$G$4:$G$1823,'июнь 2024'!$D$4:$D$1823,$B16,'июнь 2024'!$J$4:$J$1823,V$1)</f>
        <v>0</v>
      </c>
      <c r="W16" s="80">
        <f>SUMIFS('июнь 2024'!$G$4:$G$1823,'июнь 2024'!$D$4:$D$1823,$B16,'июнь 2024'!$J$4:$J$1823,W$1)</f>
        <v>0</v>
      </c>
      <c r="X16" s="80">
        <f>SUMIFS('июнь 2024'!$G$4:$G$1823,'июнь 2024'!$D$4:$D$1823,$B16,'июнь 2024'!$J$4:$J$1823,X$1)</f>
        <v>0</v>
      </c>
      <c r="Y16" s="80">
        <f>SUMIFS('июнь 2024'!$G$4:$G$1823,'июнь 2024'!$D$4:$D$1823,$B16,'июнь 2024'!$J$4:$J$1823,Y$1)</f>
        <v>0</v>
      </c>
      <c r="Z16" s="80">
        <f>SUMIFS('июнь 2024'!$G$4:$G$1823,'июнь 2024'!$D$4:$D$1823,$B16,'июнь 2024'!$J$4:$J$1823,Z$1)</f>
        <v>0</v>
      </c>
      <c r="AA16" s="80">
        <f>SUMIFS('июнь 2024'!$G$4:$G$1823,'июнь 2024'!$D$4:$D$1823,$B16,'июнь 2024'!$J$4:$J$1823,AA$1)</f>
        <v>0</v>
      </c>
      <c r="AB16" s="80">
        <f>SUMIFS('июнь 2024'!$G$4:$G$1823,'июнь 2024'!$D$4:$D$1823,$B16,'июнь 2024'!$J$4:$J$1823,AB$1)</f>
        <v>0</v>
      </c>
      <c r="AC16" s="80">
        <f>SUMIFS('июнь 2024'!$G$4:$G$1823,'июнь 2024'!$D$4:$D$1823,$B16,'июнь 2024'!$J$4:$J$1823,AC$1)</f>
        <v>0</v>
      </c>
      <c r="AD16" s="80">
        <f>SUMIFS('июнь 2024'!$G$4:$G$1823,'июнь 2024'!$D$4:$D$1823,$B16,'июнь 2024'!$J$4:$J$1823,AD$1)</f>
        <v>0</v>
      </c>
      <c r="AE16" s="80">
        <f>SUMIFS('июнь 2024'!$G$4:$G$1823,'июнь 2024'!$D$4:$D$1823,$B16,'июнь 2024'!$J$4:$J$1823,AE$1)</f>
        <v>0</v>
      </c>
      <c r="AF16" s="80">
        <f>SUMIFS('июнь 2024'!$G$4:$G$1823,'июнь 2024'!$D$4:$D$1823,$B16,'июнь 2024'!$J$4:$J$1823,AF$1)</f>
        <v>0</v>
      </c>
      <c r="AG16" s="80">
        <f>SUMIFS('июнь 2024'!$G$4:$G$1823,'июнь 2024'!$D$4:$D$1823,$B16,'июнь 2024'!$J$4:$J$1823,AG$1)</f>
        <v>0</v>
      </c>
      <c r="AH16" s="80">
        <f>SUMIFS('июнь 2024'!$G$4:$G$1823,'июнь 2024'!$D$4:$D$1823,$B16,'июнь 2024'!$J$4:$J$1823,AH$1)</f>
        <v>0</v>
      </c>
      <c r="AI16" s="21">
        <f t="shared" si="1"/>
        <v>0</v>
      </c>
    </row>
    <row r="17" spans="2:35" ht="15" customHeight="1" x14ac:dyDescent="0.25">
      <c r="B17" s="84" t="s">
        <v>299</v>
      </c>
      <c r="C17" s="85">
        <v>22.7</v>
      </c>
      <c r="D17" s="80">
        <f>SUMIFS('июнь 2024'!$G$4:$G$1823,'июнь 2024'!$D$4:$D$1823,$B17,'июнь 2024'!$J$4:$J$1823,D$1)</f>
        <v>0</v>
      </c>
      <c r="E17" s="80">
        <f>SUMIFS('июнь 2024'!$G$4:$G$1823,'июнь 2024'!$D$4:$D$1823,$B17,'июнь 2024'!$J$4:$J$1823,E$1)</f>
        <v>0</v>
      </c>
      <c r="F17" s="80">
        <f>SUMIFS('июнь 2024'!$G$4:$G$1823,'июнь 2024'!$D$4:$D$1823,$B17,'июнь 2024'!$J$4:$J$1823,F$1)</f>
        <v>0</v>
      </c>
      <c r="G17" s="80">
        <f>SUMIFS('июнь 2024'!$G$4:$G$1823,'июнь 2024'!$D$4:$D$1823,$B17,'июнь 2024'!$J$4:$J$1823,G$1)</f>
        <v>0</v>
      </c>
      <c r="H17" s="80">
        <f>SUMIFS('июнь 2024'!$G$4:$G$1823,'июнь 2024'!$D$4:$D$1823,$B17,'июнь 2024'!$J$4:$J$1823,H$1)</f>
        <v>0</v>
      </c>
      <c r="I17" s="80">
        <f>SUMIFS('июнь 2024'!$G$4:$G$1823,'июнь 2024'!$D$4:$D$1823,$B17,'июнь 2024'!$J$4:$J$1823,I$1)</f>
        <v>0</v>
      </c>
      <c r="J17" s="80">
        <f>SUMIFS('июнь 2024'!$G$4:$G$1823,'июнь 2024'!$D$4:$D$1823,$B17,'июнь 2024'!$J$4:$J$1823,J$1)</f>
        <v>0</v>
      </c>
      <c r="K17" s="80">
        <f>SUMIFS('июнь 2024'!$G$4:$G$1823,'июнь 2024'!$D$4:$D$1823,$B17,'июнь 2024'!$J$4:$J$1823,K$1)</f>
        <v>0</v>
      </c>
      <c r="L17" s="80">
        <f>SUMIFS('июнь 2024'!$G$4:$G$1823,'июнь 2024'!$D$4:$D$1823,$B17,'июнь 2024'!$J$4:$J$1823,L$1)</f>
        <v>0</v>
      </c>
      <c r="M17" s="80">
        <f>SUMIFS('июнь 2024'!$G$4:$G$1823,'июнь 2024'!$D$4:$D$1823,$B17,'июнь 2024'!$J$4:$J$1823,M$1)</f>
        <v>0</v>
      </c>
      <c r="N17" s="80">
        <f>SUMIFS('июнь 2024'!$G$4:$G$1823,'июнь 2024'!$D$4:$D$1823,$B17,'июнь 2024'!$J$4:$J$1823,N$1)</f>
        <v>0</v>
      </c>
      <c r="O17" s="80">
        <f>SUMIFS('июнь 2024'!$G$4:$G$1823,'июнь 2024'!$D$4:$D$1823,$B17,'июнь 2024'!$J$4:$J$1823,O$1)</f>
        <v>0</v>
      </c>
      <c r="P17" s="80">
        <f>SUMIFS('июнь 2024'!$G$4:$G$1823,'июнь 2024'!$D$4:$D$1823,$B17,'июнь 2024'!$J$4:$J$1823,P$1)</f>
        <v>0</v>
      </c>
      <c r="Q17" s="80">
        <f>SUMIFS('июнь 2024'!$G$4:$G$1823,'июнь 2024'!$D$4:$D$1823,$B17,'июнь 2024'!$J$4:$J$1823,Q$1)</f>
        <v>0</v>
      </c>
      <c r="R17" s="80">
        <f>SUMIFS('июнь 2024'!$G$4:$G$1823,'июнь 2024'!$D$4:$D$1823,$B17,'июнь 2024'!$J$4:$J$1823,R$1)</f>
        <v>0</v>
      </c>
      <c r="S17" s="80">
        <f>SUMIFS('июнь 2024'!$G$4:$G$1823,'июнь 2024'!$D$4:$D$1823,$B17,'июнь 2024'!$J$4:$J$1823,S$1)</f>
        <v>0</v>
      </c>
      <c r="T17" s="80">
        <f>SUMIFS('июнь 2024'!$G$4:$G$1823,'июнь 2024'!$D$4:$D$1823,$B17,'июнь 2024'!$J$4:$J$1823,T$1)</f>
        <v>0</v>
      </c>
      <c r="U17" s="80">
        <f>SUMIFS('июнь 2024'!$G$4:$G$1823,'июнь 2024'!$D$4:$D$1823,$B17,'июнь 2024'!$J$4:$J$1823,U$1)</f>
        <v>0</v>
      </c>
      <c r="V17" s="80">
        <f>SUMIFS('июнь 2024'!$G$4:$G$1823,'июнь 2024'!$D$4:$D$1823,$B17,'июнь 2024'!$J$4:$J$1823,V$1)</f>
        <v>0</v>
      </c>
      <c r="W17" s="80">
        <f>SUMIFS('июнь 2024'!$G$4:$G$1823,'июнь 2024'!$D$4:$D$1823,$B17,'июнь 2024'!$J$4:$J$1823,W$1)</f>
        <v>0</v>
      </c>
      <c r="X17" s="80">
        <f>SUMIFS('июнь 2024'!$G$4:$G$1823,'июнь 2024'!$D$4:$D$1823,$B17,'июнь 2024'!$J$4:$J$1823,X$1)</f>
        <v>0</v>
      </c>
      <c r="Y17" s="80">
        <f>SUMIFS('июнь 2024'!$G$4:$G$1823,'июнь 2024'!$D$4:$D$1823,$B17,'июнь 2024'!$J$4:$J$1823,Y$1)</f>
        <v>0</v>
      </c>
      <c r="Z17" s="80">
        <f>SUMIFS('июнь 2024'!$G$4:$G$1823,'июнь 2024'!$D$4:$D$1823,$B17,'июнь 2024'!$J$4:$J$1823,Z$1)</f>
        <v>0</v>
      </c>
      <c r="AA17" s="80">
        <f>SUMIFS('июнь 2024'!$G$4:$G$1823,'июнь 2024'!$D$4:$D$1823,$B17,'июнь 2024'!$J$4:$J$1823,AA$1)</f>
        <v>0</v>
      </c>
      <c r="AB17" s="80">
        <f>SUMIFS('июнь 2024'!$G$4:$G$1823,'июнь 2024'!$D$4:$D$1823,$B17,'июнь 2024'!$J$4:$J$1823,AB$1)</f>
        <v>0</v>
      </c>
      <c r="AC17" s="80">
        <f>SUMIFS('июнь 2024'!$G$4:$G$1823,'июнь 2024'!$D$4:$D$1823,$B17,'июнь 2024'!$J$4:$J$1823,AC$1)</f>
        <v>0</v>
      </c>
      <c r="AD17" s="80">
        <f>SUMIFS('июнь 2024'!$G$4:$G$1823,'июнь 2024'!$D$4:$D$1823,$B17,'июнь 2024'!$J$4:$J$1823,AD$1)</f>
        <v>0</v>
      </c>
      <c r="AE17" s="80">
        <f>SUMIFS('июнь 2024'!$G$4:$G$1823,'июнь 2024'!$D$4:$D$1823,$B17,'июнь 2024'!$J$4:$J$1823,AE$1)</f>
        <v>0</v>
      </c>
      <c r="AF17" s="80">
        <f>SUMIFS('июнь 2024'!$G$4:$G$1823,'июнь 2024'!$D$4:$D$1823,$B17,'июнь 2024'!$J$4:$J$1823,AF$1)</f>
        <v>0</v>
      </c>
      <c r="AG17" s="80">
        <f>SUMIFS('июнь 2024'!$G$4:$G$1823,'июнь 2024'!$D$4:$D$1823,$B17,'июнь 2024'!$J$4:$J$1823,AG$1)</f>
        <v>0</v>
      </c>
      <c r="AH17" s="80">
        <f>SUMIFS('июнь 2024'!$G$4:$G$1823,'июнь 2024'!$D$4:$D$1823,$B17,'июнь 2024'!$J$4:$J$1823,AH$1)</f>
        <v>0</v>
      </c>
      <c r="AI17" s="21">
        <f t="shared" si="1"/>
        <v>0</v>
      </c>
    </row>
    <row r="18" spans="2:35" ht="15" customHeight="1" x14ac:dyDescent="0.25">
      <c r="B18" s="84" t="s">
        <v>301</v>
      </c>
      <c r="C18" s="85">
        <v>25</v>
      </c>
      <c r="D18" s="80">
        <f>SUMIFS('июнь 2024'!$G$4:$G$1823,'июнь 2024'!$D$4:$D$1823,$B18,'июнь 2024'!$J$4:$J$1823,D$1)</f>
        <v>0</v>
      </c>
      <c r="E18" s="80">
        <f>SUMIFS('июнь 2024'!$G$4:$G$1823,'июнь 2024'!$D$4:$D$1823,$B18,'июнь 2024'!$J$4:$J$1823,E$1)</f>
        <v>0</v>
      </c>
      <c r="F18" s="80">
        <f>SUMIFS('июнь 2024'!$G$4:$G$1823,'июнь 2024'!$D$4:$D$1823,$B18,'июнь 2024'!$J$4:$J$1823,F$1)</f>
        <v>0</v>
      </c>
      <c r="G18" s="80">
        <f>SUMIFS('июнь 2024'!$G$4:$G$1823,'июнь 2024'!$D$4:$D$1823,$B18,'июнь 2024'!$J$4:$J$1823,G$1)</f>
        <v>0</v>
      </c>
      <c r="H18" s="80">
        <f>SUMIFS('июнь 2024'!$G$4:$G$1823,'июнь 2024'!$D$4:$D$1823,$B18,'июнь 2024'!$J$4:$J$1823,H$1)</f>
        <v>0</v>
      </c>
      <c r="I18" s="80">
        <f>SUMIFS('июнь 2024'!$G$4:$G$1823,'июнь 2024'!$D$4:$D$1823,$B18,'июнь 2024'!$J$4:$J$1823,I$1)</f>
        <v>0</v>
      </c>
      <c r="J18" s="80">
        <f>SUMIFS('июнь 2024'!$G$4:$G$1823,'июнь 2024'!$D$4:$D$1823,$B18,'июнь 2024'!$J$4:$J$1823,J$1)</f>
        <v>1400</v>
      </c>
      <c r="K18" s="80">
        <f>SUMIFS('июнь 2024'!$G$4:$G$1823,'июнь 2024'!$D$4:$D$1823,$B18,'июнь 2024'!$J$4:$J$1823,K$1)</f>
        <v>0</v>
      </c>
      <c r="L18" s="80">
        <f>SUMIFS('июнь 2024'!$G$4:$G$1823,'июнь 2024'!$D$4:$D$1823,$B18,'июнь 2024'!$J$4:$J$1823,L$1)</f>
        <v>0</v>
      </c>
      <c r="M18" s="80">
        <f>SUMIFS('июнь 2024'!$G$4:$G$1823,'июнь 2024'!$D$4:$D$1823,$B18,'июнь 2024'!$J$4:$J$1823,M$1)</f>
        <v>0</v>
      </c>
      <c r="N18" s="80">
        <f>SUMIFS('июнь 2024'!$G$4:$G$1823,'июнь 2024'!$D$4:$D$1823,$B18,'июнь 2024'!$J$4:$J$1823,N$1)</f>
        <v>1400</v>
      </c>
      <c r="O18" s="80">
        <f>SUMIFS('июнь 2024'!$G$4:$G$1823,'июнь 2024'!$D$4:$D$1823,$B18,'июнь 2024'!$J$4:$J$1823,O$1)</f>
        <v>0</v>
      </c>
      <c r="P18" s="80">
        <f>SUMIFS('июнь 2024'!$G$4:$G$1823,'июнь 2024'!$D$4:$D$1823,$B18,'июнь 2024'!$J$4:$J$1823,P$1)</f>
        <v>0</v>
      </c>
      <c r="Q18" s="80">
        <f>SUMIFS('июнь 2024'!$G$4:$G$1823,'июнь 2024'!$D$4:$D$1823,$B18,'июнь 2024'!$J$4:$J$1823,Q$1)</f>
        <v>0</v>
      </c>
      <c r="R18" s="80">
        <f>SUMIFS('июнь 2024'!$G$4:$G$1823,'июнь 2024'!$D$4:$D$1823,$B18,'июнь 2024'!$J$4:$J$1823,R$1)</f>
        <v>0</v>
      </c>
      <c r="S18" s="80">
        <f>SUMIFS('июнь 2024'!$G$4:$G$1823,'июнь 2024'!$D$4:$D$1823,$B18,'июнь 2024'!$J$4:$J$1823,S$1)</f>
        <v>0</v>
      </c>
      <c r="T18" s="80">
        <f>SUMIFS('июнь 2024'!$G$4:$G$1823,'июнь 2024'!$D$4:$D$1823,$B18,'июнь 2024'!$J$4:$J$1823,T$1)</f>
        <v>0</v>
      </c>
      <c r="U18" s="80">
        <f>SUMIFS('июнь 2024'!$G$4:$G$1823,'июнь 2024'!$D$4:$D$1823,$B18,'июнь 2024'!$J$4:$J$1823,U$1)</f>
        <v>0</v>
      </c>
      <c r="V18" s="80">
        <f>SUMIFS('июнь 2024'!$G$4:$G$1823,'июнь 2024'!$D$4:$D$1823,$B18,'июнь 2024'!$J$4:$J$1823,V$1)</f>
        <v>0</v>
      </c>
      <c r="W18" s="80">
        <f>SUMIFS('июнь 2024'!$G$4:$G$1823,'июнь 2024'!$D$4:$D$1823,$B18,'июнь 2024'!$J$4:$J$1823,W$1)</f>
        <v>0</v>
      </c>
      <c r="X18" s="80">
        <f>SUMIFS('июнь 2024'!$G$4:$G$1823,'июнь 2024'!$D$4:$D$1823,$B18,'июнь 2024'!$J$4:$J$1823,X$1)</f>
        <v>0</v>
      </c>
      <c r="Y18" s="80">
        <f>SUMIFS('июнь 2024'!$G$4:$G$1823,'июнь 2024'!$D$4:$D$1823,$B18,'июнь 2024'!$J$4:$J$1823,Y$1)</f>
        <v>0</v>
      </c>
      <c r="Z18" s="80">
        <f>SUMIFS('июнь 2024'!$G$4:$G$1823,'июнь 2024'!$D$4:$D$1823,$B18,'июнь 2024'!$J$4:$J$1823,Z$1)</f>
        <v>0</v>
      </c>
      <c r="AA18" s="80">
        <f>SUMIFS('июнь 2024'!$G$4:$G$1823,'июнь 2024'!$D$4:$D$1823,$B18,'июнь 2024'!$J$4:$J$1823,AA$1)</f>
        <v>0</v>
      </c>
      <c r="AB18" s="80">
        <f>SUMIFS('июнь 2024'!$G$4:$G$1823,'июнь 2024'!$D$4:$D$1823,$B18,'июнь 2024'!$J$4:$J$1823,AB$1)</f>
        <v>0</v>
      </c>
      <c r="AC18" s="80">
        <f>SUMIFS('июнь 2024'!$G$4:$G$1823,'июнь 2024'!$D$4:$D$1823,$B18,'июнь 2024'!$J$4:$J$1823,AC$1)</f>
        <v>0</v>
      </c>
      <c r="AD18" s="80">
        <f>SUMIFS('июнь 2024'!$G$4:$G$1823,'июнь 2024'!$D$4:$D$1823,$B18,'июнь 2024'!$J$4:$J$1823,AD$1)</f>
        <v>0</v>
      </c>
      <c r="AE18" s="80">
        <f>SUMIFS('июнь 2024'!$G$4:$G$1823,'июнь 2024'!$D$4:$D$1823,$B18,'июнь 2024'!$J$4:$J$1823,AE$1)</f>
        <v>0</v>
      </c>
      <c r="AF18" s="80">
        <f>SUMIFS('июнь 2024'!$G$4:$G$1823,'июнь 2024'!$D$4:$D$1823,$B18,'июнь 2024'!$J$4:$J$1823,AF$1)</f>
        <v>0</v>
      </c>
      <c r="AG18" s="80">
        <f>SUMIFS('июнь 2024'!$G$4:$G$1823,'июнь 2024'!$D$4:$D$1823,$B18,'июнь 2024'!$J$4:$J$1823,AG$1)</f>
        <v>0</v>
      </c>
      <c r="AH18" s="80">
        <f>SUMIFS('июнь 2024'!$G$4:$G$1823,'июнь 2024'!$D$4:$D$1823,$B18,'июнь 2024'!$J$4:$J$1823,AH$1)</f>
        <v>0</v>
      </c>
      <c r="AI18" s="21">
        <f t="shared" si="1"/>
        <v>2800</v>
      </c>
    </row>
    <row r="19" spans="2:35" ht="15" customHeight="1" x14ac:dyDescent="0.25">
      <c r="B19" s="81" t="s">
        <v>303</v>
      </c>
      <c r="C19" s="82">
        <v>25</v>
      </c>
      <c r="D19" s="80">
        <f>SUMIFS('июнь 2024'!$G$4:$G$1823,'июнь 2024'!$D$4:$D$1823,$B19,'июнь 2024'!$J$4:$J$1823,D$1)</f>
        <v>0</v>
      </c>
      <c r="E19" s="80">
        <f>SUMIFS('июнь 2024'!$G$4:$G$1823,'июнь 2024'!$D$4:$D$1823,$B19,'июнь 2024'!$J$4:$J$1823,E$1)</f>
        <v>0</v>
      </c>
      <c r="F19" s="80">
        <f>SUMIFS('июнь 2024'!$G$4:$G$1823,'июнь 2024'!$D$4:$D$1823,$B19,'июнь 2024'!$J$4:$J$1823,F$1)</f>
        <v>0</v>
      </c>
      <c r="G19" s="80">
        <f>SUMIFS('июнь 2024'!$G$4:$G$1823,'июнь 2024'!$D$4:$D$1823,$B19,'июнь 2024'!$J$4:$J$1823,G$1)</f>
        <v>0</v>
      </c>
      <c r="H19" s="80">
        <f>SUMIFS('июнь 2024'!$G$4:$G$1823,'июнь 2024'!$D$4:$D$1823,$B19,'июнь 2024'!$J$4:$J$1823,H$1)</f>
        <v>0</v>
      </c>
      <c r="I19" s="80">
        <f>SUMIFS('июнь 2024'!$G$4:$G$1823,'июнь 2024'!$D$4:$D$1823,$B19,'июнь 2024'!$J$4:$J$1823,I$1)</f>
        <v>0</v>
      </c>
      <c r="J19" s="80">
        <f>SUMIFS('июнь 2024'!$G$4:$G$1823,'июнь 2024'!$D$4:$D$1823,$B19,'июнь 2024'!$J$4:$J$1823,J$1)</f>
        <v>0</v>
      </c>
      <c r="K19" s="80">
        <f>SUMIFS('июнь 2024'!$G$4:$G$1823,'июнь 2024'!$D$4:$D$1823,$B19,'июнь 2024'!$J$4:$J$1823,K$1)</f>
        <v>0</v>
      </c>
      <c r="L19" s="80">
        <f>SUMIFS('июнь 2024'!$G$4:$G$1823,'июнь 2024'!$D$4:$D$1823,$B19,'июнь 2024'!$J$4:$J$1823,L$1)</f>
        <v>0</v>
      </c>
      <c r="M19" s="80">
        <f>SUMIFS('июнь 2024'!$G$4:$G$1823,'июнь 2024'!$D$4:$D$1823,$B19,'июнь 2024'!$J$4:$J$1823,M$1)</f>
        <v>0</v>
      </c>
      <c r="N19" s="80">
        <f>SUMIFS('июнь 2024'!$G$4:$G$1823,'июнь 2024'!$D$4:$D$1823,$B19,'июнь 2024'!$J$4:$J$1823,N$1)</f>
        <v>0</v>
      </c>
      <c r="O19" s="80">
        <f>SUMIFS('июнь 2024'!$G$4:$G$1823,'июнь 2024'!$D$4:$D$1823,$B19,'июнь 2024'!$J$4:$J$1823,O$1)</f>
        <v>0</v>
      </c>
      <c r="P19" s="80">
        <f>SUMIFS('июнь 2024'!$G$4:$G$1823,'июнь 2024'!$D$4:$D$1823,$B19,'июнь 2024'!$J$4:$J$1823,P$1)</f>
        <v>0</v>
      </c>
      <c r="Q19" s="80">
        <f>SUMIFS('июнь 2024'!$G$4:$G$1823,'июнь 2024'!$D$4:$D$1823,$B19,'июнь 2024'!$J$4:$J$1823,Q$1)</f>
        <v>0</v>
      </c>
      <c r="R19" s="80">
        <f>SUMIFS('июнь 2024'!$G$4:$G$1823,'июнь 2024'!$D$4:$D$1823,$B19,'июнь 2024'!$J$4:$J$1823,R$1)</f>
        <v>0</v>
      </c>
      <c r="S19" s="80">
        <f>SUMIFS('июнь 2024'!$G$4:$G$1823,'июнь 2024'!$D$4:$D$1823,$B19,'июнь 2024'!$J$4:$J$1823,S$1)</f>
        <v>0</v>
      </c>
      <c r="T19" s="80">
        <f>SUMIFS('июнь 2024'!$G$4:$G$1823,'июнь 2024'!$D$4:$D$1823,$B19,'июнь 2024'!$J$4:$J$1823,T$1)</f>
        <v>0</v>
      </c>
      <c r="U19" s="80">
        <f>SUMIFS('июнь 2024'!$G$4:$G$1823,'июнь 2024'!$D$4:$D$1823,$B19,'июнь 2024'!$J$4:$J$1823,U$1)</f>
        <v>0</v>
      </c>
      <c r="V19" s="80">
        <f>SUMIFS('июнь 2024'!$G$4:$G$1823,'июнь 2024'!$D$4:$D$1823,$B19,'июнь 2024'!$J$4:$J$1823,V$1)</f>
        <v>0</v>
      </c>
      <c r="W19" s="80">
        <f>SUMIFS('июнь 2024'!$G$4:$G$1823,'июнь 2024'!$D$4:$D$1823,$B19,'июнь 2024'!$J$4:$J$1823,W$1)</f>
        <v>0</v>
      </c>
      <c r="X19" s="80">
        <f>SUMIFS('июнь 2024'!$G$4:$G$1823,'июнь 2024'!$D$4:$D$1823,$B19,'июнь 2024'!$J$4:$J$1823,X$1)</f>
        <v>0</v>
      </c>
      <c r="Y19" s="80">
        <f>SUMIFS('июнь 2024'!$G$4:$G$1823,'июнь 2024'!$D$4:$D$1823,$B19,'июнь 2024'!$J$4:$J$1823,Y$1)</f>
        <v>0</v>
      </c>
      <c r="Z19" s="80">
        <f>SUMIFS('июнь 2024'!$G$4:$G$1823,'июнь 2024'!$D$4:$D$1823,$B19,'июнь 2024'!$J$4:$J$1823,Z$1)</f>
        <v>0</v>
      </c>
      <c r="AA19" s="80">
        <f>SUMIFS('июнь 2024'!$G$4:$G$1823,'июнь 2024'!$D$4:$D$1823,$B19,'июнь 2024'!$J$4:$J$1823,AA$1)</f>
        <v>0</v>
      </c>
      <c r="AB19" s="80">
        <f>SUMIFS('июнь 2024'!$G$4:$G$1823,'июнь 2024'!$D$4:$D$1823,$B19,'июнь 2024'!$J$4:$J$1823,AB$1)</f>
        <v>0</v>
      </c>
      <c r="AC19" s="80">
        <f>SUMIFS('июнь 2024'!$G$4:$G$1823,'июнь 2024'!$D$4:$D$1823,$B19,'июнь 2024'!$J$4:$J$1823,AC$1)</f>
        <v>0</v>
      </c>
      <c r="AD19" s="80">
        <f>SUMIFS('июнь 2024'!$G$4:$G$1823,'июнь 2024'!$D$4:$D$1823,$B19,'июнь 2024'!$J$4:$J$1823,AD$1)</f>
        <v>0</v>
      </c>
      <c r="AE19" s="80">
        <f>SUMIFS('июнь 2024'!$G$4:$G$1823,'июнь 2024'!$D$4:$D$1823,$B19,'июнь 2024'!$J$4:$J$1823,AE$1)</f>
        <v>0</v>
      </c>
      <c r="AF19" s="80">
        <f>SUMIFS('июнь 2024'!$G$4:$G$1823,'июнь 2024'!$D$4:$D$1823,$B19,'июнь 2024'!$J$4:$J$1823,AF$1)</f>
        <v>0</v>
      </c>
      <c r="AG19" s="80">
        <f>SUMIFS('июнь 2024'!$G$4:$G$1823,'июнь 2024'!$D$4:$D$1823,$B19,'июнь 2024'!$J$4:$J$1823,AG$1)</f>
        <v>0</v>
      </c>
      <c r="AH19" s="80">
        <f>SUMIFS('июнь 2024'!$G$4:$G$1823,'июнь 2024'!$D$4:$D$1823,$B19,'июнь 2024'!$J$4:$J$1823,AH$1)</f>
        <v>0</v>
      </c>
      <c r="AI19" s="21">
        <f t="shared" si="1"/>
        <v>0</v>
      </c>
    </row>
    <row r="20" spans="2:35" ht="15" customHeight="1" x14ac:dyDescent="0.25">
      <c r="B20" s="81" t="s">
        <v>305</v>
      </c>
      <c r="C20" s="82">
        <v>25</v>
      </c>
      <c r="D20" s="80">
        <f>SUMIFS('июнь 2024'!$G$4:$G$1823,'июнь 2024'!$D$4:$D$1823,$B20,'июнь 2024'!$J$4:$J$1823,D$1)</f>
        <v>0</v>
      </c>
      <c r="E20" s="80">
        <f>SUMIFS('июнь 2024'!$G$4:$G$1823,'июнь 2024'!$D$4:$D$1823,$B20,'июнь 2024'!$J$4:$J$1823,E$1)</f>
        <v>0</v>
      </c>
      <c r="F20" s="80">
        <f>SUMIFS('июнь 2024'!$G$4:$G$1823,'июнь 2024'!$D$4:$D$1823,$B20,'июнь 2024'!$J$4:$J$1823,F$1)</f>
        <v>0</v>
      </c>
      <c r="G20" s="80">
        <f>SUMIFS('июнь 2024'!$G$4:$G$1823,'июнь 2024'!$D$4:$D$1823,$B20,'июнь 2024'!$J$4:$J$1823,G$1)</f>
        <v>0</v>
      </c>
      <c r="H20" s="80">
        <f>SUMIFS('июнь 2024'!$G$4:$G$1823,'июнь 2024'!$D$4:$D$1823,$B20,'июнь 2024'!$J$4:$J$1823,H$1)</f>
        <v>0</v>
      </c>
      <c r="I20" s="80">
        <f>SUMIFS('июнь 2024'!$G$4:$G$1823,'июнь 2024'!$D$4:$D$1823,$B20,'июнь 2024'!$J$4:$J$1823,I$1)</f>
        <v>0</v>
      </c>
      <c r="J20" s="80">
        <f>SUMIFS('июнь 2024'!$G$4:$G$1823,'июнь 2024'!$D$4:$D$1823,$B20,'июнь 2024'!$J$4:$J$1823,J$1)</f>
        <v>0</v>
      </c>
      <c r="K20" s="80">
        <f>SUMIFS('июнь 2024'!$G$4:$G$1823,'июнь 2024'!$D$4:$D$1823,$B20,'июнь 2024'!$J$4:$J$1823,K$1)</f>
        <v>0</v>
      </c>
      <c r="L20" s="80">
        <f>SUMIFS('июнь 2024'!$G$4:$G$1823,'июнь 2024'!$D$4:$D$1823,$B20,'июнь 2024'!$J$4:$J$1823,L$1)</f>
        <v>0</v>
      </c>
      <c r="M20" s="80">
        <f>SUMIFS('июнь 2024'!$G$4:$G$1823,'июнь 2024'!$D$4:$D$1823,$B20,'июнь 2024'!$J$4:$J$1823,M$1)</f>
        <v>0</v>
      </c>
      <c r="N20" s="80">
        <f>SUMIFS('июнь 2024'!$G$4:$G$1823,'июнь 2024'!$D$4:$D$1823,$B20,'июнь 2024'!$J$4:$J$1823,N$1)</f>
        <v>0</v>
      </c>
      <c r="O20" s="80">
        <f>SUMIFS('июнь 2024'!$G$4:$G$1823,'июнь 2024'!$D$4:$D$1823,$B20,'июнь 2024'!$J$4:$J$1823,O$1)</f>
        <v>0</v>
      </c>
      <c r="P20" s="80">
        <f>SUMIFS('июнь 2024'!$G$4:$G$1823,'июнь 2024'!$D$4:$D$1823,$B20,'июнь 2024'!$J$4:$J$1823,P$1)</f>
        <v>0</v>
      </c>
      <c r="Q20" s="80">
        <f>SUMIFS('июнь 2024'!$G$4:$G$1823,'июнь 2024'!$D$4:$D$1823,$B20,'июнь 2024'!$J$4:$J$1823,Q$1)</f>
        <v>0</v>
      </c>
      <c r="R20" s="80">
        <f>SUMIFS('июнь 2024'!$G$4:$G$1823,'июнь 2024'!$D$4:$D$1823,$B20,'июнь 2024'!$J$4:$J$1823,R$1)</f>
        <v>0</v>
      </c>
      <c r="S20" s="80">
        <f>SUMIFS('июнь 2024'!$G$4:$G$1823,'июнь 2024'!$D$4:$D$1823,$B20,'июнь 2024'!$J$4:$J$1823,S$1)</f>
        <v>0</v>
      </c>
      <c r="T20" s="80">
        <f>SUMIFS('июнь 2024'!$G$4:$G$1823,'июнь 2024'!$D$4:$D$1823,$B20,'июнь 2024'!$J$4:$J$1823,T$1)</f>
        <v>0</v>
      </c>
      <c r="U20" s="80">
        <f>SUMIFS('июнь 2024'!$G$4:$G$1823,'июнь 2024'!$D$4:$D$1823,$B20,'июнь 2024'!$J$4:$J$1823,U$1)</f>
        <v>1600</v>
      </c>
      <c r="V20" s="80">
        <f>SUMIFS('июнь 2024'!$G$4:$G$1823,'июнь 2024'!$D$4:$D$1823,$B20,'июнь 2024'!$J$4:$J$1823,V$1)</f>
        <v>0</v>
      </c>
      <c r="W20" s="80">
        <f>SUMIFS('июнь 2024'!$G$4:$G$1823,'июнь 2024'!$D$4:$D$1823,$B20,'июнь 2024'!$J$4:$J$1823,W$1)</f>
        <v>0</v>
      </c>
      <c r="X20" s="80">
        <f>SUMIFS('июнь 2024'!$G$4:$G$1823,'июнь 2024'!$D$4:$D$1823,$B20,'июнь 2024'!$J$4:$J$1823,X$1)</f>
        <v>0</v>
      </c>
      <c r="Y20" s="80">
        <f>SUMIFS('июнь 2024'!$G$4:$G$1823,'июнь 2024'!$D$4:$D$1823,$B20,'июнь 2024'!$J$4:$J$1823,Y$1)</f>
        <v>0</v>
      </c>
      <c r="Z20" s="80">
        <f>SUMIFS('июнь 2024'!$G$4:$G$1823,'июнь 2024'!$D$4:$D$1823,$B20,'июнь 2024'!$J$4:$J$1823,Z$1)</f>
        <v>0</v>
      </c>
      <c r="AA20" s="80">
        <f>SUMIFS('июнь 2024'!$G$4:$G$1823,'июнь 2024'!$D$4:$D$1823,$B20,'июнь 2024'!$J$4:$J$1823,AA$1)</f>
        <v>0</v>
      </c>
      <c r="AB20" s="80">
        <f>SUMIFS('июнь 2024'!$G$4:$G$1823,'июнь 2024'!$D$4:$D$1823,$B20,'июнь 2024'!$J$4:$J$1823,AB$1)</f>
        <v>0</v>
      </c>
      <c r="AC20" s="80">
        <f>SUMIFS('июнь 2024'!$G$4:$G$1823,'июнь 2024'!$D$4:$D$1823,$B20,'июнь 2024'!$J$4:$J$1823,AC$1)</f>
        <v>0</v>
      </c>
      <c r="AD20" s="80">
        <f>SUMIFS('июнь 2024'!$G$4:$G$1823,'июнь 2024'!$D$4:$D$1823,$B20,'июнь 2024'!$J$4:$J$1823,AD$1)</f>
        <v>0</v>
      </c>
      <c r="AE20" s="80">
        <f>SUMIFS('июнь 2024'!$G$4:$G$1823,'июнь 2024'!$D$4:$D$1823,$B20,'июнь 2024'!$J$4:$J$1823,AE$1)</f>
        <v>0</v>
      </c>
      <c r="AF20" s="80">
        <f>SUMIFS('июнь 2024'!$G$4:$G$1823,'июнь 2024'!$D$4:$D$1823,$B20,'июнь 2024'!$J$4:$J$1823,AF$1)</f>
        <v>0</v>
      </c>
      <c r="AG20" s="80">
        <f>SUMIFS('июнь 2024'!$G$4:$G$1823,'июнь 2024'!$D$4:$D$1823,$B20,'июнь 2024'!$J$4:$J$1823,AG$1)</f>
        <v>0</v>
      </c>
      <c r="AH20" s="80">
        <f>SUMIFS('июнь 2024'!$G$4:$G$1823,'июнь 2024'!$D$4:$D$1823,$B20,'июнь 2024'!$J$4:$J$1823,AH$1)</f>
        <v>0</v>
      </c>
      <c r="AI20" s="21">
        <f t="shared" si="1"/>
        <v>1600</v>
      </c>
    </row>
    <row r="21" spans="2:35" ht="15" customHeight="1" x14ac:dyDescent="0.25">
      <c r="B21" s="81" t="s">
        <v>307</v>
      </c>
      <c r="C21" s="82">
        <v>25</v>
      </c>
      <c r="D21" s="80">
        <f>SUMIFS('июнь 2024'!$G$4:$G$1823,'июнь 2024'!$D$4:$D$1823,$B21,'июнь 2024'!$J$4:$J$1823,D$1)</f>
        <v>0</v>
      </c>
      <c r="E21" s="80">
        <f>SUMIFS('июнь 2024'!$G$4:$G$1823,'июнь 2024'!$D$4:$D$1823,$B21,'июнь 2024'!$J$4:$J$1823,E$1)</f>
        <v>0</v>
      </c>
      <c r="F21" s="80">
        <f>SUMIFS('июнь 2024'!$G$4:$G$1823,'июнь 2024'!$D$4:$D$1823,$B21,'июнь 2024'!$J$4:$J$1823,F$1)</f>
        <v>0</v>
      </c>
      <c r="G21" s="80">
        <f>SUMIFS('июнь 2024'!$G$4:$G$1823,'июнь 2024'!$D$4:$D$1823,$B21,'июнь 2024'!$J$4:$J$1823,G$1)</f>
        <v>0</v>
      </c>
      <c r="H21" s="80">
        <f>SUMIFS('июнь 2024'!$G$4:$G$1823,'июнь 2024'!$D$4:$D$1823,$B21,'июнь 2024'!$J$4:$J$1823,H$1)</f>
        <v>0</v>
      </c>
      <c r="I21" s="80">
        <f>SUMIFS('июнь 2024'!$G$4:$G$1823,'июнь 2024'!$D$4:$D$1823,$B21,'июнь 2024'!$J$4:$J$1823,I$1)</f>
        <v>0</v>
      </c>
      <c r="J21" s="80">
        <f>SUMIFS('июнь 2024'!$G$4:$G$1823,'июнь 2024'!$D$4:$D$1823,$B21,'июнь 2024'!$J$4:$J$1823,J$1)</f>
        <v>0</v>
      </c>
      <c r="K21" s="80">
        <f>SUMIFS('июнь 2024'!$G$4:$G$1823,'июнь 2024'!$D$4:$D$1823,$B21,'июнь 2024'!$J$4:$J$1823,K$1)</f>
        <v>0</v>
      </c>
      <c r="L21" s="80">
        <f>SUMIFS('июнь 2024'!$G$4:$G$1823,'июнь 2024'!$D$4:$D$1823,$B21,'июнь 2024'!$J$4:$J$1823,L$1)</f>
        <v>0</v>
      </c>
      <c r="M21" s="80">
        <f>SUMIFS('июнь 2024'!$G$4:$G$1823,'июнь 2024'!$D$4:$D$1823,$B21,'июнь 2024'!$J$4:$J$1823,M$1)</f>
        <v>0</v>
      </c>
      <c r="N21" s="80">
        <f>SUMIFS('июнь 2024'!$G$4:$G$1823,'июнь 2024'!$D$4:$D$1823,$B21,'июнь 2024'!$J$4:$J$1823,N$1)</f>
        <v>0</v>
      </c>
      <c r="O21" s="80">
        <f>SUMIFS('июнь 2024'!$G$4:$G$1823,'июнь 2024'!$D$4:$D$1823,$B21,'июнь 2024'!$J$4:$J$1823,O$1)</f>
        <v>0</v>
      </c>
      <c r="P21" s="80">
        <f>SUMIFS('июнь 2024'!$G$4:$G$1823,'июнь 2024'!$D$4:$D$1823,$B21,'июнь 2024'!$J$4:$J$1823,P$1)</f>
        <v>0</v>
      </c>
      <c r="Q21" s="80">
        <f>SUMIFS('июнь 2024'!$G$4:$G$1823,'июнь 2024'!$D$4:$D$1823,$B21,'июнь 2024'!$J$4:$J$1823,Q$1)</f>
        <v>0</v>
      </c>
      <c r="R21" s="80">
        <f>SUMIFS('июнь 2024'!$G$4:$G$1823,'июнь 2024'!$D$4:$D$1823,$B21,'июнь 2024'!$J$4:$J$1823,R$1)</f>
        <v>0</v>
      </c>
      <c r="S21" s="80">
        <f>SUMIFS('июнь 2024'!$G$4:$G$1823,'июнь 2024'!$D$4:$D$1823,$B21,'июнь 2024'!$J$4:$J$1823,S$1)</f>
        <v>0</v>
      </c>
      <c r="T21" s="80">
        <f>SUMIFS('июнь 2024'!$G$4:$G$1823,'июнь 2024'!$D$4:$D$1823,$B21,'июнь 2024'!$J$4:$J$1823,T$1)</f>
        <v>0</v>
      </c>
      <c r="U21" s="80">
        <f>SUMIFS('июнь 2024'!$G$4:$G$1823,'июнь 2024'!$D$4:$D$1823,$B21,'июнь 2024'!$J$4:$J$1823,U$1)</f>
        <v>0</v>
      </c>
      <c r="V21" s="80">
        <f>SUMIFS('июнь 2024'!$G$4:$G$1823,'июнь 2024'!$D$4:$D$1823,$B21,'июнь 2024'!$J$4:$J$1823,V$1)</f>
        <v>0</v>
      </c>
      <c r="W21" s="80">
        <f>SUMIFS('июнь 2024'!$G$4:$G$1823,'июнь 2024'!$D$4:$D$1823,$B21,'июнь 2024'!$J$4:$J$1823,W$1)</f>
        <v>0</v>
      </c>
      <c r="X21" s="80">
        <f>SUMIFS('июнь 2024'!$G$4:$G$1823,'июнь 2024'!$D$4:$D$1823,$B21,'июнь 2024'!$J$4:$J$1823,X$1)</f>
        <v>0</v>
      </c>
      <c r="Y21" s="80">
        <f>SUMIFS('июнь 2024'!$G$4:$G$1823,'июнь 2024'!$D$4:$D$1823,$B21,'июнь 2024'!$J$4:$J$1823,Y$1)</f>
        <v>0</v>
      </c>
      <c r="Z21" s="80">
        <f>SUMIFS('июнь 2024'!$G$4:$G$1823,'июнь 2024'!$D$4:$D$1823,$B21,'июнь 2024'!$J$4:$J$1823,Z$1)</f>
        <v>0</v>
      </c>
      <c r="AA21" s="80">
        <f>SUMIFS('июнь 2024'!$G$4:$G$1823,'июнь 2024'!$D$4:$D$1823,$B21,'июнь 2024'!$J$4:$J$1823,AA$1)</f>
        <v>0</v>
      </c>
      <c r="AB21" s="80">
        <f>SUMIFS('июнь 2024'!$G$4:$G$1823,'июнь 2024'!$D$4:$D$1823,$B21,'июнь 2024'!$J$4:$J$1823,AB$1)</f>
        <v>0</v>
      </c>
      <c r="AC21" s="80">
        <f>SUMIFS('июнь 2024'!$G$4:$G$1823,'июнь 2024'!$D$4:$D$1823,$B21,'июнь 2024'!$J$4:$J$1823,AC$1)</f>
        <v>0</v>
      </c>
      <c r="AD21" s="80">
        <f>SUMIFS('июнь 2024'!$G$4:$G$1823,'июнь 2024'!$D$4:$D$1823,$B21,'июнь 2024'!$J$4:$J$1823,AD$1)</f>
        <v>0</v>
      </c>
      <c r="AE21" s="80">
        <f>SUMIFS('июнь 2024'!$G$4:$G$1823,'июнь 2024'!$D$4:$D$1823,$B21,'июнь 2024'!$J$4:$J$1823,AE$1)</f>
        <v>0</v>
      </c>
      <c r="AF21" s="80">
        <f>SUMIFS('июнь 2024'!$G$4:$G$1823,'июнь 2024'!$D$4:$D$1823,$B21,'июнь 2024'!$J$4:$J$1823,AF$1)</f>
        <v>0</v>
      </c>
      <c r="AG21" s="80">
        <f>SUMIFS('июнь 2024'!$G$4:$G$1823,'июнь 2024'!$D$4:$D$1823,$B21,'июнь 2024'!$J$4:$J$1823,AG$1)</f>
        <v>0</v>
      </c>
      <c r="AH21" s="80">
        <f>SUMIFS('июнь 2024'!$G$4:$G$1823,'июнь 2024'!$D$4:$D$1823,$B21,'июнь 2024'!$J$4:$J$1823,AH$1)</f>
        <v>0</v>
      </c>
      <c r="AI21" s="21">
        <f t="shared" si="1"/>
        <v>0</v>
      </c>
    </row>
    <row r="22" spans="2:35" ht="15" customHeight="1" x14ac:dyDescent="0.25">
      <c r="B22" s="81" t="s">
        <v>309</v>
      </c>
      <c r="C22" s="82">
        <v>25</v>
      </c>
      <c r="D22" s="80">
        <f>SUMIFS('июнь 2024'!$G$4:$G$1823,'июнь 2024'!$D$4:$D$1823,$B22,'июнь 2024'!$J$4:$J$1823,D$1)</f>
        <v>0</v>
      </c>
      <c r="E22" s="80">
        <f>SUMIFS('июнь 2024'!$G$4:$G$1823,'июнь 2024'!$D$4:$D$1823,$B22,'июнь 2024'!$J$4:$J$1823,E$1)</f>
        <v>0</v>
      </c>
      <c r="F22" s="80">
        <f>SUMIFS('июнь 2024'!$G$4:$G$1823,'июнь 2024'!$D$4:$D$1823,$B22,'июнь 2024'!$J$4:$J$1823,F$1)</f>
        <v>0</v>
      </c>
      <c r="G22" s="80">
        <f>SUMIFS('июнь 2024'!$G$4:$G$1823,'июнь 2024'!$D$4:$D$1823,$B22,'июнь 2024'!$J$4:$J$1823,G$1)</f>
        <v>0</v>
      </c>
      <c r="H22" s="80">
        <f>SUMIFS('июнь 2024'!$G$4:$G$1823,'июнь 2024'!$D$4:$D$1823,$B22,'июнь 2024'!$J$4:$J$1823,H$1)</f>
        <v>0</v>
      </c>
      <c r="I22" s="80">
        <f>SUMIFS('июнь 2024'!$G$4:$G$1823,'июнь 2024'!$D$4:$D$1823,$B22,'июнь 2024'!$J$4:$J$1823,I$1)</f>
        <v>0</v>
      </c>
      <c r="J22" s="80">
        <f>SUMIFS('июнь 2024'!$G$4:$G$1823,'июнь 2024'!$D$4:$D$1823,$B22,'июнь 2024'!$J$4:$J$1823,J$1)</f>
        <v>0</v>
      </c>
      <c r="K22" s="80">
        <f>SUMIFS('июнь 2024'!$G$4:$G$1823,'июнь 2024'!$D$4:$D$1823,$B22,'июнь 2024'!$J$4:$J$1823,K$1)</f>
        <v>0</v>
      </c>
      <c r="L22" s="80">
        <f>SUMIFS('июнь 2024'!$G$4:$G$1823,'июнь 2024'!$D$4:$D$1823,$B22,'июнь 2024'!$J$4:$J$1823,L$1)</f>
        <v>0</v>
      </c>
      <c r="M22" s="80">
        <f>SUMIFS('июнь 2024'!$G$4:$G$1823,'июнь 2024'!$D$4:$D$1823,$B22,'июнь 2024'!$J$4:$J$1823,M$1)</f>
        <v>0</v>
      </c>
      <c r="N22" s="80">
        <f>SUMIFS('июнь 2024'!$G$4:$G$1823,'июнь 2024'!$D$4:$D$1823,$B22,'июнь 2024'!$J$4:$J$1823,N$1)</f>
        <v>0</v>
      </c>
      <c r="O22" s="80">
        <f>SUMIFS('июнь 2024'!$G$4:$G$1823,'июнь 2024'!$D$4:$D$1823,$B22,'июнь 2024'!$J$4:$J$1823,O$1)</f>
        <v>0</v>
      </c>
      <c r="P22" s="80">
        <f>SUMIFS('июнь 2024'!$G$4:$G$1823,'июнь 2024'!$D$4:$D$1823,$B22,'июнь 2024'!$J$4:$J$1823,P$1)</f>
        <v>0</v>
      </c>
      <c r="Q22" s="80">
        <f>SUMIFS('июнь 2024'!$G$4:$G$1823,'июнь 2024'!$D$4:$D$1823,$B22,'июнь 2024'!$J$4:$J$1823,Q$1)</f>
        <v>0</v>
      </c>
      <c r="R22" s="80">
        <f>SUMIFS('июнь 2024'!$G$4:$G$1823,'июнь 2024'!$D$4:$D$1823,$B22,'июнь 2024'!$J$4:$J$1823,R$1)</f>
        <v>0</v>
      </c>
      <c r="S22" s="80">
        <f>SUMIFS('июнь 2024'!$G$4:$G$1823,'июнь 2024'!$D$4:$D$1823,$B22,'июнь 2024'!$J$4:$J$1823,S$1)</f>
        <v>0</v>
      </c>
      <c r="T22" s="80">
        <f>SUMIFS('июнь 2024'!$G$4:$G$1823,'июнь 2024'!$D$4:$D$1823,$B22,'июнь 2024'!$J$4:$J$1823,T$1)</f>
        <v>0</v>
      </c>
      <c r="U22" s="80">
        <f>SUMIFS('июнь 2024'!$G$4:$G$1823,'июнь 2024'!$D$4:$D$1823,$B22,'июнь 2024'!$J$4:$J$1823,U$1)</f>
        <v>0</v>
      </c>
      <c r="V22" s="80">
        <f>SUMIFS('июнь 2024'!$G$4:$G$1823,'июнь 2024'!$D$4:$D$1823,$B22,'июнь 2024'!$J$4:$J$1823,V$1)</f>
        <v>0</v>
      </c>
      <c r="W22" s="80">
        <f>SUMIFS('июнь 2024'!$G$4:$G$1823,'июнь 2024'!$D$4:$D$1823,$B22,'июнь 2024'!$J$4:$J$1823,W$1)</f>
        <v>0</v>
      </c>
      <c r="X22" s="80">
        <f>SUMIFS('июнь 2024'!$G$4:$G$1823,'июнь 2024'!$D$4:$D$1823,$B22,'июнь 2024'!$J$4:$J$1823,X$1)</f>
        <v>0</v>
      </c>
      <c r="Y22" s="80">
        <f>SUMIFS('июнь 2024'!$G$4:$G$1823,'июнь 2024'!$D$4:$D$1823,$B22,'июнь 2024'!$J$4:$J$1823,Y$1)</f>
        <v>0</v>
      </c>
      <c r="Z22" s="80">
        <f>SUMIFS('июнь 2024'!$G$4:$G$1823,'июнь 2024'!$D$4:$D$1823,$B22,'июнь 2024'!$J$4:$J$1823,Z$1)</f>
        <v>0</v>
      </c>
      <c r="AA22" s="80">
        <f>SUMIFS('июнь 2024'!$G$4:$G$1823,'июнь 2024'!$D$4:$D$1823,$B22,'июнь 2024'!$J$4:$J$1823,AA$1)</f>
        <v>0</v>
      </c>
      <c r="AB22" s="80">
        <f>SUMIFS('июнь 2024'!$G$4:$G$1823,'июнь 2024'!$D$4:$D$1823,$B22,'июнь 2024'!$J$4:$J$1823,AB$1)</f>
        <v>0</v>
      </c>
      <c r="AC22" s="80">
        <f>SUMIFS('июнь 2024'!$G$4:$G$1823,'июнь 2024'!$D$4:$D$1823,$B22,'июнь 2024'!$J$4:$J$1823,AC$1)</f>
        <v>0</v>
      </c>
      <c r="AD22" s="80">
        <f>SUMIFS('июнь 2024'!$G$4:$G$1823,'июнь 2024'!$D$4:$D$1823,$B22,'июнь 2024'!$J$4:$J$1823,AD$1)</f>
        <v>0</v>
      </c>
      <c r="AE22" s="80">
        <f>SUMIFS('июнь 2024'!$G$4:$G$1823,'июнь 2024'!$D$4:$D$1823,$B22,'июнь 2024'!$J$4:$J$1823,AE$1)</f>
        <v>0</v>
      </c>
      <c r="AF22" s="80">
        <f>SUMIFS('июнь 2024'!$G$4:$G$1823,'июнь 2024'!$D$4:$D$1823,$B22,'июнь 2024'!$J$4:$J$1823,AF$1)</f>
        <v>0</v>
      </c>
      <c r="AG22" s="80">
        <f>SUMIFS('июнь 2024'!$G$4:$G$1823,'июнь 2024'!$D$4:$D$1823,$B22,'июнь 2024'!$J$4:$J$1823,AG$1)</f>
        <v>0</v>
      </c>
      <c r="AH22" s="80">
        <f>SUMIFS('июнь 2024'!$G$4:$G$1823,'июнь 2024'!$D$4:$D$1823,$B22,'июнь 2024'!$J$4:$J$1823,AH$1)</f>
        <v>0</v>
      </c>
      <c r="AI22" s="21">
        <f t="shared" si="1"/>
        <v>0</v>
      </c>
    </row>
    <row r="23" spans="2:35" ht="15" customHeight="1" x14ac:dyDescent="0.25">
      <c r="B23" s="84" t="s">
        <v>311</v>
      </c>
      <c r="C23" s="103">
        <v>25</v>
      </c>
      <c r="D23" s="80">
        <f>SUMIFS('июнь 2024'!$G$4:$G$1823,'июнь 2024'!$D$4:$D$1823,$B23,'июнь 2024'!$J$4:$J$1823,D$1)</f>
        <v>0</v>
      </c>
      <c r="E23" s="80">
        <f>SUMIFS('июнь 2024'!$G$4:$G$1823,'июнь 2024'!$D$4:$D$1823,$B23,'июнь 2024'!$J$4:$J$1823,E$1)</f>
        <v>0</v>
      </c>
      <c r="F23" s="80">
        <f>SUMIFS('июнь 2024'!$G$4:$G$1823,'июнь 2024'!$D$4:$D$1823,$B23,'июнь 2024'!$J$4:$J$1823,F$1)</f>
        <v>0</v>
      </c>
      <c r="G23" s="80">
        <f>SUMIFS('июнь 2024'!$G$4:$G$1823,'июнь 2024'!$D$4:$D$1823,$B23,'июнь 2024'!$J$4:$J$1823,G$1)</f>
        <v>0</v>
      </c>
      <c r="H23" s="80">
        <f>SUMIFS('июнь 2024'!$G$4:$G$1823,'июнь 2024'!$D$4:$D$1823,$B23,'июнь 2024'!$J$4:$J$1823,H$1)</f>
        <v>0</v>
      </c>
      <c r="I23" s="80">
        <f>SUMIFS('июнь 2024'!$G$4:$G$1823,'июнь 2024'!$D$4:$D$1823,$B23,'июнь 2024'!$J$4:$J$1823,I$1)</f>
        <v>0</v>
      </c>
      <c r="J23" s="80">
        <f>SUMIFS('июнь 2024'!$G$4:$G$1823,'июнь 2024'!$D$4:$D$1823,$B23,'июнь 2024'!$J$4:$J$1823,J$1)</f>
        <v>0</v>
      </c>
      <c r="K23" s="80">
        <f>SUMIFS('июнь 2024'!$G$4:$G$1823,'июнь 2024'!$D$4:$D$1823,$B23,'июнь 2024'!$J$4:$J$1823,K$1)</f>
        <v>0</v>
      </c>
      <c r="L23" s="80">
        <f>SUMIFS('июнь 2024'!$G$4:$G$1823,'июнь 2024'!$D$4:$D$1823,$B23,'июнь 2024'!$J$4:$J$1823,L$1)</f>
        <v>0</v>
      </c>
      <c r="M23" s="80">
        <f>SUMIFS('июнь 2024'!$G$4:$G$1823,'июнь 2024'!$D$4:$D$1823,$B23,'июнь 2024'!$J$4:$J$1823,M$1)</f>
        <v>0</v>
      </c>
      <c r="N23" s="80">
        <f>SUMIFS('июнь 2024'!$G$4:$G$1823,'июнь 2024'!$D$4:$D$1823,$B23,'июнь 2024'!$J$4:$J$1823,N$1)</f>
        <v>0</v>
      </c>
      <c r="O23" s="80">
        <f>SUMIFS('июнь 2024'!$G$4:$G$1823,'июнь 2024'!$D$4:$D$1823,$B23,'июнь 2024'!$J$4:$J$1823,O$1)</f>
        <v>0</v>
      </c>
      <c r="P23" s="80">
        <f>SUMIFS('июнь 2024'!$G$4:$G$1823,'июнь 2024'!$D$4:$D$1823,$B23,'июнь 2024'!$J$4:$J$1823,P$1)</f>
        <v>0</v>
      </c>
      <c r="Q23" s="80">
        <f>SUMIFS('июнь 2024'!$G$4:$G$1823,'июнь 2024'!$D$4:$D$1823,$B23,'июнь 2024'!$J$4:$J$1823,Q$1)</f>
        <v>0</v>
      </c>
      <c r="R23" s="80">
        <f>SUMIFS('июнь 2024'!$G$4:$G$1823,'июнь 2024'!$D$4:$D$1823,$B23,'июнь 2024'!$J$4:$J$1823,R$1)</f>
        <v>0</v>
      </c>
      <c r="S23" s="80">
        <f>SUMIFS('июнь 2024'!$G$4:$G$1823,'июнь 2024'!$D$4:$D$1823,$B23,'июнь 2024'!$J$4:$J$1823,S$1)</f>
        <v>0</v>
      </c>
      <c r="T23" s="80">
        <f>SUMIFS('июнь 2024'!$G$4:$G$1823,'июнь 2024'!$D$4:$D$1823,$B23,'июнь 2024'!$J$4:$J$1823,T$1)</f>
        <v>0</v>
      </c>
      <c r="U23" s="80">
        <f>SUMIFS('июнь 2024'!$G$4:$G$1823,'июнь 2024'!$D$4:$D$1823,$B23,'июнь 2024'!$J$4:$J$1823,U$1)</f>
        <v>0</v>
      </c>
      <c r="V23" s="80">
        <f>SUMIFS('июнь 2024'!$G$4:$G$1823,'июнь 2024'!$D$4:$D$1823,$B23,'июнь 2024'!$J$4:$J$1823,V$1)</f>
        <v>0</v>
      </c>
      <c r="W23" s="80">
        <f>SUMIFS('июнь 2024'!$G$4:$G$1823,'июнь 2024'!$D$4:$D$1823,$B23,'июнь 2024'!$J$4:$J$1823,W$1)</f>
        <v>0</v>
      </c>
      <c r="X23" s="80">
        <f>SUMIFS('июнь 2024'!$G$4:$G$1823,'июнь 2024'!$D$4:$D$1823,$B23,'июнь 2024'!$J$4:$J$1823,X$1)</f>
        <v>0</v>
      </c>
      <c r="Y23" s="80">
        <f>SUMIFS('июнь 2024'!$G$4:$G$1823,'июнь 2024'!$D$4:$D$1823,$B23,'июнь 2024'!$J$4:$J$1823,Y$1)</f>
        <v>0</v>
      </c>
      <c r="Z23" s="80">
        <f>SUMIFS('июнь 2024'!$G$4:$G$1823,'июнь 2024'!$D$4:$D$1823,$B23,'июнь 2024'!$J$4:$J$1823,Z$1)</f>
        <v>0</v>
      </c>
      <c r="AA23" s="80">
        <f>SUMIFS('июнь 2024'!$G$4:$G$1823,'июнь 2024'!$D$4:$D$1823,$B23,'июнь 2024'!$J$4:$J$1823,AA$1)</f>
        <v>0</v>
      </c>
      <c r="AB23" s="80">
        <f>SUMIFS('июнь 2024'!$G$4:$G$1823,'июнь 2024'!$D$4:$D$1823,$B23,'июнь 2024'!$J$4:$J$1823,AB$1)</f>
        <v>0</v>
      </c>
      <c r="AC23" s="80">
        <f>SUMIFS('июнь 2024'!$G$4:$G$1823,'июнь 2024'!$D$4:$D$1823,$B23,'июнь 2024'!$J$4:$J$1823,AC$1)</f>
        <v>0</v>
      </c>
      <c r="AD23" s="80">
        <f>SUMIFS('июнь 2024'!$G$4:$G$1823,'июнь 2024'!$D$4:$D$1823,$B23,'июнь 2024'!$J$4:$J$1823,AD$1)</f>
        <v>0</v>
      </c>
      <c r="AE23" s="80">
        <f>SUMIFS('июнь 2024'!$G$4:$G$1823,'июнь 2024'!$D$4:$D$1823,$B23,'июнь 2024'!$J$4:$J$1823,AE$1)</f>
        <v>0</v>
      </c>
      <c r="AF23" s="80">
        <f>SUMIFS('июнь 2024'!$G$4:$G$1823,'июнь 2024'!$D$4:$D$1823,$B23,'июнь 2024'!$J$4:$J$1823,AF$1)</f>
        <v>0</v>
      </c>
      <c r="AG23" s="80">
        <f>SUMIFS('июнь 2024'!$G$4:$G$1823,'июнь 2024'!$D$4:$D$1823,$B23,'июнь 2024'!$J$4:$J$1823,AG$1)</f>
        <v>0</v>
      </c>
      <c r="AH23" s="80">
        <f>SUMIFS('июнь 2024'!$G$4:$G$1823,'июнь 2024'!$D$4:$D$1823,$B23,'июнь 2024'!$J$4:$J$1823,AH$1)</f>
        <v>0</v>
      </c>
      <c r="AI23" s="21">
        <f t="shared" si="1"/>
        <v>0</v>
      </c>
    </row>
    <row r="24" spans="2:35" ht="15" customHeight="1" x14ac:dyDescent="0.25">
      <c r="B24" s="84" t="s">
        <v>312</v>
      </c>
      <c r="C24" s="82">
        <v>25</v>
      </c>
      <c r="D24" s="80">
        <f>SUMIFS('июнь 2024'!$G$4:$G$1823,'июнь 2024'!$D$4:$D$1823,$B24,'июнь 2024'!$J$4:$J$1823,D$1)</f>
        <v>0</v>
      </c>
      <c r="E24" s="80">
        <f>SUMIFS('июнь 2024'!$G$4:$G$1823,'июнь 2024'!$D$4:$D$1823,$B24,'июнь 2024'!$J$4:$J$1823,E$1)</f>
        <v>0</v>
      </c>
      <c r="F24" s="80">
        <f>SUMIFS('июнь 2024'!$G$4:$G$1823,'июнь 2024'!$D$4:$D$1823,$B24,'июнь 2024'!$J$4:$J$1823,F$1)</f>
        <v>0</v>
      </c>
      <c r="G24" s="80">
        <f>SUMIFS('июнь 2024'!$G$4:$G$1823,'июнь 2024'!$D$4:$D$1823,$B24,'июнь 2024'!$J$4:$J$1823,G$1)</f>
        <v>0</v>
      </c>
      <c r="H24" s="80">
        <f>SUMIFS('июнь 2024'!$G$4:$G$1823,'июнь 2024'!$D$4:$D$1823,$B24,'июнь 2024'!$J$4:$J$1823,H$1)</f>
        <v>0</v>
      </c>
      <c r="I24" s="80">
        <f>SUMIFS('июнь 2024'!$G$4:$G$1823,'июнь 2024'!$D$4:$D$1823,$B24,'июнь 2024'!$J$4:$J$1823,I$1)</f>
        <v>0</v>
      </c>
      <c r="J24" s="80">
        <f>SUMIFS('июнь 2024'!$G$4:$G$1823,'июнь 2024'!$D$4:$D$1823,$B24,'июнь 2024'!$J$4:$J$1823,J$1)</f>
        <v>0</v>
      </c>
      <c r="K24" s="80">
        <f>SUMIFS('июнь 2024'!$G$4:$G$1823,'июнь 2024'!$D$4:$D$1823,$B24,'июнь 2024'!$J$4:$J$1823,K$1)</f>
        <v>0</v>
      </c>
      <c r="L24" s="80">
        <f>SUMIFS('июнь 2024'!$G$4:$G$1823,'июнь 2024'!$D$4:$D$1823,$B24,'июнь 2024'!$J$4:$J$1823,L$1)</f>
        <v>0</v>
      </c>
      <c r="M24" s="80">
        <f>SUMIFS('июнь 2024'!$G$4:$G$1823,'июнь 2024'!$D$4:$D$1823,$B24,'июнь 2024'!$J$4:$J$1823,M$1)</f>
        <v>0</v>
      </c>
      <c r="N24" s="80">
        <f>SUMIFS('июнь 2024'!$G$4:$G$1823,'июнь 2024'!$D$4:$D$1823,$B24,'июнь 2024'!$J$4:$J$1823,N$1)</f>
        <v>0</v>
      </c>
      <c r="O24" s="80">
        <f>SUMIFS('июнь 2024'!$G$4:$G$1823,'июнь 2024'!$D$4:$D$1823,$B24,'июнь 2024'!$J$4:$J$1823,O$1)</f>
        <v>0</v>
      </c>
      <c r="P24" s="80">
        <f>SUMIFS('июнь 2024'!$G$4:$G$1823,'июнь 2024'!$D$4:$D$1823,$B24,'июнь 2024'!$J$4:$J$1823,P$1)</f>
        <v>0</v>
      </c>
      <c r="Q24" s="80">
        <f>SUMIFS('июнь 2024'!$G$4:$G$1823,'июнь 2024'!$D$4:$D$1823,$B24,'июнь 2024'!$J$4:$J$1823,Q$1)</f>
        <v>0</v>
      </c>
      <c r="R24" s="80">
        <f>SUMIFS('июнь 2024'!$G$4:$G$1823,'июнь 2024'!$D$4:$D$1823,$B24,'июнь 2024'!$J$4:$J$1823,R$1)</f>
        <v>0</v>
      </c>
      <c r="S24" s="80">
        <f>SUMIFS('июнь 2024'!$G$4:$G$1823,'июнь 2024'!$D$4:$D$1823,$B24,'июнь 2024'!$J$4:$J$1823,S$1)</f>
        <v>0</v>
      </c>
      <c r="T24" s="80">
        <f>SUMIFS('июнь 2024'!$G$4:$G$1823,'июнь 2024'!$D$4:$D$1823,$B24,'июнь 2024'!$J$4:$J$1823,T$1)</f>
        <v>0</v>
      </c>
      <c r="U24" s="80">
        <f>SUMIFS('июнь 2024'!$G$4:$G$1823,'июнь 2024'!$D$4:$D$1823,$B24,'июнь 2024'!$J$4:$J$1823,U$1)</f>
        <v>0</v>
      </c>
      <c r="V24" s="80">
        <f>SUMIFS('июнь 2024'!$G$4:$G$1823,'июнь 2024'!$D$4:$D$1823,$B24,'июнь 2024'!$J$4:$J$1823,V$1)</f>
        <v>0</v>
      </c>
      <c r="W24" s="80">
        <f>SUMIFS('июнь 2024'!$G$4:$G$1823,'июнь 2024'!$D$4:$D$1823,$B24,'июнь 2024'!$J$4:$J$1823,W$1)</f>
        <v>0</v>
      </c>
      <c r="X24" s="80">
        <f>SUMIFS('июнь 2024'!$G$4:$G$1823,'июнь 2024'!$D$4:$D$1823,$B24,'июнь 2024'!$J$4:$J$1823,X$1)</f>
        <v>0</v>
      </c>
      <c r="Y24" s="80">
        <f>SUMIFS('июнь 2024'!$G$4:$G$1823,'июнь 2024'!$D$4:$D$1823,$B24,'июнь 2024'!$J$4:$J$1823,Y$1)</f>
        <v>0</v>
      </c>
      <c r="Z24" s="80">
        <f>SUMIFS('июнь 2024'!$G$4:$G$1823,'июнь 2024'!$D$4:$D$1823,$B24,'июнь 2024'!$J$4:$J$1823,Z$1)</f>
        <v>0</v>
      </c>
      <c r="AA24" s="80">
        <f>SUMIFS('июнь 2024'!$G$4:$G$1823,'июнь 2024'!$D$4:$D$1823,$B24,'июнь 2024'!$J$4:$J$1823,AA$1)</f>
        <v>0</v>
      </c>
      <c r="AB24" s="80">
        <f>SUMIFS('июнь 2024'!$G$4:$G$1823,'июнь 2024'!$D$4:$D$1823,$B24,'июнь 2024'!$J$4:$J$1823,AB$1)</f>
        <v>0</v>
      </c>
      <c r="AC24" s="80">
        <f>SUMIFS('июнь 2024'!$G$4:$G$1823,'июнь 2024'!$D$4:$D$1823,$B24,'июнь 2024'!$J$4:$J$1823,AC$1)</f>
        <v>0</v>
      </c>
      <c r="AD24" s="80">
        <f>SUMIFS('июнь 2024'!$G$4:$G$1823,'июнь 2024'!$D$4:$D$1823,$B24,'июнь 2024'!$J$4:$J$1823,AD$1)</f>
        <v>0</v>
      </c>
      <c r="AE24" s="80">
        <f>SUMIFS('июнь 2024'!$G$4:$G$1823,'июнь 2024'!$D$4:$D$1823,$B24,'июнь 2024'!$J$4:$J$1823,AE$1)</f>
        <v>0</v>
      </c>
      <c r="AF24" s="80">
        <f>SUMIFS('июнь 2024'!$G$4:$G$1823,'июнь 2024'!$D$4:$D$1823,$B24,'июнь 2024'!$J$4:$J$1823,AF$1)</f>
        <v>0</v>
      </c>
      <c r="AG24" s="80">
        <f>SUMIFS('июнь 2024'!$G$4:$G$1823,'июнь 2024'!$D$4:$D$1823,$B24,'июнь 2024'!$J$4:$J$1823,AG$1)</f>
        <v>0</v>
      </c>
      <c r="AH24" s="80">
        <f>SUMIFS('июнь 2024'!$G$4:$G$1823,'июнь 2024'!$D$4:$D$1823,$B24,'июнь 2024'!$J$4:$J$1823,AH$1)</f>
        <v>0</v>
      </c>
      <c r="AI24" s="21">
        <f t="shared" si="1"/>
        <v>0</v>
      </c>
    </row>
    <row r="25" spans="2:35" ht="15" customHeight="1" x14ac:dyDescent="0.25">
      <c r="B25" s="84" t="s">
        <v>313</v>
      </c>
      <c r="C25" s="82">
        <v>25</v>
      </c>
      <c r="D25" s="80">
        <f>SUMIFS('июнь 2024'!$G$4:$G$1823,'июнь 2024'!$D$4:$D$1823,$B25,'июнь 2024'!$J$4:$J$1823,D$1)</f>
        <v>0</v>
      </c>
      <c r="E25" s="80">
        <f>SUMIFS('июнь 2024'!$G$4:$G$1823,'июнь 2024'!$D$4:$D$1823,$B25,'июнь 2024'!$J$4:$J$1823,E$1)</f>
        <v>0</v>
      </c>
      <c r="F25" s="80">
        <f>SUMIFS('июнь 2024'!$G$4:$G$1823,'июнь 2024'!$D$4:$D$1823,$B25,'июнь 2024'!$J$4:$J$1823,F$1)</f>
        <v>0</v>
      </c>
      <c r="G25" s="80">
        <f>SUMIFS('июнь 2024'!$G$4:$G$1823,'июнь 2024'!$D$4:$D$1823,$B25,'июнь 2024'!$J$4:$J$1823,G$1)</f>
        <v>2560</v>
      </c>
      <c r="H25" s="80">
        <f>SUMIFS('июнь 2024'!$G$4:$G$1823,'июнь 2024'!$D$4:$D$1823,$B25,'июнь 2024'!$J$4:$J$1823,H$1)</f>
        <v>0</v>
      </c>
      <c r="I25" s="80">
        <f>SUMIFS('июнь 2024'!$G$4:$G$1823,'июнь 2024'!$D$4:$D$1823,$B25,'июнь 2024'!$J$4:$J$1823,I$1)</f>
        <v>2560</v>
      </c>
      <c r="J25" s="80">
        <f>SUMIFS('июнь 2024'!$G$4:$G$1823,'июнь 2024'!$D$4:$D$1823,$B25,'июнь 2024'!$J$4:$J$1823,J$1)</f>
        <v>0</v>
      </c>
      <c r="K25" s="80">
        <f>SUMIFS('июнь 2024'!$G$4:$G$1823,'июнь 2024'!$D$4:$D$1823,$B25,'июнь 2024'!$J$4:$J$1823,K$1)</f>
        <v>0</v>
      </c>
      <c r="L25" s="80">
        <f>SUMIFS('июнь 2024'!$G$4:$G$1823,'июнь 2024'!$D$4:$D$1823,$B25,'июнь 2024'!$J$4:$J$1823,L$1)</f>
        <v>0</v>
      </c>
      <c r="M25" s="80">
        <f>SUMIFS('июнь 2024'!$G$4:$G$1823,'июнь 2024'!$D$4:$D$1823,$B25,'июнь 2024'!$J$4:$J$1823,M$1)</f>
        <v>0</v>
      </c>
      <c r="N25" s="80">
        <f>SUMIFS('июнь 2024'!$G$4:$G$1823,'июнь 2024'!$D$4:$D$1823,$B25,'июнь 2024'!$J$4:$J$1823,N$1)</f>
        <v>0</v>
      </c>
      <c r="O25" s="80">
        <f>SUMIFS('июнь 2024'!$G$4:$G$1823,'июнь 2024'!$D$4:$D$1823,$B25,'июнь 2024'!$J$4:$J$1823,O$1)</f>
        <v>0</v>
      </c>
      <c r="P25" s="80">
        <f>SUMIFS('июнь 2024'!$G$4:$G$1823,'июнь 2024'!$D$4:$D$1823,$B25,'июнь 2024'!$J$4:$J$1823,P$1)</f>
        <v>0</v>
      </c>
      <c r="Q25" s="80">
        <f>SUMIFS('июнь 2024'!$G$4:$G$1823,'июнь 2024'!$D$4:$D$1823,$B25,'июнь 2024'!$J$4:$J$1823,Q$1)</f>
        <v>0</v>
      </c>
      <c r="R25" s="80">
        <f>SUMIFS('июнь 2024'!$G$4:$G$1823,'июнь 2024'!$D$4:$D$1823,$B25,'июнь 2024'!$J$4:$J$1823,R$1)</f>
        <v>0</v>
      </c>
      <c r="S25" s="80">
        <f>SUMIFS('июнь 2024'!$G$4:$G$1823,'июнь 2024'!$D$4:$D$1823,$B25,'июнь 2024'!$J$4:$J$1823,S$1)</f>
        <v>0</v>
      </c>
      <c r="T25" s="80">
        <f>SUMIFS('июнь 2024'!$G$4:$G$1823,'июнь 2024'!$D$4:$D$1823,$B25,'июнь 2024'!$J$4:$J$1823,T$1)</f>
        <v>0</v>
      </c>
      <c r="U25" s="80">
        <f>SUMIFS('июнь 2024'!$G$4:$G$1823,'июнь 2024'!$D$4:$D$1823,$B25,'июнь 2024'!$J$4:$J$1823,U$1)</f>
        <v>0</v>
      </c>
      <c r="V25" s="80">
        <f>SUMIFS('июнь 2024'!$G$4:$G$1823,'июнь 2024'!$D$4:$D$1823,$B25,'июнь 2024'!$J$4:$J$1823,V$1)</f>
        <v>0</v>
      </c>
      <c r="W25" s="80">
        <f>SUMIFS('июнь 2024'!$G$4:$G$1823,'июнь 2024'!$D$4:$D$1823,$B25,'июнь 2024'!$J$4:$J$1823,W$1)</f>
        <v>0</v>
      </c>
      <c r="X25" s="80">
        <f>SUMIFS('июнь 2024'!$G$4:$G$1823,'июнь 2024'!$D$4:$D$1823,$B25,'июнь 2024'!$J$4:$J$1823,X$1)</f>
        <v>0</v>
      </c>
      <c r="Y25" s="80">
        <f>SUMIFS('июнь 2024'!$G$4:$G$1823,'июнь 2024'!$D$4:$D$1823,$B25,'июнь 2024'!$J$4:$J$1823,Y$1)</f>
        <v>0</v>
      </c>
      <c r="Z25" s="80">
        <f>SUMIFS('июнь 2024'!$G$4:$G$1823,'июнь 2024'!$D$4:$D$1823,$B25,'июнь 2024'!$J$4:$J$1823,Z$1)</f>
        <v>0</v>
      </c>
      <c r="AA25" s="80">
        <f>SUMIFS('июнь 2024'!$G$4:$G$1823,'июнь 2024'!$D$4:$D$1823,$B25,'июнь 2024'!$J$4:$J$1823,AA$1)</f>
        <v>0</v>
      </c>
      <c r="AB25" s="80">
        <f>SUMIFS('июнь 2024'!$G$4:$G$1823,'июнь 2024'!$D$4:$D$1823,$B25,'июнь 2024'!$J$4:$J$1823,AB$1)</f>
        <v>0</v>
      </c>
      <c r="AC25" s="80">
        <f>SUMIFS('июнь 2024'!$G$4:$G$1823,'июнь 2024'!$D$4:$D$1823,$B25,'июнь 2024'!$J$4:$J$1823,AC$1)</f>
        <v>0</v>
      </c>
      <c r="AD25" s="80">
        <f>SUMIFS('июнь 2024'!$G$4:$G$1823,'июнь 2024'!$D$4:$D$1823,$B25,'июнь 2024'!$J$4:$J$1823,AD$1)</f>
        <v>0</v>
      </c>
      <c r="AE25" s="80">
        <f>SUMIFS('июнь 2024'!$G$4:$G$1823,'июнь 2024'!$D$4:$D$1823,$B25,'июнь 2024'!$J$4:$J$1823,AE$1)</f>
        <v>0</v>
      </c>
      <c r="AF25" s="80">
        <f>SUMIFS('июнь 2024'!$G$4:$G$1823,'июнь 2024'!$D$4:$D$1823,$B25,'июнь 2024'!$J$4:$J$1823,AF$1)</f>
        <v>0</v>
      </c>
      <c r="AG25" s="80">
        <f>SUMIFS('июнь 2024'!$G$4:$G$1823,'июнь 2024'!$D$4:$D$1823,$B25,'июнь 2024'!$J$4:$J$1823,AG$1)</f>
        <v>0</v>
      </c>
      <c r="AH25" s="80">
        <f>SUMIFS('июнь 2024'!$G$4:$G$1823,'июнь 2024'!$D$4:$D$1823,$B25,'июнь 2024'!$J$4:$J$1823,AH$1)</f>
        <v>0</v>
      </c>
      <c r="AI25" s="21">
        <f t="shared" si="1"/>
        <v>5120</v>
      </c>
    </row>
    <row r="26" spans="2:35" ht="15" customHeight="1" x14ac:dyDescent="0.25">
      <c r="B26" s="84" t="s">
        <v>314</v>
      </c>
      <c r="C26" s="82">
        <v>25</v>
      </c>
      <c r="D26" s="80">
        <f>SUMIFS('июнь 2024'!$G$4:$G$1823,'июнь 2024'!$D$4:$D$1823,$B26,'июнь 2024'!$J$4:$J$1823,D$1)</f>
        <v>0</v>
      </c>
      <c r="E26" s="80">
        <f>SUMIFS('июнь 2024'!$G$4:$G$1823,'июнь 2024'!$D$4:$D$1823,$B26,'июнь 2024'!$J$4:$J$1823,E$1)</f>
        <v>0</v>
      </c>
      <c r="F26" s="80">
        <f>SUMIFS('июнь 2024'!$G$4:$G$1823,'июнь 2024'!$D$4:$D$1823,$B26,'июнь 2024'!$J$4:$J$1823,F$1)</f>
        <v>0</v>
      </c>
      <c r="G26" s="80">
        <f>SUMIFS('июнь 2024'!$G$4:$G$1823,'июнь 2024'!$D$4:$D$1823,$B26,'июнь 2024'!$J$4:$J$1823,G$1)</f>
        <v>0</v>
      </c>
      <c r="H26" s="80">
        <f>SUMIFS('июнь 2024'!$G$4:$G$1823,'июнь 2024'!$D$4:$D$1823,$B26,'июнь 2024'!$J$4:$J$1823,H$1)</f>
        <v>0</v>
      </c>
      <c r="I26" s="80">
        <f>SUMIFS('июнь 2024'!$G$4:$G$1823,'июнь 2024'!$D$4:$D$1823,$B26,'июнь 2024'!$J$4:$J$1823,I$1)</f>
        <v>0</v>
      </c>
      <c r="J26" s="80">
        <f>SUMIFS('июнь 2024'!$G$4:$G$1823,'июнь 2024'!$D$4:$D$1823,$B26,'июнь 2024'!$J$4:$J$1823,J$1)</f>
        <v>0</v>
      </c>
      <c r="K26" s="80">
        <f>SUMIFS('июнь 2024'!$G$4:$G$1823,'июнь 2024'!$D$4:$D$1823,$B26,'июнь 2024'!$J$4:$J$1823,K$1)</f>
        <v>0</v>
      </c>
      <c r="L26" s="80">
        <f>SUMIFS('июнь 2024'!$G$4:$G$1823,'июнь 2024'!$D$4:$D$1823,$B26,'июнь 2024'!$J$4:$J$1823,L$1)</f>
        <v>0</v>
      </c>
      <c r="M26" s="80">
        <f>SUMIFS('июнь 2024'!$G$4:$G$1823,'июнь 2024'!$D$4:$D$1823,$B26,'июнь 2024'!$J$4:$J$1823,M$1)</f>
        <v>0</v>
      </c>
      <c r="N26" s="80">
        <f>SUMIFS('июнь 2024'!$G$4:$G$1823,'июнь 2024'!$D$4:$D$1823,$B26,'июнь 2024'!$J$4:$J$1823,N$1)</f>
        <v>0</v>
      </c>
      <c r="O26" s="80">
        <f>SUMIFS('июнь 2024'!$G$4:$G$1823,'июнь 2024'!$D$4:$D$1823,$B26,'июнь 2024'!$J$4:$J$1823,O$1)</f>
        <v>0</v>
      </c>
      <c r="P26" s="80">
        <f>SUMIFS('июнь 2024'!$G$4:$G$1823,'июнь 2024'!$D$4:$D$1823,$B26,'июнь 2024'!$J$4:$J$1823,P$1)</f>
        <v>0</v>
      </c>
      <c r="Q26" s="80">
        <f>SUMIFS('июнь 2024'!$G$4:$G$1823,'июнь 2024'!$D$4:$D$1823,$B26,'июнь 2024'!$J$4:$J$1823,Q$1)</f>
        <v>0</v>
      </c>
      <c r="R26" s="80">
        <f>SUMIFS('июнь 2024'!$G$4:$G$1823,'июнь 2024'!$D$4:$D$1823,$B26,'июнь 2024'!$J$4:$J$1823,R$1)</f>
        <v>0</v>
      </c>
      <c r="S26" s="80">
        <f>SUMIFS('июнь 2024'!$G$4:$G$1823,'июнь 2024'!$D$4:$D$1823,$B26,'июнь 2024'!$J$4:$J$1823,S$1)</f>
        <v>0</v>
      </c>
      <c r="T26" s="80">
        <f>SUMIFS('июнь 2024'!$G$4:$G$1823,'июнь 2024'!$D$4:$D$1823,$B26,'июнь 2024'!$J$4:$J$1823,T$1)</f>
        <v>0</v>
      </c>
      <c r="U26" s="80">
        <f>SUMIFS('июнь 2024'!$G$4:$G$1823,'июнь 2024'!$D$4:$D$1823,$B26,'июнь 2024'!$J$4:$J$1823,U$1)</f>
        <v>0</v>
      </c>
      <c r="V26" s="80">
        <f>SUMIFS('июнь 2024'!$G$4:$G$1823,'июнь 2024'!$D$4:$D$1823,$B26,'июнь 2024'!$J$4:$J$1823,V$1)</f>
        <v>0</v>
      </c>
      <c r="W26" s="80">
        <f>SUMIFS('июнь 2024'!$G$4:$G$1823,'июнь 2024'!$D$4:$D$1823,$B26,'июнь 2024'!$J$4:$J$1823,W$1)</f>
        <v>0</v>
      </c>
      <c r="X26" s="80">
        <f>SUMIFS('июнь 2024'!$G$4:$G$1823,'июнь 2024'!$D$4:$D$1823,$B26,'июнь 2024'!$J$4:$J$1823,X$1)</f>
        <v>0</v>
      </c>
      <c r="Y26" s="80">
        <f>SUMIFS('июнь 2024'!$G$4:$G$1823,'июнь 2024'!$D$4:$D$1823,$B26,'июнь 2024'!$J$4:$J$1823,Y$1)</f>
        <v>0</v>
      </c>
      <c r="Z26" s="80">
        <f>SUMIFS('июнь 2024'!$G$4:$G$1823,'июнь 2024'!$D$4:$D$1823,$B26,'июнь 2024'!$J$4:$J$1823,Z$1)</f>
        <v>0</v>
      </c>
      <c r="AA26" s="80">
        <f>SUMIFS('июнь 2024'!$G$4:$G$1823,'июнь 2024'!$D$4:$D$1823,$B26,'июнь 2024'!$J$4:$J$1823,AA$1)</f>
        <v>0</v>
      </c>
      <c r="AB26" s="80">
        <f>SUMIFS('июнь 2024'!$G$4:$G$1823,'июнь 2024'!$D$4:$D$1823,$B26,'июнь 2024'!$J$4:$J$1823,AB$1)</f>
        <v>0</v>
      </c>
      <c r="AC26" s="80">
        <f>SUMIFS('июнь 2024'!$G$4:$G$1823,'июнь 2024'!$D$4:$D$1823,$B26,'июнь 2024'!$J$4:$J$1823,AC$1)</f>
        <v>0</v>
      </c>
      <c r="AD26" s="80">
        <f>SUMIFS('июнь 2024'!$G$4:$G$1823,'июнь 2024'!$D$4:$D$1823,$B26,'июнь 2024'!$J$4:$J$1823,AD$1)</f>
        <v>0</v>
      </c>
      <c r="AE26" s="80">
        <f>SUMIFS('июнь 2024'!$G$4:$G$1823,'июнь 2024'!$D$4:$D$1823,$B26,'июнь 2024'!$J$4:$J$1823,AE$1)</f>
        <v>0</v>
      </c>
      <c r="AF26" s="80">
        <f>SUMIFS('июнь 2024'!$G$4:$G$1823,'июнь 2024'!$D$4:$D$1823,$B26,'июнь 2024'!$J$4:$J$1823,AF$1)</f>
        <v>0</v>
      </c>
      <c r="AG26" s="80">
        <f>SUMIFS('июнь 2024'!$G$4:$G$1823,'июнь 2024'!$D$4:$D$1823,$B26,'июнь 2024'!$J$4:$J$1823,AG$1)</f>
        <v>0</v>
      </c>
      <c r="AH26" s="80">
        <f>SUMIFS('июнь 2024'!$G$4:$G$1823,'июнь 2024'!$D$4:$D$1823,$B26,'июнь 2024'!$J$4:$J$1823,AH$1)</f>
        <v>0</v>
      </c>
      <c r="AI26" s="21">
        <f t="shared" si="1"/>
        <v>0</v>
      </c>
    </row>
    <row r="27" spans="2:35" ht="15" customHeight="1" x14ac:dyDescent="0.25">
      <c r="B27" s="84" t="s">
        <v>315</v>
      </c>
      <c r="C27" s="82">
        <v>25</v>
      </c>
      <c r="D27" s="80">
        <f>SUMIFS('июнь 2024'!$G$4:$G$1823,'июнь 2024'!$D$4:$D$1823,$B27,'июнь 2024'!$J$4:$J$1823,D$1)</f>
        <v>0</v>
      </c>
      <c r="E27" s="80">
        <f>SUMIFS('июнь 2024'!$G$4:$G$1823,'июнь 2024'!$D$4:$D$1823,$B27,'июнь 2024'!$J$4:$J$1823,E$1)</f>
        <v>0</v>
      </c>
      <c r="F27" s="80">
        <f>SUMIFS('июнь 2024'!$G$4:$G$1823,'июнь 2024'!$D$4:$D$1823,$B27,'июнь 2024'!$J$4:$J$1823,F$1)</f>
        <v>0</v>
      </c>
      <c r="G27" s="80">
        <f>SUMIFS('июнь 2024'!$G$4:$G$1823,'июнь 2024'!$D$4:$D$1823,$B27,'июнь 2024'!$J$4:$J$1823,G$1)</f>
        <v>0</v>
      </c>
      <c r="H27" s="80">
        <f>SUMIFS('июнь 2024'!$G$4:$G$1823,'июнь 2024'!$D$4:$D$1823,$B27,'июнь 2024'!$J$4:$J$1823,H$1)</f>
        <v>0</v>
      </c>
      <c r="I27" s="80">
        <f>SUMIFS('июнь 2024'!$G$4:$G$1823,'июнь 2024'!$D$4:$D$1823,$B27,'июнь 2024'!$J$4:$J$1823,I$1)</f>
        <v>0</v>
      </c>
      <c r="J27" s="80">
        <f>SUMIFS('июнь 2024'!$G$4:$G$1823,'июнь 2024'!$D$4:$D$1823,$B27,'июнь 2024'!$J$4:$J$1823,J$1)</f>
        <v>0</v>
      </c>
      <c r="K27" s="80">
        <f>SUMIFS('июнь 2024'!$G$4:$G$1823,'июнь 2024'!$D$4:$D$1823,$B27,'июнь 2024'!$J$4:$J$1823,K$1)</f>
        <v>0</v>
      </c>
      <c r="L27" s="80">
        <f>SUMIFS('июнь 2024'!$G$4:$G$1823,'июнь 2024'!$D$4:$D$1823,$B27,'июнь 2024'!$J$4:$J$1823,L$1)</f>
        <v>0</v>
      </c>
      <c r="M27" s="80">
        <f>SUMIFS('июнь 2024'!$G$4:$G$1823,'июнь 2024'!$D$4:$D$1823,$B27,'июнь 2024'!$J$4:$J$1823,M$1)</f>
        <v>0</v>
      </c>
      <c r="N27" s="80">
        <f>SUMIFS('июнь 2024'!$G$4:$G$1823,'июнь 2024'!$D$4:$D$1823,$B27,'июнь 2024'!$J$4:$J$1823,N$1)</f>
        <v>0</v>
      </c>
      <c r="O27" s="80">
        <f>SUMIFS('июнь 2024'!$G$4:$G$1823,'июнь 2024'!$D$4:$D$1823,$B27,'июнь 2024'!$J$4:$J$1823,O$1)</f>
        <v>0</v>
      </c>
      <c r="P27" s="80">
        <f>SUMIFS('июнь 2024'!$G$4:$G$1823,'июнь 2024'!$D$4:$D$1823,$B27,'июнь 2024'!$J$4:$J$1823,P$1)</f>
        <v>0</v>
      </c>
      <c r="Q27" s="80">
        <f>SUMIFS('июнь 2024'!$G$4:$G$1823,'июнь 2024'!$D$4:$D$1823,$B27,'июнь 2024'!$J$4:$J$1823,Q$1)</f>
        <v>0</v>
      </c>
      <c r="R27" s="80">
        <f>SUMIFS('июнь 2024'!$G$4:$G$1823,'июнь 2024'!$D$4:$D$1823,$B27,'июнь 2024'!$J$4:$J$1823,R$1)</f>
        <v>0</v>
      </c>
      <c r="S27" s="80">
        <f>SUMIFS('июнь 2024'!$G$4:$G$1823,'июнь 2024'!$D$4:$D$1823,$B27,'июнь 2024'!$J$4:$J$1823,S$1)</f>
        <v>0</v>
      </c>
      <c r="T27" s="80">
        <f>SUMIFS('июнь 2024'!$G$4:$G$1823,'июнь 2024'!$D$4:$D$1823,$B27,'июнь 2024'!$J$4:$J$1823,T$1)</f>
        <v>0</v>
      </c>
      <c r="U27" s="80">
        <f>SUMIFS('июнь 2024'!$G$4:$G$1823,'июнь 2024'!$D$4:$D$1823,$B27,'июнь 2024'!$J$4:$J$1823,U$1)</f>
        <v>0</v>
      </c>
      <c r="V27" s="80">
        <f>SUMIFS('июнь 2024'!$G$4:$G$1823,'июнь 2024'!$D$4:$D$1823,$B27,'июнь 2024'!$J$4:$J$1823,V$1)</f>
        <v>0</v>
      </c>
      <c r="W27" s="80">
        <f>SUMIFS('июнь 2024'!$G$4:$G$1823,'июнь 2024'!$D$4:$D$1823,$B27,'июнь 2024'!$J$4:$J$1823,W$1)</f>
        <v>0</v>
      </c>
      <c r="X27" s="80">
        <f>SUMIFS('июнь 2024'!$G$4:$G$1823,'июнь 2024'!$D$4:$D$1823,$B27,'июнь 2024'!$J$4:$J$1823,X$1)</f>
        <v>0</v>
      </c>
      <c r="Y27" s="80">
        <f>SUMIFS('июнь 2024'!$G$4:$G$1823,'июнь 2024'!$D$4:$D$1823,$B27,'июнь 2024'!$J$4:$J$1823,Y$1)</f>
        <v>0</v>
      </c>
      <c r="Z27" s="80">
        <f>SUMIFS('июнь 2024'!$G$4:$G$1823,'июнь 2024'!$D$4:$D$1823,$B27,'июнь 2024'!$J$4:$J$1823,Z$1)</f>
        <v>0</v>
      </c>
      <c r="AA27" s="80">
        <f>SUMIFS('июнь 2024'!$G$4:$G$1823,'июнь 2024'!$D$4:$D$1823,$B27,'июнь 2024'!$J$4:$J$1823,AA$1)</f>
        <v>0</v>
      </c>
      <c r="AB27" s="80">
        <f>SUMIFS('июнь 2024'!$G$4:$G$1823,'июнь 2024'!$D$4:$D$1823,$B27,'июнь 2024'!$J$4:$J$1823,AB$1)</f>
        <v>0</v>
      </c>
      <c r="AC27" s="80">
        <f>SUMIFS('июнь 2024'!$G$4:$G$1823,'июнь 2024'!$D$4:$D$1823,$B27,'июнь 2024'!$J$4:$J$1823,AC$1)</f>
        <v>0</v>
      </c>
      <c r="AD27" s="80">
        <f>SUMIFS('июнь 2024'!$G$4:$G$1823,'июнь 2024'!$D$4:$D$1823,$B27,'июнь 2024'!$J$4:$J$1823,AD$1)</f>
        <v>0</v>
      </c>
      <c r="AE27" s="80">
        <f>SUMIFS('июнь 2024'!$G$4:$G$1823,'июнь 2024'!$D$4:$D$1823,$B27,'июнь 2024'!$J$4:$J$1823,AE$1)</f>
        <v>0</v>
      </c>
      <c r="AF27" s="80">
        <f>SUMIFS('июнь 2024'!$G$4:$G$1823,'июнь 2024'!$D$4:$D$1823,$B27,'июнь 2024'!$J$4:$J$1823,AF$1)</f>
        <v>0</v>
      </c>
      <c r="AG27" s="80">
        <f>SUMIFS('июнь 2024'!$G$4:$G$1823,'июнь 2024'!$D$4:$D$1823,$B27,'июнь 2024'!$J$4:$J$1823,AG$1)</f>
        <v>0</v>
      </c>
      <c r="AH27" s="80">
        <f>SUMIFS('июнь 2024'!$G$4:$G$1823,'июнь 2024'!$D$4:$D$1823,$B27,'июнь 2024'!$J$4:$J$1823,AH$1)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80">
        <f>SUMIFS('июнь 2024'!$G$4:$G$1823,'июнь 2024'!$D$4:$D$1823,$B28,'июнь 2024'!$J$4:$J$1823,D$1)</f>
        <v>0</v>
      </c>
      <c r="E28" s="80">
        <f>SUMIFS('июнь 2024'!$G$4:$G$1823,'июнь 2024'!$D$4:$D$1823,$B28,'июнь 2024'!$J$4:$J$1823,E$1)</f>
        <v>0</v>
      </c>
      <c r="F28" s="80">
        <f>SUMIFS('июнь 2024'!$G$4:$G$1823,'июнь 2024'!$D$4:$D$1823,$B28,'июнь 2024'!$J$4:$J$1823,F$1)</f>
        <v>0</v>
      </c>
      <c r="G28" s="80">
        <f>SUMIFS('июнь 2024'!$G$4:$G$1823,'июнь 2024'!$D$4:$D$1823,$B28,'июнь 2024'!$J$4:$J$1823,G$1)</f>
        <v>0</v>
      </c>
      <c r="H28" s="80">
        <f>SUMIFS('июнь 2024'!$G$4:$G$1823,'июнь 2024'!$D$4:$D$1823,$B28,'июнь 2024'!$J$4:$J$1823,H$1)</f>
        <v>0</v>
      </c>
      <c r="I28" s="80">
        <f>SUMIFS('июнь 2024'!$G$4:$G$1823,'июнь 2024'!$D$4:$D$1823,$B28,'июнь 2024'!$J$4:$J$1823,I$1)</f>
        <v>0</v>
      </c>
      <c r="J28" s="80">
        <f>SUMIFS('июнь 2024'!$G$4:$G$1823,'июнь 2024'!$D$4:$D$1823,$B28,'июнь 2024'!$J$4:$J$1823,J$1)</f>
        <v>0</v>
      </c>
      <c r="K28" s="80">
        <f>SUMIFS('июнь 2024'!$G$4:$G$1823,'июнь 2024'!$D$4:$D$1823,$B28,'июнь 2024'!$J$4:$J$1823,K$1)</f>
        <v>0</v>
      </c>
      <c r="L28" s="80">
        <f>SUMIFS('июнь 2024'!$G$4:$G$1823,'июнь 2024'!$D$4:$D$1823,$B28,'июнь 2024'!$J$4:$J$1823,L$1)</f>
        <v>0</v>
      </c>
      <c r="M28" s="80">
        <f>SUMIFS('июнь 2024'!$G$4:$G$1823,'июнь 2024'!$D$4:$D$1823,$B28,'июнь 2024'!$J$4:$J$1823,M$1)</f>
        <v>0</v>
      </c>
      <c r="N28" s="80">
        <f>SUMIFS('июнь 2024'!$G$4:$G$1823,'июнь 2024'!$D$4:$D$1823,$B28,'июнь 2024'!$J$4:$J$1823,N$1)</f>
        <v>0</v>
      </c>
      <c r="O28" s="80">
        <f>SUMIFS('июнь 2024'!$G$4:$G$1823,'июнь 2024'!$D$4:$D$1823,$B28,'июнь 2024'!$J$4:$J$1823,O$1)</f>
        <v>0</v>
      </c>
      <c r="P28" s="80">
        <f>SUMIFS('июнь 2024'!$G$4:$G$1823,'июнь 2024'!$D$4:$D$1823,$B28,'июнь 2024'!$J$4:$J$1823,P$1)</f>
        <v>0</v>
      </c>
      <c r="Q28" s="80">
        <f>SUMIFS('июнь 2024'!$G$4:$G$1823,'июнь 2024'!$D$4:$D$1823,$B28,'июнь 2024'!$J$4:$J$1823,Q$1)</f>
        <v>0</v>
      </c>
      <c r="R28" s="80">
        <f>SUMIFS('июнь 2024'!$G$4:$G$1823,'июнь 2024'!$D$4:$D$1823,$B28,'июнь 2024'!$J$4:$J$1823,R$1)</f>
        <v>0</v>
      </c>
      <c r="S28" s="80">
        <f>SUMIFS('июнь 2024'!$G$4:$G$1823,'июнь 2024'!$D$4:$D$1823,$B28,'июнь 2024'!$J$4:$J$1823,S$1)</f>
        <v>0</v>
      </c>
      <c r="T28" s="80">
        <f>SUMIFS('июнь 2024'!$G$4:$G$1823,'июнь 2024'!$D$4:$D$1823,$B28,'июнь 2024'!$J$4:$J$1823,T$1)</f>
        <v>0</v>
      </c>
      <c r="U28" s="80">
        <f>SUMIFS('июнь 2024'!$G$4:$G$1823,'июнь 2024'!$D$4:$D$1823,$B28,'июнь 2024'!$J$4:$J$1823,U$1)</f>
        <v>0</v>
      </c>
      <c r="V28" s="80">
        <f>SUMIFS('июнь 2024'!$G$4:$G$1823,'июнь 2024'!$D$4:$D$1823,$B28,'июнь 2024'!$J$4:$J$1823,V$1)</f>
        <v>0</v>
      </c>
      <c r="W28" s="80">
        <f>SUMIFS('июнь 2024'!$G$4:$G$1823,'июнь 2024'!$D$4:$D$1823,$B28,'июнь 2024'!$J$4:$J$1823,W$1)</f>
        <v>0</v>
      </c>
      <c r="X28" s="80">
        <f>SUMIFS('июнь 2024'!$G$4:$G$1823,'июнь 2024'!$D$4:$D$1823,$B28,'июнь 2024'!$J$4:$J$1823,X$1)</f>
        <v>0</v>
      </c>
      <c r="Y28" s="80">
        <f>SUMIFS('июнь 2024'!$G$4:$G$1823,'июнь 2024'!$D$4:$D$1823,$B28,'июнь 2024'!$J$4:$J$1823,Y$1)</f>
        <v>0</v>
      </c>
      <c r="Z28" s="80">
        <f>SUMIFS('июнь 2024'!$G$4:$G$1823,'июнь 2024'!$D$4:$D$1823,$B28,'июнь 2024'!$J$4:$J$1823,Z$1)</f>
        <v>0</v>
      </c>
      <c r="AA28" s="80">
        <f>SUMIFS('июнь 2024'!$G$4:$G$1823,'июнь 2024'!$D$4:$D$1823,$B28,'июнь 2024'!$J$4:$J$1823,AA$1)</f>
        <v>0</v>
      </c>
      <c r="AB28" s="80">
        <f>SUMIFS('июнь 2024'!$G$4:$G$1823,'июнь 2024'!$D$4:$D$1823,$B28,'июнь 2024'!$J$4:$J$1823,AB$1)</f>
        <v>0</v>
      </c>
      <c r="AC28" s="80">
        <f>SUMIFS('июнь 2024'!$G$4:$G$1823,'июнь 2024'!$D$4:$D$1823,$B28,'июнь 2024'!$J$4:$J$1823,AC$1)</f>
        <v>0</v>
      </c>
      <c r="AD28" s="80">
        <f>SUMIFS('июнь 2024'!$G$4:$G$1823,'июнь 2024'!$D$4:$D$1823,$B28,'июнь 2024'!$J$4:$J$1823,AD$1)</f>
        <v>0</v>
      </c>
      <c r="AE28" s="80">
        <f>SUMIFS('июнь 2024'!$G$4:$G$1823,'июнь 2024'!$D$4:$D$1823,$B28,'июнь 2024'!$J$4:$J$1823,AE$1)</f>
        <v>0</v>
      </c>
      <c r="AF28" s="80">
        <f>SUMIFS('июнь 2024'!$G$4:$G$1823,'июнь 2024'!$D$4:$D$1823,$B28,'июнь 2024'!$J$4:$J$1823,AF$1)</f>
        <v>0</v>
      </c>
      <c r="AG28" s="80">
        <f>SUMIFS('июнь 2024'!$G$4:$G$1823,'июнь 2024'!$D$4:$D$1823,$B28,'июнь 2024'!$J$4:$J$1823,AG$1)</f>
        <v>0</v>
      </c>
      <c r="AH28" s="80">
        <f>SUMIFS('июнь 2024'!$G$4:$G$1823,'июнь 2024'!$D$4:$D$1823,$B28,'июнь 2024'!$J$4:$J$1823,AH$1)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80">
        <f>SUMIFS('июнь 2024'!$G$4:$G$1823,'июнь 2024'!$D$4:$D$1823,$B29,'июнь 2024'!$J$4:$J$1823,D$1)</f>
        <v>0</v>
      </c>
      <c r="E29" s="80">
        <f>SUMIFS('июнь 2024'!$G$4:$G$1823,'июнь 2024'!$D$4:$D$1823,$B29,'июнь 2024'!$J$4:$J$1823,E$1)</f>
        <v>0</v>
      </c>
      <c r="F29" s="80">
        <f>SUMIFS('июнь 2024'!$G$4:$G$1823,'июнь 2024'!$D$4:$D$1823,$B29,'июнь 2024'!$J$4:$J$1823,F$1)</f>
        <v>0</v>
      </c>
      <c r="G29" s="80">
        <f>SUMIFS('июнь 2024'!$G$4:$G$1823,'июнь 2024'!$D$4:$D$1823,$B29,'июнь 2024'!$J$4:$J$1823,G$1)</f>
        <v>0</v>
      </c>
      <c r="H29" s="80">
        <f>SUMIFS('июнь 2024'!$G$4:$G$1823,'июнь 2024'!$D$4:$D$1823,$B29,'июнь 2024'!$J$4:$J$1823,H$1)</f>
        <v>0</v>
      </c>
      <c r="I29" s="80">
        <f>SUMIFS('июнь 2024'!$G$4:$G$1823,'июнь 2024'!$D$4:$D$1823,$B29,'июнь 2024'!$J$4:$J$1823,I$1)</f>
        <v>0</v>
      </c>
      <c r="J29" s="80">
        <f>SUMIFS('июнь 2024'!$G$4:$G$1823,'июнь 2024'!$D$4:$D$1823,$B29,'июнь 2024'!$J$4:$J$1823,J$1)</f>
        <v>0</v>
      </c>
      <c r="K29" s="80">
        <f>SUMIFS('июнь 2024'!$G$4:$G$1823,'июнь 2024'!$D$4:$D$1823,$B29,'июнь 2024'!$J$4:$J$1823,K$1)</f>
        <v>0</v>
      </c>
      <c r="L29" s="80">
        <f>SUMIFS('июнь 2024'!$G$4:$G$1823,'июнь 2024'!$D$4:$D$1823,$B29,'июнь 2024'!$J$4:$J$1823,L$1)</f>
        <v>0</v>
      </c>
      <c r="M29" s="80">
        <f>SUMIFS('июнь 2024'!$G$4:$G$1823,'июнь 2024'!$D$4:$D$1823,$B29,'июнь 2024'!$J$4:$J$1823,M$1)</f>
        <v>0</v>
      </c>
      <c r="N29" s="80">
        <f>SUMIFS('июнь 2024'!$G$4:$G$1823,'июнь 2024'!$D$4:$D$1823,$B29,'июнь 2024'!$J$4:$J$1823,N$1)</f>
        <v>0</v>
      </c>
      <c r="O29" s="80">
        <f>SUMIFS('июнь 2024'!$G$4:$G$1823,'июнь 2024'!$D$4:$D$1823,$B29,'июнь 2024'!$J$4:$J$1823,O$1)</f>
        <v>0</v>
      </c>
      <c r="P29" s="80">
        <f>SUMIFS('июнь 2024'!$G$4:$G$1823,'июнь 2024'!$D$4:$D$1823,$B29,'июнь 2024'!$J$4:$J$1823,P$1)</f>
        <v>0</v>
      </c>
      <c r="Q29" s="80">
        <f>SUMIFS('июнь 2024'!$G$4:$G$1823,'июнь 2024'!$D$4:$D$1823,$B29,'июнь 2024'!$J$4:$J$1823,Q$1)</f>
        <v>0</v>
      </c>
      <c r="R29" s="80">
        <f>SUMIFS('июнь 2024'!$G$4:$G$1823,'июнь 2024'!$D$4:$D$1823,$B29,'июнь 2024'!$J$4:$J$1823,R$1)</f>
        <v>0</v>
      </c>
      <c r="S29" s="80">
        <f>SUMIFS('июнь 2024'!$G$4:$G$1823,'июнь 2024'!$D$4:$D$1823,$B29,'июнь 2024'!$J$4:$J$1823,S$1)</f>
        <v>0</v>
      </c>
      <c r="T29" s="80">
        <f>SUMIFS('июнь 2024'!$G$4:$G$1823,'июнь 2024'!$D$4:$D$1823,$B29,'июнь 2024'!$J$4:$J$1823,T$1)</f>
        <v>0</v>
      </c>
      <c r="U29" s="80">
        <f>SUMIFS('июнь 2024'!$G$4:$G$1823,'июнь 2024'!$D$4:$D$1823,$B29,'июнь 2024'!$J$4:$J$1823,U$1)</f>
        <v>0</v>
      </c>
      <c r="V29" s="80">
        <f>SUMIFS('июнь 2024'!$G$4:$G$1823,'июнь 2024'!$D$4:$D$1823,$B29,'июнь 2024'!$J$4:$J$1823,V$1)</f>
        <v>0</v>
      </c>
      <c r="W29" s="80">
        <f>SUMIFS('июнь 2024'!$G$4:$G$1823,'июнь 2024'!$D$4:$D$1823,$B29,'июнь 2024'!$J$4:$J$1823,W$1)</f>
        <v>0</v>
      </c>
      <c r="X29" s="80">
        <f>SUMIFS('июнь 2024'!$G$4:$G$1823,'июнь 2024'!$D$4:$D$1823,$B29,'июнь 2024'!$J$4:$J$1823,X$1)</f>
        <v>0</v>
      </c>
      <c r="Y29" s="80">
        <f>SUMIFS('июнь 2024'!$G$4:$G$1823,'июнь 2024'!$D$4:$D$1823,$B29,'июнь 2024'!$J$4:$J$1823,Y$1)</f>
        <v>0</v>
      </c>
      <c r="Z29" s="80">
        <f>SUMIFS('июнь 2024'!$G$4:$G$1823,'июнь 2024'!$D$4:$D$1823,$B29,'июнь 2024'!$J$4:$J$1823,Z$1)</f>
        <v>0</v>
      </c>
      <c r="AA29" s="80">
        <f>SUMIFS('июнь 2024'!$G$4:$G$1823,'июнь 2024'!$D$4:$D$1823,$B29,'июнь 2024'!$J$4:$J$1823,AA$1)</f>
        <v>0</v>
      </c>
      <c r="AB29" s="80">
        <f>SUMIFS('июнь 2024'!$G$4:$G$1823,'июнь 2024'!$D$4:$D$1823,$B29,'июнь 2024'!$J$4:$J$1823,AB$1)</f>
        <v>0</v>
      </c>
      <c r="AC29" s="80">
        <f>SUMIFS('июнь 2024'!$G$4:$G$1823,'июнь 2024'!$D$4:$D$1823,$B29,'июнь 2024'!$J$4:$J$1823,AC$1)</f>
        <v>0</v>
      </c>
      <c r="AD29" s="80">
        <f>SUMIFS('июнь 2024'!$G$4:$G$1823,'июнь 2024'!$D$4:$D$1823,$B29,'июнь 2024'!$J$4:$J$1823,AD$1)</f>
        <v>0</v>
      </c>
      <c r="AE29" s="80">
        <f>SUMIFS('июнь 2024'!$G$4:$G$1823,'июнь 2024'!$D$4:$D$1823,$B29,'июнь 2024'!$J$4:$J$1823,AE$1)</f>
        <v>0</v>
      </c>
      <c r="AF29" s="80">
        <f>SUMIFS('июнь 2024'!$G$4:$G$1823,'июнь 2024'!$D$4:$D$1823,$B29,'июнь 2024'!$J$4:$J$1823,AF$1)</f>
        <v>0</v>
      </c>
      <c r="AG29" s="80">
        <f>SUMIFS('июнь 2024'!$G$4:$G$1823,'июнь 2024'!$D$4:$D$1823,$B29,'июнь 2024'!$J$4:$J$1823,AG$1)</f>
        <v>0</v>
      </c>
      <c r="AH29" s="80">
        <f>SUMIFS('июнь 2024'!$G$4:$G$1823,'июнь 2024'!$D$4:$D$1823,$B29,'июнь 2024'!$J$4:$J$1823,AH$1)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SUMIFS('июнь 2024'!$G$4:$G$1823,'июнь 2024'!$D$4:$D$1823,$B30,'июнь 2024'!$J$4:$J$1823,D$1)</f>
        <v>0</v>
      </c>
      <c r="E30" s="80">
        <f>SUMIFS('июнь 2024'!$G$4:$G$1823,'июнь 2024'!$D$4:$D$1823,$B30,'июнь 2024'!$J$4:$J$1823,E$1)</f>
        <v>0</v>
      </c>
      <c r="F30" s="80">
        <f>SUMIFS('июнь 2024'!$G$4:$G$1823,'июнь 2024'!$D$4:$D$1823,$B30,'июнь 2024'!$J$4:$J$1823,F$1)</f>
        <v>0</v>
      </c>
      <c r="G30" s="80">
        <f>SUMIFS('июнь 2024'!$G$4:$G$1823,'июнь 2024'!$D$4:$D$1823,$B30,'июнь 2024'!$J$4:$J$1823,G$1)</f>
        <v>0</v>
      </c>
      <c r="H30" s="80">
        <f>SUMIFS('июнь 2024'!$G$4:$G$1823,'июнь 2024'!$D$4:$D$1823,$B30,'июнь 2024'!$J$4:$J$1823,H$1)</f>
        <v>0</v>
      </c>
      <c r="I30" s="80">
        <f>SUMIFS('июнь 2024'!$G$4:$G$1823,'июнь 2024'!$D$4:$D$1823,$B30,'июнь 2024'!$J$4:$J$1823,I$1)</f>
        <v>0</v>
      </c>
      <c r="J30" s="80">
        <f>SUMIFS('июнь 2024'!$G$4:$G$1823,'июнь 2024'!$D$4:$D$1823,$B30,'июнь 2024'!$J$4:$J$1823,J$1)</f>
        <v>0</v>
      </c>
      <c r="K30" s="80">
        <f>SUMIFS('июнь 2024'!$G$4:$G$1823,'июнь 2024'!$D$4:$D$1823,$B30,'июнь 2024'!$J$4:$J$1823,K$1)</f>
        <v>0</v>
      </c>
      <c r="L30" s="80">
        <f>SUMIFS('июнь 2024'!$G$4:$G$1823,'июнь 2024'!$D$4:$D$1823,$B30,'июнь 2024'!$J$4:$J$1823,L$1)</f>
        <v>0</v>
      </c>
      <c r="M30" s="80">
        <f>SUMIFS('июнь 2024'!$G$4:$G$1823,'июнь 2024'!$D$4:$D$1823,$B30,'июнь 2024'!$J$4:$J$1823,M$1)</f>
        <v>0</v>
      </c>
      <c r="N30" s="80">
        <f>SUMIFS('июнь 2024'!$G$4:$G$1823,'июнь 2024'!$D$4:$D$1823,$B30,'июнь 2024'!$J$4:$J$1823,N$1)</f>
        <v>0</v>
      </c>
      <c r="O30" s="80">
        <f>SUMIFS('июнь 2024'!$G$4:$G$1823,'июнь 2024'!$D$4:$D$1823,$B30,'июнь 2024'!$J$4:$J$1823,O$1)</f>
        <v>0</v>
      </c>
      <c r="P30" s="80">
        <f>SUMIFS('июнь 2024'!$G$4:$G$1823,'июнь 2024'!$D$4:$D$1823,$B30,'июнь 2024'!$J$4:$J$1823,P$1)</f>
        <v>0</v>
      </c>
      <c r="Q30" s="80">
        <f>SUMIFS('июнь 2024'!$G$4:$G$1823,'июнь 2024'!$D$4:$D$1823,$B30,'июнь 2024'!$J$4:$J$1823,Q$1)</f>
        <v>0</v>
      </c>
      <c r="R30" s="80">
        <f>SUMIFS('июнь 2024'!$G$4:$G$1823,'июнь 2024'!$D$4:$D$1823,$B30,'июнь 2024'!$J$4:$J$1823,R$1)</f>
        <v>0</v>
      </c>
      <c r="S30" s="80">
        <f>SUMIFS('июнь 2024'!$G$4:$G$1823,'июнь 2024'!$D$4:$D$1823,$B30,'июнь 2024'!$J$4:$J$1823,S$1)</f>
        <v>0</v>
      </c>
      <c r="T30" s="80">
        <f>SUMIFS('июнь 2024'!$G$4:$G$1823,'июнь 2024'!$D$4:$D$1823,$B30,'июнь 2024'!$J$4:$J$1823,T$1)</f>
        <v>0</v>
      </c>
      <c r="U30" s="80">
        <f>SUMIFS('июнь 2024'!$G$4:$G$1823,'июнь 2024'!$D$4:$D$1823,$B30,'июнь 2024'!$J$4:$J$1823,U$1)</f>
        <v>0</v>
      </c>
      <c r="V30" s="80">
        <f>SUMIFS('июнь 2024'!$G$4:$G$1823,'июнь 2024'!$D$4:$D$1823,$B30,'июнь 2024'!$J$4:$J$1823,V$1)</f>
        <v>0</v>
      </c>
      <c r="W30" s="80">
        <f>SUMIFS('июнь 2024'!$G$4:$G$1823,'июнь 2024'!$D$4:$D$1823,$B30,'июнь 2024'!$J$4:$J$1823,W$1)</f>
        <v>0</v>
      </c>
      <c r="X30" s="80">
        <f>SUMIFS('июнь 2024'!$G$4:$G$1823,'июнь 2024'!$D$4:$D$1823,$B30,'июнь 2024'!$J$4:$J$1823,X$1)</f>
        <v>0</v>
      </c>
      <c r="Y30" s="80">
        <f>SUMIFS('июнь 2024'!$G$4:$G$1823,'июнь 2024'!$D$4:$D$1823,$B30,'июнь 2024'!$J$4:$J$1823,Y$1)</f>
        <v>0</v>
      </c>
      <c r="Z30" s="80">
        <f>SUMIFS('июнь 2024'!$G$4:$G$1823,'июнь 2024'!$D$4:$D$1823,$B30,'июнь 2024'!$J$4:$J$1823,Z$1)</f>
        <v>0</v>
      </c>
      <c r="AA30" s="80">
        <f>SUMIFS('июнь 2024'!$G$4:$G$1823,'июнь 2024'!$D$4:$D$1823,$B30,'июнь 2024'!$J$4:$J$1823,AA$1)</f>
        <v>0</v>
      </c>
      <c r="AB30" s="80">
        <f>SUMIFS('июнь 2024'!$G$4:$G$1823,'июнь 2024'!$D$4:$D$1823,$B30,'июнь 2024'!$J$4:$J$1823,AB$1)</f>
        <v>0</v>
      </c>
      <c r="AC30" s="80">
        <f>SUMIFS('июнь 2024'!$G$4:$G$1823,'июнь 2024'!$D$4:$D$1823,$B30,'июнь 2024'!$J$4:$J$1823,AC$1)</f>
        <v>0</v>
      </c>
      <c r="AD30" s="80">
        <f>SUMIFS('июнь 2024'!$G$4:$G$1823,'июнь 2024'!$D$4:$D$1823,$B30,'июнь 2024'!$J$4:$J$1823,AD$1)</f>
        <v>0</v>
      </c>
      <c r="AE30" s="80">
        <f>SUMIFS('июнь 2024'!$G$4:$G$1823,'июнь 2024'!$D$4:$D$1823,$B30,'июнь 2024'!$J$4:$J$1823,AE$1)</f>
        <v>0</v>
      </c>
      <c r="AF30" s="80">
        <f>SUMIFS('июнь 2024'!$G$4:$G$1823,'июнь 2024'!$D$4:$D$1823,$B30,'июнь 2024'!$J$4:$J$1823,AF$1)</f>
        <v>0</v>
      </c>
      <c r="AG30" s="80">
        <f>SUMIFS('июнь 2024'!$G$4:$G$1823,'июнь 2024'!$D$4:$D$1823,$B30,'июнь 2024'!$J$4:$J$1823,AG$1)</f>
        <v>0</v>
      </c>
      <c r="AH30" s="80">
        <f>SUMIFS('июнь 2024'!$G$4:$G$1823,'июнь 2024'!$D$4:$D$1823,$B30,'июнь 2024'!$J$4:$J$1823,AH$1)</f>
        <v>0</v>
      </c>
      <c r="AI30" s="21">
        <f t="shared" si="1"/>
        <v>0</v>
      </c>
    </row>
    <row r="31" spans="2:35" ht="15" customHeight="1" x14ac:dyDescent="0.25">
      <c r="B31" s="84"/>
      <c r="C31" s="82"/>
      <c r="D31" s="80">
        <f>SUMIFS('июнь 2024'!$G$4:$G$1823,'июнь 2024'!$D$4:$D$1823,$B31,'июнь 2024'!$J$4:$J$1823,D$1)</f>
        <v>0</v>
      </c>
      <c r="E31" s="80">
        <f>SUMIFS('июнь 2024'!$G$4:$G$1823,'июнь 2024'!$D$4:$D$1823,$B31,'июнь 2024'!$J$4:$J$1823,E$1)</f>
        <v>0</v>
      </c>
      <c r="F31" s="80">
        <f>SUMIFS('июнь 2024'!$G$4:$G$1823,'июнь 2024'!$D$4:$D$1823,$B31,'июнь 2024'!$J$4:$J$1823,F$1)</f>
        <v>0</v>
      </c>
      <c r="G31" s="80">
        <f>SUMIFS('июнь 2024'!$G$4:$G$1823,'июнь 2024'!$D$4:$D$1823,$B31,'июнь 2024'!$J$4:$J$1823,G$1)</f>
        <v>0</v>
      </c>
      <c r="H31" s="80">
        <f>SUMIFS('июнь 2024'!$G$4:$G$1823,'июнь 2024'!$D$4:$D$1823,$B31,'июнь 2024'!$J$4:$J$1823,H$1)</f>
        <v>0</v>
      </c>
      <c r="I31" s="80">
        <f>SUMIFS('июнь 2024'!$G$4:$G$1823,'июнь 2024'!$D$4:$D$1823,$B31,'июнь 2024'!$J$4:$J$1823,I$1)</f>
        <v>0</v>
      </c>
      <c r="J31" s="80">
        <f>SUMIFS('июнь 2024'!$G$4:$G$1823,'июнь 2024'!$D$4:$D$1823,$B31,'июнь 2024'!$J$4:$J$1823,J$1)</f>
        <v>0</v>
      </c>
      <c r="K31" s="80">
        <f>SUMIFS('июнь 2024'!$G$4:$G$1823,'июнь 2024'!$D$4:$D$1823,$B31,'июнь 2024'!$J$4:$J$1823,K$1)</f>
        <v>0</v>
      </c>
      <c r="L31" s="80">
        <f>SUMIFS('июнь 2024'!$G$4:$G$1823,'июнь 2024'!$D$4:$D$1823,$B31,'июнь 2024'!$J$4:$J$1823,L$1)</f>
        <v>0</v>
      </c>
      <c r="M31" s="80">
        <f>SUMIFS('июнь 2024'!$G$4:$G$1823,'июнь 2024'!$D$4:$D$1823,$B31,'июнь 2024'!$J$4:$J$1823,M$1)</f>
        <v>0</v>
      </c>
      <c r="N31" s="80">
        <f>SUMIFS('июнь 2024'!$G$4:$G$1823,'июнь 2024'!$D$4:$D$1823,$B31,'июнь 2024'!$J$4:$J$1823,N$1)</f>
        <v>0</v>
      </c>
      <c r="O31" s="80">
        <f>SUMIFS('июнь 2024'!$G$4:$G$1823,'июнь 2024'!$D$4:$D$1823,$B31,'июнь 2024'!$J$4:$J$1823,O$1)</f>
        <v>0</v>
      </c>
      <c r="P31" s="80">
        <f>SUMIFS('июнь 2024'!$G$4:$G$1823,'июнь 2024'!$D$4:$D$1823,$B31,'июнь 2024'!$J$4:$J$1823,P$1)</f>
        <v>0</v>
      </c>
      <c r="Q31" s="80">
        <f>SUMIFS('июнь 2024'!$G$4:$G$1823,'июнь 2024'!$D$4:$D$1823,$B31,'июнь 2024'!$J$4:$J$1823,Q$1)</f>
        <v>0</v>
      </c>
      <c r="R31" s="80">
        <f>SUMIFS('июнь 2024'!$G$4:$G$1823,'июнь 2024'!$D$4:$D$1823,$B31,'июнь 2024'!$J$4:$J$1823,R$1)</f>
        <v>0</v>
      </c>
      <c r="S31" s="80">
        <f>SUMIFS('июнь 2024'!$G$4:$G$1823,'июнь 2024'!$D$4:$D$1823,$B31,'июнь 2024'!$J$4:$J$1823,S$1)</f>
        <v>0</v>
      </c>
      <c r="T31" s="80">
        <f>SUMIFS('июнь 2024'!$G$4:$G$1823,'июнь 2024'!$D$4:$D$1823,$B31,'июнь 2024'!$J$4:$J$1823,T$1)</f>
        <v>0</v>
      </c>
      <c r="U31" s="80">
        <f>SUMIFS('июнь 2024'!$G$4:$G$1823,'июнь 2024'!$D$4:$D$1823,$B31,'июнь 2024'!$J$4:$J$1823,U$1)</f>
        <v>0</v>
      </c>
      <c r="V31" s="80">
        <f>SUMIFS('июнь 2024'!$G$4:$G$1823,'июнь 2024'!$D$4:$D$1823,$B31,'июнь 2024'!$J$4:$J$1823,V$1)</f>
        <v>0</v>
      </c>
      <c r="W31" s="80">
        <f>SUMIFS('июнь 2024'!$G$4:$G$1823,'июнь 2024'!$D$4:$D$1823,$B31,'июнь 2024'!$J$4:$J$1823,W$1)</f>
        <v>0</v>
      </c>
      <c r="X31" s="80">
        <f>SUMIFS('июнь 2024'!$G$4:$G$1823,'июнь 2024'!$D$4:$D$1823,$B31,'июнь 2024'!$J$4:$J$1823,X$1)</f>
        <v>0</v>
      </c>
      <c r="Y31" s="80">
        <f>SUMIFS('июнь 2024'!$G$4:$G$1823,'июнь 2024'!$D$4:$D$1823,$B31,'июнь 2024'!$J$4:$J$1823,Y$1)</f>
        <v>0</v>
      </c>
      <c r="Z31" s="80">
        <f>SUMIFS('июнь 2024'!$G$4:$G$1823,'июнь 2024'!$D$4:$D$1823,$B31,'июнь 2024'!$J$4:$J$1823,Z$1)</f>
        <v>0</v>
      </c>
      <c r="AA31" s="80">
        <f>SUMIFS('июнь 2024'!$G$4:$G$1823,'июнь 2024'!$D$4:$D$1823,$B31,'июнь 2024'!$J$4:$J$1823,AA$1)</f>
        <v>0</v>
      </c>
      <c r="AB31" s="80">
        <f>SUMIFS('июнь 2024'!$G$4:$G$1823,'июнь 2024'!$D$4:$D$1823,$B31,'июнь 2024'!$J$4:$J$1823,AB$1)</f>
        <v>0</v>
      </c>
      <c r="AC31" s="80">
        <f>SUMIFS('июнь 2024'!$G$4:$G$1823,'июнь 2024'!$D$4:$D$1823,$B31,'июнь 2024'!$J$4:$J$1823,AC$1)</f>
        <v>0</v>
      </c>
      <c r="AD31" s="80">
        <f>SUMIFS('июнь 2024'!$G$4:$G$1823,'июнь 2024'!$D$4:$D$1823,$B31,'июнь 2024'!$J$4:$J$1823,AD$1)</f>
        <v>0</v>
      </c>
      <c r="AE31" s="80">
        <f>SUMIFS('июнь 2024'!$G$4:$G$1823,'июнь 2024'!$D$4:$D$1823,$B31,'июнь 2024'!$J$4:$J$1823,AE$1)</f>
        <v>0</v>
      </c>
      <c r="AF31" s="80">
        <f>SUMIFS('июнь 2024'!$G$4:$G$1823,'июнь 2024'!$D$4:$D$1823,$B31,'июнь 2024'!$J$4:$J$1823,AF$1)</f>
        <v>0</v>
      </c>
      <c r="AG31" s="80">
        <f>SUMIFS('июнь 2024'!$G$4:$G$1823,'июнь 2024'!$D$4:$D$1823,$B31,'июнь 2024'!$J$4:$J$1823,AG$1)</f>
        <v>0</v>
      </c>
      <c r="AH31" s="80">
        <f>SUMIFS('июнь 2024'!$G$4:$G$1823,'июнь 2024'!$D$4:$D$1823,$B31,'июнь 2024'!$J$4:$J$1823,AH$1)</f>
        <v>0</v>
      </c>
      <c r="AI31" s="21">
        <f t="shared" si="1"/>
        <v>0</v>
      </c>
    </row>
    <row r="32" spans="2:35" ht="15" customHeight="1" x14ac:dyDescent="0.25">
      <c r="B32" s="84"/>
      <c r="C32" s="82"/>
      <c r="D32" s="80">
        <f>SUMIFS('июнь 2024'!$G$4:$G$1823,'июнь 2024'!$D$4:$D$1823,$B32,'июнь 2024'!$J$4:$J$1823,D$1)</f>
        <v>0</v>
      </c>
      <c r="E32" s="80">
        <f>SUMIFS('июнь 2024'!$G$4:$G$1823,'июнь 2024'!$D$4:$D$1823,$B32,'июнь 2024'!$J$4:$J$1823,E$1)</f>
        <v>0</v>
      </c>
      <c r="F32" s="80">
        <f>SUMIFS('июнь 2024'!$G$4:$G$1823,'июнь 2024'!$D$4:$D$1823,$B32,'июнь 2024'!$J$4:$J$1823,F$1)</f>
        <v>0</v>
      </c>
      <c r="G32" s="80">
        <f>SUMIFS('июнь 2024'!$G$4:$G$1823,'июнь 2024'!$D$4:$D$1823,$B32,'июнь 2024'!$J$4:$J$1823,G$1)</f>
        <v>0</v>
      </c>
      <c r="H32" s="80">
        <f>SUMIFS('июнь 2024'!$G$4:$G$1823,'июнь 2024'!$D$4:$D$1823,$B32,'июнь 2024'!$J$4:$J$1823,H$1)</f>
        <v>0</v>
      </c>
      <c r="I32" s="80">
        <f>SUMIFS('июнь 2024'!$G$4:$G$1823,'июнь 2024'!$D$4:$D$1823,$B32,'июнь 2024'!$J$4:$J$1823,I$1)</f>
        <v>0</v>
      </c>
      <c r="J32" s="80">
        <f>SUMIFS('июнь 2024'!$G$4:$G$1823,'июнь 2024'!$D$4:$D$1823,$B32,'июнь 2024'!$J$4:$J$1823,J$1)</f>
        <v>0</v>
      </c>
      <c r="K32" s="80">
        <f>SUMIFS('июнь 2024'!$G$4:$G$1823,'июнь 2024'!$D$4:$D$1823,$B32,'июнь 2024'!$J$4:$J$1823,K$1)</f>
        <v>0</v>
      </c>
      <c r="L32" s="80">
        <f>SUMIFS('июнь 2024'!$G$4:$G$1823,'июнь 2024'!$D$4:$D$1823,$B32,'июнь 2024'!$J$4:$J$1823,L$1)</f>
        <v>0</v>
      </c>
      <c r="M32" s="80">
        <f>SUMIFS('июнь 2024'!$G$4:$G$1823,'июнь 2024'!$D$4:$D$1823,$B32,'июнь 2024'!$J$4:$J$1823,M$1)</f>
        <v>0</v>
      </c>
      <c r="N32" s="80">
        <f>SUMIFS('июнь 2024'!$G$4:$G$1823,'июнь 2024'!$D$4:$D$1823,$B32,'июнь 2024'!$J$4:$J$1823,N$1)</f>
        <v>0</v>
      </c>
      <c r="O32" s="80">
        <f>SUMIFS('июнь 2024'!$G$4:$G$1823,'июнь 2024'!$D$4:$D$1823,$B32,'июнь 2024'!$J$4:$J$1823,O$1)</f>
        <v>0</v>
      </c>
      <c r="P32" s="80">
        <f>SUMIFS('июнь 2024'!$G$4:$G$1823,'июнь 2024'!$D$4:$D$1823,$B32,'июнь 2024'!$J$4:$J$1823,P$1)</f>
        <v>0</v>
      </c>
      <c r="Q32" s="80">
        <f>SUMIFS('июнь 2024'!$G$4:$G$1823,'июнь 2024'!$D$4:$D$1823,$B32,'июнь 2024'!$J$4:$J$1823,Q$1)</f>
        <v>0</v>
      </c>
      <c r="R32" s="80">
        <f>SUMIFS('июнь 2024'!$G$4:$G$1823,'июнь 2024'!$D$4:$D$1823,$B32,'июнь 2024'!$J$4:$J$1823,R$1)</f>
        <v>0</v>
      </c>
      <c r="S32" s="80">
        <f>SUMIFS('июнь 2024'!$G$4:$G$1823,'июнь 2024'!$D$4:$D$1823,$B32,'июнь 2024'!$J$4:$J$1823,S$1)</f>
        <v>0</v>
      </c>
      <c r="T32" s="80">
        <f>SUMIFS('июнь 2024'!$G$4:$G$1823,'июнь 2024'!$D$4:$D$1823,$B32,'июнь 2024'!$J$4:$J$1823,T$1)</f>
        <v>0</v>
      </c>
      <c r="U32" s="80">
        <f>SUMIFS('июнь 2024'!$G$4:$G$1823,'июнь 2024'!$D$4:$D$1823,$B32,'июнь 2024'!$J$4:$J$1823,U$1)</f>
        <v>0</v>
      </c>
      <c r="V32" s="80">
        <f>SUMIFS('июнь 2024'!$G$4:$G$1823,'июнь 2024'!$D$4:$D$1823,$B32,'июнь 2024'!$J$4:$J$1823,V$1)</f>
        <v>0</v>
      </c>
      <c r="W32" s="80">
        <f>SUMIFS('июнь 2024'!$G$4:$G$1823,'июнь 2024'!$D$4:$D$1823,$B32,'июнь 2024'!$J$4:$J$1823,W$1)</f>
        <v>0</v>
      </c>
      <c r="X32" s="80">
        <f>SUMIFS('июнь 2024'!$G$4:$G$1823,'июнь 2024'!$D$4:$D$1823,$B32,'июнь 2024'!$J$4:$J$1823,X$1)</f>
        <v>0</v>
      </c>
      <c r="Y32" s="80">
        <f>SUMIFS('июнь 2024'!$G$4:$G$1823,'июнь 2024'!$D$4:$D$1823,$B32,'июнь 2024'!$J$4:$J$1823,Y$1)</f>
        <v>0</v>
      </c>
      <c r="Z32" s="80">
        <f>SUMIFS('июнь 2024'!$G$4:$G$1823,'июнь 2024'!$D$4:$D$1823,$B32,'июнь 2024'!$J$4:$J$1823,Z$1)</f>
        <v>0</v>
      </c>
      <c r="AA32" s="80">
        <f>SUMIFS('июнь 2024'!$G$4:$G$1823,'июнь 2024'!$D$4:$D$1823,$B32,'июнь 2024'!$J$4:$J$1823,AA$1)</f>
        <v>0</v>
      </c>
      <c r="AB32" s="80">
        <f>SUMIFS('июнь 2024'!$G$4:$G$1823,'июнь 2024'!$D$4:$D$1823,$B32,'июнь 2024'!$J$4:$J$1823,AB$1)</f>
        <v>0</v>
      </c>
      <c r="AC32" s="80">
        <f>SUMIFS('июнь 2024'!$G$4:$G$1823,'июнь 2024'!$D$4:$D$1823,$B32,'июнь 2024'!$J$4:$J$1823,AC$1)</f>
        <v>0</v>
      </c>
      <c r="AD32" s="80">
        <f>SUMIFS('июнь 2024'!$G$4:$G$1823,'июнь 2024'!$D$4:$D$1823,$B32,'июнь 2024'!$J$4:$J$1823,AD$1)</f>
        <v>0</v>
      </c>
      <c r="AE32" s="80">
        <f>SUMIFS('июнь 2024'!$G$4:$G$1823,'июнь 2024'!$D$4:$D$1823,$B32,'июнь 2024'!$J$4:$J$1823,AE$1)</f>
        <v>0</v>
      </c>
      <c r="AF32" s="80">
        <f>SUMIFS('июнь 2024'!$G$4:$G$1823,'июнь 2024'!$D$4:$D$1823,$B32,'июнь 2024'!$J$4:$J$1823,AF$1)</f>
        <v>0</v>
      </c>
      <c r="AG32" s="80">
        <f>SUMIFS('июнь 2024'!$G$4:$G$1823,'июнь 2024'!$D$4:$D$1823,$B32,'июнь 2024'!$J$4:$J$1823,AG$1)</f>
        <v>0</v>
      </c>
      <c r="AH32" s="80">
        <f>SUMIFS('июнь 2024'!$G$4:$G$1823,'июнь 2024'!$D$4:$D$1823,$B32,'июнь 2024'!$J$4:$J$1823,AH$1)</f>
        <v>0</v>
      </c>
      <c r="AI32" s="21">
        <f t="shared" si="1"/>
        <v>0</v>
      </c>
    </row>
    <row r="33" spans="2:35" ht="15" customHeight="1" x14ac:dyDescent="0.25">
      <c r="B33" s="142" t="s">
        <v>276</v>
      </c>
      <c r="C33" s="143">
        <v>25</v>
      </c>
      <c r="D33" s="80">
        <f>SUMIFS('июнь 2024'!$G$4:$G$1823,'июнь 2024'!$D$4:$D$1823,$B33,'июнь 2024'!$J$4:$J$1823,D$1)</f>
        <v>0</v>
      </c>
      <c r="E33" s="80">
        <f>SUMIFS('июнь 2024'!$G$4:$G$1823,'июнь 2024'!$D$4:$D$1823,$B33,'июнь 2024'!$J$4:$J$1823,E$1)</f>
        <v>0</v>
      </c>
      <c r="F33" s="80">
        <f>SUMIFS('июнь 2024'!$G$4:$G$1823,'июнь 2024'!$D$4:$D$1823,$B33,'июнь 2024'!$J$4:$J$1823,F$1)</f>
        <v>0</v>
      </c>
      <c r="G33" s="80">
        <f>SUMIFS('июнь 2024'!$G$4:$G$1823,'июнь 2024'!$D$4:$D$1823,$B33,'июнь 2024'!$J$4:$J$1823,G$1)</f>
        <v>0</v>
      </c>
      <c r="H33" s="80">
        <f>SUMIFS('июнь 2024'!$G$4:$G$1823,'июнь 2024'!$D$4:$D$1823,$B33,'июнь 2024'!$J$4:$J$1823,H$1)</f>
        <v>0</v>
      </c>
      <c r="I33" s="80">
        <f>SUMIFS('июнь 2024'!$G$4:$G$1823,'июнь 2024'!$D$4:$D$1823,$B33,'июнь 2024'!$J$4:$J$1823,I$1)</f>
        <v>0</v>
      </c>
      <c r="J33" s="80">
        <f>SUMIFS('июнь 2024'!$G$4:$G$1823,'июнь 2024'!$D$4:$D$1823,$B33,'июнь 2024'!$J$4:$J$1823,J$1)</f>
        <v>0</v>
      </c>
      <c r="K33" s="80">
        <f>SUMIFS('июнь 2024'!$G$4:$G$1823,'июнь 2024'!$D$4:$D$1823,$B33,'июнь 2024'!$J$4:$J$1823,K$1)</f>
        <v>0</v>
      </c>
      <c r="L33" s="80">
        <f>SUMIFS('июнь 2024'!$G$4:$G$1823,'июнь 2024'!$D$4:$D$1823,$B33,'июнь 2024'!$J$4:$J$1823,L$1)</f>
        <v>0</v>
      </c>
      <c r="M33" s="80">
        <f>SUMIFS('июнь 2024'!$G$4:$G$1823,'июнь 2024'!$D$4:$D$1823,$B33,'июнь 2024'!$J$4:$J$1823,M$1)</f>
        <v>0</v>
      </c>
      <c r="N33" s="80">
        <f>SUMIFS('июнь 2024'!$G$4:$G$1823,'июнь 2024'!$D$4:$D$1823,$B33,'июнь 2024'!$J$4:$J$1823,N$1)</f>
        <v>0</v>
      </c>
      <c r="O33" s="80">
        <f>SUMIFS('июнь 2024'!$G$4:$G$1823,'июнь 2024'!$D$4:$D$1823,$B33,'июнь 2024'!$J$4:$J$1823,O$1)</f>
        <v>0</v>
      </c>
      <c r="P33" s="80">
        <f>SUMIFS('июнь 2024'!$G$4:$G$1823,'июнь 2024'!$D$4:$D$1823,$B33,'июнь 2024'!$J$4:$J$1823,P$1)</f>
        <v>0</v>
      </c>
      <c r="Q33" s="80">
        <f>SUMIFS('июнь 2024'!$G$4:$G$1823,'июнь 2024'!$D$4:$D$1823,$B33,'июнь 2024'!$J$4:$J$1823,Q$1)</f>
        <v>0</v>
      </c>
      <c r="R33" s="80">
        <f>SUMIFS('июнь 2024'!$G$4:$G$1823,'июнь 2024'!$D$4:$D$1823,$B33,'июнь 2024'!$J$4:$J$1823,R$1)</f>
        <v>0</v>
      </c>
      <c r="S33" s="80">
        <f>SUMIFS('июнь 2024'!$G$4:$G$1823,'июнь 2024'!$D$4:$D$1823,$B33,'июнь 2024'!$J$4:$J$1823,S$1)</f>
        <v>0</v>
      </c>
      <c r="T33" s="80">
        <f>SUMIFS('июнь 2024'!$G$4:$G$1823,'июнь 2024'!$D$4:$D$1823,$B33,'июнь 2024'!$J$4:$J$1823,T$1)</f>
        <v>0</v>
      </c>
      <c r="U33" s="80">
        <f>SUMIFS('июнь 2024'!$G$4:$G$1823,'июнь 2024'!$D$4:$D$1823,$B33,'июнь 2024'!$J$4:$J$1823,U$1)</f>
        <v>0</v>
      </c>
      <c r="V33" s="80">
        <f>SUMIFS('июнь 2024'!$G$4:$G$1823,'июнь 2024'!$D$4:$D$1823,$B33,'июнь 2024'!$J$4:$J$1823,V$1)</f>
        <v>0</v>
      </c>
      <c r="W33" s="80">
        <f>SUMIFS('июнь 2024'!$G$4:$G$1823,'июнь 2024'!$D$4:$D$1823,$B33,'июнь 2024'!$J$4:$J$1823,W$1)</f>
        <v>0</v>
      </c>
      <c r="X33" s="80">
        <f>SUMIFS('июнь 2024'!$G$4:$G$1823,'июнь 2024'!$D$4:$D$1823,$B33,'июнь 2024'!$J$4:$J$1823,X$1)</f>
        <v>0</v>
      </c>
      <c r="Y33" s="80">
        <f>SUMIFS('июнь 2024'!$G$4:$G$1823,'июнь 2024'!$D$4:$D$1823,$B33,'июнь 2024'!$J$4:$J$1823,Y$1)</f>
        <v>0</v>
      </c>
      <c r="Z33" s="80">
        <f>SUMIFS('июнь 2024'!$G$4:$G$1823,'июнь 2024'!$D$4:$D$1823,$B33,'июнь 2024'!$J$4:$J$1823,Z$1)</f>
        <v>0</v>
      </c>
      <c r="AA33" s="80">
        <f>SUMIFS('июнь 2024'!$G$4:$G$1823,'июнь 2024'!$D$4:$D$1823,$B33,'июнь 2024'!$J$4:$J$1823,AA$1)</f>
        <v>0</v>
      </c>
      <c r="AB33" s="80">
        <f>SUMIFS('июнь 2024'!$G$4:$G$1823,'июнь 2024'!$D$4:$D$1823,$B33,'июнь 2024'!$J$4:$J$1823,AB$1)</f>
        <v>0</v>
      </c>
      <c r="AC33" s="80">
        <f>SUMIFS('июнь 2024'!$G$4:$G$1823,'июнь 2024'!$D$4:$D$1823,$B33,'июнь 2024'!$J$4:$J$1823,AC$1)</f>
        <v>0</v>
      </c>
      <c r="AD33" s="80">
        <f>SUMIFS('июнь 2024'!$G$4:$G$1823,'июнь 2024'!$D$4:$D$1823,$B33,'июнь 2024'!$J$4:$J$1823,AD$1)</f>
        <v>0</v>
      </c>
      <c r="AE33" s="80">
        <f>SUMIFS('июнь 2024'!$G$4:$G$1823,'июнь 2024'!$D$4:$D$1823,$B33,'июнь 2024'!$J$4:$J$1823,AE$1)</f>
        <v>0</v>
      </c>
      <c r="AF33" s="80">
        <f>SUMIFS('июнь 2024'!$G$4:$G$1823,'июнь 2024'!$D$4:$D$1823,$B33,'июнь 2024'!$J$4:$J$1823,AF$1)</f>
        <v>0</v>
      </c>
      <c r="AG33" s="80">
        <f>SUMIFS('июнь 2024'!$G$4:$G$1823,'июнь 2024'!$D$4:$D$1823,$B33,'июнь 2024'!$J$4:$J$1823,AG$1)</f>
        <v>0</v>
      </c>
      <c r="AH33" s="80">
        <f>SUMIFS('июнь 2024'!$G$4:$G$1823,'июнь 2024'!$D$4:$D$1823,$B33,'июнь 2024'!$J$4:$J$1823,AH$1)</f>
        <v>0</v>
      </c>
      <c r="AI33" s="21">
        <f t="shared" si="1"/>
        <v>0</v>
      </c>
    </row>
    <row r="34" spans="2:35" ht="15" customHeight="1" x14ac:dyDescent="0.25">
      <c r="B34" s="146" t="s">
        <v>278</v>
      </c>
      <c r="C34" s="143">
        <v>25</v>
      </c>
      <c r="D34" s="80">
        <f>SUMIFS('июнь 2024'!$G$4:$G$1823,'июнь 2024'!$D$4:$D$1823,$B34,'июнь 2024'!$J$4:$J$1823,D$1)</f>
        <v>0</v>
      </c>
      <c r="E34" s="80">
        <f>SUMIFS('июнь 2024'!$G$4:$G$1823,'июнь 2024'!$D$4:$D$1823,$B34,'июнь 2024'!$J$4:$J$1823,E$1)</f>
        <v>0</v>
      </c>
      <c r="F34" s="80">
        <f>SUMIFS('июнь 2024'!$G$4:$G$1823,'июнь 2024'!$D$4:$D$1823,$B34,'июнь 2024'!$J$4:$J$1823,F$1)</f>
        <v>0</v>
      </c>
      <c r="G34" s="80">
        <f>SUMIFS('июнь 2024'!$G$4:$G$1823,'июнь 2024'!$D$4:$D$1823,$B34,'июнь 2024'!$J$4:$J$1823,G$1)</f>
        <v>0</v>
      </c>
      <c r="H34" s="80">
        <f>SUMIFS('июнь 2024'!$G$4:$G$1823,'июнь 2024'!$D$4:$D$1823,$B34,'июнь 2024'!$J$4:$J$1823,H$1)</f>
        <v>0</v>
      </c>
      <c r="I34" s="80">
        <f>SUMIFS('июнь 2024'!$G$4:$G$1823,'июнь 2024'!$D$4:$D$1823,$B34,'июнь 2024'!$J$4:$J$1823,I$1)</f>
        <v>0</v>
      </c>
      <c r="J34" s="80">
        <f>SUMIFS('июнь 2024'!$G$4:$G$1823,'июнь 2024'!$D$4:$D$1823,$B34,'июнь 2024'!$J$4:$J$1823,J$1)</f>
        <v>0</v>
      </c>
      <c r="K34" s="80">
        <f>SUMIFS('июнь 2024'!$G$4:$G$1823,'июнь 2024'!$D$4:$D$1823,$B34,'июнь 2024'!$J$4:$J$1823,K$1)</f>
        <v>0</v>
      </c>
      <c r="L34" s="80">
        <f>SUMIFS('июнь 2024'!$G$4:$G$1823,'июнь 2024'!$D$4:$D$1823,$B34,'июнь 2024'!$J$4:$J$1823,L$1)</f>
        <v>0</v>
      </c>
      <c r="M34" s="80">
        <f>SUMIFS('июнь 2024'!$G$4:$G$1823,'июнь 2024'!$D$4:$D$1823,$B34,'июнь 2024'!$J$4:$J$1823,M$1)</f>
        <v>0</v>
      </c>
      <c r="N34" s="80">
        <f>SUMIFS('июнь 2024'!$G$4:$G$1823,'июнь 2024'!$D$4:$D$1823,$B34,'июнь 2024'!$J$4:$J$1823,N$1)</f>
        <v>0</v>
      </c>
      <c r="O34" s="80">
        <f>SUMIFS('июнь 2024'!$G$4:$G$1823,'июнь 2024'!$D$4:$D$1823,$B34,'июнь 2024'!$J$4:$J$1823,O$1)</f>
        <v>0</v>
      </c>
      <c r="P34" s="80">
        <f>SUMIFS('июнь 2024'!$G$4:$G$1823,'июнь 2024'!$D$4:$D$1823,$B34,'июнь 2024'!$J$4:$J$1823,P$1)</f>
        <v>0</v>
      </c>
      <c r="Q34" s="80">
        <f>SUMIFS('июнь 2024'!$G$4:$G$1823,'июнь 2024'!$D$4:$D$1823,$B34,'июнь 2024'!$J$4:$J$1823,Q$1)</f>
        <v>0</v>
      </c>
      <c r="R34" s="80">
        <f>SUMIFS('июнь 2024'!$G$4:$G$1823,'июнь 2024'!$D$4:$D$1823,$B34,'июнь 2024'!$J$4:$J$1823,R$1)</f>
        <v>0</v>
      </c>
      <c r="S34" s="80">
        <f>SUMIFS('июнь 2024'!$G$4:$G$1823,'июнь 2024'!$D$4:$D$1823,$B34,'июнь 2024'!$J$4:$J$1823,S$1)</f>
        <v>0</v>
      </c>
      <c r="T34" s="80">
        <f>SUMIFS('июнь 2024'!$G$4:$G$1823,'июнь 2024'!$D$4:$D$1823,$B34,'июнь 2024'!$J$4:$J$1823,T$1)</f>
        <v>0</v>
      </c>
      <c r="U34" s="80">
        <f>SUMIFS('июнь 2024'!$G$4:$G$1823,'июнь 2024'!$D$4:$D$1823,$B34,'июнь 2024'!$J$4:$J$1823,U$1)</f>
        <v>0</v>
      </c>
      <c r="V34" s="80">
        <f>SUMIFS('июнь 2024'!$G$4:$G$1823,'июнь 2024'!$D$4:$D$1823,$B34,'июнь 2024'!$J$4:$J$1823,V$1)</f>
        <v>0</v>
      </c>
      <c r="W34" s="80">
        <f>SUMIFS('июнь 2024'!$G$4:$G$1823,'июнь 2024'!$D$4:$D$1823,$B34,'июнь 2024'!$J$4:$J$1823,W$1)</f>
        <v>0</v>
      </c>
      <c r="X34" s="80">
        <f>SUMIFS('июнь 2024'!$G$4:$G$1823,'июнь 2024'!$D$4:$D$1823,$B34,'июнь 2024'!$J$4:$J$1823,X$1)</f>
        <v>0</v>
      </c>
      <c r="Y34" s="80">
        <f>SUMIFS('июнь 2024'!$G$4:$G$1823,'июнь 2024'!$D$4:$D$1823,$B34,'июнь 2024'!$J$4:$J$1823,Y$1)</f>
        <v>0</v>
      </c>
      <c r="Z34" s="80">
        <f>SUMIFS('июнь 2024'!$G$4:$G$1823,'июнь 2024'!$D$4:$D$1823,$B34,'июнь 2024'!$J$4:$J$1823,Z$1)</f>
        <v>0</v>
      </c>
      <c r="AA34" s="80">
        <f>SUMIFS('июнь 2024'!$G$4:$G$1823,'июнь 2024'!$D$4:$D$1823,$B34,'июнь 2024'!$J$4:$J$1823,AA$1)</f>
        <v>0</v>
      </c>
      <c r="AB34" s="80">
        <f>SUMIFS('июнь 2024'!$G$4:$G$1823,'июнь 2024'!$D$4:$D$1823,$B34,'июнь 2024'!$J$4:$J$1823,AB$1)</f>
        <v>0</v>
      </c>
      <c r="AC34" s="80">
        <f>SUMIFS('июнь 2024'!$G$4:$G$1823,'июнь 2024'!$D$4:$D$1823,$B34,'июнь 2024'!$J$4:$J$1823,AC$1)</f>
        <v>0</v>
      </c>
      <c r="AD34" s="80">
        <f>SUMIFS('июнь 2024'!$G$4:$G$1823,'июнь 2024'!$D$4:$D$1823,$B34,'июнь 2024'!$J$4:$J$1823,AD$1)</f>
        <v>0</v>
      </c>
      <c r="AE34" s="80">
        <f>SUMIFS('июнь 2024'!$G$4:$G$1823,'июнь 2024'!$D$4:$D$1823,$B34,'июнь 2024'!$J$4:$J$1823,AE$1)</f>
        <v>0</v>
      </c>
      <c r="AF34" s="80">
        <f>SUMIFS('июнь 2024'!$G$4:$G$1823,'июнь 2024'!$D$4:$D$1823,$B34,'июнь 2024'!$J$4:$J$1823,AF$1)</f>
        <v>0</v>
      </c>
      <c r="AG34" s="80">
        <f>SUMIFS('июнь 2024'!$G$4:$G$1823,'июнь 2024'!$D$4:$D$1823,$B34,'июнь 2024'!$J$4:$J$1823,AG$1)</f>
        <v>0</v>
      </c>
      <c r="AH34" s="80">
        <f>SUMIFS('июнь 2024'!$G$4:$G$1823,'июнь 2024'!$D$4:$D$1823,$B34,'июнь 2024'!$J$4:$J$1823,AH$1)</f>
        <v>0</v>
      </c>
      <c r="AI34" s="21">
        <f t="shared" si="1"/>
        <v>0</v>
      </c>
    </row>
    <row r="35" spans="2:35" ht="15" customHeight="1" x14ac:dyDescent="0.25">
      <c r="B35" s="147" t="s">
        <v>280</v>
      </c>
      <c r="C35" s="143">
        <v>25</v>
      </c>
      <c r="D35" s="80">
        <f>SUMIFS('июнь 2024'!$G$4:$G$1823,'июнь 2024'!$D$4:$D$1823,$B35,'июнь 2024'!$J$4:$J$1823,D$1)</f>
        <v>0</v>
      </c>
      <c r="E35" s="80">
        <f>SUMIFS('июнь 2024'!$G$4:$G$1823,'июнь 2024'!$D$4:$D$1823,$B35,'июнь 2024'!$J$4:$J$1823,E$1)</f>
        <v>0</v>
      </c>
      <c r="F35" s="80">
        <f>SUMIFS('июнь 2024'!$G$4:$G$1823,'июнь 2024'!$D$4:$D$1823,$B35,'июнь 2024'!$J$4:$J$1823,F$1)</f>
        <v>0</v>
      </c>
      <c r="G35" s="80">
        <f>SUMIFS('июнь 2024'!$G$4:$G$1823,'июнь 2024'!$D$4:$D$1823,$B35,'июнь 2024'!$J$4:$J$1823,G$1)</f>
        <v>0</v>
      </c>
      <c r="H35" s="80">
        <f>SUMIFS('июнь 2024'!$G$4:$G$1823,'июнь 2024'!$D$4:$D$1823,$B35,'июнь 2024'!$J$4:$J$1823,H$1)</f>
        <v>0</v>
      </c>
      <c r="I35" s="80">
        <f>SUMIFS('июнь 2024'!$G$4:$G$1823,'июнь 2024'!$D$4:$D$1823,$B35,'июнь 2024'!$J$4:$J$1823,I$1)</f>
        <v>0</v>
      </c>
      <c r="J35" s="80">
        <f>SUMIFS('июнь 2024'!$G$4:$G$1823,'июнь 2024'!$D$4:$D$1823,$B35,'июнь 2024'!$J$4:$J$1823,J$1)</f>
        <v>0</v>
      </c>
      <c r="K35" s="80">
        <f>SUMIFS('июнь 2024'!$G$4:$G$1823,'июнь 2024'!$D$4:$D$1823,$B35,'июнь 2024'!$J$4:$J$1823,K$1)</f>
        <v>0</v>
      </c>
      <c r="L35" s="80">
        <f>SUMIFS('июнь 2024'!$G$4:$G$1823,'июнь 2024'!$D$4:$D$1823,$B35,'июнь 2024'!$J$4:$J$1823,L$1)</f>
        <v>0</v>
      </c>
      <c r="M35" s="80">
        <f>SUMIFS('июнь 2024'!$G$4:$G$1823,'июнь 2024'!$D$4:$D$1823,$B35,'июнь 2024'!$J$4:$J$1823,M$1)</f>
        <v>0</v>
      </c>
      <c r="N35" s="80">
        <f>SUMIFS('июнь 2024'!$G$4:$G$1823,'июнь 2024'!$D$4:$D$1823,$B35,'июнь 2024'!$J$4:$J$1823,N$1)</f>
        <v>0</v>
      </c>
      <c r="O35" s="80">
        <f>SUMIFS('июнь 2024'!$G$4:$G$1823,'июнь 2024'!$D$4:$D$1823,$B35,'июнь 2024'!$J$4:$J$1823,O$1)</f>
        <v>0</v>
      </c>
      <c r="P35" s="80">
        <f>SUMIFS('июнь 2024'!$G$4:$G$1823,'июнь 2024'!$D$4:$D$1823,$B35,'июнь 2024'!$J$4:$J$1823,P$1)</f>
        <v>0</v>
      </c>
      <c r="Q35" s="80">
        <f>SUMIFS('июнь 2024'!$G$4:$G$1823,'июнь 2024'!$D$4:$D$1823,$B35,'июнь 2024'!$J$4:$J$1823,Q$1)</f>
        <v>0</v>
      </c>
      <c r="R35" s="80">
        <f>SUMIFS('июнь 2024'!$G$4:$G$1823,'июнь 2024'!$D$4:$D$1823,$B35,'июнь 2024'!$J$4:$J$1823,R$1)</f>
        <v>0</v>
      </c>
      <c r="S35" s="80">
        <f>SUMIFS('июнь 2024'!$G$4:$G$1823,'июнь 2024'!$D$4:$D$1823,$B35,'июнь 2024'!$J$4:$J$1823,S$1)</f>
        <v>0</v>
      </c>
      <c r="T35" s="80">
        <f>SUMIFS('июнь 2024'!$G$4:$G$1823,'июнь 2024'!$D$4:$D$1823,$B35,'июнь 2024'!$J$4:$J$1823,T$1)</f>
        <v>0</v>
      </c>
      <c r="U35" s="80">
        <f>SUMIFS('июнь 2024'!$G$4:$G$1823,'июнь 2024'!$D$4:$D$1823,$B35,'июнь 2024'!$J$4:$J$1823,U$1)</f>
        <v>0</v>
      </c>
      <c r="V35" s="80">
        <f>SUMIFS('июнь 2024'!$G$4:$G$1823,'июнь 2024'!$D$4:$D$1823,$B35,'июнь 2024'!$J$4:$J$1823,V$1)</f>
        <v>0</v>
      </c>
      <c r="W35" s="80">
        <f>SUMIFS('июнь 2024'!$G$4:$G$1823,'июнь 2024'!$D$4:$D$1823,$B35,'июнь 2024'!$J$4:$J$1823,W$1)</f>
        <v>0</v>
      </c>
      <c r="X35" s="80">
        <f>SUMIFS('июнь 2024'!$G$4:$G$1823,'июнь 2024'!$D$4:$D$1823,$B35,'июнь 2024'!$J$4:$J$1823,X$1)</f>
        <v>0</v>
      </c>
      <c r="Y35" s="80">
        <f>SUMIFS('июнь 2024'!$G$4:$G$1823,'июнь 2024'!$D$4:$D$1823,$B35,'июнь 2024'!$J$4:$J$1823,Y$1)</f>
        <v>0</v>
      </c>
      <c r="Z35" s="80">
        <f>SUMIFS('июнь 2024'!$G$4:$G$1823,'июнь 2024'!$D$4:$D$1823,$B35,'июнь 2024'!$J$4:$J$1823,Z$1)</f>
        <v>0</v>
      </c>
      <c r="AA35" s="80">
        <f>SUMIFS('июнь 2024'!$G$4:$G$1823,'июнь 2024'!$D$4:$D$1823,$B35,'июнь 2024'!$J$4:$J$1823,AA$1)</f>
        <v>0</v>
      </c>
      <c r="AB35" s="80">
        <f>SUMIFS('июнь 2024'!$G$4:$G$1823,'июнь 2024'!$D$4:$D$1823,$B35,'июнь 2024'!$J$4:$J$1823,AB$1)</f>
        <v>0</v>
      </c>
      <c r="AC35" s="80">
        <f>SUMIFS('июнь 2024'!$G$4:$G$1823,'июнь 2024'!$D$4:$D$1823,$B35,'июнь 2024'!$J$4:$J$1823,AC$1)</f>
        <v>0</v>
      </c>
      <c r="AD35" s="80">
        <f>SUMIFS('июнь 2024'!$G$4:$G$1823,'июнь 2024'!$D$4:$D$1823,$B35,'июнь 2024'!$J$4:$J$1823,AD$1)</f>
        <v>0</v>
      </c>
      <c r="AE35" s="80">
        <f>SUMIFS('июнь 2024'!$G$4:$G$1823,'июнь 2024'!$D$4:$D$1823,$B35,'июнь 2024'!$J$4:$J$1823,AE$1)</f>
        <v>0</v>
      </c>
      <c r="AF35" s="80">
        <f>SUMIFS('июнь 2024'!$G$4:$G$1823,'июнь 2024'!$D$4:$D$1823,$B35,'июнь 2024'!$J$4:$J$1823,AF$1)</f>
        <v>0</v>
      </c>
      <c r="AG35" s="80">
        <f>SUMIFS('июнь 2024'!$G$4:$G$1823,'июнь 2024'!$D$4:$D$1823,$B35,'июнь 2024'!$J$4:$J$1823,AG$1)</f>
        <v>0</v>
      </c>
      <c r="AH35" s="80">
        <f>SUMIFS('июнь 2024'!$G$4:$G$1823,'июнь 2024'!$D$4:$D$1823,$B35,'июнь 2024'!$J$4:$J$1823,AH$1)</f>
        <v>0</v>
      </c>
      <c r="AI35" s="21">
        <f t="shared" si="1"/>
        <v>0</v>
      </c>
    </row>
    <row r="36" spans="2:35" ht="15" customHeight="1" x14ac:dyDescent="0.25">
      <c r="B36" s="148" t="s">
        <v>282</v>
      </c>
      <c r="C36" s="149">
        <v>25</v>
      </c>
      <c r="D36" s="80">
        <f>SUMIFS('июнь 2024'!$G$4:$G$1823,'июнь 2024'!$D$4:$D$1823,$B36,'июнь 2024'!$J$4:$J$1823,D$1)</f>
        <v>0</v>
      </c>
      <c r="E36" s="80">
        <f>SUMIFS('июнь 2024'!$G$4:$G$1823,'июнь 2024'!$D$4:$D$1823,$B36,'июнь 2024'!$J$4:$J$1823,E$1)</f>
        <v>0</v>
      </c>
      <c r="F36" s="80">
        <f>SUMIFS('июнь 2024'!$G$4:$G$1823,'июнь 2024'!$D$4:$D$1823,$B36,'июнь 2024'!$J$4:$J$1823,F$1)</f>
        <v>0</v>
      </c>
      <c r="G36" s="80">
        <f>SUMIFS('июнь 2024'!$G$4:$G$1823,'июнь 2024'!$D$4:$D$1823,$B36,'июнь 2024'!$J$4:$J$1823,G$1)</f>
        <v>0</v>
      </c>
      <c r="H36" s="80">
        <f>SUMIFS('июнь 2024'!$G$4:$G$1823,'июнь 2024'!$D$4:$D$1823,$B36,'июнь 2024'!$J$4:$J$1823,H$1)</f>
        <v>0</v>
      </c>
      <c r="I36" s="80">
        <f>SUMIFS('июнь 2024'!$G$4:$G$1823,'июнь 2024'!$D$4:$D$1823,$B36,'июнь 2024'!$J$4:$J$1823,I$1)</f>
        <v>0</v>
      </c>
      <c r="J36" s="80">
        <f>SUMIFS('июнь 2024'!$G$4:$G$1823,'июнь 2024'!$D$4:$D$1823,$B36,'июнь 2024'!$J$4:$J$1823,J$1)</f>
        <v>0</v>
      </c>
      <c r="K36" s="80">
        <f>SUMIFS('июнь 2024'!$G$4:$G$1823,'июнь 2024'!$D$4:$D$1823,$B36,'июнь 2024'!$J$4:$J$1823,K$1)</f>
        <v>0</v>
      </c>
      <c r="L36" s="80">
        <f>SUMIFS('июнь 2024'!$G$4:$G$1823,'июнь 2024'!$D$4:$D$1823,$B36,'июнь 2024'!$J$4:$J$1823,L$1)</f>
        <v>0</v>
      </c>
      <c r="M36" s="80">
        <f>SUMIFS('июнь 2024'!$G$4:$G$1823,'июнь 2024'!$D$4:$D$1823,$B36,'июнь 2024'!$J$4:$J$1823,M$1)</f>
        <v>0</v>
      </c>
      <c r="N36" s="80">
        <f>SUMIFS('июнь 2024'!$G$4:$G$1823,'июнь 2024'!$D$4:$D$1823,$B36,'июнь 2024'!$J$4:$J$1823,N$1)</f>
        <v>0</v>
      </c>
      <c r="O36" s="80">
        <f>SUMIFS('июнь 2024'!$G$4:$G$1823,'июнь 2024'!$D$4:$D$1823,$B36,'июнь 2024'!$J$4:$J$1823,O$1)</f>
        <v>0</v>
      </c>
      <c r="P36" s="80">
        <f>SUMIFS('июнь 2024'!$G$4:$G$1823,'июнь 2024'!$D$4:$D$1823,$B36,'июнь 2024'!$J$4:$J$1823,P$1)</f>
        <v>0</v>
      </c>
      <c r="Q36" s="80">
        <f>SUMIFS('июнь 2024'!$G$4:$G$1823,'июнь 2024'!$D$4:$D$1823,$B36,'июнь 2024'!$J$4:$J$1823,Q$1)</f>
        <v>0</v>
      </c>
      <c r="R36" s="80">
        <f>SUMIFS('июнь 2024'!$G$4:$G$1823,'июнь 2024'!$D$4:$D$1823,$B36,'июнь 2024'!$J$4:$J$1823,R$1)</f>
        <v>0</v>
      </c>
      <c r="S36" s="80">
        <f>SUMIFS('июнь 2024'!$G$4:$G$1823,'июнь 2024'!$D$4:$D$1823,$B36,'июнь 2024'!$J$4:$J$1823,S$1)</f>
        <v>0</v>
      </c>
      <c r="T36" s="80">
        <f>SUMIFS('июнь 2024'!$G$4:$G$1823,'июнь 2024'!$D$4:$D$1823,$B36,'июнь 2024'!$J$4:$J$1823,T$1)</f>
        <v>0</v>
      </c>
      <c r="U36" s="80">
        <f>SUMIFS('июнь 2024'!$G$4:$G$1823,'июнь 2024'!$D$4:$D$1823,$B36,'июнь 2024'!$J$4:$J$1823,U$1)</f>
        <v>0</v>
      </c>
      <c r="V36" s="80">
        <f>SUMIFS('июнь 2024'!$G$4:$G$1823,'июнь 2024'!$D$4:$D$1823,$B36,'июнь 2024'!$J$4:$J$1823,V$1)</f>
        <v>0</v>
      </c>
      <c r="W36" s="80">
        <f>SUMIFS('июнь 2024'!$G$4:$G$1823,'июнь 2024'!$D$4:$D$1823,$B36,'июнь 2024'!$J$4:$J$1823,W$1)</f>
        <v>0</v>
      </c>
      <c r="X36" s="80">
        <f>SUMIFS('июнь 2024'!$G$4:$G$1823,'июнь 2024'!$D$4:$D$1823,$B36,'июнь 2024'!$J$4:$J$1823,X$1)</f>
        <v>0</v>
      </c>
      <c r="Y36" s="80">
        <f>SUMIFS('июнь 2024'!$G$4:$G$1823,'июнь 2024'!$D$4:$D$1823,$B36,'июнь 2024'!$J$4:$J$1823,Y$1)</f>
        <v>0</v>
      </c>
      <c r="Z36" s="80">
        <f>SUMIFS('июнь 2024'!$G$4:$G$1823,'июнь 2024'!$D$4:$D$1823,$B36,'июнь 2024'!$J$4:$J$1823,Z$1)</f>
        <v>0</v>
      </c>
      <c r="AA36" s="80">
        <f>SUMIFS('июнь 2024'!$G$4:$G$1823,'июнь 2024'!$D$4:$D$1823,$B36,'июнь 2024'!$J$4:$J$1823,AA$1)</f>
        <v>0</v>
      </c>
      <c r="AB36" s="80">
        <f>SUMIFS('июнь 2024'!$G$4:$G$1823,'июнь 2024'!$D$4:$D$1823,$B36,'июнь 2024'!$J$4:$J$1823,AB$1)</f>
        <v>0</v>
      </c>
      <c r="AC36" s="80">
        <f>SUMIFS('июнь 2024'!$G$4:$G$1823,'июнь 2024'!$D$4:$D$1823,$B36,'июнь 2024'!$J$4:$J$1823,AC$1)</f>
        <v>0</v>
      </c>
      <c r="AD36" s="80">
        <f>SUMIFS('июнь 2024'!$G$4:$G$1823,'июнь 2024'!$D$4:$D$1823,$B36,'июнь 2024'!$J$4:$J$1823,AD$1)</f>
        <v>0</v>
      </c>
      <c r="AE36" s="80">
        <f>SUMIFS('июнь 2024'!$G$4:$G$1823,'июнь 2024'!$D$4:$D$1823,$B36,'июнь 2024'!$J$4:$J$1823,AE$1)</f>
        <v>0</v>
      </c>
      <c r="AF36" s="80">
        <f>SUMIFS('июнь 2024'!$G$4:$G$1823,'июнь 2024'!$D$4:$D$1823,$B36,'июнь 2024'!$J$4:$J$1823,AF$1)</f>
        <v>0</v>
      </c>
      <c r="AG36" s="80">
        <f>SUMIFS('июнь 2024'!$G$4:$G$1823,'июнь 2024'!$D$4:$D$1823,$B36,'июнь 2024'!$J$4:$J$1823,AG$1)</f>
        <v>0</v>
      </c>
      <c r="AH36" s="80">
        <f>SUMIFS('июнь 2024'!$G$4:$G$1823,'июнь 2024'!$D$4:$D$1823,$B36,'июнь 2024'!$J$4:$J$1823,AH$1)</f>
        <v>0</v>
      </c>
      <c r="AI36" s="21">
        <f t="shared" si="1"/>
        <v>0</v>
      </c>
    </row>
    <row r="37" spans="2:35" ht="15" customHeight="1" x14ac:dyDescent="0.25">
      <c r="B37" s="150" t="s">
        <v>284</v>
      </c>
      <c r="C37" s="151">
        <v>22.68</v>
      </c>
      <c r="D37" s="80">
        <f>SUMIFS('июнь 2024'!$G$4:$G$1823,'июнь 2024'!$D$4:$D$1823,$B37,'июнь 2024'!$J$4:$J$1823,D$1)</f>
        <v>0</v>
      </c>
      <c r="E37" s="80">
        <f>SUMIFS('июнь 2024'!$G$4:$G$1823,'июнь 2024'!$D$4:$D$1823,$B37,'июнь 2024'!$J$4:$J$1823,E$1)</f>
        <v>0</v>
      </c>
      <c r="F37" s="80">
        <f>SUMIFS('июнь 2024'!$G$4:$G$1823,'июнь 2024'!$D$4:$D$1823,$B37,'июнь 2024'!$J$4:$J$1823,F$1)</f>
        <v>0</v>
      </c>
      <c r="G37" s="80">
        <f>SUMIFS('июнь 2024'!$G$4:$G$1823,'июнь 2024'!$D$4:$D$1823,$B37,'июнь 2024'!$J$4:$J$1823,G$1)</f>
        <v>0</v>
      </c>
      <c r="H37" s="80">
        <f>SUMIFS('июнь 2024'!$G$4:$G$1823,'июнь 2024'!$D$4:$D$1823,$B37,'июнь 2024'!$J$4:$J$1823,H$1)</f>
        <v>0</v>
      </c>
      <c r="I37" s="80">
        <f>SUMIFS('июнь 2024'!$G$4:$G$1823,'июнь 2024'!$D$4:$D$1823,$B37,'июнь 2024'!$J$4:$J$1823,I$1)</f>
        <v>0</v>
      </c>
      <c r="J37" s="80">
        <f>SUMIFS('июнь 2024'!$G$4:$G$1823,'июнь 2024'!$D$4:$D$1823,$B37,'июнь 2024'!$J$4:$J$1823,J$1)</f>
        <v>0</v>
      </c>
      <c r="K37" s="80">
        <f>SUMIFS('июнь 2024'!$G$4:$G$1823,'июнь 2024'!$D$4:$D$1823,$B37,'июнь 2024'!$J$4:$J$1823,K$1)</f>
        <v>0</v>
      </c>
      <c r="L37" s="80">
        <f>SUMIFS('июнь 2024'!$G$4:$G$1823,'июнь 2024'!$D$4:$D$1823,$B37,'июнь 2024'!$J$4:$J$1823,L$1)</f>
        <v>0</v>
      </c>
      <c r="M37" s="80">
        <f>SUMIFS('июнь 2024'!$G$4:$G$1823,'июнь 2024'!$D$4:$D$1823,$B37,'июнь 2024'!$J$4:$J$1823,M$1)</f>
        <v>0</v>
      </c>
      <c r="N37" s="80">
        <f>SUMIFS('июнь 2024'!$G$4:$G$1823,'июнь 2024'!$D$4:$D$1823,$B37,'июнь 2024'!$J$4:$J$1823,N$1)</f>
        <v>0</v>
      </c>
      <c r="O37" s="80">
        <f>SUMIFS('июнь 2024'!$G$4:$G$1823,'июнь 2024'!$D$4:$D$1823,$B37,'июнь 2024'!$J$4:$J$1823,O$1)</f>
        <v>0</v>
      </c>
      <c r="P37" s="80">
        <f>SUMIFS('июнь 2024'!$G$4:$G$1823,'июнь 2024'!$D$4:$D$1823,$B37,'июнь 2024'!$J$4:$J$1823,P$1)</f>
        <v>0</v>
      </c>
      <c r="Q37" s="80">
        <f>SUMIFS('июнь 2024'!$G$4:$G$1823,'июнь 2024'!$D$4:$D$1823,$B37,'июнь 2024'!$J$4:$J$1823,Q$1)</f>
        <v>0</v>
      </c>
      <c r="R37" s="80">
        <f>SUMIFS('июнь 2024'!$G$4:$G$1823,'июнь 2024'!$D$4:$D$1823,$B37,'июнь 2024'!$J$4:$J$1823,R$1)</f>
        <v>0</v>
      </c>
      <c r="S37" s="80">
        <f>SUMIFS('июнь 2024'!$G$4:$G$1823,'июнь 2024'!$D$4:$D$1823,$B37,'июнь 2024'!$J$4:$J$1823,S$1)</f>
        <v>0</v>
      </c>
      <c r="T37" s="80">
        <f>SUMIFS('июнь 2024'!$G$4:$G$1823,'июнь 2024'!$D$4:$D$1823,$B37,'июнь 2024'!$J$4:$J$1823,T$1)</f>
        <v>0</v>
      </c>
      <c r="U37" s="80">
        <f>SUMIFS('июнь 2024'!$G$4:$G$1823,'июнь 2024'!$D$4:$D$1823,$B37,'июнь 2024'!$J$4:$J$1823,U$1)</f>
        <v>0</v>
      </c>
      <c r="V37" s="80">
        <f>SUMIFS('июнь 2024'!$G$4:$G$1823,'июнь 2024'!$D$4:$D$1823,$B37,'июнь 2024'!$J$4:$J$1823,V$1)</f>
        <v>0</v>
      </c>
      <c r="W37" s="80">
        <f>SUMIFS('июнь 2024'!$G$4:$G$1823,'июнь 2024'!$D$4:$D$1823,$B37,'июнь 2024'!$J$4:$J$1823,W$1)</f>
        <v>0</v>
      </c>
      <c r="X37" s="80">
        <f>SUMIFS('июнь 2024'!$G$4:$G$1823,'июнь 2024'!$D$4:$D$1823,$B37,'июнь 2024'!$J$4:$J$1823,X$1)</f>
        <v>0</v>
      </c>
      <c r="Y37" s="80">
        <f>SUMIFS('июнь 2024'!$G$4:$G$1823,'июнь 2024'!$D$4:$D$1823,$B37,'июнь 2024'!$J$4:$J$1823,Y$1)</f>
        <v>0</v>
      </c>
      <c r="Z37" s="80">
        <f>SUMIFS('июнь 2024'!$G$4:$G$1823,'июнь 2024'!$D$4:$D$1823,$B37,'июнь 2024'!$J$4:$J$1823,Z$1)</f>
        <v>0</v>
      </c>
      <c r="AA37" s="80">
        <f>SUMIFS('июнь 2024'!$G$4:$G$1823,'июнь 2024'!$D$4:$D$1823,$B37,'июнь 2024'!$J$4:$J$1823,AA$1)</f>
        <v>0</v>
      </c>
      <c r="AB37" s="80">
        <f>SUMIFS('июнь 2024'!$G$4:$G$1823,'июнь 2024'!$D$4:$D$1823,$B37,'июнь 2024'!$J$4:$J$1823,AB$1)</f>
        <v>0</v>
      </c>
      <c r="AC37" s="80">
        <f>SUMIFS('июнь 2024'!$G$4:$G$1823,'июнь 2024'!$D$4:$D$1823,$B37,'июнь 2024'!$J$4:$J$1823,AC$1)</f>
        <v>0</v>
      </c>
      <c r="AD37" s="80">
        <f>SUMIFS('июнь 2024'!$G$4:$G$1823,'июнь 2024'!$D$4:$D$1823,$B37,'июнь 2024'!$J$4:$J$1823,AD$1)</f>
        <v>0</v>
      </c>
      <c r="AE37" s="80">
        <f>SUMIFS('июнь 2024'!$G$4:$G$1823,'июнь 2024'!$D$4:$D$1823,$B37,'июнь 2024'!$J$4:$J$1823,AE$1)</f>
        <v>0</v>
      </c>
      <c r="AF37" s="80">
        <f>SUMIFS('июнь 2024'!$G$4:$G$1823,'июнь 2024'!$D$4:$D$1823,$B37,'июнь 2024'!$J$4:$J$1823,AF$1)</f>
        <v>0</v>
      </c>
      <c r="AG37" s="80">
        <f>SUMIFS('июнь 2024'!$G$4:$G$1823,'июнь 2024'!$D$4:$D$1823,$B37,'июнь 2024'!$J$4:$J$1823,AG$1)</f>
        <v>0</v>
      </c>
      <c r="AH37" s="80">
        <f>SUMIFS('июнь 2024'!$G$4:$G$1823,'июнь 2024'!$D$4:$D$1823,$B37,'июнь 2024'!$J$4:$J$1823,AH$1)</f>
        <v>0</v>
      </c>
      <c r="AI37" s="21">
        <f t="shared" si="1"/>
        <v>0</v>
      </c>
    </row>
    <row r="38" spans="2:35" ht="15" customHeight="1" x14ac:dyDescent="0.25">
      <c r="B38" s="150" t="s">
        <v>286</v>
      </c>
      <c r="C38" s="152">
        <v>25</v>
      </c>
      <c r="D38" s="80">
        <f>SUMIFS('июнь 2024'!$G$4:$G$1823,'июнь 2024'!$D$4:$D$1823,$B38,'июнь 2024'!$J$4:$J$1823,D$1)</f>
        <v>0</v>
      </c>
      <c r="E38" s="80">
        <f>SUMIFS('июнь 2024'!$G$4:$G$1823,'июнь 2024'!$D$4:$D$1823,$B38,'июнь 2024'!$J$4:$J$1823,E$1)</f>
        <v>0</v>
      </c>
      <c r="F38" s="80">
        <f>SUMIFS('июнь 2024'!$G$4:$G$1823,'июнь 2024'!$D$4:$D$1823,$B38,'июнь 2024'!$J$4:$J$1823,F$1)</f>
        <v>400</v>
      </c>
      <c r="G38" s="80">
        <f>SUMIFS('июнь 2024'!$G$4:$G$1823,'июнь 2024'!$D$4:$D$1823,$B38,'июнь 2024'!$J$4:$J$1823,G$1)</f>
        <v>0</v>
      </c>
      <c r="H38" s="80">
        <f>SUMIFS('июнь 2024'!$G$4:$G$1823,'июнь 2024'!$D$4:$D$1823,$B38,'июнь 2024'!$J$4:$J$1823,H$1)</f>
        <v>800</v>
      </c>
      <c r="I38" s="80">
        <f>SUMIFS('июнь 2024'!$G$4:$G$1823,'июнь 2024'!$D$4:$D$1823,$B38,'июнь 2024'!$J$4:$J$1823,I$1)</f>
        <v>0</v>
      </c>
      <c r="J38" s="80">
        <f>SUMIFS('июнь 2024'!$G$4:$G$1823,'июнь 2024'!$D$4:$D$1823,$B38,'июнь 2024'!$J$4:$J$1823,J$1)</f>
        <v>0</v>
      </c>
      <c r="K38" s="80">
        <f>SUMIFS('июнь 2024'!$G$4:$G$1823,'июнь 2024'!$D$4:$D$1823,$B38,'июнь 2024'!$J$4:$J$1823,K$1)</f>
        <v>0</v>
      </c>
      <c r="L38" s="80">
        <f>SUMIFS('июнь 2024'!$G$4:$G$1823,'июнь 2024'!$D$4:$D$1823,$B38,'июнь 2024'!$J$4:$J$1823,L$1)</f>
        <v>0</v>
      </c>
      <c r="M38" s="80">
        <f>SUMIFS('июнь 2024'!$G$4:$G$1823,'июнь 2024'!$D$4:$D$1823,$B38,'июнь 2024'!$J$4:$J$1823,M$1)</f>
        <v>0</v>
      </c>
      <c r="N38" s="80">
        <f>SUMIFS('июнь 2024'!$G$4:$G$1823,'июнь 2024'!$D$4:$D$1823,$B38,'июнь 2024'!$J$4:$J$1823,N$1)</f>
        <v>0</v>
      </c>
      <c r="O38" s="80">
        <f>SUMIFS('июнь 2024'!$G$4:$G$1823,'июнь 2024'!$D$4:$D$1823,$B38,'июнь 2024'!$J$4:$J$1823,O$1)</f>
        <v>0</v>
      </c>
      <c r="P38" s="80">
        <f>SUMIFS('июнь 2024'!$G$4:$G$1823,'июнь 2024'!$D$4:$D$1823,$B38,'июнь 2024'!$J$4:$J$1823,P$1)</f>
        <v>0</v>
      </c>
      <c r="Q38" s="80">
        <f>SUMIFS('июнь 2024'!$G$4:$G$1823,'июнь 2024'!$D$4:$D$1823,$B38,'июнь 2024'!$J$4:$J$1823,Q$1)</f>
        <v>0</v>
      </c>
      <c r="R38" s="80">
        <f>SUMIFS('июнь 2024'!$G$4:$G$1823,'июнь 2024'!$D$4:$D$1823,$B38,'июнь 2024'!$J$4:$J$1823,R$1)</f>
        <v>0</v>
      </c>
      <c r="S38" s="80">
        <f>SUMIFS('июнь 2024'!$G$4:$G$1823,'июнь 2024'!$D$4:$D$1823,$B38,'июнь 2024'!$J$4:$J$1823,S$1)</f>
        <v>0</v>
      </c>
      <c r="T38" s="80">
        <f>SUMIFS('июнь 2024'!$G$4:$G$1823,'июнь 2024'!$D$4:$D$1823,$B38,'июнь 2024'!$J$4:$J$1823,T$1)</f>
        <v>800</v>
      </c>
      <c r="U38" s="80">
        <f>SUMIFS('июнь 2024'!$G$4:$G$1823,'июнь 2024'!$D$4:$D$1823,$B38,'июнь 2024'!$J$4:$J$1823,U$1)</f>
        <v>0</v>
      </c>
      <c r="V38" s="80">
        <f>SUMIFS('июнь 2024'!$G$4:$G$1823,'июнь 2024'!$D$4:$D$1823,$B38,'июнь 2024'!$J$4:$J$1823,V$1)</f>
        <v>200</v>
      </c>
      <c r="W38" s="80">
        <f>SUMIFS('июнь 2024'!$G$4:$G$1823,'июнь 2024'!$D$4:$D$1823,$B38,'июнь 2024'!$J$4:$J$1823,W$1)</f>
        <v>0</v>
      </c>
      <c r="X38" s="80">
        <f>SUMIFS('июнь 2024'!$G$4:$G$1823,'июнь 2024'!$D$4:$D$1823,$B38,'июнь 2024'!$J$4:$J$1823,X$1)</f>
        <v>0</v>
      </c>
      <c r="Y38" s="80">
        <f>SUMIFS('июнь 2024'!$G$4:$G$1823,'июнь 2024'!$D$4:$D$1823,$B38,'июнь 2024'!$J$4:$J$1823,Y$1)</f>
        <v>0</v>
      </c>
      <c r="Z38" s="80">
        <f>SUMIFS('июнь 2024'!$G$4:$G$1823,'июнь 2024'!$D$4:$D$1823,$B38,'июнь 2024'!$J$4:$J$1823,Z$1)</f>
        <v>0</v>
      </c>
      <c r="AA38" s="80">
        <f>SUMIFS('июнь 2024'!$G$4:$G$1823,'июнь 2024'!$D$4:$D$1823,$B38,'июнь 2024'!$J$4:$J$1823,AA$1)</f>
        <v>0</v>
      </c>
      <c r="AB38" s="80">
        <f>SUMIFS('июнь 2024'!$G$4:$G$1823,'июнь 2024'!$D$4:$D$1823,$B38,'июнь 2024'!$J$4:$J$1823,AB$1)</f>
        <v>0</v>
      </c>
      <c r="AC38" s="80">
        <f>SUMIFS('июнь 2024'!$G$4:$G$1823,'июнь 2024'!$D$4:$D$1823,$B38,'июнь 2024'!$J$4:$J$1823,AC$1)</f>
        <v>0</v>
      </c>
      <c r="AD38" s="80">
        <f>SUMIFS('июнь 2024'!$G$4:$G$1823,'июнь 2024'!$D$4:$D$1823,$B38,'июнь 2024'!$J$4:$J$1823,AD$1)</f>
        <v>0</v>
      </c>
      <c r="AE38" s="80">
        <f>SUMIFS('июнь 2024'!$G$4:$G$1823,'июнь 2024'!$D$4:$D$1823,$B38,'июнь 2024'!$J$4:$J$1823,AE$1)</f>
        <v>0</v>
      </c>
      <c r="AF38" s="80">
        <f>SUMIFS('июнь 2024'!$G$4:$G$1823,'июнь 2024'!$D$4:$D$1823,$B38,'июнь 2024'!$J$4:$J$1823,AF$1)</f>
        <v>0</v>
      </c>
      <c r="AG38" s="80">
        <f>SUMIFS('июнь 2024'!$G$4:$G$1823,'июнь 2024'!$D$4:$D$1823,$B38,'июнь 2024'!$J$4:$J$1823,AG$1)</f>
        <v>0</v>
      </c>
      <c r="AH38" s="80">
        <f>SUMIFS('июнь 2024'!$G$4:$G$1823,'июнь 2024'!$D$4:$D$1823,$B38,'июнь 2024'!$J$4:$J$1823,AH$1)</f>
        <v>0</v>
      </c>
      <c r="AI38" s="21">
        <f t="shared" si="1"/>
        <v>2200</v>
      </c>
    </row>
    <row r="39" spans="2:35" ht="15" customHeight="1" x14ac:dyDescent="0.25">
      <c r="B39" s="150" t="s">
        <v>288</v>
      </c>
      <c r="C39" s="153">
        <v>25</v>
      </c>
      <c r="D39" s="80">
        <f>SUMIFS('июнь 2024'!$G$4:$G$1823,'июнь 2024'!$D$4:$D$1823,$B39,'июнь 2024'!$J$4:$J$1823,D$1)</f>
        <v>0</v>
      </c>
      <c r="E39" s="80">
        <f>SUMIFS('июнь 2024'!$G$4:$G$1823,'июнь 2024'!$D$4:$D$1823,$B39,'июнь 2024'!$J$4:$J$1823,E$1)</f>
        <v>0</v>
      </c>
      <c r="F39" s="80">
        <f>SUMIFS('июнь 2024'!$G$4:$G$1823,'июнь 2024'!$D$4:$D$1823,$B39,'июнь 2024'!$J$4:$J$1823,F$1)</f>
        <v>0</v>
      </c>
      <c r="G39" s="80">
        <f>SUMIFS('июнь 2024'!$G$4:$G$1823,'июнь 2024'!$D$4:$D$1823,$B39,'июнь 2024'!$J$4:$J$1823,G$1)</f>
        <v>0</v>
      </c>
      <c r="H39" s="80">
        <f>SUMIFS('июнь 2024'!$G$4:$G$1823,'июнь 2024'!$D$4:$D$1823,$B39,'июнь 2024'!$J$4:$J$1823,H$1)</f>
        <v>0</v>
      </c>
      <c r="I39" s="80">
        <f>SUMIFS('июнь 2024'!$G$4:$G$1823,'июнь 2024'!$D$4:$D$1823,$B39,'июнь 2024'!$J$4:$J$1823,I$1)</f>
        <v>0</v>
      </c>
      <c r="J39" s="80">
        <f>SUMIFS('июнь 2024'!$G$4:$G$1823,'июнь 2024'!$D$4:$D$1823,$B39,'июнь 2024'!$J$4:$J$1823,J$1)</f>
        <v>0</v>
      </c>
      <c r="K39" s="80">
        <f>SUMIFS('июнь 2024'!$G$4:$G$1823,'июнь 2024'!$D$4:$D$1823,$B39,'июнь 2024'!$J$4:$J$1823,K$1)</f>
        <v>0</v>
      </c>
      <c r="L39" s="80">
        <f>SUMIFS('июнь 2024'!$G$4:$G$1823,'июнь 2024'!$D$4:$D$1823,$B39,'июнь 2024'!$J$4:$J$1823,L$1)</f>
        <v>0</v>
      </c>
      <c r="M39" s="80">
        <f>SUMIFS('июнь 2024'!$G$4:$G$1823,'июнь 2024'!$D$4:$D$1823,$B39,'июнь 2024'!$J$4:$J$1823,M$1)</f>
        <v>0</v>
      </c>
      <c r="N39" s="80">
        <f>SUMIFS('июнь 2024'!$G$4:$G$1823,'июнь 2024'!$D$4:$D$1823,$B39,'июнь 2024'!$J$4:$J$1823,N$1)</f>
        <v>0</v>
      </c>
      <c r="O39" s="80">
        <f>SUMIFS('июнь 2024'!$G$4:$G$1823,'июнь 2024'!$D$4:$D$1823,$B39,'июнь 2024'!$J$4:$J$1823,O$1)</f>
        <v>0</v>
      </c>
      <c r="P39" s="80">
        <f>SUMIFS('июнь 2024'!$G$4:$G$1823,'июнь 2024'!$D$4:$D$1823,$B39,'июнь 2024'!$J$4:$J$1823,P$1)</f>
        <v>0</v>
      </c>
      <c r="Q39" s="80">
        <f>SUMIFS('июнь 2024'!$G$4:$G$1823,'июнь 2024'!$D$4:$D$1823,$B39,'июнь 2024'!$J$4:$J$1823,Q$1)</f>
        <v>0</v>
      </c>
      <c r="R39" s="80">
        <f>SUMIFS('июнь 2024'!$G$4:$G$1823,'июнь 2024'!$D$4:$D$1823,$B39,'июнь 2024'!$J$4:$J$1823,R$1)</f>
        <v>0</v>
      </c>
      <c r="S39" s="80">
        <f>SUMIFS('июнь 2024'!$G$4:$G$1823,'июнь 2024'!$D$4:$D$1823,$B39,'июнь 2024'!$J$4:$J$1823,S$1)</f>
        <v>0</v>
      </c>
      <c r="T39" s="80">
        <f>SUMIFS('июнь 2024'!$G$4:$G$1823,'июнь 2024'!$D$4:$D$1823,$B39,'июнь 2024'!$J$4:$J$1823,T$1)</f>
        <v>0</v>
      </c>
      <c r="U39" s="80">
        <f>SUMIFS('июнь 2024'!$G$4:$G$1823,'июнь 2024'!$D$4:$D$1823,$B39,'июнь 2024'!$J$4:$J$1823,U$1)</f>
        <v>0</v>
      </c>
      <c r="V39" s="80">
        <f>SUMIFS('июнь 2024'!$G$4:$G$1823,'июнь 2024'!$D$4:$D$1823,$B39,'июнь 2024'!$J$4:$J$1823,V$1)</f>
        <v>0</v>
      </c>
      <c r="W39" s="80">
        <f>SUMIFS('июнь 2024'!$G$4:$G$1823,'июнь 2024'!$D$4:$D$1823,$B39,'июнь 2024'!$J$4:$J$1823,W$1)</f>
        <v>0</v>
      </c>
      <c r="X39" s="80">
        <f>SUMIFS('июнь 2024'!$G$4:$G$1823,'июнь 2024'!$D$4:$D$1823,$B39,'июнь 2024'!$J$4:$J$1823,X$1)</f>
        <v>0</v>
      </c>
      <c r="Y39" s="80">
        <f>SUMIFS('июнь 2024'!$G$4:$G$1823,'июнь 2024'!$D$4:$D$1823,$B39,'июнь 2024'!$J$4:$J$1823,Y$1)</f>
        <v>0</v>
      </c>
      <c r="Z39" s="80">
        <f>SUMIFS('июнь 2024'!$G$4:$G$1823,'июнь 2024'!$D$4:$D$1823,$B39,'июнь 2024'!$J$4:$J$1823,Z$1)</f>
        <v>0</v>
      </c>
      <c r="AA39" s="80">
        <f>SUMIFS('июнь 2024'!$G$4:$G$1823,'июнь 2024'!$D$4:$D$1823,$B39,'июнь 2024'!$J$4:$J$1823,AA$1)</f>
        <v>0</v>
      </c>
      <c r="AB39" s="80">
        <f>SUMIFS('июнь 2024'!$G$4:$G$1823,'июнь 2024'!$D$4:$D$1823,$B39,'июнь 2024'!$J$4:$J$1823,AB$1)</f>
        <v>0</v>
      </c>
      <c r="AC39" s="80">
        <f>SUMIFS('июнь 2024'!$G$4:$G$1823,'июнь 2024'!$D$4:$D$1823,$B39,'июнь 2024'!$J$4:$J$1823,AC$1)</f>
        <v>0</v>
      </c>
      <c r="AD39" s="80">
        <f>SUMIFS('июнь 2024'!$G$4:$G$1823,'июнь 2024'!$D$4:$D$1823,$B39,'июнь 2024'!$J$4:$J$1823,AD$1)</f>
        <v>0</v>
      </c>
      <c r="AE39" s="80">
        <f>SUMIFS('июнь 2024'!$G$4:$G$1823,'июнь 2024'!$D$4:$D$1823,$B39,'июнь 2024'!$J$4:$J$1823,AE$1)</f>
        <v>0</v>
      </c>
      <c r="AF39" s="80">
        <f>SUMIFS('июнь 2024'!$G$4:$G$1823,'июнь 2024'!$D$4:$D$1823,$B39,'июнь 2024'!$J$4:$J$1823,AF$1)</f>
        <v>0</v>
      </c>
      <c r="AG39" s="80">
        <f>SUMIFS('июнь 2024'!$G$4:$G$1823,'июнь 2024'!$D$4:$D$1823,$B39,'июнь 2024'!$J$4:$J$1823,AG$1)</f>
        <v>0</v>
      </c>
      <c r="AH39" s="80">
        <f>SUMIFS('июнь 2024'!$G$4:$G$1823,'июнь 2024'!$D$4:$D$1823,$B39,'июнь 2024'!$J$4:$J$1823,AH$1)</f>
        <v>0</v>
      </c>
      <c r="AI39" s="21">
        <f t="shared" si="1"/>
        <v>0</v>
      </c>
    </row>
    <row r="40" spans="2:35" ht="15" customHeight="1" x14ac:dyDescent="0.25">
      <c r="B40" s="150" t="s">
        <v>290</v>
      </c>
      <c r="C40" s="149">
        <v>22.68</v>
      </c>
      <c r="D40" s="80">
        <f>SUMIFS('июнь 2024'!$G$4:$G$1823,'июнь 2024'!$D$4:$D$1823,$B40,'июнь 2024'!$J$4:$J$1823,D$1)</f>
        <v>0</v>
      </c>
      <c r="E40" s="80">
        <f>SUMIFS('июнь 2024'!$G$4:$G$1823,'июнь 2024'!$D$4:$D$1823,$B40,'июнь 2024'!$J$4:$J$1823,E$1)</f>
        <v>0</v>
      </c>
      <c r="F40" s="80">
        <f>SUMIFS('июнь 2024'!$G$4:$G$1823,'июнь 2024'!$D$4:$D$1823,$B40,'июнь 2024'!$J$4:$J$1823,F$1)</f>
        <v>0</v>
      </c>
      <c r="G40" s="80">
        <f>SUMIFS('июнь 2024'!$G$4:$G$1823,'июнь 2024'!$D$4:$D$1823,$B40,'июнь 2024'!$J$4:$J$1823,G$1)</f>
        <v>0</v>
      </c>
      <c r="H40" s="80">
        <f>SUMIFS('июнь 2024'!$G$4:$G$1823,'июнь 2024'!$D$4:$D$1823,$B40,'июнь 2024'!$J$4:$J$1823,H$1)</f>
        <v>0</v>
      </c>
      <c r="I40" s="80">
        <f>SUMIFS('июнь 2024'!$G$4:$G$1823,'июнь 2024'!$D$4:$D$1823,$B40,'июнь 2024'!$J$4:$J$1823,I$1)</f>
        <v>0</v>
      </c>
      <c r="J40" s="80">
        <f>SUMIFS('июнь 2024'!$G$4:$G$1823,'июнь 2024'!$D$4:$D$1823,$B40,'июнь 2024'!$J$4:$J$1823,J$1)</f>
        <v>0</v>
      </c>
      <c r="K40" s="80">
        <f>SUMIFS('июнь 2024'!$G$4:$G$1823,'июнь 2024'!$D$4:$D$1823,$B40,'июнь 2024'!$J$4:$J$1823,K$1)</f>
        <v>0</v>
      </c>
      <c r="L40" s="80">
        <f>SUMIFS('июнь 2024'!$G$4:$G$1823,'июнь 2024'!$D$4:$D$1823,$B40,'июнь 2024'!$J$4:$J$1823,L$1)</f>
        <v>0</v>
      </c>
      <c r="M40" s="80">
        <f>SUMIFS('июнь 2024'!$G$4:$G$1823,'июнь 2024'!$D$4:$D$1823,$B40,'июнь 2024'!$J$4:$J$1823,M$1)</f>
        <v>0</v>
      </c>
      <c r="N40" s="80">
        <f>SUMIFS('июнь 2024'!$G$4:$G$1823,'июнь 2024'!$D$4:$D$1823,$B40,'июнь 2024'!$J$4:$J$1823,N$1)</f>
        <v>0</v>
      </c>
      <c r="O40" s="80">
        <f>SUMIFS('июнь 2024'!$G$4:$G$1823,'июнь 2024'!$D$4:$D$1823,$B40,'июнь 2024'!$J$4:$J$1823,O$1)</f>
        <v>0</v>
      </c>
      <c r="P40" s="80">
        <f>SUMIFS('июнь 2024'!$G$4:$G$1823,'июнь 2024'!$D$4:$D$1823,$B40,'июнь 2024'!$J$4:$J$1823,P$1)</f>
        <v>0</v>
      </c>
      <c r="Q40" s="80">
        <f>SUMIFS('июнь 2024'!$G$4:$G$1823,'июнь 2024'!$D$4:$D$1823,$B40,'июнь 2024'!$J$4:$J$1823,Q$1)</f>
        <v>0</v>
      </c>
      <c r="R40" s="80">
        <f>SUMIFS('июнь 2024'!$G$4:$G$1823,'июнь 2024'!$D$4:$D$1823,$B40,'июнь 2024'!$J$4:$J$1823,R$1)</f>
        <v>0</v>
      </c>
      <c r="S40" s="80">
        <f>SUMIFS('июнь 2024'!$G$4:$G$1823,'июнь 2024'!$D$4:$D$1823,$B40,'июнь 2024'!$J$4:$J$1823,S$1)</f>
        <v>0</v>
      </c>
      <c r="T40" s="80">
        <f>SUMIFS('июнь 2024'!$G$4:$G$1823,'июнь 2024'!$D$4:$D$1823,$B40,'июнь 2024'!$J$4:$J$1823,T$1)</f>
        <v>0</v>
      </c>
      <c r="U40" s="80">
        <f>SUMIFS('июнь 2024'!$G$4:$G$1823,'июнь 2024'!$D$4:$D$1823,$B40,'июнь 2024'!$J$4:$J$1823,U$1)</f>
        <v>0</v>
      </c>
      <c r="V40" s="80">
        <f>SUMIFS('июнь 2024'!$G$4:$G$1823,'июнь 2024'!$D$4:$D$1823,$B40,'июнь 2024'!$J$4:$J$1823,V$1)</f>
        <v>0</v>
      </c>
      <c r="W40" s="80">
        <f>SUMIFS('июнь 2024'!$G$4:$G$1823,'июнь 2024'!$D$4:$D$1823,$B40,'июнь 2024'!$J$4:$J$1823,W$1)</f>
        <v>0</v>
      </c>
      <c r="X40" s="80">
        <f>SUMIFS('июнь 2024'!$G$4:$G$1823,'июнь 2024'!$D$4:$D$1823,$B40,'июнь 2024'!$J$4:$J$1823,X$1)</f>
        <v>0</v>
      </c>
      <c r="Y40" s="80">
        <f>SUMIFS('июнь 2024'!$G$4:$G$1823,'июнь 2024'!$D$4:$D$1823,$B40,'июнь 2024'!$J$4:$J$1823,Y$1)</f>
        <v>0</v>
      </c>
      <c r="Z40" s="80">
        <f>SUMIFS('июнь 2024'!$G$4:$G$1823,'июнь 2024'!$D$4:$D$1823,$B40,'июнь 2024'!$J$4:$J$1823,Z$1)</f>
        <v>0</v>
      </c>
      <c r="AA40" s="80">
        <f>SUMIFS('июнь 2024'!$G$4:$G$1823,'июнь 2024'!$D$4:$D$1823,$B40,'июнь 2024'!$J$4:$J$1823,AA$1)</f>
        <v>0</v>
      </c>
      <c r="AB40" s="80">
        <f>SUMIFS('июнь 2024'!$G$4:$G$1823,'июнь 2024'!$D$4:$D$1823,$B40,'июнь 2024'!$J$4:$J$1823,AB$1)</f>
        <v>0</v>
      </c>
      <c r="AC40" s="80">
        <f>SUMIFS('июнь 2024'!$G$4:$G$1823,'июнь 2024'!$D$4:$D$1823,$B40,'июнь 2024'!$J$4:$J$1823,AC$1)</f>
        <v>0</v>
      </c>
      <c r="AD40" s="80">
        <f>SUMIFS('июнь 2024'!$G$4:$G$1823,'июнь 2024'!$D$4:$D$1823,$B40,'июнь 2024'!$J$4:$J$1823,AD$1)</f>
        <v>0</v>
      </c>
      <c r="AE40" s="80">
        <f>SUMIFS('июнь 2024'!$G$4:$G$1823,'июнь 2024'!$D$4:$D$1823,$B40,'июнь 2024'!$J$4:$J$1823,AE$1)</f>
        <v>0</v>
      </c>
      <c r="AF40" s="80">
        <f>SUMIFS('июнь 2024'!$G$4:$G$1823,'июнь 2024'!$D$4:$D$1823,$B40,'июнь 2024'!$J$4:$J$1823,AF$1)</f>
        <v>0</v>
      </c>
      <c r="AG40" s="80">
        <f>SUMIFS('июнь 2024'!$G$4:$G$1823,'июнь 2024'!$D$4:$D$1823,$B40,'июнь 2024'!$J$4:$J$1823,AG$1)</f>
        <v>0</v>
      </c>
      <c r="AH40" s="80">
        <f>SUMIFS('июнь 2024'!$G$4:$G$1823,'июнь 2024'!$D$4:$D$1823,$B40,'июнь 2024'!$J$4:$J$1823,AH$1)</f>
        <v>0</v>
      </c>
      <c r="AI40" s="21">
        <f t="shared" si="1"/>
        <v>0</v>
      </c>
    </row>
    <row r="41" spans="2:35" ht="15" customHeight="1" x14ac:dyDescent="0.25">
      <c r="B41" s="154" t="s">
        <v>292</v>
      </c>
      <c r="C41" s="151">
        <v>25</v>
      </c>
      <c r="D41" s="80">
        <f>SUMIFS('июнь 2024'!$G$4:$G$1823,'июнь 2024'!$D$4:$D$1823,$B41,'июнь 2024'!$J$4:$J$1823,D$1)</f>
        <v>0</v>
      </c>
      <c r="E41" s="80">
        <f>SUMIFS('июнь 2024'!$G$4:$G$1823,'июнь 2024'!$D$4:$D$1823,$B41,'июнь 2024'!$J$4:$J$1823,E$1)</f>
        <v>0</v>
      </c>
      <c r="F41" s="80">
        <f>SUMIFS('июнь 2024'!$G$4:$G$1823,'июнь 2024'!$D$4:$D$1823,$B41,'июнь 2024'!$J$4:$J$1823,F$1)</f>
        <v>0</v>
      </c>
      <c r="G41" s="80">
        <f>SUMIFS('июнь 2024'!$G$4:$G$1823,'июнь 2024'!$D$4:$D$1823,$B41,'июнь 2024'!$J$4:$J$1823,G$1)</f>
        <v>0</v>
      </c>
      <c r="H41" s="80">
        <f>SUMIFS('июнь 2024'!$G$4:$G$1823,'июнь 2024'!$D$4:$D$1823,$B41,'июнь 2024'!$J$4:$J$1823,H$1)</f>
        <v>0</v>
      </c>
      <c r="I41" s="80">
        <f>SUMIFS('июнь 2024'!$G$4:$G$1823,'июнь 2024'!$D$4:$D$1823,$B41,'июнь 2024'!$J$4:$J$1823,I$1)</f>
        <v>0</v>
      </c>
      <c r="J41" s="80">
        <f>SUMIFS('июнь 2024'!$G$4:$G$1823,'июнь 2024'!$D$4:$D$1823,$B41,'июнь 2024'!$J$4:$J$1823,J$1)</f>
        <v>0</v>
      </c>
      <c r="K41" s="80">
        <f>SUMIFS('июнь 2024'!$G$4:$G$1823,'июнь 2024'!$D$4:$D$1823,$B41,'июнь 2024'!$J$4:$J$1823,K$1)</f>
        <v>0</v>
      </c>
      <c r="L41" s="80">
        <f>SUMIFS('июнь 2024'!$G$4:$G$1823,'июнь 2024'!$D$4:$D$1823,$B41,'июнь 2024'!$J$4:$J$1823,L$1)</f>
        <v>0</v>
      </c>
      <c r="M41" s="80">
        <f>SUMIFS('июнь 2024'!$G$4:$G$1823,'июнь 2024'!$D$4:$D$1823,$B41,'июнь 2024'!$J$4:$J$1823,M$1)</f>
        <v>0</v>
      </c>
      <c r="N41" s="80">
        <f>SUMIFS('июнь 2024'!$G$4:$G$1823,'июнь 2024'!$D$4:$D$1823,$B41,'июнь 2024'!$J$4:$J$1823,N$1)</f>
        <v>0</v>
      </c>
      <c r="O41" s="80">
        <f>SUMIFS('июнь 2024'!$G$4:$G$1823,'июнь 2024'!$D$4:$D$1823,$B41,'июнь 2024'!$J$4:$J$1823,O$1)</f>
        <v>0</v>
      </c>
      <c r="P41" s="80">
        <f>SUMIFS('июнь 2024'!$G$4:$G$1823,'июнь 2024'!$D$4:$D$1823,$B41,'июнь 2024'!$J$4:$J$1823,P$1)</f>
        <v>0</v>
      </c>
      <c r="Q41" s="80">
        <f>SUMIFS('июнь 2024'!$G$4:$G$1823,'июнь 2024'!$D$4:$D$1823,$B41,'июнь 2024'!$J$4:$J$1823,Q$1)</f>
        <v>0</v>
      </c>
      <c r="R41" s="80">
        <f>SUMIFS('июнь 2024'!$G$4:$G$1823,'июнь 2024'!$D$4:$D$1823,$B41,'июнь 2024'!$J$4:$J$1823,R$1)</f>
        <v>0</v>
      </c>
      <c r="S41" s="80">
        <f>SUMIFS('июнь 2024'!$G$4:$G$1823,'июнь 2024'!$D$4:$D$1823,$B41,'июнь 2024'!$J$4:$J$1823,S$1)</f>
        <v>0</v>
      </c>
      <c r="T41" s="80">
        <f>SUMIFS('июнь 2024'!$G$4:$G$1823,'июнь 2024'!$D$4:$D$1823,$B41,'июнь 2024'!$J$4:$J$1823,T$1)</f>
        <v>0</v>
      </c>
      <c r="U41" s="80">
        <f>SUMIFS('июнь 2024'!$G$4:$G$1823,'июнь 2024'!$D$4:$D$1823,$B41,'июнь 2024'!$J$4:$J$1823,U$1)</f>
        <v>0</v>
      </c>
      <c r="V41" s="80">
        <f>SUMIFS('июнь 2024'!$G$4:$G$1823,'июнь 2024'!$D$4:$D$1823,$B41,'июнь 2024'!$J$4:$J$1823,V$1)</f>
        <v>0</v>
      </c>
      <c r="W41" s="80">
        <f>SUMIFS('июнь 2024'!$G$4:$G$1823,'июнь 2024'!$D$4:$D$1823,$B41,'июнь 2024'!$J$4:$J$1823,W$1)</f>
        <v>0</v>
      </c>
      <c r="X41" s="80">
        <f>SUMIFS('июнь 2024'!$G$4:$G$1823,'июнь 2024'!$D$4:$D$1823,$B41,'июнь 2024'!$J$4:$J$1823,X$1)</f>
        <v>0</v>
      </c>
      <c r="Y41" s="80">
        <f>SUMIFS('июнь 2024'!$G$4:$G$1823,'июнь 2024'!$D$4:$D$1823,$B41,'июнь 2024'!$J$4:$J$1823,Y$1)</f>
        <v>0</v>
      </c>
      <c r="Z41" s="80">
        <f>SUMIFS('июнь 2024'!$G$4:$G$1823,'июнь 2024'!$D$4:$D$1823,$B41,'июнь 2024'!$J$4:$J$1823,Z$1)</f>
        <v>0</v>
      </c>
      <c r="AA41" s="80">
        <f>SUMIFS('июнь 2024'!$G$4:$G$1823,'июнь 2024'!$D$4:$D$1823,$B41,'июнь 2024'!$J$4:$J$1823,AA$1)</f>
        <v>0</v>
      </c>
      <c r="AB41" s="80">
        <f>SUMIFS('июнь 2024'!$G$4:$G$1823,'июнь 2024'!$D$4:$D$1823,$B41,'июнь 2024'!$J$4:$J$1823,AB$1)</f>
        <v>0</v>
      </c>
      <c r="AC41" s="80">
        <f>SUMIFS('июнь 2024'!$G$4:$G$1823,'июнь 2024'!$D$4:$D$1823,$B41,'июнь 2024'!$J$4:$J$1823,AC$1)</f>
        <v>0</v>
      </c>
      <c r="AD41" s="80">
        <f>SUMIFS('июнь 2024'!$G$4:$G$1823,'июнь 2024'!$D$4:$D$1823,$B41,'июнь 2024'!$J$4:$J$1823,AD$1)</f>
        <v>0</v>
      </c>
      <c r="AE41" s="80">
        <f>SUMIFS('июнь 2024'!$G$4:$G$1823,'июнь 2024'!$D$4:$D$1823,$B41,'июнь 2024'!$J$4:$J$1823,AE$1)</f>
        <v>0</v>
      </c>
      <c r="AF41" s="80">
        <f>SUMIFS('июнь 2024'!$G$4:$G$1823,'июнь 2024'!$D$4:$D$1823,$B41,'июнь 2024'!$J$4:$J$1823,AF$1)</f>
        <v>0</v>
      </c>
      <c r="AG41" s="80">
        <f>SUMIFS('июнь 2024'!$G$4:$G$1823,'июнь 2024'!$D$4:$D$1823,$B41,'июнь 2024'!$J$4:$J$1823,AG$1)</f>
        <v>0</v>
      </c>
      <c r="AH41" s="80">
        <f>SUMIFS('июнь 2024'!$G$4:$G$1823,'июнь 2024'!$D$4:$D$1823,$B41,'июнь 2024'!$J$4:$J$1823,AH$1)</f>
        <v>0</v>
      </c>
      <c r="AI41" s="21">
        <f t="shared" si="1"/>
        <v>0</v>
      </c>
    </row>
    <row r="42" spans="2:35" ht="15" customHeight="1" x14ac:dyDescent="0.25">
      <c r="B42" s="150" t="s">
        <v>294</v>
      </c>
      <c r="C42" s="153">
        <v>25</v>
      </c>
      <c r="D42" s="80">
        <f>SUMIFS('июнь 2024'!$G$4:$G$1823,'июнь 2024'!$D$4:$D$1823,$B42,'июнь 2024'!$J$4:$J$1823,D$1)</f>
        <v>0</v>
      </c>
      <c r="E42" s="80">
        <f>SUMIFS('июнь 2024'!$G$4:$G$1823,'июнь 2024'!$D$4:$D$1823,$B42,'июнь 2024'!$J$4:$J$1823,E$1)</f>
        <v>0</v>
      </c>
      <c r="F42" s="80">
        <f>SUMIFS('июнь 2024'!$G$4:$G$1823,'июнь 2024'!$D$4:$D$1823,$B42,'июнь 2024'!$J$4:$J$1823,F$1)</f>
        <v>0</v>
      </c>
      <c r="G42" s="80">
        <f>SUMIFS('июнь 2024'!$G$4:$G$1823,'июнь 2024'!$D$4:$D$1823,$B42,'июнь 2024'!$J$4:$J$1823,G$1)</f>
        <v>0</v>
      </c>
      <c r="H42" s="80">
        <f>SUMIFS('июнь 2024'!$G$4:$G$1823,'июнь 2024'!$D$4:$D$1823,$B42,'июнь 2024'!$J$4:$J$1823,H$1)</f>
        <v>0</v>
      </c>
      <c r="I42" s="80">
        <f>SUMIFS('июнь 2024'!$G$4:$G$1823,'июнь 2024'!$D$4:$D$1823,$B42,'июнь 2024'!$J$4:$J$1823,I$1)</f>
        <v>0</v>
      </c>
      <c r="J42" s="80">
        <f>SUMIFS('июнь 2024'!$G$4:$G$1823,'июнь 2024'!$D$4:$D$1823,$B42,'июнь 2024'!$J$4:$J$1823,J$1)</f>
        <v>0</v>
      </c>
      <c r="K42" s="80">
        <f>SUMIFS('июнь 2024'!$G$4:$G$1823,'июнь 2024'!$D$4:$D$1823,$B42,'июнь 2024'!$J$4:$J$1823,K$1)</f>
        <v>0</v>
      </c>
      <c r="L42" s="80">
        <f>SUMIFS('июнь 2024'!$G$4:$G$1823,'июнь 2024'!$D$4:$D$1823,$B42,'июнь 2024'!$J$4:$J$1823,L$1)</f>
        <v>0</v>
      </c>
      <c r="M42" s="80">
        <f>SUMIFS('июнь 2024'!$G$4:$G$1823,'июнь 2024'!$D$4:$D$1823,$B42,'июнь 2024'!$J$4:$J$1823,M$1)</f>
        <v>0</v>
      </c>
      <c r="N42" s="80">
        <f>SUMIFS('июнь 2024'!$G$4:$G$1823,'июнь 2024'!$D$4:$D$1823,$B42,'июнь 2024'!$J$4:$J$1823,N$1)</f>
        <v>0</v>
      </c>
      <c r="O42" s="80">
        <f>SUMIFS('июнь 2024'!$G$4:$G$1823,'июнь 2024'!$D$4:$D$1823,$B42,'июнь 2024'!$J$4:$J$1823,O$1)</f>
        <v>0</v>
      </c>
      <c r="P42" s="80">
        <f>SUMIFS('июнь 2024'!$G$4:$G$1823,'июнь 2024'!$D$4:$D$1823,$B42,'июнь 2024'!$J$4:$J$1823,P$1)</f>
        <v>0</v>
      </c>
      <c r="Q42" s="80">
        <f>SUMIFS('июнь 2024'!$G$4:$G$1823,'июнь 2024'!$D$4:$D$1823,$B42,'июнь 2024'!$J$4:$J$1823,Q$1)</f>
        <v>0</v>
      </c>
      <c r="R42" s="80">
        <f>SUMIFS('июнь 2024'!$G$4:$G$1823,'июнь 2024'!$D$4:$D$1823,$B42,'июнь 2024'!$J$4:$J$1823,R$1)</f>
        <v>0</v>
      </c>
      <c r="S42" s="80">
        <f>SUMIFS('июнь 2024'!$G$4:$G$1823,'июнь 2024'!$D$4:$D$1823,$B42,'июнь 2024'!$J$4:$J$1823,S$1)</f>
        <v>0</v>
      </c>
      <c r="T42" s="80">
        <f>SUMIFS('июнь 2024'!$G$4:$G$1823,'июнь 2024'!$D$4:$D$1823,$B42,'июнь 2024'!$J$4:$J$1823,T$1)</f>
        <v>0</v>
      </c>
      <c r="U42" s="80">
        <f>SUMIFS('июнь 2024'!$G$4:$G$1823,'июнь 2024'!$D$4:$D$1823,$B42,'июнь 2024'!$J$4:$J$1823,U$1)</f>
        <v>0</v>
      </c>
      <c r="V42" s="80">
        <f>SUMIFS('июнь 2024'!$G$4:$G$1823,'июнь 2024'!$D$4:$D$1823,$B42,'июнь 2024'!$J$4:$J$1823,V$1)</f>
        <v>0</v>
      </c>
      <c r="W42" s="80">
        <f>SUMIFS('июнь 2024'!$G$4:$G$1823,'июнь 2024'!$D$4:$D$1823,$B42,'июнь 2024'!$J$4:$J$1823,W$1)</f>
        <v>0</v>
      </c>
      <c r="X42" s="80">
        <f>SUMIFS('июнь 2024'!$G$4:$G$1823,'июнь 2024'!$D$4:$D$1823,$B42,'июнь 2024'!$J$4:$J$1823,X$1)</f>
        <v>0</v>
      </c>
      <c r="Y42" s="80">
        <f>SUMIFS('июнь 2024'!$G$4:$G$1823,'июнь 2024'!$D$4:$D$1823,$B42,'июнь 2024'!$J$4:$J$1823,Y$1)</f>
        <v>0</v>
      </c>
      <c r="Z42" s="80">
        <f>SUMIFS('июнь 2024'!$G$4:$G$1823,'июнь 2024'!$D$4:$D$1823,$B42,'июнь 2024'!$J$4:$J$1823,Z$1)</f>
        <v>0</v>
      </c>
      <c r="AA42" s="80">
        <f>SUMIFS('июнь 2024'!$G$4:$G$1823,'июнь 2024'!$D$4:$D$1823,$B42,'июнь 2024'!$J$4:$J$1823,AA$1)</f>
        <v>0</v>
      </c>
      <c r="AB42" s="80">
        <f>SUMIFS('июнь 2024'!$G$4:$G$1823,'июнь 2024'!$D$4:$D$1823,$B42,'июнь 2024'!$J$4:$J$1823,AB$1)</f>
        <v>0</v>
      </c>
      <c r="AC42" s="80">
        <f>SUMIFS('июнь 2024'!$G$4:$G$1823,'июнь 2024'!$D$4:$D$1823,$B42,'июнь 2024'!$J$4:$J$1823,AC$1)</f>
        <v>0</v>
      </c>
      <c r="AD42" s="80">
        <f>SUMIFS('июнь 2024'!$G$4:$G$1823,'июнь 2024'!$D$4:$D$1823,$B42,'июнь 2024'!$J$4:$J$1823,AD$1)</f>
        <v>0</v>
      </c>
      <c r="AE42" s="80">
        <f>SUMIFS('июнь 2024'!$G$4:$G$1823,'июнь 2024'!$D$4:$D$1823,$B42,'июнь 2024'!$J$4:$J$1823,AE$1)</f>
        <v>0</v>
      </c>
      <c r="AF42" s="80">
        <f>SUMIFS('июнь 2024'!$G$4:$G$1823,'июнь 2024'!$D$4:$D$1823,$B42,'июнь 2024'!$J$4:$J$1823,AF$1)</f>
        <v>0</v>
      </c>
      <c r="AG42" s="80">
        <f>SUMIFS('июнь 2024'!$G$4:$G$1823,'июнь 2024'!$D$4:$D$1823,$B42,'июнь 2024'!$J$4:$J$1823,AG$1)</f>
        <v>0</v>
      </c>
      <c r="AH42" s="80">
        <f>SUMIFS('июнь 2024'!$G$4:$G$1823,'июнь 2024'!$D$4:$D$1823,$B42,'июнь 2024'!$J$4:$J$1823,AH$1)</f>
        <v>0</v>
      </c>
      <c r="AI42" s="21">
        <f t="shared" si="1"/>
        <v>0</v>
      </c>
    </row>
    <row r="43" spans="2:35" ht="15" customHeight="1" x14ac:dyDescent="0.25">
      <c r="B43" s="154" t="s">
        <v>468</v>
      </c>
      <c r="C43" s="170">
        <v>25</v>
      </c>
      <c r="D43" s="80">
        <f>SUMIFS('июнь 2024'!$G$4:$G$1823,'июнь 2024'!$D$4:$D$1823,$B43,'июнь 2024'!$J$4:$J$1823,D$1)</f>
        <v>0</v>
      </c>
      <c r="E43" s="80">
        <f>SUMIFS('июнь 2024'!$G$4:$G$1823,'июнь 2024'!$D$4:$D$1823,$B43,'июнь 2024'!$J$4:$J$1823,E$1)</f>
        <v>0</v>
      </c>
      <c r="F43" s="80">
        <f>SUMIFS('июнь 2024'!$G$4:$G$1823,'июнь 2024'!$D$4:$D$1823,$B43,'июнь 2024'!$J$4:$J$1823,F$1)</f>
        <v>0</v>
      </c>
      <c r="G43" s="80">
        <f>SUMIFS('июнь 2024'!$G$4:$G$1823,'июнь 2024'!$D$4:$D$1823,$B43,'июнь 2024'!$J$4:$J$1823,G$1)</f>
        <v>0</v>
      </c>
      <c r="H43" s="80">
        <f>SUMIFS('июнь 2024'!$G$4:$G$1823,'июнь 2024'!$D$4:$D$1823,$B43,'июнь 2024'!$J$4:$J$1823,H$1)</f>
        <v>0</v>
      </c>
      <c r="I43" s="80">
        <f>SUMIFS('июнь 2024'!$G$4:$G$1823,'июнь 2024'!$D$4:$D$1823,$B43,'июнь 2024'!$J$4:$J$1823,I$1)</f>
        <v>0</v>
      </c>
      <c r="J43" s="80">
        <f>SUMIFS('июнь 2024'!$G$4:$G$1823,'июнь 2024'!$D$4:$D$1823,$B43,'июнь 2024'!$J$4:$J$1823,J$1)</f>
        <v>0</v>
      </c>
      <c r="K43" s="80">
        <f>SUMIFS('июнь 2024'!$G$4:$G$1823,'июнь 2024'!$D$4:$D$1823,$B43,'июнь 2024'!$J$4:$J$1823,K$1)</f>
        <v>0</v>
      </c>
      <c r="L43" s="80">
        <f>SUMIFS('июнь 2024'!$G$4:$G$1823,'июнь 2024'!$D$4:$D$1823,$B43,'июнь 2024'!$J$4:$J$1823,L$1)</f>
        <v>0</v>
      </c>
      <c r="M43" s="80">
        <f>SUMIFS('июнь 2024'!$G$4:$G$1823,'июнь 2024'!$D$4:$D$1823,$B43,'июнь 2024'!$J$4:$J$1823,M$1)</f>
        <v>0</v>
      </c>
      <c r="N43" s="80">
        <f>SUMIFS('июнь 2024'!$G$4:$G$1823,'июнь 2024'!$D$4:$D$1823,$B43,'июнь 2024'!$J$4:$J$1823,N$1)</f>
        <v>0</v>
      </c>
      <c r="O43" s="80">
        <f>SUMIFS('июнь 2024'!$G$4:$G$1823,'июнь 2024'!$D$4:$D$1823,$B43,'июнь 2024'!$J$4:$J$1823,O$1)</f>
        <v>0</v>
      </c>
      <c r="P43" s="80">
        <f>SUMIFS('июнь 2024'!$G$4:$G$1823,'июнь 2024'!$D$4:$D$1823,$B43,'июнь 2024'!$J$4:$J$1823,P$1)</f>
        <v>0</v>
      </c>
      <c r="Q43" s="80">
        <f>SUMIFS('июнь 2024'!$G$4:$G$1823,'июнь 2024'!$D$4:$D$1823,$B43,'июнь 2024'!$J$4:$J$1823,Q$1)</f>
        <v>0</v>
      </c>
      <c r="R43" s="80">
        <f>SUMIFS('июнь 2024'!$G$4:$G$1823,'июнь 2024'!$D$4:$D$1823,$B43,'июнь 2024'!$J$4:$J$1823,R$1)</f>
        <v>0</v>
      </c>
      <c r="S43" s="80">
        <f>SUMIFS('июнь 2024'!$G$4:$G$1823,'июнь 2024'!$D$4:$D$1823,$B43,'июнь 2024'!$J$4:$J$1823,S$1)</f>
        <v>0</v>
      </c>
      <c r="T43" s="80">
        <f>SUMIFS('июнь 2024'!$G$4:$G$1823,'июнь 2024'!$D$4:$D$1823,$B43,'июнь 2024'!$J$4:$J$1823,T$1)</f>
        <v>0</v>
      </c>
      <c r="U43" s="80">
        <f>SUMIFS('июнь 2024'!$G$4:$G$1823,'июнь 2024'!$D$4:$D$1823,$B43,'июнь 2024'!$J$4:$J$1823,U$1)</f>
        <v>0</v>
      </c>
      <c r="V43" s="80">
        <f>SUMIFS('июнь 2024'!$G$4:$G$1823,'июнь 2024'!$D$4:$D$1823,$B43,'июнь 2024'!$J$4:$J$1823,V$1)</f>
        <v>0</v>
      </c>
      <c r="W43" s="80">
        <f>SUMIFS('июнь 2024'!$G$4:$G$1823,'июнь 2024'!$D$4:$D$1823,$B43,'июнь 2024'!$J$4:$J$1823,W$1)</f>
        <v>0</v>
      </c>
      <c r="X43" s="80">
        <f>SUMIFS('июнь 2024'!$G$4:$G$1823,'июнь 2024'!$D$4:$D$1823,$B43,'июнь 2024'!$J$4:$J$1823,X$1)</f>
        <v>0</v>
      </c>
      <c r="Y43" s="80">
        <f>SUMIFS('июнь 2024'!$G$4:$G$1823,'июнь 2024'!$D$4:$D$1823,$B43,'июнь 2024'!$J$4:$J$1823,Y$1)</f>
        <v>0</v>
      </c>
      <c r="Z43" s="80">
        <f>SUMIFS('июнь 2024'!$G$4:$G$1823,'июнь 2024'!$D$4:$D$1823,$B43,'июнь 2024'!$J$4:$J$1823,Z$1)</f>
        <v>0</v>
      </c>
      <c r="AA43" s="80">
        <f>SUMIFS('июнь 2024'!$G$4:$G$1823,'июнь 2024'!$D$4:$D$1823,$B43,'июнь 2024'!$J$4:$J$1823,AA$1)</f>
        <v>0</v>
      </c>
      <c r="AB43" s="80">
        <f>SUMIFS('июнь 2024'!$G$4:$G$1823,'июнь 2024'!$D$4:$D$1823,$B43,'июнь 2024'!$J$4:$J$1823,AB$1)</f>
        <v>0</v>
      </c>
      <c r="AC43" s="80">
        <f>SUMIFS('июнь 2024'!$G$4:$G$1823,'июнь 2024'!$D$4:$D$1823,$B43,'июнь 2024'!$J$4:$J$1823,AC$1)</f>
        <v>0</v>
      </c>
      <c r="AD43" s="80">
        <f>SUMIFS('июнь 2024'!$G$4:$G$1823,'июнь 2024'!$D$4:$D$1823,$B43,'июнь 2024'!$J$4:$J$1823,AD$1)</f>
        <v>0</v>
      </c>
      <c r="AE43" s="80">
        <f>SUMIFS('июнь 2024'!$G$4:$G$1823,'июнь 2024'!$D$4:$D$1823,$B43,'июнь 2024'!$J$4:$J$1823,AE$1)</f>
        <v>0</v>
      </c>
      <c r="AF43" s="80">
        <f>SUMIFS('июнь 2024'!$G$4:$G$1823,'июнь 2024'!$D$4:$D$1823,$B43,'июнь 2024'!$J$4:$J$1823,AF$1)</f>
        <v>0</v>
      </c>
      <c r="AG43" s="80">
        <f>SUMIFS('июнь 2024'!$G$4:$G$1823,'июнь 2024'!$D$4:$D$1823,$B43,'июнь 2024'!$J$4:$J$1823,AG$1)</f>
        <v>0</v>
      </c>
      <c r="AH43" s="80">
        <f>SUMIFS('июнь 2024'!$G$4:$G$1823,'июнь 2024'!$D$4:$D$1823,$B43,'июнь 2024'!$J$4:$J$1823,AH$1)</f>
        <v>0</v>
      </c>
      <c r="AI43" s="21">
        <f t="shared" si="1"/>
        <v>0</v>
      </c>
    </row>
    <row r="44" spans="2:35" ht="15" customHeight="1" x14ac:dyDescent="0.25">
      <c r="B44" s="154" t="s">
        <v>296</v>
      </c>
      <c r="C44" s="151">
        <v>25</v>
      </c>
      <c r="D44" s="80">
        <f>SUMIFS('июнь 2024'!$G$4:$G$1823,'июнь 2024'!$D$4:$D$1823,$B44,'июнь 2024'!$J$4:$J$1823,D$1)</f>
        <v>0</v>
      </c>
      <c r="E44" s="80">
        <f>SUMIFS('июнь 2024'!$G$4:$G$1823,'июнь 2024'!$D$4:$D$1823,$B44,'июнь 2024'!$J$4:$J$1823,E$1)</f>
        <v>0</v>
      </c>
      <c r="F44" s="80">
        <f>SUMIFS('июнь 2024'!$G$4:$G$1823,'июнь 2024'!$D$4:$D$1823,$B44,'июнь 2024'!$J$4:$J$1823,F$1)</f>
        <v>0</v>
      </c>
      <c r="G44" s="80">
        <f>SUMIFS('июнь 2024'!$G$4:$G$1823,'июнь 2024'!$D$4:$D$1823,$B44,'июнь 2024'!$J$4:$J$1823,G$1)</f>
        <v>0</v>
      </c>
      <c r="H44" s="80">
        <f>SUMIFS('июнь 2024'!$G$4:$G$1823,'июнь 2024'!$D$4:$D$1823,$B44,'июнь 2024'!$J$4:$J$1823,H$1)</f>
        <v>0</v>
      </c>
      <c r="I44" s="80">
        <f>SUMIFS('июнь 2024'!$G$4:$G$1823,'июнь 2024'!$D$4:$D$1823,$B44,'июнь 2024'!$J$4:$J$1823,I$1)</f>
        <v>0</v>
      </c>
      <c r="J44" s="80">
        <f>SUMIFS('июнь 2024'!$G$4:$G$1823,'июнь 2024'!$D$4:$D$1823,$B44,'июнь 2024'!$J$4:$J$1823,J$1)</f>
        <v>0</v>
      </c>
      <c r="K44" s="80">
        <f>SUMIFS('июнь 2024'!$G$4:$G$1823,'июнь 2024'!$D$4:$D$1823,$B44,'июнь 2024'!$J$4:$J$1823,K$1)</f>
        <v>0</v>
      </c>
      <c r="L44" s="80">
        <f>SUMIFS('июнь 2024'!$G$4:$G$1823,'июнь 2024'!$D$4:$D$1823,$B44,'июнь 2024'!$J$4:$J$1823,L$1)</f>
        <v>0</v>
      </c>
      <c r="M44" s="80">
        <f>SUMIFS('июнь 2024'!$G$4:$G$1823,'июнь 2024'!$D$4:$D$1823,$B44,'июнь 2024'!$J$4:$J$1823,M$1)</f>
        <v>0</v>
      </c>
      <c r="N44" s="80">
        <f>SUMIFS('июнь 2024'!$G$4:$G$1823,'июнь 2024'!$D$4:$D$1823,$B44,'июнь 2024'!$J$4:$J$1823,N$1)</f>
        <v>0</v>
      </c>
      <c r="O44" s="80">
        <f>SUMIFS('июнь 2024'!$G$4:$G$1823,'июнь 2024'!$D$4:$D$1823,$B44,'июнь 2024'!$J$4:$J$1823,O$1)</f>
        <v>0</v>
      </c>
      <c r="P44" s="80">
        <f>SUMIFS('июнь 2024'!$G$4:$G$1823,'июнь 2024'!$D$4:$D$1823,$B44,'июнь 2024'!$J$4:$J$1823,P$1)</f>
        <v>0</v>
      </c>
      <c r="Q44" s="80">
        <f>SUMIFS('июнь 2024'!$G$4:$G$1823,'июнь 2024'!$D$4:$D$1823,$B44,'июнь 2024'!$J$4:$J$1823,Q$1)</f>
        <v>0</v>
      </c>
      <c r="R44" s="80">
        <f>SUMIFS('июнь 2024'!$G$4:$G$1823,'июнь 2024'!$D$4:$D$1823,$B44,'июнь 2024'!$J$4:$J$1823,R$1)</f>
        <v>0</v>
      </c>
      <c r="S44" s="80">
        <f>SUMIFS('июнь 2024'!$G$4:$G$1823,'июнь 2024'!$D$4:$D$1823,$B44,'июнь 2024'!$J$4:$J$1823,S$1)</f>
        <v>0</v>
      </c>
      <c r="T44" s="80">
        <f>SUMIFS('июнь 2024'!$G$4:$G$1823,'июнь 2024'!$D$4:$D$1823,$B44,'июнь 2024'!$J$4:$J$1823,T$1)</f>
        <v>0</v>
      </c>
      <c r="U44" s="80">
        <f>SUMIFS('июнь 2024'!$G$4:$G$1823,'июнь 2024'!$D$4:$D$1823,$B44,'июнь 2024'!$J$4:$J$1823,U$1)</f>
        <v>0</v>
      </c>
      <c r="V44" s="80">
        <f>SUMIFS('июнь 2024'!$G$4:$G$1823,'июнь 2024'!$D$4:$D$1823,$B44,'июнь 2024'!$J$4:$J$1823,V$1)</f>
        <v>0</v>
      </c>
      <c r="W44" s="80">
        <f>SUMIFS('июнь 2024'!$G$4:$G$1823,'июнь 2024'!$D$4:$D$1823,$B44,'июнь 2024'!$J$4:$J$1823,W$1)</f>
        <v>0</v>
      </c>
      <c r="X44" s="80">
        <f>SUMIFS('июнь 2024'!$G$4:$G$1823,'июнь 2024'!$D$4:$D$1823,$B44,'июнь 2024'!$J$4:$J$1823,X$1)</f>
        <v>0</v>
      </c>
      <c r="Y44" s="80">
        <f>SUMIFS('июнь 2024'!$G$4:$G$1823,'июнь 2024'!$D$4:$D$1823,$B44,'июнь 2024'!$J$4:$J$1823,Y$1)</f>
        <v>0</v>
      </c>
      <c r="Z44" s="80">
        <f>SUMIFS('июнь 2024'!$G$4:$G$1823,'июнь 2024'!$D$4:$D$1823,$B44,'июнь 2024'!$J$4:$J$1823,Z$1)</f>
        <v>0</v>
      </c>
      <c r="AA44" s="80">
        <f>SUMIFS('июнь 2024'!$G$4:$G$1823,'июнь 2024'!$D$4:$D$1823,$B44,'июнь 2024'!$J$4:$J$1823,AA$1)</f>
        <v>0</v>
      </c>
      <c r="AB44" s="80">
        <f>SUMIFS('июнь 2024'!$G$4:$G$1823,'июнь 2024'!$D$4:$D$1823,$B44,'июнь 2024'!$J$4:$J$1823,AB$1)</f>
        <v>0</v>
      </c>
      <c r="AC44" s="80">
        <f>SUMIFS('июнь 2024'!$G$4:$G$1823,'июнь 2024'!$D$4:$D$1823,$B44,'июнь 2024'!$J$4:$J$1823,AC$1)</f>
        <v>0</v>
      </c>
      <c r="AD44" s="80">
        <f>SUMIFS('июнь 2024'!$G$4:$G$1823,'июнь 2024'!$D$4:$D$1823,$B44,'июнь 2024'!$J$4:$J$1823,AD$1)</f>
        <v>600</v>
      </c>
      <c r="AE44" s="80">
        <f>SUMIFS('июнь 2024'!$G$4:$G$1823,'июнь 2024'!$D$4:$D$1823,$B44,'июнь 2024'!$J$4:$J$1823,AE$1)</f>
        <v>0</v>
      </c>
      <c r="AF44" s="80">
        <f>SUMIFS('июнь 2024'!$G$4:$G$1823,'июнь 2024'!$D$4:$D$1823,$B44,'июнь 2024'!$J$4:$J$1823,AF$1)</f>
        <v>0</v>
      </c>
      <c r="AG44" s="80">
        <f>SUMIFS('июнь 2024'!$G$4:$G$1823,'июнь 2024'!$D$4:$D$1823,$B44,'июнь 2024'!$J$4:$J$1823,AG$1)</f>
        <v>0</v>
      </c>
      <c r="AH44" s="80">
        <f>SUMIFS('июнь 2024'!$G$4:$G$1823,'июнь 2024'!$D$4:$D$1823,$B44,'июнь 2024'!$J$4:$J$1823,AH$1)</f>
        <v>0</v>
      </c>
      <c r="AI44" s="21">
        <f t="shared" si="1"/>
        <v>600</v>
      </c>
    </row>
    <row r="45" spans="2:35" ht="15" customHeight="1" x14ac:dyDescent="0.25">
      <c r="B45" s="154" t="s">
        <v>298</v>
      </c>
      <c r="C45" s="151">
        <v>18</v>
      </c>
      <c r="D45" s="80">
        <f>SUMIFS('июнь 2024'!$G$4:$G$1823,'июнь 2024'!$D$4:$D$1823,$B45,'июнь 2024'!$J$4:$J$1823,D$1)</f>
        <v>0</v>
      </c>
      <c r="E45" s="80">
        <f>SUMIFS('июнь 2024'!$G$4:$G$1823,'июнь 2024'!$D$4:$D$1823,$B45,'июнь 2024'!$J$4:$J$1823,E$1)</f>
        <v>0</v>
      </c>
      <c r="F45" s="80">
        <f>SUMIFS('июнь 2024'!$G$4:$G$1823,'июнь 2024'!$D$4:$D$1823,$B45,'июнь 2024'!$J$4:$J$1823,F$1)</f>
        <v>0</v>
      </c>
      <c r="G45" s="80">
        <f>SUMIFS('июнь 2024'!$G$4:$G$1823,'июнь 2024'!$D$4:$D$1823,$B45,'июнь 2024'!$J$4:$J$1823,G$1)</f>
        <v>0</v>
      </c>
      <c r="H45" s="80">
        <f>SUMIFS('июнь 2024'!$G$4:$G$1823,'июнь 2024'!$D$4:$D$1823,$B45,'июнь 2024'!$J$4:$J$1823,H$1)</f>
        <v>0</v>
      </c>
      <c r="I45" s="80">
        <f>SUMIFS('июнь 2024'!$G$4:$G$1823,'июнь 2024'!$D$4:$D$1823,$B45,'июнь 2024'!$J$4:$J$1823,I$1)</f>
        <v>0</v>
      </c>
      <c r="J45" s="80">
        <f>SUMIFS('июнь 2024'!$G$4:$G$1823,'июнь 2024'!$D$4:$D$1823,$B45,'июнь 2024'!$J$4:$J$1823,J$1)</f>
        <v>160</v>
      </c>
      <c r="K45" s="80">
        <f>SUMIFS('июнь 2024'!$G$4:$G$1823,'июнь 2024'!$D$4:$D$1823,$B45,'июнь 2024'!$J$4:$J$1823,K$1)</f>
        <v>0</v>
      </c>
      <c r="L45" s="80">
        <f>SUMIFS('июнь 2024'!$G$4:$G$1823,'июнь 2024'!$D$4:$D$1823,$B45,'июнь 2024'!$J$4:$J$1823,L$1)</f>
        <v>0</v>
      </c>
      <c r="M45" s="80">
        <f>SUMIFS('июнь 2024'!$G$4:$G$1823,'июнь 2024'!$D$4:$D$1823,$B45,'июнь 2024'!$J$4:$J$1823,M$1)</f>
        <v>0</v>
      </c>
      <c r="N45" s="80">
        <f>SUMIFS('июнь 2024'!$G$4:$G$1823,'июнь 2024'!$D$4:$D$1823,$B45,'июнь 2024'!$J$4:$J$1823,N$1)</f>
        <v>0</v>
      </c>
      <c r="O45" s="80">
        <f>SUMIFS('июнь 2024'!$G$4:$G$1823,'июнь 2024'!$D$4:$D$1823,$B45,'июнь 2024'!$J$4:$J$1823,O$1)</f>
        <v>0</v>
      </c>
      <c r="P45" s="80">
        <f>SUMIFS('июнь 2024'!$G$4:$G$1823,'июнь 2024'!$D$4:$D$1823,$B45,'июнь 2024'!$J$4:$J$1823,P$1)</f>
        <v>0</v>
      </c>
      <c r="Q45" s="80">
        <f>SUMIFS('июнь 2024'!$G$4:$G$1823,'июнь 2024'!$D$4:$D$1823,$B45,'июнь 2024'!$J$4:$J$1823,Q$1)</f>
        <v>0</v>
      </c>
      <c r="R45" s="80">
        <f>SUMIFS('июнь 2024'!$G$4:$G$1823,'июнь 2024'!$D$4:$D$1823,$B45,'июнь 2024'!$J$4:$J$1823,R$1)</f>
        <v>0</v>
      </c>
      <c r="S45" s="80">
        <f>SUMIFS('июнь 2024'!$G$4:$G$1823,'июнь 2024'!$D$4:$D$1823,$B45,'июнь 2024'!$J$4:$J$1823,S$1)</f>
        <v>0</v>
      </c>
      <c r="T45" s="80">
        <f>SUMIFS('июнь 2024'!$G$4:$G$1823,'июнь 2024'!$D$4:$D$1823,$B45,'июнь 2024'!$J$4:$J$1823,T$1)</f>
        <v>0</v>
      </c>
      <c r="U45" s="80">
        <f>SUMIFS('июнь 2024'!$G$4:$G$1823,'июнь 2024'!$D$4:$D$1823,$B45,'июнь 2024'!$J$4:$J$1823,U$1)</f>
        <v>0</v>
      </c>
      <c r="V45" s="80">
        <f>SUMIFS('июнь 2024'!$G$4:$G$1823,'июнь 2024'!$D$4:$D$1823,$B45,'июнь 2024'!$J$4:$J$1823,V$1)</f>
        <v>0</v>
      </c>
      <c r="W45" s="80">
        <f>SUMIFS('июнь 2024'!$G$4:$G$1823,'июнь 2024'!$D$4:$D$1823,$B45,'июнь 2024'!$J$4:$J$1823,W$1)</f>
        <v>0</v>
      </c>
      <c r="X45" s="80">
        <f>SUMIFS('июнь 2024'!$G$4:$G$1823,'июнь 2024'!$D$4:$D$1823,$B45,'июнь 2024'!$J$4:$J$1823,X$1)</f>
        <v>0</v>
      </c>
      <c r="Y45" s="80">
        <f>SUMIFS('июнь 2024'!$G$4:$G$1823,'июнь 2024'!$D$4:$D$1823,$B45,'июнь 2024'!$J$4:$J$1823,Y$1)</f>
        <v>0</v>
      </c>
      <c r="Z45" s="80">
        <f>SUMIFS('июнь 2024'!$G$4:$G$1823,'июнь 2024'!$D$4:$D$1823,$B45,'июнь 2024'!$J$4:$J$1823,Z$1)</f>
        <v>0</v>
      </c>
      <c r="AA45" s="80">
        <f>SUMIFS('июнь 2024'!$G$4:$G$1823,'июнь 2024'!$D$4:$D$1823,$B45,'июнь 2024'!$J$4:$J$1823,AA$1)</f>
        <v>120</v>
      </c>
      <c r="AB45" s="80">
        <f>SUMIFS('июнь 2024'!$G$4:$G$1823,'июнь 2024'!$D$4:$D$1823,$B45,'июнь 2024'!$J$4:$J$1823,AB$1)</f>
        <v>0</v>
      </c>
      <c r="AC45" s="80">
        <f>SUMIFS('июнь 2024'!$G$4:$G$1823,'июнь 2024'!$D$4:$D$1823,$B45,'июнь 2024'!$J$4:$J$1823,AC$1)</f>
        <v>0</v>
      </c>
      <c r="AD45" s="80">
        <f>SUMIFS('июнь 2024'!$G$4:$G$1823,'июнь 2024'!$D$4:$D$1823,$B45,'июнь 2024'!$J$4:$J$1823,AD$1)</f>
        <v>0</v>
      </c>
      <c r="AE45" s="80">
        <f>SUMIFS('июнь 2024'!$G$4:$G$1823,'июнь 2024'!$D$4:$D$1823,$B45,'июнь 2024'!$J$4:$J$1823,AE$1)</f>
        <v>0</v>
      </c>
      <c r="AF45" s="80">
        <f>SUMIFS('июнь 2024'!$G$4:$G$1823,'июнь 2024'!$D$4:$D$1823,$B45,'июнь 2024'!$J$4:$J$1823,AF$1)</f>
        <v>0</v>
      </c>
      <c r="AG45" s="80">
        <f>SUMIFS('июнь 2024'!$G$4:$G$1823,'июнь 2024'!$D$4:$D$1823,$B45,'июнь 2024'!$J$4:$J$1823,AG$1)</f>
        <v>0</v>
      </c>
      <c r="AH45" s="80">
        <f>SUMIFS('июнь 2024'!$G$4:$G$1823,'июнь 2024'!$D$4:$D$1823,$B45,'июнь 2024'!$J$4:$J$1823,AH$1)</f>
        <v>0</v>
      </c>
      <c r="AI45" s="21">
        <f t="shared" si="1"/>
        <v>280</v>
      </c>
    </row>
    <row r="46" spans="2:35" ht="15" customHeight="1" x14ac:dyDescent="0.25">
      <c r="B46" s="154" t="s">
        <v>300</v>
      </c>
      <c r="C46" s="151">
        <v>20</v>
      </c>
      <c r="D46" s="80">
        <f>SUMIFS('июнь 2024'!$G$4:$G$1823,'июнь 2024'!$D$4:$D$1823,$B46,'июнь 2024'!$J$4:$J$1823,D$1)</f>
        <v>0</v>
      </c>
      <c r="E46" s="80">
        <f>SUMIFS('июнь 2024'!$G$4:$G$1823,'июнь 2024'!$D$4:$D$1823,$B46,'июнь 2024'!$J$4:$J$1823,E$1)</f>
        <v>0</v>
      </c>
      <c r="F46" s="80">
        <f>SUMIFS('июнь 2024'!$G$4:$G$1823,'июнь 2024'!$D$4:$D$1823,$B46,'июнь 2024'!$J$4:$J$1823,F$1)</f>
        <v>0</v>
      </c>
      <c r="G46" s="80">
        <f>SUMIFS('июнь 2024'!$G$4:$G$1823,'июнь 2024'!$D$4:$D$1823,$B46,'июнь 2024'!$J$4:$J$1823,G$1)</f>
        <v>0</v>
      </c>
      <c r="H46" s="80">
        <f>SUMIFS('июнь 2024'!$G$4:$G$1823,'июнь 2024'!$D$4:$D$1823,$B46,'июнь 2024'!$J$4:$J$1823,H$1)</f>
        <v>0</v>
      </c>
      <c r="I46" s="80">
        <f>SUMIFS('июнь 2024'!$G$4:$G$1823,'июнь 2024'!$D$4:$D$1823,$B46,'июнь 2024'!$J$4:$J$1823,I$1)</f>
        <v>0</v>
      </c>
      <c r="J46" s="80">
        <f>SUMIFS('июнь 2024'!$G$4:$G$1823,'июнь 2024'!$D$4:$D$1823,$B46,'июнь 2024'!$J$4:$J$1823,J$1)</f>
        <v>0</v>
      </c>
      <c r="K46" s="80">
        <f>SUMIFS('июнь 2024'!$G$4:$G$1823,'июнь 2024'!$D$4:$D$1823,$B46,'июнь 2024'!$J$4:$J$1823,K$1)</f>
        <v>0</v>
      </c>
      <c r="L46" s="80">
        <f>SUMIFS('июнь 2024'!$G$4:$G$1823,'июнь 2024'!$D$4:$D$1823,$B46,'июнь 2024'!$J$4:$J$1823,L$1)</f>
        <v>0</v>
      </c>
      <c r="M46" s="80">
        <f>SUMIFS('июнь 2024'!$G$4:$G$1823,'июнь 2024'!$D$4:$D$1823,$B46,'июнь 2024'!$J$4:$J$1823,M$1)</f>
        <v>0</v>
      </c>
      <c r="N46" s="80">
        <f>SUMIFS('июнь 2024'!$G$4:$G$1823,'июнь 2024'!$D$4:$D$1823,$B46,'июнь 2024'!$J$4:$J$1823,N$1)</f>
        <v>0</v>
      </c>
      <c r="O46" s="80">
        <f>SUMIFS('июнь 2024'!$G$4:$G$1823,'июнь 2024'!$D$4:$D$1823,$B46,'июнь 2024'!$J$4:$J$1823,O$1)</f>
        <v>0</v>
      </c>
      <c r="P46" s="80">
        <f>SUMIFS('июнь 2024'!$G$4:$G$1823,'июнь 2024'!$D$4:$D$1823,$B46,'июнь 2024'!$J$4:$J$1823,P$1)</f>
        <v>0</v>
      </c>
      <c r="Q46" s="80">
        <f>SUMIFS('июнь 2024'!$G$4:$G$1823,'июнь 2024'!$D$4:$D$1823,$B46,'июнь 2024'!$J$4:$J$1823,Q$1)</f>
        <v>0</v>
      </c>
      <c r="R46" s="80">
        <f>SUMIFS('июнь 2024'!$G$4:$G$1823,'июнь 2024'!$D$4:$D$1823,$B46,'июнь 2024'!$J$4:$J$1823,R$1)</f>
        <v>0</v>
      </c>
      <c r="S46" s="80">
        <f>SUMIFS('июнь 2024'!$G$4:$G$1823,'июнь 2024'!$D$4:$D$1823,$B46,'июнь 2024'!$J$4:$J$1823,S$1)</f>
        <v>0</v>
      </c>
      <c r="T46" s="80">
        <f>SUMIFS('июнь 2024'!$G$4:$G$1823,'июнь 2024'!$D$4:$D$1823,$B46,'июнь 2024'!$J$4:$J$1823,T$1)</f>
        <v>0</v>
      </c>
      <c r="U46" s="80">
        <f>SUMIFS('июнь 2024'!$G$4:$G$1823,'июнь 2024'!$D$4:$D$1823,$B46,'июнь 2024'!$J$4:$J$1823,U$1)</f>
        <v>0</v>
      </c>
      <c r="V46" s="80">
        <f>SUMIFS('июнь 2024'!$G$4:$G$1823,'июнь 2024'!$D$4:$D$1823,$B46,'июнь 2024'!$J$4:$J$1823,V$1)</f>
        <v>0</v>
      </c>
      <c r="W46" s="80">
        <f>SUMIFS('июнь 2024'!$G$4:$G$1823,'июнь 2024'!$D$4:$D$1823,$B46,'июнь 2024'!$J$4:$J$1823,W$1)</f>
        <v>0</v>
      </c>
      <c r="X46" s="80">
        <f>SUMIFS('июнь 2024'!$G$4:$G$1823,'июнь 2024'!$D$4:$D$1823,$B46,'июнь 2024'!$J$4:$J$1823,X$1)</f>
        <v>0</v>
      </c>
      <c r="Y46" s="80">
        <f>SUMIFS('июнь 2024'!$G$4:$G$1823,'июнь 2024'!$D$4:$D$1823,$B46,'июнь 2024'!$J$4:$J$1823,Y$1)</f>
        <v>0</v>
      </c>
      <c r="Z46" s="80">
        <f>SUMIFS('июнь 2024'!$G$4:$G$1823,'июнь 2024'!$D$4:$D$1823,$B46,'июнь 2024'!$J$4:$J$1823,Z$1)</f>
        <v>0</v>
      </c>
      <c r="AA46" s="80">
        <f>SUMIFS('июнь 2024'!$G$4:$G$1823,'июнь 2024'!$D$4:$D$1823,$B46,'июнь 2024'!$J$4:$J$1823,AA$1)</f>
        <v>0</v>
      </c>
      <c r="AB46" s="80">
        <f>SUMIFS('июнь 2024'!$G$4:$G$1823,'июнь 2024'!$D$4:$D$1823,$B46,'июнь 2024'!$J$4:$J$1823,AB$1)</f>
        <v>0</v>
      </c>
      <c r="AC46" s="80">
        <f>SUMIFS('июнь 2024'!$G$4:$G$1823,'июнь 2024'!$D$4:$D$1823,$B46,'июнь 2024'!$J$4:$J$1823,AC$1)</f>
        <v>0</v>
      </c>
      <c r="AD46" s="80">
        <f>SUMIFS('июнь 2024'!$G$4:$G$1823,'июнь 2024'!$D$4:$D$1823,$B46,'июнь 2024'!$J$4:$J$1823,AD$1)</f>
        <v>0</v>
      </c>
      <c r="AE46" s="80">
        <f>SUMIFS('июнь 2024'!$G$4:$G$1823,'июнь 2024'!$D$4:$D$1823,$B46,'июнь 2024'!$J$4:$J$1823,AE$1)</f>
        <v>0</v>
      </c>
      <c r="AF46" s="80">
        <f>SUMIFS('июнь 2024'!$G$4:$G$1823,'июнь 2024'!$D$4:$D$1823,$B46,'июнь 2024'!$J$4:$J$1823,AF$1)</f>
        <v>0</v>
      </c>
      <c r="AG46" s="80">
        <f>SUMIFS('июнь 2024'!$G$4:$G$1823,'июнь 2024'!$D$4:$D$1823,$B46,'июнь 2024'!$J$4:$J$1823,AG$1)</f>
        <v>0</v>
      </c>
      <c r="AH46" s="80">
        <f>SUMIFS('июнь 2024'!$G$4:$G$1823,'июнь 2024'!$D$4:$D$1823,$B46,'июнь 2024'!$J$4:$J$1823,AH$1)</f>
        <v>0</v>
      </c>
      <c r="AI46" s="21">
        <f t="shared" si="1"/>
        <v>0</v>
      </c>
    </row>
    <row r="47" spans="2:35" ht="15" customHeight="1" x14ac:dyDescent="0.25">
      <c r="B47" s="150" t="s">
        <v>302</v>
      </c>
      <c r="C47" s="153">
        <v>20</v>
      </c>
      <c r="D47" s="80">
        <f>SUMIFS('июнь 2024'!$G$4:$G$1823,'июнь 2024'!$D$4:$D$1823,$B47,'июнь 2024'!$J$4:$J$1823,D$1)</f>
        <v>0</v>
      </c>
      <c r="E47" s="80">
        <f>SUMIFS('июнь 2024'!$G$4:$G$1823,'июнь 2024'!$D$4:$D$1823,$B47,'июнь 2024'!$J$4:$J$1823,E$1)</f>
        <v>0</v>
      </c>
      <c r="F47" s="80">
        <f>SUMIFS('июнь 2024'!$G$4:$G$1823,'июнь 2024'!$D$4:$D$1823,$B47,'июнь 2024'!$J$4:$J$1823,F$1)</f>
        <v>0</v>
      </c>
      <c r="G47" s="80">
        <f>SUMIFS('июнь 2024'!$G$4:$G$1823,'июнь 2024'!$D$4:$D$1823,$B47,'июнь 2024'!$J$4:$J$1823,G$1)</f>
        <v>0</v>
      </c>
      <c r="H47" s="80">
        <f>SUMIFS('июнь 2024'!$G$4:$G$1823,'июнь 2024'!$D$4:$D$1823,$B47,'июнь 2024'!$J$4:$J$1823,H$1)</f>
        <v>0</v>
      </c>
      <c r="I47" s="80">
        <f>SUMIFS('июнь 2024'!$G$4:$G$1823,'июнь 2024'!$D$4:$D$1823,$B47,'июнь 2024'!$J$4:$J$1823,I$1)</f>
        <v>0</v>
      </c>
      <c r="J47" s="80">
        <f>SUMIFS('июнь 2024'!$G$4:$G$1823,'июнь 2024'!$D$4:$D$1823,$B47,'июнь 2024'!$J$4:$J$1823,J$1)</f>
        <v>0</v>
      </c>
      <c r="K47" s="80">
        <f>SUMIFS('июнь 2024'!$G$4:$G$1823,'июнь 2024'!$D$4:$D$1823,$B47,'июнь 2024'!$J$4:$J$1823,K$1)</f>
        <v>0</v>
      </c>
      <c r="L47" s="80">
        <f>SUMIFS('июнь 2024'!$G$4:$G$1823,'июнь 2024'!$D$4:$D$1823,$B47,'июнь 2024'!$J$4:$J$1823,L$1)</f>
        <v>0</v>
      </c>
      <c r="M47" s="80">
        <f>SUMIFS('июнь 2024'!$G$4:$G$1823,'июнь 2024'!$D$4:$D$1823,$B47,'июнь 2024'!$J$4:$J$1823,M$1)</f>
        <v>0</v>
      </c>
      <c r="N47" s="80">
        <f>SUMIFS('июнь 2024'!$G$4:$G$1823,'июнь 2024'!$D$4:$D$1823,$B47,'июнь 2024'!$J$4:$J$1823,N$1)</f>
        <v>0</v>
      </c>
      <c r="O47" s="80">
        <f>SUMIFS('июнь 2024'!$G$4:$G$1823,'июнь 2024'!$D$4:$D$1823,$B47,'июнь 2024'!$J$4:$J$1823,O$1)</f>
        <v>0</v>
      </c>
      <c r="P47" s="80">
        <f>SUMIFS('июнь 2024'!$G$4:$G$1823,'июнь 2024'!$D$4:$D$1823,$B47,'июнь 2024'!$J$4:$J$1823,P$1)</f>
        <v>0</v>
      </c>
      <c r="Q47" s="80">
        <f>SUMIFS('июнь 2024'!$G$4:$G$1823,'июнь 2024'!$D$4:$D$1823,$B47,'июнь 2024'!$J$4:$J$1823,Q$1)</f>
        <v>0</v>
      </c>
      <c r="R47" s="80">
        <f>SUMIFS('июнь 2024'!$G$4:$G$1823,'июнь 2024'!$D$4:$D$1823,$B47,'июнь 2024'!$J$4:$J$1823,R$1)</f>
        <v>0</v>
      </c>
      <c r="S47" s="80">
        <f>SUMIFS('июнь 2024'!$G$4:$G$1823,'июнь 2024'!$D$4:$D$1823,$B47,'июнь 2024'!$J$4:$J$1823,S$1)</f>
        <v>0</v>
      </c>
      <c r="T47" s="80">
        <f>SUMIFS('июнь 2024'!$G$4:$G$1823,'июнь 2024'!$D$4:$D$1823,$B47,'июнь 2024'!$J$4:$J$1823,T$1)</f>
        <v>0</v>
      </c>
      <c r="U47" s="80">
        <f>SUMIFS('июнь 2024'!$G$4:$G$1823,'июнь 2024'!$D$4:$D$1823,$B47,'июнь 2024'!$J$4:$J$1823,U$1)</f>
        <v>0</v>
      </c>
      <c r="V47" s="80">
        <f>SUMIFS('июнь 2024'!$G$4:$G$1823,'июнь 2024'!$D$4:$D$1823,$B47,'июнь 2024'!$J$4:$J$1823,V$1)</f>
        <v>0</v>
      </c>
      <c r="W47" s="80">
        <f>SUMIFS('июнь 2024'!$G$4:$G$1823,'июнь 2024'!$D$4:$D$1823,$B47,'июнь 2024'!$J$4:$J$1823,W$1)</f>
        <v>0</v>
      </c>
      <c r="X47" s="80">
        <f>SUMIFS('июнь 2024'!$G$4:$G$1823,'июнь 2024'!$D$4:$D$1823,$B47,'июнь 2024'!$J$4:$J$1823,X$1)</f>
        <v>0</v>
      </c>
      <c r="Y47" s="80">
        <f>SUMIFS('июнь 2024'!$G$4:$G$1823,'июнь 2024'!$D$4:$D$1823,$B47,'июнь 2024'!$J$4:$J$1823,Y$1)</f>
        <v>0</v>
      </c>
      <c r="Z47" s="80">
        <f>SUMIFS('июнь 2024'!$G$4:$G$1823,'июнь 2024'!$D$4:$D$1823,$B47,'июнь 2024'!$J$4:$J$1823,Z$1)</f>
        <v>0</v>
      </c>
      <c r="AA47" s="80">
        <f>SUMIFS('июнь 2024'!$G$4:$G$1823,'июнь 2024'!$D$4:$D$1823,$B47,'июнь 2024'!$J$4:$J$1823,AA$1)</f>
        <v>0</v>
      </c>
      <c r="AB47" s="80">
        <f>SUMIFS('июнь 2024'!$G$4:$G$1823,'июнь 2024'!$D$4:$D$1823,$B47,'июнь 2024'!$J$4:$J$1823,AB$1)</f>
        <v>0</v>
      </c>
      <c r="AC47" s="80">
        <f>SUMIFS('июнь 2024'!$G$4:$G$1823,'июнь 2024'!$D$4:$D$1823,$B47,'июнь 2024'!$J$4:$J$1823,AC$1)</f>
        <v>0</v>
      </c>
      <c r="AD47" s="80">
        <f>SUMIFS('июнь 2024'!$G$4:$G$1823,'июнь 2024'!$D$4:$D$1823,$B47,'июнь 2024'!$J$4:$J$1823,AD$1)</f>
        <v>0</v>
      </c>
      <c r="AE47" s="80">
        <f>SUMIFS('июнь 2024'!$G$4:$G$1823,'июнь 2024'!$D$4:$D$1823,$B47,'июнь 2024'!$J$4:$J$1823,AE$1)</f>
        <v>0</v>
      </c>
      <c r="AF47" s="80">
        <f>SUMIFS('июнь 2024'!$G$4:$G$1823,'июнь 2024'!$D$4:$D$1823,$B47,'июнь 2024'!$J$4:$J$1823,AF$1)</f>
        <v>0</v>
      </c>
      <c r="AG47" s="80">
        <f>SUMIFS('июнь 2024'!$G$4:$G$1823,'июнь 2024'!$D$4:$D$1823,$B47,'июнь 2024'!$J$4:$J$1823,AG$1)</f>
        <v>0</v>
      </c>
      <c r="AH47" s="80">
        <f>SUMIFS('июнь 2024'!$G$4:$G$1823,'июнь 2024'!$D$4:$D$1823,$B47,'июнь 2024'!$J$4:$J$1823,AH$1)</f>
        <v>0</v>
      </c>
      <c r="AI47" s="21">
        <f t="shared" si="1"/>
        <v>0</v>
      </c>
    </row>
    <row r="48" spans="2:35" ht="15" customHeight="1" x14ac:dyDescent="0.25">
      <c r="B48" s="150" t="s">
        <v>304</v>
      </c>
      <c r="C48" s="149">
        <v>20</v>
      </c>
      <c r="D48" s="80">
        <f>SUMIFS('июнь 2024'!$G$4:$G$1823,'июнь 2024'!$D$4:$D$1823,$B48,'июнь 2024'!$J$4:$J$1823,D$1)</f>
        <v>0</v>
      </c>
      <c r="E48" s="80">
        <f>SUMIFS('июнь 2024'!$G$4:$G$1823,'июнь 2024'!$D$4:$D$1823,$B48,'июнь 2024'!$J$4:$J$1823,E$1)</f>
        <v>0</v>
      </c>
      <c r="F48" s="80">
        <f>SUMIFS('июнь 2024'!$G$4:$G$1823,'июнь 2024'!$D$4:$D$1823,$B48,'июнь 2024'!$J$4:$J$1823,F$1)</f>
        <v>0</v>
      </c>
      <c r="G48" s="80">
        <f>SUMIFS('июнь 2024'!$G$4:$G$1823,'июнь 2024'!$D$4:$D$1823,$B48,'июнь 2024'!$J$4:$J$1823,G$1)</f>
        <v>0</v>
      </c>
      <c r="H48" s="80">
        <f>SUMIFS('июнь 2024'!$G$4:$G$1823,'июнь 2024'!$D$4:$D$1823,$B48,'июнь 2024'!$J$4:$J$1823,H$1)</f>
        <v>0</v>
      </c>
      <c r="I48" s="80">
        <f>SUMIFS('июнь 2024'!$G$4:$G$1823,'июнь 2024'!$D$4:$D$1823,$B48,'июнь 2024'!$J$4:$J$1823,I$1)</f>
        <v>0</v>
      </c>
      <c r="J48" s="80">
        <f>SUMIFS('июнь 2024'!$G$4:$G$1823,'июнь 2024'!$D$4:$D$1823,$B48,'июнь 2024'!$J$4:$J$1823,J$1)</f>
        <v>0</v>
      </c>
      <c r="K48" s="80">
        <f>SUMIFS('июнь 2024'!$G$4:$G$1823,'июнь 2024'!$D$4:$D$1823,$B48,'июнь 2024'!$J$4:$J$1823,K$1)</f>
        <v>0</v>
      </c>
      <c r="L48" s="80">
        <f>SUMIFS('июнь 2024'!$G$4:$G$1823,'июнь 2024'!$D$4:$D$1823,$B48,'июнь 2024'!$J$4:$J$1823,L$1)</f>
        <v>0</v>
      </c>
      <c r="M48" s="80">
        <f>SUMIFS('июнь 2024'!$G$4:$G$1823,'июнь 2024'!$D$4:$D$1823,$B48,'июнь 2024'!$J$4:$J$1823,M$1)</f>
        <v>0</v>
      </c>
      <c r="N48" s="80">
        <f>SUMIFS('июнь 2024'!$G$4:$G$1823,'июнь 2024'!$D$4:$D$1823,$B48,'июнь 2024'!$J$4:$J$1823,N$1)</f>
        <v>0</v>
      </c>
      <c r="O48" s="80">
        <f>SUMIFS('июнь 2024'!$G$4:$G$1823,'июнь 2024'!$D$4:$D$1823,$B48,'июнь 2024'!$J$4:$J$1823,O$1)</f>
        <v>0</v>
      </c>
      <c r="P48" s="80">
        <f>SUMIFS('июнь 2024'!$G$4:$G$1823,'июнь 2024'!$D$4:$D$1823,$B48,'июнь 2024'!$J$4:$J$1823,P$1)</f>
        <v>0</v>
      </c>
      <c r="Q48" s="80">
        <f>SUMIFS('июнь 2024'!$G$4:$G$1823,'июнь 2024'!$D$4:$D$1823,$B48,'июнь 2024'!$J$4:$J$1823,Q$1)</f>
        <v>0</v>
      </c>
      <c r="R48" s="80">
        <f>SUMIFS('июнь 2024'!$G$4:$G$1823,'июнь 2024'!$D$4:$D$1823,$B48,'июнь 2024'!$J$4:$J$1823,R$1)</f>
        <v>0</v>
      </c>
      <c r="S48" s="80">
        <f>SUMIFS('июнь 2024'!$G$4:$G$1823,'июнь 2024'!$D$4:$D$1823,$B48,'июнь 2024'!$J$4:$J$1823,S$1)</f>
        <v>0</v>
      </c>
      <c r="T48" s="80">
        <f>SUMIFS('июнь 2024'!$G$4:$G$1823,'июнь 2024'!$D$4:$D$1823,$B48,'июнь 2024'!$J$4:$J$1823,T$1)</f>
        <v>0</v>
      </c>
      <c r="U48" s="80">
        <f>SUMIFS('июнь 2024'!$G$4:$G$1823,'июнь 2024'!$D$4:$D$1823,$B48,'июнь 2024'!$J$4:$J$1823,U$1)</f>
        <v>0</v>
      </c>
      <c r="V48" s="80">
        <f>SUMIFS('июнь 2024'!$G$4:$G$1823,'июнь 2024'!$D$4:$D$1823,$B48,'июнь 2024'!$J$4:$J$1823,V$1)</f>
        <v>0</v>
      </c>
      <c r="W48" s="80">
        <f>SUMIFS('июнь 2024'!$G$4:$G$1823,'июнь 2024'!$D$4:$D$1823,$B48,'июнь 2024'!$J$4:$J$1823,W$1)</f>
        <v>0</v>
      </c>
      <c r="X48" s="80">
        <f>SUMIFS('июнь 2024'!$G$4:$G$1823,'июнь 2024'!$D$4:$D$1823,$B48,'июнь 2024'!$J$4:$J$1823,X$1)</f>
        <v>0</v>
      </c>
      <c r="Y48" s="80">
        <f>SUMIFS('июнь 2024'!$G$4:$G$1823,'июнь 2024'!$D$4:$D$1823,$B48,'июнь 2024'!$J$4:$J$1823,Y$1)</f>
        <v>0</v>
      </c>
      <c r="Z48" s="80">
        <f>SUMIFS('июнь 2024'!$G$4:$G$1823,'июнь 2024'!$D$4:$D$1823,$B48,'июнь 2024'!$J$4:$J$1823,Z$1)</f>
        <v>0</v>
      </c>
      <c r="AA48" s="80">
        <f>SUMIFS('июнь 2024'!$G$4:$G$1823,'июнь 2024'!$D$4:$D$1823,$B48,'июнь 2024'!$J$4:$J$1823,AA$1)</f>
        <v>0</v>
      </c>
      <c r="AB48" s="80">
        <f>SUMIFS('июнь 2024'!$G$4:$G$1823,'июнь 2024'!$D$4:$D$1823,$B48,'июнь 2024'!$J$4:$J$1823,AB$1)</f>
        <v>0</v>
      </c>
      <c r="AC48" s="80">
        <f>SUMIFS('июнь 2024'!$G$4:$G$1823,'июнь 2024'!$D$4:$D$1823,$B48,'июнь 2024'!$J$4:$J$1823,AC$1)</f>
        <v>0</v>
      </c>
      <c r="AD48" s="80">
        <f>SUMIFS('июнь 2024'!$G$4:$G$1823,'июнь 2024'!$D$4:$D$1823,$B48,'июнь 2024'!$J$4:$J$1823,AD$1)</f>
        <v>0</v>
      </c>
      <c r="AE48" s="80">
        <f>SUMIFS('июнь 2024'!$G$4:$G$1823,'июнь 2024'!$D$4:$D$1823,$B48,'июнь 2024'!$J$4:$J$1823,AE$1)</f>
        <v>0</v>
      </c>
      <c r="AF48" s="80">
        <f>SUMIFS('июнь 2024'!$G$4:$G$1823,'июнь 2024'!$D$4:$D$1823,$B48,'июнь 2024'!$J$4:$J$1823,AF$1)</f>
        <v>0</v>
      </c>
      <c r="AG48" s="80">
        <f>SUMIFS('июнь 2024'!$G$4:$G$1823,'июнь 2024'!$D$4:$D$1823,$B48,'июнь 2024'!$J$4:$J$1823,AG$1)</f>
        <v>0</v>
      </c>
      <c r="AH48" s="80">
        <f>SUMIFS('июнь 2024'!$G$4:$G$1823,'июнь 2024'!$D$4:$D$1823,$B48,'июнь 2024'!$J$4:$J$1823,AH$1)</f>
        <v>0</v>
      </c>
      <c r="AI48" s="21">
        <f t="shared" si="1"/>
        <v>0</v>
      </c>
    </row>
    <row r="49" spans="2:35" ht="15" customHeight="1" x14ac:dyDescent="0.25">
      <c r="B49" s="150" t="s">
        <v>306</v>
      </c>
      <c r="C49" s="151">
        <v>20</v>
      </c>
      <c r="D49" s="80">
        <f>SUMIFS('июнь 2024'!$G$4:$G$1823,'июнь 2024'!$D$4:$D$1823,$B49,'июнь 2024'!$J$4:$J$1823,D$1)</f>
        <v>0</v>
      </c>
      <c r="E49" s="80">
        <f>SUMIFS('июнь 2024'!$G$4:$G$1823,'июнь 2024'!$D$4:$D$1823,$B49,'июнь 2024'!$J$4:$J$1823,E$1)</f>
        <v>0</v>
      </c>
      <c r="F49" s="80">
        <f>SUMIFS('июнь 2024'!$G$4:$G$1823,'июнь 2024'!$D$4:$D$1823,$B49,'июнь 2024'!$J$4:$J$1823,F$1)</f>
        <v>0</v>
      </c>
      <c r="G49" s="80">
        <f>SUMIFS('июнь 2024'!$G$4:$G$1823,'июнь 2024'!$D$4:$D$1823,$B49,'июнь 2024'!$J$4:$J$1823,G$1)</f>
        <v>0</v>
      </c>
      <c r="H49" s="80">
        <f>SUMIFS('июнь 2024'!$G$4:$G$1823,'июнь 2024'!$D$4:$D$1823,$B49,'июнь 2024'!$J$4:$J$1823,H$1)</f>
        <v>0</v>
      </c>
      <c r="I49" s="80">
        <f>SUMIFS('июнь 2024'!$G$4:$G$1823,'июнь 2024'!$D$4:$D$1823,$B49,'июнь 2024'!$J$4:$J$1823,I$1)</f>
        <v>0</v>
      </c>
      <c r="J49" s="80">
        <f>SUMIFS('июнь 2024'!$G$4:$G$1823,'июнь 2024'!$D$4:$D$1823,$B49,'июнь 2024'!$J$4:$J$1823,J$1)</f>
        <v>0</v>
      </c>
      <c r="K49" s="80">
        <f>SUMIFS('июнь 2024'!$G$4:$G$1823,'июнь 2024'!$D$4:$D$1823,$B49,'июнь 2024'!$J$4:$J$1823,K$1)</f>
        <v>0</v>
      </c>
      <c r="L49" s="80">
        <f>SUMIFS('июнь 2024'!$G$4:$G$1823,'июнь 2024'!$D$4:$D$1823,$B49,'июнь 2024'!$J$4:$J$1823,L$1)</f>
        <v>0</v>
      </c>
      <c r="M49" s="80">
        <f>SUMIFS('июнь 2024'!$G$4:$G$1823,'июнь 2024'!$D$4:$D$1823,$B49,'июнь 2024'!$J$4:$J$1823,M$1)</f>
        <v>0</v>
      </c>
      <c r="N49" s="80">
        <f>SUMIFS('июнь 2024'!$G$4:$G$1823,'июнь 2024'!$D$4:$D$1823,$B49,'июнь 2024'!$J$4:$J$1823,N$1)</f>
        <v>0</v>
      </c>
      <c r="O49" s="80">
        <f>SUMIFS('июнь 2024'!$G$4:$G$1823,'июнь 2024'!$D$4:$D$1823,$B49,'июнь 2024'!$J$4:$J$1823,O$1)</f>
        <v>0</v>
      </c>
      <c r="P49" s="80">
        <f>SUMIFS('июнь 2024'!$G$4:$G$1823,'июнь 2024'!$D$4:$D$1823,$B49,'июнь 2024'!$J$4:$J$1823,P$1)</f>
        <v>0</v>
      </c>
      <c r="Q49" s="80">
        <f>SUMIFS('июнь 2024'!$G$4:$G$1823,'июнь 2024'!$D$4:$D$1823,$B49,'июнь 2024'!$J$4:$J$1823,Q$1)</f>
        <v>0</v>
      </c>
      <c r="R49" s="80">
        <f>SUMIFS('июнь 2024'!$G$4:$G$1823,'июнь 2024'!$D$4:$D$1823,$B49,'июнь 2024'!$J$4:$J$1823,R$1)</f>
        <v>0</v>
      </c>
      <c r="S49" s="80">
        <f>SUMIFS('июнь 2024'!$G$4:$G$1823,'июнь 2024'!$D$4:$D$1823,$B49,'июнь 2024'!$J$4:$J$1823,S$1)</f>
        <v>0</v>
      </c>
      <c r="T49" s="80">
        <f>SUMIFS('июнь 2024'!$G$4:$G$1823,'июнь 2024'!$D$4:$D$1823,$B49,'июнь 2024'!$J$4:$J$1823,T$1)</f>
        <v>0</v>
      </c>
      <c r="U49" s="80">
        <f>SUMIFS('июнь 2024'!$G$4:$G$1823,'июнь 2024'!$D$4:$D$1823,$B49,'июнь 2024'!$J$4:$J$1823,U$1)</f>
        <v>0</v>
      </c>
      <c r="V49" s="80">
        <f>SUMIFS('июнь 2024'!$G$4:$G$1823,'июнь 2024'!$D$4:$D$1823,$B49,'июнь 2024'!$J$4:$J$1823,V$1)</f>
        <v>0</v>
      </c>
      <c r="W49" s="80">
        <f>SUMIFS('июнь 2024'!$G$4:$G$1823,'июнь 2024'!$D$4:$D$1823,$B49,'июнь 2024'!$J$4:$J$1823,W$1)</f>
        <v>0</v>
      </c>
      <c r="X49" s="80">
        <f>SUMIFS('июнь 2024'!$G$4:$G$1823,'июнь 2024'!$D$4:$D$1823,$B49,'июнь 2024'!$J$4:$J$1823,X$1)</f>
        <v>0</v>
      </c>
      <c r="Y49" s="80">
        <f>SUMIFS('июнь 2024'!$G$4:$G$1823,'июнь 2024'!$D$4:$D$1823,$B49,'июнь 2024'!$J$4:$J$1823,Y$1)</f>
        <v>0</v>
      </c>
      <c r="Z49" s="80">
        <f>SUMIFS('июнь 2024'!$G$4:$G$1823,'июнь 2024'!$D$4:$D$1823,$B49,'июнь 2024'!$J$4:$J$1823,Z$1)</f>
        <v>0</v>
      </c>
      <c r="AA49" s="80">
        <f>SUMIFS('июнь 2024'!$G$4:$G$1823,'июнь 2024'!$D$4:$D$1823,$B49,'июнь 2024'!$J$4:$J$1823,AA$1)</f>
        <v>0</v>
      </c>
      <c r="AB49" s="80">
        <f>SUMIFS('июнь 2024'!$G$4:$G$1823,'июнь 2024'!$D$4:$D$1823,$B49,'июнь 2024'!$J$4:$J$1823,AB$1)</f>
        <v>0</v>
      </c>
      <c r="AC49" s="80">
        <f>SUMIFS('июнь 2024'!$G$4:$G$1823,'июнь 2024'!$D$4:$D$1823,$B49,'июнь 2024'!$J$4:$J$1823,AC$1)</f>
        <v>0</v>
      </c>
      <c r="AD49" s="80">
        <f>SUMIFS('июнь 2024'!$G$4:$G$1823,'июнь 2024'!$D$4:$D$1823,$B49,'июнь 2024'!$J$4:$J$1823,AD$1)</f>
        <v>0</v>
      </c>
      <c r="AE49" s="80">
        <f>SUMIFS('июнь 2024'!$G$4:$G$1823,'июнь 2024'!$D$4:$D$1823,$B49,'июнь 2024'!$J$4:$J$1823,AE$1)</f>
        <v>0</v>
      </c>
      <c r="AF49" s="80">
        <f>SUMIFS('июнь 2024'!$G$4:$G$1823,'июнь 2024'!$D$4:$D$1823,$B49,'июнь 2024'!$J$4:$J$1823,AF$1)</f>
        <v>0</v>
      </c>
      <c r="AG49" s="80">
        <f>SUMIFS('июнь 2024'!$G$4:$G$1823,'июнь 2024'!$D$4:$D$1823,$B49,'июнь 2024'!$J$4:$J$1823,AG$1)</f>
        <v>0</v>
      </c>
      <c r="AH49" s="80">
        <f>SUMIFS('июнь 2024'!$G$4:$G$1823,'июнь 2024'!$D$4:$D$1823,$B49,'июнь 2024'!$J$4:$J$1823,AH$1)</f>
        <v>0</v>
      </c>
      <c r="AI49" s="21">
        <f t="shared" si="1"/>
        <v>0</v>
      </c>
    </row>
    <row r="50" spans="2:35" ht="15" customHeight="1" x14ac:dyDescent="0.25">
      <c r="B50" s="150" t="s">
        <v>308</v>
      </c>
      <c r="C50" s="151">
        <v>14</v>
      </c>
      <c r="D50" s="80">
        <f>SUMIFS('июнь 2024'!$G$4:$G$1823,'июнь 2024'!$D$4:$D$1823,$B50,'июнь 2024'!$J$4:$J$1823,D$1)</f>
        <v>0</v>
      </c>
      <c r="E50" s="80">
        <f>SUMIFS('июнь 2024'!$G$4:$G$1823,'июнь 2024'!$D$4:$D$1823,$B50,'июнь 2024'!$J$4:$J$1823,E$1)</f>
        <v>0</v>
      </c>
      <c r="F50" s="80">
        <f>SUMIFS('июнь 2024'!$G$4:$G$1823,'июнь 2024'!$D$4:$D$1823,$B50,'июнь 2024'!$J$4:$J$1823,F$1)</f>
        <v>0</v>
      </c>
      <c r="G50" s="80">
        <f>SUMIFS('июнь 2024'!$G$4:$G$1823,'июнь 2024'!$D$4:$D$1823,$B50,'июнь 2024'!$J$4:$J$1823,G$1)</f>
        <v>0</v>
      </c>
      <c r="H50" s="80">
        <f>SUMIFS('июнь 2024'!$G$4:$G$1823,'июнь 2024'!$D$4:$D$1823,$B50,'июнь 2024'!$J$4:$J$1823,H$1)</f>
        <v>0</v>
      </c>
      <c r="I50" s="80">
        <f>SUMIFS('июнь 2024'!$G$4:$G$1823,'июнь 2024'!$D$4:$D$1823,$B50,'июнь 2024'!$J$4:$J$1823,I$1)</f>
        <v>0</v>
      </c>
      <c r="J50" s="80">
        <f>SUMIFS('июнь 2024'!$G$4:$G$1823,'июнь 2024'!$D$4:$D$1823,$B50,'июнь 2024'!$J$4:$J$1823,J$1)</f>
        <v>0</v>
      </c>
      <c r="K50" s="80">
        <f>SUMIFS('июнь 2024'!$G$4:$G$1823,'июнь 2024'!$D$4:$D$1823,$B50,'июнь 2024'!$J$4:$J$1823,K$1)</f>
        <v>0</v>
      </c>
      <c r="L50" s="80">
        <f>SUMIFS('июнь 2024'!$G$4:$G$1823,'июнь 2024'!$D$4:$D$1823,$B50,'июнь 2024'!$J$4:$J$1823,L$1)</f>
        <v>0</v>
      </c>
      <c r="M50" s="80">
        <f>SUMIFS('июнь 2024'!$G$4:$G$1823,'июнь 2024'!$D$4:$D$1823,$B50,'июнь 2024'!$J$4:$J$1823,M$1)</f>
        <v>0</v>
      </c>
      <c r="N50" s="80">
        <f>SUMIFS('июнь 2024'!$G$4:$G$1823,'июнь 2024'!$D$4:$D$1823,$B50,'июнь 2024'!$J$4:$J$1823,N$1)</f>
        <v>0</v>
      </c>
      <c r="O50" s="80">
        <f>SUMIFS('июнь 2024'!$G$4:$G$1823,'июнь 2024'!$D$4:$D$1823,$B50,'июнь 2024'!$J$4:$J$1823,O$1)</f>
        <v>0</v>
      </c>
      <c r="P50" s="80">
        <f>SUMIFS('июнь 2024'!$G$4:$G$1823,'июнь 2024'!$D$4:$D$1823,$B50,'июнь 2024'!$J$4:$J$1823,P$1)</f>
        <v>0</v>
      </c>
      <c r="Q50" s="80">
        <f>SUMIFS('июнь 2024'!$G$4:$G$1823,'июнь 2024'!$D$4:$D$1823,$B50,'июнь 2024'!$J$4:$J$1823,Q$1)</f>
        <v>0</v>
      </c>
      <c r="R50" s="80">
        <f>SUMIFS('июнь 2024'!$G$4:$G$1823,'июнь 2024'!$D$4:$D$1823,$B50,'июнь 2024'!$J$4:$J$1823,R$1)</f>
        <v>0</v>
      </c>
      <c r="S50" s="80">
        <f>SUMIFS('июнь 2024'!$G$4:$G$1823,'июнь 2024'!$D$4:$D$1823,$B50,'июнь 2024'!$J$4:$J$1823,S$1)</f>
        <v>0</v>
      </c>
      <c r="T50" s="80">
        <f>SUMIFS('июнь 2024'!$G$4:$G$1823,'июнь 2024'!$D$4:$D$1823,$B50,'июнь 2024'!$J$4:$J$1823,T$1)</f>
        <v>0</v>
      </c>
      <c r="U50" s="80">
        <f>SUMIFS('июнь 2024'!$G$4:$G$1823,'июнь 2024'!$D$4:$D$1823,$B50,'июнь 2024'!$J$4:$J$1823,U$1)</f>
        <v>0</v>
      </c>
      <c r="V50" s="80">
        <f>SUMIFS('июнь 2024'!$G$4:$G$1823,'июнь 2024'!$D$4:$D$1823,$B50,'июнь 2024'!$J$4:$J$1823,V$1)</f>
        <v>0</v>
      </c>
      <c r="W50" s="80">
        <f>SUMIFS('июнь 2024'!$G$4:$G$1823,'июнь 2024'!$D$4:$D$1823,$B50,'июнь 2024'!$J$4:$J$1823,W$1)</f>
        <v>0</v>
      </c>
      <c r="X50" s="80">
        <f>SUMIFS('июнь 2024'!$G$4:$G$1823,'июнь 2024'!$D$4:$D$1823,$B50,'июнь 2024'!$J$4:$J$1823,X$1)</f>
        <v>0</v>
      </c>
      <c r="Y50" s="80">
        <f>SUMIFS('июнь 2024'!$G$4:$G$1823,'июнь 2024'!$D$4:$D$1823,$B50,'июнь 2024'!$J$4:$J$1823,Y$1)</f>
        <v>0</v>
      </c>
      <c r="Z50" s="80">
        <f>SUMIFS('июнь 2024'!$G$4:$G$1823,'июнь 2024'!$D$4:$D$1823,$B50,'июнь 2024'!$J$4:$J$1823,Z$1)</f>
        <v>0</v>
      </c>
      <c r="AA50" s="80">
        <f>SUMIFS('июнь 2024'!$G$4:$G$1823,'июнь 2024'!$D$4:$D$1823,$B50,'июнь 2024'!$J$4:$J$1823,AA$1)</f>
        <v>0</v>
      </c>
      <c r="AB50" s="80">
        <f>SUMIFS('июнь 2024'!$G$4:$G$1823,'июнь 2024'!$D$4:$D$1823,$B50,'июнь 2024'!$J$4:$J$1823,AB$1)</f>
        <v>0</v>
      </c>
      <c r="AC50" s="80">
        <f>SUMIFS('июнь 2024'!$G$4:$G$1823,'июнь 2024'!$D$4:$D$1823,$B50,'июнь 2024'!$J$4:$J$1823,AC$1)</f>
        <v>0</v>
      </c>
      <c r="AD50" s="80">
        <f>SUMIFS('июнь 2024'!$G$4:$G$1823,'июнь 2024'!$D$4:$D$1823,$B50,'июнь 2024'!$J$4:$J$1823,AD$1)</f>
        <v>0</v>
      </c>
      <c r="AE50" s="80">
        <f>SUMIFS('июнь 2024'!$G$4:$G$1823,'июнь 2024'!$D$4:$D$1823,$B50,'июнь 2024'!$J$4:$J$1823,AE$1)</f>
        <v>0</v>
      </c>
      <c r="AF50" s="80">
        <f>SUMIFS('июнь 2024'!$G$4:$G$1823,'июнь 2024'!$D$4:$D$1823,$B50,'июнь 2024'!$J$4:$J$1823,AF$1)</f>
        <v>0</v>
      </c>
      <c r="AG50" s="80">
        <f>SUMIFS('июнь 2024'!$G$4:$G$1823,'июнь 2024'!$D$4:$D$1823,$B50,'июнь 2024'!$J$4:$J$1823,AG$1)</f>
        <v>0</v>
      </c>
      <c r="AH50" s="80">
        <f>SUMIFS('июнь 2024'!$G$4:$G$1823,'июнь 2024'!$D$4:$D$1823,$B50,'июнь 2024'!$J$4:$J$1823,AH$1)</f>
        <v>0</v>
      </c>
      <c r="AI50" s="21">
        <f t="shared" si="1"/>
        <v>0</v>
      </c>
    </row>
    <row r="51" spans="2:35" ht="15" customHeight="1" x14ac:dyDescent="0.25">
      <c r="B51" s="150" t="s">
        <v>310</v>
      </c>
      <c r="C51" s="151">
        <v>25</v>
      </c>
      <c r="D51" s="80">
        <f>SUMIFS('июнь 2024'!$G$4:$G$1823,'июнь 2024'!$D$4:$D$1823,$B51,'июнь 2024'!$J$4:$J$1823,D$1)</f>
        <v>0</v>
      </c>
      <c r="E51" s="80">
        <f>SUMIFS('июнь 2024'!$G$4:$G$1823,'июнь 2024'!$D$4:$D$1823,$B51,'июнь 2024'!$J$4:$J$1823,E$1)</f>
        <v>0</v>
      </c>
      <c r="F51" s="80">
        <f>SUMIFS('июнь 2024'!$G$4:$G$1823,'июнь 2024'!$D$4:$D$1823,$B51,'июнь 2024'!$J$4:$J$1823,F$1)</f>
        <v>0</v>
      </c>
      <c r="G51" s="80">
        <f>SUMIFS('июнь 2024'!$G$4:$G$1823,'июнь 2024'!$D$4:$D$1823,$B51,'июнь 2024'!$J$4:$J$1823,G$1)</f>
        <v>0</v>
      </c>
      <c r="H51" s="80">
        <f>SUMIFS('июнь 2024'!$G$4:$G$1823,'июнь 2024'!$D$4:$D$1823,$B51,'июнь 2024'!$J$4:$J$1823,H$1)</f>
        <v>0</v>
      </c>
      <c r="I51" s="80">
        <f>SUMIFS('июнь 2024'!$G$4:$G$1823,'июнь 2024'!$D$4:$D$1823,$B51,'июнь 2024'!$J$4:$J$1823,I$1)</f>
        <v>0</v>
      </c>
      <c r="J51" s="80">
        <f>SUMIFS('июнь 2024'!$G$4:$G$1823,'июнь 2024'!$D$4:$D$1823,$B51,'июнь 2024'!$J$4:$J$1823,J$1)</f>
        <v>0</v>
      </c>
      <c r="K51" s="80">
        <f>SUMIFS('июнь 2024'!$G$4:$G$1823,'июнь 2024'!$D$4:$D$1823,$B51,'июнь 2024'!$J$4:$J$1823,K$1)</f>
        <v>0</v>
      </c>
      <c r="L51" s="80">
        <f>SUMIFS('июнь 2024'!$G$4:$G$1823,'июнь 2024'!$D$4:$D$1823,$B51,'июнь 2024'!$J$4:$J$1823,L$1)</f>
        <v>0</v>
      </c>
      <c r="M51" s="80">
        <f>SUMIFS('июнь 2024'!$G$4:$G$1823,'июнь 2024'!$D$4:$D$1823,$B51,'июнь 2024'!$J$4:$J$1823,M$1)</f>
        <v>0</v>
      </c>
      <c r="N51" s="80">
        <f>SUMIFS('июнь 2024'!$G$4:$G$1823,'июнь 2024'!$D$4:$D$1823,$B51,'июнь 2024'!$J$4:$J$1823,N$1)</f>
        <v>0</v>
      </c>
      <c r="O51" s="80">
        <f>SUMIFS('июнь 2024'!$G$4:$G$1823,'июнь 2024'!$D$4:$D$1823,$B51,'июнь 2024'!$J$4:$J$1823,O$1)</f>
        <v>0</v>
      </c>
      <c r="P51" s="80">
        <f>SUMIFS('июнь 2024'!$G$4:$G$1823,'июнь 2024'!$D$4:$D$1823,$B51,'июнь 2024'!$J$4:$J$1823,P$1)</f>
        <v>0</v>
      </c>
      <c r="Q51" s="80">
        <f>SUMIFS('июнь 2024'!$G$4:$G$1823,'июнь 2024'!$D$4:$D$1823,$B51,'июнь 2024'!$J$4:$J$1823,Q$1)</f>
        <v>0</v>
      </c>
      <c r="R51" s="80">
        <f>SUMIFS('июнь 2024'!$G$4:$G$1823,'июнь 2024'!$D$4:$D$1823,$B51,'июнь 2024'!$J$4:$J$1823,R$1)</f>
        <v>0</v>
      </c>
      <c r="S51" s="80">
        <f>SUMIFS('июнь 2024'!$G$4:$G$1823,'июнь 2024'!$D$4:$D$1823,$B51,'июнь 2024'!$J$4:$J$1823,S$1)</f>
        <v>0</v>
      </c>
      <c r="T51" s="80">
        <f>SUMIFS('июнь 2024'!$G$4:$G$1823,'июнь 2024'!$D$4:$D$1823,$B51,'июнь 2024'!$J$4:$J$1823,T$1)</f>
        <v>0</v>
      </c>
      <c r="U51" s="80">
        <f>SUMIFS('июнь 2024'!$G$4:$G$1823,'июнь 2024'!$D$4:$D$1823,$B51,'июнь 2024'!$J$4:$J$1823,U$1)</f>
        <v>0</v>
      </c>
      <c r="V51" s="80">
        <f>SUMIFS('июнь 2024'!$G$4:$G$1823,'июнь 2024'!$D$4:$D$1823,$B51,'июнь 2024'!$J$4:$J$1823,V$1)</f>
        <v>0</v>
      </c>
      <c r="W51" s="80">
        <f>SUMIFS('июнь 2024'!$G$4:$G$1823,'июнь 2024'!$D$4:$D$1823,$B51,'июнь 2024'!$J$4:$J$1823,W$1)</f>
        <v>0</v>
      </c>
      <c r="X51" s="80">
        <f>SUMIFS('июнь 2024'!$G$4:$G$1823,'июнь 2024'!$D$4:$D$1823,$B51,'июнь 2024'!$J$4:$J$1823,X$1)</f>
        <v>0</v>
      </c>
      <c r="Y51" s="80">
        <f>SUMIFS('июнь 2024'!$G$4:$G$1823,'июнь 2024'!$D$4:$D$1823,$B51,'июнь 2024'!$J$4:$J$1823,Y$1)</f>
        <v>0</v>
      </c>
      <c r="Z51" s="80">
        <f>SUMIFS('июнь 2024'!$G$4:$G$1823,'июнь 2024'!$D$4:$D$1823,$B51,'июнь 2024'!$J$4:$J$1823,Z$1)</f>
        <v>0</v>
      </c>
      <c r="AA51" s="80">
        <f>SUMIFS('июнь 2024'!$G$4:$G$1823,'июнь 2024'!$D$4:$D$1823,$B51,'июнь 2024'!$J$4:$J$1823,AA$1)</f>
        <v>0</v>
      </c>
      <c r="AB51" s="80">
        <f>SUMIFS('июнь 2024'!$G$4:$G$1823,'июнь 2024'!$D$4:$D$1823,$B51,'июнь 2024'!$J$4:$J$1823,AB$1)</f>
        <v>0</v>
      </c>
      <c r="AC51" s="80">
        <f>SUMIFS('июнь 2024'!$G$4:$G$1823,'июнь 2024'!$D$4:$D$1823,$B51,'июнь 2024'!$J$4:$J$1823,AC$1)</f>
        <v>0</v>
      </c>
      <c r="AD51" s="80">
        <f>SUMIFS('июнь 2024'!$G$4:$G$1823,'июнь 2024'!$D$4:$D$1823,$B51,'июнь 2024'!$J$4:$J$1823,AD$1)</f>
        <v>0</v>
      </c>
      <c r="AE51" s="80">
        <f>SUMIFS('июнь 2024'!$G$4:$G$1823,'июнь 2024'!$D$4:$D$1823,$B51,'июнь 2024'!$J$4:$J$1823,AE$1)</f>
        <v>0</v>
      </c>
      <c r="AF51" s="80">
        <f>SUMIFS('июнь 2024'!$G$4:$G$1823,'июнь 2024'!$D$4:$D$1823,$B51,'июнь 2024'!$J$4:$J$1823,AF$1)</f>
        <v>0</v>
      </c>
      <c r="AG51" s="80">
        <f>SUMIFS('июнь 2024'!$G$4:$G$1823,'июнь 2024'!$D$4:$D$1823,$B51,'июнь 2024'!$J$4:$J$1823,AG$1)</f>
        <v>0</v>
      </c>
      <c r="AH51" s="80">
        <f>SUMIFS('июнь 2024'!$G$4:$G$1823,'июнь 2024'!$D$4:$D$1823,$B51,'июнь 2024'!$J$4:$J$1823,AH$1)</f>
        <v>0</v>
      </c>
      <c r="AI51" s="21">
        <f t="shared" si="1"/>
        <v>0</v>
      </c>
    </row>
    <row r="52" spans="2:35" ht="15" customHeight="1" x14ac:dyDescent="0.25">
      <c r="B52" s="150" t="s">
        <v>316</v>
      </c>
      <c r="C52" s="151">
        <v>20</v>
      </c>
      <c r="D52" s="80">
        <f>SUMIFS('июнь 2024'!$G$4:$G$1823,'июнь 2024'!$D$4:$D$1823,$B52,'июнь 2024'!$J$4:$J$1823,D$1)</f>
        <v>0</v>
      </c>
      <c r="E52" s="80">
        <f>SUMIFS('июнь 2024'!$G$4:$G$1823,'июнь 2024'!$D$4:$D$1823,$B52,'июнь 2024'!$J$4:$J$1823,E$1)</f>
        <v>0</v>
      </c>
      <c r="F52" s="80">
        <f>SUMIFS('июнь 2024'!$G$4:$G$1823,'июнь 2024'!$D$4:$D$1823,$B52,'июнь 2024'!$J$4:$J$1823,F$1)</f>
        <v>0</v>
      </c>
      <c r="G52" s="80">
        <f>SUMIFS('июнь 2024'!$G$4:$G$1823,'июнь 2024'!$D$4:$D$1823,$B52,'июнь 2024'!$J$4:$J$1823,G$1)</f>
        <v>0</v>
      </c>
      <c r="H52" s="80">
        <f>SUMIFS('июнь 2024'!$G$4:$G$1823,'июнь 2024'!$D$4:$D$1823,$B52,'июнь 2024'!$J$4:$J$1823,H$1)</f>
        <v>0</v>
      </c>
      <c r="I52" s="80">
        <f>SUMIFS('июнь 2024'!$G$4:$G$1823,'июнь 2024'!$D$4:$D$1823,$B52,'июнь 2024'!$J$4:$J$1823,I$1)</f>
        <v>0</v>
      </c>
      <c r="J52" s="80">
        <f>SUMIFS('июнь 2024'!$G$4:$G$1823,'июнь 2024'!$D$4:$D$1823,$B52,'июнь 2024'!$J$4:$J$1823,J$1)</f>
        <v>0</v>
      </c>
      <c r="K52" s="80">
        <f>SUMIFS('июнь 2024'!$G$4:$G$1823,'июнь 2024'!$D$4:$D$1823,$B52,'июнь 2024'!$J$4:$J$1823,K$1)</f>
        <v>0</v>
      </c>
      <c r="L52" s="80">
        <f>SUMIFS('июнь 2024'!$G$4:$G$1823,'июнь 2024'!$D$4:$D$1823,$B52,'июнь 2024'!$J$4:$J$1823,L$1)</f>
        <v>0</v>
      </c>
      <c r="M52" s="80">
        <f>SUMIFS('июнь 2024'!$G$4:$G$1823,'июнь 2024'!$D$4:$D$1823,$B52,'июнь 2024'!$J$4:$J$1823,M$1)</f>
        <v>0</v>
      </c>
      <c r="N52" s="80">
        <f>SUMIFS('июнь 2024'!$G$4:$G$1823,'июнь 2024'!$D$4:$D$1823,$B52,'июнь 2024'!$J$4:$J$1823,N$1)</f>
        <v>250</v>
      </c>
      <c r="O52" s="80">
        <f>SUMIFS('июнь 2024'!$G$4:$G$1823,'июнь 2024'!$D$4:$D$1823,$B52,'июнь 2024'!$J$4:$J$1823,O$1)</f>
        <v>0</v>
      </c>
      <c r="P52" s="80">
        <f>SUMIFS('июнь 2024'!$G$4:$G$1823,'июнь 2024'!$D$4:$D$1823,$B52,'июнь 2024'!$J$4:$J$1823,P$1)</f>
        <v>0</v>
      </c>
      <c r="Q52" s="80">
        <f>SUMIFS('июнь 2024'!$G$4:$G$1823,'июнь 2024'!$D$4:$D$1823,$B52,'июнь 2024'!$J$4:$J$1823,Q$1)</f>
        <v>0</v>
      </c>
      <c r="R52" s="80">
        <f>SUMIFS('июнь 2024'!$G$4:$G$1823,'июнь 2024'!$D$4:$D$1823,$B52,'июнь 2024'!$J$4:$J$1823,R$1)</f>
        <v>0</v>
      </c>
      <c r="S52" s="80">
        <f>SUMIFS('июнь 2024'!$G$4:$G$1823,'июнь 2024'!$D$4:$D$1823,$B52,'июнь 2024'!$J$4:$J$1823,S$1)</f>
        <v>0</v>
      </c>
      <c r="T52" s="80">
        <f>SUMIFS('июнь 2024'!$G$4:$G$1823,'июнь 2024'!$D$4:$D$1823,$B52,'июнь 2024'!$J$4:$J$1823,T$1)</f>
        <v>500</v>
      </c>
      <c r="U52" s="80">
        <f>SUMIFS('июнь 2024'!$G$4:$G$1823,'июнь 2024'!$D$4:$D$1823,$B52,'июнь 2024'!$J$4:$J$1823,U$1)</f>
        <v>0</v>
      </c>
      <c r="V52" s="80">
        <f>SUMIFS('июнь 2024'!$G$4:$G$1823,'июнь 2024'!$D$4:$D$1823,$B52,'июнь 2024'!$J$4:$J$1823,V$1)</f>
        <v>0</v>
      </c>
      <c r="W52" s="80">
        <f>SUMIFS('июнь 2024'!$G$4:$G$1823,'июнь 2024'!$D$4:$D$1823,$B52,'июнь 2024'!$J$4:$J$1823,W$1)</f>
        <v>0</v>
      </c>
      <c r="X52" s="80">
        <f>SUMIFS('июнь 2024'!$G$4:$G$1823,'июнь 2024'!$D$4:$D$1823,$B52,'июнь 2024'!$J$4:$J$1823,X$1)</f>
        <v>0</v>
      </c>
      <c r="Y52" s="80">
        <f>SUMIFS('июнь 2024'!$G$4:$G$1823,'июнь 2024'!$D$4:$D$1823,$B52,'июнь 2024'!$J$4:$J$1823,Y$1)</f>
        <v>0</v>
      </c>
      <c r="Z52" s="80">
        <f>SUMIFS('июнь 2024'!$G$4:$G$1823,'июнь 2024'!$D$4:$D$1823,$B52,'июнь 2024'!$J$4:$J$1823,Z$1)</f>
        <v>0</v>
      </c>
      <c r="AA52" s="80">
        <f>SUMIFS('июнь 2024'!$G$4:$G$1823,'июнь 2024'!$D$4:$D$1823,$B52,'июнь 2024'!$J$4:$J$1823,AA$1)</f>
        <v>0</v>
      </c>
      <c r="AB52" s="80">
        <f>SUMIFS('июнь 2024'!$G$4:$G$1823,'июнь 2024'!$D$4:$D$1823,$B52,'июнь 2024'!$J$4:$J$1823,AB$1)</f>
        <v>0</v>
      </c>
      <c r="AC52" s="80">
        <f>SUMIFS('июнь 2024'!$G$4:$G$1823,'июнь 2024'!$D$4:$D$1823,$B52,'июнь 2024'!$J$4:$J$1823,AC$1)</f>
        <v>0</v>
      </c>
      <c r="AD52" s="80">
        <f>SUMIFS('июнь 2024'!$G$4:$G$1823,'июнь 2024'!$D$4:$D$1823,$B52,'июнь 2024'!$J$4:$J$1823,AD$1)</f>
        <v>0</v>
      </c>
      <c r="AE52" s="80">
        <f>SUMIFS('июнь 2024'!$G$4:$G$1823,'июнь 2024'!$D$4:$D$1823,$B52,'июнь 2024'!$J$4:$J$1823,AE$1)</f>
        <v>0</v>
      </c>
      <c r="AF52" s="80">
        <f>SUMIFS('июнь 2024'!$G$4:$G$1823,'июнь 2024'!$D$4:$D$1823,$B52,'июнь 2024'!$J$4:$J$1823,AF$1)</f>
        <v>0</v>
      </c>
      <c r="AG52" s="80">
        <f>SUMIFS('июнь 2024'!$G$4:$G$1823,'июнь 2024'!$D$4:$D$1823,$B52,'июнь 2024'!$J$4:$J$1823,AG$1)</f>
        <v>0</v>
      </c>
      <c r="AH52" s="80">
        <f>SUMIFS('июнь 2024'!$G$4:$G$1823,'июнь 2024'!$D$4:$D$1823,$B52,'июнь 2024'!$J$4:$J$1823,AH$1)</f>
        <v>0</v>
      </c>
      <c r="AI52" s="21">
        <f t="shared" si="1"/>
        <v>750</v>
      </c>
    </row>
    <row r="53" spans="2:35" ht="15" customHeight="1" x14ac:dyDescent="0.25">
      <c r="B53" s="146" t="s">
        <v>317</v>
      </c>
      <c r="C53" s="151">
        <v>20</v>
      </c>
      <c r="D53" s="80">
        <f>SUMIFS('июнь 2024'!$G$4:$G$1823,'июнь 2024'!$D$4:$D$1823,$B53,'июнь 2024'!$J$4:$J$1823,D$1)</f>
        <v>0</v>
      </c>
      <c r="E53" s="80">
        <f>SUMIFS('июнь 2024'!$G$4:$G$1823,'июнь 2024'!$D$4:$D$1823,$B53,'июнь 2024'!$J$4:$J$1823,E$1)</f>
        <v>0</v>
      </c>
      <c r="F53" s="80">
        <f>SUMIFS('июнь 2024'!$G$4:$G$1823,'июнь 2024'!$D$4:$D$1823,$B53,'июнь 2024'!$J$4:$J$1823,F$1)</f>
        <v>0</v>
      </c>
      <c r="G53" s="80">
        <f>SUMIFS('июнь 2024'!$G$4:$G$1823,'июнь 2024'!$D$4:$D$1823,$B53,'июнь 2024'!$J$4:$J$1823,G$1)</f>
        <v>0</v>
      </c>
      <c r="H53" s="80">
        <f>SUMIFS('июнь 2024'!$G$4:$G$1823,'июнь 2024'!$D$4:$D$1823,$B53,'июнь 2024'!$J$4:$J$1823,H$1)</f>
        <v>0</v>
      </c>
      <c r="I53" s="80">
        <f>SUMIFS('июнь 2024'!$G$4:$G$1823,'июнь 2024'!$D$4:$D$1823,$B53,'июнь 2024'!$J$4:$J$1823,I$1)</f>
        <v>0</v>
      </c>
      <c r="J53" s="80">
        <f>SUMIFS('июнь 2024'!$G$4:$G$1823,'июнь 2024'!$D$4:$D$1823,$B53,'июнь 2024'!$J$4:$J$1823,J$1)</f>
        <v>0</v>
      </c>
      <c r="K53" s="80">
        <f>SUMIFS('июнь 2024'!$G$4:$G$1823,'июнь 2024'!$D$4:$D$1823,$B53,'июнь 2024'!$J$4:$J$1823,K$1)</f>
        <v>0</v>
      </c>
      <c r="L53" s="80">
        <f>SUMIFS('июнь 2024'!$G$4:$G$1823,'июнь 2024'!$D$4:$D$1823,$B53,'июнь 2024'!$J$4:$J$1823,L$1)</f>
        <v>0</v>
      </c>
      <c r="M53" s="80">
        <f>SUMIFS('июнь 2024'!$G$4:$G$1823,'июнь 2024'!$D$4:$D$1823,$B53,'июнь 2024'!$J$4:$J$1823,M$1)</f>
        <v>0</v>
      </c>
      <c r="N53" s="80">
        <f>SUMIFS('июнь 2024'!$G$4:$G$1823,'июнь 2024'!$D$4:$D$1823,$B53,'июнь 2024'!$J$4:$J$1823,N$1)</f>
        <v>0</v>
      </c>
      <c r="O53" s="80">
        <f>SUMIFS('июнь 2024'!$G$4:$G$1823,'июнь 2024'!$D$4:$D$1823,$B53,'июнь 2024'!$J$4:$J$1823,O$1)</f>
        <v>0</v>
      </c>
      <c r="P53" s="80">
        <f>SUMIFS('июнь 2024'!$G$4:$G$1823,'июнь 2024'!$D$4:$D$1823,$B53,'июнь 2024'!$J$4:$J$1823,P$1)</f>
        <v>0</v>
      </c>
      <c r="Q53" s="80">
        <f>SUMIFS('июнь 2024'!$G$4:$G$1823,'июнь 2024'!$D$4:$D$1823,$B53,'июнь 2024'!$J$4:$J$1823,Q$1)</f>
        <v>0</v>
      </c>
      <c r="R53" s="80">
        <f>SUMIFS('июнь 2024'!$G$4:$G$1823,'июнь 2024'!$D$4:$D$1823,$B53,'июнь 2024'!$J$4:$J$1823,R$1)</f>
        <v>0</v>
      </c>
      <c r="S53" s="80">
        <f>SUMIFS('июнь 2024'!$G$4:$G$1823,'июнь 2024'!$D$4:$D$1823,$B53,'июнь 2024'!$J$4:$J$1823,S$1)</f>
        <v>0</v>
      </c>
      <c r="T53" s="80">
        <f>SUMIFS('июнь 2024'!$G$4:$G$1823,'июнь 2024'!$D$4:$D$1823,$B53,'июнь 2024'!$J$4:$J$1823,T$1)</f>
        <v>0</v>
      </c>
      <c r="U53" s="80">
        <f>SUMIFS('июнь 2024'!$G$4:$G$1823,'июнь 2024'!$D$4:$D$1823,$B53,'июнь 2024'!$J$4:$J$1823,U$1)</f>
        <v>0</v>
      </c>
      <c r="V53" s="80">
        <f>SUMIFS('июнь 2024'!$G$4:$G$1823,'июнь 2024'!$D$4:$D$1823,$B53,'июнь 2024'!$J$4:$J$1823,V$1)</f>
        <v>0</v>
      </c>
      <c r="W53" s="80">
        <f>SUMIFS('июнь 2024'!$G$4:$G$1823,'июнь 2024'!$D$4:$D$1823,$B53,'июнь 2024'!$J$4:$J$1823,W$1)</f>
        <v>0</v>
      </c>
      <c r="X53" s="80">
        <f>SUMIFS('июнь 2024'!$G$4:$G$1823,'июнь 2024'!$D$4:$D$1823,$B53,'июнь 2024'!$J$4:$J$1823,X$1)</f>
        <v>0</v>
      </c>
      <c r="Y53" s="80">
        <f>SUMIFS('июнь 2024'!$G$4:$G$1823,'июнь 2024'!$D$4:$D$1823,$B53,'июнь 2024'!$J$4:$J$1823,Y$1)</f>
        <v>0</v>
      </c>
      <c r="Z53" s="80">
        <f>SUMIFS('июнь 2024'!$G$4:$G$1823,'июнь 2024'!$D$4:$D$1823,$B53,'июнь 2024'!$J$4:$J$1823,Z$1)</f>
        <v>0</v>
      </c>
      <c r="AA53" s="80">
        <f>SUMIFS('июнь 2024'!$G$4:$G$1823,'июнь 2024'!$D$4:$D$1823,$B53,'июнь 2024'!$J$4:$J$1823,AA$1)</f>
        <v>0</v>
      </c>
      <c r="AB53" s="80">
        <f>SUMIFS('июнь 2024'!$G$4:$G$1823,'июнь 2024'!$D$4:$D$1823,$B53,'июнь 2024'!$J$4:$J$1823,AB$1)</f>
        <v>0</v>
      </c>
      <c r="AC53" s="80">
        <f>SUMIFS('июнь 2024'!$G$4:$G$1823,'июнь 2024'!$D$4:$D$1823,$B53,'июнь 2024'!$J$4:$J$1823,AC$1)</f>
        <v>0</v>
      </c>
      <c r="AD53" s="80">
        <f>SUMIFS('июнь 2024'!$G$4:$G$1823,'июнь 2024'!$D$4:$D$1823,$B53,'июнь 2024'!$J$4:$J$1823,AD$1)</f>
        <v>0</v>
      </c>
      <c r="AE53" s="80">
        <f>SUMIFS('июнь 2024'!$G$4:$G$1823,'июнь 2024'!$D$4:$D$1823,$B53,'июнь 2024'!$J$4:$J$1823,AE$1)</f>
        <v>0</v>
      </c>
      <c r="AF53" s="80">
        <f>SUMIFS('июнь 2024'!$G$4:$G$1823,'июнь 2024'!$D$4:$D$1823,$B53,'июнь 2024'!$J$4:$J$1823,AF$1)</f>
        <v>0</v>
      </c>
      <c r="AG53" s="80">
        <f>SUMIFS('июнь 2024'!$G$4:$G$1823,'июнь 2024'!$D$4:$D$1823,$B53,'июнь 2024'!$J$4:$J$1823,AG$1)</f>
        <v>0</v>
      </c>
      <c r="AH53" s="80">
        <f>SUMIFS('июнь 2024'!$G$4:$G$1823,'июнь 2024'!$D$4:$D$1823,$B53,'июнь 2024'!$J$4:$J$1823,AH$1)</f>
        <v>0</v>
      </c>
      <c r="AI53" s="21">
        <f t="shared" si="1"/>
        <v>0</v>
      </c>
    </row>
    <row r="54" spans="2:35" ht="15" customHeight="1" x14ac:dyDescent="0.25">
      <c r="B54" s="150" t="s">
        <v>318</v>
      </c>
      <c r="C54" s="151">
        <v>20</v>
      </c>
      <c r="D54" s="80">
        <f>SUMIFS('июнь 2024'!$G$4:$G$1823,'июнь 2024'!$D$4:$D$1823,$B54,'июнь 2024'!$J$4:$J$1823,D$1)</f>
        <v>0</v>
      </c>
      <c r="E54" s="80">
        <f>SUMIFS('июнь 2024'!$G$4:$G$1823,'июнь 2024'!$D$4:$D$1823,$B54,'июнь 2024'!$J$4:$J$1823,E$1)</f>
        <v>0</v>
      </c>
      <c r="F54" s="80">
        <f>SUMIFS('июнь 2024'!$G$4:$G$1823,'июнь 2024'!$D$4:$D$1823,$B54,'июнь 2024'!$J$4:$J$1823,F$1)</f>
        <v>0</v>
      </c>
      <c r="G54" s="80">
        <f>SUMIFS('июнь 2024'!$G$4:$G$1823,'июнь 2024'!$D$4:$D$1823,$B54,'июнь 2024'!$J$4:$J$1823,G$1)</f>
        <v>0</v>
      </c>
      <c r="H54" s="80">
        <f>SUMIFS('июнь 2024'!$G$4:$G$1823,'июнь 2024'!$D$4:$D$1823,$B54,'июнь 2024'!$J$4:$J$1823,H$1)</f>
        <v>0</v>
      </c>
      <c r="I54" s="80">
        <f>SUMIFS('июнь 2024'!$G$4:$G$1823,'июнь 2024'!$D$4:$D$1823,$B54,'июнь 2024'!$J$4:$J$1823,I$1)</f>
        <v>0</v>
      </c>
      <c r="J54" s="80">
        <f>SUMIFS('июнь 2024'!$G$4:$G$1823,'июнь 2024'!$D$4:$D$1823,$B54,'июнь 2024'!$J$4:$J$1823,J$1)</f>
        <v>0</v>
      </c>
      <c r="K54" s="80">
        <f>SUMIFS('июнь 2024'!$G$4:$G$1823,'июнь 2024'!$D$4:$D$1823,$B54,'июнь 2024'!$J$4:$J$1823,K$1)</f>
        <v>0</v>
      </c>
      <c r="L54" s="80">
        <f>SUMIFS('июнь 2024'!$G$4:$G$1823,'июнь 2024'!$D$4:$D$1823,$B54,'июнь 2024'!$J$4:$J$1823,L$1)</f>
        <v>0</v>
      </c>
      <c r="M54" s="80">
        <f>SUMIFS('июнь 2024'!$G$4:$G$1823,'июнь 2024'!$D$4:$D$1823,$B54,'июнь 2024'!$J$4:$J$1823,M$1)</f>
        <v>0</v>
      </c>
      <c r="N54" s="80">
        <f>SUMIFS('июнь 2024'!$G$4:$G$1823,'июнь 2024'!$D$4:$D$1823,$B54,'июнь 2024'!$J$4:$J$1823,N$1)</f>
        <v>0</v>
      </c>
      <c r="O54" s="80">
        <f>SUMIFS('июнь 2024'!$G$4:$G$1823,'июнь 2024'!$D$4:$D$1823,$B54,'июнь 2024'!$J$4:$J$1823,O$1)</f>
        <v>0</v>
      </c>
      <c r="P54" s="80">
        <f>SUMIFS('июнь 2024'!$G$4:$G$1823,'июнь 2024'!$D$4:$D$1823,$B54,'июнь 2024'!$J$4:$J$1823,P$1)</f>
        <v>0</v>
      </c>
      <c r="Q54" s="80">
        <f>SUMIFS('июнь 2024'!$G$4:$G$1823,'июнь 2024'!$D$4:$D$1823,$B54,'июнь 2024'!$J$4:$J$1823,Q$1)</f>
        <v>0</v>
      </c>
      <c r="R54" s="80">
        <f>SUMIFS('июнь 2024'!$G$4:$G$1823,'июнь 2024'!$D$4:$D$1823,$B54,'июнь 2024'!$J$4:$J$1823,R$1)</f>
        <v>0</v>
      </c>
      <c r="S54" s="80">
        <f>SUMIFS('июнь 2024'!$G$4:$G$1823,'июнь 2024'!$D$4:$D$1823,$B54,'июнь 2024'!$J$4:$J$1823,S$1)</f>
        <v>0</v>
      </c>
      <c r="T54" s="80">
        <f>SUMIFS('июнь 2024'!$G$4:$G$1823,'июнь 2024'!$D$4:$D$1823,$B54,'июнь 2024'!$J$4:$J$1823,T$1)</f>
        <v>0</v>
      </c>
      <c r="U54" s="80">
        <f>SUMIFS('июнь 2024'!$G$4:$G$1823,'июнь 2024'!$D$4:$D$1823,$B54,'июнь 2024'!$J$4:$J$1823,U$1)</f>
        <v>0</v>
      </c>
      <c r="V54" s="80">
        <f>SUMIFS('июнь 2024'!$G$4:$G$1823,'июнь 2024'!$D$4:$D$1823,$B54,'июнь 2024'!$J$4:$J$1823,V$1)</f>
        <v>0</v>
      </c>
      <c r="W54" s="80">
        <f>SUMIFS('июнь 2024'!$G$4:$G$1823,'июнь 2024'!$D$4:$D$1823,$B54,'июнь 2024'!$J$4:$J$1823,W$1)</f>
        <v>0</v>
      </c>
      <c r="X54" s="80">
        <f>SUMIFS('июнь 2024'!$G$4:$G$1823,'июнь 2024'!$D$4:$D$1823,$B54,'июнь 2024'!$J$4:$J$1823,X$1)</f>
        <v>0</v>
      </c>
      <c r="Y54" s="80">
        <f>SUMIFS('июнь 2024'!$G$4:$G$1823,'июнь 2024'!$D$4:$D$1823,$B54,'июнь 2024'!$J$4:$J$1823,Y$1)</f>
        <v>0</v>
      </c>
      <c r="Z54" s="80">
        <f>SUMIFS('июнь 2024'!$G$4:$G$1823,'июнь 2024'!$D$4:$D$1823,$B54,'июнь 2024'!$J$4:$J$1823,Z$1)</f>
        <v>0</v>
      </c>
      <c r="AA54" s="80">
        <f>SUMIFS('июнь 2024'!$G$4:$G$1823,'июнь 2024'!$D$4:$D$1823,$B54,'июнь 2024'!$J$4:$J$1823,AA$1)</f>
        <v>0</v>
      </c>
      <c r="AB54" s="80">
        <f>SUMIFS('июнь 2024'!$G$4:$G$1823,'июнь 2024'!$D$4:$D$1823,$B54,'июнь 2024'!$J$4:$J$1823,AB$1)</f>
        <v>0</v>
      </c>
      <c r="AC54" s="80">
        <f>SUMIFS('июнь 2024'!$G$4:$G$1823,'июнь 2024'!$D$4:$D$1823,$B54,'июнь 2024'!$J$4:$J$1823,AC$1)</f>
        <v>0</v>
      </c>
      <c r="AD54" s="80">
        <f>SUMIFS('июнь 2024'!$G$4:$G$1823,'июнь 2024'!$D$4:$D$1823,$B54,'июнь 2024'!$J$4:$J$1823,AD$1)</f>
        <v>0</v>
      </c>
      <c r="AE54" s="80">
        <f>SUMIFS('июнь 2024'!$G$4:$G$1823,'июнь 2024'!$D$4:$D$1823,$B54,'июнь 2024'!$J$4:$J$1823,AE$1)</f>
        <v>0</v>
      </c>
      <c r="AF54" s="80">
        <f>SUMIFS('июнь 2024'!$G$4:$G$1823,'июнь 2024'!$D$4:$D$1823,$B54,'июнь 2024'!$J$4:$J$1823,AF$1)</f>
        <v>0</v>
      </c>
      <c r="AG54" s="80">
        <f>SUMIFS('июнь 2024'!$G$4:$G$1823,'июнь 2024'!$D$4:$D$1823,$B54,'июнь 2024'!$J$4:$J$1823,AG$1)</f>
        <v>0</v>
      </c>
      <c r="AH54" s="80">
        <f>SUMIFS('июнь 2024'!$G$4:$G$1823,'июнь 2024'!$D$4:$D$1823,$B54,'июнь 2024'!$J$4:$J$1823,AH$1)</f>
        <v>0</v>
      </c>
      <c r="AI54" s="21">
        <f t="shared" si="1"/>
        <v>0</v>
      </c>
    </row>
    <row r="55" spans="2:35" ht="15" customHeight="1" x14ac:dyDescent="0.25">
      <c r="B55" s="150" t="s">
        <v>319</v>
      </c>
      <c r="C55" s="151">
        <v>20</v>
      </c>
      <c r="D55" s="80">
        <f>SUMIFS('июнь 2024'!$G$4:$G$1823,'июнь 2024'!$D$4:$D$1823,$B55,'июнь 2024'!$J$4:$J$1823,D$1)</f>
        <v>0</v>
      </c>
      <c r="E55" s="80">
        <f>SUMIFS('июнь 2024'!$G$4:$G$1823,'июнь 2024'!$D$4:$D$1823,$B55,'июнь 2024'!$J$4:$J$1823,E$1)</f>
        <v>0</v>
      </c>
      <c r="F55" s="80">
        <f>SUMIFS('июнь 2024'!$G$4:$G$1823,'июнь 2024'!$D$4:$D$1823,$B55,'июнь 2024'!$J$4:$J$1823,F$1)</f>
        <v>0</v>
      </c>
      <c r="G55" s="80">
        <f>SUMIFS('июнь 2024'!$G$4:$G$1823,'июнь 2024'!$D$4:$D$1823,$B55,'июнь 2024'!$J$4:$J$1823,G$1)</f>
        <v>0</v>
      </c>
      <c r="H55" s="80">
        <f>SUMIFS('июнь 2024'!$G$4:$G$1823,'июнь 2024'!$D$4:$D$1823,$B55,'июнь 2024'!$J$4:$J$1823,H$1)</f>
        <v>0</v>
      </c>
      <c r="I55" s="80">
        <f>SUMIFS('июнь 2024'!$G$4:$G$1823,'июнь 2024'!$D$4:$D$1823,$B55,'июнь 2024'!$J$4:$J$1823,I$1)</f>
        <v>0</v>
      </c>
      <c r="J55" s="80">
        <f>SUMIFS('июнь 2024'!$G$4:$G$1823,'июнь 2024'!$D$4:$D$1823,$B55,'июнь 2024'!$J$4:$J$1823,J$1)</f>
        <v>0</v>
      </c>
      <c r="K55" s="80">
        <f>SUMIFS('июнь 2024'!$G$4:$G$1823,'июнь 2024'!$D$4:$D$1823,$B55,'июнь 2024'!$J$4:$J$1823,K$1)</f>
        <v>0</v>
      </c>
      <c r="L55" s="80">
        <f>SUMIFS('июнь 2024'!$G$4:$G$1823,'июнь 2024'!$D$4:$D$1823,$B55,'июнь 2024'!$J$4:$J$1823,L$1)</f>
        <v>0</v>
      </c>
      <c r="M55" s="80">
        <f>SUMIFS('июнь 2024'!$G$4:$G$1823,'июнь 2024'!$D$4:$D$1823,$B55,'июнь 2024'!$J$4:$J$1823,M$1)</f>
        <v>0</v>
      </c>
      <c r="N55" s="80">
        <f>SUMIFS('июнь 2024'!$G$4:$G$1823,'июнь 2024'!$D$4:$D$1823,$B55,'июнь 2024'!$J$4:$J$1823,N$1)</f>
        <v>250</v>
      </c>
      <c r="O55" s="80">
        <f>SUMIFS('июнь 2024'!$G$4:$G$1823,'июнь 2024'!$D$4:$D$1823,$B55,'июнь 2024'!$J$4:$J$1823,O$1)</f>
        <v>0</v>
      </c>
      <c r="P55" s="80">
        <f>SUMIFS('июнь 2024'!$G$4:$G$1823,'июнь 2024'!$D$4:$D$1823,$B55,'июнь 2024'!$J$4:$J$1823,P$1)</f>
        <v>0</v>
      </c>
      <c r="Q55" s="80">
        <f>SUMIFS('июнь 2024'!$G$4:$G$1823,'июнь 2024'!$D$4:$D$1823,$B55,'июнь 2024'!$J$4:$J$1823,Q$1)</f>
        <v>0</v>
      </c>
      <c r="R55" s="80">
        <f>SUMIFS('июнь 2024'!$G$4:$G$1823,'июнь 2024'!$D$4:$D$1823,$B55,'июнь 2024'!$J$4:$J$1823,R$1)</f>
        <v>0</v>
      </c>
      <c r="S55" s="80">
        <f>SUMIFS('июнь 2024'!$G$4:$G$1823,'июнь 2024'!$D$4:$D$1823,$B55,'июнь 2024'!$J$4:$J$1823,S$1)</f>
        <v>0</v>
      </c>
      <c r="T55" s="80">
        <f>SUMIFS('июнь 2024'!$G$4:$G$1823,'июнь 2024'!$D$4:$D$1823,$B55,'июнь 2024'!$J$4:$J$1823,T$1)</f>
        <v>500</v>
      </c>
      <c r="U55" s="80">
        <f>SUMIFS('июнь 2024'!$G$4:$G$1823,'июнь 2024'!$D$4:$D$1823,$B55,'июнь 2024'!$J$4:$J$1823,U$1)</f>
        <v>0</v>
      </c>
      <c r="V55" s="80">
        <f>SUMIFS('июнь 2024'!$G$4:$G$1823,'июнь 2024'!$D$4:$D$1823,$B55,'июнь 2024'!$J$4:$J$1823,V$1)</f>
        <v>0</v>
      </c>
      <c r="W55" s="80">
        <f>SUMIFS('июнь 2024'!$G$4:$G$1823,'июнь 2024'!$D$4:$D$1823,$B55,'июнь 2024'!$J$4:$J$1823,W$1)</f>
        <v>0</v>
      </c>
      <c r="X55" s="80">
        <f>SUMIFS('июнь 2024'!$G$4:$G$1823,'июнь 2024'!$D$4:$D$1823,$B55,'июнь 2024'!$J$4:$J$1823,X$1)</f>
        <v>500</v>
      </c>
      <c r="Y55" s="80">
        <f>SUMIFS('июнь 2024'!$G$4:$G$1823,'июнь 2024'!$D$4:$D$1823,$B55,'июнь 2024'!$J$4:$J$1823,Y$1)</f>
        <v>0</v>
      </c>
      <c r="Z55" s="80">
        <f>SUMIFS('июнь 2024'!$G$4:$G$1823,'июнь 2024'!$D$4:$D$1823,$B55,'июнь 2024'!$J$4:$J$1823,Z$1)</f>
        <v>0</v>
      </c>
      <c r="AA55" s="80">
        <f>SUMIFS('июнь 2024'!$G$4:$G$1823,'июнь 2024'!$D$4:$D$1823,$B55,'июнь 2024'!$J$4:$J$1823,AA$1)</f>
        <v>0</v>
      </c>
      <c r="AB55" s="80">
        <f>SUMIFS('июнь 2024'!$G$4:$G$1823,'июнь 2024'!$D$4:$D$1823,$B55,'июнь 2024'!$J$4:$J$1823,AB$1)</f>
        <v>0</v>
      </c>
      <c r="AC55" s="80">
        <f>SUMIFS('июнь 2024'!$G$4:$G$1823,'июнь 2024'!$D$4:$D$1823,$B55,'июнь 2024'!$J$4:$J$1823,AC$1)</f>
        <v>0</v>
      </c>
      <c r="AD55" s="80">
        <f>SUMIFS('июнь 2024'!$G$4:$G$1823,'июнь 2024'!$D$4:$D$1823,$B55,'июнь 2024'!$J$4:$J$1823,AD$1)</f>
        <v>0</v>
      </c>
      <c r="AE55" s="80">
        <f>SUMIFS('июнь 2024'!$G$4:$G$1823,'июнь 2024'!$D$4:$D$1823,$B55,'июнь 2024'!$J$4:$J$1823,AE$1)</f>
        <v>0</v>
      </c>
      <c r="AF55" s="80">
        <f>SUMIFS('июнь 2024'!$G$4:$G$1823,'июнь 2024'!$D$4:$D$1823,$B55,'июнь 2024'!$J$4:$J$1823,AF$1)</f>
        <v>0</v>
      </c>
      <c r="AG55" s="80">
        <f>SUMIFS('июнь 2024'!$G$4:$G$1823,'июнь 2024'!$D$4:$D$1823,$B55,'июнь 2024'!$J$4:$J$1823,AG$1)</f>
        <v>0</v>
      </c>
      <c r="AH55" s="80">
        <f>SUMIFS('июнь 2024'!$G$4:$G$1823,'июнь 2024'!$D$4:$D$1823,$B55,'июнь 2024'!$J$4:$J$1823,AH$1)</f>
        <v>0</v>
      </c>
      <c r="AI55" s="21">
        <f t="shared" si="1"/>
        <v>1250</v>
      </c>
    </row>
    <row r="56" spans="2:35" ht="15" customHeight="1" x14ac:dyDescent="0.25">
      <c r="B56" s="150"/>
      <c r="C56" s="151"/>
      <c r="D56" s="80">
        <f>SUMIFS('июнь 2024'!$G$4:$G$1823,'июнь 2024'!$D$4:$D$1823,$B56,'июнь 2024'!$J$4:$J$1823,D$1)</f>
        <v>0</v>
      </c>
      <c r="E56" s="80">
        <f>SUMIFS('июнь 2024'!$G$4:$G$1823,'июнь 2024'!$D$4:$D$1823,$B56,'июнь 2024'!$J$4:$J$1823,E$1)</f>
        <v>0</v>
      </c>
      <c r="F56" s="80">
        <f>SUMIFS('июнь 2024'!$G$4:$G$1823,'июнь 2024'!$D$4:$D$1823,$B56,'июнь 2024'!$J$4:$J$1823,F$1)</f>
        <v>0</v>
      </c>
      <c r="G56" s="80">
        <f>SUMIFS('июнь 2024'!$G$4:$G$1823,'июнь 2024'!$D$4:$D$1823,$B56,'июнь 2024'!$J$4:$J$1823,G$1)</f>
        <v>0</v>
      </c>
      <c r="H56" s="80">
        <f>SUMIFS('июнь 2024'!$G$4:$G$1823,'июнь 2024'!$D$4:$D$1823,$B56,'июнь 2024'!$J$4:$J$1823,H$1)</f>
        <v>0</v>
      </c>
      <c r="I56" s="80">
        <f>SUMIFS('июнь 2024'!$G$4:$G$1823,'июнь 2024'!$D$4:$D$1823,$B56,'июнь 2024'!$J$4:$J$1823,I$1)</f>
        <v>0</v>
      </c>
      <c r="J56" s="80">
        <f>SUMIFS('июнь 2024'!$G$4:$G$1823,'июнь 2024'!$D$4:$D$1823,$B56,'июнь 2024'!$J$4:$J$1823,J$1)</f>
        <v>0</v>
      </c>
      <c r="K56" s="80">
        <f>SUMIFS('июнь 2024'!$G$4:$G$1823,'июнь 2024'!$D$4:$D$1823,$B56,'июнь 2024'!$J$4:$J$1823,K$1)</f>
        <v>0</v>
      </c>
      <c r="L56" s="80">
        <f>SUMIFS('июнь 2024'!$G$4:$G$1823,'июнь 2024'!$D$4:$D$1823,$B56,'июнь 2024'!$J$4:$J$1823,L$1)</f>
        <v>0</v>
      </c>
      <c r="M56" s="80">
        <f>SUMIFS('июнь 2024'!$G$4:$G$1823,'июнь 2024'!$D$4:$D$1823,$B56,'июнь 2024'!$J$4:$J$1823,M$1)</f>
        <v>0</v>
      </c>
      <c r="N56" s="80">
        <f>SUMIFS('июнь 2024'!$G$4:$G$1823,'июнь 2024'!$D$4:$D$1823,$B56,'июнь 2024'!$J$4:$J$1823,N$1)</f>
        <v>0</v>
      </c>
      <c r="O56" s="80">
        <f>SUMIFS('июнь 2024'!$G$4:$G$1823,'июнь 2024'!$D$4:$D$1823,$B56,'июнь 2024'!$J$4:$J$1823,O$1)</f>
        <v>0</v>
      </c>
      <c r="P56" s="80">
        <f>SUMIFS('июнь 2024'!$G$4:$G$1823,'июнь 2024'!$D$4:$D$1823,$B56,'июнь 2024'!$J$4:$J$1823,P$1)</f>
        <v>0</v>
      </c>
      <c r="Q56" s="80">
        <f>SUMIFS('июнь 2024'!$G$4:$G$1823,'июнь 2024'!$D$4:$D$1823,$B56,'июнь 2024'!$J$4:$J$1823,Q$1)</f>
        <v>0</v>
      </c>
      <c r="R56" s="80">
        <f>SUMIFS('июнь 2024'!$G$4:$G$1823,'июнь 2024'!$D$4:$D$1823,$B56,'июнь 2024'!$J$4:$J$1823,R$1)</f>
        <v>0</v>
      </c>
      <c r="S56" s="80">
        <f>SUMIFS('июнь 2024'!$G$4:$G$1823,'июнь 2024'!$D$4:$D$1823,$B56,'июнь 2024'!$J$4:$J$1823,S$1)</f>
        <v>0</v>
      </c>
      <c r="T56" s="80">
        <f>SUMIFS('июнь 2024'!$G$4:$G$1823,'июнь 2024'!$D$4:$D$1823,$B56,'июнь 2024'!$J$4:$J$1823,T$1)</f>
        <v>0</v>
      </c>
      <c r="U56" s="80">
        <f>SUMIFS('июнь 2024'!$G$4:$G$1823,'июнь 2024'!$D$4:$D$1823,$B56,'июнь 2024'!$J$4:$J$1823,U$1)</f>
        <v>0</v>
      </c>
      <c r="V56" s="80">
        <f>SUMIFS('июнь 2024'!$G$4:$G$1823,'июнь 2024'!$D$4:$D$1823,$B56,'июнь 2024'!$J$4:$J$1823,V$1)</f>
        <v>0</v>
      </c>
      <c r="W56" s="80">
        <f>SUMIFS('июнь 2024'!$G$4:$G$1823,'июнь 2024'!$D$4:$D$1823,$B56,'июнь 2024'!$J$4:$J$1823,W$1)</f>
        <v>0</v>
      </c>
      <c r="X56" s="80">
        <f>SUMIFS('июнь 2024'!$G$4:$G$1823,'июнь 2024'!$D$4:$D$1823,$B56,'июнь 2024'!$J$4:$J$1823,X$1)</f>
        <v>0</v>
      </c>
      <c r="Y56" s="80">
        <f>SUMIFS('июнь 2024'!$G$4:$G$1823,'июнь 2024'!$D$4:$D$1823,$B56,'июнь 2024'!$J$4:$J$1823,Y$1)</f>
        <v>0</v>
      </c>
      <c r="Z56" s="80">
        <f>SUMIFS('июнь 2024'!$G$4:$G$1823,'июнь 2024'!$D$4:$D$1823,$B56,'июнь 2024'!$J$4:$J$1823,Z$1)</f>
        <v>0</v>
      </c>
      <c r="AA56" s="80">
        <f>SUMIFS('июнь 2024'!$G$4:$G$1823,'июнь 2024'!$D$4:$D$1823,$B56,'июнь 2024'!$J$4:$J$1823,AA$1)</f>
        <v>0</v>
      </c>
      <c r="AB56" s="80">
        <f>SUMIFS('июнь 2024'!$G$4:$G$1823,'июнь 2024'!$D$4:$D$1823,$B56,'июнь 2024'!$J$4:$J$1823,AB$1)</f>
        <v>0</v>
      </c>
      <c r="AC56" s="80">
        <f>SUMIFS('июнь 2024'!$G$4:$G$1823,'июнь 2024'!$D$4:$D$1823,$B56,'июнь 2024'!$J$4:$J$1823,AC$1)</f>
        <v>0</v>
      </c>
      <c r="AD56" s="80">
        <f>SUMIFS('июнь 2024'!$G$4:$G$1823,'июнь 2024'!$D$4:$D$1823,$B56,'июнь 2024'!$J$4:$J$1823,AD$1)</f>
        <v>0</v>
      </c>
      <c r="AE56" s="80">
        <f>SUMIFS('июнь 2024'!$G$4:$G$1823,'июнь 2024'!$D$4:$D$1823,$B56,'июнь 2024'!$J$4:$J$1823,AE$1)</f>
        <v>0</v>
      </c>
      <c r="AF56" s="80">
        <f>SUMIFS('июнь 2024'!$G$4:$G$1823,'июнь 2024'!$D$4:$D$1823,$B56,'июнь 2024'!$J$4:$J$1823,AF$1)</f>
        <v>0</v>
      </c>
      <c r="AG56" s="80">
        <f>SUMIFS('июнь 2024'!$G$4:$G$1823,'июнь 2024'!$D$4:$D$1823,$B56,'июнь 2024'!$J$4:$J$1823,AG$1)</f>
        <v>0</v>
      </c>
      <c r="AH56" s="80">
        <f>SUMIFS('июнь 2024'!$G$4:$G$1823,'июнь 2024'!$D$4:$D$1823,$B56,'июнь 2024'!$J$4:$J$1823,AH$1)</f>
        <v>0</v>
      </c>
      <c r="AI56" s="21">
        <f t="shared" si="1"/>
        <v>0</v>
      </c>
    </row>
    <row r="57" spans="2:35" ht="15" customHeight="1" x14ac:dyDescent="0.25">
      <c r="B57" s="150"/>
      <c r="C57" s="151"/>
      <c r="D57" s="80">
        <f>SUMIFS('июнь 2024'!$G$4:$G$1823,'июнь 2024'!$D$4:$D$1823,$B57,'июнь 2024'!$J$4:$J$1823,D$1)</f>
        <v>0</v>
      </c>
      <c r="E57" s="80">
        <f>SUMIFS('июнь 2024'!$G$4:$G$1823,'июнь 2024'!$D$4:$D$1823,$B57,'июнь 2024'!$J$4:$J$1823,E$1)</f>
        <v>0</v>
      </c>
      <c r="F57" s="80">
        <f>SUMIFS('июнь 2024'!$G$4:$G$1823,'июнь 2024'!$D$4:$D$1823,$B57,'июнь 2024'!$J$4:$J$1823,F$1)</f>
        <v>0</v>
      </c>
      <c r="G57" s="80">
        <f>SUMIFS('июнь 2024'!$G$4:$G$1823,'июнь 2024'!$D$4:$D$1823,$B57,'июнь 2024'!$J$4:$J$1823,G$1)</f>
        <v>0</v>
      </c>
      <c r="H57" s="80">
        <f>SUMIFS('июнь 2024'!$G$4:$G$1823,'июнь 2024'!$D$4:$D$1823,$B57,'июнь 2024'!$J$4:$J$1823,H$1)</f>
        <v>0</v>
      </c>
      <c r="I57" s="80">
        <f>SUMIFS('июнь 2024'!$G$4:$G$1823,'июнь 2024'!$D$4:$D$1823,$B57,'июнь 2024'!$J$4:$J$1823,I$1)</f>
        <v>0</v>
      </c>
      <c r="J57" s="80">
        <f>SUMIFS('июнь 2024'!$G$4:$G$1823,'июнь 2024'!$D$4:$D$1823,$B57,'июнь 2024'!$J$4:$J$1823,J$1)</f>
        <v>0</v>
      </c>
      <c r="K57" s="80">
        <f>SUMIFS('июнь 2024'!$G$4:$G$1823,'июнь 2024'!$D$4:$D$1823,$B57,'июнь 2024'!$J$4:$J$1823,K$1)</f>
        <v>0</v>
      </c>
      <c r="L57" s="80">
        <f>SUMIFS('июнь 2024'!$G$4:$G$1823,'июнь 2024'!$D$4:$D$1823,$B57,'июнь 2024'!$J$4:$J$1823,L$1)</f>
        <v>0</v>
      </c>
      <c r="M57" s="80">
        <f>SUMIFS('июнь 2024'!$G$4:$G$1823,'июнь 2024'!$D$4:$D$1823,$B57,'июнь 2024'!$J$4:$J$1823,M$1)</f>
        <v>0</v>
      </c>
      <c r="N57" s="80">
        <f>SUMIFS('июнь 2024'!$G$4:$G$1823,'июнь 2024'!$D$4:$D$1823,$B57,'июнь 2024'!$J$4:$J$1823,N$1)</f>
        <v>0</v>
      </c>
      <c r="O57" s="80">
        <f>SUMIFS('июнь 2024'!$G$4:$G$1823,'июнь 2024'!$D$4:$D$1823,$B57,'июнь 2024'!$J$4:$J$1823,O$1)</f>
        <v>0</v>
      </c>
      <c r="P57" s="80">
        <f>SUMIFS('июнь 2024'!$G$4:$G$1823,'июнь 2024'!$D$4:$D$1823,$B57,'июнь 2024'!$J$4:$J$1823,P$1)</f>
        <v>0</v>
      </c>
      <c r="Q57" s="80">
        <f>SUMIFS('июнь 2024'!$G$4:$G$1823,'июнь 2024'!$D$4:$D$1823,$B57,'июнь 2024'!$J$4:$J$1823,Q$1)</f>
        <v>0</v>
      </c>
      <c r="R57" s="80">
        <f>SUMIFS('июнь 2024'!$G$4:$G$1823,'июнь 2024'!$D$4:$D$1823,$B57,'июнь 2024'!$J$4:$J$1823,R$1)</f>
        <v>0</v>
      </c>
      <c r="S57" s="80">
        <f>SUMIFS('июнь 2024'!$G$4:$G$1823,'июнь 2024'!$D$4:$D$1823,$B57,'июнь 2024'!$J$4:$J$1823,S$1)</f>
        <v>0</v>
      </c>
      <c r="T57" s="80">
        <f>SUMIFS('июнь 2024'!$G$4:$G$1823,'июнь 2024'!$D$4:$D$1823,$B57,'июнь 2024'!$J$4:$J$1823,T$1)</f>
        <v>0</v>
      </c>
      <c r="U57" s="80">
        <f>SUMIFS('июнь 2024'!$G$4:$G$1823,'июнь 2024'!$D$4:$D$1823,$B57,'июнь 2024'!$J$4:$J$1823,U$1)</f>
        <v>0</v>
      </c>
      <c r="V57" s="80">
        <f>SUMIFS('июнь 2024'!$G$4:$G$1823,'июнь 2024'!$D$4:$D$1823,$B57,'июнь 2024'!$J$4:$J$1823,V$1)</f>
        <v>0</v>
      </c>
      <c r="W57" s="80">
        <f>SUMIFS('июнь 2024'!$G$4:$G$1823,'июнь 2024'!$D$4:$D$1823,$B57,'июнь 2024'!$J$4:$J$1823,W$1)</f>
        <v>0</v>
      </c>
      <c r="X57" s="80">
        <f>SUMIFS('июнь 2024'!$G$4:$G$1823,'июнь 2024'!$D$4:$D$1823,$B57,'июнь 2024'!$J$4:$J$1823,X$1)</f>
        <v>0</v>
      </c>
      <c r="Y57" s="80">
        <f>SUMIFS('июнь 2024'!$G$4:$G$1823,'июнь 2024'!$D$4:$D$1823,$B57,'июнь 2024'!$J$4:$J$1823,Y$1)</f>
        <v>0</v>
      </c>
      <c r="Z57" s="80">
        <f>SUMIFS('июнь 2024'!$G$4:$G$1823,'июнь 2024'!$D$4:$D$1823,$B57,'июнь 2024'!$J$4:$J$1823,Z$1)</f>
        <v>0</v>
      </c>
      <c r="AA57" s="80">
        <f>SUMIFS('июнь 2024'!$G$4:$G$1823,'июнь 2024'!$D$4:$D$1823,$B57,'июнь 2024'!$J$4:$J$1823,AA$1)</f>
        <v>0</v>
      </c>
      <c r="AB57" s="80">
        <f>SUMIFS('июнь 2024'!$G$4:$G$1823,'июнь 2024'!$D$4:$D$1823,$B57,'июнь 2024'!$J$4:$J$1823,AB$1)</f>
        <v>0</v>
      </c>
      <c r="AC57" s="80">
        <f>SUMIFS('июнь 2024'!$G$4:$G$1823,'июнь 2024'!$D$4:$D$1823,$B57,'июнь 2024'!$J$4:$J$1823,AC$1)</f>
        <v>0</v>
      </c>
      <c r="AD57" s="80">
        <f>SUMIFS('июнь 2024'!$G$4:$G$1823,'июнь 2024'!$D$4:$D$1823,$B57,'июнь 2024'!$J$4:$J$1823,AD$1)</f>
        <v>0</v>
      </c>
      <c r="AE57" s="80">
        <f>SUMIFS('июнь 2024'!$G$4:$G$1823,'июнь 2024'!$D$4:$D$1823,$B57,'июнь 2024'!$J$4:$J$1823,AE$1)</f>
        <v>0</v>
      </c>
      <c r="AF57" s="80">
        <f>SUMIFS('июнь 2024'!$G$4:$G$1823,'июнь 2024'!$D$4:$D$1823,$B57,'июнь 2024'!$J$4:$J$1823,AF$1)</f>
        <v>0</v>
      </c>
      <c r="AG57" s="80">
        <f>SUMIFS('июнь 2024'!$G$4:$G$1823,'июнь 2024'!$D$4:$D$1823,$B57,'июнь 2024'!$J$4:$J$1823,AG$1)</f>
        <v>0</v>
      </c>
      <c r="AH57" s="80">
        <f>SUMIFS('июнь 2024'!$G$4:$G$1823,'июнь 2024'!$D$4:$D$1823,$B57,'июнь 2024'!$J$4:$J$1823,AH$1)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80">
        <f>SUMIFS('июнь 2024'!$G$4:$G$1823,'июнь 2024'!$D$4:$D$1823,$B58,'июнь 2024'!$J$4:$J$1823,D$1)</f>
        <v>0</v>
      </c>
      <c r="E58" s="80">
        <f>SUMIFS('июнь 2024'!$G$4:$G$1823,'июнь 2024'!$D$4:$D$1823,$B58,'июнь 2024'!$J$4:$J$1823,E$1)</f>
        <v>0</v>
      </c>
      <c r="F58" s="80">
        <f>SUMIFS('июнь 2024'!$G$4:$G$1823,'июнь 2024'!$D$4:$D$1823,$B58,'июнь 2024'!$J$4:$J$1823,F$1)</f>
        <v>0</v>
      </c>
      <c r="G58" s="80">
        <f>SUMIFS('июнь 2024'!$G$4:$G$1823,'июнь 2024'!$D$4:$D$1823,$B58,'июнь 2024'!$J$4:$J$1823,G$1)</f>
        <v>0</v>
      </c>
      <c r="H58" s="80">
        <f>SUMIFS('июнь 2024'!$G$4:$G$1823,'июнь 2024'!$D$4:$D$1823,$B58,'июнь 2024'!$J$4:$J$1823,H$1)</f>
        <v>0</v>
      </c>
      <c r="I58" s="80">
        <f>SUMIFS('июнь 2024'!$G$4:$G$1823,'июнь 2024'!$D$4:$D$1823,$B58,'июнь 2024'!$J$4:$J$1823,I$1)</f>
        <v>0</v>
      </c>
      <c r="J58" s="80">
        <f>SUMIFS('июнь 2024'!$G$4:$G$1823,'июнь 2024'!$D$4:$D$1823,$B58,'июнь 2024'!$J$4:$J$1823,J$1)</f>
        <v>0</v>
      </c>
      <c r="K58" s="80">
        <f>SUMIFS('июнь 2024'!$G$4:$G$1823,'июнь 2024'!$D$4:$D$1823,$B58,'июнь 2024'!$J$4:$J$1823,K$1)</f>
        <v>0</v>
      </c>
      <c r="L58" s="80">
        <f>SUMIFS('июнь 2024'!$G$4:$G$1823,'июнь 2024'!$D$4:$D$1823,$B58,'июнь 2024'!$J$4:$J$1823,L$1)</f>
        <v>0</v>
      </c>
      <c r="M58" s="80">
        <f>SUMIFS('июнь 2024'!$G$4:$G$1823,'июнь 2024'!$D$4:$D$1823,$B58,'июнь 2024'!$J$4:$J$1823,M$1)</f>
        <v>0</v>
      </c>
      <c r="N58" s="80">
        <f>SUMIFS('июнь 2024'!$G$4:$G$1823,'июнь 2024'!$D$4:$D$1823,$B58,'июнь 2024'!$J$4:$J$1823,N$1)</f>
        <v>0</v>
      </c>
      <c r="O58" s="80">
        <f>SUMIFS('июнь 2024'!$G$4:$G$1823,'июнь 2024'!$D$4:$D$1823,$B58,'июнь 2024'!$J$4:$J$1823,O$1)</f>
        <v>0</v>
      </c>
      <c r="P58" s="80">
        <f>SUMIFS('июнь 2024'!$G$4:$G$1823,'июнь 2024'!$D$4:$D$1823,$B58,'июнь 2024'!$J$4:$J$1823,P$1)</f>
        <v>0</v>
      </c>
      <c r="Q58" s="80">
        <f>SUMIFS('июнь 2024'!$G$4:$G$1823,'июнь 2024'!$D$4:$D$1823,$B58,'июнь 2024'!$J$4:$J$1823,Q$1)</f>
        <v>0</v>
      </c>
      <c r="R58" s="80">
        <f>SUMIFS('июнь 2024'!$G$4:$G$1823,'июнь 2024'!$D$4:$D$1823,$B58,'июнь 2024'!$J$4:$J$1823,R$1)</f>
        <v>0</v>
      </c>
      <c r="S58" s="80">
        <f>SUMIFS('июнь 2024'!$G$4:$G$1823,'июнь 2024'!$D$4:$D$1823,$B58,'июнь 2024'!$J$4:$J$1823,S$1)</f>
        <v>0</v>
      </c>
      <c r="T58" s="80">
        <f>SUMIFS('июнь 2024'!$G$4:$G$1823,'июнь 2024'!$D$4:$D$1823,$B58,'июнь 2024'!$J$4:$J$1823,T$1)</f>
        <v>0</v>
      </c>
      <c r="U58" s="80">
        <f>SUMIFS('июнь 2024'!$G$4:$G$1823,'июнь 2024'!$D$4:$D$1823,$B58,'июнь 2024'!$J$4:$J$1823,U$1)</f>
        <v>0</v>
      </c>
      <c r="V58" s="80">
        <f>SUMIFS('июнь 2024'!$G$4:$G$1823,'июнь 2024'!$D$4:$D$1823,$B58,'июнь 2024'!$J$4:$J$1823,V$1)</f>
        <v>0</v>
      </c>
      <c r="W58" s="80">
        <f>SUMIFS('июнь 2024'!$G$4:$G$1823,'июнь 2024'!$D$4:$D$1823,$B58,'июнь 2024'!$J$4:$J$1823,W$1)</f>
        <v>0</v>
      </c>
      <c r="X58" s="80">
        <f>SUMIFS('июнь 2024'!$G$4:$G$1823,'июнь 2024'!$D$4:$D$1823,$B58,'июнь 2024'!$J$4:$J$1823,X$1)</f>
        <v>0</v>
      </c>
      <c r="Y58" s="80">
        <f>SUMIFS('июнь 2024'!$G$4:$G$1823,'июнь 2024'!$D$4:$D$1823,$B58,'июнь 2024'!$J$4:$J$1823,Y$1)</f>
        <v>0</v>
      </c>
      <c r="Z58" s="80">
        <f>SUMIFS('июнь 2024'!$G$4:$G$1823,'июнь 2024'!$D$4:$D$1823,$B58,'июнь 2024'!$J$4:$J$1823,Z$1)</f>
        <v>0</v>
      </c>
      <c r="AA58" s="80">
        <f>SUMIFS('июнь 2024'!$G$4:$G$1823,'июнь 2024'!$D$4:$D$1823,$B58,'июнь 2024'!$J$4:$J$1823,AA$1)</f>
        <v>0</v>
      </c>
      <c r="AB58" s="80">
        <f>SUMIFS('июнь 2024'!$G$4:$G$1823,'июнь 2024'!$D$4:$D$1823,$B58,'июнь 2024'!$J$4:$J$1823,AB$1)</f>
        <v>0</v>
      </c>
      <c r="AC58" s="80">
        <f>SUMIFS('июнь 2024'!$G$4:$G$1823,'июнь 2024'!$D$4:$D$1823,$B58,'июнь 2024'!$J$4:$J$1823,AC$1)</f>
        <v>0</v>
      </c>
      <c r="AD58" s="80">
        <f>SUMIFS('июнь 2024'!$G$4:$G$1823,'июнь 2024'!$D$4:$D$1823,$B58,'июнь 2024'!$J$4:$J$1823,AD$1)</f>
        <v>0</v>
      </c>
      <c r="AE58" s="80">
        <f>SUMIFS('июнь 2024'!$G$4:$G$1823,'июнь 2024'!$D$4:$D$1823,$B58,'июнь 2024'!$J$4:$J$1823,AE$1)</f>
        <v>0</v>
      </c>
      <c r="AF58" s="80">
        <f>SUMIFS('июнь 2024'!$G$4:$G$1823,'июнь 2024'!$D$4:$D$1823,$B58,'июнь 2024'!$J$4:$J$1823,AF$1)</f>
        <v>0</v>
      </c>
      <c r="AG58" s="80">
        <f>SUMIFS('июнь 2024'!$G$4:$G$1823,'июнь 2024'!$D$4:$D$1823,$B58,'июнь 2024'!$J$4:$J$1823,AG$1)</f>
        <v>0</v>
      </c>
      <c r="AH58" s="80">
        <f>SUMIFS('июнь 2024'!$G$4:$G$1823,'июнь 2024'!$D$4:$D$1823,$B58,'июнь 2024'!$J$4:$J$1823,AH$1)</f>
        <v>0</v>
      </c>
      <c r="AI58" s="21">
        <f t="shared" si="1"/>
        <v>0</v>
      </c>
    </row>
    <row r="59" spans="2:35" ht="15" customHeight="1" x14ac:dyDescent="0.25">
      <c r="B59" s="155"/>
      <c r="C59" s="151"/>
      <c r="D59" s="80">
        <f>SUMIFS('июнь 2024'!$G$4:$G$1823,'июнь 2024'!$D$4:$D$1823,$B59,'июнь 2024'!$J$4:$J$1823,D$1)</f>
        <v>0</v>
      </c>
      <c r="E59" s="80">
        <f>SUMIFS('июнь 2024'!$G$4:$G$1823,'июнь 2024'!$D$4:$D$1823,$B59,'июнь 2024'!$J$4:$J$1823,E$1)</f>
        <v>0</v>
      </c>
      <c r="F59" s="80">
        <f>SUMIFS('июнь 2024'!$G$4:$G$1823,'июнь 2024'!$D$4:$D$1823,$B59,'июнь 2024'!$J$4:$J$1823,F$1)</f>
        <v>0</v>
      </c>
      <c r="G59" s="80">
        <f>SUMIFS('июнь 2024'!$G$4:$G$1823,'июнь 2024'!$D$4:$D$1823,$B59,'июнь 2024'!$J$4:$J$1823,G$1)</f>
        <v>0</v>
      </c>
      <c r="H59" s="80">
        <f>SUMIFS('июнь 2024'!$G$4:$G$1823,'июнь 2024'!$D$4:$D$1823,$B59,'июнь 2024'!$J$4:$J$1823,H$1)</f>
        <v>0</v>
      </c>
      <c r="I59" s="80">
        <f>SUMIFS('июнь 2024'!$G$4:$G$1823,'июнь 2024'!$D$4:$D$1823,$B59,'июнь 2024'!$J$4:$J$1823,I$1)</f>
        <v>0</v>
      </c>
      <c r="J59" s="80">
        <f>SUMIFS('июнь 2024'!$G$4:$G$1823,'июнь 2024'!$D$4:$D$1823,$B59,'июнь 2024'!$J$4:$J$1823,J$1)</f>
        <v>0</v>
      </c>
      <c r="K59" s="80">
        <f>SUMIFS('июнь 2024'!$G$4:$G$1823,'июнь 2024'!$D$4:$D$1823,$B59,'июнь 2024'!$J$4:$J$1823,K$1)</f>
        <v>0</v>
      </c>
      <c r="L59" s="80">
        <f>SUMIFS('июнь 2024'!$G$4:$G$1823,'июнь 2024'!$D$4:$D$1823,$B59,'июнь 2024'!$J$4:$J$1823,L$1)</f>
        <v>0</v>
      </c>
      <c r="M59" s="80">
        <f>SUMIFS('июнь 2024'!$G$4:$G$1823,'июнь 2024'!$D$4:$D$1823,$B59,'июнь 2024'!$J$4:$J$1823,M$1)</f>
        <v>0</v>
      </c>
      <c r="N59" s="80">
        <f>SUMIFS('июнь 2024'!$G$4:$G$1823,'июнь 2024'!$D$4:$D$1823,$B59,'июнь 2024'!$J$4:$J$1823,N$1)</f>
        <v>0</v>
      </c>
      <c r="O59" s="80">
        <f>SUMIFS('июнь 2024'!$G$4:$G$1823,'июнь 2024'!$D$4:$D$1823,$B59,'июнь 2024'!$J$4:$J$1823,O$1)</f>
        <v>0</v>
      </c>
      <c r="P59" s="80">
        <f>SUMIFS('июнь 2024'!$G$4:$G$1823,'июнь 2024'!$D$4:$D$1823,$B59,'июнь 2024'!$J$4:$J$1823,P$1)</f>
        <v>0</v>
      </c>
      <c r="Q59" s="80">
        <f>SUMIFS('июнь 2024'!$G$4:$G$1823,'июнь 2024'!$D$4:$D$1823,$B59,'июнь 2024'!$J$4:$J$1823,Q$1)</f>
        <v>0</v>
      </c>
      <c r="R59" s="80">
        <f>SUMIFS('июнь 2024'!$G$4:$G$1823,'июнь 2024'!$D$4:$D$1823,$B59,'июнь 2024'!$J$4:$J$1823,R$1)</f>
        <v>0</v>
      </c>
      <c r="S59" s="80">
        <f>SUMIFS('июнь 2024'!$G$4:$G$1823,'июнь 2024'!$D$4:$D$1823,$B59,'июнь 2024'!$J$4:$J$1823,S$1)</f>
        <v>0</v>
      </c>
      <c r="T59" s="80">
        <f>SUMIFS('июнь 2024'!$G$4:$G$1823,'июнь 2024'!$D$4:$D$1823,$B59,'июнь 2024'!$J$4:$J$1823,T$1)</f>
        <v>0</v>
      </c>
      <c r="U59" s="80">
        <f>SUMIFS('июнь 2024'!$G$4:$G$1823,'июнь 2024'!$D$4:$D$1823,$B59,'июнь 2024'!$J$4:$J$1823,U$1)</f>
        <v>0</v>
      </c>
      <c r="V59" s="80">
        <f>SUMIFS('июнь 2024'!$G$4:$G$1823,'июнь 2024'!$D$4:$D$1823,$B59,'июнь 2024'!$J$4:$J$1823,V$1)</f>
        <v>0</v>
      </c>
      <c r="W59" s="80">
        <f>SUMIFS('июнь 2024'!$G$4:$G$1823,'июнь 2024'!$D$4:$D$1823,$B59,'июнь 2024'!$J$4:$J$1823,W$1)</f>
        <v>0</v>
      </c>
      <c r="X59" s="80">
        <f>SUMIFS('июнь 2024'!$G$4:$G$1823,'июнь 2024'!$D$4:$D$1823,$B59,'июнь 2024'!$J$4:$J$1823,X$1)</f>
        <v>0</v>
      </c>
      <c r="Y59" s="80">
        <f>SUMIFS('июнь 2024'!$G$4:$G$1823,'июнь 2024'!$D$4:$D$1823,$B59,'июнь 2024'!$J$4:$J$1823,Y$1)</f>
        <v>0</v>
      </c>
      <c r="Z59" s="80">
        <f>SUMIFS('июнь 2024'!$G$4:$G$1823,'июнь 2024'!$D$4:$D$1823,$B59,'июнь 2024'!$J$4:$J$1823,Z$1)</f>
        <v>0</v>
      </c>
      <c r="AA59" s="80">
        <f>SUMIFS('июнь 2024'!$G$4:$G$1823,'июнь 2024'!$D$4:$D$1823,$B59,'июнь 2024'!$J$4:$J$1823,AA$1)</f>
        <v>0</v>
      </c>
      <c r="AB59" s="80">
        <f>SUMIFS('июнь 2024'!$G$4:$G$1823,'июнь 2024'!$D$4:$D$1823,$B59,'июнь 2024'!$J$4:$J$1823,AB$1)</f>
        <v>0</v>
      </c>
      <c r="AC59" s="80">
        <f>SUMIFS('июнь 2024'!$G$4:$G$1823,'июнь 2024'!$D$4:$D$1823,$B59,'июнь 2024'!$J$4:$J$1823,AC$1)</f>
        <v>0</v>
      </c>
      <c r="AD59" s="80">
        <f>SUMIFS('июнь 2024'!$G$4:$G$1823,'июнь 2024'!$D$4:$D$1823,$B59,'июнь 2024'!$J$4:$J$1823,AD$1)</f>
        <v>0</v>
      </c>
      <c r="AE59" s="80">
        <f>SUMIFS('июнь 2024'!$G$4:$G$1823,'июнь 2024'!$D$4:$D$1823,$B59,'июнь 2024'!$J$4:$J$1823,AE$1)</f>
        <v>0</v>
      </c>
      <c r="AF59" s="80">
        <f>SUMIFS('июнь 2024'!$G$4:$G$1823,'июнь 2024'!$D$4:$D$1823,$B59,'июнь 2024'!$J$4:$J$1823,AF$1)</f>
        <v>0</v>
      </c>
      <c r="AG59" s="80">
        <f>SUMIFS('июнь 2024'!$G$4:$G$1823,'июнь 2024'!$D$4:$D$1823,$B59,'июнь 2024'!$J$4:$J$1823,AG$1)</f>
        <v>0</v>
      </c>
      <c r="AH59" s="80">
        <f>SUMIFS('июнь 2024'!$G$4:$G$1823,'июнь 2024'!$D$4:$D$1823,$B59,'июнь 2024'!$J$4:$J$1823,AH$1)</f>
        <v>0</v>
      </c>
      <c r="AI59" s="21">
        <f t="shared" si="1"/>
        <v>0</v>
      </c>
    </row>
    <row r="60" spans="2:35" ht="15" customHeight="1" x14ac:dyDescent="0.25">
      <c r="B60" s="155"/>
      <c r="C60" s="151"/>
      <c r="D60" s="80">
        <f>SUMIFS('июнь 2024'!$G$4:$G$1823,'июнь 2024'!$D$4:$D$1823,$B60,'июнь 2024'!$J$4:$J$1823,D$1)</f>
        <v>0</v>
      </c>
      <c r="E60" s="80">
        <f>SUMIFS('июнь 2024'!$G$4:$G$1823,'июнь 2024'!$D$4:$D$1823,$B60,'июнь 2024'!$J$4:$J$1823,E$1)</f>
        <v>0</v>
      </c>
      <c r="F60" s="80">
        <f>SUMIFS('июнь 2024'!$G$4:$G$1823,'июнь 2024'!$D$4:$D$1823,$B60,'июнь 2024'!$J$4:$J$1823,F$1)</f>
        <v>0</v>
      </c>
      <c r="G60" s="80">
        <f>SUMIFS('июнь 2024'!$G$4:$G$1823,'июнь 2024'!$D$4:$D$1823,$B60,'июнь 2024'!$J$4:$J$1823,G$1)</f>
        <v>0</v>
      </c>
      <c r="H60" s="80">
        <f>SUMIFS('июнь 2024'!$G$4:$G$1823,'июнь 2024'!$D$4:$D$1823,$B60,'июнь 2024'!$J$4:$J$1823,H$1)</f>
        <v>0</v>
      </c>
      <c r="I60" s="80">
        <f>SUMIFS('июнь 2024'!$G$4:$G$1823,'июнь 2024'!$D$4:$D$1823,$B60,'июнь 2024'!$J$4:$J$1823,I$1)</f>
        <v>0</v>
      </c>
      <c r="J60" s="80">
        <f>SUMIFS('июнь 2024'!$G$4:$G$1823,'июнь 2024'!$D$4:$D$1823,$B60,'июнь 2024'!$J$4:$J$1823,J$1)</f>
        <v>0</v>
      </c>
      <c r="K60" s="80">
        <f>SUMIFS('июнь 2024'!$G$4:$G$1823,'июнь 2024'!$D$4:$D$1823,$B60,'июнь 2024'!$J$4:$J$1823,K$1)</f>
        <v>0</v>
      </c>
      <c r="L60" s="80">
        <f>SUMIFS('июнь 2024'!$G$4:$G$1823,'июнь 2024'!$D$4:$D$1823,$B60,'июнь 2024'!$J$4:$J$1823,L$1)</f>
        <v>0</v>
      </c>
      <c r="M60" s="80">
        <f>SUMIFS('июнь 2024'!$G$4:$G$1823,'июнь 2024'!$D$4:$D$1823,$B60,'июнь 2024'!$J$4:$J$1823,M$1)</f>
        <v>0</v>
      </c>
      <c r="N60" s="80">
        <f>SUMIFS('июнь 2024'!$G$4:$G$1823,'июнь 2024'!$D$4:$D$1823,$B60,'июнь 2024'!$J$4:$J$1823,N$1)</f>
        <v>0</v>
      </c>
      <c r="O60" s="80">
        <f>SUMIFS('июнь 2024'!$G$4:$G$1823,'июнь 2024'!$D$4:$D$1823,$B60,'июнь 2024'!$J$4:$J$1823,O$1)</f>
        <v>0</v>
      </c>
      <c r="P60" s="80">
        <f>SUMIFS('июнь 2024'!$G$4:$G$1823,'июнь 2024'!$D$4:$D$1823,$B60,'июнь 2024'!$J$4:$J$1823,P$1)</f>
        <v>0</v>
      </c>
      <c r="Q60" s="80">
        <f>SUMIFS('июнь 2024'!$G$4:$G$1823,'июнь 2024'!$D$4:$D$1823,$B60,'июнь 2024'!$J$4:$J$1823,Q$1)</f>
        <v>0</v>
      </c>
      <c r="R60" s="80">
        <f>SUMIFS('июнь 2024'!$G$4:$G$1823,'июнь 2024'!$D$4:$D$1823,$B60,'июнь 2024'!$J$4:$J$1823,R$1)</f>
        <v>0</v>
      </c>
      <c r="S60" s="80">
        <f>SUMIFS('июнь 2024'!$G$4:$G$1823,'июнь 2024'!$D$4:$D$1823,$B60,'июнь 2024'!$J$4:$J$1823,S$1)</f>
        <v>0</v>
      </c>
      <c r="T60" s="80">
        <f>SUMIFS('июнь 2024'!$G$4:$G$1823,'июнь 2024'!$D$4:$D$1823,$B60,'июнь 2024'!$J$4:$J$1823,T$1)</f>
        <v>0</v>
      </c>
      <c r="U60" s="80">
        <f>SUMIFS('июнь 2024'!$G$4:$G$1823,'июнь 2024'!$D$4:$D$1823,$B60,'июнь 2024'!$J$4:$J$1823,U$1)</f>
        <v>0</v>
      </c>
      <c r="V60" s="80">
        <f>SUMIFS('июнь 2024'!$G$4:$G$1823,'июнь 2024'!$D$4:$D$1823,$B60,'июнь 2024'!$J$4:$J$1823,V$1)</f>
        <v>0</v>
      </c>
      <c r="W60" s="80">
        <f>SUMIFS('июнь 2024'!$G$4:$G$1823,'июнь 2024'!$D$4:$D$1823,$B60,'июнь 2024'!$J$4:$J$1823,W$1)</f>
        <v>0</v>
      </c>
      <c r="X60" s="80">
        <f>SUMIFS('июнь 2024'!$G$4:$G$1823,'июнь 2024'!$D$4:$D$1823,$B60,'июнь 2024'!$J$4:$J$1823,X$1)</f>
        <v>0</v>
      </c>
      <c r="Y60" s="80">
        <f>SUMIFS('июнь 2024'!$G$4:$G$1823,'июнь 2024'!$D$4:$D$1823,$B60,'июнь 2024'!$J$4:$J$1823,Y$1)</f>
        <v>0</v>
      </c>
      <c r="Z60" s="80">
        <f>SUMIFS('июнь 2024'!$G$4:$G$1823,'июнь 2024'!$D$4:$D$1823,$B60,'июнь 2024'!$J$4:$J$1823,Z$1)</f>
        <v>0</v>
      </c>
      <c r="AA60" s="80">
        <f>SUMIFS('июнь 2024'!$G$4:$G$1823,'июнь 2024'!$D$4:$D$1823,$B60,'июнь 2024'!$J$4:$J$1823,AA$1)</f>
        <v>0</v>
      </c>
      <c r="AB60" s="80">
        <f>SUMIFS('июнь 2024'!$G$4:$G$1823,'июнь 2024'!$D$4:$D$1823,$B60,'июнь 2024'!$J$4:$J$1823,AB$1)</f>
        <v>0</v>
      </c>
      <c r="AC60" s="80">
        <f>SUMIFS('июнь 2024'!$G$4:$G$1823,'июнь 2024'!$D$4:$D$1823,$B60,'июнь 2024'!$J$4:$J$1823,AC$1)</f>
        <v>0</v>
      </c>
      <c r="AD60" s="80">
        <f>SUMIFS('июнь 2024'!$G$4:$G$1823,'июнь 2024'!$D$4:$D$1823,$B60,'июнь 2024'!$J$4:$J$1823,AD$1)</f>
        <v>0</v>
      </c>
      <c r="AE60" s="80">
        <f>SUMIFS('июнь 2024'!$G$4:$G$1823,'июнь 2024'!$D$4:$D$1823,$B60,'июнь 2024'!$J$4:$J$1823,AE$1)</f>
        <v>0</v>
      </c>
      <c r="AF60" s="80">
        <f>SUMIFS('июнь 2024'!$G$4:$G$1823,'июнь 2024'!$D$4:$D$1823,$B60,'июнь 2024'!$J$4:$J$1823,AF$1)</f>
        <v>0</v>
      </c>
      <c r="AG60" s="80">
        <f>SUMIFS('июнь 2024'!$G$4:$G$1823,'июнь 2024'!$D$4:$D$1823,$B60,'июнь 2024'!$J$4:$J$1823,AG$1)</f>
        <v>0</v>
      </c>
      <c r="AH60" s="80">
        <f>SUMIFS('июнь 2024'!$G$4:$G$1823,'июнь 2024'!$D$4:$D$1823,$B60,'июнь 2024'!$J$4:$J$1823,AH$1)</f>
        <v>0</v>
      </c>
      <c r="AI60" s="21">
        <f t="shared" si="1"/>
        <v>0</v>
      </c>
    </row>
    <row r="61" spans="2:35" ht="15" customHeight="1" x14ac:dyDescent="0.25">
      <c r="B61" s="92" t="s">
        <v>161</v>
      </c>
      <c r="C61" s="91">
        <v>200</v>
      </c>
      <c r="D61" s="80">
        <f>SUMIFS('июнь 2024'!$G$4:$G$1823,'июнь 2024'!$D$4:$D$1823,$B61,'июнь 2024'!$J$4:$J$1823,D$1)</f>
        <v>0</v>
      </c>
      <c r="E61" s="80">
        <f>SUMIFS('июнь 2024'!$G$4:$G$1823,'июнь 2024'!$D$4:$D$1823,$B61,'июнь 2024'!$J$4:$J$1823,E$1)</f>
        <v>0</v>
      </c>
      <c r="F61" s="80">
        <f>SUMIFS('июнь 2024'!$G$4:$G$1823,'июнь 2024'!$D$4:$D$1823,$B61,'июнь 2024'!$J$4:$J$1823,F$1)</f>
        <v>0</v>
      </c>
      <c r="G61" s="80">
        <f>SUMIFS('июнь 2024'!$G$4:$G$1823,'июнь 2024'!$D$4:$D$1823,$B61,'июнь 2024'!$J$4:$J$1823,G$1)</f>
        <v>0</v>
      </c>
      <c r="H61" s="80">
        <f>SUMIFS('июнь 2024'!$G$4:$G$1823,'июнь 2024'!$D$4:$D$1823,$B61,'июнь 2024'!$J$4:$J$1823,H$1)</f>
        <v>0</v>
      </c>
      <c r="I61" s="80">
        <f>SUMIFS('июнь 2024'!$G$4:$G$1823,'июнь 2024'!$D$4:$D$1823,$B61,'июнь 2024'!$J$4:$J$1823,I$1)</f>
        <v>0</v>
      </c>
      <c r="J61" s="80">
        <f>SUMIFS('июнь 2024'!$G$4:$G$1823,'июнь 2024'!$D$4:$D$1823,$B61,'июнь 2024'!$J$4:$J$1823,J$1)</f>
        <v>0</v>
      </c>
      <c r="K61" s="80">
        <f>SUMIFS('июнь 2024'!$G$4:$G$1823,'июнь 2024'!$D$4:$D$1823,$B61,'июнь 2024'!$J$4:$J$1823,K$1)</f>
        <v>0</v>
      </c>
      <c r="L61" s="80">
        <f>SUMIFS('июнь 2024'!$G$4:$G$1823,'июнь 2024'!$D$4:$D$1823,$B61,'июнь 2024'!$J$4:$J$1823,L$1)</f>
        <v>0</v>
      </c>
      <c r="M61" s="80">
        <f>SUMIFS('июнь 2024'!$G$4:$G$1823,'июнь 2024'!$D$4:$D$1823,$B61,'июнь 2024'!$J$4:$J$1823,M$1)</f>
        <v>0</v>
      </c>
      <c r="N61" s="80">
        <f>SUMIFS('июнь 2024'!$G$4:$G$1823,'июнь 2024'!$D$4:$D$1823,$B61,'июнь 2024'!$J$4:$J$1823,N$1)</f>
        <v>0</v>
      </c>
      <c r="O61" s="80">
        <f>SUMIFS('июнь 2024'!$G$4:$G$1823,'июнь 2024'!$D$4:$D$1823,$B61,'июнь 2024'!$J$4:$J$1823,O$1)</f>
        <v>0</v>
      </c>
      <c r="P61" s="80">
        <f>SUMIFS('июнь 2024'!$G$4:$G$1823,'июнь 2024'!$D$4:$D$1823,$B61,'июнь 2024'!$J$4:$J$1823,P$1)</f>
        <v>0</v>
      </c>
      <c r="Q61" s="80">
        <f>SUMIFS('июнь 2024'!$G$4:$G$1823,'июнь 2024'!$D$4:$D$1823,$B61,'июнь 2024'!$J$4:$J$1823,Q$1)</f>
        <v>0</v>
      </c>
      <c r="R61" s="80">
        <f>SUMIFS('июнь 2024'!$G$4:$G$1823,'июнь 2024'!$D$4:$D$1823,$B61,'июнь 2024'!$J$4:$J$1823,R$1)</f>
        <v>0</v>
      </c>
      <c r="S61" s="80">
        <f>SUMIFS('июнь 2024'!$G$4:$G$1823,'июнь 2024'!$D$4:$D$1823,$B61,'июнь 2024'!$J$4:$J$1823,S$1)</f>
        <v>0</v>
      </c>
      <c r="T61" s="80">
        <f>SUMIFS('июнь 2024'!$G$4:$G$1823,'июнь 2024'!$D$4:$D$1823,$B61,'июнь 2024'!$J$4:$J$1823,T$1)</f>
        <v>0</v>
      </c>
      <c r="U61" s="80">
        <f>SUMIFS('июнь 2024'!$G$4:$G$1823,'июнь 2024'!$D$4:$D$1823,$B61,'июнь 2024'!$J$4:$J$1823,U$1)</f>
        <v>0</v>
      </c>
      <c r="V61" s="80">
        <f>SUMIFS('июнь 2024'!$G$4:$G$1823,'июнь 2024'!$D$4:$D$1823,$B61,'июнь 2024'!$J$4:$J$1823,V$1)</f>
        <v>0</v>
      </c>
      <c r="W61" s="80">
        <f>SUMIFS('июнь 2024'!$G$4:$G$1823,'июнь 2024'!$D$4:$D$1823,$B61,'июнь 2024'!$J$4:$J$1823,W$1)</f>
        <v>0</v>
      </c>
      <c r="X61" s="80">
        <f>SUMIFS('июнь 2024'!$G$4:$G$1823,'июнь 2024'!$D$4:$D$1823,$B61,'июнь 2024'!$J$4:$J$1823,X$1)</f>
        <v>0</v>
      </c>
      <c r="Y61" s="80">
        <f>SUMIFS('июнь 2024'!$G$4:$G$1823,'июнь 2024'!$D$4:$D$1823,$B61,'июнь 2024'!$J$4:$J$1823,Y$1)</f>
        <v>0</v>
      </c>
      <c r="Z61" s="80">
        <f>SUMIFS('июнь 2024'!$G$4:$G$1823,'июнь 2024'!$D$4:$D$1823,$B61,'июнь 2024'!$J$4:$J$1823,Z$1)</f>
        <v>0</v>
      </c>
      <c r="AA61" s="80">
        <f>SUMIFS('июнь 2024'!$G$4:$G$1823,'июнь 2024'!$D$4:$D$1823,$B61,'июнь 2024'!$J$4:$J$1823,AA$1)</f>
        <v>0</v>
      </c>
      <c r="AB61" s="80">
        <f>SUMIFS('июнь 2024'!$G$4:$G$1823,'июнь 2024'!$D$4:$D$1823,$B61,'июнь 2024'!$J$4:$J$1823,AB$1)</f>
        <v>0</v>
      </c>
      <c r="AC61" s="80">
        <f>SUMIFS('июнь 2024'!$G$4:$G$1823,'июнь 2024'!$D$4:$D$1823,$B61,'июнь 2024'!$J$4:$J$1823,AC$1)</f>
        <v>0</v>
      </c>
      <c r="AD61" s="80">
        <f>SUMIFS('июнь 2024'!$G$4:$G$1823,'июнь 2024'!$D$4:$D$1823,$B61,'июнь 2024'!$J$4:$J$1823,AD$1)</f>
        <v>0</v>
      </c>
      <c r="AE61" s="80">
        <f>SUMIFS('июнь 2024'!$G$4:$G$1823,'июнь 2024'!$D$4:$D$1823,$B61,'июнь 2024'!$J$4:$J$1823,AE$1)</f>
        <v>0</v>
      </c>
      <c r="AF61" s="80">
        <f>SUMIFS('июнь 2024'!$G$4:$G$1823,'июнь 2024'!$D$4:$D$1823,$B61,'июнь 2024'!$J$4:$J$1823,AF$1)</f>
        <v>0</v>
      </c>
      <c r="AG61" s="80">
        <f>SUMIFS('июнь 2024'!$G$4:$G$1823,'июнь 2024'!$D$4:$D$1823,$B61,'июнь 2024'!$J$4:$J$1823,AG$1)</f>
        <v>0</v>
      </c>
      <c r="AH61" s="80">
        <f>SUMIFS('июнь 2024'!$G$4:$G$1823,'июнь 2024'!$D$4:$D$1823,$B61,'июнь 2024'!$J$4:$J$1823,AH$1)</f>
        <v>0</v>
      </c>
      <c r="AI61" s="21">
        <f t="shared" si="1"/>
        <v>0</v>
      </c>
    </row>
    <row r="62" spans="2:35" ht="15" customHeight="1" x14ac:dyDescent="0.25">
      <c r="B62" s="92" t="s">
        <v>1153</v>
      </c>
      <c r="C62" s="91">
        <v>50</v>
      </c>
      <c r="D62" s="80">
        <f>SUMIFS('июнь 2024'!$G$4:$G$1823,'июнь 2024'!$D$4:$D$1823,$B62,'июнь 2024'!$J$4:$J$1823,D$1)</f>
        <v>0</v>
      </c>
      <c r="E62" s="80">
        <f>SUMIFS('июнь 2024'!$G$4:$G$1823,'июнь 2024'!$D$4:$D$1823,$B62,'июнь 2024'!$J$4:$J$1823,E$1)</f>
        <v>0</v>
      </c>
      <c r="F62" s="80">
        <f>SUMIFS('июнь 2024'!$G$4:$G$1823,'июнь 2024'!$D$4:$D$1823,$B62,'июнь 2024'!$J$4:$J$1823,F$1)</f>
        <v>0</v>
      </c>
      <c r="G62" s="80">
        <f>SUMIFS('июнь 2024'!$G$4:$G$1823,'июнь 2024'!$D$4:$D$1823,$B62,'июнь 2024'!$J$4:$J$1823,G$1)</f>
        <v>0</v>
      </c>
      <c r="H62" s="80">
        <f>SUMIFS('июнь 2024'!$G$4:$G$1823,'июнь 2024'!$D$4:$D$1823,$B62,'июнь 2024'!$J$4:$J$1823,H$1)</f>
        <v>0</v>
      </c>
      <c r="I62" s="80">
        <f>SUMIFS('июнь 2024'!$G$4:$G$1823,'июнь 2024'!$D$4:$D$1823,$B62,'июнь 2024'!$J$4:$J$1823,I$1)</f>
        <v>0</v>
      </c>
      <c r="J62" s="80">
        <f>SUMIFS('июнь 2024'!$G$4:$G$1823,'июнь 2024'!$D$4:$D$1823,$B62,'июнь 2024'!$J$4:$J$1823,J$1)</f>
        <v>0</v>
      </c>
      <c r="K62" s="80">
        <f>SUMIFS('июнь 2024'!$G$4:$G$1823,'июнь 2024'!$D$4:$D$1823,$B62,'июнь 2024'!$J$4:$J$1823,K$1)</f>
        <v>0</v>
      </c>
      <c r="L62" s="80">
        <f>SUMIFS('июнь 2024'!$G$4:$G$1823,'июнь 2024'!$D$4:$D$1823,$B62,'июнь 2024'!$J$4:$J$1823,L$1)</f>
        <v>0</v>
      </c>
      <c r="M62" s="80">
        <f>SUMIFS('июнь 2024'!$G$4:$G$1823,'июнь 2024'!$D$4:$D$1823,$B62,'июнь 2024'!$J$4:$J$1823,M$1)</f>
        <v>0</v>
      </c>
      <c r="N62" s="80">
        <f>SUMIFS('июнь 2024'!$G$4:$G$1823,'июнь 2024'!$D$4:$D$1823,$B62,'июнь 2024'!$J$4:$J$1823,N$1)</f>
        <v>0</v>
      </c>
      <c r="O62" s="80">
        <f>SUMIFS('июнь 2024'!$G$4:$G$1823,'июнь 2024'!$D$4:$D$1823,$B62,'июнь 2024'!$J$4:$J$1823,O$1)</f>
        <v>0</v>
      </c>
      <c r="P62" s="80">
        <f>SUMIFS('июнь 2024'!$G$4:$G$1823,'июнь 2024'!$D$4:$D$1823,$B62,'июнь 2024'!$J$4:$J$1823,P$1)</f>
        <v>0</v>
      </c>
      <c r="Q62" s="80">
        <f>SUMIFS('июнь 2024'!$G$4:$G$1823,'июнь 2024'!$D$4:$D$1823,$B62,'июнь 2024'!$J$4:$J$1823,Q$1)</f>
        <v>0</v>
      </c>
      <c r="R62" s="80">
        <f>SUMIFS('июнь 2024'!$G$4:$G$1823,'июнь 2024'!$D$4:$D$1823,$B62,'июнь 2024'!$J$4:$J$1823,R$1)</f>
        <v>0</v>
      </c>
      <c r="S62" s="80">
        <f>SUMIFS('июнь 2024'!$G$4:$G$1823,'июнь 2024'!$D$4:$D$1823,$B62,'июнь 2024'!$J$4:$J$1823,S$1)</f>
        <v>0</v>
      </c>
      <c r="T62" s="80">
        <f>SUMIFS('июнь 2024'!$G$4:$G$1823,'июнь 2024'!$D$4:$D$1823,$B62,'июнь 2024'!$J$4:$J$1823,T$1)</f>
        <v>0</v>
      </c>
      <c r="U62" s="80">
        <f>SUMIFS('июнь 2024'!$G$4:$G$1823,'июнь 2024'!$D$4:$D$1823,$B62,'июнь 2024'!$J$4:$J$1823,U$1)</f>
        <v>0</v>
      </c>
      <c r="V62" s="80">
        <f>SUMIFS('июнь 2024'!$G$4:$G$1823,'июнь 2024'!$D$4:$D$1823,$B62,'июнь 2024'!$J$4:$J$1823,V$1)</f>
        <v>0</v>
      </c>
      <c r="W62" s="80">
        <f>SUMIFS('июнь 2024'!$G$4:$G$1823,'июнь 2024'!$D$4:$D$1823,$B62,'июнь 2024'!$J$4:$J$1823,W$1)</f>
        <v>0</v>
      </c>
      <c r="X62" s="80">
        <f>SUMIFS('июнь 2024'!$G$4:$G$1823,'июнь 2024'!$D$4:$D$1823,$B62,'июнь 2024'!$J$4:$J$1823,X$1)</f>
        <v>0</v>
      </c>
      <c r="Y62" s="80">
        <f>SUMIFS('июнь 2024'!$G$4:$G$1823,'июнь 2024'!$D$4:$D$1823,$B62,'июнь 2024'!$J$4:$J$1823,Y$1)</f>
        <v>0</v>
      </c>
      <c r="Z62" s="80">
        <f>SUMIFS('июнь 2024'!$G$4:$G$1823,'июнь 2024'!$D$4:$D$1823,$B62,'июнь 2024'!$J$4:$J$1823,Z$1)</f>
        <v>0</v>
      </c>
      <c r="AA62" s="80">
        <f>SUMIFS('июнь 2024'!$G$4:$G$1823,'июнь 2024'!$D$4:$D$1823,$B62,'июнь 2024'!$J$4:$J$1823,AA$1)</f>
        <v>0</v>
      </c>
      <c r="AB62" s="80">
        <f>SUMIFS('июнь 2024'!$G$4:$G$1823,'июнь 2024'!$D$4:$D$1823,$B62,'июнь 2024'!$J$4:$J$1823,AB$1)</f>
        <v>0</v>
      </c>
      <c r="AC62" s="80">
        <f>SUMIFS('июнь 2024'!$G$4:$G$1823,'июнь 2024'!$D$4:$D$1823,$B62,'июнь 2024'!$J$4:$J$1823,AC$1)</f>
        <v>0</v>
      </c>
      <c r="AD62" s="80">
        <f>SUMIFS('июнь 2024'!$G$4:$G$1823,'июнь 2024'!$D$4:$D$1823,$B62,'июнь 2024'!$J$4:$J$1823,AD$1)</f>
        <v>0</v>
      </c>
      <c r="AE62" s="80">
        <f>SUMIFS('июнь 2024'!$G$4:$G$1823,'июнь 2024'!$D$4:$D$1823,$B62,'июнь 2024'!$J$4:$J$1823,AE$1)</f>
        <v>0</v>
      </c>
      <c r="AF62" s="80">
        <f>SUMIFS('июнь 2024'!$G$4:$G$1823,'июнь 2024'!$D$4:$D$1823,$B62,'июнь 2024'!$J$4:$J$1823,AF$1)</f>
        <v>0</v>
      </c>
      <c r="AG62" s="80">
        <f>SUMIFS('июнь 2024'!$G$4:$G$1823,'июнь 2024'!$D$4:$D$1823,$B62,'июнь 2024'!$J$4:$J$1823,AG$1)</f>
        <v>0</v>
      </c>
      <c r="AH62" s="80">
        <f>SUMIFS('июнь 2024'!$G$4:$G$1823,'июнь 2024'!$D$4:$D$1823,$B62,'июнь 2024'!$J$4:$J$1823,AH$1)</f>
        <v>0</v>
      </c>
      <c r="AI62" s="21">
        <f t="shared" si="1"/>
        <v>0</v>
      </c>
    </row>
    <row r="63" spans="2:35" ht="15" customHeight="1" x14ac:dyDescent="0.25">
      <c r="B63" s="93" t="s">
        <v>209</v>
      </c>
      <c r="C63" s="91">
        <v>200</v>
      </c>
      <c r="D63" s="80">
        <f>SUMIFS('июнь 2024'!$G$4:$G$1823,'июнь 2024'!$D$4:$D$1823,$B63,'июнь 2024'!$J$4:$J$1823,D$1)</f>
        <v>0</v>
      </c>
      <c r="E63" s="80">
        <f>SUMIFS('июнь 2024'!$G$4:$G$1823,'июнь 2024'!$D$4:$D$1823,$B63,'июнь 2024'!$J$4:$J$1823,E$1)</f>
        <v>0</v>
      </c>
      <c r="F63" s="80">
        <f>SUMIFS('июнь 2024'!$G$4:$G$1823,'июнь 2024'!$D$4:$D$1823,$B63,'июнь 2024'!$J$4:$J$1823,F$1)</f>
        <v>0</v>
      </c>
      <c r="G63" s="80">
        <f>SUMIFS('июнь 2024'!$G$4:$G$1823,'июнь 2024'!$D$4:$D$1823,$B63,'июнь 2024'!$J$4:$J$1823,G$1)</f>
        <v>0</v>
      </c>
      <c r="H63" s="80">
        <f>SUMIFS('июнь 2024'!$G$4:$G$1823,'июнь 2024'!$D$4:$D$1823,$B63,'июнь 2024'!$J$4:$J$1823,H$1)</f>
        <v>0</v>
      </c>
      <c r="I63" s="80">
        <f>SUMIFS('июнь 2024'!$G$4:$G$1823,'июнь 2024'!$D$4:$D$1823,$B63,'июнь 2024'!$J$4:$J$1823,I$1)</f>
        <v>0</v>
      </c>
      <c r="J63" s="80">
        <f>SUMIFS('июнь 2024'!$G$4:$G$1823,'июнь 2024'!$D$4:$D$1823,$B63,'июнь 2024'!$J$4:$J$1823,J$1)</f>
        <v>0</v>
      </c>
      <c r="K63" s="80">
        <f>SUMIFS('июнь 2024'!$G$4:$G$1823,'июнь 2024'!$D$4:$D$1823,$B63,'июнь 2024'!$J$4:$J$1823,K$1)</f>
        <v>0</v>
      </c>
      <c r="L63" s="80">
        <f>SUMIFS('июнь 2024'!$G$4:$G$1823,'июнь 2024'!$D$4:$D$1823,$B63,'июнь 2024'!$J$4:$J$1823,L$1)</f>
        <v>0</v>
      </c>
      <c r="M63" s="80">
        <f>SUMIFS('июнь 2024'!$G$4:$G$1823,'июнь 2024'!$D$4:$D$1823,$B63,'июнь 2024'!$J$4:$J$1823,M$1)</f>
        <v>0</v>
      </c>
      <c r="N63" s="80">
        <f>SUMIFS('июнь 2024'!$G$4:$G$1823,'июнь 2024'!$D$4:$D$1823,$B63,'июнь 2024'!$J$4:$J$1823,N$1)</f>
        <v>0</v>
      </c>
      <c r="O63" s="80">
        <f>SUMIFS('июнь 2024'!$G$4:$G$1823,'июнь 2024'!$D$4:$D$1823,$B63,'июнь 2024'!$J$4:$J$1823,O$1)</f>
        <v>0</v>
      </c>
      <c r="P63" s="80">
        <f>SUMIFS('июнь 2024'!$G$4:$G$1823,'июнь 2024'!$D$4:$D$1823,$B63,'июнь 2024'!$J$4:$J$1823,P$1)</f>
        <v>0</v>
      </c>
      <c r="Q63" s="80">
        <f>SUMIFS('июнь 2024'!$G$4:$G$1823,'июнь 2024'!$D$4:$D$1823,$B63,'июнь 2024'!$J$4:$J$1823,Q$1)</f>
        <v>0</v>
      </c>
      <c r="R63" s="80">
        <f>SUMIFS('июнь 2024'!$G$4:$G$1823,'июнь 2024'!$D$4:$D$1823,$B63,'июнь 2024'!$J$4:$J$1823,R$1)</f>
        <v>0</v>
      </c>
      <c r="S63" s="80">
        <f>SUMIFS('июнь 2024'!$G$4:$G$1823,'июнь 2024'!$D$4:$D$1823,$B63,'июнь 2024'!$J$4:$J$1823,S$1)</f>
        <v>0</v>
      </c>
      <c r="T63" s="80">
        <f>SUMIFS('июнь 2024'!$G$4:$G$1823,'июнь 2024'!$D$4:$D$1823,$B63,'июнь 2024'!$J$4:$J$1823,T$1)</f>
        <v>0</v>
      </c>
      <c r="U63" s="80">
        <f>SUMIFS('июнь 2024'!$G$4:$G$1823,'июнь 2024'!$D$4:$D$1823,$B63,'июнь 2024'!$J$4:$J$1823,U$1)</f>
        <v>0</v>
      </c>
      <c r="V63" s="80">
        <f>SUMIFS('июнь 2024'!$G$4:$G$1823,'июнь 2024'!$D$4:$D$1823,$B63,'июнь 2024'!$J$4:$J$1823,V$1)</f>
        <v>0</v>
      </c>
      <c r="W63" s="80">
        <f>SUMIFS('июнь 2024'!$G$4:$G$1823,'июнь 2024'!$D$4:$D$1823,$B63,'июнь 2024'!$J$4:$J$1823,W$1)</f>
        <v>0</v>
      </c>
      <c r="X63" s="80">
        <f>SUMIFS('июнь 2024'!$G$4:$G$1823,'июнь 2024'!$D$4:$D$1823,$B63,'июнь 2024'!$J$4:$J$1823,X$1)</f>
        <v>0</v>
      </c>
      <c r="Y63" s="80">
        <f>SUMIFS('июнь 2024'!$G$4:$G$1823,'июнь 2024'!$D$4:$D$1823,$B63,'июнь 2024'!$J$4:$J$1823,Y$1)</f>
        <v>0</v>
      </c>
      <c r="Z63" s="80">
        <f>SUMIFS('июнь 2024'!$G$4:$G$1823,'июнь 2024'!$D$4:$D$1823,$B63,'июнь 2024'!$J$4:$J$1823,Z$1)</f>
        <v>0</v>
      </c>
      <c r="AA63" s="80">
        <f>SUMIFS('июнь 2024'!$G$4:$G$1823,'июнь 2024'!$D$4:$D$1823,$B63,'июнь 2024'!$J$4:$J$1823,AA$1)</f>
        <v>0</v>
      </c>
      <c r="AB63" s="80">
        <f>SUMIFS('июнь 2024'!$G$4:$G$1823,'июнь 2024'!$D$4:$D$1823,$B63,'июнь 2024'!$J$4:$J$1823,AB$1)</f>
        <v>0</v>
      </c>
      <c r="AC63" s="80">
        <f>SUMIFS('июнь 2024'!$G$4:$G$1823,'июнь 2024'!$D$4:$D$1823,$B63,'июнь 2024'!$J$4:$J$1823,AC$1)</f>
        <v>0</v>
      </c>
      <c r="AD63" s="80">
        <f>SUMIFS('июнь 2024'!$G$4:$G$1823,'июнь 2024'!$D$4:$D$1823,$B63,'июнь 2024'!$J$4:$J$1823,AD$1)</f>
        <v>0</v>
      </c>
      <c r="AE63" s="80">
        <f>SUMIFS('июнь 2024'!$G$4:$G$1823,'июнь 2024'!$D$4:$D$1823,$B63,'июнь 2024'!$J$4:$J$1823,AE$1)</f>
        <v>0</v>
      </c>
      <c r="AF63" s="80">
        <f>SUMIFS('июнь 2024'!$G$4:$G$1823,'июнь 2024'!$D$4:$D$1823,$B63,'июнь 2024'!$J$4:$J$1823,AF$1)</f>
        <v>0</v>
      </c>
      <c r="AG63" s="80">
        <f>SUMIFS('июнь 2024'!$G$4:$G$1823,'июнь 2024'!$D$4:$D$1823,$B63,'июнь 2024'!$J$4:$J$1823,AG$1)</f>
        <v>0</v>
      </c>
      <c r="AH63" s="80">
        <f>SUMIFS('июнь 2024'!$G$4:$G$1823,'июнь 2024'!$D$4:$D$1823,$B63,'июнь 2024'!$J$4:$J$1823,AH$1)</f>
        <v>0</v>
      </c>
      <c r="AI63" s="21">
        <f t="shared" si="1"/>
        <v>0</v>
      </c>
    </row>
    <row r="64" spans="2:35" ht="15" customHeight="1" x14ac:dyDescent="0.25">
      <c r="B64" s="93" t="s">
        <v>222</v>
      </c>
      <c r="C64" s="91">
        <v>25</v>
      </c>
      <c r="D64" s="80">
        <f>SUMIFS('июнь 2024'!$G$4:$G$1823,'июнь 2024'!$D$4:$D$1823,$B64,'июнь 2024'!$J$4:$J$1823,D$1)</f>
        <v>0</v>
      </c>
      <c r="E64" s="80">
        <f>SUMIFS('июнь 2024'!$G$4:$G$1823,'июнь 2024'!$D$4:$D$1823,$B64,'июнь 2024'!$J$4:$J$1823,E$1)</f>
        <v>0</v>
      </c>
      <c r="F64" s="80">
        <f>SUMIFS('июнь 2024'!$G$4:$G$1823,'июнь 2024'!$D$4:$D$1823,$B64,'июнь 2024'!$J$4:$J$1823,F$1)</f>
        <v>0</v>
      </c>
      <c r="G64" s="80">
        <f>SUMIFS('июнь 2024'!$G$4:$G$1823,'июнь 2024'!$D$4:$D$1823,$B64,'июнь 2024'!$J$4:$J$1823,G$1)</f>
        <v>0</v>
      </c>
      <c r="H64" s="80">
        <f>SUMIFS('июнь 2024'!$G$4:$G$1823,'июнь 2024'!$D$4:$D$1823,$B64,'июнь 2024'!$J$4:$J$1823,H$1)</f>
        <v>0</v>
      </c>
      <c r="I64" s="80">
        <f>SUMIFS('июнь 2024'!$G$4:$G$1823,'июнь 2024'!$D$4:$D$1823,$B64,'июнь 2024'!$J$4:$J$1823,I$1)</f>
        <v>0</v>
      </c>
      <c r="J64" s="80">
        <f>SUMIFS('июнь 2024'!$G$4:$G$1823,'июнь 2024'!$D$4:$D$1823,$B64,'июнь 2024'!$J$4:$J$1823,J$1)</f>
        <v>0</v>
      </c>
      <c r="K64" s="80">
        <f>SUMIFS('июнь 2024'!$G$4:$G$1823,'июнь 2024'!$D$4:$D$1823,$B64,'июнь 2024'!$J$4:$J$1823,K$1)</f>
        <v>0</v>
      </c>
      <c r="L64" s="80">
        <f>SUMIFS('июнь 2024'!$G$4:$G$1823,'июнь 2024'!$D$4:$D$1823,$B64,'июнь 2024'!$J$4:$J$1823,L$1)</f>
        <v>0</v>
      </c>
      <c r="M64" s="80">
        <f>SUMIFS('июнь 2024'!$G$4:$G$1823,'июнь 2024'!$D$4:$D$1823,$B64,'июнь 2024'!$J$4:$J$1823,M$1)</f>
        <v>0</v>
      </c>
      <c r="N64" s="80">
        <f>SUMIFS('июнь 2024'!$G$4:$G$1823,'июнь 2024'!$D$4:$D$1823,$B64,'июнь 2024'!$J$4:$J$1823,N$1)</f>
        <v>0</v>
      </c>
      <c r="O64" s="80">
        <f>SUMIFS('июнь 2024'!$G$4:$G$1823,'июнь 2024'!$D$4:$D$1823,$B64,'июнь 2024'!$J$4:$J$1823,O$1)</f>
        <v>0</v>
      </c>
      <c r="P64" s="80">
        <f>SUMIFS('июнь 2024'!$G$4:$G$1823,'июнь 2024'!$D$4:$D$1823,$B64,'июнь 2024'!$J$4:$J$1823,P$1)</f>
        <v>0</v>
      </c>
      <c r="Q64" s="80">
        <f>SUMIFS('июнь 2024'!$G$4:$G$1823,'июнь 2024'!$D$4:$D$1823,$B64,'июнь 2024'!$J$4:$J$1823,Q$1)</f>
        <v>0</v>
      </c>
      <c r="R64" s="80">
        <f>SUMIFS('июнь 2024'!$G$4:$G$1823,'июнь 2024'!$D$4:$D$1823,$B64,'июнь 2024'!$J$4:$J$1823,R$1)</f>
        <v>0</v>
      </c>
      <c r="S64" s="80">
        <f>SUMIFS('июнь 2024'!$G$4:$G$1823,'июнь 2024'!$D$4:$D$1823,$B64,'июнь 2024'!$J$4:$J$1823,S$1)</f>
        <v>0</v>
      </c>
      <c r="T64" s="80">
        <f>SUMIFS('июнь 2024'!$G$4:$G$1823,'июнь 2024'!$D$4:$D$1823,$B64,'июнь 2024'!$J$4:$J$1823,T$1)</f>
        <v>0</v>
      </c>
      <c r="U64" s="80">
        <f>SUMIFS('июнь 2024'!$G$4:$G$1823,'июнь 2024'!$D$4:$D$1823,$B64,'июнь 2024'!$J$4:$J$1823,U$1)</f>
        <v>0</v>
      </c>
      <c r="V64" s="80">
        <f>SUMIFS('июнь 2024'!$G$4:$G$1823,'июнь 2024'!$D$4:$D$1823,$B64,'июнь 2024'!$J$4:$J$1823,V$1)</f>
        <v>0</v>
      </c>
      <c r="W64" s="80">
        <f>SUMIFS('июнь 2024'!$G$4:$G$1823,'июнь 2024'!$D$4:$D$1823,$B64,'июнь 2024'!$J$4:$J$1823,W$1)</f>
        <v>0</v>
      </c>
      <c r="X64" s="80">
        <f>SUMIFS('июнь 2024'!$G$4:$G$1823,'июнь 2024'!$D$4:$D$1823,$B64,'июнь 2024'!$J$4:$J$1823,X$1)</f>
        <v>0</v>
      </c>
      <c r="Y64" s="80">
        <f>SUMIFS('июнь 2024'!$G$4:$G$1823,'июнь 2024'!$D$4:$D$1823,$B64,'июнь 2024'!$J$4:$J$1823,Y$1)</f>
        <v>0</v>
      </c>
      <c r="Z64" s="80">
        <f>SUMIFS('июнь 2024'!$G$4:$G$1823,'июнь 2024'!$D$4:$D$1823,$B64,'июнь 2024'!$J$4:$J$1823,Z$1)</f>
        <v>0</v>
      </c>
      <c r="AA64" s="80">
        <f>SUMIFS('июнь 2024'!$G$4:$G$1823,'июнь 2024'!$D$4:$D$1823,$B64,'июнь 2024'!$J$4:$J$1823,AA$1)</f>
        <v>0</v>
      </c>
      <c r="AB64" s="80">
        <f>SUMIFS('июнь 2024'!$G$4:$G$1823,'июнь 2024'!$D$4:$D$1823,$B64,'июнь 2024'!$J$4:$J$1823,AB$1)</f>
        <v>0</v>
      </c>
      <c r="AC64" s="80">
        <f>SUMIFS('июнь 2024'!$G$4:$G$1823,'июнь 2024'!$D$4:$D$1823,$B64,'июнь 2024'!$J$4:$J$1823,AC$1)</f>
        <v>0</v>
      </c>
      <c r="AD64" s="80">
        <f>SUMIFS('июнь 2024'!$G$4:$G$1823,'июнь 2024'!$D$4:$D$1823,$B64,'июнь 2024'!$J$4:$J$1823,AD$1)</f>
        <v>0</v>
      </c>
      <c r="AE64" s="80">
        <f>SUMIFS('июнь 2024'!$G$4:$G$1823,'июнь 2024'!$D$4:$D$1823,$B64,'июнь 2024'!$J$4:$J$1823,AE$1)</f>
        <v>0</v>
      </c>
      <c r="AF64" s="80">
        <f>SUMIFS('июнь 2024'!$G$4:$G$1823,'июнь 2024'!$D$4:$D$1823,$B64,'июнь 2024'!$J$4:$J$1823,AF$1)</f>
        <v>0</v>
      </c>
      <c r="AG64" s="80">
        <f>SUMIFS('июнь 2024'!$G$4:$G$1823,'июнь 2024'!$D$4:$D$1823,$B64,'июнь 2024'!$J$4:$J$1823,AG$1)</f>
        <v>0</v>
      </c>
      <c r="AH64" s="80">
        <f>SUMIFS('июнь 2024'!$G$4:$G$1823,'июнь 2024'!$D$4:$D$1823,$B64,'июнь 2024'!$J$4:$J$1823,AH$1)</f>
        <v>0</v>
      </c>
      <c r="AI64" s="21">
        <f t="shared" si="1"/>
        <v>0</v>
      </c>
    </row>
    <row r="65" spans="2:35" ht="15" customHeight="1" x14ac:dyDescent="0.25">
      <c r="B65" s="93" t="s">
        <v>189</v>
      </c>
      <c r="C65" s="91">
        <v>50</v>
      </c>
      <c r="D65" s="80">
        <f>SUMIFS('июнь 2024'!$G$4:$G$1823,'июнь 2024'!$D$4:$D$1823,$B65,'июнь 2024'!$J$4:$J$1823,D$1)</f>
        <v>0</v>
      </c>
      <c r="E65" s="80">
        <f>SUMIFS('июнь 2024'!$G$4:$G$1823,'июнь 2024'!$D$4:$D$1823,$B65,'июнь 2024'!$J$4:$J$1823,E$1)</f>
        <v>0</v>
      </c>
      <c r="F65" s="80">
        <f>SUMIFS('июнь 2024'!$G$4:$G$1823,'июнь 2024'!$D$4:$D$1823,$B65,'июнь 2024'!$J$4:$J$1823,F$1)</f>
        <v>0</v>
      </c>
      <c r="G65" s="80">
        <f>SUMIFS('июнь 2024'!$G$4:$G$1823,'июнь 2024'!$D$4:$D$1823,$B65,'июнь 2024'!$J$4:$J$1823,G$1)</f>
        <v>0</v>
      </c>
      <c r="H65" s="80">
        <f>SUMIFS('июнь 2024'!$G$4:$G$1823,'июнь 2024'!$D$4:$D$1823,$B65,'июнь 2024'!$J$4:$J$1823,H$1)</f>
        <v>0</v>
      </c>
      <c r="I65" s="80">
        <f>SUMIFS('июнь 2024'!$G$4:$G$1823,'июнь 2024'!$D$4:$D$1823,$B65,'июнь 2024'!$J$4:$J$1823,I$1)</f>
        <v>0</v>
      </c>
      <c r="J65" s="80">
        <f>SUMIFS('июнь 2024'!$G$4:$G$1823,'июнь 2024'!$D$4:$D$1823,$B65,'июнь 2024'!$J$4:$J$1823,J$1)</f>
        <v>0</v>
      </c>
      <c r="K65" s="80">
        <f>SUMIFS('июнь 2024'!$G$4:$G$1823,'июнь 2024'!$D$4:$D$1823,$B65,'июнь 2024'!$J$4:$J$1823,K$1)</f>
        <v>0</v>
      </c>
      <c r="L65" s="80">
        <f>SUMIFS('июнь 2024'!$G$4:$G$1823,'июнь 2024'!$D$4:$D$1823,$B65,'июнь 2024'!$J$4:$J$1823,L$1)</f>
        <v>0</v>
      </c>
      <c r="M65" s="80">
        <f>SUMIFS('июнь 2024'!$G$4:$G$1823,'июнь 2024'!$D$4:$D$1823,$B65,'июнь 2024'!$J$4:$J$1823,M$1)</f>
        <v>0</v>
      </c>
      <c r="N65" s="80">
        <f>SUMIFS('июнь 2024'!$G$4:$G$1823,'июнь 2024'!$D$4:$D$1823,$B65,'июнь 2024'!$J$4:$J$1823,N$1)</f>
        <v>0</v>
      </c>
      <c r="O65" s="80">
        <f>SUMIFS('июнь 2024'!$G$4:$G$1823,'июнь 2024'!$D$4:$D$1823,$B65,'июнь 2024'!$J$4:$J$1823,O$1)</f>
        <v>0</v>
      </c>
      <c r="P65" s="80">
        <f>SUMIFS('июнь 2024'!$G$4:$G$1823,'июнь 2024'!$D$4:$D$1823,$B65,'июнь 2024'!$J$4:$J$1823,P$1)</f>
        <v>0</v>
      </c>
      <c r="Q65" s="80">
        <f>SUMIFS('июнь 2024'!$G$4:$G$1823,'июнь 2024'!$D$4:$D$1823,$B65,'июнь 2024'!$J$4:$J$1823,Q$1)</f>
        <v>0</v>
      </c>
      <c r="R65" s="80">
        <f>SUMIFS('июнь 2024'!$G$4:$G$1823,'июнь 2024'!$D$4:$D$1823,$B65,'июнь 2024'!$J$4:$J$1823,R$1)</f>
        <v>0</v>
      </c>
      <c r="S65" s="80">
        <f>SUMIFS('июнь 2024'!$G$4:$G$1823,'июнь 2024'!$D$4:$D$1823,$B65,'июнь 2024'!$J$4:$J$1823,S$1)</f>
        <v>0</v>
      </c>
      <c r="T65" s="80">
        <f>SUMIFS('июнь 2024'!$G$4:$G$1823,'июнь 2024'!$D$4:$D$1823,$B65,'июнь 2024'!$J$4:$J$1823,T$1)</f>
        <v>0</v>
      </c>
      <c r="U65" s="80">
        <f>SUMIFS('июнь 2024'!$G$4:$G$1823,'июнь 2024'!$D$4:$D$1823,$B65,'июнь 2024'!$J$4:$J$1823,U$1)</f>
        <v>0</v>
      </c>
      <c r="V65" s="80">
        <f>SUMIFS('июнь 2024'!$G$4:$G$1823,'июнь 2024'!$D$4:$D$1823,$B65,'июнь 2024'!$J$4:$J$1823,V$1)</f>
        <v>0</v>
      </c>
      <c r="W65" s="80">
        <f>SUMIFS('июнь 2024'!$G$4:$G$1823,'июнь 2024'!$D$4:$D$1823,$B65,'июнь 2024'!$J$4:$J$1823,W$1)</f>
        <v>0</v>
      </c>
      <c r="X65" s="80">
        <f>SUMIFS('июнь 2024'!$G$4:$G$1823,'июнь 2024'!$D$4:$D$1823,$B65,'июнь 2024'!$J$4:$J$1823,X$1)</f>
        <v>0</v>
      </c>
      <c r="Y65" s="80">
        <f>SUMIFS('июнь 2024'!$G$4:$G$1823,'июнь 2024'!$D$4:$D$1823,$B65,'июнь 2024'!$J$4:$J$1823,Y$1)</f>
        <v>0</v>
      </c>
      <c r="Z65" s="80">
        <f>SUMIFS('июнь 2024'!$G$4:$G$1823,'июнь 2024'!$D$4:$D$1823,$B65,'июнь 2024'!$J$4:$J$1823,Z$1)</f>
        <v>0</v>
      </c>
      <c r="AA65" s="80">
        <f>SUMIFS('июнь 2024'!$G$4:$G$1823,'июнь 2024'!$D$4:$D$1823,$B65,'июнь 2024'!$J$4:$J$1823,AA$1)</f>
        <v>0</v>
      </c>
      <c r="AB65" s="80">
        <f>SUMIFS('июнь 2024'!$G$4:$G$1823,'июнь 2024'!$D$4:$D$1823,$B65,'июнь 2024'!$J$4:$J$1823,AB$1)</f>
        <v>0</v>
      </c>
      <c r="AC65" s="80">
        <f>SUMIFS('июнь 2024'!$G$4:$G$1823,'июнь 2024'!$D$4:$D$1823,$B65,'июнь 2024'!$J$4:$J$1823,AC$1)</f>
        <v>0</v>
      </c>
      <c r="AD65" s="80">
        <f>SUMIFS('июнь 2024'!$G$4:$G$1823,'июнь 2024'!$D$4:$D$1823,$B65,'июнь 2024'!$J$4:$J$1823,AD$1)</f>
        <v>0</v>
      </c>
      <c r="AE65" s="80">
        <f>SUMIFS('июнь 2024'!$G$4:$G$1823,'июнь 2024'!$D$4:$D$1823,$B65,'июнь 2024'!$J$4:$J$1823,AE$1)</f>
        <v>0</v>
      </c>
      <c r="AF65" s="80">
        <f>SUMIFS('июнь 2024'!$G$4:$G$1823,'июнь 2024'!$D$4:$D$1823,$B65,'июнь 2024'!$J$4:$J$1823,AF$1)</f>
        <v>0</v>
      </c>
      <c r="AG65" s="80">
        <f>SUMIFS('июнь 2024'!$G$4:$G$1823,'июнь 2024'!$D$4:$D$1823,$B65,'июнь 2024'!$J$4:$J$1823,AG$1)</f>
        <v>0</v>
      </c>
      <c r="AH65" s="80">
        <f>SUMIFS('июнь 2024'!$G$4:$G$1823,'июнь 2024'!$D$4:$D$1823,$B65,'июнь 2024'!$J$4:$J$1823,AH$1)</f>
        <v>0</v>
      </c>
      <c r="AI65" s="21">
        <f t="shared" si="1"/>
        <v>0</v>
      </c>
    </row>
    <row r="66" spans="2:35" ht="15.75" x14ac:dyDescent="0.25">
      <c r="B66" s="89" t="s">
        <v>159</v>
      </c>
      <c r="C66" s="88">
        <v>200</v>
      </c>
      <c r="D66" s="80">
        <f>SUMIFS('июнь 2024'!$G$4:$G$1823,'июнь 2024'!$D$4:$D$1823,$B66,'июнь 2024'!$J$4:$J$1823,D$1)</f>
        <v>0</v>
      </c>
      <c r="E66" s="80">
        <f>SUMIFS('июнь 2024'!$G$4:$G$1823,'июнь 2024'!$D$4:$D$1823,$B66,'июнь 2024'!$J$4:$J$1823,E$1)</f>
        <v>0</v>
      </c>
      <c r="F66" s="80">
        <f>SUMIFS('июнь 2024'!$G$4:$G$1823,'июнь 2024'!$D$4:$D$1823,$B66,'июнь 2024'!$J$4:$J$1823,F$1)</f>
        <v>0</v>
      </c>
      <c r="G66" s="80">
        <f>SUMIFS('июнь 2024'!$G$4:$G$1823,'июнь 2024'!$D$4:$D$1823,$B66,'июнь 2024'!$J$4:$J$1823,G$1)</f>
        <v>0</v>
      </c>
      <c r="H66" s="80">
        <f>SUMIFS('июнь 2024'!$G$4:$G$1823,'июнь 2024'!$D$4:$D$1823,$B66,'июнь 2024'!$J$4:$J$1823,H$1)</f>
        <v>0</v>
      </c>
      <c r="I66" s="80">
        <f>SUMIFS('июнь 2024'!$G$4:$G$1823,'июнь 2024'!$D$4:$D$1823,$B66,'июнь 2024'!$J$4:$J$1823,I$1)</f>
        <v>0</v>
      </c>
      <c r="J66" s="80">
        <f>SUMIFS('июнь 2024'!$G$4:$G$1823,'июнь 2024'!$D$4:$D$1823,$B66,'июнь 2024'!$J$4:$J$1823,J$1)</f>
        <v>0</v>
      </c>
      <c r="K66" s="80">
        <f>SUMIFS('июнь 2024'!$G$4:$G$1823,'июнь 2024'!$D$4:$D$1823,$B66,'июнь 2024'!$J$4:$J$1823,K$1)</f>
        <v>0</v>
      </c>
      <c r="L66" s="80">
        <f>SUMIFS('июнь 2024'!$G$4:$G$1823,'июнь 2024'!$D$4:$D$1823,$B66,'июнь 2024'!$J$4:$J$1823,L$1)</f>
        <v>0</v>
      </c>
      <c r="M66" s="80">
        <f>SUMIFS('июнь 2024'!$G$4:$G$1823,'июнь 2024'!$D$4:$D$1823,$B66,'июнь 2024'!$J$4:$J$1823,M$1)</f>
        <v>0</v>
      </c>
      <c r="N66" s="80">
        <f>SUMIFS('июнь 2024'!$G$4:$G$1823,'июнь 2024'!$D$4:$D$1823,$B66,'июнь 2024'!$J$4:$J$1823,N$1)</f>
        <v>0</v>
      </c>
      <c r="O66" s="80">
        <f>SUMIFS('июнь 2024'!$G$4:$G$1823,'июнь 2024'!$D$4:$D$1823,$B66,'июнь 2024'!$J$4:$J$1823,O$1)</f>
        <v>0</v>
      </c>
      <c r="P66" s="80">
        <f>SUMIFS('июнь 2024'!$G$4:$G$1823,'июнь 2024'!$D$4:$D$1823,$B66,'июнь 2024'!$J$4:$J$1823,P$1)</f>
        <v>0</v>
      </c>
      <c r="Q66" s="80">
        <f>SUMIFS('июнь 2024'!$G$4:$G$1823,'июнь 2024'!$D$4:$D$1823,$B66,'июнь 2024'!$J$4:$J$1823,Q$1)</f>
        <v>0</v>
      </c>
      <c r="R66" s="80">
        <f>SUMIFS('июнь 2024'!$G$4:$G$1823,'июнь 2024'!$D$4:$D$1823,$B66,'июнь 2024'!$J$4:$J$1823,R$1)</f>
        <v>0</v>
      </c>
      <c r="S66" s="80">
        <f>SUMIFS('июнь 2024'!$G$4:$G$1823,'июнь 2024'!$D$4:$D$1823,$B66,'июнь 2024'!$J$4:$J$1823,S$1)</f>
        <v>0</v>
      </c>
      <c r="T66" s="80">
        <f>SUMIFS('июнь 2024'!$G$4:$G$1823,'июнь 2024'!$D$4:$D$1823,$B66,'июнь 2024'!$J$4:$J$1823,T$1)</f>
        <v>0</v>
      </c>
      <c r="U66" s="80">
        <f>SUMIFS('июнь 2024'!$G$4:$G$1823,'июнь 2024'!$D$4:$D$1823,$B66,'июнь 2024'!$J$4:$J$1823,U$1)</f>
        <v>0</v>
      </c>
      <c r="V66" s="80">
        <f>SUMIFS('июнь 2024'!$G$4:$G$1823,'июнь 2024'!$D$4:$D$1823,$B66,'июнь 2024'!$J$4:$J$1823,V$1)</f>
        <v>0</v>
      </c>
      <c r="W66" s="80">
        <f>SUMIFS('июнь 2024'!$G$4:$G$1823,'июнь 2024'!$D$4:$D$1823,$B66,'июнь 2024'!$J$4:$J$1823,W$1)</f>
        <v>0</v>
      </c>
      <c r="X66" s="80">
        <f>SUMIFS('июнь 2024'!$G$4:$G$1823,'июнь 2024'!$D$4:$D$1823,$B66,'июнь 2024'!$J$4:$J$1823,X$1)</f>
        <v>0</v>
      </c>
      <c r="Y66" s="80">
        <f>SUMIFS('июнь 2024'!$G$4:$G$1823,'июнь 2024'!$D$4:$D$1823,$B66,'июнь 2024'!$J$4:$J$1823,Y$1)</f>
        <v>0</v>
      </c>
      <c r="Z66" s="80">
        <f>SUMIFS('июнь 2024'!$G$4:$G$1823,'июнь 2024'!$D$4:$D$1823,$B66,'июнь 2024'!$J$4:$J$1823,Z$1)</f>
        <v>0</v>
      </c>
      <c r="AA66" s="80">
        <f>SUMIFS('июнь 2024'!$G$4:$G$1823,'июнь 2024'!$D$4:$D$1823,$B66,'июнь 2024'!$J$4:$J$1823,AA$1)</f>
        <v>0</v>
      </c>
      <c r="AB66" s="80">
        <f>SUMIFS('июнь 2024'!$G$4:$G$1823,'июнь 2024'!$D$4:$D$1823,$B66,'июнь 2024'!$J$4:$J$1823,AB$1)</f>
        <v>0</v>
      </c>
      <c r="AC66" s="80">
        <f>SUMIFS('июнь 2024'!$G$4:$G$1823,'июнь 2024'!$D$4:$D$1823,$B66,'июнь 2024'!$J$4:$J$1823,AC$1)</f>
        <v>0</v>
      </c>
      <c r="AD66" s="80">
        <f>SUMIFS('июнь 2024'!$G$4:$G$1823,'июнь 2024'!$D$4:$D$1823,$B66,'июнь 2024'!$J$4:$J$1823,AD$1)</f>
        <v>0</v>
      </c>
      <c r="AE66" s="80">
        <f>SUMIFS('июнь 2024'!$G$4:$G$1823,'июнь 2024'!$D$4:$D$1823,$B66,'июнь 2024'!$J$4:$J$1823,AE$1)</f>
        <v>0</v>
      </c>
      <c r="AF66" s="80">
        <f>SUMIFS('июнь 2024'!$G$4:$G$1823,'июнь 2024'!$D$4:$D$1823,$B66,'июнь 2024'!$J$4:$J$1823,AF$1)</f>
        <v>0</v>
      </c>
      <c r="AG66" s="80">
        <f>SUMIFS('июнь 2024'!$G$4:$G$1823,'июнь 2024'!$D$4:$D$1823,$B66,'июнь 2024'!$J$4:$J$1823,AG$1)</f>
        <v>0</v>
      </c>
      <c r="AH66" s="80">
        <f>SUMIFS('июнь 2024'!$G$4:$G$1823,'июнь 2024'!$D$4:$D$1823,$B66,'июнь 2024'!$J$4:$J$1823,AH$1)</f>
        <v>0</v>
      </c>
      <c r="AI66" s="21">
        <f t="shared" si="1"/>
        <v>0</v>
      </c>
    </row>
    <row r="67" spans="2:35" ht="15.75" x14ac:dyDescent="0.25">
      <c r="B67" s="93" t="s">
        <v>158</v>
      </c>
      <c r="C67" s="91">
        <v>200</v>
      </c>
      <c r="D67" s="80">
        <f>SUMIFS('июнь 2024'!$G$4:$G$1823,'июнь 2024'!$D$4:$D$1823,$B67,'июнь 2024'!$J$4:$J$1823,D$1)</f>
        <v>0</v>
      </c>
      <c r="E67" s="80">
        <f>SUMIFS('июнь 2024'!$G$4:$G$1823,'июнь 2024'!$D$4:$D$1823,$B67,'июнь 2024'!$J$4:$J$1823,E$1)</f>
        <v>0</v>
      </c>
      <c r="F67" s="80">
        <f>SUMIFS('июнь 2024'!$G$4:$G$1823,'июнь 2024'!$D$4:$D$1823,$B67,'июнь 2024'!$J$4:$J$1823,F$1)</f>
        <v>0</v>
      </c>
      <c r="G67" s="80">
        <f>SUMIFS('июнь 2024'!$G$4:$G$1823,'июнь 2024'!$D$4:$D$1823,$B67,'июнь 2024'!$J$4:$J$1823,G$1)</f>
        <v>0</v>
      </c>
      <c r="H67" s="80">
        <f>SUMIFS('июнь 2024'!$G$4:$G$1823,'июнь 2024'!$D$4:$D$1823,$B67,'июнь 2024'!$J$4:$J$1823,H$1)</f>
        <v>88</v>
      </c>
      <c r="I67" s="80">
        <f>SUMIFS('июнь 2024'!$G$4:$G$1823,'июнь 2024'!$D$4:$D$1823,$B67,'июнь 2024'!$J$4:$J$1823,I$1)</f>
        <v>0</v>
      </c>
      <c r="J67" s="80">
        <f>SUMIFS('июнь 2024'!$G$4:$G$1823,'июнь 2024'!$D$4:$D$1823,$B67,'июнь 2024'!$J$4:$J$1823,J$1)</f>
        <v>0</v>
      </c>
      <c r="K67" s="80">
        <f>SUMIFS('июнь 2024'!$G$4:$G$1823,'июнь 2024'!$D$4:$D$1823,$B67,'июнь 2024'!$J$4:$J$1823,K$1)</f>
        <v>0</v>
      </c>
      <c r="L67" s="80">
        <f>SUMIFS('июнь 2024'!$G$4:$G$1823,'июнь 2024'!$D$4:$D$1823,$B67,'июнь 2024'!$J$4:$J$1823,L$1)</f>
        <v>0</v>
      </c>
      <c r="M67" s="80">
        <f>SUMIFS('июнь 2024'!$G$4:$G$1823,'июнь 2024'!$D$4:$D$1823,$B67,'июнь 2024'!$J$4:$J$1823,M$1)</f>
        <v>0</v>
      </c>
      <c r="N67" s="80">
        <f>SUMIFS('июнь 2024'!$G$4:$G$1823,'июнь 2024'!$D$4:$D$1823,$B67,'июнь 2024'!$J$4:$J$1823,N$1)</f>
        <v>0</v>
      </c>
      <c r="O67" s="80">
        <f>SUMIFS('июнь 2024'!$G$4:$G$1823,'июнь 2024'!$D$4:$D$1823,$B67,'июнь 2024'!$J$4:$J$1823,O$1)</f>
        <v>0</v>
      </c>
      <c r="P67" s="80">
        <f>SUMIFS('июнь 2024'!$G$4:$G$1823,'июнь 2024'!$D$4:$D$1823,$B67,'июнь 2024'!$J$4:$J$1823,P$1)</f>
        <v>0</v>
      </c>
      <c r="Q67" s="80">
        <f>SUMIFS('июнь 2024'!$G$4:$G$1823,'июнь 2024'!$D$4:$D$1823,$B67,'июнь 2024'!$J$4:$J$1823,Q$1)</f>
        <v>0</v>
      </c>
      <c r="R67" s="80">
        <f>SUMIFS('июнь 2024'!$G$4:$G$1823,'июнь 2024'!$D$4:$D$1823,$B67,'июнь 2024'!$J$4:$J$1823,R$1)</f>
        <v>0</v>
      </c>
      <c r="S67" s="80">
        <f>SUMIFS('июнь 2024'!$G$4:$G$1823,'июнь 2024'!$D$4:$D$1823,$B67,'июнь 2024'!$J$4:$J$1823,S$1)</f>
        <v>0</v>
      </c>
      <c r="T67" s="80">
        <f>SUMIFS('июнь 2024'!$G$4:$G$1823,'июнь 2024'!$D$4:$D$1823,$B67,'июнь 2024'!$J$4:$J$1823,T$1)</f>
        <v>0</v>
      </c>
      <c r="U67" s="80">
        <f>SUMIFS('июнь 2024'!$G$4:$G$1823,'июнь 2024'!$D$4:$D$1823,$B67,'июнь 2024'!$J$4:$J$1823,U$1)</f>
        <v>0</v>
      </c>
      <c r="V67" s="80">
        <f>SUMIFS('июнь 2024'!$G$4:$G$1823,'июнь 2024'!$D$4:$D$1823,$B67,'июнь 2024'!$J$4:$J$1823,V$1)</f>
        <v>88</v>
      </c>
      <c r="W67" s="80">
        <f>SUMIFS('июнь 2024'!$G$4:$G$1823,'июнь 2024'!$D$4:$D$1823,$B67,'июнь 2024'!$J$4:$J$1823,W$1)</f>
        <v>0</v>
      </c>
      <c r="X67" s="80">
        <f>SUMIFS('июнь 2024'!$G$4:$G$1823,'июнь 2024'!$D$4:$D$1823,$B67,'июнь 2024'!$J$4:$J$1823,X$1)</f>
        <v>0</v>
      </c>
      <c r="Y67" s="80">
        <f>SUMIFS('июнь 2024'!$G$4:$G$1823,'июнь 2024'!$D$4:$D$1823,$B67,'июнь 2024'!$J$4:$J$1823,Y$1)</f>
        <v>0</v>
      </c>
      <c r="Z67" s="80">
        <f>SUMIFS('июнь 2024'!$G$4:$G$1823,'июнь 2024'!$D$4:$D$1823,$B67,'июнь 2024'!$J$4:$J$1823,Z$1)</f>
        <v>0</v>
      </c>
      <c r="AA67" s="80">
        <f>SUMIFS('июнь 2024'!$G$4:$G$1823,'июнь 2024'!$D$4:$D$1823,$B67,'июнь 2024'!$J$4:$J$1823,AA$1)</f>
        <v>0</v>
      </c>
      <c r="AB67" s="80">
        <f>SUMIFS('июнь 2024'!$G$4:$G$1823,'июнь 2024'!$D$4:$D$1823,$B67,'июнь 2024'!$J$4:$J$1823,AB$1)</f>
        <v>0</v>
      </c>
      <c r="AC67" s="80">
        <f>SUMIFS('июнь 2024'!$G$4:$G$1823,'июнь 2024'!$D$4:$D$1823,$B67,'июнь 2024'!$J$4:$J$1823,AC$1)</f>
        <v>0</v>
      </c>
      <c r="AD67" s="80">
        <f>SUMIFS('июнь 2024'!$G$4:$G$1823,'июнь 2024'!$D$4:$D$1823,$B67,'июнь 2024'!$J$4:$J$1823,AD$1)</f>
        <v>0</v>
      </c>
      <c r="AE67" s="80">
        <f>SUMIFS('июнь 2024'!$G$4:$G$1823,'июнь 2024'!$D$4:$D$1823,$B67,'июнь 2024'!$J$4:$J$1823,AE$1)</f>
        <v>0</v>
      </c>
      <c r="AF67" s="80">
        <f>SUMIFS('июнь 2024'!$G$4:$G$1823,'июнь 2024'!$D$4:$D$1823,$B67,'июнь 2024'!$J$4:$J$1823,AF$1)</f>
        <v>0</v>
      </c>
      <c r="AG67" s="80">
        <f>SUMIFS('июнь 2024'!$G$4:$G$1823,'июнь 2024'!$D$4:$D$1823,$B67,'июнь 2024'!$J$4:$J$1823,AG$1)</f>
        <v>0</v>
      </c>
      <c r="AH67" s="80">
        <f>SUMIFS('июнь 2024'!$G$4:$G$1823,'июнь 2024'!$D$4:$D$1823,$B67,'июнь 2024'!$J$4:$J$1823,AH$1)</f>
        <v>0</v>
      </c>
      <c r="AI67" s="21">
        <f t="shared" si="1"/>
        <v>176</v>
      </c>
    </row>
    <row r="68" spans="2:35" ht="15.75" x14ac:dyDescent="0.25">
      <c r="B68" s="93" t="s">
        <v>897</v>
      </c>
      <c r="C68" s="91">
        <v>200</v>
      </c>
      <c r="D68" s="80">
        <f>SUMIFS('июнь 2024'!$G$4:$G$1823,'июнь 2024'!$D$4:$D$1823,$B68,'июнь 2024'!$J$4:$J$1823,D$1)</f>
        <v>0</v>
      </c>
      <c r="E68" s="80">
        <f>SUMIFS('июнь 2024'!$G$4:$G$1823,'июнь 2024'!$D$4:$D$1823,$B68,'июнь 2024'!$J$4:$J$1823,E$1)</f>
        <v>0</v>
      </c>
      <c r="F68" s="80">
        <f>SUMIFS('июнь 2024'!$G$4:$G$1823,'июнь 2024'!$D$4:$D$1823,$B68,'июнь 2024'!$J$4:$J$1823,F$1)</f>
        <v>0</v>
      </c>
      <c r="G68" s="80">
        <f>SUMIFS('июнь 2024'!$G$4:$G$1823,'июнь 2024'!$D$4:$D$1823,$B68,'июнь 2024'!$J$4:$J$1823,G$1)</f>
        <v>0</v>
      </c>
      <c r="H68" s="80">
        <f>SUMIFS('июнь 2024'!$G$4:$G$1823,'июнь 2024'!$D$4:$D$1823,$B68,'июнь 2024'!$J$4:$J$1823,H$1)</f>
        <v>0</v>
      </c>
      <c r="I68" s="80">
        <f>SUMIFS('июнь 2024'!$G$4:$G$1823,'июнь 2024'!$D$4:$D$1823,$B68,'июнь 2024'!$J$4:$J$1823,I$1)</f>
        <v>0</v>
      </c>
      <c r="J68" s="80">
        <f>SUMIFS('июнь 2024'!$G$4:$G$1823,'июнь 2024'!$D$4:$D$1823,$B68,'июнь 2024'!$J$4:$J$1823,J$1)</f>
        <v>0</v>
      </c>
      <c r="K68" s="80">
        <f>SUMIFS('июнь 2024'!$G$4:$G$1823,'июнь 2024'!$D$4:$D$1823,$B68,'июнь 2024'!$J$4:$J$1823,K$1)</f>
        <v>0</v>
      </c>
      <c r="L68" s="80">
        <f>SUMIFS('июнь 2024'!$G$4:$G$1823,'июнь 2024'!$D$4:$D$1823,$B68,'июнь 2024'!$J$4:$J$1823,L$1)</f>
        <v>0</v>
      </c>
      <c r="M68" s="80">
        <f>SUMIFS('июнь 2024'!$G$4:$G$1823,'июнь 2024'!$D$4:$D$1823,$B68,'июнь 2024'!$J$4:$J$1823,M$1)</f>
        <v>0</v>
      </c>
      <c r="N68" s="80">
        <f>SUMIFS('июнь 2024'!$G$4:$G$1823,'июнь 2024'!$D$4:$D$1823,$B68,'июнь 2024'!$J$4:$J$1823,N$1)</f>
        <v>0</v>
      </c>
      <c r="O68" s="80">
        <f>SUMIFS('июнь 2024'!$G$4:$G$1823,'июнь 2024'!$D$4:$D$1823,$B68,'июнь 2024'!$J$4:$J$1823,O$1)</f>
        <v>0</v>
      </c>
      <c r="P68" s="80">
        <f>SUMIFS('июнь 2024'!$G$4:$G$1823,'июнь 2024'!$D$4:$D$1823,$B68,'июнь 2024'!$J$4:$J$1823,P$1)</f>
        <v>0</v>
      </c>
      <c r="Q68" s="80">
        <f>SUMIFS('июнь 2024'!$G$4:$G$1823,'июнь 2024'!$D$4:$D$1823,$B68,'июнь 2024'!$J$4:$J$1823,Q$1)</f>
        <v>0</v>
      </c>
      <c r="R68" s="80">
        <f>SUMIFS('июнь 2024'!$G$4:$G$1823,'июнь 2024'!$D$4:$D$1823,$B68,'июнь 2024'!$J$4:$J$1823,R$1)</f>
        <v>0</v>
      </c>
      <c r="S68" s="80">
        <f>SUMIFS('июнь 2024'!$G$4:$G$1823,'июнь 2024'!$D$4:$D$1823,$B68,'июнь 2024'!$J$4:$J$1823,S$1)</f>
        <v>0</v>
      </c>
      <c r="T68" s="80">
        <f>SUMIFS('июнь 2024'!$G$4:$G$1823,'июнь 2024'!$D$4:$D$1823,$B68,'июнь 2024'!$J$4:$J$1823,T$1)</f>
        <v>0</v>
      </c>
      <c r="U68" s="80">
        <f>SUMIFS('июнь 2024'!$G$4:$G$1823,'июнь 2024'!$D$4:$D$1823,$B68,'июнь 2024'!$J$4:$J$1823,U$1)</f>
        <v>0</v>
      </c>
      <c r="V68" s="80">
        <f>SUMIFS('июнь 2024'!$G$4:$G$1823,'июнь 2024'!$D$4:$D$1823,$B68,'июнь 2024'!$J$4:$J$1823,V$1)</f>
        <v>0</v>
      </c>
      <c r="W68" s="80">
        <f>SUMIFS('июнь 2024'!$G$4:$G$1823,'июнь 2024'!$D$4:$D$1823,$B68,'июнь 2024'!$J$4:$J$1823,W$1)</f>
        <v>0</v>
      </c>
      <c r="X68" s="80">
        <f>SUMIFS('июнь 2024'!$G$4:$G$1823,'июнь 2024'!$D$4:$D$1823,$B68,'июнь 2024'!$J$4:$J$1823,X$1)</f>
        <v>0</v>
      </c>
      <c r="Y68" s="80">
        <f>SUMIFS('июнь 2024'!$G$4:$G$1823,'июнь 2024'!$D$4:$D$1823,$B68,'июнь 2024'!$J$4:$J$1823,Y$1)</f>
        <v>0</v>
      </c>
      <c r="Z68" s="80">
        <f>SUMIFS('июнь 2024'!$G$4:$G$1823,'июнь 2024'!$D$4:$D$1823,$B68,'июнь 2024'!$J$4:$J$1823,Z$1)</f>
        <v>0</v>
      </c>
      <c r="AA68" s="80">
        <f>SUMIFS('июнь 2024'!$G$4:$G$1823,'июнь 2024'!$D$4:$D$1823,$B68,'июнь 2024'!$J$4:$J$1823,AA$1)</f>
        <v>0</v>
      </c>
      <c r="AB68" s="80">
        <f>SUMIFS('июнь 2024'!$G$4:$G$1823,'июнь 2024'!$D$4:$D$1823,$B68,'июнь 2024'!$J$4:$J$1823,AB$1)</f>
        <v>0</v>
      </c>
      <c r="AC68" s="80">
        <f>SUMIFS('июнь 2024'!$G$4:$G$1823,'июнь 2024'!$D$4:$D$1823,$B68,'июнь 2024'!$J$4:$J$1823,AC$1)</f>
        <v>0</v>
      </c>
      <c r="AD68" s="80">
        <f>SUMIFS('июнь 2024'!$G$4:$G$1823,'июнь 2024'!$D$4:$D$1823,$B68,'июнь 2024'!$J$4:$J$1823,AD$1)</f>
        <v>0</v>
      </c>
      <c r="AE68" s="80">
        <f>SUMIFS('июнь 2024'!$G$4:$G$1823,'июнь 2024'!$D$4:$D$1823,$B68,'июнь 2024'!$J$4:$J$1823,AE$1)</f>
        <v>80</v>
      </c>
      <c r="AF68" s="80">
        <f>SUMIFS('июнь 2024'!$G$4:$G$1823,'июнь 2024'!$D$4:$D$1823,$B68,'июнь 2024'!$J$4:$J$1823,AF$1)</f>
        <v>0</v>
      </c>
      <c r="AG68" s="80">
        <f>SUMIFS('июнь 2024'!$G$4:$G$1823,'июнь 2024'!$D$4:$D$1823,$B68,'июнь 2024'!$J$4:$J$1823,AG$1)</f>
        <v>0</v>
      </c>
      <c r="AH68" s="80">
        <f>SUMIFS('июнь 2024'!$G$4:$G$1823,'июнь 2024'!$D$4:$D$1823,$B68,'июнь 2024'!$J$4:$J$1823,AH$1)</f>
        <v>0</v>
      </c>
      <c r="AI68" s="21">
        <f t="shared" si="1"/>
        <v>80</v>
      </c>
    </row>
    <row r="69" spans="2:35" ht="15" customHeight="1" x14ac:dyDescent="0.25">
      <c r="B69" s="93" t="s">
        <v>213</v>
      </c>
      <c r="C69" s="91">
        <v>200</v>
      </c>
      <c r="D69" s="80">
        <f>SUMIFS('июнь 2024'!$G$4:$G$1823,'июнь 2024'!$D$4:$D$1823,$B69,'июнь 2024'!$J$4:$J$1823,D$1)</f>
        <v>0</v>
      </c>
      <c r="E69" s="80">
        <f>SUMIFS('июнь 2024'!$G$4:$G$1823,'июнь 2024'!$D$4:$D$1823,$B69,'июнь 2024'!$J$4:$J$1823,E$1)</f>
        <v>0</v>
      </c>
      <c r="F69" s="80">
        <f>SUMIFS('июнь 2024'!$G$4:$G$1823,'июнь 2024'!$D$4:$D$1823,$B69,'июнь 2024'!$J$4:$J$1823,F$1)</f>
        <v>0</v>
      </c>
      <c r="G69" s="80">
        <f>SUMIFS('июнь 2024'!$G$4:$G$1823,'июнь 2024'!$D$4:$D$1823,$B69,'июнь 2024'!$J$4:$J$1823,G$1)</f>
        <v>0</v>
      </c>
      <c r="H69" s="80">
        <f>SUMIFS('июнь 2024'!$G$4:$G$1823,'июнь 2024'!$D$4:$D$1823,$B69,'июнь 2024'!$J$4:$J$1823,H$1)</f>
        <v>0</v>
      </c>
      <c r="I69" s="80">
        <f>SUMIFS('июнь 2024'!$G$4:$G$1823,'июнь 2024'!$D$4:$D$1823,$B69,'июнь 2024'!$J$4:$J$1823,I$1)</f>
        <v>0</v>
      </c>
      <c r="J69" s="80">
        <f>SUMIFS('июнь 2024'!$G$4:$G$1823,'июнь 2024'!$D$4:$D$1823,$B69,'июнь 2024'!$J$4:$J$1823,J$1)</f>
        <v>0</v>
      </c>
      <c r="K69" s="80">
        <f>SUMIFS('июнь 2024'!$G$4:$G$1823,'июнь 2024'!$D$4:$D$1823,$B69,'июнь 2024'!$J$4:$J$1823,K$1)</f>
        <v>0</v>
      </c>
      <c r="L69" s="80">
        <f>SUMIFS('июнь 2024'!$G$4:$G$1823,'июнь 2024'!$D$4:$D$1823,$B69,'июнь 2024'!$J$4:$J$1823,L$1)</f>
        <v>0</v>
      </c>
      <c r="M69" s="80">
        <f>SUMIFS('июнь 2024'!$G$4:$G$1823,'июнь 2024'!$D$4:$D$1823,$B69,'июнь 2024'!$J$4:$J$1823,M$1)</f>
        <v>0</v>
      </c>
      <c r="N69" s="80">
        <f>SUMIFS('июнь 2024'!$G$4:$G$1823,'июнь 2024'!$D$4:$D$1823,$B69,'июнь 2024'!$J$4:$J$1823,N$1)</f>
        <v>0</v>
      </c>
      <c r="O69" s="80">
        <f>SUMIFS('июнь 2024'!$G$4:$G$1823,'июнь 2024'!$D$4:$D$1823,$B69,'июнь 2024'!$J$4:$J$1823,O$1)</f>
        <v>0</v>
      </c>
      <c r="P69" s="80">
        <f>SUMIFS('июнь 2024'!$G$4:$G$1823,'июнь 2024'!$D$4:$D$1823,$B69,'июнь 2024'!$J$4:$J$1823,P$1)</f>
        <v>0</v>
      </c>
      <c r="Q69" s="80">
        <f>SUMIFS('июнь 2024'!$G$4:$G$1823,'июнь 2024'!$D$4:$D$1823,$B69,'июнь 2024'!$J$4:$J$1823,Q$1)</f>
        <v>0</v>
      </c>
      <c r="R69" s="80">
        <f>SUMIFS('июнь 2024'!$G$4:$G$1823,'июнь 2024'!$D$4:$D$1823,$B69,'июнь 2024'!$J$4:$J$1823,R$1)</f>
        <v>0</v>
      </c>
      <c r="S69" s="80">
        <f>SUMIFS('июнь 2024'!$G$4:$G$1823,'июнь 2024'!$D$4:$D$1823,$B69,'июнь 2024'!$J$4:$J$1823,S$1)</f>
        <v>0</v>
      </c>
      <c r="T69" s="80">
        <f>SUMIFS('июнь 2024'!$G$4:$G$1823,'июнь 2024'!$D$4:$D$1823,$B69,'июнь 2024'!$J$4:$J$1823,T$1)</f>
        <v>0</v>
      </c>
      <c r="U69" s="80">
        <f>SUMIFS('июнь 2024'!$G$4:$G$1823,'июнь 2024'!$D$4:$D$1823,$B69,'июнь 2024'!$J$4:$J$1823,U$1)</f>
        <v>0</v>
      </c>
      <c r="V69" s="80">
        <f>SUMIFS('июнь 2024'!$G$4:$G$1823,'июнь 2024'!$D$4:$D$1823,$B69,'июнь 2024'!$J$4:$J$1823,V$1)</f>
        <v>0</v>
      </c>
      <c r="W69" s="80">
        <f>SUMIFS('июнь 2024'!$G$4:$G$1823,'июнь 2024'!$D$4:$D$1823,$B69,'июнь 2024'!$J$4:$J$1823,W$1)</f>
        <v>0</v>
      </c>
      <c r="X69" s="80">
        <f>SUMIFS('июнь 2024'!$G$4:$G$1823,'июнь 2024'!$D$4:$D$1823,$B69,'июнь 2024'!$J$4:$J$1823,X$1)</f>
        <v>0</v>
      </c>
      <c r="Y69" s="80">
        <f>SUMIFS('июнь 2024'!$G$4:$G$1823,'июнь 2024'!$D$4:$D$1823,$B69,'июнь 2024'!$J$4:$J$1823,Y$1)</f>
        <v>0</v>
      </c>
      <c r="Z69" s="80">
        <f>SUMIFS('июнь 2024'!$G$4:$G$1823,'июнь 2024'!$D$4:$D$1823,$B69,'июнь 2024'!$J$4:$J$1823,Z$1)</f>
        <v>0</v>
      </c>
      <c r="AA69" s="80">
        <f>SUMIFS('июнь 2024'!$G$4:$G$1823,'июнь 2024'!$D$4:$D$1823,$B69,'июнь 2024'!$J$4:$J$1823,AA$1)</f>
        <v>0</v>
      </c>
      <c r="AB69" s="80">
        <f>SUMIFS('июнь 2024'!$G$4:$G$1823,'июнь 2024'!$D$4:$D$1823,$B69,'июнь 2024'!$J$4:$J$1823,AB$1)</f>
        <v>0</v>
      </c>
      <c r="AC69" s="80">
        <f>SUMIFS('июнь 2024'!$G$4:$G$1823,'июнь 2024'!$D$4:$D$1823,$B69,'июнь 2024'!$J$4:$J$1823,AC$1)</f>
        <v>0</v>
      </c>
      <c r="AD69" s="80">
        <f>SUMIFS('июнь 2024'!$G$4:$G$1823,'июнь 2024'!$D$4:$D$1823,$B69,'июнь 2024'!$J$4:$J$1823,AD$1)</f>
        <v>0</v>
      </c>
      <c r="AE69" s="80">
        <f>SUMIFS('июнь 2024'!$G$4:$G$1823,'июнь 2024'!$D$4:$D$1823,$B69,'июнь 2024'!$J$4:$J$1823,AE$1)</f>
        <v>0</v>
      </c>
      <c r="AF69" s="80">
        <f>SUMIFS('июнь 2024'!$G$4:$G$1823,'июнь 2024'!$D$4:$D$1823,$B69,'июнь 2024'!$J$4:$J$1823,AF$1)</f>
        <v>0</v>
      </c>
      <c r="AG69" s="80">
        <f>SUMIFS('июнь 2024'!$G$4:$G$1823,'июнь 2024'!$D$4:$D$1823,$B69,'июнь 2024'!$J$4:$J$1823,AG$1)</f>
        <v>0</v>
      </c>
      <c r="AH69" s="80">
        <f>SUMIFS('июнь 2024'!$G$4:$G$1823,'июнь 2024'!$D$4:$D$1823,$B69,'июнь 2024'!$J$4:$J$1823,AH$1)</f>
        <v>0</v>
      </c>
      <c r="AI69" s="21">
        <f t="shared" si="1"/>
        <v>0</v>
      </c>
    </row>
    <row r="70" spans="2:35" ht="15" customHeight="1" x14ac:dyDescent="0.25">
      <c r="B70" s="93" t="s">
        <v>197</v>
      </c>
      <c r="C70" s="91">
        <v>200</v>
      </c>
      <c r="D70" s="80">
        <f>SUMIFS('июнь 2024'!$G$4:$G$1823,'июнь 2024'!$D$4:$D$1823,$B70,'июнь 2024'!$J$4:$J$1823,D$1)</f>
        <v>0</v>
      </c>
      <c r="E70" s="80">
        <f>SUMIFS('июнь 2024'!$G$4:$G$1823,'июнь 2024'!$D$4:$D$1823,$B70,'июнь 2024'!$J$4:$J$1823,E$1)</f>
        <v>0</v>
      </c>
      <c r="F70" s="80">
        <f>SUMIFS('июнь 2024'!$G$4:$G$1823,'июнь 2024'!$D$4:$D$1823,$B70,'июнь 2024'!$J$4:$J$1823,F$1)</f>
        <v>0</v>
      </c>
      <c r="G70" s="80">
        <f>SUMIFS('июнь 2024'!$G$4:$G$1823,'июнь 2024'!$D$4:$D$1823,$B70,'июнь 2024'!$J$4:$J$1823,G$1)</f>
        <v>0</v>
      </c>
      <c r="H70" s="80">
        <f>SUMIFS('июнь 2024'!$G$4:$G$1823,'июнь 2024'!$D$4:$D$1823,$B70,'июнь 2024'!$J$4:$J$1823,H$1)</f>
        <v>0</v>
      </c>
      <c r="I70" s="80">
        <f>SUMIFS('июнь 2024'!$G$4:$G$1823,'июнь 2024'!$D$4:$D$1823,$B70,'июнь 2024'!$J$4:$J$1823,I$1)</f>
        <v>0</v>
      </c>
      <c r="J70" s="80">
        <f>SUMIFS('июнь 2024'!$G$4:$G$1823,'июнь 2024'!$D$4:$D$1823,$B70,'июнь 2024'!$J$4:$J$1823,J$1)</f>
        <v>0</v>
      </c>
      <c r="K70" s="80">
        <f>SUMIFS('июнь 2024'!$G$4:$G$1823,'июнь 2024'!$D$4:$D$1823,$B70,'июнь 2024'!$J$4:$J$1823,K$1)</f>
        <v>0</v>
      </c>
      <c r="L70" s="80">
        <f>SUMIFS('июнь 2024'!$G$4:$G$1823,'июнь 2024'!$D$4:$D$1823,$B70,'июнь 2024'!$J$4:$J$1823,L$1)</f>
        <v>0</v>
      </c>
      <c r="M70" s="80">
        <f>SUMIFS('июнь 2024'!$G$4:$G$1823,'июнь 2024'!$D$4:$D$1823,$B70,'июнь 2024'!$J$4:$J$1823,M$1)</f>
        <v>0</v>
      </c>
      <c r="N70" s="80">
        <f>SUMIFS('июнь 2024'!$G$4:$G$1823,'июнь 2024'!$D$4:$D$1823,$B70,'июнь 2024'!$J$4:$J$1823,N$1)</f>
        <v>0</v>
      </c>
      <c r="O70" s="80">
        <f>SUMIFS('июнь 2024'!$G$4:$G$1823,'июнь 2024'!$D$4:$D$1823,$B70,'июнь 2024'!$J$4:$J$1823,O$1)</f>
        <v>0</v>
      </c>
      <c r="P70" s="80">
        <f>SUMIFS('июнь 2024'!$G$4:$G$1823,'июнь 2024'!$D$4:$D$1823,$B70,'июнь 2024'!$J$4:$J$1823,P$1)</f>
        <v>0</v>
      </c>
      <c r="Q70" s="80">
        <f>SUMIFS('июнь 2024'!$G$4:$G$1823,'июнь 2024'!$D$4:$D$1823,$B70,'июнь 2024'!$J$4:$J$1823,Q$1)</f>
        <v>0</v>
      </c>
      <c r="R70" s="80">
        <f>SUMIFS('июнь 2024'!$G$4:$G$1823,'июнь 2024'!$D$4:$D$1823,$B70,'июнь 2024'!$J$4:$J$1823,R$1)</f>
        <v>0</v>
      </c>
      <c r="S70" s="80">
        <f>SUMIFS('июнь 2024'!$G$4:$G$1823,'июнь 2024'!$D$4:$D$1823,$B70,'июнь 2024'!$J$4:$J$1823,S$1)</f>
        <v>0</v>
      </c>
      <c r="T70" s="80">
        <f>SUMIFS('июнь 2024'!$G$4:$G$1823,'июнь 2024'!$D$4:$D$1823,$B70,'июнь 2024'!$J$4:$J$1823,T$1)</f>
        <v>0</v>
      </c>
      <c r="U70" s="80">
        <f>SUMIFS('июнь 2024'!$G$4:$G$1823,'июнь 2024'!$D$4:$D$1823,$B70,'июнь 2024'!$J$4:$J$1823,U$1)</f>
        <v>0</v>
      </c>
      <c r="V70" s="80">
        <f>SUMIFS('июнь 2024'!$G$4:$G$1823,'июнь 2024'!$D$4:$D$1823,$B70,'июнь 2024'!$J$4:$J$1823,V$1)</f>
        <v>0</v>
      </c>
      <c r="W70" s="80">
        <f>SUMIFS('июнь 2024'!$G$4:$G$1823,'июнь 2024'!$D$4:$D$1823,$B70,'июнь 2024'!$J$4:$J$1823,W$1)</f>
        <v>0</v>
      </c>
      <c r="X70" s="80">
        <f>SUMIFS('июнь 2024'!$G$4:$G$1823,'июнь 2024'!$D$4:$D$1823,$B70,'июнь 2024'!$J$4:$J$1823,X$1)</f>
        <v>0</v>
      </c>
      <c r="Y70" s="80">
        <f>SUMIFS('июнь 2024'!$G$4:$G$1823,'июнь 2024'!$D$4:$D$1823,$B70,'июнь 2024'!$J$4:$J$1823,Y$1)</f>
        <v>0</v>
      </c>
      <c r="Z70" s="80">
        <f>SUMIFS('июнь 2024'!$G$4:$G$1823,'июнь 2024'!$D$4:$D$1823,$B70,'июнь 2024'!$J$4:$J$1823,Z$1)</f>
        <v>0</v>
      </c>
      <c r="AA70" s="80">
        <f>SUMIFS('июнь 2024'!$G$4:$G$1823,'июнь 2024'!$D$4:$D$1823,$B70,'июнь 2024'!$J$4:$J$1823,AA$1)</f>
        <v>0</v>
      </c>
      <c r="AB70" s="80">
        <f>SUMIFS('июнь 2024'!$G$4:$G$1823,'июнь 2024'!$D$4:$D$1823,$B70,'июнь 2024'!$J$4:$J$1823,AB$1)</f>
        <v>0</v>
      </c>
      <c r="AC70" s="80">
        <f>SUMIFS('июнь 2024'!$G$4:$G$1823,'июнь 2024'!$D$4:$D$1823,$B70,'июнь 2024'!$J$4:$J$1823,AC$1)</f>
        <v>0</v>
      </c>
      <c r="AD70" s="80">
        <f>SUMIFS('июнь 2024'!$G$4:$G$1823,'июнь 2024'!$D$4:$D$1823,$B70,'июнь 2024'!$J$4:$J$1823,AD$1)</f>
        <v>0</v>
      </c>
      <c r="AE70" s="80">
        <f>SUMIFS('июнь 2024'!$G$4:$G$1823,'июнь 2024'!$D$4:$D$1823,$B70,'июнь 2024'!$J$4:$J$1823,AE$1)</f>
        <v>0</v>
      </c>
      <c r="AF70" s="80">
        <f>SUMIFS('июнь 2024'!$G$4:$G$1823,'июнь 2024'!$D$4:$D$1823,$B70,'июнь 2024'!$J$4:$J$1823,AF$1)</f>
        <v>0</v>
      </c>
      <c r="AG70" s="80">
        <f>SUMIFS('июнь 2024'!$G$4:$G$1823,'июнь 2024'!$D$4:$D$1823,$B70,'июнь 2024'!$J$4:$J$1823,AG$1)</f>
        <v>0</v>
      </c>
      <c r="AH70" s="80">
        <f>SUMIFS('июнь 2024'!$G$4:$G$1823,'июнь 2024'!$D$4:$D$1823,$B70,'июнь 2024'!$J$4:$J$1823,AH$1)</f>
        <v>0</v>
      </c>
      <c r="AI70" s="21">
        <f t="shared" si="1"/>
        <v>0</v>
      </c>
    </row>
    <row r="71" spans="2:35" ht="15" customHeight="1" x14ac:dyDescent="0.25">
      <c r="B71" s="93" t="s">
        <v>198</v>
      </c>
      <c r="C71" s="91">
        <v>200</v>
      </c>
      <c r="D71" s="80">
        <f>SUMIFS('июнь 2024'!$G$4:$G$1823,'июнь 2024'!$D$4:$D$1823,$B71,'июнь 2024'!$J$4:$J$1823,D$1)</f>
        <v>0</v>
      </c>
      <c r="E71" s="80">
        <f>SUMIFS('июнь 2024'!$G$4:$G$1823,'июнь 2024'!$D$4:$D$1823,$B71,'июнь 2024'!$J$4:$J$1823,E$1)</f>
        <v>0</v>
      </c>
      <c r="F71" s="80">
        <f>SUMIFS('июнь 2024'!$G$4:$G$1823,'июнь 2024'!$D$4:$D$1823,$B71,'июнь 2024'!$J$4:$J$1823,F$1)</f>
        <v>0</v>
      </c>
      <c r="G71" s="80">
        <f>SUMIFS('июнь 2024'!$G$4:$G$1823,'июнь 2024'!$D$4:$D$1823,$B71,'июнь 2024'!$J$4:$J$1823,G$1)</f>
        <v>0</v>
      </c>
      <c r="H71" s="80">
        <f>SUMIFS('июнь 2024'!$G$4:$G$1823,'июнь 2024'!$D$4:$D$1823,$B71,'июнь 2024'!$J$4:$J$1823,H$1)</f>
        <v>0</v>
      </c>
      <c r="I71" s="80">
        <f>SUMIFS('июнь 2024'!$G$4:$G$1823,'июнь 2024'!$D$4:$D$1823,$B71,'июнь 2024'!$J$4:$J$1823,I$1)</f>
        <v>0</v>
      </c>
      <c r="J71" s="80">
        <f>SUMIFS('июнь 2024'!$G$4:$G$1823,'июнь 2024'!$D$4:$D$1823,$B71,'июнь 2024'!$J$4:$J$1823,J$1)</f>
        <v>0</v>
      </c>
      <c r="K71" s="80">
        <f>SUMIFS('июнь 2024'!$G$4:$G$1823,'июнь 2024'!$D$4:$D$1823,$B71,'июнь 2024'!$J$4:$J$1823,K$1)</f>
        <v>0</v>
      </c>
      <c r="L71" s="80">
        <f>SUMIFS('июнь 2024'!$G$4:$G$1823,'июнь 2024'!$D$4:$D$1823,$B71,'июнь 2024'!$J$4:$J$1823,L$1)</f>
        <v>0</v>
      </c>
      <c r="M71" s="80">
        <f>SUMIFS('июнь 2024'!$G$4:$G$1823,'июнь 2024'!$D$4:$D$1823,$B71,'июнь 2024'!$J$4:$J$1823,M$1)</f>
        <v>0</v>
      </c>
      <c r="N71" s="80">
        <f>SUMIFS('июнь 2024'!$G$4:$G$1823,'июнь 2024'!$D$4:$D$1823,$B71,'июнь 2024'!$J$4:$J$1823,N$1)</f>
        <v>0</v>
      </c>
      <c r="O71" s="80">
        <f>SUMIFS('июнь 2024'!$G$4:$G$1823,'июнь 2024'!$D$4:$D$1823,$B71,'июнь 2024'!$J$4:$J$1823,O$1)</f>
        <v>0</v>
      </c>
      <c r="P71" s="80">
        <f>SUMIFS('июнь 2024'!$G$4:$G$1823,'июнь 2024'!$D$4:$D$1823,$B71,'июнь 2024'!$J$4:$J$1823,P$1)</f>
        <v>0</v>
      </c>
      <c r="Q71" s="80">
        <f>SUMIFS('июнь 2024'!$G$4:$G$1823,'июнь 2024'!$D$4:$D$1823,$B71,'июнь 2024'!$J$4:$J$1823,Q$1)</f>
        <v>0</v>
      </c>
      <c r="R71" s="80">
        <f>SUMIFS('июнь 2024'!$G$4:$G$1823,'июнь 2024'!$D$4:$D$1823,$B71,'июнь 2024'!$J$4:$J$1823,R$1)</f>
        <v>0</v>
      </c>
      <c r="S71" s="80">
        <f>SUMIFS('июнь 2024'!$G$4:$G$1823,'июнь 2024'!$D$4:$D$1823,$B71,'июнь 2024'!$J$4:$J$1823,S$1)</f>
        <v>0</v>
      </c>
      <c r="T71" s="80">
        <f>SUMIFS('июнь 2024'!$G$4:$G$1823,'июнь 2024'!$D$4:$D$1823,$B71,'июнь 2024'!$J$4:$J$1823,T$1)</f>
        <v>0</v>
      </c>
      <c r="U71" s="80">
        <f>SUMIFS('июнь 2024'!$G$4:$G$1823,'июнь 2024'!$D$4:$D$1823,$B71,'июнь 2024'!$J$4:$J$1823,U$1)</f>
        <v>0</v>
      </c>
      <c r="V71" s="80">
        <f>SUMIFS('июнь 2024'!$G$4:$G$1823,'июнь 2024'!$D$4:$D$1823,$B71,'июнь 2024'!$J$4:$J$1823,V$1)</f>
        <v>0</v>
      </c>
      <c r="W71" s="80">
        <f>SUMIFS('июнь 2024'!$G$4:$G$1823,'июнь 2024'!$D$4:$D$1823,$B71,'июнь 2024'!$J$4:$J$1823,W$1)</f>
        <v>0</v>
      </c>
      <c r="X71" s="80">
        <f>SUMIFS('июнь 2024'!$G$4:$G$1823,'июнь 2024'!$D$4:$D$1823,$B71,'июнь 2024'!$J$4:$J$1823,X$1)</f>
        <v>0</v>
      </c>
      <c r="Y71" s="80">
        <f>SUMIFS('июнь 2024'!$G$4:$G$1823,'июнь 2024'!$D$4:$D$1823,$B71,'июнь 2024'!$J$4:$J$1823,Y$1)</f>
        <v>0</v>
      </c>
      <c r="Z71" s="80">
        <f>SUMIFS('июнь 2024'!$G$4:$G$1823,'июнь 2024'!$D$4:$D$1823,$B71,'июнь 2024'!$J$4:$J$1823,Z$1)</f>
        <v>0</v>
      </c>
      <c r="AA71" s="80">
        <f>SUMIFS('июнь 2024'!$G$4:$G$1823,'июнь 2024'!$D$4:$D$1823,$B71,'июнь 2024'!$J$4:$J$1823,AA$1)</f>
        <v>0</v>
      </c>
      <c r="AB71" s="80">
        <f>SUMIFS('июнь 2024'!$G$4:$G$1823,'июнь 2024'!$D$4:$D$1823,$B71,'июнь 2024'!$J$4:$J$1823,AB$1)</f>
        <v>0</v>
      </c>
      <c r="AC71" s="80">
        <f>SUMIFS('июнь 2024'!$G$4:$G$1823,'июнь 2024'!$D$4:$D$1823,$B71,'июнь 2024'!$J$4:$J$1823,AC$1)</f>
        <v>0</v>
      </c>
      <c r="AD71" s="80">
        <f>SUMIFS('июнь 2024'!$G$4:$G$1823,'июнь 2024'!$D$4:$D$1823,$B71,'июнь 2024'!$J$4:$J$1823,AD$1)</f>
        <v>0</v>
      </c>
      <c r="AE71" s="80">
        <f>SUMIFS('июнь 2024'!$G$4:$G$1823,'июнь 2024'!$D$4:$D$1823,$B71,'июнь 2024'!$J$4:$J$1823,AE$1)</f>
        <v>0</v>
      </c>
      <c r="AF71" s="80">
        <f>SUMIFS('июнь 2024'!$G$4:$G$1823,'июнь 2024'!$D$4:$D$1823,$B71,'июнь 2024'!$J$4:$J$1823,AF$1)</f>
        <v>0</v>
      </c>
      <c r="AG71" s="80">
        <f>SUMIFS('июнь 2024'!$G$4:$G$1823,'июнь 2024'!$D$4:$D$1823,$B71,'июнь 2024'!$J$4:$J$1823,AG$1)</f>
        <v>0</v>
      </c>
      <c r="AH71" s="80">
        <f>SUMIFS('июнь 2024'!$G$4:$G$1823,'июнь 2024'!$D$4:$D$1823,$B71,'июнь 2024'!$J$4:$J$1823,AH$1)</f>
        <v>0</v>
      </c>
      <c r="AI71" s="21">
        <f t="shared" si="1"/>
        <v>0</v>
      </c>
    </row>
    <row r="72" spans="2:35" ht="15" customHeight="1" x14ac:dyDescent="0.25">
      <c r="B72" s="93" t="s">
        <v>320</v>
      </c>
      <c r="C72" s="91">
        <v>190</v>
      </c>
      <c r="D72" s="80">
        <f>SUMIFS('июнь 2024'!$G$4:$G$1823,'июнь 2024'!$D$4:$D$1823,$B72,'июнь 2024'!$J$4:$J$1823,D$1)</f>
        <v>0</v>
      </c>
      <c r="E72" s="80">
        <f>SUMIFS('июнь 2024'!$G$4:$G$1823,'июнь 2024'!$D$4:$D$1823,$B72,'июнь 2024'!$J$4:$J$1823,E$1)</f>
        <v>0</v>
      </c>
      <c r="F72" s="80">
        <f>SUMIFS('июнь 2024'!$G$4:$G$1823,'июнь 2024'!$D$4:$D$1823,$B72,'июнь 2024'!$J$4:$J$1823,F$1)</f>
        <v>0</v>
      </c>
      <c r="G72" s="80">
        <f>SUMIFS('июнь 2024'!$G$4:$G$1823,'июнь 2024'!$D$4:$D$1823,$B72,'июнь 2024'!$J$4:$J$1823,G$1)</f>
        <v>0</v>
      </c>
      <c r="H72" s="80">
        <f>SUMIFS('июнь 2024'!$G$4:$G$1823,'июнь 2024'!$D$4:$D$1823,$B72,'июнь 2024'!$J$4:$J$1823,H$1)</f>
        <v>0</v>
      </c>
      <c r="I72" s="80">
        <f>SUMIFS('июнь 2024'!$G$4:$G$1823,'июнь 2024'!$D$4:$D$1823,$B72,'июнь 2024'!$J$4:$J$1823,I$1)</f>
        <v>0</v>
      </c>
      <c r="J72" s="80">
        <f>SUMIFS('июнь 2024'!$G$4:$G$1823,'июнь 2024'!$D$4:$D$1823,$B72,'июнь 2024'!$J$4:$J$1823,J$1)</f>
        <v>0</v>
      </c>
      <c r="K72" s="80">
        <f>SUMIFS('июнь 2024'!$G$4:$G$1823,'июнь 2024'!$D$4:$D$1823,$B72,'июнь 2024'!$J$4:$J$1823,K$1)</f>
        <v>0</v>
      </c>
      <c r="L72" s="80">
        <f>SUMIFS('июнь 2024'!$G$4:$G$1823,'июнь 2024'!$D$4:$D$1823,$B72,'июнь 2024'!$J$4:$J$1823,L$1)</f>
        <v>0</v>
      </c>
      <c r="M72" s="80">
        <f>SUMIFS('июнь 2024'!$G$4:$G$1823,'июнь 2024'!$D$4:$D$1823,$B72,'июнь 2024'!$J$4:$J$1823,M$1)</f>
        <v>0</v>
      </c>
      <c r="N72" s="80">
        <f>SUMIFS('июнь 2024'!$G$4:$G$1823,'июнь 2024'!$D$4:$D$1823,$B72,'июнь 2024'!$J$4:$J$1823,N$1)</f>
        <v>0</v>
      </c>
      <c r="O72" s="80">
        <f>SUMIFS('июнь 2024'!$G$4:$G$1823,'июнь 2024'!$D$4:$D$1823,$B72,'июнь 2024'!$J$4:$J$1823,O$1)</f>
        <v>0</v>
      </c>
      <c r="P72" s="80">
        <f>SUMIFS('июнь 2024'!$G$4:$G$1823,'июнь 2024'!$D$4:$D$1823,$B72,'июнь 2024'!$J$4:$J$1823,P$1)</f>
        <v>0</v>
      </c>
      <c r="Q72" s="80">
        <f>SUMIFS('июнь 2024'!$G$4:$G$1823,'июнь 2024'!$D$4:$D$1823,$B72,'июнь 2024'!$J$4:$J$1823,Q$1)</f>
        <v>0</v>
      </c>
      <c r="R72" s="80">
        <f>SUMIFS('июнь 2024'!$G$4:$G$1823,'июнь 2024'!$D$4:$D$1823,$B72,'июнь 2024'!$J$4:$J$1823,R$1)</f>
        <v>0</v>
      </c>
      <c r="S72" s="80">
        <f>SUMIFS('июнь 2024'!$G$4:$G$1823,'июнь 2024'!$D$4:$D$1823,$B72,'июнь 2024'!$J$4:$J$1823,S$1)</f>
        <v>0</v>
      </c>
      <c r="T72" s="80">
        <f>SUMIFS('июнь 2024'!$G$4:$G$1823,'июнь 2024'!$D$4:$D$1823,$B72,'июнь 2024'!$J$4:$J$1823,T$1)</f>
        <v>0</v>
      </c>
      <c r="U72" s="80">
        <f>SUMIFS('июнь 2024'!$G$4:$G$1823,'июнь 2024'!$D$4:$D$1823,$B72,'июнь 2024'!$J$4:$J$1823,U$1)</f>
        <v>0</v>
      </c>
      <c r="V72" s="80">
        <f>SUMIFS('июнь 2024'!$G$4:$G$1823,'июнь 2024'!$D$4:$D$1823,$B72,'июнь 2024'!$J$4:$J$1823,V$1)</f>
        <v>0</v>
      </c>
      <c r="W72" s="80">
        <f>SUMIFS('июнь 2024'!$G$4:$G$1823,'июнь 2024'!$D$4:$D$1823,$B72,'июнь 2024'!$J$4:$J$1823,W$1)</f>
        <v>0</v>
      </c>
      <c r="X72" s="80">
        <f>SUMIFS('июнь 2024'!$G$4:$G$1823,'июнь 2024'!$D$4:$D$1823,$B72,'июнь 2024'!$J$4:$J$1823,X$1)</f>
        <v>0</v>
      </c>
      <c r="Y72" s="80">
        <f>SUMIFS('июнь 2024'!$G$4:$G$1823,'июнь 2024'!$D$4:$D$1823,$B72,'июнь 2024'!$J$4:$J$1823,Y$1)</f>
        <v>0</v>
      </c>
      <c r="Z72" s="80">
        <f>SUMIFS('июнь 2024'!$G$4:$G$1823,'июнь 2024'!$D$4:$D$1823,$B72,'июнь 2024'!$J$4:$J$1823,Z$1)</f>
        <v>0</v>
      </c>
      <c r="AA72" s="80">
        <f>SUMIFS('июнь 2024'!$G$4:$G$1823,'июнь 2024'!$D$4:$D$1823,$B72,'июнь 2024'!$J$4:$J$1823,AA$1)</f>
        <v>0</v>
      </c>
      <c r="AB72" s="80">
        <f>SUMIFS('июнь 2024'!$G$4:$G$1823,'июнь 2024'!$D$4:$D$1823,$B72,'июнь 2024'!$J$4:$J$1823,AB$1)</f>
        <v>0</v>
      </c>
      <c r="AC72" s="80">
        <f>SUMIFS('июнь 2024'!$G$4:$G$1823,'июнь 2024'!$D$4:$D$1823,$B72,'июнь 2024'!$J$4:$J$1823,AC$1)</f>
        <v>0</v>
      </c>
      <c r="AD72" s="80">
        <f>SUMIFS('июнь 2024'!$G$4:$G$1823,'июнь 2024'!$D$4:$D$1823,$B72,'июнь 2024'!$J$4:$J$1823,AD$1)</f>
        <v>0</v>
      </c>
      <c r="AE72" s="80">
        <f>SUMIFS('июнь 2024'!$G$4:$G$1823,'июнь 2024'!$D$4:$D$1823,$B72,'июнь 2024'!$J$4:$J$1823,AE$1)</f>
        <v>0</v>
      </c>
      <c r="AF72" s="80">
        <f>SUMIFS('июнь 2024'!$G$4:$G$1823,'июнь 2024'!$D$4:$D$1823,$B72,'июнь 2024'!$J$4:$J$1823,AF$1)</f>
        <v>0</v>
      </c>
      <c r="AG72" s="80">
        <f>SUMIFS('июнь 2024'!$G$4:$G$1823,'июнь 2024'!$D$4:$D$1823,$B72,'июнь 2024'!$J$4:$J$1823,AG$1)</f>
        <v>0</v>
      </c>
      <c r="AH72" s="80">
        <f>SUMIFS('июнь 2024'!$G$4:$G$1823,'июнь 2024'!$D$4:$D$1823,$B72,'июнь 2024'!$J$4:$J$1823,AH$1)</f>
        <v>0</v>
      </c>
      <c r="AI72" s="21">
        <f t="shared" si="1"/>
        <v>0</v>
      </c>
    </row>
    <row r="73" spans="2:35" ht="15" customHeight="1" x14ac:dyDescent="0.25">
      <c r="B73" s="93" t="s">
        <v>210</v>
      </c>
      <c r="C73" s="91">
        <v>200</v>
      </c>
      <c r="D73" s="80">
        <f>SUMIFS('июнь 2024'!$G$4:$G$1823,'июнь 2024'!$D$4:$D$1823,$B73,'июнь 2024'!$J$4:$J$1823,D$1)</f>
        <v>0</v>
      </c>
      <c r="E73" s="80">
        <f>SUMIFS('июнь 2024'!$G$4:$G$1823,'июнь 2024'!$D$4:$D$1823,$B73,'июнь 2024'!$J$4:$J$1823,E$1)</f>
        <v>0</v>
      </c>
      <c r="F73" s="80">
        <f>SUMIFS('июнь 2024'!$G$4:$G$1823,'июнь 2024'!$D$4:$D$1823,$B73,'июнь 2024'!$J$4:$J$1823,F$1)</f>
        <v>0</v>
      </c>
      <c r="G73" s="80">
        <f>SUMIFS('июнь 2024'!$G$4:$G$1823,'июнь 2024'!$D$4:$D$1823,$B73,'июнь 2024'!$J$4:$J$1823,G$1)</f>
        <v>0</v>
      </c>
      <c r="H73" s="80">
        <f>SUMIFS('июнь 2024'!$G$4:$G$1823,'июнь 2024'!$D$4:$D$1823,$B73,'июнь 2024'!$J$4:$J$1823,H$1)</f>
        <v>0</v>
      </c>
      <c r="I73" s="80">
        <f>SUMIFS('июнь 2024'!$G$4:$G$1823,'июнь 2024'!$D$4:$D$1823,$B73,'июнь 2024'!$J$4:$J$1823,I$1)</f>
        <v>0</v>
      </c>
      <c r="J73" s="80">
        <f>SUMIFS('июнь 2024'!$G$4:$G$1823,'июнь 2024'!$D$4:$D$1823,$B73,'июнь 2024'!$J$4:$J$1823,J$1)</f>
        <v>0</v>
      </c>
      <c r="K73" s="80">
        <f>SUMIFS('июнь 2024'!$G$4:$G$1823,'июнь 2024'!$D$4:$D$1823,$B73,'июнь 2024'!$J$4:$J$1823,K$1)</f>
        <v>0</v>
      </c>
      <c r="L73" s="80">
        <f>SUMIFS('июнь 2024'!$G$4:$G$1823,'июнь 2024'!$D$4:$D$1823,$B73,'июнь 2024'!$J$4:$J$1823,L$1)</f>
        <v>0</v>
      </c>
      <c r="M73" s="80">
        <f>SUMIFS('июнь 2024'!$G$4:$G$1823,'июнь 2024'!$D$4:$D$1823,$B73,'июнь 2024'!$J$4:$J$1823,M$1)</f>
        <v>0</v>
      </c>
      <c r="N73" s="80">
        <f>SUMIFS('июнь 2024'!$G$4:$G$1823,'июнь 2024'!$D$4:$D$1823,$B73,'июнь 2024'!$J$4:$J$1823,N$1)</f>
        <v>0</v>
      </c>
      <c r="O73" s="80">
        <f>SUMIFS('июнь 2024'!$G$4:$G$1823,'июнь 2024'!$D$4:$D$1823,$B73,'июнь 2024'!$J$4:$J$1823,O$1)</f>
        <v>0</v>
      </c>
      <c r="P73" s="80">
        <f>SUMIFS('июнь 2024'!$G$4:$G$1823,'июнь 2024'!$D$4:$D$1823,$B73,'июнь 2024'!$J$4:$J$1823,P$1)</f>
        <v>0</v>
      </c>
      <c r="Q73" s="80">
        <f>SUMIFS('июнь 2024'!$G$4:$G$1823,'июнь 2024'!$D$4:$D$1823,$B73,'июнь 2024'!$J$4:$J$1823,Q$1)</f>
        <v>0</v>
      </c>
      <c r="R73" s="80">
        <f>SUMIFS('июнь 2024'!$G$4:$G$1823,'июнь 2024'!$D$4:$D$1823,$B73,'июнь 2024'!$J$4:$J$1823,R$1)</f>
        <v>0</v>
      </c>
      <c r="S73" s="80">
        <f>SUMIFS('июнь 2024'!$G$4:$G$1823,'июнь 2024'!$D$4:$D$1823,$B73,'июнь 2024'!$J$4:$J$1823,S$1)</f>
        <v>0</v>
      </c>
      <c r="T73" s="80">
        <f>SUMIFS('июнь 2024'!$G$4:$G$1823,'июнь 2024'!$D$4:$D$1823,$B73,'июнь 2024'!$J$4:$J$1823,T$1)</f>
        <v>0</v>
      </c>
      <c r="U73" s="80">
        <f>SUMIFS('июнь 2024'!$G$4:$G$1823,'июнь 2024'!$D$4:$D$1823,$B73,'июнь 2024'!$J$4:$J$1823,U$1)</f>
        <v>0</v>
      </c>
      <c r="V73" s="80">
        <f>SUMIFS('июнь 2024'!$G$4:$G$1823,'июнь 2024'!$D$4:$D$1823,$B73,'июнь 2024'!$J$4:$J$1823,V$1)</f>
        <v>0</v>
      </c>
      <c r="W73" s="80">
        <f>SUMIFS('июнь 2024'!$G$4:$G$1823,'июнь 2024'!$D$4:$D$1823,$B73,'июнь 2024'!$J$4:$J$1823,W$1)</f>
        <v>0</v>
      </c>
      <c r="X73" s="80">
        <f>SUMIFS('июнь 2024'!$G$4:$G$1823,'июнь 2024'!$D$4:$D$1823,$B73,'июнь 2024'!$J$4:$J$1823,X$1)</f>
        <v>0</v>
      </c>
      <c r="Y73" s="80">
        <f>SUMIFS('июнь 2024'!$G$4:$G$1823,'июнь 2024'!$D$4:$D$1823,$B73,'июнь 2024'!$J$4:$J$1823,Y$1)</f>
        <v>0</v>
      </c>
      <c r="Z73" s="80">
        <f>SUMIFS('июнь 2024'!$G$4:$G$1823,'июнь 2024'!$D$4:$D$1823,$B73,'июнь 2024'!$J$4:$J$1823,Z$1)</f>
        <v>0</v>
      </c>
      <c r="AA73" s="80">
        <f>SUMIFS('июнь 2024'!$G$4:$G$1823,'июнь 2024'!$D$4:$D$1823,$B73,'июнь 2024'!$J$4:$J$1823,AA$1)</f>
        <v>0</v>
      </c>
      <c r="AB73" s="80">
        <f>SUMIFS('июнь 2024'!$G$4:$G$1823,'июнь 2024'!$D$4:$D$1823,$B73,'июнь 2024'!$J$4:$J$1823,AB$1)</f>
        <v>0</v>
      </c>
      <c r="AC73" s="80">
        <f>SUMIFS('июнь 2024'!$G$4:$G$1823,'июнь 2024'!$D$4:$D$1823,$B73,'июнь 2024'!$J$4:$J$1823,AC$1)</f>
        <v>0</v>
      </c>
      <c r="AD73" s="80">
        <f>SUMIFS('июнь 2024'!$G$4:$G$1823,'июнь 2024'!$D$4:$D$1823,$B73,'июнь 2024'!$J$4:$J$1823,AD$1)</f>
        <v>0</v>
      </c>
      <c r="AE73" s="80">
        <f>SUMIFS('июнь 2024'!$G$4:$G$1823,'июнь 2024'!$D$4:$D$1823,$B73,'июнь 2024'!$J$4:$J$1823,AE$1)</f>
        <v>0</v>
      </c>
      <c r="AF73" s="80">
        <f>SUMIFS('июнь 2024'!$G$4:$G$1823,'июнь 2024'!$D$4:$D$1823,$B73,'июнь 2024'!$J$4:$J$1823,AF$1)</f>
        <v>0</v>
      </c>
      <c r="AG73" s="80">
        <f>SUMIFS('июнь 2024'!$G$4:$G$1823,'июнь 2024'!$D$4:$D$1823,$B73,'июнь 2024'!$J$4:$J$1823,AG$1)</f>
        <v>0</v>
      </c>
      <c r="AH73" s="80">
        <f>SUMIFS('июнь 2024'!$G$4:$G$1823,'июнь 2024'!$D$4:$D$1823,$B73,'июнь 2024'!$J$4:$J$1823,AH$1)</f>
        <v>0</v>
      </c>
      <c r="AI73" s="21">
        <f t="shared" si="1"/>
        <v>0</v>
      </c>
    </row>
    <row r="74" spans="2:35" ht="15" customHeight="1" x14ac:dyDescent="0.25">
      <c r="B74" s="93" t="s">
        <v>221</v>
      </c>
      <c r="C74" s="91">
        <v>25</v>
      </c>
      <c r="D74" s="80">
        <f>SUMIFS('июнь 2024'!$G$4:$G$1823,'июнь 2024'!$D$4:$D$1823,$B74,'июнь 2024'!$J$4:$J$1823,D$1)</f>
        <v>0</v>
      </c>
      <c r="E74" s="80">
        <f>SUMIFS('июнь 2024'!$G$4:$G$1823,'июнь 2024'!$D$4:$D$1823,$B74,'июнь 2024'!$J$4:$J$1823,E$1)</f>
        <v>0</v>
      </c>
      <c r="F74" s="80">
        <f>SUMIFS('июнь 2024'!$G$4:$G$1823,'июнь 2024'!$D$4:$D$1823,$B74,'июнь 2024'!$J$4:$J$1823,F$1)</f>
        <v>0</v>
      </c>
      <c r="G74" s="80">
        <f>SUMIFS('июнь 2024'!$G$4:$G$1823,'июнь 2024'!$D$4:$D$1823,$B74,'июнь 2024'!$J$4:$J$1823,G$1)</f>
        <v>0</v>
      </c>
      <c r="H74" s="80">
        <f>SUMIFS('июнь 2024'!$G$4:$G$1823,'июнь 2024'!$D$4:$D$1823,$B74,'июнь 2024'!$J$4:$J$1823,H$1)</f>
        <v>0</v>
      </c>
      <c r="I74" s="80">
        <f>SUMIFS('июнь 2024'!$G$4:$G$1823,'июнь 2024'!$D$4:$D$1823,$B74,'июнь 2024'!$J$4:$J$1823,I$1)</f>
        <v>0</v>
      </c>
      <c r="J74" s="80">
        <f>SUMIFS('июнь 2024'!$G$4:$G$1823,'июнь 2024'!$D$4:$D$1823,$B74,'июнь 2024'!$J$4:$J$1823,J$1)</f>
        <v>0</v>
      </c>
      <c r="K74" s="80">
        <f>SUMIFS('июнь 2024'!$G$4:$G$1823,'июнь 2024'!$D$4:$D$1823,$B74,'июнь 2024'!$J$4:$J$1823,K$1)</f>
        <v>0</v>
      </c>
      <c r="L74" s="80">
        <f>SUMIFS('июнь 2024'!$G$4:$G$1823,'июнь 2024'!$D$4:$D$1823,$B74,'июнь 2024'!$J$4:$J$1823,L$1)</f>
        <v>0</v>
      </c>
      <c r="M74" s="80">
        <f>SUMIFS('июнь 2024'!$G$4:$G$1823,'июнь 2024'!$D$4:$D$1823,$B74,'июнь 2024'!$J$4:$J$1823,M$1)</f>
        <v>0</v>
      </c>
      <c r="N74" s="80">
        <f>SUMIFS('июнь 2024'!$G$4:$G$1823,'июнь 2024'!$D$4:$D$1823,$B74,'июнь 2024'!$J$4:$J$1823,N$1)</f>
        <v>0</v>
      </c>
      <c r="O74" s="80">
        <f>SUMIFS('июнь 2024'!$G$4:$G$1823,'июнь 2024'!$D$4:$D$1823,$B74,'июнь 2024'!$J$4:$J$1823,O$1)</f>
        <v>0</v>
      </c>
      <c r="P74" s="80">
        <f>SUMIFS('июнь 2024'!$G$4:$G$1823,'июнь 2024'!$D$4:$D$1823,$B74,'июнь 2024'!$J$4:$J$1823,P$1)</f>
        <v>0</v>
      </c>
      <c r="Q74" s="80">
        <f>SUMIFS('июнь 2024'!$G$4:$G$1823,'июнь 2024'!$D$4:$D$1823,$B74,'июнь 2024'!$J$4:$J$1823,Q$1)</f>
        <v>0</v>
      </c>
      <c r="R74" s="80">
        <f>SUMIFS('июнь 2024'!$G$4:$G$1823,'июнь 2024'!$D$4:$D$1823,$B74,'июнь 2024'!$J$4:$J$1823,R$1)</f>
        <v>0</v>
      </c>
      <c r="S74" s="80">
        <f>SUMIFS('июнь 2024'!$G$4:$G$1823,'июнь 2024'!$D$4:$D$1823,$B74,'июнь 2024'!$J$4:$J$1823,S$1)</f>
        <v>0</v>
      </c>
      <c r="T74" s="80">
        <f>SUMIFS('июнь 2024'!$G$4:$G$1823,'июнь 2024'!$D$4:$D$1823,$B74,'июнь 2024'!$J$4:$J$1823,T$1)</f>
        <v>0</v>
      </c>
      <c r="U74" s="80">
        <f>SUMIFS('июнь 2024'!$G$4:$G$1823,'июнь 2024'!$D$4:$D$1823,$B74,'июнь 2024'!$J$4:$J$1823,U$1)</f>
        <v>0</v>
      </c>
      <c r="V74" s="80">
        <f>SUMIFS('июнь 2024'!$G$4:$G$1823,'июнь 2024'!$D$4:$D$1823,$B74,'июнь 2024'!$J$4:$J$1823,V$1)</f>
        <v>0</v>
      </c>
      <c r="W74" s="80">
        <f>SUMIFS('июнь 2024'!$G$4:$G$1823,'июнь 2024'!$D$4:$D$1823,$B74,'июнь 2024'!$J$4:$J$1823,W$1)</f>
        <v>0</v>
      </c>
      <c r="X74" s="80">
        <f>SUMIFS('июнь 2024'!$G$4:$G$1823,'июнь 2024'!$D$4:$D$1823,$B74,'июнь 2024'!$J$4:$J$1823,X$1)</f>
        <v>0</v>
      </c>
      <c r="Y74" s="80">
        <f>SUMIFS('июнь 2024'!$G$4:$G$1823,'июнь 2024'!$D$4:$D$1823,$B74,'июнь 2024'!$J$4:$J$1823,Y$1)</f>
        <v>0</v>
      </c>
      <c r="Z74" s="80">
        <f>SUMIFS('июнь 2024'!$G$4:$G$1823,'июнь 2024'!$D$4:$D$1823,$B74,'июнь 2024'!$J$4:$J$1823,Z$1)</f>
        <v>0</v>
      </c>
      <c r="AA74" s="80">
        <f>SUMIFS('июнь 2024'!$G$4:$G$1823,'июнь 2024'!$D$4:$D$1823,$B74,'июнь 2024'!$J$4:$J$1823,AA$1)</f>
        <v>0</v>
      </c>
      <c r="AB74" s="80">
        <f>SUMIFS('июнь 2024'!$G$4:$G$1823,'июнь 2024'!$D$4:$D$1823,$B74,'июнь 2024'!$J$4:$J$1823,AB$1)</f>
        <v>0</v>
      </c>
      <c r="AC74" s="80">
        <f>SUMIFS('июнь 2024'!$G$4:$G$1823,'июнь 2024'!$D$4:$D$1823,$B74,'июнь 2024'!$J$4:$J$1823,AC$1)</f>
        <v>0</v>
      </c>
      <c r="AD74" s="80">
        <f>SUMIFS('июнь 2024'!$G$4:$G$1823,'июнь 2024'!$D$4:$D$1823,$B74,'июнь 2024'!$J$4:$J$1823,AD$1)</f>
        <v>0</v>
      </c>
      <c r="AE74" s="80">
        <f>SUMIFS('июнь 2024'!$G$4:$G$1823,'июнь 2024'!$D$4:$D$1823,$B74,'июнь 2024'!$J$4:$J$1823,AE$1)</f>
        <v>0</v>
      </c>
      <c r="AF74" s="80">
        <f>SUMIFS('июнь 2024'!$G$4:$G$1823,'июнь 2024'!$D$4:$D$1823,$B74,'июнь 2024'!$J$4:$J$1823,AF$1)</f>
        <v>0</v>
      </c>
      <c r="AG74" s="80">
        <f>SUMIFS('июнь 2024'!$G$4:$G$1823,'июнь 2024'!$D$4:$D$1823,$B74,'июнь 2024'!$J$4:$J$1823,AG$1)</f>
        <v>0</v>
      </c>
      <c r="AH74" s="80">
        <f>SUMIFS('июнь 2024'!$G$4:$G$1823,'июнь 2024'!$D$4:$D$1823,$B74,'июнь 2024'!$J$4:$J$1823,AH$1)</f>
        <v>0</v>
      </c>
      <c r="AI74" s="21">
        <f t="shared" si="1"/>
        <v>0</v>
      </c>
    </row>
    <row r="75" spans="2:35" ht="15" customHeight="1" x14ac:dyDescent="0.25">
      <c r="B75" s="93" t="s">
        <v>188</v>
      </c>
      <c r="C75" s="91">
        <v>50</v>
      </c>
      <c r="D75" s="80">
        <f>SUMIFS('июнь 2024'!$G$4:$G$1823,'июнь 2024'!$D$4:$D$1823,$B75,'июнь 2024'!$J$4:$J$1823,D$1)</f>
        <v>0</v>
      </c>
      <c r="E75" s="80">
        <f>SUMIFS('июнь 2024'!$G$4:$G$1823,'июнь 2024'!$D$4:$D$1823,$B75,'июнь 2024'!$J$4:$J$1823,E$1)</f>
        <v>0</v>
      </c>
      <c r="F75" s="80">
        <f>SUMIFS('июнь 2024'!$G$4:$G$1823,'июнь 2024'!$D$4:$D$1823,$B75,'июнь 2024'!$J$4:$J$1823,F$1)</f>
        <v>0</v>
      </c>
      <c r="G75" s="80">
        <f>SUMIFS('июнь 2024'!$G$4:$G$1823,'июнь 2024'!$D$4:$D$1823,$B75,'июнь 2024'!$J$4:$J$1823,G$1)</f>
        <v>0</v>
      </c>
      <c r="H75" s="80">
        <f>SUMIFS('июнь 2024'!$G$4:$G$1823,'июнь 2024'!$D$4:$D$1823,$B75,'июнь 2024'!$J$4:$J$1823,H$1)</f>
        <v>0</v>
      </c>
      <c r="I75" s="80">
        <f>SUMIFS('июнь 2024'!$G$4:$G$1823,'июнь 2024'!$D$4:$D$1823,$B75,'июнь 2024'!$J$4:$J$1823,I$1)</f>
        <v>0</v>
      </c>
      <c r="J75" s="80">
        <f>SUMIFS('июнь 2024'!$G$4:$G$1823,'июнь 2024'!$D$4:$D$1823,$B75,'июнь 2024'!$J$4:$J$1823,J$1)</f>
        <v>0</v>
      </c>
      <c r="K75" s="80">
        <f>SUMIFS('июнь 2024'!$G$4:$G$1823,'июнь 2024'!$D$4:$D$1823,$B75,'июнь 2024'!$J$4:$J$1823,K$1)</f>
        <v>0</v>
      </c>
      <c r="L75" s="80">
        <f>SUMIFS('июнь 2024'!$G$4:$G$1823,'июнь 2024'!$D$4:$D$1823,$B75,'июнь 2024'!$J$4:$J$1823,L$1)</f>
        <v>0</v>
      </c>
      <c r="M75" s="80">
        <f>SUMIFS('июнь 2024'!$G$4:$G$1823,'июнь 2024'!$D$4:$D$1823,$B75,'июнь 2024'!$J$4:$J$1823,M$1)</f>
        <v>0</v>
      </c>
      <c r="N75" s="80">
        <f>SUMIFS('июнь 2024'!$G$4:$G$1823,'июнь 2024'!$D$4:$D$1823,$B75,'июнь 2024'!$J$4:$J$1823,N$1)</f>
        <v>0</v>
      </c>
      <c r="O75" s="80">
        <f>SUMIFS('июнь 2024'!$G$4:$G$1823,'июнь 2024'!$D$4:$D$1823,$B75,'июнь 2024'!$J$4:$J$1823,O$1)</f>
        <v>0</v>
      </c>
      <c r="P75" s="80">
        <f>SUMIFS('июнь 2024'!$G$4:$G$1823,'июнь 2024'!$D$4:$D$1823,$B75,'июнь 2024'!$J$4:$J$1823,P$1)</f>
        <v>0</v>
      </c>
      <c r="Q75" s="80">
        <f>SUMIFS('июнь 2024'!$G$4:$G$1823,'июнь 2024'!$D$4:$D$1823,$B75,'июнь 2024'!$J$4:$J$1823,Q$1)</f>
        <v>0</v>
      </c>
      <c r="R75" s="80">
        <f>SUMIFS('июнь 2024'!$G$4:$G$1823,'июнь 2024'!$D$4:$D$1823,$B75,'июнь 2024'!$J$4:$J$1823,R$1)</f>
        <v>0</v>
      </c>
      <c r="S75" s="80">
        <f>SUMIFS('июнь 2024'!$G$4:$G$1823,'июнь 2024'!$D$4:$D$1823,$B75,'июнь 2024'!$J$4:$J$1823,S$1)</f>
        <v>0</v>
      </c>
      <c r="T75" s="80">
        <f>SUMIFS('июнь 2024'!$G$4:$G$1823,'июнь 2024'!$D$4:$D$1823,$B75,'июнь 2024'!$J$4:$J$1823,T$1)</f>
        <v>0</v>
      </c>
      <c r="U75" s="80">
        <f>SUMIFS('июнь 2024'!$G$4:$G$1823,'июнь 2024'!$D$4:$D$1823,$B75,'июнь 2024'!$J$4:$J$1823,U$1)</f>
        <v>0</v>
      </c>
      <c r="V75" s="80">
        <f>SUMIFS('июнь 2024'!$G$4:$G$1823,'июнь 2024'!$D$4:$D$1823,$B75,'июнь 2024'!$J$4:$J$1823,V$1)</f>
        <v>0</v>
      </c>
      <c r="W75" s="80">
        <f>SUMIFS('июнь 2024'!$G$4:$G$1823,'июнь 2024'!$D$4:$D$1823,$B75,'июнь 2024'!$J$4:$J$1823,W$1)</f>
        <v>0</v>
      </c>
      <c r="X75" s="80">
        <f>SUMIFS('июнь 2024'!$G$4:$G$1823,'июнь 2024'!$D$4:$D$1823,$B75,'июнь 2024'!$J$4:$J$1823,X$1)</f>
        <v>0</v>
      </c>
      <c r="Y75" s="80">
        <f>SUMIFS('июнь 2024'!$G$4:$G$1823,'июнь 2024'!$D$4:$D$1823,$B75,'июнь 2024'!$J$4:$J$1823,Y$1)</f>
        <v>0</v>
      </c>
      <c r="Z75" s="80">
        <f>SUMIFS('июнь 2024'!$G$4:$G$1823,'июнь 2024'!$D$4:$D$1823,$B75,'июнь 2024'!$J$4:$J$1823,Z$1)</f>
        <v>0</v>
      </c>
      <c r="AA75" s="80">
        <f>SUMIFS('июнь 2024'!$G$4:$G$1823,'июнь 2024'!$D$4:$D$1823,$B75,'июнь 2024'!$J$4:$J$1823,AA$1)</f>
        <v>0</v>
      </c>
      <c r="AB75" s="80">
        <f>SUMIFS('июнь 2024'!$G$4:$G$1823,'июнь 2024'!$D$4:$D$1823,$B75,'июнь 2024'!$J$4:$J$1823,AB$1)</f>
        <v>0</v>
      </c>
      <c r="AC75" s="80">
        <f>SUMIFS('июнь 2024'!$G$4:$G$1823,'июнь 2024'!$D$4:$D$1823,$B75,'июнь 2024'!$J$4:$J$1823,AC$1)</f>
        <v>0</v>
      </c>
      <c r="AD75" s="80">
        <f>SUMIFS('июнь 2024'!$G$4:$G$1823,'июнь 2024'!$D$4:$D$1823,$B75,'июнь 2024'!$J$4:$J$1823,AD$1)</f>
        <v>0</v>
      </c>
      <c r="AE75" s="80">
        <f>SUMIFS('июнь 2024'!$G$4:$G$1823,'июнь 2024'!$D$4:$D$1823,$B75,'июнь 2024'!$J$4:$J$1823,AE$1)</f>
        <v>0</v>
      </c>
      <c r="AF75" s="80">
        <f>SUMIFS('июнь 2024'!$G$4:$G$1823,'июнь 2024'!$D$4:$D$1823,$B75,'июнь 2024'!$J$4:$J$1823,AF$1)</f>
        <v>0</v>
      </c>
      <c r="AG75" s="80">
        <f>SUMIFS('июнь 2024'!$G$4:$G$1823,'июнь 2024'!$D$4:$D$1823,$B75,'июнь 2024'!$J$4:$J$1823,AG$1)</f>
        <v>0</v>
      </c>
      <c r="AH75" s="80">
        <f>SUMIFS('июнь 2024'!$G$4:$G$1823,'июнь 2024'!$D$4:$D$1823,$B75,'июнь 2024'!$J$4:$J$1823,AH$1)</f>
        <v>0</v>
      </c>
      <c r="AI75" s="21">
        <f t="shared" si="1"/>
        <v>0</v>
      </c>
    </row>
    <row r="76" spans="2:35" ht="15" customHeight="1" x14ac:dyDescent="0.25">
      <c r="B76" s="93" t="s">
        <v>173</v>
      </c>
      <c r="C76" s="91">
        <v>200</v>
      </c>
      <c r="D76" s="80">
        <f>SUMIFS('июнь 2024'!$G$4:$G$1823,'июнь 2024'!$D$4:$D$1823,$B76,'июнь 2024'!$J$4:$J$1823,D$1)</f>
        <v>0</v>
      </c>
      <c r="E76" s="80">
        <f>SUMIFS('июнь 2024'!$G$4:$G$1823,'июнь 2024'!$D$4:$D$1823,$B76,'июнь 2024'!$J$4:$J$1823,E$1)</f>
        <v>0</v>
      </c>
      <c r="F76" s="80">
        <f>SUMIFS('июнь 2024'!$G$4:$G$1823,'июнь 2024'!$D$4:$D$1823,$B76,'июнь 2024'!$J$4:$J$1823,F$1)</f>
        <v>0</v>
      </c>
      <c r="G76" s="80">
        <f>SUMIFS('июнь 2024'!$G$4:$G$1823,'июнь 2024'!$D$4:$D$1823,$B76,'июнь 2024'!$J$4:$J$1823,G$1)</f>
        <v>0</v>
      </c>
      <c r="H76" s="80">
        <f>SUMIFS('июнь 2024'!$G$4:$G$1823,'июнь 2024'!$D$4:$D$1823,$B76,'июнь 2024'!$J$4:$J$1823,H$1)</f>
        <v>0</v>
      </c>
      <c r="I76" s="80">
        <f>SUMIFS('июнь 2024'!$G$4:$G$1823,'июнь 2024'!$D$4:$D$1823,$B76,'июнь 2024'!$J$4:$J$1823,I$1)</f>
        <v>0</v>
      </c>
      <c r="J76" s="80">
        <f>SUMIFS('июнь 2024'!$G$4:$G$1823,'июнь 2024'!$D$4:$D$1823,$B76,'июнь 2024'!$J$4:$J$1823,J$1)</f>
        <v>0</v>
      </c>
      <c r="K76" s="80">
        <f>SUMIFS('июнь 2024'!$G$4:$G$1823,'июнь 2024'!$D$4:$D$1823,$B76,'июнь 2024'!$J$4:$J$1823,K$1)</f>
        <v>0</v>
      </c>
      <c r="L76" s="80">
        <f>SUMIFS('июнь 2024'!$G$4:$G$1823,'июнь 2024'!$D$4:$D$1823,$B76,'июнь 2024'!$J$4:$J$1823,L$1)</f>
        <v>0</v>
      </c>
      <c r="M76" s="80">
        <f>SUMIFS('июнь 2024'!$G$4:$G$1823,'июнь 2024'!$D$4:$D$1823,$B76,'июнь 2024'!$J$4:$J$1823,M$1)</f>
        <v>0</v>
      </c>
      <c r="N76" s="80">
        <f>SUMIFS('июнь 2024'!$G$4:$G$1823,'июнь 2024'!$D$4:$D$1823,$B76,'июнь 2024'!$J$4:$J$1823,N$1)</f>
        <v>0</v>
      </c>
      <c r="O76" s="80">
        <f>SUMIFS('июнь 2024'!$G$4:$G$1823,'июнь 2024'!$D$4:$D$1823,$B76,'июнь 2024'!$J$4:$J$1823,O$1)</f>
        <v>0</v>
      </c>
      <c r="P76" s="80">
        <f>SUMIFS('июнь 2024'!$G$4:$G$1823,'июнь 2024'!$D$4:$D$1823,$B76,'июнь 2024'!$J$4:$J$1823,P$1)</f>
        <v>0</v>
      </c>
      <c r="Q76" s="80">
        <f>SUMIFS('июнь 2024'!$G$4:$G$1823,'июнь 2024'!$D$4:$D$1823,$B76,'июнь 2024'!$J$4:$J$1823,Q$1)</f>
        <v>0</v>
      </c>
      <c r="R76" s="80">
        <f>SUMIFS('июнь 2024'!$G$4:$G$1823,'июнь 2024'!$D$4:$D$1823,$B76,'июнь 2024'!$J$4:$J$1823,R$1)</f>
        <v>0</v>
      </c>
      <c r="S76" s="80">
        <f>SUMIFS('июнь 2024'!$G$4:$G$1823,'июнь 2024'!$D$4:$D$1823,$B76,'июнь 2024'!$J$4:$J$1823,S$1)</f>
        <v>0</v>
      </c>
      <c r="T76" s="80">
        <f>SUMIFS('июнь 2024'!$G$4:$G$1823,'июнь 2024'!$D$4:$D$1823,$B76,'июнь 2024'!$J$4:$J$1823,T$1)</f>
        <v>0</v>
      </c>
      <c r="U76" s="80">
        <f>SUMIFS('июнь 2024'!$G$4:$G$1823,'июнь 2024'!$D$4:$D$1823,$B76,'июнь 2024'!$J$4:$J$1823,U$1)</f>
        <v>0</v>
      </c>
      <c r="V76" s="80">
        <f>SUMIFS('июнь 2024'!$G$4:$G$1823,'июнь 2024'!$D$4:$D$1823,$B76,'июнь 2024'!$J$4:$J$1823,V$1)</f>
        <v>0</v>
      </c>
      <c r="W76" s="80">
        <f>SUMIFS('июнь 2024'!$G$4:$G$1823,'июнь 2024'!$D$4:$D$1823,$B76,'июнь 2024'!$J$4:$J$1823,W$1)</f>
        <v>0</v>
      </c>
      <c r="X76" s="80">
        <f>SUMIFS('июнь 2024'!$G$4:$G$1823,'июнь 2024'!$D$4:$D$1823,$B76,'июнь 2024'!$J$4:$J$1823,X$1)</f>
        <v>0</v>
      </c>
      <c r="Y76" s="80">
        <f>SUMIFS('июнь 2024'!$G$4:$G$1823,'июнь 2024'!$D$4:$D$1823,$B76,'июнь 2024'!$J$4:$J$1823,Y$1)</f>
        <v>0</v>
      </c>
      <c r="Z76" s="80">
        <f>SUMIFS('июнь 2024'!$G$4:$G$1823,'июнь 2024'!$D$4:$D$1823,$B76,'июнь 2024'!$J$4:$J$1823,Z$1)</f>
        <v>0</v>
      </c>
      <c r="AA76" s="80">
        <f>SUMIFS('июнь 2024'!$G$4:$G$1823,'июнь 2024'!$D$4:$D$1823,$B76,'июнь 2024'!$J$4:$J$1823,AA$1)</f>
        <v>0</v>
      </c>
      <c r="AB76" s="80">
        <f>SUMIFS('июнь 2024'!$G$4:$G$1823,'июнь 2024'!$D$4:$D$1823,$B76,'июнь 2024'!$J$4:$J$1823,AB$1)</f>
        <v>0</v>
      </c>
      <c r="AC76" s="80">
        <f>SUMIFS('июнь 2024'!$G$4:$G$1823,'июнь 2024'!$D$4:$D$1823,$B76,'июнь 2024'!$J$4:$J$1823,AC$1)</f>
        <v>0</v>
      </c>
      <c r="AD76" s="80">
        <f>SUMIFS('июнь 2024'!$G$4:$G$1823,'июнь 2024'!$D$4:$D$1823,$B76,'июнь 2024'!$J$4:$J$1823,AD$1)</f>
        <v>0</v>
      </c>
      <c r="AE76" s="80">
        <f>SUMIFS('июнь 2024'!$G$4:$G$1823,'июнь 2024'!$D$4:$D$1823,$B76,'июнь 2024'!$J$4:$J$1823,AE$1)</f>
        <v>0</v>
      </c>
      <c r="AF76" s="80">
        <f>SUMIFS('июнь 2024'!$G$4:$G$1823,'июнь 2024'!$D$4:$D$1823,$B76,'июнь 2024'!$J$4:$J$1823,AF$1)</f>
        <v>0</v>
      </c>
      <c r="AG76" s="80">
        <f>SUMIFS('июнь 2024'!$G$4:$G$1823,'июнь 2024'!$D$4:$D$1823,$B76,'июнь 2024'!$J$4:$J$1823,AG$1)</f>
        <v>0</v>
      </c>
      <c r="AH76" s="80">
        <f>SUMIFS('июнь 2024'!$G$4:$G$1823,'июнь 2024'!$D$4:$D$1823,$B76,'июнь 2024'!$J$4:$J$1823,AH$1)</f>
        <v>0</v>
      </c>
      <c r="AI76" s="21">
        <f t="shared" si="1"/>
        <v>0</v>
      </c>
    </row>
    <row r="77" spans="2:35" ht="15" customHeight="1" x14ac:dyDescent="0.25">
      <c r="B77" s="93" t="s">
        <v>174</v>
      </c>
      <c r="C77" s="91">
        <v>200</v>
      </c>
      <c r="D77" s="80">
        <f>SUMIFS('июнь 2024'!$G$4:$G$1823,'июнь 2024'!$D$4:$D$1823,$B77,'июнь 2024'!$J$4:$J$1823,D$1)</f>
        <v>0</v>
      </c>
      <c r="E77" s="80">
        <f>SUMIFS('июнь 2024'!$G$4:$G$1823,'июнь 2024'!$D$4:$D$1823,$B77,'июнь 2024'!$J$4:$J$1823,E$1)</f>
        <v>0</v>
      </c>
      <c r="F77" s="80">
        <f>SUMIFS('июнь 2024'!$G$4:$G$1823,'июнь 2024'!$D$4:$D$1823,$B77,'июнь 2024'!$J$4:$J$1823,F$1)</f>
        <v>0</v>
      </c>
      <c r="G77" s="80">
        <f>SUMIFS('июнь 2024'!$G$4:$G$1823,'июнь 2024'!$D$4:$D$1823,$B77,'июнь 2024'!$J$4:$J$1823,G$1)</f>
        <v>0</v>
      </c>
      <c r="H77" s="80">
        <f>SUMIFS('июнь 2024'!$G$4:$G$1823,'июнь 2024'!$D$4:$D$1823,$B77,'июнь 2024'!$J$4:$J$1823,H$1)</f>
        <v>88</v>
      </c>
      <c r="I77" s="80">
        <f>SUMIFS('июнь 2024'!$G$4:$G$1823,'июнь 2024'!$D$4:$D$1823,$B77,'июнь 2024'!$J$4:$J$1823,I$1)</f>
        <v>0</v>
      </c>
      <c r="J77" s="80">
        <f>SUMIFS('июнь 2024'!$G$4:$G$1823,'июнь 2024'!$D$4:$D$1823,$B77,'июнь 2024'!$J$4:$J$1823,J$1)</f>
        <v>0</v>
      </c>
      <c r="K77" s="80">
        <f>SUMIFS('июнь 2024'!$G$4:$G$1823,'июнь 2024'!$D$4:$D$1823,$B77,'июнь 2024'!$J$4:$J$1823,K$1)</f>
        <v>0</v>
      </c>
      <c r="L77" s="80">
        <f>SUMIFS('июнь 2024'!$G$4:$G$1823,'июнь 2024'!$D$4:$D$1823,$B77,'июнь 2024'!$J$4:$J$1823,L$1)</f>
        <v>0</v>
      </c>
      <c r="M77" s="80">
        <f>SUMIFS('июнь 2024'!$G$4:$G$1823,'июнь 2024'!$D$4:$D$1823,$B77,'июнь 2024'!$J$4:$J$1823,M$1)</f>
        <v>0</v>
      </c>
      <c r="N77" s="80">
        <f>SUMIFS('июнь 2024'!$G$4:$G$1823,'июнь 2024'!$D$4:$D$1823,$B77,'июнь 2024'!$J$4:$J$1823,N$1)</f>
        <v>0</v>
      </c>
      <c r="O77" s="80">
        <f>SUMIFS('июнь 2024'!$G$4:$G$1823,'июнь 2024'!$D$4:$D$1823,$B77,'июнь 2024'!$J$4:$J$1823,O$1)</f>
        <v>0</v>
      </c>
      <c r="P77" s="80">
        <f>SUMIFS('июнь 2024'!$G$4:$G$1823,'июнь 2024'!$D$4:$D$1823,$B77,'июнь 2024'!$J$4:$J$1823,P$1)</f>
        <v>0</v>
      </c>
      <c r="Q77" s="80">
        <f>SUMIFS('июнь 2024'!$G$4:$G$1823,'июнь 2024'!$D$4:$D$1823,$B77,'июнь 2024'!$J$4:$J$1823,Q$1)</f>
        <v>88</v>
      </c>
      <c r="R77" s="80">
        <f>SUMIFS('июнь 2024'!$G$4:$G$1823,'июнь 2024'!$D$4:$D$1823,$B77,'июнь 2024'!$J$4:$J$1823,R$1)</f>
        <v>0</v>
      </c>
      <c r="S77" s="80">
        <f>SUMIFS('июнь 2024'!$G$4:$G$1823,'июнь 2024'!$D$4:$D$1823,$B77,'июнь 2024'!$J$4:$J$1823,S$1)</f>
        <v>0</v>
      </c>
      <c r="T77" s="80">
        <f>SUMIFS('июнь 2024'!$G$4:$G$1823,'июнь 2024'!$D$4:$D$1823,$B77,'июнь 2024'!$J$4:$J$1823,T$1)</f>
        <v>0</v>
      </c>
      <c r="U77" s="80">
        <f>SUMIFS('июнь 2024'!$G$4:$G$1823,'июнь 2024'!$D$4:$D$1823,$B77,'июнь 2024'!$J$4:$J$1823,U$1)</f>
        <v>0</v>
      </c>
      <c r="V77" s="80">
        <f>SUMIFS('июнь 2024'!$G$4:$G$1823,'июнь 2024'!$D$4:$D$1823,$B77,'июнь 2024'!$J$4:$J$1823,V$1)</f>
        <v>88</v>
      </c>
      <c r="W77" s="80">
        <f>SUMIFS('июнь 2024'!$G$4:$G$1823,'июнь 2024'!$D$4:$D$1823,$B77,'июнь 2024'!$J$4:$J$1823,W$1)</f>
        <v>0</v>
      </c>
      <c r="X77" s="80">
        <f>SUMIFS('июнь 2024'!$G$4:$G$1823,'июнь 2024'!$D$4:$D$1823,$B77,'июнь 2024'!$J$4:$J$1823,X$1)</f>
        <v>88</v>
      </c>
      <c r="Y77" s="80">
        <f>SUMIFS('июнь 2024'!$G$4:$G$1823,'июнь 2024'!$D$4:$D$1823,$B77,'июнь 2024'!$J$4:$J$1823,Y$1)</f>
        <v>0</v>
      </c>
      <c r="Z77" s="80">
        <f>SUMIFS('июнь 2024'!$G$4:$G$1823,'июнь 2024'!$D$4:$D$1823,$B77,'июнь 2024'!$J$4:$J$1823,Z$1)</f>
        <v>0</v>
      </c>
      <c r="AA77" s="80">
        <f>SUMIFS('июнь 2024'!$G$4:$G$1823,'июнь 2024'!$D$4:$D$1823,$B77,'июнь 2024'!$J$4:$J$1823,AA$1)</f>
        <v>88</v>
      </c>
      <c r="AB77" s="80">
        <f>SUMIFS('июнь 2024'!$G$4:$G$1823,'июнь 2024'!$D$4:$D$1823,$B77,'июнь 2024'!$J$4:$J$1823,AB$1)</f>
        <v>0</v>
      </c>
      <c r="AC77" s="80">
        <f>SUMIFS('июнь 2024'!$G$4:$G$1823,'июнь 2024'!$D$4:$D$1823,$B77,'июнь 2024'!$J$4:$J$1823,AC$1)</f>
        <v>0</v>
      </c>
      <c r="AD77" s="80">
        <f>SUMIFS('июнь 2024'!$G$4:$G$1823,'июнь 2024'!$D$4:$D$1823,$B77,'июнь 2024'!$J$4:$J$1823,AD$1)</f>
        <v>0</v>
      </c>
      <c r="AE77" s="80">
        <f>SUMIFS('июнь 2024'!$G$4:$G$1823,'июнь 2024'!$D$4:$D$1823,$B77,'июнь 2024'!$J$4:$J$1823,AE$1)</f>
        <v>0</v>
      </c>
      <c r="AF77" s="80">
        <f>SUMIFS('июнь 2024'!$G$4:$G$1823,'июнь 2024'!$D$4:$D$1823,$B77,'июнь 2024'!$J$4:$J$1823,AF$1)</f>
        <v>0</v>
      </c>
      <c r="AG77" s="80">
        <f>SUMIFS('июнь 2024'!$G$4:$G$1823,'июнь 2024'!$D$4:$D$1823,$B77,'июнь 2024'!$J$4:$J$1823,AG$1)</f>
        <v>0</v>
      </c>
      <c r="AH77" s="80">
        <f>SUMIFS('июнь 2024'!$G$4:$G$1823,'июнь 2024'!$D$4:$D$1823,$B77,'июнь 2024'!$J$4:$J$1823,AH$1)</f>
        <v>0</v>
      </c>
      <c r="AI77" s="21">
        <f t="shared" si="1"/>
        <v>440</v>
      </c>
    </row>
    <row r="78" spans="2:35" ht="15" customHeight="1" x14ac:dyDescent="0.25">
      <c r="B78" s="93" t="s">
        <v>321</v>
      </c>
      <c r="C78" s="91">
        <v>190</v>
      </c>
      <c r="D78" s="80">
        <f>SUMIFS('июнь 2024'!$G$4:$G$1823,'июнь 2024'!$D$4:$D$1823,$B78,'июнь 2024'!$J$4:$J$1823,D$1)</f>
        <v>0</v>
      </c>
      <c r="E78" s="80">
        <f>SUMIFS('июнь 2024'!$G$4:$G$1823,'июнь 2024'!$D$4:$D$1823,$B78,'июнь 2024'!$J$4:$J$1823,E$1)</f>
        <v>0</v>
      </c>
      <c r="F78" s="80">
        <f>SUMIFS('июнь 2024'!$G$4:$G$1823,'июнь 2024'!$D$4:$D$1823,$B78,'июнь 2024'!$J$4:$J$1823,F$1)</f>
        <v>0</v>
      </c>
      <c r="G78" s="80">
        <f>SUMIFS('июнь 2024'!$G$4:$G$1823,'июнь 2024'!$D$4:$D$1823,$B78,'июнь 2024'!$J$4:$J$1823,G$1)</f>
        <v>0</v>
      </c>
      <c r="H78" s="80">
        <f>SUMIFS('июнь 2024'!$G$4:$G$1823,'июнь 2024'!$D$4:$D$1823,$B78,'июнь 2024'!$J$4:$J$1823,H$1)</f>
        <v>0</v>
      </c>
      <c r="I78" s="80">
        <f>SUMIFS('июнь 2024'!$G$4:$G$1823,'июнь 2024'!$D$4:$D$1823,$B78,'июнь 2024'!$J$4:$J$1823,I$1)</f>
        <v>0</v>
      </c>
      <c r="J78" s="80">
        <f>SUMIFS('июнь 2024'!$G$4:$G$1823,'июнь 2024'!$D$4:$D$1823,$B78,'июнь 2024'!$J$4:$J$1823,J$1)</f>
        <v>0</v>
      </c>
      <c r="K78" s="80">
        <f>SUMIFS('июнь 2024'!$G$4:$G$1823,'июнь 2024'!$D$4:$D$1823,$B78,'июнь 2024'!$J$4:$J$1823,K$1)</f>
        <v>0</v>
      </c>
      <c r="L78" s="80">
        <f>SUMIFS('июнь 2024'!$G$4:$G$1823,'июнь 2024'!$D$4:$D$1823,$B78,'июнь 2024'!$J$4:$J$1823,L$1)</f>
        <v>0</v>
      </c>
      <c r="M78" s="80">
        <f>SUMIFS('июнь 2024'!$G$4:$G$1823,'июнь 2024'!$D$4:$D$1823,$B78,'июнь 2024'!$J$4:$J$1823,M$1)</f>
        <v>0</v>
      </c>
      <c r="N78" s="80">
        <f>SUMIFS('июнь 2024'!$G$4:$G$1823,'июнь 2024'!$D$4:$D$1823,$B78,'июнь 2024'!$J$4:$J$1823,N$1)</f>
        <v>0</v>
      </c>
      <c r="O78" s="80">
        <f>SUMIFS('июнь 2024'!$G$4:$G$1823,'июнь 2024'!$D$4:$D$1823,$B78,'июнь 2024'!$J$4:$J$1823,O$1)</f>
        <v>0</v>
      </c>
      <c r="P78" s="80">
        <f>SUMIFS('июнь 2024'!$G$4:$G$1823,'июнь 2024'!$D$4:$D$1823,$B78,'июнь 2024'!$J$4:$J$1823,P$1)</f>
        <v>0</v>
      </c>
      <c r="Q78" s="80">
        <f>SUMIFS('июнь 2024'!$G$4:$G$1823,'июнь 2024'!$D$4:$D$1823,$B78,'июнь 2024'!$J$4:$J$1823,Q$1)</f>
        <v>0</v>
      </c>
      <c r="R78" s="80">
        <f>SUMIFS('июнь 2024'!$G$4:$G$1823,'июнь 2024'!$D$4:$D$1823,$B78,'июнь 2024'!$J$4:$J$1823,R$1)</f>
        <v>0</v>
      </c>
      <c r="S78" s="80">
        <f>SUMIFS('июнь 2024'!$G$4:$G$1823,'июнь 2024'!$D$4:$D$1823,$B78,'июнь 2024'!$J$4:$J$1823,S$1)</f>
        <v>0</v>
      </c>
      <c r="T78" s="80">
        <f>SUMIFS('июнь 2024'!$G$4:$G$1823,'июнь 2024'!$D$4:$D$1823,$B78,'июнь 2024'!$J$4:$J$1823,T$1)</f>
        <v>0</v>
      </c>
      <c r="U78" s="80">
        <f>SUMIFS('июнь 2024'!$G$4:$G$1823,'июнь 2024'!$D$4:$D$1823,$B78,'июнь 2024'!$J$4:$J$1823,U$1)</f>
        <v>0</v>
      </c>
      <c r="V78" s="80">
        <f>SUMIFS('июнь 2024'!$G$4:$G$1823,'июнь 2024'!$D$4:$D$1823,$B78,'июнь 2024'!$J$4:$J$1823,V$1)</f>
        <v>0</v>
      </c>
      <c r="W78" s="80">
        <f>SUMIFS('июнь 2024'!$G$4:$G$1823,'июнь 2024'!$D$4:$D$1823,$B78,'июнь 2024'!$J$4:$J$1823,W$1)</f>
        <v>0</v>
      </c>
      <c r="X78" s="80">
        <f>SUMIFS('июнь 2024'!$G$4:$G$1823,'июнь 2024'!$D$4:$D$1823,$B78,'июнь 2024'!$J$4:$J$1823,X$1)</f>
        <v>0</v>
      </c>
      <c r="Y78" s="80">
        <f>SUMIFS('июнь 2024'!$G$4:$G$1823,'июнь 2024'!$D$4:$D$1823,$B78,'июнь 2024'!$J$4:$J$1823,Y$1)</f>
        <v>0</v>
      </c>
      <c r="Z78" s="80">
        <f>SUMIFS('июнь 2024'!$G$4:$G$1823,'июнь 2024'!$D$4:$D$1823,$B78,'июнь 2024'!$J$4:$J$1823,Z$1)</f>
        <v>0</v>
      </c>
      <c r="AA78" s="80">
        <f>SUMIFS('июнь 2024'!$G$4:$G$1823,'июнь 2024'!$D$4:$D$1823,$B78,'июнь 2024'!$J$4:$J$1823,AA$1)</f>
        <v>0</v>
      </c>
      <c r="AB78" s="80">
        <f>SUMIFS('июнь 2024'!$G$4:$G$1823,'июнь 2024'!$D$4:$D$1823,$B78,'июнь 2024'!$J$4:$J$1823,AB$1)</f>
        <v>0</v>
      </c>
      <c r="AC78" s="80">
        <f>SUMIFS('июнь 2024'!$G$4:$G$1823,'июнь 2024'!$D$4:$D$1823,$B78,'июнь 2024'!$J$4:$J$1823,AC$1)</f>
        <v>0</v>
      </c>
      <c r="AD78" s="80">
        <f>SUMIFS('июнь 2024'!$G$4:$G$1823,'июнь 2024'!$D$4:$D$1823,$B78,'июнь 2024'!$J$4:$J$1823,AD$1)</f>
        <v>0</v>
      </c>
      <c r="AE78" s="80">
        <f>SUMIFS('июнь 2024'!$G$4:$G$1823,'июнь 2024'!$D$4:$D$1823,$B78,'июнь 2024'!$J$4:$J$1823,AE$1)</f>
        <v>0</v>
      </c>
      <c r="AF78" s="80">
        <f>SUMIFS('июнь 2024'!$G$4:$G$1823,'июнь 2024'!$D$4:$D$1823,$B78,'июнь 2024'!$J$4:$J$1823,AF$1)</f>
        <v>0</v>
      </c>
      <c r="AG78" s="80">
        <f>SUMIFS('июнь 2024'!$G$4:$G$1823,'июнь 2024'!$D$4:$D$1823,$B78,'июнь 2024'!$J$4:$J$1823,AG$1)</f>
        <v>0</v>
      </c>
      <c r="AH78" s="80">
        <f>SUMIFS('июнь 2024'!$G$4:$G$1823,'июнь 2024'!$D$4:$D$1823,$B78,'июнь 2024'!$J$4:$J$1823,AH$1)</f>
        <v>0</v>
      </c>
      <c r="AI78" s="21">
        <f t="shared" si="1"/>
        <v>0</v>
      </c>
    </row>
    <row r="79" spans="2:35" ht="15" customHeight="1" x14ac:dyDescent="0.25">
      <c r="B79" s="89" t="s">
        <v>199</v>
      </c>
      <c r="C79" s="88">
        <v>180</v>
      </c>
      <c r="D79" s="80">
        <f>SUMIFS('июнь 2024'!$G$4:$G$1823,'июнь 2024'!$D$4:$D$1823,$B79,'июнь 2024'!$J$4:$J$1823,D$1)</f>
        <v>0</v>
      </c>
      <c r="E79" s="80">
        <f>SUMIFS('июнь 2024'!$G$4:$G$1823,'июнь 2024'!$D$4:$D$1823,$B79,'июнь 2024'!$J$4:$J$1823,E$1)</f>
        <v>0</v>
      </c>
      <c r="F79" s="80">
        <f>SUMIFS('июнь 2024'!$G$4:$G$1823,'июнь 2024'!$D$4:$D$1823,$B79,'июнь 2024'!$J$4:$J$1823,F$1)</f>
        <v>0</v>
      </c>
      <c r="G79" s="80">
        <f>SUMIFS('июнь 2024'!$G$4:$G$1823,'июнь 2024'!$D$4:$D$1823,$B79,'июнь 2024'!$J$4:$J$1823,G$1)</f>
        <v>0</v>
      </c>
      <c r="H79" s="80">
        <f>SUMIFS('июнь 2024'!$G$4:$G$1823,'июнь 2024'!$D$4:$D$1823,$B79,'июнь 2024'!$J$4:$J$1823,H$1)</f>
        <v>0</v>
      </c>
      <c r="I79" s="80">
        <f>SUMIFS('июнь 2024'!$G$4:$G$1823,'июнь 2024'!$D$4:$D$1823,$B79,'июнь 2024'!$J$4:$J$1823,I$1)</f>
        <v>0</v>
      </c>
      <c r="J79" s="80">
        <f>SUMIFS('июнь 2024'!$G$4:$G$1823,'июнь 2024'!$D$4:$D$1823,$B79,'июнь 2024'!$J$4:$J$1823,J$1)</f>
        <v>0</v>
      </c>
      <c r="K79" s="80">
        <f>SUMIFS('июнь 2024'!$G$4:$G$1823,'июнь 2024'!$D$4:$D$1823,$B79,'июнь 2024'!$J$4:$J$1823,K$1)</f>
        <v>0</v>
      </c>
      <c r="L79" s="80">
        <f>SUMIFS('июнь 2024'!$G$4:$G$1823,'июнь 2024'!$D$4:$D$1823,$B79,'июнь 2024'!$J$4:$J$1823,L$1)</f>
        <v>0</v>
      </c>
      <c r="M79" s="80">
        <f>SUMIFS('июнь 2024'!$G$4:$G$1823,'июнь 2024'!$D$4:$D$1823,$B79,'июнь 2024'!$J$4:$J$1823,M$1)</f>
        <v>0</v>
      </c>
      <c r="N79" s="80">
        <f>SUMIFS('июнь 2024'!$G$4:$G$1823,'июнь 2024'!$D$4:$D$1823,$B79,'июнь 2024'!$J$4:$J$1823,N$1)</f>
        <v>0</v>
      </c>
      <c r="O79" s="80">
        <f>SUMIFS('июнь 2024'!$G$4:$G$1823,'июнь 2024'!$D$4:$D$1823,$B79,'июнь 2024'!$J$4:$J$1823,O$1)</f>
        <v>0</v>
      </c>
      <c r="P79" s="80">
        <f>SUMIFS('июнь 2024'!$G$4:$G$1823,'июнь 2024'!$D$4:$D$1823,$B79,'июнь 2024'!$J$4:$J$1823,P$1)</f>
        <v>0</v>
      </c>
      <c r="Q79" s="80">
        <f>SUMIFS('июнь 2024'!$G$4:$G$1823,'июнь 2024'!$D$4:$D$1823,$B79,'июнь 2024'!$J$4:$J$1823,Q$1)</f>
        <v>0</v>
      </c>
      <c r="R79" s="80">
        <f>SUMIFS('июнь 2024'!$G$4:$G$1823,'июнь 2024'!$D$4:$D$1823,$B79,'июнь 2024'!$J$4:$J$1823,R$1)</f>
        <v>0</v>
      </c>
      <c r="S79" s="80">
        <f>SUMIFS('июнь 2024'!$G$4:$G$1823,'июнь 2024'!$D$4:$D$1823,$B79,'июнь 2024'!$J$4:$J$1823,S$1)</f>
        <v>0</v>
      </c>
      <c r="T79" s="80">
        <f>SUMIFS('июнь 2024'!$G$4:$G$1823,'июнь 2024'!$D$4:$D$1823,$B79,'июнь 2024'!$J$4:$J$1823,T$1)</f>
        <v>0</v>
      </c>
      <c r="U79" s="80">
        <f>SUMIFS('июнь 2024'!$G$4:$G$1823,'июнь 2024'!$D$4:$D$1823,$B79,'июнь 2024'!$J$4:$J$1823,U$1)</f>
        <v>0</v>
      </c>
      <c r="V79" s="80">
        <f>SUMIFS('июнь 2024'!$G$4:$G$1823,'июнь 2024'!$D$4:$D$1823,$B79,'июнь 2024'!$J$4:$J$1823,V$1)</f>
        <v>0</v>
      </c>
      <c r="W79" s="80">
        <f>SUMIFS('июнь 2024'!$G$4:$G$1823,'июнь 2024'!$D$4:$D$1823,$B79,'июнь 2024'!$J$4:$J$1823,W$1)</f>
        <v>0</v>
      </c>
      <c r="X79" s="80">
        <f>SUMIFS('июнь 2024'!$G$4:$G$1823,'июнь 2024'!$D$4:$D$1823,$B79,'июнь 2024'!$J$4:$J$1823,X$1)</f>
        <v>0</v>
      </c>
      <c r="Y79" s="80">
        <f>SUMIFS('июнь 2024'!$G$4:$G$1823,'июнь 2024'!$D$4:$D$1823,$B79,'июнь 2024'!$J$4:$J$1823,Y$1)</f>
        <v>0</v>
      </c>
      <c r="Z79" s="80">
        <f>SUMIFS('июнь 2024'!$G$4:$G$1823,'июнь 2024'!$D$4:$D$1823,$B79,'июнь 2024'!$J$4:$J$1823,Z$1)</f>
        <v>0</v>
      </c>
      <c r="AA79" s="80">
        <f>SUMIFS('июнь 2024'!$G$4:$G$1823,'июнь 2024'!$D$4:$D$1823,$B79,'июнь 2024'!$J$4:$J$1823,AA$1)</f>
        <v>0</v>
      </c>
      <c r="AB79" s="80">
        <f>SUMIFS('июнь 2024'!$G$4:$G$1823,'июнь 2024'!$D$4:$D$1823,$B79,'июнь 2024'!$J$4:$J$1823,AB$1)</f>
        <v>0</v>
      </c>
      <c r="AC79" s="80">
        <f>SUMIFS('июнь 2024'!$G$4:$G$1823,'июнь 2024'!$D$4:$D$1823,$B79,'июнь 2024'!$J$4:$J$1823,AC$1)</f>
        <v>0</v>
      </c>
      <c r="AD79" s="80">
        <f>SUMIFS('июнь 2024'!$G$4:$G$1823,'июнь 2024'!$D$4:$D$1823,$B79,'июнь 2024'!$J$4:$J$1823,AD$1)</f>
        <v>0</v>
      </c>
      <c r="AE79" s="80">
        <f>SUMIFS('июнь 2024'!$G$4:$G$1823,'июнь 2024'!$D$4:$D$1823,$B79,'июнь 2024'!$J$4:$J$1823,AE$1)</f>
        <v>0</v>
      </c>
      <c r="AF79" s="80">
        <f>SUMIFS('июнь 2024'!$G$4:$G$1823,'июнь 2024'!$D$4:$D$1823,$B79,'июнь 2024'!$J$4:$J$1823,AF$1)</f>
        <v>0</v>
      </c>
      <c r="AG79" s="80">
        <f>SUMIFS('июнь 2024'!$G$4:$G$1823,'июнь 2024'!$D$4:$D$1823,$B79,'июнь 2024'!$J$4:$J$1823,AG$1)</f>
        <v>0</v>
      </c>
      <c r="AH79" s="80">
        <f>SUMIFS('июнь 2024'!$G$4:$G$1823,'июнь 2024'!$D$4:$D$1823,$B79,'июнь 2024'!$J$4:$J$1823,AH$1)</f>
        <v>0</v>
      </c>
      <c r="AI79" s="21">
        <f t="shared" si="1"/>
        <v>0</v>
      </c>
    </row>
    <row r="80" spans="2:35" ht="15" customHeight="1" x14ac:dyDescent="0.25">
      <c r="B80" s="93" t="s">
        <v>200</v>
      </c>
      <c r="C80" s="91">
        <v>190</v>
      </c>
      <c r="D80" s="80">
        <f>SUMIFS('июнь 2024'!$G$4:$G$1823,'июнь 2024'!$D$4:$D$1823,$B80,'июнь 2024'!$J$4:$J$1823,D$1)</f>
        <v>0</v>
      </c>
      <c r="E80" s="80">
        <f>SUMIFS('июнь 2024'!$G$4:$G$1823,'июнь 2024'!$D$4:$D$1823,$B80,'июнь 2024'!$J$4:$J$1823,E$1)</f>
        <v>0</v>
      </c>
      <c r="F80" s="80">
        <f>SUMIFS('июнь 2024'!$G$4:$G$1823,'июнь 2024'!$D$4:$D$1823,$B80,'июнь 2024'!$J$4:$J$1823,F$1)</f>
        <v>0</v>
      </c>
      <c r="G80" s="80">
        <f>SUMIFS('июнь 2024'!$G$4:$G$1823,'июнь 2024'!$D$4:$D$1823,$B80,'июнь 2024'!$J$4:$J$1823,G$1)</f>
        <v>0</v>
      </c>
      <c r="H80" s="80">
        <f>SUMIFS('июнь 2024'!$G$4:$G$1823,'июнь 2024'!$D$4:$D$1823,$B80,'июнь 2024'!$J$4:$J$1823,H$1)</f>
        <v>0</v>
      </c>
      <c r="I80" s="80">
        <f>SUMIFS('июнь 2024'!$G$4:$G$1823,'июнь 2024'!$D$4:$D$1823,$B80,'июнь 2024'!$J$4:$J$1823,I$1)</f>
        <v>0</v>
      </c>
      <c r="J80" s="80">
        <f>SUMIFS('июнь 2024'!$G$4:$G$1823,'июнь 2024'!$D$4:$D$1823,$B80,'июнь 2024'!$J$4:$J$1823,J$1)</f>
        <v>0</v>
      </c>
      <c r="K80" s="80">
        <f>SUMIFS('июнь 2024'!$G$4:$G$1823,'июнь 2024'!$D$4:$D$1823,$B80,'июнь 2024'!$J$4:$J$1823,K$1)</f>
        <v>0</v>
      </c>
      <c r="L80" s="80">
        <f>SUMIFS('июнь 2024'!$G$4:$G$1823,'июнь 2024'!$D$4:$D$1823,$B80,'июнь 2024'!$J$4:$J$1823,L$1)</f>
        <v>0</v>
      </c>
      <c r="M80" s="80">
        <f>SUMIFS('июнь 2024'!$G$4:$G$1823,'июнь 2024'!$D$4:$D$1823,$B80,'июнь 2024'!$J$4:$J$1823,M$1)</f>
        <v>0</v>
      </c>
      <c r="N80" s="80">
        <f>SUMIFS('июнь 2024'!$G$4:$G$1823,'июнь 2024'!$D$4:$D$1823,$B80,'июнь 2024'!$J$4:$J$1823,N$1)</f>
        <v>0</v>
      </c>
      <c r="O80" s="80">
        <f>SUMIFS('июнь 2024'!$G$4:$G$1823,'июнь 2024'!$D$4:$D$1823,$B80,'июнь 2024'!$J$4:$J$1823,O$1)</f>
        <v>0</v>
      </c>
      <c r="P80" s="80">
        <f>SUMIFS('июнь 2024'!$G$4:$G$1823,'июнь 2024'!$D$4:$D$1823,$B80,'июнь 2024'!$J$4:$J$1823,P$1)</f>
        <v>0</v>
      </c>
      <c r="Q80" s="80">
        <f>SUMIFS('июнь 2024'!$G$4:$G$1823,'июнь 2024'!$D$4:$D$1823,$B80,'июнь 2024'!$J$4:$J$1823,Q$1)</f>
        <v>0</v>
      </c>
      <c r="R80" s="80">
        <f>SUMIFS('июнь 2024'!$G$4:$G$1823,'июнь 2024'!$D$4:$D$1823,$B80,'июнь 2024'!$J$4:$J$1823,R$1)</f>
        <v>0</v>
      </c>
      <c r="S80" s="80">
        <f>SUMIFS('июнь 2024'!$G$4:$G$1823,'июнь 2024'!$D$4:$D$1823,$B80,'июнь 2024'!$J$4:$J$1823,S$1)</f>
        <v>0</v>
      </c>
      <c r="T80" s="80">
        <f>SUMIFS('июнь 2024'!$G$4:$G$1823,'июнь 2024'!$D$4:$D$1823,$B80,'июнь 2024'!$J$4:$J$1823,T$1)</f>
        <v>0</v>
      </c>
      <c r="U80" s="80">
        <f>SUMIFS('июнь 2024'!$G$4:$G$1823,'июнь 2024'!$D$4:$D$1823,$B80,'июнь 2024'!$J$4:$J$1823,U$1)</f>
        <v>0</v>
      </c>
      <c r="V80" s="80">
        <f>SUMIFS('июнь 2024'!$G$4:$G$1823,'июнь 2024'!$D$4:$D$1823,$B80,'июнь 2024'!$J$4:$J$1823,V$1)</f>
        <v>0</v>
      </c>
      <c r="W80" s="80">
        <f>SUMIFS('июнь 2024'!$G$4:$G$1823,'июнь 2024'!$D$4:$D$1823,$B80,'июнь 2024'!$J$4:$J$1823,W$1)</f>
        <v>0</v>
      </c>
      <c r="X80" s="80">
        <f>SUMIFS('июнь 2024'!$G$4:$G$1823,'июнь 2024'!$D$4:$D$1823,$B80,'июнь 2024'!$J$4:$J$1823,X$1)</f>
        <v>0</v>
      </c>
      <c r="Y80" s="80">
        <f>SUMIFS('июнь 2024'!$G$4:$G$1823,'июнь 2024'!$D$4:$D$1823,$B80,'июнь 2024'!$J$4:$J$1823,Y$1)</f>
        <v>0</v>
      </c>
      <c r="Z80" s="80">
        <f>SUMIFS('июнь 2024'!$G$4:$G$1823,'июнь 2024'!$D$4:$D$1823,$B80,'июнь 2024'!$J$4:$J$1823,Z$1)</f>
        <v>0</v>
      </c>
      <c r="AA80" s="80">
        <f>SUMIFS('июнь 2024'!$G$4:$G$1823,'июнь 2024'!$D$4:$D$1823,$B80,'июнь 2024'!$J$4:$J$1823,AA$1)</f>
        <v>0</v>
      </c>
      <c r="AB80" s="80">
        <f>SUMIFS('июнь 2024'!$G$4:$G$1823,'июнь 2024'!$D$4:$D$1823,$B80,'июнь 2024'!$J$4:$J$1823,AB$1)</f>
        <v>0</v>
      </c>
      <c r="AC80" s="80">
        <f>SUMIFS('июнь 2024'!$G$4:$G$1823,'июнь 2024'!$D$4:$D$1823,$B80,'июнь 2024'!$J$4:$J$1823,AC$1)</f>
        <v>0</v>
      </c>
      <c r="AD80" s="80">
        <f>SUMIFS('июнь 2024'!$G$4:$G$1823,'июнь 2024'!$D$4:$D$1823,$B80,'июнь 2024'!$J$4:$J$1823,AD$1)</f>
        <v>0</v>
      </c>
      <c r="AE80" s="80">
        <f>SUMIFS('июнь 2024'!$G$4:$G$1823,'июнь 2024'!$D$4:$D$1823,$B80,'июнь 2024'!$J$4:$J$1823,AE$1)</f>
        <v>0</v>
      </c>
      <c r="AF80" s="80">
        <f>SUMIFS('июнь 2024'!$G$4:$G$1823,'июнь 2024'!$D$4:$D$1823,$B80,'июнь 2024'!$J$4:$J$1823,AF$1)</f>
        <v>0</v>
      </c>
      <c r="AG80" s="80">
        <f>SUMIFS('июнь 2024'!$G$4:$G$1823,'июнь 2024'!$D$4:$D$1823,$B80,'июнь 2024'!$J$4:$J$1823,AG$1)</f>
        <v>0</v>
      </c>
      <c r="AH80" s="80">
        <f>SUMIFS('июнь 2024'!$G$4:$G$1823,'июнь 2024'!$D$4:$D$1823,$B80,'июнь 2024'!$J$4:$J$1823,AH$1)</f>
        <v>0</v>
      </c>
      <c r="AI80" s="21">
        <f t="shared" si="1"/>
        <v>0</v>
      </c>
    </row>
    <row r="81" spans="2:35" ht="15" customHeight="1" x14ac:dyDescent="0.25">
      <c r="B81" s="93" t="s">
        <v>201</v>
      </c>
      <c r="C81" s="91">
        <v>190</v>
      </c>
      <c r="D81" s="80">
        <f>SUMIFS('июнь 2024'!$G$4:$G$1823,'июнь 2024'!$D$4:$D$1823,$B81,'июнь 2024'!$J$4:$J$1823,D$1)</f>
        <v>0</v>
      </c>
      <c r="E81" s="80">
        <f>SUMIFS('июнь 2024'!$G$4:$G$1823,'июнь 2024'!$D$4:$D$1823,$B81,'июнь 2024'!$J$4:$J$1823,E$1)</f>
        <v>0</v>
      </c>
      <c r="F81" s="80">
        <f>SUMIFS('июнь 2024'!$G$4:$G$1823,'июнь 2024'!$D$4:$D$1823,$B81,'июнь 2024'!$J$4:$J$1823,F$1)</f>
        <v>0</v>
      </c>
      <c r="G81" s="80">
        <f>SUMIFS('июнь 2024'!$G$4:$G$1823,'июнь 2024'!$D$4:$D$1823,$B81,'июнь 2024'!$J$4:$J$1823,G$1)</f>
        <v>0</v>
      </c>
      <c r="H81" s="80">
        <f>SUMIFS('июнь 2024'!$G$4:$G$1823,'июнь 2024'!$D$4:$D$1823,$B81,'июнь 2024'!$J$4:$J$1823,H$1)</f>
        <v>0</v>
      </c>
      <c r="I81" s="80">
        <f>SUMIFS('июнь 2024'!$G$4:$G$1823,'июнь 2024'!$D$4:$D$1823,$B81,'июнь 2024'!$J$4:$J$1823,I$1)</f>
        <v>0</v>
      </c>
      <c r="J81" s="80">
        <f>SUMIFS('июнь 2024'!$G$4:$G$1823,'июнь 2024'!$D$4:$D$1823,$B81,'июнь 2024'!$J$4:$J$1823,J$1)</f>
        <v>0</v>
      </c>
      <c r="K81" s="80">
        <f>SUMIFS('июнь 2024'!$G$4:$G$1823,'июнь 2024'!$D$4:$D$1823,$B81,'июнь 2024'!$J$4:$J$1823,K$1)</f>
        <v>0</v>
      </c>
      <c r="L81" s="80">
        <f>SUMIFS('июнь 2024'!$G$4:$G$1823,'июнь 2024'!$D$4:$D$1823,$B81,'июнь 2024'!$J$4:$J$1823,L$1)</f>
        <v>0</v>
      </c>
      <c r="M81" s="80">
        <f>SUMIFS('июнь 2024'!$G$4:$G$1823,'июнь 2024'!$D$4:$D$1823,$B81,'июнь 2024'!$J$4:$J$1823,M$1)</f>
        <v>0</v>
      </c>
      <c r="N81" s="80">
        <f>SUMIFS('июнь 2024'!$G$4:$G$1823,'июнь 2024'!$D$4:$D$1823,$B81,'июнь 2024'!$J$4:$J$1823,N$1)</f>
        <v>0</v>
      </c>
      <c r="O81" s="80">
        <f>SUMIFS('июнь 2024'!$G$4:$G$1823,'июнь 2024'!$D$4:$D$1823,$B81,'июнь 2024'!$J$4:$J$1823,O$1)</f>
        <v>0</v>
      </c>
      <c r="P81" s="80">
        <f>SUMIFS('июнь 2024'!$G$4:$G$1823,'июнь 2024'!$D$4:$D$1823,$B81,'июнь 2024'!$J$4:$J$1823,P$1)</f>
        <v>0</v>
      </c>
      <c r="Q81" s="80">
        <f>SUMIFS('июнь 2024'!$G$4:$G$1823,'июнь 2024'!$D$4:$D$1823,$B81,'июнь 2024'!$J$4:$J$1823,Q$1)</f>
        <v>0</v>
      </c>
      <c r="R81" s="80">
        <f>SUMIFS('июнь 2024'!$G$4:$G$1823,'июнь 2024'!$D$4:$D$1823,$B81,'июнь 2024'!$J$4:$J$1823,R$1)</f>
        <v>0</v>
      </c>
      <c r="S81" s="80">
        <f>SUMIFS('июнь 2024'!$G$4:$G$1823,'июнь 2024'!$D$4:$D$1823,$B81,'июнь 2024'!$J$4:$J$1823,S$1)</f>
        <v>0</v>
      </c>
      <c r="T81" s="80">
        <f>SUMIFS('июнь 2024'!$G$4:$G$1823,'июнь 2024'!$D$4:$D$1823,$B81,'июнь 2024'!$J$4:$J$1823,T$1)</f>
        <v>0</v>
      </c>
      <c r="U81" s="80">
        <f>SUMIFS('июнь 2024'!$G$4:$G$1823,'июнь 2024'!$D$4:$D$1823,$B81,'июнь 2024'!$J$4:$J$1823,U$1)</f>
        <v>0</v>
      </c>
      <c r="V81" s="80">
        <f>SUMIFS('июнь 2024'!$G$4:$G$1823,'июнь 2024'!$D$4:$D$1823,$B81,'июнь 2024'!$J$4:$J$1823,V$1)</f>
        <v>0</v>
      </c>
      <c r="W81" s="80">
        <f>SUMIFS('июнь 2024'!$G$4:$G$1823,'июнь 2024'!$D$4:$D$1823,$B81,'июнь 2024'!$J$4:$J$1823,W$1)</f>
        <v>0</v>
      </c>
      <c r="X81" s="80">
        <f>SUMIFS('июнь 2024'!$G$4:$G$1823,'июнь 2024'!$D$4:$D$1823,$B81,'июнь 2024'!$J$4:$J$1823,X$1)</f>
        <v>0</v>
      </c>
      <c r="Y81" s="80">
        <f>SUMIFS('июнь 2024'!$G$4:$G$1823,'июнь 2024'!$D$4:$D$1823,$B81,'июнь 2024'!$J$4:$J$1823,Y$1)</f>
        <v>0</v>
      </c>
      <c r="Z81" s="80">
        <f>SUMIFS('июнь 2024'!$G$4:$G$1823,'июнь 2024'!$D$4:$D$1823,$B81,'июнь 2024'!$J$4:$J$1823,Z$1)</f>
        <v>0</v>
      </c>
      <c r="AA81" s="80">
        <f>SUMIFS('июнь 2024'!$G$4:$G$1823,'июнь 2024'!$D$4:$D$1823,$B81,'июнь 2024'!$J$4:$J$1823,AA$1)</f>
        <v>0</v>
      </c>
      <c r="AB81" s="80">
        <f>SUMIFS('июнь 2024'!$G$4:$G$1823,'июнь 2024'!$D$4:$D$1823,$B81,'июнь 2024'!$J$4:$J$1823,AB$1)</f>
        <v>0</v>
      </c>
      <c r="AC81" s="80">
        <f>SUMIFS('июнь 2024'!$G$4:$G$1823,'июнь 2024'!$D$4:$D$1823,$B81,'июнь 2024'!$J$4:$J$1823,AC$1)</f>
        <v>0</v>
      </c>
      <c r="AD81" s="80">
        <f>SUMIFS('июнь 2024'!$G$4:$G$1823,'июнь 2024'!$D$4:$D$1823,$B81,'июнь 2024'!$J$4:$J$1823,AD$1)</f>
        <v>0</v>
      </c>
      <c r="AE81" s="80">
        <f>SUMIFS('июнь 2024'!$G$4:$G$1823,'июнь 2024'!$D$4:$D$1823,$B81,'июнь 2024'!$J$4:$J$1823,AE$1)</f>
        <v>0</v>
      </c>
      <c r="AF81" s="80">
        <f>SUMIFS('июнь 2024'!$G$4:$G$1823,'июнь 2024'!$D$4:$D$1823,$B81,'июнь 2024'!$J$4:$J$1823,AF$1)</f>
        <v>0</v>
      </c>
      <c r="AG81" s="80">
        <f>SUMIFS('июнь 2024'!$G$4:$G$1823,'июнь 2024'!$D$4:$D$1823,$B81,'июнь 2024'!$J$4:$J$1823,AG$1)</f>
        <v>0</v>
      </c>
      <c r="AH81" s="80">
        <f>SUMIFS('июнь 2024'!$G$4:$G$1823,'июнь 2024'!$D$4:$D$1823,$B81,'июнь 2024'!$J$4:$J$1823,AH$1)</f>
        <v>0</v>
      </c>
      <c r="AI81" s="21">
        <f t="shared" si="1"/>
        <v>0</v>
      </c>
    </row>
    <row r="82" spans="2:35" ht="15" customHeight="1" x14ac:dyDescent="0.25">
      <c r="B82" s="93" t="s">
        <v>1190</v>
      </c>
      <c r="C82" s="91">
        <v>200</v>
      </c>
      <c r="D82" s="80">
        <f>SUMIFS('июнь 2024'!$G$4:$G$1823,'июнь 2024'!$D$4:$D$1823,$B82,'июнь 2024'!$J$4:$J$1823,D$1)</f>
        <v>0</v>
      </c>
      <c r="E82" s="80">
        <f>SUMIFS('июнь 2024'!$G$4:$G$1823,'июнь 2024'!$D$4:$D$1823,$B82,'июнь 2024'!$J$4:$J$1823,E$1)</f>
        <v>0</v>
      </c>
      <c r="F82" s="80">
        <f>SUMIFS('июнь 2024'!$G$4:$G$1823,'июнь 2024'!$D$4:$D$1823,$B82,'июнь 2024'!$J$4:$J$1823,F$1)</f>
        <v>0</v>
      </c>
      <c r="G82" s="80">
        <f>SUMIFS('июнь 2024'!$G$4:$G$1823,'июнь 2024'!$D$4:$D$1823,$B82,'июнь 2024'!$J$4:$J$1823,G$1)</f>
        <v>0</v>
      </c>
      <c r="H82" s="80">
        <f>SUMIFS('июнь 2024'!$G$4:$G$1823,'июнь 2024'!$D$4:$D$1823,$B82,'июнь 2024'!$J$4:$J$1823,H$1)</f>
        <v>0</v>
      </c>
      <c r="I82" s="80">
        <f>SUMIFS('июнь 2024'!$G$4:$G$1823,'июнь 2024'!$D$4:$D$1823,$B82,'июнь 2024'!$J$4:$J$1823,I$1)</f>
        <v>0</v>
      </c>
      <c r="J82" s="80">
        <f>SUMIFS('июнь 2024'!$G$4:$G$1823,'июнь 2024'!$D$4:$D$1823,$B82,'июнь 2024'!$J$4:$J$1823,J$1)</f>
        <v>116</v>
      </c>
      <c r="K82" s="80">
        <f>SUMIFS('июнь 2024'!$G$4:$G$1823,'июнь 2024'!$D$4:$D$1823,$B82,'июнь 2024'!$J$4:$J$1823,K$1)</f>
        <v>0</v>
      </c>
      <c r="L82" s="80">
        <f>SUMIFS('июнь 2024'!$G$4:$G$1823,'июнь 2024'!$D$4:$D$1823,$B82,'июнь 2024'!$J$4:$J$1823,L$1)</f>
        <v>0</v>
      </c>
      <c r="M82" s="80">
        <f>SUMIFS('июнь 2024'!$G$4:$G$1823,'июнь 2024'!$D$4:$D$1823,$B82,'июнь 2024'!$J$4:$J$1823,M$1)</f>
        <v>0</v>
      </c>
      <c r="N82" s="80">
        <f>SUMIFS('июнь 2024'!$G$4:$G$1823,'июнь 2024'!$D$4:$D$1823,$B82,'июнь 2024'!$J$4:$J$1823,N$1)</f>
        <v>0</v>
      </c>
      <c r="O82" s="80">
        <f>SUMIFS('июнь 2024'!$G$4:$G$1823,'июнь 2024'!$D$4:$D$1823,$B82,'июнь 2024'!$J$4:$J$1823,O$1)</f>
        <v>0</v>
      </c>
      <c r="P82" s="80">
        <f>SUMIFS('июнь 2024'!$G$4:$G$1823,'июнь 2024'!$D$4:$D$1823,$B82,'июнь 2024'!$J$4:$J$1823,P$1)</f>
        <v>0</v>
      </c>
      <c r="Q82" s="80">
        <f>SUMIFS('июнь 2024'!$G$4:$G$1823,'июнь 2024'!$D$4:$D$1823,$B82,'июнь 2024'!$J$4:$J$1823,Q$1)</f>
        <v>0</v>
      </c>
      <c r="R82" s="80">
        <f>SUMIFS('июнь 2024'!$G$4:$G$1823,'июнь 2024'!$D$4:$D$1823,$B82,'июнь 2024'!$J$4:$J$1823,R$1)</f>
        <v>0</v>
      </c>
      <c r="S82" s="80">
        <f>SUMIFS('июнь 2024'!$G$4:$G$1823,'июнь 2024'!$D$4:$D$1823,$B82,'июнь 2024'!$J$4:$J$1823,S$1)</f>
        <v>0</v>
      </c>
      <c r="T82" s="80">
        <f>SUMIFS('июнь 2024'!$G$4:$G$1823,'июнь 2024'!$D$4:$D$1823,$B82,'июнь 2024'!$J$4:$J$1823,T$1)</f>
        <v>0</v>
      </c>
      <c r="U82" s="80">
        <f>SUMIFS('июнь 2024'!$G$4:$G$1823,'июнь 2024'!$D$4:$D$1823,$B82,'июнь 2024'!$J$4:$J$1823,U$1)</f>
        <v>0</v>
      </c>
      <c r="V82" s="80">
        <f>SUMIFS('июнь 2024'!$G$4:$G$1823,'июнь 2024'!$D$4:$D$1823,$B82,'июнь 2024'!$J$4:$J$1823,V$1)</f>
        <v>0</v>
      </c>
      <c r="W82" s="80">
        <f>SUMIFS('июнь 2024'!$G$4:$G$1823,'июнь 2024'!$D$4:$D$1823,$B82,'июнь 2024'!$J$4:$J$1823,W$1)</f>
        <v>0</v>
      </c>
      <c r="X82" s="80">
        <f>SUMIFS('июнь 2024'!$G$4:$G$1823,'июнь 2024'!$D$4:$D$1823,$B82,'июнь 2024'!$J$4:$J$1823,X$1)</f>
        <v>0</v>
      </c>
      <c r="Y82" s="80">
        <f>SUMIFS('июнь 2024'!$G$4:$G$1823,'июнь 2024'!$D$4:$D$1823,$B82,'июнь 2024'!$J$4:$J$1823,Y$1)</f>
        <v>0</v>
      </c>
      <c r="Z82" s="80">
        <f>SUMIFS('июнь 2024'!$G$4:$G$1823,'июнь 2024'!$D$4:$D$1823,$B82,'июнь 2024'!$J$4:$J$1823,Z$1)</f>
        <v>0</v>
      </c>
      <c r="AA82" s="80">
        <f>SUMIFS('июнь 2024'!$G$4:$G$1823,'июнь 2024'!$D$4:$D$1823,$B82,'июнь 2024'!$J$4:$J$1823,AA$1)</f>
        <v>50</v>
      </c>
      <c r="AB82" s="80">
        <f>SUMIFS('июнь 2024'!$G$4:$G$1823,'июнь 2024'!$D$4:$D$1823,$B82,'июнь 2024'!$J$4:$J$1823,AB$1)</f>
        <v>0</v>
      </c>
      <c r="AC82" s="80">
        <f>SUMIFS('июнь 2024'!$G$4:$G$1823,'июнь 2024'!$D$4:$D$1823,$B82,'июнь 2024'!$J$4:$J$1823,AC$1)</f>
        <v>0</v>
      </c>
      <c r="AD82" s="80">
        <f>SUMIFS('июнь 2024'!$G$4:$G$1823,'июнь 2024'!$D$4:$D$1823,$B82,'июнь 2024'!$J$4:$J$1823,AD$1)</f>
        <v>0</v>
      </c>
      <c r="AE82" s="80">
        <f>SUMIFS('июнь 2024'!$G$4:$G$1823,'июнь 2024'!$D$4:$D$1823,$B82,'июнь 2024'!$J$4:$J$1823,AE$1)</f>
        <v>0</v>
      </c>
      <c r="AF82" s="80">
        <f>SUMIFS('июнь 2024'!$G$4:$G$1823,'июнь 2024'!$D$4:$D$1823,$B82,'июнь 2024'!$J$4:$J$1823,AF$1)</f>
        <v>0</v>
      </c>
      <c r="AG82" s="80">
        <f>SUMIFS('июнь 2024'!$G$4:$G$1823,'июнь 2024'!$D$4:$D$1823,$B82,'июнь 2024'!$J$4:$J$1823,AG$1)</f>
        <v>0</v>
      </c>
      <c r="AH82" s="80">
        <f>SUMIFS('июнь 2024'!$G$4:$G$1823,'июнь 2024'!$D$4:$D$1823,$B82,'июнь 2024'!$J$4:$J$1823,AH$1)</f>
        <v>0</v>
      </c>
      <c r="AI82" s="21">
        <f>SUM(D82:AH82)</f>
        <v>166</v>
      </c>
    </row>
    <row r="83" spans="2:35" ht="15" customHeight="1" x14ac:dyDescent="0.25">
      <c r="B83" s="93" t="s">
        <v>202</v>
      </c>
      <c r="C83" s="91">
        <v>900</v>
      </c>
      <c r="D83" s="80">
        <f>SUMIFS('июнь 2024'!$G$4:$G$1823,'июнь 2024'!$D$4:$D$1823,$B83,'июнь 2024'!$J$4:$J$1823,D$1)</f>
        <v>0</v>
      </c>
      <c r="E83" s="80">
        <f>SUMIFS('июнь 2024'!$G$4:$G$1823,'июнь 2024'!$D$4:$D$1823,$B83,'июнь 2024'!$J$4:$J$1823,E$1)</f>
        <v>0</v>
      </c>
      <c r="F83" s="80">
        <f>SUMIFS('июнь 2024'!$G$4:$G$1823,'июнь 2024'!$D$4:$D$1823,$B83,'июнь 2024'!$J$4:$J$1823,F$1)</f>
        <v>0</v>
      </c>
      <c r="G83" s="80">
        <f>SUMIFS('июнь 2024'!$G$4:$G$1823,'июнь 2024'!$D$4:$D$1823,$B83,'июнь 2024'!$J$4:$J$1823,G$1)</f>
        <v>0</v>
      </c>
      <c r="H83" s="80">
        <f>SUMIFS('июнь 2024'!$G$4:$G$1823,'июнь 2024'!$D$4:$D$1823,$B83,'июнь 2024'!$J$4:$J$1823,H$1)</f>
        <v>0</v>
      </c>
      <c r="I83" s="80">
        <f>SUMIFS('июнь 2024'!$G$4:$G$1823,'июнь 2024'!$D$4:$D$1823,$B83,'июнь 2024'!$J$4:$J$1823,I$1)</f>
        <v>0</v>
      </c>
      <c r="J83" s="80">
        <f>SUMIFS('июнь 2024'!$G$4:$G$1823,'июнь 2024'!$D$4:$D$1823,$B83,'июнь 2024'!$J$4:$J$1823,J$1)</f>
        <v>0</v>
      </c>
      <c r="K83" s="80">
        <f>SUMIFS('июнь 2024'!$G$4:$G$1823,'июнь 2024'!$D$4:$D$1823,$B83,'июнь 2024'!$J$4:$J$1823,K$1)</f>
        <v>0</v>
      </c>
      <c r="L83" s="80">
        <f>SUMIFS('июнь 2024'!$G$4:$G$1823,'июнь 2024'!$D$4:$D$1823,$B83,'июнь 2024'!$J$4:$J$1823,L$1)</f>
        <v>0</v>
      </c>
      <c r="M83" s="80">
        <f>SUMIFS('июнь 2024'!$G$4:$G$1823,'июнь 2024'!$D$4:$D$1823,$B83,'июнь 2024'!$J$4:$J$1823,M$1)</f>
        <v>0</v>
      </c>
      <c r="N83" s="80">
        <f>SUMIFS('июнь 2024'!$G$4:$G$1823,'июнь 2024'!$D$4:$D$1823,$B83,'июнь 2024'!$J$4:$J$1823,N$1)</f>
        <v>0</v>
      </c>
      <c r="O83" s="80">
        <f>SUMIFS('июнь 2024'!$G$4:$G$1823,'июнь 2024'!$D$4:$D$1823,$B83,'июнь 2024'!$J$4:$J$1823,O$1)</f>
        <v>0</v>
      </c>
      <c r="P83" s="80">
        <f>SUMIFS('июнь 2024'!$G$4:$G$1823,'июнь 2024'!$D$4:$D$1823,$B83,'июнь 2024'!$J$4:$J$1823,P$1)</f>
        <v>0</v>
      </c>
      <c r="Q83" s="80">
        <f>SUMIFS('июнь 2024'!$G$4:$G$1823,'июнь 2024'!$D$4:$D$1823,$B83,'июнь 2024'!$J$4:$J$1823,Q$1)</f>
        <v>0</v>
      </c>
      <c r="R83" s="80">
        <f>SUMIFS('июнь 2024'!$G$4:$G$1823,'июнь 2024'!$D$4:$D$1823,$B83,'июнь 2024'!$J$4:$J$1823,R$1)</f>
        <v>0</v>
      </c>
      <c r="S83" s="80">
        <f>SUMIFS('июнь 2024'!$G$4:$G$1823,'июнь 2024'!$D$4:$D$1823,$B83,'июнь 2024'!$J$4:$J$1823,S$1)</f>
        <v>0</v>
      </c>
      <c r="T83" s="80">
        <f>SUMIFS('июнь 2024'!$G$4:$G$1823,'июнь 2024'!$D$4:$D$1823,$B83,'июнь 2024'!$J$4:$J$1823,T$1)</f>
        <v>0</v>
      </c>
      <c r="U83" s="80">
        <f>SUMIFS('июнь 2024'!$G$4:$G$1823,'июнь 2024'!$D$4:$D$1823,$B83,'июнь 2024'!$J$4:$J$1823,U$1)</f>
        <v>0</v>
      </c>
      <c r="V83" s="80">
        <f>SUMIFS('июнь 2024'!$G$4:$G$1823,'июнь 2024'!$D$4:$D$1823,$B83,'июнь 2024'!$J$4:$J$1823,V$1)</f>
        <v>0</v>
      </c>
      <c r="W83" s="80">
        <f>SUMIFS('июнь 2024'!$G$4:$G$1823,'июнь 2024'!$D$4:$D$1823,$B83,'июнь 2024'!$J$4:$J$1823,W$1)</f>
        <v>0</v>
      </c>
      <c r="X83" s="80">
        <f>SUMIFS('июнь 2024'!$G$4:$G$1823,'июнь 2024'!$D$4:$D$1823,$B83,'июнь 2024'!$J$4:$J$1823,X$1)</f>
        <v>0</v>
      </c>
      <c r="Y83" s="80">
        <f>SUMIFS('июнь 2024'!$G$4:$G$1823,'июнь 2024'!$D$4:$D$1823,$B83,'июнь 2024'!$J$4:$J$1823,Y$1)</f>
        <v>0</v>
      </c>
      <c r="Z83" s="80">
        <f>SUMIFS('июнь 2024'!$G$4:$G$1823,'июнь 2024'!$D$4:$D$1823,$B83,'июнь 2024'!$J$4:$J$1823,Z$1)</f>
        <v>0</v>
      </c>
      <c r="AA83" s="80">
        <f>SUMIFS('июнь 2024'!$G$4:$G$1823,'июнь 2024'!$D$4:$D$1823,$B83,'июнь 2024'!$J$4:$J$1823,AA$1)</f>
        <v>0</v>
      </c>
      <c r="AB83" s="80">
        <f>SUMIFS('июнь 2024'!$G$4:$G$1823,'июнь 2024'!$D$4:$D$1823,$B83,'июнь 2024'!$J$4:$J$1823,AB$1)</f>
        <v>0</v>
      </c>
      <c r="AC83" s="80">
        <f>SUMIFS('июнь 2024'!$G$4:$G$1823,'июнь 2024'!$D$4:$D$1823,$B83,'июнь 2024'!$J$4:$J$1823,AC$1)</f>
        <v>0</v>
      </c>
      <c r="AD83" s="80">
        <f>SUMIFS('июнь 2024'!$G$4:$G$1823,'июнь 2024'!$D$4:$D$1823,$B83,'июнь 2024'!$J$4:$J$1823,AD$1)</f>
        <v>0</v>
      </c>
      <c r="AE83" s="80">
        <f>SUMIFS('июнь 2024'!$G$4:$G$1823,'июнь 2024'!$D$4:$D$1823,$B83,'июнь 2024'!$J$4:$J$1823,AE$1)</f>
        <v>0</v>
      </c>
      <c r="AF83" s="80">
        <f>SUMIFS('июнь 2024'!$G$4:$G$1823,'июнь 2024'!$D$4:$D$1823,$B83,'июнь 2024'!$J$4:$J$1823,AF$1)</f>
        <v>0</v>
      </c>
      <c r="AG83" s="80">
        <f>SUMIFS('июнь 2024'!$G$4:$G$1823,'июнь 2024'!$D$4:$D$1823,$B83,'июнь 2024'!$J$4:$J$1823,AG$1)</f>
        <v>0</v>
      </c>
      <c r="AH83" s="80">
        <f>SUMIFS('июнь 2024'!$G$4:$G$1823,'июнь 2024'!$D$4:$D$1823,$B83,'июнь 2024'!$J$4:$J$1823,AH$1)</f>
        <v>0</v>
      </c>
      <c r="AI83" s="21">
        <f t="shared" si="1"/>
        <v>0</v>
      </c>
    </row>
    <row r="84" spans="2:35" ht="15" customHeight="1" x14ac:dyDescent="0.25">
      <c r="B84" s="89" t="s">
        <v>196</v>
      </c>
      <c r="C84" s="88">
        <v>190</v>
      </c>
      <c r="D84" s="80">
        <f>SUMIFS('июнь 2024'!$G$4:$G$1823,'июнь 2024'!$D$4:$D$1823,$B84,'июнь 2024'!$J$4:$J$1823,D$1)</f>
        <v>0</v>
      </c>
      <c r="E84" s="80">
        <f>SUMIFS('июнь 2024'!$G$4:$G$1823,'июнь 2024'!$D$4:$D$1823,$B84,'июнь 2024'!$J$4:$J$1823,E$1)</f>
        <v>0</v>
      </c>
      <c r="F84" s="80">
        <f>SUMIFS('июнь 2024'!$G$4:$G$1823,'июнь 2024'!$D$4:$D$1823,$B84,'июнь 2024'!$J$4:$J$1823,F$1)</f>
        <v>0</v>
      </c>
      <c r="G84" s="80">
        <f>SUMIFS('июнь 2024'!$G$4:$G$1823,'июнь 2024'!$D$4:$D$1823,$B84,'июнь 2024'!$J$4:$J$1823,G$1)</f>
        <v>0</v>
      </c>
      <c r="H84" s="80">
        <f>SUMIFS('июнь 2024'!$G$4:$G$1823,'июнь 2024'!$D$4:$D$1823,$B84,'июнь 2024'!$J$4:$J$1823,H$1)</f>
        <v>0</v>
      </c>
      <c r="I84" s="80">
        <f>SUMIFS('июнь 2024'!$G$4:$G$1823,'июнь 2024'!$D$4:$D$1823,$B84,'июнь 2024'!$J$4:$J$1823,I$1)</f>
        <v>0</v>
      </c>
      <c r="J84" s="80">
        <f>SUMIFS('июнь 2024'!$G$4:$G$1823,'июнь 2024'!$D$4:$D$1823,$B84,'июнь 2024'!$J$4:$J$1823,J$1)</f>
        <v>0</v>
      </c>
      <c r="K84" s="80">
        <f>SUMIFS('июнь 2024'!$G$4:$G$1823,'июнь 2024'!$D$4:$D$1823,$B84,'июнь 2024'!$J$4:$J$1823,K$1)</f>
        <v>0</v>
      </c>
      <c r="L84" s="80">
        <f>SUMIFS('июнь 2024'!$G$4:$G$1823,'июнь 2024'!$D$4:$D$1823,$B84,'июнь 2024'!$J$4:$J$1823,L$1)</f>
        <v>0</v>
      </c>
      <c r="M84" s="80">
        <f>SUMIFS('июнь 2024'!$G$4:$G$1823,'июнь 2024'!$D$4:$D$1823,$B84,'июнь 2024'!$J$4:$J$1823,M$1)</f>
        <v>0</v>
      </c>
      <c r="N84" s="80">
        <f>SUMIFS('июнь 2024'!$G$4:$G$1823,'июнь 2024'!$D$4:$D$1823,$B84,'июнь 2024'!$J$4:$J$1823,N$1)</f>
        <v>0</v>
      </c>
      <c r="O84" s="80">
        <f>SUMIFS('июнь 2024'!$G$4:$G$1823,'июнь 2024'!$D$4:$D$1823,$B84,'июнь 2024'!$J$4:$J$1823,O$1)</f>
        <v>0</v>
      </c>
      <c r="P84" s="80">
        <f>SUMIFS('июнь 2024'!$G$4:$G$1823,'июнь 2024'!$D$4:$D$1823,$B84,'июнь 2024'!$J$4:$J$1823,P$1)</f>
        <v>0</v>
      </c>
      <c r="Q84" s="80">
        <f>SUMIFS('июнь 2024'!$G$4:$G$1823,'июнь 2024'!$D$4:$D$1823,$B84,'июнь 2024'!$J$4:$J$1823,Q$1)</f>
        <v>0</v>
      </c>
      <c r="R84" s="80">
        <f>SUMIFS('июнь 2024'!$G$4:$G$1823,'июнь 2024'!$D$4:$D$1823,$B84,'июнь 2024'!$J$4:$J$1823,R$1)</f>
        <v>0</v>
      </c>
      <c r="S84" s="80">
        <f>SUMIFS('июнь 2024'!$G$4:$G$1823,'июнь 2024'!$D$4:$D$1823,$B84,'июнь 2024'!$J$4:$J$1823,S$1)</f>
        <v>0</v>
      </c>
      <c r="T84" s="80">
        <f>SUMIFS('июнь 2024'!$G$4:$G$1823,'июнь 2024'!$D$4:$D$1823,$B84,'июнь 2024'!$J$4:$J$1823,T$1)</f>
        <v>0</v>
      </c>
      <c r="U84" s="80">
        <f>SUMIFS('июнь 2024'!$G$4:$G$1823,'июнь 2024'!$D$4:$D$1823,$B84,'июнь 2024'!$J$4:$J$1823,U$1)</f>
        <v>0</v>
      </c>
      <c r="V84" s="80">
        <f>SUMIFS('июнь 2024'!$G$4:$G$1823,'июнь 2024'!$D$4:$D$1823,$B84,'июнь 2024'!$J$4:$J$1823,V$1)</f>
        <v>0</v>
      </c>
      <c r="W84" s="80">
        <f>SUMIFS('июнь 2024'!$G$4:$G$1823,'июнь 2024'!$D$4:$D$1823,$B84,'июнь 2024'!$J$4:$J$1823,W$1)</f>
        <v>0</v>
      </c>
      <c r="X84" s="80">
        <f>SUMIFS('июнь 2024'!$G$4:$G$1823,'июнь 2024'!$D$4:$D$1823,$B84,'июнь 2024'!$J$4:$J$1823,X$1)</f>
        <v>0</v>
      </c>
      <c r="Y84" s="80">
        <f>SUMIFS('июнь 2024'!$G$4:$G$1823,'июнь 2024'!$D$4:$D$1823,$B84,'июнь 2024'!$J$4:$J$1823,Y$1)</f>
        <v>0</v>
      </c>
      <c r="Z84" s="80">
        <f>SUMIFS('июнь 2024'!$G$4:$G$1823,'июнь 2024'!$D$4:$D$1823,$B84,'июнь 2024'!$J$4:$J$1823,Z$1)</f>
        <v>0</v>
      </c>
      <c r="AA84" s="80">
        <f>SUMIFS('июнь 2024'!$G$4:$G$1823,'июнь 2024'!$D$4:$D$1823,$B84,'июнь 2024'!$J$4:$J$1823,AA$1)</f>
        <v>0</v>
      </c>
      <c r="AB84" s="80">
        <f>SUMIFS('июнь 2024'!$G$4:$G$1823,'июнь 2024'!$D$4:$D$1823,$B84,'июнь 2024'!$J$4:$J$1823,AB$1)</f>
        <v>0</v>
      </c>
      <c r="AC84" s="80">
        <f>SUMIFS('июнь 2024'!$G$4:$G$1823,'июнь 2024'!$D$4:$D$1823,$B84,'июнь 2024'!$J$4:$J$1823,AC$1)</f>
        <v>0</v>
      </c>
      <c r="AD84" s="80">
        <f>SUMIFS('июнь 2024'!$G$4:$G$1823,'июнь 2024'!$D$4:$D$1823,$B84,'июнь 2024'!$J$4:$J$1823,AD$1)</f>
        <v>0</v>
      </c>
      <c r="AE84" s="80">
        <f>SUMIFS('июнь 2024'!$G$4:$G$1823,'июнь 2024'!$D$4:$D$1823,$B84,'июнь 2024'!$J$4:$J$1823,AE$1)</f>
        <v>0</v>
      </c>
      <c r="AF84" s="80">
        <f>SUMIFS('июнь 2024'!$G$4:$G$1823,'июнь 2024'!$D$4:$D$1823,$B84,'июнь 2024'!$J$4:$J$1823,AF$1)</f>
        <v>0</v>
      </c>
      <c r="AG84" s="80">
        <f>SUMIFS('июнь 2024'!$G$4:$G$1823,'июнь 2024'!$D$4:$D$1823,$B84,'июнь 2024'!$J$4:$J$1823,AG$1)</f>
        <v>0</v>
      </c>
      <c r="AH84" s="80">
        <f>SUMIFS('июнь 2024'!$G$4:$G$1823,'июнь 2024'!$D$4:$D$1823,$B84,'июнь 2024'!$J$4:$J$1823,AH$1)</f>
        <v>0</v>
      </c>
      <c r="AI84" s="21">
        <f t="shared" si="1"/>
        <v>0</v>
      </c>
    </row>
    <row r="85" spans="2:35" ht="15" customHeight="1" x14ac:dyDescent="0.25">
      <c r="B85" s="89" t="s">
        <v>217</v>
      </c>
      <c r="C85" s="88">
        <v>190</v>
      </c>
      <c r="D85" s="80">
        <f>SUMIFS('июнь 2024'!$G$4:$G$1823,'июнь 2024'!$D$4:$D$1823,$B85,'июнь 2024'!$J$4:$J$1823,D$1)</f>
        <v>0</v>
      </c>
      <c r="E85" s="80">
        <f>SUMIFS('июнь 2024'!$G$4:$G$1823,'июнь 2024'!$D$4:$D$1823,$B85,'июнь 2024'!$J$4:$J$1823,E$1)</f>
        <v>0</v>
      </c>
      <c r="F85" s="80">
        <f>SUMIFS('июнь 2024'!$G$4:$G$1823,'июнь 2024'!$D$4:$D$1823,$B85,'июнь 2024'!$J$4:$J$1823,F$1)</f>
        <v>0</v>
      </c>
      <c r="G85" s="80">
        <f>SUMIFS('июнь 2024'!$G$4:$G$1823,'июнь 2024'!$D$4:$D$1823,$B85,'июнь 2024'!$J$4:$J$1823,G$1)</f>
        <v>0</v>
      </c>
      <c r="H85" s="80">
        <f>SUMIFS('июнь 2024'!$G$4:$G$1823,'июнь 2024'!$D$4:$D$1823,$B85,'июнь 2024'!$J$4:$J$1823,H$1)</f>
        <v>0</v>
      </c>
      <c r="I85" s="80">
        <f>SUMIFS('июнь 2024'!$G$4:$G$1823,'июнь 2024'!$D$4:$D$1823,$B85,'июнь 2024'!$J$4:$J$1823,I$1)</f>
        <v>0</v>
      </c>
      <c r="J85" s="80">
        <f>SUMIFS('июнь 2024'!$G$4:$G$1823,'июнь 2024'!$D$4:$D$1823,$B85,'июнь 2024'!$J$4:$J$1823,J$1)</f>
        <v>0</v>
      </c>
      <c r="K85" s="80">
        <f>SUMIFS('июнь 2024'!$G$4:$G$1823,'июнь 2024'!$D$4:$D$1823,$B85,'июнь 2024'!$J$4:$J$1823,K$1)</f>
        <v>0</v>
      </c>
      <c r="L85" s="80">
        <f>SUMIFS('июнь 2024'!$G$4:$G$1823,'июнь 2024'!$D$4:$D$1823,$B85,'июнь 2024'!$J$4:$J$1823,L$1)</f>
        <v>0</v>
      </c>
      <c r="M85" s="80">
        <f>SUMIFS('июнь 2024'!$G$4:$G$1823,'июнь 2024'!$D$4:$D$1823,$B85,'июнь 2024'!$J$4:$J$1823,M$1)</f>
        <v>0</v>
      </c>
      <c r="N85" s="80">
        <f>SUMIFS('июнь 2024'!$G$4:$G$1823,'июнь 2024'!$D$4:$D$1823,$B85,'июнь 2024'!$J$4:$J$1823,N$1)</f>
        <v>0</v>
      </c>
      <c r="O85" s="80">
        <f>SUMIFS('июнь 2024'!$G$4:$G$1823,'июнь 2024'!$D$4:$D$1823,$B85,'июнь 2024'!$J$4:$J$1823,O$1)</f>
        <v>0</v>
      </c>
      <c r="P85" s="80">
        <f>SUMIFS('июнь 2024'!$G$4:$G$1823,'июнь 2024'!$D$4:$D$1823,$B85,'июнь 2024'!$J$4:$J$1823,P$1)</f>
        <v>0</v>
      </c>
      <c r="Q85" s="80">
        <f>SUMIFS('июнь 2024'!$G$4:$G$1823,'июнь 2024'!$D$4:$D$1823,$B85,'июнь 2024'!$J$4:$J$1823,Q$1)</f>
        <v>0</v>
      </c>
      <c r="R85" s="80">
        <f>SUMIFS('июнь 2024'!$G$4:$G$1823,'июнь 2024'!$D$4:$D$1823,$B85,'июнь 2024'!$J$4:$J$1823,R$1)</f>
        <v>0</v>
      </c>
      <c r="S85" s="80">
        <f>SUMIFS('июнь 2024'!$G$4:$G$1823,'июнь 2024'!$D$4:$D$1823,$B85,'июнь 2024'!$J$4:$J$1823,S$1)</f>
        <v>0</v>
      </c>
      <c r="T85" s="80">
        <f>SUMIFS('июнь 2024'!$G$4:$G$1823,'июнь 2024'!$D$4:$D$1823,$B85,'июнь 2024'!$J$4:$J$1823,T$1)</f>
        <v>0</v>
      </c>
      <c r="U85" s="80">
        <f>SUMIFS('июнь 2024'!$G$4:$G$1823,'июнь 2024'!$D$4:$D$1823,$B85,'июнь 2024'!$J$4:$J$1823,U$1)</f>
        <v>0</v>
      </c>
      <c r="V85" s="80">
        <f>SUMIFS('июнь 2024'!$G$4:$G$1823,'июнь 2024'!$D$4:$D$1823,$B85,'июнь 2024'!$J$4:$J$1823,V$1)</f>
        <v>0</v>
      </c>
      <c r="W85" s="80">
        <f>SUMIFS('июнь 2024'!$G$4:$G$1823,'июнь 2024'!$D$4:$D$1823,$B85,'июнь 2024'!$J$4:$J$1823,W$1)</f>
        <v>0</v>
      </c>
      <c r="X85" s="80">
        <f>SUMIFS('июнь 2024'!$G$4:$G$1823,'июнь 2024'!$D$4:$D$1823,$B85,'июнь 2024'!$J$4:$J$1823,X$1)</f>
        <v>0</v>
      </c>
      <c r="Y85" s="80">
        <f>SUMIFS('июнь 2024'!$G$4:$G$1823,'июнь 2024'!$D$4:$D$1823,$B85,'июнь 2024'!$J$4:$J$1823,Y$1)</f>
        <v>0</v>
      </c>
      <c r="Z85" s="80">
        <f>SUMIFS('июнь 2024'!$G$4:$G$1823,'июнь 2024'!$D$4:$D$1823,$B85,'июнь 2024'!$J$4:$J$1823,Z$1)</f>
        <v>0</v>
      </c>
      <c r="AA85" s="80">
        <f>SUMIFS('июнь 2024'!$G$4:$G$1823,'июнь 2024'!$D$4:$D$1823,$B85,'июнь 2024'!$J$4:$J$1823,AA$1)</f>
        <v>0</v>
      </c>
      <c r="AB85" s="80">
        <f>SUMIFS('июнь 2024'!$G$4:$G$1823,'июнь 2024'!$D$4:$D$1823,$B85,'июнь 2024'!$J$4:$J$1823,AB$1)</f>
        <v>0</v>
      </c>
      <c r="AC85" s="80">
        <f>SUMIFS('июнь 2024'!$G$4:$G$1823,'июнь 2024'!$D$4:$D$1823,$B85,'июнь 2024'!$J$4:$J$1823,AC$1)</f>
        <v>0</v>
      </c>
      <c r="AD85" s="80">
        <f>SUMIFS('июнь 2024'!$G$4:$G$1823,'июнь 2024'!$D$4:$D$1823,$B85,'июнь 2024'!$J$4:$J$1823,AD$1)</f>
        <v>0</v>
      </c>
      <c r="AE85" s="80">
        <f>SUMIFS('июнь 2024'!$G$4:$G$1823,'июнь 2024'!$D$4:$D$1823,$B85,'июнь 2024'!$J$4:$J$1823,AE$1)</f>
        <v>0</v>
      </c>
      <c r="AF85" s="80">
        <f>SUMIFS('июнь 2024'!$G$4:$G$1823,'июнь 2024'!$D$4:$D$1823,$B85,'июнь 2024'!$J$4:$J$1823,AF$1)</f>
        <v>0</v>
      </c>
      <c r="AG85" s="80">
        <f>SUMIFS('июнь 2024'!$G$4:$G$1823,'июнь 2024'!$D$4:$D$1823,$B85,'июнь 2024'!$J$4:$J$1823,AG$1)</f>
        <v>0</v>
      </c>
      <c r="AH85" s="80">
        <f>SUMIFS('июнь 2024'!$G$4:$G$1823,'июнь 2024'!$D$4:$D$1823,$B85,'июнь 2024'!$J$4:$J$1823,AH$1)</f>
        <v>0</v>
      </c>
      <c r="AI85" s="21">
        <f t="shared" si="1"/>
        <v>0</v>
      </c>
    </row>
    <row r="86" spans="2:35" ht="15" customHeight="1" x14ac:dyDescent="0.25">
      <c r="B86" s="93" t="s">
        <v>179</v>
      </c>
      <c r="C86" s="88">
        <v>190</v>
      </c>
      <c r="D86" s="80">
        <f>SUMIFS('июнь 2024'!$G$4:$G$1823,'июнь 2024'!$D$4:$D$1823,$B86,'июнь 2024'!$J$4:$J$1823,D$1)</f>
        <v>0</v>
      </c>
      <c r="E86" s="80">
        <f>SUMIFS('июнь 2024'!$G$4:$G$1823,'июнь 2024'!$D$4:$D$1823,$B86,'июнь 2024'!$J$4:$J$1823,E$1)</f>
        <v>0</v>
      </c>
      <c r="F86" s="80">
        <f>SUMIFS('июнь 2024'!$G$4:$G$1823,'июнь 2024'!$D$4:$D$1823,$B86,'июнь 2024'!$J$4:$J$1823,F$1)</f>
        <v>0</v>
      </c>
      <c r="G86" s="80">
        <f>SUMIFS('июнь 2024'!$G$4:$G$1823,'июнь 2024'!$D$4:$D$1823,$B86,'июнь 2024'!$J$4:$J$1823,G$1)</f>
        <v>0</v>
      </c>
      <c r="H86" s="80">
        <f>SUMIFS('июнь 2024'!$G$4:$G$1823,'июнь 2024'!$D$4:$D$1823,$B86,'июнь 2024'!$J$4:$J$1823,H$1)</f>
        <v>0</v>
      </c>
      <c r="I86" s="80">
        <f>SUMIFS('июнь 2024'!$G$4:$G$1823,'июнь 2024'!$D$4:$D$1823,$B86,'июнь 2024'!$J$4:$J$1823,I$1)</f>
        <v>0</v>
      </c>
      <c r="J86" s="80">
        <f>SUMIFS('июнь 2024'!$G$4:$G$1823,'июнь 2024'!$D$4:$D$1823,$B86,'июнь 2024'!$J$4:$J$1823,J$1)</f>
        <v>0</v>
      </c>
      <c r="K86" s="80">
        <f>SUMIFS('июнь 2024'!$G$4:$G$1823,'июнь 2024'!$D$4:$D$1823,$B86,'июнь 2024'!$J$4:$J$1823,K$1)</f>
        <v>0</v>
      </c>
      <c r="L86" s="80">
        <f>SUMIFS('июнь 2024'!$G$4:$G$1823,'июнь 2024'!$D$4:$D$1823,$B86,'июнь 2024'!$J$4:$J$1823,L$1)</f>
        <v>0</v>
      </c>
      <c r="M86" s="80">
        <f>SUMIFS('июнь 2024'!$G$4:$G$1823,'июнь 2024'!$D$4:$D$1823,$B86,'июнь 2024'!$J$4:$J$1823,M$1)</f>
        <v>0</v>
      </c>
      <c r="N86" s="80">
        <f>SUMIFS('июнь 2024'!$G$4:$G$1823,'июнь 2024'!$D$4:$D$1823,$B86,'июнь 2024'!$J$4:$J$1823,N$1)</f>
        <v>0</v>
      </c>
      <c r="O86" s="80">
        <f>SUMIFS('июнь 2024'!$G$4:$G$1823,'июнь 2024'!$D$4:$D$1823,$B86,'июнь 2024'!$J$4:$J$1823,O$1)</f>
        <v>0</v>
      </c>
      <c r="P86" s="80">
        <f>SUMIFS('июнь 2024'!$G$4:$G$1823,'июнь 2024'!$D$4:$D$1823,$B86,'июнь 2024'!$J$4:$J$1823,P$1)</f>
        <v>0</v>
      </c>
      <c r="Q86" s="80">
        <f>SUMIFS('июнь 2024'!$G$4:$G$1823,'июнь 2024'!$D$4:$D$1823,$B86,'июнь 2024'!$J$4:$J$1823,Q$1)</f>
        <v>0</v>
      </c>
      <c r="R86" s="80">
        <f>SUMIFS('июнь 2024'!$G$4:$G$1823,'июнь 2024'!$D$4:$D$1823,$B86,'июнь 2024'!$J$4:$J$1823,R$1)</f>
        <v>0</v>
      </c>
      <c r="S86" s="80">
        <f>SUMIFS('июнь 2024'!$G$4:$G$1823,'июнь 2024'!$D$4:$D$1823,$B86,'июнь 2024'!$J$4:$J$1823,S$1)</f>
        <v>0</v>
      </c>
      <c r="T86" s="80">
        <f>SUMIFS('июнь 2024'!$G$4:$G$1823,'июнь 2024'!$D$4:$D$1823,$B86,'июнь 2024'!$J$4:$J$1823,T$1)</f>
        <v>0</v>
      </c>
      <c r="U86" s="80">
        <f>SUMIFS('июнь 2024'!$G$4:$G$1823,'июнь 2024'!$D$4:$D$1823,$B86,'июнь 2024'!$J$4:$J$1823,U$1)</f>
        <v>0</v>
      </c>
      <c r="V86" s="80">
        <f>SUMIFS('июнь 2024'!$G$4:$G$1823,'июнь 2024'!$D$4:$D$1823,$B86,'июнь 2024'!$J$4:$J$1823,V$1)</f>
        <v>0</v>
      </c>
      <c r="W86" s="80">
        <f>SUMIFS('июнь 2024'!$G$4:$G$1823,'июнь 2024'!$D$4:$D$1823,$B86,'июнь 2024'!$J$4:$J$1823,W$1)</f>
        <v>0</v>
      </c>
      <c r="X86" s="80">
        <f>SUMIFS('июнь 2024'!$G$4:$G$1823,'июнь 2024'!$D$4:$D$1823,$B86,'июнь 2024'!$J$4:$J$1823,X$1)</f>
        <v>0</v>
      </c>
      <c r="Y86" s="80">
        <f>SUMIFS('июнь 2024'!$G$4:$G$1823,'июнь 2024'!$D$4:$D$1823,$B86,'июнь 2024'!$J$4:$J$1823,Y$1)</f>
        <v>0</v>
      </c>
      <c r="Z86" s="80">
        <f>SUMIFS('июнь 2024'!$G$4:$G$1823,'июнь 2024'!$D$4:$D$1823,$B86,'июнь 2024'!$J$4:$J$1823,Z$1)</f>
        <v>0</v>
      </c>
      <c r="AA86" s="80">
        <f>SUMIFS('июнь 2024'!$G$4:$G$1823,'июнь 2024'!$D$4:$D$1823,$B86,'июнь 2024'!$J$4:$J$1823,AA$1)</f>
        <v>0</v>
      </c>
      <c r="AB86" s="80">
        <f>SUMIFS('июнь 2024'!$G$4:$G$1823,'июнь 2024'!$D$4:$D$1823,$B86,'июнь 2024'!$J$4:$J$1823,AB$1)</f>
        <v>0</v>
      </c>
      <c r="AC86" s="80">
        <f>SUMIFS('июнь 2024'!$G$4:$G$1823,'июнь 2024'!$D$4:$D$1823,$B86,'июнь 2024'!$J$4:$J$1823,AC$1)</f>
        <v>0</v>
      </c>
      <c r="AD86" s="80">
        <f>SUMIFS('июнь 2024'!$G$4:$G$1823,'июнь 2024'!$D$4:$D$1823,$B86,'июнь 2024'!$J$4:$J$1823,AD$1)</f>
        <v>0</v>
      </c>
      <c r="AE86" s="80">
        <f>SUMIFS('июнь 2024'!$G$4:$G$1823,'июнь 2024'!$D$4:$D$1823,$B86,'июнь 2024'!$J$4:$J$1823,AE$1)</f>
        <v>0</v>
      </c>
      <c r="AF86" s="80">
        <f>SUMIFS('июнь 2024'!$G$4:$G$1823,'июнь 2024'!$D$4:$D$1823,$B86,'июнь 2024'!$J$4:$J$1823,AF$1)</f>
        <v>0</v>
      </c>
      <c r="AG86" s="80">
        <f>SUMIFS('июнь 2024'!$G$4:$G$1823,'июнь 2024'!$D$4:$D$1823,$B86,'июнь 2024'!$J$4:$J$1823,AG$1)</f>
        <v>0</v>
      </c>
      <c r="AH86" s="80">
        <f>SUMIFS('июнь 2024'!$G$4:$G$1823,'июнь 2024'!$D$4:$D$1823,$B86,'июнь 2024'!$J$4:$J$1823,AH$1)</f>
        <v>0</v>
      </c>
      <c r="AI86" s="21">
        <f t="shared" si="1"/>
        <v>0</v>
      </c>
    </row>
    <row r="87" spans="2:35" ht="15" customHeight="1" x14ac:dyDescent="0.25">
      <c r="B87" s="93" t="s">
        <v>192</v>
      </c>
      <c r="C87" s="91">
        <v>180</v>
      </c>
      <c r="D87" s="80">
        <f>SUMIFS('июнь 2024'!$G$4:$G$1823,'июнь 2024'!$D$4:$D$1823,$B87,'июнь 2024'!$J$4:$J$1823,D$1)</f>
        <v>0</v>
      </c>
      <c r="E87" s="80">
        <f>SUMIFS('июнь 2024'!$G$4:$G$1823,'июнь 2024'!$D$4:$D$1823,$B87,'июнь 2024'!$J$4:$J$1823,E$1)</f>
        <v>0</v>
      </c>
      <c r="F87" s="80">
        <f>SUMIFS('июнь 2024'!$G$4:$G$1823,'июнь 2024'!$D$4:$D$1823,$B87,'июнь 2024'!$J$4:$J$1823,F$1)</f>
        <v>0</v>
      </c>
      <c r="G87" s="80">
        <f>SUMIFS('июнь 2024'!$G$4:$G$1823,'июнь 2024'!$D$4:$D$1823,$B87,'июнь 2024'!$J$4:$J$1823,G$1)</f>
        <v>0</v>
      </c>
      <c r="H87" s="80">
        <f>SUMIFS('июнь 2024'!$G$4:$G$1823,'июнь 2024'!$D$4:$D$1823,$B87,'июнь 2024'!$J$4:$J$1823,H$1)</f>
        <v>0</v>
      </c>
      <c r="I87" s="80">
        <f>SUMIFS('июнь 2024'!$G$4:$G$1823,'июнь 2024'!$D$4:$D$1823,$B87,'июнь 2024'!$J$4:$J$1823,I$1)</f>
        <v>0</v>
      </c>
      <c r="J87" s="80">
        <f>SUMIFS('июнь 2024'!$G$4:$G$1823,'июнь 2024'!$D$4:$D$1823,$B87,'июнь 2024'!$J$4:$J$1823,J$1)</f>
        <v>0</v>
      </c>
      <c r="K87" s="80">
        <f>SUMIFS('июнь 2024'!$G$4:$G$1823,'июнь 2024'!$D$4:$D$1823,$B87,'июнь 2024'!$J$4:$J$1823,K$1)</f>
        <v>0</v>
      </c>
      <c r="L87" s="80">
        <f>SUMIFS('июнь 2024'!$G$4:$G$1823,'июнь 2024'!$D$4:$D$1823,$B87,'июнь 2024'!$J$4:$J$1823,L$1)</f>
        <v>0</v>
      </c>
      <c r="M87" s="80">
        <f>SUMIFS('июнь 2024'!$G$4:$G$1823,'июнь 2024'!$D$4:$D$1823,$B87,'июнь 2024'!$J$4:$J$1823,M$1)</f>
        <v>0</v>
      </c>
      <c r="N87" s="80">
        <f>SUMIFS('июнь 2024'!$G$4:$G$1823,'июнь 2024'!$D$4:$D$1823,$B87,'июнь 2024'!$J$4:$J$1823,N$1)</f>
        <v>0</v>
      </c>
      <c r="O87" s="80">
        <f>SUMIFS('июнь 2024'!$G$4:$G$1823,'июнь 2024'!$D$4:$D$1823,$B87,'июнь 2024'!$J$4:$J$1823,O$1)</f>
        <v>0</v>
      </c>
      <c r="P87" s="80">
        <f>SUMIFS('июнь 2024'!$G$4:$G$1823,'июнь 2024'!$D$4:$D$1823,$B87,'июнь 2024'!$J$4:$J$1823,P$1)</f>
        <v>0</v>
      </c>
      <c r="Q87" s="80">
        <f>SUMIFS('июнь 2024'!$G$4:$G$1823,'июнь 2024'!$D$4:$D$1823,$B87,'июнь 2024'!$J$4:$J$1823,Q$1)</f>
        <v>0</v>
      </c>
      <c r="R87" s="80">
        <f>SUMIFS('июнь 2024'!$G$4:$G$1823,'июнь 2024'!$D$4:$D$1823,$B87,'июнь 2024'!$J$4:$J$1823,R$1)</f>
        <v>0</v>
      </c>
      <c r="S87" s="80">
        <f>SUMIFS('июнь 2024'!$G$4:$G$1823,'июнь 2024'!$D$4:$D$1823,$B87,'июнь 2024'!$J$4:$J$1823,S$1)</f>
        <v>0</v>
      </c>
      <c r="T87" s="80">
        <f>SUMIFS('июнь 2024'!$G$4:$G$1823,'июнь 2024'!$D$4:$D$1823,$B87,'июнь 2024'!$J$4:$J$1823,T$1)</f>
        <v>0</v>
      </c>
      <c r="U87" s="80">
        <f>SUMIFS('июнь 2024'!$G$4:$G$1823,'июнь 2024'!$D$4:$D$1823,$B87,'июнь 2024'!$J$4:$J$1823,U$1)</f>
        <v>0</v>
      </c>
      <c r="V87" s="80">
        <f>SUMIFS('июнь 2024'!$G$4:$G$1823,'июнь 2024'!$D$4:$D$1823,$B87,'июнь 2024'!$J$4:$J$1823,V$1)</f>
        <v>0</v>
      </c>
      <c r="W87" s="80">
        <f>SUMIFS('июнь 2024'!$G$4:$G$1823,'июнь 2024'!$D$4:$D$1823,$B87,'июнь 2024'!$J$4:$J$1823,W$1)</f>
        <v>0</v>
      </c>
      <c r="X87" s="80">
        <f>SUMIFS('июнь 2024'!$G$4:$G$1823,'июнь 2024'!$D$4:$D$1823,$B87,'июнь 2024'!$J$4:$J$1823,X$1)</f>
        <v>0</v>
      </c>
      <c r="Y87" s="80">
        <f>SUMIFS('июнь 2024'!$G$4:$G$1823,'июнь 2024'!$D$4:$D$1823,$B87,'июнь 2024'!$J$4:$J$1823,Y$1)</f>
        <v>0</v>
      </c>
      <c r="Z87" s="80">
        <f>SUMIFS('июнь 2024'!$G$4:$G$1823,'июнь 2024'!$D$4:$D$1823,$B87,'июнь 2024'!$J$4:$J$1823,Z$1)</f>
        <v>0</v>
      </c>
      <c r="AA87" s="80">
        <f>SUMIFS('июнь 2024'!$G$4:$G$1823,'июнь 2024'!$D$4:$D$1823,$B87,'июнь 2024'!$J$4:$J$1823,AA$1)</f>
        <v>0</v>
      </c>
      <c r="AB87" s="80">
        <f>SUMIFS('июнь 2024'!$G$4:$G$1823,'июнь 2024'!$D$4:$D$1823,$B87,'июнь 2024'!$J$4:$J$1823,AB$1)</f>
        <v>0</v>
      </c>
      <c r="AC87" s="80">
        <f>SUMIFS('июнь 2024'!$G$4:$G$1823,'июнь 2024'!$D$4:$D$1823,$B87,'июнь 2024'!$J$4:$J$1823,AC$1)</f>
        <v>0</v>
      </c>
      <c r="AD87" s="80">
        <f>SUMIFS('июнь 2024'!$G$4:$G$1823,'июнь 2024'!$D$4:$D$1823,$B87,'июнь 2024'!$J$4:$J$1823,AD$1)</f>
        <v>0</v>
      </c>
      <c r="AE87" s="80">
        <f>SUMIFS('июнь 2024'!$G$4:$G$1823,'июнь 2024'!$D$4:$D$1823,$B87,'июнь 2024'!$J$4:$J$1823,AE$1)</f>
        <v>0</v>
      </c>
      <c r="AF87" s="80">
        <f>SUMIFS('июнь 2024'!$G$4:$G$1823,'июнь 2024'!$D$4:$D$1823,$B87,'июнь 2024'!$J$4:$J$1823,AF$1)</f>
        <v>0</v>
      </c>
      <c r="AG87" s="80">
        <f>SUMIFS('июнь 2024'!$G$4:$G$1823,'июнь 2024'!$D$4:$D$1823,$B87,'июнь 2024'!$J$4:$J$1823,AG$1)</f>
        <v>0</v>
      </c>
      <c r="AH87" s="80">
        <f>SUMIFS('июнь 2024'!$G$4:$G$1823,'июнь 2024'!$D$4:$D$1823,$B87,'июнь 2024'!$J$4:$J$1823,AH$1)</f>
        <v>0</v>
      </c>
      <c r="AI87" s="21">
        <f t="shared" si="1"/>
        <v>0</v>
      </c>
    </row>
    <row r="88" spans="2:35" ht="15" customHeight="1" x14ac:dyDescent="0.25">
      <c r="B88" s="93" t="s">
        <v>887</v>
      </c>
      <c r="C88" s="91">
        <v>190</v>
      </c>
      <c r="D88" s="80">
        <f>SUMIFS('июнь 2024'!$G$4:$G$1823,'июнь 2024'!$D$4:$D$1823,$B88,'июнь 2024'!$J$4:$J$1823,D$1)</f>
        <v>0</v>
      </c>
      <c r="E88" s="80">
        <f>SUMIFS('июнь 2024'!$G$4:$G$1823,'июнь 2024'!$D$4:$D$1823,$B88,'июнь 2024'!$J$4:$J$1823,E$1)</f>
        <v>0</v>
      </c>
      <c r="F88" s="80">
        <f>SUMIFS('июнь 2024'!$G$4:$G$1823,'июнь 2024'!$D$4:$D$1823,$B88,'июнь 2024'!$J$4:$J$1823,F$1)</f>
        <v>0</v>
      </c>
      <c r="G88" s="80">
        <f>SUMIFS('июнь 2024'!$G$4:$G$1823,'июнь 2024'!$D$4:$D$1823,$B88,'июнь 2024'!$J$4:$J$1823,G$1)</f>
        <v>0</v>
      </c>
      <c r="H88" s="80">
        <f>SUMIFS('июнь 2024'!$G$4:$G$1823,'июнь 2024'!$D$4:$D$1823,$B88,'июнь 2024'!$J$4:$J$1823,H$1)</f>
        <v>0</v>
      </c>
      <c r="I88" s="80">
        <f>SUMIFS('июнь 2024'!$G$4:$G$1823,'июнь 2024'!$D$4:$D$1823,$B88,'июнь 2024'!$J$4:$J$1823,I$1)</f>
        <v>0</v>
      </c>
      <c r="J88" s="80">
        <f>SUMIFS('июнь 2024'!$G$4:$G$1823,'июнь 2024'!$D$4:$D$1823,$B88,'июнь 2024'!$J$4:$J$1823,J$1)</f>
        <v>0</v>
      </c>
      <c r="K88" s="80">
        <f>SUMIFS('июнь 2024'!$G$4:$G$1823,'июнь 2024'!$D$4:$D$1823,$B88,'июнь 2024'!$J$4:$J$1823,K$1)</f>
        <v>0</v>
      </c>
      <c r="L88" s="80">
        <f>SUMIFS('июнь 2024'!$G$4:$G$1823,'июнь 2024'!$D$4:$D$1823,$B88,'июнь 2024'!$J$4:$J$1823,L$1)</f>
        <v>0</v>
      </c>
      <c r="M88" s="80">
        <f>SUMIFS('июнь 2024'!$G$4:$G$1823,'июнь 2024'!$D$4:$D$1823,$B88,'июнь 2024'!$J$4:$J$1823,M$1)</f>
        <v>0</v>
      </c>
      <c r="N88" s="80">
        <f>SUMIFS('июнь 2024'!$G$4:$G$1823,'июнь 2024'!$D$4:$D$1823,$B88,'июнь 2024'!$J$4:$J$1823,N$1)</f>
        <v>0</v>
      </c>
      <c r="O88" s="80">
        <f>SUMIFS('июнь 2024'!$G$4:$G$1823,'июнь 2024'!$D$4:$D$1823,$B88,'июнь 2024'!$J$4:$J$1823,O$1)</f>
        <v>0</v>
      </c>
      <c r="P88" s="80">
        <f>SUMIFS('июнь 2024'!$G$4:$G$1823,'июнь 2024'!$D$4:$D$1823,$B88,'июнь 2024'!$J$4:$J$1823,P$1)</f>
        <v>0</v>
      </c>
      <c r="Q88" s="80">
        <f>SUMIFS('июнь 2024'!$G$4:$G$1823,'июнь 2024'!$D$4:$D$1823,$B88,'июнь 2024'!$J$4:$J$1823,Q$1)</f>
        <v>0</v>
      </c>
      <c r="R88" s="80">
        <f>SUMIFS('июнь 2024'!$G$4:$G$1823,'июнь 2024'!$D$4:$D$1823,$B88,'июнь 2024'!$J$4:$J$1823,R$1)</f>
        <v>0</v>
      </c>
      <c r="S88" s="80">
        <f>SUMIFS('июнь 2024'!$G$4:$G$1823,'июнь 2024'!$D$4:$D$1823,$B88,'июнь 2024'!$J$4:$J$1823,S$1)</f>
        <v>0</v>
      </c>
      <c r="T88" s="80">
        <f>SUMIFS('июнь 2024'!$G$4:$G$1823,'июнь 2024'!$D$4:$D$1823,$B88,'июнь 2024'!$J$4:$J$1823,T$1)</f>
        <v>0</v>
      </c>
      <c r="U88" s="80">
        <f>SUMIFS('июнь 2024'!$G$4:$G$1823,'июнь 2024'!$D$4:$D$1823,$B88,'июнь 2024'!$J$4:$J$1823,U$1)</f>
        <v>0</v>
      </c>
      <c r="V88" s="80">
        <f>SUMIFS('июнь 2024'!$G$4:$G$1823,'июнь 2024'!$D$4:$D$1823,$B88,'июнь 2024'!$J$4:$J$1823,V$1)</f>
        <v>0</v>
      </c>
      <c r="W88" s="80">
        <f>SUMIFS('июнь 2024'!$G$4:$G$1823,'июнь 2024'!$D$4:$D$1823,$B88,'июнь 2024'!$J$4:$J$1823,W$1)</f>
        <v>0</v>
      </c>
      <c r="X88" s="80">
        <f>SUMIFS('июнь 2024'!$G$4:$G$1823,'июнь 2024'!$D$4:$D$1823,$B88,'июнь 2024'!$J$4:$J$1823,X$1)</f>
        <v>0</v>
      </c>
      <c r="Y88" s="80">
        <f>SUMIFS('июнь 2024'!$G$4:$G$1823,'июнь 2024'!$D$4:$D$1823,$B88,'июнь 2024'!$J$4:$J$1823,Y$1)</f>
        <v>0</v>
      </c>
      <c r="Z88" s="80">
        <f>SUMIFS('июнь 2024'!$G$4:$G$1823,'июнь 2024'!$D$4:$D$1823,$B88,'июнь 2024'!$J$4:$J$1823,Z$1)</f>
        <v>0</v>
      </c>
      <c r="AA88" s="80">
        <f>SUMIFS('июнь 2024'!$G$4:$G$1823,'июнь 2024'!$D$4:$D$1823,$B88,'июнь 2024'!$J$4:$J$1823,AA$1)</f>
        <v>0</v>
      </c>
      <c r="AB88" s="80">
        <f>SUMIFS('июнь 2024'!$G$4:$G$1823,'июнь 2024'!$D$4:$D$1823,$B88,'июнь 2024'!$J$4:$J$1823,AB$1)</f>
        <v>0</v>
      </c>
      <c r="AC88" s="80">
        <f>SUMIFS('июнь 2024'!$G$4:$G$1823,'июнь 2024'!$D$4:$D$1823,$B88,'июнь 2024'!$J$4:$J$1823,AC$1)</f>
        <v>0</v>
      </c>
      <c r="AD88" s="80">
        <f>SUMIFS('июнь 2024'!$G$4:$G$1823,'июнь 2024'!$D$4:$D$1823,$B88,'июнь 2024'!$J$4:$J$1823,AD$1)</f>
        <v>0</v>
      </c>
      <c r="AE88" s="80">
        <f>SUMIFS('июнь 2024'!$G$4:$G$1823,'июнь 2024'!$D$4:$D$1823,$B88,'июнь 2024'!$J$4:$J$1823,AE$1)</f>
        <v>0</v>
      </c>
      <c r="AF88" s="80">
        <f>SUMIFS('июнь 2024'!$G$4:$G$1823,'июнь 2024'!$D$4:$D$1823,$B88,'июнь 2024'!$J$4:$J$1823,AF$1)</f>
        <v>0</v>
      </c>
      <c r="AG88" s="80">
        <f>SUMIFS('июнь 2024'!$G$4:$G$1823,'июнь 2024'!$D$4:$D$1823,$B88,'июнь 2024'!$J$4:$J$1823,AG$1)</f>
        <v>0</v>
      </c>
      <c r="AH88" s="80">
        <f>SUMIFS('июнь 2024'!$G$4:$G$1823,'июнь 2024'!$D$4:$D$1823,$B88,'июнь 2024'!$J$4:$J$1823,AH$1)</f>
        <v>0</v>
      </c>
      <c r="AI88" s="21">
        <f t="shared" si="1"/>
        <v>0</v>
      </c>
    </row>
    <row r="89" spans="2:35" ht="15" customHeight="1" x14ac:dyDescent="0.25">
      <c r="B89" s="93" t="s">
        <v>1286</v>
      </c>
      <c r="C89" s="91">
        <v>190</v>
      </c>
      <c r="D89" s="80">
        <f>SUMIFS('июнь 2024'!$G$4:$G$1823,'июнь 2024'!$D$4:$D$1823,$B89,'июнь 2024'!$J$4:$J$1823,D$1)</f>
        <v>0</v>
      </c>
      <c r="E89" s="80">
        <f>SUMIFS('июнь 2024'!$G$4:$G$1823,'июнь 2024'!$D$4:$D$1823,$B89,'июнь 2024'!$J$4:$J$1823,E$1)</f>
        <v>0</v>
      </c>
      <c r="F89" s="80">
        <f>SUMIFS('июнь 2024'!$G$4:$G$1823,'июнь 2024'!$D$4:$D$1823,$B89,'июнь 2024'!$J$4:$J$1823,F$1)</f>
        <v>0</v>
      </c>
      <c r="G89" s="80">
        <f>SUMIFS('июнь 2024'!$G$4:$G$1823,'июнь 2024'!$D$4:$D$1823,$B89,'июнь 2024'!$J$4:$J$1823,G$1)</f>
        <v>0</v>
      </c>
      <c r="H89" s="80">
        <f>SUMIFS('июнь 2024'!$G$4:$G$1823,'июнь 2024'!$D$4:$D$1823,$B89,'июнь 2024'!$J$4:$J$1823,H$1)</f>
        <v>0</v>
      </c>
      <c r="I89" s="80">
        <f>SUMIFS('июнь 2024'!$G$4:$G$1823,'июнь 2024'!$D$4:$D$1823,$B89,'июнь 2024'!$J$4:$J$1823,I$1)</f>
        <v>0</v>
      </c>
      <c r="J89" s="80">
        <f>SUMIFS('июнь 2024'!$G$4:$G$1823,'июнь 2024'!$D$4:$D$1823,$B89,'июнь 2024'!$J$4:$J$1823,J$1)</f>
        <v>0</v>
      </c>
      <c r="K89" s="80">
        <f>SUMIFS('июнь 2024'!$G$4:$G$1823,'июнь 2024'!$D$4:$D$1823,$B89,'июнь 2024'!$J$4:$J$1823,K$1)</f>
        <v>0</v>
      </c>
      <c r="L89" s="80">
        <f>SUMIFS('июнь 2024'!$G$4:$G$1823,'июнь 2024'!$D$4:$D$1823,$B89,'июнь 2024'!$J$4:$J$1823,L$1)</f>
        <v>0</v>
      </c>
      <c r="M89" s="80">
        <f>SUMIFS('июнь 2024'!$G$4:$G$1823,'июнь 2024'!$D$4:$D$1823,$B89,'июнь 2024'!$J$4:$J$1823,M$1)</f>
        <v>0</v>
      </c>
      <c r="N89" s="80">
        <f>SUMIFS('июнь 2024'!$G$4:$G$1823,'июнь 2024'!$D$4:$D$1823,$B89,'июнь 2024'!$J$4:$J$1823,N$1)</f>
        <v>0</v>
      </c>
      <c r="O89" s="80">
        <f>SUMIFS('июнь 2024'!$G$4:$G$1823,'июнь 2024'!$D$4:$D$1823,$B89,'июнь 2024'!$J$4:$J$1823,O$1)</f>
        <v>0</v>
      </c>
      <c r="P89" s="80">
        <f>SUMIFS('июнь 2024'!$G$4:$G$1823,'июнь 2024'!$D$4:$D$1823,$B89,'июнь 2024'!$J$4:$J$1823,P$1)</f>
        <v>0</v>
      </c>
      <c r="Q89" s="80">
        <f>SUMIFS('июнь 2024'!$G$4:$G$1823,'июнь 2024'!$D$4:$D$1823,$B89,'июнь 2024'!$J$4:$J$1823,Q$1)</f>
        <v>0</v>
      </c>
      <c r="R89" s="80">
        <f>SUMIFS('июнь 2024'!$G$4:$G$1823,'июнь 2024'!$D$4:$D$1823,$B89,'июнь 2024'!$J$4:$J$1823,R$1)</f>
        <v>0</v>
      </c>
      <c r="S89" s="80">
        <f>SUMIFS('июнь 2024'!$G$4:$G$1823,'июнь 2024'!$D$4:$D$1823,$B89,'июнь 2024'!$J$4:$J$1823,S$1)</f>
        <v>0</v>
      </c>
      <c r="T89" s="80">
        <f>SUMIFS('июнь 2024'!$G$4:$G$1823,'июнь 2024'!$D$4:$D$1823,$B89,'июнь 2024'!$J$4:$J$1823,T$1)</f>
        <v>0</v>
      </c>
      <c r="U89" s="80">
        <f>SUMIFS('июнь 2024'!$G$4:$G$1823,'июнь 2024'!$D$4:$D$1823,$B89,'июнь 2024'!$J$4:$J$1823,U$1)</f>
        <v>0</v>
      </c>
      <c r="V89" s="80">
        <f>SUMIFS('июнь 2024'!$G$4:$G$1823,'июнь 2024'!$D$4:$D$1823,$B89,'июнь 2024'!$J$4:$J$1823,V$1)</f>
        <v>0</v>
      </c>
      <c r="W89" s="80">
        <f>SUMIFS('июнь 2024'!$G$4:$G$1823,'июнь 2024'!$D$4:$D$1823,$B89,'июнь 2024'!$J$4:$J$1823,W$1)</f>
        <v>0</v>
      </c>
      <c r="X89" s="80">
        <f>SUMIFS('июнь 2024'!$G$4:$G$1823,'июнь 2024'!$D$4:$D$1823,$B89,'июнь 2024'!$J$4:$J$1823,X$1)</f>
        <v>0</v>
      </c>
      <c r="Y89" s="80">
        <f>SUMIFS('июнь 2024'!$G$4:$G$1823,'июнь 2024'!$D$4:$D$1823,$B89,'июнь 2024'!$J$4:$J$1823,Y$1)</f>
        <v>0</v>
      </c>
      <c r="Z89" s="80">
        <f>SUMIFS('июнь 2024'!$G$4:$G$1823,'июнь 2024'!$D$4:$D$1823,$B89,'июнь 2024'!$J$4:$J$1823,Z$1)</f>
        <v>0</v>
      </c>
      <c r="AA89" s="80">
        <f>SUMIFS('июнь 2024'!$G$4:$G$1823,'июнь 2024'!$D$4:$D$1823,$B89,'июнь 2024'!$J$4:$J$1823,AA$1)</f>
        <v>16</v>
      </c>
      <c r="AB89" s="80">
        <f>SUMIFS('июнь 2024'!$G$4:$G$1823,'июнь 2024'!$D$4:$D$1823,$B89,'июнь 2024'!$J$4:$J$1823,AB$1)</f>
        <v>0</v>
      </c>
      <c r="AC89" s="80">
        <f>SUMIFS('июнь 2024'!$G$4:$G$1823,'июнь 2024'!$D$4:$D$1823,$B89,'июнь 2024'!$J$4:$J$1823,AC$1)</f>
        <v>0</v>
      </c>
      <c r="AD89" s="80">
        <f>SUMIFS('июнь 2024'!$G$4:$G$1823,'июнь 2024'!$D$4:$D$1823,$B89,'июнь 2024'!$J$4:$J$1823,AD$1)</f>
        <v>0</v>
      </c>
      <c r="AE89" s="80">
        <f>SUMIFS('июнь 2024'!$G$4:$G$1823,'июнь 2024'!$D$4:$D$1823,$B89,'июнь 2024'!$J$4:$J$1823,AE$1)</f>
        <v>0</v>
      </c>
      <c r="AF89" s="80">
        <f>SUMIFS('июнь 2024'!$G$4:$G$1823,'июнь 2024'!$D$4:$D$1823,$B89,'июнь 2024'!$J$4:$J$1823,AF$1)</f>
        <v>0</v>
      </c>
      <c r="AG89" s="80">
        <f>SUMIFS('июнь 2024'!$G$4:$G$1823,'июнь 2024'!$D$4:$D$1823,$B89,'июнь 2024'!$J$4:$J$1823,AG$1)</f>
        <v>0</v>
      </c>
      <c r="AH89" s="80">
        <f>SUMIFS('июнь 2024'!$G$4:$G$1823,'июнь 2024'!$D$4:$D$1823,$B89,'июнь 2024'!$J$4:$J$1823,AH$1)</f>
        <v>0</v>
      </c>
      <c r="AI89" s="21">
        <f>SUM(D89:AH89)</f>
        <v>16</v>
      </c>
    </row>
    <row r="90" spans="2:35" ht="15" customHeight="1" x14ac:dyDescent="0.25">
      <c r="B90" s="93" t="s">
        <v>399</v>
      </c>
      <c r="C90" s="91">
        <v>190</v>
      </c>
      <c r="D90" s="80">
        <f>SUMIFS('июнь 2024'!$G$4:$G$1823,'июнь 2024'!$D$4:$D$1823,$B90,'июнь 2024'!$J$4:$J$1823,D$1)</f>
        <v>0</v>
      </c>
      <c r="E90" s="80">
        <f>SUMIFS('июнь 2024'!$G$4:$G$1823,'июнь 2024'!$D$4:$D$1823,$B90,'июнь 2024'!$J$4:$J$1823,E$1)</f>
        <v>0</v>
      </c>
      <c r="F90" s="80">
        <f>SUMIFS('июнь 2024'!$G$4:$G$1823,'июнь 2024'!$D$4:$D$1823,$B90,'июнь 2024'!$J$4:$J$1823,F$1)</f>
        <v>0</v>
      </c>
      <c r="G90" s="80">
        <f>SUMIFS('июнь 2024'!$G$4:$G$1823,'июнь 2024'!$D$4:$D$1823,$B90,'июнь 2024'!$J$4:$J$1823,G$1)</f>
        <v>0</v>
      </c>
      <c r="H90" s="80">
        <f>SUMIFS('июнь 2024'!$G$4:$G$1823,'июнь 2024'!$D$4:$D$1823,$B90,'июнь 2024'!$J$4:$J$1823,H$1)</f>
        <v>0</v>
      </c>
      <c r="I90" s="80">
        <f>SUMIFS('июнь 2024'!$G$4:$G$1823,'июнь 2024'!$D$4:$D$1823,$B90,'июнь 2024'!$J$4:$J$1823,I$1)</f>
        <v>0</v>
      </c>
      <c r="J90" s="80">
        <f>SUMIFS('июнь 2024'!$G$4:$G$1823,'июнь 2024'!$D$4:$D$1823,$B90,'июнь 2024'!$J$4:$J$1823,J$1)</f>
        <v>0</v>
      </c>
      <c r="K90" s="80">
        <f>SUMIFS('июнь 2024'!$G$4:$G$1823,'июнь 2024'!$D$4:$D$1823,$B90,'июнь 2024'!$J$4:$J$1823,K$1)</f>
        <v>0</v>
      </c>
      <c r="L90" s="80">
        <f>SUMIFS('июнь 2024'!$G$4:$G$1823,'июнь 2024'!$D$4:$D$1823,$B90,'июнь 2024'!$J$4:$J$1823,L$1)</f>
        <v>0</v>
      </c>
      <c r="M90" s="80">
        <f>SUMIFS('июнь 2024'!$G$4:$G$1823,'июнь 2024'!$D$4:$D$1823,$B90,'июнь 2024'!$J$4:$J$1823,M$1)</f>
        <v>0</v>
      </c>
      <c r="N90" s="80">
        <f>SUMIFS('июнь 2024'!$G$4:$G$1823,'июнь 2024'!$D$4:$D$1823,$B90,'июнь 2024'!$J$4:$J$1823,N$1)</f>
        <v>0</v>
      </c>
      <c r="O90" s="80">
        <f>SUMIFS('июнь 2024'!$G$4:$G$1823,'июнь 2024'!$D$4:$D$1823,$B90,'июнь 2024'!$J$4:$J$1823,O$1)</f>
        <v>0</v>
      </c>
      <c r="P90" s="80">
        <f>SUMIFS('июнь 2024'!$G$4:$G$1823,'июнь 2024'!$D$4:$D$1823,$B90,'июнь 2024'!$J$4:$J$1823,P$1)</f>
        <v>0</v>
      </c>
      <c r="Q90" s="80">
        <f>SUMIFS('июнь 2024'!$G$4:$G$1823,'июнь 2024'!$D$4:$D$1823,$B90,'июнь 2024'!$J$4:$J$1823,Q$1)</f>
        <v>0</v>
      </c>
      <c r="R90" s="80">
        <f>SUMIFS('июнь 2024'!$G$4:$G$1823,'июнь 2024'!$D$4:$D$1823,$B90,'июнь 2024'!$J$4:$J$1823,R$1)</f>
        <v>0</v>
      </c>
      <c r="S90" s="80">
        <f>SUMIFS('июнь 2024'!$G$4:$G$1823,'июнь 2024'!$D$4:$D$1823,$B90,'июнь 2024'!$J$4:$J$1823,S$1)</f>
        <v>0</v>
      </c>
      <c r="T90" s="80">
        <f>SUMIFS('июнь 2024'!$G$4:$G$1823,'июнь 2024'!$D$4:$D$1823,$B90,'июнь 2024'!$J$4:$J$1823,T$1)</f>
        <v>0</v>
      </c>
      <c r="U90" s="80">
        <f>SUMIFS('июнь 2024'!$G$4:$G$1823,'июнь 2024'!$D$4:$D$1823,$B90,'июнь 2024'!$J$4:$J$1823,U$1)</f>
        <v>0</v>
      </c>
      <c r="V90" s="80">
        <f>SUMIFS('июнь 2024'!$G$4:$G$1823,'июнь 2024'!$D$4:$D$1823,$B90,'июнь 2024'!$J$4:$J$1823,V$1)</f>
        <v>0</v>
      </c>
      <c r="W90" s="80">
        <f>SUMIFS('июнь 2024'!$G$4:$G$1823,'июнь 2024'!$D$4:$D$1823,$B90,'июнь 2024'!$J$4:$J$1823,W$1)</f>
        <v>0</v>
      </c>
      <c r="X90" s="80">
        <f>SUMIFS('июнь 2024'!$G$4:$G$1823,'июнь 2024'!$D$4:$D$1823,$B90,'июнь 2024'!$J$4:$J$1823,X$1)</f>
        <v>0</v>
      </c>
      <c r="Y90" s="80">
        <f>SUMIFS('июнь 2024'!$G$4:$G$1823,'июнь 2024'!$D$4:$D$1823,$B90,'июнь 2024'!$J$4:$J$1823,Y$1)</f>
        <v>0</v>
      </c>
      <c r="Z90" s="80">
        <f>SUMIFS('июнь 2024'!$G$4:$G$1823,'июнь 2024'!$D$4:$D$1823,$B90,'июнь 2024'!$J$4:$J$1823,Z$1)</f>
        <v>0</v>
      </c>
      <c r="AA90" s="80">
        <f>SUMIFS('июнь 2024'!$G$4:$G$1823,'июнь 2024'!$D$4:$D$1823,$B90,'июнь 2024'!$J$4:$J$1823,AA$1)</f>
        <v>0</v>
      </c>
      <c r="AB90" s="80">
        <f>SUMIFS('июнь 2024'!$G$4:$G$1823,'июнь 2024'!$D$4:$D$1823,$B90,'июнь 2024'!$J$4:$J$1823,AB$1)</f>
        <v>0</v>
      </c>
      <c r="AC90" s="80">
        <f>SUMIFS('июнь 2024'!$G$4:$G$1823,'июнь 2024'!$D$4:$D$1823,$B90,'июнь 2024'!$J$4:$J$1823,AC$1)</f>
        <v>0</v>
      </c>
      <c r="AD90" s="80">
        <f>SUMIFS('июнь 2024'!$G$4:$G$1823,'июнь 2024'!$D$4:$D$1823,$B90,'июнь 2024'!$J$4:$J$1823,AD$1)</f>
        <v>0</v>
      </c>
      <c r="AE90" s="80">
        <f>SUMIFS('июнь 2024'!$G$4:$G$1823,'июнь 2024'!$D$4:$D$1823,$B90,'июнь 2024'!$J$4:$J$1823,AE$1)</f>
        <v>0</v>
      </c>
      <c r="AF90" s="80">
        <f>SUMIFS('июнь 2024'!$G$4:$G$1823,'июнь 2024'!$D$4:$D$1823,$B90,'июнь 2024'!$J$4:$J$1823,AF$1)</f>
        <v>0</v>
      </c>
      <c r="AG90" s="80">
        <f>SUMIFS('июнь 2024'!$G$4:$G$1823,'июнь 2024'!$D$4:$D$1823,$B90,'июнь 2024'!$J$4:$J$1823,AG$1)</f>
        <v>0</v>
      </c>
      <c r="AH90" s="80">
        <f>SUMIFS('июнь 2024'!$G$4:$G$1823,'июнь 2024'!$D$4:$D$1823,$B90,'июнь 2024'!$J$4:$J$1823,AH$1)</f>
        <v>0</v>
      </c>
      <c r="AI90" s="21">
        <f t="shared" si="1"/>
        <v>0</v>
      </c>
    </row>
    <row r="91" spans="2:35" ht="15" customHeight="1" x14ac:dyDescent="0.25">
      <c r="B91" s="93" t="s">
        <v>322</v>
      </c>
      <c r="C91" s="91">
        <v>180</v>
      </c>
      <c r="D91" s="80">
        <f>SUMIFS('июнь 2024'!$G$4:$G$1823,'июнь 2024'!$D$4:$D$1823,$B91,'июнь 2024'!$J$4:$J$1823,D$1)</f>
        <v>0</v>
      </c>
      <c r="E91" s="80">
        <f>SUMIFS('июнь 2024'!$G$4:$G$1823,'июнь 2024'!$D$4:$D$1823,$B91,'июнь 2024'!$J$4:$J$1823,E$1)</f>
        <v>0</v>
      </c>
      <c r="F91" s="80">
        <f>SUMIFS('июнь 2024'!$G$4:$G$1823,'июнь 2024'!$D$4:$D$1823,$B91,'июнь 2024'!$J$4:$J$1823,F$1)</f>
        <v>0</v>
      </c>
      <c r="G91" s="80">
        <f>SUMIFS('июнь 2024'!$G$4:$G$1823,'июнь 2024'!$D$4:$D$1823,$B91,'июнь 2024'!$J$4:$J$1823,G$1)</f>
        <v>0</v>
      </c>
      <c r="H91" s="80">
        <f>SUMIFS('июнь 2024'!$G$4:$G$1823,'июнь 2024'!$D$4:$D$1823,$B91,'июнь 2024'!$J$4:$J$1823,H$1)</f>
        <v>0</v>
      </c>
      <c r="I91" s="80">
        <f>SUMIFS('июнь 2024'!$G$4:$G$1823,'июнь 2024'!$D$4:$D$1823,$B91,'июнь 2024'!$J$4:$J$1823,I$1)</f>
        <v>0</v>
      </c>
      <c r="J91" s="80">
        <f>SUMIFS('июнь 2024'!$G$4:$G$1823,'июнь 2024'!$D$4:$D$1823,$B91,'июнь 2024'!$J$4:$J$1823,J$1)</f>
        <v>0</v>
      </c>
      <c r="K91" s="80">
        <f>SUMIFS('июнь 2024'!$G$4:$G$1823,'июнь 2024'!$D$4:$D$1823,$B91,'июнь 2024'!$J$4:$J$1823,K$1)</f>
        <v>0</v>
      </c>
      <c r="L91" s="80">
        <f>SUMIFS('июнь 2024'!$G$4:$G$1823,'июнь 2024'!$D$4:$D$1823,$B91,'июнь 2024'!$J$4:$J$1823,L$1)</f>
        <v>0</v>
      </c>
      <c r="M91" s="80">
        <f>SUMIFS('июнь 2024'!$G$4:$G$1823,'июнь 2024'!$D$4:$D$1823,$B91,'июнь 2024'!$J$4:$J$1823,M$1)</f>
        <v>0</v>
      </c>
      <c r="N91" s="80">
        <f>SUMIFS('июнь 2024'!$G$4:$G$1823,'июнь 2024'!$D$4:$D$1823,$B91,'июнь 2024'!$J$4:$J$1823,N$1)</f>
        <v>0</v>
      </c>
      <c r="O91" s="80">
        <f>SUMIFS('июнь 2024'!$G$4:$G$1823,'июнь 2024'!$D$4:$D$1823,$B91,'июнь 2024'!$J$4:$J$1823,O$1)</f>
        <v>0</v>
      </c>
      <c r="P91" s="80">
        <f>SUMIFS('июнь 2024'!$G$4:$G$1823,'июнь 2024'!$D$4:$D$1823,$B91,'июнь 2024'!$J$4:$J$1823,P$1)</f>
        <v>0</v>
      </c>
      <c r="Q91" s="80">
        <f>SUMIFS('июнь 2024'!$G$4:$G$1823,'июнь 2024'!$D$4:$D$1823,$B91,'июнь 2024'!$J$4:$J$1823,Q$1)</f>
        <v>0</v>
      </c>
      <c r="R91" s="80">
        <f>SUMIFS('июнь 2024'!$G$4:$G$1823,'июнь 2024'!$D$4:$D$1823,$B91,'июнь 2024'!$J$4:$J$1823,R$1)</f>
        <v>0</v>
      </c>
      <c r="S91" s="80">
        <f>SUMIFS('июнь 2024'!$G$4:$G$1823,'июнь 2024'!$D$4:$D$1823,$B91,'июнь 2024'!$J$4:$J$1823,S$1)</f>
        <v>0</v>
      </c>
      <c r="T91" s="80">
        <f>SUMIFS('июнь 2024'!$G$4:$G$1823,'июнь 2024'!$D$4:$D$1823,$B91,'июнь 2024'!$J$4:$J$1823,T$1)</f>
        <v>0</v>
      </c>
      <c r="U91" s="80">
        <f>SUMIFS('июнь 2024'!$G$4:$G$1823,'июнь 2024'!$D$4:$D$1823,$B91,'июнь 2024'!$J$4:$J$1823,U$1)</f>
        <v>0</v>
      </c>
      <c r="V91" s="80">
        <f>SUMIFS('июнь 2024'!$G$4:$G$1823,'июнь 2024'!$D$4:$D$1823,$B91,'июнь 2024'!$J$4:$J$1823,V$1)</f>
        <v>0</v>
      </c>
      <c r="W91" s="80">
        <f>SUMIFS('июнь 2024'!$G$4:$G$1823,'июнь 2024'!$D$4:$D$1823,$B91,'июнь 2024'!$J$4:$J$1823,W$1)</f>
        <v>0</v>
      </c>
      <c r="X91" s="80">
        <f>SUMIFS('июнь 2024'!$G$4:$G$1823,'июнь 2024'!$D$4:$D$1823,$B91,'июнь 2024'!$J$4:$J$1823,X$1)</f>
        <v>0</v>
      </c>
      <c r="Y91" s="80">
        <f>SUMIFS('июнь 2024'!$G$4:$G$1823,'июнь 2024'!$D$4:$D$1823,$B91,'июнь 2024'!$J$4:$J$1823,Y$1)</f>
        <v>0</v>
      </c>
      <c r="Z91" s="80">
        <f>SUMIFS('июнь 2024'!$G$4:$G$1823,'июнь 2024'!$D$4:$D$1823,$B91,'июнь 2024'!$J$4:$J$1823,Z$1)</f>
        <v>0</v>
      </c>
      <c r="AA91" s="80">
        <f>SUMIFS('июнь 2024'!$G$4:$G$1823,'июнь 2024'!$D$4:$D$1823,$B91,'июнь 2024'!$J$4:$J$1823,AA$1)</f>
        <v>0</v>
      </c>
      <c r="AB91" s="80">
        <f>SUMIFS('июнь 2024'!$G$4:$G$1823,'июнь 2024'!$D$4:$D$1823,$B91,'июнь 2024'!$J$4:$J$1823,AB$1)</f>
        <v>0</v>
      </c>
      <c r="AC91" s="80">
        <f>SUMIFS('июнь 2024'!$G$4:$G$1823,'июнь 2024'!$D$4:$D$1823,$B91,'июнь 2024'!$J$4:$J$1823,AC$1)</f>
        <v>0</v>
      </c>
      <c r="AD91" s="80">
        <f>SUMIFS('июнь 2024'!$G$4:$G$1823,'июнь 2024'!$D$4:$D$1823,$B91,'июнь 2024'!$J$4:$J$1823,AD$1)</f>
        <v>0</v>
      </c>
      <c r="AE91" s="80">
        <f>SUMIFS('июнь 2024'!$G$4:$G$1823,'июнь 2024'!$D$4:$D$1823,$B91,'июнь 2024'!$J$4:$J$1823,AE$1)</f>
        <v>0</v>
      </c>
      <c r="AF91" s="80">
        <f>SUMIFS('июнь 2024'!$G$4:$G$1823,'июнь 2024'!$D$4:$D$1823,$B91,'июнь 2024'!$J$4:$J$1823,AF$1)</f>
        <v>0</v>
      </c>
      <c r="AG91" s="80">
        <f>SUMIFS('июнь 2024'!$G$4:$G$1823,'июнь 2024'!$D$4:$D$1823,$B91,'июнь 2024'!$J$4:$J$1823,AG$1)</f>
        <v>0</v>
      </c>
      <c r="AH91" s="80">
        <f>SUMIFS('июнь 2024'!$G$4:$G$1823,'июнь 2024'!$D$4:$D$1823,$B91,'июнь 2024'!$J$4:$J$1823,AH$1)</f>
        <v>0</v>
      </c>
      <c r="AI91" s="21">
        <f t="shared" si="1"/>
        <v>0</v>
      </c>
    </row>
    <row r="92" spans="2:35" ht="15" customHeight="1" x14ac:dyDescent="0.25">
      <c r="B92" s="93" t="s">
        <v>323</v>
      </c>
      <c r="C92" s="91">
        <v>180</v>
      </c>
      <c r="D92" s="80">
        <f>SUMIFS('июнь 2024'!$G$4:$G$1823,'июнь 2024'!$D$4:$D$1823,$B92,'июнь 2024'!$J$4:$J$1823,D$1)</f>
        <v>0</v>
      </c>
      <c r="E92" s="80">
        <f>SUMIFS('июнь 2024'!$G$4:$G$1823,'июнь 2024'!$D$4:$D$1823,$B92,'июнь 2024'!$J$4:$J$1823,E$1)</f>
        <v>0</v>
      </c>
      <c r="F92" s="80">
        <f>SUMIFS('июнь 2024'!$G$4:$G$1823,'июнь 2024'!$D$4:$D$1823,$B92,'июнь 2024'!$J$4:$J$1823,F$1)</f>
        <v>0</v>
      </c>
      <c r="G92" s="80">
        <f>SUMIFS('июнь 2024'!$G$4:$G$1823,'июнь 2024'!$D$4:$D$1823,$B92,'июнь 2024'!$J$4:$J$1823,G$1)</f>
        <v>0</v>
      </c>
      <c r="H92" s="80">
        <f>SUMIFS('июнь 2024'!$G$4:$G$1823,'июнь 2024'!$D$4:$D$1823,$B92,'июнь 2024'!$J$4:$J$1823,H$1)</f>
        <v>0</v>
      </c>
      <c r="I92" s="80">
        <f>SUMIFS('июнь 2024'!$G$4:$G$1823,'июнь 2024'!$D$4:$D$1823,$B92,'июнь 2024'!$J$4:$J$1823,I$1)</f>
        <v>0</v>
      </c>
      <c r="J92" s="80">
        <f>SUMIFS('июнь 2024'!$G$4:$G$1823,'июнь 2024'!$D$4:$D$1823,$B92,'июнь 2024'!$J$4:$J$1823,J$1)</f>
        <v>0</v>
      </c>
      <c r="K92" s="80">
        <f>SUMIFS('июнь 2024'!$G$4:$G$1823,'июнь 2024'!$D$4:$D$1823,$B92,'июнь 2024'!$J$4:$J$1823,K$1)</f>
        <v>0</v>
      </c>
      <c r="L92" s="80">
        <f>SUMIFS('июнь 2024'!$G$4:$G$1823,'июнь 2024'!$D$4:$D$1823,$B92,'июнь 2024'!$J$4:$J$1823,L$1)</f>
        <v>0</v>
      </c>
      <c r="M92" s="80">
        <f>SUMIFS('июнь 2024'!$G$4:$G$1823,'июнь 2024'!$D$4:$D$1823,$B92,'июнь 2024'!$J$4:$J$1823,M$1)</f>
        <v>0</v>
      </c>
      <c r="N92" s="80">
        <f>SUMIFS('июнь 2024'!$G$4:$G$1823,'июнь 2024'!$D$4:$D$1823,$B92,'июнь 2024'!$J$4:$J$1823,N$1)</f>
        <v>0</v>
      </c>
      <c r="O92" s="80">
        <f>SUMIFS('июнь 2024'!$G$4:$G$1823,'июнь 2024'!$D$4:$D$1823,$B92,'июнь 2024'!$J$4:$J$1823,O$1)</f>
        <v>0</v>
      </c>
      <c r="P92" s="80">
        <f>SUMIFS('июнь 2024'!$G$4:$G$1823,'июнь 2024'!$D$4:$D$1823,$B92,'июнь 2024'!$J$4:$J$1823,P$1)</f>
        <v>0</v>
      </c>
      <c r="Q92" s="80">
        <f>SUMIFS('июнь 2024'!$G$4:$G$1823,'июнь 2024'!$D$4:$D$1823,$B92,'июнь 2024'!$J$4:$J$1823,Q$1)</f>
        <v>0</v>
      </c>
      <c r="R92" s="80">
        <f>SUMIFS('июнь 2024'!$G$4:$G$1823,'июнь 2024'!$D$4:$D$1823,$B92,'июнь 2024'!$J$4:$J$1823,R$1)</f>
        <v>0</v>
      </c>
      <c r="S92" s="80">
        <f>SUMIFS('июнь 2024'!$G$4:$G$1823,'июнь 2024'!$D$4:$D$1823,$B92,'июнь 2024'!$J$4:$J$1823,S$1)</f>
        <v>0</v>
      </c>
      <c r="T92" s="80">
        <f>SUMIFS('июнь 2024'!$G$4:$G$1823,'июнь 2024'!$D$4:$D$1823,$B92,'июнь 2024'!$J$4:$J$1823,T$1)</f>
        <v>0</v>
      </c>
      <c r="U92" s="80">
        <f>SUMIFS('июнь 2024'!$G$4:$G$1823,'июнь 2024'!$D$4:$D$1823,$B92,'июнь 2024'!$J$4:$J$1823,U$1)</f>
        <v>0</v>
      </c>
      <c r="V92" s="80">
        <f>SUMIFS('июнь 2024'!$G$4:$G$1823,'июнь 2024'!$D$4:$D$1823,$B92,'июнь 2024'!$J$4:$J$1823,V$1)</f>
        <v>0</v>
      </c>
      <c r="W92" s="80">
        <f>SUMIFS('июнь 2024'!$G$4:$G$1823,'июнь 2024'!$D$4:$D$1823,$B92,'июнь 2024'!$J$4:$J$1823,W$1)</f>
        <v>0</v>
      </c>
      <c r="X92" s="80">
        <f>SUMIFS('июнь 2024'!$G$4:$G$1823,'июнь 2024'!$D$4:$D$1823,$B92,'июнь 2024'!$J$4:$J$1823,X$1)</f>
        <v>0</v>
      </c>
      <c r="Y92" s="80">
        <f>SUMIFS('июнь 2024'!$G$4:$G$1823,'июнь 2024'!$D$4:$D$1823,$B92,'июнь 2024'!$J$4:$J$1823,Y$1)</f>
        <v>0</v>
      </c>
      <c r="Z92" s="80">
        <f>SUMIFS('июнь 2024'!$G$4:$G$1823,'июнь 2024'!$D$4:$D$1823,$B92,'июнь 2024'!$J$4:$J$1823,Z$1)</f>
        <v>0</v>
      </c>
      <c r="AA92" s="80">
        <f>SUMIFS('июнь 2024'!$G$4:$G$1823,'июнь 2024'!$D$4:$D$1823,$B92,'июнь 2024'!$J$4:$J$1823,AA$1)</f>
        <v>0</v>
      </c>
      <c r="AB92" s="80">
        <f>SUMIFS('июнь 2024'!$G$4:$G$1823,'июнь 2024'!$D$4:$D$1823,$B92,'июнь 2024'!$J$4:$J$1823,AB$1)</f>
        <v>0</v>
      </c>
      <c r="AC92" s="80">
        <f>SUMIFS('июнь 2024'!$G$4:$G$1823,'июнь 2024'!$D$4:$D$1823,$B92,'июнь 2024'!$J$4:$J$1823,AC$1)</f>
        <v>0</v>
      </c>
      <c r="AD92" s="80">
        <f>SUMIFS('июнь 2024'!$G$4:$G$1823,'июнь 2024'!$D$4:$D$1823,$B92,'июнь 2024'!$J$4:$J$1823,AD$1)</f>
        <v>0</v>
      </c>
      <c r="AE92" s="80">
        <f>SUMIFS('июнь 2024'!$G$4:$G$1823,'июнь 2024'!$D$4:$D$1823,$B92,'июнь 2024'!$J$4:$J$1823,AE$1)</f>
        <v>0</v>
      </c>
      <c r="AF92" s="80">
        <f>SUMIFS('июнь 2024'!$G$4:$G$1823,'июнь 2024'!$D$4:$D$1823,$B92,'июнь 2024'!$J$4:$J$1823,AF$1)</f>
        <v>0</v>
      </c>
      <c r="AG92" s="80">
        <f>SUMIFS('июнь 2024'!$G$4:$G$1823,'июнь 2024'!$D$4:$D$1823,$B92,'июнь 2024'!$J$4:$J$1823,AG$1)</f>
        <v>0</v>
      </c>
      <c r="AH92" s="80">
        <f>SUMIFS('июнь 2024'!$G$4:$G$1823,'июнь 2024'!$D$4:$D$1823,$B92,'июнь 2024'!$J$4:$J$1823,AH$1)</f>
        <v>0</v>
      </c>
      <c r="AI92" s="21">
        <f t="shared" si="1"/>
        <v>0</v>
      </c>
    </row>
    <row r="93" spans="2:35" ht="15" customHeight="1" x14ac:dyDescent="0.25">
      <c r="B93" s="93" t="s">
        <v>513</v>
      </c>
      <c r="C93" s="91">
        <v>20</v>
      </c>
      <c r="D93" s="80">
        <f>SUMIFS('июнь 2024'!$G$4:$G$1823,'июнь 2024'!$D$4:$D$1823,$B93,'июнь 2024'!$J$4:$J$1823,D$1)</f>
        <v>0</v>
      </c>
      <c r="E93" s="80">
        <f>SUMIFS('июнь 2024'!$G$4:$G$1823,'июнь 2024'!$D$4:$D$1823,$B93,'июнь 2024'!$J$4:$J$1823,E$1)</f>
        <v>0</v>
      </c>
      <c r="F93" s="80">
        <f>SUMIFS('июнь 2024'!$G$4:$G$1823,'июнь 2024'!$D$4:$D$1823,$B93,'июнь 2024'!$J$4:$J$1823,F$1)</f>
        <v>0</v>
      </c>
      <c r="G93" s="80">
        <f>SUMIFS('июнь 2024'!$G$4:$G$1823,'июнь 2024'!$D$4:$D$1823,$B93,'июнь 2024'!$J$4:$J$1823,G$1)</f>
        <v>0</v>
      </c>
      <c r="H93" s="80">
        <f>SUMIFS('июнь 2024'!$G$4:$G$1823,'июнь 2024'!$D$4:$D$1823,$B93,'июнь 2024'!$J$4:$J$1823,H$1)</f>
        <v>0</v>
      </c>
      <c r="I93" s="80">
        <f>SUMIFS('июнь 2024'!$G$4:$G$1823,'июнь 2024'!$D$4:$D$1823,$B93,'июнь 2024'!$J$4:$J$1823,I$1)</f>
        <v>0</v>
      </c>
      <c r="J93" s="80">
        <f>SUMIFS('июнь 2024'!$G$4:$G$1823,'июнь 2024'!$D$4:$D$1823,$B93,'июнь 2024'!$J$4:$J$1823,J$1)</f>
        <v>0</v>
      </c>
      <c r="K93" s="80">
        <f>SUMIFS('июнь 2024'!$G$4:$G$1823,'июнь 2024'!$D$4:$D$1823,$B93,'июнь 2024'!$J$4:$J$1823,K$1)</f>
        <v>0</v>
      </c>
      <c r="L93" s="80">
        <f>SUMIFS('июнь 2024'!$G$4:$G$1823,'июнь 2024'!$D$4:$D$1823,$B93,'июнь 2024'!$J$4:$J$1823,L$1)</f>
        <v>0</v>
      </c>
      <c r="M93" s="80">
        <f>SUMIFS('июнь 2024'!$G$4:$G$1823,'июнь 2024'!$D$4:$D$1823,$B93,'июнь 2024'!$J$4:$J$1823,M$1)</f>
        <v>0</v>
      </c>
      <c r="N93" s="80">
        <f>SUMIFS('июнь 2024'!$G$4:$G$1823,'июнь 2024'!$D$4:$D$1823,$B93,'июнь 2024'!$J$4:$J$1823,N$1)</f>
        <v>0</v>
      </c>
      <c r="O93" s="80">
        <f>SUMIFS('июнь 2024'!$G$4:$G$1823,'июнь 2024'!$D$4:$D$1823,$B93,'июнь 2024'!$J$4:$J$1823,O$1)</f>
        <v>0</v>
      </c>
      <c r="P93" s="80">
        <f>SUMIFS('июнь 2024'!$G$4:$G$1823,'июнь 2024'!$D$4:$D$1823,$B93,'июнь 2024'!$J$4:$J$1823,P$1)</f>
        <v>0</v>
      </c>
      <c r="Q93" s="80">
        <f>SUMIFS('июнь 2024'!$G$4:$G$1823,'июнь 2024'!$D$4:$D$1823,$B93,'июнь 2024'!$J$4:$J$1823,Q$1)</f>
        <v>0</v>
      </c>
      <c r="R93" s="80">
        <f>SUMIFS('июнь 2024'!$G$4:$G$1823,'июнь 2024'!$D$4:$D$1823,$B93,'июнь 2024'!$J$4:$J$1823,R$1)</f>
        <v>0</v>
      </c>
      <c r="S93" s="80">
        <f>SUMIFS('июнь 2024'!$G$4:$G$1823,'июнь 2024'!$D$4:$D$1823,$B93,'июнь 2024'!$J$4:$J$1823,S$1)</f>
        <v>0</v>
      </c>
      <c r="T93" s="80">
        <f>SUMIFS('июнь 2024'!$G$4:$G$1823,'июнь 2024'!$D$4:$D$1823,$B93,'июнь 2024'!$J$4:$J$1823,T$1)</f>
        <v>0</v>
      </c>
      <c r="U93" s="80">
        <f>SUMIFS('июнь 2024'!$G$4:$G$1823,'июнь 2024'!$D$4:$D$1823,$B93,'июнь 2024'!$J$4:$J$1823,U$1)</f>
        <v>0</v>
      </c>
      <c r="V93" s="80">
        <f>SUMIFS('июнь 2024'!$G$4:$G$1823,'июнь 2024'!$D$4:$D$1823,$B93,'июнь 2024'!$J$4:$J$1823,V$1)</f>
        <v>0</v>
      </c>
      <c r="W93" s="80">
        <f>SUMIFS('июнь 2024'!$G$4:$G$1823,'июнь 2024'!$D$4:$D$1823,$B93,'июнь 2024'!$J$4:$J$1823,W$1)</f>
        <v>0</v>
      </c>
      <c r="X93" s="80">
        <f>SUMIFS('июнь 2024'!$G$4:$G$1823,'июнь 2024'!$D$4:$D$1823,$B93,'июнь 2024'!$J$4:$J$1823,X$1)</f>
        <v>0</v>
      </c>
      <c r="Y93" s="80">
        <f>SUMIFS('июнь 2024'!$G$4:$G$1823,'июнь 2024'!$D$4:$D$1823,$B93,'июнь 2024'!$J$4:$J$1823,Y$1)</f>
        <v>0</v>
      </c>
      <c r="Z93" s="80">
        <f>SUMIFS('июнь 2024'!$G$4:$G$1823,'июнь 2024'!$D$4:$D$1823,$B93,'июнь 2024'!$J$4:$J$1823,Z$1)</f>
        <v>0</v>
      </c>
      <c r="AA93" s="80">
        <f>SUMIFS('июнь 2024'!$G$4:$G$1823,'июнь 2024'!$D$4:$D$1823,$B93,'июнь 2024'!$J$4:$J$1823,AA$1)</f>
        <v>0</v>
      </c>
      <c r="AB93" s="80">
        <f>SUMIFS('июнь 2024'!$G$4:$G$1823,'июнь 2024'!$D$4:$D$1823,$B93,'июнь 2024'!$J$4:$J$1823,AB$1)</f>
        <v>5</v>
      </c>
      <c r="AC93" s="80">
        <f>SUMIFS('июнь 2024'!$G$4:$G$1823,'июнь 2024'!$D$4:$D$1823,$B93,'июнь 2024'!$J$4:$J$1823,AC$1)</f>
        <v>0</v>
      </c>
      <c r="AD93" s="80">
        <f>SUMIFS('июнь 2024'!$G$4:$G$1823,'июнь 2024'!$D$4:$D$1823,$B93,'июнь 2024'!$J$4:$J$1823,AD$1)</f>
        <v>0</v>
      </c>
      <c r="AE93" s="80">
        <f>SUMIFS('июнь 2024'!$G$4:$G$1823,'июнь 2024'!$D$4:$D$1823,$B93,'июнь 2024'!$J$4:$J$1823,AE$1)</f>
        <v>0</v>
      </c>
      <c r="AF93" s="80">
        <f>SUMIFS('июнь 2024'!$G$4:$G$1823,'июнь 2024'!$D$4:$D$1823,$B93,'июнь 2024'!$J$4:$J$1823,AF$1)</f>
        <v>0</v>
      </c>
      <c r="AG93" s="80">
        <f>SUMIFS('июнь 2024'!$G$4:$G$1823,'июнь 2024'!$D$4:$D$1823,$B93,'июнь 2024'!$J$4:$J$1823,AG$1)</f>
        <v>0</v>
      </c>
      <c r="AH93" s="80">
        <f>SUMIFS('июнь 2024'!$G$4:$G$1823,'июнь 2024'!$D$4:$D$1823,$B93,'июнь 2024'!$J$4:$J$1823,AH$1)</f>
        <v>0</v>
      </c>
      <c r="AI93" s="21">
        <f t="shared" si="1"/>
        <v>5</v>
      </c>
    </row>
    <row r="94" spans="2:35" ht="15" customHeight="1" x14ac:dyDescent="0.25">
      <c r="B94" s="93" t="s">
        <v>203</v>
      </c>
      <c r="C94" s="91">
        <v>180</v>
      </c>
      <c r="D94" s="80">
        <f>SUMIFS('июнь 2024'!$G$4:$G$1823,'июнь 2024'!$D$4:$D$1823,$B94,'июнь 2024'!$J$4:$J$1823,D$1)</f>
        <v>0</v>
      </c>
      <c r="E94" s="80">
        <f>SUMIFS('июнь 2024'!$G$4:$G$1823,'июнь 2024'!$D$4:$D$1823,$B94,'июнь 2024'!$J$4:$J$1823,E$1)</f>
        <v>0</v>
      </c>
      <c r="F94" s="80">
        <f>SUMIFS('июнь 2024'!$G$4:$G$1823,'июнь 2024'!$D$4:$D$1823,$B94,'июнь 2024'!$J$4:$J$1823,F$1)</f>
        <v>0</v>
      </c>
      <c r="G94" s="80">
        <f>SUMIFS('июнь 2024'!$G$4:$G$1823,'июнь 2024'!$D$4:$D$1823,$B94,'июнь 2024'!$J$4:$J$1823,G$1)</f>
        <v>0</v>
      </c>
      <c r="H94" s="80">
        <f>SUMIFS('июнь 2024'!$G$4:$G$1823,'июнь 2024'!$D$4:$D$1823,$B94,'июнь 2024'!$J$4:$J$1823,H$1)</f>
        <v>0</v>
      </c>
      <c r="I94" s="80">
        <f>SUMIFS('июнь 2024'!$G$4:$G$1823,'июнь 2024'!$D$4:$D$1823,$B94,'июнь 2024'!$J$4:$J$1823,I$1)</f>
        <v>0</v>
      </c>
      <c r="J94" s="80">
        <f>SUMIFS('июнь 2024'!$G$4:$G$1823,'июнь 2024'!$D$4:$D$1823,$B94,'июнь 2024'!$J$4:$J$1823,J$1)</f>
        <v>0</v>
      </c>
      <c r="K94" s="80">
        <f>SUMIFS('июнь 2024'!$G$4:$G$1823,'июнь 2024'!$D$4:$D$1823,$B94,'июнь 2024'!$J$4:$J$1823,K$1)</f>
        <v>0</v>
      </c>
      <c r="L94" s="80">
        <f>SUMIFS('июнь 2024'!$G$4:$G$1823,'июнь 2024'!$D$4:$D$1823,$B94,'июнь 2024'!$J$4:$J$1823,L$1)</f>
        <v>0</v>
      </c>
      <c r="M94" s="80">
        <f>SUMIFS('июнь 2024'!$G$4:$G$1823,'июнь 2024'!$D$4:$D$1823,$B94,'июнь 2024'!$J$4:$J$1823,M$1)</f>
        <v>0</v>
      </c>
      <c r="N94" s="80">
        <f>SUMIFS('июнь 2024'!$G$4:$G$1823,'июнь 2024'!$D$4:$D$1823,$B94,'июнь 2024'!$J$4:$J$1823,N$1)</f>
        <v>0</v>
      </c>
      <c r="O94" s="80">
        <f>SUMIFS('июнь 2024'!$G$4:$G$1823,'июнь 2024'!$D$4:$D$1823,$B94,'июнь 2024'!$J$4:$J$1823,O$1)</f>
        <v>0</v>
      </c>
      <c r="P94" s="80">
        <f>SUMIFS('июнь 2024'!$G$4:$G$1823,'июнь 2024'!$D$4:$D$1823,$B94,'июнь 2024'!$J$4:$J$1823,P$1)</f>
        <v>0</v>
      </c>
      <c r="Q94" s="80">
        <f>SUMIFS('июнь 2024'!$G$4:$G$1823,'июнь 2024'!$D$4:$D$1823,$B94,'июнь 2024'!$J$4:$J$1823,Q$1)</f>
        <v>0</v>
      </c>
      <c r="R94" s="80">
        <f>SUMIFS('июнь 2024'!$G$4:$G$1823,'июнь 2024'!$D$4:$D$1823,$B94,'июнь 2024'!$J$4:$J$1823,R$1)</f>
        <v>0</v>
      </c>
      <c r="S94" s="80">
        <f>SUMIFS('июнь 2024'!$G$4:$G$1823,'июнь 2024'!$D$4:$D$1823,$B94,'июнь 2024'!$J$4:$J$1823,S$1)</f>
        <v>0</v>
      </c>
      <c r="T94" s="80">
        <f>SUMIFS('июнь 2024'!$G$4:$G$1823,'июнь 2024'!$D$4:$D$1823,$B94,'июнь 2024'!$J$4:$J$1823,T$1)</f>
        <v>0</v>
      </c>
      <c r="U94" s="80">
        <f>SUMIFS('июнь 2024'!$G$4:$G$1823,'июнь 2024'!$D$4:$D$1823,$B94,'июнь 2024'!$J$4:$J$1823,U$1)</f>
        <v>0</v>
      </c>
      <c r="V94" s="80">
        <f>SUMIFS('июнь 2024'!$G$4:$G$1823,'июнь 2024'!$D$4:$D$1823,$B94,'июнь 2024'!$J$4:$J$1823,V$1)</f>
        <v>0</v>
      </c>
      <c r="W94" s="80">
        <f>SUMIFS('июнь 2024'!$G$4:$G$1823,'июнь 2024'!$D$4:$D$1823,$B94,'июнь 2024'!$J$4:$J$1823,W$1)</f>
        <v>0</v>
      </c>
      <c r="X94" s="80">
        <f>SUMIFS('июнь 2024'!$G$4:$G$1823,'июнь 2024'!$D$4:$D$1823,$B94,'июнь 2024'!$J$4:$J$1823,X$1)</f>
        <v>0</v>
      </c>
      <c r="Y94" s="80">
        <f>SUMIFS('июнь 2024'!$G$4:$G$1823,'июнь 2024'!$D$4:$D$1823,$B94,'июнь 2024'!$J$4:$J$1823,Y$1)</f>
        <v>0</v>
      </c>
      <c r="Z94" s="80">
        <f>SUMIFS('июнь 2024'!$G$4:$G$1823,'июнь 2024'!$D$4:$D$1823,$B94,'июнь 2024'!$J$4:$J$1823,Z$1)</f>
        <v>0</v>
      </c>
      <c r="AA94" s="80">
        <f>SUMIFS('июнь 2024'!$G$4:$G$1823,'июнь 2024'!$D$4:$D$1823,$B94,'июнь 2024'!$J$4:$J$1823,AA$1)</f>
        <v>0</v>
      </c>
      <c r="AB94" s="80">
        <f>SUMIFS('июнь 2024'!$G$4:$G$1823,'июнь 2024'!$D$4:$D$1823,$B94,'июнь 2024'!$J$4:$J$1823,AB$1)</f>
        <v>0</v>
      </c>
      <c r="AC94" s="80">
        <f>SUMIFS('июнь 2024'!$G$4:$G$1823,'июнь 2024'!$D$4:$D$1823,$B94,'июнь 2024'!$J$4:$J$1823,AC$1)</f>
        <v>0</v>
      </c>
      <c r="AD94" s="80">
        <f>SUMIFS('июнь 2024'!$G$4:$G$1823,'июнь 2024'!$D$4:$D$1823,$B94,'июнь 2024'!$J$4:$J$1823,AD$1)</f>
        <v>0</v>
      </c>
      <c r="AE94" s="80">
        <f>SUMIFS('июнь 2024'!$G$4:$G$1823,'июнь 2024'!$D$4:$D$1823,$B94,'июнь 2024'!$J$4:$J$1823,AE$1)</f>
        <v>0</v>
      </c>
      <c r="AF94" s="80">
        <f>SUMIFS('июнь 2024'!$G$4:$G$1823,'июнь 2024'!$D$4:$D$1823,$B94,'июнь 2024'!$J$4:$J$1823,AF$1)</f>
        <v>0</v>
      </c>
      <c r="AG94" s="80">
        <f>SUMIFS('июнь 2024'!$G$4:$G$1823,'июнь 2024'!$D$4:$D$1823,$B94,'июнь 2024'!$J$4:$J$1823,AG$1)</f>
        <v>0</v>
      </c>
      <c r="AH94" s="80">
        <f>SUMIFS('июнь 2024'!$G$4:$G$1823,'июнь 2024'!$D$4:$D$1823,$B94,'июнь 2024'!$J$4:$J$1823,AH$1)</f>
        <v>0</v>
      </c>
      <c r="AI94" s="21">
        <f t="shared" si="1"/>
        <v>0</v>
      </c>
    </row>
    <row r="95" spans="2:35" ht="15" customHeight="1" x14ac:dyDescent="0.25">
      <c r="B95" s="89" t="s">
        <v>204</v>
      </c>
      <c r="C95" s="88">
        <v>200</v>
      </c>
      <c r="D95" s="80">
        <f>SUMIFS('июнь 2024'!$G$4:$G$1823,'июнь 2024'!$D$4:$D$1823,$B95,'июнь 2024'!$J$4:$J$1823,D$1)</f>
        <v>0</v>
      </c>
      <c r="E95" s="80">
        <f>SUMIFS('июнь 2024'!$G$4:$G$1823,'июнь 2024'!$D$4:$D$1823,$B95,'июнь 2024'!$J$4:$J$1823,E$1)</f>
        <v>0</v>
      </c>
      <c r="F95" s="80">
        <f>SUMIFS('июнь 2024'!$G$4:$G$1823,'июнь 2024'!$D$4:$D$1823,$B95,'июнь 2024'!$J$4:$J$1823,F$1)</f>
        <v>0</v>
      </c>
      <c r="G95" s="80">
        <f>SUMIFS('июнь 2024'!$G$4:$G$1823,'июнь 2024'!$D$4:$D$1823,$B95,'июнь 2024'!$J$4:$J$1823,G$1)</f>
        <v>0</v>
      </c>
      <c r="H95" s="80">
        <f>SUMIFS('июнь 2024'!$G$4:$G$1823,'июнь 2024'!$D$4:$D$1823,$B95,'июнь 2024'!$J$4:$J$1823,H$1)</f>
        <v>0</v>
      </c>
      <c r="I95" s="80">
        <f>SUMIFS('июнь 2024'!$G$4:$G$1823,'июнь 2024'!$D$4:$D$1823,$B95,'июнь 2024'!$J$4:$J$1823,I$1)</f>
        <v>0</v>
      </c>
      <c r="J95" s="80">
        <f>SUMIFS('июнь 2024'!$G$4:$G$1823,'июнь 2024'!$D$4:$D$1823,$B95,'июнь 2024'!$J$4:$J$1823,J$1)</f>
        <v>0</v>
      </c>
      <c r="K95" s="80">
        <f>SUMIFS('июнь 2024'!$G$4:$G$1823,'июнь 2024'!$D$4:$D$1823,$B95,'июнь 2024'!$J$4:$J$1823,K$1)</f>
        <v>0</v>
      </c>
      <c r="L95" s="80">
        <f>SUMIFS('июнь 2024'!$G$4:$G$1823,'июнь 2024'!$D$4:$D$1823,$B95,'июнь 2024'!$J$4:$J$1823,L$1)</f>
        <v>0</v>
      </c>
      <c r="M95" s="80">
        <f>SUMIFS('июнь 2024'!$G$4:$G$1823,'июнь 2024'!$D$4:$D$1823,$B95,'июнь 2024'!$J$4:$J$1823,M$1)</f>
        <v>0</v>
      </c>
      <c r="N95" s="80">
        <f>SUMIFS('июнь 2024'!$G$4:$G$1823,'июнь 2024'!$D$4:$D$1823,$B95,'июнь 2024'!$J$4:$J$1823,N$1)</f>
        <v>0</v>
      </c>
      <c r="O95" s="80">
        <f>SUMIFS('июнь 2024'!$G$4:$G$1823,'июнь 2024'!$D$4:$D$1823,$B95,'июнь 2024'!$J$4:$J$1823,O$1)</f>
        <v>0</v>
      </c>
      <c r="P95" s="80">
        <f>SUMIFS('июнь 2024'!$G$4:$G$1823,'июнь 2024'!$D$4:$D$1823,$B95,'июнь 2024'!$J$4:$J$1823,P$1)</f>
        <v>0</v>
      </c>
      <c r="Q95" s="80">
        <f>SUMIFS('июнь 2024'!$G$4:$G$1823,'июнь 2024'!$D$4:$D$1823,$B95,'июнь 2024'!$J$4:$J$1823,Q$1)</f>
        <v>0</v>
      </c>
      <c r="R95" s="80">
        <f>SUMIFS('июнь 2024'!$G$4:$G$1823,'июнь 2024'!$D$4:$D$1823,$B95,'июнь 2024'!$J$4:$J$1823,R$1)</f>
        <v>0</v>
      </c>
      <c r="S95" s="80">
        <f>SUMIFS('июнь 2024'!$G$4:$G$1823,'июнь 2024'!$D$4:$D$1823,$B95,'июнь 2024'!$J$4:$J$1823,S$1)</f>
        <v>0</v>
      </c>
      <c r="T95" s="80">
        <f>SUMIFS('июнь 2024'!$G$4:$G$1823,'июнь 2024'!$D$4:$D$1823,$B95,'июнь 2024'!$J$4:$J$1823,T$1)</f>
        <v>24</v>
      </c>
      <c r="U95" s="80">
        <f>SUMIFS('июнь 2024'!$G$4:$G$1823,'июнь 2024'!$D$4:$D$1823,$B95,'июнь 2024'!$J$4:$J$1823,U$1)</f>
        <v>0</v>
      </c>
      <c r="V95" s="80">
        <f>SUMIFS('июнь 2024'!$G$4:$G$1823,'июнь 2024'!$D$4:$D$1823,$B95,'июнь 2024'!$J$4:$J$1823,V$1)</f>
        <v>0</v>
      </c>
      <c r="W95" s="80">
        <f>SUMIFS('июнь 2024'!$G$4:$G$1823,'июнь 2024'!$D$4:$D$1823,$B95,'июнь 2024'!$J$4:$J$1823,W$1)</f>
        <v>0</v>
      </c>
      <c r="X95" s="80">
        <f>SUMIFS('июнь 2024'!$G$4:$G$1823,'июнь 2024'!$D$4:$D$1823,$B95,'июнь 2024'!$J$4:$J$1823,X$1)</f>
        <v>0</v>
      </c>
      <c r="Y95" s="80">
        <f>SUMIFS('июнь 2024'!$G$4:$G$1823,'июнь 2024'!$D$4:$D$1823,$B95,'июнь 2024'!$J$4:$J$1823,Y$1)</f>
        <v>0</v>
      </c>
      <c r="Z95" s="80">
        <f>SUMIFS('июнь 2024'!$G$4:$G$1823,'июнь 2024'!$D$4:$D$1823,$B95,'июнь 2024'!$J$4:$J$1823,Z$1)</f>
        <v>0</v>
      </c>
      <c r="AA95" s="80">
        <f>SUMIFS('июнь 2024'!$G$4:$G$1823,'июнь 2024'!$D$4:$D$1823,$B95,'июнь 2024'!$J$4:$J$1823,AA$1)</f>
        <v>0</v>
      </c>
      <c r="AB95" s="80">
        <f>SUMIFS('июнь 2024'!$G$4:$G$1823,'июнь 2024'!$D$4:$D$1823,$B95,'июнь 2024'!$J$4:$J$1823,AB$1)</f>
        <v>0</v>
      </c>
      <c r="AC95" s="80">
        <f>SUMIFS('июнь 2024'!$G$4:$G$1823,'июнь 2024'!$D$4:$D$1823,$B95,'июнь 2024'!$J$4:$J$1823,AC$1)</f>
        <v>0</v>
      </c>
      <c r="AD95" s="80">
        <f>SUMIFS('июнь 2024'!$G$4:$G$1823,'июнь 2024'!$D$4:$D$1823,$B95,'июнь 2024'!$J$4:$J$1823,AD$1)</f>
        <v>0</v>
      </c>
      <c r="AE95" s="80">
        <f>SUMIFS('июнь 2024'!$G$4:$G$1823,'июнь 2024'!$D$4:$D$1823,$B95,'июнь 2024'!$J$4:$J$1823,AE$1)</f>
        <v>0</v>
      </c>
      <c r="AF95" s="80">
        <f>SUMIFS('июнь 2024'!$G$4:$G$1823,'июнь 2024'!$D$4:$D$1823,$B95,'июнь 2024'!$J$4:$J$1823,AF$1)</f>
        <v>0</v>
      </c>
      <c r="AG95" s="80">
        <f>SUMIFS('июнь 2024'!$G$4:$G$1823,'июнь 2024'!$D$4:$D$1823,$B95,'июнь 2024'!$J$4:$J$1823,AG$1)</f>
        <v>0</v>
      </c>
      <c r="AH95" s="80">
        <f>SUMIFS('июнь 2024'!$G$4:$G$1823,'июнь 2024'!$D$4:$D$1823,$B95,'июнь 2024'!$J$4:$J$1823,AH$1)</f>
        <v>0</v>
      </c>
      <c r="AI95" s="21">
        <f t="shared" si="1"/>
        <v>24</v>
      </c>
    </row>
    <row r="96" spans="2:35" ht="15" customHeight="1" x14ac:dyDescent="0.25">
      <c r="B96" s="92" t="s">
        <v>175</v>
      </c>
      <c r="C96" s="91">
        <v>180</v>
      </c>
      <c r="D96" s="80">
        <f>SUMIFS('июнь 2024'!$G$4:$G$1823,'июнь 2024'!$D$4:$D$1823,$B96,'июнь 2024'!$J$4:$J$1823,D$1)</f>
        <v>0</v>
      </c>
      <c r="E96" s="80">
        <f>SUMIFS('июнь 2024'!$G$4:$G$1823,'июнь 2024'!$D$4:$D$1823,$B96,'июнь 2024'!$J$4:$J$1823,E$1)</f>
        <v>0</v>
      </c>
      <c r="F96" s="80">
        <f>SUMIFS('июнь 2024'!$G$4:$G$1823,'июнь 2024'!$D$4:$D$1823,$B96,'июнь 2024'!$J$4:$J$1823,F$1)</f>
        <v>0</v>
      </c>
      <c r="G96" s="80">
        <f>SUMIFS('июнь 2024'!$G$4:$G$1823,'июнь 2024'!$D$4:$D$1823,$B96,'июнь 2024'!$J$4:$J$1823,G$1)</f>
        <v>0</v>
      </c>
      <c r="H96" s="80">
        <f>SUMIFS('июнь 2024'!$G$4:$G$1823,'июнь 2024'!$D$4:$D$1823,$B96,'июнь 2024'!$J$4:$J$1823,H$1)</f>
        <v>0</v>
      </c>
      <c r="I96" s="80">
        <f>SUMIFS('июнь 2024'!$G$4:$G$1823,'июнь 2024'!$D$4:$D$1823,$B96,'июнь 2024'!$J$4:$J$1823,I$1)</f>
        <v>0</v>
      </c>
      <c r="J96" s="80">
        <f>SUMIFS('июнь 2024'!$G$4:$G$1823,'июнь 2024'!$D$4:$D$1823,$B96,'июнь 2024'!$J$4:$J$1823,J$1)</f>
        <v>0</v>
      </c>
      <c r="K96" s="80">
        <f>SUMIFS('июнь 2024'!$G$4:$G$1823,'июнь 2024'!$D$4:$D$1823,$B96,'июнь 2024'!$J$4:$J$1823,K$1)</f>
        <v>0</v>
      </c>
      <c r="L96" s="80">
        <f>SUMIFS('июнь 2024'!$G$4:$G$1823,'июнь 2024'!$D$4:$D$1823,$B96,'июнь 2024'!$J$4:$J$1823,L$1)</f>
        <v>0</v>
      </c>
      <c r="M96" s="80">
        <f>SUMIFS('июнь 2024'!$G$4:$G$1823,'июнь 2024'!$D$4:$D$1823,$B96,'июнь 2024'!$J$4:$J$1823,M$1)</f>
        <v>0</v>
      </c>
      <c r="N96" s="80">
        <f>SUMIFS('июнь 2024'!$G$4:$G$1823,'июнь 2024'!$D$4:$D$1823,$B96,'июнь 2024'!$J$4:$J$1823,N$1)</f>
        <v>0</v>
      </c>
      <c r="O96" s="80">
        <f>SUMIFS('июнь 2024'!$G$4:$G$1823,'июнь 2024'!$D$4:$D$1823,$B96,'июнь 2024'!$J$4:$J$1823,O$1)</f>
        <v>0</v>
      </c>
      <c r="P96" s="80">
        <f>SUMIFS('июнь 2024'!$G$4:$G$1823,'июнь 2024'!$D$4:$D$1823,$B96,'июнь 2024'!$J$4:$J$1823,P$1)</f>
        <v>0</v>
      </c>
      <c r="Q96" s="80">
        <f>SUMIFS('июнь 2024'!$G$4:$G$1823,'июнь 2024'!$D$4:$D$1823,$B96,'июнь 2024'!$J$4:$J$1823,Q$1)</f>
        <v>0</v>
      </c>
      <c r="R96" s="80">
        <f>SUMIFS('июнь 2024'!$G$4:$G$1823,'июнь 2024'!$D$4:$D$1823,$B96,'июнь 2024'!$J$4:$J$1823,R$1)</f>
        <v>0</v>
      </c>
      <c r="S96" s="80">
        <f>SUMIFS('июнь 2024'!$G$4:$G$1823,'июнь 2024'!$D$4:$D$1823,$B96,'июнь 2024'!$J$4:$J$1823,S$1)</f>
        <v>0</v>
      </c>
      <c r="T96" s="80">
        <f>SUMIFS('июнь 2024'!$G$4:$G$1823,'июнь 2024'!$D$4:$D$1823,$B96,'июнь 2024'!$J$4:$J$1823,T$1)</f>
        <v>0</v>
      </c>
      <c r="U96" s="80">
        <f>SUMIFS('июнь 2024'!$G$4:$G$1823,'июнь 2024'!$D$4:$D$1823,$B96,'июнь 2024'!$J$4:$J$1823,U$1)</f>
        <v>0</v>
      </c>
      <c r="V96" s="80">
        <f>SUMIFS('июнь 2024'!$G$4:$G$1823,'июнь 2024'!$D$4:$D$1823,$B96,'июнь 2024'!$J$4:$J$1823,V$1)</f>
        <v>0</v>
      </c>
      <c r="W96" s="80">
        <f>SUMIFS('июнь 2024'!$G$4:$G$1823,'июнь 2024'!$D$4:$D$1823,$B96,'июнь 2024'!$J$4:$J$1823,W$1)</f>
        <v>0</v>
      </c>
      <c r="X96" s="80">
        <f>SUMIFS('июнь 2024'!$G$4:$G$1823,'июнь 2024'!$D$4:$D$1823,$B96,'июнь 2024'!$J$4:$J$1823,X$1)</f>
        <v>0</v>
      </c>
      <c r="Y96" s="80">
        <f>SUMIFS('июнь 2024'!$G$4:$G$1823,'июнь 2024'!$D$4:$D$1823,$B96,'июнь 2024'!$J$4:$J$1823,Y$1)</f>
        <v>0</v>
      </c>
      <c r="Z96" s="80">
        <f>SUMIFS('июнь 2024'!$G$4:$G$1823,'июнь 2024'!$D$4:$D$1823,$B96,'июнь 2024'!$J$4:$J$1823,Z$1)</f>
        <v>0</v>
      </c>
      <c r="AA96" s="80">
        <f>SUMIFS('июнь 2024'!$G$4:$G$1823,'июнь 2024'!$D$4:$D$1823,$B96,'июнь 2024'!$J$4:$J$1823,AA$1)</f>
        <v>0</v>
      </c>
      <c r="AB96" s="80">
        <f>SUMIFS('июнь 2024'!$G$4:$G$1823,'июнь 2024'!$D$4:$D$1823,$B96,'июнь 2024'!$J$4:$J$1823,AB$1)</f>
        <v>0</v>
      </c>
      <c r="AC96" s="80">
        <f>SUMIFS('июнь 2024'!$G$4:$G$1823,'июнь 2024'!$D$4:$D$1823,$B96,'июнь 2024'!$J$4:$J$1823,AC$1)</f>
        <v>0</v>
      </c>
      <c r="AD96" s="80">
        <f>SUMIFS('июнь 2024'!$G$4:$G$1823,'июнь 2024'!$D$4:$D$1823,$B96,'июнь 2024'!$J$4:$J$1823,AD$1)</f>
        <v>0</v>
      </c>
      <c r="AE96" s="80">
        <f>SUMIFS('июнь 2024'!$G$4:$G$1823,'июнь 2024'!$D$4:$D$1823,$B96,'июнь 2024'!$J$4:$J$1823,AE$1)</f>
        <v>0</v>
      </c>
      <c r="AF96" s="80">
        <f>SUMIFS('июнь 2024'!$G$4:$G$1823,'июнь 2024'!$D$4:$D$1823,$B96,'июнь 2024'!$J$4:$J$1823,AF$1)</f>
        <v>0</v>
      </c>
      <c r="AG96" s="80">
        <f>SUMIFS('июнь 2024'!$G$4:$G$1823,'июнь 2024'!$D$4:$D$1823,$B96,'июнь 2024'!$J$4:$J$1823,AG$1)</f>
        <v>0</v>
      </c>
      <c r="AH96" s="80">
        <f>SUMIFS('июнь 2024'!$G$4:$G$1823,'июнь 2024'!$D$4:$D$1823,$B96,'июнь 2024'!$J$4:$J$1823,AH$1)</f>
        <v>0</v>
      </c>
      <c r="AI96" s="21">
        <f t="shared" si="1"/>
        <v>0</v>
      </c>
    </row>
    <row r="97" spans="2:35" ht="15" customHeight="1" x14ac:dyDescent="0.25">
      <c r="B97" s="89" t="s">
        <v>176</v>
      </c>
      <c r="C97" s="91">
        <v>200</v>
      </c>
      <c r="D97" s="80">
        <f>SUMIFS('июнь 2024'!$G$4:$G$1823,'июнь 2024'!$D$4:$D$1823,$B97,'июнь 2024'!$J$4:$J$1823,D$1)</f>
        <v>0</v>
      </c>
      <c r="E97" s="80">
        <f>SUMIFS('июнь 2024'!$G$4:$G$1823,'июнь 2024'!$D$4:$D$1823,$B97,'июнь 2024'!$J$4:$J$1823,E$1)</f>
        <v>0</v>
      </c>
      <c r="F97" s="80">
        <f>SUMIFS('июнь 2024'!$G$4:$G$1823,'июнь 2024'!$D$4:$D$1823,$B97,'июнь 2024'!$J$4:$J$1823,F$1)</f>
        <v>0</v>
      </c>
      <c r="G97" s="80">
        <f>SUMIFS('июнь 2024'!$G$4:$G$1823,'июнь 2024'!$D$4:$D$1823,$B97,'июнь 2024'!$J$4:$J$1823,G$1)</f>
        <v>0</v>
      </c>
      <c r="H97" s="80">
        <f>SUMIFS('июнь 2024'!$G$4:$G$1823,'июнь 2024'!$D$4:$D$1823,$B97,'июнь 2024'!$J$4:$J$1823,H$1)</f>
        <v>0</v>
      </c>
      <c r="I97" s="80">
        <f>SUMIFS('июнь 2024'!$G$4:$G$1823,'июнь 2024'!$D$4:$D$1823,$B97,'июнь 2024'!$J$4:$J$1823,I$1)</f>
        <v>0</v>
      </c>
      <c r="J97" s="80">
        <f>SUMIFS('июнь 2024'!$G$4:$G$1823,'июнь 2024'!$D$4:$D$1823,$B97,'июнь 2024'!$J$4:$J$1823,J$1)</f>
        <v>0</v>
      </c>
      <c r="K97" s="80">
        <f>SUMIFS('июнь 2024'!$G$4:$G$1823,'июнь 2024'!$D$4:$D$1823,$B97,'июнь 2024'!$J$4:$J$1823,K$1)</f>
        <v>0</v>
      </c>
      <c r="L97" s="80">
        <f>SUMIFS('июнь 2024'!$G$4:$G$1823,'июнь 2024'!$D$4:$D$1823,$B97,'июнь 2024'!$J$4:$J$1823,L$1)</f>
        <v>0</v>
      </c>
      <c r="M97" s="80">
        <f>SUMIFS('июнь 2024'!$G$4:$G$1823,'июнь 2024'!$D$4:$D$1823,$B97,'июнь 2024'!$J$4:$J$1823,M$1)</f>
        <v>0</v>
      </c>
      <c r="N97" s="80">
        <f>SUMIFS('июнь 2024'!$G$4:$G$1823,'июнь 2024'!$D$4:$D$1823,$B97,'июнь 2024'!$J$4:$J$1823,N$1)</f>
        <v>0</v>
      </c>
      <c r="O97" s="80">
        <f>SUMIFS('июнь 2024'!$G$4:$G$1823,'июнь 2024'!$D$4:$D$1823,$B97,'июнь 2024'!$J$4:$J$1823,O$1)</f>
        <v>0</v>
      </c>
      <c r="P97" s="80">
        <f>SUMIFS('июнь 2024'!$G$4:$G$1823,'июнь 2024'!$D$4:$D$1823,$B97,'июнь 2024'!$J$4:$J$1823,P$1)</f>
        <v>0</v>
      </c>
      <c r="Q97" s="80">
        <f>SUMIFS('июнь 2024'!$G$4:$G$1823,'июнь 2024'!$D$4:$D$1823,$B97,'июнь 2024'!$J$4:$J$1823,Q$1)</f>
        <v>0</v>
      </c>
      <c r="R97" s="80">
        <f>SUMIFS('июнь 2024'!$G$4:$G$1823,'июнь 2024'!$D$4:$D$1823,$B97,'июнь 2024'!$J$4:$J$1823,R$1)</f>
        <v>0</v>
      </c>
      <c r="S97" s="80">
        <f>SUMIFS('июнь 2024'!$G$4:$G$1823,'июнь 2024'!$D$4:$D$1823,$B97,'июнь 2024'!$J$4:$J$1823,S$1)</f>
        <v>0</v>
      </c>
      <c r="T97" s="80">
        <f>SUMIFS('июнь 2024'!$G$4:$G$1823,'июнь 2024'!$D$4:$D$1823,$B97,'июнь 2024'!$J$4:$J$1823,T$1)</f>
        <v>0</v>
      </c>
      <c r="U97" s="80">
        <f>SUMIFS('июнь 2024'!$G$4:$G$1823,'июнь 2024'!$D$4:$D$1823,$B97,'июнь 2024'!$J$4:$J$1823,U$1)</f>
        <v>0</v>
      </c>
      <c r="V97" s="80">
        <f>SUMIFS('июнь 2024'!$G$4:$G$1823,'июнь 2024'!$D$4:$D$1823,$B97,'июнь 2024'!$J$4:$J$1823,V$1)</f>
        <v>0</v>
      </c>
      <c r="W97" s="80">
        <f>SUMIFS('июнь 2024'!$G$4:$G$1823,'июнь 2024'!$D$4:$D$1823,$B97,'июнь 2024'!$J$4:$J$1823,W$1)</f>
        <v>0</v>
      </c>
      <c r="X97" s="80">
        <f>SUMIFS('июнь 2024'!$G$4:$G$1823,'июнь 2024'!$D$4:$D$1823,$B97,'июнь 2024'!$J$4:$J$1823,X$1)</f>
        <v>0</v>
      </c>
      <c r="Y97" s="80">
        <f>SUMIFS('июнь 2024'!$G$4:$G$1823,'июнь 2024'!$D$4:$D$1823,$B97,'июнь 2024'!$J$4:$J$1823,Y$1)</f>
        <v>0</v>
      </c>
      <c r="Z97" s="80">
        <f>SUMIFS('июнь 2024'!$G$4:$G$1823,'июнь 2024'!$D$4:$D$1823,$B97,'июнь 2024'!$J$4:$J$1823,Z$1)</f>
        <v>0</v>
      </c>
      <c r="AA97" s="80">
        <f>SUMIFS('июнь 2024'!$G$4:$G$1823,'июнь 2024'!$D$4:$D$1823,$B97,'июнь 2024'!$J$4:$J$1823,AA$1)</f>
        <v>4</v>
      </c>
      <c r="AB97" s="80">
        <f>SUMIFS('июнь 2024'!$G$4:$G$1823,'июнь 2024'!$D$4:$D$1823,$B97,'июнь 2024'!$J$4:$J$1823,AB$1)</f>
        <v>0</v>
      </c>
      <c r="AC97" s="80">
        <f>SUMIFS('июнь 2024'!$G$4:$G$1823,'июнь 2024'!$D$4:$D$1823,$B97,'июнь 2024'!$J$4:$J$1823,AC$1)</f>
        <v>0</v>
      </c>
      <c r="AD97" s="80">
        <f>SUMIFS('июнь 2024'!$G$4:$G$1823,'июнь 2024'!$D$4:$D$1823,$B97,'июнь 2024'!$J$4:$J$1823,AD$1)</f>
        <v>0</v>
      </c>
      <c r="AE97" s="80">
        <f>SUMIFS('июнь 2024'!$G$4:$G$1823,'июнь 2024'!$D$4:$D$1823,$B97,'июнь 2024'!$J$4:$J$1823,AE$1)</f>
        <v>0</v>
      </c>
      <c r="AF97" s="80">
        <f>SUMIFS('июнь 2024'!$G$4:$G$1823,'июнь 2024'!$D$4:$D$1823,$B97,'июнь 2024'!$J$4:$J$1823,AF$1)</f>
        <v>0</v>
      </c>
      <c r="AG97" s="80">
        <f>SUMIFS('июнь 2024'!$G$4:$G$1823,'июнь 2024'!$D$4:$D$1823,$B97,'июнь 2024'!$J$4:$J$1823,AG$1)</f>
        <v>0</v>
      </c>
      <c r="AH97" s="80">
        <f>SUMIFS('июнь 2024'!$G$4:$G$1823,'июнь 2024'!$D$4:$D$1823,$B97,'июнь 2024'!$J$4:$J$1823,AH$1)</f>
        <v>0</v>
      </c>
      <c r="AI97" s="21">
        <f t="shared" si="1"/>
        <v>4</v>
      </c>
    </row>
    <row r="98" spans="2:35" ht="15" customHeight="1" x14ac:dyDescent="0.25">
      <c r="B98" s="89" t="s">
        <v>205</v>
      </c>
      <c r="C98" s="88">
        <v>185</v>
      </c>
      <c r="D98" s="80">
        <f>SUMIFS('июнь 2024'!$G$4:$G$1823,'июнь 2024'!$D$4:$D$1823,$B98,'июнь 2024'!$J$4:$J$1823,D$1)</f>
        <v>0</v>
      </c>
      <c r="E98" s="80">
        <f>SUMIFS('июнь 2024'!$G$4:$G$1823,'июнь 2024'!$D$4:$D$1823,$B98,'июнь 2024'!$J$4:$J$1823,E$1)</f>
        <v>0</v>
      </c>
      <c r="F98" s="80">
        <f>SUMIFS('июнь 2024'!$G$4:$G$1823,'июнь 2024'!$D$4:$D$1823,$B98,'июнь 2024'!$J$4:$J$1823,F$1)</f>
        <v>0</v>
      </c>
      <c r="G98" s="80">
        <f>SUMIFS('июнь 2024'!$G$4:$G$1823,'июнь 2024'!$D$4:$D$1823,$B98,'июнь 2024'!$J$4:$J$1823,G$1)</f>
        <v>0</v>
      </c>
      <c r="H98" s="80">
        <f>SUMIFS('июнь 2024'!$G$4:$G$1823,'июнь 2024'!$D$4:$D$1823,$B98,'июнь 2024'!$J$4:$J$1823,H$1)</f>
        <v>0</v>
      </c>
      <c r="I98" s="80">
        <f>SUMIFS('июнь 2024'!$G$4:$G$1823,'июнь 2024'!$D$4:$D$1823,$B98,'июнь 2024'!$J$4:$J$1823,I$1)</f>
        <v>0</v>
      </c>
      <c r="J98" s="80">
        <f>SUMIFS('июнь 2024'!$G$4:$G$1823,'июнь 2024'!$D$4:$D$1823,$B98,'июнь 2024'!$J$4:$J$1823,J$1)</f>
        <v>0</v>
      </c>
      <c r="K98" s="80">
        <f>SUMIFS('июнь 2024'!$G$4:$G$1823,'июнь 2024'!$D$4:$D$1823,$B98,'июнь 2024'!$J$4:$J$1823,K$1)</f>
        <v>0</v>
      </c>
      <c r="L98" s="80">
        <f>SUMIFS('июнь 2024'!$G$4:$G$1823,'июнь 2024'!$D$4:$D$1823,$B98,'июнь 2024'!$J$4:$J$1823,L$1)</f>
        <v>0</v>
      </c>
      <c r="M98" s="80">
        <f>SUMIFS('июнь 2024'!$G$4:$G$1823,'июнь 2024'!$D$4:$D$1823,$B98,'июнь 2024'!$J$4:$J$1823,M$1)</f>
        <v>0</v>
      </c>
      <c r="N98" s="80">
        <f>SUMIFS('июнь 2024'!$G$4:$G$1823,'июнь 2024'!$D$4:$D$1823,$B98,'июнь 2024'!$J$4:$J$1823,N$1)</f>
        <v>0</v>
      </c>
      <c r="O98" s="80">
        <f>SUMIFS('июнь 2024'!$G$4:$G$1823,'июнь 2024'!$D$4:$D$1823,$B98,'июнь 2024'!$J$4:$J$1823,O$1)</f>
        <v>0</v>
      </c>
      <c r="P98" s="80">
        <f>SUMIFS('июнь 2024'!$G$4:$G$1823,'июнь 2024'!$D$4:$D$1823,$B98,'июнь 2024'!$J$4:$J$1823,P$1)</f>
        <v>0</v>
      </c>
      <c r="Q98" s="80">
        <f>SUMIFS('июнь 2024'!$G$4:$G$1823,'июнь 2024'!$D$4:$D$1823,$B98,'июнь 2024'!$J$4:$J$1823,Q$1)</f>
        <v>0</v>
      </c>
      <c r="R98" s="80">
        <f>SUMIFS('июнь 2024'!$G$4:$G$1823,'июнь 2024'!$D$4:$D$1823,$B98,'июнь 2024'!$J$4:$J$1823,R$1)</f>
        <v>0</v>
      </c>
      <c r="S98" s="80">
        <f>SUMIFS('июнь 2024'!$G$4:$G$1823,'июнь 2024'!$D$4:$D$1823,$B98,'июнь 2024'!$J$4:$J$1823,S$1)</f>
        <v>0</v>
      </c>
      <c r="T98" s="80">
        <f>SUMIFS('июнь 2024'!$G$4:$G$1823,'июнь 2024'!$D$4:$D$1823,$B98,'июнь 2024'!$J$4:$J$1823,T$1)</f>
        <v>0</v>
      </c>
      <c r="U98" s="80">
        <f>SUMIFS('июнь 2024'!$G$4:$G$1823,'июнь 2024'!$D$4:$D$1823,$B98,'июнь 2024'!$J$4:$J$1823,U$1)</f>
        <v>0</v>
      </c>
      <c r="V98" s="80">
        <f>SUMIFS('июнь 2024'!$G$4:$G$1823,'июнь 2024'!$D$4:$D$1823,$B98,'июнь 2024'!$J$4:$J$1823,V$1)</f>
        <v>0</v>
      </c>
      <c r="W98" s="80">
        <f>SUMIFS('июнь 2024'!$G$4:$G$1823,'июнь 2024'!$D$4:$D$1823,$B98,'июнь 2024'!$J$4:$J$1823,W$1)</f>
        <v>0</v>
      </c>
      <c r="X98" s="80">
        <f>SUMIFS('июнь 2024'!$G$4:$G$1823,'июнь 2024'!$D$4:$D$1823,$B98,'июнь 2024'!$J$4:$J$1823,X$1)</f>
        <v>0</v>
      </c>
      <c r="Y98" s="80">
        <f>SUMIFS('июнь 2024'!$G$4:$G$1823,'июнь 2024'!$D$4:$D$1823,$B98,'июнь 2024'!$J$4:$J$1823,Y$1)</f>
        <v>0</v>
      </c>
      <c r="Z98" s="80">
        <f>SUMIFS('июнь 2024'!$G$4:$G$1823,'июнь 2024'!$D$4:$D$1823,$B98,'июнь 2024'!$J$4:$J$1823,Z$1)</f>
        <v>0</v>
      </c>
      <c r="AA98" s="80">
        <f>SUMIFS('июнь 2024'!$G$4:$G$1823,'июнь 2024'!$D$4:$D$1823,$B98,'июнь 2024'!$J$4:$J$1823,AA$1)</f>
        <v>0</v>
      </c>
      <c r="AB98" s="80">
        <f>SUMIFS('июнь 2024'!$G$4:$G$1823,'июнь 2024'!$D$4:$D$1823,$B98,'июнь 2024'!$J$4:$J$1823,AB$1)</f>
        <v>0</v>
      </c>
      <c r="AC98" s="80">
        <f>SUMIFS('июнь 2024'!$G$4:$G$1823,'июнь 2024'!$D$4:$D$1823,$B98,'июнь 2024'!$J$4:$J$1823,AC$1)</f>
        <v>0</v>
      </c>
      <c r="AD98" s="80">
        <f>SUMIFS('июнь 2024'!$G$4:$G$1823,'июнь 2024'!$D$4:$D$1823,$B98,'июнь 2024'!$J$4:$J$1823,AD$1)</f>
        <v>0</v>
      </c>
      <c r="AE98" s="80">
        <f>SUMIFS('июнь 2024'!$G$4:$G$1823,'июнь 2024'!$D$4:$D$1823,$B98,'июнь 2024'!$J$4:$J$1823,AE$1)</f>
        <v>0</v>
      </c>
      <c r="AF98" s="80">
        <f>SUMIFS('июнь 2024'!$G$4:$G$1823,'июнь 2024'!$D$4:$D$1823,$B98,'июнь 2024'!$J$4:$J$1823,AF$1)</f>
        <v>0</v>
      </c>
      <c r="AG98" s="80">
        <f>SUMIFS('июнь 2024'!$G$4:$G$1823,'июнь 2024'!$D$4:$D$1823,$B98,'июнь 2024'!$J$4:$J$1823,AG$1)</f>
        <v>0</v>
      </c>
      <c r="AH98" s="80">
        <f>SUMIFS('июнь 2024'!$G$4:$G$1823,'июнь 2024'!$D$4:$D$1823,$B98,'июнь 2024'!$J$4:$J$1823,AH$1)</f>
        <v>0</v>
      </c>
      <c r="AI98" s="21">
        <f t="shared" si="1"/>
        <v>0</v>
      </c>
    </row>
    <row r="99" spans="2:35" ht="15" customHeight="1" x14ac:dyDescent="0.25">
      <c r="B99" s="89" t="s">
        <v>206</v>
      </c>
      <c r="C99" s="88">
        <v>185</v>
      </c>
      <c r="D99" s="80">
        <f>SUMIFS('июнь 2024'!$G$4:$G$1823,'июнь 2024'!$D$4:$D$1823,$B99,'июнь 2024'!$J$4:$J$1823,D$1)</f>
        <v>0</v>
      </c>
      <c r="E99" s="80">
        <f>SUMIFS('июнь 2024'!$G$4:$G$1823,'июнь 2024'!$D$4:$D$1823,$B99,'июнь 2024'!$J$4:$J$1823,E$1)</f>
        <v>0</v>
      </c>
      <c r="F99" s="80">
        <f>SUMIFS('июнь 2024'!$G$4:$G$1823,'июнь 2024'!$D$4:$D$1823,$B99,'июнь 2024'!$J$4:$J$1823,F$1)</f>
        <v>0</v>
      </c>
      <c r="G99" s="80">
        <f>SUMIFS('июнь 2024'!$G$4:$G$1823,'июнь 2024'!$D$4:$D$1823,$B99,'июнь 2024'!$J$4:$J$1823,G$1)</f>
        <v>0</v>
      </c>
      <c r="H99" s="80">
        <f>SUMIFS('июнь 2024'!$G$4:$G$1823,'июнь 2024'!$D$4:$D$1823,$B99,'июнь 2024'!$J$4:$J$1823,H$1)</f>
        <v>0</v>
      </c>
      <c r="I99" s="80">
        <f>SUMIFS('июнь 2024'!$G$4:$G$1823,'июнь 2024'!$D$4:$D$1823,$B99,'июнь 2024'!$J$4:$J$1823,I$1)</f>
        <v>0</v>
      </c>
      <c r="J99" s="80">
        <f>SUMIFS('июнь 2024'!$G$4:$G$1823,'июнь 2024'!$D$4:$D$1823,$B99,'июнь 2024'!$J$4:$J$1823,J$1)</f>
        <v>0</v>
      </c>
      <c r="K99" s="80">
        <f>SUMIFS('июнь 2024'!$G$4:$G$1823,'июнь 2024'!$D$4:$D$1823,$B99,'июнь 2024'!$J$4:$J$1823,K$1)</f>
        <v>0</v>
      </c>
      <c r="L99" s="80">
        <f>SUMIFS('июнь 2024'!$G$4:$G$1823,'июнь 2024'!$D$4:$D$1823,$B99,'июнь 2024'!$J$4:$J$1823,L$1)</f>
        <v>0</v>
      </c>
      <c r="M99" s="80">
        <f>SUMIFS('июнь 2024'!$G$4:$G$1823,'июнь 2024'!$D$4:$D$1823,$B99,'июнь 2024'!$J$4:$J$1823,M$1)</f>
        <v>0</v>
      </c>
      <c r="N99" s="80">
        <f>SUMIFS('июнь 2024'!$G$4:$G$1823,'июнь 2024'!$D$4:$D$1823,$B99,'июнь 2024'!$J$4:$J$1823,N$1)</f>
        <v>0</v>
      </c>
      <c r="O99" s="80">
        <f>SUMIFS('июнь 2024'!$G$4:$G$1823,'июнь 2024'!$D$4:$D$1823,$B99,'июнь 2024'!$J$4:$J$1823,O$1)</f>
        <v>0</v>
      </c>
      <c r="P99" s="80">
        <f>SUMIFS('июнь 2024'!$G$4:$G$1823,'июнь 2024'!$D$4:$D$1823,$B99,'июнь 2024'!$J$4:$J$1823,P$1)</f>
        <v>0</v>
      </c>
      <c r="Q99" s="80">
        <f>SUMIFS('июнь 2024'!$G$4:$G$1823,'июнь 2024'!$D$4:$D$1823,$B99,'июнь 2024'!$J$4:$J$1823,Q$1)</f>
        <v>0</v>
      </c>
      <c r="R99" s="80">
        <f>SUMIFS('июнь 2024'!$G$4:$G$1823,'июнь 2024'!$D$4:$D$1823,$B99,'июнь 2024'!$J$4:$J$1823,R$1)</f>
        <v>0</v>
      </c>
      <c r="S99" s="80">
        <f>SUMIFS('июнь 2024'!$G$4:$G$1823,'июнь 2024'!$D$4:$D$1823,$B99,'июнь 2024'!$J$4:$J$1823,S$1)</f>
        <v>0</v>
      </c>
      <c r="T99" s="80">
        <f>SUMIFS('июнь 2024'!$G$4:$G$1823,'июнь 2024'!$D$4:$D$1823,$B99,'июнь 2024'!$J$4:$J$1823,T$1)</f>
        <v>0</v>
      </c>
      <c r="U99" s="80">
        <f>SUMIFS('июнь 2024'!$G$4:$G$1823,'июнь 2024'!$D$4:$D$1823,$B99,'июнь 2024'!$J$4:$J$1823,U$1)</f>
        <v>0</v>
      </c>
      <c r="V99" s="80">
        <f>SUMIFS('июнь 2024'!$G$4:$G$1823,'июнь 2024'!$D$4:$D$1823,$B99,'июнь 2024'!$J$4:$J$1823,V$1)</f>
        <v>0</v>
      </c>
      <c r="W99" s="80">
        <f>SUMIFS('июнь 2024'!$G$4:$G$1823,'июнь 2024'!$D$4:$D$1823,$B99,'июнь 2024'!$J$4:$J$1823,W$1)</f>
        <v>0</v>
      </c>
      <c r="X99" s="80">
        <f>SUMIFS('июнь 2024'!$G$4:$G$1823,'июнь 2024'!$D$4:$D$1823,$B99,'июнь 2024'!$J$4:$J$1823,X$1)</f>
        <v>0</v>
      </c>
      <c r="Y99" s="80">
        <f>SUMIFS('июнь 2024'!$G$4:$G$1823,'июнь 2024'!$D$4:$D$1823,$B99,'июнь 2024'!$J$4:$J$1823,Y$1)</f>
        <v>0</v>
      </c>
      <c r="Z99" s="80">
        <f>SUMIFS('июнь 2024'!$G$4:$G$1823,'июнь 2024'!$D$4:$D$1823,$B99,'июнь 2024'!$J$4:$J$1823,Z$1)</f>
        <v>0</v>
      </c>
      <c r="AA99" s="80">
        <f>SUMIFS('июнь 2024'!$G$4:$G$1823,'июнь 2024'!$D$4:$D$1823,$B99,'июнь 2024'!$J$4:$J$1823,AA$1)</f>
        <v>0</v>
      </c>
      <c r="AB99" s="80">
        <f>SUMIFS('июнь 2024'!$G$4:$G$1823,'июнь 2024'!$D$4:$D$1823,$B99,'июнь 2024'!$J$4:$J$1823,AB$1)</f>
        <v>0</v>
      </c>
      <c r="AC99" s="80">
        <f>SUMIFS('июнь 2024'!$G$4:$G$1823,'июнь 2024'!$D$4:$D$1823,$B99,'июнь 2024'!$J$4:$J$1823,AC$1)</f>
        <v>0</v>
      </c>
      <c r="AD99" s="80">
        <f>SUMIFS('июнь 2024'!$G$4:$G$1823,'июнь 2024'!$D$4:$D$1823,$B99,'июнь 2024'!$J$4:$J$1823,AD$1)</f>
        <v>0</v>
      </c>
      <c r="AE99" s="80">
        <f>SUMIFS('июнь 2024'!$G$4:$G$1823,'июнь 2024'!$D$4:$D$1823,$B99,'июнь 2024'!$J$4:$J$1823,AE$1)</f>
        <v>0</v>
      </c>
      <c r="AF99" s="80">
        <f>SUMIFS('июнь 2024'!$G$4:$G$1823,'июнь 2024'!$D$4:$D$1823,$B99,'июнь 2024'!$J$4:$J$1823,AF$1)</f>
        <v>0</v>
      </c>
      <c r="AG99" s="80">
        <f>SUMIFS('июнь 2024'!$G$4:$G$1823,'июнь 2024'!$D$4:$D$1823,$B99,'июнь 2024'!$J$4:$J$1823,AG$1)</f>
        <v>0</v>
      </c>
      <c r="AH99" s="80">
        <f>SUMIFS('июнь 2024'!$G$4:$G$1823,'июнь 2024'!$D$4:$D$1823,$B99,'июнь 2024'!$J$4:$J$1823,AH$1)</f>
        <v>0</v>
      </c>
      <c r="AI99" s="21">
        <f t="shared" si="1"/>
        <v>0</v>
      </c>
    </row>
    <row r="100" spans="2:35" ht="15" customHeight="1" x14ac:dyDescent="0.25">
      <c r="B100" s="89" t="s">
        <v>324</v>
      </c>
      <c r="C100" s="88">
        <v>180</v>
      </c>
      <c r="D100" s="80">
        <f>SUMIFS('июнь 2024'!$G$4:$G$1823,'июнь 2024'!$D$4:$D$1823,$B100,'июнь 2024'!$J$4:$J$1823,D$1)</f>
        <v>0</v>
      </c>
      <c r="E100" s="80">
        <f>SUMIFS('июнь 2024'!$G$4:$G$1823,'июнь 2024'!$D$4:$D$1823,$B100,'июнь 2024'!$J$4:$J$1823,E$1)</f>
        <v>0</v>
      </c>
      <c r="F100" s="80">
        <f>SUMIFS('июнь 2024'!$G$4:$G$1823,'июнь 2024'!$D$4:$D$1823,$B100,'июнь 2024'!$J$4:$J$1823,F$1)</f>
        <v>0</v>
      </c>
      <c r="G100" s="80">
        <f>SUMIFS('июнь 2024'!$G$4:$G$1823,'июнь 2024'!$D$4:$D$1823,$B100,'июнь 2024'!$J$4:$J$1823,G$1)</f>
        <v>0</v>
      </c>
      <c r="H100" s="80">
        <f>SUMIFS('июнь 2024'!$G$4:$G$1823,'июнь 2024'!$D$4:$D$1823,$B100,'июнь 2024'!$J$4:$J$1823,H$1)</f>
        <v>0</v>
      </c>
      <c r="I100" s="80">
        <f>SUMIFS('июнь 2024'!$G$4:$G$1823,'июнь 2024'!$D$4:$D$1823,$B100,'июнь 2024'!$J$4:$J$1823,I$1)</f>
        <v>0</v>
      </c>
      <c r="J100" s="80">
        <f>SUMIFS('июнь 2024'!$G$4:$G$1823,'июнь 2024'!$D$4:$D$1823,$B100,'июнь 2024'!$J$4:$J$1823,J$1)</f>
        <v>0</v>
      </c>
      <c r="K100" s="80">
        <f>SUMIFS('июнь 2024'!$G$4:$G$1823,'июнь 2024'!$D$4:$D$1823,$B100,'июнь 2024'!$J$4:$J$1823,K$1)</f>
        <v>0</v>
      </c>
      <c r="L100" s="80">
        <f>SUMIFS('июнь 2024'!$G$4:$G$1823,'июнь 2024'!$D$4:$D$1823,$B100,'июнь 2024'!$J$4:$J$1823,L$1)</f>
        <v>0</v>
      </c>
      <c r="M100" s="80">
        <f>SUMIFS('июнь 2024'!$G$4:$G$1823,'июнь 2024'!$D$4:$D$1823,$B100,'июнь 2024'!$J$4:$J$1823,M$1)</f>
        <v>0</v>
      </c>
      <c r="N100" s="80">
        <f>SUMIFS('июнь 2024'!$G$4:$G$1823,'июнь 2024'!$D$4:$D$1823,$B100,'июнь 2024'!$J$4:$J$1823,N$1)</f>
        <v>0</v>
      </c>
      <c r="O100" s="80">
        <f>SUMIFS('июнь 2024'!$G$4:$G$1823,'июнь 2024'!$D$4:$D$1823,$B100,'июнь 2024'!$J$4:$J$1823,O$1)</f>
        <v>0</v>
      </c>
      <c r="P100" s="80">
        <f>SUMIFS('июнь 2024'!$G$4:$G$1823,'июнь 2024'!$D$4:$D$1823,$B100,'июнь 2024'!$J$4:$J$1823,P$1)</f>
        <v>0</v>
      </c>
      <c r="Q100" s="80">
        <f>SUMIFS('июнь 2024'!$G$4:$G$1823,'июнь 2024'!$D$4:$D$1823,$B100,'июнь 2024'!$J$4:$J$1823,Q$1)</f>
        <v>0</v>
      </c>
      <c r="R100" s="80">
        <f>SUMIFS('июнь 2024'!$G$4:$G$1823,'июнь 2024'!$D$4:$D$1823,$B100,'июнь 2024'!$J$4:$J$1823,R$1)</f>
        <v>0</v>
      </c>
      <c r="S100" s="80">
        <f>SUMIFS('июнь 2024'!$G$4:$G$1823,'июнь 2024'!$D$4:$D$1823,$B100,'июнь 2024'!$J$4:$J$1823,S$1)</f>
        <v>0</v>
      </c>
      <c r="T100" s="80">
        <f>SUMIFS('июнь 2024'!$G$4:$G$1823,'июнь 2024'!$D$4:$D$1823,$B100,'июнь 2024'!$J$4:$J$1823,T$1)</f>
        <v>0</v>
      </c>
      <c r="U100" s="80">
        <f>SUMIFS('июнь 2024'!$G$4:$G$1823,'июнь 2024'!$D$4:$D$1823,$B100,'июнь 2024'!$J$4:$J$1823,U$1)</f>
        <v>0</v>
      </c>
      <c r="V100" s="80">
        <f>SUMIFS('июнь 2024'!$G$4:$G$1823,'июнь 2024'!$D$4:$D$1823,$B100,'июнь 2024'!$J$4:$J$1823,V$1)</f>
        <v>0</v>
      </c>
      <c r="W100" s="80">
        <f>SUMIFS('июнь 2024'!$G$4:$G$1823,'июнь 2024'!$D$4:$D$1823,$B100,'июнь 2024'!$J$4:$J$1823,W$1)</f>
        <v>0</v>
      </c>
      <c r="X100" s="80">
        <f>SUMIFS('июнь 2024'!$G$4:$G$1823,'июнь 2024'!$D$4:$D$1823,$B100,'июнь 2024'!$J$4:$J$1823,X$1)</f>
        <v>0</v>
      </c>
      <c r="Y100" s="80">
        <f>SUMIFS('июнь 2024'!$G$4:$G$1823,'июнь 2024'!$D$4:$D$1823,$B100,'июнь 2024'!$J$4:$J$1823,Y$1)</f>
        <v>0</v>
      </c>
      <c r="Z100" s="80">
        <f>SUMIFS('июнь 2024'!$G$4:$G$1823,'июнь 2024'!$D$4:$D$1823,$B100,'июнь 2024'!$J$4:$J$1823,Z$1)</f>
        <v>0</v>
      </c>
      <c r="AA100" s="80">
        <f>SUMIFS('июнь 2024'!$G$4:$G$1823,'июнь 2024'!$D$4:$D$1823,$B100,'июнь 2024'!$J$4:$J$1823,AA$1)</f>
        <v>0</v>
      </c>
      <c r="AB100" s="80">
        <f>SUMIFS('июнь 2024'!$G$4:$G$1823,'июнь 2024'!$D$4:$D$1823,$B100,'июнь 2024'!$J$4:$J$1823,AB$1)</f>
        <v>0</v>
      </c>
      <c r="AC100" s="80">
        <f>SUMIFS('июнь 2024'!$G$4:$G$1823,'июнь 2024'!$D$4:$D$1823,$B100,'июнь 2024'!$J$4:$J$1823,AC$1)</f>
        <v>0</v>
      </c>
      <c r="AD100" s="80">
        <f>SUMIFS('июнь 2024'!$G$4:$G$1823,'июнь 2024'!$D$4:$D$1823,$B100,'июнь 2024'!$J$4:$J$1823,AD$1)</f>
        <v>0</v>
      </c>
      <c r="AE100" s="80">
        <f>SUMIFS('июнь 2024'!$G$4:$G$1823,'июнь 2024'!$D$4:$D$1823,$B100,'июнь 2024'!$J$4:$J$1823,AE$1)</f>
        <v>0</v>
      </c>
      <c r="AF100" s="80">
        <f>SUMIFS('июнь 2024'!$G$4:$G$1823,'июнь 2024'!$D$4:$D$1823,$B100,'июнь 2024'!$J$4:$J$1823,AF$1)</f>
        <v>0</v>
      </c>
      <c r="AG100" s="80">
        <f>SUMIFS('июнь 2024'!$G$4:$G$1823,'июнь 2024'!$D$4:$D$1823,$B100,'июнь 2024'!$J$4:$J$1823,AG$1)</f>
        <v>0</v>
      </c>
      <c r="AH100" s="80">
        <f>SUMIFS('июнь 2024'!$G$4:$G$1823,'июнь 2024'!$D$4:$D$1823,$B100,'июнь 2024'!$J$4:$J$1823,AH$1)</f>
        <v>0</v>
      </c>
      <c r="AI100" s="21">
        <f t="shared" si="1"/>
        <v>0</v>
      </c>
    </row>
    <row r="101" spans="2:35" ht="15" customHeight="1" x14ac:dyDescent="0.25">
      <c r="B101" s="93" t="s">
        <v>325</v>
      </c>
      <c r="C101" s="91">
        <v>200</v>
      </c>
      <c r="D101" s="80">
        <f>SUMIFS('июнь 2024'!$G$4:$G$1823,'июнь 2024'!$D$4:$D$1823,$B101,'июнь 2024'!$J$4:$J$1823,D$1)</f>
        <v>0</v>
      </c>
      <c r="E101" s="80">
        <f>SUMIFS('июнь 2024'!$G$4:$G$1823,'июнь 2024'!$D$4:$D$1823,$B101,'июнь 2024'!$J$4:$J$1823,E$1)</f>
        <v>0</v>
      </c>
      <c r="F101" s="80">
        <f>SUMIFS('июнь 2024'!$G$4:$G$1823,'июнь 2024'!$D$4:$D$1823,$B101,'июнь 2024'!$J$4:$J$1823,F$1)</f>
        <v>0</v>
      </c>
      <c r="G101" s="80">
        <f>SUMIFS('июнь 2024'!$G$4:$G$1823,'июнь 2024'!$D$4:$D$1823,$B101,'июнь 2024'!$J$4:$J$1823,G$1)</f>
        <v>0</v>
      </c>
      <c r="H101" s="80">
        <f>SUMIFS('июнь 2024'!$G$4:$G$1823,'июнь 2024'!$D$4:$D$1823,$B101,'июнь 2024'!$J$4:$J$1823,H$1)</f>
        <v>0</v>
      </c>
      <c r="I101" s="80">
        <f>SUMIFS('июнь 2024'!$G$4:$G$1823,'июнь 2024'!$D$4:$D$1823,$B101,'июнь 2024'!$J$4:$J$1823,I$1)</f>
        <v>0</v>
      </c>
      <c r="J101" s="80">
        <f>SUMIFS('июнь 2024'!$G$4:$G$1823,'июнь 2024'!$D$4:$D$1823,$B101,'июнь 2024'!$J$4:$J$1823,J$1)</f>
        <v>0</v>
      </c>
      <c r="K101" s="80">
        <f>SUMIFS('июнь 2024'!$G$4:$G$1823,'июнь 2024'!$D$4:$D$1823,$B101,'июнь 2024'!$J$4:$J$1823,K$1)</f>
        <v>0</v>
      </c>
      <c r="L101" s="80">
        <f>SUMIFS('июнь 2024'!$G$4:$G$1823,'июнь 2024'!$D$4:$D$1823,$B101,'июнь 2024'!$J$4:$J$1823,L$1)</f>
        <v>0</v>
      </c>
      <c r="M101" s="80">
        <f>SUMIFS('июнь 2024'!$G$4:$G$1823,'июнь 2024'!$D$4:$D$1823,$B101,'июнь 2024'!$J$4:$J$1823,M$1)</f>
        <v>0</v>
      </c>
      <c r="N101" s="80">
        <f>SUMIFS('июнь 2024'!$G$4:$G$1823,'июнь 2024'!$D$4:$D$1823,$B101,'июнь 2024'!$J$4:$J$1823,N$1)</f>
        <v>0</v>
      </c>
      <c r="O101" s="80">
        <f>SUMIFS('июнь 2024'!$G$4:$G$1823,'июнь 2024'!$D$4:$D$1823,$B101,'июнь 2024'!$J$4:$J$1823,O$1)</f>
        <v>0</v>
      </c>
      <c r="P101" s="80">
        <f>SUMIFS('июнь 2024'!$G$4:$G$1823,'июнь 2024'!$D$4:$D$1823,$B101,'июнь 2024'!$J$4:$J$1823,P$1)</f>
        <v>0</v>
      </c>
      <c r="Q101" s="80">
        <f>SUMIFS('июнь 2024'!$G$4:$G$1823,'июнь 2024'!$D$4:$D$1823,$B101,'июнь 2024'!$J$4:$J$1823,Q$1)</f>
        <v>0</v>
      </c>
      <c r="R101" s="80">
        <f>SUMIFS('июнь 2024'!$G$4:$G$1823,'июнь 2024'!$D$4:$D$1823,$B101,'июнь 2024'!$J$4:$J$1823,R$1)</f>
        <v>0</v>
      </c>
      <c r="S101" s="80">
        <f>SUMIFS('июнь 2024'!$G$4:$G$1823,'июнь 2024'!$D$4:$D$1823,$B101,'июнь 2024'!$J$4:$J$1823,S$1)</f>
        <v>0</v>
      </c>
      <c r="T101" s="80">
        <f>SUMIFS('июнь 2024'!$G$4:$G$1823,'июнь 2024'!$D$4:$D$1823,$B101,'июнь 2024'!$J$4:$J$1823,T$1)</f>
        <v>0</v>
      </c>
      <c r="U101" s="80">
        <f>SUMIFS('июнь 2024'!$G$4:$G$1823,'июнь 2024'!$D$4:$D$1823,$B101,'июнь 2024'!$J$4:$J$1823,U$1)</f>
        <v>0</v>
      </c>
      <c r="V101" s="80">
        <f>SUMIFS('июнь 2024'!$G$4:$G$1823,'июнь 2024'!$D$4:$D$1823,$B101,'июнь 2024'!$J$4:$J$1823,V$1)</f>
        <v>0</v>
      </c>
      <c r="W101" s="80">
        <f>SUMIFS('июнь 2024'!$G$4:$G$1823,'июнь 2024'!$D$4:$D$1823,$B101,'июнь 2024'!$J$4:$J$1823,W$1)</f>
        <v>0</v>
      </c>
      <c r="X101" s="80">
        <f>SUMIFS('июнь 2024'!$G$4:$G$1823,'июнь 2024'!$D$4:$D$1823,$B101,'июнь 2024'!$J$4:$J$1823,X$1)</f>
        <v>0</v>
      </c>
      <c r="Y101" s="80">
        <f>SUMIFS('июнь 2024'!$G$4:$G$1823,'июнь 2024'!$D$4:$D$1823,$B101,'июнь 2024'!$J$4:$J$1823,Y$1)</f>
        <v>0</v>
      </c>
      <c r="Z101" s="80">
        <f>SUMIFS('июнь 2024'!$G$4:$G$1823,'июнь 2024'!$D$4:$D$1823,$B101,'июнь 2024'!$J$4:$J$1823,Z$1)</f>
        <v>0</v>
      </c>
      <c r="AA101" s="80">
        <f>SUMIFS('июнь 2024'!$G$4:$G$1823,'июнь 2024'!$D$4:$D$1823,$B101,'июнь 2024'!$J$4:$J$1823,AA$1)</f>
        <v>0</v>
      </c>
      <c r="AB101" s="80">
        <f>SUMIFS('июнь 2024'!$G$4:$G$1823,'июнь 2024'!$D$4:$D$1823,$B101,'июнь 2024'!$J$4:$J$1823,AB$1)</f>
        <v>0</v>
      </c>
      <c r="AC101" s="80">
        <f>SUMIFS('июнь 2024'!$G$4:$G$1823,'июнь 2024'!$D$4:$D$1823,$B101,'июнь 2024'!$J$4:$J$1823,AC$1)</f>
        <v>0</v>
      </c>
      <c r="AD101" s="80">
        <f>SUMIFS('июнь 2024'!$G$4:$G$1823,'июнь 2024'!$D$4:$D$1823,$B101,'июнь 2024'!$J$4:$J$1823,AD$1)</f>
        <v>0</v>
      </c>
      <c r="AE101" s="80">
        <f>SUMIFS('июнь 2024'!$G$4:$G$1823,'июнь 2024'!$D$4:$D$1823,$B101,'июнь 2024'!$J$4:$J$1823,AE$1)</f>
        <v>0</v>
      </c>
      <c r="AF101" s="80">
        <f>SUMIFS('июнь 2024'!$G$4:$G$1823,'июнь 2024'!$D$4:$D$1823,$B101,'июнь 2024'!$J$4:$J$1823,AF$1)</f>
        <v>0</v>
      </c>
      <c r="AG101" s="80">
        <f>SUMIFS('июнь 2024'!$G$4:$G$1823,'июнь 2024'!$D$4:$D$1823,$B101,'июнь 2024'!$J$4:$J$1823,AG$1)</f>
        <v>0</v>
      </c>
      <c r="AH101" s="80">
        <f>SUMIFS('июнь 2024'!$G$4:$G$1823,'июнь 2024'!$D$4:$D$1823,$B101,'июнь 2024'!$J$4:$J$1823,AH$1)</f>
        <v>0</v>
      </c>
      <c r="AI101" s="21">
        <f t="shared" si="1"/>
        <v>0</v>
      </c>
    </row>
    <row r="102" spans="2:35" ht="15" customHeight="1" x14ac:dyDescent="0.25">
      <c r="B102" s="93" t="s">
        <v>190</v>
      </c>
      <c r="C102" s="91">
        <v>200</v>
      </c>
      <c r="D102" s="80">
        <f>SUMIFS('июнь 2024'!$G$4:$G$1823,'июнь 2024'!$D$4:$D$1823,$B102,'июнь 2024'!$J$4:$J$1823,D$1)</f>
        <v>0</v>
      </c>
      <c r="E102" s="80">
        <f>SUMIFS('июнь 2024'!$G$4:$G$1823,'июнь 2024'!$D$4:$D$1823,$B102,'июнь 2024'!$J$4:$J$1823,E$1)</f>
        <v>0</v>
      </c>
      <c r="F102" s="80">
        <f>SUMIFS('июнь 2024'!$G$4:$G$1823,'июнь 2024'!$D$4:$D$1823,$B102,'июнь 2024'!$J$4:$J$1823,F$1)</f>
        <v>0</v>
      </c>
      <c r="G102" s="80">
        <f>SUMIFS('июнь 2024'!$G$4:$G$1823,'июнь 2024'!$D$4:$D$1823,$B102,'июнь 2024'!$J$4:$J$1823,G$1)</f>
        <v>0</v>
      </c>
      <c r="H102" s="80">
        <f>SUMIFS('июнь 2024'!$G$4:$G$1823,'июнь 2024'!$D$4:$D$1823,$B102,'июнь 2024'!$J$4:$J$1823,H$1)</f>
        <v>0</v>
      </c>
      <c r="I102" s="80">
        <f>SUMIFS('июнь 2024'!$G$4:$G$1823,'июнь 2024'!$D$4:$D$1823,$B102,'июнь 2024'!$J$4:$J$1823,I$1)</f>
        <v>0</v>
      </c>
      <c r="J102" s="80">
        <f>SUMIFS('июнь 2024'!$G$4:$G$1823,'июнь 2024'!$D$4:$D$1823,$B102,'июнь 2024'!$J$4:$J$1823,J$1)</f>
        <v>0</v>
      </c>
      <c r="K102" s="80">
        <f>SUMIFS('июнь 2024'!$G$4:$G$1823,'июнь 2024'!$D$4:$D$1823,$B102,'июнь 2024'!$J$4:$J$1823,K$1)</f>
        <v>0</v>
      </c>
      <c r="L102" s="80">
        <f>SUMIFS('июнь 2024'!$G$4:$G$1823,'июнь 2024'!$D$4:$D$1823,$B102,'июнь 2024'!$J$4:$J$1823,L$1)</f>
        <v>0</v>
      </c>
      <c r="M102" s="80">
        <f>SUMIFS('июнь 2024'!$G$4:$G$1823,'июнь 2024'!$D$4:$D$1823,$B102,'июнь 2024'!$J$4:$J$1823,M$1)</f>
        <v>0</v>
      </c>
      <c r="N102" s="80">
        <f>SUMIFS('июнь 2024'!$G$4:$G$1823,'июнь 2024'!$D$4:$D$1823,$B102,'июнь 2024'!$J$4:$J$1823,N$1)</f>
        <v>0</v>
      </c>
      <c r="O102" s="80">
        <f>SUMIFS('июнь 2024'!$G$4:$G$1823,'июнь 2024'!$D$4:$D$1823,$B102,'июнь 2024'!$J$4:$J$1823,O$1)</f>
        <v>0</v>
      </c>
      <c r="P102" s="80">
        <f>SUMIFS('июнь 2024'!$G$4:$G$1823,'июнь 2024'!$D$4:$D$1823,$B102,'июнь 2024'!$J$4:$J$1823,P$1)</f>
        <v>0</v>
      </c>
      <c r="Q102" s="80">
        <f>SUMIFS('июнь 2024'!$G$4:$G$1823,'июнь 2024'!$D$4:$D$1823,$B102,'июнь 2024'!$J$4:$J$1823,Q$1)</f>
        <v>0</v>
      </c>
      <c r="R102" s="80">
        <f>SUMIFS('июнь 2024'!$G$4:$G$1823,'июнь 2024'!$D$4:$D$1823,$B102,'июнь 2024'!$J$4:$J$1823,R$1)</f>
        <v>0</v>
      </c>
      <c r="S102" s="80">
        <f>SUMIFS('июнь 2024'!$G$4:$G$1823,'июнь 2024'!$D$4:$D$1823,$B102,'июнь 2024'!$J$4:$J$1823,S$1)</f>
        <v>0</v>
      </c>
      <c r="T102" s="80">
        <f>SUMIFS('июнь 2024'!$G$4:$G$1823,'июнь 2024'!$D$4:$D$1823,$B102,'июнь 2024'!$J$4:$J$1823,T$1)</f>
        <v>0</v>
      </c>
      <c r="U102" s="80">
        <f>SUMIFS('июнь 2024'!$G$4:$G$1823,'июнь 2024'!$D$4:$D$1823,$B102,'июнь 2024'!$J$4:$J$1823,U$1)</f>
        <v>0</v>
      </c>
      <c r="V102" s="80">
        <f>SUMIFS('июнь 2024'!$G$4:$G$1823,'июнь 2024'!$D$4:$D$1823,$B102,'июнь 2024'!$J$4:$J$1823,V$1)</f>
        <v>0</v>
      </c>
      <c r="W102" s="80">
        <f>SUMIFS('июнь 2024'!$G$4:$G$1823,'июнь 2024'!$D$4:$D$1823,$B102,'июнь 2024'!$J$4:$J$1823,W$1)</f>
        <v>0</v>
      </c>
      <c r="X102" s="80">
        <f>SUMIFS('июнь 2024'!$G$4:$G$1823,'июнь 2024'!$D$4:$D$1823,$B102,'июнь 2024'!$J$4:$J$1823,X$1)</f>
        <v>0</v>
      </c>
      <c r="Y102" s="80">
        <f>SUMIFS('июнь 2024'!$G$4:$G$1823,'июнь 2024'!$D$4:$D$1823,$B102,'июнь 2024'!$J$4:$J$1823,Y$1)</f>
        <v>0</v>
      </c>
      <c r="Z102" s="80">
        <f>SUMIFS('июнь 2024'!$G$4:$G$1823,'июнь 2024'!$D$4:$D$1823,$B102,'июнь 2024'!$J$4:$J$1823,Z$1)</f>
        <v>0</v>
      </c>
      <c r="AA102" s="80">
        <f>SUMIFS('июнь 2024'!$G$4:$G$1823,'июнь 2024'!$D$4:$D$1823,$B102,'июнь 2024'!$J$4:$J$1823,AA$1)</f>
        <v>0</v>
      </c>
      <c r="AB102" s="80">
        <f>SUMIFS('июнь 2024'!$G$4:$G$1823,'июнь 2024'!$D$4:$D$1823,$B102,'июнь 2024'!$J$4:$J$1823,AB$1)</f>
        <v>0</v>
      </c>
      <c r="AC102" s="80">
        <f>SUMIFS('июнь 2024'!$G$4:$G$1823,'июнь 2024'!$D$4:$D$1823,$B102,'июнь 2024'!$J$4:$J$1823,AC$1)</f>
        <v>0</v>
      </c>
      <c r="AD102" s="80">
        <f>SUMIFS('июнь 2024'!$G$4:$G$1823,'июнь 2024'!$D$4:$D$1823,$B102,'июнь 2024'!$J$4:$J$1823,AD$1)</f>
        <v>0</v>
      </c>
      <c r="AE102" s="80">
        <f>SUMIFS('июнь 2024'!$G$4:$G$1823,'июнь 2024'!$D$4:$D$1823,$B102,'июнь 2024'!$J$4:$J$1823,AE$1)</f>
        <v>0</v>
      </c>
      <c r="AF102" s="80">
        <f>SUMIFS('июнь 2024'!$G$4:$G$1823,'июнь 2024'!$D$4:$D$1823,$B102,'июнь 2024'!$J$4:$J$1823,AF$1)</f>
        <v>0</v>
      </c>
      <c r="AG102" s="80">
        <f>SUMIFS('июнь 2024'!$G$4:$G$1823,'июнь 2024'!$D$4:$D$1823,$B102,'июнь 2024'!$J$4:$J$1823,AG$1)</f>
        <v>0</v>
      </c>
      <c r="AH102" s="80">
        <f>SUMIFS('июнь 2024'!$G$4:$G$1823,'июнь 2024'!$D$4:$D$1823,$B102,'июнь 2024'!$J$4:$J$1823,AH$1)</f>
        <v>0</v>
      </c>
      <c r="AI102" s="21">
        <f t="shared" si="1"/>
        <v>0</v>
      </c>
    </row>
    <row r="103" spans="2:35" ht="15" customHeight="1" x14ac:dyDescent="0.25">
      <c r="B103" s="93" t="s">
        <v>326</v>
      </c>
      <c r="C103" s="91">
        <v>200</v>
      </c>
      <c r="D103" s="80">
        <f>SUMIFS('июнь 2024'!$G$4:$G$1823,'июнь 2024'!$D$4:$D$1823,$B103,'июнь 2024'!$J$4:$J$1823,D$1)</f>
        <v>0</v>
      </c>
      <c r="E103" s="80">
        <f>SUMIFS('июнь 2024'!$G$4:$G$1823,'июнь 2024'!$D$4:$D$1823,$B103,'июнь 2024'!$J$4:$J$1823,E$1)</f>
        <v>0</v>
      </c>
      <c r="F103" s="80">
        <f>SUMIFS('июнь 2024'!$G$4:$G$1823,'июнь 2024'!$D$4:$D$1823,$B103,'июнь 2024'!$J$4:$J$1823,F$1)</f>
        <v>0</v>
      </c>
      <c r="G103" s="80">
        <f>SUMIFS('июнь 2024'!$G$4:$G$1823,'июнь 2024'!$D$4:$D$1823,$B103,'июнь 2024'!$J$4:$J$1823,G$1)</f>
        <v>0</v>
      </c>
      <c r="H103" s="80">
        <f>SUMIFS('июнь 2024'!$G$4:$G$1823,'июнь 2024'!$D$4:$D$1823,$B103,'июнь 2024'!$J$4:$J$1823,H$1)</f>
        <v>0</v>
      </c>
      <c r="I103" s="80">
        <f>SUMIFS('июнь 2024'!$G$4:$G$1823,'июнь 2024'!$D$4:$D$1823,$B103,'июнь 2024'!$J$4:$J$1823,I$1)</f>
        <v>0</v>
      </c>
      <c r="J103" s="80">
        <f>SUMIFS('июнь 2024'!$G$4:$G$1823,'июнь 2024'!$D$4:$D$1823,$B103,'июнь 2024'!$J$4:$J$1823,J$1)</f>
        <v>0</v>
      </c>
      <c r="K103" s="80">
        <f>SUMIFS('июнь 2024'!$G$4:$G$1823,'июнь 2024'!$D$4:$D$1823,$B103,'июнь 2024'!$J$4:$J$1823,K$1)</f>
        <v>0</v>
      </c>
      <c r="L103" s="80">
        <f>SUMIFS('июнь 2024'!$G$4:$G$1823,'июнь 2024'!$D$4:$D$1823,$B103,'июнь 2024'!$J$4:$J$1823,L$1)</f>
        <v>0</v>
      </c>
      <c r="M103" s="80">
        <f>SUMIFS('июнь 2024'!$G$4:$G$1823,'июнь 2024'!$D$4:$D$1823,$B103,'июнь 2024'!$J$4:$J$1823,M$1)</f>
        <v>0</v>
      </c>
      <c r="N103" s="80">
        <f>SUMIFS('июнь 2024'!$G$4:$G$1823,'июнь 2024'!$D$4:$D$1823,$B103,'июнь 2024'!$J$4:$J$1823,N$1)</f>
        <v>0</v>
      </c>
      <c r="O103" s="80">
        <f>SUMIFS('июнь 2024'!$G$4:$G$1823,'июнь 2024'!$D$4:$D$1823,$B103,'июнь 2024'!$J$4:$J$1823,O$1)</f>
        <v>0</v>
      </c>
      <c r="P103" s="80">
        <f>SUMIFS('июнь 2024'!$G$4:$G$1823,'июнь 2024'!$D$4:$D$1823,$B103,'июнь 2024'!$J$4:$J$1823,P$1)</f>
        <v>0</v>
      </c>
      <c r="Q103" s="80">
        <f>SUMIFS('июнь 2024'!$G$4:$G$1823,'июнь 2024'!$D$4:$D$1823,$B103,'июнь 2024'!$J$4:$J$1823,Q$1)</f>
        <v>0</v>
      </c>
      <c r="R103" s="80">
        <f>SUMIFS('июнь 2024'!$G$4:$G$1823,'июнь 2024'!$D$4:$D$1823,$B103,'июнь 2024'!$J$4:$J$1823,R$1)</f>
        <v>0</v>
      </c>
      <c r="S103" s="80">
        <f>SUMIFS('июнь 2024'!$G$4:$G$1823,'июнь 2024'!$D$4:$D$1823,$B103,'июнь 2024'!$J$4:$J$1823,S$1)</f>
        <v>0</v>
      </c>
      <c r="T103" s="80">
        <f>SUMIFS('июнь 2024'!$G$4:$G$1823,'июнь 2024'!$D$4:$D$1823,$B103,'июнь 2024'!$J$4:$J$1823,T$1)</f>
        <v>0</v>
      </c>
      <c r="U103" s="80">
        <f>SUMIFS('июнь 2024'!$G$4:$G$1823,'июнь 2024'!$D$4:$D$1823,$B103,'июнь 2024'!$J$4:$J$1823,U$1)</f>
        <v>0</v>
      </c>
      <c r="V103" s="80">
        <f>SUMIFS('июнь 2024'!$G$4:$G$1823,'июнь 2024'!$D$4:$D$1823,$B103,'июнь 2024'!$J$4:$J$1823,V$1)</f>
        <v>0</v>
      </c>
      <c r="W103" s="80">
        <f>SUMIFS('июнь 2024'!$G$4:$G$1823,'июнь 2024'!$D$4:$D$1823,$B103,'июнь 2024'!$J$4:$J$1823,W$1)</f>
        <v>0</v>
      </c>
      <c r="X103" s="80">
        <f>SUMIFS('июнь 2024'!$G$4:$G$1823,'июнь 2024'!$D$4:$D$1823,$B103,'июнь 2024'!$J$4:$J$1823,X$1)</f>
        <v>0</v>
      </c>
      <c r="Y103" s="80">
        <f>SUMIFS('июнь 2024'!$G$4:$G$1823,'июнь 2024'!$D$4:$D$1823,$B103,'июнь 2024'!$J$4:$J$1823,Y$1)</f>
        <v>0</v>
      </c>
      <c r="Z103" s="80">
        <f>SUMIFS('июнь 2024'!$G$4:$G$1823,'июнь 2024'!$D$4:$D$1823,$B103,'июнь 2024'!$J$4:$J$1823,Z$1)</f>
        <v>0</v>
      </c>
      <c r="AA103" s="80">
        <f>SUMIFS('июнь 2024'!$G$4:$G$1823,'июнь 2024'!$D$4:$D$1823,$B103,'июнь 2024'!$J$4:$J$1823,AA$1)</f>
        <v>0</v>
      </c>
      <c r="AB103" s="80">
        <f>SUMIFS('июнь 2024'!$G$4:$G$1823,'июнь 2024'!$D$4:$D$1823,$B103,'июнь 2024'!$J$4:$J$1823,AB$1)</f>
        <v>0</v>
      </c>
      <c r="AC103" s="80">
        <f>SUMIFS('июнь 2024'!$G$4:$G$1823,'июнь 2024'!$D$4:$D$1823,$B103,'июнь 2024'!$J$4:$J$1823,AC$1)</f>
        <v>0</v>
      </c>
      <c r="AD103" s="80">
        <f>SUMIFS('июнь 2024'!$G$4:$G$1823,'июнь 2024'!$D$4:$D$1823,$B103,'июнь 2024'!$J$4:$J$1823,AD$1)</f>
        <v>0</v>
      </c>
      <c r="AE103" s="80">
        <f>SUMIFS('июнь 2024'!$G$4:$G$1823,'июнь 2024'!$D$4:$D$1823,$B103,'июнь 2024'!$J$4:$J$1823,AE$1)</f>
        <v>0</v>
      </c>
      <c r="AF103" s="80">
        <f>SUMIFS('июнь 2024'!$G$4:$G$1823,'июнь 2024'!$D$4:$D$1823,$B103,'июнь 2024'!$J$4:$J$1823,AF$1)</f>
        <v>0</v>
      </c>
      <c r="AG103" s="80">
        <f>SUMIFS('июнь 2024'!$G$4:$G$1823,'июнь 2024'!$D$4:$D$1823,$B103,'июнь 2024'!$J$4:$J$1823,AG$1)</f>
        <v>0</v>
      </c>
      <c r="AH103" s="80">
        <f>SUMIFS('июнь 2024'!$G$4:$G$1823,'июнь 2024'!$D$4:$D$1823,$B103,'июнь 2024'!$J$4:$J$1823,AH$1)</f>
        <v>0</v>
      </c>
      <c r="AI103" s="21">
        <f t="shared" si="1"/>
        <v>0</v>
      </c>
    </row>
    <row r="104" spans="2:35" ht="15" customHeight="1" x14ac:dyDescent="0.25">
      <c r="B104" s="93" t="s">
        <v>327</v>
      </c>
      <c r="C104" s="91">
        <v>200</v>
      </c>
      <c r="D104" s="80">
        <f>SUMIFS('июнь 2024'!$G$4:$G$1823,'июнь 2024'!$D$4:$D$1823,$B104,'июнь 2024'!$J$4:$J$1823,D$1)</f>
        <v>0</v>
      </c>
      <c r="E104" s="80">
        <f>SUMIFS('июнь 2024'!$G$4:$G$1823,'июнь 2024'!$D$4:$D$1823,$B104,'июнь 2024'!$J$4:$J$1823,E$1)</f>
        <v>0</v>
      </c>
      <c r="F104" s="80">
        <f>SUMIFS('июнь 2024'!$G$4:$G$1823,'июнь 2024'!$D$4:$D$1823,$B104,'июнь 2024'!$J$4:$J$1823,F$1)</f>
        <v>0</v>
      </c>
      <c r="G104" s="80">
        <f>SUMIFS('июнь 2024'!$G$4:$G$1823,'июнь 2024'!$D$4:$D$1823,$B104,'июнь 2024'!$J$4:$J$1823,G$1)</f>
        <v>0</v>
      </c>
      <c r="H104" s="80">
        <f>SUMIFS('июнь 2024'!$G$4:$G$1823,'июнь 2024'!$D$4:$D$1823,$B104,'июнь 2024'!$J$4:$J$1823,H$1)</f>
        <v>0</v>
      </c>
      <c r="I104" s="80">
        <f>SUMIFS('июнь 2024'!$G$4:$G$1823,'июнь 2024'!$D$4:$D$1823,$B104,'июнь 2024'!$J$4:$J$1823,I$1)</f>
        <v>0</v>
      </c>
      <c r="J104" s="80">
        <f>SUMIFS('июнь 2024'!$G$4:$G$1823,'июнь 2024'!$D$4:$D$1823,$B104,'июнь 2024'!$J$4:$J$1823,J$1)</f>
        <v>0</v>
      </c>
      <c r="K104" s="80">
        <f>SUMIFS('июнь 2024'!$G$4:$G$1823,'июнь 2024'!$D$4:$D$1823,$B104,'июнь 2024'!$J$4:$J$1823,K$1)</f>
        <v>0</v>
      </c>
      <c r="L104" s="80">
        <f>SUMIFS('июнь 2024'!$G$4:$G$1823,'июнь 2024'!$D$4:$D$1823,$B104,'июнь 2024'!$J$4:$J$1823,L$1)</f>
        <v>0</v>
      </c>
      <c r="M104" s="80">
        <f>SUMIFS('июнь 2024'!$G$4:$G$1823,'июнь 2024'!$D$4:$D$1823,$B104,'июнь 2024'!$J$4:$J$1823,M$1)</f>
        <v>0</v>
      </c>
      <c r="N104" s="80">
        <f>SUMIFS('июнь 2024'!$G$4:$G$1823,'июнь 2024'!$D$4:$D$1823,$B104,'июнь 2024'!$J$4:$J$1823,N$1)</f>
        <v>0</v>
      </c>
      <c r="O104" s="80">
        <f>SUMIFS('июнь 2024'!$G$4:$G$1823,'июнь 2024'!$D$4:$D$1823,$B104,'июнь 2024'!$J$4:$J$1823,O$1)</f>
        <v>0</v>
      </c>
      <c r="P104" s="80">
        <f>SUMIFS('июнь 2024'!$G$4:$G$1823,'июнь 2024'!$D$4:$D$1823,$B104,'июнь 2024'!$J$4:$J$1823,P$1)</f>
        <v>0</v>
      </c>
      <c r="Q104" s="80">
        <f>SUMIFS('июнь 2024'!$G$4:$G$1823,'июнь 2024'!$D$4:$D$1823,$B104,'июнь 2024'!$J$4:$J$1823,Q$1)</f>
        <v>0</v>
      </c>
      <c r="R104" s="80">
        <f>SUMIFS('июнь 2024'!$G$4:$G$1823,'июнь 2024'!$D$4:$D$1823,$B104,'июнь 2024'!$J$4:$J$1823,R$1)</f>
        <v>0</v>
      </c>
      <c r="S104" s="80">
        <f>SUMIFS('июнь 2024'!$G$4:$G$1823,'июнь 2024'!$D$4:$D$1823,$B104,'июнь 2024'!$J$4:$J$1823,S$1)</f>
        <v>0</v>
      </c>
      <c r="T104" s="80">
        <f>SUMIFS('июнь 2024'!$G$4:$G$1823,'июнь 2024'!$D$4:$D$1823,$B104,'июнь 2024'!$J$4:$J$1823,T$1)</f>
        <v>0</v>
      </c>
      <c r="U104" s="80">
        <f>SUMIFS('июнь 2024'!$G$4:$G$1823,'июнь 2024'!$D$4:$D$1823,$B104,'июнь 2024'!$J$4:$J$1823,U$1)</f>
        <v>0</v>
      </c>
      <c r="V104" s="80">
        <f>SUMIFS('июнь 2024'!$G$4:$G$1823,'июнь 2024'!$D$4:$D$1823,$B104,'июнь 2024'!$J$4:$J$1823,V$1)</f>
        <v>0</v>
      </c>
      <c r="W104" s="80">
        <f>SUMIFS('июнь 2024'!$G$4:$G$1823,'июнь 2024'!$D$4:$D$1823,$B104,'июнь 2024'!$J$4:$J$1823,W$1)</f>
        <v>0</v>
      </c>
      <c r="X104" s="80">
        <f>SUMIFS('июнь 2024'!$G$4:$G$1823,'июнь 2024'!$D$4:$D$1823,$B104,'июнь 2024'!$J$4:$J$1823,X$1)</f>
        <v>0</v>
      </c>
      <c r="Y104" s="80">
        <f>SUMIFS('июнь 2024'!$G$4:$G$1823,'июнь 2024'!$D$4:$D$1823,$B104,'июнь 2024'!$J$4:$J$1823,Y$1)</f>
        <v>0</v>
      </c>
      <c r="Z104" s="80">
        <f>SUMIFS('июнь 2024'!$G$4:$G$1823,'июнь 2024'!$D$4:$D$1823,$B104,'июнь 2024'!$J$4:$J$1823,Z$1)</f>
        <v>0</v>
      </c>
      <c r="AA104" s="80">
        <f>SUMIFS('июнь 2024'!$G$4:$G$1823,'июнь 2024'!$D$4:$D$1823,$B104,'июнь 2024'!$J$4:$J$1823,AA$1)</f>
        <v>0</v>
      </c>
      <c r="AB104" s="80">
        <f>SUMIFS('июнь 2024'!$G$4:$G$1823,'июнь 2024'!$D$4:$D$1823,$B104,'июнь 2024'!$J$4:$J$1823,AB$1)</f>
        <v>0</v>
      </c>
      <c r="AC104" s="80">
        <f>SUMIFS('июнь 2024'!$G$4:$G$1823,'июнь 2024'!$D$4:$D$1823,$B104,'июнь 2024'!$J$4:$J$1823,AC$1)</f>
        <v>0</v>
      </c>
      <c r="AD104" s="80">
        <f>SUMIFS('июнь 2024'!$G$4:$G$1823,'июнь 2024'!$D$4:$D$1823,$B104,'июнь 2024'!$J$4:$J$1823,AD$1)</f>
        <v>0</v>
      </c>
      <c r="AE104" s="80">
        <f>SUMIFS('июнь 2024'!$G$4:$G$1823,'июнь 2024'!$D$4:$D$1823,$B104,'июнь 2024'!$J$4:$J$1823,AE$1)</f>
        <v>0</v>
      </c>
      <c r="AF104" s="80">
        <f>SUMIFS('июнь 2024'!$G$4:$G$1823,'июнь 2024'!$D$4:$D$1823,$B104,'июнь 2024'!$J$4:$J$1823,AF$1)</f>
        <v>0</v>
      </c>
      <c r="AG104" s="80">
        <f>SUMIFS('июнь 2024'!$G$4:$G$1823,'июнь 2024'!$D$4:$D$1823,$B104,'июнь 2024'!$J$4:$J$1823,AG$1)</f>
        <v>0</v>
      </c>
      <c r="AH104" s="80">
        <f>SUMIFS('июнь 2024'!$G$4:$G$1823,'июнь 2024'!$D$4:$D$1823,$B104,'июнь 2024'!$J$4:$J$1823,AH$1)</f>
        <v>0</v>
      </c>
      <c r="AI104" s="21">
        <f t="shared" si="1"/>
        <v>0</v>
      </c>
    </row>
    <row r="105" spans="2:35" ht="15" customHeight="1" x14ac:dyDescent="0.25">
      <c r="B105" s="89" t="s">
        <v>223</v>
      </c>
      <c r="C105" s="88">
        <v>25</v>
      </c>
      <c r="D105" s="80">
        <f>SUMIFS('июнь 2024'!$G$4:$G$1823,'июнь 2024'!$D$4:$D$1823,$B105,'июнь 2024'!$J$4:$J$1823,D$1)</f>
        <v>0</v>
      </c>
      <c r="E105" s="80">
        <f>SUMIFS('июнь 2024'!$G$4:$G$1823,'июнь 2024'!$D$4:$D$1823,$B105,'июнь 2024'!$J$4:$J$1823,E$1)</f>
        <v>0</v>
      </c>
      <c r="F105" s="80">
        <f>SUMIFS('июнь 2024'!$G$4:$G$1823,'июнь 2024'!$D$4:$D$1823,$B105,'июнь 2024'!$J$4:$J$1823,F$1)</f>
        <v>0</v>
      </c>
      <c r="G105" s="80">
        <f>SUMIFS('июнь 2024'!$G$4:$G$1823,'июнь 2024'!$D$4:$D$1823,$B105,'июнь 2024'!$J$4:$J$1823,G$1)</f>
        <v>0</v>
      </c>
      <c r="H105" s="80">
        <f>SUMIFS('июнь 2024'!$G$4:$G$1823,'июнь 2024'!$D$4:$D$1823,$B105,'июнь 2024'!$J$4:$J$1823,H$1)</f>
        <v>0</v>
      </c>
      <c r="I105" s="80">
        <f>SUMIFS('июнь 2024'!$G$4:$G$1823,'июнь 2024'!$D$4:$D$1823,$B105,'июнь 2024'!$J$4:$J$1823,I$1)</f>
        <v>0</v>
      </c>
      <c r="J105" s="80">
        <f>SUMIFS('июнь 2024'!$G$4:$G$1823,'июнь 2024'!$D$4:$D$1823,$B105,'июнь 2024'!$J$4:$J$1823,J$1)</f>
        <v>0</v>
      </c>
      <c r="K105" s="80">
        <f>SUMIFS('июнь 2024'!$G$4:$G$1823,'июнь 2024'!$D$4:$D$1823,$B105,'июнь 2024'!$J$4:$J$1823,K$1)</f>
        <v>0</v>
      </c>
      <c r="L105" s="80">
        <f>SUMIFS('июнь 2024'!$G$4:$G$1823,'июнь 2024'!$D$4:$D$1823,$B105,'июнь 2024'!$J$4:$J$1823,L$1)</f>
        <v>0</v>
      </c>
      <c r="M105" s="80">
        <f>SUMIFS('июнь 2024'!$G$4:$G$1823,'июнь 2024'!$D$4:$D$1823,$B105,'июнь 2024'!$J$4:$J$1823,M$1)</f>
        <v>0</v>
      </c>
      <c r="N105" s="80">
        <f>SUMIFS('июнь 2024'!$G$4:$G$1823,'июнь 2024'!$D$4:$D$1823,$B105,'июнь 2024'!$J$4:$J$1823,N$1)</f>
        <v>0</v>
      </c>
      <c r="O105" s="80">
        <f>SUMIFS('июнь 2024'!$G$4:$G$1823,'июнь 2024'!$D$4:$D$1823,$B105,'июнь 2024'!$J$4:$J$1823,O$1)</f>
        <v>0</v>
      </c>
      <c r="P105" s="80">
        <f>SUMIFS('июнь 2024'!$G$4:$G$1823,'июнь 2024'!$D$4:$D$1823,$B105,'июнь 2024'!$J$4:$J$1823,P$1)</f>
        <v>0</v>
      </c>
      <c r="Q105" s="80">
        <f>SUMIFS('июнь 2024'!$G$4:$G$1823,'июнь 2024'!$D$4:$D$1823,$B105,'июнь 2024'!$J$4:$J$1823,Q$1)</f>
        <v>0</v>
      </c>
      <c r="R105" s="80">
        <f>SUMIFS('июнь 2024'!$G$4:$G$1823,'июнь 2024'!$D$4:$D$1823,$B105,'июнь 2024'!$J$4:$J$1823,R$1)</f>
        <v>0</v>
      </c>
      <c r="S105" s="80">
        <f>SUMIFS('июнь 2024'!$G$4:$G$1823,'июнь 2024'!$D$4:$D$1823,$B105,'июнь 2024'!$J$4:$J$1823,S$1)</f>
        <v>0</v>
      </c>
      <c r="T105" s="80">
        <f>SUMIFS('июнь 2024'!$G$4:$G$1823,'июнь 2024'!$D$4:$D$1823,$B105,'июнь 2024'!$J$4:$J$1823,T$1)</f>
        <v>0</v>
      </c>
      <c r="U105" s="80">
        <f>SUMIFS('июнь 2024'!$G$4:$G$1823,'июнь 2024'!$D$4:$D$1823,$B105,'июнь 2024'!$J$4:$J$1823,U$1)</f>
        <v>0</v>
      </c>
      <c r="V105" s="80">
        <f>SUMIFS('июнь 2024'!$G$4:$G$1823,'июнь 2024'!$D$4:$D$1823,$B105,'июнь 2024'!$J$4:$J$1823,V$1)</f>
        <v>0</v>
      </c>
      <c r="W105" s="80">
        <f>SUMIFS('июнь 2024'!$G$4:$G$1823,'июнь 2024'!$D$4:$D$1823,$B105,'июнь 2024'!$J$4:$J$1823,W$1)</f>
        <v>0</v>
      </c>
      <c r="X105" s="80">
        <f>SUMIFS('июнь 2024'!$G$4:$G$1823,'июнь 2024'!$D$4:$D$1823,$B105,'июнь 2024'!$J$4:$J$1823,X$1)</f>
        <v>0</v>
      </c>
      <c r="Y105" s="80">
        <f>SUMIFS('июнь 2024'!$G$4:$G$1823,'июнь 2024'!$D$4:$D$1823,$B105,'июнь 2024'!$J$4:$J$1823,Y$1)</f>
        <v>0</v>
      </c>
      <c r="Z105" s="80">
        <f>SUMIFS('июнь 2024'!$G$4:$G$1823,'июнь 2024'!$D$4:$D$1823,$B105,'июнь 2024'!$J$4:$J$1823,Z$1)</f>
        <v>0</v>
      </c>
      <c r="AA105" s="80">
        <f>SUMIFS('июнь 2024'!$G$4:$G$1823,'июнь 2024'!$D$4:$D$1823,$B105,'июнь 2024'!$J$4:$J$1823,AA$1)</f>
        <v>0</v>
      </c>
      <c r="AB105" s="80">
        <f>SUMIFS('июнь 2024'!$G$4:$G$1823,'июнь 2024'!$D$4:$D$1823,$B105,'июнь 2024'!$J$4:$J$1823,AB$1)</f>
        <v>0</v>
      </c>
      <c r="AC105" s="80">
        <f>SUMIFS('июнь 2024'!$G$4:$G$1823,'июнь 2024'!$D$4:$D$1823,$B105,'июнь 2024'!$J$4:$J$1823,AC$1)</f>
        <v>0</v>
      </c>
      <c r="AD105" s="80">
        <f>SUMIFS('июнь 2024'!$G$4:$G$1823,'июнь 2024'!$D$4:$D$1823,$B105,'июнь 2024'!$J$4:$J$1823,AD$1)</f>
        <v>0</v>
      </c>
      <c r="AE105" s="80">
        <f>SUMIFS('июнь 2024'!$G$4:$G$1823,'июнь 2024'!$D$4:$D$1823,$B105,'июнь 2024'!$J$4:$J$1823,AE$1)</f>
        <v>0</v>
      </c>
      <c r="AF105" s="80">
        <f>SUMIFS('июнь 2024'!$G$4:$G$1823,'июнь 2024'!$D$4:$D$1823,$B105,'июнь 2024'!$J$4:$J$1823,AF$1)</f>
        <v>0</v>
      </c>
      <c r="AG105" s="80">
        <f>SUMIFS('июнь 2024'!$G$4:$G$1823,'июнь 2024'!$D$4:$D$1823,$B105,'июнь 2024'!$J$4:$J$1823,AG$1)</f>
        <v>0</v>
      </c>
      <c r="AH105" s="80">
        <f>SUMIFS('июнь 2024'!$G$4:$G$1823,'июнь 2024'!$D$4:$D$1823,$B105,'июнь 2024'!$J$4:$J$1823,AH$1)</f>
        <v>0</v>
      </c>
      <c r="AI105" s="21">
        <f t="shared" si="1"/>
        <v>0</v>
      </c>
    </row>
    <row r="106" spans="2:35" ht="15" customHeight="1" x14ac:dyDescent="0.25">
      <c r="B106" s="93" t="s">
        <v>328</v>
      </c>
      <c r="C106" s="91">
        <v>50</v>
      </c>
      <c r="D106" s="80">
        <f>SUMIFS('июнь 2024'!$G$4:$G$1823,'июнь 2024'!$D$4:$D$1823,$B106,'июнь 2024'!$J$4:$J$1823,D$1)</f>
        <v>0</v>
      </c>
      <c r="E106" s="80">
        <f>SUMIFS('июнь 2024'!$G$4:$G$1823,'июнь 2024'!$D$4:$D$1823,$B106,'июнь 2024'!$J$4:$J$1823,E$1)</f>
        <v>0</v>
      </c>
      <c r="F106" s="80">
        <f>SUMIFS('июнь 2024'!$G$4:$G$1823,'июнь 2024'!$D$4:$D$1823,$B106,'июнь 2024'!$J$4:$J$1823,F$1)</f>
        <v>0</v>
      </c>
      <c r="G106" s="80">
        <f>SUMIFS('июнь 2024'!$G$4:$G$1823,'июнь 2024'!$D$4:$D$1823,$B106,'июнь 2024'!$J$4:$J$1823,G$1)</f>
        <v>0</v>
      </c>
      <c r="H106" s="80">
        <f>SUMIFS('июнь 2024'!$G$4:$G$1823,'июнь 2024'!$D$4:$D$1823,$B106,'июнь 2024'!$J$4:$J$1823,H$1)</f>
        <v>0</v>
      </c>
      <c r="I106" s="80">
        <f>SUMIFS('июнь 2024'!$G$4:$G$1823,'июнь 2024'!$D$4:$D$1823,$B106,'июнь 2024'!$J$4:$J$1823,I$1)</f>
        <v>0</v>
      </c>
      <c r="J106" s="80">
        <f>SUMIFS('июнь 2024'!$G$4:$G$1823,'июнь 2024'!$D$4:$D$1823,$B106,'июнь 2024'!$J$4:$J$1823,J$1)</f>
        <v>0</v>
      </c>
      <c r="K106" s="80">
        <f>SUMIFS('июнь 2024'!$G$4:$G$1823,'июнь 2024'!$D$4:$D$1823,$B106,'июнь 2024'!$J$4:$J$1823,K$1)</f>
        <v>0</v>
      </c>
      <c r="L106" s="80">
        <f>SUMIFS('июнь 2024'!$G$4:$G$1823,'июнь 2024'!$D$4:$D$1823,$B106,'июнь 2024'!$J$4:$J$1823,L$1)</f>
        <v>0</v>
      </c>
      <c r="M106" s="80">
        <f>SUMIFS('июнь 2024'!$G$4:$G$1823,'июнь 2024'!$D$4:$D$1823,$B106,'июнь 2024'!$J$4:$J$1823,M$1)</f>
        <v>0</v>
      </c>
      <c r="N106" s="80">
        <f>SUMIFS('июнь 2024'!$G$4:$G$1823,'июнь 2024'!$D$4:$D$1823,$B106,'июнь 2024'!$J$4:$J$1823,N$1)</f>
        <v>0</v>
      </c>
      <c r="O106" s="80">
        <f>SUMIFS('июнь 2024'!$G$4:$G$1823,'июнь 2024'!$D$4:$D$1823,$B106,'июнь 2024'!$J$4:$J$1823,O$1)</f>
        <v>0</v>
      </c>
      <c r="P106" s="80">
        <f>SUMIFS('июнь 2024'!$G$4:$G$1823,'июнь 2024'!$D$4:$D$1823,$B106,'июнь 2024'!$J$4:$J$1823,P$1)</f>
        <v>0</v>
      </c>
      <c r="Q106" s="80">
        <f>SUMIFS('июнь 2024'!$G$4:$G$1823,'июнь 2024'!$D$4:$D$1823,$B106,'июнь 2024'!$J$4:$J$1823,Q$1)</f>
        <v>0</v>
      </c>
      <c r="R106" s="80">
        <f>SUMIFS('июнь 2024'!$G$4:$G$1823,'июнь 2024'!$D$4:$D$1823,$B106,'июнь 2024'!$J$4:$J$1823,R$1)</f>
        <v>0</v>
      </c>
      <c r="S106" s="80">
        <f>SUMIFS('июнь 2024'!$G$4:$G$1823,'июнь 2024'!$D$4:$D$1823,$B106,'июнь 2024'!$J$4:$J$1823,S$1)</f>
        <v>0</v>
      </c>
      <c r="T106" s="80">
        <f>SUMIFS('июнь 2024'!$G$4:$G$1823,'июнь 2024'!$D$4:$D$1823,$B106,'июнь 2024'!$J$4:$J$1823,T$1)</f>
        <v>0</v>
      </c>
      <c r="U106" s="80">
        <f>SUMIFS('июнь 2024'!$G$4:$G$1823,'июнь 2024'!$D$4:$D$1823,$B106,'июнь 2024'!$J$4:$J$1823,U$1)</f>
        <v>0</v>
      </c>
      <c r="V106" s="80">
        <f>SUMIFS('июнь 2024'!$G$4:$G$1823,'июнь 2024'!$D$4:$D$1823,$B106,'июнь 2024'!$J$4:$J$1823,V$1)</f>
        <v>0</v>
      </c>
      <c r="W106" s="80">
        <f>SUMIFS('июнь 2024'!$G$4:$G$1823,'июнь 2024'!$D$4:$D$1823,$B106,'июнь 2024'!$J$4:$J$1823,W$1)</f>
        <v>0</v>
      </c>
      <c r="X106" s="80">
        <f>SUMIFS('июнь 2024'!$G$4:$G$1823,'июнь 2024'!$D$4:$D$1823,$B106,'июнь 2024'!$J$4:$J$1823,X$1)</f>
        <v>0</v>
      </c>
      <c r="Y106" s="80">
        <f>SUMIFS('июнь 2024'!$G$4:$G$1823,'июнь 2024'!$D$4:$D$1823,$B106,'июнь 2024'!$J$4:$J$1823,Y$1)</f>
        <v>0</v>
      </c>
      <c r="Z106" s="80">
        <f>SUMIFS('июнь 2024'!$G$4:$G$1823,'июнь 2024'!$D$4:$D$1823,$B106,'июнь 2024'!$J$4:$J$1823,Z$1)</f>
        <v>0</v>
      </c>
      <c r="AA106" s="80">
        <f>SUMIFS('июнь 2024'!$G$4:$G$1823,'июнь 2024'!$D$4:$D$1823,$B106,'июнь 2024'!$J$4:$J$1823,AA$1)</f>
        <v>0</v>
      </c>
      <c r="AB106" s="80">
        <f>SUMIFS('июнь 2024'!$G$4:$G$1823,'июнь 2024'!$D$4:$D$1823,$B106,'июнь 2024'!$J$4:$J$1823,AB$1)</f>
        <v>0</v>
      </c>
      <c r="AC106" s="80">
        <f>SUMIFS('июнь 2024'!$G$4:$G$1823,'июнь 2024'!$D$4:$D$1823,$B106,'июнь 2024'!$J$4:$J$1823,AC$1)</f>
        <v>0</v>
      </c>
      <c r="AD106" s="80">
        <f>SUMIFS('июнь 2024'!$G$4:$G$1823,'июнь 2024'!$D$4:$D$1823,$B106,'июнь 2024'!$J$4:$J$1823,AD$1)</f>
        <v>0</v>
      </c>
      <c r="AE106" s="80">
        <f>SUMIFS('июнь 2024'!$G$4:$G$1823,'июнь 2024'!$D$4:$D$1823,$B106,'июнь 2024'!$J$4:$J$1823,AE$1)</f>
        <v>0</v>
      </c>
      <c r="AF106" s="80">
        <f>SUMIFS('июнь 2024'!$G$4:$G$1823,'июнь 2024'!$D$4:$D$1823,$B106,'июнь 2024'!$J$4:$J$1823,AF$1)</f>
        <v>0</v>
      </c>
      <c r="AG106" s="80">
        <f>SUMIFS('июнь 2024'!$G$4:$G$1823,'июнь 2024'!$D$4:$D$1823,$B106,'июнь 2024'!$J$4:$J$1823,AG$1)</f>
        <v>0</v>
      </c>
      <c r="AH106" s="80">
        <f>SUMIFS('июнь 2024'!$G$4:$G$1823,'июнь 2024'!$D$4:$D$1823,$B106,'июнь 2024'!$J$4:$J$1823,AH$1)</f>
        <v>0</v>
      </c>
      <c r="AI106" s="21">
        <f t="shared" si="1"/>
        <v>0</v>
      </c>
    </row>
    <row r="107" spans="2:35" ht="15" customHeight="1" x14ac:dyDescent="0.25">
      <c r="B107" s="93" t="s">
        <v>195</v>
      </c>
      <c r="C107" s="91">
        <v>180</v>
      </c>
      <c r="D107" s="80">
        <f>SUMIFS('июнь 2024'!$G$4:$G$1823,'июнь 2024'!$D$4:$D$1823,$B107,'июнь 2024'!$J$4:$J$1823,D$1)</f>
        <v>0</v>
      </c>
      <c r="E107" s="80">
        <f>SUMIFS('июнь 2024'!$G$4:$G$1823,'июнь 2024'!$D$4:$D$1823,$B107,'июнь 2024'!$J$4:$J$1823,E$1)</f>
        <v>0</v>
      </c>
      <c r="F107" s="80">
        <f>SUMIFS('июнь 2024'!$G$4:$G$1823,'июнь 2024'!$D$4:$D$1823,$B107,'июнь 2024'!$J$4:$J$1823,F$1)</f>
        <v>0</v>
      </c>
      <c r="G107" s="80">
        <f>SUMIFS('июнь 2024'!$G$4:$G$1823,'июнь 2024'!$D$4:$D$1823,$B107,'июнь 2024'!$J$4:$J$1823,G$1)</f>
        <v>0</v>
      </c>
      <c r="H107" s="80">
        <f>SUMIFS('июнь 2024'!$G$4:$G$1823,'июнь 2024'!$D$4:$D$1823,$B107,'июнь 2024'!$J$4:$J$1823,H$1)</f>
        <v>0</v>
      </c>
      <c r="I107" s="80">
        <f>SUMIFS('июнь 2024'!$G$4:$G$1823,'июнь 2024'!$D$4:$D$1823,$B107,'июнь 2024'!$J$4:$J$1823,I$1)</f>
        <v>0</v>
      </c>
      <c r="J107" s="80">
        <f>SUMIFS('июнь 2024'!$G$4:$G$1823,'июнь 2024'!$D$4:$D$1823,$B107,'июнь 2024'!$J$4:$J$1823,J$1)</f>
        <v>0</v>
      </c>
      <c r="K107" s="80">
        <f>SUMIFS('июнь 2024'!$G$4:$G$1823,'июнь 2024'!$D$4:$D$1823,$B107,'июнь 2024'!$J$4:$J$1823,K$1)</f>
        <v>0</v>
      </c>
      <c r="L107" s="80">
        <f>SUMIFS('июнь 2024'!$G$4:$G$1823,'июнь 2024'!$D$4:$D$1823,$B107,'июнь 2024'!$J$4:$J$1823,L$1)</f>
        <v>0</v>
      </c>
      <c r="M107" s="80">
        <f>SUMIFS('июнь 2024'!$G$4:$G$1823,'июнь 2024'!$D$4:$D$1823,$B107,'июнь 2024'!$J$4:$J$1823,M$1)</f>
        <v>0</v>
      </c>
      <c r="N107" s="80">
        <f>SUMIFS('июнь 2024'!$G$4:$G$1823,'июнь 2024'!$D$4:$D$1823,$B107,'июнь 2024'!$J$4:$J$1823,N$1)</f>
        <v>0</v>
      </c>
      <c r="O107" s="80">
        <f>SUMIFS('июнь 2024'!$G$4:$G$1823,'июнь 2024'!$D$4:$D$1823,$B107,'июнь 2024'!$J$4:$J$1823,O$1)</f>
        <v>0</v>
      </c>
      <c r="P107" s="80">
        <f>SUMIFS('июнь 2024'!$G$4:$G$1823,'июнь 2024'!$D$4:$D$1823,$B107,'июнь 2024'!$J$4:$J$1823,P$1)</f>
        <v>0</v>
      </c>
      <c r="Q107" s="80">
        <f>SUMIFS('июнь 2024'!$G$4:$G$1823,'июнь 2024'!$D$4:$D$1823,$B107,'июнь 2024'!$J$4:$J$1823,Q$1)</f>
        <v>0</v>
      </c>
      <c r="R107" s="80">
        <f>SUMIFS('июнь 2024'!$G$4:$G$1823,'июнь 2024'!$D$4:$D$1823,$B107,'июнь 2024'!$J$4:$J$1823,R$1)</f>
        <v>0</v>
      </c>
      <c r="S107" s="80">
        <f>SUMIFS('июнь 2024'!$G$4:$G$1823,'июнь 2024'!$D$4:$D$1823,$B107,'июнь 2024'!$J$4:$J$1823,S$1)</f>
        <v>0</v>
      </c>
      <c r="T107" s="80">
        <f>SUMIFS('июнь 2024'!$G$4:$G$1823,'июнь 2024'!$D$4:$D$1823,$B107,'июнь 2024'!$J$4:$J$1823,T$1)</f>
        <v>0</v>
      </c>
      <c r="U107" s="80">
        <f>SUMIFS('июнь 2024'!$G$4:$G$1823,'июнь 2024'!$D$4:$D$1823,$B107,'июнь 2024'!$J$4:$J$1823,U$1)</f>
        <v>0</v>
      </c>
      <c r="V107" s="80">
        <f>SUMIFS('июнь 2024'!$G$4:$G$1823,'июнь 2024'!$D$4:$D$1823,$B107,'июнь 2024'!$J$4:$J$1823,V$1)</f>
        <v>0</v>
      </c>
      <c r="W107" s="80">
        <f>SUMIFS('июнь 2024'!$G$4:$G$1823,'июнь 2024'!$D$4:$D$1823,$B107,'июнь 2024'!$J$4:$J$1823,W$1)</f>
        <v>0</v>
      </c>
      <c r="X107" s="80">
        <f>SUMIFS('июнь 2024'!$G$4:$G$1823,'июнь 2024'!$D$4:$D$1823,$B107,'июнь 2024'!$J$4:$J$1823,X$1)</f>
        <v>0</v>
      </c>
      <c r="Y107" s="80">
        <f>SUMIFS('июнь 2024'!$G$4:$G$1823,'июнь 2024'!$D$4:$D$1823,$B107,'июнь 2024'!$J$4:$J$1823,Y$1)</f>
        <v>0</v>
      </c>
      <c r="Z107" s="80">
        <f>SUMIFS('июнь 2024'!$G$4:$G$1823,'июнь 2024'!$D$4:$D$1823,$B107,'июнь 2024'!$J$4:$J$1823,Z$1)</f>
        <v>0</v>
      </c>
      <c r="AA107" s="80">
        <f>SUMIFS('июнь 2024'!$G$4:$G$1823,'июнь 2024'!$D$4:$D$1823,$B107,'июнь 2024'!$J$4:$J$1823,AA$1)</f>
        <v>0</v>
      </c>
      <c r="AB107" s="80">
        <f>SUMIFS('июнь 2024'!$G$4:$G$1823,'июнь 2024'!$D$4:$D$1823,$B107,'июнь 2024'!$J$4:$J$1823,AB$1)</f>
        <v>0</v>
      </c>
      <c r="AC107" s="80">
        <f>SUMIFS('июнь 2024'!$G$4:$G$1823,'июнь 2024'!$D$4:$D$1823,$B107,'июнь 2024'!$J$4:$J$1823,AC$1)</f>
        <v>0</v>
      </c>
      <c r="AD107" s="80">
        <f>SUMIFS('июнь 2024'!$G$4:$G$1823,'июнь 2024'!$D$4:$D$1823,$B107,'июнь 2024'!$J$4:$J$1823,AD$1)</f>
        <v>0</v>
      </c>
      <c r="AE107" s="80">
        <f>SUMIFS('июнь 2024'!$G$4:$G$1823,'июнь 2024'!$D$4:$D$1823,$B107,'июнь 2024'!$J$4:$J$1823,AE$1)</f>
        <v>0</v>
      </c>
      <c r="AF107" s="80">
        <f>SUMIFS('июнь 2024'!$G$4:$G$1823,'июнь 2024'!$D$4:$D$1823,$B107,'июнь 2024'!$J$4:$J$1823,AF$1)</f>
        <v>0</v>
      </c>
      <c r="AG107" s="80">
        <f>SUMIFS('июнь 2024'!$G$4:$G$1823,'июнь 2024'!$D$4:$D$1823,$B107,'июнь 2024'!$J$4:$J$1823,AG$1)</f>
        <v>0</v>
      </c>
      <c r="AH107" s="80">
        <f>SUMIFS('июнь 2024'!$G$4:$G$1823,'июнь 2024'!$D$4:$D$1823,$B107,'июнь 2024'!$J$4:$J$1823,AH$1)</f>
        <v>0</v>
      </c>
      <c r="AI107" s="21">
        <f t="shared" si="1"/>
        <v>0</v>
      </c>
    </row>
    <row r="108" spans="2:35" ht="15" customHeight="1" x14ac:dyDescent="0.25">
      <c r="B108" s="93" t="s">
        <v>214</v>
      </c>
      <c r="C108" s="91">
        <v>185</v>
      </c>
      <c r="D108" s="80">
        <f>SUMIFS('июнь 2024'!$G$4:$G$1823,'июнь 2024'!$D$4:$D$1823,$B108,'июнь 2024'!$J$4:$J$1823,D$1)</f>
        <v>0</v>
      </c>
      <c r="E108" s="80">
        <f>SUMIFS('июнь 2024'!$G$4:$G$1823,'июнь 2024'!$D$4:$D$1823,$B108,'июнь 2024'!$J$4:$J$1823,E$1)</f>
        <v>0</v>
      </c>
      <c r="F108" s="80">
        <f>SUMIFS('июнь 2024'!$G$4:$G$1823,'июнь 2024'!$D$4:$D$1823,$B108,'июнь 2024'!$J$4:$J$1823,F$1)</f>
        <v>0</v>
      </c>
      <c r="G108" s="80">
        <f>SUMIFS('июнь 2024'!$G$4:$G$1823,'июнь 2024'!$D$4:$D$1823,$B108,'июнь 2024'!$J$4:$J$1823,G$1)</f>
        <v>0</v>
      </c>
      <c r="H108" s="80">
        <f>SUMIFS('июнь 2024'!$G$4:$G$1823,'июнь 2024'!$D$4:$D$1823,$B108,'июнь 2024'!$J$4:$J$1823,H$1)</f>
        <v>0</v>
      </c>
      <c r="I108" s="80">
        <f>SUMIFS('июнь 2024'!$G$4:$G$1823,'июнь 2024'!$D$4:$D$1823,$B108,'июнь 2024'!$J$4:$J$1823,I$1)</f>
        <v>0</v>
      </c>
      <c r="J108" s="80">
        <f>SUMIFS('июнь 2024'!$G$4:$G$1823,'июнь 2024'!$D$4:$D$1823,$B108,'июнь 2024'!$J$4:$J$1823,J$1)</f>
        <v>0</v>
      </c>
      <c r="K108" s="80">
        <f>SUMIFS('июнь 2024'!$G$4:$G$1823,'июнь 2024'!$D$4:$D$1823,$B108,'июнь 2024'!$J$4:$J$1823,K$1)</f>
        <v>0</v>
      </c>
      <c r="L108" s="80">
        <f>SUMIFS('июнь 2024'!$G$4:$G$1823,'июнь 2024'!$D$4:$D$1823,$B108,'июнь 2024'!$J$4:$J$1823,L$1)</f>
        <v>0</v>
      </c>
      <c r="M108" s="80">
        <f>SUMIFS('июнь 2024'!$G$4:$G$1823,'июнь 2024'!$D$4:$D$1823,$B108,'июнь 2024'!$J$4:$J$1823,M$1)</f>
        <v>0</v>
      </c>
      <c r="N108" s="80">
        <f>SUMIFS('июнь 2024'!$G$4:$G$1823,'июнь 2024'!$D$4:$D$1823,$B108,'июнь 2024'!$J$4:$J$1823,N$1)</f>
        <v>0</v>
      </c>
      <c r="O108" s="80">
        <f>SUMIFS('июнь 2024'!$G$4:$G$1823,'июнь 2024'!$D$4:$D$1823,$B108,'июнь 2024'!$J$4:$J$1823,O$1)</f>
        <v>0</v>
      </c>
      <c r="P108" s="80">
        <f>SUMIFS('июнь 2024'!$G$4:$G$1823,'июнь 2024'!$D$4:$D$1823,$B108,'июнь 2024'!$J$4:$J$1823,P$1)</f>
        <v>0</v>
      </c>
      <c r="Q108" s="80">
        <f>SUMIFS('июнь 2024'!$G$4:$G$1823,'июнь 2024'!$D$4:$D$1823,$B108,'июнь 2024'!$J$4:$J$1823,Q$1)</f>
        <v>0</v>
      </c>
      <c r="R108" s="80">
        <f>SUMIFS('июнь 2024'!$G$4:$G$1823,'июнь 2024'!$D$4:$D$1823,$B108,'июнь 2024'!$J$4:$J$1823,R$1)</f>
        <v>0</v>
      </c>
      <c r="S108" s="80">
        <f>SUMIFS('июнь 2024'!$G$4:$G$1823,'июнь 2024'!$D$4:$D$1823,$B108,'июнь 2024'!$J$4:$J$1823,S$1)</f>
        <v>0</v>
      </c>
      <c r="T108" s="80">
        <f>SUMIFS('июнь 2024'!$G$4:$G$1823,'июнь 2024'!$D$4:$D$1823,$B108,'июнь 2024'!$J$4:$J$1823,T$1)</f>
        <v>0</v>
      </c>
      <c r="U108" s="80">
        <f>SUMIFS('июнь 2024'!$G$4:$G$1823,'июнь 2024'!$D$4:$D$1823,$B108,'июнь 2024'!$J$4:$J$1823,U$1)</f>
        <v>0</v>
      </c>
      <c r="V108" s="80">
        <f>SUMIFS('июнь 2024'!$G$4:$G$1823,'июнь 2024'!$D$4:$D$1823,$B108,'июнь 2024'!$J$4:$J$1823,V$1)</f>
        <v>0</v>
      </c>
      <c r="W108" s="80">
        <f>SUMIFS('июнь 2024'!$G$4:$G$1823,'июнь 2024'!$D$4:$D$1823,$B108,'июнь 2024'!$J$4:$J$1823,W$1)</f>
        <v>0</v>
      </c>
      <c r="X108" s="80">
        <f>SUMIFS('июнь 2024'!$G$4:$G$1823,'июнь 2024'!$D$4:$D$1823,$B108,'июнь 2024'!$J$4:$J$1823,X$1)</f>
        <v>0</v>
      </c>
      <c r="Y108" s="80">
        <f>SUMIFS('июнь 2024'!$G$4:$G$1823,'июнь 2024'!$D$4:$D$1823,$B108,'июнь 2024'!$J$4:$J$1823,Y$1)</f>
        <v>0</v>
      </c>
      <c r="Z108" s="80">
        <f>SUMIFS('июнь 2024'!$G$4:$G$1823,'июнь 2024'!$D$4:$D$1823,$B108,'июнь 2024'!$J$4:$J$1823,Z$1)</f>
        <v>0</v>
      </c>
      <c r="AA108" s="80">
        <f>SUMIFS('июнь 2024'!$G$4:$G$1823,'июнь 2024'!$D$4:$D$1823,$B108,'июнь 2024'!$J$4:$J$1823,AA$1)</f>
        <v>0</v>
      </c>
      <c r="AB108" s="80">
        <f>SUMIFS('июнь 2024'!$G$4:$G$1823,'июнь 2024'!$D$4:$D$1823,$B108,'июнь 2024'!$J$4:$J$1823,AB$1)</f>
        <v>0</v>
      </c>
      <c r="AC108" s="80">
        <f>SUMIFS('июнь 2024'!$G$4:$G$1823,'июнь 2024'!$D$4:$D$1823,$B108,'июнь 2024'!$J$4:$J$1823,AC$1)</f>
        <v>0</v>
      </c>
      <c r="AD108" s="80">
        <f>SUMIFS('июнь 2024'!$G$4:$G$1823,'июнь 2024'!$D$4:$D$1823,$B108,'июнь 2024'!$J$4:$J$1823,AD$1)</f>
        <v>0</v>
      </c>
      <c r="AE108" s="80">
        <f>SUMIFS('июнь 2024'!$G$4:$G$1823,'июнь 2024'!$D$4:$D$1823,$B108,'июнь 2024'!$J$4:$J$1823,AE$1)</f>
        <v>0</v>
      </c>
      <c r="AF108" s="80">
        <f>SUMIFS('июнь 2024'!$G$4:$G$1823,'июнь 2024'!$D$4:$D$1823,$B108,'июнь 2024'!$J$4:$J$1823,AF$1)</f>
        <v>0</v>
      </c>
      <c r="AG108" s="80">
        <f>SUMIFS('июнь 2024'!$G$4:$G$1823,'июнь 2024'!$D$4:$D$1823,$B108,'июнь 2024'!$J$4:$J$1823,AG$1)</f>
        <v>0</v>
      </c>
      <c r="AH108" s="80">
        <f>SUMIFS('июнь 2024'!$G$4:$G$1823,'июнь 2024'!$D$4:$D$1823,$B108,'июнь 2024'!$J$4:$J$1823,AH$1)</f>
        <v>0</v>
      </c>
      <c r="AI108" s="21">
        <f t="shared" si="1"/>
        <v>0</v>
      </c>
    </row>
    <row r="109" spans="2:35" ht="15" customHeight="1" x14ac:dyDescent="0.25">
      <c r="B109" s="93" t="s">
        <v>1069</v>
      </c>
      <c r="C109" s="91">
        <v>175</v>
      </c>
      <c r="D109" s="80">
        <f>SUMIFS('июнь 2024'!$G$4:$G$1823,'июнь 2024'!$D$4:$D$1823,$B109,'июнь 2024'!$J$4:$J$1823,D$1)</f>
        <v>0</v>
      </c>
      <c r="E109" s="80">
        <f>SUMIFS('июнь 2024'!$G$4:$G$1823,'июнь 2024'!$D$4:$D$1823,$B109,'июнь 2024'!$J$4:$J$1823,E$1)</f>
        <v>0</v>
      </c>
      <c r="F109" s="80">
        <f>SUMIFS('июнь 2024'!$G$4:$G$1823,'июнь 2024'!$D$4:$D$1823,$B109,'июнь 2024'!$J$4:$J$1823,F$1)</f>
        <v>0</v>
      </c>
      <c r="G109" s="80">
        <f>SUMIFS('июнь 2024'!$G$4:$G$1823,'июнь 2024'!$D$4:$D$1823,$B109,'июнь 2024'!$J$4:$J$1823,G$1)</f>
        <v>0</v>
      </c>
      <c r="H109" s="80">
        <f>SUMIFS('июнь 2024'!$G$4:$G$1823,'июнь 2024'!$D$4:$D$1823,$B109,'июнь 2024'!$J$4:$J$1823,H$1)</f>
        <v>0</v>
      </c>
      <c r="I109" s="80">
        <f>SUMIFS('июнь 2024'!$G$4:$G$1823,'июнь 2024'!$D$4:$D$1823,$B109,'июнь 2024'!$J$4:$J$1823,I$1)</f>
        <v>0</v>
      </c>
      <c r="J109" s="80">
        <f>SUMIFS('июнь 2024'!$G$4:$G$1823,'июнь 2024'!$D$4:$D$1823,$B109,'июнь 2024'!$J$4:$J$1823,J$1)</f>
        <v>0</v>
      </c>
      <c r="K109" s="80">
        <f>SUMIFS('июнь 2024'!$G$4:$G$1823,'июнь 2024'!$D$4:$D$1823,$B109,'июнь 2024'!$J$4:$J$1823,K$1)</f>
        <v>0</v>
      </c>
      <c r="L109" s="80">
        <f>SUMIFS('июнь 2024'!$G$4:$G$1823,'июнь 2024'!$D$4:$D$1823,$B109,'июнь 2024'!$J$4:$J$1823,L$1)</f>
        <v>0</v>
      </c>
      <c r="M109" s="80">
        <f>SUMIFS('июнь 2024'!$G$4:$G$1823,'июнь 2024'!$D$4:$D$1823,$B109,'июнь 2024'!$J$4:$J$1823,M$1)</f>
        <v>0</v>
      </c>
      <c r="N109" s="80">
        <f>SUMIFS('июнь 2024'!$G$4:$G$1823,'июнь 2024'!$D$4:$D$1823,$B109,'июнь 2024'!$J$4:$J$1823,N$1)</f>
        <v>0</v>
      </c>
      <c r="O109" s="80">
        <f>SUMIFS('июнь 2024'!$G$4:$G$1823,'июнь 2024'!$D$4:$D$1823,$B109,'июнь 2024'!$J$4:$J$1823,O$1)</f>
        <v>0</v>
      </c>
      <c r="P109" s="80">
        <f>SUMIFS('июнь 2024'!$G$4:$G$1823,'июнь 2024'!$D$4:$D$1823,$B109,'июнь 2024'!$J$4:$J$1823,P$1)</f>
        <v>0</v>
      </c>
      <c r="Q109" s="80">
        <f>SUMIFS('июнь 2024'!$G$4:$G$1823,'июнь 2024'!$D$4:$D$1823,$B109,'июнь 2024'!$J$4:$J$1823,Q$1)</f>
        <v>0</v>
      </c>
      <c r="R109" s="80">
        <f>SUMIFS('июнь 2024'!$G$4:$G$1823,'июнь 2024'!$D$4:$D$1823,$B109,'июнь 2024'!$J$4:$J$1823,R$1)</f>
        <v>0</v>
      </c>
      <c r="S109" s="80">
        <f>SUMIFS('июнь 2024'!$G$4:$G$1823,'июнь 2024'!$D$4:$D$1823,$B109,'июнь 2024'!$J$4:$J$1823,S$1)</f>
        <v>0</v>
      </c>
      <c r="T109" s="80">
        <f>SUMIFS('июнь 2024'!$G$4:$G$1823,'июнь 2024'!$D$4:$D$1823,$B109,'июнь 2024'!$J$4:$J$1823,T$1)</f>
        <v>0</v>
      </c>
      <c r="U109" s="80">
        <f>SUMIFS('июнь 2024'!$G$4:$G$1823,'июнь 2024'!$D$4:$D$1823,$B109,'июнь 2024'!$J$4:$J$1823,U$1)</f>
        <v>0</v>
      </c>
      <c r="V109" s="80">
        <f>SUMIFS('июнь 2024'!$G$4:$G$1823,'июнь 2024'!$D$4:$D$1823,$B109,'июнь 2024'!$J$4:$J$1823,V$1)</f>
        <v>0</v>
      </c>
      <c r="W109" s="80">
        <f>SUMIFS('июнь 2024'!$G$4:$G$1823,'июнь 2024'!$D$4:$D$1823,$B109,'июнь 2024'!$J$4:$J$1823,W$1)</f>
        <v>0</v>
      </c>
      <c r="X109" s="80">
        <f>SUMIFS('июнь 2024'!$G$4:$G$1823,'июнь 2024'!$D$4:$D$1823,$B109,'июнь 2024'!$J$4:$J$1823,X$1)</f>
        <v>0</v>
      </c>
      <c r="Y109" s="80">
        <f>SUMIFS('июнь 2024'!$G$4:$G$1823,'июнь 2024'!$D$4:$D$1823,$B109,'июнь 2024'!$J$4:$J$1823,Y$1)</f>
        <v>0</v>
      </c>
      <c r="Z109" s="80">
        <f>SUMIFS('июнь 2024'!$G$4:$G$1823,'июнь 2024'!$D$4:$D$1823,$B109,'июнь 2024'!$J$4:$J$1823,Z$1)</f>
        <v>0</v>
      </c>
      <c r="AA109" s="80">
        <f>SUMIFS('июнь 2024'!$G$4:$G$1823,'июнь 2024'!$D$4:$D$1823,$B109,'июнь 2024'!$J$4:$J$1823,AA$1)</f>
        <v>0</v>
      </c>
      <c r="AB109" s="80">
        <f>SUMIFS('июнь 2024'!$G$4:$G$1823,'июнь 2024'!$D$4:$D$1823,$B109,'июнь 2024'!$J$4:$J$1823,AB$1)</f>
        <v>0</v>
      </c>
      <c r="AC109" s="80">
        <f>SUMIFS('июнь 2024'!$G$4:$G$1823,'июнь 2024'!$D$4:$D$1823,$B109,'июнь 2024'!$J$4:$J$1823,AC$1)</f>
        <v>0</v>
      </c>
      <c r="AD109" s="80">
        <f>SUMIFS('июнь 2024'!$G$4:$G$1823,'июнь 2024'!$D$4:$D$1823,$B109,'июнь 2024'!$J$4:$J$1823,AD$1)</f>
        <v>0</v>
      </c>
      <c r="AE109" s="80">
        <f>SUMIFS('июнь 2024'!$G$4:$G$1823,'июнь 2024'!$D$4:$D$1823,$B109,'июнь 2024'!$J$4:$J$1823,AE$1)</f>
        <v>88</v>
      </c>
      <c r="AF109" s="80">
        <f>SUMIFS('июнь 2024'!$G$4:$G$1823,'июнь 2024'!$D$4:$D$1823,$B109,'июнь 2024'!$J$4:$J$1823,AF$1)</f>
        <v>0</v>
      </c>
      <c r="AG109" s="80">
        <f>SUMIFS('июнь 2024'!$G$4:$G$1823,'июнь 2024'!$D$4:$D$1823,$B109,'июнь 2024'!$J$4:$J$1823,AG$1)</f>
        <v>0</v>
      </c>
      <c r="AH109" s="80">
        <f>SUMIFS('июнь 2024'!$G$4:$G$1823,'июнь 2024'!$D$4:$D$1823,$B109,'июнь 2024'!$J$4:$J$1823,AH$1)</f>
        <v>0</v>
      </c>
      <c r="AI109" s="21">
        <f t="shared" si="1"/>
        <v>88</v>
      </c>
    </row>
    <row r="110" spans="2:35" ht="15" customHeight="1" x14ac:dyDescent="0.25">
      <c r="B110" s="93" t="s">
        <v>1226</v>
      </c>
      <c r="C110" s="91">
        <v>200</v>
      </c>
      <c r="D110" s="80">
        <f>SUMIFS('июнь 2024'!$G$4:$G$1823,'июнь 2024'!$D$4:$D$1823,$B110,'июнь 2024'!$J$4:$J$1823,D$1)</f>
        <v>0</v>
      </c>
      <c r="E110" s="80">
        <f>SUMIFS('июнь 2024'!$G$4:$G$1823,'июнь 2024'!$D$4:$D$1823,$B110,'июнь 2024'!$J$4:$J$1823,E$1)</f>
        <v>0</v>
      </c>
      <c r="F110" s="80">
        <f>SUMIFS('июнь 2024'!$G$4:$G$1823,'июнь 2024'!$D$4:$D$1823,$B110,'июнь 2024'!$J$4:$J$1823,F$1)</f>
        <v>0</v>
      </c>
      <c r="G110" s="80">
        <f>SUMIFS('июнь 2024'!$G$4:$G$1823,'июнь 2024'!$D$4:$D$1823,$B110,'июнь 2024'!$J$4:$J$1823,G$1)</f>
        <v>0</v>
      </c>
      <c r="H110" s="80">
        <f>SUMIFS('июнь 2024'!$G$4:$G$1823,'июнь 2024'!$D$4:$D$1823,$B110,'июнь 2024'!$J$4:$J$1823,H$1)</f>
        <v>8</v>
      </c>
      <c r="I110" s="80">
        <f>SUMIFS('июнь 2024'!$G$4:$G$1823,'июнь 2024'!$D$4:$D$1823,$B110,'июнь 2024'!$J$4:$J$1823,I$1)</f>
        <v>0</v>
      </c>
      <c r="J110" s="80">
        <f>SUMIFS('июнь 2024'!$G$4:$G$1823,'июнь 2024'!$D$4:$D$1823,$B110,'июнь 2024'!$J$4:$J$1823,J$1)</f>
        <v>0</v>
      </c>
      <c r="K110" s="80">
        <f>SUMIFS('июнь 2024'!$G$4:$G$1823,'июнь 2024'!$D$4:$D$1823,$B110,'июнь 2024'!$J$4:$J$1823,K$1)</f>
        <v>0</v>
      </c>
      <c r="L110" s="80">
        <f>SUMIFS('июнь 2024'!$G$4:$G$1823,'июнь 2024'!$D$4:$D$1823,$B110,'июнь 2024'!$J$4:$J$1823,L$1)</f>
        <v>0</v>
      </c>
      <c r="M110" s="80">
        <f>SUMIFS('июнь 2024'!$G$4:$G$1823,'июнь 2024'!$D$4:$D$1823,$B110,'июнь 2024'!$J$4:$J$1823,M$1)</f>
        <v>0</v>
      </c>
      <c r="N110" s="80">
        <f>SUMIFS('июнь 2024'!$G$4:$G$1823,'июнь 2024'!$D$4:$D$1823,$B110,'июнь 2024'!$J$4:$J$1823,N$1)</f>
        <v>0</v>
      </c>
      <c r="O110" s="80">
        <f>SUMIFS('июнь 2024'!$G$4:$G$1823,'июнь 2024'!$D$4:$D$1823,$B110,'июнь 2024'!$J$4:$J$1823,O$1)</f>
        <v>0</v>
      </c>
      <c r="P110" s="80">
        <f>SUMIFS('июнь 2024'!$G$4:$G$1823,'июнь 2024'!$D$4:$D$1823,$B110,'июнь 2024'!$J$4:$J$1823,P$1)</f>
        <v>0</v>
      </c>
      <c r="Q110" s="80">
        <f>SUMIFS('июнь 2024'!$G$4:$G$1823,'июнь 2024'!$D$4:$D$1823,$B110,'июнь 2024'!$J$4:$J$1823,Q$1)</f>
        <v>0</v>
      </c>
      <c r="R110" s="80">
        <f>SUMIFS('июнь 2024'!$G$4:$G$1823,'июнь 2024'!$D$4:$D$1823,$B110,'июнь 2024'!$J$4:$J$1823,R$1)</f>
        <v>0</v>
      </c>
      <c r="S110" s="80">
        <f>SUMIFS('июнь 2024'!$G$4:$G$1823,'июнь 2024'!$D$4:$D$1823,$B110,'июнь 2024'!$J$4:$J$1823,S$1)</f>
        <v>0</v>
      </c>
      <c r="T110" s="80">
        <f>SUMIFS('июнь 2024'!$G$4:$G$1823,'июнь 2024'!$D$4:$D$1823,$B110,'июнь 2024'!$J$4:$J$1823,T$1)</f>
        <v>0</v>
      </c>
      <c r="U110" s="80">
        <f>SUMIFS('июнь 2024'!$G$4:$G$1823,'июнь 2024'!$D$4:$D$1823,$B110,'июнь 2024'!$J$4:$J$1823,U$1)</f>
        <v>0</v>
      </c>
      <c r="V110" s="80">
        <f>SUMIFS('июнь 2024'!$G$4:$G$1823,'июнь 2024'!$D$4:$D$1823,$B110,'июнь 2024'!$J$4:$J$1823,V$1)</f>
        <v>0</v>
      </c>
      <c r="W110" s="80">
        <f>SUMIFS('июнь 2024'!$G$4:$G$1823,'июнь 2024'!$D$4:$D$1823,$B110,'июнь 2024'!$J$4:$J$1823,W$1)</f>
        <v>0</v>
      </c>
      <c r="X110" s="80">
        <f>SUMIFS('июнь 2024'!$G$4:$G$1823,'июнь 2024'!$D$4:$D$1823,$B110,'июнь 2024'!$J$4:$J$1823,X$1)</f>
        <v>0</v>
      </c>
      <c r="Y110" s="80">
        <f>SUMIFS('июнь 2024'!$G$4:$G$1823,'июнь 2024'!$D$4:$D$1823,$B110,'июнь 2024'!$J$4:$J$1823,Y$1)</f>
        <v>0</v>
      </c>
      <c r="Z110" s="80">
        <f>SUMIFS('июнь 2024'!$G$4:$G$1823,'июнь 2024'!$D$4:$D$1823,$B110,'июнь 2024'!$J$4:$J$1823,Z$1)</f>
        <v>0</v>
      </c>
      <c r="AA110" s="80">
        <f>SUMIFS('июнь 2024'!$G$4:$G$1823,'июнь 2024'!$D$4:$D$1823,$B110,'июнь 2024'!$J$4:$J$1823,AA$1)</f>
        <v>0</v>
      </c>
      <c r="AB110" s="80">
        <f>SUMIFS('июнь 2024'!$G$4:$G$1823,'июнь 2024'!$D$4:$D$1823,$B110,'июнь 2024'!$J$4:$J$1823,AB$1)</f>
        <v>0</v>
      </c>
      <c r="AC110" s="80">
        <f>SUMIFS('июнь 2024'!$G$4:$G$1823,'июнь 2024'!$D$4:$D$1823,$B110,'июнь 2024'!$J$4:$J$1823,AC$1)</f>
        <v>0</v>
      </c>
      <c r="AD110" s="80">
        <f>SUMIFS('июнь 2024'!$G$4:$G$1823,'июнь 2024'!$D$4:$D$1823,$B110,'июнь 2024'!$J$4:$J$1823,AD$1)</f>
        <v>0</v>
      </c>
      <c r="AE110" s="80">
        <f>SUMIFS('июнь 2024'!$G$4:$G$1823,'июнь 2024'!$D$4:$D$1823,$B110,'июнь 2024'!$J$4:$J$1823,AE$1)</f>
        <v>0</v>
      </c>
      <c r="AF110" s="80">
        <f>SUMIFS('июнь 2024'!$G$4:$G$1823,'июнь 2024'!$D$4:$D$1823,$B110,'июнь 2024'!$J$4:$J$1823,AF$1)</f>
        <v>0</v>
      </c>
      <c r="AG110" s="80">
        <f>SUMIFS('июнь 2024'!$G$4:$G$1823,'июнь 2024'!$D$4:$D$1823,$B110,'июнь 2024'!$J$4:$J$1823,AG$1)</f>
        <v>0</v>
      </c>
      <c r="AH110" s="80">
        <f>SUMIFS('июнь 2024'!$G$4:$G$1823,'июнь 2024'!$D$4:$D$1823,$B110,'июнь 2024'!$J$4:$J$1823,AH$1)</f>
        <v>0</v>
      </c>
      <c r="AI110" s="21">
        <f>SUM(D110:AH110)</f>
        <v>8</v>
      </c>
    </row>
    <row r="111" spans="2:35" ht="15" customHeight="1" x14ac:dyDescent="0.25">
      <c r="B111" s="93" t="s">
        <v>329</v>
      </c>
      <c r="C111" s="91">
        <v>180</v>
      </c>
      <c r="D111" s="80">
        <f>SUMIFS('июнь 2024'!$G$4:$G$1823,'июнь 2024'!$D$4:$D$1823,$B111,'июнь 2024'!$J$4:$J$1823,D$1)</f>
        <v>0</v>
      </c>
      <c r="E111" s="80">
        <f>SUMIFS('июнь 2024'!$G$4:$G$1823,'июнь 2024'!$D$4:$D$1823,$B111,'июнь 2024'!$J$4:$J$1823,E$1)</f>
        <v>0</v>
      </c>
      <c r="F111" s="80">
        <f>SUMIFS('июнь 2024'!$G$4:$G$1823,'июнь 2024'!$D$4:$D$1823,$B111,'июнь 2024'!$J$4:$J$1823,F$1)</f>
        <v>0</v>
      </c>
      <c r="G111" s="80">
        <f>SUMIFS('июнь 2024'!$G$4:$G$1823,'июнь 2024'!$D$4:$D$1823,$B111,'июнь 2024'!$J$4:$J$1823,G$1)</f>
        <v>0</v>
      </c>
      <c r="H111" s="80">
        <f>SUMIFS('июнь 2024'!$G$4:$G$1823,'июнь 2024'!$D$4:$D$1823,$B111,'июнь 2024'!$J$4:$J$1823,H$1)</f>
        <v>0</v>
      </c>
      <c r="I111" s="80">
        <f>SUMIFS('июнь 2024'!$G$4:$G$1823,'июнь 2024'!$D$4:$D$1823,$B111,'июнь 2024'!$J$4:$J$1823,I$1)</f>
        <v>0</v>
      </c>
      <c r="J111" s="80">
        <f>SUMIFS('июнь 2024'!$G$4:$G$1823,'июнь 2024'!$D$4:$D$1823,$B111,'июнь 2024'!$J$4:$J$1823,J$1)</f>
        <v>0</v>
      </c>
      <c r="K111" s="80">
        <f>SUMIFS('июнь 2024'!$G$4:$G$1823,'июнь 2024'!$D$4:$D$1823,$B111,'июнь 2024'!$J$4:$J$1823,K$1)</f>
        <v>0</v>
      </c>
      <c r="L111" s="80">
        <f>SUMIFS('июнь 2024'!$G$4:$G$1823,'июнь 2024'!$D$4:$D$1823,$B111,'июнь 2024'!$J$4:$J$1823,L$1)</f>
        <v>0</v>
      </c>
      <c r="M111" s="80">
        <f>SUMIFS('июнь 2024'!$G$4:$G$1823,'июнь 2024'!$D$4:$D$1823,$B111,'июнь 2024'!$J$4:$J$1823,M$1)</f>
        <v>0</v>
      </c>
      <c r="N111" s="80">
        <f>SUMIFS('июнь 2024'!$G$4:$G$1823,'июнь 2024'!$D$4:$D$1823,$B111,'июнь 2024'!$J$4:$J$1823,N$1)</f>
        <v>0</v>
      </c>
      <c r="O111" s="80">
        <f>SUMIFS('июнь 2024'!$G$4:$G$1823,'июнь 2024'!$D$4:$D$1823,$B111,'июнь 2024'!$J$4:$J$1823,O$1)</f>
        <v>0</v>
      </c>
      <c r="P111" s="80">
        <f>SUMIFS('июнь 2024'!$G$4:$G$1823,'июнь 2024'!$D$4:$D$1823,$B111,'июнь 2024'!$J$4:$J$1823,P$1)</f>
        <v>0</v>
      </c>
      <c r="Q111" s="80">
        <f>SUMIFS('июнь 2024'!$G$4:$G$1823,'июнь 2024'!$D$4:$D$1823,$B111,'июнь 2024'!$J$4:$J$1823,Q$1)</f>
        <v>0</v>
      </c>
      <c r="R111" s="80">
        <f>SUMIFS('июнь 2024'!$G$4:$G$1823,'июнь 2024'!$D$4:$D$1823,$B111,'июнь 2024'!$J$4:$J$1823,R$1)</f>
        <v>0</v>
      </c>
      <c r="S111" s="80">
        <f>SUMIFS('июнь 2024'!$G$4:$G$1823,'июнь 2024'!$D$4:$D$1823,$B111,'июнь 2024'!$J$4:$J$1823,S$1)</f>
        <v>0</v>
      </c>
      <c r="T111" s="80">
        <f>SUMIFS('июнь 2024'!$G$4:$G$1823,'июнь 2024'!$D$4:$D$1823,$B111,'июнь 2024'!$J$4:$J$1823,T$1)</f>
        <v>0</v>
      </c>
      <c r="U111" s="80">
        <f>SUMIFS('июнь 2024'!$G$4:$G$1823,'июнь 2024'!$D$4:$D$1823,$B111,'июнь 2024'!$J$4:$J$1823,U$1)</f>
        <v>0</v>
      </c>
      <c r="V111" s="80">
        <f>SUMIFS('июнь 2024'!$G$4:$G$1823,'июнь 2024'!$D$4:$D$1823,$B111,'июнь 2024'!$J$4:$J$1823,V$1)</f>
        <v>0</v>
      </c>
      <c r="W111" s="80">
        <f>SUMIFS('июнь 2024'!$G$4:$G$1823,'июнь 2024'!$D$4:$D$1823,$B111,'июнь 2024'!$J$4:$J$1823,W$1)</f>
        <v>0</v>
      </c>
      <c r="X111" s="80">
        <f>SUMIFS('июнь 2024'!$G$4:$G$1823,'июнь 2024'!$D$4:$D$1823,$B111,'июнь 2024'!$J$4:$J$1823,X$1)</f>
        <v>0</v>
      </c>
      <c r="Y111" s="80">
        <f>SUMIFS('июнь 2024'!$G$4:$G$1823,'июнь 2024'!$D$4:$D$1823,$B111,'июнь 2024'!$J$4:$J$1823,Y$1)</f>
        <v>0</v>
      </c>
      <c r="Z111" s="80">
        <f>SUMIFS('июнь 2024'!$G$4:$G$1823,'июнь 2024'!$D$4:$D$1823,$B111,'июнь 2024'!$J$4:$J$1823,Z$1)</f>
        <v>0</v>
      </c>
      <c r="AA111" s="80">
        <f>SUMIFS('июнь 2024'!$G$4:$G$1823,'июнь 2024'!$D$4:$D$1823,$B111,'июнь 2024'!$J$4:$J$1823,AA$1)</f>
        <v>0</v>
      </c>
      <c r="AB111" s="80">
        <f>SUMIFS('июнь 2024'!$G$4:$G$1823,'июнь 2024'!$D$4:$D$1823,$B111,'июнь 2024'!$J$4:$J$1823,AB$1)</f>
        <v>0</v>
      </c>
      <c r="AC111" s="80">
        <f>SUMIFS('июнь 2024'!$G$4:$G$1823,'июнь 2024'!$D$4:$D$1823,$B111,'июнь 2024'!$J$4:$J$1823,AC$1)</f>
        <v>0</v>
      </c>
      <c r="AD111" s="80">
        <f>SUMIFS('июнь 2024'!$G$4:$G$1823,'июнь 2024'!$D$4:$D$1823,$B111,'июнь 2024'!$J$4:$J$1823,AD$1)</f>
        <v>0</v>
      </c>
      <c r="AE111" s="80">
        <f>SUMIFS('июнь 2024'!$G$4:$G$1823,'июнь 2024'!$D$4:$D$1823,$B111,'июнь 2024'!$J$4:$J$1823,AE$1)</f>
        <v>0</v>
      </c>
      <c r="AF111" s="80">
        <f>SUMIFS('июнь 2024'!$G$4:$G$1823,'июнь 2024'!$D$4:$D$1823,$B111,'июнь 2024'!$J$4:$J$1823,AF$1)</f>
        <v>0</v>
      </c>
      <c r="AG111" s="80">
        <f>SUMIFS('июнь 2024'!$G$4:$G$1823,'июнь 2024'!$D$4:$D$1823,$B111,'июнь 2024'!$J$4:$J$1823,AG$1)</f>
        <v>0</v>
      </c>
      <c r="AH111" s="80">
        <f>SUMIFS('июнь 2024'!$G$4:$G$1823,'июнь 2024'!$D$4:$D$1823,$B111,'июнь 2024'!$J$4:$J$1823,AH$1)</f>
        <v>0</v>
      </c>
      <c r="AI111" s="21">
        <f t="shared" si="1"/>
        <v>0</v>
      </c>
    </row>
    <row r="112" spans="2:35" ht="15" customHeight="1" x14ac:dyDescent="0.25">
      <c r="B112" s="93" t="s">
        <v>344</v>
      </c>
      <c r="C112" s="91">
        <v>185</v>
      </c>
      <c r="D112" s="80">
        <f>SUMIFS('июнь 2024'!$G$4:$G$1823,'июнь 2024'!$D$4:$D$1823,$B112,'июнь 2024'!$J$4:$J$1823,D$1)</f>
        <v>0</v>
      </c>
      <c r="E112" s="80">
        <f>SUMIFS('июнь 2024'!$G$4:$G$1823,'июнь 2024'!$D$4:$D$1823,$B112,'июнь 2024'!$J$4:$J$1823,E$1)</f>
        <v>0</v>
      </c>
      <c r="F112" s="80">
        <f>SUMIFS('июнь 2024'!$G$4:$G$1823,'июнь 2024'!$D$4:$D$1823,$B112,'июнь 2024'!$J$4:$J$1823,F$1)</f>
        <v>0</v>
      </c>
      <c r="G112" s="80">
        <f>SUMIFS('июнь 2024'!$G$4:$G$1823,'июнь 2024'!$D$4:$D$1823,$B112,'июнь 2024'!$J$4:$J$1823,G$1)</f>
        <v>0</v>
      </c>
      <c r="H112" s="80">
        <f>SUMIFS('июнь 2024'!$G$4:$G$1823,'июнь 2024'!$D$4:$D$1823,$B112,'июнь 2024'!$J$4:$J$1823,H$1)</f>
        <v>0</v>
      </c>
      <c r="I112" s="80">
        <f>SUMIFS('июнь 2024'!$G$4:$G$1823,'июнь 2024'!$D$4:$D$1823,$B112,'июнь 2024'!$J$4:$J$1823,I$1)</f>
        <v>0</v>
      </c>
      <c r="J112" s="80">
        <f>SUMIFS('июнь 2024'!$G$4:$G$1823,'июнь 2024'!$D$4:$D$1823,$B112,'июнь 2024'!$J$4:$J$1823,J$1)</f>
        <v>0</v>
      </c>
      <c r="K112" s="80">
        <f>SUMIFS('июнь 2024'!$G$4:$G$1823,'июнь 2024'!$D$4:$D$1823,$B112,'июнь 2024'!$J$4:$J$1823,K$1)</f>
        <v>0</v>
      </c>
      <c r="L112" s="80">
        <f>SUMIFS('июнь 2024'!$G$4:$G$1823,'июнь 2024'!$D$4:$D$1823,$B112,'июнь 2024'!$J$4:$J$1823,L$1)</f>
        <v>0</v>
      </c>
      <c r="M112" s="80">
        <f>SUMIFS('июнь 2024'!$G$4:$G$1823,'июнь 2024'!$D$4:$D$1823,$B112,'июнь 2024'!$J$4:$J$1823,M$1)</f>
        <v>0</v>
      </c>
      <c r="N112" s="80">
        <f>SUMIFS('июнь 2024'!$G$4:$G$1823,'июнь 2024'!$D$4:$D$1823,$B112,'июнь 2024'!$J$4:$J$1823,N$1)</f>
        <v>0</v>
      </c>
      <c r="O112" s="80">
        <f>SUMIFS('июнь 2024'!$G$4:$G$1823,'июнь 2024'!$D$4:$D$1823,$B112,'июнь 2024'!$J$4:$J$1823,O$1)</f>
        <v>0</v>
      </c>
      <c r="P112" s="80">
        <f>SUMIFS('июнь 2024'!$G$4:$G$1823,'июнь 2024'!$D$4:$D$1823,$B112,'июнь 2024'!$J$4:$J$1823,P$1)</f>
        <v>0</v>
      </c>
      <c r="Q112" s="80">
        <f>SUMIFS('июнь 2024'!$G$4:$G$1823,'июнь 2024'!$D$4:$D$1823,$B112,'июнь 2024'!$J$4:$J$1823,Q$1)</f>
        <v>0</v>
      </c>
      <c r="R112" s="80">
        <f>SUMIFS('июнь 2024'!$G$4:$G$1823,'июнь 2024'!$D$4:$D$1823,$B112,'июнь 2024'!$J$4:$J$1823,R$1)</f>
        <v>0</v>
      </c>
      <c r="S112" s="80">
        <f>SUMIFS('июнь 2024'!$G$4:$G$1823,'июнь 2024'!$D$4:$D$1823,$B112,'июнь 2024'!$J$4:$J$1823,S$1)</f>
        <v>0</v>
      </c>
      <c r="T112" s="80">
        <f>SUMIFS('июнь 2024'!$G$4:$G$1823,'июнь 2024'!$D$4:$D$1823,$B112,'июнь 2024'!$J$4:$J$1823,T$1)</f>
        <v>0</v>
      </c>
      <c r="U112" s="80">
        <f>SUMIFS('июнь 2024'!$G$4:$G$1823,'июнь 2024'!$D$4:$D$1823,$B112,'июнь 2024'!$J$4:$J$1823,U$1)</f>
        <v>0</v>
      </c>
      <c r="V112" s="80">
        <f>SUMIFS('июнь 2024'!$G$4:$G$1823,'июнь 2024'!$D$4:$D$1823,$B112,'июнь 2024'!$J$4:$J$1823,V$1)</f>
        <v>0</v>
      </c>
      <c r="W112" s="80">
        <f>SUMIFS('июнь 2024'!$G$4:$G$1823,'июнь 2024'!$D$4:$D$1823,$B112,'июнь 2024'!$J$4:$J$1823,W$1)</f>
        <v>0</v>
      </c>
      <c r="X112" s="80">
        <f>SUMIFS('июнь 2024'!$G$4:$G$1823,'июнь 2024'!$D$4:$D$1823,$B112,'июнь 2024'!$J$4:$J$1823,X$1)</f>
        <v>0</v>
      </c>
      <c r="Y112" s="80">
        <f>SUMIFS('июнь 2024'!$G$4:$G$1823,'июнь 2024'!$D$4:$D$1823,$B112,'июнь 2024'!$J$4:$J$1823,Y$1)</f>
        <v>0</v>
      </c>
      <c r="Z112" s="80">
        <f>SUMIFS('июнь 2024'!$G$4:$G$1823,'июнь 2024'!$D$4:$D$1823,$B112,'июнь 2024'!$J$4:$J$1823,Z$1)</f>
        <v>0</v>
      </c>
      <c r="AA112" s="80">
        <f>SUMIFS('июнь 2024'!$G$4:$G$1823,'июнь 2024'!$D$4:$D$1823,$B112,'июнь 2024'!$J$4:$J$1823,AA$1)</f>
        <v>0</v>
      </c>
      <c r="AB112" s="80">
        <f>SUMIFS('июнь 2024'!$G$4:$G$1823,'июнь 2024'!$D$4:$D$1823,$B112,'июнь 2024'!$J$4:$J$1823,AB$1)</f>
        <v>0</v>
      </c>
      <c r="AC112" s="80">
        <f>SUMIFS('июнь 2024'!$G$4:$G$1823,'июнь 2024'!$D$4:$D$1823,$B112,'июнь 2024'!$J$4:$J$1823,AC$1)</f>
        <v>0</v>
      </c>
      <c r="AD112" s="80">
        <f>SUMIFS('июнь 2024'!$G$4:$G$1823,'июнь 2024'!$D$4:$D$1823,$B112,'июнь 2024'!$J$4:$J$1823,AD$1)</f>
        <v>0</v>
      </c>
      <c r="AE112" s="80">
        <f>SUMIFS('июнь 2024'!$G$4:$G$1823,'июнь 2024'!$D$4:$D$1823,$B112,'июнь 2024'!$J$4:$J$1823,AE$1)</f>
        <v>0</v>
      </c>
      <c r="AF112" s="80">
        <f>SUMIFS('июнь 2024'!$G$4:$G$1823,'июнь 2024'!$D$4:$D$1823,$B112,'июнь 2024'!$J$4:$J$1823,AF$1)</f>
        <v>0</v>
      </c>
      <c r="AG112" s="80">
        <f>SUMIFS('июнь 2024'!$G$4:$G$1823,'июнь 2024'!$D$4:$D$1823,$B112,'июнь 2024'!$J$4:$J$1823,AG$1)</f>
        <v>0</v>
      </c>
      <c r="AH112" s="80">
        <f>SUMIFS('июнь 2024'!$G$4:$G$1823,'июнь 2024'!$D$4:$D$1823,$B112,'июнь 2024'!$J$4:$J$1823,AH$1)</f>
        <v>0</v>
      </c>
      <c r="AI112" s="21">
        <f t="shared" si="1"/>
        <v>0</v>
      </c>
    </row>
    <row r="113" spans="2:35" ht="15" customHeight="1" x14ac:dyDescent="0.25">
      <c r="B113" s="93" t="s">
        <v>400</v>
      </c>
      <c r="C113" s="91">
        <v>185</v>
      </c>
      <c r="D113" s="80">
        <f>SUMIFS('июнь 2024'!$G$4:$G$1823,'июнь 2024'!$D$4:$D$1823,$B113,'июнь 2024'!$J$4:$J$1823,D$1)</f>
        <v>0</v>
      </c>
      <c r="E113" s="80">
        <f>SUMIFS('июнь 2024'!$G$4:$G$1823,'июнь 2024'!$D$4:$D$1823,$B113,'июнь 2024'!$J$4:$J$1823,E$1)</f>
        <v>0</v>
      </c>
      <c r="F113" s="80">
        <f>SUMIFS('июнь 2024'!$G$4:$G$1823,'июнь 2024'!$D$4:$D$1823,$B113,'июнь 2024'!$J$4:$J$1823,F$1)</f>
        <v>0</v>
      </c>
      <c r="G113" s="80">
        <f>SUMIFS('июнь 2024'!$G$4:$G$1823,'июнь 2024'!$D$4:$D$1823,$B113,'июнь 2024'!$J$4:$J$1823,G$1)</f>
        <v>0</v>
      </c>
      <c r="H113" s="80">
        <f>SUMIFS('июнь 2024'!$G$4:$G$1823,'июнь 2024'!$D$4:$D$1823,$B113,'июнь 2024'!$J$4:$J$1823,H$1)</f>
        <v>0</v>
      </c>
      <c r="I113" s="80">
        <f>SUMIFS('июнь 2024'!$G$4:$G$1823,'июнь 2024'!$D$4:$D$1823,$B113,'июнь 2024'!$J$4:$J$1823,I$1)</f>
        <v>0</v>
      </c>
      <c r="J113" s="80">
        <f>SUMIFS('июнь 2024'!$G$4:$G$1823,'июнь 2024'!$D$4:$D$1823,$B113,'июнь 2024'!$J$4:$J$1823,J$1)</f>
        <v>0</v>
      </c>
      <c r="K113" s="80">
        <f>SUMIFS('июнь 2024'!$G$4:$G$1823,'июнь 2024'!$D$4:$D$1823,$B113,'июнь 2024'!$J$4:$J$1823,K$1)</f>
        <v>0</v>
      </c>
      <c r="L113" s="80">
        <f>SUMIFS('июнь 2024'!$G$4:$G$1823,'июнь 2024'!$D$4:$D$1823,$B113,'июнь 2024'!$J$4:$J$1823,L$1)</f>
        <v>0</v>
      </c>
      <c r="M113" s="80">
        <f>SUMIFS('июнь 2024'!$G$4:$G$1823,'июнь 2024'!$D$4:$D$1823,$B113,'июнь 2024'!$J$4:$J$1823,M$1)</f>
        <v>0</v>
      </c>
      <c r="N113" s="80">
        <f>SUMIFS('июнь 2024'!$G$4:$G$1823,'июнь 2024'!$D$4:$D$1823,$B113,'июнь 2024'!$J$4:$J$1823,N$1)</f>
        <v>0</v>
      </c>
      <c r="O113" s="80">
        <f>SUMIFS('июнь 2024'!$G$4:$G$1823,'июнь 2024'!$D$4:$D$1823,$B113,'июнь 2024'!$J$4:$J$1823,O$1)</f>
        <v>0</v>
      </c>
      <c r="P113" s="80">
        <f>SUMIFS('июнь 2024'!$G$4:$G$1823,'июнь 2024'!$D$4:$D$1823,$B113,'июнь 2024'!$J$4:$J$1823,P$1)</f>
        <v>0</v>
      </c>
      <c r="Q113" s="80">
        <f>SUMIFS('июнь 2024'!$G$4:$G$1823,'июнь 2024'!$D$4:$D$1823,$B113,'июнь 2024'!$J$4:$J$1823,Q$1)</f>
        <v>0</v>
      </c>
      <c r="R113" s="80">
        <f>SUMIFS('июнь 2024'!$G$4:$G$1823,'июнь 2024'!$D$4:$D$1823,$B113,'июнь 2024'!$J$4:$J$1823,R$1)</f>
        <v>0</v>
      </c>
      <c r="S113" s="80">
        <f>SUMIFS('июнь 2024'!$G$4:$G$1823,'июнь 2024'!$D$4:$D$1823,$B113,'июнь 2024'!$J$4:$J$1823,S$1)</f>
        <v>0</v>
      </c>
      <c r="T113" s="80">
        <f>SUMIFS('июнь 2024'!$G$4:$G$1823,'июнь 2024'!$D$4:$D$1823,$B113,'июнь 2024'!$J$4:$J$1823,T$1)</f>
        <v>0</v>
      </c>
      <c r="U113" s="80">
        <f>SUMIFS('июнь 2024'!$G$4:$G$1823,'июнь 2024'!$D$4:$D$1823,$B113,'июнь 2024'!$J$4:$J$1823,U$1)</f>
        <v>0</v>
      </c>
      <c r="V113" s="80">
        <f>SUMIFS('июнь 2024'!$G$4:$G$1823,'июнь 2024'!$D$4:$D$1823,$B113,'июнь 2024'!$J$4:$J$1823,V$1)</f>
        <v>0</v>
      </c>
      <c r="W113" s="80">
        <f>SUMIFS('июнь 2024'!$G$4:$G$1823,'июнь 2024'!$D$4:$D$1823,$B113,'июнь 2024'!$J$4:$J$1823,W$1)</f>
        <v>0</v>
      </c>
      <c r="X113" s="80">
        <f>SUMIFS('июнь 2024'!$G$4:$G$1823,'июнь 2024'!$D$4:$D$1823,$B113,'июнь 2024'!$J$4:$J$1823,X$1)</f>
        <v>0</v>
      </c>
      <c r="Y113" s="80">
        <f>SUMIFS('июнь 2024'!$G$4:$G$1823,'июнь 2024'!$D$4:$D$1823,$B113,'июнь 2024'!$J$4:$J$1823,Y$1)</f>
        <v>0</v>
      </c>
      <c r="Z113" s="80">
        <f>SUMIFS('июнь 2024'!$G$4:$G$1823,'июнь 2024'!$D$4:$D$1823,$B113,'июнь 2024'!$J$4:$J$1823,Z$1)</f>
        <v>0</v>
      </c>
      <c r="AA113" s="80">
        <f>SUMIFS('июнь 2024'!$G$4:$G$1823,'июнь 2024'!$D$4:$D$1823,$B113,'июнь 2024'!$J$4:$J$1823,AA$1)</f>
        <v>0</v>
      </c>
      <c r="AB113" s="80">
        <f>SUMIFS('июнь 2024'!$G$4:$G$1823,'июнь 2024'!$D$4:$D$1823,$B113,'июнь 2024'!$J$4:$J$1823,AB$1)</f>
        <v>0</v>
      </c>
      <c r="AC113" s="80">
        <f>SUMIFS('июнь 2024'!$G$4:$G$1823,'июнь 2024'!$D$4:$D$1823,$B113,'июнь 2024'!$J$4:$J$1823,AC$1)</f>
        <v>0</v>
      </c>
      <c r="AD113" s="80">
        <f>SUMIFS('июнь 2024'!$G$4:$G$1823,'июнь 2024'!$D$4:$D$1823,$B113,'июнь 2024'!$J$4:$J$1823,AD$1)</f>
        <v>0</v>
      </c>
      <c r="AE113" s="80">
        <f>SUMIFS('июнь 2024'!$G$4:$G$1823,'июнь 2024'!$D$4:$D$1823,$B113,'июнь 2024'!$J$4:$J$1823,AE$1)</f>
        <v>0</v>
      </c>
      <c r="AF113" s="80">
        <f>SUMIFS('июнь 2024'!$G$4:$G$1823,'июнь 2024'!$D$4:$D$1823,$B113,'июнь 2024'!$J$4:$J$1823,AF$1)</f>
        <v>0</v>
      </c>
      <c r="AG113" s="80">
        <f>SUMIFS('июнь 2024'!$G$4:$G$1823,'июнь 2024'!$D$4:$D$1823,$B113,'июнь 2024'!$J$4:$J$1823,AG$1)</f>
        <v>0</v>
      </c>
      <c r="AH113" s="80">
        <f>SUMIFS('июнь 2024'!$G$4:$G$1823,'июнь 2024'!$D$4:$D$1823,$B113,'июнь 2024'!$J$4:$J$1823,AH$1)</f>
        <v>0</v>
      </c>
      <c r="AI113" s="21">
        <f t="shared" si="1"/>
        <v>0</v>
      </c>
    </row>
    <row r="114" spans="2:35" ht="15" customHeight="1" x14ac:dyDescent="0.25">
      <c r="B114" s="93" t="s">
        <v>330</v>
      </c>
      <c r="C114" s="91">
        <v>180</v>
      </c>
      <c r="D114" s="80">
        <f>SUMIFS('июнь 2024'!$G$4:$G$1823,'июнь 2024'!$D$4:$D$1823,$B114,'июнь 2024'!$J$4:$J$1823,D$1)</f>
        <v>0</v>
      </c>
      <c r="E114" s="80">
        <f>SUMIFS('июнь 2024'!$G$4:$G$1823,'июнь 2024'!$D$4:$D$1823,$B114,'июнь 2024'!$J$4:$J$1823,E$1)</f>
        <v>0</v>
      </c>
      <c r="F114" s="80">
        <f>SUMIFS('июнь 2024'!$G$4:$G$1823,'июнь 2024'!$D$4:$D$1823,$B114,'июнь 2024'!$J$4:$J$1823,F$1)</f>
        <v>0</v>
      </c>
      <c r="G114" s="80">
        <f>SUMIFS('июнь 2024'!$G$4:$G$1823,'июнь 2024'!$D$4:$D$1823,$B114,'июнь 2024'!$J$4:$J$1823,G$1)</f>
        <v>0</v>
      </c>
      <c r="H114" s="80">
        <f>SUMIFS('июнь 2024'!$G$4:$G$1823,'июнь 2024'!$D$4:$D$1823,$B114,'июнь 2024'!$J$4:$J$1823,H$1)</f>
        <v>0</v>
      </c>
      <c r="I114" s="80">
        <f>SUMIFS('июнь 2024'!$G$4:$G$1823,'июнь 2024'!$D$4:$D$1823,$B114,'июнь 2024'!$J$4:$J$1823,I$1)</f>
        <v>0</v>
      </c>
      <c r="J114" s="80">
        <f>SUMIFS('июнь 2024'!$G$4:$G$1823,'июнь 2024'!$D$4:$D$1823,$B114,'июнь 2024'!$J$4:$J$1823,J$1)</f>
        <v>0</v>
      </c>
      <c r="K114" s="80">
        <f>SUMIFS('июнь 2024'!$G$4:$G$1823,'июнь 2024'!$D$4:$D$1823,$B114,'июнь 2024'!$J$4:$J$1823,K$1)</f>
        <v>0</v>
      </c>
      <c r="L114" s="80">
        <f>SUMIFS('июнь 2024'!$G$4:$G$1823,'июнь 2024'!$D$4:$D$1823,$B114,'июнь 2024'!$J$4:$J$1823,L$1)</f>
        <v>0</v>
      </c>
      <c r="M114" s="80">
        <f>SUMIFS('июнь 2024'!$G$4:$G$1823,'июнь 2024'!$D$4:$D$1823,$B114,'июнь 2024'!$J$4:$J$1823,M$1)</f>
        <v>0</v>
      </c>
      <c r="N114" s="80">
        <f>SUMIFS('июнь 2024'!$G$4:$G$1823,'июнь 2024'!$D$4:$D$1823,$B114,'июнь 2024'!$J$4:$J$1823,N$1)</f>
        <v>0</v>
      </c>
      <c r="O114" s="80">
        <f>SUMIFS('июнь 2024'!$G$4:$G$1823,'июнь 2024'!$D$4:$D$1823,$B114,'июнь 2024'!$J$4:$J$1823,O$1)</f>
        <v>0</v>
      </c>
      <c r="P114" s="80">
        <f>SUMIFS('июнь 2024'!$G$4:$G$1823,'июнь 2024'!$D$4:$D$1823,$B114,'июнь 2024'!$J$4:$J$1823,P$1)</f>
        <v>0</v>
      </c>
      <c r="Q114" s="80">
        <f>SUMIFS('июнь 2024'!$G$4:$G$1823,'июнь 2024'!$D$4:$D$1823,$B114,'июнь 2024'!$J$4:$J$1823,Q$1)</f>
        <v>0</v>
      </c>
      <c r="R114" s="80">
        <f>SUMIFS('июнь 2024'!$G$4:$G$1823,'июнь 2024'!$D$4:$D$1823,$B114,'июнь 2024'!$J$4:$J$1823,R$1)</f>
        <v>0</v>
      </c>
      <c r="S114" s="80">
        <f>SUMIFS('июнь 2024'!$G$4:$G$1823,'июнь 2024'!$D$4:$D$1823,$B114,'июнь 2024'!$J$4:$J$1823,S$1)</f>
        <v>0</v>
      </c>
      <c r="T114" s="80">
        <f>SUMIFS('июнь 2024'!$G$4:$G$1823,'июнь 2024'!$D$4:$D$1823,$B114,'июнь 2024'!$J$4:$J$1823,T$1)</f>
        <v>0</v>
      </c>
      <c r="U114" s="80">
        <f>SUMIFS('июнь 2024'!$G$4:$G$1823,'июнь 2024'!$D$4:$D$1823,$B114,'июнь 2024'!$J$4:$J$1823,U$1)</f>
        <v>0</v>
      </c>
      <c r="V114" s="80">
        <f>SUMIFS('июнь 2024'!$G$4:$G$1823,'июнь 2024'!$D$4:$D$1823,$B114,'июнь 2024'!$J$4:$J$1823,V$1)</f>
        <v>0</v>
      </c>
      <c r="W114" s="80">
        <f>SUMIFS('июнь 2024'!$G$4:$G$1823,'июнь 2024'!$D$4:$D$1823,$B114,'июнь 2024'!$J$4:$J$1823,W$1)</f>
        <v>0</v>
      </c>
      <c r="X114" s="80">
        <f>SUMIFS('июнь 2024'!$G$4:$G$1823,'июнь 2024'!$D$4:$D$1823,$B114,'июнь 2024'!$J$4:$J$1823,X$1)</f>
        <v>0</v>
      </c>
      <c r="Y114" s="80">
        <f>SUMIFS('июнь 2024'!$G$4:$G$1823,'июнь 2024'!$D$4:$D$1823,$B114,'июнь 2024'!$J$4:$J$1823,Y$1)</f>
        <v>0</v>
      </c>
      <c r="Z114" s="80">
        <f>SUMIFS('июнь 2024'!$G$4:$G$1823,'июнь 2024'!$D$4:$D$1823,$B114,'июнь 2024'!$J$4:$J$1823,Z$1)</f>
        <v>0</v>
      </c>
      <c r="AA114" s="80">
        <f>SUMIFS('июнь 2024'!$G$4:$G$1823,'июнь 2024'!$D$4:$D$1823,$B114,'июнь 2024'!$J$4:$J$1823,AA$1)</f>
        <v>0</v>
      </c>
      <c r="AB114" s="80">
        <f>SUMIFS('июнь 2024'!$G$4:$G$1823,'июнь 2024'!$D$4:$D$1823,$B114,'июнь 2024'!$J$4:$J$1823,AB$1)</f>
        <v>0</v>
      </c>
      <c r="AC114" s="80">
        <f>SUMIFS('июнь 2024'!$G$4:$G$1823,'июнь 2024'!$D$4:$D$1823,$B114,'июнь 2024'!$J$4:$J$1823,AC$1)</f>
        <v>0</v>
      </c>
      <c r="AD114" s="80">
        <f>SUMIFS('июнь 2024'!$G$4:$G$1823,'июнь 2024'!$D$4:$D$1823,$B114,'июнь 2024'!$J$4:$J$1823,AD$1)</f>
        <v>0</v>
      </c>
      <c r="AE114" s="80">
        <f>SUMIFS('июнь 2024'!$G$4:$G$1823,'июнь 2024'!$D$4:$D$1823,$B114,'июнь 2024'!$J$4:$J$1823,AE$1)</f>
        <v>0</v>
      </c>
      <c r="AF114" s="80">
        <f>SUMIFS('июнь 2024'!$G$4:$G$1823,'июнь 2024'!$D$4:$D$1823,$B114,'июнь 2024'!$J$4:$J$1823,AF$1)</f>
        <v>0</v>
      </c>
      <c r="AG114" s="80">
        <f>SUMIFS('июнь 2024'!$G$4:$G$1823,'июнь 2024'!$D$4:$D$1823,$B114,'июнь 2024'!$J$4:$J$1823,AG$1)</f>
        <v>0</v>
      </c>
      <c r="AH114" s="80">
        <f>SUMIFS('июнь 2024'!$G$4:$G$1823,'июнь 2024'!$D$4:$D$1823,$B114,'июнь 2024'!$J$4:$J$1823,AH$1)</f>
        <v>0</v>
      </c>
      <c r="AI114" s="21">
        <f t="shared" si="1"/>
        <v>0</v>
      </c>
    </row>
    <row r="115" spans="2:35" ht="15" customHeight="1" x14ac:dyDescent="0.25">
      <c r="B115" s="93" t="s">
        <v>331</v>
      </c>
      <c r="C115" s="91">
        <v>200</v>
      </c>
      <c r="D115" s="80">
        <f>SUMIFS('июнь 2024'!$G$4:$G$1823,'июнь 2024'!$D$4:$D$1823,$B115,'июнь 2024'!$J$4:$J$1823,D$1)</f>
        <v>0</v>
      </c>
      <c r="E115" s="80">
        <f>SUMIFS('июнь 2024'!$G$4:$G$1823,'июнь 2024'!$D$4:$D$1823,$B115,'июнь 2024'!$J$4:$J$1823,E$1)</f>
        <v>0</v>
      </c>
      <c r="F115" s="80">
        <f>SUMIFS('июнь 2024'!$G$4:$G$1823,'июнь 2024'!$D$4:$D$1823,$B115,'июнь 2024'!$J$4:$J$1823,F$1)</f>
        <v>0</v>
      </c>
      <c r="G115" s="80">
        <f>SUMIFS('июнь 2024'!$G$4:$G$1823,'июнь 2024'!$D$4:$D$1823,$B115,'июнь 2024'!$J$4:$J$1823,G$1)</f>
        <v>0</v>
      </c>
      <c r="H115" s="80">
        <f>SUMIFS('июнь 2024'!$G$4:$G$1823,'июнь 2024'!$D$4:$D$1823,$B115,'июнь 2024'!$J$4:$J$1823,H$1)</f>
        <v>0</v>
      </c>
      <c r="I115" s="80">
        <f>SUMIFS('июнь 2024'!$G$4:$G$1823,'июнь 2024'!$D$4:$D$1823,$B115,'июнь 2024'!$J$4:$J$1823,I$1)</f>
        <v>0</v>
      </c>
      <c r="J115" s="80">
        <f>SUMIFS('июнь 2024'!$G$4:$G$1823,'июнь 2024'!$D$4:$D$1823,$B115,'июнь 2024'!$J$4:$J$1823,J$1)</f>
        <v>0</v>
      </c>
      <c r="K115" s="80">
        <f>SUMIFS('июнь 2024'!$G$4:$G$1823,'июнь 2024'!$D$4:$D$1823,$B115,'июнь 2024'!$J$4:$J$1823,K$1)</f>
        <v>0</v>
      </c>
      <c r="L115" s="80">
        <f>SUMIFS('июнь 2024'!$G$4:$G$1823,'июнь 2024'!$D$4:$D$1823,$B115,'июнь 2024'!$J$4:$J$1823,L$1)</f>
        <v>0</v>
      </c>
      <c r="M115" s="80">
        <f>SUMIFS('июнь 2024'!$G$4:$G$1823,'июнь 2024'!$D$4:$D$1823,$B115,'июнь 2024'!$J$4:$J$1823,M$1)</f>
        <v>0</v>
      </c>
      <c r="N115" s="80">
        <f>SUMIFS('июнь 2024'!$G$4:$G$1823,'июнь 2024'!$D$4:$D$1823,$B115,'июнь 2024'!$J$4:$J$1823,N$1)</f>
        <v>0</v>
      </c>
      <c r="O115" s="80">
        <f>SUMIFS('июнь 2024'!$G$4:$G$1823,'июнь 2024'!$D$4:$D$1823,$B115,'июнь 2024'!$J$4:$J$1823,O$1)</f>
        <v>0</v>
      </c>
      <c r="P115" s="80">
        <f>SUMIFS('июнь 2024'!$G$4:$G$1823,'июнь 2024'!$D$4:$D$1823,$B115,'июнь 2024'!$J$4:$J$1823,P$1)</f>
        <v>0</v>
      </c>
      <c r="Q115" s="80">
        <f>SUMIFS('июнь 2024'!$G$4:$G$1823,'июнь 2024'!$D$4:$D$1823,$B115,'июнь 2024'!$J$4:$J$1823,Q$1)</f>
        <v>0</v>
      </c>
      <c r="R115" s="80">
        <f>SUMIFS('июнь 2024'!$G$4:$G$1823,'июнь 2024'!$D$4:$D$1823,$B115,'июнь 2024'!$J$4:$J$1823,R$1)</f>
        <v>0</v>
      </c>
      <c r="S115" s="80">
        <f>SUMIFS('июнь 2024'!$G$4:$G$1823,'июнь 2024'!$D$4:$D$1823,$B115,'июнь 2024'!$J$4:$J$1823,S$1)</f>
        <v>0</v>
      </c>
      <c r="T115" s="80">
        <f>SUMIFS('июнь 2024'!$G$4:$G$1823,'июнь 2024'!$D$4:$D$1823,$B115,'июнь 2024'!$J$4:$J$1823,T$1)</f>
        <v>0</v>
      </c>
      <c r="U115" s="80">
        <f>SUMIFS('июнь 2024'!$G$4:$G$1823,'июнь 2024'!$D$4:$D$1823,$B115,'июнь 2024'!$J$4:$J$1823,U$1)</f>
        <v>0</v>
      </c>
      <c r="V115" s="80">
        <f>SUMIFS('июнь 2024'!$G$4:$G$1823,'июнь 2024'!$D$4:$D$1823,$B115,'июнь 2024'!$J$4:$J$1823,V$1)</f>
        <v>0</v>
      </c>
      <c r="W115" s="80">
        <f>SUMIFS('июнь 2024'!$G$4:$G$1823,'июнь 2024'!$D$4:$D$1823,$B115,'июнь 2024'!$J$4:$J$1823,W$1)</f>
        <v>0</v>
      </c>
      <c r="X115" s="80">
        <f>SUMIFS('июнь 2024'!$G$4:$G$1823,'июнь 2024'!$D$4:$D$1823,$B115,'июнь 2024'!$J$4:$J$1823,X$1)</f>
        <v>0</v>
      </c>
      <c r="Y115" s="80">
        <f>SUMIFS('июнь 2024'!$G$4:$G$1823,'июнь 2024'!$D$4:$D$1823,$B115,'июнь 2024'!$J$4:$J$1823,Y$1)</f>
        <v>0</v>
      </c>
      <c r="Z115" s="80">
        <f>SUMIFS('июнь 2024'!$G$4:$G$1823,'июнь 2024'!$D$4:$D$1823,$B115,'июнь 2024'!$J$4:$J$1823,Z$1)</f>
        <v>0</v>
      </c>
      <c r="AA115" s="80">
        <f>SUMIFS('июнь 2024'!$G$4:$G$1823,'июнь 2024'!$D$4:$D$1823,$B115,'июнь 2024'!$J$4:$J$1823,AA$1)</f>
        <v>0</v>
      </c>
      <c r="AB115" s="80">
        <f>SUMIFS('июнь 2024'!$G$4:$G$1823,'июнь 2024'!$D$4:$D$1823,$B115,'июнь 2024'!$J$4:$J$1823,AB$1)</f>
        <v>0</v>
      </c>
      <c r="AC115" s="80">
        <f>SUMIFS('июнь 2024'!$G$4:$G$1823,'июнь 2024'!$D$4:$D$1823,$B115,'июнь 2024'!$J$4:$J$1823,AC$1)</f>
        <v>0</v>
      </c>
      <c r="AD115" s="80">
        <f>SUMIFS('июнь 2024'!$G$4:$G$1823,'июнь 2024'!$D$4:$D$1823,$B115,'июнь 2024'!$J$4:$J$1823,AD$1)</f>
        <v>0</v>
      </c>
      <c r="AE115" s="80">
        <f>SUMIFS('июнь 2024'!$G$4:$G$1823,'июнь 2024'!$D$4:$D$1823,$B115,'июнь 2024'!$J$4:$J$1823,AE$1)</f>
        <v>20</v>
      </c>
      <c r="AF115" s="80">
        <f>SUMIFS('июнь 2024'!$G$4:$G$1823,'июнь 2024'!$D$4:$D$1823,$B115,'июнь 2024'!$J$4:$J$1823,AF$1)</f>
        <v>0</v>
      </c>
      <c r="AG115" s="80">
        <f>SUMIFS('июнь 2024'!$G$4:$G$1823,'июнь 2024'!$D$4:$D$1823,$B115,'июнь 2024'!$J$4:$J$1823,AG$1)</f>
        <v>0</v>
      </c>
      <c r="AH115" s="80">
        <f>SUMIFS('июнь 2024'!$G$4:$G$1823,'июнь 2024'!$D$4:$D$1823,$B115,'июнь 2024'!$J$4:$J$1823,AH$1)</f>
        <v>0</v>
      </c>
      <c r="AI115" s="21">
        <f t="shared" si="1"/>
        <v>20</v>
      </c>
    </row>
    <row r="116" spans="2:35" ht="15" customHeight="1" x14ac:dyDescent="0.25">
      <c r="B116" s="89" t="s">
        <v>164</v>
      </c>
      <c r="C116" s="88">
        <v>950</v>
      </c>
      <c r="D116" s="80">
        <f>SUMIFS('июнь 2024'!$G$4:$G$1823,'июнь 2024'!$D$4:$D$1823,$B116,'июнь 2024'!$J$4:$J$1823,D$1)</f>
        <v>0</v>
      </c>
      <c r="E116" s="80">
        <f>SUMIFS('июнь 2024'!$G$4:$G$1823,'июнь 2024'!$D$4:$D$1823,$B116,'июнь 2024'!$J$4:$J$1823,E$1)</f>
        <v>0</v>
      </c>
      <c r="F116" s="80">
        <f>SUMIFS('июнь 2024'!$G$4:$G$1823,'июнь 2024'!$D$4:$D$1823,$B116,'июнь 2024'!$J$4:$J$1823,F$1)</f>
        <v>0</v>
      </c>
      <c r="G116" s="80">
        <f>SUMIFS('июнь 2024'!$G$4:$G$1823,'июнь 2024'!$D$4:$D$1823,$B116,'июнь 2024'!$J$4:$J$1823,G$1)</f>
        <v>0</v>
      </c>
      <c r="H116" s="80">
        <f>SUMIFS('июнь 2024'!$G$4:$G$1823,'июнь 2024'!$D$4:$D$1823,$B116,'июнь 2024'!$J$4:$J$1823,H$1)</f>
        <v>0</v>
      </c>
      <c r="I116" s="80">
        <f>SUMIFS('июнь 2024'!$G$4:$G$1823,'июнь 2024'!$D$4:$D$1823,$B116,'июнь 2024'!$J$4:$J$1823,I$1)</f>
        <v>0</v>
      </c>
      <c r="J116" s="80">
        <f>SUMIFS('июнь 2024'!$G$4:$G$1823,'июнь 2024'!$D$4:$D$1823,$B116,'июнь 2024'!$J$4:$J$1823,J$1)</f>
        <v>0</v>
      </c>
      <c r="K116" s="80">
        <f>SUMIFS('июнь 2024'!$G$4:$G$1823,'июнь 2024'!$D$4:$D$1823,$B116,'июнь 2024'!$J$4:$J$1823,K$1)</f>
        <v>0</v>
      </c>
      <c r="L116" s="80">
        <f>SUMIFS('июнь 2024'!$G$4:$G$1823,'июнь 2024'!$D$4:$D$1823,$B116,'июнь 2024'!$J$4:$J$1823,L$1)</f>
        <v>0</v>
      </c>
      <c r="M116" s="80">
        <f>SUMIFS('июнь 2024'!$G$4:$G$1823,'июнь 2024'!$D$4:$D$1823,$B116,'июнь 2024'!$J$4:$J$1823,M$1)</f>
        <v>0</v>
      </c>
      <c r="N116" s="80">
        <f>SUMIFS('июнь 2024'!$G$4:$G$1823,'июнь 2024'!$D$4:$D$1823,$B116,'июнь 2024'!$J$4:$J$1823,N$1)</f>
        <v>0</v>
      </c>
      <c r="O116" s="80">
        <f>SUMIFS('июнь 2024'!$G$4:$G$1823,'июнь 2024'!$D$4:$D$1823,$B116,'июнь 2024'!$J$4:$J$1823,O$1)</f>
        <v>0</v>
      </c>
      <c r="P116" s="80">
        <f>SUMIFS('июнь 2024'!$G$4:$G$1823,'июнь 2024'!$D$4:$D$1823,$B116,'июнь 2024'!$J$4:$J$1823,P$1)</f>
        <v>0</v>
      </c>
      <c r="Q116" s="80">
        <f>SUMIFS('июнь 2024'!$G$4:$G$1823,'июнь 2024'!$D$4:$D$1823,$B116,'июнь 2024'!$J$4:$J$1823,Q$1)</f>
        <v>0</v>
      </c>
      <c r="R116" s="80">
        <f>SUMIFS('июнь 2024'!$G$4:$G$1823,'июнь 2024'!$D$4:$D$1823,$B116,'июнь 2024'!$J$4:$J$1823,R$1)</f>
        <v>0</v>
      </c>
      <c r="S116" s="80">
        <f>SUMIFS('июнь 2024'!$G$4:$G$1823,'июнь 2024'!$D$4:$D$1823,$B116,'июнь 2024'!$J$4:$J$1823,S$1)</f>
        <v>0</v>
      </c>
      <c r="T116" s="80">
        <f>SUMIFS('июнь 2024'!$G$4:$G$1823,'июнь 2024'!$D$4:$D$1823,$B116,'июнь 2024'!$J$4:$J$1823,T$1)</f>
        <v>0</v>
      </c>
      <c r="U116" s="80">
        <f>SUMIFS('июнь 2024'!$G$4:$G$1823,'июнь 2024'!$D$4:$D$1823,$B116,'июнь 2024'!$J$4:$J$1823,U$1)</f>
        <v>0</v>
      </c>
      <c r="V116" s="80">
        <f>SUMIFS('июнь 2024'!$G$4:$G$1823,'июнь 2024'!$D$4:$D$1823,$B116,'июнь 2024'!$J$4:$J$1823,V$1)</f>
        <v>0</v>
      </c>
      <c r="W116" s="80">
        <f>SUMIFS('июнь 2024'!$G$4:$G$1823,'июнь 2024'!$D$4:$D$1823,$B116,'июнь 2024'!$J$4:$J$1823,W$1)</f>
        <v>0</v>
      </c>
      <c r="X116" s="80">
        <f>SUMIFS('июнь 2024'!$G$4:$G$1823,'июнь 2024'!$D$4:$D$1823,$B116,'июнь 2024'!$J$4:$J$1823,X$1)</f>
        <v>0</v>
      </c>
      <c r="Y116" s="80">
        <f>SUMIFS('июнь 2024'!$G$4:$G$1823,'июнь 2024'!$D$4:$D$1823,$B116,'июнь 2024'!$J$4:$J$1823,Y$1)</f>
        <v>0</v>
      </c>
      <c r="Z116" s="80">
        <f>SUMIFS('июнь 2024'!$G$4:$G$1823,'июнь 2024'!$D$4:$D$1823,$B116,'июнь 2024'!$J$4:$J$1823,Z$1)</f>
        <v>0</v>
      </c>
      <c r="AA116" s="80">
        <f>SUMIFS('июнь 2024'!$G$4:$G$1823,'июнь 2024'!$D$4:$D$1823,$B116,'июнь 2024'!$J$4:$J$1823,AA$1)</f>
        <v>0</v>
      </c>
      <c r="AB116" s="80">
        <f>SUMIFS('июнь 2024'!$G$4:$G$1823,'июнь 2024'!$D$4:$D$1823,$B116,'июнь 2024'!$J$4:$J$1823,AB$1)</f>
        <v>0</v>
      </c>
      <c r="AC116" s="80">
        <f>SUMIFS('июнь 2024'!$G$4:$G$1823,'июнь 2024'!$D$4:$D$1823,$B116,'июнь 2024'!$J$4:$J$1823,AC$1)</f>
        <v>0</v>
      </c>
      <c r="AD116" s="80">
        <f>SUMIFS('июнь 2024'!$G$4:$G$1823,'июнь 2024'!$D$4:$D$1823,$B116,'июнь 2024'!$J$4:$J$1823,AD$1)</f>
        <v>0</v>
      </c>
      <c r="AE116" s="80">
        <f>SUMIFS('июнь 2024'!$G$4:$G$1823,'июнь 2024'!$D$4:$D$1823,$B116,'июнь 2024'!$J$4:$J$1823,AE$1)</f>
        <v>0</v>
      </c>
      <c r="AF116" s="80">
        <f>SUMIFS('июнь 2024'!$G$4:$G$1823,'июнь 2024'!$D$4:$D$1823,$B116,'июнь 2024'!$J$4:$J$1823,AF$1)</f>
        <v>0</v>
      </c>
      <c r="AG116" s="80">
        <f>SUMIFS('июнь 2024'!$G$4:$G$1823,'июнь 2024'!$D$4:$D$1823,$B116,'июнь 2024'!$J$4:$J$1823,AG$1)</f>
        <v>0</v>
      </c>
      <c r="AH116" s="80">
        <f>SUMIFS('июнь 2024'!$G$4:$G$1823,'июнь 2024'!$D$4:$D$1823,$B116,'июнь 2024'!$J$4:$J$1823,AH$1)</f>
        <v>0</v>
      </c>
      <c r="AI116" s="21">
        <f t="shared" si="1"/>
        <v>0</v>
      </c>
    </row>
    <row r="117" spans="2:35" ht="15" customHeight="1" x14ac:dyDescent="0.25">
      <c r="B117" s="89" t="s">
        <v>193</v>
      </c>
      <c r="C117" s="88">
        <v>180</v>
      </c>
      <c r="D117" s="80">
        <f>SUMIFS('июнь 2024'!$G$4:$G$1823,'июнь 2024'!$D$4:$D$1823,$B117,'июнь 2024'!$J$4:$J$1823,D$1)</f>
        <v>0</v>
      </c>
      <c r="E117" s="80">
        <f>SUMIFS('июнь 2024'!$G$4:$G$1823,'июнь 2024'!$D$4:$D$1823,$B117,'июнь 2024'!$J$4:$J$1823,E$1)</f>
        <v>0</v>
      </c>
      <c r="F117" s="80">
        <f>SUMIFS('июнь 2024'!$G$4:$G$1823,'июнь 2024'!$D$4:$D$1823,$B117,'июнь 2024'!$J$4:$J$1823,F$1)</f>
        <v>0</v>
      </c>
      <c r="G117" s="80">
        <f>SUMIFS('июнь 2024'!$G$4:$G$1823,'июнь 2024'!$D$4:$D$1823,$B117,'июнь 2024'!$J$4:$J$1823,G$1)</f>
        <v>0</v>
      </c>
      <c r="H117" s="80">
        <f>SUMIFS('июнь 2024'!$G$4:$G$1823,'июнь 2024'!$D$4:$D$1823,$B117,'июнь 2024'!$J$4:$J$1823,H$1)</f>
        <v>0</v>
      </c>
      <c r="I117" s="80">
        <f>SUMIFS('июнь 2024'!$G$4:$G$1823,'июнь 2024'!$D$4:$D$1823,$B117,'июнь 2024'!$J$4:$J$1823,I$1)</f>
        <v>0</v>
      </c>
      <c r="J117" s="80">
        <f>SUMIFS('июнь 2024'!$G$4:$G$1823,'июнь 2024'!$D$4:$D$1823,$B117,'июнь 2024'!$J$4:$J$1823,J$1)</f>
        <v>0</v>
      </c>
      <c r="K117" s="80">
        <f>SUMIFS('июнь 2024'!$G$4:$G$1823,'июнь 2024'!$D$4:$D$1823,$B117,'июнь 2024'!$J$4:$J$1823,K$1)</f>
        <v>0</v>
      </c>
      <c r="L117" s="80">
        <f>SUMIFS('июнь 2024'!$G$4:$G$1823,'июнь 2024'!$D$4:$D$1823,$B117,'июнь 2024'!$J$4:$J$1823,L$1)</f>
        <v>0</v>
      </c>
      <c r="M117" s="80">
        <f>SUMIFS('июнь 2024'!$G$4:$G$1823,'июнь 2024'!$D$4:$D$1823,$B117,'июнь 2024'!$J$4:$J$1823,M$1)</f>
        <v>0</v>
      </c>
      <c r="N117" s="80">
        <f>SUMIFS('июнь 2024'!$G$4:$G$1823,'июнь 2024'!$D$4:$D$1823,$B117,'июнь 2024'!$J$4:$J$1823,N$1)</f>
        <v>0</v>
      </c>
      <c r="O117" s="80">
        <f>SUMIFS('июнь 2024'!$G$4:$G$1823,'июнь 2024'!$D$4:$D$1823,$B117,'июнь 2024'!$J$4:$J$1823,O$1)</f>
        <v>0</v>
      </c>
      <c r="P117" s="80">
        <f>SUMIFS('июнь 2024'!$G$4:$G$1823,'июнь 2024'!$D$4:$D$1823,$B117,'июнь 2024'!$J$4:$J$1823,P$1)</f>
        <v>0</v>
      </c>
      <c r="Q117" s="80">
        <f>SUMIFS('июнь 2024'!$G$4:$G$1823,'июнь 2024'!$D$4:$D$1823,$B117,'июнь 2024'!$J$4:$J$1823,Q$1)</f>
        <v>0</v>
      </c>
      <c r="R117" s="80">
        <f>SUMIFS('июнь 2024'!$G$4:$G$1823,'июнь 2024'!$D$4:$D$1823,$B117,'июнь 2024'!$J$4:$J$1823,R$1)</f>
        <v>0</v>
      </c>
      <c r="S117" s="80">
        <f>SUMIFS('июнь 2024'!$G$4:$G$1823,'июнь 2024'!$D$4:$D$1823,$B117,'июнь 2024'!$J$4:$J$1823,S$1)</f>
        <v>0</v>
      </c>
      <c r="T117" s="80">
        <f>SUMIFS('июнь 2024'!$G$4:$G$1823,'июнь 2024'!$D$4:$D$1823,$B117,'июнь 2024'!$J$4:$J$1823,T$1)</f>
        <v>0</v>
      </c>
      <c r="U117" s="80">
        <f>SUMIFS('июнь 2024'!$G$4:$G$1823,'июнь 2024'!$D$4:$D$1823,$B117,'июнь 2024'!$J$4:$J$1823,U$1)</f>
        <v>0</v>
      </c>
      <c r="V117" s="80">
        <f>SUMIFS('июнь 2024'!$G$4:$G$1823,'июнь 2024'!$D$4:$D$1823,$B117,'июнь 2024'!$J$4:$J$1823,V$1)</f>
        <v>0</v>
      </c>
      <c r="W117" s="80">
        <f>SUMIFS('июнь 2024'!$G$4:$G$1823,'июнь 2024'!$D$4:$D$1823,$B117,'июнь 2024'!$J$4:$J$1823,W$1)</f>
        <v>0</v>
      </c>
      <c r="X117" s="80">
        <f>SUMIFS('июнь 2024'!$G$4:$G$1823,'июнь 2024'!$D$4:$D$1823,$B117,'июнь 2024'!$J$4:$J$1823,X$1)</f>
        <v>0</v>
      </c>
      <c r="Y117" s="80">
        <f>SUMIFS('июнь 2024'!$G$4:$G$1823,'июнь 2024'!$D$4:$D$1823,$B117,'июнь 2024'!$J$4:$J$1823,Y$1)</f>
        <v>0</v>
      </c>
      <c r="Z117" s="80">
        <f>SUMIFS('июнь 2024'!$G$4:$G$1823,'июнь 2024'!$D$4:$D$1823,$B117,'июнь 2024'!$J$4:$J$1823,Z$1)</f>
        <v>0</v>
      </c>
      <c r="AA117" s="80">
        <f>SUMIFS('июнь 2024'!$G$4:$G$1823,'июнь 2024'!$D$4:$D$1823,$B117,'июнь 2024'!$J$4:$J$1823,AA$1)</f>
        <v>0</v>
      </c>
      <c r="AB117" s="80">
        <f>SUMIFS('июнь 2024'!$G$4:$G$1823,'июнь 2024'!$D$4:$D$1823,$B117,'июнь 2024'!$J$4:$J$1823,AB$1)</f>
        <v>0</v>
      </c>
      <c r="AC117" s="80">
        <f>SUMIFS('июнь 2024'!$G$4:$G$1823,'июнь 2024'!$D$4:$D$1823,$B117,'июнь 2024'!$J$4:$J$1823,AC$1)</f>
        <v>0</v>
      </c>
      <c r="AD117" s="80">
        <f>SUMIFS('июнь 2024'!$G$4:$G$1823,'июнь 2024'!$D$4:$D$1823,$B117,'июнь 2024'!$J$4:$J$1823,AD$1)</f>
        <v>0</v>
      </c>
      <c r="AE117" s="80">
        <f>SUMIFS('июнь 2024'!$G$4:$G$1823,'июнь 2024'!$D$4:$D$1823,$B117,'июнь 2024'!$J$4:$J$1823,AE$1)</f>
        <v>0</v>
      </c>
      <c r="AF117" s="80">
        <f>SUMIFS('июнь 2024'!$G$4:$G$1823,'июнь 2024'!$D$4:$D$1823,$B117,'июнь 2024'!$J$4:$J$1823,AF$1)</f>
        <v>0</v>
      </c>
      <c r="AG117" s="80">
        <f>SUMIFS('июнь 2024'!$G$4:$G$1823,'июнь 2024'!$D$4:$D$1823,$B117,'июнь 2024'!$J$4:$J$1823,AG$1)</f>
        <v>0</v>
      </c>
      <c r="AH117" s="80">
        <f>SUMIFS('июнь 2024'!$G$4:$G$1823,'июнь 2024'!$D$4:$D$1823,$B117,'июнь 2024'!$J$4:$J$1823,AH$1)</f>
        <v>0</v>
      </c>
      <c r="AI117" s="21">
        <f t="shared" si="1"/>
        <v>0</v>
      </c>
    </row>
    <row r="118" spans="2:35" ht="15" customHeight="1" x14ac:dyDescent="0.25">
      <c r="B118" s="89" t="s">
        <v>1070</v>
      </c>
      <c r="C118" s="88">
        <v>180</v>
      </c>
      <c r="D118" s="80">
        <f>SUMIFS('июнь 2024'!$G$4:$G$1823,'июнь 2024'!$D$4:$D$1823,$B118,'июнь 2024'!$J$4:$J$1823,D$1)</f>
        <v>0</v>
      </c>
      <c r="E118" s="80">
        <f>SUMIFS('июнь 2024'!$G$4:$G$1823,'июнь 2024'!$D$4:$D$1823,$B118,'июнь 2024'!$J$4:$J$1823,E$1)</f>
        <v>0</v>
      </c>
      <c r="F118" s="80">
        <f>SUMIFS('июнь 2024'!$G$4:$G$1823,'июнь 2024'!$D$4:$D$1823,$B118,'июнь 2024'!$J$4:$J$1823,F$1)</f>
        <v>0</v>
      </c>
      <c r="G118" s="80">
        <f>SUMIFS('июнь 2024'!$G$4:$G$1823,'июнь 2024'!$D$4:$D$1823,$B118,'июнь 2024'!$J$4:$J$1823,G$1)</f>
        <v>0</v>
      </c>
      <c r="H118" s="80">
        <f>SUMIFS('июнь 2024'!$G$4:$G$1823,'июнь 2024'!$D$4:$D$1823,$B118,'июнь 2024'!$J$4:$J$1823,H$1)</f>
        <v>0</v>
      </c>
      <c r="I118" s="80">
        <f>SUMIFS('июнь 2024'!$G$4:$G$1823,'июнь 2024'!$D$4:$D$1823,$B118,'июнь 2024'!$J$4:$J$1823,I$1)</f>
        <v>0</v>
      </c>
      <c r="J118" s="80">
        <f>SUMIFS('июнь 2024'!$G$4:$G$1823,'июнь 2024'!$D$4:$D$1823,$B118,'июнь 2024'!$J$4:$J$1823,J$1)</f>
        <v>0</v>
      </c>
      <c r="K118" s="80">
        <f>SUMIFS('июнь 2024'!$G$4:$G$1823,'июнь 2024'!$D$4:$D$1823,$B118,'июнь 2024'!$J$4:$J$1823,K$1)</f>
        <v>0</v>
      </c>
      <c r="L118" s="80">
        <f>SUMIFS('июнь 2024'!$G$4:$G$1823,'июнь 2024'!$D$4:$D$1823,$B118,'июнь 2024'!$J$4:$J$1823,L$1)</f>
        <v>0</v>
      </c>
      <c r="M118" s="80">
        <f>SUMIFS('июнь 2024'!$G$4:$G$1823,'июнь 2024'!$D$4:$D$1823,$B118,'июнь 2024'!$J$4:$J$1823,M$1)</f>
        <v>0</v>
      </c>
      <c r="N118" s="80">
        <f>SUMIFS('июнь 2024'!$G$4:$G$1823,'июнь 2024'!$D$4:$D$1823,$B118,'июнь 2024'!$J$4:$J$1823,N$1)</f>
        <v>0</v>
      </c>
      <c r="O118" s="80">
        <f>SUMIFS('июнь 2024'!$G$4:$G$1823,'июнь 2024'!$D$4:$D$1823,$B118,'июнь 2024'!$J$4:$J$1823,O$1)</f>
        <v>0</v>
      </c>
      <c r="P118" s="80">
        <f>SUMIFS('июнь 2024'!$G$4:$G$1823,'июнь 2024'!$D$4:$D$1823,$B118,'июнь 2024'!$J$4:$J$1823,P$1)</f>
        <v>0</v>
      </c>
      <c r="Q118" s="80">
        <f>SUMIFS('июнь 2024'!$G$4:$G$1823,'июнь 2024'!$D$4:$D$1823,$B118,'июнь 2024'!$J$4:$J$1823,Q$1)</f>
        <v>0</v>
      </c>
      <c r="R118" s="80">
        <f>SUMIFS('июнь 2024'!$G$4:$G$1823,'июнь 2024'!$D$4:$D$1823,$B118,'июнь 2024'!$J$4:$J$1823,R$1)</f>
        <v>0</v>
      </c>
      <c r="S118" s="80">
        <f>SUMIFS('июнь 2024'!$G$4:$G$1823,'июнь 2024'!$D$4:$D$1823,$B118,'июнь 2024'!$J$4:$J$1823,S$1)</f>
        <v>0</v>
      </c>
      <c r="T118" s="80">
        <f>SUMIFS('июнь 2024'!$G$4:$G$1823,'июнь 2024'!$D$4:$D$1823,$B118,'июнь 2024'!$J$4:$J$1823,T$1)</f>
        <v>0</v>
      </c>
      <c r="U118" s="80">
        <f>SUMIFS('июнь 2024'!$G$4:$G$1823,'июнь 2024'!$D$4:$D$1823,$B118,'июнь 2024'!$J$4:$J$1823,U$1)</f>
        <v>0</v>
      </c>
      <c r="V118" s="80">
        <f>SUMIFS('июнь 2024'!$G$4:$G$1823,'июнь 2024'!$D$4:$D$1823,$B118,'июнь 2024'!$J$4:$J$1823,V$1)</f>
        <v>0</v>
      </c>
      <c r="W118" s="80">
        <f>SUMIFS('июнь 2024'!$G$4:$G$1823,'июнь 2024'!$D$4:$D$1823,$B118,'июнь 2024'!$J$4:$J$1823,W$1)</f>
        <v>0</v>
      </c>
      <c r="X118" s="80">
        <f>SUMIFS('июнь 2024'!$G$4:$G$1823,'июнь 2024'!$D$4:$D$1823,$B118,'июнь 2024'!$J$4:$J$1823,X$1)</f>
        <v>0</v>
      </c>
      <c r="Y118" s="80">
        <f>SUMIFS('июнь 2024'!$G$4:$G$1823,'июнь 2024'!$D$4:$D$1823,$B118,'июнь 2024'!$J$4:$J$1823,Y$1)</f>
        <v>0</v>
      </c>
      <c r="Z118" s="80">
        <f>SUMIFS('июнь 2024'!$G$4:$G$1823,'июнь 2024'!$D$4:$D$1823,$B118,'июнь 2024'!$J$4:$J$1823,Z$1)</f>
        <v>0</v>
      </c>
      <c r="AA118" s="80">
        <f>SUMIFS('июнь 2024'!$G$4:$G$1823,'июнь 2024'!$D$4:$D$1823,$B118,'июнь 2024'!$J$4:$J$1823,AA$1)</f>
        <v>0</v>
      </c>
      <c r="AB118" s="80">
        <f>SUMIFS('июнь 2024'!$G$4:$G$1823,'июнь 2024'!$D$4:$D$1823,$B118,'июнь 2024'!$J$4:$J$1823,AB$1)</f>
        <v>0</v>
      </c>
      <c r="AC118" s="80">
        <f>SUMIFS('июнь 2024'!$G$4:$G$1823,'июнь 2024'!$D$4:$D$1823,$B118,'июнь 2024'!$J$4:$J$1823,AC$1)</f>
        <v>0</v>
      </c>
      <c r="AD118" s="80">
        <f>SUMIFS('июнь 2024'!$G$4:$G$1823,'июнь 2024'!$D$4:$D$1823,$B118,'июнь 2024'!$J$4:$J$1823,AD$1)</f>
        <v>0</v>
      </c>
      <c r="AE118" s="80">
        <f>SUMIFS('июнь 2024'!$G$4:$G$1823,'июнь 2024'!$D$4:$D$1823,$B118,'июнь 2024'!$J$4:$J$1823,AE$1)</f>
        <v>0</v>
      </c>
      <c r="AF118" s="80">
        <f>SUMIFS('июнь 2024'!$G$4:$G$1823,'июнь 2024'!$D$4:$D$1823,$B118,'июнь 2024'!$J$4:$J$1823,AF$1)</f>
        <v>0</v>
      </c>
      <c r="AG118" s="80">
        <f>SUMIFS('июнь 2024'!$G$4:$G$1823,'июнь 2024'!$D$4:$D$1823,$B118,'июнь 2024'!$J$4:$J$1823,AG$1)</f>
        <v>0</v>
      </c>
      <c r="AH118" s="80">
        <f>SUMIFS('июнь 2024'!$G$4:$G$1823,'июнь 2024'!$D$4:$D$1823,$B118,'июнь 2024'!$J$4:$J$1823,AH$1)</f>
        <v>0</v>
      </c>
      <c r="AI118" s="21"/>
    </row>
    <row r="119" spans="2:35" ht="15" customHeight="1" x14ac:dyDescent="0.25">
      <c r="B119" s="89" t="s">
        <v>177</v>
      </c>
      <c r="C119" s="88">
        <v>200</v>
      </c>
      <c r="D119" s="80">
        <f>SUMIFS('июнь 2024'!$G$4:$G$1823,'июнь 2024'!$D$4:$D$1823,$B119,'июнь 2024'!$J$4:$J$1823,D$1)</f>
        <v>0</v>
      </c>
      <c r="E119" s="80">
        <f>SUMIFS('июнь 2024'!$G$4:$G$1823,'июнь 2024'!$D$4:$D$1823,$B119,'июнь 2024'!$J$4:$J$1823,E$1)</f>
        <v>0</v>
      </c>
      <c r="F119" s="80">
        <f>SUMIFS('июнь 2024'!$G$4:$G$1823,'июнь 2024'!$D$4:$D$1823,$B119,'июнь 2024'!$J$4:$J$1823,F$1)</f>
        <v>0</v>
      </c>
      <c r="G119" s="80">
        <f>SUMIFS('июнь 2024'!$G$4:$G$1823,'июнь 2024'!$D$4:$D$1823,$B119,'июнь 2024'!$J$4:$J$1823,G$1)</f>
        <v>0</v>
      </c>
      <c r="H119" s="80">
        <f>SUMIFS('июнь 2024'!$G$4:$G$1823,'июнь 2024'!$D$4:$D$1823,$B119,'июнь 2024'!$J$4:$J$1823,H$1)</f>
        <v>0</v>
      </c>
      <c r="I119" s="80">
        <f>SUMIFS('июнь 2024'!$G$4:$G$1823,'июнь 2024'!$D$4:$D$1823,$B119,'июнь 2024'!$J$4:$J$1823,I$1)</f>
        <v>0</v>
      </c>
      <c r="J119" s="80">
        <f>SUMIFS('июнь 2024'!$G$4:$G$1823,'июнь 2024'!$D$4:$D$1823,$B119,'июнь 2024'!$J$4:$J$1823,J$1)</f>
        <v>0</v>
      </c>
      <c r="K119" s="80">
        <f>SUMIFS('июнь 2024'!$G$4:$G$1823,'июнь 2024'!$D$4:$D$1823,$B119,'июнь 2024'!$J$4:$J$1823,K$1)</f>
        <v>0</v>
      </c>
      <c r="L119" s="80">
        <f>SUMIFS('июнь 2024'!$G$4:$G$1823,'июнь 2024'!$D$4:$D$1823,$B119,'июнь 2024'!$J$4:$J$1823,L$1)</f>
        <v>0</v>
      </c>
      <c r="M119" s="80">
        <f>SUMIFS('июнь 2024'!$G$4:$G$1823,'июнь 2024'!$D$4:$D$1823,$B119,'июнь 2024'!$J$4:$J$1823,M$1)</f>
        <v>0</v>
      </c>
      <c r="N119" s="80">
        <f>SUMIFS('июнь 2024'!$G$4:$G$1823,'июнь 2024'!$D$4:$D$1823,$B119,'июнь 2024'!$J$4:$J$1823,N$1)</f>
        <v>0</v>
      </c>
      <c r="O119" s="80">
        <f>SUMIFS('июнь 2024'!$G$4:$G$1823,'июнь 2024'!$D$4:$D$1823,$B119,'июнь 2024'!$J$4:$J$1823,O$1)</f>
        <v>0</v>
      </c>
      <c r="P119" s="80">
        <f>SUMIFS('июнь 2024'!$G$4:$G$1823,'июнь 2024'!$D$4:$D$1823,$B119,'июнь 2024'!$J$4:$J$1823,P$1)</f>
        <v>0</v>
      </c>
      <c r="Q119" s="80">
        <f>SUMIFS('июнь 2024'!$G$4:$G$1823,'июнь 2024'!$D$4:$D$1823,$B119,'июнь 2024'!$J$4:$J$1823,Q$1)</f>
        <v>0</v>
      </c>
      <c r="R119" s="80">
        <f>SUMIFS('июнь 2024'!$G$4:$G$1823,'июнь 2024'!$D$4:$D$1823,$B119,'июнь 2024'!$J$4:$J$1823,R$1)</f>
        <v>0</v>
      </c>
      <c r="S119" s="80">
        <f>SUMIFS('июнь 2024'!$G$4:$G$1823,'июнь 2024'!$D$4:$D$1823,$B119,'июнь 2024'!$J$4:$J$1823,S$1)</f>
        <v>0</v>
      </c>
      <c r="T119" s="80">
        <f>SUMIFS('июнь 2024'!$G$4:$G$1823,'июнь 2024'!$D$4:$D$1823,$B119,'июнь 2024'!$J$4:$J$1823,T$1)</f>
        <v>0</v>
      </c>
      <c r="U119" s="80">
        <f>SUMIFS('июнь 2024'!$G$4:$G$1823,'июнь 2024'!$D$4:$D$1823,$B119,'июнь 2024'!$J$4:$J$1823,U$1)</f>
        <v>0</v>
      </c>
      <c r="V119" s="80">
        <f>SUMIFS('июнь 2024'!$G$4:$G$1823,'июнь 2024'!$D$4:$D$1823,$B119,'июнь 2024'!$J$4:$J$1823,V$1)</f>
        <v>0</v>
      </c>
      <c r="W119" s="80">
        <f>SUMIFS('июнь 2024'!$G$4:$G$1823,'июнь 2024'!$D$4:$D$1823,$B119,'июнь 2024'!$J$4:$J$1823,W$1)</f>
        <v>0</v>
      </c>
      <c r="X119" s="80">
        <f>SUMIFS('июнь 2024'!$G$4:$G$1823,'июнь 2024'!$D$4:$D$1823,$B119,'июнь 2024'!$J$4:$J$1823,X$1)</f>
        <v>0</v>
      </c>
      <c r="Y119" s="80">
        <f>SUMIFS('июнь 2024'!$G$4:$G$1823,'июнь 2024'!$D$4:$D$1823,$B119,'июнь 2024'!$J$4:$J$1823,Y$1)</f>
        <v>0</v>
      </c>
      <c r="Z119" s="80">
        <f>SUMIFS('июнь 2024'!$G$4:$G$1823,'июнь 2024'!$D$4:$D$1823,$B119,'июнь 2024'!$J$4:$J$1823,Z$1)</f>
        <v>0</v>
      </c>
      <c r="AA119" s="80">
        <f>SUMIFS('июнь 2024'!$G$4:$G$1823,'июнь 2024'!$D$4:$D$1823,$B119,'июнь 2024'!$J$4:$J$1823,AA$1)</f>
        <v>0</v>
      </c>
      <c r="AB119" s="80">
        <f>SUMIFS('июнь 2024'!$G$4:$G$1823,'июнь 2024'!$D$4:$D$1823,$B119,'июнь 2024'!$J$4:$J$1823,AB$1)</f>
        <v>0</v>
      </c>
      <c r="AC119" s="80">
        <f>SUMIFS('июнь 2024'!$G$4:$G$1823,'июнь 2024'!$D$4:$D$1823,$B119,'июнь 2024'!$J$4:$J$1823,AC$1)</f>
        <v>0</v>
      </c>
      <c r="AD119" s="80">
        <f>SUMIFS('июнь 2024'!$G$4:$G$1823,'июнь 2024'!$D$4:$D$1823,$B119,'июнь 2024'!$J$4:$J$1823,AD$1)</f>
        <v>0</v>
      </c>
      <c r="AE119" s="80">
        <f>SUMIFS('июнь 2024'!$G$4:$G$1823,'июнь 2024'!$D$4:$D$1823,$B119,'июнь 2024'!$J$4:$J$1823,AE$1)</f>
        <v>0</v>
      </c>
      <c r="AF119" s="80">
        <f>SUMIFS('июнь 2024'!$G$4:$G$1823,'июнь 2024'!$D$4:$D$1823,$B119,'июнь 2024'!$J$4:$J$1823,AF$1)</f>
        <v>0</v>
      </c>
      <c r="AG119" s="80">
        <f>SUMIFS('июнь 2024'!$G$4:$G$1823,'июнь 2024'!$D$4:$D$1823,$B119,'июнь 2024'!$J$4:$J$1823,AG$1)</f>
        <v>0</v>
      </c>
      <c r="AH119" s="80">
        <f>SUMIFS('июнь 2024'!$G$4:$G$1823,'июнь 2024'!$D$4:$D$1823,$B119,'июнь 2024'!$J$4:$J$1823,AH$1)</f>
        <v>0</v>
      </c>
      <c r="AI119" s="21">
        <f t="shared" si="1"/>
        <v>0</v>
      </c>
    </row>
    <row r="120" spans="2:35" ht="15" customHeight="1" x14ac:dyDescent="0.25">
      <c r="B120" s="89" t="s">
        <v>178</v>
      </c>
      <c r="C120" s="88">
        <v>200</v>
      </c>
      <c r="D120" s="80">
        <f>SUMIFS('июнь 2024'!$G$4:$G$1823,'июнь 2024'!$D$4:$D$1823,$B120,'июнь 2024'!$J$4:$J$1823,D$1)</f>
        <v>0</v>
      </c>
      <c r="E120" s="80">
        <f>SUMIFS('июнь 2024'!$G$4:$G$1823,'июнь 2024'!$D$4:$D$1823,$B120,'июнь 2024'!$J$4:$J$1823,E$1)</f>
        <v>0</v>
      </c>
      <c r="F120" s="80">
        <f>SUMIFS('июнь 2024'!$G$4:$G$1823,'июнь 2024'!$D$4:$D$1823,$B120,'июнь 2024'!$J$4:$J$1823,F$1)</f>
        <v>0</v>
      </c>
      <c r="G120" s="80">
        <f>SUMIFS('июнь 2024'!$G$4:$G$1823,'июнь 2024'!$D$4:$D$1823,$B120,'июнь 2024'!$J$4:$J$1823,G$1)</f>
        <v>0</v>
      </c>
      <c r="H120" s="80">
        <f>SUMIFS('июнь 2024'!$G$4:$G$1823,'июнь 2024'!$D$4:$D$1823,$B120,'июнь 2024'!$J$4:$J$1823,H$1)</f>
        <v>0</v>
      </c>
      <c r="I120" s="80">
        <f>SUMIFS('июнь 2024'!$G$4:$G$1823,'июнь 2024'!$D$4:$D$1823,$B120,'июнь 2024'!$J$4:$J$1823,I$1)</f>
        <v>0</v>
      </c>
      <c r="J120" s="80">
        <f>SUMIFS('июнь 2024'!$G$4:$G$1823,'июнь 2024'!$D$4:$D$1823,$B120,'июнь 2024'!$J$4:$J$1823,J$1)</f>
        <v>44</v>
      </c>
      <c r="K120" s="80">
        <f>SUMIFS('июнь 2024'!$G$4:$G$1823,'июнь 2024'!$D$4:$D$1823,$B120,'июнь 2024'!$J$4:$J$1823,K$1)</f>
        <v>0</v>
      </c>
      <c r="L120" s="80">
        <f>SUMIFS('июнь 2024'!$G$4:$G$1823,'июнь 2024'!$D$4:$D$1823,$B120,'июнь 2024'!$J$4:$J$1823,L$1)</f>
        <v>0</v>
      </c>
      <c r="M120" s="80">
        <f>SUMIFS('июнь 2024'!$G$4:$G$1823,'июнь 2024'!$D$4:$D$1823,$B120,'июнь 2024'!$J$4:$J$1823,M$1)</f>
        <v>0</v>
      </c>
      <c r="N120" s="80">
        <f>SUMIFS('июнь 2024'!$G$4:$G$1823,'июнь 2024'!$D$4:$D$1823,$B120,'июнь 2024'!$J$4:$J$1823,N$1)</f>
        <v>0</v>
      </c>
      <c r="O120" s="80">
        <f>SUMIFS('июнь 2024'!$G$4:$G$1823,'июнь 2024'!$D$4:$D$1823,$B120,'июнь 2024'!$J$4:$J$1823,O$1)</f>
        <v>0</v>
      </c>
      <c r="P120" s="80">
        <f>SUMIFS('июнь 2024'!$G$4:$G$1823,'июнь 2024'!$D$4:$D$1823,$B120,'июнь 2024'!$J$4:$J$1823,P$1)</f>
        <v>0</v>
      </c>
      <c r="Q120" s="80">
        <f>SUMIFS('июнь 2024'!$G$4:$G$1823,'июнь 2024'!$D$4:$D$1823,$B120,'июнь 2024'!$J$4:$J$1823,Q$1)</f>
        <v>0</v>
      </c>
      <c r="R120" s="80">
        <f>SUMIFS('июнь 2024'!$G$4:$G$1823,'июнь 2024'!$D$4:$D$1823,$B120,'июнь 2024'!$J$4:$J$1823,R$1)</f>
        <v>0</v>
      </c>
      <c r="S120" s="80">
        <f>SUMIFS('июнь 2024'!$G$4:$G$1823,'июнь 2024'!$D$4:$D$1823,$B120,'июнь 2024'!$J$4:$J$1823,S$1)</f>
        <v>0</v>
      </c>
      <c r="T120" s="80">
        <f>SUMIFS('июнь 2024'!$G$4:$G$1823,'июнь 2024'!$D$4:$D$1823,$B120,'июнь 2024'!$J$4:$J$1823,T$1)</f>
        <v>0</v>
      </c>
      <c r="U120" s="80">
        <f>SUMIFS('июнь 2024'!$G$4:$G$1823,'июнь 2024'!$D$4:$D$1823,$B120,'июнь 2024'!$J$4:$J$1823,U$1)</f>
        <v>0</v>
      </c>
      <c r="V120" s="80">
        <f>SUMIFS('июнь 2024'!$G$4:$G$1823,'июнь 2024'!$D$4:$D$1823,$B120,'июнь 2024'!$J$4:$J$1823,V$1)</f>
        <v>0</v>
      </c>
      <c r="W120" s="80">
        <f>SUMIFS('июнь 2024'!$G$4:$G$1823,'июнь 2024'!$D$4:$D$1823,$B120,'июнь 2024'!$J$4:$J$1823,W$1)</f>
        <v>0</v>
      </c>
      <c r="X120" s="80">
        <f>SUMIFS('июнь 2024'!$G$4:$G$1823,'июнь 2024'!$D$4:$D$1823,$B120,'июнь 2024'!$J$4:$J$1823,X$1)</f>
        <v>0</v>
      </c>
      <c r="Y120" s="80">
        <f>SUMIFS('июнь 2024'!$G$4:$G$1823,'июнь 2024'!$D$4:$D$1823,$B120,'июнь 2024'!$J$4:$J$1823,Y$1)</f>
        <v>0</v>
      </c>
      <c r="Z120" s="80">
        <f>SUMIFS('июнь 2024'!$G$4:$G$1823,'июнь 2024'!$D$4:$D$1823,$B120,'июнь 2024'!$J$4:$J$1823,Z$1)</f>
        <v>0</v>
      </c>
      <c r="AA120" s="80">
        <f>SUMIFS('июнь 2024'!$G$4:$G$1823,'июнь 2024'!$D$4:$D$1823,$B120,'июнь 2024'!$J$4:$J$1823,AA$1)</f>
        <v>10</v>
      </c>
      <c r="AB120" s="80">
        <f>SUMIFS('июнь 2024'!$G$4:$G$1823,'июнь 2024'!$D$4:$D$1823,$B120,'июнь 2024'!$J$4:$J$1823,AB$1)</f>
        <v>0</v>
      </c>
      <c r="AC120" s="80">
        <f>SUMIFS('июнь 2024'!$G$4:$G$1823,'июнь 2024'!$D$4:$D$1823,$B120,'июнь 2024'!$J$4:$J$1823,AC$1)</f>
        <v>0</v>
      </c>
      <c r="AD120" s="80">
        <f>SUMIFS('июнь 2024'!$G$4:$G$1823,'июнь 2024'!$D$4:$D$1823,$B120,'июнь 2024'!$J$4:$J$1823,AD$1)</f>
        <v>0</v>
      </c>
      <c r="AE120" s="80">
        <f>SUMIFS('июнь 2024'!$G$4:$G$1823,'июнь 2024'!$D$4:$D$1823,$B120,'июнь 2024'!$J$4:$J$1823,AE$1)</f>
        <v>0</v>
      </c>
      <c r="AF120" s="80">
        <f>SUMIFS('июнь 2024'!$G$4:$G$1823,'июнь 2024'!$D$4:$D$1823,$B120,'июнь 2024'!$J$4:$J$1823,AF$1)</f>
        <v>0</v>
      </c>
      <c r="AG120" s="80">
        <f>SUMIFS('июнь 2024'!$G$4:$G$1823,'июнь 2024'!$D$4:$D$1823,$B120,'июнь 2024'!$J$4:$J$1823,AG$1)</f>
        <v>0</v>
      </c>
      <c r="AH120" s="80">
        <f>SUMIFS('июнь 2024'!$G$4:$G$1823,'июнь 2024'!$D$4:$D$1823,$B120,'июнь 2024'!$J$4:$J$1823,AH$1)</f>
        <v>0</v>
      </c>
      <c r="AI120" s="21">
        <f t="shared" si="1"/>
        <v>54</v>
      </c>
    </row>
    <row r="121" spans="2:35" ht="15" customHeight="1" x14ac:dyDescent="0.25">
      <c r="B121" s="89" t="s">
        <v>180</v>
      </c>
      <c r="C121" s="88">
        <v>200</v>
      </c>
      <c r="D121" s="80">
        <f>SUMIFS('июнь 2024'!$G$4:$G$1823,'июнь 2024'!$D$4:$D$1823,$B121,'июнь 2024'!$J$4:$J$1823,D$1)</f>
        <v>0</v>
      </c>
      <c r="E121" s="80">
        <f>SUMIFS('июнь 2024'!$G$4:$G$1823,'июнь 2024'!$D$4:$D$1823,$B121,'июнь 2024'!$J$4:$J$1823,E$1)</f>
        <v>0</v>
      </c>
      <c r="F121" s="80">
        <f>SUMIFS('июнь 2024'!$G$4:$G$1823,'июнь 2024'!$D$4:$D$1823,$B121,'июнь 2024'!$J$4:$J$1823,F$1)</f>
        <v>0</v>
      </c>
      <c r="G121" s="80">
        <f>SUMIFS('июнь 2024'!$G$4:$G$1823,'июнь 2024'!$D$4:$D$1823,$B121,'июнь 2024'!$J$4:$J$1823,G$1)</f>
        <v>0</v>
      </c>
      <c r="H121" s="80">
        <f>SUMIFS('июнь 2024'!$G$4:$G$1823,'июнь 2024'!$D$4:$D$1823,$B121,'июнь 2024'!$J$4:$J$1823,H$1)</f>
        <v>0</v>
      </c>
      <c r="I121" s="80">
        <f>SUMIFS('июнь 2024'!$G$4:$G$1823,'июнь 2024'!$D$4:$D$1823,$B121,'июнь 2024'!$J$4:$J$1823,I$1)</f>
        <v>0</v>
      </c>
      <c r="J121" s="80">
        <f>SUMIFS('июнь 2024'!$G$4:$G$1823,'июнь 2024'!$D$4:$D$1823,$B121,'июнь 2024'!$J$4:$J$1823,J$1)</f>
        <v>0</v>
      </c>
      <c r="K121" s="80">
        <f>SUMIFS('июнь 2024'!$G$4:$G$1823,'июнь 2024'!$D$4:$D$1823,$B121,'июнь 2024'!$J$4:$J$1823,K$1)</f>
        <v>0</v>
      </c>
      <c r="L121" s="80">
        <f>SUMIFS('июнь 2024'!$G$4:$G$1823,'июнь 2024'!$D$4:$D$1823,$B121,'июнь 2024'!$J$4:$J$1823,L$1)</f>
        <v>0</v>
      </c>
      <c r="M121" s="80">
        <f>SUMIFS('июнь 2024'!$G$4:$G$1823,'июнь 2024'!$D$4:$D$1823,$B121,'июнь 2024'!$J$4:$J$1823,M$1)</f>
        <v>0</v>
      </c>
      <c r="N121" s="80">
        <f>SUMIFS('июнь 2024'!$G$4:$G$1823,'июнь 2024'!$D$4:$D$1823,$B121,'июнь 2024'!$J$4:$J$1823,N$1)</f>
        <v>0</v>
      </c>
      <c r="O121" s="80">
        <f>SUMIFS('июнь 2024'!$G$4:$G$1823,'июнь 2024'!$D$4:$D$1823,$B121,'июнь 2024'!$J$4:$J$1823,O$1)</f>
        <v>0</v>
      </c>
      <c r="P121" s="80">
        <f>SUMIFS('июнь 2024'!$G$4:$G$1823,'июнь 2024'!$D$4:$D$1823,$B121,'июнь 2024'!$J$4:$J$1823,P$1)</f>
        <v>0</v>
      </c>
      <c r="Q121" s="80">
        <f>SUMIFS('июнь 2024'!$G$4:$G$1823,'июнь 2024'!$D$4:$D$1823,$B121,'июнь 2024'!$J$4:$J$1823,Q$1)</f>
        <v>0</v>
      </c>
      <c r="R121" s="80">
        <f>SUMIFS('июнь 2024'!$G$4:$G$1823,'июнь 2024'!$D$4:$D$1823,$B121,'июнь 2024'!$J$4:$J$1823,R$1)</f>
        <v>0</v>
      </c>
      <c r="S121" s="80">
        <f>SUMIFS('июнь 2024'!$G$4:$G$1823,'июнь 2024'!$D$4:$D$1823,$B121,'июнь 2024'!$J$4:$J$1823,S$1)</f>
        <v>0</v>
      </c>
      <c r="T121" s="80">
        <f>SUMIFS('июнь 2024'!$G$4:$G$1823,'июнь 2024'!$D$4:$D$1823,$B121,'июнь 2024'!$J$4:$J$1823,T$1)</f>
        <v>0</v>
      </c>
      <c r="U121" s="80">
        <f>SUMIFS('июнь 2024'!$G$4:$G$1823,'июнь 2024'!$D$4:$D$1823,$B121,'июнь 2024'!$J$4:$J$1823,U$1)</f>
        <v>0</v>
      </c>
      <c r="V121" s="80">
        <f>SUMIFS('июнь 2024'!$G$4:$G$1823,'июнь 2024'!$D$4:$D$1823,$B121,'июнь 2024'!$J$4:$J$1823,V$1)</f>
        <v>0</v>
      </c>
      <c r="W121" s="80">
        <f>SUMIFS('июнь 2024'!$G$4:$G$1823,'июнь 2024'!$D$4:$D$1823,$B121,'июнь 2024'!$J$4:$J$1823,W$1)</f>
        <v>0</v>
      </c>
      <c r="X121" s="80">
        <f>SUMIFS('июнь 2024'!$G$4:$G$1823,'июнь 2024'!$D$4:$D$1823,$B121,'июнь 2024'!$J$4:$J$1823,X$1)</f>
        <v>0</v>
      </c>
      <c r="Y121" s="80">
        <f>SUMIFS('июнь 2024'!$G$4:$G$1823,'июнь 2024'!$D$4:$D$1823,$B121,'июнь 2024'!$J$4:$J$1823,Y$1)</f>
        <v>0</v>
      </c>
      <c r="Z121" s="80">
        <f>SUMIFS('июнь 2024'!$G$4:$G$1823,'июнь 2024'!$D$4:$D$1823,$B121,'июнь 2024'!$J$4:$J$1823,Z$1)</f>
        <v>0</v>
      </c>
      <c r="AA121" s="80">
        <f>SUMIFS('июнь 2024'!$G$4:$G$1823,'июнь 2024'!$D$4:$D$1823,$B121,'июнь 2024'!$J$4:$J$1823,AA$1)</f>
        <v>0</v>
      </c>
      <c r="AB121" s="80">
        <f>SUMIFS('июнь 2024'!$G$4:$G$1823,'июнь 2024'!$D$4:$D$1823,$B121,'июнь 2024'!$J$4:$J$1823,AB$1)</f>
        <v>0</v>
      </c>
      <c r="AC121" s="80">
        <f>SUMIFS('июнь 2024'!$G$4:$G$1823,'июнь 2024'!$D$4:$D$1823,$B121,'июнь 2024'!$J$4:$J$1823,AC$1)</f>
        <v>0</v>
      </c>
      <c r="AD121" s="80">
        <f>SUMIFS('июнь 2024'!$G$4:$G$1823,'июнь 2024'!$D$4:$D$1823,$B121,'июнь 2024'!$J$4:$J$1823,AD$1)</f>
        <v>0</v>
      </c>
      <c r="AE121" s="80">
        <f>SUMIFS('июнь 2024'!$G$4:$G$1823,'июнь 2024'!$D$4:$D$1823,$B121,'июнь 2024'!$J$4:$J$1823,AE$1)</f>
        <v>0</v>
      </c>
      <c r="AF121" s="80">
        <f>SUMIFS('июнь 2024'!$G$4:$G$1823,'июнь 2024'!$D$4:$D$1823,$B121,'июнь 2024'!$J$4:$J$1823,AF$1)</f>
        <v>0</v>
      </c>
      <c r="AG121" s="80">
        <f>SUMIFS('июнь 2024'!$G$4:$G$1823,'июнь 2024'!$D$4:$D$1823,$B121,'июнь 2024'!$J$4:$J$1823,AG$1)</f>
        <v>0</v>
      </c>
      <c r="AH121" s="80">
        <f>SUMIFS('июнь 2024'!$G$4:$G$1823,'июнь 2024'!$D$4:$D$1823,$B121,'июнь 2024'!$J$4:$J$1823,AH$1)</f>
        <v>0</v>
      </c>
      <c r="AI121" s="21">
        <f t="shared" si="1"/>
        <v>0</v>
      </c>
    </row>
    <row r="122" spans="2:35" ht="15" customHeight="1" x14ac:dyDescent="0.25">
      <c r="B122" s="94" t="s">
        <v>194</v>
      </c>
      <c r="C122" s="95">
        <v>180</v>
      </c>
      <c r="D122" s="80">
        <f>SUMIFS('июнь 2024'!$G$4:$G$1823,'июнь 2024'!$D$4:$D$1823,$B122,'июнь 2024'!$J$4:$J$1823,D$1)</f>
        <v>0</v>
      </c>
      <c r="E122" s="80">
        <f>SUMIFS('июнь 2024'!$G$4:$G$1823,'июнь 2024'!$D$4:$D$1823,$B122,'июнь 2024'!$J$4:$J$1823,E$1)</f>
        <v>0</v>
      </c>
      <c r="F122" s="80">
        <f>SUMIFS('июнь 2024'!$G$4:$G$1823,'июнь 2024'!$D$4:$D$1823,$B122,'июнь 2024'!$J$4:$J$1823,F$1)</f>
        <v>0</v>
      </c>
      <c r="G122" s="80">
        <f>SUMIFS('июнь 2024'!$G$4:$G$1823,'июнь 2024'!$D$4:$D$1823,$B122,'июнь 2024'!$J$4:$J$1823,G$1)</f>
        <v>0</v>
      </c>
      <c r="H122" s="80">
        <f>SUMIFS('июнь 2024'!$G$4:$G$1823,'июнь 2024'!$D$4:$D$1823,$B122,'июнь 2024'!$J$4:$J$1823,H$1)</f>
        <v>0</v>
      </c>
      <c r="I122" s="80">
        <f>SUMIFS('июнь 2024'!$G$4:$G$1823,'июнь 2024'!$D$4:$D$1823,$B122,'июнь 2024'!$J$4:$J$1823,I$1)</f>
        <v>0</v>
      </c>
      <c r="J122" s="80">
        <f>SUMIFS('июнь 2024'!$G$4:$G$1823,'июнь 2024'!$D$4:$D$1823,$B122,'июнь 2024'!$J$4:$J$1823,J$1)</f>
        <v>0</v>
      </c>
      <c r="K122" s="80">
        <f>SUMIFS('июнь 2024'!$G$4:$G$1823,'июнь 2024'!$D$4:$D$1823,$B122,'июнь 2024'!$J$4:$J$1823,K$1)</f>
        <v>0</v>
      </c>
      <c r="L122" s="80">
        <f>SUMIFS('июнь 2024'!$G$4:$G$1823,'июнь 2024'!$D$4:$D$1823,$B122,'июнь 2024'!$J$4:$J$1823,L$1)</f>
        <v>0</v>
      </c>
      <c r="M122" s="80">
        <f>SUMIFS('июнь 2024'!$G$4:$G$1823,'июнь 2024'!$D$4:$D$1823,$B122,'июнь 2024'!$J$4:$J$1823,M$1)</f>
        <v>0</v>
      </c>
      <c r="N122" s="80">
        <f>SUMIFS('июнь 2024'!$G$4:$G$1823,'июнь 2024'!$D$4:$D$1823,$B122,'июнь 2024'!$J$4:$J$1823,N$1)</f>
        <v>0</v>
      </c>
      <c r="O122" s="80">
        <f>SUMIFS('июнь 2024'!$G$4:$G$1823,'июнь 2024'!$D$4:$D$1823,$B122,'июнь 2024'!$J$4:$J$1823,O$1)</f>
        <v>0</v>
      </c>
      <c r="P122" s="80">
        <f>SUMIFS('июнь 2024'!$G$4:$G$1823,'июнь 2024'!$D$4:$D$1823,$B122,'июнь 2024'!$J$4:$J$1823,P$1)</f>
        <v>0</v>
      </c>
      <c r="Q122" s="80">
        <f>SUMIFS('июнь 2024'!$G$4:$G$1823,'июнь 2024'!$D$4:$D$1823,$B122,'июнь 2024'!$J$4:$J$1823,Q$1)</f>
        <v>0</v>
      </c>
      <c r="R122" s="80">
        <f>SUMIFS('июнь 2024'!$G$4:$G$1823,'июнь 2024'!$D$4:$D$1823,$B122,'июнь 2024'!$J$4:$J$1823,R$1)</f>
        <v>0</v>
      </c>
      <c r="S122" s="80">
        <f>SUMIFS('июнь 2024'!$G$4:$G$1823,'июнь 2024'!$D$4:$D$1823,$B122,'июнь 2024'!$J$4:$J$1823,S$1)</f>
        <v>0</v>
      </c>
      <c r="T122" s="80">
        <f>SUMIFS('июнь 2024'!$G$4:$G$1823,'июнь 2024'!$D$4:$D$1823,$B122,'июнь 2024'!$J$4:$J$1823,T$1)</f>
        <v>0</v>
      </c>
      <c r="U122" s="80">
        <f>SUMIFS('июнь 2024'!$G$4:$G$1823,'июнь 2024'!$D$4:$D$1823,$B122,'июнь 2024'!$J$4:$J$1823,U$1)</f>
        <v>0</v>
      </c>
      <c r="V122" s="80">
        <f>SUMIFS('июнь 2024'!$G$4:$G$1823,'июнь 2024'!$D$4:$D$1823,$B122,'июнь 2024'!$J$4:$J$1823,V$1)</f>
        <v>0</v>
      </c>
      <c r="W122" s="80">
        <f>SUMIFS('июнь 2024'!$G$4:$G$1823,'июнь 2024'!$D$4:$D$1823,$B122,'июнь 2024'!$J$4:$J$1823,W$1)</f>
        <v>0</v>
      </c>
      <c r="X122" s="80">
        <f>SUMIFS('июнь 2024'!$G$4:$G$1823,'июнь 2024'!$D$4:$D$1823,$B122,'июнь 2024'!$J$4:$J$1823,X$1)</f>
        <v>0</v>
      </c>
      <c r="Y122" s="80">
        <f>SUMIFS('июнь 2024'!$G$4:$G$1823,'июнь 2024'!$D$4:$D$1823,$B122,'июнь 2024'!$J$4:$J$1823,Y$1)</f>
        <v>0</v>
      </c>
      <c r="Z122" s="80">
        <f>SUMIFS('июнь 2024'!$G$4:$G$1823,'июнь 2024'!$D$4:$D$1823,$B122,'июнь 2024'!$J$4:$J$1823,Z$1)</f>
        <v>0</v>
      </c>
      <c r="AA122" s="80">
        <f>SUMIFS('июнь 2024'!$G$4:$G$1823,'июнь 2024'!$D$4:$D$1823,$B122,'июнь 2024'!$J$4:$J$1823,AA$1)</f>
        <v>0</v>
      </c>
      <c r="AB122" s="80">
        <f>SUMIFS('июнь 2024'!$G$4:$G$1823,'июнь 2024'!$D$4:$D$1823,$B122,'июнь 2024'!$J$4:$J$1823,AB$1)</f>
        <v>0</v>
      </c>
      <c r="AC122" s="80">
        <f>SUMIFS('июнь 2024'!$G$4:$G$1823,'июнь 2024'!$D$4:$D$1823,$B122,'июнь 2024'!$J$4:$J$1823,AC$1)</f>
        <v>0</v>
      </c>
      <c r="AD122" s="80">
        <f>SUMIFS('июнь 2024'!$G$4:$G$1823,'июнь 2024'!$D$4:$D$1823,$B122,'июнь 2024'!$J$4:$J$1823,AD$1)</f>
        <v>0</v>
      </c>
      <c r="AE122" s="80">
        <f>SUMIFS('июнь 2024'!$G$4:$G$1823,'июнь 2024'!$D$4:$D$1823,$B122,'июнь 2024'!$J$4:$J$1823,AE$1)</f>
        <v>0</v>
      </c>
      <c r="AF122" s="80">
        <f>SUMIFS('июнь 2024'!$G$4:$G$1823,'июнь 2024'!$D$4:$D$1823,$B122,'июнь 2024'!$J$4:$J$1823,AF$1)</f>
        <v>0</v>
      </c>
      <c r="AG122" s="80">
        <f>SUMIFS('июнь 2024'!$G$4:$G$1823,'июнь 2024'!$D$4:$D$1823,$B122,'июнь 2024'!$J$4:$J$1823,AG$1)</f>
        <v>0</v>
      </c>
      <c r="AH122" s="80">
        <f>SUMIFS('июнь 2024'!$G$4:$G$1823,'июнь 2024'!$D$4:$D$1823,$B122,'июнь 2024'!$J$4:$J$1823,AH$1)</f>
        <v>0</v>
      </c>
      <c r="AI122" s="21">
        <f t="shared" si="1"/>
        <v>0</v>
      </c>
    </row>
    <row r="123" spans="2:35" ht="15" customHeight="1" x14ac:dyDescent="0.25">
      <c r="B123" s="89" t="s">
        <v>332</v>
      </c>
      <c r="C123" s="91">
        <v>180</v>
      </c>
      <c r="D123" s="80">
        <f>SUMIFS('июнь 2024'!$G$4:$G$1823,'июнь 2024'!$D$4:$D$1823,$B123,'июнь 2024'!$J$4:$J$1823,D$1)</f>
        <v>0</v>
      </c>
      <c r="E123" s="80">
        <f>SUMIFS('июнь 2024'!$G$4:$G$1823,'июнь 2024'!$D$4:$D$1823,$B123,'июнь 2024'!$J$4:$J$1823,E$1)</f>
        <v>0</v>
      </c>
      <c r="F123" s="80">
        <f>SUMIFS('июнь 2024'!$G$4:$G$1823,'июнь 2024'!$D$4:$D$1823,$B123,'июнь 2024'!$J$4:$J$1823,F$1)</f>
        <v>0</v>
      </c>
      <c r="G123" s="80">
        <f>SUMIFS('июнь 2024'!$G$4:$G$1823,'июнь 2024'!$D$4:$D$1823,$B123,'июнь 2024'!$J$4:$J$1823,G$1)</f>
        <v>0</v>
      </c>
      <c r="H123" s="80">
        <f>SUMIFS('июнь 2024'!$G$4:$G$1823,'июнь 2024'!$D$4:$D$1823,$B123,'июнь 2024'!$J$4:$J$1823,H$1)</f>
        <v>0</v>
      </c>
      <c r="I123" s="80">
        <f>SUMIFS('июнь 2024'!$G$4:$G$1823,'июнь 2024'!$D$4:$D$1823,$B123,'июнь 2024'!$J$4:$J$1823,I$1)</f>
        <v>0</v>
      </c>
      <c r="J123" s="80">
        <f>SUMIFS('июнь 2024'!$G$4:$G$1823,'июнь 2024'!$D$4:$D$1823,$B123,'июнь 2024'!$J$4:$J$1823,J$1)</f>
        <v>0</v>
      </c>
      <c r="K123" s="80">
        <f>SUMIFS('июнь 2024'!$G$4:$G$1823,'июнь 2024'!$D$4:$D$1823,$B123,'июнь 2024'!$J$4:$J$1823,K$1)</f>
        <v>0</v>
      </c>
      <c r="L123" s="80">
        <f>SUMIFS('июнь 2024'!$G$4:$G$1823,'июнь 2024'!$D$4:$D$1823,$B123,'июнь 2024'!$J$4:$J$1823,L$1)</f>
        <v>0</v>
      </c>
      <c r="M123" s="80">
        <f>SUMIFS('июнь 2024'!$G$4:$G$1823,'июнь 2024'!$D$4:$D$1823,$B123,'июнь 2024'!$J$4:$J$1823,M$1)</f>
        <v>0</v>
      </c>
      <c r="N123" s="80">
        <f>SUMIFS('июнь 2024'!$G$4:$G$1823,'июнь 2024'!$D$4:$D$1823,$B123,'июнь 2024'!$J$4:$J$1823,N$1)</f>
        <v>0</v>
      </c>
      <c r="O123" s="80">
        <f>SUMIFS('июнь 2024'!$G$4:$G$1823,'июнь 2024'!$D$4:$D$1823,$B123,'июнь 2024'!$J$4:$J$1823,O$1)</f>
        <v>0</v>
      </c>
      <c r="P123" s="80">
        <f>SUMIFS('июнь 2024'!$G$4:$G$1823,'июнь 2024'!$D$4:$D$1823,$B123,'июнь 2024'!$J$4:$J$1823,P$1)</f>
        <v>0</v>
      </c>
      <c r="Q123" s="80">
        <f>SUMIFS('июнь 2024'!$G$4:$G$1823,'июнь 2024'!$D$4:$D$1823,$B123,'июнь 2024'!$J$4:$J$1823,Q$1)</f>
        <v>0</v>
      </c>
      <c r="R123" s="80">
        <f>SUMIFS('июнь 2024'!$G$4:$G$1823,'июнь 2024'!$D$4:$D$1823,$B123,'июнь 2024'!$J$4:$J$1823,R$1)</f>
        <v>0</v>
      </c>
      <c r="S123" s="80">
        <f>SUMIFS('июнь 2024'!$G$4:$G$1823,'июнь 2024'!$D$4:$D$1823,$B123,'июнь 2024'!$J$4:$J$1823,S$1)</f>
        <v>0</v>
      </c>
      <c r="T123" s="80">
        <f>SUMIFS('июнь 2024'!$G$4:$G$1823,'июнь 2024'!$D$4:$D$1823,$B123,'июнь 2024'!$J$4:$J$1823,T$1)</f>
        <v>0</v>
      </c>
      <c r="U123" s="80">
        <f>SUMIFS('июнь 2024'!$G$4:$G$1823,'июнь 2024'!$D$4:$D$1823,$B123,'июнь 2024'!$J$4:$J$1823,U$1)</f>
        <v>0</v>
      </c>
      <c r="V123" s="80">
        <f>SUMIFS('июнь 2024'!$G$4:$G$1823,'июнь 2024'!$D$4:$D$1823,$B123,'июнь 2024'!$J$4:$J$1823,V$1)</f>
        <v>0</v>
      </c>
      <c r="W123" s="80">
        <f>SUMIFS('июнь 2024'!$G$4:$G$1823,'июнь 2024'!$D$4:$D$1823,$B123,'июнь 2024'!$J$4:$J$1823,W$1)</f>
        <v>0</v>
      </c>
      <c r="X123" s="80">
        <f>SUMIFS('июнь 2024'!$G$4:$G$1823,'июнь 2024'!$D$4:$D$1823,$B123,'июнь 2024'!$J$4:$J$1823,X$1)</f>
        <v>0</v>
      </c>
      <c r="Y123" s="80">
        <f>SUMIFS('июнь 2024'!$G$4:$G$1823,'июнь 2024'!$D$4:$D$1823,$B123,'июнь 2024'!$J$4:$J$1823,Y$1)</f>
        <v>0</v>
      </c>
      <c r="Z123" s="80">
        <f>SUMIFS('июнь 2024'!$G$4:$G$1823,'июнь 2024'!$D$4:$D$1823,$B123,'июнь 2024'!$J$4:$J$1823,Z$1)</f>
        <v>0</v>
      </c>
      <c r="AA123" s="80">
        <f>SUMIFS('июнь 2024'!$G$4:$G$1823,'июнь 2024'!$D$4:$D$1823,$B123,'июнь 2024'!$J$4:$J$1823,AA$1)</f>
        <v>0</v>
      </c>
      <c r="AB123" s="80">
        <f>SUMIFS('июнь 2024'!$G$4:$G$1823,'июнь 2024'!$D$4:$D$1823,$B123,'июнь 2024'!$J$4:$J$1823,AB$1)</f>
        <v>0</v>
      </c>
      <c r="AC123" s="80">
        <f>SUMIFS('июнь 2024'!$G$4:$G$1823,'июнь 2024'!$D$4:$D$1823,$B123,'июнь 2024'!$J$4:$J$1823,AC$1)</f>
        <v>0</v>
      </c>
      <c r="AD123" s="80">
        <f>SUMIFS('июнь 2024'!$G$4:$G$1823,'июнь 2024'!$D$4:$D$1823,$B123,'июнь 2024'!$J$4:$J$1823,AD$1)</f>
        <v>0</v>
      </c>
      <c r="AE123" s="80">
        <f>SUMIFS('июнь 2024'!$G$4:$G$1823,'июнь 2024'!$D$4:$D$1823,$B123,'июнь 2024'!$J$4:$J$1823,AE$1)</f>
        <v>0</v>
      </c>
      <c r="AF123" s="80">
        <f>SUMIFS('июнь 2024'!$G$4:$G$1823,'июнь 2024'!$D$4:$D$1823,$B123,'июнь 2024'!$J$4:$J$1823,AF$1)</f>
        <v>0</v>
      </c>
      <c r="AG123" s="80">
        <f>SUMIFS('июнь 2024'!$G$4:$G$1823,'июнь 2024'!$D$4:$D$1823,$B123,'июнь 2024'!$J$4:$J$1823,AG$1)</f>
        <v>0</v>
      </c>
      <c r="AH123" s="80">
        <f>SUMIFS('июнь 2024'!$G$4:$G$1823,'июнь 2024'!$D$4:$D$1823,$B123,'июнь 2024'!$J$4:$J$1823,AH$1)</f>
        <v>0</v>
      </c>
      <c r="AI123" s="21">
        <f t="shared" si="1"/>
        <v>0</v>
      </c>
    </row>
    <row r="124" spans="2:35" ht="15" customHeight="1" x14ac:dyDescent="0.25">
      <c r="B124" s="89" t="s">
        <v>342</v>
      </c>
      <c r="C124" s="91">
        <v>180</v>
      </c>
      <c r="D124" s="80">
        <f>SUMIFS('июнь 2024'!$G$4:$G$1823,'июнь 2024'!$D$4:$D$1823,$B124,'июнь 2024'!$J$4:$J$1823,D$1)</f>
        <v>0</v>
      </c>
      <c r="E124" s="80">
        <f>SUMIFS('июнь 2024'!$G$4:$G$1823,'июнь 2024'!$D$4:$D$1823,$B124,'июнь 2024'!$J$4:$J$1823,E$1)</f>
        <v>0</v>
      </c>
      <c r="F124" s="80">
        <f>SUMIFS('июнь 2024'!$G$4:$G$1823,'июнь 2024'!$D$4:$D$1823,$B124,'июнь 2024'!$J$4:$J$1823,F$1)</f>
        <v>0</v>
      </c>
      <c r="G124" s="80">
        <f>SUMIFS('июнь 2024'!$G$4:$G$1823,'июнь 2024'!$D$4:$D$1823,$B124,'июнь 2024'!$J$4:$J$1823,G$1)</f>
        <v>0</v>
      </c>
      <c r="H124" s="80">
        <f>SUMIFS('июнь 2024'!$G$4:$G$1823,'июнь 2024'!$D$4:$D$1823,$B124,'июнь 2024'!$J$4:$J$1823,H$1)</f>
        <v>0</v>
      </c>
      <c r="I124" s="80">
        <f>SUMIFS('июнь 2024'!$G$4:$G$1823,'июнь 2024'!$D$4:$D$1823,$B124,'июнь 2024'!$J$4:$J$1823,I$1)</f>
        <v>0</v>
      </c>
      <c r="J124" s="80">
        <f>SUMIFS('июнь 2024'!$G$4:$G$1823,'июнь 2024'!$D$4:$D$1823,$B124,'июнь 2024'!$J$4:$J$1823,J$1)</f>
        <v>0</v>
      </c>
      <c r="K124" s="80">
        <f>SUMIFS('июнь 2024'!$G$4:$G$1823,'июнь 2024'!$D$4:$D$1823,$B124,'июнь 2024'!$J$4:$J$1823,K$1)</f>
        <v>0</v>
      </c>
      <c r="L124" s="80">
        <f>SUMIFS('июнь 2024'!$G$4:$G$1823,'июнь 2024'!$D$4:$D$1823,$B124,'июнь 2024'!$J$4:$J$1823,L$1)</f>
        <v>0</v>
      </c>
      <c r="M124" s="80">
        <f>SUMIFS('июнь 2024'!$G$4:$G$1823,'июнь 2024'!$D$4:$D$1823,$B124,'июнь 2024'!$J$4:$J$1823,M$1)</f>
        <v>0</v>
      </c>
      <c r="N124" s="80">
        <f>SUMIFS('июнь 2024'!$G$4:$G$1823,'июнь 2024'!$D$4:$D$1823,$B124,'июнь 2024'!$J$4:$J$1823,N$1)</f>
        <v>0</v>
      </c>
      <c r="O124" s="80">
        <f>SUMIFS('июнь 2024'!$G$4:$G$1823,'июнь 2024'!$D$4:$D$1823,$B124,'июнь 2024'!$J$4:$J$1823,O$1)</f>
        <v>0</v>
      </c>
      <c r="P124" s="80">
        <f>SUMIFS('июнь 2024'!$G$4:$G$1823,'июнь 2024'!$D$4:$D$1823,$B124,'июнь 2024'!$J$4:$J$1823,P$1)</f>
        <v>0</v>
      </c>
      <c r="Q124" s="80">
        <f>SUMIFS('июнь 2024'!$G$4:$G$1823,'июнь 2024'!$D$4:$D$1823,$B124,'июнь 2024'!$J$4:$J$1823,Q$1)</f>
        <v>0</v>
      </c>
      <c r="R124" s="80">
        <f>SUMIFS('июнь 2024'!$G$4:$G$1823,'июнь 2024'!$D$4:$D$1823,$B124,'июнь 2024'!$J$4:$J$1823,R$1)</f>
        <v>0</v>
      </c>
      <c r="S124" s="80">
        <f>SUMIFS('июнь 2024'!$G$4:$G$1823,'июнь 2024'!$D$4:$D$1823,$B124,'июнь 2024'!$J$4:$J$1823,S$1)</f>
        <v>0</v>
      </c>
      <c r="T124" s="80">
        <f>SUMIFS('июнь 2024'!$G$4:$G$1823,'июнь 2024'!$D$4:$D$1823,$B124,'июнь 2024'!$J$4:$J$1823,T$1)</f>
        <v>0</v>
      </c>
      <c r="U124" s="80">
        <f>SUMIFS('июнь 2024'!$G$4:$G$1823,'июнь 2024'!$D$4:$D$1823,$B124,'июнь 2024'!$J$4:$J$1823,U$1)</f>
        <v>0</v>
      </c>
      <c r="V124" s="80">
        <f>SUMIFS('июнь 2024'!$G$4:$G$1823,'июнь 2024'!$D$4:$D$1823,$B124,'июнь 2024'!$J$4:$J$1823,V$1)</f>
        <v>0</v>
      </c>
      <c r="W124" s="80">
        <f>SUMIFS('июнь 2024'!$G$4:$G$1823,'июнь 2024'!$D$4:$D$1823,$B124,'июнь 2024'!$J$4:$J$1823,W$1)</f>
        <v>0</v>
      </c>
      <c r="X124" s="80">
        <f>SUMIFS('июнь 2024'!$G$4:$G$1823,'июнь 2024'!$D$4:$D$1823,$B124,'июнь 2024'!$J$4:$J$1823,X$1)</f>
        <v>0</v>
      </c>
      <c r="Y124" s="80">
        <f>SUMIFS('июнь 2024'!$G$4:$G$1823,'июнь 2024'!$D$4:$D$1823,$B124,'июнь 2024'!$J$4:$J$1823,Y$1)</f>
        <v>0</v>
      </c>
      <c r="Z124" s="80">
        <f>SUMIFS('июнь 2024'!$G$4:$G$1823,'июнь 2024'!$D$4:$D$1823,$B124,'июнь 2024'!$J$4:$J$1823,Z$1)</f>
        <v>0</v>
      </c>
      <c r="AA124" s="80">
        <f>SUMIFS('июнь 2024'!$G$4:$G$1823,'июнь 2024'!$D$4:$D$1823,$B124,'июнь 2024'!$J$4:$J$1823,AA$1)</f>
        <v>0</v>
      </c>
      <c r="AB124" s="80">
        <f>SUMIFS('июнь 2024'!$G$4:$G$1823,'июнь 2024'!$D$4:$D$1823,$B124,'июнь 2024'!$J$4:$J$1823,AB$1)</f>
        <v>0</v>
      </c>
      <c r="AC124" s="80">
        <f>SUMIFS('июнь 2024'!$G$4:$G$1823,'июнь 2024'!$D$4:$D$1823,$B124,'июнь 2024'!$J$4:$J$1823,AC$1)</f>
        <v>0</v>
      </c>
      <c r="AD124" s="80">
        <f>SUMIFS('июнь 2024'!$G$4:$G$1823,'июнь 2024'!$D$4:$D$1823,$B124,'июнь 2024'!$J$4:$J$1823,AD$1)</f>
        <v>0</v>
      </c>
      <c r="AE124" s="80">
        <f>SUMIFS('июнь 2024'!$G$4:$G$1823,'июнь 2024'!$D$4:$D$1823,$B124,'июнь 2024'!$J$4:$J$1823,AE$1)</f>
        <v>0</v>
      </c>
      <c r="AF124" s="80">
        <f>SUMIFS('июнь 2024'!$G$4:$G$1823,'июнь 2024'!$D$4:$D$1823,$B124,'июнь 2024'!$J$4:$J$1823,AF$1)</f>
        <v>0</v>
      </c>
      <c r="AG124" s="80">
        <f>SUMIFS('июнь 2024'!$G$4:$G$1823,'июнь 2024'!$D$4:$D$1823,$B124,'июнь 2024'!$J$4:$J$1823,AG$1)</f>
        <v>0</v>
      </c>
      <c r="AH124" s="80">
        <f>SUMIFS('июнь 2024'!$G$4:$G$1823,'июнь 2024'!$D$4:$D$1823,$B124,'июнь 2024'!$J$4:$J$1823,AH$1)</f>
        <v>0</v>
      </c>
      <c r="AI124" s="21">
        <f t="shared" si="1"/>
        <v>0</v>
      </c>
    </row>
    <row r="125" spans="2:35" ht="15" customHeight="1" x14ac:dyDescent="0.25">
      <c r="B125" s="89" t="s">
        <v>760</v>
      </c>
      <c r="C125" s="91">
        <v>190</v>
      </c>
      <c r="D125" s="80">
        <f>SUMIFS('июнь 2024'!$G$4:$G$1823,'июнь 2024'!$D$4:$D$1823,$B125,'июнь 2024'!$J$4:$J$1823,D$1)</f>
        <v>0</v>
      </c>
      <c r="E125" s="80">
        <f>SUMIFS('июнь 2024'!$G$4:$G$1823,'июнь 2024'!$D$4:$D$1823,$B125,'июнь 2024'!$J$4:$J$1823,E$1)</f>
        <v>0</v>
      </c>
      <c r="F125" s="80">
        <f>SUMIFS('июнь 2024'!$G$4:$G$1823,'июнь 2024'!$D$4:$D$1823,$B125,'июнь 2024'!$J$4:$J$1823,F$1)</f>
        <v>0</v>
      </c>
      <c r="G125" s="80">
        <f>SUMIFS('июнь 2024'!$G$4:$G$1823,'июнь 2024'!$D$4:$D$1823,$B125,'июнь 2024'!$J$4:$J$1823,G$1)</f>
        <v>0</v>
      </c>
      <c r="H125" s="80">
        <f>SUMIFS('июнь 2024'!$G$4:$G$1823,'июнь 2024'!$D$4:$D$1823,$B125,'июнь 2024'!$J$4:$J$1823,H$1)</f>
        <v>0</v>
      </c>
      <c r="I125" s="80">
        <f>SUMIFS('июнь 2024'!$G$4:$G$1823,'июнь 2024'!$D$4:$D$1823,$B125,'июнь 2024'!$J$4:$J$1823,I$1)</f>
        <v>0</v>
      </c>
      <c r="J125" s="80">
        <f>SUMIFS('июнь 2024'!$G$4:$G$1823,'июнь 2024'!$D$4:$D$1823,$B125,'июнь 2024'!$J$4:$J$1823,J$1)</f>
        <v>0</v>
      </c>
      <c r="K125" s="80">
        <f>SUMIFS('июнь 2024'!$G$4:$G$1823,'июнь 2024'!$D$4:$D$1823,$B125,'июнь 2024'!$J$4:$J$1823,K$1)</f>
        <v>0</v>
      </c>
      <c r="L125" s="80">
        <f>SUMIFS('июнь 2024'!$G$4:$G$1823,'июнь 2024'!$D$4:$D$1823,$B125,'июнь 2024'!$J$4:$J$1823,L$1)</f>
        <v>0</v>
      </c>
      <c r="M125" s="80">
        <f>SUMIFS('июнь 2024'!$G$4:$G$1823,'июнь 2024'!$D$4:$D$1823,$B125,'июнь 2024'!$J$4:$J$1823,M$1)</f>
        <v>0</v>
      </c>
      <c r="N125" s="80">
        <f>SUMIFS('июнь 2024'!$G$4:$G$1823,'июнь 2024'!$D$4:$D$1823,$B125,'июнь 2024'!$J$4:$J$1823,N$1)</f>
        <v>0</v>
      </c>
      <c r="O125" s="80">
        <f>SUMIFS('июнь 2024'!$G$4:$G$1823,'июнь 2024'!$D$4:$D$1823,$B125,'июнь 2024'!$J$4:$J$1823,O$1)</f>
        <v>0</v>
      </c>
      <c r="P125" s="80">
        <f>SUMIFS('июнь 2024'!$G$4:$G$1823,'июнь 2024'!$D$4:$D$1823,$B125,'июнь 2024'!$J$4:$J$1823,P$1)</f>
        <v>0</v>
      </c>
      <c r="Q125" s="80">
        <f>SUMIFS('июнь 2024'!$G$4:$G$1823,'июнь 2024'!$D$4:$D$1823,$B125,'июнь 2024'!$J$4:$J$1823,Q$1)</f>
        <v>0</v>
      </c>
      <c r="R125" s="80">
        <f>SUMIFS('июнь 2024'!$G$4:$G$1823,'июнь 2024'!$D$4:$D$1823,$B125,'июнь 2024'!$J$4:$J$1823,R$1)</f>
        <v>0</v>
      </c>
      <c r="S125" s="80">
        <f>SUMIFS('июнь 2024'!$G$4:$G$1823,'июнь 2024'!$D$4:$D$1823,$B125,'июнь 2024'!$J$4:$J$1823,S$1)</f>
        <v>0</v>
      </c>
      <c r="T125" s="80">
        <f>SUMIFS('июнь 2024'!$G$4:$G$1823,'июнь 2024'!$D$4:$D$1823,$B125,'июнь 2024'!$J$4:$J$1823,T$1)</f>
        <v>0</v>
      </c>
      <c r="U125" s="80">
        <f>SUMIFS('июнь 2024'!$G$4:$G$1823,'июнь 2024'!$D$4:$D$1823,$B125,'июнь 2024'!$J$4:$J$1823,U$1)</f>
        <v>0</v>
      </c>
      <c r="V125" s="80">
        <f>SUMIFS('июнь 2024'!$G$4:$G$1823,'июнь 2024'!$D$4:$D$1823,$B125,'июнь 2024'!$J$4:$J$1823,V$1)</f>
        <v>0</v>
      </c>
      <c r="W125" s="80">
        <f>SUMIFS('июнь 2024'!$G$4:$G$1823,'июнь 2024'!$D$4:$D$1823,$B125,'июнь 2024'!$J$4:$J$1823,W$1)</f>
        <v>0</v>
      </c>
      <c r="X125" s="80">
        <f>SUMIFS('июнь 2024'!$G$4:$G$1823,'июнь 2024'!$D$4:$D$1823,$B125,'июнь 2024'!$J$4:$J$1823,X$1)</f>
        <v>0</v>
      </c>
      <c r="Y125" s="80">
        <f>SUMIFS('июнь 2024'!$G$4:$G$1823,'июнь 2024'!$D$4:$D$1823,$B125,'июнь 2024'!$J$4:$J$1823,Y$1)</f>
        <v>0</v>
      </c>
      <c r="Z125" s="80">
        <f>SUMIFS('июнь 2024'!$G$4:$G$1823,'июнь 2024'!$D$4:$D$1823,$B125,'июнь 2024'!$J$4:$J$1823,Z$1)</f>
        <v>0</v>
      </c>
      <c r="AA125" s="80">
        <f>SUMIFS('июнь 2024'!$G$4:$G$1823,'июнь 2024'!$D$4:$D$1823,$B125,'июнь 2024'!$J$4:$J$1823,AA$1)</f>
        <v>0</v>
      </c>
      <c r="AB125" s="80">
        <f>SUMIFS('июнь 2024'!$G$4:$G$1823,'июнь 2024'!$D$4:$D$1823,$B125,'июнь 2024'!$J$4:$J$1823,AB$1)</f>
        <v>0</v>
      </c>
      <c r="AC125" s="80">
        <f>SUMIFS('июнь 2024'!$G$4:$G$1823,'июнь 2024'!$D$4:$D$1823,$B125,'июнь 2024'!$J$4:$J$1823,AC$1)</f>
        <v>0</v>
      </c>
      <c r="AD125" s="80">
        <f>SUMIFS('июнь 2024'!$G$4:$G$1823,'июнь 2024'!$D$4:$D$1823,$B125,'июнь 2024'!$J$4:$J$1823,AD$1)</f>
        <v>0</v>
      </c>
      <c r="AE125" s="80">
        <f>SUMIFS('июнь 2024'!$G$4:$G$1823,'июнь 2024'!$D$4:$D$1823,$B125,'июнь 2024'!$J$4:$J$1823,AE$1)</f>
        <v>0</v>
      </c>
      <c r="AF125" s="80">
        <f>SUMIFS('июнь 2024'!$G$4:$G$1823,'июнь 2024'!$D$4:$D$1823,$B125,'июнь 2024'!$J$4:$J$1823,AF$1)</f>
        <v>0</v>
      </c>
      <c r="AG125" s="80">
        <f>SUMIFS('июнь 2024'!$G$4:$G$1823,'июнь 2024'!$D$4:$D$1823,$B125,'июнь 2024'!$J$4:$J$1823,AG$1)</f>
        <v>0</v>
      </c>
      <c r="AH125" s="80">
        <f>SUMIFS('июнь 2024'!$G$4:$G$1823,'июнь 2024'!$D$4:$D$1823,$B125,'июнь 2024'!$J$4:$J$1823,AH$1)</f>
        <v>0</v>
      </c>
      <c r="AI125" s="21">
        <f t="shared" si="1"/>
        <v>0</v>
      </c>
    </row>
    <row r="126" spans="2:35" ht="15" customHeight="1" x14ac:dyDescent="0.25">
      <c r="B126" s="89" t="s">
        <v>333</v>
      </c>
      <c r="C126" s="91">
        <v>200</v>
      </c>
      <c r="D126" s="80">
        <f>SUMIFS('июнь 2024'!$G$4:$G$1823,'июнь 2024'!$D$4:$D$1823,$B126,'июнь 2024'!$J$4:$J$1823,D$1)</f>
        <v>0</v>
      </c>
      <c r="E126" s="80">
        <f>SUMIFS('июнь 2024'!$G$4:$G$1823,'июнь 2024'!$D$4:$D$1823,$B126,'июнь 2024'!$J$4:$J$1823,E$1)</f>
        <v>0</v>
      </c>
      <c r="F126" s="80">
        <f>SUMIFS('июнь 2024'!$G$4:$G$1823,'июнь 2024'!$D$4:$D$1823,$B126,'июнь 2024'!$J$4:$J$1823,F$1)</f>
        <v>0</v>
      </c>
      <c r="G126" s="80">
        <f>SUMIFS('июнь 2024'!$G$4:$G$1823,'июнь 2024'!$D$4:$D$1823,$B126,'июнь 2024'!$J$4:$J$1823,G$1)</f>
        <v>0</v>
      </c>
      <c r="H126" s="80">
        <f>SUMIFS('июнь 2024'!$G$4:$G$1823,'июнь 2024'!$D$4:$D$1823,$B126,'июнь 2024'!$J$4:$J$1823,H$1)</f>
        <v>0</v>
      </c>
      <c r="I126" s="80">
        <f>SUMIFS('июнь 2024'!$G$4:$G$1823,'июнь 2024'!$D$4:$D$1823,$B126,'июнь 2024'!$J$4:$J$1823,I$1)</f>
        <v>0</v>
      </c>
      <c r="J126" s="80">
        <f>SUMIFS('июнь 2024'!$G$4:$G$1823,'июнь 2024'!$D$4:$D$1823,$B126,'июнь 2024'!$J$4:$J$1823,J$1)</f>
        <v>0</v>
      </c>
      <c r="K126" s="80">
        <f>SUMIFS('июнь 2024'!$G$4:$G$1823,'июнь 2024'!$D$4:$D$1823,$B126,'июнь 2024'!$J$4:$J$1823,K$1)</f>
        <v>0</v>
      </c>
      <c r="L126" s="80">
        <f>SUMIFS('июнь 2024'!$G$4:$G$1823,'июнь 2024'!$D$4:$D$1823,$B126,'июнь 2024'!$J$4:$J$1823,L$1)</f>
        <v>0</v>
      </c>
      <c r="M126" s="80">
        <f>SUMIFS('июнь 2024'!$G$4:$G$1823,'июнь 2024'!$D$4:$D$1823,$B126,'июнь 2024'!$J$4:$J$1823,M$1)</f>
        <v>0</v>
      </c>
      <c r="N126" s="80">
        <f>SUMIFS('июнь 2024'!$G$4:$G$1823,'июнь 2024'!$D$4:$D$1823,$B126,'июнь 2024'!$J$4:$J$1823,N$1)</f>
        <v>0</v>
      </c>
      <c r="O126" s="80">
        <f>SUMIFS('июнь 2024'!$G$4:$G$1823,'июнь 2024'!$D$4:$D$1823,$B126,'июнь 2024'!$J$4:$J$1823,O$1)</f>
        <v>0</v>
      </c>
      <c r="P126" s="80">
        <f>SUMIFS('июнь 2024'!$G$4:$G$1823,'июнь 2024'!$D$4:$D$1823,$B126,'июнь 2024'!$J$4:$J$1823,P$1)</f>
        <v>0</v>
      </c>
      <c r="Q126" s="80">
        <f>SUMIFS('июнь 2024'!$G$4:$G$1823,'июнь 2024'!$D$4:$D$1823,$B126,'июнь 2024'!$J$4:$J$1823,Q$1)</f>
        <v>0</v>
      </c>
      <c r="R126" s="80">
        <f>SUMIFS('июнь 2024'!$G$4:$G$1823,'июнь 2024'!$D$4:$D$1823,$B126,'июнь 2024'!$J$4:$J$1823,R$1)</f>
        <v>0</v>
      </c>
      <c r="S126" s="80">
        <f>SUMIFS('июнь 2024'!$G$4:$G$1823,'июнь 2024'!$D$4:$D$1823,$B126,'июнь 2024'!$J$4:$J$1823,S$1)</f>
        <v>0</v>
      </c>
      <c r="T126" s="80">
        <f>SUMIFS('июнь 2024'!$G$4:$G$1823,'июнь 2024'!$D$4:$D$1823,$B126,'июнь 2024'!$J$4:$J$1823,T$1)</f>
        <v>0</v>
      </c>
      <c r="U126" s="80">
        <f>SUMIFS('июнь 2024'!$G$4:$G$1823,'июнь 2024'!$D$4:$D$1823,$B126,'июнь 2024'!$J$4:$J$1823,U$1)</f>
        <v>0</v>
      </c>
      <c r="V126" s="80">
        <f>SUMIFS('июнь 2024'!$G$4:$G$1823,'июнь 2024'!$D$4:$D$1823,$B126,'июнь 2024'!$J$4:$J$1823,V$1)</f>
        <v>0</v>
      </c>
      <c r="W126" s="80">
        <f>SUMIFS('июнь 2024'!$G$4:$G$1823,'июнь 2024'!$D$4:$D$1823,$B126,'июнь 2024'!$J$4:$J$1823,W$1)</f>
        <v>0</v>
      </c>
      <c r="X126" s="80">
        <f>SUMIFS('июнь 2024'!$G$4:$G$1823,'июнь 2024'!$D$4:$D$1823,$B126,'июнь 2024'!$J$4:$J$1823,X$1)</f>
        <v>0</v>
      </c>
      <c r="Y126" s="80">
        <f>SUMIFS('июнь 2024'!$G$4:$G$1823,'июнь 2024'!$D$4:$D$1823,$B126,'июнь 2024'!$J$4:$J$1823,Y$1)</f>
        <v>0</v>
      </c>
      <c r="Z126" s="80">
        <f>SUMIFS('июнь 2024'!$G$4:$G$1823,'июнь 2024'!$D$4:$D$1823,$B126,'июнь 2024'!$J$4:$J$1823,Z$1)</f>
        <v>0</v>
      </c>
      <c r="AA126" s="80">
        <f>SUMIFS('июнь 2024'!$G$4:$G$1823,'июнь 2024'!$D$4:$D$1823,$B126,'июнь 2024'!$J$4:$J$1823,AA$1)</f>
        <v>0</v>
      </c>
      <c r="AB126" s="80">
        <f>SUMIFS('июнь 2024'!$G$4:$G$1823,'июнь 2024'!$D$4:$D$1823,$B126,'июнь 2024'!$J$4:$J$1823,AB$1)</f>
        <v>0</v>
      </c>
      <c r="AC126" s="80">
        <f>SUMIFS('июнь 2024'!$G$4:$G$1823,'июнь 2024'!$D$4:$D$1823,$B126,'июнь 2024'!$J$4:$J$1823,AC$1)</f>
        <v>0</v>
      </c>
      <c r="AD126" s="80">
        <f>SUMIFS('июнь 2024'!$G$4:$G$1823,'июнь 2024'!$D$4:$D$1823,$B126,'июнь 2024'!$J$4:$J$1823,AD$1)</f>
        <v>0</v>
      </c>
      <c r="AE126" s="80">
        <f>SUMIFS('июнь 2024'!$G$4:$G$1823,'июнь 2024'!$D$4:$D$1823,$B126,'июнь 2024'!$J$4:$J$1823,AE$1)</f>
        <v>0</v>
      </c>
      <c r="AF126" s="80">
        <f>SUMIFS('июнь 2024'!$G$4:$G$1823,'июнь 2024'!$D$4:$D$1823,$B126,'июнь 2024'!$J$4:$J$1823,AF$1)</f>
        <v>0</v>
      </c>
      <c r="AG126" s="80">
        <f>SUMIFS('июнь 2024'!$G$4:$G$1823,'июнь 2024'!$D$4:$D$1823,$B126,'июнь 2024'!$J$4:$J$1823,AG$1)</f>
        <v>0</v>
      </c>
      <c r="AH126" s="80">
        <f>SUMIFS('июнь 2024'!$G$4:$G$1823,'июнь 2024'!$D$4:$D$1823,$B126,'июнь 2024'!$J$4:$J$1823,AH$1)</f>
        <v>0</v>
      </c>
      <c r="AI126" s="21">
        <f t="shared" si="1"/>
        <v>0</v>
      </c>
    </row>
    <row r="127" spans="2:35" ht="15" customHeight="1" x14ac:dyDescent="0.25">
      <c r="B127" s="89" t="s">
        <v>343</v>
      </c>
      <c r="C127" s="91">
        <v>200</v>
      </c>
      <c r="D127" s="80">
        <f>SUMIFS('июнь 2024'!$G$4:$G$1823,'июнь 2024'!$D$4:$D$1823,$B127,'июнь 2024'!$J$4:$J$1823,D$1)</f>
        <v>0</v>
      </c>
      <c r="E127" s="80">
        <f>SUMIFS('июнь 2024'!$G$4:$G$1823,'июнь 2024'!$D$4:$D$1823,$B127,'июнь 2024'!$J$4:$J$1823,E$1)</f>
        <v>0</v>
      </c>
      <c r="F127" s="80">
        <f>SUMIFS('июнь 2024'!$G$4:$G$1823,'июнь 2024'!$D$4:$D$1823,$B127,'июнь 2024'!$J$4:$J$1823,F$1)</f>
        <v>0</v>
      </c>
      <c r="G127" s="80">
        <f>SUMIFS('июнь 2024'!$G$4:$G$1823,'июнь 2024'!$D$4:$D$1823,$B127,'июнь 2024'!$J$4:$J$1823,G$1)</f>
        <v>0</v>
      </c>
      <c r="H127" s="80">
        <f>SUMIFS('июнь 2024'!$G$4:$G$1823,'июнь 2024'!$D$4:$D$1823,$B127,'июнь 2024'!$J$4:$J$1823,H$1)</f>
        <v>0</v>
      </c>
      <c r="I127" s="80">
        <f>SUMIFS('июнь 2024'!$G$4:$G$1823,'июнь 2024'!$D$4:$D$1823,$B127,'июнь 2024'!$J$4:$J$1823,I$1)</f>
        <v>0</v>
      </c>
      <c r="J127" s="80">
        <f>SUMIFS('июнь 2024'!$G$4:$G$1823,'июнь 2024'!$D$4:$D$1823,$B127,'июнь 2024'!$J$4:$J$1823,J$1)</f>
        <v>0</v>
      </c>
      <c r="K127" s="80">
        <f>SUMIFS('июнь 2024'!$G$4:$G$1823,'июнь 2024'!$D$4:$D$1823,$B127,'июнь 2024'!$J$4:$J$1823,K$1)</f>
        <v>0</v>
      </c>
      <c r="L127" s="80">
        <f>SUMIFS('июнь 2024'!$G$4:$G$1823,'июнь 2024'!$D$4:$D$1823,$B127,'июнь 2024'!$J$4:$J$1823,L$1)</f>
        <v>0</v>
      </c>
      <c r="M127" s="80">
        <f>SUMIFS('июнь 2024'!$G$4:$G$1823,'июнь 2024'!$D$4:$D$1823,$B127,'июнь 2024'!$J$4:$J$1823,M$1)</f>
        <v>0</v>
      </c>
      <c r="N127" s="80">
        <f>SUMIFS('июнь 2024'!$G$4:$G$1823,'июнь 2024'!$D$4:$D$1823,$B127,'июнь 2024'!$J$4:$J$1823,N$1)</f>
        <v>0</v>
      </c>
      <c r="O127" s="80">
        <f>SUMIFS('июнь 2024'!$G$4:$G$1823,'июнь 2024'!$D$4:$D$1823,$B127,'июнь 2024'!$J$4:$J$1823,O$1)</f>
        <v>0</v>
      </c>
      <c r="P127" s="80">
        <f>SUMIFS('июнь 2024'!$G$4:$G$1823,'июнь 2024'!$D$4:$D$1823,$B127,'июнь 2024'!$J$4:$J$1823,P$1)</f>
        <v>0</v>
      </c>
      <c r="Q127" s="80">
        <f>SUMIFS('июнь 2024'!$G$4:$G$1823,'июнь 2024'!$D$4:$D$1823,$B127,'июнь 2024'!$J$4:$J$1823,Q$1)</f>
        <v>0</v>
      </c>
      <c r="R127" s="80">
        <f>SUMIFS('июнь 2024'!$G$4:$G$1823,'июнь 2024'!$D$4:$D$1823,$B127,'июнь 2024'!$J$4:$J$1823,R$1)</f>
        <v>0</v>
      </c>
      <c r="S127" s="80">
        <f>SUMIFS('июнь 2024'!$G$4:$G$1823,'июнь 2024'!$D$4:$D$1823,$B127,'июнь 2024'!$J$4:$J$1823,S$1)</f>
        <v>0</v>
      </c>
      <c r="T127" s="80">
        <f>SUMIFS('июнь 2024'!$G$4:$G$1823,'июнь 2024'!$D$4:$D$1823,$B127,'июнь 2024'!$J$4:$J$1823,T$1)</f>
        <v>0</v>
      </c>
      <c r="U127" s="80">
        <f>SUMIFS('июнь 2024'!$G$4:$G$1823,'июнь 2024'!$D$4:$D$1823,$B127,'июнь 2024'!$J$4:$J$1823,U$1)</f>
        <v>0</v>
      </c>
      <c r="V127" s="80">
        <f>SUMIFS('июнь 2024'!$G$4:$G$1823,'июнь 2024'!$D$4:$D$1823,$B127,'июнь 2024'!$J$4:$J$1823,V$1)</f>
        <v>0</v>
      </c>
      <c r="W127" s="80">
        <f>SUMIFS('июнь 2024'!$G$4:$G$1823,'июнь 2024'!$D$4:$D$1823,$B127,'июнь 2024'!$J$4:$J$1823,W$1)</f>
        <v>0</v>
      </c>
      <c r="X127" s="80">
        <f>SUMIFS('июнь 2024'!$G$4:$G$1823,'июнь 2024'!$D$4:$D$1823,$B127,'июнь 2024'!$J$4:$J$1823,X$1)</f>
        <v>0</v>
      </c>
      <c r="Y127" s="80">
        <f>SUMIFS('июнь 2024'!$G$4:$G$1823,'июнь 2024'!$D$4:$D$1823,$B127,'июнь 2024'!$J$4:$J$1823,Y$1)</f>
        <v>0</v>
      </c>
      <c r="Z127" s="80">
        <f>SUMIFS('июнь 2024'!$G$4:$G$1823,'июнь 2024'!$D$4:$D$1823,$B127,'июнь 2024'!$J$4:$J$1823,Z$1)</f>
        <v>0</v>
      </c>
      <c r="AA127" s="80">
        <f>SUMIFS('июнь 2024'!$G$4:$G$1823,'июнь 2024'!$D$4:$D$1823,$B127,'июнь 2024'!$J$4:$J$1823,AA$1)</f>
        <v>0</v>
      </c>
      <c r="AB127" s="80">
        <f>SUMIFS('июнь 2024'!$G$4:$G$1823,'июнь 2024'!$D$4:$D$1823,$B127,'июнь 2024'!$J$4:$J$1823,AB$1)</f>
        <v>0</v>
      </c>
      <c r="AC127" s="80">
        <f>SUMIFS('июнь 2024'!$G$4:$G$1823,'июнь 2024'!$D$4:$D$1823,$B127,'июнь 2024'!$J$4:$J$1823,AC$1)</f>
        <v>0</v>
      </c>
      <c r="AD127" s="80">
        <f>SUMIFS('июнь 2024'!$G$4:$G$1823,'июнь 2024'!$D$4:$D$1823,$B127,'июнь 2024'!$J$4:$J$1823,AD$1)</f>
        <v>0</v>
      </c>
      <c r="AE127" s="80">
        <f>SUMIFS('июнь 2024'!$G$4:$G$1823,'июнь 2024'!$D$4:$D$1823,$B127,'июнь 2024'!$J$4:$J$1823,AE$1)</f>
        <v>0</v>
      </c>
      <c r="AF127" s="80">
        <f>SUMIFS('июнь 2024'!$G$4:$G$1823,'июнь 2024'!$D$4:$D$1823,$B127,'июнь 2024'!$J$4:$J$1823,AF$1)</f>
        <v>0</v>
      </c>
      <c r="AG127" s="80">
        <f>SUMIFS('июнь 2024'!$G$4:$G$1823,'июнь 2024'!$D$4:$D$1823,$B127,'июнь 2024'!$J$4:$J$1823,AG$1)</f>
        <v>0</v>
      </c>
      <c r="AH127" s="80">
        <f>SUMIFS('июнь 2024'!$G$4:$G$1823,'июнь 2024'!$D$4:$D$1823,$B127,'июнь 2024'!$J$4:$J$1823,AH$1)</f>
        <v>0</v>
      </c>
      <c r="AI127" s="21">
        <f t="shared" si="1"/>
        <v>0</v>
      </c>
    </row>
    <row r="128" spans="2:35" ht="15" customHeight="1" x14ac:dyDescent="0.25">
      <c r="B128" s="89" t="s">
        <v>207</v>
      </c>
      <c r="C128" s="91">
        <v>180</v>
      </c>
      <c r="D128" s="80">
        <f>SUMIFS('июнь 2024'!$G$4:$G$1823,'июнь 2024'!$D$4:$D$1823,$B128,'июнь 2024'!$J$4:$J$1823,D$1)</f>
        <v>0</v>
      </c>
      <c r="E128" s="80">
        <f>SUMIFS('июнь 2024'!$G$4:$G$1823,'июнь 2024'!$D$4:$D$1823,$B128,'июнь 2024'!$J$4:$J$1823,E$1)</f>
        <v>0</v>
      </c>
      <c r="F128" s="80">
        <f>SUMIFS('июнь 2024'!$G$4:$G$1823,'июнь 2024'!$D$4:$D$1823,$B128,'июнь 2024'!$J$4:$J$1823,F$1)</f>
        <v>0</v>
      </c>
      <c r="G128" s="80">
        <f>SUMIFS('июнь 2024'!$G$4:$G$1823,'июнь 2024'!$D$4:$D$1823,$B128,'июнь 2024'!$J$4:$J$1823,G$1)</f>
        <v>0</v>
      </c>
      <c r="H128" s="80">
        <f>SUMIFS('июнь 2024'!$G$4:$G$1823,'июнь 2024'!$D$4:$D$1823,$B128,'июнь 2024'!$J$4:$J$1823,H$1)</f>
        <v>0</v>
      </c>
      <c r="I128" s="80">
        <f>SUMIFS('июнь 2024'!$G$4:$G$1823,'июнь 2024'!$D$4:$D$1823,$B128,'июнь 2024'!$J$4:$J$1823,I$1)</f>
        <v>0</v>
      </c>
      <c r="J128" s="80">
        <f>SUMIFS('июнь 2024'!$G$4:$G$1823,'июнь 2024'!$D$4:$D$1823,$B128,'июнь 2024'!$J$4:$J$1823,J$1)</f>
        <v>0</v>
      </c>
      <c r="K128" s="80">
        <f>SUMIFS('июнь 2024'!$G$4:$G$1823,'июнь 2024'!$D$4:$D$1823,$B128,'июнь 2024'!$J$4:$J$1823,K$1)</f>
        <v>0</v>
      </c>
      <c r="L128" s="80">
        <f>SUMIFS('июнь 2024'!$G$4:$G$1823,'июнь 2024'!$D$4:$D$1823,$B128,'июнь 2024'!$J$4:$J$1823,L$1)</f>
        <v>0</v>
      </c>
      <c r="M128" s="80">
        <f>SUMIFS('июнь 2024'!$G$4:$G$1823,'июнь 2024'!$D$4:$D$1823,$B128,'июнь 2024'!$J$4:$J$1823,M$1)</f>
        <v>0</v>
      </c>
      <c r="N128" s="80">
        <f>SUMIFS('июнь 2024'!$G$4:$G$1823,'июнь 2024'!$D$4:$D$1823,$B128,'июнь 2024'!$J$4:$J$1823,N$1)</f>
        <v>0</v>
      </c>
      <c r="O128" s="80">
        <f>SUMIFS('июнь 2024'!$G$4:$G$1823,'июнь 2024'!$D$4:$D$1823,$B128,'июнь 2024'!$J$4:$J$1823,O$1)</f>
        <v>0</v>
      </c>
      <c r="P128" s="80">
        <f>SUMIFS('июнь 2024'!$G$4:$G$1823,'июнь 2024'!$D$4:$D$1823,$B128,'июнь 2024'!$J$4:$J$1823,P$1)</f>
        <v>0</v>
      </c>
      <c r="Q128" s="80">
        <f>SUMIFS('июнь 2024'!$G$4:$G$1823,'июнь 2024'!$D$4:$D$1823,$B128,'июнь 2024'!$J$4:$J$1823,Q$1)</f>
        <v>0</v>
      </c>
      <c r="R128" s="80">
        <f>SUMIFS('июнь 2024'!$G$4:$G$1823,'июнь 2024'!$D$4:$D$1823,$B128,'июнь 2024'!$J$4:$J$1823,R$1)</f>
        <v>0</v>
      </c>
      <c r="S128" s="80">
        <f>SUMIFS('июнь 2024'!$G$4:$G$1823,'июнь 2024'!$D$4:$D$1823,$B128,'июнь 2024'!$J$4:$J$1823,S$1)</f>
        <v>0</v>
      </c>
      <c r="T128" s="80">
        <f>SUMIFS('июнь 2024'!$G$4:$G$1823,'июнь 2024'!$D$4:$D$1823,$B128,'июнь 2024'!$J$4:$J$1823,T$1)</f>
        <v>0</v>
      </c>
      <c r="U128" s="80">
        <f>SUMIFS('июнь 2024'!$G$4:$G$1823,'июнь 2024'!$D$4:$D$1823,$B128,'июнь 2024'!$J$4:$J$1823,U$1)</f>
        <v>0</v>
      </c>
      <c r="V128" s="80">
        <f>SUMIFS('июнь 2024'!$G$4:$G$1823,'июнь 2024'!$D$4:$D$1823,$B128,'июнь 2024'!$J$4:$J$1823,V$1)</f>
        <v>0</v>
      </c>
      <c r="W128" s="80">
        <f>SUMIFS('июнь 2024'!$G$4:$G$1823,'июнь 2024'!$D$4:$D$1823,$B128,'июнь 2024'!$J$4:$J$1823,W$1)</f>
        <v>0</v>
      </c>
      <c r="X128" s="80">
        <f>SUMIFS('июнь 2024'!$G$4:$G$1823,'июнь 2024'!$D$4:$D$1823,$B128,'июнь 2024'!$J$4:$J$1823,X$1)</f>
        <v>0</v>
      </c>
      <c r="Y128" s="80">
        <f>SUMIFS('июнь 2024'!$G$4:$G$1823,'июнь 2024'!$D$4:$D$1823,$B128,'июнь 2024'!$J$4:$J$1823,Y$1)</f>
        <v>0</v>
      </c>
      <c r="Z128" s="80">
        <f>SUMIFS('июнь 2024'!$G$4:$G$1823,'июнь 2024'!$D$4:$D$1823,$B128,'июнь 2024'!$J$4:$J$1823,Z$1)</f>
        <v>0</v>
      </c>
      <c r="AA128" s="80">
        <f>SUMIFS('июнь 2024'!$G$4:$G$1823,'июнь 2024'!$D$4:$D$1823,$B128,'июнь 2024'!$J$4:$J$1823,AA$1)</f>
        <v>0</v>
      </c>
      <c r="AB128" s="80">
        <f>SUMIFS('июнь 2024'!$G$4:$G$1823,'июнь 2024'!$D$4:$D$1823,$B128,'июнь 2024'!$J$4:$J$1823,AB$1)</f>
        <v>0</v>
      </c>
      <c r="AC128" s="80">
        <f>SUMIFS('июнь 2024'!$G$4:$G$1823,'июнь 2024'!$D$4:$D$1823,$B128,'июнь 2024'!$J$4:$J$1823,AC$1)</f>
        <v>0</v>
      </c>
      <c r="AD128" s="80">
        <f>SUMIFS('июнь 2024'!$G$4:$G$1823,'июнь 2024'!$D$4:$D$1823,$B128,'июнь 2024'!$J$4:$J$1823,AD$1)</f>
        <v>0</v>
      </c>
      <c r="AE128" s="80">
        <f>SUMIFS('июнь 2024'!$G$4:$G$1823,'июнь 2024'!$D$4:$D$1823,$B128,'июнь 2024'!$J$4:$J$1823,AE$1)</f>
        <v>0</v>
      </c>
      <c r="AF128" s="80">
        <f>SUMIFS('июнь 2024'!$G$4:$G$1823,'июнь 2024'!$D$4:$D$1823,$B128,'июнь 2024'!$J$4:$J$1823,AF$1)</f>
        <v>0</v>
      </c>
      <c r="AG128" s="80">
        <f>SUMIFS('июнь 2024'!$G$4:$G$1823,'июнь 2024'!$D$4:$D$1823,$B128,'июнь 2024'!$J$4:$J$1823,AG$1)</f>
        <v>0</v>
      </c>
      <c r="AH128" s="80">
        <f>SUMIFS('июнь 2024'!$G$4:$G$1823,'июнь 2024'!$D$4:$D$1823,$B128,'июнь 2024'!$J$4:$J$1823,AH$1)</f>
        <v>0</v>
      </c>
      <c r="AI128" s="21">
        <f t="shared" si="1"/>
        <v>0</v>
      </c>
    </row>
    <row r="129" spans="2:35" ht="15" customHeight="1" x14ac:dyDescent="0.25">
      <c r="B129" s="93" t="s">
        <v>621</v>
      </c>
      <c r="C129" s="91">
        <v>180</v>
      </c>
      <c r="D129" s="80">
        <f>SUMIFS('июнь 2024'!$G$4:$G$1823,'июнь 2024'!$D$4:$D$1823,$B129,'июнь 2024'!$J$4:$J$1823,D$1)</f>
        <v>0</v>
      </c>
      <c r="E129" s="80">
        <f>SUMIFS('июнь 2024'!$G$4:$G$1823,'июнь 2024'!$D$4:$D$1823,$B129,'июнь 2024'!$J$4:$J$1823,E$1)</f>
        <v>0</v>
      </c>
      <c r="F129" s="80">
        <f>SUMIFS('июнь 2024'!$G$4:$G$1823,'июнь 2024'!$D$4:$D$1823,$B129,'июнь 2024'!$J$4:$J$1823,F$1)</f>
        <v>0</v>
      </c>
      <c r="G129" s="80">
        <f>SUMIFS('июнь 2024'!$G$4:$G$1823,'июнь 2024'!$D$4:$D$1823,$B129,'июнь 2024'!$J$4:$J$1823,G$1)</f>
        <v>0</v>
      </c>
      <c r="H129" s="80">
        <f>SUMIFS('июнь 2024'!$G$4:$G$1823,'июнь 2024'!$D$4:$D$1823,$B129,'июнь 2024'!$J$4:$J$1823,H$1)</f>
        <v>0</v>
      </c>
      <c r="I129" s="80">
        <f>SUMIFS('июнь 2024'!$G$4:$G$1823,'июнь 2024'!$D$4:$D$1823,$B129,'июнь 2024'!$J$4:$J$1823,I$1)</f>
        <v>0</v>
      </c>
      <c r="J129" s="80">
        <f>SUMIFS('июнь 2024'!$G$4:$G$1823,'июнь 2024'!$D$4:$D$1823,$B129,'июнь 2024'!$J$4:$J$1823,J$1)</f>
        <v>0</v>
      </c>
      <c r="K129" s="80">
        <f>SUMIFS('июнь 2024'!$G$4:$G$1823,'июнь 2024'!$D$4:$D$1823,$B129,'июнь 2024'!$J$4:$J$1823,K$1)</f>
        <v>0</v>
      </c>
      <c r="L129" s="80">
        <f>SUMIFS('июнь 2024'!$G$4:$G$1823,'июнь 2024'!$D$4:$D$1823,$B129,'июнь 2024'!$J$4:$J$1823,L$1)</f>
        <v>0</v>
      </c>
      <c r="M129" s="80">
        <f>SUMIFS('июнь 2024'!$G$4:$G$1823,'июнь 2024'!$D$4:$D$1823,$B129,'июнь 2024'!$J$4:$J$1823,M$1)</f>
        <v>0</v>
      </c>
      <c r="N129" s="80">
        <f>SUMIFS('июнь 2024'!$G$4:$G$1823,'июнь 2024'!$D$4:$D$1823,$B129,'июнь 2024'!$J$4:$J$1823,N$1)</f>
        <v>0</v>
      </c>
      <c r="O129" s="80">
        <f>SUMIFS('июнь 2024'!$G$4:$G$1823,'июнь 2024'!$D$4:$D$1823,$B129,'июнь 2024'!$J$4:$J$1823,O$1)</f>
        <v>0</v>
      </c>
      <c r="P129" s="80">
        <f>SUMIFS('июнь 2024'!$G$4:$G$1823,'июнь 2024'!$D$4:$D$1823,$B129,'июнь 2024'!$J$4:$J$1823,P$1)</f>
        <v>0</v>
      </c>
      <c r="Q129" s="80">
        <f>SUMIFS('июнь 2024'!$G$4:$G$1823,'июнь 2024'!$D$4:$D$1823,$B129,'июнь 2024'!$J$4:$J$1823,Q$1)</f>
        <v>0</v>
      </c>
      <c r="R129" s="80">
        <f>SUMIFS('июнь 2024'!$G$4:$G$1823,'июнь 2024'!$D$4:$D$1823,$B129,'июнь 2024'!$J$4:$J$1823,R$1)</f>
        <v>0</v>
      </c>
      <c r="S129" s="80">
        <f>SUMIFS('июнь 2024'!$G$4:$G$1823,'июнь 2024'!$D$4:$D$1823,$B129,'июнь 2024'!$J$4:$J$1823,S$1)</f>
        <v>0</v>
      </c>
      <c r="T129" s="80">
        <f>SUMIFS('июнь 2024'!$G$4:$G$1823,'июнь 2024'!$D$4:$D$1823,$B129,'июнь 2024'!$J$4:$J$1823,T$1)</f>
        <v>0</v>
      </c>
      <c r="U129" s="80">
        <f>SUMIFS('июнь 2024'!$G$4:$G$1823,'июнь 2024'!$D$4:$D$1823,$B129,'июнь 2024'!$J$4:$J$1823,U$1)</f>
        <v>0</v>
      </c>
      <c r="V129" s="80">
        <f>SUMIFS('июнь 2024'!$G$4:$G$1823,'июнь 2024'!$D$4:$D$1823,$B129,'июнь 2024'!$J$4:$J$1823,V$1)</f>
        <v>0</v>
      </c>
      <c r="W129" s="80">
        <f>SUMIFS('июнь 2024'!$G$4:$G$1823,'июнь 2024'!$D$4:$D$1823,$B129,'июнь 2024'!$J$4:$J$1823,W$1)</f>
        <v>0</v>
      </c>
      <c r="X129" s="80">
        <f>SUMIFS('июнь 2024'!$G$4:$G$1823,'июнь 2024'!$D$4:$D$1823,$B129,'июнь 2024'!$J$4:$J$1823,X$1)</f>
        <v>0</v>
      </c>
      <c r="Y129" s="80">
        <f>SUMIFS('июнь 2024'!$G$4:$G$1823,'июнь 2024'!$D$4:$D$1823,$B129,'июнь 2024'!$J$4:$J$1823,Y$1)</f>
        <v>0</v>
      </c>
      <c r="Z129" s="80">
        <f>SUMIFS('июнь 2024'!$G$4:$G$1823,'июнь 2024'!$D$4:$D$1823,$B129,'июнь 2024'!$J$4:$J$1823,Z$1)</f>
        <v>0</v>
      </c>
      <c r="AA129" s="80">
        <f>SUMIFS('июнь 2024'!$G$4:$G$1823,'июнь 2024'!$D$4:$D$1823,$B129,'июнь 2024'!$J$4:$J$1823,AA$1)</f>
        <v>0</v>
      </c>
      <c r="AB129" s="80">
        <f>SUMIFS('июнь 2024'!$G$4:$G$1823,'июнь 2024'!$D$4:$D$1823,$B129,'июнь 2024'!$J$4:$J$1823,AB$1)</f>
        <v>0</v>
      </c>
      <c r="AC129" s="80">
        <f>SUMIFS('июнь 2024'!$G$4:$G$1823,'июнь 2024'!$D$4:$D$1823,$B129,'июнь 2024'!$J$4:$J$1823,AC$1)</f>
        <v>0</v>
      </c>
      <c r="AD129" s="80">
        <f>SUMIFS('июнь 2024'!$G$4:$G$1823,'июнь 2024'!$D$4:$D$1823,$B129,'июнь 2024'!$J$4:$J$1823,AD$1)</f>
        <v>0</v>
      </c>
      <c r="AE129" s="80">
        <f>SUMIFS('июнь 2024'!$G$4:$G$1823,'июнь 2024'!$D$4:$D$1823,$B129,'июнь 2024'!$J$4:$J$1823,AE$1)</f>
        <v>0</v>
      </c>
      <c r="AF129" s="80">
        <f>SUMIFS('июнь 2024'!$G$4:$G$1823,'июнь 2024'!$D$4:$D$1823,$B129,'июнь 2024'!$J$4:$J$1823,AF$1)</f>
        <v>0</v>
      </c>
      <c r="AG129" s="80">
        <f>SUMIFS('июнь 2024'!$G$4:$G$1823,'июнь 2024'!$D$4:$D$1823,$B129,'июнь 2024'!$J$4:$J$1823,AG$1)</f>
        <v>0</v>
      </c>
      <c r="AH129" s="80">
        <f>SUMIFS('июнь 2024'!$G$4:$G$1823,'июнь 2024'!$D$4:$D$1823,$B129,'июнь 2024'!$J$4:$J$1823,AH$1)</f>
        <v>0</v>
      </c>
      <c r="AI129" s="21">
        <f t="shared" si="1"/>
        <v>0</v>
      </c>
    </row>
    <row r="130" spans="2:35" ht="15" customHeight="1" x14ac:dyDescent="0.25">
      <c r="B130" s="93" t="s">
        <v>191</v>
      </c>
      <c r="C130" s="91">
        <v>190</v>
      </c>
      <c r="D130" s="80">
        <f>SUMIFS('июнь 2024'!$G$4:$G$1823,'июнь 2024'!$D$4:$D$1823,$B130,'июнь 2024'!$J$4:$J$1823,D$1)</f>
        <v>0</v>
      </c>
      <c r="E130" s="80">
        <f>SUMIFS('июнь 2024'!$G$4:$G$1823,'июнь 2024'!$D$4:$D$1823,$B130,'июнь 2024'!$J$4:$J$1823,E$1)</f>
        <v>0</v>
      </c>
      <c r="F130" s="80">
        <f>SUMIFS('июнь 2024'!$G$4:$G$1823,'июнь 2024'!$D$4:$D$1823,$B130,'июнь 2024'!$J$4:$J$1823,F$1)</f>
        <v>0</v>
      </c>
      <c r="G130" s="80">
        <f>SUMIFS('июнь 2024'!$G$4:$G$1823,'июнь 2024'!$D$4:$D$1823,$B130,'июнь 2024'!$J$4:$J$1823,G$1)</f>
        <v>0</v>
      </c>
      <c r="H130" s="80">
        <f>SUMIFS('июнь 2024'!$G$4:$G$1823,'июнь 2024'!$D$4:$D$1823,$B130,'июнь 2024'!$J$4:$J$1823,H$1)</f>
        <v>0</v>
      </c>
      <c r="I130" s="80">
        <f>SUMIFS('июнь 2024'!$G$4:$G$1823,'июнь 2024'!$D$4:$D$1823,$B130,'июнь 2024'!$J$4:$J$1823,I$1)</f>
        <v>0</v>
      </c>
      <c r="J130" s="80">
        <f>SUMIFS('июнь 2024'!$G$4:$G$1823,'июнь 2024'!$D$4:$D$1823,$B130,'июнь 2024'!$J$4:$J$1823,J$1)</f>
        <v>0</v>
      </c>
      <c r="K130" s="80">
        <f>SUMIFS('июнь 2024'!$G$4:$G$1823,'июнь 2024'!$D$4:$D$1823,$B130,'июнь 2024'!$J$4:$J$1823,K$1)</f>
        <v>0</v>
      </c>
      <c r="L130" s="80">
        <f>SUMIFS('июнь 2024'!$G$4:$G$1823,'июнь 2024'!$D$4:$D$1823,$B130,'июнь 2024'!$J$4:$J$1823,L$1)</f>
        <v>0</v>
      </c>
      <c r="M130" s="80">
        <f>SUMIFS('июнь 2024'!$G$4:$G$1823,'июнь 2024'!$D$4:$D$1823,$B130,'июнь 2024'!$J$4:$J$1823,M$1)</f>
        <v>0</v>
      </c>
      <c r="N130" s="80">
        <f>SUMIFS('июнь 2024'!$G$4:$G$1823,'июнь 2024'!$D$4:$D$1823,$B130,'июнь 2024'!$J$4:$J$1823,N$1)</f>
        <v>0</v>
      </c>
      <c r="O130" s="80">
        <f>SUMIFS('июнь 2024'!$G$4:$G$1823,'июнь 2024'!$D$4:$D$1823,$B130,'июнь 2024'!$J$4:$J$1823,O$1)</f>
        <v>0</v>
      </c>
      <c r="P130" s="80">
        <f>SUMIFS('июнь 2024'!$G$4:$G$1823,'июнь 2024'!$D$4:$D$1823,$B130,'июнь 2024'!$J$4:$J$1823,P$1)</f>
        <v>0</v>
      </c>
      <c r="Q130" s="80">
        <f>SUMIFS('июнь 2024'!$G$4:$G$1823,'июнь 2024'!$D$4:$D$1823,$B130,'июнь 2024'!$J$4:$J$1823,Q$1)</f>
        <v>0</v>
      </c>
      <c r="R130" s="80">
        <f>SUMIFS('июнь 2024'!$G$4:$G$1823,'июнь 2024'!$D$4:$D$1823,$B130,'июнь 2024'!$J$4:$J$1823,R$1)</f>
        <v>0</v>
      </c>
      <c r="S130" s="80">
        <f>SUMIFS('июнь 2024'!$G$4:$G$1823,'июнь 2024'!$D$4:$D$1823,$B130,'июнь 2024'!$J$4:$J$1823,S$1)</f>
        <v>0</v>
      </c>
      <c r="T130" s="80">
        <f>SUMIFS('июнь 2024'!$G$4:$G$1823,'июнь 2024'!$D$4:$D$1823,$B130,'июнь 2024'!$J$4:$J$1823,T$1)</f>
        <v>0</v>
      </c>
      <c r="U130" s="80">
        <f>SUMIFS('июнь 2024'!$G$4:$G$1823,'июнь 2024'!$D$4:$D$1823,$B130,'июнь 2024'!$J$4:$J$1823,U$1)</f>
        <v>0</v>
      </c>
      <c r="V130" s="80">
        <f>SUMIFS('июнь 2024'!$G$4:$G$1823,'июнь 2024'!$D$4:$D$1823,$B130,'июнь 2024'!$J$4:$J$1823,V$1)</f>
        <v>0</v>
      </c>
      <c r="W130" s="80">
        <f>SUMIFS('июнь 2024'!$G$4:$G$1823,'июнь 2024'!$D$4:$D$1823,$B130,'июнь 2024'!$J$4:$J$1823,W$1)</f>
        <v>0</v>
      </c>
      <c r="X130" s="80">
        <f>SUMIFS('июнь 2024'!$G$4:$G$1823,'июнь 2024'!$D$4:$D$1823,$B130,'июнь 2024'!$J$4:$J$1823,X$1)</f>
        <v>0</v>
      </c>
      <c r="Y130" s="80">
        <f>SUMIFS('июнь 2024'!$G$4:$G$1823,'июнь 2024'!$D$4:$D$1823,$B130,'июнь 2024'!$J$4:$J$1823,Y$1)</f>
        <v>0</v>
      </c>
      <c r="Z130" s="80">
        <f>SUMIFS('июнь 2024'!$G$4:$G$1823,'июнь 2024'!$D$4:$D$1823,$B130,'июнь 2024'!$J$4:$J$1823,Z$1)</f>
        <v>0</v>
      </c>
      <c r="AA130" s="80">
        <f>SUMIFS('июнь 2024'!$G$4:$G$1823,'июнь 2024'!$D$4:$D$1823,$B130,'июнь 2024'!$J$4:$J$1823,AA$1)</f>
        <v>0</v>
      </c>
      <c r="AB130" s="80">
        <f>SUMIFS('июнь 2024'!$G$4:$G$1823,'июнь 2024'!$D$4:$D$1823,$B130,'июнь 2024'!$J$4:$J$1823,AB$1)</f>
        <v>0</v>
      </c>
      <c r="AC130" s="80">
        <f>SUMIFS('июнь 2024'!$G$4:$G$1823,'июнь 2024'!$D$4:$D$1823,$B130,'июнь 2024'!$J$4:$J$1823,AC$1)</f>
        <v>0</v>
      </c>
      <c r="AD130" s="80">
        <f>SUMIFS('июнь 2024'!$G$4:$G$1823,'июнь 2024'!$D$4:$D$1823,$B130,'июнь 2024'!$J$4:$J$1823,AD$1)</f>
        <v>0</v>
      </c>
      <c r="AE130" s="80">
        <f>SUMIFS('июнь 2024'!$G$4:$G$1823,'июнь 2024'!$D$4:$D$1823,$B130,'июнь 2024'!$J$4:$J$1823,AE$1)</f>
        <v>0</v>
      </c>
      <c r="AF130" s="80">
        <f>SUMIFS('июнь 2024'!$G$4:$G$1823,'июнь 2024'!$D$4:$D$1823,$B130,'июнь 2024'!$J$4:$J$1823,AF$1)</f>
        <v>0</v>
      </c>
      <c r="AG130" s="80">
        <f>SUMIFS('июнь 2024'!$G$4:$G$1823,'июнь 2024'!$D$4:$D$1823,$B130,'июнь 2024'!$J$4:$J$1823,AG$1)</f>
        <v>0</v>
      </c>
      <c r="AH130" s="80">
        <f>SUMIFS('июнь 2024'!$G$4:$G$1823,'июнь 2024'!$D$4:$D$1823,$B130,'июнь 2024'!$J$4:$J$1823,AH$1)</f>
        <v>0</v>
      </c>
      <c r="AI130" s="21">
        <f t="shared" si="1"/>
        <v>0</v>
      </c>
    </row>
    <row r="131" spans="2:35" ht="15" customHeight="1" x14ac:dyDescent="0.25">
      <c r="B131" s="93" t="s">
        <v>334</v>
      </c>
      <c r="C131" s="91">
        <v>190</v>
      </c>
      <c r="D131" s="80">
        <f>SUMIFS('июнь 2024'!$G$4:$G$1823,'июнь 2024'!$D$4:$D$1823,$B131,'июнь 2024'!$J$4:$J$1823,D$1)</f>
        <v>0</v>
      </c>
      <c r="E131" s="80">
        <f>SUMIFS('июнь 2024'!$G$4:$G$1823,'июнь 2024'!$D$4:$D$1823,$B131,'июнь 2024'!$J$4:$J$1823,E$1)</f>
        <v>0</v>
      </c>
      <c r="F131" s="80">
        <f>SUMIFS('июнь 2024'!$G$4:$G$1823,'июнь 2024'!$D$4:$D$1823,$B131,'июнь 2024'!$J$4:$J$1823,F$1)</f>
        <v>0</v>
      </c>
      <c r="G131" s="80">
        <f>SUMIFS('июнь 2024'!$G$4:$G$1823,'июнь 2024'!$D$4:$D$1823,$B131,'июнь 2024'!$J$4:$J$1823,G$1)</f>
        <v>0</v>
      </c>
      <c r="H131" s="80">
        <f>SUMIFS('июнь 2024'!$G$4:$G$1823,'июнь 2024'!$D$4:$D$1823,$B131,'июнь 2024'!$J$4:$J$1823,H$1)</f>
        <v>0</v>
      </c>
      <c r="I131" s="80">
        <f>SUMIFS('июнь 2024'!$G$4:$G$1823,'июнь 2024'!$D$4:$D$1823,$B131,'июнь 2024'!$J$4:$J$1823,I$1)</f>
        <v>0</v>
      </c>
      <c r="J131" s="80">
        <f>SUMIFS('июнь 2024'!$G$4:$G$1823,'июнь 2024'!$D$4:$D$1823,$B131,'июнь 2024'!$J$4:$J$1823,J$1)</f>
        <v>0</v>
      </c>
      <c r="K131" s="80">
        <f>SUMIFS('июнь 2024'!$G$4:$G$1823,'июнь 2024'!$D$4:$D$1823,$B131,'июнь 2024'!$J$4:$J$1823,K$1)</f>
        <v>0</v>
      </c>
      <c r="L131" s="80">
        <f>SUMIFS('июнь 2024'!$G$4:$G$1823,'июнь 2024'!$D$4:$D$1823,$B131,'июнь 2024'!$J$4:$J$1823,L$1)</f>
        <v>0</v>
      </c>
      <c r="M131" s="80">
        <f>SUMIFS('июнь 2024'!$G$4:$G$1823,'июнь 2024'!$D$4:$D$1823,$B131,'июнь 2024'!$J$4:$J$1823,M$1)</f>
        <v>0</v>
      </c>
      <c r="N131" s="80">
        <f>SUMIFS('июнь 2024'!$G$4:$G$1823,'июнь 2024'!$D$4:$D$1823,$B131,'июнь 2024'!$J$4:$J$1823,N$1)</f>
        <v>0</v>
      </c>
      <c r="O131" s="80">
        <f>SUMIFS('июнь 2024'!$G$4:$G$1823,'июнь 2024'!$D$4:$D$1823,$B131,'июнь 2024'!$J$4:$J$1823,O$1)</f>
        <v>0</v>
      </c>
      <c r="P131" s="80">
        <f>SUMIFS('июнь 2024'!$G$4:$G$1823,'июнь 2024'!$D$4:$D$1823,$B131,'июнь 2024'!$J$4:$J$1823,P$1)</f>
        <v>0</v>
      </c>
      <c r="Q131" s="80">
        <f>SUMIFS('июнь 2024'!$G$4:$G$1823,'июнь 2024'!$D$4:$D$1823,$B131,'июнь 2024'!$J$4:$J$1823,Q$1)</f>
        <v>0</v>
      </c>
      <c r="R131" s="80">
        <f>SUMIFS('июнь 2024'!$G$4:$G$1823,'июнь 2024'!$D$4:$D$1823,$B131,'июнь 2024'!$J$4:$J$1823,R$1)</f>
        <v>0</v>
      </c>
      <c r="S131" s="80">
        <f>SUMIFS('июнь 2024'!$G$4:$G$1823,'июнь 2024'!$D$4:$D$1823,$B131,'июнь 2024'!$J$4:$J$1823,S$1)</f>
        <v>0</v>
      </c>
      <c r="T131" s="80">
        <f>SUMIFS('июнь 2024'!$G$4:$G$1823,'июнь 2024'!$D$4:$D$1823,$B131,'июнь 2024'!$J$4:$J$1823,T$1)</f>
        <v>0</v>
      </c>
      <c r="U131" s="80">
        <f>SUMIFS('июнь 2024'!$G$4:$G$1823,'июнь 2024'!$D$4:$D$1823,$B131,'июнь 2024'!$J$4:$J$1823,U$1)</f>
        <v>0</v>
      </c>
      <c r="V131" s="80">
        <f>SUMIFS('июнь 2024'!$G$4:$G$1823,'июнь 2024'!$D$4:$D$1823,$B131,'июнь 2024'!$J$4:$J$1823,V$1)</f>
        <v>0</v>
      </c>
      <c r="W131" s="80">
        <f>SUMIFS('июнь 2024'!$G$4:$G$1823,'июнь 2024'!$D$4:$D$1823,$B131,'июнь 2024'!$J$4:$J$1823,W$1)</f>
        <v>0</v>
      </c>
      <c r="X131" s="80">
        <f>SUMIFS('июнь 2024'!$G$4:$G$1823,'июнь 2024'!$D$4:$D$1823,$B131,'июнь 2024'!$J$4:$J$1823,X$1)</f>
        <v>0</v>
      </c>
      <c r="Y131" s="80">
        <f>SUMIFS('июнь 2024'!$G$4:$G$1823,'июнь 2024'!$D$4:$D$1823,$B131,'июнь 2024'!$J$4:$J$1823,Y$1)</f>
        <v>0</v>
      </c>
      <c r="Z131" s="80">
        <f>SUMIFS('июнь 2024'!$G$4:$G$1823,'июнь 2024'!$D$4:$D$1823,$B131,'июнь 2024'!$J$4:$J$1823,Z$1)</f>
        <v>0</v>
      </c>
      <c r="AA131" s="80">
        <f>SUMIFS('июнь 2024'!$G$4:$G$1823,'июнь 2024'!$D$4:$D$1823,$B131,'июнь 2024'!$J$4:$J$1823,AA$1)</f>
        <v>0</v>
      </c>
      <c r="AB131" s="80">
        <f>SUMIFS('июнь 2024'!$G$4:$G$1823,'июнь 2024'!$D$4:$D$1823,$B131,'июнь 2024'!$J$4:$J$1823,AB$1)</f>
        <v>0</v>
      </c>
      <c r="AC131" s="80">
        <f>SUMIFS('июнь 2024'!$G$4:$G$1823,'июнь 2024'!$D$4:$D$1823,$B131,'июнь 2024'!$J$4:$J$1823,AC$1)</f>
        <v>0</v>
      </c>
      <c r="AD131" s="80">
        <f>SUMIFS('июнь 2024'!$G$4:$G$1823,'июнь 2024'!$D$4:$D$1823,$B131,'июнь 2024'!$J$4:$J$1823,AD$1)</f>
        <v>0</v>
      </c>
      <c r="AE131" s="80">
        <f>SUMIFS('июнь 2024'!$G$4:$G$1823,'июнь 2024'!$D$4:$D$1823,$B131,'июнь 2024'!$J$4:$J$1823,AE$1)</f>
        <v>0</v>
      </c>
      <c r="AF131" s="80">
        <f>SUMIFS('июнь 2024'!$G$4:$G$1823,'июнь 2024'!$D$4:$D$1823,$B131,'июнь 2024'!$J$4:$J$1823,AF$1)</f>
        <v>0</v>
      </c>
      <c r="AG131" s="80">
        <f>SUMIFS('июнь 2024'!$G$4:$G$1823,'июнь 2024'!$D$4:$D$1823,$B131,'июнь 2024'!$J$4:$J$1823,AG$1)</f>
        <v>0</v>
      </c>
      <c r="AH131" s="80">
        <f>SUMIFS('июнь 2024'!$G$4:$G$1823,'июнь 2024'!$D$4:$D$1823,$B131,'июнь 2024'!$J$4:$J$1823,AH$1)</f>
        <v>0</v>
      </c>
      <c r="AI131" s="21">
        <f t="shared" si="1"/>
        <v>0</v>
      </c>
    </row>
    <row r="132" spans="2:35" ht="16.899999999999999" customHeight="1" x14ac:dyDescent="0.25">
      <c r="B132" s="89" t="s">
        <v>335</v>
      </c>
      <c r="C132" s="88">
        <v>200</v>
      </c>
      <c r="D132" s="80">
        <f>SUMIFS('июнь 2024'!$G$4:$G$1823,'июнь 2024'!$D$4:$D$1823,$B132,'июнь 2024'!$J$4:$J$1823,D$1)</f>
        <v>0</v>
      </c>
      <c r="E132" s="80">
        <f>SUMIFS('июнь 2024'!$G$4:$G$1823,'июнь 2024'!$D$4:$D$1823,$B132,'июнь 2024'!$J$4:$J$1823,E$1)</f>
        <v>0</v>
      </c>
      <c r="F132" s="80">
        <f>SUMIFS('июнь 2024'!$G$4:$G$1823,'июнь 2024'!$D$4:$D$1823,$B132,'июнь 2024'!$J$4:$J$1823,F$1)</f>
        <v>0</v>
      </c>
      <c r="G132" s="80">
        <f>SUMIFS('июнь 2024'!$G$4:$G$1823,'июнь 2024'!$D$4:$D$1823,$B132,'июнь 2024'!$J$4:$J$1823,G$1)</f>
        <v>0</v>
      </c>
      <c r="H132" s="80">
        <f>SUMIFS('июнь 2024'!$G$4:$G$1823,'июнь 2024'!$D$4:$D$1823,$B132,'июнь 2024'!$J$4:$J$1823,H$1)</f>
        <v>0</v>
      </c>
      <c r="I132" s="80">
        <f>SUMIFS('июнь 2024'!$G$4:$G$1823,'июнь 2024'!$D$4:$D$1823,$B132,'июнь 2024'!$J$4:$J$1823,I$1)</f>
        <v>0</v>
      </c>
      <c r="J132" s="80">
        <f>SUMIFS('июнь 2024'!$G$4:$G$1823,'июнь 2024'!$D$4:$D$1823,$B132,'июнь 2024'!$J$4:$J$1823,J$1)</f>
        <v>0</v>
      </c>
      <c r="K132" s="80">
        <f>SUMIFS('июнь 2024'!$G$4:$G$1823,'июнь 2024'!$D$4:$D$1823,$B132,'июнь 2024'!$J$4:$J$1823,K$1)</f>
        <v>0</v>
      </c>
      <c r="L132" s="80">
        <f>SUMIFS('июнь 2024'!$G$4:$G$1823,'июнь 2024'!$D$4:$D$1823,$B132,'июнь 2024'!$J$4:$J$1823,L$1)</f>
        <v>0</v>
      </c>
      <c r="M132" s="80">
        <f>SUMIFS('июнь 2024'!$G$4:$G$1823,'июнь 2024'!$D$4:$D$1823,$B132,'июнь 2024'!$J$4:$J$1823,M$1)</f>
        <v>0</v>
      </c>
      <c r="N132" s="80">
        <f>SUMIFS('июнь 2024'!$G$4:$G$1823,'июнь 2024'!$D$4:$D$1823,$B132,'июнь 2024'!$J$4:$J$1823,N$1)</f>
        <v>0</v>
      </c>
      <c r="O132" s="80">
        <f>SUMIFS('июнь 2024'!$G$4:$G$1823,'июнь 2024'!$D$4:$D$1823,$B132,'июнь 2024'!$J$4:$J$1823,O$1)</f>
        <v>0</v>
      </c>
      <c r="P132" s="80">
        <f>SUMIFS('июнь 2024'!$G$4:$G$1823,'июнь 2024'!$D$4:$D$1823,$B132,'июнь 2024'!$J$4:$J$1823,P$1)</f>
        <v>0</v>
      </c>
      <c r="Q132" s="80">
        <f>SUMIFS('июнь 2024'!$G$4:$G$1823,'июнь 2024'!$D$4:$D$1823,$B132,'июнь 2024'!$J$4:$J$1823,Q$1)</f>
        <v>0</v>
      </c>
      <c r="R132" s="80">
        <f>SUMIFS('июнь 2024'!$G$4:$G$1823,'июнь 2024'!$D$4:$D$1823,$B132,'июнь 2024'!$J$4:$J$1823,R$1)</f>
        <v>0</v>
      </c>
      <c r="S132" s="80">
        <f>SUMIFS('июнь 2024'!$G$4:$G$1823,'июнь 2024'!$D$4:$D$1823,$B132,'июнь 2024'!$J$4:$J$1823,S$1)</f>
        <v>0</v>
      </c>
      <c r="T132" s="80">
        <f>SUMIFS('июнь 2024'!$G$4:$G$1823,'июнь 2024'!$D$4:$D$1823,$B132,'июнь 2024'!$J$4:$J$1823,T$1)</f>
        <v>0</v>
      </c>
      <c r="U132" s="80">
        <f>SUMIFS('июнь 2024'!$G$4:$G$1823,'июнь 2024'!$D$4:$D$1823,$B132,'июнь 2024'!$J$4:$J$1823,U$1)</f>
        <v>0</v>
      </c>
      <c r="V132" s="80">
        <f>SUMIFS('июнь 2024'!$G$4:$G$1823,'июнь 2024'!$D$4:$D$1823,$B132,'июнь 2024'!$J$4:$J$1823,V$1)</f>
        <v>0</v>
      </c>
      <c r="W132" s="80">
        <f>SUMIFS('июнь 2024'!$G$4:$G$1823,'июнь 2024'!$D$4:$D$1823,$B132,'июнь 2024'!$J$4:$J$1823,W$1)</f>
        <v>0</v>
      </c>
      <c r="X132" s="80">
        <f>SUMIFS('июнь 2024'!$G$4:$G$1823,'июнь 2024'!$D$4:$D$1823,$B132,'июнь 2024'!$J$4:$J$1823,X$1)</f>
        <v>0</v>
      </c>
      <c r="Y132" s="80">
        <f>SUMIFS('июнь 2024'!$G$4:$G$1823,'июнь 2024'!$D$4:$D$1823,$B132,'июнь 2024'!$J$4:$J$1823,Y$1)</f>
        <v>0</v>
      </c>
      <c r="Z132" s="80">
        <f>SUMIFS('июнь 2024'!$G$4:$G$1823,'июнь 2024'!$D$4:$D$1823,$B132,'июнь 2024'!$J$4:$J$1823,Z$1)</f>
        <v>0</v>
      </c>
      <c r="AA132" s="80">
        <f>SUMIFS('июнь 2024'!$G$4:$G$1823,'июнь 2024'!$D$4:$D$1823,$B132,'июнь 2024'!$J$4:$J$1823,AA$1)</f>
        <v>0</v>
      </c>
      <c r="AB132" s="80">
        <f>SUMIFS('июнь 2024'!$G$4:$G$1823,'июнь 2024'!$D$4:$D$1823,$B132,'июнь 2024'!$J$4:$J$1823,AB$1)</f>
        <v>0</v>
      </c>
      <c r="AC132" s="80">
        <f>SUMIFS('июнь 2024'!$G$4:$G$1823,'июнь 2024'!$D$4:$D$1823,$B132,'июнь 2024'!$J$4:$J$1823,AC$1)</f>
        <v>0</v>
      </c>
      <c r="AD132" s="80">
        <f>SUMIFS('июнь 2024'!$G$4:$G$1823,'июнь 2024'!$D$4:$D$1823,$B132,'июнь 2024'!$J$4:$J$1823,AD$1)</f>
        <v>0</v>
      </c>
      <c r="AE132" s="80">
        <f>SUMIFS('июнь 2024'!$G$4:$G$1823,'июнь 2024'!$D$4:$D$1823,$B132,'июнь 2024'!$J$4:$J$1823,AE$1)</f>
        <v>0</v>
      </c>
      <c r="AF132" s="80">
        <f>SUMIFS('июнь 2024'!$G$4:$G$1823,'июнь 2024'!$D$4:$D$1823,$B132,'июнь 2024'!$J$4:$J$1823,AF$1)</f>
        <v>0</v>
      </c>
      <c r="AG132" s="80">
        <f>SUMIFS('июнь 2024'!$G$4:$G$1823,'июнь 2024'!$D$4:$D$1823,$B132,'июнь 2024'!$J$4:$J$1823,AG$1)</f>
        <v>0</v>
      </c>
      <c r="AH132" s="80">
        <f>SUMIFS('июнь 2024'!$G$4:$G$1823,'июнь 2024'!$D$4:$D$1823,$B132,'июнь 2024'!$J$4:$J$1823,AH$1)</f>
        <v>0</v>
      </c>
      <c r="AI132" s="21">
        <f t="shared" si="1"/>
        <v>0</v>
      </c>
    </row>
    <row r="133" spans="2:35" ht="16.899999999999999" customHeight="1" x14ac:dyDescent="0.25">
      <c r="B133" s="89" t="s">
        <v>340</v>
      </c>
      <c r="C133" s="88">
        <v>200</v>
      </c>
      <c r="D133" s="80">
        <f>SUMIFS('июнь 2024'!$G$4:$G$1823,'июнь 2024'!$D$4:$D$1823,$B133,'июнь 2024'!$J$4:$J$1823,D$1)</f>
        <v>0</v>
      </c>
      <c r="E133" s="80">
        <f>SUMIFS('июнь 2024'!$G$4:$G$1823,'июнь 2024'!$D$4:$D$1823,$B133,'июнь 2024'!$J$4:$J$1823,E$1)</f>
        <v>0</v>
      </c>
      <c r="F133" s="80">
        <f>SUMIFS('июнь 2024'!$G$4:$G$1823,'июнь 2024'!$D$4:$D$1823,$B133,'июнь 2024'!$J$4:$J$1823,F$1)</f>
        <v>0</v>
      </c>
      <c r="G133" s="80">
        <f>SUMIFS('июнь 2024'!$G$4:$G$1823,'июнь 2024'!$D$4:$D$1823,$B133,'июнь 2024'!$J$4:$J$1823,G$1)</f>
        <v>0</v>
      </c>
      <c r="H133" s="80">
        <f>SUMIFS('июнь 2024'!$G$4:$G$1823,'июнь 2024'!$D$4:$D$1823,$B133,'июнь 2024'!$J$4:$J$1823,H$1)</f>
        <v>0</v>
      </c>
      <c r="I133" s="80">
        <f>SUMIFS('июнь 2024'!$G$4:$G$1823,'июнь 2024'!$D$4:$D$1823,$B133,'июнь 2024'!$J$4:$J$1823,I$1)</f>
        <v>0</v>
      </c>
      <c r="J133" s="80">
        <f>SUMIFS('июнь 2024'!$G$4:$G$1823,'июнь 2024'!$D$4:$D$1823,$B133,'июнь 2024'!$J$4:$J$1823,J$1)</f>
        <v>0</v>
      </c>
      <c r="K133" s="80">
        <f>SUMIFS('июнь 2024'!$G$4:$G$1823,'июнь 2024'!$D$4:$D$1823,$B133,'июнь 2024'!$J$4:$J$1823,K$1)</f>
        <v>0</v>
      </c>
      <c r="L133" s="80">
        <f>SUMIFS('июнь 2024'!$G$4:$G$1823,'июнь 2024'!$D$4:$D$1823,$B133,'июнь 2024'!$J$4:$J$1823,L$1)</f>
        <v>0</v>
      </c>
      <c r="M133" s="80">
        <f>SUMIFS('июнь 2024'!$G$4:$G$1823,'июнь 2024'!$D$4:$D$1823,$B133,'июнь 2024'!$J$4:$J$1823,M$1)</f>
        <v>0</v>
      </c>
      <c r="N133" s="80">
        <f>SUMIFS('июнь 2024'!$G$4:$G$1823,'июнь 2024'!$D$4:$D$1823,$B133,'июнь 2024'!$J$4:$J$1823,N$1)</f>
        <v>0</v>
      </c>
      <c r="O133" s="80">
        <f>SUMIFS('июнь 2024'!$G$4:$G$1823,'июнь 2024'!$D$4:$D$1823,$B133,'июнь 2024'!$J$4:$J$1823,O$1)</f>
        <v>0</v>
      </c>
      <c r="P133" s="80">
        <f>SUMIFS('июнь 2024'!$G$4:$G$1823,'июнь 2024'!$D$4:$D$1823,$B133,'июнь 2024'!$J$4:$J$1823,P$1)</f>
        <v>0</v>
      </c>
      <c r="Q133" s="80">
        <f>SUMIFS('июнь 2024'!$G$4:$G$1823,'июнь 2024'!$D$4:$D$1823,$B133,'июнь 2024'!$J$4:$J$1823,Q$1)</f>
        <v>0</v>
      </c>
      <c r="R133" s="80">
        <f>SUMIFS('июнь 2024'!$G$4:$G$1823,'июнь 2024'!$D$4:$D$1823,$B133,'июнь 2024'!$J$4:$J$1823,R$1)</f>
        <v>0</v>
      </c>
      <c r="S133" s="80">
        <f>SUMIFS('июнь 2024'!$G$4:$G$1823,'июнь 2024'!$D$4:$D$1823,$B133,'июнь 2024'!$J$4:$J$1823,S$1)</f>
        <v>0</v>
      </c>
      <c r="T133" s="80">
        <f>SUMIFS('июнь 2024'!$G$4:$G$1823,'июнь 2024'!$D$4:$D$1823,$B133,'июнь 2024'!$J$4:$J$1823,T$1)</f>
        <v>0</v>
      </c>
      <c r="U133" s="80">
        <f>SUMIFS('июнь 2024'!$G$4:$G$1823,'июнь 2024'!$D$4:$D$1823,$B133,'июнь 2024'!$J$4:$J$1823,U$1)</f>
        <v>0</v>
      </c>
      <c r="V133" s="80">
        <f>SUMIFS('июнь 2024'!$G$4:$G$1823,'июнь 2024'!$D$4:$D$1823,$B133,'июнь 2024'!$J$4:$J$1823,V$1)</f>
        <v>0</v>
      </c>
      <c r="W133" s="80">
        <f>SUMIFS('июнь 2024'!$G$4:$G$1823,'июнь 2024'!$D$4:$D$1823,$B133,'июнь 2024'!$J$4:$J$1823,W$1)</f>
        <v>0</v>
      </c>
      <c r="X133" s="80">
        <f>SUMIFS('июнь 2024'!$G$4:$G$1823,'июнь 2024'!$D$4:$D$1823,$B133,'июнь 2024'!$J$4:$J$1823,X$1)</f>
        <v>0</v>
      </c>
      <c r="Y133" s="80">
        <f>SUMIFS('июнь 2024'!$G$4:$G$1823,'июнь 2024'!$D$4:$D$1823,$B133,'июнь 2024'!$J$4:$J$1823,Y$1)</f>
        <v>0</v>
      </c>
      <c r="Z133" s="80">
        <f>SUMIFS('июнь 2024'!$G$4:$G$1823,'июнь 2024'!$D$4:$D$1823,$B133,'июнь 2024'!$J$4:$J$1823,Z$1)</f>
        <v>0</v>
      </c>
      <c r="AA133" s="80">
        <f>SUMIFS('июнь 2024'!$G$4:$G$1823,'июнь 2024'!$D$4:$D$1823,$B133,'июнь 2024'!$J$4:$J$1823,AA$1)</f>
        <v>0</v>
      </c>
      <c r="AB133" s="80">
        <f>SUMIFS('июнь 2024'!$G$4:$G$1823,'июнь 2024'!$D$4:$D$1823,$B133,'июнь 2024'!$J$4:$J$1823,AB$1)</f>
        <v>0</v>
      </c>
      <c r="AC133" s="80">
        <f>SUMIFS('июнь 2024'!$G$4:$G$1823,'июнь 2024'!$D$4:$D$1823,$B133,'июнь 2024'!$J$4:$J$1823,AC$1)</f>
        <v>0</v>
      </c>
      <c r="AD133" s="80">
        <f>SUMIFS('июнь 2024'!$G$4:$G$1823,'июнь 2024'!$D$4:$D$1823,$B133,'июнь 2024'!$J$4:$J$1823,AD$1)</f>
        <v>0</v>
      </c>
      <c r="AE133" s="80">
        <f>SUMIFS('июнь 2024'!$G$4:$G$1823,'июнь 2024'!$D$4:$D$1823,$B133,'июнь 2024'!$J$4:$J$1823,AE$1)</f>
        <v>0</v>
      </c>
      <c r="AF133" s="80">
        <f>SUMIFS('июнь 2024'!$G$4:$G$1823,'июнь 2024'!$D$4:$D$1823,$B133,'июнь 2024'!$J$4:$J$1823,AF$1)</f>
        <v>0</v>
      </c>
      <c r="AG133" s="80">
        <f>SUMIFS('июнь 2024'!$G$4:$G$1823,'июнь 2024'!$D$4:$D$1823,$B133,'июнь 2024'!$J$4:$J$1823,AG$1)</f>
        <v>0</v>
      </c>
      <c r="AH133" s="80">
        <f>SUMIFS('июнь 2024'!$G$4:$G$1823,'июнь 2024'!$D$4:$D$1823,$B133,'июнь 2024'!$J$4:$J$1823,AH$1)</f>
        <v>0</v>
      </c>
      <c r="AI133" s="21">
        <f t="shared" si="1"/>
        <v>0</v>
      </c>
    </row>
    <row r="134" spans="2:35" ht="16.899999999999999" customHeight="1" x14ac:dyDescent="0.25">
      <c r="B134" s="89" t="s">
        <v>336</v>
      </c>
      <c r="C134" s="88">
        <v>200</v>
      </c>
      <c r="D134" s="80">
        <f>SUMIFS('июнь 2024'!$G$4:$G$1823,'июнь 2024'!$D$4:$D$1823,$B134,'июнь 2024'!$J$4:$J$1823,D$1)</f>
        <v>0</v>
      </c>
      <c r="E134" s="80">
        <f>SUMIFS('июнь 2024'!$G$4:$G$1823,'июнь 2024'!$D$4:$D$1823,$B134,'июнь 2024'!$J$4:$J$1823,E$1)</f>
        <v>0</v>
      </c>
      <c r="F134" s="80">
        <f>SUMIFS('июнь 2024'!$G$4:$G$1823,'июнь 2024'!$D$4:$D$1823,$B134,'июнь 2024'!$J$4:$J$1823,F$1)</f>
        <v>0</v>
      </c>
      <c r="G134" s="80">
        <f>SUMIFS('июнь 2024'!$G$4:$G$1823,'июнь 2024'!$D$4:$D$1823,$B134,'июнь 2024'!$J$4:$J$1823,G$1)</f>
        <v>0</v>
      </c>
      <c r="H134" s="80">
        <f>SUMIFS('июнь 2024'!$G$4:$G$1823,'июнь 2024'!$D$4:$D$1823,$B134,'июнь 2024'!$J$4:$J$1823,H$1)</f>
        <v>0</v>
      </c>
      <c r="I134" s="80">
        <f>SUMIFS('июнь 2024'!$G$4:$G$1823,'июнь 2024'!$D$4:$D$1823,$B134,'июнь 2024'!$J$4:$J$1823,I$1)</f>
        <v>0</v>
      </c>
      <c r="J134" s="80">
        <f>SUMIFS('июнь 2024'!$G$4:$G$1823,'июнь 2024'!$D$4:$D$1823,$B134,'июнь 2024'!$J$4:$J$1823,J$1)</f>
        <v>0</v>
      </c>
      <c r="K134" s="80">
        <f>SUMIFS('июнь 2024'!$G$4:$G$1823,'июнь 2024'!$D$4:$D$1823,$B134,'июнь 2024'!$J$4:$J$1823,K$1)</f>
        <v>0</v>
      </c>
      <c r="L134" s="80">
        <f>SUMIFS('июнь 2024'!$G$4:$G$1823,'июнь 2024'!$D$4:$D$1823,$B134,'июнь 2024'!$J$4:$J$1823,L$1)</f>
        <v>0</v>
      </c>
      <c r="M134" s="80">
        <f>SUMIFS('июнь 2024'!$G$4:$G$1823,'июнь 2024'!$D$4:$D$1823,$B134,'июнь 2024'!$J$4:$J$1823,M$1)</f>
        <v>0</v>
      </c>
      <c r="N134" s="80">
        <f>SUMIFS('июнь 2024'!$G$4:$G$1823,'июнь 2024'!$D$4:$D$1823,$B134,'июнь 2024'!$J$4:$J$1823,N$1)</f>
        <v>0</v>
      </c>
      <c r="O134" s="80">
        <f>SUMIFS('июнь 2024'!$G$4:$G$1823,'июнь 2024'!$D$4:$D$1823,$B134,'июнь 2024'!$J$4:$J$1823,O$1)</f>
        <v>0</v>
      </c>
      <c r="P134" s="80">
        <f>SUMIFS('июнь 2024'!$G$4:$G$1823,'июнь 2024'!$D$4:$D$1823,$B134,'июнь 2024'!$J$4:$J$1823,P$1)</f>
        <v>0</v>
      </c>
      <c r="Q134" s="80">
        <f>SUMIFS('июнь 2024'!$G$4:$G$1823,'июнь 2024'!$D$4:$D$1823,$B134,'июнь 2024'!$J$4:$J$1823,Q$1)</f>
        <v>0</v>
      </c>
      <c r="R134" s="80">
        <f>SUMIFS('июнь 2024'!$G$4:$G$1823,'июнь 2024'!$D$4:$D$1823,$B134,'июнь 2024'!$J$4:$J$1823,R$1)</f>
        <v>0</v>
      </c>
      <c r="S134" s="80">
        <f>SUMIFS('июнь 2024'!$G$4:$G$1823,'июнь 2024'!$D$4:$D$1823,$B134,'июнь 2024'!$J$4:$J$1823,S$1)</f>
        <v>0</v>
      </c>
      <c r="T134" s="80">
        <f>SUMIFS('июнь 2024'!$G$4:$G$1823,'июнь 2024'!$D$4:$D$1823,$B134,'июнь 2024'!$J$4:$J$1823,T$1)</f>
        <v>0</v>
      </c>
      <c r="U134" s="80">
        <f>SUMIFS('июнь 2024'!$G$4:$G$1823,'июнь 2024'!$D$4:$D$1823,$B134,'июнь 2024'!$J$4:$J$1823,U$1)</f>
        <v>0</v>
      </c>
      <c r="V134" s="80">
        <f>SUMIFS('июнь 2024'!$G$4:$G$1823,'июнь 2024'!$D$4:$D$1823,$B134,'июнь 2024'!$J$4:$J$1823,V$1)</f>
        <v>0</v>
      </c>
      <c r="W134" s="80">
        <f>SUMIFS('июнь 2024'!$G$4:$G$1823,'июнь 2024'!$D$4:$D$1823,$B134,'июнь 2024'!$J$4:$J$1823,W$1)</f>
        <v>0</v>
      </c>
      <c r="X134" s="80">
        <f>SUMIFS('июнь 2024'!$G$4:$G$1823,'июнь 2024'!$D$4:$D$1823,$B134,'июнь 2024'!$J$4:$J$1823,X$1)</f>
        <v>0</v>
      </c>
      <c r="Y134" s="80">
        <f>SUMIFS('июнь 2024'!$G$4:$G$1823,'июнь 2024'!$D$4:$D$1823,$B134,'июнь 2024'!$J$4:$J$1823,Y$1)</f>
        <v>0</v>
      </c>
      <c r="Z134" s="80">
        <f>SUMIFS('июнь 2024'!$G$4:$G$1823,'июнь 2024'!$D$4:$D$1823,$B134,'июнь 2024'!$J$4:$J$1823,Z$1)</f>
        <v>0</v>
      </c>
      <c r="AA134" s="80">
        <f>SUMIFS('июнь 2024'!$G$4:$G$1823,'июнь 2024'!$D$4:$D$1823,$B134,'июнь 2024'!$J$4:$J$1823,AA$1)</f>
        <v>0</v>
      </c>
      <c r="AB134" s="80">
        <f>SUMIFS('июнь 2024'!$G$4:$G$1823,'июнь 2024'!$D$4:$D$1823,$B134,'июнь 2024'!$J$4:$J$1823,AB$1)</f>
        <v>0</v>
      </c>
      <c r="AC134" s="80">
        <f>SUMIFS('июнь 2024'!$G$4:$G$1823,'июнь 2024'!$D$4:$D$1823,$B134,'июнь 2024'!$J$4:$J$1823,AC$1)</f>
        <v>0</v>
      </c>
      <c r="AD134" s="80">
        <f>SUMIFS('июнь 2024'!$G$4:$G$1823,'июнь 2024'!$D$4:$D$1823,$B134,'июнь 2024'!$J$4:$J$1823,AD$1)</f>
        <v>0</v>
      </c>
      <c r="AE134" s="80">
        <f>SUMIFS('июнь 2024'!$G$4:$G$1823,'июнь 2024'!$D$4:$D$1823,$B134,'июнь 2024'!$J$4:$J$1823,AE$1)</f>
        <v>0</v>
      </c>
      <c r="AF134" s="80">
        <f>SUMIFS('июнь 2024'!$G$4:$G$1823,'июнь 2024'!$D$4:$D$1823,$B134,'июнь 2024'!$J$4:$J$1823,AF$1)</f>
        <v>0</v>
      </c>
      <c r="AG134" s="80">
        <f>SUMIFS('июнь 2024'!$G$4:$G$1823,'июнь 2024'!$D$4:$D$1823,$B134,'июнь 2024'!$J$4:$J$1823,AG$1)</f>
        <v>0</v>
      </c>
      <c r="AH134" s="80">
        <f>SUMIFS('июнь 2024'!$G$4:$G$1823,'июнь 2024'!$D$4:$D$1823,$B134,'июнь 2024'!$J$4:$J$1823,AH$1)</f>
        <v>0</v>
      </c>
      <c r="AI134" s="21">
        <f t="shared" si="1"/>
        <v>0</v>
      </c>
    </row>
    <row r="135" spans="2:35" ht="15" customHeight="1" x14ac:dyDescent="0.25">
      <c r="B135" s="89" t="s">
        <v>341</v>
      </c>
      <c r="C135" s="88">
        <v>200</v>
      </c>
      <c r="D135" s="80">
        <f>SUMIFS('июнь 2024'!$G$4:$G$1823,'июнь 2024'!$D$4:$D$1823,$B135,'июнь 2024'!$J$4:$J$1823,D$1)</f>
        <v>0</v>
      </c>
      <c r="E135" s="80">
        <f>SUMIFS('июнь 2024'!$G$4:$G$1823,'июнь 2024'!$D$4:$D$1823,$B135,'июнь 2024'!$J$4:$J$1823,E$1)</f>
        <v>0</v>
      </c>
      <c r="F135" s="80">
        <f>SUMIFS('июнь 2024'!$G$4:$G$1823,'июнь 2024'!$D$4:$D$1823,$B135,'июнь 2024'!$J$4:$J$1823,F$1)</f>
        <v>0</v>
      </c>
      <c r="G135" s="80">
        <f>SUMIFS('июнь 2024'!$G$4:$G$1823,'июнь 2024'!$D$4:$D$1823,$B135,'июнь 2024'!$J$4:$J$1823,G$1)</f>
        <v>0</v>
      </c>
      <c r="H135" s="80">
        <f>SUMIFS('июнь 2024'!$G$4:$G$1823,'июнь 2024'!$D$4:$D$1823,$B135,'июнь 2024'!$J$4:$J$1823,H$1)</f>
        <v>0</v>
      </c>
      <c r="I135" s="80">
        <f>SUMIFS('июнь 2024'!$G$4:$G$1823,'июнь 2024'!$D$4:$D$1823,$B135,'июнь 2024'!$J$4:$J$1823,I$1)</f>
        <v>0</v>
      </c>
      <c r="J135" s="80">
        <f>SUMIFS('июнь 2024'!$G$4:$G$1823,'июнь 2024'!$D$4:$D$1823,$B135,'июнь 2024'!$J$4:$J$1823,J$1)</f>
        <v>0</v>
      </c>
      <c r="K135" s="80">
        <f>SUMIFS('июнь 2024'!$G$4:$G$1823,'июнь 2024'!$D$4:$D$1823,$B135,'июнь 2024'!$J$4:$J$1823,K$1)</f>
        <v>0</v>
      </c>
      <c r="L135" s="80">
        <f>SUMIFS('июнь 2024'!$G$4:$G$1823,'июнь 2024'!$D$4:$D$1823,$B135,'июнь 2024'!$J$4:$J$1823,L$1)</f>
        <v>0</v>
      </c>
      <c r="M135" s="80">
        <f>SUMIFS('июнь 2024'!$G$4:$G$1823,'июнь 2024'!$D$4:$D$1823,$B135,'июнь 2024'!$J$4:$J$1823,M$1)</f>
        <v>0</v>
      </c>
      <c r="N135" s="80">
        <f>SUMIFS('июнь 2024'!$G$4:$G$1823,'июнь 2024'!$D$4:$D$1823,$B135,'июнь 2024'!$J$4:$J$1823,N$1)</f>
        <v>0</v>
      </c>
      <c r="O135" s="80">
        <f>SUMIFS('июнь 2024'!$G$4:$G$1823,'июнь 2024'!$D$4:$D$1823,$B135,'июнь 2024'!$J$4:$J$1823,O$1)</f>
        <v>0</v>
      </c>
      <c r="P135" s="80">
        <f>SUMIFS('июнь 2024'!$G$4:$G$1823,'июнь 2024'!$D$4:$D$1823,$B135,'июнь 2024'!$J$4:$J$1823,P$1)</f>
        <v>0</v>
      </c>
      <c r="Q135" s="80">
        <f>SUMIFS('июнь 2024'!$G$4:$G$1823,'июнь 2024'!$D$4:$D$1823,$B135,'июнь 2024'!$J$4:$J$1823,Q$1)</f>
        <v>0</v>
      </c>
      <c r="R135" s="80">
        <f>SUMIFS('июнь 2024'!$G$4:$G$1823,'июнь 2024'!$D$4:$D$1823,$B135,'июнь 2024'!$J$4:$J$1823,R$1)</f>
        <v>0</v>
      </c>
      <c r="S135" s="80">
        <f>SUMIFS('июнь 2024'!$G$4:$G$1823,'июнь 2024'!$D$4:$D$1823,$B135,'июнь 2024'!$J$4:$J$1823,S$1)</f>
        <v>0</v>
      </c>
      <c r="T135" s="80">
        <f>SUMIFS('июнь 2024'!$G$4:$G$1823,'июнь 2024'!$D$4:$D$1823,$B135,'июнь 2024'!$J$4:$J$1823,T$1)</f>
        <v>0</v>
      </c>
      <c r="U135" s="80">
        <f>SUMIFS('июнь 2024'!$G$4:$G$1823,'июнь 2024'!$D$4:$D$1823,$B135,'июнь 2024'!$J$4:$J$1823,U$1)</f>
        <v>0</v>
      </c>
      <c r="V135" s="80">
        <f>SUMIFS('июнь 2024'!$G$4:$G$1823,'июнь 2024'!$D$4:$D$1823,$B135,'июнь 2024'!$J$4:$J$1823,V$1)</f>
        <v>0</v>
      </c>
      <c r="W135" s="80">
        <f>SUMIFS('июнь 2024'!$G$4:$G$1823,'июнь 2024'!$D$4:$D$1823,$B135,'июнь 2024'!$J$4:$J$1823,W$1)</f>
        <v>0</v>
      </c>
      <c r="X135" s="80">
        <f>SUMIFS('июнь 2024'!$G$4:$G$1823,'июнь 2024'!$D$4:$D$1823,$B135,'июнь 2024'!$J$4:$J$1823,X$1)</f>
        <v>0</v>
      </c>
      <c r="Y135" s="80">
        <f>SUMIFS('июнь 2024'!$G$4:$G$1823,'июнь 2024'!$D$4:$D$1823,$B135,'июнь 2024'!$J$4:$J$1823,Y$1)</f>
        <v>0</v>
      </c>
      <c r="Z135" s="80">
        <f>SUMIFS('июнь 2024'!$G$4:$G$1823,'июнь 2024'!$D$4:$D$1823,$B135,'июнь 2024'!$J$4:$J$1823,Z$1)</f>
        <v>0</v>
      </c>
      <c r="AA135" s="80">
        <f>SUMIFS('июнь 2024'!$G$4:$G$1823,'июнь 2024'!$D$4:$D$1823,$B135,'июнь 2024'!$J$4:$J$1823,AA$1)</f>
        <v>0</v>
      </c>
      <c r="AB135" s="80">
        <f>SUMIFS('июнь 2024'!$G$4:$G$1823,'июнь 2024'!$D$4:$D$1823,$B135,'июнь 2024'!$J$4:$J$1823,AB$1)</f>
        <v>0</v>
      </c>
      <c r="AC135" s="80">
        <f>SUMIFS('июнь 2024'!$G$4:$G$1823,'июнь 2024'!$D$4:$D$1823,$B135,'июнь 2024'!$J$4:$J$1823,AC$1)</f>
        <v>0</v>
      </c>
      <c r="AD135" s="80">
        <f>SUMIFS('июнь 2024'!$G$4:$G$1823,'июнь 2024'!$D$4:$D$1823,$B135,'июнь 2024'!$J$4:$J$1823,AD$1)</f>
        <v>0</v>
      </c>
      <c r="AE135" s="80">
        <f>SUMIFS('июнь 2024'!$G$4:$G$1823,'июнь 2024'!$D$4:$D$1823,$B135,'июнь 2024'!$J$4:$J$1823,AE$1)</f>
        <v>0</v>
      </c>
      <c r="AF135" s="80">
        <f>SUMIFS('июнь 2024'!$G$4:$G$1823,'июнь 2024'!$D$4:$D$1823,$B135,'июнь 2024'!$J$4:$J$1823,AF$1)</f>
        <v>0</v>
      </c>
      <c r="AG135" s="80">
        <f>SUMIFS('июнь 2024'!$G$4:$G$1823,'июнь 2024'!$D$4:$D$1823,$B135,'июнь 2024'!$J$4:$J$1823,AG$1)</f>
        <v>0</v>
      </c>
      <c r="AH135" s="80">
        <f>SUMIFS('июнь 2024'!$G$4:$G$1823,'июнь 2024'!$D$4:$D$1823,$B135,'июнь 2024'!$J$4:$J$1823,AH$1)</f>
        <v>0</v>
      </c>
      <c r="AI135" s="21">
        <f t="shared" si="1"/>
        <v>0</v>
      </c>
    </row>
    <row r="136" spans="2:35" ht="15" customHeight="1" x14ac:dyDescent="0.25">
      <c r="B136" s="89" t="s">
        <v>337</v>
      </c>
      <c r="C136" s="88">
        <v>200</v>
      </c>
      <c r="D136" s="80">
        <f>SUMIFS('июнь 2024'!$G$4:$G$1823,'июнь 2024'!$D$4:$D$1823,$B136,'июнь 2024'!$J$4:$J$1823,D$1)</f>
        <v>0</v>
      </c>
      <c r="E136" s="80">
        <f>SUMIFS('июнь 2024'!$G$4:$G$1823,'июнь 2024'!$D$4:$D$1823,$B136,'июнь 2024'!$J$4:$J$1823,E$1)</f>
        <v>0</v>
      </c>
      <c r="F136" s="80">
        <f>SUMIFS('июнь 2024'!$G$4:$G$1823,'июнь 2024'!$D$4:$D$1823,$B136,'июнь 2024'!$J$4:$J$1823,F$1)</f>
        <v>0</v>
      </c>
      <c r="G136" s="80">
        <f>SUMIFS('июнь 2024'!$G$4:$G$1823,'июнь 2024'!$D$4:$D$1823,$B136,'июнь 2024'!$J$4:$J$1823,G$1)</f>
        <v>0</v>
      </c>
      <c r="H136" s="80">
        <f>SUMIFS('июнь 2024'!$G$4:$G$1823,'июнь 2024'!$D$4:$D$1823,$B136,'июнь 2024'!$J$4:$J$1823,H$1)</f>
        <v>0</v>
      </c>
      <c r="I136" s="80">
        <f>SUMIFS('июнь 2024'!$G$4:$G$1823,'июнь 2024'!$D$4:$D$1823,$B136,'июнь 2024'!$J$4:$J$1823,I$1)</f>
        <v>0</v>
      </c>
      <c r="J136" s="80">
        <f>SUMIFS('июнь 2024'!$G$4:$G$1823,'июнь 2024'!$D$4:$D$1823,$B136,'июнь 2024'!$J$4:$J$1823,J$1)</f>
        <v>0</v>
      </c>
      <c r="K136" s="80">
        <f>SUMIFS('июнь 2024'!$G$4:$G$1823,'июнь 2024'!$D$4:$D$1823,$B136,'июнь 2024'!$J$4:$J$1823,K$1)</f>
        <v>0</v>
      </c>
      <c r="L136" s="80">
        <f>SUMIFS('июнь 2024'!$G$4:$G$1823,'июнь 2024'!$D$4:$D$1823,$B136,'июнь 2024'!$J$4:$J$1823,L$1)</f>
        <v>0</v>
      </c>
      <c r="M136" s="80">
        <f>SUMIFS('июнь 2024'!$G$4:$G$1823,'июнь 2024'!$D$4:$D$1823,$B136,'июнь 2024'!$J$4:$J$1823,M$1)</f>
        <v>0</v>
      </c>
      <c r="N136" s="80">
        <f>SUMIFS('июнь 2024'!$G$4:$G$1823,'июнь 2024'!$D$4:$D$1823,$B136,'июнь 2024'!$J$4:$J$1823,N$1)</f>
        <v>0</v>
      </c>
      <c r="O136" s="80">
        <f>SUMIFS('июнь 2024'!$G$4:$G$1823,'июнь 2024'!$D$4:$D$1823,$B136,'июнь 2024'!$J$4:$J$1823,O$1)</f>
        <v>0</v>
      </c>
      <c r="P136" s="80">
        <f>SUMIFS('июнь 2024'!$G$4:$G$1823,'июнь 2024'!$D$4:$D$1823,$B136,'июнь 2024'!$J$4:$J$1823,P$1)</f>
        <v>0</v>
      </c>
      <c r="Q136" s="80">
        <f>SUMIFS('июнь 2024'!$G$4:$G$1823,'июнь 2024'!$D$4:$D$1823,$B136,'июнь 2024'!$J$4:$J$1823,Q$1)</f>
        <v>0</v>
      </c>
      <c r="R136" s="80">
        <f>SUMIFS('июнь 2024'!$G$4:$G$1823,'июнь 2024'!$D$4:$D$1823,$B136,'июнь 2024'!$J$4:$J$1823,R$1)</f>
        <v>0</v>
      </c>
      <c r="S136" s="80">
        <f>SUMIFS('июнь 2024'!$G$4:$G$1823,'июнь 2024'!$D$4:$D$1823,$B136,'июнь 2024'!$J$4:$J$1823,S$1)</f>
        <v>0</v>
      </c>
      <c r="T136" s="80">
        <f>SUMIFS('июнь 2024'!$G$4:$G$1823,'июнь 2024'!$D$4:$D$1823,$B136,'июнь 2024'!$J$4:$J$1823,T$1)</f>
        <v>0</v>
      </c>
      <c r="U136" s="80">
        <f>SUMIFS('июнь 2024'!$G$4:$G$1823,'июнь 2024'!$D$4:$D$1823,$B136,'июнь 2024'!$J$4:$J$1823,U$1)</f>
        <v>0</v>
      </c>
      <c r="V136" s="80">
        <f>SUMIFS('июнь 2024'!$G$4:$G$1823,'июнь 2024'!$D$4:$D$1823,$B136,'июнь 2024'!$J$4:$J$1823,V$1)</f>
        <v>0</v>
      </c>
      <c r="W136" s="80">
        <f>SUMIFS('июнь 2024'!$G$4:$G$1823,'июнь 2024'!$D$4:$D$1823,$B136,'июнь 2024'!$J$4:$J$1823,W$1)</f>
        <v>0</v>
      </c>
      <c r="X136" s="80">
        <f>SUMIFS('июнь 2024'!$G$4:$G$1823,'июнь 2024'!$D$4:$D$1823,$B136,'июнь 2024'!$J$4:$J$1823,X$1)</f>
        <v>0</v>
      </c>
      <c r="Y136" s="80">
        <f>SUMIFS('июнь 2024'!$G$4:$G$1823,'июнь 2024'!$D$4:$D$1823,$B136,'июнь 2024'!$J$4:$J$1823,Y$1)</f>
        <v>0</v>
      </c>
      <c r="Z136" s="80">
        <f>SUMIFS('июнь 2024'!$G$4:$G$1823,'июнь 2024'!$D$4:$D$1823,$B136,'июнь 2024'!$J$4:$J$1823,Z$1)</f>
        <v>0</v>
      </c>
      <c r="AA136" s="80">
        <f>SUMIFS('июнь 2024'!$G$4:$G$1823,'июнь 2024'!$D$4:$D$1823,$B136,'июнь 2024'!$J$4:$J$1823,AA$1)</f>
        <v>0</v>
      </c>
      <c r="AB136" s="80">
        <f>SUMIFS('июнь 2024'!$G$4:$G$1823,'июнь 2024'!$D$4:$D$1823,$B136,'июнь 2024'!$J$4:$J$1823,AB$1)</f>
        <v>0</v>
      </c>
      <c r="AC136" s="80">
        <f>SUMIFS('июнь 2024'!$G$4:$G$1823,'июнь 2024'!$D$4:$D$1823,$B136,'июнь 2024'!$J$4:$J$1823,AC$1)</f>
        <v>0</v>
      </c>
      <c r="AD136" s="80">
        <f>SUMIFS('июнь 2024'!$G$4:$G$1823,'июнь 2024'!$D$4:$D$1823,$B136,'июнь 2024'!$J$4:$J$1823,AD$1)</f>
        <v>0</v>
      </c>
      <c r="AE136" s="80">
        <f>SUMIFS('июнь 2024'!$G$4:$G$1823,'июнь 2024'!$D$4:$D$1823,$B136,'июнь 2024'!$J$4:$J$1823,AE$1)</f>
        <v>0</v>
      </c>
      <c r="AF136" s="80">
        <f>SUMIFS('июнь 2024'!$G$4:$G$1823,'июнь 2024'!$D$4:$D$1823,$B136,'июнь 2024'!$J$4:$J$1823,AF$1)</f>
        <v>0</v>
      </c>
      <c r="AG136" s="80">
        <f>SUMIFS('июнь 2024'!$G$4:$G$1823,'июнь 2024'!$D$4:$D$1823,$B136,'июнь 2024'!$J$4:$J$1823,AG$1)</f>
        <v>0</v>
      </c>
      <c r="AH136" s="80">
        <f>SUMIFS('июнь 2024'!$G$4:$G$1823,'июнь 2024'!$D$4:$D$1823,$B136,'июнь 2024'!$J$4:$J$1823,AH$1)</f>
        <v>0</v>
      </c>
      <c r="AI136" s="21">
        <f t="shared" si="1"/>
        <v>0</v>
      </c>
    </row>
    <row r="137" spans="2:35" ht="15" customHeight="1" x14ac:dyDescent="0.25">
      <c r="B137" s="89" t="s">
        <v>338</v>
      </c>
      <c r="C137" s="88">
        <v>200</v>
      </c>
      <c r="D137" s="80">
        <f>SUMIFS('июнь 2024'!$G$4:$G$1823,'июнь 2024'!$D$4:$D$1823,$B137,'июнь 2024'!$J$4:$J$1823,D$1)</f>
        <v>0</v>
      </c>
      <c r="E137" s="80">
        <f>SUMIFS('июнь 2024'!$G$4:$G$1823,'июнь 2024'!$D$4:$D$1823,$B137,'июнь 2024'!$J$4:$J$1823,E$1)</f>
        <v>0</v>
      </c>
      <c r="F137" s="80">
        <f>SUMIFS('июнь 2024'!$G$4:$G$1823,'июнь 2024'!$D$4:$D$1823,$B137,'июнь 2024'!$J$4:$J$1823,F$1)</f>
        <v>0</v>
      </c>
      <c r="G137" s="80">
        <f>SUMIFS('июнь 2024'!$G$4:$G$1823,'июнь 2024'!$D$4:$D$1823,$B137,'июнь 2024'!$J$4:$J$1823,G$1)</f>
        <v>0</v>
      </c>
      <c r="H137" s="80">
        <f>SUMIFS('июнь 2024'!$G$4:$G$1823,'июнь 2024'!$D$4:$D$1823,$B137,'июнь 2024'!$J$4:$J$1823,H$1)</f>
        <v>0</v>
      </c>
      <c r="I137" s="80">
        <f>SUMIFS('июнь 2024'!$G$4:$G$1823,'июнь 2024'!$D$4:$D$1823,$B137,'июнь 2024'!$J$4:$J$1823,I$1)</f>
        <v>0</v>
      </c>
      <c r="J137" s="80">
        <f>SUMIFS('июнь 2024'!$G$4:$G$1823,'июнь 2024'!$D$4:$D$1823,$B137,'июнь 2024'!$J$4:$J$1823,J$1)</f>
        <v>0</v>
      </c>
      <c r="K137" s="80">
        <f>SUMIFS('июнь 2024'!$G$4:$G$1823,'июнь 2024'!$D$4:$D$1823,$B137,'июнь 2024'!$J$4:$J$1823,K$1)</f>
        <v>0</v>
      </c>
      <c r="L137" s="80">
        <f>SUMIFS('июнь 2024'!$G$4:$G$1823,'июнь 2024'!$D$4:$D$1823,$B137,'июнь 2024'!$J$4:$J$1823,L$1)</f>
        <v>0</v>
      </c>
      <c r="M137" s="80">
        <f>SUMIFS('июнь 2024'!$G$4:$G$1823,'июнь 2024'!$D$4:$D$1823,$B137,'июнь 2024'!$J$4:$J$1823,M$1)</f>
        <v>0</v>
      </c>
      <c r="N137" s="80">
        <f>SUMIFS('июнь 2024'!$G$4:$G$1823,'июнь 2024'!$D$4:$D$1823,$B137,'июнь 2024'!$J$4:$J$1823,N$1)</f>
        <v>0</v>
      </c>
      <c r="O137" s="80">
        <f>SUMIFS('июнь 2024'!$G$4:$G$1823,'июнь 2024'!$D$4:$D$1823,$B137,'июнь 2024'!$J$4:$J$1823,O$1)</f>
        <v>0</v>
      </c>
      <c r="P137" s="80">
        <f>SUMIFS('июнь 2024'!$G$4:$G$1823,'июнь 2024'!$D$4:$D$1823,$B137,'июнь 2024'!$J$4:$J$1823,P$1)</f>
        <v>0</v>
      </c>
      <c r="Q137" s="80">
        <f>SUMIFS('июнь 2024'!$G$4:$G$1823,'июнь 2024'!$D$4:$D$1823,$B137,'июнь 2024'!$J$4:$J$1823,Q$1)</f>
        <v>0</v>
      </c>
      <c r="R137" s="80">
        <f>SUMIFS('июнь 2024'!$G$4:$G$1823,'июнь 2024'!$D$4:$D$1823,$B137,'июнь 2024'!$J$4:$J$1823,R$1)</f>
        <v>0</v>
      </c>
      <c r="S137" s="80">
        <f>SUMIFS('июнь 2024'!$G$4:$G$1823,'июнь 2024'!$D$4:$D$1823,$B137,'июнь 2024'!$J$4:$J$1823,S$1)</f>
        <v>0</v>
      </c>
      <c r="T137" s="80">
        <f>SUMIFS('июнь 2024'!$G$4:$G$1823,'июнь 2024'!$D$4:$D$1823,$B137,'июнь 2024'!$J$4:$J$1823,T$1)</f>
        <v>0</v>
      </c>
      <c r="U137" s="80">
        <f>SUMIFS('июнь 2024'!$G$4:$G$1823,'июнь 2024'!$D$4:$D$1823,$B137,'июнь 2024'!$J$4:$J$1823,U$1)</f>
        <v>0</v>
      </c>
      <c r="V137" s="80">
        <f>SUMIFS('июнь 2024'!$G$4:$G$1823,'июнь 2024'!$D$4:$D$1823,$B137,'июнь 2024'!$J$4:$J$1823,V$1)</f>
        <v>0</v>
      </c>
      <c r="W137" s="80">
        <f>SUMIFS('июнь 2024'!$G$4:$G$1823,'июнь 2024'!$D$4:$D$1823,$B137,'июнь 2024'!$J$4:$J$1823,W$1)</f>
        <v>0</v>
      </c>
      <c r="X137" s="80">
        <f>SUMIFS('июнь 2024'!$G$4:$G$1823,'июнь 2024'!$D$4:$D$1823,$B137,'июнь 2024'!$J$4:$J$1823,X$1)</f>
        <v>0</v>
      </c>
      <c r="Y137" s="80">
        <f>SUMIFS('июнь 2024'!$G$4:$G$1823,'июнь 2024'!$D$4:$D$1823,$B137,'июнь 2024'!$J$4:$J$1823,Y$1)</f>
        <v>0</v>
      </c>
      <c r="Z137" s="80">
        <f>SUMIFS('июнь 2024'!$G$4:$G$1823,'июнь 2024'!$D$4:$D$1823,$B137,'июнь 2024'!$J$4:$J$1823,Z$1)</f>
        <v>0</v>
      </c>
      <c r="AA137" s="80">
        <f>SUMIFS('июнь 2024'!$G$4:$G$1823,'июнь 2024'!$D$4:$D$1823,$B137,'июнь 2024'!$J$4:$J$1823,AA$1)</f>
        <v>0</v>
      </c>
      <c r="AB137" s="80">
        <f>SUMIFS('июнь 2024'!$G$4:$G$1823,'июнь 2024'!$D$4:$D$1823,$B137,'июнь 2024'!$J$4:$J$1823,AB$1)</f>
        <v>0</v>
      </c>
      <c r="AC137" s="80">
        <f>SUMIFS('июнь 2024'!$G$4:$G$1823,'июнь 2024'!$D$4:$D$1823,$B137,'июнь 2024'!$J$4:$J$1823,AC$1)</f>
        <v>0</v>
      </c>
      <c r="AD137" s="80">
        <f>SUMIFS('июнь 2024'!$G$4:$G$1823,'июнь 2024'!$D$4:$D$1823,$B137,'июнь 2024'!$J$4:$J$1823,AD$1)</f>
        <v>0</v>
      </c>
      <c r="AE137" s="80">
        <f>SUMIFS('июнь 2024'!$G$4:$G$1823,'июнь 2024'!$D$4:$D$1823,$B137,'июнь 2024'!$J$4:$J$1823,AE$1)</f>
        <v>0</v>
      </c>
      <c r="AF137" s="80">
        <f>SUMIFS('июнь 2024'!$G$4:$G$1823,'июнь 2024'!$D$4:$D$1823,$B137,'июнь 2024'!$J$4:$J$1823,AF$1)</f>
        <v>0</v>
      </c>
      <c r="AG137" s="80">
        <f>SUMIFS('июнь 2024'!$G$4:$G$1823,'июнь 2024'!$D$4:$D$1823,$B137,'июнь 2024'!$J$4:$J$1823,AG$1)</f>
        <v>0</v>
      </c>
      <c r="AH137" s="80">
        <f>SUMIFS('июнь 2024'!$G$4:$G$1823,'июнь 2024'!$D$4:$D$1823,$B137,'июнь 2024'!$J$4:$J$1823,AH$1)</f>
        <v>0</v>
      </c>
      <c r="AI137" s="21">
        <f t="shared" si="1"/>
        <v>0</v>
      </c>
    </row>
    <row r="138" spans="2:35" ht="15" customHeight="1" x14ac:dyDescent="0.25">
      <c r="B138" s="89" t="s">
        <v>211</v>
      </c>
      <c r="C138" s="88">
        <v>200</v>
      </c>
      <c r="D138" s="80">
        <f>SUMIFS('июнь 2024'!$G$4:$G$1823,'июнь 2024'!$D$4:$D$1823,$B138,'июнь 2024'!$J$4:$J$1823,D$1)</f>
        <v>0</v>
      </c>
      <c r="E138" s="80">
        <f>SUMIFS('июнь 2024'!$G$4:$G$1823,'июнь 2024'!$D$4:$D$1823,$B138,'июнь 2024'!$J$4:$J$1823,E$1)</f>
        <v>0</v>
      </c>
      <c r="F138" s="80">
        <f>SUMIFS('июнь 2024'!$G$4:$G$1823,'июнь 2024'!$D$4:$D$1823,$B138,'июнь 2024'!$J$4:$J$1823,F$1)</f>
        <v>0</v>
      </c>
      <c r="G138" s="80">
        <f>SUMIFS('июнь 2024'!$G$4:$G$1823,'июнь 2024'!$D$4:$D$1823,$B138,'июнь 2024'!$J$4:$J$1823,G$1)</f>
        <v>0</v>
      </c>
      <c r="H138" s="80">
        <f>SUMIFS('июнь 2024'!$G$4:$G$1823,'июнь 2024'!$D$4:$D$1823,$B138,'июнь 2024'!$J$4:$J$1823,H$1)</f>
        <v>0</v>
      </c>
      <c r="I138" s="80">
        <f>SUMIFS('июнь 2024'!$G$4:$G$1823,'июнь 2024'!$D$4:$D$1823,$B138,'июнь 2024'!$J$4:$J$1823,I$1)</f>
        <v>0</v>
      </c>
      <c r="J138" s="80">
        <f>SUMIFS('июнь 2024'!$G$4:$G$1823,'июнь 2024'!$D$4:$D$1823,$B138,'июнь 2024'!$J$4:$J$1823,J$1)</f>
        <v>0</v>
      </c>
      <c r="K138" s="80">
        <f>SUMIFS('июнь 2024'!$G$4:$G$1823,'июнь 2024'!$D$4:$D$1823,$B138,'июнь 2024'!$J$4:$J$1823,K$1)</f>
        <v>0</v>
      </c>
      <c r="L138" s="80">
        <f>SUMIFS('июнь 2024'!$G$4:$G$1823,'июнь 2024'!$D$4:$D$1823,$B138,'июнь 2024'!$J$4:$J$1823,L$1)</f>
        <v>0</v>
      </c>
      <c r="M138" s="80">
        <f>SUMIFS('июнь 2024'!$G$4:$G$1823,'июнь 2024'!$D$4:$D$1823,$B138,'июнь 2024'!$J$4:$J$1823,M$1)</f>
        <v>0</v>
      </c>
      <c r="N138" s="80">
        <f>SUMIFS('июнь 2024'!$G$4:$G$1823,'июнь 2024'!$D$4:$D$1823,$B138,'июнь 2024'!$J$4:$J$1823,N$1)</f>
        <v>0</v>
      </c>
      <c r="O138" s="80">
        <f>SUMIFS('июнь 2024'!$G$4:$G$1823,'июнь 2024'!$D$4:$D$1823,$B138,'июнь 2024'!$J$4:$J$1823,O$1)</f>
        <v>0</v>
      </c>
      <c r="P138" s="80">
        <f>SUMIFS('июнь 2024'!$G$4:$G$1823,'июнь 2024'!$D$4:$D$1823,$B138,'июнь 2024'!$J$4:$J$1823,P$1)</f>
        <v>0</v>
      </c>
      <c r="Q138" s="80">
        <f>SUMIFS('июнь 2024'!$G$4:$G$1823,'июнь 2024'!$D$4:$D$1823,$B138,'июнь 2024'!$J$4:$J$1823,Q$1)</f>
        <v>0</v>
      </c>
      <c r="R138" s="80">
        <f>SUMIFS('июнь 2024'!$G$4:$G$1823,'июнь 2024'!$D$4:$D$1823,$B138,'июнь 2024'!$J$4:$J$1823,R$1)</f>
        <v>0</v>
      </c>
      <c r="S138" s="80">
        <f>SUMIFS('июнь 2024'!$G$4:$G$1823,'июнь 2024'!$D$4:$D$1823,$B138,'июнь 2024'!$J$4:$J$1823,S$1)</f>
        <v>0</v>
      </c>
      <c r="T138" s="80">
        <f>SUMIFS('июнь 2024'!$G$4:$G$1823,'июнь 2024'!$D$4:$D$1823,$B138,'июнь 2024'!$J$4:$J$1823,T$1)</f>
        <v>0</v>
      </c>
      <c r="U138" s="80">
        <f>SUMIFS('июнь 2024'!$G$4:$G$1823,'июнь 2024'!$D$4:$D$1823,$B138,'июнь 2024'!$J$4:$J$1823,U$1)</f>
        <v>0</v>
      </c>
      <c r="V138" s="80">
        <f>SUMIFS('июнь 2024'!$G$4:$G$1823,'июнь 2024'!$D$4:$D$1823,$B138,'июнь 2024'!$J$4:$J$1823,V$1)</f>
        <v>0</v>
      </c>
      <c r="W138" s="80">
        <f>SUMIFS('июнь 2024'!$G$4:$G$1823,'июнь 2024'!$D$4:$D$1823,$B138,'июнь 2024'!$J$4:$J$1823,W$1)</f>
        <v>0</v>
      </c>
      <c r="X138" s="80">
        <f>SUMIFS('июнь 2024'!$G$4:$G$1823,'июнь 2024'!$D$4:$D$1823,$B138,'июнь 2024'!$J$4:$J$1823,X$1)</f>
        <v>0</v>
      </c>
      <c r="Y138" s="80">
        <f>SUMIFS('июнь 2024'!$G$4:$G$1823,'июнь 2024'!$D$4:$D$1823,$B138,'июнь 2024'!$J$4:$J$1823,Y$1)</f>
        <v>0</v>
      </c>
      <c r="Z138" s="80">
        <f>SUMIFS('июнь 2024'!$G$4:$G$1823,'июнь 2024'!$D$4:$D$1823,$B138,'июнь 2024'!$J$4:$J$1823,Z$1)</f>
        <v>0</v>
      </c>
      <c r="AA138" s="80">
        <f>SUMIFS('июнь 2024'!$G$4:$G$1823,'июнь 2024'!$D$4:$D$1823,$B138,'июнь 2024'!$J$4:$J$1823,AA$1)</f>
        <v>0</v>
      </c>
      <c r="AB138" s="80">
        <f>SUMIFS('июнь 2024'!$G$4:$G$1823,'июнь 2024'!$D$4:$D$1823,$B138,'июнь 2024'!$J$4:$J$1823,AB$1)</f>
        <v>0</v>
      </c>
      <c r="AC138" s="80">
        <f>SUMIFS('июнь 2024'!$G$4:$G$1823,'июнь 2024'!$D$4:$D$1823,$B138,'июнь 2024'!$J$4:$J$1823,AC$1)</f>
        <v>0</v>
      </c>
      <c r="AD138" s="80">
        <f>SUMIFS('июнь 2024'!$G$4:$G$1823,'июнь 2024'!$D$4:$D$1823,$B138,'июнь 2024'!$J$4:$J$1823,AD$1)</f>
        <v>0</v>
      </c>
      <c r="AE138" s="80">
        <f>SUMIFS('июнь 2024'!$G$4:$G$1823,'июнь 2024'!$D$4:$D$1823,$B138,'июнь 2024'!$J$4:$J$1823,AE$1)</f>
        <v>0</v>
      </c>
      <c r="AF138" s="80">
        <f>SUMIFS('июнь 2024'!$G$4:$G$1823,'июнь 2024'!$D$4:$D$1823,$B138,'июнь 2024'!$J$4:$J$1823,AF$1)</f>
        <v>0</v>
      </c>
      <c r="AG138" s="80">
        <f>SUMIFS('июнь 2024'!$G$4:$G$1823,'июнь 2024'!$D$4:$D$1823,$B138,'июнь 2024'!$J$4:$J$1823,AG$1)</f>
        <v>0</v>
      </c>
      <c r="AH138" s="80">
        <f>SUMIFS('июнь 2024'!$G$4:$G$1823,'июнь 2024'!$D$4:$D$1823,$B138,'июнь 2024'!$J$4:$J$1823,AH$1)</f>
        <v>0</v>
      </c>
      <c r="AI138" s="21">
        <f t="shared" si="1"/>
        <v>0</v>
      </c>
    </row>
    <row r="139" spans="2:35" ht="15" customHeight="1" x14ac:dyDescent="0.25">
      <c r="B139" s="89" t="s">
        <v>339</v>
      </c>
      <c r="C139" s="88">
        <v>200</v>
      </c>
      <c r="D139" s="80">
        <f>SUMIFS('июнь 2024'!$G$4:$G$1823,'июнь 2024'!$D$4:$D$1823,$B139,'июнь 2024'!$J$4:$J$1823,D$1)</f>
        <v>0</v>
      </c>
      <c r="E139" s="80">
        <f>SUMIFS('июнь 2024'!$G$4:$G$1823,'июнь 2024'!$D$4:$D$1823,$B139,'июнь 2024'!$J$4:$J$1823,E$1)</f>
        <v>0</v>
      </c>
      <c r="F139" s="80">
        <f>SUMIFS('июнь 2024'!$G$4:$G$1823,'июнь 2024'!$D$4:$D$1823,$B139,'июнь 2024'!$J$4:$J$1823,F$1)</f>
        <v>0</v>
      </c>
      <c r="G139" s="80">
        <f>SUMIFS('июнь 2024'!$G$4:$G$1823,'июнь 2024'!$D$4:$D$1823,$B139,'июнь 2024'!$J$4:$J$1823,G$1)</f>
        <v>0</v>
      </c>
      <c r="H139" s="80">
        <f>SUMIFS('июнь 2024'!$G$4:$G$1823,'июнь 2024'!$D$4:$D$1823,$B139,'июнь 2024'!$J$4:$J$1823,H$1)</f>
        <v>0</v>
      </c>
      <c r="I139" s="80">
        <f>SUMIFS('июнь 2024'!$G$4:$G$1823,'июнь 2024'!$D$4:$D$1823,$B139,'июнь 2024'!$J$4:$J$1823,I$1)</f>
        <v>0</v>
      </c>
      <c r="J139" s="80">
        <f>SUMIFS('июнь 2024'!$G$4:$G$1823,'июнь 2024'!$D$4:$D$1823,$B139,'июнь 2024'!$J$4:$J$1823,J$1)</f>
        <v>0</v>
      </c>
      <c r="K139" s="80">
        <f>SUMIFS('июнь 2024'!$G$4:$G$1823,'июнь 2024'!$D$4:$D$1823,$B139,'июнь 2024'!$J$4:$J$1823,K$1)</f>
        <v>0</v>
      </c>
      <c r="L139" s="80">
        <f>SUMIFS('июнь 2024'!$G$4:$G$1823,'июнь 2024'!$D$4:$D$1823,$B139,'июнь 2024'!$J$4:$J$1823,L$1)</f>
        <v>0</v>
      </c>
      <c r="M139" s="80">
        <f>SUMIFS('июнь 2024'!$G$4:$G$1823,'июнь 2024'!$D$4:$D$1823,$B139,'июнь 2024'!$J$4:$J$1823,M$1)</f>
        <v>0</v>
      </c>
      <c r="N139" s="80">
        <f>SUMIFS('июнь 2024'!$G$4:$G$1823,'июнь 2024'!$D$4:$D$1823,$B139,'июнь 2024'!$J$4:$J$1823,N$1)</f>
        <v>0</v>
      </c>
      <c r="O139" s="80">
        <f>SUMIFS('июнь 2024'!$G$4:$G$1823,'июнь 2024'!$D$4:$D$1823,$B139,'июнь 2024'!$J$4:$J$1823,O$1)</f>
        <v>0</v>
      </c>
      <c r="P139" s="80">
        <f>SUMIFS('июнь 2024'!$G$4:$G$1823,'июнь 2024'!$D$4:$D$1823,$B139,'июнь 2024'!$J$4:$J$1823,P$1)</f>
        <v>0</v>
      </c>
      <c r="Q139" s="80">
        <f>SUMIFS('июнь 2024'!$G$4:$G$1823,'июнь 2024'!$D$4:$D$1823,$B139,'июнь 2024'!$J$4:$J$1823,Q$1)</f>
        <v>0</v>
      </c>
      <c r="R139" s="80">
        <f>SUMIFS('июнь 2024'!$G$4:$G$1823,'июнь 2024'!$D$4:$D$1823,$B139,'июнь 2024'!$J$4:$J$1823,R$1)</f>
        <v>0</v>
      </c>
      <c r="S139" s="80">
        <f>SUMIFS('июнь 2024'!$G$4:$G$1823,'июнь 2024'!$D$4:$D$1823,$B139,'июнь 2024'!$J$4:$J$1823,S$1)</f>
        <v>0</v>
      </c>
      <c r="T139" s="80">
        <f>SUMIFS('июнь 2024'!$G$4:$G$1823,'июнь 2024'!$D$4:$D$1823,$B139,'июнь 2024'!$J$4:$J$1823,T$1)</f>
        <v>0</v>
      </c>
      <c r="U139" s="80">
        <f>SUMIFS('июнь 2024'!$G$4:$G$1823,'июнь 2024'!$D$4:$D$1823,$B139,'июнь 2024'!$J$4:$J$1823,U$1)</f>
        <v>0</v>
      </c>
      <c r="V139" s="80">
        <f>SUMIFS('июнь 2024'!$G$4:$G$1823,'июнь 2024'!$D$4:$D$1823,$B139,'июнь 2024'!$J$4:$J$1823,V$1)</f>
        <v>0</v>
      </c>
      <c r="W139" s="80">
        <f>SUMIFS('июнь 2024'!$G$4:$G$1823,'июнь 2024'!$D$4:$D$1823,$B139,'июнь 2024'!$J$4:$J$1823,W$1)</f>
        <v>0</v>
      </c>
      <c r="X139" s="80">
        <f>SUMIFS('июнь 2024'!$G$4:$G$1823,'июнь 2024'!$D$4:$D$1823,$B139,'июнь 2024'!$J$4:$J$1823,X$1)</f>
        <v>0</v>
      </c>
      <c r="Y139" s="80">
        <f>SUMIFS('июнь 2024'!$G$4:$G$1823,'июнь 2024'!$D$4:$D$1823,$B139,'июнь 2024'!$J$4:$J$1823,Y$1)</f>
        <v>0</v>
      </c>
      <c r="Z139" s="80">
        <f>SUMIFS('июнь 2024'!$G$4:$G$1823,'июнь 2024'!$D$4:$D$1823,$B139,'июнь 2024'!$J$4:$J$1823,Z$1)</f>
        <v>0</v>
      </c>
      <c r="AA139" s="80">
        <f>SUMIFS('июнь 2024'!$G$4:$G$1823,'июнь 2024'!$D$4:$D$1823,$B139,'июнь 2024'!$J$4:$J$1823,AA$1)</f>
        <v>0</v>
      </c>
      <c r="AB139" s="80">
        <f>SUMIFS('июнь 2024'!$G$4:$G$1823,'июнь 2024'!$D$4:$D$1823,$B139,'июнь 2024'!$J$4:$J$1823,AB$1)</f>
        <v>0</v>
      </c>
      <c r="AC139" s="80">
        <f>SUMIFS('июнь 2024'!$G$4:$G$1823,'июнь 2024'!$D$4:$D$1823,$B139,'июнь 2024'!$J$4:$J$1823,AC$1)</f>
        <v>0</v>
      </c>
      <c r="AD139" s="80">
        <f>SUMIFS('июнь 2024'!$G$4:$G$1823,'июнь 2024'!$D$4:$D$1823,$B139,'июнь 2024'!$J$4:$J$1823,AD$1)</f>
        <v>0</v>
      </c>
      <c r="AE139" s="80">
        <f>SUMIFS('июнь 2024'!$G$4:$G$1823,'июнь 2024'!$D$4:$D$1823,$B139,'июнь 2024'!$J$4:$J$1823,AE$1)</f>
        <v>0</v>
      </c>
      <c r="AF139" s="80">
        <f>SUMIFS('июнь 2024'!$G$4:$G$1823,'июнь 2024'!$D$4:$D$1823,$B139,'июнь 2024'!$J$4:$J$1823,AF$1)</f>
        <v>0</v>
      </c>
      <c r="AG139" s="80">
        <f>SUMIFS('июнь 2024'!$G$4:$G$1823,'июнь 2024'!$D$4:$D$1823,$B139,'июнь 2024'!$J$4:$J$1823,AG$1)</f>
        <v>0</v>
      </c>
      <c r="AH139" s="80">
        <f>SUMIFS('июнь 2024'!$G$4:$G$1823,'июнь 2024'!$D$4:$D$1823,$B139,'июнь 2024'!$J$4:$J$1823,AH$1)</f>
        <v>0</v>
      </c>
      <c r="AI139" s="21">
        <f t="shared" si="1"/>
        <v>0</v>
      </c>
    </row>
    <row r="140" spans="2:35" ht="15" customHeight="1" x14ac:dyDescent="0.25">
      <c r="B140" s="89" t="s">
        <v>215</v>
      </c>
      <c r="C140" s="91">
        <v>200</v>
      </c>
      <c r="D140" s="80">
        <f>SUMIFS('июнь 2024'!$G$4:$G$1823,'июнь 2024'!$D$4:$D$1823,$B140,'июнь 2024'!$J$4:$J$1823,D$1)</f>
        <v>0</v>
      </c>
      <c r="E140" s="80">
        <f>SUMIFS('июнь 2024'!$G$4:$G$1823,'июнь 2024'!$D$4:$D$1823,$B140,'июнь 2024'!$J$4:$J$1823,E$1)</f>
        <v>0</v>
      </c>
      <c r="F140" s="80">
        <f>SUMIFS('июнь 2024'!$G$4:$G$1823,'июнь 2024'!$D$4:$D$1823,$B140,'июнь 2024'!$J$4:$J$1823,F$1)</f>
        <v>0</v>
      </c>
      <c r="G140" s="80">
        <f>SUMIFS('июнь 2024'!$G$4:$G$1823,'июнь 2024'!$D$4:$D$1823,$B140,'июнь 2024'!$J$4:$J$1823,G$1)</f>
        <v>0</v>
      </c>
      <c r="H140" s="80">
        <f>SUMIFS('июнь 2024'!$G$4:$G$1823,'июнь 2024'!$D$4:$D$1823,$B140,'июнь 2024'!$J$4:$J$1823,H$1)</f>
        <v>0</v>
      </c>
      <c r="I140" s="80">
        <f>SUMIFS('июнь 2024'!$G$4:$G$1823,'июнь 2024'!$D$4:$D$1823,$B140,'июнь 2024'!$J$4:$J$1823,I$1)</f>
        <v>0</v>
      </c>
      <c r="J140" s="80">
        <f>SUMIFS('июнь 2024'!$G$4:$G$1823,'июнь 2024'!$D$4:$D$1823,$B140,'июнь 2024'!$J$4:$J$1823,J$1)</f>
        <v>0</v>
      </c>
      <c r="K140" s="80">
        <f>SUMIFS('июнь 2024'!$G$4:$G$1823,'июнь 2024'!$D$4:$D$1823,$B140,'июнь 2024'!$J$4:$J$1823,K$1)</f>
        <v>0</v>
      </c>
      <c r="L140" s="80">
        <f>SUMIFS('июнь 2024'!$G$4:$G$1823,'июнь 2024'!$D$4:$D$1823,$B140,'июнь 2024'!$J$4:$J$1823,L$1)</f>
        <v>0</v>
      </c>
      <c r="M140" s="80">
        <f>SUMIFS('июнь 2024'!$G$4:$G$1823,'июнь 2024'!$D$4:$D$1823,$B140,'июнь 2024'!$J$4:$J$1823,M$1)</f>
        <v>0</v>
      </c>
      <c r="N140" s="80">
        <f>SUMIFS('июнь 2024'!$G$4:$G$1823,'июнь 2024'!$D$4:$D$1823,$B140,'июнь 2024'!$J$4:$J$1823,N$1)</f>
        <v>0</v>
      </c>
      <c r="O140" s="80">
        <f>SUMIFS('июнь 2024'!$G$4:$G$1823,'июнь 2024'!$D$4:$D$1823,$B140,'июнь 2024'!$J$4:$J$1823,O$1)</f>
        <v>0</v>
      </c>
      <c r="P140" s="80">
        <f>SUMIFS('июнь 2024'!$G$4:$G$1823,'июнь 2024'!$D$4:$D$1823,$B140,'июнь 2024'!$J$4:$J$1823,P$1)</f>
        <v>0</v>
      </c>
      <c r="Q140" s="80">
        <f>SUMIFS('июнь 2024'!$G$4:$G$1823,'июнь 2024'!$D$4:$D$1823,$B140,'июнь 2024'!$J$4:$J$1823,Q$1)</f>
        <v>0</v>
      </c>
      <c r="R140" s="80">
        <f>SUMIFS('июнь 2024'!$G$4:$G$1823,'июнь 2024'!$D$4:$D$1823,$B140,'июнь 2024'!$J$4:$J$1823,R$1)</f>
        <v>0</v>
      </c>
      <c r="S140" s="80">
        <f>SUMIFS('июнь 2024'!$G$4:$G$1823,'июнь 2024'!$D$4:$D$1823,$B140,'июнь 2024'!$J$4:$J$1823,S$1)</f>
        <v>0</v>
      </c>
      <c r="T140" s="80">
        <f>SUMIFS('июнь 2024'!$G$4:$G$1823,'июнь 2024'!$D$4:$D$1823,$B140,'июнь 2024'!$J$4:$J$1823,T$1)</f>
        <v>0</v>
      </c>
      <c r="U140" s="80">
        <f>SUMIFS('июнь 2024'!$G$4:$G$1823,'июнь 2024'!$D$4:$D$1823,$B140,'июнь 2024'!$J$4:$J$1823,U$1)</f>
        <v>0</v>
      </c>
      <c r="V140" s="80">
        <f>SUMIFS('июнь 2024'!$G$4:$G$1823,'июнь 2024'!$D$4:$D$1823,$B140,'июнь 2024'!$J$4:$J$1823,V$1)</f>
        <v>0</v>
      </c>
      <c r="W140" s="80">
        <f>SUMIFS('июнь 2024'!$G$4:$G$1823,'июнь 2024'!$D$4:$D$1823,$B140,'июнь 2024'!$J$4:$J$1823,W$1)</f>
        <v>0</v>
      </c>
      <c r="X140" s="80">
        <f>SUMIFS('июнь 2024'!$G$4:$G$1823,'июнь 2024'!$D$4:$D$1823,$B140,'июнь 2024'!$J$4:$J$1823,X$1)</f>
        <v>0</v>
      </c>
      <c r="Y140" s="80">
        <f>SUMIFS('июнь 2024'!$G$4:$G$1823,'июнь 2024'!$D$4:$D$1823,$B140,'июнь 2024'!$J$4:$J$1823,Y$1)</f>
        <v>0</v>
      </c>
      <c r="Z140" s="80">
        <f>SUMIFS('июнь 2024'!$G$4:$G$1823,'июнь 2024'!$D$4:$D$1823,$B140,'июнь 2024'!$J$4:$J$1823,Z$1)</f>
        <v>0</v>
      </c>
      <c r="AA140" s="80">
        <f>SUMIFS('июнь 2024'!$G$4:$G$1823,'июнь 2024'!$D$4:$D$1823,$B140,'июнь 2024'!$J$4:$J$1823,AA$1)</f>
        <v>0</v>
      </c>
      <c r="AB140" s="80">
        <f>SUMIFS('июнь 2024'!$G$4:$G$1823,'июнь 2024'!$D$4:$D$1823,$B140,'июнь 2024'!$J$4:$J$1823,AB$1)</f>
        <v>0</v>
      </c>
      <c r="AC140" s="80">
        <f>SUMIFS('июнь 2024'!$G$4:$G$1823,'июнь 2024'!$D$4:$D$1823,$B140,'июнь 2024'!$J$4:$J$1823,AC$1)</f>
        <v>0</v>
      </c>
      <c r="AD140" s="80">
        <f>SUMIFS('июнь 2024'!$G$4:$G$1823,'июнь 2024'!$D$4:$D$1823,$B140,'июнь 2024'!$J$4:$J$1823,AD$1)</f>
        <v>0</v>
      </c>
      <c r="AE140" s="80">
        <f>SUMIFS('июнь 2024'!$G$4:$G$1823,'июнь 2024'!$D$4:$D$1823,$B140,'июнь 2024'!$J$4:$J$1823,AE$1)</f>
        <v>0</v>
      </c>
      <c r="AF140" s="80">
        <f>SUMIFS('июнь 2024'!$G$4:$G$1823,'июнь 2024'!$D$4:$D$1823,$B140,'июнь 2024'!$J$4:$J$1823,AF$1)</f>
        <v>0</v>
      </c>
      <c r="AG140" s="80">
        <f>SUMIFS('июнь 2024'!$G$4:$G$1823,'июнь 2024'!$D$4:$D$1823,$B140,'июнь 2024'!$J$4:$J$1823,AG$1)</f>
        <v>0</v>
      </c>
      <c r="AH140" s="80">
        <f>SUMIFS('июнь 2024'!$G$4:$G$1823,'июнь 2024'!$D$4:$D$1823,$B140,'июнь 2024'!$J$4:$J$1823,AH$1)</f>
        <v>0</v>
      </c>
      <c r="AI140" s="21">
        <f t="shared" si="1"/>
        <v>0</v>
      </c>
    </row>
    <row r="141" spans="2:35" ht="15" customHeight="1" x14ac:dyDescent="0.25">
      <c r="B141" s="89" t="s">
        <v>585</v>
      </c>
      <c r="C141" s="91">
        <v>200</v>
      </c>
      <c r="D141" s="80">
        <f>SUMIFS('июнь 2024'!$G$4:$G$1823,'июнь 2024'!$D$4:$D$1823,$B141,'июнь 2024'!$J$4:$J$1823,D$1)</f>
        <v>0</v>
      </c>
      <c r="E141" s="80">
        <f>SUMIFS('июнь 2024'!$G$4:$G$1823,'июнь 2024'!$D$4:$D$1823,$B141,'июнь 2024'!$J$4:$J$1823,E$1)</f>
        <v>0</v>
      </c>
      <c r="F141" s="80">
        <f>SUMIFS('июнь 2024'!$G$4:$G$1823,'июнь 2024'!$D$4:$D$1823,$B141,'июнь 2024'!$J$4:$J$1823,F$1)</f>
        <v>0</v>
      </c>
      <c r="G141" s="80">
        <f>SUMIFS('июнь 2024'!$G$4:$G$1823,'июнь 2024'!$D$4:$D$1823,$B141,'июнь 2024'!$J$4:$J$1823,G$1)</f>
        <v>0</v>
      </c>
      <c r="H141" s="80">
        <f>SUMIFS('июнь 2024'!$G$4:$G$1823,'июнь 2024'!$D$4:$D$1823,$B141,'июнь 2024'!$J$4:$J$1823,H$1)</f>
        <v>0</v>
      </c>
      <c r="I141" s="80">
        <f>SUMIFS('июнь 2024'!$G$4:$G$1823,'июнь 2024'!$D$4:$D$1823,$B141,'июнь 2024'!$J$4:$J$1823,I$1)</f>
        <v>0</v>
      </c>
      <c r="J141" s="80">
        <f>SUMIFS('июнь 2024'!$G$4:$G$1823,'июнь 2024'!$D$4:$D$1823,$B141,'июнь 2024'!$J$4:$J$1823,J$1)</f>
        <v>0</v>
      </c>
      <c r="K141" s="80">
        <f>SUMIFS('июнь 2024'!$G$4:$G$1823,'июнь 2024'!$D$4:$D$1823,$B141,'июнь 2024'!$J$4:$J$1823,K$1)</f>
        <v>0</v>
      </c>
      <c r="L141" s="80">
        <f>SUMIFS('июнь 2024'!$G$4:$G$1823,'июнь 2024'!$D$4:$D$1823,$B141,'июнь 2024'!$J$4:$J$1823,L$1)</f>
        <v>0</v>
      </c>
      <c r="M141" s="80">
        <f>SUMIFS('июнь 2024'!$G$4:$G$1823,'июнь 2024'!$D$4:$D$1823,$B141,'июнь 2024'!$J$4:$J$1823,M$1)</f>
        <v>0</v>
      </c>
      <c r="N141" s="80">
        <f>SUMIFS('июнь 2024'!$G$4:$G$1823,'июнь 2024'!$D$4:$D$1823,$B141,'июнь 2024'!$J$4:$J$1823,N$1)</f>
        <v>0</v>
      </c>
      <c r="O141" s="80">
        <f>SUMIFS('июнь 2024'!$G$4:$G$1823,'июнь 2024'!$D$4:$D$1823,$B141,'июнь 2024'!$J$4:$J$1823,O$1)</f>
        <v>0</v>
      </c>
      <c r="P141" s="80">
        <f>SUMIFS('июнь 2024'!$G$4:$G$1823,'июнь 2024'!$D$4:$D$1823,$B141,'июнь 2024'!$J$4:$J$1823,P$1)</f>
        <v>0</v>
      </c>
      <c r="Q141" s="80">
        <f>SUMIFS('июнь 2024'!$G$4:$G$1823,'июнь 2024'!$D$4:$D$1823,$B141,'июнь 2024'!$J$4:$J$1823,Q$1)</f>
        <v>0</v>
      </c>
      <c r="R141" s="80">
        <f>SUMIFS('июнь 2024'!$G$4:$G$1823,'июнь 2024'!$D$4:$D$1823,$B141,'июнь 2024'!$J$4:$J$1823,R$1)</f>
        <v>0</v>
      </c>
      <c r="S141" s="80">
        <f>SUMIFS('июнь 2024'!$G$4:$G$1823,'июнь 2024'!$D$4:$D$1823,$B141,'июнь 2024'!$J$4:$J$1823,S$1)</f>
        <v>0</v>
      </c>
      <c r="T141" s="80">
        <f>SUMIFS('июнь 2024'!$G$4:$G$1823,'июнь 2024'!$D$4:$D$1823,$B141,'июнь 2024'!$J$4:$J$1823,T$1)</f>
        <v>0</v>
      </c>
      <c r="U141" s="80">
        <f>SUMIFS('июнь 2024'!$G$4:$G$1823,'июнь 2024'!$D$4:$D$1823,$B141,'июнь 2024'!$J$4:$J$1823,U$1)</f>
        <v>0</v>
      </c>
      <c r="V141" s="80">
        <f>SUMIFS('июнь 2024'!$G$4:$G$1823,'июнь 2024'!$D$4:$D$1823,$B141,'июнь 2024'!$J$4:$J$1823,V$1)</f>
        <v>0</v>
      </c>
      <c r="W141" s="80">
        <f>SUMIFS('июнь 2024'!$G$4:$G$1823,'июнь 2024'!$D$4:$D$1823,$B141,'июнь 2024'!$J$4:$J$1823,W$1)</f>
        <v>0</v>
      </c>
      <c r="X141" s="80">
        <f>SUMIFS('июнь 2024'!$G$4:$G$1823,'июнь 2024'!$D$4:$D$1823,$B141,'июнь 2024'!$J$4:$J$1823,X$1)</f>
        <v>0</v>
      </c>
      <c r="Y141" s="80">
        <f>SUMIFS('июнь 2024'!$G$4:$G$1823,'июнь 2024'!$D$4:$D$1823,$B141,'июнь 2024'!$J$4:$J$1823,Y$1)</f>
        <v>0</v>
      </c>
      <c r="Z141" s="80">
        <f>SUMIFS('июнь 2024'!$G$4:$G$1823,'июнь 2024'!$D$4:$D$1823,$B141,'июнь 2024'!$J$4:$J$1823,Z$1)</f>
        <v>0</v>
      </c>
      <c r="AA141" s="80">
        <f>SUMIFS('июнь 2024'!$G$4:$G$1823,'июнь 2024'!$D$4:$D$1823,$B141,'июнь 2024'!$J$4:$J$1823,AA$1)</f>
        <v>0</v>
      </c>
      <c r="AB141" s="80">
        <f>SUMIFS('июнь 2024'!$G$4:$G$1823,'июнь 2024'!$D$4:$D$1823,$B141,'июнь 2024'!$J$4:$J$1823,AB$1)</f>
        <v>0</v>
      </c>
      <c r="AC141" s="80">
        <f>SUMIFS('июнь 2024'!$G$4:$G$1823,'июнь 2024'!$D$4:$D$1823,$B141,'июнь 2024'!$J$4:$J$1823,AC$1)</f>
        <v>0</v>
      </c>
      <c r="AD141" s="80">
        <f>SUMIFS('июнь 2024'!$G$4:$G$1823,'июнь 2024'!$D$4:$D$1823,$B141,'июнь 2024'!$J$4:$J$1823,AD$1)</f>
        <v>0</v>
      </c>
      <c r="AE141" s="80">
        <f>SUMIFS('июнь 2024'!$G$4:$G$1823,'июнь 2024'!$D$4:$D$1823,$B141,'июнь 2024'!$J$4:$J$1823,AE$1)</f>
        <v>0</v>
      </c>
      <c r="AF141" s="80">
        <f>SUMIFS('июнь 2024'!$G$4:$G$1823,'июнь 2024'!$D$4:$D$1823,$B141,'июнь 2024'!$J$4:$J$1823,AF$1)</f>
        <v>0</v>
      </c>
      <c r="AG141" s="80">
        <f>SUMIFS('июнь 2024'!$G$4:$G$1823,'июнь 2024'!$D$4:$D$1823,$B141,'июнь 2024'!$J$4:$J$1823,AG$1)</f>
        <v>0</v>
      </c>
      <c r="AH141" s="80">
        <f>SUMIFS('июнь 2024'!$G$4:$G$1823,'июнь 2024'!$D$4:$D$1823,$B141,'июнь 2024'!$J$4:$J$1823,AH$1)</f>
        <v>0</v>
      </c>
      <c r="AI141" s="21">
        <f t="shared" si="1"/>
        <v>0</v>
      </c>
    </row>
    <row r="142" spans="2:35" ht="15" customHeight="1" x14ac:dyDescent="0.25">
      <c r="B142" s="93" t="s">
        <v>186</v>
      </c>
      <c r="C142" s="91">
        <v>25</v>
      </c>
      <c r="D142" s="80">
        <f>SUMIFS('июнь 2024'!$G$4:$G$1823,'июнь 2024'!$D$4:$D$1823,$B142,'июнь 2024'!$J$4:$J$1823,D$1)</f>
        <v>0</v>
      </c>
      <c r="E142" s="80">
        <f>SUMIFS('июнь 2024'!$G$4:$G$1823,'июнь 2024'!$D$4:$D$1823,$B142,'июнь 2024'!$J$4:$J$1823,E$1)</f>
        <v>0</v>
      </c>
      <c r="F142" s="80">
        <f>SUMIFS('июнь 2024'!$G$4:$G$1823,'июнь 2024'!$D$4:$D$1823,$B142,'июнь 2024'!$J$4:$J$1823,F$1)</f>
        <v>0</v>
      </c>
      <c r="G142" s="80">
        <f>SUMIFS('июнь 2024'!$G$4:$G$1823,'июнь 2024'!$D$4:$D$1823,$B142,'июнь 2024'!$J$4:$J$1823,G$1)</f>
        <v>0</v>
      </c>
      <c r="H142" s="80">
        <f>SUMIFS('июнь 2024'!$G$4:$G$1823,'июнь 2024'!$D$4:$D$1823,$B142,'июнь 2024'!$J$4:$J$1823,H$1)</f>
        <v>0</v>
      </c>
      <c r="I142" s="80">
        <f>SUMIFS('июнь 2024'!$G$4:$G$1823,'июнь 2024'!$D$4:$D$1823,$B142,'июнь 2024'!$J$4:$J$1823,I$1)</f>
        <v>0</v>
      </c>
      <c r="J142" s="80">
        <f>SUMIFS('июнь 2024'!$G$4:$G$1823,'июнь 2024'!$D$4:$D$1823,$B142,'июнь 2024'!$J$4:$J$1823,J$1)</f>
        <v>0</v>
      </c>
      <c r="K142" s="80">
        <f>SUMIFS('июнь 2024'!$G$4:$G$1823,'июнь 2024'!$D$4:$D$1823,$B142,'июнь 2024'!$J$4:$J$1823,K$1)</f>
        <v>0</v>
      </c>
      <c r="L142" s="80">
        <f>SUMIFS('июнь 2024'!$G$4:$G$1823,'июнь 2024'!$D$4:$D$1823,$B142,'июнь 2024'!$J$4:$J$1823,L$1)</f>
        <v>0</v>
      </c>
      <c r="M142" s="80">
        <f>SUMIFS('июнь 2024'!$G$4:$G$1823,'июнь 2024'!$D$4:$D$1823,$B142,'июнь 2024'!$J$4:$J$1823,M$1)</f>
        <v>0</v>
      </c>
      <c r="N142" s="80">
        <f>SUMIFS('июнь 2024'!$G$4:$G$1823,'июнь 2024'!$D$4:$D$1823,$B142,'июнь 2024'!$J$4:$J$1823,N$1)</f>
        <v>0</v>
      </c>
      <c r="O142" s="80">
        <f>SUMIFS('июнь 2024'!$G$4:$G$1823,'июнь 2024'!$D$4:$D$1823,$B142,'июнь 2024'!$J$4:$J$1823,O$1)</f>
        <v>0</v>
      </c>
      <c r="P142" s="80">
        <f>SUMIFS('июнь 2024'!$G$4:$G$1823,'июнь 2024'!$D$4:$D$1823,$B142,'июнь 2024'!$J$4:$J$1823,P$1)</f>
        <v>0</v>
      </c>
      <c r="Q142" s="80">
        <f>SUMIFS('июнь 2024'!$G$4:$G$1823,'июнь 2024'!$D$4:$D$1823,$B142,'июнь 2024'!$J$4:$J$1823,Q$1)</f>
        <v>0</v>
      </c>
      <c r="R142" s="80">
        <f>SUMIFS('июнь 2024'!$G$4:$G$1823,'июнь 2024'!$D$4:$D$1823,$B142,'июнь 2024'!$J$4:$J$1823,R$1)</f>
        <v>0</v>
      </c>
      <c r="S142" s="80">
        <f>SUMIFS('июнь 2024'!$G$4:$G$1823,'июнь 2024'!$D$4:$D$1823,$B142,'июнь 2024'!$J$4:$J$1823,S$1)</f>
        <v>0</v>
      </c>
      <c r="T142" s="80">
        <f>SUMIFS('июнь 2024'!$G$4:$G$1823,'июнь 2024'!$D$4:$D$1823,$B142,'июнь 2024'!$J$4:$J$1823,T$1)</f>
        <v>0</v>
      </c>
      <c r="U142" s="80">
        <f>SUMIFS('июнь 2024'!$G$4:$G$1823,'июнь 2024'!$D$4:$D$1823,$B142,'июнь 2024'!$J$4:$J$1823,U$1)</f>
        <v>0</v>
      </c>
      <c r="V142" s="80">
        <f>SUMIFS('июнь 2024'!$G$4:$G$1823,'июнь 2024'!$D$4:$D$1823,$B142,'июнь 2024'!$J$4:$J$1823,V$1)</f>
        <v>0</v>
      </c>
      <c r="W142" s="80">
        <f>SUMIFS('июнь 2024'!$G$4:$G$1823,'июнь 2024'!$D$4:$D$1823,$B142,'июнь 2024'!$J$4:$J$1823,W$1)</f>
        <v>0</v>
      </c>
      <c r="X142" s="80">
        <f>SUMIFS('июнь 2024'!$G$4:$G$1823,'июнь 2024'!$D$4:$D$1823,$B142,'июнь 2024'!$J$4:$J$1823,X$1)</f>
        <v>0</v>
      </c>
      <c r="Y142" s="80">
        <f>SUMIFS('июнь 2024'!$G$4:$G$1823,'июнь 2024'!$D$4:$D$1823,$B142,'июнь 2024'!$J$4:$J$1823,Y$1)</f>
        <v>0</v>
      </c>
      <c r="Z142" s="80">
        <f>SUMIFS('июнь 2024'!$G$4:$G$1823,'июнь 2024'!$D$4:$D$1823,$B142,'июнь 2024'!$J$4:$J$1823,Z$1)</f>
        <v>0</v>
      </c>
      <c r="AA142" s="80">
        <f>SUMIFS('июнь 2024'!$G$4:$G$1823,'июнь 2024'!$D$4:$D$1823,$B142,'июнь 2024'!$J$4:$J$1823,AA$1)</f>
        <v>0</v>
      </c>
      <c r="AB142" s="80">
        <f>SUMIFS('июнь 2024'!$G$4:$G$1823,'июнь 2024'!$D$4:$D$1823,$B142,'июнь 2024'!$J$4:$J$1823,AB$1)</f>
        <v>0</v>
      </c>
      <c r="AC142" s="80">
        <f>SUMIFS('июнь 2024'!$G$4:$G$1823,'июнь 2024'!$D$4:$D$1823,$B142,'июнь 2024'!$J$4:$J$1823,AC$1)</f>
        <v>0</v>
      </c>
      <c r="AD142" s="80">
        <f>SUMIFS('июнь 2024'!$G$4:$G$1823,'июнь 2024'!$D$4:$D$1823,$B142,'июнь 2024'!$J$4:$J$1823,AD$1)</f>
        <v>0</v>
      </c>
      <c r="AE142" s="80">
        <f>SUMIFS('июнь 2024'!$G$4:$G$1823,'июнь 2024'!$D$4:$D$1823,$B142,'июнь 2024'!$J$4:$J$1823,AE$1)</f>
        <v>0</v>
      </c>
      <c r="AF142" s="80">
        <f>SUMIFS('июнь 2024'!$G$4:$G$1823,'июнь 2024'!$D$4:$D$1823,$B142,'июнь 2024'!$J$4:$J$1823,AF$1)</f>
        <v>0</v>
      </c>
      <c r="AG142" s="80">
        <f>SUMIFS('июнь 2024'!$G$4:$G$1823,'июнь 2024'!$D$4:$D$1823,$B142,'июнь 2024'!$J$4:$J$1823,AG$1)</f>
        <v>0</v>
      </c>
      <c r="AH142" s="80">
        <f>SUMIFS('июнь 2024'!$G$4:$G$1823,'июнь 2024'!$D$4:$D$1823,$B142,'июнь 2024'!$J$4:$J$1823,AH$1)</f>
        <v>0</v>
      </c>
      <c r="AI142" s="21">
        <f t="shared" si="1"/>
        <v>0</v>
      </c>
    </row>
    <row r="143" spans="2:35" ht="15" customHeight="1" x14ac:dyDescent="0.25">
      <c r="B143" s="89" t="s">
        <v>184</v>
      </c>
      <c r="C143" s="88">
        <v>25</v>
      </c>
      <c r="D143" s="80">
        <f>SUMIFS('июнь 2024'!$G$4:$G$1823,'июнь 2024'!$D$4:$D$1823,$B143,'июнь 2024'!$J$4:$J$1823,D$1)</f>
        <v>0</v>
      </c>
      <c r="E143" s="80">
        <f>SUMIFS('июнь 2024'!$G$4:$G$1823,'июнь 2024'!$D$4:$D$1823,$B143,'июнь 2024'!$J$4:$J$1823,E$1)</f>
        <v>0</v>
      </c>
      <c r="F143" s="80">
        <f>SUMIFS('июнь 2024'!$G$4:$G$1823,'июнь 2024'!$D$4:$D$1823,$B143,'июнь 2024'!$J$4:$J$1823,F$1)</f>
        <v>0</v>
      </c>
      <c r="G143" s="80">
        <f>SUMIFS('июнь 2024'!$G$4:$G$1823,'июнь 2024'!$D$4:$D$1823,$B143,'июнь 2024'!$J$4:$J$1823,G$1)</f>
        <v>0</v>
      </c>
      <c r="H143" s="80">
        <f>SUMIFS('июнь 2024'!$G$4:$G$1823,'июнь 2024'!$D$4:$D$1823,$B143,'июнь 2024'!$J$4:$J$1823,H$1)</f>
        <v>0</v>
      </c>
      <c r="I143" s="80">
        <f>SUMIFS('июнь 2024'!$G$4:$G$1823,'июнь 2024'!$D$4:$D$1823,$B143,'июнь 2024'!$J$4:$J$1823,I$1)</f>
        <v>0</v>
      </c>
      <c r="J143" s="80">
        <f>SUMIFS('июнь 2024'!$G$4:$G$1823,'июнь 2024'!$D$4:$D$1823,$B143,'июнь 2024'!$J$4:$J$1823,J$1)</f>
        <v>0</v>
      </c>
      <c r="K143" s="80">
        <f>SUMIFS('июнь 2024'!$G$4:$G$1823,'июнь 2024'!$D$4:$D$1823,$B143,'июнь 2024'!$J$4:$J$1823,K$1)</f>
        <v>0</v>
      </c>
      <c r="L143" s="80">
        <f>SUMIFS('июнь 2024'!$G$4:$G$1823,'июнь 2024'!$D$4:$D$1823,$B143,'июнь 2024'!$J$4:$J$1823,L$1)</f>
        <v>0</v>
      </c>
      <c r="M143" s="80">
        <f>SUMIFS('июнь 2024'!$G$4:$G$1823,'июнь 2024'!$D$4:$D$1823,$B143,'июнь 2024'!$J$4:$J$1823,M$1)</f>
        <v>0</v>
      </c>
      <c r="N143" s="80">
        <f>SUMIFS('июнь 2024'!$G$4:$G$1823,'июнь 2024'!$D$4:$D$1823,$B143,'июнь 2024'!$J$4:$J$1823,N$1)</f>
        <v>0</v>
      </c>
      <c r="O143" s="80">
        <f>SUMIFS('июнь 2024'!$G$4:$G$1823,'июнь 2024'!$D$4:$D$1823,$B143,'июнь 2024'!$J$4:$J$1823,O$1)</f>
        <v>0</v>
      </c>
      <c r="P143" s="80">
        <f>SUMIFS('июнь 2024'!$G$4:$G$1823,'июнь 2024'!$D$4:$D$1823,$B143,'июнь 2024'!$J$4:$J$1823,P$1)</f>
        <v>0</v>
      </c>
      <c r="Q143" s="80">
        <f>SUMIFS('июнь 2024'!$G$4:$G$1823,'июнь 2024'!$D$4:$D$1823,$B143,'июнь 2024'!$J$4:$J$1823,Q$1)</f>
        <v>0</v>
      </c>
      <c r="R143" s="80">
        <f>SUMIFS('июнь 2024'!$G$4:$G$1823,'июнь 2024'!$D$4:$D$1823,$B143,'июнь 2024'!$J$4:$J$1823,R$1)</f>
        <v>0</v>
      </c>
      <c r="S143" s="80">
        <f>SUMIFS('июнь 2024'!$G$4:$G$1823,'июнь 2024'!$D$4:$D$1823,$B143,'июнь 2024'!$J$4:$J$1823,S$1)</f>
        <v>0</v>
      </c>
      <c r="T143" s="80">
        <f>SUMIFS('июнь 2024'!$G$4:$G$1823,'июнь 2024'!$D$4:$D$1823,$B143,'июнь 2024'!$J$4:$J$1823,T$1)</f>
        <v>0</v>
      </c>
      <c r="U143" s="80">
        <f>SUMIFS('июнь 2024'!$G$4:$G$1823,'июнь 2024'!$D$4:$D$1823,$B143,'июнь 2024'!$J$4:$J$1823,U$1)</f>
        <v>0</v>
      </c>
      <c r="V143" s="80">
        <f>SUMIFS('июнь 2024'!$G$4:$G$1823,'июнь 2024'!$D$4:$D$1823,$B143,'июнь 2024'!$J$4:$J$1823,V$1)</f>
        <v>0</v>
      </c>
      <c r="W143" s="80">
        <f>SUMIFS('июнь 2024'!$G$4:$G$1823,'июнь 2024'!$D$4:$D$1823,$B143,'июнь 2024'!$J$4:$J$1823,W$1)</f>
        <v>0</v>
      </c>
      <c r="X143" s="80">
        <f>SUMIFS('июнь 2024'!$G$4:$G$1823,'июнь 2024'!$D$4:$D$1823,$B143,'июнь 2024'!$J$4:$J$1823,X$1)</f>
        <v>0</v>
      </c>
      <c r="Y143" s="80">
        <f>SUMIFS('июнь 2024'!$G$4:$G$1823,'июнь 2024'!$D$4:$D$1823,$B143,'июнь 2024'!$J$4:$J$1823,Y$1)</f>
        <v>0</v>
      </c>
      <c r="Z143" s="80">
        <f>SUMIFS('июнь 2024'!$G$4:$G$1823,'июнь 2024'!$D$4:$D$1823,$B143,'июнь 2024'!$J$4:$J$1823,Z$1)</f>
        <v>0</v>
      </c>
      <c r="AA143" s="80">
        <f>SUMIFS('июнь 2024'!$G$4:$G$1823,'июнь 2024'!$D$4:$D$1823,$B143,'июнь 2024'!$J$4:$J$1823,AA$1)</f>
        <v>0</v>
      </c>
      <c r="AB143" s="80">
        <f>SUMIFS('июнь 2024'!$G$4:$G$1823,'июнь 2024'!$D$4:$D$1823,$B143,'июнь 2024'!$J$4:$J$1823,AB$1)</f>
        <v>0</v>
      </c>
      <c r="AC143" s="80">
        <f>SUMIFS('июнь 2024'!$G$4:$G$1823,'июнь 2024'!$D$4:$D$1823,$B143,'июнь 2024'!$J$4:$J$1823,AC$1)</f>
        <v>0</v>
      </c>
      <c r="AD143" s="80">
        <f>SUMIFS('июнь 2024'!$G$4:$G$1823,'июнь 2024'!$D$4:$D$1823,$B143,'июнь 2024'!$J$4:$J$1823,AD$1)</f>
        <v>0</v>
      </c>
      <c r="AE143" s="80">
        <f>SUMIFS('июнь 2024'!$G$4:$G$1823,'июнь 2024'!$D$4:$D$1823,$B143,'июнь 2024'!$J$4:$J$1823,AE$1)</f>
        <v>0</v>
      </c>
      <c r="AF143" s="80">
        <f>SUMIFS('июнь 2024'!$G$4:$G$1823,'июнь 2024'!$D$4:$D$1823,$B143,'июнь 2024'!$J$4:$J$1823,AF$1)</f>
        <v>0</v>
      </c>
      <c r="AG143" s="80">
        <f>SUMIFS('июнь 2024'!$G$4:$G$1823,'июнь 2024'!$D$4:$D$1823,$B143,'июнь 2024'!$J$4:$J$1823,AG$1)</f>
        <v>0</v>
      </c>
      <c r="AH143" s="80">
        <f>SUMIFS('июнь 2024'!$G$4:$G$1823,'июнь 2024'!$D$4:$D$1823,$B143,'июнь 2024'!$J$4:$J$1823,AH$1)</f>
        <v>0</v>
      </c>
      <c r="AI143" s="21">
        <f t="shared" si="1"/>
        <v>0</v>
      </c>
    </row>
    <row r="144" spans="2:35" ht="15" customHeight="1" x14ac:dyDescent="0.25">
      <c r="B144" s="89" t="s">
        <v>185</v>
      </c>
      <c r="C144" s="88">
        <v>25</v>
      </c>
      <c r="D144" s="80">
        <f>SUMIFS('июнь 2024'!$G$4:$G$1823,'июнь 2024'!$D$4:$D$1823,$B144,'июнь 2024'!$J$4:$J$1823,D$1)</f>
        <v>0</v>
      </c>
      <c r="E144" s="80">
        <f>SUMIFS('июнь 2024'!$G$4:$G$1823,'июнь 2024'!$D$4:$D$1823,$B144,'июнь 2024'!$J$4:$J$1823,E$1)</f>
        <v>0</v>
      </c>
      <c r="F144" s="80">
        <f>SUMIFS('июнь 2024'!$G$4:$G$1823,'июнь 2024'!$D$4:$D$1823,$B144,'июнь 2024'!$J$4:$J$1823,F$1)</f>
        <v>0</v>
      </c>
      <c r="G144" s="80">
        <f>SUMIFS('июнь 2024'!$G$4:$G$1823,'июнь 2024'!$D$4:$D$1823,$B144,'июнь 2024'!$J$4:$J$1823,G$1)</f>
        <v>0</v>
      </c>
      <c r="H144" s="80">
        <f>SUMIFS('июнь 2024'!$G$4:$G$1823,'июнь 2024'!$D$4:$D$1823,$B144,'июнь 2024'!$J$4:$J$1823,H$1)</f>
        <v>0</v>
      </c>
      <c r="I144" s="80">
        <f>SUMIFS('июнь 2024'!$G$4:$G$1823,'июнь 2024'!$D$4:$D$1823,$B144,'июнь 2024'!$J$4:$J$1823,I$1)</f>
        <v>0</v>
      </c>
      <c r="J144" s="80">
        <f>SUMIFS('июнь 2024'!$G$4:$G$1823,'июнь 2024'!$D$4:$D$1823,$B144,'июнь 2024'!$J$4:$J$1823,J$1)</f>
        <v>0</v>
      </c>
      <c r="K144" s="80">
        <f>SUMIFS('июнь 2024'!$G$4:$G$1823,'июнь 2024'!$D$4:$D$1823,$B144,'июнь 2024'!$J$4:$J$1823,K$1)</f>
        <v>0</v>
      </c>
      <c r="L144" s="80">
        <f>SUMIFS('июнь 2024'!$G$4:$G$1823,'июнь 2024'!$D$4:$D$1823,$B144,'июнь 2024'!$J$4:$J$1823,L$1)</f>
        <v>0</v>
      </c>
      <c r="M144" s="80">
        <f>SUMIFS('июнь 2024'!$G$4:$G$1823,'июнь 2024'!$D$4:$D$1823,$B144,'июнь 2024'!$J$4:$J$1823,M$1)</f>
        <v>0</v>
      </c>
      <c r="N144" s="80">
        <f>SUMIFS('июнь 2024'!$G$4:$G$1823,'июнь 2024'!$D$4:$D$1823,$B144,'июнь 2024'!$J$4:$J$1823,N$1)</f>
        <v>0</v>
      </c>
      <c r="O144" s="80">
        <f>SUMIFS('июнь 2024'!$G$4:$G$1823,'июнь 2024'!$D$4:$D$1823,$B144,'июнь 2024'!$J$4:$J$1823,O$1)</f>
        <v>0</v>
      </c>
      <c r="P144" s="80">
        <f>SUMIFS('июнь 2024'!$G$4:$G$1823,'июнь 2024'!$D$4:$D$1823,$B144,'июнь 2024'!$J$4:$J$1823,P$1)</f>
        <v>0</v>
      </c>
      <c r="Q144" s="80">
        <f>SUMIFS('июнь 2024'!$G$4:$G$1823,'июнь 2024'!$D$4:$D$1823,$B144,'июнь 2024'!$J$4:$J$1823,Q$1)</f>
        <v>0</v>
      </c>
      <c r="R144" s="80">
        <f>SUMIFS('июнь 2024'!$G$4:$G$1823,'июнь 2024'!$D$4:$D$1823,$B144,'июнь 2024'!$J$4:$J$1823,R$1)</f>
        <v>0</v>
      </c>
      <c r="S144" s="80">
        <f>SUMIFS('июнь 2024'!$G$4:$G$1823,'июнь 2024'!$D$4:$D$1823,$B144,'июнь 2024'!$J$4:$J$1823,S$1)</f>
        <v>0</v>
      </c>
      <c r="T144" s="80">
        <f>SUMIFS('июнь 2024'!$G$4:$G$1823,'июнь 2024'!$D$4:$D$1823,$B144,'июнь 2024'!$J$4:$J$1823,T$1)</f>
        <v>0</v>
      </c>
      <c r="U144" s="80">
        <f>SUMIFS('июнь 2024'!$G$4:$G$1823,'июнь 2024'!$D$4:$D$1823,$B144,'июнь 2024'!$J$4:$J$1823,U$1)</f>
        <v>0</v>
      </c>
      <c r="V144" s="80">
        <f>SUMIFS('июнь 2024'!$G$4:$G$1823,'июнь 2024'!$D$4:$D$1823,$B144,'июнь 2024'!$J$4:$J$1823,V$1)</f>
        <v>0</v>
      </c>
      <c r="W144" s="80">
        <f>SUMIFS('июнь 2024'!$G$4:$G$1823,'июнь 2024'!$D$4:$D$1823,$B144,'июнь 2024'!$J$4:$J$1823,W$1)</f>
        <v>0</v>
      </c>
      <c r="X144" s="80">
        <f>SUMIFS('июнь 2024'!$G$4:$G$1823,'июнь 2024'!$D$4:$D$1823,$B144,'июнь 2024'!$J$4:$J$1823,X$1)</f>
        <v>0</v>
      </c>
      <c r="Y144" s="80">
        <f>SUMIFS('июнь 2024'!$G$4:$G$1823,'июнь 2024'!$D$4:$D$1823,$B144,'июнь 2024'!$J$4:$J$1823,Y$1)</f>
        <v>0</v>
      </c>
      <c r="Z144" s="80">
        <f>SUMIFS('июнь 2024'!$G$4:$G$1823,'июнь 2024'!$D$4:$D$1823,$B144,'июнь 2024'!$J$4:$J$1823,Z$1)</f>
        <v>0</v>
      </c>
      <c r="AA144" s="80">
        <f>SUMIFS('июнь 2024'!$G$4:$G$1823,'июнь 2024'!$D$4:$D$1823,$B144,'июнь 2024'!$J$4:$J$1823,AA$1)</f>
        <v>0</v>
      </c>
      <c r="AB144" s="80">
        <f>SUMIFS('июнь 2024'!$G$4:$G$1823,'июнь 2024'!$D$4:$D$1823,$B144,'июнь 2024'!$J$4:$J$1823,AB$1)</f>
        <v>0</v>
      </c>
      <c r="AC144" s="80">
        <f>SUMIFS('июнь 2024'!$G$4:$G$1823,'июнь 2024'!$D$4:$D$1823,$B144,'июнь 2024'!$J$4:$J$1823,AC$1)</f>
        <v>0</v>
      </c>
      <c r="AD144" s="80">
        <f>SUMIFS('июнь 2024'!$G$4:$G$1823,'июнь 2024'!$D$4:$D$1823,$B144,'июнь 2024'!$J$4:$J$1823,AD$1)</f>
        <v>0</v>
      </c>
      <c r="AE144" s="80">
        <f>SUMIFS('июнь 2024'!$G$4:$G$1823,'июнь 2024'!$D$4:$D$1823,$B144,'июнь 2024'!$J$4:$J$1823,AE$1)</f>
        <v>0</v>
      </c>
      <c r="AF144" s="80">
        <f>SUMIFS('июнь 2024'!$G$4:$G$1823,'июнь 2024'!$D$4:$D$1823,$B144,'июнь 2024'!$J$4:$J$1823,AF$1)</f>
        <v>0</v>
      </c>
      <c r="AG144" s="80">
        <f>SUMIFS('июнь 2024'!$G$4:$G$1823,'июнь 2024'!$D$4:$D$1823,$B144,'июнь 2024'!$J$4:$J$1823,AG$1)</f>
        <v>0</v>
      </c>
      <c r="AH144" s="80">
        <f>SUMIFS('июнь 2024'!$G$4:$G$1823,'июнь 2024'!$D$4:$D$1823,$B144,'июнь 2024'!$J$4:$J$1823,AH$1)</f>
        <v>0</v>
      </c>
      <c r="AI144" s="21">
        <f t="shared" si="1"/>
        <v>0</v>
      </c>
    </row>
    <row r="145" spans="2:35" ht="15" customHeight="1" x14ac:dyDescent="0.25">
      <c r="B145" s="89" t="s">
        <v>212</v>
      </c>
      <c r="C145" s="88">
        <v>25</v>
      </c>
      <c r="D145" s="80">
        <f>SUMIFS('июнь 2024'!$G$4:$G$1823,'июнь 2024'!$D$4:$D$1823,$B145,'июнь 2024'!$J$4:$J$1823,D$1)</f>
        <v>0</v>
      </c>
      <c r="E145" s="80">
        <f>SUMIFS('июнь 2024'!$G$4:$G$1823,'июнь 2024'!$D$4:$D$1823,$B145,'июнь 2024'!$J$4:$J$1823,E$1)</f>
        <v>0</v>
      </c>
      <c r="F145" s="80">
        <f>SUMIFS('июнь 2024'!$G$4:$G$1823,'июнь 2024'!$D$4:$D$1823,$B145,'июнь 2024'!$J$4:$J$1823,F$1)</f>
        <v>0</v>
      </c>
      <c r="G145" s="80">
        <f>SUMIFS('июнь 2024'!$G$4:$G$1823,'июнь 2024'!$D$4:$D$1823,$B145,'июнь 2024'!$J$4:$J$1823,G$1)</f>
        <v>0</v>
      </c>
      <c r="H145" s="80">
        <f>SUMIFS('июнь 2024'!$G$4:$G$1823,'июнь 2024'!$D$4:$D$1823,$B145,'июнь 2024'!$J$4:$J$1823,H$1)</f>
        <v>0</v>
      </c>
      <c r="I145" s="80">
        <f>SUMIFS('июнь 2024'!$G$4:$G$1823,'июнь 2024'!$D$4:$D$1823,$B145,'июнь 2024'!$J$4:$J$1823,I$1)</f>
        <v>0</v>
      </c>
      <c r="J145" s="80">
        <f>SUMIFS('июнь 2024'!$G$4:$G$1823,'июнь 2024'!$D$4:$D$1823,$B145,'июнь 2024'!$J$4:$J$1823,J$1)</f>
        <v>0</v>
      </c>
      <c r="K145" s="80">
        <f>SUMIFS('июнь 2024'!$G$4:$G$1823,'июнь 2024'!$D$4:$D$1823,$B145,'июнь 2024'!$J$4:$J$1823,K$1)</f>
        <v>0</v>
      </c>
      <c r="L145" s="80">
        <f>SUMIFS('июнь 2024'!$G$4:$G$1823,'июнь 2024'!$D$4:$D$1823,$B145,'июнь 2024'!$J$4:$J$1823,L$1)</f>
        <v>0</v>
      </c>
      <c r="M145" s="80">
        <f>SUMIFS('июнь 2024'!$G$4:$G$1823,'июнь 2024'!$D$4:$D$1823,$B145,'июнь 2024'!$J$4:$J$1823,M$1)</f>
        <v>0</v>
      </c>
      <c r="N145" s="80">
        <f>SUMIFS('июнь 2024'!$G$4:$G$1823,'июнь 2024'!$D$4:$D$1823,$B145,'июнь 2024'!$J$4:$J$1823,N$1)</f>
        <v>0</v>
      </c>
      <c r="O145" s="80">
        <f>SUMIFS('июнь 2024'!$G$4:$G$1823,'июнь 2024'!$D$4:$D$1823,$B145,'июнь 2024'!$J$4:$J$1823,O$1)</f>
        <v>0</v>
      </c>
      <c r="P145" s="80">
        <f>SUMIFS('июнь 2024'!$G$4:$G$1823,'июнь 2024'!$D$4:$D$1823,$B145,'июнь 2024'!$J$4:$J$1823,P$1)</f>
        <v>0</v>
      </c>
      <c r="Q145" s="80">
        <f>SUMIFS('июнь 2024'!$G$4:$G$1823,'июнь 2024'!$D$4:$D$1823,$B145,'июнь 2024'!$J$4:$J$1823,Q$1)</f>
        <v>0</v>
      </c>
      <c r="R145" s="80">
        <f>SUMIFS('июнь 2024'!$G$4:$G$1823,'июнь 2024'!$D$4:$D$1823,$B145,'июнь 2024'!$J$4:$J$1823,R$1)</f>
        <v>0</v>
      </c>
      <c r="S145" s="80">
        <f>SUMIFS('июнь 2024'!$G$4:$G$1823,'июнь 2024'!$D$4:$D$1823,$B145,'июнь 2024'!$J$4:$J$1823,S$1)</f>
        <v>0</v>
      </c>
      <c r="T145" s="80">
        <f>SUMIFS('июнь 2024'!$G$4:$G$1823,'июнь 2024'!$D$4:$D$1823,$B145,'июнь 2024'!$J$4:$J$1823,T$1)</f>
        <v>0</v>
      </c>
      <c r="U145" s="80">
        <f>SUMIFS('июнь 2024'!$G$4:$G$1823,'июнь 2024'!$D$4:$D$1823,$B145,'июнь 2024'!$J$4:$J$1823,U$1)</f>
        <v>0</v>
      </c>
      <c r="V145" s="80">
        <f>SUMIFS('июнь 2024'!$G$4:$G$1823,'июнь 2024'!$D$4:$D$1823,$B145,'июнь 2024'!$J$4:$J$1823,V$1)</f>
        <v>0</v>
      </c>
      <c r="W145" s="80">
        <f>SUMIFS('июнь 2024'!$G$4:$G$1823,'июнь 2024'!$D$4:$D$1823,$B145,'июнь 2024'!$J$4:$J$1823,W$1)</f>
        <v>0</v>
      </c>
      <c r="X145" s="80">
        <f>SUMIFS('июнь 2024'!$G$4:$G$1823,'июнь 2024'!$D$4:$D$1823,$B145,'июнь 2024'!$J$4:$J$1823,X$1)</f>
        <v>0</v>
      </c>
      <c r="Y145" s="80">
        <f>SUMIFS('июнь 2024'!$G$4:$G$1823,'июнь 2024'!$D$4:$D$1823,$B145,'июнь 2024'!$J$4:$J$1823,Y$1)</f>
        <v>0</v>
      </c>
      <c r="Z145" s="80">
        <f>SUMIFS('июнь 2024'!$G$4:$G$1823,'июнь 2024'!$D$4:$D$1823,$B145,'июнь 2024'!$J$4:$J$1823,Z$1)</f>
        <v>0</v>
      </c>
      <c r="AA145" s="80">
        <f>SUMIFS('июнь 2024'!$G$4:$G$1823,'июнь 2024'!$D$4:$D$1823,$B145,'июнь 2024'!$J$4:$J$1823,AA$1)</f>
        <v>0</v>
      </c>
      <c r="AB145" s="80">
        <f>SUMIFS('июнь 2024'!$G$4:$G$1823,'июнь 2024'!$D$4:$D$1823,$B145,'июнь 2024'!$J$4:$J$1823,AB$1)</f>
        <v>0</v>
      </c>
      <c r="AC145" s="80">
        <f>SUMIFS('июнь 2024'!$G$4:$G$1823,'июнь 2024'!$D$4:$D$1823,$B145,'июнь 2024'!$J$4:$J$1823,AC$1)</f>
        <v>0</v>
      </c>
      <c r="AD145" s="80">
        <f>SUMIFS('июнь 2024'!$G$4:$G$1823,'июнь 2024'!$D$4:$D$1823,$B145,'июнь 2024'!$J$4:$J$1823,AD$1)</f>
        <v>0</v>
      </c>
      <c r="AE145" s="80">
        <f>SUMIFS('июнь 2024'!$G$4:$G$1823,'июнь 2024'!$D$4:$D$1823,$B145,'июнь 2024'!$J$4:$J$1823,AE$1)</f>
        <v>0</v>
      </c>
      <c r="AF145" s="80">
        <f>SUMIFS('июнь 2024'!$G$4:$G$1823,'июнь 2024'!$D$4:$D$1823,$B145,'июнь 2024'!$J$4:$J$1823,AF$1)</f>
        <v>0</v>
      </c>
      <c r="AG145" s="80">
        <f>SUMIFS('июнь 2024'!$G$4:$G$1823,'июнь 2024'!$D$4:$D$1823,$B145,'июнь 2024'!$J$4:$J$1823,AG$1)</f>
        <v>0</v>
      </c>
      <c r="AH145" s="80">
        <f>SUMIFS('июнь 2024'!$G$4:$G$1823,'июнь 2024'!$D$4:$D$1823,$B145,'июнь 2024'!$J$4:$J$1823,AH$1)</f>
        <v>0</v>
      </c>
      <c r="AI145" s="21">
        <f t="shared" si="1"/>
        <v>0</v>
      </c>
    </row>
    <row r="146" spans="2:35" ht="15" customHeight="1" x14ac:dyDescent="0.25">
      <c r="B146" s="89" t="s">
        <v>994</v>
      </c>
      <c r="C146" s="88">
        <v>200</v>
      </c>
      <c r="D146" s="80">
        <f>SUMIFS('июнь 2024'!$G$4:$G$1823,'июнь 2024'!$D$4:$D$1823,$B146,'июнь 2024'!$J$4:$J$1823,D$1)</f>
        <v>0</v>
      </c>
      <c r="E146" s="80">
        <f>SUMIFS('июнь 2024'!$G$4:$G$1823,'июнь 2024'!$D$4:$D$1823,$B146,'июнь 2024'!$J$4:$J$1823,E$1)</f>
        <v>0</v>
      </c>
      <c r="F146" s="80">
        <f>SUMIFS('июнь 2024'!$G$4:$G$1823,'июнь 2024'!$D$4:$D$1823,$B146,'июнь 2024'!$J$4:$J$1823,F$1)</f>
        <v>0</v>
      </c>
      <c r="G146" s="80">
        <f>SUMIFS('июнь 2024'!$G$4:$G$1823,'июнь 2024'!$D$4:$D$1823,$B146,'июнь 2024'!$J$4:$J$1823,G$1)</f>
        <v>0</v>
      </c>
      <c r="H146" s="80">
        <f>SUMIFS('июнь 2024'!$G$4:$G$1823,'июнь 2024'!$D$4:$D$1823,$B146,'июнь 2024'!$J$4:$J$1823,H$1)</f>
        <v>0</v>
      </c>
      <c r="I146" s="80">
        <f>SUMIFS('июнь 2024'!$G$4:$G$1823,'июнь 2024'!$D$4:$D$1823,$B146,'июнь 2024'!$J$4:$J$1823,I$1)</f>
        <v>0</v>
      </c>
      <c r="J146" s="80">
        <f>SUMIFS('июнь 2024'!$G$4:$G$1823,'июнь 2024'!$D$4:$D$1823,$B146,'июнь 2024'!$J$4:$J$1823,J$1)</f>
        <v>0</v>
      </c>
      <c r="K146" s="80">
        <f>SUMIFS('июнь 2024'!$G$4:$G$1823,'июнь 2024'!$D$4:$D$1823,$B146,'июнь 2024'!$J$4:$J$1823,K$1)</f>
        <v>0</v>
      </c>
      <c r="L146" s="80">
        <f>SUMIFS('июнь 2024'!$G$4:$G$1823,'июнь 2024'!$D$4:$D$1823,$B146,'июнь 2024'!$J$4:$J$1823,L$1)</f>
        <v>0</v>
      </c>
      <c r="M146" s="80">
        <f>SUMIFS('июнь 2024'!$G$4:$G$1823,'июнь 2024'!$D$4:$D$1823,$B146,'июнь 2024'!$J$4:$J$1823,M$1)</f>
        <v>0</v>
      </c>
      <c r="N146" s="80">
        <f>SUMIFS('июнь 2024'!$G$4:$G$1823,'июнь 2024'!$D$4:$D$1823,$B146,'июнь 2024'!$J$4:$J$1823,N$1)</f>
        <v>0</v>
      </c>
      <c r="O146" s="80">
        <f>SUMIFS('июнь 2024'!$G$4:$G$1823,'июнь 2024'!$D$4:$D$1823,$B146,'июнь 2024'!$J$4:$J$1823,O$1)</f>
        <v>0</v>
      </c>
      <c r="P146" s="80">
        <f>SUMIFS('июнь 2024'!$G$4:$G$1823,'июнь 2024'!$D$4:$D$1823,$B146,'июнь 2024'!$J$4:$J$1823,P$1)</f>
        <v>0</v>
      </c>
      <c r="Q146" s="80">
        <f>SUMIFS('июнь 2024'!$G$4:$G$1823,'июнь 2024'!$D$4:$D$1823,$B146,'июнь 2024'!$J$4:$J$1823,Q$1)</f>
        <v>0</v>
      </c>
      <c r="R146" s="80">
        <f>SUMIFS('июнь 2024'!$G$4:$G$1823,'июнь 2024'!$D$4:$D$1823,$B146,'июнь 2024'!$J$4:$J$1823,R$1)</f>
        <v>0</v>
      </c>
      <c r="S146" s="80">
        <f>SUMIFS('июнь 2024'!$G$4:$G$1823,'июнь 2024'!$D$4:$D$1823,$B146,'июнь 2024'!$J$4:$J$1823,S$1)</f>
        <v>0</v>
      </c>
      <c r="T146" s="80">
        <f>SUMIFS('июнь 2024'!$G$4:$G$1823,'июнь 2024'!$D$4:$D$1823,$B146,'июнь 2024'!$J$4:$J$1823,T$1)</f>
        <v>0</v>
      </c>
      <c r="U146" s="80">
        <f>SUMIFS('июнь 2024'!$G$4:$G$1823,'июнь 2024'!$D$4:$D$1823,$B146,'июнь 2024'!$J$4:$J$1823,U$1)</f>
        <v>0</v>
      </c>
      <c r="V146" s="80">
        <f>SUMIFS('июнь 2024'!$G$4:$G$1823,'июнь 2024'!$D$4:$D$1823,$B146,'июнь 2024'!$J$4:$J$1823,V$1)</f>
        <v>0</v>
      </c>
      <c r="W146" s="80">
        <f>SUMIFS('июнь 2024'!$G$4:$G$1823,'июнь 2024'!$D$4:$D$1823,$B146,'июнь 2024'!$J$4:$J$1823,W$1)</f>
        <v>0</v>
      </c>
      <c r="X146" s="80">
        <f>SUMIFS('июнь 2024'!$G$4:$G$1823,'июнь 2024'!$D$4:$D$1823,$B146,'июнь 2024'!$J$4:$J$1823,X$1)</f>
        <v>0</v>
      </c>
      <c r="Y146" s="80">
        <f>SUMIFS('июнь 2024'!$G$4:$G$1823,'июнь 2024'!$D$4:$D$1823,$B146,'июнь 2024'!$J$4:$J$1823,Y$1)</f>
        <v>0</v>
      </c>
      <c r="Z146" s="80">
        <f>SUMIFS('июнь 2024'!$G$4:$G$1823,'июнь 2024'!$D$4:$D$1823,$B146,'июнь 2024'!$J$4:$J$1823,Z$1)</f>
        <v>0</v>
      </c>
      <c r="AA146" s="80">
        <f>SUMIFS('июнь 2024'!$G$4:$G$1823,'июнь 2024'!$D$4:$D$1823,$B146,'июнь 2024'!$J$4:$J$1823,AA$1)</f>
        <v>0</v>
      </c>
      <c r="AB146" s="80">
        <f>SUMIFS('июнь 2024'!$G$4:$G$1823,'июнь 2024'!$D$4:$D$1823,$B146,'июнь 2024'!$J$4:$J$1823,AB$1)</f>
        <v>0</v>
      </c>
      <c r="AC146" s="80">
        <f>SUMIFS('июнь 2024'!$G$4:$G$1823,'июнь 2024'!$D$4:$D$1823,$B146,'июнь 2024'!$J$4:$J$1823,AC$1)</f>
        <v>0</v>
      </c>
      <c r="AD146" s="80">
        <f>SUMIFS('июнь 2024'!$G$4:$G$1823,'июнь 2024'!$D$4:$D$1823,$B146,'июнь 2024'!$J$4:$J$1823,AD$1)</f>
        <v>0</v>
      </c>
      <c r="AE146" s="80">
        <f>SUMIFS('июнь 2024'!$G$4:$G$1823,'июнь 2024'!$D$4:$D$1823,$B146,'июнь 2024'!$J$4:$J$1823,AE$1)</f>
        <v>0</v>
      </c>
      <c r="AF146" s="80">
        <f>SUMIFS('июнь 2024'!$G$4:$G$1823,'июнь 2024'!$D$4:$D$1823,$B146,'июнь 2024'!$J$4:$J$1823,AF$1)</f>
        <v>0</v>
      </c>
      <c r="AG146" s="80">
        <f>SUMIFS('июнь 2024'!$G$4:$G$1823,'июнь 2024'!$D$4:$D$1823,$B146,'июнь 2024'!$J$4:$J$1823,AG$1)</f>
        <v>0</v>
      </c>
      <c r="AH146" s="80">
        <f>SUMIFS('июнь 2024'!$G$4:$G$1823,'июнь 2024'!$D$4:$D$1823,$B146,'июнь 2024'!$J$4:$J$1823,AH$1)</f>
        <v>0</v>
      </c>
      <c r="AI146" s="21">
        <f>SUM(D146:AH146)</f>
        <v>0</v>
      </c>
    </row>
    <row r="147" spans="2:35" ht="15" customHeight="1" x14ac:dyDescent="0.25">
      <c r="B147" s="89" t="s">
        <v>1118</v>
      </c>
      <c r="C147" s="88">
        <v>175</v>
      </c>
      <c r="D147" s="80">
        <f>SUMIFS('июнь 2024'!$G$4:$G$1823,'июнь 2024'!$D$4:$D$1823,$B147,'июнь 2024'!$J$4:$J$1823,D$1)</f>
        <v>0</v>
      </c>
      <c r="E147" s="80">
        <f>SUMIFS('июнь 2024'!$G$4:$G$1823,'июнь 2024'!$D$4:$D$1823,$B147,'июнь 2024'!$J$4:$J$1823,E$1)</f>
        <v>0</v>
      </c>
      <c r="F147" s="80">
        <f>SUMIFS('июнь 2024'!$G$4:$G$1823,'июнь 2024'!$D$4:$D$1823,$B147,'июнь 2024'!$J$4:$J$1823,F$1)</f>
        <v>0</v>
      </c>
      <c r="G147" s="80">
        <f>SUMIFS('июнь 2024'!$G$4:$G$1823,'июнь 2024'!$D$4:$D$1823,$B147,'июнь 2024'!$J$4:$J$1823,G$1)</f>
        <v>0</v>
      </c>
      <c r="H147" s="80">
        <f>SUMIFS('июнь 2024'!$G$4:$G$1823,'июнь 2024'!$D$4:$D$1823,$B147,'июнь 2024'!$J$4:$J$1823,H$1)</f>
        <v>0</v>
      </c>
      <c r="I147" s="80">
        <f>SUMIFS('июнь 2024'!$G$4:$G$1823,'июнь 2024'!$D$4:$D$1823,$B147,'июнь 2024'!$J$4:$J$1823,I$1)</f>
        <v>0</v>
      </c>
      <c r="J147" s="80">
        <f>SUMIFS('июнь 2024'!$G$4:$G$1823,'июнь 2024'!$D$4:$D$1823,$B147,'июнь 2024'!$J$4:$J$1823,J$1)</f>
        <v>0</v>
      </c>
      <c r="K147" s="80">
        <f>SUMIFS('июнь 2024'!$G$4:$G$1823,'июнь 2024'!$D$4:$D$1823,$B147,'июнь 2024'!$J$4:$J$1823,K$1)</f>
        <v>0</v>
      </c>
      <c r="L147" s="80">
        <f>SUMIFS('июнь 2024'!$G$4:$G$1823,'июнь 2024'!$D$4:$D$1823,$B147,'июнь 2024'!$J$4:$J$1823,L$1)</f>
        <v>0</v>
      </c>
      <c r="M147" s="80">
        <f>SUMIFS('июнь 2024'!$G$4:$G$1823,'июнь 2024'!$D$4:$D$1823,$B147,'июнь 2024'!$J$4:$J$1823,M$1)</f>
        <v>0</v>
      </c>
      <c r="N147" s="80">
        <f>SUMIFS('июнь 2024'!$G$4:$G$1823,'июнь 2024'!$D$4:$D$1823,$B147,'июнь 2024'!$J$4:$J$1823,N$1)</f>
        <v>0</v>
      </c>
      <c r="O147" s="80">
        <f>SUMIFS('июнь 2024'!$G$4:$G$1823,'июнь 2024'!$D$4:$D$1823,$B147,'июнь 2024'!$J$4:$J$1823,O$1)</f>
        <v>0</v>
      </c>
      <c r="P147" s="80">
        <f>SUMIFS('июнь 2024'!$G$4:$G$1823,'июнь 2024'!$D$4:$D$1823,$B147,'июнь 2024'!$J$4:$J$1823,P$1)</f>
        <v>0</v>
      </c>
      <c r="Q147" s="80">
        <f>SUMIFS('июнь 2024'!$G$4:$G$1823,'июнь 2024'!$D$4:$D$1823,$B147,'июнь 2024'!$J$4:$J$1823,Q$1)</f>
        <v>0</v>
      </c>
      <c r="R147" s="80">
        <f>SUMIFS('июнь 2024'!$G$4:$G$1823,'июнь 2024'!$D$4:$D$1823,$B147,'июнь 2024'!$J$4:$J$1823,R$1)</f>
        <v>0</v>
      </c>
      <c r="S147" s="80">
        <f>SUMIFS('июнь 2024'!$G$4:$G$1823,'июнь 2024'!$D$4:$D$1823,$B147,'июнь 2024'!$J$4:$J$1823,S$1)</f>
        <v>0</v>
      </c>
      <c r="T147" s="80">
        <f>SUMIFS('июнь 2024'!$G$4:$G$1823,'июнь 2024'!$D$4:$D$1823,$B147,'июнь 2024'!$J$4:$J$1823,T$1)</f>
        <v>0</v>
      </c>
      <c r="U147" s="80">
        <f>SUMIFS('июнь 2024'!$G$4:$G$1823,'июнь 2024'!$D$4:$D$1823,$B147,'июнь 2024'!$J$4:$J$1823,U$1)</f>
        <v>0</v>
      </c>
      <c r="V147" s="80">
        <f>SUMIFS('июнь 2024'!$G$4:$G$1823,'июнь 2024'!$D$4:$D$1823,$B147,'июнь 2024'!$J$4:$J$1823,V$1)</f>
        <v>0</v>
      </c>
      <c r="W147" s="80">
        <f>SUMIFS('июнь 2024'!$G$4:$G$1823,'июнь 2024'!$D$4:$D$1823,$B147,'июнь 2024'!$J$4:$J$1823,W$1)</f>
        <v>0</v>
      </c>
      <c r="X147" s="80">
        <f>SUMIFS('июнь 2024'!$G$4:$G$1823,'июнь 2024'!$D$4:$D$1823,$B147,'июнь 2024'!$J$4:$J$1823,X$1)</f>
        <v>0</v>
      </c>
      <c r="Y147" s="80">
        <f>SUMIFS('июнь 2024'!$G$4:$G$1823,'июнь 2024'!$D$4:$D$1823,$B147,'июнь 2024'!$J$4:$J$1823,Y$1)</f>
        <v>0</v>
      </c>
      <c r="Z147" s="80">
        <f>SUMIFS('июнь 2024'!$G$4:$G$1823,'июнь 2024'!$D$4:$D$1823,$B147,'июнь 2024'!$J$4:$J$1823,Z$1)</f>
        <v>0</v>
      </c>
      <c r="AA147" s="80">
        <f>SUMIFS('июнь 2024'!$G$4:$G$1823,'июнь 2024'!$D$4:$D$1823,$B147,'июнь 2024'!$J$4:$J$1823,AA$1)</f>
        <v>0</v>
      </c>
      <c r="AB147" s="80">
        <f>SUMIFS('июнь 2024'!$G$4:$G$1823,'июнь 2024'!$D$4:$D$1823,$B147,'июнь 2024'!$J$4:$J$1823,AB$1)</f>
        <v>0</v>
      </c>
      <c r="AC147" s="80">
        <f>SUMIFS('июнь 2024'!$G$4:$G$1823,'июнь 2024'!$D$4:$D$1823,$B147,'июнь 2024'!$J$4:$J$1823,AC$1)</f>
        <v>0</v>
      </c>
      <c r="AD147" s="80">
        <f>SUMIFS('июнь 2024'!$G$4:$G$1823,'июнь 2024'!$D$4:$D$1823,$B147,'июнь 2024'!$J$4:$J$1823,AD$1)</f>
        <v>0</v>
      </c>
      <c r="AE147" s="80">
        <f>SUMIFS('июнь 2024'!$G$4:$G$1823,'июнь 2024'!$D$4:$D$1823,$B147,'июнь 2024'!$J$4:$J$1823,AE$1)</f>
        <v>0</v>
      </c>
      <c r="AF147" s="80">
        <f>SUMIFS('июнь 2024'!$G$4:$G$1823,'июнь 2024'!$D$4:$D$1823,$B147,'июнь 2024'!$J$4:$J$1823,AF$1)</f>
        <v>0</v>
      </c>
      <c r="AG147" s="80">
        <f>SUMIFS('июнь 2024'!$G$4:$G$1823,'июнь 2024'!$D$4:$D$1823,$B147,'июнь 2024'!$J$4:$J$1823,AG$1)</f>
        <v>0</v>
      </c>
      <c r="AH147" s="80">
        <f>SUMIFS('июнь 2024'!$G$4:$G$1823,'июнь 2024'!$D$4:$D$1823,$B147,'июнь 2024'!$J$4:$J$1823,AH$1)</f>
        <v>0</v>
      </c>
      <c r="AI147" s="21">
        <f>SUM(D147:AH147)</f>
        <v>0</v>
      </c>
    </row>
    <row r="148" spans="2:35" ht="15" customHeight="1" x14ac:dyDescent="0.25">
      <c r="B148" s="89"/>
      <c r="C148" s="88"/>
      <c r="D148" s="80">
        <f>SUMIFS('июнь 2024'!$G$4:$G$1823,'июнь 2024'!$D$4:$D$1823,$B148,'июнь 2024'!$J$4:$J$1823,D$1)</f>
        <v>0</v>
      </c>
      <c r="E148" s="80">
        <f>SUMIFS('июнь 2024'!$G$4:$G$1823,'июнь 2024'!$D$4:$D$1823,$B148,'июнь 2024'!$J$4:$J$1823,E$1)</f>
        <v>0</v>
      </c>
      <c r="F148" s="80">
        <f>SUMIFS('июнь 2024'!$G$4:$G$1823,'июнь 2024'!$D$4:$D$1823,$B148,'июнь 2024'!$J$4:$J$1823,F$1)</f>
        <v>0</v>
      </c>
      <c r="G148" s="80">
        <f>SUMIFS('июнь 2024'!$G$4:$G$1823,'июнь 2024'!$D$4:$D$1823,$B148,'июнь 2024'!$J$4:$J$1823,G$1)</f>
        <v>0</v>
      </c>
      <c r="H148" s="80">
        <f>SUMIFS('июнь 2024'!$G$4:$G$1823,'июнь 2024'!$D$4:$D$1823,$B148,'июнь 2024'!$J$4:$J$1823,H$1)</f>
        <v>0</v>
      </c>
      <c r="I148" s="80">
        <f>SUMIFS('июнь 2024'!$G$4:$G$1823,'июнь 2024'!$D$4:$D$1823,$B148,'июнь 2024'!$J$4:$J$1823,I$1)</f>
        <v>0</v>
      </c>
      <c r="J148" s="80">
        <f>SUMIFS('июнь 2024'!$G$4:$G$1823,'июнь 2024'!$D$4:$D$1823,$B148,'июнь 2024'!$J$4:$J$1823,J$1)</f>
        <v>0</v>
      </c>
      <c r="K148" s="80">
        <f>SUMIFS('июнь 2024'!$G$4:$G$1823,'июнь 2024'!$D$4:$D$1823,$B148,'июнь 2024'!$J$4:$J$1823,K$1)</f>
        <v>0</v>
      </c>
      <c r="L148" s="80">
        <f>SUMIFS('июнь 2024'!$G$4:$G$1823,'июнь 2024'!$D$4:$D$1823,$B148,'июнь 2024'!$J$4:$J$1823,L$1)</f>
        <v>0</v>
      </c>
      <c r="M148" s="80">
        <f>SUMIFS('июнь 2024'!$G$4:$G$1823,'июнь 2024'!$D$4:$D$1823,$B148,'июнь 2024'!$J$4:$J$1823,M$1)</f>
        <v>0</v>
      </c>
      <c r="N148" s="80">
        <f>SUMIFS('июнь 2024'!$G$4:$G$1823,'июнь 2024'!$D$4:$D$1823,$B148,'июнь 2024'!$J$4:$J$1823,N$1)</f>
        <v>0</v>
      </c>
      <c r="O148" s="80">
        <f>SUMIFS('июнь 2024'!$G$4:$G$1823,'июнь 2024'!$D$4:$D$1823,$B148,'июнь 2024'!$J$4:$J$1823,O$1)</f>
        <v>0</v>
      </c>
      <c r="P148" s="80">
        <f>SUMIFS('июнь 2024'!$G$4:$G$1823,'июнь 2024'!$D$4:$D$1823,$B148,'июнь 2024'!$J$4:$J$1823,P$1)</f>
        <v>0</v>
      </c>
      <c r="Q148" s="80">
        <f>SUMIFS('июнь 2024'!$G$4:$G$1823,'июнь 2024'!$D$4:$D$1823,$B148,'июнь 2024'!$J$4:$J$1823,Q$1)</f>
        <v>0</v>
      </c>
      <c r="R148" s="80">
        <f>SUMIFS('июнь 2024'!$G$4:$G$1823,'июнь 2024'!$D$4:$D$1823,$B148,'июнь 2024'!$J$4:$J$1823,R$1)</f>
        <v>0</v>
      </c>
      <c r="S148" s="80">
        <f>SUMIFS('июнь 2024'!$G$4:$G$1823,'июнь 2024'!$D$4:$D$1823,$B148,'июнь 2024'!$J$4:$J$1823,S$1)</f>
        <v>0</v>
      </c>
      <c r="T148" s="80">
        <f>SUMIFS('июнь 2024'!$G$4:$G$1823,'июнь 2024'!$D$4:$D$1823,$B148,'июнь 2024'!$J$4:$J$1823,T$1)</f>
        <v>0</v>
      </c>
      <c r="U148" s="80">
        <f>SUMIFS('июнь 2024'!$G$4:$G$1823,'июнь 2024'!$D$4:$D$1823,$B148,'июнь 2024'!$J$4:$J$1823,U$1)</f>
        <v>0</v>
      </c>
      <c r="V148" s="80">
        <f>SUMIFS('июнь 2024'!$G$4:$G$1823,'июнь 2024'!$D$4:$D$1823,$B148,'июнь 2024'!$J$4:$J$1823,V$1)</f>
        <v>0</v>
      </c>
      <c r="W148" s="80">
        <f>SUMIFS('июнь 2024'!$G$4:$G$1823,'июнь 2024'!$D$4:$D$1823,$B148,'июнь 2024'!$J$4:$J$1823,W$1)</f>
        <v>0</v>
      </c>
      <c r="X148" s="80">
        <f>SUMIFS('июнь 2024'!$G$4:$G$1823,'июнь 2024'!$D$4:$D$1823,$B148,'июнь 2024'!$J$4:$J$1823,X$1)</f>
        <v>0</v>
      </c>
      <c r="Y148" s="80">
        <f>SUMIFS('июнь 2024'!$G$4:$G$1823,'июнь 2024'!$D$4:$D$1823,$B148,'июнь 2024'!$J$4:$J$1823,Y$1)</f>
        <v>0</v>
      </c>
      <c r="Z148" s="80">
        <f>SUMIFS('июнь 2024'!$G$4:$G$1823,'июнь 2024'!$D$4:$D$1823,$B148,'июнь 2024'!$J$4:$J$1823,Z$1)</f>
        <v>0</v>
      </c>
      <c r="AA148" s="80">
        <f>SUMIFS('июнь 2024'!$G$4:$G$1823,'июнь 2024'!$D$4:$D$1823,$B148,'июнь 2024'!$J$4:$J$1823,AA$1)</f>
        <v>0</v>
      </c>
      <c r="AB148" s="80">
        <f>SUMIFS('июнь 2024'!$G$4:$G$1823,'июнь 2024'!$D$4:$D$1823,$B148,'июнь 2024'!$J$4:$J$1823,AB$1)</f>
        <v>0</v>
      </c>
      <c r="AC148" s="80">
        <f>SUMIFS('июнь 2024'!$G$4:$G$1823,'июнь 2024'!$D$4:$D$1823,$B148,'июнь 2024'!$J$4:$J$1823,AC$1)</f>
        <v>0</v>
      </c>
      <c r="AD148" s="80">
        <f>SUMIFS('июнь 2024'!$G$4:$G$1823,'июнь 2024'!$D$4:$D$1823,$B148,'июнь 2024'!$J$4:$J$1823,AD$1)</f>
        <v>0</v>
      </c>
      <c r="AE148" s="80">
        <f>SUMIFS('июнь 2024'!$G$4:$G$1823,'июнь 2024'!$D$4:$D$1823,$B148,'июнь 2024'!$J$4:$J$1823,AE$1)</f>
        <v>0</v>
      </c>
      <c r="AF148" s="80">
        <f>SUMIFS('июнь 2024'!$G$4:$G$1823,'июнь 2024'!$D$4:$D$1823,$B148,'июнь 2024'!$J$4:$J$1823,AF$1)</f>
        <v>0</v>
      </c>
      <c r="AG148" s="80">
        <f>SUMIFS('июнь 2024'!$G$4:$G$1823,'июнь 2024'!$D$4:$D$1823,$B148,'июнь 2024'!$J$4:$J$1823,AG$1)</f>
        <v>0</v>
      </c>
      <c r="AH148" s="80">
        <f>SUMIFS('июнь 2024'!$G$4:$G$1823,'июнь 2024'!$D$4:$D$1823,$B148,'июнь 2024'!$J$4:$J$1823,AH$1)</f>
        <v>0</v>
      </c>
      <c r="AI148" s="21">
        <f>SUM(D148:AH148)</f>
        <v>0</v>
      </c>
    </row>
    <row r="149" spans="2:35" ht="15" customHeight="1" x14ac:dyDescent="0.25">
      <c r="B149" s="89"/>
      <c r="C149" s="88"/>
      <c r="D149" s="86">
        <f>SUMIFS('март 2024'!$G$6:$G$1612,'март 2024'!$D$6:$D$1612,$B149,'март 2024'!$J$6:$J$1612,D$1)</f>
        <v>0</v>
      </c>
      <c r="E149" s="86">
        <f>SUMIFS('март 2024'!$G$6:$G$1612,'март 2024'!$D$6:$D$1612,$B149,'март 2024'!$J$6:$J$1612,E$1)</f>
        <v>0</v>
      </c>
      <c r="F149" s="86">
        <f>SUMIFS('март 2024'!$G$6:$G$1612,'март 2024'!$D$6:$D$1612,$B149,'март 2024'!$J$6:$J$1612,F$1)</f>
        <v>0</v>
      </c>
      <c r="G149" s="86">
        <f>SUMIFS('март 2024'!$G$6:$G$1612,'март 2024'!$D$6:$D$1612,$B149,'март 2024'!$J$6:$J$1612,G$1)</f>
        <v>0</v>
      </c>
      <c r="H149" s="86">
        <f>SUMIFS('март 2024'!$G$6:$G$1612,'март 2024'!$D$6:$D$1612,$B149,'март 2024'!$J$6:$J$1612,H$1)</f>
        <v>0</v>
      </c>
      <c r="I149" s="86">
        <f>SUMIFS('март 2024'!$G$6:$G$1612,'март 2024'!$D$6:$D$1612,$B149,'март 2024'!$J$6:$J$1612,I$1)</f>
        <v>0</v>
      </c>
      <c r="J149" s="86">
        <f>SUMIFS('март 2024'!$G$6:$G$1612,'март 2024'!$D$6:$D$1612,$B149,'март 2024'!$J$6:$J$1612,J$1)</f>
        <v>0</v>
      </c>
      <c r="K149" s="86">
        <f>SUMIFS('март 2024'!$G$6:$G$1612,'март 2024'!$D$6:$D$1612,$B149,'март 2024'!$J$6:$J$1612,K$1)</f>
        <v>0</v>
      </c>
      <c r="L149" s="86">
        <f>SUMIFS('март 2024'!$G$6:$G$1612,'март 2024'!$D$6:$D$1612,$B149,'март 2024'!$J$6:$J$1612,L$1)</f>
        <v>0</v>
      </c>
      <c r="M149" s="86">
        <f>SUMIFS('март 2024'!$G$6:$G$1612,'март 2024'!$D$6:$D$1612,$B149,'март 2024'!$J$6:$J$1612,M$1)</f>
        <v>0</v>
      </c>
      <c r="N149" s="86">
        <f>SUMIFS('март 2024'!$G$6:$G$1612,'март 2024'!$D$6:$D$1612,$B149,'март 2024'!$J$6:$J$1612,N$1)</f>
        <v>0</v>
      </c>
      <c r="O149" s="86">
        <f>SUMIFS('март 2024'!$G$6:$G$1612,'март 2024'!$D$6:$D$1612,$B149,'март 2024'!$J$6:$J$1612,O$1)</f>
        <v>0</v>
      </c>
      <c r="P149" s="86">
        <f>SUMIFS('март 2024'!$G$6:$G$1612,'март 2024'!$D$6:$D$1612,$B149,'март 2024'!$J$6:$J$1612,P$1)</f>
        <v>0</v>
      </c>
      <c r="Q149" s="86">
        <f>SUMIFS('март 2024'!$G$6:$G$1612,'март 2024'!$D$6:$D$1612,$B149,'март 2024'!$J$6:$J$1612,Q$1)</f>
        <v>0</v>
      </c>
      <c r="R149" s="86">
        <f>SUMIFS('март 2024'!$G$6:$G$1612,'март 2024'!$D$6:$D$1612,$B149,'март 2024'!$J$6:$J$1612,R$1)</f>
        <v>0</v>
      </c>
      <c r="S149" s="86">
        <f>SUMIFS('март 2024'!$G$6:$G$1612,'март 2024'!$D$6:$D$1612,$B149,'март 2024'!$J$6:$J$1612,S$1)</f>
        <v>0</v>
      </c>
      <c r="T149" s="86">
        <f>SUMIFS('март 2024'!$G$6:$G$1612,'март 2024'!$D$6:$D$1612,$B149,'март 2024'!$J$6:$J$1612,T$1)</f>
        <v>0</v>
      </c>
      <c r="U149" s="86">
        <f>SUMIFS('март 2024'!$G$6:$G$1612,'март 2024'!$D$6:$D$1612,$B149,'март 2024'!$J$6:$J$1612,U$1)</f>
        <v>0</v>
      </c>
      <c r="V149" s="86">
        <f>SUMIFS('март 2024'!$G$6:$G$1612,'март 2024'!$D$6:$D$1612,$B149,'март 2024'!$J$6:$J$1612,V$1)</f>
        <v>0</v>
      </c>
      <c r="W149" s="86">
        <f>SUMIFS('март 2024'!$G$6:$G$1612,'март 2024'!$D$6:$D$1612,$B149,'март 2024'!$J$6:$J$1612,W$1)</f>
        <v>0</v>
      </c>
      <c r="X149" s="86">
        <f>SUMIFS('март 2024'!$G$6:$G$1612,'март 2024'!$D$6:$D$1612,$B149,'март 2024'!$J$6:$J$1612,X$1)</f>
        <v>0</v>
      </c>
      <c r="Y149" s="86">
        <f>SUMIFS('март 2024'!$G$6:$G$1612,'март 2024'!$D$6:$D$1612,$B149,'март 2024'!$J$6:$J$1612,Y$1)</f>
        <v>0</v>
      </c>
      <c r="Z149" s="86">
        <f>SUMIFS('март 2024'!$G$6:$G$1612,'март 2024'!$D$6:$D$1612,$B149,'март 2024'!$J$6:$J$1612,Z$1)</f>
        <v>0</v>
      </c>
      <c r="AA149" s="86">
        <f>SUMIFS('март 2024'!$G$6:$G$1612,'март 2024'!$D$6:$D$1612,$B149,'март 2024'!$J$6:$J$1612,AA$1)</f>
        <v>0</v>
      </c>
      <c r="AB149" s="86">
        <f>SUMIFS('март 2024'!$G$6:$G$1612,'март 2024'!$D$6:$D$1612,$B149,'март 2024'!$J$6:$J$1612,AB$1)</f>
        <v>0</v>
      </c>
      <c r="AC149" s="86">
        <f>SUMIFS('март 2024'!$G$6:$G$1612,'март 2024'!$D$6:$D$1612,$B149,'март 2024'!$J$6:$J$1612,AC$1)</f>
        <v>0</v>
      </c>
      <c r="AD149" s="86">
        <f>SUMIFS('март 2024'!$G$6:$G$1612,'март 2024'!$D$6:$D$1612,$B149,'март 2024'!$J$6:$J$1612,AD$1)</f>
        <v>0</v>
      </c>
      <c r="AE149" s="86">
        <f>SUMIFS('март 2024'!$G$6:$G$1612,'март 2024'!$D$6:$D$1612,$B149,'март 2024'!$J$6:$J$1612,AE$1)</f>
        <v>0</v>
      </c>
      <c r="AF149" s="86">
        <f>SUMIFS('март 2024'!$G$6:$G$1612,'март 2024'!$D$6:$D$1612,$B149,'март 2024'!$J$6:$J$1612,AF$1)</f>
        <v>0</v>
      </c>
      <c r="AG149" s="86">
        <f>SUMIFS('март 2024'!$G$6:$G$1612,'март 2024'!$D$6:$D$1612,$B149,'март 2024'!$J$6:$J$1612,AG$1)</f>
        <v>0</v>
      </c>
      <c r="AH149" s="86">
        <f>SUMIFS('март 2024'!$G$6:$G$1612,'март 2024'!$D$6:$D$1612,$B149,'март 2024'!$J$6:$J$1612,AH$1)</f>
        <v>0</v>
      </c>
      <c r="AI149" s="21">
        <f>SUM(D149:AH149)</f>
        <v>0</v>
      </c>
    </row>
    <row r="150" spans="2:35" ht="15" hidden="1" customHeight="1" x14ac:dyDescent="0.25">
      <c r="B150" s="89"/>
      <c r="C150" s="88"/>
      <c r="D150" s="80">
        <f>SUMIFS('февраль 2024'!$G$6:$G$1413,'февраль 2024'!$D$6:$D$1413,$B150,'февраль 2024'!$J$6:$J$1413,D$1)</f>
        <v>0</v>
      </c>
      <c r="E150" s="80">
        <f>SUMIFS('февраль 2024'!$G$6:$G$1413,'февраль 2024'!$D$6:$D$1413,$B150,'февраль 2024'!$J$6:$J$1413,E$1)</f>
        <v>0</v>
      </c>
      <c r="F150" s="80">
        <f>SUMIFS('февраль 2024'!$G$6:$G$1413,'февраль 2024'!$D$6:$D$1413,$B150,'февраль 2024'!$J$6:$J$1413,F$1)</f>
        <v>0</v>
      </c>
      <c r="G150" s="80">
        <f>SUMIFS('февраль 2024'!$G$6:$G$1413,'февраль 2024'!$D$6:$D$1413,$B150,'февраль 2024'!$J$6:$J$1413,G$1)</f>
        <v>0</v>
      </c>
      <c r="H150" s="80">
        <f>SUMIFS('февраль 2024'!$G$6:$G$1413,'февраль 2024'!$D$6:$D$1413,$B150,'февраль 2024'!$J$6:$J$1413,H$1)</f>
        <v>0</v>
      </c>
      <c r="I150" s="80">
        <f>SUMIFS('февраль 2024'!$G$6:$G$1413,'февраль 2024'!$D$6:$D$1413,$B150,'февраль 2024'!$J$6:$J$1413,I$1)</f>
        <v>0</v>
      </c>
      <c r="J150" s="80">
        <f>SUMIFS('февраль 2024'!$G$6:$G$1413,'февраль 2024'!$D$6:$D$1413,$B150,'февраль 2024'!$J$6:$J$1413,J$1)</f>
        <v>0</v>
      </c>
      <c r="K150" s="80">
        <f>SUMIFS('февраль 2024'!$G$6:$G$1413,'февраль 2024'!$D$6:$D$1413,$B150,'февраль 2024'!$J$6:$J$1413,K$1)</f>
        <v>0</v>
      </c>
      <c r="L150" s="80">
        <f>SUMIFS('февраль 2024'!$G$6:$G$1413,'февраль 2024'!$D$6:$D$1413,$B150,'февраль 2024'!$J$6:$J$1413,L$1)</f>
        <v>0</v>
      </c>
      <c r="M150" s="80">
        <f>SUMIFS('февраль 2024'!$G$6:$G$1413,'февраль 2024'!$D$6:$D$1413,$B150,'февраль 2024'!$J$6:$J$1413,M$1)</f>
        <v>0</v>
      </c>
      <c r="N150" s="80">
        <f>SUMIFS('февраль 2024'!$G$6:$G$1413,'февраль 2024'!$D$6:$D$1413,$B150,'февраль 2024'!$J$6:$J$1413,N$1)</f>
        <v>0</v>
      </c>
      <c r="O150" s="80">
        <f>SUMIFS('февраль 2024'!$G$6:$G$1413,'февраль 2024'!$D$6:$D$1413,$B150,'февраль 2024'!$J$6:$J$1413,O$1)</f>
        <v>0</v>
      </c>
      <c r="P150" s="80">
        <f>SUMIFS('февраль 2024'!$G$6:$G$1413,'февраль 2024'!$D$6:$D$1413,$B150,'февраль 2024'!$J$6:$J$1413,P$1)</f>
        <v>0</v>
      </c>
      <c r="Q150" s="80">
        <f>SUMIFS('февраль 2024'!$G$6:$G$1413,'февраль 2024'!$D$6:$D$1413,$B150,'февраль 2024'!$J$6:$J$1413,Q$1)</f>
        <v>0</v>
      </c>
      <c r="R150" s="80">
        <f>SUMIFS('февраль 2024'!$G$6:$G$1413,'февраль 2024'!$D$6:$D$1413,$B150,'февраль 2024'!$J$6:$J$1413,R$1)</f>
        <v>0</v>
      </c>
      <c r="S150" s="80">
        <f>SUMIFS('февраль 2024'!$G$6:$G$1413,'февраль 2024'!$D$6:$D$1413,$B150,'февраль 2024'!$J$6:$J$1413,S$1)</f>
        <v>0</v>
      </c>
      <c r="T150" s="80">
        <f>SUMIFS('февраль 2024'!$G$6:$G$1413,'февраль 2024'!$D$6:$D$1413,$B150,'февраль 2024'!$J$6:$J$1413,T$1)</f>
        <v>0</v>
      </c>
      <c r="U150" s="80">
        <f>SUMIFS('февраль 2024'!$G$6:$G$1413,'февраль 2024'!$D$6:$D$1413,$B150,'февраль 2024'!$J$6:$J$1413,U$1)</f>
        <v>0</v>
      </c>
      <c r="V150" s="80">
        <f>SUMIFS('февраль 2024'!$G$6:$G$1413,'февраль 2024'!$D$6:$D$1413,$B150,'февраль 2024'!$J$6:$J$1413,V$1)</f>
        <v>0</v>
      </c>
      <c r="W150" s="80">
        <f>SUMIFS('февраль 2024'!$G$6:$G$1413,'февраль 2024'!$D$6:$D$1413,$B150,'февраль 2024'!$J$6:$J$1413,W$1)</f>
        <v>0</v>
      </c>
      <c r="X150" s="80">
        <f>SUMIFS('февраль 2024'!$G$6:$G$1413,'февраль 2024'!$D$6:$D$1413,$B150,'февраль 2024'!$J$6:$J$1413,X$1)</f>
        <v>0</v>
      </c>
      <c r="Y150" s="80">
        <f>SUMIFS('февраль 2024'!$G$6:$G$1413,'февраль 2024'!$D$6:$D$1413,$B150,'февраль 2024'!$J$6:$J$1413,Y$1)</f>
        <v>0</v>
      </c>
      <c r="Z150" s="80">
        <f>SUMIFS('февраль 2024'!$G$6:$G$1413,'февраль 2024'!$D$6:$D$1413,$B150,'февраль 2024'!$J$6:$J$1413,Z$1)</f>
        <v>0</v>
      </c>
      <c r="AA150" s="80">
        <f>SUMIFS('февраль 2024'!$G$6:$G$1413,'февраль 2024'!$D$6:$D$1413,$B150,'февраль 2024'!$J$6:$J$1413,AA$1)</f>
        <v>0</v>
      </c>
      <c r="AB150" s="80">
        <f>SUMIFS('февраль 2024'!$G$6:$G$1413,'февраль 2024'!$D$6:$D$1413,$B150,'февраль 2024'!$J$6:$J$1413,AB$1)</f>
        <v>0</v>
      </c>
      <c r="AC150" s="80">
        <f>SUMIFS('февраль 2024'!$G$6:$G$1413,'февраль 2024'!$D$6:$D$1413,$B150,'февраль 2024'!$J$6:$J$1413,AC$1)</f>
        <v>0</v>
      </c>
      <c r="AD150" s="80">
        <f>SUMIFS('февраль 2024'!$G$6:$G$1413,'февраль 2024'!$D$6:$D$1413,$B150,'февраль 2024'!$J$6:$J$1413,AD$1)</f>
        <v>0</v>
      </c>
      <c r="AE150" s="80">
        <f>SUMIFS('февраль 2024'!$G$6:$G$1413,'февраль 2024'!$D$6:$D$1413,$B150,'февраль 2024'!$J$6:$J$1413,AE$1)</f>
        <v>0</v>
      </c>
      <c r="AF150" s="80">
        <f>SUMIFS('февраль 2024'!$G$6:$G$1413,'февраль 2024'!$D$6:$D$1413,$B150,'февраль 2024'!$J$6:$J$1413,AF$1)</f>
        <v>0</v>
      </c>
      <c r="AG150" s="80">
        <f>SUMIFS('февраль 2024'!$G$6:$G$1413,'февраль 2024'!$D$6:$D$1413,$B150,'февраль 2024'!$J$6:$J$1413,AG$1)</f>
        <v>0</v>
      </c>
      <c r="AH150" s="80">
        <f>SUMIFS('февраль 2024'!$G$6:$G$1413,'февраль 2024'!$D$6:$D$1413,$B150,'февраль 2024'!$J$6:$J$1413,AH$1)</f>
        <v>0</v>
      </c>
      <c r="AI150" s="87"/>
    </row>
    <row r="151" spans="2:35" ht="15" hidden="1" customHeight="1" x14ac:dyDescent="0.25">
      <c r="B151" s="89"/>
      <c r="C151" s="88"/>
      <c r="D151" s="80">
        <f>SUMIFS('февраль 2024'!$G$6:$G$1413,'февраль 2024'!$D$6:$D$1413,$B151,'февраль 2024'!$J$6:$J$1413,D$1)</f>
        <v>0</v>
      </c>
      <c r="E151" s="80">
        <f>SUMIFS('февраль 2024'!$G$6:$G$1413,'февраль 2024'!$D$6:$D$1413,$B151,'февраль 2024'!$J$6:$J$1413,E$1)</f>
        <v>0</v>
      </c>
      <c r="F151" s="80">
        <f>SUMIFS('февраль 2024'!$G$6:$G$1413,'февраль 2024'!$D$6:$D$1413,$B151,'февраль 2024'!$J$6:$J$1413,F$1)</f>
        <v>0</v>
      </c>
      <c r="G151" s="80">
        <f>SUMIFS('февраль 2024'!$G$6:$G$1413,'февраль 2024'!$D$6:$D$1413,$B151,'февраль 2024'!$J$6:$J$1413,G$1)</f>
        <v>0</v>
      </c>
      <c r="H151" s="80">
        <f>SUMIFS('февраль 2024'!$G$6:$G$1413,'февраль 2024'!$D$6:$D$1413,$B151,'февраль 2024'!$J$6:$J$1413,H$1)</f>
        <v>0</v>
      </c>
      <c r="I151" s="80">
        <f>SUMIFS('февраль 2024'!$G$6:$G$1413,'февраль 2024'!$D$6:$D$1413,$B151,'февраль 2024'!$J$6:$J$1413,I$1)</f>
        <v>0</v>
      </c>
      <c r="J151" s="80">
        <f>SUMIFS('февраль 2024'!$G$6:$G$1413,'февраль 2024'!$D$6:$D$1413,$B151,'февраль 2024'!$J$6:$J$1413,J$1)</f>
        <v>0</v>
      </c>
      <c r="K151" s="80">
        <f>SUMIFS('февраль 2024'!$G$6:$G$1413,'февраль 2024'!$D$6:$D$1413,$B151,'февраль 2024'!$J$6:$J$1413,K$1)</f>
        <v>0</v>
      </c>
      <c r="L151" s="80">
        <f>SUMIFS('февраль 2024'!$G$6:$G$1413,'февраль 2024'!$D$6:$D$1413,$B151,'февраль 2024'!$J$6:$J$1413,L$1)</f>
        <v>0</v>
      </c>
      <c r="M151" s="80">
        <f>SUMIFS('февраль 2024'!$G$6:$G$1413,'февраль 2024'!$D$6:$D$1413,$B151,'февраль 2024'!$J$6:$J$1413,M$1)</f>
        <v>0</v>
      </c>
      <c r="N151" s="80">
        <f>SUMIFS('февраль 2024'!$G$6:$G$1413,'февраль 2024'!$D$6:$D$1413,$B151,'февраль 2024'!$J$6:$J$1413,N$1)</f>
        <v>0</v>
      </c>
      <c r="O151" s="80">
        <f>SUMIFS('февраль 2024'!$G$6:$G$1413,'февраль 2024'!$D$6:$D$1413,$B151,'февраль 2024'!$J$6:$J$1413,O$1)</f>
        <v>0</v>
      </c>
      <c r="P151" s="80">
        <f>SUMIFS('февраль 2024'!$G$6:$G$1413,'февраль 2024'!$D$6:$D$1413,$B151,'февраль 2024'!$J$6:$J$1413,P$1)</f>
        <v>0</v>
      </c>
      <c r="Q151" s="80">
        <f>SUMIFS('февраль 2024'!$G$6:$G$1413,'февраль 2024'!$D$6:$D$1413,$B151,'февраль 2024'!$J$6:$J$1413,Q$1)</f>
        <v>0</v>
      </c>
      <c r="R151" s="80">
        <f>SUMIFS('февраль 2024'!$G$6:$G$1413,'февраль 2024'!$D$6:$D$1413,$B151,'февраль 2024'!$J$6:$J$1413,R$1)</f>
        <v>0</v>
      </c>
      <c r="S151" s="80">
        <f>SUMIFS('февраль 2024'!$G$6:$G$1413,'февраль 2024'!$D$6:$D$1413,$B151,'февраль 2024'!$J$6:$J$1413,S$1)</f>
        <v>0</v>
      </c>
      <c r="T151" s="80">
        <f>SUMIFS('февраль 2024'!$G$6:$G$1413,'февраль 2024'!$D$6:$D$1413,$B151,'февраль 2024'!$J$6:$J$1413,T$1)</f>
        <v>0</v>
      </c>
      <c r="U151" s="80">
        <f>SUMIFS('февраль 2024'!$G$6:$G$1413,'февраль 2024'!$D$6:$D$1413,$B151,'февраль 2024'!$J$6:$J$1413,U$1)</f>
        <v>0</v>
      </c>
      <c r="V151" s="80">
        <f>SUMIFS('февраль 2024'!$G$6:$G$1413,'февраль 2024'!$D$6:$D$1413,$B151,'февраль 2024'!$J$6:$J$1413,V$1)</f>
        <v>0</v>
      </c>
      <c r="W151" s="80">
        <f>SUMIFS('февраль 2024'!$G$6:$G$1413,'февраль 2024'!$D$6:$D$1413,$B151,'февраль 2024'!$J$6:$J$1413,W$1)</f>
        <v>0</v>
      </c>
      <c r="X151" s="80">
        <f>SUMIFS('февраль 2024'!$G$6:$G$1413,'февраль 2024'!$D$6:$D$1413,$B151,'февраль 2024'!$J$6:$J$1413,X$1)</f>
        <v>0</v>
      </c>
      <c r="Y151" s="80">
        <f>SUMIFS('февраль 2024'!$G$6:$G$1413,'февраль 2024'!$D$6:$D$1413,$B151,'февраль 2024'!$J$6:$J$1413,Y$1)</f>
        <v>0</v>
      </c>
      <c r="Z151" s="80">
        <f>SUMIFS('февраль 2024'!$G$6:$G$1413,'февраль 2024'!$D$6:$D$1413,$B151,'февраль 2024'!$J$6:$J$1413,Z$1)</f>
        <v>0</v>
      </c>
      <c r="AA151" s="80">
        <f>SUMIFS('февраль 2024'!$G$6:$G$1413,'февраль 2024'!$D$6:$D$1413,$B151,'февраль 2024'!$J$6:$J$1413,AA$1)</f>
        <v>0</v>
      </c>
      <c r="AB151" s="80">
        <f>SUMIFS('февраль 2024'!$G$6:$G$1413,'февраль 2024'!$D$6:$D$1413,$B151,'февраль 2024'!$J$6:$J$1413,AB$1)</f>
        <v>0</v>
      </c>
      <c r="AC151" s="80">
        <f>SUMIFS('февраль 2024'!$G$6:$G$1413,'февраль 2024'!$D$6:$D$1413,$B151,'февраль 2024'!$J$6:$J$1413,AC$1)</f>
        <v>0</v>
      </c>
      <c r="AD151" s="80">
        <f>SUMIFS('февраль 2024'!$G$6:$G$1413,'февраль 2024'!$D$6:$D$1413,$B151,'февраль 2024'!$J$6:$J$1413,AD$1)</f>
        <v>0</v>
      </c>
      <c r="AE151" s="80">
        <f>SUMIFS('февраль 2024'!$G$6:$G$1413,'февраль 2024'!$D$6:$D$1413,$B151,'февраль 2024'!$J$6:$J$1413,AE$1)</f>
        <v>0</v>
      </c>
      <c r="AF151" s="80">
        <f>SUMIFS('февраль 2024'!$G$6:$G$1413,'февраль 2024'!$D$6:$D$1413,$B151,'февраль 2024'!$J$6:$J$1413,AF$1)</f>
        <v>0</v>
      </c>
      <c r="AG151" s="80">
        <f>SUMIFS('февраль 2024'!$G$6:$G$1413,'февраль 2024'!$D$6:$D$1413,$B151,'февраль 2024'!$J$6:$J$1413,AG$1)</f>
        <v>0</v>
      </c>
      <c r="AH151" s="80">
        <f>SUMIFS('февраль 2024'!$G$6:$G$1413,'февраль 2024'!$D$6:$D$1413,$B151,'февраль 2024'!$J$6:$J$1413,AH$1)</f>
        <v>0</v>
      </c>
      <c r="AI151" s="87"/>
    </row>
    <row r="152" spans="2:35" ht="15" hidden="1" customHeight="1" x14ac:dyDescent="0.25">
      <c r="B152" s="93"/>
      <c r="C152" s="88"/>
      <c r="D152" s="80">
        <f>SUMIFS('февраль 2024'!$G$6:$G$1413,'февраль 2024'!$D$6:$D$1413,$B152,'февраль 2024'!$J$6:$J$1413,D$1)</f>
        <v>0</v>
      </c>
      <c r="E152" s="80">
        <f>SUMIFS('февраль 2024'!$G$6:$G$1413,'февраль 2024'!$D$6:$D$1413,$B152,'февраль 2024'!$J$6:$J$1413,E$1)</f>
        <v>0</v>
      </c>
      <c r="F152" s="80">
        <f>SUMIFS('февраль 2024'!$G$6:$G$1413,'февраль 2024'!$D$6:$D$1413,$B152,'февраль 2024'!$J$6:$J$1413,F$1)</f>
        <v>0</v>
      </c>
      <c r="G152" s="80">
        <f>SUMIFS('февраль 2024'!$G$6:$G$1413,'февраль 2024'!$D$6:$D$1413,$B152,'февраль 2024'!$J$6:$J$1413,G$1)</f>
        <v>0</v>
      </c>
      <c r="H152" s="80">
        <f>SUMIFS('февраль 2024'!$G$6:$G$1413,'февраль 2024'!$D$6:$D$1413,$B152,'февраль 2024'!$J$6:$J$1413,H$1)</f>
        <v>0</v>
      </c>
      <c r="I152" s="80">
        <f>SUMIFS('февраль 2024'!$G$6:$G$1413,'февраль 2024'!$D$6:$D$1413,$B152,'февраль 2024'!$J$6:$J$1413,I$1)</f>
        <v>0</v>
      </c>
      <c r="J152" s="80">
        <f>SUMIFS('февраль 2024'!$G$6:$G$1413,'февраль 2024'!$D$6:$D$1413,$B152,'февраль 2024'!$J$6:$J$1413,J$1)</f>
        <v>0</v>
      </c>
      <c r="K152" s="80">
        <f>SUMIFS('февраль 2024'!$G$6:$G$1413,'февраль 2024'!$D$6:$D$1413,$B152,'февраль 2024'!$J$6:$J$1413,K$1)</f>
        <v>0</v>
      </c>
      <c r="L152" s="80">
        <f>SUMIFS('февраль 2024'!$G$6:$G$1413,'февраль 2024'!$D$6:$D$1413,$B152,'февраль 2024'!$J$6:$J$1413,L$1)</f>
        <v>0</v>
      </c>
      <c r="M152" s="80">
        <f>SUMIFS('февраль 2024'!$G$6:$G$1413,'февраль 2024'!$D$6:$D$1413,$B152,'февраль 2024'!$J$6:$J$1413,M$1)</f>
        <v>0</v>
      </c>
      <c r="N152" s="80">
        <f>SUMIFS('февраль 2024'!$G$6:$G$1413,'февраль 2024'!$D$6:$D$1413,$B152,'февраль 2024'!$J$6:$J$1413,N$1)</f>
        <v>0</v>
      </c>
      <c r="O152" s="80">
        <f>SUMIFS('февраль 2024'!$G$6:$G$1413,'февраль 2024'!$D$6:$D$1413,$B152,'февраль 2024'!$J$6:$J$1413,O$1)</f>
        <v>0</v>
      </c>
      <c r="P152" s="80">
        <f>SUMIFS('февраль 2024'!$G$6:$G$1413,'февраль 2024'!$D$6:$D$1413,$B152,'февраль 2024'!$J$6:$J$1413,P$1)</f>
        <v>0</v>
      </c>
      <c r="Q152" s="80">
        <f>SUMIFS('февраль 2024'!$G$6:$G$1413,'февраль 2024'!$D$6:$D$1413,$B152,'февраль 2024'!$J$6:$J$1413,Q$1)</f>
        <v>0</v>
      </c>
      <c r="R152" s="80">
        <f>SUMIFS('февраль 2024'!$G$6:$G$1413,'февраль 2024'!$D$6:$D$1413,$B152,'февраль 2024'!$J$6:$J$1413,R$1)</f>
        <v>0</v>
      </c>
      <c r="S152" s="80">
        <f>SUMIFS('февраль 2024'!$G$6:$G$1413,'февраль 2024'!$D$6:$D$1413,$B152,'февраль 2024'!$J$6:$J$1413,S$1)</f>
        <v>0</v>
      </c>
      <c r="T152" s="80">
        <f>SUMIFS('февраль 2024'!$G$6:$G$1413,'февраль 2024'!$D$6:$D$1413,$B152,'февраль 2024'!$J$6:$J$1413,T$1)</f>
        <v>0</v>
      </c>
      <c r="U152" s="80">
        <f>SUMIFS('февраль 2024'!$G$6:$G$1413,'февраль 2024'!$D$6:$D$1413,$B152,'февраль 2024'!$J$6:$J$1413,U$1)</f>
        <v>0</v>
      </c>
      <c r="V152" s="80">
        <f>SUMIFS('февраль 2024'!$G$6:$G$1413,'февраль 2024'!$D$6:$D$1413,$B152,'февраль 2024'!$J$6:$J$1413,V$1)</f>
        <v>0</v>
      </c>
      <c r="W152" s="80">
        <f>SUMIFS('февраль 2024'!$G$6:$G$1413,'февраль 2024'!$D$6:$D$1413,$B152,'февраль 2024'!$J$6:$J$1413,W$1)</f>
        <v>0</v>
      </c>
      <c r="X152" s="80">
        <f>SUMIFS('февраль 2024'!$G$6:$G$1413,'февраль 2024'!$D$6:$D$1413,$B152,'февраль 2024'!$J$6:$J$1413,X$1)</f>
        <v>0</v>
      </c>
      <c r="Y152" s="80">
        <f>SUMIFS('февраль 2024'!$G$6:$G$1413,'февраль 2024'!$D$6:$D$1413,$B152,'февраль 2024'!$J$6:$J$1413,Y$1)</f>
        <v>0</v>
      </c>
      <c r="Z152" s="80">
        <f>SUMIFS('февраль 2024'!$G$6:$G$1413,'февраль 2024'!$D$6:$D$1413,$B152,'февраль 2024'!$J$6:$J$1413,Z$1)</f>
        <v>0</v>
      </c>
      <c r="AA152" s="80">
        <f>SUMIFS('февраль 2024'!$G$6:$G$1413,'февраль 2024'!$D$6:$D$1413,$B152,'февраль 2024'!$J$6:$J$1413,AA$1)</f>
        <v>0</v>
      </c>
      <c r="AB152" s="80">
        <f>SUMIFS('февраль 2024'!$G$6:$G$1413,'февраль 2024'!$D$6:$D$1413,$B152,'февраль 2024'!$J$6:$J$1413,AB$1)</f>
        <v>0</v>
      </c>
      <c r="AC152" s="80">
        <f>SUMIFS('февраль 2024'!$G$6:$G$1413,'февраль 2024'!$D$6:$D$1413,$B152,'февраль 2024'!$J$6:$J$1413,AC$1)</f>
        <v>0</v>
      </c>
      <c r="AD152" s="80">
        <f>SUMIFS('февраль 2024'!$G$6:$G$1413,'февраль 2024'!$D$6:$D$1413,$B152,'февраль 2024'!$J$6:$J$1413,AD$1)</f>
        <v>0</v>
      </c>
      <c r="AE152" s="80">
        <f>SUMIFS('февраль 2024'!$G$6:$G$1413,'февраль 2024'!$D$6:$D$1413,$B152,'февраль 2024'!$J$6:$J$1413,AE$1)</f>
        <v>0</v>
      </c>
      <c r="AF152" s="80">
        <f>SUMIFS('февраль 2024'!$G$6:$G$1413,'февраль 2024'!$D$6:$D$1413,$B152,'февраль 2024'!$J$6:$J$1413,AF$1)</f>
        <v>0</v>
      </c>
      <c r="AG152" s="80">
        <f>SUMIFS('февраль 2024'!$G$6:$G$1413,'февраль 2024'!$D$6:$D$1413,$B152,'февраль 2024'!$J$6:$J$1413,AG$1)</f>
        <v>0</v>
      </c>
      <c r="AH152" s="80">
        <f>SUMIFS('февраль 2024'!$G$6:$G$1413,'февраль 2024'!$D$6:$D$1413,$B152,'февраль 2024'!$J$6:$J$1413,AH$1)</f>
        <v>0</v>
      </c>
      <c r="AI152" s="87"/>
    </row>
    <row r="153" spans="2:35" ht="15" hidden="1" customHeight="1" x14ac:dyDescent="0.25">
      <c r="B153" s="93"/>
      <c r="C153" s="91"/>
      <c r="D153" s="80">
        <f>SUMIFS('февраль 2024'!$G$6:$G$1413,'февраль 2024'!$D$6:$D$1413,$B153,'февраль 2024'!$J$6:$J$1413,D$1)</f>
        <v>0</v>
      </c>
      <c r="E153" s="80">
        <f>SUMIFS('февраль 2024'!$G$6:$G$1413,'февраль 2024'!$D$6:$D$1413,$B153,'февраль 2024'!$J$6:$J$1413,E$1)</f>
        <v>0</v>
      </c>
      <c r="F153" s="80">
        <f>SUMIFS('февраль 2024'!$G$6:$G$1413,'февраль 2024'!$D$6:$D$1413,$B153,'февраль 2024'!$J$6:$J$1413,F$1)</f>
        <v>0</v>
      </c>
      <c r="G153" s="80">
        <f>SUMIFS('февраль 2024'!$G$6:$G$1413,'февраль 2024'!$D$6:$D$1413,$B153,'февраль 2024'!$J$6:$J$1413,G$1)</f>
        <v>0</v>
      </c>
      <c r="H153" s="80">
        <f>SUMIFS('февраль 2024'!$G$6:$G$1413,'февраль 2024'!$D$6:$D$1413,$B153,'февраль 2024'!$J$6:$J$1413,H$1)</f>
        <v>0</v>
      </c>
      <c r="I153" s="80">
        <f>SUMIFS('февраль 2024'!$G$6:$G$1413,'февраль 2024'!$D$6:$D$1413,$B153,'февраль 2024'!$J$6:$J$1413,I$1)</f>
        <v>0</v>
      </c>
      <c r="J153" s="80">
        <f>SUMIFS('февраль 2024'!$G$6:$G$1413,'февраль 2024'!$D$6:$D$1413,$B153,'февраль 2024'!$J$6:$J$1413,J$1)</f>
        <v>0</v>
      </c>
      <c r="K153" s="80">
        <f>SUMIFS('февраль 2024'!$G$6:$G$1413,'февраль 2024'!$D$6:$D$1413,$B153,'февраль 2024'!$J$6:$J$1413,K$1)</f>
        <v>0</v>
      </c>
      <c r="L153" s="80">
        <f>SUMIFS('февраль 2024'!$G$6:$G$1413,'февраль 2024'!$D$6:$D$1413,$B153,'февраль 2024'!$J$6:$J$1413,L$1)</f>
        <v>0</v>
      </c>
      <c r="M153" s="80">
        <f>SUMIFS('февраль 2024'!$G$6:$G$1413,'февраль 2024'!$D$6:$D$1413,$B153,'февраль 2024'!$J$6:$J$1413,M$1)</f>
        <v>0</v>
      </c>
      <c r="N153" s="80">
        <f>SUMIFS('февраль 2024'!$G$6:$G$1413,'февраль 2024'!$D$6:$D$1413,$B153,'февраль 2024'!$J$6:$J$1413,N$1)</f>
        <v>0</v>
      </c>
      <c r="O153" s="80">
        <f>SUMIFS('февраль 2024'!$G$6:$G$1413,'февраль 2024'!$D$6:$D$1413,$B153,'февраль 2024'!$J$6:$J$1413,O$1)</f>
        <v>0</v>
      </c>
      <c r="P153" s="80">
        <f>SUMIFS('февраль 2024'!$G$6:$G$1413,'февраль 2024'!$D$6:$D$1413,$B153,'февраль 2024'!$J$6:$J$1413,P$1)</f>
        <v>0</v>
      </c>
      <c r="Q153" s="80">
        <f>SUMIFS('февраль 2024'!$G$6:$G$1413,'февраль 2024'!$D$6:$D$1413,$B153,'февраль 2024'!$J$6:$J$1413,Q$1)</f>
        <v>0</v>
      </c>
      <c r="R153" s="80">
        <f>SUMIFS('февраль 2024'!$G$6:$G$1413,'февраль 2024'!$D$6:$D$1413,$B153,'февраль 2024'!$J$6:$J$1413,R$1)</f>
        <v>0</v>
      </c>
      <c r="S153" s="80">
        <f>SUMIFS('февраль 2024'!$G$6:$G$1413,'февраль 2024'!$D$6:$D$1413,$B153,'февраль 2024'!$J$6:$J$1413,S$1)</f>
        <v>0</v>
      </c>
      <c r="T153" s="80">
        <f>SUMIFS('февраль 2024'!$G$6:$G$1413,'февраль 2024'!$D$6:$D$1413,$B153,'февраль 2024'!$J$6:$J$1413,T$1)</f>
        <v>0</v>
      </c>
      <c r="U153" s="80">
        <f>SUMIFS('февраль 2024'!$G$6:$G$1413,'февраль 2024'!$D$6:$D$1413,$B153,'февраль 2024'!$J$6:$J$1413,U$1)</f>
        <v>0</v>
      </c>
      <c r="V153" s="80">
        <f>SUMIFS('февраль 2024'!$G$6:$G$1413,'февраль 2024'!$D$6:$D$1413,$B153,'февраль 2024'!$J$6:$J$1413,V$1)</f>
        <v>0</v>
      </c>
      <c r="W153" s="80">
        <f>SUMIFS('февраль 2024'!$G$6:$G$1413,'февраль 2024'!$D$6:$D$1413,$B153,'февраль 2024'!$J$6:$J$1413,W$1)</f>
        <v>0</v>
      </c>
      <c r="X153" s="80">
        <f>SUMIFS('февраль 2024'!$G$6:$G$1413,'февраль 2024'!$D$6:$D$1413,$B153,'февраль 2024'!$J$6:$J$1413,X$1)</f>
        <v>0</v>
      </c>
      <c r="Y153" s="80">
        <f>SUMIFS('февраль 2024'!$G$6:$G$1413,'февраль 2024'!$D$6:$D$1413,$B153,'февраль 2024'!$J$6:$J$1413,Y$1)</f>
        <v>0</v>
      </c>
      <c r="Z153" s="80">
        <f>SUMIFS('февраль 2024'!$G$6:$G$1413,'февраль 2024'!$D$6:$D$1413,$B153,'февраль 2024'!$J$6:$J$1413,Z$1)</f>
        <v>0</v>
      </c>
      <c r="AA153" s="80">
        <f>SUMIFS('февраль 2024'!$G$6:$G$1413,'февраль 2024'!$D$6:$D$1413,$B153,'февраль 2024'!$J$6:$J$1413,AA$1)</f>
        <v>0</v>
      </c>
      <c r="AB153" s="80">
        <f>SUMIFS('февраль 2024'!$G$6:$G$1413,'февраль 2024'!$D$6:$D$1413,$B153,'февраль 2024'!$J$6:$J$1413,AB$1)</f>
        <v>0</v>
      </c>
      <c r="AC153" s="80">
        <f>SUMIFS('февраль 2024'!$G$6:$G$1413,'февраль 2024'!$D$6:$D$1413,$B153,'февраль 2024'!$J$6:$J$1413,AC$1)</f>
        <v>0</v>
      </c>
      <c r="AD153" s="80">
        <f>SUMIFS('февраль 2024'!$G$6:$G$1413,'февраль 2024'!$D$6:$D$1413,$B153,'февраль 2024'!$J$6:$J$1413,AD$1)</f>
        <v>0</v>
      </c>
      <c r="AE153" s="80">
        <f>SUMIFS('февраль 2024'!$G$6:$G$1413,'февраль 2024'!$D$6:$D$1413,$B153,'февраль 2024'!$J$6:$J$1413,AE$1)</f>
        <v>0</v>
      </c>
      <c r="AF153" s="80">
        <f>SUMIFS('февраль 2024'!$G$6:$G$1413,'февраль 2024'!$D$6:$D$1413,$B153,'февраль 2024'!$J$6:$J$1413,AF$1)</f>
        <v>0</v>
      </c>
      <c r="AG153" s="80">
        <f>SUMIFS('февраль 2024'!$G$6:$G$1413,'февраль 2024'!$D$6:$D$1413,$B153,'февраль 2024'!$J$6:$J$1413,AG$1)</f>
        <v>0</v>
      </c>
      <c r="AH153" s="80">
        <f>SUMIFS('февраль 2024'!$G$6:$G$1413,'февраль 2024'!$D$6:$D$1413,$B153,'февраль 2024'!$J$6:$J$1413,AH$1)</f>
        <v>0</v>
      </c>
      <c r="AI153" s="87"/>
    </row>
    <row r="154" spans="2:35" ht="15" hidden="1" customHeight="1" x14ac:dyDescent="0.25">
      <c r="B154" s="89"/>
      <c r="C154" s="88"/>
      <c r="D154" s="80">
        <f>SUMIFS('февраль 2024'!$G$6:$G$1413,'февраль 2024'!$D$6:$D$1413,$B154,'февраль 2024'!$J$6:$J$1413,D$1)</f>
        <v>0</v>
      </c>
      <c r="E154" s="80">
        <f>SUMIFS('февраль 2024'!$G$6:$G$1413,'февраль 2024'!$D$6:$D$1413,$B154,'февраль 2024'!$J$6:$J$1413,E$1)</f>
        <v>0</v>
      </c>
      <c r="F154" s="80">
        <f>SUMIFS('февраль 2024'!$G$6:$G$1413,'февраль 2024'!$D$6:$D$1413,$B154,'февраль 2024'!$J$6:$J$1413,F$1)</f>
        <v>0</v>
      </c>
      <c r="G154" s="80">
        <f>SUMIFS('февраль 2024'!$G$6:$G$1413,'февраль 2024'!$D$6:$D$1413,$B154,'февраль 2024'!$J$6:$J$1413,G$1)</f>
        <v>0</v>
      </c>
      <c r="H154" s="80">
        <f>SUMIFS('февраль 2024'!$G$6:$G$1413,'февраль 2024'!$D$6:$D$1413,$B154,'февраль 2024'!$J$6:$J$1413,H$1)</f>
        <v>0</v>
      </c>
      <c r="I154" s="80">
        <f>SUMIFS('февраль 2024'!$G$6:$G$1413,'февраль 2024'!$D$6:$D$1413,$B154,'февраль 2024'!$J$6:$J$1413,I$1)</f>
        <v>0</v>
      </c>
      <c r="J154" s="80">
        <f>SUMIFS('февраль 2024'!$G$6:$G$1413,'февраль 2024'!$D$6:$D$1413,$B154,'февраль 2024'!$J$6:$J$1413,J$1)</f>
        <v>0</v>
      </c>
      <c r="K154" s="80">
        <f>SUMIFS('февраль 2024'!$G$6:$G$1413,'февраль 2024'!$D$6:$D$1413,$B154,'февраль 2024'!$J$6:$J$1413,K$1)</f>
        <v>0</v>
      </c>
      <c r="L154" s="80">
        <f>SUMIFS('февраль 2024'!$G$6:$G$1413,'февраль 2024'!$D$6:$D$1413,$B154,'февраль 2024'!$J$6:$J$1413,L$1)</f>
        <v>0</v>
      </c>
      <c r="M154" s="80">
        <f>SUMIFS('февраль 2024'!$G$6:$G$1413,'февраль 2024'!$D$6:$D$1413,$B154,'февраль 2024'!$J$6:$J$1413,M$1)</f>
        <v>0</v>
      </c>
      <c r="N154" s="80">
        <f>SUMIFS('февраль 2024'!$G$6:$G$1413,'февраль 2024'!$D$6:$D$1413,$B154,'февраль 2024'!$J$6:$J$1413,N$1)</f>
        <v>0</v>
      </c>
      <c r="O154" s="80">
        <f>SUMIFS('февраль 2024'!$G$6:$G$1413,'февраль 2024'!$D$6:$D$1413,$B154,'февраль 2024'!$J$6:$J$1413,O$1)</f>
        <v>0</v>
      </c>
      <c r="P154" s="80">
        <f>SUMIFS('февраль 2024'!$G$6:$G$1413,'февраль 2024'!$D$6:$D$1413,$B154,'февраль 2024'!$J$6:$J$1413,P$1)</f>
        <v>0</v>
      </c>
      <c r="Q154" s="80">
        <f>SUMIFS('февраль 2024'!$G$6:$G$1413,'февраль 2024'!$D$6:$D$1413,$B154,'февраль 2024'!$J$6:$J$1413,Q$1)</f>
        <v>0</v>
      </c>
      <c r="R154" s="80">
        <f>SUMIFS('февраль 2024'!$G$6:$G$1413,'февраль 2024'!$D$6:$D$1413,$B154,'февраль 2024'!$J$6:$J$1413,R$1)</f>
        <v>0</v>
      </c>
      <c r="S154" s="80">
        <f>SUMIFS('февраль 2024'!$G$6:$G$1413,'февраль 2024'!$D$6:$D$1413,$B154,'февраль 2024'!$J$6:$J$1413,S$1)</f>
        <v>0</v>
      </c>
      <c r="T154" s="80">
        <f>SUMIFS('февраль 2024'!$G$6:$G$1413,'февраль 2024'!$D$6:$D$1413,$B154,'февраль 2024'!$J$6:$J$1413,T$1)</f>
        <v>0</v>
      </c>
      <c r="U154" s="80">
        <f>SUMIFS('февраль 2024'!$G$6:$G$1413,'февраль 2024'!$D$6:$D$1413,$B154,'февраль 2024'!$J$6:$J$1413,U$1)</f>
        <v>0</v>
      </c>
      <c r="V154" s="80">
        <f>SUMIFS('февраль 2024'!$G$6:$G$1413,'февраль 2024'!$D$6:$D$1413,$B154,'февраль 2024'!$J$6:$J$1413,V$1)</f>
        <v>0</v>
      </c>
      <c r="W154" s="80">
        <f>SUMIFS('февраль 2024'!$G$6:$G$1413,'февраль 2024'!$D$6:$D$1413,$B154,'февраль 2024'!$J$6:$J$1413,W$1)</f>
        <v>0</v>
      </c>
      <c r="X154" s="80">
        <f>SUMIFS('февраль 2024'!$G$6:$G$1413,'февраль 2024'!$D$6:$D$1413,$B154,'февраль 2024'!$J$6:$J$1413,X$1)</f>
        <v>0</v>
      </c>
      <c r="Y154" s="80">
        <f>SUMIFS('февраль 2024'!$G$6:$G$1413,'февраль 2024'!$D$6:$D$1413,$B154,'февраль 2024'!$J$6:$J$1413,Y$1)</f>
        <v>0</v>
      </c>
      <c r="Z154" s="80">
        <f>SUMIFS('февраль 2024'!$G$6:$G$1413,'февраль 2024'!$D$6:$D$1413,$B154,'февраль 2024'!$J$6:$J$1413,Z$1)</f>
        <v>0</v>
      </c>
      <c r="AA154" s="80">
        <f>SUMIFS('февраль 2024'!$G$6:$G$1413,'февраль 2024'!$D$6:$D$1413,$B154,'февраль 2024'!$J$6:$J$1413,AA$1)</f>
        <v>0</v>
      </c>
      <c r="AB154" s="80">
        <f>SUMIFS('февраль 2024'!$G$6:$G$1413,'февраль 2024'!$D$6:$D$1413,$B154,'февраль 2024'!$J$6:$J$1413,AB$1)</f>
        <v>0</v>
      </c>
      <c r="AC154" s="80">
        <f>SUMIFS('февраль 2024'!$G$6:$G$1413,'февраль 2024'!$D$6:$D$1413,$B154,'февраль 2024'!$J$6:$J$1413,AC$1)</f>
        <v>0</v>
      </c>
      <c r="AD154" s="80">
        <f>SUMIFS('февраль 2024'!$G$6:$G$1413,'февраль 2024'!$D$6:$D$1413,$B154,'февраль 2024'!$J$6:$J$1413,AD$1)</f>
        <v>0</v>
      </c>
      <c r="AE154" s="80">
        <f>SUMIFS('февраль 2024'!$G$6:$G$1413,'февраль 2024'!$D$6:$D$1413,$B154,'февраль 2024'!$J$6:$J$1413,AE$1)</f>
        <v>0</v>
      </c>
      <c r="AF154" s="80">
        <f>SUMIFS('февраль 2024'!$G$6:$G$1413,'февраль 2024'!$D$6:$D$1413,$B154,'февраль 2024'!$J$6:$J$1413,AF$1)</f>
        <v>0</v>
      </c>
      <c r="AG154" s="80">
        <f>SUMIFS('февраль 2024'!$G$6:$G$1413,'февраль 2024'!$D$6:$D$1413,$B154,'февраль 2024'!$J$6:$J$1413,AG$1)</f>
        <v>0</v>
      </c>
      <c r="AH154" s="80">
        <f>SUMIFS('февраль 2024'!$G$6:$G$1413,'февраль 2024'!$D$6:$D$1413,$B154,'февраль 2024'!$J$6:$J$1413,AH$1)</f>
        <v>0</v>
      </c>
      <c r="AI154" s="87"/>
    </row>
    <row r="155" spans="2:35" ht="15" hidden="1" customHeight="1" x14ac:dyDescent="0.25">
      <c r="B155" s="92"/>
      <c r="C155" s="91"/>
      <c r="D155" s="80">
        <f>SUMIFS('февраль 2024'!$G$6:$G$1413,'февраль 2024'!$D$6:$D$1413,$B155,'февраль 2024'!$J$6:$J$1413,D$1)</f>
        <v>0</v>
      </c>
      <c r="E155" s="80">
        <f>SUMIFS('февраль 2024'!$G$6:$G$1413,'февраль 2024'!$D$6:$D$1413,$B155,'февраль 2024'!$J$6:$J$1413,E$1)</f>
        <v>0</v>
      </c>
      <c r="F155" s="80">
        <f>SUMIFS('февраль 2024'!$G$6:$G$1413,'февраль 2024'!$D$6:$D$1413,$B155,'февраль 2024'!$J$6:$J$1413,F$1)</f>
        <v>0</v>
      </c>
      <c r="G155" s="80">
        <f>SUMIFS('февраль 2024'!$G$6:$G$1413,'февраль 2024'!$D$6:$D$1413,$B155,'февраль 2024'!$J$6:$J$1413,G$1)</f>
        <v>0</v>
      </c>
      <c r="H155" s="80">
        <f>SUMIFS('февраль 2024'!$G$6:$G$1413,'февраль 2024'!$D$6:$D$1413,$B155,'февраль 2024'!$J$6:$J$1413,H$1)</f>
        <v>0</v>
      </c>
      <c r="I155" s="80">
        <f>SUMIFS('февраль 2024'!$G$6:$G$1413,'февраль 2024'!$D$6:$D$1413,$B155,'февраль 2024'!$J$6:$J$1413,I$1)</f>
        <v>0</v>
      </c>
      <c r="J155" s="80">
        <f>SUMIFS('февраль 2024'!$G$6:$G$1413,'февраль 2024'!$D$6:$D$1413,$B155,'февраль 2024'!$J$6:$J$1413,J$1)</f>
        <v>0</v>
      </c>
      <c r="K155" s="80">
        <f>SUMIFS('февраль 2024'!$G$6:$G$1413,'февраль 2024'!$D$6:$D$1413,$B155,'февраль 2024'!$J$6:$J$1413,K$1)</f>
        <v>0</v>
      </c>
      <c r="L155" s="80">
        <f>SUMIFS('февраль 2024'!$G$6:$G$1413,'февраль 2024'!$D$6:$D$1413,$B155,'февраль 2024'!$J$6:$J$1413,L$1)</f>
        <v>0</v>
      </c>
      <c r="M155" s="80">
        <f>SUMIFS('февраль 2024'!$G$6:$G$1413,'февраль 2024'!$D$6:$D$1413,$B155,'февраль 2024'!$J$6:$J$1413,M$1)</f>
        <v>0</v>
      </c>
      <c r="N155" s="80">
        <f>SUMIFS('февраль 2024'!$G$6:$G$1413,'февраль 2024'!$D$6:$D$1413,$B155,'февраль 2024'!$J$6:$J$1413,N$1)</f>
        <v>0</v>
      </c>
      <c r="O155" s="80">
        <f>SUMIFS('февраль 2024'!$G$6:$G$1413,'февраль 2024'!$D$6:$D$1413,$B155,'февраль 2024'!$J$6:$J$1413,O$1)</f>
        <v>0</v>
      </c>
      <c r="P155" s="80">
        <f>SUMIFS('февраль 2024'!$G$6:$G$1413,'февраль 2024'!$D$6:$D$1413,$B155,'февраль 2024'!$J$6:$J$1413,P$1)</f>
        <v>0</v>
      </c>
      <c r="Q155" s="80">
        <f>SUMIFS('февраль 2024'!$G$6:$G$1413,'февраль 2024'!$D$6:$D$1413,$B155,'февраль 2024'!$J$6:$J$1413,Q$1)</f>
        <v>0</v>
      </c>
      <c r="R155" s="80">
        <f>SUMIFS('февраль 2024'!$G$6:$G$1413,'февраль 2024'!$D$6:$D$1413,$B155,'февраль 2024'!$J$6:$J$1413,R$1)</f>
        <v>0</v>
      </c>
      <c r="S155" s="80">
        <f>SUMIFS('февраль 2024'!$G$6:$G$1413,'февраль 2024'!$D$6:$D$1413,$B155,'февраль 2024'!$J$6:$J$1413,S$1)</f>
        <v>0</v>
      </c>
      <c r="T155" s="80">
        <f>SUMIFS('февраль 2024'!$G$6:$G$1413,'февраль 2024'!$D$6:$D$1413,$B155,'февраль 2024'!$J$6:$J$1413,T$1)</f>
        <v>0</v>
      </c>
      <c r="U155" s="80">
        <f>SUMIFS('февраль 2024'!$G$6:$G$1413,'февраль 2024'!$D$6:$D$1413,$B155,'февраль 2024'!$J$6:$J$1413,U$1)</f>
        <v>0</v>
      </c>
      <c r="V155" s="80">
        <f>SUMIFS('февраль 2024'!$G$6:$G$1413,'февраль 2024'!$D$6:$D$1413,$B155,'февраль 2024'!$J$6:$J$1413,V$1)</f>
        <v>0</v>
      </c>
      <c r="W155" s="80">
        <f>SUMIFS('февраль 2024'!$G$6:$G$1413,'февраль 2024'!$D$6:$D$1413,$B155,'февраль 2024'!$J$6:$J$1413,W$1)</f>
        <v>0</v>
      </c>
      <c r="X155" s="80">
        <f>SUMIFS('февраль 2024'!$G$6:$G$1413,'февраль 2024'!$D$6:$D$1413,$B155,'февраль 2024'!$J$6:$J$1413,X$1)</f>
        <v>0</v>
      </c>
      <c r="Y155" s="80">
        <f>SUMIFS('февраль 2024'!$G$6:$G$1413,'февраль 2024'!$D$6:$D$1413,$B155,'февраль 2024'!$J$6:$J$1413,Y$1)</f>
        <v>0</v>
      </c>
      <c r="Z155" s="80">
        <f>SUMIFS('февраль 2024'!$G$6:$G$1413,'февраль 2024'!$D$6:$D$1413,$B155,'февраль 2024'!$J$6:$J$1413,Z$1)</f>
        <v>0</v>
      </c>
      <c r="AA155" s="80">
        <f>SUMIFS('февраль 2024'!$G$6:$G$1413,'февраль 2024'!$D$6:$D$1413,$B155,'февраль 2024'!$J$6:$J$1413,AA$1)</f>
        <v>0</v>
      </c>
      <c r="AB155" s="80">
        <f>SUMIFS('февраль 2024'!$G$6:$G$1413,'февраль 2024'!$D$6:$D$1413,$B155,'февраль 2024'!$J$6:$J$1413,AB$1)</f>
        <v>0</v>
      </c>
      <c r="AC155" s="80">
        <f>SUMIFS('февраль 2024'!$G$6:$G$1413,'февраль 2024'!$D$6:$D$1413,$B155,'февраль 2024'!$J$6:$J$1413,AC$1)</f>
        <v>0</v>
      </c>
      <c r="AD155" s="80">
        <f>SUMIFS('февраль 2024'!$G$6:$G$1413,'февраль 2024'!$D$6:$D$1413,$B155,'февраль 2024'!$J$6:$J$1413,AD$1)</f>
        <v>0</v>
      </c>
      <c r="AE155" s="80">
        <f>SUMIFS('февраль 2024'!$G$6:$G$1413,'февраль 2024'!$D$6:$D$1413,$B155,'февраль 2024'!$J$6:$J$1413,AE$1)</f>
        <v>0</v>
      </c>
      <c r="AF155" s="80">
        <f>SUMIFS('февраль 2024'!$G$6:$G$1413,'февраль 2024'!$D$6:$D$1413,$B155,'февраль 2024'!$J$6:$J$1413,AF$1)</f>
        <v>0</v>
      </c>
      <c r="AG155" s="80">
        <f>SUMIFS('февраль 2024'!$G$6:$G$1413,'февраль 2024'!$D$6:$D$1413,$B155,'февраль 2024'!$J$6:$J$1413,AG$1)</f>
        <v>0</v>
      </c>
      <c r="AH155" s="80">
        <f>SUMIFS('февраль 2024'!$G$6:$G$1413,'февраль 2024'!$D$6:$D$1413,$B155,'февраль 2024'!$J$6:$J$1413,AH$1)</f>
        <v>0</v>
      </c>
      <c r="AI155" s="87"/>
    </row>
    <row r="156" spans="2:35" ht="15" hidden="1" customHeight="1" x14ac:dyDescent="0.25">
      <c r="B156" s="89"/>
      <c r="C156" s="91"/>
      <c r="D156" s="80">
        <f>SUMIFS('февраль 2024'!$G$6:$G$1413,'февраль 2024'!$D$6:$D$1413,$B156,'февраль 2024'!$J$6:$J$1413,D$1)</f>
        <v>0</v>
      </c>
      <c r="E156" s="80">
        <f>SUMIFS('февраль 2024'!$G$6:$G$1413,'февраль 2024'!$D$6:$D$1413,$B156,'февраль 2024'!$J$6:$J$1413,E$1)</f>
        <v>0</v>
      </c>
      <c r="F156" s="80">
        <f>SUMIFS('февраль 2024'!$G$6:$G$1413,'февраль 2024'!$D$6:$D$1413,$B156,'февраль 2024'!$J$6:$J$1413,F$1)</f>
        <v>0</v>
      </c>
      <c r="G156" s="80">
        <f>SUMIFS('февраль 2024'!$G$6:$G$1413,'февраль 2024'!$D$6:$D$1413,$B156,'февраль 2024'!$J$6:$J$1413,G$1)</f>
        <v>0</v>
      </c>
      <c r="H156" s="80">
        <f>SUMIFS('февраль 2024'!$G$6:$G$1413,'февраль 2024'!$D$6:$D$1413,$B156,'февраль 2024'!$J$6:$J$1413,H$1)</f>
        <v>0</v>
      </c>
      <c r="I156" s="80">
        <f>SUMIFS('февраль 2024'!$G$6:$G$1413,'февраль 2024'!$D$6:$D$1413,$B156,'февраль 2024'!$J$6:$J$1413,I$1)</f>
        <v>0</v>
      </c>
      <c r="J156" s="80">
        <f>SUMIFS('февраль 2024'!$G$6:$G$1413,'февраль 2024'!$D$6:$D$1413,$B156,'февраль 2024'!$J$6:$J$1413,J$1)</f>
        <v>0</v>
      </c>
      <c r="K156" s="80">
        <f>SUMIFS('февраль 2024'!$G$6:$G$1413,'февраль 2024'!$D$6:$D$1413,$B156,'февраль 2024'!$J$6:$J$1413,K$1)</f>
        <v>0</v>
      </c>
      <c r="L156" s="80">
        <f>SUMIFS('февраль 2024'!$G$6:$G$1413,'февраль 2024'!$D$6:$D$1413,$B156,'февраль 2024'!$J$6:$J$1413,L$1)</f>
        <v>0</v>
      </c>
      <c r="M156" s="80">
        <f>SUMIFS('февраль 2024'!$G$6:$G$1413,'февраль 2024'!$D$6:$D$1413,$B156,'февраль 2024'!$J$6:$J$1413,M$1)</f>
        <v>0</v>
      </c>
      <c r="N156" s="80">
        <f>SUMIFS('февраль 2024'!$G$6:$G$1413,'февраль 2024'!$D$6:$D$1413,$B156,'февраль 2024'!$J$6:$J$1413,N$1)</f>
        <v>0</v>
      </c>
      <c r="O156" s="80">
        <f>SUMIFS('февраль 2024'!$G$6:$G$1413,'февраль 2024'!$D$6:$D$1413,$B156,'февраль 2024'!$J$6:$J$1413,O$1)</f>
        <v>0</v>
      </c>
      <c r="P156" s="80">
        <f>SUMIFS('февраль 2024'!$G$6:$G$1413,'февраль 2024'!$D$6:$D$1413,$B156,'февраль 2024'!$J$6:$J$1413,P$1)</f>
        <v>0</v>
      </c>
      <c r="Q156" s="80">
        <f>SUMIFS('февраль 2024'!$G$6:$G$1413,'февраль 2024'!$D$6:$D$1413,$B156,'февраль 2024'!$J$6:$J$1413,Q$1)</f>
        <v>0</v>
      </c>
      <c r="R156" s="80">
        <f>SUMIFS('февраль 2024'!$G$6:$G$1413,'февраль 2024'!$D$6:$D$1413,$B156,'февраль 2024'!$J$6:$J$1413,R$1)</f>
        <v>0</v>
      </c>
      <c r="S156" s="80">
        <f>SUMIFS('февраль 2024'!$G$6:$G$1413,'февраль 2024'!$D$6:$D$1413,$B156,'февраль 2024'!$J$6:$J$1413,S$1)</f>
        <v>0</v>
      </c>
      <c r="T156" s="80">
        <f>SUMIFS('февраль 2024'!$G$6:$G$1413,'февраль 2024'!$D$6:$D$1413,$B156,'февраль 2024'!$J$6:$J$1413,T$1)</f>
        <v>0</v>
      </c>
      <c r="U156" s="80">
        <f>SUMIFS('февраль 2024'!$G$6:$G$1413,'февраль 2024'!$D$6:$D$1413,$B156,'февраль 2024'!$J$6:$J$1413,U$1)</f>
        <v>0</v>
      </c>
      <c r="V156" s="80">
        <f>SUMIFS('февраль 2024'!$G$6:$G$1413,'февраль 2024'!$D$6:$D$1413,$B156,'февраль 2024'!$J$6:$J$1413,V$1)</f>
        <v>0</v>
      </c>
      <c r="W156" s="80">
        <f>SUMIFS('февраль 2024'!$G$6:$G$1413,'февраль 2024'!$D$6:$D$1413,$B156,'февраль 2024'!$J$6:$J$1413,W$1)</f>
        <v>0</v>
      </c>
      <c r="X156" s="80">
        <f>SUMIFS('февраль 2024'!$G$6:$G$1413,'февраль 2024'!$D$6:$D$1413,$B156,'февраль 2024'!$J$6:$J$1413,X$1)</f>
        <v>0</v>
      </c>
      <c r="Y156" s="80">
        <f>SUMIFS('февраль 2024'!$G$6:$G$1413,'февраль 2024'!$D$6:$D$1413,$B156,'февраль 2024'!$J$6:$J$1413,Y$1)</f>
        <v>0</v>
      </c>
      <c r="Z156" s="80">
        <f>SUMIFS('февраль 2024'!$G$6:$G$1413,'февраль 2024'!$D$6:$D$1413,$B156,'февраль 2024'!$J$6:$J$1413,Z$1)</f>
        <v>0</v>
      </c>
      <c r="AA156" s="80">
        <f>SUMIFS('февраль 2024'!$G$6:$G$1413,'февраль 2024'!$D$6:$D$1413,$B156,'февраль 2024'!$J$6:$J$1413,AA$1)</f>
        <v>0</v>
      </c>
      <c r="AB156" s="80">
        <f>SUMIFS('февраль 2024'!$G$6:$G$1413,'февраль 2024'!$D$6:$D$1413,$B156,'февраль 2024'!$J$6:$J$1413,AB$1)</f>
        <v>0</v>
      </c>
      <c r="AC156" s="80">
        <f>SUMIFS('февраль 2024'!$G$6:$G$1413,'февраль 2024'!$D$6:$D$1413,$B156,'февраль 2024'!$J$6:$J$1413,AC$1)</f>
        <v>0</v>
      </c>
      <c r="AD156" s="80">
        <f>SUMIFS('февраль 2024'!$G$6:$G$1413,'февраль 2024'!$D$6:$D$1413,$B156,'февраль 2024'!$J$6:$J$1413,AD$1)</f>
        <v>0</v>
      </c>
      <c r="AE156" s="80">
        <f>SUMIFS('февраль 2024'!$G$6:$G$1413,'февраль 2024'!$D$6:$D$1413,$B156,'февраль 2024'!$J$6:$J$1413,AE$1)</f>
        <v>0</v>
      </c>
      <c r="AF156" s="80">
        <f>SUMIFS('февраль 2024'!$G$6:$G$1413,'февраль 2024'!$D$6:$D$1413,$B156,'февраль 2024'!$J$6:$J$1413,AF$1)</f>
        <v>0</v>
      </c>
      <c r="AG156" s="80">
        <f>SUMIFS('февраль 2024'!$G$6:$G$1413,'февраль 2024'!$D$6:$D$1413,$B156,'февраль 2024'!$J$6:$J$1413,AG$1)</f>
        <v>0</v>
      </c>
      <c r="AH156" s="80">
        <f>SUMIFS('февраль 2024'!$G$6:$G$1413,'февраль 2024'!$D$6:$D$1413,$B156,'февраль 2024'!$J$6:$J$1413,AH$1)</f>
        <v>0</v>
      </c>
      <c r="AI156" s="87"/>
    </row>
    <row r="157" spans="2:35" ht="15" hidden="1" customHeight="1" x14ac:dyDescent="0.25">
      <c r="B157" s="89"/>
      <c r="C157" s="88"/>
      <c r="D157" s="80">
        <f>SUMIFS('февраль 2024'!$G$6:$G$1413,'февраль 2024'!$D$6:$D$1413,$B157,'февраль 2024'!$J$6:$J$1413,D$1)</f>
        <v>0</v>
      </c>
      <c r="E157" s="80">
        <f>SUMIFS('февраль 2024'!$G$6:$G$1413,'февраль 2024'!$D$6:$D$1413,$B157,'февраль 2024'!$J$6:$J$1413,E$1)</f>
        <v>0</v>
      </c>
      <c r="F157" s="80">
        <f>SUMIFS('февраль 2024'!$G$6:$G$1413,'февраль 2024'!$D$6:$D$1413,$B157,'февраль 2024'!$J$6:$J$1413,F$1)</f>
        <v>0</v>
      </c>
      <c r="G157" s="80">
        <f>SUMIFS('февраль 2024'!$G$6:$G$1413,'февраль 2024'!$D$6:$D$1413,$B157,'февраль 2024'!$J$6:$J$1413,G$1)</f>
        <v>0</v>
      </c>
      <c r="H157" s="80">
        <f>SUMIFS('февраль 2024'!$G$6:$G$1413,'февраль 2024'!$D$6:$D$1413,$B157,'февраль 2024'!$J$6:$J$1413,H$1)</f>
        <v>0</v>
      </c>
      <c r="I157" s="80">
        <f>SUMIFS('февраль 2024'!$G$6:$G$1413,'февраль 2024'!$D$6:$D$1413,$B157,'февраль 2024'!$J$6:$J$1413,I$1)</f>
        <v>0</v>
      </c>
      <c r="J157" s="80">
        <f>SUMIFS('февраль 2024'!$G$6:$G$1413,'февраль 2024'!$D$6:$D$1413,$B157,'февраль 2024'!$J$6:$J$1413,J$1)</f>
        <v>0</v>
      </c>
      <c r="K157" s="80">
        <f>SUMIFS('февраль 2024'!$G$6:$G$1413,'февраль 2024'!$D$6:$D$1413,$B157,'февраль 2024'!$J$6:$J$1413,K$1)</f>
        <v>0</v>
      </c>
      <c r="L157" s="80">
        <f>SUMIFS('февраль 2024'!$G$6:$G$1413,'февраль 2024'!$D$6:$D$1413,$B157,'февраль 2024'!$J$6:$J$1413,L$1)</f>
        <v>0</v>
      </c>
      <c r="M157" s="80">
        <f>SUMIFS('февраль 2024'!$G$6:$G$1413,'февраль 2024'!$D$6:$D$1413,$B157,'февраль 2024'!$J$6:$J$1413,M$1)</f>
        <v>0</v>
      </c>
      <c r="N157" s="80">
        <f>SUMIFS('февраль 2024'!$G$6:$G$1413,'февраль 2024'!$D$6:$D$1413,$B157,'февраль 2024'!$J$6:$J$1413,N$1)</f>
        <v>0</v>
      </c>
      <c r="O157" s="80">
        <f>SUMIFS('февраль 2024'!$G$6:$G$1413,'февраль 2024'!$D$6:$D$1413,$B157,'февраль 2024'!$J$6:$J$1413,O$1)</f>
        <v>0</v>
      </c>
      <c r="P157" s="80">
        <f>SUMIFS('февраль 2024'!$G$6:$G$1413,'февраль 2024'!$D$6:$D$1413,$B157,'февраль 2024'!$J$6:$J$1413,P$1)</f>
        <v>0</v>
      </c>
      <c r="Q157" s="80">
        <f>SUMIFS('февраль 2024'!$G$6:$G$1413,'февраль 2024'!$D$6:$D$1413,$B157,'февраль 2024'!$J$6:$J$1413,Q$1)</f>
        <v>0</v>
      </c>
      <c r="R157" s="80">
        <f>SUMIFS('февраль 2024'!$G$6:$G$1413,'февраль 2024'!$D$6:$D$1413,$B157,'февраль 2024'!$J$6:$J$1413,R$1)</f>
        <v>0</v>
      </c>
      <c r="S157" s="80">
        <f>SUMIFS('февраль 2024'!$G$6:$G$1413,'февраль 2024'!$D$6:$D$1413,$B157,'февраль 2024'!$J$6:$J$1413,S$1)</f>
        <v>0</v>
      </c>
      <c r="T157" s="80">
        <f>SUMIFS('февраль 2024'!$G$6:$G$1413,'февраль 2024'!$D$6:$D$1413,$B157,'февраль 2024'!$J$6:$J$1413,T$1)</f>
        <v>0</v>
      </c>
      <c r="U157" s="80">
        <f>SUMIFS('февраль 2024'!$G$6:$G$1413,'февраль 2024'!$D$6:$D$1413,$B157,'февраль 2024'!$J$6:$J$1413,U$1)</f>
        <v>0</v>
      </c>
      <c r="V157" s="80">
        <f>SUMIFS('февраль 2024'!$G$6:$G$1413,'февраль 2024'!$D$6:$D$1413,$B157,'февраль 2024'!$J$6:$J$1413,V$1)</f>
        <v>0</v>
      </c>
      <c r="W157" s="80">
        <f>SUMIFS('февраль 2024'!$G$6:$G$1413,'февраль 2024'!$D$6:$D$1413,$B157,'февраль 2024'!$J$6:$J$1413,W$1)</f>
        <v>0</v>
      </c>
      <c r="X157" s="80">
        <f>SUMIFS('февраль 2024'!$G$6:$G$1413,'февраль 2024'!$D$6:$D$1413,$B157,'февраль 2024'!$J$6:$J$1413,X$1)</f>
        <v>0</v>
      </c>
      <c r="Y157" s="80">
        <f>SUMIFS('февраль 2024'!$G$6:$G$1413,'февраль 2024'!$D$6:$D$1413,$B157,'февраль 2024'!$J$6:$J$1413,Y$1)</f>
        <v>0</v>
      </c>
      <c r="Z157" s="80">
        <f>SUMIFS('февраль 2024'!$G$6:$G$1413,'февраль 2024'!$D$6:$D$1413,$B157,'февраль 2024'!$J$6:$J$1413,Z$1)</f>
        <v>0</v>
      </c>
      <c r="AA157" s="80">
        <f>SUMIFS('февраль 2024'!$G$6:$G$1413,'февраль 2024'!$D$6:$D$1413,$B157,'февраль 2024'!$J$6:$J$1413,AA$1)</f>
        <v>0</v>
      </c>
      <c r="AB157" s="80">
        <f>SUMIFS('февраль 2024'!$G$6:$G$1413,'февраль 2024'!$D$6:$D$1413,$B157,'февраль 2024'!$J$6:$J$1413,AB$1)</f>
        <v>0</v>
      </c>
      <c r="AC157" s="80">
        <f>SUMIFS('февраль 2024'!$G$6:$G$1413,'февраль 2024'!$D$6:$D$1413,$B157,'февраль 2024'!$J$6:$J$1413,AC$1)</f>
        <v>0</v>
      </c>
      <c r="AD157" s="80">
        <f>SUMIFS('февраль 2024'!$G$6:$G$1413,'февраль 2024'!$D$6:$D$1413,$B157,'февраль 2024'!$J$6:$J$1413,AD$1)</f>
        <v>0</v>
      </c>
      <c r="AE157" s="80">
        <f>SUMIFS('февраль 2024'!$G$6:$G$1413,'февраль 2024'!$D$6:$D$1413,$B157,'февраль 2024'!$J$6:$J$1413,AE$1)</f>
        <v>0</v>
      </c>
      <c r="AF157" s="80">
        <f>SUMIFS('февраль 2024'!$G$6:$G$1413,'февраль 2024'!$D$6:$D$1413,$B157,'февраль 2024'!$J$6:$J$1413,AF$1)</f>
        <v>0</v>
      </c>
      <c r="AG157" s="80">
        <f>SUMIFS('февраль 2024'!$G$6:$G$1413,'февраль 2024'!$D$6:$D$1413,$B157,'февраль 2024'!$J$6:$J$1413,AG$1)</f>
        <v>0</v>
      </c>
      <c r="AH157" s="80">
        <f>SUMIFS('февраль 2024'!$G$6:$G$1413,'февраль 2024'!$D$6:$D$1413,$B157,'февраль 2024'!$J$6:$J$1413,AH$1)</f>
        <v>0</v>
      </c>
      <c r="AI157" s="87"/>
    </row>
    <row r="158" spans="2:35" ht="15" hidden="1" customHeight="1" x14ac:dyDescent="0.25">
      <c r="B158" s="89"/>
      <c r="C158" s="88"/>
      <c r="D158" s="80">
        <f>SUMIFS('февраль 2024'!$G$6:$G$1413,'февраль 2024'!$D$6:$D$1413,$B158,'февраль 2024'!$J$6:$J$1413,D$1)</f>
        <v>0</v>
      </c>
      <c r="E158" s="80">
        <f>SUMIFS('февраль 2024'!$G$6:$G$1413,'февраль 2024'!$D$6:$D$1413,$B158,'февраль 2024'!$J$6:$J$1413,E$1)</f>
        <v>0</v>
      </c>
      <c r="F158" s="80">
        <f>SUMIFS('февраль 2024'!$G$6:$G$1413,'февраль 2024'!$D$6:$D$1413,$B158,'февраль 2024'!$J$6:$J$1413,F$1)</f>
        <v>0</v>
      </c>
      <c r="G158" s="80">
        <f>SUMIFS('февраль 2024'!$G$6:$G$1413,'февраль 2024'!$D$6:$D$1413,$B158,'февраль 2024'!$J$6:$J$1413,G$1)</f>
        <v>0</v>
      </c>
      <c r="H158" s="80">
        <f>SUMIFS('февраль 2024'!$G$6:$G$1413,'февраль 2024'!$D$6:$D$1413,$B158,'февраль 2024'!$J$6:$J$1413,H$1)</f>
        <v>0</v>
      </c>
      <c r="I158" s="80">
        <f>SUMIFS('февраль 2024'!$G$6:$G$1413,'февраль 2024'!$D$6:$D$1413,$B158,'февраль 2024'!$J$6:$J$1413,I$1)</f>
        <v>0</v>
      </c>
      <c r="J158" s="80">
        <f>SUMIFS('февраль 2024'!$G$6:$G$1413,'февраль 2024'!$D$6:$D$1413,$B158,'февраль 2024'!$J$6:$J$1413,J$1)</f>
        <v>0</v>
      </c>
      <c r="K158" s="80">
        <f>SUMIFS('февраль 2024'!$G$6:$G$1413,'февраль 2024'!$D$6:$D$1413,$B158,'февраль 2024'!$J$6:$J$1413,K$1)</f>
        <v>0</v>
      </c>
      <c r="L158" s="80">
        <f>SUMIFS('февраль 2024'!$G$6:$G$1413,'февраль 2024'!$D$6:$D$1413,$B158,'февраль 2024'!$J$6:$J$1413,L$1)</f>
        <v>0</v>
      </c>
      <c r="M158" s="80">
        <f>SUMIFS('февраль 2024'!$G$6:$G$1413,'февраль 2024'!$D$6:$D$1413,$B158,'февраль 2024'!$J$6:$J$1413,M$1)</f>
        <v>0</v>
      </c>
      <c r="N158" s="80">
        <f>SUMIFS('февраль 2024'!$G$6:$G$1413,'февраль 2024'!$D$6:$D$1413,$B158,'февраль 2024'!$J$6:$J$1413,N$1)</f>
        <v>0</v>
      </c>
      <c r="O158" s="80">
        <f>SUMIFS('февраль 2024'!$G$6:$G$1413,'февраль 2024'!$D$6:$D$1413,$B158,'февраль 2024'!$J$6:$J$1413,O$1)</f>
        <v>0</v>
      </c>
      <c r="P158" s="80">
        <f>SUMIFS('февраль 2024'!$G$6:$G$1413,'февраль 2024'!$D$6:$D$1413,$B158,'февраль 2024'!$J$6:$J$1413,P$1)</f>
        <v>0</v>
      </c>
      <c r="Q158" s="80">
        <f>SUMIFS('февраль 2024'!$G$6:$G$1413,'февраль 2024'!$D$6:$D$1413,$B158,'февраль 2024'!$J$6:$J$1413,Q$1)</f>
        <v>0</v>
      </c>
      <c r="R158" s="80">
        <f>SUMIFS('февраль 2024'!$G$6:$G$1413,'февраль 2024'!$D$6:$D$1413,$B158,'февраль 2024'!$J$6:$J$1413,R$1)</f>
        <v>0</v>
      </c>
      <c r="S158" s="80">
        <f>SUMIFS('февраль 2024'!$G$6:$G$1413,'февраль 2024'!$D$6:$D$1413,$B158,'февраль 2024'!$J$6:$J$1413,S$1)</f>
        <v>0</v>
      </c>
      <c r="T158" s="80">
        <f>SUMIFS('февраль 2024'!$G$6:$G$1413,'февраль 2024'!$D$6:$D$1413,$B158,'февраль 2024'!$J$6:$J$1413,T$1)</f>
        <v>0</v>
      </c>
      <c r="U158" s="80">
        <f>SUMIFS('февраль 2024'!$G$6:$G$1413,'февраль 2024'!$D$6:$D$1413,$B158,'февраль 2024'!$J$6:$J$1413,U$1)</f>
        <v>0</v>
      </c>
      <c r="V158" s="80">
        <f>SUMIFS('февраль 2024'!$G$6:$G$1413,'февраль 2024'!$D$6:$D$1413,$B158,'февраль 2024'!$J$6:$J$1413,V$1)</f>
        <v>0</v>
      </c>
      <c r="W158" s="80">
        <f>SUMIFS('февраль 2024'!$G$6:$G$1413,'февраль 2024'!$D$6:$D$1413,$B158,'февраль 2024'!$J$6:$J$1413,W$1)</f>
        <v>0</v>
      </c>
      <c r="X158" s="80">
        <f>SUMIFS('февраль 2024'!$G$6:$G$1413,'февраль 2024'!$D$6:$D$1413,$B158,'февраль 2024'!$J$6:$J$1413,X$1)</f>
        <v>0</v>
      </c>
      <c r="Y158" s="80">
        <f>SUMIFS('февраль 2024'!$G$6:$G$1413,'февраль 2024'!$D$6:$D$1413,$B158,'февраль 2024'!$J$6:$J$1413,Y$1)</f>
        <v>0</v>
      </c>
      <c r="Z158" s="80">
        <f>SUMIFS('февраль 2024'!$G$6:$G$1413,'февраль 2024'!$D$6:$D$1413,$B158,'февраль 2024'!$J$6:$J$1413,Z$1)</f>
        <v>0</v>
      </c>
      <c r="AA158" s="80">
        <f>SUMIFS('февраль 2024'!$G$6:$G$1413,'февраль 2024'!$D$6:$D$1413,$B158,'февраль 2024'!$J$6:$J$1413,AA$1)</f>
        <v>0</v>
      </c>
      <c r="AB158" s="80">
        <f>SUMIFS('февраль 2024'!$G$6:$G$1413,'февраль 2024'!$D$6:$D$1413,$B158,'февраль 2024'!$J$6:$J$1413,AB$1)</f>
        <v>0</v>
      </c>
      <c r="AC158" s="80">
        <f>SUMIFS('февраль 2024'!$G$6:$G$1413,'февраль 2024'!$D$6:$D$1413,$B158,'февраль 2024'!$J$6:$J$1413,AC$1)</f>
        <v>0</v>
      </c>
      <c r="AD158" s="80">
        <f>SUMIFS('февраль 2024'!$G$6:$G$1413,'февраль 2024'!$D$6:$D$1413,$B158,'февраль 2024'!$J$6:$J$1413,AD$1)</f>
        <v>0</v>
      </c>
      <c r="AE158" s="80">
        <f>SUMIFS('февраль 2024'!$G$6:$G$1413,'февраль 2024'!$D$6:$D$1413,$B158,'февраль 2024'!$J$6:$J$1413,AE$1)</f>
        <v>0</v>
      </c>
      <c r="AF158" s="80">
        <f>SUMIFS('февраль 2024'!$G$6:$G$1413,'февраль 2024'!$D$6:$D$1413,$B158,'февраль 2024'!$J$6:$J$1413,AF$1)</f>
        <v>0</v>
      </c>
      <c r="AG158" s="80">
        <f>SUMIFS('февраль 2024'!$G$6:$G$1413,'февраль 2024'!$D$6:$D$1413,$B158,'февраль 2024'!$J$6:$J$1413,AG$1)</f>
        <v>0</v>
      </c>
      <c r="AH158" s="80">
        <f>SUMIFS('февраль 2024'!$G$6:$G$1413,'февраль 2024'!$D$6:$D$1413,$B158,'февраль 2024'!$J$6:$J$1413,AH$1)</f>
        <v>0</v>
      </c>
      <c r="AI158" s="87"/>
    </row>
    <row r="159" spans="2:35" ht="15" hidden="1" customHeight="1" x14ac:dyDescent="0.25">
      <c r="B159" s="89"/>
      <c r="C159" s="88"/>
      <c r="D159" s="80">
        <f>SUMIFS('февраль 2024'!$G$6:$G$1413,'февраль 2024'!$D$6:$D$1413,$B159,'февраль 2024'!$J$6:$J$1413,D$1)</f>
        <v>0</v>
      </c>
      <c r="E159" s="80">
        <f>SUMIFS('февраль 2024'!$G$6:$G$1413,'февраль 2024'!$D$6:$D$1413,$B159,'февраль 2024'!$J$6:$J$1413,E$1)</f>
        <v>0</v>
      </c>
      <c r="F159" s="80">
        <f>SUMIFS('февраль 2024'!$G$6:$G$1413,'февраль 2024'!$D$6:$D$1413,$B159,'февраль 2024'!$J$6:$J$1413,F$1)</f>
        <v>0</v>
      </c>
      <c r="G159" s="80">
        <f>SUMIFS('февраль 2024'!$G$6:$G$1413,'февраль 2024'!$D$6:$D$1413,$B159,'февраль 2024'!$J$6:$J$1413,G$1)</f>
        <v>0</v>
      </c>
      <c r="H159" s="80">
        <f>SUMIFS('февраль 2024'!$G$6:$G$1413,'февраль 2024'!$D$6:$D$1413,$B159,'февраль 2024'!$J$6:$J$1413,H$1)</f>
        <v>0</v>
      </c>
      <c r="I159" s="80">
        <f>SUMIFS('февраль 2024'!$G$6:$G$1413,'февраль 2024'!$D$6:$D$1413,$B159,'февраль 2024'!$J$6:$J$1413,I$1)</f>
        <v>0</v>
      </c>
      <c r="J159" s="80">
        <f>SUMIFS('февраль 2024'!$G$6:$G$1413,'февраль 2024'!$D$6:$D$1413,$B159,'февраль 2024'!$J$6:$J$1413,J$1)</f>
        <v>0</v>
      </c>
      <c r="K159" s="80">
        <f>SUMIFS('февраль 2024'!$G$6:$G$1413,'февраль 2024'!$D$6:$D$1413,$B159,'февраль 2024'!$J$6:$J$1413,K$1)</f>
        <v>0</v>
      </c>
      <c r="L159" s="80">
        <f>SUMIFS('февраль 2024'!$G$6:$G$1413,'февраль 2024'!$D$6:$D$1413,$B159,'февраль 2024'!$J$6:$J$1413,L$1)</f>
        <v>0</v>
      </c>
      <c r="M159" s="80">
        <f>SUMIFS('февраль 2024'!$G$6:$G$1413,'февраль 2024'!$D$6:$D$1413,$B159,'февраль 2024'!$J$6:$J$1413,M$1)</f>
        <v>0</v>
      </c>
      <c r="N159" s="80">
        <f>SUMIFS('февраль 2024'!$G$6:$G$1413,'февраль 2024'!$D$6:$D$1413,$B159,'февраль 2024'!$J$6:$J$1413,N$1)</f>
        <v>0</v>
      </c>
      <c r="O159" s="80">
        <f>SUMIFS('февраль 2024'!$G$6:$G$1413,'февраль 2024'!$D$6:$D$1413,$B159,'февраль 2024'!$J$6:$J$1413,O$1)</f>
        <v>0</v>
      </c>
      <c r="P159" s="80">
        <f>SUMIFS('февраль 2024'!$G$6:$G$1413,'февраль 2024'!$D$6:$D$1413,$B159,'февраль 2024'!$J$6:$J$1413,P$1)</f>
        <v>0</v>
      </c>
      <c r="Q159" s="80">
        <f>SUMIFS('февраль 2024'!$G$6:$G$1413,'февраль 2024'!$D$6:$D$1413,$B159,'февраль 2024'!$J$6:$J$1413,Q$1)</f>
        <v>0</v>
      </c>
      <c r="R159" s="80">
        <f>SUMIFS('февраль 2024'!$G$6:$G$1413,'февраль 2024'!$D$6:$D$1413,$B159,'февраль 2024'!$J$6:$J$1413,R$1)</f>
        <v>0</v>
      </c>
      <c r="S159" s="80">
        <f>SUMIFS('февраль 2024'!$G$6:$G$1413,'февраль 2024'!$D$6:$D$1413,$B159,'февраль 2024'!$J$6:$J$1413,S$1)</f>
        <v>0</v>
      </c>
      <c r="T159" s="80">
        <f>SUMIFS('февраль 2024'!$G$6:$G$1413,'февраль 2024'!$D$6:$D$1413,$B159,'февраль 2024'!$J$6:$J$1413,T$1)</f>
        <v>0</v>
      </c>
      <c r="U159" s="80">
        <f>SUMIFS('февраль 2024'!$G$6:$G$1413,'февраль 2024'!$D$6:$D$1413,$B159,'февраль 2024'!$J$6:$J$1413,U$1)</f>
        <v>0</v>
      </c>
      <c r="V159" s="80">
        <f>SUMIFS('февраль 2024'!$G$6:$G$1413,'февраль 2024'!$D$6:$D$1413,$B159,'февраль 2024'!$J$6:$J$1413,V$1)</f>
        <v>0</v>
      </c>
      <c r="W159" s="80">
        <f>SUMIFS('февраль 2024'!$G$6:$G$1413,'февраль 2024'!$D$6:$D$1413,$B159,'февраль 2024'!$J$6:$J$1413,W$1)</f>
        <v>0</v>
      </c>
      <c r="X159" s="80">
        <f>SUMIFS('февраль 2024'!$G$6:$G$1413,'февраль 2024'!$D$6:$D$1413,$B159,'февраль 2024'!$J$6:$J$1413,X$1)</f>
        <v>0</v>
      </c>
      <c r="Y159" s="80">
        <f>SUMIFS('февраль 2024'!$G$6:$G$1413,'февраль 2024'!$D$6:$D$1413,$B159,'февраль 2024'!$J$6:$J$1413,Y$1)</f>
        <v>0</v>
      </c>
      <c r="Z159" s="80">
        <f>SUMIFS('февраль 2024'!$G$6:$G$1413,'февраль 2024'!$D$6:$D$1413,$B159,'февраль 2024'!$J$6:$J$1413,Z$1)</f>
        <v>0</v>
      </c>
      <c r="AA159" s="80">
        <f>SUMIFS('февраль 2024'!$G$6:$G$1413,'февраль 2024'!$D$6:$D$1413,$B159,'февраль 2024'!$J$6:$J$1413,AA$1)</f>
        <v>0</v>
      </c>
      <c r="AB159" s="80">
        <f>SUMIFS('февраль 2024'!$G$6:$G$1413,'февраль 2024'!$D$6:$D$1413,$B159,'февраль 2024'!$J$6:$J$1413,AB$1)</f>
        <v>0</v>
      </c>
      <c r="AC159" s="80">
        <f>SUMIFS('февраль 2024'!$G$6:$G$1413,'февраль 2024'!$D$6:$D$1413,$B159,'февраль 2024'!$J$6:$J$1413,AC$1)</f>
        <v>0</v>
      </c>
      <c r="AD159" s="80">
        <f>SUMIFS('февраль 2024'!$G$6:$G$1413,'февраль 2024'!$D$6:$D$1413,$B159,'февраль 2024'!$J$6:$J$1413,AD$1)</f>
        <v>0</v>
      </c>
      <c r="AE159" s="80">
        <f>SUMIFS('февраль 2024'!$G$6:$G$1413,'февраль 2024'!$D$6:$D$1413,$B159,'февраль 2024'!$J$6:$J$1413,AE$1)</f>
        <v>0</v>
      </c>
      <c r="AF159" s="80">
        <f>SUMIFS('февраль 2024'!$G$6:$G$1413,'февраль 2024'!$D$6:$D$1413,$B159,'февраль 2024'!$J$6:$J$1413,AF$1)</f>
        <v>0</v>
      </c>
      <c r="AG159" s="80">
        <f>SUMIFS('февраль 2024'!$G$6:$G$1413,'февраль 2024'!$D$6:$D$1413,$B159,'февраль 2024'!$J$6:$J$1413,AG$1)</f>
        <v>0</v>
      </c>
      <c r="AH159" s="80">
        <f>SUMIFS('февраль 2024'!$G$6:$G$1413,'февраль 2024'!$D$6:$D$1413,$B159,'февраль 2024'!$J$6:$J$1413,AH$1)</f>
        <v>0</v>
      </c>
      <c r="AI159" s="87"/>
    </row>
    <row r="160" spans="2:35" ht="15" hidden="1" customHeight="1" x14ac:dyDescent="0.25">
      <c r="B160" s="93"/>
      <c r="C160" s="91"/>
      <c r="D160" s="80">
        <f>SUMIFS('февраль 2024'!$G$6:$G$1413,'февраль 2024'!$D$6:$D$1413,$B160,'февраль 2024'!$J$6:$J$1413,D$1)</f>
        <v>0</v>
      </c>
      <c r="E160" s="80">
        <f>SUMIFS('февраль 2024'!$G$6:$G$1413,'февраль 2024'!$D$6:$D$1413,$B160,'февраль 2024'!$J$6:$J$1413,E$1)</f>
        <v>0</v>
      </c>
      <c r="F160" s="80">
        <f>SUMIFS('февраль 2024'!$G$6:$G$1413,'февраль 2024'!$D$6:$D$1413,$B160,'февраль 2024'!$J$6:$J$1413,F$1)</f>
        <v>0</v>
      </c>
      <c r="G160" s="80">
        <f>SUMIFS('февраль 2024'!$G$6:$G$1413,'февраль 2024'!$D$6:$D$1413,$B160,'февраль 2024'!$J$6:$J$1413,G$1)</f>
        <v>0</v>
      </c>
      <c r="H160" s="80">
        <f>SUMIFS('февраль 2024'!$G$6:$G$1413,'февраль 2024'!$D$6:$D$1413,$B160,'февраль 2024'!$J$6:$J$1413,H$1)</f>
        <v>0</v>
      </c>
      <c r="I160" s="80">
        <f>SUMIFS('февраль 2024'!$G$6:$G$1413,'февраль 2024'!$D$6:$D$1413,$B160,'февраль 2024'!$J$6:$J$1413,I$1)</f>
        <v>0</v>
      </c>
      <c r="J160" s="80">
        <f>SUMIFS('февраль 2024'!$G$6:$G$1413,'февраль 2024'!$D$6:$D$1413,$B160,'февраль 2024'!$J$6:$J$1413,J$1)</f>
        <v>0</v>
      </c>
      <c r="K160" s="80">
        <f>SUMIFS('февраль 2024'!$G$6:$G$1413,'февраль 2024'!$D$6:$D$1413,$B160,'февраль 2024'!$J$6:$J$1413,K$1)</f>
        <v>0</v>
      </c>
      <c r="L160" s="80">
        <f>SUMIFS('февраль 2024'!$G$6:$G$1413,'февраль 2024'!$D$6:$D$1413,$B160,'февраль 2024'!$J$6:$J$1413,L$1)</f>
        <v>0</v>
      </c>
      <c r="M160" s="80">
        <f>SUMIFS('февраль 2024'!$G$6:$G$1413,'февраль 2024'!$D$6:$D$1413,$B160,'февраль 2024'!$J$6:$J$1413,M$1)</f>
        <v>0</v>
      </c>
      <c r="N160" s="80">
        <f>SUMIFS('февраль 2024'!$G$6:$G$1413,'февраль 2024'!$D$6:$D$1413,$B160,'февраль 2024'!$J$6:$J$1413,N$1)</f>
        <v>0</v>
      </c>
      <c r="O160" s="80">
        <f>SUMIFS('февраль 2024'!$G$6:$G$1413,'февраль 2024'!$D$6:$D$1413,$B160,'февраль 2024'!$J$6:$J$1413,O$1)</f>
        <v>0</v>
      </c>
      <c r="P160" s="80">
        <f>SUMIFS('февраль 2024'!$G$6:$G$1413,'февраль 2024'!$D$6:$D$1413,$B160,'февраль 2024'!$J$6:$J$1413,P$1)</f>
        <v>0</v>
      </c>
      <c r="Q160" s="80">
        <f>SUMIFS('февраль 2024'!$G$6:$G$1413,'февраль 2024'!$D$6:$D$1413,$B160,'февраль 2024'!$J$6:$J$1413,Q$1)</f>
        <v>0</v>
      </c>
      <c r="R160" s="80">
        <f>SUMIFS('февраль 2024'!$G$6:$G$1413,'февраль 2024'!$D$6:$D$1413,$B160,'февраль 2024'!$J$6:$J$1413,R$1)</f>
        <v>0</v>
      </c>
      <c r="S160" s="80">
        <f>SUMIFS('февраль 2024'!$G$6:$G$1413,'февраль 2024'!$D$6:$D$1413,$B160,'февраль 2024'!$J$6:$J$1413,S$1)</f>
        <v>0</v>
      </c>
      <c r="T160" s="80">
        <f>SUMIFS('февраль 2024'!$G$6:$G$1413,'февраль 2024'!$D$6:$D$1413,$B160,'февраль 2024'!$J$6:$J$1413,T$1)</f>
        <v>0</v>
      </c>
      <c r="U160" s="80">
        <f>SUMIFS('февраль 2024'!$G$6:$G$1413,'февраль 2024'!$D$6:$D$1413,$B160,'февраль 2024'!$J$6:$J$1413,U$1)</f>
        <v>0</v>
      </c>
      <c r="V160" s="80">
        <f>SUMIFS('февраль 2024'!$G$6:$G$1413,'февраль 2024'!$D$6:$D$1413,$B160,'февраль 2024'!$J$6:$J$1413,V$1)</f>
        <v>0</v>
      </c>
      <c r="W160" s="80">
        <f>SUMIFS('февраль 2024'!$G$6:$G$1413,'февраль 2024'!$D$6:$D$1413,$B160,'февраль 2024'!$J$6:$J$1413,W$1)</f>
        <v>0</v>
      </c>
      <c r="X160" s="80">
        <f>SUMIFS('февраль 2024'!$G$6:$G$1413,'февраль 2024'!$D$6:$D$1413,$B160,'февраль 2024'!$J$6:$J$1413,X$1)</f>
        <v>0</v>
      </c>
      <c r="Y160" s="80">
        <f>SUMIFS('февраль 2024'!$G$6:$G$1413,'февраль 2024'!$D$6:$D$1413,$B160,'февраль 2024'!$J$6:$J$1413,Y$1)</f>
        <v>0</v>
      </c>
      <c r="Z160" s="80">
        <f>SUMIFS('февраль 2024'!$G$6:$G$1413,'февраль 2024'!$D$6:$D$1413,$B160,'февраль 2024'!$J$6:$J$1413,Z$1)</f>
        <v>0</v>
      </c>
      <c r="AA160" s="80">
        <f>SUMIFS('февраль 2024'!$G$6:$G$1413,'февраль 2024'!$D$6:$D$1413,$B160,'февраль 2024'!$J$6:$J$1413,AA$1)</f>
        <v>0</v>
      </c>
      <c r="AB160" s="80">
        <f>SUMIFS('февраль 2024'!$G$6:$G$1413,'февраль 2024'!$D$6:$D$1413,$B160,'февраль 2024'!$J$6:$J$1413,AB$1)</f>
        <v>0</v>
      </c>
      <c r="AC160" s="80">
        <f>SUMIFS('февраль 2024'!$G$6:$G$1413,'февраль 2024'!$D$6:$D$1413,$B160,'февраль 2024'!$J$6:$J$1413,AC$1)</f>
        <v>0</v>
      </c>
      <c r="AD160" s="80">
        <f>SUMIFS('февраль 2024'!$G$6:$G$1413,'февраль 2024'!$D$6:$D$1413,$B160,'февраль 2024'!$J$6:$J$1413,AD$1)</f>
        <v>0</v>
      </c>
      <c r="AE160" s="80">
        <f>SUMIFS('февраль 2024'!$G$6:$G$1413,'февраль 2024'!$D$6:$D$1413,$B160,'февраль 2024'!$J$6:$J$1413,AE$1)</f>
        <v>0</v>
      </c>
      <c r="AF160" s="80">
        <f>SUMIFS('февраль 2024'!$G$6:$G$1413,'февраль 2024'!$D$6:$D$1413,$B160,'февраль 2024'!$J$6:$J$1413,AF$1)</f>
        <v>0</v>
      </c>
      <c r="AG160" s="80">
        <f>SUMIFS('февраль 2024'!$G$6:$G$1413,'февраль 2024'!$D$6:$D$1413,$B160,'февраль 2024'!$J$6:$J$1413,AG$1)</f>
        <v>0</v>
      </c>
      <c r="AH160" s="80">
        <f>SUMIFS('февраль 2024'!$G$6:$G$1413,'февраль 2024'!$D$6:$D$1413,$B160,'февраль 2024'!$J$6:$J$1413,AH$1)</f>
        <v>0</v>
      </c>
      <c r="AI160" s="87"/>
    </row>
    <row r="161" spans="2:35" ht="15" hidden="1" customHeight="1" x14ac:dyDescent="0.25">
      <c r="B161" s="93"/>
      <c r="C161" s="91"/>
      <c r="D161" s="80">
        <f>SUMIFS('февраль 2024'!$G$6:$G$1413,'февраль 2024'!$D$6:$D$1413,$B161,'февраль 2024'!$J$6:$J$1413,D$1)</f>
        <v>0</v>
      </c>
      <c r="E161" s="80">
        <f>SUMIFS('февраль 2024'!$G$6:$G$1413,'февраль 2024'!$D$6:$D$1413,$B161,'февраль 2024'!$J$6:$J$1413,E$1)</f>
        <v>0</v>
      </c>
      <c r="F161" s="80">
        <f>SUMIFS('февраль 2024'!$G$6:$G$1413,'февраль 2024'!$D$6:$D$1413,$B161,'февраль 2024'!$J$6:$J$1413,F$1)</f>
        <v>0</v>
      </c>
      <c r="G161" s="80">
        <f>SUMIFS('февраль 2024'!$G$6:$G$1413,'февраль 2024'!$D$6:$D$1413,$B161,'февраль 2024'!$J$6:$J$1413,G$1)</f>
        <v>0</v>
      </c>
      <c r="H161" s="80">
        <f>SUMIFS('февраль 2024'!$G$6:$G$1413,'февраль 2024'!$D$6:$D$1413,$B161,'февраль 2024'!$J$6:$J$1413,H$1)</f>
        <v>0</v>
      </c>
      <c r="I161" s="80">
        <f>SUMIFS('февраль 2024'!$G$6:$G$1413,'февраль 2024'!$D$6:$D$1413,$B161,'февраль 2024'!$J$6:$J$1413,I$1)</f>
        <v>0</v>
      </c>
      <c r="J161" s="80">
        <f>SUMIFS('февраль 2024'!$G$6:$G$1413,'февраль 2024'!$D$6:$D$1413,$B161,'февраль 2024'!$J$6:$J$1413,J$1)</f>
        <v>0</v>
      </c>
      <c r="K161" s="80">
        <f>SUMIFS('февраль 2024'!$G$6:$G$1413,'февраль 2024'!$D$6:$D$1413,$B161,'февраль 2024'!$J$6:$J$1413,K$1)</f>
        <v>0</v>
      </c>
      <c r="L161" s="80">
        <f>SUMIFS('февраль 2024'!$G$6:$G$1413,'февраль 2024'!$D$6:$D$1413,$B161,'февраль 2024'!$J$6:$J$1413,L$1)</f>
        <v>0</v>
      </c>
      <c r="M161" s="80">
        <f>SUMIFS('февраль 2024'!$G$6:$G$1413,'февраль 2024'!$D$6:$D$1413,$B161,'февраль 2024'!$J$6:$J$1413,M$1)</f>
        <v>0</v>
      </c>
      <c r="N161" s="80">
        <f>SUMIFS('февраль 2024'!$G$6:$G$1413,'февраль 2024'!$D$6:$D$1413,$B161,'февраль 2024'!$J$6:$J$1413,N$1)</f>
        <v>0</v>
      </c>
      <c r="O161" s="80">
        <f>SUMIFS('февраль 2024'!$G$6:$G$1413,'февраль 2024'!$D$6:$D$1413,$B161,'февраль 2024'!$J$6:$J$1413,O$1)</f>
        <v>0</v>
      </c>
      <c r="P161" s="80">
        <f>SUMIFS('февраль 2024'!$G$6:$G$1413,'февраль 2024'!$D$6:$D$1413,$B161,'февраль 2024'!$J$6:$J$1413,P$1)</f>
        <v>0</v>
      </c>
      <c r="Q161" s="80">
        <f>SUMIFS('февраль 2024'!$G$6:$G$1413,'февраль 2024'!$D$6:$D$1413,$B161,'февраль 2024'!$J$6:$J$1413,Q$1)</f>
        <v>0</v>
      </c>
      <c r="R161" s="80">
        <f>SUMIFS('февраль 2024'!$G$6:$G$1413,'февраль 2024'!$D$6:$D$1413,$B161,'февраль 2024'!$J$6:$J$1413,R$1)</f>
        <v>0</v>
      </c>
      <c r="S161" s="80">
        <f>SUMIFS('февраль 2024'!$G$6:$G$1413,'февраль 2024'!$D$6:$D$1413,$B161,'февраль 2024'!$J$6:$J$1413,S$1)</f>
        <v>0</v>
      </c>
      <c r="T161" s="80">
        <f>SUMIFS('февраль 2024'!$G$6:$G$1413,'февраль 2024'!$D$6:$D$1413,$B161,'февраль 2024'!$J$6:$J$1413,T$1)</f>
        <v>0</v>
      </c>
      <c r="U161" s="80">
        <f>SUMIFS('февраль 2024'!$G$6:$G$1413,'февраль 2024'!$D$6:$D$1413,$B161,'февраль 2024'!$J$6:$J$1413,U$1)</f>
        <v>0</v>
      </c>
      <c r="V161" s="80">
        <f>SUMIFS('февраль 2024'!$G$6:$G$1413,'февраль 2024'!$D$6:$D$1413,$B161,'февраль 2024'!$J$6:$J$1413,V$1)</f>
        <v>0</v>
      </c>
      <c r="W161" s="80">
        <f>SUMIFS('февраль 2024'!$G$6:$G$1413,'февраль 2024'!$D$6:$D$1413,$B161,'февраль 2024'!$J$6:$J$1413,W$1)</f>
        <v>0</v>
      </c>
      <c r="X161" s="80">
        <f>SUMIFS('февраль 2024'!$G$6:$G$1413,'февраль 2024'!$D$6:$D$1413,$B161,'февраль 2024'!$J$6:$J$1413,X$1)</f>
        <v>0</v>
      </c>
      <c r="Y161" s="80">
        <f>SUMIFS('февраль 2024'!$G$6:$G$1413,'февраль 2024'!$D$6:$D$1413,$B161,'февраль 2024'!$J$6:$J$1413,Y$1)</f>
        <v>0</v>
      </c>
      <c r="Z161" s="80">
        <f>SUMIFS('февраль 2024'!$G$6:$G$1413,'февраль 2024'!$D$6:$D$1413,$B161,'февраль 2024'!$J$6:$J$1413,Z$1)</f>
        <v>0</v>
      </c>
      <c r="AA161" s="80">
        <f>SUMIFS('февраль 2024'!$G$6:$G$1413,'февраль 2024'!$D$6:$D$1413,$B161,'февраль 2024'!$J$6:$J$1413,AA$1)</f>
        <v>0</v>
      </c>
      <c r="AB161" s="80">
        <f>SUMIFS('февраль 2024'!$G$6:$G$1413,'февраль 2024'!$D$6:$D$1413,$B161,'февраль 2024'!$J$6:$J$1413,AB$1)</f>
        <v>0</v>
      </c>
      <c r="AC161" s="80">
        <f>SUMIFS('февраль 2024'!$G$6:$G$1413,'февраль 2024'!$D$6:$D$1413,$B161,'февраль 2024'!$J$6:$J$1413,AC$1)</f>
        <v>0</v>
      </c>
      <c r="AD161" s="80">
        <f>SUMIFS('февраль 2024'!$G$6:$G$1413,'февраль 2024'!$D$6:$D$1413,$B161,'февраль 2024'!$J$6:$J$1413,AD$1)</f>
        <v>0</v>
      </c>
      <c r="AE161" s="80">
        <f>SUMIFS('февраль 2024'!$G$6:$G$1413,'февраль 2024'!$D$6:$D$1413,$B161,'февраль 2024'!$J$6:$J$1413,AE$1)</f>
        <v>0</v>
      </c>
      <c r="AF161" s="80">
        <f>SUMIFS('февраль 2024'!$G$6:$G$1413,'февраль 2024'!$D$6:$D$1413,$B161,'февраль 2024'!$J$6:$J$1413,AF$1)</f>
        <v>0</v>
      </c>
      <c r="AG161" s="80">
        <f>SUMIFS('февраль 2024'!$G$6:$G$1413,'февраль 2024'!$D$6:$D$1413,$B161,'февраль 2024'!$J$6:$J$1413,AG$1)</f>
        <v>0</v>
      </c>
      <c r="AH161" s="80">
        <f>SUMIFS('февраль 2024'!$G$6:$G$1413,'февраль 2024'!$D$6:$D$1413,$B161,'февраль 2024'!$J$6:$J$1413,AH$1)</f>
        <v>0</v>
      </c>
      <c r="AI161" s="87"/>
    </row>
    <row r="162" spans="2:35" ht="15" hidden="1" customHeight="1" x14ac:dyDescent="0.25">
      <c r="B162" s="93"/>
      <c r="C162" s="91"/>
      <c r="D162" s="80">
        <f>SUMIFS('февраль 2024'!$G$6:$G$1413,'февраль 2024'!$D$6:$D$1413,$B162,'февраль 2024'!$J$6:$J$1413,D$1)</f>
        <v>0</v>
      </c>
      <c r="E162" s="80">
        <f>SUMIFS('февраль 2024'!$G$6:$G$1413,'февраль 2024'!$D$6:$D$1413,$B162,'февраль 2024'!$J$6:$J$1413,E$1)</f>
        <v>0</v>
      </c>
      <c r="F162" s="80">
        <f>SUMIFS('февраль 2024'!$G$6:$G$1413,'февраль 2024'!$D$6:$D$1413,$B162,'февраль 2024'!$J$6:$J$1413,F$1)</f>
        <v>0</v>
      </c>
      <c r="G162" s="80">
        <f>SUMIFS('февраль 2024'!$G$6:$G$1413,'февраль 2024'!$D$6:$D$1413,$B162,'февраль 2024'!$J$6:$J$1413,G$1)</f>
        <v>0</v>
      </c>
      <c r="H162" s="80">
        <f>SUMIFS('февраль 2024'!$G$6:$G$1413,'февраль 2024'!$D$6:$D$1413,$B162,'февраль 2024'!$J$6:$J$1413,H$1)</f>
        <v>0</v>
      </c>
      <c r="I162" s="80">
        <f>SUMIFS('февраль 2024'!$G$6:$G$1413,'февраль 2024'!$D$6:$D$1413,$B162,'февраль 2024'!$J$6:$J$1413,I$1)</f>
        <v>0</v>
      </c>
      <c r="J162" s="80">
        <f>SUMIFS('февраль 2024'!$G$6:$G$1413,'февраль 2024'!$D$6:$D$1413,$B162,'февраль 2024'!$J$6:$J$1413,J$1)</f>
        <v>0</v>
      </c>
      <c r="K162" s="80">
        <f>SUMIFS('февраль 2024'!$G$6:$G$1413,'февраль 2024'!$D$6:$D$1413,$B162,'февраль 2024'!$J$6:$J$1413,K$1)</f>
        <v>0</v>
      </c>
      <c r="L162" s="80">
        <f>SUMIFS('февраль 2024'!$G$6:$G$1413,'февраль 2024'!$D$6:$D$1413,$B162,'февраль 2024'!$J$6:$J$1413,L$1)</f>
        <v>0</v>
      </c>
      <c r="M162" s="80">
        <f>SUMIFS('февраль 2024'!$G$6:$G$1413,'февраль 2024'!$D$6:$D$1413,$B162,'февраль 2024'!$J$6:$J$1413,M$1)</f>
        <v>0</v>
      </c>
      <c r="N162" s="80">
        <f>SUMIFS('февраль 2024'!$G$6:$G$1413,'февраль 2024'!$D$6:$D$1413,$B162,'февраль 2024'!$J$6:$J$1413,N$1)</f>
        <v>0</v>
      </c>
      <c r="O162" s="80">
        <f>SUMIFS('февраль 2024'!$G$6:$G$1413,'февраль 2024'!$D$6:$D$1413,$B162,'февраль 2024'!$J$6:$J$1413,O$1)</f>
        <v>0</v>
      </c>
      <c r="P162" s="80">
        <f>SUMIFS('февраль 2024'!$G$6:$G$1413,'февраль 2024'!$D$6:$D$1413,$B162,'февраль 2024'!$J$6:$J$1413,P$1)</f>
        <v>0</v>
      </c>
      <c r="Q162" s="80">
        <f>SUMIFS('февраль 2024'!$G$6:$G$1413,'февраль 2024'!$D$6:$D$1413,$B162,'февраль 2024'!$J$6:$J$1413,Q$1)</f>
        <v>0</v>
      </c>
      <c r="R162" s="80">
        <f>SUMIFS('февраль 2024'!$G$6:$G$1413,'февраль 2024'!$D$6:$D$1413,$B162,'февраль 2024'!$J$6:$J$1413,R$1)</f>
        <v>0</v>
      </c>
      <c r="S162" s="80">
        <f>SUMIFS('февраль 2024'!$G$6:$G$1413,'февраль 2024'!$D$6:$D$1413,$B162,'февраль 2024'!$J$6:$J$1413,S$1)</f>
        <v>0</v>
      </c>
      <c r="T162" s="80">
        <f>SUMIFS('февраль 2024'!$G$6:$G$1413,'февраль 2024'!$D$6:$D$1413,$B162,'февраль 2024'!$J$6:$J$1413,T$1)</f>
        <v>0</v>
      </c>
      <c r="U162" s="80">
        <f>SUMIFS('февраль 2024'!$G$6:$G$1413,'февраль 2024'!$D$6:$D$1413,$B162,'февраль 2024'!$J$6:$J$1413,U$1)</f>
        <v>0</v>
      </c>
      <c r="V162" s="80">
        <f>SUMIFS('февраль 2024'!$G$6:$G$1413,'февраль 2024'!$D$6:$D$1413,$B162,'февраль 2024'!$J$6:$J$1413,V$1)</f>
        <v>0</v>
      </c>
      <c r="W162" s="80">
        <f>SUMIFS('февраль 2024'!$G$6:$G$1413,'февраль 2024'!$D$6:$D$1413,$B162,'февраль 2024'!$J$6:$J$1413,W$1)</f>
        <v>0</v>
      </c>
      <c r="X162" s="80">
        <f>SUMIFS('февраль 2024'!$G$6:$G$1413,'февраль 2024'!$D$6:$D$1413,$B162,'февраль 2024'!$J$6:$J$1413,X$1)</f>
        <v>0</v>
      </c>
      <c r="Y162" s="80">
        <f>SUMIFS('февраль 2024'!$G$6:$G$1413,'февраль 2024'!$D$6:$D$1413,$B162,'февраль 2024'!$J$6:$J$1413,Y$1)</f>
        <v>0</v>
      </c>
      <c r="Z162" s="80">
        <f>SUMIFS('февраль 2024'!$G$6:$G$1413,'февраль 2024'!$D$6:$D$1413,$B162,'февраль 2024'!$J$6:$J$1413,Z$1)</f>
        <v>0</v>
      </c>
      <c r="AA162" s="80">
        <f>SUMIFS('февраль 2024'!$G$6:$G$1413,'февраль 2024'!$D$6:$D$1413,$B162,'февраль 2024'!$J$6:$J$1413,AA$1)</f>
        <v>0</v>
      </c>
      <c r="AB162" s="80">
        <f>SUMIFS('февраль 2024'!$G$6:$G$1413,'февраль 2024'!$D$6:$D$1413,$B162,'февраль 2024'!$J$6:$J$1413,AB$1)</f>
        <v>0</v>
      </c>
      <c r="AC162" s="80">
        <f>SUMIFS('февраль 2024'!$G$6:$G$1413,'февраль 2024'!$D$6:$D$1413,$B162,'февраль 2024'!$J$6:$J$1413,AC$1)</f>
        <v>0</v>
      </c>
      <c r="AD162" s="80">
        <f>SUMIFS('февраль 2024'!$G$6:$G$1413,'февраль 2024'!$D$6:$D$1413,$B162,'февраль 2024'!$J$6:$J$1413,AD$1)</f>
        <v>0</v>
      </c>
      <c r="AE162" s="80">
        <f>SUMIFS('февраль 2024'!$G$6:$G$1413,'февраль 2024'!$D$6:$D$1413,$B162,'февраль 2024'!$J$6:$J$1413,AE$1)</f>
        <v>0</v>
      </c>
      <c r="AF162" s="80">
        <f>SUMIFS('февраль 2024'!$G$6:$G$1413,'февраль 2024'!$D$6:$D$1413,$B162,'февраль 2024'!$J$6:$J$1413,AF$1)</f>
        <v>0</v>
      </c>
      <c r="AG162" s="80">
        <f>SUMIFS('февраль 2024'!$G$6:$G$1413,'февраль 2024'!$D$6:$D$1413,$B162,'февраль 2024'!$J$6:$J$1413,AG$1)</f>
        <v>0</v>
      </c>
      <c r="AH162" s="80">
        <f>SUMIFS('февраль 2024'!$G$6:$G$1413,'февраль 2024'!$D$6:$D$1413,$B162,'февраль 2024'!$J$6:$J$1413,AH$1)</f>
        <v>0</v>
      </c>
      <c r="AI162" s="87"/>
    </row>
    <row r="163" spans="2:35" ht="15" hidden="1" customHeight="1" x14ac:dyDescent="0.25">
      <c r="B163" s="89"/>
      <c r="C163" s="88"/>
      <c r="D163" s="80">
        <f>SUMIFS('февраль 2024'!$G$6:$G$1413,'февраль 2024'!$D$6:$D$1413,$B163,'февраль 2024'!$J$6:$J$1413,D$1)</f>
        <v>0</v>
      </c>
      <c r="E163" s="80">
        <f>SUMIFS('февраль 2024'!$G$6:$G$1413,'февраль 2024'!$D$6:$D$1413,$B163,'февраль 2024'!$J$6:$J$1413,E$1)</f>
        <v>0</v>
      </c>
      <c r="F163" s="80">
        <f>SUMIFS('февраль 2024'!$G$6:$G$1413,'февраль 2024'!$D$6:$D$1413,$B163,'февраль 2024'!$J$6:$J$1413,F$1)</f>
        <v>0</v>
      </c>
      <c r="G163" s="80">
        <f>SUMIFS('февраль 2024'!$G$6:$G$1413,'февраль 2024'!$D$6:$D$1413,$B163,'февраль 2024'!$J$6:$J$1413,G$1)</f>
        <v>0</v>
      </c>
      <c r="H163" s="80">
        <f>SUMIFS('февраль 2024'!$G$6:$G$1413,'февраль 2024'!$D$6:$D$1413,$B163,'февраль 2024'!$J$6:$J$1413,H$1)</f>
        <v>0</v>
      </c>
      <c r="I163" s="80">
        <f>SUMIFS('февраль 2024'!$G$6:$G$1413,'февраль 2024'!$D$6:$D$1413,$B163,'февраль 2024'!$J$6:$J$1413,I$1)</f>
        <v>0</v>
      </c>
      <c r="J163" s="80">
        <f>SUMIFS('февраль 2024'!$G$6:$G$1413,'февраль 2024'!$D$6:$D$1413,$B163,'февраль 2024'!$J$6:$J$1413,J$1)</f>
        <v>0</v>
      </c>
      <c r="K163" s="80">
        <f>SUMIFS('февраль 2024'!$G$6:$G$1413,'февраль 2024'!$D$6:$D$1413,$B163,'февраль 2024'!$J$6:$J$1413,K$1)</f>
        <v>0</v>
      </c>
      <c r="L163" s="80">
        <f>SUMIFS('февраль 2024'!$G$6:$G$1413,'февраль 2024'!$D$6:$D$1413,$B163,'февраль 2024'!$J$6:$J$1413,L$1)</f>
        <v>0</v>
      </c>
      <c r="M163" s="80">
        <f>SUMIFS('февраль 2024'!$G$6:$G$1413,'февраль 2024'!$D$6:$D$1413,$B163,'февраль 2024'!$J$6:$J$1413,M$1)</f>
        <v>0</v>
      </c>
      <c r="N163" s="80">
        <f>SUMIFS('февраль 2024'!$G$6:$G$1413,'февраль 2024'!$D$6:$D$1413,$B163,'февраль 2024'!$J$6:$J$1413,N$1)</f>
        <v>0</v>
      </c>
      <c r="O163" s="80">
        <f>SUMIFS('февраль 2024'!$G$6:$G$1413,'февраль 2024'!$D$6:$D$1413,$B163,'февраль 2024'!$J$6:$J$1413,O$1)</f>
        <v>0</v>
      </c>
      <c r="P163" s="80">
        <f>SUMIFS('февраль 2024'!$G$6:$G$1413,'февраль 2024'!$D$6:$D$1413,$B163,'февраль 2024'!$J$6:$J$1413,P$1)</f>
        <v>0</v>
      </c>
      <c r="Q163" s="80">
        <f>SUMIFS('февраль 2024'!$G$6:$G$1413,'февраль 2024'!$D$6:$D$1413,$B163,'февраль 2024'!$J$6:$J$1413,Q$1)</f>
        <v>0</v>
      </c>
      <c r="R163" s="80">
        <f>SUMIFS('февраль 2024'!$G$6:$G$1413,'февраль 2024'!$D$6:$D$1413,$B163,'февраль 2024'!$J$6:$J$1413,R$1)</f>
        <v>0</v>
      </c>
      <c r="S163" s="80">
        <f>SUMIFS('февраль 2024'!$G$6:$G$1413,'февраль 2024'!$D$6:$D$1413,$B163,'февраль 2024'!$J$6:$J$1413,S$1)</f>
        <v>0</v>
      </c>
      <c r="T163" s="80">
        <f>SUMIFS('февраль 2024'!$G$6:$G$1413,'февраль 2024'!$D$6:$D$1413,$B163,'февраль 2024'!$J$6:$J$1413,T$1)</f>
        <v>0</v>
      </c>
      <c r="U163" s="80">
        <f>SUMIFS('февраль 2024'!$G$6:$G$1413,'февраль 2024'!$D$6:$D$1413,$B163,'февраль 2024'!$J$6:$J$1413,U$1)</f>
        <v>0</v>
      </c>
      <c r="V163" s="80">
        <f>SUMIFS('февраль 2024'!$G$6:$G$1413,'февраль 2024'!$D$6:$D$1413,$B163,'февраль 2024'!$J$6:$J$1413,V$1)</f>
        <v>0</v>
      </c>
      <c r="W163" s="80">
        <f>SUMIFS('февраль 2024'!$G$6:$G$1413,'февраль 2024'!$D$6:$D$1413,$B163,'февраль 2024'!$J$6:$J$1413,W$1)</f>
        <v>0</v>
      </c>
      <c r="X163" s="80">
        <f>SUMIFS('февраль 2024'!$G$6:$G$1413,'февраль 2024'!$D$6:$D$1413,$B163,'февраль 2024'!$J$6:$J$1413,X$1)</f>
        <v>0</v>
      </c>
      <c r="Y163" s="80">
        <f>SUMIFS('февраль 2024'!$G$6:$G$1413,'февраль 2024'!$D$6:$D$1413,$B163,'февраль 2024'!$J$6:$J$1413,Y$1)</f>
        <v>0</v>
      </c>
      <c r="Z163" s="80">
        <f>SUMIFS('февраль 2024'!$G$6:$G$1413,'февраль 2024'!$D$6:$D$1413,$B163,'февраль 2024'!$J$6:$J$1413,Z$1)</f>
        <v>0</v>
      </c>
      <c r="AA163" s="80">
        <f>SUMIFS('февраль 2024'!$G$6:$G$1413,'февраль 2024'!$D$6:$D$1413,$B163,'февраль 2024'!$J$6:$J$1413,AA$1)</f>
        <v>0</v>
      </c>
      <c r="AB163" s="80">
        <f>SUMIFS('февраль 2024'!$G$6:$G$1413,'февраль 2024'!$D$6:$D$1413,$B163,'февраль 2024'!$J$6:$J$1413,AB$1)</f>
        <v>0</v>
      </c>
      <c r="AC163" s="80">
        <f>SUMIFS('февраль 2024'!$G$6:$G$1413,'февраль 2024'!$D$6:$D$1413,$B163,'февраль 2024'!$J$6:$J$1413,AC$1)</f>
        <v>0</v>
      </c>
      <c r="AD163" s="80">
        <f>SUMIFS('февраль 2024'!$G$6:$G$1413,'февраль 2024'!$D$6:$D$1413,$B163,'февраль 2024'!$J$6:$J$1413,AD$1)</f>
        <v>0</v>
      </c>
      <c r="AE163" s="80">
        <f>SUMIFS('февраль 2024'!$G$6:$G$1413,'февраль 2024'!$D$6:$D$1413,$B163,'февраль 2024'!$J$6:$J$1413,AE$1)</f>
        <v>0</v>
      </c>
      <c r="AF163" s="80">
        <f>SUMIFS('февраль 2024'!$G$6:$G$1413,'февраль 2024'!$D$6:$D$1413,$B163,'февраль 2024'!$J$6:$J$1413,AF$1)</f>
        <v>0</v>
      </c>
      <c r="AG163" s="80">
        <f>SUMIFS('февраль 2024'!$G$6:$G$1413,'февраль 2024'!$D$6:$D$1413,$B163,'февраль 2024'!$J$6:$J$1413,AG$1)</f>
        <v>0</v>
      </c>
      <c r="AH163" s="80">
        <f>SUMIFS('февраль 2024'!$G$6:$G$1413,'февраль 2024'!$D$6:$D$1413,$B163,'февраль 2024'!$J$6:$J$1413,AH$1)</f>
        <v>0</v>
      </c>
      <c r="AI163" s="87"/>
    </row>
    <row r="164" spans="2:35" ht="15" hidden="1" customHeight="1" x14ac:dyDescent="0.25">
      <c r="B164" s="89"/>
      <c r="C164" s="88"/>
      <c r="D164" s="80">
        <f>SUMIFS('февраль 2024'!$G$6:$G$1413,'февраль 2024'!$D$6:$D$1413,$B164,'февраль 2024'!$J$6:$J$1413,D$1)</f>
        <v>0</v>
      </c>
      <c r="E164" s="80">
        <f>SUMIFS('февраль 2024'!$G$6:$G$1413,'февраль 2024'!$D$6:$D$1413,$B164,'февраль 2024'!$J$6:$J$1413,E$1)</f>
        <v>0</v>
      </c>
      <c r="F164" s="80">
        <f>SUMIFS('февраль 2024'!$G$6:$G$1413,'февраль 2024'!$D$6:$D$1413,$B164,'февраль 2024'!$J$6:$J$1413,F$1)</f>
        <v>0</v>
      </c>
      <c r="G164" s="80">
        <f>SUMIFS('февраль 2024'!$G$6:$G$1413,'февраль 2024'!$D$6:$D$1413,$B164,'февраль 2024'!$J$6:$J$1413,G$1)</f>
        <v>0</v>
      </c>
      <c r="H164" s="80">
        <f>SUMIFS('февраль 2024'!$G$6:$G$1413,'февраль 2024'!$D$6:$D$1413,$B164,'февраль 2024'!$J$6:$J$1413,H$1)</f>
        <v>0</v>
      </c>
      <c r="I164" s="80">
        <f>SUMIFS('февраль 2024'!$G$6:$G$1413,'февраль 2024'!$D$6:$D$1413,$B164,'февраль 2024'!$J$6:$J$1413,I$1)</f>
        <v>0</v>
      </c>
      <c r="J164" s="80">
        <f>SUMIFS('февраль 2024'!$G$6:$G$1413,'февраль 2024'!$D$6:$D$1413,$B164,'февраль 2024'!$J$6:$J$1413,J$1)</f>
        <v>0</v>
      </c>
      <c r="K164" s="80">
        <f>SUMIFS('февраль 2024'!$G$6:$G$1413,'февраль 2024'!$D$6:$D$1413,$B164,'февраль 2024'!$J$6:$J$1413,K$1)</f>
        <v>0</v>
      </c>
      <c r="L164" s="80">
        <f>SUMIFS('февраль 2024'!$G$6:$G$1413,'февраль 2024'!$D$6:$D$1413,$B164,'февраль 2024'!$J$6:$J$1413,L$1)</f>
        <v>0</v>
      </c>
      <c r="M164" s="80">
        <f>SUMIFS('февраль 2024'!$G$6:$G$1413,'февраль 2024'!$D$6:$D$1413,$B164,'февраль 2024'!$J$6:$J$1413,M$1)</f>
        <v>0</v>
      </c>
      <c r="N164" s="80">
        <f>SUMIFS('февраль 2024'!$G$6:$G$1413,'февраль 2024'!$D$6:$D$1413,$B164,'февраль 2024'!$J$6:$J$1413,N$1)</f>
        <v>0</v>
      </c>
      <c r="O164" s="80">
        <f>SUMIFS('февраль 2024'!$G$6:$G$1413,'февраль 2024'!$D$6:$D$1413,$B164,'февраль 2024'!$J$6:$J$1413,O$1)</f>
        <v>0</v>
      </c>
      <c r="P164" s="80">
        <f>SUMIFS('февраль 2024'!$G$6:$G$1413,'февраль 2024'!$D$6:$D$1413,$B164,'февраль 2024'!$J$6:$J$1413,P$1)</f>
        <v>0</v>
      </c>
      <c r="Q164" s="80">
        <f>SUMIFS('февраль 2024'!$G$6:$G$1413,'февраль 2024'!$D$6:$D$1413,$B164,'февраль 2024'!$J$6:$J$1413,Q$1)</f>
        <v>0</v>
      </c>
      <c r="R164" s="80">
        <f>SUMIFS('февраль 2024'!$G$6:$G$1413,'февраль 2024'!$D$6:$D$1413,$B164,'февраль 2024'!$J$6:$J$1413,R$1)</f>
        <v>0</v>
      </c>
      <c r="S164" s="80">
        <f>SUMIFS('февраль 2024'!$G$6:$G$1413,'февраль 2024'!$D$6:$D$1413,$B164,'февраль 2024'!$J$6:$J$1413,S$1)</f>
        <v>0</v>
      </c>
      <c r="T164" s="80">
        <f>SUMIFS('февраль 2024'!$G$6:$G$1413,'февраль 2024'!$D$6:$D$1413,$B164,'февраль 2024'!$J$6:$J$1413,T$1)</f>
        <v>0</v>
      </c>
      <c r="U164" s="80">
        <f>SUMIFS('февраль 2024'!$G$6:$G$1413,'февраль 2024'!$D$6:$D$1413,$B164,'февраль 2024'!$J$6:$J$1413,U$1)</f>
        <v>0</v>
      </c>
      <c r="V164" s="80">
        <f>SUMIFS('февраль 2024'!$G$6:$G$1413,'февраль 2024'!$D$6:$D$1413,$B164,'февраль 2024'!$J$6:$J$1413,V$1)</f>
        <v>0</v>
      </c>
      <c r="W164" s="80">
        <f>SUMIFS('февраль 2024'!$G$6:$G$1413,'февраль 2024'!$D$6:$D$1413,$B164,'февраль 2024'!$J$6:$J$1413,W$1)</f>
        <v>0</v>
      </c>
      <c r="X164" s="80">
        <f>SUMIFS('февраль 2024'!$G$6:$G$1413,'февраль 2024'!$D$6:$D$1413,$B164,'февраль 2024'!$J$6:$J$1413,X$1)</f>
        <v>0</v>
      </c>
      <c r="Y164" s="80">
        <f>SUMIFS('февраль 2024'!$G$6:$G$1413,'февраль 2024'!$D$6:$D$1413,$B164,'февраль 2024'!$J$6:$J$1413,Y$1)</f>
        <v>0</v>
      </c>
      <c r="Z164" s="80">
        <f>SUMIFS('февраль 2024'!$G$6:$G$1413,'февраль 2024'!$D$6:$D$1413,$B164,'февраль 2024'!$J$6:$J$1413,Z$1)</f>
        <v>0</v>
      </c>
      <c r="AA164" s="80">
        <f>SUMIFS('февраль 2024'!$G$6:$G$1413,'февраль 2024'!$D$6:$D$1413,$B164,'февраль 2024'!$J$6:$J$1413,AA$1)</f>
        <v>0</v>
      </c>
      <c r="AB164" s="80">
        <f>SUMIFS('февраль 2024'!$G$6:$G$1413,'февраль 2024'!$D$6:$D$1413,$B164,'февраль 2024'!$J$6:$J$1413,AB$1)</f>
        <v>0</v>
      </c>
      <c r="AC164" s="80">
        <f>SUMIFS('февраль 2024'!$G$6:$G$1413,'февраль 2024'!$D$6:$D$1413,$B164,'февраль 2024'!$J$6:$J$1413,AC$1)</f>
        <v>0</v>
      </c>
      <c r="AD164" s="80">
        <f>SUMIFS('февраль 2024'!$G$6:$G$1413,'февраль 2024'!$D$6:$D$1413,$B164,'февраль 2024'!$J$6:$J$1413,AD$1)</f>
        <v>0</v>
      </c>
      <c r="AE164" s="80">
        <f>SUMIFS('февраль 2024'!$G$6:$G$1413,'февраль 2024'!$D$6:$D$1413,$B164,'февраль 2024'!$J$6:$J$1413,AE$1)</f>
        <v>0</v>
      </c>
      <c r="AF164" s="80">
        <f>SUMIFS('февраль 2024'!$G$6:$G$1413,'февраль 2024'!$D$6:$D$1413,$B164,'февраль 2024'!$J$6:$J$1413,AF$1)</f>
        <v>0</v>
      </c>
      <c r="AG164" s="80">
        <f>SUMIFS('февраль 2024'!$G$6:$G$1413,'февраль 2024'!$D$6:$D$1413,$B164,'февраль 2024'!$J$6:$J$1413,AG$1)</f>
        <v>0</v>
      </c>
      <c r="AH164" s="80">
        <f>SUMIFS('февраль 2024'!$G$6:$G$1413,'февраль 2024'!$D$6:$D$1413,$B164,'февраль 2024'!$J$6:$J$1413,AH$1)</f>
        <v>0</v>
      </c>
      <c r="AI164" s="87"/>
    </row>
    <row r="165" spans="2:35" ht="15" hidden="1" customHeight="1" x14ac:dyDescent="0.25">
      <c r="B165" s="89"/>
      <c r="C165" s="88"/>
      <c r="D165" s="80">
        <f>SUMIFS('февраль 2024'!$G$6:$G$1413,'февраль 2024'!$D$6:$D$1413,$B165,'февраль 2024'!$J$6:$J$1413,D$1)</f>
        <v>0</v>
      </c>
      <c r="E165" s="80">
        <f>SUMIFS('февраль 2024'!$G$6:$G$1413,'февраль 2024'!$D$6:$D$1413,$B165,'февраль 2024'!$J$6:$J$1413,E$1)</f>
        <v>0</v>
      </c>
      <c r="F165" s="80">
        <f>SUMIFS('февраль 2024'!$G$6:$G$1413,'февраль 2024'!$D$6:$D$1413,$B165,'февраль 2024'!$J$6:$J$1413,F$1)</f>
        <v>0</v>
      </c>
      <c r="G165" s="80">
        <f>SUMIFS('февраль 2024'!$G$6:$G$1413,'февраль 2024'!$D$6:$D$1413,$B165,'февраль 2024'!$J$6:$J$1413,G$1)</f>
        <v>0</v>
      </c>
      <c r="H165" s="80">
        <f>SUMIFS('февраль 2024'!$G$6:$G$1413,'февраль 2024'!$D$6:$D$1413,$B165,'февраль 2024'!$J$6:$J$1413,H$1)</f>
        <v>0</v>
      </c>
      <c r="I165" s="80">
        <f>SUMIFS('февраль 2024'!$G$6:$G$1413,'февраль 2024'!$D$6:$D$1413,$B165,'февраль 2024'!$J$6:$J$1413,I$1)</f>
        <v>0</v>
      </c>
      <c r="J165" s="80">
        <f>SUMIFS('февраль 2024'!$G$6:$G$1413,'февраль 2024'!$D$6:$D$1413,$B165,'февраль 2024'!$J$6:$J$1413,J$1)</f>
        <v>0</v>
      </c>
      <c r="K165" s="80">
        <f>SUMIFS('февраль 2024'!$G$6:$G$1413,'февраль 2024'!$D$6:$D$1413,$B165,'февраль 2024'!$J$6:$J$1413,K$1)</f>
        <v>0</v>
      </c>
      <c r="L165" s="80">
        <f>SUMIFS('февраль 2024'!$G$6:$G$1413,'февраль 2024'!$D$6:$D$1413,$B165,'февраль 2024'!$J$6:$J$1413,L$1)</f>
        <v>0</v>
      </c>
      <c r="M165" s="80">
        <f>SUMIFS('февраль 2024'!$G$6:$G$1413,'февраль 2024'!$D$6:$D$1413,$B165,'февраль 2024'!$J$6:$J$1413,M$1)</f>
        <v>0</v>
      </c>
      <c r="N165" s="80">
        <f>SUMIFS('февраль 2024'!$G$6:$G$1413,'февраль 2024'!$D$6:$D$1413,$B165,'февраль 2024'!$J$6:$J$1413,N$1)</f>
        <v>0</v>
      </c>
      <c r="O165" s="80">
        <f>SUMIFS('февраль 2024'!$G$6:$G$1413,'февраль 2024'!$D$6:$D$1413,$B165,'февраль 2024'!$J$6:$J$1413,O$1)</f>
        <v>0</v>
      </c>
      <c r="P165" s="80">
        <f>SUMIFS('февраль 2024'!$G$6:$G$1413,'февраль 2024'!$D$6:$D$1413,$B165,'февраль 2024'!$J$6:$J$1413,P$1)</f>
        <v>0</v>
      </c>
      <c r="Q165" s="80">
        <f>SUMIFS('февраль 2024'!$G$6:$G$1413,'февраль 2024'!$D$6:$D$1413,$B165,'февраль 2024'!$J$6:$J$1413,Q$1)</f>
        <v>0</v>
      </c>
      <c r="R165" s="80">
        <f>SUMIFS('февраль 2024'!$G$6:$G$1413,'февраль 2024'!$D$6:$D$1413,$B165,'февраль 2024'!$J$6:$J$1413,R$1)</f>
        <v>0</v>
      </c>
      <c r="S165" s="80">
        <f>SUMIFS('февраль 2024'!$G$6:$G$1413,'февраль 2024'!$D$6:$D$1413,$B165,'февраль 2024'!$J$6:$J$1413,S$1)</f>
        <v>0</v>
      </c>
      <c r="T165" s="80">
        <f>SUMIFS('февраль 2024'!$G$6:$G$1413,'февраль 2024'!$D$6:$D$1413,$B165,'февраль 2024'!$J$6:$J$1413,T$1)</f>
        <v>0</v>
      </c>
      <c r="U165" s="80">
        <f>SUMIFS('февраль 2024'!$G$6:$G$1413,'февраль 2024'!$D$6:$D$1413,$B165,'февраль 2024'!$J$6:$J$1413,U$1)</f>
        <v>0</v>
      </c>
      <c r="V165" s="80">
        <f>SUMIFS('февраль 2024'!$G$6:$G$1413,'февраль 2024'!$D$6:$D$1413,$B165,'февраль 2024'!$J$6:$J$1413,V$1)</f>
        <v>0</v>
      </c>
      <c r="W165" s="80">
        <f>SUMIFS('февраль 2024'!$G$6:$G$1413,'февраль 2024'!$D$6:$D$1413,$B165,'февраль 2024'!$J$6:$J$1413,W$1)</f>
        <v>0</v>
      </c>
      <c r="X165" s="80">
        <f>SUMIFS('февраль 2024'!$G$6:$G$1413,'февраль 2024'!$D$6:$D$1413,$B165,'февраль 2024'!$J$6:$J$1413,X$1)</f>
        <v>0</v>
      </c>
      <c r="Y165" s="80">
        <f>SUMIFS('февраль 2024'!$G$6:$G$1413,'февраль 2024'!$D$6:$D$1413,$B165,'февраль 2024'!$J$6:$J$1413,Y$1)</f>
        <v>0</v>
      </c>
      <c r="Z165" s="80">
        <f>SUMIFS('февраль 2024'!$G$6:$G$1413,'февраль 2024'!$D$6:$D$1413,$B165,'февраль 2024'!$J$6:$J$1413,Z$1)</f>
        <v>0</v>
      </c>
      <c r="AA165" s="80">
        <f>SUMIFS('февраль 2024'!$G$6:$G$1413,'февраль 2024'!$D$6:$D$1413,$B165,'февраль 2024'!$J$6:$J$1413,AA$1)</f>
        <v>0</v>
      </c>
      <c r="AB165" s="80">
        <f>SUMIFS('февраль 2024'!$G$6:$G$1413,'февраль 2024'!$D$6:$D$1413,$B165,'февраль 2024'!$J$6:$J$1413,AB$1)</f>
        <v>0</v>
      </c>
      <c r="AC165" s="80">
        <f>SUMIFS('февраль 2024'!$G$6:$G$1413,'февраль 2024'!$D$6:$D$1413,$B165,'февраль 2024'!$J$6:$J$1413,AC$1)</f>
        <v>0</v>
      </c>
      <c r="AD165" s="80">
        <f>SUMIFS('февраль 2024'!$G$6:$G$1413,'февраль 2024'!$D$6:$D$1413,$B165,'февраль 2024'!$J$6:$J$1413,AD$1)</f>
        <v>0</v>
      </c>
      <c r="AE165" s="80">
        <f>SUMIFS('февраль 2024'!$G$6:$G$1413,'февраль 2024'!$D$6:$D$1413,$B165,'февраль 2024'!$J$6:$J$1413,AE$1)</f>
        <v>0</v>
      </c>
      <c r="AF165" s="80">
        <f>SUMIFS('февраль 2024'!$G$6:$G$1413,'февраль 2024'!$D$6:$D$1413,$B165,'февраль 2024'!$J$6:$J$1413,AF$1)</f>
        <v>0</v>
      </c>
      <c r="AG165" s="80">
        <f>SUMIFS('февраль 2024'!$G$6:$G$1413,'февраль 2024'!$D$6:$D$1413,$B165,'февраль 2024'!$J$6:$J$1413,AG$1)</f>
        <v>0</v>
      </c>
      <c r="AH165" s="80">
        <f>SUMIFS('февраль 2024'!$G$6:$G$1413,'февраль 2024'!$D$6:$D$1413,$B165,'февраль 2024'!$J$6:$J$1413,AH$1)</f>
        <v>0</v>
      </c>
      <c r="AI165" s="87"/>
    </row>
    <row r="166" spans="2:35" ht="15" hidden="1" customHeight="1" x14ac:dyDescent="0.25">
      <c r="B166" s="94"/>
      <c r="C166" s="95"/>
      <c r="D166" s="80">
        <f>SUMIFS('февраль 2024'!$G$6:$G$1413,'февраль 2024'!$D$6:$D$1413,$B166,'февраль 2024'!$J$6:$J$1413,D$1)</f>
        <v>0</v>
      </c>
      <c r="E166" s="80">
        <f>SUMIFS('февраль 2024'!$G$6:$G$1413,'февраль 2024'!$D$6:$D$1413,$B166,'февраль 2024'!$J$6:$J$1413,E$1)</f>
        <v>0</v>
      </c>
      <c r="F166" s="80">
        <f>SUMIFS('февраль 2024'!$G$6:$G$1413,'февраль 2024'!$D$6:$D$1413,$B166,'февраль 2024'!$J$6:$J$1413,F$1)</f>
        <v>0</v>
      </c>
      <c r="G166" s="80">
        <f>SUMIFS('февраль 2024'!$G$6:$G$1413,'февраль 2024'!$D$6:$D$1413,$B166,'февраль 2024'!$J$6:$J$1413,G$1)</f>
        <v>0</v>
      </c>
      <c r="H166" s="80">
        <f>SUMIFS('февраль 2024'!$G$6:$G$1413,'февраль 2024'!$D$6:$D$1413,$B166,'февраль 2024'!$J$6:$J$1413,H$1)</f>
        <v>0</v>
      </c>
      <c r="I166" s="80">
        <f>SUMIFS('февраль 2024'!$G$6:$G$1413,'февраль 2024'!$D$6:$D$1413,$B166,'февраль 2024'!$J$6:$J$1413,I$1)</f>
        <v>0</v>
      </c>
      <c r="J166" s="80">
        <f>SUMIFS('февраль 2024'!$G$6:$G$1413,'февраль 2024'!$D$6:$D$1413,$B166,'февраль 2024'!$J$6:$J$1413,J$1)</f>
        <v>0</v>
      </c>
      <c r="K166" s="80">
        <f>SUMIFS('февраль 2024'!$G$6:$G$1413,'февраль 2024'!$D$6:$D$1413,$B166,'февраль 2024'!$J$6:$J$1413,K$1)</f>
        <v>0</v>
      </c>
      <c r="L166" s="80">
        <f>SUMIFS('февраль 2024'!$G$6:$G$1413,'февраль 2024'!$D$6:$D$1413,$B166,'февраль 2024'!$J$6:$J$1413,L$1)</f>
        <v>0</v>
      </c>
      <c r="M166" s="80">
        <f>SUMIFS('февраль 2024'!$G$6:$G$1413,'февраль 2024'!$D$6:$D$1413,$B166,'февраль 2024'!$J$6:$J$1413,M$1)</f>
        <v>0</v>
      </c>
      <c r="N166" s="80">
        <f>SUMIFS('февраль 2024'!$G$6:$G$1413,'февраль 2024'!$D$6:$D$1413,$B166,'февраль 2024'!$J$6:$J$1413,N$1)</f>
        <v>0</v>
      </c>
      <c r="O166" s="80">
        <f>SUMIFS('февраль 2024'!$G$6:$G$1413,'февраль 2024'!$D$6:$D$1413,$B166,'февраль 2024'!$J$6:$J$1413,O$1)</f>
        <v>0</v>
      </c>
      <c r="P166" s="80">
        <f>SUMIFS('февраль 2024'!$G$6:$G$1413,'февраль 2024'!$D$6:$D$1413,$B166,'февраль 2024'!$J$6:$J$1413,P$1)</f>
        <v>0</v>
      </c>
      <c r="Q166" s="80">
        <f>SUMIFS('февраль 2024'!$G$6:$G$1413,'февраль 2024'!$D$6:$D$1413,$B166,'февраль 2024'!$J$6:$J$1413,Q$1)</f>
        <v>0</v>
      </c>
      <c r="R166" s="80">
        <f>SUMIFS('февраль 2024'!$G$6:$G$1413,'февраль 2024'!$D$6:$D$1413,$B166,'февраль 2024'!$J$6:$J$1413,R$1)</f>
        <v>0</v>
      </c>
      <c r="S166" s="80">
        <f>SUMIFS('февраль 2024'!$G$6:$G$1413,'февраль 2024'!$D$6:$D$1413,$B166,'февраль 2024'!$J$6:$J$1413,S$1)</f>
        <v>0</v>
      </c>
      <c r="T166" s="80">
        <f>SUMIFS('февраль 2024'!$G$6:$G$1413,'февраль 2024'!$D$6:$D$1413,$B166,'февраль 2024'!$J$6:$J$1413,T$1)</f>
        <v>0</v>
      </c>
      <c r="U166" s="80">
        <f>SUMIFS('февраль 2024'!$G$6:$G$1413,'февраль 2024'!$D$6:$D$1413,$B166,'февраль 2024'!$J$6:$J$1413,U$1)</f>
        <v>0</v>
      </c>
      <c r="V166" s="80">
        <f>SUMIFS('февраль 2024'!$G$6:$G$1413,'февраль 2024'!$D$6:$D$1413,$B166,'февраль 2024'!$J$6:$J$1413,V$1)</f>
        <v>0</v>
      </c>
      <c r="W166" s="80">
        <f>SUMIFS('февраль 2024'!$G$6:$G$1413,'февраль 2024'!$D$6:$D$1413,$B166,'февраль 2024'!$J$6:$J$1413,W$1)</f>
        <v>0</v>
      </c>
      <c r="X166" s="80">
        <f>SUMIFS('февраль 2024'!$G$6:$G$1413,'февраль 2024'!$D$6:$D$1413,$B166,'февраль 2024'!$J$6:$J$1413,X$1)</f>
        <v>0</v>
      </c>
      <c r="Y166" s="80">
        <f>SUMIFS('февраль 2024'!$G$6:$G$1413,'февраль 2024'!$D$6:$D$1413,$B166,'февраль 2024'!$J$6:$J$1413,Y$1)</f>
        <v>0</v>
      </c>
      <c r="Z166" s="80">
        <f>SUMIFS('февраль 2024'!$G$6:$G$1413,'февраль 2024'!$D$6:$D$1413,$B166,'февраль 2024'!$J$6:$J$1413,Z$1)</f>
        <v>0</v>
      </c>
      <c r="AA166" s="80">
        <f>SUMIFS('февраль 2024'!$G$6:$G$1413,'февраль 2024'!$D$6:$D$1413,$B166,'февраль 2024'!$J$6:$J$1413,AA$1)</f>
        <v>0</v>
      </c>
      <c r="AB166" s="80">
        <f>SUMIFS('февраль 2024'!$G$6:$G$1413,'февраль 2024'!$D$6:$D$1413,$B166,'февраль 2024'!$J$6:$J$1413,AB$1)</f>
        <v>0</v>
      </c>
      <c r="AC166" s="80">
        <f>SUMIFS('февраль 2024'!$G$6:$G$1413,'февраль 2024'!$D$6:$D$1413,$B166,'февраль 2024'!$J$6:$J$1413,AC$1)</f>
        <v>0</v>
      </c>
      <c r="AD166" s="80">
        <f>SUMIFS('февраль 2024'!$G$6:$G$1413,'февраль 2024'!$D$6:$D$1413,$B166,'февраль 2024'!$J$6:$J$1413,AD$1)</f>
        <v>0</v>
      </c>
      <c r="AE166" s="80">
        <f>SUMIFS('февраль 2024'!$G$6:$G$1413,'февраль 2024'!$D$6:$D$1413,$B166,'февраль 2024'!$J$6:$J$1413,AE$1)</f>
        <v>0</v>
      </c>
      <c r="AF166" s="80">
        <f>SUMIFS('февраль 2024'!$G$6:$G$1413,'февраль 2024'!$D$6:$D$1413,$B166,'февраль 2024'!$J$6:$J$1413,AF$1)</f>
        <v>0</v>
      </c>
      <c r="AG166" s="80">
        <f>SUMIFS('февраль 2024'!$G$6:$G$1413,'февраль 2024'!$D$6:$D$1413,$B166,'февраль 2024'!$J$6:$J$1413,AG$1)</f>
        <v>0</v>
      </c>
      <c r="AH166" s="80">
        <f>SUMIFS('февраль 2024'!$G$6:$G$1413,'февраль 2024'!$D$6:$D$1413,$B166,'февраль 2024'!$J$6:$J$1413,AH$1)</f>
        <v>0</v>
      </c>
      <c r="AI166" s="87"/>
    </row>
    <row r="167" spans="2:35" ht="15" hidden="1" customHeight="1" x14ac:dyDescent="0.25">
      <c r="B167" s="89"/>
      <c r="C167" s="91"/>
      <c r="D167" s="80">
        <f>SUMIFS('февраль 2024'!$G$6:$G$1413,'февраль 2024'!$D$6:$D$1413,$B167,'февраль 2024'!$J$6:$J$1413,D$1)</f>
        <v>0</v>
      </c>
      <c r="E167" s="80">
        <f>SUMIFS('февраль 2024'!$G$6:$G$1413,'февраль 2024'!$D$6:$D$1413,$B167,'февраль 2024'!$J$6:$J$1413,E$1)</f>
        <v>0</v>
      </c>
      <c r="F167" s="80">
        <f>SUMIFS('февраль 2024'!$G$6:$G$1413,'февраль 2024'!$D$6:$D$1413,$B167,'февраль 2024'!$J$6:$J$1413,F$1)</f>
        <v>0</v>
      </c>
      <c r="G167" s="80">
        <f>SUMIFS('февраль 2024'!$G$6:$G$1413,'февраль 2024'!$D$6:$D$1413,$B167,'февраль 2024'!$J$6:$J$1413,G$1)</f>
        <v>0</v>
      </c>
      <c r="H167" s="80">
        <f>SUMIFS('февраль 2024'!$G$6:$G$1413,'февраль 2024'!$D$6:$D$1413,$B167,'февраль 2024'!$J$6:$J$1413,H$1)</f>
        <v>0</v>
      </c>
      <c r="I167" s="80">
        <f>SUMIFS('февраль 2024'!$G$6:$G$1413,'февраль 2024'!$D$6:$D$1413,$B167,'февраль 2024'!$J$6:$J$1413,I$1)</f>
        <v>0</v>
      </c>
      <c r="J167" s="80">
        <f>SUMIFS('февраль 2024'!$G$6:$G$1413,'февраль 2024'!$D$6:$D$1413,$B167,'февраль 2024'!$J$6:$J$1413,J$1)</f>
        <v>0</v>
      </c>
      <c r="K167" s="80">
        <f>SUMIFS('февраль 2024'!$G$6:$G$1413,'февраль 2024'!$D$6:$D$1413,$B167,'февраль 2024'!$J$6:$J$1413,K$1)</f>
        <v>0</v>
      </c>
      <c r="L167" s="80">
        <f>SUMIFS('февраль 2024'!$G$6:$G$1413,'февраль 2024'!$D$6:$D$1413,$B167,'февраль 2024'!$J$6:$J$1413,L$1)</f>
        <v>0</v>
      </c>
      <c r="M167" s="80">
        <f>SUMIFS('февраль 2024'!$G$6:$G$1413,'февраль 2024'!$D$6:$D$1413,$B167,'февраль 2024'!$J$6:$J$1413,M$1)</f>
        <v>0</v>
      </c>
      <c r="N167" s="80">
        <f>SUMIFS('февраль 2024'!$G$6:$G$1413,'февраль 2024'!$D$6:$D$1413,$B167,'февраль 2024'!$J$6:$J$1413,N$1)</f>
        <v>0</v>
      </c>
      <c r="O167" s="80">
        <f>SUMIFS('февраль 2024'!$G$6:$G$1413,'февраль 2024'!$D$6:$D$1413,$B167,'февраль 2024'!$J$6:$J$1413,O$1)</f>
        <v>0</v>
      </c>
      <c r="P167" s="80">
        <f>SUMIFS('февраль 2024'!$G$6:$G$1413,'февраль 2024'!$D$6:$D$1413,$B167,'февраль 2024'!$J$6:$J$1413,P$1)</f>
        <v>0</v>
      </c>
      <c r="Q167" s="80">
        <f>SUMIFS('февраль 2024'!$G$6:$G$1413,'февраль 2024'!$D$6:$D$1413,$B167,'февраль 2024'!$J$6:$J$1413,Q$1)</f>
        <v>0</v>
      </c>
      <c r="R167" s="80">
        <f>SUMIFS('февраль 2024'!$G$6:$G$1413,'февраль 2024'!$D$6:$D$1413,$B167,'февраль 2024'!$J$6:$J$1413,R$1)</f>
        <v>0</v>
      </c>
      <c r="S167" s="80">
        <f>SUMIFS('февраль 2024'!$G$6:$G$1413,'февраль 2024'!$D$6:$D$1413,$B167,'февраль 2024'!$J$6:$J$1413,S$1)</f>
        <v>0</v>
      </c>
      <c r="T167" s="80">
        <f>SUMIFS('февраль 2024'!$G$6:$G$1413,'февраль 2024'!$D$6:$D$1413,$B167,'февраль 2024'!$J$6:$J$1413,T$1)</f>
        <v>0</v>
      </c>
      <c r="U167" s="80">
        <f>SUMIFS('февраль 2024'!$G$6:$G$1413,'февраль 2024'!$D$6:$D$1413,$B167,'февраль 2024'!$J$6:$J$1413,U$1)</f>
        <v>0</v>
      </c>
      <c r="V167" s="80">
        <f>SUMIFS('февраль 2024'!$G$6:$G$1413,'февраль 2024'!$D$6:$D$1413,$B167,'февраль 2024'!$J$6:$J$1413,V$1)</f>
        <v>0</v>
      </c>
      <c r="W167" s="80">
        <f>SUMIFS('февраль 2024'!$G$6:$G$1413,'февраль 2024'!$D$6:$D$1413,$B167,'февраль 2024'!$J$6:$J$1413,W$1)</f>
        <v>0</v>
      </c>
      <c r="X167" s="80">
        <f>SUMIFS('февраль 2024'!$G$6:$G$1413,'февраль 2024'!$D$6:$D$1413,$B167,'февраль 2024'!$J$6:$J$1413,X$1)</f>
        <v>0</v>
      </c>
      <c r="Y167" s="80">
        <f>SUMIFS('февраль 2024'!$G$6:$G$1413,'февраль 2024'!$D$6:$D$1413,$B167,'февраль 2024'!$J$6:$J$1413,Y$1)</f>
        <v>0</v>
      </c>
      <c r="Z167" s="80">
        <f>SUMIFS('февраль 2024'!$G$6:$G$1413,'февраль 2024'!$D$6:$D$1413,$B167,'февраль 2024'!$J$6:$J$1413,Z$1)</f>
        <v>0</v>
      </c>
      <c r="AA167" s="80">
        <f>SUMIFS('февраль 2024'!$G$6:$G$1413,'февраль 2024'!$D$6:$D$1413,$B167,'февраль 2024'!$J$6:$J$1413,AA$1)</f>
        <v>0</v>
      </c>
      <c r="AB167" s="80">
        <f>SUMIFS('февраль 2024'!$G$6:$G$1413,'февраль 2024'!$D$6:$D$1413,$B167,'февраль 2024'!$J$6:$J$1413,AB$1)</f>
        <v>0</v>
      </c>
      <c r="AC167" s="80">
        <f>SUMIFS('февраль 2024'!$G$6:$G$1413,'февраль 2024'!$D$6:$D$1413,$B167,'февраль 2024'!$J$6:$J$1413,AC$1)</f>
        <v>0</v>
      </c>
      <c r="AD167" s="80">
        <f>SUMIFS('февраль 2024'!$G$6:$G$1413,'февраль 2024'!$D$6:$D$1413,$B167,'февраль 2024'!$J$6:$J$1413,AD$1)</f>
        <v>0</v>
      </c>
      <c r="AE167" s="80">
        <f>SUMIFS('февраль 2024'!$G$6:$G$1413,'февраль 2024'!$D$6:$D$1413,$B167,'февраль 2024'!$J$6:$J$1413,AE$1)</f>
        <v>0</v>
      </c>
      <c r="AF167" s="80">
        <f>SUMIFS('февраль 2024'!$G$6:$G$1413,'февраль 2024'!$D$6:$D$1413,$B167,'февраль 2024'!$J$6:$J$1413,AF$1)</f>
        <v>0</v>
      </c>
      <c r="AG167" s="80">
        <f>SUMIFS('февраль 2024'!$G$6:$G$1413,'февраль 2024'!$D$6:$D$1413,$B167,'февраль 2024'!$J$6:$J$1413,AG$1)</f>
        <v>0</v>
      </c>
      <c r="AH167" s="80">
        <f>SUMIFS('февраль 2024'!$G$6:$G$1413,'февраль 2024'!$D$6:$D$1413,$B167,'февраль 2024'!$J$6:$J$1413,AH$1)</f>
        <v>0</v>
      </c>
      <c r="AI167" s="87"/>
    </row>
    <row r="168" spans="2:35" ht="15" hidden="1" customHeight="1" x14ac:dyDescent="0.25">
      <c r="B168" s="89"/>
      <c r="C168" s="88"/>
      <c r="D168" s="80">
        <f>SUMIFS('февраль 2024'!$G$6:$G$1413,'февраль 2024'!$D$6:$D$1413,$B168,'февраль 2024'!$J$6:$J$1413,D$1)</f>
        <v>0</v>
      </c>
      <c r="E168" s="80">
        <f>SUMIFS('февраль 2024'!$G$6:$G$1413,'февраль 2024'!$D$6:$D$1413,$B168,'февраль 2024'!$J$6:$J$1413,E$1)</f>
        <v>0</v>
      </c>
      <c r="F168" s="80">
        <f>SUMIFS('февраль 2024'!$G$6:$G$1413,'февраль 2024'!$D$6:$D$1413,$B168,'февраль 2024'!$J$6:$J$1413,F$1)</f>
        <v>0</v>
      </c>
      <c r="G168" s="80">
        <f>SUMIFS('февраль 2024'!$G$6:$G$1413,'февраль 2024'!$D$6:$D$1413,$B168,'февраль 2024'!$J$6:$J$1413,G$1)</f>
        <v>0</v>
      </c>
      <c r="H168" s="80">
        <f>SUMIFS('февраль 2024'!$G$6:$G$1413,'февраль 2024'!$D$6:$D$1413,$B168,'февраль 2024'!$J$6:$J$1413,H$1)</f>
        <v>0</v>
      </c>
      <c r="I168" s="80">
        <f>SUMIFS('февраль 2024'!$G$6:$G$1413,'февраль 2024'!$D$6:$D$1413,$B168,'февраль 2024'!$J$6:$J$1413,I$1)</f>
        <v>0</v>
      </c>
      <c r="J168" s="80">
        <f>SUMIFS('февраль 2024'!$G$6:$G$1413,'февраль 2024'!$D$6:$D$1413,$B168,'февраль 2024'!$J$6:$J$1413,J$1)</f>
        <v>0</v>
      </c>
      <c r="K168" s="80">
        <f>SUMIFS('февраль 2024'!$G$6:$G$1413,'февраль 2024'!$D$6:$D$1413,$B168,'февраль 2024'!$J$6:$J$1413,K$1)</f>
        <v>0</v>
      </c>
      <c r="L168" s="80">
        <f>SUMIFS('февраль 2024'!$G$6:$G$1413,'февраль 2024'!$D$6:$D$1413,$B168,'февраль 2024'!$J$6:$J$1413,L$1)</f>
        <v>0</v>
      </c>
      <c r="M168" s="80">
        <f>SUMIFS('февраль 2024'!$G$6:$G$1413,'февраль 2024'!$D$6:$D$1413,$B168,'февраль 2024'!$J$6:$J$1413,M$1)</f>
        <v>0</v>
      </c>
      <c r="N168" s="80">
        <f>SUMIFS('февраль 2024'!$G$6:$G$1413,'февраль 2024'!$D$6:$D$1413,$B168,'февраль 2024'!$J$6:$J$1413,N$1)</f>
        <v>0</v>
      </c>
      <c r="O168" s="80">
        <f>SUMIFS('февраль 2024'!$G$6:$G$1413,'февраль 2024'!$D$6:$D$1413,$B168,'февраль 2024'!$J$6:$J$1413,O$1)</f>
        <v>0</v>
      </c>
      <c r="P168" s="80">
        <f>SUMIFS('февраль 2024'!$G$6:$G$1413,'февраль 2024'!$D$6:$D$1413,$B168,'февраль 2024'!$J$6:$J$1413,P$1)</f>
        <v>0</v>
      </c>
      <c r="Q168" s="80">
        <f>SUMIFS('февраль 2024'!$G$6:$G$1413,'февраль 2024'!$D$6:$D$1413,$B168,'февраль 2024'!$J$6:$J$1413,Q$1)</f>
        <v>0</v>
      </c>
      <c r="R168" s="80">
        <f>SUMIFS('февраль 2024'!$G$6:$G$1413,'февраль 2024'!$D$6:$D$1413,$B168,'февраль 2024'!$J$6:$J$1413,R$1)</f>
        <v>0</v>
      </c>
      <c r="S168" s="80">
        <f>SUMIFS('февраль 2024'!$G$6:$G$1413,'февраль 2024'!$D$6:$D$1413,$B168,'февраль 2024'!$J$6:$J$1413,S$1)</f>
        <v>0</v>
      </c>
      <c r="T168" s="80">
        <f>SUMIFS('февраль 2024'!$G$6:$G$1413,'февраль 2024'!$D$6:$D$1413,$B168,'февраль 2024'!$J$6:$J$1413,T$1)</f>
        <v>0</v>
      </c>
      <c r="U168" s="80">
        <f>SUMIFS('февраль 2024'!$G$6:$G$1413,'февраль 2024'!$D$6:$D$1413,$B168,'февраль 2024'!$J$6:$J$1413,U$1)</f>
        <v>0</v>
      </c>
      <c r="V168" s="80">
        <f>SUMIFS('февраль 2024'!$G$6:$G$1413,'февраль 2024'!$D$6:$D$1413,$B168,'февраль 2024'!$J$6:$J$1413,V$1)</f>
        <v>0</v>
      </c>
      <c r="W168" s="80">
        <f>SUMIFS('февраль 2024'!$G$6:$G$1413,'февраль 2024'!$D$6:$D$1413,$B168,'февраль 2024'!$J$6:$J$1413,W$1)</f>
        <v>0</v>
      </c>
      <c r="X168" s="80">
        <f>SUMIFS('февраль 2024'!$G$6:$G$1413,'февраль 2024'!$D$6:$D$1413,$B168,'февраль 2024'!$J$6:$J$1413,X$1)</f>
        <v>0</v>
      </c>
      <c r="Y168" s="80">
        <f>SUMIFS('февраль 2024'!$G$6:$G$1413,'февраль 2024'!$D$6:$D$1413,$B168,'февраль 2024'!$J$6:$J$1413,Y$1)</f>
        <v>0</v>
      </c>
      <c r="Z168" s="80">
        <f>SUMIFS('февраль 2024'!$G$6:$G$1413,'февраль 2024'!$D$6:$D$1413,$B168,'февраль 2024'!$J$6:$J$1413,Z$1)</f>
        <v>0</v>
      </c>
      <c r="AA168" s="80">
        <f>SUMIFS('февраль 2024'!$G$6:$G$1413,'февраль 2024'!$D$6:$D$1413,$B168,'февраль 2024'!$J$6:$J$1413,AA$1)</f>
        <v>0</v>
      </c>
      <c r="AB168" s="80">
        <f>SUMIFS('февраль 2024'!$G$6:$G$1413,'февраль 2024'!$D$6:$D$1413,$B168,'февраль 2024'!$J$6:$J$1413,AB$1)</f>
        <v>0</v>
      </c>
      <c r="AC168" s="80">
        <f>SUMIFS('февраль 2024'!$G$6:$G$1413,'февраль 2024'!$D$6:$D$1413,$B168,'февраль 2024'!$J$6:$J$1413,AC$1)</f>
        <v>0</v>
      </c>
      <c r="AD168" s="80">
        <f>SUMIFS('февраль 2024'!$G$6:$G$1413,'февраль 2024'!$D$6:$D$1413,$B168,'февраль 2024'!$J$6:$J$1413,AD$1)</f>
        <v>0</v>
      </c>
      <c r="AE168" s="80">
        <f>SUMIFS('февраль 2024'!$G$6:$G$1413,'февраль 2024'!$D$6:$D$1413,$B168,'февраль 2024'!$J$6:$J$1413,AE$1)</f>
        <v>0</v>
      </c>
      <c r="AF168" s="80">
        <f>SUMIFS('февраль 2024'!$G$6:$G$1413,'февраль 2024'!$D$6:$D$1413,$B168,'февраль 2024'!$J$6:$J$1413,AF$1)</f>
        <v>0</v>
      </c>
      <c r="AG168" s="80">
        <f>SUMIFS('февраль 2024'!$G$6:$G$1413,'февраль 2024'!$D$6:$D$1413,$B168,'февраль 2024'!$J$6:$J$1413,AG$1)</f>
        <v>0</v>
      </c>
      <c r="AH168" s="80">
        <f>SUMIFS('февраль 2024'!$G$6:$G$1413,'февраль 2024'!$D$6:$D$1413,$B168,'февраль 2024'!$J$6:$J$1413,AH$1)</f>
        <v>0</v>
      </c>
      <c r="AI168" s="87"/>
    </row>
    <row r="169" spans="2:35" ht="15" hidden="1" customHeight="1" x14ac:dyDescent="0.25">
      <c r="B169" s="89"/>
      <c r="C169" s="88"/>
      <c r="D169" s="80">
        <f>SUMIFS('февраль 2024'!$G$6:$G$1413,'февраль 2024'!$D$6:$D$1413,$B169,'февраль 2024'!$J$6:$J$1413,D$1)</f>
        <v>0</v>
      </c>
      <c r="E169" s="80">
        <f>SUMIFS('февраль 2024'!$G$6:$G$1413,'февраль 2024'!$D$6:$D$1413,$B169,'февраль 2024'!$J$6:$J$1413,E$1)</f>
        <v>0</v>
      </c>
      <c r="F169" s="80">
        <f>SUMIFS('февраль 2024'!$G$6:$G$1413,'февраль 2024'!$D$6:$D$1413,$B169,'февраль 2024'!$J$6:$J$1413,F$1)</f>
        <v>0</v>
      </c>
      <c r="G169" s="80">
        <f>SUMIFS('февраль 2024'!$G$6:$G$1413,'февраль 2024'!$D$6:$D$1413,$B169,'февраль 2024'!$J$6:$J$1413,G$1)</f>
        <v>0</v>
      </c>
      <c r="H169" s="80">
        <f>SUMIFS('февраль 2024'!$G$6:$G$1413,'февраль 2024'!$D$6:$D$1413,$B169,'февраль 2024'!$J$6:$J$1413,H$1)</f>
        <v>0</v>
      </c>
      <c r="I169" s="80">
        <f>SUMIFS('февраль 2024'!$G$6:$G$1413,'февраль 2024'!$D$6:$D$1413,$B169,'февраль 2024'!$J$6:$J$1413,I$1)</f>
        <v>0</v>
      </c>
      <c r="J169" s="80">
        <f>SUMIFS('февраль 2024'!$G$6:$G$1413,'февраль 2024'!$D$6:$D$1413,$B169,'февраль 2024'!$J$6:$J$1413,J$1)</f>
        <v>0</v>
      </c>
      <c r="K169" s="80">
        <f>SUMIFS('февраль 2024'!$G$6:$G$1413,'февраль 2024'!$D$6:$D$1413,$B169,'февраль 2024'!$J$6:$J$1413,K$1)</f>
        <v>0</v>
      </c>
      <c r="L169" s="80">
        <f>SUMIFS('февраль 2024'!$G$6:$G$1413,'февраль 2024'!$D$6:$D$1413,$B169,'февраль 2024'!$J$6:$J$1413,L$1)</f>
        <v>0</v>
      </c>
      <c r="M169" s="80">
        <f>SUMIFS('февраль 2024'!$G$6:$G$1413,'февраль 2024'!$D$6:$D$1413,$B169,'февраль 2024'!$J$6:$J$1413,M$1)</f>
        <v>0</v>
      </c>
      <c r="N169" s="80">
        <f>SUMIFS('февраль 2024'!$G$6:$G$1413,'февраль 2024'!$D$6:$D$1413,$B169,'февраль 2024'!$J$6:$J$1413,N$1)</f>
        <v>0</v>
      </c>
      <c r="O169" s="80">
        <f>SUMIFS('февраль 2024'!$G$6:$G$1413,'февраль 2024'!$D$6:$D$1413,$B169,'февраль 2024'!$J$6:$J$1413,O$1)</f>
        <v>0</v>
      </c>
      <c r="P169" s="80">
        <f>SUMIFS('февраль 2024'!$G$6:$G$1413,'февраль 2024'!$D$6:$D$1413,$B169,'февраль 2024'!$J$6:$J$1413,P$1)</f>
        <v>0</v>
      </c>
      <c r="Q169" s="80">
        <f>SUMIFS('февраль 2024'!$G$6:$G$1413,'февраль 2024'!$D$6:$D$1413,$B169,'февраль 2024'!$J$6:$J$1413,Q$1)</f>
        <v>0</v>
      </c>
      <c r="R169" s="80">
        <f>SUMIFS('февраль 2024'!$G$6:$G$1413,'февраль 2024'!$D$6:$D$1413,$B169,'февраль 2024'!$J$6:$J$1413,R$1)</f>
        <v>0</v>
      </c>
      <c r="S169" s="80">
        <f>SUMIFS('февраль 2024'!$G$6:$G$1413,'февраль 2024'!$D$6:$D$1413,$B169,'февраль 2024'!$J$6:$J$1413,S$1)</f>
        <v>0</v>
      </c>
      <c r="T169" s="80">
        <f>SUMIFS('февраль 2024'!$G$6:$G$1413,'февраль 2024'!$D$6:$D$1413,$B169,'февраль 2024'!$J$6:$J$1413,T$1)</f>
        <v>0</v>
      </c>
      <c r="U169" s="80">
        <f>SUMIFS('февраль 2024'!$G$6:$G$1413,'февраль 2024'!$D$6:$D$1413,$B169,'февраль 2024'!$J$6:$J$1413,U$1)</f>
        <v>0</v>
      </c>
      <c r="V169" s="80">
        <f>SUMIFS('февраль 2024'!$G$6:$G$1413,'февраль 2024'!$D$6:$D$1413,$B169,'февраль 2024'!$J$6:$J$1413,V$1)</f>
        <v>0</v>
      </c>
      <c r="W169" s="80">
        <f>SUMIFS('февраль 2024'!$G$6:$G$1413,'февраль 2024'!$D$6:$D$1413,$B169,'февраль 2024'!$J$6:$J$1413,W$1)</f>
        <v>0</v>
      </c>
      <c r="X169" s="80">
        <f>SUMIFS('февраль 2024'!$G$6:$G$1413,'февраль 2024'!$D$6:$D$1413,$B169,'февраль 2024'!$J$6:$J$1413,X$1)</f>
        <v>0</v>
      </c>
      <c r="Y169" s="80">
        <f>SUMIFS('февраль 2024'!$G$6:$G$1413,'февраль 2024'!$D$6:$D$1413,$B169,'февраль 2024'!$J$6:$J$1413,Y$1)</f>
        <v>0</v>
      </c>
      <c r="Z169" s="80">
        <f>SUMIFS('февраль 2024'!$G$6:$G$1413,'февраль 2024'!$D$6:$D$1413,$B169,'февраль 2024'!$J$6:$J$1413,Z$1)</f>
        <v>0</v>
      </c>
      <c r="AA169" s="80">
        <f>SUMIFS('февраль 2024'!$G$6:$G$1413,'февраль 2024'!$D$6:$D$1413,$B169,'февраль 2024'!$J$6:$J$1413,AA$1)</f>
        <v>0</v>
      </c>
      <c r="AB169" s="80">
        <f>SUMIFS('февраль 2024'!$G$6:$G$1413,'февраль 2024'!$D$6:$D$1413,$B169,'февраль 2024'!$J$6:$J$1413,AB$1)</f>
        <v>0</v>
      </c>
      <c r="AC169" s="80">
        <f>SUMIFS('февраль 2024'!$G$6:$G$1413,'февраль 2024'!$D$6:$D$1413,$B169,'февраль 2024'!$J$6:$J$1413,AC$1)</f>
        <v>0</v>
      </c>
      <c r="AD169" s="80">
        <f>SUMIFS('февраль 2024'!$G$6:$G$1413,'февраль 2024'!$D$6:$D$1413,$B169,'февраль 2024'!$J$6:$J$1413,AD$1)</f>
        <v>0</v>
      </c>
      <c r="AE169" s="80">
        <f>SUMIFS('февраль 2024'!$G$6:$G$1413,'февраль 2024'!$D$6:$D$1413,$B169,'февраль 2024'!$J$6:$J$1413,AE$1)</f>
        <v>0</v>
      </c>
      <c r="AF169" s="80">
        <f>SUMIFS('февраль 2024'!$G$6:$G$1413,'февраль 2024'!$D$6:$D$1413,$B169,'февраль 2024'!$J$6:$J$1413,AF$1)</f>
        <v>0</v>
      </c>
      <c r="AG169" s="80">
        <f>SUMIFS('февраль 2024'!$G$6:$G$1413,'февраль 2024'!$D$6:$D$1413,$B169,'февраль 2024'!$J$6:$J$1413,AG$1)</f>
        <v>0</v>
      </c>
      <c r="AH169" s="80">
        <f>SUMIFS('февраль 2024'!$G$6:$G$1413,'февраль 2024'!$D$6:$D$1413,$B169,'февраль 2024'!$J$6:$J$1413,AH$1)</f>
        <v>0</v>
      </c>
      <c r="AI169" s="87"/>
    </row>
    <row r="170" spans="2:35" ht="15" hidden="1" customHeight="1" x14ac:dyDescent="0.25">
      <c r="B170" s="89"/>
      <c r="C170" s="90"/>
      <c r="D170" s="80">
        <f>SUMIFS('февраль 2024'!$G$6:$G$1413,'февраль 2024'!$D$6:$D$1413,$B170,'февраль 2024'!$J$6:$J$1413,D$1)</f>
        <v>0</v>
      </c>
      <c r="E170" s="80">
        <f>SUMIFS('февраль 2024'!$G$6:$G$1413,'февраль 2024'!$D$6:$D$1413,$B170,'февраль 2024'!$J$6:$J$1413,E$1)</f>
        <v>0</v>
      </c>
      <c r="F170" s="80">
        <f>SUMIFS('февраль 2024'!$G$6:$G$1413,'февраль 2024'!$D$6:$D$1413,$B170,'февраль 2024'!$J$6:$J$1413,F$1)</f>
        <v>0</v>
      </c>
      <c r="G170" s="80">
        <f>SUMIFS('февраль 2024'!$G$6:$G$1413,'февраль 2024'!$D$6:$D$1413,$B170,'февраль 2024'!$J$6:$J$1413,G$1)</f>
        <v>0</v>
      </c>
      <c r="H170" s="80">
        <f>SUMIFS('февраль 2024'!$G$6:$G$1413,'февраль 2024'!$D$6:$D$1413,$B170,'февраль 2024'!$J$6:$J$1413,H$1)</f>
        <v>0</v>
      </c>
      <c r="I170" s="80">
        <f>SUMIFS('февраль 2024'!$G$6:$G$1413,'февраль 2024'!$D$6:$D$1413,$B170,'февраль 2024'!$J$6:$J$1413,I$1)</f>
        <v>0</v>
      </c>
      <c r="J170" s="80">
        <f>SUMIFS('февраль 2024'!$G$6:$G$1413,'февраль 2024'!$D$6:$D$1413,$B170,'февраль 2024'!$J$6:$J$1413,J$1)</f>
        <v>0</v>
      </c>
      <c r="K170" s="80">
        <f>SUMIFS('февраль 2024'!$G$6:$G$1413,'февраль 2024'!$D$6:$D$1413,$B170,'февраль 2024'!$J$6:$J$1413,K$1)</f>
        <v>0</v>
      </c>
      <c r="L170" s="80">
        <f>SUMIFS('февраль 2024'!$G$6:$G$1413,'февраль 2024'!$D$6:$D$1413,$B170,'февраль 2024'!$J$6:$J$1413,L$1)</f>
        <v>0</v>
      </c>
      <c r="M170" s="80">
        <f>SUMIFS('февраль 2024'!$G$6:$G$1413,'февраль 2024'!$D$6:$D$1413,$B170,'февраль 2024'!$J$6:$J$1413,M$1)</f>
        <v>0</v>
      </c>
      <c r="N170" s="80">
        <f>SUMIFS('февраль 2024'!$G$6:$G$1413,'февраль 2024'!$D$6:$D$1413,$B170,'февраль 2024'!$J$6:$J$1413,N$1)</f>
        <v>0</v>
      </c>
      <c r="O170" s="80">
        <f>SUMIFS('февраль 2024'!$G$6:$G$1413,'февраль 2024'!$D$6:$D$1413,$B170,'февраль 2024'!$J$6:$J$1413,O$1)</f>
        <v>0</v>
      </c>
      <c r="P170" s="80">
        <f>SUMIFS('февраль 2024'!$G$6:$G$1413,'февраль 2024'!$D$6:$D$1413,$B170,'февраль 2024'!$J$6:$J$1413,P$1)</f>
        <v>0</v>
      </c>
      <c r="Q170" s="80">
        <f>SUMIFS('февраль 2024'!$G$6:$G$1413,'февраль 2024'!$D$6:$D$1413,$B170,'февраль 2024'!$J$6:$J$1413,Q$1)</f>
        <v>0</v>
      </c>
      <c r="R170" s="80">
        <f>SUMIFS('февраль 2024'!$G$6:$G$1413,'февраль 2024'!$D$6:$D$1413,$B170,'февраль 2024'!$J$6:$J$1413,R$1)</f>
        <v>0</v>
      </c>
      <c r="S170" s="80">
        <f>SUMIFS('февраль 2024'!$G$6:$G$1413,'февраль 2024'!$D$6:$D$1413,$B170,'февраль 2024'!$J$6:$J$1413,S$1)</f>
        <v>0</v>
      </c>
      <c r="T170" s="80">
        <f>SUMIFS('февраль 2024'!$G$6:$G$1413,'февраль 2024'!$D$6:$D$1413,$B170,'февраль 2024'!$J$6:$J$1413,T$1)</f>
        <v>0</v>
      </c>
      <c r="U170" s="80">
        <f>SUMIFS('февраль 2024'!$G$6:$G$1413,'февраль 2024'!$D$6:$D$1413,$B170,'февраль 2024'!$J$6:$J$1413,U$1)</f>
        <v>0</v>
      </c>
      <c r="V170" s="80">
        <f>SUMIFS('февраль 2024'!$G$6:$G$1413,'февраль 2024'!$D$6:$D$1413,$B170,'февраль 2024'!$J$6:$J$1413,V$1)</f>
        <v>0</v>
      </c>
      <c r="W170" s="80">
        <f>SUMIFS('февраль 2024'!$G$6:$G$1413,'февраль 2024'!$D$6:$D$1413,$B170,'февраль 2024'!$J$6:$J$1413,W$1)</f>
        <v>0</v>
      </c>
      <c r="X170" s="80">
        <f>SUMIFS('февраль 2024'!$G$6:$G$1413,'февраль 2024'!$D$6:$D$1413,$B170,'февраль 2024'!$J$6:$J$1413,X$1)</f>
        <v>0</v>
      </c>
      <c r="Y170" s="80">
        <f>SUMIFS('февраль 2024'!$G$6:$G$1413,'февраль 2024'!$D$6:$D$1413,$B170,'февраль 2024'!$J$6:$J$1413,Y$1)</f>
        <v>0</v>
      </c>
      <c r="Z170" s="80">
        <f>SUMIFS('февраль 2024'!$G$6:$G$1413,'февраль 2024'!$D$6:$D$1413,$B170,'февраль 2024'!$J$6:$J$1413,Z$1)</f>
        <v>0</v>
      </c>
      <c r="AA170" s="80">
        <f>SUMIFS('февраль 2024'!$G$6:$G$1413,'февраль 2024'!$D$6:$D$1413,$B170,'февраль 2024'!$J$6:$J$1413,AA$1)</f>
        <v>0</v>
      </c>
      <c r="AB170" s="80">
        <f>SUMIFS('февраль 2024'!$G$6:$G$1413,'февраль 2024'!$D$6:$D$1413,$B170,'февраль 2024'!$J$6:$J$1413,AB$1)</f>
        <v>0</v>
      </c>
      <c r="AC170" s="80">
        <f>SUMIFS('февраль 2024'!$G$6:$G$1413,'февраль 2024'!$D$6:$D$1413,$B170,'февраль 2024'!$J$6:$J$1413,AC$1)</f>
        <v>0</v>
      </c>
      <c r="AD170" s="80">
        <f>SUMIFS('февраль 2024'!$G$6:$G$1413,'февраль 2024'!$D$6:$D$1413,$B170,'февраль 2024'!$J$6:$J$1413,AD$1)</f>
        <v>0</v>
      </c>
      <c r="AE170" s="80">
        <f>SUMIFS('февраль 2024'!$G$6:$G$1413,'февраль 2024'!$D$6:$D$1413,$B170,'февраль 2024'!$J$6:$J$1413,AE$1)</f>
        <v>0</v>
      </c>
      <c r="AF170" s="80">
        <f>SUMIFS('февраль 2024'!$G$6:$G$1413,'февраль 2024'!$D$6:$D$1413,$B170,'февраль 2024'!$J$6:$J$1413,AF$1)</f>
        <v>0</v>
      </c>
      <c r="AG170" s="80">
        <f>SUMIFS('февраль 2024'!$G$6:$G$1413,'февраль 2024'!$D$6:$D$1413,$B170,'февраль 2024'!$J$6:$J$1413,AG$1)</f>
        <v>0</v>
      </c>
      <c r="AH170" s="80">
        <f>SUMIFS('февраль 2024'!$G$6:$G$1413,'февраль 2024'!$D$6:$D$1413,$B170,'февраль 2024'!$J$6:$J$1413,AH$1)</f>
        <v>0</v>
      </c>
      <c r="AI170" s="87"/>
    </row>
    <row r="171" spans="2:35" ht="15" hidden="1" customHeight="1" x14ac:dyDescent="0.25">
      <c r="B171" s="89"/>
      <c r="C171" s="91"/>
      <c r="D171" s="80">
        <f>SUMIFS('февраль 2024'!$G$6:$G$1413,'февраль 2024'!$D$6:$D$1413,$B171,'февраль 2024'!$J$6:$J$1413,D$1)</f>
        <v>0</v>
      </c>
      <c r="E171" s="80">
        <f>SUMIFS('февраль 2024'!$G$6:$G$1413,'февраль 2024'!$D$6:$D$1413,$B171,'февраль 2024'!$J$6:$J$1413,E$1)</f>
        <v>0</v>
      </c>
      <c r="F171" s="80">
        <f>SUMIFS('февраль 2024'!$G$6:$G$1413,'февраль 2024'!$D$6:$D$1413,$B171,'февраль 2024'!$J$6:$J$1413,F$1)</f>
        <v>0</v>
      </c>
      <c r="G171" s="80">
        <f>SUMIFS('февраль 2024'!$G$6:$G$1413,'февраль 2024'!$D$6:$D$1413,$B171,'февраль 2024'!$J$6:$J$1413,G$1)</f>
        <v>0</v>
      </c>
      <c r="H171" s="80">
        <f>SUMIFS('февраль 2024'!$G$6:$G$1413,'февраль 2024'!$D$6:$D$1413,$B171,'февраль 2024'!$J$6:$J$1413,H$1)</f>
        <v>0</v>
      </c>
      <c r="I171" s="80">
        <f>SUMIFS('февраль 2024'!$G$6:$G$1413,'февраль 2024'!$D$6:$D$1413,$B171,'февраль 2024'!$J$6:$J$1413,I$1)</f>
        <v>0</v>
      </c>
      <c r="J171" s="80">
        <f>SUMIFS('февраль 2024'!$G$6:$G$1413,'февраль 2024'!$D$6:$D$1413,$B171,'февраль 2024'!$J$6:$J$1413,J$1)</f>
        <v>0</v>
      </c>
      <c r="K171" s="80">
        <f>SUMIFS('февраль 2024'!$G$6:$G$1413,'февраль 2024'!$D$6:$D$1413,$B171,'февраль 2024'!$J$6:$J$1413,K$1)</f>
        <v>0</v>
      </c>
      <c r="L171" s="80">
        <f>SUMIFS('февраль 2024'!$G$6:$G$1413,'февраль 2024'!$D$6:$D$1413,$B171,'февраль 2024'!$J$6:$J$1413,L$1)</f>
        <v>0</v>
      </c>
      <c r="M171" s="80">
        <f>SUMIFS('февраль 2024'!$G$6:$G$1413,'февраль 2024'!$D$6:$D$1413,$B171,'февраль 2024'!$J$6:$J$1413,M$1)</f>
        <v>0</v>
      </c>
      <c r="N171" s="80">
        <f>SUMIFS('февраль 2024'!$G$6:$G$1413,'февраль 2024'!$D$6:$D$1413,$B171,'февраль 2024'!$J$6:$J$1413,N$1)</f>
        <v>0</v>
      </c>
      <c r="O171" s="80">
        <f>SUMIFS('февраль 2024'!$G$6:$G$1413,'февраль 2024'!$D$6:$D$1413,$B171,'февраль 2024'!$J$6:$J$1413,O$1)</f>
        <v>0</v>
      </c>
      <c r="P171" s="80">
        <f>SUMIFS('февраль 2024'!$G$6:$G$1413,'февраль 2024'!$D$6:$D$1413,$B171,'февраль 2024'!$J$6:$J$1413,P$1)</f>
        <v>0</v>
      </c>
      <c r="Q171" s="80">
        <f>SUMIFS('февраль 2024'!$G$6:$G$1413,'февраль 2024'!$D$6:$D$1413,$B171,'февраль 2024'!$J$6:$J$1413,Q$1)</f>
        <v>0</v>
      </c>
      <c r="R171" s="80">
        <f>SUMIFS('февраль 2024'!$G$6:$G$1413,'февраль 2024'!$D$6:$D$1413,$B171,'февраль 2024'!$J$6:$J$1413,R$1)</f>
        <v>0</v>
      </c>
      <c r="S171" s="80">
        <f>SUMIFS('февраль 2024'!$G$6:$G$1413,'февраль 2024'!$D$6:$D$1413,$B171,'февраль 2024'!$J$6:$J$1413,S$1)</f>
        <v>0</v>
      </c>
      <c r="T171" s="80">
        <f>SUMIFS('февраль 2024'!$G$6:$G$1413,'февраль 2024'!$D$6:$D$1413,$B171,'февраль 2024'!$J$6:$J$1413,T$1)</f>
        <v>0</v>
      </c>
      <c r="U171" s="80">
        <f>SUMIFS('февраль 2024'!$G$6:$G$1413,'февраль 2024'!$D$6:$D$1413,$B171,'февраль 2024'!$J$6:$J$1413,U$1)</f>
        <v>0</v>
      </c>
      <c r="V171" s="80">
        <f>SUMIFS('февраль 2024'!$G$6:$G$1413,'февраль 2024'!$D$6:$D$1413,$B171,'февраль 2024'!$J$6:$J$1413,V$1)</f>
        <v>0</v>
      </c>
      <c r="W171" s="80">
        <f>SUMIFS('февраль 2024'!$G$6:$G$1413,'февраль 2024'!$D$6:$D$1413,$B171,'февраль 2024'!$J$6:$J$1413,W$1)</f>
        <v>0</v>
      </c>
      <c r="X171" s="80">
        <f>SUMIFS('февраль 2024'!$G$6:$G$1413,'февраль 2024'!$D$6:$D$1413,$B171,'февраль 2024'!$J$6:$J$1413,X$1)</f>
        <v>0</v>
      </c>
      <c r="Y171" s="80">
        <f>SUMIFS('февраль 2024'!$G$6:$G$1413,'февраль 2024'!$D$6:$D$1413,$B171,'февраль 2024'!$J$6:$J$1413,Y$1)</f>
        <v>0</v>
      </c>
      <c r="Z171" s="80">
        <f>SUMIFS('февраль 2024'!$G$6:$G$1413,'февраль 2024'!$D$6:$D$1413,$B171,'февраль 2024'!$J$6:$J$1413,Z$1)</f>
        <v>0</v>
      </c>
      <c r="AA171" s="80">
        <f>SUMIFS('февраль 2024'!$G$6:$G$1413,'февраль 2024'!$D$6:$D$1413,$B171,'февраль 2024'!$J$6:$J$1413,AA$1)</f>
        <v>0</v>
      </c>
      <c r="AB171" s="80">
        <f>SUMIFS('февраль 2024'!$G$6:$G$1413,'февраль 2024'!$D$6:$D$1413,$B171,'февраль 2024'!$J$6:$J$1413,AB$1)</f>
        <v>0</v>
      </c>
      <c r="AC171" s="80">
        <f>SUMIFS('февраль 2024'!$G$6:$G$1413,'февраль 2024'!$D$6:$D$1413,$B171,'февраль 2024'!$J$6:$J$1413,AC$1)</f>
        <v>0</v>
      </c>
      <c r="AD171" s="80">
        <f>SUMIFS('февраль 2024'!$G$6:$G$1413,'февраль 2024'!$D$6:$D$1413,$B171,'февраль 2024'!$J$6:$J$1413,AD$1)</f>
        <v>0</v>
      </c>
      <c r="AE171" s="80">
        <f>SUMIFS('февраль 2024'!$G$6:$G$1413,'февраль 2024'!$D$6:$D$1413,$B171,'февраль 2024'!$J$6:$J$1413,AE$1)</f>
        <v>0</v>
      </c>
      <c r="AF171" s="80">
        <f>SUMIFS('февраль 2024'!$G$6:$G$1413,'февраль 2024'!$D$6:$D$1413,$B171,'февраль 2024'!$J$6:$J$1413,AF$1)</f>
        <v>0</v>
      </c>
      <c r="AG171" s="80">
        <f>SUMIFS('февраль 2024'!$G$6:$G$1413,'февраль 2024'!$D$6:$D$1413,$B171,'февраль 2024'!$J$6:$J$1413,AG$1)</f>
        <v>0</v>
      </c>
      <c r="AH171" s="80">
        <f>SUMIFS('февраль 2024'!$G$6:$G$1413,'февраль 2024'!$D$6:$D$1413,$B171,'февраль 2024'!$J$6:$J$1413,AH$1)</f>
        <v>0</v>
      </c>
      <c r="AI171" s="87"/>
    </row>
    <row r="172" spans="2:35" ht="15" hidden="1" customHeight="1" x14ac:dyDescent="0.25">
      <c r="B172" s="93"/>
      <c r="C172" s="91"/>
      <c r="D172" s="80">
        <f>SUMIFS('февраль 2024'!$G$6:$G$1413,'февраль 2024'!$D$6:$D$1413,$B172,'февраль 2024'!$J$6:$J$1413,D$1)</f>
        <v>0</v>
      </c>
      <c r="E172" s="80">
        <f>SUMIFS('февраль 2024'!$G$6:$G$1413,'февраль 2024'!$D$6:$D$1413,$B172,'февраль 2024'!$J$6:$J$1413,E$1)</f>
        <v>0</v>
      </c>
      <c r="F172" s="80">
        <f>SUMIFS('февраль 2024'!$G$6:$G$1413,'февраль 2024'!$D$6:$D$1413,$B172,'февраль 2024'!$J$6:$J$1413,F$1)</f>
        <v>0</v>
      </c>
      <c r="G172" s="80">
        <f>SUMIFS('февраль 2024'!$G$6:$G$1413,'февраль 2024'!$D$6:$D$1413,$B172,'февраль 2024'!$J$6:$J$1413,G$1)</f>
        <v>0</v>
      </c>
      <c r="H172" s="80">
        <f>SUMIFS('февраль 2024'!$G$6:$G$1413,'февраль 2024'!$D$6:$D$1413,$B172,'февраль 2024'!$J$6:$J$1413,H$1)</f>
        <v>0</v>
      </c>
      <c r="I172" s="80">
        <f>SUMIFS('февраль 2024'!$G$6:$G$1413,'февраль 2024'!$D$6:$D$1413,$B172,'февраль 2024'!$J$6:$J$1413,I$1)</f>
        <v>0</v>
      </c>
      <c r="J172" s="80">
        <f>SUMIFS('февраль 2024'!$G$6:$G$1413,'февраль 2024'!$D$6:$D$1413,$B172,'февраль 2024'!$J$6:$J$1413,J$1)</f>
        <v>0</v>
      </c>
      <c r="K172" s="80">
        <f>SUMIFS('февраль 2024'!$G$6:$G$1413,'февраль 2024'!$D$6:$D$1413,$B172,'февраль 2024'!$J$6:$J$1413,K$1)</f>
        <v>0</v>
      </c>
      <c r="L172" s="80">
        <f>SUMIFS('февраль 2024'!$G$6:$G$1413,'февраль 2024'!$D$6:$D$1413,$B172,'февраль 2024'!$J$6:$J$1413,L$1)</f>
        <v>0</v>
      </c>
      <c r="M172" s="80">
        <f>SUMIFS('февраль 2024'!$G$6:$G$1413,'февраль 2024'!$D$6:$D$1413,$B172,'февраль 2024'!$J$6:$J$1413,M$1)</f>
        <v>0</v>
      </c>
      <c r="N172" s="80">
        <f>SUMIFS('февраль 2024'!$G$6:$G$1413,'февраль 2024'!$D$6:$D$1413,$B172,'февраль 2024'!$J$6:$J$1413,N$1)</f>
        <v>0</v>
      </c>
      <c r="O172" s="80">
        <f>SUMIFS('февраль 2024'!$G$6:$G$1413,'февраль 2024'!$D$6:$D$1413,$B172,'февраль 2024'!$J$6:$J$1413,O$1)</f>
        <v>0</v>
      </c>
      <c r="P172" s="80">
        <f>SUMIFS('февраль 2024'!$G$6:$G$1413,'февраль 2024'!$D$6:$D$1413,$B172,'февраль 2024'!$J$6:$J$1413,P$1)</f>
        <v>0</v>
      </c>
      <c r="Q172" s="80">
        <f>SUMIFS('февраль 2024'!$G$6:$G$1413,'февраль 2024'!$D$6:$D$1413,$B172,'февраль 2024'!$J$6:$J$1413,Q$1)</f>
        <v>0</v>
      </c>
      <c r="R172" s="80">
        <f>SUMIFS('февраль 2024'!$G$6:$G$1413,'февраль 2024'!$D$6:$D$1413,$B172,'февраль 2024'!$J$6:$J$1413,R$1)</f>
        <v>0</v>
      </c>
      <c r="S172" s="80">
        <f>SUMIFS('февраль 2024'!$G$6:$G$1413,'февраль 2024'!$D$6:$D$1413,$B172,'февраль 2024'!$J$6:$J$1413,S$1)</f>
        <v>0</v>
      </c>
      <c r="T172" s="80">
        <f>SUMIFS('февраль 2024'!$G$6:$G$1413,'февраль 2024'!$D$6:$D$1413,$B172,'февраль 2024'!$J$6:$J$1413,T$1)</f>
        <v>0</v>
      </c>
      <c r="U172" s="80">
        <f>SUMIFS('февраль 2024'!$G$6:$G$1413,'февраль 2024'!$D$6:$D$1413,$B172,'февраль 2024'!$J$6:$J$1413,U$1)</f>
        <v>0</v>
      </c>
      <c r="V172" s="80">
        <f>SUMIFS('февраль 2024'!$G$6:$G$1413,'февраль 2024'!$D$6:$D$1413,$B172,'февраль 2024'!$J$6:$J$1413,V$1)</f>
        <v>0</v>
      </c>
      <c r="W172" s="80">
        <f>SUMIFS('февраль 2024'!$G$6:$G$1413,'февраль 2024'!$D$6:$D$1413,$B172,'февраль 2024'!$J$6:$J$1413,W$1)</f>
        <v>0</v>
      </c>
      <c r="X172" s="80">
        <f>SUMIFS('февраль 2024'!$G$6:$G$1413,'февраль 2024'!$D$6:$D$1413,$B172,'февраль 2024'!$J$6:$J$1413,X$1)</f>
        <v>0</v>
      </c>
      <c r="Y172" s="80">
        <f>SUMIFS('февраль 2024'!$G$6:$G$1413,'февраль 2024'!$D$6:$D$1413,$B172,'февраль 2024'!$J$6:$J$1413,Y$1)</f>
        <v>0</v>
      </c>
      <c r="Z172" s="80">
        <f>SUMIFS('февраль 2024'!$G$6:$G$1413,'февраль 2024'!$D$6:$D$1413,$B172,'февраль 2024'!$J$6:$J$1413,Z$1)</f>
        <v>0</v>
      </c>
      <c r="AA172" s="80">
        <f>SUMIFS('февраль 2024'!$G$6:$G$1413,'февраль 2024'!$D$6:$D$1413,$B172,'февраль 2024'!$J$6:$J$1413,AA$1)</f>
        <v>0</v>
      </c>
      <c r="AB172" s="80">
        <f>SUMIFS('февраль 2024'!$G$6:$G$1413,'февраль 2024'!$D$6:$D$1413,$B172,'февраль 2024'!$J$6:$J$1413,AB$1)</f>
        <v>0</v>
      </c>
      <c r="AC172" s="80">
        <f>SUMIFS('февраль 2024'!$G$6:$G$1413,'февраль 2024'!$D$6:$D$1413,$B172,'февраль 2024'!$J$6:$J$1413,AC$1)</f>
        <v>0</v>
      </c>
      <c r="AD172" s="80">
        <f>SUMIFS('февраль 2024'!$G$6:$G$1413,'февраль 2024'!$D$6:$D$1413,$B172,'февраль 2024'!$J$6:$J$1413,AD$1)</f>
        <v>0</v>
      </c>
      <c r="AE172" s="80">
        <f>SUMIFS('февраль 2024'!$G$6:$G$1413,'февраль 2024'!$D$6:$D$1413,$B172,'февраль 2024'!$J$6:$J$1413,AE$1)</f>
        <v>0</v>
      </c>
      <c r="AF172" s="80">
        <f>SUMIFS('февраль 2024'!$G$6:$G$1413,'февраль 2024'!$D$6:$D$1413,$B172,'февраль 2024'!$J$6:$J$1413,AF$1)</f>
        <v>0</v>
      </c>
      <c r="AG172" s="80">
        <f>SUMIFS('февраль 2024'!$G$6:$G$1413,'февраль 2024'!$D$6:$D$1413,$B172,'февраль 2024'!$J$6:$J$1413,AG$1)</f>
        <v>0</v>
      </c>
      <c r="AH172" s="80">
        <f>SUMIFS('февраль 2024'!$G$6:$G$1413,'февраль 2024'!$D$6:$D$1413,$B172,'февраль 2024'!$J$6:$J$1413,AH$1)</f>
        <v>0</v>
      </c>
      <c r="AI172" s="87"/>
    </row>
    <row r="173" spans="2:35" ht="15" hidden="1" customHeight="1" x14ac:dyDescent="0.25">
      <c r="B173" s="89"/>
      <c r="C173" s="88"/>
      <c r="D173" s="80">
        <f>SUMIFS('февраль 2024'!$G$6:$G$1413,'февраль 2024'!$D$6:$D$1413,$B173,'февраль 2024'!$J$6:$J$1413,D$1)</f>
        <v>0</v>
      </c>
      <c r="E173" s="80">
        <f>SUMIFS('февраль 2024'!$G$6:$G$1413,'февраль 2024'!$D$6:$D$1413,$B173,'февраль 2024'!$J$6:$J$1413,E$1)</f>
        <v>0</v>
      </c>
      <c r="F173" s="80">
        <f>SUMIFS('февраль 2024'!$G$6:$G$1413,'февраль 2024'!$D$6:$D$1413,$B173,'февраль 2024'!$J$6:$J$1413,F$1)</f>
        <v>0</v>
      </c>
      <c r="G173" s="80">
        <f>SUMIFS('февраль 2024'!$G$6:$G$1413,'февраль 2024'!$D$6:$D$1413,$B173,'февраль 2024'!$J$6:$J$1413,G$1)</f>
        <v>0</v>
      </c>
      <c r="H173" s="80">
        <f>SUMIFS('февраль 2024'!$G$6:$G$1413,'февраль 2024'!$D$6:$D$1413,$B173,'февраль 2024'!$J$6:$J$1413,H$1)</f>
        <v>0</v>
      </c>
      <c r="I173" s="80">
        <f>SUMIFS('февраль 2024'!$G$6:$G$1413,'февраль 2024'!$D$6:$D$1413,$B173,'февраль 2024'!$J$6:$J$1413,I$1)</f>
        <v>0</v>
      </c>
      <c r="J173" s="80">
        <f>SUMIFS('февраль 2024'!$G$6:$G$1413,'февраль 2024'!$D$6:$D$1413,$B173,'февраль 2024'!$J$6:$J$1413,J$1)</f>
        <v>0</v>
      </c>
      <c r="K173" s="80">
        <f>SUMIFS('февраль 2024'!$G$6:$G$1413,'февраль 2024'!$D$6:$D$1413,$B173,'февраль 2024'!$J$6:$J$1413,K$1)</f>
        <v>0</v>
      </c>
      <c r="L173" s="80">
        <f>SUMIFS('февраль 2024'!$G$6:$G$1413,'февраль 2024'!$D$6:$D$1413,$B173,'февраль 2024'!$J$6:$J$1413,L$1)</f>
        <v>0</v>
      </c>
      <c r="M173" s="80">
        <f>SUMIFS('февраль 2024'!$G$6:$G$1413,'февраль 2024'!$D$6:$D$1413,$B173,'февраль 2024'!$J$6:$J$1413,M$1)</f>
        <v>0</v>
      </c>
      <c r="N173" s="80">
        <f>SUMIFS('февраль 2024'!$G$6:$G$1413,'февраль 2024'!$D$6:$D$1413,$B173,'февраль 2024'!$J$6:$J$1413,N$1)</f>
        <v>0</v>
      </c>
      <c r="O173" s="80">
        <f>SUMIFS('февраль 2024'!$G$6:$G$1413,'февраль 2024'!$D$6:$D$1413,$B173,'февраль 2024'!$J$6:$J$1413,O$1)</f>
        <v>0</v>
      </c>
      <c r="P173" s="80">
        <f>SUMIFS('февраль 2024'!$G$6:$G$1413,'февраль 2024'!$D$6:$D$1413,$B173,'февраль 2024'!$J$6:$J$1413,P$1)</f>
        <v>0</v>
      </c>
      <c r="Q173" s="80">
        <f>SUMIFS('февраль 2024'!$G$6:$G$1413,'февраль 2024'!$D$6:$D$1413,$B173,'февраль 2024'!$J$6:$J$1413,Q$1)</f>
        <v>0</v>
      </c>
      <c r="R173" s="80">
        <f>SUMIFS('февраль 2024'!$G$6:$G$1413,'февраль 2024'!$D$6:$D$1413,$B173,'февраль 2024'!$J$6:$J$1413,R$1)</f>
        <v>0</v>
      </c>
      <c r="S173" s="80">
        <f>SUMIFS('февраль 2024'!$G$6:$G$1413,'февраль 2024'!$D$6:$D$1413,$B173,'февраль 2024'!$J$6:$J$1413,S$1)</f>
        <v>0</v>
      </c>
      <c r="T173" s="80">
        <f>SUMIFS('февраль 2024'!$G$6:$G$1413,'февраль 2024'!$D$6:$D$1413,$B173,'февраль 2024'!$J$6:$J$1413,T$1)</f>
        <v>0</v>
      </c>
      <c r="U173" s="80">
        <f>SUMIFS('февраль 2024'!$G$6:$G$1413,'февраль 2024'!$D$6:$D$1413,$B173,'февраль 2024'!$J$6:$J$1413,U$1)</f>
        <v>0</v>
      </c>
      <c r="V173" s="80">
        <f>SUMIFS('февраль 2024'!$G$6:$G$1413,'февраль 2024'!$D$6:$D$1413,$B173,'февраль 2024'!$J$6:$J$1413,V$1)</f>
        <v>0</v>
      </c>
      <c r="W173" s="80">
        <f>SUMIFS('февраль 2024'!$G$6:$G$1413,'февраль 2024'!$D$6:$D$1413,$B173,'февраль 2024'!$J$6:$J$1413,W$1)</f>
        <v>0</v>
      </c>
      <c r="X173" s="80">
        <f>SUMIFS('февраль 2024'!$G$6:$G$1413,'февраль 2024'!$D$6:$D$1413,$B173,'февраль 2024'!$J$6:$J$1413,X$1)</f>
        <v>0</v>
      </c>
      <c r="Y173" s="80">
        <f>SUMIFS('февраль 2024'!$G$6:$G$1413,'февраль 2024'!$D$6:$D$1413,$B173,'февраль 2024'!$J$6:$J$1413,Y$1)</f>
        <v>0</v>
      </c>
      <c r="Z173" s="80">
        <f>SUMIFS('февраль 2024'!$G$6:$G$1413,'февраль 2024'!$D$6:$D$1413,$B173,'февраль 2024'!$J$6:$J$1413,Z$1)</f>
        <v>0</v>
      </c>
      <c r="AA173" s="80">
        <f>SUMIFS('февраль 2024'!$G$6:$G$1413,'февраль 2024'!$D$6:$D$1413,$B173,'февраль 2024'!$J$6:$J$1413,AA$1)</f>
        <v>0</v>
      </c>
      <c r="AB173" s="80">
        <f>SUMIFS('февраль 2024'!$G$6:$G$1413,'февраль 2024'!$D$6:$D$1413,$B173,'февраль 2024'!$J$6:$J$1413,AB$1)</f>
        <v>0</v>
      </c>
      <c r="AC173" s="80">
        <f>SUMIFS('февраль 2024'!$G$6:$G$1413,'февраль 2024'!$D$6:$D$1413,$B173,'февраль 2024'!$J$6:$J$1413,AC$1)</f>
        <v>0</v>
      </c>
      <c r="AD173" s="80">
        <f>SUMIFS('февраль 2024'!$G$6:$G$1413,'февраль 2024'!$D$6:$D$1413,$B173,'февраль 2024'!$J$6:$J$1413,AD$1)</f>
        <v>0</v>
      </c>
      <c r="AE173" s="80">
        <f>SUMIFS('февраль 2024'!$G$6:$G$1413,'февраль 2024'!$D$6:$D$1413,$B173,'февраль 2024'!$J$6:$J$1413,AE$1)</f>
        <v>0</v>
      </c>
      <c r="AF173" s="80">
        <f>SUMIFS('февраль 2024'!$G$6:$G$1413,'февраль 2024'!$D$6:$D$1413,$B173,'февраль 2024'!$J$6:$J$1413,AF$1)</f>
        <v>0</v>
      </c>
      <c r="AG173" s="80">
        <f>SUMIFS('февраль 2024'!$G$6:$G$1413,'февраль 2024'!$D$6:$D$1413,$B173,'февраль 2024'!$J$6:$J$1413,AG$1)</f>
        <v>0</v>
      </c>
      <c r="AH173" s="80">
        <f>SUMIFS('февраль 2024'!$G$6:$G$1413,'февраль 2024'!$D$6:$D$1413,$B173,'февраль 2024'!$J$6:$J$1413,AH$1)</f>
        <v>0</v>
      </c>
      <c r="AI173" s="87"/>
    </row>
    <row r="174" spans="2:35" ht="15" hidden="1" customHeight="1" x14ac:dyDescent="0.25">
      <c r="B174" s="89"/>
      <c r="C174" s="91"/>
      <c r="D174" s="80">
        <f>SUMIFS('февраль 2024'!$G$6:$G$1413,'февраль 2024'!$D$6:$D$1413,$B174,'февраль 2024'!$J$6:$J$1413,D$1)</f>
        <v>0</v>
      </c>
      <c r="E174" s="80">
        <f>SUMIFS('февраль 2024'!$G$6:$G$1413,'февраль 2024'!$D$6:$D$1413,$B174,'февраль 2024'!$J$6:$J$1413,E$1)</f>
        <v>0</v>
      </c>
      <c r="F174" s="80">
        <f>SUMIFS('февраль 2024'!$G$6:$G$1413,'февраль 2024'!$D$6:$D$1413,$B174,'февраль 2024'!$J$6:$J$1413,F$1)</f>
        <v>0</v>
      </c>
      <c r="G174" s="80">
        <f>SUMIFS('февраль 2024'!$G$6:$G$1413,'февраль 2024'!$D$6:$D$1413,$B174,'февраль 2024'!$J$6:$J$1413,G$1)</f>
        <v>0</v>
      </c>
      <c r="H174" s="80">
        <f>SUMIFS('февраль 2024'!$G$6:$G$1413,'февраль 2024'!$D$6:$D$1413,$B174,'февраль 2024'!$J$6:$J$1413,H$1)</f>
        <v>0</v>
      </c>
      <c r="I174" s="80">
        <f>SUMIFS('февраль 2024'!$G$6:$G$1413,'февраль 2024'!$D$6:$D$1413,$B174,'февраль 2024'!$J$6:$J$1413,I$1)</f>
        <v>0</v>
      </c>
      <c r="J174" s="80">
        <f>SUMIFS('февраль 2024'!$G$6:$G$1413,'февраль 2024'!$D$6:$D$1413,$B174,'февраль 2024'!$J$6:$J$1413,J$1)</f>
        <v>0</v>
      </c>
      <c r="K174" s="80">
        <f>SUMIFS('февраль 2024'!$G$6:$G$1413,'февраль 2024'!$D$6:$D$1413,$B174,'февраль 2024'!$J$6:$J$1413,K$1)</f>
        <v>0</v>
      </c>
      <c r="L174" s="80">
        <f>SUMIFS('февраль 2024'!$G$6:$G$1413,'февраль 2024'!$D$6:$D$1413,$B174,'февраль 2024'!$J$6:$J$1413,L$1)</f>
        <v>0</v>
      </c>
      <c r="M174" s="80">
        <f>SUMIFS('февраль 2024'!$G$6:$G$1413,'февраль 2024'!$D$6:$D$1413,$B174,'февраль 2024'!$J$6:$J$1413,M$1)</f>
        <v>0</v>
      </c>
      <c r="N174" s="80">
        <f>SUMIFS('февраль 2024'!$G$6:$G$1413,'февраль 2024'!$D$6:$D$1413,$B174,'февраль 2024'!$J$6:$J$1413,N$1)</f>
        <v>0</v>
      </c>
      <c r="O174" s="80">
        <f>SUMIFS('февраль 2024'!$G$6:$G$1413,'февраль 2024'!$D$6:$D$1413,$B174,'февраль 2024'!$J$6:$J$1413,O$1)</f>
        <v>0</v>
      </c>
      <c r="P174" s="80">
        <f>SUMIFS('февраль 2024'!$G$6:$G$1413,'февраль 2024'!$D$6:$D$1413,$B174,'февраль 2024'!$J$6:$J$1413,P$1)</f>
        <v>0</v>
      </c>
      <c r="Q174" s="80">
        <f>SUMIFS('февраль 2024'!$G$6:$G$1413,'февраль 2024'!$D$6:$D$1413,$B174,'февраль 2024'!$J$6:$J$1413,Q$1)</f>
        <v>0</v>
      </c>
      <c r="R174" s="80">
        <f>SUMIFS('февраль 2024'!$G$6:$G$1413,'февраль 2024'!$D$6:$D$1413,$B174,'февраль 2024'!$J$6:$J$1413,R$1)</f>
        <v>0</v>
      </c>
      <c r="S174" s="80">
        <f>SUMIFS('февраль 2024'!$G$6:$G$1413,'февраль 2024'!$D$6:$D$1413,$B174,'февраль 2024'!$J$6:$J$1413,S$1)</f>
        <v>0</v>
      </c>
      <c r="T174" s="80">
        <f>SUMIFS('февраль 2024'!$G$6:$G$1413,'февраль 2024'!$D$6:$D$1413,$B174,'февраль 2024'!$J$6:$J$1413,T$1)</f>
        <v>0</v>
      </c>
      <c r="U174" s="80">
        <f>SUMIFS('февраль 2024'!$G$6:$G$1413,'февраль 2024'!$D$6:$D$1413,$B174,'февраль 2024'!$J$6:$J$1413,U$1)</f>
        <v>0</v>
      </c>
      <c r="V174" s="80">
        <f>SUMIFS('февраль 2024'!$G$6:$G$1413,'февраль 2024'!$D$6:$D$1413,$B174,'февраль 2024'!$J$6:$J$1413,V$1)</f>
        <v>0</v>
      </c>
      <c r="W174" s="80">
        <f>SUMIFS('февраль 2024'!$G$6:$G$1413,'февраль 2024'!$D$6:$D$1413,$B174,'февраль 2024'!$J$6:$J$1413,W$1)</f>
        <v>0</v>
      </c>
      <c r="X174" s="80">
        <f>SUMIFS('февраль 2024'!$G$6:$G$1413,'февраль 2024'!$D$6:$D$1413,$B174,'февраль 2024'!$J$6:$J$1413,X$1)</f>
        <v>0</v>
      </c>
      <c r="Y174" s="80">
        <f>SUMIFS('февраль 2024'!$G$6:$G$1413,'февраль 2024'!$D$6:$D$1413,$B174,'февраль 2024'!$J$6:$J$1413,Y$1)</f>
        <v>0</v>
      </c>
      <c r="Z174" s="80">
        <f>SUMIFS('февраль 2024'!$G$6:$G$1413,'февраль 2024'!$D$6:$D$1413,$B174,'февраль 2024'!$J$6:$J$1413,Z$1)</f>
        <v>0</v>
      </c>
      <c r="AA174" s="80">
        <f>SUMIFS('февраль 2024'!$G$6:$G$1413,'февраль 2024'!$D$6:$D$1413,$B174,'февраль 2024'!$J$6:$J$1413,AA$1)</f>
        <v>0</v>
      </c>
      <c r="AB174" s="80">
        <f>SUMIFS('февраль 2024'!$G$6:$G$1413,'февраль 2024'!$D$6:$D$1413,$B174,'февраль 2024'!$J$6:$J$1413,AB$1)</f>
        <v>0</v>
      </c>
      <c r="AC174" s="80">
        <f>SUMIFS('февраль 2024'!$G$6:$G$1413,'февраль 2024'!$D$6:$D$1413,$B174,'февраль 2024'!$J$6:$J$1413,AC$1)</f>
        <v>0</v>
      </c>
      <c r="AD174" s="80">
        <f>SUMIFS('февраль 2024'!$G$6:$G$1413,'февраль 2024'!$D$6:$D$1413,$B174,'февраль 2024'!$J$6:$J$1413,AD$1)</f>
        <v>0</v>
      </c>
      <c r="AE174" s="80">
        <f>SUMIFS('февраль 2024'!$G$6:$G$1413,'февраль 2024'!$D$6:$D$1413,$B174,'февраль 2024'!$J$6:$J$1413,AE$1)</f>
        <v>0</v>
      </c>
      <c r="AF174" s="80">
        <f>SUMIFS('февраль 2024'!$G$6:$G$1413,'февраль 2024'!$D$6:$D$1413,$B174,'февраль 2024'!$J$6:$J$1413,AF$1)</f>
        <v>0</v>
      </c>
      <c r="AG174" s="80">
        <f>SUMIFS('февраль 2024'!$G$6:$G$1413,'февраль 2024'!$D$6:$D$1413,$B174,'февраль 2024'!$J$6:$J$1413,AG$1)</f>
        <v>0</v>
      </c>
      <c r="AH174" s="80">
        <f>SUMIFS('февраль 2024'!$G$6:$G$1413,'февраль 2024'!$D$6:$D$1413,$B174,'февраль 2024'!$J$6:$J$1413,AH$1)</f>
        <v>0</v>
      </c>
      <c r="AI174" s="87"/>
    </row>
    <row r="175" spans="2:35" ht="15" hidden="1" customHeight="1" x14ac:dyDescent="0.25">
      <c r="B175" s="89"/>
      <c r="C175" s="91"/>
      <c r="D175" s="80">
        <f>SUMIFS('февраль 2024'!$G$6:$G$1413,'февраль 2024'!$D$6:$D$1413,$B175,'февраль 2024'!$J$6:$J$1413,D$1)</f>
        <v>0</v>
      </c>
      <c r="E175" s="80">
        <f>SUMIFS('февраль 2024'!$G$6:$G$1413,'февраль 2024'!$D$6:$D$1413,$B175,'февраль 2024'!$J$6:$J$1413,E$1)</f>
        <v>0</v>
      </c>
      <c r="F175" s="80">
        <f>SUMIFS('февраль 2024'!$G$6:$G$1413,'февраль 2024'!$D$6:$D$1413,$B175,'февраль 2024'!$J$6:$J$1413,F$1)</f>
        <v>0</v>
      </c>
      <c r="G175" s="80">
        <f>SUMIFS('февраль 2024'!$G$6:$G$1413,'февраль 2024'!$D$6:$D$1413,$B175,'февраль 2024'!$J$6:$J$1413,G$1)</f>
        <v>0</v>
      </c>
      <c r="H175" s="80">
        <f>SUMIFS('февраль 2024'!$G$6:$G$1413,'февраль 2024'!$D$6:$D$1413,$B175,'февраль 2024'!$J$6:$J$1413,H$1)</f>
        <v>0</v>
      </c>
      <c r="I175" s="80">
        <f>SUMIFS('февраль 2024'!$G$6:$G$1413,'февраль 2024'!$D$6:$D$1413,$B175,'февраль 2024'!$J$6:$J$1413,I$1)</f>
        <v>0</v>
      </c>
      <c r="J175" s="80">
        <f>SUMIFS('февраль 2024'!$G$6:$G$1413,'февраль 2024'!$D$6:$D$1413,$B175,'февраль 2024'!$J$6:$J$1413,J$1)</f>
        <v>0</v>
      </c>
      <c r="K175" s="80">
        <f>SUMIFS('февраль 2024'!$G$6:$G$1413,'февраль 2024'!$D$6:$D$1413,$B175,'февраль 2024'!$J$6:$J$1413,K$1)</f>
        <v>0</v>
      </c>
      <c r="L175" s="80">
        <f>SUMIFS('февраль 2024'!$G$6:$G$1413,'февраль 2024'!$D$6:$D$1413,$B175,'февраль 2024'!$J$6:$J$1413,L$1)</f>
        <v>0</v>
      </c>
      <c r="M175" s="80">
        <f>SUMIFS('февраль 2024'!$G$6:$G$1413,'февраль 2024'!$D$6:$D$1413,$B175,'февраль 2024'!$J$6:$J$1413,M$1)</f>
        <v>0</v>
      </c>
      <c r="N175" s="80">
        <f>SUMIFS('февраль 2024'!$G$6:$G$1413,'февраль 2024'!$D$6:$D$1413,$B175,'февраль 2024'!$J$6:$J$1413,N$1)</f>
        <v>0</v>
      </c>
      <c r="O175" s="80">
        <f>SUMIFS('февраль 2024'!$G$6:$G$1413,'февраль 2024'!$D$6:$D$1413,$B175,'февраль 2024'!$J$6:$J$1413,O$1)</f>
        <v>0</v>
      </c>
      <c r="P175" s="80">
        <f>SUMIFS('февраль 2024'!$G$6:$G$1413,'февраль 2024'!$D$6:$D$1413,$B175,'февраль 2024'!$J$6:$J$1413,P$1)</f>
        <v>0</v>
      </c>
      <c r="Q175" s="80">
        <f>SUMIFS('февраль 2024'!$G$6:$G$1413,'февраль 2024'!$D$6:$D$1413,$B175,'февраль 2024'!$J$6:$J$1413,Q$1)</f>
        <v>0</v>
      </c>
      <c r="R175" s="80">
        <f>SUMIFS('февраль 2024'!$G$6:$G$1413,'февраль 2024'!$D$6:$D$1413,$B175,'февраль 2024'!$J$6:$J$1413,R$1)</f>
        <v>0</v>
      </c>
      <c r="S175" s="80">
        <f>SUMIFS('февраль 2024'!$G$6:$G$1413,'февраль 2024'!$D$6:$D$1413,$B175,'февраль 2024'!$J$6:$J$1413,S$1)</f>
        <v>0</v>
      </c>
      <c r="T175" s="80">
        <f>SUMIFS('февраль 2024'!$G$6:$G$1413,'февраль 2024'!$D$6:$D$1413,$B175,'февраль 2024'!$J$6:$J$1413,T$1)</f>
        <v>0</v>
      </c>
      <c r="U175" s="80">
        <f>SUMIFS('февраль 2024'!$G$6:$G$1413,'февраль 2024'!$D$6:$D$1413,$B175,'февраль 2024'!$J$6:$J$1413,U$1)</f>
        <v>0</v>
      </c>
      <c r="V175" s="80">
        <f>SUMIFS('февраль 2024'!$G$6:$G$1413,'февраль 2024'!$D$6:$D$1413,$B175,'февраль 2024'!$J$6:$J$1413,V$1)</f>
        <v>0</v>
      </c>
      <c r="W175" s="80">
        <f>SUMIFS('февраль 2024'!$G$6:$G$1413,'февраль 2024'!$D$6:$D$1413,$B175,'февраль 2024'!$J$6:$J$1413,W$1)</f>
        <v>0</v>
      </c>
      <c r="X175" s="80">
        <f>SUMIFS('февраль 2024'!$G$6:$G$1413,'февраль 2024'!$D$6:$D$1413,$B175,'февраль 2024'!$J$6:$J$1413,X$1)</f>
        <v>0</v>
      </c>
      <c r="Y175" s="80">
        <f>SUMIFS('февраль 2024'!$G$6:$G$1413,'февраль 2024'!$D$6:$D$1413,$B175,'февраль 2024'!$J$6:$J$1413,Y$1)</f>
        <v>0</v>
      </c>
      <c r="Z175" s="80">
        <f>SUMIFS('февраль 2024'!$G$6:$G$1413,'февраль 2024'!$D$6:$D$1413,$B175,'февраль 2024'!$J$6:$J$1413,Z$1)</f>
        <v>0</v>
      </c>
      <c r="AA175" s="80">
        <f>SUMIFS('февраль 2024'!$G$6:$G$1413,'февраль 2024'!$D$6:$D$1413,$B175,'февраль 2024'!$J$6:$J$1413,AA$1)</f>
        <v>0</v>
      </c>
      <c r="AB175" s="80">
        <f>SUMIFS('февраль 2024'!$G$6:$G$1413,'февраль 2024'!$D$6:$D$1413,$B175,'февраль 2024'!$J$6:$J$1413,AB$1)</f>
        <v>0</v>
      </c>
      <c r="AC175" s="80">
        <f>SUMIFS('февраль 2024'!$G$6:$G$1413,'февраль 2024'!$D$6:$D$1413,$B175,'февраль 2024'!$J$6:$J$1413,AC$1)</f>
        <v>0</v>
      </c>
      <c r="AD175" s="80">
        <f>SUMIFS('февраль 2024'!$G$6:$G$1413,'февраль 2024'!$D$6:$D$1413,$B175,'февраль 2024'!$J$6:$J$1413,AD$1)</f>
        <v>0</v>
      </c>
      <c r="AE175" s="80">
        <f>SUMIFS('февраль 2024'!$G$6:$G$1413,'февраль 2024'!$D$6:$D$1413,$B175,'февраль 2024'!$J$6:$J$1413,AE$1)</f>
        <v>0</v>
      </c>
      <c r="AF175" s="80">
        <f>SUMIFS('февраль 2024'!$G$6:$G$1413,'февраль 2024'!$D$6:$D$1413,$B175,'февраль 2024'!$J$6:$J$1413,AF$1)</f>
        <v>0</v>
      </c>
      <c r="AG175" s="80">
        <f>SUMIFS('февраль 2024'!$G$6:$G$1413,'февраль 2024'!$D$6:$D$1413,$B175,'февраль 2024'!$J$6:$J$1413,AG$1)</f>
        <v>0</v>
      </c>
      <c r="AH175" s="80">
        <f>SUMIFS('февраль 2024'!$G$6:$G$1413,'февраль 2024'!$D$6:$D$1413,$B175,'февраль 2024'!$J$6:$J$1413,AH$1)</f>
        <v>0</v>
      </c>
      <c r="AI175" s="87"/>
    </row>
    <row r="176" spans="2:35" ht="15" hidden="1" customHeight="1" x14ac:dyDescent="0.25">
      <c r="B176" s="89"/>
      <c r="C176" s="91"/>
      <c r="D176" s="80">
        <f>SUMIFS('февраль 2024'!$G$6:$G$1413,'февраль 2024'!$D$6:$D$1413,$B176,'февраль 2024'!$J$6:$J$1413,D$1)</f>
        <v>0</v>
      </c>
      <c r="E176" s="80">
        <f>SUMIFS('февраль 2024'!$G$6:$G$1413,'февраль 2024'!$D$6:$D$1413,$B176,'февраль 2024'!$J$6:$J$1413,E$1)</f>
        <v>0</v>
      </c>
      <c r="F176" s="80">
        <f>SUMIFS('февраль 2024'!$G$6:$G$1413,'февраль 2024'!$D$6:$D$1413,$B176,'февраль 2024'!$J$6:$J$1413,F$1)</f>
        <v>0</v>
      </c>
      <c r="G176" s="80">
        <f>SUMIFS('февраль 2024'!$G$6:$G$1413,'февраль 2024'!$D$6:$D$1413,$B176,'февраль 2024'!$J$6:$J$1413,G$1)</f>
        <v>0</v>
      </c>
      <c r="H176" s="80">
        <f>SUMIFS('февраль 2024'!$G$6:$G$1413,'февраль 2024'!$D$6:$D$1413,$B176,'февраль 2024'!$J$6:$J$1413,H$1)</f>
        <v>0</v>
      </c>
      <c r="I176" s="80">
        <f>SUMIFS('февраль 2024'!$G$6:$G$1413,'февраль 2024'!$D$6:$D$1413,$B176,'февраль 2024'!$J$6:$J$1413,I$1)</f>
        <v>0</v>
      </c>
      <c r="J176" s="80">
        <f>SUMIFS('февраль 2024'!$G$6:$G$1413,'февраль 2024'!$D$6:$D$1413,$B176,'февраль 2024'!$J$6:$J$1413,J$1)</f>
        <v>0</v>
      </c>
      <c r="K176" s="80">
        <f>SUMIFS('февраль 2024'!$G$6:$G$1413,'февраль 2024'!$D$6:$D$1413,$B176,'февраль 2024'!$J$6:$J$1413,K$1)</f>
        <v>0</v>
      </c>
      <c r="L176" s="80">
        <f>SUMIFS('февраль 2024'!$G$6:$G$1413,'февраль 2024'!$D$6:$D$1413,$B176,'февраль 2024'!$J$6:$J$1413,L$1)</f>
        <v>0</v>
      </c>
      <c r="M176" s="80">
        <f>SUMIFS('февраль 2024'!$G$6:$G$1413,'февраль 2024'!$D$6:$D$1413,$B176,'февраль 2024'!$J$6:$J$1413,M$1)</f>
        <v>0</v>
      </c>
      <c r="N176" s="80">
        <f>SUMIFS('февраль 2024'!$G$6:$G$1413,'февраль 2024'!$D$6:$D$1413,$B176,'февраль 2024'!$J$6:$J$1413,N$1)</f>
        <v>0</v>
      </c>
      <c r="O176" s="80">
        <f>SUMIFS('февраль 2024'!$G$6:$G$1413,'февраль 2024'!$D$6:$D$1413,$B176,'февраль 2024'!$J$6:$J$1413,O$1)</f>
        <v>0</v>
      </c>
      <c r="P176" s="80">
        <f>SUMIFS('февраль 2024'!$G$6:$G$1413,'февраль 2024'!$D$6:$D$1413,$B176,'февраль 2024'!$J$6:$J$1413,P$1)</f>
        <v>0</v>
      </c>
      <c r="Q176" s="80">
        <f>SUMIFS('февраль 2024'!$G$6:$G$1413,'февраль 2024'!$D$6:$D$1413,$B176,'февраль 2024'!$J$6:$J$1413,Q$1)</f>
        <v>0</v>
      </c>
      <c r="R176" s="80">
        <f>SUMIFS('февраль 2024'!$G$6:$G$1413,'февраль 2024'!$D$6:$D$1413,$B176,'февраль 2024'!$J$6:$J$1413,R$1)</f>
        <v>0</v>
      </c>
      <c r="S176" s="80">
        <f>SUMIFS('февраль 2024'!$G$6:$G$1413,'февраль 2024'!$D$6:$D$1413,$B176,'февраль 2024'!$J$6:$J$1413,S$1)</f>
        <v>0</v>
      </c>
      <c r="T176" s="80">
        <f>SUMIFS('февраль 2024'!$G$6:$G$1413,'февраль 2024'!$D$6:$D$1413,$B176,'февраль 2024'!$J$6:$J$1413,T$1)</f>
        <v>0</v>
      </c>
      <c r="U176" s="80">
        <f>SUMIFS('февраль 2024'!$G$6:$G$1413,'февраль 2024'!$D$6:$D$1413,$B176,'февраль 2024'!$J$6:$J$1413,U$1)</f>
        <v>0</v>
      </c>
      <c r="V176" s="80">
        <f>SUMIFS('февраль 2024'!$G$6:$G$1413,'февраль 2024'!$D$6:$D$1413,$B176,'февраль 2024'!$J$6:$J$1413,V$1)</f>
        <v>0</v>
      </c>
      <c r="W176" s="80">
        <f>SUMIFS('февраль 2024'!$G$6:$G$1413,'февраль 2024'!$D$6:$D$1413,$B176,'февраль 2024'!$J$6:$J$1413,W$1)</f>
        <v>0</v>
      </c>
      <c r="X176" s="80">
        <f>SUMIFS('февраль 2024'!$G$6:$G$1413,'февраль 2024'!$D$6:$D$1413,$B176,'февраль 2024'!$J$6:$J$1413,X$1)</f>
        <v>0</v>
      </c>
      <c r="Y176" s="80">
        <f>SUMIFS('февраль 2024'!$G$6:$G$1413,'февраль 2024'!$D$6:$D$1413,$B176,'февраль 2024'!$J$6:$J$1413,Y$1)</f>
        <v>0</v>
      </c>
      <c r="Z176" s="80">
        <f>SUMIFS('февраль 2024'!$G$6:$G$1413,'февраль 2024'!$D$6:$D$1413,$B176,'февраль 2024'!$J$6:$J$1413,Z$1)</f>
        <v>0</v>
      </c>
      <c r="AA176" s="80">
        <f>SUMIFS('февраль 2024'!$G$6:$G$1413,'февраль 2024'!$D$6:$D$1413,$B176,'февраль 2024'!$J$6:$J$1413,AA$1)</f>
        <v>0</v>
      </c>
      <c r="AB176" s="80">
        <f>SUMIFS('февраль 2024'!$G$6:$G$1413,'февраль 2024'!$D$6:$D$1413,$B176,'февраль 2024'!$J$6:$J$1413,AB$1)</f>
        <v>0</v>
      </c>
      <c r="AC176" s="80">
        <f>SUMIFS('февраль 2024'!$G$6:$G$1413,'февраль 2024'!$D$6:$D$1413,$B176,'февраль 2024'!$J$6:$J$1413,AC$1)</f>
        <v>0</v>
      </c>
      <c r="AD176" s="80">
        <f>SUMIFS('февраль 2024'!$G$6:$G$1413,'февраль 2024'!$D$6:$D$1413,$B176,'февраль 2024'!$J$6:$J$1413,AD$1)</f>
        <v>0</v>
      </c>
      <c r="AE176" s="80">
        <f>SUMIFS('февраль 2024'!$G$6:$G$1413,'февраль 2024'!$D$6:$D$1413,$B176,'февраль 2024'!$J$6:$J$1413,AE$1)</f>
        <v>0</v>
      </c>
      <c r="AF176" s="80">
        <f>SUMIFS('февраль 2024'!$G$6:$G$1413,'февраль 2024'!$D$6:$D$1413,$B176,'февраль 2024'!$J$6:$J$1413,AF$1)</f>
        <v>0</v>
      </c>
      <c r="AG176" s="80">
        <f>SUMIFS('февраль 2024'!$G$6:$G$1413,'февраль 2024'!$D$6:$D$1413,$B176,'февраль 2024'!$J$6:$J$1413,AG$1)</f>
        <v>0</v>
      </c>
      <c r="AH176" s="80">
        <f>SUMIFS('февраль 2024'!$G$6:$G$1413,'февраль 2024'!$D$6:$D$1413,$B176,'февраль 2024'!$J$6:$J$1413,AH$1)</f>
        <v>0</v>
      </c>
      <c r="AI176" s="87"/>
    </row>
    <row r="177" spans="2:35" ht="15" hidden="1" customHeight="1" x14ac:dyDescent="0.25">
      <c r="B177" s="89"/>
      <c r="C177" s="91"/>
      <c r="D177" s="80">
        <f>SUMIFS('февраль 2024'!$G$6:$G$1413,'февраль 2024'!$D$6:$D$1413,$B177,'февраль 2024'!$J$6:$J$1413,D$1)</f>
        <v>0</v>
      </c>
      <c r="E177" s="80">
        <f>SUMIFS('февраль 2024'!$G$6:$G$1413,'февраль 2024'!$D$6:$D$1413,$B177,'февраль 2024'!$J$6:$J$1413,E$1)</f>
        <v>0</v>
      </c>
      <c r="F177" s="80">
        <f>SUMIFS('февраль 2024'!$G$6:$G$1413,'февраль 2024'!$D$6:$D$1413,$B177,'февраль 2024'!$J$6:$J$1413,F$1)</f>
        <v>0</v>
      </c>
      <c r="G177" s="80">
        <f>SUMIFS('февраль 2024'!$G$6:$G$1413,'февраль 2024'!$D$6:$D$1413,$B177,'февраль 2024'!$J$6:$J$1413,G$1)</f>
        <v>0</v>
      </c>
      <c r="H177" s="80">
        <f>SUMIFS('февраль 2024'!$G$6:$G$1413,'февраль 2024'!$D$6:$D$1413,$B177,'февраль 2024'!$J$6:$J$1413,H$1)</f>
        <v>0</v>
      </c>
      <c r="I177" s="80">
        <f>SUMIFS('февраль 2024'!$G$6:$G$1413,'февраль 2024'!$D$6:$D$1413,$B177,'февраль 2024'!$J$6:$J$1413,I$1)</f>
        <v>0</v>
      </c>
      <c r="J177" s="80">
        <f>SUMIFS('февраль 2024'!$G$6:$G$1413,'февраль 2024'!$D$6:$D$1413,$B177,'февраль 2024'!$J$6:$J$1413,J$1)</f>
        <v>0</v>
      </c>
      <c r="K177" s="80">
        <f>SUMIFS('февраль 2024'!$G$6:$G$1413,'февраль 2024'!$D$6:$D$1413,$B177,'февраль 2024'!$J$6:$J$1413,K$1)</f>
        <v>0</v>
      </c>
      <c r="L177" s="80">
        <f>SUMIFS('февраль 2024'!$G$6:$G$1413,'февраль 2024'!$D$6:$D$1413,$B177,'февраль 2024'!$J$6:$J$1413,L$1)</f>
        <v>0</v>
      </c>
      <c r="M177" s="80">
        <f>SUMIFS('февраль 2024'!$G$6:$G$1413,'февраль 2024'!$D$6:$D$1413,$B177,'февраль 2024'!$J$6:$J$1413,M$1)</f>
        <v>0</v>
      </c>
      <c r="N177" s="80">
        <f>SUMIFS('февраль 2024'!$G$6:$G$1413,'февраль 2024'!$D$6:$D$1413,$B177,'февраль 2024'!$J$6:$J$1413,N$1)</f>
        <v>0</v>
      </c>
      <c r="O177" s="80">
        <f>SUMIFS('февраль 2024'!$G$6:$G$1413,'февраль 2024'!$D$6:$D$1413,$B177,'февраль 2024'!$J$6:$J$1413,O$1)</f>
        <v>0</v>
      </c>
      <c r="P177" s="80">
        <f>SUMIFS('февраль 2024'!$G$6:$G$1413,'февраль 2024'!$D$6:$D$1413,$B177,'февраль 2024'!$J$6:$J$1413,P$1)</f>
        <v>0</v>
      </c>
      <c r="Q177" s="80">
        <f>SUMIFS('февраль 2024'!$G$6:$G$1413,'февраль 2024'!$D$6:$D$1413,$B177,'февраль 2024'!$J$6:$J$1413,Q$1)</f>
        <v>0</v>
      </c>
      <c r="R177" s="80">
        <f>SUMIFS('февраль 2024'!$G$6:$G$1413,'февраль 2024'!$D$6:$D$1413,$B177,'февраль 2024'!$J$6:$J$1413,R$1)</f>
        <v>0</v>
      </c>
      <c r="S177" s="80">
        <f>SUMIFS('февраль 2024'!$G$6:$G$1413,'февраль 2024'!$D$6:$D$1413,$B177,'февраль 2024'!$J$6:$J$1413,S$1)</f>
        <v>0</v>
      </c>
      <c r="T177" s="80">
        <f>SUMIFS('февраль 2024'!$G$6:$G$1413,'февраль 2024'!$D$6:$D$1413,$B177,'февраль 2024'!$J$6:$J$1413,T$1)</f>
        <v>0</v>
      </c>
      <c r="U177" s="80">
        <f>SUMIFS('февраль 2024'!$G$6:$G$1413,'февраль 2024'!$D$6:$D$1413,$B177,'февраль 2024'!$J$6:$J$1413,U$1)</f>
        <v>0</v>
      </c>
      <c r="V177" s="80">
        <f>SUMIFS('февраль 2024'!$G$6:$G$1413,'февраль 2024'!$D$6:$D$1413,$B177,'февраль 2024'!$J$6:$J$1413,V$1)</f>
        <v>0</v>
      </c>
      <c r="W177" s="80">
        <f>SUMIFS('февраль 2024'!$G$6:$G$1413,'февраль 2024'!$D$6:$D$1413,$B177,'февраль 2024'!$J$6:$J$1413,W$1)</f>
        <v>0</v>
      </c>
      <c r="X177" s="80">
        <f>SUMIFS('февраль 2024'!$G$6:$G$1413,'февраль 2024'!$D$6:$D$1413,$B177,'февраль 2024'!$J$6:$J$1413,X$1)</f>
        <v>0</v>
      </c>
      <c r="Y177" s="80">
        <f>SUMIFS('февраль 2024'!$G$6:$G$1413,'февраль 2024'!$D$6:$D$1413,$B177,'февраль 2024'!$J$6:$J$1413,Y$1)</f>
        <v>0</v>
      </c>
      <c r="Z177" s="80">
        <f>SUMIFS('февраль 2024'!$G$6:$G$1413,'февраль 2024'!$D$6:$D$1413,$B177,'февраль 2024'!$J$6:$J$1413,Z$1)</f>
        <v>0</v>
      </c>
      <c r="AA177" s="80">
        <f>SUMIFS('февраль 2024'!$G$6:$G$1413,'февраль 2024'!$D$6:$D$1413,$B177,'февраль 2024'!$J$6:$J$1413,AA$1)</f>
        <v>0</v>
      </c>
      <c r="AB177" s="80">
        <f>SUMIFS('февраль 2024'!$G$6:$G$1413,'февраль 2024'!$D$6:$D$1413,$B177,'февраль 2024'!$J$6:$J$1413,AB$1)</f>
        <v>0</v>
      </c>
      <c r="AC177" s="80">
        <f>SUMIFS('февраль 2024'!$G$6:$G$1413,'февраль 2024'!$D$6:$D$1413,$B177,'февраль 2024'!$J$6:$J$1413,AC$1)</f>
        <v>0</v>
      </c>
      <c r="AD177" s="80">
        <f>SUMIFS('февраль 2024'!$G$6:$G$1413,'февраль 2024'!$D$6:$D$1413,$B177,'февраль 2024'!$J$6:$J$1413,AD$1)</f>
        <v>0</v>
      </c>
      <c r="AE177" s="80">
        <f>SUMIFS('февраль 2024'!$G$6:$G$1413,'февраль 2024'!$D$6:$D$1413,$B177,'февраль 2024'!$J$6:$J$1413,AE$1)</f>
        <v>0</v>
      </c>
      <c r="AF177" s="80">
        <f>SUMIFS('февраль 2024'!$G$6:$G$1413,'февраль 2024'!$D$6:$D$1413,$B177,'февраль 2024'!$J$6:$J$1413,AF$1)</f>
        <v>0</v>
      </c>
      <c r="AG177" s="80">
        <f>SUMIFS('февраль 2024'!$G$6:$G$1413,'февраль 2024'!$D$6:$D$1413,$B177,'февраль 2024'!$J$6:$J$1413,AG$1)</f>
        <v>0</v>
      </c>
      <c r="AH177" s="80">
        <f>SUMIFS('февраль 2024'!$G$6:$G$1413,'февраль 2024'!$D$6:$D$1413,$B177,'февраль 2024'!$J$6:$J$1413,AH$1)</f>
        <v>0</v>
      </c>
      <c r="AI177" s="87"/>
    </row>
    <row r="178" spans="2:35" ht="15" hidden="1" customHeight="1" x14ac:dyDescent="0.25">
      <c r="B178" s="89"/>
      <c r="C178" s="91"/>
      <c r="D178" s="80">
        <f>SUMIFS('февраль 2024'!$G$6:$G$1413,'февраль 2024'!$D$6:$D$1413,$B178,'февраль 2024'!$J$6:$J$1413,D$1)</f>
        <v>0</v>
      </c>
      <c r="E178" s="80">
        <f>SUMIFS('февраль 2024'!$G$6:$G$1413,'февраль 2024'!$D$6:$D$1413,$B178,'февраль 2024'!$J$6:$J$1413,E$1)</f>
        <v>0</v>
      </c>
      <c r="F178" s="80">
        <f>SUMIFS('февраль 2024'!$G$6:$G$1413,'февраль 2024'!$D$6:$D$1413,$B178,'февраль 2024'!$J$6:$J$1413,F$1)</f>
        <v>0</v>
      </c>
      <c r="G178" s="80">
        <f>SUMIFS('февраль 2024'!$G$6:$G$1413,'февраль 2024'!$D$6:$D$1413,$B178,'февраль 2024'!$J$6:$J$1413,G$1)</f>
        <v>0</v>
      </c>
      <c r="H178" s="80">
        <f>SUMIFS('февраль 2024'!$G$6:$G$1413,'февраль 2024'!$D$6:$D$1413,$B178,'февраль 2024'!$J$6:$J$1413,H$1)</f>
        <v>0</v>
      </c>
      <c r="I178" s="80">
        <f>SUMIFS('февраль 2024'!$G$6:$G$1413,'февраль 2024'!$D$6:$D$1413,$B178,'февраль 2024'!$J$6:$J$1413,I$1)</f>
        <v>0</v>
      </c>
      <c r="J178" s="80">
        <f>SUMIFS('февраль 2024'!$G$6:$G$1413,'февраль 2024'!$D$6:$D$1413,$B178,'февраль 2024'!$J$6:$J$1413,J$1)</f>
        <v>0</v>
      </c>
      <c r="K178" s="80">
        <f>SUMIFS('февраль 2024'!$G$6:$G$1413,'февраль 2024'!$D$6:$D$1413,$B178,'февраль 2024'!$J$6:$J$1413,K$1)</f>
        <v>0</v>
      </c>
      <c r="L178" s="80">
        <f>SUMIFS('февраль 2024'!$G$6:$G$1413,'февраль 2024'!$D$6:$D$1413,$B178,'февраль 2024'!$J$6:$J$1413,L$1)</f>
        <v>0</v>
      </c>
      <c r="M178" s="80">
        <f>SUMIFS('февраль 2024'!$G$6:$G$1413,'февраль 2024'!$D$6:$D$1413,$B178,'февраль 2024'!$J$6:$J$1413,M$1)</f>
        <v>0</v>
      </c>
      <c r="N178" s="80">
        <f>SUMIFS('февраль 2024'!$G$6:$G$1413,'февраль 2024'!$D$6:$D$1413,$B178,'февраль 2024'!$J$6:$J$1413,N$1)</f>
        <v>0</v>
      </c>
      <c r="O178" s="80">
        <f>SUMIFS('февраль 2024'!$G$6:$G$1413,'февраль 2024'!$D$6:$D$1413,$B178,'февраль 2024'!$J$6:$J$1413,O$1)</f>
        <v>0</v>
      </c>
      <c r="P178" s="80">
        <f>SUMIFS('февраль 2024'!$G$6:$G$1413,'февраль 2024'!$D$6:$D$1413,$B178,'февраль 2024'!$J$6:$J$1413,P$1)</f>
        <v>0</v>
      </c>
      <c r="Q178" s="80">
        <f>SUMIFS('февраль 2024'!$G$6:$G$1413,'февраль 2024'!$D$6:$D$1413,$B178,'февраль 2024'!$J$6:$J$1413,Q$1)</f>
        <v>0</v>
      </c>
      <c r="R178" s="80">
        <f>SUMIFS('февраль 2024'!$G$6:$G$1413,'февраль 2024'!$D$6:$D$1413,$B178,'февраль 2024'!$J$6:$J$1413,R$1)</f>
        <v>0</v>
      </c>
      <c r="S178" s="80">
        <f>SUMIFS('февраль 2024'!$G$6:$G$1413,'февраль 2024'!$D$6:$D$1413,$B178,'февраль 2024'!$J$6:$J$1413,S$1)</f>
        <v>0</v>
      </c>
      <c r="T178" s="80">
        <f>SUMIFS('февраль 2024'!$G$6:$G$1413,'февраль 2024'!$D$6:$D$1413,$B178,'февраль 2024'!$J$6:$J$1413,T$1)</f>
        <v>0</v>
      </c>
      <c r="U178" s="80">
        <f>SUMIFS('февраль 2024'!$G$6:$G$1413,'февраль 2024'!$D$6:$D$1413,$B178,'февраль 2024'!$J$6:$J$1413,U$1)</f>
        <v>0</v>
      </c>
      <c r="V178" s="80">
        <f>SUMIFS('февраль 2024'!$G$6:$G$1413,'февраль 2024'!$D$6:$D$1413,$B178,'февраль 2024'!$J$6:$J$1413,V$1)</f>
        <v>0</v>
      </c>
      <c r="W178" s="80">
        <f>SUMIFS('февраль 2024'!$G$6:$G$1413,'февраль 2024'!$D$6:$D$1413,$B178,'февраль 2024'!$J$6:$J$1413,W$1)</f>
        <v>0</v>
      </c>
      <c r="X178" s="80">
        <f>SUMIFS('февраль 2024'!$G$6:$G$1413,'февраль 2024'!$D$6:$D$1413,$B178,'февраль 2024'!$J$6:$J$1413,X$1)</f>
        <v>0</v>
      </c>
      <c r="Y178" s="80">
        <f>SUMIFS('февраль 2024'!$G$6:$G$1413,'февраль 2024'!$D$6:$D$1413,$B178,'февраль 2024'!$J$6:$J$1413,Y$1)</f>
        <v>0</v>
      </c>
      <c r="Z178" s="80">
        <f>SUMIFS('февраль 2024'!$G$6:$G$1413,'февраль 2024'!$D$6:$D$1413,$B178,'февраль 2024'!$J$6:$J$1413,Z$1)</f>
        <v>0</v>
      </c>
      <c r="AA178" s="80">
        <f>SUMIFS('февраль 2024'!$G$6:$G$1413,'февраль 2024'!$D$6:$D$1413,$B178,'февраль 2024'!$J$6:$J$1413,AA$1)</f>
        <v>0</v>
      </c>
      <c r="AB178" s="80">
        <f>SUMIFS('февраль 2024'!$G$6:$G$1413,'февраль 2024'!$D$6:$D$1413,$B178,'февраль 2024'!$J$6:$J$1413,AB$1)</f>
        <v>0</v>
      </c>
      <c r="AC178" s="80">
        <f>SUMIFS('февраль 2024'!$G$6:$G$1413,'февраль 2024'!$D$6:$D$1413,$B178,'февраль 2024'!$J$6:$J$1413,AC$1)</f>
        <v>0</v>
      </c>
      <c r="AD178" s="80">
        <f>SUMIFS('февраль 2024'!$G$6:$G$1413,'февраль 2024'!$D$6:$D$1413,$B178,'февраль 2024'!$J$6:$J$1413,AD$1)</f>
        <v>0</v>
      </c>
      <c r="AE178" s="80">
        <f>SUMIFS('февраль 2024'!$G$6:$G$1413,'февраль 2024'!$D$6:$D$1413,$B178,'февраль 2024'!$J$6:$J$1413,AE$1)</f>
        <v>0</v>
      </c>
      <c r="AF178" s="80">
        <f>SUMIFS('февраль 2024'!$G$6:$G$1413,'февраль 2024'!$D$6:$D$1413,$B178,'февраль 2024'!$J$6:$J$1413,AF$1)</f>
        <v>0</v>
      </c>
      <c r="AG178" s="80">
        <f>SUMIFS('февраль 2024'!$G$6:$G$1413,'февраль 2024'!$D$6:$D$1413,$B178,'февраль 2024'!$J$6:$J$1413,AG$1)</f>
        <v>0</v>
      </c>
      <c r="AH178" s="80">
        <f>SUMIFS('февраль 2024'!$G$6:$G$1413,'февраль 2024'!$D$6:$D$1413,$B178,'февраль 2024'!$J$6:$J$1413,AH$1)</f>
        <v>0</v>
      </c>
      <c r="AI178" s="87"/>
    </row>
    <row r="179" spans="2:35" ht="15" hidden="1" customHeight="1" x14ac:dyDescent="0.25">
      <c r="B179" s="89"/>
      <c r="C179" s="88"/>
      <c r="D179" s="80">
        <f>SUMIFS('февраль 2024'!$G$6:$G$1413,'февраль 2024'!$D$6:$D$1413,$B179,'февраль 2024'!$J$6:$J$1413,D$1)</f>
        <v>0</v>
      </c>
      <c r="E179" s="80">
        <f>SUMIFS('февраль 2024'!$G$6:$G$1413,'февраль 2024'!$D$6:$D$1413,$B179,'февраль 2024'!$J$6:$J$1413,E$1)</f>
        <v>0</v>
      </c>
      <c r="F179" s="80">
        <f>SUMIFS('февраль 2024'!$G$6:$G$1413,'февраль 2024'!$D$6:$D$1413,$B179,'февраль 2024'!$J$6:$J$1413,F$1)</f>
        <v>0</v>
      </c>
      <c r="G179" s="80">
        <f>SUMIFS('февраль 2024'!$G$6:$G$1413,'февраль 2024'!$D$6:$D$1413,$B179,'февраль 2024'!$J$6:$J$1413,G$1)</f>
        <v>0</v>
      </c>
      <c r="H179" s="80">
        <f>SUMIFS('февраль 2024'!$G$6:$G$1413,'февраль 2024'!$D$6:$D$1413,$B179,'февраль 2024'!$J$6:$J$1413,H$1)</f>
        <v>0</v>
      </c>
      <c r="I179" s="80">
        <f>SUMIFS('февраль 2024'!$G$6:$G$1413,'февраль 2024'!$D$6:$D$1413,$B179,'февраль 2024'!$J$6:$J$1413,I$1)</f>
        <v>0</v>
      </c>
      <c r="J179" s="80">
        <f>SUMIFS('февраль 2024'!$G$6:$G$1413,'февраль 2024'!$D$6:$D$1413,$B179,'февраль 2024'!$J$6:$J$1413,J$1)</f>
        <v>0</v>
      </c>
      <c r="K179" s="80">
        <f>SUMIFS('февраль 2024'!$G$6:$G$1413,'февраль 2024'!$D$6:$D$1413,$B179,'февраль 2024'!$J$6:$J$1413,K$1)</f>
        <v>0</v>
      </c>
      <c r="L179" s="80">
        <f>SUMIFS('февраль 2024'!$G$6:$G$1413,'февраль 2024'!$D$6:$D$1413,$B179,'февраль 2024'!$J$6:$J$1413,L$1)</f>
        <v>0</v>
      </c>
      <c r="M179" s="80">
        <f>SUMIFS('февраль 2024'!$G$6:$G$1413,'февраль 2024'!$D$6:$D$1413,$B179,'февраль 2024'!$J$6:$J$1413,M$1)</f>
        <v>0</v>
      </c>
      <c r="N179" s="80">
        <f>SUMIFS('февраль 2024'!$G$6:$G$1413,'февраль 2024'!$D$6:$D$1413,$B179,'февраль 2024'!$J$6:$J$1413,N$1)</f>
        <v>0</v>
      </c>
      <c r="O179" s="80">
        <f>SUMIFS('февраль 2024'!$G$6:$G$1413,'февраль 2024'!$D$6:$D$1413,$B179,'февраль 2024'!$J$6:$J$1413,O$1)</f>
        <v>0</v>
      </c>
      <c r="P179" s="80">
        <f>SUMIFS('февраль 2024'!$G$6:$G$1413,'февраль 2024'!$D$6:$D$1413,$B179,'февраль 2024'!$J$6:$J$1413,P$1)</f>
        <v>0</v>
      </c>
      <c r="Q179" s="80">
        <f>SUMIFS('февраль 2024'!$G$6:$G$1413,'февраль 2024'!$D$6:$D$1413,$B179,'февраль 2024'!$J$6:$J$1413,Q$1)</f>
        <v>0</v>
      </c>
      <c r="R179" s="80">
        <f>SUMIFS('февраль 2024'!$G$6:$G$1413,'февраль 2024'!$D$6:$D$1413,$B179,'февраль 2024'!$J$6:$J$1413,R$1)</f>
        <v>0</v>
      </c>
      <c r="S179" s="80">
        <f>SUMIFS('февраль 2024'!$G$6:$G$1413,'февраль 2024'!$D$6:$D$1413,$B179,'февраль 2024'!$J$6:$J$1413,S$1)</f>
        <v>0</v>
      </c>
      <c r="T179" s="80">
        <f>SUMIFS('февраль 2024'!$G$6:$G$1413,'февраль 2024'!$D$6:$D$1413,$B179,'февраль 2024'!$J$6:$J$1413,T$1)</f>
        <v>0</v>
      </c>
      <c r="U179" s="80">
        <f>SUMIFS('февраль 2024'!$G$6:$G$1413,'февраль 2024'!$D$6:$D$1413,$B179,'февраль 2024'!$J$6:$J$1413,U$1)</f>
        <v>0</v>
      </c>
      <c r="V179" s="80">
        <f>SUMIFS('февраль 2024'!$G$6:$G$1413,'февраль 2024'!$D$6:$D$1413,$B179,'февраль 2024'!$J$6:$J$1413,V$1)</f>
        <v>0</v>
      </c>
      <c r="W179" s="80">
        <f>SUMIFS('февраль 2024'!$G$6:$G$1413,'февраль 2024'!$D$6:$D$1413,$B179,'февраль 2024'!$J$6:$J$1413,W$1)</f>
        <v>0</v>
      </c>
      <c r="X179" s="80">
        <f>SUMIFS('февраль 2024'!$G$6:$G$1413,'февраль 2024'!$D$6:$D$1413,$B179,'февраль 2024'!$J$6:$J$1413,X$1)</f>
        <v>0</v>
      </c>
      <c r="Y179" s="80">
        <f>SUMIFS('февраль 2024'!$G$6:$G$1413,'февраль 2024'!$D$6:$D$1413,$B179,'февраль 2024'!$J$6:$J$1413,Y$1)</f>
        <v>0</v>
      </c>
      <c r="Z179" s="80">
        <f>SUMIFS('февраль 2024'!$G$6:$G$1413,'февраль 2024'!$D$6:$D$1413,$B179,'февраль 2024'!$J$6:$J$1413,Z$1)</f>
        <v>0</v>
      </c>
      <c r="AA179" s="80">
        <f>SUMIFS('февраль 2024'!$G$6:$G$1413,'февраль 2024'!$D$6:$D$1413,$B179,'февраль 2024'!$J$6:$J$1413,AA$1)</f>
        <v>0</v>
      </c>
      <c r="AB179" s="80">
        <f>SUMIFS('февраль 2024'!$G$6:$G$1413,'февраль 2024'!$D$6:$D$1413,$B179,'февраль 2024'!$J$6:$J$1413,AB$1)</f>
        <v>0</v>
      </c>
      <c r="AC179" s="80">
        <f>SUMIFS('февраль 2024'!$G$6:$G$1413,'февраль 2024'!$D$6:$D$1413,$B179,'февраль 2024'!$J$6:$J$1413,AC$1)</f>
        <v>0</v>
      </c>
      <c r="AD179" s="80">
        <f>SUMIFS('февраль 2024'!$G$6:$G$1413,'февраль 2024'!$D$6:$D$1413,$B179,'февраль 2024'!$J$6:$J$1413,AD$1)</f>
        <v>0</v>
      </c>
      <c r="AE179" s="80">
        <f>SUMIFS('февраль 2024'!$G$6:$G$1413,'февраль 2024'!$D$6:$D$1413,$B179,'февраль 2024'!$J$6:$J$1413,AE$1)</f>
        <v>0</v>
      </c>
      <c r="AF179" s="80">
        <f>SUMIFS('февраль 2024'!$G$6:$G$1413,'февраль 2024'!$D$6:$D$1413,$B179,'февраль 2024'!$J$6:$J$1413,AF$1)</f>
        <v>0</v>
      </c>
      <c r="AG179" s="80">
        <f>SUMIFS('февраль 2024'!$G$6:$G$1413,'февраль 2024'!$D$6:$D$1413,$B179,'февраль 2024'!$J$6:$J$1413,AG$1)</f>
        <v>0</v>
      </c>
      <c r="AH179" s="80">
        <f>SUMIFS('февраль 2024'!$G$6:$G$1413,'февраль 2024'!$D$6:$D$1413,$B179,'февраль 2024'!$J$6:$J$1413,AH$1)</f>
        <v>0</v>
      </c>
      <c r="AI179" s="87"/>
    </row>
    <row r="180" spans="2:35" ht="15" hidden="1" customHeight="1" x14ac:dyDescent="0.25">
      <c r="B180" s="89"/>
      <c r="C180" s="88"/>
      <c r="D180" s="80">
        <f>SUMIFS('февраль 2024'!$G$6:$G$1413,'февраль 2024'!$D$6:$D$1413,$B180,'февраль 2024'!$J$6:$J$1413,D$1)</f>
        <v>0</v>
      </c>
      <c r="E180" s="80">
        <f>SUMIFS('февраль 2024'!$G$6:$G$1413,'февраль 2024'!$D$6:$D$1413,$B180,'февраль 2024'!$J$6:$J$1413,E$1)</f>
        <v>0</v>
      </c>
      <c r="F180" s="80">
        <f>SUMIFS('февраль 2024'!$G$6:$G$1413,'февраль 2024'!$D$6:$D$1413,$B180,'февраль 2024'!$J$6:$J$1413,F$1)</f>
        <v>0</v>
      </c>
      <c r="G180" s="80">
        <f>SUMIFS('февраль 2024'!$G$6:$G$1413,'февраль 2024'!$D$6:$D$1413,$B180,'февраль 2024'!$J$6:$J$1413,G$1)</f>
        <v>0</v>
      </c>
      <c r="H180" s="80">
        <f>SUMIFS('февраль 2024'!$G$6:$G$1413,'февраль 2024'!$D$6:$D$1413,$B180,'февраль 2024'!$J$6:$J$1413,H$1)</f>
        <v>0</v>
      </c>
      <c r="I180" s="80">
        <f>SUMIFS('февраль 2024'!$G$6:$G$1413,'февраль 2024'!$D$6:$D$1413,$B180,'февраль 2024'!$J$6:$J$1413,I$1)</f>
        <v>0</v>
      </c>
      <c r="J180" s="80">
        <f>SUMIFS('февраль 2024'!$G$6:$G$1413,'февраль 2024'!$D$6:$D$1413,$B180,'февраль 2024'!$J$6:$J$1413,J$1)</f>
        <v>0</v>
      </c>
      <c r="K180" s="80">
        <f>SUMIFS('февраль 2024'!$G$6:$G$1413,'февраль 2024'!$D$6:$D$1413,$B180,'февраль 2024'!$J$6:$J$1413,K$1)</f>
        <v>0</v>
      </c>
      <c r="L180" s="80">
        <f>SUMIFS('февраль 2024'!$G$6:$G$1413,'февраль 2024'!$D$6:$D$1413,$B180,'февраль 2024'!$J$6:$J$1413,L$1)</f>
        <v>0</v>
      </c>
      <c r="M180" s="80">
        <f>SUMIFS('февраль 2024'!$G$6:$G$1413,'февраль 2024'!$D$6:$D$1413,$B180,'февраль 2024'!$J$6:$J$1413,M$1)</f>
        <v>0</v>
      </c>
      <c r="N180" s="80">
        <f>SUMIFS('февраль 2024'!$G$6:$G$1413,'февраль 2024'!$D$6:$D$1413,$B180,'февраль 2024'!$J$6:$J$1413,N$1)</f>
        <v>0</v>
      </c>
      <c r="O180" s="80">
        <f>SUMIFS('февраль 2024'!$G$6:$G$1413,'февраль 2024'!$D$6:$D$1413,$B180,'февраль 2024'!$J$6:$J$1413,O$1)</f>
        <v>0</v>
      </c>
      <c r="P180" s="80">
        <f>SUMIFS('февраль 2024'!$G$6:$G$1413,'февраль 2024'!$D$6:$D$1413,$B180,'февраль 2024'!$J$6:$J$1413,P$1)</f>
        <v>0</v>
      </c>
      <c r="Q180" s="80">
        <f>SUMIFS('февраль 2024'!$G$6:$G$1413,'февраль 2024'!$D$6:$D$1413,$B180,'февраль 2024'!$J$6:$J$1413,Q$1)</f>
        <v>0</v>
      </c>
      <c r="R180" s="80">
        <f>SUMIFS('февраль 2024'!$G$6:$G$1413,'февраль 2024'!$D$6:$D$1413,$B180,'февраль 2024'!$J$6:$J$1413,R$1)</f>
        <v>0</v>
      </c>
      <c r="S180" s="80">
        <f>SUMIFS('февраль 2024'!$G$6:$G$1413,'февраль 2024'!$D$6:$D$1413,$B180,'февраль 2024'!$J$6:$J$1413,S$1)</f>
        <v>0</v>
      </c>
      <c r="T180" s="80">
        <f>SUMIFS('февраль 2024'!$G$6:$G$1413,'февраль 2024'!$D$6:$D$1413,$B180,'февраль 2024'!$J$6:$J$1413,T$1)</f>
        <v>0</v>
      </c>
      <c r="U180" s="80">
        <f>SUMIFS('февраль 2024'!$G$6:$G$1413,'февраль 2024'!$D$6:$D$1413,$B180,'февраль 2024'!$J$6:$J$1413,U$1)</f>
        <v>0</v>
      </c>
      <c r="V180" s="80">
        <f>SUMIFS('февраль 2024'!$G$6:$G$1413,'февраль 2024'!$D$6:$D$1413,$B180,'февраль 2024'!$J$6:$J$1413,V$1)</f>
        <v>0</v>
      </c>
      <c r="W180" s="80">
        <f>SUMIFS('февраль 2024'!$G$6:$G$1413,'февраль 2024'!$D$6:$D$1413,$B180,'февраль 2024'!$J$6:$J$1413,W$1)</f>
        <v>0</v>
      </c>
      <c r="X180" s="80">
        <f>SUMIFS('февраль 2024'!$G$6:$G$1413,'февраль 2024'!$D$6:$D$1413,$B180,'февраль 2024'!$J$6:$J$1413,X$1)</f>
        <v>0</v>
      </c>
      <c r="Y180" s="80">
        <f>SUMIFS('февраль 2024'!$G$6:$G$1413,'февраль 2024'!$D$6:$D$1413,$B180,'февраль 2024'!$J$6:$J$1413,Y$1)</f>
        <v>0</v>
      </c>
      <c r="Z180" s="80">
        <f>SUMIFS('февраль 2024'!$G$6:$G$1413,'февраль 2024'!$D$6:$D$1413,$B180,'февраль 2024'!$J$6:$J$1413,Z$1)</f>
        <v>0</v>
      </c>
      <c r="AA180" s="80">
        <f>SUMIFS('февраль 2024'!$G$6:$G$1413,'февраль 2024'!$D$6:$D$1413,$B180,'февраль 2024'!$J$6:$J$1413,AA$1)</f>
        <v>0</v>
      </c>
      <c r="AB180" s="80">
        <f>SUMIFS('февраль 2024'!$G$6:$G$1413,'февраль 2024'!$D$6:$D$1413,$B180,'февраль 2024'!$J$6:$J$1413,AB$1)</f>
        <v>0</v>
      </c>
      <c r="AC180" s="80">
        <f>SUMIFS('февраль 2024'!$G$6:$G$1413,'февраль 2024'!$D$6:$D$1413,$B180,'февраль 2024'!$J$6:$J$1413,AC$1)</f>
        <v>0</v>
      </c>
      <c r="AD180" s="80">
        <f>SUMIFS('февраль 2024'!$G$6:$G$1413,'февраль 2024'!$D$6:$D$1413,$B180,'февраль 2024'!$J$6:$J$1413,AD$1)</f>
        <v>0</v>
      </c>
      <c r="AE180" s="80">
        <f>SUMIFS('февраль 2024'!$G$6:$G$1413,'февраль 2024'!$D$6:$D$1413,$B180,'февраль 2024'!$J$6:$J$1413,AE$1)</f>
        <v>0</v>
      </c>
      <c r="AF180" s="80">
        <f>SUMIFS('февраль 2024'!$G$6:$G$1413,'февраль 2024'!$D$6:$D$1413,$B180,'февраль 2024'!$J$6:$J$1413,AF$1)</f>
        <v>0</v>
      </c>
      <c r="AG180" s="80">
        <f>SUMIFS('февраль 2024'!$G$6:$G$1413,'февраль 2024'!$D$6:$D$1413,$B180,'февраль 2024'!$J$6:$J$1413,AG$1)</f>
        <v>0</v>
      </c>
      <c r="AH180" s="80">
        <f>SUMIFS('февраль 2024'!$G$6:$G$1413,'февраль 2024'!$D$6:$D$1413,$B180,'февраль 2024'!$J$6:$J$1413,AH$1)</f>
        <v>0</v>
      </c>
      <c r="AI180" s="87"/>
    </row>
    <row r="181" spans="2:35" ht="15" hidden="1" customHeight="1" x14ac:dyDescent="0.25">
      <c r="B181" s="89"/>
      <c r="C181" s="88"/>
      <c r="D181" s="80">
        <f>SUMIFS('февраль 2024'!$G$6:$G$1413,'февраль 2024'!$D$6:$D$1413,$B181,'февраль 2024'!$J$6:$J$1413,D$1)</f>
        <v>0</v>
      </c>
      <c r="E181" s="80">
        <f>SUMIFS('февраль 2024'!$G$6:$G$1413,'февраль 2024'!$D$6:$D$1413,$B181,'февраль 2024'!$J$6:$J$1413,E$1)</f>
        <v>0</v>
      </c>
      <c r="F181" s="80">
        <f>SUMIFS('февраль 2024'!$G$6:$G$1413,'февраль 2024'!$D$6:$D$1413,$B181,'февраль 2024'!$J$6:$J$1413,F$1)</f>
        <v>0</v>
      </c>
      <c r="G181" s="80">
        <f>SUMIFS('февраль 2024'!$G$6:$G$1413,'февраль 2024'!$D$6:$D$1413,$B181,'февраль 2024'!$J$6:$J$1413,G$1)</f>
        <v>0</v>
      </c>
      <c r="H181" s="80">
        <f>SUMIFS('февраль 2024'!$G$6:$G$1413,'февраль 2024'!$D$6:$D$1413,$B181,'февраль 2024'!$J$6:$J$1413,H$1)</f>
        <v>0</v>
      </c>
      <c r="I181" s="80">
        <f>SUMIFS('февраль 2024'!$G$6:$G$1413,'февраль 2024'!$D$6:$D$1413,$B181,'февраль 2024'!$J$6:$J$1413,I$1)</f>
        <v>0</v>
      </c>
      <c r="J181" s="80">
        <f>SUMIFS('февраль 2024'!$G$6:$G$1413,'февраль 2024'!$D$6:$D$1413,$B181,'февраль 2024'!$J$6:$J$1413,J$1)</f>
        <v>0</v>
      </c>
      <c r="K181" s="80">
        <f>SUMIFS('февраль 2024'!$G$6:$G$1413,'февраль 2024'!$D$6:$D$1413,$B181,'февраль 2024'!$J$6:$J$1413,K$1)</f>
        <v>0</v>
      </c>
      <c r="L181" s="80">
        <f>SUMIFS('февраль 2024'!$G$6:$G$1413,'февраль 2024'!$D$6:$D$1413,$B181,'февраль 2024'!$J$6:$J$1413,L$1)</f>
        <v>0</v>
      </c>
      <c r="M181" s="80">
        <f>SUMIFS('февраль 2024'!$G$6:$G$1413,'февраль 2024'!$D$6:$D$1413,$B181,'февраль 2024'!$J$6:$J$1413,M$1)</f>
        <v>0</v>
      </c>
      <c r="N181" s="80">
        <f>SUMIFS('февраль 2024'!$G$6:$G$1413,'февраль 2024'!$D$6:$D$1413,$B181,'февраль 2024'!$J$6:$J$1413,N$1)</f>
        <v>0</v>
      </c>
      <c r="O181" s="80">
        <f>SUMIFS('февраль 2024'!$G$6:$G$1413,'февраль 2024'!$D$6:$D$1413,$B181,'февраль 2024'!$J$6:$J$1413,O$1)</f>
        <v>0</v>
      </c>
      <c r="P181" s="80">
        <f>SUMIFS('февраль 2024'!$G$6:$G$1413,'февраль 2024'!$D$6:$D$1413,$B181,'февраль 2024'!$J$6:$J$1413,P$1)</f>
        <v>0</v>
      </c>
      <c r="Q181" s="80">
        <f>SUMIFS('февраль 2024'!$G$6:$G$1413,'февраль 2024'!$D$6:$D$1413,$B181,'февраль 2024'!$J$6:$J$1413,Q$1)</f>
        <v>0</v>
      </c>
      <c r="R181" s="80">
        <f>SUMIFS('февраль 2024'!$G$6:$G$1413,'февраль 2024'!$D$6:$D$1413,$B181,'февраль 2024'!$J$6:$J$1413,R$1)</f>
        <v>0</v>
      </c>
      <c r="S181" s="80">
        <f>SUMIFS('февраль 2024'!$G$6:$G$1413,'февраль 2024'!$D$6:$D$1413,$B181,'февраль 2024'!$J$6:$J$1413,S$1)</f>
        <v>0</v>
      </c>
      <c r="T181" s="80">
        <f>SUMIFS('февраль 2024'!$G$6:$G$1413,'февраль 2024'!$D$6:$D$1413,$B181,'февраль 2024'!$J$6:$J$1413,T$1)</f>
        <v>0</v>
      </c>
      <c r="U181" s="80">
        <f>SUMIFS('февраль 2024'!$G$6:$G$1413,'февраль 2024'!$D$6:$D$1413,$B181,'февраль 2024'!$J$6:$J$1413,U$1)</f>
        <v>0</v>
      </c>
      <c r="V181" s="80">
        <f>SUMIFS('февраль 2024'!$G$6:$G$1413,'февраль 2024'!$D$6:$D$1413,$B181,'февраль 2024'!$J$6:$J$1413,V$1)</f>
        <v>0</v>
      </c>
      <c r="W181" s="80">
        <f>SUMIFS('февраль 2024'!$G$6:$G$1413,'февраль 2024'!$D$6:$D$1413,$B181,'февраль 2024'!$J$6:$J$1413,W$1)</f>
        <v>0</v>
      </c>
      <c r="X181" s="80">
        <f>SUMIFS('февраль 2024'!$G$6:$G$1413,'февраль 2024'!$D$6:$D$1413,$B181,'февраль 2024'!$J$6:$J$1413,X$1)</f>
        <v>0</v>
      </c>
      <c r="Y181" s="80">
        <f>SUMIFS('февраль 2024'!$G$6:$G$1413,'февраль 2024'!$D$6:$D$1413,$B181,'февраль 2024'!$J$6:$J$1413,Y$1)</f>
        <v>0</v>
      </c>
      <c r="Z181" s="80">
        <f>SUMIFS('февраль 2024'!$G$6:$G$1413,'февраль 2024'!$D$6:$D$1413,$B181,'февраль 2024'!$J$6:$J$1413,Z$1)</f>
        <v>0</v>
      </c>
      <c r="AA181" s="80">
        <f>SUMIFS('февраль 2024'!$G$6:$G$1413,'февраль 2024'!$D$6:$D$1413,$B181,'февраль 2024'!$J$6:$J$1413,AA$1)</f>
        <v>0</v>
      </c>
      <c r="AB181" s="80">
        <f>SUMIFS('февраль 2024'!$G$6:$G$1413,'февраль 2024'!$D$6:$D$1413,$B181,'февраль 2024'!$J$6:$J$1413,AB$1)</f>
        <v>0</v>
      </c>
      <c r="AC181" s="80">
        <f>SUMIFS('февраль 2024'!$G$6:$G$1413,'февраль 2024'!$D$6:$D$1413,$B181,'февраль 2024'!$J$6:$J$1413,AC$1)</f>
        <v>0</v>
      </c>
      <c r="AD181" s="80">
        <f>SUMIFS('февраль 2024'!$G$6:$G$1413,'февраль 2024'!$D$6:$D$1413,$B181,'февраль 2024'!$J$6:$J$1413,AD$1)</f>
        <v>0</v>
      </c>
      <c r="AE181" s="80">
        <f>SUMIFS('февраль 2024'!$G$6:$G$1413,'февраль 2024'!$D$6:$D$1413,$B181,'февраль 2024'!$J$6:$J$1413,AE$1)</f>
        <v>0</v>
      </c>
      <c r="AF181" s="80">
        <f>SUMIFS('февраль 2024'!$G$6:$G$1413,'февраль 2024'!$D$6:$D$1413,$B181,'февраль 2024'!$J$6:$J$1413,AF$1)</f>
        <v>0</v>
      </c>
      <c r="AG181" s="80">
        <f>SUMIFS('февраль 2024'!$G$6:$G$1413,'февраль 2024'!$D$6:$D$1413,$B181,'февраль 2024'!$J$6:$J$1413,AG$1)</f>
        <v>0</v>
      </c>
      <c r="AH181" s="80">
        <f>SUMIFS('февраль 2024'!$G$6:$G$1413,'февраль 2024'!$D$6:$D$1413,$B181,'февраль 2024'!$J$6:$J$1413,AH$1)</f>
        <v>0</v>
      </c>
      <c r="AI181" s="87"/>
    </row>
    <row r="182" spans="2:35" ht="15" hidden="1" customHeight="1" x14ac:dyDescent="0.25">
      <c r="B182" s="89"/>
      <c r="C182" s="88"/>
      <c r="D182" s="80">
        <f>SUMIFS('февраль 2024'!$G$6:$G$1413,'февраль 2024'!$D$6:$D$1413,$B182,'февраль 2024'!$J$6:$J$1413,D$1)</f>
        <v>0</v>
      </c>
      <c r="E182" s="80">
        <f>SUMIFS('февраль 2024'!$G$6:$G$1413,'февраль 2024'!$D$6:$D$1413,$B182,'февраль 2024'!$J$6:$J$1413,E$1)</f>
        <v>0</v>
      </c>
      <c r="F182" s="80">
        <f>SUMIFS('февраль 2024'!$G$6:$G$1413,'февраль 2024'!$D$6:$D$1413,$B182,'февраль 2024'!$J$6:$J$1413,F$1)</f>
        <v>0</v>
      </c>
      <c r="G182" s="80">
        <f>SUMIFS('февраль 2024'!$G$6:$G$1413,'февраль 2024'!$D$6:$D$1413,$B182,'февраль 2024'!$J$6:$J$1413,G$1)</f>
        <v>0</v>
      </c>
      <c r="H182" s="80">
        <f>SUMIFS('февраль 2024'!$G$6:$G$1413,'февраль 2024'!$D$6:$D$1413,$B182,'февраль 2024'!$J$6:$J$1413,H$1)</f>
        <v>0</v>
      </c>
      <c r="I182" s="80">
        <f>SUMIFS('февраль 2024'!$G$6:$G$1413,'февраль 2024'!$D$6:$D$1413,$B182,'февраль 2024'!$J$6:$J$1413,I$1)</f>
        <v>0</v>
      </c>
      <c r="J182" s="80">
        <f>SUMIFS('февраль 2024'!$G$6:$G$1413,'февраль 2024'!$D$6:$D$1413,$B182,'февраль 2024'!$J$6:$J$1413,J$1)</f>
        <v>0</v>
      </c>
      <c r="K182" s="80">
        <f>SUMIFS('февраль 2024'!$G$6:$G$1413,'февраль 2024'!$D$6:$D$1413,$B182,'февраль 2024'!$J$6:$J$1413,K$1)</f>
        <v>0</v>
      </c>
      <c r="L182" s="80">
        <f>SUMIFS('февраль 2024'!$G$6:$G$1413,'февраль 2024'!$D$6:$D$1413,$B182,'февраль 2024'!$J$6:$J$1413,L$1)</f>
        <v>0</v>
      </c>
      <c r="M182" s="80">
        <f>SUMIFS('февраль 2024'!$G$6:$G$1413,'февраль 2024'!$D$6:$D$1413,$B182,'февраль 2024'!$J$6:$J$1413,M$1)</f>
        <v>0</v>
      </c>
      <c r="N182" s="80">
        <f>SUMIFS('февраль 2024'!$G$6:$G$1413,'февраль 2024'!$D$6:$D$1413,$B182,'февраль 2024'!$J$6:$J$1413,N$1)</f>
        <v>0</v>
      </c>
      <c r="O182" s="80">
        <f>SUMIFS('февраль 2024'!$G$6:$G$1413,'февраль 2024'!$D$6:$D$1413,$B182,'февраль 2024'!$J$6:$J$1413,O$1)</f>
        <v>0</v>
      </c>
      <c r="P182" s="80">
        <f>SUMIFS('февраль 2024'!$G$6:$G$1413,'февраль 2024'!$D$6:$D$1413,$B182,'февраль 2024'!$J$6:$J$1413,P$1)</f>
        <v>0</v>
      </c>
      <c r="Q182" s="80">
        <f>SUMIFS('февраль 2024'!$G$6:$G$1413,'февраль 2024'!$D$6:$D$1413,$B182,'февраль 2024'!$J$6:$J$1413,Q$1)</f>
        <v>0</v>
      </c>
      <c r="R182" s="80">
        <f>SUMIFS('февраль 2024'!$G$6:$G$1413,'февраль 2024'!$D$6:$D$1413,$B182,'февраль 2024'!$J$6:$J$1413,R$1)</f>
        <v>0</v>
      </c>
      <c r="S182" s="80">
        <f>SUMIFS('февраль 2024'!$G$6:$G$1413,'февраль 2024'!$D$6:$D$1413,$B182,'февраль 2024'!$J$6:$J$1413,S$1)</f>
        <v>0</v>
      </c>
      <c r="T182" s="80">
        <f>SUMIFS('февраль 2024'!$G$6:$G$1413,'февраль 2024'!$D$6:$D$1413,$B182,'февраль 2024'!$J$6:$J$1413,T$1)</f>
        <v>0</v>
      </c>
      <c r="U182" s="80">
        <f>SUMIFS('февраль 2024'!$G$6:$G$1413,'февраль 2024'!$D$6:$D$1413,$B182,'февраль 2024'!$J$6:$J$1413,U$1)</f>
        <v>0</v>
      </c>
      <c r="V182" s="80">
        <f>SUMIFS('февраль 2024'!$G$6:$G$1413,'февраль 2024'!$D$6:$D$1413,$B182,'февраль 2024'!$J$6:$J$1413,V$1)</f>
        <v>0</v>
      </c>
      <c r="W182" s="80">
        <f>SUMIFS('февраль 2024'!$G$6:$G$1413,'февраль 2024'!$D$6:$D$1413,$B182,'февраль 2024'!$J$6:$J$1413,W$1)</f>
        <v>0</v>
      </c>
      <c r="X182" s="80">
        <f>SUMIFS('февраль 2024'!$G$6:$G$1413,'февраль 2024'!$D$6:$D$1413,$B182,'февраль 2024'!$J$6:$J$1413,X$1)</f>
        <v>0</v>
      </c>
      <c r="Y182" s="80">
        <f>SUMIFS('февраль 2024'!$G$6:$G$1413,'февраль 2024'!$D$6:$D$1413,$B182,'февраль 2024'!$J$6:$J$1413,Y$1)</f>
        <v>0</v>
      </c>
      <c r="Z182" s="80">
        <f>SUMIFS('февраль 2024'!$G$6:$G$1413,'февраль 2024'!$D$6:$D$1413,$B182,'февраль 2024'!$J$6:$J$1413,Z$1)</f>
        <v>0</v>
      </c>
      <c r="AA182" s="80">
        <f>SUMIFS('февраль 2024'!$G$6:$G$1413,'февраль 2024'!$D$6:$D$1413,$B182,'февраль 2024'!$J$6:$J$1413,AA$1)</f>
        <v>0</v>
      </c>
      <c r="AB182" s="80">
        <f>SUMIFS('февраль 2024'!$G$6:$G$1413,'февраль 2024'!$D$6:$D$1413,$B182,'февраль 2024'!$J$6:$J$1413,AB$1)</f>
        <v>0</v>
      </c>
      <c r="AC182" s="80">
        <f>SUMIFS('февраль 2024'!$G$6:$G$1413,'февраль 2024'!$D$6:$D$1413,$B182,'февраль 2024'!$J$6:$J$1413,AC$1)</f>
        <v>0</v>
      </c>
      <c r="AD182" s="80">
        <f>SUMIFS('февраль 2024'!$G$6:$G$1413,'февраль 2024'!$D$6:$D$1413,$B182,'февраль 2024'!$J$6:$J$1413,AD$1)</f>
        <v>0</v>
      </c>
      <c r="AE182" s="80">
        <f>SUMIFS('февраль 2024'!$G$6:$G$1413,'февраль 2024'!$D$6:$D$1413,$B182,'февраль 2024'!$J$6:$J$1413,AE$1)</f>
        <v>0</v>
      </c>
      <c r="AF182" s="80">
        <f>SUMIFS('февраль 2024'!$G$6:$G$1413,'февраль 2024'!$D$6:$D$1413,$B182,'февраль 2024'!$J$6:$J$1413,AF$1)</f>
        <v>0</v>
      </c>
      <c r="AG182" s="80">
        <f>SUMIFS('февраль 2024'!$G$6:$G$1413,'февраль 2024'!$D$6:$D$1413,$B182,'февраль 2024'!$J$6:$J$1413,AG$1)</f>
        <v>0</v>
      </c>
      <c r="AH182" s="80">
        <f>SUMIFS('февраль 2024'!$G$6:$G$1413,'февраль 2024'!$D$6:$D$1413,$B182,'февраль 2024'!$J$6:$J$1413,AH$1)</f>
        <v>0</v>
      </c>
      <c r="AI182" s="87"/>
    </row>
    <row r="183" spans="2:35" ht="15" hidden="1" customHeight="1" x14ac:dyDescent="0.25">
      <c r="B183" s="89"/>
      <c r="C183" s="88"/>
      <c r="D183" s="80">
        <f>SUMIFS('февраль 2024'!$G$6:$G$1413,'февраль 2024'!$D$6:$D$1413,$B183,'февраль 2024'!$J$6:$J$1413,D$1)</f>
        <v>0</v>
      </c>
      <c r="E183" s="80">
        <f>SUMIFS('февраль 2024'!$G$6:$G$1413,'февраль 2024'!$D$6:$D$1413,$B183,'февраль 2024'!$J$6:$J$1413,E$1)</f>
        <v>0</v>
      </c>
      <c r="F183" s="80">
        <f>SUMIFS('февраль 2024'!$G$6:$G$1413,'февраль 2024'!$D$6:$D$1413,$B183,'февраль 2024'!$J$6:$J$1413,F$1)</f>
        <v>0</v>
      </c>
      <c r="G183" s="80">
        <f>SUMIFS('февраль 2024'!$G$6:$G$1413,'февраль 2024'!$D$6:$D$1413,$B183,'февраль 2024'!$J$6:$J$1413,G$1)</f>
        <v>0</v>
      </c>
      <c r="H183" s="80">
        <f>SUMIFS('февраль 2024'!$G$6:$G$1413,'февраль 2024'!$D$6:$D$1413,$B183,'февраль 2024'!$J$6:$J$1413,H$1)</f>
        <v>0</v>
      </c>
      <c r="I183" s="80">
        <f>SUMIFS('февраль 2024'!$G$6:$G$1413,'февраль 2024'!$D$6:$D$1413,$B183,'февраль 2024'!$J$6:$J$1413,I$1)</f>
        <v>0</v>
      </c>
      <c r="J183" s="80">
        <f>SUMIFS('февраль 2024'!$G$6:$G$1413,'февраль 2024'!$D$6:$D$1413,$B183,'февраль 2024'!$J$6:$J$1413,J$1)</f>
        <v>0</v>
      </c>
      <c r="K183" s="80">
        <f>SUMIFS('февраль 2024'!$G$6:$G$1413,'февраль 2024'!$D$6:$D$1413,$B183,'февраль 2024'!$J$6:$J$1413,K$1)</f>
        <v>0</v>
      </c>
      <c r="L183" s="80">
        <f>SUMIFS('февраль 2024'!$G$6:$G$1413,'февраль 2024'!$D$6:$D$1413,$B183,'февраль 2024'!$J$6:$J$1413,L$1)</f>
        <v>0</v>
      </c>
      <c r="M183" s="80">
        <f>SUMIFS('февраль 2024'!$G$6:$G$1413,'февраль 2024'!$D$6:$D$1413,$B183,'февраль 2024'!$J$6:$J$1413,M$1)</f>
        <v>0</v>
      </c>
      <c r="N183" s="80">
        <f>SUMIFS('февраль 2024'!$G$6:$G$1413,'февраль 2024'!$D$6:$D$1413,$B183,'февраль 2024'!$J$6:$J$1413,N$1)</f>
        <v>0</v>
      </c>
      <c r="O183" s="80">
        <f>SUMIFS('февраль 2024'!$G$6:$G$1413,'февраль 2024'!$D$6:$D$1413,$B183,'февраль 2024'!$J$6:$J$1413,O$1)</f>
        <v>0</v>
      </c>
      <c r="P183" s="80">
        <f>SUMIFS('февраль 2024'!$G$6:$G$1413,'февраль 2024'!$D$6:$D$1413,$B183,'февраль 2024'!$J$6:$J$1413,P$1)</f>
        <v>0</v>
      </c>
      <c r="Q183" s="80">
        <f>SUMIFS('февраль 2024'!$G$6:$G$1413,'февраль 2024'!$D$6:$D$1413,$B183,'февраль 2024'!$J$6:$J$1413,Q$1)</f>
        <v>0</v>
      </c>
      <c r="R183" s="80">
        <f>SUMIFS('февраль 2024'!$G$6:$G$1413,'февраль 2024'!$D$6:$D$1413,$B183,'февраль 2024'!$J$6:$J$1413,R$1)</f>
        <v>0</v>
      </c>
      <c r="S183" s="80">
        <f>SUMIFS('февраль 2024'!$G$6:$G$1413,'февраль 2024'!$D$6:$D$1413,$B183,'февраль 2024'!$J$6:$J$1413,S$1)</f>
        <v>0</v>
      </c>
      <c r="T183" s="80">
        <f>SUMIFS('февраль 2024'!$G$6:$G$1413,'февраль 2024'!$D$6:$D$1413,$B183,'февраль 2024'!$J$6:$J$1413,T$1)</f>
        <v>0</v>
      </c>
      <c r="U183" s="80">
        <f>SUMIFS('февраль 2024'!$G$6:$G$1413,'февраль 2024'!$D$6:$D$1413,$B183,'февраль 2024'!$J$6:$J$1413,U$1)</f>
        <v>0</v>
      </c>
      <c r="V183" s="80">
        <f>SUMIFS('февраль 2024'!$G$6:$G$1413,'февраль 2024'!$D$6:$D$1413,$B183,'февраль 2024'!$J$6:$J$1413,V$1)</f>
        <v>0</v>
      </c>
      <c r="W183" s="80">
        <f>SUMIFS('февраль 2024'!$G$6:$G$1413,'февраль 2024'!$D$6:$D$1413,$B183,'февраль 2024'!$J$6:$J$1413,W$1)</f>
        <v>0</v>
      </c>
      <c r="X183" s="80">
        <f>SUMIFS('февраль 2024'!$G$6:$G$1413,'февраль 2024'!$D$6:$D$1413,$B183,'февраль 2024'!$J$6:$J$1413,X$1)</f>
        <v>0</v>
      </c>
      <c r="Y183" s="80">
        <f>SUMIFS('февраль 2024'!$G$6:$G$1413,'февраль 2024'!$D$6:$D$1413,$B183,'февраль 2024'!$J$6:$J$1413,Y$1)</f>
        <v>0</v>
      </c>
      <c r="Z183" s="80">
        <f>SUMIFS('февраль 2024'!$G$6:$G$1413,'февраль 2024'!$D$6:$D$1413,$B183,'февраль 2024'!$J$6:$J$1413,Z$1)</f>
        <v>0</v>
      </c>
      <c r="AA183" s="80">
        <f>SUMIFS('февраль 2024'!$G$6:$G$1413,'февраль 2024'!$D$6:$D$1413,$B183,'февраль 2024'!$J$6:$J$1413,AA$1)</f>
        <v>0</v>
      </c>
      <c r="AB183" s="80">
        <f>SUMIFS('февраль 2024'!$G$6:$G$1413,'февраль 2024'!$D$6:$D$1413,$B183,'февраль 2024'!$J$6:$J$1413,AB$1)</f>
        <v>0</v>
      </c>
      <c r="AC183" s="80">
        <f>SUMIFS('февраль 2024'!$G$6:$G$1413,'февраль 2024'!$D$6:$D$1413,$B183,'февраль 2024'!$J$6:$J$1413,AC$1)</f>
        <v>0</v>
      </c>
      <c r="AD183" s="80">
        <f>SUMIFS('февраль 2024'!$G$6:$G$1413,'февраль 2024'!$D$6:$D$1413,$B183,'февраль 2024'!$J$6:$J$1413,AD$1)</f>
        <v>0</v>
      </c>
      <c r="AE183" s="80">
        <f>SUMIFS('февраль 2024'!$G$6:$G$1413,'февраль 2024'!$D$6:$D$1413,$B183,'февраль 2024'!$J$6:$J$1413,AE$1)</f>
        <v>0</v>
      </c>
      <c r="AF183" s="80">
        <f>SUMIFS('февраль 2024'!$G$6:$G$1413,'февраль 2024'!$D$6:$D$1413,$B183,'февраль 2024'!$J$6:$J$1413,AF$1)</f>
        <v>0</v>
      </c>
      <c r="AG183" s="80">
        <f>SUMIFS('февраль 2024'!$G$6:$G$1413,'февраль 2024'!$D$6:$D$1413,$B183,'февраль 2024'!$J$6:$J$1413,AG$1)</f>
        <v>0</v>
      </c>
      <c r="AH183" s="80">
        <f>SUMIFS('февраль 2024'!$G$6:$G$1413,'февраль 2024'!$D$6:$D$1413,$B183,'февраль 2024'!$J$6:$J$1413,AH$1)</f>
        <v>0</v>
      </c>
      <c r="AI183" s="87"/>
    </row>
    <row r="184" spans="2:35" ht="15" hidden="1" customHeight="1" x14ac:dyDescent="0.25">
      <c r="B184" s="89"/>
      <c r="C184" s="88"/>
      <c r="D184" s="80">
        <f>SUMIFS('февраль 2024'!$G$6:$G$1413,'февраль 2024'!$D$6:$D$1413,$B184,'февраль 2024'!$J$6:$J$1413,D$1)</f>
        <v>0</v>
      </c>
      <c r="E184" s="80">
        <f>SUMIFS('февраль 2024'!$G$6:$G$1413,'февраль 2024'!$D$6:$D$1413,$B184,'февраль 2024'!$J$6:$J$1413,E$1)</f>
        <v>0</v>
      </c>
      <c r="F184" s="80">
        <f>SUMIFS('февраль 2024'!$G$6:$G$1413,'февраль 2024'!$D$6:$D$1413,$B184,'февраль 2024'!$J$6:$J$1413,F$1)</f>
        <v>0</v>
      </c>
      <c r="G184" s="80">
        <f>SUMIFS('февраль 2024'!$G$6:$G$1413,'февраль 2024'!$D$6:$D$1413,$B184,'февраль 2024'!$J$6:$J$1413,G$1)</f>
        <v>0</v>
      </c>
      <c r="H184" s="80">
        <f>SUMIFS('февраль 2024'!$G$6:$G$1413,'февраль 2024'!$D$6:$D$1413,$B184,'февраль 2024'!$J$6:$J$1413,H$1)</f>
        <v>0</v>
      </c>
      <c r="I184" s="80">
        <f>SUMIFS('февраль 2024'!$G$6:$G$1413,'февраль 2024'!$D$6:$D$1413,$B184,'февраль 2024'!$J$6:$J$1413,I$1)</f>
        <v>0</v>
      </c>
      <c r="J184" s="80">
        <f>SUMIFS('февраль 2024'!$G$6:$G$1413,'февраль 2024'!$D$6:$D$1413,$B184,'февраль 2024'!$J$6:$J$1413,J$1)</f>
        <v>0</v>
      </c>
      <c r="K184" s="80">
        <f>SUMIFS('февраль 2024'!$G$6:$G$1413,'февраль 2024'!$D$6:$D$1413,$B184,'февраль 2024'!$J$6:$J$1413,K$1)</f>
        <v>0</v>
      </c>
      <c r="L184" s="80">
        <f>SUMIFS('февраль 2024'!$G$6:$G$1413,'февраль 2024'!$D$6:$D$1413,$B184,'февраль 2024'!$J$6:$J$1413,L$1)</f>
        <v>0</v>
      </c>
      <c r="M184" s="80">
        <f>SUMIFS('февраль 2024'!$G$6:$G$1413,'февраль 2024'!$D$6:$D$1413,$B184,'февраль 2024'!$J$6:$J$1413,M$1)</f>
        <v>0</v>
      </c>
      <c r="N184" s="80">
        <f>SUMIFS('февраль 2024'!$G$6:$G$1413,'февраль 2024'!$D$6:$D$1413,$B184,'февраль 2024'!$J$6:$J$1413,N$1)</f>
        <v>0</v>
      </c>
      <c r="O184" s="80">
        <f>SUMIFS('февраль 2024'!$G$6:$G$1413,'февраль 2024'!$D$6:$D$1413,$B184,'февраль 2024'!$J$6:$J$1413,O$1)</f>
        <v>0</v>
      </c>
      <c r="P184" s="80">
        <f>SUMIFS('февраль 2024'!$G$6:$G$1413,'февраль 2024'!$D$6:$D$1413,$B184,'февраль 2024'!$J$6:$J$1413,P$1)</f>
        <v>0</v>
      </c>
      <c r="Q184" s="80">
        <f>SUMIFS('февраль 2024'!$G$6:$G$1413,'февраль 2024'!$D$6:$D$1413,$B184,'февраль 2024'!$J$6:$J$1413,Q$1)</f>
        <v>0</v>
      </c>
      <c r="R184" s="80">
        <f>SUMIFS('февраль 2024'!$G$6:$G$1413,'февраль 2024'!$D$6:$D$1413,$B184,'февраль 2024'!$J$6:$J$1413,R$1)</f>
        <v>0</v>
      </c>
      <c r="S184" s="80">
        <f>SUMIFS('февраль 2024'!$G$6:$G$1413,'февраль 2024'!$D$6:$D$1413,$B184,'февраль 2024'!$J$6:$J$1413,S$1)</f>
        <v>0</v>
      </c>
      <c r="T184" s="80">
        <f>SUMIFS('февраль 2024'!$G$6:$G$1413,'февраль 2024'!$D$6:$D$1413,$B184,'февраль 2024'!$J$6:$J$1413,T$1)</f>
        <v>0</v>
      </c>
      <c r="U184" s="80">
        <f>SUMIFS('февраль 2024'!$G$6:$G$1413,'февраль 2024'!$D$6:$D$1413,$B184,'февраль 2024'!$J$6:$J$1413,U$1)</f>
        <v>0</v>
      </c>
      <c r="V184" s="80">
        <f>SUMIFS('февраль 2024'!$G$6:$G$1413,'февраль 2024'!$D$6:$D$1413,$B184,'февраль 2024'!$J$6:$J$1413,V$1)</f>
        <v>0</v>
      </c>
      <c r="W184" s="80">
        <f>SUMIFS('февраль 2024'!$G$6:$G$1413,'февраль 2024'!$D$6:$D$1413,$B184,'февраль 2024'!$J$6:$J$1413,W$1)</f>
        <v>0</v>
      </c>
      <c r="X184" s="80">
        <f>SUMIFS('февраль 2024'!$G$6:$G$1413,'февраль 2024'!$D$6:$D$1413,$B184,'февраль 2024'!$J$6:$J$1413,X$1)</f>
        <v>0</v>
      </c>
      <c r="Y184" s="80">
        <f>SUMIFS('февраль 2024'!$G$6:$G$1413,'февраль 2024'!$D$6:$D$1413,$B184,'февраль 2024'!$J$6:$J$1413,Y$1)</f>
        <v>0</v>
      </c>
      <c r="Z184" s="80">
        <f>SUMIFS('февраль 2024'!$G$6:$G$1413,'февраль 2024'!$D$6:$D$1413,$B184,'февраль 2024'!$J$6:$J$1413,Z$1)</f>
        <v>0</v>
      </c>
      <c r="AA184" s="80">
        <f>SUMIFS('февраль 2024'!$G$6:$G$1413,'февраль 2024'!$D$6:$D$1413,$B184,'февраль 2024'!$J$6:$J$1413,AA$1)</f>
        <v>0</v>
      </c>
      <c r="AB184" s="80">
        <f>SUMIFS('февраль 2024'!$G$6:$G$1413,'февраль 2024'!$D$6:$D$1413,$B184,'февраль 2024'!$J$6:$J$1413,AB$1)</f>
        <v>0</v>
      </c>
      <c r="AC184" s="80">
        <f>SUMIFS('февраль 2024'!$G$6:$G$1413,'февраль 2024'!$D$6:$D$1413,$B184,'февраль 2024'!$J$6:$J$1413,AC$1)</f>
        <v>0</v>
      </c>
      <c r="AD184" s="80">
        <f>SUMIFS('февраль 2024'!$G$6:$G$1413,'февраль 2024'!$D$6:$D$1413,$B184,'февраль 2024'!$J$6:$J$1413,AD$1)</f>
        <v>0</v>
      </c>
      <c r="AE184" s="80">
        <f>SUMIFS('февраль 2024'!$G$6:$G$1413,'февраль 2024'!$D$6:$D$1413,$B184,'февраль 2024'!$J$6:$J$1413,AE$1)</f>
        <v>0</v>
      </c>
      <c r="AF184" s="80">
        <f>SUMIFS('февраль 2024'!$G$6:$G$1413,'февраль 2024'!$D$6:$D$1413,$B184,'февраль 2024'!$J$6:$J$1413,AF$1)</f>
        <v>0</v>
      </c>
      <c r="AG184" s="80">
        <f>SUMIFS('февраль 2024'!$G$6:$G$1413,'февраль 2024'!$D$6:$D$1413,$B184,'февраль 2024'!$J$6:$J$1413,AG$1)</f>
        <v>0</v>
      </c>
      <c r="AH184" s="80">
        <f>SUMIFS('февраль 2024'!$G$6:$G$1413,'февраль 2024'!$D$6:$D$1413,$B184,'февраль 2024'!$J$6:$J$1413,AH$1)</f>
        <v>0</v>
      </c>
      <c r="AI184" s="87"/>
    </row>
    <row r="185" spans="2:35" ht="15" hidden="1" customHeight="1" x14ac:dyDescent="0.25">
      <c r="B185" s="89"/>
      <c r="C185" s="88"/>
      <c r="D185" s="80">
        <f>SUMIFS('февраль 2024'!$G$6:$G$1413,'февраль 2024'!$D$6:$D$1413,$B185,'февраль 2024'!$J$6:$J$1413,D$1)</f>
        <v>0</v>
      </c>
      <c r="E185" s="80">
        <f>SUMIFS('февраль 2024'!$G$6:$G$1413,'февраль 2024'!$D$6:$D$1413,$B185,'февраль 2024'!$J$6:$J$1413,E$1)</f>
        <v>0</v>
      </c>
      <c r="F185" s="80">
        <f>SUMIFS('февраль 2024'!$G$6:$G$1413,'февраль 2024'!$D$6:$D$1413,$B185,'февраль 2024'!$J$6:$J$1413,F$1)</f>
        <v>0</v>
      </c>
      <c r="G185" s="80">
        <f>SUMIFS('февраль 2024'!$G$6:$G$1413,'февраль 2024'!$D$6:$D$1413,$B185,'февраль 2024'!$J$6:$J$1413,G$1)</f>
        <v>0</v>
      </c>
      <c r="H185" s="80">
        <f>SUMIFS('февраль 2024'!$G$6:$G$1413,'февраль 2024'!$D$6:$D$1413,$B185,'февраль 2024'!$J$6:$J$1413,H$1)</f>
        <v>0</v>
      </c>
      <c r="I185" s="80">
        <f>SUMIFS('февраль 2024'!$G$6:$G$1413,'февраль 2024'!$D$6:$D$1413,$B185,'февраль 2024'!$J$6:$J$1413,I$1)</f>
        <v>0</v>
      </c>
      <c r="J185" s="80">
        <f>SUMIFS('февраль 2024'!$G$6:$G$1413,'февраль 2024'!$D$6:$D$1413,$B185,'февраль 2024'!$J$6:$J$1413,J$1)</f>
        <v>0</v>
      </c>
      <c r="K185" s="80">
        <f>SUMIFS('февраль 2024'!$G$6:$G$1413,'февраль 2024'!$D$6:$D$1413,$B185,'февраль 2024'!$J$6:$J$1413,K$1)</f>
        <v>0</v>
      </c>
      <c r="L185" s="80">
        <f>SUMIFS('февраль 2024'!$G$6:$G$1413,'февраль 2024'!$D$6:$D$1413,$B185,'февраль 2024'!$J$6:$J$1413,L$1)</f>
        <v>0</v>
      </c>
      <c r="M185" s="80">
        <f>SUMIFS('февраль 2024'!$G$6:$G$1413,'февраль 2024'!$D$6:$D$1413,$B185,'февраль 2024'!$J$6:$J$1413,M$1)</f>
        <v>0</v>
      </c>
      <c r="N185" s="80">
        <f>SUMIFS('февраль 2024'!$G$6:$G$1413,'февраль 2024'!$D$6:$D$1413,$B185,'февраль 2024'!$J$6:$J$1413,N$1)</f>
        <v>0</v>
      </c>
      <c r="O185" s="80">
        <f>SUMIFS('февраль 2024'!$G$6:$G$1413,'февраль 2024'!$D$6:$D$1413,$B185,'февраль 2024'!$J$6:$J$1413,O$1)</f>
        <v>0</v>
      </c>
      <c r="P185" s="80">
        <f>SUMIFS('февраль 2024'!$G$6:$G$1413,'февраль 2024'!$D$6:$D$1413,$B185,'февраль 2024'!$J$6:$J$1413,P$1)</f>
        <v>0</v>
      </c>
      <c r="Q185" s="80">
        <f>SUMIFS('февраль 2024'!$G$6:$G$1413,'февраль 2024'!$D$6:$D$1413,$B185,'февраль 2024'!$J$6:$J$1413,Q$1)</f>
        <v>0</v>
      </c>
      <c r="R185" s="80">
        <f>SUMIFS('февраль 2024'!$G$6:$G$1413,'февраль 2024'!$D$6:$D$1413,$B185,'февраль 2024'!$J$6:$J$1413,R$1)</f>
        <v>0</v>
      </c>
      <c r="S185" s="80">
        <f>SUMIFS('февраль 2024'!$G$6:$G$1413,'февраль 2024'!$D$6:$D$1413,$B185,'февраль 2024'!$J$6:$J$1413,S$1)</f>
        <v>0</v>
      </c>
      <c r="T185" s="80">
        <f>SUMIFS('февраль 2024'!$G$6:$G$1413,'февраль 2024'!$D$6:$D$1413,$B185,'февраль 2024'!$J$6:$J$1413,T$1)</f>
        <v>0</v>
      </c>
      <c r="U185" s="80">
        <f>SUMIFS('февраль 2024'!$G$6:$G$1413,'февраль 2024'!$D$6:$D$1413,$B185,'февраль 2024'!$J$6:$J$1413,U$1)</f>
        <v>0</v>
      </c>
      <c r="V185" s="80">
        <f>SUMIFS('февраль 2024'!$G$6:$G$1413,'февраль 2024'!$D$6:$D$1413,$B185,'февраль 2024'!$J$6:$J$1413,V$1)</f>
        <v>0</v>
      </c>
      <c r="W185" s="80">
        <f>SUMIFS('февраль 2024'!$G$6:$G$1413,'февраль 2024'!$D$6:$D$1413,$B185,'февраль 2024'!$J$6:$J$1413,W$1)</f>
        <v>0</v>
      </c>
      <c r="X185" s="80">
        <f>SUMIFS('февраль 2024'!$G$6:$G$1413,'февраль 2024'!$D$6:$D$1413,$B185,'февраль 2024'!$J$6:$J$1413,X$1)</f>
        <v>0</v>
      </c>
      <c r="Y185" s="80">
        <f>SUMIFS('февраль 2024'!$G$6:$G$1413,'февраль 2024'!$D$6:$D$1413,$B185,'февраль 2024'!$J$6:$J$1413,Y$1)</f>
        <v>0</v>
      </c>
      <c r="Z185" s="80">
        <f>SUMIFS('февраль 2024'!$G$6:$G$1413,'февраль 2024'!$D$6:$D$1413,$B185,'февраль 2024'!$J$6:$J$1413,Z$1)</f>
        <v>0</v>
      </c>
      <c r="AA185" s="80">
        <f>SUMIFS('февраль 2024'!$G$6:$G$1413,'февраль 2024'!$D$6:$D$1413,$B185,'февраль 2024'!$J$6:$J$1413,AA$1)</f>
        <v>0</v>
      </c>
      <c r="AB185" s="80">
        <f>SUMIFS('февраль 2024'!$G$6:$G$1413,'февраль 2024'!$D$6:$D$1413,$B185,'февраль 2024'!$J$6:$J$1413,AB$1)</f>
        <v>0</v>
      </c>
      <c r="AC185" s="80">
        <f>SUMIFS('февраль 2024'!$G$6:$G$1413,'февраль 2024'!$D$6:$D$1413,$B185,'февраль 2024'!$J$6:$J$1413,AC$1)</f>
        <v>0</v>
      </c>
      <c r="AD185" s="80">
        <f>SUMIFS('февраль 2024'!$G$6:$G$1413,'февраль 2024'!$D$6:$D$1413,$B185,'февраль 2024'!$J$6:$J$1413,AD$1)</f>
        <v>0</v>
      </c>
      <c r="AE185" s="80">
        <f>SUMIFS('февраль 2024'!$G$6:$G$1413,'февраль 2024'!$D$6:$D$1413,$B185,'февраль 2024'!$J$6:$J$1413,AE$1)</f>
        <v>0</v>
      </c>
      <c r="AF185" s="80">
        <f>SUMIFS('февраль 2024'!$G$6:$G$1413,'февраль 2024'!$D$6:$D$1413,$B185,'февраль 2024'!$J$6:$J$1413,AF$1)</f>
        <v>0</v>
      </c>
      <c r="AG185" s="80">
        <f>SUMIFS('февраль 2024'!$G$6:$G$1413,'февраль 2024'!$D$6:$D$1413,$B185,'февраль 2024'!$J$6:$J$1413,AG$1)</f>
        <v>0</v>
      </c>
      <c r="AH185" s="80">
        <f>SUMIFS('февраль 2024'!$G$6:$G$1413,'февраль 2024'!$D$6:$D$1413,$B185,'февраль 2024'!$J$6:$J$1413,AH$1)</f>
        <v>0</v>
      </c>
      <c r="AI185" s="87"/>
    </row>
    <row r="186" spans="2:35" ht="15" hidden="1" customHeight="1" x14ac:dyDescent="0.25">
      <c r="B186" s="89"/>
      <c r="C186" s="88"/>
      <c r="D186" s="80">
        <f>SUMIFS('февраль 2024'!$G$6:$G$1413,'февраль 2024'!$D$6:$D$1413,$B186,'февраль 2024'!$J$6:$J$1413,D$1)</f>
        <v>0</v>
      </c>
      <c r="E186" s="80">
        <f>SUMIFS('февраль 2024'!$G$6:$G$1413,'февраль 2024'!$D$6:$D$1413,$B186,'февраль 2024'!$J$6:$J$1413,E$1)</f>
        <v>0</v>
      </c>
      <c r="F186" s="80">
        <f>SUMIFS('февраль 2024'!$G$6:$G$1413,'февраль 2024'!$D$6:$D$1413,$B186,'февраль 2024'!$J$6:$J$1413,F$1)</f>
        <v>0</v>
      </c>
      <c r="G186" s="80">
        <f>SUMIFS('февраль 2024'!$G$6:$G$1413,'февраль 2024'!$D$6:$D$1413,$B186,'февраль 2024'!$J$6:$J$1413,G$1)</f>
        <v>0</v>
      </c>
      <c r="H186" s="80">
        <f>SUMIFS('февраль 2024'!$G$6:$G$1413,'февраль 2024'!$D$6:$D$1413,$B186,'февраль 2024'!$J$6:$J$1413,H$1)</f>
        <v>0</v>
      </c>
      <c r="I186" s="80">
        <f>SUMIFS('февраль 2024'!$G$6:$G$1413,'февраль 2024'!$D$6:$D$1413,$B186,'февраль 2024'!$J$6:$J$1413,I$1)</f>
        <v>0</v>
      </c>
      <c r="J186" s="80">
        <f>SUMIFS('февраль 2024'!$G$6:$G$1413,'февраль 2024'!$D$6:$D$1413,$B186,'февраль 2024'!$J$6:$J$1413,J$1)</f>
        <v>0</v>
      </c>
      <c r="K186" s="80">
        <f>SUMIFS('февраль 2024'!$G$6:$G$1413,'февраль 2024'!$D$6:$D$1413,$B186,'февраль 2024'!$J$6:$J$1413,K$1)</f>
        <v>0</v>
      </c>
      <c r="L186" s="80">
        <f>SUMIFS('февраль 2024'!$G$6:$G$1413,'февраль 2024'!$D$6:$D$1413,$B186,'февраль 2024'!$J$6:$J$1413,L$1)</f>
        <v>0</v>
      </c>
      <c r="M186" s="80">
        <f>SUMIFS('февраль 2024'!$G$6:$G$1413,'февраль 2024'!$D$6:$D$1413,$B186,'февраль 2024'!$J$6:$J$1413,M$1)</f>
        <v>0</v>
      </c>
      <c r="N186" s="80">
        <f>SUMIFS('февраль 2024'!$G$6:$G$1413,'февраль 2024'!$D$6:$D$1413,$B186,'февраль 2024'!$J$6:$J$1413,N$1)</f>
        <v>0</v>
      </c>
      <c r="O186" s="80">
        <f>SUMIFS('февраль 2024'!$G$6:$G$1413,'февраль 2024'!$D$6:$D$1413,$B186,'февраль 2024'!$J$6:$J$1413,O$1)</f>
        <v>0</v>
      </c>
      <c r="P186" s="80">
        <f>SUMIFS('февраль 2024'!$G$6:$G$1413,'февраль 2024'!$D$6:$D$1413,$B186,'февраль 2024'!$J$6:$J$1413,P$1)</f>
        <v>0</v>
      </c>
      <c r="Q186" s="80">
        <f>SUMIFS('февраль 2024'!$G$6:$G$1413,'февраль 2024'!$D$6:$D$1413,$B186,'февраль 2024'!$J$6:$J$1413,Q$1)</f>
        <v>0</v>
      </c>
      <c r="R186" s="80">
        <f>SUMIFS('февраль 2024'!$G$6:$G$1413,'февраль 2024'!$D$6:$D$1413,$B186,'февраль 2024'!$J$6:$J$1413,R$1)</f>
        <v>0</v>
      </c>
      <c r="S186" s="80">
        <f>SUMIFS('февраль 2024'!$G$6:$G$1413,'февраль 2024'!$D$6:$D$1413,$B186,'февраль 2024'!$J$6:$J$1413,S$1)</f>
        <v>0</v>
      </c>
      <c r="T186" s="80">
        <f>SUMIFS('февраль 2024'!$G$6:$G$1413,'февраль 2024'!$D$6:$D$1413,$B186,'февраль 2024'!$J$6:$J$1413,T$1)</f>
        <v>0</v>
      </c>
      <c r="U186" s="80">
        <f>SUMIFS('февраль 2024'!$G$6:$G$1413,'февраль 2024'!$D$6:$D$1413,$B186,'февраль 2024'!$J$6:$J$1413,U$1)</f>
        <v>0</v>
      </c>
      <c r="V186" s="80">
        <f>SUMIFS('февраль 2024'!$G$6:$G$1413,'февраль 2024'!$D$6:$D$1413,$B186,'февраль 2024'!$J$6:$J$1413,V$1)</f>
        <v>0</v>
      </c>
      <c r="W186" s="80">
        <f>SUMIFS('февраль 2024'!$G$6:$G$1413,'февраль 2024'!$D$6:$D$1413,$B186,'февраль 2024'!$J$6:$J$1413,W$1)</f>
        <v>0</v>
      </c>
      <c r="X186" s="80">
        <f>SUMIFS('февраль 2024'!$G$6:$G$1413,'февраль 2024'!$D$6:$D$1413,$B186,'февраль 2024'!$J$6:$J$1413,X$1)</f>
        <v>0</v>
      </c>
      <c r="Y186" s="80">
        <f>SUMIFS('февраль 2024'!$G$6:$G$1413,'февраль 2024'!$D$6:$D$1413,$B186,'февраль 2024'!$J$6:$J$1413,Y$1)</f>
        <v>0</v>
      </c>
      <c r="Z186" s="80">
        <f>SUMIFS('февраль 2024'!$G$6:$G$1413,'февраль 2024'!$D$6:$D$1413,$B186,'февраль 2024'!$J$6:$J$1413,Z$1)</f>
        <v>0</v>
      </c>
      <c r="AA186" s="80">
        <f>SUMIFS('февраль 2024'!$G$6:$G$1413,'февраль 2024'!$D$6:$D$1413,$B186,'февраль 2024'!$J$6:$J$1413,AA$1)</f>
        <v>0</v>
      </c>
      <c r="AB186" s="80">
        <f>SUMIFS('февраль 2024'!$G$6:$G$1413,'февраль 2024'!$D$6:$D$1413,$B186,'февраль 2024'!$J$6:$J$1413,AB$1)</f>
        <v>0</v>
      </c>
      <c r="AC186" s="80">
        <f>SUMIFS('февраль 2024'!$G$6:$G$1413,'февраль 2024'!$D$6:$D$1413,$B186,'февраль 2024'!$J$6:$J$1413,AC$1)</f>
        <v>0</v>
      </c>
      <c r="AD186" s="80">
        <f>SUMIFS('февраль 2024'!$G$6:$G$1413,'февраль 2024'!$D$6:$D$1413,$B186,'февраль 2024'!$J$6:$J$1413,AD$1)</f>
        <v>0</v>
      </c>
      <c r="AE186" s="80">
        <f>SUMIFS('февраль 2024'!$G$6:$G$1413,'февраль 2024'!$D$6:$D$1413,$B186,'февраль 2024'!$J$6:$J$1413,AE$1)</f>
        <v>0</v>
      </c>
      <c r="AF186" s="80">
        <f>SUMIFS('февраль 2024'!$G$6:$G$1413,'февраль 2024'!$D$6:$D$1413,$B186,'февраль 2024'!$J$6:$J$1413,AF$1)</f>
        <v>0</v>
      </c>
      <c r="AG186" s="80">
        <f>SUMIFS('февраль 2024'!$G$6:$G$1413,'февраль 2024'!$D$6:$D$1413,$B186,'февраль 2024'!$J$6:$J$1413,AG$1)</f>
        <v>0</v>
      </c>
      <c r="AH186" s="80">
        <f>SUMIFS('февраль 2024'!$G$6:$G$1413,'февраль 2024'!$D$6:$D$1413,$B186,'февраль 2024'!$J$6:$J$1413,AH$1)</f>
        <v>0</v>
      </c>
      <c r="AI186" s="87"/>
    </row>
    <row r="187" spans="2:35" ht="15" hidden="1" customHeight="1" x14ac:dyDescent="0.25">
      <c r="B187" s="89"/>
      <c r="C187" s="88"/>
      <c r="D187" s="80">
        <f>SUMIFS('февраль 2024'!$G$6:$G$1413,'февраль 2024'!$D$6:$D$1413,$B187,'февраль 2024'!$J$6:$J$1413,D$1)</f>
        <v>0</v>
      </c>
      <c r="E187" s="80">
        <f>SUMIFS('февраль 2024'!$G$6:$G$1413,'февраль 2024'!$D$6:$D$1413,$B187,'февраль 2024'!$J$6:$J$1413,E$1)</f>
        <v>0</v>
      </c>
      <c r="F187" s="80">
        <f>SUMIFS('февраль 2024'!$G$6:$G$1413,'февраль 2024'!$D$6:$D$1413,$B187,'февраль 2024'!$J$6:$J$1413,F$1)</f>
        <v>0</v>
      </c>
      <c r="G187" s="80">
        <f>SUMIFS('февраль 2024'!$G$6:$G$1413,'февраль 2024'!$D$6:$D$1413,$B187,'февраль 2024'!$J$6:$J$1413,G$1)</f>
        <v>0</v>
      </c>
      <c r="H187" s="80">
        <f>SUMIFS('февраль 2024'!$G$6:$G$1413,'февраль 2024'!$D$6:$D$1413,$B187,'февраль 2024'!$J$6:$J$1413,H$1)</f>
        <v>0</v>
      </c>
      <c r="I187" s="80">
        <f>SUMIFS('февраль 2024'!$G$6:$G$1413,'февраль 2024'!$D$6:$D$1413,$B187,'февраль 2024'!$J$6:$J$1413,I$1)</f>
        <v>0</v>
      </c>
      <c r="J187" s="80">
        <f>SUMIFS('февраль 2024'!$G$6:$G$1413,'февраль 2024'!$D$6:$D$1413,$B187,'февраль 2024'!$J$6:$J$1413,J$1)</f>
        <v>0</v>
      </c>
      <c r="K187" s="80">
        <f>SUMIFS('февраль 2024'!$G$6:$G$1413,'февраль 2024'!$D$6:$D$1413,$B187,'февраль 2024'!$J$6:$J$1413,K$1)</f>
        <v>0</v>
      </c>
      <c r="L187" s="80">
        <f>SUMIFS('февраль 2024'!$G$6:$G$1413,'февраль 2024'!$D$6:$D$1413,$B187,'февраль 2024'!$J$6:$J$1413,L$1)</f>
        <v>0</v>
      </c>
      <c r="M187" s="80">
        <f>SUMIFS('февраль 2024'!$G$6:$G$1413,'февраль 2024'!$D$6:$D$1413,$B187,'февраль 2024'!$J$6:$J$1413,M$1)</f>
        <v>0</v>
      </c>
      <c r="N187" s="80">
        <f>SUMIFS('февраль 2024'!$G$6:$G$1413,'февраль 2024'!$D$6:$D$1413,$B187,'февраль 2024'!$J$6:$J$1413,N$1)</f>
        <v>0</v>
      </c>
      <c r="O187" s="80">
        <f>SUMIFS('февраль 2024'!$G$6:$G$1413,'февраль 2024'!$D$6:$D$1413,$B187,'февраль 2024'!$J$6:$J$1413,O$1)</f>
        <v>0</v>
      </c>
      <c r="P187" s="80">
        <f>SUMIFS('февраль 2024'!$G$6:$G$1413,'февраль 2024'!$D$6:$D$1413,$B187,'февраль 2024'!$J$6:$J$1413,P$1)</f>
        <v>0</v>
      </c>
      <c r="Q187" s="80">
        <f>SUMIFS('февраль 2024'!$G$6:$G$1413,'февраль 2024'!$D$6:$D$1413,$B187,'февраль 2024'!$J$6:$J$1413,Q$1)</f>
        <v>0</v>
      </c>
      <c r="R187" s="80">
        <f>SUMIFS('февраль 2024'!$G$6:$G$1413,'февраль 2024'!$D$6:$D$1413,$B187,'февраль 2024'!$J$6:$J$1413,R$1)</f>
        <v>0</v>
      </c>
      <c r="S187" s="80">
        <f>SUMIFS('февраль 2024'!$G$6:$G$1413,'февраль 2024'!$D$6:$D$1413,$B187,'февраль 2024'!$J$6:$J$1413,S$1)</f>
        <v>0</v>
      </c>
      <c r="T187" s="80">
        <f>SUMIFS('февраль 2024'!$G$6:$G$1413,'февраль 2024'!$D$6:$D$1413,$B187,'февраль 2024'!$J$6:$J$1413,T$1)</f>
        <v>0</v>
      </c>
      <c r="U187" s="80">
        <f>SUMIFS('февраль 2024'!$G$6:$G$1413,'февраль 2024'!$D$6:$D$1413,$B187,'февраль 2024'!$J$6:$J$1413,U$1)</f>
        <v>0</v>
      </c>
      <c r="V187" s="80">
        <f>SUMIFS('февраль 2024'!$G$6:$G$1413,'февраль 2024'!$D$6:$D$1413,$B187,'февраль 2024'!$J$6:$J$1413,V$1)</f>
        <v>0</v>
      </c>
      <c r="W187" s="80">
        <f>SUMIFS('февраль 2024'!$G$6:$G$1413,'февраль 2024'!$D$6:$D$1413,$B187,'февраль 2024'!$J$6:$J$1413,W$1)</f>
        <v>0</v>
      </c>
      <c r="X187" s="80">
        <f>SUMIFS('февраль 2024'!$G$6:$G$1413,'февраль 2024'!$D$6:$D$1413,$B187,'февраль 2024'!$J$6:$J$1413,X$1)</f>
        <v>0</v>
      </c>
      <c r="Y187" s="80">
        <f>SUMIFS('февраль 2024'!$G$6:$G$1413,'февраль 2024'!$D$6:$D$1413,$B187,'февраль 2024'!$J$6:$J$1413,Y$1)</f>
        <v>0</v>
      </c>
      <c r="Z187" s="80">
        <f>SUMIFS('февраль 2024'!$G$6:$G$1413,'февраль 2024'!$D$6:$D$1413,$B187,'февраль 2024'!$J$6:$J$1413,Z$1)</f>
        <v>0</v>
      </c>
      <c r="AA187" s="80">
        <f>SUMIFS('февраль 2024'!$G$6:$G$1413,'февраль 2024'!$D$6:$D$1413,$B187,'февраль 2024'!$J$6:$J$1413,AA$1)</f>
        <v>0</v>
      </c>
      <c r="AB187" s="80">
        <f>SUMIFS('февраль 2024'!$G$6:$G$1413,'февраль 2024'!$D$6:$D$1413,$B187,'февраль 2024'!$J$6:$J$1413,AB$1)</f>
        <v>0</v>
      </c>
      <c r="AC187" s="80">
        <f>SUMIFS('февраль 2024'!$G$6:$G$1413,'февраль 2024'!$D$6:$D$1413,$B187,'февраль 2024'!$J$6:$J$1413,AC$1)</f>
        <v>0</v>
      </c>
      <c r="AD187" s="80">
        <f>SUMIFS('февраль 2024'!$G$6:$G$1413,'февраль 2024'!$D$6:$D$1413,$B187,'февраль 2024'!$J$6:$J$1413,AD$1)</f>
        <v>0</v>
      </c>
      <c r="AE187" s="80">
        <f>SUMIFS('февраль 2024'!$G$6:$G$1413,'февраль 2024'!$D$6:$D$1413,$B187,'февраль 2024'!$J$6:$J$1413,AE$1)</f>
        <v>0</v>
      </c>
      <c r="AF187" s="80">
        <f>SUMIFS('февраль 2024'!$G$6:$G$1413,'февраль 2024'!$D$6:$D$1413,$B187,'февраль 2024'!$J$6:$J$1413,AF$1)</f>
        <v>0</v>
      </c>
      <c r="AG187" s="80">
        <f>SUMIFS('февраль 2024'!$G$6:$G$1413,'февраль 2024'!$D$6:$D$1413,$B187,'февраль 2024'!$J$6:$J$1413,AG$1)</f>
        <v>0</v>
      </c>
      <c r="AH187" s="80">
        <f>SUMIFS('февраль 2024'!$G$6:$G$1413,'февраль 2024'!$D$6:$D$1413,$B187,'февраль 2024'!$J$6:$J$1413,AH$1)</f>
        <v>0</v>
      </c>
      <c r="AI187" s="87"/>
    </row>
    <row r="188" spans="2:35" ht="15" hidden="1" customHeight="1" x14ac:dyDescent="0.25">
      <c r="B188" s="89"/>
      <c r="C188" s="88"/>
      <c r="D188" s="80">
        <f>SUMIFS('февраль 2024'!$G$6:$G$1413,'февраль 2024'!$D$6:$D$1413,$B188,'февраль 2024'!$J$6:$J$1413,D$1)</f>
        <v>0</v>
      </c>
      <c r="E188" s="80">
        <f>SUMIFS('февраль 2024'!$G$6:$G$1413,'февраль 2024'!$D$6:$D$1413,$B188,'февраль 2024'!$J$6:$J$1413,E$1)</f>
        <v>0</v>
      </c>
      <c r="F188" s="80">
        <f>SUMIFS('февраль 2024'!$G$6:$G$1413,'февраль 2024'!$D$6:$D$1413,$B188,'февраль 2024'!$J$6:$J$1413,F$1)</f>
        <v>0</v>
      </c>
      <c r="G188" s="80">
        <f>SUMIFS('февраль 2024'!$G$6:$G$1413,'февраль 2024'!$D$6:$D$1413,$B188,'февраль 2024'!$J$6:$J$1413,G$1)</f>
        <v>0</v>
      </c>
      <c r="H188" s="80">
        <f>SUMIFS('февраль 2024'!$G$6:$G$1413,'февраль 2024'!$D$6:$D$1413,$B188,'февраль 2024'!$J$6:$J$1413,H$1)</f>
        <v>0</v>
      </c>
      <c r="I188" s="80">
        <f>SUMIFS('февраль 2024'!$G$6:$G$1413,'февраль 2024'!$D$6:$D$1413,$B188,'февраль 2024'!$J$6:$J$1413,I$1)</f>
        <v>0</v>
      </c>
      <c r="J188" s="80">
        <f>SUMIFS('февраль 2024'!$G$6:$G$1413,'февраль 2024'!$D$6:$D$1413,$B188,'февраль 2024'!$J$6:$J$1413,J$1)</f>
        <v>0</v>
      </c>
      <c r="K188" s="80">
        <f>SUMIFS('февраль 2024'!$G$6:$G$1413,'февраль 2024'!$D$6:$D$1413,$B188,'февраль 2024'!$J$6:$J$1413,K$1)</f>
        <v>0</v>
      </c>
      <c r="L188" s="80">
        <f>SUMIFS('февраль 2024'!$G$6:$G$1413,'февраль 2024'!$D$6:$D$1413,$B188,'февраль 2024'!$J$6:$J$1413,L$1)</f>
        <v>0</v>
      </c>
      <c r="M188" s="80">
        <f>SUMIFS('февраль 2024'!$G$6:$G$1413,'февраль 2024'!$D$6:$D$1413,$B188,'февраль 2024'!$J$6:$J$1413,M$1)</f>
        <v>0</v>
      </c>
      <c r="N188" s="80">
        <f>SUMIFS('февраль 2024'!$G$6:$G$1413,'февраль 2024'!$D$6:$D$1413,$B188,'февраль 2024'!$J$6:$J$1413,N$1)</f>
        <v>0</v>
      </c>
      <c r="O188" s="80">
        <f>SUMIFS('февраль 2024'!$G$6:$G$1413,'февраль 2024'!$D$6:$D$1413,$B188,'февраль 2024'!$J$6:$J$1413,O$1)</f>
        <v>0</v>
      </c>
      <c r="P188" s="80">
        <f>SUMIFS('февраль 2024'!$G$6:$G$1413,'февраль 2024'!$D$6:$D$1413,$B188,'февраль 2024'!$J$6:$J$1413,P$1)</f>
        <v>0</v>
      </c>
      <c r="Q188" s="80">
        <f>SUMIFS('февраль 2024'!$G$6:$G$1413,'февраль 2024'!$D$6:$D$1413,$B188,'февраль 2024'!$J$6:$J$1413,Q$1)</f>
        <v>0</v>
      </c>
      <c r="R188" s="80">
        <f>SUMIFS('февраль 2024'!$G$6:$G$1413,'февраль 2024'!$D$6:$D$1413,$B188,'февраль 2024'!$J$6:$J$1413,R$1)</f>
        <v>0</v>
      </c>
      <c r="S188" s="80">
        <f>SUMIFS('февраль 2024'!$G$6:$G$1413,'февраль 2024'!$D$6:$D$1413,$B188,'февраль 2024'!$J$6:$J$1413,S$1)</f>
        <v>0</v>
      </c>
      <c r="T188" s="80">
        <f>SUMIFS('февраль 2024'!$G$6:$G$1413,'февраль 2024'!$D$6:$D$1413,$B188,'февраль 2024'!$J$6:$J$1413,T$1)</f>
        <v>0</v>
      </c>
      <c r="U188" s="80">
        <f>SUMIFS('февраль 2024'!$G$6:$G$1413,'февраль 2024'!$D$6:$D$1413,$B188,'февраль 2024'!$J$6:$J$1413,U$1)</f>
        <v>0</v>
      </c>
      <c r="V188" s="80">
        <f>SUMIFS('февраль 2024'!$G$6:$G$1413,'февраль 2024'!$D$6:$D$1413,$B188,'февраль 2024'!$J$6:$J$1413,V$1)</f>
        <v>0</v>
      </c>
      <c r="W188" s="80">
        <f>SUMIFS('февраль 2024'!$G$6:$G$1413,'февраль 2024'!$D$6:$D$1413,$B188,'февраль 2024'!$J$6:$J$1413,W$1)</f>
        <v>0</v>
      </c>
      <c r="X188" s="80">
        <f>SUMIFS('февраль 2024'!$G$6:$G$1413,'февраль 2024'!$D$6:$D$1413,$B188,'февраль 2024'!$J$6:$J$1413,X$1)</f>
        <v>0</v>
      </c>
      <c r="Y188" s="80">
        <f>SUMIFS('февраль 2024'!$G$6:$G$1413,'февраль 2024'!$D$6:$D$1413,$B188,'февраль 2024'!$J$6:$J$1413,Y$1)</f>
        <v>0</v>
      </c>
      <c r="Z188" s="80">
        <f>SUMIFS('февраль 2024'!$G$6:$G$1413,'февраль 2024'!$D$6:$D$1413,$B188,'февраль 2024'!$J$6:$J$1413,Z$1)</f>
        <v>0</v>
      </c>
      <c r="AA188" s="80">
        <f>SUMIFS('февраль 2024'!$G$6:$G$1413,'февраль 2024'!$D$6:$D$1413,$B188,'февраль 2024'!$J$6:$J$1413,AA$1)</f>
        <v>0</v>
      </c>
      <c r="AB188" s="80">
        <f>SUMIFS('февраль 2024'!$G$6:$G$1413,'февраль 2024'!$D$6:$D$1413,$B188,'февраль 2024'!$J$6:$J$1413,AB$1)</f>
        <v>0</v>
      </c>
      <c r="AC188" s="80">
        <f>SUMIFS('февраль 2024'!$G$6:$G$1413,'февраль 2024'!$D$6:$D$1413,$B188,'февраль 2024'!$J$6:$J$1413,AC$1)</f>
        <v>0</v>
      </c>
      <c r="AD188" s="80">
        <f>SUMIFS('февраль 2024'!$G$6:$G$1413,'февраль 2024'!$D$6:$D$1413,$B188,'февраль 2024'!$J$6:$J$1413,AD$1)</f>
        <v>0</v>
      </c>
      <c r="AE188" s="80">
        <f>SUMIFS('февраль 2024'!$G$6:$G$1413,'февраль 2024'!$D$6:$D$1413,$B188,'февраль 2024'!$J$6:$J$1413,AE$1)</f>
        <v>0</v>
      </c>
      <c r="AF188" s="80">
        <f>SUMIFS('февраль 2024'!$G$6:$G$1413,'февраль 2024'!$D$6:$D$1413,$B188,'февраль 2024'!$J$6:$J$1413,AF$1)</f>
        <v>0</v>
      </c>
      <c r="AG188" s="80">
        <f>SUMIFS('февраль 2024'!$G$6:$G$1413,'февраль 2024'!$D$6:$D$1413,$B188,'февраль 2024'!$J$6:$J$1413,AG$1)</f>
        <v>0</v>
      </c>
      <c r="AH188" s="80">
        <f>SUMIFS('февраль 2024'!$G$6:$G$1413,'февраль 2024'!$D$6:$D$1413,$B188,'февраль 2024'!$J$6:$J$1413,AH$1)</f>
        <v>0</v>
      </c>
      <c r="AI188" s="87"/>
    </row>
    <row r="189" spans="2:35" ht="15" hidden="1" customHeight="1" x14ac:dyDescent="0.25">
      <c r="B189" s="89"/>
      <c r="C189" s="88"/>
      <c r="D189" s="80">
        <f>SUMIFS('февраль 2024'!$G$6:$G$1413,'февраль 2024'!$D$6:$D$1413,$B189,'февраль 2024'!$J$6:$J$1413,D$1)</f>
        <v>0</v>
      </c>
      <c r="E189" s="80">
        <f>SUMIFS('февраль 2024'!$G$6:$G$1413,'февраль 2024'!$D$6:$D$1413,$B189,'февраль 2024'!$J$6:$J$1413,E$1)</f>
        <v>0</v>
      </c>
      <c r="F189" s="80">
        <f>SUMIFS('февраль 2024'!$G$6:$G$1413,'февраль 2024'!$D$6:$D$1413,$B189,'февраль 2024'!$J$6:$J$1413,F$1)</f>
        <v>0</v>
      </c>
      <c r="G189" s="80">
        <f>SUMIFS('февраль 2024'!$G$6:$G$1413,'февраль 2024'!$D$6:$D$1413,$B189,'февраль 2024'!$J$6:$J$1413,G$1)</f>
        <v>0</v>
      </c>
      <c r="H189" s="80">
        <f>SUMIFS('февраль 2024'!$G$6:$G$1413,'февраль 2024'!$D$6:$D$1413,$B189,'февраль 2024'!$J$6:$J$1413,H$1)</f>
        <v>0</v>
      </c>
      <c r="I189" s="80">
        <f>SUMIFS('февраль 2024'!$G$6:$G$1413,'февраль 2024'!$D$6:$D$1413,$B189,'февраль 2024'!$J$6:$J$1413,I$1)</f>
        <v>0</v>
      </c>
      <c r="J189" s="80">
        <f>SUMIFS('февраль 2024'!$G$6:$G$1413,'февраль 2024'!$D$6:$D$1413,$B189,'февраль 2024'!$J$6:$J$1413,J$1)</f>
        <v>0</v>
      </c>
      <c r="K189" s="80">
        <f>SUMIFS('февраль 2024'!$G$6:$G$1413,'февраль 2024'!$D$6:$D$1413,$B189,'февраль 2024'!$J$6:$J$1413,K$1)</f>
        <v>0</v>
      </c>
      <c r="L189" s="80">
        <f>SUMIFS('февраль 2024'!$G$6:$G$1413,'февраль 2024'!$D$6:$D$1413,$B189,'февраль 2024'!$J$6:$J$1413,L$1)</f>
        <v>0</v>
      </c>
      <c r="M189" s="80">
        <f>SUMIFS('февраль 2024'!$G$6:$G$1413,'февраль 2024'!$D$6:$D$1413,$B189,'февраль 2024'!$J$6:$J$1413,M$1)</f>
        <v>0</v>
      </c>
      <c r="N189" s="80">
        <f>SUMIFS('февраль 2024'!$G$6:$G$1413,'февраль 2024'!$D$6:$D$1413,$B189,'февраль 2024'!$J$6:$J$1413,N$1)</f>
        <v>0</v>
      </c>
      <c r="O189" s="80">
        <f>SUMIFS('февраль 2024'!$G$6:$G$1413,'февраль 2024'!$D$6:$D$1413,$B189,'февраль 2024'!$J$6:$J$1413,O$1)</f>
        <v>0</v>
      </c>
      <c r="P189" s="80">
        <f>SUMIFS('февраль 2024'!$G$6:$G$1413,'февраль 2024'!$D$6:$D$1413,$B189,'февраль 2024'!$J$6:$J$1413,P$1)</f>
        <v>0</v>
      </c>
      <c r="Q189" s="80">
        <f>SUMIFS('февраль 2024'!$G$6:$G$1413,'февраль 2024'!$D$6:$D$1413,$B189,'февраль 2024'!$J$6:$J$1413,Q$1)</f>
        <v>0</v>
      </c>
      <c r="R189" s="80">
        <f>SUMIFS('февраль 2024'!$G$6:$G$1413,'февраль 2024'!$D$6:$D$1413,$B189,'февраль 2024'!$J$6:$J$1413,R$1)</f>
        <v>0</v>
      </c>
      <c r="S189" s="80">
        <f>SUMIFS('февраль 2024'!$G$6:$G$1413,'февраль 2024'!$D$6:$D$1413,$B189,'февраль 2024'!$J$6:$J$1413,S$1)</f>
        <v>0</v>
      </c>
      <c r="T189" s="80">
        <f>SUMIFS('февраль 2024'!$G$6:$G$1413,'февраль 2024'!$D$6:$D$1413,$B189,'февраль 2024'!$J$6:$J$1413,T$1)</f>
        <v>0</v>
      </c>
      <c r="U189" s="80">
        <f>SUMIFS('февраль 2024'!$G$6:$G$1413,'февраль 2024'!$D$6:$D$1413,$B189,'февраль 2024'!$J$6:$J$1413,U$1)</f>
        <v>0</v>
      </c>
      <c r="V189" s="80">
        <f>SUMIFS('февраль 2024'!$G$6:$G$1413,'февраль 2024'!$D$6:$D$1413,$B189,'февраль 2024'!$J$6:$J$1413,V$1)</f>
        <v>0</v>
      </c>
      <c r="W189" s="80">
        <f>SUMIFS('февраль 2024'!$G$6:$G$1413,'февраль 2024'!$D$6:$D$1413,$B189,'февраль 2024'!$J$6:$J$1413,W$1)</f>
        <v>0</v>
      </c>
      <c r="X189" s="80">
        <f>SUMIFS('февраль 2024'!$G$6:$G$1413,'февраль 2024'!$D$6:$D$1413,$B189,'февраль 2024'!$J$6:$J$1413,X$1)</f>
        <v>0</v>
      </c>
      <c r="Y189" s="80">
        <f>SUMIFS('февраль 2024'!$G$6:$G$1413,'февраль 2024'!$D$6:$D$1413,$B189,'февраль 2024'!$J$6:$J$1413,Y$1)</f>
        <v>0</v>
      </c>
      <c r="Z189" s="80">
        <f>SUMIFS('февраль 2024'!$G$6:$G$1413,'февраль 2024'!$D$6:$D$1413,$B189,'февраль 2024'!$J$6:$J$1413,Z$1)</f>
        <v>0</v>
      </c>
      <c r="AA189" s="80">
        <f>SUMIFS('февраль 2024'!$G$6:$G$1413,'февраль 2024'!$D$6:$D$1413,$B189,'февраль 2024'!$J$6:$J$1413,AA$1)</f>
        <v>0</v>
      </c>
      <c r="AB189" s="80">
        <f>SUMIFS('февраль 2024'!$G$6:$G$1413,'февраль 2024'!$D$6:$D$1413,$B189,'февраль 2024'!$J$6:$J$1413,AB$1)</f>
        <v>0</v>
      </c>
      <c r="AC189" s="80">
        <f>SUMIFS('февраль 2024'!$G$6:$G$1413,'февраль 2024'!$D$6:$D$1413,$B189,'февраль 2024'!$J$6:$J$1413,AC$1)</f>
        <v>0</v>
      </c>
      <c r="AD189" s="80">
        <f>SUMIFS('февраль 2024'!$G$6:$G$1413,'февраль 2024'!$D$6:$D$1413,$B189,'февраль 2024'!$J$6:$J$1413,AD$1)</f>
        <v>0</v>
      </c>
      <c r="AE189" s="80">
        <f>SUMIFS('февраль 2024'!$G$6:$G$1413,'февраль 2024'!$D$6:$D$1413,$B189,'февраль 2024'!$J$6:$J$1413,AE$1)</f>
        <v>0</v>
      </c>
      <c r="AF189" s="80">
        <f>SUMIFS('февраль 2024'!$G$6:$G$1413,'февраль 2024'!$D$6:$D$1413,$B189,'февраль 2024'!$J$6:$J$1413,AF$1)</f>
        <v>0</v>
      </c>
      <c r="AG189" s="80">
        <f>SUMIFS('февраль 2024'!$G$6:$G$1413,'февраль 2024'!$D$6:$D$1413,$B189,'февраль 2024'!$J$6:$J$1413,AG$1)</f>
        <v>0</v>
      </c>
      <c r="AH189" s="80">
        <f>SUMIFS('февраль 2024'!$G$6:$G$1413,'февраль 2024'!$D$6:$D$1413,$B189,'февраль 2024'!$J$6:$J$1413,AH$1)</f>
        <v>0</v>
      </c>
      <c r="AI189" s="87"/>
    </row>
    <row r="190" spans="2:35" ht="15" hidden="1" customHeight="1" x14ac:dyDescent="0.25">
      <c r="B190" s="89"/>
      <c r="C190" s="88"/>
      <c r="D190" s="80">
        <f>SUMIFS('февраль 2024'!$G$6:$G$1413,'февраль 2024'!$D$6:$D$1413,$B190,'февраль 2024'!$J$6:$J$1413,D$1)</f>
        <v>0</v>
      </c>
      <c r="E190" s="80">
        <f>SUMIFS('февраль 2024'!$G$6:$G$1413,'февраль 2024'!$D$6:$D$1413,$B190,'февраль 2024'!$J$6:$J$1413,E$1)</f>
        <v>0</v>
      </c>
      <c r="F190" s="80">
        <f>SUMIFS('февраль 2024'!$G$6:$G$1413,'февраль 2024'!$D$6:$D$1413,$B190,'февраль 2024'!$J$6:$J$1413,F$1)</f>
        <v>0</v>
      </c>
      <c r="G190" s="80">
        <f>SUMIFS('февраль 2024'!$G$6:$G$1413,'февраль 2024'!$D$6:$D$1413,$B190,'февраль 2024'!$J$6:$J$1413,G$1)</f>
        <v>0</v>
      </c>
      <c r="H190" s="80">
        <f>SUMIFS('февраль 2024'!$G$6:$G$1413,'февраль 2024'!$D$6:$D$1413,$B190,'февраль 2024'!$J$6:$J$1413,H$1)</f>
        <v>0</v>
      </c>
      <c r="I190" s="80">
        <f>SUMIFS('февраль 2024'!$G$6:$G$1413,'февраль 2024'!$D$6:$D$1413,$B190,'февраль 2024'!$J$6:$J$1413,I$1)</f>
        <v>0</v>
      </c>
      <c r="J190" s="80">
        <f>SUMIFS('февраль 2024'!$G$6:$G$1413,'февраль 2024'!$D$6:$D$1413,$B190,'февраль 2024'!$J$6:$J$1413,J$1)</f>
        <v>0</v>
      </c>
      <c r="K190" s="80">
        <f>SUMIFS('февраль 2024'!$G$6:$G$1413,'февраль 2024'!$D$6:$D$1413,$B190,'февраль 2024'!$J$6:$J$1413,K$1)</f>
        <v>0</v>
      </c>
      <c r="L190" s="80">
        <f>SUMIFS('февраль 2024'!$G$6:$G$1413,'февраль 2024'!$D$6:$D$1413,$B190,'февраль 2024'!$J$6:$J$1413,L$1)</f>
        <v>0</v>
      </c>
      <c r="M190" s="80">
        <f>SUMIFS('февраль 2024'!$G$6:$G$1413,'февраль 2024'!$D$6:$D$1413,$B190,'февраль 2024'!$J$6:$J$1413,M$1)</f>
        <v>0</v>
      </c>
      <c r="N190" s="80">
        <f>SUMIFS('февраль 2024'!$G$6:$G$1413,'февраль 2024'!$D$6:$D$1413,$B190,'февраль 2024'!$J$6:$J$1413,N$1)</f>
        <v>0</v>
      </c>
      <c r="O190" s="80">
        <f>SUMIFS('февраль 2024'!$G$6:$G$1413,'февраль 2024'!$D$6:$D$1413,$B190,'февраль 2024'!$J$6:$J$1413,O$1)</f>
        <v>0</v>
      </c>
      <c r="P190" s="80">
        <f>SUMIFS('февраль 2024'!$G$6:$G$1413,'февраль 2024'!$D$6:$D$1413,$B190,'февраль 2024'!$J$6:$J$1413,P$1)</f>
        <v>0</v>
      </c>
      <c r="Q190" s="80">
        <f>SUMIFS('февраль 2024'!$G$6:$G$1413,'февраль 2024'!$D$6:$D$1413,$B190,'февраль 2024'!$J$6:$J$1413,Q$1)</f>
        <v>0</v>
      </c>
      <c r="R190" s="80">
        <f>SUMIFS('февраль 2024'!$G$6:$G$1413,'февраль 2024'!$D$6:$D$1413,$B190,'февраль 2024'!$J$6:$J$1413,R$1)</f>
        <v>0</v>
      </c>
      <c r="S190" s="80">
        <f>SUMIFS('февраль 2024'!$G$6:$G$1413,'февраль 2024'!$D$6:$D$1413,$B190,'февраль 2024'!$J$6:$J$1413,S$1)</f>
        <v>0</v>
      </c>
      <c r="T190" s="80">
        <f>SUMIFS('февраль 2024'!$G$6:$G$1413,'февраль 2024'!$D$6:$D$1413,$B190,'февраль 2024'!$J$6:$J$1413,T$1)</f>
        <v>0</v>
      </c>
      <c r="U190" s="80">
        <f>SUMIFS('февраль 2024'!$G$6:$G$1413,'февраль 2024'!$D$6:$D$1413,$B190,'февраль 2024'!$J$6:$J$1413,U$1)</f>
        <v>0</v>
      </c>
      <c r="V190" s="80">
        <f>SUMIFS('февраль 2024'!$G$6:$G$1413,'февраль 2024'!$D$6:$D$1413,$B190,'февраль 2024'!$J$6:$J$1413,V$1)</f>
        <v>0</v>
      </c>
      <c r="W190" s="80">
        <f>SUMIFS('февраль 2024'!$G$6:$G$1413,'февраль 2024'!$D$6:$D$1413,$B190,'февраль 2024'!$J$6:$J$1413,W$1)</f>
        <v>0</v>
      </c>
      <c r="X190" s="80">
        <f>SUMIFS('февраль 2024'!$G$6:$G$1413,'февраль 2024'!$D$6:$D$1413,$B190,'февраль 2024'!$J$6:$J$1413,X$1)</f>
        <v>0</v>
      </c>
      <c r="Y190" s="80">
        <f>SUMIFS('февраль 2024'!$G$6:$G$1413,'февраль 2024'!$D$6:$D$1413,$B190,'февраль 2024'!$J$6:$J$1413,Y$1)</f>
        <v>0</v>
      </c>
      <c r="Z190" s="80">
        <f>SUMIFS('февраль 2024'!$G$6:$G$1413,'февраль 2024'!$D$6:$D$1413,$B190,'февраль 2024'!$J$6:$J$1413,Z$1)</f>
        <v>0</v>
      </c>
      <c r="AA190" s="80">
        <f>SUMIFS('февраль 2024'!$G$6:$G$1413,'февраль 2024'!$D$6:$D$1413,$B190,'февраль 2024'!$J$6:$J$1413,AA$1)</f>
        <v>0</v>
      </c>
      <c r="AB190" s="80">
        <f>SUMIFS('февраль 2024'!$G$6:$G$1413,'февраль 2024'!$D$6:$D$1413,$B190,'февраль 2024'!$J$6:$J$1413,AB$1)</f>
        <v>0</v>
      </c>
      <c r="AC190" s="80">
        <f>SUMIFS('февраль 2024'!$G$6:$G$1413,'февраль 2024'!$D$6:$D$1413,$B190,'февраль 2024'!$J$6:$J$1413,AC$1)</f>
        <v>0</v>
      </c>
      <c r="AD190" s="80">
        <f>SUMIFS('февраль 2024'!$G$6:$G$1413,'февраль 2024'!$D$6:$D$1413,$B190,'февраль 2024'!$J$6:$J$1413,AD$1)</f>
        <v>0</v>
      </c>
      <c r="AE190" s="80">
        <f>SUMIFS('февраль 2024'!$G$6:$G$1413,'февраль 2024'!$D$6:$D$1413,$B190,'февраль 2024'!$J$6:$J$1413,AE$1)</f>
        <v>0</v>
      </c>
      <c r="AF190" s="80">
        <f>SUMIFS('февраль 2024'!$G$6:$G$1413,'февраль 2024'!$D$6:$D$1413,$B190,'февраль 2024'!$J$6:$J$1413,AF$1)</f>
        <v>0</v>
      </c>
      <c r="AG190" s="80">
        <f>SUMIFS('февраль 2024'!$G$6:$G$1413,'февраль 2024'!$D$6:$D$1413,$B190,'февраль 2024'!$J$6:$J$1413,AG$1)</f>
        <v>0</v>
      </c>
      <c r="AH190" s="80">
        <f>SUMIFS('февраль 2024'!$G$6:$G$1413,'февраль 2024'!$D$6:$D$1413,$B190,'февраль 2024'!$J$6:$J$1413,AH$1)</f>
        <v>0</v>
      </c>
      <c r="AI190" s="87"/>
    </row>
    <row r="191" spans="2:35" ht="15" hidden="1" customHeight="1" x14ac:dyDescent="0.25">
      <c r="B191" s="89"/>
      <c r="C191" s="88"/>
      <c r="D191" s="80">
        <f>SUMIFS('февраль 2024'!$G$6:$G$1413,'февраль 2024'!$D$6:$D$1413,$B191,'февраль 2024'!$J$6:$J$1413,D$1)</f>
        <v>0</v>
      </c>
      <c r="E191" s="80">
        <f>SUMIFS('февраль 2024'!$G$6:$G$1413,'февраль 2024'!$D$6:$D$1413,$B191,'февраль 2024'!$J$6:$J$1413,E$1)</f>
        <v>0</v>
      </c>
      <c r="F191" s="80">
        <f>SUMIFS('февраль 2024'!$G$6:$G$1413,'февраль 2024'!$D$6:$D$1413,$B191,'февраль 2024'!$J$6:$J$1413,F$1)</f>
        <v>0</v>
      </c>
      <c r="G191" s="80">
        <f>SUMIFS('февраль 2024'!$G$6:$G$1413,'февраль 2024'!$D$6:$D$1413,$B191,'февраль 2024'!$J$6:$J$1413,G$1)</f>
        <v>0</v>
      </c>
      <c r="H191" s="80">
        <f>SUMIFS('февраль 2024'!$G$6:$G$1413,'февраль 2024'!$D$6:$D$1413,$B191,'февраль 2024'!$J$6:$J$1413,H$1)</f>
        <v>0</v>
      </c>
      <c r="I191" s="80">
        <f>SUMIFS('февраль 2024'!$G$6:$G$1413,'февраль 2024'!$D$6:$D$1413,$B191,'февраль 2024'!$J$6:$J$1413,I$1)</f>
        <v>0</v>
      </c>
      <c r="J191" s="80">
        <f>SUMIFS('февраль 2024'!$G$6:$G$1413,'февраль 2024'!$D$6:$D$1413,$B191,'февраль 2024'!$J$6:$J$1413,J$1)</f>
        <v>0</v>
      </c>
      <c r="K191" s="80">
        <f>SUMIFS('февраль 2024'!$G$6:$G$1413,'февраль 2024'!$D$6:$D$1413,$B191,'февраль 2024'!$J$6:$J$1413,K$1)</f>
        <v>0</v>
      </c>
      <c r="L191" s="80">
        <f>SUMIFS('февраль 2024'!$G$6:$G$1413,'февраль 2024'!$D$6:$D$1413,$B191,'февраль 2024'!$J$6:$J$1413,L$1)</f>
        <v>0</v>
      </c>
      <c r="M191" s="80">
        <f>SUMIFS('февраль 2024'!$G$6:$G$1413,'февраль 2024'!$D$6:$D$1413,$B191,'февраль 2024'!$J$6:$J$1413,M$1)</f>
        <v>0</v>
      </c>
      <c r="N191" s="80">
        <f>SUMIFS('февраль 2024'!$G$6:$G$1413,'февраль 2024'!$D$6:$D$1413,$B191,'февраль 2024'!$J$6:$J$1413,N$1)</f>
        <v>0</v>
      </c>
      <c r="O191" s="80">
        <f>SUMIFS('февраль 2024'!$G$6:$G$1413,'февраль 2024'!$D$6:$D$1413,$B191,'февраль 2024'!$J$6:$J$1413,O$1)</f>
        <v>0</v>
      </c>
      <c r="P191" s="80">
        <f>SUMIFS('февраль 2024'!$G$6:$G$1413,'февраль 2024'!$D$6:$D$1413,$B191,'февраль 2024'!$J$6:$J$1413,P$1)</f>
        <v>0</v>
      </c>
      <c r="Q191" s="80">
        <f>SUMIFS('февраль 2024'!$G$6:$G$1413,'февраль 2024'!$D$6:$D$1413,$B191,'февраль 2024'!$J$6:$J$1413,Q$1)</f>
        <v>0</v>
      </c>
      <c r="R191" s="80">
        <f>SUMIFS('февраль 2024'!$G$6:$G$1413,'февраль 2024'!$D$6:$D$1413,$B191,'февраль 2024'!$J$6:$J$1413,R$1)</f>
        <v>0</v>
      </c>
      <c r="S191" s="80">
        <f>SUMIFS('февраль 2024'!$G$6:$G$1413,'февраль 2024'!$D$6:$D$1413,$B191,'февраль 2024'!$J$6:$J$1413,S$1)</f>
        <v>0</v>
      </c>
      <c r="T191" s="80">
        <f>SUMIFS('февраль 2024'!$G$6:$G$1413,'февраль 2024'!$D$6:$D$1413,$B191,'февраль 2024'!$J$6:$J$1413,T$1)</f>
        <v>0</v>
      </c>
      <c r="U191" s="80">
        <f>SUMIFS('февраль 2024'!$G$6:$G$1413,'февраль 2024'!$D$6:$D$1413,$B191,'февраль 2024'!$J$6:$J$1413,U$1)</f>
        <v>0</v>
      </c>
      <c r="V191" s="80">
        <f>SUMIFS('февраль 2024'!$G$6:$G$1413,'февраль 2024'!$D$6:$D$1413,$B191,'февраль 2024'!$J$6:$J$1413,V$1)</f>
        <v>0</v>
      </c>
      <c r="W191" s="80">
        <f>SUMIFS('февраль 2024'!$G$6:$G$1413,'февраль 2024'!$D$6:$D$1413,$B191,'февраль 2024'!$J$6:$J$1413,W$1)</f>
        <v>0</v>
      </c>
      <c r="X191" s="80">
        <f>SUMIFS('февраль 2024'!$G$6:$G$1413,'февраль 2024'!$D$6:$D$1413,$B191,'февраль 2024'!$J$6:$J$1413,X$1)</f>
        <v>0</v>
      </c>
      <c r="Y191" s="80">
        <f>SUMIFS('февраль 2024'!$G$6:$G$1413,'февраль 2024'!$D$6:$D$1413,$B191,'февраль 2024'!$J$6:$J$1413,Y$1)</f>
        <v>0</v>
      </c>
      <c r="Z191" s="80">
        <f>SUMIFS('февраль 2024'!$G$6:$G$1413,'февраль 2024'!$D$6:$D$1413,$B191,'февраль 2024'!$J$6:$J$1413,Z$1)</f>
        <v>0</v>
      </c>
      <c r="AA191" s="80">
        <f>SUMIFS('февраль 2024'!$G$6:$G$1413,'февраль 2024'!$D$6:$D$1413,$B191,'февраль 2024'!$J$6:$J$1413,AA$1)</f>
        <v>0</v>
      </c>
      <c r="AB191" s="80">
        <f>SUMIFS('февраль 2024'!$G$6:$G$1413,'февраль 2024'!$D$6:$D$1413,$B191,'февраль 2024'!$J$6:$J$1413,AB$1)</f>
        <v>0</v>
      </c>
      <c r="AC191" s="80">
        <f>SUMIFS('февраль 2024'!$G$6:$G$1413,'февраль 2024'!$D$6:$D$1413,$B191,'февраль 2024'!$J$6:$J$1413,AC$1)</f>
        <v>0</v>
      </c>
      <c r="AD191" s="80">
        <f>SUMIFS('февраль 2024'!$G$6:$G$1413,'февраль 2024'!$D$6:$D$1413,$B191,'февраль 2024'!$J$6:$J$1413,AD$1)</f>
        <v>0</v>
      </c>
      <c r="AE191" s="80">
        <f>SUMIFS('февраль 2024'!$G$6:$G$1413,'февраль 2024'!$D$6:$D$1413,$B191,'февраль 2024'!$J$6:$J$1413,AE$1)</f>
        <v>0</v>
      </c>
      <c r="AF191" s="80">
        <f>SUMIFS('февраль 2024'!$G$6:$G$1413,'февраль 2024'!$D$6:$D$1413,$B191,'февраль 2024'!$J$6:$J$1413,AF$1)</f>
        <v>0</v>
      </c>
      <c r="AG191" s="80">
        <f>SUMIFS('февраль 2024'!$G$6:$G$1413,'февраль 2024'!$D$6:$D$1413,$B191,'февраль 2024'!$J$6:$J$1413,AG$1)</f>
        <v>0</v>
      </c>
      <c r="AH191" s="80">
        <f>SUMIFS('февраль 2024'!$G$6:$G$1413,'февраль 2024'!$D$6:$D$1413,$B191,'февраль 2024'!$J$6:$J$1413,AH$1)</f>
        <v>0</v>
      </c>
      <c r="AI191" s="87"/>
    </row>
    <row r="192" spans="2:35" ht="15" hidden="1" customHeight="1" x14ac:dyDescent="0.25">
      <c r="B192" s="89"/>
      <c r="C192" s="88"/>
      <c r="D192" s="80">
        <f>SUMIFS('февраль 2024'!$G$6:$G$1413,'февраль 2024'!$D$6:$D$1413,$B192,'февраль 2024'!$J$6:$J$1413,D$1)</f>
        <v>0</v>
      </c>
      <c r="E192" s="80">
        <f>SUMIFS('февраль 2024'!$G$6:$G$1413,'февраль 2024'!$D$6:$D$1413,$B192,'февраль 2024'!$J$6:$J$1413,E$1)</f>
        <v>0</v>
      </c>
      <c r="F192" s="80">
        <f>SUMIFS('февраль 2024'!$G$6:$G$1413,'февраль 2024'!$D$6:$D$1413,$B192,'февраль 2024'!$J$6:$J$1413,F$1)</f>
        <v>0</v>
      </c>
      <c r="G192" s="80">
        <f>SUMIFS('февраль 2024'!$G$6:$G$1413,'февраль 2024'!$D$6:$D$1413,$B192,'февраль 2024'!$J$6:$J$1413,G$1)</f>
        <v>0</v>
      </c>
      <c r="H192" s="80">
        <f>SUMIFS('февраль 2024'!$G$6:$G$1413,'февраль 2024'!$D$6:$D$1413,$B192,'февраль 2024'!$J$6:$J$1413,H$1)</f>
        <v>0</v>
      </c>
      <c r="I192" s="80">
        <f>SUMIFS('февраль 2024'!$G$6:$G$1413,'февраль 2024'!$D$6:$D$1413,$B192,'февраль 2024'!$J$6:$J$1413,I$1)</f>
        <v>0</v>
      </c>
      <c r="J192" s="80">
        <f>SUMIFS('февраль 2024'!$G$6:$G$1413,'февраль 2024'!$D$6:$D$1413,$B192,'февраль 2024'!$J$6:$J$1413,J$1)</f>
        <v>0</v>
      </c>
      <c r="K192" s="80">
        <f>SUMIFS('февраль 2024'!$G$6:$G$1413,'февраль 2024'!$D$6:$D$1413,$B192,'февраль 2024'!$J$6:$J$1413,K$1)</f>
        <v>0</v>
      </c>
      <c r="L192" s="80">
        <f>SUMIFS('февраль 2024'!$G$6:$G$1413,'февраль 2024'!$D$6:$D$1413,$B192,'февраль 2024'!$J$6:$J$1413,L$1)</f>
        <v>0</v>
      </c>
      <c r="M192" s="80">
        <f>SUMIFS('февраль 2024'!$G$6:$G$1413,'февраль 2024'!$D$6:$D$1413,$B192,'февраль 2024'!$J$6:$J$1413,M$1)</f>
        <v>0</v>
      </c>
      <c r="N192" s="80">
        <f>SUMIFS('февраль 2024'!$G$6:$G$1413,'февраль 2024'!$D$6:$D$1413,$B192,'февраль 2024'!$J$6:$J$1413,N$1)</f>
        <v>0</v>
      </c>
      <c r="O192" s="80">
        <f>SUMIFS('февраль 2024'!$G$6:$G$1413,'февраль 2024'!$D$6:$D$1413,$B192,'февраль 2024'!$J$6:$J$1413,O$1)</f>
        <v>0</v>
      </c>
      <c r="P192" s="80">
        <f>SUMIFS('февраль 2024'!$G$6:$G$1413,'февраль 2024'!$D$6:$D$1413,$B192,'февраль 2024'!$J$6:$J$1413,P$1)</f>
        <v>0</v>
      </c>
      <c r="Q192" s="80">
        <f>SUMIFS('февраль 2024'!$G$6:$G$1413,'февраль 2024'!$D$6:$D$1413,$B192,'февраль 2024'!$J$6:$J$1413,Q$1)</f>
        <v>0</v>
      </c>
      <c r="R192" s="80">
        <f>SUMIFS('февраль 2024'!$G$6:$G$1413,'февраль 2024'!$D$6:$D$1413,$B192,'февраль 2024'!$J$6:$J$1413,R$1)</f>
        <v>0</v>
      </c>
      <c r="S192" s="80">
        <f>SUMIFS('февраль 2024'!$G$6:$G$1413,'февраль 2024'!$D$6:$D$1413,$B192,'февраль 2024'!$J$6:$J$1413,S$1)</f>
        <v>0</v>
      </c>
      <c r="T192" s="80">
        <f>SUMIFS('февраль 2024'!$G$6:$G$1413,'февраль 2024'!$D$6:$D$1413,$B192,'февраль 2024'!$J$6:$J$1413,T$1)</f>
        <v>0</v>
      </c>
      <c r="U192" s="80">
        <f>SUMIFS('февраль 2024'!$G$6:$G$1413,'февраль 2024'!$D$6:$D$1413,$B192,'февраль 2024'!$J$6:$J$1413,U$1)</f>
        <v>0</v>
      </c>
      <c r="V192" s="80">
        <f>SUMIFS('февраль 2024'!$G$6:$G$1413,'февраль 2024'!$D$6:$D$1413,$B192,'февраль 2024'!$J$6:$J$1413,V$1)</f>
        <v>0</v>
      </c>
      <c r="W192" s="80">
        <f>SUMIFS('февраль 2024'!$G$6:$G$1413,'февраль 2024'!$D$6:$D$1413,$B192,'февраль 2024'!$J$6:$J$1413,W$1)</f>
        <v>0</v>
      </c>
      <c r="X192" s="80">
        <f>SUMIFS('февраль 2024'!$G$6:$G$1413,'февраль 2024'!$D$6:$D$1413,$B192,'февраль 2024'!$J$6:$J$1413,X$1)</f>
        <v>0</v>
      </c>
      <c r="Y192" s="80">
        <f>SUMIFS('февраль 2024'!$G$6:$G$1413,'февраль 2024'!$D$6:$D$1413,$B192,'февраль 2024'!$J$6:$J$1413,Y$1)</f>
        <v>0</v>
      </c>
      <c r="Z192" s="80">
        <f>SUMIFS('февраль 2024'!$G$6:$G$1413,'февраль 2024'!$D$6:$D$1413,$B192,'февраль 2024'!$J$6:$J$1413,Z$1)</f>
        <v>0</v>
      </c>
      <c r="AA192" s="80">
        <f>SUMIFS('февраль 2024'!$G$6:$G$1413,'февраль 2024'!$D$6:$D$1413,$B192,'февраль 2024'!$J$6:$J$1413,AA$1)</f>
        <v>0</v>
      </c>
      <c r="AB192" s="80">
        <f>SUMIFS('февраль 2024'!$G$6:$G$1413,'февраль 2024'!$D$6:$D$1413,$B192,'февраль 2024'!$J$6:$J$1413,AB$1)</f>
        <v>0</v>
      </c>
      <c r="AC192" s="80">
        <f>SUMIFS('февраль 2024'!$G$6:$G$1413,'февраль 2024'!$D$6:$D$1413,$B192,'февраль 2024'!$J$6:$J$1413,AC$1)</f>
        <v>0</v>
      </c>
      <c r="AD192" s="80">
        <f>SUMIFS('февраль 2024'!$G$6:$G$1413,'февраль 2024'!$D$6:$D$1413,$B192,'февраль 2024'!$J$6:$J$1413,AD$1)</f>
        <v>0</v>
      </c>
      <c r="AE192" s="80">
        <f>SUMIFS('февраль 2024'!$G$6:$G$1413,'февраль 2024'!$D$6:$D$1413,$B192,'февраль 2024'!$J$6:$J$1413,AE$1)</f>
        <v>0</v>
      </c>
      <c r="AF192" s="80">
        <f>SUMIFS('февраль 2024'!$G$6:$G$1413,'февраль 2024'!$D$6:$D$1413,$B192,'февраль 2024'!$J$6:$J$1413,AF$1)</f>
        <v>0</v>
      </c>
      <c r="AG192" s="80">
        <f>SUMIFS('февраль 2024'!$G$6:$G$1413,'февраль 2024'!$D$6:$D$1413,$B192,'февраль 2024'!$J$6:$J$1413,AG$1)</f>
        <v>0</v>
      </c>
      <c r="AH192" s="80">
        <f>SUMIFS('февраль 2024'!$G$6:$G$1413,'февраль 2024'!$D$6:$D$1413,$B192,'февраль 2024'!$J$6:$J$1413,AH$1)</f>
        <v>0</v>
      </c>
      <c r="AI192" s="87"/>
    </row>
    <row r="193" spans="2:35" ht="15" hidden="1" customHeight="1" x14ac:dyDescent="0.25">
      <c r="B193" s="89"/>
      <c r="C193" s="88"/>
      <c r="D193" s="80">
        <f>SUMIFS('февраль 2024'!$G$6:$G$1413,'февраль 2024'!$D$6:$D$1413,$B193,'февраль 2024'!$J$6:$J$1413,D$1)</f>
        <v>0</v>
      </c>
      <c r="E193" s="80">
        <f>SUMIFS('февраль 2024'!$G$6:$G$1413,'февраль 2024'!$D$6:$D$1413,$B193,'февраль 2024'!$J$6:$J$1413,E$1)</f>
        <v>0</v>
      </c>
      <c r="F193" s="80">
        <f>SUMIFS('февраль 2024'!$G$6:$G$1413,'февраль 2024'!$D$6:$D$1413,$B193,'февраль 2024'!$J$6:$J$1413,F$1)</f>
        <v>0</v>
      </c>
      <c r="G193" s="80">
        <f>SUMIFS('февраль 2024'!$G$6:$G$1413,'февраль 2024'!$D$6:$D$1413,$B193,'февраль 2024'!$J$6:$J$1413,G$1)</f>
        <v>0</v>
      </c>
      <c r="H193" s="80">
        <f>SUMIFS('февраль 2024'!$G$6:$G$1413,'февраль 2024'!$D$6:$D$1413,$B193,'февраль 2024'!$J$6:$J$1413,H$1)</f>
        <v>0</v>
      </c>
      <c r="I193" s="80">
        <f>SUMIFS('февраль 2024'!$G$6:$G$1413,'февраль 2024'!$D$6:$D$1413,$B193,'февраль 2024'!$J$6:$J$1413,I$1)</f>
        <v>0</v>
      </c>
      <c r="J193" s="80">
        <f>SUMIFS('февраль 2024'!$G$6:$G$1413,'февраль 2024'!$D$6:$D$1413,$B193,'февраль 2024'!$J$6:$J$1413,J$1)</f>
        <v>0</v>
      </c>
      <c r="K193" s="80">
        <f>SUMIFS('февраль 2024'!$G$6:$G$1413,'февраль 2024'!$D$6:$D$1413,$B193,'февраль 2024'!$J$6:$J$1413,K$1)</f>
        <v>0</v>
      </c>
      <c r="L193" s="80">
        <f>SUMIFS('февраль 2024'!$G$6:$G$1413,'февраль 2024'!$D$6:$D$1413,$B193,'февраль 2024'!$J$6:$J$1413,L$1)</f>
        <v>0</v>
      </c>
      <c r="M193" s="80">
        <f>SUMIFS('февраль 2024'!$G$6:$G$1413,'февраль 2024'!$D$6:$D$1413,$B193,'февраль 2024'!$J$6:$J$1413,M$1)</f>
        <v>0</v>
      </c>
      <c r="N193" s="80">
        <f>SUMIFS('февраль 2024'!$G$6:$G$1413,'февраль 2024'!$D$6:$D$1413,$B193,'февраль 2024'!$J$6:$J$1413,N$1)</f>
        <v>0</v>
      </c>
      <c r="O193" s="80">
        <f>SUMIFS('февраль 2024'!$G$6:$G$1413,'февраль 2024'!$D$6:$D$1413,$B193,'февраль 2024'!$J$6:$J$1413,O$1)</f>
        <v>0</v>
      </c>
      <c r="P193" s="80">
        <f>SUMIFS('февраль 2024'!$G$6:$G$1413,'февраль 2024'!$D$6:$D$1413,$B193,'февраль 2024'!$J$6:$J$1413,P$1)</f>
        <v>0</v>
      </c>
      <c r="Q193" s="80">
        <f>SUMIFS('февраль 2024'!$G$6:$G$1413,'февраль 2024'!$D$6:$D$1413,$B193,'февраль 2024'!$J$6:$J$1413,Q$1)</f>
        <v>0</v>
      </c>
      <c r="R193" s="80">
        <f>SUMIFS('февраль 2024'!$G$6:$G$1413,'февраль 2024'!$D$6:$D$1413,$B193,'февраль 2024'!$J$6:$J$1413,R$1)</f>
        <v>0</v>
      </c>
      <c r="S193" s="80">
        <f>SUMIFS('февраль 2024'!$G$6:$G$1413,'февраль 2024'!$D$6:$D$1413,$B193,'февраль 2024'!$J$6:$J$1413,S$1)</f>
        <v>0</v>
      </c>
      <c r="T193" s="80">
        <f>SUMIFS('февраль 2024'!$G$6:$G$1413,'февраль 2024'!$D$6:$D$1413,$B193,'февраль 2024'!$J$6:$J$1413,T$1)</f>
        <v>0</v>
      </c>
      <c r="U193" s="80">
        <f>SUMIFS('февраль 2024'!$G$6:$G$1413,'февраль 2024'!$D$6:$D$1413,$B193,'февраль 2024'!$J$6:$J$1413,U$1)</f>
        <v>0</v>
      </c>
      <c r="V193" s="80">
        <f>SUMIFS('февраль 2024'!$G$6:$G$1413,'февраль 2024'!$D$6:$D$1413,$B193,'февраль 2024'!$J$6:$J$1413,V$1)</f>
        <v>0</v>
      </c>
      <c r="W193" s="80">
        <f>SUMIFS('февраль 2024'!$G$6:$G$1413,'февраль 2024'!$D$6:$D$1413,$B193,'февраль 2024'!$J$6:$J$1413,W$1)</f>
        <v>0</v>
      </c>
      <c r="X193" s="80">
        <f>SUMIFS('февраль 2024'!$G$6:$G$1413,'февраль 2024'!$D$6:$D$1413,$B193,'февраль 2024'!$J$6:$J$1413,X$1)</f>
        <v>0</v>
      </c>
      <c r="Y193" s="80">
        <f>SUMIFS('февраль 2024'!$G$6:$G$1413,'февраль 2024'!$D$6:$D$1413,$B193,'февраль 2024'!$J$6:$J$1413,Y$1)</f>
        <v>0</v>
      </c>
      <c r="Z193" s="80">
        <f>SUMIFS('февраль 2024'!$G$6:$G$1413,'февраль 2024'!$D$6:$D$1413,$B193,'февраль 2024'!$J$6:$J$1413,Z$1)</f>
        <v>0</v>
      </c>
      <c r="AA193" s="80">
        <f>SUMIFS('февраль 2024'!$G$6:$G$1413,'февраль 2024'!$D$6:$D$1413,$B193,'февраль 2024'!$J$6:$J$1413,AA$1)</f>
        <v>0</v>
      </c>
      <c r="AB193" s="80">
        <f>SUMIFS('февраль 2024'!$G$6:$G$1413,'февраль 2024'!$D$6:$D$1413,$B193,'февраль 2024'!$J$6:$J$1413,AB$1)</f>
        <v>0</v>
      </c>
      <c r="AC193" s="80">
        <f>SUMIFS('февраль 2024'!$G$6:$G$1413,'февраль 2024'!$D$6:$D$1413,$B193,'февраль 2024'!$J$6:$J$1413,AC$1)</f>
        <v>0</v>
      </c>
      <c r="AD193" s="80">
        <f>SUMIFS('февраль 2024'!$G$6:$G$1413,'февраль 2024'!$D$6:$D$1413,$B193,'февраль 2024'!$J$6:$J$1413,AD$1)</f>
        <v>0</v>
      </c>
      <c r="AE193" s="80">
        <f>SUMIFS('февраль 2024'!$G$6:$G$1413,'февраль 2024'!$D$6:$D$1413,$B193,'февраль 2024'!$J$6:$J$1413,AE$1)</f>
        <v>0</v>
      </c>
      <c r="AF193" s="80">
        <f>SUMIFS('февраль 2024'!$G$6:$G$1413,'февраль 2024'!$D$6:$D$1413,$B193,'февраль 2024'!$J$6:$J$1413,AF$1)</f>
        <v>0</v>
      </c>
      <c r="AG193" s="80">
        <f>SUMIFS('февраль 2024'!$G$6:$G$1413,'февраль 2024'!$D$6:$D$1413,$B193,'февраль 2024'!$J$6:$J$1413,AG$1)</f>
        <v>0</v>
      </c>
      <c r="AH193" s="80">
        <f>SUMIFS('февраль 2024'!$G$6:$G$1413,'февраль 2024'!$D$6:$D$1413,$B193,'февраль 2024'!$J$6:$J$1413,AH$1)</f>
        <v>0</v>
      </c>
      <c r="AI193" s="87"/>
    </row>
    <row r="194" spans="2:35" ht="15" hidden="1" customHeight="1" x14ac:dyDescent="0.25">
      <c r="B194" s="89"/>
      <c r="C194" s="88"/>
      <c r="D194" s="80">
        <f>SUMIFS('февраль 2024'!$G$6:$G$1413,'февраль 2024'!$D$6:$D$1413,$B194,'февраль 2024'!$J$6:$J$1413,D$1)</f>
        <v>0</v>
      </c>
      <c r="E194" s="80">
        <f>SUMIFS('февраль 2024'!$G$6:$G$1413,'февраль 2024'!$D$6:$D$1413,$B194,'февраль 2024'!$J$6:$J$1413,E$1)</f>
        <v>0</v>
      </c>
      <c r="F194" s="80">
        <f>SUMIFS('февраль 2024'!$G$6:$G$1413,'февраль 2024'!$D$6:$D$1413,$B194,'февраль 2024'!$J$6:$J$1413,F$1)</f>
        <v>0</v>
      </c>
      <c r="G194" s="80">
        <f>SUMIFS('февраль 2024'!$G$6:$G$1413,'февраль 2024'!$D$6:$D$1413,$B194,'февраль 2024'!$J$6:$J$1413,G$1)</f>
        <v>0</v>
      </c>
      <c r="H194" s="80">
        <f>SUMIFS('февраль 2024'!$G$6:$G$1413,'февраль 2024'!$D$6:$D$1413,$B194,'февраль 2024'!$J$6:$J$1413,H$1)</f>
        <v>0</v>
      </c>
      <c r="I194" s="80">
        <f>SUMIFS('февраль 2024'!$G$6:$G$1413,'февраль 2024'!$D$6:$D$1413,$B194,'февраль 2024'!$J$6:$J$1413,I$1)</f>
        <v>0</v>
      </c>
      <c r="J194" s="80">
        <f>SUMIFS('февраль 2024'!$G$6:$G$1413,'февраль 2024'!$D$6:$D$1413,$B194,'февраль 2024'!$J$6:$J$1413,J$1)</f>
        <v>0</v>
      </c>
      <c r="K194" s="80">
        <f>SUMIFS('февраль 2024'!$G$6:$G$1413,'февраль 2024'!$D$6:$D$1413,$B194,'февраль 2024'!$J$6:$J$1413,K$1)</f>
        <v>0</v>
      </c>
      <c r="L194" s="80">
        <f>SUMIFS('февраль 2024'!$G$6:$G$1413,'февраль 2024'!$D$6:$D$1413,$B194,'февраль 2024'!$J$6:$J$1413,L$1)</f>
        <v>0</v>
      </c>
      <c r="M194" s="80">
        <f>SUMIFS('февраль 2024'!$G$6:$G$1413,'февраль 2024'!$D$6:$D$1413,$B194,'февраль 2024'!$J$6:$J$1413,M$1)</f>
        <v>0</v>
      </c>
      <c r="N194" s="80">
        <f>SUMIFS('февраль 2024'!$G$6:$G$1413,'февраль 2024'!$D$6:$D$1413,$B194,'февраль 2024'!$J$6:$J$1413,N$1)</f>
        <v>0</v>
      </c>
      <c r="O194" s="80">
        <f>SUMIFS('февраль 2024'!$G$6:$G$1413,'февраль 2024'!$D$6:$D$1413,$B194,'февраль 2024'!$J$6:$J$1413,O$1)</f>
        <v>0</v>
      </c>
      <c r="P194" s="80">
        <f>SUMIFS('февраль 2024'!$G$6:$G$1413,'февраль 2024'!$D$6:$D$1413,$B194,'февраль 2024'!$J$6:$J$1413,P$1)</f>
        <v>0</v>
      </c>
      <c r="Q194" s="80">
        <f>SUMIFS('февраль 2024'!$G$6:$G$1413,'февраль 2024'!$D$6:$D$1413,$B194,'февраль 2024'!$J$6:$J$1413,Q$1)</f>
        <v>0</v>
      </c>
      <c r="R194" s="80">
        <f>SUMIFS('февраль 2024'!$G$6:$G$1413,'февраль 2024'!$D$6:$D$1413,$B194,'февраль 2024'!$J$6:$J$1413,R$1)</f>
        <v>0</v>
      </c>
      <c r="S194" s="80">
        <f>SUMIFS('февраль 2024'!$G$6:$G$1413,'февраль 2024'!$D$6:$D$1413,$B194,'февраль 2024'!$J$6:$J$1413,S$1)</f>
        <v>0</v>
      </c>
      <c r="T194" s="80">
        <f>SUMIFS('февраль 2024'!$G$6:$G$1413,'февраль 2024'!$D$6:$D$1413,$B194,'февраль 2024'!$J$6:$J$1413,T$1)</f>
        <v>0</v>
      </c>
      <c r="U194" s="80">
        <f>SUMIFS('февраль 2024'!$G$6:$G$1413,'февраль 2024'!$D$6:$D$1413,$B194,'февраль 2024'!$J$6:$J$1413,U$1)</f>
        <v>0</v>
      </c>
      <c r="V194" s="80">
        <f>SUMIFS('февраль 2024'!$G$6:$G$1413,'февраль 2024'!$D$6:$D$1413,$B194,'февраль 2024'!$J$6:$J$1413,V$1)</f>
        <v>0</v>
      </c>
      <c r="W194" s="80">
        <f>SUMIFS('февраль 2024'!$G$6:$G$1413,'февраль 2024'!$D$6:$D$1413,$B194,'февраль 2024'!$J$6:$J$1413,W$1)</f>
        <v>0</v>
      </c>
      <c r="X194" s="80">
        <f>SUMIFS('февраль 2024'!$G$6:$G$1413,'февраль 2024'!$D$6:$D$1413,$B194,'февраль 2024'!$J$6:$J$1413,X$1)</f>
        <v>0</v>
      </c>
      <c r="Y194" s="80">
        <f>SUMIFS('февраль 2024'!$G$6:$G$1413,'февраль 2024'!$D$6:$D$1413,$B194,'февраль 2024'!$J$6:$J$1413,Y$1)</f>
        <v>0</v>
      </c>
      <c r="Z194" s="80">
        <f>SUMIFS('февраль 2024'!$G$6:$G$1413,'февраль 2024'!$D$6:$D$1413,$B194,'февраль 2024'!$J$6:$J$1413,Z$1)</f>
        <v>0</v>
      </c>
      <c r="AA194" s="80">
        <f>SUMIFS('февраль 2024'!$G$6:$G$1413,'февраль 2024'!$D$6:$D$1413,$B194,'февраль 2024'!$J$6:$J$1413,AA$1)</f>
        <v>0</v>
      </c>
      <c r="AB194" s="80">
        <f>SUMIFS('февраль 2024'!$G$6:$G$1413,'февраль 2024'!$D$6:$D$1413,$B194,'февраль 2024'!$J$6:$J$1413,AB$1)</f>
        <v>0</v>
      </c>
      <c r="AC194" s="80">
        <f>SUMIFS('февраль 2024'!$G$6:$G$1413,'февраль 2024'!$D$6:$D$1413,$B194,'февраль 2024'!$J$6:$J$1413,AC$1)</f>
        <v>0</v>
      </c>
      <c r="AD194" s="80">
        <f>SUMIFS('февраль 2024'!$G$6:$G$1413,'февраль 2024'!$D$6:$D$1413,$B194,'февраль 2024'!$J$6:$J$1413,AD$1)</f>
        <v>0</v>
      </c>
      <c r="AE194" s="80">
        <f>SUMIFS('февраль 2024'!$G$6:$G$1413,'февраль 2024'!$D$6:$D$1413,$B194,'февраль 2024'!$J$6:$J$1413,AE$1)</f>
        <v>0</v>
      </c>
      <c r="AF194" s="80">
        <f>SUMIFS('февраль 2024'!$G$6:$G$1413,'февраль 2024'!$D$6:$D$1413,$B194,'февраль 2024'!$J$6:$J$1413,AF$1)</f>
        <v>0</v>
      </c>
      <c r="AG194" s="80">
        <f>SUMIFS('февраль 2024'!$G$6:$G$1413,'февраль 2024'!$D$6:$D$1413,$B194,'февраль 2024'!$J$6:$J$1413,AG$1)</f>
        <v>0</v>
      </c>
      <c r="AH194" s="80">
        <f>SUMIFS('февраль 2024'!$G$6:$G$1413,'февраль 2024'!$D$6:$D$1413,$B194,'февраль 2024'!$J$6:$J$1413,AH$1)</f>
        <v>0</v>
      </c>
      <c r="AI194" s="87"/>
    </row>
    <row r="195" spans="2:35" ht="15" hidden="1" customHeight="1" x14ac:dyDescent="0.25">
      <c r="B195" s="89"/>
      <c r="C195" s="88"/>
      <c r="D195" s="80">
        <f>SUMIFS('февраль 2024'!$G$6:$G$1413,'февраль 2024'!$D$6:$D$1413,$B195,'февраль 2024'!$J$6:$J$1413,D$1)</f>
        <v>0</v>
      </c>
      <c r="E195" s="80">
        <f>SUMIFS('февраль 2024'!$G$6:$G$1413,'февраль 2024'!$D$6:$D$1413,$B195,'февраль 2024'!$J$6:$J$1413,E$1)</f>
        <v>0</v>
      </c>
      <c r="F195" s="80">
        <f>SUMIFS('февраль 2024'!$G$6:$G$1413,'февраль 2024'!$D$6:$D$1413,$B195,'февраль 2024'!$J$6:$J$1413,F$1)</f>
        <v>0</v>
      </c>
      <c r="G195" s="80">
        <f>SUMIFS('февраль 2024'!$G$6:$G$1413,'февраль 2024'!$D$6:$D$1413,$B195,'февраль 2024'!$J$6:$J$1413,G$1)</f>
        <v>0</v>
      </c>
      <c r="H195" s="80">
        <f>SUMIFS('февраль 2024'!$G$6:$G$1413,'февраль 2024'!$D$6:$D$1413,$B195,'февраль 2024'!$J$6:$J$1413,H$1)</f>
        <v>0</v>
      </c>
      <c r="I195" s="80">
        <f>SUMIFS('февраль 2024'!$G$6:$G$1413,'февраль 2024'!$D$6:$D$1413,$B195,'февраль 2024'!$J$6:$J$1413,I$1)</f>
        <v>0</v>
      </c>
      <c r="J195" s="80">
        <f>SUMIFS('февраль 2024'!$G$6:$G$1413,'февраль 2024'!$D$6:$D$1413,$B195,'февраль 2024'!$J$6:$J$1413,J$1)</f>
        <v>0</v>
      </c>
      <c r="K195" s="80">
        <f>SUMIFS('февраль 2024'!$G$6:$G$1413,'февраль 2024'!$D$6:$D$1413,$B195,'февраль 2024'!$J$6:$J$1413,K$1)</f>
        <v>0</v>
      </c>
      <c r="L195" s="80">
        <f>SUMIFS('февраль 2024'!$G$6:$G$1413,'февраль 2024'!$D$6:$D$1413,$B195,'февраль 2024'!$J$6:$J$1413,L$1)</f>
        <v>0</v>
      </c>
      <c r="M195" s="80">
        <f>SUMIFS('февраль 2024'!$G$6:$G$1413,'февраль 2024'!$D$6:$D$1413,$B195,'февраль 2024'!$J$6:$J$1413,M$1)</f>
        <v>0</v>
      </c>
      <c r="N195" s="80">
        <f>SUMIFS('февраль 2024'!$G$6:$G$1413,'февраль 2024'!$D$6:$D$1413,$B195,'февраль 2024'!$J$6:$J$1413,N$1)</f>
        <v>0</v>
      </c>
      <c r="O195" s="80">
        <f>SUMIFS('февраль 2024'!$G$6:$G$1413,'февраль 2024'!$D$6:$D$1413,$B195,'февраль 2024'!$J$6:$J$1413,O$1)</f>
        <v>0</v>
      </c>
      <c r="P195" s="80">
        <f>SUMIFS('февраль 2024'!$G$6:$G$1413,'февраль 2024'!$D$6:$D$1413,$B195,'февраль 2024'!$J$6:$J$1413,P$1)</f>
        <v>0</v>
      </c>
      <c r="Q195" s="80">
        <f>SUMIFS('февраль 2024'!$G$6:$G$1413,'февраль 2024'!$D$6:$D$1413,$B195,'февраль 2024'!$J$6:$J$1413,Q$1)</f>
        <v>0</v>
      </c>
      <c r="R195" s="80">
        <f>SUMIFS('февраль 2024'!$G$6:$G$1413,'февраль 2024'!$D$6:$D$1413,$B195,'февраль 2024'!$J$6:$J$1413,R$1)</f>
        <v>0</v>
      </c>
      <c r="S195" s="80">
        <f>SUMIFS('февраль 2024'!$G$6:$G$1413,'февраль 2024'!$D$6:$D$1413,$B195,'февраль 2024'!$J$6:$J$1413,S$1)</f>
        <v>0</v>
      </c>
      <c r="T195" s="80">
        <f>SUMIFS('февраль 2024'!$G$6:$G$1413,'февраль 2024'!$D$6:$D$1413,$B195,'февраль 2024'!$J$6:$J$1413,T$1)</f>
        <v>0</v>
      </c>
      <c r="U195" s="80">
        <f>SUMIFS('февраль 2024'!$G$6:$G$1413,'февраль 2024'!$D$6:$D$1413,$B195,'февраль 2024'!$J$6:$J$1413,U$1)</f>
        <v>0</v>
      </c>
      <c r="V195" s="80">
        <f>SUMIFS('февраль 2024'!$G$6:$G$1413,'февраль 2024'!$D$6:$D$1413,$B195,'февраль 2024'!$J$6:$J$1413,V$1)</f>
        <v>0</v>
      </c>
      <c r="W195" s="80">
        <f>SUMIFS('февраль 2024'!$G$6:$G$1413,'февраль 2024'!$D$6:$D$1413,$B195,'февраль 2024'!$J$6:$J$1413,W$1)</f>
        <v>0</v>
      </c>
      <c r="X195" s="80">
        <f>SUMIFS('февраль 2024'!$G$6:$G$1413,'февраль 2024'!$D$6:$D$1413,$B195,'февраль 2024'!$J$6:$J$1413,X$1)</f>
        <v>0</v>
      </c>
      <c r="Y195" s="80">
        <f>SUMIFS('февраль 2024'!$G$6:$G$1413,'февраль 2024'!$D$6:$D$1413,$B195,'февраль 2024'!$J$6:$J$1413,Y$1)</f>
        <v>0</v>
      </c>
      <c r="Z195" s="80">
        <f>SUMIFS('февраль 2024'!$G$6:$G$1413,'февраль 2024'!$D$6:$D$1413,$B195,'февраль 2024'!$J$6:$J$1413,Z$1)</f>
        <v>0</v>
      </c>
      <c r="AA195" s="80">
        <f>SUMIFS('февраль 2024'!$G$6:$G$1413,'февраль 2024'!$D$6:$D$1413,$B195,'февраль 2024'!$J$6:$J$1413,AA$1)</f>
        <v>0</v>
      </c>
      <c r="AB195" s="80">
        <f>SUMIFS('февраль 2024'!$G$6:$G$1413,'февраль 2024'!$D$6:$D$1413,$B195,'февраль 2024'!$J$6:$J$1413,AB$1)</f>
        <v>0</v>
      </c>
      <c r="AC195" s="80">
        <f>SUMIFS('февраль 2024'!$G$6:$G$1413,'февраль 2024'!$D$6:$D$1413,$B195,'февраль 2024'!$J$6:$J$1413,AC$1)</f>
        <v>0</v>
      </c>
      <c r="AD195" s="80">
        <f>SUMIFS('февраль 2024'!$G$6:$G$1413,'февраль 2024'!$D$6:$D$1413,$B195,'февраль 2024'!$J$6:$J$1413,AD$1)</f>
        <v>0</v>
      </c>
      <c r="AE195" s="80">
        <f>SUMIFS('февраль 2024'!$G$6:$G$1413,'февраль 2024'!$D$6:$D$1413,$B195,'февраль 2024'!$J$6:$J$1413,AE$1)</f>
        <v>0</v>
      </c>
      <c r="AF195" s="80">
        <f>SUMIFS('февраль 2024'!$G$6:$G$1413,'февраль 2024'!$D$6:$D$1413,$B195,'февраль 2024'!$J$6:$J$1413,AF$1)</f>
        <v>0</v>
      </c>
      <c r="AG195" s="80">
        <f>SUMIFS('февраль 2024'!$G$6:$G$1413,'февраль 2024'!$D$6:$D$1413,$B195,'февраль 2024'!$J$6:$J$1413,AG$1)</f>
        <v>0</v>
      </c>
      <c r="AH195" s="80">
        <f>SUMIFS('февраль 2024'!$G$6:$G$1413,'февраль 2024'!$D$6:$D$1413,$B195,'февраль 2024'!$J$6:$J$1413,AH$1)</f>
        <v>0</v>
      </c>
      <c r="AI195" s="87"/>
    </row>
    <row r="196" spans="2:35" ht="15" hidden="1" customHeight="1" x14ac:dyDescent="0.25">
      <c r="B196" s="89"/>
      <c r="C196" s="88"/>
      <c r="D196" s="80">
        <f>SUMIFS('февраль 2024'!$G$6:$G$1413,'февраль 2024'!$D$6:$D$1413,$B196,'февраль 2024'!$J$6:$J$1413,D$1)</f>
        <v>0</v>
      </c>
      <c r="E196" s="80">
        <f>SUMIFS('февраль 2024'!$G$6:$G$1413,'февраль 2024'!$D$6:$D$1413,$B196,'февраль 2024'!$J$6:$J$1413,E$1)</f>
        <v>0</v>
      </c>
      <c r="F196" s="80">
        <f>SUMIFS('февраль 2024'!$G$6:$G$1413,'февраль 2024'!$D$6:$D$1413,$B196,'февраль 2024'!$J$6:$J$1413,F$1)</f>
        <v>0</v>
      </c>
      <c r="G196" s="80">
        <f>SUMIFS('февраль 2024'!$G$6:$G$1413,'февраль 2024'!$D$6:$D$1413,$B196,'февраль 2024'!$J$6:$J$1413,G$1)</f>
        <v>0</v>
      </c>
      <c r="H196" s="80">
        <f>SUMIFS('февраль 2024'!$G$6:$G$1413,'февраль 2024'!$D$6:$D$1413,$B196,'февраль 2024'!$J$6:$J$1413,H$1)</f>
        <v>0</v>
      </c>
      <c r="I196" s="80">
        <f>SUMIFS('февраль 2024'!$G$6:$G$1413,'февраль 2024'!$D$6:$D$1413,$B196,'февраль 2024'!$J$6:$J$1413,I$1)</f>
        <v>0</v>
      </c>
      <c r="J196" s="80">
        <f>SUMIFS('февраль 2024'!$G$6:$G$1413,'февраль 2024'!$D$6:$D$1413,$B196,'февраль 2024'!$J$6:$J$1413,J$1)</f>
        <v>0</v>
      </c>
      <c r="K196" s="80">
        <f>SUMIFS('февраль 2024'!$G$6:$G$1413,'февраль 2024'!$D$6:$D$1413,$B196,'февраль 2024'!$J$6:$J$1413,K$1)</f>
        <v>0</v>
      </c>
      <c r="L196" s="80">
        <f>SUMIFS('февраль 2024'!$G$6:$G$1413,'февраль 2024'!$D$6:$D$1413,$B196,'февраль 2024'!$J$6:$J$1413,L$1)</f>
        <v>0</v>
      </c>
      <c r="M196" s="80">
        <f>SUMIFS('февраль 2024'!$G$6:$G$1413,'февраль 2024'!$D$6:$D$1413,$B196,'февраль 2024'!$J$6:$J$1413,M$1)</f>
        <v>0</v>
      </c>
      <c r="N196" s="80">
        <f>SUMIFS('февраль 2024'!$G$6:$G$1413,'февраль 2024'!$D$6:$D$1413,$B196,'февраль 2024'!$J$6:$J$1413,N$1)</f>
        <v>0</v>
      </c>
      <c r="O196" s="80">
        <f>SUMIFS('февраль 2024'!$G$6:$G$1413,'февраль 2024'!$D$6:$D$1413,$B196,'февраль 2024'!$J$6:$J$1413,O$1)</f>
        <v>0</v>
      </c>
      <c r="P196" s="80">
        <f>SUMIFS('февраль 2024'!$G$6:$G$1413,'февраль 2024'!$D$6:$D$1413,$B196,'февраль 2024'!$J$6:$J$1413,P$1)</f>
        <v>0</v>
      </c>
      <c r="Q196" s="80">
        <f>SUMIFS('февраль 2024'!$G$6:$G$1413,'февраль 2024'!$D$6:$D$1413,$B196,'февраль 2024'!$J$6:$J$1413,Q$1)</f>
        <v>0</v>
      </c>
      <c r="R196" s="80">
        <f>SUMIFS('февраль 2024'!$G$6:$G$1413,'февраль 2024'!$D$6:$D$1413,$B196,'февраль 2024'!$J$6:$J$1413,R$1)</f>
        <v>0</v>
      </c>
      <c r="S196" s="80">
        <f>SUMIFS('февраль 2024'!$G$6:$G$1413,'февраль 2024'!$D$6:$D$1413,$B196,'февраль 2024'!$J$6:$J$1413,S$1)</f>
        <v>0</v>
      </c>
      <c r="T196" s="80">
        <f>SUMIFS('февраль 2024'!$G$6:$G$1413,'февраль 2024'!$D$6:$D$1413,$B196,'февраль 2024'!$J$6:$J$1413,T$1)</f>
        <v>0</v>
      </c>
      <c r="U196" s="80">
        <f>SUMIFS('февраль 2024'!$G$6:$G$1413,'февраль 2024'!$D$6:$D$1413,$B196,'февраль 2024'!$J$6:$J$1413,U$1)</f>
        <v>0</v>
      </c>
      <c r="V196" s="80">
        <f>SUMIFS('февраль 2024'!$G$6:$G$1413,'февраль 2024'!$D$6:$D$1413,$B196,'февраль 2024'!$J$6:$J$1413,V$1)</f>
        <v>0</v>
      </c>
      <c r="W196" s="80">
        <f>SUMIFS('февраль 2024'!$G$6:$G$1413,'февраль 2024'!$D$6:$D$1413,$B196,'февраль 2024'!$J$6:$J$1413,W$1)</f>
        <v>0</v>
      </c>
      <c r="X196" s="80">
        <f>SUMIFS('февраль 2024'!$G$6:$G$1413,'февраль 2024'!$D$6:$D$1413,$B196,'февраль 2024'!$J$6:$J$1413,X$1)</f>
        <v>0</v>
      </c>
      <c r="Y196" s="80">
        <f>SUMIFS('февраль 2024'!$G$6:$G$1413,'февраль 2024'!$D$6:$D$1413,$B196,'февраль 2024'!$J$6:$J$1413,Y$1)</f>
        <v>0</v>
      </c>
      <c r="Z196" s="80">
        <f>SUMIFS('февраль 2024'!$G$6:$G$1413,'февраль 2024'!$D$6:$D$1413,$B196,'февраль 2024'!$J$6:$J$1413,Z$1)</f>
        <v>0</v>
      </c>
      <c r="AA196" s="80">
        <f>SUMIFS('февраль 2024'!$G$6:$G$1413,'февраль 2024'!$D$6:$D$1413,$B196,'февраль 2024'!$J$6:$J$1413,AA$1)</f>
        <v>0</v>
      </c>
      <c r="AB196" s="80">
        <f>SUMIFS('февраль 2024'!$G$6:$G$1413,'февраль 2024'!$D$6:$D$1413,$B196,'февраль 2024'!$J$6:$J$1413,AB$1)</f>
        <v>0</v>
      </c>
      <c r="AC196" s="80">
        <f>SUMIFS('февраль 2024'!$G$6:$G$1413,'февраль 2024'!$D$6:$D$1413,$B196,'февраль 2024'!$J$6:$J$1413,AC$1)</f>
        <v>0</v>
      </c>
      <c r="AD196" s="80">
        <f>SUMIFS('февраль 2024'!$G$6:$G$1413,'февраль 2024'!$D$6:$D$1413,$B196,'февраль 2024'!$J$6:$J$1413,AD$1)</f>
        <v>0</v>
      </c>
      <c r="AE196" s="80">
        <f>SUMIFS('февраль 2024'!$G$6:$G$1413,'февраль 2024'!$D$6:$D$1413,$B196,'февраль 2024'!$J$6:$J$1413,AE$1)</f>
        <v>0</v>
      </c>
      <c r="AF196" s="80">
        <f>SUMIFS('февраль 2024'!$G$6:$G$1413,'февраль 2024'!$D$6:$D$1413,$B196,'февраль 2024'!$J$6:$J$1413,AF$1)</f>
        <v>0</v>
      </c>
      <c r="AG196" s="80">
        <f>SUMIFS('февраль 2024'!$G$6:$G$1413,'февраль 2024'!$D$6:$D$1413,$B196,'февраль 2024'!$J$6:$J$1413,AG$1)</f>
        <v>0</v>
      </c>
      <c r="AH196" s="80">
        <f>SUMIFS('февраль 2024'!$G$6:$G$1413,'февраль 2024'!$D$6:$D$1413,$B196,'февраль 2024'!$J$6:$J$1413,AH$1)</f>
        <v>0</v>
      </c>
      <c r="AI196" s="87"/>
    </row>
    <row r="197" spans="2:35" ht="15" hidden="1" customHeight="1" x14ac:dyDescent="0.25">
      <c r="B197" s="89"/>
      <c r="C197" s="88"/>
      <c r="D197" s="80">
        <f>SUMIFS('февраль 2024'!$G$6:$G$1413,'февраль 2024'!$D$6:$D$1413,$B197,'февраль 2024'!$J$6:$J$1413,D$1)</f>
        <v>0</v>
      </c>
      <c r="E197" s="80">
        <f>SUMIFS('февраль 2024'!$G$6:$G$1413,'февраль 2024'!$D$6:$D$1413,$B197,'февраль 2024'!$J$6:$J$1413,E$1)</f>
        <v>0</v>
      </c>
      <c r="F197" s="80">
        <f>SUMIFS('февраль 2024'!$G$6:$G$1413,'февраль 2024'!$D$6:$D$1413,$B197,'февраль 2024'!$J$6:$J$1413,F$1)</f>
        <v>0</v>
      </c>
      <c r="G197" s="80">
        <f>SUMIFS('февраль 2024'!$G$6:$G$1413,'февраль 2024'!$D$6:$D$1413,$B197,'февраль 2024'!$J$6:$J$1413,G$1)</f>
        <v>0</v>
      </c>
      <c r="H197" s="80">
        <f>SUMIFS('февраль 2024'!$G$6:$G$1413,'февраль 2024'!$D$6:$D$1413,$B197,'февраль 2024'!$J$6:$J$1413,H$1)</f>
        <v>0</v>
      </c>
      <c r="I197" s="80">
        <f>SUMIFS('февраль 2024'!$G$6:$G$1413,'февраль 2024'!$D$6:$D$1413,$B197,'февраль 2024'!$J$6:$J$1413,I$1)</f>
        <v>0</v>
      </c>
      <c r="J197" s="80">
        <f>SUMIFS('февраль 2024'!$G$6:$G$1413,'февраль 2024'!$D$6:$D$1413,$B197,'февраль 2024'!$J$6:$J$1413,J$1)</f>
        <v>0</v>
      </c>
      <c r="K197" s="80">
        <f>SUMIFS('февраль 2024'!$G$6:$G$1413,'февраль 2024'!$D$6:$D$1413,$B197,'февраль 2024'!$J$6:$J$1413,K$1)</f>
        <v>0</v>
      </c>
      <c r="L197" s="80">
        <f>SUMIFS('февраль 2024'!$G$6:$G$1413,'февраль 2024'!$D$6:$D$1413,$B197,'февраль 2024'!$J$6:$J$1413,L$1)</f>
        <v>0</v>
      </c>
      <c r="M197" s="80">
        <f>SUMIFS('февраль 2024'!$G$6:$G$1413,'февраль 2024'!$D$6:$D$1413,$B197,'февраль 2024'!$J$6:$J$1413,M$1)</f>
        <v>0</v>
      </c>
      <c r="N197" s="80">
        <f>SUMIFS('февраль 2024'!$G$6:$G$1413,'февраль 2024'!$D$6:$D$1413,$B197,'февраль 2024'!$J$6:$J$1413,N$1)</f>
        <v>0</v>
      </c>
      <c r="O197" s="80">
        <f>SUMIFS('февраль 2024'!$G$6:$G$1413,'февраль 2024'!$D$6:$D$1413,$B197,'февраль 2024'!$J$6:$J$1413,O$1)</f>
        <v>0</v>
      </c>
      <c r="P197" s="80">
        <f>SUMIFS('февраль 2024'!$G$6:$G$1413,'февраль 2024'!$D$6:$D$1413,$B197,'февраль 2024'!$J$6:$J$1413,P$1)</f>
        <v>0</v>
      </c>
      <c r="Q197" s="80">
        <f>SUMIFS('февраль 2024'!$G$6:$G$1413,'февраль 2024'!$D$6:$D$1413,$B197,'февраль 2024'!$J$6:$J$1413,Q$1)</f>
        <v>0</v>
      </c>
      <c r="R197" s="80">
        <f>SUMIFS('февраль 2024'!$G$6:$G$1413,'февраль 2024'!$D$6:$D$1413,$B197,'февраль 2024'!$J$6:$J$1413,R$1)</f>
        <v>0</v>
      </c>
      <c r="S197" s="80">
        <f>SUMIFS('февраль 2024'!$G$6:$G$1413,'февраль 2024'!$D$6:$D$1413,$B197,'февраль 2024'!$J$6:$J$1413,S$1)</f>
        <v>0</v>
      </c>
      <c r="T197" s="80">
        <f>SUMIFS('февраль 2024'!$G$6:$G$1413,'февраль 2024'!$D$6:$D$1413,$B197,'февраль 2024'!$J$6:$J$1413,T$1)</f>
        <v>0</v>
      </c>
      <c r="U197" s="80">
        <f>SUMIFS('февраль 2024'!$G$6:$G$1413,'февраль 2024'!$D$6:$D$1413,$B197,'февраль 2024'!$J$6:$J$1413,U$1)</f>
        <v>0</v>
      </c>
      <c r="V197" s="80">
        <f>SUMIFS('февраль 2024'!$G$6:$G$1413,'февраль 2024'!$D$6:$D$1413,$B197,'февраль 2024'!$J$6:$J$1413,V$1)</f>
        <v>0</v>
      </c>
      <c r="W197" s="80">
        <f>SUMIFS('февраль 2024'!$G$6:$G$1413,'февраль 2024'!$D$6:$D$1413,$B197,'февраль 2024'!$J$6:$J$1413,W$1)</f>
        <v>0</v>
      </c>
      <c r="X197" s="80">
        <f>SUMIFS('февраль 2024'!$G$6:$G$1413,'февраль 2024'!$D$6:$D$1413,$B197,'февраль 2024'!$J$6:$J$1413,X$1)</f>
        <v>0</v>
      </c>
      <c r="Y197" s="80">
        <f>SUMIFS('февраль 2024'!$G$6:$G$1413,'февраль 2024'!$D$6:$D$1413,$B197,'февраль 2024'!$J$6:$J$1413,Y$1)</f>
        <v>0</v>
      </c>
      <c r="Z197" s="80">
        <f>SUMIFS('февраль 2024'!$G$6:$G$1413,'февраль 2024'!$D$6:$D$1413,$B197,'февраль 2024'!$J$6:$J$1413,Z$1)</f>
        <v>0</v>
      </c>
      <c r="AA197" s="80">
        <f>SUMIFS('февраль 2024'!$G$6:$G$1413,'февраль 2024'!$D$6:$D$1413,$B197,'февраль 2024'!$J$6:$J$1413,AA$1)</f>
        <v>0</v>
      </c>
      <c r="AB197" s="80">
        <f>SUMIFS('февраль 2024'!$G$6:$G$1413,'февраль 2024'!$D$6:$D$1413,$B197,'февраль 2024'!$J$6:$J$1413,AB$1)</f>
        <v>0</v>
      </c>
      <c r="AC197" s="80">
        <f>SUMIFS('февраль 2024'!$G$6:$G$1413,'февраль 2024'!$D$6:$D$1413,$B197,'февраль 2024'!$J$6:$J$1413,AC$1)</f>
        <v>0</v>
      </c>
      <c r="AD197" s="80">
        <f>SUMIFS('февраль 2024'!$G$6:$G$1413,'февраль 2024'!$D$6:$D$1413,$B197,'февраль 2024'!$J$6:$J$1413,AD$1)</f>
        <v>0</v>
      </c>
      <c r="AE197" s="80">
        <f>SUMIFS('февраль 2024'!$G$6:$G$1413,'февраль 2024'!$D$6:$D$1413,$B197,'февраль 2024'!$J$6:$J$1413,AE$1)</f>
        <v>0</v>
      </c>
      <c r="AF197" s="80">
        <f>SUMIFS('февраль 2024'!$G$6:$G$1413,'февраль 2024'!$D$6:$D$1413,$B197,'февраль 2024'!$J$6:$J$1413,AF$1)</f>
        <v>0</v>
      </c>
      <c r="AG197" s="80">
        <f>SUMIFS('февраль 2024'!$G$6:$G$1413,'февраль 2024'!$D$6:$D$1413,$B197,'февраль 2024'!$J$6:$J$1413,AG$1)</f>
        <v>0</v>
      </c>
      <c r="AH197" s="80">
        <f>SUMIFS('февраль 2024'!$G$6:$G$1413,'февраль 2024'!$D$6:$D$1413,$B197,'февраль 2024'!$J$6:$J$1413,AH$1)</f>
        <v>0</v>
      </c>
      <c r="AI197" s="87"/>
    </row>
    <row r="198" spans="2:35" ht="15" hidden="1" customHeight="1" x14ac:dyDescent="0.25">
      <c r="B198" s="89"/>
      <c r="C198" s="88"/>
      <c r="D198" s="80">
        <f>SUMIFS('февраль 2024'!$G$6:$G$1413,'февраль 2024'!$D$6:$D$1413,$B198,'февраль 2024'!$J$6:$J$1413,D$1)</f>
        <v>0</v>
      </c>
      <c r="E198" s="80">
        <f>SUMIFS('февраль 2024'!$G$6:$G$1413,'февраль 2024'!$D$6:$D$1413,$B198,'февраль 2024'!$J$6:$J$1413,E$1)</f>
        <v>0</v>
      </c>
      <c r="F198" s="80">
        <f>SUMIFS('февраль 2024'!$G$6:$G$1413,'февраль 2024'!$D$6:$D$1413,$B198,'февраль 2024'!$J$6:$J$1413,F$1)</f>
        <v>0</v>
      </c>
      <c r="G198" s="80">
        <f>SUMIFS('февраль 2024'!$G$6:$G$1413,'февраль 2024'!$D$6:$D$1413,$B198,'февраль 2024'!$J$6:$J$1413,G$1)</f>
        <v>0</v>
      </c>
      <c r="H198" s="80">
        <f>SUMIFS('февраль 2024'!$G$6:$G$1413,'февраль 2024'!$D$6:$D$1413,$B198,'февраль 2024'!$J$6:$J$1413,H$1)</f>
        <v>0</v>
      </c>
      <c r="I198" s="80">
        <f>SUMIFS('февраль 2024'!$G$6:$G$1413,'февраль 2024'!$D$6:$D$1413,$B198,'февраль 2024'!$J$6:$J$1413,I$1)</f>
        <v>0</v>
      </c>
      <c r="J198" s="80">
        <f>SUMIFS('февраль 2024'!$G$6:$G$1413,'февраль 2024'!$D$6:$D$1413,$B198,'февраль 2024'!$J$6:$J$1413,J$1)</f>
        <v>0</v>
      </c>
      <c r="K198" s="80">
        <f>SUMIFS('февраль 2024'!$G$6:$G$1413,'февраль 2024'!$D$6:$D$1413,$B198,'февраль 2024'!$J$6:$J$1413,K$1)</f>
        <v>0</v>
      </c>
      <c r="L198" s="80">
        <f>SUMIFS('февраль 2024'!$G$6:$G$1413,'февраль 2024'!$D$6:$D$1413,$B198,'февраль 2024'!$J$6:$J$1413,L$1)</f>
        <v>0</v>
      </c>
      <c r="M198" s="80">
        <f>SUMIFS('февраль 2024'!$G$6:$G$1413,'февраль 2024'!$D$6:$D$1413,$B198,'февраль 2024'!$J$6:$J$1413,M$1)</f>
        <v>0</v>
      </c>
      <c r="N198" s="80">
        <f>SUMIFS('февраль 2024'!$G$6:$G$1413,'февраль 2024'!$D$6:$D$1413,$B198,'февраль 2024'!$J$6:$J$1413,N$1)</f>
        <v>0</v>
      </c>
      <c r="O198" s="80">
        <f>SUMIFS('февраль 2024'!$G$6:$G$1413,'февраль 2024'!$D$6:$D$1413,$B198,'февраль 2024'!$J$6:$J$1413,O$1)</f>
        <v>0</v>
      </c>
      <c r="P198" s="80">
        <f>SUMIFS('февраль 2024'!$G$6:$G$1413,'февраль 2024'!$D$6:$D$1413,$B198,'февраль 2024'!$J$6:$J$1413,P$1)</f>
        <v>0</v>
      </c>
      <c r="Q198" s="80">
        <f>SUMIFS('февраль 2024'!$G$6:$G$1413,'февраль 2024'!$D$6:$D$1413,$B198,'февраль 2024'!$J$6:$J$1413,Q$1)</f>
        <v>0</v>
      </c>
      <c r="R198" s="80">
        <f>SUMIFS('февраль 2024'!$G$6:$G$1413,'февраль 2024'!$D$6:$D$1413,$B198,'февраль 2024'!$J$6:$J$1413,R$1)</f>
        <v>0</v>
      </c>
      <c r="S198" s="80">
        <f>SUMIFS('февраль 2024'!$G$6:$G$1413,'февраль 2024'!$D$6:$D$1413,$B198,'февраль 2024'!$J$6:$J$1413,S$1)</f>
        <v>0</v>
      </c>
      <c r="T198" s="80">
        <f>SUMIFS('февраль 2024'!$G$6:$G$1413,'февраль 2024'!$D$6:$D$1413,$B198,'февраль 2024'!$J$6:$J$1413,T$1)</f>
        <v>0</v>
      </c>
      <c r="U198" s="80">
        <f>SUMIFS('февраль 2024'!$G$6:$G$1413,'февраль 2024'!$D$6:$D$1413,$B198,'февраль 2024'!$J$6:$J$1413,U$1)</f>
        <v>0</v>
      </c>
      <c r="V198" s="80">
        <f>SUMIFS('февраль 2024'!$G$6:$G$1413,'февраль 2024'!$D$6:$D$1413,$B198,'февраль 2024'!$J$6:$J$1413,V$1)</f>
        <v>0</v>
      </c>
      <c r="W198" s="80">
        <f>SUMIFS('февраль 2024'!$G$6:$G$1413,'февраль 2024'!$D$6:$D$1413,$B198,'февраль 2024'!$J$6:$J$1413,W$1)</f>
        <v>0</v>
      </c>
      <c r="X198" s="80">
        <f>SUMIFS('февраль 2024'!$G$6:$G$1413,'февраль 2024'!$D$6:$D$1413,$B198,'февраль 2024'!$J$6:$J$1413,X$1)</f>
        <v>0</v>
      </c>
      <c r="Y198" s="80">
        <f>SUMIFS('февраль 2024'!$G$6:$G$1413,'февраль 2024'!$D$6:$D$1413,$B198,'февраль 2024'!$J$6:$J$1413,Y$1)</f>
        <v>0</v>
      </c>
      <c r="Z198" s="80">
        <f>SUMIFS('февраль 2024'!$G$6:$G$1413,'февраль 2024'!$D$6:$D$1413,$B198,'февраль 2024'!$J$6:$J$1413,Z$1)</f>
        <v>0</v>
      </c>
      <c r="AA198" s="80">
        <f>SUMIFS('февраль 2024'!$G$6:$G$1413,'февраль 2024'!$D$6:$D$1413,$B198,'февраль 2024'!$J$6:$J$1413,AA$1)</f>
        <v>0</v>
      </c>
      <c r="AB198" s="80">
        <f>SUMIFS('февраль 2024'!$G$6:$G$1413,'февраль 2024'!$D$6:$D$1413,$B198,'февраль 2024'!$J$6:$J$1413,AB$1)</f>
        <v>0</v>
      </c>
      <c r="AC198" s="80">
        <f>SUMIFS('февраль 2024'!$G$6:$G$1413,'февраль 2024'!$D$6:$D$1413,$B198,'февраль 2024'!$J$6:$J$1413,AC$1)</f>
        <v>0</v>
      </c>
      <c r="AD198" s="80">
        <f>SUMIFS('февраль 2024'!$G$6:$G$1413,'февраль 2024'!$D$6:$D$1413,$B198,'февраль 2024'!$J$6:$J$1413,AD$1)</f>
        <v>0</v>
      </c>
      <c r="AE198" s="80">
        <f>SUMIFS('февраль 2024'!$G$6:$G$1413,'февраль 2024'!$D$6:$D$1413,$B198,'февраль 2024'!$J$6:$J$1413,AE$1)</f>
        <v>0</v>
      </c>
      <c r="AF198" s="80">
        <f>SUMIFS('февраль 2024'!$G$6:$G$1413,'февраль 2024'!$D$6:$D$1413,$B198,'февраль 2024'!$J$6:$J$1413,AF$1)</f>
        <v>0</v>
      </c>
      <c r="AG198" s="80">
        <f>SUMIFS('февраль 2024'!$G$6:$G$1413,'февраль 2024'!$D$6:$D$1413,$B198,'февраль 2024'!$J$6:$J$1413,AG$1)</f>
        <v>0</v>
      </c>
      <c r="AH198" s="80">
        <f>SUMIFS('февраль 2024'!$G$6:$G$1413,'февраль 2024'!$D$6:$D$1413,$B198,'февраль 2024'!$J$6:$J$1413,AH$1)</f>
        <v>0</v>
      </c>
      <c r="AI198" s="87"/>
    </row>
    <row r="199" spans="2:35" ht="15" hidden="1" customHeight="1" x14ac:dyDescent="0.25">
      <c r="B199" s="89"/>
      <c r="C199" s="88"/>
      <c r="D199" s="80">
        <f>SUMIFS('февраль 2024'!$G$6:$G$1413,'февраль 2024'!$D$6:$D$1413,$B199,'февраль 2024'!$J$6:$J$1413,D$1)</f>
        <v>0</v>
      </c>
      <c r="E199" s="80">
        <f>SUMIFS('февраль 2024'!$G$6:$G$1413,'февраль 2024'!$D$6:$D$1413,$B199,'февраль 2024'!$J$6:$J$1413,E$1)</f>
        <v>0</v>
      </c>
      <c r="F199" s="80">
        <f>SUMIFS('февраль 2024'!$G$6:$G$1413,'февраль 2024'!$D$6:$D$1413,$B199,'февраль 2024'!$J$6:$J$1413,F$1)</f>
        <v>0</v>
      </c>
      <c r="G199" s="80">
        <f>SUMIFS('февраль 2024'!$G$6:$G$1413,'февраль 2024'!$D$6:$D$1413,$B199,'февраль 2024'!$J$6:$J$1413,G$1)</f>
        <v>0</v>
      </c>
      <c r="H199" s="80">
        <f>SUMIFS('февраль 2024'!$G$6:$G$1413,'февраль 2024'!$D$6:$D$1413,$B199,'февраль 2024'!$J$6:$J$1413,H$1)</f>
        <v>0</v>
      </c>
      <c r="I199" s="80">
        <f>SUMIFS('февраль 2024'!$G$6:$G$1413,'февраль 2024'!$D$6:$D$1413,$B199,'февраль 2024'!$J$6:$J$1413,I$1)</f>
        <v>0</v>
      </c>
      <c r="J199" s="80">
        <f>SUMIFS('февраль 2024'!$G$6:$G$1413,'февраль 2024'!$D$6:$D$1413,$B199,'февраль 2024'!$J$6:$J$1413,J$1)</f>
        <v>0</v>
      </c>
      <c r="K199" s="80">
        <f>SUMIFS('февраль 2024'!$G$6:$G$1413,'февраль 2024'!$D$6:$D$1413,$B199,'февраль 2024'!$J$6:$J$1413,K$1)</f>
        <v>0</v>
      </c>
      <c r="L199" s="80">
        <f>SUMIFS('февраль 2024'!$G$6:$G$1413,'февраль 2024'!$D$6:$D$1413,$B199,'февраль 2024'!$J$6:$J$1413,L$1)</f>
        <v>0</v>
      </c>
      <c r="M199" s="80">
        <f>SUMIFS('февраль 2024'!$G$6:$G$1413,'февраль 2024'!$D$6:$D$1413,$B199,'февраль 2024'!$J$6:$J$1413,M$1)</f>
        <v>0</v>
      </c>
      <c r="N199" s="80">
        <f>SUMIFS('февраль 2024'!$G$6:$G$1413,'февраль 2024'!$D$6:$D$1413,$B199,'февраль 2024'!$J$6:$J$1413,N$1)</f>
        <v>0</v>
      </c>
      <c r="O199" s="80">
        <f>SUMIFS('февраль 2024'!$G$6:$G$1413,'февраль 2024'!$D$6:$D$1413,$B199,'февраль 2024'!$J$6:$J$1413,O$1)</f>
        <v>0</v>
      </c>
      <c r="P199" s="80">
        <f>SUMIFS('февраль 2024'!$G$6:$G$1413,'февраль 2024'!$D$6:$D$1413,$B199,'февраль 2024'!$J$6:$J$1413,P$1)</f>
        <v>0</v>
      </c>
      <c r="Q199" s="80">
        <f>SUMIFS('февраль 2024'!$G$6:$G$1413,'февраль 2024'!$D$6:$D$1413,$B199,'февраль 2024'!$J$6:$J$1413,Q$1)</f>
        <v>0</v>
      </c>
      <c r="R199" s="80">
        <f>SUMIFS('февраль 2024'!$G$6:$G$1413,'февраль 2024'!$D$6:$D$1413,$B199,'февраль 2024'!$J$6:$J$1413,R$1)</f>
        <v>0</v>
      </c>
      <c r="S199" s="80">
        <f>SUMIFS('февраль 2024'!$G$6:$G$1413,'февраль 2024'!$D$6:$D$1413,$B199,'февраль 2024'!$J$6:$J$1413,S$1)</f>
        <v>0</v>
      </c>
      <c r="T199" s="80">
        <f>SUMIFS('февраль 2024'!$G$6:$G$1413,'февраль 2024'!$D$6:$D$1413,$B199,'февраль 2024'!$J$6:$J$1413,T$1)</f>
        <v>0</v>
      </c>
      <c r="U199" s="80">
        <f>SUMIFS('февраль 2024'!$G$6:$G$1413,'февраль 2024'!$D$6:$D$1413,$B199,'февраль 2024'!$J$6:$J$1413,U$1)</f>
        <v>0</v>
      </c>
      <c r="V199" s="80">
        <f>SUMIFS('февраль 2024'!$G$6:$G$1413,'февраль 2024'!$D$6:$D$1413,$B199,'февраль 2024'!$J$6:$J$1413,V$1)</f>
        <v>0</v>
      </c>
      <c r="W199" s="80">
        <f>SUMIFS('февраль 2024'!$G$6:$G$1413,'февраль 2024'!$D$6:$D$1413,$B199,'февраль 2024'!$J$6:$J$1413,W$1)</f>
        <v>0</v>
      </c>
      <c r="X199" s="80">
        <f>SUMIFS('февраль 2024'!$G$6:$G$1413,'февраль 2024'!$D$6:$D$1413,$B199,'февраль 2024'!$J$6:$J$1413,X$1)</f>
        <v>0</v>
      </c>
      <c r="Y199" s="80">
        <f>SUMIFS('февраль 2024'!$G$6:$G$1413,'февраль 2024'!$D$6:$D$1413,$B199,'февраль 2024'!$J$6:$J$1413,Y$1)</f>
        <v>0</v>
      </c>
      <c r="Z199" s="80">
        <f>SUMIFS('февраль 2024'!$G$6:$G$1413,'февраль 2024'!$D$6:$D$1413,$B199,'февраль 2024'!$J$6:$J$1413,Z$1)</f>
        <v>0</v>
      </c>
      <c r="AA199" s="80">
        <f>SUMIFS('февраль 2024'!$G$6:$G$1413,'февраль 2024'!$D$6:$D$1413,$B199,'февраль 2024'!$J$6:$J$1413,AA$1)</f>
        <v>0</v>
      </c>
      <c r="AB199" s="80">
        <f>SUMIFS('февраль 2024'!$G$6:$G$1413,'февраль 2024'!$D$6:$D$1413,$B199,'февраль 2024'!$J$6:$J$1413,AB$1)</f>
        <v>0</v>
      </c>
      <c r="AC199" s="80">
        <f>SUMIFS('февраль 2024'!$G$6:$G$1413,'февраль 2024'!$D$6:$D$1413,$B199,'февраль 2024'!$J$6:$J$1413,AC$1)</f>
        <v>0</v>
      </c>
      <c r="AD199" s="80">
        <f>SUMIFS('февраль 2024'!$G$6:$G$1413,'февраль 2024'!$D$6:$D$1413,$B199,'февраль 2024'!$J$6:$J$1413,AD$1)</f>
        <v>0</v>
      </c>
      <c r="AE199" s="80">
        <f>SUMIFS('февраль 2024'!$G$6:$G$1413,'февраль 2024'!$D$6:$D$1413,$B199,'февраль 2024'!$J$6:$J$1413,AE$1)</f>
        <v>0</v>
      </c>
      <c r="AF199" s="80">
        <f>SUMIFS('февраль 2024'!$G$6:$G$1413,'февраль 2024'!$D$6:$D$1413,$B199,'февраль 2024'!$J$6:$J$1413,AF$1)</f>
        <v>0</v>
      </c>
      <c r="AG199" s="80">
        <f>SUMIFS('февраль 2024'!$G$6:$G$1413,'февраль 2024'!$D$6:$D$1413,$B199,'февраль 2024'!$J$6:$J$1413,AG$1)</f>
        <v>0</v>
      </c>
      <c r="AH199" s="80">
        <f>SUMIFS('февраль 2024'!$G$6:$G$1413,'февраль 2024'!$D$6:$D$1413,$B199,'февраль 2024'!$J$6:$J$1413,AH$1)</f>
        <v>0</v>
      </c>
      <c r="AI199" s="87"/>
    </row>
    <row r="200" spans="2:35" ht="15" hidden="1" customHeight="1" x14ac:dyDescent="0.25">
      <c r="B200" s="89"/>
      <c r="C200" s="88"/>
      <c r="D200" s="80">
        <f>SUMIFS('февраль 2024'!$G$6:$G$1413,'февраль 2024'!$D$6:$D$1413,$B200,'февраль 2024'!$J$6:$J$1413,D$1)</f>
        <v>0</v>
      </c>
      <c r="E200" s="80">
        <f>SUMIFS('февраль 2024'!$G$6:$G$1413,'февраль 2024'!$D$6:$D$1413,$B200,'февраль 2024'!$J$6:$J$1413,E$1)</f>
        <v>0</v>
      </c>
      <c r="F200" s="80">
        <f>SUMIFS('февраль 2024'!$G$6:$G$1413,'февраль 2024'!$D$6:$D$1413,$B200,'февраль 2024'!$J$6:$J$1413,F$1)</f>
        <v>0</v>
      </c>
      <c r="G200" s="80">
        <f>SUMIFS('февраль 2024'!$G$6:$G$1413,'февраль 2024'!$D$6:$D$1413,$B200,'февраль 2024'!$J$6:$J$1413,G$1)</f>
        <v>0</v>
      </c>
      <c r="H200" s="80">
        <f>SUMIFS('февраль 2024'!$G$6:$G$1413,'февраль 2024'!$D$6:$D$1413,$B200,'февраль 2024'!$J$6:$J$1413,H$1)</f>
        <v>0</v>
      </c>
      <c r="I200" s="80">
        <f>SUMIFS('февраль 2024'!$G$6:$G$1413,'февраль 2024'!$D$6:$D$1413,$B200,'февраль 2024'!$J$6:$J$1413,I$1)</f>
        <v>0</v>
      </c>
      <c r="J200" s="80">
        <f>SUMIFS('февраль 2024'!$G$6:$G$1413,'февраль 2024'!$D$6:$D$1413,$B200,'февраль 2024'!$J$6:$J$1413,J$1)</f>
        <v>0</v>
      </c>
      <c r="K200" s="80">
        <f>SUMIFS('февраль 2024'!$G$6:$G$1413,'февраль 2024'!$D$6:$D$1413,$B200,'февраль 2024'!$J$6:$J$1413,K$1)</f>
        <v>0</v>
      </c>
      <c r="L200" s="80">
        <f>SUMIFS('февраль 2024'!$G$6:$G$1413,'февраль 2024'!$D$6:$D$1413,$B200,'февраль 2024'!$J$6:$J$1413,L$1)</f>
        <v>0</v>
      </c>
      <c r="M200" s="80">
        <f>SUMIFS('февраль 2024'!$G$6:$G$1413,'февраль 2024'!$D$6:$D$1413,$B200,'февраль 2024'!$J$6:$J$1413,M$1)</f>
        <v>0</v>
      </c>
      <c r="N200" s="80">
        <f>SUMIFS('февраль 2024'!$G$6:$G$1413,'февраль 2024'!$D$6:$D$1413,$B200,'февраль 2024'!$J$6:$J$1413,N$1)</f>
        <v>0</v>
      </c>
      <c r="O200" s="80">
        <f>SUMIFS('февраль 2024'!$G$6:$G$1413,'февраль 2024'!$D$6:$D$1413,$B200,'февраль 2024'!$J$6:$J$1413,O$1)</f>
        <v>0</v>
      </c>
      <c r="P200" s="80">
        <f>SUMIFS('февраль 2024'!$G$6:$G$1413,'февраль 2024'!$D$6:$D$1413,$B200,'февраль 2024'!$J$6:$J$1413,P$1)</f>
        <v>0</v>
      </c>
      <c r="Q200" s="80">
        <f>SUMIFS('февраль 2024'!$G$6:$G$1413,'февраль 2024'!$D$6:$D$1413,$B200,'февраль 2024'!$J$6:$J$1413,Q$1)</f>
        <v>0</v>
      </c>
      <c r="R200" s="80">
        <f>SUMIFS('февраль 2024'!$G$6:$G$1413,'февраль 2024'!$D$6:$D$1413,$B200,'февраль 2024'!$J$6:$J$1413,R$1)</f>
        <v>0</v>
      </c>
      <c r="S200" s="80">
        <f>SUMIFS('февраль 2024'!$G$6:$G$1413,'февраль 2024'!$D$6:$D$1413,$B200,'февраль 2024'!$J$6:$J$1413,S$1)</f>
        <v>0</v>
      </c>
      <c r="T200" s="80">
        <f>SUMIFS('февраль 2024'!$G$6:$G$1413,'февраль 2024'!$D$6:$D$1413,$B200,'февраль 2024'!$J$6:$J$1413,T$1)</f>
        <v>0</v>
      </c>
      <c r="U200" s="80">
        <f>SUMIFS('февраль 2024'!$G$6:$G$1413,'февраль 2024'!$D$6:$D$1413,$B200,'февраль 2024'!$J$6:$J$1413,U$1)</f>
        <v>0</v>
      </c>
      <c r="V200" s="80">
        <f>SUMIFS('февраль 2024'!$G$6:$G$1413,'февраль 2024'!$D$6:$D$1413,$B200,'февраль 2024'!$J$6:$J$1413,V$1)</f>
        <v>0</v>
      </c>
      <c r="W200" s="80">
        <f>SUMIFS('февраль 2024'!$G$6:$G$1413,'февраль 2024'!$D$6:$D$1413,$B200,'февраль 2024'!$J$6:$J$1413,W$1)</f>
        <v>0</v>
      </c>
      <c r="X200" s="80">
        <f>SUMIFS('февраль 2024'!$G$6:$G$1413,'февраль 2024'!$D$6:$D$1413,$B200,'февраль 2024'!$J$6:$J$1413,X$1)</f>
        <v>0</v>
      </c>
      <c r="Y200" s="80">
        <f>SUMIFS('февраль 2024'!$G$6:$G$1413,'февраль 2024'!$D$6:$D$1413,$B200,'февраль 2024'!$J$6:$J$1413,Y$1)</f>
        <v>0</v>
      </c>
      <c r="Z200" s="80">
        <f>SUMIFS('февраль 2024'!$G$6:$G$1413,'февраль 2024'!$D$6:$D$1413,$B200,'февраль 2024'!$J$6:$J$1413,Z$1)</f>
        <v>0</v>
      </c>
      <c r="AA200" s="80">
        <f>SUMIFS('февраль 2024'!$G$6:$G$1413,'февраль 2024'!$D$6:$D$1413,$B200,'февраль 2024'!$J$6:$J$1413,AA$1)</f>
        <v>0</v>
      </c>
      <c r="AB200" s="80">
        <f>SUMIFS('февраль 2024'!$G$6:$G$1413,'февраль 2024'!$D$6:$D$1413,$B200,'февраль 2024'!$J$6:$J$1413,AB$1)</f>
        <v>0</v>
      </c>
      <c r="AC200" s="80">
        <f>SUMIFS('февраль 2024'!$G$6:$G$1413,'февраль 2024'!$D$6:$D$1413,$B200,'февраль 2024'!$J$6:$J$1413,AC$1)</f>
        <v>0</v>
      </c>
      <c r="AD200" s="80">
        <f>SUMIFS('февраль 2024'!$G$6:$G$1413,'февраль 2024'!$D$6:$D$1413,$B200,'февраль 2024'!$J$6:$J$1413,AD$1)</f>
        <v>0</v>
      </c>
      <c r="AE200" s="80">
        <f>SUMIFS('февраль 2024'!$G$6:$G$1413,'февраль 2024'!$D$6:$D$1413,$B200,'февраль 2024'!$J$6:$J$1413,AE$1)</f>
        <v>0</v>
      </c>
      <c r="AF200" s="80">
        <f>SUMIFS('февраль 2024'!$G$6:$G$1413,'февраль 2024'!$D$6:$D$1413,$B200,'февраль 2024'!$J$6:$J$1413,AF$1)</f>
        <v>0</v>
      </c>
      <c r="AG200" s="80">
        <f>SUMIFS('февраль 2024'!$G$6:$G$1413,'февраль 2024'!$D$6:$D$1413,$B200,'февраль 2024'!$J$6:$J$1413,AG$1)</f>
        <v>0</v>
      </c>
      <c r="AH200" s="80">
        <f>SUMIFS('февраль 2024'!$G$6:$G$1413,'февраль 2024'!$D$6:$D$1413,$B200,'февраль 2024'!$J$6:$J$1413,AH$1)</f>
        <v>0</v>
      </c>
      <c r="AI200" s="87"/>
    </row>
    <row r="201" spans="2:35" ht="15" hidden="1" customHeight="1" x14ac:dyDescent="0.25">
      <c r="B201" s="89"/>
      <c r="C201" s="88"/>
      <c r="D201" s="80">
        <f>SUMIFS('февраль 2024'!$G$6:$G$1413,'февраль 2024'!$D$6:$D$1413,$B201,'февраль 2024'!$J$6:$J$1413,D$1)</f>
        <v>0</v>
      </c>
      <c r="E201" s="80">
        <f>SUMIFS('февраль 2024'!$G$6:$G$1413,'февраль 2024'!$D$6:$D$1413,$B201,'февраль 2024'!$J$6:$J$1413,E$1)</f>
        <v>0</v>
      </c>
      <c r="F201" s="80">
        <f>SUMIFS('февраль 2024'!$G$6:$G$1413,'февраль 2024'!$D$6:$D$1413,$B201,'февраль 2024'!$J$6:$J$1413,F$1)</f>
        <v>0</v>
      </c>
      <c r="G201" s="80">
        <f>SUMIFS('февраль 2024'!$G$6:$G$1413,'февраль 2024'!$D$6:$D$1413,$B201,'февраль 2024'!$J$6:$J$1413,G$1)</f>
        <v>0</v>
      </c>
      <c r="H201" s="80">
        <f>SUMIFS('февраль 2024'!$G$6:$G$1413,'февраль 2024'!$D$6:$D$1413,$B201,'февраль 2024'!$J$6:$J$1413,H$1)</f>
        <v>0</v>
      </c>
      <c r="I201" s="80">
        <f>SUMIFS('февраль 2024'!$G$6:$G$1413,'февраль 2024'!$D$6:$D$1413,$B201,'февраль 2024'!$J$6:$J$1413,I$1)</f>
        <v>0</v>
      </c>
      <c r="J201" s="80">
        <f>SUMIFS('февраль 2024'!$G$6:$G$1413,'февраль 2024'!$D$6:$D$1413,$B201,'февраль 2024'!$J$6:$J$1413,J$1)</f>
        <v>0</v>
      </c>
      <c r="K201" s="80">
        <f>SUMIFS('февраль 2024'!$G$6:$G$1413,'февраль 2024'!$D$6:$D$1413,$B201,'февраль 2024'!$J$6:$J$1413,K$1)</f>
        <v>0</v>
      </c>
      <c r="L201" s="80">
        <f>SUMIFS('февраль 2024'!$G$6:$G$1413,'февраль 2024'!$D$6:$D$1413,$B201,'февраль 2024'!$J$6:$J$1413,L$1)</f>
        <v>0</v>
      </c>
      <c r="M201" s="80">
        <f>SUMIFS('февраль 2024'!$G$6:$G$1413,'февраль 2024'!$D$6:$D$1413,$B201,'февраль 2024'!$J$6:$J$1413,M$1)</f>
        <v>0</v>
      </c>
      <c r="N201" s="80">
        <f>SUMIFS('февраль 2024'!$G$6:$G$1413,'февраль 2024'!$D$6:$D$1413,$B201,'февраль 2024'!$J$6:$J$1413,N$1)</f>
        <v>0</v>
      </c>
      <c r="O201" s="80">
        <f>SUMIFS('февраль 2024'!$G$6:$G$1413,'февраль 2024'!$D$6:$D$1413,$B201,'февраль 2024'!$J$6:$J$1413,O$1)</f>
        <v>0</v>
      </c>
      <c r="P201" s="80">
        <f>SUMIFS('февраль 2024'!$G$6:$G$1413,'февраль 2024'!$D$6:$D$1413,$B201,'февраль 2024'!$J$6:$J$1413,P$1)</f>
        <v>0</v>
      </c>
      <c r="Q201" s="80">
        <f>SUMIFS('февраль 2024'!$G$6:$G$1413,'февраль 2024'!$D$6:$D$1413,$B201,'февраль 2024'!$J$6:$J$1413,Q$1)</f>
        <v>0</v>
      </c>
      <c r="R201" s="80">
        <f>SUMIFS('февраль 2024'!$G$6:$G$1413,'февраль 2024'!$D$6:$D$1413,$B201,'февраль 2024'!$J$6:$J$1413,R$1)</f>
        <v>0</v>
      </c>
      <c r="S201" s="80">
        <f>SUMIFS('февраль 2024'!$G$6:$G$1413,'февраль 2024'!$D$6:$D$1413,$B201,'февраль 2024'!$J$6:$J$1413,S$1)</f>
        <v>0</v>
      </c>
      <c r="T201" s="80">
        <f>SUMIFS('февраль 2024'!$G$6:$G$1413,'февраль 2024'!$D$6:$D$1413,$B201,'февраль 2024'!$J$6:$J$1413,T$1)</f>
        <v>0</v>
      </c>
      <c r="U201" s="80">
        <f>SUMIFS('февраль 2024'!$G$6:$G$1413,'февраль 2024'!$D$6:$D$1413,$B201,'февраль 2024'!$J$6:$J$1413,U$1)</f>
        <v>0</v>
      </c>
      <c r="V201" s="80">
        <f>SUMIFS('февраль 2024'!$G$6:$G$1413,'февраль 2024'!$D$6:$D$1413,$B201,'февраль 2024'!$J$6:$J$1413,V$1)</f>
        <v>0</v>
      </c>
      <c r="W201" s="80">
        <f>SUMIFS('февраль 2024'!$G$6:$G$1413,'февраль 2024'!$D$6:$D$1413,$B201,'февраль 2024'!$J$6:$J$1413,W$1)</f>
        <v>0</v>
      </c>
      <c r="X201" s="80">
        <f>SUMIFS('февраль 2024'!$G$6:$G$1413,'февраль 2024'!$D$6:$D$1413,$B201,'февраль 2024'!$J$6:$J$1413,X$1)</f>
        <v>0</v>
      </c>
      <c r="Y201" s="80">
        <f>SUMIFS('февраль 2024'!$G$6:$G$1413,'февраль 2024'!$D$6:$D$1413,$B201,'февраль 2024'!$J$6:$J$1413,Y$1)</f>
        <v>0</v>
      </c>
      <c r="Z201" s="80">
        <f>SUMIFS('февраль 2024'!$G$6:$G$1413,'февраль 2024'!$D$6:$D$1413,$B201,'февраль 2024'!$J$6:$J$1413,Z$1)</f>
        <v>0</v>
      </c>
      <c r="AA201" s="80">
        <f>SUMIFS('февраль 2024'!$G$6:$G$1413,'февраль 2024'!$D$6:$D$1413,$B201,'февраль 2024'!$J$6:$J$1413,AA$1)</f>
        <v>0</v>
      </c>
      <c r="AB201" s="80">
        <f>SUMIFS('февраль 2024'!$G$6:$G$1413,'февраль 2024'!$D$6:$D$1413,$B201,'февраль 2024'!$J$6:$J$1413,AB$1)</f>
        <v>0</v>
      </c>
      <c r="AC201" s="80">
        <f>SUMIFS('февраль 2024'!$G$6:$G$1413,'февраль 2024'!$D$6:$D$1413,$B201,'февраль 2024'!$J$6:$J$1413,AC$1)</f>
        <v>0</v>
      </c>
      <c r="AD201" s="80">
        <f>SUMIFS('февраль 2024'!$G$6:$G$1413,'февраль 2024'!$D$6:$D$1413,$B201,'февраль 2024'!$J$6:$J$1413,AD$1)</f>
        <v>0</v>
      </c>
      <c r="AE201" s="80">
        <f>SUMIFS('февраль 2024'!$G$6:$G$1413,'февраль 2024'!$D$6:$D$1413,$B201,'февраль 2024'!$J$6:$J$1413,AE$1)</f>
        <v>0</v>
      </c>
      <c r="AF201" s="80">
        <f>SUMIFS('февраль 2024'!$G$6:$G$1413,'февраль 2024'!$D$6:$D$1413,$B201,'февраль 2024'!$J$6:$J$1413,AF$1)</f>
        <v>0</v>
      </c>
      <c r="AG201" s="80">
        <f>SUMIFS('февраль 2024'!$G$6:$G$1413,'февраль 2024'!$D$6:$D$1413,$B201,'февраль 2024'!$J$6:$J$1413,AG$1)</f>
        <v>0</v>
      </c>
      <c r="AH201" s="80">
        <f>SUMIFS('февраль 2024'!$G$6:$G$1413,'февраль 2024'!$D$6:$D$1413,$B201,'февраль 2024'!$J$6:$J$1413,AH$1)</f>
        <v>0</v>
      </c>
      <c r="AI201" s="87"/>
    </row>
    <row r="202" spans="2:35" ht="15" hidden="1" customHeight="1" x14ac:dyDescent="0.25">
      <c r="B202" s="89"/>
      <c r="C202" s="88"/>
      <c r="D202" s="80">
        <f>SUMIFS('февраль 2024'!$G$6:$G$1413,'февраль 2024'!$D$6:$D$1413,$B202,'февраль 2024'!$J$6:$J$1413,D$1)</f>
        <v>0</v>
      </c>
      <c r="E202" s="80">
        <f>SUMIFS('февраль 2024'!$G$6:$G$1413,'февраль 2024'!$D$6:$D$1413,$B202,'февраль 2024'!$J$6:$J$1413,E$1)</f>
        <v>0</v>
      </c>
      <c r="F202" s="80">
        <f>SUMIFS('февраль 2024'!$G$6:$G$1413,'февраль 2024'!$D$6:$D$1413,$B202,'февраль 2024'!$J$6:$J$1413,F$1)</f>
        <v>0</v>
      </c>
      <c r="G202" s="80">
        <f>SUMIFS('февраль 2024'!$G$6:$G$1413,'февраль 2024'!$D$6:$D$1413,$B202,'февраль 2024'!$J$6:$J$1413,G$1)</f>
        <v>0</v>
      </c>
      <c r="H202" s="80">
        <f>SUMIFS('февраль 2024'!$G$6:$G$1413,'февраль 2024'!$D$6:$D$1413,$B202,'февраль 2024'!$J$6:$J$1413,H$1)</f>
        <v>0</v>
      </c>
      <c r="I202" s="80">
        <f>SUMIFS('февраль 2024'!$G$6:$G$1413,'февраль 2024'!$D$6:$D$1413,$B202,'февраль 2024'!$J$6:$J$1413,I$1)</f>
        <v>0</v>
      </c>
      <c r="J202" s="80">
        <f>SUMIFS('февраль 2024'!$G$6:$G$1413,'февраль 2024'!$D$6:$D$1413,$B202,'февраль 2024'!$J$6:$J$1413,J$1)</f>
        <v>0</v>
      </c>
      <c r="K202" s="80">
        <f>SUMIFS('февраль 2024'!$G$6:$G$1413,'февраль 2024'!$D$6:$D$1413,$B202,'февраль 2024'!$J$6:$J$1413,K$1)</f>
        <v>0</v>
      </c>
      <c r="L202" s="80">
        <f>SUMIFS('февраль 2024'!$G$6:$G$1413,'февраль 2024'!$D$6:$D$1413,$B202,'февраль 2024'!$J$6:$J$1413,L$1)</f>
        <v>0</v>
      </c>
      <c r="M202" s="80">
        <f>SUMIFS('февраль 2024'!$G$6:$G$1413,'февраль 2024'!$D$6:$D$1413,$B202,'февраль 2024'!$J$6:$J$1413,M$1)</f>
        <v>0</v>
      </c>
      <c r="N202" s="80">
        <f>SUMIFS('февраль 2024'!$G$6:$G$1413,'февраль 2024'!$D$6:$D$1413,$B202,'февраль 2024'!$J$6:$J$1413,N$1)</f>
        <v>0</v>
      </c>
      <c r="O202" s="80">
        <f>SUMIFS('февраль 2024'!$G$6:$G$1413,'февраль 2024'!$D$6:$D$1413,$B202,'февраль 2024'!$J$6:$J$1413,O$1)</f>
        <v>0</v>
      </c>
      <c r="P202" s="80">
        <f>SUMIFS('февраль 2024'!$G$6:$G$1413,'февраль 2024'!$D$6:$D$1413,$B202,'февраль 2024'!$J$6:$J$1413,P$1)</f>
        <v>0</v>
      </c>
      <c r="Q202" s="80">
        <f>SUMIFS('февраль 2024'!$G$6:$G$1413,'февраль 2024'!$D$6:$D$1413,$B202,'февраль 2024'!$J$6:$J$1413,Q$1)</f>
        <v>0</v>
      </c>
      <c r="R202" s="80">
        <f>SUMIFS('февраль 2024'!$G$6:$G$1413,'февраль 2024'!$D$6:$D$1413,$B202,'февраль 2024'!$J$6:$J$1413,R$1)</f>
        <v>0</v>
      </c>
      <c r="S202" s="80">
        <f>SUMIFS('февраль 2024'!$G$6:$G$1413,'февраль 2024'!$D$6:$D$1413,$B202,'февраль 2024'!$J$6:$J$1413,S$1)</f>
        <v>0</v>
      </c>
      <c r="T202" s="80">
        <f>SUMIFS('февраль 2024'!$G$6:$G$1413,'февраль 2024'!$D$6:$D$1413,$B202,'февраль 2024'!$J$6:$J$1413,T$1)</f>
        <v>0</v>
      </c>
      <c r="U202" s="80">
        <f>SUMIFS('февраль 2024'!$G$6:$G$1413,'февраль 2024'!$D$6:$D$1413,$B202,'февраль 2024'!$J$6:$J$1413,U$1)</f>
        <v>0</v>
      </c>
      <c r="V202" s="80">
        <f>SUMIFS('февраль 2024'!$G$6:$G$1413,'февраль 2024'!$D$6:$D$1413,$B202,'февраль 2024'!$J$6:$J$1413,V$1)</f>
        <v>0</v>
      </c>
      <c r="W202" s="80">
        <f>SUMIFS('февраль 2024'!$G$6:$G$1413,'февраль 2024'!$D$6:$D$1413,$B202,'февраль 2024'!$J$6:$J$1413,W$1)</f>
        <v>0</v>
      </c>
      <c r="X202" s="80">
        <f>SUMIFS('февраль 2024'!$G$6:$G$1413,'февраль 2024'!$D$6:$D$1413,$B202,'февраль 2024'!$J$6:$J$1413,X$1)</f>
        <v>0</v>
      </c>
      <c r="Y202" s="80">
        <f>SUMIFS('февраль 2024'!$G$6:$G$1413,'февраль 2024'!$D$6:$D$1413,$B202,'февраль 2024'!$J$6:$J$1413,Y$1)</f>
        <v>0</v>
      </c>
      <c r="Z202" s="80">
        <f>SUMIFS('февраль 2024'!$G$6:$G$1413,'февраль 2024'!$D$6:$D$1413,$B202,'февраль 2024'!$J$6:$J$1413,Z$1)</f>
        <v>0</v>
      </c>
      <c r="AA202" s="80">
        <f>SUMIFS('февраль 2024'!$G$6:$G$1413,'февраль 2024'!$D$6:$D$1413,$B202,'февраль 2024'!$J$6:$J$1413,AA$1)</f>
        <v>0</v>
      </c>
      <c r="AB202" s="80">
        <f>SUMIFS('февраль 2024'!$G$6:$G$1413,'февраль 2024'!$D$6:$D$1413,$B202,'февраль 2024'!$J$6:$J$1413,AB$1)</f>
        <v>0</v>
      </c>
      <c r="AC202" s="80">
        <f>SUMIFS('февраль 2024'!$G$6:$G$1413,'февраль 2024'!$D$6:$D$1413,$B202,'февраль 2024'!$J$6:$J$1413,AC$1)</f>
        <v>0</v>
      </c>
      <c r="AD202" s="80">
        <f>SUMIFS('февраль 2024'!$G$6:$G$1413,'февраль 2024'!$D$6:$D$1413,$B202,'февраль 2024'!$J$6:$J$1413,AD$1)</f>
        <v>0</v>
      </c>
      <c r="AE202" s="80">
        <f>SUMIFS('февраль 2024'!$G$6:$G$1413,'февраль 2024'!$D$6:$D$1413,$B202,'февраль 2024'!$J$6:$J$1413,AE$1)</f>
        <v>0</v>
      </c>
      <c r="AF202" s="80">
        <f>SUMIFS('февраль 2024'!$G$6:$G$1413,'февраль 2024'!$D$6:$D$1413,$B202,'февраль 2024'!$J$6:$J$1413,AF$1)</f>
        <v>0</v>
      </c>
      <c r="AG202" s="80">
        <f>SUMIFS('февраль 2024'!$G$6:$G$1413,'февраль 2024'!$D$6:$D$1413,$B202,'февраль 2024'!$J$6:$J$1413,AG$1)</f>
        <v>0</v>
      </c>
      <c r="AH202" s="80">
        <f>SUMIFS('февраль 2024'!$G$6:$G$1413,'февраль 2024'!$D$6:$D$1413,$B202,'февраль 2024'!$J$6:$J$1413,AH$1)</f>
        <v>0</v>
      </c>
      <c r="AI202" s="87"/>
    </row>
    <row r="203" spans="2:35" ht="15" hidden="1" customHeight="1" x14ac:dyDescent="0.25">
      <c r="B203" s="89"/>
      <c r="C203" s="88"/>
      <c r="D203" s="80">
        <f>SUMIFS('февраль 2024'!$G$6:$G$1413,'февраль 2024'!$D$6:$D$1413,$B203,'февраль 2024'!$J$6:$J$1413,D$1)</f>
        <v>0</v>
      </c>
      <c r="E203" s="80">
        <f>SUMIFS('февраль 2024'!$G$6:$G$1413,'февраль 2024'!$D$6:$D$1413,$B203,'февраль 2024'!$J$6:$J$1413,E$1)</f>
        <v>0</v>
      </c>
      <c r="F203" s="80">
        <f>SUMIFS('февраль 2024'!$G$6:$G$1413,'февраль 2024'!$D$6:$D$1413,$B203,'февраль 2024'!$J$6:$J$1413,F$1)</f>
        <v>0</v>
      </c>
      <c r="G203" s="80">
        <f>SUMIFS('февраль 2024'!$G$6:$G$1413,'февраль 2024'!$D$6:$D$1413,$B203,'февраль 2024'!$J$6:$J$1413,G$1)</f>
        <v>0</v>
      </c>
      <c r="H203" s="80">
        <f>SUMIFS('февраль 2024'!$G$6:$G$1413,'февраль 2024'!$D$6:$D$1413,$B203,'февраль 2024'!$J$6:$J$1413,H$1)</f>
        <v>0</v>
      </c>
      <c r="I203" s="80">
        <f>SUMIFS('февраль 2024'!$G$6:$G$1413,'февраль 2024'!$D$6:$D$1413,$B203,'февраль 2024'!$J$6:$J$1413,I$1)</f>
        <v>0</v>
      </c>
      <c r="J203" s="80">
        <f>SUMIFS('февраль 2024'!$G$6:$G$1413,'февраль 2024'!$D$6:$D$1413,$B203,'февраль 2024'!$J$6:$J$1413,J$1)</f>
        <v>0</v>
      </c>
      <c r="K203" s="80">
        <f>SUMIFS('февраль 2024'!$G$6:$G$1413,'февраль 2024'!$D$6:$D$1413,$B203,'февраль 2024'!$J$6:$J$1413,K$1)</f>
        <v>0</v>
      </c>
      <c r="L203" s="80">
        <f>SUMIFS('февраль 2024'!$G$6:$G$1413,'февраль 2024'!$D$6:$D$1413,$B203,'февраль 2024'!$J$6:$J$1413,L$1)</f>
        <v>0</v>
      </c>
      <c r="M203" s="80">
        <f>SUMIFS('февраль 2024'!$G$6:$G$1413,'февраль 2024'!$D$6:$D$1413,$B203,'февраль 2024'!$J$6:$J$1413,M$1)</f>
        <v>0</v>
      </c>
      <c r="N203" s="80">
        <f>SUMIFS('февраль 2024'!$G$6:$G$1413,'февраль 2024'!$D$6:$D$1413,$B203,'февраль 2024'!$J$6:$J$1413,N$1)</f>
        <v>0</v>
      </c>
      <c r="O203" s="80">
        <f>SUMIFS('февраль 2024'!$G$6:$G$1413,'февраль 2024'!$D$6:$D$1413,$B203,'февраль 2024'!$J$6:$J$1413,O$1)</f>
        <v>0</v>
      </c>
      <c r="P203" s="80">
        <f>SUMIFS('февраль 2024'!$G$6:$G$1413,'февраль 2024'!$D$6:$D$1413,$B203,'февраль 2024'!$J$6:$J$1413,P$1)</f>
        <v>0</v>
      </c>
      <c r="Q203" s="80">
        <f>SUMIFS('февраль 2024'!$G$6:$G$1413,'февраль 2024'!$D$6:$D$1413,$B203,'февраль 2024'!$J$6:$J$1413,Q$1)</f>
        <v>0</v>
      </c>
      <c r="R203" s="80">
        <f>SUMIFS('февраль 2024'!$G$6:$G$1413,'февраль 2024'!$D$6:$D$1413,$B203,'февраль 2024'!$J$6:$J$1413,R$1)</f>
        <v>0</v>
      </c>
      <c r="S203" s="80">
        <f>SUMIFS('февраль 2024'!$G$6:$G$1413,'февраль 2024'!$D$6:$D$1413,$B203,'февраль 2024'!$J$6:$J$1413,S$1)</f>
        <v>0</v>
      </c>
      <c r="T203" s="80">
        <f>SUMIFS('февраль 2024'!$G$6:$G$1413,'февраль 2024'!$D$6:$D$1413,$B203,'февраль 2024'!$J$6:$J$1413,T$1)</f>
        <v>0</v>
      </c>
      <c r="U203" s="80">
        <f>SUMIFS('февраль 2024'!$G$6:$G$1413,'февраль 2024'!$D$6:$D$1413,$B203,'февраль 2024'!$J$6:$J$1413,U$1)</f>
        <v>0</v>
      </c>
      <c r="V203" s="80">
        <f>SUMIFS('февраль 2024'!$G$6:$G$1413,'февраль 2024'!$D$6:$D$1413,$B203,'февраль 2024'!$J$6:$J$1413,V$1)</f>
        <v>0</v>
      </c>
      <c r="W203" s="80">
        <f>SUMIFS('февраль 2024'!$G$6:$G$1413,'февраль 2024'!$D$6:$D$1413,$B203,'февраль 2024'!$J$6:$J$1413,W$1)</f>
        <v>0</v>
      </c>
      <c r="X203" s="80">
        <f>SUMIFS('февраль 2024'!$G$6:$G$1413,'февраль 2024'!$D$6:$D$1413,$B203,'февраль 2024'!$J$6:$J$1413,X$1)</f>
        <v>0</v>
      </c>
      <c r="Y203" s="80">
        <f>SUMIFS('февраль 2024'!$G$6:$G$1413,'февраль 2024'!$D$6:$D$1413,$B203,'февраль 2024'!$J$6:$J$1413,Y$1)</f>
        <v>0</v>
      </c>
      <c r="Z203" s="80">
        <f>SUMIFS('февраль 2024'!$G$6:$G$1413,'февраль 2024'!$D$6:$D$1413,$B203,'февраль 2024'!$J$6:$J$1413,Z$1)</f>
        <v>0</v>
      </c>
      <c r="AA203" s="80">
        <f>SUMIFS('февраль 2024'!$G$6:$G$1413,'февраль 2024'!$D$6:$D$1413,$B203,'февраль 2024'!$J$6:$J$1413,AA$1)</f>
        <v>0</v>
      </c>
      <c r="AB203" s="80">
        <f>SUMIFS('февраль 2024'!$G$6:$G$1413,'февраль 2024'!$D$6:$D$1413,$B203,'февраль 2024'!$J$6:$J$1413,AB$1)</f>
        <v>0</v>
      </c>
      <c r="AC203" s="80">
        <f>SUMIFS('февраль 2024'!$G$6:$G$1413,'февраль 2024'!$D$6:$D$1413,$B203,'февраль 2024'!$J$6:$J$1413,AC$1)</f>
        <v>0</v>
      </c>
      <c r="AD203" s="80">
        <f>SUMIFS('февраль 2024'!$G$6:$G$1413,'февраль 2024'!$D$6:$D$1413,$B203,'февраль 2024'!$J$6:$J$1413,AD$1)</f>
        <v>0</v>
      </c>
      <c r="AE203" s="80">
        <f>SUMIFS('февраль 2024'!$G$6:$G$1413,'февраль 2024'!$D$6:$D$1413,$B203,'февраль 2024'!$J$6:$J$1413,AE$1)</f>
        <v>0</v>
      </c>
      <c r="AF203" s="80">
        <f>SUMIFS('февраль 2024'!$G$6:$G$1413,'февраль 2024'!$D$6:$D$1413,$B203,'февраль 2024'!$J$6:$J$1413,AF$1)</f>
        <v>0</v>
      </c>
      <c r="AG203" s="80">
        <f>SUMIFS('февраль 2024'!$G$6:$G$1413,'февраль 2024'!$D$6:$D$1413,$B203,'февраль 2024'!$J$6:$J$1413,AG$1)</f>
        <v>0</v>
      </c>
      <c r="AH203" s="80">
        <f>SUMIFS('февраль 2024'!$G$6:$G$1413,'февраль 2024'!$D$6:$D$1413,$B203,'февраль 2024'!$J$6:$J$1413,AH$1)</f>
        <v>0</v>
      </c>
      <c r="AI203" s="87"/>
    </row>
    <row r="204" spans="2:35" ht="15" hidden="1" customHeight="1" x14ac:dyDescent="0.25">
      <c r="B204" s="89"/>
      <c r="C204" s="88"/>
      <c r="D204" s="80">
        <f>SUMIFS('февраль 2024'!$G$6:$G$1413,'февраль 2024'!$D$6:$D$1413,$B204,'февраль 2024'!$J$6:$J$1413,D$1)</f>
        <v>0</v>
      </c>
      <c r="E204" s="80">
        <f>SUMIFS('февраль 2024'!$G$6:$G$1413,'февраль 2024'!$D$6:$D$1413,$B204,'февраль 2024'!$J$6:$J$1413,E$1)</f>
        <v>0</v>
      </c>
      <c r="F204" s="80">
        <f>SUMIFS('февраль 2024'!$G$6:$G$1413,'февраль 2024'!$D$6:$D$1413,$B204,'февраль 2024'!$J$6:$J$1413,F$1)</f>
        <v>0</v>
      </c>
      <c r="G204" s="80">
        <f>SUMIFS('февраль 2024'!$G$6:$G$1413,'февраль 2024'!$D$6:$D$1413,$B204,'февраль 2024'!$J$6:$J$1413,G$1)</f>
        <v>0</v>
      </c>
      <c r="H204" s="80">
        <f>SUMIFS('февраль 2024'!$G$6:$G$1413,'февраль 2024'!$D$6:$D$1413,$B204,'февраль 2024'!$J$6:$J$1413,H$1)</f>
        <v>0</v>
      </c>
      <c r="I204" s="80">
        <f>SUMIFS('февраль 2024'!$G$6:$G$1413,'февраль 2024'!$D$6:$D$1413,$B204,'февраль 2024'!$J$6:$J$1413,I$1)</f>
        <v>0</v>
      </c>
      <c r="J204" s="80">
        <f>SUMIFS('февраль 2024'!$G$6:$G$1413,'февраль 2024'!$D$6:$D$1413,$B204,'февраль 2024'!$J$6:$J$1413,J$1)</f>
        <v>0</v>
      </c>
      <c r="K204" s="80">
        <f>SUMIFS('февраль 2024'!$G$6:$G$1413,'февраль 2024'!$D$6:$D$1413,$B204,'февраль 2024'!$J$6:$J$1413,K$1)</f>
        <v>0</v>
      </c>
      <c r="L204" s="80">
        <f>SUMIFS('февраль 2024'!$G$6:$G$1413,'февраль 2024'!$D$6:$D$1413,$B204,'февраль 2024'!$J$6:$J$1413,L$1)</f>
        <v>0</v>
      </c>
      <c r="M204" s="80">
        <f>SUMIFS('февраль 2024'!$G$6:$G$1413,'февраль 2024'!$D$6:$D$1413,$B204,'февраль 2024'!$J$6:$J$1413,M$1)</f>
        <v>0</v>
      </c>
      <c r="N204" s="80">
        <f>SUMIFS('февраль 2024'!$G$6:$G$1413,'февраль 2024'!$D$6:$D$1413,$B204,'февраль 2024'!$J$6:$J$1413,N$1)</f>
        <v>0</v>
      </c>
      <c r="O204" s="80">
        <f>SUMIFS('февраль 2024'!$G$6:$G$1413,'февраль 2024'!$D$6:$D$1413,$B204,'февраль 2024'!$J$6:$J$1413,O$1)</f>
        <v>0</v>
      </c>
      <c r="P204" s="80">
        <f>SUMIFS('февраль 2024'!$G$6:$G$1413,'февраль 2024'!$D$6:$D$1413,$B204,'февраль 2024'!$J$6:$J$1413,P$1)</f>
        <v>0</v>
      </c>
      <c r="Q204" s="80">
        <f>SUMIFS('февраль 2024'!$G$6:$G$1413,'февраль 2024'!$D$6:$D$1413,$B204,'февраль 2024'!$J$6:$J$1413,Q$1)</f>
        <v>0</v>
      </c>
      <c r="R204" s="80">
        <f>SUMIFS('февраль 2024'!$G$6:$G$1413,'февраль 2024'!$D$6:$D$1413,$B204,'февраль 2024'!$J$6:$J$1413,R$1)</f>
        <v>0</v>
      </c>
      <c r="S204" s="80">
        <f>SUMIFS('февраль 2024'!$G$6:$G$1413,'февраль 2024'!$D$6:$D$1413,$B204,'февраль 2024'!$J$6:$J$1413,S$1)</f>
        <v>0</v>
      </c>
      <c r="T204" s="80">
        <f>SUMIFS('февраль 2024'!$G$6:$G$1413,'февраль 2024'!$D$6:$D$1413,$B204,'февраль 2024'!$J$6:$J$1413,T$1)</f>
        <v>0</v>
      </c>
      <c r="U204" s="80">
        <f>SUMIFS('февраль 2024'!$G$6:$G$1413,'февраль 2024'!$D$6:$D$1413,$B204,'февраль 2024'!$J$6:$J$1413,U$1)</f>
        <v>0</v>
      </c>
      <c r="V204" s="80">
        <f>SUMIFS('февраль 2024'!$G$6:$G$1413,'февраль 2024'!$D$6:$D$1413,$B204,'февраль 2024'!$J$6:$J$1413,V$1)</f>
        <v>0</v>
      </c>
      <c r="W204" s="80">
        <f>SUMIFS('февраль 2024'!$G$6:$G$1413,'февраль 2024'!$D$6:$D$1413,$B204,'февраль 2024'!$J$6:$J$1413,W$1)</f>
        <v>0</v>
      </c>
      <c r="X204" s="80">
        <f>SUMIFS('февраль 2024'!$G$6:$G$1413,'февраль 2024'!$D$6:$D$1413,$B204,'февраль 2024'!$J$6:$J$1413,X$1)</f>
        <v>0</v>
      </c>
      <c r="Y204" s="80">
        <f>SUMIFS('февраль 2024'!$G$6:$G$1413,'февраль 2024'!$D$6:$D$1413,$B204,'февраль 2024'!$J$6:$J$1413,Y$1)</f>
        <v>0</v>
      </c>
      <c r="Z204" s="80">
        <f>SUMIFS('февраль 2024'!$G$6:$G$1413,'февраль 2024'!$D$6:$D$1413,$B204,'февраль 2024'!$J$6:$J$1413,Z$1)</f>
        <v>0</v>
      </c>
      <c r="AA204" s="80">
        <f>SUMIFS('февраль 2024'!$G$6:$G$1413,'февраль 2024'!$D$6:$D$1413,$B204,'февраль 2024'!$J$6:$J$1413,AA$1)</f>
        <v>0</v>
      </c>
      <c r="AB204" s="80">
        <f>SUMIFS('февраль 2024'!$G$6:$G$1413,'февраль 2024'!$D$6:$D$1413,$B204,'февраль 2024'!$J$6:$J$1413,AB$1)</f>
        <v>0</v>
      </c>
      <c r="AC204" s="80">
        <f>SUMIFS('февраль 2024'!$G$6:$G$1413,'февраль 2024'!$D$6:$D$1413,$B204,'февраль 2024'!$J$6:$J$1413,AC$1)</f>
        <v>0</v>
      </c>
      <c r="AD204" s="80">
        <f>SUMIFS('февраль 2024'!$G$6:$G$1413,'февраль 2024'!$D$6:$D$1413,$B204,'февраль 2024'!$J$6:$J$1413,AD$1)</f>
        <v>0</v>
      </c>
      <c r="AE204" s="80">
        <f>SUMIFS('февраль 2024'!$G$6:$G$1413,'февраль 2024'!$D$6:$D$1413,$B204,'февраль 2024'!$J$6:$J$1413,AE$1)</f>
        <v>0</v>
      </c>
      <c r="AF204" s="80">
        <f>SUMIFS('февраль 2024'!$G$6:$G$1413,'февраль 2024'!$D$6:$D$1413,$B204,'февраль 2024'!$J$6:$J$1413,AF$1)</f>
        <v>0</v>
      </c>
      <c r="AG204" s="80">
        <f>SUMIFS('февраль 2024'!$G$6:$G$1413,'февраль 2024'!$D$6:$D$1413,$B204,'февраль 2024'!$J$6:$J$1413,AG$1)</f>
        <v>0</v>
      </c>
      <c r="AH204" s="80">
        <f>SUMIFS('февраль 2024'!$G$6:$G$1413,'февраль 2024'!$D$6:$D$1413,$B204,'февраль 2024'!$J$6:$J$1413,AH$1)</f>
        <v>0</v>
      </c>
      <c r="AI204" s="87"/>
    </row>
    <row r="205" spans="2:35" ht="15" hidden="1" customHeight="1" x14ac:dyDescent="0.25">
      <c r="B205" s="89"/>
      <c r="C205" s="88"/>
      <c r="D205" s="80">
        <f>SUMIFS('февраль 2024'!$G$6:$G$1413,'февраль 2024'!$D$6:$D$1413,$B205,'февраль 2024'!$J$6:$J$1413,D$1)</f>
        <v>0</v>
      </c>
      <c r="E205" s="80">
        <f>SUMIFS('февраль 2024'!$G$6:$G$1413,'февраль 2024'!$D$6:$D$1413,$B205,'февраль 2024'!$J$6:$J$1413,E$1)</f>
        <v>0</v>
      </c>
      <c r="F205" s="80">
        <f>SUMIFS('февраль 2024'!$G$6:$G$1413,'февраль 2024'!$D$6:$D$1413,$B205,'февраль 2024'!$J$6:$J$1413,F$1)</f>
        <v>0</v>
      </c>
      <c r="G205" s="80">
        <f>SUMIFS('февраль 2024'!$G$6:$G$1413,'февраль 2024'!$D$6:$D$1413,$B205,'февраль 2024'!$J$6:$J$1413,G$1)</f>
        <v>0</v>
      </c>
      <c r="H205" s="80">
        <f>SUMIFS('февраль 2024'!$G$6:$G$1413,'февраль 2024'!$D$6:$D$1413,$B205,'февраль 2024'!$J$6:$J$1413,H$1)</f>
        <v>0</v>
      </c>
      <c r="I205" s="80">
        <f>SUMIFS('февраль 2024'!$G$6:$G$1413,'февраль 2024'!$D$6:$D$1413,$B205,'февраль 2024'!$J$6:$J$1413,I$1)</f>
        <v>0</v>
      </c>
      <c r="J205" s="80">
        <f>SUMIFS('февраль 2024'!$G$6:$G$1413,'февраль 2024'!$D$6:$D$1413,$B205,'февраль 2024'!$J$6:$J$1413,J$1)</f>
        <v>0</v>
      </c>
      <c r="K205" s="80">
        <f>SUMIFS('февраль 2024'!$G$6:$G$1413,'февраль 2024'!$D$6:$D$1413,$B205,'февраль 2024'!$J$6:$J$1413,K$1)</f>
        <v>0</v>
      </c>
      <c r="L205" s="80">
        <f>SUMIFS('февраль 2024'!$G$6:$G$1413,'февраль 2024'!$D$6:$D$1413,$B205,'февраль 2024'!$J$6:$J$1413,L$1)</f>
        <v>0</v>
      </c>
      <c r="M205" s="80">
        <f>SUMIFS('февраль 2024'!$G$6:$G$1413,'февраль 2024'!$D$6:$D$1413,$B205,'февраль 2024'!$J$6:$J$1413,M$1)</f>
        <v>0</v>
      </c>
      <c r="N205" s="80">
        <f>SUMIFS('февраль 2024'!$G$6:$G$1413,'февраль 2024'!$D$6:$D$1413,$B205,'февраль 2024'!$J$6:$J$1413,N$1)</f>
        <v>0</v>
      </c>
      <c r="O205" s="80">
        <f>SUMIFS('февраль 2024'!$G$6:$G$1413,'февраль 2024'!$D$6:$D$1413,$B205,'февраль 2024'!$J$6:$J$1413,O$1)</f>
        <v>0</v>
      </c>
      <c r="P205" s="80">
        <f>SUMIFS('февраль 2024'!$G$6:$G$1413,'февраль 2024'!$D$6:$D$1413,$B205,'февраль 2024'!$J$6:$J$1413,P$1)</f>
        <v>0</v>
      </c>
      <c r="Q205" s="80">
        <f>SUMIFS('февраль 2024'!$G$6:$G$1413,'февраль 2024'!$D$6:$D$1413,$B205,'февраль 2024'!$J$6:$J$1413,Q$1)</f>
        <v>0</v>
      </c>
      <c r="R205" s="80">
        <f>SUMIFS('февраль 2024'!$G$6:$G$1413,'февраль 2024'!$D$6:$D$1413,$B205,'февраль 2024'!$J$6:$J$1413,R$1)</f>
        <v>0</v>
      </c>
      <c r="S205" s="80">
        <f>SUMIFS('февраль 2024'!$G$6:$G$1413,'февраль 2024'!$D$6:$D$1413,$B205,'февраль 2024'!$J$6:$J$1413,S$1)</f>
        <v>0</v>
      </c>
      <c r="T205" s="80">
        <f>SUMIFS('февраль 2024'!$G$6:$G$1413,'февраль 2024'!$D$6:$D$1413,$B205,'февраль 2024'!$J$6:$J$1413,T$1)</f>
        <v>0</v>
      </c>
      <c r="U205" s="80">
        <f>SUMIFS('февраль 2024'!$G$6:$G$1413,'февраль 2024'!$D$6:$D$1413,$B205,'февраль 2024'!$J$6:$J$1413,U$1)</f>
        <v>0</v>
      </c>
      <c r="V205" s="80">
        <f>SUMIFS('февраль 2024'!$G$6:$G$1413,'февраль 2024'!$D$6:$D$1413,$B205,'февраль 2024'!$J$6:$J$1413,V$1)</f>
        <v>0</v>
      </c>
      <c r="W205" s="80">
        <f>SUMIFS('февраль 2024'!$G$6:$G$1413,'февраль 2024'!$D$6:$D$1413,$B205,'февраль 2024'!$J$6:$J$1413,W$1)</f>
        <v>0</v>
      </c>
      <c r="X205" s="80">
        <f>SUMIFS('февраль 2024'!$G$6:$G$1413,'февраль 2024'!$D$6:$D$1413,$B205,'февраль 2024'!$J$6:$J$1413,X$1)</f>
        <v>0</v>
      </c>
      <c r="Y205" s="80">
        <f>SUMIFS('февраль 2024'!$G$6:$G$1413,'февраль 2024'!$D$6:$D$1413,$B205,'февраль 2024'!$J$6:$J$1413,Y$1)</f>
        <v>0</v>
      </c>
      <c r="Z205" s="80">
        <f>SUMIFS('февраль 2024'!$G$6:$G$1413,'февраль 2024'!$D$6:$D$1413,$B205,'февраль 2024'!$J$6:$J$1413,Z$1)</f>
        <v>0</v>
      </c>
      <c r="AA205" s="80">
        <f>SUMIFS('февраль 2024'!$G$6:$G$1413,'февраль 2024'!$D$6:$D$1413,$B205,'февраль 2024'!$J$6:$J$1413,AA$1)</f>
        <v>0</v>
      </c>
      <c r="AB205" s="80">
        <f>SUMIFS('февраль 2024'!$G$6:$G$1413,'февраль 2024'!$D$6:$D$1413,$B205,'февраль 2024'!$J$6:$J$1413,AB$1)</f>
        <v>0</v>
      </c>
      <c r="AC205" s="80">
        <f>SUMIFS('февраль 2024'!$G$6:$G$1413,'февраль 2024'!$D$6:$D$1413,$B205,'февраль 2024'!$J$6:$J$1413,AC$1)</f>
        <v>0</v>
      </c>
      <c r="AD205" s="80">
        <f>SUMIFS('февраль 2024'!$G$6:$G$1413,'февраль 2024'!$D$6:$D$1413,$B205,'февраль 2024'!$J$6:$J$1413,AD$1)</f>
        <v>0</v>
      </c>
      <c r="AE205" s="80">
        <f>SUMIFS('февраль 2024'!$G$6:$G$1413,'февраль 2024'!$D$6:$D$1413,$B205,'февраль 2024'!$J$6:$J$1413,AE$1)</f>
        <v>0</v>
      </c>
      <c r="AF205" s="80">
        <f>SUMIFS('февраль 2024'!$G$6:$G$1413,'февраль 2024'!$D$6:$D$1413,$B205,'февраль 2024'!$J$6:$J$1413,AF$1)</f>
        <v>0</v>
      </c>
      <c r="AG205" s="80">
        <f>SUMIFS('февраль 2024'!$G$6:$G$1413,'февраль 2024'!$D$6:$D$1413,$B205,'февраль 2024'!$J$6:$J$1413,AG$1)</f>
        <v>0</v>
      </c>
      <c r="AH205" s="80">
        <f>SUMIFS('февраль 2024'!$G$6:$G$1413,'февраль 2024'!$D$6:$D$1413,$B205,'февраль 2024'!$J$6:$J$1413,AH$1)</f>
        <v>0</v>
      </c>
      <c r="AI205" s="87"/>
    </row>
    <row r="206" spans="2:35" ht="15" hidden="1" customHeight="1" x14ac:dyDescent="0.25">
      <c r="B206" s="89"/>
      <c r="C206" s="88"/>
      <c r="D206" s="80">
        <f>SUMIFS('февраль 2024'!$G$6:$G$1413,'февраль 2024'!$D$6:$D$1413,$B206,'февраль 2024'!$J$6:$J$1413,D$1)</f>
        <v>0</v>
      </c>
      <c r="E206" s="80">
        <f>SUMIFS('февраль 2024'!$G$6:$G$1413,'февраль 2024'!$D$6:$D$1413,$B206,'февраль 2024'!$J$6:$J$1413,E$1)</f>
        <v>0</v>
      </c>
      <c r="F206" s="80">
        <f>SUMIFS('февраль 2024'!$G$6:$G$1413,'февраль 2024'!$D$6:$D$1413,$B206,'февраль 2024'!$J$6:$J$1413,F$1)</f>
        <v>0</v>
      </c>
      <c r="G206" s="80">
        <f>SUMIFS('февраль 2024'!$G$6:$G$1413,'февраль 2024'!$D$6:$D$1413,$B206,'февраль 2024'!$J$6:$J$1413,G$1)</f>
        <v>0</v>
      </c>
      <c r="H206" s="80">
        <f>SUMIFS('февраль 2024'!$G$6:$G$1413,'февраль 2024'!$D$6:$D$1413,$B206,'февраль 2024'!$J$6:$J$1413,H$1)</f>
        <v>0</v>
      </c>
      <c r="I206" s="80">
        <f>SUMIFS('февраль 2024'!$G$6:$G$1413,'февраль 2024'!$D$6:$D$1413,$B206,'февраль 2024'!$J$6:$J$1413,I$1)</f>
        <v>0</v>
      </c>
      <c r="J206" s="80">
        <f>SUMIFS('февраль 2024'!$G$6:$G$1413,'февраль 2024'!$D$6:$D$1413,$B206,'февраль 2024'!$J$6:$J$1413,J$1)</f>
        <v>0</v>
      </c>
      <c r="K206" s="80">
        <f>SUMIFS('февраль 2024'!$G$6:$G$1413,'февраль 2024'!$D$6:$D$1413,$B206,'февраль 2024'!$J$6:$J$1413,K$1)</f>
        <v>0</v>
      </c>
      <c r="L206" s="80">
        <f>SUMIFS('февраль 2024'!$G$6:$G$1413,'февраль 2024'!$D$6:$D$1413,$B206,'февраль 2024'!$J$6:$J$1413,L$1)</f>
        <v>0</v>
      </c>
      <c r="M206" s="80">
        <f>SUMIFS('февраль 2024'!$G$6:$G$1413,'февраль 2024'!$D$6:$D$1413,$B206,'февраль 2024'!$J$6:$J$1413,M$1)</f>
        <v>0</v>
      </c>
      <c r="N206" s="80">
        <f>SUMIFS('февраль 2024'!$G$6:$G$1413,'февраль 2024'!$D$6:$D$1413,$B206,'февраль 2024'!$J$6:$J$1413,N$1)</f>
        <v>0</v>
      </c>
      <c r="O206" s="80">
        <f>SUMIFS('февраль 2024'!$G$6:$G$1413,'февраль 2024'!$D$6:$D$1413,$B206,'февраль 2024'!$J$6:$J$1413,O$1)</f>
        <v>0</v>
      </c>
      <c r="P206" s="80">
        <f>SUMIFS('февраль 2024'!$G$6:$G$1413,'февраль 2024'!$D$6:$D$1413,$B206,'февраль 2024'!$J$6:$J$1413,P$1)</f>
        <v>0</v>
      </c>
      <c r="Q206" s="80">
        <f>SUMIFS('февраль 2024'!$G$6:$G$1413,'февраль 2024'!$D$6:$D$1413,$B206,'февраль 2024'!$J$6:$J$1413,Q$1)</f>
        <v>0</v>
      </c>
      <c r="R206" s="80">
        <f>SUMIFS('февраль 2024'!$G$6:$G$1413,'февраль 2024'!$D$6:$D$1413,$B206,'февраль 2024'!$J$6:$J$1413,R$1)</f>
        <v>0</v>
      </c>
      <c r="S206" s="80">
        <f>SUMIFS('февраль 2024'!$G$6:$G$1413,'февраль 2024'!$D$6:$D$1413,$B206,'февраль 2024'!$J$6:$J$1413,S$1)</f>
        <v>0</v>
      </c>
      <c r="T206" s="80">
        <f>SUMIFS('февраль 2024'!$G$6:$G$1413,'февраль 2024'!$D$6:$D$1413,$B206,'февраль 2024'!$J$6:$J$1413,T$1)</f>
        <v>0</v>
      </c>
      <c r="U206" s="80">
        <f>SUMIFS('февраль 2024'!$G$6:$G$1413,'февраль 2024'!$D$6:$D$1413,$B206,'февраль 2024'!$J$6:$J$1413,U$1)</f>
        <v>0</v>
      </c>
      <c r="V206" s="80">
        <f>SUMIFS('февраль 2024'!$G$6:$G$1413,'февраль 2024'!$D$6:$D$1413,$B206,'февраль 2024'!$J$6:$J$1413,V$1)</f>
        <v>0</v>
      </c>
      <c r="W206" s="80">
        <f>SUMIFS('февраль 2024'!$G$6:$G$1413,'февраль 2024'!$D$6:$D$1413,$B206,'февраль 2024'!$J$6:$J$1413,W$1)</f>
        <v>0</v>
      </c>
      <c r="X206" s="80">
        <f>SUMIFS('февраль 2024'!$G$6:$G$1413,'февраль 2024'!$D$6:$D$1413,$B206,'февраль 2024'!$J$6:$J$1413,X$1)</f>
        <v>0</v>
      </c>
      <c r="Y206" s="80">
        <f>SUMIFS('февраль 2024'!$G$6:$G$1413,'февраль 2024'!$D$6:$D$1413,$B206,'февраль 2024'!$J$6:$J$1413,Y$1)</f>
        <v>0</v>
      </c>
      <c r="Z206" s="80">
        <f>SUMIFS('февраль 2024'!$G$6:$G$1413,'февраль 2024'!$D$6:$D$1413,$B206,'февраль 2024'!$J$6:$J$1413,Z$1)</f>
        <v>0</v>
      </c>
      <c r="AA206" s="80">
        <f>SUMIFS('февраль 2024'!$G$6:$G$1413,'февраль 2024'!$D$6:$D$1413,$B206,'февраль 2024'!$J$6:$J$1413,AA$1)</f>
        <v>0</v>
      </c>
      <c r="AB206" s="80">
        <f>SUMIFS('февраль 2024'!$G$6:$G$1413,'февраль 2024'!$D$6:$D$1413,$B206,'февраль 2024'!$J$6:$J$1413,AB$1)</f>
        <v>0</v>
      </c>
      <c r="AC206" s="80">
        <f>SUMIFS('февраль 2024'!$G$6:$G$1413,'февраль 2024'!$D$6:$D$1413,$B206,'февраль 2024'!$J$6:$J$1413,AC$1)</f>
        <v>0</v>
      </c>
      <c r="AD206" s="80">
        <f>SUMIFS('февраль 2024'!$G$6:$G$1413,'февраль 2024'!$D$6:$D$1413,$B206,'февраль 2024'!$J$6:$J$1413,AD$1)</f>
        <v>0</v>
      </c>
      <c r="AE206" s="80">
        <f>SUMIFS('февраль 2024'!$G$6:$G$1413,'февраль 2024'!$D$6:$D$1413,$B206,'февраль 2024'!$J$6:$J$1413,AE$1)</f>
        <v>0</v>
      </c>
      <c r="AF206" s="80">
        <f>SUMIFS('февраль 2024'!$G$6:$G$1413,'февраль 2024'!$D$6:$D$1413,$B206,'февраль 2024'!$J$6:$J$1413,AF$1)</f>
        <v>0</v>
      </c>
      <c r="AG206" s="80">
        <f>SUMIFS('февраль 2024'!$G$6:$G$1413,'февраль 2024'!$D$6:$D$1413,$B206,'февраль 2024'!$J$6:$J$1413,AG$1)</f>
        <v>0</v>
      </c>
      <c r="AH206" s="80">
        <f>SUMIFS('февраль 2024'!$G$6:$G$1413,'февраль 2024'!$D$6:$D$1413,$B206,'февраль 2024'!$J$6:$J$1413,AH$1)</f>
        <v>0</v>
      </c>
      <c r="AI206" s="87"/>
    </row>
    <row r="207" spans="2:35" ht="15" hidden="1" customHeight="1" x14ac:dyDescent="0.25">
      <c r="B207" s="89"/>
      <c r="C207" s="88"/>
      <c r="D207" s="80">
        <f>SUMIFS('февраль 2024'!$G$6:$G$1413,'февраль 2024'!$D$6:$D$1413,$B207,'февраль 2024'!$J$6:$J$1413,D$1)</f>
        <v>0</v>
      </c>
      <c r="E207" s="80">
        <f>SUMIFS('февраль 2024'!$G$6:$G$1413,'февраль 2024'!$D$6:$D$1413,$B207,'февраль 2024'!$J$6:$J$1413,E$1)</f>
        <v>0</v>
      </c>
      <c r="F207" s="80">
        <f>SUMIFS('февраль 2024'!$G$6:$G$1413,'февраль 2024'!$D$6:$D$1413,$B207,'февраль 2024'!$J$6:$J$1413,F$1)</f>
        <v>0</v>
      </c>
      <c r="G207" s="80">
        <f>SUMIFS('февраль 2024'!$G$6:$G$1413,'февраль 2024'!$D$6:$D$1413,$B207,'февраль 2024'!$J$6:$J$1413,G$1)</f>
        <v>0</v>
      </c>
      <c r="H207" s="80">
        <f>SUMIFS('февраль 2024'!$G$6:$G$1413,'февраль 2024'!$D$6:$D$1413,$B207,'февраль 2024'!$J$6:$J$1413,H$1)</f>
        <v>0</v>
      </c>
      <c r="I207" s="80">
        <f>SUMIFS('февраль 2024'!$G$6:$G$1413,'февраль 2024'!$D$6:$D$1413,$B207,'февраль 2024'!$J$6:$J$1413,I$1)</f>
        <v>0</v>
      </c>
      <c r="J207" s="80">
        <f>SUMIFS('февраль 2024'!$G$6:$G$1413,'февраль 2024'!$D$6:$D$1413,$B207,'февраль 2024'!$J$6:$J$1413,J$1)</f>
        <v>0</v>
      </c>
      <c r="K207" s="80">
        <f>SUMIFS('февраль 2024'!$G$6:$G$1413,'февраль 2024'!$D$6:$D$1413,$B207,'февраль 2024'!$J$6:$J$1413,K$1)</f>
        <v>0</v>
      </c>
      <c r="L207" s="80">
        <f>SUMIFS('февраль 2024'!$G$6:$G$1413,'февраль 2024'!$D$6:$D$1413,$B207,'февраль 2024'!$J$6:$J$1413,L$1)</f>
        <v>0</v>
      </c>
      <c r="M207" s="80">
        <f>SUMIFS('февраль 2024'!$G$6:$G$1413,'февраль 2024'!$D$6:$D$1413,$B207,'февраль 2024'!$J$6:$J$1413,M$1)</f>
        <v>0</v>
      </c>
      <c r="N207" s="80">
        <f>SUMIFS('февраль 2024'!$G$6:$G$1413,'февраль 2024'!$D$6:$D$1413,$B207,'февраль 2024'!$J$6:$J$1413,N$1)</f>
        <v>0</v>
      </c>
      <c r="O207" s="80">
        <f>SUMIFS('февраль 2024'!$G$6:$G$1413,'февраль 2024'!$D$6:$D$1413,$B207,'февраль 2024'!$J$6:$J$1413,O$1)</f>
        <v>0</v>
      </c>
      <c r="P207" s="80">
        <f>SUMIFS('февраль 2024'!$G$6:$G$1413,'февраль 2024'!$D$6:$D$1413,$B207,'февраль 2024'!$J$6:$J$1413,P$1)</f>
        <v>0</v>
      </c>
      <c r="Q207" s="80">
        <f>SUMIFS('февраль 2024'!$G$6:$G$1413,'февраль 2024'!$D$6:$D$1413,$B207,'февраль 2024'!$J$6:$J$1413,Q$1)</f>
        <v>0</v>
      </c>
      <c r="R207" s="80">
        <f>SUMIFS('февраль 2024'!$G$6:$G$1413,'февраль 2024'!$D$6:$D$1413,$B207,'февраль 2024'!$J$6:$J$1413,R$1)</f>
        <v>0</v>
      </c>
      <c r="S207" s="80">
        <f>SUMIFS('февраль 2024'!$G$6:$G$1413,'февраль 2024'!$D$6:$D$1413,$B207,'февраль 2024'!$J$6:$J$1413,S$1)</f>
        <v>0</v>
      </c>
      <c r="T207" s="80">
        <f>SUMIFS('февраль 2024'!$G$6:$G$1413,'февраль 2024'!$D$6:$D$1413,$B207,'февраль 2024'!$J$6:$J$1413,T$1)</f>
        <v>0</v>
      </c>
      <c r="U207" s="80">
        <f>SUMIFS('февраль 2024'!$G$6:$G$1413,'февраль 2024'!$D$6:$D$1413,$B207,'февраль 2024'!$J$6:$J$1413,U$1)</f>
        <v>0</v>
      </c>
      <c r="V207" s="80">
        <f>SUMIFS('февраль 2024'!$G$6:$G$1413,'февраль 2024'!$D$6:$D$1413,$B207,'февраль 2024'!$J$6:$J$1413,V$1)</f>
        <v>0</v>
      </c>
      <c r="W207" s="80">
        <f>SUMIFS('февраль 2024'!$G$6:$G$1413,'февраль 2024'!$D$6:$D$1413,$B207,'февраль 2024'!$J$6:$J$1413,W$1)</f>
        <v>0</v>
      </c>
      <c r="X207" s="80">
        <f>SUMIFS('февраль 2024'!$G$6:$G$1413,'февраль 2024'!$D$6:$D$1413,$B207,'февраль 2024'!$J$6:$J$1413,X$1)</f>
        <v>0</v>
      </c>
      <c r="Y207" s="80">
        <f>SUMIFS('февраль 2024'!$G$6:$G$1413,'февраль 2024'!$D$6:$D$1413,$B207,'февраль 2024'!$J$6:$J$1413,Y$1)</f>
        <v>0</v>
      </c>
      <c r="Z207" s="80">
        <f>SUMIFS('февраль 2024'!$G$6:$G$1413,'февраль 2024'!$D$6:$D$1413,$B207,'февраль 2024'!$J$6:$J$1413,Z$1)</f>
        <v>0</v>
      </c>
      <c r="AA207" s="80">
        <f>SUMIFS('февраль 2024'!$G$6:$G$1413,'февраль 2024'!$D$6:$D$1413,$B207,'февраль 2024'!$J$6:$J$1413,AA$1)</f>
        <v>0</v>
      </c>
      <c r="AB207" s="80">
        <f>SUMIFS('февраль 2024'!$G$6:$G$1413,'февраль 2024'!$D$6:$D$1413,$B207,'февраль 2024'!$J$6:$J$1413,AB$1)</f>
        <v>0</v>
      </c>
      <c r="AC207" s="80">
        <f>SUMIFS('февраль 2024'!$G$6:$G$1413,'февраль 2024'!$D$6:$D$1413,$B207,'февраль 2024'!$J$6:$J$1413,AC$1)</f>
        <v>0</v>
      </c>
      <c r="AD207" s="80">
        <f>SUMIFS('февраль 2024'!$G$6:$G$1413,'февраль 2024'!$D$6:$D$1413,$B207,'февраль 2024'!$J$6:$J$1413,AD$1)</f>
        <v>0</v>
      </c>
      <c r="AE207" s="80">
        <f>SUMIFS('февраль 2024'!$G$6:$G$1413,'февраль 2024'!$D$6:$D$1413,$B207,'февраль 2024'!$J$6:$J$1413,AE$1)</f>
        <v>0</v>
      </c>
      <c r="AF207" s="80">
        <f>SUMIFS('февраль 2024'!$G$6:$G$1413,'февраль 2024'!$D$6:$D$1413,$B207,'февраль 2024'!$J$6:$J$1413,AF$1)</f>
        <v>0</v>
      </c>
      <c r="AG207" s="80">
        <f>SUMIFS('февраль 2024'!$G$6:$G$1413,'февраль 2024'!$D$6:$D$1413,$B207,'февраль 2024'!$J$6:$J$1413,AG$1)</f>
        <v>0</v>
      </c>
      <c r="AH207" s="80">
        <f>SUMIFS('февраль 2024'!$G$6:$G$1413,'февраль 2024'!$D$6:$D$1413,$B207,'февраль 2024'!$J$6:$J$1413,AH$1)</f>
        <v>0</v>
      </c>
      <c r="AI207" s="87"/>
    </row>
    <row r="208" spans="2:35" ht="15" hidden="1" customHeight="1" x14ac:dyDescent="0.25">
      <c r="B208" s="89"/>
      <c r="C208" s="88"/>
      <c r="D208" s="80">
        <f>SUMIFS('февраль 2024'!$G$6:$G$1413,'февраль 2024'!$D$6:$D$1413,$B208,'февраль 2024'!$J$6:$J$1413,D$1)</f>
        <v>0</v>
      </c>
      <c r="E208" s="80">
        <f>SUMIFS('февраль 2024'!$G$6:$G$1413,'февраль 2024'!$D$6:$D$1413,$B208,'февраль 2024'!$J$6:$J$1413,E$1)</f>
        <v>0</v>
      </c>
      <c r="F208" s="80">
        <f>SUMIFS('февраль 2024'!$G$6:$G$1413,'февраль 2024'!$D$6:$D$1413,$B208,'февраль 2024'!$J$6:$J$1413,F$1)</f>
        <v>0</v>
      </c>
      <c r="G208" s="80">
        <f>SUMIFS('февраль 2024'!$G$6:$G$1413,'февраль 2024'!$D$6:$D$1413,$B208,'февраль 2024'!$J$6:$J$1413,G$1)</f>
        <v>0</v>
      </c>
      <c r="H208" s="80">
        <f>SUMIFS('февраль 2024'!$G$6:$G$1413,'февраль 2024'!$D$6:$D$1413,$B208,'февраль 2024'!$J$6:$J$1413,H$1)</f>
        <v>0</v>
      </c>
      <c r="I208" s="80">
        <f>SUMIFS('февраль 2024'!$G$6:$G$1413,'февраль 2024'!$D$6:$D$1413,$B208,'февраль 2024'!$J$6:$J$1413,I$1)</f>
        <v>0</v>
      </c>
      <c r="J208" s="80">
        <f>SUMIFS('февраль 2024'!$G$6:$G$1413,'февраль 2024'!$D$6:$D$1413,$B208,'февраль 2024'!$J$6:$J$1413,J$1)</f>
        <v>0</v>
      </c>
      <c r="K208" s="80">
        <f>SUMIFS('февраль 2024'!$G$6:$G$1413,'февраль 2024'!$D$6:$D$1413,$B208,'февраль 2024'!$J$6:$J$1413,K$1)</f>
        <v>0</v>
      </c>
      <c r="L208" s="80">
        <f>SUMIFS('февраль 2024'!$G$6:$G$1413,'февраль 2024'!$D$6:$D$1413,$B208,'февраль 2024'!$J$6:$J$1413,L$1)</f>
        <v>0</v>
      </c>
      <c r="M208" s="80">
        <f>SUMIFS('февраль 2024'!$G$6:$G$1413,'февраль 2024'!$D$6:$D$1413,$B208,'февраль 2024'!$J$6:$J$1413,M$1)</f>
        <v>0</v>
      </c>
      <c r="N208" s="80">
        <f>SUMIFS('февраль 2024'!$G$6:$G$1413,'февраль 2024'!$D$6:$D$1413,$B208,'февраль 2024'!$J$6:$J$1413,N$1)</f>
        <v>0</v>
      </c>
      <c r="O208" s="80">
        <f>SUMIFS('февраль 2024'!$G$6:$G$1413,'февраль 2024'!$D$6:$D$1413,$B208,'февраль 2024'!$J$6:$J$1413,O$1)</f>
        <v>0</v>
      </c>
      <c r="P208" s="80">
        <f>SUMIFS('февраль 2024'!$G$6:$G$1413,'февраль 2024'!$D$6:$D$1413,$B208,'февраль 2024'!$J$6:$J$1413,P$1)</f>
        <v>0</v>
      </c>
      <c r="Q208" s="80">
        <f>SUMIFS('февраль 2024'!$G$6:$G$1413,'февраль 2024'!$D$6:$D$1413,$B208,'февраль 2024'!$J$6:$J$1413,Q$1)</f>
        <v>0</v>
      </c>
      <c r="R208" s="80">
        <f>SUMIFS('февраль 2024'!$G$6:$G$1413,'февраль 2024'!$D$6:$D$1413,$B208,'февраль 2024'!$J$6:$J$1413,R$1)</f>
        <v>0</v>
      </c>
      <c r="S208" s="80">
        <f>SUMIFS('февраль 2024'!$G$6:$G$1413,'февраль 2024'!$D$6:$D$1413,$B208,'февраль 2024'!$J$6:$J$1413,S$1)</f>
        <v>0</v>
      </c>
      <c r="T208" s="80">
        <f>SUMIFS('февраль 2024'!$G$6:$G$1413,'февраль 2024'!$D$6:$D$1413,$B208,'февраль 2024'!$J$6:$J$1413,T$1)</f>
        <v>0</v>
      </c>
      <c r="U208" s="80">
        <f>SUMIFS('февраль 2024'!$G$6:$G$1413,'февраль 2024'!$D$6:$D$1413,$B208,'февраль 2024'!$J$6:$J$1413,U$1)</f>
        <v>0</v>
      </c>
      <c r="V208" s="80">
        <f>SUMIFS('февраль 2024'!$G$6:$G$1413,'февраль 2024'!$D$6:$D$1413,$B208,'февраль 2024'!$J$6:$J$1413,V$1)</f>
        <v>0</v>
      </c>
      <c r="W208" s="80">
        <f>SUMIFS('февраль 2024'!$G$6:$G$1413,'февраль 2024'!$D$6:$D$1413,$B208,'февраль 2024'!$J$6:$J$1413,W$1)</f>
        <v>0</v>
      </c>
      <c r="X208" s="80">
        <f>SUMIFS('февраль 2024'!$G$6:$G$1413,'февраль 2024'!$D$6:$D$1413,$B208,'февраль 2024'!$J$6:$J$1413,X$1)</f>
        <v>0</v>
      </c>
      <c r="Y208" s="80">
        <f>SUMIFS('февраль 2024'!$G$6:$G$1413,'февраль 2024'!$D$6:$D$1413,$B208,'февраль 2024'!$J$6:$J$1413,Y$1)</f>
        <v>0</v>
      </c>
      <c r="Z208" s="80">
        <f>SUMIFS('февраль 2024'!$G$6:$G$1413,'февраль 2024'!$D$6:$D$1413,$B208,'февраль 2024'!$J$6:$J$1413,Z$1)</f>
        <v>0</v>
      </c>
      <c r="AA208" s="80">
        <f>SUMIFS('февраль 2024'!$G$6:$G$1413,'февраль 2024'!$D$6:$D$1413,$B208,'февраль 2024'!$J$6:$J$1413,AA$1)</f>
        <v>0</v>
      </c>
      <c r="AB208" s="80">
        <f>SUMIFS('февраль 2024'!$G$6:$G$1413,'февраль 2024'!$D$6:$D$1413,$B208,'февраль 2024'!$J$6:$J$1413,AB$1)</f>
        <v>0</v>
      </c>
      <c r="AC208" s="80">
        <f>SUMIFS('февраль 2024'!$G$6:$G$1413,'февраль 2024'!$D$6:$D$1413,$B208,'февраль 2024'!$J$6:$J$1413,AC$1)</f>
        <v>0</v>
      </c>
      <c r="AD208" s="80">
        <f>SUMIFS('февраль 2024'!$G$6:$G$1413,'февраль 2024'!$D$6:$D$1413,$B208,'февраль 2024'!$J$6:$J$1413,AD$1)</f>
        <v>0</v>
      </c>
      <c r="AE208" s="80">
        <f>SUMIFS('февраль 2024'!$G$6:$G$1413,'февраль 2024'!$D$6:$D$1413,$B208,'февраль 2024'!$J$6:$J$1413,AE$1)</f>
        <v>0</v>
      </c>
      <c r="AF208" s="80">
        <f>SUMIFS('февраль 2024'!$G$6:$G$1413,'февраль 2024'!$D$6:$D$1413,$B208,'февраль 2024'!$J$6:$J$1413,AF$1)</f>
        <v>0</v>
      </c>
      <c r="AG208" s="80">
        <f>SUMIFS('февраль 2024'!$G$6:$G$1413,'февраль 2024'!$D$6:$D$1413,$B208,'февраль 2024'!$J$6:$J$1413,AG$1)</f>
        <v>0</v>
      </c>
      <c r="AH208" s="80">
        <f>SUMIFS('февраль 2024'!$G$6:$G$1413,'февраль 2024'!$D$6:$D$1413,$B208,'февраль 2024'!$J$6:$J$1413,AH$1)</f>
        <v>0</v>
      </c>
      <c r="AI208" s="87"/>
    </row>
    <row r="209" spans="2:35" ht="15" hidden="1" customHeight="1" x14ac:dyDescent="0.25">
      <c r="B209" s="89"/>
      <c r="C209" s="88"/>
      <c r="D209" s="80">
        <f>SUMIFS('февраль 2024'!$G$6:$G$1413,'февраль 2024'!$D$6:$D$1413,$B209,'февраль 2024'!$J$6:$J$1413,D$1)</f>
        <v>0</v>
      </c>
      <c r="E209" s="80">
        <f>SUMIFS('февраль 2024'!$G$6:$G$1413,'февраль 2024'!$D$6:$D$1413,$B209,'февраль 2024'!$J$6:$J$1413,E$1)</f>
        <v>0</v>
      </c>
      <c r="F209" s="80">
        <f>SUMIFS('февраль 2024'!$G$6:$G$1413,'февраль 2024'!$D$6:$D$1413,$B209,'февраль 2024'!$J$6:$J$1413,F$1)</f>
        <v>0</v>
      </c>
      <c r="G209" s="80">
        <f>SUMIFS('февраль 2024'!$G$6:$G$1413,'февраль 2024'!$D$6:$D$1413,$B209,'февраль 2024'!$J$6:$J$1413,G$1)</f>
        <v>0</v>
      </c>
      <c r="H209" s="80">
        <f>SUMIFS('февраль 2024'!$G$6:$G$1413,'февраль 2024'!$D$6:$D$1413,$B209,'февраль 2024'!$J$6:$J$1413,H$1)</f>
        <v>0</v>
      </c>
      <c r="I209" s="80">
        <f>SUMIFS('февраль 2024'!$G$6:$G$1413,'февраль 2024'!$D$6:$D$1413,$B209,'февраль 2024'!$J$6:$J$1413,I$1)</f>
        <v>0</v>
      </c>
      <c r="J209" s="80">
        <f>SUMIFS('февраль 2024'!$G$6:$G$1413,'февраль 2024'!$D$6:$D$1413,$B209,'февраль 2024'!$J$6:$J$1413,J$1)</f>
        <v>0</v>
      </c>
      <c r="K209" s="80">
        <f>SUMIFS('февраль 2024'!$G$6:$G$1413,'февраль 2024'!$D$6:$D$1413,$B209,'февраль 2024'!$J$6:$J$1413,K$1)</f>
        <v>0</v>
      </c>
      <c r="L209" s="80">
        <f>SUMIFS('февраль 2024'!$G$6:$G$1413,'февраль 2024'!$D$6:$D$1413,$B209,'февраль 2024'!$J$6:$J$1413,L$1)</f>
        <v>0</v>
      </c>
      <c r="M209" s="80">
        <f>SUMIFS('февраль 2024'!$G$6:$G$1413,'февраль 2024'!$D$6:$D$1413,$B209,'февраль 2024'!$J$6:$J$1413,M$1)</f>
        <v>0</v>
      </c>
      <c r="N209" s="80">
        <f>SUMIFS('февраль 2024'!$G$6:$G$1413,'февраль 2024'!$D$6:$D$1413,$B209,'февраль 2024'!$J$6:$J$1413,N$1)</f>
        <v>0</v>
      </c>
      <c r="O209" s="80">
        <f>SUMIFS('февраль 2024'!$G$6:$G$1413,'февраль 2024'!$D$6:$D$1413,$B209,'февраль 2024'!$J$6:$J$1413,O$1)</f>
        <v>0</v>
      </c>
      <c r="P209" s="80">
        <f>SUMIFS('февраль 2024'!$G$6:$G$1413,'февраль 2024'!$D$6:$D$1413,$B209,'февраль 2024'!$J$6:$J$1413,P$1)</f>
        <v>0</v>
      </c>
      <c r="Q209" s="80">
        <f>SUMIFS('февраль 2024'!$G$6:$G$1413,'февраль 2024'!$D$6:$D$1413,$B209,'февраль 2024'!$J$6:$J$1413,Q$1)</f>
        <v>0</v>
      </c>
      <c r="R209" s="80">
        <f>SUMIFS('февраль 2024'!$G$6:$G$1413,'февраль 2024'!$D$6:$D$1413,$B209,'февраль 2024'!$J$6:$J$1413,R$1)</f>
        <v>0</v>
      </c>
      <c r="S209" s="80">
        <f>SUMIFS('февраль 2024'!$G$6:$G$1413,'февраль 2024'!$D$6:$D$1413,$B209,'февраль 2024'!$J$6:$J$1413,S$1)</f>
        <v>0</v>
      </c>
      <c r="T209" s="80">
        <f>SUMIFS('февраль 2024'!$G$6:$G$1413,'февраль 2024'!$D$6:$D$1413,$B209,'февраль 2024'!$J$6:$J$1413,T$1)</f>
        <v>0</v>
      </c>
      <c r="U209" s="80">
        <f>SUMIFS('февраль 2024'!$G$6:$G$1413,'февраль 2024'!$D$6:$D$1413,$B209,'февраль 2024'!$J$6:$J$1413,U$1)</f>
        <v>0</v>
      </c>
      <c r="V209" s="80">
        <f>SUMIFS('февраль 2024'!$G$6:$G$1413,'февраль 2024'!$D$6:$D$1413,$B209,'февраль 2024'!$J$6:$J$1413,V$1)</f>
        <v>0</v>
      </c>
      <c r="W209" s="80">
        <f>SUMIFS('февраль 2024'!$G$6:$G$1413,'февраль 2024'!$D$6:$D$1413,$B209,'февраль 2024'!$J$6:$J$1413,W$1)</f>
        <v>0</v>
      </c>
      <c r="X209" s="80">
        <f>SUMIFS('февраль 2024'!$G$6:$G$1413,'февраль 2024'!$D$6:$D$1413,$B209,'февраль 2024'!$J$6:$J$1413,X$1)</f>
        <v>0</v>
      </c>
      <c r="Y209" s="80">
        <f>SUMIFS('февраль 2024'!$G$6:$G$1413,'февраль 2024'!$D$6:$D$1413,$B209,'февраль 2024'!$J$6:$J$1413,Y$1)</f>
        <v>0</v>
      </c>
      <c r="Z209" s="80">
        <f>SUMIFS('февраль 2024'!$G$6:$G$1413,'февраль 2024'!$D$6:$D$1413,$B209,'февраль 2024'!$J$6:$J$1413,Z$1)</f>
        <v>0</v>
      </c>
      <c r="AA209" s="80">
        <f>SUMIFS('февраль 2024'!$G$6:$G$1413,'февраль 2024'!$D$6:$D$1413,$B209,'февраль 2024'!$J$6:$J$1413,AA$1)</f>
        <v>0</v>
      </c>
      <c r="AB209" s="80">
        <f>SUMIFS('февраль 2024'!$G$6:$G$1413,'февраль 2024'!$D$6:$D$1413,$B209,'февраль 2024'!$J$6:$J$1413,AB$1)</f>
        <v>0</v>
      </c>
      <c r="AC209" s="80">
        <f>SUMIFS('февраль 2024'!$G$6:$G$1413,'февраль 2024'!$D$6:$D$1413,$B209,'февраль 2024'!$J$6:$J$1413,AC$1)</f>
        <v>0</v>
      </c>
      <c r="AD209" s="80">
        <f>SUMIFS('февраль 2024'!$G$6:$G$1413,'февраль 2024'!$D$6:$D$1413,$B209,'февраль 2024'!$J$6:$J$1413,AD$1)</f>
        <v>0</v>
      </c>
      <c r="AE209" s="80">
        <f>SUMIFS('февраль 2024'!$G$6:$G$1413,'февраль 2024'!$D$6:$D$1413,$B209,'февраль 2024'!$J$6:$J$1413,AE$1)</f>
        <v>0</v>
      </c>
      <c r="AF209" s="80">
        <f>SUMIFS('февраль 2024'!$G$6:$G$1413,'февраль 2024'!$D$6:$D$1413,$B209,'февраль 2024'!$J$6:$J$1413,AF$1)</f>
        <v>0</v>
      </c>
      <c r="AG209" s="80">
        <f>SUMIFS('февраль 2024'!$G$6:$G$1413,'февраль 2024'!$D$6:$D$1413,$B209,'февраль 2024'!$J$6:$J$1413,AG$1)</f>
        <v>0</v>
      </c>
      <c r="AH209" s="80">
        <f>SUMIFS('февраль 2024'!$G$6:$G$1413,'февраль 2024'!$D$6:$D$1413,$B209,'февраль 2024'!$J$6:$J$1413,AH$1)</f>
        <v>0</v>
      </c>
      <c r="AI209" s="87"/>
    </row>
    <row r="210" spans="2:35" ht="15" hidden="1" customHeight="1" x14ac:dyDescent="0.25">
      <c r="B210" s="89"/>
      <c r="C210" s="88"/>
      <c r="D210" s="80">
        <f>SUMIFS('февраль 2024'!$G$6:$G$1413,'февраль 2024'!$D$6:$D$1413,$B210,'февраль 2024'!$J$6:$J$1413,D$1)</f>
        <v>0</v>
      </c>
      <c r="E210" s="80">
        <f>SUMIFS('февраль 2024'!$G$6:$G$1413,'февраль 2024'!$D$6:$D$1413,$B210,'февраль 2024'!$J$6:$J$1413,E$1)</f>
        <v>0</v>
      </c>
      <c r="F210" s="80">
        <f>SUMIFS('февраль 2024'!$G$6:$G$1413,'февраль 2024'!$D$6:$D$1413,$B210,'февраль 2024'!$J$6:$J$1413,F$1)</f>
        <v>0</v>
      </c>
      <c r="G210" s="80">
        <f>SUMIFS('февраль 2024'!$G$6:$G$1413,'февраль 2024'!$D$6:$D$1413,$B210,'февраль 2024'!$J$6:$J$1413,G$1)</f>
        <v>0</v>
      </c>
      <c r="H210" s="80">
        <f>SUMIFS('февраль 2024'!$G$6:$G$1413,'февраль 2024'!$D$6:$D$1413,$B210,'февраль 2024'!$J$6:$J$1413,H$1)</f>
        <v>0</v>
      </c>
      <c r="I210" s="80">
        <f>SUMIFS('февраль 2024'!$G$6:$G$1413,'февраль 2024'!$D$6:$D$1413,$B210,'февраль 2024'!$J$6:$J$1413,I$1)</f>
        <v>0</v>
      </c>
      <c r="J210" s="80">
        <f>SUMIFS('февраль 2024'!$G$6:$G$1413,'февраль 2024'!$D$6:$D$1413,$B210,'февраль 2024'!$J$6:$J$1413,J$1)</f>
        <v>0</v>
      </c>
      <c r="K210" s="80">
        <f>SUMIFS('февраль 2024'!$G$6:$G$1413,'февраль 2024'!$D$6:$D$1413,$B210,'февраль 2024'!$J$6:$J$1413,K$1)</f>
        <v>0</v>
      </c>
      <c r="L210" s="80">
        <f>SUMIFS('февраль 2024'!$G$6:$G$1413,'февраль 2024'!$D$6:$D$1413,$B210,'февраль 2024'!$J$6:$J$1413,L$1)</f>
        <v>0</v>
      </c>
      <c r="M210" s="80">
        <f>SUMIFS('февраль 2024'!$G$6:$G$1413,'февраль 2024'!$D$6:$D$1413,$B210,'февраль 2024'!$J$6:$J$1413,M$1)</f>
        <v>0</v>
      </c>
      <c r="N210" s="80">
        <f>SUMIFS('февраль 2024'!$G$6:$G$1413,'февраль 2024'!$D$6:$D$1413,$B210,'февраль 2024'!$J$6:$J$1413,N$1)</f>
        <v>0</v>
      </c>
      <c r="O210" s="80">
        <f>SUMIFS('февраль 2024'!$G$6:$G$1413,'февраль 2024'!$D$6:$D$1413,$B210,'февраль 2024'!$J$6:$J$1413,O$1)</f>
        <v>0</v>
      </c>
      <c r="P210" s="80">
        <f>SUMIFS('февраль 2024'!$G$6:$G$1413,'февраль 2024'!$D$6:$D$1413,$B210,'февраль 2024'!$J$6:$J$1413,P$1)</f>
        <v>0</v>
      </c>
      <c r="Q210" s="80">
        <f>SUMIFS('февраль 2024'!$G$6:$G$1413,'февраль 2024'!$D$6:$D$1413,$B210,'февраль 2024'!$J$6:$J$1413,Q$1)</f>
        <v>0</v>
      </c>
      <c r="R210" s="80">
        <f>SUMIFS('февраль 2024'!$G$6:$G$1413,'февраль 2024'!$D$6:$D$1413,$B210,'февраль 2024'!$J$6:$J$1413,R$1)</f>
        <v>0</v>
      </c>
      <c r="S210" s="80">
        <f>SUMIFS('февраль 2024'!$G$6:$G$1413,'февраль 2024'!$D$6:$D$1413,$B210,'февраль 2024'!$J$6:$J$1413,S$1)</f>
        <v>0</v>
      </c>
      <c r="T210" s="80">
        <f>SUMIFS('февраль 2024'!$G$6:$G$1413,'февраль 2024'!$D$6:$D$1413,$B210,'февраль 2024'!$J$6:$J$1413,T$1)</f>
        <v>0</v>
      </c>
      <c r="U210" s="80">
        <f>SUMIFS('февраль 2024'!$G$6:$G$1413,'февраль 2024'!$D$6:$D$1413,$B210,'февраль 2024'!$J$6:$J$1413,U$1)</f>
        <v>0</v>
      </c>
      <c r="V210" s="80">
        <f>SUMIFS('февраль 2024'!$G$6:$G$1413,'февраль 2024'!$D$6:$D$1413,$B210,'февраль 2024'!$J$6:$J$1413,V$1)</f>
        <v>0</v>
      </c>
      <c r="W210" s="80">
        <f>SUMIFS('февраль 2024'!$G$6:$G$1413,'февраль 2024'!$D$6:$D$1413,$B210,'февраль 2024'!$J$6:$J$1413,W$1)</f>
        <v>0</v>
      </c>
      <c r="X210" s="80">
        <f>SUMIFS('февраль 2024'!$G$6:$G$1413,'февраль 2024'!$D$6:$D$1413,$B210,'февраль 2024'!$J$6:$J$1413,X$1)</f>
        <v>0</v>
      </c>
      <c r="Y210" s="80">
        <f>SUMIFS('февраль 2024'!$G$6:$G$1413,'февраль 2024'!$D$6:$D$1413,$B210,'февраль 2024'!$J$6:$J$1413,Y$1)</f>
        <v>0</v>
      </c>
      <c r="Z210" s="80">
        <f>SUMIFS('февраль 2024'!$G$6:$G$1413,'февраль 2024'!$D$6:$D$1413,$B210,'февраль 2024'!$J$6:$J$1413,Z$1)</f>
        <v>0</v>
      </c>
      <c r="AA210" s="80">
        <f>SUMIFS('февраль 2024'!$G$6:$G$1413,'февраль 2024'!$D$6:$D$1413,$B210,'февраль 2024'!$J$6:$J$1413,AA$1)</f>
        <v>0</v>
      </c>
      <c r="AB210" s="80">
        <f>SUMIFS('февраль 2024'!$G$6:$G$1413,'февраль 2024'!$D$6:$D$1413,$B210,'февраль 2024'!$J$6:$J$1413,AB$1)</f>
        <v>0</v>
      </c>
      <c r="AC210" s="80">
        <f>SUMIFS('февраль 2024'!$G$6:$G$1413,'февраль 2024'!$D$6:$D$1413,$B210,'февраль 2024'!$J$6:$J$1413,AC$1)</f>
        <v>0</v>
      </c>
      <c r="AD210" s="80">
        <f>SUMIFS('февраль 2024'!$G$6:$G$1413,'февраль 2024'!$D$6:$D$1413,$B210,'февраль 2024'!$J$6:$J$1413,AD$1)</f>
        <v>0</v>
      </c>
      <c r="AE210" s="80">
        <f>SUMIFS('февраль 2024'!$G$6:$G$1413,'февраль 2024'!$D$6:$D$1413,$B210,'февраль 2024'!$J$6:$J$1413,AE$1)</f>
        <v>0</v>
      </c>
      <c r="AF210" s="80">
        <f>SUMIFS('февраль 2024'!$G$6:$G$1413,'февраль 2024'!$D$6:$D$1413,$B210,'февраль 2024'!$J$6:$J$1413,AF$1)</f>
        <v>0</v>
      </c>
      <c r="AG210" s="80">
        <f>SUMIFS('февраль 2024'!$G$6:$G$1413,'февраль 2024'!$D$6:$D$1413,$B210,'февраль 2024'!$J$6:$J$1413,AG$1)</f>
        <v>0</v>
      </c>
      <c r="AH210" s="80">
        <f>SUMIFS('февраль 2024'!$G$6:$G$1413,'февраль 2024'!$D$6:$D$1413,$B210,'февраль 2024'!$J$6:$J$1413,AH$1)</f>
        <v>0</v>
      </c>
      <c r="AI210" s="87"/>
    </row>
    <row r="211" spans="2:35" ht="15" hidden="1" customHeight="1" x14ac:dyDescent="0.25">
      <c r="B211" s="89"/>
      <c r="C211" s="88"/>
      <c r="D211" s="80">
        <f>SUMIFS('февраль 2024'!$G$6:$G$1413,'февраль 2024'!$D$6:$D$1413,$B211,'февраль 2024'!$J$6:$J$1413,D$1)</f>
        <v>0</v>
      </c>
      <c r="E211" s="80">
        <f>SUMIFS('февраль 2024'!$G$6:$G$1413,'февраль 2024'!$D$6:$D$1413,$B211,'февраль 2024'!$J$6:$J$1413,E$1)</f>
        <v>0</v>
      </c>
      <c r="F211" s="80">
        <f>SUMIFS('февраль 2024'!$G$6:$G$1413,'февраль 2024'!$D$6:$D$1413,$B211,'февраль 2024'!$J$6:$J$1413,F$1)</f>
        <v>0</v>
      </c>
      <c r="G211" s="80">
        <f>SUMIFS('февраль 2024'!$G$6:$G$1413,'февраль 2024'!$D$6:$D$1413,$B211,'февраль 2024'!$J$6:$J$1413,G$1)</f>
        <v>0</v>
      </c>
      <c r="H211" s="80">
        <f>SUMIFS('февраль 2024'!$G$6:$G$1413,'февраль 2024'!$D$6:$D$1413,$B211,'февраль 2024'!$J$6:$J$1413,H$1)</f>
        <v>0</v>
      </c>
      <c r="I211" s="80">
        <f>SUMIFS('февраль 2024'!$G$6:$G$1413,'февраль 2024'!$D$6:$D$1413,$B211,'февраль 2024'!$J$6:$J$1413,I$1)</f>
        <v>0</v>
      </c>
      <c r="J211" s="80">
        <f>SUMIFS('февраль 2024'!$G$6:$G$1413,'февраль 2024'!$D$6:$D$1413,$B211,'февраль 2024'!$J$6:$J$1413,J$1)</f>
        <v>0</v>
      </c>
      <c r="K211" s="80">
        <f>SUMIFS('февраль 2024'!$G$6:$G$1413,'февраль 2024'!$D$6:$D$1413,$B211,'февраль 2024'!$J$6:$J$1413,K$1)</f>
        <v>0</v>
      </c>
      <c r="L211" s="80">
        <f>SUMIFS('февраль 2024'!$G$6:$G$1413,'февраль 2024'!$D$6:$D$1413,$B211,'февраль 2024'!$J$6:$J$1413,L$1)</f>
        <v>0</v>
      </c>
      <c r="M211" s="80">
        <f>SUMIFS('февраль 2024'!$G$6:$G$1413,'февраль 2024'!$D$6:$D$1413,$B211,'февраль 2024'!$J$6:$J$1413,M$1)</f>
        <v>0</v>
      </c>
      <c r="N211" s="80">
        <f>SUMIFS('февраль 2024'!$G$6:$G$1413,'февраль 2024'!$D$6:$D$1413,$B211,'февраль 2024'!$J$6:$J$1413,N$1)</f>
        <v>0</v>
      </c>
      <c r="O211" s="80">
        <f>SUMIFS('февраль 2024'!$G$6:$G$1413,'февраль 2024'!$D$6:$D$1413,$B211,'февраль 2024'!$J$6:$J$1413,O$1)</f>
        <v>0</v>
      </c>
      <c r="P211" s="80">
        <f>SUMIFS('февраль 2024'!$G$6:$G$1413,'февраль 2024'!$D$6:$D$1413,$B211,'февраль 2024'!$J$6:$J$1413,P$1)</f>
        <v>0</v>
      </c>
      <c r="Q211" s="80">
        <f>SUMIFS('февраль 2024'!$G$6:$G$1413,'февраль 2024'!$D$6:$D$1413,$B211,'февраль 2024'!$J$6:$J$1413,Q$1)</f>
        <v>0</v>
      </c>
      <c r="R211" s="80">
        <f>SUMIFS('февраль 2024'!$G$6:$G$1413,'февраль 2024'!$D$6:$D$1413,$B211,'февраль 2024'!$J$6:$J$1413,R$1)</f>
        <v>0</v>
      </c>
      <c r="S211" s="80">
        <f>SUMIFS('февраль 2024'!$G$6:$G$1413,'февраль 2024'!$D$6:$D$1413,$B211,'февраль 2024'!$J$6:$J$1413,S$1)</f>
        <v>0</v>
      </c>
      <c r="T211" s="80">
        <f>SUMIFS('февраль 2024'!$G$6:$G$1413,'февраль 2024'!$D$6:$D$1413,$B211,'февраль 2024'!$J$6:$J$1413,T$1)</f>
        <v>0</v>
      </c>
      <c r="U211" s="80">
        <f>SUMIFS('февраль 2024'!$G$6:$G$1413,'февраль 2024'!$D$6:$D$1413,$B211,'февраль 2024'!$J$6:$J$1413,U$1)</f>
        <v>0</v>
      </c>
      <c r="V211" s="80">
        <f>SUMIFS('февраль 2024'!$G$6:$G$1413,'февраль 2024'!$D$6:$D$1413,$B211,'февраль 2024'!$J$6:$J$1413,V$1)</f>
        <v>0</v>
      </c>
      <c r="W211" s="80">
        <f>SUMIFS('февраль 2024'!$G$6:$G$1413,'февраль 2024'!$D$6:$D$1413,$B211,'февраль 2024'!$J$6:$J$1413,W$1)</f>
        <v>0</v>
      </c>
      <c r="X211" s="80">
        <f>SUMIFS('февраль 2024'!$G$6:$G$1413,'февраль 2024'!$D$6:$D$1413,$B211,'февраль 2024'!$J$6:$J$1413,X$1)</f>
        <v>0</v>
      </c>
      <c r="Y211" s="80">
        <f>SUMIFS('февраль 2024'!$G$6:$G$1413,'февраль 2024'!$D$6:$D$1413,$B211,'февраль 2024'!$J$6:$J$1413,Y$1)</f>
        <v>0</v>
      </c>
      <c r="Z211" s="80">
        <f>SUMIFS('февраль 2024'!$G$6:$G$1413,'февраль 2024'!$D$6:$D$1413,$B211,'февраль 2024'!$J$6:$J$1413,Z$1)</f>
        <v>0</v>
      </c>
      <c r="AA211" s="80">
        <f>SUMIFS('февраль 2024'!$G$6:$G$1413,'февраль 2024'!$D$6:$D$1413,$B211,'февраль 2024'!$J$6:$J$1413,AA$1)</f>
        <v>0</v>
      </c>
      <c r="AB211" s="80">
        <f>SUMIFS('февраль 2024'!$G$6:$G$1413,'февраль 2024'!$D$6:$D$1413,$B211,'февраль 2024'!$J$6:$J$1413,AB$1)</f>
        <v>0</v>
      </c>
      <c r="AC211" s="80">
        <f>SUMIFS('февраль 2024'!$G$6:$G$1413,'февраль 2024'!$D$6:$D$1413,$B211,'февраль 2024'!$J$6:$J$1413,AC$1)</f>
        <v>0</v>
      </c>
      <c r="AD211" s="80">
        <f>SUMIFS('февраль 2024'!$G$6:$G$1413,'февраль 2024'!$D$6:$D$1413,$B211,'февраль 2024'!$J$6:$J$1413,AD$1)</f>
        <v>0</v>
      </c>
      <c r="AE211" s="80">
        <f>SUMIFS('февраль 2024'!$G$6:$G$1413,'февраль 2024'!$D$6:$D$1413,$B211,'февраль 2024'!$J$6:$J$1413,AE$1)</f>
        <v>0</v>
      </c>
      <c r="AF211" s="80">
        <f>SUMIFS('февраль 2024'!$G$6:$G$1413,'февраль 2024'!$D$6:$D$1413,$B211,'февраль 2024'!$J$6:$J$1413,AF$1)</f>
        <v>0</v>
      </c>
      <c r="AG211" s="80">
        <f>SUMIFS('февраль 2024'!$G$6:$G$1413,'февраль 2024'!$D$6:$D$1413,$B211,'февраль 2024'!$J$6:$J$1413,AG$1)</f>
        <v>0</v>
      </c>
      <c r="AH211" s="80">
        <f>SUMIFS('февраль 2024'!$G$6:$G$1413,'февраль 2024'!$D$6:$D$1413,$B211,'февраль 2024'!$J$6:$J$1413,AH$1)</f>
        <v>0</v>
      </c>
      <c r="AI211" s="87"/>
    </row>
    <row r="212" spans="2:35" ht="15" hidden="1" customHeight="1" x14ac:dyDescent="0.25">
      <c r="B212" s="89"/>
      <c r="C212" s="88"/>
      <c r="D212" s="80">
        <f>SUMIFS('февраль 2024'!$G$6:$G$1413,'февраль 2024'!$D$6:$D$1413,$B212,'февраль 2024'!$J$6:$J$1413,D$1)</f>
        <v>0</v>
      </c>
      <c r="E212" s="80">
        <f>SUMIFS('февраль 2024'!$G$6:$G$1413,'февраль 2024'!$D$6:$D$1413,$B212,'февраль 2024'!$J$6:$J$1413,E$1)</f>
        <v>0</v>
      </c>
      <c r="F212" s="80">
        <f>SUMIFS('февраль 2024'!$G$6:$G$1413,'февраль 2024'!$D$6:$D$1413,$B212,'февраль 2024'!$J$6:$J$1413,F$1)</f>
        <v>0</v>
      </c>
      <c r="G212" s="80">
        <f>SUMIFS('февраль 2024'!$G$6:$G$1413,'февраль 2024'!$D$6:$D$1413,$B212,'февраль 2024'!$J$6:$J$1413,G$1)</f>
        <v>0</v>
      </c>
      <c r="H212" s="80">
        <f>SUMIFS('февраль 2024'!$G$6:$G$1413,'февраль 2024'!$D$6:$D$1413,$B212,'февраль 2024'!$J$6:$J$1413,H$1)</f>
        <v>0</v>
      </c>
      <c r="I212" s="80">
        <f>SUMIFS('февраль 2024'!$G$6:$G$1413,'февраль 2024'!$D$6:$D$1413,$B212,'февраль 2024'!$J$6:$J$1413,I$1)</f>
        <v>0</v>
      </c>
      <c r="J212" s="80">
        <f>SUMIFS('февраль 2024'!$G$6:$G$1413,'февраль 2024'!$D$6:$D$1413,$B212,'февраль 2024'!$J$6:$J$1413,J$1)</f>
        <v>0</v>
      </c>
      <c r="K212" s="80">
        <f>SUMIFS('февраль 2024'!$G$6:$G$1413,'февраль 2024'!$D$6:$D$1413,$B212,'февраль 2024'!$J$6:$J$1413,K$1)</f>
        <v>0</v>
      </c>
      <c r="L212" s="80">
        <f>SUMIFS('февраль 2024'!$G$6:$G$1413,'февраль 2024'!$D$6:$D$1413,$B212,'февраль 2024'!$J$6:$J$1413,L$1)</f>
        <v>0</v>
      </c>
      <c r="M212" s="80">
        <f>SUMIFS('февраль 2024'!$G$6:$G$1413,'февраль 2024'!$D$6:$D$1413,$B212,'февраль 2024'!$J$6:$J$1413,M$1)</f>
        <v>0</v>
      </c>
      <c r="N212" s="80">
        <f>SUMIFS('февраль 2024'!$G$6:$G$1413,'февраль 2024'!$D$6:$D$1413,$B212,'февраль 2024'!$J$6:$J$1413,N$1)</f>
        <v>0</v>
      </c>
      <c r="O212" s="80">
        <f>SUMIFS('февраль 2024'!$G$6:$G$1413,'февраль 2024'!$D$6:$D$1413,$B212,'февраль 2024'!$J$6:$J$1413,O$1)</f>
        <v>0</v>
      </c>
      <c r="P212" s="80">
        <f>SUMIFS('февраль 2024'!$G$6:$G$1413,'февраль 2024'!$D$6:$D$1413,$B212,'февраль 2024'!$J$6:$J$1413,P$1)</f>
        <v>0</v>
      </c>
      <c r="Q212" s="80">
        <f>SUMIFS('февраль 2024'!$G$6:$G$1413,'февраль 2024'!$D$6:$D$1413,$B212,'февраль 2024'!$J$6:$J$1413,Q$1)</f>
        <v>0</v>
      </c>
      <c r="R212" s="80">
        <f>SUMIFS('февраль 2024'!$G$6:$G$1413,'февраль 2024'!$D$6:$D$1413,$B212,'февраль 2024'!$J$6:$J$1413,R$1)</f>
        <v>0</v>
      </c>
      <c r="S212" s="80">
        <f>SUMIFS('февраль 2024'!$G$6:$G$1413,'февраль 2024'!$D$6:$D$1413,$B212,'февраль 2024'!$J$6:$J$1413,S$1)</f>
        <v>0</v>
      </c>
      <c r="T212" s="80">
        <f>SUMIFS('февраль 2024'!$G$6:$G$1413,'февраль 2024'!$D$6:$D$1413,$B212,'февраль 2024'!$J$6:$J$1413,T$1)</f>
        <v>0</v>
      </c>
      <c r="U212" s="80">
        <f>SUMIFS('февраль 2024'!$G$6:$G$1413,'февраль 2024'!$D$6:$D$1413,$B212,'февраль 2024'!$J$6:$J$1413,U$1)</f>
        <v>0</v>
      </c>
      <c r="V212" s="80">
        <f>SUMIFS('февраль 2024'!$G$6:$G$1413,'февраль 2024'!$D$6:$D$1413,$B212,'февраль 2024'!$J$6:$J$1413,V$1)</f>
        <v>0</v>
      </c>
      <c r="W212" s="80">
        <f>SUMIFS('февраль 2024'!$G$6:$G$1413,'февраль 2024'!$D$6:$D$1413,$B212,'февраль 2024'!$J$6:$J$1413,W$1)</f>
        <v>0</v>
      </c>
      <c r="X212" s="80">
        <f>SUMIFS('февраль 2024'!$G$6:$G$1413,'февраль 2024'!$D$6:$D$1413,$B212,'февраль 2024'!$J$6:$J$1413,X$1)</f>
        <v>0</v>
      </c>
      <c r="Y212" s="80">
        <f>SUMIFS('февраль 2024'!$G$6:$G$1413,'февраль 2024'!$D$6:$D$1413,$B212,'февраль 2024'!$J$6:$J$1413,Y$1)</f>
        <v>0</v>
      </c>
      <c r="Z212" s="80">
        <f>SUMIFS('февраль 2024'!$G$6:$G$1413,'февраль 2024'!$D$6:$D$1413,$B212,'февраль 2024'!$J$6:$J$1413,Z$1)</f>
        <v>0</v>
      </c>
      <c r="AA212" s="80">
        <f>SUMIFS('февраль 2024'!$G$6:$G$1413,'февраль 2024'!$D$6:$D$1413,$B212,'февраль 2024'!$J$6:$J$1413,AA$1)</f>
        <v>0</v>
      </c>
      <c r="AB212" s="80">
        <f>SUMIFS('февраль 2024'!$G$6:$G$1413,'февраль 2024'!$D$6:$D$1413,$B212,'февраль 2024'!$J$6:$J$1413,AB$1)</f>
        <v>0</v>
      </c>
      <c r="AC212" s="80">
        <f>SUMIFS('февраль 2024'!$G$6:$G$1413,'февраль 2024'!$D$6:$D$1413,$B212,'февраль 2024'!$J$6:$J$1413,AC$1)</f>
        <v>0</v>
      </c>
      <c r="AD212" s="80">
        <f>SUMIFS('февраль 2024'!$G$6:$G$1413,'февраль 2024'!$D$6:$D$1413,$B212,'февраль 2024'!$J$6:$J$1413,AD$1)</f>
        <v>0</v>
      </c>
      <c r="AE212" s="80">
        <f>SUMIFS('февраль 2024'!$G$6:$G$1413,'февраль 2024'!$D$6:$D$1413,$B212,'февраль 2024'!$J$6:$J$1413,AE$1)</f>
        <v>0</v>
      </c>
      <c r="AF212" s="80">
        <f>SUMIFS('февраль 2024'!$G$6:$G$1413,'февраль 2024'!$D$6:$D$1413,$B212,'февраль 2024'!$J$6:$J$1413,AF$1)</f>
        <v>0</v>
      </c>
      <c r="AG212" s="80">
        <f>SUMIFS('февраль 2024'!$G$6:$G$1413,'февраль 2024'!$D$6:$D$1413,$B212,'февраль 2024'!$J$6:$J$1413,AG$1)</f>
        <v>0</v>
      </c>
      <c r="AH212" s="80">
        <f>SUMIFS('февраль 2024'!$G$6:$G$1413,'февраль 2024'!$D$6:$D$1413,$B212,'февраль 2024'!$J$6:$J$1413,AH$1)</f>
        <v>0</v>
      </c>
      <c r="AI212" s="87"/>
    </row>
    <row r="213" spans="2:35" ht="15" hidden="1" customHeight="1" thickBot="1" x14ac:dyDescent="0.3">
      <c r="B213" s="89"/>
      <c r="C213" s="96"/>
      <c r="D213" s="80">
        <f>SUMIFS('февраль 2024'!$G$6:$G$1413,'февраль 2024'!$D$6:$D$1413,$B213,'февраль 2024'!$J$6:$J$1413,D$1)</f>
        <v>0</v>
      </c>
      <c r="E213" s="80">
        <f>SUMIFS('февраль 2024'!$G$6:$G$1413,'февраль 2024'!$D$6:$D$1413,$B213,'февраль 2024'!$J$6:$J$1413,E$1)</f>
        <v>0</v>
      </c>
      <c r="F213" s="80">
        <f>SUMIFS('февраль 2024'!$G$6:$G$1413,'февраль 2024'!$D$6:$D$1413,$B213,'февраль 2024'!$J$6:$J$1413,F$1)</f>
        <v>0</v>
      </c>
      <c r="G213" s="80">
        <f>SUMIFS('февраль 2024'!$G$6:$G$1413,'февраль 2024'!$D$6:$D$1413,$B213,'февраль 2024'!$J$6:$J$1413,G$1)</f>
        <v>0</v>
      </c>
      <c r="H213" s="80">
        <f>SUMIFS('февраль 2024'!$G$6:$G$1413,'февраль 2024'!$D$6:$D$1413,$B213,'февраль 2024'!$J$6:$J$1413,H$1)</f>
        <v>0</v>
      </c>
      <c r="I213" s="80">
        <f>SUMIFS('февраль 2024'!$G$6:$G$1413,'февраль 2024'!$D$6:$D$1413,$B213,'февраль 2024'!$J$6:$J$1413,I$1)</f>
        <v>0</v>
      </c>
      <c r="J213" s="80">
        <f>SUMIFS('февраль 2024'!$G$6:$G$1413,'февраль 2024'!$D$6:$D$1413,$B213,'февраль 2024'!$J$6:$J$1413,J$1)</f>
        <v>0</v>
      </c>
      <c r="K213" s="80">
        <f>SUMIFS('февраль 2024'!$G$6:$G$1413,'февраль 2024'!$D$6:$D$1413,$B213,'февраль 2024'!$J$6:$J$1413,K$1)</f>
        <v>0</v>
      </c>
      <c r="L213" s="80">
        <f>SUMIFS('февраль 2024'!$G$6:$G$1413,'февраль 2024'!$D$6:$D$1413,$B213,'февраль 2024'!$J$6:$J$1413,L$1)</f>
        <v>0</v>
      </c>
      <c r="M213" s="80">
        <f>SUMIFS('февраль 2024'!$G$6:$G$1413,'февраль 2024'!$D$6:$D$1413,$B213,'февраль 2024'!$J$6:$J$1413,M$1)</f>
        <v>0</v>
      </c>
      <c r="N213" s="80">
        <f>SUMIFS('февраль 2024'!$G$6:$G$1413,'февраль 2024'!$D$6:$D$1413,$B213,'февраль 2024'!$J$6:$J$1413,N$1)</f>
        <v>0</v>
      </c>
      <c r="O213" s="80">
        <f>SUMIFS('февраль 2024'!$G$6:$G$1413,'февраль 2024'!$D$6:$D$1413,$B213,'февраль 2024'!$J$6:$J$1413,O$1)</f>
        <v>0</v>
      </c>
      <c r="P213" s="80">
        <f>SUMIFS('февраль 2024'!$G$6:$G$1413,'февраль 2024'!$D$6:$D$1413,$B213,'февраль 2024'!$J$6:$J$1413,P$1)</f>
        <v>0</v>
      </c>
      <c r="Q213" s="80">
        <f>SUMIFS('февраль 2024'!$G$6:$G$1413,'февраль 2024'!$D$6:$D$1413,$B213,'февраль 2024'!$J$6:$J$1413,Q$1)</f>
        <v>0</v>
      </c>
      <c r="R213" s="80">
        <f>SUMIFS('февраль 2024'!$G$6:$G$1413,'февраль 2024'!$D$6:$D$1413,$B213,'февраль 2024'!$J$6:$J$1413,R$1)</f>
        <v>0</v>
      </c>
      <c r="S213" s="80">
        <f>SUMIFS('февраль 2024'!$G$6:$G$1413,'февраль 2024'!$D$6:$D$1413,$B213,'февраль 2024'!$J$6:$J$1413,S$1)</f>
        <v>0</v>
      </c>
      <c r="T213" s="80">
        <f>SUMIFS('февраль 2024'!$G$6:$G$1413,'февраль 2024'!$D$6:$D$1413,$B213,'февраль 2024'!$J$6:$J$1413,T$1)</f>
        <v>0</v>
      </c>
      <c r="U213" s="80">
        <f>SUMIFS('февраль 2024'!$G$6:$G$1413,'февраль 2024'!$D$6:$D$1413,$B213,'февраль 2024'!$J$6:$J$1413,U$1)</f>
        <v>0</v>
      </c>
      <c r="V213" s="80">
        <f>SUMIFS('февраль 2024'!$G$6:$G$1413,'февраль 2024'!$D$6:$D$1413,$B213,'февраль 2024'!$J$6:$J$1413,V$1)</f>
        <v>0</v>
      </c>
      <c r="W213" s="80">
        <f>SUMIFS('февраль 2024'!$G$6:$G$1413,'февраль 2024'!$D$6:$D$1413,$B213,'февраль 2024'!$J$6:$J$1413,W$1)</f>
        <v>0</v>
      </c>
      <c r="X213" s="80">
        <f>SUMIFS('февраль 2024'!$G$6:$G$1413,'февраль 2024'!$D$6:$D$1413,$B213,'февраль 2024'!$J$6:$J$1413,X$1)</f>
        <v>0</v>
      </c>
      <c r="Y213" s="80">
        <f>SUMIFS('февраль 2024'!$G$6:$G$1413,'февраль 2024'!$D$6:$D$1413,$B213,'февраль 2024'!$J$6:$J$1413,Y$1)</f>
        <v>0</v>
      </c>
      <c r="Z213" s="80">
        <f>SUMIFS('февраль 2024'!$G$6:$G$1413,'февраль 2024'!$D$6:$D$1413,$B213,'февраль 2024'!$J$6:$J$1413,Z$1)</f>
        <v>0</v>
      </c>
      <c r="AA213" s="80">
        <f>SUMIFS('февраль 2024'!$G$6:$G$1413,'февраль 2024'!$D$6:$D$1413,$B213,'февраль 2024'!$J$6:$J$1413,AA$1)</f>
        <v>0</v>
      </c>
      <c r="AB213" s="80">
        <f>SUMIFS('февраль 2024'!$G$6:$G$1413,'февраль 2024'!$D$6:$D$1413,$B213,'февраль 2024'!$J$6:$J$1413,AB$1)</f>
        <v>0</v>
      </c>
      <c r="AC213" s="80">
        <f>SUMIFS('февраль 2024'!$G$6:$G$1413,'февраль 2024'!$D$6:$D$1413,$B213,'февраль 2024'!$J$6:$J$1413,AC$1)</f>
        <v>0</v>
      </c>
      <c r="AD213" s="80">
        <f>SUMIFS('февраль 2024'!$G$6:$G$1413,'февраль 2024'!$D$6:$D$1413,$B213,'февраль 2024'!$J$6:$J$1413,AD$1)</f>
        <v>0</v>
      </c>
      <c r="AE213" s="80">
        <f>SUMIFS('февраль 2024'!$G$6:$G$1413,'февраль 2024'!$D$6:$D$1413,$B213,'февраль 2024'!$J$6:$J$1413,AE$1)</f>
        <v>0</v>
      </c>
      <c r="AF213" s="80">
        <f>SUMIFS('февраль 2024'!$G$6:$G$1413,'февраль 2024'!$D$6:$D$1413,$B213,'февраль 2024'!$J$6:$J$1413,AF$1)</f>
        <v>0</v>
      </c>
      <c r="AG213" s="80">
        <f>SUMIFS('февраль 2024'!$G$6:$G$1413,'февраль 2024'!$D$6:$D$1413,$B213,'февраль 2024'!$J$6:$J$1413,AG$1)</f>
        <v>0</v>
      </c>
      <c r="AH213" s="80">
        <f>SUMIFS('февраль 2024'!$G$6:$G$1413,'февраль 2024'!$D$6:$D$1413,$B213,'февраль 2024'!$J$6:$J$1413,AH$1)</f>
        <v>0</v>
      </c>
      <c r="AI213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500-000000000000}">
          <x14:formula1>
            <xm:f>справочник!$E$2:$E$155</xm:f>
          </x14:formula1>
          <xm:sqref>B3:B193</xm:sqref>
        </x14:dataValidation>
        <x14:dataValidation type="list" allowBlank="1" showInputMessage="1" showErrorMessage="1" xr:uid="{00000000-0002-0000-1500-000001000000}">
          <x14:formula1>
            <xm:f>справочник!$E$1:$E$2+справочник!$E$2:$E$37</xm:f>
          </x14:formula1>
          <xm:sqref>B194:B213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AI210"/>
  <sheetViews>
    <sheetView showZeros="0" zoomScale="70" zoomScaleNormal="70" workbookViewId="0">
      <selection activeCell="K16" sqref="K16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45413</v>
      </c>
      <c r="C1" s="72"/>
      <c r="D1" s="73">
        <f>B1</f>
        <v>45413</v>
      </c>
      <c r="E1" s="73">
        <f>D1+1</f>
        <v>45414</v>
      </c>
      <c r="F1" s="73">
        <f t="shared" ref="F1:AH1" si="0">E1+1</f>
        <v>45415</v>
      </c>
      <c r="G1" s="73">
        <f t="shared" si="0"/>
        <v>45416</v>
      </c>
      <c r="H1" s="73">
        <f t="shared" si="0"/>
        <v>45417</v>
      </c>
      <c r="I1" s="73">
        <f t="shared" si="0"/>
        <v>45418</v>
      </c>
      <c r="J1" s="73">
        <f t="shared" si="0"/>
        <v>45419</v>
      </c>
      <c r="K1" s="73">
        <f t="shared" si="0"/>
        <v>45420</v>
      </c>
      <c r="L1" s="73">
        <f t="shared" si="0"/>
        <v>45421</v>
      </c>
      <c r="M1" s="73">
        <f t="shared" si="0"/>
        <v>45422</v>
      </c>
      <c r="N1" s="73">
        <f t="shared" si="0"/>
        <v>45423</v>
      </c>
      <c r="O1" s="73">
        <f t="shared" si="0"/>
        <v>45424</v>
      </c>
      <c r="P1" s="73">
        <f t="shared" si="0"/>
        <v>45425</v>
      </c>
      <c r="Q1" s="73">
        <f t="shared" si="0"/>
        <v>45426</v>
      </c>
      <c r="R1" s="73">
        <f t="shared" si="0"/>
        <v>45427</v>
      </c>
      <c r="S1" s="73">
        <f t="shared" si="0"/>
        <v>45428</v>
      </c>
      <c r="T1" s="73">
        <f t="shared" si="0"/>
        <v>45429</v>
      </c>
      <c r="U1" s="73">
        <f t="shared" si="0"/>
        <v>45430</v>
      </c>
      <c r="V1" s="73">
        <f t="shared" si="0"/>
        <v>45431</v>
      </c>
      <c r="W1" s="73">
        <f t="shared" si="0"/>
        <v>45432</v>
      </c>
      <c r="X1" s="73">
        <f t="shared" si="0"/>
        <v>45433</v>
      </c>
      <c r="Y1" s="73">
        <f t="shared" si="0"/>
        <v>45434</v>
      </c>
      <c r="Z1" s="73">
        <f t="shared" si="0"/>
        <v>45435</v>
      </c>
      <c r="AA1" s="73">
        <f t="shared" si="0"/>
        <v>45436</v>
      </c>
      <c r="AB1" s="73">
        <f t="shared" si="0"/>
        <v>45437</v>
      </c>
      <c r="AC1" s="73">
        <f t="shared" si="0"/>
        <v>45438</v>
      </c>
      <c r="AD1" s="73">
        <f t="shared" si="0"/>
        <v>45439</v>
      </c>
      <c r="AE1" s="73">
        <f t="shared" si="0"/>
        <v>45440</v>
      </c>
      <c r="AF1" s="73">
        <f t="shared" si="0"/>
        <v>45441</v>
      </c>
      <c r="AG1" s="73">
        <f t="shared" si="0"/>
        <v>45442</v>
      </c>
      <c r="AH1" s="73">
        <f t="shared" si="0"/>
        <v>45443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SUMIFS('май 2024'!$G$4:$G$1753,'май 2024'!$D$4:$D$1753,$B3,'май 2024'!$J$4:$J$1753,D$1)</f>
        <v>0</v>
      </c>
      <c r="E3" s="80">
        <f>SUMIFS('май 2024'!$G$4:$G$1753,'май 2024'!$D$4:$D$1753,$B3,'май 2024'!$J$4:$J$1753,E$1)</f>
        <v>0</v>
      </c>
      <c r="F3" s="80">
        <f>SUMIFS('май 2024'!$G$4:$G$1753,'май 2024'!$D$4:$D$1753,$B3,'май 2024'!$J$4:$J$1753,F$1)</f>
        <v>0</v>
      </c>
      <c r="G3" s="80">
        <f>SUMIFS('май 2024'!$G$4:$G$1753,'май 2024'!$D$4:$D$1753,$B3,'май 2024'!$J$4:$J$1753,G$1)</f>
        <v>0</v>
      </c>
      <c r="H3" s="80">
        <f>SUMIFS('май 2024'!$G$4:$G$1753,'май 2024'!$D$4:$D$1753,$B3,'май 2024'!$J$4:$J$1753,H$1)</f>
        <v>0</v>
      </c>
      <c r="I3" s="80">
        <f>SUMIFS('май 2024'!$G$4:$G$1753,'май 2024'!$D$4:$D$1753,$B3,'май 2024'!$J$4:$J$1753,I$1)</f>
        <v>0</v>
      </c>
      <c r="J3" s="80">
        <f>SUMIFS('май 2024'!$G$4:$G$1753,'май 2024'!$D$4:$D$1753,$B3,'май 2024'!$J$4:$J$1753,J$1)</f>
        <v>0</v>
      </c>
      <c r="K3" s="80">
        <f>SUMIFS('май 2024'!$G$4:$G$1753,'май 2024'!$D$4:$D$1753,$B3,'май 2024'!$J$4:$J$1753,K$1)</f>
        <v>0</v>
      </c>
      <c r="L3" s="80">
        <f>SUMIFS('май 2024'!$G$4:$G$1753,'май 2024'!$D$4:$D$1753,$B3,'май 2024'!$J$4:$J$1753,L$1)</f>
        <v>0</v>
      </c>
      <c r="M3" s="80">
        <f>SUMIFS('май 2024'!$G$4:$G$1753,'май 2024'!$D$4:$D$1753,$B3,'май 2024'!$J$4:$J$1753,M$1)</f>
        <v>0</v>
      </c>
      <c r="N3" s="80">
        <f>SUMIFS('май 2024'!$G$4:$G$1753,'май 2024'!$D$4:$D$1753,$B3,'май 2024'!$J$4:$J$1753,N$1)</f>
        <v>0</v>
      </c>
      <c r="O3" s="80">
        <f>SUMIFS('май 2024'!$G$4:$G$1753,'май 2024'!$D$4:$D$1753,$B3,'май 2024'!$J$4:$J$1753,O$1)</f>
        <v>0</v>
      </c>
      <c r="P3" s="80">
        <f>SUMIFS('май 2024'!$G$4:$G$1753,'май 2024'!$D$4:$D$1753,$B3,'май 2024'!$J$4:$J$1753,P$1)</f>
        <v>0</v>
      </c>
      <c r="Q3" s="80">
        <f>SUMIFS('май 2024'!$G$4:$G$1753,'май 2024'!$D$4:$D$1753,$B3,'май 2024'!$J$4:$J$1753,Q$1)</f>
        <v>0</v>
      </c>
      <c r="R3" s="80">
        <f>SUMIFS('май 2024'!$G$4:$G$1753,'май 2024'!$D$4:$D$1753,$B3,'май 2024'!$J$4:$J$1753,R$1)</f>
        <v>0</v>
      </c>
      <c r="S3" s="80">
        <f>SUMIFS('май 2024'!$G$4:$G$1753,'май 2024'!$D$4:$D$1753,$B3,'май 2024'!$J$4:$J$1753,S$1)</f>
        <v>0</v>
      </c>
      <c r="T3" s="80">
        <f>SUMIFS('май 2024'!$G$4:$G$1753,'май 2024'!$D$4:$D$1753,$B3,'май 2024'!$J$4:$J$1753,T$1)</f>
        <v>0</v>
      </c>
      <c r="U3" s="80">
        <f>SUMIFS('май 2024'!$G$4:$G$1753,'май 2024'!$D$4:$D$1753,$B3,'май 2024'!$J$4:$J$1753,U$1)</f>
        <v>0</v>
      </c>
      <c r="V3" s="80">
        <f>SUMIFS('май 2024'!$G$4:$G$1753,'май 2024'!$D$4:$D$1753,$B3,'май 2024'!$J$4:$J$1753,V$1)</f>
        <v>0</v>
      </c>
      <c r="W3" s="80">
        <f>SUMIFS('май 2024'!$G$4:$G$1753,'май 2024'!$D$4:$D$1753,$B3,'май 2024'!$J$4:$J$1753,W$1)</f>
        <v>0</v>
      </c>
      <c r="X3" s="80">
        <f>SUMIFS('май 2024'!$G$4:$G$1753,'май 2024'!$D$4:$D$1753,$B3,'май 2024'!$J$4:$J$1753,X$1)</f>
        <v>0</v>
      </c>
      <c r="Y3" s="80">
        <f>SUMIFS('май 2024'!$G$4:$G$1753,'май 2024'!$D$4:$D$1753,$B3,'май 2024'!$J$4:$J$1753,Y$1)</f>
        <v>0</v>
      </c>
      <c r="Z3" s="80">
        <f>SUMIFS('май 2024'!$G$4:$G$1753,'май 2024'!$D$4:$D$1753,$B3,'май 2024'!$J$4:$J$1753,Z$1)</f>
        <v>0</v>
      </c>
      <c r="AA3" s="80">
        <f>SUMIFS('май 2024'!$G$4:$G$1753,'май 2024'!$D$4:$D$1753,$B3,'май 2024'!$J$4:$J$1753,AA$1)</f>
        <v>0</v>
      </c>
      <c r="AB3" s="80">
        <f>SUMIFS('май 2024'!$G$4:$G$1753,'май 2024'!$D$4:$D$1753,$B3,'май 2024'!$J$4:$J$1753,AB$1)</f>
        <v>0</v>
      </c>
      <c r="AC3" s="80">
        <f>SUMIFS('май 2024'!$G$4:$G$1753,'май 2024'!$D$4:$D$1753,$B3,'май 2024'!$J$4:$J$1753,AC$1)</f>
        <v>0</v>
      </c>
      <c r="AD3" s="80">
        <f>SUMIFS('май 2024'!$G$4:$G$1753,'май 2024'!$D$4:$D$1753,$B3,'май 2024'!$J$4:$J$1753,AD$1)</f>
        <v>0</v>
      </c>
      <c r="AE3" s="80">
        <f>SUMIFS('май 2024'!$G$4:$G$1753,'май 2024'!$D$4:$D$1753,$B3,'май 2024'!$J$4:$J$1753,AE$1)</f>
        <v>0</v>
      </c>
      <c r="AF3" s="80">
        <f>SUMIFS('май 2024'!$G$4:$G$1753,'май 2024'!$D$4:$D$1753,$B3,'май 2024'!$J$4:$J$1753,AF$1)</f>
        <v>0</v>
      </c>
      <c r="AG3" s="80">
        <f>SUMIFS('май 2024'!$G$4:$G$1753,'май 2024'!$D$4:$D$1753,$B3,'май 2024'!$J$4:$J$1753,AG$1)</f>
        <v>0</v>
      </c>
      <c r="AH3" s="80">
        <f>SUMIFS('май 2024'!$G$4:$G$1753,'май 2024'!$D$4:$D$1753,$B3,'май 2024'!$J$4:$J$1753,AH$1)</f>
        <v>0</v>
      </c>
      <c r="AI3" s="49">
        <f t="shared" ref="AI3:AI142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SUMIFS('май 2024'!$G$4:$G$1753,'май 2024'!$D$4:$D$1753,$B4,'май 2024'!$J$4:$J$1753,D$1)</f>
        <v>0</v>
      </c>
      <c r="E4" s="80">
        <f>SUMIFS('май 2024'!$G$4:$G$1753,'май 2024'!$D$4:$D$1753,$B4,'май 2024'!$J$4:$J$1753,E$1)</f>
        <v>0</v>
      </c>
      <c r="F4" s="80">
        <f>SUMIFS('май 2024'!$G$4:$G$1753,'май 2024'!$D$4:$D$1753,$B4,'май 2024'!$J$4:$J$1753,F$1)</f>
        <v>0</v>
      </c>
      <c r="G4" s="80">
        <f>SUMIFS('май 2024'!$G$4:$G$1753,'май 2024'!$D$4:$D$1753,$B4,'май 2024'!$J$4:$J$1753,G$1)</f>
        <v>0</v>
      </c>
      <c r="H4" s="80">
        <f>SUMIFS('май 2024'!$G$4:$G$1753,'май 2024'!$D$4:$D$1753,$B4,'май 2024'!$J$4:$J$1753,H$1)</f>
        <v>0</v>
      </c>
      <c r="I4" s="80">
        <f>SUMIFS('май 2024'!$G$4:$G$1753,'май 2024'!$D$4:$D$1753,$B4,'май 2024'!$J$4:$J$1753,I$1)</f>
        <v>0</v>
      </c>
      <c r="J4" s="80">
        <f>SUMIFS('май 2024'!$G$4:$G$1753,'май 2024'!$D$4:$D$1753,$B4,'май 2024'!$J$4:$J$1753,J$1)</f>
        <v>0</v>
      </c>
      <c r="K4" s="80">
        <f>SUMIFS('май 2024'!$G$4:$G$1753,'май 2024'!$D$4:$D$1753,$B4,'май 2024'!$J$4:$J$1753,K$1)</f>
        <v>0</v>
      </c>
      <c r="L4" s="80">
        <f>SUMIFS('май 2024'!$G$4:$G$1753,'май 2024'!$D$4:$D$1753,$B4,'май 2024'!$J$4:$J$1753,L$1)</f>
        <v>0</v>
      </c>
      <c r="M4" s="80">
        <f>SUMIFS('май 2024'!$G$4:$G$1753,'май 2024'!$D$4:$D$1753,$B4,'май 2024'!$J$4:$J$1753,M$1)</f>
        <v>0</v>
      </c>
      <c r="N4" s="80">
        <f>SUMIFS('май 2024'!$G$4:$G$1753,'май 2024'!$D$4:$D$1753,$B4,'май 2024'!$J$4:$J$1753,N$1)</f>
        <v>0</v>
      </c>
      <c r="O4" s="80">
        <f>SUMIFS('май 2024'!$G$4:$G$1753,'май 2024'!$D$4:$D$1753,$B4,'май 2024'!$J$4:$J$1753,O$1)</f>
        <v>0</v>
      </c>
      <c r="P4" s="80">
        <f>SUMIFS('май 2024'!$G$4:$G$1753,'май 2024'!$D$4:$D$1753,$B4,'май 2024'!$J$4:$J$1753,P$1)</f>
        <v>0</v>
      </c>
      <c r="Q4" s="80">
        <f>SUMIFS('май 2024'!$G$4:$G$1753,'май 2024'!$D$4:$D$1753,$B4,'май 2024'!$J$4:$J$1753,Q$1)</f>
        <v>0</v>
      </c>
      <c r="R4" s="80">
        <f>SUMIFS('май 2024'!$G$4:$G$1753,'май 2024'!$D$4:$D$1753,$B4,'май 2024'!$J$4:$J$1753,R$1)</f>
        <v>0</v>
      </c>
      <c r="S4" s="80">
        <f>SUMIFS('май 2024'!$G$4:$G$1753,'май 2024'!$D$4:$D$1753,$B4,'май 2024'!$J$4:$J$1753,S$1)</f>
        <v>0</v>
      </c>
      <c r="T4" s="80">
        <f>SUMIFS('май 2024'!$G$4:$G$1753,'май 2024'!$D$4:$D$1753,$B4,'май 2024'!$J$4:$J$1753,T$1)</f>
        <v>0</v>
      </c>
      <c r="U4" s="80">
        <f>SUMIFS('май 2024'!$G$4:$G$1753,'май 2024'!$D$4:$D$1753,$B4,'май 2024'!$J$4:$J$1753,U$1)</f>
        <v>0</v>
      </c>
      <c r="V4" s="80">
        <f>SUMIFS('май 2024'!$G$4:$G$1753,'май 2024'!$D$4:$D$1753,$B4,'май 2024'!$J$4:$J$1753,V$1)</f>
        <v>0</v>
      </c>
      <c r="W4" s="80">
        <f>SUMIFS('май 2024'!$G$4:$G$1753,'май 2024'!$D$4:$D$1753,$B4,'май 2024'!$J$4:$J$1753,W$1)</f>
        <v>0</v>
      </c>
      <c r="X4" s="80">
        <f>SUMIFS('май 2024'!$G$4:$G$1753,'май 2024'!$D$4:$D$1753,$B4,'май 2024'!$J$4:$J$1753,X$1)</f>
        <v>0</v>
      </c>
      <c r="Y4" s="80">
        <f>SUMIFS('май 2024'!$G$4:$G$1753,'май 2024'!$D$4:$D$1753,$B4,'май 2024'!$J$4:$J$1753,Y$1)</f>
        <v>0</v>
      </c>
      <c r="Z4" s="80">
        <f>SUMIFS('май 2024'!$G$4:$G$1753,'май 2024'!$D$4:$D$1753,$B4,'май 2024'!$J$4:$J$1753,Z$1)</f>
        <v>0</v>
      </c>
      <c r="AA4" s="80">
        <f>SUMIFS('май 2024'!$G$4:$G$1753,'май 2024'!$D$4:$D$1753,$B4,'май 2024'!$J$4:$J$1753,AA$1)</f>
        <v>0</v>
      </c>
      <c r="AB4" s="80">
        <f>SUMIFS('май 2024'!$G$4:$G$1753,'май 2024'!$D$4:$D$1753,$B4,'май 2024'!$J$4:$J$1753,AB$1)</f>
        <v>0</v>
      </c>
      <c r="AC4" s="80">
        <f>SUMIFS('май 2024'!$G$4:$G$1753,'май 2024'!$D$4:$D$1753,$B4,'май 2024'!$J$4:$J$1753,AC$1)</f>
        <v>0</v>
      </c>
      <c r="AD4" s="80">
        <f>SUMIFS('май 2024'!$G$4:$G$1753,'май 2024'!$D$4:$D$1753,$B4,'май 2024'!$J$4:$J$1753,AD$1)</f>
        <v>0</v>
      </c>
      <c r="AE4" s="80">
        <f>SUMIFS('май 2024'!$G$4:$G$1753,'май 2024'!$D$4:$D$1753,$B4,'май 2024'!$J$4:$J$1753,AE$1)</f>
        <v>0</v>
      </c>
      <c r="AF4" s="80">
        <f>SUMIFS('май 2024'!$G$4:$G$1753,'май 2024'!$D$4:$D$1753,$B4,'май 2024'!$J$4:$J$1753,AF$1)</f>
        <v>0</v>
      </c>
      <c r="AG4" s="80">
        <f>SUMIFS('май 2024'!$G$4:$G$1753,'май 2024'!$D$4:$D$1753,$B4,'май 2024'!$J$4:$J$1753,AG$1)</f>
        <v>0</v>
      </c>
      <c r="AH4" s="80">
        <f>SUMIFS('май 2024'!$G$4:$G$1753,'май 2024'!$D$4:$D$1753,$B4,'май 2024'!$J$4:$J$1753,AH$1)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SUMIFS('май 2024'!$G$4:$G$1753,'май 2024'!$D$4:$D$1753,$B5,'май 2024'!$J$4:$J$1753,D$1)</f>
        <v>0</v>
      </c>
      <c r="E5" s="80">
        <f>SUMIFS('май 2024'!$G$4:$G$1753,'май 2024'!$D$4:$D$1753,$B5,'май 2024'!$J$4:$J$1753,E$1)</f>
        <v>0</v>
      </c>
      <c r="F5" s="80">
        <f>SUMIFS('май 2024'!$G$4:$G$1753,'май 2024'!$D$4:$D$1753,$B5,'май 2024'!$J$4:$J$1753,F$1)</f>
        <v>1600</v>
      </c>
      <c r="G5" s="80">
        <f>SUMIFS('май 2024'!$G$4:$G$1753,'май 2024'!$D$4:$D$1753,$B5,'май 2024'!$J$4:$J$1753,G$1)</f>
        <v>0</v>
      </c>
      <c r="H5" s="80">
        <f>SUMIFS('май 2024'!$G$4:$G$1753,'май 2024'!$D$4:$D$1753,$B5,'май 2024'!$J$4:$J$1753,H$1)</f>
        <v>0</v>
      </c>
      <c r="I5" s="80">
        <f>SUMIFS('май 2024'!$G$4:$G$1753,'май 2024'!$D$4:$D$1753,$B5,'май 2024'!$J$4:$J$1753,I$1)</f>
        <v>0</v>
      </c>
      <c r="J5" s="80">
        <f>SUMIFS('май 2024'!$G$4:$G$1753,'май 2024'!$D$4:$D$1753,$B5,'май 2024'!$J$4:$J$1753,J$1)</f>
        <v>0</v>
      </c>
      <c r="K5" s="80">
        <f>SUMIFS('май 2024'!$G$4:$G$1753,'май 2024'!$D$4:$D$1753,$B5,'май 2024'!$J$4:$J$1753,K$1)</f>
        <v>0</v>
      </c>
      <c r="L5" s="80">
        <f>SUMIFS('май 2024'!$G$4:$G$1753,'май 2024'!$D$4:$D$1753,$B5,'май 2024'!$J$4:$J$1753,L$1)</f>
        <v>0</v>
      </c>
      <c r="M5" s="80">
        <f>SUMIFS('май 2024'!$G$4:$G$1753,'май 2024'!$D$4:$D$1753,$B5,'май 2024'!$J$4:$J$1753,M$1)</f>
        <v>0</v>
      </c>
      <c r="N5" s="80">
        <f>SUMIFS('май 2024'!$G$4:$G$1753,'май 2024'!$D$4:$D$1753,$B5,'май 2024'!$J$4:$J$1753,N$1)</f>
        <v>0</v>
      </c>
      <c r="O5" s="80">
        <f>SUMIFS('май 2024'!$G$4:$G$1753,'май 2024'!$D$4:$D$1753,$B5,'май 2024'!$J$4:$J$1753,O$1)</f>
        <v>0</v>
      </c>
      <c r="P5" s="80">
        <f>SUMIFS('май 2024'!$G$4:$G$1753,'май 2024'!$D$4:$D$1753,$B5,'май 2024'!$J$4:$J$1753,P$1)</f>
        <v>0</v>
      </c>
      <c r="Q5" s="80">
        <f>SUMIFS('май 2024'!$G$4:$G$1753,'май 2024'!$D$4:$D$1753,$B5,'май 2024'!$J$4:$J$1753,Q$1)</f>
        <v>0</v>
      </c>
      <c r="R5" s="80">
        <f>SUMIFS('май 2024'!$G$4:$G$1753,'май 2024'!$D$4:$D$1753,$B5,'май 2024'!$J$4:$J$1753,R$1)</f>
        <v>0</v>
      </c>
      <c r="S5" s="80">
        <f>SUMIFS('май 2024'!$G$4:$G$1753,'май 2024'!$D$4:$D$1753,$B5,'май 2024'!$J$4:$J$1753,S$1)</f>
        <v>0</v>
      </c>
      <c r="T5" s="80">
        <f>SUMIFS('май 2024'!$G$4:$G$1753,'май 2024'!$D$4:$D$1753,$B5,'май 2024'!$J$4:$J$1753,T$1)</f>
        <v>0</v>
      </c>
      <c r="U5" s="80">
        <f>SUMIFS('май 2024'!$G$4:$G$1753,'май 2024'!$D$4:$D$1753,$B5,'май 2024'!$J$4:$J$1753,U$1)</f>
        <v>0</v>
      </c>
      <c r="V5" s="80">
        <f>SUMIFS('май 2024'!$G$4:$G$1753,'май 2024'!$D$4:$D$1753,$B5,'май 2024'!$J$4:$J$1753,V$1)</f>
        <v>0</v>
      </c>
      <c r="W5" s="80">
        <f>SUMIFS('май 2024'!$G$4:$G$1753,'май 2024'!$D$4:$D$1753,$B5,'май 2024'!$J$4:$J$1753,W$1)</f>
        <v>0</v>
      </c>
      <c r="X5" s="80">
        <f>SUMIFS('май 2024'!$G$4:$G$1753,'май 2024'!$D$4:$D$1753,$B5,'май 2024'!$J$4:$J$1753,X$1)</f>
        <v>0</v>
      </c>
      <c r="Y5" s="80">
        <f>SUMIFS('май 2024'!$G$4:$G$1753,'май 2024'!$D$4:$D$1753,$B5,'май 2024'!$J$4:$J$1753,Y$1)</f>
        <v>0</v>
      </c>
      <c r="Z5" s="80">
        <f>SUMIFS('май 2024'!$G$4:$G$1753,'май 2024'!$D$4:$D$1753,$B5,'май 2024'!$J$4:$J$1753,Z$1)</f>
        <v>0</v>
      </c>
      <c r="AA5" s="80">
        <f>SUMIFS('май 2024'!$G$4:$G$1753,'май 2024'!$D$4:$D$1753,$B5,'май 2024'!$J$4:$J$1753,AA$1)</f>
        <v>0</v>
      </c>
      <c r="AB5" s="80">
        <f>SUMIFS('май 2024'!$G$4:$G$1753,'май 2024'!$D$4:$D$1753,$B5,'май 2024'!$J$4:$J$1753,AB$1)</f>
        <v>0</v>
      </c>
      <c r="AC5" s="80">
        <f>SUMIFS('май 2024'!$G$4:$G$1753,'май 2024'!$D$4:$D$1753,$B5,'май 2024'!$J$4:$J$1753,AC$1)</f>
        <v>0</v>
      </c>
      <c r="AD5" s="80">
        <f>SUMIFS('май 2024'!$G$4:$G$1753,'май 2024'!$D$4:$D$1753,$B5,'май 2024'!$J$4:$J$1753,AD$1)</f>
        <v>0</v>
      </c>
      <c r="AE5" s="80">
        <f>SUMIFS('май 2024'!$G$4:$G$1753,'май 2024'!$D$4:$D$1753,$B5,'май 2024'!$J$4:$J$1753,AE$1)</f>
        <v>0</v>
      </c>
      <c r="AF5" s="80">
        <f>SUMIFS('май 2024'!$G$4:$G$1753,'май 2024'!$D$4:$D$1753,$B5,'май 2024'!$J$4:$J$1753,AF$1)</f>
        <v>0</v>
      </c>
      <c r="AG5" s="80">
        <f>SUMIFS('май 2024'!$G$4:$G$1753,'май 2024'!$D$4:$D$1753,$B5,'май 2024'!$J$4:$J$1753,AG$1)</f>
        <v>0</v>
      </c>
      <c r="AH5" s="80">
        <f>SUMIFS('май 2024'!$G$4:$G$1753,'май 2024'!$D$4:$D$1753,$B5,'май 2024'!$J$4:$J$1753,AH$1)</f>
        <v>0</v>
      </c>
      <c r="AI5" s="21">
        <f t="shared" si="1"/>
        <v>1600</v>
      </c>
    </row>
    <row r="6" spans="2:35" ht="15" customHeight="1" x14ac:dyDescent="0.25">
      <c r="B6" s="81" t="s">
        <v>281</v>
      </c>
      <c r="C6" s="82">
        <v>22.7</v>
      </c>
      <c r="D6" s="80">
        <f>SUMIFS('май 2024'!$G$4:$G$1753,'май 2024'!$D$4:$D$1753,$B6,'май 2024'!$J$4:$J$1753,D$1)</f>
        <v>0</v>
      </c>
      <c r="E6" s="80">
        <f>SUMIFS('май 2024'!$G$4:$G$1753,'май 2024'!$D$4:$D$1753,$B6,'май 2024'!$J$4:$J$1753,E$1)</f>
        <v>0</v>
      </c>
      <c r="F6" s="80">
        <f>SUMIFS('май 2024'!$G$4:$G$1753,'май 2024'!$D$4:$D$1753,$B6,'май 2024'!$J$4:$J$1753,F$1)</f>
        <v>0</v>
      </c>
      <c r="G6" s="80">
        <f>SUMIFS('май 2024'!$G$4:$G$1753,'май 2024'!$D$4:$D$1753,$B6,'май 2024'!$J$4:$J$1753,G$1)</f>
        <v>0</v>
      </c>
      <c r="H6" s="80">
        <f>SUMIFS('май 2024'!$G$4:$G$1753,'май 2024'!$D$4:$D$1753,$B6,'май 2024'!$J$4:$J$1753,H$1)</f>
        <v>0</v>
      </c>
      <c r="I6" s="80">
        <f>SUMIFS('май 2024'!$G$4:$G$1753,'май 2024'!$D$4:$D$1753,$B6,'май 2024'!$J$4:$J$1753,I$1)</f>
        <v>0</v>
      </c>
      <c r="J6" s="80">
        <f>SUMIFS('май 2024'!$G$4:$G$1753,'май 2024'!$D$4:$D$1753,$B6,'май 2024'!$J$4:$J$1753,J$1)</f>
        <v>0</v>
      </c>
      <c r="K6" s="80">
        <f>SUMIFS('май 2024'!$G$4:$G$1753,'май 2024'!$D$4:$D$1753,$B6,'май 2024'!$J$4:$J$1753,K$1)</f>
        <v>0</v>
      </c>
      <c r="L6" s="80">
        <f>SUMIFS('май 2024'!$G$4:$G$1753,'май 2024'!$D$4:$D$1753,$B6,'май 2024'!$J$4:$J$1753,L$1)</f>
        <v>0</v>
      </c>
      <c r="M6" s="80">
        <f>SUMIFS('май 2024'!$G$4:$G$1753,'май 2024'!$D$4:$D$1753,$B6,'май 2024'!$J$4:$J$1753,M$1)</f>
        <v>0</v>
      </c>
      <c r="N6" s="80">
        <f>SUMIFS('май 2024'!$G$4:$G$1753,'май 2024'!$D$4:$D$1753,$B6,'май 2024'!$J$4:$J$1753,N$1)</f>
        <v>0</v>
      </c>
      <c r="O6" s="80">
        <f>SUMIFS('май 2024'!$G$4:$G$1753,'май 2024'!$D$4:$D$1753,$B6,'май 2024'!$J$4:$J$1753,O$1)</f>
        <v>0</v>
      </c>
      <c r="P6" s="80">
        <f>SUMIFS('май 2024'!$G$4:$G$1753,'май 2024'!$D$4:$D$1753,$B6,'май 2024'!$J$4:$J$1753,P$1)</f>
        <v>0</v>
      </c>
      <c r="Q6" s="80">
        <f>SUMIFS('май 2024'!$G$4:$G$1753,'май 2024'!$D$4:$D$1753,$B6,'май 2024'!$J$4:$J$1753,Q$1)</f>
        <v>0</v>
      </c>
      <c r="R6" s="80">
        <f>SUMIFS('май 2024'!$G$4:$G$1753,'май 2024'!$D$4:$D$1753,$B6,'май 2024'!$J$4:$J$1753,R$1)</f>
        <v>0</v>
      </c>
      <c r="S6" s="80">
        <f>SUMIFS('май 2024'!$G$4:$G$1753,'май 2024'!$D$4:$D$1753,$B6,'май 2024'!$J$4:$J$1753,S$1)</f>
        <v>0</v>
      </c>
      <c r="T6" s="80">
        <f>SUMIFS('май 2024'!$G$4:$G$1753,'май 2024'!$D$4:$D$1753,$B6,'май 2024'!$J$4:$J$1753,T$1)</f>
        <v>0</v>
      </c>
      <c r="U6" s="80">
        <f>SUMIFS('май 2024'!$G$4:$G$1753,'май 2024'!$D$4:$D$1753,$B6,'май 2024'!$J$4:$J$1753,U$1)</f>
        <v>0</v>
      </c>
      <c r="V6" s="80">
        <f>SUMIFS('май 2024'!$G$4:$G$1753,'май 2024'!$D$4:$D$1753,$B6,'май 2024'!$J$4:$J$1753,V$1)</f>
        <v>0</v>
      </c>
      <c r="W6" s="80">
        <f>SUMIFS('май 2024'!$G$4:$G$1753,'май 2024'!$D$4:$D$1753,$B6,'май 2024'!$J$4:$J$1753,W$1)</f>
        <v>0</v>
      </c>
      <c r="X6" s="80">
        <f>SUMIFS('май 2024'!$G$4:$G$1753,'май 2024'!$D$4:$D$1753,$B6,'май 2024'!$J$4:$J$1753,X$1)</f>
        <v>0</v>
      </c>
      <c r="Y6" s="80">
        <f>SUMIFS('май 2024'!$G$4:$G$1753,'май 2024'!$D$4:$D$1753,$B6,'май 2024'!$J$4:$J$1753,Y$1)</f>
        <v>0</v>
      </c>
      <c r="Z6" s="80">
        <f>SUMIFS('май 2024'!$G$4:$G$1753,'май 2024'!$D$4:$D$1753,$B6,'май 2024'!$J$4:$J$1753,Z$1)</f>
        <v>0</v>
      </c>
      <c r="AA6" s="80">
        <f>SUMIFS('май 2024'!$G$4:$G$1753,'май 2024'!$D$4:$D$1753,$B6,'май 2024'!$J$4:$J$1753,AA$1)</f>
        <v>0</v>
      </c>
      <c r="AB6" s="80">
        <f>SUMIFS('май 2024'!$G$4:$G$1753,'май 2024'!$D$4:$D$1753,$B6,'май 2024'!$J$4:$J$1753,AB$1)</f>
        <v>0</v>
      </c>
      <c r="AC6" s="80">
        <f>SUMIFS('май 2024'!$G$4:$G$1753,'май 2024'!$D$4:$D$1753,$B6,'май 2024'!$J$4:$J$1753,AC$1)</f>
        <v>0</v>
      </c>
      <c r="AD6" s="80">
        <f>SUMIFS('май 2024'!$G$4:$G$1753,'май 2024'!$D$4:$D$1753,$B6,'май 2024'!$J$4:$J$1753,AD$1)</f>
        <v>0</v>
      </c>
      <c r="AE6" s="80">
        <f>SUMIFS('май 2024'!$G$4:$G$1753,'май 2024'!$D$4:$D$1753,$B6,'май 2024'!$J$4:$J$1753,AE$1)</f>
        <v>0</v>
      </c>
      <c r="AF6" s="80">
        <f>SUMIFS('май 2024'!$G$4:$G$1753,'май 2024'!$D$4:$D$1753,$B6,'май 2024'!$J$4:$J$1753,AF$1)</f>
        <v>0</v>
      </c>
      <c r="AG6" s="80">
        <f>SUMIFS('май 2024'!$G$4:$G$1753,'май 2024'!$D$4:$D$1753,$B6,'май 2024'!$J$4:$J$1753,AG$1)</f>
        <v>0</v>
      </c>
      <c r="AH6" s="80">
        <f>SUMIFS('май 2024'!$G$4:$G$1753,'май 2024'!$D$4:$D$1753,$B6,'май 2024'!$J$4:$J$1753,AH$1)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SUMIFS('май 2024'!$G$4:$G$1753,'май 2024'!$D$4:$D$1753,$B7,'май 2024'!$J$4:$J$1753,D$1)</f>
        <v>0</v>
      </c>
      <c r="E7" s="80">
        <f>SUMIFS('май 2024'!$G$4:$G$1753,'май 2024'!$D$4:$D$1753,$B7,'май 2024'!$J$4:$J$1753,E$1)</f>
        <v>0</v>
      </c>
      <c r="F7" s="80">
        <f>SUMIFS('май 2024'!$G$4:$G$1753,'май 2024'!$D$4:$D$1753,$B7,'май 2024'!$J$4:$J$1753,F$1)</f>
        <v>0</v>
      </c>
      <c r="G7" s="80">
        <f>SUMIFS('май 2024'!$G$4:$G$1753,'май 2024'!$D$4:$D$1753,$B7,'май 2024'!$J$4:$J$1753,G$1)</f>
        <v>0</v>
      </c>
      <c r="H7" s="80">
        <f>SUMIFS('май 2024'!$G$4:$G$1753,'май 2024'!$D$4:$D$1753,$B7,'май 2024'!$J$4:$J$1753,H$1)</f>
        <v>0</v>
      </c>
      <c r="I7" s="80">
        <f>SUMIFS('май 2024'!$G$4:$G$1753,'май 2024'!$D$4:$D$1753,$B7,'май 2024'!$J$4:$J$1753,I$1)</f>
        <v>0</v>
      </c>
      <c r="J7" s="80">
        <f>SUMIFS('май 2024'!$G$4:$G$1753,'май 2024'!$D$4:$D$1753,$B7,'май 2024'!$J$4:$J$1753,J$1)</f>
        <v>0</v>
      </c>
      <c r="K7" s="80">
        <f>SUMIFS('май 2024'!$G$4:$G$1753,'май 2024'!$D$4:$D$1753,$B7,'май 2024'!$J$4:$J$1753,K$1)</f>
        <v>0</v>
      </c>
      <c r="L7" s="80">
        <f>SUMIFS('май 2024'!$G$4:$G$1753,'май 2024'!$D$4:$D$1753,$B7,'май 2024'!$J$4:$J$1753,L$1)</f>
        <v>0</v>
      </c>
      <c r="M7" s="80">
        <f>SUMIFS('май 2024'!$G$4:$G$1753,'май 2024'!$D$4:$D$1753,$B7,'май 2024'!$J$4:$J$1753,M$1)</f>
        <v>0</v>
      </c>
      <c r="N7" s="80">
        <f>SUMIFS('май 2024'!$G$4:$G$1753,'май 2024'!$D$4:$D$1753,$B7,'май 2024'!$J$4:$J$1753,N$1)</f>
        <v>0</v>
      </c>
      <c r="O7" s="80">
        <f>SUMIFS('май 2024'!$G$4:$G$1753,'май 2024'!$D$4:$D$1753,$B7,'май 2024'!$J$4:$J$1753,O$1)</f>
        <v>0</v>
      </c>
      <c r="P7" s="80">
        <f>SUMIFS('май 2024'!$G$4:$G$1753,'май 2024'!$D$4:$D$1753,$B7,'май 2024'!$J$4:$J$1753,P$1)</f>
        <v>0</v>
      </c>
      <c r="Q7" s="80">
        <f>SUMIFS('май 2024'!$G$4:$G$1753,'май 2024'!$D$4:$D$1753,$B7,'май 2024'!$J$4:$J$1753,Q$1)</f>
        <v>0</v>
      </c>
      <c r="R7" s="80">
        <f>SUMIFS('май 2024'!$G$4:$G$1753,'май 2024'!$D$4:$D$1753,$B7,'май 2024'!$J$4:$J$1753,R$1)</f>
        <v>0</v>
      </c>
      <c r="S7" s="80">
        <f>SUMIFS('май 2024'!$G$4:$G$1753,'май 2024'!$D$4:$D$1753,$B7,'май 2024'!$J$4:$J$1753,S$1)</f>
        <v>0</v>
      </c>
      <c r="T7" s="80">
        <f>SUMIFS('май 2024'!$G$4:$G$1753,'май 2024'!$D$4:$D$1753,$B7,'май 2024'!$J$4:$J$1753,T$1)</f>
        <v>0</v>
      </c>
      <c r="U7" s="80">
        <f>SUMIFS('май 2024'!$G$4:$G$1753,'май 2024'!$D$4:$D$1753,$B7,'май 2024'!$J$4:$J$1753,U$1)</f>
        <v>0</v>
      </c>
      <c r="V7" s="80">
        <f>SUMIFS('май 2024'!$G$4:$G$1753,'май 2024'!$D$4:$D$1753,$B7,'май 2024'!$J$4:$J$1753,V$1)</f>
        <v>0</v>
      </c>
      <c r="W7" s="80">
        <f>SUMIFS('май 2024'!$G$4:$G$1753,'май 2024'!$D$4:$D$1753,$B7,'май 2024'!$J$4:$J$1753,W$1)</f>
        <v>0</v>
      </c>
      <c r="X7" s="80">
        <f>SUMIFS('май 2024'!$G$4:$G$1753,'май 2024'!$D$4:$D$1753,$B7,'май 2024'!$J$4:$J$1753,X$1)</f>
        <v>0</v>
      </c>
      <c r="Y7" s="80">
        <f>SUMIFS('май 2024'!$G$4:$G$1753,'май 2024'!$D$4:$D$1753,$B7,'май 2024'!$J$4:$J$1753,Y$1)</f>
        <v>0</v>
      </c>
      <c r="Z7" s="80">
        <f>SUMIFS('май 2024'!$G$4:$G$1753,'май 2024'!$D$4:$D$1753,$B7,'май 2024'!$J$4:$J$1753,Z$1)</f>
        <v>0</v>
      </c>
      <c r="AA7" s="80">
        <f>SUMIFS('май 2024'!$G$4:$G$1753,'май 2024'!$D$4:$D$1753,$B7,'май 2024'!$J$4:$J$1753,AA$1)</f>
        <v>0</v>
      </c>
      <c r="AB7" s="80">
        <f>SUMIFS('май 2024'!$G$4:$G$1753,'май 2024'!$D$4:$D$1753,$B7,'май 2024'!$J$4:$J$1753,AB$1)</f>
        <v>0</v>
      </c>
      <c r="AC7" s="80">
        <f>SUMIFS('май 2024'!$G$4:$G$1753,'май 2024'!$D$4:$D$1753,$B7,'май 2024'!$J$4:$J$1753,AC$1)</f>
        <v>0</v>
      </c>
      <c r="AD7" s="80">
        <f>SUMIFS('май 2024'!$G$4:$G$1753,'май 2024'!$D$4:$D$1753,$B7,'май 2024'!$J$4:$J$1753,AD$1)</f>
        <v>0</v>
      </c>
      <c r="AE7" s="80">
        <f>SUMIFS('май 2024'!$G$4:$G$1753,'май 2024'!$D$4:$D$1753,$B7,'май 2024'!$J$4:$J$1753,AE$1)</f>
        <v>0</v>
      </c>
      <c r="AF7" s="80">
        <f>SUMIFS('май 2024'!$G$4:$G$1753,'май 2024'!$D$4:$D$1753,$B7,'май 2024'!$J$4:$J$1753,AF$1)</f>
        <v>0</v>
      </c>
      <c r="AG7" s="80">
        <f>SUMIFS('май 2024'!$G$4:$G$1753,'май 2024'!$D$4:$D$1753,$B7,'май 2024'!$J$4:$J$1753,AG$1)</f>
        <v>0</v>
      </c>
      <c r="AH7" s="80">
        <f>SUMIFS('май 2024'!$G$4:$G$1753,'май 2024'!$D$4:$D$1753,$B7,'май 2024'!$J$4:$J$1753,AH$1)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SUMIFS('май 2024'!$G$4:$G$1753,'май 2024'!$D$4:$D$1753,$B8,'май 2024'!$J$4:$J$1753,D$1)</f>
        <v>0</v>
      </c>
      <c r="E8" s="80">
        <f>SUMIFS('май 2024'!$G$4:$G$1753,'май 2024'!$D$4:$D$1753,$B8,'май 2024'!$J$4:$J$1753,E$1)</f>
        <v>0</v>
      </c>
      <c r="F8" s="80">
        <f>SUMIFS('май 2024'!$G$4:$G$1753,'май 2024'!$D$4:$D$1753,$B8,'май 2024'!$J$4:$J$1753,F$1)</f>
        <v>0</v>
      </c>
      <c r="G8" s="80">
        <f>SUMIFS('май 2024'!$G$4:$G$1753,'май 2024'!$D$4:$D$1753,$B8,'май 2024'!$J$4:$J$1753,G$1)</f>
        <v>0</v>
      </c>
      <c r="H8" s="80">
        <f>SUMIFS('май 2024'!$G$4:$G$1753,'май 2024'!$D$4:$D$1753,$B8,'май 2024'!$J$4:$J$1753,H$1)</f>
        <v>0</v>
      </c>
      <c r="I8" s="80">
        <f>SUMIFS('май 2024'!$G$4:$G$1753,'май 2024'!$D$4:$D$1753,$B8,'май 2024'!$J$4:$J$1753,I$1)</f>
        <v>0</v>
      </c>
      <c r="J8" s="80">
        <f>SUMIFS('май 2024'!$G$4:$G$1753,'май 2024'!$D$4:$D$1753,$B8,'май 2024'!$J$4:$J$1753,J$1)</f>
        <v>0</v>
      </c>
      <c r="K8" s="80">
        <f>SUMIFS('май 2024'!$G$4:$G$1753,'май 2024'!$D$4:$D$1753,$B8,'май 2024'!$J$4:$J$1753,K$1)</f>
        <v>0</v>
      </c>
      <c r="L8" s="80">
        <f>SUMIFS('май 2024'!$G$4:$G$1753,'май 2024'!$D$4:$D$1753,$B8,'май 2024'!$J$4:$J$1753,L$1)</f>
        <v>0</v>
      </c>
      <c r="M8" s="80">
        <f>SUMIFS('май 2024'!$G$4:$G$1753,'май 2024'!$D$4:$D$1753,$B8,'май 2024'!$J$4:$J$1753,M$1)</f>
        <v>0</v>
      </c>
      <c r="N8" s="80">
        <f>SUMIFS('май 2024'!$G$4:$G$1753,'май 2024'!$D$4:$D$1753,$B8,'май 2024'!$J$4:$J$1753,N$1)</f>
        <v>0</v>
      </c>
      <c r="O8" s="80">
        <f>SUMIFS('май 2024'!$G$4:$G$1753,'май 2024'!$D$4:$D$1753,$B8,'май 2024'!$J$4:$J$1753,O$1)</f>
        <v>0</v>
      </c>
      <c r="P8" s="80">
        <f>SUMIFS('май 2024'!$G$4:$G$1753,'май 2024'!$D$4:$D$1753,$B8,'май 2024'!$J$4:$J$1753,P$1)</f>
        <v>0</v>
      </c>
      <c r="Q8" s="80">
        <f>SUMIFS('май 2024'!$G$4:$G$1753,'май 2024'!$D$4:$D$1753,$B8,'май 2024'!$J$4:$J$1753,Q$1)</f>
        <v>800</v>
      </c>
      <c r="R8" s="80">
        <f>SUMIFS('май 2024'!$G$4:$G$1753,'май 2024'!$D$4:$D$1753,$B8,'май 2024'!$J$4:$J$1753,R$1)</f>
        <v>0</v>
      </c>
      <c r="S8" s="80">
        <f>SUMIFS('май 2024'!$G$4:$G$1753,'май 2024'!$D$4:$D$1753,$B8,'май 2024'!$J$4:$J$1753,S$1)</f>
        <v>0</v>
      </c>
      <c r="T8" s="80">
        <f>SUMIFS('май 2024'!$G$4:$G$1753,'май 2024'!$D$4:$D$1753,$B8,'май 2024'!$J$4:$J$1753,T$1)</f>
        <v>0</v>
      </c>
      <c r="U8" s="80">
        <f>SUMIFS('май 2024'!$G$4:$G$1753,'май 2024'!$D$4:$D$1753,$B8,'май 2024'!$J$4:$J$1753,U$1)</f>
        <v>0</v>
      </c>
      <c r="V8" s="80">
        <f>SUMIFS('май 2024'!$G$4:$G$1753,'май 2024'!$D$4:$D$1753,$B8,'май 2024'!$J$4:$J$1753,V$1)</f>
        <v>0</v>
      </c>
      <c r="W8" s="80">
        <f>SUMIFS('май 2024'!$G$4:$G$1753,'май 2024'!$D$4:$D$1753,$B8,'май 2024'!$J$4:$J$1753,W$1)</f>
        <v>0</v>
      </c>
      <c r="X8" s="80">
        <f>SUMIFS('май 2024'!$G$4:$G$1753,'май 2024'!$D$4:$D$1753,$B8,'май 2024'!$J$4:$J$1753,X$1)</f>
        <v>0</v>
      </c>
      <c r="Y8" s="80">
        <f>SUMIFS('май 2024'!$G$4:$G$1753,'май 2024'!$D$4:$D$1753,$B8,'май 2024'!$J$4:$J$1753,Y$1)</f>
        <v>0</v>
      </c>
      <c r="Z8" s="80">
        <f>SUMIFS('май 2024'!$G$4:$G$1753,'май 2024'!$D$4:$D$1753,$B8,'май 2024'!$J$4:$J$1753,Z$1)</f>
        <v>0</v>
      </c>
      <c r="AA8" s="80">
        <f>SUMIFS('май 2024'!$G$4:$G$1753,'май 2024'!$D$4:$D$1753,$B8,'май 2024'!$J$4:$J$1753,AA$1)</f>
        <v>0</v>
      </c>
      <c r="AB8" s="80">
        <f>SUMIFS('май 2024'!$G$4:$G$1753,'май 2024'!$D$4:$D$1753,$B8,'май 2024'!$J$4:$J$1753,AB$1)</f>
        <v>0</v>
      </c>
      <c r="AC8" s="80">
        <f>SUMIFS('май 2024'!$G$4:$G$1753,'май 2024'!$D$4:$D$1753,$B8,'май 2024'!$J$4:$J$1753,AC$1)</f>
        <v>0</v>
      </c>
      <c r="AD8" s="80">
        <f>SUMIFS('май 2024'!$G$4:$G$1753,'май 2024'!$D$4:$D$1753,$B8,'май 2024'!$J$4:$J$1753,AD$1)</f>
        <v>0</v>
      </c>
      <c r="AE8" s="80">
        <f>SUMIFS('май 2024'!$G$4:$G$1753,'май 2024'!$D$4:$D$1753,$B8,'май 2024'!$J$4:$J$1753,AE$1)</f>
        <v>0</v>
      </c>
      <c r="AF8" s="80">
        <f>SUMIFS('май 2024'!$G$4:$G$1753,'май 2024'!$D$4:$D$1753,$B8,'май 2024'!$J$4:$J$1753,AF$1)</f>
        <v>0</v>
      </c>
      <c r="AG8" s="80">
        <f>SUMIFS('май 2024'!$G$4:$G$1753,'май 2024'!$D$4:$D$1753,$B8,'май 2024'!$J$4:$J$1753,AG$1)</f>
        <v>0</v>
      </c>
      <c r="AH8" s="80">
        <f>SUMIFS('май 2024'!$G$4:$G$1753,'май 2024'!$D$4:$D$1753,$B8,'май 2024'!$J$4:$J$1753,AH$1)</f>
        <v>0</v>
      </c>
      <c r="AI8" s="21">
        <f t="shared" si="1"/>
        <v>800</v>
      </c>
    </row>
    <row r="9" spans="2:35" ht="15" customHeight="1" x14ac:dyDescent="0.25">
      <c r="B9" s="81" t="s">
        <v>287</v>
      </c>
      <c r="C9" s="82">
        <v>25</v>
      </c>
      <c r="D9" s="80">
        <f>SUMIFS('май 2024'!$G$4:$G$1753,'май 2024'!$D$4:$D$1753,$B9,'май 2024'!$J$4:$J$1753,D$1)</f>
        <v>0</v>
      </c>
      <c r="E9" s="80">
        <f>SUMIFS('май 2024'!$G$4:$G$1753,'май 2024'!$D$4:$D$1753,$B9,'май 2024'!$J$4:$J$1753,E$1)</f>
        <v>0</v>
      </c>
      <c r="F9" s="80">
        <f>SUMIFS('май 2024'!$G$4:$G$1753,'май 2024'!$D$4:$D$1753,$B9,'май 2024'!$J$4:$J$1753,F$1)</f>
        <v>0</v>
      </c>
      <c r="G9" s="80">
        <f>SUMIFS('май 2024'!$G$4:$G$1753,'май 2024'!$D$4:$D$1753,$B9,'май 2024'!$J$4:$J$1753,G$1)</f>
        <v>0</v>
      </c>
      <c r="H9" s="80">
        <f>SUMIFS('май 2024'!$G$4:$G$1753,'май 2024'!$D$4:$D$1753,$B9,'май 2024'!$J$4:$J$1753,H$1)</f>
        <v>0</v>
      </c>
      <c r="I9" s="80">
        <f>SUMIFS('май 2024'!$G$4:$G$1753,'май 2024'!$D$4:$D$1753,$B9,'май 2024'!$J$4:$J$1753,I$1)</f>
        <v>0</v>
      </c>
      <c r="J9" s="80">
        <f>SUMIFS('май 2024'!$G$4:$G$1753,'май 2024'!$D$4:$D$1753,$B9,'май 2024'!$J$4:$J$1753,J$1)</f>
        <v>0</v>
      </c>
      <c r="K9" s="80">
        <f>SUMIFS('май 2024'!$G$4:$G$1753,'май 2024'!$D$4:$D$1753,$B9,'май 2024'!$J$4:$J$1753,K$1)</f>
        <v>0</v>
      </c>
      <c r="L9" s="80">
        <f>SUMIFS('май 2024'!$G$4:$G$1753,'май 2024'!$D$4:$D$1753,$B9,'май 2024'!$J$4:$J$1753,L$1)</f>
        <v>0</v>
      </c>
      <c r="M9" s="80">
        <f>SUMIFS('май 2024'!$G$4:$G$1753,'май 2024'!$D$4:$D$1753,$B9,'май 2024'!$J$4:$J$1753,M$1)</f>
        <v>0</v>
      </c>
      <c r="N9" s="80">
        <f>SUMIFS('май 2024'!$G$4:$G$1753,'май 2024'!$D$4:$D$1753,$B9,'май 2024'!$J$4:$J$1753,N$1)</f>
        <v>0</v>
      </c>
      <c r="O9" s="80">
        <f>SUMIFS('май 2024'!$G$4:$G$1753,'май 2024'!$D$4:$D$1753,$B9,'май 2024'!$J$4:$J$1753,O$1)</f>
        <v>0</v>
      </c>
      <c r="P9" s="80">
        <f>SUMIFS('май 2024'!$G$4:$G$1753,'май 2024'!$D$4:$D$1753,$B9,'май 2024'!$J$4:$J$1753,P$1)</f>
        <v>0</v>
      </c>
      <c r="Q9" s="80">
        <f>SUMIFS('май 2024'!$G$4:$G$1753,'май 2024'!$D$4:$D$1753,$B9,'май 2024'!$J$4:$J$1753,Q$1)</f>
        <v>0</v>
      </c>
      <c r="R9" s="80">
        <f>SUMIFS('май 2024'!$G$4:$G$1753,'май 2024'!$D$4:$D$1753,$B9,'май 2024'!$J$4:$J$1753,R$1)</f>
        <v>0</v>
      </c>
      <c r="S9" s="80">
        <f>SUMIFS('май 2024'!$G$4:$G$1753,'май 2024'!$D$4:$D$1753,$B9,'май 2024'!$J$4:$J$1753,S$1)</f>
        <v>0</v>
      </c>
      <c r="T9" s="80">
        <f>SUMIFS('май 2024'!$G$4:$G$1753,'май 2024'!$D$4:$D$1753,$B9,'май 2024'!$J$4:$J$1753,T$1)</f>
        <v>0</v>
      </c>
      <c r="U9" s="80">
        <f>SUMIFS('май 2024'!$G$4:$G$1753,'май 2024'!$D$4:$D$1753,$B9,'май 2024'!$J$4:$J$1753,U$1)</f>
        <v>0</v>
      </c>
      <c r="V9" s="80">
        <f>SUMIFS('май 2024'!$G$4:$G$1753,'май 2024'!$D$4:$D$1753,$B9,'май 2024'!$J$4:$J$1753,V$1)</f>
        <v>0</v>
      </c>
      <c r="W9" s="80">
        <f>SUMIFS('май 2024'!$G$4:$G$1753,'май 2024'!$D$4:$D$1753,$B9,'май 2024'!$J$4:$J$1753,W$1)</f>
        <v>0</v>
      </c>
      <c r="X9" s="80">
        <f>SUMIFS('май 2024'!$G$4:$G$1753,'май 2024'!$D$4:$D$1753,$B9,'май 2024'!$J$4:$J$1753,X$1)</f>
        <v>800</v>
      </c>
      <c r="Y9" s="80">
        <f>SUMIFS('май 2024'!$G$4:$G$1753,'май 2024'!$D$4:$D$1753,$B9,'май 2024'!$J$4:$J$1753,Y$1)</f>
        <v>0</v>
      </c>
      <c r="Z9" s="80">
        <f>SUMIFS('май 2024'!$G$4:$G$1753,'май 2024'!$D$4:$D$1753,$B9,'май 2024'!$J$4:$J$1753,Z$1)</f>
        <v>0</v>
      </c>
      <c r="AA9" s="80">
        <f>SUMIFS('май 2024'!$G$4:$G$1753,'май 2024'!$D$4:$D$1753,$B9,'май 2024'!$J$4:$J$1753,AA$1)</f>
        <v>0</v>
      </c>
      <c r="AB9" s="80">
        <f>SUMIFS('май 2024'!$G$4:$G$1753,'май 2024'!$D$4:$D$1753,$B9,'май 2024'!$J$4:$J$1753,AB$1)</f>
        <v>0</v>
      </c>
      <c r="AC9" s="80">
        <f>SUMIFS('май 2024'!$G$4:$G$1753,'май 2024'!$D$4:$D$1753,$B9,'май 2024'!$J$4:$J$1753,AC$1)</f>
        <v>0</v>
      </c>
      <c r="AD9" s="80">
        <f>SUMIFS('май 2024'!$G$4:$G$1753,'май 2024'!$D$4:$D$1753,$B9,'май 2024'!$J$4:$J$1753,AD$1)</f>
        <v>0</v>
      </c>
      <c r="AE9" s="80">
        <f>SUMIFS('май 2024'!$G$4:$G$1753,'май 2024'!$D$4:$D$1753,$B9,'май 2024'!$J$4:$J$1753,AE$1)</f>
        <v>0</v>
      </c>
      <c r="AF9" s="80">
        <f>SUMIFS('май 2024'!$G$4:$G$1753,'май 2024'!$D$4:$D$1753,$B9,'май 2024'!$J$4:$J$1753,AF$1)</f>
        <v>0</v>
      </c>
      <c r="AG9" s="80">
        <f>SUMIFS('май 2024'!$G$4:$G$1753,'май 2024'!$D$4:$D$1753,$B9,'май 2024'!$J$4:$J$1753,AG$1)</f>
        <v>0</v>
      </c>
      <c r="AH9" s="80">
        <f>SUMIFS('май 2024'!$G$4:$G$1753,'май 2024'!$D$4:$D$1753,$B9,'май 2024'!$J$4:$J$1753,AH$1)</f>
        <v>0</v>
      </c>
      <c r="AI9" s="21">
        <f t="shared" si="1"/>
        <v>800</v>
      </c>
    </row>
    <row r="10" spans="2:35" ht="15" customHeight="1" x14ac:dyDescent="0.25">
      <c r="B10" s="81" t="s">
        <v>289</v>
      </c>
      <c r="C10" s="82">
        <v>25</v>
      </c>
      <c r="D10" s="80">
        <f>SUMIFS('май 2024'!$G$4:$G$1753,'май 2024'!$D$4:$D$1753,$B10,'май 2024'!$J$4:$J$1753,D$1)</f>
        <v>0</v>
      </c>
      <c r="E10" s="80">
        <f>SUMIFS('май 2024'!$G$4:$G$1753,'май 2024'!$D$4:$D$1753,$B10,'май 2024'!$J$4:$J$1753,E$1)</f>
        <v>0</v>
      </c>
      <c r="F10" s="80">
        <f>SUMIFS('май 2024'!$G$4:$G$1753,'май 2024'!$D$4:$D$1753,$B10,'май 2024'!$J$4:$J$1753,F$1)</f>
        <v>0</v>
      </c>
      <c r="G10" s="80">
        <f>SUMIFS('май 2024'!$G$4:$G$1753,'май 2024'!$D$4:$D$1753,$B10,'май 2024'!$J$4:$J$1753,G$1)</f>
        <v>0</v>
      </c>
      <c r="H10" s="80">
        <f>SUMIFS('май 2024'!$G$4:$G$1753,'май 2024'!$D$4:$D$1753,$B10,'май 2024'!$J$4:$J$1753,H$1)</f>
        <v>0</v>
      </c>
      <c r="I10" s="80">
        <f>SUMIFS('май 2024'!$G$4:$G$1753,'май 2024'!$D$4:$D$1753,$B10,'май 2024'!$J$4:$J$1753,I$1)</f>
        <v>0</v>
      </c>
      <c r="J10" s="80">
        <f>SUMIFS('май 2024'!$G$4:$G$1753,'май 2024'!$D$4:$D$1753,$B10,'май 2024'!$J$4:$J$1753,J$1)</f>
        <v>0</v>
      </c>
      <c r="K10" s="80">
        <f>SUMIFS('май 2024'!$G$4:$G$1753,'май 2024'!$D$4:$D$1753,$B10,'май 2024'!$J$4:$J$1753,K$1)</f>
        <v>0</v>
      </c>
      <c r="L10" s="80">
        <f>SUMIFS('май 2024'!$G$4:$G$1753,'май 2024'!$D$4:$D$1753,$B10,'май 2024'!$J$4:$J$1753,L$1)</f>
        <v>0</v>
      </c>
      <c r="M10" s="80">
        <f>SUMIFS('май 2024'!$G$4:$G$1753,'май 2024'!$D$4:$D$1753,$B10,'май 2024'!$J$4:$J$1753,M$1)</f>
        <v>0</v>
      </c>
      <c r="N10" s="80">
        <f>SUMIFS('май 2024'!$G$4:$G$1753,'май 2024'!$D$4:$D$1753,$B10,'май 2024'!$J$4:$J$1753,N$1)</f>
        <v>0</v>
      </c>
      <c r="O10" s="80">
        <f>SUMIFS('май 2024'!$G$4:$G$1753,'май 2024'!$D$4:$D$1753,$B10,'май 2024'!$J$4:$J$1753,O$1)</f>
        <v>0</v>
      </c>
      <c r="P10" s="80">
        <f>SUMIFS('май 2024'!$G$4:$G$1753,'май 2024'!$D$4:$D$1753,$B10,'май 2024'!$J$4:$J$1753,P$1)</f>
        <v>0</v>
      </c>
      <c r="Q10" s="80">
        <f>SUMIFS('май 2024'!$G$4:$G$1753,'май 2024'!$D$4:$D$1753,$B10,'май 2024'!$J$4:$J$1753,Q$1)</f>
        <v>0</v>
      </c>
      <c r="R10" s="80">
        <f>SUMIFS('май 2024'!$G$4:$G$1753,'май 2024'!$D$4:$D$1753,$B10,'май 2024'!$J$4:$J$1753,R$1)</f>
        <v>0</v>
      </c>
      <c r="S10" s="80">
        <f>SUMIFS('май 2024'!$G$4:$G$1753,'май 2024'!$D$4:$D$1753,$B10,'май 2024'!$J$4:$J$1753,S$1)</f>
        <v>0</v>
      </c>
      <c r="T10" s="80">
        <f>SUMIFS('май 2024'!$G$4:$G$1753,'май 2024'!$D$4:$D$1753,$B10,'май 2024'!$J$4:$J$1753,T$1)</f>
        <v>0</v>
      </c>
      <c r="U10" s="80">
        <f>SUMIFS('май 2024'!$G$4:$G$1753,'май 2024'!$D$4:$D$1753,$B10,'май 2024'!$J$4:$J$1753,U$1)</f>
        <v>0</v>
      </c>
      <c r="V10" s="80">
        <f>SUMIFS('май 2024'!$G$4:$G$1753,'май 2024'!$D$4:$D$1753,$B10,'май 2024'!$J$4:$J$1753,V$1)</f>
        <v>0</v>
      </c>
      <c r="W10" s="80">
        <f>SUMIFS('май 2024'!$G$4:$G$1753,'май 2024'!$D$4:$D$1753,$B10,'май 2024'!$J$4:$J$1753,W$1)</f>
        <v>0</v>
      </c>
      <c r="X10" s="80">
        <f>SUMIFS('май 2024'!$G$4:$G$1753,'май 2024'!$D$4:$D$1753,$B10,'май 2024'!$J$4:$J$1753,X$1)</f>
        <v>0</v>
      </c>
      <c r="Y10" s="80">
        <f>SUMIFS('май 2024'!$G$4:$G$1753,'май 2024'!$D$4:$D$1753,$B10,'май 2024'!$J$4:$J$1753,Y$1)</f>
        <v>0</v>
      </c>
      <c r="Z10" s="80">
        <f>SUMIFS('май 2024'!$G$4:$G$1753,'май 2024'!$D$4:$D$1753,$B10,'май 2024'!$J$4:$J$1753,Z$1)</f>
        <v>0</v>
      </c>
      <c r="AA10" s="80">
        <f>SUMIFS('май 2024'!$G$4:$G$1753,'май 2024'!$D$4:$D$1753,$B10,'май 2024'!$J$4:$J$1753,AA$1)</f>
        <v>600</v>
      </c>
      <c r="AB10" s="80">
        <f>SUMIFS('май 2024'!$G$4:$G$1753,'май 2024'!$D$4:$D$1753,$B10,'май 2024'!$J$4:$J$1753,AB$1)</f>
        <v>0</v>
      </c>
      <c r="AC10" s="80">
        <f>SUMIFS('май 2024'!$G$4:$G$1753,'май 2024'!$D$4:$D$1753,$B10,'май 2024'!$J$4:$J$1753,AC$1)</f>
        <v>0</v>
      </c>
      <c r="AD10" s="80">
        <f>SUMIFS('май 2024'!$G$4:$G$1753,'май 2024'!$D$4:$D$1753,$B10,'май 2024'!$J$4:$J$1753,AD$1)</f>
        <v>0</v>
      </c>
      <c r="AE10" s="80">
        <f>SUMIFS('май 2024'!$G$4:$G$1753,'май 2024'!$D$4:$D$1753,$B10,'май 2024'!$J$4:$J$1753,AE$1)</f>
        <v>0</v>
      </c>
      <c r="AF10" s="80">
        <f>SUMIFS('май 2024'!$G$4:$G$1753,'май 2024'!$D$4:$D$1753,$B10,'май 2024'!$J$4:$J$1753,AF$1)</f>
        <v>0</v>
      </c>
      <c r="AG10" s="80">
        <f>SUMIFS('май 2024'!$G$4:$G$1753,'май 2024'!$D$4:$D$1753,$B10,'май 2024'!$J$4:$J$1753,AG$1)</f>
        <v>0</v>
      </c>
      <c r="AH10" s="80">
        <f>SUMIFS('май 2024'!$G$4:$G$1753,'май 2024'!$D$4:$D$1753,$B10,'май 2024'!$J$4:$J$1753,AH$1)</f>
        <v>0</v>
      </c>
      <c r="AI10" s="21">
        <f t="shared" si="1"/>
        <v>600</v>
      </c>
    </row>
    <row r="11" spans="2:35" ht="15" customHeight="1" x14ac:dyDescent="0.25">
      <c r="B11" s="84" t="s">
        <v>291</v>
      </c>
      <c r="C11" s="85">
        <v>22.68</v>
      </c>
      <c r="D11" s="80">
        <f>SUMIFS('май 2024'!$G$4:$G$1753,'май 2024'!$D$4:$D$1753,$B11,'май 2024'!$J$4:$J$1753,D$1)</f>
        <v>0</v>
      </c>
      <c r="E11" s="80">
        <f>SUMIFS('май 2024'!$G$4:$G$1753,'май 2024'!$D$4:$D$1753,$B11,'май 2024'!$J$4:$J$1753,E$1)</f>
        <v>0</v>
      </c>
      <c r="F11" s="80">
        <f>SUMIFS('май 2024'!$G$4:$G$1753,'май 2024'!$D$4:$D$1753,$B11,'май 2024'!$J$4:$J$1753,F$1)</f>
        <v>875</v>
      </c>
      <c r="G11" s="80">
        <f>SUMIFS('май 2024'!$G$4:$G$1753,'май 2024'!$D$4:$D$1753,$B11,'май 2024'!$J$4:$J$1753,G$1)</f>
        <v>0</v>
      </c>
      <c r="H11" s="80">
        <f>SUMIFS('май 2024'!$G$4:$G$1753,'май 2024'!$D$4:$D$1753,$B11,'май 2024'!$J$4:$J$1753,H$1)</f>
        <v>0</v>
      </c>
      <c r="I11" s="80">
        <f>SUMIFS('май 2024'!$G$4:$G$1753,'май 2024'!$D$4:$D$1753,$B11,'май 2024'!$J$4:$J$1753,I$1)</f>
        <v>0</v>
      </c>
      <c r="J11" s="80">
        <f>SUMIFS('май 2024'!$G$4:$G$1753,'май 2024'!$D$4:$D$1753,$B11,'май 2024'!$J$4:$J$1753,J$1)</f>
        <v>0</v>
      </c>
      <c r="K11" s="80">
        <f>SUMIFS('май 2024'!$G$4:$G$1753,'май 2024'!$D$4:$D$1753,$B11,'май 2024'!$J$4:$J$1753,K$1)</f>
        <v>0</v>
      </c>
      <c r="L11" s="80">
        <f>SUMIFS('май 2024'!$G$4:$G$1753,'май 2024'!$D$4:$D$1753,$B11,'май 2024'!$J$4:$J$1753,L$1)</f>
        <v>0</v>
      </c>
      <c r="M11" s="80">
        <f>SUMIFS('май 2024'!$G$4:$G$1753,'май 2024'!$D$4:$D$1753,$B11,'май 2024'!$J$4:$J$1753,M$1)</f>
        <v>0</v>
      </c>
      <c r="N11" s="80">
        <f>SUMIFS('май 2024'!$G$4:$G$1753,'май 2024'!$D$4:$D$1753,$B11,'май 2024'!$J$4:$J$1753,N$1)</f>
        <v>0</v>
      </c>
      <c r="O11" s="80">
        <f>SUMIFS('май 2024'!$G$4:$G$1753,'май 2024'!$D$4:$D$1753,$B11,'май 2024'!$J$4:$J$1753,O$1)</f>
        <v>0</v>
      </c>
      <c r="P11" s="80">
        <f>SUMIFS('май 2024'!$G$4:$G$1753,'май 2024'!$D$4:$D$1753,$B11,'май 2024'!$J$4:$J$1753,P$1)</f>
        <v>0</v>
      </c>
      <c r="Q11" s="80">
        <f>SUMIFS('май 2024'!$G$4:$G$1753,'май 2024'!$D$4:$D$1753,$B11,'май 2024'!$J$4:$J$1753,Q$1)</f>
        <v>0</v>
      </c>
      <c r="R11" s="80">
        <f>SUMIFS('май 2024'!$G$4:$G$1753,'май 2024'!$D$4:$D$1753,$B11,'май 2024'!$J$4:$J$1753,R$1)</f>
        <v>0</v>
      </c>
      <c r="S11" s="80">
        <f>SUMIFS('май 2024'!$G$4:$G$1753,'май 2024'!$D$4:$D$1753,$B11,'май 2024'!$J$4:$J$1753,S$1)</f>
        <v>0</v>
      </c>
      <c r="T11" s="80">
        <f>SUMIFS('май 2024'!$G$4:$G$1753,'май 2024'!$D$4:$D$1753,$B11,'май 2024'!$J$4:$J$1753,T$1)</f>
        <v>0</v>
      </c>
      <c r="U11" s="80">
        <f>SUMIFS('май 2024'!$G$4:$G$1753,'май 2024'!$D$4:$D$1753,$B11,'май 2024'!$J$4:$J$1753,U$1)</f>
        <v>0</v>
      </c>
      <c r="V11" s="80">
        <f>SUMIFS('май 2024'!$G$4:$G$1753,'май 2024'!$D$4:$D$1753,$B11,'май 2024'!$J$4:$J$1753,V$1)</f>
        <v>0</v>
      </c>
      <c r="W11" s="80">
        <f>SUMIFS('май 2024'!$G$4:$G$1753,'май 2024'!$D$4:$D$1753,$B11,'май 2024'!$J$4:$J$1753,W$1)</f>
        <v>0</v>
      </c>
      <c r="X11" s="80">
        <f>SUMIFS('май 2024'!$G$4:$G$1753,'май 2024'!$D$4:$D$1753,$B11,'май 2024'!$J$4:$J$1753,X$1)</f>
        <v>0</v>
      </c>
      <c r="Y11" s="80">
        <f>SUMIFS('май 2024'!$G$4:$G$1753,'май 2024'!$D$4:$D$1753,$B11,'май 2024'!$J$4:$J$1753,Y$1)</f>
        <v>0</v>
      </c>
      <c r="Z11" s="80">
        <f>SUMIFS('май 2024'!$G$4:$G$1753,'май 2024'!$D$4:$D$1753,$B11,'май 2024'!$J$4:$J$1753,Z$1)</f>
        <v>0</v>
      </c>
      <c r="AA11" s="80">
        <f>SUMIFS('май 2024'!$G$4:$G$1753,'май 2024'!$D$4:$D$1753,$B11,'май 2024'!$J$4:$J$1753,AA$1)</f>
        <v>0</v>
      </c>
      <c r="AB11" s="80">
        <f>SUMIFS('май 2024'!$G$4:$G$1753,'май 2024'!$D$4:$D$1753,$B11,'май 2024'!$J$4:$J$1753,AB$1)</f>
        <v>0</v>
      </c>
      <c r="AC11" s="80">
        <f>SUMIFS('май 2024'!$G$4:$G$1753,'май 2024'!$D$4:$D$1753,$B11,'май 2024'!$J$4:$J$1753,AC$1)</f>
        <v>0</v>
      </c>
      <c r="AD11" s="80">
        <f>SUMIFS('май 2024'!$G$4:$G$1753,'май 2024'!$D$4:$D$1753,$B11,'май 2024'!$J$4:$J$1753,AD$1)</f>
        <v>0</v>
      </c>
      <c r="AE11" s="80">
        <f>SUMIFS('май 2024'!$G$4:$G$1753,'май 2024'!$D$4:$D$1753,$B11,'май 2024'!$J$4:$J$1753,AE$1)</f>
        <v>0</v>
      </c>
      <c r="AF11" s="80">
        <f>SUMIFS('май 2024'!$G$4:$G$1753,'май 2024'!$D$4:$D$1753,$B11,'май 2024'!$J$4:$J$1753,AF$1)</f>
        <v>0</v>
      </c>
      <c r="AG11" s="80">
        <f>SUMIFS('май 2024'!$G$4:$G$1753,'май 2024'!$D$4:$D$1753,$B11,'май 2024'!$J$4:$J$1753,AG$1)</f>
        <v>700</v>
      </c>
      <c r="AH11" s="80">
        <f>SUMIFS('май 2024'!$G$4:$G$1753,'май 2024'!$D$4:$D$1753,$B11,'май 2024'!$J$4:$J$1753,AH$1)</f>
        <v>0</v>
      </c>
      <c r="AI11" s="21">
        <f t="shared" si="1"/>
        <v>1575</v>
      </c>
    </row>
    <row r="12" spans="2:35" ht="15" customHeight="1" x14ac:dyDescent="0.25">
      <c r="B12" s="84" t="s">
        <v>293</v>
      </c>
      <c r="C12" s="85">
        <v>22.68</v>
      </c>
      <c r="D12" s="80">
        <f>SUMIFS('май 2024'!$G$4:$G$1753,'май 2024'!$D$4:$D$1753,$B12,'май 2024'!$J$4:$J$1753,D$1)</f>
        <v>0</v>
      </c>
      <c r="E12" s="80">
        <f>SUMIFS('май 2024'!$G$4:$G$1753,'май 2024'!$D$4:$D$1753,$B12,'май 2024'!$J$4:$J$1753,E$1)</f>
        <v>0</v>
      </c>
      <c r="F12" s="80">
        <f>SUMIFS('май 2024'!$G$4:$G$1753,'май 2024'!$D$4:$D$1753,$B12,'май 2024'!$J$4:$J$1753,F$1)</f>
        <v>0</v>
      </c>
      <c r="G12" s="80">
        <f>SUMIFS('май 2024'!$G$4:$G$1753,'май 2024'!$D$4:$D$1753,$B12,'май 2024'!$J$4:$J$1753,G$1)</f>
        <v>0</v>
      </c>
      <c r="H12" s="80">
        <f>SUMIFS('май 2024'!$G$4:$G$1753,'май 2024'!$D$4:$D$1753,$B12,'май 2024'!$J$4:$J$1753,H$1)</f>
        <v>0</v>
      </c>
      <c r="I12" s="80">
        <f>SUMIFS('май 2024'!$G$4:$G$1753,'май 2024'!$D$4:$D$1753,$B12,'май 2024'!$J$4:$J$1753,I$1)</f>
        <v>0</v>
      </c>
      <c r="J12" s="80">
        <f>SUMIFS('май 2024'!$G$4:$G$1753,'май 2024'!$D$4:$D$1753,$B12,'май 2024'!$J$4:$J$1753,J$1)</f>
        <v>0</v>
      </c>
      <c r="K12" s="80">
        <f>SUMIFS('май 2024'!$G$4:$G$1753,'май 2024'!$D$4:$D$1753,$B12,'май 2024'!$J$4:$J$1753,K$1)</f>
        <v>0</v>
      </c>
      <c r="L12" s="80">
        <f>SUMIFS('май 2024'!$G$4:$G$1753,'май 2024'!$D$4:$D$1753,$B12,'май 2024'!$J$4:$J$1753,L$1)</f>
        <v>0</v>
      </c>
      <c r="M12" s="80">
        <f>SUMIFS('май 2024'!$G$4:$G$1753,'май 2024'!$D$4:$D$1753,$B12,'май 2024'!$J$4:$J$1753,M$1)</f>
        <v>0</v>
      </c>
      <c r="N12" s="80">
        <f>SUMIFS('май 2024'!$G$4:$G$1753,'май 2024'!$D$4:$D$1753,$B12,'май 2024'!$J$4:$J$1753,N$1)</f>
        <v>0</v>
      </c>
      <c r="O12" s="80">
        <f>SUMIFS('май 2024'!$G$4:$G$1753,'май 2024'!$D$4:$D$1753,$B12,'май 2024'!$J$4:$J$1753,O$1)</f>
        <v>0</v>
      </c>
      <c r="P12" s="80">
        <f>SUMIFS('май 2024'!$G$4:$G$1753,'май 2024'!$D$4:$D$1753,$B12,'май 2024'!$J$4:$J$1753,P$1)</f>
        <v>0</v>
      </c>
      <c r="Q12" s="80">
        <f>SUMIFS('май 2024'!$G$4:$G$1753,'май 2024'!$D$4:$D$1753,$B12,'май 2024'!$J$4:$J$1753,Q$1)</f>
        <v>0</v>
      </c>
      <c r="R12" s="80">
        <f>SUMIFS('май 2024'!$G$4:$G$1753,'май 2024'!$D$4:$D$1753,$B12,'май 2024'!$J$4:$J$1753,R$1)</f>
        <v>0</v>
      </c>
      <c r="S12" s="80">
        <f>SUMIFS('май 2024'!$G$4:$G$1753,'май 2024'!$D$4:$D$1753,$B12,'май 2024'!$J$4:$J$1753,S$1)</f>
        <v>0</v>
      </c>
      <c r="T12" s="80">
        <f>SUMIFS('май 2024'!$G$4:$G$1753,'май 2024'!$D$4:$D$1753,$B12,'май 2024'!$J$4:$J$1753,T$1)</f>
        <v>0</v>
      </c>
      <c r="U12" s="80">
        <f>SUMIFS('май 2024'!$G$4:$G$1753,'май 2024'!$D$4:$D$1753,$B12,'май 2024'!$J$4:$J$1753,U$1)</f>
        <v>0</v>
      </c>
      <c r="V12" s="80">
        <f>SUMIFS('май 2024'!$G$4:$G$1753,'май 2024'!$D$4:$D$1753,$B12,'май 2024'!$J$4:$J$1753,V$1)</f>
        <v>0</v>
      </c>
      <c r="W12" s="80">
        <f>SUMIFS('май 2024'!$G$4:$G$1753,'май 2024'!$D$4:$D$1753,$B12,'май 2024'!$J$4:$J$1753,W$1)</f>
        <v>0</v>
      </c>
      <c r="X12" s="80">
        <f>SUMIFS('май 2024'!$G$4:$G$1753,'май 2024'!$D$4:$D$1753,$B12,'май 2024'!$J$4:$J$1753,X$1)</f>
        <v>0</v>
      </c>
      <c r="Y12" s="80">
        <f>SUMIFS('май 2024'!$G$4:$G$1753,'май 2024'!$D$4:$D$1753,$B12,'май 2024'!$J$4:$J$1753,Y$1)</f>
        <v>0</v>
      </c>
      <c r="Z12" s="80">
        <f>SUMIFS('май 2024'!$G$4:$G$1753,'май 2024'!$D$4:$D$1753,$B12,'май 2024'!$J$4:$J$1753,Z$1)</f>
        <v>0</v>
      </c>
      <c r="AA12" s="80">
        <f>SUMIFS('май 2024'!$G$4:$G$1753,'май 2024'!$D$4:$D$1753,$B12,'май 2024'!$J$4:$J$1753,AA$1)</f>
        <v>0</v>
      </c>
      <c r="AB12" s="80">
        <f>SUMIFS('май 2024'!$G$4:$G$1753,'май 2024'!$D$4:$D$1753,$B12,'май 2024'!$J$4:$J$1753,AB$1)</f>
        <v>0</v>
      </c>
      <c r="AC12" s="80">
        <f>SUMIFS('май 2024'!$G$4:$G$1753,'май 2024'!$D$4:$D$1753,$B12,'май 2024'!$J$4:$J$1753,AC$1)</f>
        <v>0</v>
      </c>
      <c r="AD12" s="80">
        <f>SUMIFS('май 2024'!$G$4:$G$1753,'май 2024'!$D$4:$D$1753,$B12,'май 2024'!$J$4:$J$1753,AD$1)</f>
        <v>0</v>
      </c>
      <c r="AE12" s="80">
        <f>SUMIFS('май 2024'!$G$4:$G$1753,'май 2024'!$D$4:$D$1753,$B12,'май 2024'!$J$4:$J$1753,AE$1)</f>
        <v>0</v>
      </c>
      <c r="AF12" s="80">
        <f>SUMIFS('май 2024'!$G$4:$G$1753,'май 2024'!$D$4:$D$1753,$B12,'май 2024'!$J$4:$J$1753,AF$1)</f>
        <v>0</v>
      </c>
      <c r="AG12" s="80">
        <f>SUMIFS('май 2024'!$G$4:$G$1753,'май 2024'!$D$4:$D$1753,$B12,'май 2024'!$J$4:$J$1753,AG$1)</f>
        <v>0</v>
      </c>
      <c r="AH12" s="80">
        <f>SUMIFS('май 2024'!$G$4:$G$1753,'май 2024'!$D$4:$D$1753,$B12,'май 2024'!$J$4:$J$1753,AH$1)</f>
        <v>0</v>
      </c>
      <c r="AI12" s="21">
        <f t="shared" si="1"/>
        <v>0</v>
      </c>
    </row>
    <row r="13" spans="2:35" ht="15" customHeight="1" x14ac:dyDescent="0.25">
      <c r="B13" s="84" t="s">
        <v>1043</v>
      </c>
      <c r="C13" s="85">
        <v>25</v>
      </c>
      <c r="D13" s="80">
        <f>SUMIFS('май 2024'!$G$4:$G$1753,'май 2024'!$D$4:$D$1753,$B13,'май 2024'!$J$4:$J$1753,D$1)</f>
        <v>0</v>
      </c>
      <c r="E13" s="80">
        <f>SUMIFS('май 2024'!$G$4:$G$1753,'май 2024'!$D$4:$D$1753,$B13,'май 2024'!$J$4:$J$1753,E$1)</f>
        <v>0</v>
      </c>
      <c r="F13" s="80">
        <f>SUMIFS('май 2024'!$G$4:$G$1753,'май 2024'!$D$4:$D$1753,$B13,'май 2024'!$J$4:$J$1753,F$1)</f>
        <v>0</v>
      </c>
      <c r="G13" s="80">
        <f>SUMIFS('май 2024'!$G$4:$G$1753,'май 2024'!$D$4:$D$1753,$B13,'май 2024'!$J$4:$J$1753,G$1)</f>
        <v>0</v>
      </c>
      <c r="H13" s="80">
        <f>SUMIFS('май 2024'!$G$4:$G$1753,'май 2024'!$D$4:$D$1753,$B13,'май 2024'!$J$4:$J$1753,H$1)</f>
        <v>0</v>
      </c>
      <c r="I13" s="80">
        <f>SUMIFS('май 2024'!$G$4:$G$1753,'май 2024'!$D$4:$D$1753,$B13,'май 2024'!$J$4:$J$1753,I$1)</f>
        <v>0</v>
      </c>
      <c r="J13" s="80">
        <f>SUMIFS('май 2024'!$G$4:$G$1753,'май 2024'!$D$4:$D$1753,$B13,'май 2024'!$J$4:$J$1753,J$1)</f>
        <v>0</v>
      </c>
      <c r="K13" s="80">
        <f>SUMIFS('май 2024'!$G$4:$G$1753,'май 2024'!$D$4:$D$1753,$B13,'май 2024'!$J$4:$J$1753,K$1)</f>
        <v>0</v>
      </c>
      <c r="L13" s="80">
        <f>SUMIFS('май 2024'!$G$4:$G$1753,'май 2024'!$D$4:$D$1753,$B13,'май 2024'!$J$4:$J$1753,L$1)</f>
        <v>0</v>
      </c>
      <c r="M13" s="80">
        <f>SUMIFS('май 2024'!$G$4:$G$1753,'май 2024'!$D$4:$D$1753,$B13,'май 2024'!$J$4:$J$1753,M$1)</f>
        <v>0</v>
      </c>
      <c r="N13" s="80">
        <f>SUMIFS('май 2024'!$G$4:$G$1753,'май 2024'!$D$4:$D$1753,$B13,'май 2024'!$J$4:$J$1753,N$1)</f>
        <v>0</v>
      </c>
      <c r="O13" s="80">
        <f>SUMIFS('май 2024'!$G$4:$G$1753,'май 2024'!$D$4:$D$1753,$B13,'май 2024'!$J$4:$J$1753,O$1)</f>
        <v>0</v>
      </c>
      <c r="P13" s="80">
        <f>SUMIFS('май 2024'!$G$4:$G$1753,'май 2024'!$D$4:$D$1753,$B13,'май 2024'!$J$4:$J$1753,P$1)</f>
        <v>0</v>
      </c>
      <c r="Q13" s="80">
        <f>SUMIFS('май 2024'!$G$4:$G$1753,'май 2024'!$D$4:$D$1753,$B13,'май 2024'!$J$4:$J$1753,Q$1)</f>
        <v>0</v>
      </c>
      <c r="R13" s="80">
        <f>SUMIFS('май 2024'!$G$4:$G$1753,'май 2024'!$D$4:$D$1753,$B13,'май 2024'!$J$4:$J$1753,R$1)</f>
        <v>0</v>
      </c>
      <c r="S13" s="80">
        <f>SUMIFS('май 2024'!$G$4:$G$1753,'май 2024'!$D$4:$D$1753,$B13,'май 2024'!$J$4:$J$1753,S$1)</f>
        <v>1680</v>
      </c>
      <c r="T13" s="80">
        <f>SUMIFS('май 2024'!$G$4:$G$1753,'май 2024'!$D$4:$D$1753,$B13,'май 2024'!$J$4:$J$1753,T$1)</f>
        <v>2100</v>
      </c>
      <c r="U13" s="80">
        <f>SUMIFS('май 2024'!$G$4:$G$1753,'май 2024'!$D$4:$D$1753,$B13,'май 2024'!$J$4:$J$1753,U$1)</f>
        <v>0</v>
      </c>
      <c r="V13" s="80">
        <f>SUMIFS('май 2024'!$G$4:$G$1753,'май 2024'!$D$4:$D$1753,$B13,'май 2024'!$J$4:$J$1753,V$1)</f>
        <v>0</v>
      </c>
      <c r="W13" s="80">
        <f>SUMIFS('май 2024'!$G$4:$G$1753,'май 2024'!$D$4:$D$1753,$B13,'май 2024'!$J$4:$J$1753,W$1)</f>
        <v>2800</v>
      </c>
      <c r="X13" s="80">
        <f>SUMIFS('май 2024'!$G$4:$G$1753,'май 2024'!$D$4:$D$1753,$B13,'май 2024'!$J$4:$J$1753,X$1)</f>
        <v>2800</v>
      </c>
      <c r="Y13" s="80">
        <f>SUMIFS('май 2024'!$G$4:$G$1753,'май 2024'!$D$4:$D$1753,$B13,'май 2024'!$J$4:$J$1753,Y$1)</f>
        <v>0</v>
      </c>
      <c r="Z13" s="80">
        <f>SUMIFS('май 2024'!$G$4:$G$1753,'май 2024'!$D$4:$D$1753,$B13,'май 2024'!$J$4:$J$1753,Z$1)</f>
        <v>0</v>
      </c>
      <c r="AA13" s="80">
        <f>SUMIFS('май 2024'!$G$4:$G$1753,'май 2024'!$D$4:$D$1753,$B13,'май 2024'!$J$4:$J$1753,AA$1)</f>
        <v>0</v>
      </c>
      <c r="AB13" s="80">
        <f>SUMIFS('май 2024'!$G$4:$G$1753,'май 2024'!$D$4:$D$1753,$B13,'май 2024'!$J$4:$J$1753,AB$1)</f>
        <v>0</v>
      </c>
      <c r="AC13" s="80">
        <f>SUMIFS('май 2024'!$G$4:$G$1753,'май 2024'!$D$4:$D$1753,$B13,'май 2024'!$J$4:$J$1753,AC$1)</f>
        <v>0</v>
      </c>
      <c r="AD13" s="80">
        <f>SUMIFS('май 2024'!$G$4:$G$1753,'май 2024'!$D$4:$D$1753,$B13,'май 2024'!$J$4:$J$1753,AD$1)</f>
        <v>0</v>
      </c>
      <c r="AE13" s="80">
        <f>SUMIFS('май 2024'!$G$4:$G$1753,'май 2024'!$D$4:$D$1753,$B13,'май 2024'!$J$4:$J$1753,AE$1)</f>
        <v>0</v>
      </c>
      <c r="AF13" s="80">
        <f>SUMIFS('май 2024'!$G$4:$G$1753,'май 2024'!$D$4:$D$1753,$B13,'май 2024'!$J$4:$J$1753,AF$1)</f>
        <v>0</v>
      </c>
      <c r="AG13" s="80">
        <f>SUMIFS('май 2024'!$G$4:$G$1753,'май 2024'!$D$4:$D$1753,$B13,'май 2024'!$J$4:$J$1753,AG$1)</f>
        <v>2100</v>
      </c>
      <c r="AH13" s="80">
        <f>SUMIFS('май 2024'!$G$4:$G$1753,'май 2024'!$D$4:$D$1753,$B13,'май 2024'!$J$4:$J$1753,AH$1)</f>
        <v>2800</v>
      </c>
      <c r="AI13" s="21">
        <f t="shared" si="1"/>
        <v>14280</v>
      </c>
    </row>
    <row r="14" spans="2:35" ht="15" customHeight="1" x14ac:dyDescent="0.25">
      <c r="B14" s="84" t="s">
        <v>1097</v>
      </c>
      <c r="C14" s="85">
        <v>25</v>
      </c>
      <c r="D14" s="80">
        <f>SUMIFS('май 2024'!$G$4:$G$1753,'май 2024'!$D$4:$D$1753,$B14,'май 2024'!$J$4:$J$1753,D$1)</f>
        <v>0</v>
      </c>
      <c r="E14" s="80">
        <f>SUMIFS('май 2024'!$G$4:$G$1753,'май 2024'!$D$4:$D$1753,$B14,'май 2024'!$J$4:$J$1753,E$1)</f>
        <v>0</v>
      </c>
      <c r="F14" s="80">
        <f>SUMIFS('май 2024'!$G$4:$G$1753,'май 2024'!$D$4:$D$1753,$B14,'май 2024'!$J$4:$J$1753,F$1)</f>
        <v>0</v>
      </c>
      <c r="G14" s="80">
        <f>SUMIFS('май 2024'!$G$4:$G$1753,'май 2024'!$D$4:$D$1753,$B14,'май 2024'!$J$4:$J$1753,G$1)</f>
        <v>0</v>
      </c>
      <c r="H14" s="80">
        <f>SUMIFS('май 2024'!$G$4:$G$1753,'май 2024'!$D$4:$D$1753,$B14,'май 2024'!$J$4:$J$1753,H$1)</f>
        <v>0</v>
      </c>
      <c r="I14" s="80">
        <f>SUMIFS('май 2024'!$G$4:$G$1753,'май 2024'!$D$4:$D$1753,$B14,'май 2024'!$J$4:$J$1753,I$1)</f>
        <v>0</v>
      </c>
      <c r="J14" s="80">
        <f>SUMIFS('май 2024'!$G$4:$G$1753,'май 2024'!$D$4:$D$1753,$B14,'май 2024'!$J$4:$J$1753,J$1)</f>
        <v>0</v>
      </c>
      <c r="K14" s="80">
        <f>SUMIFS('май 2024'!$G$4:$G$1753,'май 2024'!$D$4:$D$1753,$B14,'май 2024'!$J$4:$J$1753,K$1)</f>
        <v>0</v>
      </c>
      <c r="L14" s="80">
        <f>SUMIFS('май 2024'!$G$4:$G$1753,'май 2024'!$D$4:$D$1753,$B14,'май 2024'!$J$4:$J$1753,L$1)</f>
        <v>0</v>
      </c>
      <c r="M14" s="80">
        <f>SUMIFS('май 2024'!$G$4:$G$1753,'май 2024'!$D$4:$D$1753,$B14,'май 2024'!$J$4:$J$1753,M$1)</f>
        <v>0</v>
      </c>
      <c r="N14" s="80">
        <f>SUMIFS('май 2024'!$G$4:$G$1753,'май 2024'!$D$4:$D$1753,$B14,'май 2024'!$J$4:$J$1753,N$1)</f>
        <v>0</v>
      </c>
      <c r="O14" s="80">
        <f>SUMIFS('май 2024'!$G$4:$G$1753,'май 2024'!$D$4:$D$1753,$B14,'май 2024'!$J$4:$J$1753,O$1)</f>
        <v>0</v>
      </c>
      <c r="P14" s="80">
        <f>SUMIFS('май 2024'!$G$4:$G$1753,'май 2024'!$D$4:$D$1753,$B14,'май 2024'!$J$4:$J$1753,P$1)</f>
        <v>0</v>
      </c>
      <c r="Q14" s="80">
        <f>SUMIFS('май 2024'!$G$4:$G$1753,'май 2024'!$D$4:$D$1753,$B14,'май 2024'!$J$4:$J$1753,Q$1)</f>
        <v>700</v>
      </c>
      <c r="R14" s="80">
        <f>SUMIFS('май 2024'!$G$4:$G$1753,'май 2024'!$D$4:$D$1753,$B14,'май 2024'!$J$4:$J$1753,R$1)</f>
        <v>0</v>
      </c>
      <c r="S14" s="80">
        <f>SUMIFS('май 2024'!$G$4:$G$1753,'май 2024'!$D$4:$D$1753,$B14,'май 2024'!$J$4:$J$1753,S$1)</f>
        <v>0</v>
      </c>
      <c r="T14" s="80">
        <f>SUMIFS('май 2024'!$G$4:$G$1753,'май 2024'!$D$4:$D$1753,$B14,'май 2024'!$J$4:$J$1753,T$1)</f>
        <v>0</v>
      </c>
      <c r="U14" s="80">
        <f>SUMIFS('май 2024'!$G$4:$G$1753,'май 2024'!$D$4:$D$1753,$B14,'май 2024'!$J$4:$J$1753,U$1)</f>
        <v>0</v>
      </c>
      <c r="V14" s="80">
        <f>SUMIFS('май 2024'!$G$4:$G$1753,'май 2024'!$D$4:$D$1753,$B14,'май 2024'!$J$4:$J$1753,V$1)</f>
        <v>0</v>
      </c>
      <c r="W14" s="80">
        <f>SUMIFS('май 2024'!$G$4:$G$1753,'май 2024'!$D$4:$D$1753,$B14,'май 2024'!$J$4:$J$1753,W$1)</f>
        <v>0</v>
      </c>
      <c r="X14" s="80">
        <f>SUMIFS('май 2024'!$G$4:$G$1753,'май 2024'!$D$4:$D$1753,$B14,'май 2024'!$J$4:$J$1753,X$1)</f>
        <v>0</v>
      </c>
      <c r="Y14" s="80">
        <f>SUMIFS('май 2024'!$G$4:$G$1753,'май 2024'!$D$4:$D$1753,$B14,'май 2024'!$J$4:$J$1753,Y$1)</f>
        <v>0</v>
      </c>
      <c r="Z14" s="80">
        <f>SUMIFS('май 2024'!$G$4:$G$1753,'май 2024'!$D$4:$D$1753,$B14,'май 2024'!$J$4:$J$1753,Z$1)</f>
        <v>0</v>
      </c>
      <c r="AA14" s="80">
        <f>SUMIFS('май 2024'!$G$4:$G$1753,'май 2024'!$D$4:$D$1753,$B14,'май 2024'!$J$4:$J$1753,AA$1)</f>
        <v>0</v>
      </c>
      <c r="AB14" s="80">
        <f>SUMIFS('май 2024'!$G$4:$G$1753,'май 2024'!$D$4:$D$1753,$B14,'май 2024'!$J$4:$J$1753,AB$1)</f>
        <v>0</v>
      </c>
      <c r="AC14" s="80">
        <f>SUMIFS('май 2024'!$G$4:$G$1753,'май 2024'!$D$4:$D$1753,$B14,'май 2024'!$J$4:$J$1753,AC$1)</f>
        <v>0</v>
      </c>
      <c r="AD14" s="80">
        <f>SUMIFS('май 2024'!$G$4:$G$1753,'май 2024'!$D$4:$D$1753,$B14,'май 2024'!$J$4:$J$1753,AD$1)</f>
        <v>0</v>
      </c>
      <c r="AE14" s="80">
        <f>SUMIFS('май 2024'!$G$4:$G$1753,'май 2024'!$D$4:$D$1753,$B14,'май 2024'!$J$4:$J$1753,AE$1)</f>
        <v>0</v>
      </c>
      <c r="AF14" s="80">
        <f>SUMIFS('май 2024'!$G$4:$G$1753,'май 2024'!$D$4:$D$1753,$B14,'май 2024'!$J$4:$J$1753,AF$1)</f>
        <v>0</v>
      </c>
      <c r="AG14" s="80">
        <f>SUMIFS('май 2024'!$G$4:$G$1753,'май 2024'!$D$4:$D$1753,$B14,'май 2024'!$J$4:$J$1753,AG$1)</f>
        <v>0</v>
      </c>
      <c r="AH14" s="80">
        <f>SUMIFS('май 2024'!$G$4:$G$1753,'май 2024'!$D$4:$D$1753,$B14,'май 2024'!$J$4:$J$1753,AH$1)</f>
        <v>0</v>
      </c>
      <c r="AI14" s="21">
        <f>SUM(D14:AH14)</f>
        <v>700</v>
      </c>
    </row>
    <row r="15" spans="2:35" ht="15" customHeight="1" x14ac:dyDescent="0.25">
      <c r="B15" s="84" t="s">
        <v>295</v>
      </c>
      <c r="C15" s="85">
        <v>22.7</v>
      </c>
      <c r="D15" s="80">
        <f>SUMIFS('май 2024'!$G$4:$G$1753,'май 2024'!$D$4:$D$1753,$B15,'май 2024'!$J$4:$J$1753,D$1)</f>
        <v>0</v>
      </c>
      <c r="E15" s="80">
        <f>SUMIFS('май 2024'!$G$4:$G$1753,'май 2024'!$D$4:$D$1753,$B15,'май 2024'!$J$4:$J$1753,E$1)</f>
        <v>0</v>
      </c>
      <c r="F15" s="80">
        <f>SUMIFS('май 2024'!$G$4:$G$1753,'май 2024'!$D$4:$D$1753,$B15,'май 2024'!$J$4:$J$1753,F$1)</f>
        <v>0</v>
      </c>
      <c r="G15" s="80">
        <f>SUMIFS('май 2024'!$G$4:$G$1753,'май 2024'!$D$4:$D$1753,$B15,'май 2024'!$J$4:$J$1753,G$1)</f>
        <v>0</v>
      </c>
      <c r="H15" s="80">
        <f>SUMIFS('май 2024'!$G$4:$G$1753,'май 2024'!$D$4:$D$1753,$B15,'май 2024'!$J$4:$J$1753,H$1)</f>
        <v>0</v>
      </c>
      <c r="I15" s="80">
        <f>SUMIFS('май 2024'!$G$4:$G$1753,'май 2024'!$D$4:$D$1753,$B15,'май 2024'!$J$4:$J$1753,I$1)</f>
        <v>0</v>
      </c>
      <c r="J15" s="80">
        <f>SUMIFS('май 2024'!$G$4:$G$1753,'май 2024'!$D$4:$D$1753,$B15,'май 2024'!$J$4:$J$1753,J$1)</f>
        <v>0</v>
      </c>
      <c r="K15" s="80">
        <f>SUMIFS('май 2024'!$G$4:$G$1753,'май 2024'!$D$4:$D$1753,$B15,'май 2024'!$J$4:$J$1753,K$1)</f>
        <v>0</v>
      </c>
      <c r="L15" s="80">
        <f>SUMIFS('май 2024'!$G$4:$G$1753,'май 2024'!$D$4:$D$1753,$B15,'май 2024'!$J$4:$J$1753,L$1)</f>
        <v>0</v>
      </c>
      <c r="M15" s="80">
        <f>SUMIFS('май 2024'!$G$4:$G$1753,'май 2024'!$D$4:$D$1753,$B15,'май 2024'!$J$4:$J$1753,M$1)</f>
        <v>0</v>
      </c>
      <c r="N15" s="80">
        <f>SUMIFS('май 2024'!$G$4:$G$1753,'май 2024'!$D$4:$D$1753,$B15,'май 2024'!$J$4:$J$1753,N$1)</f>
        <v>0</v>
      </c>
      <c r="O15" s="80">
        <f>SUMIFS('май 2024'!$G$4:$G$1753,'май 2024'!$D$4:$D$1753,$B15,'май 2024'!$J$4:$J$1753,O$1)</f>
        <v>0</v>
      </c>
      <c r="P15" s="80">
        <f>SUMIFS('май 2024'!$G$4:$G$1753,'май 2024'!$D$4:$D$1753,$B15,'май 2024'!$J$4:$J$1753,P$1)</f>
        <v>0</v>
      </c>
      <c r="Q15" s="80">
        <f>SUMIFS('май 2024'!$G$4:$G$1753,'май 2024'!$D$4:$D$1753,$B15,'май 2024'!$J$4:$J$1753,Q$1)</f>
        <v>0</v>
      </c>
      <c r="R15" s="80">
        <f>SUMIFS('май 2024'!$G$4:$G$1753,'май 2024'!$D$4:$D$1753,$B15,'май 2024'!$J$4:$J$1753,R$1)</f>
        <v>0</v>
      </c>
      <c r="S15" s="80">
        <f>SUMIFS('май 2024'!$G$4:$G$1753,'май 2024'!$D$4:$D$1753,$B15,'май 2024'!$J$4:$J$1753,S$1)</f>
        <v>0</v>
      </c>
      <c r="T15" s="80">
        <f>SUMIFS('май 2024'!$G$4:$G$1753,'май 2024'!$D$4:$D$1753,$B15,'май 2024'!$J$4:$J$1753,T$1)</f>
        <v>0</v>
      </c>
      <c r="U15" s="80">
        <f>SUMIFS('май 2024'!$G$4:$G$1753,'май 2024'!$D$4:$D$1753,$B15,'май 2024'!$J$4:$J$1753,U$1)</f>
        <v>0</v>
      </c>
      <c r="V15" s="80">
        <f>SUMIFS('май 2024'!$G$4:$G$1753,'май 2024'!$D$4:$D$1753,$B15,'май 2024'!$J$4:$J$1753,V$1)</f>
        <v>0</v>
      </c>
      <c r="W15" s="80">
        <f>SUMIFS('май 2024'!$G$4:$G$1753,'май 2024'!$D$4:$D$1753,$B15,'май 2024'!$J$4:$J$1753,W$1)</f>
        <v>0</v>
      </c>
      <c r="X15" s="80">
        <f>SUMIFS('май 2024'!$G$4:$G$1753,'май 2024'!$D$4:$D$1753,$B15,'май 2024'!$J$4:$J$1753,X$1)</f>
        <v>0</v>
      </c>
      <c r="Y15" s="80">
        <f>SUMIFS('май 2024'!$G$4:$G$1753,'май 2024'!$D$4:$D$1753,$B15,'май 2024'!$J$4:$J$1753,Y$1)</f>
        <v>0</v>
      </c>
      <c r="Z15" s="80">
        <f>SUMIFS('май 2024'!$G$4:$G$1753,'май 2024'!$D$4:$D$1753,$B15,'май 2024'!$J$4:$J$1753,Z$1)</f>
        <v>0</v>
      </c>
      <c r="AA15" s="80">
        <f>SUMIFS('май 2024'!$G$4:$G$1753,'май 2024'!$D$4:$D$1753,$B15,'май 2024'!$J$4:$J$1753,AA$1)</f>
        <v>0</v>
      </c>
      <c r="AB15" s="80">
        <f>SUMIFS('май 2024'!$G$4:$G$1753,'май 2024'!$D$4:$D$1753,$B15,'май 2024'!$J$4:$J$1753,AB$1)</f>
        <v>0</v>
      </c>
      <c r="AC15" s="80">
        <f>SUMIFS('май 2024'!$G$4:$G$1753,'май 2024'!$D$4:$D$1753,$B15,'май 2024'!$J$4:$J$1753,AC$1)</f>
        <v>0</v>
      </c>
      <c r="AD15" s="80">
        <f>SUMIFS('май 2024'!$G$4:$G$1753,'май 2024'!$D$4:$D$1753,$B15,'май 2024'!$J$4:$J$1753,AD$1)</f>
        <v>0</v>
      </c>
      <c r="AE15" s="80">
        <f>SUMIFS('май 2024'!$G$4:$G$1753,'май 2024'!$D$4:$D$1753,$B15,'май 2024'!$J$4:$J$1753,AE$1)</f>
        <v>0</v>
      </c>
      <c r="AF15" s="80">
        <f>SUMIFS('май 2024'!$G$4:$G$1753,'май 2024'!$D$4:$D$1753,$B15,'май 2024'!$J$4:$J$1753,AF$1)</f>
        <v>0</v>
      </c>
      <c r="AG15" s="80">
        <f>SUMIFS('май 2024'!$G$4:$G$1753,'май 2024'!$D$4:$D$1753,$B15,'май 2024'!$J$4:$J$1753,AG$1)</f>
        <v>0</v>
      </c>
      <c r="AH15" s="80">
        <f>SUMIFS('май 2024'!$G$4:$G$1753,'май 2024'!$D$4:$D$1753,$B15,'май 2024'!$J$4:$J$1753,AH$1)</f>
        <v>0</v>
      </c>
      <c r="AI15" s="21">
        <f t="shared" si="1"/>
        <v>0</v>
      </c>
    </row>
    <row r="16" spans="2:35" ht="15" customHeight="1" x14ac:dyDescent="0.25">
      <c r="B16" s="81" t="s">
        <v>297</v>
      </c>
      <c r="C16" s="82">
        <v>22.7</v>
      </c>
      <c r="D16" s="80">
        <f>SUMIFS('май 2024'!$G$4:$G$1753,'май 2024'!$D$4:$D$1753,$B16,'май 2024'!$J$4:$J$1753,D$1)</f>
        <v>0</v>
      </c>
      <c r="E16" s="80">
        <f>SUMIFS('май 2024'!$G$4:$G$1753,'май 2024'!$D$4:$D$1753,$B16,'май 2024'!$J$4:$J$1753,E$1)</f>
        <v>0</v>
      </c>
      <c r="F16" s="80">
        <f>SUMIFS('май 2024'!$G$4:$G$1753,'май 2024'!$D$4:$D$1753,$B16,'май 2024'!$J$4:$J$1753,F$1)</f>
        <v>0</v>
      </c>
      <c r="G16" s="80">
        <f>SUMIFS('май 2024'!$G$4:$G$1753,'май 2024'!$D$4:$D$1753,$B16,'май 2024'!$J$4:$J$1753,G$1)</f>
        <v>0</v>
      </c>
      <c r="H16" s="80">
        <f>SUMIFS('май 2024'!$G$4:$G$1753,'май 2024'!$D$4:$D$1753,$B16,'май 2024'!$J$4:$J$1753,H$1)</f>
        <v>0</v>
      </c>
      <c r="I16" s="80">
        <f>SUMIFS('май 2024'!$G$4:$G$1753,'май 2024'!$D$4:$D$1753,$B16,'май 2024'!$J$4:$J$1753,I$1)</f>
        <v>0</v>
      </c>
      <c r="J16" s="80">
        <f>SUMIFS('май 2024'!$G$4:$G$1753,'май 2024'!$D$4:$D$1753,$B16,'май 2024'!$J$4:$J$1753,J$1)</f>
        <v>0</v>
      </c>
      <c r="K16" s="80">
        <f>SUMIFS('май 2024'!$G$4:$G$1753,'май 2024'!$D$4:$D$1753,$B16,'май 2024'!$J$4:$J$1753,K$1)</f>
        <v>0</v>
      </c>
      <c r="L16" s="80">
        <f>SUMIFS('май 2024'!$G$4:$G$1753,'май 2024'!$D$4:$D$1753,$B16,'май 2024'!$J$4:$J$1753,L$1)</f>
        <v>0</v>
      </c>
      <c r="M16" s="80">
        <f>SUMIFS('май 2024'!$G$4:$G$1753,'май 2024'!$D$4:$D$1753,$B16,'май 2024'!$J$4:$J$1753,M$1)</f>
        <v>0</v>
      </c>
      <c r="N16" s="80">
        <f>SUMIFS('май 2024'!$G$4:$G$1753,'май 2024'!$D$4:$D$1753,$B16,'май 2024'!$J$4:$J$1753,N$1)</f>
        <v>0</v>
      </c>
      <c r="O16" s="80">
        <f>SUMIFS('май 2024'!$G$4:$G$1753,'май 2024'!$D$4:$D$1753,$B16,'май 2024'!$J$4:$J$1753,O$1)</f>
        <v>0</v>
      </c>
      <c r="P16" s="80">
        <f>SUMIFS('май 2024'!$G$4:$G$1753,'май 2024'!$D$4:$D$1753,$B16,'май 2024'!$J$4:$J$1753,P$1)</f>
        <v>0</v>
      </c>
      <c r="Q16" s="80">
        <f>SUMIFS('май 2024'!$G$4:$G$1753,'май 2024'!$D$4:$D$1753,$B16,'май 2024'!$J$4:$J$1753,Q$1)</f>
        <v>0</v>
      </c>
      <c r="R16" s="80">
        <f>SUMIFS('май 2024'!$G$4:$G$1753,'май 2024'!$D$4:$D$1753,$B16,'май 2024'!$J$4:$J$1753,R$1)</f>
        <v>0</v>
      </c>
      <c r="S16" s="80">
        <f>SUMIFS('май 2024'!$G$4:$G$1753,'май 2024'!$D$4:$D$1753,$B16,'май 2024'!$J$4:$J$1753,S$1)</f>
        <v>0</v>
      </c>
      <c r="T16" s="80">
        <f>SUMIFS('май 2024'!$G$4:$G$1753,'май 2024'!$D$4:$D$1753,$B16,'май 2024'!$J$4:$J$1753,T$1)</f>
        <v>0</v>
      </c>
      <c r="U16" s="80">
        <f>SUMIFS('май 2024'!$G$4:$G$1753,'май 2024'!$D$4:$D$1753,$B16,'май 2024'!$J$4:$J$1753,U$1)</f>
        <v>0</v>
      </c>
      <c r="V16" s="80">
        <f>SUMIFS('май 2024'!$G$4:$G$1753,'май 2024'!$D$4:$D$1753,$B16,'май 2024'!$J$4:$J$1753,V$1)</f>
        <v>0</v>
      </c>
      <c r="W16" s="80">
        <f>SUMIFS('май 2024'!$G$4:$G$1753,'май 2024'!$D$4:$D$1753,$B16,'май 2024'!$J$4:$J$1753,W$1)</f>
        <v>0</v>
      </c>
      <c r="X16" s="80">
        <f>SUMIFS('май 2024'!$G$4:$G$1753,'май 2024'!$D$4:$D$1753,$B16,'май 2024'!$J$4:$J$1753,X$1)</f>
        <v>0</v>
      </c>
      <c r="Y16" s="80">
        <f>SUMIFS('май 2024'!$G$4:$G$1753,'май 2024'!$D$4:$D$1753,$B16,'май 2024'!$J$4:$J$1753,Y$1)</f>
        <v>0</v>
      </c>
      <c r="Z16" s="80">
        <f>SUMIFS('май 2024'!$G$4:$G$1753,'май 2024'!$D$4:$D$1753,$B16,'май 2024'!$J$4:$J$1753,Z$1)</f>
        <v>0</v>
      </c>
      <c r="AA16" s="80">
        <f>SUMIFS('май 2024'!$G$4:$G$1753,'май 2024'!$D$4:$D$1753,$B16,'май 2024'!$J$4:$J$1753,AA$1)</f>
        <v>0</v>
      </c>
      <c r="AB16" s="80">
        <f>SUMIFS('май 2024'!$G$4:$G$1753,'май 2024'!$D$4:$D$1753,$B16,'май 2024'!$J$4:$J$1753,AB$1)</f>
        <v>0</v>
      </c>
      <c r="AC16" s="80">
        <f>SUMIFS('май 2024'!$G$4:$G$1753,'май 2024'!$D$4:$D$1753,$B16,'май 2024'!$J$4:$J$1753,AC$1)</f>
        <v>0</v>
      </c>
      <c r="AD16" s="80">
        <f>SUMIFS('май 2024'!$G$4:$G$1753,'май 2024'!$D$4:$D$1753,$B16,'май 2024'!$J$4:$J$1753,AD$1)</f>
        <v>0</v>
      </c>
      <c r="AE16" s="80">
        <f>SUMIFS('май 2024'!$G$4:$G$1753,'май 2024'!$D$4:$D$1753,$B16,'май 2024'!$J$4:$J$1753,AE$1)</f>
        <v>0</v>
      </c>
      <c r="AF16" s="80">
        <f>SUMIFS('май 2024'!$G$4:$G$1753,'май 2024'!$D$4:$D$1753,$B16,'май 2024'!$J$4:$J$1753,AF$1)</f>
        <v>0</v>
      </c>
      <c r="AG16" s="80">
        <f>SUMIFS('май 2024'!$G$4:$G$1753,'май 2024'!$D$4:$D$1753,$B16,'май 2024'!$J$4:$J$1753,AG$1)</f>
        <v>0</v>
      </c>
      <c r="AH16" s="80">
        <f>SUMIFS('май 2024'!$G$4:$G$1753,'май 2024'!$D$4:$D$1753,$B16,'май 2024'!$J$4:$J$1753,AH$1)</f>
        <v>0</v>
      </c>
      <c r="AI16" s="21">
        <f t="shared" si="1"/>
        <v>0</v>
      </c>
    </row>
    <row r="17" spans="2:35" ht="15" customHeight="1" x14ac:dyDescent="0.25">
      <c r="B17" s="84" t="s">
        <v>299</v>
      </c>
      <c r="C17" s="85">
        <v>22.7</v>
      </c>
      <c r="D17" s="80">
        <f>SUMIFS('май 2024'!$G$4:$G$1753,'май 2024'!$D$4:$D$1753,$B17,'май 2024'!$J$4:$J$1753,D$1)</f>
        <v>0</v>
      </c>
      <c r="E17" s="80">
        <f>SUMIFS('май 2024'!$G$4:$G$1753,'май 2024'!$D$4:$D$1753,$B17,'май 2024'!$J$4:$J$1753,E$1)</f>
        <v>0</v>
      </c>
      <c r="F17" s="80">
        <f>SUMIFS('май 2024'!$G$4:$G$1753,'май 2024'!$D$4:$D$1753,$B17,'май 2024'!$J$4:$J$1753,F$1)</f>
        <v>0</v>
      </c>
      <c r="G17" s="80">
        <f>SUMIFS('май 2024'!$G$4:$G$1753,'май 2024'!$D$4:$D$1753,$B17,'май 2024'!$J$4:$J$1753,G$1)</f>
        <v>0</v>
      </c>
      <c r="H17" s="80">
        <f>SUMIFS('май 2024'!$G$4:$G$1753,'май 2024'!$D$4:$D$1753,$B17,'май 2024'!$J$4:$J$1753,H$1)</f>
        <v>0</v>
      </c>
      <c r="I17" s="80">
        <f>SUMIFS('май 2024'!$G$4:$G$1753,'май 2024'!$D$4:$D$1753,$B17,'май 2024'!$J$4:$J$1753,I$1)</f>
        <v>0</v>
      </c>
      <c r="J17" s="80">
        <f>SUMIFS('май 2024'!$G$4:$G$1753,'май 2024'!$D$4:$D$1753,$B17,'май 2024'!$J$4:$J$1753,J$1)</f>
        <v>0</v>
      </c>
      <c r="K17" s="80">
        <f>SUMIFS('май 2024'!$G$4:$G$1753,'май 2024'!$D$4:$D$1753,$B17,'май 2024'!$J$4:$J$1753,K$1)</f>
        <v>0</v>
      </c>
      <c r="L17" s="80">
        <f>SUMIFS('май 2024'!$G$4:$G$1753,'май 2024'!$D$4:$D$1753,$B17,'май 2024'!$J$4:$J$1753,L$1)</f>
        <v>0</v>
      </c>
      <c r="M17" s="80">
        <f>SUMIFS('май 2024'!$G$4:$G$1753,'май 2024'!$D$4:$D$1753,$B17,'май 2024'!$J$4:$J$1753,M$1)</f>
        <v>0</v>
      </c>
      <c r="N17" s="80">
        <f>SUMIFS('май 2024'!$G$4:$G$1753,'май 2024'!$D$4:$D$1753,$B17,'май 2024'!$J$4:$J$1753,N$1)</f>
        <v>0</v>
      </c>
      <c r="O17" s="80">
        <f>SUMIFS('май 2024'!$G$4:$G$1753,'май 2024'!$D$4:$D$1753,$B17,'май 2024'!$J$4:$J$1753,O$1)</f>
        <v>0</v>
      </c>
      <c r="P17" s="80">
        <f>SUMIFS('май 2024'!$G$4:$G$1753,'май 2024'!$D$4:$D$1753,$B17,'май 2024'!$J$4:$J$1753,P$1)</f>
        <v>0</v>
      </c>
      <c r="Q17" s="80">
        <f>SUMIFS('май 2024'!$G$4:$G$1753,'май 2024'!$D$4:$D$1753,$B17,'май 2024'!$J$4:$J$1753,Q$1)</f>
        <v>0</v>
      </c>
      <c r="R17" s="80">
        <f>SUMIFS('май 2024'!$G$4:$G$1753,'май 2024'!$D$4:$D$1753,$B17,'май 2024'!$J$4:$J$1753,R$1)</f>
        <v>0</v>
      </c>
      <c r="S17" s="80">
        <f>SUMIFS('май 2024'!$G$4:$G$1753,'май 2024'!$D$4:$D$1753,$B17,'май 2024'!$J$4:$J$1753,S$1)</f>
        <v>0</v>
      </c>
      <c r="T17" s="80">
        <f>SUMIFS('май 2024'!$G$4:$G$1753,'май 2024'!$D$4:$D$1753,$B17,'май 2024'!$J$4:$J$1753,T$1)</f>
        <v>0</v>
      </c>
      <c r="U17" s="80">
        <f>SUMIFS('май 2024'!$G$4:$G$1753,'май 2024'!$D$4:$D$1753,$B17,'май 2024'!$J$4:$J$1753,U$1)</f>
        <v>0</v>
      </c>
      <c r="V17" s="80">
        <f>SUMIFS('май 2024'!$G$4:$G$1753,'май 2024'!$D$4:$D$1753,$B17,'май 2024'!$J$4:$J$1753,V$1)</f>
        <v>0</v>
      </c>
      <c r="W17" s="80">
        <f>SUMIFS('май 2024'!$G$4:$G$1753,'май 2024'!$D$4:$D$1753,$B17,'май 2024'!$J$4:$J$1753,W$1)</f>
        <v>0</v>
      </c>
      <c r="X17" s="80">
        <f>SUMIFS('май 2024'!$G$4:$G$1753,'май 2024'!$D$4:$D$1753,$B17,'май 2024'!$J$4:$J$1753,X$1)</f>
        <v>0</v>
      </c>
      <c r="Y17" s="80">
        <f>SUMIFS('май 2024'!$G$4:$G$1753,'май 2024'!$D$4:$D$1753,$B17,'май 2024'!$J$4:$J$1753,Y$1)</f>
        <v>0</v>
      </c>
      <c r="Z17" s="80">
        <f>SUMIFS('май 2024'!$G$4:$G$1753,'май 2024'!$D$4:$D$1753,$B17,'май 2024'!$J$4:$J$1753,Z$1)</f>
        <v>0</v>
      </c>
      <c r="AA17" s="80">
        <f>SUMIFS('май 2024'!$G$4:$G$1753,'май 2024'!$D$4:$D$1753,$B17,'май 2024'!$J$4:$J$1753,AA$1)</f>
        <v>0</v>
      </c>
      <c r="AB17" s="80">
        <f>SUMIFS('май 2024'!$G$4:$G$1753,'май 2024'!$D$4:$D$1753,$B17,'май 2024'!$J$4:$J$1753,AB$1)</f>
        <v>0</v>
      </c>
      <c r="AC17" s="80">
        <f>SUMIFS('май 2024'!$G$4:$G$1753,'май 2024'!$D$4:$D$1753,$B17,'май 2024'!$J$4:$J$1753,AC$1)</f>
        <v>0</v>
      </c>
      <c r="AD17" s="80">
        <f>SUMIFS('май 2024'!$G$4:$G$1753,'май 2024'!$D$4:$D$1753,$B17,'май 2024'!$J$4:$J$1753,AD$1)</f>
        <v>0</v>
      </c>
      <c r="AE17" s="80">
        <f>SUMIFS('май 2024'!$G$4:$G$1753,'май 2024'!$D$4:$D$1753,$B17,'май 2024'!$J$4:$J$1753,AE$1)</f>
        <v>0</v>
      </c>
      <c r="AF17" s="80">
        <f>SUMIFS('май 2024'!$G$4:$G$1753,'май 2024'!$D$4:$D$1753,$B17,'май 2024'!$J$4:$J$1753,AF$1)</f>
        <v>0</v>
      </c>
      <c r="AG17" s="80">
        <f>SUMIFS('май 2024'!$G$4:$G$1753,'май 2024'!$D$4:$D$1753,$B17,'май 2024'!$J$4:$J$1753,AG$1)</f>
        <v>0</v>
      </c>
      <c r="AH17" s="80">
        <f>SUMIFS('май 2024'!$G$4:$G$1753,'май 2024'!$D$4:$D$1753,$B17,'май 2024'!$J$4:$J$1753,AH$1)</f>
        <v>0</v>
      </c>
      <c r="AI17" s="21">
        <f t="shared" si="1"/>
        <v>0</v>
      </c>
    </row>
    <row r="18" spans="2:35" ht="15" customHeight="1" x14ac:dyDescent="0.25">
      <c r="B18" s="84" t="s">
        <v>301</v>
      </c>
      <c r="C18" s="85">
        <v>25</v>
      </c>
      <c r="D18" s="80">
        <f>SUMIFS('май 2024'!$G$4:$G$1753,'май 2024'!$D$4:$D$1753,$B18,'май 2024'!$J$4:$J$1753,D$1)</f>
        <v>0</v>
      </c>
      <c r="E18" s="80">
        <f>SUMIFS('май 2024'!$G$4:$G$1753,'май 2024'!$D$4:$D$1753,$B18,'май 2024'!$J$4:$J$1753,E$1)</f>
        <v>0</v>
      </c>
      <c r="F18" s="80">
        <f>SUMIFS('май 2024'!$G$4:$G$1753,'май 2024'!$D$4:$D$1753,$B18,'май 2024'!$J$4:$J$1753,F$1)</f>
        <v>0</v>
      </c>
      <c r="G18" s="80">
        <f>SUMIFS('май 2024'!$G$4:$G$1753,'май 2024'!$D$4:$D$1753,$B18,'май 2024'!$J$4:$J$1753,G$1)</f>
        <v>0</v>
      </c>
      <c r="H18" s="80">
        <f>SUMIFS('май 2024'!$G$4:$G$1753,'май 2024'!$D$4:$D$1753,$B18,'май 2024'!$J$4:$J$1753,H$1)</f>
        <v>0</v>
      </c>
      <c r="I18" s="80">
        <f>SUMIFS('май 2024'!$G$4:$G$1753,'май 2024'!$D$4:$D$1753,$B18,'май 2024'!$J$4:$J$1753,I$1)</f>
        <v>1400</v>
      </c>
      <c r="J18" s="80">
        <f>SUMIFS('май 2024'!$G$4:$G$1753,'май 2024'!$D$4:$D$1753,$B18,'май 2024'!$J$4:$J$1753,J$1)</f>
        <v>0</v>
      </c>
      <c r="K18" s="80">
        <f>SUMIFS('май 2024'!$G$4:$G$1753,'май 2024'!$D$4:$D$1753,$B18,'май 2024'!$J$4:$J$1753,K$1)</f>
        <v>0</v>
      </c>
      <c r="L18" s="80">
        <f>SUMIFS('май 2024'!$G$4:$G$1753,'май 2024'!$D$4:$D$1753,$B18,'май 2024'!$J$4:$J$1753,L$1)</f>
        <v>0</v>
      </c>
      <c r="M18" s="80">
        <f>SUMIFS('май 2024'!$G$4:$G$1753,'май 2024'!$D$4:$D$1753,$B18,'май 2024'!$J$4:$J$1753,M$1)</f>
        <v>0</v>
      </c>
      <c r="N18" s="80">
        <f>SUMIFS('май 2024'!$G$4:$G$1753,'май 2024'!$D$4:$D$1753,$B18,'май 2024'!$J$4:$J$1753,N$1)</f>
        <v>0</v>
      </c>
      <c r="O18" s="80">
        <f>SUMIFS('май 2024'!$G$4:$G$1753,'май 2024'!$D$4:$D$1753,$B18,'май 2024'!$J$4:$J$1753,O$1)</f>
        <v>0</v>
      </c>
      <c r="P18" s="80">
        <f>SUMIFS('май 2024'!$G$4:$G$1753,'май 2024'!$D$4:$D$1753,$B18,'май 2024'!$J$4:$J$1753,P$1)</f>
        <v>0</v>
      </c>
      <c r="Q18" s="80">
        <f>SUMIFS('май 2024'!$G$4:$G$1753,'май 2024'!$D$4:$D$1753,$B18,'май 2024'!$J$4:$J$1753,Q$1)</f>
        <v>0</v>
      </c>
      <c r="R18" s="80">
        <f>SUMIFS('май 2024'!$G$4:$G$1753,'май 2024'!$D$4:$D$1753,$B18,'май 2024'!$J$4:$J$1753,R$1)</f>
        <v>0</v>
      </c>
      <c r="S18" s="80">
        <f>SUMIFS('май 2024'!$G$4:$G$1753,'май 2024'!$D$4:$D$1753,$B18,'май 2024'!$J$4:$J$1753,S$1)</f>
        <v>0</v>
      </c>
      <c r="T18" s="80">
        <f>SUMIFS('май 2024'!$G$4:$G$1753,'май 2024'!$D$4:$D$1753,$B18,'май 2024'!$J$4:$J$1753,T$1)</f>
        <v>0</v>
      </c>
      <c r="U18" s="80">
        <f>SUMIFS('май 2024'!$G$4:$G$1753,'май 2024'!$D$4:$D$1753,$B18,'май 2024'!$J$4:$J$1753,U$1)</f>
        <v>0</v>
      </c>
      <c r="V18" s="80">
        <f>SUMIFS('май 2024'!$G$4:$G$1753,'май 2024'!$D$4:$D$1753,$B18,'май 2024'!$J$4:$J$1753,V$1)</f>
        <v>0</v>
      </c>
      <c r="W18" s="80">
        <f>SUMIFS('май 2024'!$G$4:$G$1753,'май 2024'!$D$4:$D$1753,$B18,'май 2024'!$J$4:$J$1753,W$1)</f>
        <v>0</v>
      </c>
      <c r="X18" s="80">
        <f>SUMIFS('май 2024'!$G$4:$G$1753,'май 2024'!$D$4:$D$1753,$B18,'май 2024'!$J$4:$J$1753,X$1)</f>
        <v>0</v>
      </c>
      <c r="Y18" s="80">
        <f>SUMIFS('май 2024'!$G$4:$G$1753,'май 2024'!$D$4:$D$1753,$B18,'май 2024'!$J$4:$J$1753,Y$1)</f>
        <v>0</v>
      </c>
      <c r="Z18" s="80">
        <f>SUMIFS('май 2024'!$G$4:$G$1753,'май 2024'!$D$4:$D$1753,$B18,'май 2024'!$J$4:$J$1753,Z$1)</f>
        <v>0</v>
      </c>
      <c r="AA18" s="80">
        <f>SUMIFS('май 2024'!$G$4:$G$1753,'май 2024'!$D$4:$D$1753,$B18,'май 2024'!$J$4:$J$1753,AA$1)</f>
        <v>0</v>
      </c>
      <c r="AB18" s="80">
        <f>SUMIFS('май 2024'!$G$4:$G$1753,'май 2024'!$D$4:$D$1753,$B18,'май 2024'!$J$4:$J$1753,AB$1)</f>
        <v>0</v>
      </c>
      <c r="AC18" s="80">
        <f>SUMIFS('май 2024'!$G$4:$G$1753,'май 2024'!$D$4:$D$1753,$B18,'май 2024'!$J$4:$J$1753,AC$1)</f>
        <v>0</v>
      </c>
      <c r="AD18" s="80">
        <f>SUMIFS('май 2024'!$G$4:$G$1753,'май 2024'!$D$4:$D$1753,$B18,'май 2024'!$J$4:$J$1753,AD$1)</f>
        <v>0</v>
      </c>
      <c r="AE18" s="80">
        <f>SUMIFS('май 2024'!$G$4:$G$1753,'май 2024'!$D$4:$D$1753,$B18,'май 2024'!$J$4:$J$1753,AE$1)</f>
        <v>0</v>
      </c>
      <c r="AF18" s="80">
        <f>SUMIFS('май 2024'!$G$4:$G$1753,'май 2024'!$D$4:$D$1753,$B18,'май 2024'!$J$4:$J$1753,AF$1)</f>
        <v>0</v>
      </c>
      <c r="AG18" s="80">
        <f>SUMIFS('май 2024'!$G$4:$G$1753,'май 2024'!$D$4:$D$1753,$B18,'май 2024'!$J$4:$J$1753,AG$1)</f>
        <v>0</v>
      </c>
      <c r="AH18" s="80">
        <f>SUMIFS('май 2024'!$G$4:$G$1753,'май 2024'!$D$4:$D$1753,$B18,'май 2024'!$J$4:$J$1753,AH$1)</f>
        <v>0</v>
      </c>
      <c r="AI18" s="21">
        <f t="shared" si="1"/>
        <v>1400</v>
      </c>
    </row>
    <row r="19" spans="2:35" ht="15" customHeight="1" x14ac:dyDescent="0.25">
      <c r="B19" s="81" t="s">
        <v>303</v>
      </c>
      <c r="C19" s="82">
        <v>25</v>
      </c>
      <c r="D19" s="80">
        <f>SUMIFS('май 2024'!$G$4:$G$1753,'май 2024'!$D$4:$D$1753,$B19,'май 2024'!$J$4:$J$1753,D$1)</f>
        <v>0</v>
      </c>
      <c r="E19" s="80">
        <f>SUMIFS('май 2024'!$G$4:$G$1753,'май 2024'!$D$4:$D$1753,$B19,'май 2024'!$J$4:$J$1753,E$1)</f>
        <v>0</v>
      </c>
      <c r="F19" s="80">
        <f>SUMIFS('май 2024'!$G$4:$G$1753,'май 2024'!$D$4:$D$1753,$B19,'май 2024'!$J$4:$J$1753,F$1)</f>
        <v>0</v>
      </c>
      <c r="G19" s="80">
        <f>SUMIFS('май 2024'!$G$4:$G$1753,'май 2024'!$D$4:$D$1753,$B19,'май 2024'!$J$4:$J$1753,G$1)</f>
        <v>0</v>
      </c>
      <c r="H19" s="80">
        <f>SUMIFS('май 2024'!$G$4:$G$1753,'май 2024'!$D$4:$D$1753,$B19,'май 2024'!$J$4:$J$1753,H$1)</f>
        <v>0</v>
      </c>
      <c r="I19" s="80">
        <f>SUMIFS('май 2024'!$G$4:$G$1753,'май 2024'!$D$4:$D$1753,$B19,'май 2024'!$J$4:$J$1753,I$1)</f>
        <v>0</v>
      </c>
      <c r="J19" s="80">
        <f>SUMIFS('май 2024'!$G$4:$G$1753,'май 2024'!$D$4:$D$1753,$B19,'май 2024'!$J$4:$J$1753,J$1)</f>
        <v>0</v>
      </c>
      <c r="K19" s="80">
        <f>SUMIFS('май 2024'!$G$4:$G$1753,'май 2024'!$D$4:$D$1753,$B19,'май 2024'!$J$4:$J$1753,K$1)</f>
        <v>0</v>
      </c>
      <c r="L19" s="80">
        <f>SUMIFS('май 2024'!$G$4:$G$1753,'май 2024'!$D$4:$D$1753,$B19,'май 2024'!$J$4:$J$1753,L$1)</f>
        <v>0</v>
      </c>
      <c r="M19" s="80">
        <f>SUMIFS('май 2024'!$G$4:$G$1753,'май 2024'!$D$4:$D$1753,$B19,'май 2024'!$J$4:$J$1753,M$1)</f>
        <v>0</v>
      </c>
      <c r="N19" s="80">
        <f>SUMIFS('май 2024'!$G$4:$G$1753,'май 2024'!$D$4:$D$1753,$B19,'май 2024'!$J$4:$J$1753,N$1)</f>
        <v>0</v>
      </c>
      <c r="O19" s="80">
        <f>SUMIFS('май 2024'!$G$4:$G$1753,'май 2024'!$D$4:$D$1753,$B19,'май 2024'!$J$4:$J$1753,O$1)</f>
        <v>0</v>
      </c>
      <c r="P19" s="80">
        <f>SUMIFS('май 2024'!$G$4:$G$1753,'май 2024'!$D$4:$D$1753,$B19,'май 2024'!$J$4:$J$1753,P$1)</f>
        <v>0</v>
      </c>
      <c r="Q19" s="80">
        <f>SUMIFS('май 2024'!$G$4:$G$1753,'май 2024'!$D$4:$D$1753,$B19,'май 2024'!$J$4:$J$1753,Q$1)</f>
        <v>0</v>
      </c>
      <c r="R19" s="80">
        <f>SUMIFS('май 2024'!$G$4:$G$1753,'май 2024'!$D$4:$D$1753,$B19,'май 2024'!$J$4:$J$1753,R$1)</f>
        <v>0</v>
      </c>
      <c r="S19" s="80">
        <f>SUMIFS('май 2024'!$G$4:$G$1753,'май 2024'!$D$4:$D$1753,$B19,'май 2024'!$J$4:$J$1753,S$1)</f>
        <v>0</v>
      </c>
      <c r="T19" s="80">
        <f>SUMIFS('май 2024'!$G$4:$G$1753,'май 2024'!$D$4:$D$1753,$B19,'май 2024'!$J$4:$J$1753,T$1)</f>
        <v>0</v>
      </c>
      <c r="U19" s="80">
        <f>SUMIFS('май 2024'!$G$4:$G$1753,'май 2024'!$D$4:$D$1753,$B19,'май 2024'!$J$4:$J$1753,U$1)</f>
        <v>0</v>
      </c>
      <c r="V19" s="80">
        <f>SUMIFS('май 2024'!$G$4:$G$1753,'май 2024'!$D$4:$D$1753,$B19,'май 2024'!$J$4:$J$1753,V$1)</f>
        <v>0</v>
      </c>
      <c r="W19" s="80">
        <f>SUMIFS('май 2024'!$G$4:$G$1753,'май 2024'!$D$4:$D$1753,$B19,'май 2024'!$J$4:$J$1753,W$1)</f>
        <v>0</v>
      </c>
      <c r="X19" s="80">
        <f>SUMIFS('май 2024'!$G$4:$G$1753,'май 2024'!$D$4:$D$1753,$B19,'май 2024'!$J$4:$J$1753,X$1)</f>
        <v>0</v>
      </c>
      <c r="Y19" s="80">
        <f>SUMIFS('май 2024'!$G$4:$G$1753,'май 2024'!$D$4:$D$1753,$B19,'май 2024'!$J$4:$J$1753,Y$1)</f>
        <v>0</v>
      </c>
      <c r="Z19" s="80">
        <f>SUMIFS('май 2024'!$G$4:$G$1753,'май 2024'!$D$4:$D$1753,$B19,'май 2024'!$J$4:$J$1753,Z$1)</f>
        <v>0</v>
      </c>
      <c r="AA19" s="80">
        <f>SUMIFS('май 2024'!$G$4:$G$1753,'май 2024'!$D$4:$D$1753,$B19,'май 2024'!$J$4:$J$1753,AA$1)</f>
        <v>0</v>
      </c>
      <c r="AB19" s="80">
        <f>SUMIFS('май 2024'!$G$4:$G$1753,'май 2024'!$D$4:$D$1753,$B19,'май 2024'!$J$4:$J$1753,AB$1)</f>
        <v>0</v>
      </c>
      <c r="AC19" s="80">
        <f>SUMIFS('май 2024'!$G$4:$G$1753,'май 2024'!$D$4:$D$1753,$B19,'май 2024'!$J$4:$J$1753,AC$1)</f>
        <v>0</v>
      </c>
      <c r="AD19" s="80">
        <f>SUMIFS('май 2024'!$G$4:$G$1753,'май 2024'!$D$4:$D$1753,$B19,'май 2024'!$J$4:$J$1753,AD$1)</f>
        <v>0</v>
      </c>
      <c r="AE19" s="80">
        <f>SUMIFS('май 2024'!$G$4:$G$1753,'май 2024'!$D$4:$D$1753,$B19,'май 2024'!$J$4:$J$1753,AE$1)</f>
        <v>0</v>
      </c>
      <c r="AF19" s="80">
        <f>SUMIFS('май 2024'!$G$4:$G$1753,'май 2024'!$D$4:$D$1753,$B19,'май 2024'!$J$4:$J$1753,AF$1)</f>
        <v>0</v>
      </c>
      <c r="AG19" s="80">
        <f>SUMIFS('май 2024'!$G$4:$G$1753,'май 2024'!$D$4:$D$1753,$B19,'май 2024'!$J$4:$J$1753,AG$1)</f>
        <v>0</v>
      </c>
      <c r="AH19" s="80">
        <f>SUMIFS('май 2024'!$G$4:$G$1753,'май 2024'!$D$4:$D$1753,$B19,'май 2024'!$J$4:$J$1753,AH$1)</f>
        <v>0</v>
      </c>
      <c r="AI19" s="21">
        <f t="shared" si="1"/>
        <v>0</v>
      </c>
    </row>
    <row r="20" spans="2:35" ht="15" customHeight="1" x14ac:dyDescent="0.25">
      <c r="B20" s="81" t="s">
        <v>305</v>
      </c>
      <c r="C20" s="82">
        <v>25</v>
      </c>
      <c r="D20" s="80">
        <f>SUMIFS('май 2024'!$G$4:$G$1753,'май 2024'!$D$4:$D$1753,$B20,'май 2024'!$J$4:$J$1753,D$1)</f>
        <v>0</v>
      </c>
      <c r="E20" s="80">
        <f>SUMIFS('май 2024'!$G$4:$G$1753,'май 2024'!$D$4:$D$1753,$B20,'май 2024'!$J$4:$J$1753,E$1)</f>
        <v>0</v>
      </c>
      <c r="F20" s="80">
        <f>SUMIFS('май 2024'!$G$4:$G$1753,'май 2024'!$D$4:$D$1753,$B20,'май 2024'!$J$4:$J$1753,F$1)</f>
        <v>0</v>
      </c>
      <c r="G20" s="80">
        <f>SUMIFS('май 2024'!$G$4:$G$1753,'май 2024'!$D$4:$D$1753,$B20,'май 2024'!$J$4:$J$1753,G$1)</f>
        <v>0</v>
      </c>
      <c r="H20" s="80">
        <f>SUMIFS('май 2024'!$G$4:$G$1753,'май 2024'!$D$4:$D$1753,$B20,'май 2024'!$J$4:$J$1753,H$1)</f>
        <v>0</v>
      </c>
      <c r="I20" s="80">
        <f>SUMIFS('май 2024'!$G$4:$G$1753,'май 2024'!$D$4:$D$1753,$B20,'май 2024'!$J$4:$J$1753,I$1)</f>
        <v>0</v>
      </c>
      <c r="J20" s="80">
        <f>SUMIFS('май 2024'!$G$4:$G$1753,'май 2024'!$D$4:$D$1753,$B20,'май 2024'!$J$4:$J$1753,J$1)</f>
        <v>0</v>
      </c>
      <c r="K20" s="80">
        <f>SUMIFS('май 2024'!$G$4:$G$1753,'май 2024'!$D$4:$D$1753,$B20,'май 2024'!$J$4:$J$1753,K$1)</f>
        <v>0</v>
      </c>
      <c r="L20" s="80">
        <f>SUMIFS('май 2024'!$G$4:$G$1753,'май 2024'!$D$4:$D$1753,$B20,'май 2024'!$J$4:$J$1753,L$1)</f>
        <v>0</v>
      </c>
      <c r="M20" s="80">
        <f>SUMIFS('май 2024'!$G$4:$G$1753,'май 2024'!$D$4:$D$1753,$B20,'май 2024'!$J$4:$J$1753,M$1)</f>
        <v>0</v>
      </c>
      <c r="N20" s="80">
        <f>SUMIFS('май 2024'!$G$4:$G$1753,'май 2024'!$D$4:$D$1753,$B20,'май 2024'!$J$4:$J$1753,N$1)</f>
        <v>0</v>
      </c>
      <c r="O20" s="80">
        <f>SUMIFS('май 2024'!$G$4:$G$1753,'май 2024'!$D$4:$D$1753,$B20,'май 2024'!$J$4:$J$1753,O$1)</f>
        <v>0</v>
      </c>
      <c r="P20" s="80">
        <f>SUMIFS('май 2024'!$G$4:$G$1753,'май 2024'!$D$4:$D$1753,$B20,'май 2024'!$J$4:$J$1753,P$1)</f>
        <v>0</v>
      </c>
      <c r="Q20" s="80">
        <f>SUMIFS('май 2024'!$G$4:$G$1753,'май 2024'!$D$4:$D$1753,$B20,'май 2024'!$J$4:$J$1753,Q$1)</f>
        <v>0</v>
      </c>
      <c r="R20" s="80">
        <f>SUMIFS('май 2024'!$G$4:$G$1753,'май 2024'!$D$4:$D$1753,$B20,'май 2024'!$J$4:$J$1753,R$1)</f>
        <v>0</v>
      </c>
      <c r="S20" s="80">
        <f>SUMIFS('май 2024'!$G$4:$G$1753,'май 2024'!$D$4:$D$1753,$B20,'май 2024'!$J$4:$J$1753,S$1)</f>
        <v>0</v>
      </c>
      <c r="T20" s="80">
        <f>SUMIFS('май 2024'!$G$4:$G$1753,'май 2024'!$D$4:$D$1753,$B20,'май 2024'!$J$4:$J$1753,T$1)</f>
        <v>0</v>
      </c>
      <c r="U20" s="80">
        <f>SUMIFS('май 2024'!$G$4:$G$1753,'май 2024'!$D$4:$D$1753,$B20,'май 2024'!$J$4:$J$1753,U$1)</f>
        <v>0</v>
      </c>
      <c r="V20" s="80">
        <f>SUMIFS('май 2024'!$G$4:$G$1753,'май 2024'!$D$4:$D$1753,$B20,'май 2024'!$J$4:$J$1753,V$1)</f>
        <v>0</v>
      </c>
      <c r="W20" s="80">
        <f>SUMIFS('май 2024'!$G$4:$G$1753,'май 2024'!$D$4:$D$1753,$B20,'май 2024'!$J$4:$J$1753,W$1)</f>
        <v>0</v>
      </c>
      <c r="X20" s="80">
        <f>SUMIFS('май 2024'!$G$4:$G$1753,'май 2024'!$D$4:$D$1753,$B20,'май 2024'!$J$4:$J$1753,X$1)</f>
        <v>0</v>
      </c>
      <c r="Y20" s="80">
        <f>SUMIFS('май 2024'!$G$4:$G$1753,'май 2024'!$D$4:$D$1753,$B20,'май 2024'!$J$4:$J$1753,Y$1)</f>
        <v>0</v>
      </c>
      <c r="Z20" s="80">
        <f>SUMIFS('май 2024'!$G$4:$G$1753,'май 2024'!$D$4:$D$1753,$B20,'май 2024'!$J$4:$J$1753,Z$1)</f>
        <v>0</v>
      </c>
      <c r="AA20" s="80">
        <f>SUMIFS('май 2024'!$G$4:$G$1753,'май 2024'!$D$4:$D$1753,$B20,'май 2024'!$J$4:$J$1753,AA$1)</f>
        <v>0</v>
      </c>
      <c r="AB20" s="80">
        <f>SUMIFS('май 2024'!$G$4:$G$1753,'май 2024'!$D$4:$D$1753,$B20,'май 2024'!$J$4:$J$1753,AB$1)</f>
        <v>0</v>
      </c>
      <c r="AC20" s="80">
        <f>SUMIFS('май 2024'!$G$4:$G$1753,'май 2024'!$D$4:$D$1753,$B20,'май 2024'!$J$4:$J$1753,AC$1)</f>
        <v>0</v>
      </c>
      <c r="AD20" s="80">
        <f>SUMIFS('май 2024'!$G$4:$G$1753,'май 2024'!$D$4:$D$1753,$B20,'май 2024'!$J$4:$J$1753,AD$1)</f>
        <v>0</v>
      </c>
      <c r="AE20" s="80">
        <f>SUMIFS('май 2024'!$G$4:$G$1753,'май 2024'!$D$4:$D$1753,$B20,'май 2024'!$J$4:$J$1753,AE$1)</f>
        <v>0</v>
      </c>
      <c r="AF20" s="80">
        <f>SUMIFS('май 2024'!$G$4:$G$1753,'май 2024'!$D$4:$D$1753,$B20,'май 2024'!$J$4:$J$1753,AF$1)</f>
        <v>0</v>
      </c>
      <c r="AG20" s="80">
        <f>SUMIFS('май 2024'!$G$4:$G$1753,'май 2024'!$D$4:$D$1753,$B20,'май 2024'!$J$4:$J$1753,AG$1)</f>
        <v>0</v>
      </c>
      <c r="AH20" s="80">
        <f>SUMIFS('май 2024'!$G$4:$G$1753,'май 2024'!$D$4:$D$1753,$B20,'май 2024'!$J$4:$J$1753,AH$1)</f>
        <v>0</v>
      </c>
      <c r="AI20" s="21">
        <f t="shared" si="1"/>
        <v>0</v>
      </c>
    </row>
    <row r="21" spans="2:35" ht="15" customHeight="1" x14ac:dyDescent="0.25">
      <c r="B21" s="81" t="s">
        <v>307</v>
      </c>
      <c r="C21" s="82">
        <v>25</v>
      </c>
      <c r="D21" s="80">
        <f>SUMIFS('май 2024'!$G$4:$G$1753,'май 2024'!$D$4:$D$1753,$B21,'май 2024'!$J$4:$J$1753,D$1)</f>
        <v>0</v>
      </c>
      <c r="E21" s="80">
        <f>SUMIFS('май 2024'!$G$4:$G$1753,'май 2024'!$D$4:$D$1753,$B21,'май 2024'!$J$4:$J$1753,E$1)</f>
        <v>80</v>
      </c>
      <c r="F21" s="80">
        <f>SUMIFS('май 2024'!$G$4:$G$1753,'май 2024'!$D$4:$D$1753,$B21,'май 2024'!$J$4:$J$1753,F$1)</f>
        <v>0</v>
      </c>
      <c r="G21" s="80">
        <f>SUMIFS('май 2024'!$G$4:$G$1753,'май 2024'!$D$4:$D$1753,$B21,'май 2024'!$J$4:$J$1753,G$1)</f>
        <v>0</v>
      </c>
      <c r="H21" s="80">
        <f>SUMIFS('май 2024'!$G$4:$G$1753,'май 2024'!$D$4:$D$1753,$B21,'май 2024'!$J$4:$J$1753,H$1)</f>
        <v>0</v>
      </c>
      <c r="I21" s="80">
        <f>SUMIFS('май 2024'!$G$4:$G$1753,'май 2024'!$D$4:$D$1753,$B21,'май 2024'!$J$4:$J$1753,I$1)</f>
        <v>0</v>
      </c>
      <c r="J21" s="80">
        <f>SUMIFS('май 2024'!$G$4:$G$1753,'май 2024'!$D$4:$D$1753,$B21,'май 2024'!$J$4:$J$1753,J$1)</f>
        <v>0</v>
      </c>
      <c r="K21" s="80">
        <f>SUMIFS('май 2024'!$G$4:$G$1753,'май 2024'!$D$4:$D$1753,$B21,'май 2024'!$J$4:$J$1753,K$1)</f>
        <v>0</v>
      </c>
      <c r="L21" s="80">
        <f>SUMIFS('май 2024'!$G$4:$G$1753,'май 2024'!$D$4:$D$1753,$B21,'май 2024'!$J$4:$J$1753,L$1)</f>
        <v>0</v>
      </c>
      <c r="M21" s="80">
        <f>SUMIFS('май 2024'!$G$4:$G$1753,'май 2024'!$D$4:$D$1753,$B21,'май 2024'!$J$4:$J$1753,M$1)</f>
        <v>0</v>
      </c>
      <c r="N21" s="80">
        <f>SUMIFS('май 2024'!$G$4:$G$1753,'май 2024'!$D$4:$D$1753,$B21,'май 2024'!$J$4:$J$1753,N$1)</f>
        <v>0</v>
      </c>
      <c r="O21" s="80">
        <f>SUMIFS('май 2024'!$G$4:$G$1753,'май 2024'!$D$4:$D$1753,$B21,'май 2024'!$J$4:$J$1753,O$1)</f>
        <v>0</v>
      </c>
      <c r="P21" s="80">
        <f>SUMIFS('май 2024'!$G$4:$G$1753,'май 2024'!$D$4:$D$1753,$B21,'май 2024'!$J$4:$J$1753,P$1)</f>
        <v>0</v>
      </c>
      <c r="Q21" s="80">
        <f>SUMIFS('май 2024'!$G$4:$G$1753,'май 2024'!$D$4:$D$1753,$B21,'май 2024'!$J$4:$J$1753,Q$1)</f>
        <v>0</v>
      </c>
      <c r="R21" s="80">
        <f>SUMIFS('май 2024'!$G$4:$G$1753,'май 2024'!$D$4:$D$1753,$B21,'май 2024'!$J$4:$J$1753,R$1)</f>
        <v>0</v>
      </c>
      <c r="S21" s="80">
        <f>SUMIFS('май 2024'!$G$4:$G$1753,'май 2024'!$D$4:$D$1753,$B21,'май 2024'!$J$4:$J$1753,S$1)</f>
        <v>0</v>
      </c>
      <c r="T21" s="80">
        <f>SUMIFS('май 2024'!$G$4:$G$1753,'май 2024'!$D$4:$D$1753,$B21,'май 2024'!$J$4:$J$1753,T$1)</f>
        <v>0</v>
      </c>
      <c r="U21" s="80">
        <f>SUMIFS('май 2024'!$G$4:$G$1753,'май 2024'!$D$4:$D$1753,$B21,'май 2024'!$J$4:$J$1753,U$1)</f>
        <v>0</v>
      </c>
      <c r="V21" s="80">
        <f>SUMIFS('май 2024'!$G$4:$G$1753,'май 2024'!$D$4:$D$1753,$B21,'май 2024'!$J$4:$J$1753,V$1)</f>
        <v>0</v>
      </c>
      <c r="W21" s="80">
        <f>SUMIFS('май 2024'!$G$4:$G$1753,'май 2024'!$D$4:$D$1753,$B21,'май 2024'!$J$4:$J$1753,W$1)</f>
        <v>0</v>
      </c>
      <c r="X21" s="80">
        <f>SUMIFS('май 2024'!$G$4:$G$1753,'май 2024'!$D$4:$D$1753,$B21,'май 2024'!$J$4:$J$1753,X$1)</f>
        <v>0</v>
      </c>
      <c r="Y21" s="80">
        <f>SUMIFS('май 2024'!$G$4:$G$1753,'май 2024'!$D$4:$D$1753,$B21,'май 2024'!$J$4:$J$1753,Y$1)</f>
        <v>0</v>
      </c>
      <c r="Z21" s="80">
        <f>SUMIFS('май 2024'!$G$4:$G$1753,'май 2024'!$D$4:$D$1753,$B21,'май 2024'!$J$4:$J$1753,Z$1)</f>
        <v>0</v>
      </c>
      <c r="AA21" s="80">
        <f>SUMIFS('май 2024'!$G$4:$G$1753,'май 2024'!$D$4:$D$1753,$B21,'май 2024'!$J$4:$J$1753,AA$1)</f>
        <v>0</v>
      </c>
      <c r="AB21" s="80">
        <f>SUMIFS('май 2024'!$G$4:$G$1753,'май 2024'!$D$4:$D$1753,$B21,'май 2024'!$J$4:$J$1753,AB$1)</f>
        <v>0</v>
      </c>
      <c r="AC21" s="80">
        <f>SUMIFS('май 2024'!$G$4:$G$1753,'май 2024'!$D$4:$D$1753,$B21,'май 2024'!$J$4:$J$1753,AC$1)</f>
        <v>0</v>
      </c>
      <c r="AD21" s="80">
        <f>SUMIFS('май 2024'!$G$4:$G$1753,'май 2024'!$D$4:$D$1753,$B21,'май 2024'!$J$4:$J$1753,AD$1)</f>
        <v>0</v>
      </c>
      <c r="AE21" s="80">
        <f>SUMIFS('май 2024'!$G$4:$G$1753,'май 2024'!$D$4:$D$1753,$B21,'май 2024'!$J$4:$J$1753,AE$1)</f>
        <v>160</v>
      </c>
      <c r="AF21" s="80">
        <f>SUMIFS('май 2024'!$G$4:$G$1753,'май 2024'!$D$4:$D$1753,$B21,'май 2024'!$J$4:$J$1753,AF$1)</f>
        <v>0</v>
      </c>
      <c r="AG21" s="80">
        <f>SUMIFS('май 2024'!$G$4:$G$1753,'май 2024'!$D$4:$D$1753,$B21,'май 2024'!$J$4:$J$1753,AG$1)</f>
        <v>0</v>
      </c>
      <c r="AH21" s="80">
        <f>SUMIFS('май 2024'!$G$4:$G$1753,'май 2024'!$D$4:$D$1753,$B21,'май 2024'!$J$4:$J$1753,AH$1)</f>
        <v>0</v>
      </c>
      <c r="AI21" s="21">
        <f t="shared" si="1"/>
        <v>240</v>
      </c>
    </row>
    <row r="22" spans="2:35" ht="15" customHeight="1" x14ac:dyDescent="0.25">
      <c r="B22" s="81" t="s">
        <v>309</v>
      </c>
      <c r="C22" s="82">
        <v>25</v>
      </c>
      <c r="D22" s="80">
        <f>SUMIFS('май 2024'!$G$4:$G$1753,'май 2024'!$D$4:$D$1753,$B22,'май 2024'!$J$4:$J$1753,D$1)</f>
        <v>0</v>
      </c>
      <c r="E22" s="80">
        <f>SUMIFS('май 2024'!$G$4:$G$1753,'май 2024'!$D$4:$D$1753,$B22,'май 2024'!$J$4:$J$1753,E$1)</f>
        <v>0</v>
      </c>
      <c r="F22" s="80">
        <f>SUMIFS('май 2024'!$G$4:$G$1753,'май 2024'!$D$4:$D$1753,$B22,'май 2024'!$J$4:$J$1753,F$1)</f>
        <v>0</v>
      </c>
      <c r="G22" s="80">
        <f>SUMIFS('май 2024'!$G$4:$G$1753,'май 2024'!$D$4:$D$1753,$B22,'май 2024'!$J$4:$J$1753,G$1)</f>
        <v>0</v>
      </c>
      <c r="H22" s="80">
        <f>SUMIFS('май 2024'!$G$4:$G$1753,'май 2024'!$D$4:$D$1753,$B22,'май 2024'!$J$4:$J$1753,H$1)</f>
        <v>0</v>
      </c>
      <c r="I22" s="80">
        <f>SUMIFS('май 2024'!$G$4:$G$1753,'май 2024'!$D$4:$D$1753,$B22,'май 2024'!$J$4:$J$1753,I$1)</f>
        <v>0</v>
      </c>
      <c r="J22" s="80">
        <f>SUMIFS('май 2024'!$G$4:$G$1753,'май 2024'!$D$4:$D$1753,$B22,'май 2024'!$J$4:$J$1753,J$1)</f>
        <v>0</v>
      </c>
      <c r="K22" s="80">
        <f>SUMIFS('май 2024'!$G$4:$G$1753,'май 2024'!$D$4:$D$1753,$B22,'май 2024'!$J$4:$J$1753,K$1)</f>
        <v>0</v>
      </c>
      <c r="L22" s="80">
        <f>SUMIFS('май 2024'!$G$4:$G$1753,'май 2024'!$D$4:$D$1753,$B22,'май 2024'!$J$4:$J$1753,L$1)</f>
        <v>0</v>
      </c>
      <c r="M22" s="80">
        <f>SUMIFS('май 2024'!$G$4:$G$1753,'май 2024'!$D$4:$D$1753,$B22,'май 2024'!$J$4:$J$1753,M$1)</f>
        <v>0</v>
      </c>
      <c r="N22" s="80">
        <f>SUMIFS('май 2024'!$G$4:$G$1753,'май 2024'!$D$4:$D$1753,$B22,'май 2024'!$J$4:$J$1753,N$1)</f>
        <v>0</v>
      </c>
      <c r="O22" s="80">
        <f>SUMIFS('май 2024'!$G$4:$G$1753,'май 2024'!$D$4:$D$1753,$B22,'май 2024'!$J$4:$J$1753,O$1)</f>
        <v>0</v>
      </c>
      <c r="P22" s="80">
        <f>SUMIFS('май 2024'!$G$4:$G$1753,'май 2024'!$D$4:$D$1753,$B22,'май 2024'!$J$4:$J$1753,P$1)</f>
        <v>0</v>
      </c>
      <c r="Q22" s="80">
        <f>SUMIFS('май 2024'!$G$4:$G$1753,'май 2024'!$D$4:$D$1753,$B22,'май 2024'!$J$4:$J$1753,Q$1)</f>
        <v>0</v>
      </c>
      <c r="R22" s="80">
        <f>SUMIFS('май 2024'!$G$4:$G$1753,'май 2024'!$D$4:$D$1753,$B22,'май 2024'!$J$4:$J$1753,R$1)</f>
        <v>0</v>
      </c>
      <c r="S22" s="80">
        <f>SUMIFS('май 2024'!$G$4:$G$1753,'май 2024'!$D$4:$D$1753,$B22,'май 2024'!$J$4:$J$1753,S$1)</f>
        <v>0</v>
      </c>
      <c r="T22" s="80">
        <f>SUMIFS('май 2024'!$G$4:$G$1753,'май 2024'!$D$4:$D$1753,$B22,'май 2024'!$J$4:$J$1753,T$1)</f>
        <v>0</v>
      </c>
      <c r="U22" s="80">
        <f>SUMIFS('май 2024'!$G$4:$G$1753,'май 2024'!$D$4:$D$1753,$B22,'май 2024'!$J$4:$J$1753,U$1)</f>
        <v>0</v>
      </c>
      <c r="V22" s="80">
        <f>SUMIFS('май 2024'!$G$4:$G$1753,'май 2024'!$D$4:$D$1753,$B22,'май 2024'!$J$4:$J$1753,V$1)</f>
        <v>0</v>
      </c>
      <c r="W22" s="80">
        <f>SUMIFS('май 2024'!$G$4:$G$1753,'май 2024'!$D$4:$D$1753,$B22,'май 2024'!$J$4:$J$1753,W$1)</f>
        <v>0</v>
      </c>
      <c r="X22" s="80">
        <f>SUMIFS('май 2024'!$G$4:$G$1753,'май 2024'!$D$4:$D$1753,$B22,'май 2024'!$J$4:$J$1753,X$1)</f>
        <v>0</v>
      </c>
      <c r="Y22" s="80">
        <f>SUMIFS('май 2024'!$G$4:$G$1753,'май 2024'!$D$4:$D$1753,$B22,'май 2024'!$J$4:$J$1753,Y$1)</f>
        <v>0</v>
      </c>
      <c r="Z22" s="80">
        <f>SUMIFS('май 2024'!$G$4:$G$1753,'май 2024'!$D$4:$D$1753,$B22,'май 2024'!$J$4:$J$1753,Z$1)</f>
        <v>0</v>
      </c>
      <c r="AA22" s="80">
        <f>SUMIFS('май 2024'!$G$4:$G$1753,'май 2024'!$D$4:$D$1753,$B22,'май 2024'!$J$4:$J$1753,AA$1)</f>
        <v>0</v>
      </c>
      <c r="AB22" s="80">
        <f>SUMIFS('май 2024'!$G$4:$G$1753,'май 2024'!$D$4:$D$1753,$B22,'май 2024'!$J$4:$J$1753,AB$1)</f>
        <v>0</v>
      </c>
      <c r="AC22" s="80">
        <f>SUMIFS('май 2024'!$G$4:$G$1753,'май 2024'!$D$4:$D$1753,$B22,'май 2024'!$J$4:$J$1753,AC$1)</f>
        <v>0</v>
      </c>
      <c r="AD22" s="80">
        <f>SUMIFS('май 2024'!$G$4:$G$1753,'май 2024'!$D$4:$D$1753,$B22,'май 2024'!$J$4:$J$1753,AD$1)</f>
        <v>0</v>
      </c>
      <c r="AE22" s="80">
        <f>SUMIFS('май 2024'!$G$4:$G$1753,'май 2024'!$D$4:$D$1753,$B22,'май 2024'!$J$4:$J$1753,AE$1)</f>
        <v>0</v>
      </c>
      <c r="AF22" s="80">
        <f>SUMIFS('май 2024'!$G$4:$G$1753,'май 2024'!$D$4:$D$1753,$B22,'май 2024'!$J$4:$J$1753,AF$1)</f>
        <v>0</v>
      </c>
      <c r="AG22" s="80">
        <f>SUMIFS('май 2024'!$G$4:$G$1753,'май 2024'!$D$4:$D$1753,$B22,'май 2024'!$J$4:$J$1753,AG$1)</f>
        <v>0</v>
      </c>
      <c r="AH22" s="80">
        <f>SUMIFS('май 2024'!$G$4:$G$1753,'май 2024'!$D$4:$D$1753,$B22,'май 2024'!$J$4:$J$1753,AH$1)</f>
        <v>0</v>
      </c>
      <c r="AI22" s="21">
        <f t="shared" si="1"/>
        <v>0</v>
      </c>
    </row>
    <row r="23" spans="2:35" ht="15" customHeight="1" x14ac:dyDescent="0.25">
      <c r="B23" s="84" t="s">
        <v>311</v>
      </c>
      <c r="C23" s="103">
        <v>25</v>
      </c>
      <c r="D23" s="80">
        <f>SUMIFS('май 2024'!$G$4:$G$1753,'май 2024'!$D$4:$D$1753,$B23,'май 2024'!$J$4:$J$1753,D$1)</f>
        <v>0</v>
      </c>
      <c r="E23" s="80">
        <f>SUMIFS('май 2024'!$G$4:$G$1753,'май 2024'!$D$4:$D$1753,$B23,'май 2024'!$J$4:$J$1753,E$1)</f>
        <v>0</v>
      </c>
      <c r="F23" s="80">
        <f>SUMIFS('май 2024'!$G$4:$G$1753,'май 2024'!$D$4:$D$1753,$B23,'май 2024'!$J$4:$J$1753,F$1)</f>
        <v>0</v>
      </c>
      <c r="G23" s="80">
        <f>SUMIFS('май 2024'!$G$4:$G$1753,'май 2024'!$D$4:$D$1753,$B23,'май 2024'!$J$4:$J$1753,G$1)</f>
        <v>0</v>
      </c>
      <c r="H23" s="80">
        <f>SUMIFS('май 2024'!$G$4:$G$1753,'май 2024'!$D$4:$D$1753,$B23,'май 2024'!$J$4:$J$1753,H$1)</f>
        <v>0</v>
      </c>
      <c r="I23" s="80">
        <f>SUMIFS('май 2024'!$G$4:$G$1753,'май 2024'!$D$4:$D$1753,$B23,'май 2024'!$J$4:$J$1753,I$1)</f>
        <v>0</v>
      </c>
      <c r="J23" s="80">
        <f>SUMIFS('май 2024'!$G$4:$G$1753,'май 2024'!$D$4:$D$1753,$B23,'май 2024'!$J$4:$J$1753,J$1)</f>
        <v>0</v>
      </c>
      <c r="K23" s="80">
        <f>SUMIFS('май 2024'!$G$4:$G$1753,'май 2024'!$D$4:$D$1753,$B23,'май 2024'!$J$4:$J$1753,K$1)</f>
        <v>0</v>
      </c>
      <c r="L23" s="80">
        <f>SUMIFS('май 2024'!$G$4:$G$1753,'май 2024'!$D$4:$D$1753,$B23,'май 2024'!$J$4:$J$1753,L$1)</f>
        <v>0</v>
      </c>
      <c r="M23" s="80">
        <f>SUMIFS('май 2024'!$G$4:$G$1753,'май 2024'!$D$4:$D$1753,$B23,'май 2024'!$J$4:$J$1753,M$1)</f>
        <v>0</v>
      </c>
      <c r="N23" s="80">
        <f>SUMIFS('май 2024'!$G$4:$G$1753,'май 2024'!$D$4:$D$1753,$B23,'май 2024'!$J$4:$J$1753,N$1)</f>
        <v>0</v>
      </c>
      <c r="O23" s="80">
        <f>SUMIFS('май 2024'!$G$4:$G$1753,'май 2024'!$D$4:$D$1753,$B23,'май 2024'!$J$4:$J$1753,O$1)</f>
        <v>0</v>
      </c>
      <c r="P23" s="80">
        <f>SUMIFS('май 2024'!$G$4:$G$1753,'май 2024'!$D$4:$D$1753,$B23,'май 2024'!$J$4:$J$1753,P$1)</f>
        <v>0</v>
      </c>
      <c r="Q23" s="80">
        <f>SUMIFS('май 2024'!$G$4:$G$1753,'май 2024'!$D$4:$D$1753,$B23,'май 2024'!$J$4:$J$1753,Q$1)</f>
        <v>0</v>
      </c>
      <c r="R23" s="80">
        <f>SUMIFS('май 2024'!$G$4:$G$1753,'май 2024'!$D$4:$D$1753,$B23,'май 2024'!$J$4:$J$1753,R$1)</f>
        <v>0</v>
      </c>
      <c r="S23" s="80">
        <f>SUMIFS('май 2024'!$G$4:$G$1753,'май 2024'!$D$4:$D$1753,$B23,'май 2024'!$J$4:$J$1753,S$1)</f>
        <v>0</v>
      </c>
      <c r="T23" s="80">
        <f>SUMIFS('май 2024'!$G$4:$G$1753,'май 2024'!$D$4:$D$1753,$B23,'май 2024'!$J$4:$J$1753,T$1)</f>
        <v>0</v>
      </c>
      <c r="U23" s="80">
        <f>SUMIFS('май 2024'!$G$4:$G$1753,'май 2024'!$D$4:$D$1753,$B23,'май 2024'!$J$4:$J$1753,U$1)</f>
        <v>0</v>
      </c>
      <c r="V23" s="80">
        <f>SUMIFS('май 2024'!$G$4:$G$1753,'май 2024'!$D$4:$D$1753,$B23,'май 2024'!$J$4:$J$1753,V$1)</f>
        <v>0</v>
      </c>
      <c r="W23" s="80">
        <f>SUMIFS('май 2024'!$G$4:$G$1753,'май 2024'!$D$4:$D$1753,$B23,'май 2024'!$J$4:$J$1753,W$1)</f>
        <v>0</v>
      </c>
      <c r="X23" s="80">
        <f>SUMIFS('май 2024'!$G$4:$G$1753,'май 2024'!$D$4:$D$1753,$B23,'май 2024'!$J$4:$J$1753,X$1)</f>
        <v>0</v>
      </c>
      <c r="Y23" s="80">
        <f>SUMIFS('май 2024'!$G$4:$G$1753,'май 2024'!$D$4:$D$1753,$B23,'май 2024'!$J$4:$J$1753,Y$1)</f>
        <v>0</v>
      </c>
      <c r="Z23" s="80">
        <f>SUMIFS('май 2024'!$G$4:$G$1753,'май 2024'!$D$4:$D$1753,$B23,'май 2024'!$J$4:$J$1753,Z$1)</f>
        <v>0</v>
      </c>
      <c r="AA23" s="80">
        <f>SUMIFS('май 2024'!$G$4:$G$1753,'май 2024'!$D$4:$D$1753,$B23,'май 2024'!$J$4:$J$1753,AA$1)</f>
        <v>0</v>
      </c>
      <c r="AB23" s="80">
        <f>SUMIFS('май 2024'!$G$4:$G$1753,'май 2024'!$D$4:$D$1753,$B23,'май 2024'!$J$4:$J$1753,AB$1)</f>
        <v>0</v>
      </c>
      <c r="AC23" s="80">
        <f>SUMIFS('май 2024'!$G$4:$G$1753,'май 2024'!$D$4:$D$1753,$B23,'май 2024'!$J$4:$J$1753,AC$1)</f>
        <v>0</v>
      </c>
      <c r="AD23" s="80">
        <f>SUMIFS('май 2024'!$G$4:$G$1753,'май 2024'!$D$4:$D$1753,$B23,'май 2024'!$J$4:$J$1753,AD$1)</f>
        <v>0</v>
      </c>
      <c r="AE23" s="80">
        <f>SUMIFS('май 2024'!$G$4:$G$1753,'май 2024'!$D$4:$D$1753,$B23,'май 2024'!$J$4:$J$1753,AE$1)</f>
        <v>0</v>
      </c>
      <c r="AF23" s="80">
        <f>SUMIFS('май 2024'!$G$4:$G$1753,'май 2024'!$D$4:$D$1753,$B23,'май 2024'!$J$4:$J$1753,AF$1)</f>
        <v>0</v>
      </c>
      <c r="AG23" s="80">
        <f>SUMIFS('май 2024'!$G$4:$G$1753,'май 2024'!$D$4:$D$1753,$B23,'май 2024'!$J$4:$J$1753,AG$1)</f>
        <v>0</v>
      </c>
      <c r="AH23" s="80">
        <f>SUMIFS('май 2024'!$G$4:$G$1753,'май 2024'!$D$4:$D$1753,$B23,'май 2024'!$J$4:$J$1753,AH$1)</f>
        <v>0</v>
      </c>
      <c r="AI23" s="21">
        <f t="shared" si="1"/>
        <v>0</v>
      </c>
    </row>
    <row r="24" spans="2:35" ht="15" customHeight="1" x14ac:dyDescent="0.25">
      <c r="B24" s="84" t="s">
        <v>312</v>
      </c>
      <c r="C24" s="82">
        <v>25</v>
      </c>
      <c r="D24" s="80">
        <f>SUMIFS('май 2024'!$G$4:$G$1753,'май 2024'!$D$4:$D$1753,$B24,'май 2024'!$J$4:$J$1753,D$1)</f>
        <v>0</v>
      </c>
      <c r="E24" s="80">
        <f>SUMIFS('май 2024'!$G$4:$G$1753,'май 2024'!$D$4:$D$1753,$B24,'май 2024'!$J$4:$J$1753,E$1)</f>
        <v>0</v>
      </c>
      <c r="F24" s="80">
        <f>SUMIFS('май 2024'!$G$4:$G$1753,'май 2024'!$D$4:$D$1753,$B24,'май 2024'!$J$4:$J$1753,F$1)</f>
        <v>0</v>
      </c>
      <c r="G24" s="80">
        <f>SUMIFS('май 2024'!$G$4:$G$1753,'май 2024'!$D$4:$D$1753,$B24,'май 2024'!$J$4:$J$1753,G$1)</f>
        <v>0</v>
      </c>
      <c r="H24" s="80">
        <f>SUMIFS('май 2024'!$G$4:$G$1753,'май 2024'!$D$4:$D$1753,$B24,'май 2024'!$J$4:$J$1753,H$1)</f>
        <v>0</v>
      </c>
      <c r="I24" s="80">
        <f>SUMIFS('май 2024'!$G$4:$G$1753,'май 2024'!$D$4:$D$1753,$B24,'май 2024'!$J$4:$J$1753,I$1)</f>
        <v>0</v>
      </c>
      <c r="J24" s="80">
        <f>SUMIFS('май 2024'!$G$4:$G$1753,'май 2024'!$D$4:$D$1753,$B24,'май 2024'!$J$4:$J$1753,J$1)</f>
        <v>0</v>
      </c>
      <c r="K24" s="80">
        <f>SUMIFS('май 2024'!$G$4:$G$1753,'май 2024'!$D$4:$D$1753,$B24,'май 2024'!$J$4:$J$1753,K$1)</f>
        <v>0</v>
      </c>
      <c r="L24" s="80">
        <f>SUMIFS('май 2024'!$G$4:$G$1753,'май 2024'!$D$4:$D$1753,$B24,'май 2024'!$J$4:$J$1753,L$1)</f>
        <v>0</v>
      </c>
      <c r="M24" s="80">
        <f>SUMIFS('май 2024'!$G$4:$G$1753,'май 2024'!$D$4:$D$1753,$B24,'май 2024'!$J$4:$J$1753,M$1)</f>
        <v>0</v>
      </c>
      <c r="N24" s="80">
        <f>SUMIFS('май 2024'!$G$4:$G$1753,'май 2024'!$D$4:$D$1753,$B24,'май 2024'!$J$4:$J$1753,N$1)</f>
        <v>0</v>
      </c>
      <c r="O24" s="80">
        <f>SUMIFS('май 2024'!$G$4:$G$1753,'май 2024'!$D$4:$D$1753,$B24,'май 2024'!$J$4:$J$1753,O$1)</f>
        <v>0</v>
      </c>
      <c r="P24" s="80">
        <f>SUMIFS('май 2024'!$G$4:$G$1753,'май 2024'!$D$4:$D$1753,$B24,'май 2024'!$J$4:$J$1753,P$1)</f>
        <v>0</v>
      </c>
      <c r="Q24" s="80">
        <f>SUMIFS('май 2024'!$G$4:$G$1753,'май 2024'!$D$4:$D$1753,$B24,'май 2024'!$J$4:$J$1753,Q$1)</f>
        <v>0</v>
      </c>
      <c r="R24" s="80">
        <f>SUMIFS('май 2024'!$G$4:$G$1753,'май 2024'!$D$4:$D$1753,$B24,'май 2024'!$J$4:$J$1753,R$1)</f>
        <v>0</v>
      </c>
      <c r="S24" s="80">
        <f>SUMIFS('май 2024'!$G$4:$G$1753,'май 2024'!$D$4:$D$1753,$B24,'май 2024'!$J$4:$J$1753,S$1)</f>
        <v>0</v>
      </c>
      <c r="T24" s="80">
        <f>SUMIFS('май 2024'!$G$4:$G$1753,'май 2024'!$D$4:$D$1753,$B24,'май 2024'!$J$4:$J$1753,T$1)</f>
        <v>0</v>
      </c>
      <c r="U24" s="80">
        <f>SUMIFS('май 2024'!$G$4:$G$1753,'май 2024'!$D$4:$D$1753,$B24,'май 2024'!$J$4:$J$1753,U$1)</f>
        <v>0</v>
      </c>
      <c r="V24" s="80">
        <f>SUMIFS('май 2024'!$G$4:$G$1753,'май 2024'!$D$4:$D$1753,$B24,'май 2024'!$J$4:$J$1753,V$1)</f>
        <v>0</v>
      </c>
      <c r="W24" s="80">
        <f>SUMIFS('май 2024'!$G$4:$G$1753,'май 2024'!$D$4:$D$1753,$B24,'май 2024'!$J$4:$J$1753,W$1)</f>
        <v>0</v>
      </c>
      <c r="X24" s="80">
        <f>SUMIFS('май 2024'!$G$4:$G$1753,'май 2024'!$D$4:$D$1753,$B24,'май 2024'!$J$4:$J$1753,X$1)</f>
        <v>0</v>
      </c>
      <c r="Y24" s="80">
        <f>SUMIFS('май 2024'!$G$4:$G$1753,'май 2024'!$D$4:$D$1753,$B24,'май 2024'!$J$4:$J$1753,Y$1)</f>
        <v>0</v>
      </c>
      <c r="Z24" s="80">
        <f>SUMIFS('май 2024'!$G$4:$G$1753,'май 2024'!$D$4:$D$1753,$B24,'май 2024'!$J$4:$J$1753,Z$1)</f>
        <v>0</v>
      </c>
      <c r="AA24" s="80">
        <f>SUMIFS('май 2024'!$G$4:$G$1753,'май 2024'!$D$4:$D$1753,$B24,'май 2024'!$J$4:$J$1753,AA$1)</f>
        <v>0</v>
      </c>
      <c r="AB24" s="80">
        <f>SUMIFS('май 2024'!$G$4:$G$1753,'май 2024'!$D$4:$D$1753,$B24,'май 2024'!$J$4:$J$1753,AB$1)</f>
        <v>0</v>
      </c>
      <c r="AC24" s="80">
        <f>SUMIFS('май 2024'!$G$4:$G$1753,'май 2024'!$D$4:$D$1753,$B24,'май 2024'!$J$4:$J$1753,AC$1)</f>
        <v>0</v>
      </c>
      <c r="AD24" s="80">
        <f>SUMIFS('май 2024'!$G$4:$G$1753,'май 2024'!$D$4:$D$1753,$B24,'май 2024'!$J$4:$J$1753,AD$1)</f>
        <v>0</v>
      </c>
      <c r="AE24" s="80">
        <f>SUMIFS('май 2024'!$G$4:$G$1753,'май 2024'!$D$4:$D$1753,$B24,'май 2024'!$J$4:$J$1753,AE$1)</f>
        <v>0</v>
      </c>
      <c r="AF24" s="80">
        <f>SUMIFS('май 2024'!$G$4:$G$1753,'май 2024'!$D$4:$D$1753,$B24,'май 2024'!$J$4:$J$1753,AF$1)</f>
        <v>0</v>
      </c>
      <c r="AG24" s="80">
        <f>SUMIFS('май 2024'!$G$4:$G$1753,'май 2024'!$D$4:$D$1753,$B24,'май 2024'!$J$4:$J$1753,AG$1)</f>
        <v>0</v>
      </c>
      <c r="AH24" s="80">
        <f>SUMIFS('май 2024'!$G$4:$G$1753,'май 2024'!$D$4:$D$1753,$B24,'май 2024'!$J$4:$J$1753,AH$1)</f>
        <v>0</v>
      </c>
      <c r="AI24" s="21">
        <f t="shared" si="1"/>
        <v>0</v>
      </c>
    </row>
    <row r="25" spans="2:35" ht="15" customHeight="1" x14ac:dyDescent="0.25">
      <c r="B25" s="84" t="s">
        <v>313</v>
      </c>
      <c r="C25" s="82">
        <v>25</v>
      </c>
      <c r="D25" s="80">
        <f>SUMIFS('май 2024'!$G$4:$G$1753,'май 2024'!$D$4:$D$1753,$B25,'май 2024'!$J$4:$J$1753,D$1)</f>
        <v>0</v>
      </c>
      <c r="E25" s="80">
        <f>SUMIFS('май 2024'!$G$4:$G$1753,'май 2024'!$D$4:$D$1753,$B25,'май 2024'!$J$4:$J$1753,E$1)</f>
        <v>0</v>
      </c>
      <c r="F25" s="80">
        <f>SUMIFS('май 2024'!$G$4:$G$1753,'май 2024'!$D$4:$D$1753,$B25,'май 2024'!$J$4:$J$1753,F$1)</f>
        <v>0</v>
      </c>
      <c r="G25" s="80">
        <f>SUMIFS('май 2024'!$G$4:$G$1753,'май 2024'!$D$4:$D$1753,$B25,'май 2024'!$J$4:$J$1753,G$1)</f>
        <v>0</v>
      </c>
      <c r="H25" s="80">
        <f>SUMIFS('май 2024'!$G$4:$G$1753,'май 2024'!$D$4:$D$1753,$B25,'май 2024'!$J$4:$J$1753,H$1)</f>
        <v>0</v>
      </c>
      <c r="I25" s="80">
        <f>SUMIFS('май 2024'!$G$4:$G$1753,'май 2024'!$D$4:$D$1753,$B25,'май 2024'!$J$4:$J$1753,I$1)</f>
        <v>0</v>
      </c>
      <c r="J25" s="80">
        <f>SUMIFS('май 2024'!$G$4:$G$1753,'май 2024'!$D$4:$D$1753,$B25,'май 2024'!$J$4:$J$1753,J$1)</f>
        <v>0</v>
      </c>
      <c r="K25" s="80">
        <f>SUMIFS('май 2024'!$G$4:$G$1753,'май 2024'!$D$4:$D$1753,$B25,'май 2024'!$J$4:$J$1753,K$1)</f>
        <v>0</v>
      </c>
      <c r="L25" s="80">
        <f>SUMIFS('май 2024'!$G$4:$G$1753,'май 2024'!$D$4:$D$1753,$B25,'май 2024'!$J$4:$J$1753,L$1)</f>
        <v>0</v>
      </c>
      <c r="M25" s="80">
        <f>SUMIFS('май 2024'!$G$4:$G$1753,'май 2024'!$D$4:$D$1753,$B25,'май 2024'!$J$4:$J$1753,M$1)</f>
        <v>0</v>
      </c>
      <c r="N25" s="80">
        <f>SUMIFS('май 2024'!$G$4:$G$1753,'май 2024'!$D$4:$D$1753,$B25,'май 2024'!$J$4:$J$1753,N$1)</f>
        <v>0</v>
      </c>
      <c r="O25" s="80">
        <f>SUMIFS('май 2024'!$G$4:$G$1753,'май 2024'!$D$4:$D$1753,$B25,'май 2024'!$J$4:$J$1753,O$1)</f>
        <v>0</v>
      </c>
      <c r="P25" s="80">
        <f>SUMIFS('май 2024'!$G$4:$G$1753,'май 2024'!$D$4:$D$1753,$B25,'май 2024'!$J$4:$J$1753,P$1)</f>
        <v>0</v>
      </c>
      <c r="Q25" s="80">
        <f>SUMIFS('май 2024'!$G$4:$G$1753,'май 2024'!$D$4:$D$1753,$B25,'май 2024'!$J$4:$J$1753,Q$1)</f>
        <v>0</v>
      </c>
      <c r="R25" s="80">
        <f>SUMIFS('май 2024'!$G$4:$G$1753,'май 2024'!$D$4:$D$1753,$B25,'май 2024'!$J$4:$J$1753,R$1)</f>
        <v>0</v>
      </c>
      <c r="S25" s="80">
        <f>SUMIFS('май 2024'!$G$4:$G$1753,'май 2024'!$D$4:$D$1753,$B25,'май 2024'!$J$4:$J$1753,S$1)</f>
        <v>0</v>
      </c>
      <c r="T25" s="80">
        <f>SUMIFS('май 2024'!$G$4:$G$1753,'май 2024'!$D$4:$D$1753,$B25,'май 2024'!$J$4:$J$1753,T$1)</f>
        <v>0</v>
      </c>
      <c r="U25" s="80">
        <f>SUMIFS('май 2024'!$G$4:$G$1753,'май 2024'!$D$4:$D$1753,$B25,'май 2024'!$J$4:$J$1753,U$1)</f>
        <v>0</v>
      </c>
      <c r="V25" s="80">
        <f>SUMIFS('май 2024'!$G$4:$G$1753,'май 2024'!$D$4:$D$1753,$B25,'май 2024'!$J$4:$J$1753,V$1)</f>
        <v>0</v>
      </c>
      <c r="W25" s="80">
        <f>SUMIFS('май 2024'!$G$4:$G$1753,'май 2024'!$D$4:$D$1753,$B25,'май 2024'!$J$4:$J$1753,W$1)</f>
        <v>0</v>
      </c>
      <c r="X25" s="80">
        <f>SUMIFS('май 2024'!$G$4:$G$1753,'май 2024'!$D$4:$D$1753,$B25,'май 2024'!$J$4:$J$1753,X$1)</f>
        <v>0</v>
      </c>
      <c r="Y25" s="80">
        <f>SUMIFS('май 2024'!$G$4:$G$1753,'май 2024'!$D$4:$D$1753,$B25,'май 2024'!$J$4:$J$1753,Y$1)</f>
        <v>0</v>
      </c>
      <c r="Z25" s="80">
        <f>SUMIFS('май 2024'!$G$4:$G$1753,'май 2024'!$D$4:$D$1753,$B25,'май 2024'!$J$4:$J$1753,Z$1)</f>
        <v>0</v>
      </c>
      <c r="AA25" s="80">
        <f>SUMIFS('май 2024'!$G$4:$G$1753,'май 2024'!$D$4:$D$1753,$B25,'май 2024'!$J$4:$J$1753,AA$1)</f>
        <v>0</v>
      </c>
      <c r="AB25" s="80">
        <f>SUMIFS('май 2024'!$G$4:$G$1753,'май 2024'!$D$4:$D$1753,$B25,'май 2024'!$J$4:$J$1753,AB$1)</f>
        <v>0</v>
      </c>
      <c r="AC25" s="80">
        <f>SUMIFS('май 2024'!$G$4:$G$1753,'май 2024'!$D$4:$D$1753,$B25,'май 2024'!$J$4:$J$1753,AC$1)</f>
        <v>0</v>
      </c>
      <c r="AD25" s="80">
        <f>SUMIFS('май 2024'!$G$4:$G$1753,'май 2024'!$D$4:$D$1753,$B25,'май 2024'!$J$4:$J$1753,AD$1)</f>
        <v>0</v>
      </c>
      <c r="AE25" s="80">
        <f>SUMIFS('май 2024'!$G$4:$G$1753,'май 2024'!$D$4:$D$1753,$B25,'май 2024'!$J$4:$J$1753,AE$1)</f>
        <v>0</v>
      </c>
      <c r="AF25" s="80">
        <f>SUMIFS('май 2024'!$G$4:$G$1753,'май 2024'!$D$4:$D$1753,$B25,'май 2024'!$J$4:$J$1753,AF$1)</f>
        <v>0</v>
      </c>
      <c r="AG25" s="80">
        <f>SUMIFS('май 2024'!$G$4:$G$1753,'май 2024'!$D$4:$D$1753,$B25,'май 2024'!$J$4:$J$1753,AG$1)</f>
        <v>0</v>
      </c>
      <c r="AH25" s="80">
        <f>SUMIFS('май 2024'!$G$4:$G$1753,'май 2024'!$D$4:$D$1753,$B25,'май 2024'!$J$4:$J$1753,AH$1)</f>
        <v>0</v>
      </c>
      <c r="AI25" s="21">
        <f t="shared" si="1"/>
        <v>0</v>
      </c>
    </row>
    <row r="26" spans="2:35" ht="15" customHeight="1" x14ac:dyDescent="0.25">
      <c r="B26" s="84" t="s">
        <v>314</v>
      </c>
      <c r="C26" s="82">
        <v>25</v>
      </c>
      <c r="D26" s="80">
        <f>SUMIFS('май 2024'!$G$4:$G$1753,'май 2024'!$D$4:$D$1753,$B26,'май 2024'!$J$4:$J$1753,D$1)</f>
        <v>0</v>
      </c>
      <c r="E26" s="80">
        <f>SUMIFS('май 2024'!$G$4:$G$1753,'май 2024'!$D$4:$D$1753,$B26,'май 2024'!$J$4:$J$1753,E$1)</f>
        <v>0</v>
      </c>
      <c r="F26" s="80">
        <f>SUMIFS('май 2024'!$G$4:$G$1753,'май 2024'!$D$4:$D$1753,$B26,'май 2024'!$J$4:$J$1753,F$1)</f>
        <v>0</v>
      </c>
      <c r="G26" s="80">
        <f>SUMIFS('май 2024'!$G$4:$G$1753,'май 2024'!$D$4:$D$1753,$B26,'май 2024'!$J$4:$J$1753,G$1)</f>
        <v>0</v>
      </c>
      <c r="H26" s="80">
        <f>SUMIFS('май 2024'!$G$4:$G$1753,'май 2024'!$D$4:$D$1753,$B26,'май 2024'!$J$4:$J$1753,H$1)</f>
        <v>0</v>
      </c>
      <c r="I26" s="80">
        <f>SUMIFS('май 2024'!$G$4:$G$1753,'май 2024'!$D$4:$D$1753,$B26,'май 2024'!$J$4:$J$1753,I$1)</f>
        <v>0</v>
      </c>
      <c r="J26" s="80">
        <f>SUMIFS('май 2024'!$G$4:$G$1753,'май 2024'!$D$4:$D$1753,$B26,'май 2024'!$J$4:$J$1753,J$1)</f>
        <v>0</v>
      </c>
      <c r="K26" s="80">
        <f>SUMIFS('май 2024'!$G$4:$G$1753,'май 2024'!$D$4:$D$1753,$B26,'май 2024'!$J$4:$J$1753,K$1)</f>
        <v>0</v>
      </c>
      <c r="L26" s="80">
        <f>SUMIFS('май 2024'!$G$4:$G$1753,'май 2024'!$D$4:$D$1753,$B26,'май 2024'!$J$4:$J$1753,L$1)</f>
        <v>0</v>
      </c>
      <c r="M26" s="80">
        <f>SUMIFS('май 2024'!$G$4:$G$1753,'май 2024'!$D$4:$D$1753,$B26,'май 2024'!$J$4:$J$1753,M$1)</f>
        <v>0</v>
      </c>
      <c r="N26" s="80">
        <f>SUMIFS('май 2024'!$G$4:$G$1753,'май 2024'!$D$4:$D$1753,$B26,'май 2024'!$J$4:$J$1753,N$1)</f>
        <v>0</v>
      </c>
      <c r="O26" s="80">
        <f>SUMIFS('май 2024'!$G$4:$G$1753,'май 2024'!$D$4:$D$1753,$B26,'май 2024'!$J$4:$J$1753,O$1)</f>
        <v>0</v>
      </c>
      <c r="P26" s="80">
        <f>SUMIFS('май 2024'!$G$4:$G$1753,'май 2024'!$D$4:$D$1753,$B26,'май 2024'!$J$4:$J$1753,P$1)</f>
        <v>0</v>
      </c>
      <c r="Q26" s="80">
        <f>SUMIFS('май 2024'!$G$4:$G$1753,'май 2024'!$D$4:$D$1753,$B26,'май 2024'!$J$4:$J$1753,Q$1)</f>
        <v>0</v>
      </c>
      <c r="R26" s="80">
        <f>SUMIFS('май 2024'!$G$4:$G$1753,'май 2024'!$D$4:$D$1753,$B26,'май 2024'!$J$4:$J$1753,R$1)</f>
        <v>0</v>
      </c>
      <c r="S26" s="80">
        <f>SUMIFS('май 2024'!$G$4:$G$1753,'май 2024'!$D$4:$D$1753,$B26,'май 2024'!$J$4:$J$1753,S$1)</f>
        <v>0</v>
      </c>
      <c r="T26" s="80">
        <f>SUMIFS('май 2024'!$G$4:$G$1753,'май 2024'!$D$4:$D$1753,$B26,'май 2024'!$J$4:$J$1753,T$1)</f>
        <v>0</v>
      </c>
      <c r="U26" s="80">
        <f>SUMIFS('май 2024'!$G$4:$G$1753,'май 2024'!$D$4:$D$1753,$B26,'май 2024'!$J$4:$J$1753,U$1)</f>
        <v>0</v>
      </c>
      <c r="V26" s="80">
        <f>SUMIFS('май 2024'!$G$4:$G$1753,'май 2024'!$D$4:$D$1753,$B26,'май 2024'!$J$4:$J$1753,V$1)</f>
        <v>0</v>
      </c>
      <c r="W26" s="80">
        <f>SUMIFS('май 2024'!$G$4:$G$1753,'май 2024'!$D$4:$D$1753,$B26,'май 2024'!$J$4:$J$1753,W$1)</f>
        <v>0</v>
      </c>
      <c r="X26" s="80">
        <f>SUMIFS('май 2024'!$G$4:$G$1753,'май 2024'!$D$4:$D$1753,$B26,'май 2024'!$J$4:$J$1753,X$1)</f>
        <v>0</v>
      </c>
      <c r="Y26" s="80">
        <f>SUMIFS('май 2024'!$G$4:$G$1753,'май 2024'!$D$4:$D$1753,$B26,'май 2024'!$J$4:$J$1753,Y$1)</f>
        <v>0</v>
      </c>
      <c r="Z26" s="80">
        <f>SUMIFS('май 2024'!$G$4:$G$1753,'май 2024'!$D$4:$D$1753,$B26,'май 2024'!$J$4:$J$1753,Z$1)</f>
        <v>0</v>
      </c>
      <c r="AA26" s="80">
        <f>SUMIFS('май 2024'!$G$4:$G$1753,'май 2024'!$D$4:$D$1753,$B26,'май 2024'!$J$4:$J$1753,AA$1)</f>
        <v>0</v>
      </c>
      <c r="AB26" s="80">
        <f>SUMIFS('май 2024'!$G$4:$G$1753,'май 2024'!$D$4:$D$1753,$B26,'май 2024'!$J$4:$J$1753,AB$1)</f>
        <v>0</v>
      </c>
      <c r="AC26" s="80">
        <f>SUMIFS('май 2024'!$G$4:$G$1753,'май 2024'!$D$4:$D$1753,$B26,'май 2024'!$J$4:$J$1753,AC$1)</f>
        <v>0</v>
      </c>
      <c r="AD26" s="80">
        <f>SUMIFS('май 2024'!$G$4:$G$1753,'май 2024'!$D$4:$D$1753,$B26,'май 2024'!$J$4:$J$1753,AD$1)</f>
        <v>0</v>
      </c>
      <c r="AE26" s="80">
        <f>SUMIFS('май 2024'!$G$4:$G$1753,'май 2024'!$D$4:$D$1753,$B26,'май 2024'!$J$4:$J$1753,AE$1)</f>
        <v>0</v>
      </c>
      <c r="AF26" s="80">
        <f>SUMIFS('май 2024'!$G$4:$G$1753,'май 2024'!$D$4:$D$1753,$B26,'май 2024'!$J$4:$J$1753,AF$1)</f>
        <v>0</v>
      </c>
      <c r="AG26" s="80">
        <f>SUMIFS('май 2024'!$G$4:$G$1753,'май 2024'!$D$4:$D$1753,$B26,'май 2024'!$J$4:$J$1753,AG$1)</f>
        <v>0</v>
      </c>
      <c r="AH26" s="80">
        <f>SUMIFS('май 2024'!$G$4:$G$1753,'май 2024'!$D$4:$D$1753,$B26,'май 2024'!$J$4:$J$1753,AH$1)</f>
        <v>0</v>
      </c>
      <c r="AI26" s="21">
        <f t="shared" si="1"/>
        <v>0</v>
      </c>
    </row>
    <row r="27" spans="2:35" ht="15" customHeight="1" x14ac:dyDescent="0.25">
      <c r="B27" s="84" t="s">
        <v>315</v>
      </c>
      <c r="C27" s="82">
        <v>25</v>
      </c>
      <c r="D27" s="80">
        <f>SUMIFS('май 2024'!$G$4:$G$1753,'май 2024'!$D$4:$D$1753,$B27,'май 2024'!$J$4:$J$1753,D$1)</f>
        <v>0</v>
      </c>
      <c r="E27" s="80">
        <f>SUMIFS('май 2024'!$G$4:$G$1753,'май 2024'!$D$4:$D$1753,$B27,'май 2024'!$J$4:$J$1753,E$1)</f>
        <v>0</v>
      </c>
      <c r="F27" s="80">
        <f>SUMIFS('май 2024'!$G$4:$G$1753,'май 2024'!$D$4:$D$1753,$B27,'май 2024'!$J$4:$J$1753,F$1)</f>
        <v>0</v>
      </c>
      <c r="G27" s="80">
        <f>SUMIFS('май 2024'!$G$4:$G$1753,'май 2024'!$D$4:$D$1753,$B27,'май 2024'!$J$4:$J$1753,G$1)</f>
        <v>0</v>
      </c>
      <c r="H27" s="80">
        <f>SUMIFS('май 2024'!$G$4:$G$1753,'май 2024'!$D$4:$D$1753,$B27,'май 2024'!$J$4:$J$1753,H$1)</f>
        <v>0</v>
      </c>
      <c r="I27" s="80">
        <f>SUMIFS('май 2024'!$G$4:$G$1753,'май 2024'!$D$4:$D$1753,$B27,'май 2024'!$J$4:$J$1753,I$1)</f>
        <v>0</v>
      </c>
      <c r="J27" s="80">
        <f>SUMIFS('май 2024'!$G$4:$G$1753,'май 2024'!$D$4:$D$1753,$B27,'май 2024'!$J$4:$J$1753,J$1)</f>
        <v>0</v>
      </c>
      <c r="K27" s="80">
        <f>SUMIFS('май 2024'!$G$4:$G$1753,'май 2024'!$D$4:$D$1753,$B27,'май 2024'!$J$4:$J$1753,K$1)</f>
        <v>0</v>
      </c>
      <c r="L27" s="80">
        <f>SUMIFS('май 2024'!$G$4:$G$1753,'май 2024'!$D$4:$D$1753,$B27,'май 2024'!$J$4:$J$1753,L$1)</f>
        <v>0</v>
      </c>
      <c r="M27" s="80">
        <f>SUMIFS('май 2024'!$G$4:$G$1753,'май 2024'!$D$4:$D$1753,$B27,'май 2024'!$J$4:$J$1753,M$1)</f>
        <v>0</v>
      </c>
      <c r="N27" s="80">
        <f>SUMIFS('май 2024'!$G$4:$G$1753,'май 2024'!$D$4:$D$1753,$B27,'май 2024'!$J$4:$J$1753,N$1)</f>
        <v>0</v>
      </c>
      <c r="O27" s="80">
        <f>SUMIFS('май 2024'!$G$4:$G$1753,'май 2024'!$D$4:$D$1753,$B27,'май 2024'!$J$4:$J$1753,O$1)</f>
        <v>0</v>
      </c>
      <c r="P27" s="80">
        <f>SUMIFS('май 2024'!$G$4:$G$1753,'май 2024'!$D$4:$D$1753,$B27,'май 2024'!$J$4:$J$1753,P$1)</f>
        <v>0</v>
      </c>
      <c r="Q27" s="80">
        <f>SUMIFS('май 2024'!$G$4:$G$1753,'май 2024'!$D$4:$D$1753,$B27,'май 2024'!$J$4:$J$1753,Q$1)</f>
        <v>0</v>
      </c>
      <c r="R27" s="80">
        <f>SUMIFS('май 2024'!$G$4:$G$1753,'май 2024'!$D$4:$D$1753,$B27,'май 2024'!$J$4:$J$1753,R$1)</f>
        <v>0</v>
      </c>
      <c r="S27" s="80">
        <f>SUMIFS('май 2024'!$G$4:$G$1753,'май 2024'!$D$4:$D$1753,$B27,'май 2024'!$J$4:$J$1753,S$1)</f>
        <v>0</v>
      </c>
      <c r="T27" s="80">
        <f>SUMIFS('май 2024'!$G$4:$G$1753,'май 2024'!$D$4:$D$1753,$B27,'май 2024'!$J$4:$J$1753,T$1)</f>
        <v>0</v>
      </c>
      <c r="U27" s="80">
        <f>SUMIFS('май 2024'!$G$4:$G$1753,'май 2024'!$D$4:$D$1753,$B27,'май 2024'!$J$4:$J$1753,U$1)</f>
        <v>0</v>
      </c>
      <c r="V27" s="80">
        <f>SUMIFS('май 2024'!$G$4:$G$1753,'май 2024'!$D$4:$D$1753,$B27,'май 2024'!$J$4:$J$1753,V$1)</f>
        <v>0</v>
      </c>
      <c r="W27" s="80">
        <f>SUMIFS('май 2024'!$G$4:$G$1753,'май 2024'!$D$4:$D$1753,$B27,'май 2024'!$J$4:$J$1753,W$1)</f>
        <v>0</v>
      </c>
      <c r="X27" s="80">
        <f>SUMIFS('май 2024'!$G$4:$G$1753,'май 2024'!$D$4:$D$1753,$B27,'май 2024'!$J$4:$J$1753,X$1)</f>
        <v>0</v>
      </c>
      <c r="Y27" s="80">
        <f>SUMIFS('май 2024'!$G$4:$G$1753,'май 2024'!$D$4:$D$1753,$B27,'май 2024'!$J$4:$J$1753,Y$1)</f>
        <v>0</v>
      </c>
      <c r="Z27" s="80">
        <f>SUMIFS('май 2024'!$G$4:$G$1753,'май 2024'!$D$4:$D$1753,$B27,'май 2024'!$J$4:$J$1753,Z$1)</f>
        <v>0</v>
      </c>
      <c r="AA27" s="80">
        <f>SUMIFS('май 2024'!$G$4:$G$1753,'май 2024'!$D$4:$D$1753,$B27,'май 2024'!$J$4:$J$1753,AA$1)</f>
        <v>0</v>
      </c>
      <c r="AB27" s="80">
        <f>SUMIFS('май 2024'!$G$4:$G$1753,'май 2024'!$D$4:$D$1753,$B27,'май 2024'!$J$4:$J$1753,AB$1)</f>
        <v>0</v>
      </c>
      <c r="AC27" s="80">
        <f>SUMIFS('май 2024'!$G$4:$G$1753,'май 2024'!$D$4:$D$1753,$B27,'май 2024'!$J$4:$J$1753,AC$1)</f>
        <v>0</v>
      </c>
      <c r="AD27" s="80">
        <f>SUMIFS('май 2024'!$G$4:$G$1753,'май 2024'!$D$4:$D$1753,$B27,'май 2024'!$J$4:$J$1753,AD$1)</f>
        <v>0</v>
      </c>
      <c r="AE27" s="80">
        <f>SUMIFS('май 2024'!$G$4:$G$1753,'май 2024'!$D$4:$D$1753,$B27,'май 2024'!$J$4:$J$1753,AE$1)</f>
        <v>0</v>
      </c>
      <c r="AF27" s="80">
        <f>SUMIFS('май 2024'!$G$4:$G$1753,'май 2024'!$D$4:$D$1753,$B27,'май 2024'!$J$4:$J$1753,AF$1)</f>
        <v>0</v>
      </c>
      <c r="AG27" s="80">
        <f>SUMIFS('май 2024'!$G$4:$G$1753,'май 2024'!$D$4:$D$1753,$B27,'май 2024'!$J$4:$J$1753,AG$1)</f>
        <v>0</v>
      </c>
      <c r="AH27" s="80">
        <f>SUMIFS('май 2024'!$G$4:$G$1753,'май 2024'!$D$4:$D$1753,$B27,'май 2024'!$J$4:$J$1753,AH$1)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80">
        <f>SUMIFS('май 2024'!$G$4:$G$1753,'май 2024'!$D$4:$D$1753,$B28,'май 2024'!$J$4:$J$1753,D$1)</f>
        <v>0</v>
      </c>
      <c r="E28" s="80">
        <f>SUMIFS('май 2024'!$G$4:$G$1753,'май 2024'!$D$4:$D$1753,$B28,'май 2024'!$J$4:$J$1753,E$1)</f>
        <v>0</v>
      </c>
      <c r="F28" s="80">
        <f>SUMIFS('май 2024'!$G$4:$G$1753,'май 2024'!$D$4:$D$1753,$B28,'май 2024'!$J$4:$J$1753,F$1)</f>
        <v>0</v>
      </c>
      <c r="G28" s="80">
        <f>SUMIFS('май 2024'!$G$4:$G$1753,'май 2024'!$D$4:$D$1753,$B28,'май 2024'!$J$4:$J$1753,G$1)</f>
        <v>0</v>
      </c>
      <c r="H28" s="80">
        <f>SUMIFS('май 2024'!$G$4:$G$1753,'май 2024'!$D$4:$D$1753,$B28,'май 2024'!$J$4:$J$1753,H$1)</f>
        <v>0</v>
      </c>
      <c r="I28" s="80">
        <f>SUMIFS('май 2024'!$G$4:$G$1753,'май 2024'!$D$4:$D$1753,$B28,'май 2024'!$J$4:$J$1753,I$1)</f>
        <v>0</v>
      </c>
      <c r="J28" s="80">
        <f>SUMIFS('май 2024'!$G$4:$G$1753,'май 2024'!$D$4:$D$1753,$B28,'май 2024'!$J$4:$J$1753,J$1)</f>
        <v>0</v>
      </c>
      <c r="K28" s="80">
        <f>SUMIFS('май 2024'!$G$4:$G$1753,'май 2024'!$D$4:$D$1753,$B28,'май 2024'!$J$4:$J$1753,K$1)</f>
        <v>0</v>
      </c>
      <c r="L28" s="80">
        <f>SUMIFS('май 2024'!$G$4:$G$1753,'май 2024'!$D$4:$D$1753,$B28,'май 2024'!$J$4:$J$1753,L$1)</f>
        <v>0</v>
      </c>
      <c r="M28" s="80">
        <f>SUMIFS('май 2024'!$G$4:$G$1753,'май 2024'!$D$4:$D$1753,$B28,'май 2024'!$J$4:$J$1753,M$1)</f>
        <v>0</v>
      </c>
      <c r="N28" s="80">
        <f>SUMIFS('май 2024'!$G$4:$G$1753,'май 2024'!$D$4:$D$1753,$B28,'май 2024'!$J$4:$J$1753,N$1)</f>
        <v>0</v>
      </c>
      <c r="O28" s="80">
        <f>SUMIFS('май 2024'!$G$4:$G$1753,'май 2024'!$D$4:$D$1753,$B28,'май 2024'!$J$4:$J$1753,O$1)</f>
        <v>0</v>
      </c>
      <c r="P28" s="80">
        <f>SUMIFS('май 2024'!$G$4:$G$1753,'май 2024'!$D$4:$D$1753,$B28,'май 2024'!$J$4:$J$1753,P$1)</f>
        <v>0</v>
      </c>
      <c r="Q28" s="80">
        <f>SUMIFS('май 2024'!$G$4:$G$1753,'май 2024'!$D$4:$D$1753,$B28,'май 2024'!$J$4:$J$1753,Q$1)</f>
        <v>0</v>
      </c>
      <c r="R28" s="80">
        <f>SUMIFS('май 2024'!$G$4:$G$1753,'май 2024'!$D$4:$D$1753,$B28,'май 2024'!$J$4:$J$1753,R$1)</f>
        <v>0</v>
      </c>
      <c r="S28" s="80">
        <f>SUMIFS('май 2024'!$G$4:$G$1753,'май 2024'!$D$4:$D$1753,$B28,'май 2024'!$J$4:$J$1753,S$1)</f>
        <v>0</v>
      </c>
      <c r="T28" s="80">
        <f>SUMIFS('май 2024'!$G$4:$G$1753,'май 2024'!$D$4:$D$1753,$B28,'май 2024'!$J$4:$J$1753,T$1)</f>
        <v>0</v>
      </c>
      <c r="U28" s="80">
        <f>SUMIFS('май 2024'!$G$4:$G$1753,'май 2024'!$D$4:$D$1753,$B28,'май 2024'!$J$4:$J$1753,U$1)</f>
        <v>0</v>
      </c>
      <c r="V28" s="80">
        <f>SUMIFS('май 2024'!$G$4:$G$1753,'май 2024'!$D$4:$D$1753,$B28,'май 2024'!$J$4:$J$1753,V$1)</f>
        <v>0</v>
      </c>
      <c r="W28" s="80">
        <f>SUMIFS('май 2024'!$G$4:$G$1753,'май 2024'!$D$4:$D$1753,$B28,'май 2024'!$J$4:$J$1753,W$1)</f>
        <v>0</v>
      </c>
      <c r="X28" s="80">
        <f>SUMIFS('май 2024'!$G$4:$G$1753,'май 2024'!$D$4:$D$1753,$B28,'май 2024'!$J$4:$J$1753,X$1)</f>
        <v>0</v>
      </c>
      <c r="Y28" s="80">
        <f>SUMIFS('май 2024'!$G$4:$G$1753,'май 2024'!$D$4:$D$1753,$B28,'май 2024'!$J$4:$J$1753,Y$1)</f>
        <v>0</v>
      </c>
      <c r="Z28" s="80">
        <f>SUMIFS('май 2024'!$G$4:$G$1753,'май 2024'!$D$4:$D$1753,$B28,'май 2024'!$J$4:$J$1753,Z$1)</f>
        <v>0</v>
      </c>
      <c r="AA28" s="80">
        <f>SUMIFS('май 2024'!$G$4:$G$1753,'май 2024'!$D$4:$D$1753,$B28,'май 2024'!$J$4:$J$1753,AA$1)</f>
        <v>0</v>
      </c>
      <c r="AB28" s="80">
        <f>SUMIFS('май 2024'!$G$4:$G$1753,'май 2024'!$D$4:$D$1753,$B28,'май 2024'!$J$4:$J$1753,AB$1)</f>
        <v>0</v>
      </c>
      <c r="AC28" s="80">
        <f>SUMIFS('май 2024'!$G$4:$G$1753,'май 2024'!$D$4:$D$1753,$B28,'май 2024'!$J$4:$J$1753,AC$1)</f>
        <v>0</v>
      </c>
      <c r="AD28" s="80">
        <f>SUMIFS('май 2024'!$G$4:$G$1753,'май 2024'!$D$4:$D$1753,$B28,'май 2024'!$J$4:$J$1753,AD$1)</f>
        <v>0</v>
      </c>
      <c r="AE28" s="80">
        <f>SUMIFS('май 2024'!$G$4:$G$1753,'май 2024'!$D$4:$D$1753,$B28,'май 2024'!$J$4:$J$1753,AE$1)</f>
        <v>0</v>
      </c>
      <c r="AF28" s="80">
        <f>SUMIFS('май 2024'!$G$4:$G$1753,'май 2024'!$D$4:$D$1753,$B28,'май 2024'!$J$4:$J$1753,AF$1)</f>
        <v>0</v>
      </c>
      <c r="AG28" s="80">
        <f>SUMIFS('май 2024'!$G$4:$G$1753,'май 2024'!$D$4:$D$1753,$B28,'май 2024'!$J$4:$J$1753,AG$1)</f>
        <v>0</v>
      </c>
      <c r="AH28" s="80">
        <f>SUMIFS('май 2024'!$G$4:$G$1753,'май 2024'!$D$4:$D$1753,$B28,'май 2024'!$J$4:$J$1753,AH$1)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80">
        <f>SUMIFS('май 2024'!$G$4:$G$1753,'май 2024'!$D$4:$D$1753,$B29,'май 2024'!$J$4:$J$1753,D$1)</f>
        <v>0</v>
      </c>
      <c r="E29" s="80">
        <f>SUMIFS('май 2024'!$G$4:$G$1753,'май 2024'!$D$4:$D$1753,$B29,'май 2024'!$J$4:$J$1753,E$1)</f>
        <v>0</v>
      </c>
      <c r="F29" s="80">
        <f>SUMIFS('май 2024'!$G$4:$G$1753,'май 2024'!$D$4:$D$1753,$B29,'май 2024'!$J$4:$J$1753,F$1)</f>
        <v>0</v>
      </c>
      <c r="G29" s="80">
        <f>SUMIFS('май 2024'!$G$4:$G$1753,'май 2024'!$D$4:$D$1753,$B29,'май 2024'!$J$4:$J$1753,G$1)</f>
        <v>0</v>
      </c>
      <c r="H29" s="80">
        <f>SUMIFS('май 2024'!$G$4:$G$1753,'май 2024'!$D$4:$D$1753,$B29,'май 2024'!$J$4:$J$1753,H$1)</f>
        <v>0</v>
      </c>
      <c r="I29" s="80">
        <f>SUMIFS('май 2024'!$G$4:$G$1753,'май 2024'!$D$4:$D$1753,$B29,'май 2024'!$J$4:$J$1753,I$1)</f>
        <v>0</v>
      </c>
      <c r="J29" s="80">
        <f>SUMIFS('май 2024'!$G$4:$G$1753,'май 2024'!$D$4:$D$1753,$B29,'май 2024'!$J$4:$J$1753,J$1)</f>
        <v>0</v>
      </c>
      <c r="K29" s="80">
        <f>SUMIFS('май 2024'!$G$4:$G$1753,'май 2024'!$D$4:$D$1753,$B29,'май 2024'!$J$4:$J$1753,K$1)</f>
        <v>0</v>
      </c>
      <c r="L29" s="80">
        <f>SUMIFS('май 2024'!$G$4:$G$1753,'май 2024'!$D$4:$D$1753,$B29,'май 2024'!$J$4:$J$1753,L$1)</f>
        <v>0</v>
      </c>
      <c r="M29" s="80">
        <f>SUMIFS('май 2024'!$G$4:$G$1753,'май 2024'!$D$4:$D$1753,$B29,'май 2024'!$J$4:$J$1753,M$1)</f>
        <v>0</v>
      </c>
      <c r="N29" s="80">
        <f>SUMIFS('май 2024'!$G$4:$G$1753,'май 2024'!$D$4:$D$1753,$B29,'май 2024'!$J$4:$J$1753,N$1)</f>
        <v>0</v>
      </c>
      <c r="O29" s="80">
        <f>SUMIFS('май 2024'!$G$4:$G$1753,'май 2024'!$D$4:$D$1753,$B29,'май 2024'!$J$4:$J$1753,O$1)</f>
        <v>0</v>
      </c>
      <c r="P29" s="80">
        <f>SUMIFS('май 2024'!$G$4:$G$1753,'май 2024'!$D$4:$D$1753,$B29,'май 2024'!$J$4:$J$1753,P$1)</f>
        <v>0</v>
      </c>
      <c r="Q29" s="80">
        <f>SUMIFS('май 2024'!$G$4:$G$1753,'май 2024'!$D$4:$D$1753,$B29,'май 2024'!$J$4:$J$1753,Q$1)</f>
        <v>0</v>
      </c>
      <c r="R29" s="80">
        <f>SUMIFS('май 2024'!$G$4:$G$1753,'май 2024'!$D$4:$D$1753,$B29,'май 2024'!$J$4:$J$1753,R$1)</f>
        <v>0</v>
      </c>
      <c r="S29" s="80">
        <f>SUMIFS('май 2024'!$G$4:$G$1753,'май 2024'!$D$4:$D$1753,$B29,'май 2024'!$J$4:$J$1753,S$1)</f>
        <v>0</v>
      </c>
      <c r="T29" s="80">
        <f>SUMIFS('май 2024'!$G$4:$G$1753,'май 2024'!$D$4:$D$1753,$B29,'май 2024'!$J$4:$J$1753,T$1)</f>
        <v>0</v>
      </c>
      <c r="U29" s="80">
        <f>SUMIFS('май 2024'!$G$4:$G$1753,'май 2024'!$D$4:$D$1753,$B29,'май 2024'!$J$4:$J$1753,U$1)</f>
        <v>0</v>
      </c>
      <c r="V29" s="80">
        <f>SUMIFS('май 2024'!$G$4:$G$1753,'май 2024'!$D$4:$D$1753,$B29,'май 2024'!$J$4:$J$1753,V$1)</f>
        <v>0</v>
      </c>
      <c r="W29" s="80">
        <f>SUMIFS('май 2024'!$G$4:$G$1753,'май 2024'!$D$4:$D$1753,$B29,'май 2024'!$J$4:$J$1753,W$1)</f>
        <v>0</v>
      </c>
      <c r="X29" s="80">
        <f>SUMIFS('май 2024'!$G$4:$G$1753,'май 2024'!$D$4:$D$1753,$B29,'май 2024'!$J$4:$J$1753,X$1)</f>
        <v>0</v>
      </c>
      <c r="Y29" s="80">
        <f>SUMIFS('май 2024'!$G$4:$G$1753,'май 2024'!$D$4:$D$1753,$B29,'май 2024'!$J$4:$J$1753,Y$1)</f>
        <v>0</v>
      </c>
      <c r="Z29" s="80">
        <f>SUMIFS('май 2024'!$G$4:$G$1753,'май 2024'!$D$4:$D$1753,$B29,'май 2024'!$J$4:$J$1753,Z$1)</f>
        <v>0</v>
      </c>
      <c r="AA29" s="80">
        <f>SUMIFS('май 2024'!$G$4:$G$1753,'май 2024'!$D$4:$D$1753,$B29,'май 2024'!$J$4:$J$1753,AA$1)</f>
        <v>0</v>
      </c>
      <c r="AB29" s="80">
        <f>SUMIFS('май 2024'!$G$4:$G$1753,'май 2024'!$D$4:$D$1753,$B29,'май 2024'!$J$4:$J$1753,AB$1)</f>
        <v>0</v>
      </c>
      <c r="AC29" s="80">
        <f>SUMIFS('май 2024'!$G$4:$G$1753,'май 2024'!$D$4:$D$1753,$B29,'май 2024'!$J$4:$J$1753,AC$1)</f>
        <v>0</v>
      </c>
      <c r="AD29" s="80">
        <f>SUMIFS('май 2024'!$G$4:$G$1753,'май 2024'!$D$4:$D$1753,$B29,'май 2024'!$J$4:$J$1753,AD$1)</f>
        <v>0</v>
      </c>
      <c r="AE29" s="80">
        <f>SUMIFS('май 2024'!$G$4:$G$1753,'май 2024'!$D$4:$D$1753,$B29,'май 2024'!$J$4:$J$1753,AE$1)</f>
        <v>0</v>
      </c>
      <c r="AF29" s="80">
        <f>SUMIFS('май 2024'!$G$4:$G$1753,'май 2024'!$D$4:$D$1753,$B29,'май 2024'!$J$4:$J$1753,AF$1)</f>
        <v>0</v>
      </c>
      <c r="AG29" s="80">
        <f>SUMIFS('май 2024'!$G$4:$G$1753,'май 2024'!$D$4:$D$1753,$B29,'май 2024'!$J$4:$J$1753,AG$1)</f>
        <v>0</v>
      </c>
      <c r="AH29" s="80">
        <f>SUMIFS('май 2024'!$G$4:$G$1753,'май 2024'!$D$4:$D$1753,$B29,'май 2024'!$J$4:$J$1753,AH$1)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SUMIFS('май 2024'!$G$4:$G$1753,'май 2024'!$D$4:$D$1753,$B30,'май 2024'!$J$4:$J$1753,D$1)</f>
        <v>0</v>
      </c>
      <c r="E30" s="80">
        <f>SUMIFS('май 2024'!$G$4:$G$1753,'май 2024'!$D$4:$D$1753,$B30,'май 2024'!$J$4:$J$1753,E$1)</f>
        <v>0</v>
      </c>
      <c r="F30" s="80">
        <f>SUMIFS('май 2024'!$G$4:$G$1753,'май 2024'!$D$4:$D$1753,$B30,'май 2024'!$J$4:$J$1753,F$1)</f>
        <v>0</v>
      </c>
      <c r="G30" s="80">
        <f>SUMIFS('май 2024'!$G$4:$G$1753,'май 2024'!$D$4:$D$1753,$B30,'май 2024'!$J$4:$J$1753,G$1)</f>
        <v>0</v>
      </c>
      <c r="H30" s="80">
        <f>SUMIFS('май 2024'!$G$4:$G$1753,'май 2024'!$D$4:$D$1753,$B30,'май 2024'!$J$4:$J$1753,H$1)</f>
        <v>0</v>
      </c>
      <c r="I30" s="80">
        <f>SUMIFS('май 2024'!$G$4:$G$1753,'май 2024'!$D$4:$D$1753,$B30,'май 2024'!$J$4:$J$1753,I$1)</f>
        <v>0</v>
      </c>
      <c r="J30" s="80">
        <f>SUMIFS('май 2024'!$G$4:$G$1753,'май 2024'!$D$4:$D$1753,$B30,'май 2024'!$J$4:$J$1753,J$1)</f>
        <v>0</v>
      </c>
      <c r="K30" s="80">
        <f>SUMIFS('май 2024'!$G$4:$G$1753,'май 2024'!$D$4:$D$1753,$B30,'май 2024'!$J$4:$J$1753,K$1)</f>
        <v>0</v>
      </c>
      <c r="L30" s="80">
        <f>SUMIFS('май 2024'!$G$4:$G$1753,'май 2024'!$D$4:$D$1753,$B30,'май 2024'!$J$4:$J$1753,L$1)</f>
        <v>0</v>
      </c>
      <c r="M30" s="80">
        <f>SUMIFS('май 2024'!$G$4:$G$1753,'май 2024'!$D$4:$D$1753,$B30,'май 2024'!$J$4:$J$1753,M$1)</f>
        <v>0</v>
      </c>
      <c r="N30" s="80">
        <f>SUMIFS('май 2024'!$G$4:$G$1753,'май 2024'!$D$4:$D$1753,$B30,'май 2024'!$J$4:$J$1753,N$1)</f>
        <v>0</v>
      </c>
      <c r="O30" s="80">
        <f>SUMIFS('май 2024'!$G$4:$G$1753,'май 2024'!$D$4:$D$1753,$B30,'май 2024'!$J$4:$J$1753,O$1)</f>
        <v>0</v>
      </c>
      <c r="P30" s="80">
        <f>SUMIFS('май 2024'!$G$4:$G$1753,'май 2024'!$D$4:$D$1753,$B30,'май 2024'!$J$4:$J$1753,P$1)</f>
        <v>0</v>
      </c>
      <c r="Q30" s="80">
        <f>SUMIFS('май 2024'!$G$4:$G$1753,'май 2024'!$D$4:$D$1753,$B30,'май 2024'!$J$4:$J$1753,Q$1)</f>
        <v>0</v>
      </c>
      <c r="R30" s="80">
        <f>SUMIFS('май 2024'!$G$4:$G$1753,'май 2024'!$D$4:$D$1753,$B30,'май 2024'!$J$4:$J$1753,R$1)</f>
        <v>0</v>
      </c>
      <c r="S30" s="80">
        <f>SUMIFS('май 2024'!$G$4:$G$1753,'май 2024'!$D$4:$D$1753,$B30,'май 2024'!$J$4:$J$1753,S$1)</f>
        <v>0</v>
      </c>
      <c r="T30" s="80">
        <f>SUMIFS('май 2024'!$G$4:$G$1753,'май 2024'!$D$4:$D$1753,$B30,'май 2024'!$J$4:$J$1753,T$1)</f>
        <v>0</v>
      </c>
      <c r="U30" s="80">
        <f>SUMIFS('май 2024'!$G$4:$G$1753,'май 2024'!$D$4:$D$1753,$B30,'май 2024'!$J$4:$J$1753,U$1)</f>
        <v>0</v>
      </c>
      <c r="V30" s="80">
        <f>SUMIFS('май 2024'!$G$4:$G$1753,'май 2024'!$D$4:$D$1753,$B30,'май 2024'!$J$4:$J$1753,V$1)</f>
        <v>0</v>
      </c>
      <c r="W30" s="80">
        <f>SUMIFS('май 2024'!$G$4:$G$1753,'май 2024'!$D$4:$D$1753,$B30,'май 2024'!$J$4:$J$1753,W$1)</f>
        <v>0</v>
      </c>
      <c r="X30" s="80">
        <f>SUMIFS('май 2024'!$G$4:$G$1753,'май 2024'!$D$4:$D$1753,$B30,'май 2024'!$J$4:$J$1753,X$1)</f>
        <v>0</v>
      </c>
      <c r="Y30" s="80">
        <f>SUMIFS('май 2024'!$G$4:$G$1753,'май 2024'!$D$4:$D$1753,$B30,'май 2024'!$J$4:$J$1753,Y$1)</f>
        <v>0</v>
      </c>
      <c r="Z30" s="80">
        <f>SUMIFS('май 2024'!$G$4:$G$1753,'май 2024'!$D$4:$D$1753,$B30,'май 2024'!$J$4:$J$1753,Z$1)</f>
        <v>0</v>
      </c>
      <c r="AA30" s="80">
        <f>SUMIFS('май 2024'!$G$4:$G$1753,'май 2024'!$D$4:$D$1753,$B30,'май 2024'!$J$4:$J$1753,AA$1)</f>
        <v>0</v>
      </c>
      <c r="AB30" s="80">
        <f>SUMIFS('май 2024'!$G$4:$G$1753,'май 2024'!$D$4:$D$1753,$B30,'май 2024'!$J$4:$J$1753,AB$1)</f>
        <v>0</v>
      </c>
      <c r="AC30" s="80">
        <f>SUMIFS('май 2024'!$G$4:$G$1753,'май 2024'!$D$4:$D$1753,$B30,'май 2024'!$J$4:$J$1753,AC$1)</f>
        <v>0</v>
      </c>
      <c r="AD30" s="80">
        <f>SUMIFS('май 2024'!$G$4:$G$1753,'май 2024'!$D$4:$D$1753,$B30,'май 2024'!$J$4:$J$1753,AD$1)</f>
        <v>0</v>
      </c>
      <c r="AE30" s="80">
        <f>SUMIFS('май 2024'!$G$4:$G$1753,'май 2024'!$D$4:$D$1753,$B30,'май 2024'!$J$4:$J$1753,AE$1)</f>
        <v>0</v>
      </c>
      <c r="AF30" s="80">
        <f>SUMIFS('май 2024'!$G$4:$G$1753,'май 2024'!$D$4:$D$1753,$B30,'май 2024'!$J$4:$J$1753,AF$1)</f>
        <v>0</v>
      </c>
      <c r="AG30" s="80">
        <f>SUMIFS('май 2024'!$G$4:$G$1753,'май 2024'!$D$4:$D$1753,$B30,'май 2024'!$J$4:$J$1753,AG$1)</f>
        <v>0</v>
      </c>
      <c r="AH30" s="80">
        <f>SUMIFS('май 2024'!$G$4:$G$1753,'май 2024'!$D$4:$D$1753,$B30,'май 2024'!$J$4:$J$1753,AH$1)</f>
        <v>0</v>
      </c>
      <c r="AI30" s="21">
        <f t="shared" si="1"/>
        <v>0</v>
      </c>
    </row>
    <row r="31" spans="2:35" ht="15" customHeight="1" x14ac:dyDescent="0.25">
      <c r="B31" s="84"/>
      <c r="C31" s="82"/>
      <c r="D31" s="80">
        <f>SUMIFS('май 2024'!$G$4:$G$1753,'май 2024'!$D$4:$D$1753,$B31,'май 2024'!$J$4:$J$1753,D$1)</f>
        <v>0</v>
      </c>
      <c r="E31" s="80">
        <f>SUMIFS('май 2024'!$G$4:$G$1753,'май 2024'!$D$4:$D$1753,$B31,'май 2024'!$J$4:$J$1753,E$1)</f>
        <v>0</v>
      </c>
      <c r="F31" s="80">
        <f>SUMIFS('май 2024'!$G$4:$G$1753,'май 2024'!$D$4:$D$1753,$B31,'май 2024'!$J$4:$J$1753,F$1)</f>
        <v>0</v>
      </c>
      <c r="G31" s="80">
        <f>SUMIFS('май 2024'!$G$4:$G$1753,'май 2024'!$D$4:$D$1753,$B31,'май 2024'!$J$4:$J$1753,G$1)</f>
        <v>0</v>
      </c>
      <c r="H31" s="80">
        <f>SUMIFS('май 2024'!$G$4:$G$1753,'май 2024'!$D$4:$D$1753,$B31,'май 2024'!$J$4:$J$1753,H$1)</f>
        <v>0</v>
      </c>
      <c r="I31" s="80">
        <f>SUMIFS('май 2024'!$G$4:$G$1753,'май 2024'!$D$4:$D$1753,$B31,'май 2024'!$J$4:$J$1753,I$1)</f>
        <v>0</v>
      </c>
      <c r="J31" s="80">
        <f>SUMIFS('май 2024'!$G$4:$G$1753,'май 2024'!$D$4:$D$1753,$B31,'май 2024'!$J$4:$J$1753,J$1)</f>
        <v>0</v>
      </c>
      <c r="K31" s="80">
        <f>SUMIFS('май 2024'!$G$4:$G$1753,'май 2024'!$D$4:$D$1753,$B31,'май 2024'!$J$4:$J$1753,K$1)</f>
        <v>0</v>
      </c>
      <c r="L31" s="80">
        <f>SUMIFS('май 2024'!$G$4:$G$1753,'май 2024'!$D$4:$D$1753,$B31,'май 2024'!$J$4:$J$1753,L$1)</f>
        <v>0</v>
      </c>
      <c r="M31" s="80">
        <f>SUMIFS('май 2024'!$G$4:$G$1753,'май 2024'!$D$4:$D$1753,$B31,'май 2024'!$J$4:$J$1753,M$1)</f>
        <v>0</v>
      </c>
      <c r="N31" s="80">
        <f>SUMIFS('май 2024'!$G$4:$G$1753,'май 2024'!$D$4:$D$1753,$B31,'май 2024'!$J$4:$J$1753,N$1)</f>
        <v>0</v>
      </c>
      <c r="O31" s="80">
        <f>SUMIFS('май 2024'!$G$4:$G$1753,'май 2024'!$D$4:$D$1753,$B31,'май 2024'!$J$4:$J$1753,O$1)</f>
        <v>0</v>
      </c>
      <c r="P31" s="80">
        <f>SUMIFS('май 2024'!$G$4:$G$1753,'май 2024'!$D$4:$D$1753,$B31,'май 2024'!$J$4:$J$1753,P$1)</f>
        <v>0</v>
      </c>
      <c r="Q31" s="80">
        <f>SUMIFS('май 2024'!$G$4:$G$1753,'май 2024'!$D$4:$D$1753,$B31,'май 2024'!$J$4:$J$1753,Q$1)</f>
        <v>0</v>
      </c>
      <c r="R31" s="80">
        <f>SUMIFS('май 2024'!$G$4:$G$1753,'май 2024'!$D$4:$D$1753,$B31,'май 2024'!$J$4:$J$1753,R$1)</f>
        <v>0</v>
      </c>
      <c r="S31" s="80">
        <f>SUMIFS('май 2024'!$G$4:$G$1753,'май 2024'!$D$4:$D$1753,$B31,'май 2024'!$J$4:$J$1753,S$1)</f>
        <v>0</v>
      </c>
      <c r="T31" s="80">
        <f>SUMIFS('май 2024'!$G$4:$G$1753,'май 2024'!$D$4:$D$1753,$B31,'май 2024'!$J$4:$J$1753,T$1)</f>
        <v>0</v>
      </c>
      <c r="U31" s="80">
        <f>SUMIFS('май 2024'!$G$4:$G$1753,'май 2024'!$D$4:$D$1753,$B31,'май 2024'!$J$4:$J$1753,U$1)</f>
        <v>0</v>
      </c>
      <c r="V31" s="80">
        <f>SUMIFS('май 2024'!$G$4:$G$1753,'май 2024'!$D$4:$D$1753,$B31,'май 2024'!$J$4:$J$1753,V$1)</f>
        <v>0</v>
      </c>
      <c r="W31" s="80">
        <f>SUMIFS('май 2024'!$G$4:$G$1753,'май 2024'!$D$4:$D$1753,$B31,'май 2024'!$J$4:$J$1753,W$1)</f>
        <v>0</v>
      </c>
      <c r="X31" s="80">
        <f>SUMIFS('май 2024'!$G$4:$G$1753,'май 2024'!$D$4:$D$1753,$B31,'май 2024'!$J$4:$J$1753,X$1)</f>
        <v>0</v>
      </c>
      <c r="Y31" s="80">
        <f>SUMIFS('май 2024'!$G$4:$G$1753,'май 2024'!$D$4:$D$1753,$B31,'май 2024'!$J$4:$J$1753,Y$1)</f>
        <v>0</v>
      </c>
      <c r="Z31" s="80">
        <f>SUMIFS('май 2024'!$G$4:$G$1753,'май 2024'!$D$4:$D$1753,$B31,'май 2024'!$J$4:$J$1753,Z$1)</f>
        <v>0</v>
      </c>
      <c r="AA31" s="80">
        <f>SUMIFS('май 2024'!$G$4:$G$1753,'май 2024'!$D$4:$D$1753,$B31,'май 2024'!$J$4:$J$1753,AA$1)</f>
        <v>0</v>
      </c>
      <c r="AB31" s="80">
        <f>SUMIFS('май 2024'!$G$4:$G$1753,'май 2024'!$D$4:$D$1753,$B31,'май 2024'!$J$4:$J$1753,AB$1)</f>
        <v>0</v>
      </c>
      <c r="AC31" s="80">
        <f>SUMIFS('май 2024'!$G$4:$G$1753,'май 2024'!$D$4:$D$1753,$B31,'май 2024'!$J$4:$J$1753,AC$1)</f>
        <v>0</v>
      </c>
      <c r="AD31" s="80">
        <f>SUMIFS('май 2024'!$G$4:$G$1753,'май 2024'!$D$4:$D$1753,$B31,'май 2024'!$J$4:$J$1753,AD$1)</f>
        <v>0</v>
      </c>
      <c r="AE31" s="80">
        <f>SUMIFS('май 2024'!$G$4:$G$1753,'май 2024'!$D$4:$D$1753,$B31,'май 2024'!$J$4:$J$1753,AE$1)</f>
        <v>0</v>
      </c>
      <c r="AF31" s="80">
        <f>SUMIFS('май 2024'!$G$4:$G$1753,'май 2024'!$D$4:$D$1753,$B31,'май 2024'!$J$4:$J$1753,AF$1)</f>
        <v>0</v>
      </c>
      <c r="AG31" s="80">
        <f>SUMIFS('май 2024'!$G$4:$G$1753,'май 2024'!$D$4:$D$1753,$B31,'май 2024'!$J$4:$J$1753,AG$1)</f>
        <v>0</v>
      </c>
      <c r="AH31" s="80">
        <f>SUMIFS('май 2024'!$G$4:$G$1753,'май 2024'!$D$4:$D$1753,$B31,'май 2024'!$J$4:$J$1753,AH$1)</f>
        <v>0</v>
      </c>
      <c r="AI31" s="21">
        <f t="shared" si="1"/>
        <v>0</v>
      </c>
    </row>
    <row r="32" spans="2:35" ht="15" customHeight="1" x14ac:dyDescent="0.25">
      <c r="B32" s="84"/>
      <c r="C32" s="82"/>
      <c r="D32" s="80">
        <f>SUMIFS('май 2024'!$G$4:$G$1753,'май 2024'!$D$4:$D$1753,$B32,'май 2024'!$J$4:$J$1753,D$1)</f>
        <v>0</v>
      </c>
      <c r="E32" s="80">
        <f>SUMIFS('май 2024'!$G$4:$G$1753,'май 2024'!$D$4:$D$1753,$B32,'май 2024'!$J$4:$J$1753,E$1)</f>
        <v>0</v>
      </c>
      <c r="F32" s="80">
        <f>SUMIFS('май 2024'!$G$4:$G$1753,'май 2024'!$D$4:$D$1753,$B32,'май 2024'!$J$4:$J$1753,F$1)</f>
        <v>0</v>
      </c>
      <c r="G32" s="80">
        <f>SUMIFS('май 2024'!$G$4:$G$1753,'май 2024'!$D$4:$D$1753,$B32,'май 2024'!$J$4:$J$1753,G$1)</f>
        <v>0</v>
      </c>
      <c r="H32" s="80">
        <f>SUMIFS('май 2024'!$G$4:$G$1753,'май 2024'!$D$4:$D$1753,$B32,'май 2024'!$J$4:$J$1753,H$1)</f>
        <v>0</v>
      </c>
      <c r="I32" s="80">
        <f>SUMIFS('май 2024'!$G$4:$G$1753,'май 2024'!$D$4:$D$1753,$B32,'май 2024'!$J$4:$J$1753,I$1)</f>
        <v>0</v>
      </c>
      <c r="J32" s="80">
        <f>SUMIFS('май 2024'!$G$4:$G$1753,'май 2024'!$D$4:$D$1753,$B32,'май 2024'!$J$4:$J$1753,J$1)</f>
        <v>0</v>
      </c>
      <c r="K32" s="80">
        <f>SUMIFS('май 2024'!$G$4:$G$1753,'май 2024'!$D$4:$D$1753,$B32,'май 2024'!$J$4:$J$1753,K$1)</f>
        <v>0</v>
      </c>
      <c r="L32" s="80">
        <f>SUMIFS('май 2024'!$G$4:$G$1753,'май 2024'!$D$4:$D$1753,$B32,'май 2024'!$J$4:$J$1753,L$1)</f>
        <v>0</v>
      </c>
      <c r="M32" s="80">
        <f>SUMIFS('май 2024'!$G$4:$G$1753,'май 2024'!$D$4:$D$1753,$B32,'май 2024'!$J$4:$J$1753,M$1)</f>
        <v>0</v>
      </c>
      <c r="N32" s="80">
        <f>SUMIFS('май 2024'!$G$4:$G$1753,'май 2024'!$D$4:$D$1753,$B32,'май 2024'!$J$4:$J$1753,N$1)</f>
        <v>0</v>
      </c>
      <c r="O32" s="80">
        <f>SUMIFS('май 2024'!$G$4:$G$1753,'май 2024'!$D$4:$D$1753,$B32,'май 2024'!$J$4:$J$1753,O$1)</f>
        <v>0</v>
      </c>
      <c r="P32" s="80">
        <f>SUMIFS('май 2024'!$G$4:$G$1753,'май 2024'!$D$4:$D$1753,$B32,'май 2024'!$J$4:$J$1753,P$1)</f>
        <v>0</v>
      </c>
      <c r="Q32" s="80">
        <f>SUMIFS('май 2024'!$G$4:$G$1753,'май 2024'!$D$4:$D$1753,$B32,'май 2024'!$J$4:$J$1753,Q$1)</f>
        <v>0</v>
      </c>
      <c r="R32" s="80">
        <f>SUMIFS('май 2024'!$G$4:$G$1753,'май 2024'!$D$4:$D$1753,$B32,'май 2024'!$J$4:$J$1753,R$1)</f>
        <v>0</v>
      </c>
      <c r="S32" s="80">
        <f>SUMIFS('май 2024'!$G$4:$G$1753,'май 2024'!$D$4:$D$1753,$B32,'май 2024'!$J$4:$J$1753,S$1)</f>
        <v>0</v>
      </c>
      <c r="T32" s="80">
        <f>SUMIFS('май 2024'!$G$4:$G$1753,'май 2024'!$D$4:$D$1753,$B32,'май 2024'!$J$4:$J$1753,T$1)</f>
        <v>0</v>
      </c>
      <c r="U32" s="80">
        <f>SUMIFS('май 2024'!$G$4:$G$1753,'май 2024'!$D$4:$D$1753,$B32,'май 2024'!$J$4:$J$1753,U$1)</f>
        <v>0</v>
      </c>
      <c r="V32" s="80">
        <f>SUMIFS('май 2024'!$G$4:$G$1753,'май 2024'!$D$4:$D$1753,$B32,'май 2024'!$J$4:$J$1753,V$1)</f>
        <v>0</v>
      </c>
      <c r="W32" s="80">
        <f>SUMIFS('май 2024'!$G$4:$G$1753,'май 2024'!$D$4:$D$1753,$B32,'май 2024'!$J$4:$J$1753,W$1)</f>
        <v>0</v>
      </c>
      <c r="X32" s="80">
        <f>SUMIFS('май 2024'!$G$4:$G$1753,'май 2024'!$D$4:$D$1753,$B32,'май 2024'!$J$4:$J$1753,X$1)</f>
        <v>0</v>
      </c>
      <c r="Y32" s="80">
        <f>SUMIFS('май 2024'!$G$4:$G$1753,'май 2024'!$D$4:$D$1753,$B32,'май 2024'!$J$4:$J$1753,Y$1)</f>
        <v>0</v>
      </c>
      <c r="Z32" s="80">
        <f>SUMIFS('май 2024'!$G$4:$G$1753,'май 2024'!$D$4:$D$1753,$B32,'май 2024'!$J$4:$J$1753,Z$1)</f>
        <v>0</v>
      </c>
      <c r="AA32" s="80">
        <f>SUMIFS('май 2024'!$G$4:$G$1753,'май 2024'!$D$4:$D$1753,$B32,'май 2024'!$J$4:$J$1753,AA$1)</f>
        <v>0</v>
      </c>
      <c r="AB32" s="80">
        <f>SUMIFS('май 2024'!$G$4:$G$1753,'май 2024'!$D$4:$D$1753,$B32,'май 2024'!$J$4:$J$1753,AB$1)</f>
        <v>0</v>
      </c>
      <c r="AC32" s="80">
        <f>SUMIFS('май 2024'!$G$4:$G$1753,'май 2024'!$D$4:$D$1753,$B32,'май 2024'!$J$4:$J$1753,AC$1)</f>
        <v>0</v>
      </c>
      <c r="AD32" s="80">
        <f>SUMIFS('май 2024'!$G$4:$G$1753,'май 2024'!$D$4:$D$1753,$B32,'май 2024'!$J$4:$J$1753,AD$1)</f>
        <v>0</v>
      </c>
      <c r="AE32" s="80">
        <f>SUMIFS('май 2024'!$G$4:$G$1753,'май 2024'!$D$4:$D$1753,$B32,'май 2024'!$J$4:$J$1753,AE$1)</f>
        <v>0</v>
      </c>
      <c r="AF32" s="80">
        <f>SUMIFS('май 2024'!$G$4:$G$1753,'май 2024'!$D$4:$D$1753,$B32,'май 2024'!$J$4:$J$1753,AF$1)</f>
        <v>0</v>
      </c>
      <c r="AG32" s="80">
        <f>SUMIFS('май 2024'!$G$4:$G$1753,'май 2024'!$D$4:$D$1753,$B32,'май 2024'!$J$4:$J$1753,AG$1)</f>
        <v>0</v>
      </c>
      <c r="AH32" s="80">
        <f>SUMIFS('май 2024'!$G$4:$G$1753,'май 2024'!$D$4:$D$1753,$B32,'май 2024'!$J$4:$J$1753,AH$1)</f>
        <v>0</v>
      </c>
      <c r="AI32" s="21">
        <f t="shared" si="1"/>
        <v>0</v>
      </c>
    </row>
    <row r="33" spans="2:35" ht="15" customHeight="1" x14ac:dyDescent="0.25">
      <c r="B33" s="142" t="s">
        <v>276</v>
      </c>
      <c r="C33" s="143">
        <v>25</v>
      </c>
      <c r="D33" s="80">
        <f>SUMIFS('май 2024'!$G$4:$G$1753,'май 2024'!$D$4:$D$1753,$B33,'май 2024'!$J$4:$J$1753,D$1)</f>
        <v>0</v>
      </c>
      <c r="E33" s="80">
        <f>SUMIFS('май 2024'!$G$4:$G$1753,'май 2024'!$D$4:$D$1753,$B33,'май 2024'!$J$4:$J$1753,E$1)</f>
        <v>0</v>
      </c>
      <c r="F33" s="80">
        <f>SUMIFS('май 2024'!$G$4:$G$1753,'май 2024'!$D$4:$D$1753,$B33,'май 2024'!$J$4:$J$1753,F$1)</f>
        <v>0</v>
      </c>
      <c r="G33" s="80">
        <f>SUMIFS('май 2024'!$G$4:$G$1753,'май 2024'!$D$4:$D$1753,$B33,'май 2024'!$J$4:$J$1753,G$1)</f>
        <v>0</v>
      </c>
      <c r="H33" s="80">
        <f>SUMIFS('май 2024'!$G$4:$G$1753,'май 2024'!$D$4:$D$1753,$B33,'май 2024'!$J$4:$J$1753,H$1)</f>
        <v>0</v>
      </c>
      <c r="I33" s="80">
        <f>SUMIFS('май 2024'!$G$4:$G$1753,'май 2024'!$D$4:$D$1753,$B33,'май 2024'!$J$4:$J$1753,I$1)</f>
        <v>0</v>
      </c>
      <c r="J33" s="80">
        <f>SUMIFS('май 2024'!$G$4:$G$1753,'май 2024'!$D$4:$D$1753,$B33,'май 2024'!$J$4:$J$1753,J$1)</f>
        <v>0</v>
      </c>
      <c r="K33" s="80">
        <f>SUMIFS('май 2024'!$G$4:$G$1753,'май 2024'!$D$4:$D$1753,$B33,'май 2024'!$J$4:$J$1753,K$1)</f>
        <v>0</v>
      </c>
      <c r="L33" s="80">
        <f>SUMIFS('май 2024'!$G$4:$G$1753,'май 2024'!$D$4:$D$1753,$B33,'май 2024'!$J$4:$J$1753,L$1)</f>
        <v>0</v>
      </c>
      <c r="M33" s="80">
        <f>SUMIFS('май 2024'!$G$4:$G$1753,'май 2024'!$D$4:$D$1753,$B33,'май 2024'!$J$4:$J$1753,M$1)</f>
        <v>0</v>
      </c>
      <c r="N33" s="80">
        <f>SUMIFS('май 2024'!$G$4:$G$1753,'май 2024'!$D$4:$D$1753,$B33,'май 2024'!$J$4:$J$1753,N$1)</f>
        <v>0</v>
      </c>
      <c r="O33" s="80">
        <f>SUMIFS('май 2024'!$G$4:$G$1753,'май 2024'!$D$4:$D$1753,$B33,'май 2024'!$J$4:$J$1753,O$1)</f>
        <v>0</v>
      </c>
      <c r="P33" s="80">
        <f>SUMIFS('май 2024'!$G$4:$G$1753,'май 2024'!$D$4:$D$1753,$B33,'май 2024'!$J$4:$J$1753,P$1)</f>
        <v>0</v>
      </c>
      <c r="Q33" s="80">
        <f>SUMIFS('май 2024'!$G$4:$G$1753,'май 2024'!$D$4:$D$1753,$B33,'май 2024'!$J$4:$J$1753,Q$1)</f>
        <v>0</v>
      </c>
      <c r="R33" s="80">
        <f>SUMIFS('май 2024'!$G$4:$G$1753,'май 2024'!$D$4:$D$1753,$B33,'май 2024'!$J$4:$J$1753,R$1)</f>
        <v>0</v>
      </c>
      <c r="S33" s="80">
        <f>SUMIFS('май 2024'!$G$4:$G$1753,'май 2024'!$D$4:$D$1753,$B33,'май 2024'!$J$4:$J$1753,S$1)</f>
        <v>0</v>
      </c>
      <c r="T33" s="80">
        <f>SUMIFS('май 2024'!$G$4:$G$1753,'май 2024'!$D$4:$D$1753,$B33,'май 2024'!$J$4:$J$1753,T$1)</f>
        <v>0</v>
      </c>
      <c r="U33" s="80">
        <f>SUMIFS('май 2024'!$G$4:$G$1753,'май 2024'!$D$4:$D$1753,$B33,'май 2024'!$J$4:$J$1753,U$1)</f>
        <v>0</v>
      </c>
      <c r="V33" s="80">
        <f>SUMIFS('май 2024'!$G$4:$G$1753,'май 2024'!$D$4:$D$1753,$B33,'май 2024'!$J$4:$J$1753,V$1)</f>
        <v>0</v>
      </c>
      <c r="W33" s="80">
        <f>SUMIFS('май 2024'!$G$4:$G$1753,'май 2024'!$D$4:$D$1753,$B33,'май 2024'!$J$4:$J$1753,W$1)</f>
        <v>0</v>
      </c>
      <c r="X33" s="80">
        <f>SUMIFS('май 2024'!$G$4:$G$1753,'май 2024'!$D$4:$D$1753,$B33,'май 2024'!$J$4:$J$1753,X$1)</f>
        <v>0</v>
      </c>
      <c r="Y33" s="80">
        <f>SUMIFS('май 2024'!$G$4:$G$1753,'май 2024'!$D$4:$D$1753,$B33,'май 2024'!$J$4:$J$1753,Y$1)</f>
        <v>0</v>
      </c>
      <c r="Z33" s="80">
        <f>SUMIFS('май 2024'!$G$4:$G$1753,'май 2024'!$D$4:$D$1753,$B33,'май 2024'!$J$4:$J$1753,Z$1)</f>
        <v>0</v>
      </c>
      <c r="AA33" s="80">
        <f>SUMIFS('май 2024'!$G$4:$G$1753,'май 2024'!$D$4:$D$1753,$B33,'май 2024'!$J$4:$J$1753,AA$1)</f>
        <v>0</v>
      </c>
      <c r="AB33" s="80">
        <f>SUMIFS('май 2024'!$G$4:$G$1753,'май 2024'!$D$4:$D$1753,$B33,'май 2024'!$J$4:$J$1753,AB$1)</f>
        <v>0</v>
      </c>
      <c r="AC33" s="80">
        <f>SUMIFS('май 2024'!$G$4:$G$1753,'май 2024'!$D$4:$D$1753,$B33,'май 2024'!$J$4:$J$1753,AC$1)</f>
        <v>0</v>
      </c>
      <c r="AD33" s="80">
        <f>SUMIFS('май 2024'!$G$4:$G$1753,'май 2024'!$D$4:$D$1753,$B33,'май 2024'!$J$4:$J$1753,AD$1)</f>
        <v>0</v>
      </c>
      <c r="AE33" s="80">
        <f>SUMIFS('май 2024'!$G$4:$G$1753,'май 2024'!$D$4:$D$1753,$B33,'май 2024'!$J$4:$J$1753,AE$1)</f>
        <v>0</v>
      </c>
      <c r="AF33" s="80">
        <f>SUMIFS('май 2024'!$G$4:$G$1753,'май 2024'!$D$4:$D$1753,$B33,'май 2024'!$J$4:$J$1753,AF$1)</f>
        <v>0</v>
      </c>
      <c r="AG33" s="80">
        <f>SUMIFS('май 2024'!$G$4:$G$1753,'май 2024'!$D$4:$D$1753,$B33,'май 2024'!$J$4:$J$1753,AG$1)</f>
        <v>0</v>
      </c>
      <c r="AH33" s="80">
        <f>SUMIFS('май 2024'!$G$4:$G$1753,'май 2024'!$D$4:$D$1753,$B33,'май 2024'!$J$4:$J$1753,AH$1)</f>
        <v>0</v>
      </c>
      <c r="AI33" s="21">
        <f t="shared" si="1"/>
        <v>0</v>
      </c>
    </row>
    <row r="34" spans="2:35" ht="15" customHeight="1" x14ac:dyDescent="0.25">
      <c r="B34" s="146" t="s">
        <v>278</v>
      </c>
      <c r="C34" s="143">
        <v>25</v>
      </c>
      <c r="D34" s="80">
        <f>SUMIFS('май 2024'!$G$4:$G$1753,'май 2024'!$D$4:$D$1753,$B34,'май 2024'!$J$4:$J$1753,D$1)</f>
        <v>0</v>
      </c>
      <c r="E34" s="80">
        <f>SUMIFS('май 2024'!$G$4:$G$1753,'май 2024'!$D$4:$D$1753,$B34,'май 2024'!$J$4:$J$1753,E$1)</f>
        <v>0</v>
      </c>
      <c r="F34" s="80">
        <f>SUMIFS('май 2024'!$G$4:$G$1753,'май 2024'!$D$4:$D$1753,$B34,'май 2024'!$J$4:$J$1753,F$1)</f>
        <v>0</v>
      </c>
      <c r="G34" s="80">
        <f>SUMIFS('май 2024'!$G$4:$G$1753,'май 2024'!$D$4:$D$1753,$B34,'май 2024'!$J$4:$J$1753,G$1)</f>
        <v>0</v>
      </c>
      <c r="H34" s="80">
        <f>SUMIFS('май 2024'!$G$4:$G$1753,'май 2024'!$D$4:$D$1753,$B34,'май 2024'!$J$4:$J$1753,H$1)</f>
        <v>0</v>
      </c>
      <c r="I34" s="80">
        <f>SUMIFS('май 2024'!$G$4:$G$1753,'май 2024'!$D$4:$D$1753,$B34,'май 2024'!$J$4:$J$1753,I$1)</f>
        <v>0</v>
      </c>
      <c r="J34" s="80">
        <f>SUMIFS('май 2024'!$G$4:$G$1753,'май 2024'!$D$4:$D$1753,$B34,'май 2024'!$J$4:$J$1753,J$1)</f>
        <v>0</v>
      </c>
      <c r="K34" s="80">
        <f>SUMIFS('май 2024'!$G$4:$G$1753,'май 2024'!$D$4:$D$1753,$B34,'май 2024'!$J$4:$J$1753,K$1)</f>
        <v>0</v>
      </c>
      <c r="L34" s="80">
        <f>SUMIFS('май 2024'!$G$4:$G$1753,'май 2024'!$D$4:$D$1753,$B34,'май 2024'!$J$4:$J$1753,L$1)</f>
        <v>0</v>
      </c>
      <c r="M34" s="80">
        <f>SUMIFS('май 2024'!$G$4:$G$1753,'май 2024'!$D$4:$D$1753,$B34,'май 2024'!$J$4:$J$1753,M$1)</f>
        <v>0</v>
      </c>
      <c r="N34" s="80">
        <f>SUMIFS('май 2024'!$G$4:$G$1753,'май 2024'!$D$4:$D$1753,$B34,'май 2024'!$J$4:$J$1753,N$1)</f>
        <v>0</v>
      </c>
      <c r="O34" s="80">
        <f>SUMIFS('май 2024'!$G$4:$G$1753,'май 2024'!$D$4:$D$1753,$B34,'май 2024'!$J$4:$J$1753,O$1)</f>
        <v>0</v>
      </c>
      <c r="P34" s="80">
        <f>SUMIFS('май 2024'!$G$4:$G$1753,'май 2024'!$D$4:$D$1753,$B34,'май 2024'!$J$4:$J$1753,P$1)</f>
        <v>400</v>
      </c>
      <c r="Q34" s="80">
        <f>SUMIFS('май 2024'!$G$4:$G$1753,'май 2024'!$D$4:$D$1753,$B34,'май 2024'!$J$4:$J$1753,Q$1)</f>
        <v>0</v>
      </c>
      <c r="R34" s="80">
        <f>SUMIFS('май 2024'!$G$4:$G$1753,'май 2024'!$D$4:$D$1753,$B34,'май 2024'!$J$4:$J$1753,R$1)</f>
        <v>0</v>
      </c>
      <c r="S34" s="80">
        <f>SUMIFS('май 2024'!$G$4:$G$1753,'май 2024'!$D$4:$D$1753,$B34,'май 2024'!$J$4:$J$1753,S$1)</f>
        <v>0</v>
      </c>
      <c r="T34" s="80">
        <f>SUMIFS('май 2024'!$G$4:$G$1753,'май 2024'!$D$4:$D$1753,$B34,'май 2024'!$J$4:$J$1753,T$1)</f>
        <v>0</v>
      </c>
      <c r="U34" s="80">
        <f>SUMIFS('май 2024'!$G$4:$G$1753,'май 2024'!$D$4:$D$1753,$B34,'май 2024'!$J$4:$J$1753,U$1)</f>
        <v>0</v>
      </c>
      <c r="V34" s="80">
        <f>SUMIFS('май 2024'!$G$4:$G$1753,'май 2024'!$D$4:$D$1753,$B34,'май 2024'!$J$4:$J$1753,V$1)</f>
        <v>0</v>
      </c>
      <c r="W34" s="80">
        <f>SUMIFS('май 2024'!$G$4:$G$1753,'май 2024'!$D$4:$D$1753,$B34,'май 2024'!$J$4:$J$1753,W$1)</f>
        <v>0</v>
      </c>
      <c r="X34" s="80">
        <f>SUMIFS('май 2024'!$G$4:$G$1753,'май 2024'!$D$4:$D$1753,$B34,'май 2024'!$J$4:$J$1753,X$1)</f>
        <v>0</v>
      </c>
      <c r="Y34" s="80">
        <f>SUMIFS('май 2024'!$G$4:$G$1753,'май 2024'!$D$4:$D$1753,$B34,'май 2024'!$J$4:$J$1753,Y$1)</f>
        <v>0</v>
      </c>
      <c r="Z34" s="80">
        <f>SUMIFS('май 2024'!$G$4:$G$1753,'май 2024'!$D$4:$D$1753,$B34,'май 2024'!$J$4:$J$1753,Z$1)</f>
        <v>0</v>
      </c>
      <c r="AA34" s="80">
        <f>SUMIFS('май 2024'!$G$4:$G$1753,'май 2024'!$D$4:$D$1753,$B34,'май 2024'!$J$4:$J$1753,AA$1)</f>
        <v>0</v>
      </c>
      <c r="AB34" s="80">
        <f>SUMIFS('май 2024'!$G$4:$G$1753,'май 2024'!$D$4:$D$1753,$B34,'май 2024'!$J$4:$J$1753,AB$1)</f>
        <v>0</v>
      </c>
      <c r="AC34" s="80">
        <f>SUMIFS('май 2024'!$G$4:$G$1753,'май 2024'!$D$4:$D$1753,$B34,'май 2024'!$J$4:$J$1753,AC$1)</f>
        <v>0</v>
      </c>
      <c r="AD34" s="80">
        <f>SUMIFS('май 2024'!$G$4:$G$1753,'май 2024'!$D$4:$D$1753,$B34,'май 2024'!$J$4:$J$1753,AD$1)</f>
        <v>0</v>
      </c>
      <c r="AE34" s="80">
        <f>SUMIFS('май 2024'!$G$4:$G$1753,'май 2024'!$D$4:$D$1753,$B34,'май 2024'!$J$4:$J$1753,AE$1)</f>
        <v>0</v>
      </c>
      <c r="AF34" s="80">
        <f>SUMIFS('май 2024'!$G$4:$G$1753,'май 2024'!$D$4:$D$1753,$B34,'май 2024'!$J$4:$J$1753,AF$1)</f>
        <v>0</v>
      </c>
      <c r="AG34" s="80">
        <f>SUMIFS('май 2024'!$G$4:$G$1753,'май 2024'!$D$4:$D$1753,$B34,'май 2024'!$J$4:$J$1753,AG$1)</f>
        <v>0</v>
      </c>
      <c r="AH34" s="80">
        <f>SUMIFS('май 2024'!$G$4:$G$1753,'май 2024'!$D$4:$D$1753,$B34,'май 2024'!$J$4:$J$1753,AH$1)</f>
        <v>0</v>
      </c>
      <c r="AI34" s="21">
        <f t="shared" si="1"/>
        <v>400</v>
      </c>
    </row>
    <row r="35" spans="2:35" ht="15" customHeight="1" x14ac:dyDescent="0.25">
      <c r="B35" s="147" t="s">
        <v>280</v>
      </c>
      <c r="C35" s="143">
        <v>25</v>
      </c>
      <c r="D35" s="80">
        <f>SUMIFS('май 2024'!$G$4:$G$1753,'май 2024'!$D$4:$D$1753,$B35,'май 2024'!$J$4:$J$1753,D$1)</f>
        <v>0</v>
      </c>
      <c r="E35" s="80">
        <f>SUMIFS('май 2024'!$G$4:$G$1753,'май 2024'!$D$4:$D$1753,$B35,'май 2024'!$J$4:$J$1753,E$1)</f>
        <v>0</v>
      </c>
      <c r="F35" s="80">
        <f>SUMIFS('май 2024'!$G$4:$G$1753,'май 2024'!$D$4:$D$1753,$B35,'май 2024'!$J$4:$J$1753,F$1)</f>
        <v>0</v>
      </c>
      <c r="G35" s="80">
        <f>SUMIFS('май 2024'!$G$4:$G$1753,'май 2024'!$D$4:$D$1753,$B35,'май 2024'!$J$4:$J$1753,G$1)</f>
        <v>0</v>
      </c>
      <c r="H35" s="80">
        <f>SUMIFS('май 2024'!$G$4:$G$1753,'май 2024'!$D$4:$D$1753,$B35,'май 2024'!$J$4:$J$1753,H$1)</f>
        <v>0</v>
      </c>
      <c r="I35" s="80">
        <f>SUMIFS('май 2024'!$G$4:$G$1753,'май 2024'!$D$4:$D$1753,$B35,'май 2024'!$J$4:$J$1753,I$1)</f>
        <v>0</v>
      </c>
      <c r="J35" s="80">
        <f>SUMIFS('май 2024'!$G$4:$G$1753,'май 2024'!$D$4:$D$1753,$B35,'май 2024'!$J$4:$J$1753,J$1)</f>
        <v>0</v>
      </c>
      <c r="K35" s="80">
        <f>SUMIFS('май 2024'!$G$4:$G$1753,'май 2024'!$D$4:$D$1753,$B35,'май 2024'!$J$4:$J$1753,K$1)</f>
        <v>0</v>
      </c>
      <c r="L35" s="80">
        <f>SUMIFS('май 2024'!$G$4:$G$1753,'май 2024'!$D$4:$D$1753,$B35,'май 2024'!$J$4:$J$1753,L$1)</f>
        <v>0</v>
      </c>
      <c r="M35" s="80">
        <f>SUMIFS('май 2024'!$G$4:$G$1753,'май 2024'!$D$4:$D$1753,$B35,'май 2024'!$J$4:$J$1753,M$1)</f>
        <v>0</v>
      </c>
      <c r="N35" s="80">
        <f>SUMIFS('май 2024'!$G$4:$G$1753,'май 2024'!$D$4:$D$1753,$B35,'май 2024'!$J$4:$J$1753,N$1)</f>
        <v>0</v>
      </c>
      <c r="O35" s="80">
        <f>SUMIFS('май 2024'!$G$4:$G$1753,'май 2024'!$D$4:$D$1753,$B35,'май 2024'!$J$4:$J$1753,O$1)</f>
        <v>0</v>
      </c>
      <c r="P35" s="80">
        <f>SUMIFS('май 2024'!$G$4:$G$1753,'май 2024'!$D$4:$D$1753,$B35,'май 2024'!$J$4:$J$1753,P$1)</f>
        <v>0</v>
      </c>
      <c r="Q35" s="80">
        <f>SUMIFS('май 2024'!$G$4:$G$1753,'май 2024'!$D$4:$D$1753,$B35,'май 2024'!$J$4:$J$1753,Q$1)</f>
        <v>0</v>
      </c>
      <c r="R35" s="80">
        <f>SUMIFS('май 2024'!$G$4:$G$1753,'май 2024'!$D$4:$D$1753,$B35,'май 2024'!$J$4:$J$1753,R$1)</f>
        <v>0</v>
      </c>
      <c r="S35" s="80">
        <f>SUMIFS('май 2024'!$G$4:$G$1753,'май 2024'!$D$4:$D$1753,$B35,'май 2024'!$J$4:$J$1753,S$1)</f>
        <v>0</v>
      </c>
      <c r="T35" s="80">
        <f>SUMIFS('май 2024'!$G$4:$G$1753,'май 2024'!$D$4:$D$1753,$B35,'май 2024'!$J$4:$J$1753,T$1)</f>
        <v>0</v>
      </c>
      <c r="U35" s="80">
        <f>SUMIFS('май 2024'!$G$4:$G$1753,'май 2024'!$D$4:$D$1753,$B35,'май 2024'!$J$4:$J$1753,U$1)</f>
        <v>0</v>
      </c>
      <c r="V35" s="80">
        <f>SUMIFS('май 2024'!$G$4:$G$1753,'май 2024'!$D$4:$D$1753,$B35,'май 2024'!$J$4:$J$1753,V$1)</f>
        <v>0</v>
      </c>
      <c r="W35" s="80">
        <f>SUMIFS('май 2024'!$G$4:$G$1753,'май 2024'!$D$4:$D$1753,$B35,'май 2024'!$J$4:$J$1753,W$1)</f>
        <v>0</v>
      </c>
      <c r="X35" s="80">
        <f>SUMIFS('май 2024'!$G$4:$G$1753,'май 2024'!$D$4:$D$1753,$B35,'май 2024'!$J$4:$J$1753,X$1)</f>
        <v>0</v>
      </c>
      <c r="Y35" s="80">
        <f>SUMIFS('май 2024'!$G$4:$G$1753,'май 2024'!$D$4:$D$1753,$B35,'май 2024'!$J$4:$J$1753,Y$1)</f>
        <v>0</v>
      </c>
      <c r="Z35" s="80">
        <f>SUMIFS('май 2024'!$G$4:$G$1753,'май 2024'!$D$4:$D$1753,$B35,'май 2024'!$J$4:$J$1753,Z$1)</f>
        <v>0</v>
      </c>
      <c r="AA35" s="80">
        <f>SUMIFS('май 2024'!$G$4:$G$1753,'май 2024'!$D$4:$D$1753,$B35,'май 2024'!$J$4:$J$1753,AA$1)</f>
        <v>0</v>
      </c>
      <c r="AB35" s="80">
        <f>SUMIFS('май 2024'!$G$4:$G$1753,'май 2024'!$D$4:$D$1753,$B35,'май 2024'!$J$4:$J$1753,AB$1)</f>
        <v>0</v>
      </c>
      <c r="AC35" s="80">
        <f>SUMIFS('май 2024'!$G$4:$G$1753,'май 2024'!$D$4:$D$1753,$B35,'май 2024'!$J$4:$J$1753,AC$1)</f>
        <v>0</v>
      </c>
      <c r="AD35" s="80">
        <f>SUMIFS('май 2024'!$G$4:$G$1753,'май 2024'!$D$4:$D$1753,$B35,'май 2024'!$J$4:$J$1753,AD$1)</f>
        <v>0</v>
      </c>
      <c r="AE35" s="80">
        <f>SUMIFS('май 2024'!$G$4:$G$1753,'май 2024'!$D$4:$D$1753,$B35,'май 2024'!$J$4:$J$1753,AE$1)</f>
        <v>0</v>
      </c>
      <c r="AF35" s="80">
        <f>SUMIFS('май 2024'!$G$4:$G$1753,'май 2024'!$D$4:$D$1753,$B35,'май 2024'!$J$4:$J$1753,AF$1)</f>
        <v>0</v>
      </c>
      <c r="AG35" s="80">
        <f>SUMIFS('май 2024'!$G$4:$G$1753,'май 2024'!$D$4:$D$1753,$B35,'май 2024'!$J$4:$J$1753,AG$1)</f>
        <v>0</v>
      </c>
      <c r="AH35" s="80">
        <f>SUMIFS('май 2024'!$G$4:$G$1753,'май 2024'!$D$4:$D$1753,$B35,'май 2024'!$J$4:$J$1753,AH$1)</f>
        <v>0</v>
      </c>
      <c r="AI35" s="21">
        <f t="shared" si="1"/>
        <v>0</v>
      </c>
    </row>
    <row r="36" spans="2:35" ht="15" customHeight="1" x14ac:dyDescent="0.25">
      <c r="B36" s="148" t="s">
        <v>282</v>
      </c>
      <c r="C36" s="149">
        <v>25</v>
      </c>
      <c r="D36" s="80">
        <f>SUMIFS('май 2024'!$G$4:$G$1753,'май 2024'!$D$4:$D$1753,$B36,'май 2024'!$J$4:$J$1753,D$1)</f>
        <v>0</v>
      </c>
      <c r="E36" s="80">
        <f>SUMIFS('май 2024'!$G$4:$G$1753,'май 2024'!$D$4:$D$1753,$B36,'май 2024'!$J$4:$J$1753,E$1)</f>
        <v>0</v>
      </c>
      <c r="F36" s="80">
        <f>SUMIFS('май 2024'!$G$4:$G$1753,'май 2024'!$D$4:$D$1753,$B36,'май 2024'!$J$4:$J$1753,F$1)</f>
        <v>0</v>
      </c>
      <c r="G36" s="80">
        <f>SUMIFS('май 2024'!$G$4:$G$1753,'май 2024'!$D$4:$D$1753,$B36,'май 2024'!$J$4:$J$1753,G$1)</f>
        <v>0</v>
      </c>
      <c r="H36" s="80">
        <f>SUMIFS('май 2024'!$G$4:$G$1753,'май 2024'!$D$4:$D$1753,$B36,'май 2024'!$J$4:$J$1753,H$1)</f>
        <v>0</v>
      </c>
      <c r="I36" s="80">
        <f>SUMIFS('май 2024'!$G$4:$G$1753,'май 2024'!$D$4:$D$1753,$B36,'май 2024'!$J$4:$J$1753,I$1)</f>
        <v>0</v>
      </c>
      <c r="J36" s="80">
        <f>SUMIFS('май 2024'!$G$4:$G$1753,'май 2024'!$D$4:$D$1753,$B36,'май 2024'!$J$4:$J$1753,J$1)</f>
        <v>0</v>
      </c>
      <c r="K36" s="80">
        <f>SUMIFS('май 2024'!$G$4:$G$1753,'май 2024'!$D$4:$D$1753,$B36,'май 2024'!$J$4:$J$1753,K$1)</f>
        <v>0</v>
      </c>
      <c r="L36" s="80">
        <f>SUMIFS('май 2024'!$G$4:$G$1753,'май 2024'!$D$4:$D$1753,$B36,'май 2024'!$J$4:$J$1753,L$1)</f>
        <v>0</v>
      </c>
      <c r="M36" s="80">
        <f>SUMIFS('май 2024'!$G$4:$G$1753,'май 2024'!$D$4:$D$1753,$B36,'май 2024'!$J$4:$J$1753,M$1)</f>
        <v>0</v>
      </c>
      <c r="N36" s="80">
        <f>SUMIFS('май 2024'!$G$4:$G$1753,'май 2024'!$D$4:$D$1753,$B36,'май 2024'!$J$4:$J$1753,N$1)</f>
        <v>0</v>
      </c>
      <c r="O36" s="80">
        <f>SUMIFS('май 2024'!$G$4:$G$1753,'май 2024'!$D$4:$D$1753,$B36,'май 2024'!$J$4:$J$1753,O$1)</f>
        <v>0</v>
      </c>
      <c r="P36" s="80">
        <f>SUMIFS('май 2024'!$G$4:$G$1753,'май 2024'!$D$4:$D$1753,$B36,'май 2024'!$J$4:$J$1753,P$1)</f>
        <v>0</v>
      </c>
      <c r="Q36" s="80">
        <f>SUMIFS('май 2024'!$G$4:$G$1753,'май 2024'!$D$4:$D$1753,$B36,'май 2024'!$J$4:$J$1753,Q$1)</f>
        <v>0</v>
      </c>
      <c r="R36" s="80">
        <f>SUMIFS('май 2024'!$G$4:$G$1753,'май 2024'!$D$4:$D$1753,$B36,'май 2024'!$J$4:$J$1753,R$1)</f>
        <v>0</v>
      </c>
      <c r="S36" s="80">
        <f>SUMIFS('май 2024'!$G$4:$G$1753,'май 2024'!$D$4:$D$1753,$B36,'май 2024'!$J$4:$J$1753,S$1)</f>
        <v>0</v>
      </c>
      <c r="T36" s="80">
        <f>SUMIFS('май 2024'!$G$4:$G$1753,'май 2024'!$D$4:$D$1753,$B36,'май 2024'!$J$4:$J$1753,T$1)</f>
        <v>0</v>
      </c>
      <c r="U36" s="80">
        <f>SUMIFS('май 2024'!$G$4:$G$1753,'май 2024'!$D$4:$D$1753,$B36,'май 2024'!$J$4:$J$1753,U$1)</f>
        <v>0</v>
      </c>
      <c r="V36" s="80">
        <f>SUMIFS('май 2024'!$G$4:$G$1753,'май 2024'!$D$4:$D$1753,$B36,'май 2024'!$J$4:$J$1753,V$1)</f>
        <v>0</v>
      </c>
      <c r="W36" s="80">
        <f>SUMIFS('май 2024'!$G$4:$G$1753,'май 2024'!$D$4:$D$1753,$B36,'май 2024'!$J$4:$J$1753,W$1)</f>
        <v>0</v>
      </c>
      <c r="X36" s="80">
        <f>SUMIFS('май 2024'!$G$4:$G$1753,'май 2024'!$D$4:$D$1753,$B36,'май 2024'!$J$4:$J$1753,X$1)</f>
        <v>0</v>
      </c>
      <c r="Y36" s="80">
        <f>SUMIFS('май 2024'!$G$4:$G$1753,'май 2024'!$D$4:$D$1753,$B36,'май 2024'!$J$4:$J$1753,Y$1)</f>
        <v>0</v>
      </c>
      <c r="Z36" s="80">
        <f>SUMIFS('май 2024'!$G$4:$G$1753,'май 2024'!$D$4:$D$1753,$B36,'май 2024'!$J$4:$J$1753,Z$1)</f>
        <v>0</v>
      </c>
      <c r="AA36" s="80">
        <f>SUMIFS('май 2024'!$G$4:$G$1753,'май 2024'!$D$4:$D$1753,$B36,'май 2024'!$J$4:$J$1753,AA$1)</f>
        <v>0</v>
      </c>
      <c r="AB36" s="80">
        <f>SUMIFS('май 2024'!$G$4:$G$1753,'май 2024'!$D$4:$D$1753,$B36,'май 2024'!$J$4:$J$1753,AB$1)</f>
        <v>0</v>
      </c>
      <c r="AC36" s="80">
        <f>SUMIFS('май 2024'!$G$4:$G$1753,'май 2024'!$D$4:$D$1753,$B36,'май 2024'!$J$4:$J$1753,AC$1)</f>
        <v>0</v>
      </c>
      <c r="AD36" s="80">
        <f>SUMIFS('май 2024'!$G$4:$G$1753,'май 2024'!$D$4:$D$1753,$B36,'май 2024'!$J$4:$J$1753,AD$1)</f>
        <v>0</v>
      </c>
      <c r="AE36" s="80">
        <f>SUMIFS('май 2024'!$G$4:$G$1753,'май 2024'!$D$4:$D$1753,$B36,'май 2024'!$J$4:$J$1753,AE$1)</f>
        <v>0</v>
      </c>
      <c r="AF36" s="80">
        <f>SUMIFS('май 2024'!$G$4:$G$1753,'май 2024'!$D$4:$D$1753,$B36,'май 2024'!$J$4:$J$1753,AF$1)</f>
        <v>0</v>
      </c>
      <c r="AG36" s="80">
        <f>SUMIFS('май 2024'!$G$4:$G$1753,'май 2024'!$D$4:$D$1753,$B36,'май 2024'!$J$4:$J$1753,AG$1)</f>
        <v>0</v>
      </c>
      <c r="AH36" s="80">
        <f>SUMIFS('май 2024'!$G$4:$G$1753,'май 2024'!$D$4:$D$1753,$B36,'май 2024'!$J$4:$J$1753,AH$1)</f>
        <v>0</v>
      </c>
      <c r="AI36" s="21">
        <f t="shared" si="1"/>
        <v>0</v>
      </c>
    </row>
    <row r="37" spans="2:35" ht="15" customHeight="1" x14ac:dyDescent="0.25">
      <c r="B37" s="150" t="s">
        <v>284</v>
      </c>
      <c r="C37" s="151">
        <v>22.68</v>
      </c>
      <c r="D37" s="80">
        <f>SUMIFS('май 2024'!$G$4:$G$1753,'май 2024'!$D$4:$D$1753,$B37,'май 2024'!$J$4:$J$1753,D$1)</f>
        <v>0</v>
      </c>
      <c r="E37" s="80">
        <f>SUMIFS('май 2024'!$G$4:$G$1753,'май 2024'!$D$4:$D$1753,$B37,'май 2024'!$J$4:$J$1753,E$1)</f>
        <v>0</v>
      </c>
      <c r="F37" s="80">
        <f>SUMIFS('май 2024'!$G$4:$G$1753,'май 2024'!$D$4:$D$1753,$B37,'май 2024'!$J$4:$J$1753,F$1)</f>
        <v>0</v>
      </c>
      <c r="G37" s="80">
        <f>SUMIFS('май 2024'!$G$4:$G$1753,'май 2024'!$D$4:$D$1753,$B37,'май 2024'!$J$4:$J$1753,G$1)</f>
        <v>0</v>
      </c>
      <c r="H37" s="80">
        <f>SUMIFS('май 2024'!$G$4:$G$1753,'май 2024'!$D$4:$D$1753,$B37,'май 2024'!$J$4:$J$1753,H$1)</f>
        <v>0</v>
      </c>
      <c r="I37" s="80">
        <f>SUMIFS('май 2024'!$G$4:$G$1753,'май 2024'!$D$4:$D$1753,$B37,'май 2024'!$J$4:$J$1753,I$1)</f>
        <v>0</v>
      </c>
      <c r="J37" s="80">
        <f>SUMIFS('май 2024'!$G$4:$G$1753,'май 2024'!$D$4:$D$1753,$B37,'май 2024'!$J$4:$J$1753,J$1)</f>
        <v>0</v>
      </c>
      <c r="K37" s="80">
        <f>SUMIFS('май 2024'!$G$4:$G$1753,'май 2024'!$D$4:$D$1753,$B37,'май 2024'!$J$4:$J$1753,K$1)</f>
        <v>0</v>
      </c>
      <c r="L37" s="80">
        <f>SUMIFS('май 2024'!$G$4:$G$1753,'май 2024'!$D$4:$D$1753,$B37,'май 2024'!$J$4:$J$1753,L$1)</f>
        <v>0</v>
      </c>
      <c r="M37" s="80">
        <f>SUMIFS('май 2024'!$G$4:$G$1753,'май 2024'!$D$4:$D$1753,$B37,'май 2024'!$J$4:$J$1753,M$1)</f>
        <v>0</v>
      </c>
      <c r="N37" s="80">
        <f>SUMIFS('май 2024'!$G$4:$G$1753,'май 2024'!$D$4:$D$1753,$B37,'май 2024'!$J$4:$J$1753,N$1)</f>
        <v>0</v>
      </c>
      <c r="O37" s="80">
        <f>SUMIFS('май 2024'!$G$4:$G$1753,'май 2024'!$D$4:$D$1753,$B37,'май 2024'!$J$4:$J$1753,O$1)</f>
        <v>0</v>
      </c>
      <c r="P37" s="80">
        <f>SUMIFS('май 2024'!$G$4:$G$1753,'май 2024'!$D$4:$D$1753,$B37,'май 2024'!$J$4:$J$1753,P$1)</f>
        <v>0</v>
      </c>
      <c r="Q37" s="80">
        <f>SUMIFS('май 2024'!$G$4:$G$1753,'май 2024'!$D$4:$D$1753,$B37,'май 2024'!$J$4:$J$1753,Q$1)</f>
        <v>0</v>
      </c>
      <c r="R37" s="80">
        <f>SUMIFS('май 2024'!$G$4:$G$1753,'май 2024'!$D$4:$D$1753,$B37,'май 2024'!$J$4:$J$1753,R$1)</f>
        <v>0</v>
      </c>
      <c r="S37" s="80">
        <f>SUMIFS('май 2024'!$G$4:$G$1753,'май 2024'!$D$4:$D$1753,$B37,'май 2024'!$J$4:$J$1753,S$1)</f>
        <v>0</v>
      </c>
      <c r="T37" s="80">
        <f>SUMIFS('май 2024'!$G$4:$G$1753,'май 2024'!$D$4:$D$1753,$B37,'май 2024'!$J$4:$J$1753,T$1)</f>
        <v>0</v>
      </c>
      <c r="U37" s="80">
        <f>SUMIFS('май 2024'!$G$4:$G$1753,'май 2024'!$D$4:$D$1753,$B37,'май 2024'!$J$4:$J$1753,U$1)</f>
        <v>0</v>
      </c>
      <c r="V37" s="80">
        <f>SUMIFS('май 2024'!$G$4:$G$1753,'май 2024'!$D$4:$D$1753,$B37,'май 2024'!$J$4:$J$1753,V$1)</f>
        <v>0</v>
      </c>
      <c r="W37" s="80">
        <f>SUMIFS('май 2024'!$G$4:$G$1753,'май 2024'!$D$4:$D$1753,$B37,'май 2024'!$J$4:$J$1753,W$1)</f>
        <v>0</v>
      </c>
      <c r="X37" s="80">
        <f>SUMIFS('май 2024'!$G$4:$G$1753,'май 2024'!$D$4:$D$1753,$B37,'май 2024'!$J$4:$J$1753,X$1)</f>
        <v>0</v>
      </c>
      <c r="Y37" s="80">
        <f>SUMIFS('май 2024'!$G$4:$G$1753,'май 2024'!$D$4:$D$1753,$B37,'май 2024'!$J$4:$J$1753,Y$1)</f>
        <v>0</v>
      </c>
      <c r="Z37" s="80">
        <f>SUMIFS('май 2024'!$G$4:$G$1753,'май 2024'!$D$4:$D$1753,$B37,'май 2024'!$J$4:$J$1753,Z$1)</f>
        <v>0</v>
      </c>
      <c r="AA37" s="80">
        <f>SUMIFS('май 2024'!$G$4:$G$1753,'май 2024'!$D$4:$D$1753,$B37,'май 2024'!$J$4:$J$1753,AA$1)</f>
        <v>0</v>
      </c>
      <c r="AB37" s="80">
        <f>SUMIFS('май 2024'!$G$4:$G$1753,'май 2024'!$D$4:$D$1753,$B37,'май 2024'!$J$4:$J$1753,AB$1)</f>
        <v>0</v>
      </c>
      <c r="AC37" s="80">
        <f>SUMIFS('май 2024'!$G$4:$G$1753,'май 2024'!$D$4:$D$1753,$B37,'май 2024'!$J$4:$J$1753,AC$1)</f>
        <v>0</v>
      </c>
      <c r="AD37" s="80">
        <f>SUMIFS('май 2024'!$G$4:$G$1753,'май 2024'!$D$4:$D$1753,$B37,'май 2024'!$J$4:$J$1753,AD$1)</f>
        <v>0</v>
      </c>
      <c r="AE37" s="80">
        <f>SUMIFS('май 2024'!$G$4:$G$1753,'май 2024'!$D$4:$D$1753,$B37,'май 2024'!$J$4:$J$1753,AE$1)</f>
        <v>0</v>
      </c>
      <c r="AF37" s="80">
        <f>SUMIFS('май 2024'!$G$4:$G$1753,'май 2024'!$D$4:$D$1753,$B37,'май 2024'!$J$4:$J$1753,AF$1)</f>
        <v>0</v>
      </c>
      <c r="AG37" s="80">
        <f>SUMIFS('май 2024'!$G$4:$G$1753,'май 2024'!$D$4:$D$1753,$B37,'май 2024'!$J$4:$J$1753,AG$1)</f>
        <v>0</v>
      </c>
      <c r="AH37" s="80">
        <f>SUMIFS('май 2024'!$G$4:$G$1753,'май 2024'!$D$4:$D$1753,$B37,'май 2024'!$J$4:$J$1753,AH$1)</f>
        <v>0</v>
      </c>
      <c r="AI37" s="21">
        <f t="shared" si="1"/>
        <v>0</v>
      </c>
    </row>
    <row r="38" spans="2:35" ht="15" customHeight="1" x14ac:dyDescent="0.25">
      <c r="B38" s="150" t="s">
        <v>286</v>
      </c>
      <c r="C38" s="152">
        <v>25</v>
      </c>
      <c r="D38" s="80">
        <f>SUMIFS('май 2024'!$G$4:$G$1753,'май 2024'!$D$4:$D$1753,$B38,'май 2024'!$J$4:$J$1753,D$1)</f>
        <v>0</v>
      </c>
      <c r="E38" s="80">
        <f>SUMIFS('май 2024'!$G$4:$G$1753,'май 2024'!$D$4:$D$1753,$B38,'май 2024'!$J$4:$J$1753,E$1)</f>
        <v>0</v>
      </c>
      <c r="F38" s="80">
        <f>SUMIFS('май 2024'!$G$4:$G$1753,'май 2024'!$D$4:$D$1753,$B38,'май 2024'!$J$4:$J$1753,F$1)</f>
        <v>0</v>
      </c>
      <c r="G38" s="80">
        <f>SUMIFS('май 2024'!$G$4:$G$1753,'май 2024'!$D$4:$D$1753,$B38,'май 2024'!$J$4:$J$1753,G$1)</f>
        <v>0</v>
      </c>
      <c r="H38" s="80">
        <f>SUMIFS('май 2024'!$G$4:$G$1753,'май 2024'!$D$4:$D$1753,$B38,'май 2024'!$J$4:$J$1753,H$1)</f>
        <v>0</v>
      </c>
      <c r="I38" s="80">
        <f>SUMIFS('май 2024'!$G$4:$G$1753,'май 2024'!$D$4:$D$1753,$B38,'май 2024'!$J$4:$J$1753,I$1)</f>
        <v>0</v>
      </c>
      <c r="J38" s="80">
        <f>SUMIFS('май 2024'!$G$4:$G$1753,'май 2024'!$D$4:$D$1753,$B38,'май 2024'!$J$4:$J$1753,J$1)</f>
        <v>0</v>
      </c>
      <c r="K38" s="80">
        <f>SUMIFS('май 2024'!$G$4:$G$1753,'май 2024'!$D$4:$D$1753,$B38,'май 2024'!$J$4:$J$1753,K$1)</f>
        <v>0</v>
      </c>
      <c r="L38" s="80">
        <f>SUMIFS('май 2024'!$G$4:$G$1753,'май 2024'!$D$4:$D$1753,$B38,'май 2024'!$J$4:$J$1753,L$1)</f>
        <v>0</v>
      </c>
      <c r="M38" s="80">
        <f>SUMIFS('май 2024'!$G$4:$G$1753,'май 2024'!$D$4:$D$1753,$B38,'май 2024'!$J$4:$J$1753,M$1)</f>
        <v>0</v>
      </c>
      <c r="N38" s="80">
        <f>SUMIFS('май 2024'!$G$4:$G$1753,'май 2024'!$D$4:$D$1753,$B38,'май 2024'!$J$4:$J$1753,N$1)</f>
        <v>0</v>
      </c>
      <c r="O38" s="80">
        <f>SUMIFS('май 2024'!$G$4:$G$1753,'май 2024'!$D$4:$D$1753,$B38,'май 2024'!$J$4:$J$1753,O$1)</f>
        <v>0</v>
      </c>
      <c r="P38" s="80">
        <f>SUMIFS('май 2024'!$G$4:$G$1753,'май 2024'!$D$4:$D$1753,$B38,'май 2024'!$J$4:$J$1753,P$1)</f>
        <v>0</v>
      </c>
      <c r="Q38" s="80">
        <f>SUMIFS('май 2024'!$G$4:$G$1753,'май 2024'!$D$4:$D$1753,$B38,'май 2024'!$J$4:$J$1753,Q$1)</f>
        <v>0</v>
      </c>
      <c r="R38" s="80">
        <f>SUMIFS('май 2024'!$G$4:$G$1753,'май 2024'!$D$4:$D$1753,$B38,'май 2024'!$J$4:$J$1753,R$1)</f>
        <v>0</v>
      </c>
      <c r="S38" s="80">
        <f>SUMIFS('май 2024'!$G$4:$G$1753,'май 2024'!$D$4:$D$1753,$B38,'май 2024'!$J$4:$J$1753,S$1)</f>
        <v>0</v>
      </c>
      <c r="T38" s="80">
        <f>SUMIFS('май 2024'!$G$4:$G$1753,'май 2024'!$D$4:$D$1753,$B38,'май 2024'!$J$4:$J$1753,T$1)</f>
        <v>0</v>
      </c>
      <c r="U38" s="80">
        <f>SUMIFS('май 2024'!$G$4:$G$1753,'май 2024'!$D$4:$D$1753,$B38,'май 2024'!$J$4:$J$1753,U$1)</f>
        <v>0</v>
      </c>
      <c r="V38" s="80">
        <f>SUMIFS('май 2024'!$G$4:$G$1753,'май 2024'!$D$4:$D$1753,$B38,'май 2024'!$J$4:$J$1753,V$1)</f>
        <v>0</v>
      </c>
      <c r="W38" s="80">
        <f>SUMIFS('май 2024'!$G$4:$G$1753,'май 2024'!$D$4:$D$1753,$B38,'май 2024'!$J$4:$J$1753,W$1)</f>
        <v>0</v>
      </c>
      <c r="X38" s="80">
        <f>SUMIFS('май 2024'!$G$4:$G$1753,'май 2024'!$D$4:$D$1753,$B38,'май 2024'!$J$4:$J$1753,X$1)</f>
        <v>0</v>
      </c>
      <c r="Y38" s="80">
        <f>SUMIFS('май 2024'!$G$4:$G$1753,'май 2024'!$D$4:$D$1753,$B38,'май 2024'!$J$4:$J$1753,Y$1)</f>
        <v>800</v>
      </c>
      <c r="Z38" s="80">
        <f>SUMIFS('май 2024'!$G$4:$G$1753,'май 2024'!$D$4:$D$1753,$B38,'май 2024'!$J$4:$J$1753,Z$1)</f>
        <v>0</v>
      </c>
      <c r="AA38" s="80">
        <f>SUMIFS('май 2024'!$G$4:$G$1753,'май 2024'!$D$4:$D$1753,$B38,'май 2024'!$J$4:$J$1753,AA$1)</f>
        <v>0</v>
      </c>
      <c r="AB38" s="80">
        <f>SUMIFS('май 2024'!$G$4:$G$1753,'май 2024'!$D$4:$D$1753,$B38,'май 2024'!$J$4:$J$1753,AB$1)</f>
        <v>0</v>
      </c>
      <c r="AC38" s="80">
        <f>SUMIFS('май 2024'!$G$4:$G$1753,'май 2024'!$D$4:$D$1753,$B38,'май 2024'!$J$4:$J$1753,AC$1)</f>
        <v>0</v>
      </c>
      <c r="AD38" s="80">
        <f>SUMIFS('май 2024'!$G$4:$G$1753,'май 2024'!$D$4:$D$1753,$B38,'май 2024'!$J$4:$J$1753,AD$1)</f>
        <v>0</v>
      </c>
      <c r="AE38" s="80">
        <f>SUMIFS('май 2024'!$G$4:$G$1753,'май 2024'!$D$4:$D$1753,$B38,'май 2024'!$J$4:$J$1753,AE$1)</f>
        <v>0</v>
      </c>
      <c r="AF38" s="80">
        <f>SUMIFS('май 2024'!$G$4:$G$1753,'май 2024'!$D$4:$D$1753,$B38,'май 2024'!$J$4:$J$1753,AF$1)</f>
        <v>0</v>
      </c>
      <c r="AG38" s="80">
        <f>SUMIFS('май 2024'!$G$4:$G$1753,'май 2024'!$D$4:$D$1753,$B38,'май 2024'!$J$4:$J$1753,AG$1)</f>
        <v>0</v>
      </c>
      <c r="AH38" s="80">
        <f>SUMIFS('май 2024'!$G$4:$G$1753,'май 2024'!$D$4:$D$1753,$B38,'май 2024'!$J$4:$J$1753,AH$1)</f>
        <v>0</v>
      </c>
      <c r="AI38" s="21">
        <f t="shared" si="1"/>
        <v>800</v>
      </c>
    </row>
    <row r="39" spans="2:35" ht="15" customHeight="1" x14ac:dyDescent="0.25">
      <c r="B39" s="150" t="s">
        <v>288</v>
      </c>
      <c r="C39" s="153">
        <v>25</v>
      </c>
      <c r="D39" s="80">
        <f>SUMIFS('май 2024'!$G$4:$G$1753,'май 2024'!$D$4:$D$1753,$B39,'май 2024'!$J$4:$J$1753,D$1)</f>
        <v>0</v>
      </c>
      <c r="E39" s="80">
        <f>SUMIFS('май 2024'!$G$4:$G$1753,'май 2024'!$D$4:$D$1753,$B39,'май 2024'!$J$4:$J$1753,E$1)</f>
        <v>0</v>
      </c>
      <c r="F39" s="80">
        <f>SUMIFS('май 2024'!$G$4:$G$1753,'май 2024'!$D$4:$D$1753,$B39,'май 2024'!$J$4:$J$1753,F$1)</f>
        <v>0</v>
      </c>
      <c r="G39" s="80">
        <f>SUMIFS('май 2024'!$G$4:$G$1753,'май 2024'!$D$4:$D$1753,$B39,'май 2024'!$J$4:$J$1753,G$1)</f>
        <v>0</v>
      </c>
      <c r="H39" s="80">
        <f>SUMIFS('май 2024'!$G$4:$G$1753,'май 2024'!$D$4:$D$1753,$B39,'май 2024'!$J$4:$J$1753,H$1)</f>
        <v>0</v>
      </c>
      <c r="I39" s="80">
        <f>SUMIFS('май 2024'!$G$4:$G$1753,'май 2024'!$D$4:$D$1753,$B39,'май 2024'!$J$4:$J$1753,I$1)</f>
        <v>0</v>
      </c>
      <c r="J39" s="80">
        <f>SUMIFS('май 2024'!$G$4:$G$1753,'май 2024'!$D$4:$D$1753,$B39,'май 2024'!$J$4:$J$1753,J$1)</f>
        <v>0</v>
      </c>
      <c r="K39" s="80">
        <f>SUMIFS('май 2024'!$G$4:$G$1753,'май 2024'!$D$4:$D$1753,$B39,'май 2024'!$J$4:$J$1753,K$1)</f>
        <v>0</v>
      </c>
      <c r="L39" s="80">
        <f>SUMIFS('май 2024'!$G$4:$G$1753,'май 2024'!$D$4:$D$1753,$B39,'май 2024'!$J$4:$J$1753,L$1)</f>
        <v>0</v>
      </c>
      <c r="M39" s="80">
        <f>SUMIFS('май 2024'!$G$4:$G$1753,'май 2024'!$D$4:$D$1753,$B39,'май 2024'!$J$4:$J$1753,M$1)</f>
        <v>0</v>
      </c>
      <c r="N39" s="80">
        <f>SUMIFS('май 2024'!$G$4:$G$1753,'май 2024'!$D$4:$D$1753,$B39,'май 2024'!$J$4:$J$1753,N$1)</f>
        <v>0</v>
      </c>
      <c r="O39" s="80">
        <f>SUMIFS('май 2024'!$G$4:$G$1753,'май 2024'!$D$4:$D$1753,$B39,'май 2024'!$J$4:$J$1753,O$1)</f>
        <v>0</v>
      </c>
      <c r="P39" s="80">
        <f>SUMIFS('май 2024'!$G$4:$G$1753,'май 2024'!$D$4:$D$1753,$B39,'май 2024'!$J$4:$J$1753,P$1)</f>
        <v>0</v>
      </c>
      <c r="Q39" s="80">
        <f>SUMIFS('май 2024'!$G$4:$G$1753,'май 2024'!$D$4:$D$1753,$B39,'май 2024'!$J$4:$J$1753,Q$1)</f>
        <v>0</v>
      </c>
      <c r="R39" s="80">
        <f>SUMIFS('май 2024'!$G$4:$G$1753,'май 2024'!$D$4:$D$1753,$B39,'май 2024'!$J$4:$J$1753,R$1)</f>
        <v>0</v>
      </c>
      <c r="S39" s="80">
        <f>SUMIFS('май 2024'!$G$4:$G$1753,'май 2024'!$D$4:$D$1753,$B39,'май 2024'!$J$4:$J$1753,S$1)</f>
        <v>0</v>
      </c>
      <c r="T39" s="80">
        <f>SUMIFS('май 2024'!$G$4:$G$1753,'май 2024'!$D$4:$D$1753,$B39,'май 2024'!$J$4:$J$1753,T$1)</f>
        <v>0</v>
      </c>
      <c r="U39" s="80">
        <f>SUMIFS('май 2024'!$G$4:$G$1753,'май 2024'!$D$4:$D$1753,$B39,'май 2024'!$J$4:$J$1753,U$1)</f>
        <v>0</v>
      </c>
      <c r="V39" s="80">
        <f>SUMIFS('май 2024'!$G$4:$G$1753,'май 2024'!$D$4:$D$1753,$B39,'май 2024'!$J$4:$J$1753,V$1)</f>
        <v>0</v>
      </c>
      <c r="W39" s="80">
        <f>SUMIFS('май 2024'!$G$4:$G$1753,'май 2024'!$D$4:$D$1753,$B39,'май 2024'!$J$4:$J$1753,W$1)</f>
        <v>0</v>
      </c>
      <c r="X39" s="80">
        <f>SUMIFS('май 2024'!$G$4:$G$1753,'май 2024'!$D$4:$D$1753,$B39,'май 2024'!$J$4:$J$1753,X$1)</f>
        <v>0</v>
      </c>
      <c r="Y39" s="80">
        <f>SUMIFS('май 2024'!$G$4:$G$1753,'май 2024'!$D$4:$D$1753,$B39,'май 2024'!$J$4:$J$1753,Y$1)</f>
        <v>0</v>
      </c>
      <c r="Z39" s="80">
        <f>SUMIFS('май 2024'!$G$4:$G$1753,'май 2024'!$D$4:$D$1753,$B39,'май 2024'!$J$4:$J$1753,Z$1)</f>
        <v>0</v>
      </c>
      <c r="AA39" s="80">
        <f>SUMIFS('май 2024'!$G$4:$G$1753,'май 2024'!$D$4:$D$1753,$B39,'май 2024'!$J$4:$J$1753,AA$1)</f>
        <v>0</v>
      </c>
      <c r="AB39" s="80">
        <f>SUMIFS('май 2024'!$G$4:$G$1753,'май 2024'!$D$4:$D$1753,$B39,'май 2024'!$J$4:$J$1753,AB$1)</f>
        <v>0</v>
      </c>
      <c r="AC39" s="80">
        <f>SUMIFS('май 2024'!$G$4:$G$1753,'май 2024'!$D$4:$D$1753,$B39,'май 2024'!$J$4:$J$1753,AC$1)</f>
        <v>0</v>
      </c>
      <c r="AD39" s="80">
        <f>SUMIFS('май 2024'!$G$4:$G$1753,'май 2024'!$D$4:$D$1753,$B39,'май 2024'!$J$4:$J$1753,AD$1)</f>
        <v>0</v>
      </c>
      <c r="AE39" s="80">
        <f>SUMIFS('май 2024'!$G$4:$G$1753,'май 2024'!$D$4:$D$1753,$B39,'май 2024'!$J$4:$J$1753,AE$1)</f>
        <v>0</v>
      </c>
      <c r="AF39" s="80">
        <f>SUMIFS('май 2024'!$G$4:$G$1753,'май 2024'!$D$4:$D$1753,$B39,'май 2024'!$J$4:$J$1753,AF$1)</f>
        <v>0</v>
      </c>
      <c r="AG39" s="80">
        <f>SUMIFS('май 2024'!$G$4:$G$1753,'май 2024'!$D$4:$D$1753,$B39,'май 2024'!$J$4:$J$1753,AG$1)</f>
        <v>0</v>
      </c>
      <c r="AH39" s="80">
        <f>SUMIFS('май 2024'!$G$4:$G$1753,'май 2024'!$D$4:$D$1753,$B39,'май 2024'!$J$4:$J$1753,AH$1)</f>
        <v>0</v>
      </c>
      <c r="AI39" s="21">
        <f t="shared" si="1"/>
        <v>0</v>
      </c>
    </row>
    <row r="40" spans="2:35" ht="15" customHeight="1" x14ac:dyDescent="0.25">
      <c r="B40" s="150" t="s">
        <v>290</v>
      </c>
      <c r="C40" s="149">
        <v>22.68</v>
      </c>
      <c r="D40" s="80">
        <f>SUMIFS('май 2024'!$G$4:$G$1753,'май 2024'!$D$4:$D$1753,$B40,'май 2024'!$J$4:$J$1753,D$1)</f>
        <v>0</v>
      </c>
      <c r="E40" s="80">
        <f>SUMIFS('май 2024'!$G$4:$G$1753,'май 2024'!$D$4:$D$1753,$B40,'май 2024'!$J$4:$J$1753,E$1)</f>
        <v>0</v>
      </c>
      <c r="F40" s="80">
        <f>SUMIFS('май 2024'!$G$4:$G$1753,'май 2024'!$D$4:$D$1753,$B40,'май 2024'!$J$4:$J$1753,F$1)</f>
        <v>0</v>
      </c>
      <c r="G40" s="80">
        <f>SUMIFS('май 2024'!$G$4:$G$1753,'май 2024'!$D$4:$D$1753,$B40,'май 2024'!$J$4:$J$1753,G$1)</f>
        <v>0</v>
      </c>
      <c r="H40" s="80">
        <f>SUMIFS('май 2024'!$G$4:$G$1753,'май 2024'!$D$4:$D$1753,$B40,'май 2024'!$J$4:$J$1753,H$1)</f>
        <v>0</v>
      </c>
      <c r="I40" s="80">
        <f>SUMIFS('май 2024'!$G$4:$G$1753,'май 2024'!$D$4:$D$1753,$B40,'май 2024'!$J$4:$J$1753,I$1)</f>
        <v>0</v>
      </c>
      <c r="J40" s="80">
        <f>SUMIFS('май 2024'!$G$4:$G$1753,'май 2024'!$D$4:$D$1753,$B40,'май 2024'!$J$4:$J$1753,J$1)</f>
        <v>0</v>
      </c>
      <c r="K40" s="80">
        <f>SUMIFS('май 2024'!$G$4:$G$1753,'май 2024'!$D$4:$D$1753,$B40,'май 2024'!$J$4:$J$1753,K$1)</f>
        <v>0</v>
      </c>
      <c r="L40" s="80">
        <f>SUMIFS('май 2024'!$G$4:$G$1753,'май 2024'!$D$4:$D$1753,$B40,'май 2024'!$J$4:$J$1753,L$1)</f>
        <v>0</v>
      </c>
      <c r="M40" s="80">
        <f>SUMIFS('май 2024'!$G$4:$G$1753,'май 2024'!$D$4:$D$1753,$B40,'май 2024'!$J$4:$J$1753,M$1)</f>
        <v>0</v>
      </c>
      <c r="N40" s="80">
        <f>SUMIFS('май 2024'!$G$4:$G$1753,'май 2024'!$D$4:$D$1753,$B40,'май 2024'!$J$4:$J$1753,N$1)</f>
        <v>0</v>
      </c>
      <c r="O40" s="80">
        <f>SUMIFS('май 2024'!$G$4:$G$1753,'май 2024'!$D$4:$D$1753,$B40,'май 2024'!$J$4:$J$1753,O$1)</f>
        <v>0</v>
      </c>
      <c r="P40" s="80">
        <f>SUMIFS('май 2024'!$G$4:$G$1753,'май 2024'!$D$4:$D$1753,$B40,'май 2024'!$J$4:$J$1753,P$1)</f>
        <v>0</v>
      </c>
      <c r="Q40" s="80">
        <f>SUMIFS('май 2024'!$G$4:$G$1753,'май 2024'!$D$4:$D$1753,$B40,'май 2024'!$J$4:$J$1753,Q$1)</f>
        <v>0</v>
      </c>
      <c r="R40" s="80">
        <f>SUMIFS('май 2024'!$G$4:$G$1753,'май 2024'!$D$4:$D$1753,$B40,'май 2024'!$J$4:$J$1753,R$1)</f>
        <v>0</v>
      </c>
      <c r="S40" s="80">
        <f>SUMIFS('май 2024'!$G$4:$G$1753,'май 2024'!$D$4:$D$1753,$B40,'май 2024'!$J$4:$J$1753,S$1)</f>
        <v>0</v>
      </c>
      <c r="T40" s="80">
        <f>SUMIFS('май 2024'!$G$4:$G$1753,'май 2024'!$D$4:$D$1753,$B40,'май 2024'!$J$4:$J$1753,T$1)</f>
        <v>0</v>
      </c>
      <c r="U40" s="80">
        <f>SUMIFS('май 2024'!$G$4:$G$1753,'май 2024'!$D$4:$D$1753,$B40,'май 2024'!$J$4:$J$1753,U$1)</f>
        <v>0</v>
      </c>
      <c r="V40" s="80">
        <f>SUMIFS('май 2024'!$G$4:$G$1753,'май 2024'!$D$4:$D$1753,$B40,'май 2024'!$J$4:$J$1753,V$1)</f>
        <v>0</v>
      </c>
      <c r="W40" s="80">
        <f>SUMIFS('май 2024'!$G$4:$G$1753,'май 2024'!$D$4:$D$1753,$B40,'май 2024'!$J$4:$J$1753,W$1)</f>
        <v>0</v>
      </c>
      <c r="X40" s="80">
        <f>SUMIFS('май 2024'!$G$4:$G$1753,'май 2024'!$D$4:$D$1753,$B40,'май 2024'!$J$4:$J$1753,X$1)</f>
        <v>0</v>
      </c>
      <c r="Y40" s="80">
        <f>SUMIFS('май 2024'!$G$4:$G$1753,'май 2024'!$D$4:$D$1753,$B40,'май 2024'!$J$4:$J$1753,Y$1)</f>
        <v>0</v>
      </c>
      <c r="Z40" s="80">
        <f>SUMIFS('май 2024'!$G$4:$G$1753,'май 2024'!$D$4:$D$1753,$B40,'май 2024'!$J$4:$J$1753,Z$1)</f>
        <v>0</v>
      </c>
      <c r="AA40" s="80">
        <f>SUMIFS('май 2024'!$G$4:$G$1753,'май 2024'!$D$4:$D$1753,$B40,'май 2024'!$J$4:$J$1753,AA$1)</f>
        <v>0</v>
      </c>
      <c r="AB40" s="80">
        <f>SUMIFS('май 2024'!$G$4:$G$1753,'май 2024'!$D$4:$D$1753,$B40,'май 2024'!$J$4:$J$1753,AB$1)</f>
        <v>0</v>
      </c>
      <c r="AC40" s="80">
        <f>SUMIFS('май 2024'!$G$4:$G$1753,'май 2024'!$D$4:$D$1753,$B40,'май 2024'!$J$4:$J$1753,AC$1)</f>
        <v>0</v>
      </c>
      <c r="AD40" s="80">
        <f>SUMIFS('май 2024'!$G$4:$G$1753,'май 2024'!$D$4:$D$1753,$B40,'май 2024'!$J$4:$J$1753,AD$1)</f>
        <v>0</v>
      </c>
      <c r="AE40" s="80">
        <f>SUMIFS('май 2024'!$G$4:$G$1753,'май 2024'!$D$4:$D$1753,$B40,'май 2024'!$J$4:$J$1753,AE$1)</f>
        <v>0</v>
      </c>
      <c r="AF40" s="80">
        <f>SUMIFS('май 2024'!$G$4:$G$1753,'май 2024'!$D$4:$D$1753,$B40,'май 2024'!$J$4:$J$1753,AF$1)</f>
        <v>0</v>
      </c>
      <c r="AG40" s="80">
        <f>SUMIFS('май 2024'!$G$4:$G$1753,'май 2024'!$D$4:$D$1753,$B40,'май 2024'!$J$4:$J$1753,AG$1)</f>
        <v>0</v>
      </c>
      <c r="AH40" s="80">
        <f>SUMIFS('май 2024'!$G$4:$G$1753,'май 2024'!$D$4:$D$1753,$B40,'май 2024'!$J$4:$J$1753,AH$1)</f>
        <v>0</v>
      </c>
      <c r="AI40" s="21">
        <f t="shared" si="1"/>
        <v>0</v>
      </c>
    </row>
    <row r="41" spans="2:35" ht="15" customHeight="1" x14ac:dyDescent="0.25">
      <c r="B41" s="154" t="s">
        <v>292</v>
      </c>
      <c r="C41" s="151">
        <v>25</v>
      </c>
      <c r="D41" s="80">
        <f>SUMIFS('май 2024'!$G$4:$G$1753,'май 2024'!$D$4:$D$1753,$B41,'май 2024'!$J$4:$J$1753,D$1)</f>
        <v>0</v>
      </c>
      <c r="E41" s="80">
        <f>SUMIFS('май 2024'!$G$4:$G$1753,'май 2024'!$D$4:$D$1753,$B41,'май 2024'!$J$4:$J$1753,E$1)</f>
        <v>0</v>
      </c>
      <c r="F41" s="80">
        <f>SUMIFS('май 2024'!$G$4:$G$1753,'май 2024'!$D$4:$D$1753,$B41,'май 2024'!$J$4:$J$1753,F$1)</f>
        <v>0</v>
      </c>
      <c r="G41" s="80">
        <f>SUMIFS('май 2024'!$G$4:$G$1753,'май 2024'!$D$4:$D$1753,$B41,'май 2024'!$J$4:$J$1753,G$1)</f>
        <v>0</v>
      </c>
      <c r="H41" s="80">
        <f>SUMIFS('май 2024'!$G$4:$G$1753,'май 2024'!$D$4:$D$1753,$B41,'май 2024'!$J$4:$J$1753,H$1)</f>
        <v>0</v>
      </c>
      <c r="I41" s="80">
        <f>SUMIFS('май 2024'!$G$4:$G$1753,'май 2024'!$D$4:$D$1753,$B41,'май 2024'!$J$4:$J$1753,I$1)</f>
        <v>0</v>
      </c>
      <c r="J41" s="80">
        <f>SUMIFS('май 2024'!$G$4:$G$1753,'май 2024'!$D$4:$D$1753,$B41,'май 2024'!$J$4:$J$1753,J$1)</f>
        <v>0</v>
      </c>
      <c r="K41" s="80">
        <f>SUMIFS('май 2024'!$G$4:$G$1753,'май 2024'!$D$4:$D$1753,$B41,'май 2024'!$J$4:$J$1753,K$1)</f>
        <v>0</v>
      </c>
      <c r="L41" s="80">
        <f>SUMIFS('май 2024'!$G$4:$G$1753,'май 2024'!$D$4:$D$1753,$B41,'май 2024'!$J$4:$J$1753,L$1)</f>
        <v>0</v>
      </c>
      <c r="M41" s="80">
        <f>SUMIFS('май 2024'!$G$4:$G$1753,'май 2024'!$D$4:$D$1753,$B41,'май 2024'!$J$4:$J$1753,M$1)</f>
        <v>0</v>
      </c>
      <c r="N41" s="80">
        <f>SUMIFS('май 2024'!$G$4:$G$1753,'май 2024'!$D$4:$D$1753,$B41,'май 2024'!$J$4:$J$1753,N$1)</f>
        <v>0</v>
      </c>
      <c r="O41" s="80">
        <f>SUMIFS('май 2024'!$G$4:$G$1753,'май 2024'!$D$4:$D$1753,$B41,'май 2024'!$J$4:$J$1753,O$1)</f>
        <v>0</v>
      </c>
      <c r="P41" s="80">
        <f>SUMIFS('май 2024'!$G$4:$G$1753,'май 2024'!$D$4:$D$1753,$B41,'май 2024'!$J$4:$J$1753,P$1)</f>
        <v>0</v>
      </c>
      <c r="Q41" s="80">
        <f>SUMIFS('май 2024'!$G$4:$G$1753,'май 2024'!$D$4:$D$1753,$B41,'май 2024'!$J$4:$J$1753,Q$1)</f>
        <v>0</v>
      </c>
      <c r="R41" s="80">
        <f>SUMIFS('май 2024'!$G$4:$G$1753,'май 2024'!$D$4:$D$1753,$B41,'май 2024'!$J$4:$J$1753,R$1)</f>
        <v>0</v>
      </c>
      <c r="S41" s="80">
        <f>SUMIFS('май 2024'!$G$4:$G$1753,'май 2024'!$D$4:$D$1753,$B41,'май 2024'!$J$4:$J$1753,S$1)</f>
        <v>0</v>
      </c>
      <c r="T41" s="80">
        <f>SUMIFS('май 2024'!$G$4:$G$1753,'май 2024'!$D$4:$D$1753,$B41,'май 2024'!$J$4:$J$1753,T$1)</f>
        <v>0</v>
      </c>
      <c r="U41" s="80">
        <f>SUMIFS('май 2024'!$G$4:$G$1753,'май 2024'!$D$4:$D$1753,$B41,'май 2024'!$J$4:$J$1753,U$1)</f>
        <v>0</v>
      </c>
      <c r="V41" s="80">
        <f>SUMIFS('май 2024'!$G$4:$G$1753,'май 2024'!$D$4:$D$1753,$B41,'май 2024'!$J$4:$J$1753,V$1)</f>
        <v>0</v>
      </c>
      <c r="W41" s="80">
        <f>SUMIFS('май 2024'!$G$4:$G$1753,'май 2024'!$D$4:$D$1753,$B41,'май 2024'!$J$4:$J$1753,W$1)</f>
        <v>0</v>
      </c>
      <c r="X41" s="80">
        <f>SUMIFS('май 2024'!$G$4:$G$1753,'май 2024'!$D$4:$D$1753,$B41,'май 2024'!$J$4:$J$1753,X$1)</f>
        <v>0</v>
      </c>
      <c r="Y41" s="80">
        <f>SUMIFS('май 2024'!$G$4:$G$1753,'май 2024'!$D$4:$D$1753,$B41,'май 2024'!$J$4:$J$1753,Y$1)</f>
        <v>0</v>
      </c>
      <c r="Z41" s="80">
        <f>SUMIFS('май 2024'!$G$4:$G$1753,'май 2024'!$D$4:$D$1753,$B41,'май 2024'!$J$4:$J$1753,Z$1)</f>
        <v>0</v>
      </c>
      <c r="AA41" s="80">
        <f>SUMIFS('май 2024'!$G$4:$G$1753,'май 2024'!$D$4:$D$1753,$B41,'май 2024'!$J$4:$J$1753,AA$1)</f>
        <v>0</v>
      </c>
      <c r="AB41" s="80">
        <f>SUMIFS('май 2024'!$G$4:$G$1753,'май 2024'!$D$4:$D$1753,$B41,'май 2024'!$J$4:$J$1753,AB$1)</f>
        <v>0</v>
      </c>
      <c r="AC41" s="80">
        <f>SUMIFS('май 2024'!$G$4:$G$1753,'май 2024'!$D$4:$D$1753,$B41,'май 2024'!$J$4:$J$1753,AC$1)</f>
        <v>0</v>
      </c>
      <c r="AD41" s="80">
        <f>SUMIFS('май 2024'!$G$4:$G$1753,'май 2024'!$D$4:$D$1753,$B41,'май 2024'!$J$4:$J$1753,AD$1)</f>
        <v>0</v>
      </c>
      <c r="AE41" s="80">
        <f>SUMIFS('май 2024'!$G$4:$G$1753,'май 2024'!$D$4:$D$1753,$B41,'май 2024'!$J$4:$J$1753,AE$1)</f>
        <v>0</v>
      </c>
      <c r="AF41" s="80">
        <f>SUMIFS('май 2024'!$G$4:$G$1753,'май 2024'!$D$4:$D$1753,$B41,'май 2024'!$J$4:$J$1753,AF$1)</f>
        <v>0</v>
      </c>
      <c r="AG41" s="80">
        <f>SUMIFS('май 2024'!$G$4:$G$1753,'май 2024'!$D$4:$D$1753,$B41,'май 2024'!$J$4:$J$1753,AG$1)</f>
        <v>0</v>
      </c>
      <c r="AH41" s="80">
        <f>SUMIFS('май 2024'!$G$4:$G$1753,'май 2024'!$D$4:$D$1753,$B41,'май 2024'!$J$4:$J$1753,AH$1)</f>
        <v>0</v>
      </c>
      <c r="AI41" s="21">
        <f t="shared" si="1"/>
        <v>0</v>
      </c>
    </row>
    <row r="42" spans="2:35" ht="15" customHeight="1" x14ac:dyDescent="0.25">
      <c r="B42" s="150" t="s">
        <v>294</v>
      </c>
      <c r="C42" s="153">
        <v>25</v>
      </c>
      <c r="D42" s="80">
        <f>SUMIFS('май 2024'!$G$4:$G$1753,'май 2024'!$D$4:$D$1753,$B42,'май 2024'!$J$4:$J$1753,D$1)</f>
        <v>0</v>
      </c>
      <c r="E42" s="80">
        <f>SUMIFS('май 2024'!$G$4:$G$1753,'май 2024'!$D$4:$D$1753,$B42,'май 2024'!$J$4:$J$1753,E$1)</f>
        <v>0</v>
      </c>
      <c r="F42" s="80">
        <f>SUMIFS('май 2024'!$G$4:$G$1753,'май 2024'!$D$4:$D$1753,$B42,'май 2024'!$J$4:$J$1753,F$1)</f>
        <v>0</v>
      </c>
      <c r="G42" s="80">
        <f>SUMIFS('май 2024'!$G$4:$G$1753,'май 2024'!$D$4:$D$1753,$B42,'май 2024'!$J$4:$J$1753,G$1)</f>
        <v>0</v>
      </c>
      <c r="H42" s="80">
        <f>SUMIFS('май 2024'!$G$4:$G$1753,'май 2024'!$D$4:$D$1753,$B42,'май 2024'!$J$4:$J$1753,H$1)</f>
        <v>0</v>
      </c>
      <c r="I42" s="80">
        <f>SUMIFS('май 2024'!$G$4:$G$1753,'май 2024'!$D$4:$D$1753,$B42,'май 2024'!$J$4:$J$1753,I$1)</f>
        <v>0</v>
      </c>
      <c r="J42" s="80">
        <f>SUMIFS('май 2024'!$G$4:$G$1753,'май 2024'!$D$4:$D$1753,$B42,'май 2024'!$J$4:$J$1753,J$1)</f>
        <v>0</v>
      </c>
      <c r="K42" s="80">
        <f>SUMIFS('май 2024'!$G$4:$G$1753,'май 2024'!$D$4:$D$1753,$B42,'май 2024'!$J$4:$J$1753,K$1)</f>
        <v>0</v>
      </c>
      <c r="L42" s="80">
        <f>SUMIFS('май 2024'!$G$4:$G$1753,'май 2024'!$D$4:$D$1753,$B42,'май 2024'!$J$4:$J$1753,L$1)</f>
        <v>0</v>
      </c>
      <c r="M42" s="80">
        <f>SUMIFS('май 2024'!$G$4:$G$1753,'май 2024'!$D$4:$D$1753,$B42,'май 2024'!$J$4:$J$1753,M$1)</f>
        <v>0</v>
      </c>
      <c r="N42" s="80">
        <f>SUMIFS('май 2024'!$G$4:$G$1753,'май 2024'!$D$4:$D$1753,$B42,'май 2024'!$J$4:$J$1753,N$1)</f>
        <v>0</v>
      </c>
      <c r="O42" s="80">
        <f>SUMIFS('май 2024'!$G$4:$G$1753,'май 2024'!$D$4:$D$1753,$B42,'май 2024'!$J$4:$J$1753,O$1)</f>
        <v>0</v>
      </c>
      <c r="P42" s="80">
        <f>SUMIFS('май 2024'!$G$4:$G$1753,'май 2024'!$D$4:$D$1753,$B42,'май 2024'!$J$4:$J$1753,P$1)</f>
        <v>0</v>
      </c>
      <c r="Q42" s="80">
        <f>SUMIFS('май 2024'!$G$4:$G$1753,'май 2024'!$D$4:$D$1753,$B42,'май 2024'!$J$4:$J$1753,Q$1)</f>
        <v>0</v>
      </c>
      <c r="R42" s="80">
        <f>SUMIFS('май 2024'!$G$4:$G$1753,'май 2024'!$D$4:$D$1753,$B42,'май 2024'!$J$4:$J$1753,R$1)</f>
        <v>0</v>
      </c>
      <c r="S42" s="80">
        <f>SUMIFS('май 2024'!$G$4:$G$1753,'май 2024'!$D$4:$D$1753,$B42,'май 2024'!$J$4:$J$1753,S$1)</f>
        <v>0</v>
      </c>
      <c r="T42" s="80">
        <f>SUMIFS('май 2024'!$G$4:$G$1753,'май 2024'!$D$4:$D$1753,$B42,'май 2024'!$J$4:$J$1753,T$1)</f>
        <v>0</v>
      </c>
      <c r="U42" s="80">
        <f>SUMIFS('май 2024'!$G$4:$G$1753,'май 2024'!$D$4:$D$1753,$B42,'май 2024'!$J$4:$J$1753,U$1)</f>
        <v>0</v>
      </c>
      <c r="V42" s="80">
        <f>SUMIFS('май 2024'!$G$4:$G$1753,'май 2024'!$D$4:$D$1753,$B42,'май 2024'!$J$4:$J$1753,V$1)</f>
        <v>0</v>
      </c>
      <c r="W42" s="80">
        <f>SUMIFS('май 2024'!$G$4:$G$1753,'май 2024'!$D$4:$D$1753,$B42,'май 2024'!$J$4:$J$1753,W$1)</f>
        <v>0</v>
      </c>
      <c r="X42" s="80">
        <f>SUMIFS('май 2024'!$G$4:$G$1753,'май 2024'!$D$4:$D$1753,$B42,'май 2024'!$J$4:$J$1753,X$1)</f>
        <v>0</v>
      </c>
      <c r="Y42" s="80">
        <f>SUMIFS('май 2024'!$G$4:$G$1753,'май 2024'!$D$4:$D$1753,$B42,'май 2024'!$J$4:$J$1753,Y$1)</f>
        <v>0</v>
      </c>
      <c r="Z42" s="80">
        <f>SUMIFS('май 2024'!$G$4:$G$1753,'май 2024'!$D$4:$D$1753,$B42,'май 2024'!$J$4:$J$1753,Z$1)</f>
        <v>0</v>
      </c>
      <c r="AA42" s="80">
        <f>SUMIFS('май 2024'!$G$4:$G$1753,'май 2024'!$D$4:$D$1753,$B42,'май 2024'!$J$4:$J$1753,AA$1)</f>
        <v>0</v>
      </c>
      <c r="AB42" s="80">
        <f>SUMIFS('май 2024'!$G$4:$G$1753,'май 2024'!$D$4:$D$1753,$B42,'май 2024'!$J$4:$J$1753,AB$1)</f>
        <v>0</v>
      </c>
      <c r="AC42" s="80">
        <f>SUMIFS('май 2024'!$G$4:$G$1753,'май 2024'!$D$4:$D$1753,$B42,'май 2024'!$J$4:$J$1753,AC$1)</f>
        <v>0</v>
      </c>
      <c r="AD42" s="80">
        <f>SUMIFS('май 2024'!$G$4:$G$1753,'май 2024'!$D$4:$D$1753,$B42,'май 2024'!$J$4:$J$1753,AD$1)</f>
        <v>0</v>
      </c>
      <c r="AE42" s="80">
        <f>SUMIFS('май 2024'!$G$4:$G$1753,'май 2024'!$D$4:$D$1753,$B42,'май 2024'!$J$4:$J$1753,AE$1)</f>
        <v>0</v>
      </c>
      <c r="AF42" s="80">
        <f>SUMIFS('май 2024'!$G$4:$G$1753,'май 2024'!$D$4:$D$1753,$B42,'май 2024'!$J$4:$J$1753,AF$1)</f>
        <v>0</v>
      </c>
      <c r="AG42" s="80">
        <f>SUMIFS('май 2024'!$G$4:$G$1753,'май 2024'!$D$4:$D$1753,$B42,'май 2024'!$J$4:$J$1753,AG$1)</f>
        <v>0</v>
      </c>
      <c r="AH42" s="80">
        <f>SUMIFS('май 2024'!$G$4:$G$1753,'май 2024'!$D$4:$D$1753,$B42,'май 2024'!$J$4:$J$1753,AH$1)</f>
        <v>0</v>
      </c>
      <c r="AI42" s="21">
        <f t="shared" si="1"/>
        <v>0</v>
      </c>
    </row>
    <row r="43" spans="2:35" ht="15" customHeight="1" x14ac:dyDescent="0.25">
      <c r="B43" s="154" t="s">
        <v>468</v>
      </c>
      <c r="C43" s="170">
        <v>25</v>
      </c>
      <c r="D43" s="80">
        <f>SUMIFS('май 2024'!$G$4:$G$1753,'май 2024'!$D$4:$D$1753,$B43,'май 2024'!$J$4:$J$1753,D$1)</f>
        <v>0</v>
      </c>
      <c r="E43" s="80">
        <f>SUMIFS('май 2024'!$G$4:$G$1753,'май 2024'!$D$4:$D$1753,$B43,'май 2024'!$J$4:$J$1753,E$1)</f>
        <v>0</v>
      </c>
      <c r="F43" s="80">
        <f>SUMIFS('май 2024'!$G$4:$G$1753,'май 2024'!$D$4:$D$1753,$B43,'май 2024'!$J$4:$J$1753,F$1)</f>
        <v>0</v>
      </c>
      <c r="G43" s="80">
        <f>SUMIFS('май 2024'!$G$4:$G$1753,'май 2024'!$D$4:$D$1753,$B43,'май 2024'!$J$4:$J$1753,G$1)</f>
        <v>0</v>
      </c>
      <c r="H43" s="80">
        <f>SUMIFS('май 2024'!$G$4:$G$1753,'май 2024'!$D$4:$D$1753,$B43,'май 2024'!$J$4:$J$1753,H$1)</f>
        <v>0</v>
      </c>
      <c r="I43" s="80">
        <f>SUMIFS('май 2024'!$G$4:$G$1753,'май 2024'!$D$4:$D$1753,$B43,'май 2024'!$J$4:$J$1753,I$1)</f>
        <v>0</v>
      </c>
      <c r="J43" s="80">
        <f>SUMIFS('май 2024'!$G$4:$G$1753,'май 2024'!$D$4:$D$1753,$B43,'май 2024'!$J$4:$J$1753,J$1)</f>
        <v>0</v>
      </c>
      <c r="K43" s="80">
        <f>SUMIFS('май 2024'!$G$4:$G$1753,'май 2024'!$D$4:$D$1753,$B43,'май 2024'!$J$4:$J$1753,K$1)</f>
        <v>0</v>
      </c>
      <c r="L43" s="80">
        <f>SUMIFS('май 2024'!$G$4:$G$1753,'май 2024'!$D$4:$D$1753,$B43,'май 2024'!$J$4:$J$1753,L$1)</f>
        <v>0</v>
      </c>
      <c r="M43" s="80">
        <f>SUMIFS('май 2024'!$G$4:$G$1753,'май 2024'!$D$4:$D$1753,$B43,'май 2024'!$J$4:$J$1753,M$1)</f>
        <v>0</v>
      </c>
      <c r="N43" s="80">
        <f>SUMIFS('май 2024'!$G$4:$G$1753,'май 2024'!$D$4:$D$1753,$B43,'май 2024'!$J$4:$J$1753,N$1)</f>
        <v>0</v>
      </c>
      <c r="O43" s="80">
        <f>SUMIFS('май 2024'!$G$4:$G$1753,'май 2024'!$D$4:$D$1753,$B43,'май 2024'!$J$4:$J$1753,O$1)</f>
        <v>0</v>
      </c>
      <c r="P43" s="80">
        <f>SUMIFS('май 2024'!$G$4:$G$1753,'май 2024'!$D$4:$D$1753,$B43,'май 2024'!$J$4:$J$1753,P$1)</f>
        <v>0</v>
      </c>
      <c r="Q43" s="80">
        <f>SUMIFS('май 2024'!$G$4:$G$1753,'май 2024'!$D$4:$D$1753,$B43,'май 2024'!$J$4:$J$1753,Q$1)</f>
        <v>0</v>
      </c>
      <c r="R43" s="80">
        <f>SUMIFS('май 2024'!$G$4:$G$1753,'май 2024'!$D$4:$D$1753,$B43,'май 2024'!$J$4:$J$1753,R$1)</f>
        <v>0</v>
      </c>
      <c r="S43" s="80">
        <f>SUMIFS('май 2024'!$G$4:$G$1753,'май 2024'!$D$4:$D$1753,$B43,'май 2024'!$J$4:$J$1753,S$1)</f>
        <v>0</v>
      </c>
      <c r="T43" s="80">
        <f>SUMIFS('май 2024'!$G$4:$G$1753,'май 2024'!$D$4:$D$1753,$B43,'май 2024'!$J$4:$J$1753,T$1)</f>
        <v>0</v>
      </c>
      <c r="U43" s="80">
        <f>SUMIFS('май 2024'!$G$4:$G$1753,'май 2024'!$D$4:$D$1753,$B43,'май 2024'!$J$4:$J$1753,U$1)</f>
        <v>0</v>
      </c>
      <c r="V43" s="80">
        <f>SUMIFS('май 2024'!$G$4:$G$1753,'май 2024'!$D$4:$D$1753,$B43,'май 2024'!$J$4:$J$1753,V$1)</f>
        <v>0</v>
      </c>
      <c r="W43" s="80">
        <f>SUMIFS('май 2024'!$G$4:$G$1753,'май 2024'!$D$4:$D$1753,$B43,'май 2024'!$J$4:$J$1753,W$1)</f>
        <v>0</v>
      </c>
      <c r="X43" s="80">
        <f>SUMIFS('май 2024'!$G$4:$G$1753,'май 2024'!$D$4:$D$1753,$B43,'май 2024'!$J$4:$J$1753,X$1)</f>
        <v>0</v>
      </c>
      <c r="Y43" s="80">
        <f>SUMIFS('май 2024'!$G$4:$G$1753,'май 2024'!$D$4:$D$1753,$B43,'май 2024'!$J$4:$J$1753,Y$1)</f>
        <v>0</v>
      </c>
      <c r="Z43" s="80">
        <f>SUMIFS('май 2024'!$G$4:$G$1753,'май 2024'!$D$4:$D$1753,$B43,'май 2024'!$J$4:$J$1753,Z$1)</f>
        <v>0</v>
      </c>
      <c r="AA43" s="80">
        <f>SUMIFS('май 2024'!$G$4:$G$1753,'май 2024'!$D$4:$D$1753,$B43,'май 2024'!$J$4:$J$1753,AA$1)</f>
        <v>0</v>
      </c>
      <c r="AB43" s="80">
        <f>SUMIFS('май 2024'!$G$4:$G$1753,'май 2024'!$D$4:$D$1753,$B43,'май 2024'!$J$4:$J$1753,AB$1)</f>
        <v>0</v>
      </c>
      <c r="AC43" s="80">
        <f>SUMIFS('май 2024'!$G$4:$G$1753,'май 2024'!$D$4:$D$1753,$B43,'май 2024'!$J$4:$J$1753,AC$1)</f>
        <v>0</v>
      </c>
      <c r="AD43" s="80">
        <f>SUMIFS('май 2024'!$G$4:$G$1753,'май 2024'!$D$4:$D$1753,$B43,'май 2024'!$J$4:$J$1753,AD$1)</f>
        <v>0</v>
      </c>
      <c r="AE43" s="80">
        <f>SUMIFS('май 2024'!$G$4:$G$1753,'май 2024'!$D$4:$D$1753,$B43,'май 2024'!$J$4:$J$1753,AE$1)</f>
        <v>0</v>
      </c>
      <c r="AF43" s="80">
        <f>SUMIFS('май 2024'!$G$4:$G$1753,'май 2024'!$D$4:$D$1753,$B43,'май 2024'!$J$4:$J$1753,AF$1)</f>
        <v>0</v>
      </c>
      <c r="AG43" s="80">
        <f>SUMIFS('май 2024'!$G$4:$G$1753,'май 2024'!$D$4:$D$1753,$B43,'май 2024'!$J$4:$J$1753,AG$1)</f>
        <v>0</v>
      </c>
      <c r="AH43" s="80">
        <f>SUMIFS('май 2024'!$G$4:$G$1753,'май 2024'!$D$4:$D$1753,$B43,'май 2024'!$J$4:$J$1753,AH$1)</f>
        <v>0</v>
      </c>
      <c r="AI43" s="21">
        <f t="shared" si="1"/>
        <v>0</v>
      </c>
    </row>
    <row r="44" spans="2:35" ht="15" customHeight="1" x14ac:dyDescent="0.25">
      <c r="B44" s="154" t="s">
        <v>296</v>
      </c>
      <c r="C44" s="151">
        <v>25</v>
      </c>
      <c r="D44" s="80">
        <f>SUMIFS('май 2024'!$G$4:$G$1753,'май 2024'!$D$4:$D$1753,$B44,'май 2024'!$J$4:$J$1753,D$1)</f>
        <v>0</v>
      </c>
      <c r="E44" s="80">
        <f>SUMIFS('май 2024'!$G$4:$G$1753,'май 2024'!$D$4:$D$1753,$B44,'май 2024'!$J$4:$J$1753,E$1)</f>
        <v>0</v>
      </c>
      <c r="F44" s="80">
        <f>SUMIFS('май 2024'!$G$4:$G$1753,'май 2024'!$D$4:$D$1753,$B44,'май 2024'!$J$4:$J$1753,F$1)</f>
        <v>0</v>
      </c>
      <c r="G44" s="80">
        <f>SUMIFS('май 2024'!$G$4:$G$1753,'май 2024'!$D$4:$D$1753,$B44,'май 2024'!$J$4:$J$1753,G$1)</f>
        <v>0</v>
      </c>
      <c r="H44" s="80">
        <f>SUMIFS('май 2024'!$G$4:$G$1753,'май 2024'!$D$4:$D$1753,$B44,'май 2024'!$J$4:$J$1753,H$1)</f>
        <v>0</v>
      </c>
      <c r="I44" s="80">
        <f>SUMIFS('май 2024'!$G$4:$G$1753,'май 2024'!$D$4:$D$1753,$B44,'май 2024'!$J$4:$J$1753,I$1)</f>
        <v>0</v>
      </c>
      <c r="J44" s="80">
        <f>SUMIFS('май 2024'!$G$4:$G$1753,'май 2024'!$D$4:$D$1753,$B44,'май 2024'!$J$4:$J$1753,J$1)</f>
        <v>0</v>
      </c>
      <c r="K44" s="80">
        <f>SUMIFS('май 2024'!$G$4:$G$1753,'май 2024'!$D$4:$D$1753,$B44,'май 2024'!$J$4:$J$1753,K$1)</f>
        <v>0</v>
      </c>
      <c r="L44" s="80">
        <f>SUMIFS('май 2024'!$G$4:$G$1753,'май 2024'!$D$4:$D$1753,$B44,'май 2024'!$J$4:$J$1753,L$1)</f>
        <v>0</v>
      </c>
      <c r="M44" s="80">
        <f>SUMIFS('май 2024'!$G$4:$G$1753,'май 2024'!$D$4:$D$1753,$B44,'май 2024'!$J$4:$J$1753,M$1)</f>
        <v>0</v>
      </c>
      <c r="N44" s="80">
        <f>SUMIFS('май 2024'!$G$4:$G$1753,'май 2024'!$D$4:$D$1753,$B44,'май 2024'!$J$4:$J$1753,N$1)</f>
        <v>0</v>
      </c>
      <c r="O44" s="80">
        <f>SUMIFS('май 2024'!$G$4:$G$1753,'май 2024'!$D$4:$D$1753,$B44,'май 2024'!$J$4:$J$1753,O$1)</f>
        <v>0</v>
      </c>
      <c r="P44" s="80">
        <f>SUMIFS('май 2024'!$G$4:$G$1753,'май 2024'!$D$4:$D$1753,$B44,'май 2024'!$J$4:$J$1753,P$1)</f>
        <v>0</v>
      </c>
      <c r="Q44" s="80">
        <f>SUMIFS('май 2024'!$G$4:$G$1753,'май 2024'!$D$4:$D$1753,$B44,'май 2024'!$J$4:$J$1753,Q$1)</f>
        <v>0</v>
      </c>
      <c r="R44" s="80">
        <f>SUMIFS('май 2024'!$G$4:$G$1753,'май 2024'!$D$4:$D$1753,$B44,'май 2024'!$J$4:$J$1753,R$1)</f>
        <v>0</v>
      </c>
      <c r="S44" s="80">
        <f>SUMIFS('май 2024'!$G$4:$G$1753,'май 2024'!$D$4:$D$1753,$B44,'май 2024'!$J$4:$J$1753,S$1)</f>
        <v>420</v>
      </c>
      <c r="T44" s="80">
        <f>SUMIFS('май 2024'!$G$4:$G$1753,'май 2024'!$D$4:$D$1753,$B44,'май 2024'!$J$4:$J$1753,T$1)</f>
        <v>0</v>
      </c>
      <c r="U44" s="80">
        <f>SUMIFS('май 2024'!$G$4:$G$1753,'май 2024'!$D$4:$D$1753,$B44,'май 2024'!$J$4:$J$1753,U$1)</f>
        <v>0</v>
      </c>
      <c r="V44" s="80">
        <f>SUMIFS('май 2024'!$G$4:$G$1753,'май 2024'!$D$4:$D$1753,$B44,'май 2024'!$J$4:$J$1753,V$1)</f>
        <v>0</v>
      </c>
      <c r="W44" s="80">
        <f>SUMIFS('май 2024'!$G$4:$G$1753,'май 2024'!$D$4:$D$1753,$B44,'май 2024'!$J$4:$J$1753,W$1)</f>
        <v>0</v>
      </c>
      <c r="X44" s="80">
        <f>SUMIFS('май 2024'!$G$4:$G$1753,'май 2024'!$D$4:$D$1753,$B44,'май 2024'!$J$4:$J$1753,X$1)</f>
        <v>0</v>
      </c>
      <c r="Y44" s="80">
        <f>SUMIFS('май 2024'!$G$4:$G$1753,'май 2024'!$D$4:$D$1753,$B44,'май 2024'!$J$4:$J$1753,Y$1)</f>
        <v>0</v>
      </c>
      <c r="Z44" s="80">
        <f>SUMIFS('май 2024'!$G$4:$G$1753,'май 2024'!$D$4:$D$1753,$B44,'май 2024'!$J$4:$J$1753,Z$1)</f>
        <v>0</v>
      </c>
      <c r="AA44" s="80">
        <f>SUMIFS('май 2024'!$G$4:$G$1753,'май 2024'!$D$4:$D$1753,$B44,'май 2024'!$J$4:$J$1753,AA$1)</f>
        <v>0</v>
      </c>
      <c r="AB44" s="80">
        <f>SUMIFS('май 2024'!$G$4:$G$1753,'май 2024'!$D$4:$D$1753,$B44,'май 2024'!$J$4:$J$1753,AB$1)</f>
        <v>0</v>
      </c>
      <c r="AC44" s="80">
        <f>SUMIFS('май 2024'!$G$4:$G$1753,'май 2024'!$D$4:$D$1753,$B44,'май 2024'!$J$4:$J$1753,AC$1)</f>
        <v>0</v>
      </c>
      <c r="AD44" s="80">
        <f>SUMIFS('май 2024'!$G$4:$G$1753,'май 2024'!$D$4:$D$1753,$B44,'май 2024'!$J$4:$J$1753,AD$1)</f>
        <v>0</v>
      </c>
      <c r="AE44" s="80">
        <f>SUMIFS('май 2024'!$G$4:$G$1753,'май 2024'!$D$4:$D$1753,$B44,'май 2024'!$J$4:$J$1753,AE$1)</f>
        <v>0</v>
      </c>
      <c r="AF44" s="80">
        <f>SUMIFS('май 2024'!$G$4:$G$1753,'май 2024'!$D$4:$D$1753,$B44,'май 2024'!$J$4:$J$1753,AF$1)</f>
        <v>0</v>
      </c>
      <c r="AG44" s="80">
        <f>SUMIFS('май 2024'!$G$4:$G$1753,'май 2024'!$D$4:$D$1753,$B44,'май 2024'!$J$4:$J$1753,AG$1)</f>
        <v>0</v>
      </c>
      <c r="AH44" s="80">
        <f>SUMIFS('май 2024'!$G$4:$G$1753,'май 2024'!$D$4:$D$1753,$B44,'май 2024'!$J$4:$J$1753,AH$1)</f>
        <v>0</v>
      </c>
      <c r="AI44" s="21">
        <f t="shared" si="1"/>
        <v>420</v>
      </c>
    </row>
    <row r="45" spans="2:35" ht="15" customHeight="1" x14ac:dyDescent="0.25">
      <c r="B45" s="154" t="s">
        <v>298</v>
      </c>
      <c r="C45" s="151">
        <v>18</v>
      </c>
      <c r="D45" s="80">
        <f>SUMIFS('май 2024'!$G$4:$G$1753,'май 2024'!$D$4:$D$1753,$B45,'май 2024'!$J$4:$J$1753,D$1)</f>
        <v>0</v>
      </c>
      <c r="E45" s="80">
        <f>SUMIFS('май 2024'!$G$4:$G$1753,'май 2024'!$D$4:$D$1753,$B45,'май 2024'!$J$4:$J$1753,E$1)</f>
        <v>0</v>
      </c>
      <c r="F45" s="80">
        <f>SUMIFS('май 2024'!$G$4:$G$1753,'май 2024'!$D$4:$D$1753,$B45,'май 2024'!$J$4:$J$1753,F$1)</f>
        <v>0</v>
      </c>
      <c r="G45" s="80">
        <f>SUMIFS('май 2024'!$G$4:$G$1753,'май 2024'!$D$4:$D$1753,$B45,'май 2024'!$J$4:$J$1753,G$1)</f>
        <v>0</v>
      </c>
      <c r="H45" s="80">
        <f>SUMIFS('май 2024'!$G$4:$G$1753,'май 2024'!$D$4:$D$1753,$B45,'май 2024'!$J$4:$J$1753,H$1)</f>
        <v>0</v>
      </c>
      <c r="I45" s="80">
        <f>SUMIFS('май 2024'!$G$4:$G$1753,'май 2024'!$D$4:$D$1753,$B45,'май 2024'!$J$4:$J$1753,I$1)</f>
        <v>0</v>
      </c>
      <c r="J45" s="80">
        <f>SUMIFS('май 2024'!$G$4:$G$1753,'май 2024'!$D$4:$D$1753,$B45,'май 2024'!$J$4:$J$1753,J$1)</f>
        <v>222</v>
      </c>
      <c r="K45" s="80">
        <f>SUMIFS('май 2024'!$G$4:$G$1753,'май 2024'!$D$4:$D$1753,$B45,'май 2024'!$J$4:$J$1753,K$1)</f>
        <v>0</v>
      </c>
      <c r="L45" s="80">
        <f>SUMIFS('май 2024'!$G$4:$G$1753,'май 2024'!$D$4:$D$1753,$B45,'май 2024'!$J$4:$J$1753,L$1)</f>
        <v>0</v>
      </c>
      <c r="M45" s="80">
        <f>SUMIFS('май 2024'!$G$4:$G$1753,'май 2024'!$D$4:$D$1753,$B45,'май 2024'!$J$4:$J$1753,M$1)</f>
        <v>0</v>
      </c>
      <c r="N45" s="80">
        <f>SUMIFS('май 2024'!$G$4:$G$1753,'май 2024'!$D$4:$D$1753,$B45,'май 2024'!$J$4:$J$1753,N$1)</f>
        <v>0</v>
      </c>
      <c r="O45" s="80">
        <f>SUMIFS('май 2024'!$G$4:$G$1753,'май 2024'!$D$4:$D$1753,$B45,'май 2024'!$J$4:$J$1753,O$1)</f>
        <v>0</v>
      </c>
      <c r="P45" s="80">
        <f>SUMIFS('май 2024'!$G$4:$G$1753,'май 2024'!$D$4:$D$1753,$B45,'май 2024'!$J$4:$J$1753,P$1)</f>
        <v>0</v>
      </c>
      <c r="Q45" s="80">
        <f>SUMIFS('май 2024'!$G$4:$G$1753,'май 2024'!$D$4:$D$1753,$B45,'май 2024'!$J$4:$J$1753,Q$1)</f>
        <v>0</v>
      </c>
      <c r="R45" s="80">
        <f>SUMIFS('май 2024'!$G$4:$G$1753,'май 2024'!$D$4:$D$1753,$B45,'май 2024'!$J$4:$J$1753,R$1)</f>
        <v>0</v>
      </c>
      <c r="S45" s="80">
        <f>SUMIFS('май 2024'!$G$4:$G$1753,'май 2024'!$D$4:$D$1753,$B45,'май 2024'!$J$4:$J$1753,S$1)</f>
        <v>0</v>
      </c>
      <c r="T45" s="80">
        <f>SUMIFS('май 2024'!$G$4:$G$1753,'май 2024'!$D$4:$D$1753,$B45,'май 2024'!$J$4:$J$1753,T$1)</f>
        <v>0</v>
      </c>
      <c r="U45" s="80">
        <f>SUMIFS('май 2024'!$G$4:$G$1753,'май 2024'!$D$4:$D$1753,$B45,'май 2024'!$J$4:$J$1753,U$1)</f>
        <v>0</v>
      </c>
      <c r="V45" s="80">
        <f>SUMIFS('май 2024'!$G$4:$G$1753,'май 2024'!$D$4:$D$1753,$B45,'май 2024'!$J$4:$J$1753,V$1)</f>
        <v>0</v>
      </c>
      <c r="W45" s="80">
        <f>SUMIFS('май 2024'!$G$4:$G$1753,'май 2024'!$D$4:$D$1753,$B45,'май 2024'!$J$4:$J$1753,W$1)</f>
        <v>0</v>
      </c>
      <c r="X45" s="80">
        <f>SUMIFS('май 2024'!$G$4:$G$1753,'май 2024'!$D$4:$D$1753,$B45,'май 2024'!$J$4:$J$1753,X$1)</f>
        <v>0</v>
      </c>
      <c r="Y45" s="80">
        <f>SUMIFS('май 2024'!$G$4:$G$1753,'май 2024'!$D$4:$D$1753,$B45,'май 2024'!$J$4:$J$1753,Y$1)</f>
        <v>0</v>
      </c>
      <c r="Z45" s="80">
        <f>SUMIFS('май 2024'!$G$4:$G$1753,'май 2024'!$D$4:$D$1753,$B45,'май 2024'!$J$4:$J$1753,Z$1)</f>
        <v>0</v>
      </c>
      <c r="AA45" s="80">
        <f>SUMIFS('май 2024'!$G$4:$G$1753,'май 2024'!$D$4:$D$1753,$B45,'май 2024'!$J$4:$J$1753,AA$1)</f>
        <v>0</v>
      </c>
      <c r="AB45" s="80">
        <f>SUMIFS('май 2024'!$G$4:$G$1753,'май 2024'!$D$4:$D$1753,$B45,'май 2024'!$J$4:$J$1753,AB$1)</f>
        <v>0</v>
      </c>
      <c r="AC45" s="80">
        <f>SUMIFS('май 2024'!$G$4:$G$1753,'май 2024'!$D$4:$D$1753,$B45,'май 2024'!$J$4:$J$1753,AC$1)</f>
        <v>0</v>
      </c>
      <c r="AD45" s="80">
        <f>SUMIFS('май 2024'!$G$4:$G$1753,'май 2024'!$D$4:$D$1753,$B45,'май 2024'!$J$4:$J$1753,AD$1)</f>
        <v>0</v>
      </c>
      <c r="AE45" s="80">
        <f>SUMIFS('май 2024'!$G$4:$G$1753,'май 2024'!$D$4:$D$1753,$B45,'май 2024'!$J$4:$J$1753,AE$1)</f>
        <v>0</v>
      </c>
      <c r="AF45" s="80">
        <f>SUMIFS('май 2024'!$G$4:$G$1753,'май 2024'!$D$4:$D$1753,$B45,'май 2024'!$J$4:$J$1753,AF$1)</f>
        <v>0</v>
      </c>
      <c r="AG45" s="80">
        <f>SUMIFS('май 2024'!$G$4:$G$1753,'май 2024'!$D$4:$D$1753,$B45,'май 2024'!$J$4:$J$1753,AG$1)</f>
        <v>0</v>
      </c>
      <c r="AH45" s="80">
        <f>SUMIFS('май 2024'!$G$4:$G$1753,'май 2024'!$D$4:$D$1753,$B45,'май 2024'!$J$4:$J$1753,AH$1)</f>
        <v>0</v>
      </c>
      <c r="AI45" s="21">
        <f t="shared" si="1"/>
        <v>222</v>
      </c>
    </row>
    <row r="46" spans="2:35" ht="15" customHeight="1" x14ac:dyDescent="0.25">
      <c r="B46" s="154" t="s">
        <v>300</v>
      </c>
      <c r="C46" s="151">
        <v>20</v>
      </c>
      <c r="D46" s="80">
        <f>SUMIFS('май 2024'!$G$4:$G$1753,'май 2024'!$D$4:$D$1753,$B46,'май 2024'!$J$4:$J$1753,D$1)</f>
        <v>0</v>
      </c>
      <c r="E46" s="80">
        <f>SUMIFS('май 2024'!$G$4:$G$1753,'май 2024'!$D$4:$D$1753,$B46,'май 2024'!$J$4:$J$1753,E$1)</f>
        <v>0</v>
      </c>
      <c r="F46" s="80">
        <f>SUMIFS('май 2024'!$G$4:$G$1753,'май 2024'!$D$4:$D$1753,$B46,'май 2024'!$J$4:$J$1753,F$1)</f>
        <v>0</v>
      </c>
      <c r="G46" s="80">
        <f>SUMIFS('май 2024'!$G$4:$G$1753,'май 2024'!$D$4:$D$1753,$B46,'май 2024'!$J$4:$J$1753,G$1)</f>
        <v>0</v>
      </c>
      <c r="H46" s="80">
        <f>SUMIFS('май 2024'!$G$4:$G$1753,'май 2024'!$D$4:$D$1753,$B46,'май 2024'!$J$4:$J$1753,H$1)</f>
        <v>0</v>
      </c>
      <c r="I46" s="80">
        <f>SUMIFS('май 2024'!$G$4:$G$1753,'май 2024'!$D$4:$D$1753,$B46,'май 2024'!$J$4:$J$1753,I$1)</f>
        <v>0</v>
      </c>
      <c r="J46" s="80">
        <f>SUMIFS('май 2024'!$G$4:$G$1753,'май 2024'!$D$4:$D$1753,$B46,'май 2024'!$J$4:$J$1753,J$1)</f>
        <v>0</v>
      </c>
      <c r="K46" s="80">
        <f>SUMIFS('май 2024'!$G$4:$G$1753,'май 2024'!$D$4:$D$1753,$B46,'май 2024'!$J$4:$J$1753,K$1)</f>
        <v>0</v>
      </c>
      <c r="L46" s="80">
        <f>SUMIFS('май 2024'!$G$4:$G$1753,'май 2024'!$D$4:$D$1753,$B46,'май 2024'!$J$4:$J$1753,L$1)</f>
        <v>0</v>
      </c>
      <c r="M46" s="80">
        <f>SUMIFS('май 2024'!$G$4:$G$1753,'май 2024'!$D$4:$D$1753,$B46,'май 2024'!$J$4:$J$1753,M$1)</f>
        <v>0</v>
      </c>
      <c r="N46" s="80">
        <f>SUMIFS('май 2024'!$G$4:$G$1753,'май 2024'!$D$4:$D$1753,$B46,'май 2024'!$J$4:$J$1753,N$1)</f>
        <v>0</v>
      </c>
      <c r="O46" s="80">
        <f>SUMIFS('май 2024'!$G$4:$G$1753,'май 2024'!$D$4:$D$1753,$B46,'май 2024'!$J$4:$J$1753,O$1)</f>
        <v>0</v>
      </c>
      <c r="P46" s="80">
        <f>SUMIFS('май 2024'!$G$4:$G$1753,'май 2024'!$D$4:$D$1753,$B46,'май 2024'!$J$4:$J$1753,P$1)</f>
        <v>0</v>
      </c>
      <c r="Q46" s="80">
        <f>SUMIFS('май 2024'!$G$4:$G$1753,'май 2024'!$D$4:$D$1753,$B46,'май 2024'!$J$4:$J$1753,Q$1)</f>
        <v>0</v>
      </c>
      <c r="R46" s="80">
        <f>SUMIFS('май 2024'!$G$4:$G$1753,'май 2024'!$D$4:$D$1753,$B46,'май 2024'!$J$4:$J$1753,R$1)</f>
        <v>0</v>
      </c>
      <c r="S46" s="80">
        <f>SUMIFS('май 2024'!$G$4:$G$1753,'май 2024'!$D$4:$D$1753,$B46,'май 2024'!$J$4:$J$1753,S$1)</f>
        <v>0</v>
      </c>
      <c r="T46" s="80">
        <f>SUMIFS('май 2024'!$G$4:$G$1753,'май 2024'!$D$4:$D$1753,$B46,'май 2024'!$J$4:$J$1753,T$1)</f>
        <v>0</v>
      </c>
      <c r="U46" s="80">
        <f>SUMIFS('май 2024'!$G$4:$G$1753,'май 2024'!$D$4:$D$1753,$B46,'май 2024'!$J$4:$J$1753,U$1)</f>
        <v>0</v>
      </c>
      <c r="V46" s="80">
        <f>SUMIFS('май 2024'!$G$4:$G$1753,'май 2024'!$D$4:$D$1753,$B46,'май 2024'!$J$4:$J$1753,V$1)</f>
        <v>0</v>
      </c>
      <c r="W46" s="80">
        <f>SUMIFS('май 2024'!$G$4:$G$1753,'май 2024'!$D$4:$D$1753,$B46,'май 2024'!$J$4:$J$1753,W$1)</f>
        <v>0</v>
      </c>
      <c r="X46" s="80">
        <f>SUMIFS('май 2024'!$G$4:$G$1753,'май 2024'!$D$4:$D$1753,$B46,'май 2024'!$J$4:$J$1753,X$1)</f>
        <v>0</v>
      </c>
      <c r="Y46" s="80">
        <f>SUMIFS('май 2024'!$G$4:$G$1753,'май 2024'!$D$4:$D$1753,$B46,'май 2024'!$J$4:$J$1753,Y$1)</f>
        <v>0</v>
      </c>
      <c r="Z46" s="80">
        <f>SUMIFS('май 2024'!$G$4:$G$1753,'май 2024'!$D$4:$D$1753,$B46,'май 2024'!$J$4:$J$1753,Z$1)</f>
        <v>0</v>
      </c>
      <c r="AA46" s="80">
        <f>SUMIFS('май 2024'!$G$4:$G$1753,'май 2024'!$D$4:$D$1753,$B46,'май 2024'!$J$4:$J$1753,AA$1)</f>
        <v>0</v>
      </c>
      <c r="AB46" s="80">
        <f>SUMIFS('май 2024'!$G$4:$G$1753,'май 2024'!$D$4:$D$1753,$B46,'май 2024'!$J$4:$J$1753,AB$1)</f>
        <v>0</v>
      </c>
      <c r="AC46" s="80">
        <f>SUMIFS('май 2024'!$G$4:$G$1753,'май 2024'!$D$4:$D$1753,$B46,'май 2024'!$J$4:$J$1753,AC$1)</f>
        <v>0</v>
      </c>
      <c r="AD46" s="80">
        <f>SUMIFS('май 2024'!$G$4:$G$1753,'май 2024'!$D$4:$D$1753,$B46,'май 2024'!$J$4:$J$1753,AD$1)</f>
        <v>0</v>
      </c>
      <c r="AE46" s="80">
        <f>SUMIFS('май 2024'!$G$4:$G$1753,'май 2024'!$D$4:$D$1753,$B46,'май 2024'!$J$4:$J$1753,AE$1)</f>
        <v>0</v>
      </c>
      <c r="AF46" s="80">
        <f>SUMIFS('май 2024'!$G$4:$G$1753,'май 2024'!$D$4:$D$1753,$B46,'май 2024'!$J$4:$J$1753,AF$1)</f>
        <v>0</v>
      </c>
      <c r="AG46" s="80">
        <f>SUMIFS('май 2024'!$G$4:$G$1753,'май 2024'!$D$4:$D$1753,$B46,'май 2024'!$J$4:$J$1753,AG$1)</f>
        <v>0</v>
      </c>
      <c r="AH46" s="80">
        <f>SUMIFS('май 2024'!$G$4:$G$1753,'май 2024'!$D$4:$D$1753,$B46,'май 2024'!$J$4:$J$1753,AH$1)</f>
        <v>0</v>
      </c>
      <c r="AI46" s="21">
        <f t="shared" si="1"/>
        <v>0</v>
      </c>
    </row>
    <row r="47" spans="2:35" ht="15" customHeight="1" x14ac:dyDescent="0.25">
      <c r="B47" s="150" t="s">
        <v>302</v>
      </c>
      <c r="C47" s="153">
        <v>20</v>
      </c>
      <c r="D47" s="80">
        <f>SUMIFS('май 2024'!$G$4:$G$1753,'май 2024'!$D$4:$D$1753,$B47,'май 2024'!$J$4:$J$1753,D$1)</f>
        <v>0</v>
      </c>
      <c r="E47" s="80">
        <f>SUMIFS('май 2024'!$G$4:$G$1753,'май 2024'!$D$4:$D$1753,$B47,'май 2024'!$J$4:$J$1753,E$1)</f>
        <v>0</v>
      </c>
      <c r="F47" s="80">
        <f>SUMIFS('май 2024'!$G$4:$G$1753,'май 2024'!$D$4:$D$1753,$B47,'май 2024'!$J$4:$J$1753,F$1)</f>
        <v>0</v>
      </c>
      <c r="G47" s="80">
        <f>SUMIFS('май 2024'!$G$4:$G$1753,'май 2024'!$D$4:$D$1753,$B47,'май 2024'!$J$4:$J$1753,G$1)</f>
        <v>0</v>
      </c>
      <c r="H47" s="80">
        <f>SUMIFS('май 2024'!$G$4:$G$1753,'май 2024'!$D$4:$D$1753,$B47,'май 2024'!$J$4:$J$1753,H$1)</f>
        <v>0</v>
      </c>
      <c r="I47" s="80">
        <f>SUMIFS('май 2024'!$G$4:$G$1753,'май 2024'!$D$4:$D$1753,$B47,'май 2024'!$J$4:$J$1753,I$1)</f>
        <v>0</v>
      </c>
      <c r="J47" s="80">
        <f>SUMIFS('май 2024'!$G$4:$G$1753,'май 2024'!$D$4:$D$1753,$B47,'май 2024'!$J$4:$J$1753,J$1)</f>
        <v>0</v>
      </c>
      <c r="K47" s="80">
        <f>SUMIFS('май 2024'!$G$4:$G$1753,'май 2024'!$D$4:$D$1753,$B47,'май 2024'!$J$4:$J$1753,K$1)</f>
        <v>0</v>
      </c>
      <c r="L47" s="80">
        <f>SUMIFS('май 2024'!$G$4:$G$1753,'май 2024'!$D$4:$D$1753,$B47,'май 2024'!$J$4:$J$1753,L$1)</f>
        <v>0</v>
      </c>
      <c r="M47" s="80">
        <f>SUMIFS('май 2024'!$G$4:$G$1753,'май 2024'!$D$4:$D$1753,$B47,'май 2024'!$J$4:$J$1753,M$1)</f>
        <v>0</v>
      </c>
      <c r="N47" s="80">
        <f>SUMIFS('май 2024'!$G$4:$G$1753,'май 2024'!$D$4:$D$1753,$B47,'май 2024'!$J$4:$J$1753,N$1)</f>
        <v>0</v>
      </c>
      <c r="O47" s="80">
        <f>SUMIFS('май 2024'!$G$4:$G$1753,'май 2024'!$D$4:$D$1753,$B47,'май 2024'!$J$4:$J$1753,O$1)</f>
        <v>0</v>
      </c>
      <c r="P47" s="80">
        <f>SUMIFS('май 2024'!$G$4:$G$1753,'май 2024'!$D$4:$D$1753,$B47,'май 2024'!$J$4:$J$1753,P$1)</f>
        <v>0</v>
      </c>
      <c r="Q47" s="80">
        <f>SUMIFS('май 2024'!$G$4:$G$1753,'май 2024'!$D$4:$D$1753,$B47,'май 2024'!$J$4:$J$1753,Q$1)</f>
        <v>0</v>
      </c>
      <c r="R47" s="80">
        <f>SUMIFS('май 2024'!$G$4:$G$1753,'май 2024'!$D$4:$D$1753,$B47,'май 2024'!$J$4:$J$1753,R$1)</f>
        <v>0</v>
      </c>
      <c r="S47" s="80">
        <f>SUMIFS('май 2024'!$G$4:$G$1753,'май 2024'!$D$4:$D$1753,$B47,'май 2024'!$J$4:$J$1753,S$1)</f>
        <v>0</v>
      </c>
      <c r="T47" s="80">
        <f>SUMIFS('май 2024'!$G$4:$G$1753,'май 2024'!$D$4:$D$1753,$B47,'май 2024'!$J$4:$J$1753,T$1)</f>
        <v>0</v>
      </c>
      <c r="U47" s="80">
        <f>SUMIFS('май 2024'!$G$4:$G$1753,'май 2024'!$D$4:$D$1753,$B47,'май 2024'!$J$4:$J$1753,U$1)</f>
        <v>0</v>
      </c>
      <c r="V47" s="80">
        <f>SUMIFS('май 2024'!$G$4:$G$1753,'май 2024'!$D$4:$D$1753,$B47,'май 2024'!$J$4:$J$1753,V$1)</f>
        <v>0</v>
      </c>
      <c r="W47" s="80">
        <f>SUMIFS('май 2024'!$G$4:$G$1753,'май 2024'!$D$4:$D$1753,$B47,'май 2024'!$J$4:$J$1753,W$1)</f>
        <v>0</v>
      </c>
      <c r="X47" s="80">
        <f>SUMIFS('май 2024'!$G$4:$G$1753,'май 2024'!$D$4:$D$1753,$B47,'май 2024'!$J$4:$J$1753,X$1)</f>
        <v>0</v>
      </c>
      <c r="Y47" s="80">
        <f>SUMIFS('май 2024'!$G$4:$G$1753,'май 2024'!$D$4:$D$1753,$B47,'май 2024'!$J$4:$J$1753,Y$1)</f>
        <v>0</v>
      </c>
      <c r="Z47" s="80">
        <f>SUMIFS('май 2024'!$G$4:$G$1753,'май 2024'!$D$4:$D$1753,$B47,'май 2024'!$J$4:$J$1753,Z$1)</f>
        <v>0</v>
      </c>
      <c r="AA47" s="80">
        <f>SUMIFS('май 2024'!$G$4:$G$1753,'май 2024'!$D$4:$D$1753,$B47,'май 2024'!$J$4:$J$1753,AA$1)</f>
        <v>0</v>
      </c>
      <c r="AB47" s="80">
        <f>SUMIFS('май 2024'!$G$4:$G$1753,'май 2024'!$D$4:$D$1753,$B47,'май 2024'!$J$4:$J$1753,AB$1)</f>
        <v>0</v>
      </c>
      <c r="AC47" s="80">
        <f>SUMIFS('май 2024'!$G$4:$G$1753,'май 2024'!$D$4:$D$1753,$B47,'май 2024'!$J$4:$J$1753,AC$1)</f>
        <v>0</v>
      </c>
      <c r="AD47" s="80">
        <f>SUMIFS('май 2024'!$G$4:$G$1753,'май 2024'!$D$4:$D$1753,$B47,'май 2024'!$J$4:$J$1753,AD$1)</f>
        <v>0</v>
      </c>
      <c r="AE47" s="80">
        <f>SUMIFS('май 2024'!$G$4:$G$1753,'май 2024'!$D$4:$D$1753,$B47,'май 2024'!$J$4:$J$1753,AE$1)</f>
        <v>0</v>
      </c>
      <c r="AF47" s="80">
        <f>SUMIFS('май 2024'!$G$4:$G$1753,'май 2024'!$D$4:$D$1753,$B47,'май 2024'!$J$4:$J$1753,AF$1)</f>
        <v>0</v>
      </c>
      <c r="AG47" s="80">
        <f>SUMIFS('май 2024'!$G$4:$G$1753,'май 2024'!$D$4:$D$1753,$B47,'май 2024'!$J$4:$J$1753,AG$1)</f>
        <v>0</v>
      </c>
      <c r="AH47" s="80">
        <f>SUMIFS('май 2024'!$G$4:$G$1753,'май 2024'!$D$4:$D$1753,$B47,'май 2024'!$J$4:$J$1753,AH$1)</f>
        <v>0</v>
      </c>
      <c r="AI47" s="21">
        <f t="shared" si="1"/>
        <v>0</v>
      </c>
    </row>
    <row r="48" spans="2:35" ht="15" customHeight="1" x14ac:dyDescent="0.25">
      <c r="B48" s="150" t="s">
        <v>304</v>
      </c>
      <c r="C48" s="149">
        <v>20</v>
      </c>
      <c r="D48" s="80">
        <f>SUMIFS('май 2024'!$G$4:$G$1753,'май 2024'!$D$4:$D$1753,$B48,'май 2024'!$J$4:$J$1753,D$1)</f>
        <v>0</v>
      </c>
      <c r="E48" s="80">
        <f>SUMIFS('май 2024'!$G$4:$G$1753,'май 2024'!$D$4:$D$1753,$B48,'май 2024'!$J$4:$J$1753,E$1)</f>
        <v>0</v>
      </c>
      <c r="F48" s="80">
        <f>SUMIFS('май 2024'!$G$4:$G$1753,'май 2024'!$D$4:$D$1753,$B48,'май 2024'!$J$4:$J$1753,F$1)</f>
        <v>0</v>
      </c>
      <c r="G48" s="80">
        <f>SUMIFS('май 2024'!$G$4:$G$1753,'май 2024'!$D$4:$D$1753,$B48,'май 2024'!$J$4:$J$1753,G$1)</f>
        <v>0</v>
      </c>
      <c r="H48" s="80">
        <f>SUMIFS('май 2024'!$G$4:$G$1753,'май 2024'!$D$4:$D$1753,$B48,'май 2024'!$J$4:$J$1753,H$1)</f>
        <v>0</v>
      </c>
      <c r="I48" s="80">
        <f>SUMIFS('май 2024'!$G$4:$G$1753,'май 2024'!$D$4:$D$1753,$B48,'май 2024'!$J$4:$J$1753,I$1)</f>
        <v>0</v>
      </c>
      <c r="J48" s="80">
        <f>SUMIFS('май 2024'!$G$4:$G$1753,'май 2024'!$D$4:$D$1753,$B48,'май 2024'!$J$4:$J$1753,J$1)</f>
        <v>0</v>
      </c>
      <c r="K48" s="80">
        <f>SUMIFS('май 2024'!$G$4:$G$1753,'май 2024'!$D$4:$D$1753,$B48,'май 2024'!$J$4:$J$1753,K$1)</f>
        <v>0</v>
      </c>
      <c r="L48" s="80">
        <f>SUMIFS('май 2024'!$G$4:$G$1753,'май 2024'!$D$4:$D$1753,$B48,'май 2024'!$J$4:$J$1753,L$1)</f>
        <v>0</v>
      </c>
      <c r="M48" s="80">
        <f>SUMIFS('май 2024'!$G$4:$G$1753,'май 2024'!$D$4:$D$1753,$B48,'май 2024'!$J$4:$J$1753,M$1)</f>
        <v>0</v>
      </c>
      <c r="N48" s="80">
        <f>SUMIFS('май 2024'!$G$4:$G$1753,'май 2024'!$D$4:$D$1753,$B48,'май 2024'!$J$4:$J$1753,N$1)</f>
        <v>0</v>
      </c>
      <c r="O48" s="80">
        <f>SUMIFS('май 2024'!$G$4:$G$1753,'май 2024'!$D$4:$D$1753,$B48,'май 2024'!$J$4:$J$1753,O$1)</f>
        <v>0</v>
      </c>
      <c r="P48" s="80">
        <f>SUMIFS('май 2024'!$G$4:$G$1753,'май 2024'!$D$4:$D$1753,$B48,'май 2024'!$J$4:$J$1753,P$1)</f>
        <v>0</v>
      </c>
      <c r="Q48" s="80">
        <f>SUMIFS('май 2024'!$G$4:$G$1753,'май 2024'!$D$4:$D$1753,$B48,'май 2024'!$J$4:$J$1753,Q$1)</f>
        <v>0</v>
      </c>
      <c r="R48" s="80">
        <f>SUMIFS('май 2024'!$G$4:$G$1753,'май 2024'!$D$4:$D$1753,$B48,'май 2024'!$J$4:$J$1753,R$1)</f>
        <v>0</v>
      </c>
      <c r="S48" s="80">
        <f>SUMIFS('май 2024'!$G$4:$G$1753,'май 2024'!$D$4:$D$1753,$B48,'май 2024'!$J$4:$J$1753,S$1)</f>
        <v>0</v>
      </c>
      <c r="T48" s="80">
        <f>SUMIFS('май 2024'!$G$4:$G$1753,'май 2024'!$D$4:$D$1753,$B48,'май 2024'!$J$4:$J$1753,T$1)</f>
        <v>0</v>
      </c>
      <c r="U48" s="80">
        <f>SUMIFS('май 2024'!$G$4:$G$1753,'май 2024'!$D$4:$D$1753,$B48,'май 2024'!$J$4:$J$1753,U$1)</f>
        <v>0</v>
      </c>
      <c r="V48" s="80">
        <f>SUMIFS('май 2024'!$G$4:$G$1753,'май 2024'!$D$4:$D$1753,$B48,'май 2024'!$J$4:$J$1753,V$1)</f>
        <v>0</v>
      </c>
      <c r="W48" s="80">
        <f>SUMIFS('май 2024'!$G$4:$G$1753,'май 2024'!$D$4:$D$1753,$B48,'май 2024'!$J$4:$J$1753,W$1)</f>
        <v>0</v>
      </c>
      <c r="X48" s="80">
        <f>SUMIFS('май 2024'!$G$4:$G$1753,'май 2024'!$D$4:$D$1753,$B48,'май 2024'!$J$4:$J$1753,X$1)</f>
        <v>0</v>
      </c>
      <c r="Y48" s="80">
        <f>SUMIFS('май 2024'!$G$4:$G$1753,'май 2024'!$D$4:$D$1753,$B48,'май 2024'!$J$4:$J$1753,Y$1)</f>
        <v>0</v>
      </c>
      <c r="Z48" s="80">
        <f>SUMIFS('май 2024'!$G$4:$G$1753,'май 2024'!$D$4:$D$1753,$B48,'май 2024'!$J$4:$J$1753,Z$1)</f>
        <v>0</v>
      </c>
      <c r="AA48" s="80">
        <f>SUMIFS('май 2024'!$G$4:$G$1753,'май 2024'!$D$4:$D$1753,$B48,'май 2024'!$J$4:$J$1753,AA$1)</f>
        <v>0</v>
      </c>
      <c r="AB48" s="80">
        <f>SUMIFS('май 2024'!$G$4:$G$1753,'май 2024'!$D$4:$D$1753,$B48,'май 2024'!$J$4:$J$1753,AB$1)</f>
        <v>0</v>
      </c>
      <c r="AC48" s="80">
        <f>SUMIFS('май 2024'!$G$4:$G$1753,'май 2024'!$D$4:$D$1753,$B48,'май 2024'!$J$4:$J$1753,AC$1)</f>
        <v>0</v>
      </c>
      <c r="AD48" s="80">
        <f>SUMIFS('май 2024'!$G$4:$G$1753,'май 2024'!$D$4:$D$1753,$B48,'май 2024'!$J$4:$J$1753,AD$1)</f>
        <v>0</v>
      </c>
      <c r="AE48" s="80">
        <f>SUMIFS('май 2024'!$G$4:$G$1753,'май 2024'!$D$4:$D$1753,$B48,'май 2024'!$J$4:$J$1753,AE$1)</f>
        <v>0</v>
      </c>
      <c r="AF48" s="80">
        <f>SUMIFS('май 2024'!$G$4:$G$1753,'май 2024'!$D$4:$D$1753,$B48,'май 2024'!$J$4:$J$1753,AF$1)</f>
        <v>0</v>
      </c>
      <c r="AG48" s="80">
        <f>SUMIFS('май 2024'!$G$4:$G$1753,'май 2024'!$D$4:$D$1753,$B48,'май 2024'!$J$4:$J$1753,AG$1)</f>
        <v>0</v>
      </c>
      <c r="AH48" s="80">
        <f>SUMIFS('май 2024'!$G$4:$G$1753,'май 2024'!$D$4:$D$1753,$B48,'май 2024'!$J$4:$J$1753,AH$1)</f>
        <v>0</v>
      </c>
      <c r="AI48" s="21">
        <f t="shared" si="1"/>
        <v>0</v>
      </c>
    </row>
    <row r="49" spans="2:35" ht="15" customHeight="1" x14ac:dyDescent="0.25">
      <c r="B49" s="150" t="s">
        <v>306</v>
      </c>
      <c r="C49" s="151">
        <v>20</v>
      </c>
      <c r="D49" s="80">
        <f>SUMIFS('май 2024'!$G$4:$G$1753,'май 2024'!$D$4:$D$1753,$B49,'май 2024'!$J$4:$J$1753,D$1)</f>
        <v>0</v>
      </c>
      <c r="E49" s="80">
        <f>SUMIFS('май 2024'!$G$4:$G$1753,'май 2024'!$D$4:$D$1753,$B49,'май 2024'!$J$4:$J$1753,E$1)</f>
        <v>0</v>
      </c>
      <c r="F49" s="80">
        <f>SUMIFS('май 2024'!$G$4:$G$1753,'май 2024'!$D$4:$D$1753,$B49,'май 2024'!$J$4:$J$1753,F$1)</f>
        <v>0</v>
      </c>
      <c r="G49" s="80">
        <f>SUMIFS('май 2024'!$G$4:$G$1753,'май 2024'!$D$4:$D$1753,$B49,'май 2024'!$J$4:$J$1753,G$1)</f>
        <v>0</v>
      </c>
      <c r="H49" s="80">
        <f>SUMIFS('май 2024'!$G$4:$G$1753,'май 2024'!$D$4:$D$1753,$B49,'май 2024'!$J$4:$J$1753,H$1)</f>
        <v>0</v>
      </c>
      <c r="I49" s="80">
        <f>SUMIFS('май 2024'!$G$4:$G$1753,'май 2024'!$D$4:$D$1753,$B49,'май 2024'!$J$4:$J$1753,I$1)</f>
        <v>0</v>
      </c>
      <c r="J49" s="80">
        <f>SUMIFS('май 2024'!$G$4:$G$1753,'май 2024'!$D$4:$D$1753,$B49,'май 2024'!$J$4:$J$1753,J$1)</f>
        <v>0</v>
      </c>
      <c r="K49" s="80">
        <f>SUMIFS('май 2024'!$G$4:$G$1753,'май 2024'!$D$4:$D$1753,$B49,'май 2024'!$J$4:$J$1753,K$1)</f>
        <v>0</v>
      </c>
      <c r="L49" s="80">
        <f>SUMIFS('май 2024'!$G$4:$G$1753,'май 2024'!$D$4:$D$1753,$B49,'май 2024'!$J$4:$J$1753,L$1)</f>
        <v>0</v>
      </c>
      <c r="M49" s="80">
        <f>SUMIFS('май 2024'!$G$4:$G$1753,'май 2024'!$D$4:$D$1753,$B49,'май 2024'!$J$4:$J$1753,M$1)</f>
        <v>0</v>
      </c>
      <c r="N49" s="80">
        <f>SUMIFS('май 2024'!$G$4:$G$1753,'май 2024'!$D$4:$D$1753,$B49,'май 2024'!$J$4:$J$1753,N$1)</f>
        <v>0</v>
      </c>
      <c r="O49" s="80">
        <f>SUMIFS('май 2024'!$G$4:$G$1753,'май 2024'!$D$4:$D$1753,$B49,'май 2024'!$J$4:$J$1753,O$1)</f>
        <v>0</v>
      </c>
      <c r="P49" s="80">
        <f>SUMIFS('май 2024'!$G$4:$G$1753,'май 2024'!$D$4:$D$1753,$B49,'май 2024'!$J$4:$J$1753,P$1)</f>
        <v>0</v>
      </c>
      <c r="Q49" s="80">
        <f>SUMIFS('май 2024'!$G$4:$G$1753,'май 2024'!$D$4:$D$1753,$B49,'май 2024'!$J$4:$J$1753,Q$1)</f>
        <v>0</v>
      </c>
      <c r="R49" s="80">
        <f>SUMIFS('май 2024'!$G$4:$G$1753,'май 2024'!$D$4:$D$1753,$B49,'май 2024'!$J$4:$J$1753,R$1)</f>
        <v>0</v>
      </c>
      <c r="S49" s="80">
        <f>SUMIFS('май 2024'!$G$4:$G$1753,'май 2024'!$D$4:$D$1753,$B49,'май 2024'!$J$4:$J$1753,S$1)</f>
        <v>0</v>
      </c>
      <c r="T49" s="80">
        <f>SUMIFS('май 2024'!$G$4:$G$1753,'май 2024'!$D$4:$D$1753,$B49,'май 2024'!$J$4:$J$1753,T$1)</f>
        <v>0</v>
      </c>
      <c r="U49" s="80">
        <f>SUMIFS('май 2024'!$G$4:$G$1753,'май 2024'!$D$4:$D$1753,$B49,'май 2024'!$J$4:$J$1753,U$1)</f>
        <v>0</v>
      </c>
      <c r="V49" s="80">
        <f>SUMIFS('май 2024'!$G$4:$G$1753,'май 2024'!$D$4:$D$1753,$B49,'май 2024'!$J$4:$J$1753,V$1)</f>
        <v>0</v>
      </c>
      <c r="W49" s="80">
        <f>SUMIFS('май 2024'!$G$4:$G$1753,'май 2024'!$D$4:$D$1753,$B49,'май 2024'!$J$4:$J$1753,W$1)</f>
        <v>0</v>
      </c>
      <c r="X49" s="80">
        <f>SUMIFS('май 2024'!$G$4:$G$1753,'май 2024'!$D$4:$D$1753,$B49,'май 2024'!$J$4:$J$1753,X$1)</f>
        <v>0</v>
      </c>
      <c r="Y49" s="80">
        <f>SUMIFS('май 2024'!$G$4:$G$1753,'май 2024'!$D$4:$D$1753,$B49,'май 2024'!$J$4:$J$1753,Y$1)</f>
        <v>0</v>
      </c>
      <c r="Z49" s="80">
        <f>SUMIFS('май 2024'!$G$4:$G$1753,'май 2024'!$D$4:$D$1753,$B49,'май 2024'!$J$4:$J$1753,Z$1)</f>
        <v>0</v>
      </c>
      <c r="AA49" s="80">
        <f>SUMIFS('май 2024'!$G$4:$G$1753,'май 2024'!$D$4:$D$1753,$B49,'май 2024'!$J$4:$J$1753,AA$1)</f>
        <v>0</v>
      </c>
      <c r="AB49" s="80">
        <f>SUMIFS('май 2024'!$G$4:$G$1753,'май 2024'!$D$4:$D$1753,$B49,'май 2024'!$J$4:$J$1753,AB$1)</f>
        <v>0</v>
      </c>
      <c r="AC49" s="80">
        <f>SUMIFS('май 2024'!$G$4:$G$1753,'май 2024'!$D$4:$D$1753,$B49,'май 2024'!$J$4:$J$1753,AC$1)</f>
        <v>0</v>
      </c>
      <c r="AD49" s="80">
        <f>SUMIFS('май 2024'!$G$4:$G$1753,'май 2024'!$D$4:$D$1753,$B49,'май 2024'!$J$4:$J$1753,AD$1)</f>
        <v>0</v>
      </c>
      <c r="AE49" s="80">
        <f>SUMIFS('май 2024'!$G$4:$G$1753,'май 2024'!$D$4:$D$1753,$B49,'май 2024'!$J$4:$J$1753,AE$1)</f>
        <v>0</v>
      </c>
      <c r="AF49" s="80">
        <f>SUMIFS('май 2024'!$G$4:$G$1753,'май 2024'!$D$4:$D$1753,$B49,'май 2024'!$J$4:$J$1753,AF$1)</f>
        <v>0</v>
      </c>
      <c r="AG49" s="80">
        <f>SUMIFS('май 2024'!$G$4:$G$1753,'май 2024'!$D$4:$D$1753,$B49,'май 2024'!$J$4:$J$1753,AG$1)</f>
        <v>0</v>
      </c>
      <c r="AH49" s="80">
        <f>SUMIFS('май 2024'!$G$4:$G$1753,'май 2024'!$D$4:$D$1753,$B49,'май 2024'!$J$4:$J$1753,AH$1)</f>
        <v>0</v>
      </c>
      <c r="AI49" s="21">
        <f t="shared" si="1"/>
        <v>0</v>
      </c>
    </row>
    <row r="50" spans="2:35" ht="15" customHeight="1" x14ac:dyDescent="0.25">
      <c r="B50" s="150" t="s">
        <v>308</v>
      </c>
      <c r="C50" s="151">
        <v>14</v>
      </c>
      <c r="D50" s="80">
        <f>SUMIFS('май 2024'!$G$4:$G$1753,'май 2024'!$D$4:$D$1753,$B50,'май 2024'!$J$4:$J$1753,D$1)</f>
        <v>0</v>
      </c>
      <c r="E50" s="80">
        <f>SUMIFS('май 2024'!$G$4:$G$1753,'май 2024'!$D$4:$D$1753,$B50,'май 2024'!$J$4:$J$1753,E$1)</f>
        <v>0</v>
      </c>
      <c r="F50" s="80">
        <f>SUMIFS('май 2024'!$G$4:$G$1753,'май 2024'!$D$4:$D$1753,$B50,'май 2024'!$J$4:$J$1753,F$1)</f>
        <v>0</v>
      </c>
      <c r="G50" s="80">
        <f>SUMIFS('май 2024'!$G$4:$G$1753,'май 2024'!$D$4:$D$1753,$B50,'май 2024'!$J$4:$J$1753,G$1)</f>
        <v>0</v>
      </c>
      <c r="H50" s="80">
        <f>SUMIFS('май 2024'!$G$4:$G$1753,'май 2024'!$D$4:$D$1753,$B50,'май 2024'!$J$4:$J$1753,H$1)</f>
        <v>0</v>
      </c>
      <c r="I50" s="80">
        <f>SUMIFS('май 2024'!$G$4:$G$1753,'май 2024'!$D$4:$D$1753,$B50,'май 2024'!$J$4:$J$1753,I$1)</f>
        <v>0</v>
      </c>
      <c r="J50" s="80">
        <f>SUMIFS('май 2024'!$G$4:$G$1753,'май 2024'!$D$4:$D$1753,$B50,'май 2024'!$J$4:$J$1753,J$1)</f>
        <v>0</v>
      </c>
      <c r="K50" s="80">
        <f>SUMIFS('май 2024'!$G$4:$G$1753,'май 2024'!$D$4:$D$1753,$B50,'май 2024'!$J$4:$J$1753,K$1)</f>
        <v>0</v>
      </c>
      <c r="L50" s="80">
        <f>SUMIFS('май 2024'!$G$4:$G$1753,'май 2024'!$D$4:$D$1753,$B50,'май 2024'!$J$4:$J$1753,L$1)</f>
        <v>0</v>
      </c>
      <c r="M50" s="80">
        <f>SUMIFS('май 2024'!$G$4:$G$1753,'май 2024'!$D$4:$D$1753,$B50,'май 2024'!$J$4:$J$1753,M$1)</f>
        <v>0</v>
      </c>
      <c r="N50" s="80">
        <f>SUMIFS('май 2024'!$G$4:$G$1753,'май 2024'!$D$4:$D$1753,$B50,'май 2024'!$J$4:$J$1753,N$1)</f>
        <v>0</v>
      </c>
      <c r="O50" s="80">
        <f>SUMIFS('май 2024'!$G$4:$G$1753,'май 2024'!$D$4:$D$1753,$B50,'май 2024'!$J$4:$J$1753,O$1)</f>
        <v>0</v>
      </c>
      <c r="P50" s="80">
        <f>SUMIFS('май 2024'!$G$4:$G$1753,'май 2024'!$D$4:$D$1753,$B50,'май 2024'!$J$4:$J$1753,P$1)</f>
        <v>0</v>
      </c>
      <c r="Q50" s="80">
        <f>SUMIFS('май 2024'!$G$4:$G$1753,'май 2024'!$D$4:$D$1753,$B50,'май 2024'!$J$4:$J$1753,Q$1)</f>
        <v>0</v>
      </c>
      <c r="R50" s="80">
        <f>SUMIFS('май 2024'!$G$4:$G$1753,'май 2024'!$D$4:$D$1753,$B50,'май 2024'!$J$4:$J$1753,R$1)</f>
        <v>0</v>
      </c>
      <c r="S50" s="80">
        <f>SUMIFS('май 2024'!$G$4:$G$1753,'май 2024'!$D$4:$D$1753,$B50,'май 2024'!$J$4:$J$1753,S$1)</f>
        <v>0</v>
      </c>
      <c r="T50" s="80">
        <f>SUMIFS('май 2024'!$G$4:$G$1753,'май 2024'!$D$4:$D$1753,$B50,'май 2024'!$J$4:$J$1753,T$1)</f>
        <v>0</v>
      </c>
      <c r="U50" s="80">
        <f>SUMIFS('май 2024'!$G$4:$G$1753,'май 2024'!$D$4:$D$1753,$B50,'май 2024'!$J$4:$J$1753,U$1)</f>
        <v>0</v>
      </c>
      <c r="V50" s="80">
        <f>SUMIFS('май 2024'!$G$4:$G$1753,'май 2024'!$D$4:$D$1753,$B50,'май 2024'!$J$4:$J$1753,V$1)</f>
        <v>0</v>
      </c>
      <c r="W50" s="80">
        <f>SUMIFS('май 2024'!$G$4:$G$1753,'май 2024'!$D$4:$D$1753,$B50,'май 2024'!$J$4:$J$1753,W$1)</f>
        <v>0</v>
      </c>
      <c r="X50" s="80">
        <f>SUMIFS('май 2024'!$G$4:$G$1753,'май 2024'!$D$4:$D$1753,$B50,'май 2024'!$J$4:$J$1753,X$1)</f>
        <v>0</v>
      </c>
      <c r="Y50" s="80">
        <f>SUMIFS('май 2024'!$G$4:$G$1753,'май 2024'!$D$4:$D$1753,$B50,'май 2024'!$J$4:$J$1753,Y$1)</f>
        <v>0</v>
      </c>
      <c r="Z50" s="80">
        <f>SUMIFS('май 2024'!$G$4:$G$1753,'май 2024'!$D$4:$D$1753,$B50,'май 2024'!$J$4:$J$1753,Z$1)</f>
        <v>0</v>
      </c>
      <c r="AA50" s="80">
        <f>SUMIFS('май 2024'!$G$4:$G$1753,'май 2024'!$D$4:$D$1753,$B50,'май 2024'!$J$4:$J$1753,AA$1)</f>
        <v>0</v>
      </c>
      <c r="AB50" s="80">
        <f>SUMIFS('май 2024'!$G$4:$G$1753,'май 2024'!$D$4:$D$1753,$B50,'май 2024'!$J$4:$J$1753,AB$1)</f>
        <v>0</v>
      </c>
      <c r="AC50" s="80">
        <f>SUMIFS('май 2024'!$G$4:$G$1753,'май 2024'!$D$4:$D$1753,$B50,'май 2024'!$J$4:$J$1753,AC$1)</f>
        <v>0</v>
      </c>
      <c r="AD50" s="80">
        <f>SUMIFS('май 2024'!$G$4:$G$1753,'май 2024'!$D$4:$D$1753,$B50,'май 2024'!$J$4:$J$1753,AD$1)</f>
        <v>0</v>
      </c>
      <c r="AE50" s="80">
        <f>SUMIFS('май 2024'!$G$4:$G$1753,'май 2024'!$D$4:$D$1753,$B50,'май 2024'!$J$4:$J$1753,AE$1)</f>
        <v>0</v>
      </c>
      <c r="AF50" s="80">
        <f>SUMIFS('май 2024'!$G$4:$G$1753,'май 2024'!$D$4:$D$1753,$B50,'май 2024'!$J$4:$J$1753,AF$1)</f>
        <v>0</v>
      </c>
      <c r="AG50" s="80">
        <f>SUMIFS('май 2024'!$G$4:$G$1753,'май 2024'!$D$4:$D$1753,$B50,'май 2024'!$J$4:$J$1753,AG$1)</f>
        <v>0</v>
      </c>
      <c r="AH50" s="80">
        <f>SUMIFS('май 2024'!$G$4:$G$1753,'май 2024'!$D$4:$D$1753,$B50,'май 2024'!$J$4:$J$1753,AH$1)</f>
        <v>0</v>
      </c>
      <c r="AI50" s="21">
        <f t="shared" si="1"/>
        <v>0</v>
      </c>
    </row>
    <row r="51" spans="2:35" ht="15" customHeight="1" x14ac:dyDescent="0.25">
      <c r="B51" s="150" t="s">
        <v>310</v>
      </c>
      <c r="C51" s="151">
        <v>25</v>
      </c>
      <c r="D51" s="80">
        <f>SUMIFS('май 2024'!$G$4:$G$1753,'май 2024'!$D$4:$D$1753,$B51,'май 2024'!$J$4:$J$1753,D$1)</f>
        <v>0</v>
      </c>
      <c r="E51" s="80">
        <f>SUMIFS('май 2024'!$G$4:$G$1753,'май 2024'!$D$4:$D$1753,$B51,'май 2024'!$J$4:$J$1753,E$1)</f>
        <v>0</v>
      </c>
      <c r="F51" s="80">
        <f>SUMIFS('май 2024'!$G$4:$G$1753,'май 2024'!$D$4:$D$1753,$B51,'май 2024'!$J$4:$J$1753,F$1)</f>
        <v>0</v>
      </c>
      <c r="G51" s="80">
        <f>SUMIFS('май 2024'!$G$4:$G$1753,'май 2024'!$D$4:$D$1753,$B51,'май 2024'!$J$4:$J$1753,G$1)</f>
        <v>0</v>
      </c>
      <c r="H51" s="80">
        <f>SUMIFS('май 2024'!$G$4:$G$1753,'май 2024'!$D$4:$D$1753,$B51,'май 2024'!$J$4:$J$1753,H$1)</f>
        <v>0</v>
      </c>
      <c r="I51" s="80">
        <f>SUMIFS('май 2024'!$G$4:$G$1753,'май 2024'!$D$4:$D$1753,$B51,'май 2024'!$J$4:$J$1753,I$1)</f>
        <v>0</v>
      </c>
      <c r="J51" s="80">
        <f>SUMIFS('май 2024'!$G$4:$G$1753,'май 2024'!$D$4:$D$1753,$B51,'май 2024'!$J$4:$J$1753,J$1)</f>
        <v>0</v>
      </c>
      <c r="K51" s="80">
        <f>SUMIFS('май 2024'!$G$4:$G$1753,'май 2024'!$D$4:$D$1753,$B51,'май 2024'!$J$4:$J$1753,K$1)</f>
        <v>0</v>
      </c>
      <c r="L51" s="80">
        <f>SUMIFS('май 2024'!$G$4:$G$1753,'май 2024'!$D$4:$D$1753,$B51,'май 2024'!$J$4:$J$1753,L$1)</f>
        <v>0</v>
      </c>
      <c r="M51" s="80">
        <f>SUMIFS('май 2024'!$G$4:$G$1753,'май 2024'!$D$4:$D$1753,$B51,'май 2024'!$J$4:$J$1753,M$1)</f>
        <v>0</v>
      </c>
      <c r="N51" s="80">
        <f>SUMIFS('май 2024'!$G$4:$G$1753,'май 2024'!$D$4:$D$1753,$B51,'май 2024'!$J$4:$J$1753,N$1)</f>
        <v>0</v>
      </c>
      <c r="O51" s="80">
        <f>SUMIFS('май 2024'!$G$4:$G$1753,'май 2024'!$D$4:$D$1753,$B51,'май 2024'!$J$4:$J$1753,O$1)</f>
        <v>0</v>
      </c>
      <c r="P51" s="80">
        <f>SUMIFS('май 2024'!$G$4:$G$1753,'май 2024'!$D$4:$D$1753,$B51,'май 2024'!$J$4:$J$1753,P$1)</f>
        <v>0</v>
      </c>
      <c r="Q51" s="80">
        <f>SUMIFS('май 2024'!$G$4:$G$1753,'май 2024'!$D$4:$D$1753,$B51,'май 2024'!$J$4:$J$1753,Q$1)</f>
        <v>0</v>
      </c>
      <c r="R51" s="80">
        <f>SUMIFS('май 2024'!$G$4:$G$1753,'май 2024'!$D$4:$D$1753,$B51,'май 2024'!$J$4:$J$1753,R$1)</f>
        <v>0</v>
      </c>
      <c r="S51" s="80">
        <f>SUMIFS('май 2024'!$G$4:$G$1753,'май 2024'!$D$4:$D$1753,$B51,'май 2024'!$J$4:$J$1753,S$1)</f>
        <v>0</v>
      </c>
      <c r="T51" s="80">
        <f>SUMIFS('май 2024'!$G$4:$G$1753,'май 2024'!$D$4:$D$1753,$B51,'май 2024'!$J$4:$J$1753,T$1)</f>
        <v>0</v>
      </c>
      <c r="U51" s="80">
        <f>SUMIFS('май 2024'!$G$4:$G$1753,'май 2024'!$D$4:$D$1753,$B51,'май 2024'!$J$4:$J$1753,U$1)</f>
        <v>0</v>
      </c>
      <c r="V51" s="80">
        <f>SUMIFS('май 2024'!$G$4:$G$1753,'май 2024'!$D$4:$D$1753,$B51,'май 2024'!$J$4:$J$1753,V$1)</f>
        <v>0</v>
      </c>
      <c r="W51" s="80">
        <f>SUMIFS('май 2024'!$G$4:$G$1753,'май 2024'!$D$4:$D$1753,$B51,'май 2024'!$J$4:$J$1753,W$1)</f>
        <v>0</v>
      </c>
      <c r="X51" s="80">
        <f>SUMIFS('май 2024'!$G$4:$G$1753,'май 2024'!$D$4:$D$1753,$B51,'май 2024'!$J$4:$J$1753,X$1)</f>
        <v>0</v>
      </c>
      <c r="Y51" s="80">
        <f>SUMIFS('май 2024'!$G$4:$G$1753,'май 2024'!$D$4:$D$1753,$B51,'май 2024'!$J$4:$J$1753,Y$1)</f>
        <v>0</v>
      </c>
      <c r="Z51" s="80">
        <f>SUMIFS('май 2024'!$G$4:$G$1753,'май 2024'!$D$4:$D$1753,$B51,'май 2024'!$J$4:$J$1753,Z$1)</f>
        <v>0</v>
      </c>
      <c r="AA51" s="80">
        <f>SUMIFS('май 2024'!$G$4:$G$1753,'май 2024'!$D$4:$D$1753,$B51,'май 2024'!$J$4:$J$1753,AA$1)</f>
        <v>0</v>
      </c>
      <c r="AB51" s="80">
        <f>SUMIFS('май 2024'!$G$4:$G$1753,'май 2024'!$D$4:$D$1753,$B51,'май 2024'!$J$4:$J$1753,AB$1)</f>
        <v>0</v>
      </c>
      <c r="AC51" s="80">
        <f>SUMIFS('май 2024'!$G$4:$G$1753,'май 2024'!$D$4:$D$1753,$B51,'май 2024'!$J$4:$J$1753,AC$1)</f>
        <v>0</v>
      </c>
      <c r="AD51" s="80">
        <f>SUMIFS('май 2024'!$G$4:$G$1753,'май 2024'!$D$4:$D$1753,$B51,'май 2024'!$J$4:$J$1753,AD$1)</f>
        <v>0</v>
      </c>
      <c r="AE51" s="80">
        <f>SUMIFS('май 2024'!$G$4:$G$1753,'май 2024'!$D$4:$D$1753,$B51,'май 2024'!$J$4:$J$1753,AE$1)</f>
        <v>0</v>
      </c>
      <c r="AF51" s="80">
        <f>SUMIFS('май 2024'!$G$4:$G$1753,'май 2024'!$D$4:$D$1753,$B51,'май 2024'!$J$4:$J$1753,AF$1)</f>
        <v>0</v>
      </c>
      <c r="AG51" s="80">
        <f>SUMIFS('май 2024'!$G$4:$G$1753,'май 2024'!$D$4:$D$1753,$B51,'май 2024'!$J$4:$J$1753,AG$1)</f>
        <v>0</v>
      </c>
      <c r="AH51" s="80">
        <f>SUMIFS('май 2024'!$G$4:$G$1753,'май 2024'!$D$4:$D$1753,$B51,'май 2024'!$J$4:$J$1753,AH$1)</f>
        <v>0</v>
      </c>
      <c r="AI51" s="21">
        <f t="shared" si="1"/>
        <v>0</v>
      </c>
    </row>
    <row r="52" spans="2:35" ht="15" customHeight="1" x14ac:dyDescent="0.25">
      <c r="B52" s="150" t="s">
        <v>316</v>
      </c>
      <c r="C52" s="151">
        <v>20</v>
      </c>
      <c r="D52" s="80">
        <f>SUMIFS('май 2024'!$G$4:$G$1753,'май 2024'!$D$4:$D$1753,$B52,'май 2024'!$J$4:$J$1753,D$1)</f>
        <v>0</v>
      </c>
      <c r="E52" s="80">
        <f>SUMIFS('май 2024'!$G$4:$G$1753,'май 2024'!$D$4:$D$1753,$B52,'май 2024'!$J$4:$J$1753,E$1)</f>
        <v>100</v>
      </c>
      <c r="F52" s="80">
        <f>SUMIFS('май 2024'!$G$4:$G$1753,'май 2024'!$D$4:$D$1753,$B52,'май 2024'!$J$4:$J$1753,F$1)</f>
        <v>0</v>
      </c>
      <c r="G52" s="80">
        <f>SUMIFS('май 2024'!$G$4:$G$1753,'май 2024'!$D$4:$D$1753,$B52,'май 2024'!$J$4:$J$1753,G$1)</f>
        <v>0</v>
      </c>
      <c r="H52" s="80">
        <f>SUMIFS('май 2024'!$G$4:$G$1753,'май 2024'!$D$4:$D$1753,$B52,'май 2024'!$J$4:$J$1753,H$1)</f>
        <v>0</v>
      </c>
      <c r="I52" s="80">
        <f>SUMIFS('май 2024'!$G$4:$G$1753,'май 2024'!$D$4:$D$1753,$B52,'май 2024'!$J$4:$J$1753,I$1)</f>
        <v>0</v>
      </c>
      <c r="J52" s="80">
        <f>SUMIFS('май 2024'!$G$4:$G$1753,'май 2024'!$D$4:$D$1753,$B52,'май 2024'!$J$4:$J$1753,J$1)</f>
        <v>0</v>
      </c>
      <c r="K52" s="80">
        <f>SUMIFS('май 2024'!$G$4:$G$1753,'май 2024'!$D$4:$D$1753,$B52,'май 2024'!$J$4:$J$1753,K$1)</f>
        <v>0</v>
      </c>
      <c r="L52" s="80">
        <f>SUMIFS('май 2024'!$G$4:$G$1753,'май 2024'!$D$4:$D$1753,$B52,'май 2024'!$J$4:$J$1753,L$1)</f>
        <v>0</v>
      </c>
      <c r="M52" s="80">
        <f>SUMIFS('май 2024'!$G$4:$G$1753,'май 2024'!$D$4:$D$1753,$B52,'май 2024'!$J$4:$J$1753,M$1)</f>
        <v>0</v>
      </c>
      <c r="N52" s="80">
        <f>SUMIFS('май 2024'!$G$4:$G$1753,'май 2024'!$D$4:$D$1753,$B52,'май 2024'!$J$4:$J$1753,N$1)</f>
        <v>0</v>
      </c>
      <c r="O52" s="80">
        <f>SUMIFS('май 2024'!$G$4:$G$1753,'май 2024'!$D$4:$D$1753,$B52,'май 2024'!$J$4:$J$1753,O$1)</f>
        <v>0</v>
      </c>
      <c r="P52" s="80">
        <f>SUMIFS('май 2024'!$G$4:$G$1753,'май 2024'!$D$4:$D$1753,$B52,'май 2024'!$J$4:$J$1753,P$1)</f>
        <v>0</v>
      </c>
      <c r="Q52" s="80">
        <f>SUMIFS('май 2024'!$G$4:$G$1753,'май 2024'!$D$4:$D$1753,$B52,'май 2024'!$J$4:$J$1753,Q$1)</f>
        <v>0</v>
      </c>
      <c r="R52" s="80">
        <f>SUMIFS('май 2024'!$G$4:$G$1753,'май 2024'!$D$4:$D$1753,$B52,'май 2024'!$J$4:$J$1753,R$1)</f>
        <v>0</v>
      </c>
      <c r="S52" s="80">
        <f>SUMIFS('май 2024'!$G$4:$G$1753,'май 2024'!$D$4:$D$1753,$B52,'май 2024'!$J$4:$J$1753,S$1)</f>
        <v>0</v>
      </c>
      <c r="T52" s="80">
        <f>SUMIFS('май 2024'!$G$4:$G$1753,'май 2024'!$D$4:$D$1753,$B52,'май 2024'!$J$4:$J$1753,T$1)</f>
        <v>0</v>
      </c>
      <c r="U52" s="80">
        <f>SUMIFS('май 2024'!$G$4:$G$1753,'май 2024'!$D$4:$D$1753,$B52,'май 2024'!$J$4:$J$1753,U$1)</f>
        <v>0</v>
      </c>
      <c r="V52" s="80">
        <f>SUMIFS('май 2024'!$G$4:$G$1753,'май 2024'!$D$4:$D$1753,$B52,'май 2024'!$J$4:$J$1753,V$1)</f>
        <v>0</v>
      </c>
      <c r="W52" s="80">
        <f>SUMIFS('май 2024'!$G$4:$G$1753,'май 2024'!$D$4:$D$1753,$B52,'май 2024'!$J$4:$J$1753,W$1)</f>
        <v>0</v>
      </c>
      <c r="X52" s="80">
        <f>SUMIFS('май 2024'!$G$4:$G$1753,'май 2024'!$D$4:$D$1753,$B52,'май 2024'!$J$4:$J$1753,X$1)</f>
        <v>0</v>
      </c>
      <c r="Y52" s="80">
        <f>SUMIFS('май 2024'!$G$4:$G$1753,'май 2024'!$D$4:$D$1753,$B52,'май 2024'!$J$4:$J$1753,Y$1)</f>
        <v>0</v>
      </c>
      <c r="Z52" s="80">
        <f>SUMIFS('май 2024'!$G$4:$G$1753,'май 2024'!$D$4:$D$1753,$B52,'май 2024'!$J$4:$J$1753,Z$1)</f>
        <v>0</v>
      </c>
      <c r="AA52" s="80">
        <f>SUMIFS('май 2024'!$G$4:$G$1753,'май 2024'!$D$4:$D$1753,$B52,'май 2024'!$J$4:$J$1753,AA$1)</f>
        <v>0</v>
      </c>
      <c r="AB52" s="80">
        <f>SUMIFS('май 2024'!$G$4:$G$1753,'май 2024'!$D$4:$D$1753,$B52,'май 2024'!$J$4:$J$1753,AB$1)</f>
        <v>0</v>
      </c>
      <c r="AC52" s="80">
        <f>SUMIFS('май 2024'!$G$4:$G$1753,'май 2024'!$D$4:$D$1753,$B52,'май 2024'!$J$4:$J$1753,AC$1)</f>
        <v>0</v>
      </c>
      <c r="AD52" s="80">
        <f>SUMIFS('май 2024'!$G$4:$G$1753,'май 2024'!$D$4:$D$1753,$B52,'май 2024'!$J$4:$J$1753,AD$1)</f>
        <v>0</v>
      </c>
      <c r="AE52" s="80">
        <f>SUMIFS('май 2024'!$G$4:$G$1753,'май 2024'!$D$4:$D$1753,$B52,'май 2024'!$J$4:$J$1753,AE$1)</f>
        <v>0</v>
      </c>
      <c r="AF52" s="80">
        <f>SUMIFS('май 2024'!$G$4:$G$1753,'май 2024'!$D$4:$D$1753,$B52,'май 2024'!$J$4:$J$1753,AF$1)</f>
        <v>0</v>
      </c>
      <c r="AG52" s="80">
        <f>SUMIFS('май 2024'!$G$4:$G$1753,'май 2024'!$D$4:$D$1753,$B52,'май 2024'!$J$4:$J$1753,AG$1)</f>
        <v>0</v>
      </c>
      <c r="AH52" s="80">
        <f>SUMIFS('май 2024'!$G$4:$G$1753,'май 2024'!$D$4:$D$1753,$B52,'май 2024'!$J$4:$J$1753,AH$1)</f>
        <v>1</v>
      </c>
      <c r="AI52" s="21">
        <f t="shared" si="1"/>
        <v>101</v>
      </c>
    </row>
    <row r="53" spans="2:35" ht="15" customHeight="1" x14ac:dyDescent="0.25">
      <c r="B53" s="146" t="s">
        <v>317</v>
      </c>
      <c r="C53" s="151">
        <v>20</v>
      </c>
      <c r="D53" s="80">
        <f>SUMIFS('май 2024'!$G$4:$G$1753,'май 2024'!$D$4:$D$1753,$B53,'май 2024'!$J$4:$J$1753,D$1)</f>
        <v>0</v>
      </c>
      <c r="E53" s="80">
        <f>SUMIFS('май 2024'!$G$4:$G$1753,'май 2024'!$D$4:$D$1753,$B53,'май 2024'!$J$4:$J$1753,E$1)</f>
        <v>0</v>
      </c>
      <c r="F53" s="80">
        <f>SUMIFS('май 2024'!$G$4:$G$1753,'май 2024'!$D$4:$D$1753,$B53,'май 2024'!$J$4:$J$1753,F$1)</f>
        <v>0</v>
      </c>
      <c r="G53" s="80">
        <f>SUMIFS('май 2024'!$G$4:$G$1753,'май 2024'!$D$4:$D$1753,$B53,'май 2024'!$J$4:$J$1753,G$1)</f>
        <v>0</v>
      </c>
      <c r="H53" s="80">
        <f>SUMIFS('май 2024'!$G$4:$G$1753,'май 2024'!$D$4:$D$1753,$B53,'май 2024'!$J$4:$J$1753,H$1)</f>
        <v>0</v>
      </c>
      <c r="I53" s="80">
        <f>SUMIFS('май 2024'!$G$4:$G$1753,'май 2024'!$D$4:$D$1753,$B53,'май 2024'!$J$4:$J$1753,I$1)</f>
        <v>0</v>
      </c>
      <c r="J53" s="80">
        <f>SUMIFS('май 2024'!$G$4:$G$1753,'май 2024'!$D$4:$D$1753,$B53,'май 2024'!$J$4:$J$1753,J$1)</f>
        <v>0</v>
      </c>
      <c r="K53" s="80">
        <f>SUMIFS('май 2024'!$G$4:$G$1753,'май 2024'!$D$4:$D$1753,$B53,'май 2024'!$J$4:$J$1753,K$1)</f>
        <v>0</v>
      </c>
      <c r="L53" s="80">
        <f>SUMIFS('май 2024'!$G$4:$G$1753,'май 2024'!$D$4:$D$1753,$B53,'май 2024'!$J$4:$J$1753,L$1)</f>
        <v>0</v>
      </c>
      <c r="M53" s="80">
        <f>SUMIFS('май 2024'!$G$4:$G$1753,'май 2024'!$D$4:$D$1753,$B53,'май 2024'!$J$4:$J$1753,M$1)</f>
        <v>0</v>
      </c>
      <c r="N53" s="80">
        <f>SUMIFS('май 2024'!$G$4:$G$1753,'май 2024'!$D$4:$D$1753,$B53,'май 2024'!$J$4:$J$1753,N$1)</f>
        <v>0</v>
      </c>
      <c r="O53" s="80">
        <f>SUMIFS('май 2024'!$G$4:$G$1753,'май 2024'!$D$4:$D$1753,$B53,'май 2024'!$J$4:$J$1753,O$1)</f>
        <v>0</v>
      </c>
      <c r="P53" s="80">
        <f>SUMIFS('май 2024'!$G$4:$G$1753,'май 2024'!$D$4:$D$1753,$B53,'май 2024'!$J$4:$J$1753,P$1)</f>
        <v>0</v>
      </c>
      <c r="Q53" s="80">
        <f>SUMIFS('май 2024'!$G$4:$G$1753,'май 2024'!$D$4:$D$1753,$B53,'май 2024'!$J$4:$J$1753,Q$1)</f>
        <v>0</v>
      </c>
      <c r="R53" s="80">
        <f>SUMIFS('май 2024'!$G$4:$G$1753,'май 2024'!$D$4:$D$1753,$B53,'май 2024'!$J$4:$J$1753,R$1)</f>
        <v>0</v>
      </c>
      <c r="S53" s="80">
        <f>SUMIFS('май 2024'!$G$4:$G$1753,'май 2024'!$D$4:$D$1753,$B53,'май 2024'!$J$4:$J$1753,S$1)</f>
        <v>0</v>
      </c>
      <c r="T53" s="80">
        <f>SUMIFS('май 2024'!$G$4:$G$1753,'май 2024'!$D$4:$D$1753,$B53,'май 2024'!$J$4:$J$1753,T$1)</f>
        <v>0</v>
      </c>
      <c r="U53" s="80">
        <f>SUMIFS('май 2024'!$G$4:$G$1753,'май 2024'!$D$4:$D$1753,$B53,'май 2024'!$J$4:$J$1753,U$1)</f>
        <v>0</v>
      </c>
      <c r="V53" s="80">
        <f>SUMIFS('май 2024'!$G$4:$G$1753,'май 2024'!$D$4:$D$1753,$B53,'май 2024'!$J$4:$J$1753,V$1)</f>
        <v>0</v>
      </c>
      <c r="W53" s="80">
        <f>SUMIFS('май 2024'!$G$4:$G$1753,'май 2024'!$D$4:$D$1753,$B53,'май 2024'!$J$4:$J$1753,W$1)</f>
        <v>0</v>
      </c>
      <c r="X53" s="80">
        <f>SUMIFS('май 2024'!$G$4:$G$1753,'май 2024'!$D$4:$D$1753,$B53,'май 2024'!$J$4:$J$1753,X$1)</f>
        <v>0</v>
      </c>
      <c r="Y53" s="80">
        <f>SUMIFS('май 2024'!$G$4:$G$1753,'май 2024'!$D$4:$D$1753,$B53,'май 2024'!$J$4:$J$1753,Y$1)</f>
        <v>0</v>
      </c>
      <c r="Z53" s="80">
        <f>SUMIFS('май 2024'!$G$4:$G$1753,'май 2024'!$D$4:$D$1753,$B53,'май 2024'!$J$4:$J$1753,Z$1)</f>
        <v>0</v>
      </c>
      <c r="AA53" s="80">
        <f>SUMIFS('май 2024'!$G$4:$G$1753,'май 2024'!$D$4:$D$1753,$B53,'май 2024'!$J$4:$J$1753,AA$1)</f>
        <v>0</v>
      </c>
      <c r="AB53" s="80">
        <f>SUMIFS('май 2024'!$G$4:$G$1753,'май 2024'!$D$4:$D$1753,$B53,'май 2024'!$J$4:$J$1753,AB$1)</f>
        <v>0</v>
      </c>
      <c r="AC53" s="80">
        <f>SUMIFS('май 2024'!$G$4:$G$1753,'май 2024'!$D$4:$D$1753,$B53,'май 2024'!$J$4:$J$1753,AC$1)</f>
        <v>0</v>
      </c>
      <c r="AD53" s="80">
        <f>SUMIFS('май 2024'!$G$4:$G$1753,'май 2024'!$D$4:$D$1753,$B53,'май 2024'!$J$4:$J$1753,AD$1)</f>
        <v>0</v>
      </c>
      <c r="AE53" s="80">
        <f>SUMIFS('май 2024'!$G$4:$G$1753,'май 2024'!$D$4:$D$1753,$B53,'май 2024'!$J$4:$J$1753,AE$1)</f>
        <v>0</v>
      </c>
      <c r="AF53" s="80">
        <f>SUMIFS('май 2024'!$G$4:$G$1753,'май 2024'!$D$4:$D$1753,$B53,'май 2024'!$J$4:$J$1753,AF$1)</f>
        <v>0</v>
      </c>
      <c r="AG53" s="80">
        <f>SUMIFS('май 2024'!$G$4:$G$1753,'май 2024'!$D$4:$D$1753,$B53,'май 2024'!$J$4:$J$1753,AG$1)</f>
        <v>0</v>
      </c>
      <c r="AH53" s="80">
        <f>SUMIFS('май 2024'!$G$4:$G$1753,'май 2024'!$D$4:$D$1753,$B53,'май 2024'!$J$4:$J$1753,AH$1)</f>
        <v>0</v>
      </c>
      <c r="AI53" s="21">
        <f t="shared" si="1"/>
        <v>0</v>
      </c>
    </row>
    <row r="54" spans="2:35" ht="15" customHeight="1" x14ac:dyDescent="0.25">
      <c r="B54" s="150" t="s">
        <v>318</v>
      </c>
      <c r="C54" s="151">
        <v>20</v>
      </c>
      <c r="D54" s="80">
        <f>SUMIFS('май 2024'!$G$4:$G$1753,'май 2024'!$D$4:$D$1753,$B54,'май 2024'!$J$4:$J$1753,D$1)</f>
        <v>0</v>
      </c>
      <c r="E54" s="80">
        <f>SUMIFS('май 2024'!$G$4:$G$1753,'май 2024'!$D$4:$D$1753,$B54,'май 2024'!$J$4:$J$1753,E$1)</f>
        <v>0</v>
      </c>
      <c r="F54" s="80">
        <f>SUMIFS('май 2024'!$G$4:$G$1753,'май 2024'!$D$4:$D$1753,$B54,'май 2024'!$J$4:$J$1753,F$1)</f>
        <v>0</v>
      </c>
      <c r="G54" s="80">
        <f>SUMIFS('май 2024'!$G$4:$G$1753,'май 2024'!$D$4:$D$1753,$B54,'май 2024'!$J$4:$J$1753,G$1)</f>
        <v>0</v>
      </c>
      <c r="H54" s="80">
        <f>SUMIFS('май 2024'!$G$4:$G$1753,'май 2024'!$D$4:$D$1753,$B54,'май 2024'!$J$4:$J$1753,H$1)</f>
        <v>0</v>
      </c>
      <c r="I54" s="80">
        <f>SUMIFS('май 2024'!$G$4:$G$1753,'май 2024'!$D$4:$D$1753,$B54,'май 2024'!$J$4:$J$1753,I$1)</f>
        <v>0</v>
      </c>
      <c r="J54" s="80">
        <f>SUMIFS('май 2024'!$G$4:$G$1753,'май 2024'!$D$4:$D$1753,$B54,'май 2024'!$J$4:$J$1753,J$1)</f>
        <v>0</v>
      </c>
      <c r="K54" s="80">
        <f>SUMIFS('май 2024'!$G$4:$G$1753,'май 2024'!$D$4:$D$1753,$B54,'май 2024'!$J$4:$J$1753,K$1)</f>
        <v>0</v>
      </c>
      <c r="L54" s="80">
        <f>SUMIFS('май 2024'!$G$4:$G$1753,'май 2024'!$D$4:$D$1753,$B54,'май 2024'!$J$4:$J$1753,L$1)</f>
        <v>0</v>
      </c>
      <c r="M54" s="80">
        <f>SUMIFS('май 2024'!$G$4:$G$1753,'май 2024'!$D$4:$D$1753,$B54,'май 2024'!$J$4:$J$1753,M$1)</f>
        <v>0</v>
      </c>
      <c r="N54" s="80">
        <f>SUMIFS('май 2024'!$G$4:$G$1753,'май 2024'!$D$4:$D$1753,$B54,'май 2024'!$J$4:$J$1753,N$1)</f>
        <v>0</v>
      </c>
      <c r="O54" s="80">
        <f>SUMIFS('май 2024'!$G$4:$G$1753,'май 2024'!$D$4:$D$1753,$B54,'май 2024'!$J$4:$J$1753,O$1)</f>
        <v>0</v>
      </c>
      <c r="P54" s="80">
        <f>SUMIFS('май 2024'!$G$4:$G$1753,'май 2024'!$D$4:$D$1753,$B54,'май 2024'!$J$4:$J$1753,P$1)</f>
        <v>0</v>
      </c>
      <c r="Q54" s="80">
        <f>SUMIFS('май 2024'!$G$4:$G$1753,'май 2024'!$D$4:$D$1753,$B54,'май 2024'!$J$4:$J$1753,Q$1)</f>
        <v>0</v>
      </c>
      <c r="R54" s="80">
        <f>SUMIFS('май 2024'!$G$4:$G$1753,'май 2024'!$D$4:$D$1753,$B54,'май 2024'!$J$4:$J$1753,R$1)</f>
        <v>0</v>
      </c>
      <c r="S54" s="80">
        <f>SUMIFS('май 2024'!$G$4:$G$1753,'май 2024'!$D$4:$D$1753,$B54,'май 2024'!$J$4:$J$1753,S$1)</f>
        <v>0</v>
      </c>
      <c r="T54" s="80">
        <f>SUMIFS('май 2024'!$G$4:$G$1753,'май 2024'!$D$4:$D$1753,$B54,'май 2024'!$J$4:$J$1753,T$1)</f>
        <v>0</v>
      </c>
      <c r="U54" s="80">
        <f>SUMIFS('май 2024'!$G$4:$G$1753,'май 2024'!$D$4:$D$1753,$B54,'май 2024'!$J$4:$J$1753,U$1)</f>
        <v>0</v>
      </c>
      <c r="V54" s="80">
        <f>SUMIFS('май 2024'!$G$4:$G$1753,'май 2024'!$D$4:$D$1753,$B54,'май 2024'!$J$4:$J$1753,V$1)</f>
        <v>0</v>
      </c>
      <c r="W54" s="80">
        <f>SUMIFS('май 2024'!$G$4:$G$1753,'май 2024'!$D$4:$D$1753,$B54,'май 2024'!$J$4:$J$1753,W$1)</f>
        <v>0</v>
      </c>
      <c r="X54" s="80">
        <f>SUMIFS('май 2024'!$G$4:$G$1753,'май 2024'!$D$4:$D$1753,$B54,'май 2024'!$J$4:$J$1753,X$1)</f>
        <v>0</v>
      </c>
      <c r="Y54" s="80">
        <f>SUMIFS('май 2024'!$G$4:$G$1753,'май 2024'!$D$4:$D$1753,$B54,'май 2024'!$J$4:$J$1753,Y$1)</f>
        <v>0</v>
      </c>
      <c r="Z54" s="80">
        <f>SUMIFS('май 2024'!$G$4:$G$1753,'май 2024'!$D$4:$D$1753,$B54,'май 2024'!$J$4:$J$1753,Z$1)</f>
        <v>0</v>
      </c>
      <c r="AA54" s="80">
        <f>SUMIFS('май 2024'!$G$4:$G$1753,'май 2024'!$D$4:$D$1753,$B54,'май 2024'!$J$4:$J$1753,AA$1)</f>
        <v>0</v>
      </c>
      <c r="AB54" s="80">
        <f>SUMIFS('май 2024'!$G$4:$G$1753,'май 2024'!$D$4:$D$1753,$B54,'май 2024'!$J$4:$J$1753,AB$1)</f>
        <v>0</v>
      </c>
      <c r="AC54" s="80">
        <f>SUMIFS('май 2024'!$G$4:$G$1753,'май 2024'!$D$4:$D$1753,$B54,'май 2024'!$J$4:$J$1753,AC$1)</f>
        <v>0</v>
      </c>
      <c r="AD54" s="80">
        <f>SUMIFS('май 2024'!$G$4:$G$1753,'май 2024'!$D$4:$D$1753,$B54,'май 2024'!$J$4:$J$1753,AD$1)</f>
        <v>0</v>
      </c>
      <c r="AE54" s="80">
        <f>SUMIFS('май 2024'!$G$4:$G$1753,'май 2024'!$D$4:$D$1753,$B54,'май 2024'!$J$4:$J$1753,AE$1)</f>
        <v>0</v>
      </c>
      <c r="AF54" s="80">
        <f>SUMIFS('май 2024'!$G$4:$G$1753,'май 2024'!$D$4:$D$1753,$B54,'май 2024'!$J$4:$J$1753,AF$1)</f>
        <v>0</v>
      </c>
      <c r="AG54" s="80">
        <f>SUMIFS('май 2024'!$G$4:$G$1753,'май 2024'!$D$4:$D$1753,$B54,'май 2024'!$J$4:$J$1753,AG$1)</f>
        <v>0</v>
      </c>
      <c r="AH54" s="80">
        <f>SUMIFS('май 2024'!$G$4:$G$1753,'май 2024'!$D$4:$D$1753,$B54,'май 2024'!$J$4:$J$1753,AH$1)</f>
        <v>0</v>
      </c>
      <c r="AI54" s="21">
        <f t="shared" si="1"/>
        <v>0</v>
      </c>
    </row>
    <row r="55" spans="2:35" ht="15" customHeight="1" x14ac:dyDescent="0.25">
      <c r="B55" s="150" t="s">
        <v>319</v>
      </c>
      <c r="C55" s="151">
        <v>20</v>
      </c>
      <c r="D55" s="80">
        <f>SUMIFS('май 2024'!$G$4:$G$1753,'май 2024'!$D$4:$D$1753,$B55,'май 2024'!$J$4:$J$1753,D$1)</f>
        <v>0</v>
      </c>
      <c r="E55" s="80">
        <f>SUMIFS('май 2024'!$G$4:$G$1753,'май 2024'!$D$4:$D$1753,$B55,'май 2024'!$J$4:$J$1753,E$1)</f>
        <v>0</v>
      </c>
      <c r="F55" s="80">
        <f>SUMIFS('май 2024'!$G$4:$G$1753,'май 2024'!$D$4:$D$1753,$B55,'май 2024'!$J$4:$J$1753,F$1)</f>
        <v>0</v>
      </c>
      <c r="G55" s="80">
        <f>SUMIFS('май 2024'!$G$4:$G$1753,'май 2024'!$D$4:$D$1753,$B55,'май 2024'!$J$4:$J$1753,G$1)</f>
        <v>0</v>
      </c>
      <c r="H55" s="80">
        <f>SUMIFS('май 2024'!$G$4:$G$1753,'май 2024'!$D$4:$D$1753,$B55,'май 2024'!$J$4:$J$1753,H$1)</f>
        <v>0</v>
      </c>
      <c r="I55" s="80">
        <f>SUMIFS('май 2024'!$G$4:$G$1753,'май 2024'!$D$4:$D$1753,$B55,'май 2024'!$J$4:$J$1753,I$1)</f>
        <v>0</v>
      </c>
      <c r="J55" s="80">
        <f>SUMIFS('май 2024'!$G$4:$G$1753,'май 2024'!$D$4:$D$1753,$B55,'май 2024'!$J$4:$J$1753,J$1)</f>
        <v>0</v>
      </c>
      <c r="K55" s="80">
        <f>SUMIFS('май 2024'!$G$4:$G$1753,'май 2024'!$D$4:$D$1753,$B55,'май 2024'!$J$4:$J$1753,K$1)</f>
        <v>0</v>
      </c>
      <c r="L55" s="80">
        <f>SUMIFS('май 2024'!$G$4:$G$1753,'май 2024'!$D$4:$D$1753,$B55,'май 2024'!$J$4:$J$1753,L$1)</f>
        <v>0</v>
      </c>
      <c r="M55" s="80">
        <f>SUMIFS('май 2024'!$G$4:$G$1753,'май 2024'!$D$4:$D$1753,$B55,'май 2024'!$J$4:$J$1753,M$1)</f>
        <v>0</v>
      </c>
      <c r="N55" s="80">
        <f>SUMIFS('май 2024'!$G$4:$G$1753,'май 2024'!$D$4:$D$1753,$B55,'май 2024'!$J$4:$J$1753,N$1)</f>
        <v>0</v>
      </c>
      <c r="O55" s="80">
        <f>SUMIFS('май 2024'!$G$4:$G$1753,'май 2024'!$D$4:$D$1753,$B55,'май 2024'!$J$4:$J$1753,O$1)</f>
        <v>0</v>
      </c>
      <c r="P55" s="80">
        <f>SUMIFS('май 2024'!$G$4:$G$1753,'май 2024'!$D$4:$D$1753,$B55,'май 2024'!$J$4:$J$1753,P$1)</f>
        <v>0</v>
      </c>
      <c r="Q55" s="80">
        <f>SUMIFS('май 2024'!$G$4:$G$1753,'май 2024'!$D$4:$D$1753,$B55,'май 2024'!$J$4:$J$1753,Q$1)</f>
        <v>0</v>
      </c>
      <c r="R55" s="80">
        <f>SUMIFS('май 2024'!$G$4:$G$1753,'май 2024'!$D$4:$D$1753,$B55,'май 2024'!$J$4:$J$1753,R$1)</f>
        <v>0</v>
      </c>
      <c r="S55" s="80">
        <f>SUMIFS('май 2024'!$G$4:$G$1753,'май 2024'!$D$4:$D$1753,$B55,'май 2024'!$J$4:$J$1753,S$1)</f>
        <v>0</v>
      </c>
      <c r="T55" s="80">
        <f>SUMIFS('май 2024'!$G$4:$G$1753,'май 2024'!$D$4:$D$1753,$B55,'май 2024'!$J$4:$J$1753,T$1)</f>
        <v>0</v>
      </c>
      <c r="U55" s="80">
        <f>SUMIFS('май 2024'!$G$4:$G$1753,'май 2024'!$D$4:$D$1753,$B55,'май 2024'!$J$4:$J$1753,U$1)</f>
        <v>0</v>
      </c>
      <c r="V55" s="80">
        <f>SUMIFS('май 2024'!$G$4:$G$1753,'май 2024'!$D$4:$D$1753,$B55,'май 2024'!$J$4:$J$1753,V$1)</f>
        <v>0</v>
      </c>
      <c r="W55" s="80">
        <f>SUMIFS('май 2024'!$G$4:$G$1753,'май 2024'!$D$4:$D$1753,$B55,'май 2024'!$J$4:$J$1753,W$1)</f>
        <v>0</v>
      </c>
      <c r="X55" s="80">
        <f>SUMIFS('май 2024'!$G$4:$G$1753,'май 2024'!$D$4:$D$1753,$B55,'май 2024'!$J$4:$J$1753,X$1)</f>
        <v>0</v>
      </c>
      <c r="Y55" s="80">
        <f>SUMIFS('май 2024'!$G$4:$G$1753,'май 2024'!$D$4:$D$1753,$B55,'май 2024'!$J$4:$J$1753,Y$1)</f>
        <v>0</v>
      </c>
      <c r="Z55" s="80">
        <f>SUMIFS('май 2024'!$G$4:$G$1753,'май 2024'!$D$4:$D$1753,$B55,'май 2024'!$J$4:$J$1753,Z$1)</f>
        <v>0</v>
      </c>
      <c r="AA55" s="80">
        <f>SUMIFS('май 2024'!$G$4:$G$1753,'май 2024'!$D$4:$D$1753,$B55,'май 2024'!$J$4:$J$1753,AA$1)</f>
        <v>0</v>
      </c>
      <c r="AB55" s="80">
        <f>SUMIFS('май 2024'!$G$4:$G$1753,'май 2024'!$D$4:$D$1753,$B55,'май 2024'!$J$4:$J$1753,AB$1)</f>
        <v>0</v>
      </c>
      <c r="AC55" s="80">
        <f>SUMIFS('май 2024'!$G$4:$G$1753,'май 2024'!$D$4:$D$1753,$B55,'май 2024'!$J$4:$J$1753,AC$1)</f>
        <v>0</v>
      </c>
      <c r="AD55" s="80">
        <f>SUMIFS('май 2024'!$G$4:$G$1753,'май 2024'!$D$4:$D$1753,$B55,'май 2024'!$J$4:$J$1753,AD$1)</f>
        <v>0</v>
      </c>
      <c r="AE55" s="80">
        <f>SUMIFS('май 2024'!$G$4:$G$1753,'май 2024'!$D$4:$D$1753,$B55,'май 2024'!$J$4:$J$1753,AE$1)</f>
        <v>0</v>
      </c>
      <c r="AF55" s="80">
        <f>SUMIFS('май 2024'!$G$4:$G$1753,'май 2024'!$D$4:$D$1753,$B55,'май 2024'!$J$4:$J$1753,AF$1)</f>
        <v>0</v>
      </c>
      <c r="AG55" s="80">
        <f>SUMIFS('май 2024'!$G$4:$G$1753,'май 2024'!$D$4:$D$1753,$B55,'май 2024'!$J$4:$J$1753,AG$1)</f>
        <v>0</v>
      </c>
      <c r="AH55" s="80">
        <f>SUMIFS('май 2024'!$G$4:$G$1753,'май 2024'!$D$4:$D$1753,$B55,'май 2024'!$J$4:$J$1753,AH$1)</f>
        <v>0</v>
      </c>
      <c r="AI55" s="21">
        <f t="shared" si="1"/>
        <v>0</v>
      </c>
    </row>
    <row r="56" spans="2:35" ht="15" customHeight="1" x14ac:dyDescent="0.25">
      <c r="B56" s="150"/>
      <c r="C56" s="151"/>
      <c r="D56" s="80">
        <f>SUMIFS('май 2024'!$G$4:$G$1753,'май 2024'!$D$4:$D$1753,$B56,'май 2024'!$J$4:$J$1753,D$1)</f>
        <v>0</v>
      </c>
      <c r="E56" s="80">
        <f>SUMIFS('май 2024'!$G$4:$G$1753,'май 2024'!$D$4:$D$1753,$B56,'май 2024'!$J$4:$J$1753,E$1)</f>
        <v>0</v>
      </c>
      <c r="F56" s="80">
        <f>SUMIFS('май 2024'!$G$4:$G$1753,'май 2024'!$D$4:$D$1753,$B56,'май 2024'!$J$4:$J$1753,F$1)</f>
        <v>0</v>
      </c>
      <c r="G56" s="80">
        <f>SUMIFS('май 2024'!$G$4:$G$1753,'май 2024'!$D$4:$D$1753,$B56,'май 2024'!$J$4:$J$1753,G$1)</f>
        <v>0</v>
      </c>
      <c r="H56" s="80">
        <f>SUMIFS('май 2024'!$G$4:$G$1753,'май 2024'!$D$4:$D$1753,$B56,'май 2024'!$J$4:$J$1753,H$1)</f>
        <v>0</v>
      </c>
      <c r="I56" s="80">
        <f>SUMIFS('май 2024'!$G$4:$G$1753,'май 2024'!$D$4:$D$1753,$B56,'май 2024'!$J$4:$J$1753,I$1)</f>
        <v>0</v>
      </c>
      <c r="J56" s="80">
        <f>SUMIFS('май 2024'!$G$4:$G$1753,'май 2024'!$D$4:$D$1753,$B56,'май 2024'!$J$4:$J$1753,J$1)</f>
        <v>0</v>
      </c>
      <c r="K56" s="80">
        <f>SUMIFS('май 2024'!$G$4:$G$1753,'май 2024'!$D$4:$D$1753,$B56,'май 2024'!$J$4:$J$1753,K$1)</f>
        <v>0</v>
      </c>
      <c r="L56" s="80">
        <f>SUMIFS('май 2024'!$G$4:$G$1753,'май 2024'!$D$4:$D$1753,$B56,'май 2024'!$J$4:$J$1753,L$1)</f>
        <v>0</v>
      </c>
      <c r="M56" s="80">
        <f>SUMIFS('май 2024'!$G$4:$G$1753,'май 2024'!$D$4:$D$1753,$B56,'май 2024'!$J$4:$J$1753,M$1)</f>
        <v>0</v>
      </c>
      <c r="N56" s="80">
        <f>SUMIFS('май 2024'!$G$4:$G$1753,'май 2024'!$D$4:$D$1753,$B56,'май 2024'!$J$4:$J$1753,N$1)</f>
        <v>0</v>
      </c>
      <c r="O56" s="80">
        <f>SUMIFS('май 2024'!$G$4:$G$1753,'май 2024'!$D$4:$D$1753,$B56,'май 2024'!$J$4:$J$1753,O$1)</f>
        <v>0</v>
      </c>
      <c r="P56" s="80">
        <f>SUMIFS('май 2024'!$G$4:$G$1753,'май 2024'!$D$4:$D$1753,$B56,'май 2024'!$J$4:$J$1753,P$1)</f>
        <v>0</v>
      </c>
      <c r="Q56" s="80">
        <f>SUMIFS('май 2024'!$G$4:$G$1753,'май 2024'!$D$4:$D$1753,$B56,'май 2024'!$J$4:$J$1753,Q$1)</f>
        <v>0</v>
      </c>
      <c r="R56" s="80">
        <f>SUMIFS('май 2024'!$G$4:$G$1753,'май 2024'!$D$4:$D$1753,$B56,'май 2024'!$J$4:$J$1753,R$1)</f>
        <v>0</v>
      </c>
      <c r="S56" s="80">
        <f>SUMIFS('май 2024'!$G$4:$G$1753,'май 2024'!$D$4:$D$1753,$B56,'май 2024'!$J$4:$J$1753,S$1)</f>
        <v>0</v>
      </c>
      <c r="T56" s="80">
        <f>SUMIFS('май 2024'!$G$4:$G$1753,'май 2024'!$D$4:$D$1753,$B56,'май 2024'!$J$4:$J$1753,T$1)</f>
        <v>0</v>
      </c>
      <c r="U56" s="80">
        <f>SUMIFS('май 2024'!$G$4:$G$1753,'май 2024'!$D$4:$D$1753,$B56,'май 2024'!$J$4:$J$1753,U$1)</f>
        <v>0</v>
      </c>
      <c r="V56" s="80">
        <f>SUMIFS('май 2024'!$G$4:$G$1753,'май 2024'!$D$4:$D$1753,$B56,'май 2024'!$J$4:$J$1753,V$1)</f>
        <v>0</v>
      </c>
      <c r="W56" s="80">
        <f>SUMIFS('май 2024'!$G$4:$G$1753,'май 2024'!$D$4:$D$1753,$B56,'май 2024'!$J$4:$J$1753,W$1)</f>
        <v>0</v>
      </c>
      <c r="X56" s="80">
        <f>SUMIFS('май 2024'!$G$4:$G$1753,'май 2024'!$D$4:$D$1753,$B56,'май 2024'!$J$4:$J$1753,X$1)</f>
        <v>0</v>
      </c>
      <c r="Y56" s="80">
        <f>SUMIFS('май 2024'!$G$4:$G$1753,'май 2024'!$D$4:$D$1753,$B56,'май 2024'!$J$4:$J$1753,Y$1)</f>
        <v>0</v>
      </c>
      <c r="Z56" s="80">
        <f>SUMIFS('май 2024'!$G$4:$G$1753,'май 2024'!$D$4:$D$1753,$B56,'май 2024'!$J$4:$J$1753,Z$1)</f>
        <v>0</v>
      </c>
      <c r="AA56" s="80">
        <f>SUMIFS('май 2024'!$G$4:$G$1753,'май 2024'!$D$4:$D$1753,$B56,'май 2024'!$J$4:$J$1753,AA$1)</f>
        <v>0</v>
      </c>
      <c r="AB56" s="80">
        <f>SUMIFS('май 2024'!$G$4:$G$1753,'май 2024'!$D$4:$D$1753,$B56,'май 2024'!$J$4:$J$1753,AB$1)</f>
        <v>0</v>
      </c>
      <c r="AC56" s="80">
        <f>SUMIFS('май 2024'!$G$4:$G$1753,'май 2024'!$D$4:$D$1753,$B56,'май 2024'!$J$4:$J$1753,AC$1)</f>
        <v>0</v>
      </c>
      <c r="AD56" s="80">
        <f>SUMIFS('май 2024'!$G$4:$G$1753,'май 2024'!$D$4:$D$1753,$B56,'май 2024'!$J$4:$J$1753,AD$1)</f>
        <v>0</v>
      </c>
      <c r="AE56" s="80">
        <f>SUMIFS('май 2024'!$G$4:$G$1753,'май 2024'!$D$4:$D$1753,$B56,'май 2024'!$J$4:$J$1753,AE$1)</f>
        <v>0</v>
      </c>
      <c r="AF56" s="80">
        <f>SUMIFS('май 2024'!$G$4:$G$1753,'май 2024'!$D$4:$D$1753,$B56,'май 2024'!$J$4:$J$1753,AF$1)</f>
        <v>0</v>
      </c>
      <c r="AG56" s="80">
        <f>SUMIFS('май 2024'!$G$4:$G$1753,'май 2024'!$D$4:$D$1753,$B56,'май 2024'!$J$4:$J$1753,AG$1)</f>
        <v>0</v>
      </c>
      <c r="AH56" s="80">
        <f>SUMIFS('май 2024'!$G$4:$G$1753,'май 2024'!$D$4:$D$1753,$B56,'май 2024'!$J$4:$J$1753,AH$1)</f>
        <v>0</v>
      </c>
      <c r="AI56" s="21">
        <f t="shared" si="1"/>
        <v>0</v>
      </c>
    </row>
    <row r="57" spans="2:35" ht="15" customHeight="1" x14ac:dyDescent="0.25">
      <c r="B57" s="150"/>
      <c r="C57" s="151"/>
      <c r="D57" s="80">
        <f>SUMIFS('май 2024'!$G$4:$G$1753,'май 2024'!$D$4:$D$1753,$B57,'май 2024'!$J$4:$J$1753,D$1)</f>
        <v>0</v>
      </c>
      <c r="E57" s="80">
        <f>SUMIFS('май 2024'!$G$4:$G$1753,'май 2024'!$D$4:$D$1753,$B57,'май 2024'!$J$4:$J$1753,E$1)</f>
        <v>0</v>
      </c>
      <c r="F57" s="80">
        <f>SUMIFS('май 2024'!$G$4:$G$1753,'май 2024'!$D$4:$D$1753,$B57,'май 2024'!$J$4:$J$1753,F$1)</f>
        <v>0</v>
      </c>
      <c r="G57" s="80">
        <f>SUMIFS('май 2024'!$G$4:$G$1753,'май 2024'!$D$4:$D$1753,$B57,'май 2024'!$J$4:$J$1753,G$1)</f>
        <v>0</v>
      </c>
      <c r="H57" s="80">
        <f>SUMIFS('май 2024'!$G$4:$G$1753,'май 2024'!$D$4:$D$1753,$B57,'май 2024'!$J$4:$J$1753,H$1)</f>
        <v>0</v>
      </c>
      <c r="I57" s="80">
        <f>SUMIFS('май 2024'!$G$4:$G$1753,'май 2024'!$D$4:$D$1753,$B57,'май 2024'!$J$4:$J$1753,I$1)</f>
        <v>0</v>
      </c>
      <c r="J57" s="80">
        <f>SUMIFS('май 2024'!$G$4:$G$1753,'май 2024'!$D$4:$D$1753,$B57,'май 2024'!$J$4:$J$1753,J$1)</f>
        <v>0</v>
      </c>
      <c r="K57" s="80">
        <f>SUMIFS('май 2024'!$G$4:$G$1753,'май 2024'!$D$4:$D$1753,$B57,'май 2024'!$J$4:$J$1753,K$1)</f>
        <v>0</v>
      </c>
      <c r="L57" s="80">
        <f>SUMIFS('май 2024'!$G$4:$G$1753,'май 2024'!$D$4:$D$1753,$B57,'май 2024'!$J$4:$J$1753,L$1)</f>
        <v>0</v>
      </c>
      <c r="M57" s="80">
        <f>SUMIFS('май 2024'!$G$4:$G$1753,'май 2024'!$D$4:$D$1753,$B57,'май 2024'!$J$4:$J$1753,M$1)</f>
        <v>0</v>
      </c>
      <c r="N57" s="80">
        <f>SUMIFS('май 2024'!$G$4:$G$1753,'май 2024'!$D$4:$D$1753,$B57,'май 2024'!$J$4:$J$1753,N$1)</f>
        <v>0</v>
      </c>
      <c r="O57" s="80">
        <f>SUMIFS('май 2024'!$G$4:$G$1753,'май 2024'!$D$4:$D$1753,$B57,'май 2024'!$J$4:$J$1753,O$1)</f>
        <v>0</v>
      </c>
      <c r="P57" s="80">
        <f>SUMIFS('май 2024'!$G$4:$G$1753,'май 2024'!$D$4:$D$1753,$B57,'май 2024'!$J$4:$J$1753,P$1)</f>
        <v>0</v>
      </c>
      <c r="Q57" s="80">
        <f>SUMIFS('май 2024'!$G$4:$G$1753,'май 2024'!$D$4:$D$1753,$B57,'май 2024'!$J$4:$J$1753,Q$1)</f>
        <v>0</v>
      </c>
      <c r="R57" s="80">
        <f>SUMIFS('май 2024'!$G$4:$G$1753,'май 2024'!$D$4:$D$1753,$B57,'май 2024'!$J$4:$J$1753,R$1)</f>
        <v>0</v>
      </c>
      <c r="S57" s="80">
        <f>SUMIFS('май 2024'!$G$4:$G$1753,'май 2024'!$D$4:$D$1753,$B57,'май 2024'!$J$4:$J$1753,S$1)</f>
        <v>0</v>
      </c>
      <c r="T57" s="80">
        <f>SUMIFS('май 2024'!$G$4:$G$1753,'май 2024'!$D$4:$D$1753,$B57,'май 2024'!$J$4:$J$1753,T$1)</f>
        <v>0</v>
      </c>
      <c r="U57" s="80">
        <f>SUMIFS('май 2024'!$G$4:$G$1753,'май 2024'!$D$4:$D$1753,$B57,'май 2024'!$J$4:$J$1753,U$1)</f>
        <v>0</v>
      </c>
      <c r="V57" s="80">
        <f>SUMIFS('май 2024'!$G$4:$G$1753,'май 2024'!$D$4:$D$1753,$B57,'май 2024'!$J$4:$J$1753,V$1)</f>
        <v>0</v>
      </c>
      <c r="W57" s="80">
        <f>SUMIFS('май 2024'!$G$4:$G$1753,'май 2024'!$D$4:$D$1753,$B57,'май 2024'!$J$4:$J$1753,W$1)</f>
        <v>0</v>
      </c>
      <c r="X57" s="80">
        <f>SUMIFS('май 2024'!$G$4:$G$1753,'май 2024'!$D$4:$D$1753,$B57,'май 2024'!$J$4:$J$1753,X$1)</f>
        <v>0</v>
      </c>
      <c r="Y57" s="80">
        <f>SUMIFS('май 2024'!$G$4:$G$1753,'май 2024'!$D$4:$D$1753,$B57,'май 2024'!$J$4:$J$1753,Y$1)</f>
        <v>0</v>
      </c>
      <c r="Z57" s="80">
        <f>SUMIFS('май 2024'!$G$4:$G$1753,'май 2024'!$D$4:$D$1753,$B57,'май 2024'!$J$4:$J$1753,Z$1)</f>
        <v>0</v>
      </c>
      <c r="AA57" s="80">
        <f>SUMIFS('май 2024'!$G$4:$G$1753,'май 2024'!$D$4:$D$1753,$B57,'май 2024'!$J$4:$J$1753,AA$1)</f>
        <v>0</v>
      </c>
      <c r="AB57" s="80">
        <f>SUMIFS('май 2024'!$G$4:$G$1753,'май 2024'!$D$4:$D$1753,$B57,'май 2024'!$J$4:$J$1753,AB$1)</f>
        <v>0</v>
      </c>
      <c r="AC57" s="80">
        <f>SUMIFS('май 2024'!$G$4:$G$1753,'май 2024'!$D$4:$D$1753,$B57,'май 2024'!$J$4:$J$1753,AC$1)</f>
        <v>0</v>
      </c>
      <c r="AD57" s="80">
        <f>SUMIFS('май 2024'!$G$4:$G$1753,'май 2024'!$D$4:$D$1753,$B57,'май 2024'!$J$4:$J$1753,AD$1)</f>
        <v>0</v>
      </c>
      <c r="AE57" s="80">
        <f>SUMIFS('май 2024'!$G$4:$G$1753,'май 2024'!$D$4:$D$1753,$B57,'май 2024'!$J$4:$J$1753,AE$1)</f>
        <v>0</v>
      </c>
      <c r="AF57" s="80">
        <f>SUMIFS('май 2024'!$G$4:$G$1753,'май 2024'!$D$4:$D$1753,$B57,'май 2024'!$J$4:$J$1753,AF$1)</f>
        <v>0</v>
      </c>
      <c r="AG57" s="80">
        <f>SUMIFS('май 2024'!$G$4:$G$1753,'май 2024'!$D$4:$D$1753,$B57,'май 2024'!$J$4:$J$1753,AG$1)</f>
        <v>0</v>
      </c>
      <c r="AH57" s="80">
        <f>SUMIFS('май 2024'!$G$4:$G$1753,'май 2024'!$D$4:$D$1753,$B57,'май 2024'!$J$4:$J$1753,AH$1)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80">
        <f>SUMIFS('май 2024'!$G$4:$G$1753,'май 2024'!$D$4:$D$1753,$B58,'май 2024'!$J$4:$J$1753,D$1)</f>
        <v>0</v>
      </c>
      <c r="E58" s="80">
        <f>SUMIFS('май 2024'!$G$4:$G$1753,'май 2024'!$D$4:$D$1753,$B58,'май 2024'!$J$4:$J$1753,E$1)</f>
        <v>0</v>
      </c>
      <c r="F58" s="80">
        <f>SUMIFS('май 2024'!$G$4:$G$1753,'май 2024'!$D$4:$D$1753,$B58,'май 2024'!$J$4:$J$1753,F$1)</f>
        <v>0</v>
      </c>
      <c r="G58" s="80">
        <f>SUMIFS('май 2024'!$G$4:$G$1753,'май 2024'!$D$4:$D$1753,$B58,'май 2024'!$J$4:$J$1753,G$1)</f>
        <v>0</v>
      </c>
      <c r="H58" s="80">
        <f>SUMIFS('май 2024'!$G$4:$G$1753,'май 2024'!$D$4:$D$1753,$B58,'май 2024'!$J$4:$J$1753,H$1)</f>
        <v>0</v>
      </c>
      <c r="I58" s="80">
        <f>SUMIFS('май 2024'!$G$4:$G$1753,'май 2024'!$D$4:$D$1753,$B58,'май 2024'!$J$4:$J$1753,I$1)</f>
        <v>0</v>
      </c>
      <c r="J58" s="80">
        <f>SUMIFS('май 2024'!$G$4:$G$1753,'май 2024'!$D$4:$D$1753,$B58,'май 2024'!$J$4:$J$1753,J$1)</f>
        <v>0</v>
      </c>
      <c r="K58" s="80">
        <f>SUMIFS('май 2024'!$G$4:$G$1753,'май 2024'!$D$4:$D$1753,$B58,'май 2024'!$J$4:$J$1753,K$1)</f>
        <v>0</v>
      </c>
      <c r="L58" s="80">
        <f>SUMIFS('май 2024'!$G$4:$G$1753,'май 2024'!$D$4:$D$1753,$B58,'май 2024'!$J$4:$J$1753,L$1)</f>
        <v>0</v>
      </c>
      <c r="M58" s="80">
        <f>SUMIFS('май 2024'!$G$4:$G$1753,'май 2024'!$D$4:$D$1753,$B58,'май 2024'!$J$4:$J$1753,M$1)</f>
        <v>0</v>
      </c>
      <c r="N58" s="80">
        <f>SUMIFS('май 2024'!$G$4:$G$1753,'май 2024'!$D$4:$D$1753,$B58,'май 2024'!$J$4:$J$1753,N$1)</f>
        <v>0</v>
      </c>
      <c r="O58" s="80">
        <f>SUMIFS('май 2024'!$G$4:$G$1753,'май 2024'!$D$4:$D$1753,$B58,'май 2024'!$J$4:$J$1753,O$1)</f>
        <v>0</v>
      </c>
      <c r="P58" s="80">
        <f>SUMIFS('май 2024'!$G$4:$G$1753,'май 2024'!$D$4:$D$1753,$B58,'май 2024'!$J$4:$J$1753,P$1)</f>
        <v>0</v>
      </c>
      <c r="Q58" s="80">
        <f>SUMIFS('май 2024'!$G$4:$G$1753,'май 2024'!$D$4:$D$1753,$B58,'май 2024'!$J$4:$J$1753,Q$1)</f>
        <v>0</v>
      </c>
      <c r="R58" s="80">
        <f>SUMIFS('май 2024'!$G$4:$G$1753,'май 2024'!$D$4:$D$1753,$B58,'май 2024'!$J$4:$J$1753,R$1)</f>
        <v>0</v>
      </c>
      <c r="S58" s="80">
        <f>SUMIFS('май 2024'!$G$4:$G$1753,'май 2024'!$D$4:$D$1753,$B58,'май 2024'!$J$4:$J$1753,S$1)</f>
        <v>0</v>
      </c>
      <c r="T58" s="80">
        <f>SUMIFS('май 2024'!$G$4:$G$1753,'май 2024'!$D$4:$D$1753,$B58,'май 2024'!$J$4:$J$1753,T$1)</f>
        <v>0</v>
      </c>
      <c r="U58" s="80">
        <f>SUMIFS('май 2024'!$G$4:$G$1753,'май 2024'!$D$4:$D$1753,$B58,'май 2024'!$J$4:$J$1753,U$1)</f>
        <v>0</v>
      </c>
      <c r="V58" s="80">
        <f>SUMIFS('май 2024'!$G$4:$G$1753,'май 2024'!$D$4:$D$1753,$B58,'май 2024'!$J$4:$J$1753,V$1)</f>
        <v>0</v>
      </c>
      <c r="W58" s="80">
        <f>SUMIFS('май 2024'!$G$4:$G$1753,'май 2024'!$D$4:$D$1753,$B58,'май 2024'!$J$4:$J$1753,W$1)</f>
        <v>0</v>
      </c>
      <c r="X58" s="80">
        <f>SUMIFS('май 2024'!$G$4:$G$1753,'май 2024'!$D$4:$D$1753,$B58,'май 2024'!$J$4:$J$1753,X$1)</f>
        <v>0</v>
      </c>
      <c r="Y58" s="80">
        <f>SUMIFS('май 2024'!$G$4:$G$1753,'май 2024'!$D$4:$D$1753,$B58,'май 2024'!$J$4:$J$1753,Y$1)</f>
        <v>0</v>
      </c>
      <c r="Z58" s="80">
        <f>SUMIFS('май 2024'!$G$4:$G$1753,'май 2024'!$D$4:$D$1753,$B58,'май 2024'!$J$4:$J$1753,Z$1)</f>
        <v>0</v>
      </c>
      <c r="AA58" s="80">
        <f>SUMIFS('май 2024'!$G$4:$G$1753,'май 2024'!$D$4:$D$1753,$B58,'май 2024'!$J$4:$J$1753,AA$1)</f>
        <v>0</v>
      </c>
      <c r="AB58" s="80">
        <f>SUMIFS('май 2024'!$G$4:$G$1753,'май 2024'!$D$4:$D$1753,$B58,'май 2024'!$J$4:$J$1753,AB$1)</f>
        <v>0</v>
      </c>
      <c r="AC58" s="80">
        <f>SUMIFS('май 2024'!$G$4:$G$1753,'май 2024'!$D$4:$D$1753,$B58,'май 2024'!$J$4:$J$1753,AC$1)</f>
        <v>0</v>
      </c>
      <c r="AD58" s="80">
        <f>SUMIFS('май 2024'!$G$4:$G$1753,'май 2024'!$D$4:$D$1753,$B58,'май 2024'!$J$4:$J$1753,AD$1)</f>
        <v>0</v>
      </c>
      <c r="AE58" s="80">
        <f>SUMIFS('май 2024'!$G$4:$G$1753,'май 2024'!$D$4:$D$1753,$B58,'май 2024'!$J$4:$J$1753,AE$1)</f>
        <v>0</v>
      </c>
      <c r="AF58" s="80">
        <f>SUMIFS('май 2024'!$G$4:$G$1753,'май 2024'!$D$4:$D$1753,$B58,'май 2024'!$J$4:$J$1753,AF$1)</f>
        <v>0</v>
      </c>
      <c r="AG58" s="80">
        <f>SUMIFS('май 2024'!$G$4:$G$1753,'май 2024'!$D$4:$D$1753,$B58,'май 2024'!$J$4:$J$1753,AG$1)</f>
        <v>0</v>
      </c>
      <c r="AH58" s="80">
        <f>SUMIFS('май 2024'!$G$4:$G$1753,'май 2024'!$D$4:$D$1753,$B58,'май 2024'!$J$4:$J$1753,AH$1)</f>
        <v>0</v>
      </c>
      <c r="AI58" s="21">
        <f t="shared" si="1"/>
        <v>0</v>
      </c>
    </row>
    <row r="59" spans="2:35" ht="15" customHeight="1" x14ac:dyDescent="0.25">
      <c r="B59" s="155"/>
      <c r="C59" s="151"/>
      <c r="D59" s="80">
        <f>SUMIFS('май 2024'!$G$4:$G$1753,'май 2024'!$D$4:$D$1753,$B59,'май 2024'!$J$4:$J$1753,D$1)</f>
        <v>0</v>
      </c>
      <c r="E59" s="80">
        <f>SUMIFS('май 2024'!$G$4:$G$1753,'май 2024'!$D$4:$D$1753,$B59,'май 2024'!$J$4:$J$1753,E$1)</f>
        <v>0</v>
      </c>
      <c r="F59" s="80">
        <f>SUMIFS('май 2024'!$G$4:$G$1753,'май 2024'!$D$4:$D$1753,$B59,'май 2024'!$J$4:$J$1753,F$1)</f>
        <v>0</v>
      </c>
      <c r="G59" s="80">
        <f>SUMIFS('май 2024'!$G$4:$G$1753,'май 2024'!$D$4:$D$1753,$B59,'май 2024'!$J$4:$J$1753,G$1)</f>
        <v>0</v>
      </c>
      <c r="H59" s="80">
        <f>SUMIFS('май 2024'!$G$4:$G$1753,'май 2024'!$D$4:$D$1753,$B59,'май 2024'!$J$4:$J$1753,H$1)</f>
        <v>0</v>
      </c>
      <c r="I59" s="80">
        <f>SUMIFS('май 2024'!$G$4:$G$1753,'май 2024'!$D$4:$D$1753,$B59,'май 2024'!$J$4:$J$1753,I$1)</f>
        <v>0</v>
      </c>
      <c r="J59" s="80">
        <f>SUMIFS('май 2024'!$G$4:$G$1753,'май 2024'!$D$4:$D$1753,$B59,'май 2024'!$J$4:$J$1753,J$1)</f>
        <v>0</v>
      </c>
      <c r="K59" s="80">
        <f>SUMIFS('май 2024'!$G$4:$G$1753,'май 2024'!$D$4:$D$1753,$B59,'май 2024'!$J$4:$J$1753,K$1)</f>
        <v>0</v>
      </c>
      <c r="L59" s="80">
        <f>SUMIFS('май 2024'!$G$4:$G$1753,'май 2024'!$D$4:$D$1753,$B59,'май 2024'!$J$4:$J$1753,L$1)</f>
        <v>0</v>
      </c>
      <c r="M59" s="80">
        <f>SUMIFS('май 2024'!$G$4:$G$1753,'май 2024'!$D$4:$D$1753,$B59,'май 2024'!$J$4:$J$1753,M$1)</f>
        <v>0</v>
      </c>
      <c r="N59" s="80">
        <f>SUMIFS('май 2024'!$G$4:$G$1753,'май 2024'!$D$4:$D$1753,$B59,'май 2024'!$J$4:$J$1753,N$1)</f>
        <v>0</v>
      </c>
      <c r="O59" s="80">
        <f>SUMIFS('май 2024'!$G$4:$G$1753,'май 2024'!$D$4:$D$1753,$B59,'май 2024'!$J$4:$J$1753,O$1)</f>
        <v>0</v>
      </c>
      <c r="P59" s="80">
        <f>SUMIFS('май 2024'!$G$4:$G$1753,'май 2024'!$D$4:$D$1753,$B59,'май 2024'!$J$4:$J$1753,P$1)</f>
        <v>0</v>
      </c>
      <c r="Q59" s="80">
        <f>SUMIFS('май 2024'!$G$4:$G$1753,'май 2024'!$D$4:$D$1753,$B59,'май 2024'!$J$4:$J$1753,Q$1)</f>
        <v>0</v>
      </c>
      <c r="R59" s="80">
        <f>SUMIFS('май 2024'!$G$4:$G$1753,'май 2024'!$D$4:$D$1753,$B59,'май 2024'!$J$4:$J$1753,R$1)</f>
        <v>0</v>
      </c>
      <c r="S59" s="80">
        <f>SUMIFS('май 2024'!$G$4:$G$1753,'май 2024'!$D$4:$D$1753,$B59,'май 2024'!$J$4:$J$1753,S$1)</f>
        <v>0</v>
      </c>
      <c r="T59" s="80">
        <f>SUMIFS('май 2024'!$G$4:$G$1753,'май 2024'!$D$4:$D$1753,$B59,'май 2024'!$J$4:$J$1753,T$1)</f>
        <v>0</v>
      </c>
      <c r="U59" s="80">
        <f>SUMIFS('май 2024'!$G$4:$G$1753,'май 2024'!$D$4:$D$1753,$B59,'май 2024'!$J$4:$J$1753,U$1)</f>
        <v>0</v>
      </c>
      <c r="V59" s="80">
        <f>SUMIFS('май 2024'!$G$4:$G$1753,'май 2024'!$D$4:$D$1753,$B59,'май 2024'!$J$4:$J$1753,V$1)</f>
        <v>0</v>
      </c>
      <c r="W59" s="80">
        <f>SUMIFS('май 2024'!$G$4:$G$1753,'май 2024'!$D$4:$D$1753,$B59,'май 2024'!$J$4:$J$1753,W$1)</f>
        <v>0</v>
      </c>
      <c r="X59" s="80">
        <f>SUMIFS('май 2024'!$G$4:$G$1753,'май 2024'!$D$4:$D$1753,$B59,'май 2024'!$J$4:$J$1753,X$1)</f>
        <v>0</v>
      </c>
      <c r="Y59" s="80">
        <f>SUMIFS('май 2024'!$G$4:$G$1753,'май 2024'!$D$4:$D$1753,$B59,'май 2024'!$J$4:$J$1753,Y$1)</f>
        <v>0</v>
      </c>
      <c r="Z59" s="80">
        <f>SUMIFS('май 2024'!$G$4:$G$1753,'май 2024'!$D$4:$D$1753,$B59,'май 2024'!$J$4:$J$1753,Z$1)</f>
        <v>0</v>
      </c>
      <c r="AA59" s="80">
        <f>SUMIFS('май 2024'!$G$4:$G$1753,'май 2024'!$D$4:$D$1753,$B59,'май 2024'!$J$4:$J$1753,AA$1)</f>
        <v>0</v>
      </c>
      <c r="AB59" s="80">
        <f>SUMIFS('май 2024'!$G$4:$G$1753,'май 2024'!$D$4:$D$1753,$B59,'май 2024'!$J$4:$J$1753,AB$1)</f>
        <v>0</v>
      </c>
      <c r="AC59" s="80">
        <f>SUMIFS('май 2024'!$G$4:$G$1753,'май 2024'!$D$4:$D$1753,$B59,'май 2024'!$J$4:$J$1753,AC$1)</f>
        <v>0</v>
      </c>
      <c r="AD59" s="80">
        <f>SUMIFS('май 2024'!$G$4:$G$1753,'май 2024'!$D$4:$D$1753,$B59,'май 2024'!$J$4:$J$1753,AD$1)</f>
        <v>0</v>
      </c>
      <c r="AE59" s="80">
        <f>SUMIFS('май 2024'!$G$4:$G$1753,'май 2024'!$D$4:$D$1753,$B59,'май 2024'!$J$4:$J$1753,AE$1)</f>
        <v>0</v>
      </c>
      <c r="AF59" s="80">
        <f>SUMIFS('май 2024'!$G$4:$G$1753,'май 2024'!$D$4:$D$1753,$B59,'май 2024'!$J$4:$J$1753,AF$1)</f>
        <v>0</v>
      </c>
      <c r="AG59" s="80">
        <f>SUMIFS('май 2024'!$G$4:$G$1753,'май 2024'!$D$4:$D$1753,$B59,'май 2024'!$J$4:$J$1753,AG$1)</f>
        <v>0</v>
      </c>
      <c r="AH59" s="80">
        <f>SUMIFS('май 2024'!$G$4:$G$1753,'май 2024'!$D$4:$D$1753,$B59,'май 2024'!$J$4:$J$1753,AH$1)</f>
        <v>0</v>
      </c>
      <c r="AI59" s="21">
        <f t="shared" si="1"/>
        <v>0</v>
      </c>
    </row>
    <row r="60" spans="2:35" ht="15" customHeight="1" x14ac:dyDescent="0.25">
      <c r="B60" s="155"/>
      <c r="C60" s="151"/>
      <c r="D60" s="80">
        <f>SUMIFS('май 2024'!$G$4:$G$1753,'май 2024'!$D$4:$D$1753,$B60,'май 2024'!$J$4:$J$1753,D$1)</f>
        <v>0</v>
      </c>
      <c r="E60" s="80">
        <f>SUMIFS('май 2024'!$G$4:$G$1753,'май 2024'!$D$4:$D$1753,$B60,'май 2024'!$J$4:$J$1753,E$1)</f>
        <v>0</v>
      </c>
      <c r="F60" s="80">
        <f>SUMIFS('май 2024'!$G$4:$G$1753,'май 2024'!$D$4:$D$1753,$B60,'май 2024'!$J$4:$J$1753,F$1)</f>
        <v>0</v>
      </c>
      <c r="G60" s="80">
        <f>SUMIFS('май 2024'!$G$4:$G$1753,'май 2024'!$D$4:$D$1753,$B60,'май 2024'!$J$4:$J$1753,G$1)</f>
        <v>0</v>
      </c>
      <c r="H60" s="80">
        <f>SUMIFS('май 2024'!$G$4:$G$1753,'май 2024'!$D$4:$D$1753,$B60,'май 2024'!$J$4:$J$1753,H$1)</f>
        <v>0</v>
      </c>
      <c r="I60" s="80">
        <f>SUMIFS('май 2024'!$G$4:$G$1753,'май 2024'!$D$4:$D$1753,$B60,'май 2024'!$J$4:$J$1753,I$1)</f>
        <v>0</v>
      </c>
      <c r="J60" s="80">
        <f>SUMIFS('май 2024'!$G$4:$G$1753,'май 2024'!$D$4:$D$1753,$B60,'май 2024'!$J$4:$J$1753,J$1)</f>
        <v>0</v>
      </c>
      <c r="K60" s="80">
        <f>SUMIFS('май 2024'!$G$4:$G$1753,'май 2024'!$D$4:$D$1753,$B60,'май 2024'!$J$4:$J$1753,K$1)</f>
        <v>0</v>
      </c>
      <c r="L60" s="80">
        <f>SUMIFS('май 2024'!$G$4:$G$1753,'май 2024'!$D$4:$D$1753,$B60,'май 2024'!$J$4:$J$1753,L$1)</f>
        <v>0</v>
      </c>
      <c r="M60" s="80">
        <f>SUMIFS('май 2024'!$G$4:$G$1753,'май 2024'!$D$4:$D$1753,$B60,'май 2024'!$J$4:$J$1753,M$1)</f>
        <v>0</v>
      </c>
      <c r="N60" s="80">
        <f>SUMIFS('май 2024'!$G$4:$G$1753,'май 2024'!$D$4:$D$1753,$B60,'май 2024'!$J$4:$J$1753,N$1)</f>
        <v>0</v>
      </c>
      <c r="O60" s="80">
        <f>SUMIFS('май 2024'!$G$4:$G$1753,'май 2024'!$D$4:$D$1753,$B60,'май 2024'!$J$4:$J$1753,O$1)</f>
        <v>0</v>
      </c>
      <c r="P60" s="80">
        <f>SUMIFS('май 2024'!$G$4:$G$1753,'май 2024'!$D$4:$D$1753,$B60,'май 2024'!$J$4:$J$1753,P$1)</f>
        <v>0</v>
      </c>
      <c r="Q60" s="80">
        <f>SUMIFS('май 2024'!$G$4:$G$1753,'май 2024'!$D$4:$D$1753,$B60,'май 2024'!$J$4:$J$1753,Q$1)</f>
        <v>0</v>
      </c>
      <c r="R60" s="80">
        <f>SUMIFS('май 2024'!$G$4:$G$1753,'май 2024'!$D$4:$D$1753,$B60,'май 2024'!$J$4:$J$1753,R$1)</f>
        <v>0</v>
      </c>
      <c r="S60" s="80">
        <f>SUMIFS('май 2024'!$G$4:$G$1753,'май 2024'!$D$4:$D$1753,$B60,'май 2024'!$J$4:$J$1753,S$1)</f>
        <v>0</v>
      </c>
      <c r="T60" s="80">
        <f>SUMIFS('май 2024'!$G$4:$G$1753,'май 2024'!$D$4:$D$1753,$B60,'май 2024'!$J$4:$J$1753,T$1)</f>
        <v>0</v>
      </c>
      <c r="U60" s="80">
        <f>SUMIFS('май 2024'!$G$4:$G$1753,'май 2024'!$D$4:$D$1753,$B60,'май 2024'!$J$4:$J$1753,U$1)</f>
        <v>0</v>
      </c>
      <c r="V60" s="80">
        <f>SUMIFS('май 2024'!$G$4:$G$1753,'май 2024'!$D$4:$D$1753,$B60,'май 2024'!$J$4:$J$1753,V$1)</f>
        <v>0</v>
      </c>
      <c r="W60" s="80">
        <f>SUMIFS('май 2024'!$G$4:$G$1753,'май 2024'!$D$4:$D$1753,$B60,'май 2024'!$J$4:$J$1753,W$1)</f>
        <v>0</v>
      </c>
      <c r="X60" s="80">
        <f>SUMIFS('май 2024'!$G$4:$G$1753,'май 2024'!$D$4:$D$1753,$B60,'май 2024'!$J$4:$J$1753,X$1)</f>
        <v>0</v>
      </c>
      <c r="Y60" s="80">
        <f>SUMIFS('май 2024'!$G$4:$G$1753,'май 2024'!$D$4:$D$1753,$B60,'май 2024'!$J$4:$J$1753,Y$1)</f>
        <v>0</v>
      </c>
      <c r="Z60" s="80">
        <f>SUMIFS('май 2024'!$G$4:$G$1753,'май 2024'!$D$4:$D$1753,$B60,'май 2024'!$J$4:$J$1753,Z$1)</f>
        <v>0</v>
      </c>
      <c r="AA60" s="80">
        <f>SUMIFS('май 2024'!$G$4:$G$1753,'май 2024'!$D$4:$D$1753,$B60,'май 2024'!$J$4:$J$1753,AA$1)</f>
        <v>0</v>
      </c>
      <c r="AB60" s="80">
        <f>SUMIFS('май 2024'!$G$4:$G$1753,'май 2024'!$D$4:$D$1753,$B60,'май 2024'!$J$4:$J$1753,AB$1)</f>
        <v>0</v>
      </c>
      <c r="AC60" s="80">
        <f>SUMIFS('май 2024'!$G$4:$G$1753,'май 2024'!$D$4:$D$1753,$B60,'май 2024'!$J$4:$J$1753,AC$1)</f>
        <v>0</v>
      </c>
      <c r="AD60" s="80">
        <f>SUMIFS('май 2024'!$G$4:$G$1753,'май 2024'!$D$4:$D$1753,$B60,'май 2024'!$J$4:$J$1753,AD$1)</f>
        <v>0</v>
      </c>
      <c r="AE60" s="80">
        <f>SUMIFS('май 2024'!$G$4:$G$1753,'май 2024'!$D$4:$D$1753,$B60,'май 2024'!$J$4:$J$1753,AE$1)</f>
        <v>0</v>
      </c>
      <c r="AF60" s="80">
        <f>SUMIFS('май 2024'!$G$4:$G$1753,'май 2024'!$D$4:$D$1753,$B60,'май 2024'!$J$4:$J$1753,AF$1)</f>
        <v>0</v>
      </c>
      <c r="AG60" s="80">
        <f>SUMIFS('май 2024'!$G$4:$G$1753,'май 2024'!$D$4:$D$1753,$B60,'май 2024'!$J$4:$J$1753,AG$1)</f>
        <v>0</v>
      </c>
      <c r="AH60" s="80">
        <f>SUMIFS('май 2024'!$G$4:$G$1753,'май 2024'!$D$4:$D$1753,$B60,'май 2024'!$J$4:$J$1753,AH$1)</f>
        <v>0</v>
      </c>
      <c r="AI60" s="21">
        <f t="shared" si="1"/>
        <v>0</v>
      </c>
    </row>
    <row r="61" spans="2:35" ht="15" customHeight="1" x14ac:dyDescent="0.25">
      <c r="B61" s="92" t="s">
        <v>161</v>
      </c>
      <c r="C61" s="91">
        <v>200</v>
      </c>
      <c r="D61" s="80">
        <f>SUMIFS('май 2024'!$G$4:$G$1753,'май 2024'!$D$4:$D$1753,$B61,'май 2024'!$J$4:$J$1753,D$1)</f>
        <v>0</v>
      </c>
      <c r="E61" s="80">
        <f>SUMIFS('май 2024'!$G$4:$G$1753,'май 2024'!$D$4:$D$1753,$B61,'май 2024'!$J$4:$J$1753,E$1)</f>
        <v>0</v>
      </c>
      <c r="F61" s="80">
        <f>SUMIFS('май 2024'!$G$4:$G$1753,'май 2024'!$D$4:$D$1753,$B61,'май 2024'!$J$4:$J$1753,F$1)</f>
        <v>0</v>
      </c>
      <c r="G61" s="80">
        <f>SUMIFS('май 2024'!$G$4:$G$1753,'май 2024'!$D$4:$D$1753,$B61,'май 2024'!$J$4:$J$1753,G$1)</f>
        <v>0</v>
      </c>
      <c r="H61" s="80">
        <f>SUMIFS('май 2024'!$G$4:$G$1753,'май 2024'!$D$4:$D$1753,$B61,'май 2024'!$J$4:$J$1753,H$1)</f>
        <v>0</v>
      </c>
      <c r="I61" s="80">
        <f>SUMIFS('май 2024'!$G$4:$G$1753,'май 2024'!$D$4:$D$1753,$B61,'май 2024'!$J$4:$J$1753,I$1)</f>
        <v>0</v>
      </c>
      <c r="J61" s="80">
        <f>SUMIFS('май 2024'!$G$4:$G$1753,'май 2024'!$D$4:$D$1753,$B61,'май 2024'!$J$4:$J$1753,J$1)</f>
        <v>0</v>
      </c>
      <c r="K61" s="80">
        <f>SUMIFS('май 2024'!$G$4:$G$1753,'май 2024'!$D$4:$D$1753,$B61,'май 2024'!$J$4:$J$1753,K$1)</f>
        <v>0</v>
      </c>
      <c r="L61" s="80">
        <f>SUMIFS('май 2024'!$G$4:$G$1753,'май 2024'!$D$4:$D$1753,$B61,'май 2024'!$J$4:$J$1753,L$1)</f>
        <v>0</v>
      </c>
      <c r="M61" s="80">
        <f>SUMIFS('май 2024'!$G$4:$G$1753,'май 2024'!$D$4:$D$1753,$B61,'май 2024'!$J$4:$J$1753,M$1)</f>
        <v>0</v>
      </c>
      <c r="N61" s="80">
        <f>SUMIFS('май 2024'!$G$4:$G$1753,'май 2024'!$D$4:$D$1753,$B61,'май 2024'!$J$4:$J$1753,N$1)</f>
        <v>0</v>
      </c>
      <c r="O61" s="80">
        <f>SUMIFS('май 2024'!$G$4:$G$1753,'май 2024'!$D$4:$D$1753,$B61,'май 2024'!$J$4:$J$1753,O$1)</f>
        <v>0</v>
      </c>
      <c r="P61" s="80">
        <f>SUMIFS('май 2024'!$G$4:$G$1753,'май 2024'!$D$4:$D$1753,$B61,'май 2024'!$J$4:$J$1753,P$1)</f>
        <v>0</v>
      </c>
      <c r="Q61" s="80">
        <f>SUMIFS('май 2024'!$G$4:$G$1753,'май 2024'!$D$4:$D$1753,$B61,'май 2024'!$J$4:$J$1753,Q$1)</f>
        <v>0</v>
      </c>
      <c r="R61" s="80">
        <f>SUMIFS('май 2024'!$G$4:$G$1753,'май 2024'!$D$4:$D$1753,$B61,'май 2024'!$J$4:$J$1753,R$1)</f>
        <v>0</v>
      </c>
      <c r="S61" s="80">
        <f>SUMIFS('май 2024'!$G$4:$G$1753,'май 2024'!$D$4:$D$1753,$B61,'май 2024'!$J$4:$J$1753,S$1)</f>
        <v>0</v>
      </c>
      <c r="T61" s="80">
        <f>SUMIFS('май 2024'!$G$4:$G$1753,'май 2024'!$D$4:$D$1753,$B61,'май 2024'!$J$4:$J$1753,T$1)</f>
        <v>0</v>
      </c>
      <c r="U61" s="80">
        <f>SUMIFS('май 2024'!$G$4:$G$1753,'май 2024'!$D$4:$D$1753,$B61,'май 2024'!$J$4:$J$1753,U$1)</f>
        <v>0</v>
      </c>
      <c r="V61" s="80">
        <f>SUMIFS('май 2024'!$G$4:$G$1753,'май 2024'!$D$4:$D$1753,$B61,'май 2024'!$J$4:$J$1753,V$1)</f>
        <v>0</v>
      </c>
      <c r="W61" s="80">
        <f>SUMIFS('май 2024'!$G$4:$G$1753,'май 2024'!$D$4:$D$1753,$B61,'май 2024'!$J$4:$J$1753,W$1)</f>
        <v>0</v>
      </c>
      <c r="X61" s="80">
        <f>SUMIFS('май 2024'!$G$4:$G$1753,'май 2024'!$D$4:$D$1753,$B61,'май 2024'!$J$4:$J$1753,X$1)</f>
        <v>0</v>
      </c>
      <c r="Y61" s="80">
        <f>SUMIFS('май 2024'!$G$4:$G$1753,'май 2024'!$D$4:$D$1753,$B61,'май 2024'!$J$4:$J$1753,Y$1)</f>
        <v>0</v>
      </c>
      <c r="Z61" s="80">
        <f>SUMIFS('май 2024'!$G$4:$G$1753,'май 2024'!$D$4:$D$1753,$B61,'май 2024'!$J$4:$J$1753,Z$1)</f>
        <v>0</v>
      </c>
      <c r="AA61" s="80">
        <f>SUMIFS('май 2024'!$G$4:$G$1753,'май 2024'!$D$4:$D$1753,$B61,'май 2024'!$J$4:$J$1753,AA$1)</f>
        <v>0</v>
      </c>
      <c r="AB61" s="80">
        <f>SUMIFS('май 2024'!$G$4:$G$1753,'май 2024'!$D$4:$D$1753,$B61,'май 2024'!$J$4:$J$1753,AB$1)</f>
        <v>0</v>
      </c>
      <c r="AC61" s="80">
        <f>SUMIFS('май 2024'!$G$4:$G$1753,'май 2024'!$D$4:$D$1753,$B61,'май 2024'!$J$4:$J$1753,AC$1)</f>
        <v>0</v>
      </c>
      <c r="AD61" s="80">
        <f>SUMIFS('май 2024'!$G$4:$G$1753,'май 2024'!$D$4:$D$1753,$B61,'май 2024'!$J$4:$J$1753,AD$1)</f>
        <v>0</v>
      </c>
      <c r="AE61" s="80">
        <f>SUMIFS('май 2024'!$G$4:$G$1753,'май 2024'!$D$4:$D$1753,$B61,'май 2024'!$J$4:$J$1753,AE$1)</f>
        <v>0</v>
      </c>
      <c r="AF61" s="80">
        <f>SUMIFS('май 2024'!$G$4:$G$1753,'май 2024'!$D$4:$D$1753,$B61,'май 2024'!$J$4:$J$1753,AF$1)</f>
        <v>0</v>
      </c>
      <c r="AG61" s="80">
        <f>SUMIFS('май 2024'!$G$4:$G$1753,'май 2024'!$D$4:$D$1753,$B61,'май 2024'!$J$4:$J$1753,AG$1)</f>
        <v>0</v>
      </c>
      <c r="AH61" s="80">
        <f>SUMIFS('май 2024'!$G$4:$G$1753,'май 2024'!$D$4:$D$1753,$B61,'май 2024'!$J$4:$J$1753,AH$1)</f>
        <v>0</v>
      </c>
      <c r="AI61" s="21">
        <f t="shared" si="1"/>
        <v>0</v>
      </c>
    </row>
    <row r="62" spans="2:35" ht="15" customHeight="1" x14ac:dyDescent="0.25">
      <c r="B62" s="92" t="s">
        <v>1153</v>
      </c>
      <c r="C62" s="91">
        <v>50</v>
      </c>
      <c r="D62" s="80">
        <f>SUMIFS('май 2024'!$G$4:$G$1753,'май 2024'!$D$4:$D$1753,$B62,'май 2024'!$J$4:$J$1753,D$1)</f>
        <v>0</v>
      </c>
      <c r="E62" s="80">
        <f>SUMIFS('май 2024'!$G$4:$G$1753,'май 2024'!$D$4:$D$1753,$B62,'май 2024'!$J$4:$J$1753,E$1)</f>
        <v>0</v>
      </c>
      <c r="F62" s="80">
        <f>SUMIFS('май 2024'!$G$4:$G$1753,'май 2024'!$D$4:$D$1753,$B62,'май 2024'!$J$4:$J$1753,F$1)</f>
        <v>0</v>
      </c>
      <c r="G62" s="80">
        <f>SUMIFS('май 2024'!$G$4:$G$1753,'май 2024'!$D$4:$D$1753,$B62,'май 2024'!$J$4:$J$1753,G$1)</f>
        <v>0</v>
      </c>
      <c r="H62" s="80">
        <f>SUMIFS('май 2024'!$G$4:$G$1753,'май 2024'!$D$4:$D$1753,$B62,'май 2024'!$J$4:$J$1753,H$1)</f>
        <v>0</v>
      </c>
      <c r="I62" s="80">
        <f>SUMIFS('май 2024'!$G$4:$G$1753,'май 2024'!$D$4:$D$1753,$B62,'май 2024'!$J$4:$J$1753,I$1)</f>
        <v>0</v>
      </c>
      <c r="J62" s="80">
        <f>SUMIFS('май 2024'!$G$4:$G$1753,'май 2024'!$D$4:$D$1753,$B62,'май 2024'!$J$4:$J$1753,J$1)</f>
        <v>0</v>
      </c>
      <c r="K62" s="80">
        <f>SUMIFS('май 2024'!$G$4:$G$1753,'май 2024'!$D$4:$D$1753,$B62,'май 2024'!$J$4:$J$1753,K$1)</f>
        <v>0</v>
      </c>
      <c r="L62" s="80">
        <f>SUMIFS('май 2024'!$G$4:$G$1753,'май 2024'!$D$4:$D$1753,$B62,'май 2024'!$J$4:$J$1753,L$1)</f>
        <v>0</v>
      </c>
      <c r="M62" s="80">
        <f>SUMIFS('май 2024'!$G$4:$G$1753,'май 2024'!$D$4:$D$1753,$B62,'май 2024'!$J$4:$J$1753,M$1)</f>
        <v>0</v>
      </c>
      <c r="N62" s="80">
        <f>SUMIFS('май 2024'!$G$4:$G$1753,'май 2024'!$D$4:$D$1753,$B62,'май 2024'!$J$4:$J$1753,N$1)</f>
        <v>0</v>
      </c>
      <c r="O62" s="80">
        <f>SUMIFS('май 2024'!$G$4:$G$1753,'май 2024'!$D$4:$D$1753,$B62,'май 2024'!$J$4:$J$1753,O$1)</f>
        <v>0</v>
      </c>
      <c r="P62" s="80">
        <f>SUMIFS('май 2024'!$G$4:$G$1753,'май 2024'!$D$4:$D$1753,$B62,'май 2024'!$J$4:$J$1753,P$1)</f>
        <v>0</v>
      </c>
      <c r="Q62" s="80">
        <f>SUMIFS('май 2024'!$G$4:$G$1753,'май 2024'!$D$4:$D$1753,$B62,'май 2024'!$J$4:$J$1753,Q$1)</f>
        <v>0</v>
      </c>
      <c r="R62" s="80">
        <f>SUMIFS('май 2024'!$G$4:$G$1753,'май 2024'!$D$4:$D$1753,$B62,'май 2024'!$J$4:$J$1753,R$1)</f>
        <v>0</v>
      </c>
      <c r="S62" s="80">
        <f>SUMIFS('май 2024'!$G$4:$G$1753,'май 2024'!$D$4:$D$1753,$B62,'май 2024'!$J$4:$J$1753,S$1)</f>
        <v>0</v>
      </c>
      <c r="T62" s="80">
        <f>SUMIFS('май 2024'!$G$4:$G$1753,'май 2024'!$D$4:$D$1753,$B62,'май 2024'!$J$4:$J$1753,T$1)</f>
        <v>0</v>
      </c>
      <c r="U62" s="80">
        <f>SUMIFS('май 2024'!$G$4:$G$1753,'май 2024'!$D$4:$D$1753,$B62,'май 2024'!$J$4:$J$1753,U$1)</f>
        <v>0</v>
      </c>
      <c r="V62" s="80">
        <f>SUMIFS('май 2024'!$G$4:$G$1753,'май 2024'!$D$4:$D$1753,$B62,'май 2024'!$J$4:$J$1753,V$1)</f>
        <v>0</v>
      </c>
      <c r="W62" s="80">
        <f>SUMIFS('май 2024'!$G$4:$G$1753,'май 2024'!$D$4:$D$1753,$B62,'май 2024'!$J$4:$J$1753,W$1)</f>
        <v>0</v>
      </c>
      <c r="X62" s="80">
        <f>SUMIFS('май 2024'!$G$4:$G$1753,'май 2024'!$D$4:$D$1753,$B62,'май 2024'!$J$4:$J$1753,X$1)</f>
        <v>348</v>
      </c>
      <c r="Y62" s="80">
        <f>SUMIFS('май 2024'!$G$4:$G$1753,'май 2024'!$D$4:$D$1753,$B62,'май 2024'!$J$4:$J$1753,Y$1)</f>
        <v>0</v>
      </c>
      <c r="Z62" s="80">
        <f>SUMIFS('май 2024'!$G$4:$G$1753,'май 2024'!$D$4:$D$1753,$B62,'май 2024'!$J$4:$J$1753,Z$1)</f>
        <v>0</v>
      </c>
      <c r="AA62" s="80">
        <f>SUMIFS('май 2024'!$G$4:$G$1753,'май 2024'!$D$4:$D$1753,$B62,'май 2024'!$J$4:$J$1753,AA$1)</f>
        <v>0</v>
      </c>
      <c r="AB62" s="80">
        <f>SUMIFS('май 2024'!$G$4:$G$1753,'май 2024'!$D$4:$D$1753,$B62,'май 2024'!$J$4:$J$1753,AB$1)</f>
        <v>0</v>
      </c>
      <c r="AC62" s="80">
        <f>SUMIFS('май 2024'!$G$4:$G$1753,'май 2024'!$D$4:$D$1753,$B62,'май 2024'!$J$4:$J$1753,AC$1)</f>
        <v>0</v>
      </c>
      <c r="AD62" s="80">
        <f>SUMIFS('май 2024'!$G$4:$G$1753,'май 2024'!$D$4:$D$1753,$B62,'май 2024'!$J$4:$J$1753,AD$1)</f>
        <v>0</v>
      </c>
      <c r="AE62" s="80">
        <f>SUMIFS('май 2024'!$G$4:$G$1753,'май 2024'!$D$4:$D$1753,$B62,'май 2024'!$J$4:$J$1753,AE$1)</f>
        <v>0</v>
      </c>
      <c r="AF62" s="80">
        <f>SUMIFS('май 2024'!$G$4:$G$1753,'май 2024'!$D$4:$D$1753,$B62,'май 2024'!$J$4:$J$1753,AF$1)</f>
        <v>0</v>
      </c>
      <c r="AG62" s="80">
        <f>SUMIFS('май 2024'!$G$4:$G$1753,'май 2024'!$D$4:$D$1753,$B62,'май 2024'!$J$4:$J$1753,AG$1)</f>
        <v>0</v>
      </c>
      <c r="AH62" s="80">
        <f>SUMIFS('май 2024'!$G$4:$G$1753,'май 2024'!$D$4:$D$1753,$B62,'май 2024'!$J$4:$J$1753,AH$1)</f>
        <v>0</v>
      </c>
      <c r="AI62" s="21">
        <f t="shared" si="1"/>
        <v>348</v>
      </c>
    </row>
    <row r="63" spans="2:35" ht="15" customHeight="1" x14ac:dyDescent="0.25">
      <c r="B63" s="93" t="s">
        <v>209</v>
      </c>
      <c r="C63" s="91">
        <v>200</v>
      </c>
      <c r="D63" s="80">
        <f>SUMIFS('май 2024'!$G$4:$G$1753,'май 2024'!$D$4:$D$1753,$B63,'май 2024'!$J$4:$J$1753,D$1)</f>
        <v>0</v>
      </c>
      <c r="E63" s="80">
        <f>SUMIFS('май 2024'!$G$4:$G$1753,'май 2024'!$D$4:$D$1753,$B63,'май 2024'!$J$4:$J$1753,E$1)</f>
        <v>0</v>
      </c>
      <c r="F63" s="80">
        <f>SUMIFS('май 2024'!$G$4:$G$1753,'май 2024'!$D$4:$D$1753,$B63,'май 2024'!$J$4:$J$1753,F$1)</f>
        <v>0</v>
      </c>
      <c r="G63" s="80">
        <f>SUMIFS('май 2024'!$G$4:$G$1753,'май 2024'!$D$4:$D$1753,$B63,'май 2024'!$J$4:$J$1753,G$1)</f>
        <v>0</v>
      </c>
      <c r="H63" s="80">
        <f>SUMIFS('май 2024'!$G$4:$G$1753,'май 2024'!$D$4:$D$1753,$B63,'май 2024'!$J$4:$J$1753,H$1)</f>
        <v>0</v>
      </c>
      <c r="I63" s="80">
        <f>SUMIFS('май 2024'!$G$4:$G$1753,'май 2024'!$D$4:$D$1753,$B63,'май 2024'!$J$4:$J$1753,I$1)</f>
        <v>0</v>
      </c>
      <c r="J63" s="80">
        <f>SUMIFS('май 2024'!$G$4:$G$1753,'май 2024'!$D$4:$D$1753,$B63,'май 2024'!$J$4:$J$1753,J$1)</f>
        <v>0</v>
      </c>
      <c r="K63" s="80">
        <f>SUMIFS('май 2024'!$G$4:$G$1753,'май 2024'!$D$4:$D$1753,$B63,'май 2024'!$J$4:$J$1753,K$1)</f>
        <v>0</v>
      </c>
      <c r="L63" s="80">
        <f>SUMIFS('май 2024'!$G$4:$G$1753,'май 2024'!$D$4:$D$1753,$B63,'май 2024'!$J$4:$J$1753,L$1)</f>
        <v>0</v>
      </c>
      <c r="M63" s="80">
        <f>SUMIFS('май 2024'!$G$4:$G$1753,'май 2024'!$D$4:$D$1753,$B63,'май 2024'!$J$4:$J$1753,M$1)</f>
        <v>0</v>
      </c>
      <c r="N63" s="80">
        <f>SUMIFS('май 2024'!$G$4:$G$1753,'май 2024'!$D$4:$D$1753,$B63,'май 2024'!$J$4:$J$1753,N$1)</f>
        <v>0</v>
      </c>
      <c r="O63" s="80">
        <f>SUMIFS('май 2024'!$G$4:$G$1753,'май 2024'!$D$4:$D$1753,$B63,'май 2024'!$J$4:$J$1753,O$1)</f>
        <v>0</v>
      </c>
      <c r="P63" s="80">
        <f>SUMIFS('май 2024'!$G$4:$G$1753,'май 2024'!$D$4:$D$1753,$B63,'май 2024'!$J$4:$J$1753,P$1)</f>
        <v>0</v>
      </c>
      <c r="Q63" s="80">
        <f>SUMIFS('май 2024'!$G$4:$G$1753,'май 2024'!$D$4:$D$1753,$B63,'май 2024'!$J$4:$J$1753,Q$1)</f>
        <v>0</v>
      </c>
      <c r="R63" s="80">
        <f>SUMIFS('май 2024'!$G$4:$G$1753,'май 2024'!$D$4:$D$1753,$B63,'май 2024'!$J$4:$J$1753,R$1)</f>
        <v>0</v>
      </c>
      <c r="S63" s="80">
        <f>SUMIFS('май 2024'!$G$4:$G$1753,'май 2024'!$D$4:$D$1753,$B63,'май 2024'!$J$4:$J$1753,S$1)</f>
        <v>0</v>
      </c>
      <c r="T63" s="80">
        <f>SUMIFS('май 2024'!$G$4:$G$1753,'май 2024'!$D$4:$D$1753,$B63,'май 2024'!$J$4:$J$1753,T$1)</f>
        <v>0</v>
      </c>
      <c r="U63" s="80">
        <f>SUMIFS('май 2024'!$G$4:$G$1753,'май 2024'!$D$4:$D$1753,$B63,'май 2024'!$J$4:$J$1753,U$1)</f>
        <v>0</v>
      </c>
      <c r="V63" s="80">
        <f>SUMIFS('май 2024'!$G$4:$G$1753,'май 2024'!$D$4:$D$1753,$B63,'май 2024'!$J$4:$J$1753,V$1)</f>
        <v>0</v>
      </c>
      <c r="W63" s="80">
        <f>SUMIFS('май 2024'!$G$4:$G$1753,'май 2024'!$D$4:$D$1753,$B63,'май 2024'!$J$4:$J$1753,W$1)</f>
        <v>0</v>
      </c>
      <c r="X63" s="80">
        <f>SUMIFS('май 2024'!$G$4:$G$1753,'май 2024'!$D$4:$D$1753,$B63,'май 2024'!$J$4:$J$1753,X$1)</f>
        <v>0</v>
      </c>
      <c r="Y63" s="80">
        <f>SUMIFS('май 2024'!$G$4:$G$1753,'май 2024'!$D$4:$D$1753,$B63,'май 2024'!$J$4:$J$1753,Y$1)</f>
        <v>0</v>
      </c>
      <c r="Z63" s="80">
        <f>SUMIFS('май 2024'!$G$4:$G$1753,'май 2024'!$D$4:$D$1753,$B63,'май 2024'!$J$4:$J$1753,Z$1)</f>
        <v>0</v>
      </c>
      <c r="AA63" s="80">
        <f>SUMIFS('май 2024'!$G$4:$G$1753,'май 2024'!$D$4:$D$1753,$B63,'май 2024'!$J$4:$J$1753,AA$1)</f>
        <v>0</v>
      </c>
      <c r="AB63" s="80">
        <f>SUMIFS('май 2024'!$G$4:$G$1753,'май 2024'!$D$4:$D$1753,$B63,'май 2024'!$J$4:$J$1753,AB$1)</f>
        <v>0</v>
      </c>
      <c r="AC63" s="80">
        <f>SUMIFS('май 2024'!$G$4:$G$1753,'май 2024'!$D$4:$D$1753,$B63,'май 2024'!$J$4:$J$1753,AC$1)</f>
        <v>0</v>
      </c>
      <c r="AD63" s="80">
        <f>SUMIFS('май 2024'!$G$4:$G$1753,'май 2024'!$D$4:$D$1753,$B63,'май 2024'!$J$4:$J$1753,AD$1)</f>
        <v>0</v>
      </c>
      <c r="AE63" s="80">
        <f>SUMIFS('май 2024'!$G$4:$G$1753,'май 2024'!$D$4:$D$1753,$B63,'май 2024'!$J$4:$J$1753,AE$1)</f>
        <v>0</v>
      </c>
      <c r="AF63" s="80">
        <f>SUMIFS('май 2024'!$G$4:$G$1753,'май 2024'!$D$4:$D$1753,$B63,'май 2024'!$J$4:$J$1753,AF$1)</f>
        <v>0</v>
      </c>
      <c r="AG63" s="80">
        <f>SUMIFS('май 2024'!$G$4:$G$1753,'май 2024'!$D$4:$D$1753,$B63,'май 2024'!$J$4:$J$1753,AG$1)</f>
        <v>0</v>
      </c>
      <c r="AH63" s="80">
        <f>SUMIFS('май 2024'!$G$4:$G$1753,'май 2024'!$D$4:$D$1753,$B63,'май 2024'!$J$4:$J$1753,AH$1)</f>
        <v>0</v>
      </c>
      <c r="AI63" s="21">
        <f t="shared" si="1"/>
        <v>0</v>
      </c>
    </row>
    <row r="64" spans="2:35" ht="15" customHeight="1" x14ac:dyDescent="0.25">
      <c r="B64" s="93" t="s">
        <v>222</v>
      </c>
      <c r="C64" s="91">
        <v>25</v>
      </c>
      <c r="D64" s="80">
        <f>SUMIFS('май 2024'!$G$4:$G$1753,'май 2024'!$D$4:$D$1753,$B64,'май 2024'!$J$4:$J$1753,D$1)</f>
        <v>0</v>
      </c>
      <c r="E64" s="80">
        <f>SUMIFS('май 2024'!$G$4:$G$1753,'май 2024'!$D$4:$D$1753,$B64,'май 2024'!$J$4:$J$1753,E$1)</f>
        <v>0</v>
      </c>
      <c r="F64" s="80">
        <f>SUMIFS('май 2024'!$G$4:$G$1753,'май 2024'!$D$4:$D$1753,$B64,'май 2024'!$J$4:$J$1753,F$1)</f>
        <v>0</v>
      </c>
      <c r="G64" s="80">
        <f>SUMIFS('май 2024'!$G$4:$G$1753,'май 2024'!$D$4:$D$1753,$B64,'май 2024'!$J$4:$J$1753,G$1)</f>
        <v>0</v>
      </c>
      <c r="H64" s="80">
        <f>SUMIFS('май 2024'!$G$4:$G$1753,'май 2024'!$D$4:$D$1753,$B64,'май 2024'!$J$4:$J$1753,H$1)</f>
        <v>0</v>
      </c>
      <c r="I64" s="80">
        <f>SUMIFS('май 2024'!$G$4:$G$1753,'май 2024'!$D$4:$D$1753,$B64,'май 2024'!$J$4:$J$1753,I$1)</f>
        <v>0</v>
      </c>
      <c r="J64" s="80">
        <f>SUMIFS('май 2024'!$G$4:$G$1753,'май 2024'!$D$4:$D$1753,$B64,'май 2024'!$J$4:$J$1753,J$1)</f>
        <v>0</v>
      </c>
      <c r="K64" s="80">
        <f>SUMIFS('май 2024'!$G$4:$G$1753,'май 2024'!$D$4:$D$1753,$B64,'май 2024'!$J$4:$J$1753,K$1)</f>
        <v>0</v>
      </c>
      <c r="L64" s="80">
        <f>SUMIFS('май 2024'!$G$4:$G$1753,'май 2024'!$D$4:$D$1753,$B64,'май 2024'!$J$4:$J$1753,L$1)</f>
        <v>0</v>
      </c>
      <c r="M64" s="80">
        <f>SUMIFS('май 2024'!$G$4:$G$1753,'май 2024'!$D$4:$D$1753,$B64,'май 2024'!$J$4:$J$1753,M$1)</f>
        <v>0</v>
      </c>
      <c r="N64" s="80">
        <f>SUMIFS('май 2024'!$G$4:$G$1753,'май 2024'!$D$4:$D$1753,$B64,'май 2024'!$J$4:$J$1753,N$1)</f>
        <v>0</v>
      </c>
      <c r="O64" s="80">
        <f>SUMIFS('май 2024'!$G$4:$G$1753,'май 2024'!$D$4:$D$1753,$B64,'май 2024'!$J$4:$J$1753,O$1)</f>
        <v>0</v>
      </c>
      <c r="P64" s="80">
        <f>SUMIFS('май 2024'!$G$4:$G$1753,'май 2024'!$D$4:$D$1753,$B64,'май 2024'!$J$4:$J$1753,P$1)</f>
        <v>0</v>
      </c>
      <c r="Q64" s="80">
        <f>SUMIFS('май 2024'!$G$4:$G$1753,'май 2024'!$D$4:$D$1753,$B64,'май 2024'!$J$4:$J$1753,Q$1)</f>
        <v>0</v>
      </c>
      <c r="R64" s="80">
        <f>SUMIFS('май 2024'!$G$4:$G$1753,'май 2024'!$D$4:$D$1753,$B64,'май 2024'!$J$4:$J$1753,R$1)</f>
        <v>0</v>
      </c>
      <c r="S64" s="80">
        <f>SUMIFS('май 2024'!$G$4:$G$1753,'май 2024'!$D$4:$D$1753,$B64,'май 2024'!$J$4:$J$1753,S$1)</f>
        <v>0</v>
      </c>
      <c r="T64" s="80">
        <f>SUMIFS('май 2024'!$G$4:$G$1753,'май 2024'!$D$4:$D$1753,$B64,'май 2024'!$J$4:$J$1753,T$1)</f>
        <v>0</v>
      </c>
      <c r="U64" s="80">
        <f>SUMIFS('май 2024'!$G$4:$G$1753,'май 2024'!$D$4:$D$1753,$B64,'май 2024'!$J$4:$J$1753,U$1)</f>
        <v>0</v>
      </c>
      <c r="V64" s="80">
        <f>SUMIFS('май 2024'!$G$4:$G$1753,'май 2024'!$D$4:$D$1753,$B64,'май 2024'!$J$4:$J$1753,V$1)</f>
        <v>0</v>
      </c>
      <c r="W64" s="80">
        <f>SUMIFS('май 2024'!$G$4:$G$1753,'май 2024'!$D$4:$D$1753,$B64,'май 2024'!$J$4:$J$1753,W$1)</f>
        <v>0</v>
      </c>
      <c r="X64" s="80">
        <f>SUMIFS('май 2024'!$G$4:$G$1753,'май 2024'!$D$4:$D$1753,$B64,'май 2024'!$J$4:$J$1753,X$1)</f>
        <v>0</v>
      </c>
      <c r="Y64" s="80">
        <f>SUMIFS('май 2024'!$G$4:$G$1753,'май 2024'!$D$4:$D$1753,$B64,'май 2024'!$J$4:$J$1753,Y$1)</f>
        <v>0</v>
      </c>
      <c r="Z64" s="80">
        <f>SUMIFS('май 2024'!$G$4:$G$1753,'май 2024'!$D$4:$D$1753,$B64,'май 2024'!$J$4:$J$1753,Z$1)</f>
        <v>0</v>
      </c>
      <c r="AA64" s="80">
        <f>SUMIFS('май 2024'!$G$4:$G$1753,'май 2024'!$D$4:$D$1753,$B64,'май 2024'!$J$4:$J$1753,AA$1)</f>
        <v>0</v>
      </c>
      <c r="AB64" s="80">
        <f>SUMIFS('май 2024'!$G$4:$G$1753,'май 2024'!$D$4:$D$1753,$B64,'май 2024'!$J$4:$J$1753,AB$1)</f>
        <v>0</v>
      </c>
      <c r="AC64" s="80">
        <f>SUMIFS('май 2024'!$G$4:$G$1753,'май 2024'!$D$4:$D$1753,$B64,'май 2024'!$J$4:$J$1753,AC$1)</f>
        <v>0</v>
      </c>
      <c r="AD64" s="80">
        <f>SUMIFS('май 2024'!$G$4:$G$1753,'май 2024'!$D$4:$D$1753,$B64,'май 2024'!$J$4:$J$1753,AD$1)</f>
        <v>0</v>
      </c>
      <c r="AE64" s="80">
        <f>SUMIFS('май 2024'!$G$4:$G$1753,'май 2024'!$D$4:$D$1753,$B64,'май 2024'!$J$4:$J$1753,AE$1)</f>
        <v>0</v>
      </c>
      <c r="AF64" s="80">
        <f>SUMIFS('май 2024'!$G$4:$G$1753,'май 2024'!$D$4:$D$1753,$B64,'май 2024'!$J$4:$J$1753,AF$1)</f>
        <v>0</v>
      </c>
      <c r="AG64" s="80">
        <f>SUMIFS('май 2024'!$G$4:$G$1753,'май 2024'!$D$4:$D$1753,$B64,'май 2024'!$J$4:$J$1753,AG$1)</f>
        <v>0</v>
      </c>
      <c r="AH64" s="80">
        <f>SUMIFS('май 2024'!$G$4:$G$1753,'май 2024'!$D$4:$D$1753,$B64,'май 2024'!$J$4:$J$1753,AH$1)</f>
        <v>0</v>
      </c>
      <c r="AI64" s="21">
        <f t="shared" si="1"/>
        <v>0</v>
      </c>
    </row>
    <row r="65" spans="2:35" ht="15" customHeight="1" x14ac:dyDescent="0.25">
      <c r="B65" s="93" t="s">
        <v>189</v>
      </c>
      <c r="C65" s="91">
        <v>50</v>
      </c>
      <c r="D65" s="80">
        <f>SUMIFS('май 2024'!$G$4:$G$1753,'май 2024'!$D$4:$D$1753,$B65,'май 2024'!$J$4:$J$1753,D$1)</f>
        <v>0</v>
      </c>
      <c r="E65" s="80">
        <f>SUMIFS('май 2024'!$G$4:$G$1753,'май 2024'!$D$4:$D$1753,$B65,'май 2024'!$J$4:$J$1753,E$1)</f>
        <v>0</v>
      </c>
      <c r="F65" s="80">
        <f>SUMIFS('май 2024'!$G$4:$G$1753,'май 2024'!$D$4:$D$1753,$B65,'май 2024'!$J$4:$J$1753,F$1)</f>
        <v>0</v>
      </c>
      <c r="G65" s="80">
        <f>SUMIFS('май 2024'!$G$4:$G$1753,'май 2024'!$D$4:$D$1753,$B65,'май 2024'!$J$4:$J$1753,G$1)</f>
        <v>0</v>
      </c>
      <c r="H65" s="80">
        <f>SUMIFS('май 2024'!$G$4:$G$1753,'май 2024'!$D$4:$D$1753,$B65,'май 2024'!$J$4:$J$1753,H$1)</f>
        <v>0</v>
      </c>
      <c r="I65" s="80">
        <f>SUMIFS('май 2024'!$G$4:$G$1753,'май 2024'!$D$4:$D$1753,$B65,'май 2024'!$J$4:$J$1753,I$1)</f>
        <v>0</v>
      </c>
      <c r="J65" s="80">
        <f>SUMIFS('май 2024'!$G$4:$G$1753,'май 2024'!$D$4:$D$1753,$B65,'май 2024'!$J$4:$J$1753,J$1)</f>
        <v>0</v>
      </c>
      <c r="K65" s="80">
        <f>SUMIFS('май 2024'!$G$4:$G$1753,'май 2024'!$D$4:$D$1753,$B65,'май 2024'!$J$4:$J$1753,K$1)</f>
        <v>0</v>
      </c>
      <c r="L65" s="80">
        <f>SUMIFS('май 2024'!$G$4:$G$1753,'май 2024'!$D$4:$D$1753,$B65,'май 2024'!$J$4:$J$1753,L$1)</f>
        <v>0</v>
      </c>
      <c r="M65" s="80">
        <f>SUMIFS('май 2024'!$G$4:$G$1753,'май 2024'!$D$4:$D$1753,$B65,'май 2024'!$J$4:$J$1753,M$1)</f>
        <v>0</v>
      </c>
      <c r="N65" s="80">
        <f>SUMIFS('май 2024'!$G$4:$G$1753,'май 2024'!$D$4:$D$1753,$B65,'май 2024'!$J$4:$J$1753,N$1)</f>
        <v>0</v>
      </c>
      <c r="O65" s="80">
        <f>SUMIFS('май 2024'!$G$4:$G$1753,'май 2024'!$D$4:$D$1753,$B65,'май 2024'!$J$4:$J$1753,O$1)</f>
        <v>0</v>
      </c>
      <c r="P65" s="80">
        <f>SUMIFS('май 2024'!$G$4:$G$1753,'май 2024'!$D$4:$D$1753,$B65,'май 2024'!$J$4:$J$1753,P$1)</f>
        <v>0</v>
      </c>
      <c r="Q65" s="80">
        <f>SUMIFS('май 2024'!$G$4:$G$1753,'май 2024'!$D$4:$D$1753,$B65,'май 2024'!$J$4:$J$1753,Q$1)</f>
        <v>0</v>
      </c>
      <c r="R65" s="80">
        <f>SUMIFS('май 2024'!$G$4:$G$1753,'май 2024'!$D$4:$D$1753,$B65,'май 2024'!$J$4:$J$1753,R$1)</f>
        <v>0</v>
      </c>
      <c r="S65" s="80">
        <f>SUMIFS('май 2024'!$G$4:$G$1753,'май 2024'!$D$4:$D$1753,$B65,'май 2024'!$J$4:$J$1753,S$1)</f>
        <v>0</v>
      </c>
      <c r="T65" s="80">
        <f>SUMIFS('май 2024'!$G$4:$G$1753,'май 2024'!$D$4:$D$1753,$B65,'май 2024'!$J$4:$J$1753,T$1)</f>
        <v>0</v>
      </c>
      <c r="U65" s="80">
        <f>SUMIFS('май 2024'!$G$4:$G$1753,'май 2024'!$D$4:$D$1753,$B65,'май 2024'!$J$4:$J$1753,U$1)</f>
        <v>0</v>
      </c>
      <c r="V65" s="80">
        <f>SUMIFS('май 2024'!$G$4:$G$1753,'май 2024'!$D$4:$D$1753,$B65,'май 2024'!$J$4:$J$1753,V$1)</f>
        <v>0</v>
      </c>
      <c r="W65" s="80">
        <f>SUMIFS('май 2024'!$G$4:$G$1753,'май 2024'!$D$4:$D$1753,$B65,'май 2024'!$J$4:$J$1753,W$1)</f>
        <v>0</v>
      </c>
      <c r="X65" s="80">
        <f>SUMIFS('май 2024'!$G$4:$G$1753,'май 2024'!$D$4:$D$1753,$B65,'май 2024'!$J$4:$J$1753,X$1)</f>
        <v>0</v>
      </c>
      <c r="Y65" s="80">
        <f>SUMIFS('май 2024'!$G$4:$G$1753,'май 2024'!$D$4:$D$1753,$B65,'май 2024'!$J$4:$J$1753,Y$1)</f>
        <v>0</v>
      </c>
      <c r="Z65" s="80">
        <f>SUMIFS('май 2024'!$G$4:$G$1753,'май 2024'!$D$4:$D$1753,$B65,'май 2024'!$J$4:$J$1753,Z$1)</f>
        <v>0</v>
      </c>
      <c r="AA65" s="80">
        <f>SUMIFS('май 2024'!$G$4:$G$1753,'май 2024'!$D$4:$D$1753,$B65,'май 2024'!$J$4:$J$1753,AA$1)</f>
        <v>0</v>
      </c>
      <c r="AB65" s="80">
        <f>SUMIFS('май 2024'!$G$4:$G$1753,'май 2024'!$D$4:$D$1753,$B65,'май 2024'!$J$4:$J$1753,AB$1)</f>
        <v>0</v>
      </c>
      <c r="AC65" s="80">
        <f>SUMIFS('май 2024'!$G$4:$G$1753,'май 2024'!$D$4:$D$1753,$B65,'май 2024'!$J$4:$J$1753,AC$1)</f>
        <v>0</v>
      </c>
      <c r="AD65" s="80">
        <f>SUMIFS('май 2024'!$G$4:$G$1753,'май 2024'!$D$4:$D$1753,$B65,'май 2024'!$J$4:$J$1753,AD$1)</f>
        <v>0</v>
      </c>
      <c r="AE65" s="80">
        <f>SUMIFS('май 2024'!$G$4:$G$1753,'май 2024'!$D$4:$D$1753,$B65,'май 2024'!$J$4:$J$1753,AE$1)</f>
        <v>0</v>
      </c>
      <c r="AF65" s="80">
        <f>SUMIFS('май 2024'!$G$4:$G$1753,'май 2024'!$D$4:$D$1753,$B65,'май 2024'!$J$4:$J$1753,AF$1)</f>
        <v>0</v>
      </c>
      <c r="AG65" s="80">
        <f>SUMIFS('май 2024'!$G$4:$G$1753,'май 2024'!$D$4:$D$1753,$B65,'май 2024'!$J$4:$J$1753,AG$1)</f>
        <v>0</v>
      </c>
      <c r="AH65" s="80">
        <f>SUMIFS('май 2024'!$G$4:$G$1753,'май 2024'!$D$4:$D$1753,$B65,'май 2024'!$J$4:$J$1753,AH$1)</f>
        <v>0</v>
      </c>
      <c r="AI65" s="21">
        <f t="shared" si="1"/>
        <v>0</v>
      </c>
    </row>
    <row r="66" spans="2:35" ht="15.75" x14ac:dyDescent="0.25">
      <c r="B66" s="89" t="s">
        <v>159</v>
      </c>
      <c r="C66" s="88">
        <v>200</v>
      </c>
      <c r="D66" s="80">
        <f>SUMIFS('май 2024'!$G$4:$G$1753,'май 2024'!$D$4:$D$1753,$B66,'май 2024'!$J$4:$J$1753,D$1)</f>
        <v>0</v>
      </c>
      <c r="E66" s="80">
        <f>SUMIFS('май 2024'!$G$4:$G$1753,'май 2024'!$D$4:$D$1753,$B66,'май 2024'!$J$4:$J$1753,E$1)</f>
        <v>0</v>
      </c>
      <c r="F66" s="80">
        <f>SUMIFS('май 2024'!$G$4:$G$1753,'май 2024'!$D$4:$D$1753,$B66,'май 2024'!$J$4:$J$1753,F$1)</f>
        <v>0</v>
      </c>
      <c r="G66" s="80">
        <f>SUMIFS('май 2024'!$G$4:$G$1753,'май 2024'!$D$4:$D$1753,$B66,'май 2024'!$J$4:$J$1753,G$1)</f>
        <v>0</v>
      </c>
      <c r="H66" s="80">
        <f>SUMIFS('май 2024'!$G$4:$G$1753,'май 2024'!$D$4:$D$1753,$B66,'май 2024'!$J$4:$J$1753,H$1)</f>
        <v>0</v>
      </c>
      <c r="I66" s="80">
        <f>SUMIFS('май 2024'!$G$4:$G$1753,'май 2024'!$D$4:$D$1753,$B66,'май 2024'!$J$4:$J$1753,I$1)</f>
        <v>0</v>
      </c>
      <c r="J66" s="80">
        <f>SUMIFS('май 2024'!$G$4:$G$1753,'май 2024'!$D$4:$D$1753,$B66,'май 2024'!$J$4:$J$1753,J$1)</f>
        <v>0</v>
      </c>
      <c r="K66" s="80">
        <f>SUMIFS('май 2024'!$G$4:$G$1753,'май 2024'!$D$4:$D$1753,$B66,'май 2024'!$J$4:$J$1753,K$1)</f>
        <v>0</v>
      </c>
      <c r="L66" s="80">
        <f>SUMIFS('май 2024'!$G$4:$G$1753,'май 2024'!$D$4:$D$1753,$B66,'май 2024'!$J$4:$J$1753,L$1)</f>
        <v>0</v>
      </c>
      <c r="M66" s="80">
        <f>SUMIFS('май 2024'!$G$4:$G$1753,'май 2024'!$D$4:$D$1753,$B66,'май 2024'!$J$4:$J$1753,M$1)</f>
        <v>0</v>
      </c>
      <c r="N66" s="80">
        <f>SUMIFS('май 2024'!$G$4:$G$1753,'май 2024'!$D$4:$D$1753,$B66,'май 2024'!$J$4:$J$1753,N$1)</f>
        <v>0</v>
      </c>
      <c r="O66" s="80">
        <f>SUMIFS('май 2024'!$G$4:$G$1753,'май 2024'!$D$4:$D$1753,$B66,'май 2024'!$J$4:$J$1753,O$1)</f>
        <v>0</v>
      </c>
      <c r="P66" s="80">
        <f>SUMIFS('май 2024'!$G$4:$G$1753,'май 2024'!$D$4:$D$1753,$B66,'май 2024'!$J$4:$J$1753,P$1)</f>
        <v>0</v>
      </c>
      <c r="Q66" s="80">
        <f>SUMIFS('май 2024'!$G$4:$G$1753,'май 2024'!$D$4:$D$1753,$B66,'май 2024'!$J$4:$J$1753,Q$1)</f>
        <v>0</v>
      </c>
      <c r="R66" s="80">
        <f>SUMIFS('май 2024'!$G$4:$G$1753,'май 2024'!$D$4:$D$1753,$B66,'май 2024'!$J$4:$J$1753,R$1)</f>
        <v>0</v>
      </c>
      <c r="S66" s="80">
        <f>SUMIFS('май 2024'!$G$4:$G$1753,'май 2024'!$D$4:$D$1753,$B66,'май 2024'!$J$4:$J$1753,S$1)</f>
        <v>0</v>
      </c>
      <c r="T66" s="80">
        <f>SUMIFS('май 2024'!$G$4:$G$1753,'май 2024'!$D$4:$D$1753,$B66,'май 2024'!$J$4:$J$1753,T$1)</f>
        <v>0</v>
      </c>
      <c r="U66" s="80">
        <f>SUMIFS('май 2024'!$G$4:$G$1753,'май 2024'!$D$4:$D$1753,$B66,'май 2024'!$J$4:$J$1753,U$1)</f>
        <v>0</v>
      </c>
      <c r="V66" s="80">
        <f>SUMIFS('май 2024'!$G$4:$G$1753,'май 2024'!$D$4:$D$1753,$B66,'май 2024'!$J$4:$J$1753,V$1)</f>
        <v>0</v>
      </c>
      <c r="W66" s="80">
        <f>SUMIFS('май 2024'!$G$4:$G$1753,'май 2024'!$D$4:$D$1753,$B66,'май 2024'!$J$4:$J$1753,W$1)</f>
        <v>0</v>
      </c>
      <c r="X66" s="80">
        <f>SUMIFS('май 2024'!$G$4:$G$1753,'май 2024'!$D$4:$D$1753,$B66,'май 2024'!$J$4:$J$1753,X$1)</f>
        <v>0</v>
      </c>
      <c r="Y66" s="80">
        <f>SUMIFS('май 2024'!$G$4:$G$1753,'май 2024'!$D$4:$D$1753,$B66,'май 2024'!$J$4:$J$1753,Y$1)</f>
        <v>0</v>
      </c>
      <c r="Z66" s="80">
        <f>SUMIFS('май 2024'!$G$4:$G$1753,'май 2024'!$D$4:$D$1753,$B66,'май 2024'!$J$4:$J$1753,Z$1)</f>
        <v>0</v>
      </c>
      <c r="AA66" s="80">
        <f>SUMIFS('май 2024'!$G$4:$G$1753,'май 2024'!$D$4:$D$1753,$B66,'май 2024'!$J$4:$J$1753,AA$1)</f>
        <v>0</v>
      </c>
      <c r="AB66" s="80">
        <f>SUMIFS('май 2024'!$G$4:$G$1753,'май 2024'!$D$4:$D$1753,$B66,'май 2024'!$J$4:$J$1753,AB$1)</f>
        <v>0</v>
      </c>
      <c r="AC66" s="80">
        <f>SUMIFS('май 2024'!$G$4:$G$1753,'май 2024'!$D$4:$D$1753,$B66,'май 2024'!$J$4:$J$1753,AC$1)</f>
        <v>0</v>
      </c>
      <c r="AD66" s="80">
        <f>SUMIFS('май 2024'!$G$4:$G$1753,'май 2024'!$D$4:$D$1753,$B66,'май 2024'!$J$4:$J$1753,AD$1)</f>
        <v>0</v>
      </c>
      <c r="AE66" s="80">
        <f>SUMIFS('май 2024'!$G$4:$G$1753,'май 2024'!$D$4:$D$1753,$B66,'май 2024'!$J$4:$J$1753,AE$1)</f>
        <v>0</v>
      </c>
      <c r="AF66" s="80">
        <f>SUMIFS('май 2024'!$G$4:$G$1753,'май 2024'!$D$4:$D$1753,$B66,'май 2024'!$J$4:$J$1753,AF$1)</f>
        <v>0</v>
      </c>
      <c r="AG66" s="80">
        <f>SUMIFS('май 2024'!$G$4:$G$1753,'май 2024'!$D$4:$D$1753,$B66,'май 2024'!$J$4:$J$1753,AG$1)</f>
        <v>0</v>
      </c>
      <c r="AH66" s="80">
        <f>SUMIFS('май 2024'!$G$4:$G$1753,'май 2024'!$D$4:$D$1753,$B66,'май 2024'!$J$4:$J$1753,AH$1)</f>
        <v>0</v>
      </c>
      <c r="AI66" s="21">
        <f t="shared" si="1"/>
        <v>0</v>
      </c>
    </row>
    <row r="67" spans="2:35" ht="15.75" x14ac:dyDescent="0.25">
      <c r="B67" s="93" t="s">
        <v>158</v>
      </c>
      <c r="C67" s="91">
        <v>200</v>
      </c>
      <c r="D67" s="80">
        <f>SUMIFS('май 2024'!$G$4:$G$1753,'май 2024'!$D$4:$D$1753,$B67,'май 2024'!$J$4:$J$1753,D$1)</f>
        <v>0</v>
      </c>
      <c r="E67" s="80">
        <f>SUMIFS('май 2024'!$G$4:$G$1753,'май 2024'!$D$4:$D$1753,$B67,'май 2024'!$J$4:$J$1753,E$1)</f>
        <v>0</v>
      </c>
      <c r="F67" s="80">
        <f>SUMIFS('май 2024'!$G$4:$G$1753,'май 2024'!$D$4:$D$1753,$B67,'май 2024'!$J$4:$J$1753,F$1)</f>
        <v>0</v>
      </c>
      <c r="G67" s="80">
        <f>SUMIFS('май 2024'!$G$4:$G$1753,'май 2024'!$D$4:$D$1753,$B67,'май 2024'!$J$4:$J$1753,G$1)</f>
        <v>0</v>
      </c>
      <c r="H67" s="80">
        <f>SUMIFS('май 2024'!$G$4:$G$1753,'май 2024'!$D$4:$D$1753,$B67,'май 2024'!$J$4:$J$1753,H$1)</f>
        <v>0</v>
      </c>
      <c r="I67" s="80">
        <f>SUMIFS('май 2024'!$G$4:$G$1753,'май 2024'!$D$4:$D$1753,$B67,'май 2024'!$J$4:$J$1753,I$1)</f>
        <v>0</v>
      </c>
      <c r="J67" s="80">
        <f>SUMIFS('май 2024'!$G$4:$G$1753,'май 2024'!$D$4:$D$1753,$B67,'май 2024'!$J$4:$J$1753,J$1)</f>
        <v>0</v>
      </c>
      <c r="K67" s="80">
        <f>SUMIFS('май 2024'!$G$4:$G$1753,'май 2024'!$D$4:$D$1753,$B67,'май 2024'!$J$4:$J$1753,K$1)</f>
        <v>0</v>
      </c>
      <c r="L67" s="80">
        <f>SUMIFS('май 2024'!$G$4:$G$1753,'май 2024'!$D$4:$D$1753,$B67,'май 2024'!$J$4:$J$1753,L$1)</f>
        <v>0</v>
      </c>
      <c r="M67" s="80">
        <f>SUMIFS('май 2024'!$G$4:$G$1753,'май 2024'!$D$4:$D$1753,$B67,'май 2024'!$J$4:$J$1753,M$1)</f>
        <v>0</v>
      </c>
      <c r="N67" s="80">
        <f>SUMIFS('май 2024'!$G$4:$G$1753,'май 2024'!$D$4:$D$1753,$B67,'май 2024'!$J$4:$J$1753,N$1)</f>
        <v>0</v>
      </c>
      <c r="O67" s="80">
        <f>SUMIFS('май 2024'!$G$4:$G$1753,'май 2024'!$D$4:$D$1753,$B67,'май 2024'!$J$4:$J$1753,O$1)</f>
        <v>0</v>
      </c>
      <c r="P67" s="80">
        <f>SUMIFS('май 2024'!$G$4:$G$1753,'май 2024'!$D$4:$D$1753,$B67,'май 2024'!$J$4:$J$1753,P$1)</f>
        <v>0</v>
      </c>
      <c r="Q67" s="80">
        <f>SUMIFS('май 2024'!$G$4:$G$1753,'май 2024'!$D$4:$D$1753,$B67,'май 2024'!$J$4:$J$1753,Q$1)</f>
        <v>0</v>
      </c>
      <c r="R67" s="80">
        <f>SUMIFS('май 2024'!$G$4:$G$1753,'май 2024'!$D$4:$D$1753,$B67,'май 2024'!$J$4:$J$1753,R$1)</f>
        <v>0</v>
      </c>
      <c r="S67" s="80">
        <f>SUMIFS('май 2024'!$G$4:$G$1753,'май 2024'!$D$4:$D$1753,$B67,'май 2024'!$J$4:$J$1753,S$1)</f>
        <v>0</v>
      </c>
      <c r="T67" s="80">
        <f>SUMIFS('май 2024'!$G$4:$G$1753,'май 2024'!$D$4:$D$1753,$B67,'май 2024'!$J$4:$J$1753,T$1)</f>
        <v>0</v>
      </c>
      <c r="U67" s="80">
        <f>SUMIFS('май 2024'!$G$4:$G$1753,'май 2024'!$D$4:$D$1753,$B67,'май 2024'!$J$4:$J$1753,U$1)</f>
        <v>0</v>
      </c>
      <c r="V67" s="80">
        <f>SUMIFS('май 2024'!$G$4:$G$1753,'май 2024'!$D$4:$D$1753,$B67,'май 2024'!$J$4:$J$1753,V$1)</f>
        <v>0</v>
      </c>
      <c r="W67" s="80">
        <f>SUMIFS('май 2024'!$G$4:$G$1753,'май 2024'!$D$4:$D$1753,$B67,'май 2024'!$J$4:$J$1753,W$1)</f>
        <v>0</v>
      </c>
      <c r="X67" s="80">
        <f>SUMIFS('май 2024'!$G$4:$G$1753,'май 2024'!$D$4:$D$1753,$B67,'май 2024'!$J$4:$J$1753,X$1)</f>
        <v>0</v>
      </c>
      <c r="Y67" s="80">
        <f>SUMIFS('май 2024'!$G$4:$G$1753,'май 2024'!$D$4:$D$1753,$B67,'май 2024'!$J$4:$J$1753,Y$1)</f>
        <v>0</v>
      </c>
      <c r="Z67" s="80">
        <f>SUMIFS('май 2024'!$G$4:$G$1753,'май 2024'!$D$4:$D$1753,$B67,'май 2024'!$J$4:$J$1753,Z$1)</f>
        <v>0</v>
      </c>
      <c r="AA67" s="80">
        <f>SUMIFS('май 2024'!$G$4:$G$1753,'май 2024'!$D$4:$D$1753,$B67,'май 2024'!$J$4:$J$1753,AA$1)</f>
        <v>3</v>
      </c>
      <c r="AB67" s="80">
        <f>SUMIFS('май 2024'!$G$4:$G$1753,'май 2024'!$D$4:$D$1753,$B67,'май 2024'!$J$4:$J$1753,AB$1)</f>
        <v>0</v>
      </c>
      <c r="AC67" s="80">
        <f>SUMIFS('май 2024'!$G$4:$G$1753,'май 2024'!$D$4:$D$1753,$B67,'май 2024'!$J$4:$J$1753,AC$1)</f>
        <v>0</v>
      </c>
      <c r="AD67" s="80">
        <f>SUMIFS('май 2024'!$G$4:$G$1753,'май 2024'!$D$4:$D$1753,$B67,'май 2024'!$J$4:$J$1753,AD$1)</f>
        <v>0</v>
      </c>
      <c r="AE67" s="80">
        <f>SUMIFS('май 2024'!$G$4:$G$1753,'май 2024'!$D$4:$D$1753,$B67,'май 2024'!$J$4:$J$1753,AE$1)</f>
        <v>0</v>
      </c>
      <c r="AF67" s="80">
        <f>SUMIFS('май 2024'!$G$4:$G$1753,'май 2024'!$D$4:$D$1753,$B67,'май 2024'!$J$4:$J$1753,AF$1)</f>
        <v>0</v>
      </c>
      <c r="AG67" s="80">
        <f>SUMIFS('май 2024'!$G$4:$G$1753,'май 2024'!$D$4:$D$1753,$B67,'май 2024'!$J$4:$J$1753,AG$1)</f>
        <v>0</v>
      </c>
      <c r="AH67" s="80">
        <f>SUMIFS('май 2024'!$G$4:$G$1753,'май 2024'!$D$4:$D$1753,$B67,'май 2024'!$J$4:$J$1753,AH$1)</f>
        <v>0</v>
      </c>
      <c r="AI67" s="21">
        <f t="shared" si="1"/>
        <v>3</v>
      </c>
    </row>
    <row r="68" spans="2:35" ht="15.75" x14ac:dyDescent="0.25">
      <c r="B68" s="93" t="s">
        <v>897</v>
      </c>
      <c r="C68" s="91">
        <v>200</v>
      </c>
      <c r="D68" s="80">
        <f>SUMIFS('май 2024'!$G$4:$G$1753,'май 2024'!$D$4:$D$1753,$B68,'май 2024'!$J$4:$J$1753,D$1)</f>
        <v>0</v>
      </c>
      <c r="E68" s="80">
        <f>SUMIFS('май 2024'!$G$4:$G$1753,'май 2024'!$D$4:$D$1753,$B68,'май 2024'!$J$4:$J$1753,E$1)</f>
        <v>0</v>
      </c>
      <c r="F68" s="80">
        <f>SUMIFS('май 2024'!$G$4:$G$1753,'май 2024'!$D$4:$D$1753,$B68,'май 2024'!$J$4:$J$1753,F$1)</f>
        <v>0</v>
      </c>
      <c r="G68" s="80">
        <f>SUMIFS('май 2024'!$G$4:$G$1753,'май 2024'!$D$4:$D$1753,$B68,'май 2024'!$J$4:$J$1753,G$1)</f>
        <v>0</v>
      </c>
      <c r="H68" s="80">
        <f>SUMIFS('май 2024'!$G$4:$G$1753,'май 2024'!$D$4:$D$1753,$B68,'май 2024'!$J$4:$J$1753,H$1)</f>
        <v>0</v>
      </c>
      <c r="I68" s="80">
        <f>SUMIFS('май 2024'!$G$4:$G$1753,'май 2024'!$D$4:$D$1753,$B68,'май 2024'!$J$4:$J$1753,I$1)</f>
        <v>0</v>
      </c>
      <c r="J68" s="80">
        <f>SUMIFS('май 2024'!$G$4:$G$1753,'май 2024'!$D$4:$D$1753,$B68,'май 2024'!$J$4:$J$1753,J$1)</f>
        <v>160</v>
      </c>
      <c r="K68" s="80">
        <f>SUMIFS('май 2024'!$G$4:$G$1753,'май 2024'!$D$4:$D$1753,$B68,'май 2024'!$J$4:$J$1753,K$1)</f>
        <v>0</v>
      </c>
      <c r="L68" s="80">
        <f>SUMIFS('май 2024'!$G$4:$G$1753,'май 2024'!$D$4:$D$1753,$B68,'май 2024'!$J$4:$J$1753,L$1)</f>
        <v>0</v>
      </c>
      <c r="M68" s="80">
        <f>SUMIFS('май 2024'!$G$4:$G$1753,'май 2024'!$D$4:$D$1753,$B68,'май 2024'!$J$4:$J$1753,M$1)</f>
        <v>0</v>
      </c>
      <c r="N68" s="80">
        <f>SUMIFS('май 2024'!$G$4:$G$1753,'май 2024'!$D$4:$D$1753,$B68,'май 2024'!$J$4:$J$1753,N$1)</f>
        <v>0</v>
      </c>
      <c r="O68" s="80">
        <f>SUMIFS('май 2024'!$G$4:$G$1753,'май 2024'!$D$4:$D$1753,$B68,'май 2024'!$J$4:$J$1753,O$1)</f>
        <v>0</v>
      </c>
      <c r="P68" s="80">
        <f>SUMIFS('май 2024'!$G$4:$G$1753,'май 2024'!$D$4:$D$1753,$B68,'май 2024'!$J$4:$J$1753,P$1)</f>
        <v>0</v>
      </c>
      <c r="Q68" s="80">
        <f>SUMIFS('май 2024'!$G$4:$G$1753,'май 2024'!$D$4:$D$1753,$B68,'май 2024'!$J$4:$J$1753,Q$1)</f>
        <v>0</v>
      </c>
      <c r="R68" s="80">
        <f>SUMIFS('май 2024'!$G$4:$G$1753,'май 2024'!$D$4:$D$1753,$B68,'май 2024'!$J$4:$J$1753,R$1)</f>
        <v>0</v>
      </c>
      <c r="S68" s="80">
        <f>SUMIFS('май 2024'!$G$4:$G$1753,'май 2024'!$D$4:$D$1753,$B68,'май 2024'!$J$4:$J$1753,S$1)</f>
        <v>0</v>
      </c>
      <c r="T68" s="80">
        <f>SUMIFS('май 2024'!$G$4:$G$1753,'май 2024'!$D$4:$D$1753,$B68,'май 2024'!$J$4:$J$1753,T$1)</f>
        <v>0</v>
      </c>
      <c r="U68" s="80">
        <f>SUMIFS('май 2024'!$G$4:$G$1753,'май 2024'!$D$4:$D$1753,$B68,'май 2024'!$J$4:$J$1753,U$1)</f>
        <v>0</v>
      </c>
      <c r="V68" s="80">
        <f>SUMIFS('май 2024'!$G$4:$G$1753,'май 2024'!$D$4:$D$1753,$B68,'май 2024'!$J$4:$J$1753,V$1)</f>
        <v>0</v>
      </c>
      <c r="W68" s="80">
        <f>SUMIFS('май 2024'!$G$4:$G$1753,'май 2024'!$D$4:$D$1753,$B68,'май 2024'!$J$4:$J$1753,W$1)</f>
        <v>0</v>
      </c>
      <c r="X68" s="80">
        <f>SUMIFS('май 2024'!$G$4:$G$1753,'май 2024'!$D$4:$D$1753,$B68,'май 2024'!$J$4:$J$1753,X$1)</f>
        <v>0</v>
      </c>
      <c r="Y68" s="80">
        <f>SUMIFS('май 2024'!$G$4:$G$1753,'май 2024'!$D$4:$D$1753,$B68,'май 2024'!$J$4:$J$1753,Y$1)</f>
        <v>0</v>
      </c>
      <c r="Z68" s="80">
        <f>SUMIFS('май 2024'!$G$4:$G$1753,'май 2024'!$D$4:$D$1753,$B68,'май 2024'!$J$4:$J$1753,Z$1)</f>
        <v>0</v>
      </c>
      <c r="AA68" s="80">
        <f>SUMIFS('май 2024'!$G$4:$G$1753,'май 2024'!$D$4:$D$1753,$B68,'май 2024'!$J$4:$J$1753,AA$1)</f>
        <v>0</v>
      </c>
      <c r="AB68" s="80">
        <f>SUMIFS('май 2024'!$G$4:$G$1753,'май 2024'!$D$4:$D$1753,$B68,'май 2024'!$J$4:$J$1753,AB$1)</f>
        <v>0</v>
      </c>
      <c r="AC68" s="80">
        <f>SUMIFS('май 2024'!$G$4:$G$1753,'май 2024'!$D$4:$D$1753,$B68,'май 2024'!$J$4:$J$1753,AC$1)</f>
        <v>0</v>
      </c>
      <c r="AD68" s="80">
        <f>SUMIFS('май 2024'!$G$4:$G$1753,'май 2024'!$D$4:$D$1753,$B68,'май 2024'!$J$4:$J$1753,AD$1)</f>
        <v>0</v>
      </c>
      <c r="AE68" s="80">
        <f>SUMIFS('май 2024'!$G$4:$G$1753,'май 2024'!$D$4:$D$1753,$B68,'май 2024'!$J$4:$J$1753,AE$1)</f>
        <v>0</v>
      </c>
      <c r="AF68" s="80">
        <f>SUMIFS('май 2024'!$G$4:$G$1753,'май 2024'!$D$4:$D$1753,$B68,'май 2024'!$J$4:$J$1753,AF$1)</f>
        <v>0</v>
      </c>
      <c r="AG68" s="80">
        <f>SUMIFS('май 2024'!$G$4:$G$1753,'май 2024'!$D$4:$D$1753,$B68,'май 2024'!$J$4:$J$1753,AG$1)</f>
        <v>0</v>
      </c>
      <c r="AH68" s="80">
        <f>SUMIFS('май 2024'!$G$4:$G$1753,'май 2024'!$D$4:$D$1753,$B68,'май 2024'!$J$4:$J$1753,AH$1)</f>
        <v>0</v>
      </c>
      <c r="AI68" s="21">
        <f t="shared" si="1"/>
        <v>160</v>
      </c>
    </row>
    <row r="69" spans="2:35" ht="15" customHeight="1" x14ac:dyDescent="0.25">
      <c r="B69" s="93" t="s">
        <v>213</v>
      </c>
      <c r="C69" s="91">
        <v>200</v>
      </c>
      <c r="D69" s="80">
        <f>SUMIFS('май 2024'!$G$4:$G$1753,'май 2024'!$D$4:$D$1753,$B69,'май 2024'!$J$4:$J$1753,D$1)</f>
        <v>0</v>
      </c>
      <c r="E69" s="80">
        <f>SUMIFS('май 2024'!$G$4:$G$1753,'май 2024'!$D$4:$D$1753,$B69,'май 2024'!$J$4:$J$1753,E$1)</f>
        <v>0</v>
      </c>
      <c r="F69" s="80">
        <f>SUMIFS('май 2024'!$G$4:$G$1753,'май 2024'!$D$4:$D$1753,$B69,'май 2024'!$J$4:$J$1753,F$1)</f>
        <v>0</v>
      </c>
      <c r="G69" s="80">
        <f>SUMIFS('май 2024'!$G$4:$G$1753,'май 2024'!$D$4:$D$1753,$B69,'май 2024'!$J$4:$J$1753,G$1)</f>
        <v>0</v>
      </c>
      <c r="H69" s="80">
        <f>SUMIFS('май 2024'!$G$4:$G$1753,'май 2024'!$D$4:$D$1753,$B69,'май 2024'!$J$4:$J$1753,H$1)</f>
        <v>0</v>
      </c>
      <c r="I69" s="80">
        <f>SUMIFS('май 2024'!$G$4:$G$1753,'май 2024'!$D$4:$D$1753,$B69,'май 2024'!$J$4:$J$1753,I$1)</f>
        <v>0</v>
      </c>
      <c r="J69" s="80">
        <f>SUMIFS('май 2024'!$G$4:$G$1753,'май 2024'!$D$4:$D$1753,$B69,'май 2024'!$J$4:$J$1753,J$1)</f>
        <v>0</v>
      </c>
      <c r="K69" s="80">
        <f>SUMIFS('май 2024'!$G$4:$G$1753,'май 2024'!$D$4:$D$1753,$B69,'май 2024'!$J$4:$J$1753,K$1)</f>
        <v>0</v>
      </c>
      <c r="L69" s="80">
        <f>SUMIFS('май 2024'!$G$4:$G$1753,'май 2024'!$D$4:$D$1753,$B69,'май 2024'!$J$4:$J$1753,L$1)</f>
        <v>0</v>
      </c>
      <c r="M69" s="80">
        <f>SUMIFS('май 2024'!$G$4:$G$1753,'май 2024'!$D$4:$D$1753,$B69,'май 2024'!$J$4:$J$1753,M$1)</f>
        <v>0</v>
      </c>
      <c r="N69" s="80">
        <f>SUMIFS('май 2024'!$G$4:$G$1753,'май 2024'!$D$4:$D$1753,$B69,'май 2024'!$J$4:$J$1753,N$1)</f>
        <v>0</v>
      </c>
      <c r="O69" s="80">
        <f>SUMIFS('май 2024'!$G$4:$G$1753,'май 2024'!$D$4:$D$1753,$B69,'май 2024'!$J$4:$J$1753,O$1)</f>
        <v>0</v>
      </c>
      <c r="P69" s="80">
        <f>SUMIFS('май 2024'!$G$4:$G$1753,'май 2024'!$D$4:$D$1753,$B69,'май 2024'!$J$4:$J$1753,P$1)</f>
        <v>0</v>
      </c>
      <c r="Q69" s="80">
        <f>SUMIFS('май 2024'!$G$4:$G$1753,'май 2024'!$D$4:$D$1753,$B69,'май 2024'!$J$4:$J$1753,Q$1)</f>
        <v>0</v>
      </c>
      <c r="R69" s="80">
        <f>SUMIFS('май 2024'!$G$4:$G$1753,'май 2024'!$D$4:$D$1753,$B69,'май 2024'!$J$4:$J$1753,R$1)</f>
        <v>0</v>
      </c>
      <c r="S69" s="80">
        <f>SUMIFS('май 2024'!$G$4:$G$1753,'май 2024'!$D$4:$D$1753,$B69,'май 2024'!$J$4:$J$1753,S$1)</f>
        <v>0</v>
      </c>
      <c r="T69" s="80">
        <f>SUMIFS('май 2024'!$G$4:$G$1753,'май 2024'!$D$4:$D$1753,$B69,'май 2024'!$J$4:$J$1753,T$1)</f>
        <v>0</v>
      </c>
      <c r="U69" s="80">
        <f>SUMIFS('май 2024'!$G$4:$G$1753,'май 2024'!$D$4:$D$1753,$B69,'май 2024'!$J$4:$J$1753,U$1)</f>
        <v>0</v>
      </c>
      <c r="V69" s="80">
        <f>SUMIFS('май 2024'!$G$4:$G$1753,'май 2024'!$D$4:$D$1753,$B69,'май 2024'!$J$4:$J$1753,V$1)</f>
        <v>0</v>
      </c>
      <c r="W69" s="80">
        <f>SUMIFS('май 2024'!$G$4:$G$1753,'май 2024'!$D$4:$D$1753,$B69,'май 2024'!$J$4:$J$1753,W$1)</f>
        <v>0</v>
      </c>
      <c r="X69" s="80">
        <f>SUMIFS('май 2024'!$G$4:$G$1753,'май 2024'!$D$4:$D$1753,$B69,'май 2024'!$J$4:$J$1753,X$1)</f>
        <v>0</v>
      </c>
      <c r="Y69" s="80">
        <f>SUMIFS('май 2024'!$G$4:$G$1753,'май 2024'!$D$4:$D$1753,$B69,'май 2024'!$J$4:$J$1753,Y$1)</f>
        <v>0</v>
      </c>
      <c r="Z69" s="80">
        <f>SUMIFS('май 2024'!$G$4:$G$1753,'май 2024'!$D$4:$D$1753,$B69,'май 2024'!$J$4:$J$1753,Z$1)</f>
        <v>0</v>
      </c>
      <c r="AA69" s="80">
        <f>SUMIFS('май 2024'!$G$4:$G$1753,'май 2024'!$D$4:$D$1753,$B69,'май 2024'!$J$4:$J$1753,AA$1)</f>
        <v>0</v>
      </c>
      <c r="AB69" s="80">
        <f>SUMIFS('май 2024'!$G$4:$G$1753,'май 2024'!$D$4:$D$1753,$B69,'май 2024'!$J$4:$J$1753,AB$1)</f>
        <v>0</v>
      </c>
      <c r="AC69" s="80">
        <f>SUMIFS('май 2024'!$G$4:$G$1753,'май 2024'!$D$4:$D$1753,$B69,'май 2024'!$J$4:$J$1753,AC$1)</f>
        <v>0</v>
      </c>
      <c r="AD69" s="80">
        <f>SUMIFS('май 2024'!$G$4:$G$1753,'май 2024'!$D$4:$D$1753,$B69,'май 2024'!$J$4:$J$1753,AD$1)</f>
        <v>0</v>
      </c>
      <c r="AE69" s="80">
        <f>SUMIFS('май 2024'!$G$4:$G$1753,'май 2024'!$D$4:$D$1753,$B69,'май 2024'!$J$4:$J$1753,AE$1)</f>
        <v>0</v>
      </c>
      <c r="AF69" s="80">
        <f>SUMIFS('май 2024'!$G$4:$G$1753,'май 2024'!$D$4:$D$1753,$B69,'май 2024'!$J$4:$J$1753,AF$1)</f>
        <v>0</v>
      </c>
      <c r="AG69" s="80">
        <f>SUMIFS('май 2024'!$G$4:$G$1753,'май 2024'!$D$4:$D$1753,$B69,'май 2024'!$J$4:$J$1753,AG$1)</f>
        <v>0</v>
      </c>
      <c r="AH69" s="80">
        <f>SUMIFS('май 2024'!$G$4:$G$1753,'май 2024'!$D$4:$D$1753,$B69,'май 2024'!$J$4:$J$1753,AH$1)</f>
        <v>0</v>
      </c>
      <c r="AI69" s="21">
        <f t="shared" si="1"/>
        <v>0</v>
      </c>
    </row>
    <row r="70" spans="2:35" ht="15" customHeight="1" x14ac:dyDescent="0.25">
      <c r="B70" s="93" t="s">
        <v>197</v>
      </c>
      <c r="C70" s="91">
        <v>200</v>
      </c>
      <c r="D70" s="80">
        <f>SUMIFS('май 2024'!$G$4:$G$1753,'май 2024'!$D$4:$D$1753,$B70,'май 2024'!$J$4:$J$1753,D$1)</f>
        <v>0</v>
      </c>
      <c r="E70" s="80">
        <f>SUMIFS('май 2024'!$G$4:$G$1753,'май 2024'!$D$4:$D$1753,$B70,'май 2024'!$J$4:$J$1753,E$1)</f>
        <v>0</v>
      </c>
      <c r="F70" s="80">
        <f>SUMIFS('май 2024'!$G$4:$G$1753,'май 2024'!$D$4:$D$1753,$B70,'май 2024'!$J$4:$J$1753,F$1)</f>
        <v>0</v>
      </c>
      <c r="G70" s="80">
        <f>SUMIFS('май 2024'!$G$4:$G$1753,'май 2024'!$D$4:$D$1753,$B70,'май 2024'!$J$4:$J$1753,G$1)</f>
        <v>0</v>
      </c>
      <c r="H70" s="80">
        <f>SUMIFS('май 2024'!$G$4:$G$1753,'май 2024'!$D$4:$D$1753,$B70,'май 2024'!$J$4:$J$1753,H$1)</f>
        <v>0</v>
      </c>
      <c r="I70" s="80">
        <f>SUMIFS('май 2024'!$G$4:$G$1753,'май 2024'!$D$4:$D$1753,$B70,'май 2024'!$J$4:$J$1753,I$1)</f>
        <v>0</v>
      </c>
      <c r="J70" s="80">
        <f>SUMIFS('май 2024'!$G$4:$G$1753,'май 2024'!$D$4:$D$1753,$B70,'май 2024'!$J$4:$J$1753,J$1)</f>
        <v>0</v>
      </c>
      <c r="K70" s="80">
        <f>SUMIFS('май 2024'!$G$4:$G$1753,'май 2024'!$D$4:$D$1753,$B70,'май 2024'!$J$4:$J$1753,K$1)</f>
        <v>0</v>
      </c>
      <c r="L70" s="80">
        <f>SUMIFS('май 2024'!$G$4:$G$1753,'май 2024'!$D$4:$D$1753,$B70,'май 2024'!$J$4:$J$1753,L$1)</f>
        <v>0</v>
      </c>
      <c r="M70" s="80">
        <f>SUMIFS('май 2024'!$G$4:$G$1753,'май 2024'!$D$4:$D$1753,$B70,'май 2024'!$J$4:$J$1753,M$1)</f>
        <v>0</v>
      </c>
      <c r="N70" s="80">
        <f>SUMIFS('май 2024'!$G$4:$G$1753,'май 2024'!$D$4:$D$1753,$B70,'май 2024'!$J$4:$J$1753,N$1)</f>
        <v>0</v>
      </c>
      <c r="O70" s="80">
        <f>SUMIFS('май 2024'!$G$4:$G$1753,'май 2024'!$D$4:$D$1753,$B70,'май 2024'!$J$4:$J$1753,O$1)</f>
        <v>0</v>
      </c>
      <c r="P70" s="80">
        <f>SUMIFS('май 2024'!$G$4:$G$1753,'май 2024'!$D$4:$D$1753,$B70,'май 2024'!$J$4:$J$1753,P$1)</f>
        <v>0</v>
      </c>
      <c r="Q70" s="80">
        <f>SUMIFS('май 2024'!$G$4:$G$1753,'май 2024'!$D$4:$D$1753,$B70,'май 2024'!$J$4:$J$1753,Q$1)</f>
        <v>0</v>
      </c>
      <c r="R70" s="80">
        <f>SUMIFS('май 2024'!$G$4:$G$1753,'май 2024'!$D$4:$D$1753,$B70,'май 2024'!$J$4:$J$1753,R$1)</f>
        <v>0</v>
      </c>
      <c r="S70" s="80">
        <f>SUMIFS('май 2024'!$G$4:$G$1753,'май 2024'!$D$4:$D$1753,$B70,'май 2024'!$J$4:$J$1753,S$1)</f>
        <v>0</v>
      </c>
      <c r="T70" s="80">
        <f>SUMIFS('май 2024'!$G$4:$G$1753,'май 2024'!$D$4:$D$1753,$B70,'май 2024'!$J$4:$J$1753,T$1)</f>
        <v>0</v>
      </c>
      <c r="U70" s="80">
        <f>SUMIFS('май 2024'!$G$4:$G$1753,'май 2024'!$D$4:$D$1753,$B70,'май 2024'!$J$4:$J$1753,U$1)</f>
        <v>0</v>
      </c>
      <c r="V70" s="80">
        <f>SUMIFS('май 2024'!$G$4:$G$1753,'май 2024'!$D$4:$D$1753,$B70,'май 2024'!$J$4:$J$1753,V$1)</f>
        <v>0</v>
      </c>
      <c r="W70" s="80">
        <f>SUMIFS('май 2024'!$G$4:$G$1753,'май 2024'!$D$4:$D$1753,$B70,'май 2024'!$J$4:$J$1753,W$1)</f>
        <v>0</v>
      </c>
      <c r="X70" s="80">
        <f>SUMIFS('май 2024'!$G$4:$G$1753,'май 2024'!$D$4:$D$1753,$B70,'май 2024'!$J$4:$J$1753,X$1)</f>
        <v>0</v>
      </c>
      <c r="Y70" s="80">
        <f>SUMIFS('май 2024'!$G$4:$G$1753,'май 2024'!$D$4:$D$1753,$B70,'май 2024'!$J$4:$J$1753,Y$1)</f>
        <v>0</v>
      </c>
      <c r="Z70" s="80">
        <f>SUMIFS('май 2024'!$G$4:$G$1753,'май 2024'!$D$4:$D$1753,$B70,'май 2024'!$J$4:$J$1753,Z$1)</f>
        <v>0</v>
      </c>
      <c r="AA70" s="80">
        <f>SUMIFS('май 2024'!$G$4:$G$1753,'май 2024'!$D$4:$D$1753,$B70,'май 2024'!$J$4:$J$1753,AA$1)</f>
        <v>0</v>
      </c>
      <c r="AB70" s="80">
        <f>SUMIFS('май 2024'!$G$4:$G$1753,'май 2024'!$D$4:$D$1753,$B70,'май 2024'!$J$4:$J$1753,AB$1)</f>
        <v>0</v>
      </c>
      <c r="AC70" s="80">
        <f>SUMIFS('май 2024'!$G$4:$G$1753,'май 2024'!$D$4:$D$1753,$B70,'май 2024'!$J$4:$J$1753,AC$1)</f>
        <v>0</v>
      </c>
      <c r="AD70" s="80">
        <f>SUMIFS('май 2024'!$G$4:$G$1753,'май 2024'!$D$4:$D$1753,$B70,'май 2024'!$J$4:$J$1753,AD$1)</f>
        <v>0</v>
      </c>
      <c r="AE70" s="80">
        <f>SUMIFS('май 2024'!$G$4:$G$1753,'май 2024'!$D$4:$D$1753,$B70,'май 2024'!$J$4:$J$1753,AE$1)</f>
        <v>0</v>
      </c>
      <c r="AF70" s="80">
        <f>SUMIFS('май 2024'!$G$4:$G$1753,'май 2024'!$D$4:$D$1753,$B70,'май 2024'!$J$4:$J$1753,AF$1)</f>
        <v>0</v>
      </c>
      <c r="AG70" s="80">
        <f>SUMIFS('май 2024'!$G$4:$G$1753,'май 2024'!$D$4:$D$1753,$B70,'май 2024'!$J$4:$J$1753,AG$1)</f>
        <v>0</v>
      </c>
      <c r="AH70" s="80">
        <f>SUMIFS('май 2024'!$G$4:$G$1753,'май 2024'!$D$4:$D$1753,$B70,'май 2024'!$J$4:$J$1753,AH$1)</f>
        <v>0</v>
      </c>
      <c r="AI70" s="21">
        <f t="shared" si="1"/>
        <v>0</v>
      </c>
    </row>
    <row r="71" spans="2:35" ht="15" customHeight="1" x14ac:dyDescent="0.25">
      <c r="B71" s="93" t="s">
        <v>198</v>
      </c>
      <c r="C71" s="91">
        <v>200</v>
      </c>
      <c r="D71" s="80">
        <f>SUMIFS('май 2024'!$G$4:$G$1753,'май 2024'!$D$4:$D$1753,$B71,'май 2024'!$J$4:$J$1753,D$1)</f>
        <v>0</v>
      </c>
      <c r="E71" s="80">
        <f>SUMIFS('май 2024'!$G$4:$G$1753,'май 2024'!$D$4:$D$1753,$B71,'май 2024'!$J$4:$J$1753,E$1)</f>
        <v>0</v>
      </c>
      <c r="F71" s="80">
        <f>SUMIFS('май 2024'!$G$4:$G$1753,'май 2024'!$D$4:$D$1753,$B71,'май 2024'!$J$4:$J$1753,F$1)</f>
        <v>0</v>
      </c>
      <c r="G71" s="80">
        <f>SUMIFS('май 2024'!$G$4:$G$1753,'май 2024'!$D$4:$D$1753,$B71,'май 2024'!$J$4:$J$1753,G$1)</f>
        <v>0</v>
      </c>
      <c r="H71" s="80">
        <f>SUMIFS('май 2024'!$G$4:$G$1753,'май 2024'!$D$4:$D$1753,$B71,'май 2024'!$J$4:$J$1753,H$1)</f>
        <v>0</v>
      </c>
      <c r="I71" s="80">
        <f>SUMIFS('май 2024'!$G$4:$G$1753,'май 2024'!$D$4:$D$1753,$B71,'май 2024'!$J$4:$J$1753,I$1)</f>
        <v>0</v>
      </c>
      <c r="J71" s="80">
        <f>SUMIFS('май 2024'!$G$4:$G$1753,'май 2024'!$D$4:$D$1753,$B71,'май 2024'!$J$4:$J$1753,J$1)</f>
        <v>0</v>
      </c>
      <c r="K71" s="80">
        <f>SUMIFS('май 2024'!$G$4:$G$1753,'май 2024'!$D$4:$D$1753,$B71,'май 2024'!$J$4:$J$1753,K$1)</f>
        <v>0</v>
      </c>
      <c r="L71" s="80">
        <f>SUMIFS('май 2024'!$G$4:$G$1753,'май 2024'!$D$4:$D$1753,$B71,'май 2024'!$J$4:$J$1753,L$1)</f>
        <v>0</v>
      </c>
      <c r="M71" s="80">
        <f>SUMIFS('май 2024'!$G$4:$G$1753,'май 2024'!$D$4:$D$1753,$B71,'май 2024'!$J$4:$J$1753,M$1)</f>
        <v>0</v>
      </c>
      <c r="N71" s="80">
        <f>SUMIFS('май 2024'!$G$4:$G$1753,'май 2024'!$D$4:$D$1753,$B71,'май 2024'!$J$4:$J$1753,N$1)</f>
        <v>0</v>
      </c>
      <c r="O71" s="80">
        <f>SUMIFS('май 2024'!$G$4:$G$1753,'май 2024'!$D$4:$D$1753,$B71,'май 2024'!$J$4:$J$1753,O$1)</f>
        <v>0</v>
      </c>
      <c r="P71" s="80">
        <f>SUMIFS('май 2024'!$G$4:$G$1753,'май 2024'!$D$4:$D$1753,$B71,'май 2024'!$J$4:$J$1753,P$1)</f>
        <v>0</v>
      </c>
      <c r="Q71" s="80">
        <f>SUMIFS('май 2024'!$G$4:$G$1753,'май 2024'!$D$4:$D$1753,$B71,'май 2024'!$J$4:$J$1753,Q$1)</f>
        <v>0</v>
      </c>
      <c r="R71" s="80">
        <f>SUMIFS('май 2024'!$G$4:$G$1753,'май 2024'!$D$4:$D$1753,$B71,'май 2024'!$J$4:$J$1753,R$1)</f>
        <v>0</v>
      </c>
      <c r="S71" s="80">
        <f>SUMIFS('май 2024'!$G$4:$G$1753,'май 2024'!$D$4:$D$1753,$B71,'май 2024'!$J$4:$J$1753,S$1)</f>
        <v>0</v>
      </c>
      <c r="T71" s="80">
        <f>SUMIFS('май 2024'!$G$4:$G$1753,'май 2024'!$D$4:$D$1753,$B71,'май 2024'!$J$4:$J$1753,T$1)</f>
        <v>0</v>
      </c>
      <c r="U71" s="80">
        <f>SUMIFS('май 2024'!$G$4:$G$1753,'май 2024'!$D$4:$D$1753,$B71,'май 2024'!$J$4:$J$1753,U$1)</f>
        <v>0</v>
      </c>
      <c r="V71" s="80">
        <f>SUMIFS('май 2024'!$G$4:$G$1753,'май 2024'!$D$4:$D$1753,$B71,'май 2024'!$J$4:$J$1753,V$1)</f>
        <v>0</v>
      </c>
      <c r="W71" s="80">
        <f>SUMIFS('май 2024'!$G$4:$G$1753,'май 2024'!$D$4:$D$1753,$B71,'май 2024'!$J$4:$J$1753,W$1)</f>
        <v>0</v>
      </c>
      <c r="X71" s="80">
        <f>SUMIFS('май 2024'!$G$4:$G$1753,'май 2024'!$D$4:$D$1753,$B71,'май 2024'!$J$4:$J$1753,X$1)</f>
        <v>0</v>
      </c>
      <c r="Y71" s="80">
        <f>SUMIFS('май 2024'!$G$4:$G$1753,'май 2024'!$D$4:$D$1753,$B71,'май 2024'!$J$4:$J$1753,Y$1)</f>
        <v>0</v>
      </c>
      <c r="Z71" s="80">
        <f>SUMIFS('май 2024'!$G$4:$G$1753,'май 2024'!$D$4:$D$1753,$B71,'май 2024'!$J$4:$J$1753,Z$1)</f>
        <v>0</v>
      </c>
      <c r="AA71" s="80">
        <f>SUMIFS('май 2024'!$G$4:$G$1753,'май 2024'!$D$4:$D$1753,$B71,'май 2024'!$J$4:$J$1753,AA$1)</f>
        <v>0</v>
      </c>
      <c r="AB71" s="80">
        <f>SUMIFS('май 2024'!$G$4:$G$1753,'май 2024'!$D$4:$D$1753,$B71,'май 2024'!$J$4:$J$1753,AB$1)</f>
        <v>0</v>
      </c>
      <c r="AC71" s="80">
        <f>SUMIFS('май 2024'!$G$4:$G$1753,'май 2024'!$D$4:$D$1753,$B71,'май 2024'!$J$4:$J$1753,AC$1)</f>
        <v>0</v>
      </c>
      <c r="AD71" s="80">
        <f>SUMIFS('май 2024'!$G$4:$G$1753,'май 2024'!$D$4:$D$1753,$B71,'май 2024'!$J$4:$J$1753,AD$1)</f>
        <v>0</v>
      </c>
      <c r="AE71" s="80">
        <f>SUMIFS('май 2024'!$G$4:$G$1753,'май 2024'!$D$4:$D$1753,$B71,'май 2024'!$J$4:$J$1753,AE$1)</f>
        <v>0</v>
      </c>
      <c r="AF71" s="80">
        <f>SUMIFS('май 2024'!$G$4:$G$1753,'май 2024'!$D$4:$D$1753,$B71,'май 2024'!$J$4:$J$1753,AF$1)</f>
        <v>0</v>
      </c>
      <c r="AG71" s="80">
        <f>SUMIFS('май 2024'!$G$4:$G$1753,'май 2024'!$D$4:$D$1753,$B71,'май 2024'!$J$4:$J$1753,AG$1)</f>
        <v>0</v>
      </c>
      <c r="AH71" s="80">
        <f>SUMIFS('май 2024'!$G$4:$G$1753,'май 2024'!$D$4:$D$1753,$B71,'май 2024'!$J$4:$J$1753,AH$1)</f>
        <v>0</v>
      </c>
      <c r="AI71" s="21">
        <f t="shared" si="1"/>
        <v>0</v>
      </c>
    </row>
    <row r="72" spans="2:35" ht="15" customHeight="1" x14ac:dyDescent="0.25">
      <c r="B72" s="93" t="s">
        <v>320</v>
      </c>
      <c r="C72" s="91">
        <v>190</v>
      </c>
      <c r="D72" s="80">
        <f>SUMIFS('май 2024'!$G$4:$G$1753,'май 2024'!$D$4:$D$1753,$B72,'май 2024'!$J$4:$J$1753,D$1)</f>
        <v>0</v>
      </c>
      <c r="E72" s="80">
        <f>SUMIFS('май 2024'!$G$4:$G$1753,'май 2024'!$D$4:$D$1753,$B72,'май 2024'!$J$4:$J$1753,E$1)</f>
        <v>0</v>
      </c>
      <c r="F72" s="80">
        <f>SUMIFS('май 2024'!$G$4:$G$1753,'май 2024'!$D$4:$D$1753,$B72,'май 2024'!$J$4:$J$1753,F$1)</f>
        <v>0</v>
      </c>
      <c r="G72" s="80">
        <f>SUMIFS('май 2024'!$G$4:$G$1753,'май 2024'!$D$4:$D$1753,$B72,'май 2024'!$J$4:$J$1753,G$1)</f>
        <v>0</v>
      </c>
      <c r="H72" s="80">
        <f>SUMIFS('май 2024'!$G$4:$G$1753,'май 2024'!$D$4:$D$1753,$B72,'май 2024'!$J$4:$J$1753,H$1)</f>
        <v>0</v>
      </c>
      <c r="I72" s="80">
        <f>SUMIFS('май 2024'!$G$4:$G$1753,'май 2024'!$D$4:$D$1753,$B72,'май 2024'!$J$4:$J$1753,I$1)</f>
        <v>0</v>
      </c>
      <c r="J72" s="80">
        <f>SUMIFS('май 2024'!$G$4:$G$1753,'май 2024'!$D$4:$D$1753,$B72,'май 2024'!$J$4:$J$1753,J$1)</f>
        <v>0</v>
      </c>
      <c r="K72" s="80">
        <f>SUMIFS('май 2024'!$G$4:$G$1753,'май 2024'!$D$4:$D$1753,$B72,'май 2024'!$J$4:$J$1753,K$1)</f>
        <v>0</v>
      </c>
      <c r="L72" s="80">
        <f>SUMIFS('май 2024'!$G$4:$G$1753,'май 2024'!$D$4:$D$1753,$B72,'май 2024'!$J$4:$J$1753,L$1)</f>
        <v>0</v>
      </c>
      <c r="M72" s="80">
        <f>SUMIFS('май 2024'!$G$4:$G$1753,'май 2024'!$D$4:$D$1753,$B72,'май 2024'!$J$4:$J$1753,M$1)</f>
        <v>0</v>
      </c>
      <c r="N72" s="80">
        <f>SUMIFS('май 2024'!$G$4:$G$1753,'май 2024'!$D$4:$D$1753,$B72,'май 2024'!$J$4:$J$1753,N$1)</f>
        <v>0</v>
      </c>
      <c r="O72" s="80">
        <f>SUMIFS('май 2024'!$G$4:$G$1753,'май 2024'!$D$4:$D$1753,$B72,'май 2024'!$J$4:$J$1753,O$1)</f>
        <v>0</v>
      </c>
      <c r="P72" s="80">
        <f>SUMIFS('май 2024'!$G$4:$G$1753,'май 2024'!$D$4:$D$1753,$B72,'май 2024'!$J$4:$J$1753,P$1)</f>
        <v>0</v>
      </c>
      <c r="Q72" s="80">
        <f>SUMIFS('май 2024'!$G$4:$G$1753,'май 2024'!$D$4:$D$1753,$B72,'май 2024'!$J$4:$J$1753,Q$1)</f>
        <v>0</v>
      </c>
      <c r="R72" s="80">
        <f>SUMIFS('май 2024'!$G$4:$G$1753,'май 2024'!$D$4:$D$1753,$B72,'май 2024'!$J$4:$J$1753,R$1)</f>
        <v>0</v>
      </c>
      <c r="S72" s="80">
        <f>SUMIFS('май 2024'!$G$4:$G$1753,'май 2024'!$D$4:$D$1753,$B72,'май 2024'!$J$4:$J$1753,S$1)</f>
        <v>0</v>
      </c>
      <c r="T72" s="80">
        <f>SUMIFS('май 2024'!$G$4:$G$1753,'май 2024'!$D$4:$D$1753,$B72,'май 2024'!$J$4:$J$1753,T$1)</f>
        <v>0</v>
      </c>
      <c r="U72" s="80">
        <f>SUMIFS('май 2024'!$G$4:$G$1753,'май 2024'!$D$4:$D$1753,$B72,'май 2024'!$J$4:$J$1753,U$1)</f>
        <v>0</v>
      </c>
      <c r="V72" s="80">
        <f>SUMIFS('май 2024'!$G$4:$G$1753,'май 2024'!$D$4:$D$1753,$B72,'май 2024'!$J$4:$J$1753,V$1)</f>
        <v>0</v>
      </c>
      <c r="W72" s="80">
        <f>SUMIFS('май 2024'!$G$4:$G$1753,'май 2024'!$D$4:$D$1753,$B72,'май 2024'!$J$4:$J$1753,W$1)</f>
        <v>0</v>
      </c>
      <c r="X72" s="80">
        <f>SUMIFS('май 2024'!$G$4:$G$1753,'май 2024'!$D$4:$D$1753,$B72,'май 2024'!$J$4:$J$1753,X$1)</f>
        <v>0</v>
      </c>
      <c r="Y72" s="80">
        <f>SUMIFS('май 2024'!$G$4:$G$1753,'май 2024'!$D$4:$D$1753,$B72,'май 2024'!$J$4:$J$1753,Y$1)</f>
        <v>0</v>
      </c>
      <c r="Z72" s="80">
        <f>SUMIFS('май 2024'!$G$4:$G$1753,'май 2024'!$D$4:$D$1753,$B72,'май 2024'!$J$4:$J$1753,Z$1)</f>
        <v>0</v>
      </c>
      <c r="AA72" s="80">
        <f>SUMIFS('май 2024'!$G$4:$G$1753,'май 2024'!$D$4:$D$1753,$B72,'май 2024'!$J$4:$J$1753,AA$1)</f>
        <v>0</v>
      </c>
      <c r="AB72" s="80">
        <f>SUMIFS('май 2024'!$G$4:$G$1753,'май 2024'!$D$4:$D$1753,$B72,'май 2024'!$J$4:$J$1753,AB$1)</f>
        <v>0</v>
      </c>
      <c r="AC72" s="80">
        <f>SUMIFS('май 2024'!$G$4:$G$1753,'май 2024'!$D$4:$D$1753,$B72,'май 2024'!$J$4:$J$1753,AC$1)</f>
        <v>0</v>
      </c>
      <c r="AD72" s="80">
        <f>SUMIFS('май 2024'!$G$4:$G$1753,'май 2024'!$D$4:$D$1753,$B72,'май 2024'!$J$4:$J$1753,AD$1)</f>
        <v>0</v>
      </c>
      <c r="AE72" s="80">
        <f>SUMIFS('май 2024'!$G$4:$G$1753,'май 2024'!$D$4:$D$1753,$B72,'май 2024'!$J$4:$J$1753,AE$1)</f>
        <v>0</v>
      </c>
      <c r="AF72" s="80">
        <f>SUMIFS('май 2024'!$G$4:$G$1753,'май 2024'!$D$4:$D$1753,$B72,'май 2024'!$J$4:$J$1753,AF$1)</f>
        <v>0</v>
      </c>
      <c r="AG72" s="80">
        <f>SUMIFS('май 2024'!$G$4:$G$1753,'май 2024'!$D$4:$D$1753,$B72,'май 2024'!$J$4:$J$1753,AG$1)</f>
        <v>0</v>
      </c>
      <c r="AH72" s="80">
        <f>SUMIFS('май 2024'!$G$4:$G$1753,'май 2024'!$D$4:$D$1753,$B72,'май 2024'!$J$4:$J$1753,AH$1)</f>
        <v>0</v>
      </c>
      <c r="AI72" s="21">
        <f t="shared" si="1"/>
        <v>0</v>
      </c>
    </row>
    <row r="73" spans="2:35" ht="15" customHeight="1" x14ac:dyDescent="0.25">
      <c r="B73" s="93" t="s">
        <v>210</v>
      </c>
      <c r="C73" s="91">
        <v>200</v>
      </c>
      <c r="D73" s="80">
        <f>SUMIFS('май 2024'!$G$4:$G$1753,'май 2024'!$D$4:$D$1753,$B73,'май 2024'!$J$4:$J$1753,D$1)</f>
        <v>0</v>
      </c>
      <c r="E73" s="80">
        <f>SUMIFS('май 2024'!$G$4:$G$1753,'май 2024'!$D$4:$D$1753,$B73,'май 2024'!$J$4:$J$1753,E$1)</f>
        <v>0</v>
      </c>
      <c r="F73" s="80">
        <f>SUMIFS('май 2024'!$G$4:$G$1753,'май 2024'!$D$4:$D$1753,$B73,'май 2024'!$J$4:$J$1753,F$1)</f>
        <v>0</v>
      </c>
      <c r="G73" s="80">
        <f>SUMIFS('май 2024'!$G$4:$G$1753,'май 2024'!$D$4:$D$1753,$B73,'май 2024'!$J$4:$J$1753,G$1)</f>
        <v>0</v>
      </c>
      <c r="H73" s="80">
        <f>SUMIFS('май 2024'!$G$4:$G$1753,'май 2024'!$D$4:$D$1753,$B73,'май 2024'!$J$4:$J$1753,H$1)</f>
        <v>0</v>
      </c>
      <c r="I73" s="80">
        <f>SUMIFS('май 2024'!$G$4:$G$1753,'май 2024'!$D$4:$D$1753,$B73,'май 2024'!$J$4:$J$1753,I$1)</f>
        <v>0</v>
      </c>
      <c r="J73" s="80">
        <f>SUMIFS('май 2024'!$G$4:$G$1753,'май 2024'!$D$4:$D$1753,$B73,'май 2024'!$J$4:$J$1753,J$1)</f>
        <v>0</v>
      </c>
      <c r="K73" s="80">
        <f>SUMIFS('май 2024'!$G$4:$G$1753,'май 2024'!$D$4:$D$1753,$B73,'май 2024'!$J$4:$J$1753,K$1)</f>
        <v>0</v>
      </c>
      <c r="L73" s="80">
        <f>SUMIFS('май 2024'!$G$4:$G$1753,'май 2024'!$D$4:$D$1753,$B73,'май 2024'!$J$4:$J$1753,L$1)</f>
        <v>0</v>
      </c>
      <c r="M73" s="80">
        <f>SUMIFS('май 2024'!$G$4:$G$1753,'май 2024'!$D$4:$D$1753,$B73,'май 2024'!$J$4:$J$1753,M$1)</f>
        <v>0</v>
      </c>
      <c r="N73" s="80">
        <f>SUMIFS('май 2024'!$G$4:$G$1753,'май 2024'!$D$4:$D$1753,$B73,'май 2024'!$J$4:$J$1753,N$1)</f>
        <v>0</v>
      </c>
      <c r="O73" s="80">
        <f>SUMIFS('май 2024'!$G$4:$G$1753,'май 2024'!$D$4:$D$1753,$B73,'май 2024'!$J$4:$J$1753,O$1)</f>
        <v>0</v>
      </c>
      <c r="P73" s="80">
        <f>SUMIFS('май 2024'!$G$4:$G$1753,'май 2024'!$D$4:$D$1753,$B73,'май 2024'!$J$4:$J$1753,P$1)</f>
        <v>0</v>
      </c>
      <c r="Q73" s="80">
        <f>SUMIFS('май 2024'!$G$4:$G$1753,'май 2024'!$D$4:$D$1753,$B73,'май 2024'!$J$4:$J$1753,Q$1)</f>
        <v>0</v>
      </c>
      <c r="R73" s="80">
        <f>SUMIFS('май 2024'!$G$4:$G$1753,'май 2024'!$D$4:$D$1753,$B73,'май 2024'!$J$4:$J$1753,R$1)</f>
        <v>0</v>
      </c>
      <c r="S73" s="80">
        <f>SUMIFS('май 2024'!$G$4:$G$1753,'май 2024'!$D$4:$D$1753,$B73,'май 2024'!$J$4:$J$1753,S$1)</f>
        <v>0</v>
      </c>
      <c r="T73" s="80">
        <f>SUMIFS('май 2024'!$G$4:$G$1753,'май 2024'!$D$4:$D$1753,$B73,'май 2024'!$J$4:$J$1753,T$1)</f>
        <v>0</v>
      </c>
      <c r="U73" s="80">
        <f>SUMIFS('май 2024'!$G$4:$G$1753,'май 2024'!$D$4:$D$1753,$B73,'май 2024'!$J$4:$J$1753,U$1)</f>
        <v>0</v>
      </c>
      <c r="V73" s="80">
        <f>SUMIFS('май 2024'!$G$4:$G$1753,'май 2024'!$D$4:$D$1753,$B73,'май 2024'!$J$4:$J$1753,V$1)</f>
        <v>0</v>
      </c>
      <c r="W73" s="80">
        <f>SUMIFS('май 2024'!$G$4:$G$1753,'май 2024'!$D$4:$D$1753,$B73,'май 2024'!$J$4:$J$1753,W$1)</f>
        <v>0</v>
      </c>
      <c r="X73" s="80">
        <f>SUMIFS('май 2024'!$G$4:$G$1753,'май 2024'!$D$4:$D$1753,$B73,'май 2024'!$J$4:$J$1753,X$1)</f>
        <v>0</v>
      </c>
      <c r="Y73" s="80">
        <f>SUMIFS('май 2024'!$G$4:$G$1753,'май 2024'!$D$4:$D$1753,$B73,'май 2024'!$J$4:$J$1753,Y$1)</f>
        <v>0</v>
      </c>
      <c r="Z73" s="80">
        <f>SUMIFS('май 2024'!$G$4:$G$1753,'май 2024'!$D$4:$D$1753,$B73,'май 2024'!$J$4:$J$1753,Z$1)</f>
        <v>0</v>
      </c>
      <c r="AA73" s="80">
        <f>SUMIFS('май 2024'!$G$4:$G$1753,'май 2024'!$D$4:$D$1753,$B73,'май 2024'!$J$4:$J$1753,AA$1)</f>
        <v>0</v>
      </c>
      <c r="AB73" s="80">
        <f>SUMIFS('май 2024'!$G$4:$G$1753,'май 2024'!$D$4:$D$1753,$B73,'май 2024'!$J$4:$J$1753,AB$1)</f>
        <v>0</v>
      </c>
      <c r="AC73" s="80">
        <f>SUMIFS('май 2024'!$G$4:$G$1753,'май 2024'!$D$4:$D$1753,$B73,'май 2024'!$J$4:$J$1753,AC$1)</f>
        <v>0</v>
      </c>
      <c r="AD73" s="80">
        <f>SUMIFS('май 2024'!$G$4:$G$1753,'май 2024'!$D$4:$D$1753,$B73,'май 2024'!$J$4:$J$1753,AD$1)</f>
        <v>0</v>
      </c>
      <c r="AE73" s="80">
        <f>SUMIFS('май 2024'!$G$4:$G$1753,'май 2024'!$D$4:$D$1753,$B73,'май 2024'!$J$4:$J$1753,AE$1)</f>
        <v>0</v>
      </c>
      <c r="AF73" s="80">
        <f>SUMIFS('май 2024'!$G$4:$G$1753,'май 2024'!$D$4:$D$1753,$B73,'май 2024'!$J$4:$J$1753,AF$1)</f>
        <v>0</v>
      </c>
      <c r="AG73" s="80">
        <f>SUMIFS('май 2024'!$G$4:$G$1753,'май 2024'!$D$4:$D$1753,$B73,'май 2024'!$J$4:$J$1753,AG$1)</f>
        <v>0</v>
      </c>
      <c r="AH73" s="80">
        <f>SUMIFS('май 2024'!$G$4:$G$1753,'май 2024'!$D$4:$D$1753,$B73,'май 2024'!$J$4:$J$1753,AH$1)</f>
        <v>0</v>
      </c>
      <c r="AI73" s="21">
        <f t="shared" si="1"/>
        <v>0</v>
      </c>
    </row>
    <row r="74" spans="2:35" ht="15" customHeight="1" x14ac:dyDescent="0.25">
      <c r="B74" s="93" t="s">
        <v>221</v>
      </c>
      <c r="C74" s="91">
        <v>25</v>
      </c>
      <c r="D74" s="80">
        <f>SUMIFS('май 2024'!$G$4:$G$1753,'май 2024'!$D$4:$D$1753,$B74,'май 2024'!$J$4:$J$1753,D$1)</f>
        <v>0</v>
      </c>
      <c r="E74" s="80">
        <f>SUMIFS('май 2024'!$G$4:$G$1753,'май 2024'!$D$4:$D$1753,$B74,'май 2024'!$J$4:$J$1753,E$1)</f>
        <v>0</v>
      </c>
      <c r="F74" s="80">
        <f>SUMIFS('май 2024'!$G$4:$G$1753,'май 2024'!$D$4:$D$1753,$B74,'май 2024'!$J$4:$J$1753,F$1)</f>
        <v>0</v>
      </c>
      <c r="G74" s="80">
        <f>SUMIFS('май 2024'!$G$4:$G$1753,'май 2024'!$D$4:$D$1753,$B74,'май 2024'!$J$4:$J$1753,G$1)</f>
        <v>0</v>
      </c>
      <c r="H74" s="80">
        <f>SUMIFS('май 2024'!$G$4:$G$1753,'май 2024'!$D$4:$D$1753,$B74,'май 2024'!$J$4:$J$1753,H$1)</f>
        <v>0</v>
      </c>
      <c r="I74" s="80">
        <f>SUMIFS('май 2024'!$G$4:$G$1753,'май 2024'!$D$4:$D$1753,$B74,'май 2024'!$J$4:$J$1753,I$1)</f>
        <v>0</v>
      </c>
      <c r="J74" s="80">
        <f>SUMIFS('май 2024'!$G$4:$G$1753,'май 2024'!$D$4:$D$1753,$B74,'май 2024'!$J$4:$J$1753,J$1)</f>
        <v>0</v>
      </c>
      <c r="K74" s="80">
        <f>SUMIFS('май 2024'!$G$4:$G$1753,'май 2024'!$D$4:$D$1753,$B74,'май 2024'!$J$4:$J$1753,K$1)</f>
        <v>0</v>
      </c>
      <c r="L74" s="80">
        <f>SUMIFS('май 2024'!$G$4:$G$1753,'май 2024'!$D$4:$D$1753,$B74,'май 2024'!$J$4:$J$1753,L$1)</f>
        <v>0</v>
      </c>
      <c r="M74" s="80">
        <f>SUMIFS('май 2024'!$G$4:$G$1753,'май 2024'!$D$4:$D$1753,$B74,'май 2024'!$J$4:$J$1753,M$1)</f>
        <v>0</v>
      </c>
      <c r="N74" s="80">
        <f>SUMIFS('май 2024'!$G$4:$G$1753,'май 2024'!$D$4:$D$1753,$B74,'май 2024'!$J$4:$J$1753,N$1)</f>
        <v>0</v>
      </c>
      <c r="O74" s="80">
        <f>SUMIFS('май 2024'!$G$4:$G$1753,'май 2024'!$D$4:$D$1753,$B74,'май 2024'!$J$4:$J$1753,O$1)</f>
        <v>0</v>
      </c>
      <c r="P74" s="80">
        <f>SUMIFS('май 2024'!$G$4:$G$1753,'май 2024'!$D$4:$D$1753,$B74,'май 2024'!$J$4:$J$1753,P$1)</f>
        <v>0</v>
      </c>
      <c r="Q74" s="80">
        <f>SUMIFS('май 2024'!$G$4:$G$1753,'май 2024'!$D$4:$D$1753,$B74,'май 2024'!$J$4:$J$1753,Q$1)</f>
        <v>0</v>
      </c>
      <c r="R74" s="80">
        <f>SUMIFS('май 2024'!$G$4:$G$1753,'май 2024'!$D$4:$D$1753,$B74,'май 2024'!$J$4:$J$1753,R$1)</f>
        <v>0</v>
      </c>
      <c r="S74" s="80">
        <f>SUMIFS('май 2024'!$G$4:$G$1753,'май 2024'!$D$4:$D$1753,$B74,'май 2024'!$J$4:$J$1753,S$1)</f>
        <v>0</v>
      </c>
      <c r="T74" s="80">
        <f>SUMIFS('май 2024'!$G$4:$G$1753,'май 2024'!$D$4:$D$1753,$B74,'май 2024'!$J$4:$J$1753,T$1)</f>
        <v>0</v>
      </c>
      <c r="U74" s="80">
        <f>SUMIFS('май 2024'!$G$4:$G$1753,'май 2024'!$D$4:$D$1753,$B74,'май 2024'!$J$4:$J$1753,U$1)</f>
        <v>0</v>
      </c>
      <c r="V74" s="80">
        <f>SUMIFS('май 2024'!$G$4:$G$1753,'май 2024'!$D$4:$D$1753,$B74,'май 2024'!$J$4:$J$1753,V$1)</f>
        <v>0</v>
      </c>
      <c r="W74" s="80">
        <f>SUMIFS('май 2024'!$G$4:$G$1753,'май 2024'!$D$4:$D$1753,$B74,'май 2024'!$J$4:$J$1753,W$1)</f>
        <v>0</v>
      </c>
      <c r="X74" s="80">
        <f>SUMIFS('май 2024'!$G$4:$G$1753,'май 2024'!$D$4:$D$1753,$B74,'май 2024'!$J$4:$J$1753,X$1)</f>
        <v>0</v>
      </c>
      <c r="Y74" s="80">
        <f>SUMIFS('май 2024'!$G$4:$G$1753,'май 2024'!$D$4:$D$1753,$B74,'май 2024'!$J$4:$J$1753,Y$1)</f>
        <v>0</v>
      </c>
      <c r="Z74" s="80">
        <f>SUMIFS('май 2024'!$G$4:$G$1753,'май 2024'!$D$4:$D$1753,$B74,'май 2024'!$J$4:$J$1753,Z$1)</f>
        <v>0</v>
      </c>
      <c r="AA74" s="80">
        <f>SUMIFS('май 2024'!$G$4:$G$1753,'май 2024'!$D$4:$D$1753,$B74,'май 2024'!$J$4:$J$1753,AA$1)</f>
        <v>0</v>
      </c>
      <c r="AB74" s="80">
        <f>SUMIFS('май 2024'!$G$4:$G$1753,'май 2024'!$D$4:$D$1753,$B74,'май 2024'!$J$4:$J$1753,AB$1)</f>
        <v>0</v>
      </c>
      <c r="AC74" s="80">
        <f>SUMIFS('май 2024'!$G$4:$G$1753,'май 2024'!$D$4:$D$1753,$B74,'май 2024'!$J$4:$J$1753,AC$1)</f>
        <v>0</v>
      </c>
      <c r="AD74" s="80">
        <f>SUMIFS('май 2024'!$G$4:$G$1753,'май 2024'!$D$4:$D$1753,$B74,'май 2024'!$J$4:$J$1753,AD$1)</f>
        <v>0</v>
      </c>
      <c r="AE74" s="80">
        <f>SUMIFS('май 2024'!$G$4:$G$1753,'май 2024'!$D$4:$D$1753,$B74,'май 2024'!$J$4:$J$1753,AE$1)</f>
        <v>0</v>
      </c>
      <c r="AF74" s="80">
        <f>SUMIFS('май 2024'!$G$4:$G$1753,'май 2024'!$D$4:$D$1753,$B74,'май 2024'!$J$4:$J$1753,AF$1)</f>
        <v>0</v>
      </c>
      <c r="AG74" s="80">
        <f>SUMIFS('май 2024'!$G$4:$G$1753,'май 2024'!$D$4:$D$1753,$B74,'май 2024'!$J$4:$J$1753,AG$1)</f>
        <v>0</v>
      </c>
      <c r="AH74" s="80">
        <f>SUMIFS('май 2024'!$G$4:$G$1753,'май 2024'!$D$4:$D$1753,$B74,'май 2024'!$J$4:$J$1753,AH$1)</f>
        <v>0</v>
      </c>
      <c r="AI74" s="21">
        <f t="shared" si="1"/>
        <v>0</v>
      </c>
    </row>
    <row r="75" spans="2:35" ht="15" customHeight="1" x14ac:dyDescent="0.25">
      <c r="B75" s="93" t="s">
        <v>188</v>
      </c>
      <c r="C75" s="91">
        <v>50</v>
      </c>
      <c r="D75" s="80">
        <f>SUMIFS('май 2024'!$G$4:$G$1753,'май 2024'!$D$4:$D$1753,$B75,'май 2024'!$J$4:$J$1753,D$1)</f>
        <v>0</v>
      </c>
      <c r="E75" s="80">
        <f>SUMIFS('май 2024'!$G$4:$G$1753,'май 2024'!$D$4:$D$1753,$B75,'май 2024'!$J$4:$J$1753,E$1)</f>
        <v>0</v>
      </c>
      <c r="F75" s="80">
        <f>SUMIFS('май 2024'!$G$4:$G$1753,'май 2024'!$D$4:$D$1753,$B75,'май 2024'!$J$4:$J$1753,F$1)</f>
        <v>0</v>
      </c>
      <c r="G75" s="80">
        <f>SUMIFS('май 2024'!$G$4:$G$1753,'май 2024'!$D$4:$D$1753,$B75,'май 2024'!$J$4:$J$1753,G$1)</f>
        <v>0</v>
      </c>
      <c r="H75" s="80">
        <f>SUMIFS('май 2024'!$G$4:$G$1753,'май 2024'!$D$4:$D$1753,$B75,'май 2024'!$J$4:$J$1753,H$1)</f>
        <v>0</v>
      </c>
      <c r="I75" s="80">
        <f>SUMIFS('май 2024'!$G$4:$G$1753,'май 2024'!$D$4:$D$1753,$B75,'май 2024'!$J$4:$J$1753,I$1)</f>
        <v>0</v>
      </c>
      <c r="J75" s="80">
        <f>SUMIFS('май 2024'!$G$4:$G$1753,'май 2024'!$D$4:$D$1753,$B75,'май 2024'!$J$4:$J$1753,J$1)</f>
        <v>0</v>
      </c>
      <c r="K75" s="80">
        <f>SUMIFS('май 2024'!$G$4:$G$1753,'май 2024'!$D$4:$D$1753,$B75,'май 2024'!$J$4:$J$1753,K$1)</f>
        <v>0</v>
      </c>
      <c r="L75" s="80">
        <f>SUMIFS('май 2024'!$G$4:$G$1753,'май 2024'!$D$4:$D$1753,$B75,'май 2024'!$J$4:$J$1753,L$1)</f>
        <v>0</v>
      </c>
      <c r="M75" s="80">
        <f>SUMIFS('май 2024'!$G$4:$G$1753,'май 2024'!$D$4:$D$1753,$B75,'май 2024'!$J$4:$J$1753,M$1)</f>
        <v>0</v>
      </c>
      <c r="N75" s="80">
        <f>SUMIFS('май 2024'!$G$4:$G$1753,'май 2024'!$D$4:$D$1753,$B75,'май 2024'!$J$4:$J$1753,N$1)</f>
        <v>0</v>
      </c>
      <c r="O75" s="80">
        <f>SUMIFS('май 2024'!$G$4:$G$1753,'май 2024'!$D$4:$D$1753,$B75,'май 2024'!$J$4:$J$1753,O$1)</f>
        <v>0</v>
      </c>
      <c r="P75" s="80">
        <f>SUMIFS('май 2024'!$G$4:$G$1753,'май 2024'!$D$4:$D$1753,$B75,'май 2024'!$J$4:$J$1753,P$1)</f>
        <v>0</v>
      </c>
      <c r="Q75" s="80">
        <f>SUMIFS('май 2024'!$G$4:$G$1753,'май 2024'!$D$4:$D$1753,$B75,'май 2024'!$J$4:$J$1753,Q$1)</f>
        <v>0</v>
      </c>
      <c r="R75" s="80">
        <f>SUMIFS('май 2024'!$G$4:$G$1753,'май 2024'!$D$4:$D$1753,$B75,'май 2024'!$J$4:$J$1753,R$1)</f>
        <v>0</v>
      </c>
      <c r="S75" s="80">
        <f>SUMIFS('май 2024'!$G$4:$G$1753,'май 2024'!$D$4:$D$1753,$B75,'май 2024'!$J$4:$J$1753,S$1)</f>
        <v>0</v>
      </c>
      <c r="T75" s="80">
        <f>SUMIFS('май 2024'!$G$4:$G$1753,'май 2024'!$D$4:$D$1753,$B75,'май 2024'!$J$4:$J$1753,T$1)</f>
        <v>0</v>
      </c>
      <c r="U75" s="80">
        <f>SUMIFS('май 2024'!$G$4:$G$1753,'май 2024'!$D$4:$D$1753,$B75,'май 2024'!$J$4:$J$1753,U$1)</f>
        <v>0</v>
      </c>
      <c r="V75" s="80">
        <f>SUMIFS('май 2024'!$G$4:$G$1753,'май 2024'!$D$4:$D$1753,$B75,'май 2024'!$J$4:$J$1753,V$1)</f>
        <v>0</v>
      </c>
      <c r="W75" s="80">
        <f>SUMIFS('май 2024'!$G$4:$G$1753,'май 2024'!$D$4:$D$1753,$B75,'май 2024'!$J$4:$J$1753,W$1)</f>
        <v>0</v>
      </c>
      <c r="X75" s="80">
        <f>SUMIFS('май 2024'!$G$4:$G$1753,'май 2024'!$D$4:$D$1753,$B75,'май 2024'!$J$4:$J$1753,X$1)</f>
        <v>0</v>
      </c>
      <c r="Y75" s="80">
        <f>SUMIFS('май 2024'!$G$4:$G$1753,'май 2024'!$D$4:$D$1753,$B75,'май 2024'!$J$4:$J$1753,Y$1)</f>
        <v>0</v>
      </c>
      <c r="Z75" s="80">
        <f>SUMIFS('май 2024'!$G$4:$G$1753,'май 2024'!$D$4:$D$1753,$B75,'май 2024'!$J$4:$J$1753,Z$1)</f>
        <v>0</v>
      </c>
      <c r="AA75" s="80">
        <f>SUMIFS('май 2024'!$G$4:$G$1753,'май 2024'!$D$4:$D$1753,$B75,'май 2024'!$J$4:$J$1753,AA$1)</f>
        <v>0</v>
      </c>
      <c r="AB75" s="80">
        <f>SUMIFS('май 2024'!$G$4:$G$1753,'май 2024'!$D$4:$D$1753,$B75,'май 2024'!$J$4:$J$1753,AB$1)</f>
        <v>0</v>
      </c>
      <c r="AC75" s="80">
        <f>SUMIFS('май 2024'!$G$4:$G$1753,'май 2024'!$D$4:$D$1753,$B75,'май 2024'!$J$4:$J$1753,AC$1)</f>
        <v>0</v>
      </c>
      <c r="AD75" s="80">
        <f>SUMIFS('май 2024'!$G$4:$G$1753,'май 2024'!$D$4:$D$1753,$B75,'май 2024'!$J$4:$J$1753,AD$1)</f>
        <v>0</v>
      </c>
      <c r="AE75" s="80">
        <f>SUMIFS('май 2024'!$G$4:$G$1753,'май 2024'!$D$4:$D$1753,$B75,'май 2024'!$J$4:$J$1753,AE$1)</f>
        <v>0</v>
      </c>
      <c r="AF75" s="80">
        <f>SUMIFS('май 2024'!$G$4:$G$1753,'май 2024'!$D$4:$D$1753,$B75,'май 2024'!$J$4:$J$1753,AF$1)</f>
        <v>0</v>
      </c>
      <c r="AG75" s="80">
        <f>SUMIFS('май 2024'!$G$4:$G$1753,'май 2024'!$D$4:$D$1753,$B75,'май 2024'!$J$4:$J$1753,AG$1)</f>
        <v>0</v>
      </c>
      <c r="AH75" s="80">
        <f>SUMIFS('май 2024'!$G$4:$G$1753,'май 2024'!$D$4:$D$1753,$B75,'май 2024'!$J$4:$J$1753,AH$1)</f>
        <v>0</v>
      </c>
      <c r="AI75" s="21">
        <f t="shared" si="1"/>
        <v>0</v>
      </c>
    </row>
    <row r="76" spans="2:35" ht="15" customHeight="1" x14ac:dyDescent="0.25">
      <c r="B76" s="93" t="s">
        <v>173</v>
      </c>
      <c r="C76" s="91">
        <v>200</v>
      </c>
      <c r="D76" s="80">
        <f>SUMIFS('май 2024'!$G$4:$G$1753,'май 2024'!$D$4:$D$1753,$B76,'май 2024'!$J$4:$J$1753,D$1)</f>
        <v>0</v>
      </c>
      <c r="E76" s="80">
        <f>SUMIFS('май 2024'!$G$4:$G$1753,'май 2024'!$D$4:$D$1753,$B76,'май 2024'!$J$4:$J$1753,E$1)</f>
        <v>0</v>
      </c>
      <c r="F76" s="80">
        <f>SUMIFS('май 2024'!$G$4:$G$1753,'май 2024'!$D$4:$D$1753,$B76,'май 2024'!$J$4:$J$1753,F$1)</f>
        <v>0</v>
      </c>
      <c r="G76" s="80">
        <f>SUMIFS('май 2024'!$G$4:$G$1753,'май 2024'!$D$4:$D$1753,$B76,'май 2024'!$J$4:$J$1753,G$1)</f>
        <v>0</v>
      </c>
      <c r="H76" s="80">
        <f>SUMIFS('май 2024'!$G$4:$G$1753,'май 2024'!$D$4:$D$1753,$B76,'май 2024'!$J$4:$J$1753,H$1)</f>
        <v>0</v>
      </c>
      <c r="I76" s="80">
        <f>SUMIFS('май 2024'!$G$4:$G$1753,'май 2024'!$D$4:$D$1753,$B76,'май 2024'!$J$4:$J$1753,I$1)</f>
        <v>0</v>
      </c>
      <c r="J76" s="80">
        <f>SUMIFS('май 2024'!$G$4:$G$1753,'май 2024'!$D$4:$D$1753,$B76,'май 2024'!$J$4:$J$1753,J$1)</f>
        <v>0</v>
      </c>
      <c r="K76" s="80">
        <f>SUMIFS('май 2024'!$G$4:$G$1753,'май 2024'!$D$4:$D$1753,$B76,'май 2024'!$J$4:$J$1753,K$1)</f>
        <v>0</v>
      </c>
      <c r="L76" s="80">
        <f>SUMIFS('май 2024'!$G$4:$G$1753,'май 2024'!$D$4:$D$1753,$B76,'май 2024'!$J$4:$J$1753,L$1)</f>
        <v>0</v>
      </c>
      <c r="M76" s="80">
        <f>SUMIFS('май 2024'!$G$4:$G$1753,'май 2024'!$D$4:$D$1753,$B76,'май 2024'!$J$4:$J$1753,M$1)</f>
        <v>0</v>
      </c>
      <c r="N76" s="80">
        <f>SUMIFS('май 2024'!$G$4:$G$1753,'май 2024'!$D$4:$D$1753,$B76,'май 2024'!$J$4:$J$1753,N$1)</f>
        <v>0</v>
      </c>
      <c r="O76" s="80">
        <f>SUMIFS('май 2024'!$G$4:$G$1753,'май 2024'!$D$4:$D$1753,$B76,'май 2024'!$J$4:$J$1753,O$1)</f>
        <v>0</v>
      </c>
      <c r="P76" s="80">
        <f>SUMIFS('май 2024'!$G$4:$G$1753,'май 2024'!$D$4:$D$1753,$B76,'май 2024'!$J$4:$J$1753,P$1)</f>
        <v>0</v>
      </c>
      <c r="Q76" s="80">
        <f>SUMIFS('май 2024'!$G$4:$G$1753,'май 2024'!$D$4:$D$1753,$B76,'май 2024'!$J$4:$J$1753,Q$1)</f>
        <v>0</v>
      </c>
      <c r="R76" s="80">
        <f>SUMIFS('май 2024'!$G$4:$G$1753,'май 2024'!$D$4:$D$1753,$B76,'май 2024'!$J$4:$J$1753,R$1)</f>
        <v>0</v>
      </c>
      <c r="S76" s="80">
        <f>SUMIFS('май 2024'!$G$4:$G$1753,'май 2024'!$D$4:$D$1753,$B76,'май 2024'!$J$4:$J$1753,S$1)</f>
        <v>0</v>
      </c>
      <c r="T76" s="80">
        <f>SUMIFS('май 2024'!$G$4:$G$1753,'май 2024'!$D$4:$D$1753,$B76,'май 2024'!$J$4:$J$1753,T$1)</f>
        <v>0</v>
      </c>
      <c r="U76" s="80">
        <f>SUMIFS('май 2024'!$G$4:$G$1753,'май 2024'!$D$4:$D$1753,$B76,'май 2024'!$J$4:$J$1753,U$1)</f>
        <v>0</v>
      </c>
      <c r="V76" s="80">
        <f>SUMIFS('май 2024'!$G$4:$G$1753,'май 2024'!$D$4:$D$1753,$B76,'май 2024'!$J$4:$J$1753,V$1)</f>
        <v>0</v>
      </c>
      <c r="W76" s="80">
        <f>SUMIFS('май 2024'!$G$4:$G$1753,'май 2024'!$D$4:$D$1753,$B76,'май 2024'!$J$4:$J$1753,W$1)</f>
        <v>0</v>
      </c>
      <c r="X76" s="80">
        <f>SUMIFS('май 2024'!$G$4:$G$1753,'май 2024'!$D$4:$D$1753,$B76,'май 2024'!$J$4:$J$1753,X$1)</f>
        <v>0</v>
      </c>
      <c r="Y76" s="80">
        <f>SUMIFS('май 2024'!$G$4:$G$1753,'май 2024'!$D$4:$D$1753,$B76,'май 2024'!$J$4:$J$1753,Y$1)</f>
        <v>0</v>
      </c>
      <c r="Z76" s="80">
        <f>SUMIFS('май 2024'!$G$4:$G$1753,'май 2024'!$D$4:$D$1753,$B76,'май 2024'!$J$4:$J$1753,Z$1)</f>
        <v>0</v>
      </c>
      <c r="AA76" s="80">
        <f>SUMIFS('май 2024'!$G$4:$G$1753,'май 2024'!$D$4:$D$1753,$B76,'май 2024'!$J$4:$J$1753,AA$1)</f>
        <v>0</v>
      </c>
      <c r="AB76" s="80">
        <f>SUMIFS('май 2024'!$G$4:$G$1753,'май 2024'!$D$4:$D$1753,$B76,'май 2024'!$J$4:$J$1753,AB$1)</f>
        <v>0</v>
      </c>
      <c r="AC76" s="80">
        <f>SUMIFS('май 2024'!$G$4:$G$1753,'май 2024'!$D$4:$D$1753,$B76,'май 2024'!$J$4:$J$1753,AC$1)</f>
        <v>0</v>
      </c>
      <c r="AD76" s="80">
        <f>SUMIFS('май 2024'!$G$4:$G$1753,'май 2024'!$D$4:$D$1753,$B76,'май 2024'!$J$4:$J$1753,AD$1)</f>
        <v>0</v>
      </c>
      <c r="AE76" s="80">
        <f>SUMIFS('май 2024'!$G$4:$G$1753,'май 2024'!$D$4:$D$1753,$B76,'май 2024'!$J$4:$J$1753,AE$1)</f>
        <v>0</v>
      </c>
      <c r="AF76" s="80">
        <f>SUMIFS('май 2024'!$G$4:$G$1753,'май 2024'!$D$4:$D$1753,$B76,'май 2024'!$J$4:$J$1753,AF$1)</f>
        <v>0</v>
      </c>
      <c r="AG76" s="80">
        <f>SUMIFS('май 2024'!$G$4:$G$1753,'май 2024'!$D$4:$D$1753,$B76,'май 2024'!$J$4:$J$1753,AG$1)</f>
        <v>0</v>
      </c>
      <c r="AH76" s="80">
        <f>SUMIFS('май 2024'!$G$4:$G$1753,'май 2024'!$D$4:$D$1753,$B76,'май 2024'!$J$4:$J$1753,AH$1)</f>
        <v>0</v>
      </c>
      <c r="AI76" s="21">
        <f t="shared" si="1"/>
        <v>0</v>
      </c>
    </row>
    <row r="77" spans="2:35" ht="15" customHeight="1" x14ac:dyDescent="0.25">
      <c r="B77" s="93" t="s">
        <v>174</v>
      </c>
      <c r="C77" s="91">
        <v>200</v>
      </c>
      <c r="D77" s="80">
        <f>SUMIFS('май 2024'!$G$4:$G$1753,'май 2024'!$D$4:$D$1753,$B77,'май 2024'!$J$4:$J$1753,D$1)</f>
        <v>0</v>
      </c>
      <c r="E77" s="80">
        <f>SUMIFS('май 2024'!$G$4:$G$1753,'май 2024'!$D$4:$D$1753,$B77,'май 2024'!$J$4:$J$1753,E$1)</f>
        <v>0</v>
      </c>
      <c r="F77" s="80">
        <f>SUMIFS('май 2024'!$G$4:$G$1753,'май 2024'!$D$4:$D$1753,$B77,'май 2024'!$J$4:$J$1753,F$1)</f>
        <v>0</v>
      </c>
      <c r="G77" s="80">
        <f>SUMIFS('май 2024'!$G$4:$G$1753,'май 2024'!$D$4:$D$1753,$B77,'май 2024'!$J$4:$J$1753,G$1)</f>
        <v>0</v>
      </c>
      <c r="H77" s="80">
        <f>SUMIFS('май 2024'!$G$4:$G$1753,'май 2024'!$D$4:$D$1753,$B77,'май 2024'!$J$4:$J$1753,H$1)</f>
        <v>0</v>
      </c>
      <c r="I77" s="80">
        <f>SUMIFS('май 2024'!$G$4:$G$1753,'май 2024'!$D$4:$D$1753,$B77,'май 2024'!$J$4:$J$1753,I$1)</f>
        <v>0</v>
      </c>
      <c r="J77" s="80">
        <f>SUMIFS('май 2024'!$G$4:$G$1753,'май 2024'!$D$4:$D$1753,$B77,'май 2024'!$J$4:$J$1753,J$1)</f>
        <v>0</v>
      </c>
      <c r="K77" s="80">
        <f>SUMIFS('май 2024'!$G$4:$G$1753,'май 2024'!$D$4:$D$1753,$B77,'май 2024'!$J$4:$J$1753,K$1)</f>
        <v>0</v>
      </c>
      <c r="L77" s="80">
        <f>SUMIFS('май 2024'!$G$4:$G$1753,'май 2024'!$D$4:$D$1753,$B77,'май 2024'!$J$4:$J$1753,L$1)</f>
        <v>0</v>
      </c>
      <c r="M77" s="80">
        <f>SUMIFS('май 2024'!$G$4:$G$1753,'май 2024'!$D$4:$D$1753,$B77,'май 2024'!$J$4:$J$1753,M$1)</f>
        <v>0</v>
      </c>
      <c r="N77" s="80">
        <f>SUMIFS('май 2024'!$G$4:$G$1753,'май 2024'!$D$4:$D$1753,$B77,'май 2024'!$J$4:$J$1753,N$1)</f>
        <v>0</v>
      </c>
      <c r="O77" s="80">
        <f>SUMIFS('май 2024'!$G$4:$G$1753,'май 2024'!$D$4:$D$1753,$B77,'май 2024'!$J$4:$J$1753,O$1)</f>
        <v>0</v>
      </c>
      <c r="P77" s="80">
        <f>SUMIFS('май 2024'!$G$4:$G$1753,'май 2024'!$D$4:$D$1753,$B77,'май 2024'!$J$4:$J$1753,P$1)</f>
        <v>0</v>
      </c>
      <c r="Q77" s="80">
        <f>SUMIFS('май 2024'!$G$4:$G$1753,'май 2024'!$D$4:$D$1753,$B77,'май 2024'!$J$4:$J$1753,Q$1)</f>
        <v>0</v>
      </c>
      <c r="R77" s="80">
        <f>SUMIFS('май 2024'!$G$4:$G$1753,'май 2024'!$D$4:$D$1753,$B77,'май 2024'!$J$4:$J$1753,R$1)</f>
        <v>0</v>
      </c>
      <c r="S77" s="80">
        <f>SUMIFS('май 2024'!$G$4:$G$1753,'май 2024'!$D$4:$D$1753,$B77,'май 2024'!$J$4:$J$1753,S$1)</f>
        <v>0</v>
      </c>
      <c r="T77" s="80">
        <f>SUMIFS('май 2024'!$G$4:$G$1753,'май 2024'!$D$4:$D$1753,$B77,'май 2024'!$J$4:$J$1753,T$1)</f>
        <v>0</v>
      </c>
      <c r="U77" s="80">
        <f>SUMIFS('май 2024'!$G$4:$G$1753,'май 2024'!$D$4:$D$1753,$B77,'май 2024'!$J$4:$J$1753,U$1)</f>
        <v>0</v>
      </c>
      <c r="V77" s="80">
        <f>SUMIFS('май 2024'!$G$4:$G$1753,'май 2024'!$D$4:$D$1753,$B77,'май 2024'!$J$4:$J$1753,V$1)</f>
        <v>0</v>
      </c>
      <c r="W77" s="80">
        <f>SUMIFS('май 2024'!$G$4:$G$1753,'май 2024'!$D$4:$D$1753,$B77,'май 2024'!$J$4:$J$1753,W$1)</f>
        <v>0</v>
      </c>
      <c r="X77" s="80">
        <f>SUMIFS('май 2024'!$G$4:$G$1753,'май 2024'!$D$4:$D$1753,$B77,'май 2024'!$J$4:$J$1753,X$1)</f>
        <v>0</v>
      </c>
      <c r="Y77" s="80">
        <f>SUMIFS('май 2024'!$G$4:$G$1753,'май 2024'!$D$4:$D$1753,$B77,'май 2024'!$J$4:$J$1753,Y$1)</f>
        <v>0</v>
      </c>
      <c r="Z77" s="80">
        <f>SUMIFS('май 2024'!$G$4:$G$1753,'май 2024'!$D$4:$D$1753,$B77,'май 2024'!$J$4:$J$1753,Z$1)</f>
        <v>0</v>
      </c>
      <c r="AA77" s="80">
        <f>SUMIFS('май 2024'!$G$4:$G$1753,'май 2024'!$D$4:$D$1753,$B77,'май 2024'!$J$4:$J$1753,AA$1)</f>
        <v>2</v>
      </c>
      <c r="AB77" s="80">
        <f>SUMIFS('май 2024'!$G$4:$G$1753,'май 2024'!$D$4:$D$1753,$B77,'май 2024'!$J$4:$J$1753,AB$1)</f>
        <v>0</v>
      </c>
      <c r="AC77" s="80">
        <f>SUMIFS('май 2024'!$G$4:$G$1753,'май 2024'!$D$4:$D$1753,$B77,'май 2024'!$J$4:$J$1753,AC$1)</f>
        <v>0</v>
      </c>
      <c r="AD77" s="80">
        <f>SUMIFS('май 2024'!$G$4:$G$1753,'май 2024'!$D$4:$D$1753,$B77,'май 2024'!$J$4:$J$1753,AD$1)</f>
        <v>0</v>
      </c>
      <c r="AE77" s="80">
        <f>SUMIFS('май 2024'!$G$4:$G$1753,'май 2024'!$D$4:$D$1753,$B77,'май 2024'!$J$4:$J$1753,AE$1)</f>
        <v>88</v>
      </c>
      <c r="AF77" s="80">
        <f>SUMIFS('май 2024'!$G$4:$G$1753,'май 2024'!$D$4:$D$1753,$B77,'май 2024'!$J$4:$J$1753,AF$1)</f>
        <v>0</v>
      </c>
      <c r="AG77" s="80">
        <f>SUMIFS('май 2024'!$G$4:$G$1753,'май 2024'!$D$4:$D$1753,$B77,'май 2024'!$J$4:$J$1753,AG$1)</f>
        <v>88</v>
      </c>
      <c r="AH77" s="80">
        <f>SUMIFS('май 2024'!$G$4:$G$1753,'май 2024'!$D$4:$D$1753,$B77,'май 2024'!$J$4:$J$1753,AH$1)</f>
        <v>0</v>
      </c>
      <c r="AI77" s="21">
        <f t="shared" si="1"/>
        <v>178</v>
      </c>
    </row>
    <row r="78" spans="2:35" ht="15" customHeight="1" x14ac:dyDescent="0.25">
      <c r="B78" s="93" t="s">
        <v>321</v>
      </c>
      <c r="C78" s="91">
        <v>190</v>
      </c>
      <c r="D78" s="80">
        <f>SUMIFS('май 2024'!$G$4:$G$1753,'май 2024'!$D$4:$D$1753,$B78,'май 2024'!$J$4:$J$1753,D$1)</f>
        <v>0</v>
      </c>
      <c r="E78" s="80">
        <f>SUMIFS('май 2024'!$G$4:$G$1753,'май 2024'!$D$4:$D$1753,$B78,'май 2024'!$J$4:$J$1753,E$1)</f>
        <v>0</v>
      </c>
      <c r="F78" s="80">
        <f>SUMIFS('май 2024'!$G$4:$G$1753,'май 2024'!$D$4:$D$1753,$B78,'май 2024'!$J$4:$J$1753,F$1)</f>
        <v>0</v>
      </c>
      <c r="G78" s="80">
        <f>SUMIFS('май 2024'!$G$4:$G$1753,'май 2024'!$D$4:$D$1753,$B78,'май 2024'!$J$4:$J$1753,G$1)</f>
        <v>0</v>
      </c>
      <c r="H78" s="80">
        <f>SUMIFS('май 2024'!$G$4:$G$1753,'май 2024'!$D$4:$D$1753,$B78,'май 2024'!$J$4:$J$1753,H$1)</f>
        <v>0</v>
      </c>
      <c r="I78" s="80">
        <f>SUMIFS('май 2024'!$G$4:$G$1753,'май 2024'!$D$4:$D$1753,$B78,'май 2024'!$J$4:$J$1753,I$1)</f>
        <v>0</v>
      </c>
      <c r="J78" s="80">
        <f>SUMIFS('май 2024'!$G$4:$G$1753,'май 2024'!$D$4:$D$1753,$B78,'май 2024'!$J$4:$J$1753,J$1)</f>
        <v>0</v>
      </c>
      <c r="K78" s="80">
        <f>SUMIFS('май 2024'!$G$4:$G$1753,'май 2024'!$D$4:$D$1753,$B78,'май 2024'!$J$4:$J$1753,K$1)</f>
        <v>0</v>
      </c>
      <c r="L78" s="80">
        <f>SUMIFS('май 2024'!$G$4:$G$1753,'май 2024'!$D$4:$D$1753,$B78,'май 2024'!$J$4:$J$1753,L$1)</f>
        <v>0</v>
      </c>
      <c r="M78" s="80">
        <f>SUMIFS('май 2024'!$G$4:$G$1753,'май 2024'!$D$4:$D$1753,$B78,'май 2024'!$J$4:$J$1753,M$1)</f>
        <v>0</v>
      </c>
      <c r="N78" s="80">
        <f>SUMIFS('май 2024'!$G$4:$G$1753,'май 2024'!$D$4:$D$1753,$B78,'май 2024'!$J$4:$J$1753,N$1)</f>
        <v>0</v>
      </c>
      <c r="O78" s="80">
        <f>SUMIFS('май 2024'!$G$4:$G$1753,'май 2024'!$D$4:$D$1753,$B78,'май 2024'!$J$4:$J$1753,O$1)</f>
        <v>0</v>
      </c>
      <c r="P78" s="80">
        <f>SUMIFS('май 2024'!$G$4:$G$1753,'май 2024'!$D$4:$D$1753,$B78,'май 2024'!$J$4:$J$1753,P$1)</f>
        <v>0</v>
      </c>
      <c r="Q78" s="80">
        <f>SUMIFS('май 2024'!$G$4:$G$1753,'май 2024'!$D$4:$D$1753,$B78,'май 2024'!$J$4:$J$1753,Q$1)</f>
        <v>0</v>
      </c>
      <c r="R78" s="80">
        <f>SUMIFS('май 2024'!$G$4:$G$1753,'май 2024'!$D$4:$D$1753,$B78,'май 2024'!$J$4:$J$1753,R$1)</f>
        <v>0</v>
      </c>
      <c r="S78" s="80">
        <f>SUMIFS('май 2024'!$G$4:$G$1753,'май 2024'!$D$4:$D$1753,$B78,'май 2024'!$J$4:$J$1753,S$1)</f>
        <v>0</v>
      </c>
      <c r="T78" s="80">
        <f>SUMIFS('май 2024'!$G$4:$G$1753,'май 2024'!$D$4:$D$1753,$B78,'май 2024'!$J$4:$J$1753,T$1)</f>
        <v>0</v>
      </c>
      <c r="U78" s="80">
        <f>SUMIFS('май 2024'!$G$4:$G$1753,'май 2024'!$D$4:$D$1753,$B78,'май 2024'!$J$4:$J$1753,U$1)</f>
        <v>0</v>
      </c>
      <c r="V78" s="80">
        <f>SUMIFS('май 2024'!$G$4:$G$1753,'май 2024'!$D$4:$D$1753,$B78,'май 2024'!$J$4:$J$1753,V$1)</f>
        <v>0</v>
      </c>
      <c r="W78" s="80">
        <f>SUMIFS('май 2024'!$G$4:$G$1753,'май 2024'!$D$4:$D$1753,$B78,'май 2024'!$J$4:$J$1753,W$1)</f>
        <v>0</v>
      </c>
      <c r="X78" s="80">
        <f>SUMIFS('май 2024'!$G$4:$G$1753,'май 2024'!$D$4:$D$1753,$B78,'май 2024'!$J$4:$J$1753,X$1)</f>
        <v>0</v>
      </c>
      <c r="Y78" s="80">
        <f>SUMIFS('май 2024'!$G$4:$G$1753,'май 2024'!$D$4:$D$1753,$B78,'май 2024'!$J$4:$J$1753,Y$1)</f>
        <v>0</v>
      </c>
      <c r="Z78" s="80">
        <f>SUMIFS('май 2024'!$G$4:$G$1753,'май 2024'!$D$4:$D$1753,$B78,'май 2024'!$J$4:$J$1753,Z$1)</f>
        <v>0</v>
      </c>
      <c r="AA78" s="80">
        <f>SUMIFS('май 2024'!$G$4:$G$1753,'май 2024'!$D$4:$D$1753,$B78,'май 2024'!$J$4:$J$1753,AA$1)</f>
        <v>0</v>
      </c>
      <c r="AB78" s="80">
        <f>SUMIFS('май 2024'!$G$4:$G$1753,'май 2024'!$D$4:$D$1753,$B78,'май 2024'!$J$4:$J$1753,AB$1)</f>
        <v>0</v>
      </c>
      <c r="AC78" s="80">
        <f>SUMIFS('май 2024'!$G$4:$G$1753,'май 2024'!$D$4:$D$1753,$B78,'май 2024'!$J$4:$J$1753,AC$1)</f>
        <v>0</v>
      </c>
      <c r="AD78" s="80">
        <f>SUMIFS('май 2024'!$G$4:$G$1753,'май 2024'!$D$4:$D$1753,$B78,'май 2024'!$J$4:$J$1753,AD$1)</f>
        <v>0</v>
      </c>
      <c r="AE78" s="80">
        <f>SUMIFS('май 2024'!$G$4:$G$1753,'май 2024'!$D$4:$D$1753,$B78,'май 2024'!$J$4:$J$1753,AE$1)</f>
        <v>0</v>
      </c>
      <c r="AF78" s="80">
        <f>SUMIFS('май 2024'!$G$4:$G$1753,'май 2024'!$D$4:$D$1753,$B78,'май 2024'!$J$4:$J$1753,AF$1)</f>
        <v>0</v>
      </c>
      <c r="AG78" s="80">
        <f>SUMIFS('май 2024'!$G$4:$G$1753,'май 2024'!$D$4:$D$1753,$B78,'май 2024'!$J$4:$J$1753,AG$1)</f>
        <v>0</v>
      </c>
      <c r="AH78" s="80">
        <f>SUMIFS('май 2024'!$G$4:$G$1753,'май 2024'!$D$4:$D$1753,$B78,'май 2024'!$J$4:$J$1753,AH$1)</f>
        <v>0</v>
      </c>
      <c r="AI78" s="21">
        <f t="shared" si="1"/>
        <v>0</v>
      </c>
    </row>
    <row r="79" spans="2:35" ht="15" customHeight="1" x14ac:dyDescent="0.25">
      <c r="B79" s="89" t="s">
        <v>199</v>
      </c>
      <c r="C79" s="88">
        <v>180</v>
      </c>
      <c r="D79" s="80">
        <f>SUMIFS('май 2024'!$G$4:$G$1753,'май 2024'!$D$4:$D$1753,$B79,'май 2024'!$J$4:$J$1753,D$1)</f>
        <v>0</v>
      </c>
      <c r="E79" s="80">
        <f>SUMIFS('май 2024'!$G$4:$G$1753,'май 2024'!$D$4:$D$1753,$B79,'май 2024'!$J$4:$J$1753,E$1)</f>
        <v>0</v>
      </c>
      <c r="F79" s="80">
        <f>SUMIFS('май 2024'!$G$4:$G$1753,'май 2024'!$D$4:$D$1753,$B79,'май 2024'!$J$4:$J$1753,F$1)</f>
        <v>0</v>
      </c>
      <c r="G79" s="80">
        <f>SUMIFS('май 2024'!$G$4:$G$1753,'май 2024'!$D$4:$D$1753,$B79,'май 2024'!$J$4:$J$1753,G$1)</f>
        <v>0</v>
      </c>
      <c r="H79" s="80">
        <f>SUMIFS('май 2024'!$G$4:$G$1753,'май 2024'!$D$4:$D$1753,$B79,'май 2024'!$J$4:$J$1753,H$1)</f>
        <v>0</v>
      </c>
      <c r="I79" s="80">
        <f>SUMIFS('май 2024'!$G$4:$G$1753,'май 2024'!$D$4:$D$1753,$B79,'май 2024'!$J$4:$J$1753,I$1)</f>
        <v>0</v>
      </c>
      <c r="J79" s="80">
        <f>SUMIFS('май 2024'!$G$4:$G$1753,'май 2024'!$D$4:$D$1753,$B79,'май 2024'!$J$4:$J$1753,J$1)</f>
        <v>0</v>
      </c>
      <c r="K79" s="80">
        <f>SUMIFS('май 2024'!$G$4:$G$1753,'май 2024'!$D$4:$D$1753,$B79,'май 2024'!$J$4:$J$1753,K$1)</f>
        <v>0</v>
      </c>
      <c r="L79" s="80">
        <f>SUMIFS('май 2024'!$G$4:$G$1753,'май 2024'!$D$4:$D$1753,$B79,'май 2024'!$J$4:$J$1753,L$1)</f>
        <v>0</v>
      </c>
      <c r="M79" s="80">
        <f>SUMIFS('май 2024'!$G$4:$G$1753,'май 2024'!$D$4:$D$1753,$B79,'май 2024'!$J$4:$J$1753,M$1)</f>
        <v>0</v>
      </c>
      <c r="N79" s="80">
        <f>SUMIFS('май 2024'!$G$4:$G$1753,'май 2024'!$D$4:$D$1753,$B79,'май 2024'!$J$4:$J$1753,N$1)</f>
        <v>0</v>
      </c>
      <c r="O79" s="80">
        <f>SUMIFS('май 2024'!$G$4:$G$1753,'май 2024'!$D$4:$D$1753,$B79,'май 2024'!$J$4:$J$1753,O$1)</f>
        <v>0</v>
      </c>
      <c r="P79" s="80">
        <f>SUMIFS('май 2024'!$G$4:$G$1753,'май 2024'!$D$4:$D$1753,$B79,'май 2024'!$J$4:$J$1753,P$1)</f>
        <v>0</v>
      </c>
      <c r="Q79" s="80">
        <f>SUMIFS('май 2024'!$G$4:$G$1753,'май 2024'!$D$4:$D$1753,$B79,'май 2024'!$J$4:$J$1753,Q$1)</f>
        <v>0</v>
      </c>
      <c r="R79" s="80">
        <f>SUMIFS('май 2024'!$G$4:$G$1753,'май 2024'!$D$4:$D$1753,$B79,'май 2024'!$J$4:$J$1753,R$1)</f>
        <v>0</v>
      </c>
      <c r="S79" s="80">
        <f>SUMIFS('май 2024'!$G$4:$G$1753,'май 2024'!$D$4:$D$1753,$B79,'май 2024'!$J$4:$J$1753,S$1)</f>
        <v>0</v>
      </c>
      <c r="T79" s="80">
        <f>SUMIFS('май 2024'!$G$4:$G$1753,'май 2024'!$D$4:$D$1753,$B79,'май 2024'!$J$4:$J$1753,T$1)</f>
        <v>0</v>
      </c>
      <c r="U79" s="80">
        <f>SUMIFS('май 2024'!$G$4:$G$1753,'май 2024'!$D$4:$D$1753,$B79,'май 2024'!$J$4:$J$1753,U$1)</f>
        <v>0</v>
      </c>
      <c r="V79" s="80">
        <f>SUMIFS('май 2024'!$G$4:$G$1753,'май 2024'!$D$4:$D$1753,$B79,'май 2024'!$J$4:$J$1753,V$1)</f>
        <v>0</v>
      </c>
      <c r="W79" s="80">
        <f>SUMIFS('май 2024'!$G$4:$G$1753,'май 2024'!$D$4:$D$1753,$B79,'май 2024'!$J$4:$J$1753,W$1)</f>
        <v>0</v>
      </c>
      <c r="X79" s="80">
        <f>SUMIFS('май 2024'!$G$4:$G$1753,'май 2024'!$D$4:$D$1753,$B79,'май 2024'!$J$4:$J$1753,X$1)</f>
        <v>0</v>
      </c>
      <c r="Y79" s="80">
        <f>SUMIFS('май 2024'!$G$4:$G$1753,'май 2024'!$D$4:$D$1753,$B79,'май 2024'!$J$4:$J$1753,Y$1)</f>
        <v>0</v>
      </c>
      <c r="Z79" s="80">
        <f>SUMIFS('май 2024'!$G$4:$G$1753,'май 2024'!$D$4:$D$1753,$B79,'май 2024'!$J$4:$J$1753,Z$1)</f>
        <v>0</v>
      </c>
      <c r="AA79" s="80">
        <f>SUMIFS('май 2024'!$G$4:$G$1753,'май 2024'!$D$4:$D$1753,$B79,'май 2024'!$J$4:$J$1753,AA$1)</f>
        <v>0</v>
      </c>
      <c r="AB79" s="80">
        <f>SUMIFS('май 2024'!$G$4:$G$1753,'май 2024'!$D$4:$D$1753,$B79,'май 2024'!$J$4:$J$1753,AB$1)</f>
        <v>0</v>
      </c>
      <c r="AC79" s="80">
        <f>SUMIFS('май 2024'!$G$4:$G$1753,'май 2024'!$D$4:$D$1753,$B79,'май 2024'!$J$4:$J$1753,AC$1)</f>
        <v>0</v>
      </c>
      <c r="AD79" s="80">
        <f>SUMIFS('май 2024'!$G$4:$G$1753,'май 2024'!$D$4:$D$1753,$B79,'май 2024'!$J$4:$J$1753,AD$1)</f>
        <v>0</v>
      </c>
      <c r="AE79" s="80">
        <f>SUMIFS('май 2024'!$G$4:$G$1753,'май 2024'!$D$4:$D$1753,$B79,'май 2024'!$J$4:$J$1753,AE$1)</f>
        <v>0</v>
      </c>
      <c r="AF79" s="80">
        <f>SUMIFS('май 2024'!$G$4:$G$1753,'май 2024'!$D$4:$D$1753,$B79,'май 2024'!$J$4:$J$1753,AF$1)</f>
        <v>0</v>
      </c>
      <c r="AG79" s="80">
        <f>SUMIFS('май 2024'!$G$4:$G$1753,'май 2024'!$D$4:$D$1753,$B79,'май 2024'!$J$4:$J$1753,AG$1)</f>
        <v>0</v>
      </c>
      <c r="AH79" s="80">
        <f>SUMIFS('май 2024'!$G$4:$G$1753,'май 2024'!$D$4:$D$1753,$B79,'май 2024'!$J$4:$J$1753,AH$1)</f>
        <v>0</v>
      </c>
      <c r="AI79" s="21">
        <f t="shared" si="1"/>
        <v>0</v>
      </c>
    </row>
    <row r="80" spans="2:35" ht="15" customHeight="1" x14ac:dyDescent="0.25">
      <c r="B80" s="93" t="s">
        <v>200</v>
      </c>
      <c r="C80" s="91">
        <v>190</v>
      </c>
      <c r="D80" s="80">
        <f>SUMIFS('май 2024'!$G$4:$G$1753,'май 2024'!$D$4:$D$1753,$B80,'май 2024'!$J$4:$J$1753,D$1)</f>
        <v>0</v>
      </c>
      <c r="E80" s="80">
        <f>SUMIFS('май 2024'!$G$4:$G$1753,'май 2024'!$D$4:$D$1753,$B80,'май 2024'!$J$4:$J$1753,E$1)</f>
        <v>0</v>
      </c>
      <c r="F80" s="80">
        <f>SUMIFS('май 2024'!$G$4:$G$1753,'май 2024'!$D$4:$D$1753,$B80,'май 2024'!$J$4:$J$1753,F$1)</f>
        <v>0</v>
      </c>
      <c r="G80" s="80">
        <f>SUMIFS('май 2024'!$G$4:$G$1753,'май 2024'!$D$4:$D$1753,$B80,'май 2024'!$J$4:$J$1753,G$1)</f>
        <v>0</v>
      </c>
      <c r="H80" s="80">
        <f>SUMIFS('май 2024'!$G$4:$G$1753,'май 2024'!$D$4:$D$1753,$B80,'май 2024'!$J$4:$J$1753,H$1)</f>
        <v>0</v>
      </c>
      <c r="I80" s="80">
        <f>SUMIFS('май 2024'!$G$4:$G$1753,'май 2024'!$D$4:$D$1753,$B80,'май 2024'!$J$4:$J$1753,I$1)</f>
        <v>0</v>
      </c>
      <c r="J80" s="80">
        <f>SUMIFS('май 2024'!$G$4:$G$1753,'май 2024'!$D$4:$D$1753,$B80,'май 2024'!$J$4:$J$1753,J$1)</f>
        <v>52</v>
      </c>
      <c r="K80" s="80">
        <f>SUMIFS('май 2024'!$G$4:$G$1753,'май 2024'!$D$4:$D$1753,$B80,'май 2024'!$J$4:$J$1753,K$1)</f>
        <v>0</v>
      </c>
      <c r="L80" s="80">
        <f>SUMIFS('май 2024'!$G$4:$G$1753,'май 2024'!$D$4:$D$1753,$B80,'май 2024'!$J$4:$J$1753,L$1)</f>
        <v>0</v>
      </c>
      <c r="M80" s="80">
        <f>SUMIFS('май 2024'!$G$4:$G$1753,'май 2024'!$D$4:$D$1753,$B80,'май 2024'!$J$4:$J$1753,M$1)</f>
        <v>0</v>
      </c>
      <c r="N80" s="80">
        <f>SUMIFS('май 2024'!$G$4:$G$1753,'май 2024'!$D$4:$D$1753,$B80,'май 2024'!$J$4:$J$1753,N$1)</f>
        <v>0</v>
      </c>
      <c r="O80" s="80">
        <f>SUMIFS('май 2024'!$G$4:$G$1753,'май 2024'!$D$4:$D$1753,$B80,'май 2024'!$J$4:$J$1753,O$1)</f>
        <v>0</v>
      </c>
      <c r="P80" s="80">
        <f>SUMIFS('май 2024'!$G$4:$G$1753,'май 2024'!$D$4:$D$1753,$B80,'май 2024'!$J$4:$J$1753,P$1)</f>
        <v>0</v>
      </c>
      <c r="Q80" s="80">
        <f>SUMIFS('май 2024'!$G$4:$G$1753,'май 2024'!$D$4:$D$1753,$B80,'май 2024'!$J$4:$J$1753,Q$1)</f>
        <v>0</v>
      </c>
      <c r="R80" s="80">
        <f>SUMIFS('май 2024'!$G$4:$G$1753,'май 2024'!$D$4:$D$1753,$B80,'май 2024'!$J$4:$J$1753,R$1)</f>
        <v>0</v>
      </c>
      <c r="S80" s="80">
        <f>SUMIFS('май 2024'!$G$4:$G$1753,'май 2024'!$D$4:$D$1753,$B80,'май 2024'!$J$4:$J$1753,S$1)</f>
        <v>0</v>
      </c>
      <c r="T80" s="80">
        <f>SUMIFS('май 2024'!$G$4:$G$1753,'май 2024'!$D$4:$D$1753,$B80,'май 2024'!$J$4:$J$1753,T$1)</f>
        <v>0</v>
      </c>
      <c r="U80" s="80">
        <f>SUMIFS('май 2024'!$G$4:$G$1753,'май 2024'!$D$4:$D$1753,$B80,'май 2024'!$J$4:$J$1753,U$1)</f>
        <v>0</v>
      </c>
      <c r="V80" s="80">
        <f>SUMIFS('май 2024'!$G$4:$G$1753,'май 2024'!$D$4:$D$1753,$B80,'май 2024'!$J$4:$J$1753,V$1)</f>
        <v>0</v>
      </c>
      <c r="W80" s="80">
        <f>SUMIFS('май 2024'!$G$4:$G$1753,'май 2024'!$D$4:$D$1753,$B80,'май 2024'!$J$4:$J$1753,W$1)</f>
        <v>0</v>
      </c>
      <c r="X80" s="80">
        <f>SUMIFS('май 2024'!$G$4:$G$1753,'май 2024'!$D$4:$D$1753,$B80,'май 2024'!$J$4:$J$1753,X$1)</f>
        <v>0</v>
      </c>
      <c r="Y80" s="80">
        <f>SUMIFS('май 2024'!$G$4:$G$1753,'май 2024'!$D$4:$D$1753,$B80,'май 2024'!$J$4:$J$1753,Y$1)</f>
        <v>0</v>
      </c>
      <c r="Z80" s="80">
        <f>SUMIFS('май 2024'!$G$4:$G$1753,'май 2024'!$D$4:$D$1753,$B80,'май 2024'!$J$4:$J$1753,Z$1)</f>
        <v>0</v>
      </c>
      <c r="AA80" s="80">
        <f>SUMIFS('май 2024'!$G$4:$G$1753,'май 2024'!$D$4:$D$1753,$B80,'май 2024'!$J$4:$J$1753,AA$1)</f>
        <v>0</v>
      </c>
      <c r="AB80" s="80">
        <f>SUMIFS('май 2024'!$G$4:$G$1753,'май 2024'!$D$4:$D$1753,$B80,'май 2024'!$J$4:$J$1753,AB$1)</f>
        <v>0</v>
      </c>
      <c r="AC80" s="80">
        <f>SUMIFS('май 2024'!$G$4:$G$1753,'май 2024'!$D$4:$D$1753,$B80,'май 2024'!$J$4:$J$1753,AC$1)</f>
        <v>0</v>
      </c>
      <c r="AD80" s="80">
        <f>SUMIFS('май 2024'!$G$4:$G$1753,'май 2024'!$D$4:$D$1753,$B80,'май 2024'!$J$4:$J$1753,AD$1)</f>
        <v>0</v>
      </c>
      <c r="AE80" s="80">
        <f>SUMIFS('май 2024'!$G$4:$G$1753,'май 2024'!$D$4:$D$1753,$B80,'май 2024'!$J$4:$J$1753,AE$1)</f>
        <v>0</v>
      </c>
      <c r="AF80" s="80">
        <f>SUMIFS('май 2024'!$G$4:$G$1753,'май 2024'!$D$4:$D$1753,$B80,'май 2024'!$J$4:$J$1753,AF$1)</f>
        <v>0</v>
      </c>
      <c r="AG80" s="80">
        <f>SUMIFS('май 2024'!$G$4:$G$1753,'май 2024'!$D$4:$D$1753,$B80,'май 2024'!$J$4:$J$1753,AG$1)</f>
        <v>0</v>
      </c>
      <c r="AH80" s="80">
        <f>SUMIFS('май 2024'!$G$4:$G$1753,'май 2024'!$D$4:$D$1753,$B80,'май 2024'!$J$4:$J$1753,AH$1)</f>
        <v>0</v>
      </c>
      <c r="AI80" s="21">
        <f t="shared" si="1"/>
        <v>52</v>
      </c>
    </row>
    <row r="81" spans="2:35" ht="15" customHeight="1" x14ac:dyDescent="0.25">
      <c r="B81" s="93" t="s">
        <v>201</v>
      </c>
      <c r="C81" s="91">
        <v>190</v>
      </c>
      <c r="D81" s="80">
        <f>SUMIFS('май 2024'!$G$4:$G$1753,'май 2024'!$D$4:$D$1753,$B81,'май 2024'!$J$4:$J$1753,D$1)</f>
        <v>0</v>
      </c>
      <c r="E81" s="80">
        <f>SUMIFS('май 2024'!$G$4:$G$1753,'май 2024'!$D$4:$D$1753,$B81,'май 2024'!$J$4:$J$1753,E$1)</f>
        <v>0</v>
      </c>
      <c r="F81" s="80">
        <f>SUMIFS('май 2024'!$G$4:$G$1753,'май 2024'!$D$4:$D$1753,$B81,'май 2024'!$J$4:$J$1753,F$1)</f>
        <v>0</v>
      </c>
      <c r="G81" s="80">
        <f>SUMIFS('май 2024'!$G$4:$G$1753,'май 2024'!$D$4:$D$1753,$B81,'май 2024'!$J$4:$J$1753,G$1)</f>
        <v>0</v>
      </c>
      <c r="H81" s="80">
        <f>SUMIFS('май 2024'!$G$4:$G$1753,'май 2024'!$D$4:$D$1753,$B81,'май 2024'!$J$4:$J$1753,H$1)</f>
        <v>0</v>
      </c>
      <c r="I81" s="80">
        <f>SUMIFS('май 2024'!$G$4:$G$1753,'май 2024'!$D$4:$D$1753,$B81,'май 2024'!$J$4:$J$1753,I$1)</f>
        <v>0</v>
      </c>
      <c r="J81" s="80">
        <f>SUMIFS('май 2024'!$G$4:$G$1753,'май 2024'!$D$4:$D$1753,$B81,'май 2024'!$J$4:$J$1753,J$1)</f>
        <v>0</v>
      </c>
      <c r="K81" s="80">
        <f>SUMIFS('май 2024'!$G$4:$G$1753,'май 2024'!$D$4:$D$1753,$B81,'май 2024'!$J$4:$J$1753,K$1)</f>
        <v>0</v>
      </c>
      <c r="L81" s="80">
        <f>SUMIFS('май 2024'!$G$4:$G$1753,'май 2024'!$D$4:$D$1753,$B81,'май 2024'!$J$4:$J$1753,L$1)</f>
        <v>0</v>
      </c>
      <c r="M81" s="80">
        <f>SUMIFS('май 2024'!$G$4:$G$1753,'май 2024'!$D$4:$D$1753,$B81,'май 2024'!$J$4:$J$1753,M$1)</f>
        <v>0</v>
      </c>
      <c r="N81" s="80">
        <f>SUMIFS('май 2024'!$G$4:$G$1753,'май 2024'!$D$4:$D$1753,$B81,'май 2024'!$J$4:$J$1753,N$1)</f>
        <v>0</v>
      </c>
      <c r="O81" s="80">
        <f>SUMIFS('май 2024'!$G$4:$G$1753,'май 2024'!$D$4:$D$1753,$B81,'май 2024'!$J$4:$J$1753,O$1)</f>
        <v>0</v>
      </c>
      <c r="P81" s="80">
        <f>SUMIFS('май 2024'!$G$4:$G$1753,'май 2024'!$D$4:$D$1753,$B81,'май 2024'!$J$4:$J$1753,P$1)</f>
        <v>0</v>
      </c>
      <c r="Q81" s="80">
        <f>SUMIFS('май 2024'!$G$4:$G$1753,'май 2024'!$D$4:$D$1753,$B81,'май 2024'!$J$4:$J$1753,Q$1)</f>
        <v>0</v>
      </c>
      <c r="R81" s="80">
        <f>SUMIFS('май 2024'!$G$4:$G$1753,'май 2024'!$D$4:$D$1753,$B81,'май 2024'!$J$4:$J$1753,R$1)</f>
        <v>0</v>
      </c>
      <c r="S81" s="80">
        <f>SUMIFS('май 2024'!$G$4:$G$1753,'май 2024'!$D$4:$D$1753,$B81,'май 2024'!$J$4:$J$1753,S$1)</f>
        <v>0</v>
      </c>
      <c r="T81" s="80">
        <f>SUMIFS('май 2024'!$G$4:$G$1753,'май 2024'!$D$4:$D$1753,$B81,'май 2024'!$J$4:$J$1753,T$1)</f>
        <v>0</v>
      </c>
      <c r="U81" s="80">
        <f>SUMIFS('май 2024'!$G$4:$G$1753,'май 2024'!$D$4:$D$1753,$B81,'май 2024'!$J$4:$J$1753,U$1)</f>
        <v>0</v>
      </c>
      <c r="V81" s="80">
        <f>SUMIFS('май 2024'!$G$4:$G$1753,'май 2024'!$D$4:$D$1753,$B81,'май 2024'!$J$4:$J$1753,V$1)</f>
        <v>0</v>
      </c>
      <c r="W81" s="80">
        <f>SUMIFS('май 2024'!$G$4:$G$1753,'май 2024'!$D$4:$D$1753,$B81,'май 2024'!$J$4:$J$1753,W$1)</f>
        <v>0</v>
      </c>
      <c r="X81" s="80">
        <f>SUMIFS('май 2024'!$G$4:$G$1753,'май 2024'!$D$4:$D$1753,$B81,'май 2024'!$J$4:$J$1753,X$1)</f>
        <v>0</v>
      </c>
      <c r="Y81" s="80">
        <f>SUMIFS('май 2024'!$G$4:$G$1753,'май 2024'!$D$4:$D$1753,$B81,'май 2024'!$J$4:$J$1753,Y$1)</f>
        <v>0</v>
      </c>
      <c r="Z81" s="80">
        <f>SUMIFS('май 2024'!$G$4:$G$1753,'май 2024'!$D$4:$D$1753,$B81,'май 2024'!$J$4:$J$1753,Z$1)</f>
        <v>0</v>
      </c>
      <c r="AA81" s="80">
        <f>SUMIFS('май 2024'!$G$4:$G$1753,'май 2024'!$D$4:$D$1753,$B81,'май 2024'!$J$4:$J$1753,AA$1)</f>
        <v>0</v>
      </c>
      <c r="AB81" s="80">
        <f>SUMIFS('май 2024'!$G$4:$G$1753,'май 2024'!$D$4:$D$1753,$B81,'май 2024'!$J$4:$J$1753,AB$1)</f>
        <v>0</v>
      </c>
      <c r="AC81" s="80">
        <f>SUMIFS('май 2024'!$G$4:$G$1753,'май 2024'!$D$4:$D$1753,$B81,'май 2024'!$J$4:$J$1753,AC$1)</f>
        <v>0</v>
      </c>
      <c r="AD81" s="80">
        <f>SUMIFS('май 2024'!$G$4:$G$1753,'май 2024'!$D$4:$D$1753,$B81,'май 2024'!$J$4:$J$1753,AD$1)</f>
        <v>0</v>
      </c>
      <c r="AE81" s="80">
        <f>SUMIFS('май 2024'!$G$4:$G$1753,'май 2024'!$D$4:$D$1753,$B81,'май 2024'!$J$4:$J$1753,AE$1)</f>
        <v>0</v>
      </c>
      <c r="AF81" s="80">
        <f>SUMIFS('май 2024'!$G$4:$G$1753,'май 2024'!$D$4:$D$1753,$B81,'май 2024'!$J$4:$J$1753,AF$1)</f>
        <v>0</v>
      </c>
      <c r="AG81" s="80">
        <f>SUMIFS('май 2024'!$G$4:$G$1753,'май 2024'!$D$4:$D$1753,$B81,'май 2024'!$J$4:$J$1753,AG$1)</f>
        <v>0</v>
      </c>
      <c r="AH81" s="80">
        <f>SUMIFS('май 2024'!$G$4:$G$1753,'май 2024'!$D$4:$D$1753,$B81,'май 2024'!$J$4:$J$1753,AH$1)</f>
        <v>0</v>
      </c>
      <c r="AI81" s="21">
        <f t="shared" si="1"/>
        <v>0</v>
      </c>
    </row>
    <row r="82" spans="2:35" ht="15" customHeight="1" x14ac:dyDescent="0.25">
      <c r="B82" s="93" t="s">
        <v>202</v>
      </c>
      <c r="C82" s="91">
        <v>900</v>
      </c>
      <c r="D82" s="80">
        <f>SUMIFS('май 2024'!$G$4:$G$1753,'май 2024'!$D$4:$D$1753,$B82,'май 2024'!$J$4:$J$1753,D$1)</f>
        <v>0</v>
      </c>
      <c r="E82" s="80">
        <f>SUMIFS('май 2024'!$G$4:$G$1753,'май 2024'!$D$4:$D$1753,$B82,'май 2024'!$J$4:$J$1753,E$1)</f>
        <v>0</v>
      </c>
      <c r="F82" s="80">
        <f>SUMIFS('май 2024'!$G$4:$G$1753,'май 2024'!$D$4:$D$1753,$B82,'май 2024'!$J$4:$J$1753,F$1)</f>
        <v>0</v>
      </c>
      <c r="G82" s="80">
        <f>SUMIFS('май 2024'!$G$4:$G$1753,'май 2024'!$D$4:$D$1753,$B82,'май 2024'!$J$4:$J$1753,G$1)</f>
        <v>0</v>
      </c>
      <c r="H82" s="80">
        <f>SUMIFS('май 2024'!$G$4:$G$1753,'май 2024'!$D$4:$D$1753,$B82,'май 2024'!$J$4:$J$1753,H$1)</f>
        <v>0</v>
      </c>
      <c r="I82" s="80">
        <f>SUMIFS('май 2024'!$G$4:$G$1753,'май 2024'!$D$4:$D$1753,$B82,'май 2024'!$J$4:$J$1753,I$1)</f>
        <v>0</v>
      </c>
      <c r="J82" s="80">
        <f>SUMIFS('май 2024'!$G$4:$G$1753,'май 2024'!$D$4:$D$1753,$B82,'май 2024'!$J$4:$J$1753,J$1)</f>
        <v>0</v>
      </c>
      <c r="K82" s="80">
        <f>SUMIFS('май 2024'!$G$4:$G$1753,'май 2024'!$D$4:$D$1753,$B82,'май 2024'!$J$4:$J$1753,K$1)</f>
        <v>0</v>
      </c>
      <c r="L82" s="80">
        <f>SUMIFS('май 2024'!$G$4:$G$1753,'май 2024'!$D$4:$D$1753,$B82,'май 2024'!$J$4:$J$1753,L$1)</f>
        <v>0</v>
      </c>
      <c r="M82" s="80">
        <f>SUMIFS('май 2024'!$G$4:$G$1753,'май 2024'!$D$4:$D$1753,$B82,'май 2024'!$J$4:$J$1753,M$1)</f>
        <v>0</v>
      </c>
      <c r="N82" s="80">
        <f>SUMIFS('май 2024'!$G$4:$G$1753,'май 2024'!$D$4:$D$1753,$B82,'май 2024'!$J$4:$J$1753,N$1)</f>
        <v>0</v>
      </c>
      <c r="O82" s="80">
        <f>SUMIFS('май 2024'!$G$4:$G$1753,'май 2024'!$D$4:$D$1753,$B82,'май 2024'!$J$4:$J$1753,O$1)</f>
        <v>0</v>
      </c>
      <c r="P82" s="80">
        <f>SUMIFS('май 2024'!$G$4:$G$1753,'май 2024'!$D$4:$D$1753,$B82,'май 2024'!$J$4:$J$1753,P$1)</f>
        <v>0</v>
      </c>
      <c r="Q82" s="80">
        <f>SUMIFS('май 2024'!$G$4:$G$1753,'май 2024'!$D$4:$D$1753,$B82,'май 2024'!$J$4:$J$1753,Q$1)</f>
        <v>0</v>
      </c>
      <c r="R82" s="80">
        <f>SUMIFS('май 2024'!$G$4:$G$1753,'май 2024'!$D$4:$D$1753,$B82,'май 2024'!$J$4:$J$1753,R$1)</f>
        <v>0</v>
      </c>
      <c r="S82" s="80">
        <f>SUMIFS('май 2024'!$G$4:$G$1753,'май 2024'!$D$4:$D$1753,$B82,'май 2024'!$J$4:$J$1753,S$1)</f>
        <v>0</v>
      </c>
      <c r="T82" s="80">
        <f>SUMIFS('май 2024'!$G$4:$G$1753,'май 2024'!$D$4:$D$1753,$B82,'май 2024'!$J$4:$J$1753,T$1)</f>
        <v>0</v>
      </c>
      <c r="U82" s="80">
        <f>SUMIFS('май 2024'!$G$4:$G$1753,'май 2024'!$D$4:$D$1753,$B82,'май 2024'!$J$4:$J$1753,U$1)</f>
        <v>0</v>
      </c>
      <c r="V82" s="80">
        <f>SUMIFS('май 2024'!$G$4:$G$1753,'май 2024'!$D$4:$D$1753,$B82,'май 2024'!$J$4:$J$1753,V$1)</f>
        <v>0</v>
      </c>
      <c r="W82" s="80">
        <f>SUMIFS('май 2024'!$G$4:$G$1753,'май 2024'!$D$4:$D$1753,$B82,'май 2024'!$J$4:$J$1753,W$1)</f>
        <v>0</v>
      </c>
      <c r="X82" s="80">
        <f>SUMIFS('май 2024'!$G$4:$G$1753,'май 2024'!$D$4:$D$1753,$B82,'май 2024'!$J$4:$J$1753,X$1)</f>
        <v>0</v>
      </c>
      <c r="Y82" s="80">
        <f>SUMIFS('май 2024'!$G$4:$G$1753,'май 2024'!$D$4:$D$1753,$B82,'май 2024'!$J$4:$J$1753,Y$1)</f>
        <v>0</v>
      </c>
      <c r="Z82" s="80">
        <f>SUMIFS('май 2024'!$G$4:$G$1753,'май 2024'!$D$4:$D$1753,$B82,'май 2024'!$J$4:$J$1753,Z$1)</f>
        <v>0</v>
      </c>
      <c r="AA82" s="80">
        <f>SUMIFS('май 2024'!$G$4:$G$1753,'май 2024'!$D$4:$D$1753,$B82,'май 2024'!$J$4:$J$1753,AA$1)</f>
        <v>0</v>
      </c>
      <c r="AB82" s="80">
        <f>SUMIFS('май 2024'!$G$4:$G$1753,'май 2024'!$D$4:$D$1753,$B82,'май 2024'!$J$4:$J$1753,AB$1)</f>
        <v>0</v>
      </c>
      <c r="AC82" s="80">
        <f>SUMIFS('май 2024'!$G$4:$G$1753,'май 2024'!$D$4:$D$1753,$B82,'май 2024'!$J$4:$J$1753,AC$1)</f>
        <v>0</v>
      </c>
      <c r="AD82" s="80">
        <f>SUMIFS('май 2024'!$G$4:$G$1753,'май 2024'!$D$4:$D$1753,$B82,'май 2024'!$J$4:$J$1753,AD$1)</f>
        <v>0</v>
      </c>
      <c r="AE82" s="80">
        <f>SUMIFS('май 2024'!$G$4:$G$1753,'май 2024'!$D$4:$D$1753,$B82,'май 2024'!$J$4:$J$1753,AE$1)</f>
        <v>0</v>
      </c>
      <c r="AF82" s="80">
        <f>SUMIFS('май 2024'!$G$4:$G$1753,'май 2024'!$D$4:$D$1753,$B82,'май 2024'!$J$4:$J$1753,AF$1)</f>
        <v>0</v>
      </c>
      <c r="AG82" s="80">
        <f>SUMIFS('май 2024'!$G$4:$G$1753,'май 2024'!$D$4:$D$1753,$B82,'май 2024'!$J$4:$J$1753,AG$1)</f>
        <v>0</v>
      </c>
      <c r="AH82" s="80">
        <f>SUMIFS('май 2024'!$G$4:$G$1753,'май 2024'!$D$4:$D$1753,$B82,'май 2024'!$J$4:$J$1753,AH$1)</f>
        <v>0</v>
      </c>
      <c r="AI82" s="21">
        <f t="shared" si="1"/>
        <v>0</v>
      </c>
    </row>
    <row r="83" spans="2:35" ht="15" customHeight="1" x14ac:dyDescent="0.25">
      <c r="B83" s="89" t="s">
        <v>196</v>
      </c>
      <c r="C83" s="88">
        <v>190</v>
      </c>
      <c r="D83" s="80">
        <f>SUMIFS('май 2024'!$G$4:$G$1753,'май 2024'!$D$4:$D$1753,$B83,'май 2024'!$J$4:$J$1753,D$1)</f>
        <v>0</v>
      </c>
      <c r="E83" s="80">
        <f>SUMIFS('май 2024'!$G$4:$G$1753,'май 2024'!$D$4:$D$1753,$B83,'май 2024'!$J$4:$J$1753,E$1)</f>
        <v>0</v>
      </c>
      <c r="F83" s="80">
        <f>SUMIFS('май 2024'!$G$4:$G$1753,'май 2024'!$D$4:$D$1753,$B83,'май 2024'!$J$4:$J$1753,F$1)</f>
        <v>0</v>
      </c>
      <c r="G83" s="80">
        <f>SUMIFS('май 2024'!$G$4:$G$1753,'май 2024'!$D$4:$D$1753,$B83,'май 2024'!$J$4:$J$1753,G$1)</f>
        <v>0</v>
      </c>
      <c r="H83" s="80">
        <f>SUMIFS('май 2024'!$G$4:$G$1753,'май 2024'!$D$4:$D$1753,$B83,'май 2024'!$J$4:$J$1753,H$1)</f>
        <v>0</v>
      </c>
      <c r="I83" s="80">
        <f>SUMIFS('май 2024'!$G$4:$G$1753,'май 2024'!$D$4:$D$1753,$B83,'май 2024'!$J$4:$J$1753,I$1)</f>
        <v>0</v>
      </c>
      <c r="J83" s="80">
        <f>SUMIFS('май 2024'!$G$4:$G$1753,'май 2024'!$D$4:$D$1753,$B83,'май 2024'!$J$4:$J$1753,J$1)</f>
        <v>0</v>
      </c>
      <c r="K83" s="80">
        <f>SUMIFS('май 2024'!$G$4:$G$1753,'май 2024'!$D$4:$D$1753,$B83,'май 2024'!$J$4:$J$1753,K$1)</f>
        <v>0</v>
      </c>
      <c r="L83" s="80">
        <f>SUMIFS('май 2024'!$G$4:$G$1753,'май 2024'!$D$4:$D$1753,$B83,'май 2024'!$J$4:$J$1753,L$1)</f>
        <v>0</v>
      </c>
      <c r="M83" s="80">
        <f>SUMIFS('май 2024'!$G$4:$G$1753,'май 2024'!$D$4:$D$1753,$B83,'май 2024'!$J$4:$J$1753,M$1)</f>
        <v>0</v>
      </c>
      <c r="N83" s="80">
        <f>SUMIFS('май 2024'!$G$4:$G$1753,'май 2024'!$D$4:$D$1753,$B83,'май 2024'!$J$4:$J$1753,N$1)</f>
        <v>0</v>
      </c>
      <c r="O83" s="80">
        <f>SUMIFS('май 2024'!$G$4:$G$1753,'май 2024'!$D$4:$D$1753,$B83,'май 2024'!$J$4:$J$1753,O$1)</f>
        <v>0</v>
      </c>
      <c r="P83" s="80">
        <f>SUMIFS('май 2024'!$G$4:$G$1753,'май 2024'!$D$4:$D$1753,$B83,'май 2024'!$J$4:$J$1753,P$1)</f>
        <v>0</v>
      </c>
      <c r="Q83" s="80">
        <f>SUMIFS('май 2024'!$G$4:$G$1753,'май 2024'!$D$4:$D$1753,$B83,'май 2024'!$J$4:$J$1753,Q$1)</f>
        <v>0</v>
      </c>
      <c r="R83" s="80">
        <f>SUMIFS('май 2024'!$G$4:$G$1753,'май 2024'!$D$4:$D$1753,$B83,'май 2024'!$J$4:$J$1753,R$1)</f>
        <v>0</v>
      </c>
      <c r="S83" s="80">
        <f>SUMIFS('май 2024'!$G$4:$G$1753,'май 2024'!$D$4:$D$1753,$B83,'май 2024'!$J$4:$J$1753,S$1)</f>
        <v>0</v>
      </c>
      <c r="T83" s="80">
        <f>SUMIFS('май 2024'!$G$4:$G$1753,'май 2024'!$D$4:$D$1753,$B83,'май 2024'!$J$4:$J$1753,T$1)</f>
        <v>0</v>
      </c>
      <c r="U83" s="80">
        <f>SUMIFS('май 2024'!$G$4:$G$1753,'май 2024'!$D$4:$D$1753,$B83,'май 2024'!$J$4:$J$1753,U$1)</f>
        <v>0</v>
      </c>
      <c r="V83" s="80">
        <f>SUMIFS('май 2024'!$G$4:$G$1753,'май 2024'!$D$4:$D$1753,$B83,'май 2024'!$J$4:$J$1753,V$1)</f>
        <v>0</v>
      </c>
      <c r="W83" s="80">
        <f>SUMIFS('май 2024'!$G$4:$G$1753,'май 2024'!$D$4:$D$1753,$B83,'май 2024'!$J$4:$J$1753,W$1)</f>
        <v>0</v>
      </c>
      <c r="X83" s="80">
        <f>SUMIFS('май 2024'!$G$4:$G$1753,'май 2024'!$D$4:$D$1753,$B83,'май 2024'!$J$4:$J$1753,X$1)</f>
        <v>0</v>
      </c>
      <c r="Y83" s="80">
        <f>SUMIFS('май 2024'!$G$4:$G$1753,'май 2024'!$D$4:$D$1753,$B83,'май 2024'!$J$4:$J$1753,Y$1)</f>
        <v>0</v>
      </c>
      <c r="Z83" s="80">
        <f>SUMIFS('май 2024'!$G$4:$G$1753,'май 2024'!$D$4:$D$1753,$B83,'май 2024'!$J$4:$J$1753,Z$1)</f>
        <v>0</v>
      </c>
      <c r="AA83" s="80">
        <f>SUMIFS('май 2024'!$G$4:$G$1753,'май 2024'!$D$4:$D$1753,$B83,'май 2024'!$J$4:$J$1753,AA$1)</f>
        <v>0</v>
      </c>
      <c r="AB83" s="80">
        <f>SUMIFS('май 2024'!$G$4:$G$1753,'май 2024'!$D$4:$D$1753,$B83,'май 2024'!$J$4:$J$1753,AB$1)</f>
        <v>0</v>
      </c>
      <c r="AC83" s="80">
        <f>SUMIFS('май 2024'!$G$4:$G$1753,'май 2024'!$D$4:$D$1753,$B83,'май 2024'!$J$4:$J$1753,AC$1)</f>
        <v>0</v>
      </c>
      <c r="AD83" s="80">
        <f>SUMIFS('май 2024'!$G$4:$G$1753,'май 2024'!$D$4:$D$1753,$B83,'май 2024'!$J$4:$J$1753,AD$1)</f>
        <v>0</v>
      </c>
      <c r="AE83" s="80">
        <f>SUMIFS('май 2024'!$G$4:$G$1753,'май 2024'!$D$4:$D$1753,$B83,'май 2024'!$J$4:$J$1753,AE$1)</f>
        <v>0</v>
      </c>
      <c r="AF83" s="80">
        <f>SUMIFS('май 2024'!$G$4:$G$1753,'май 2024'!$D$4:$D$1753,$B83,'май 2024'!$J$4:$J$1753,AF$1)</f>
        <v>0</v>
      </c>
      <c r="AG83" s="80">
        <f>SUMIFS('май 2024'!$G$4:$G$1753,'май 2024'!$D$4:$D$1753,$B83,'май 2024'!$J$4:$J$1753,AG$1)</f>
        <v>0</v>
      </c>
      <c r="AH83" s="80">
        <f>SUMIFS('май 2024'!$G$4:$G$1753,'май 2024'!$D$4:$D$1753,$B83,'май 2024'!$J$4:$J$1753,AH$1)</f>
        <v>0</v>
      </c>
      <c r="AI83" s="21">
        <f t="shared" si="1"/>
        <v>0</v>
      </c>
    </row>
    <row r="84" spans="2:35" ht="15" customHeight="1" x14ac:dyDescent="0.25">
      <c r="B84" s="89" t="s">
        <v>217</v>
      </c>
      <c r="C84" s="88">
        <v>190</v>
      </c>
      <c r="D84" s="80">
        <f>SUMIFS('май 2024'!$G$4:$G$1753,'май 2024'!$D$4:$D$1753,$B84,'май 2024'!$J$4:$J$1753,D$1)</f>
        <v>0</v>
      </c>
      <c r="E84" s="80">
        <f>SUMIFS('май 2024'!$G$4:$G$1753,'май 2024'!$D$4:$D$1753,$B84,'май 2024'!$J$4:$J$1753,E$1)</f>
        <v>0</v>
      </c>
      <c r="F84" s="80">
        <f>SUMIFS('май 2024'!$G$4:$G$1753,'май 2024'!$D$4:$D$1753,$B84,'май 2024'!$J$4:$J$1753,F$1)</f>
        <v>0</v>
      </c>
      <c r="G84" s="80">
        <f>SUMIFS('май 2024'!$G$4:$G$1753,'май 2024'!$D$4:$D$1753,$B84,'май 2024'!$J$4:$J$1753,G$1)</f>
        <v>0</v>
      </c>
      <c r="H84" s="80">
        <f>SUMIFS('май 2024'!$G$4:$G$1753,'май 2024'!$D$4:$D$1753,$B84,'май 2024'!$J$4:$J$1753,H$1)</f>
        <v>0</v>
      </c>
      <c r="I84" s="80">
        <f>SUMIFS('май 2024'!$G$4:$G$1753,'май 2024'!$D$4:$D$1753,$B84,'май 2024'!$J$4:$J$1753,I$1)</f>
        <v>0</v>
      </c>
      <c r="J84" s="80">
        <f>SUMIFS('май 2024'!$G$4:$G$1753,'май 2024'!$D$4:$D$1753,$B84,'май 2024'!$J$4:$J$1753,J$1)</f>
        <v>0</v>
      </c>
      <c r="K84" s="80">
        <f>SUMIFS('май 2024'!$G$4:$G$1753,'май 2024'!$D$4:$D$1753,$B84,'май 2024'!$J$4:$J$1753,K$1)</f>
        <v>0</v>
      </c>
      <c r="L84" s="80">
        <f>SUMIFS('май 2024'!$G$4:$G$1753,'май 2024'!$D$4:$D$1753,$B84,'май 2024'!$J$4:$J$1753,L$1)</f>
        <v>0</v>
      </c>
      <c r="M84" s="80">
        <f>SUMIFS('май 2024'!$G$4:$G$1753,'май 2024'!$D$4:$D$1753,$B84,'май 2024'!$J$4:$J$1753,M$1)</f>
        <v>0</v>
      </c>
      <c r="N84" s="80">
        <f>SUMIFS('май 2024'!$G$4:$G$1753,'май 2024'!$D$4:$D$1753,$B84,'май 2024'!$J$4:$J$1753,N$1)</f>
        <v>0</v>
      </c>
      <c r="O84" s="80">
        <f>SUMIFS('май 2024'!$G$4:$G$1753,'май 2024'!$D$4:$D$1753,$B84,'май 2024'!$J$4:$J$1753,O$1)</f>
        <v>0</v>
      </c>
      <c r="P84" s="80">
        <f>SUMIFS('май 2024'!$G$4:$G$1753,'май 2024'!$D$4:$D$1753,$B84,'май 2024'!$J$4:$J$1753,P$1)</f>
        <v>0</v>
      </c>
      <c r="Q84" s="80">
        <f>SUMIFS('май 2024'!$G$4:$G$1753,'май 2024'!$D$4:$D$1753,$B84,'май 2024'!$J$4:$J$1753,Q$1)</f>
        <v>0</v>
      </c>
      <c r="R84" s="80">
        <f>SUMIFS('май 2024'!$G$4:$G$1753,'май 2024'!$D$4:$D$1753,$B84,'май 2024'!$J$4:$J$1753,R$1)</f>
        <v>0</v>
      </c>
      <c r="S84" s="80">
        <f>SUMIFS('май 2024'!$G$4:$G$1753,'май 2024'!$D$4:$D$1753,$B84,'май 2024'!$J$4:$J$1753,S$1)</f>
        <v>0</v>
      </c>
      <c r="T84" s="80">
        <f>SUMIFS('май 2024'!$G$4:$G$1753,'май 2024'!$D$4:$D$1753,$B84,'май 2024'!$J$4:$J$1753,T$1)</f>
        <v>0</v>
      </c>
      <c r="U84" s="80">
        <f>SUMIFS('май 2024'!$G$4:$G$1753,'май 2024'!$D$4:$D$1753,$B84,'май 2024'!$J$4:$J$1753,U$1)</f>
        <v>0</v>
      </c>
      <c r="V84" s="80">
        <f>SUMIFS('май 2024'!$G$4:$G$1753,'май 2024'!$D$4:$D$1753,$B84,'май 2024'!$J$4:$J$1753,V$1)</f>
        <v>0</v>
      </c>
      <c r="W84" s="80">
        <f>SUMIFS('май 2024'!$G$4:$G$1753,'май 2024'!$D$4:$D$1753,$B84,'май 2024'!$J$4:$J$1753,W$1)</f>
        <v>0</v>
      </c>
      <c r="X84" s="80">
        <f>SUMIFS('май 2024'!$G$4:$G$1753,'май 2024'!$D$4:$D$1753,$B84,'май 2024'!$J$4:$J$1753,X$1)</f>
        <v>0</v>
      </c>
      <c r="Y84" s="80">
        <f>SUMIFS('май 2024'!$G$4:$G$1753,'май 2024'!$D$4:$D$1753,$B84,'май 2024'!$J$4:$J$1753,Y$1)</f>
        <v>0</v>
      </c>
      <c r="Z84" s="80">
        <f>SUMIFS('май 2024'!$G$4:$G$1753,'май 2024'!$D$4:$D$1753,$B84,'май 2024'!$J$4:$J$1753,Z$1)</f>
        <v>0</v>
      </c>
      <c r="AA84" s="80">
        <f>SUMIFS('май 2024'!$G$4:$G$1753,'май 2024'!$D$4:$D$1753,$B84,'май 2024'!$J$4:$J$1753,AA$1)</f>
        <v>0</v>
      </c>
      <c r="AB84" s="80">
        <f>SUMIFS('май 2024'!$G$4:$G$1753,'май 2024'!$D$4:$D$1753,$B84,'май 2024'!$J$4:$J$1753,AB$1)</f>
        <v>0</v>
      </c>
      <c r="AC84" s="80">
        <f>SUMIFS('май 2024'!$G$4:$G$1753,'май 2024'!$D$4:$D$1753,$B84,'май 2024'!$J$4:$J$1753,AC$1)</f>
        <v>0</v>
      </c>
      <c r="AD84" s="80">
        <f>SUMIFS('май 2024'!$G$4:$G$1753,'май 2024'!$D$4:$D$1753,$B84,'май 2024'!$J$4:$J$1753,AD$1)</f>
        <v>0</v>
      </c>
      <c r="AE84" s="80">
        <f>SUMIFS('май 2024'!$G$4:$G$1753,'май 2024'!$D$4:$D$1753,$B84,'май 2024'!$J$4:$J$1753,AE$1)</f>
        <v>0</v>
      </c>
      <c r="AF84" s="80">
        <f>SUMIFS('май 2024'!$G$4:$G$1753,'май 2024'!$D$4:$D$1753,$B84,'май 2024'!$J$4:$J$1753,AF$1)</f>
        <v>0</v>
      </c>
      <c r="AG84" s="80">
        <f>SUMIFS('май 2024'!$G$4:$G$1753,'май 2024'!$D$4:$D$1753,$B84,'май 2024'!$J$4:$J$1753,AG$1)</f>
        <v>0</v>
      </c>
      <c r="AH84" s="80">
        <f>SUMIFS('май 2024'!$G$4:$G$1753,'май 2024'!$D$4:$D$1753,$B84,'май 2024'!$J$4:$J$1753,AH$1)</f>
        <v>0</v>
      </c>
      <c r="AI84" s="21">
        <f t="shared" si="1"/>
        <v>0</v>
      </c>
    </row>
    <row r="85" spans="2:35" ht="15" customHeight="1" x14ac:dyDescent="0.25">
      <c r="B85" s="93" t="s">
        <v>179</v>
      </c>
      <c r="C85" s="88">
        <v>190</v>
      </c>
      <c r="D85" s="80">
        <f>SUMIFS('май 2024'!$G$4:$G$1753,'май 2024'!$D$4:$D$1753,$B85,'май 2024'!$J$4:$J$1753,D$1)</f>
        <v>0</v>
      </c>
      <c r="E85" s="80">
        <f>SUMIFS('май 2024'!$G$4:$G$1753,'май 2024'!$D$4:$D$1753,$B85,'май 2024'!$J$4:$J$1753,E$1)</f>
        <v>0</v>
      </c>
      <c r="F85" s="80">
        <f>SUMIFS('май 2024'!$G$4:$G$1753,'май 2024'!$D$4:$D$1753,$B85,'май 2024'!$J$4:$J$1753,F$1)</f>
        <v>0</v>
      </c>
      <c r="G85" s="80">
        <f>SUMIFS('май 2024'!$G$4:$G$1753,'май 2024'!$D$4:$D$1753,$B85,'май 2024'!$J$4:$J$1753,G$1)</f>
        <v>0</v>
      </c>
      <c r="H85" s="80">
        <f>SUMIFS('май 2024'!$G$4:$G$1753,'май 2024'!$D$4:$D$1753,$B85,'май 2024'!$J$4:$J$1753,H$1)</f>
        <v>0</v>
      </c>
      <c r="I85" s="80">
        <f>SUMIFS('май 2024'!$G$4:$G$1753,'май 2024'!$D$4:$D$1753,$B85,'май 2024'!$J$4:$J$1753,I$1)</f>
        <v>0</v>
      </c>
      <c r="J85" s="80">
        <f>SUMIFS('май 2024'!$G$4:$G$1753,'май 2024'!$D$4:$D$1753,$B85,'май 2024'!$J$4:$J$1753,J$1)</f>
        <v>0</v>
      </c>
      <c r="K85" s="80">
        <f>SUMIFS('май 2024'!$G$4:$G$1753,'май 2024'!$D$4:$D$1753,$B85,'май 2024'!$J$4:$J$1753,K$1)</f>
        <v>0</v>
      </c>
      <c r="L85" s="80">
        <f>SUMIFS('май 2024'!$G$4:$G$1753,'май 2024'!$D$4:$D$1753,$B85,'май 2024'!$J$4:$J$1753,L$1)</f>
        <v>0</v>
      </c>
      <c r="M85" s="80">
        <f>SUMIFS('май 2024'!$G$4:$G$1753,'май 2024'!$D$4:$D$1753,$B85,'май 2024'!$J$4:$J$1753,M$1)</f>
        <v>0</v>
      </c>
      <c r="N85" s="80">
        <f>SUMIFS('май 2024'!$G$4:$G$1753,'май 2024'!$D$4:$D$1753,$B85,'май 2024'!$J$4:$J$1753,N$1)</f>
        <v>0</v>
      </c>
      <c r="O85" s="80">
        <f>SUMIFS('май 2024'!$G$4:$G$1753,'май 2024'!$D$4:$D$1753,$B85,'май 2024'!$J$4:$J$1753,O$1)</f>
        <v>0</v>
      </c>
      <c r="P85" s="80">
        <f>SUMIFS('май 2024'!$G$4:$G$1753,'май 2024'!$D$4:$D$1753,$B85,'май 2024'!$J$4:$J$1753,P$1)</f>
        <v>0</v>
      </c>
      <c r="Q85" s="80">
        <f>SUMIFS('май 2024'!$G$4:$G$1753,'май 2024'!$D$4:$D$1753,$B85,'май 2024'!$J$4:$J$1753,Q$1)</f>
        <v>0</v>
      </c>
      <c r="R85" s="80">
        <f>SUMIFS('май 2024'!$G$4:$G$1753,'май 2024'!$D$4:$D$1753,$B85,'май 2024'!$J$4:$J$1753,R$1)</f>
        <v>0</v>
      </c>
      <c r="S85" s="80">
        <f>SUMIFS('май 2024'!$G$4:$G$1753,'май 2024'!$D$4:$D$1753,$B85,'май 2024'!$J$4:$J$1753,S$1)</f>
        <v>0</v>
      </c>
      <c r="T85" s="80">
        <f>SUMIFS('май 2024'!$G$4:$G$1753,'май 2024'!$D$4:$D$1753,$B85,'май 2024'!$J$4:$J$1753,T$1)</f>
        <v>0</v>
      </c>
      <c r="U85" s="80">
        <f>SUMIFS('май 2024'!$G$4:$G$1753,'май 2024'!$D$4:$D$1753,$B85,'май 2024'!$J$4:$J$1753,U$1)</f>
        <v>0</v>
      </c>
      <c r="V85" s="80">
        <f>SUMIFS('май 2024'!$G$4:$G$1753,'май 2024'!$D$4:$D$1753,$B85,'май 2024'!$J$4:$J$1753,V$1)</f>
        <v>0</v>
      </c>
      <c r="W85" s="80">
        <f>SUMIFS('май 2024'!$G$4:$G$1753,'май 2024'!$D$4:$D$1753,$B85,'май 2024'!$J$4:$J$1753,W$1)</f>
        <v>0</v>
      </c>
      <c r="X85" s="80">
        <f>SUMIFS('май 2024'!$G$4:$G$1753,'май 2024'!$D$4:$D$1753,$B85,'май 2024'!$J$4:$J$1753,X$1)</f>
        <v>0</v>
      </c>
      <c r="Y85" s="80">
        <f>SUMIFS('май 2024'!$G$4:$G$1753,'май 2024'!$D$4:$D$1753,$B85,'май 2024'!$J$4:$J$1753,Y$1)</f>
        <v>0</v>
      </c>
      <c r="Z85" s="80">
        <f>SUMIFS('май 2024'!$G$4:$G$1753,'май 2024'!$D$4:$D$1753,$B85,'май 2024'!$J$4:$J$1753,Z$1)</f>
        <v>0</v>
      </c>
      <c r="AA85" s="80">
        <f>SUMIFS('май 2024'!$G$4:$G$1753,'май 2024'!$D$4:$D$1753,$B85,'май 2024'!$J$4:$J$1753,AA$1)</f>
        <v>0</v>
      </c>
      <c r="AB85" s="80">
        <f>SUMIFS('май 2024'!$G$4:$G$1753,'май 2024'!$D$4:$D$1753,$B85,'май 2024'!$J$4:$J$1753,AB$1)</f>
        <v>0</v>
      </c>
      <c r="AC85" s="80">
        <f>SUMIFS('май 2024'!$G$4:$G$1753,'май 2024'!$D$4:$D$1753,$B85,'май 2024'!$J$4:$J$1753,AC$1)</f>
        <v>0</v>
      </c>
      <c r="AD85" s="80">
        <f>SUMIFS('май 2024'!$G$4:$G$1753,'май 2024'!$D$4:$D$1753,$B85,'май 2024'!$J$4:$J$1753,AD$1)</f>
        <v>0</v>
      </c>
      <c r="AE85" s="80">
        <f>SUMIFS('май 2024'!$G$4:$G$1753,'май 2024'!$D$4:$D$1753,$B85,'май 2024'!$J$4:$J$1753,AE$1)</f>
        <v>0</v>
      </c>
      <c r="AF85" s="80">
        <f>SUMIFS('май 2024'!$G$4:$G$1753,'май 2024'!$D$4:$D$1753,$B85,'май 2024'!$J$4:$J$1753,AF$1)</f>
        <v>0</v>
      </c>
      <c r="AG85" s="80">
        <f>SUMIFS('май 2024'!$G$4:$G$1753,'май 2024'!$D$4:$D$1753,$B85,'май 2024'!$J$4:$J$1753,AG$1)</f>
        <v>0</v>
      </c>
      <c r="AH85" s="80">
        <f>SUMIFS('май 2024'!$G$4:$G$1753,'май 2024'!$D$4:$D$1753,$B85,'май 2024'!$J$4:$J$1753,AH$1)</f>
        <v>0</v>
      </c>
      <c r="AI85" s="21">
        <f t="shared" si="1"/>
        <v>0</v>
      </c>
    </row>
    <row r="86" spans="2:35" ht="15" customHeight="1" x14ac:dyDescent="0.25">
      <c r="B86" s="93" t="s">
        <v>192</v>
      </c>
      <c r="C86" s="91">
        <v>180</v>
      </c>
      <c r="D86" s="80">
        <f>SUMIFS('май 2024'!$G$4:$G$1753,'май 2024'!$D$4:$D$1753,$B86,'май 2024'!$J$4:$J$1753,D$1)</f>
        <v>0</v>
      </c>
      <c r="E86" s="80">
        <f>SUMIFS('май 2024'!$G$4:$G$1753,'май 2024'!$D$4:$D$1753,$B86,'май 2024'!$J$4:$J$1753,E$1)</f>
        <v>0</v>
      </c>
      <c r="F86" s="80">
        <f>SUMIFS('май 2024'!$G$4:$G$1753,'май 2024'!$D$4:$D$1753,$B86,'май 2024'!$J$4:$J$1753,F$1)</f>
        <v>0</v>
      </c>
      <c r="G86" s="80">
        <f>SUMIFS('май 2024'!$G$4:$G$1753,'май 2024'!$D$4:$D$1753,$B86,'май 2024'!$J$4:$J$1753,G$1)</f>
        <v>0</v>
      </c>
      <c r="H86" s="80">
        <f>SUMIFS('май 2024'!$G$4:$G$1753,'май 2024'!$D$4:$D$1753,$B86,'май 2024'!$J$4:$J$1753,H$1)</f>
        <v>0</v>
      </c>
      <c r="I86" s="80">
        <f>SUMIFS('май 2024'!$G$4:$G$1753,'май 2024'!$D$4:$D$1753,$B86,'май 2024'!$J$4:$J$1753,I$1)</f>
        <v>0</v>
      </c>
      <c r="J86" s="80">
        <f>SUMIFS('май 2024'!$G$4:$G$1753,'май 2024'!$D$4:$D$1753,$B86,'май 2024'!$J$4:$J$1753,J$1)</f>
        <v>0</v>
      </c>
      <c r="K86" s="80">
        <f>SUMIFS('май 2024'!$G$4:$G$1753,'май 2024'!$D$4:$D$1753,$B86,'май 2024'!$J$4:$J$1753,K$1)</f>
        <v>0</v>
      </c>
      <c r="L86" s="80">
        <f>SUMIFS('май 2024'!$G$4:$G$1753,'май 2024'!$D$4:$D$1753,$B86,'май 2024'!$J$4:$J$1753,L$1)</f>
        <v>0</v>
      </c>
      <c r="M86" s="80">
        <f>SUMIFS('май 2024'!$G$4:$G$1753,'май 2024'!$D$4:$D$1753,$B86,'май 2024'!$J$4:$J$1753,M$1)</f>
        <v>0</v>
      </c>
      <c r="N86" s="80">
        <f>SUMIFS('май 2024'!$G$4:$G$1753,'май 2024'!$D$4:$D$1753,$B86,'май 2024'!$J$4:$J$1753,N$1)</f>
        <v>0</v>
      </c>
      <c r="O86" s="80">
        <f>SUMIFS('май 2024'!$G$4:$G$1753,'май 2024'!$D$4:$D$1753,$B86,'май 2024'!$J$4:$J$1753,O$1)</f>
        <v>0</v>
      </c>
      <c r="P86" s="80">
        <f>SUMIFS('май 2024'!$G$4:$G$1753,'май 2024'!$D$4:$D$1753,$B86,'май 2024'!$J$4:$J$1753,P$1)</f>
        <v>0</v>
      </c>
      <c r="Q86" s="80">
        <f>SUMIFS('май 2024'!$G$4:$G$1753,'май 2024'!$D$4:$D$1753,$B86,'май 2024'!$J$4:$J$1753,Q$1)</f>
        <v>0</v>
      </c>
      <c r="R86" s="80">
        <f>SUMIFS('май 2024'!$G$4:$G$1753,'май 2024'!$D$4:$D$1753,$B86,'май 2024'!$J$4:$J$1753,R$1)</f>
        <v>0</v>
      </c>
      <c r="S86" s="80">
        <f>SUMIFS('май 2024'!$G$4:$G$1753,'май 2024'!$D$4:$D$1753,$B86,'май 2024'!$J$4:$J$1753,S$1)</f>
        <v>0</v>
      </c>
      <c r="T86" s="80">
        <f>SUMIFS('май 2024'!$G$4:$G$1753,'май 2024'!$D$4:$D$1753,$B86,'май 2024'!$J$4:$J$1753,T$1)</f>
        <v>0</v>
      </c>
      <c r="U86" s="80">
        <f>SUMIFS('май 2024'!$G$4:$G$1753,'май 2024'!$D$4:$D$1753,$B86,'май 2024'!$J$4:$J$1753,U$1)</f>
        <v>0</v>
      </c>
      <c r="V86" s="80">
        <f>SUMIFS('май 2024'!$G$4:$G$1753,'май 2024'!$D$4:$D$1753,$B86,'май 2024'!$J$4:$J$1753,V$1)</f>
        <v>0</v>
      </c>
      <c r="W86" s="80">
        <f>SUMIFS('май 2024'!$G$4:$G$1753,'май 2024'!$D$4:$D$1753,$B86,'май 2024'!$J$4:$J$1753,W$1)</f>
        <v>0</v>
      </c>
      <c r="X86" s="80">
        <f>SUMIFS('май 2024'!$G$4:$G$1753,'май 2024'!$D$4:$D$1753,$B86,'май 2024'!$J$4:$J$1753,X$1)</f>
        <v>0</v>
      </c>
      <c r="Y86" s="80">
        <f>SUMIFS('май 2024'!$G$4:$G$1753,'май 2024'!$D$4:$D$1753,$B86,'май 2024'!$J$4:$J$1753,Y$1)</f>
        <v>0</v>
      </c>
      <c r="Z86" s="80">
        <f>SUMIFS('май 2024'!$G$4:$G$1753,'май 2024'!$D$4:$D$1753,$B86,'май 2024'!$J$4:$J$1753,Z$1)</f>
        <v>0</v>
      </c>
      <c r="AA86" s="80">
        <f>SUMIFS('май 2024'!$G$4:$G$1753,'май 2024'!$D$4:$D$1753,$B86,'май 2024'!$J$4:$J$1753,AA$1)</f>
        <v>0</v>
      </c>
      <c r="AB86" s="80">
        <f>SUMIFS('май 2024'!$G$4:$G$1753,'май 2024'!$D$4:$D$1753,$B86,'май 2024'!$J$4:$J$1753,AB$1)</f>
        <v>0</v>
      </c>
      <c r="AC86" s="80">
        <f>SUMIFS('май 2024'!$G$4:$G$1753,'май 2024'!$D$4:$D$1753,$B86,'май 2024'!$J$4:$J$1753,AC$1)</f>
        <v>0</v>
      </c>
      <c r="AD86" s="80">
        <f>SUMIFS('май 2024'!$G$4:$G$1753,'май 2024'!$D$4:$D$1753,$B86,'май 2024'!$J$4:$J$1753,AD$1)</f>
        <v>0</v>
      </c>
      <c r="AE86" s="80">
        <f>SUMIFS('май 2024'!$G$4:$G$1753,'май 2024'!$D$4:$D$1753,$B86,'май 2024'!$J$4:$J$1753,AE$1)</f>
        <v>0</v>
      </c>
      <c r="AF86" s="80">
        <f>SUMIFS('май 2024'!$G$4:$G$1753,'май 2024'!$D$4:$D$1753,$B86,'май 2024'!$J$4:$J$1753,AF$1)</f>
        <v>0</v>
      </c>
      <c r="AG86" s="80">
        <f>SUMIFS('май 2024'!$G$4:$G$1753,'май 2024'!$D$4:$D$1753,$B86,'май 2024'!$J$4:$J$1753,AG$1)</f>
        <v>0</v>
      </c>
      <c r="AH86" s="80">
        <f>SUMIFS('май 2024'!$G$4:$G$1753,'май 2024'!$D$4:$D$1753,$B86,'май 2024'!$J$4:$J$1753,AH$1)</f>
        <v>0</v>
      </c>
      <c r="AI86" s="21">
        <f t="shared" si="1"/>
        <v>0</v>
      </c>
    </row>
    <row r="87" spans="2:35" ht="15" customHeight="1" x14ac:dyDescent="0.25">
      <c r="B87" s="93" t="s">
        <v>887</v>
      </c>
      <c r="C87" s="91">
        <v>190</v>
      </c>
      <c r="D87" s="80">
        <f>SUMIFS('май 2024'!$G$4:$G$1753,'май 2024'!$D$4:$D$1753,$B87,'май 2024'!$J$4:$J$1753,D$1)</f>
        <v>0</v>
      </c>
      <c r="E87" s="80">
        <f>SUMIFS('май 2024'!$G$4:$G$1753,'май 2024'!$D$4:$D$1753,$B87,'май 2024'!$J$4:$J$1753,E$1)</f>
        <v>0</v>
      </c>
      <c r="F87" s="80">
        <f>SUMIFS('май 2024'!$G$4:$G$1753,'май 2024'!$D$4:$D$1753,$B87,'май 2024'!$J$4:$J$1753,F$1)</f>
        <v>0</v>
      </c>
      <c r="G87" s="80">
        <f>SUMIFS('май 2024'!$G$4:$G$1753,'май 2024'!$D$4:$D$1753,$B87,'май 2024'!$J$4:$J$1753,G$1)</f>
        <v>0</v>
      </c>
      <c r="H87" s="80">
        <f>SUMIFS('май 2024'!$G$4:$G$1753,'май 2024'!$D$4:$D$1753,$B87,'май 2024'!$J$4:$J$1753,H$1)</f>
        <v>0</v>
      </c>
      <c r="I87" s="80">
        <f>SUMIFS('май 2024'!$G$4:$G$1753,'май 2024'!$D$4:$D$1753,$B87,'май 2024'!$J$4:$J$1753,I$1)</f>
        <v>0</v>
      </c>
      <c r="J87" s="80">
        <f>SUMIFS('май 2024'!$G$4:$G$1753,'май 2024'!$D$4:$D$1753,$B87,'май 2024'!$J$4:$J$1753,J$1)</f>
        <v>0</v>
      </c>
      <c r="K87" s="80">
        <f>SUMIFS('май 2024'!$G$4:$G$1753,'май 2024'!$D$4:$D$1753,$B87,'май 2024'!$J$4:$J$1753,K$1)</f>
        <v>0</v>
      </c>
      <c r="L87" s="80">
        <f>SUMIFS('май 2024'!$G$4:$G$1753,'май 2024'!$D$4:$D$1753,$B87,'май 2024'!$J$4:$J$1753,L$1)</f>
        <v>0</v>
      </c>
      <c r="M87" s="80">
        <f>SUMIFS('май 2024'!$G$4:$G$1753,'май 2024'!$D$4:$D$1753,$B87,'май 2024'!$J$4:$J$1753,M$1)</f>
        <v>0</v>
      </c>
      <c r="N87" s="80">
        <f>SUMIFS('май 2024'!$G$4:$G$1753,'май 2024'!$D$4:$D$1753,$B87,'май 2024'!$J$4:$J$1753,N$1)</f>
        <v>0</v>
      </c>
      <c r="O87" s="80">
        <f>SUMIFS('май 2024'!$G$4:$G$1753,'май 2024'!$D$4:$D$1753,$B87,'май 2024'!$J$4:$J$1753,O$1)</f>
        <v>0</v>
      </c>
      <c r="P87" s="80">
        <f>SUMIFS('май 2024'!$G$4:$G$1753,'май 2024'!$D$4:$D$1753,$B87,'май 2024'!$J$4:$J$1753,P$1)</f>
        <v>0</v>
      </c>
      <c r="Q87" s="80">
        <f>SUMIFS('май 2024'!$G$4:$G$1753,'май 2024'!$D$4:$D$1753,$B87,'май 2024'!$J$4:$J$1753,Q$1)</f>
        <v>0</v>
      </c>
      <c r="R87" s="80">
        <f>SUMIFS('май 2024'!$G$4:$G$1753,'май 2024'!$D$4:$D$1753,$B87,'май 2024'!$J$4:$J$1753,R$1)</f>
        <v>0</v>
      </c>
      <c r="S87" s="80">
        <f>SUMIFS('май 2024'!$G$4:$G$1753,'май 2024'!$D$4:$D$1753,$B87,'май 2024'!$J$4:$J$1753,S$1)</f>
        <v>0</v>
      </c>
      <c r="T87" s="80">
        <f>SUMIFS('май 2024'!$G$4:$G$1753,'май 2024'!$D$4:$D$1753,$B87,'май 2024'!$J$4:$J$1753,T$1)</f>
        <v>0</v>
      </c>
      <c r="U87" s="80">
        <f>SUMIFS('май 2024'!$G$4:$G$1753,'май 2024'!$D$4:$D$1753,$B87,'май 2024'!$J$4:$J$1753,U$1)</f>
        <v>0</v>
      </c>
      <c r="V87" s="80">
        <f>SUMIFS('май 2024'!$G$4:$G$1753,'май 2024'!$D$4:$D$1753,$B87,'май 2024'!$J$4:$J$1753,V$1)</f>
        <v>0</v>
      </c>
      <c r="W87" s="80">
        <f>SUMIFS('май 2024'!$G$4:$G$1753,'май 2024'!$D$4:$D$1753,$B87,'май 2024'!$J$4:$J$1753,W$1)</f>
        <v>0</v>
      </c>
      <c r="X87" s="80">
        <f>SUMIFS('май 2024'!$G$4:$G$1753,'май 2024'!$D$4:$D$1753,$B87,'май 2024'!$J$4:$J$1753,X$1)</f>
        <v>0</v>
      </c>
      <c r="Y87" s="80">
        <f>SUMIFS('май 2024'!$G$4:$G$1753,'май 2024'!$D$4:$D$1753,$B87,'май 2024'!$J$4:$J$1753,Y$1)</f>
        <v>0</v>
      </c>
      <c r="Z87" s="80">
        <f>SUMIFS('май 2024'!$G$4:$G$1753,'май 2024'!$D$4:$D$1753,$B87,'май 2024'!$J$4:$J$1753,Z$1)</f>
        <v>0</v>
      </c>
      <c r="AA87" s="80">
        <f>SUMIFS('май 2024'!$G$4:$G$1753,'май 2024'!$D$4:$D$1753,$B87,'май 2024'!$J$4:$J$1753,AA$1)</f>
        <v>0</v>
      </c>
      <c r="AB87" s="80">
        <f>SUMIFS('май 2024'!$G$4:$G$1753,'май 2024'!$D$4:$D$1753,$B87,'май 2024'!$J$4:$J$1753,AB$1)</f>
        <v>0</v>
      </c>
      <c r="AC87" s="80">
        <f>SUMIFS('май 2024'!$G$4:$G$1753,'май 2024'!$D$4:$D$1753,$B87,'май 2024'!$J$4:$J$1753,AC$1)</f>
        <v>0</v>
      </c>
      <c r="AD87" s="80">
        <f>SUMIFS('май 2024'!$G$4:$G$1753,'май 2024'!$D$4:$D$1753,$B87,'май 2024'!$J$4:$J$1753,AD$1)</f>
        <v>0</v>
      </c>
      <c r="AE87" s="80">
        <f>SUMIFS('май 2024'!$G$4:$G$1753,'май 2024'!$D$4:$D$1753,$B87,'май 2024'!$J$4:$J$1753,AE$1)</f>
        <v>0</v>
      </c>
      <c r="AF87" s="80">
        <f>SUMIFS('май 2024'!$G$4:$G$1753,'май 2024'!$D$4:$D$1753,$B87,'май 2024'!$J$4:$J$1753,AF$1)</f>
        <v>0</v>
      </c>
      <c r="AG87" s="80">
        <f>SUMIFS('май 2024'!$G$4:$G$1753,'май 2024'!$D$4:$D$1753,$B87,'май 2024'!$J$4:$J$1753,AG$1)</f>
        <v>0</v>
      </c>
      <c r="AH87" s="80">
        <f>SUMIFS('май 2024'!$G$4:$G$1753,'май 2024'!$D$4:$D$1753,$B87,'май 2024'!$J$4:$J$1753,AH$1)</f>
        <v>0</v>
      </c>
      <c r="AI87" s="21">
        <f t="shared" si="1"/>
        <v>0</v>
      </c>
    </row>
    <row r="88" spans="2:35" ht="15" customHeight="1" x14ac:dyDescent="0.25">
      <c r="B88" s="93" t="s">
        <v>399</v>
      </c>
      <c r="C88" s="91">
        <v>190</v>
      </c>
      <c r="D88" s="80">
        <f>SUMIFS('май 2024'!$G$4:$G$1753,'май 2024'!$D$4:$D$1753,$B88,'май 2024'!$J$4:$J$1753,D$1)</f>
        <v>0</v>
      </c>
      <c r="E88" s="80">
        <f>SUMIFS('май 2024'!$G$4:$G$1753,'май 2024'!$D$4:$D$1753,$B88,'май 2024'!$J$4:$J$1753,E$1)</f>
        <v>0</v>
      </c>
      <c r="F88" s="80">
        <f>SUMIFS('май 2024'!$G$4:$G$1753,'май 2024'!$D$4:$D$1753,$B88,'май 2024'!$J$4:$J$1753,F$1)</f>
        <v>0</v>
      </c>
      <c r="G88" s="80">
        <f>SUMIFS('май 2024'!$G$4:$G$1753,'май 2024'!$D$4:$D$1753,$B88,'май 2024'!$J$4:$J$1753,G$1)</f>
        <v>0</v>
      </c>
      <c r="H88" s="80">
        <f>SUMIFS('май 2024'!$G$4:$G$1753,'май 2024'!$D$4:$D$1753,$B88,'май 2024'!$J$4:$J$1753,H$1)</f>
        <v>0</v>
      </c>
      <c r="I88" s="80">
        <f>SUMIFS('май 2024'!$G$4:$G$1753,'май 2024'!$D$4:$D$1753,$B88,'май 2024'!$J$4:$J$1753,I$1)</f>
        <v>0</v>
      </c>
      <c r="J88" s="80">
        <f>SUMIFS('май 2024'!$G$4:$G$1753,'май 2024'!$D$4:$D$1753,$B88,'май 2024'!$J$4:$J$1753,J$1)</f>
        <v>0</v>
      </c>
      <c r="K88" s="80">
        <f>SUMIFS('май 2024'!$G$4:$G$1753,'май 2024'!$D$4:$D$1753,$B88,'май 2024'!$J$4:$J$1753,K$1)</f>
        <v>0</v>
      </c>
      <c r="L88" s="80">
        <f>SUMIFS('май 2024'!$G$4:$G$1753,'май 2024'!$D$4:$D$1753,$B88,'май 2024'!$J$4:$J$1753,L$1)</f>
        <v>0</v>
      </c>
      <c r="M88" s="80">
        <f>SUMIFS('май 2024'!$G$4:$G$1753,'май 2024'!$D$4:$D$1753,$B88,'май 2024'!$J$4:$J$1753,M$1)</f>
        <v>0</v>
      </c>
      <c r="N88" s="80">
        <f>SUMIFS('май 2024'!$G$4:$G$1753,'май 2024'!$D$4:$D$1753,$B88,'май 2024'!$J$4:$J$1753,N$1)</f>
        <v>0</v>
      </c>
      <c r="O88" s="80">
        <f>SUMIFS('май 2024'!$G$4:$G$1753,'май 2024'!$D$4:$D$1753,$B88,'май 2024'!$J$4:$J$1753,O$1)</f>
        <v>0</v>
      </c>
      <c r="P88" s="80">
        <f>SUMIFS('май 2024'!$G$4:$G$1753,'май 2024'!$D$4:$D$1753,$B88,'май 2024'!$J$4:$J$1753,P$1)</f>
        <v>0</v>
      </c>
      <c r="Q88" s="80">
        <f>SUMIFS('май 2024'!$G$4:$G$1753,'май 2024'!$D$4:$D$1753,$B88,'май 2024'!$J$4:$J$1753,Q$1)</f>
        <v>0</v>
      </c>
      <c r="R88" s="80">
        <f>SUMIFS('май 2024'!$G$4:$G$1753,'май 2024'!$D$4:$D$1753,$B88,'май 2024'!$J$4:$J$1753,R$1)</f>
        <v>0</v>
      </c>
      <c r="S88" s="80">
        <f>SUMIFS('май 2024'!$G$4:$G$1753,'май 2024'!$D$4:$D$1753,$B88,'май 2024'!$J$4:$J$1753,S$1)</f>
        <v>0</v>
      </c>
      <c r="T88" s="80">
        <f>SUMIFS('май 2024'!$G$4:$G$1753,'май 2024'!$D$4:$D$1753,$B88,'май 2024'!$J$4:$J$1753,T$1)</f>
        <v>0</v>
      </c>
      <c r="U88" s="80">
        <f>SUMIFS('май 2024'!$G$4:$G$1753,'май 2024'!$D$4:$D$1753,$B88,'май 2024'!$J$4:$J$1753,U$1)</f>
        <v>0</v>
      </c>
      <c r="V88" s="80">
        <f>SUMIFS('май 2024'!$G$4:$G$1753,'май 2024'!$D$4:$D$1753,$B88,'май 2024'!$J$4:$J$1753,V$1)</f>
        <v>0</v>
      </c>
      <c r="W88" s="80">
        <f>SUMIFS('май 2024'!$G$4:$G$1753,'май 2024'!$D$4:$D$1753,$B88,'май 2024'!$J$4:$J$1753,W$1)</f>
        <v>0</v>
      </c>
      <c r="X88" s="80">
        <f>SUMIFS('май 2024'!$G$4:$G$1753,'май 2024'!$D$4:$D$1753,$B88,'май 2024'!$J$4:$J$1753,X$1)</f>
        <v>0</v>
      </c>
      <c r="Y88" s="80">
        <f>SUMIFS('май 2024'!$G$4:$G$1753,'май 2024'!$D$4:$D$1753,$B88,'май 2024'!$J$4:$J$1753,Y$1)</f>
        <v>0</v>
      </c>
      <c r="Z88" s="80">
        <f>SUMIFS('май 2024'!$G$4:$G$1753,'май 2024'!$D$4:$D$1753,$B88,'май 2024'!$J$4:$J$1753,Z$1)</f>
        <v>0</v>
      </c>
      <c r="AA88" s="80">
        <f>SUMIFS('май 2024'!$G$4:$G$1753,'май 2024'!$D$4:$D$1753,$B88,'май 2024'!$J$4:$J$1753,AA$1)</f>
        <v>0</v>
      </c>
      <c r="AB88" s="80">
        <f>SUMIFS('май 2024'!$G$4:$G$1753,'май 2024'!$D$4:$D$1753,$B88,'май 2024'!$J$4:$J$1753,AB$1)</f>
        <v>0</v>
      </c>
      <c r="AC88" s="80">
        <f>SUMIFS('май 2024'!$G$4:$G$1753,'май 2024'!$D$4:$D$1753,$B88,'май 2024'!$J$4:$J$1753,AC$1)</f>
        <v>0</v>
      </c>
      <c r="AD88" s="80">
        <f>SUMIFS('май 2024'!$G$4:$G$1753,'май 2024'!$D$4:$D$1753,$B88,'май 2024'!$J$4:$J$1753,AD$1)</f>
        <v>0</v>
      </c>
      <c r="AE88" s="80">
        <f>SUMIFS('май 2024'!$G$4:$G$1753,'май 2024'!$D$4:$D$1753,$B88,'май 2024'!$J$4:$J$1753,AE$1)</f>
        <v>0</v>
      </c>
      <c r="AF88" s="80">
        <f>SUMIFS('май 2024'!$G$4:$G$1753,'май 2024'!$D$4:$D$1753,$B88,'май 2024'!$J$4:$J$1753,AF$1)</f>
        <v>0</v>
      </c>
      <c r="AG88" s="80">
        <f>SUMIFS('май 2024'!$G$4:$G$1753,'май 2024'!$D$4:$D$1753,$B88,'май 2024'!$J$4:$J$1753,AG$1)</f>
        <v>0</v>
      </c>
      <c r="AH88" s="80">
        <f>SUMIFS('май 2024'!$G$4:$G$1753,'май 2024'!$D$4:$D$1753,$B88,'май 2024'!$J$4:$J$1753,AH$1)</f>
        <v>0</v>
      </c>
      <c r="AI88" s="21">
        <f t="shared" si="1"/>
        <v>0</v>
      </c>
    </row>
    <row r="89" spans="2:35" ht="15" customHeight="1" x14ac:dyDescent="0.25">
      <c r="B89" s="93" t="s">
        <v>322</v>
      </c>
      <c r="C89" s="91">
        <v>180</v>
      </c>
      <c r="D89" s="80">
        <f>SUMIFS('май 2024'!$G$4:$G$1753,'май 2024'!$D$4:$D$1753,$B89,'май 2024'!$J$4:$J$1753,D$1)</f>
        <v>0</v>
      </c>
      <c r="E89" s="80">
        <f>SUMIFS('май 2024'!$G$4:$G$1753,'май 2024'!$D$4:$D$1753,$B89,'май 2024'!$J$4:$J$1753,E$1)</f>
        <v>0</v>
      </c>
      <c r="F89" s="80">
        <f>SUMIFS('май 2024'!$G$4:$G$1753,'май 2024'!$D$4:$D$1753,$B89,'май 2024'!$J$4:$J$1753,F$1)</f>
        <v>0</v>
      </c>
      <c r="G89" s="80">
        <f>SUMIFS('май 2024'!$G$4:$G$1753,'май 2024'!$D$4:$D$1753,$B89,'май 2024'!$J$4:$J$1753,G$1)</f>
        <v>0</v>
      </c>
      <c r="H89" s="80">
        <f>SUMIFS('май 2024'!$G$4:$G$1753,'май 2024'!$D$4:$D$1753,$B89,'май 2024'!$J$4:$J$1753,H$1)</f>
        <v>0</v>
      </c>
      <c r="I89" s="80">
        <f>SUMIFS('май 2024'!$G$4:$G$1753,'май 2024'!$D$4:$D$1753,$B89,'май 2024'!$J$4:$J$1753,I$1)</f>
        <v>0</v>
      </c>
      <c r="J89" s="80">
        <f>SUMIFS('май 2024'!$G$4:$G$1753,'май 2024'!$D$4:$D$1753,$B89,'май 2024'!$J$4:$J$1753,J$1)</f>
        <v>0</v>
      </c>
      <c r="K89" s="80">
        <f>SUMIFS('май 2024'!$G$4:$G$1753,'май 2024'!$D$4:$D$1753,$B89,'май 2024'!$J$4:$J$1753,K$1)</f>
        <v>0</v>
      </c>
      <c r="L89" s="80">
        <f>SUMIFS('май 2024'!$G$4:$G$1753,'май 2024'!$D$4:$D$1753,$B89,'май 2024'!$J$4:$J$1753,L$1)</f>
        <v>0</v>
      </c>
      <c r="M89" s="80">
        <f>SUMIFS('май 2024'!$G$4:$G$1753,'май 2024'!$D$4:$D$1753,$B89,'май 2024'!$J$4:$J$1753,M$1)</f>
        <v>0</v>
      </c>
      <c r="N89" s="80">
        <f>SUMIFS('май 2024'!$G$4:$G$1753,'май 2024'!$D$4:$D$1753,$B89,'май 2024'!$J$4:$J$1753,N$1)</f>
        <v>0</v>
      </c>
      <c r="O89" s="80">
        <f>SUMIFS('май 2024'!$G$4:$G$1753,'май 2024'!$D$4:$D$1753,$B89,'май 2024'!$J$4:$J$1753,O$1)</f>
        <v>0</v>
      </c>
      <c r="P89" s="80">
        <f>SUMIFS('май 2024'!$G$4:$G$1753,'май 2024'!$D$4:$D$1753,$B89,'май 2024'!$J$4:$J$1753,P$1)</f>
        <v>0</v>
      </c>
      <c r="Q89" s="80">
        <f>SUMIFS('май 2024'!$G$4:$G$1753,'май 2024'!$D$4:$D$1753,$B89,'май 2024'!$J$4:$J$1753,Q$1)</f>
        <v>0</v>
      </c>
      <c r="R89" s="80">
        <f>SUMIFS('май 2024'!$G$4:$G$1753,'май 2024'!$D$4:$D$1753,$B89,'май 2024'!$J$4:$J$1753,R$1)</f>
        <v>0</v>
      </c>
      <c r="S89" s="80">
        <f>SUMIFS('май 2024'!$G$4:$G$1753,'май 2024'!$D$4:$D$1753,$B89,'май 2024'!$J$4:$J$1753,S$1)</f>
        <v>0</v>
      </c>
      <c r="T89" s="80">
        <f>SUMIFS('май 2024'!$G$4:$G$1753,'май 2024'!$D$4:$D$1753,$B89,'май 2024'!$J$4:$J$1753,T$1)</f>
        <v>0</v>
      </c>
      <c r="U89" s="80">
        <f>SUMIFS('май 2024'!$G$4:$G$1753,'май 2024'!$D$4:$D$1753,$B89,'май 2024'!$J$4:$J$1753,U$1)</f>
        <v>0</v>
      </c>
      <c r="V89" s="80">
        <f>SUMIFS('май 2024'!$G$4:$G$1753,'май 2024'!$D$4:$D$1753,$B89,'май 2024'!$J$4:$J$1753,V$1)</f>
        <v>0</v>
      </c>
      <c r="W89" s="80">
        <f>SUMIFS('май 2024'!$G$4:$G$1753,'май 2024'!$D$4:$D$1753,$B89,'май 2024'!$J$4:$J$1753,W$1)</f>
        <v>0</v>
      </c>
      <c r="X89" s="80">
        <f>SUMIFS('май 2024'!$G$4:$G$1753,'май 2024'!$D$4:$D$1753,$B89,'май 2024'!$J$4:$J$1753,X$1)</f>
        <v>0</v>
      </c>
      <c r="Y89" s="80">
        <f>SUMIFS('май 2024'!$G$4:$G$1753,'май 2024'!$D$4:$D$1753,$B89,'май 2024'!$J$4:$J$1753,Y$1)</f>
        <v>0</v>
      </c>
      <c r="Z89" s="80">
        <f>SUMIFS('май 2024'!$G$4:$G$1753,'май 2024'!$D$4:$D$1753,$B89,'май 2024'!$J$4:$J$1753,Z$1)</f>
        <v>0</v>
      </c>
      <c r="AA89" s="80">
        <f>SUMIFS('май 2024'!$G$4:$G$1753,'май 2024'!$D$4:$D$1753,$B89,'май 2024'!$J$4:$J$1753,AA$1)</f>
        <v>0</v>
      </c>
      <c r="AB89" s="80">
        <f>SUMIFS('май 2024'!$G$4:$G$1753,'май 2024'!$D$4:$D$1753,$B89,'май 2024'!$J$4:$J$1753,AB$1)</f>
        <v>0</v>
      </c>
      <c r="AC89" s="80">
        <f>SUMIFS('май 2024'!$G$4:$G$1753,'май 2024'!$D$4:$D$1753,$B89,'май 2024'!$J$4:$J$1753,AC$1)</f>
        <v>0</v>
      </c>
      <c r="AD89" s="80">
        <f>SUMIFS('май 2024'!$G$4:$G$1753,'май 2024'!$D$4:$D$1753,$B89,'май 2024'!$J$4:$J$1753,AD$1)</f>
        <v>0</v>
      </c>
      <c r="AE89" s="80">
        <f>SUMIFS('май 2024'!$G$4:$G$1753,'май 2024'!$D$4:$D$1753,$B89,'май 2024'!$J$4:$J$1753,AE$1)</f>
        <v>0</v>
      </c>
      <c r="AF89" s="80">
        <f>SUMIFS('май 2024'!$G$4:$G$1753,'май 2024'!$D$4:$D$1753,$B89,'май 2024'!$J$4:$J$1753,AF$1)</f>
        <v>0</v>
      </c>
      <c r="AG89" s="80">
        <f>SUMIFS('май 2024'!$G$4:$G$1753,'май 2024'!$D$4:$D$1753,$B89,'май 2024'!$J$4:$J$1753,AG$1)</f>
        <v>0</v>
      </c>
      <c r="AH89" s="80">
        <f>SUMIFS('май 2024'!$G$4:$G$1753,'май 2024'!$D$4:$D$1753,$B89,'май 2024'!$J$4:$J$1753,AH$1)</f>
        <v>0</v>
      </c>
      <c r="AI89" s="21">
        <f t="shared" si="1"/>
        <v>0</v>
      </c>
    </row>
    <row r="90" spans="2:35" ht="15" customHeight="1" x14ac:dyDescent="0.25">
      <c r="B90" s="93" t="s">
        <v>323</v>
      </c>
      <c r="C90" s="91">
        <v>180</v>
      </c>
      <c r="D90" s="80">
        <f>SUMIFS('май 2024'!$G$4:$G$1753,'май 2024'!$D$4:$D$1753,$B90,'май 2024'!$J$4:$J$1753,D$1)</f>
        <v>0</v>
      </c>
      <c r="E90" s="80">
        <f>SUMIFS('май 2024'!$G$4:$G$1753,'май 2024'!$D$4:$D$1753,$B90,'май 2024'!$J$4:$J$1753,E$1)</f>
        <v>0</v>
      </c>
      <c r="F90" s="80">
        <f>SUMIFS('май 2024'!$G$4:$G$1753,'май 2024'!$D$4:$D$1753,$B90,'май 2024'!$J$4:$J$1753,F$1)</f>
        <v>0</v>
      </c>
      <c r="G90" s="80">
        <f>SUMIFS('май 2024'!$G$4:$G$1753,'май 2024'!$D$4:$D$1753,$B90,'май 2024'!$J$4:$J$1753,G$1)</f>
        <v>0</v>
      </c>
      <c r="H90" s="80">
        <f>SUMIFS('май 2024'!$G$4:$G$1753,'май 2024'!$D$4:$D$1753,$B90,'май 2024'!$J$4:$J$1753,H$1)</f>
        <v>0</v>
      </c>
      <c r="I90" s="80">
        <f>SUMIFS('май 2024'!$G$4:$G$1753,'май 2024'!$D$4:$D$1753,$B90,'май 2024'!$J$4:$J$1753,I$1)</f>
        <v>0</v>
      </c>
      <c r="J90" s="80">
        <f>SUMIFS('май 2024'!$G$4:$G$1753,'май 2024'!$D$4:$D$1753,$B90,'май 2024'!$J$4:$J$1753,J$1)</f>
        <v>0</v>
      </c>
      <c r="K90" s="80">
        <f>SUMIFS('май 2024'!$G$4:$G$1753,'май 2024'!$D$4:$D$1753,$B90,'май 2024'!$J$4:$J$1753,K$1)</f>
        <v>0</v>
      </c>
      <c r="L90" s="80">
        <f>SUMIFS('май 2024'!$G$4:$G$1753,'май 2024'!$D$4:$D$1753,$B90,'май 2024'!$J$4:$J$1753,L$1)</f>
        <v>0</v>
      </c>
      <c r="M90" s="80">
        <f>SUMIFS('май 2024'!$G$4:$G$1753,'май 2024'!$D$4:$D$1753,$B90,'май 2024'!$J$4:$J$1753,M$1)</f>
        <v>0</v>
      </c>
      <c r="N90" s="80">
        <f>SUMIFS('май 2024'!$G$4:$G$1753,'май 2024'!$D$4:$D$1753,$B90,'май 2024'!$J$4:$J$1753,N$1)</f>
        <v>0</v>
      </c>
      <c r="O90" s="80">
        <f>SUMIFS('май 2024'!$G$4:$G$1753,'май 2024'!$D$4:$D$1753,$B90,'май 2024'!$J$4:$J$1753,O$1)</f>
        <v>0</v>
      </c>
      <c r="P90" s="80">
        <f>SUMIFS('май 2024'!$G$4:$G$1753,'май 2024'!$D$4:$D$1753,$B90,'май 2024'!$J$4:$J$1753,P$1)</f>
        <v>0</v>
      </c>
      <c r="Q90" s="80">
        <f>SUMIFS('май 2024'!$G$4:$G$1753,'май 2024'!$D$4:$D$1753,$B90,'май 2024'!$J$4:$J$1753,Q$1)</f>
        <v>0</v>
      </c>
      <c r="R90" s="80">
        <f>SUMIFS('май 2024'!$G$4:$G$1753,'май 2024'!$D$4:$D$1753,$B90,'май 2024'!$J$4:$J$1753,R$1)</f>
        <v>0</v>
      </c>
      <c r="S90" s="80">
        <f>SUMIFS('май 2024'!$G$4:$G$1753,'май 2024'!$D$4:$D$1753,$B90,'май 2024'!$J$4:$J$1753,S$1)</f>
        <v>0</v>
      </c>
      <c r="T90" s="80">
        <f>SUMIFS('май 2024'!$G$4:$G$1753,'май 2024'!$D$4:$D$1753,$B90,'май 2024'!$J$4:$J$1753,T$1)</f>
        <v>0</v>
      </c>
      <c r="U90" s="80">
        <f>SUMIFS('май 2024'!$G$4:$G$1753,'май 2024'!$D$4:$D$1753,$B90,'май 2024'!$J$4:$J$1753,U$1)</f>
        <v>0</v>
      </c>
      <c r="V90" s="80">
        <f>SUMIFS('май 2024'!$G$4:$G$1753,'май 2024'!$D$4:$D$1753,$B90,'май 2024'!$J$4:$J$1753,V$1)</f>
        <v>0</v>
      </c>
      <c r="W90" s="80">
        <f>SUMIFS('май 2024'!$G$4:$G$1753,'май 2024'!$D$4:$D$1753,$B90,'май 2024'!$J$4:$J$1753,W$1)</f>
        <v>0</v>
      </c>
      <c r="X90" s="80">
        <f>SUMIFS('май 2024'!$G$4:$G$1753,'май 2024'!$D$4:$D$1753,$B90,'май 2024'!$J$4:$J$1753,X$1)</f>
        <v>0</v>
      </c>
      <c r="Y90" s="80">
        <f>SUMIFS('май 2024'!$G$4:$G$1753,'май 2024'!$D$4:$D$1753,$B90,'май 2024'!$J$4:$J$1753,Y$1)</f>
        <v>0</v>
      </c>
      <c r="Z90" s="80">
        <f>SUMIFS('май 2024'!$G$4:$G$1753,'май 2024'!$D$4:$D$1753,$B90,'май 2024'!$J$4:$J$1753,Z$1)</f>
        <v>0</v>
      </c>
      <c r="AA90" s="80">
        <f>SUMIFS('май 2024'!$G$4:$G$1753,'май 2024'!$D$4:$D$1753,$B90,'май 2024'!$J$4:$J$1753,AA$1)</f>
        <v>0</v>
      </c>
      <c r="AB90" s="80">
        <f>SUMIFS('май 2024'!$G$4:$G$1753,'май 2024'!$D$4:$D$1753,$B90,'май 2024'!$J$4:$J$1753,AB$1)</f>
        <v>0</v>
      </c>
      <c r="AC90" s="80">
        <f>SUMIFS('май 2024'!$G$4:$G$1753,'май 2024'!$D$4:$D$1753,$B90,'май 2024'!$J$4:$J$1753,AC$1)</f>
        <v>0</v>
      </c>
      <c r="AD90" s="80">
        <f>SUMIFS('май 2024'!$G$4:$G$1753,'май 2024'!$D$4:$D$1753,$B90,'май 2024'!$J$4:$J$1753,AD$1)</f>
        <v>0</v>
      </c>
      <c r="AE90" s="80">
        <f>SUMIFS('май 2024'!$G$4:$G$1753,'май 2024'!$D$4:$D$1753,$B90,'май 2024'!$J$4:$J$1753,AE$1)</f>
        <v>0</v>
      </c>
      <c r="AF90" s="80">
        <f>SUMIFS('май 2024'!$G$4:$G$1753,'май 2024'!$D$4:$D$1753,$B90,'май 2024'!$J$4:$J$1753,AF$1)</f>
        <v>0</v>
      </c>
      <c r="AG90" s="80">
        <f>SUMIFS('май 2024'!$G$4:$G$1753,'май 2024'!$D$4:$D$1753,$B90,'май 2024'!$J$4:$J$1753,AG$1)</f>
        <v>0</v>
      </c>
      <c r="AH90" s="80">
        <f>SUMIFS('май 2024'!$G$4:$G$1753,'май 2024'!$D$4:$D$1753,$B90,'май 2024'!$J$4:$J$1753,AH$1)</f>
        <v>0</v>
      </c>
      <c r="AI90" s="21">
        <f t="shared" si="1"/>
        <v>0</v>
      </c>
    </row>
    <row r="91" spans="2:35" ht="15" customHeight="1" x14ac:dyDescent="0.25">
      <c r="B91" s="93" t="s">
        <v>513</v>
      </c>
      <c r="C91" s="91">
        <v>20</v>
      </c>
      <c r="D91" s="80">
        <f>SUMIFS('май 2024'!$G$4:$G$1753,'май 2024'!$D$4:$D$1753,$B91,'май 2024'!$J$4:$J$1753,D$1)</f>
        <v>0</v>
      </c>
      <c r="E91" s="80">
        <f>SUMIFS('май 2024'!$G$4:$G$1753,'май 2024'!$D$4:$D$1753,$B91,'май 2024'!$J$4:$J$1753,E$1)</f>
        <v>0</v>
      </c>
      <c r="F91" s="80">
        <f>SUMIFS('май 2024'!$G$4:$G$1753,'май 2024'!$D$4:$D$1753,$B91,'май 2024'!$J$4:$J$1753,F$1)</f>
        <v>0</v>
      </c>
      <c r="G91" s="80">
        <f>SUMIFS('май 2024'!$G$4:$G$1753,'май 2024'!$D$4:$D$1753,$B91,'май 2024'!$J$4:$J$1753,G$1)</f>
        <v>0</v>
      </c>
      <c r="H91" s="80">
        <f>SUMIFS('май 2024'!$G$4:$G$1753,'май 2024'!$D$4:$D$1753,$B91,'май 2024'!$J$4:$J$1753,H$1)</f>
        <v>0</v>
      </c>
      <c r="I91" s="80">
        <f>SUMIFS('май 2024'!$G$4:$G$1753,'май 2024'!$D$4:$D$1753,$B91,'май 2024'!$J$4:$J$1753,I$1)</f>
        <v>0</v>
      </c>
      <c r="J91" s="80">
        <f>SUMIFS('май 2024'!$G$4:$G$1753,'май 2024'!$D$4:$D$1753,$B91,'май 2024'!$J$4:$J$1753,J$1)</f>
        <v>0</v>
      </c>
      <c r="K91" s="80">
        <f>SUMIFS('май 2024'!$G$4:$G$1753,'май 2024'!$D$4:$D$1753,$B91,'май 2024'!$J$4:$J$1753,K$1)</f>
        <v>0</v>
      </c>
      <c r="L91" s="80">
        <f>SUMIFS('май 2024'!$G$4:$G$1753,'май 2024'!$D$4:$D$1753,$B91,'май 2024'!$J$4:$J$1753,L$1)</f>
        <v>0</v>
      </c>
      <c r="M91" s="80">
        <f>SUMIFS('май 2024'!$G$4:$G$1753,'май 2024'!$D$4:$D$1753,$B91,'май 2024'!$J$4:$J$1753,M$1)</f>
        <v>0</v>
      </c>
      <c r="N91" s="80">
        <f>SUMIFS('май 2024'!$G$4:$G$1753,'май 2024'!$D$4:$D$1753,$B91,'май 2024'!$J$4:$J$1753,N$1)</f>
        <v>0</v>
      </c>
      <c r="O91" s="80">
        <f>SUMIFS('май 2024'!$G$4:$G$1753,'май 2024'!$D$4:$D$1753,$B91,'май 2024'!$J$4:$J$1753,O$1)</f>
        <v>0</v>
      </c>
      <c r="P91" s="80">
        <f>SUMIFS('май 2024'!$G$4:$G$1753,'май 2024'!$D$4:$D$1753,$B91,'май 2024'!$J$4:$J$1753,P$1)</f>
        <v>475</v>
      </c>
      <c r="Q91" s="80">
        <f>SUMIFS('май 2024'!$G$4:$G$1753,'май 2024'!$D$4:$D$1753,$B91,'май 2024'!$J$4:$J$1753,Q$1)</f>
        <v>0</v>
      </c>
      <c r="R91" s="80">
        <f>SUMIFS('май 2024'!$G$4:$G$1753,'май 2024'!$D$4:$D$1753,$B91,'май 2024'!$J$4:$J$1753,R$1)</f>
        <v>0</v>
      </c>
      <c r="S91" s="80">
        <f>SUMIFS('май 2024'!$G$4:$G$1753,'май 2024'!$D$4:$D$1753,$B91,'май 2024'!$J$4:$J$1753,S$1)</f>
        <v>0</v>
      </c>
      <c r="T91" s="80">
        <f>SUMIFS('май 2024'!$G$4:$G$1753,'май 2024'!$D$4:$D$1753,$B91,'май 2024'!$J$4:$J$1753,T$1)</f>
        <v>0</v>
      </c>
      <c r="U91" s="80">
        <f>SUMIFS('май 2024'!$G$4:$G$1753,'май 2024'!$D$4:$D$1753,$B91,'май 2024'!$J$4:$J$1753,U$1)</f>
        <v>0</v>
      </c>
      <c r="V91" s="80">
        <f>SUMIFS('май 2024'!$G$4:$G$1753,'май 2024'!$D$4:$D$1753,$B91,'май 2024'!$J$4:$J$1753,V$1)</f>
        <v>0</v>
      </c>
      <c r="W91" s="80">
        <f>SUMIFS('май 2024'!$G$4:$G$1753,'май 2024'!$D$4:$D$1753,$B91,'май 2024'!$J$4:$J$1753,W$1)</f>
        <v>0</v>
      </c>
      <c r="X91" s="80">
        <f>SUMIFS('май 2024'!$G$4:$G$1753,'май 2024'!$D$4:$D$1753,$B91,'май 2024'!$J$4:$J$1753,X$1)</f>
        <v>0</v>
      </c>
      <c r="Y91" s="80">
        <f>SUMIFS('май 2024'!$G$4:$G$1753,'май 2024'!$D$4:$D$1753,$B91,'май 2024'!$J$4:$J$1753,Y$1)</f>
        <v>0</v>
      </c>
      <c r="Z91" s="80">
        <f>SUMIFS('май 2024'!$G$4:$G$1753,'май 2024'!$D$4:$D$1753,$B91,'май 2024'!$J$4:$J$1753,Z$1)</f>
        <v>0</v>
      </c>
      <c r="AA91" s="80">
        <f>SUMIFS('май 2024'!$G$4:$G$1753,'май 2024'!$D$4:$D$1753,$B91,'май 2024'!$J$4:$J$1753,AA$1)</f>
        <v>0</v>
      </c>
      <c r="AB91" s="80">
        <f>SUMIFS('май 2024'!$G$4:$G$1753,'май 2024'!$D$4:$D$1753,$B91,'май 2024'!$J$4:$J$1753,AB$1)</f>
        <v>0</v>
      </c>
      <c r="AC91" s="80">
        <f>SUMIFS('май 2024'!$G$4:$G$1753,'май 2024'!$D$4:$D$1753,$B91,'май 2024'!$J$4:$J$1753,AC$1)</f>
        <v>0</v>
      </c>
      <c r="AD91" s="80">
        <f>SUMIFS('май 2024'!$G$4:$G$1753,'май 2024'!$D$4:$D$1753,$B91,'май 2024'!$J$4:$J$1753,AD$1)</f>
        <v>0</v>
      </c>
      <c r="AE91" s="80">
        <f>SUMIFS('май 2024'!$G$4:$G$1753,'май 2024'!$D$4:$D$1753,$B91,'май 2024'!$J$4:$J$1753,AE$1)</f>
        <v>0</v>
      </c>
      <c r="AF91" s="80">
        <f>SUMIFS('май 2024'!$G$4:$G$1753,'май 2024'!$D$4:$D$1753,$B91,'май 2024'!$J$4:$J$1753,AF$1)</f>
        <v>0</v>
      </c>
      <c r="AG91" s="80">
        <f>SUMIFS('май 2024'!$G$4:$G$1753,'май 2024'!$D$4:$D$1753,$B91,'май 2024'!$J$4:$J$1753,AG$1)</f>
        <v>0</v>
      </c>
      <c r="AH91" s="80">
        <f>SUMIFS('май 2024'!$G$4:$G$1753,'май 2024'!$D$4:$D$1753,$B91,'май 2024'!$J$4:$J$1753,AH$1)</f>
        <v>0</v>
      </c>
      <c r="AI91" s="21">
        <f t="shared" si="1"/>
        <v>475</v>
      </c>
    </row>
    <row r="92" spans="2:35" ht="15" customHeight="1" x14ac:dyDescent="0.25">
      <c r="B92" s="93" t="s">
        <v>203</v>
      </c>
      <c r="C92" s="91">
        <v>180</v>
      </c>
      <c r="D92" s="80">
        <f>SUMIFS('май 2024'!$G$4:$G$1753,'май 2024'!$D$4:$D$1753,$B92,'май 2024'!$J$4:$J$1753,D$1)</f>
        <v>0</v>
      </c>
      <c r="E92" s="80">
        <f>SUMIFS('май 2024'!$G$4:$G$1753,'май 2024'!$D$4:$D$1753,$B92,'май 2024'!$J$4:$J$1753,E$1)</f>
        <v>0</v>
      </c>
      <c r="F92" s="80">
        <f>SUMIFS('май 2024'!$G$4:$G$1753,'май 2024'!$D$4:$D$1753,$B92,'май 2024'!$J$4:$J$1753,F$1)</f>
        <v>0</v>
      </c>
      <c r="G92" s="80">
        <f>SUMIFS('май 2024'!$G$4:$G$1753,'май 2024'!$D$4:$D$1753,$B92,'май 2024'!$J$4:$J$1753,G$1)</f>
        <v>0</v>
      </c>
      <c r="H92" s="80">
        <f>SUMIFS('май 2024'!$G$4:$G$1753,'май 2024'!$D$4:$D$1753,$B92,'май 2024'!$J$4:$J$1753,H$1)</f>
        <v>0</v>
      </c>
      <c r="I92" s="80">
        <f>SUMIFS('май 2024'!$G$4:$G$1753,'май 2024'!$D$4:$D$1753,$B92,'май 2024'!$J$4:$J$1753,I$1)</f>
        <v>0</v>
      </c>
      <c r="J92" s="80">
        <f>SUMIFS('май 2024'!$G$4:$G$1753,'май 2024'!$D$4:$D$1753,$B92,'май 2024'!$J$4:$J$1753,J$1)</f>
        <v>0</v>
      </c>
      <c r="K92" s="80">
        <f>SUMIFS('май 2024'!$G$4:$G$1753,'май 2024'!$D$4:$D$1753,$B92,'май 2024'!$J$4:$J$1753,K$1)</f>
        <v>0</v>
      </c>
      <c r="L92" s="80">
        <f>SUMIFS('май 2024'!$G$4:$G$1753,'май 2024'!$D$4:$D$1753,$B92,'май 2024'!$J$4:$J$1753,L$1)</f>
        <v>0</v>
      </c>
      <c r="M92" s="80">
        <f>SUMIFS('май 2024'!$G$4:$G$1753,'май 2024'!$D$4:$D$1753,$B92,'май 2024'!$J$4:$J$1753,M$1)</f>
        <v>0</v>
      </c>
      <c r="N92" s="80">
        <f>SUMIFS('май 2024'!$G$4:$G$1753,'май 2024'!$D$4:$D$1753,$B92,'май 2024'!$J$4:$J$1753,N$1)</f>
        <v>0</v>
      </c>
      <c r="O92" s="80">
        <f>SUMIFS('май 2024'!$G$4:$G$1753,'май 2024'!$D$4:$D$1753,$B92,'май 2024'!$J$4:$J$1753,O$1)</f>
        <v>0</v>
      </c>
      <c r="P92" s="80">
        <f>SUMIFS('май 2024'!$G$4:$G$1753,'май 2024'!$D$4:$D$1753,$B92,'май 2024'!$J$4:$J$1753,P$1)</f>
        <v>0</v>
      </c>
      <c r="Q92" s="80">
        <f>SUMIFS('май 2024'!$G$4:$G$1753,'май 2024'!$D$4:$D$1753,$B92,'май 2024'!$J$4:$J$1753,Q$1)</f>
        <v>0</v>
      </c>
      <c r="R92" s="80">
        <f>SUMIFS('май 2024'!$G$4:$G$1753,'май 2024'!$D$4:$D$1753,$B92,'май 2024'!$J$4:$J$1753,R$1)</f>
        <v>0</v>
      </c>
      <c r="S92" s="80">
        <f>SUMIFS('май 2024'!$G$4:$G$1753,'май 2024'!$D$4:$D$1753,$B92,'май 2024'!$J$4:$J$1753,S$1)</f>
        <v>0</v>
      </c>
      <c r="T92" s="80">
        <f>SUMIFS('май 2024'!$G$4:$G$1753,'май 2024'!$D$4:$D$1753,$B92,'май 2024'!$J$4:$J$1753,T$1)</f>
        <v>0</v>
      </c>
      <c r="U92" s="80">
        <f>SUMIFS('май 2024'!$G$4:$G$1753,'май 2024'!$D$4:$D$1753,$B92,'май 2024'!$J$4:$J$1753,U$1)</f>
        <v>0</v>
      </c>
      <c r="V92" s="80">
        <f>SUMIFS('май 2024'!$G$4:$G$1753,'май 2024'!$D$4:$D$1753,$B92,'май 2024'!$J$4:$J$1753,V$1)</f>
        <v>0</v>
      </c>
      <c r="W92" s="80">
        <f>SUMIFS('май 2024'!$G$4:$G$1753,'май 2024'!$D$4:$D$1753,$B92,'май 2024'!$J$4:$J$1753,W$1)</f>
        <v>0</v>
      </c>
      <c r="X92" s="80">
        <f>SUMIFS('май 2024'!$G$4:$G$1753,'май 2024'!$D$4:$D$1753,$B92,'май 2024'!$J$4:$J$1753,X$1)</f>
        <v>0</v>
      </c>
      <c r="Y92" s="80">
        <f>SUMIFS('май 2024'!$G$4:$G$1753,'май 2024'!$D$4:$D$1753,$B92,'май 2024'!$J$4:$J$1753,Y$1)</f>
        <v>0</v>
      </c>
      <c r="Z92" s="80">
        <f>SUMIFS('май 2024'!$G$4:$G$1753,'май 2024'!$D$4:$D$1753,$B92,'май 2024'!$J$4:$J$1753,Z$1)</f>
        <v>0</v>
      </c>
      <c r="AA92" s="80">
        <f>SUMIFS('май 2024'!$G$4:$G$1753,'май 2024'!$D$4:$D$1753,$B92,'май 2024'!$J$4:$J$1753,AA$1)</f>
        <v>0</v>
      </c>
      <c r="AB92" s="80">
        <f>SUMIFS('май 2024'!$G$4:$G$1753,'май 2024'!$D$4:$D$1753,$B92,'май 2024'!$J$4:$J$1753,AB$1)</f>
        <v>0</v>
      </c>
      <c r="AC92" s="80">
        <f>SUMIFS('май 2024'!$G$4:$G$1753,'май 2024'!$D$4:$D$1753,$B92,'май 2024'!$J$4:$J$1753,AC$1)</f>
        <v>0</v>
      </c>
      <c r="AD92" s="80">
        <f>SUMIFS('май 2024'!$G$4:$G$1753,'май 2024'!$D$4:$D$1753,$B92,'май 2024'!$J$4:$J$1753,AD$1)</f>
        <v>0</v>
      </c>
      <c r="AE92" s="80">
        <f>SUMIFS('май 2024'!$G$4:$G$1753,'май 2024'!$D$4:$D$1753,$B92,'май 2024'!$J$4:$J$1753,AE$1)</f>
        <v>0</v>
      </c>
      <c r="AF92" s="80">
        <f>SUMIFS('май 2024'!$G$4:$G$1753,'май 2024'!$D$4:$D$1753,$B92,'май 2024'!$J$4:$J$1753,AF$1)</f>
        <v>0</v>
      </c>
      <c r="AG92" s="80">
        <f>SUMIFS('май 2024'!$G$4:$G$1753,'май 2024'!$D$4:$D$1753,$B92,'май 2024'!$J$4:$J$1753,AG$1)</f>
        <v>0</v>
      </c>
      <c r="AH92" s="80">
        <f>SUMIFS('май 2024'!$G$4:$G$1753,'май 2024'!$D$4:$D$1753,$B92,'май 2024'!$J$4:$J$1753,AH$1)</f>
        <v>0</v>
      </c>
      <c r="AI92" s="21">
        <f t="shared" si="1"/>
        <v>0</v>
      </c>
    </row>
    <row r="93" spans="2:35" ht="15" customHeight="1" x14ac:dyDescent="0.25">
      <c r="B93" s="89" t="s">
        <v>204</v>
      </c>
      <c r="C93" s="88">
        <v>200</v>
      </c>
      <c r="D93" s="80">
        <f>SUMIFS('май 2024'!$G$4:$G$1753,'май 2024'!$D$4:$D$1753,$B93,'май 2024'!$J$4:$J$1753,D$1)</f>
        <v>0</v>
      </c>
      <c r="E93" s="80">
        <f>SUMIFS('май 2024'!$G$4:$G$1753,'май 2024'!$D$4:$D$1753,$B93,'май 2024'!$J$4:$J$1753,E$1)</f>
        <v>0</v>
      </c>
      <c r="F93" s="80">
        <f>SUMIFS('май 2024'!$G$4:$G$1753,'май 2024'!$D$4:$D$1753,$B93,'май 2024'!$J$4:$J$1753,F$1)</f>
        <v>0</v>
      </c>
      <c r="G93" s="80">
        <f>SUMIFS('май 2024'!$G$4:$G$1753,'май 2024'!$D$4:$D$1753,$B93,'май 2024'!$J$4:$J$1753,G$1)</f>
        <v>0</v>
      </c>
      <c r="H93" s="80">
        <f>SUMIFS('май 2024'!$G$4:$G$1753,'май 2024'!$D$4:$D$1753,$B93,'май 2024'!$J$4:$J$1753,H$1)</f>
        <v>0</v>
      </c>
      <c r="I93" s="80">
        <f>SUMIFS('май 2024'!$G$4:$G$1753,'май 2024'!$D$4:$D$1753,$B93,'май 2024'!$J$4:$J$1753,I$1)</f>
        <v>0</v>
      </c>
      <c r="J93" s="80">
        <f>SUMIFS('май 2024'!$G$4:$G$1753,'май 2024'!$D$4:$D$1753,$B93,'май 2024'!$J$4:$J$1753,J$1)</f>
        <v>0</v>
      </c>
      <c r="K93" s="80">
        <f>SUMIFS('май 2024'!$G$4:$G$1753,'май 2024'!$D$4:$D$1753,$B93,'май 2024'!$J$4:$J$1753,K$1)</f>
        <v>0</v>
      </c>
      <c r="L93" s="80">
        <f>SUMIFS('май 2024'!$G$4:$G$1753,'май 2024'!$D$4:$D$1753,$B93,'май 2024'!$J$4:$J$1753,L$1)</f>
        <v>0</v>
      </c>
      <c r="M93" s="80">
        <f>SUMIFS('май 2024'!$G$4:$G$1753,'май 2024'!$D$4:$D$1753,$B93,'май 2024'!$J$4:$J$1753,M$1)</f>
        <v>0</v>
      </c>
      <c r="N93" s="80">
        <f>SUMIFS('май 2024'!$G$4:$G$1753,'май 2024'!$D$4:$D$1753,$B93,'май 2024'!$J$4:$J$1753,N$1)</f>
        <v>0</v>
      </c>
      <c r="O93" s="80">
        <f>SUMIFS('май 2024'!$G$4:$G$1753,'май 2024'!$D$4:$D$1753,$B93,'май 2024'!$J$4:$J$1753,O$1)</f>
        <v>0</v>
      </c>
      <c r="P93" s="80">
        <f>SUMIFS('май 2024'!$G$4:$G$1753,'май 2024'!$D$4:$D$1753,$B93,'май 2024'!$J$4:$J$1753,P$1)</f>
        <v>36</v>
      </c>
      <c r="Q93" s="80">
        <f>SUMIFS('май 2024'!$G$4:$G$1753,'май 2024'!$D$4:$D$1753,$B93,'май 2024'!$J$4:$J$1753,Q$1)</f>
        <v>0</v>
      </c>
      <c r="R93" s="80">
        <f>SUMIFS('май 2024'!$G$4:$G$1753,'май 2024'!$D$4:$D$1753,$B93,'май 2024'!$J$4:$J$1753,R$1)</f>
        <v>0</v>
      </c>
      <c r="S93" s="80">
        <f>SUMIFS('май 2024'!$G$4:$G$1753,'май 2024'!$D$4:$D$1753,$B93,'май 2024'!$J$4:$J$1753,S$1)</f>
        <v>0</v>
      </c>
      <c r="T93" s="80">
        <f>SUMIFS('май 2024'!$G$4:$G$1753,'май 2024'!$D$4:$D$1753,$B93,'май 2024'!$J$4:$J$1753,T$1)</f>
        <v>0</v>
      </c>
      <c r="U93" s="80">
        <f>SUMIFS('май 2024'!$G$4:$G$1753,'май 2024'!$D$4:$D$1753,$B93,'май 2024'!$J$4:$J$1753,U$1)</f>
        <v>0</v>
      </c>
      <c r="V93" s="80">
        <f>SUMIFS('май 2024'!$G$4:$G$1753,'май 2024'!$D$4:$D$1753,$B93,'май 2024'!$J$4:$J$1753,V$1)</f>
        <v>0</v>
      </c>
      <c r="W93" s="80">
        <f>SUMIFS('май 2024'!$G$4:$G$1753,'май 2024'!$D$4:$D$1753,$B93,'май 2024'!$J$4:$J$1753,W$1)</f>
        <v>0</v>
      </c>
      <c r="X93" s="80">
        <f>SUMIFS('май 2024'!$G$4:$G$1753,'май 2024'!$D$4:$D$1753,$B93,'май 2024'!$J$4:$J$1753,X$1)</f>
        <v>0</v>
      </c>
      <c r="Y93" s="80">
        <f>SUMIFS('май 2024'!$G$4:$G$1753,'май 2024'!$D$4:$D$1753,$B93,'май 2024'!$J$4:$J$1753,Y$1)</f>
        <v>0</v>
      </c>
      <c r="Z93" s="80">
        <f>SUMIFS('май 2024'!$G$4:$G$1753,'май 2024'!$D$4:$D$1753,$B93,'май 2024'!$J$4:$J$1753,Z$1)</f>
        <v>0</v>
      </c>
      <c r="AA93" s="80">
        <f>SUMIFS('май 2024'!$G$4:$G$1753,'май 2024'!$D$4:$D$1753,$B93,'май 2024'!$J$4:$J$1753,AA$1)</f>
        <v>24</v>
      </c>
      <c r="AB93" s="80">
        <f>SUMIFS('май 2024'!$G$4:$G$1753,'май 2024'!$D$4:$D$1753,$B93,'май 2024'!$J$4:$J$1753,AB$1)</f>
        <v>0</v>
      </c>
      <c r="AC93" s="80">
        <f>SUMIFS('май 2024'!$G$4:$G$1753,'май 2024'!$D$4:$D$1753,$B93,'май 2024'!$J$4:$J$1753,AC$1)</f>
        <v>0</v>
      </c>
      <c r="AD93" s="80">
        <f>SUMIFS('май 2024'!$G$4:$G$1753,'май 2024'!$D$4:$D$1753,$B93,'май 2024'!$J$4:$J$1753,AD$1)</f>
        <v>0</v>
      </c>
      <c r="AE93" s="80">
        <f>SUMIFS('май 2024'!$G$4:$G$1753,'май 2024'!$D$4:$D$1753,$B93,'май 2024'!$J$4:$J$1753,AE$1)</f>
        <v>0</v>
      </c>
      <c r="AF93" s="80">
        <f>SUMIFS('май 2024'!$G$4:$G$1753,'май 2024'!$D$4:$D$1753,$B93,'май 2024'!$J$4:$J$1753,AF$1)</f>
        <v>0</v>
      </c>
      <c r="AG93" s="80">
        <f>SUMIFS('май 2024'!$G$4:$G$1753,'май 2024'!$D$4:$D$1753,$B93,'май 2024'!$J$4:$J$1753,AG$1)</f>
        <v>0</v>
      </c>
      <c r="AH93" s="80">
        <f>SUMIFS('май 2024'!$G$4:$G$1753,'май 2024'!$D$4:$D$1753,$B93,'май 2024'!$J$4:$J$1753,AH$1)</f>
        <v>0</v>
      </c>
      <c r="AI93" s="21">
        <f t="shared" si="1"/>
        <v>60</v>
      </c>
    </row>
    <row r="94" spans="2:35" ht="15" customHeight="1" x14ac:dyDescent="0.25">
      <c r="B94" s="92" t="s">
        <v>175</v>
      </c>
      <c r="C94" s="91">
        <v>180</v>
      </c>
      <c r="D94" s="80">
        <f>SUMIFS('май 2024'!$G$4:$G$1753,'май 2024'!$D$4:$D$1753,$B94,'май 2024'!$J$4:$J$1753,D$1)</f>
        <v>0</v>
      </c>
      <c r="E94" s="80">
        <f>SUMIFS('май 2024'!$G$4:$G$1753,'май 2024'!$D$4:$D$1753,$B94,'май 2024'!$J$4:$J$1753,E$1)</f>
        <v>0</v>
      </c>
      <c r="F94" s="80">
        <f>SUMIFS('май 2024'!$G$4:$G$1753,'май 2024'!$D$4:$D$1753,$B94,'май 2024'!$J$4:$J$1753,F$1)</f>
        <v>0</v>
      </c>
      <c r="G94" s="80">
        <f>SUMIFS('май 2024'!$G$4:$G$1753,'май 2024'!$D$4:$D$1753,$B94,'май 2024'!$J$4:$J$1753,G$1)</f>
        <v>0</v>
      </c>
      <c r="H94" s="80">
        <f>SUMIFS('май 2024'!$G$4:$G$1753,'май 2024'!$D$4:$D$1753,$B94,'май 2024'!$J$4:$J$1753,H$1)</f>
        <v>0</v>
      </c>
      <c r="I94" s="80">
        <f>SUMIFS('май 2024'!$G$4:$G$1753,'май 2024'!$D$4:$D$1753,$B94,'май 2024'!$J$4:$J$1753,I$1)</f>
        <v>0</v>
      </c>
      <c r="J94" s="80">
        <f>SUMIFS('май 2024'!$G$4:$G$1753,'май 2024'!$D$4:$D$1753,$B94,'май 2024'!$J$4:$J$1753,J$1)</f>
        <v>0</v>
      </c>
      <c r="K94" s="80">
        <f>SUMIFS('май 2024'!$G$4:$G$1753,'май 2024'!$D$4:$D$1753,$B94,'май 2024'!$J$4:$J$1753,K$1)</f>
        <v>0</v>
      </c>
      <c r="L94" s="80">
        <f>SUMIFS('май 2024'!$G$4:$G$1753,'май 2024'!$D$4:$D$1753,$B94,'май 2024'!$J$4:$J$1753,L$1)</f>
        <v>0</v>
      </c>
      <c r="M94" s="80">
        <f>SUMIFS('май 2024'!$G$4:$G$1753,'май 2024'!$D$4:$D$1753,$B94,'май 2024'!$J$4:$J$1753,M$1)</f>
        <v>0</v>
      </c>
      <c r="N94" s="80">
        <f>SUMIFS('май 2024'!$G$4:$G$1753,'май 2024'!$D$4:$D$1753,$B94,'май 2024'!$J$4:$J$1753,N$1)</f>
        <v>0</v>
      </c>
      <c r="O94" s="80">
        <f>SUMIFS('май 2024'!$G$4:$G$1753,'май 2024'!$D$4:$D$1753,$B94,'май 2024'!$J$4:$J$1753,O$1)</f>
        <v>0</v>
      </c>
      <c r="P94" s="80">
        <f>SUMIFS('май 2024'!$G$4:$G$1753,'май 2024'!$D$4:$D$1753,$B94,'май 2024'!$J$4:$J$1753,P$1)</f>
        <v>0</v>
      </c>
      <c r="Q94" s="80">
        <f>SUMIFS('май 2024'!$G$4:$G$1753,'май 2024'!$D$4:$D$1753,$B94,'май 2024'!$J$4:$J$1753,Q$1)</f>
        <v>0</v>
      </c>
      <c r="R94" s="80">
        <f>SUMIFS('май 2024'!$G$4:$G$1753,'май 2024'!$D$4:$D$1753,$B94,'май 2024'!$J$4:$J$1753,R$1)</f>
        <v>0</v>
      </c>
      <c r="S94" s="80">
        <f>SUMIFS('май 2024'!$G$4:$G$1753,'май 2024'!$D$4:$D$1753,$B94,'май 2024'!$J$4:$J$1753,S$1)</f>
        <v>0</v>
      </c>
      <c r="T94" s="80">
        <f>SUMIFS('май 2024'!$G$4:$G$1753,'май 2024'!$D$4:$D$1753,$B94,'май 2024'!$J$4:$J$1753,T$1)</f>
        <v>0</v>
      </c>
      <c r="U94" s="80">
        <f>SUMIFS('май 2024'!$G$4:$G$1753,'май 2024'!$D$4:$D$1753,$B94,'май 2024'!$J$4:$J$1753,U$1)</f>
        <v>0</v>
      </c>
      <c r="V94" s="80">
        <f>SUMIFS('май 2024'!$G$4:$G$1753,'май 2024'!$D$4:$D$1753,$B94,'май 2024'!$J$4:$J$1753,V$1)</f>
        <v>0</v>
      </c>
      <c r="W94" s="80">
        <f>SUMIFS('май 2024'!$G$4:$G$1753,'май 2024'!$D$4:$D$1753,$B94,'май 2024'!$J$4:$J$1753,W$1)</f>
        <v>0</v>
      </c>
      <c r="X94" s="80">
        <f>SUMIFS('май 2024'!$G$4:$G$1753,'май 2024'!$D$4:$D$1753,$B94,'май 2024'!$J$4:$J$1753,X$1)</f>
        <v>0</v>
      </c>
      <c r="Y94" s="80">
        <f>SUMIFS('май 2024'!$G$4:$G$1753,'май 2024'!$D$4:$D$1753,$B94,'май 2024'!$J$4:$J$1753,Y$1)</f>
        <v>0</v>
      </c>
      <c r="Z94" s="80">
        <f>SUMIFS('май 2024'!$G$4:$G$1753,'май 2024'!$D$4:$D$1753,$B94,'май 2024'!$J$4:$J$1753,Z$1)</f>
        <v>0</v>
      </c>
      <c r="AA94" s="80">
        <f>SUMIFS('май 2024'!$G$4:$G$1753,'май 2024'!$D$4:$D$1753,$B94,'май 2024'!$J$4:$J$1753,AA$1)</f>
        <v>0</v>
      </c>
      <c r="AB94" s="80">
        <f>SUMIFS('май 2024'!$G$4:$G$1753,'май 2024'!$D$4:$D$1753,$B94,'май 2024'!$J$4:$J$1753,AB$1)</f>
        <v>0</v>
      </c>
      <c r="AC94" s="80">
        <f>SUMIFS('май 2024'!$G$4:$G$1753,'май 2024'!$D$4:$D$1753,$B94,'май 2024'!$J$4:$J$1753,AC$1)</f>
        <v>0</v>
      </c>
      <c r="AD94" s="80">
        <f>SUMIFS('май 2024'!$G$4:$G$1753,'май 2024'!$D$4:$D$1753,$B94,'май 2024'!$J$4:$J$1753,AD$1)</f>
        <v>0</v>
      </c>
      <c r="AE94" s="80">
        <f>SUMIFS('май 2024'!$G$4:$G$1753,'май 2024'!$D$4:$D$1753,$B94,'май 2024'!$J$4:$J$1753,AE$1)</f>
        <v>0</v>
      </c>
      <c r="AF94" s="80">
        <f>SUMIFS('май 2024'!$G$4:$G$1753,'май 2024'!$D$4:$D$1753,$B94,'май 2024'!$J$4:$J$1753,AF$1)</f>
        <v>0</v>
      </c>
      <c r="AG94" s="80">
        <f>SUMIFS('май 2024'!$G$4:$G$1753,'май 2024'!$D$4:$D$1753,$B94,'май 2024'!$J$4:$J$1753,AG$1)</f>
        <v>0</v>
      </c>
      <c r="AH94" s="80">
        <f>SUMIFS('май 2024'!$G$4:$G$1753,'май 2024'!$D$4:$D$1753,$B94,'май 2024'!$J$4:$J$1753,AH$1)</f>
        <v>0</v>
      </c>
      <c r="AI94" s="21">
        <f t="shared" si="1"/>
        <v>0</v>
      </c>
    </row>
    <row r="95" spans="2:35" ht="15" customHeight="1" x14ac:dyDescent="0.25">
      <c r="B95" s="89" t="s">
        <v>176</v>
      </c>
      <c r="C95" s="91">
        <v>200</v>
      </c>
      <c r="D95" s="80">
        <f>SUMIFS('май 2024'!$G$4:$G$1753,'май 2024'!$D$4:$D$1753,$B95,'май 2024'!$J$4:$J$1753,D$1)</f>
        <v>0</v>
      </c>
      <c r="E95" s="80">
        <f>SUMIFS('май 2024'!$G$4:$G$1753,'май 2024'!$D$4:$D$1753,$B95,'май 2024'!$J$4:$J$1753,E$1)</f>
        <v>0</v>
      </c>
      <c r="F95" s="80">
        <f>SUMIFS('май 2024'!$G$4:$G$1753,'май 2024'!$D$4:$D$1753,$B95,'май 2024'!$J$4:$J$1753,F$1)</f>
        <v>0</v>
      </c>
      <c r="G95" s="80">
        <f>SUMIFS('май 2024'!$G$4:$G$1753,'май 2024'!$D$4:$D$1753,$B95,'май 2024'!$J$4:$J$1753,G$1)</f>
        <v>0</v>
      </c>
      <c r="H95" s="80">
        <f>SUMIFS('май 2024'!$G$4:$G$1753,'май 2024'!$D$4:$D$1753,$B95,'май 2024'!$J$4:$J$1753,H$1)</f>
        <v>0</v>
      </c>
      <c r="I95" s="80">
        <f>SUMIFS('май 2024'!$G$4:$G$1753,'май 2024'!$D$4:$D$1753,$B95,'май 2024'!$J$4:$J$1753,I$1)</f>
        <v>0</v>
      </c>
      <c r="J95" s="80">
        <f>SUMIFS('май 2024'!$G$4:$G$1753,'май 2024'!$D$4:$D$1753,$B95,'май 2024'!$J$4:$J$1753,J$1)</f>
        <v>0</v>
      </c>
      <c r="K95" s="80">
        <f>SUMIFS('май 2024'!$G$4:$G$1753,'май 2024'!$D$4:$D$1753,$B95,'май 2024'!$J$4:$J$1753,K$1)</f>
        <v>0</v>
      </c>
      <c r="L95" s="80">
        <f>SUMIFS('май 2024'!$G$4:$G$1753,'май 2024'!$D$4:$D$1753,$B95,'май 2024'!$J$4:$J$1753,L$1)</f>
        <v>0</v>
      </c>
      <c r="M95" s="80">
        <f>SUMIFS('май 2024'!$G$4:$G$1753,'май 2024'!$D$4:$D$1753,$B95,'май 2024'!$J$4:$J$1753,M$1)</f>
        <v>0</v>
      </c>
      <c r="N95" s="80">
        <f>SUMIFS('май 2024'!$G$4:$G$1753,'май 2024'!$D$4:$D$1753,$B95,'май 2024'!$J$4:$J$1753,N$1)</f>
        <v>0</v>
      </c>
      <c r="O95" s="80">
        <f>SUMIFS('май 2024'!$G$4:$G$1753,'май 2024'!$D$4:$D$1753,$B95,'май 2024'!$J$4:$J$1753,O$1)</f>
        <v>0</v>
      </c>
      <c r="P95" s="80">
        <f>SUMIFS('май 2024'!$G$4:$G$1753,'май 2024'!$D$4:$D$1753,$B95,'май 2024'!$J$4:$J$1753,P$1)</f>
        <v>0</v>
      </c>
      <c r="Q95" s="80">
        <f>SUMIFS('май 2024'!$G$4:$G$1753,'май 2024'!$D$4:$D$1753,$B95,'май 2024'!$J$4:$J$1753,Q$1)</f>
        <v>0</v>
      </c>
      <c r="R95" s="80">
        <f>SUMIFS('май 2024'!$G$4:$G$1753,'май 2024'!$D$4:$D$1753,$B95,'май 2024'!$J$4:$J$1753,R$1)</f>
        <v>0</v>
      </c>
      <c r="S95" s="80">
        <f>SUMIFS('май 2024'!$G$4:$G$1753,'май 2024'!$D$4:$D$1753,$B95,'май 2024'!$J$4:$J$1753,S$1)</f>
        <v>0</v>
      </c>
      <c r="T95" s="80">
        <f>SUMIFS('май 2024'!$G$4:$G$1753,'май 2024'!$D$4:$D$1753,$B95,'май 2024'!$J$4:$J$1753,T$1)</f>
        <v>0</v>
      </c>
      <c r="U95" s="80">
        <f>SUMIFS('май 2024'!$G$4:$G$1753,'май 2024'!$D$4:$D$1753,$B95,'май 2024'!$J$4:$J$1753,U$1)</f>
        <v>0</v>
      </c>
      <c r="V95" s="80">
        <f>SUMIFS('май 2024'!$G$4:$G$1753,'май 2024'!$D$4:$D$1753,$B95,'май 2024'!$J$4:$J$1753,V$1)</f>
        <v>0</v>
      </c>
      <c r="W95" s="80">
        <f>SUMIFS('май 2024'!$G$4:$G$1753,'май 2024'!$D$4:$D$1753,$B95,'май 2024'!$J$4:$J$1753,W$1)</f>
        <v>0</v>
      </c>
      <c r="X95" s="80">
        <f>SUMIFS('май 2024'!$G$4:$G$1753,'май 2024'!$D$4:$D$1753,$B95,'май 2024'!$J$4:$J$1753,X$1)</f>
        <v>0</v>
      </c>
      <c r="Y95" s="80">
        <f>SUMIFS('май 2024'!$G$4:$G$1753,'май 2024'!$D$4:$D$1753,$B95,'май 2024'!$J$4:$J$1753,Y$1)</f>
        <v>0</v>
      </c>
      <c r="Z95" s="80">
        <f>SUMIFS('май 2024'!$G$4:$G$1753,'май 2024'!$D$4:$D$1753,$B95,'май 2024'!$J$4:$J$1753,Z$1)</f>
        <v>0</v>
      </c>
      <c r="AA95" s="80">
        <f>SUMIFS('май 2024'!$G$4:$G$1753,'май 2024'!$D$4:$D$1753,$B95,'май 2024'!$J$4:$J$1753,AA$1)</f>
        <v>0</v>
      </c>
      <c r="AB95" s="80">
        <f>SUMIFS('май 2024'!$G$4:$G$1753,'май 2024'!$D$4:$D$1753,$B95,'май 2024'!$J$4:$J$1753,AB$1)</f>
        <v>0</v>
      </c>
      <c r="AC95" s="80">
        <f>SUMIFS('май 2024'!$G$4:$G$1753,'май 2024'!$D$4:$D$1753,$B95,'май 2024'!$J$4:$J$1753,AC$1)</f>
        <v>0</v>
      </c>
      <c r="AD95" s="80">
        <f>SUMIFS('май 2024'!$G$4:$G$1753,'май 2024'!$D$4:$D$1753,$B95,'май 2024'!$J$4:$J$1753,AD$1)</f>
        <v>0</v>
      </c>
      <c r="AE95" s="80">
        <f>SUMIFS('май 2024'!$G$4:$G$1753,'май 2024'!$D$4:$D$1753,$B95,'май 2024'!$J$4:$J$1753,AE$1)</f>
        <v>0</v>
      </c>
      <c r="AF95" s="80">
        <f>SUMIFS('май 2024'!$G$4:$G$1753,'май 2024'!$D$4:$D$1753,$B95,'май 2024'!$J$4:$J$1753,AF$1)</f>
        <v>0</v>
      </c>
      <c r="AG95" s="80">
        <f>SUMIFS('май 2024'!$G$4:$G$1753,'май 2024'!$D$4:$D$1753,$B95,'май 2024'!$J$4:$J$1753,AG$1)</f>
        <v>0</v>
      </c>
      <c r="AH95" s="80">
        <f>SUMIFS('май 2024'!$G$4:$G$1753,'май 2024'!$D$4:$D$1753,$B95,'май 2024'!$J$4:$J$1753,AH$1)</f>
        <v>0</v>
      </c>
      <c r="AI95" s="21">
        <f t="shared" si="1"/>
        <v>0</v>
      </c>
    </row>
    <row r="96" spans="2:35" ht="15" customHeight="1" x14ac:dyDescent="0.25">
      <c r="B96" s="89" t="s">
        <v>205</v>
      </c>
      <c r="C96" s="88">
        <v>185</v>
      </c>
      <c r="D96" s="80">
        <f>SUMIFS('май 2024'!$G$4:$G$1753,'май 2024'!$D$4:$D$1753,$B96,'май 2024'!$J$4:$J$1753,D$1)</f>
        <v>0</v>
      </c>
      <c r="E96" s="80">
        <f>SUMIFS('май 2024'!$G$4:$G$1753,'май 2024'!$D$4:$D$1753,$B96,'май 2024'!$J$4:$J$1753,E$1)</f>
        <v>0</v>
      </c>
      <c r="F96" s="80">
        <f>SUMIFS('май 2024'!$G$4:$G$1753,'май 2024'!$D$4:$D$1753,$B96,'май 2024'!$J$4:$J$1753,F$1)</f>
        <v>0</v>
      </c>
      <c r="G96" s="80">
        <f>SUMIFS('май 2024'!$G$4:$G$1753,'май 2024'!$D$4:$D$1753,$B96,'май 2024'!$J$4:$J$1753,G$1)</f>
        <v>0</v>
      </c>
      <c r="H96" s="80">
        <f>SUMIFS('май 2024'!$G$4:$G$1753,'май 2024'!$D$4:$D$1753,$B96,'май 2024'!$J$4:$J$1753,H$1)</f>
        <v>0</v>
      </c>
      <c r="I96" s="80">
        <f>SUMIFS('май 2024'!$G$4:$G$1753,'май 2024'!$D$4:$D$1753,$B96,'май 2024'!$J$4:$J$1753,I$1)</f>
        <v>0</v>
      </c>
      <c r="J96" s="80">
        <f>SUMIFS('май 2024'!$G$4:$G$1753,'май 2024'!$D$4:$D$1753,$B96,'май 2024'!$J$4:$J$1753,J$1)</f>
        <v>0</v>
      </c>
      <c r="K96" s="80">
        <f>SUMIFS('май 2024'!$G$4:$G$1753,'май 2024'!$D$4:$D$1753,$B96,'май 2024'!$J$4:$J$1753,K$1)</f>
        <v>0</v>
      </c>
      <c r="L96" s="80">
        <f>SUMIFS('май 2024'!$G$4:$G$1753,'май 2024'!$D$4:$D$1753,$B96,'май 2024'!$J$4:$J$1753,L$1)</f>
        <v>0</v>
      </c>
      <c r="M96" s="80">
        <f>SUMIFS('май 2024'!$G$4:$G$1753,'май 2024'!$D$4:$D$1753,$B96,'май 2024'!$J$4:$J$1753,M$1)</f>
        <v>0</v>
      </c>
      <c r="N96" s="80">
        <f>SUMIFS('май 2024'!$G$4:$G$1753,'май 2024'!$D$4:$D$1753,$B96,'май 2024'!$J$4:$J$1753,N$1)</f>
        <v>0</v>
      </c>
      <c r="O96" s="80">
        <f>SUMIFS('май 2024'!$G$4:$G$1753,'май 2024'!$D$4:$D$1753,$B96,'май 2024'!$J$4:$J$1753,O$1)</f>
        <v>0</v>
      </c>
      <c r="P96" s="80">
        <f>SUMIFS('май 2024'!$G$4:$G$1753,'май 2024'!$D$4:$D$1753,$B96,'май 2024'!$J$4:$J$1753,P$1)</f>
        <v>0</v>
      </c>
      <c r="Q96" s="80">
        <f>SUMIFS('май 2024'!$G$4:$G$1753,'май 2024'!$D$4:$D$1753,$B96,'май 2024'!$J$4:$J$1753,Q$1)</f>
        <v>80</v>
      </c>
      <c r="R96" s="80">
        <f>SUMIFS('май 2024'!$G$4:$G$1753,'май 2024'!$D$4:$D$1753,$B96,'май 2024'!$J$4:$J$1753,R$1)</f>
        <v>0</v>
      </c>
      <c r="S96" s="80">
        <f>SUMIFS('май 2024'!$G$4:$G$1753,'май 2024'!$D$4:$D$1753,$B96,'май 2024'!$J$4:$J$1753,S$1)</f>
        <v>0</v>
      </c>
      <c r="T96" s="80">
        <f>SUMIFS('май 2024'!$G$4:$G$1753,'май 2024'!$D$4:$D$1753,$B96,'май 2024'!$J$4:$J$1753,T$1)</f>
        <v>80</v>
      </c>
      <c r="U96" s="80">
        <f>SUMIFS('май 2024'!$G$4:$G$1753,'май 2024'!$D$4:$D$1753,$B96,'май 2024'!$J$4:$J$1753,U$1)</f>
        <v>0</v>
      </c>
      <c r="V96" s="80">
        <f>SUMIFS('май 2024'!$G$4:$G$1753,'май 2024'!$D$4:$D$1753,$B96,'май 2024'!$J$4:$J$1753,V$1)</f>
        <v>0</v>
      </c>
      <c r="W96" s="80">
        <f>SUMIFS('май 2024'!$G$4:$G$1753,'май 2024'!$D$4:$D$1753,$B96,'май 2024'!$J$4:$J$1753,W$1)</f>
        <v>0</v>
      </c>
      <c r="X96" s="80">
        <f>SUMIFS('май 2024'!$G$4:$G$1753,'май 2024'!$D$4:$D$1753,$B96,'май 2024'!$J$4:$J$1753,X$1)</f>
        <v>0</v>
      </c>
      <c r="Y96" s="80">
        <f>SUMIFS('май 2024'!$G$4:$G$1753,'май 2024'!$D$4:$D$1753,$B96,'май 2024'!$J$4:$J$1753,Y$1)</f>
        <v>0</v>
      </c>
      <c r="Z96" s="80">
        <f>SUMIFS('май 2024'!$G$4:$G$1753,'май 2024'!$D$4:$D$1753,$B96,'май 2024'!$J$4:$J$1753,Z$1)</f>
        <v>0</v>
      </c>
      <c r="AA96" s="80">
        <f>SUMIFS('май 2024'!$G$4:$G$1753,'май 2024'!$D$4:$D$1753,$B96,'май 2024'!$J$4:$J$1753,AA$1)</f>
        <v>0</v>
      </c>
      <c r="AB96" s="80">
        <f>SUMIFS('май 2024'!$G$4:$G$1753,'май 2024'!$D$4:$D$1753,$B96,'май 2024'!$J$4:$J$1753,AB$1)</f>
        <v>0</v>
      </c>
      <c r="AC96" s="80">
        <f>SUMIFS('май 2024'!$G$4:$G$1753,'май 2024'!$D$4:$D$1753,$B96,'май 2024'!$J$4:$J$1753,AC$1)</f>
        <v>0</v>
      </c>
      <c r="AD96" s="80">
        <f>SUMIFS('май 2024'!$G$4:$G$1753,'май 2024'!$D$4:$D$1753,$B96,'май 2024'!$J$4:$J$1753,AD$1)</f>
        <v>0</v>
      </c>
      <c r="AE96" s="80">
        <f>SUMIFS('май 2024'!$G$4:$G$1753,'май 2024'!$D$4:$D$1753,$B96,'май 2024'!$J$4:$J$1753,AE$1)</f>
        <v>0</v>
      </c>
      <c r="AF96" s="80">
        <f>SUMIFS('май 2024'!$G$4:$G$1753,'май 2024'!$D$4:$D$1753,$B96,'май 2024'!$J$4:$J$1753,AF$1)</f>
        <v>0</v>
      </c>
      <c r="AG96" s="80">
        <f>SUMIFS('май 2024'!$G$4:$G$1753,'май 2024'!$D$4:$D$1753,$B96,'май 2024'!$J$4:$J$1753,AG$1)</f>
        <v>0</v>
      </c>
      <c r="AH96" s="80">
        <f>SUMIFS('май 2024'!$G$4:$G$1753,'май 2024'!$D$4:$D$1753,$B96,'май 2024'!$J$4:$J$1753,AH$1)</f>
        <v>0</v>
      </c>
      <c r="AI96" s="21">
        <f t="shared" si="1"/>
        <v>160</v>
      </c>
    </row>
    <row r="97" spans="2:35" ht="15" customHeight="1" x14ac:dyDescent="0.25">
      <c r="B97" s="89" t="s">
        <v>206</v>
      </c>
      <c r="C97" s="88">
        <v>185</v>
      </c>
      <c r="D97" s="80">
        <f>SUMIFS('май 2024'!$G$4:$G$1753,'май 2024'!$D$4:$D$1753,$B97,'май 2024'!$J$4:$J$1753,D$1)</f>
        <v>0</v>
      </c>
      <c r="E97" s="80">
        <f>SUMIFS('май 2024'!$G$4:$G$1753,'май 2024'!$D$4:$D$1753,$B97,'май 2024'!$J$4:$J$1753,E$1)</f>
        <v>0</v>
      </c>
      <c r="F97" s="80">
        <f>SUMIFS('май 2024'!$G$4:$G$1753,'май 2024'!$D$4:$D$1753,$B97,'май 2024'!$J$4:$J$1753,F$1)</f>
        <v>0</v>
      </c>
      <c r="G97" s="80">
        <f>SUMIFS('май 2024'!$G$4:$G$1753,'май 2024'!$D$4:$D$1753,$B97,'май 2024'!$J$4:$J$1753,G$1)</f>
        <v>0</v>
      </c>
      <c r="H97" s="80">
        <f>SUMIFS('май 2024'!$G$4:$G$1753,'май 2024'!$D$4:$D$1753,$B97,'май 2024'!$J$4:$J$1753,H$1)</f>
        <v>0</v>
      </c>
      <c r="I97" s="80">
        <f>SUMIFS('май 2024'!$G$4:$G$1753,'май 2024'!$D$4:$D$1753,$B97,'май 2024'!$J$4:$J$1753,I$1)</f>
        <v>0</v>
      </c>
      <c r="J97" s="80">
        <f>SUMIFS('май 2024'!$G$4:$G$1753,'май 2024'!$D$4:$D$1753,$B97,'май 2024'!$J$4:$J$1753,J$1)</f>
        <v>0</v>
      </c>
      <c r="K97" s="80">
        <f>SUMIFS('май 2024'!$G$4:$G$1753,'май 2024'!$D$4:$D$1753,$B97,'май 2024'!$J$4:$J$1753,K$1)</f>
        <v>0</v>
      </c>
      <c r="L97" s="80">
        <f>SUMIFS('май 2024'!$G$4:$G$1753,'май 2024'!$D$4:$D$1753,$B97,'май 2024'!$J$4:$J$1753,L$1)</f>
        <v>0</v>
      </c>
      <c r="M97" s="80">
        <f>SUMIFS('май 2024'!$G$4:$G$1753,'май 2024'!$D$4:$D$1753,$B97,'май 2024'!$J$4:$J$1753,M$1)</f>
        <v>0</v>
      </c>
      <c r="N97" s="80">
        <f>SUMIFS('май 2024'!$G$4:$G$1753,'май 2024'!$D$4:$D$1753,$B97,'май 2024'!$J$4:$J$1753,N$1)</f>
        <v>0</v>
      </c>
      <c r="O97" s="80">
        <f>SUMIFS('май 2024'!$G$4:$G$1753,'май 2024'!$D$4:$D$1753,$B97,'май 2024'!$J$4:$J$1753,O$1)</f>
        <v>0</v>
      </c>
      <c r="P97" s="80">
        <f>SUMIFS('май 2024'!$G$4:$G$1753,'май 2024'!$D$4:$D$1753,$B97,'май 2024'!$J$4:$J$1753,P$1)</f>
        <v>0</v>
      </c>
      <c r="Q97" s="80">
        <f>SUMIFS('май 2024'!$G$4:$G$1753,'май 2024'!$D$4:$D$1753,$B97,'май 2024'!$J$4:$J$1753,Q$1)</f>
        <v>0</v>
      </c>
      <c r="R97" s="80">
        <f>SUMIFS('май 2024'!$G$4:$G$1753,'май 2024'!$D$4:$D$1753,$B97,'май 2024'!$J$4:$J$1753,R$1)</f>
        <v>0</v>
      </c>
      <c r="S97" s="80">
        <f>SUMIFS('май 2024'!$G$4:$G$1753,'май 2024'!$D$4:$D$1753,$B97,'май 2024'!$J$4:$J$1753,S$1)</f>
        <v>0</v>
      </c>
      <c r="T97" s="80">
        <f>SUMIFS('май 2024'!$G$4:$G$1753,'май 2024'!$D$4:$D$1753,$B97,'май 2024'!$J$4:$J$1753,T$1)</f>
        <v>0</v>
      </c>
      <c r="U97" s="80">
        <f>SUMIFS('май 2024'!$G$4:$G$1753,'май 2024'!$D$4:$D$1753,$B97,'май 2024'!$J$4:$J$1753,U$1)</f>
        <v>0</v>
      </c>
      <c r="V97" s="80">
        <f>SUMIFS('май 2024'!$G$4:$G$1753,'май 2024'!$D$4:$D$1753,$B97,'май 2024'!$J$4:$J$1753,V$1)</f>
        <v>0</v>
      </c>
      <c r="W97" s="80">
        <f>SUMIFS('май 2024'!$G$4:$G$1753,'май 2024'!$D$4:$D$1753,$B97,'май 2024'!$J$4:$J$1753,W$1)</f>
        <v>0</v>
      </c>
      <c r="X97" s="80">
        <f>SUMIFS('май 2024'!$G$4:$G$1753,'май 2024'!$D$4:$D$1753,$B97,'май 2024'!$J$4:$J$1753,X$1)</f>
        <v>0</v>
      </c>
      <c r="Y97" s="80">
        <f>SUMIFS('май 2024'!$G$4:$G$1753,'май 2024'!$D$4:$D$1753,$B97,'май 2024'!$J$4:$J$1753,Y$1)</f>
        <v>0</v>
      </c>
      <c r="Z97" s="80">
        <f>SUMIFS('май 2024'!$G$4:$G$1753,'май 2024'!$D$4:$D$1753,$B97,'май 2024'!$J$4:$J$1753,Z$1)</f>
        <v>0</v>
      </c>
      <c r="AA97" s="80">
        <f>SUMIFS('май 2024'!$G$4:$G$1753,'май 2024'!$D$4:$D$1753,$B97,'май 2024'!$J$4:$J$1753,AA$1)</f>
        <v>0</v>
      </c>
      <c r="AB97" s="80">
        <f>SUMIFS('май 2024'!$G$4:$G$1753,'май 2024'!$D$4:$D$1753,$B97,'май 2024'!$J$4:$J$1753,AB$1)</f>
        <v>0</v>
      </c>
      <c r="AC97" s="80">
        <f>SUMIFS('май 2024'!$G$4:$G$1753,'май 2024'!$D$4:$D$1753,$B97,'май 2024'!$J$4:$J$1753,AC$1)</f>
        <v>0</v>
      </c>
      <c r="AD97" s="80">
        <f>SUMIFS('май 2024'!$G$4:$G$1753,'май 2024'!$D$4:$D$1753,$B97,'май 2024'!$J$4:$J$1753,AD$1)</f>
        <v>0</v>
      </c>
      <c r="AE97" s="80">
        <f>SUMIFS('май 2024'!$G$4:$G$1753,'май 2024'!$D$4:$D$1753,$B97,'май 2024'!$J$4:$J$1753,AE$1)</f>
        <v>0</v>
      </c>
      <c r="AF97" s="80">
        <f>SUMIFS('май 2024'!$G$4:$G$1753,'май 2024'!$D$4:$D$1753,$B97,'май 2024'!$J$4:$J$1753,AF$1)</f>
        <v>0</v>
      </c>
      <c r="AG97" s="80">
        <f>SUMIFS('май 2024'!$G$4:$G$1753,'май 2024'!$D$4:$D$1753,$B97,'май 2024'!$J$4:$J$1753,AG$1)</f>
        <v>0</v>
      </c>
      <c r="AH97" s="80">
        <f>SUMIFS('май 2024'!$G$4:$G$1753,'май 2024'!$D$4:$D$1753,$B97,'май 2024'!$J$4:$J$1753,AH$1)</f>
        <v>0</v>
      </c>
      <c r="AI97" s="21">
        <f t="shared" si="1"/>
        <v>0</v>
      </c>
    </row>
    <row r="98" spans="2:35" ht="15" customHeight="1" x14ac:dyDescent="0.25">
      <c r="B98" s="89" t="s">
        <v>324</v>
      </c>
      <c r="C98" s="88">
        <v>180</v>
      </c>
      <c r="D98" s="80">
        <f>SUMIFS('май 2024'!$G$4:$G$1753,'май 2024'!$D$4:$D$1753,$B98,'май 2024'!$J$4:$J$1753,D$1)</f>
        <v>0</v>
      </c>
      <c r="E98" s="80">
        <f>SUMIFS('май 2024'!$G$4:$G$1753,'май 2024'!$D$4:$D$1753,$B98,'май 2024'!$J$4:$J$1753,E$1)</f>
        <v>0</v>
      </c>
      <c r="F98" s="80">
        <f>SUMIFS('май 2024'!$G$4:$G$1753,'май 2024'!$D$4:$D$1753,$B98,'май 2024'!$J$4:$J$1753,F$1)</f>
        <v>0</v>
      </c>
      <c r="G98" s="80">
        <f>SUMIFS('май 2024'!$G$4:$G$1753,'май 2024'!$D$4:$D$1753,$B98,'май 2024'!$J$4:$J$1753,G$1)</f>
        <v>0</v>
      </c>
      <c r="H98" s="80">
        <f>SUMIFS('май 2024'!$G$4:$G$1753,'май 2024'!$D$4:$D$1753,$B98,'май 2024'!$J$4:$J$1753,H$1)</f>
        <v>0</v>
      </c>
      <c r="I98" s="80">
        <f>SUMIFS('май 2024'!$G$4:$G$1753,'май 2024'!$D$4:$D$1753,$B98,'май 2024'!$J$4:$J$1753,I$1)</f>
        <v>0</v>
      </c>
      <c r="J98" s="80">
        <f>SUMIFS('май 2024'!$G$4:$G$1753,'май 2024'!$D$4:$D$1753,$B98,'май 2024'!$J$4:$J$1753,J$1)</f>
        <v>0</v>
      </c>
      <c r="K98" s="80">
        <f>SUMIFS('май 2024'!$G$4:$G$1753,'май 2024'!$D$4:$D$1753,$B98,'май 2024'!$J$4:$J$1753,K$1)</f>
        <v>0</v>
      </c>
      <c r="L98" s="80">
        <f>SUMIFS('май 2024'!$G$4:$G$1753,'май 2024'!$D$4:$D$1753,$B98,'май 2024'!$J$4:$J$1753,L$1)</f>
        <v>0</v>
      </c>
      <c r="M98" s="80">
        <f>SUMIFS('май 2024'!$G$4:$G$1753,'май 2024'!$D$4:$D$1753,$B98,'май 2024'!$J$4:$J$1753,M$1)</f>
        <v>0</v>
      </c>
      <c r="N98" s="80">
        <f>SUMIFS('май 2024'!$G$4:$G$1753,'май 2024'!$D$4:$D$1753,$B98,'май 2024'!$J$4:$J$1753,N$1)</f>
        <v>0</v>
      </c>
      <c r="O98" s="80">
        <f>SUMIFS('май 2024'!$G$4:$G$1753,'май 2024'!$D$4:$D$1753,$B98,'май 2024'!$J$4:$J$1753,O$1)</f>
        <v>0</v>
      </c>
      <c r="P98" s="80">
        <f>SUMIFS('май 2024'!$G$4:$G$1753,'май 2024'!$D$4:$D$1753,$B98,'май 2024'!$J$4:$J$1753,P$1)</f>
        <v>0</v>
      </c>
      <c r="Q98" s="80">
        <f>SUMIFS('май 2024'!$G$4:$G$1753,'май 2024'!$D$4:$D$1753,$B98,'май 2024'!$J$4:$J$1753,Q$1)</f>
        <v>0</v>
      </c>
      <c r="R98" s="80">
        <f>SUMIFS('май 2024'!$G$4:$G$1753,'май 2024'!$D$4:$D$1753,$B98,'май 2024'!$J$4:$J$1753,R$1)</f>
        <v>0</v>
      </c>
      <c r="S98" s="80">
        <f>SUMIFS('май 2024'!$G$4:$G$1753,'май 2024'!$D$4:$D$1753,$B98,'май 2024'!$J$4:$J$1753,S$1)</f>
        <v>0</v>
      </c>
      <c r="T98" s="80">
        <f>SUMIFS('май 2024'!$G$4:$G$1753,'май 2024'!$D$4:$D$1753,$B98,'май 2024'!$J$4:$J$1753,T$1)</f>
        <v>0</v>
      </c>
      <c r="U98" s="80">
        <f>SUMIFS('май 2024'!$G$4:$G$1753,'май 2024'!$D$4:$D$1753,$B98,'май 2024'!$J$4:$J$1753,U$1)</f>
        <v>0</v>
      </c>
      <c r="V98" s="80">
        <f>SUMIFS('май 2024'!$G$4:$G$1753,'май 2024'!$D$4:$D$1753,$B98,'май 2024'!$J$4:$J$1753,V$1)</f>
        <v>0</v>
      </c>
      <c r="W98" s="80">
        <f>SUMIFS('май 2024'!$G$4:$G$1753,'май 2024'!$D$4:$D$1753,$B98,'май 2024'!$J$4:$J$1753,W$1)</f>
        <v>0</v>
      </c>
      <c r="X98" s="80">
        <f>SUMIFS('май 2024'!$G$4:$G$1753,'май 2024'!$D$4:$D$1753,$B98,'май 2024'!$J$4:$J$1753,X$1)</f>
        <v>0</v>
      </c>
      <c r="Y98" s="80">
        <f>SUMIFS('май 2024'!$G$4:$G$1753,'май 2024'!$D$4:$D$1753,$B98,'май 2024'!$J$4:$J$1753,Y$1)</f>
        <v>0</v>
      </c>
      <c r="Z98" s="80">
        <f>SUMIFS('май 2024'!$G$4:$G$1753,'май 2024'!$D$4:$D$1753,$B98,'май 2024'!$J$4:$J$1753,Z$1)</f>
        <v>0</v>
      </c>
      <c r="AA98" s="80">
        <f>SUMIFS('май 2024'!$G$4:$G$1753,'май 2024'!$D$4:$D$1753,$B98,'май 2024'!$J$4:$J$1753,AA$1)</f>
        <v>0</v>
      </c>
      <c r="AB98" s="80">
        <f>SUMIFS('май 2024'!$G$4:$G$1753,'май 2024'!$D$4:$D$1753,$B98,'май 2024'!$J$4:$J$1753,AB$1)</f>
        <v>0</v>
      </c>
      <c r="AC98" s="80">
        <f>SUMIFS('май 2024'!$G$4:$G$1753,'май 2024'!$D$4:$D$1753,$B98,'май 2024'!$J$4:$J$1753,AC$1)</f>
        <v>0</v>
      </c>
      <c r="AD98" s="80">
        <f>SUMIFS('май 2024'!$G$4:$G$1753,'май 2024'!$D$4:$D$1753,$B98,'май 2024'!$J$4:$J$1753,AD$1)</f>
        <v>0</v>
      </c>
      <c r="AE98" s="80">
        <f>SUMIFS('май 2024'!$G$4:$G$1753,'май 2024'!$D$4:$D$1753,$B98,'май 2024'!$J$4:$J$1753,AE$1)</f>
        <v>0</v>
      </c>
      <c r="AF98" s="80">
        <f>SUMIFS('май 2024'!$G$4:$G$1753,'май 2024'!$D$4:$D$1753,$B98,'май 2024'!$J$4:$J$1753,AF$1)</f>
        <v>0</v>
      </c>
      <c r="AG98" s="80">
        <f>SUMIFS('май 2024'!$G$4:$G$1753,'май 2024'!$D$4:$D$1753,$B98,'май 2024'!$J$4:$J$1753,AG$1)</f>
        <v>0</v>
      </c>
      <c r="AH98" s="80">
        <f>SUMIFS('май 2024'!$G$4:$G$1753,'май 2024'!$D$4:$D$1753,$B98,'май 2024'!$J$4:$J$1753,AH$1)</f>
        <v>0</v>
      </c>
      <c r="AI98" s="21">
        <f t="shared" si="1"/>
        <v>0</v>
      </c>
    </row>
    <row r="99" spans="2:35" ht="15" customHeight="1" x14ac:dyDescent="0.25">
      <c r="B99" s="93" t="s">
        <v>325</v>
      </c>
      <c r="C99" s="91">
        <v>200</v>
      </c>
      <c r="D99" s="80">
        <f>SUMIFS('май 2024'!$G$4:$G$1753,'май 2024'!$D$4:$D$1753,$B99,'май 2024'!$J$4:$J$1753,D$1)</f>
        <v>0</v>
      </c>
      <c r="E99" s="80">
        <f>SUMIFS('май 2024'!$G$4:$G$1753,'май 2024'!$D$4:$D$1753,$B99,'май 2024'!$J$4:$J$1753,E$1)</f>
        <v>0</v>
      </c>
      <c r="F99" s="80">
        <f>SUMIFS('май 2024'!$G$4:$G$1753,'май 2024'!$D$4:$D$1753,$B99,'май 2024'!$J$4:$J$1753,F$1)</f>
        <v>0</v>
      </c>
      <c r="G99" s="80">
        <f>SUMIFS('май 2024'!$G$4:$G$1753,'май 2024'!$D$4:$D$1753,$B99,'май 2024'!$J$4:$J$1753,G$1)</f>
        <v>0</v>
      </c>
      <c r="H99" s="80">
        <f>SUMIFS('май 2024'!$G$4:$G$1753,'май 2024'!$D$4:$D$1753,$B99,'май 2024'!$J$4:$J$1753,H$1)</f>
        <v>0</v>
      </c>
      <c r="I99" s="80">
        <f>SUMIFS('май 2024'!$G$4:$G$1753,'май 2024'!$D$4:$D$1753,$B99,'май 2024'!$J$4:$J$1753,I$1)</f>
        <v>0</v>
      </c>
      <c r="J99" s="80">
        <f>SUMIFS('май 2024'!$G$4:$G$1753,'май 2024'!$D$4:$D$1753,$B99,'май 2024'!$J$4:$J$1753,J$1)</f>
        <v>0</v>
      </c>
      <c r="K99" s="80">
        <f>SUMIFS('май 2024'!$G$4:$G$1753,'май 2024'!$D$4:$D$1753,$B99,'май 2024'!$J$4:$J$1753,K$1)</f>
        <v>0</v>
      </c>
      <c r="L99" s="80">
        <f>SUMIFS('май 2024'!$G$4:$G$1753,'май 2024'!$D$4:$D$1753,$B99,'май 2024'!$J$4:$J$1753,L$1)</f>
        <v>0</v>
      </c>
      <c r="M99" s="80">
        <f>SUMIFS('май 2024'!$G$4:$G$1753,'май 2024'!$D$4:$D$1753,$B99,'май 2024'!$J$4:$J$1753,M$1)</f>
        <v>0</v>
      </c>
      <c r="N99" s="80">
        <f>SUMIFS('май 2024'!$G$4:$G$1753,'май 2024'!$D$4:$D$1753,$B99,'май 2024'!$J$4:$J$1753,N$1)</f>
        <v>0</v>
      </c>
      <c r="O99" s="80">
        <f>SUMIFS('май 2024'!$G$4:$G$1753,'май 2024'!$D$4:$D$1753,$B99,'май 2024'!$J$4:$J$1753,O$1)</f>
        <v>0</v>
      </c>
      <c r="P99" s="80">
        <f>SUMIFS('май 2024'!$G$4:$G$1753,'май 2024'!$D$4:$D$1753,$B99,'май 2024'!$J$4:$J$1753,P$1)</f>
        <v>0</v>
      </c>
      <c r="Q99" s="80">
        <f>SUMIFS('май 2024'!$G$4:$G$1753,'май 2024'!$D$4:$D$1753,$B99,'май 2024'!$J$4:$J$1753,Q$1)</f>
        <v>0</v>
      </c>
      <c r="R99" s="80">
        <f>SUMIFS('май 2024'!$G$4:$G$1753,'май 2024'!$D$4:$D$1753,$B99,'май 2024'!$J$4:$J$1753,R$1)</f>
        <v>0</v>
      </c>
      <c r="S99" s="80">
        <f>SUMIFS('май 2024'!$G$4:$G$1753,'май 2024'!$D$4:$D$1753,$B99,'май 2024'!$J$4:$J$1753,S$1)</f>
        <v>0</v>
      </c>
      <c r="T99" s="80">
        <f>SUMIFS('май 2024'!$G$4:$G$1753,'май 2024'!$D$4:$D$1753,$B99,'май 2024'!$J$4:$J$1753,T$1)</f>
        <v>0</v>
      </c>
      <c r="U99" s="80">
        <f>SUMIFS('май 2024'!$G$4:$G$1753,'май 2024'!$D$4:$D$1753,$B99,'май 2024'!$J$4:$J$1753,U$1)</f>
        <v>0</v>
      </c>
      <c r="V99" s="80">
        <f>SUMIFS('май 2024'!$G$4:$G$1753,'май 2024'!$D$4:$D$1753,$B99,'май 2024'!$J$4:$J$1753,V$1)</f>
        <v>0</v>
      </c>
      <c r="W99" s="80">
        <f>SUMIFS('май 2024'!$G$4:$G$1753,'май 2024'!$D$4:$D$1753,$B99,'май 2024'!$J$4:$J$1753,W$1)</f>
        <v>0</v>
      </c>
      <c r="X99" s="80">
        <f>SUMIFS('май 2024'!$G$4:$G$1753,'май 2024'!$D$4:$D$1753,$B99,'май 2024'!$J$4:$J$1753,X$1)</f>
        <v>0</v>
      </c>
      <c r="Y99" s="80">
        <f>SUMIFS('май 2024'!$G$4:$G$1753,'май 2024'!$D$4:$D$1753,$B99,'май 2024'!$J$4:$J$1753,Y$1)</f>
        <v>0</v>
      </c>
      <c r="Z99" s="80">
        <f>SUMIFS('май 2024'!$G$4:$G$1753,'май 2024'!$D$4:$D$1753,$B99,'май 2024'!$J$4:$J$1753,Z$1)</f>
        <v>0</v>
      </c>
      <c r="AA99" s="80">
        <f>SUMIFS('май 2024'!$G$4:$G$1753,'май 2024'!$D$4:$D$1753,$B99,'май 2024'!$J$4:$J$1753,AA$1)</f>
        <v>0</v>
      </c>
      <c r="AB99" s="80">
        <f>SUMIFS('май 2024'!$G$4:$G$1753,'май 2024'!$D$4:$D$1753,$B99,'май 2024'!$J$4:$J$1753,AB$1)</f>
        <v>0</v>
      </c>
      <c r="AC99" s="80">
        <f>SUMIFS('май 2024'!$G$4:$G$1753,'май 2024'!$D$4:$D$1753,$B99,'май 2024'!$J$4:$J$1753,AC$1)</f>
        <v>0</v>
      </c>
      <c r="AD99" s="80">
        <f>SUMIFS('май 2024'!$G$4:$G$1753,'май 2024'!$D$4:$D$1753,$B99,'май 2024'!$J$4:$J$1753,AD$1)</f>
        <v>0</v>
      </c>
      <c r="AE99" s="80">
        <f>SUMIFS('май 2024'!$G$4:$G$1753,'май 2024'!$D$4:$D$1753,$B99,'май 2024'!$J$4:$J$1753,AE$1)</f>
        <v>0</v>
      </c>
      <c r="AF99" s="80">
        <f>SUMIFS('май 2024'!$G$4:$G$1753,'май 2024'!$D$4:$D$1753,$B99,'май 2024'!$J$4:$J$1753,AF$1)</f>
        <v>0</v>
      </c>
      <c r="AG99" s="80">
        <f>SUMIFS('май 2024'!$G$4:$G$1753,'май 2024'!$D$4:$D$1753,$B99,'май 2024'!$J$4:$J$1753,AG$1)</f>
        <v>0</v>
      </c>
      <c r="AH99" s="80">
        <f>SUMIFS('май 2024'!$G$4:$G$1753,'май 2024'!$D$4:$D$1753,$B99,'май 2024'!$J$4:$J$1753,AH$1)</f>
        <v>0</v>
      </c>
      <c r="AI99" s="21">
        <f t="shared" si="1"/>
        <v>0</v>
      </c>
    </row>
    <row r="100" spans="2:35" ht="15" customHeight="1" x14ac:dyDescent="0.25">
      <c r="B100" s="93" t="s">
        <v>190</v>
      </c>
      <c r="C100" s="91">
        <v>200</v>
      </c>
      <c r="D100" s="80">
        <f>SUMIFS('май 2024'!$G$4:$G$1753,'май 2024'!$D$4:$D$1753,$B100,'май 2024'!$J$4:$J$1753,D$1)</f>
        <v>0</v>
      </c>
      <c r="E100" s="80">
        <f>SUMIFS('май 2024'!$G$4:$G$1753,'май 2024'!$D$4:$D$1753,$B100,'май 2024'!$J$4:$J$1753,E$1)</f>
        <v>0</v>
      </c>
      <c r="F100" s="80">
        <f>SUMIFS('май 2024'!$G$4:$G$1753,'май 2024'!$D$4:$D$1753,$B100,'май 2024'!$J$4:$J$1753,F$1)</f>
        <v>0</v>
      </c>
      <c r="G100" s="80">
        <f>SUMIFS('май 2024'!$G$4:$G$1753,'май 2024'!$D$4:$D$1753,$B100,'май 2024'!$J$4:$J$1753,G$1)</f>
        <v>0</v>
      </c>
      <c r="H100" s="80">
        <f>SUMIFS('май 2024'!$G$4:$G$1753,'май 2024'!$D$4:$D$1753,$B100,'май 2024'!$J$4:$J$1753,H$1)</f>
        <v>0</v>
      </c>
      <c r="I100" s="80">
        <f>SUMIFS('май 2024'!$G$4:$G$1753,'май 2024'!$D$4:$D$1753,$B100,'май 2024'!$J$4:$J$1753,I$1)</f>
        <v>0</v>
      </c>
      <c r="J100" s="80">
        <f>SUMIFS('май 2024'!$G$4:$G$1753,'май 2024'!$D$4:$D$1753,$B100,'май 2024'!$J$4:$J$1753,J$1)</f>
        <v>0</v>
      </c>
      <c r="K100" s="80">
        <f>SUMIFS('май 2024'!$G$4:$G$1753,'май 2024'!$D$4:$D$1753,$B100,'май 2024'!$J$4:$J$1753,K$1)</f>
        <v>0</v>
      </c>
      <c r="L100" s="80">
        <f>SUMIFS('май 2024'!$G$4:$G$1753,'май 2024'!$D$4:$D$1753,$B100,'май 2024'!$J$4:$J$1753,L$1)</f>
        <v>0</v>
      </c>
      <c r="M100" s="80">
        <f>SUMIFS('май 2024'!$G$4:$G$1753,'май 2024'!$D$4:$D$1753,$B100,'май 2024'!$J$4:$J$1753,M$1)</f>
        <v>0</v>
      </c>
      <c r="N100" s="80">
        <f>SUMIFS('май 2024'!$G$4:$G$1753,'май 2024'!$D$4:$D$1753,$B100,'май 2024'!$J$4:$J$1753,N$1)</f>
        <v>0</v>
      </c>
      <c r="O100" s="80">
        <f>SUMIFS('май 2024'!$G$4:$G$1753,'май 2024'!$D$4:$D$1753,$B100,'май 2024'!$J$4:$J$1753,O$1)</f>
        <v>0</v>
      </c>
      <c r="P100" s="80">
        <f>SUMIFS('май 2024'!$G$4:$G$1753,'май 2024'!$D$4:$D$1753,$B100,'май 2024'!$J$4:$J$1753,P$1)</f>
        <v>0</v>
      </c>
      <c r="Q100" s="80">
        <f>SUMIFS('май 2024'!$G$4:$G$1753,'май 2024'!$D$4:$D$1753,$B100,'май 2024'!$J$4:$J$1753,Q$1)</f>
        <v>0</v>
      </c>
      <c r="R100" s="80">
        <f>SUMIFS('май 2024'!$G$4:$G$1753,'май 2024'!$D$4:$D$1753,$B100,'май 2024'!$J$4:$J$1753,R$1)</f>
        <v>0</v>
      </c>
      <c r="S100" s="80">
        <f>SUMIFS('май 2024'!$G$4:$G$1753,'май 2024'!$D$4:$D$1753,$B100,'май 2024'!$J$4:$J$1753,S$1)</f>
        <v>0</v>
      </c>
      <c r="T100" s="80">
        <f>SUMIFS('май 2024'!$G$4:$G$1753,'май 2024'!$D$4:$D$1753,$B100,'май 2024'!$J$4:$J$1753,T$1)</f>
        <v>0</v>
      </c>
      <c r="U100" s="80">
        <f>SUMIFS('май 2024'!$G$4:$G$1753,'май 2024'!$D$4:$D$1753,$B100,'май 2024'!$J$4:$J$1753,U$1)</f>
        <v>0</v>
      </c>
      <c r="V100" s="80">
        <f>SUMIFS('май 2024'!$G$4:$G$1753,'май 2024'!$D$4:$D$1753,$B100,'май 2024'!$J$4:$J$1753,V$1)</f>
        <v>0</v>
      </c>
      <c r="W100" s="80">
        <f>SUMIFS('май 2024'!$G$4:$G$1753,'май 2024'!$D$4:$D$1753,$B100,'май 2024'!$J$4:$J$1753,W$1)</f>
        <v>0</v>
      </c>
      <c r="X100" s="80">
        <f>SUMIFS('май 2024'!$G$4:$G$1753,'май 2024'!$D$4:$D$1753,$B100,'май 2024'!$J$4:$J$1753,X$1)</f>
        <v>0</v>
      </c>
      <c r="Y100" s="80">
        <f>SUMIFS('май 2024'!$G$4:$G$1753,'май 2024'!$D$4:$D$1753,$B100,'май 2024'!$J$4:$J$1753,Y$1)</f>
        <v>0</v>
      </c>
      <c r="Z100" s="80">
        <f>SUMIFS('май 2024'!$G$4:$G$1753,'май 2024'!$D$4:$D$1753,$B100,'май 2024'!$J$4:$J$1753,Z$1)</f>
        <v>0</v>
      </c>
      <c r="AA100" s="80">
        <f>SUMIFS('май 2024'!$G$4:$G$1753,'май 2024'!$D$4:$D$1753,$B100,'май 2024'!$J$4:$J$1753,AA$1)</f>
        <v>0</v>
      </c>
      <c r="AB100" s="80">
        <f>SUMIFS('май 2024'!$G$4:$G$1753,'май 2024'!$D$4:$D$1753,$B100,'май 2024'!$J$4:$J$1753,AB$1)</f>
        <v>0</v>
      </c>
      <c r="AC100" s="80">
        <f>SUMIFS('май 2024'!$G$4:$G$1753,'май 2024'!$D$4:$D$1753,$B100,'май 2024'!$J$4:$J$1753,AC$1)</f>
        <v>0</v>
      </c>
      <c r="AD100" s="80">
        <f>SUMIFS('май 2024'!$G$4:$G$1753,'май 2024'!$D$4:$D$1753,$B100,'май 2024'!$J$4:$J$1753,AD$1)</f>
        <v>0</v>
      </c>
      <c r="AE100" s="80">
        <f>SUMIFS('май 2024'!$G$4:$G$1753,'май 2024'!$D$4:$D$1753,$B100,'май 2024'!$J$4:$J$1753,AE$1)</f>
        <v>0</v>
      </c>
      <c r="AF100" s="80">
        <f>SUMIFS('май 2024'!$G$4:$G$1753,'май 2024'!$D$4:$D$1753,$B100,'май 2024'!$J$4:$J$1753,AF$1)</f>
        <v>0</v>
      </c>
      <c r="AG100" s="80">
        <f>SUMIFS('май 2024'!$G$4:$G$1753,'май 2024'!$D$4:$D$1753,$B100,'май 2024'!$J$4:$J$1753,AG$1)</f>
        <v>0</v>
      </c>
      <c r="AH100" s="80">
        <f>SUMIFS('май 2024'!$G$4:$G$1753,'май 2024'!$D$4:$D$1753,$B100,'май 2024'!$J$4:$J$1753,AH$1)</f>
        <v>0</v>
      </c>
      <c r="AI100" s="21">
        <f t="shared" si="1"/>
        <v>0</v>
      </c>
    </row>
    <row r="101" spans="2:35" ht="15" customHeight="1" x14ac:dyDescent="0.25">
      <c r="B101" s="93" t="s">
        <v>326</v>
      </c>
      <c r="C101" s="91">
        <v>200</v>
      </c>
      <c r="D101" s="80">
        <f>SUMIFS('май 2024'!$G$4:$G$1753,'май 2024'!$D$4:$D$1753,$B101,'май 2024'!$J$4:$J$1753,D$1)</f>
        <v>0</v>
      </c>
      <c r="E101" s="80">
        <f>SUMIFS('май 2024'!$G$4:$G$1753,'май 2024'!$D$4:$D$1753,$B101,'май 2024'!$J$4:$J$1753,E$1)</f>
        <v>0</v>
      </c>
      <c r="F101" s="80">
        <f>SUMIFS('май 2024'!$G$4:$G$1753,'май 2024'!$D$4:$D$1753,$B101,'май 2024'!$J$4:$J$1753,F$1)</f>
        <v>0</v>
      </c>
      <c r="G101" s="80">
        <f>SUMIFS('май 2024'!$G$4:$G$1753,'май 2024'!$D$4:$D$1753,$B101,'май 2024'!$J$4:$J$1753,G$1)</f>
        <v>0</v>
      </c>
      <c r="H101" s="80">
        <f>SUMIFS('май 2024'!$G$4:$G$1753,'май 2024'!$D$4:$D$1753,$B101,'май 2024'!$J$4:$J$1753,H$1)</f>
        <v>0</v>
      </c>
      <c r="I101" s="80">
        <f>SUMIFS('май 2024'!$G$4:$G$1753,'май 2024'!$D$4:$D$1753,$B101,'май 2024'!$J$4:$J$1753,I$1)</f>
        <v>0</v>
      </c>
      <c r="J101" s="80">
        <f>SUMIFS('май 2024'!$G$4:$G$1753,'май 2024'!$D$4:$D$1753,$B101,'май 2024'!$J$4:$J$1753,J$1)</f>
        <v>0</v>
      </c>
      <c r="K101" s="80">
        <f>SUMIFS('май 2024'!$G$4:$G$1753,'май 2024'!$D$4:$D$1753,$B101,'май 2024'!$J$4:$J$1753,K$1)</f>
        <v>0</v>
      </c>
      <c r="L101" s="80">
        <f>SUMIFS('май 2024'!$G$4:$G$1753,'май 2024'!$D$4:$D$1753,$B101,'май 2024'!$J$4:$J$1753,L$1)</f>
        <v>0</v>
      </c>
      <c r="M101" s="80">
        <f>SUMIFS('май 2024'!$G$4:$G$1753,'май 2024'!$D$4:$D$1753,$B101,'май 2024'!$J$4:$J$1753,M$1)</f>
        <v>0</v>
      </c>
      <c r="N101" s="80">
        <f>SUMIFS('май 2024'!$G$4:$G$1753,'май 2024'!$D$4:$D$1753,$B101,'май 2024'!$J$4:$J$1753,N$1)</f>
        <v>0</v>
      </c>
      <c r="O101" s="80">
        <f>SUMIFS('май 2024'!$G$4:$G$1753,'май 2024'!$D$4:$D$1753,$B101,'май 2024'!$J$4:$J$1753,O$1)</f>
        <v>0</v>
      </c>
      <c r="P101" s="80">
        <f>SUMIFS('май 2024'!$G$4:$G$1753,'май 2024'!$D$4:$D$1753,$B101,'май 2024'!$J$4:$J$1753,P$1)</f>
        <v>0</v>
      </c>
      <c r="Q101" s="80">
        <f>SUMIFS('май 2024'!$G$4:$G$1753,'май 2024'!$D$4:$D$1753,$B101,'май 2024'!$J$4:$J$1753,Q$1)</f>
        <v>0</v>
      </c>
      <c r="R101" s="80">
        <f>SUMIFS('май 2024'!$G$4:$G$1753,'май 2024'!$D$4:$D$1753,$B101,'май 2024'!$J$4:$J$1753,R$1)</f>
        <v>0</v>
      </c>
      <c r="S101" s="80">
        <f>SUMIFS('май 2024'!$G$4:$G$1753,'май 2024'!$D$4:$D$1753,$B101,'май 2024'!$J$4:$J$1753,S$1)</f>
        <v>0</v>
      </c>
      <c r="T101" s="80">
        <f>SUMIFS('май 2024'!$G$4:$G$1753,'май 2024'!$D$4:$D$1753,$B101,'май 2024'!$J$4:$J$1753,T$1)</f>
        <v>0</v>
      </c>
      <c r="U101" s="80">
        <f>SUMIFS('май 2024'!$G$4:$G$1753,'май 2024'!$D$4:$D$1753,$B101,'май 2024'!$J$4:$J$1753,U$1)</f>
        <v>0</v>
      </c>
      <c r="V101" s="80">
        <f>SUMIFS('май 2024'!$G$4:$G$1753,'май 2024'!$D$4:$D$1753,$B101,'май 2024'!$J$4:$J$1753,V$1)</f>
        <v>0</v>
      </c>
      <c r="W101" s="80">
        <f>SUMIFS('май 2024'!$G$4:$G$1753,'май 2024'!$D$4:$D$1753,$B101,'май 2024'!$J$4:$J$1753,W$1)</f>
        <v>0</v>
      </c>
      <c r="X101" s="80">
        <f>SUMIFS('май 2024'!$G$4:$G$1753,'май 2024'!$D$4:$D$1753,$B101,'май 2024'!$J$4:$J$1753,X$1)</f>
        <v>0</v>
      </c>
      <c r="Y101" s="80">
        <f>SUMIFS('май 2024'!$G$4:$G$1753,'май 2024'!$D$4:$D$1753,$B101,'май 2024'!$J$4:$J$1753,Y$1)</f>
        <v>0</v>
      </c>
      <c r="Z101" s="80">
        <f>SUMIFS('май 2024'!$G$4:$G$1753,'май 2024'!$D$4:$D$1753,$B101,'май 2024'!$J$4:$J$1753,Z$1)</f>
        <v>0</v>
      </c>
      <c r="AA101" s="80">
        <f>SUMIFS('май 2024'!$G$4:$G$1753,'май 2024'!$D$4:$D$1753,$B101,'май 2024'!$J$4:$J$1753,AA$1)</f>
        <v>0</v>
      </c>
      <c r="AB101" s="80">
        <f>SUMIFS('май 2024'!$G$4:$G$1753,'май 2024'!$D$4:$D$1753,$B101,'май 2024'!$J$4:$J$1753,AB$1)</f>
        <v>0</v>
      </c>
      <c r="AC101" s="80">
        <f>SUMIFS('май 2024'!$G$4:$G$1753,'май 2024'!$D$4:$D$1753,$B101,'май 2024'!$J$4:$J$1753,AC$1)</f>
        <v>0</v>
      </c>
      <c r="AD101" s="80">
        <f>SUMIFS('май 2024'!$G$4:$G$1753,'май 2024'!$D$4:$D$1753,$B101,'май 2024'!$J$4:$J$1753,AD$1)</f>
        <v>0</v>
      </c>
      <c r="AE101" s="80">
        <f>SUMIFS('май 2024'!$G$4:$G$1753,'май 2024'!$D$4:$D$1753,$B101,'май 2024'!$J$4:$J$1753,AE$1)</f>
        <v>0</v>
      </c>
      <c r="AF101" s="80">
        <f>SUMIFS('май 2024'!$G$4:$G$1753,'май 2024'!$D$4:$D$1753,$B101,'май 2024'!$J$4:$J$1753,AF$1)</f>
        <v>0</v>
      </c>
      <c r="AG101" s="80">
        <f>SUMIFS('май 2024'!$G$4:$G$1753,'май 2024'!$D$4:$D$1753,$B101,'май 2024'!$J$4:$J$1753,AG$1)</f>
        <v>0</v>
      </c>
      <c r="AH101" s="80">
        <f>SUMIFS('май 2024'!$G$4:$G$1753,'май 2024'!$D$4:$D$1753,$B101,'май 2024'!$J$4:$J$1753,AH$1)</f>
        <v>0</v>
      </c>
      <c r="AI101" s="21">
        <f t="shared" si="1"/>
        <v>0</v>
      </c>
    </row>
    <row r="102" spans="2:35" ht="15" customHeight="1" x14ac:dyDescent="0.25">
      <c r="B102" s="93" t="s">
        <v>327</v>
      </c>
      <c r="C102" s="91">
        <v>200</v>
      </c>
      <c r="D102" s="80">
        <f>SUMIFS('май 2024'!$G$4:$G$1753,'май 2024'!$D$4:$D$1753,$B102,'май 2024'!$J$4:$J$1753,D$1)</f>
        <v>0</v>
      </c>
      <c r="E102" s="80">
        <f>SUMIFS('май 2024'!$G$4:$G$1753,'май 2024'!$D$4:$D$1753,$B102,'май 2024'!$J$4:$J$1753,E$1)</f>
        <v>0</v>
      </c>
      <c r="F102" s="80">
        <f>SUMIFS('май 2024'!$G$4:$G$1753,'май 2024'!$D$4:$D$1753,$B102,'май 2024'!$J$4:$J$1753,F$1)</f>
        <v>0</v>
      </c>
      <c r="G102" s="80">
        <f>SUMIFS('май 2024'!$G$4:$G$1753,'май 2024'!$D$4:$D$1753,$B102,'май 2024'!$J$4:$J$1753,G$1)</f>
        <v>0</v>
      </c>
      <c r="H102" s="80">
        <f>SUMIFS('май 2024'!$G$4:$G$1753,'май 2024'!$D$4:$D$1753,$B102,'май 2024'!$J$4:$J$1753,H$1)</f>
        <v>0</v>
      </c>
      <c r="I102" s="80">
        <f>SUMIFS('май 2024'!$G$4:$G$1753,'май 2024'!$D$4:$D$1753,$B102,'май 2024'!$J$4:$J$1753,I$1)</f>
        <v>0</v>
      </c>
      <c r="J102" s="80">
        <f>SUMIFS('май 2024'!$G$4:$G$1753,'май 2024'!$D$4:$D$1753,$B102,'май 2024'!$J$4:$J$1753,J$1)</f>
        <v>0</v>
      </c>
      <c r="K102" s="80">
        <f>SUMIFS('май 2024'!$G$4:$G$1753,'май 2024'!$D$4:$D$1753,$B102,'май 2024'!$J$4:$J$1753,K$1)</f>
        <v>0</v>
      </c>
      <c r="L102" s="80">
        <f>SUMIFS('май 2024'!$G$4:$G$1753,'май 2024'!$D$4:$D$1753,$B102,'май 2024'!$J$4:$J$1753,L$1)</f>
        <v>0</v>
      </c>
      <c r="M102" s="80">
        <f>SUMIFS('май 2024'!$G$4:$G$1753,'май 2024'!$D$4:$D$1753,$B102,'май 2024'!$J$4:$J$1753,M$1)</f>
        <v>0</v>
      </c>
      <c r="N102" s="80">
        <f>SUMIFS('май 2024'!$G$4:$G$1753,'май 2024'!$D$4:$D$1753,$B102,'май 2024'!$J$4:$J$1753,N$1)</f>
        <v>0</v>
      </c>
      <c r="O102" s="80">
        <f>SUMIFS('май 2024'!$G$4:$G$1753,'май 2024'!$D$4:$D$1753,$B102,'май 2024'!$J$4:$J$1753,O$1)</f>
        <v>0</v>
      </c>
      <c r="P102" s="80">
        <f>SUMIFS('май 2024'!$G$4:$G$1753,'май 2024'!$D$4:$D$1753,$B102,'май 2024'!$J$4:$J$1753,P$1)</f>
        <v>0</v>
      </c>
      <c r="Q102" s="80">
        <f>SUMIFS('май 2024'!$G$4:$G$1753,'май 2024'!$D$4:$D$1753,$B102,'май 2024'!$J$4:$J$1753,Q$1)</f>
        <v>0</v>
      </c>
      <c r="R102" s="80">
        <f>SUMIFS('май 2024'!$G$4:$G$1753,'май 2024'!$D$4:$D$1753,$B102,'май 2024'!$J$4:$J$1753,R$1)</f>
        <v>0</v>
      </c>
      <c r="S102" s="80">
        <f>SUMIFS('май 2024'!$G$4:$G$1753,'май 2024'!$D$4:$D$1753,$B102,'май 2024'!$J$4:$J$1753,S$1)</f>
        <v>0</v>
      </c>
      <c r="T102" s="80">
        <f>SUMIFS('май 2024'!$G$4:$G$1753,'май 2024'!$D$4:$D$1753,$B102,'май 2024'!$J$4:$J$1753,T$1)</f>
        <v>0</v>
      </c>
      <c r="U102" s="80">
        <f>SUMIFS('май 2024'!$G$4:$G$1753,'май 2024'!$D$4:$D$1753,$B102,'май 2024'!$J$4:$J$1753,U$1)</f>
        <v>0</v>
      </c>
      <c r="V102" s="80">
        <f>SUMIFS('май 2024'!$G$4:$G$1753,'май 2024'!$D$4:$D$1753,$B102,'май 2024'!$J$4:$J$1753,V$1)</f>
        <v>0</v>
      </c>
      <c r="W102" s="80">
        <f>SUMIFS('май 2024'!$G$4:$G$1753,'май 2024'!$D$4:$D$1753,$B102,'май 2024'!$J$4:$J$1753,W$1)</f>
        <v>0</v>
      </c>
      <c r="X102" s="80">
        <f>SUMIFS('май 2024'!$G$4:$G$1753,'май 2024'!$D$4:$D$1753,$B102,'май 2024'!$J$4:$J$1753,X$1)</f>
        <v>0</v>
      </c>
      <c r="Y102" s="80">
        <f>SUMIFS('май 2024'!$G$4:$G$1753,'май 2024'!$D$4:$D$1753,$B102,'май 2024'!$J$4:$J$1753,Y$1)</f>
        <v>0</v>
      </c>
      <c r="Z102" s="80">
        <f>SUMIFS('май 2024'!$G$4:$G$1753,'май 2024'!$D$4:$D$1753,$B102,'май 2024'!$J$4:$J$1753,Z$1)</f>
        <v>0</v>
      </c>
      <c r="AA102" s="80">
        <f>SUMIFS('май 2024'!$G$4:$G$1753,'май 2024'!$D$4:$D$1753,$B102,'май 2024'!$J$4:$J$1753,AA$1)</f>
        <v>0</v>
      </c>
      <c r="AB102" s="80">
        <f>SUMIFS('май 2024'!$G$4:$G$1753,'май 2024'!$D$4:$D$1753,$B102,'май 2024'!$J$4:$J$1753,AB$1)</f>
        <v>0</v>
      </c>
      <c r="AC102" s="80">
        <f>SUMIFS('май 2024'!$G$4:$G$1753,'май 2024'!$D$4:$D$1753,$B102,'май 2024'!$J$4:$J$1753,AC$1)</f>
        <v>0</v>
      </c>
      <c r="AD102" s="80">
        <f>SUMIFS('май 2024'!$G$4:$G$1753,'май 2024'!$D$4:$D$1753,$B102,'май 2024'!$J$4:$J$1753,AD$1)</f>
        <v>0</v>
      </c>
      <c r="AE102" s="80">
        <f>SUMIFS('май 2024'!$G$4:$G$1753,'май 2024'!$D$4:$D$1753,$B102,'май 2024'!$J$4:$J$1753,AE$1)</f>
        <v>0</v>
      </c>
      <c r="AF102" s="80">
        <f>SUMIFS('май 2024'!$G$4:$G$1753,'май 2024'!$D$4:$D$1753,$B102,'май 2024'!$J$4:$J$1753,AF$1)</f>
        <v>0</v>
      </c>
      <c r="AG102" s="80">
        <f>SUMIFS('май 2024'!$G$4:$G$1753,'май 2024'!$D$4:$D$1753,$B102,'май 2024'!$J$4:$J$1753,AG$1)</f>
        <v>0</v>
      </c>
      <c r="AH102" s="80">
        <f>SUMIFS('май 2024'!$G$4:$G$1753,'май 2024'!$D$4:$D$1753,$B102,'май 2024'!$J$4:$J$1753,AH$1)</f>
        <v>0</v>
      </c>
      <c r="AI102" s="21">
        <f t="shared" si="1"/>
        <v>0</v>
      </c>
    </row>
    <row r="103" spans="2:35" ht="15" customHeight="1" x14ac:dyDescent="0.25">
      <c r="B103" s="89" t="s">
        <v>223</v>
      </c>
      <c r="C103" s="88">
        <v>25</v>
      </c>
      <c r="D103" s="80">
        <f>SUMIFS('май 2024'!$G$4:$G$1753,'май 2024'!$D$4:$D$1753,$B103,'май 2024'!$J$4:$J$1753,D$1)</f>
        <v>0</v>
      </c>
      <c r="E103" s="80">
        <f>SUMIFS('май 2024'!$G$4:$G$1753,'май 2024'!$D$4:$D$1753,$B103,'май 2024'!$J$4:$J$1753,E$1)</f>
        <v>0</v>
      </c>
      <c r="F103" s="80">
        <f>SUMIFS('май 2024'!$G$4:$G$1753,'май 2024'!$D$4:$D$1753,$B103,'май 2024'!$J$4:$J$1753,F$1)</f>
        <v>0</v>
      </c>
      <c r="G103" s="80">
        <f>SUMIFS('май 2024'!$G$4:$G$1753,'май 2024'!$D$4:$D$1753,$B103,'май 2024'!$J$4:$J$1753,G$1)</f>
        <v>0</v>
      </c>
      <c r="H103" s="80">
        <f>SUMIFS('май 2024'!$G$4:$G$1753,'май 2024'!$D$4:$D$1753,$B103,'май 2024'!$J$4:$J$1753,H$1)</f>
        <v>0</v>
      </c>
      <c r="I103" s="80">
        <f>SUMIFS('май 2024'!$G$4:$G$1753,'май 2024'!$D$4:$D$1753,$B103,'май 2024'!$J$4:$J$1753,I$1)</f>
        <v>0</v>
      </c>
      <c r="J103" s="80">
        <f>SUMIFS('май 2024'!$G$4:$G$1753,'май 2024'!$D$4:$D$1753,$B103,'май 2024'!$J$4:$J$1753,J$1)</f>
        <v>0</v>
      </c>
      <c r="K103" s="80">
        <f>SUMIFS('май 2024'!$G$4:$G$1753,'май 2024'!$D$4:$D$1753,$B103,'май 2024'!$J$4:$J$1753,K$1)</f>
        <v>0</v>
      </c>
      <c r="L103" s="80">
        <f>SUMIFS('май 2024'!$G$4:$G$1753,'май 2024'!$D$4:$D$1753,$B103,'май 2024'!$J$4:$J$1753,L$1)</f>
        <v>0</v>
      </c>
      <c r="M103" s="80">
        <f>SUMIFS('май 2024'!$G$4:$G$1753,'май 2024'!$D$4:$D$1753,$B103,'май 2024'!$J$4:$J$1753,M$1)</f>
        <v>0</v>
      </c>
      <c r="N103" s="80">
        <f>SUMIFS('май 2024'!$G$4:$G$1753,'май 2024'!$D$4:$D$1753,$B103,'май 2024'!$J$4:$J$1753,N$1)</f>
        <v>0</v>
      </c>
      <c r="O103" s="80">
        <f>SUMIFS('май 2024'!$G$4:$G$1753,'май 2024'!$D$4:$D$1753,$B103,'май 2024'!$J$4:$J$1753,O$1)</f>
        <v>0</v>
      </c>
      <c r="P103" s="80">
        <f>SUMIFS('май 2024'!$G$4:$G$1753,'май 2024'!$D$4:$D$1753,$B103,'май 2024'!$J$4:$J$1753,P$1)</f>
        <v>0</v>
      </c>
      <c r="Q103" s="80">
        <f>SUMIFS('май 2024'!$G$4:$G$1753,'май 2024'!$D$4:$D$1753,$B103,'май 2024'!$J$4:$J$1753,Q$1)</f>
        <v>0</v>
      </c>
      <c r="R103" s="80">
        <f>SUMIFS('май 2024'!$G$4:$G$1753,'май 2024'!$D$4:$D$1753,$B103,'май 2024'!$J$4:$J$1753,R$1)</f>
        <v>0</v>
      </c>
      <c r="S103" s="80">
        <f>SUMIFS('май 2024'!$G$4:$G$1753,'май 2024'!$D$4:$D$1753,$B103,'май 2024'!$J$4:$J$1753,S$1)</f>
        <v>0</v>
      </c>
      <c r="T103" s="80">
        <f>SUMIFS('май 2024'!$G$4:$G$1753,'май 2024'!$D$4:$D$1753,$B103,'май 2024'!$J$4:$J$1753,T$1)</f>
        <v>0</v>
      </c>
      <c r="U103" s="80">
        <f>SUMIFS('май 2024'!$G$4:$G$1753,'май 2024'!$D$4:$D$1753,$B103,'май 2024'!$J$4:$J$1753,U$1)</f>
        <v>0</v>
      </c>
      <c r="V103" s="80">
        <f>SUMIFS('май 2024'!$G$4:$G$1753,'май 2024'!$D$4:$D$1753,$B103,'май 2024'!$J$4:$J$1753,V$1)</f>
        <v>0</v>
      </c>
      <c r="W103" s="80">
        <f>SUMIFS('май 2024'!$G$4:$G$1753,'май 2024'!$D$4:$D$1753,$B103,'май 2024'!$J$4:$J$1753,W$1)</f>
        <v>0</v>
      </c>
      <c r="X103" s="80">
        <f>SUMIFS('май 2024'!$G$4:$G$1753,'май 2024'!$D$4:$D$1753,$B103,'май 2024'!$J$4:$J$1753,X$1)</f>
        <v>0</v>
      </c>
      <c r="Y103" s="80">
        <f>SUMIFS('май 2024'!$G$4:$G$1753,'май 2024'!$D$4:$D$1753,$B103,'май 2024'!$J$4:$J$1753,Y$1)</f>
        <v>0</v>
      </c>
      <c r="Z103" s="80">
        <f>SUMIFS('май 2024'!$G$4:$G$1753,'май 2024'!$D$4:$D$1753,$B103,'май 2024'!$J$4:$J$1753,Z$1)</f>
        <v>0</v>
      </c>
      <c r="AA103" s="80">
        <f>SUMIFS('май 2024'!$G$4:$G$1753,'май 2024'!$D$4:$D$1753,$B103,'май 2024'!$J$4:$J$1753,AA$1)</f>
        <v>0</v>
      </c>
      <c r="AB103" s="80">
        <f>SUMIFS('май 2024'!$G$4:$G$1753,'май 2024'!$D$4:$D$1753,$B103,'май 2024'!$J$4:$J$1753,AB$1)</f>
        <v>0</v>
      </c>
      <c r="AC103" s="80">
        <f>SUMIFS('май 2024'!$G$4:$G$1753,'май 2024'!$D$4:$D$1753,$B103,'май 2024'!$J$4:$J$1753,AC$1)</f>
        <v>0</v>
      </c>
      <c r="AD103" s="80">
        <f>SUMIFS('май 2024'!$G$4:$G$1753,'май 2024'!$D$4:$D$1753,$B103,'май 2024'!$J$4:$J$1753,AD$1)</f>
        <v>0</v>
      </c>
      <c r="AE103" s="80">
        <f>SUMIFS('май 2024'!$G$4:$G$1753,'май 2024'!$D$4:$D$1753,$B103,'май 2024'!$J$4:$J$1753,AE$1)</f>
        <v>0</v>
      </c>
      <c r="AF103" s="80">
        <f>SUMIFS('май 2024'!$G$4:$G$1753,'май 2024'!$D$4:$D$1753,$B103,'май 2024'!$J$4:$J$1753,AF$1)</f>
        <v>0</v>
      </c>
      <c r="AG103" s="80">
        <f>SUMIFS('май 2024'!$G$4:$G$1753,'май 2024'!$D$4:$D$1753,$B103,'май 2024'!$J$4:$J$1753,AG$1)</f>
        <v>0</v>
      </c>
      <c r="AH103" s="80">
        <f>SUMIFS('май 2024'!$G$4:$G$1753,'май 2024'!$D$4:$D$1753,$B103,'май 2024'!$J$4:$J$1753,AH$1)</f>
        <v>0</v>
      </c>
      <c r="AI103" s="21">
        <f t="shared" si="1"/>
        <v>0</v>
      </c>
    </row>
    <row r="104" spans="2:35" ht="15" customHeight="1" x14ac:dyDescent="0.25">
      <c r="B104" s="93" t="s">
        <v>328</v>
      </c>
      <c r="C104" s="91">
        <v>50</v>
      </c>
      <c r="D104" s="80">
        <f>SUMIFS('май 2024'!$G$4:$G$1753,'май 2024'!$D$4:$D$1753,$B104,'май 2024'!$J$4:$J$1753,D$1)</f>
        <v>0</v>
      </c>
      <c r="E104" s="80">
        <f>SUMIFS('май 2024'!$G$4:$G$1753,'май 2024'!$D$4:$D$1753,$B104,'май 2024'!$J$4:$J$1753,E$1)</f>
        <v>0</v>
      </c>
      <c r="F104" s="80">
        <f>SUMIFS('май 2024'!$G$4:$G$1753,'май 2024'!$D$4:$D$1753,$B104,'май 2024'!$J$4:$J$1753,F$1)</f>
        <v>0</v>
      </c>
      <c r="G104" s="80">
        <f>SUMIFS('май 2024'!$G$4:$G$1753,'май 2024'!$D$4:$D$1753,$B104,'май 2024'!$J$4:$J$1753,G$1)</f>
        <v>0</v>
      </c>
      <c r="H104" s="80">
        <f>SUMIFS('май 2024'!$G$4:$G$1753,'май 2024'!$D$4:$D$1753,$B104,'май 2024'!$J$4:$J$1753,H$1)</f>
        <v>0</v>
      </c>
      <c r="I104" s="80">
        <f>SUMIFS('май 2024'!$G$4:$G$1753,'май 2024'!$D$4:$D$1753,$B104,'май 2024'!$J$4:$J$1753,I$1)</f>
        <v>0</v>
      </c>
      <c r="J104" s="80">
        <f>SUMIFS('май 2024'!$G$4:$G$1753,'май 2024'!$D$4:$D$1753,$B104,'май 2024'!$J$4:$J$1753,J$1)</f>
        <v>0</v>
      </c>
      <c r="K104" s="80">
        <f>SUMIFS('май 2024'!$G$4:$G$1753,'май 2024'!$D$4:$D$1753,$B104,'май 2024'!$J$4:$J$1753,K$1)</f>
        <v>0</v>
      </c>
      <c r="L104" s="80">
        <f>SUMIFS('май 2024'!$G$4:$G$1753,'май 2024'!$D$4:$D$1753,$B104,'май 2024'!$J$4:$J$1753,L$1)</f>
        <v>0</v>
      </c>
      <c r="M104" s="80">
        <f>SUMIFS('май 2024'!$G$4:$G$1753,'май 2024'!$D$4:$D$1753,$B104,'май 2024'!$J$4:$J$1753,M$1)</f>
        <v>0</v>
      </c>
      <c r="N104" s="80">
        <f>SUMIFS('май 2024'!$G$4:$G$1753,'май 2024'!$D$4:$D$1753,$B104,'май 2024'!$J$4:$J$1753,N$1)</f>
        <v>0</v>
      </c>
      <c r="O104" s="80">
        <f>SUMIFS('май 2024'!$G$4:$G$1753,'май 2024'!$D$4:$D$1753,$B104,'май 2024'!$J$4:$J$1753,O$1)</f>
        <v>0</v>
      </c>
      <c r="P104" s="80">
        <f>SUMIFS('май 2024'!$G$4:$G$1753,'май 2024'!$D$4:$D$1753,$B104,'май 2024'!$J$4:$J$1753,P$1)</f>
        <v>0</v>
      </c>
      <c r="Q104" s="80">
        <f>SUMIFS('май 2024'!$G$4:$G$1753,'май 2024'!$D$4:$D$1753,$B104,'май 2024'!$J$4:$J$1753,Q$1)</f>
        <v>0</v>
      </c>
      <c r="R104" s="80">
        <f>SUMIFS('май 2024'!$G$4:$G$1753,'май 2024'!$D$4:$D$1753,$B104,'май 2024'!$J$4:$J$1753,R$1)</f>
        <v>0</v>
      </c>
      <c r="S104" s="80">
        <f>SUMIFS('май 2024'!$G$4:$G$1753,'май 2024'!$D$4:$D$1753,$B104,'май 2024'!$J$4:$J$1753,S$1)</f>
        <v>0</v>
      </c>
      <c r="T104" s="80">
        <f>SUMIFS('май 2024'!$G$4:$G$1753,'май 2024'!$D$4:$D$1753,$B104,'май 2024'!$J$4:$J$1753,T$1)</f>
        <v>0</v>
      </c>
      <c r="U104" s="80">
        <f>SUMIFS('май 2024'!$G$4:$G$1753,'май 2024'!$D$4:$D$1753,$B104,'май 2024'!$J$4:$J$1753,U$1)</f>
        <v>0</v>
      </c>
      <c r="V104" s="80">
        <f>SUMIFS('май 2024'!$G$4:$G$1753,'май 2024'!$D$4:$D$1753,$B104,'май 2024'!$J$4:$J$1753,V$1)</f>
        <v>0</v>
      </c>
      <c r="W104" s="80">
        <f>SUMIFS('май 2024'!$G$4:$G$1753,'май 2024'!$D$4:$D$1753,$B104,'май 2024'!$J$4:$J$1753,W$1)</f>
        <v>0</v>
      </c>
      <c r="X104" s="80">
        <f>SUMIFS('май 2024'!$G$4:$G$1753,'май 2024'!$D$4:$D$1753,$B104,'май 2024'!$J$4:$J$1753,X$1)</f>
        <v>0</v>
      </c>
      <c r="Y104" s="80">
        <f>SUMIFS('май 2024'!$G$4:$G$1753,'май 2024'!$D$4:$D$1753,$B104,'май 2024'!$J$4:$J$1753,Y$1)</f>
        <v>0</v>
      </c>
      <c r="Z104" s="80">
        <f>SUMIFS('май 2024'!$G$4:$G$1753,'май 2024'!$D$4:$D$1753,$B104,'май 2024'!$J$4:$J$1753,Z$1)</f>
        <v>0</v>
      </c>
      <c r="AA104" s="80">
        <f>SUMIFS('май 2024'!$G$4:$G$1753,'май 2024'!$D$4:$D$1753,$B104,'май 2024'!$J$4:$J$1753,AA$1)</f>
        <v>0</v>
      </c>
      <c r="AB104" s="80">
        <f>SUMIFS('май 2024'!$G$4:$G$1753,'май 2024'!$D$4:$D$1753,$B104,'май 2024'!$J$4:$J$1753,AB$1)</f>
        <v>0</v>
      </c>
      <c r="AC104" s="80">
        <f>SUMIFS('май 2024'!$G$4:$G$1753,'май 2024'!$D$4:$D$1753,$B104,'май 2024'!$J$4:$J$1753,AC$1)</f>
        <v>0</v>
      </c>
      <c r="AD104" s="80">
        <f>SUMIFS('май 2024'!$G$4:$G$1753,'май 2024'!$D$4:$D$1753,$B104,'май 2024'!$J$4:$J$1753,AD$1)</f>
        <v>0</v>
      </c>
      <c r="AE104" s="80">
        <f>SUMIFS('май 2024'!$G$4:$G$1753,'май 2024'!$D$4:$D$1753,$B104,'май 2024'!$J$4:$J$1753,AE$1)</f>
        <v>0</v>
      </c>
      <c r="AF104" s="80">
        <f>SUMIFS('май 2024'!$G$4:$G$1753,'май 2024'!$D$4:$D$1753,$B104,'май 2024'!$J$4:$J$1753,AF$1)</f>
        <v>0</v>
      </c>
      <c r="AG104" s="80">
        <f>SUMIFS('май 2024'!$G$4:$G$1753,'май 2024'!$D$4:$D$1753,$B104,'май 2024'!$J$4:$J$1753,AG$1)</f>
        <v>0</v>
      </c>
      <c r="AH104" s="80">
        <f>SUMIFS('май 2024'!$G$4:$G$1753,'май 2024'!$D$4:$D$1753,$B104,'май 2024'!$J$4:$J$1753,AH$1)</f>
        <v>0</v>
      </c>
      <c r="AI104" s="21">
        <f t="shared" si="1"/>
        <v>0</v>
      </c>
    </row>
    <row r="105" spans="2:35" ht="15" customHeight="1" x14ac:dyDescent="0.25">
      <c r="B105" s="93" t="s">
        <v>195</v>
      </c>
      <c r="C105" s="91">
        <v>180</v>
      </c>
      <c r="D105" s="80">
        <f>SUMIFS('май 2024'!$G$4:$G$1753,'май 2024'!$D$4:$D$1753,$B105,'май 2024'!$J$4:$J$1753,D$1)</f>
        <v>0</v>
      </c>
      <c r="E105" s="80">
        <f>SUMIFS('май 2024'!$G$4:$G$1753,'май 2024'!$D$4:$D$1753,$B105,'май 2024'!$J$4:$J$1753,E$1)</f>
        <v>0</v>
      </c>
      <c r="F105" s="80">
        <f>SUMIFS('май 2024'!$G$4:$G$1753,'май 2024'!$D$4:$D$1753,$B105,'май 2024'!$J$4:$J$1753,F$1)</f>
        <v>0</v>
      </c>
      <c r="G105" s="80">
        <f>SUMIFS('май 2024'!$G$4:$G$1753,'май 2024'!$D$4:$D$1753,$B105,'май 2024'!$J$4:$J$1753,G$1)</f>
        <v>0</v>
      </c>
      <c r="H105" s="80">
        <f>SUMIFS('май 2024'!$G$4:$G$1753,'май 2024'!$D$4:$D$1753,$B105,'май 2024'!$J$4:$J$1753,H$1)</f>
        <v>0</v>
      </c>
      <c r="I105" s="80">
        <f>SUMIFS('май 2024'!$G$4:$G$1753,'май 2024'!$D$4:$D$1753,$B105,'май 2024'!$J$4:$J$1753,I$1)</f>
        <v>0</v>
      </c>
      <c r="J105" s="80">
        <f>SUMIFS('май 2024'!$G$4:$G$1753,'май 2024'!$D$4:$D$1753,$B105,'май 2024'!$J$4:$J$1753,J$1)</f>
        <v>0</v>
      </c>
      <c r="K105" s="80">
        <f>SUMIFS('май 2024'!$G$4:$G$1753,'май 2024'!$D$4:$D$1753,$B105,'май 2024'!$J$4:$J$1753,K$1)</f>
        <v>0</v>
      </c>
      <c r="L105" s="80">
        <f>SUMIFS('май 2024'!$G$4:$G$1753,'май 2024'!$D$4:$D$1753,$B105,'май 2024'!$J$4:$J$1753,L$1)</f>
        <v>0</v>
      </c>
      <c r="M105" s="80">
        <f>SUMIFS('май 2024'!$G$4:$G$1753,'май 2024'!$D$4:$D$1753,$B105,'май 2024'!$J$4:$J$1753,M$1)</f>
        <v>0</v>
      </c>
      <c r="N105" s="80">
        <f>SUMIFS('май 2024'!$G$4:$G$1753,'май 2024'!$D$4:$D$1753,$B105,'май 2024'!$J$4:$J$1753,N$1)</f>
        <v>0</v>
      </c>
      <c r="O105" s="80">
        <f>SUMIFS('май 2024'!$G$4:$G$1753,'май 2024'!$D$4:$D$1753,$B105,'май 2024'!$J$4:$J$1753,O$1)</f>
        <v>0</v>
      </c>
      <c r="P105" s="80">
        <f>SUMIFS('май 2024'!$G$4:$G$1753,'май 2024'!$D$4:$D$1753,$B105,'май 2024'!$J$4:$J$1753,P$1)</f>
        <v>0</v>
      </c>
      <c r="Q105" s="80">
        <f>SUMIFS('май 2024'!$G$4:$G$1753,'май 2024'!$D$4:$D$1753,$B105,'май 2024'!$J$4:$J$1753,Q$1)</f>
        <v>0</v>
      </c>
      <c r="R105" s="80">
        <f>SUMIFS('май 2024'!$G$4:$G$1753,'май 2024'!$D$4:$D$1753,$B105,'май 2024'!$J$4:$J$1753,R$1)</f>
        <v>0</v>
      </c>
      <c r="S105" s="80">
        <f>SUMIFS('май 2024'!$G$4:$G$1753,'май 2024'!$D$4:$D$1753,$B105,'май 2024'!$J$4:$J$1753,S$1)</f>
        <v>0</v>
      </c>
      <c r="T105" s="80">
        <f>SUMIFS('май 2024'!$G$4:$G$1753,'май 2024'!$D$4:$D$1753,$B105,'май 2024'!$J$4:$J$1753,T$1)</f>
        <v>0</v>
      </c>
      <c r="U105" s="80">
        <f>SUMIFS('май 2024'!$G$4:$G$1753,'май 2024'!$D$4:$D$1753,$B105,'май 2024'!$J$4:$J$1753,U$1)</f>
        <v>0</v>
      </c>
      <c r="V105" s="80">
        <f>SUMIFS('май 2024'!$G$4:$G$1753,'май 2024'!$D$4:$D$1753,$B105,'май 2024'!$J$4:$J$1753,V$1)</f>
        <v>0</v>
      </c>
      <c r="W105" s="80">
        <f>SUMIFS('май 2024'!$G$4:$G$1753,'май 2024'!$D$4:$D$1753,$B105,'май 2024'!$J$4:$J$1753,W$1)</f>
        <v>0</v>
      </c>
      <c r="X105" s="80">
        <f>SUMIFS('май 2024'!$G$4:$G$1753,'май 2024'!$D$4:$D$1753,$B105,'май 2024'!$J$4:$J$1753,X$1)</f>
        <v>0</v>
      </c>
      <c r="Y105" s="80">
        <f>SUMIFS('май 2024'!$G$4:$G$1753,'май 2024'!$D$4:$D$1753,$B105,'май 2024'!$J$4:$J$1753,Y$1)</f>
        <v>0</v>
      </c>
      <c r="Z105" s="80">
        <f>SUMIFS('май 2024'!$G$4:$G$1753,'май 2024'!$D$4:$D$1753,$B105,'май 2024'!$J$4:$J$1753,Z$1)</f>
        <v>0</v>
      </c>
      <c r="AA105" s="80">
        <f>SUMIFS('май 2024'!$G$4:$G$1753,'май 2024'!$D$4:$D$1753,$B105,'май 2024'!$J$4:$J$1753,AA$1)</f>
        <v>0</v>
      </c>
      <c r="AB105" s="80">
        <f>SUMIFS('май 2024'!$G$4:$G$1753,'май 2024'!$D$4:$D$1753,$B105,'май 2024'!$J$4:$J$1753,AB$1)</f>
        <v>0</v>
      </c>
      <c r="AC105" s="80">
        <f>SUMIFS('май 2024'!$G$4:$G$1753,'май 2024'!$D$4:$D$1753,$B105,'май 2024'!$J$4:$J$1753,AC$1)</f>
        <v>0</v>
      </c>
      <c r="AD105" s="80">
        <f>SUMIFS('май 2024'!$G$4:$G$1753,'май 2024'!$D$4:$D$1753,$B105,'май 2024'!$J$4:$J$1753,AD$1)</f>
        <v>0</v>
      </c>
      <c r="AE105" s="80">
        <f>SUMIFS('май 2024'!$G$4:$G$1753,'май 2024'!$D$4:$D$1753,$B105,'май 2024'!$J$4:$J$1753,AE$1)</f>
        <v>0</v>
      </c>
      <c r="AF105" s="80">
        <f>SUMIFS('май 2024'!$G$4:$G$1753,'май 2024'!$D$4:$D$1753,$B105,'май 2024'!$J$4:$J$1753,AF$1)</f>
        <v>0</v>
      </c>
      <c r="AG105" s="80">
        <f>SUMIFS('май 2024'!$G$4:$G$1753,'май 2024'!$D$4:$D$1753,$B105,'май 2024'!$J$4:$J$1753,AG$1)</f>
        <v>0</v>
      </c>
      <c r="AH105" s="80">
        <f>SUMIFS('май 2024'!$G$4:$G$1753,'май 2024'!$D$4:$D$1753,$B105,'май 2024'!$J$4:$J$1753,AH$1)</f>
        <v>0</v>
      </c>
      <c r="AI105" s="21">
        <f t="shared" si="1"/>
        <v>0</v>
      </c>
    </row>
    <row r="106" spans="2:35" ht="15" customHeight="1" x14ac:dyDescent="0.25">
      <c r="B106" s="93" t="s">
        <v>214</v>
      </c>
      <c r="C106" s="91">
        <v>185</v>
      </c>
      <c r="D106" s="80">
        <f>SUMIFS('май 2024'!$G$4:$G$1753,'май 2024'!$D$4:$D$1753,$B106,'май 2024'!$J$4:$J$1753,D$1)</f>
        <v>0</v>
      </c>
      <c r="E106" s="80">
        <f>SUMIFS('май 2024'!$G$4:$G$1753,'май 2024'!$D$4:$D$1753,$B106,'май 2024'!$J$4:$J$1753,E$1)</f>
        <v>0</v>
      </c>
      <c r="F106" s="80">
        <f>SUMIFS('май 2024'!$G$4:$G$1753,'май 2024'!$D$4:$D$1753,$B106,'май 2024'!$J$4:$J$1753,F$1)</f>
        <v>0</v>
      </c>
      <c r="G106" s="80">
        <f>SUMIFS('май 2024'!$G$4:$G$1753,'май 2024'!$D$4:$D$1753,$B106,'май 2024'!$J$4:$J$1753,G$1)</f>
        <v>0</v>
      </c>
      <c r="H106" s="80">
        <f>SUMIFS('май 2024'!$G$4:$G$1753,'май 2024'!$D$4:$D$1753,$B106,'май 2024'!$J$4:$J$1753,H$1)</f>
        <v>0</v>
      </c>
      <c r="I106" s="80">
        <f>SUMIFS('май 2024'!$G$4:$G$1753,'май 2024'!$D$4:$D$1753,$B106,'май 2024'!$J$4:$J$1753,I$1)</f>
        <v>0</v>
      </c>
      <c r="J106" s="80">
        <f>SUMIFS('май 2024'!$G$4:$G$1753,'май 2024'!$D$4:$D$1753,$B106,'май 2024'!$J$4:$J$1753,J$1)</f>
        <v>0</v>
      </c>
      <c r="K106" s="80">
        <f>SUMIFS('май 2024'!$G$4:$G$1753,'май 2024'!$D$4:$D$1753,$B106,'май 2024'!$J$4:$J$1753,K$1)</f>
        <v>12</v>
      </c>
      <c r="L106" s="80">
        <f>SUMIFS('май 2024'!$G$4:$G$1753,'май 2024'!$D$4:$D$1753,$B106,'май 2024'!$J$4:$J$1753,L$1)</f>
        <v>0</v>
      </c>
      <c r="M106" s="80">
        <f>SUMIFS('май 2024'!$G$4:$G$1753,'май 2024'!$D$4:$D$1753,$B106,'май 2024'!$J$4:$J$1753,M$1)</f>
        <v>0</v>
      </c>
      <c r="N106" s="80">
        <f>SUMIFS('май 2024'!$G$4:$G$1753,'май 2024'!$D$4:$D$1753,$B106,'май 2024'!$J$4:$J$1753,N$1)</f>
        <v>0</v>
      </c>
      <c r="O106" s="80">
        <f>SUMIFS('май 2024'!$G$4:$G$1753,'май 2024'!$D$4:$D$1753,$B106,'май 2024'!$J$4:$J$1753,O$1)</f>
        <v>0</v>
      </c>
      <c r="P106" s="80">
        <f>SUMIFS('май 2024'!$G$4:$G$1753,'май 2024'!$D$4:$D$1753,$B106,'май 2024'!$J$4:$J$1753,P$1)</f>
        <v>0</v>
      </c>
      <c r="Q106" s="80">
        <f>SUMIFS('май 2024'!$G$4:$G$1753,'май 2024'!$D$4:$D$1753,$B106,'май 2024'!$J$4:$J$1753,Q$1)</f>
        <v>0</v>
      </c>
      <c r="R106" s="80">
        <f>SUMIFS('май 2024'!$G$4:$G$1753,'май 2024'!$D$4:$D$1753,$B106,'май 2024'!$J$4:$J$1753,R$1)</f>
        <v>0</v>
      </c>
      <c r="S106" s="80">
        <f>SUMIFS('май 2024'!$G$4:$G$1753,'май 2024'!$D$4:$D$1753,$B106,'май 2024'!$J$4:$J$1753,S$1)</f>
        <v>0</v>
      </c>
      <c r="T106" s="80">
        <f>SUMIFS('май 2024'!$G$4:$G$1753,'май 2024'!$D$4:$D$1753,$B106,'май 2024'!$J$4:$J$1753,T$1)</f>
        <v>0</v>
      </c>
      <c r="U106" s="80">
        <f>SUMIFS('май 2024'!$G$4:$G$1753,'май 2024'!$D$4:$D$1753,$B106,'май 2024'!$J$4:$J$1753,U$1)</f>
        <v>0</v>
      </c>
      <c r="V106" s="80">
        <f>SUMIFS('май 2024'!$G$4:$G$1753,'май 2024'!$D$4:$D$1753,$B106,'май 2024'!$J$4:$J$1753,V$1)</f>
        <v>0</v>
      </c>
      <c r="W106" s="80">
        <f>SUMIFS('май 2024'!$G$4:$G$1753,'май 2024'!$D$4:$D$1753,$B106,'май 2024'!$J$4:$J$1753,W$1)</f>
        <v>0</v>
      </c>
      <c r="X106" s="80">
        <f>SUMIFS('май 2024'!$G$4:$G$1753,'май 2024'!$D$4:$D$1753,$B106,'май 2024'!$J$4:$J$1753,X$1)</f>
        <v>0</v>
      </c>
      <c r="Y106" s="80">
        <f>SUMIFS('май 2024'!$G$4:$G$1753,'май 2024'!$D$4:$D$1753,$B106,'май 2024'!$J$4:$J$1753,Y$1)</f>
        <v>0</v>
      </c>
      <c r="Z106" s="80">
        <f>SUMIFS('май 2024'!$G$4:$G$1753,'май 2024'!$D$4:$D$1753,$B106,'май 2024'!$J$4:$J$1753,Z$1)</f>
        <v>0</v>
      </c>
      <c r="AA106" s="80">
        <f>SUMIFS('май 2024'!$G$4:$G$1753,'май 2024'!$D$4:$D$1753,$B106,'май 2024'!$J$4:$J$1753,AA$1)</f>
        <v>0</v>
      </c>
      <c r="AB106" s="80">
        <f>SUMIFS('май 2024'!$G$4:$G$1753,'май 2024'!$D$4:$D$1753,$B106,'май 2024'!$J$4:$J$1753,AB$1)</f>
        <v>0</v>
      </c>
      <c r="AC106" s="80">
        <f>SUMIFS('май 2024'!$G$4:$G$1753,'май 2024'!$D$4:$D$1753,$B106,'май 2024'!$J$4:$J$1753,AC$1)</f>
        <v>0</v>
      </c>
      <c r="AD106" s="80">
        <f>SUMIFS('май 2024'!$G$4:$G$1753,'май 2024'!$D$4:$D$1753,$B106,'май 2024'!$J$4:$J$1753,AD$1)</f>
        <v>0</v>
      </c>
      <c r="AE106" s="80">
        <f>SUMIFS('май 2024'!$G$4:$G$1753,'май 2024'!$D$4:$D$1753,$B106,'май 2024'!$J$4:$J$1753,AE$1)</f>
        <v>0</v>
      </c>
      <c r="AF106" s="80">
        <f>SUMIFS('май 2024'!$G$4:$G$1753,'май 2024'!$D$4:$D$1753,$B106,'май 2024'!$J$4:$J$1753,AF$1)</f>
        <v>0</v>
      </c>
      <c r="AG106" s="80">
        <f>SUMIFS('май 2024'!$G$4:$G$1753,'май 2024'!$D$4:$D$1753,$B106,'май 2024'!$J$4:$J$1753,AG$1)</f>
        <v>0</v>
      </c>
      <c r="AH106" s="80">
        <f>SUMIFS('май 2024'!$G$4:$G$1753,'май 2024'!$D$4:$D$1753,$B106,'май 2024'!$J$4:$J$1753,AH$1)</f>
        <v>0</v>
      </c>
      <c r="AI106" s="21">
        <f t="shared" si="1"/>
        <v>12</v>
      </c>
    </row>
    <row r="107" spans="2:35" ht="15" customHeight="1" x14ac:dyDescent="0.25">
      <c r="B107" s="93" t="s">
        <v>1069</v>
      </c>
      <c r="C107" s="91">
        <v>175</v>
      </c>
      <c r="D107" s="80">
        <f>SUMIFS('май 2024'!$G$4:$G$1753,'май 2024'!$D$4:$D$1753,$B107,'май 2024'!$J$4:$J$1753,D$1)</f>
        <v>0</v>
      </c>
      <c r="E107" s="80">
        <f>SUMIFS('май 2024'!$G$4:$G$1753,'май 2024'!$D$4:$D$1753,$B107,'май 2024'!$J$4:$J$1753,E$1)</f>
        <v>0</v>
      </c>
      <c r="F107" s="80">
        <f>SUMIFS('май 2024'!$G$4:$G$1753,'май 2024'!$D$4:$D$1753,$B107,'май 2024'!$J$4:$J$1753,F$1)</f>
        <v>0</v>
      </c>
      <c r="G107" s="80">
        <f>SUMIFS('май 2024'!$G$4:$G$1753,'май 2024'!$D$4:$D$1753,$B107,'май 2024'!$J$4:$J$1753,G$1)</f>
        <v>0</v>
      </c>
      <c r="H107" s="80">
        <f>SUMIFS('май 2024'!$G$4:$G$1753,'май 2024'!$D$4:$D$1753,$B107,'май 2024'!$J$4:$J$1753,H$1)</f>
        <v>0</v>
      </c>
      <c r="I107" s="80">
        <f>SUMIFS('май 2024'!$G$4:$G$1753,'май 2024'!$D$4:$D$1753,$B107,'май 2024'!$J$4:$J$1753,I$1)</f>
        <v>0</v>
      </c>
      <c r="J107" s="80">
        <f>SUMIFS('май 2024'!$G$4:$G$1753,'май 2024'!$D$4:$D$1753,$B107,'май 2024'!$J$4:$J$1753,J$1)</f>
        <v>0</v>
      </c>
      <c r="K107" s="80">
        <f>SUMIFS('май 2024'!$G$4:$G$1753,'май 2024'!$D$4:$D$1753,$B107,'май 2024'!$J$4:$J$1753,K$1)</f>
        <v>88</v>
      </c>
      <c r="L107" s="80">
        <f>SUMIFS('май 2024'!$G$4:$G$1753,'май 2024'!$D$4:$D$1753,$B107,'май 2024'!$J$4:$J$1753,L$1)</f>
        <v>0</v>
      </c>
      <c r="M107" s="80">
        <f>SUMIFS('май 2024'!$G$4:$G$1753,'май 2024'!$D$4:$D$1753,$B107,'май 2024'!$J$4:$J$1753,M$1)</f>
        <v>0</v>
      </c>
      <c r="N107" s="80">
        <f>SUMIFS('май 2024'!$G$4:$G$1753,'май 2024'!$D$4:$D$1753,$B107,'май 2024'!$J$4:$J$1753,N$1)</f>
        <v>0</v>
      </c>
      <c r="O107" s="80">
        <f>SUMIFS('май 2024'!$G$4:$G$1753,'май 2024'!$D$4:$D$1753,$B107,'май 2024'!$J$4:$J$1753,O$1)</f>
        <v>0</v>
      </c>
      <c r="P107" s="80">
        <f>SUMIFS('май 2024'!$G$4:$G$1753,'май 2024'!$D$4:$D$1753,$B107,'май 2024'!$J$4:$J$1753,P$1)</f>
        <v>0</v>
      </c>
      <c r="Q107" s="80">
        <f>SUMIFS('май 2024'!$G$4:$G$1753,'май 2024'!$D$4:$D$1753,$B107,'май 2024'!$J$4:$J$1753,Q$1)</f>
        <v>0</v>
      </c>
      <c r="R107" s="80">
        <f>SUMIFS('май 2024'!$G$4:$G$1753,'май 2024'!$D$4:$D$1753,$B107,'май 2024'!$J$4:$J$1753,R$1)</f>
        <v>0</v>
      </c>
      <c r="S107" s="80">
        <f>SUMIFS('май 2024'!$G$4:$G$1753,'май 2024'!$D$4:$D$1753,$B107,'май 2024'!$J$4:$J$1753,S$1)</f>
        <v>0</v>
      </c>
      <c r="T107" s="80">
        <f>SUMIFS('май 2024'!$G$4:$G$1753,'май 2024'!$D$4:$D$1753,$B107,'май 2024'!$J$4:$J$1753,T$1)</f>
        <v>0</v>
      </c>
      <c r="U107" s="80">
        <f>SUMIFS('май 2024'!$G$4:$G$1753,'май 2024'!$D$4:$D$1753,$B107,'май 2024'!$J$4:$J$1753,U$1)</f>
        <v>0</v>
      </c>
      <c r="V107" s="80">
        <f>SUMIFS('май 2024'!$G$4:$G$1753,'май 2024'!$D$4:$D$1753,$B107,'май 2024'!$J$4:$J$1753,V$1)</f>
        <v>0</v>
      </c>
      <c r="W107" s="80">
        <f>SUMIFS('май 2024'!$G$4:$G$1753,'май 2024'!$D$4:$D$1753,$B107,'май 2024'!$J$4:$J$1753,W$1)</f>
        <v>0</v>
      </c>
      <c r="X107" s="80">
        <f>SUMIFS('май 2024'!$G$4:$G$1753,'май 2024'!$D$4:$D$1753,$B107,'май 2024'!$J$4:$J$1753,X$1)</f>
        <v>0</v>
      </c>
      <c r="Y107" s="80">
        <f>SUMIFS('май 2024'!$G$4:$G$1753,'май 2024'!$D$4:$D$1753,$B107,'май 2024'!$J$4:$J$1753,Y$1)</f>
        <v>0</v>
      </c>
      <c r="Z107" s="80">
        <f>SUMIFS('май 2024'!$G$4:$G$1753,'май 2024'!$D$4:$D$1753,$B107,'май 2024'!$J$4:$J$1753,Z$1)</f>
        <v>0</v>
      </c>
      <c r="AA107" s="80">
        <f>SUMIFS('май 2024'!$G$4:$G$1753,'май 2024'!$D$4:$D$1753,$B107,'май 2024'!$J$4:$J$1753,AA$1)</f>
        <v>0</v>
      </c>
      <c r="AB107" s="80">
        <f>SUMIFS('май 2024'!$G$4:$G$1753,'май 2024'!$D$4:$D$1753,$B107,'май 2024'!$J$4:$J$1753,AB$1)</f>
        <v>0</v>
      </c>
      <c r="AC107" s="80">
        <f>SUMIFS('май 2024'!$G$4:$G$1753,'май 2024'!$D$4:$D$1753,$B107,'май 2024'!$J$4:$J$1753,AC$1)</f>
        <v>0</v>
      </c>
      <c r="AD107" s="80">
        <f>SUMIFS('май 2024'!$G$4:$G$1753,'май 2024'!$D$4:$D$1753,$B107,'май 2024'!$J$4:$J$1753,AD$1)</f>
        <v>0</v>
      </c>
      <c r="AE107" s="80">
        <f>SUMIFS('май 2024'!$G$4:$G$1753,'май 2024'!$D$4:$D$1753,$B107,'май 2024'!$J$4:$J$1753,AE$1)</f>
        <v>0</v>
      </c>
      <c r="AF107" s="80">
        <f>SUMIFS('май 2024'!$G$4:$G$1753,'май 2024'!$D$4:$D$1753,$B107,'май 2024'!$J$4:$J$1753,AF$1)</f>
        <v>0</v>
      </c>
      <c r="AG107" s="80">
        <f>SUMIFS('май 2024'!$G$4:$G$1753,'май 2024'!$D$4:$D$1753,$B107,'май 2024'!$J$4:$J$1753,AG$1)</f>
        <v>0</v>
      </c>
      <c r="AH107" s="80">
        <f>SUMIFS('май 2024'!$G$4:$G$1753,'май 2024'!$D$4:$D$1753,$B107,'май 2024'!$J$4:$J$1753,AH$1)</f>
        <v>0</v>
      </c>
      <c r="AI107" s="21">
        <f>SUM(D107:AH107)</f>
        <v>88</v>
      </c>
    </row>
    <row r="108" spans="2:35" ht="15" customHeight="1" x14ac:dyDescent="0.25">
      <c r="B108" s="93" t="s">
        <v>329</v>
      </c>
      <c r="C108" s="91">
        <v>180</v>
      </c>
      <c r="D108" s="80">
        <f>SUMIFS('май 2024'!$G$4:$G$1753,'май 2024'!$D$4:$D$1753,$B108,'май 2024'!$J$4:$J$1753,D$1)</f>
        <v>0</v>
      </c>
      <c r="E108" s="80">
        <f>SUMIFS('май 2024'!$G$4:$G$1753,'май 2024'!$D$4:$D$1753,$B108,'май 2024'!$J$4:$J$1753,E$1)</f>
        <v>0</v>
      </c>
      <c r="F108" s="80">
        <f>SUMIFS('май 2024'!$G$4:$G$1753,'май 2024'!$D$4:$D$1753,$B108,'май 2024'!$J$4:$J$1753,F$1)</f>
        <v>0</v>
      </c>
      <c r="G108" s="80">
        <f>SUMIFS('май 2024'!$G$4:$G$1753,'май 2024'!$D$4:$D$1753,$B108,'май 2024'!$J$4:$J$1753,G$1)</f>
        <v>0</v>
      </c>
      <c r="H108" s="80">
        <f>SUMIFS('май 2024'!$G$4:$G$1753,'май 2024'!$D$4:$D$1753,$B108,'май 2024'!$J$4:$J$1753,H$1)</f>
        <v>0</v>
      </c>
      <c r="I108" s="80">
        <f>SUMIFS('май 2024'!$G$4:$G$1753,'май 2024'!$D$4:$D$1753,$B108,'май 2024'!$J$4:$J$1753,I$1)</f>
        <v>0</v>
      </c>
      <c r="J108" s="80">
        <f>SUMIFS('май 2024'!$G$4:$G$1753,'май 2024'!$D$4:$D$1753,$B108,'май 2024'!$J$4:$J$1753,J$1)</f>
        <v>0</v>
      </c>
      <c r="K108" s="80">
        <f>SUMIFS('май 2024'!$G$4:$G$1753,'май 2024'!$D$4:$D$1753,$B108,'май 2024'!$J$4:$J$1753,K$1)</f>
        <v>0</v>
      </c>
      <c r="L108" s="80">
        <f>SUMIFS('май 2024'!$G$4:$G$1753,'май 2024'!$D$4:$D$1753,$B108,'май 2024'!$J$4:$J$1753,L$1)</f>
        <v>0</v>
      </c>
      <c r="M108" s="80">
        <f>SUMIFS('май 2024'!$G$4:$G$1753,'май 2024'!$D$4:$D$1753,$B108,'май 2024'!$J$4:$J$1753,M$1)</f>
        <v>0</v>
      </c>
      <c r="N108" s="80">
        <f>SUMIFS('май 2024'!$G$4:$G$1753,'май 2024'!$D$4:$D$1753,$B108,'май 2024'!$J$4:$J$1753,N$1)</f>
        <v>0</v>
      </c>
      <c r="O108" s="80">
        <f>SUMIFS('май 2024'!$G$4:$G$1753,'май 2024'!$D$4:$D$1753,$B108,'май 2024'!$J$4:$J$1753,O$1)</f>
        <v>0</v>
      </c>
      <c r="P108" s="80">
        <f>SUMIFS('май 2024'!$G$4:$G$1753,'май 2024'!$D$4:$D$1753,$B108,'май 2024'!$J$4:$J$1753,P$1)</f>
        <v>0</v>
      </c>
      <c r="Q108" s="80">
        <f>SUMIFS('май 2024'!$G$4:$G$1753,'май 2024'!$D$4:$D$1753,$B108,'май 2024'!$J$4:$J$1753,Q$1)</f>
        <v>0</v>
      </c>
      <c r="R108" s="80">
        <f>SUMIFS('май 2024'!$G$4:$G$1753,'май 2024'!$D$4:$D$1753,$B108,'май 2024'!$J$4:$J$1753,R$1)</f>
        <v>0</v>
      </c>
      <c r="S108" s="80">
        <f>SUMIFS('май 2024'!$G$4:$G$1753,'май 2024'!$D$4:$D$1753,$B108,'май 2024'!$J$4:$J$1753,S$1)</f>
        <v>0</v>
      </c>
      <c r="T108" s="80">
        <f>SUMIFS('май 2024'!$G$4:$G$1753,'май 2024'!$D$4:$D$1753,$B108,'май 2024'!$J$4:$J$1753,T$1)</f>
        <v>0</v>
      </c>
      <c r="U108" s="80">
        <f>SUMIFS('май 2024'!$G$4:$G$1753,'май 2024'!$D$4:$D$1753,$B108,'май 2024'!$J$4:$J$1753,U$1)</f>
        <v>0</v>
      </c>
      <c r="V108" s="80">
        <f>SUMIFS('май 2024'!$G$4:$G$1753,'май 2024'!$D$4:$D$1753,$B108,'май 2024'!$J$4:$J$1753,V$1)</f>
        <v>0</v>
      </c>
      <c r="W108" s="80">
        <f>SUMIFS('май 2024'!$G$4:$G$1753,'май 2024'!$D$4:$D$1753,$B108,'май 2024'!$J$4:$J$1753,W$1)</f>
        <v>0</v>
      </c>
      <c r="X108" s="80">
        <f>SUMIFS('май 2024'!$G$4:$G$1753,'май 2024'!$D$4:$D$1753,$B108,'май 2024'!$J$4:$J$1753,X$1)</f>
        <v>0</v>
      </c>
      <c r="Y108" s="80">
        <f>SUMIFS('май 2024'!$G$4:$G$1753,'май 2024'!$D$4:$D$1753,$B108,'май 2024'!$J$4:$J$1753,Y$1)</f>
        <v>0</v>
      </c>
      <c r="Z108" s="80">
        <f>SUMIFS('май 2024'!$G$4:$G$1753,'май 2024'!$D$4:$D$1753,$B108,'май 2024'!$J$4:$J$1753,Z$1)</f>
        <v>0</v>
      </c>
      <c r="AA108" s="80">
        <f>SUMIFS('май 2024'!$G$4:$G$1753,'май 2024'!$D$4:$D$1753,$B108,'май 2024'!$J$4:$J$1753,AA$1)</f>
        <v>0</v>
      </c>
      <c r="AB108" s="80">
        <f>SUMIFS('май 2024'!$G$4:$G$1753,'май 2024'!$D$4:$D$1753,$B108,'май 2024'!$J$4:$J$1753,AB$1)</f>
        <v>0</v>
      </c>
      <c r="AC108" s="80">
        <f>SUMIFS('май 2024'!$G$4:$G$1753,'май 2024'!$D$4:$D$1753,$B108,'май 2024'!$J$4:$J$1753,AC$1)</f>
        <v>0</v>
      </c>
      <c r="AD108" s="80">
        <f>SUMIFS('май 2024'!$G$4:$G$1753,'май 2024'!$D$4:$D$1753,$B108,'май 2024'!$J$4:$J$1753,AD$1)</f>
        <v>0</v>
      </c>
      <c r="AE108" s="80">
        <f>SUMIFS('май 2024'!$G$4:$G$1753,'май 2024'!$D$4:$D$1753,$B108,'май 2024'!$J$4:$J$1753,AE$1)</f>
        <v>0</v>
      </c>
      <c r="AF108" s="80">
        <f>SUMIFS('май 2024'!$G$4:$G$1753,'май 2024'!$D$4:$D$1753,$B108,'май 2024'!$J$4:$J$1753,AF$1)</f>
        <v>0</v>
      </c>
      <c r="AG108" s="80">
        <f>SUMIFS('май 2024'!$G$4:$G$1753,'май 2024'!$D$4:$D$1753,$B108,'май 2024'!$J$4:$J$1753,AG$1)</f>
        <v>0</v>
      </c>
      <c r="AH108" s="80">
        <f>SUMIFS('май 2024'!$G$4:$G$1753,'май 2024'!$D$4:$D$1753,$B108,'май 2024'!$J$4:$J$1753,AH$1)</f>
        <v>0</v>
      </c>
      <c r="AI108" s="21">
        <f t="shared" si="1"/>
        <v>0</v>
      </c>
    </row>
    <row r="109" spans="2:35" ht="15" customHeight="1" x14ac:dyDescent="0.25">
      <c r="B109" s="93" t="s">
        <v>344</v>
      </c>
      <c r="C109" s="91">
        <v>185</v>
      </c>
      <c r="D109" s="80">
        <f>SUMIFS('май 2024'!$G$4:$G$1753,'май 2024'!$D$4:$D$1753,$B109,'май 2024'!$J$4:$J$1753,D$1)</f>
        <v>0</v>
      </c>
      <c r="E109" s="80">
        <f>SUMIFS('май 2024'!$G$4:$G$1753,'май 2024'!$D$4:$D$1753,$B109,'май 2024'!$J$4:$J$1753,E$1)</f>
        <v>0</v>
      </c>
      <c r="F109" s="80">
        <f>SUMIFS('май 2024'!$G$4:$G$1753,'май 2024'!$D$4:$D$1753,$B109,'май 2024'!$J$4:$J$1753,F$1)</f>
        <v>0</v>
      </c>
      <c r="G109" s="80">
        <f>SUMIFS('май 2024'!$G$4:$G$1753,'май 2024'!$D$4:$D$1753,$B109,'май 2024'!$J$4:$J$1753,G$1)</f>
        <v>0</v>
      </c>
      <c r="H109" s="80">
        <f>SUMIFS('май 2024'!$G$4:$G$1753,'май 2024'!$D$4:$D$1753,$B109,'май 2024'!$J$4:$J$1753,H$1)</f>
        <v>0</v>
      </c>
      <c r="I109" s="80">
        <f>SUMIFS('май 2024'!$G$4:$G$1753,'май 2024'!$D$4:$D$1753,$B109,'май 2024'!$J$4:$J$1753,I$1)</f>
        <v>0</v>
      </c>
      <c r="J109" s="80">
        <f>SUMIFS('май 2024'!$G$4:$G$1753,'май 2024'!$D$4:$D$1753,$B109,'май 2024'!$J$4:$J$1753,J$1)</f>
        <v>0</v>
      </c>
      <c r="K109" s="80">
        <f>SUMIFS('май 2024'!$G$4:$G$1753,'май 2024'!$D$4:$D$1753,$B109,'май 2024'!$J$4:$J$1753,K$1)</f>
        <v>0</v>
      </c>
      <c r="L109" s="80">
        <f>SUMIFS('май 2024'!$G$4:$G$1753,'май 2024'!$D$4:$D$1753,$B109,'май 2024'!$J$4:$J$1753,L$1)</f>
        <v>0</v>
      </c>
      <c r="M109" s="80">
        <f>SUMIFS('май 2024'!$G$4:$G$1753,'май 2024'!$D$4:$D$1753,$B109,'май 2024'!$J$4:$J$1753,M$1)</f>
        <v>0</v>
      </c>
      <c r="N109" s="80">
        <f>SUMIFS('май 2024'!$G$4:$G$1753,'май 2024'!$D$4:$D$1753,$B109,'май 2024'!$J$4:$J$1753,N$1)</f>
        <v>0</v>
      </c>
      <c r="O109" s="80">
        <f>SUMIFS('май 2024'!$G$4:$G$1753,'май 2024'!$D$4:$D$1753,$B109,'май 2024'!$J$4:$J$1753,O$1)</f>
        <v>0</v>
      </c>
      <c r="P109" s="80">
        <f>SUMIFS('май 2024'!$G$4:$G$1753,'май 2024'!$D$4:$D$1753,$B109,'май 2024'!$J$4:$J$1753,P$1)</f>
        <v>0</v>
      </c>
      <c r="Q109" s="80">
        <f>SUMIFS('май 2024'!$G$4:$G$1753,'май 2024'!$D$4:$D$1753,$B109,'май 2024'!$J$4:$J$1753,Q$1)</f>
        <v>0</v>
      </c>
      <c r="R109" s="80">
        <f>SUMIFS('май 2024'!$G$4:$G$1753,'май 2024'!$D$4:$D$1753,$B109,'май 2024'!$J$4:$J$1753,R$1)</f>
        <v>0</v>
      </c>
      <c r="S109" s="80">
        <f>SUMIFS('май 2024'!$G$4:$G$1753,'май 2024'!$D$4:$D$1753,$B109,'май 2024'!$J$4:$J$1753,S$1)</f>
        <v>0</v>
      </c>
      <c r="T109" s="80">
        <f>SUMIFS('май 2024'!$G$4:$G$1753,'май 2024'!$D$4:$D$1753,$B109,'май 2024'!$J$4:$J$1753,T$1)</f>
        <v>0</v>
      </c>
      <c r="U109" s="80">
        <f>SUMIFS('май 2024'!$G$4:$G$1753,'май 2024'!$D$4:$D$1753,$B109,'май 2024'!$J$4:$J$1753,U$1)</f>
        <v>0</v>
      </c>
      <c r="V109" s="80">
        <f>SUMIFS('май 2024'!$G$4:$G$1753,'май 2024'!$D$4:$D$1753,$B109,'май 2024'!$J$4:$J$1753,V$1)</f>
        <v>0</v>
      </c>
      <c r="W109" s="80">
        <f>SUMIFS('май 2024'!$G$4:$G$1753,'май 2024'!$D$4:$D$1753,$B109,'май 2024'!$J$4:$J$1753,W$1)</f>
        <v>0</v>
      </c>
      <c r="X109" s="80">
        <f>SUMIFS('май 2024'!$G$4:$G$1753,'май 2024'!$D$4:$D$1753,$B109,'май 2024'!$J$4:$J$1753,X$1)</f>
        <v>0</v>
      </c>
      <c r="Y109" s="80">
        <f>SUMIFS('май 2024'!$G$4:$G$1753,'май 2024'!$D$4:$D$1753,$B109,'май 2024'!$J$4:$J$1753,Y$1)</f>
        <v>0</v>
      </c>
      <c r="Z109" s="80">
        <f>SUMIFS('май 2024'!$G$4:$G$1753,'май 2024'!$D$4:$D$1753,$B109,'май 2024'!$J$4:$J$1753,Z$1)</f>
        <v>0</v>
      </c>
      <c r="AA109" s="80">
        <f>SUMIFS('май 2024'!$G$4:$G$1753,'май 2024'!$D$4:$D$1753,$B109,'май 2024'!$J$4:$J$1753,AA$1)</f>
        <v>0</v>
      </c>
      <c r="AB109" s="80">
        <f>SUMIFS('май 2024'!$G$4:$G$1753,'май 2024'!$D$4:$D$1753,$B109,'май 2024'!$J$4:$J$1753,AB$1)</f>
        <v>0</v>
      </c>
      <c r="AC109" s="80">
        <f>SUMIFS('май 2024'!$G$4:$G$1753,'май 2024'!$D$4:$D$1753,$B109,'май 2024'!$J$4:$J$1753,AC$1)</f>
        <v>0</v>
      </c>
      <c r="AD109" s="80">
        <f>SUMIFS('май 2024'!$G$4:$G$1753,'май 2024'!$D$4:$D$1753,$B109,'май 2024'!$J$4:$J$1753,AD$1)</f>
        <v>0</v>
      </c>
      <c r="AE109" s="80">
        <f>SUMIFS('май 2024'!$G$4:$G$1753,'май 2024'!$D$4:$D$1753,$B109,'май 2024'!$J$4:$J$1753,AE$1)</f>
        <v>0</v>
      </c>
      <c r="AF109" s="80">
        <f>SUMIFS('май 2024'!$G$4:$G$1753,'май 2024'!$D$4:$D$1753,$B109,'май 2024'!$J$4:$J$1753,AF$1)</f>
        <v>0</v>
      </c>
      <c r="AG109" s="80">
        <f>SUMIFS('май 2024'!$G$4:$G$1753,'май 2024'!$D$4:$D$1753,$B109,'май 2024'!$J$4:$J$1753,AG$1)</f>
        <v>0</v>
      </c>
      <c r="AH109" s="80">
        <f>SUMIFS('май 2024'!$G$4:$G$1753,'май 2024'!$D$4:$D$1753,$B109,'май 2024'!$J$4:$J$1753,AH$1)</f>
        <v>0</v>
      </c>
      <c r="AI109" s="21">
        <f t="shared" si="1"/>
        <v>0</v>
      </c>
    </row>
    <row r="110" spans="2:35" ht="15" customHeight="1" x14ac:dyDescent="0.25">
      <c r="B110" s="93" t="s">
        <v>400</v>
      </c>
      <c r="C110" s="91">
        <v>185</v>
      </c>
      <c r="D110" s="80">
        <f>SUMIFS('май 2024'!$G$4:$G$1753,'май 2024'!$D$4:$D$1753,$B110,'май 2024'!$J$4:$J$1753,D$1)</f>
        <v>0</v>
      </c>
      <c r="E110" s="80">
        <f>SUMIFS('май 2024'!$G$4:$G$1753,'май 2024'!$D$4:$D$1753,$B110,'май 2024'!$J$4:$J$1753,E$1)</f>
        <v>0</v>
      </c>
      <c r="F110" s="80">
        <f>SUMIFS('май 2024'!$G$4:$G$1753,'май 2024'!$D$4:$D$1753,$B110,'май 2024'!$J$4:$J$1753,F$1)</f>
        <v>0</v>
      </c>
      <c r="G110" s="80">
        <f>SUMIFS('май 2024'!$G$4:$G$1753,'май 2024'!$D$4:$D$1753,$B110,'май 2024'!$J$4:$J$1753,G$1)</f>
        <v>0</v>
      </c>
      <c r="H110" s="80">
        <f>SUMIFS('май 2024'!$G$4:$G$1753,'май 2024'!$D$4:$D$1753,$B110,'май 2024'!$J$4:$J$1753,H$1)</f>
        <v>0</v>
      </c>
      <c r="I110" s="80">
        <f>SUMIFS('май 2024'!$G$4:$G$1753,'май 2024'!$D$4:$D$1753,$B110,'май 2024'!$J$4:$J$1753,I$1)</f>
        <v>0</v>
      </c>
      <c r="J110" s="80">
        <f>SUMIFS('май 2024'!$G$4:$G$1753,'май 2024'!$D$4:$D$1753,$B110,'май 2024'!$J$4:$J$1753,J$1)</f>
        <v>0</v>
      </c>
      <c r="K110" s="80">
        <f>SUMIFS('май 2024'!$G$4:$G$1753,'май 2024'!$D$4:$D$1753,$B110,'май 2024'!$J$4:$J$1753,K$1)</f>
        <v>0</v>
      </c>
      <c r="L110" s="80">
        <f>SUMIFS('май 2024'!$G$4:$G$1753,'май 2024'!$D$4:$D$1753,$B110,'май 2024'!$J$4:$J$1753,L$1)</f>
        <v>0</v>
      </c>
      <c r="M110" s="80">
        <f>SUMIFS('май 2024'!$G$4:$G$1753,'май 2024'!$D$4:$D$1753,$B110,'май 2024'!$J$4:$J$1753,M$1)</f>
        <v>0</v>
      </c>
      <c r="N110" s="80">
        <f>SUMIFS('май 2024'!$G$4:$G$1753,'май 2024'!$D$4:$D$1753,$B110,'май 2024'!$J$4:$J$1753,N$1)</f>
        <v>0</v>
      </c>
      <c r="O110" s="80">
        <f>SUMIFS('май 2024'!$G$4:$G$1753,'май 2024'!$D$4:$D$1753,$B110,'май 2024'!$J$4:$J$1753,O$1)</f>
        <v>0</v>
      </c>
      <c r="P110" s="80">
        <f>SUMIFS('май 2024'!$G$4:$G$1753,'май 2024'!$D$4:$D$1753,$B110,'май 2024'!$J$4:$J$1753,P$1)</f>
        <v>0</v>
      </c>
      <c r="Q110" s="80">
        <f>SUMIFS('май 2024'!$G$4:$G$1753,'май 2024'!$D$4:$D$1753,$B110,'май 2024'!$J$4:$J$1753,Q$1)</f>
        <v>0</v>
      </c>
      <c r="R110" s="80">
        <f>SUMIFS('май 2024'!$G$4:$G$1753,'май 2024'!$D$4:$D$1753,$B110,'май 2024'!$J$4:$J$1753,R$1)</f>
        <v>0</v>
      </c>
      <c r="S110" s="80">
        <f>SUMIFS('май 2024'!$G$4:$G$1753,'май 2024'!$D$4:$D$1753,$B110,'май 2024'!$J$4:$J$1753,S$1)</f>
        <v>0</v>
      </c>
      <c r="T110" s="80">
        <f>SUMIFS('май 2024'!$G$4:$G$1753,'май 2024'!$D$4:$D$1753,$B110,'май 2024'!$J$4:$J$1753,T$1)</f>
        <v>0</v>
      </c>
      <c r="U110" s="80">
        <f>SUMIFS('май 2024'!$G$4:$G$1753,'май 2024'!$D$4:$D$1753,$B110,'май 2024'!$J$4:$J$1753,U$1)</f>
        <v>0</v>
      </c>
      <c r="V110" s="80">
        <f>SUMIFS('май 2024'!$G$4:$G$1753,'май 2024'!$D$4:$D$1753,$B110,'май 2024'!$J$4:$J$1753,V$1)</f>
        <v>0</v>
      </c>
      <c r="W110" s="80">
        <f>SUMIFS('май 2024'!$G$4:$G$1753,'май 2024'!$D$4:$D$1753,$B110,'май 2024'!$J$4:$J$1753,W$1)</f>
        <v>0</v>
      </c>
      <c r="X110" s="80">
        <f>SUMIFS('май 2024'!$G$4:$G$1753,'май 2024'!$D$4:$D$1753,$B110,'май 2024'!$J$4:$J$1753,X$1)</f>
        <v>0</v>
      </c>
      <c r="Y110" s="80">
        <f>SUMIFS('май 2024'!$G$4:$G$1753,'май 2024'!$D$4:$D$1753,$B110,'май 2024'!$J$4:$J$1753,Y$1)</f>
        <v>0</v>
      </c>
      <c r="Z110" s="80">
        <f>SUMIFS('май 2024'!$G$4:$G$1753,'май 2024'!$D$4:$D$1753,$B110,'май 2024'!$J$4:$J$1753,Z$1)</f>
        <v>0</v>
      </c>
      <c r="AA110" s="80">
        <f>SUMIFS('май 2024'!$G$4:$G$1753,'май 2024'!$D$4:$D$1753,$B110,'май 2024'!$J$4:$J$1753,AA$1)</f>
        <v>0</v>
      </c>
      <c r="AB110" s="80">
        <f>SUMIFS('май 2024'!$G$4:$G$1753,'май 2024'!$D$4:$D$1753,$B110,'май 2024'!$J$4:$J$1753,AB$1)</f>
        <v>0</v>
      </c>
      <c r="AC110" s="80">
        <f>SUMIFS('май 2024'!$G$4:$G$1753,'май 2024'!$D$4:$D$1753,$B110,'май 2024'!$J$4:$J$1753,AC$1)</f>
        <v>0</v>
      </c>
      <c r="AD110" s="80">
        <f>SUMIFS('май 2024'!$G$4:$G$1753,'май 2024'!$D$4:$D$1753,$B110,'май 2024'!$J$4:$J$1753,AD$1)</f>
        <v>0</v>
      </c>
      <c r="AE110" s="80">
        <f>SUMIFS('май 2024'!$G$4:$G$1753,'май 2024'!$D$4:$D$1753,$B110,'май 2024'!$J$4:$J$1753,AE$1)</f>
        <v>0</v>
      </c>
      <c r="AF110" s="80">
        <f>SUMIFS('май 2024'!$G$4:$G$1753,'май 2024'!$D$4:$D$1753,$B110,'май 2024'!$J$4:$J$1753,AF$1)</f>
        <v>0</v>
      </c>
      <c r="AG110" s="80">
        <f>SUMIFS('май 2024'!$G$4:$G$1753,'май 2024'!$D$4:$D$1753,$B110,'май 2024'!$J$4:$J$1753,AG$1)</f>
        <v>0</v>
      </c>
      <c r="AH110" s="80">
        <f>SUMIFS('май 2024'!$G$4:$G$1753,'май 2024'!$D$4:$D$1753,$B110,'май 2024'!$J$4:$J$1753,AH$1)</f>
        <v>0</v>
      </c>
      <c r="AI110" s="21">
        <f t="shared" si="1"/>
        <v>0</v>
      </c>
    </row>
    <row r="111" spans="2:35" ht="15" customHeight="1" x14ac:dyDescent="0.25">
      <c r="B111" s="93" t="s">
        <v>330</v>
      </c>
      <c r="C111" s="91">
        <v>180</v>
      </c>
      <c r="D111" s="80">
        <f>SUMIFS('май 2024'!$G$4:$G$1753,'май 2024'!$D$4:$D$1753,$B111,'май 2024'!$J$4:$J$1753,D$1)</f>
        <v>0</v>
      </c>
      <c r="E111" s="80">
        <f>SUMIFS('май 2024'!$G$4:$G$1753,'май 2024'!$D$4:$D$1753,$B111,'май 2024'!$J$4:$J$1753,E$1)</f>
        <v>0</v>
      </c>
      <c r="F111" s="80">
        <f>SUMIFS('май 2024'!$G$4:$G$1753,'май 2024'!$D$4:$D$1753,$B111,'май 2024'!$J$4:$J$1753,F$1)</f>
        <v>0</v>
      </c>
      <c r="G111" s="80">
        <f>SUMIFS('май 2024'!$G$4:$G$1753,'май 2024'!$D$4:$D$1753,$B111,'май 2024'!$J$4:$J$1753,G$1)</f>
        <v>0</v>
      </c>
      <c r="H111" s="80">
        <f>SUMIFS('май 2024'!$G$4:$G$1753,'май 2024'!$D$4:$D$1753,$B111,'май 2024'!$J$4:$J$1753,H$1)</f>
        <v>0</v>
      </c>
      <c r="I111" s="80">
        <f>SUMIFS('май 2024'!$G$4:$G$1753,'май 2024'!$D$4:$D$1753,$B111,'май 2024'!$J$4:$J$1753,I$1)</f>
        <v>0</v>
      </c>
      <c r="J111" s="80">
        <f>SUMIFS('май 2024'!$G$4:$G$1753,'май 2024'!$D$4:$D$1753,$B111,'май 2024'!$J$4:$J$1753,J$1)</f>
        <v>0</v>
      </c>
      <c r="K111" s="80">
        <f>SUMIFS('май 2024'!$G$4:$G$1753,'май 2024'!$D$4:$D$1753,$B111,'май 2024'!$J$4:$J$1753,K$1)</f>
        <v>0</v>
      </c>
      <c r="L111" s="80">
        <f>SUMIFS('май 2024'!$G$4:$G$1753,'май 2024'!$D$4:$D$1753,$B111,'май 2024'!$J$4:$J$1753,L$1)</f>
        <v>0</v>
      </c>
      <c r="M111" s="80">
        <f>SUMIFS('май 2024'!$G$4:$G$1753,'май 2024'!$D$4:$D$1753,$B111,'май 2024'!$J$4:$J$1753,M$1)</f>
        <v>0</v>
      </c>
      <c r="N111" s="80">
        <f>SUMIFS('май 2024'!$G$4:$G$1753,'май 2024'!$D$4:$D$1753,$B111,'май 2024'!$J$4:$J$1753,N$1)</f>
        <v>0</v>
      </c>
      <c r="O111" s="80">
        <f>SUMIFS('май 2024'!$G$4:$G$1753,'май 2024'!$D$4:$D$1753,$B111,'май 2024'!$J$4:$J$1753,O$1)</f>
        <v>0</v>
      </c>
      <c r="P111" s="80">
        <f>SUMIFS('май 2024'!$G$4:$G$1753,'май 2024'!$D$4:$D$1753,$B111,'май 2024'!$J$4:$J$1753,P$1)</f>
        <v>0</v>
      </c>
      <c r="Q111" s="80">
        <f>SUMIFS('май 2024'!$G$4:$G$1753,'май 2024'!$D$4:$D$1753,$B111,'май 2024'!$J$4:$J$1753,Q$1)</f>
        <v>0</v>
      </c>
      <c r="R111" s="80">
        <f>SUMIFS('май 2024'!$G$4:$G$1753,'май 2024'!$D$4:$D$1753,$B111,'май 2024'!$J$4:$J$1753,R$1)</f>
        <v>0</v>
      </c>
      <c r="S111" s="80">
        <f>SUMIFS('май 2024'!$G$4:$G$1753,'май 2024'!$D$4:$D$1753,$B111,'май 2024'!$J$4:$J$1753,S$1)</f>
        <v>0</v>
      </c>
      <c r="T111" s="80">
        <f>SUMIFS('май 2024'!$G$4:$G$1753,'май 2024'!$D$4:$D$1753,$B111,'май 2024'!$J$4:$J$1753,T$1)</f>
        <v>0</v>
      </c>
      <c r="U111" s="80">
        <f>SUMIFS('май 2024'!$G$4:$G$1753,'май 2024'!$D$4:$D$1753,$B111,'май 2024'!$J$4:$J$1753,U$1)</f>
        <v>0</v>
      </c>
      <c r="V111" s="80">
        <f>SUMIFS('май 2024'!$G$4:$G$1753,'май 2024'!$D$4:$D$1753,$B111,'май 2024'!$J$4:$J$1753,V$1)</f>
        <v>0</v>
      </c>
      <c r="W111" s="80">
        <f>SUMIFS('май 2024'!$G$4:$G$1753,'май 2024'!$D$4:$D$1753,$B111,'май 2024'!$J$4:$J$1753,W$1)</f>
        <v>0</v>
      </c>
      <c r="X111" s="80">
        <f>SUMIFS('май 2024'!$G$4:$G$1753,'май 2024'!$D$4:$D$1753,$B111,'май 2024'!$J$4:$J$1753,X$1)</f>
        <v>0</v>
      </c>
      <c r="Y111" s="80">
        <f>SUMIFS('май 2024'!$G$4:$G$1753,'май 2024'!$D$4:$D$1753,$B111,'май 2024'!$J$4:$J$1753,Y$1)</f>
        <v>0</v>
      </c>
      <c r="Z111" s="80">
        <f>SUMIFS('май 2024'!$G$4:$G$1753,'май 2024'!$D$4:$D$1753,$B111,'май 2024'!$J$4:$J$1753,Z$1)</f>
        <v>0</v>
      </c>
      <c r="AA111" s="80">
        <f>SUMIFS('май 2024'!$G$4:$G$1753,'май 2024'!$D$4:$D$1753,$B111,'май 2024'!$J$4:$J$1753,AA$1)</f>
        <v>0</v>
      </c>
      <c r="AB111" s="80">
        <f>SUMIFS('май 2024'!$G$4:$G$1753,'май 2024'!$D$4:$D$1753,$B111,'май 2024'!$J$4:$J$1753,AB$1)</f>
        <v>0</v>
      </c>
      <c r="AC111" s="80">
        <f>SUMIFS('май 2024'!$G$4:$G$1753,'май 2024'!$D$4:$D$1753,$B111,'май 2024'!$J$4:$J$1753,AC$1)</f>
        <v>0</v>
      </c>
      <c r="AD111" s="80">
        <f>SUMIFS('май 2024'!$G$4:$G$1753,'май 2024'!$D$4:$D$1753,$B111,'май 2024'!$J$4:$J$1753,AD$1)</f>
        <v>0</v>
      </c>
      <c r="AE111" s="80">
        <f>SUMIFS('май 2024'!$G$4:$G$1753,'май 2024'!$D$4:$D$1753,$B111,'май 2024'!$J$4:$J$1753,AE$1)</f>
        <v>0</v>
      </c>
      <c r="AF111" s="80">
        <f>SUMIFS('май 2024'!$G$4:$G$1753,'май 2024'!$D$4:$D$1753,$B111,'май 2024'!$J$4:$J$1753,AF$1)</f>
        <v>0</v>
      </c>
      <c r="AG111" s="80">
        <f>SUMIFS('май 2024'!$G$4:$G$1753,'май 2024'!$D$4:$D$1753,$B111,'май 2024'!$J$4:$J$1753,AG$1)</f>
        <v>0</v>
      </c>
      <c r="AH111" s="80">
        <f>SUMIFS('май 2024'!$G$4:$G$1753,'май 2024'!$D$4:$D$1753,$B111,'май 2024'!$J$4:$J$1753,AH$1)</f>
        <v>0</v>
      </c>
      <c r="AI111" s="21">
        <f t="shared" si="1"/>
        <v>0</v>
      </c>
    </row>
    <row r="112" spans="2:35" ht="15" customHeight="1" x14ac:dyDescent="0.25">
      <c r="B112" s="93" t="s">
        <v>331</v>
      </c>
      <c r="C112" s="91">
        <v>200</v>
      </c>
      <c r="D112" s="80">
        <f>SUMIFS('май 2024'!$G$4:$G$1753,'май 2024'!$D$4:$D$1753,$B112,'май 2024'!$J$4:$J$1753,D$1)</f>
        <v>0</v>
      </c>
      <c r="E112" s="80">
        <f>SUMIFS('май 2024'!$G$4:$G$1753,'май 2024'!$D$4:$D$1753,$B112,'май 2024'!$J$4:$J$1753,E$1)</f>
        <v>0</v>
      </c>
      <c r="F112" s="80">
        <f>SUMIFS('май 2024'!$G$4:$G$1753,'май 2024'!$D$4:$D$1753,$B112,'май 2024'!$J$4:$J$1753,F$1)</f>
        <v>0</v>
      </c>
      <c r="G112" s="80">
        <f>SUMIFS('май 2024'!$G$4:$G$1753,'май 2024'!$D$4:$D$1753,$B112,'май 2024'!$J$4:$J$1753,G$1)</f>
        <v>0</v>
      </c>
      <c r="H112" s="80">
        <f>SUMIFS('май 2024'!$G$4:$G$1753,'май 2024'!$D$4:$D$1753,$B112,'май 2024'!$J$4:$J$1753,H$1)</f>
        <v>0</v>
      </c>
      <c r="I112" s="80">
        <f>SUMIFS('май 2024'!$G$4:$G$1753,'май 2024'!$D$4:$D$1753,$B112,'май 2024'!$J$4:$J$1753,I$1)</f>
        <v>0</v>
      </c>
      <c r="J112" s="80">
        <f>SUMIFS('май 2024'!$G$4:$G$1753,'май 2024'!$D$4:$D$1753,$B112,'май 2024'!$J$4:$J$1753,J$1)</f>
        <v>0</v>
      </c>
      <c r="K112" s="80">
        <f>SUMIFS('май 2024'!$G$4:$G$1753,'май 2024'!$D$4:$D$1753,$B112,'май 2024'!$J$4:$J$1753,K$1)</f>
        <v>0</v>
      </c>
      <c r="L112" s="80">
        <f>SUMIFS('май 2024'!$G$4:$G$1753,'май 2024'!$D$4:$D$1753,$B112,'май 2024'!$J$4:$J$1753,L$1)</f>
        <v>0</v>
      </c>
      <c r="M112" s="80">
        <f>SUMIFS('май 2024'!$G$4:$G$1753,'май 2024'!$D$4:$D$1753,$B112,'май 2024'!$J$4:$J$1753,M$1)</f>
        <v>0</v>
      </c>
      <c r="N112" s="80">
        <f>SUMIFS('май 2024'!$G$4:$G$1753,'май 2024'!$D$4:$D$1753,$B112,'май 2024'!$J$4:$J$1753,N$1)</f>
        <v>0</v>
      </c>
      <c r="O112" s="80">
        <f>SUMIFS('май 2024'!$G$4:$G$1753,'май 2024'!$D$4:$D$1753,$B112,'май 2024'!$J$4:$J$1753,O$1)</f>
        <v>0</v>
      </c>
      <c r="P112" s="80">
        <f>SUMIFS('май 2024'!$G$4:$G$1753,'май 2024'!$D$4:$D$1753,$B112,'май 2024'!$J$4:$J$1753,P$1)</f>
        <v>0</v>
      </c>
      <c r="Q112" s="80">
        <f>SUMIFS('май 2024'!$G$4:$G$1753,'май 2024'!$D$4:$D$1753,$B112,'май 2024'!$J$4:$J$1753,Q$1)</f>
        <v>0</v>
      </c>
      <c r="R112" s="80">
        <f>SUMIFS('май 2024'!$G$4:$G$1753,'май 2024'!$D$4:$D$1753,$B112,'май 2024'!$J$4:$J$1753,R$1)</f>
        <v>0</v>
      </c>
      <c r="S112" s="80">
        <f>SUMIFS('май 2024'!$G$4:$G$1753,'май 2024'!$D$4:$D$1753,$B112,'май 2024'!$J$4:$J$1753,S$1)</f>
        <v>0</v>
      </c>
      <c r="T112" s="80">
        <f>SUMIFS('май 2024'!$G$4:$G$1753,'май 2024'!$D$4:$D$1753,$B112,'май 2024'!$J$4:$J$1753,T$1)</f>
        <v>0</v>
      </c>
      <c r="U112" s="80">
        <f>SUMIFS('май 2024'!$G$4:$G$1753,'май 2024'!$D$4:$D$1753,$B112,'май 2024'!$J$4:$J$1753,U$1)</f>
        <v>0</v>
      </c>
      <c r="V112" s="80">
        <f>SUMIFS('май 2024'!$G$4:$G$1753,'май 2024'!$D$4:$D$1753,$B112,'май 2024'!$J$4:$J$1753,V$1)</f>
        <v>0</v>
      </c>
      <c r="W112" s="80">
        <f>SUMIFS('май 2024'!$G$4:$G$1753,'май 2024'!$D$4:$D$1753,$B112,'май 2024'!$J$4:$J$1753,W$1)</f>
        <v>0</v>
      </c>
      <c r="X112" s="80">
        <f>SUMIFS('май 2024'!$G$4:$G$1753,'май 2024'!$D$4:$D$1753,$B112,'май 2024'!$J$4:$J$1753,X$1)</f>
        <v>0</v>
      </c>
      <c r="Y112" s="80">
        <f>SUMIFS('май 2024'!$G$4:$G$1753,'май 2024'!$D$4:$D$1753,$B112,'май 2024'!$J$4:$J$1753,Y$1)</f>
        <v>0</v>
      </c>
      <c r="Z112" s="80">
        <f>SUMIFS('май 2024'!$G$4:$G$1753,'май 2024'!$D$4:$D$1753,$B112,'май 2024'!$J$4:$J$1753,Z$1)</f>
        <v>0</v>
      </c>
      <c r="AA112" s="80">
        <f>SUMIFS('май 2024'!$G$4:$G$1753,'май 2024'!$D$4:$D$1753,$B112,'май 2024'!$J$4:$J$1753,AA$1)</f>
        <v>0</v>
      </c>
      <c r="AB112" s="80">
        <f>SUMIFS('май 2024'!$G$4:$G$1753,'май 2024'!$D$4:$D$1753,$B112,'май 2024'!$J$4:$J$1753,AB$1)</f>
        <v>0</v>
      </c>
      <c r="AC112" s="80">
        <f>SUMIFS('май 2024'!$G$4:$G$1753,'май 2024'!$D$4:$D$1753,$B112,'май 2024'!$J$4:$J$1753,AC$1)</f>
        <v>0</v>
      </c>
      <c r="AD112" s="80">
        <f>SUMIFS('май 2024'!$G$4:$G$1753,'май 2024'!$D$4:$D$1753,$B112,'май 2024'!$J$4:$J$1753,AD$1)</f>
        <v>0</v>
      </c>
      <c r="AE112" s="80">
        <f>SUMIFS('май 2024'!$G$4:$G$1753,'май 2024'!$D$4:$D$1753,$B112,'май 2024'!$J$4:$J$1753,AE$1)</f>
        <v>0</v>
      </c>
      <c r="AF112" s="80">
        <f>SUMIFS('май 2024'!$G$4:$G$1753,'май 2024'!$D$4:$D$1753,$B112,'май 2024'!$J$4:$J$1753,AF$1)</f>
        <v>0</v>
      </c>
      <c r="AG112" s="80">
        <f>SUMIFS('май 2024'!$G$4:$G$1753,'май 2024'!$D$4:$D$1753,$B112,'май 2024'!$J$4:$J$1753,AG$1)</f>
        <v>0</v>
      </c>
      <c r="AH112" s="80">
        <f>SUMIFS('май 2024'!$G$4:$G$1753,'май 2024'!$D$4:$D$1753,$B112,'май 2024'!$J$4:$J$1753,AH$1)</f>
        <v>0</v>
      </c>
      <c r="AI112" s="21">
        <f t="shared" si="1"/>
        <v>0</v>
      </c>
    </row>
    <row r="113" spans="2:35" ht="15" customHeight="1" x14ac:dyDescent="0.25">
      <c r="B113" s="89" t="s">
        <v>164</v>
      </c>
      <c r="C113" s="88">
        <v>950</v>
      </c>
      <c r="D113" s="80">
        <f>SUMIFS('май 2024'!$G$4:$G$1753,'май 2024'!$D$4:$D$1753,$B113,'май 2024'!$J$4:$J$1753,D$1)</f>
        <v>0</v>
      </c>
      <c r="E113" s="80">
        <f>SUMIFS('май 2024'!$G$4:$G$1753,'май 2024'!$D$4:$D$1753,$B113,'май 2024'!$J$4:$J$1753,E$1)</f>
        <v>0</v>
      </c>
      <c r="F113" s="80">
        <f>SUMIFS('май 2024'!$G$4:$G$1753,'май 2024'!$D$4:$D$1753,$B113,'май 2024'!$J$4:$J$1753,F$1)</f>
        <v>0</v>
      </c>
      <c r="G113" s="80">
        <f>SUMIFS('май 2024'!$G$4:$G$1753,'май 2024'!$D$4:$D$1753,$B113,'май 2024'!$J$4:$J$1753,G$1)</f>
        <v>0</v>
      </c>
      <c r="H113" s="80">
        <f>SUMIFS('май 2024'!$G$4:$G$1753,'май 2024'!$D$4:$D$1753,$B113,'май 2024'!$J$4:$J$1753,H$1)</f>
        <v>0</v>
      </c>
      <c r="I113" s="80">
        <f>SUMIFS('май 2024'!$G$4:$G$1753,'май 2024'!$D$4:$D$1753,$B113,'май 2024'!$J$4:$J$1753,I$1)</f>
        <v>0</v>
      </c>
      <c r="J113" s="80">
        <f>SUMIFS('май 2024'!$G$4:$G$1753,'май 2024'!$D$4:$D$1753,$B113,'май 2024'!$J$4:$J$1753,J$1)</f>
        <v>0</v>
      </c>
      <c r="K113" s="80">
        <f>SUMIFS('май 2024'!$G$4:$G$1753,'май 2024'!$D$4:$D$1753,$B113,'май 2024'!$J$4:$J$1753,K$1)</f>
        <v>0</v>
      </c>
      <c r="L113" s="80">
        <f>SUMIFS('май 2024'!$G$4:$G$1753,'май 2024'!$D$4:$D$1753,$B113,'май 2024'!$J$4:$J$1753,L$1)</f>
        <v>0</v>
      </c>
      <c r="M113" s="80">
        <f>SUMIFS('май 2024'!$G$4:$G$1753,'май 2024'!$D$4:$D$1753,$B113,'май 2024'!$J$4:$J$1753,M$1)</f>
        <v>0</v>
      </c>
      <c r="N113" s="80">
        <f>SUMIFS('май 2024'!$G$4:$G$1753,'май 2024'!$D$4:$D$1753,$B113,'май 2024'!$J$4:$J$1753,N$1)</f>
        <v>0</v>
      </c>
      <c r="O113" s="80">
        <f>SUMIFS('май 2024'!$G$4:$G$1753,'май 2024'!$D$4:$D$1753,$B113,'май 2024'!$J$4:$J$1753,O$1)</f>
        <v>0</v>
      </c>
      <c r="P113" s="80">
        <f>SUMIFS('май 2024'!$G$4:$G$1753,'май 2024'!$D$4:$D$1753,$B113,'май 2024'!$J$4:$J$1753,P$1)</f>
        <v>0</v>
      </c>
      <c r="Q113" s="80">
        <f>SUMIFS('май 2024'!$G$4:$G$1753,'май 2024'!$D$4:$D$1753,$B113,'май 2024'!$J$4:$J$1753,Q$1)</f>
        <v>0</v>
      </c>
      <c r="R113" s="80">
        <f>SUMIFS('май 2024'!$G$4:$G$1753,'май 2024'!$D$4:$D$1753,$B113,'май 2024'!$J$4:$J$1753,R$1)</f>
        <v>0</v>
      </c>
      <c r="S113" s="80">
        <f>SUMIFS('май 2024'!$G$4:$G$1753,'май 2024'!$D$4:$D$1753,$B113,'май 2024'!$J$4:$J$1753,S$1)</f>
        <v>0</v>
      </c>
      <c r="T113" s="80">
        <f>SUMIFS('май 2024'!$G$4:$G$1753,'май 2024'!$D$4:$D$1753,$B113,'май 2024'!$J$4:$J$1753,T$1)</f>
        <v>0</v>
      </c>
      <c r="U113" s="80">
        <f>SUMIFS('май 2024'!$G$4:$G$1753,'май 2024'!$D$4:$D$1753,$B113,'май 2024'!$J$4:$J$1753,U$1)</f>
        <v>0</v>
      </c>
      <c r="V113" s="80">
        <f>SUMIFS('май 2024'!$G$4:$G$1753,'май 2024'!$D$4:$D$1753,$B113,'май 2024'!$J$4:$J$1753,V$1)</f>
        <v>0</v>
      </c>
      <c r="W113" s="80">
        <f>SUMIFS('май 2024'!$G$4:$G$1753,'май 2024'!$D$4:$D$1753,$B113,'май 2024'!$J$4:$J$1753,W$1)</f>
        <v>0</v>
      </c>
      <c r="X113" s="80">
        <f>SUMIFS('май 2024'!$G$4:$G$1753,'май 2024'!$D$4:$D$1753,$B113,'май 2024'!$J$4:$J$1753,X$1)</f>
        <v>0</v>
      </c>
      <c r="Y113" s="80">
        <f>SUMIFS('май 2024'!$G$4:$G$1753,'май 2024'!$D$4:$D$1753,$B113,'май 2024'!$J$4:$J$1753,Y$1)</f>
        <v>0</v>
      </c>
      <c r="Z113" s="80">
        <f>SUMIFS('май 2024'!$G$4:$G$1753,'май 2024'!$D$4:$D$1753,$B113,'май 2024'!$J$4:$J$1753,Z$1)</f>
        <v>0</v>
      </c>
      <c r="AA113" s="80">
        <f>SUMIFS('май 2024'!$G$4:$G$1753,'май 2024'!$D$4:$D$1753,$B113,'май 2024'!$J$4:$J$1753,AA$1)</f>
        <v>0</v>
      </c>
      <c r="AB113" s="80">
        <f>SUMIFS('май 2024'!$G$4:$G$1753,'май 2024'!$D$4:$D$1753,$B113,'май 2024'!$J$4:$J$1753,AB$1)</f>
        <v>0</v>
      </c>
      <c r="AC113" s="80">
        <f>SUMIFS('май 2024'!$G$4:$G$1753,'май 2024'!$D$4:$D$1753,$B113,'май 2024'!$J$4:$J$1753,AC$1)</f>
        <v>0</v>
      </c>
      <c r="AD113" s="80">
        <f>SUMIFS('май 2024'!$G$4:$G$1753,'май 2024'!$D$4:$D$1753,$B113,'май 2024'!$J$4:$J$1753,AD$1)</f>
        <v>0</v>
      </c>
      <c r="AE113" s="80">
        <f>SUMIFS('май 2024'!$G$4:$G$1753,'май 2024'!$D$4:$D$1753,$B113,'май 2024'!$J$4:$J$1753,AE$1)</f>
        <v>0</v>
      </c>
      <c r="AF113" s="80">
        <f>SUMIFS('май 2024'!$G$4:$G$1753,'май 2024'!$D$4:$D$1753,$B113,'май 2024'!$J$4:$J$1753,AF$1)</f>
        <v>0</v>
      </c>
      <c r="AG113" s="80">
        <f>SUMIFS('май 2024'!$G$4:$G$1753,'май 2024'!$D$4:$D$1753,$B113,'май 2024'!$J$4:$J$1753,AG$1)</f>
        <v>0</v>
      </c>
      <c r="AH113" s="80">
        <f>SUMIFS('май 2024'!$G$4:$G$1753,'май 2024'!$D$4:$D$1753,$B113,'май 2024'!$J$4:$J$1753,AH$1)</f>
        <v>0</v>
      </c>
      <c r="AI113" s="21">
        <f t="shared" si="1"/>
        <v>0</v>
      </c>
    </row>
    <row r="114" spans="2:35" ht="15" customHeight="1" x14ac:dyDescent="0.25">
      <c r="B114" s="89" t="s">
        <v>193</v>
      </c>
      <c r="C114" s="88">
        <v>180</v>
      </c>
      <c r="D114" s="80">
        <f>SUMIFS('май 2024'!$G$4:$G$1753,'май 2024'!$D$4:$D$1753,$B114,'май 2024'!$J$4:$J$1753,D$1)</f>
        <v>0</v>
      </c>
      <c r="E114" s="80">
        <f>SUMIFS('май 2024'!$G$4:$G$1753,'май 2024'!$D$4:$D$1753,$B114,'май 2024'!$J$4:$J$1753,E$1)</f>
        <v>0</v>
      </c>
      <c r="F114" s="80">
        <f>SUMIFS('май 2024'!$G$4:$G$1753,'май 2024'!$D$4:$D$1753,$B114,'май 2024'!$J$4:$J$1753,F$1)</f>
        <v>0</v>
      </c>
      <c r="G114" s="80">
        <f>SUMIFS('май 2024'!$G$4:$G$1753,'май 2024'!$D$4:$D$1753,$B114,'май 2024'!$J$4:$J$1753,G$1)</f>
        <v>0</v>
      </c>
      <c r="H114" s="80">
        <f>SUMIFS('май 2024'!$G$4:$G$1753,'май 2024'!$D$4:$D$1753,$B114,'май 2024'!$J$4:$J$1753,H$1)</f>
        <v>0</v>
      </c>
      <c r="I114" s="80">
        <f>SUMIFS('май 2024'!$G$4:$G$1753,'май 2024'!$D$4:$D$1753,$B114,'май 2024'!$J$4:$J$1753,I$1)</f>
        <v>0</v>
      </c>
      <c r="J114" s="80">
        <f>SUMIFS('май 2024'!$G$4:$G$1753,'май 2024'!$D$4:$D$1753,$B114,'май 2024'!$J$4:$J$1753,J$1)</f>
        <v>0</v>
      </c>
      <c r="K114" s="80">
        <f>SUMIFS('май 2024'!$G$4:$G$1753,'май 2024'!$D$4:$D$1753,$B114,'май 2024'!$J$4:$J$1753,K$1)</f>
        <v>0</v>
      </c>
      <c r="L114" s="80">
        <f>SUMIFS('май 2024'!$G$4:$G$1753,'май 2024'!$D$4:$D$1753,$B114,'май 2024'!$J$4:$J$1753,L$1)</f>
        <v>0</v>
      </c>
      <c r="M114" s="80">
        <f>SUMIFS('май 2024'!$G$4:$G$1753,'май 2024'!$D$4:$D$1753,$B114,'май 2024'!$J$4:$J$1753,M$1)</f>
        <v>0</v>
      </c>
      <c r="N114" s="80">
        <f>SUMIFS('май 2024'!$G$4:$G$1753,'май 2024'!$D$4:$D$1753,$B114,'май 2024'!$J$4:$J$1753,N$1)</f>
        <v>0</v>
      </c>
      <c r="O114" s="80">
        <f>SUMIFS('май 2024'!$G$4:$G$1753,'май 2024'!$D$4:$D$1753,$B114,'май 2024'!$J$4:$J$1753,O$1)</f>
        <v>0</v>
      </c>
      <c r="P114" s="80">
        <f>SUMIFS('май 2024'!$G$4:$G$1753,'май 2024'!$D$4:$D$1753,$B114,'май 2024'!$J$4:$J$1753,P$1)</f>
        <v>0</v>
      </c>
      <c r="Q114" s="80">
        <f>SUMIFS('май 2024'!$G$4:$G$1753,'май 2024'!$D$4:$D$1753,$B114,'май 2024'!$J$4:$J$1753,Q$1)</f>
        <v>0</v>
      </c>
      <c r="R114" s="80">
        <f>SUMIFS('май 2024'!$G$4:$G$1753,'май 2024'!$D$4:$D$1753,$B114,'май 2024'!$J$4:$J$1753,R$1)</f>
        <v>0</v>
      </c>
      <c r="S114" s="80">
        <f>SUMIFS('май 2024'!$G$4:$G$1753,'май 2024'!$D$4:$D$1753,$B114,'май 2024'!$J$4:$J$1753,S$1)</f>
        <v>0</v>
      </c>
      <c r="T114" s="80">
        <f>SUMIFS('май 2024'!$G$4:$G$1753,'май 2024'!$D$4:$D$1753,$B114,'май 2024'!$J$4:$J$1753,T$1)</f>
        <v>0</v>
      </c>
      <c r="U114" s="80">
        <f>SUMIFS('май 2024'!$G$4:$G$1753,'май 2024'!$D$4:$D$1753,$B114,'май 2024'!$J$4:$J$1753,U$1)</f>
        <v>0</v>
      </c>
      <c r="V114" s="80">
        <f>SUMIFS('май 2024'!$G$4:$G$1753,'май 2024'!$D$4:$D$1753,$B114,'май 2024'!$J$4:$J$1753,V$1)</f>
        <v>0</v>
      </c>
      <c r="W114" s="80">
        <f>SUMIFS('май 2024'!$G$4:$G$1753,'май 2024'!$D$4:$D$1753,$B114,'май 2024'!$J$4:$J$1753,W$1)</f>
        <v>0</v>
      </c>
      <c r="X114" s="80">
        <f>SUMIFS('май 2024'!$G$4:$G$1753,'май 2024'!$D$4:$D$1753,$B114,'май 2024'!$J$4:$J$1753,X$1)</f>
        <v>0</v>
      </c>
      <c r="Y114" s="80">
        <f>SUMIFS('май 2024'!$G$4:$G$1753,'май 2024'!$D$4:$D$1753,$B114,'май 2024'!$J$4:$J$1753,Y$1)</f>
        <v>0</v>
      </c>
      <c r="Z114" s="80">
        <f>SUMIFS('май 2024'!$G$4:$G$1753,'май 2024'!$D$4:$D$1753,$B114,'май 2024'!$J$4:$J$1753,Z$1)</f>
        <v>0</v>
      </c>
      <c r="AA114" s="80">
        <f>SUMIFS('май 2024'!$G$4:$G$1753,'май 2024'!$D$4:$D$1753,$B114,'май 2024'!$J$4:$J$1753,AA$1)</f>
        <v>0</v>
      </c>
      <c r="AB114" s="80">
        <f>SUMIFS('май 2024'!$G$4:$G$1753,'май 2024'!$D$4:$D$1753,$B114,'май 2024'!$J$4:$J$1753,AB$1)</f>
        <v>0</v>
      </c>
      <c r="AC114" s="80">
        <f>SUMIFS('май 2024'!$G$4:$G$1753,'май 2024'!$D$4:$D$1753,$B114,'май 2024'!$J$4:$J$1753,AC$1)</f>
        <v>0</v>
      </c>
      <c r="AD114" s="80">
        <f>SUMIFS('май 2024'!$G$4:$G$1753,'май 2024'!$D$4:$D$1753,$B114,'май 2024'!$J$4:$J$1753,AD$1)</f>
        <v>0</v>
      </c>
      <c r="AE114" s="80">
        <f>SUMIFS('май 2024'!$G$4:$G$1753,'май 2024'!$D$4:$D$1753,$B114,'май 2024'!$J$4:$J$1753,AE$1)</f>
        <v>0</v>
      </c>
      <c r="AF114" s="80">
        <f>SUMIFS('май 2024'!$G$4:$G$1753,'май 2024'!$D$4:$D$1753,$B114,'май 2024'!$J$4:$J$1753,AF$1)</f>
        <v>0</v>
      </c>
      <c r="AG114" s="80">
        <f>SUMIFS('май 2024'!$G$4:$G$1753,'май 2024'!$D$4:$D$1753,$B114,'май 2024'!$J$4:$J$1753,AG$1)</f>
        <v>0</v>
      </c>
      <c r="AH114" s="80">
        <f>SUMIFS('май 2024'!$G$4:$G$1753,'май 2024'!$D$4:$D$1753,$B114,'май 2024'!$J$4:$J$1753,AH$1)</f>
        <v>0</v>
      </c>
      <c r="AI114" s="21">
        <f t="shared" si="1"/>
        <v>0</v>
      </c>
    </row>
    <row r="115" spans="2:35" ht="15" customHeight="1" x14ac:dyDescent="0.25">
      <c r="B115" s="89" t="s">
        <v>1070</v>
      </c>
      <c r="C115" s="88">
        <v>180</v>
      </c>
      <c r="D115" s="80">
        <f>SUMIFS('май 2024'!$G$4:$G$1753,'май 2024'!$D$4:$D$1753,$B115,'май 2024'!$J$4:$J$1753,D$1)</f>
        <v>0</v>
      </c>
      <c r="E115" s="80">
        <f>SUMIFS('май 2024'!$G$4:$G$1753,'май 2024'!$D$4:$D$1753,$B115,'май 2024'!$J$4:$J$1753,E$1)</f>
        <v>0</v>
      </c>
      <c r="F115" s="80">
        <f>SUMIFS('май 2024'!$G$4:$G$1753,'май 2024'!$D$4:$D$1753,$B115,'май 2024'!$J$4:$J$1753,F$1)</f>
        <v>0</v>
      </c>
      <c r="G115" s="80">
        <f>SUMIFS('май 2024'!$G$4:$G$1753,'май 2024'!$D$4:$D$1753,$B115,'май 2024'!$J$4:$J$1753,G$1)</f>
        <v>0</v>
      </c>
      <c r="H115" s="80">
        <f>SUMIFS('май 2024'!$G$4:$G$1753,'май 2024'!$D$4:$D$1753,$B115,'май 2024'!$J$4:$J$1753,H$1)</f>
        <v>0</v>
      </c>
      <c r="I115" s="80">
        <f>SUMIFS('май 2024'!$G$4:$G$1753,'май 2024'!$D$4:$D$1753,$B115,'май 2024'!$J$4:$J$1753,I$1)</f>
        <v>0</v>
      </c>
      <c r="J115" s="80">
        <f>SUMIFS('май 2024'!$G$4:$G$1753,'май 2024'!$D$4:$D$1753,$B115,'май 2024'!$J$4:$J$1753,J$1)</f>
        <v>16</v>
      </c>
      <c r="K115" s="80">
        <f>SUMIFS('май 2024'!$G$4:$G$1753,'май 2024'!$D$4:$D$1753,$B115,'май 2024'!$J$4:$J$1753,K$1)</f>
        <v>0</v>
      </c>
      <c r="L115" s="80">
        <f>SUMIFS('май 2024'!$G$4:$G$1753,'май 2024'!$D$4:$D$1753,$B115,'май 2024'!$J$4:$J$1753,L$1)</f>
        <v>0</v>
      </c>
      <c r="M115" s="80">
        <f>SUMIFS('май 2024'!$G$4:$G$1753,'май 2024'!$D$4:$D$1753,$B115,'май 2024'!$J$4:$J$1753,M$1)</f>
        <v>0</v>
      </c>
      <c r="N115" s="80">
        <f>SUMIFS('май 2024'!$G$4:$G$1753,'май 2024'!$D$4:$D$1753,$B115,'май 2024'!$J$4:$J$1753,N$1)</f>
        <v>0</v>
      </c>
      <c r="O115" s="80">
        <f>SUMIFS('май 2024'!$G$4:$G$1753,'май 2024'!$D$4:$D$1753,$B115,'май 2024'!$J$4:$J$1753,O$1)</f>
        <v>0</v>
      </c>
      <c r="P115" s="80">
        <f>SUMIFS('май 2024'!$G$4:$G$1753,'май 2024'!$D$4:$D$1753,$B115,'май 2024'!$J$4:$J$1753,P$1)</f>
        <v>0</v>
      </c>
      <c r="Q115" s="80">
        <f>SUMIFS('май 2024'!$G$4:$G$1753,'май 2024'!$D$4:$D$1753,$B115,'май 2024'!$J$4:$J$1753,Q$1)</f>
        <v>0</v>
      </c>
      <c r="R115" s="80">
        <f>SUMIFS('май 2024'!$G$4:$G$1753,'май 2024'!$D$4:$D$1753,$B115,'май 2024'!$J$4:$J$1753,R$1)</f>
        <v>0</v>
      </c>
      <c r="S115" s="80">
        <f>SUMIFS('май 2024'!$G$4:$G$1753,'май 2024'!$D$4:$D$1753,$B115,'май 2024'!$J$4:$J$1753,S$1)</f>
        <v>0</v>
      </c>
      <c r="T115" s="80">
        <f>SUMIFS('май 2024'!$G$4:$G$1753,'май 2024'!$D$4:$D$1753,$B115,'май 2024'!$J$4:$J$1753,T$1)</f>
        <v>0</v>
      </c>
      <c r="U115" s="80">
        <f>SUMIFS('май 2024'!$G$4:$G$1753,'май 2024'!$D$4:$D$1753,$B115,'май 2024'!$J$4:$J$1753,U$1)</f>
        <v>0</v>
      </c>
      <c r="V115" s="80">
        <f>SUMIFS('май 2024'!$G$4:$G$1753,'май 2024'!$D$4:$D$1753,$B115,'май 2024'!$J$4:$J$1753,V$1)</f>
        <v>0</v>
      </c>
      <c r="W115" s="80">
        <f>SUMIFS('май 2024'!$G$4:$G$1753,'май 2024'!$D$4:$D$1753,$B115,'май 2024'!$J$4:$J$1753,W$1)</f>
        <v>0</v>
      </c>
      <c r="X115" s="80">
        <f>SUMIFS('май 2024'!$G$4:$G$1753,'май 2024'!$D$4:$D$1753,$B115,'май 2024'!$J$4:$J$1753,X$1)</f>
        <v>0</v>
      </c>
      <c r="Y115" s="80">
        <f>SUMIFS('май 2024'!$G$4:$G$1753,'май 2024'!$D$4:$D$1753,$B115,'май 2024'!$J$4:$J$1753,Y$1)</f>
        <v>0</v>
      </c>
      <c r="Z115" s="80">
        <f>SUMIFS('май 2024'!$G$4:$G$1753,'май 2024'!$D$4:$D$1753,$B115,'май 2024'!$J$4:$J$1753,Z$1)</f>
        <v>0</v>
      </c>
      <c r="AA115" s="80">
        <f>SUMIFS('май 2024'!$G$4:$G$1753,'май 2024'!$D$4:$D$1753,$B115,'май 2024'!$J$4:$J$1753,AA$1)</f>
        <v>0</v>
      </c>
      <c r="AB115" s="80">
        <f>SUMIFS('май 2024'!$G$4:$G$1753,'май 2024'!$D$4:$D$1753,$B115,'май 2024'!$J$4:$J$1753,AB$1)</f>
        <v>0</v>
      </c>
      <c r="AC115" s="80">
        <f>SUMIFS('май 2024'!$G$4:$G$1753,'май 2024'!$D$4:$D$1753,$B115,'май 2024'!$J$4:$J$1753,AC$1)</f>
        <v>0</v>
      </c>
      <c r="AD115" s="80">
        <f>SUMIFS('май 2024'!$G$4:$G$1753,'май 2024'!$D$4:$D$1753,$B115,'май 2024'!$J$4:$J$1753,AD$1)</f>
        <v>0</v>
      </c>
      <c r="AE115" s="80">
        <f>SUMIFS('май 2024'!$G$4:$G$1753,'май 2024'!$D$4:$D$1753,$B115,'май 2024'!$J$4:$J$1753,AE$1)</f>
        <v>0</v>
      </c>
      <c r="AF115" s="80">
        <f>SUMIFS('май 2024'!$G$4:$G$1753,'май 2024'!$D$4:$D$1753,$B115,'май 2024'!$J$4:$J$1753,AF$1)</f>
        <v>0</v>
      </c>
      <c r="AG115" s="80">
        <f>SUMIFS('май 2024'!$G$4:$G$1753,'май 2024'!$D$4:$D$1753,$B115,'май 2024'!$J$4:$J$1753,AG$1)</f>
        <v>0</v>
      </c>
      <c r="AH115" s="80">
        <f>SUMIFS('май 2024'!$G$4:$G$1753,'май 2024'!$D$4:$D$1753,$B115,'май 2024'!$J$4:$J$1753,AH$1)</f>
        <v>0</v>
      </c>
      <c r="AI115" s="21">
        <f>SUM(D115:AH115)</f>
        <v>16</v>
      </c>
    </row>
    <row r="116" spans="2:35" ht="15" customHeight="1" x14ac:dyDescent="0.25">
      <c r="B116" s="89" t="s">
        <v>177</v>
      </c>
      <c r="C116" s="88">
        <v>200</v>
      </c>
      <c r="D116" s="80">
        <f>SUMIFS('май 2024'!$G$4:$G$1753,'май 2024'!$D$4:$D$1753,$B116,'май 2024'!$J$4:$J$1753,D$1)</f>
        <v>0</v>
      </c>
      <c r="E116" s="80">
        <f>SUMIFS('май 2024'!$G$4:$G$1753,'май 2024'!$D$4:$D$1753,$B116,'май 2024'!$J$4:$J$1753,E$1)</f>
        <v>0</v>
      </c>
      <c r="F116" s="80">
        <f>SUMIFS('май 2024'!$G$4:$G$1753,'май 2024'!$D$4:$D$1753,$B116,'май 2024'!$J$4:$J$1753,F$1)</f>
        <v>0</v>
      </c>
      <c r="G116" s="80">
        <f>SUMIFS('май 2024'!$G$4:$G$1753,'май 2024'!$D$4:$D$1753,$B116,'май 2024'!$J$4:$J$1753,G$1)</f>
        <v>0</v>
      </c>
      <c r="H116" s="80">
        <f>SUMIFS('май 2024'!$G$4:$G$1753,'май 2024'!$D$4:$D$1753,$B116,'май 2024'!$J$4:$J$1753,H$1)</f>
        <v>0</v>
      </c>
      <c r="I116" s="80">
        <f>SUMIFS('май 2024'!$G$4:$G$1753,'май 2024'!$D$4:$D$1753,$B116,'май 2024'!$J$4:$J$1753,I$1)</f>
        <v>0</v>
      </c>
      <c r="J116" s="80">
        <f>SUMIFS('май 2024'!$G$4:$G$1753,'май 2024'!$D$4:$D$1753,$B116,'май 2024'!$J$4:$J$1753,J$1)</f>
        <v>0</v>
      </c>
      <c r="K116" s="80">
        <f>SUMIFS('май 2024'!$G$4:$G$1753,'май 2024'!$D$4:$D$1753,$B116,'май 2024'!$J$4:$J$1753,K$1)</f>
        <v>0</v>
      </c>
      <c r="L116" s="80">
        <f>SUMIFS('май 2024'!$G$4:$G$1753,'май 2024'!$D$4:$D$1753,$B116,'май 2024'!$J$4:$J$1753,L$1)</f>
        <v>0</v>
      </c>
      <c r="M116" s="80">
        <f>SUMIFS('май 2024'!$G$4:$G$1753,'май 2024'!$D$4:$D$1753,$B116,'май 2024'!$J$4:$J$1753,M$1)</f>
        <v>0</v>
      </c>
      <c r="N116" s="80">
        <f>SUMIFS('май 2024'!$G$4:$G$1753,'май 2024'!$D$4:$D$1753,$B116,'май 2024'!$J$4:$J$1753,N$1)</f>
        <v>0</v>
      </c>
      <c r="O116" s="80">
        <f>SUMIFS('май 2024'!$G$4:$G$1753,'май 2024'!$D$4:$D$1753,$B116,'май 2024'!$J$4:$J$1753,O$1)</f>
        <v>0</v>
      </c>
      <c r="P116" s="80">
        <f>SUMIFS('май 2024'!$G$4:$G$1753,'май 2024'!$D$4:$D$1753,$B116,'май 2024'!$J$4:$J$1753,P$1)</f>
        <v>0</v>
      </c>
      <c r="Q116" s="80">
        <f>SUMIFS('май 2024'!$G$4:$G$1753,'май 2024'!$D$4:$D$1753,$B116,'май 2024'!$J$4:$J$1753,Q$1)</f>
        <v>0</v>
      </c>
      <c r="R116" s="80">
        <f>SUMIFS('май 2024'!$G$4:$G$1753,'май 2024'!$D$4:$D$1753,$B116,'май 2024'!$J$4:$J$1753,R$1)</f>
        <v>0</v>
      </c>
      <c r="S116" s="80">
        <f>SUMIFS('май 2024'!$G$4:$G$1753,'май 2024'!$D$4:$D$1753,$B116,'май 2024'!$J$4:$J$1753,S$1)</f>
        <v>0</v>
      </c>
      <c r="T116" s="80">
        <f>SUMIFS('май 2024'!$G$4:$G$1753,'май 2024'!$D$4:$D$1753,$B116,'май 2024'!$J$4:$J$1753,T$1)</f>
        <v>0</v>
      </c>
      <c r="U116" s="80">
        <f>SUMIFS('май 2024'!$G$4:$G$1753,'май 2024'!$D$4:$D$1753,$B116,'май 2024'!$J$4:$J$1753,U$1)</f>
        <v>0</v>
      </c>
      <c r="V116" s="80">
        <f>SUMIFS('май 2024'!$G$4:$G$1753,'май 2024'!$D$4:$D$1753,$B116,'май 2024'!$J$4:$J$1753,V$1)</f>
        <v>0</v>
      </c>
      <c r="W116" s="80">
        <f>SUMIFS('май 2024'!$G$4:$G$1753,'май 2024'!$D$4:$D$1753,$B116,'май 2024'!$J$4:$J$1753,W$1)</f>
        <v>0</v>
      </c>
      <c r="X116" s="80">
        <f>SUMIFS('май 2024'!$G$4:$G$1753,'май 2024'!$D$4:$D$1753,$B116,'май 2024'!$J$4:$J$1753,X$1)</f>
        <v>0</v>
      </c>
      <c r="Y116" s="80">
        <f>SUMIFS('май 2024'!$G$4:$G$1753,'май 2024'!$D$4:$D$1753,$B116,'май 2024'!$J$4:$J$1753,Y$1)</f>
        <v>0</v>
      </c>
      <c r="Z116" s="80">
        <f>SUMIFS('май 2024'!$G$4:$G$1753,'май 2024'!$D$4:$D$1753,$B116,'май 2024'!$J$4:$J$1753,Z$1)</f>
        <v>0</v>
      </c>
      <c r="AA116" s="80">
        <f>SUMIFS('май 2024'!$G$4:$G$1753,'май 2024'!$D$4:$D$1753,$B116,'май 2024'!$J$4:$J$1753,AA$1)</f>
        <v>0</v>
      </c>
      <c r="AB116" s="80">
        <f>SUMIFS('май 2024'!$G$4:$G$1753,'май 2024'!$D$4:$D$1753,$B116,'май 2024'!$J$4:$J$1753,AB$1)</f>
        <v>0</v>
      </c>
      <c r="AC116" s="80">
        <f>SUMIFS('май 2024'!$G$4:$G$1753,'май 2024'!$D$4:$D$1753,$B116,'май 2024'!$J$4:$J$1753,AC$1)</f>
        <v>0</v>
      </c>
      <c r="AD116" s="80">
        <f>SUMIFS('май 2024'!$G$4:$G$1753,'май 2024'!$D$4:$D$1753,$B116,'май 2024'!$J$4:$J$1753,AD$1)</f>
        <v>0</v>
      </c>
      <c r="AE116" s="80">
        <f>SUMIFS('май 2024'!$G$4:$G$1753,'май 2024'!$D$4:$D$1753,$B116,'май 2024'!$J$4:$J$1753,AE$1)</f>
        <v>0</v>
      </c>
      <c r="AF116" s="80">
        <f>SUMIFS('май 2024'!$G$4:$G$1753,'май 2024'!$D$4:$D$1753,$B116,'май 2024'!$J$4:$J$1753,AF$1)</f>
        <v>0</v>
      </c>
      <c r="AG116" s="80">
        <f>SUMIFS('май 2024'!$G$4:$G$1753,'май 2024'!$D$4:$D$1753,$B116,'май 2024'!$J$4:$J$1753,AG$1)</f>
        <v>0</v>
      </c>
      <c r="AH116" s="80">
        <f>SUMIFS('май 2024'!$G$4:$G$1753,'май 2024'!$D$4:$D$1753,$B116,'май 2024'!$J$4:$J$1753,AH$1)</f>
        <v>0</v>
      </c>
      <c r="AI116" s="21">
        <f t="shared" si="1"/>
        <v>0</v>
      </c>
    </row>
    <row r="117" spans="2:35" ht="15" customHeight="1" x14ac:dyDescent="0.25">
      <c r="B117" s="89" t="s">
        <v>178</v>
      </c>
      <c r="C117" s="88">
        <v>200</v>
      </c>
      <c r="D117" s="80">
        <f>SUMIFS('май 2024'!$G$4:$G$1753,'май 2024'!$D$4:$D$1753,$B117,'май 2024'!$J$4:$J$1753,D$1)</f>
        <v>0</v>
      </c>
      <c r="E117" s="80">
        <f>SUMIFS('май 2024'!$G$4:$G$1753,'май 2024'!$D$4:$D$1753,$B117,'май 2024'!$J$4:$J$1753,E$1)</f>
        <v>0</v>
      </c>
      <c r="F117" s="80">
        <f>SUMIFS('май 2024'!$G$4:$G$1753,'май 2024'!$D$4:$D$1753,$B117,'май 2024'!$J$4:$J$1753,F$1)</f>
        <v>0</v>
      </c>
      <c r="G117" s="80">
        <f>SUMIFS('май 2024'!$G$4:$G$1753,'май 2024'!$D$4:$D$1753,$B117,'май 2024'!$J$4:$J$1753,G$1)</f>
        <v>0</v>
      </c>
      <c r="H117" s="80">
        <f>SUMIFS('май 2024'!$G$4:$G$1753,'май 2024'!$D$4:$D$1753,$B117,'май 2024'!$J$4:$J$1753,H$1)</f>
        <v>0</v>
      </c>
      <c r="I117" s="80">
        <f>SUMIFS('май 2024'!$G$4:$G$1753,'май 2024'!$D$4:$D$1753,$B117,'май 2024'!$J$4:$J$1753,I$1)</f>
        <v>0</v>
      </c>
      <c r="J117" s="80">
        <f>SUMIFS('май 2024'!$G$4:$G$1753,'май 2024'!$D$4:$D$1753,$B117,'май 2024'!$J$4:$J$1753,J$1)</f>
        <v>0</v>
      </c>
      <c r="K117" s="80">
        <f>SUMIFS('май 2024'!$G$4:$G$1753,'май 2024'!$D$4:$D$1753,$B117,'май 2024'!$J$4:$J$1753,K$1)</f>
        <v>0</v>
      </c>
      <c r="L117" s="80">
        <f>SUMIFS('май 2024'!$G$4:$G$1753,'май 2024'!$D$4:$D$1753,$B117,'май 2024'!$J$4:$J$1753,L$1)</f>
        <v>0</v>
      </c>
      <c r="M117" s="80">
        <f>SUMIFS('май 2024'!$G$4:$G$1753,'май 2024'!$D$4:$D$1753,$B117,'май 2024'!$J$4:$J$1753,M$1)</f>
        <v>0</v>
      </c>
      <c r="N117" s="80">
        <f>SUMIFS('май 2024'!$G$4:$G$1753,'май 2024'!$D$4:$D$1753,$B117,'май 2024'!$J$4:$J$1753,N$1)</f>
        <v>0</v>
      </c>
      <c r="O117" s="80">
        <f>SUMIFS('май 2024'!$G$4:$G$1753,'май 2024'!$D$4:$D$1753,$B117,'май 2024'!$J$4:$J$1753,O$1)</f>
        <v>0</v>
      </c>
      <c r="P117" s="80">
        <f>SUMIFS('май 2024'!$G$4:$G$1753,'май 2024'!$D$4:$D$1753,$B117,'май 2024'!$J$4:$J$1753,P$1)</f>
        <v>0</v>
      </c>
      <c r="Q117" s="80">
        <f>SUMIFS('май 2024'!$G$4:$G$1753,'май 2024'!$D$4:$D$1753,$B117,'май 2024'!$J$4:$J$1753,Q$1)</f>
        <v>0</v>
      </c>
      <c r="R117" s="80">
        <f>SUMIFS('май 2024'!$G$4:$G$1753,'май 2024'!$D$4:$D$1753,$B117,'май 2024'!$J$4:$J$1753,R$1)</f>
        <v>0</v>
      </c>
      <c r="S117" s="80">
        <f>SUMIFS('май 2024'!$G$4:$G$1753,'май 2024'!$D$4:$D$1753,$B117,'май 2024'!$J$4:$J$1753,S$1)</f>
        <v>0</v>
      </c>
      <c r="T117" s="80">
        <f>SUMIFS('май 2024'!$G$4:$G$1753,'май 2024'!$D$4:$D$1753,$B117,'май 2024'!$J$4:$J$1753,T$1)</f>
        <v>0</v>
      </c>
      <c r="U117" s="80">
        <f>SUMIFS('май 2024'!$G$4:$G$1753,'май 2024'!$D$4:$D$1753,$B117,'май 2024'!$J$4:$J$1753,U$1)</f>
        <v>0</v>
      </c>
      <c r="V117" s="80">
        <f>SUMIFS('май 2024'!$G$4:$G$1753,'май 2024'!$D$4:$D$1753,$B117,'май 2024'!$J$4:$J$1753,V$1)</f>
        <v>0</v>
      </c>
      <c r="W117" s="80">
        <f>SUMIFS('май 2024'!$G$4:$G$1753,'май 2024'!$D$4:$D$1753,$B117,'май 2024'!$J$4:$J$1753,W$1)</f>
        <v>0</v>
      </c>
      <c r="X117" s="80">
        <f>SUMIFS('май 2024'!$G$4:$G$1753,'май 2024'!$D$4:$D$1753,$B117,'май 2024'!$J$4:$J$1753,X$1)</f>
        <v>0</v>
      </c>
      <c r="Y117" s="80">
        <f>SUMIFS('май 2024'!$G$4:$G$1753,'май 2024'!$D$4:$D$1753,$B117,'май 2024'!$J$4:$J$1753,Y$1)</f>
        <v>0</v>
      </c>
      <c r="Z117" s="80">
        <f>SUMIFS('май 2024'!$G$4:$G$1753,'май 2024'!$D$4:$D$1753,$B117,'май 2024'!$J$4:$J$1753,Z$1)</f>
        <v>0</v>
      </c>
      <c r="AA117" s="80">
        <f>SUMIFS('май 2024'!$G$4:$G$1753,'май 2024'!$D$4:$D$1753,$B117,'май 2024'!$J$4:$J$1753,AA$1)</f>
        <v>0</v>
      </c>
      <c r="AB117" s="80">
        <f>SUMIFS('май 2024'!$G$4:$G$1753,'май 2024'!$D$4:$D$1753,$B117,'май 2024'!$J$4:$J$1753,AB$1)</f>
        <v>0</v>
      </c>
      <c r="AC117" s="80">
        <f>SUMIFS('май 2024'!$G$4:$G$1753,'май 2024'!$D$4:$D$1753,$B117,'май 2024'!$J$4:$J$1753,AC$1)</f>
        <v>0</v>
      </c>
      <c r="AD117" s="80">
        <f>SUMIFS('май 2024'!$G$4:$G$1753,'май 2024'!$D$4:$D$1753,$B117,'май 2024'!$J$4:$J$1753,AD$1)</f>
        <v>0</v>
      </c>
      <c r="AE117" s="80">
        <f>SUMIFS('май 2024'!$G$4:$G$1753,'май 2024'!$D$4:$D$1753,$B117,'май 2024'!$J$4:$J$1753,AE$1)</f>
        <v>0</v>
      </c>
      <c r="AF117" s="80">
        <f>SUMIFS('май 2024'!$G$4:$G$1753,'май 2024'!$D$4:$D$1753,$B117,'май 2024'!$J$4:$J$1753,AF$1)</f>
        <v>0</v>
      </c>
      <c r="AG117" s="80">
        <f>SUMIFS('май 2024'!$G$4:$G$1753,'май 2024'!$D$4:$D$1753,$B117,'май 2024'!$J$4:$J$1753,AG$1)</f>
        <v>0</v>
      </c>
      <c r="AH117" s="80">
        <f>SUMIFS('май 2024'!$G$4:$G$1753,'май 2024'!$D$4:$D$1753,$B117,'май 2024'!$J$4:$J$1753,AH$1)</f>
        <v>0</v>
      </c>
      <c r="AI117" s="21">
        <f t="shared" si="1"/>
        <v>0</v>
      </c>
    </row>
    <row r="118" spans="2:35" ht="15" customHeight="1" x14ac:dyDescent="0.25">
      <c r="B118" s="89" t="s">
        <v>180</v>
      </c>
      <c r="C118" s="88">
        <v>200</v>
      </c>
      <c r="D118" s="80">
        <f>SUMIFS('май 2024'!$G$4:$G$1753,'май 2024'!$D$4:$D$1753,$B118,'май 2024'!$J$4:$J$1753,D$1)</f>
        <v>0</v>
      </c>
      <c r="E118" s="80">
        <f>SUMIFS('май 2024'!$G$4:$G$1753,'май 2024'!$D$4:$D$1753,$B118,'май 2024'!$J$4:$J$1753,E$1)</f>
        <v>0</v>
      </c>
      <c r="F118" s="80">
        <f>SUMIFS('май 2024'!$G$4:$G$1753,'май 2024'!$D$4:$D$1753,$B118,'май 2024'!$J$4:$J$1753,F$1)</f>
        <v>0</v>
      </c>
      <c r="G118" s="80">
        <f>SUMIFS('май 2024'!$G$4:$G$1753,'май 2024'!$D$4:$D$1753,$B118,'май 2024'!$J$4:$J$1753,G$1)</f>
        <v>0</v>
      </c>
      <c r="H118" s="80">
        <f>SUMIFS('май 2024'!$G$4:$G$1753,'май 2024'!$D$4:$D$1753,$B118,'май 2024'!$J$4:$J$1753,H$1)</f>
        <v>0</v>
      </c>
      <c r="I118" s="80">
        <f>SUMIFS('май 2024'!$G$4:$G$1753,'май 2024'!$D$4:$D$1753,$B118,'май 2024'!$J$4:$J$1753,I$1)</f>
        <v>0</v>
      </c>
      <c r="J118" s="80">
        <f>SUMIFS('май 2024'!$G$4:$G$1753,'май 2024'!$D$4:$D$1753,$B118,'май 2024'!$J$4:$J$1753,J$1)</f>
        <v>0</v>
      </c>
      <c r="K118" s="80">
        <f>SUMIFS('май 2024'!$G$4:$G$1753,'май 2024'!$D$4:$D$1753,$B118,'май 2024'!$J$4:$J$1753,K$1)</f>
        <v>0</v>
      </c>
      <c r="L118" s="80">
        <f>SUMIFS('май 2024'!$G$4:$G$1753,'май 2024'!$D$4:$D$1753,$B118,'май 2024'!$J$4:$J$1753,L$1)</f>
        <v>0</v>
      </c>
      <c r="M118" s="80">
        <f>SUMIFS('май 2024'!$G$4:$G$1753,'май 2024'!$D$4:$D$1753,$B118,'май 2024'!$J$4:$J$1753,M$1)</f>
        <v>0</v>
      </c>
      <c r="N118" s="80">
        <f>SUMIFS('май 2024'!$G$4:$G$1753,'май 2024'!$D$4:$D$1753,$B118,'май 2024'!$J$4:$J$1753,N$1)</f>
        <v>0</v>
      </c>
      <c r="O118" s="80">
        <f>SUMIFS('май 2024'!$G$4:$G$1753,'май 2024'!$D$4:$D$1753,$B118,'май 2024'!$J$4:$J$1753,O$1)</f>
        <v>0</v>
      </c>
      <c r="P118" s="80">
        <f>SUMIFS('май 2024'!$G$4:$G$1753,'май 2024'!$D$4:$D$1753,$B118,'май 2024'!$J$4:$J$1753,P$1)</f>
        <v>0</v>
      </c>
      <c r="Q118" s="80">
        <f>SUMIFS('май 2024'!$G$4:$G$1753,'май 2024'!$D$4:$D$1753,$B118,'май 2024'!$J$4:$J$1753,Q$1)</f>
        <v>0</v>
      </c>
      <c r="R118" s="80">
        <f>SUMIFS('май 2024'!$G$4:$G$1753,'май 2024'!$D$4:$D$1753,$B118,'май 2024'!$J$4:$J$1753,R$1)</f>
        <v>0</v>
      </c>
      <c r="S118" s="80">
        <f>SUMIFS('май 2024'!$G$4:$G$1753,'май 2024'!$D$4:$D$1753,$B118,'май 2024'!$J$4:$J$1753,S$1)</f>
        <v>0</v>
      </c>
      <c r="T118" s="80">
        <f>SUMIFS('май 2024'!$G$4:$G$1753,'май 2024'!$D$4:$D$1753,$B118,'май 2024'!$J$4:$J$1753,T$1)</f>
        <v>0</v>
      </c>
      <c r="U118" s="80">
        <f>SUMIFS('май 2024'!$G$4:$G$1753,'май 2024'!$D$4:$D$1753,$B118,'май 2024'!$J$4:$J$1753,U$1)</f>
        <v>0</v>
      </c>
      <c r="V118" s="80">
        <f>SUMIFS('май 2024'!$G$4:$G$1753,'май 2024'!$D$4:$D$1753,$B118,'май 2024'!$J$4:$J$1753,V$1)</f>
        <v>0</v>
      </c>
      <c r="W118" s="80">
        <f>SUMIFS('май 2024'!$G$4:$G$1753,'май 2024'!$D$4:$D$1753,$B118,'май 2024'!$J$4:$J$1753,W$1)</f>
        <v>0</v>
      </c>
      <c r="X118" s="80">
        <f>SUMIFS('май 2024'!$G$4:$G$1753,'май 2024'!$D$4:$D$1753,$B118,'май 2024'!$J$4:$J$1753,X$1)</f>
        <v>0</v>
      </c>
      <c r="Y118" s="80">
        <f>SUMIFS('май 2024'!$G$4:$G$1753,'май 2024'!$D$4:$D$1753,$B118,'май 2024'!$J$4:$J$1753,Y$1)</f>
        <v>0</v>
      </c>
      <c r="Z118" s="80">
        <f>SUMIFS('май 2024'!$G$4:$G$1753,'май 2024'!$D$4:$D$1753,$B118,'май 2024'!$J$4:$J$1753,Z$1)</f>
        <v>0</v>
      </c>
      <c r="AA118" s="80">
        <f>SUMIFS('май 2024'!$G$4:$G$1753,'май 2024'!$D$4:$D$1753,$B118,'май 2024'!$J$4:$J$1753,AA$1)</f>
        <v>0</v>
      </c>
      <c r="AB118" s="80">
        <f>SUMIFS('май 2024'!$G$4:$G$1753,'май 2024'!$D$4:$D$1753,$B118,'май 2024'!$J$4:$J$1753,AB$1)</f>
        <v>0</v>
      </c>
      <c r="AC118" s="80">
        <f>SUMIFS('май 2024'!$G$4:$G$1753,'май 2024'!$D$4:$D$1753,$B118,'май 2024'!$J$4:$J$1753,AC$1)</f>
        <v>0</v>
      </c>
      <c r="AD118" s="80">
        <f>SUMIFS('май 2024'!$G$4:$G$1753,'май 2024'!$D$4:$D$1753,$B118,'май 2024'!$J$4:$J$1753,AD$1)</f>
        <v>0</v>
      </c>
      <c r="AE118" s="80">
        <f>SUMIFS('май 2024'!$G$4:$G$1753,'май 2024'!$D$4:$D$1753,$B118,'май 2024'!$J$4:$J$1753,AE$1)</f>
        <v>0</v>
      </c>
      <c r="AF118" s="80">
        <f>SUMIFS('май 2024'!$G$4:$G$1753,'май 2024'!$D$4:$D$1753,$B118,'май 2024'!$J$4:$J$1753,AF$1)</f>
        <v>0</v>
      </c>
      <c r="AG118" s="80">
        <f>SUMIFS('май 2024'!$G$4:$G$1753,'май 2024'!$D$4:$D$1753,$B118,'май 2024'!$J$4:$J$1753,AG$1)</f>
        <v>0</v>
      </c>
      <c r="AH118" s="80">
        <f>SUMIFS('май 2024'!$G$4:$G$1753,'май 2024'!$D$4:$D$1753,$B118,'май 2024'!$J$4:$J$1753,AH$1)</f>
        <v>0</v>
      </c>
      <c r="AI118" s="21">
        <f t="shared" si="1"/>
        <v>0</v>
      </c>
    </row>
    <row r="119" spans="2:35" ht="15" customHeight="1" x14ac:dyDescent="0.25">
      <c r="B119" s="94" t="s">
        <v>194</v>
      </c>
      <c r="C119" s="95">
        <v>180</v>
      </c>
      <c r="D119" s="80">
        <f>SUMIFS('май 2024'!$G$4:$G$1753,'май 2024'!$D$4:$D$1753,$B119,'май 2024'!$J$4:$J$1753,D$1)</f>
        <v>0</v>
      </c>
      <c r="E119" s="80">
        <f>SUMIFS('май 2024'!$G$4:$G$1753,'май 2024'!$D$4:$D$1753,$B119,'май 2024'!$J$4:$J$1753,E$1)</f>
        <v>0</v>
      </c>
      <c r="F119" s="80">
        <f>SUMIFS('май 2024'!$G$4:$G$1753,'май 2024'!$D$4:$D$1753,$B119,'май 2024'!$J$4:$J$1753,F$1)</f>
        <v>0</v>
      </c>
      <c r="G119" s="80">
        <f>SUMIFS('май 2024'!$G$4:$G$1753,'май 2024'!$D$4:$D$1753,$B119,'май 2024'!$J$4:$J$1753,G$1)</f>
        <v>0</v>
      </c>
      <c r="H119" s="80">
        <f>SUMIFS('май 2024'!$G$4:$G$1753,'май 2024'!$D$4:$D$1753,$B119,'май 2024'!$J$4:$J$1753,H$1)</f>
        <v>0</v>
      </c>
      <c r="I119" s="80">
        <f>SUMIFS('май 2024'!$G$4:$G$1753,'май 2024'!$D$4:$D$1753,$B119,'май 2024'!$J$4:$J$1753,I$1)</f>
        <v>0</v>
      </c>
      <c r="J119" s="80">
        <f>SUMIFS('май 2024'!$G$4:$G$1753,'май 2024'!$D$4:$D$1753,$B119,'май 2024'!$J$4:$J$1753,J$1)</f>
        <v>0</v>
      </c>
      <c r="K119" s="80">
        <f>SUMIFS('май 2024'!$G$4:$G$1753,'май 2024'!$D$4:$D$1753,$B119,'май 2024'!$J$4:$J$1753,K$1)</f>
        <v>0</v>
      </c>
      <c r="L119" s="80">
        <f>SUMIFS('май 2024'!$G$4:$G$1753,'май 2024'!$D$4:$D$1753,$B119,'май 2024'!$J$4:$J$1753,L$1)</f>
        <v>0</v>
      </c>
      <c r="M119" s="80">
        <f>SUMIFS('май 2024'!$G$4:$G$1753,'май 2024'!$D$4:$D$1753,$B119,'май 2024'!$J$4:$J$1753,M$1)</f>
        <v>0</v>
      </c>
      <c r="N119" s="80">
        <f>SUMIFS('май 2024'!$G$4:$G$1753,'май 2024'!$D$4:$D$1753,$B119,'май 2024'!$J$4:$J$1753,N$1)</f>
        <v>0</v>
      </c>
      <c r="O119" s="80">
        <f>SUMIFS('май 2024'!$G$4:$G$1753,'май 2024'!$D$4:$D$1753,$B119,'май 2024'!$J$4:$J$1753,O$1)</f>
        <v>0</v>
      </c>
      <c r="P119" s="80">
        <f>SUMIFS('май 2024'!$G$4:$G$1753,'май 2024'!$D$4:$D$1753,$B119,'май 2024'!$J$4:$J$1753,P$1)</f>
        <v>0</v>
      </c>
      <c r="Q119" s="80">
        <f>SUMIFS('май 2024'!$G$4:$G$1753,'май 2024'!$D$4:$D$1753,$B119,'май 2024'!$J$4:$J$1753,Q$1)</f>
        <v>0</v>
      </c>
      <c r="R119" s="80">
        <f>SUMIFS('май 2024'!$G$4:$G$1753,'май 2024'!$D$4:$D$1753,$B119,'май 2024'!$J$4:$J$1753,R$1)</f>
        <v>0</v>
      </c>
      <c r="S119" s="80">
        <f>SUMIFS('май 2024'!$G$4:$G$1753,'май 2024'!$D$4:$D$1753,$B119,'май 2024'!$J$4:$J$1753,S$1)</f>
        <v>0</v>
      </c>
      <c r="T119" s="80">
        <f>SUMIFS('май 2024'!$G$4:$G$1753,'май 2024'!$D$4:$D$1753,$B119,'май 2024'!$J$4:$J$1753,T$1)</f>
        <v>0</v>
      </c>
      <c r="U119" s="80">
        <f>SUMIFS('май 2024'!$G$4:$G$1753,'май 2024'!$D$4:$D$1753,$B119,'май 2024'!$J$4:$J$1753,U$1)</f>
        <v>0</v>
      </c>
      <c r="V119" s="80">
        <f>SUMIFS('май 2024'!$G$4:$G$1753,'май 2024'!$D$4:$D$1753,$B119,'май 2024'!$J$4:$J$1753,V$1)</f>
        <v>0</v>
      </c>
      <c r="W119" s="80">
        <f>SUMIFS('май 2024'!$G$4:$G$1753,'май 2024'!$D$4:$D$1753,$B119,'май 2024'!$J$4:$J$1753,W$1)</f>
        <v>0</v>
      </c>
      <c r="X119" s="80">
        <f>SUMIFS('май 2024'!$G$4:$G$1753,'май 2024'!$D$4:$D$1753,$B119,'май 2024'!$J$4:$J$1753,X$1)</f>
        <v>0</v>
      </c>
      <c r="Y119" s="80">
        <f>SUMIFS('май 2024'!$G$4:$G$1753,'май 2024'!$D$4:$D$1753,$B119,'май 2024'!$J$4:$J$1753,Y$1)</f>
        <v>0</v>
      </c>
      <c r="Z119" s="80">
        <f>SUMIFS('май 2024'!$G$4:$G$1753,'май 2024'!$D$4:$D$1753,$B119,'май 2024'!$J$4:$J$1753,Z$1)</f>
        <v>0</v>
      </c>
      <c r="AA119" s="80">
        <f>SUMIFS('май 2024'!$G$4:$G$1753,'май 2024'!$D$4:$D$1753,$B119,'май 2024'!$J$4:$J$1753,AA$1)</f>
        <v>0</v>
      </c>
      <c r="AB119" s="80">
        <f>SUMIFS('май 2024'!$G$4:$G$1753,'май 2024'!$D$4:$D$1753,$B119,'май 2024'!$J$4:$J$1753,AB$1)</f>
        <v>0</v>
      </c>
      <c r="AC119" s="80">
        <f>SUMIFS('май 2024'!$G$4:$G$1753,'май 2024'!$D$4:$D$1753,$B119,'май 2024'!$J$4:$J$1753,AC$1)</f>
        <v>0</v>
      </c>
      <c r="AD119" s="80">
        <f>SUMIFS('май 2024'!$G$4:$G$1753,'май 2024'!$D$4:$D$1753,$B119,'май 2024'!$J$4:$J$1753,AD$1)</f>
        <v>0</v>
      </c>
      <c r="AE119" s="80">
        <f>SUMIFS('май 2024'!$G$4:$G$1753,'май 2024'!$D$4:$D$1753,$B119,'май 2024'!$J$4:$J$1753,AE$1)</f>
        <v>0</v>
      </c>
      <c r="AF119" s="80">
        <f>SUMIFS('май 2024'!$G$4:$G$1753,'май 2024'!$D$4:$D$1753,$B119,'май 2024'!$J$4:$J$1753,AF$1)</f>
        <v>0</v>
      </c>
      <c r="AG119" s="80">
        <f>SUMIFS('май 2024'!$G$4:$G$1753,'май 2024'!$D$4:$D$1753,$B119,'май 2024'!$J$4:$J$1753,AG$1)</f>
        <v>0</v>
      </c>
      <c r="AH119" s="80">
        <f>SUMIFS('май 2024'!$G$4:$G$1753,'май 2024'!$D$4:$D$1753,$B119,'май 2024'!$J$4:$J$1753,AH$1)</f>
        <v>0</v>
      </c>
      <c r="AI119" s="21">
        <f t="shared" si="1"/>
        <v>0</v>
      </c>
    </row>
    <row r="120" spans="2:35" ht="15" customHeight="1" x14ac:dyDescent="0.25">
      <c r="B120" s="89" t="s">
        <v>332</v>
      </c>
      <c r="C120" s="91">
        <v>180</v>
      </c>
      <c r="D120" s="80">
        <f>SUMIFS('май 2024'!$G$4:$G$1753,'май 2024'!$D$4:$D$1753,$B120,'май 2024'!$J$4:$J$1753,D$1)</f>
        <v>0</v>
      </c>
      <c r="E120" s="80">
        <f>SUMIFS('май 2024'!$G$4:$G$1753,'май 2024'!$D$4:$D$1753,$B120,'май 2024'!$J$4:$J$1753,E$1)</f>
        <v>0</v>
      </c>
      <c r="F120" s="80">
        <f>SUMIFS('май 2024'!$G$4:$G$1753,'май 2024'!$D$4:$D$1753,$B120,'май 2024'!$J$4:$J$1753,F$1)</f>
        <v>0</v>
      </c>
      <c r="G120" s="80">
        <f>SUMIFS('май 2024'!$G$4:$G$1753,'май 2024'!$D$4:$D$1753,$B120,'май 2024'!$J$4:$J$1753,G$1)</f>
        <v>0</v>
      </c>
      <c r="H120" s="80">
        <f>SUMIFS('май 2024'!$G$4:$G$1753,'май 2024'!$D$4:$D$1753,$B120,'май 2024'!$J$4:$J$1753,H$1)</f>
        <v>0</v>
      </c>
      <c r="I120" s="80">
        <f>SUMIFS('май 2024'!$G$4:$G$1753,'май 2024'!$D$4:$D$1753,$B120,'май 2024'!$J$4:$J$1753,I$1)</f>
        <v>0</v>
      </c>
      <c r="J120" s="80">
        <f>SUMIFS('май 2024'!$G$4:$G$1753,'май 2024'!$D$4:$D$1753,$B120,'май 2024'!$J$4:$J$1753,J$1)</f>
        <v>0</v>
      </c>
      <c r="K120" s="80">
        <f>SUMIFS('май 2024'!$G$4:$G$1753,'май 2024'!$D$4:$D$1753,$B120,'май 2024'!$J$4:$J$1753,K$1)</f>
        <v>0</v>
      </c>
      <c r="L120" s="80">
        <f>SUMIFS('май 2024'!$G$4:$G$1753,'май 2024'!$D$4:$D$1753,$B120,'май 2024'!$J$4:$J$1753,L$1)</f>
        <v>0</v>
      </c>
      <c r="M120" s="80">
        <f>SUMIFS('май 2024'!$G$4:$G$1753,'май 2024'!$D$4:$D$1753,$B120,'май 2024'!$J$4:$J$1753,M$1)</f>
        <v>0</v>
      </c>
      <c r="N120" s="80">
        <f>SUMIFS('май 2024'!$G$4:$G$1753,'май 2024'!$D$4:$D$1753,$B120,'май 2024'!$J$4:$J$1753,N$1)</f>
        <v>0</v>
      </c>
      <c r="O120" s="80">
        <f>SUMIFS('май 2024'!$G$4:$G$1753,'май 2024'!$D$4:$D$1753,$B120,'май 2024'!$J$4:$J$1753,O$1)</f>
        <v>0</v>
      </c>
      <c r="P120" s="80">
        <f>SUMIFS('май 2024'!$G$4:$G$1753,'май 2024'!$D$4:$D$1753,$B120,'май 2024'!$J$4:$J$1753,P$1)</f>
        <v>0</v>
      </c>
      <c r="Q120" s="80">
        <f>SUMIFS('май 2024'!$G$4:$G$1753,'май 2024'!$D$4:$D$1753,$B120,'май 2024'!$J$4:$J$1753,Q$1)</f>
        <v>0</v>
      </c>
      <c r="R120" s="80">
        <f>SUMIFS('май 2024'!$G$4:$G$1753,'май 2024'!$D$4:$D$1753,$B120,'май 2024'!$J$4:$J$1753,R$1)</f>
        <v>0</v>
      </c>
      <c r="S120" s="80">
        <f>SUMIFS('май 2024'!$G$4:$G$1753,'май 2024'!$D$4:$D$1753,$B120,'май 2024'!$J$4:$J$1753,S$1)</f>
        <v>0</v>
      </c>
      <c r="T120" s="80">
        <f>SUMIFS('май 2024'!$G$4:$G$1753,'май 2024'!$D$4:$D$1753,$B120,'май 2024'!$J$4:$J$1753,T$1)</f>
        <v>0</v>
      </c>
      <c r="U120" s="80">
        <f>SUMIFS('май 2024'!$G$4:$G$1753,'май 2024'!$D$4:$D$1753,$B120,'май 2024'!$J$4:$J$1753,U$1)</f>
        <v>0</v>
      </c>
      <c r="V120" s="80">
        <f>SUMIFS('май 2024'!$G$4:$G$1753,'май 2024'!$D$4:$D$1753,$B120,'май 2024'!$J$4:$J$1753,V$1)</f>
        <v>0</v>
      </c>
      <c r="W120" s="80">
        <f>SUMIFS('май 2024'!$G$4:$G$1753,'май 2024'!$D$4:$D$1753,$B120,'май 2024'!$J$4:$J$1753,W$1)</f>
        <v>0</v>
      </c>
      <c r="X120" s="80">
        <f>SUMIFS('май 2024'!$G$4:$G$1753,'май 2024'!$D$4:$D$1753,$B120,'май 2024'!$J$4:$J$1753,X$1)</f>
        <v>0</v>
      </c>
      <c r="Y120" s="80">
        <f>SUMIFS('май 2024'!$G$4:$G$1753,'май 2024'!$D$4:$D$1753,$B120,'май 2024'!$J$4:$J$1753,Y$1)</f>
        <v>0</v>
      </c>
      <c r="Z120" s="80">
        <f>SUMIFS('май 2024'!$G$4:$G$1753,'май 2024'!$D$4:$D$1753,$B120,'май 2024'!$J$4:$J$1753,Z$1)</f>
        <v>0</v>
      </c>
      <c r="AA120" s="80">
        <f>SUMIFS('май 2024'!$G$4:$G$1753,'май 2024'!$D$4:$D$1753,$B120,'май 2024'!$J$4:$J$1753,AA$1)</f>
        <v>0</v>
      </c>
      <c r="AB120" s="80">
        <f>SUMIFS('май 2024'!$G$4:$G$1753,'май 2024'!$D$4:$D$1753,$B120,'май 2024'!$J$4:$J$1753,AB$1)</f>
        <v>0</v>
      </c>
      <c r="AC120" s="80">
        <f>SUMIFS('май 2024'!$G$4:$G$1753,'май 2024'!$D$4:$D$1753,$B120,'май 2024'!$J$4:$J$1753,AC$1)</f>
        <v>0</v>
      </c>
      <c r="AD120" s="80">
        <f>SUMIFS('май 2024'!$G$4:$G$1753,'май 2024'!$D$4:$D$1753,$B120,'май 2024'!$J$4:$J$1753,AD$1)</f>
        <v>0</v>
      </c>
      <c r="AE120" s="80">
        <f>SUMIFS('май 2024'!$G$4:$G$1753,'май 2024'!$D$4:$D$1753,$B120,'май 2024'!$J$4:$J$1753,AE$1)</f>
        <v>0</v>
      </c>
      <c r="AF120" s="80">
        <f>SUMIFS('май 2024'!$G$4:$G$1753,'май 2024'!$D$4:$D$1753,$B120,'май 2024'!$J$4:$J$1753,AF$1)</f>
        <v>0</v>
      </c>
      <c r="AG120" s="80">
        <f>SUMIFS('май 2024'!$G$4:$G$1753,'май 2024'!$D$4:$D$1753,$B120,'май 2024'!$J$4:$J$1753,AG$1)</f>
        <v>0</v>
      </c>
      <c r="AH120" s="80">
        <f>SUMIFS('май 2024'!$G$4:$G$1753,'май 2024'!$D$4:$D$1753,$B120,'май 2024'!$J$4:$J$1753,AH$1)</f>
        <v>0</v>
      </c>
      <c r="AI120" s="21">
        <f t="shared" si="1"/>
        <v>0</v>
      </c>
    </row>
    <row r="121" spans="2:35" ht="15" customHeight="1" x14ac:dyDescent="0.25">
      <c r="B121" s="89" t="s">
        <v>342</v>
      </c>
      <c r="C121" s="91">
        <v>180</v>
      </c>
      <c r="D121" s="80">
        <f>SUMIFS('май 2024'!$G$4:$G$1753,'май 2024'!$D$4:$D$1753,$B121,'май 2024'!$J$4:$J$1753,D$1)</f>
        <v>0</v>
      </c>
      <c r="E121" s="80">
        <f>SUMIFS('май 2024'!$G$4:$G$1753,'май 2024'!$D$4:$D$1753,$B121,'май 2024'!$J$4:$J$1753,E$1)</f>
        <v>0</v>
      </c>
      <c r="F121" s="80">
        <f>SUMIFS('май 2024'!$G$4:$G$1753,'май 2024'!$D$4:$D$1753,$B121,'май 2024'!$J$4:$J$1753,F$1)</f>
        <v>0</v>
      </c>
      <c r="G121" s="80">
        <f>SUMIFS('май 2024'!$G$4:$G$1753,'май 2024'!$D$4:$D$1753,$B121,'май 2024'!$J$4:$J$1753,G$1)</f>
        <v>0</v>
      </c>
      <c r="H121" s="80">
        <f>SUMIFS('май 2024'!$G$4:$G$1753,'май 2024'!$D$4:$D$1753,$B121,'май 2024'!$J$4:$J$1753,H$1)</f>
        <v>0</v>
      </c>
      <c r="I121" s="80">
        <f>SUMIFS('май 2024'!$G$4:$G$1753,'май 2024'!$D$4:$D$1753,$B121,'май 2024'!$J$4:$J$1753,I$1)</f>
        <v>0</v>
      </c>
      <c r="J121" s="80">
        <f>SUMIFS('май 2024'!$G$4:$G$1753,'май 2024'!$D$4:$D$1753,$B121,'май 2024'!$J$4:$J$1753,J$1)</f>
        <v>0</v>
      </c>
      <c r="K121" s="80">
        <f>SUMIFS('май 2024'!$G$4:$G$1753,'май 2024'!$D$4:$D$1753,$B121,'май 2024'!$J$4:$J$1753,K$1)</f>
        <v>0</v>
      </c>
      <c r="L121" s="80">
        <f>SUMIFS('май 2024'!$G$4:$G$1753,'май 2024'!$D$4:$D$1753,$B121,'май 2024'!$J$4:$J$1753,L$1)</f>
        <v>0</v>
      </c>
      <c r="M121" s="80">
        <f>SUMIFS('май 2024'!$G$4:$G$1753,'май 2024'!$D$4:$D$1753,$B121,'май 2024'!$J$4:$J$1753,M$1)</f>
        <v>0</v>
      </c>
      <c r="N121" s="80">
        <f>SUMIFS('май 2024'!$G$4:$G$1753,'май 2024'!$D$4:$D$1753,$B121,'май 2024'!$J$4:$J$1753,N$1)</f>
        <v>0</v>
      </c>
      <c r="O121" s="80">
        <f>SUMIFS('май 2024'!$G$4:$G$1753,'май 2024'!$D$4:$D$1753,$B121,'май 2024'!$J$4:$J$1753,O$1)</f>
        <v>0</v>
      </c>
      <c r="P121" s="80">
        <f>SUMIFS('май 2024'!$G$4:$G$1753,'май 2024'!$D$4:$D$1753,$B121,'май 2024'!$J$4:$J$1753,P$1)</f>
        <v>0</v>
      </c>
      <c r="Q121" s="80">
        <f>SUMIFS('май 2024'!$G$4:$G$1753,'май 2024'!$D$4:$D$1753,$B121,'май 2024'!$J$4:$J$1753,Q$1)</f>
        <v>0</v>
      </c>
      <c r="R121" s="80">
        <f>SUMIFS('май 2024'!$G$4:$G$1753,'май 2024'!$D$4:$D$1753,$B121,'май 2024'!$J$4:$J$1753,R$1)</f>
        <v>0</v>
      </c>
      <c r="S121" s="80">
        <f>SUMIFS('май 2024'!$G$4:$G$1753,'май 2024'!$D$4:$D$1753,$B121,'май 2024'!$J$4:$J$1753,S$1)</f>
        <v>0</v>
      </c>
      <c r="T121" s="80">
        <f>SUMIFS('май 2024'!$G$4:$G$1753,'май 2024'!$D$4:$D$1753,$B121,'май 2024'!$J$4:$J$1753,T$1)</f>
        <v>0</v>
      </c>
      <c r="U121" s="80">
        <f>SUMIFS('май 2024'!$G$4:$G$1753,'май 2024'!$D$4:$D$1753,$B121,'май 2024'!$J$4:$J$1753,U$1)</f>
        <v>0</v>
      </c>
      <c r="V121" s="80">
        <f>SUMIFS('май 2024'!$G$4:$G$1753,'май 2024'!$D$4:$D$1753,$B121,'май 2024'!$J$4:$J$1753,V$1)</f>
        <v>0</v>
      </c>
      <c r="W121" s="80">
        <f>SUMIFS('май 2024'!$G$4:$G$1753,'май 2024'!$D$4:$D$1753,$B121,'май 2024'!$J$4:$J$1753,W$1)</f>
        <v>0</v>
      </c>
      <c r="X121" s="80">
        <f>SUMIFS('май 2024'!$G$4:$G$1753,'май 2024'!$D$4:$D$1753,$B121,'май 2024'!$J$4:$J$1753,X$1)</f>
        <v>0</v>
      </c>
      <c r="Y121" s="80">
        <f>SUMIFS('май 2024'!$G$4:$G$1753,'май 2024'!$D$4:$D$1753,$B121,'май 2024'!$J$4:$J$1753,Y$1)</f>
        <v>0</v>
      </c>
      <c r="Z121" s="80">
        <f>SUMIFS('май 2024'!$G$4:$G$1753,'май 2024'!$D$4:$D$1753,$B121,'май 2024'!$J$4:$J$1753,Z$1)</f>
        <v>0</v>
      </c>
      <c r="AA121" s="80">
        <f>SUMIFS('май 2024'!$G$4:$G$1753,'май 2024'!$D$4:$D$1753,$B121,'май 2024'!$J$4:$J$1753,AA$1)</f>
        <v>0</v>
      </c>
      <c r="AB121" s="80">
        <f>SUMIFS('май 2024'!$G$4:$G$1753,'май 2024'!$D$4:$D$1753,$B121,'май 2024'!$J$4:$J$1753,AB$1)</f>
        <v>0</v>
      </c>
      <c r="AC121" s="80">
        <f>SUMIFS('май 2024'!$G$4:$G$1753,'май 2024'!$D$4:$D$1753,$B121,'май 2024'!$J$4:$J$1753,AC$1)</f>
        <v>0</v>
      </c>
      <c r="AD121" s="80">
        <f>SUMIFS('май 2024'!$G$4:$G$1753,'май 2024'!$D$4:$D$1753,$B121,'май 2024'!$J$4:$J$1753,AD$1)</f>
        <v>0</v>
      </c>
      <c r="AE121" s="80">
        <f>SUMIFS('май 2024'!$G$4:$G$1753,'май 2024'!$D$4:$D$1753,$B121,'май 2024'!$J$4:$J$1753,AE$1)</f>
        <v>0</v>
      </c>
      <c r="AF121" s="80">
        <f>SUMIFS('май 2024'!$G$4:$G$1753,'май 2024'!$D$4:$D$1753,$B121,'май 2024'!$J$4:$J$1753,AF$1)</f>
        <v>0</v>
      </c>
      <c r="AG121" s="80">
        <f>SUMIFS('май 2024'!$G$4:$G$1753,'май 2024'!$D$4:$D$1753,$B121,'май 2024'!$J$4:$J$1753,AG$1)</f>
        <v>0</v>
      </c>
      <c r="AH121" s="80">
        <f>SUMIFS('май 2024'!$G$4:$G$1753,'май 2024'!$D$4:$D$1753,$B121,'май 2024'!$J$4:$J$1753,AH$1)</f>
        <v>0</v>
      </c>
      <c r="AI121" s="21">
        <f t="shared" si="1"/>
        <v>0</v>
      </c>
    </row>
    <row r="122" spans="2:35" ht="15" customHeight="1" x14ac:dyDescent="0.25">
      <c r="B122" s="89" t="s">
        <v>760</v>
      </c>
      <c r="C122" s="91">
        <v>190</v>
      </c>
      <c r="D122" s="80">
        <f>SUMIFS('май 2024'!$G$4:$G$1753,'май 2024'!$D$4:$D$1753,$B122,'май 2024'!$J$4:$J$1753,D$1)</f>
        <v>0</v>
      </c>
      <c r="E122" s="80">
        <f>SUMIFS('май 2024'!$G$4:$G$1753,'май 2024'!$D$4:$D$1753,$B122,'май 2024'!$J$4:$J$1753,E$1)</f>
        <v>0</v>
      </c>
      <c r="F122" s="80">
        <f>SUMIFS('май 2024'!$G$4:$G$1753,'май 2024'!$D$4:$D$1753,$B122,'май 2024'!$J$4:$J$1753,F$1)</f>
        <v>0</v>
      </c>
      <c r="G122" s="80">
        <f>SUMIFS('май 2024'!$G$4:$G$1753,'май 2024'!$D$4:$D$1753,$B122,'май 2024'!$J$4:$J$1753,G$1)</f>
        <v>0</v>
      </c>
      <c r="H122" s="80">
        <f>SUMIFS('май 2024'!$G$4:$G$1753,'май 2024'!$D$4:$D$1753,$B122,'май 2024'!$J$4:$J$1753,H$1)</f>
        <v>0</v>
      </c>
      <c r="I122" s="80">
        <f>SUMIFS('май 2024'!$G$4:$G$1753,'май 2024'!$D$4:$D$1753,$B122,'май 2024'!$J$4:$J$1753,I$1)</f>
        <v>0</v>
      </c>
      <c r="J122" s="80">
        <f>SUMIFS('май 2024'!$G$4:$G$1753,'май 2024'!$D$4:$D$1753,$B122,'май 2024'!$J$4:$J$1753,J$1)</f>
        <v>0</v>
      </c>
      <c r="K122" s="80">
        <f>SUMIFS('май 2024'!$G$4:$G$1753,'май 2024'!$D$4:$D$1753,$B122,'май 2024'!$J$4:$J$1753,K$1)</f>
        <v>0</v>
      </c>
      <c r="L122" s="80">
        <f>SUMIFS('май 2024'!$G$4:$G$1753,'май 2024'!$D$4:$D$1753,$B122,'май 2024'!$J$4:$J$1753,L$1)</f>
        <v>0</v>
      </c>
      <c r="M122" s="80">
        <f>SUMIFS('май 2024'!$G$4:$G$1753,'май 2024'!$D$4:$D$1753,$B122,'май 2024'!$J$4:$J$1753,M$1)</f>
        <v>0</v>
      </c>
      <c r="N122" s="80">
        <f>SUMIFS('май 2024'!$G$4:$G$1753,'май 2024'!$D$4:$D$1753,$B122,'май 2024'!$J$4:$J$1753,N$1)</f>
        <v>0</v>
      </c>
      <c r="O122" s="80">
        <f>SUMIFS('май 2024'!$G$4:$G$1753,'май 2024'!$D$4:$D$1753,$B122,'май 2024'!$J$4:$J$1753,O$1)</f>
        <v>0</v>
      </c>
      <c r="P122" s="80">
        <f>SUMIFS('май 2024'!$G$4:$G$1753,'май 2024'!$D$4:$D$1753,$B122,'май 2024'!$J$4:$J$1753,P$1)</f>
        <v>0</v>
      </c>
      <c r="Q122" s="80">
        <f>SUMIFS('май 2024'!$G$4:$G$1753,'май 2024'!$D$4:$D$1753,$B122,'май 2024'!$J$4:$J$1753,Q$1)</f>
        <v>0</v>
      </c>
      <c r="R122" s="80">
        <f>SUMIFS('май 2024'!$G$4:$G$1753,'май 2024'!$D$4:$D$1753,$B122,'май 2024'!$J$4:$J$1753,R$1)</f>
        <v>0</v>
      </c>
      <c r="S122" s="80">
        <f>SUMIFS('май 2024'!$G$4:$G$1753,'май 2024'!$D$4:$D$1753,$B122,'май 2024'!$J$4:$J$1753,S$1)</f>
        <v>0</v>
      </c>
      <c r="T122" s="80">
        <f>SUMIFS('май 2024'!$G$4:$G$1753,'май 2024'!$D$4:$D$1753,$B122,'май 2024'!$J$4:$J$1753,T$1)</f>
        <v>0</v>
      </c>
      <c r="U122" s="80">
        <f>SUMIFS('май 2024'!$G$4:$G$1753,'май 2024'!$D$4:$D$1753,$B122,'май 2024'!$J$4:$J$1753,U$1)</f>
        <v>0</v>
      </c>
      <c r="V122" s="80">
        <f>SUMIFS('май 2024'!$G$4:$G$1753,'май 2024'!$D$4:$D$1753,$B122,'май 2024'!$J$4:$J$1753,V$1)</f>
        <v>0</v>
      </c>
      <c r="W122" s="80">
        <f>SUMIFS('май 2024'!$G$4:$G$1753,'май 2024'!$D$4:$D$1753,$B122,'май 2024'!$J$4:$J$1753,W$1)</f>
        <v>0</v>
      </c>
      <c r="X122" s="80">
        <f>SUMIFS('май 2024'!$G$4:$G$1753,'май 2024'!$D$4:$D$1753,$B122,'май 2024'!$J$4:$J$1753,X$1)</f>
        <v>0</v>
      </c>
      <c r="Y122" s="80">
        <f>SUMIFS('май 2024'!$G$4:$G$1753,'май 2024'!$D$4:$D$1753,$B122,'май 2024'!$J$4:$J$1753,Y$1)</f>
        <v>0</v>
      </c>
      <c r="Z122" s="80">
        <f>SUMIFS('май 2024'!$G$4:$G$1753,'май 2024'!$D$4:$D$1753,$B122,'май 2024'!$J$4:$J$1753,Z$1)</f>
        <v>0</v>
      </c>
      <c r="AA122" s="80">
        <f>SUMIFS('май 2024'!$G$4:$G$1753,'май 2024'!$D$4:$D$1753,$B122,'май 2024'!$J$4:$J$1753,AA$1)</f>
        <v>0</v>
      </c>
      <c r="AB122" s="80">
        <f>SUMIFS('май 2024'!$G$4:$G$1753,'май 2024'!$D$4:$D$1753,$B122,'май 2024'!$J$4:$J$1753,AB$1)</f>
        <v>0</v>
      </c>
      <c r="AC122" s="80">
        <f>SUMIFS('май 2024'!$G$4:$G$1753,'май 2024'!$D$4:$D$1753,$B122,'май 2024'!$J$4:$J$1753,AC$1)</f>
        <v>0</v>
      </c>
      <c r="AD122" s="80">
        <f>SUMIFS('май 2024'!$G$4:$G$1753,'май 2024'!$D$4:$D$1753,$B122,'май 2024'!$J$4:$J$1753,AD$1)</f>
        <v>0</v>
      </c>
      <c r="AE122" s="80">
        <f>SUMIFS('май 2024'!$G$4:$G$1753,'май 2024'!$D$4:$D$1753,$B122,'май 2024'!$J$4:$J$1753,AE$1)</f>
        <v>0</v>
      </c>
      <c r="AF122" s="80">
        <f>SUMIFS('май 2024'!$G$4:$G$1753,'май 2024'!$D$4:$D$1753,$B122,'май 2024'!$J$4:$J$1753,AF$1)</f>
        <v>0</v>
      </c>
      <c r="AG122" s="80">
        <f>SUMIFS('май 2024'!$G$4:$G$1753,'май 2024'!$D$4:$D$1753,$B122,'май 2024'!$J$4:$J$1753,AG$1)</f>
        <v>0</v>
      </c>
      <c r="AH122" s="80">
        <f>SUMIFS('май 2024'!$G$4:$G$1753,'май 2024'!$D$4:$D$1753,$B122,'май 2024'!$J$4:$J$1753,AH$1)</f>
        <v>0</v>
      </c>
      <c r="AI122" s="21">
        <f t="shared" si="1"/>
        <v>0</v>
      </c>
    </row>
    <row r="123" spans="2:35" ht="15" customHeight="1" x14ac:dyDescent="0.25">
      <c r="B123" s="89" t="s">
        <v>333</v>
      </c>
      <c r="C123" s="91">
        <v>200</v>
      </c>
      <c r="D123" s="80">
        <f>SUMIFS('май 2024'!$G$4:$G$1753,'май 2024'!$D$4:$D$1753,$B123,'май 2024'!$J$4:$J$1753,D$1)</f>
        <v>0</v>
      </c>
      <c r="E123" s="80">
        <f>SUMIFS('май 2024'!$G$4:$G$1753,'май 2024'!$D$4:$D$1753,$B123,'май 2024'!$J$4:$J$1753,E$1)</f>
        <v>0</v>
      </c>
      <c r="F123" s="80">
        <f>SUMIFS('май 2024'!$G$4:$G$1753,'май 2024'!$D$4:$D$1753,$B123,'май 2024'!$J$4:$J$1753,F$1)</f>
        <v>0</v>
      </c>
      <c r="G123" s="80">
        <f>SUMIFS('май 2024'!$G$4:$G$1753,'май 2024'!$D$4:$D$1753,$B123,'май 2024'!$J$4:$J$1753,G$1)</f>
        <v>0</v>
      </c>
      <c r="H123" s="80">
        <f>SUMIFS('май 2024'!$G$4:$G$1753,'май 2024'!$D$4:$D$1753,$B123,'май 2024'!$J$4:$J$1753,H$1)</f>
        <v>0</v>
      </c>
      <c r="I123" s="80">
        <f>SUMIFS('май 2024'!$G$4:$G$1753,'май 2024'!$D$4:$D$1753,$B123,'май 2024'!$J$4:$J$1753,I$1)</f>
        <v>0</v>
      </c>
      <c r="J123" s="80">
        <f>SUMIFS('май 2024'!$G$4:$G$1753,'май 2024'!$D$4:$D$1753,$B123,'май 2024'!$J$4:$J$1753,J$1)</f>
        <v>0</v>
      </c>
      <c r="K123" s="80">
        <f>SUMIFS('май 2024'!$G$4:$G$1753,'май 2024'!$D$4:$D$1753,$B123,'май 2024'!$J$4:$J$1753,K$1)</f>
        <v>0</v>
      </c>
      <c r="L123" s="80">
        <f>SUMIFS('май 2024'!$G$4:$G$1753,'май 2024'!$D$4:$D$1753,$B123,'май 2024'!$J$4:$J$1753,L$1)</f>
        <v>0</v>
      </c>
      <c r="M123" s="80">
        <f>SUMIFS('май 2024'!$G$4:$G$1753,'май 2024'!$D$4:$D$1753,$B123,'май 2024'!$J$4:$J$1753,M$1)</f>
        <v>0</v>
      </c>
      <c r="N123" s="80">
        <f>SUMIFS('май 2024'!$G$4:$G$1753,'май 2024'!$D$4:$D$1753,$B123,'май 2024'!$J$4:$J$1753,N$1)</f>
        <v>0</v>
      </c>
      <c r="O123" s="80">
        <f>SUMIFS('май 2024'!$G$4:$G$1753,'май 2024'!$D$4:$D$1753,$B123,'май 2024'!$J$4:$J$1753,O$1)</f>
        <v>0</v>
      </c>
      <c r="P123" s="80">
        <f>SUMIFS('май 2024'!$G$4:$G$1753,'май 2024'!$D$4:$D$1753,$B123,'май 2024'!$J$4:$J$1753,P$1)</f>
        <v>0</v>
      </c>
      <c r="Q123" s="80">
        <f>SUMIFS('май 2024'!$G$4:$G$1753,'май 2024'!$D$4:$D$1753,$B123,'май 2024'!$J$4:$J$1753,Q$1)</f>
        <v>0</v>
      </c>
      <c r="R123" s="80">
        <f>SUMIFS('май 2024'!$G$4:$G$1753,'май 2024'!$D$4:$D$1753,$B123,'май 2024'!$J$4:$J$1753,R$1)</f>
        <v>0</v>
      </c>
      <c r="S123" s="80">
        <f>SUMIFS('май 2024'!$G$4:$G$1753,'май 2024'!$D$4:$D$1753,$B123,'май 2024'!$J$4:$J$1753,S$1)</f>
        <v>0</v>
      </c>
      <c r="T123" s="80">
        <f>SUMIFS('май 2024'!$G$4:$G$1753,'май 2024'!$D$4:$D$1753,$B123,'май 2024'!$J$4:$J$1753,T$1)</f>
        <v>0</v>
      </c>
      <c r="U123" s="80">
        <f>SUMIFS('май 2024'!$G$4:$G$1753,'май 2024'!$D$4:$D$1753,$B123,'май 2024'!$J$4:$J$1753,U$1)</f>
        <v>0</v>
      </c>
      <c r="V123" s="80">
        <f>SUMIFS('май 2024'!$G$4:$G$1753,'май 2024'!$D$4:$D$1753,$B123,'май 2024'!$J$4:$J$1753,V$1)</f>
        <v>0</v>
      </c>
      <c r="W123" s="80">
        <f>SUMIFS('май 2024'!$G$4:$G$1753,'май 2024'!$D$4:$D$1753,$B123,'май 2024'!$J$4:$J$1753,W$1)</f>
        <v>0</v>
      </c>
      <c r="X123" s="80">
        <f>SUMIFS('май 2024'!$G$4:$G$1753,'май 2024'!$D$4:$D$1753,$B123,'май 2024'!$J$4:$J$1753,X$1)</f>
        <v>0</v>
      </c>
      <c r="Y123" s="80">
        <f>SUMIFS('май 2024'!$G$4:$G$1753,'май 2024'!$D$4:$D$1753,$B123,'май 2024'!$J$4:$J$1753,Y$1)</f>
        <v>0</v>
      </c>
      <c r="Z123" s="80">
        <f>SUMIFS('май 2024'!$G$4:$G$1753,'май 2024'!$D$4:$D$1753,$B123,'май 2024'!$J$4:$J$1753,Z$1)</f>
        <v>0</v>
      </c>
      <c r="AA123" s="80">
        <f>SUMIFS('май 2024'!$G$4:$G$1753,'май 2024'!$D$4:$D$1753,$B123,'май 2024'!$J$4:$J$1753,AA$1)</f>
        <v>0</v>
      </c>
      <c r="AB123" s="80">
        <f>SUMIFS('май 2024'!$G$4:$G$1753,'май 2024'!$D$4:$D$1753,$B123,'май 2024'!$J$4:$J$1753,AB$1)</f>
        <v>0</v>
      </c>
      <c r="AC123" s="80">
        <f>SUMIFS('май 2024'!$G$4:$G$1753,'май 2024'!$D$4:$D$1753,$B123,'май 2024'!$J$4:$J$1753,AC$1)</f>
        <v>0</v>
      </c>
      <c r="AD123" s="80">
        <f>SUMIFS('май 2024'!$G$4:$G$1753,'май 2024'!$D$4:$D$1753,$B123,'май 2024'!$J$4:$J$1753,AD$1)</f>
        <v>0</v>
      </c>
      <c r="AE123" s="80">
        <f>SUMIFS('май 2024'!$G$4:$G$1753,'май 2024'!$D$4:$D$1753,$B123,'май 2024'!$J$4:$J$1753,AE$1)</f>
        <v>0</v>
      </c>
      <c r="AF123" s="80">
        <f>SUMIFS('май 2024'!$G$4:$G$1753,'май 2024'!$D$4:$D$1753,$B123,'май 2024'!$J$4:$J$1753,AF$1)</f>
        <v>0</v>
      </c>
      <c r="AG123" s="80">
        <f>SUMIFS('май 2024'!$G$4:$G$1753,'май 2024'!$D$4:$D$1753,$B123,'май 2024'!$J$4:$J$1753,AG$1)</f>
        <v>0</v>
      </c>
      <c r="AH123" s="80">
        <f>SUMIFS('май 2024'!$G$4:$G$1753,'май 2024'!$D$4:$D$1753,$B123,'май 2024'!$J$4:$J$1753,AH$1)</f>
        <v>0</v>
      </c>
      <c r="AI123" s="21">
        <f t="shared" si="1"/>
        <v>0</v>
      </c>
    </row>
    <row r="124" spans="2:35" ht="15" customHeight="1" x14ac:dyDescent="0.25">
      <c r="B124" s="89" t="s">
        <v>343</v>
      </c>
      <c r="C124" s="91">
        <v>200</v>
      </c>
      <c r="D124" s="80">
        <f>SUMIFS('май 2024'!$G$4:$G$1753,'май 2024'!$D$4:$D$1753,$B124,'май 2024'!$J$4:$J$1753,D$1)</f>
        <v>0</v>
      </c>
      <c r="E124" s="80">
        <f>SUMIFS('май 2024'!$G$4:$G$1753,'май 2024'!$D$4:$D$1753,$B124,'май 2024'!$J$4:$J$1753,E$1)</f>
        <v>0</v>
      </c>
      <c r="F124" s="80">
        <f>SUMIFS('май 2024'!$G$4:$G$1753,'май 2024'!$D$4:$D$1753,$B124,'май 2024'!$J$4:$J$1753,F$1)</f>
        <v>0</v>
      </c>
      <c r="G124" s="80">
        <f>SUMIFS('май 2024'!$G$4:$G$1753,'май 2024'!$D$4:$D$1753,$B124,'май 2024'!$J$4:$J$1753,G$1)</f>
        <v>0</v>
      </c>
      <c r="H124" s="80">
        <f>SUMIFS('май 2024'!$G$4:$G$1753,'май 2024'!$D$4:$D$1753,$B124,'май 2024'!$J$4:$J$1753,H$1)</f>
        <v>0</v>
      </c>
      <c r="I124" s="80">
        <f>SUMIFS('май 2024'!$G$4:$G$1753,'май 2024'!$D$4:$D$1753,$B124,'май 2024'!$J$4:$J$1753,I$1)</f>
        <v>0</v>
      </c>
      <c r="J124" s="80">
        <f>SUMIFS('май 2024'!$G$4:$G$1753,'май 2024'!$D$4:$D$1753,$B124,'май 2024'!$J$4:$J$1753,J$1)</f>
        <v>0</v>
      </c>
      <c r="K124" s="80">
        <f>SUMIFS('май 2024'!$G$4:$G$1753,'май 2024'!$D$4:$D$1753,$B124,'май 2024'!$J$4:$J$1753,K$1)</f>
        <v>0</v>
      </c>
      <c r="L124" s="80">
        <f>SUMIFS('май 2024'!$G$4:$G$1753,'май 2024'!$D$4:$D$1753,$B124,'май 2024'!$J$4:$J$1753,L$1)</f>
        <v>0</v>
      </c>
      <c r="M124" s="80">
        <f>SUMIFS('май 2024'!$G$4:$G$1753,'май 2024'!$D$4:$D$1753,$B124,'май 2024'!$J$4:$J$1753,M$1)</f>
        <v>0</v>
      </c>
      <c r="N124" s="80">
        <f>SUMIFS('май 2024'!$G$4:$G$1753,'май 2024'!$D$4:$D$1753,$B124,'май 2024'!$J$4:$J$1753,N$1)</f>
        <v>0</v>
      </c>
      <c r="O124" s="80">
        <f>SUMIFS('май 2024'!$G$4:$G$1753,'май 2024'!$D$4:$D$1753,$B124,'май 2024'!$J$4:$J$1753,O$1)</f>
        <v>0</v>
      </c>
      <c r="P124" s="80">
        <f>SUMIFS('май 2024'!$G$4:$G$1753,'май 2024'!$D$4:$D$1753,$B124,'май 2024'!$J$4:$J$1753,P$1)</f>
        <v>0</v>
      </c>
      <c r="Q124" s="80">
        <f>SUMIFS('май 2024'!$G$4:$G$1753,'май 2024'!$D$4:$D$1753,$B124,'май 2024'!$J$4:$J$1753,Q$1)</f>
        <v>0</v>
      </c>
      <c r="R124" s="80">
        <f>SUMIFS('май 2024'!$G$4:$G$1753,'май 2024'!$D$4:$D$1753,$B124,'май 2024'!$J$4:$J$1753,R$1)</f>
        <v>0</v>
      </c>
      <c r="S124" s="80">
        <f>SUMIFS('май 2024'!$G$4:$G$1753,'май 2024'!$D$4:$D$1753,$B124,'май 2024'!$J$4:$J$1753,S$1)</f>
        <v>0</v>
      </c>
      <c r="T124" s="80">
        <f>SUMIFS('май 2024'!$G$4:$G$1753,'май 2024'!$D$4:$D$1753,$B124,'май 2024'!$J$4:$J$1753,T$1)</f>
        <v>0</v>
      </c>
      <c r="U124" s="80">
        <f>SUMIFS('май 2024'!$G$4:$G$1753,'май 2024'!$D$4:$D$1753,$B124,'май 2024'!$J$4:$J$1753,U$1)</f>
        <v>0</v>
      </c>
      <c r="V124" s="80">
        <f>SUMIFS('май 2024'!$G$4:$G$1753,'май 2024'!$D$4:$D$1753,$B124,'май 2024'!$J$4:$J$1753,V$1)</f>
        <v>0</v>
      </c>
      <c r="W124" s="80">
        <f>SUMIFS('май 2024'!$G$4:$G$1753,'май 2024'!$D$4:$D$1753,$B124,'май 2024'!$J$4:$J$1753,W$1)</f>
        <v>0</v>
      </c>
      <c r="X124" s="80">
        <f>SUMIFS('май 2024'!$G$4:$G$1753,'май 2024'!$D$4:$D$1753,$B124,'май 2024'!$J$4:$J$1753,X$1)</f>
        <v>0</v>
      </c>
      <c r="Y124" s="80">
        <f>SUMIFS('май 2024'!$G$4:$G$1753,'май 2024'!$D$4:$D$1753,$B124,'май 2024'!$J$4:$J$1753,Y$1)</f>
        <v>0</v>
      </c>
      <c r="Z124" s="80">
        <f>SUMIFS('май 2024'!$G$4:$G$1753,'май 2024'!$D$4:$D$1753,$B124,'май 2024'!$J$4:$J$1753,Z$1)</f>
        <v>0</v>
      </c>
      <c r="AA124" s="80">
        <f>SUMIFS('май 2024'!$G$4:$G$1753,'май 2024'!$D$4:$D$1753,$B124,'май 2024'!$J$4:$J$1753,AA$1)</f>
        <v>0</v>
      </c>
      <c r="AB124" s="80">
        <f>SUMIFS('май 2024'!$G$4:$G$1753,'май 2024'!$D$4:$D$1753,$B124,'май 2024'!$J$4:$J$1753,AB$1)</f>
        <v>0</v>
      </c>
      <c r="AC124" s="80">
        <f>SUMIFS('май 2024'!$G$4:$G$1753,'май 2024'!$D$4:$D$1753,$B124,'май 2024'!$J$4:$J$1753,AC$1)</f>
        <v>0</v>
      </c>
      <c r="AD124" s="80">
        <f>SUMIFS('май 2024'!$G$4:$G$1753,'май 2024'!$D$4:$D$1753,$B124,'май 2024'!$J$4:$J$1753,AD$1)</f>
        <v>0</v>
      </c>
      <c r="AE124" s="80">
        <f>SUMIFS('май 2024'!$G$4:$G$1753,'май 2024'!$D$4:$D$1753,$B124,'май 2024'!$J$4:$J$1753,AE$1)</f>
        <v>0</v>
      </c>
      <c r="AF124" s="80">
        <f>SUMIFS('май 2024'!$G$4:$G$1753,'май 2024'!$D$4:$D$1753,$B124,'май 2024'!$J$4:$J$1753,AF$1)</f>
        <v>0</v>
      </c>
      <c r="AG124" s="80">
        <f>SUMIFS('май 2024'!$G$4:$G$1753,'май 2024'!$D$4:$D$1753,$B124,'май 2024'!$J$4:$J$1753,AG$1)</f>
        <v>0</v>
      </c>
      <c r="AH124" s="80">
        <f>SUMIFS('май 2024'!$G$4:$G$1753,'май 2024'!$D$4:$D$1753,$B124,'май 2024'!$J$4:$J$1753,AH$1)</f>
        <v>0</v>
      </c>
      <c r="AI124" s="21">
        <f t="shared" si="1"/>
        <v>0</v>
      </c>
    </row>
    <row r="125" spans="2:35" ht="15" customHeight="1" x14ac:dyDescent="0.25">
      <c r="B125" s="89" t="s">
        <v>207</v>
      </c>
      <c r="C125" s="91">
        <v>180</v>
      </c>
      <c r="D125" s="80">
        <f>SUMIFS('май 2024'!$G$4:$G$1753,'май 2024'!$D$4:$D$1753,$B125,'май 2024'!$J$4:$J$1753,D$1)</f>
        <v>0</v>
      </c>
      <c r="E125" s="80">
        <f>SUMIFS('май 2024'!$G$4:$G$1753,'май 2024'!$D$4:$D$1753,$B125,'май 2024'!$J$4:$J$1753,E$1)</f>
        <v>0</v>
      </c>
      <c r="F125" s="80">
        <f>SUMIFS('май 2024'!$G$4:$G$1753,'май 2024'!$D$4:$D$1753,$B125,'май 2024'!$J$4:$J$1753,F$1)</f>
        <v>0</v>
      </c>
      <c r="G125" s="80">
        <f>SUMIFS('май 2024'!$G$4:$G$1753,'май 2024'!$D$4:$D$1753,$B125,'май 2024'!$J$4:$J$1753,G$1)</f>
        <v>0</v>
      </c>
      <c r="H125" s="80">
        <f>SUMIFS('май 2024'!$G$4:$G$1753,'май 2024'!$D$4:$D$1753,$B125,'май 2024'!$J$4:$J$1753,H$1)</f>
        <v>0</v>
      </c>
      <c r="I125" s="80">
        <f>SUMIFS('май 2024'!$G$4:$G$1753,'май 2024'!$D$4:$D$1753,$B125,'май 2024'!$J$4:$J$1753,I$1)</f>
        <v>0</v>
      </c>
      <c r="J125" s="80">
        <f>SUMIFS('май 2024'!$G$4:$G$1753,'май 2024'!$D$4:$D$1753,$B125,'май 2024'!$J$4:$J$1753,J$1)</f>
        <v>0</v>
      </c>
      <c r="K125" s="80">
        <f>SUMIFS('май 2024'!$G$4:$G$1753,'май 2024'!$D$4:$D$1753,$B125,'май 2024'!$J$4:$J$1753,K$1)</f>
        <v>0</v>
      </c>
      <c r="L125" s="80">
        <f>SUMIFS('май 2024'!$G$4:$G$1753,'май 2024'!$D$4:$D$1753,$B125,'май 2024'!$J$4:$J$1753,L$1)</f>
        <v>0</v>
      </c>
      <c r="M125" s="80">
        <f>SUMIFS('май 2024'!$G$4:$G$1753,'май 2024'!$D$4:$D$1753,$B125,'май 2024'!$J$4:$J$1753,M$1)</f>
        <v>0</v>
      </c>
      <c r="N125" s="80">
        <f>SUMIFS('май 2024'!$G$4:$G$1753,'май 2024'!$D$4:$D$1753,$B125,'май 2024'!$J$4:$J$1753,N$1)</f>
        <v>0</v>
      </c>
      <c r="O125" s="80">
        <f>SUMIFS('май 2024'!$G$4:$G$1753,'май 2024'!$D$4:$D$1753,$B125,'май 2024'!$J$4:$J$1753,O$1)</f>
        <v>0</v>
      </c>
      <c r="P125" s="80">
        <f>SUMIFS('май 2024'!$G$4:$G$1753,'май 2024'!$D$4:$D$1753,$B125,'май 2024'!$J$4:$J$1753,P$1)</f>
        <v>0</v>
      </c>
      <c r="Q125" s="80">
        <f>SUMIFS('май 2024'!$G$4:$G$1753,'май 2024'!$D$4:$D$1753,$B125,'май 2024'!$J$4:$J$1753,Q$1)</f>
        <v>0</v>
      </c>
      <c r="R125" s="80">
        <f>SUMIFS('май 2024'!$G$4:$G$1753,'май 2024'!$D$4:$D$1753,$B125,'май 2024'!$J$4:$J$1753,R$1)</f>
        <v>0</v>
      </c>
      <c r="S125" s="80">
        <f>SUMIFS('май 2024'!$G$4:$G$1753,'май 2024'!$D$4:$D$1753,$B125,'май 2024'!$J$4:$J$1753,S$1)</f>
        <v>0</v>
      </c>
      <c r="T125" s="80">
        <f>SUMIFS('май 2024'!$G$4:$G$1753,'май 2024'!$D$4:$D$1753,$B125,'май 2024'!$J$4:$J$1753,T$1)</f>
        <v>0</v>
      </c>
      <c r="U125" s="80">
        <f>SUMIFS('май 2024'!$G$4:$G$1753,'май 2024'!$D$4:$D$1753,$B125,'май 2024'!$J$4:$J$1753,U$1)</f>
        <v>0</v>
      </c>
      <c r="V125" s="80">
        <f>SUMIFS('май 2024'!$G$4:$G$1753,'май 2024'!$D$4:$D$1753,$B125,'май 2024'!$J$4:$J$1753,V$1)</f>
        <v>0</v>
      </c>
      <c r="W125" s="80">
        <f>SUMIFS('май 2024'!$G$4:$G$1753,'май 2024'!$D$4:$D$1753,$B125,'май 2024'!$J$4:$J$1753,W$1)</f>
        <v>0</v>
      </c>
      <c r="X125" s="80">
        <f>SUMIFS('май 2024'!$G$4:$G$1753,'май 2024'!$D$4:$D$1753,$B125,'май 2024'!$J$4:$J$1753,X$1)</f>
        <v>0</v>
      </c>
      <c r="Y125" s="80">
        <f>SUMIFS('май 2024'!$G$4:$G$1753,'май 2024'!$D$4:$D$1753,$B125,'май 2024'!$J$4:$J$1753,Y$1)</f>
        <v>0</v>
      </c>
      <c r="Z125" s="80">
        <f>SUMIFS('май 2024'!$G$4:$G$1753,'май 2024'!$D$4:$D$1753,$B125,'май 2024'!$J$4:$J$1753,Z$1)</f>
        <v>0</v>
      </c>
      <c r="AA125" s="80">
        <f>SUMIFS('май 2024'!$G$4:$G$1753,'май 2024'!$D$4:$D$1753,$B125,'май 2024'!$J$4:$J$1753,AA$1)</f>
        <v>0</v>
      </c>
      <c r="AB125" s="80">
        <f>SUMIFS('май 2024'!$G$4:$G$1753,'май 2024'!$D$4:$D$1753,$B125,'май 2024'!$J$4:$J$1753,AB$1)</f>
        <v>0</v>
      </c>
      <c r="AC125" s="80">
        <f>SUMIFS('май 2024'!$G$4:$G$1753,'май 2024'!$D$4:$D$1753,$B125,'май 2024'!$J$4:$J$1753,AC$1)</f>
        <v>0</v>
      </c>
      <c r="AD125" s="80">
        <f>SUMIFS('май 2024'!$G$4:$G$1753,'май 2024'!$D$4:$D$1753,$B125,'май 2024'!$J$4:$J$1753,AD$1)</f>
        <v>0</v>
      </c>
      <c r="AE125" s="80">
        <f>SUMIFS('май 2024'!$G$4:$G$1753,'май 2024'!$D$4:$D$1753,$B125,'май 2024'!$J$4:$J$1753,AE$1)</f>
        <v>0</v>
      </c>
      <c r="AF125" s="80">
        <f>SUMIFS('май 2024'!$G$4:$G$1753,'май 2024'!$D$4:$D$1753,$B125,'май 2024'!$J$4:$J$1753,AF$1)</f>
        <v>0</v>
      </c>
      <c r="AG125" s="80">
        <f>SUMIFS('май 2024'!$G$4:$G$1753,'май 2024'!$D$4:$D$1753,$B125,'май 2024'!$J$4:$J$1753,AG$1)</f>
        <v>0</v>
      </c>
      <c r="AH125" s="80">
        <f>SUMIFS('май 2024'!$G$4:$G$1753,'май 2024'!$D$4:$D$1753,$B125,'май 2024'!$J$4:$J$1753,AH$1)</f>
        <v>0</v>
      </c>
      <c r="AI125" s="21">
        <f t="shared" si="1"/>
        <v>0</v>
      </c>
    </row>
    <row r="126" spans="2:35" ht="15" customHeight="1" x14ac:dyDescent="0.25">
      <c r="B126" s="93" t="s">
        <v>621</v>
      </c>
      <c r="C126" s="91">
        <v>180</v>
      </c>
      <c r="D126" s="80">
        <f>SUMIFS('май 2024'!$G$4:$G$1753,'май 2024'!$D$4:$D$1753,$B126,'май 2024'!$J$4:$J$1753,D$1)</f>
        <v>0</v>
      </c>
      <c r="E126" s="80">
        <f>SUMIFS('май 2024'!$G$4:$G$1753,'май 2024'!$D$4:$D$1753,$B126,'май 2024'!$J$4:$J$1753,E$1)</f>
        <v>44</v>
      </c>
      <c r="F126" s="80">
        <f>SUMIFS('май 2024'!$G$4:$G$1753,'май 2024'!$D$4:$D$1753,$B126,'май 2024'!$J$4:$J$1753,F$1)</f>
        <v>0</v>
      </c>
      <c r="G126" s="80">
        <f>SUMIFS('май 2024'!$G$4:$G$1753,'май 2024'!$D$4:$D$1753,$B126,'май 2024'!$J$4:$J$1753,G$1)</f>
        <v>0</v>
      </c>
      <c r="H126" s="80">
        <f>SUMIFS('май 2024'!$G$4:$G$1753,'май 2024'!$D$4:$D$1753,$B126,'май 2024'!$J$4:$J$1753,H$1)</f>
        <v>0</v>
      </c>
      <c r="I126" s="80">
        <f>SUMIFS('май 2024'!$G$4:$G$1753,'май 2024'!$D$4:$D$1753,$B126,'май 2024'!$J$4:$J$1753,I$1)</f>
        <v>0</v>
      </c>
      <c r="J126" s="80">
        <f>SUMIFS('май 2024'!$G$4:$G$1753,'май 2024'!$D$4:$D$1753,$B126,'май 2024'!$J$4:$J$1753,J$1)</f>
        <v>0</v>
      </c>
      <c r="K126" s="80">
        <f>SUMIFS('май 2024'!$G$4:$G$1753,'май 2024'!$D$4:$D$1753,$B126,'май 2024'!$J$4:$J$1753,K$1)</f>
        <v>72</v>
      </c>
      <c r="L126" s="80">
        <f>SUMIFS('май 2024'!$G$4:$G$1753,'май 2024'!$D$4:$D$1753,$B126,'май 2024'!$J$4:$J$1753,L$1)</f>
        <v>0</v>
      </c>
      <c r="M126" s="80">
        <f>SUMIFS('май 2024'!$G$4:$G$1753,'май 2024'!$D$4:$D$1753,$B126,'май 2024'!$J$4:$J$1753,M$1)</f>
        <v>0</v>
      </c>
      <c r="N126" s="80">
        <f>SUMIFS('май 2024'!$G$4:$G$1753,'май 2024'!$D$4:$D$1753,$B126,'май 2024'!$J$4:$J$1753,N$1)</f>
        <v>0</v>
      </c>
      <c r="O126" s="80">
        <f>SUMIFS('май 2024'!$G$4:$G$1753,'май 2024'!$D$4:$D$1753,$B126,'май 2024'!$J$4:$J$1753,O$1)</f>
        <v>0</v>
      </c>
      <c r="P126" s="80">
        <f>SUMIFS('май 2024'!$G$4:$G$1753,'май 2024'!$D$4:$D$1753,$B126,'май 2024'!$J$4:$J$1753,P$1)</f>
        <v>0</v>
      </c>
      <c r="Q126" s="80">
        <f>SUMIFS('май 2024'!$G$4:$G$1753,'май 2024'!$D$4:$D$1753,$B126,'май 2024'!$J$4:$J$1753,Q$1)</f>
        <v>0</v>
      </c>
      <c r="R126" s="80">
        <f>SUMIFS('май 2024'!$G$4:$G$1753,'май 2024'!$D$4:$D$1753,$B126,'май 2024'!$J$4:$J$1753,R$1)</f>
        <v>0</v>
      </c>
      <c r="S126" s="80">
        <f>SUMIFS('май 2024'!$G$4:$G$1753,'май 2024'!$D$4:$D$1753,$B126,'май 2024'!$J$4:$J$1753,S$1)</f>
        <v>0</v>
      </c>
      <c r="T126" s="80">
        <f>SUMIFS('май 2024'!$G$4:$G$1753,'май 2024'!$D$4:$D$1753,$B126,'май 2024'!$J$4:$J$1753,T$1)</f>
        <v>0</v>
      </c>
      <c r="U126" s="80">
        <f>SUMIFS('май 2024'!$G$4:$G$1753,'май 2024'!$D$4:$D$1753,$B126,'май 2024'!$J$4:$J$1753,U$1)</f>
        <v>0</v>
      </c>
      <c r="V126" s="80">
        <f>SUMIFS('май 2024'!$G$4:$G$1753,'май 2024'!$D$4:$D$1753,$B126,'май 2024'!$J$4:$J$1753,V$1)</f>
        <v>0</v>
      </c>
      <c r="W126" s="80">
        <f>SUMIFS('май 2024'!$G$4:$G$1753,'май 2024'!$D$4:$D$1753,$B126,'май 2024'!$J$4:$J$1753,W$1)</f>
        <v>0</v>
      </c>
      <c r="X126" s="80">
        <f>SUMIFS('май 2024'!$G$4:$G$1753,'май 2024'!$D$4:$D$1753,$B126,'май 2024'!$J$4:$J$1753,X$1)</f>
        <v>0</v>
      </c>
      <c r="Y126" s="80">
        <f>SUMIFS('май 2024'!$G$4:$G$1753,'май 2024'!$D$4:$D$1753,$B126,'май 2024'!$J$4:$J$1753,Y$1)</f>
        <v>0</v>
      </c>
      <c r="Z126" s="80">
        <f>SUMIFS('май 2024'!$G$4:$G$1753,'май 2024'!$D$4:$D$1753,$B126,'май 2024'!$J$4:$J$1753,Z$1)</f>
        <v>0</v>
      </c>
      <c r="AA126" s="80">
        <f>SUMIFS('май 2024'!$G$4:$G$1753,'май 2024'!$D$4:$D$1753,$B126,'май 2024'!$J$4:$J$1753,AA$1)</f>
        <v>0</v>
      </c>
      <c r="AB126" s="80">
        <f>SUMIFS('май 2024'!$G$4:$G$1753,'май 2024'!$D$4:$D$1753,$B126,'май 2024'!$J$4:$J$1753,AB$1)</f>
        <v>0</v>
      </c>
      <c r="AC126" s="80">
        <f>SUMIFS('май 2024'!$G$4:$G$1753,'май 2024'!$D$4:$D$1753,$B126,'май 2024'!$J$4:$J$1753,AC$1)</f>
        <v>0</v>
      </c>
      <c r="AD126" s="80">
        <f>SUMIFS('май 2024'!$G$4:$G$1753,'май 2024'!$D$4:$D$1753,$B126,'май 2024'!$J$4:$J$1753,AD$1)</f>
        <v>0</v>
      </c>
      <c r="AE126" s="80">
        <f>SUMIFS('май 2024'!$G$4:$G$1753,'май 2024'!$D$4:$D$1753,$B126,'май 2024'!$J$4:$J$1753,AE$1)</f>
        <v>60</v>
      </c>
      <c r="AF126" s="80">
        <f>SUMIFS('май 2024'!$G$4:$G$1753,'май 2024'!$D$4:$D$1753,$B126,'май 2024'!$J$4:$J$1753,AF$1)</f>
        <v>0</v>
      </c>
      <c r="AG126" s="80">
        <f>SUMIFS('май 2024'!$G$4:$G$1753,'май 2024'!$D$4:$D$1753,$B126,'май 2024'!$J$4:$J$1753,AG$1)</f>
        <v>0</v>
      </c>
      <c r="AH126" s="80">
        <f>SUMIFS('май 2024'!$G$4:$G$1753,'май 2024'!$D$4:$D$1753,$B126,'май 2024'!$J$4:$J$1753,AH$1)</f>
        <v>0</v>
      </c>
      <c r="AI126" s="21">
        <f t="shared" si="1"/>
        <v>176</v>
      </c>
    </row>
    <row r="127" spans="2:35" ht="15" customHeight="1" x14ac:dyDescent="0.25">
      <c r="B127" s="93" t="s">
        <v>191</v>
      </c>
      <c r="C127" s="91">
        <v>190</v>
      </c>
      <c r="D127" s="80">
        <f>SUMIFS('май 2024'!$G$4:$G$1753,'май 2024'!$D$4:$D$1753,$B127,'май 2024'!$J$4:$J$1753,D$1)</f>
        <v>0</v>
      </c>
      <c r="E127" s="80">
        <f>SUMIFS('май 2024'!$G$4:$G$1753,'май 2024'!$D$4:$D$1753,$B127,'май 2024'!$J$4:$J$1753,E$1)</f>
        <v>0</v>
      </c>
      <c r="F127" s="80">
        <f>SUMIFS('май 2024'!$G$4:$G$1753,'май 2024'!$D$4:$D$1753,$B127,'май 2024'!$J$4:$J$1753,F$1)</f>
        <v>0</v>
      </c>
      <c r="G127" s="80">
        <f>SUMIFS('май 2024'!$G$4:$G$1753,'май 2024'!$D$4:$D$1753,$B127,'май 2024'!$J$4:$J$1753,G$1)</f>
        <v>0</v>
      </c>
      <c r="H127" s="80">
        <f>SUMIFS('май 2024'!$G$4:$G$1753,'май 2024'!$D$4:$D$1753,$B127,'май 2024'!$J$4:$J$1753,H$1)</f>
        <v>0</v>
      </c>
      <c r="I127" s="80">
        <f>SUMIFS('май 2024'!$G$4:$G$1753,'май 2024'!$D$4:$D$1753,$B127,'май 2024'!$J$4:$J$1753,I$1)</f>
        <v>0</v>
      </c>
      <c r="J127" s="80">
        <f>SUMIFS('май 2024'!$G$4:$G$1753,'май 2024'!$D$4:$D$1753,$B127,'май 2024'!$J$4:$J$1753,J$1)</f>
        <v>0</v>
      </c>
      <c r="K127" s="80">
        <f>SUMIFS('май 2024'!$G$4:$G$1753,'май 2024'!$D$4:$D$1753,$B127,'май 2024'!$J$4:$J$1753,K$1)</f>
        <v>0</v>
      </c>
      <c r="L127" s="80">
        <f>SUMIFS('май 2024'!$G$4:$G$1753,'май 2024'!$D$4:$D$1753,$B127,'май 2024'!$J$4:$J$1753,L$1)</f>
        <v>0</v>
      </c>
      <c r="M127" s="80">
        <f>SUMIFS('май 2024'!$G$4:$G$1753,'май 2024'!$D$4:$D$1753,$B127,'май 2024'!$J$4:$J$1753,M$1)</f>
        <v>0</v>
      </c>
      <c r="N127" s="80">
        <f>SUMIFS('май 2024'!$G$4:$G$1753,'май 2024'!$D$4:$D$1753,$B127,'май 2024'!$J$4:$J$1753,N$1)</f>
        <v>0</v>
      </c>
      <c r="O127" s="80">
        <f>SUMIFS('май 2024'!$G$4:$G$1753,'май 2024'!$D$4:$D$1753,$B127,'май 2024'!$J$4:$J$1753,O$1)</f>
        <v>0</v>
      </c>
      <c r="P127" s="80">
        <f>SUMIFS('май 2024'!$G$4:$G$1753,'май 2024'!$D$4:$D$1753,$B127,'май 2024'!$J$4:$J$1753,P$1)</f>
        <v>0</v>
      </c>
      <c r="Q127" s="80">
        <f>SUMIFS('май 2024'!$G$4:$G$1753,'май 2024'!$D$4:$D$1753,$B127,'май 2024'!$J$4:$J$1753,Q$1)</f>
        <v>0</v>
      </c>
      <c r="R127" s="80">
        <f>SUMIFS('май 2024'!$G$4:$G$1753,'май 2024'!$D$4:$D$1753,$B127,'май 2024'!$J$4:$J$1753,R$1)</f>
        <v>0</v>
      </c>
      <c r="S127" s="80">
        <f>SUMIFS('май 2024'!$G$4:$G$1753,'май 2024'!$D$4:$D$1753,$B127,'май 2024'!$J$4:$J$1753,S$1)</f>
        <v>0</v>
      </c>
      <c r="T127" s="80">
        <f>SUMIFS('май 2024'!$G$4:$G$1753,'май 2024'!$D$4:$D$1753,$B127,'май 2024'!$J$4:$J$1753,T$1)</f>
        <v>0</v>
      </c>
      <c r="U127" s="80">
        <f>SUMIFS('май 2024'!$G$4:$G$1753,'май 2024'!$D$4:$D$1753,$B127,'май 2024'!$J$4:$J$1753,U$1)</f>
        <v>0</v>
      </c>
      <c r="V127" s="80">
        <f>SUMIFS('май 2024'!$G$4:$G$1753,'май 2024'!$D$4:$D$1753,$B127,'май 2024'!$J$4:$J$1753,V$1)</f>
        <v>0</v>
      </c>
      <c r="W127" s="80">
        <f>SUMIFS('май 2024'!$G$4:$G$1753,'май 2024'!$D$4:$D$1753,$B127,'май 2024'!$J$4:$J$1753,W$1)</f>
        <v>0</v>
      </c>
      <c r="X127" s="80">
        <f>SUMIFS('май 2024'!$G$4:$G$1753,'май 2024'!$D$4:$D$1753,$B127,'май 2024'!$J$4:$J$1753,X$1)</f>
        <v>0</v>
      </c>
      <c r="Y127" s="80">
        <f>SUMIFS('май 2024'!$G$4:$G$1753,'май 2024'!$D$4:$D$1753,$B127,'май 2024'!$J$4:$J$1753,Y$1)</f>
        <v>0</v>
      </c>
      <c r="Z127" s="80">
        <f>SUMIFS('май 2024'!$G$4:$G$1753,'май 2024'!$D$4:$D$1753,$B127,'май 2024'!$J$4:$J$1753,Z$1)</f>
        <v>0</v>
      </c>
      <c r="AA127" s="80">
        <f>SUMIFS('май 2024'!$G$4:$G$1753,'май 2024'!$D$4:$D$1753,$B127,'май 2024'!$J$4:$J$1753,AA$1)</f>
        <v>0</v>
      </c>
      <c r="AB127" s="80">
        <f>SUMIFS('май 2024'!$G$4:$G$1753,'май 2024'!$D$4:$D$1753,$B127,'май 2024'!$J$4:$J$1753,AB$1)</f>
        <v>0</v>
      </c>
      <c r="AC127" s="80">
        <f>SUMIFS('май 2024'!$G$4:$G$1753,'май 2024'!$D$4:$D$1753,$B127,'май 2024'!$J$4:$J$1753,AC$1)</f>
        <v>0</v>
      </c>
      <c r="AD127" s="80">
        <f>SUMIFS('май 2024'!$G$4:$G$1753,'май 2024'!$D$4:$D$1753,$B127,'май 2024'!$J$4:$J$1753,AD$1)</f>
        <v>0</v>
      </c>
      <c r="AE127" s="80">
        <f>SUMIFS('май 2024'!$G$4:$G$1753,'май 2024'!$D$4:$D$1753,$B127,'май 2024'!$J$4:$J$1753,AE$1)</f>
        <v>0</v>
      </c>
      <c r="AF127" s="80">
        <f>SUMIFS('май 2024'!$G$4:$G$1753,'май 2024'!$D$4:$D$1753,$B127,'май 2024'!$J$4:$J$1753,AF$1)</f>
        <v>0</v>
      </c>
      <c r="AG127" s="80">
        <f>SUMIFS('май 2024'!$G$4:$G$1753,'май 2024'!$D$4:$D$1753,$B127,'май 2024'!$J$4:$J$1753,AG$1)</f>
        <v>0</v>
      </c>
      <c r="AH127" s="80">
        <f>SUMIFS('май 2024'!$G$4:$G$1753,'май 2024'!$D$4:$D$1753,$B127,'май 2024'!$J$4:$J$1753,AH$1)</f>
        <v>0</v>
      </c>
      <c r="AI127" s="21">
        <f t="shared" si="1"/>
        <v>0</v>
      </c>
    </row>
    <row r="128" spans="2:35" ht="15" customHeight="1" x14ac:dyDescent="0.25">
      <c r="B128" s="93" t="s">
        <v>334</v>
      </c>
      <c r="C128" s="91">
        <v>190</v>
      </c>
      <c r="D128" s="80">
        <f>SUMIFS('май 2024'!$G$4:$G$1753,'май 2024'!$D$4:$D$1753,$B128,'май 2024'!$J$4:$J$1753,D$1)</f>
        <v>0</v>
      </c>
      <c r="E128" s="80">
        <f>SUMIFS('май 2024'!$G$4:$G$1753,'май 2024'!$D$4:$D$1753,$B128,'май 2024'!$J$4:$J$1753,E$1)</f>
        <v>0</v>
      </c>
      <c r="F128" s="80">
        <f>SUMIFS('май 2024'!$G$4:$G$1753,'май 2024'!$D$4:$D$1753,$B128,'май 2024'!$J$4:$J$1753,F$1)</f>
        <v>0</v>
      </c>
      <c r="G128" s="80">
        <f>SUMIFS('май 2024'!$G$4:$G$1753,'май 2024'!$D$4:$D$1753,$B128,'май 2024'!$J$4:$J$1753,G$1)</f>
        <v>0</v>
      </c>
      <c r="H128" s="80">
        <f>SUMIFS('май 2024'!$G$4:$G$1753,'май 2024'!$D$4:$D$1753,$B128,'май 2024'!$J$4:$J$1753,H$1)</f>
        <v>0</v>
      </c>
      <c r="I128" s="80">
        <f>SUMIFS('май 2024'!$G$4:$G$1753,'май 2024'!$D$4:$D$1753,$B128,'май 2024'!$J$4:$J$1753,I$1)</f>
        <v>0</v>
      </c>
      <c r="J128" s="80">
        <f>SUMIFS('май 2024'!$G$4:$G$1753,'май 2024'!$D$4:$D$1753,$B128,'май 2024'!$J$4:$J$1753,J$1)</f>
        <v>0</v>
      </c>
      <c r="K128" s="80">
        <f>SUMIFS('май 2024'!$G$4:$G$1753,'май 2024'!$D$4:$D$1753,$B128,'май 2024'!$J$4:$J$1753,K$1)</f>
        <v>0</v>
      </c>
      <c r="L128" s="80">
        <f>SUMIFS('май 2024'!$G$4:$G$1753,'май 2024'!$D$4:$D$1753,$B128,'май 2024'!$J$4:$J$1753,L$1)</f>
        <v>0</v>
      </c>
      <c r="M128" s="80">
        <f>SUMIFS('май 2024'!$G$4:$G$1753,'май 2024'!$D$4:$D$1753,$B128,'май 2024'!$J$4:$J$1753,M$1)</f>
        <v>0</v>
      </c>
      <c r="N128" s="80">
        <f>SUMIFS('май 2024'!$G$4:$G$1753,'май 2024'!$D$4:$D$1753,$B128,'май 2024'!$J$4:$J$1753,N$1)</f>
        <v>0</v>
      </c>
      <c r="O128" s="80">
        <f>SUMIFS('май 2024'!$G$4:$G$1753,'май 2024'!$D$4:$D$1753,$B128,'май 2024'!$J$4:$J$1753,O$1)</f>
        <v>0</v>
      </c>
      <c r="P128" s="80">
        <f>SUMIFS('май 2024'!$G$4:$G$1753,'май 2024'!$D$4:$D$1753,$B128,'май 2024'!$J$4:$J$1753,P$1)</f>
        <v>0</v>
      </c>
      <c r="Q128" s="80">
        <f>SUMIFS('май 2024'!$G$4:$G$1753,'май 2024'!$D$4:$D$1753,$B128,'май 2024'!$J$4:$J$1753,Q$1)</f>
        <v>0</v>
      </c>
      <c r="R128" s="80">
        <f>SUMIFS('май 2024'!$G$4:$G$1753,'май 2024'!$D$4:$D$1753,$B128,'май 2024'!$J$4:$J$1753,R$1)</f>
        <v>0</v>
      </c>
      <c r="S128" s="80">
        <f>SUMIFS('май 2024'!$G$4:$G$1753,'май 2024'!$D$4:$D$1753,$B128,'май 2024'!$J$4:$J$1753,S$1)</f>
        <v>0</v>
      </c>
      <c r="T128" s="80">
        <f>SUMIFS('май 2024'!$G$4:$G$1753,'май 2024'!$D$4:$D$1753,$B128,'май 2024'!$J$4:$J$1753,T$1)</f>
        <v>0</v>
      </c>
      <c r="U128" s="80">
        <f>SUMIFS('май 2024'!$G$4:$G$1753,'май 2024'!$D$4:$D$1753,$B128,'май 2024'!$J$4:$J$1753,U$1)</f>
        <v>0</v>
      </c>
      <c r="V128" s="80">
        <f>SUMIFS('май 2024'!$G$4:$G$1753,'май 2024'!$D$4:$D$1753,$B128,'май 2024'!$J$4:$J$1753,V$1)</f>
        <v>0</v>
      </c>
      <c r="W128" s="80">
        <f>SUMIFS('май 2024'!$G$4:$G$1753,'май 2024'!$D$4:$D$1753,$B128,'май 2024'!$J$4:$J$1753,W$1)</f>
        <v>0</v>
      </c>
      <c r="X128" s="80">
        <f>SUMIFS('май 2024'!$G$4:$G$1753,'май 2024'!$D$4:$D$1753,$B128,'май 2024'!$J$4:$J$1753,X$1)</f>
        <v>0</v>
      </c>
      <c r="Y128" s="80">
        <f>SUMIFS('май 2024'!$G$4:$G$1753,'май 2024'!$D$4:$D$1753,$B128,'май 2024'!$J$4:$J$1753,Y$1)</f>
        <v>0</v>
      </c>
      <c r="Z128" s="80">
        <f>SUMIFS('май 2024'!$G$4:$G$1753,'май 2024'!$D$4:$D$1753,$B128,'май 2024'!$J$4:$J$1753,Z$1)</f>
        <v>0</v>
      </c>
      <c r="AA128" s="80">
        <f>SUMIFS('май 2024'!$G$4:$G$1753,'май 2024'!$D$4:$D$1753,$B128,'май 2024'!$J$4:$J$1753,AA$1)</f>
        <v>0</v>
      </c>
      <c r="AB128" s="80">
        <f>SUMIFS('май 2024'!$G$4:$G$1753,'май 2024'!$D$4:$D$1753,$B128,'май 2024'!$J$4:$J$1753,AB$1)</f>
        <v>0</v>
      </c>
      <c r="AC128" s="80">
        <f>SUMIFS('май 2024'!$G$4:$G$1753,'май 2024'!$D$4:$D$1753,$B128,'май 2024'!$J$4:$J$1753,AC$1)</f>
        <v>0</v>
      </c>
      <c r="AD128" s="80">
        <f>SUMIFS('май 2024'!$G$4:$G$1753,'май 2024'!$D$4:$D$1753,$B128,'май 2024'!$J$4:$J$1753,AD$1)</f>
        <v>0</v>
      </c>
      <c r="AE128" s="80">
        <f>SUMIFS('май 2024'!$G$4:$G$1753,'май 2024'!$D$4:$D$1753,$B128,'май 2024'!$J$4:$J$1753,AE$1)</f>
        <v>0</v>
      </c>
      <c r="AF128" s="80">
        <f>SUMIFS('май 2024'!$G$4:$G$1753,'май 2024'!$D$4:$D$1753,$B128,'май 2024'!$J$4:$J$1753,AF$1)</f>
        <v>0</v>
      </c>
      <c r="AG128" s="80">
        <f>SUMIFS('май 2024'!$G$4:$G$1753,'май 2024'!$D$4:$D$1753,$B128,'май 2024'!$J$4:$J$1753,AG$1)</f>
        <v>0</v>
      </c>
      <c r="AH128" s="80">
        <f>SUMIFS('май 2024'!$G$4:$G$1753,'май 2024'!$D$4:$D$1753,$B128,'май 2024'!$J$4:$J$1753,AH$1)</f>
        <v>0</v>
      </c>
      <c r="AI128" s="21">
        <f t="shared" si="1"/>
        <v>0</v>
      </c>
    </row>
    <row r="129" spans="2:35" ht="16.899999999999999" customHeight="1" x14ac:dyDescent="0.25">
      <c r="B129" s="89" t="s">
        <v>335</v>
      </c>
      <c r="C129" s="88">
        <v>200</v>
      </c>
      <c r="D129" s="80">
        <f>SUMIFS('май 2024'!$G$4:$G$1753,'май 2024'!$D$4:$D$1753,$B129,'май 2024'!$J$4:$J$1753,D$1)</f>
        <v>0</v>
      </c>
      <c r="E129" s="80">
        <f>SUMIFS('май 2024'!$G$4:$G$1753,'май 2024'!$D$4:$D$1753,$B129,'май 2024'!$J$4:$J$1753,E$1)</f>
        <v>0</v>
      </c>
      <c r="F129" s="80">
        <f>SUMIFS('май 2024'!$G$4:$G$1753,'май 2024'!$D$4:$D$1753,$B129,'май 2024'!$J$4:$J$1753,F$1)</f>
        <v>0</v>
      </c>
      <c r="G129" s="80">
        <f>SUMIFS('май 2024'!$G$4:$G$1753,'май 2024'!$D$4:$D$1753,$B129,'май 2024'!$J$4:$J$1753,G$1)</f>
        <v>0</v>
      </c>
      <c r="H129" s="80">
        <f>SUMIFS('май 2024'!$G$4:$G$1753,'май 2024'!$D$4:$D$1753,$B129,'май 2024'!$J$4:$J$1753,H$1)</f>
        <v>0</v>
      </c>
      <c r="I129" s="80">
        <f>SUMIFS('май 2024'!$G$4:$G$1753,'май 2024'!$D$4:$D$1753,$B129,'май 2024'!$J$4:$J$1753,I$1)</f>
        <v>0</v>
      </c>
      <c r="J129" s="80">
        <f>SUMIFS('май 2024'!$G$4:$G$1753,'май 2024'!$D$4:$D$1753,$B129,'май 2024'!$J$4:$J$1753,J$1)</f>
        <v>0</v>
      </c>
      <c r="K129" s="80">
        <f>SUMIFS('май 2024'!$G$4:$G$1753,'май 2024'!$D$4:$D$1753,$B129,'май 2024'!$J$4:$J$1753,K$1)</f>
        <v>0</v>
      </c>
      <c r="L129" s="80">
        <f>SUMIFS('май 2024'!$G$4:$G$1753,'май 2024'!$D$4:$D$1753,$B129,'май 2024'!$J$4:$J$1753,L$1)</f>
        <v>0</v>
      </c>
      <c r="M129" s="80">
        <f>SUMIFS('май 2024'!$G$4:$G$1753,'май 2024'!$D$4:$D$1753,$B129,'май 2024'!$J$4:$J$1753,M$1)</f>
        <v>0</v>
      </c>
      <c r="N129" s="80">
        <f>SUMIFS('май 2024'!$G$4:$G$1753,'май 2024'!$D$4:$D$1753,$B129,'май 2024'!$J$4:$J$1753,N$1)</f>
        <v>0</v>
      </c>
      <c r="O129" s="80">
        <f>SUMIFS('май 2024'!$G$4:$G$1753,'май 2024'!$D$4:$D$1753,$B129,'май 2024'!$J$4:$J$1753,O$1)</f>
        <v>0</v>
      </c>
      <c r="P129" s="80">
        <f>SUMIFS('май 2024'!$G$4:$G$1753,'май 2024'!$D$4:$D$1753,$B129,'май 2024'!$J$4:$J$1753,P$1)</f>
        <v>0</v>
      </c>
      <c r="Q129" s="80">
        <f>SUMIFS('май 2024'!$G$4:$G$1753,'май 2024'!$D$4:$D$1753,$B129,'май 2024'!$J$4:$J$1753,Q$1)</f>
        <v>0</v>
      </c>
      <c r="R129" s="80">
        <f>SUMIFS('май 2024'!$G$4:$G$1753,'май 2024'!$D$4:$D$1753,$B129,'май 2024'!$J$4:$J$1753,R$1)</f>
        <v>0</v>
      </c>
      <c r="S129" s="80">
        <f>SUMIFS('май 2024'!$G$4:$G$1753,'май 2024'!$D$4:$D$1753,$B129,'май 2024'!$J$4:$J$1753,S$1)</f>
        <v>0</v>
      </c>
      <c r="T129" s="80">
        <f>SUMIFS('май 2024'!$G$4:$G$1753,'май 2024'!$D$4:$D$1753,$B129,'май 2024'!$J$4:$J$1753,T$1)</f>
        <v>0</v>
      </c>
      <c r="U129" s="80">
        <f>SUMIFS('май 2024'!$G$4:$G$1753,'май 2024'!$D$4:$D$1753,$B129,'май 2024'!$J$4:$J$1753,U$1)</f>
        <v>0</v>
      </c>
      <c r="V129" s="80">
        <f>SUMIFS('май 2024'!$G$4:$G$1753,'май 2024'!$D$4:$D$1753,$B129,'май 2024'!$J$4:$J$1753,V$1)</f>
        <v>0</v>
      </c>
      <c r="W129" s="80">
        <f>SUMIFS('май 2024'!$G$4:$G$1753,'май 2024'!$D$4:$D$1753,$B129,'май 2024'!$J$4:$J$1753,W$1)</f>
        <v>0</v>
      </c>
      <c r="X129" s="80">
        <f>SUMIFS('май 2024'!$G$4:$G$1753,'май 2024'!$D$4:$D$1753,$B129,'май 2024'!$J$4:$J$1753,X$1)</f>
        <v>0</v>
      </c>
      <c r="Y129" s="80">
        <f>SUMIFS('май 2024'!$G$4:$G$1753,'май 2024'!$D$4:$D$1753,$B129,'май 2024'!$J$4:$J$1753,Y$1)</f>
        <v>0</v>
      </c>
      <c r="Z129" s="80">
        <f>SUMIFS('май 2024'!$G$4:$G$1753,'май 2024'!$D$4:$D$1753,$B129,'май 2024'!$J$4:$J$1753,Z$1)</f>
        <v>0</v>
      </c>
      <c r="AA129" s="80">
        <f>SUMIFS('май 2024'!$G$4:$G$1753,'май 2024'!$D$4:$D$1753,$B129,'май 2024'!$J$4:$J$1753,AA$1)</f>
        <v>0</v>
      </c>
      <c r="AB129" s="80">
        <f>SUMIFS('май 2024'!$G$4:$G$1753,'май 2024'!$D$4:$D$1753,$B129,'май 2024'!$J$4:$J$1753,AB$1)</f>
        <v>0</v>
      </c>
      <c r="AC129" s="80">
        <f>SUMIFS('май 2024'!$G$4:$G$1753,'май 2024'!$D$4:$D$1753,$B129,'май 2024'!$J$4:$J$1753,AC$1)</f>
        <v>0</v>
      </c>
      <c r="AD129" s="80">
        <f>SUMIFS('май 2024'!$G$4:$G$1753,'май 2024'!$D$4:$D$1753,$B129,'май 2024'!$J$4:$J$1753,AD$1)</f>
        <v>0</v>
      </c>
      <c r="AE129" s="80">
        <f>SUMIFS('май 2024'!$G$4:$G$1753,'май 2024'!$D$4:$D$1753,$B129,'май 2024'!$J$4:$J$1753,AE$1)</f>
        <v>0</v>
      </c>
      <c r="AF129" s="80">
        <f>SUMIFS('май 2024'!$G$4:$G$1753,'май 2024'!$D$4:$D$1753,$B129,'май 2024'!$J$4:$J$1753,AF$1)</f>
        <v>0</v>
      </c>
      <c r="AG129" s="80">
        <f>SUMIFS('май 2024'!$G$4:$G$1753,'май 2024'!$D$4:$D$1753,$B129,'май 2024'!$J$4:$J$1753,AG$1)</f>
        <v>0</v>
      </c>
      <c r="AH129" s="80">
        <f>SUMIFS('май 2024'!$G$4:$G$1753,'май 2024'!$D$4:$D$1753,$B129,'май 2024'!$J$4:$J$1753,AH$1)</f>
        <v>0</v>
      </c>
      <c r="AI129" s="21">
        <f t="shared" si="1"/>
        <v>0</v>
      </c>
    </row>
    <row r="130" spans="2:35" ht="16.899999999999999" customHeight="1" x14ac:dyDescent="0.25">
      <c r="B130" s="89" t="s">
        <v>340</v>
      </c>
      <c r="C130" s="88">
        <v>200</v>
      </c>
      <c r="D130" s="80">
        <f>SUMIFS('май 2024'!$G$4:$G$1753,'май 2024'!$D$4:$D$1753,$B130,'май 2024'!$J$4:$J$1753,D$1)</f>
        <v>0</v>
      </c>
      <c r="E130" s="80">
        <f>SUMIFS('май 2024'!$G$4:$G$1753,'май 2024'!$D$4:$D$1753,$B130,'май 2024'!$J$4:$J$1753,E$1)</f>
        <v>0</v>
      </c>
      <c r="F130" s="80">
        <f>SUMIFS('май 2024'!$G$4:$G$1753,'май 2024'!$D$4:$D$1753,$B130,'май 2024'!$J$4:$J$1753,F$1)</f>
        <v>0</v>
      </c>
      <c r="G130" s="80">
        <f>SUMIFS('май 2024'!$G$4:$G$1753,'май 2024'!$D$4:$D$1753,$B130,'май 2024'!$J$4:$J$1753,G$1)</f>
        <v>0</v>
      </c>
      <c r="H130" s="80">
        <f>SUMIFS('май 2024'!$G$4:$G$1753,'май 2024'!$D$4:$D$1753,$B130,'май 2024'!$J$4:$J$1753,H$1)</f>
        <v>0</v>
      </c>
      <c r="I130" s="80">
        <f>SUMIFS('май 2024'!$G$4:$G$1753,'май 2024'!$D$4:$D$1753,$B130,'май 2024'!$J$4:$J$1753,I$1)</f>
        <v>0</v>
      </c>
      <c r="J130" s="80">
        <f>SUMIFS('май 2024'!$G$4:$G$1753,'май 2024'!$D$4:$D$1753,$B130,'май 2024'!$J$4:$J$1753,J$1)</f>
        <v>0</v>
      </c>
      <c r="K130" s="80">
        <f>SUMIFS('май 2024'!$G$4:$G$1753,'май 2024'!$D$4:$D$1753,$B130,'май 2024'!$J$4:$J$1753,K$1)</f>
        <v>0</v>
      </c>
      <c r="L130" s="80">
        <f>SUMIFS('май 2024'!$G$4:$G$1753,'май 2024'!$D$4:$D$1753,$B130,'май 2024'!$J$4:$J$1753,L$1)</f>
        <v>0</v>
      </c>
      <c r="M130" s="80">
        <f>SUMIFS('май 2024'!$G$4:$G$1753,'май 2024'!$D$4:$D$1753,$B130,'май 2024'!$J$4:$J$1753,M$1)</f>
        <v>0</v>
      </c>
      <c r="N130" s="80">
        <f>SUMIFS('май 2024'!$G$4:$G$1753,'май 2024'!$D$4:$D$1753,$B130,'май 2024'!$J$4:$J$1753,N$1)</f>
        <v>0</v>
      </c>
      <c r="O130" s="80">
        <f>SUMIFS('май 2024'!$G$4:$G$1753,'май 2024'!$D$4:$D$1753,$B130,'май 2024'!$J$4:$J$1753,O$1)</f>
        <v>0</v>
      </c>
      <c r="P130" s="80">
        <f>SUMIFS('май 2024'!$G$4:$G$1753,'май 2024'!$D$4:$D$1753,$B130,'май 2024'!$J$4:$J$1753,P$1)</f>
        <v>0</v>
      </c>
      <c r="Q130" s="80">
        <f>SUMIFS('май 2024'!$G$4:$G$1753,'май 2024'!$D$4:$D$1753,$B130,'май 2024'!$J$4:$J$1753,Q$1)</f>
        <v>0</v>
      </c>
      <c r="R130" s="80">
        <f>SUMIFS('май 2024'!$G$4:$G$1753,'май 2024'!$D$4:$D$1753,$B130,'май 2024'!$J$4:$J$1753,R$1)</f>
        <v>0</v>
      </c>
      <c r="S130" s="80">
        <f>SUMIFS('май 2024'!$G$4:$G$1753,'май 2024'!$D$4:$D$1753,$B130,'май 2024'!$J$4:$J$1753,S$1)</f>
        <v>0</v>
      </c>
      <c r="T130" s="80">
        <f>SUMIFS('май 2024'!$G$4:$G$1753,'май 2024'!$D$4:$D$1753,$B130,'май 2024'!$J$4:$J$1753,T$1)</f>
        <v>0</v>
      </c>
      <c r="U130" s="80">
        <f>SUMIFS('май 2024'!$G$4:$G$1753,'май 2024'!$D$4:$D$1753,$B130,'май 2024'!$J$4:$J$1753,U$1)</f>
        <v>0</v>
      </c>
      <c r="V130" s="80">
        <f>SUMIFS('май 2024'!$G$4:$G$1753,'май 2024'!$D$4:$D$1753,$B130,'май 2024'!$J$4:$J$1753,V$1)</f>
        <v>0</v>
      </c>
      <c r="W130" s="80">
        <f>SUMIFS('май 2024'!$G$4:$G$1753,'май 2024'!$D$4:$D$1753,$B130,'май 2024'!$J$4:$J$1753,W$1)</f>
        <v>0</v>
      </c>
      <c r="X130" s="80">
        <f>SUMIFS('май 2024'!$G$4:$G$1753,'май 2024'!$D$4:$D$1753,$B130,'май 2024'!$J$4:$J$1753,X$1)</f>
        <v>0</v>
      </c>
      <c r="Y130" s="80">
        <f>SUMIFS('май 2024'!$G$4:$G$1753,'май 2024'!$D$4:$D$1753,$B130,'май 2024'!$J$4:$J$1753,Y$1)</f>
        <v>0</v>
      </c>
      <c r="Z130" s="80">
        <f>SUMIFS('май 2024'!$G$4:$G$1753,'май 2024'!$D$4:$D$1753,$B130,'май 2024'!$J$4:$J$1753,Z$1)</f>
        <v>0</v>
      </c>
      <c r="AA130" s="80">
        <f>SUMIFS('май 2024'!$G$4:$G$1753,'май 2024'!$D$4:$D$1753,$B130,'май 2024'!$J$4:$J$1753,AA$1)</f>
        <v>0</v>
      </c>
      <c r="AB130" s="80">
        <f>SUMIFS('май 2024'!$G$4:$G$1753,'май 2024'!$D$4:$D$1753,$B130,'май 2024'!$J$4:$J$1753,AB$1)</f>
        <v>0</v>
      </c>
      <c r="AC130" s="80">
        <f>SUMIFS('май 2024'!$G$4:$G$1753,'май 2024'!$D$4:$D$1753,$B130,'май 2024'!$J$4:$J$1753,AC$1)</f>
        <v>0</v>
      </c>
      <c r="AD130" s="80">
        <f>SUMIFS('май 2024'!$G$4:$G$1753,'май 2024'!$D$4:$D$1753,$B130,'май 2024'!$J$4:$J$1753,AD$1)</f>
        <v>0</v>
      </c>
      <c r="AE130" s="80">
        <f>SUMIFS('май 2024'!$G$4:$G$1753,'май 2024'!$D$4:$D$1753,$B130,'май 2024'!$J$4:$J$1753,AE$1)</f>
        <v>0</v>
      </c>
      <c r="AF130" s="80">
        <f>SUMIFS('май 2024'!$G$4:$G$1753,'май 2024'!$D$4:$D$1753,$B130,'май 2024'!$J$4:$J$1753,AF$1)</f>
        <v>0</v>
      </c>
      <c r="AG130" s="80">
        <f>SUMIFS('май 2024'!$G$4:$G$1753,'май 2024'!$D$4:$D$1753,$B130,'май 2024'!$J$4:$J$1753,AG$1)</f>
        <v>0</v>
      </c>
      <c r="AH130" s="80">
        <f>SUMIFS('май 2024'!$G$4:$G$1753,'май 2024'!$D$4:$D$1753,$B130,'май 2024'!$J$4:$J$1753,AH$1)</f>
        <v>0</v>
      </c>
      <c r="AI130" s="21">
        <f t="shared" si="1"/>
        <v>0</v>
      </c>
    </row>
    <row r="131" spans="2:35" ht="16.899999999999999" customHeight="1" x14ac:dyDescent="0.25">
      <c r="B131" s="89" t="s">
        <v>336</v>
      </c>
      <c r="C131" s="88">
        <v>200</v>
      </c>
      <c r="D131" s="80">
        <f>SUMIFS('май 2024'!$G$4:$G$1753,'май 2024'!$D$4:$D$1753,$B131,'май 2024'!$J$4:$J$1753,D$1)</f>
        <v>0</v>
      </c>
      <c r="E131" s="80">
        <f>SUMIFS('май 2024'!$G$4:$G$1753,'май 2024'!$D$4:$D$1753,$B131,'май 2024'!$J$4:$J$1753,E$1)</f>
        <v>0</v>
      </c>
      <c r="F131" s="80">
        <f>SUMIFS('май 2024'!$G$4:$G$1753,'май 2024'!$D$4:$D$1753,$B131,'май 2024'!$J$4:$J$1753,F$1)</f>
        <v>0</v>
      </c>
      <c r="G131" s="80">
        <f>SUMIFS('май 2024'!$G$4:$G$1753,'май 2024'!$D$4:$D$1753,$B131,'май 2024'!$J$4:$J$1753,G$1)</f>
        <v>0</v>
      </c>
      <c r="H131" s="80">
        <f>SUMIFS('май 2024'!$G$4:$G$1753,'май 2024'!$D$4:$D$1753,$B131,'май 2024'!$J$4:$J$1753,H$1)</f>
        <v>0</v>
      </c>
      <c r="I131" s="80">
        <f>SUMIFS('май 2024'!$G$4:$G$1753,'май 2024'!$D$4:$D$1753,$B131,'май 2024'!$J$4:$J$1753,I$1)</f>
        <v>0</v>
      </c>
      <c r="J131" s="80">
        <f>SUMIFS('май 2024'!$G$4:$G$1753,'май 2024'!$D$4:$D$1753,$B131,'май 2024'!$J$4:$J$1753,J$1)</f>
        <v>0</v>
      </c>
      <c r="K131" s="80">
        <f>SUMIFS('май 2024'!$G$4:$G$1753,'май 2024'!$D$4:$D$1753,$B131,'май 2024'!$J$4:$J$1753,K$1)</f>
        <v>0</v>
      </c>
      <c r="L131" s="80">
        <f>SUMIFS('май 2024'!$G$4:$G$1753,'май 2024'!$D$4:$D$1753,$B131,'май 2024'!$J$4:$J$1753,L$1)</f>
        <v>0</v>
      </c>
      <c r="M131" s="80">
        <f>SUMIFS('май 2024'!$G$4:$G$1753,'май 2024'!$D$4:$D$1753,$B131,'май 2024'!$J$4:$J$1753,M$1)</f>
        <v>0</v>
      </c>
      <c r="N131" s="80">
        <f>SUMIFS('май 2024'!$G$4:$G$1753,'май 2024'!$D$4:$D$1753,$B131,'май 2024'!$J$4:$J$1753,N$1)</f>
        <v>0</v>
      </c>
      <c r="O131" s="80">
        <f>SUMIFS('май 2024'!$G$4:$G$1753,'май 2024'!$D$4:$D$1753,$B131,'май 2024'!$J$4:$J$1753,O$1)</f>
        <v>0</v>
      </c>
      <c r="P131" s="80">
        <f>SUMIFS('май 2024'!$G$4:$G$1753,'май 2024'!$D$4:$D$1753,$B131,'май 2024'!$J$4:$J$1753,P$1)</f>
        <v>0</v>
      </c>
      <c r="Q131" s="80">
        <f>SUMIFS('май 2024'!$G$4:$G$1753,'май 2024'!$D$4:$D$1753,$B131,'май 2024'!$J$4:$J$1753,Q$1)</f>
        <v>0</v>
      </c>
      <c r="R131" s="80">
        <f>SUMIFS('май 2024'!$G$4:$G$1753,'май 2024'!$D$4:$D$1753,$B131,'май 2024'!$J$4:$J$1753,R$1)</f>
        <v>0</v>
      </c>
      <c r="S131" s="80">
        <f>SUMIFS('май 2024'!$G$4:$G$1753,'май 2024'!$D$4:$D$1753,$B131,'май 2024'!$J$4:$J$1753,S$1)</f>
        <v>0</v>
      </c>
      <c r="T131" s="80">
        <f>SUMIFS('май 2024'!$G$4:$G$1753,'май 2024'!$D$4:$D$1753,$B131,'май 2024'!$J$4:$J$1753,T$1)</f>
        <v>0</v>
      </c>
      <c r="U131" s="80">
        <f>SUMIFS('май 2024'!$G$4:$G$1753,'май 2024'!$D$4:$D$1753,$B131,'май 2024'!$J$4:$J$1753,U$1)</f>
        <v>0</v>
      </c>
      <c r="V131" s="80">
        <f>SUMIFS('май 2024'!$G$4:$G$1753,'май 2024'!$D$4:$D$1753,$B131,'май 2024'!$J$4:$J$1753,V$1)</f>
        <v>0</v>
      </c>
      <c r="W131" s="80">
        <f>SUMIFS('май 2024'!$G$4:$G$1753,'май 2024'!$D$4:$D$1753,$B131,'май 2024'!$J$4:$J$1753,W$1)</f>
        <v>0</v>
      </c>
      <c r="X131" s="80">
        <f>SUMIFS('май 2024'!$G$4:$G$1753,'май 2024'!$D$4:$D$1753,$B131,'май 2024'!$J$4:$J$1753,X$1)</f>
        <v>0</v>
      </c>
      <c r="Y131" s="80">
        <f>SUMIFS('май 2024'!$G$4:$G$1753,'май 2024'!$D$4:$D$1753,$B131,'май 2024'!$J$4:$J$1753,Y$1)</f>
        <v>0</v>
      </c>
      <c r="Z131" s="80">
        <f>SUMIFS('май 2024'!$G$4:$G$1753,'май 2024'!$D$4:$D$1753,$B131,'май 2024'!$J$4:$J$1753,Z$1)</f>
        <v>0</v>
      </c>
      <c r="AA131" s="80">
        <f>SUMIFS('май 2024'!$G$4:$G$1753,'май 2024'!$D$4:$D$1753,$B131,'май 2024'!$J$4:$J$1753,AA$1)</f>
        <v>0</v>
      </c>
      <c r="AB131" s="80">
        <f>SUMIFS('май 2024'!$G$4:$G$1753,'май 2024'!$D$4:$D$1753,$B131,'май 2024'!$J$4:$J$1753,AB$1)</f>
        <v>0</v>
      </c>
      <c r="AC131" s="80">
        <f>SUMIFS('май 2024'!$G$4:$G$1753,'май 2024'!$D$4:$D$1753,$B131,'май 2024'!$J$4:$J$1753,AC$1)</f>
        <v>0</v>
      </c>
      <c r="AD131" s="80">
        <f>SUMIFS('май 2024'!$G$4:$G$1753,'май 2024'!$D$4:$D$1753,$B131,'май 2024'!$J$4:$J$1753,AD$1)</f>
        <v>0</v>
      </c>
      <c r="AE131" s="80">
        <f>SUMIFS('май 2024'!$G$4:$G$1753,'май 2024'!$D$4:$D$1753,$B131,'май 2024'!$J$4:$J$1753,AE$1)</f>
        <v>0</v>
      </c>
      <c r="AF131" s="80">
        <f>SUMIFS('май 2024'!$G$4:$G$1753,'май 2024'!$D$4:$D$1753,$B131,'май 2024'!$J$4:$J$1753,AF$1)</f>
        <v>0</v>
      </c>
      <c r="AG131" s="80">
        <f>SUMIFS('май 2024'!$G$4:$G$1753,'май 2024'!$D$4:$D$1753,$B131,'май 2024'!$J$4:$J$1753,AG$1)</f>
        <v>0</v>
      </c>
      <c r="AH131" s="80">
        <f>SUMIFS('май 2024'!$G$4:$G$1753,'май 2024'!$D$4:$D$1753,$B131,'май 2024'!$J$4:$J$1753,AH$1)</f>
        <v>0</v>
      </c>
      <c r="AI131" s="21">
        <f t="shared" si="1"/>
        <v>0</v>
      </c>
    </row>
    <row r="132" spans="2:35" ht="15" customHeight="1" x14ac:dyDescent="0.25">
      <c r="B132" s="89" t="s">
        <v>341</v>
      </c>
      <c r="C132" s="88">
        <v>200</v>
      </c>
      <c r="D132" s="80">
        <f>SUMIFS('май 2024'!$G$4:$G$1753,'май 2024'!$D$4:$D$1753,$B132,'май 2024'!$J$4:$J$1753,D$1)</f>
        <v>0</v>
      </c>
      <c r="E132" s="80">
        <f>SUMIFS('май 2024'!$G$4:$G$1753,'май 2024'!$D$4:$D$1753,$B132,'май 2024'!$J$4:$J$1753,E$1)</f>
        <v>0</v>
      </c>
      <c r="F132" s="80">
        <f>SUMIFS('май 2024'!$G$4:$G$1753,'май 2024'!$D$4:$D$1753,$B132,'май 2024'!$J$4:$J$1753,F$1)</f>
        <v>0</v>
      </c>
      <c r="G132" s="80">
        <f>SUMIFS('май 2024'!$G$4:$G$1753,'май 2024'!$D$4:$D$1753,$B132,'май 2024'!$J$4:$J$1753,G$1)</f>
        <v>0</v>
      </c>
      <c r="H132" s="80">
        <f>SUMIFS('май 2024'!$G$4:$G$1753,'май 2024'!$D$4:$D$1753,$B132,'май 2024'!$J$4:$J$1753,H$1)</f>
        <v>0</v>
      </c>
      <c r="I132" s="80">
        <f>SUMIFS('май 2024'!$G$4:$G$1753,'май 2024'!$D$4:$D$1753,$B132,'май 2024'!$J$4:$J$1753,I$1)</f>
        <v>0</v>
      </c>
      <c r="J132" s="80">
        <f>SUMIFS('май 2024'!$G$4:$G$1753,'май 2024'!$D$4:$D$1753,$B132,'май 2024'!$J$4:$J$1753,J$1)</f>
        <v>0</v>
      </c>
      <c r="K132" s="80">
        <f>SUMIFS('май 2024'!$G$4:$G$1753,'май 2024'!$D$4:$D$1753,$B132,'май 2024'!$J$4:$J$1753,K$1)</f>
        <v>0</v>
      </c>
      <c r="L132" s="80">
        <f>SUMIFS('май 2024'!$G$4:$G$1753,'май 2024'!$D$4:$D$1753,$B132,'май 2024'!$J$4:$J$1753,L$1)</f>
        <v>0</v>
      </c>
      <c r="M132" s="80">
        <f>SUMIFS('май 2024'!$G$4:$G$1753,'май 2024'!$D$4:$D$1753,$B132,'май 2024'!$J$4:$J$1753,M$1)</f>
        <v>0</v>
      </c>
      <c r="N132" s="80">
        <f>SUMIFS('май 2024'!$G$4:$G$1753,'май 2024'!$D$4:$D$1753,$B132,'май 2024'!$J$4:$J$1753,N$1)</f>
        <v>0</v>
      </c>
      <c r="O132" s="80">
        <f>SUMIFS('май 2024'!$G$4:$G$1753,'май 2024'!$D$4:$D$1753,$B132,'май 2024'!$J$4:$J$1753,O$1)</f>
        <v>0</v>
      </c>
      <c r="P132" s="80">
        <f>SUMIFS('май 2024'!$G$4:$G$1753,'май 2024'!$D$4:$D$1753,$B132,'май 2024'!$J$4:$J$1753,P$1)</f>
        <v>0</v>
      </c>
      <c r="Q132" s="80">
        <f>SUMIFS('май 2024'!$G$4:$G$1753,'май 2024'!$D$4:$D$1753,$B132,'май 2024'!$J$4:$J$1753,Q$1)</f>
        <v>0</v>
      </c>
      <c r="R132" s="80">
        <f>SUMIFS('май 2024'!$G$4:$G$1753,'май 2024'!$D$4:$D$1753,$B132,'май 2024'!$J$4:$J$1753,R$1)</f>
        <v>0</v>
      </c>
      <c r="S132" s="80">
        <f>SUMIFS('май 2024'!$G$4:$G$1753,'май 2024'!$D$4:$D$1753,$B132,'май 2024'!$J$4:$J$1753,S$1)</f>
        <v>0</v>
      </c>
      <c r="T132" s="80">
        <f>SUMIFS('май 2024'!$G$4:$G$1753,'май 2024'!$D$4:$D$1753,$B132,'май 2024'!$J$4:$J$1753,T$1)</f>
        <v>0</v>
      </c>
      <c r="U132" s="80">
        <f>SUMIFS('май 2024'!$G$4:$G$1753,'май 2024'!$D$4:$D$1753,$B132,'май 2024'!$J$4:$J$1753,U$1)</f>
        <v>0</v>
      </c>
      <c r="V132" s="80">
        <f>SUMIFS('май 2024'!$G$4:$G$1753,'май 2024'!$D$4:$D$1753,$B132,'май 2024'!$J$4:$J$1753,V$1)</f>
        <v>0</v>
      </c>
      <c r="W132" s="80">
        <f>SUMIFS('май 2024'!$G$4:$G$1753,'май 2024'!$D$4:$D$1753,$B132,'май 2024'!$J$4:$J$1753,W$1)</f>
        <v>0</v>
      </c>
      <c r="X132" s="80">
        <f>SUMIFS('май 2024'!$G$4:$G$1753,'май 2024'!$D$4:$D$1753,$B132,'май 2024'!$J$4:$J$1753,X$1)</f>
        <v>0</v>
      </c>
      <c r="Y132" s="80">
        <f>SUMIFS('май 2024'!$G$4:$G$1753,'май 2024'!$D$4:$D$1753,$B132,'май 2024'!$J$4:$J$1753,Y$1)</f>
        <v>0</v>
      </c>
      <c r="Z132" s="80">
        <f>SUMIFS('май 2024'!$G$4:$G$1753,'май 2024'!$D$4:$D$1753,$B132,'май 2024'!$J$4:$J$1753,Z$1)</f>
        <v>0</v>
      </c>
      <c r="AA132" s="80">
        <f>SUMIFS('май 2024'!$G$4:$G$1753,'май 2024'!$D$4:$D$1753,$B132,'май 2024'!$J$4:$J$1753,AA$1)</f>
        <v>0</v>
      </c>
      <c r="AB132" s="80">
        <f>SUMIFS('май 2024'!$G$4:$G$1753,'май 2024'!$D$4:$D$1753,$B132,'май 2024'!$J$4:$J$1753,AB$1)</f>
        <v>0</v>
      </c>
      <c r="AC132" s="80">
        <f>SUMIFS('май 2024'!$G$4:$G$1753,'май 2024'!$D$4:$D$1753,$B132,'май 2024'!$J$4:$J$1753,AC$1)</f>
        <v>0</v>
      </c>
      <c r="AD132" s="80">
        <f>SUMIFS('май 2024'!$G$4:$G$1753,'май 2024'!$D$4:$D$1753,$B132,'май 2024'!$J$4:$J$1753,AD$1)</f>
        <v>0</v>
      </c>
      <c r="AE132" s="80">
        <f>SUMIFS('май 2024'!$G$4:$G$1753,'май 2024'!$D$4:$D$1753,$B132,'май 2024'!$J$4:$J$1753,AE$1)</f>
        <v>0</v>
      </c>
      <c r="AF132" s="80">
        <f>SUMIFS('май 2024'!$G$4:$G$1753,'май 2024'!$D$4:$D$1753,$B132,'май 2024'!$J$4:$J$1753,AF$1)</f>
        <v>0</v>
      </c>
      <c r="AG132" s="80">
        <f>SUMIFS('май 2024'!$G$4:$G$1753,'май 2024'!$D$4:$D$1753,$B132,'май 2024'!$J$4:$J$1753,AG$1)</f>
        <v>0</v>
      </c>
      <c r="AH132" s="80">
        <f>SUMIFS('май 2024'!$G$4:$G$1753,'май 2024'!$D$4:$D$1753,$B132,'май 2024'!$J$4:$J$1753,AH$1)</f>
        <v>0</v>
      </c>
      <c r="AI132" s="21">
        <f t="shared" si="1"/>
        <v>0</v>
      </c>
    </row>
    <row r="133" spans="2:35" ht="15" customHeight="1" x14ac:dyDescent="0.25">
      <c r="B133" s="89" t="s">
        <v>337</v>
      </c>
      <c r="C133" s="88">
        <v>200</v>
      </c>
      <c r="D133" s="80">
        <f>SUMIFS('май 2024'!$G$4:$G$1753,'май 2024'!$D$4:$D$1753,$B133,'май 2024'!$J$4:$J$1753,D$1)</f>
        <v>0</v>
      </c>
      <c r="E133" s="80">
        <f>SUMIFS('май 2024'!$G$4:$G$1753,'май 2024'!$D$4:$D$1753,$B133,'май 2024'!$J$4:$J$1753,E$1)</f>
        <v>0</v>
      </c>
      <c r="F133" s="80">
        <f>SUMIFS('май 2024'!$G$4:$G$1753,'май 2024'!$D$4:$D$1753,$B133,'май 2024'!$J$4:$J$1753,F$1)</f>
        <v>0</v>
      </c>
      <c r="G133" s="80">
        <f>SUMIFS('май 2024'!$G$4:$G$1753,'май 2024'!$D$4:$D$1753,$B133,'май 2024'!$J$4:$J$1753,G$1)</f>
        <v>0</v>
      </c>
      <c r="H133" s="80">
        <f>SUMIFS('май 2024'!$G$4:$G$1753,'май 2024'!$D$4:$D$1753,$B133,'май 2024'!$J$4:$J$1753,H$1)</f>
        <v>0</v>
      </c>
      <c r="I133" s="80">
        <f>SUMIFS('май 2024'!$G$4:$G$1753,'май 2024'!$D$4:$D$1753,$B133,'май 2024'!$J$4:$J$1753,I$1)</f>
        <v>0</v>
      </c>
      <c r="J133" s="80">
        <f>SUMIFS('май 2024'!$G$4:$G$1753,'май 2024'!$D$4:$D$1753,$B133,'май 2024'!$J$4:$J$1753,J$1)</f>
        <v>0</v>
      </c>
      <c r="K133" s="80">
        <f>SUMIFS('май 2024'!$G$4:$G$1753,'май 2024'!$D$4:$D$1753,$B133,'май 2024'!$J$4:$J$1753,K$1)</f>
        <v>0</v>
      </c>
      <c r="L133" s="80">
        <f>SUMIFS('май 2024'!$G$4:$G$1753,'май 2024'!$D$4:$D$1753,$B133,'май 2024'!$J$4:$J$1753,L$1)</f>
        <v>0</v>
      </c>
      <c r="M133" s="80">
        <f>SUMIFS('май 2024'!$G$4:$G$1753,'май 2024'!$D$4:$D$1753,$B133,'май 2024'!$J$4:$J$1753,M$1)</f>
        <v>0</v>
      </c>
      <c r="N133" s="80">
        <f>SUMIFS('май 2024'!$G$4:$G$1753,'май 2024'!$D$4:$D$1753,$B133,'май 2024'!$J$4:$J$1753,N$1)</f>
        <v>0</v>
      </c>
      <c r="O133" s="80">
        <f>SUMIFS('май 2024'!$G$4:$G$1753,'май 2024'!$D$4:$D$1753,$B133,'май 2024'!$J$4:$J$1753,O$1)</f>
        <v>0</v>
      </c>
      <c r="P133" s="80">
        <f>SUMIFS('май 2024'!$G$4:$G$1753,'май 2024'!$D$4:$D$1753,$B133,'май 2024'!$J$4:$J$1753,P$1)</f>
        <v>0</v>
      </c>
      <c r="Q133" s="80">
        <f>SUMIFS('май 2024'!$G$4:$G$1753,'май 2024'!$D$4:$D$1753,$B133,'май 2024'!$J$4:$J$1753,Q$1)</f>
        <v>0</v>
      </c>
      <c r="R133" s="80">
        <f>SUMIFS('май 2024'!$G$4:$G$1753,'май 2024'!$D$4:$D$1753,$B133,'май 2024'!$J$4:$J$1753,R$1)</f>
        <v>0</v>
      </c>
      <c r="S133" s="80">
        <f>SUMIFS('май 2024'!$G$4:$G$1753,'май 2024'!$D$4:$D$1753,$B133,'май 2024'!$J$4:$J$1753,S$1)</f>
        <v>0</v>
      </c>
      <c r="T133" s="80">
        <f>SUMIFS('май 2024'!$G$4:$G$1753,'май 2024'!$D$4:$D$1753,$B133,'май 2024'!$J$4:$J$1753,T$1)</f>
        <v>0</v>
      </c>
      <c r="U133" s="80">
        <f>SUMIFS('май 2024'!$G$4:$G$1753,'май 2024'!$D$4:$D$1753,$B133,'май 2024'!$J$4:$J$1753,U$1)</f>
        <v>0</v>
      </c>
      <c r="V133" s="80">
        <f>SUMIFS('май 2024'!$G$4:$G$1753,'май 2024'!$D$4:$D$1753,$B133,'май 2024'!$J$4:$J$1753,V$1)</f>
        <v>0</v>
      </c>
      <c r="W133" s="80">
        <f>SUMIFS('май 2024'!$G$4:$G$1753,'май 2024'!$D$4:$D$1753,$B133,'май 2024'!$J$4:$J$1753,W$1)</f>
        <v>0</v>
      </c>
      <c r="X133" s="80">
        <f>SUMIFS('май 2024'!$G$4:$G$1753,'май 2024'!$D$4:$D$1753,$B133,'май 2024'!$J$4:$J$1753,X$1)</f>
        <v>0</v>
      </c>
      <c r="Y133" s="80">
        <f>SUMIFS('май 2024'!$G$4:$G$1753,'май 2024'!$D$4:$D$1753,$B133,'май 2024'!$J$4:$J$1753,Y$1)</f>
        <v>0</v>
      </c>
      <c r="Z133" s="80">
        <f>SUMIFS('май 2024'!$G$4:$G$1753,'май 2024'!$D$4:$D$1753,$B133,'май 2024'!$J$4:$J$1753,Z$1)</f>
        <v>0</v>
      </c>
      <c r="AA133" s="80">
        <f>SUMIFS('май 2024'!$G$4:$G$1753,'май 2024'!$D$4:$D$1753,$B133,'май 2024'!$J$4:$J$1753,AA$1)</f>
        <v>0</v>
      </c>
      <c r="AB133" s="80">
        <f>SUMIFS('май 2024'!$G$4:$G$1753,'май 2024'!$D$4:$D$1753,$B133,'май 2024'!$J$4:$J$1753,AB$1)</f>
        <v>0</v>
      </c>
      <c r="AC133" s="80">
        <f>SUMIFS('май 2024'!$G$4:$G$1753,'май 2024'!$D$4:$D$1753,$B133,'май 2024'!$J$4:$J$1753,AC$1)</f>
        <v>0</v>
      </c>
      <c r="AD133" s="80">
        <f>SUMIFS('май 2024'!$G$4:$G$1753,'май 2024'!$D$4:$D$1753,$B133,'май 2024'!$J$4:$J$1753,AD$1)</f>
        <v>0</v>
      </c>
      <c r="AE133" s="80">
        <f>SUMIFS('май 2024'!$G$4:$G$1753,'май 2024'!$D$4:$D$1753,$B133,'май 2024'!$J$4:$J$1753,AE$1)</f>
        <v>0</v>
      </c>
      <c r="AF133" s="80">
        <f>SUMIFS('май 2024'!$G$4:$G$1753,'май 2024'!$D$4:$D$1753,$B133,'май 2024'!$J$4:$J$1753,AF$1)</f>
        <v>0</v>
      </c>
      <c r="AG133" s="80">
        <f>SUMIFS('май 2024'!$G$4:$G$1753,'май 2024'!$D$4:$D$1753,$B133,'май 2024'!$J$4:$J$1753,AG$1)</f>
        <v>0</v>
      </c>
      <c r="AH133" s="80">
        <f>SUMIFS('май 2024'!$G$4:$G$1753,'май 2024'!$D$4:$D$1753,$B133,'май 2024'!$J$4:$J$1753,AH$1)</f>
        <v>0</v>
      </c>
      <c r="AI133" s="21">
        <f t="shared" si="1"/>
        <v>0</v>
      </c>
    </row>
    <row r="134" spans="2:35" ht="15" customHeight="1" x14ac:dyDescent="0.25">
      <c r="B134" s="89" t="s">
        <v>338</v>
      </c>
      <c r="C134" s="88">
        <v>200</v>
      </c>
      <c r="D134" s="80">
        <f>SUMIFS('май 2024'!$G$4:$G$1753,'май 2024'!$D$4:$D$1753,$B134,'май 2024'!$J$4:$J$1753,D$1)</f>
        <v>0</v>
      </c>
      <c r="E134" s="80">
        <f>SUMIFS('май 2024'!$G$4:$G$1753,'май 2024'!$D$4:$D$1753,$B134,'май 2024'!$J$4:$J$1753,E$1)</f>
        <v>0</v>
      </c>
      <c r="F134" s="80">
        <f>SUMIFS('май 2024'!$G$4:$G$1753,'май 2024'!$D$4:$D$1753,$B134,'май 2024'!$J$4:$J$1753,F$1)</f>
        <v>0</v>
      </c>
      <c r="G134" s="80">
        <f>SUMIFS('май 2024'!$G$4:$G$1753,'май 2024'!$D$4:$D$1753,$B134,'май 2024'!$J$4:$J$1753,G$1)</f>
        <v>0</v>
      </c>
      <c r="H134" s="80">
        <f>SUMIFS('май 2024'!$G$4:$G$1753,'май 2024'!$D$4:$D$1753,$B134,'май 2024'!$J$4:$J$1753,H$1)</f>
        <v>0</v>
      </c>
      <c r="I134" s="80">
        <f>SUMIFS('май 2024'!$G$4:$G$1753,'май 2024'!$D$4:$D$1753,$B134,'май 2024'!$J$4:$J$1753,I$1)</f>
        <v>0</v>
      </c>
      <c r="J134" s="80">
        <f>SUMIFS('май 2024'!$G$4:$G$1753,'май 2024'!$D$4:$D$1753,$B134,'май 2024'!$J$4:$J$1753,J$1)</f>
        <v>0</v>
      </c>
      <c r="K134" s="80">
        <f>SUMIFS('май 2024'!$G$4:$G$1753,'май 2024'!$D$4:$D$1753,$B134,'май 2024'!$J$4:$J$1753,K$1)</f>
        <v>0</v>
      </c>
      <c r="L134" s="80">
        <f>SUMIFS('май 2024'!$G$4:$G$1753,'май 2024'!$D$4:$D$1753,$B134,'май 2024'!$J$4:$J$1753,L$1)</f>
        <v>0</v>
      </c>
      <c r="M134" s="80">
        <f>SUMIFS('май 2024'!$G$4:$G$1753,'май 2024'!$D$4:$D$1753,$B134,'май 2024'!$J$4:$J$1753,M$1)</f>
        <v>0</v>
      </c>
      <c r="N134" s="80">
        <f>SUMIFS('май 2024'!$G$4:$G$1753,'май 2024'!$D$4:$D$1753,$B134,'май 2024'!$J$4:$J$1753,N$1)</f>
        <v>0</v>
      </c>
      <c r="O134" s="80">
        <f>SUMIFS('май 2024'!$G$4:$G$1753,'май 2024'!$D$4:$D$1753,$B134,'май 2024'!$J$4:$J$1753,O$1)</f>
        <v>0</v>
      </c>
      <c r="P134" s="80">
        <f>SUMIFS('май 2024'!$G$4:$G$1753,'май 2024'!$D$4:$D$1753,$B134,'май 2024'!$J$4:$J$1753,P$1)</f>
        <v>0</v>
      </c>
      <c r="Q134" s="80">
        <f>SUMIFS('май 2024'!$G$4:$G$1753,'май 2024'!$D$4:$D$1753,$B134,'май 2024'!$J$4:$J$1753,Q$1)</f>
        <v>0</v>
      </c>
      <c r="R134" s="80">
        <f>SUMIFS('май 2024'!$G$4:$G$1753,'май 2024'!$D$4:$D$1753,$B134,'май 2024'!$J$4:$J$1753,R$1)</f>
        <v>0</v>
      </c>
      <c r="S134" s="80">
        <f>SUMIFS('май 2024'!$G$4:$G$1753,'май 2024'!$D$4:$D$1753,$B134,'май 2024'!$J$4:$J$1753,S$1)</f>
        <v>0</v>
      </c>
      <c r="T134" s="80">
        <f>SUMIFS('май 2024'!$G$4:$G$1753,'май 2024'!$D$4:$D$1753,$B134,'май 2024'!$J$4:$J$1753,T$1)</f>
        <v>0</v>
      </c>
      <c r="U134" s="80">
        <f>SUMIFS('май 2024'!$G$4:$G$1753,'май 2024'!$D$4:$D$1753,$B134,'май 2024'!$J$4:$J$1753,U$1)</f>
        <v>0</v>
      </c>
      <c r="V134" s="80">
        <f>SUMIFS('май 2024'!$G$4:$G$1753,'май 2024'!$D$4:$D$1753,$B134,'май 2024'!$J$4:$J$1753,V$1)</f>
        <v>0</v>
      </c>
      <c r="W134" s="80">
        <f>SUMIFS('май 2024'!$G$4:$G$1753,'май 2024'!$D$4:$D$1753,$B134,'май 2024'!$J$4:$J$1753,W$1)</f>
        <v>0</v>
      </c>
      <c r="X134" s="80">
        <f>SUMIFS('май 2024'!$G$4:$G$1753,'май 2024'!$D$4:$D$1753,$B134,'май 2024'!$J$4:$J$1753,X$1)</f>
        <v>0</v>
      </c>
      <c r="Y134" s="80">
        <f>SUMIFS('май 2024'!$G$4:$G$1753,'май 2024'!$D$4:$D$1753,$B134,'май 2024'!$J$4:$J$1753,Y$1)</f>
        <v>0</v>
      </c>
      <c r="Z134" s="80">
        <f>SUMIFS('май 2024'!$G$4:$G$1753,'май 2024'!$D$4:$D$1753,$B134,'май 2024'!$J$4:$J$1753,Z$1)</f>
        <v>0</v>
      </c>
      <c r="AA134" s="80">
        <f>SUMIFS('май 2024'!$G$4:$G$1753,'май 2024'!$D$4:$D$1753,$B134,'май 2024'!$J$4:$J$1753,AA$1)</f>
        <v>0</v>
      </c>
      <c r="AB134" s="80">
        <f>SUMIFS('май 2024'!$G$4:$G$1753,'май 2024'!$D$4:$D$1753,$B134,'май 2024'!$J$4:$J$1753,AB$1)</f>
        <v>0</v>
      </c>
      <c r="AC134" s="80">
        <f>SUMIFS('май 2024'!$G$4:$G$1753,'май 2024'!$D$4:$D$1753,$B134,'май 2024'!$J$4:$J$1753,AC$1)</f>
        <v>0</v>
      </c>
      <c r="AD134" s="80">
        <f>SUMIFS('май 2024'!$G$4:$G$1753,'май 2024'!$D$4:$D$1753,$B134,'май 2024'!$J$4:$J$1753,AD$1)</f>
        <v>0</v>
      </c>
      <c r="AE134" s="80">
        <f>SUMIFS('май 2024'!$G$4:$G$1753,'май 2024'!$D$4:$D$1753,$B134,'май 2024'!$J$4:$J$1753,AE$1)</f>
        <v>0</v>
      </c>
      <c r="AF134" s="80">
        <f>SUMIFS('май 2024'!$G$4:$G$1753,'май 2024'!$D$4:$D$1753,$B134,'май 2024'!$J$4:$J$1753,AF$1)</f>
        <v>0</v>
      </c>
      <c r="AG134" s="80">
        <f>SUMIFS('май 2024'!$G$4:$G$1753,'май 2024'!$D$4:$D$1753,$B134,'май 2024'!$J$4:$J$1753,AG$1)</f>
        <v>0</v>
      </c>
      <c r="AH134" s="80">
        <f>SUMIFS('май 2024'!$G$4:$G$1753,'май 2024'!$D$4:$D$1753,$B134,'май 2024'!$J$4:$J$1753,AH$1)</f>
        <v>0</v>
      </c>
      <c r="AI134" s="21">
        <f t="shared" si="1"/>
        <v>0</v>
      </c>
    </row>
    <row r="135" spans="2:35" ht="15" customHeight="1" x14ac:dyDescent="0.25">
      <c r="B135" s="89" t="s">
        <v>211</v>
      </c>
      <c r="C135" s="88">
        <v>200</v>
      </c>
      <c r="D135" s="80">
        <f>SUMIFS('май 2024'!$G$4:$G$1753,'май 2024'!$D$4:$D$1753,$B135,'май 2024'!$J$4:$J$1753,D$1)</f>
        <v>0</v>
      </c>
      <c r="E135" s="80">
        <f>SUMIFS('май 2024'!$G$4:$G$1753,'май 2024'!$D$4:$D$1753,$B135,'май 2024'!$J$4:$J$1753,E$1)</f>
        <v>0</v>
      </c>
      <c r="F135" s="80">
        <f>SUMIFS('май 2024'!$G$4:$G$1753,'май 2024'!$D$4:$D$1753,$B135,'май 2024'!$J$4:$J$1753,F$1)</f>
        <v>0</v>
      </c>
      <c r="G135" s="80">
        <f>SUMIFS('май 2024'!$G$4:$G$1753,'май 2024'!$D$4:$D$1753,$B135,'май 2024'!$J$4:$J$1753,G$1)</f>
        <v>0</v>
      </c>
      <c r="H135" s="80">
        <f>SUMIFS('май 2024'!$G$4:$G$1753,'май 2024'!$D$4:$D$1753,$B135,'май 2024'!$J$4:$J$1753,H$1)</f>
        <v>0</v>
      </c>
      <c r="I135" s="80">
        <f>SUMIFS('май 2024'!$G$4:$G$1753,'май 2024'!$D$4:$D$1753,$B135,'май 2024'!$J$4:$J$1753,I$1)</f>
        <v>0</v>
      </c>
      <c r="J135" s="80">
        <f>SUMIFS('май 2024'!$G$4:$G$1753,'май 2024'!$D$4:$D$1753,$B135,'май 2024'!$J$4:$J$1753,J$1)</f>
        <v>0</v>
      </c>
      <c r="K135" s="80">
        <f>SUMIFS('май 2024'!$G$4:$G$1753,'май 2024'!$D$4:$D$1753,$B135,'май 2024'!$J$4:$J$1753,K$1)</f>
        <v>0</v>
      </c>
      <c r="L135" s="80">
        <f>SUMIFS('май 2024'!$G$4:$G$1753,'май 2024'!$D$4:$D$1753,$B135,'май 2024'!$J$4:$J$1753,L$1)</f>
        <v>0</v>
      </c>
      <c r="M135" s="80">
        <f>SUMIFS('май 2024'!$G$4:$G$1753,'май 2024'!$D$4:$D$1753,$B135,'май 2024'!$J$4:$J$1753,M$1)</f>
        <v>0</v>
      </c>
      <c r="N135" s="80">
        <f>SUMIFS('май 2024'!$G$4:$G$1753,'май 2024'!$D$4:$D$1753,$B135,'май 2024'!$J$4:$J$1753,N$1)</f>
        <v>0</v>
      </c>
      <c r="O135" s="80">
        <f>SUMIFS('май 2024'!$G$4:$G$1753,'май 2024'!$D$4:$D$1753,$B135,'май 2024'!$J$4:$J$1753,O$1)</f>
        <v>0</v>
      </c>
      <c r="P135" s="80">
        <f>SUMIFS('май 2024'!$G$4:$G$1753,'май 2024'!$D$4:$D$1753,$B135,'май 2024'!$J$4:$J$1753,P$1)</f>
        <v>0</v>
      </c>
      <c r="Q135" s="80">
        <f>SUMIFS('май 2024'!$G$4:$G$1753,'май 2024'!$D$4:$D$1753,$B135,'май 2024'!$J$4:$J$1753,Q$1)</f>
        <v>0</v>
      </c>
      <c r="R135" s="80">
        <f>SUMIFS('май 2024'!$G$4:$G$1753,'май 2024'!$D$4:$D$1753,$B135,'май 2024'!$J$4:$J$1753,R$1)</f>
        <v>0</v>
      </c>
      <c r="S135" s="80">
        <f>SUMIFS('май 2024'!$G$4:$G$1753,'май 2024'!$D$4:$D$1753,$B135,'май 2024'!$J$4:$J$1753,S$1)</f>
        <v>0</v>
      </c>
      <c r="T135" s="80">
        <f>SUMIFS('май 2024'!$G$4:$G$1753,'май 2024'!$D$4:$D$1753,$B135,'май 2024'!$J$4:$J$1753,T$1)</f>
        <v>0</v>
      </c>
      <c r="U135" s="80">
        <f>SUMIFS('май 2024'!$G$4:$G$1753,'май 2024'!$D$4:$D$1753,$B135,'май 2024'!$J$4:$J$1753,U$1)</f>
        <v>0</v>
      </c>
      <c r="V135" s="80">
        <f>SUMIFS('май 2024'!$G$4:$G$1753,'май 2024'!$D$4:$D$1753,$B135,'май 2024'!$J$4:$J$1753,V$1)</f>
        <v>0</v>
      </c>
      <c r="W135" s="80">
        <f>SUMIFS('май 2024'!$G$4:$G$1753,'май 2024'!$D$4:$D$1753,$B135,'май 2024'!$J$4:$J$1753,W$1)</f>
        <v>0</v>
      </c>
      <c r="X135" s="80">
        <f>SUMIFS('май 2024'!$G$4:$G$1753,'май 2024'!$D$4:$D$1753,$B135,'май 2024'!$J$4:$J$1753,X$1)</f>
        <v>0</v>
      </c>
      <c r="Y135" s="80">
        <f>SUMIFS('май 2024'!$G$4:$G$1753,'май 2024'!$D$4:$D$1753,$B135,'май 2024'!$J$4:$J$1753,Y$1)</f>
        <v>0</v>
      </c>
      <c r="Z135" s="80">
        <f>SUMIFS('май 2024'!$G$4:$G$1753,'май 2024'!$D$4:$D$1753,$B135,'май 2024'!$J$4:$J$1753,Z$1)</f>
        <v>0</v>
      </c>
      <c r="AA135" s="80">
        <f>SUMIFS('май 2024'!$G$4:$G$1753,'май 2024'!$D$4:$D$1753,$B135,'май 2024'!$J$4:$J$1753,AA$1)</f>
        <v>0</v>
      </c>
      <c r="AB135" s="80">
        <f>SUMIFS('май 2024'!$G$4:$G$1753,'май 2024'!$D$4:$D$1753,$B135,'май 2024'!$J$4:$J$1753,AB$1)</f>
        <v>0</v>
      </c>
      <c r="AC135" s="80">
        <f>SUMIFS('май 2024'!$G$4:$G$1753,'май 2024'!$D$4:$D$1753,$B135,'май 2024'!$J$4:$J$1753,AC$1)</f>
        <v>0</v>
      </c>
      <c r="AD135" s="80">
        <f>SUMIFS('май 2024'!$G$4:$G$1753,'май 2024'!$D$4:$D$1753,$B135,'май 2024'!$J$4:$J$1753,AD$1)</f>
        <v>0</v>
      </c>
      <c r="AE135" s="80">
        <f>SUMIFS('май 2024'!$G$4:$G$1753,'май 2024'!$D$4:$D$1753,$B135,'май 2024'!$J$4:$J$1753,AE$1)</f>
        <v>0</v>
      </c>
      <c r="AF135" s="80">
        <f>SUMIFS('май 2024'!$G$4:$G$1753,'май 2024'!$D$4:$D$1753,$B135,'май 2024'!$J$4:$J$1753,AF$1)</f>
        <v>0</v>
      </c>
      <c r="AG135" s="80">
        <f>SUMIFS('май 2024'!$G$4:$G$1753,'май 2024'!$D$4:$D$1753,$B135,'май 2024'!$J$4:$J$1753,AG$1)</f>
        <v>0</v>
      </c>
      <c r="AH135" s="80">
        <f>SUMIFS('май 2024'!$G$4:$G$1753,'май 2024'!$D$4:$D$1753,$B135,'май 2024'!$J$4:$J$1753,AH$1)</f>
        <v>0</v>
      </c>
      <c r="AI135" s="21">
        <f t="shared" si="1"/>
        <v>0</v>
      </c>
    </row>
    <row r="136" spans="2:35" ht="15" customHeight="1" x14ac:dyDescent="0.25">
      <c r="B136" s="89" t="s">
        <v>339</v>
      </c>
      <c r="C136" s="88">
        <v>200</v>
      </c>
      <c r="D136" s="80">
        <f>SUMIFS('май 2024'!$G$4:$G$1753,'май 2024'!$D$4:$D$1753,$B136,'май 2024'!$J$4:$J$1753,D$1)</f>
        <v>0</v>
      </c>
      <c r="E136" s="80">
        <f>SUMIFS('май 2024'!$G$4:$G$1753,'май 2024'!$D$4:$D$1753,$B136,'май 2024'!$J$4:$J$1753,E$1)</f>
        <v>0</v>
      </c>
      <c r="F136" s="80">
        <f>SUMIFS('май 2024'!$G$4:$G$1753,'май 2024'!$D$4:$D$1753,$B136,'май 2024'!$J$4:$J$1753,F$1)</f>
        <v>0</v>
      </c>
      <c r="G136" s="80">
        <f>SUMIFS('май 2024'!$G$4:$G$1753,'май 2024'!$D$4:$D$1753,$B136,'май 2024'!$J$4:$J$1753,G$1)</f>
        <v>0</v>
      </c>
      <c r="H136" s="80">
        <f>SUMIFS('май 2024'!$G$4:$G$1753,'май 2024'!$D$4:$D$1753,$B136,'май 2024'!$J$4:$J$1753,H$1)</f>
        <v>0</v>
      </c>
      <c r="I136" s="80">
        <f>SUMIFS('май 2024'!$G$4:$G$1753,'май 2024'!$D$4:$D$1753,$B136,'май 2024'!$J$4:$J$1753,I$1)</f>
        <v>0</v>
      </c>
      <c r="J136" s="80">
        <f>SUMIFS('май 2024'!$G$4:$G$1753,'май 2024'!$D$4:$D$1753,$B136,'май 2024'!$J$4:$J$1753,J$1)</f>
        <v>0</v>
      </c>
      <c r="K136" s="80">
        <f>SUMIFS('май 2024'!$G$4:$G$1753,'май 2024'!$D$4:$D$1753,$B136,'май 2024'!$J$4:$J$1753,K$1)</f>
        <v>0</v>
      </c>
      <c r="L136" s="80">
        <f>SUMIFS('май 2024'!$G$4:$G$1753,'май 2024'!$D$4:$D$1753,$B136,'май 2024'!$J$4:$J$1753,L$1)</f>
        <v>0</v>
      </c>
      <c r="M136" s="80">
        <f>SUMIFS('май 2024'!$G$4:$G$1753,'май 2024'!$D$4:$D$1753,$B136,'май 2024'!$J$4:$J$1753,M$1)</f>
        <v>0</v>
      </c>
      <c r="N136" s="80">
        <f>SUMIFS('май 2024'!$G$4:$G$1753,'май 2024'!$D$4:$D$1753,$B136,'май 2024'!$J$4:$J$1753,N$1)</f>
        <v>0</v>
      </c>
      <c r="O136" s="80">
        <f>SUMIFS('май 2024'!$G$4:$G$1753,'май 2024'!$D$4:$D$1753,$B136,'май 2024'!$J$4:$J$1753,O$1)</f>
        <v>0</v>
      </c>
      <c r="P136" s="80">
        <f>SUMIFS('май 2024'!$G$4:$G$1753,'май 2024'!$D$4:$D$1753,$B136,'май 2024'!$J$4:$J$1753,P$1)</f>
        <v>0</v>
      </c>
      <c r="Q136" s="80">
        <f>SUMIFS('май 2024'!$G$4:$G$1753,'май 2024'!$D$4:$D$1753,$B136,'май 2024'!$J$4:$J$1753,Q$1)</f>
        <v>0</v>
      </c>
      <c r="R136" s="80">
        <f>SUMIFS('май 2024'!$G$4:$G$1753,'май 2024'!$D$4:$D$1753,$B136,'май 2024'!$J$4:$J$1753,R$1)</f>
        <v>0</v>
      </c>
      <c r="S136" s="80">
        <f>SUMIFS('май 2024'!$G$4:$G$1753,'май 2024'!$D$4:$D$1753,$B136,'май 2024'!$J$4:$J$1753,S$1)</f>
        <v>0</v>
      </c>
      <c r="T136" s="80">
        <f>SUMIFS('май 2024'!$G$4:$G$1753,'май 2024'!$D$4:$D$1753,$B136,'май 2024'!$J$4:$J$1753,T$1)</f>
        <v>0</v>
      </c>
      <c r="U136" s="80">
        <f>SUMIFS('май 2024'!$G$4:$G$1753,'май 2024'!$D$4:$D$1753,$B136,'май 2024'!$J$4:$J$1753,U$1)</f>
        <v>0</v>
      </c>
      <c r="V136" s="80">
        <f>SUMIFS('май 2024'!$G$4:$G$1753,'май 2024'!$D$4:$D$1753,$B136,'май 2024'!$J$4:$J$1753,V$1)</f>
        <v>0</v>
      </c>
      <c r="W136" s="80">
        <f>SUMIFS('май 2024'!$G$4:$G$1753,'май 2024'!$D$4:$D$1753,$B136,'май 2024'!$J$4:$J$1753,W$1)</f>
        <v>0</v>
      </c>
      <c r="X136" s="80">
        <f>SUMIFS('май 2024'!$G$4:$G$1753,'май 2024'!$D$4:$D$1753,$B136,'май 2024'!$J$4:$J$1753,X$1)</f>
        <v>0</v>
      </c>
      <c r="Y136" s="80">
        <f>SUMIFS('май 2024'!$G$4:$G$1753,'май 2024'!$D$4:$D$1753,$B136,'май 2024'!$J$4:$J$1753,Y$1)</f>
        <v>0</v>
      </c>
      <c r="Z136" s="80">
        <f>SUMIFS('май 2024'!$G$4:$G$1753,'май 2024'!$D$4:$D$1753,$B136,'май 2024'!$J$4:$J$1753,Z$1)</f>
        <v>0</v>
      </c>
      <c r="AA136" s="80">
        <f>SUMIFS('май 2024'!$G$4:$G$1753,'май 2024'!$D$4:$D$1753,$B136,'май 2024'!$J$4:$J$1753,AA$1)</f>
        <v>0</v>
      </c>
      <c r="AB136" s="80">
        <f>SUMIFS('май 2024'!$G$4:$G$1753,'май 2024'!$D$4:$D$1753,$B136,'май 2024'!$J$4:$J$1753,AB$1)</f>
        <v>0</v>
      </c>
      <c r="AC136" s="80">
        <f>SUMIFS('май 2024'!$G$4:$G$1753,'май 2024'!$D$4:$D$1753,$B136,'май 2024'!$J$4:$J$1753,AC$1)</f>
        <v>0</v>
      </c>
      <c r="AD136" s="80">
        <f>SUMIFS('май 2024'!$G$4:$G$1753,'май 2024'!$D$4:$D$1753,$B136,'май 2024'!$J$4:$J$1753,AD$1)</f>
        <v>0</v>
      </c>
      <c r="AE136" s="80">
        <f>SUMIFS('май 2024'!$G$4:$G$1753,'май 2024'!$D$4:$D$1753,$B136,'май 2024'!$J$4:$J$1753,AE$1)</f>
        <v>0</v>
      </c>
      <c r="AF136" s="80">
        <f>SUMIFS('май 2024'!$G$4:$G$1753,'май 2024'!$D$4:$D$1753,$B136,'май 2024'!$J$4:$J$1753,AF$1)</f>
        <v>0</v>
      </c>
      <c r="AG136" s="80">
        <f>SUMIFS('май 2024'!$G$4:$G$1753,'май 2024'!$D$4:$D$1753,$B136,'май 2024'!$J$4:$J$1753,AG$1)</f>
        <v>0</v>
      </c>
      <c r="AH136" s="80">
        <f>SUMIFS('май 2024'!$G$4:$G$1753,'май 2024'!$D$4:$D$1753,$B136,'май 2024'!$J$4:$J$1753,AH$1)</f>
        <v>0</v>
      </c>
      <c r="AI136" s="21">
        <f t="shared" si="1"/>
        <v>0</v>
      </c>
    </row>
    <row r="137" spans="2:35" ht="15" customHeight="1" x14ac:dyDescent="0.25">
      <c r="B137" s="89" t="s">
        <v>215</v>
      </c>
      <c r="C137" s="91">
        <v>200</v>
      </c>
      <c r="D137" s="80">
        <f>SUMIFS('май 2024'!$G$4:$G$1753,'май 2024'!$D$4:$D$1753,$B137,'май 2024'!$J$4:$J$1753,D$1)</f>
        <v>0</v>
      </c>
      <c r="E137" s="80">
        <f>SUMIFS('май 2024'!$G$4:$G$1753,'май 2024'!$D$4:$D$1753,$B137,'май 2024'!$J$4:$J$1753,E$1)</f>
        <v>0</v>
      </c>
      <c r="F137" s="80">
        <f>SUMIFS('май 2024'!$G$4:$G$1753,'май 2024'!$D$4:$D$1753,$B137,'май 2024'!$J$4:$J$1753,F$1)</f>
        <v>0</v>
      </c>
      <c r="G137" s="80">
        <f>SUMIFS('май 2024'!$G$4:$G$1753,'май 2024'!$D$4:$D$1753,$B137,'май 2024'!$J$4:$J$1753,G$1)</f>
        <v>0</v>
      </c>
      <c r="H137" s="80">
        <f>SUMIFS('май 2024'!$G$4:$G$1753,'май 2024'!$D$4:$D$1753,$B137,'май 2024'!$J$4:$J$1753,H$1)</f>
        <v>0</v>
      </c>
      <c r="I137" s="80">
        <f>SUMIFS('май 2024'!$G$4:$G$1753,'май 2024'!$D$4:$D$1753,$B137,'май 2024'!$J$4:$J$1753,I$1)</f>
        <v>0</v>
      </c>
      <c r="J137" s="80">
        <f>SUMIFS('май 2024'!$G$4:$G$1753,'май 2024'!$D$4:$D$1753,$B137,'май 2024'!$J$4:$J$1753,J$1)</f>
        <v>0</v>
      </c>
      <c r="K137" s="80">
        <f>SUMIFS('май 2024'!$G$4:$G$1753,'май 2024'!$D$4:$D$1753,$B137,'май 2024'!$J$4:$J$1753,K$1)</f>
        <v>0</v>
      </c>
      <c r="L137" s="80">
        <f>SUMIFS('май 2024'!$G$4:$G$1753,'май 2024'!$D$4:$D$1753,$B137,'май 2024'!$J$4:$J$1753,L$1)</f>
        <v>0</v>
      </c>
      <c r="M137" s="80">
        <f>SUMIFS('май 2024'!$G$4:$G$1753,'май 2024'!$D$4:$D$1753,$B137,'май 2024'!$J$4:$J$1753,M$1)</f>
        <v>0</v>
      </c>
      <c r="N137" s="80">
        <f>SUMIFS('май 2024'!$G$4:$G$1753,'май 2024'!$D$4:$D$1753,$B137,'май 2024'!$J$4:$J$1753,N$1)</f>
        <v>0</v>
      </c>
      <c r="O137" s="80">
        <f>SUMIFS('май 2024'!$G$4:$G$1753,'май 2024'!$D$4:$D$1753,$B137,'май 2024'!$J$4:$J$1753,O$1)</f>
        <v>0</v>
      </c>
      <c r="P137" s="80">
        <f>SUMIFS('май 2024'!$G$4:$G$1753,'май 2024'!$D$4:$D$1753,$B137,'май 2024'!$J$4:$J$1753,P$1)</f>
        <v>0</v>
      </c>
      <c r="Q137" s="80">
        <f>SUMIFS('май 2024'!$G$4:$G$1753,'май 2024'!$D$4:$D$1753,$B137,'май 2024'!$J$4:$J$1753,Q$1)</f>
        <v>0</v>
      </c>
      <c r="R137" s="80">
        <f>SUMIFS('май 2024'!$G$4:$G$1753,'май 2024'!$D$4:$D$1753,$B137,'май 2024'!$J$4:$J$1753,R$1)</f>
        <v>0</v>
      </c>
      <c r="S137" s="80">
        <f>SUMIFS('май 2024'!$G$4:$G$1753,'май 2024'!$D$4:$D$1753,$B137,'май 2024'!$J$4:$J$1753,S$1)</f>
        <v>0</v>
      </c>
      <c r="T137" s="80">
        <f>SUMIFS('май 2024'!$G$4:$G$1753,'май 2024'!$D$4:$D$1753,$B137,'май 2024'!$J$4:$J$1753,T$1)</f>
        <v>0</v>
      </c>
      <c r="U137" s="80">
        <f>SUMIFS('май 2024'!$G$4:$G$1753,'май 2024'!$D$4:$D$1753,$B137,'май 2024'!$J$4:$J$1753,U$1)</f>
        <v>0</v>
      </c>
      <c r="V137" s="80">
        <f>SUMIFS('май 2024'!$G$4:$G$1753,'май 2024'!$D$4:$D$1753,$B137,'май 2024'!$J$4:$J$1753,V$1)</f>
        <v>0</v>
      </c>
      <c r="W137" s="80">
        <f>SUMIFS('май 2024'!$G$4:$G$1753,'май 2024'!$D$4:$D$1753,$B137,'май 2024'!$J$4:$J$1753,W$1)</f>
        <v>0</v>
      </c>
      <c r="X137" s="80">
        <f>SUMIFS('май 2024'!$G$4:$G$1753,'май 2024'!$D$4:$D$1753,$B137,'май 2024'!$J$4:$J$1753,X$1)</f>
        <v>0</v>
      </c>
      <c r="Y137" s="80">
        <f>SUMIFS('май 2024'!$G$4:$G$1753,'май 2024'!$D$4:$D$1753,$B137,'май 2024'!$J$4:$J$1753,Y$1)</f>
        <v>0</v>
      </c>
      <c r="Z137" s="80">
        <f>SUMIFS('май 2024'!$G$4:$G$1753,'май 2024'!$D$4:$D$1753,$B137,'май 2024'!$J$4:$J$1753,Z$1)</f>
        <v>0</v>
      </c>
      <c r="AA137" s="80">
        <f>SUMIFS('май 2024'!$G$4:$G$1753,'май 2024'!$D$4:$D$1753,$B137,'май 2024'!$J$4:$J$1753,AA$1)</f>
        <v>0</v>
      </c>
      <c r="AB137" s="80">
        <f>SUMIFS('май 2024'!$G$4:$G$1753,'май 2024'!$D$4:$D$1753,$B137,'май 2024'!$J$4:$J$1753,AB$1)</f>
        <v>0</v>
      </c>
      <c r="AC137" s="80">
        <f>SUMIFS('май 2024'!$G$4:$G$1753,'май 2024'!$D$4:$D$1753,$B137,'май 2024'!$J$4:$J$1753,AC$1)</f>
        <v>0</v>
      </c>
      <c r="AD137" s="80">
        <f>SUMIFS('май 2024'!$G$4:$G$1753,'май 2024'!$D$4:$D$1753,$B137,'май 2024'!$J$4:$J$1753,AD$1)</f>
        <v>0</v>
      </c>
      <c r="AE137" s="80">
        <f>SUMIFS('май 2024'!$G$4:$G$1753,'май 2024'!$D$4:$D$1753,$B137,'май 2024'!$J$4:$J$1753,AE$1)</f>
        <v>0</v>
      </c>
      <c r="AF137" s="80">
        <f>SUMIFS('май 2024'!$G$4:$G$1753,'май 2024'!$D$4:$D$1753,$B137,'май 2024'!$J$4:$J$1753,AF$1)</f>
        <v>0</v>
      </c>
      <c r="AG137" s="80">
        <f>SUMIFS('май 2024'!$G$4:$G$1753,'май 2024'!$D$4:$D$1753,$B137,'май 2024'!$J$4:$J$1753,AG$1)</f>
        <v>0</v>
      </c>
      <c r="AH137" s="80">
        <f>SUMIFS('май 2024'!$G$4:$G$1753,'май 2024'!$D$4:$D$1753,$B137,'май 2024'!$J$4:$J$1753,AH$1)</f>
        <v>0</v>
      </c>
      <c r="AI137" s="21">
        <f t="shared" si="1"/>
        <v>0</v>
      </c>
    </row>
    <row r="138" spans="2:35" ht="15" customHeight="1" x14ac:dyDescent="0.25">
      <c r="B138" s="89" t="s">
        <v>585</v>
      </c>
      <c r="C138" s="91">
        <v>200</v>
      </c>
      <c r="D138" s="80">
        <f>SUMIFS('май 2024'!$G$4:$G$1753,'май 2024'!$D$4:$D$1753,$B138,'май 2024'!$J$4:$J$1753,D$1)</f>
        <v>0</v>
      </c>
      <c r="E138" s="80">
        <f>SUMIFS('май 2024'!$G$4:$G$1753,'май 2024'!$D$4:$D$1753,$B138,'май 2024'!$J$4:$J$1753,E$1)</f>
        <v>0</v>
      </c>
      <c r="F138" s="80">
        <f>SUMIFS('май 2024'!$G$4:$G$1753,'май 2024'!$D$4:$D$1753,$B138,'май 2024'!$J$4:$J$1753,F$1)</f>
        <v>0</v>
      </c>
      <c r="G138" s="80">
        <f>SUMIFS('май 2024'!$G$4:$G$1753,'май 2024'!$D$4:$D$1753,$B138,'май 2024'!$J$4:$J$1753,G$1)</f>
        <v>0</v>
      </c>
      <c r="H138" s="80">
        <f>SUMIFS('май 2024'!$G$4:$G$1753,'май 2024'!$D$4:$D$1753,$B138,'май 2024'!$J$4:$J$1753,H$1)</f>
        <v>0</v>
      </c>
      <c r="I138" s="80">
        <f>SUMIFS('май 2024'!$G$4:$G$1753,'май 2024'!$D$4:$D$1753,$B138,'май 2024'!$J$4:$J$1753,I$1)</f>
        <v>0</v>
      </c>
      <c r="J138" s="80">
        <f>SUMIFS('май 2024'!$G$4:$G$1753,'май 2024'!$D$4:$D$1753,$B138,'май 2024'!$J$4:$J$1753,J$1)</f>
        <v>0</v>
      </c>
      <c r="K138" s="80">
        <f>SUMIFS('май 2024'!$G$4:$G$1753,'май 2024'!$D$4:$D$1753,$B138,'май 2024'!$J$4:$J$1753,K$1)</f>
        <v>0</v>
      </c>
      <c r="L138" s="80">
        <f>SUMIFS('май 2024'!$G$4:$G$1753,'май 2024'!$D$4:$D$1753,$B138,'май 2024'!$J$4:$J$1753,L$1)</f>
        <v>0</v>
      </c>
      <c r="M138" s="80">
        <f>SUMIFS('май 2024'!$G$4:$G$1753,'май 2024'!$D$4:$D$1753,$B138,'май 2024'!$J$4:$J$1753,M$1)</f>
        <v>0</v>
      </c>
      <c r="N138" s="80">
        <f>SUMIFS('май 2024'!$G$4:$G$1753,'май 2024'!$D$4:$D$1753,$B138,'май 2024'!$J$4:$J$1753,N$1)</f>
        <v>0</v>
      </c>
      <c r="O138" s="80">
        <f>SUMIFS('май 2024'!$G$4:$G$1753,'май 2024'!$D$4:$D$1753,$B138,'май 2024'!$J$4:$J$1753,O$1)</f>
        <v>0</v>
      </c>
      <c r="P138" s="80">
        <f>SUMIFS('май 2024'!$G$4:$G$1753,'май 2024'!$D$4:$D$1753,$B138,'май 2024'!$J$4:$J$1753,P$1)</f>
        <v>0</v>
      </c>
      <c r="Q138" s="80">
        <f>SUMIFS('май 2024'!$G$4:$G$1753,'май 2024'!$D$4:$D$1753,$B138,'май 2024'!$J$4:$J$1753,Q$1)</f>
        <v>0</v>
      </c>
      <c r="R138" s="80">
        <f>SUMIFS('май 2024'!$G$4:$G$1753,'май 2024'!$D$4:$D$1753,$B138,'май 2024'!$J$4:$J$1753,R$1)</f>
        <v>0</v>
      </c>
      <c r="S138" s="80">
        <f>SUMIFS('май 2024'!$G$4:$G$1753,'май 2024'!$D$4:$D$1753,$B138,'май 2024'!$J$4:$J$1753,S$1)</f>
        <v>0</v>
      </c>
      <c r="T138" s="80">
        <f>SUMIFS('май 2024'!$G$4:$G$1753,'май 2024'!$D$4:$D$1753,$B138,'май 2024'!$J$4:$J$1753,T$1)</f>
        <v>0</v>
      </c>
      <c r="U138" s="80">
        <f>SUMIFS('май 2024'!$G$4:$G$1753,'май 2024'!$D$4:$D$1753,$B138,'май 2024'!$J$4:$J$1753,U$1)</f>
        <v>0</v>
      </c>
      <c r="V138" s="80">
        <f>SUMIFS('май 2024'!$G$4:$G$1753,'май 2024'!$D$4:$D$1753,$B138,'май 2024'!$J$4:$J$1753,V$1)</f>
        <v>0</v>
      </c>
      <c r="W138" s="80">
        <f>SUMIFS('май 2024'!$G$4:$G$1753,'май 2024'!$D$4:$D$1753,$B138,'май 2024'!$J$4:$J$1753,W$1)</f>
        <v>0</v>
      </c>
      <c r="X138" s="80">
        <f>SUMIFS('май 2024'!$G$4:$G$1753,'май 2024'!$D$4:$D$1753,$B138,'май 2024'!$J$4:$J$1753,X$1)</f>
        <v>0</v>
      </c>
      <c r="Y138" s="80">
        <f>SUMIFS('май 2024'!$G$4:$G$1753,'май 2024'!$D$4:$D$1753,$B138,'май 2024'!$J$4:$J$1753,Y$1)</f>
        <v>0</v>
      </c>
      <c r="Z138" s="80">
        <f>SUMIFS('май 2024'!$G$4:$G$1753,'май 2024'!$D$4:$D$1753,$B138,'май 2024'!$J$4:$J$1753,Z$1)</f>
        <v>0</v>
      </c>
      <c r="AA138" s="80">
        <f>SUMIFS('май 2024'!$G$4:$G$1753,'май 2024'!$D$4:$D$1753,$B138,'май 2024'!$J$4:$J$1753,AA$1)</f>
        <v>0</v>
      </c>
      <c r="AB138" s="80">
        <f>SUMIFS('май 2024'!$G$4:$G$1753,'май 2024'!$D$4:$D$1753,$B138,'май 2024'!$J$4:$J$1753,AB$1)</f>
        <v>0</v>
      </c>
      <c r="AC138" s="80">
        <f>SUMIFS('май 2024'!$G$4:$G$1753,'май 2024'!$D$4:$D$1753,$B138,'май 2024'!$J$4:$J$1753,AC$1)</f>
        <v>0</v>
      </c>
      <c r="AD138" s="80">
        <f>SUMIFS('май 2024'!$G$4:$G$1753,'май 2024'!$D$4:$D$1753,$B138,'май 2024'!$J$4:$J$1753,AD$1)</f>
        <v>0</v>
      </c>
      <c r="AE138" s="80">
        <f>SUMIFS('май 2024'!$G$4:$G$1753,'май 2024'!$D$4:$D$1753,$B138,'май 2024'!$J$4:$J$1753,AE$1)</f>
        <v>0</v>
      </c>
      <c r="AF138" s="80">
        <f>SUMIFS('май 2024'!$G$4:$G$1753,'май 2024'!$D$4:$D$1753,$B138,'май 2024'!$J$4:$J$1753,AF$1)</f>
        <v>0</v>
      </c>
      <c r="AG138" s="80">
        <f>SUMIFS('май 2024'!$G$4:$G$1753,'май 2024'!$D$4:$D$1753,$B138,'май 2024'!$J$4:$J$1753,AG$1)</f>
        <v>0</v>
      </c>
      <c r="AH138" s="80">
        <f>SUMIFS('май 2024'!$G$4:$G$1753,'май 2024'!$D$4:$D$1753,$B138,'май 2024'!$J$4:$J$1753,AH$1)</f>
        <v>0</v>
      </c>
      <c r="AI138" s="21">
        <f t="shared" si="1"/>
        <v>0</v>
      </c>
    </row>
    <row r="139" spans="2:35" ht="15" customHeight="1" x14ac:dyDescent="0.25">
      <c r="B139" s="93" t="s">
        <v>186</v>
      </c>
      <c r="C139" s="91">
        <v>25</v>
      </c>
      <c r="D139" s="80">
        <f>SUMIFS('май 2024'!$G$4:$G$1753,'май 2024'!$D$4:$D$1753,$B139,'май 2024'!$J$4:$J$1753,D$1)</f>
        <v>0</v>
      </c>
      <c r="E139" s="80">
        <f>SUMIFS('май 2024'!$G$4:$G$1753,'май 2024'!$D$4:$D$1753,$B139,'май 2024'!$J$4:$J$1753,E$1)</f>
        <v>0</v>
      </c>
      <c r="F139" s="80">
        <f>SUMIFS('май 2024'!$G$4:$G$1753,'май 2024'!$D$4:$D$1753,$B139,'май 2024'!$J$4:$J$1753,F$1)</f>
        <v>0</v>
      </c>
      <c r="G139" s="80">
        <f>SUMIFS('май 2024'!$G$4:$G$1753,'май 2024'!$D$4:$D$1753,$B139,'май 2024'!$J$4:$J$1753,G$1)</f>
        <v>0</v>
      </c>
      <c r="H139" s="80">
        <f>SUMIFS('май 2024'!$G$4:$G$1753,'май 2024'!$D$4:$D$1753,$B139,'май 2024'!$J$4:$J$1753,H$1)</f>
        <v>0</v>
      </c>
      <c r="I139" s="80">
        <f>SUMIFS('май 2024'!$G$4:$G$1753,'май 2024'!$D$4:$D$1753,$B139,'май 2024'!$J$4:$J$1753,I$1)</f>
        <v>0</v>
      </c>
      <c r="J139" s="80">
        <f>SUMIFS('май 2024'!$G$4:$G$1753,'май 2024'!$D$4:$D$1753,$B139,'май 2024'!$J$4:$J$1753,J$1)</f>
        <v>0</v>
      </c>
      <c r="K139" s="80">
        <f>SUMIFS('май 2024'!$G$4:$G$1753,'май 2024'!$D$4:$D$1753,$B139,'май 2024'!$J$4:$J$1753,K$1)</f>
        <v>0</v>
      </c>
      <c r="L139" s="80">
        <f>SUMIFS('май 2024'!$G$4:$G$1753,'май 2024'!$D$4:$D$1753,$B139,'май 2024'!$J$4:$J$1753,L$1)</f>
        <v>0</v>
      </c>
      <c r="M139" s="80">
        <f>SUMIFS('май 2024'!$G$4:$G$1753,'май 2024'!$D$4:$D$1753,$B139,'май 2024'!$J$4:$J$1753,M$1)</f>
        <v>0</v>
      </c>
      <c r="N139" s="80">
        <f>SUMIFS('май 2024'!$G$4:$G$1753,'май 2024'!$D$4:$D$1753,$B139,'май 2024'!$J$4:$J$1753,N$1)</f>
        <v>0</v>
      </c>
      <c r="O139" s="80">
        <f>SUMIFS('май 2024'!$G$4:$G$1753,'май 2024'!$D$4:$D$1753,$B139,'май 2024'!$J$4:$J$1753,O$1)</f>
        <v>0</v>
      </c>
      <c r="P139" s="80">
        <f>SUMIFS('май 2024'!$G$4:$G$1753,'май 2024'!$D$4:$D$1753,$B139,'май 2024'!$J$4:$J$1753,P$1)</f>
        <v>0</v>
      </c>
      <c r="Q139" s="80">
        <f>SUMIFS('май 2024'!$G$4:$G$1753,'май 2024'!$D$4:$D$1753,$B139,'май 2024'!$J$4:$J$1753,Q$1)</f>
        <v>0</v>
      </c>
      <c r="R139" s="80">
        <f>SUMIFS('май 2024'!$G$4:$G$1753,'май 2024'!$D$4:$D$1753,$B139,'май 2024'!$J$4:$J$1753,R$1)</f>
        <v>0</v>
      </c>
      <c r="S139" s="80">
        <f>SUMIFS('май 2024'!$G$4:$G$1753,'май 2024'!$D$4:$D$1753,$B139,'май 2024'!$J$4:$J$1753,S$1)</f>
        <v>0</v>
      </c>
      <c r="T139" s="80">
        <f>SUMIFS('май 2024'!$G$4:$G$1753,'май 2024'!$D$4:$D$1753,$B139,'май 2024'!$J$4:$J$1753,T$1)</f>
        <v>0</v>
      </c>
      <c r="U139" s="80">
        <f>SUMIFS('май 2024'!$G$4:$G$1753,'май 2024'!$D$4:$D$1753,$B139,'май 2024'!$J$4:$J$1753,U$1)</f>
        <v>0</v>
      </c>
      <c r="V139" s="80">
        <f>SUMIFS('май 2024'!$G$4:$G$1753,'май 2024'!$D$4:$D$1753,$B139,'май 2024'!$J$4:$J$1753,V$1)</f>
        <v>0</v>
      </c>
      <c r="W139" s="80">
        <f>SUMIFS('май 2024'!$G$4:$G$1753,'май 2024'!$D$4:$D$1753,$B139,'май 2024'!$J$4:$J$1753,W$1)</f>
        <v>0</v>
      </c>
      <c r="X139" s="80">
        <f>SUMIFS('май 2024'!$G$4:$G$1753,'май 2024'!$D$4:$D$1753,$B139,'май 2024'!$J$4:$J$1753,X$1)</f>
        <v>0</v>
      </c>
      <c r="Y139" s="80">
        <f>SUMIFS('май 2024'!$G$4:$G$1753,'май 2024'!$D$4:$D$1753,$B139,'май 2024'!$J$4:$J$1753,Y$1)</f>
        <v>0</v>
      </c>
      <c r="Z139" s="80">
        <f>SUMIFS('май 2024'!$G$4:$G$1753,'май 2024'!$D$4:$D$1753,$B139,'май 2024'!$J$4:$J$1753,Z$1)</f>
        <v>0</v>
      </c>
      <c r="AA139" s="80">
        <f>SUMIFS('май 2024'!$G$4:$G$1753,'май 2024'!$D$4:$D$1753,$B139,'май 2024'!$J$4:$J$1753,AA$1)</f>
        <v>0</v>
      </c>
      <c r="AB139" s="80">
        <f>SUMIFS('май 2024'!$G$4:$G$1753,'май 2024'!$D$4:$D$1753,$B139,'май 2024'!$J$4:$J$1753,AB$1)</f>
        <v>0</v>
      </c>
      <c r="AC139" s="80">
        <f>SUMIFS('май 2024'!$G$4:$G$1753,'май 2024'!$D$4:$D$1753,$B139,'май 2024'!$J$4:$J$1753,AC$1)</f>
        <v>0</v>
      </c>
      <c r="AD139" s="80">
        <f>SUMIFS('май 2024'!$G$4:$G$1753,'май 2024'!$D$4:$D$1753,$B139,'май 2024'!$J$4:$J$1753,AD$1)</f>
        <v>0</v>
      </c>
      <c r="AE139" s="80">
        <f>SUMIFS('май 2024'!$G$4:$G$1753,'май 2024'!$D$4:$D$1753,$B139,'май 2024'!$J$4:$J$1753,AE$1)</f>
        <v>0</v>
      </c>
      <c r="AF139" s="80">
        <f>SUMIFS('май 2024'!$G$4:$G$1753,'май 2024'!$D$4:$D$1753,$B139,'май 2024'!$J$4:$J$1753,AF$1)</f>
        <v>0</v>
      </c>
      <c r="AG139" s="80">
        <f>SUMIFS('май 2024'!$G$4:$G$1753,'май 2024'!$D$4:$D$1753,$B139,'май 2024'!$J$4:$J$1753,AG$1)</f>
        <v>0</v>
      </c>
      <c r="AH139" s="80">
        <f>SUMIFS('май 2024'!$G$4:$G$1753,'май 2024'!$D$4:$D$1753,$B139,'май 2024'!$J$4:$J$1753,AH$1)</f>
        <v>0</v>
      </c>
      <c r="AI139" s="21">
        <f t="shared" si="1"/>
        <v>0</v>
      </c>
    </row>
    <row r="140" spans="2:35" ht="15" customHeight="1" x14ac:dyDescent="0.25">
      <c r="B140" s="89" t="s">
        <v>184</v>
      </c>
      <c r="C140" s="88">
        <v>25</v>
      </c>
      <c r="D140" s="80">
        <f>SUMIFS('май 2024'!$G$4:$G$1753,'май 2024'!$D$4:$D$1753,$B140,'май 2024'!$J$4:$J$1753,D$1)</f>
        <v>0</v>
      </c>
      <c r="E140" s="80">
        <f>SUMIFS('май 2024'!$G$4:$G$1753,'май 2024'!$D$4:$D$1753,$B140,'май 2024'!$J$4:$J$1753,E$1)</f>
        <v>0</v>
      </c>
      <c r="F140" s="80">
        <f>SUMIFS('май 2024'!$G$4:$G$1753,'май 2024'!$D$4:$D$1753,$B140,'май 2024'!$J$4:$J$1753,F$1)</f>
        <v>0</v>
      </c>
      <c r="G140" s="80">
        <f>SUMIFS('май 2024'!$G$4:$G$1753,'май 2024'!$D$4:$D$1753,$B140,'май 2024'!$J$4:$J$1753,G$1)</f>
        <v>0</v>
      </c>
      <c r="H140" s="80">
        <f>SUMIFS('май 2024'!$G$4:$G$1753,'май 2024'!$D$4:$D$1753,$B140,'май 2024'!$J$4:$J$1753,H$1)</f>
        <v>0</v>
      </c>
      <c r="I140" s="80">
        <f>SUMIFS('май 2024'!$G$4:$G$1753,'май 2024'!$D$4:$D$1753,$B140,'май 2024'!$J$4:$J$1753,I$1)</f>
        <v>0</v>
      </c>
      <c r="J140" s="80">
        <f>SUMIFS('май 2024'!$G$4:$G$1753,'май 2024'!$D$4:$D$1753,$B140,'май 2024'!$J$4:$J$1753,J$1)</f>
        <v>0</v>
      </c>
      <c r="K140" s="80">
        <f>SUMIFS('май 2024'!$G$4:$G$1753,'май 2024'!$D$4:$D$1753,$B140,'май 2024'!$J$4:$J$1753,K$1)</f>
        <v>0</v>
      </c>
      <c r="L140" s="80">
        <f>SUMIFS('май 2024'!$G$4:$G$1753,'май 2024'!$D$4:$D$1753,$B140,'май 2024'!$J$4:$J$1753,L$1)</f>
        <v>0</v>
      </c>
      <c r="M140" s="80">
        <f>SUMIFS('май 2024'!$G$4:$G$1753,'май 2024'!$D$4:$D$1753,$B140,'май 2024'!$J$4:$J$1753,M$1)</f>
        <v>0</v>
      </c>
      <c r="N140" s="80">
        <f>SUMIFS('май 2024'!$G$4:$G$1753,'май 2024'!$D$4:$D$1753,$B140,'май 2024'!$J$4:$J$1753,N$1)</f>
        <v>0</v>
      </c>
      <c r="O140" s="80">
        <f>SUMIFS('май 2024'!$G$4:$G$1753,'май 2024'!$D$4:$D$1753,$B140,'май 2024'!$J$4:$J$1753,O$1)</f>
        <v>0</v>
      </c>
      <c r="P140" s="80">
        <f>SUMIFS('май 2024'!$G$4:$G$1753,'май 2024'!$D$4:$D$1753,$B140,'май 2024'!$J$4:$J$1753,P$1)</f>
        <v>0</v>
      </c>
      <c r="Q140" s="80">
        <f>SUMIFS('май 2024'!$G$4:$G$1753,'май 2024'!$D$4:$D$1753,$B140,'май 2024'!$J$4:$J$1753,Q$1)</f>
        <v>0</v>
      </c>
      <c r="R140" s="80">
        <f>SUMIFS('май 2024'!$G$4:$G$1753,'май 2024'!$D$4:$D$1753,$B140,'май 2024'!$J$4:$J$1753,R$1)</f>
        <v>0</v>
      </c>
      <c r="S140" s="80">
        <f>SUMIFS('май 2024'!$G$4:$G$1753,'май 2024'!$D$4:$D$1753,$B140,'май 2024'!$J$4:$J$1753,S$1)</f>
        <v>0</v>
      </c>
      <c r="T140" s="80">
        <f>SUMIFS('май 2024'!$G$4:$G$1753,'май 2024'!$D$4:$D$1753,$B140,'май 2024'!$J$4:$J$1753,T$1)</f>
        <v>0</v>
      </c>
      <c r="U140" s="80">
        <f>SUMIFS('май 2024'!$G$4:$G$1753,'май 2024'!$D$4:$D$1753,$B140,'май 2024'!$J$4:$J$1753,U$1)</f>
        <v>0</v>
      </c>
      <c r="V140" s="80">
        <f>SUMIFS('май 2024'!$G$4:$G$1753,'май 2024'!$D$4:$D$1753,$B140,'май 2024'!$J$4:$J$1753,V$1)</f>
        <v>0</v>
      </c>
      <c r="W140" s="80">
        <f>SUMIFS('май 2024'!$G$4:$G$1753,'май 2024'!$D$4:$D$1753,$B140,'май 2024'!$J$4:$J$1753,W$1)</f>
        <v>0</v>
      </c>
      <c r="X140" s="80">
        <f>SUMIFS('май 2024'!$G$4:$G$1753,'май 2024'!$D$4:$D$1753,$B140,'май 2024'!$J$4:$J$1753,X$1)</f>
        <v>0</v>
      </c>
      <c r="Y140" s="80">
        <f>SUMIFS('май 2024'!$G$4:$G$1753,'май 2024'!$D$4:$D$1753,$B140,'май 2024'!$J$4:$J$1753,Y$1)</f>
        <v>0</v>
      </c>
      <c r="Z140" s="80">
        <f>SUMIFS('май 2024'!$G$4:$G$1753,'май 2024'!$D$4:$D$1753,$B140,'май 2024'!$J$4:$J$1753,Z$1)</f>
        <v>0</v>
      </c>
      <c r="AA140" s="80">
        <f>SUMIFS('май 2024'!$G$4:$G$1753,'май 2024'!$D$4:$D$1753,$B140,'май 2024'!$J$4:$J$1753,AA$1)</f>
        <v>0</v>
      </c>
      <c r="AB140" s="80">
        <f>SUMIFS('май 2024'!$G$4:$G$1753,'май 2024'!$D$4:$D$1753,$B140,'май 2024'!$J$4:$J$1753,AB$1)</f>
        <v>0</v>
      </c>
      <c r="AC140" s="80">
        <f>SUMIFS('май 2024'!$G$4:$G$1753,'май 2024'!$D$4:$D$1753,$B140,'май 2024'!$J$4:$J$1753,AC$1)</f>
        <v>0</v>
      </c>
      <c r="AD140" s="80">
        <f>SUMIFS('май 2024'!$G$4:$G$1753,'май 2024'!$D$4:$D$1753,$B140,'май 2024'!$J$4:$J$1753,AD$1)</f>
        <v>0</v>
      </c>
      <c r="AE140" s="80">
        <f>SUMIFS('май 2024'!$G$4:$G$1753,'май 2024'!$D$4:$D$1753,$B140,'май 2024'!$J$4:$J$1753,AE$1)</f>
        <v>0</v>
      </c>
      <c r="AF140" s="80">
        <f>SUMIFS('май 2024'!$G$4:$G$1753,'май 2024'!$D$4:$D$1753,$B140,'май 2024'!$J$4:$J$1753,AF$1)</f>
        <v>0</v>
      </c>
      <c r="AG140" s="80">
        <f>SUMIFS('май 2024'!$G$4:$G$1753,'май 2024'!$D$4:$D$1753,$B140,'май 2024'!$J$4:$J$1753,AG$1)</f>
        <v>0</v>
      </c>
      <c r="AH140" s="80">
        <f>SUMIFS('май 2024'!$G$4:$G$1753,'май 2024'!$D$4:$D$1753,$B140,'май 2024'!$J$4:$J$1753,AH$1)</f>
        <v>0</v>
      </c>
      <c r="AI140" s="21">
        <f t="shared" si="1"/>
        <v>0</v>
      </c>
    </row>
    <row r="141" spans="2:35" ht="15" customHeight="1" x14ac:dyDescent="0.25">
      <c r="B141" s="89" t="s">
        <v>185</v>
      </c>
      <c r="C141" s="88">
        <v>25</v>
      </c>
      <c r="D141" s="80">
        <f>SUMIFS('май 2024'!$G$4:$G$1753,'май 2024'!$D$4:$D$1753,$B141,'май 2024'!$J$4:$J$1753,D$1)</f>
        <v>0</v>
      </c>
      <c r="E141" s="80">
        <f>SUMIFS('май 2024'!$G$4:$G$1753,'май 2024'!$D$4:$D$1753,$B141,'май 2024'!$J$4:$J$1753,E$1)</f>
        <v>0</v>
      </c>
      <c r="F141" s="80">
        <f>SUMIFS('май 2024'!$G$4:$G$1753,'май 2024'!$D$4:$D$1753,$B141,'май 2024'!$J$4:$J$1753,F$1)</f>
        <v>0</v>
      </c>
      <c r="G141" s="80">
        <f>SUMIFS('май 2024'!$G$4:$G$1753,'май 2024'!$D$4:$D$1753,$B141,'май 2024'!$J$4:$J$1753,G$1)</f>
        <v>0</v>
      </c>
      <c r="H141" s="80">
        <f>SUMIFS('май 2024'!$G$4:$G$1753,'май 2024'!$D$4:$D$1753,$B141,'май 2024'!$J$4:$J$1753,H$1)</f>
        <v>0</v>
      </c>
      <c r="I141" s="80">
        <f>SUMIFS('май 2024'!$G$4:$G$1753,'май 2024'!$D$4:$D$1753,$B141,'май 2024'!$J$4:$J$1753,I$1)</f>
        <v>0</v>
      </c>
      <c r="J141" s="80">
        <f>SUMIFS('май 2024'!$G$4:$G$1753,'май 2024'!$D$4:$D$1753,$B141,'май 2024'!$J$4:$J$1753,J$1)</f>
        <v>0</v>
      </c>
      <c r="K141" s="80">
        <f>SUMIFS('май 2024'!$G$4:$G$1753,'май 2024'!$D$4:$D$1753,$B141,'май 2024'!$J$4:$J$1753,K$1)</f>
        <v>0</v>
      </c>
      <c r="L141" s="80">
        <f>SUMIFS('май 2024'!$G$4:$G$1753,'май 2024'!$D$4:$D$1753,$B141,'май 2024'!$J$4:$J$1753,L$1)</f>
        <v>0</v>
      </c>
      <c r="M141" s="80">
        <f>SUMIFS('май 2024'!$G$4:$G$1753,'май 2024'!$D$4:$D$1753,$B141,'май 2024'!$J$4:$J$1753,M$1)</f>
        <v>0</v>
      </c>
      <c r="N141" s="80">
        <f>SUMIFS('май 2024'!$G$4:$G$1753,'май 2024'!$D$4:$D$1753,$B141,'май 2024'!$J$4:$J$1753,N$1)</f>
        <v>0</v>
      </c>
      <c r="O141" s="80">
        <f>SUMIFS('май 2024'!$G$4:$G$1753,'май 2024'!$D$4:$D$1753,$B141,'май 2024'!$J$4:$J$1753,O$1)</f>
        <v>0</v>
      </c>
      <c r="P141" s="80">
        <f>SUMIFS('май 2024'!$G$4:$G$1753,'май 2024'!$D$4:$D$1753,$B141,'май 2024'!$J$4:$J$1753,P$1)</f>
        <v>0</v>
      </c>
      <c r="Q141" s="80">
        <f>SUMIFS('май 2024'!$G$4:$G$1753,'май 2024'!$D$4:$D$1753,$B141,'май 2024'!$J$4:$J$1753,Q$1)</f>
        <v>0</v>
      </c>
      <c r="R141" s="80">
        <f>SUMIFS('май 2024'!$G$4:$G$1753,'май 2024'!$D$4:$D$1753,$B141,'май 2024'!$J$4:$J$1753,R$1)</f>
        <v>0</v>
      </c>
      <c r="S141" s="80">
        <f>SUMIFS('май 2024'!$G$4:$G$1753,'май 2024'!$D$4:$D$1753,$B141,'май 2024'!$J$4:$J$1753,S$1)</f>
        <v>0</v>
      </c>
      <c r="T141" s="80">
        <f>SUMIFS('май 2024'!$G$4:$G$1753,'май 2024'!$D$4:$D$1753,$B141,'май 2024'!$J$4:$J$1753,T$1)</f>
        <v>0</v>
      </c>
      <c r="U141" s="80">
        <f>SUMIFS('май 2024'!$G$4:$G$1753,'май 2024'!$D$4:$D$1753,$B141,'май 2024'!$J$4:$J$1753,U$1)</f>
        <v>0</v>
      </c>
      <c r="V141" s="80">
        <f>SUMIFS('май 2024'!$G$4:$G$1753,'май 2024'!$D$4:$D$1753,$B141,'май 2024'!$J$4:$J$1753,V$1)</f>
        <v>0</v>
      </c>
      <c r="W141" s="80">
        <f>SUMIFS('май 2024'!$G$4:$G$1753,'май 2024'!$D$4:$D$1753,$B141,'май 2024'!$J$4:$J$1753,W$1)</f>
        <v>0</v>
      </c>
      <c r="X141" s="80">
        <f>SUMIFS('май 2024'!$G$4:$G$1753,'май 2024'!$D$4:$D$1753,$B141,'май 2024'!$J$4:$J$1753,X$1)</f>
        <v>0</v>
      </c>
      <c r="Y141" s="80">
        <f>SUMIFS('май 2024'!$G$4:$G$1753,'май 2024'!$D$4:$D$1753,$B141,'май 2024'!$J$4:$J$1753,Y$1)</f>
        <v>0</v>
      </c>
      <c r="Z141" s="80">
        <f>SUMIFS('май 2024'!$G$4:$G$1753,'май 2024'!$D$4:$D$1753,$B141,'май 2024'!$J$4:$J$1753,Z$1)</f>
        <v>0</v>
      </c>
      <c r="AA141" s="80">
        <f>SUMIFS('май 2024'!$G$4:$G$1753,'май 2024'!$D$4:$D$1753,$B141,'май 2024'!$J$4:$J$1753,AA$1)</f>
        <v>0</v>
      </c>
      <c r="AB141" s="80">
        <f>SUMIFS('май 2024'!$G$4:$G$1753,'май 2024'!$D$4:$D$1753,$B141,'май 2024'!$J$4:$J$1753,AB$1)</f>
        <v>0</v>
      </c>
      <c r="AC141" s="80">
        <f>SUMIFS('май 2024'!$G$4:$G$1753,'май 2024'!$D$4:$D$1753,$B141,'май 2024'!$J$4:$J$1753,AC$1)</f>
        <v>0</v>
      </c>
      <c r="AD141" s="80">
        <f>SUMIFS('май 2024'!$G$4:$G$1753,'май 2024'!$D$4:$D$1753,$B141,'май 2024'!$J$4:$J$1753,AD$1)</f>
        <v>0</v>
      </c>
      <c r="AE141" s="80">
        <f>SUMIFS('май 2024'!$G$4:$G$1753,'май 2024'!$D$4:$D$1753,$B141,'май 2024'!$J$4:$J$1753,AE$1)</f>
        <v>0</v>
      </c>
      <c r="AF141" s="80">
        <f>SUMIFS('май 2024'!$G$4:$G$1753,'май 2024'!$D$4:$D$1753,$B141,'май 2024'!$J$4:$J$1753,AF$1)</f>
        <v>0</v>
      </c>
      <c r="AG141" s="80">
        <f>SUMIFS('май 2024'!$G$4:$G$1753,'май 2024'!$D$4:$D$1753,$B141,'май 2024'!$J$4:$J$1753,AG$1)</f>
        <v>0</v>
      </c>
      <c r="AH141" s="80">
        <f>SUMIFS('май 2024'!$G$4:$G$1753,'май 2024'!$D$4:$D$1753,$B141,'май 2024'!$J$4:$J$1753,AH$1)</f>
        <v>0</v>
      </c>
      <c r="AI141" s="21">
        <f t="shared" si="1"/>
        <v>0</v>
      </c>
    </row>
    <row r="142" spans="2:35" ht="15" customHeight="1" x14ac:dyDescent="0.25">
      <c r="B142" s="89" t="s">
        <v>212</v>
      </c>
      <c r="C142" s="88">
        <v>25</v>
      </c>
      <c r="D142" s="80">
        <f>SUMIFS('май 2024'!$G$4:$G$1753,'май 2024'!$D$4:$D$1753,$B142,'май 2024'!$J$4:$J$1753,D$1)</f>
        <v>0</v>
      </c>
      <c r="E142" s="80">
        <f>SUMIFS('май 2024'!$G$4:$G$1753,'май 2024'!$D$4:$D$1753,$B142,'май 2024'!$J$4:$J$1753,E$1)</f>
        <v>0</v>
      </c>
      <c r="F142" s="80">
        <f>SUMIFS('май 2024'!$G$4:$G$1753,'май 2024'!$D$4:$D$1753,$B142,'май 2024'!$J$4:$J$1753,F$1)</f>
        <v>0</v>
      </c>
      <c r="G142" s="80">
        <f>SUMIFS('май 2024'!$G$4:$G$1753,'май 2024'!$D$4:$D$1753,$B142,'май 2024'!$J$4:$J$1753,G$1)</f>
        <v>0</v>
      </c>
      <c r="H142" s="80">
        <f>SUMIFS('май 2024'!$G$4:$G$1753,'май 2024'!$D$4:$D$1753,$B142,'май 2024'!$J$4:$J$1753,H$1)</f>
        <v>0</v>
      </c>
      <c r="I142" s="80">
        <f>SUMIFS('май 2024'!$G$4:$G$1753,'май 2024'!$D$4:$D$1753,$B142,'май 2024'!$J$4:$J$1753,I$1)</f>
        <v>0</v>
      </c>
      <c r="J142" s="80">
        <f>SUMIFS('май 2024'!$G$4:$G$1753,'май 2024'!$D$4:$D$1753,$B142,'май 2024'!$J$4:$J$1753,J$1)</f>
        <v>0</v>
      </c>
      <c r="K142" s="80">
        <f>SUMIFS('май 2024'!$G$4:$G$1753,'май 2024'!$D$4:$D$1753,$B142,'май 2024'!$J$4:$J$1753,K$1)</f>
        <v>0</v>
      </c>
      <c r="L142" s="80">
        <f>SUMIFS('май 2024'!$G$4:$G$1753,'май 2024'!$D$4:$D$1753,$B142,'май 2024'!$J$4:$J$1753,L$1)</f>
        <v>0</v>
      </c>
      <c r="M142" s="80">
        <f>SUMIFS('май 2024'!$G$4:$G$1753,'май 2024'!$D$4:$D$1753,$B142,'май 2024'!$J$4:$J$1753,M$1)</f>
        <v>0</v>
      </c>
      <c r="N142" s="80">
        <f>SUMIFS('май 2024'!$G$4:$G$1753,'май 2024'!$D$4:$D$1753,$B142,'май 2024'!$J$4:$J$1753,N$1)</f>
        <v>0</v>
      </c>
      <c r="O142" s="80">
        <f>SUMIFS('май 2024'!$G$4:$G$1753,'май 2024'!$D$4:$D$1753,$B142,'май 2024'!$J$4:$J$1753,O$1)</f>
        <v>0</v>
      </c>
      <c r="P142" s="80">
        <f>SUMIFS('май 2024'!$G$4:$G$1753,'май 2024'!$D$4:$D$1753,$B142,'май 2024'!$J$4:$J$1753,P$1)</f>
        <v>0</v>
      </c>
      <c r="Q142" s="80">
        <f>SUMIFS('май 2024'!$G$4:$G$1753,'май 2024'!$D$4:$D$1753,$B142,'май 2024'!$J$4:$J$1753,Q$1)</f>
        <v>0</v>
      </c>
      <c r="R142" s="80">
        <f>SUMIFS('май 2024'!$G$4:$G$1753,'май 2024'!$D$4:$D$1753,$B142,'май 2024'!$J$4:$J$1753,R$1)</f>
        <v>0</v>
      </c>
      <c r="S142" s="80">
        <f>SUMIFS('май 2024'!$G$4:$G$1753,'май 2024'!$D$4:$D$1753,$B142,'май 2024'!$J$4:$J$1753,S$1)</f>
        <v>0</v>
      </c>
      <c r="T142" s="80">
        <f>SUMIFS('май 2024'!$G$4:$G$1753,'май 2024'!$D$4:$D$1753,$B142,'май 2024'!$J$4:$J$1753,T$1)</f>
        <v>0</v>
      </c>
      <c r="U142" s="80">
        <f>SUMIFS('май 2024'!$G$4:$G$1753,'май 2024'!$D$4:$D$1753,$B142,'май 2024'!$J$4:$J$1753,U$1)</f>
        <v>0</v>
      </c>
      <c r="V142" s="80">
        <f>SUMIFS('май 2024'!$G$4:$G$1753,'май 2024'!$D$4:$D$1753,$B142,'май 2024'!$J$4:$J$1753,V$1)</f>
        <v>0</v>
      </c>
      <c r="W142" s="80">
        <f>SUMIFS('май 2024'!$G$4:$G$1753,'май 2024'!$D$4:$D$1753,$B142,'май 2024'!$J$4:$J$1753,W$1)</f>
        <v>0</v>
      </c>
      <c r="X142" s="80">
        <f>SUMIFS('май 2024'!$G$4:$G$1753,'май 2024'!$D$4:$D$1753,$B142,'май 2024'!$J$4:$J$1753,X$1)</f>
        <v>0</v>
      </c>
      <c r="Y142" s="80">
        <f>SUMIFS('май 2024'!$G$4:$G$1753,'май 2024'!$D$4:$D$1753,$B142,'май 2024'!$J$4:$J$1753,Y$1)</f>
        <v>0</v>
      </c>
      <c r="Z142" s="80">
        <f>SUMIFS('май 2024'!$G$4:$G$1753,'май 2024'!$D$4:$D$1753,$B142,'май 2024'!$J$4:$J$1753,Z$1)</f>
        <v>0</v>
      </c>
      <c r="AA142" s="80">
        <f>SUMIFS('май 2024'!$G$4:$G$1753,'май 2024'!$D$4:$D$1753,$B142,'май 2024'!$J$4:$J$1753,AA$1)</f>
        <v>0</v>
      </c>
      <c r="AB142" s="80">
        <f>SUMIFS('май 2024'!$G$4:$G$1753,'май 2024'!$D$4:$D$1753,$B142,'май 2024'!$J$4:$J$1753,AB$1)</f>
        <v>0</v>
      </c>
      <c r="AC142" s="80">
        <f>SUMIFS('май 2024'!$G$4:$G$1753,'май 2024'!$D$4:$D$1753,$B142,'май 2024'!$J$4:$J$1753,AC$1)</f>
        <v>0</v>
      </c>
      <c r="AD142" s="80">
        <f>SUMIFS('май 2024'!$G$4:$G$1753,'май 2024'!$D$4:$D$1753,$B142,'май 2024'!$J$4:$J$1753,AD$1)</f>
        <v>0</v>
      </c>
      <c r="AE142" s="80">
        <f>SUMIFS('май 2024'!$G$4:$G$1753,'май 2024'!$D$4:$D$1753,$B142,'май 2024'!$J$4:$J$1753,AE$1)</f>
        <v>0</v>
      </c>
      <c r="AF142" s="80">
        <f>SUMIFS('май 2024'!$G$4:$G$1753,'май 2024'!$D$4:$D$1753,$B142,'май 2024'!$J$4:$J$1753,AF$1)</f>
        <v>0</v>
      </c>
      <c r="AG142" s="80">
        <f>SUMIFS('май 2024'!$G$4:$G$1753,'май 2024'!$D$4:$D$1753,$B142,'май 2024'!$J$4:$J$1753,AG$1)</f>
        <v>0</v>
      </c>
      <c r="AH142" s="80">
        <f>SUMIFS('май 2024'!$G$4:$G$1753,'май 2024'!$D$4:$D$1753,$B142,'май 2024'!$J$4:$J$1753,AH$1)</f>
        <v>0</v>
      </c>
      <c r="AI142" s="21">
        <f t="shared" si="1"/>
        <v>0</v>
      </c>
    </row>
    <row r="143" spans="2:35" ht="15" customHeight="1" x14ac:dyDescent="0.25">
      <c r="B143" s="89" t="s">
        <v>994</v>
      </c>
      <c r="C143" s="88">
        <v>200</v>
      </c>
      <c r="D143" s="80">
        <f>SUMIFS('май 2024'!$G$4:$G$1753,'май 2024'!$D$4:$D$1753,$B143,'май 2024'!$J$4:$J$1753,D$1)</f>
        <v>0</v>
      </c>
      <c r="E143" s="80">
        <f>SUMIFS('май 2024'!$G$4:$G$1753,'май 2024'!$D$4:$D$1753,$B143,'май 2024'!$J$4:$J$1753,E$1)</f>
        <v>0</v>
      </c>
      <c r="F143" s="80">
        <f>SUMIFS('май 2024'!$G$4:$G$1753,'май 2024'!$D$4:$D$1753,$B143,'май 2024'!$J$4:$J$1753,F$1)</f>
        <v>0</v>
      </c>
      <c r="G143" s="80">
        <f>SUMIFS('май 2024'!$G$4:$G$1753,'май 2024'!$D$4:$D$1753,$B143,'май 2024'!$J$4:$J$1753,G$1)</f>
        <v>0</v>
      </c>
      <c r="H143" s="80">
        <f>SUMIFS('май 2024'!$G$4:$G$1753,'май 2024'!$D$4:$D$1753,$B143,'май 2024'!$J$4:$J$1753,H$1)</f>
        <v>0</v>
      </c>
      <c r="I143" s="80">
        <f>SUMIFS('май 2024'!$G$4:$G$1753,'май 2024'!$D$4:$D$1753,$B143,'май 2024'!$J$4:$J$1753,I$1)</f>
        <v>0</v>
      </c>
      <c r="J143" s="80">
        <f>SUMIFS('май 2024'!$G$4:$G$1753,'май 2024'!$D$4:$D$1753,$B143,'май 2024'!$J$4:$J$1753,J$1)</f>
        <v>0</v>
      </c>
      <c r="K143" s="80">
        <f>SUMIFS('май 2024'!$G$4:$G$1753,'май 2024'!$D$4:$D$1753,$B143,'май 2024'!$J$4:$J$1753,K$1)</f>
        <v>0</v>
      </c>
      <c r="L143" s="80">
        <f>SUMIFS('май 2024'!$G$4:$G$1753,'май 2024'!$D$4:$D$1753,$B143,'май 2024'!$J$4:$J$1753,L$1)</f>
        <v>0</v>
      </c>
      <c r="M143" s="80">
        <f>SUMIFS('май 2024'!$G$4:$G$1753,'май 2024'!$D$4:$D$1753,$B143,'май 2024'!$J$4:$J$1753,M$1)</f>
        <v>0</v>
      </c>
      <c r="N143" s="80">
        <f>SUMIFS('май 2024'!$G$4:$G$1753,'май 2024'!$D$4:$D$1753,$B143,'май 2024'!$J$4:$J$1753,N$1)</f>
        <v>0</v>
      </c>
      <c r="O143" s="80">
        <f>SUMIFS('май 2024'!$G$4:$G$1753,'май 2024'!$D$4:$D$1753,$B143,'май 2024'!$J$4:$J$1753,O$1)</f>
        <v>0</v>
      </c>
      <c r="P143" s="80">
        <f>SUMIFS('май 2024'!$G$4:$G$1753,'май 2024'!$D$4:$D$1753,$B143,'май 2024'!$J$4:$J$1753,P$1)</f>
        <v>0</v>
      </c>
      <c r="Q143" s="80">
        <f>SUMIFS('май 2024'!$G$4:$G$1753,'май 2024'!$D$4:$D$1753,$B143,'май 2024'!$J$4:$J$1753,Q$1)</f>
        <v>0</v>
      </c>
      <c r="R143" s="80">
        <f>SUMIFS('май 2024'!$G$4:$G$1753,'май 2024'!$D$4:$D$1753,$B143,'май 2024'!$J$4:$J$1753,R$1)</f>
        <v>0</v>
      </c>
      <c r="S143" s="80">
        <f>SUMIFS('май 2024'!$G$4:$G$1753,'май 2024'!$D$4:$D$1753,$B143,'май 2024'!$J$4:$J$1753,S$1)</f>
        <v>0</v>
      </c>
      <c r="T143" s="80">
        <f>SUMIFS('май 2024'!$G$4:$G$1753,'май 2024'!$D$4:$D$1753,$B143,'май 2024'!$J$4:$J$1753,T$1)</f>
        <v>0</v>
      </c>
      <c r="U143" s="80">
        <f>SUMIFS('май 2024'!$G$4:$G$1753,'май 2024'!$D$4:$D$1753,$B143,'май 2024'!$J$4:$J$1753,U$1)</f>
        <v>0</v>
      </c>
      <c r="V143" s="80">
        <f>SUMIFS('май 2024'!$G$4:$G$1753,'май 2024'!$D$4:$D$1753,$B143,'май 2024'!$J$4:$J$1753,V$1)</f>
        <v>0</v>
      </c>
      <c r="W143" s="80">
        <f>SUMIFS('май 2024'!$G$4:$G$1753,'май 2024'!$D$4:$D$1753,$B143,'май 2024'!$J$4:$J$1753,W$1)</f>
        <v>0</v>
      </c>
      <c r="X143" s="80">
        <f>SUMIFS('май 2024'!$G$4:$G$1753,'май 2024'!$D$4:$D$1753,$B143,'май 2024'!$J$4:$J$1753,X$1)</f>
        <v>0</v>
      </c>
      <c r="Y143" s="80">
        <f>SUMIFS('май 2024'!$G$4:$G$1753,'май 2024'!$D$4:$D$1753,$B143,'май 2024'!$J$4:$J$1753,Y$1)</f>
        <v>0</v>
      </c>
      <c r="Z143" s="80">
        <f>SUMIFS('май 2024'!$G$4:$G$1753,'май 2024'!$D$4:$D$1753,$B143,'май 2024'!$J$4:$J$1753,Z$1)</f>
        <v>0</v>
      </c>
      <c r="AA143" s="80">
        <f>SUMIFS('май 2024'!$G$4:$G$1753,'май 2024'!$D$4:$D$1753,$B143,'май 2024'!$J$4:$J$1753,AA$1)</f>
        <v>0</v>
      </c>
      <c r="AB143" s="80">
        <f>SUMIFS('май 2024'!$G$4:$G$1753,'май 2024'!$D$4:$D$1753,$B143,'май 2024'!$J$4:$J$1753,AB$1)</f>
        <v>0</v>
      </c>
      <c r="AC143" s="80">
        <f>SUMIFS('май 2024'!$G$4:$G$1753,'май 2024'!$D$4:$D$1753,$B143,'май 2024'!$J$4:$J$1753,AC$1)</f>
        <v>0</v>
      </c>
      <c r="AD143" s="80">
        <f>SUMIFS('май 2024'!$G$4:$G$1753,'май 2024'!$D$4:$D$1753,$B143,'май 2024'!$J$4:$J$1753,AD$1)</f>
        <v>0</v>
      </c>
      <c r="AE143" s="80">
        <f>SUMIFS('май 2024'!$G$4:$G$1753,'май 2024'!$D$4:$D$1753,$B143,'май 2024'!$J$4:$J$1753,AE$1)</f>
        <v>0</v>
      </c>
      <c r="AF143" s="80">
        <f>SUMIFS('май 2024'!$G$4:$G$1753,'май 2024'!$D$4:$D$1753,$B143,'май 2024'!$J$4:$J$1753,AF$1)</f>
        <v>0</v>
      </c>
      <c r="AG143" s="80">
        <f>SUMIFS('май 2024'!$G$4:$G$1753,'май 2024'!$D$4:$D$1753,$B143,'май 2024'!$J$4:$J$1753,AG$1)</f>
        <v>0</v>
      </c>
      <c r="AH143" s="80">
        <f>SUMIFS('май 2024'!$G$4:$G$1753,'май 2024'!$D$4:$D$1753,$B143,'май 2024'!$J$4:$J$1753,AH$1)</f>
        <v>0</v>
      </c>
      <c r="AI143" s="21">
        <f>SUM(D143:AH143)</f>
        <v>0</v>
      </c>
    </row>
    <row r="144" spans="2:35" ht="15" customHeight="1" x14ac:dyDescent="0.25">
      <c r="B144" s="89" t="s">
        <v>1118</v>
      </c>
      <c r="C144" s="88">
        <v>175</v>
      </c>
      <c r="D144" s="80">
        <f>SUMIFS('май 2024'!$G$4:$G$1753,'май 2024'!$D$4:$D$1753,$B144,'май 2024'!$J$4:$J$1753,D$1)</f>
        <v>0</v>
      </c>
      <c r="E144" s="80">
        <f>SUMIFS('май 2024'!$G$4:$G$1753,'май 2024'!$D$4:$D$1753,$B144,'май 2024'!$J$4:$J$1753,E$1)</f>
        <v>0</v>
      </c>
      <c r="F144" s="80">
        <f>SUMIFS('май 2024'!$G$4:$G$1753,'май 2024'!$D$4:$D$1753,$B144,'май 2024'!$J$4:$J$1753,F$1)</f>
        <v>0</v>
      </c>
      <c r="G144" s="80">
        <f>SUMIFS('май 2024'!$G$4:$G$1753,'май 2024'!$D$4:$D$1753,$B144,'май 2024'!$J$4:$J$1753,G$1)</f>
        <v>0</v>
      </c>
      <c r="H144" s="80">
        <f>SUMIFS('май 2024'!$G$4:$G$1753,'май 2024'!$D$4:$D$1753,$B144,'май 2024'!$J$4:$J$1753,H$1)</f>
        <v>0</v>
      </c>
      <c r="I144" s="80">
        <f>SUMIFS('май 2024'!$G$4:$G$1753,'май 2024'!$D$4:$D$1753,$B144,'май 2024'!$J$4:$J$1753,I$1)</f>
        <v>0</v>
      </c>
      <c r="J144" s="80">
        <f>SUMIFS('май 2024'!$G$4:$G$1753,'май 2024'!$D$4:$D$1753,$B144,'май 2024'!$J$4:$J$1753,J$1)</f>
        <v>0</v>
      </c>
      <c r="K144" s="80">
        <f>SUMIFS('май 2024'!$G$4:$G$1753,'май 2024'!$D$4:$D$1753,$B144,'май 2024'!$J$4:$J$1753,K$1)</f>
        <v>0</v>
      </c>
      <c r="L144" s="80">
        <f>SUMIFS('май 2024'!$G$4:$G$1753,'май 2024'!$D$4:$D$1753,$B144,'май 2024'!$J$4:$J$1753,L$1)</f>
        <v>0</v>
      </c>
      <c r="M144" s="80">
        <f>SUMIFS('май 2024'!$G$4:$G$1753,'май 2024'!$D$4:$D$1753,$B144,'май 2024'!$J$4:$J$1753,M$1)</f>
        <v>0</v>
      </c>
      <c r="N144" s="80">
        <f>SUMIFS('май 2024'!$G$4:$G$1753,'май 2024'!$D$4:$D$1753,$B144,'май 2024'!$J$4:$J$1753,N$1)</f>
        <v>0</v>
      </c>
      <c r="O144" s="80">
        <f>SUMIFS('май 2024'!$G$4:$G$1753,'май 2024'!$D$4:$D$1753,$B144,'май 2024'!$J$4:$J$1753,O$1)</f>
        <v>0</v>
      </c>
      <c r="P144" s="80">
        <f>SUMIFS('май 2024'!$G$4:$G$1753,'май 2024'!$D$4:$D$1753,$B144,'май 2024'!$J$4:$J$1753,P$1)</f>
        <v>0</v>
      </c>
      <c r="Q144" s="80">
        <f>SUMIFS('май 2024'!$G$4:$G$1753,'май 2024'!$D$4:$D$1753,$B144,'май 2024'!$J$4:$J$1753,Q$1)</f>
        <v>0</v>
      </c>
      <c r="R144" s="80">
        <f>SUMIFS('май 2024'!$G$4:$G$1753,'май 2024'!$D$4:$D$1753,$B144,'май 2024'!$J$4:$J$1753,R$1)</f>
        <v>0</v>
      </c>
      <c r="S144" s="80">
        <f>SUMIFS('май 2024'!$G$4:$G$1753,'май 2024'!$D$4:$D$1753,$B144,'май 2024'!$J$4:$J$1753,S$1)</f>
        <v>0</v>
      </c>
      <c r="T144" s="80">
        <f>SUMIFS('май 2024'!$G$4:$G$1753,'май 2024'!$D$4:$D$1753,$B144,'май 2024'!$J$4:$J$1753,T$1)</f>
        <v>0</v>
      </c>
      <c r="U144" s="80">
        <f>SUMIFS('май 2024'!$G$4:$G$1753,'май 2024'!$D$4:$D$1753,$B144,'май 2024'!$J$4:$J$1753,U$1)</f>
        <v>0</v>
      </c>
      <c r="V144" s="80">
        <f>SUMIFS('май 2024'!$G$4:$G$1753,'май 2024'!$D$4:$D$1753,$B144,'май 2024'!$J$4:$J$1753,V$1)</f>
        <v>0</v>
      </c>
      <c r="W144" s="80">
        <f>SUMIFS('май 2024'!$G$4:$G$1753,'май 2024'!$D$4:$D$1753,$B144,'май 2024'!$J$4:$J$1753,W$1)</f>
        <v>0</v>
      </c>
      <c r="X144" s="80">
        <f>SUMIFS('май 2024'!$G$4:$G$1753,'май 2024'!$D$4:$D$1753,$B144,'май 2024'!$J$4:$J$1753,X$1)</f>
        <v>0</v>
      </c>
      <c r="Y144" s="80">
        <f>SUMIFS('май 2024'!$G$4:$G$1753,'май 2024'!$D$4:$D$1753,$B144,'май 2024'!$J$4:$J$1753,Y$1)</f>
        <v>0</v>
      </c>
      <c r="Z144" s="80">
        <f>SUMIFS('май 2024'!$G$4:$G$1753,'май 2024'!$D$4:$D$1753,$B144,'май 2024'!$J$4:$J$1753,Z$1)</f>
        <v>0</v>
      </c>
      <c r="AA144" s="80">
        <f>SUMIFS('май 2024'!$G$4:$G$1753,'май 2024'!$D$4:$D$1753,$B144,'май 2024'!$J$4:$J$1753,AA$1)</f>
        <v>0</v>
      </c>
      <c r="AB144" s="80">
        <f>SUMIFS('май 2024'!$G$4:$G$1753,'май 2024'!$D$4:$D$1753,$B144,'май 2024'!$J$4:$J$1753,AB$1)</f>
        <v>0</v>
      </c>
      <c r="AC144" s="80">
        <f>SUMIFS('май 2024'!$G$4:$G$1753,'май 2024'!$D$4:$D$1753,$B144,'май 2024'!$J$4:$J$1753,AC$1)</f>
        <v>0</v>
      </c>
      <c r="AD144" s="80">
        <f>SUMIFS('май 2024'!$G$4:$G$1753,'май 2024'!$D$4:$D$1753,$B144,'май 2024'!$J$4:$J$1753,AD$1)</f>
        <v>0</v>
      </c>
      <c r="AE144" s="80">
        <f>SUMIFS('май 2024'!$G$4:$G$1753,'май 2024'!$D$4:$D$1753,$B144,'май 2024'!$J$4:$J$1753,AE$1)</f>
        <v>0</v>
      </c>
      <c r="AF144" s="80">
        <f>SUMIFS('май 2024'!$G$4:$G$1753,'май 2024'!$D$4:$D$1753,$B144,'май 2024'!$J$4:$J$1753,AF$1)</f>
        <v>0</v>
      </c>
      <c r="AG144" s="80">
        <f>SUMIFS('май 2024'!$G$4:$G$1753,'май 2024'!$D$4:$D$1753,$B144,'май 2024'!$J$4:$J$1753,AG$1)</f>
        <v>0</v>
      </c>
      <c r="AH144" s="80">
        <f>SUMIFS('май 2024'!$G$4:$G$1753,'май 2024'!$D$4:$D$1753,$B144,'май 2024'!$J$4:$J$1753,AH$1)</f>
        <v>0</v>
      </c>
      <c r="AI144" s="21">
        <f>SUM(D144:AH144)</f>
        <v>0</v>
      </c>
    </row>
    <row r="145" spans="2:35" ht="15" customHeight="1" x14ac:dyDescent="0.25">
      <c r="B145" s="89"/>
      <c r="C145" s="88"/>
      <c r="D145" s="86">
        <f>SUMIFS('март 2024'!$G$6:$G$1612,'март 2024'!$D$6:$D$1612,$B145,'март 2024'!$J$6:$J$1612,D$1)</f>
        <v>0</v>
      </c>
      <c r="E145" s="86">
        <f>SUMIFS('март 2024'!$G$6:$G$1612,'март 2024'!$D$6:$D$1612,$B145,'март 2024'!$J$6:$J$1612,E$1)</f>
        <v>0</v>
      </c>
      <c r="F145" s="86">
        <f>SUMIFS('март 2024'!$G$6:$G$1612,'март 2024'!$D$6:$D$1612,$B145,'март 2024'!$J$6:$J$1612,F$1)</f>
        <v>0</v>
      </c>
      <c r="G145" s="86">
        <f>SUMIFS('март 2024'!$G$6:$G$1612,'март 2024'!$D$6:$D$1612,$B145,'март 2024'!$J$6:$J$1612,G$1)</f>
        <v>0</v>
      </c>
      <c r="H145" s="86">
        <f>SUMIFS('март 2024'!$G$6:$G$1612,'март 2024'!$D$6:$D$1612,$B145,'март 2024'!$J$6:$J$1612,H$1)</f>
        <v>0</v>
      </c>
      <c r="I145" s="86">
        <f>SUMIFS('март 2024'!$G$6:$G$1612,'март 2024'!$D$6:$D$1612,$B145,'март 2024'!$J$6:$J$1612,I$1)</f>
        <v>0</v>
      </c>
      <c r="J145" s="86">
        <f>SUMIFS('март 2024'!$G$6:$G$1612,'март 2024'!$D$6:$D$1612,$B145,'март 2024'!$J$6:$J$1612,J$1)</f>
        <v>0</v>
      </c>
      <c r="K145" s="86">
        <f>SUMIFS('март 2024'!$G$6:$G$1612,'март 2024'!$D$6:$D$1612,$B145,'март 2024'!$J$6:$J$1612,K$1)</f>
        <v>0</v>
      </c>
      <c r="L145" s="86">
        <f>SUMIFS('март 2024'!$G$6:$G$1612,'март 2024'!$D$6:$D$1612,$B145,'март 2024'!$J$6:$J$1612,L$1)</f>
        <v>0</v>
      </c>
      <c r="M145" s="86">
        <f>SUMIFS('март 2024'!$G$6:$G$1612,'март 2024'!$D$6:$D$1612,$B145,'март 2024'!$J$6:$J$1612,M$1)</f>
        <v>0</v>
      </c>
      <c r="N145" s="86">
        <f>SUMIFS('март 2024'!$G$6:$G$1612,'март 2024'!$D$6:$D$1612,$B145,'март 2024'!$J$6:$J$1612,N$1)</f>
        <v>0</v>
      </c>
      <c r="O145" s="86">
        <f>SUMIFS('март 2024'!$G$6:$G$1612,'март 2024'!$D$6:$D$1612,$B145,'март 2024'!$J$6:$J$1612,O$1)</f>
        <v>0</v>
      </c>
      <c r="P145" s="86">
        <f>SUMIFS('март 2024'!$G$6:$G$1612,'март 2024'!$D$6:$D$1612,$B145,'март 2024'!$J$6:$J$1612,P$1)</f>
        <v>0</v>
      </c>
      <c r="Q145" s="86">
        <f>SUMIFS('март 2024'!$G$6:$G$1612,'март 2024'!$D$6:$D$1612,$B145,'март 2024'!$J$6:$J$1612,Q$1)</f>
        <v>0</v>
      </c>
      <c r="R145" s="86">
        <f>SUMIFS('март 2024'!$G$6:$G$1612,'март 2024'!$D$6:$D$1612,$B145,'март 2024'!$J$6:$J$1612,R$1)</f>
        <v>0</v>
      </c>
      <c r="S145" s="86">
        <f>SUMIFS('март 2024'!$G$6:$G$1612,'март 2024'!$D$6:$D$1612,$B145,'март 2024'!$J$6:$J$1612,S$1)</f>
        <v>0</v>
      </c>
      <c r="T145" s="86">
        <f>SUMIFS('март 2024'!$G$6:$G$1612,'март 2024'!$D$6:$D$1612,$B145,'март 2024'!$J$6:$J$1612,T$1)</f>
        <v>0</v>
      </c>
      <c r="U145" s="86">
        <f>SUMIFS('март 2024'!$G$6:$G$1612,'март 2024'!$D$6:$D$1612,$B145,'март 2024'!$J$6:$J$1612,U$1)</f>
        <v>0</v>
      </c>
      <c r="V145" s="86">
        <f>SUMIFS('март 2024'!$G$6:$G$1612,'март 2024'!$D$6:$D$1612,$B145,'март 2024'!$J$6:$J$1612,V$1)</f>
        <v>0</v>
      </c>
      <c r="W145" s="86">
        <f>SUMIFS('март 2024'!$G$6:$G$1612,'март 2024'!$D$6:$D$1612,$B145,'март 2024'!$J$6:$J$1612,W$1)</f>
        <v>0</v>
      </c>
      <c r="X145" s="86">
        <f>SUMIFS('март 2024'!$G$6:$G$1612,'март 2024'!$D$6:$D$1612,$B145,'март 2024'!$J$6:$J$1612,X$1)</f>
        <v>0</v>
      </c>
      <c r="Y145" s="86">
        <f>SUMIFS('март 2024'!$G$6:$G$1612,'март 2024'!$D$6:$D$1612,$B145,'март 2024'!$J$6:$J$1612,Y$1)</f>
        <v>0</v>
      </c>
      <c r="Z145" s="86">
        <f>SUMIFS('март 2024'!$G$6:$G$1612,'март 2024'!$D$6:$D$1612,$B145,'март 2024'!$J$6:$J$1612,Z$1)</f>
        <v>0</v>
      </c>
      <c r="AA145" s="86">
        <f>SUMIFS('март 2024'!$G$6:$G$1612,'март 2024'!$D$6:$D$1612,$B145,'март 2024'!$J$6:$J$1612,AA$1)</f>
        <v>0</v>
      </c>
      <c r="AB145" s="86">
        <f>SUMIFS('март 2024'!$G$6:$G$1612,'март 2024'!$D$6:$D$1612,$B145,'март 2024'!$J$6:$J$1612,AB$1)</f>
        <v>0</v>
      </c>
      <c r="AC145" s="86">
        <f>SUMIFS('март 2024'!$G$6:$G$1612,'март 2024'!$D$6:$D$1612,$B145,'март 2024'!$J$6:$J$1612,AC$1)</f>
        <v>0</v>
      </c>
      <c r="AD145" s="86">
        <f>SUMIFS('март 2024'!$G$6:$G$1612,'март 2024'!$D$6:$D$1612,$B145,'март 2024'!$J$6:$J$1612,AD$1)</f>
        <v>0</v>
      </c>
      <c r="AE145" s="86">
        <f>SUMIFS('март 2024'!$G$6:$G$1612,'март 2024'!$D$6:$D$1612,$B145,'март 2024'!$J$6:$J$1612,AE$1)</f>
        <v>0</v>
      </c>
      <c r="AF145" s="86">
        <f>SUMIFS('март 2024'!$G$6:$G$1612,'март 2024'!$D$6:$D$1612,$B145,'март 2024'!$J$6:$J$1612,AF$1)</f>
        <v>0</v>
      </c>
      <c r="AG145" s="86">
        <f>SUMIFS('март 2024'!$G$6:$G$1612,'март 2024'!$D$6:$D$1612,$B145,'март 2024'!$J$6:$J$1612,AG$1)</f>
        <v>0</v>
      </c>
      <c r="AH145" s="86">
        <f>SUMIFS('март 2024'!$G$6:$G$1612,'март 2024'!$D$6:$D$1612,$B145,'март 2024'!$J$6:$J$1612,AH$1)</f>
        <v>0</v>
      </c>
      <c r="AI145" s="21">
        <f>SUM(D145:AH145)</f>
        <v>0</v>
      </c>
    </row>
    <row r="146" spans="2:35" ht="15" customHeight="1" x14ac:dyDescent="0.25">
      <c r="B146" s="89"/>
      <c r="C146" s="88"/>
      <c r="D146" s="86">
        <f>SUMIFS('март 2024'!$G$6:$G$1612,'март 2024'!$D$6:$D$1612,$B146,'март 2024'!$J$6:$J$1612,D$1)</f>
        <v>0</v>
      </c>
      <c r="E146" s="86">
        <f>SUMIFS('март 2024'!$G$6:$G$1612,'март 2024'!$D$6:$D$1612,$B146,'март 2024'!$J$6:$J$1612,E$1)</f>
        <v>0</v>
      </c>
      <c r="F146" s="86">
        <f>SUMIFS('март 2024'!$G$6:$G$1612,'март 2024'!$D$6:$D$1612,$B146,'март 2024'!$J$6:$J$1612,F$1)</f>
        <v>0</v>
      </c>
      <c r="G146" s="86">
        <f>SUMIFS('март 2024'!$G$6:$G$1612,'март 2024'!$D$6:$D$1612,$B146,'март 2024'!$J$6:$J$1612,G$1)</f>
        <v>0</v>
      </c>
      <c r="H146" s="86">
        <f>SUMIFS('март 2024'!$G$6:$G$1612,'март 2024'!$D$6:$D$1612,$B146,'март 2024'!$J$6:$J$1612,H$1)</f>
        <v>0</v>
      </c>
      <c r="I146" s="86">
        <f>SUMIFS('март 2024'!$G$6:$G$1612,'март 2024'!$D$6:$D$1612,$B146,'март 2024'!$J$6:$J$1612,I$1)</f>
        <v>0</v>
      </c>
      <c r="J146" s="86">
        <f>SUMIFS('март 2024'!$G$6:$G$1612,'март 2024'!$D$6:$D$1612,$B146,'март 2024'!$J$6:$J$1612,J$1)</f>
        <v>0</v>
      </c>
      <c r="K146" s="86">
        <f>SUMIFS('март 2024'!$G$6:$G$1612,'март 2024'!$D$6:$D$1612,$B146,'март 2024'!$J$6:$J$1612,K$1)</f>
        <v>0</v>
      </c>
      <c r="L146" s="86">
        <f>SUMIFS('март 2024'!$G$6:$G$1612,'март 2024'!$D$6:$D$1612,$B146,'март 2024'!$J$6:$J$1612,L$1)</f>
        <v>0</v>
      </c>
      <c r="M146" s="86">
        <f>SUMIFS('март 2024'!$G$6:$G$1612,'март 2024'!$D$6:$D$1612,$B146,'март 2024'!$J$6:$J$1612,M$1)</f>
        <v>0</v>
      </c>
      <c r="N146" s="86">
        <f>SUMIFS('март 2024'!$G$6:$G$1612,'март 2024'!$D$6:$D$1612,$B146,'март 2024'!$J$6:$J$1612,N$1)</f>
        <v>0</v>
      </c>
      <c r="O146" s="86">
        <f>SUMIFS('март 2024'!$G$6:$G$1612,'март 2024'!$D$6:$D$1612,$B146,'март 2024'!$J$6:$J$1612,O$1)</f>
        <v>0</v>
      </c>
      <c r="P146" s="86">
        <f>SUMIFS('март 2024'!$G$6:$G$1612,'март 2024'!$D$6:$D$1612,$B146,'март 2024'!$J$6:$J$1612,P$1)</f>
        <v>0</v>
      </c>
      <c r="Q146" s="86">
        <f>SUMIFS('март 2024'!$G$6:$G$1612,'март 2024'!$D$6:$D$1612,$B146,'март 2024'!$J$6:$J$1612,Q$1)</f>
        <v>0</v>
      </c>
      <c r="R146" s="86">
        <f>SUMIFS('март 2024'!$G$6:$G$1612,'март 2024'!$D$6:$D$1612,$B146,'март 2024'!$J$6:$J$1612,R$1)</f>
        <v>0</v>
      </c>
      <c r="S146" s="86">
        <f>SUMIFS('март 2024'!$G$6:$G$1612,'март 2024'!$D$6:$D$1612,$B146,'март 2024'!$J$6:$J$1612,S$1)</f>
        <v>0</v>
      </c>
      <c r="T146" s="86">
        <f>SUMIFS('март 2024'!$G$6:$G$1612,'март 2024'!$D$6:$D$1612,$B146,'март 2024'!$J$6:$J$1612,T$1)</f>
        <v>0</v>
      </c>
      <c r="U146" s="86">
        <f>SUMIFS('март 2024'!$G$6:$G$1612,'март 2024'!$D$6:$D$1612,$B146,'март 2024'!$J$6:$J$1612,U$1)</f>
        <v>0</v>
      </c>
      <c r="V146" s="86">
        <f>SUMIFS('март 2024'!$G$6:$G$1612,'март 2024'!$D$6:$D$1612,$B146,'март 2024'!$J$6:$J$1612,V$1)</f>
        <v>0</v>
      </c>
      <c r="W146" s="86">
        <f>SUMIFS('март 2024'!$G$6:$G$1612,'март 2024'!$D$6:$D$1612,$B146,'март 2024'!$J$6:$J$1612,W$1)</f>
        <v>0</v>
      </c>
      <c r="X146" s="86">
        <f>SUMIFS('март 2024'!$G$6:$G$1612,'март 2024'!$D$6:$D$1612,$B146,'март 2024'!$J$6:$J$1612,X$1)</f>
        <v>0</v>
      </c>
      <c r="Y146" s="86">
        <f>SUMIFS('март 2024'!$G$6:$G$1612,'март 2024'!$D$6:$D$1612,$B146,'март 2024'!$J$6:$J$1612,Y$1)</f>
        <v>0</v>
      </c>
      <c r="Z146" s="86">
        <f>SUMIFS('март 2024'!$G$6:$G$1612,'март 2024'!$D$6:$D$1612,$B146,'март 2024'!$J$6:$J$1612,Z$1)</f>
        <v>0</v>
      </c>
      <c r="AA146" s="86">
        <f>SUMIFS('март 2024'!$G$6:$G$1612,'март 2024'!$D$6:$D$1612,$B146,'март 2024'!$J$6:$J$1612,AA$1)</f>
        <v>0</v>
      </c>
      <c r="AB146" s="86">
        <f>SUMIFS('март 2024'!$G$6:$G$1612,'март 2024'!$D$6:$D$1612,$B146,'март 2024'!$J$6:$J$1612,AB$1)</f>
        <v>0</v>
      </c>
      <c r="AC146" s="86">
        <f>SUMIFS('март 2024'!$G$6:$G$1612,'март 2024'!$D$6:$D$1612,$B146,'март 2024'!$J$6:$J$1612,AC$1)</f>
        <v>0</v>
      </c>
      <c r="AD146" s="86">
        <f>SUMIFS('март 2024'!$G$6:$G$1612,'март 2024'!$D$6:$D$1612,$B146,'март 2024'!$J$6:$J$1612,AD$1)</f>
        <v>0</v>
      </c>
      <c r="AE146" s="86">
        <f>SUMIFS('март 2024'!$G$6:$G$1612,'март 2024'!$D$6:$D$1612,$B146,'март 2024'!$J$6:$J$1612,AE$1)</f>
        <v>0</v>
      </c>
      <c r="AF146" s="86">
        <f>SUMIFS('март 2024'!$G$6:$G$1612,'март 2024'!$D$6:$D$1612,$B146,'март 2024'!$J$6:$J$1612,AF$1)</f>
        <v>0</v>
      </c>
      <c r="AG146" s="86">
        <f>SUMIFS('март 2024'!$G$6:$G$1612,'март 2024'!$D$6:$D$1612,$B146,'март 2024'!$J$6:$J$1612,AG$1)</f>
        <v>0</v>
      </c>
      <c r="AH146" s="86">
        <f>SUMIFS('март 2024'!$G$6:$G$1612,'март 2024'!$D$6:$D$1612,$B146,'март 2024'!$J$6:$J$1612,AH$1)</f>
        <v>0</v>
      </c>
      <c r="AI146" s="21">
        <f>SUM(D146:AH146)</f>
        <v>0</v>
      </c>
    </row>
    <row r="147" spans="2:35" ht="15" hidden="1" customHeight="1" x14ac:dyDescent="0.25">
      <c r="B147" s="89"/>
      <c r="C147" s="88"/>
      <c r="D147" s="80">
        <f>SUMIFS('февраль 2024'!$G$6:$G$1413,'февраль 2024'!$D$6:$D$1413,$B147,'февраль 2024'!$J$6:$J$1413,D$1)</f>
        <v>0</v>
      </c>
      <c r="E147" s="80">
        <f>SUMIFS('февраль 2024'!$G$6:$G$1413,'февраль 2024'!$D$6:$D$1413,$B147,'февраль 2024'!$J$6:$J$1413,E$1)</f>
        <v>0</v>
      </c>
      <c r="F147" s="80">
        <f>SUMIFS('февраль 2024'!$G$6:$G$1413,'февраль 2024'!$D$6:$D$1413,$B147,'февраль 2024'!$J$6:$J$1413,F$1)</f>
        <v>0</v>
      </c>
      <c r="G147" s="80">
        <f>SUMIFS('февраль 2024'!$G$6:$G$1413,'февраль 2024'!$D$6:$D$1413,$B147,'февраль 2024'!$J$6:$J$1413,G$1)</f>
        <v>0</v>
      </c>
      <c r="H147" s="80">
        <f>SUMIFS('февраль 2024'!$G$6:$G$1413,'февраль 2024'!$D$6:$D$1413,$B147,'февраль 2024'!$J$6:$J$1413,H$1)</f>
        <v>0</v>
      </c>
      <c r="I147" s="80">
        <f>SUMIFS('февраль 2024'!$G$6:$G$1413,'февраль 2024'!$D$6:$D$1413,$B147,'февраль 2024'!$J$6:$J$1413,I$1)</f>
        <v>0</v>
      </c>
      <c r="J147" s="80">
        <f>SUMIFS('февраль 2024'!$G$6:$G$1413,'февраль 2024'!$D$6:$D$1413,$B147,'февраль 2024'!$J$6:$J$1413,J$1)</f>
        <v>0</v>
      </c>
      <c r="K147" s="80">
        <f>SUMIFS('февраль 2024'!$G$6:$G$1413,'февраль 2024'!$D$6:$D$1413,$B147,'февраль 2024'!$J$6:$J$1413,K$1)</f>
        <v>0</v>
      </c>
      <c r="L147" s="80">
        <f>SUMIFS('февраль 2024'!$G$6:$G$1413,'февраль 2024'!$D$6:$D$1413,$B147,'февраль 2024'!$J$6:$J$1413,L$1)</f>
        <v>0</v>
      </c>
      <c r="M147" s="80">
        <f>SUMIFS('февраль 2024'!$G$6:$G$1413,'февраль 2024'!$D$6:$D$1413,$B147,'февраль 2024'!$J$6:$J$1413,M$1)</f>
        <v>0</v>
      </c>
      <c r="N147" s="80">
        <f>SUMIFS('февраль 2024'!$G$6:$G$1413,'февраль 2024'!$D$6:$D$1413,$B147,'февраль 2024'!$J$6:$J$1413,N$1)</f>
        <v>0</v>
      </c>
      <c r="O147" s="80">
        <f>SUMIFS('февраль 2024'!$G$6:$G$1413,'февраль 2024'!$D$6:$D$1413,$B147,'февраль 2024'!$J$6:$J$1413,O$1)</f>
        <v>0</v>
      </c>
      <c r="P147" s="80">
        <f>SUMIFS('февраль 2024'!$G$6:$G$1413,'февраль 2024'!$D$6:$D$1413,$B147,'февраль 2024'!$J$6:$J$1413,P$1)</f>
        <v>0</v>
      </c>
      <c r="Q147" s="80">
        <f>SUMIFS('февраль 2024'!$G$6:$G$1413,'февраль 2024'!$D$6:$D$1413,$B147,'февраль 2024'!$J$6:$J$1413,Q$1)</f>
        <v>0</v>
      </c>
      <c r="R147" s="80">
        <f>SUMIFS('февраль 2024'!$G$6:$G$1413,'февраль 2024'!$D$6:$D$1413,$B147,'февраль 2024'!$J$6:$J$1413,R$1)</f>
        <v>0</v>
      </c>
      <c r="S147" s="80">
        <f>SUMIFS('февраль 2024'!$G$6:$G$1413,'февраль 2024'!$D$6:$D$1413,$B147,'февраль 2024'!$J$6:$J$1413,S$1)</f>
        <v>0</v>
      </c>
      <c r="T147" s="80">
        <f>SUMIFS('февраль 2024'!$G$6:$G$1413,'февраль 2024'!$D$6:$D$1413,$B147,'февраль 2024'!$J$6:$J$1413,T$1)</f>
        <v>0</v>
      </c>
      <c r="U147" s="80">
        <f>SUMIFS('февраль 2024'!$G$6:$G$1413,'февраль 2024'!$D$6:$D$1413,$B147,'февраль 2024'!$J$6:$J$1413,U$1)</f>
        <v>0</v>
      </c>
      <c r="V147" s="80">
        <f>SUMIFS('февраль 2024'!$G$6:$G$1413,'февраль 2024'!$D$6:$D$1413,$B147,'февраль 2024'!$J$6:$J$1413,V$1)</f>
        <v>0</v>
      </c>
      <c r="W147" s="80">
        <f>SUMIFS('февраль 2024'!$G$6:$G$1413,'февраль 2024'!$D$6:$D$1413,$B147,'февраль 2024'!$J$6:$J$1413,W$1)</f>
        <v>0</v>
      </c>
      <c r="X147" s="80">
        <f>SUMIFS('февраль 2024'!$G$6:$G$1413,'февраль 2024'!$D$6:$D$1413,$B147,'февраль 2024'!$J$6:$J$1413,X$1)</f>
        <v>0</v>
      </c>
      <c r="Y147" s="80">
        <f>SUMIFS('февраль 2024'!$G$6:$G$1413,'февраль 2024'!$D$6:$D$1413,$B147,'февраль 2024'!$J$6:$J$1413,Y$1)</f>
        <v>0</v>
      </c>
      <c r="Z147" s="80">
        <f>SUMIFS('февраль 2024'!$G$6:$G$1413,'февраль 2024'!$D$6:$D$1413,$B147,'февраль 2024'!$J$6:$J$1413,Z$1)</f>
        <v>0</v>
      </c>
      <c r="AA147" s="80">
        <f>SUMIFS('февраль 2024'!$G$6:$G$1413,'февраль 2024'!$D$6:$D$1413,$B147,'февраль 2024'!$J$6:$J$1413,AA$1)</f>
        <v>0</v>
      </c>
      <c r="AB147" s="80">
        <f>SUMIFS('февраль 2024'!$G$6:$G$1413,'февраль 2024'!$D$6:$D$1413,$B147,'февраль 2024'!$J$6:$J$1413,AB$1)</f>
        <v>0</v>
      </c>
      <c r="AC147" s="80">
        <f>SUMIFS('февраль 2024'!$G$6:$G$1413,'февраль 2024'!$D$6:$D$1413,$B147,'февраль 2024'!$J$6:$J$1413,AC$1)</f>
        <v>0</v>
      </c>
      <c r="AD147" s="80">
        <f>SUMIFS('февраль 2024'!$G$6:$G$1413,'февраль 2024'!$D$6:$D$1413,$B147,'февраль 2024'!$J$6:$J$1413,AD$1)</f>
        <v>0</v>
      </c>
      <c r="AE147" s="80">
        <f>SUMIFS('февраль 2024'!$G$6:$G$1413,'февраль 2024'!$D$6:$D$1413,$B147,'февраль 2024'!$J$6:$J$1413,AE$1)</f>
        <v>0</v>
      </c>
      <c r="AF147" s="80">
        <f>SUMIFS('февраль 2024'!$G$6:$G$1413,'февраль 2024'!$D$6:$D$1413,$B147,'февраль 2024'!$J$6:$J$1413,AF$1)</f>
        <v>0</v>
      </c>
      <c r="AG147" s="80">
        <f>SUMIFS('февраль 2024'!$G$6:$G$1413,'февраль 2024'!$D$6:$D$1413,$B147,'февраль 2024'!$J$6:$J$1413,AG$1)</f>
        <v>0</v>
      </c>
      <c r="AH147" s="80">
        <f>SUMIFS('февраль 2024'!$G$6:$G$1413,'февраль 2024'!$D$6:$D$1413,$B147,'февраль 2024'!$J$6:$J$1413,AH$1)</f>
        <v>0</v>
      </c>
      <c r="AI147" s="87"/>
    </row>
    <row r="148" spans="2:35" ht="15" hidden="1" customHeight="1" x14ac:dyDescent="0.25">
      <c r="B148" s="89"/>
      <c r="C148" s="88"/>
      <c r="D148" s="80">
        <f>SUMIFS('февраль 2024'!$G$6:$G$1413,'февраль 2024'!$D$6:$D$1413,$B148,'февраль 2024'!$J$6:$J$1413,D$1)</f>
        <v>0</v>
      </c>
      <c r="E148" s="80">
        <f>SUMIFS('февраль 2024'!$G$6:$G$1413,'февраль 2024'!$D$6:$D$1413,$B148,'февраль 2024'!$J$6:$J$1413,E$1)</f>
        <v>0</v>
      </c>
      <c r="F148" s="80">
        <f>SUMIFS('февраль 2024'!$G$6:$G$1413,'февраль 2024'!$D$6:$D$1413,$B148,'февраль 2024'!$J$6:$J$1413,F$1)</f>
        <v>0</v>
      </c>
      <c r="G148" s="80">
        <f>SUMIFS('февраль 2024'!$G$6:$G$1413,'февраль 2024'!$D$6:$D$1413,$B148,'февраль 2024'!$J$6:$J$1413,G$1)</f>
        <v>0</v>
      </c>
      <c r="H148" s="80">
        <f>SUMIFS('февраль 2024'!$G$6:$G$1413,'февраль 2024'!$D$6:$D$1413,$B148,'февраль 2024'!$J$6:$J$1413,H$1)</f>
        <v>0</v>
      </c>
      <c r="I148" s="80">
        <f>SUMIFS('февраль 2024'!$G$6:$G$1413,'февраль 2024'!$D$6:$D$1413,$B148,'февраль 2024'!$J$6:$J$1413,I$1)</f>
        <v>0</v>
      </c>
      <c r="J148" s="80">
        <f>SUMIFS('февраль 2024'!$G$6:$G$1413,'февраль 2024'!$D$6:$D$1413,$B148,'февраль 2024'!$J$6:$J$1413,J$1)</f>
        <v>0</v>
      </c>
      <c r="K148" s="80">
        <f>SUMIFS('февраль 2024'!$G$6:$G$1413,'февраль 2024'!$D$6:$D$1413,$B148,'февраль 2024'!$J$6:$J$1413,K$1)</f>
        <v>0</v>
      </c>
      <c r="L148" s="80">
        <f>SUMIFS('февраль 2024'!$G$6:$G$1413,'февраль 2024'!$D$6:$D$1413,$B148,'февраль 2024'!$J$6:$J$1413,L$1)</f>
        <v>0</v>
      </c>
      <c r="M148" s="80">
        <f>SUMIFS('февраль 2024'!$G$6:$G$1413,'февраль 2024'!$D$6:$D$1413,$B148,'февраль 2024'!$J$6:$J$1413,M$1)</f>
        <v>0</v>
      </c>
      <c r="N148" s="80">
        <f>SUMIFS('февраль 2024'!$G$6:$G$1413,'февраль 2024'!$D$6:$D$1413,$B148,'февраль 2024'!$J$6:$J$1413,N$1)</f>
        <v>0</v>
      </c>
      <c r="O148" s="80">
        <f>SUMIFS('февраль 2024'!$G$6:$G$1413,'февраль 2024'!$D$6:$D$1413,$B148,'февраль 2024'!$J$6:$J$1413,O$1)</f>
        <v>0</v>
      </c>
      <c r="P148" s="80">
        <f>SUMIFS('февраль 2024'!$G$6:$G$1413,'февраль 2024'!$D$6:$D$1413,$B148,'февраль 2024'!$J$6:$J$1413,P$1)</f>
        <v>0</v>
      </c>
      <c r="Q148" s="80">
        <f>SUMIFS('февраль 2024'!$G$6:$G$1413,'февраль 2024'!$D$6:$D$1413,$B148,'февраль 2024'!$J$6:$J$1413,Q$1)</f>
        <v>0</v>
      </c>
      <c r="R148" s="80">
        <f>SUMIFS('февраль 2024'!$G$6:$G$1413,'февраль 2024'!$D$6:$D$1413,$B148,'февраль 2024'!$J$6:$J$1413,R$1)</f>
        <v>0</v>
      </c>
      <c r="S148" s="80">
        <f>SUMIFS('февраль 2024'!$G$6:$G$1413,'февраль 2024'!$D$6:$D$1413,$B148,'февраль 2024'!$J$6:$J$1413,S$1)</f>
        <v>0</v>
      </c>
      <c r="T148" s="80">
        <f>SUMIFS('февраль 2024'!$G$6:$G$1413,'февраль 2024'!$D$6:$D$1413,$B148,'февраль 2024'!$J$6:$J$1413,T$1)</f>
        <v>0</v>
      </c>
      <c r="U148" s="80">
        <f>SUMIFS('февраль 2024'!$G$6:$G$1413,'февраль 2024'!$D$6:$D$1413,$B148,'февраль 2024'!$J$6:$J$1413,U$1)</f>
        <v>0</v>
      </c>
      <c r="V148" s="80">
        <f>SUMIFS('февраль 2024'!$G$6:$G$1413,'февраль 2024'!$D$6:$D$1413,$B148,'февраль 2024'!$J$6:$J$1413,V$1)</f>
        <v>0</v>
      </c>
      <c r="W148" s="80">
        <f>SUMIFS('февраль 2024'!$G$6:$G$1413,'февраль 2024'!$D$6:$D$1413,$B148,'февраль 2024'!$J$6:$J$1413,W$1)</f>
        <v>0</v>
      </c>
      <c r="X148" s="80">
        <f>SUMIFS('февраль 2024'!$G$6:$G$1413,'февраль 2024'!$D$6:$D$1413,$B148,'февраль 2024'!$J$6:$J$1413,X$1)</f>
        <v>0</v>
      </c>
      <c r="Y148" s="80">
        <f>SUMIFS('февраль 2024'!$G$6:$G$1413,'февраль 2024'!$D$6:$D$1413,$B148,'февраль 2024'!$J$6:$J$1413,Y$1)</f>
        <v>0</v>
      </c>
      <c r="Z148" s="80">
        <f>SUMIFS('февраль 2024'!$G$6:$G$1413,'февраль 2024'!$D$6:$D$1413,$B148,'февраль 2024'!$J$6:$J$1413,Z$1)</f>
        <v>0</v>
      </c>
      <c r="AA148" s="80">
        <f>SUMIFS('февраль 2024'!$G$6:$G$1413,'февраль 2024'!$D$6:$D$1413,$B148,'февраль 2024'!$J$6:$J$1413,AA$1)</f>
        <v>0</v>
      </c>
      <c r="AB148" s="80">
        <f>SUMIFS('февраль 2024'!$G$6:$G$1413,'февраль 2024'!$D$6:$D$1413,$B148,'февраль 2024'!$J$6:$J$1413,AB$1)</f>
        <v>0</v>
      </c>
      <c r="AC148" s="80">
        <f>SUMIFS('февраль 2024'!$G$6:$G$1413,'февраль 2024'!$D$6:$D$1413,$B148,'февраль 2024'!$J$6:$J$1413,AC$1)</f>
        <v>0</v>
      </c>
      <c r="AD148" s="80">
        <f>SUMIFS('февраль 2024'!$G$6:$G$1413,'февраль 2024'!$D$6:$D$1413,$B148,'февраль 2024'!$J$6:$J$1413,AD$1)</f>
        <v>0</v>
      </c>
      <c r="AE148" s="80">
        <f>SUMIFS('февраль 2024'!$G$6:$G$1413,'февраль 2024'!$D$6:$D$1413,$B148,'февраль 2024'!$J$6:$J$1413,AE$1)</f>
        <v>0</v>
      </c>
      <c r="AF148" s="80">
        <f>SUMIFS('февраль 2024'!$G$6:$G$1413,'февраль 2024'!$D$6:$D$1413,$B148,'февраль 2024'!$J$6:$J$1413,AF$1)</f>
        <v>0</v>
      </c>
      <c r="AG148" s="80">
        <f>SUMIFS('февраль 2024'!$G$6:$G$1413,'февраль 2024'!$D$6:$D$1413,$B148,'февраль 2024'!$J$6:$J$1413,AG$1)</f>
        <v>0</v>
      </c>
      <c r="AH148" s="80">
        <f>SUMIFS('февраль 2024'!$G$6:$G$1413,'февраль 2024'!$D$6:$D$1413,$B148,'февраль 2024'!$J$6:$J$1413,AH$1)</f>
        <v>0</v>
      </c>
      <c r="AI148" s="87"/>
    </row>
    <row r="149" spans="2:35" ht="15" hidden="1" customHeight="1" x14ac:dyDescent="0.25">
      <c r="B149" s="93"/>
      <c r="C149" s="88"/>
      <c r="D149" s="80">
        <f>SUMIFS('февраль 2024'!$G$6:$G$1413,'февраль 2024'!$D$6:$D$1413,$B149,'февраль 2024'!$J$6:$J$1413,D$1)</f>
        <v>0</v>
      </c>
      <c r="E149" s="80">
        <f>SUMIFS('февраль 2024'!$G$6:$G$1413,'февраль 2024'!$D$6:$D$1413,$B149,'февраль 2024'!$J$6:$J$1413,E$1)</f>
        <v>0</v>
      </c>
      <c r="F149" s="80">
        <f>SUMIFS('февраль 2024'!$G$6:$G$1413,'февраль 2024'!$D$6:$D$1413,$B149,'февраль 2024'!$J$6:$J$1413,F$1)</f>
        <v>0</v>
      </c>
      <c r="G149" s="80">
        <f>SUMIFS('февраль 2024'!$G$6:$G$1413,'февраль 2024'!$D$6:$D$1413,$B149,'февраль 2024'!$J$6:$J$1413,G$1)</f>
        <v>0</v>
      </c>
      <c r="H149" s="80">
        <f>SUMIFS('февраль 2024'!$G$6:$G$1413,'февраль 2024'!$D$6:$D$1413,$B149,'февраль 2024'!$J$6:$J$1413,H$1)</f>
        <v>0</v>
      </c>
      <c r="I149" s="80">
        <f>SUMIFS('февраль 2024'!$G$6:$G$1413,'февраль 2024'!$D$6:$D$1413,$B149,'февраль 2024'!$J$6:$J$1413,I$1)</f>
        <v>0</v>
      </c>
      <c r="J149" s="80">
        <f>SUMIFS('февраль 2024'!$G$6:$G$1413,'февраль 2024'!$D$6:$D$1413,$B149,'февраль 2024'!$J$6:$J$1413,J$1)</f>
        <v>0</v>
      </c>
      <c r="K149" s="80">
        <f>SUMIFS('февраль 2024'!$G$6:$G$1413,'февраль 2024'!$D$6:$D$1413,$B149,'февраль 2024'!$J$6:$J$1413,K$1)</f>
        <v>0</v>
      </c>
      <c r="L149" s="80">
        <f>SUMIFS('февраль 2024'!$G$6:$G$1413,'февраль 2024'!$D$6:$D$1413,$B149,'февраль 2024'!$J$6:$J$1413,L$1)</f>
        <v>0</v>
      </c>
      <c r="M149" s="80">
        <f>SUMIFS('февраль 2024'!$G$6:$G$1413,'февраль 2024'!$D$6:$D$1413,$B149,'февраль 2024'!$J$6:$J$1413,M$1)</f>
        <v>0</v>
      </c>
      <c r="N149" s="80">
        <f>SUMIFS('февраль 2024'!$G$6:$G$1413,'февраль 2024'!$D$6:$D$1413,$B149,'февраль 2024'!$J$6:$J$1413,N$1)</f>
        <v>0</v>
      </c>
      <c r="O149" s="80">
        <f>SUMIFS('февраль 2024'!$G$6:$G$1413,'февраль 2024'!$D$6:$D$1413,$B149,'февраль 2024'!$J$6:$J$1413,O$1)</f>
        <v>0</v>
      </c>
      <c r="P149" s="80">
        <f>SUMIFS('февраль 2024'!$G$6:$G$1413,'февраль 2024'!$D$6:$D$1413,$B149,'февраль 2024'!$J$6:$J$1413,P$1)</f>
        <v>0</v>
      </c>
      <c r="Q149" s="80">
        <f>SUMIFS('февраль 2024'!$G$6:$G$1413,'февраль 2024'!$D$6:$D$1413,$B149,'февраль 2024'!$J$6:$J$1413,Q$1)</f>
        <v>0</v>
      </c>
      <c r="R149" s="80">
        <f>SUMIFS('февраль 2024'!$G$6:$G$1413,'февраль 2024'!$D$6:$D$1413,$B149,'февраль 2024'!$J$6:$J$1413,R$1)</f>
        <v>0</v>
      </c>
      <c r="S149" s="80">
        <f>SUMIFS('февраль 2024'!$G$6:$G$1413,'февраль 2024'!$D$6:$D$1413,$B149,'февраль 2024'!$J$6:$J$1413,S$1)</f>
        <v>0</v>
      </c>
      <c r="T149" s="80">
        <f>SUMIFS('февраль 2024'!$G$6:$G$1413,'февраль 2024'!$D$6:$D$1413,$B149,'февраль 2024'!$J$6:$J$1413,T$1)</f>
        <v>0</v>
      </c>
      <c r="U149" s="80">
        <f>SUMIFS('февраль 2024'!$G$6:$G$1413,'февраль 2024'!$D$6:$D$1413,$B149,'февраль 2024'!$J$6:$J$1413,U$1)</f>
        <v>0</v>
      </c>
      <c r="V149" s="80">
        <f>SUMIFS('февраль 2024'!$G$6:$G$1413,'февраль 2024'!$D$6:$D$1413,$B149,'февраль 2024'!$J$6:$J$1413,V$1)</f>
        <v>0</v>
      </c>
      <c r="W149" s="80">
        <f>SUMIFS('февраль 2024'!$G$6:$G$1413,'февраль 2024'!$D$6:$D$1413,$B149,'февраль 2024'!$J$6:$J$1413,W$1)</f>
        <v>0</v>
      </c>
      <c r="X149" s="80">
        <f>SUMIFS('февраль 2024'!$G$6:$G$1413,'февраль 2024'!$D$6:$D$1413,$B149,'февраль 2024'!$J$6:$J$1413,X$1)</f>
        <v>0</v>
      </c>
      <c r="Y149" s="80">
        <f>SUMIFS('февраль 2024'!$G$6:$G$1413,'февраль 2024'!$D$6:$D$1413,$B149,'февраль 2024'!$J$6:$J$1413,Y$1)</f>
        <v>0</v>
      </c>
      <c r="Z149" s="80">
        <f>SUMIFS('февраль 2024'!$G$6:$G$1413,'февраль 2024'!$D$6:$D$1413,$B149,'февраль 2024'!$J$6:$J$1413,Z$1)</f>
        <v>0</v>
      </c>
      <c r="AA149" s="80">
        <f>SUMIFS('февраль 2024'!$G$6:$G$1413,'февраль 2024'!$D$6:$D$1413,$B149,'февраль 2024'!$J$6:$J$1413,AA$1)</f>
        <v>0</v>
      </c>
      <c r="AB149" s="80">
        <f>SUMIFS('февраль 2024'!$G$6:$G$1413,'февраль 2024'!$D$6:$D$1413,$B149,'февраль 2024'!$J$6:$J$1413,AB$1)</f>
        <v>0</v>
      </c>
      <c r="AC149" s="80">
        <f>SUMIFS('февраль 2024'!$G$6:$G$1413,'февраль 2024'!$D$6:$D$1413,$B149,'февраль 2024'!$J$6:$J$1413,AC$1)</f>
        <v>0</v>
      </c>
      <c r="AD149" s="80">
        <f>SUMIFS('февраль 2024'!$G$6:$G$1413,'февраль 2024'!$D$6:$D$1413,$B149,'февраль 2024'!$J$6:$J$1413,AD$1)</f>
        <v>0</v>
      </c>
      <c r="AE149" s="80">
        <f>SUMIFS('февраль 2024'!$G$6:$G$1413,'февраль 2024'!$D$6:$D$1413,$B149,'февраль 2024'!$J$6:$J$1413,AE$1)</f>
        <v>0</v>
      </c>
      <c r="AF149" s="80">
        <f>SUMIFS('февраль 2024'!$G$6:$G$1413,'февраль 2024'!$D$6:$D$1413,$B149,'февраль 2024'!$J$6:$J$1413,AF$1)</f>
        <v>0</v>
      </c>
      <c r="AG149" s="80">
        <f>SUMIFS('февраль 2024'!$G$6:$G$1413,'февраль 2024'!$D$6:$D$1413,$B149,'февраль 2024'!$J$6:$J$1413,AG$1)</f>
        <v>0</v>
      </c>
      <c r="AH149" s="80">
        <f>SUMIFS('февраль 2024'!$G$6:$G$1413,'февраль 2024'!$D$6:$D$1413,$B149,'февраль 2024'!$J$6:$J$1413,AH$1)</f>
        <v>0</v>
      </c>
      <c r="AI149" s="87"/>
    </row>
    <row r="150" spans="2:35" ht="15" hidden="1" customHeight="1" x14ac:dyDescent="0.25">
      <c r="B150" s="93"/>
      <c r="C150" s="91"/>
      <c r="D150" s="80">
        <f>SUMIFS('февраль 2024'!$G$6:$G$1413,'февраль 2024'!$D$6:$D$1413,$B150,'февраль 2024'!$J$6:$J$1413,D$1)</f>
        <v>0</v>
      </c>
      <c r="E150" s="80">
        <f>SUMIFS('февраль 2024'!$G$6:$G$1413,'февраль 2024'!$D$6:$D$1413,$B150,'февраль 2024'!$J$6:$J$1413,E$1)</f>
        <v>0</v>
      </c>
      <c r="F150" s="80">
        <f>SUMIFS('февраль 2024'!$G$6:$G$1413,'февраль 2024'!$D$6:$D$1413,$B150,'февраль 2024'!$J$6:$J$1413,F$1)</f>
        <v>0</v>
      </c>
      <c r="G150" s="80">
        <f>SUMIFS('февраль 2024'!$G$6:$G$1413,'февраль 2024'!$D$6:$D$1413,$B150,'февраль 2024'!$J$6:$J$1413,G$1)</f>
        <v>0</v>
      </c>
      <c r="H150" s="80">
        <f>SUMIFS('февраль 2024'!$G$6:$G$1413,'февраль 2024'!$D$6:$D$1413,$B150,'февраль 2024'!$J$6:$J$1413,H$1)</f>
        <v>0</v>
      </c>
      <c r="I150" s="80">
        <f>SUMIFS('февраль 2024'!$G$6:$G$1413,'февраль 2024'!$D$6:$D$1413,$B150,'февраль 2024'!$J$6:$J$1413,I$1)</f>
        <v>0</v>
      </c>
      <c r="J150" s="80">
        <f>SUMIFS('февраль 2024'!$G$6:$G$1413,'февраль 2024'!$D$6:$D$1413,$B150,'февраль 2024'!$J$6:$J$1413,J$1)</f>
        <v>0</v>
      </c>
      <c r="K150" s="80">
        <f>SUMIFS('февраль 2024'!$G$6:$G$1413,'февраль 2024'!$D$6:$D$1413,$B150,'февраль 2024'!$J$6:$J$1413,K$1)</f>
        <v>0</v>
      </c>
      <c r="L150" s="80">
        <f>SUMIFS('февраль 2024'!$G$6:$G$1413,'февраль 2024'!$D$6:$D$1413,$B150,'февраль 2024'!$J$6:$J$1413,L$1)</f>
        <v>0</v>
      </c>
      <c r="M150" s="80">
        <f>SUMIFS('февраль 2024'!$G$6:$G$1413,'февраль 2024'!$D$6:$D$1413,$B150,'февраль 2024'!$J$6:$J$1413,M$1)</f>
        <v>0</v>
      </c>
      <c r="N150" s="80">
        <f>SUMIFS('февраль 2024'!$G$6:$G$1413,'февраль 2024'!$D$6:$D$1413,$B150,'февраль 2024'!$J$6:$J$1413,N$1)</f>
        <v>0</v>
      </c>
      <c r="O150" s="80">
        <f>SUMIFS('февраль 2024'!$G$6:$G$1413,'февраль 2024'!$D$6:$D$1413,$B150,'февраль 2024'!$J$6:$J$1413,O$1)</f>
        <v>0</v>
      </c>
      <c r="P150" s="80">
        <f>SUMIFS('февраль 2024'!$G$6:$G$1413,'февраль 2024'!$D$6:$D$1413,$B150,'февраль 2024'!$J$6:$J$1413,P$1)</f>
        <v>0</v>
      </c>
      <c r="Q150" s="80">
        <f>SUMIFS('февраль 2024'!$G$6:$G$1413,'февраль 2024'!$D$6:$D$1413,$B150,'февраль 2024'!$J$6:$J$1413,Q$1)</f>
        <v>0</v>
      </c>
      <c r="R150" s="80">
        <f>SUMIFS('февраль 2024'!$G$6:$G$1413,'февраль 2024'!$D$6:$D$1413,$B150,'февраль 2024'!$J$6:$J$1413,R$1)</f>
        <v>0</v>
      </c>
      <c r="S150" s="80">
        <f>SUMIFS('февраль 2024'!$G$6:$G$1413,'февраль 2024'!$D$6:$D$1413,$B150,'февраль 2024'!$J$6:$J$1413,S$1)</f>
        <v>0</v>
      </c>
      <c r="T150" s="80">
        <f>SUMIFS('февраль 2024'!$G$6:$G$1413,'февраль 2024'!$D$6:$D$1413,$B150,'февраль 2024'!$J$6:$J$1413,T$1)</f>
        <v>0</v>
      </c>
      <c r="U150" s="80">
        <f>SUMIFS('февраль 2024'!$G$6:$G$1413,'февраль 2024'!$D$6:$D$1413,$B150,'февраль 2024'!$J$6:$J$1413,U$1)</f>
        <v>0</v>
      </c>
      <c r="V150" s="80">
        <f>SUMIFS('февраль 2024'!$G$6:$G$1413,'февраль 2024'!$D$6:$D$1413,$B150,'февраль 2024'!$J$6:$J$1413,V$1)</f>
        <v>0</v>
      </c>
      <c r="W150" s="80">
        <f>SUMIFS('февраль 2024'!$G$6:$G$1413,'февраль 2024'!$D$6:$D$1413,$B150,'февраль 2024'!$J$6:$J$1413,W$1)</f>
        <v>0</v>
      </c>
      <c r="X150" s="80">
        <f>SUMIFS('февраль 2024'!$G$6:$G$1413,'февраль 2024'!$D$6:$D$1413,$B150,'февраль 2024'!$J$6:$J$1413,X$1)</f>
        <v>0</v>
      </c>
      <c r="Y150" s="80">
        <f>SUMIFS('февраль 2024'!$G$6:$G$1413,'февраль 2024'!$D$6:$D$1413,$B150,'февраль 2024'!$J$6:$J$1413,Y$1)</f>
        <v>0</v>
      </c>
      <c r="Z150" s="80">
        <f>SUMIFS('февраль 2024'!$G$6:$G$1413,'февраль 2024'!$D$6:$D$1413,$B150,'февраль 2024'!$J$6:$J$1413,Z$1)</f>
        <v>0</v>
      </c>
      <c r="AA150" s="80">
        <f>SUMIFS('февраль 2024'!$G$6:$G$1413,'февраль 2024'!$D$6:$D$1413,$B150,'февраль 2024'!$J$6:$J$1413,AA$1)</f>
        <v>0</v>
      </c>
      <c r="AB150" s="80">
        <f>SUMIFS('февраль 2024'!$G$6:$G$1413,'февраль 2024'!$D$6:$D$1413,$B150,'февраль 2024'!$J$6:$J$1413,AB$1)</f>
        <v>0</v>
      </c>
      <c r="AC150" s="80">
        <f>SUMIFS('февраль 2024'!$G$6:$G$1413,'февраль 2024'!$D$6:$D$1413,$B150,'февраль 2024'!$J$6:$J$1413,AC$1)</f>
        <v>0</v>
      </c>
      <c r="AD150" s="80">
        <f>SUMIFS('февраль 2024'!$G$6:$G$1413,'февраль 2024'!$D$6:$D$1413,$B150,'февраль 2024'!$J$6:$J$1413,AD$1)</f>
        <v>0</v>
      </c>
      <c r="AE150" s="80">
        <f>SUMIFS('февраль 2024'!$G$6:$G$1413,'февраль 2024'!$D$6:$D$1413,$B150,'февраль 2024'!$J$6:$J$1413,AE$1)</f>
        <v>0</v>
      </c>
      <c r="AF150" s="80">
        <f>SUMIFS('февраль 2024'!$G$6:$G$1413,'февраль 2024'!$D$6:$D$1413,$B150,'февраль 2024'!$J$6:$J$1413,AF$1)</f>
        <v>0</v>
      </c>
      <c r="AG150" s="80">
        <f>SUMIFS('февраль 2024'!$G$6:$G$1413,'февраль 2024'!$D$6:$D$1413,$B150,'февраль 2024'!$J$6:$J$1413,AG$1)</f>
        <v>0</v>
      </c>
      <c r="AH150" s="80">
        <f>SUMIFS('февраль 2024'!$G$6:$G$1413,'февраль 2024'!$D$6:$D$1413,$B150,'февраль 2024'!$J$6:$J$1413,AH$1)</f>
        <v>0</v>
      </c>
      <c r="AI150" s="87"/>
    </row>
    <row r="151" spans="2:35" ht="15" hidden="1" customHeight="1" x14ac:dyDescent="0.25">
      <c r="B151" s="89"/>
      <c r="C151" s="88"/>
      <c r="D151" s="80">
        <f>SUMIFS('февраль 2024'!$G$6:$G$1413,'февраль 2024'!$D$6:$D$1413,$B151,'февраль 2024'!$J$6:$J$1413,D$1)</f>
        <v>0</v>
      </c>
      <c r="E151" s="80">
        <f>SUMIFS('февраль 2024'!$G$6:$G$1413,'февраль 2024'!$D$6:$D$1413,$B151,'февраль 2024'!$J$6:$J$1413,E$1)</f>
        <v>0</v>
      </c>
      <c r="F151" s="80">
        <f>SUMIFS('февраль 2024'!$G$6:$G$1413,'февраль 2024'!$D$6:$D$1413,$B151,'февраль 2024'!$J$6:$J$1413,F$1)</f>
        <v>0</v>
      </c>
      <c r="G151" s="80">
        <f>SUMIFS('февраль 2024'!$G$6:$G$1413,'февраль 2024'!$D$6:$D$1413,$B151,'февраль 2024'!$J$6:$J$1413,G$1)</f>
        <v>0</v>
      </c>
      <c r="H151" s="80">
        <f>SUMIFS('февраль 2024'!$G$6:$G$1413,'февраль 2024'!$D$6:$D$1413,$B151,'февраль 2024'!$J$6:$J$1413,H$1)</f>
        <v>0</v>
      </c>
      <c r="I151" s="80">
        <f>SUMIFS('февраль 2024'!$G$6:$G$1413,'февраль 2024'!$D$6:$D$1413,$B151,'февраль 2024'!$J$6:$J$1413,I$1)</f>
        <v>0</v>
      </c>
      <c r="J151" s="80">
        <f>SUMIFS('февраль 2024'!$G$6:$G$1413,'февраль 2024'!$D$6:$D$1413,$B151,'февраль 2024'!$J$6:$J$1413,J$1)</f>
        <v>0</v>
      </c>
      <c r="K151" s="80">
        <f>SUMIFS('февраль 2024'!$G$6:$G$1413,'февраль 2024'!$D$6:$D$1413,$B151,'февраль 2024'!$J$6:$J$1413,K$1)</f>
        <v>0</v>
      </c>
      <c r="L151" s="80">
        <f>SUMIFS('февраль 2024'!$G$6:$G$1413,'февраль 2024'!$D$6:$D$1413,$B151,'февраль 2024'!$J$6:$J$1413,L$1)</f>
        <v>0</v>
      </c>
      <c r="M151" s="80">
        <f>SUMIFS('февраль 2024'!$G$6:$G$1413,'февраль 2024'!$D$6:$D$1413,$B151,'февраль 2024'!$J$6:$J$1413,M$1)</f>
        <v>0</v>
      </c>
      <c r="N151" s="80">
        <f>SUMIFS('февраль 2024'!$G$6:$G$1413,'февраль 2024'!$D$6:$D$1413,$B151,'февраль 2024'!$J$6:$J$1413,N$1)</f>
        <v>0</v>
      </c>
      <c r="O151" s="80">
        <f>SUMIFS('февраль 2024'!$G$6:$G$1413,'февраль 2024'!$D$6:$D$1413,$B151,'февраль 2024'!$J$6:$J$1413,O$1)</f>
        <v>0</v>
      </c>
      <c r="P151" s="80">
        <f>SUMIFS('февраль 2024'!$G$6:$G$1413,'февраль 2024'!$D$6:$D$1413,$B151,'февраль 2024'!$J$6:$J$1413,P$1)</f>
        <v>0</v>
      </c>
      <c r="Q151" s="80">
        <f>SUMIFS('февраль 2024'!$G$6:$G$1413,'февраль 2024'!$D$6:$D$1413,$B151,'февраль 2024'!$J$6:$J$1413,Q$1)</f>
        <v>0</v>
      </c>
      <c r="R151" s="80">
        <f>SUMIFS('февраль 2024'!$G$6:$G$1413,'февраль 2024'!$D$6:$D$1413,$B151,'февраль 2024'!$J$6:$J$1413,R$1)</f>
        <v>0</v>
      </c>
      <c r="S151" s="80">
        <f>SUMIFS('февраль 2024'!$G$6:$G$1413,'февраль 2024'!$D$6:$D$1413,$B151,'февраль 2024'!$J$6:$J$1413,S$1)</f>
        <v>0</v>
      </c>
      <c r="T151" s="80">
        <f>SUMIFS('февраль 2024'!$G$6:$G$1413,'февраль 2024'!$D$6:$D$1413,$B151,'февраль 2024'!$J$6:$J$1413,T$1)</f>
        <v>0</v>
      </c>
      <c r="U151" s="80">
        <f>SUMIFS('февраль 2024'!$G$6:$G$1413,'февраль 2024'!$D$6:$D$1413,$B151,'февраль 2024'!$J$6:$J$1413,U$1)</f>
        <v>0</v>
      </c>
      <c r="V151" s="80">
        <f>SUMIFS('февраль 2024'!$G$6:$G$1413,'февраль 2024'!$D$6:$D$1413,$B151,'февраль 2024'!$J$6:$J$1413,V$1)</f>
        <v>0</v>
      </c>
      <c r="W151" s="80">
        <f>SUMIFS('февраль 2024'!$G$6:$G$1413,'февраль 2024'!$D$6:$D$1413,$B151,'февраль 2024'!$J$6:$J$1413,W$1)</f>
        <v>0</v>
      </c>
      <c r="X151" s="80">
        <f>SUMIFS('февраль 2024'!$G$6:$G$1413,'февраль 2024'!$D$6:$D$1413,$B151,'февраль 2024'!$J$6:$J$1413,X$1)</f>
        <v>0</v>
      </c>
      <c r="Y151" s="80">
        <f>SUMIFS('февраль 2024'!$G$6:$G$1413,'февраль 2024'!$D$6:$D$1413,$B151,'февраль 2024'!$J$6:$J$1413,Y$1)</f>
        <v>0</v>
      </c>
      <c r="Z151" s="80">
        <f>SUMIFS('февраль 2024'!$G$6:$G$1413,'февраль 2024'!$D$6:$D$1413,$B151,'февраль 2024'!$J$6:$J$1413,Z$1)</f>
        <v>0</v>
      </c>
      <c r="AA151" s="80">
        <f>SUMIFS('февраль 2024'!$G$6:$G$1413,'февраль 2024'!$D$6:$D$1413,$B151,'февраль 2024'!$J$6:$J$1413,AA$1)</f>
        <v>0</v>
      </c>
      <c r="AB151" s="80">
        <f>SUMIFS('февраль 2024'!$G$6:$G$1413,'февраль 2024'!$D$6:$D$1413,$B151,'февраль 2024'!$J$6:$J$1413,AB$1)</f>
        <v>0</v>
      </c>
      <c r="AC151" s="80">
        <f>SUMIFS('февраль 2024'!$G$6:$G$1413,'февраль 2024'!$D$6:$D$1413,$B151,'февраль 2024'!$J$6:$J$1413,AC$1)</f>
        <v>0</v>
      </c>
      <c r="AD151" s="80">
        <f>SUMIFS('февраль 2024'!$G$6:$G$1413,'февраль 2024'!$D$6:$D$1413,$B151,'февраль 2024'!$J$6:$J$1413,AD$1)</f>
        <v>0</v>
      </c>
      <c r="AE151" s="80">
        <f>SUMIFS('февраль 2024'!$G$6:$G$1413,'февраль 2024'!$D$6:$D$1413,$B151,'февраль 2024'!$J$6:$J$1413,AE$1)</f>
        <v>0</v>
      </c>
      <c r="AF151" s="80">
        <f>SUMIFS('февраль 2024'!$G$6:$G$1413,'февраль 2024'!$D$6:$D$1413,$B151,'февраль 2024'!$J$6:$J$1413,AF$1)</f>
        <v>0</v>
      </c>
      <c r="AG151" s="80">
        <f>SUMIFS('февраль 2024'!$G$6:$G$1413,'февраль 2024'!$D$6:$D$1413,$B151,'февраль 2024'!$J$6:$J$1413,AG$1)</f>
        <v>0</v>
      </c>
      <c r="AH151" s="80">
        <f>SUMIFS('февраль 2024'!$G$6:$G$1413,'февраль 2024'!$D$6:$D$1413,$B151,'февраль 2024'!$J$6:$J$1413,AH$1)</f>
        <v>0</v>
      </c>
      <c r="AI151" s="87"/>
    </row>
    <row r="152" spans="2:35" ht="15" hidden="1" customHeight="1" x14ac:dyDescent="0.25">
      <c r="B152" s="92"/>
      <c r="C152" s="91"/>
      <c r="D152" s="80">
        <f>SUMIFS('февраль 2024'!$G$6:$G$1413,'февраль 2024'!$D$6:$D$1413,$B152,'февраль 2024'!$J$6:$J$1413,D$1)</f>
        <v>0</v>
      </c>
      <c r="E152" s="80">
        <f>SUMIFS('февраль 2024'!$G$6:$G$1413,'февраль 2024'!$D$6:$D$1413,$B152,'февраль 2024'!$J$6:$J$1413,E$1)</f>
        <v>0</v>
      </c>
      <c r="F152" s="80">
        <f>SUMIFS('февраль 2024'!$G$6:$G$1413,'февраль 2024'!$D$6:$D$1413,$B152,'февраль 2024'!$J$6:$J$1413,F$1)</f>
        <v>0</v>
      </c>
      <c r="G152" s="80">
        <f>SUMIFS('февраль 2024'!$G$6:$G$1413,'февраль 2024'!$D$6:$D$1413,$B152,'февраль 2024'!$J$6:$J$1413,G$1)</f>
        <v>0</v>
      </c>
      <c r="H152" s="80">
        <f>SUMIFS('февраль 2024'!$G$6:$G$1413,'февраль 2024'!$D$6:$D$1413,$B152,'февраль 2024'!$J$6:$J$1413,H$1)</f>
        <v>0</v>
      </c>
      <c r="I152" s="80">
        <f>SUMIFS('февраль 2024'!$G$6:$G$1413,'февраль 2024'!$D$6:$D$1413,$B152,'февраль 2024'!$J$6:$J$1413,I$1)</f>
        <v>0</v>
      </c>
      <c r="J152" s="80">
        <f>SUMIFS('февраль 2024'!$G$6:$G$1413,'февраль 2024'!$D$6:$D$1413,$B152,'февраль 2024'!$J$6:$J$1413,J$1)</f>
        <v>0</v>
      </c>
      <c r="K152" s="80">
        <f>SUMIFS('февраль 2024'!$G$6:$G$1413,'февраль 2024'!$D$6:$D$1413,$B152,'февраль 2024'!$J$6:$J$1413,K$1)</f>
        <v>0</v>
      </c>
      <c r="L152" s="80">
        <f>SUMIFS('февраль 2024'!$G$6:$G$1413,'февраль 2024'!$D$6:$D$1413,$B152,'февраль 2024'!$J$6:$J$1413,L$1)</f>
        <v>0</v>
      </c>
      <c r="M152" s="80">
        <f>SUMIFS('февраль 2024'!$G$6:$G$1413,'февраль 2024'!$D$6:$D$1413,$B152,'февраль 2024'!$J$6:$J$1413,M$1)</f>
        <v>0</v>
      </c>
      <c r="N152" s="80">
        <f>SUMIFS('февраль 2024'!$G$6:$G$1413,'февраль 2024'!$D$6:$D$1413,$B152,'февраль 2024'!$J$6:$J$1413,N$1)</f>
        <v>0</v>
      </c>
      <c r="O152" s="80">
        <f>SUMIFS('февраль 2024'!$G$6:$G$1413,'февраль 2024'!$D$6:$D$1413,$B152,'февраль 2024'!$J$6:$J$1413,O$1)</f>
        <v>0</v>
      </c>
      <c r="P152" s="80">
        <f>SUMIFS('февраль 2024'!$G$6:$G$1413,'февраль 2024'!$D$6:$D$1413,$B152,'февраль 2024'!$J$6:$J$1413,P$1)</f>
        <v>0</v>
      </c>
      <c r="Q152" s="80">
        <f>SUMIFS('февраль 2024'!$G$6:$G$1413,'февраль 2024'!$D$6:$D$1413,$B152,'февраль 2024'!$J$6:$J$1413,Q$1)</f>
        <v>0</v>
      </c>
      <c r="R152" s="80">
        <f>SUMIFS('февраль 2024'!$G$6:$G$1413,'февраль 2024'!$D$6:$D$1413,$B152,'февраль 2024'!$J$6:$J$1413,R$1)</f>
        <v>0</v>
      </c>
      <c r="S152" s="80">
        <f>SUMIFS('февраль 2024'!$G$6:$G$1413,'февраль 2024'!$D$6:$D$1413,$B152,'февраль 2024'!$J$6:$J$1413,S$1)</f>
        <v>0</v>
      </c>
      <c r="T152" s="80">
        <f>SUMIFS('февраль 2024'!$G$6:$G$1413,'февраль 2024'!$D$6:$D$1413,$B152,'февраль 2024'!$J$6:$J$1413,T$1)</f>
        <v>0</v>
      </c>
      <c r="U152" s="80">
        <f>SUMIFS('февраль 2024'!$G$6:$G$1413,'февраль 2024'!$D$6:$D$1413,$B152,'февраль 2024'!$J$6:$J$1413,U$1)</f>
        <v>0</v>
      </c>
      <c r="V152" s="80">
        <f>SUMIFS('февраль 2024'!$G$6:$G$1413,'февраль 2024'!$D$6:$D$1413,$B152,'февраль 2024'!$J$6:$J$1413,V$1)</f>
        <v>0</v>
      </c>
      <c r="W152" s="80">
        <f>SUMIFS('февраль 2024'!$G$6:$G$1413,'февраль 2024'!$D$6:$D$1413,$B152,'февраль 2024'!$J$6:$J$1413,W$1)</f>
        <v>0</v>
      </c>
      <c r="X152" s="80">
        <f>SUMIFS('февраль 2024'!$G$6:$G$1413,'февраль 2024'!$D$6:$D$1413,$B152,'февраль 2024'!$J$6:$J$1413,X$1)</f>
        <v>0</v>
      </c>
      <c r="Y152" s="80">
        <f>SUMIFS('февраль 2024'!$G$6:$G$1413,'февраль 2024'!$D$6:$D$1413,$B152,'февраль 2024'!$J$6:$J$1413,Y$1)</f>
        <v>0</v>
      </c>
      <c r="Z152" s="80">
        <f>SUMIFS('февраль 2024'!$G$6:$G$1413,'февраль 2024'!$D$6:$D$1413,$B152,'февраль 2024'!$J$6:$J$1413,Z$1)</f>
        <v>0</v>
      </c>
      <c r="AA152" s="80">
        <f>SUMIFS('февраль 2024'!$G$6:$G$1413,'февраль 2024'!$D$6:$D$1413,$B152,'февраль 2024'!$J$6:$J$1413,AA$1)</f>
        <v>0</v>
      </c>
      <c r="AB152" s="80">
        <f>SUMIFS('февраль 2024'!$G$6:$G$1413,'февраль 2024'!$D$6:$D$1413,$B152,'февраль 2024'!$J$6:$J$1413,AB$1)</f>
        <v>0</v>
      </c>
      <c r="AC152" s="80">
        <f>SUMIFS('февраль 2024'!$G$6:$G$1413,'февраль 2024'!$D$6:$D$1413,$B152,'февраль 2024'!$J$6:$J$1413,AC$1)</f>
        <v>0</v>
      </c>
      <c r="AD152" s="80">
        <f>SUMIFS('февраль 2024'!$G$6:$G$1413,'февраль 2024'!$D$6:$D$1413,$B152,'февраль 2024'!$J$6:$J$1413,AD$1)</f>
        <v>0</v>
      </c>
      <c r="AE152" s="80">
        <f>SUMIFS('февраль 2024'!$G$6:$G$1413,'февраль 2024'!$D$6:$D$1413,$B152,'февраль 2024'!$J$6:$J$1413,AE$1)</f>
        <v>0</v>
      </c>
      <c r="AF152" s="80">
        <f>SUMIFS('февраль 2024'!$G$6:$G$1413,'февраль 2024'!$D$6:$D$1413,$B152,'февраль 2024'!$J$6:$J$1413,AF$1)</f>
        <v>0</v>
      </c>
      <c r="AG152" s="80">
        <f>SUMIFS('февраль 2024'!$G$6:$G$1413,'февраль 2024'!$D$6:$D$1413,$B152,'февраль 2024'!$J$6:$J$1413,AG$1)</f>
        <v>0</v>
      </c>
      <c r="AH152" s="80">
        <f>SUMIFS('февраль 2024'!$G$6:$G$1413,'февраль 2024'!$D$6:$D$1413,$B152,'февраль 2024'!$J$6:$J$1413,AH$1)</f>
        <v>0</v>
      </c>
      <c r="AI152" s="87"/>
    </row>
    <row r="153" spans="2:35" ht="15" hidden="1" customHeight="1" x14ac:dyDescent="0.25">
      <c r="B153" s="89"/>
      <c r="C153" s="91"/>
      <c r="D153" s="80">
        <f>SUMIFS('февраль 2024'!$G$6:$G$1413,'февраль 2024'!$D$6:$D$1413,$B153,'февраль 2024'!$J$6:$J$1413,D$1)</f>
        <v>0</v>
      </c>
      <c r="E153" s="80">
        <f>SUMIFS('февраль 2024'!$G$6:$G$1413,'февраль 2024'!$D$6:$D$1413,$B153,'февраль 2024'!$J$6:$J$1413,E$1)</f>
        <v>0</v>
      </c>
      <c r="F153" s="80">
        <f>SUMIFS('февраль 2024'!$G$6:$G$1413,'февраль 2024'!$D$6:$D$1413,$B153,'февраль 2024'!$J$6:$J$1413,F$1)</f>
        <v>0</v>
      </c>
      <c r="G153" s="80">
        <f>SUMIFS('февраль 2024'!$G$6:$G$1413,'февраль 2024'!$D$6:$D$1413,$B153,'февраль 2024'!$J$6:$J$1413,G$1)</f>
        <v>0</v>
      </c>
      <c r="H153" s="80">
        <f>SUMIFS('февраль 2024'!$G$6:$G$1413,'февраль 2024'!$D$6:$D$1413,$B153,'февраль 2024'!$J$6:$J$1413,H$1)</f>
        <v>0</v>
      </c>
      <c r="I153" s="80">
        <f>SUMIFS('февраль 2024'!$G$6:$G$1413,'февраль 2024'!$D$6:$D$1413,$B153,'февраль 2024'!$J$6:$J$1413,I$1)</f>
        <v>0</v>
      </c>
      <c r="J153" s="80">
        <f>SUMIFS('февраль 2024'!$G$6:$G$1413,'февраль 2024'!$D$6:$D$1413,$B153,'февраль 2024'!$J$6:$J$1413,J$1)</f>
        <v>0</v>
      </c>
      <c r="K153" s="80">
        <f>SUMIFS('февраль 2024'!$G$6:$G$1413,'февраль 2024'!$D$6:$D$1413,$B153,'февраль 2024'!$J$6:$J$1413,K$1)</f>
        <v>0</v>
      </c>
      <c r="L153" s="80">
        <f>SUMIFS('февраль 2024'!$G$6:$G$1413,'февраль 2024'!$D$6:$D$1413,$B153,'февраль 2024'!$J$6:$J$1413,L$1)</f>
        <v>0</v>
      </c>
      <c r="M153" s="80">
        <f>SUMIFS('февраль 2024'!$G$6:$G$1413,'февраль 2024'!$D$6:$D$1413,$B153,'февраль 2024'!$J$6:$J$1413,M$1)</f>
        <v>0</v>
      </c>
      <c r="N153" s="80">
        <f>SUMIFS('февраль 2024'!$G$6:$G$1413,'февраль 2024'!$D$6:$D$1413,$B153,'февраль 2024'!$J$6:$J$1413,N$1)</f>
        <v>0</v>
      </c>
      <c r="O153" s="80">
        <f>SUMIFS('февраль 2024'!$G$6:$G$1413,'февраль 2024'!$D$6:$D$1413,$B153,'февраль 2024'!$J$6:$J$1413,O$1)</f>
        <v>0</v>
      </c>
      <c r="P153" s="80">
        <f>SUMIFS('февраль 2024'!$G$6:$G$1413,'февраль 2024'!$D$6:$D$1413,$B153,'февраль 2024'!$J$6:$J$1413,P$1)</f>
        <v>0</v>
      </c>
      <c r="Q153" s="80">
        <f>SUMIFS('февраль 2024'!$G$6:$G$1413,'февраль 2024'!$D$6:$D$1413,$B153,'февраль 2024'!$J$6:$J$1413,Q$1)</f>
        <v>0</v>
      </c>
      <c r="R153" s="80">
        <f>SUMIFS('февраль 2024'!$G$6:$G$1413,'февраль 2024'!$D$6:$D$1413,$B153,'февраль 2024'!$J$6:$J$1413,R$1)</f>
        <v>0</v>
      </c>
      <c r="S153" s="80">
        <f>SUMIFS('февраль 2024'!$G$6:$G$1413,'февраль 2024'!$D$6:$D$1413,$B153,'февраль 2024'!$J$6:$J$1413,S$1)</f>
        <v>0</v>
      </c>
      <c r="T153" s="80">
        <f>SUMIFS('февраль 2024'!$G$6:$G$1413,'февраль 2024'!$D$6:$D$1413,$B153,'февраль 2024'!$J$6:$J$1413,T$1)</f>
        <v>0</v>
      </c>
      <c r="U153" s="80">
        <f>SUMIFS('февраль 2024'!$G$6:$G$1413,'февраль 2024'!$D$6:$D$1413,$B153,'февраль 2024'!$J$6:$J$1413,U$1)</f>
        <v>0</v>
      </c>
      <c r="V153" s="80">
        <f>SUMIFS('февраль 2024'!$G$6:$G$1413,'февраль 2024'!$D$6:$D$1413,$B153,'февраль 2024'!$J$6:$J$1413,V$1)</f>
        <v>0</v>
      </c>
      <c r="W153" s="80">
        <f>SUMIFS('февраль 2024'!$G$6:$G$1413,'февраль 2024'!$D$6:$D$1413,$B153,'февраль 2024'!$J$6:$J$1413,W$1)</f>
        <v>0</v>
      </c>
      <c r="X153" s="80">
        <f>SUMIFS('февраль 2024'!$G$6:$G$1413,'февраль 2024'!$D$6:$D$1413,$B153,'февраль 2024'!$J$6:$J$1413,X$1)</f>
        <v>0</v>
      </c>
      <c r="Y153" s="80">
        <f>SUMIFS('февраль 2024'!$G$6:$G$1413,'февраль 2024'!$D$6:$D$1413,$B153,'февраль 2024'!$J$6:$J$1413,Y$1)</f>
        <v>0</v>
      </c>
      <c r="Z153" s="80">
        <f>SUMIFS('февраль 2024'!$G$6:$G$1413,'февраль 2024'!$D$6:$D$1413,$B153,'февраль 2024'!$J$6:$J$1413,Z$1)</f>
        <v>0</v>
      </c>
      <c r="AA153" s="80">
        <f>SUMIFS('февраль 2024'!$G$6:$G$1413,'февраль 2024'!$D$6:$D$1413,$B153,'февраль 2024'!$J$6:$J$1413,AA$1)</f>
        <v>0</v>
      </c>
      <c r="AB153" s="80">
        <f>SUMIFS('февраль 2024'!$G$6:$G$1413,'февраль 2024'!$D$6:$D$1413,$B153,'февраль 2024'!$J$6:$J$1413,AB$1)</f>
        <v>0</v>
      </c>
      <c r="AC153" s="80">
        <f>SUMIFS('февраль 2024'!$G$6:$G$1413,'февраль 2024'!$D$6:$D$1413,$B153,'февраль 2024'!$J$6:$J$1413,AC$1)</f>
        <v>0</v>
      </c>
      <c r="AD153" s="80">
        <f>SUMIFS('февраль 2024'!$G$6:$G$1413,'февраль 2024'!$D$6:$D$1413,$B153,'февраль 2024'!$J$6:$J$1413,AD$1)</f>
        <v>0</v>
      </c>
      <c r="AE153" s="80">
        <f>SUMIFS('февраль 2024'!$G$6:$G$1413,'февраль 2024'!$D$6:$D$1413,$B153,'февраль 2024'!$J$6:$J$1413,AE$1)</f>
        <v>0</v>
      </c>
      <c r="AF153" s="80">
        <f>SUMIFS('февраль 2024'!$G$6:$G$1413,'февраль 2024'!$D$6:$D$1413,$B153,'февраль 2024'!$J$6:$J$1413,AF$1)</f>
        <v>0</v>
      </c>
      <c r="AG153" s="80">
        <f>SUMIFS('февраль 2024'!$G$6:$G$1413,'февраль 2024'!$D$6:$D$1413,$B153,'февраль 2024'!$J$6:$J$1413,AG$1)</f>
        <v>0</v>
      </c>
      <c r="AH153" s="80">
        <f>SUMIFS('февраль 2024'!$G$6:$G$1413,'февраль 2024'!$D$6:$D$1413,$B153,'февраль 2024'!$J$6:$J$1413,AH$1)</f>
        <v>0</v>
      </c>
      <c r="AI153" s="87"/>
    </row>
    <row r="154" spans="2:35" ht="15" hidden="1" customHeight="1" x14ac:dyDescent="0.25">
      <c r="B154" s="89"/>
      <c r="C154" s="88"/>
      <c r="D154" s="80">
        <f>SUMIFS('февраль 2024'!$G$6:$G$1413,'февраль 2024'!$D$6:$D$1413,$B154,'февраль 2024'!$J$6:$J$1413,D$1)</f>
        <v>0</v>
      </c>
      <c r="E154" s="80">
        <f>SUMIFS('февраль 2024'!$G$6:$G$1413,'февраль 2024'!$D$6:$D$1413,$B154,'февраль 2024'!$J$6:$J$1413,E$1)</f>
        <v>0</v>
      </c>
      <c r="F154" s="80">
        <f>SUMIFS('февраль 2024'!$G$6:$G$1413,'февраль 2024'!$D$6:$D$1413,$B154,'февраль 2024'!$J$6:$J$1413,F$1)</f>
        <v>0</v>
      </c>
      <c r="G154" s="80">
        <f>SUMIFS('февраль 2024'!$G$6:$G$1413,'февраль 2024'!$D$6:$D$1413,$B154,'февраль 2024'!$J$6:$J$1413,G$1)</f>
        <v>0</v>
      </c>
      <c r="H154" s="80">
        <f>SUMIFS('февраль 2024'!$G$6:$G$1413,'февраль 2024'!$D$6:$D$1413,$B154,'февраль 2024'!$J$6:$J$1413,H$1)</f>
        <v>0</v>
      </c>
      <c r="I154" s="80">
        <f>SUMIFS('февраль 2024'!$G$6:$G$1413,'февраль 2024'!$D$6:$D$1413,$B154,'февраль 2024'!$J$6:$J$1413,I$1)</f>
        <v>0</v>
      </c>
      <c r="J154" s="80">
        <f>SUMIFS('февраль 2024'!$G$6:$G$1413,'февраль 2024'!$D$6:$D$1413,$B154,'февраль 2024'!$J$6:$J$1413,J$1)</f>
        <v>0</v>
      </c>
      <c r="K154" s="80">
        <f>SUMIFS('февраль 2024'!$G$6:$G$1413,'февраль 2024'!$D$6:$D$1413,$B154,'февраль 2024'!$J$6:$J$1413,K$1)</f>
        <v>0</v>
      </c>
      <c r="L154" s="80">
        <f>SUMIFS('февраль 2024'!$G$6:$G$1413,'февраль 2024'!$D$6:$D$1413,$B154,'февраль 2024'!$J$6:$J$1413,L$1)</f>
        <v>0</v>
      </c>
      <c r="M154" s="80">
        <f>SUMIFS('февраль 2024'!$G$6:$G$1413,'февраль 2024'!$D$6:$D$1413,$B154,'февраль 2024'!$J$6:$J$1413,M$1)</f>
        <v>0</v>
      </c>
      <c r="N154" s="80">
        <f>SUMIFS('февраль 2024'!$G$6:$G$1413,'февраль 2024'!$D$6:$D$1413,$B154,'февраль 2024'!$J$6:$J$1413,N$1)</f>
        <v>0</v>
      </c>
      <c r="O154" s="80">
        <f>SUMIFS('февраль 2024'!$G$6:$G$1413,'февраль 2024'!$D$6:$D$1413,$B154,'февраль 2024'!$J$6:$J$1413,O$1)</f>
        <v>0</v>
      </c>
      <c r="P154" s="80">
        <f>SUMIFS('февраль 2024'!$G$6:$G$1413,'февраль 2024'!$D$6:$D$1413,$B154,'февраль 2024'!$J$6:$J$1413,P$1)</f>
        <v>0</v>
      </c>
      <c r="Q154" s="80">
        <f>SUMIFS('февраль 2024'!$G$6:$G$1413,'февраль 2024'!$D$6:$D$1413,$B154,'февраль 2024'!$J$6:$J$1413,Q$1)</f>
        <v>0</v>
      </c>
      <c r="R154" s="80">
        <f>SUMIFS('февраль 2024'!$G$6:$G$1413,'февраль 2024'!$D$6:$D$1413,$B154,'февраль 2024'!$J$6:$J$1413,R$1)</f>
        <v>0</v>
      </c>
      <c r="S154" s="80">
        <f>SUMIFS('февраль 2024'!$G$6:$G$1413,'февраль 2024'!$D$6:$D$1413,$B154,'февраль 2024'!$J$6:$J$1413,S$1)</f>
        <v>0</v>
      </c>
      <c r="T154" s="80">
        <f>SUMIFS('февраль 2024'!$G$6:$G$1413,'февраль 2024'!$D$6:$D$1413,$B154,'февраль 2024'!$J$6:$J$1413,T$1)</f>
        <v>0</v>
      </c>
      <c r="U154" s="80">
        <f>SUMIFS('февраль 2024'!$G$6:$G$1413,'февраль 2024'!$D$6:$D$1413,$B154,'февраль 2024'!$J$6:$J$1413,U$1)</f>
        <v>0</v>
      </c>
      <c r="V154" s="80">
        <f>SUMIFS('февраль 2024'!$G$6:$G$1413,'февраль 2024'!$D$6:$D$1413,$B154,'февраль 2024'!$J$6:$J$1413,V$1)</f>
        <v>0</v>
      </c>
      <c r="W154" s="80">
        <f>SUMIFS('февраль 2024'!$G$6:$G$1413,'февраль 2024'!$D$6:$D$1413,$B154,'февраль 2024'!$J$6:$J$1413,W$1)</f>
        <v>0</v>
      </c>
      <c r="X154" s="80">
        <f>SUMIFS('февраль 2024'!$G$6:$G$1413,'февраль 2024'!$D$6:$D$1413,$B154,'февраль 2024'!$J$6:$J$1413,X$1)</f>
        <v>0</v>
      </c>
      <c r="Y154" s="80">
        <f>SUMIFS('февраль 2024'!$G$6:$G$1413,'февраль 2024'!$D$6:$D$1413,$B154,'февраль 2024'!$J$6:$J$1413,Y$1)</f>
        <v>0</v>
      </c>
      <c r="Z154" s="80">
        <f>SUMIFS('февраль 2024'!$G$6:$G$1413,'февраль 2024'!$D$6:$D$1413,$B154,'февраль 2024'!$J$6:$J$1413,Z$1)</f>
        <v>0</v>
      </c>
      <c r="AA154" s="80">
        <f>SUMIFS('февраль 2024'!$G$6:$G$1413,'февраль 2024'!$D$6:$D$1413,$B154,'февраль 2024'!$J$6:$J$1413,AA$1)</f>
        <v>0</v>
      </c>
      <c r="AB154" s="80">
        <f>SUMIFS('февраль 2024'!$G$6:$G$1413,'февраль 2024'!$D$6:$D$1413,$B154,'февраль 2024'!$J$6:$J$1413,AB$1)</f>
        <v>0</v>
      </c>
      <c r="AC154" s="80">
        <f>SUMIFS('февраль 2024'!$G$6:$G$1413,'февраль 2024'!$D$6:$D$1413,$B154,'февраль 2024'!$J$6:$J$1413,AC$1)</f>
        <v>0</v>
      </c>
      <c r="AD154" s="80">
        <f>SUMIFS('февраль 2024'!$G$6:$G$1413,'февраль 2024'!$D$6:$D$1413,$B154,'февраль 2024'!$J$6:$J$1413,AD$1)</f>
        <v>0</v>
      </c>
      <c r="AE154" s="80">
        <f>SUMIFS('февраль 2024'!$G$6:$G$1413,'февраль 2024'!$D$6:$D$1413,$B154,'февраль 2024'!$J$6:$J$1413,AE$1)</f>
        <v>0</v>
      </c>
      <c r="AF154" s="80">
        <f>SUMIFS('февраль 2024'!$G$6:$G$1413,'февраль 2024'!$D$6:$D$1413,$B154,'февраль 2024'!$J$6:$J$1413,AF$1)</f>
        <v>0</v>
      </c>
      <c r="AG154" s="80">
        <f>SUMIFS('февраль 2024'!$G$6:$G$1413,'февраль 2024'!$D$6:$D$1413,$B154,'февраль 2024'!$J$6:$J$1413,AG$1)</f>
        <v>0</v>
      </c>
      <c r="AH154" s="80">
        <f>SUMIFS('февраль 2024'!$G$6:$G$1413,'февраль 2024'!$D$6:$D$1413,$B154,'февраль 2024'!$J$6:$J$1413,AH$1)</f>
        <v>0</v>
      </c>
      <c r="AI154" s="87"/>
    </row>
    <row r="155" spans="2:35" ht="15" hidden="1" customHeight="1" x14ac:dyDescent="0.25">
      <c r="B155" s="89"/>
      <c r="C155" s="88"/>
      <c r="D155" s="80">
        <f>SUMIFS('февраль 2024'!$G$6:$G$1413,'февраль 2024'!$D$6:$D$1413,$B155,'февраль 2024'!$J$6:$J$1413,D$1)</f>
        <v>0</v>
      </c>
      <c r="E155" s="80">
        <f>SUMIFS('февраль 2024'!$G$6:$G$1413,'февраль 2024'!$D$6:$D$1413,$B155,'февраль 2024'!$J$6:$J$1413,E$1)</f>
        <v>0</v>
      </c>
      <c r="F155" s="80">
        <f>SUMIFS('февраль 2024'!$G$6:$G$1413,'февраль 2024'!$D$6:$D$1413,$B155,'февраль 2024'!$J$6:$J$1413,F$1)</f>
        <v>0</v>
      </c>
      <c r="G155" s="80">
        <f>SUMIFS('февраль 2024'!$G$6:$G$1413,'февраль 2024'!$D$6:$D$1413,$B155,'февраль 2024'!$J$6:$J$1413,G$1)</f>
        <v>0</v>
      </c>
      <c r="H155" s="80">
        <f>SUMIFS('февраль 2024'!$G$6:$G$1413,'февраль 2024'!$D$6:$D$1413,$B155,'февраль 2024'!$J$6:$J$1413,H$1)</f>
        <v>0</v>
      </c>
      <c r="I155" s="80">
        <f>SUMIFS('февраль 2024'!$G$6:$G$1413,'февраль 2024'!$D$6:$D$1413,$B155,'февраль 2024'!$J$6:$J$1413,I$1)</f>
        <v>0</v>
      </c>
      <c r="J155" s="80">
        <f>SUMIFS('февраль 2024'!$G$6:$G$1413,'февраль 2024'!$D$6:$D$1413,$B155,'февраль 2024'!$J$6:$J$1413,J$1)</f>
        <v>0</v>
      </c>
      <c r="K155" s="80">
        <f>SUMIFS('февраль 2024'!$G$6:$G$1413,'февраль 2024'!$D$6:$D$1413,$B155,'февраль 2024'!$J$6:$J$1413,K$1)</f>
        <v>0</v>
      </c>
      <c r="L155" s="80">
        <f>SUMIFS('февраль 2024'!$G$6:$G$1413,'февраль 2024'!$D$6:$D$1413,$B155,'февраль 2024'!$J$6:$J$1413,L$1)</f>
        <v>0</v>
      </c>
      <c r="M155" s="80">
        <f>SUMIFS('февраль 2024'!$G$6:$G$1413,'февраль 2024'!$D$6:$D$1413,$B155,'февраль 2024'!$J$6:$J$1413,M$1)</f>
        <v>0</v>
      </c>
      <c r="N155" s="80">
        <f>SUMIFS('февраль 2024'!$G$6:$G$1413,'февраль 2024'!$D$6:$D$1413,$B155,'февраль 2024'!$J$6:$J$1413,N$1)</f>
        <v>0</v>
      </c>
      <c r="O155" s="80">
        <f>SUMIFS('февраль 2024'!$G$6:$G$1413,'февраль 2024'!$D$6:$D$1413,$B155,'февраль 2024'!$J$6:$J$1413,O$1)</f>
        <v>0</v>
      </c>
      <c r="P155" s="80">
        <f>SUMIFS('февраль 2024'!$G$6:$G$1413,'февраль 2024'!$D$6:$D$1413,$B155,'февраль 2024'!$J$6:$J$1413,P$1)</f>
        <v>0</v>
      </c>
      <c r="Q155" s="80">
        <f>SUMIFS('февраль 2024'!$G$6:$G$1413,'февраль 2024'!$D$6:$D$1413,$B155,'февраль 2024'!$J$6:$J$1413,Q$1)</f>
        <v>0</v>
      </c>
      <c r="R155" s="80">
        <f>SUMIFS('февраль 2024'!$G$6:$G$1413,'февраль 2024'!$D$6:$D$1413,$B155,'февраль 2024'!$J$6:$J$1413,R$1)</f>
        <v>0</v>
      </c>
      <c r="S155" s="80">
        <f>SUMIFS('февраль 2024'!$G$6:$G$1413,'февраль 2024'!$D$6:$D$1413,$B155,'февраль 2024'!$J$6:$J$1413,S$1)</f>
        <v>0</v>
      </c>
      <c r="T155" s="80">
        <f>SUMIFS('февраль 2024'!$G$6:$G$1413,'февраль 2024'!$D$6:$D$1413,$B155,'февраль 2024'!$J$6:$J$1413,T$1)</f>
        <v>0</v>
      </c>
      <c r="U155" s="80">
        <f>SUMIFS('февраль 2024'!$G$6:$G$1413,'февраль 2024'!$D$6:$D$1413,$B155,'февраль 2024'!$J$6:$J$1413,U$1)</f>
        <v>0</v>
      </c>
      <c r="V155" s="80">
        <f>SUMIFS('февраль 2024'!$G$6:$G$1413,'февраль 2024'!$D$6:$D$1413,$B155,'февраль 2024'!$J$6:$J$1413,V$1)</f>
        <v>0</v>
      </c>
      <c r="W155" s="80">
        <f>SUMIFS('февраль 2024'!$G$6:$G$1413,'февраль 2024'!$D$6:$D$1413,$B155,'февраль 2024'!$J$6:$J$1413,W$1)</f>
        <v>0</v>
      </c>
      <c r="X155" s="80">
        <f>SUMIFS('февраль 2024'!$G$6:$G$1413,'февраль 2024'!$D$6:$D$1413,$B155,'февраль 2024'!$J$6:$J$1413,X$1)</f>
        <v>0</v>
      </c>
      <c r="Y155" s="80">
        <f>SUMIFS('февраль 2024'!$G$6:$G$1413,'февраль 2024'!$D$6:$D$1413,$B155,'февраль 2024'!$J$6:$J$1413,Y$1)</f>
        <v>0</v>
      </c>
      <c r="Z155" s="80">
        <f>SUMIFS('февраль 2024'!$G$6:$G$1413,'февраль 2024'!$D$6:$D$1413,$B155,'февраль 2024'!$J$6:$J$1413,Z$1)</f>
        <v>0</v>
      </c>
      <c r="AA155" s="80">
        <f>SUMIFS('февраль 2024'!$G$6:$G$1413,'февраль 2024'!$D$6:$D$1413,$B155,'февраль 2024'!$J$6:$J$1413,AA$1)</f>
        <v>0</v>
      </c>
      <c r="AB155" s="80">
        <f>SUMIFS('февраль 2024'!$G$6:$G$1413,'февраль 2024'!$D$6:$D$1413,$B155,'февраль 2024'!$J$6:$J$1413,AB$1)</f>
        <v>0</v>
      </c>
      <c r="AC155" s="80">
        <f>SUMIFS('февраль 2024'!$G$6:$G$1413,'февраль 2024'!$D$6:$D$1413,$B155,'февраль 2024'!$J$6:$J$1413,AC$1)</f>
        <v>0</v>
      </c>
      <c r="AD155" s="80">
        <f>SUMIFS('февраль 2024'!$G$6:$G$1413,'февраль 2024'!$D$6:$D$1413,$B155,'февраль 2024'!$J$6:$J$1413,AD$1)</f>
        <v>0</v>
      </c>
      <c r="AE155" s="80">
        <f>SUMIFS('февраль 2024'!$G$6:$G$1413,'февраль 2024'!$D$6:$D$1413,$B155,'февраль 2024'!$J$6:$J$1413,AE$1)</f>
        <v>0</v>
      </c>
      <c r="AF155" s="80">
        <f>SUMIFS('февраль 2024'!$G$6:$G$1413,'февраль 2024'!$D$6:$D$1413,$B155,'февраль 2024'!$J$6:$J$1413,AF$1)</f>
        <v>0</v>
      </c>
      <c r="AG155" s="80">
        <f>SUMIFS('февраль 2024'!$G$6:$G$1413,'февраль 2024'!$D$6:$D$1413,$B155,'февраль 2024'!$J$6:$J$1413,AG$1)</f>
        <v>0</v>
      </c>
      <c r="AH155" s="80">
        <f>SUMIFS('февраль 2024'!$G$6:$G$1413,'февраль 2024'!$D$6:$D$1413,$B155,'февраль 2024'!$J$6:$J$1413,AH$1)</f>
        <v>0</v>
      </c>
      <c r="AI155" s="87"/>
    </row>
    <row r="156" spans="2:35" ht="15" hidden="1" customHeight="1" x14ac:dyDescent="0.25">
      <c r="B156" s="89"/>
      <c r="C156" s="88"/>
      <c r="D156" s="80">
        <f>SUMIFS('февраль 2024'!$G$6:$G$1413,'февраль 2024'!$D$6:$D$1413,$B156,'февраль 2024'!$J$6:$J$1413,D$1)</f>
        <v>0</v>
      </c>
      <c r="E156" s="80">
        <f>SUMIFS('февраль 2024'!$G$6:$G$1413,'февраль 2024'!$D$6:$D$1413,$B156,'февраль 2024'!$J$6:$J$1413,E$1)</f>
        <v>0</v>
      </c>
      <c r="F156" s="80">
        <f>SUMIFS('февраль 2024'!$G$6:$G$1413,'февраль 2024'!$D$6:$D$1413,$B156,'февраль 2024'!$J$6:$J$1413,F$1)</f>
        <v>0</v>
      </c>
      <c r="G156" s="80">
        <f>SUMIFS('февраль 2024'!$G$6:$G$1413,'февраль 2024'!$D$6:$D$1413,$B156,'февраль 2024'!$J$6:$J$1413,G$1)</f>
        <v>0</v>
      </c>
      <c r="H156" s="80">
        <f>SUMIFS('февраль 2024'!$G$6:$G$1413,'февраль 2024'!$D$6:$D$1413,$B156,'февраль 2024'!$J$6:$J$1413,H$1)</f>
        <v>0</v>
      </c>
      <c r="I156" s="80">
        <f>SUMIFS('февраль 2024'!$G$6:$G$1413,'февраль 2024'!$D$6:$D$1413,$B156,'февраль 2024'!$J$6:$J$1413,I$1)</f>
        <v>0</v>
      </c>
      <c r="J156" s="80">
        <f>SUMIFS('февраль 2024'!$G$6:$G$1413,'февраль 2024'!$D$6:$D$1413,$B156,'февраль 2024'!$J$6:$J$1413,J$1)</f>
        <v>0</v>
      </c>
      <c r="K156" s="80">
        <f>SUMIFS('февраль 2024'!$G$6:$G$1413,'февраль 2024'!$D$6:$D$1413,$B156,'февраль 2024'!$J$6:$J$1413,K$1)</f>
        <v>0</v>
      </c>
      <c r="L156" s="80">
        <f>SUMIFS('февраль 2024'!$G$6:$G$1413,'февраль 2024'!$D$6:$D$1413,$B156,'февраль 2024'!$J$6:$J$1413,L$1)</f>
        <v>0</v>
      </c>
      <c r="M156" s="80">
        <f>SUMIFS('февраль 2024'!$G$6:$G$1413,'февраль 2024'!$D$6:$D$1413,$B156,'февраль 2024'!$J$6:$J$1413,M$1)</f>
        <v>0</v>
      </c>
      <c r="N156" s="80">
        <f>SUMIFS('февраль 2024'!$G$6:$G$1413,'февраль 2024'!$D$6:$D$1413,$B156,'февраль 2024'!$J$6:$J$1413,N$1)</f>
        <v>0</v>
      </c>
      <c r="O156" s="80">
        <f>SUMIFS('февраль 2024'!$G$6:$G$1413,'февраль 2024'!$D$6:$D$1413,$B156,'февраль 2024'!$J$6:$J$1413,O$1)</f>
        <v>0</v>
      </c>
      <c r="P156" s="80">
        <f>SUMIFS('февраль 2024'!$G$6:$G$1413,'февраль 2024'!$D$6:$D$1413,$B156,'февраль 2024'!$J$6:$J$1413,P$1)</f>
        <v>0</v>
      </c>
      <c r="Q156" s="80">
        <f>SUMIFS('февраль 2024'!$G$6:$G$1413,'февраль 2024'!$D$6:$D$1413,$B156,'февраль 2024'!$J$6:$J$1413,Q$1)</f>
        <v>0</v>
      </c>
      <c r="R156" s="80">
        <f>SUMIFS('февраль 2024'!$G$6:$G$1413,'февраль 2024'!$D$6:$D$1413,$B156,'февраль 2024'!$J$6:$J$1413,R$1)</f>
        <v>0</v>
      </c>
      <c r="S156" s="80">
        <f>SUMIFS('февраль 2024'!$G$6:$G$1413,'февраль 2024'!$D$6:$D$1413,$B156,'февраль 2024'!$J$6:$J$1413,S$1)</f>
        <v>0</v>
      </c>
      <c r="T156" s="80">
        <f>SUMIFS('февраль 2024'!$G$6:$G$1413,'февраль 2024'!$D$6:$D$1413,$B156,'февраль 2024'!$J$6:$J$1413,T$1)</f>
        <v>0</v>
      </c>
      <c r="U156" s="80">
        <f>SUMIFS('февраль 2024'!$G$6:$G$1413,'февраль 2024'!$D$6:$D$1413,$B156,'февраль 2024'!$J$6:$J$1413,U$1)</f>
        <v>0</v>
      </c>
      <c r="V156" s="80">
        <f>SUMIFS('февраль 2024'!$G$6:$G$1413,'февраль 2024'!$D$6:$D$1413,$B156,'февраль 2024'!$J$6:$J$1413,V$1)</f>
        <v>0</v>
      </c>
      <c r="W156" s="80">
        <f>SUMIFS('февраль 2024'!$G$6:$G$1413,'февраль 2024'!$D$6:$D$1413,$B156,'февраль 2024'!$J$6:$J$1413,W$1)</f>
        <v>0</v>
      </c>
      <c r="X156" s="80">
        <f>SUMIFS('февраль 2024'!$G$6:$G$1413,'февраль 2024'!$D$6:$D$1413,$B156,'февраль 2024'!$J$6:$J$1413,X$1)</f>
        <v>0</v>
      </c>
      <c r="Y156" s="80">
        <f>SUMIFS('февраль 2024'!$G$6:$G$1413,'февраль 2024'!$D$6:$D$1413,$B156,'февраль 2024'!$J$6:$J$1413,Y$1)</f>
        <v>0</v>
      </c>
      <c r="Z156" s="80">
        <f>SUMIFS('февраль 2024'!$G$6:$G$1413,'февраль 2024'!$D$6:$D$1413,$B156,'февраль 2024'!$J$6:$J$1413,Z$1)</f>
        <v>0</v>
      </c>
      <c r="AA156" s="80">
        <f>SUMIFS('февраль 2024'!$G$6:$G$1413,'февраль 2024'!$D$6:$D$1413,$B156,'февраль 2024'!$J$6:$J$1413,AA$1)</f>
        <v>0</v>
      </c>
      <c r="AB156" s="80">
        <f>SUMIFS('февраль 2024'!$G$6:$G$1413,'февраль 2024'!$D$6:$D$1413,$B156,'февраль 2024'!$J$6:$J$1413,AB$1)</f>
        <v>0</v>
      </c>
      <c r="AC156" s="80">
        <f>SUMIFS('февраль 2024'!$G$6:$G$1413,'февраль 2024'!$D$6:$D$1413,$B156,'февраль 2024'!$J$6:$J$1413,AC$1)</f>
        <v>0</v>
      </c>
      <c r="AD156" s="80">
        <f>SUMIFS('февраль 2024'!$G$6:$G$1413,'февраль 2024'!$D$6:$D$1413,$B156,'февраль 2024'!$J$6:$J$1413,AD$1)</f>
        <v>0</v>
      </c>
      <c r="AE156" s="80">
        <f>SUMIFS('февраль 2024'!$G$6:$G$1413,'февраль 2024'!$D$6:$D$1413,$B156,'февраль 2024'!$J$6:$J$1413,AE$1)</f>
        <v>0</v>
      </c>
      <c r="AF156" s="80">
        <f>SUMIFS('февраль 2024'!$G$6:$G$1413,'февраль 2024'!$D$6:$D$1413,$B156,'февраль 2024'!$J$6:$J$1413,AF$1)</f>
        <v>0</v>
      </c>
      <c r="AG156" s="80">
        <f>SUMIFS('февраль 2024'!$G$6:$G$1413,'февраль 2024'!$D$6:$D$1413,$B156,'февраль 2024'!$J$6:$J$1413,AG$1)</f>
        <v>0</v>
      </c>
      <c r="AH156" s="80">
        <f>SUMIFS('февраль 2024'!$G$6:$G$1413,'февраль 2024'!$D$6:$D$1413,$B156,'февраль 2024'!$J$6:$J$1413,AH$1)</f>
        <v>0</v>
      </c>
      <c r="AI156" s="87"/>
    </row>
    <row r="157" spans="2:35" ht="15" hidden="1" customHeight="1" x14ac:dyDescent="0.25">
      <c r="B157" s="93"/>
      <c r="C157" s="91"/>
      <c r="D157" s="80">
        <f>SUMIFS('февраль 2024'!$G$6:$G$1413,'февраль 2024'!$D$6:$D$1413,$B157,'февраль 2024'!$J$6:$J$1413,D$1)</f>
        <v>0</v>
      </c>
      <c r="E157" s="80">
        <f>SUMIFS('февраль 2024'!$G$6:$G$1413,'февраль 2024'!$D$6:$D$1413,$B157,'февраль 2024'!$J$6:$J$1413,E$1)</f>
        <v>0</v>
      </c>
      <c r="F157" s="80">
        <f>SUMIFS('февраль 2024'!$G$6:$G$1413,'февраль 2024'!$D$6:$D$1413,$B157,'февраль 2024'!$J$6:$J$1413,F$1)</f>
        <v>0</v>
      </c>
      <c r="G157" s="80">
        <f>SUMIFS('февраль 2024'!$G$6:$G$1413,'февраль 2024'!$D$6:$D$1413,$B157,'февраль 2024'!$J$6:$J$1413,G$1)</f>
        <v>0</v>
      </c>
      <c r="H157" s="80">
        <f>SUMIFS('февраль 2024'!$G$6:$G$1413,'февраль 2024'!$D$6:$D$1413,$B157,'февраль 2024'!$J$6:$J$1413,H$1)</f>
        <v>0</v>
      </c>
      <c r="I157" s="80">
        <f>SUMIFS('февраль 2024'!$G$6:$G$1413,'февраль 2024'!$D$6:$D$1413,$B157,'февраль 2024'!$J$6:$J$1413,I$1)</f>
        <v>0</v>
      </c>
      <c r="J157" s="80">
        <f>SUMIFS('февраль 2024'!$G$6:$G$1413,'февраль 2024'!$D$6:$D$1413,$B157,'февраль 2024'!$J$6:$J$1413,J$1)</f>
        <v>0</v>
      </c>
      <c r="K157" s="80">
        <f>SUMIFS('февраль 2024'!$G$6:$G$1413,'февраль 2024'!$D$6:$D$1413,$B157,'февраль 2024'!$J$6:$J$1413,K$1)</f>
        <v>0</v>
      </c>
      <c r="L157" s="80">
        <f>SUMIFS('февраль 2024'!$G$6:$G$1413,'февраль 2024'!$D$6:$D$1413,$B157,'февраль 2024'!$J$6:$J$1413,L$1)</f>
        <v>0</v>
      </c>
      <c r="M157" s="80">
        <f>SUMIFS('февраль 2024'!$G$6:$G$1413,'февраль 2024'!$D$6:$D$1413,$B157,'февраль 2024'!$J$6:$J$1413,M$1)</f>
        <v>0</v>
      </c>
      <c r="N157" s="80">
        <f>SUMIFS('февраль 2024'!$G$6:$G$1413,'февраль 2024'!$D$6:$D$1413,$B157,'февраль 2024'!$J$6:$J$1413,N$1)</f>
        <v>0</v>
      </c>
      <c r="O157" s="80">
        <f>SUMIFS('февраль 2024'!$G$6:$G$1413,'февраль 2024'!$D$6:$D$1413,$B157,'февраль 2024'!$J$6:$J$1413,O$1)</f>
        <v>0</v>
      </c>
      <c r="P157" s="80">
        <f>SUMIFS('февраль 2024'!$G$6:$G$1413,'февраль 2024'!$D$6:$D$1413,$B157,'февраль 2024'!$J$6:$J$1413,P$1)</f>
        <v>0</v>
      </c>
      <c r="Q157" s="80">
        <f>SUMIFS('февраль 2024'!$G$6:$G$1413,'февраль 2024'!$D$6:$D$1413,$B157,'февраль 2024'!$J$6:$J$1413,Q$1)</f>
        <v>0</v>
      </c>
      <c r="R157" s="80">
        <f>SUMIFS('февраль 2024'!$G$6:$G$1413,'февраль 2024'!$D$6:$D$1413,$B157,'февраль 2024'!$J$6:$J$1413,R$1)</f>
        <v>0</v>
      </c>
      <c r="S157" s="80">
        <f>SUMIFS('февраль 2024'!$G$6:$G$1413,'февраль 2024'!$D$6:$D$1413,$B157,'февраль 2024'!$J$6:$J$1413,S$1)</f>
        <v>0</v>
      </c>
      <c r="T157" s="80">
        <f>SUMIFS('февраль 2024'!$G$6:$G$1413,'февраль 2024'!$D$6:$D$1413,$B157,'февраль 2024'!$J$6:$J$1413,T$1)</f>
        <v>0</v>
      </c>
      <c r="U157" s="80">
        <f>SUMIFS('февраль 2024'!$G$6:$G$1413,'февраль 2024'!$D$6:$D$1413,$B157,'февраль 2024'!$J$6:$J$1413,U$1)</f>
        <v>0</v>
      </c>
      <c r="V157" s="80">
        <f>SUMIFS('февраль 2024'!$G$6:$G$1413,'февраль 2024'!$D$6:$D$1413,$B157,'февраль 2024'!$J$6:$J$1413,V$1)</f>
        <v>0</v>
      </c>
      <c r="W157" s="80">
        <f>SUMIFS('февраль 2024'!$G$6:$G$1413,'февраль 2024'!$D$6:$D$1413,$B157,'февраль 2024'!$J$6:$J$1413,W$1)</f>
        <v>0</v>
      </c>
      <c r="X157" s="80">
        <f>SUMIFS('февраль 2024'!$G$6:$G$1413,'февраль 2024'!$D$6:$D$1413,$B157,'февраль 2024'!$J$6:$J$1413,X$1)</f>
        <v>0</v>
      </c>
      <c r="Y157" s="80">
        <f>SUMIFS('февраль 2024'!$G$6:$G$1413,'февраль 2024'!$D$6:$D$1413,$B157,'февраль 2024'!$J$6:$J$1413,Y$1)</f>
        <v>0</v>
      </c>
      <c r="Z157" s="80">
        <f>SUMIFS('февраль 2024'!$G$6:$G$1413,'февраль 2024'!$D$6:$D$1413,$B157,'февраль 2024'!$J$6:$J$1413,Z$1)</f>
        <v>0</v>
      </c>
      <c r="AA157" s="80">
        <f>SUMIFS('февраль 2024'!$G$6:$G$1413,'февраль 2024'!$D$6:$D$1413,$B157,'февраль 2024'!$J$6:$J$1413,AA$1)</f>
        <v>0</v>
      </c>
      <c r="AB157" s="80">
        <f>SUMIFS('февраль 2024'!$G$6:$G$1413,'февраль 2024'!$D$6:$D$1413,$B157,'февраль 2024'!$J$6:$J$1413,AB$1)</f>
        <v>0</v>
      </c>
      <c r="AC157" s="80">
        <f>SUMIFS('февраль 2024'!$G$6:$G$1413,'февраль 2024'!$D$6:$D$1413,$B157,'февраль 2024'!$J$6:$J$1413,AC$1)</f>
        <v>0</v>
      </c>
      <c r="AD157" s="80">
        <f>SUMIFS('февраль 2024'!$G$6:$G$1413,'февраль 2024'!$D$6:$D$1413,$B157,'февраль 2024'!$J$6:$J$1413,AD$1)</f>
        <v>0</v>
      </c>
      <c r="AE157" s="80">
        <f>SUMIFS('февраль 2024'!$G$6:$G$1413,'февраль 2024'!$D$6:$D$1413,$B157,'февраль 2024'!$J$6:$J$1413,AE$1)</f>
        <v>0</v>
      </c>
      <c r="AF157" s="80">
        <f>SUMIFS('февраль 2024'!$G$6:$G$1413,'февраль 2024'!$D$6:$D$1413,$B157,'февраль 2024'!$J$6:$J$1413,AF$1)</f>
        <v>0</v>
      </c>
      <c r="AG157" s="80">
        <f>SUMIFS('февраль 2024'!$G$6:$G$1413,'февраль 2024'!$D$6:$D$1413,$B157,'февраль 2024'!$J$6:$J$1413,AG$1)</f>
        <v>0</v>
      </c>
      <c r="AH157" s="80">
        <f>SUMIFS('февраль 2024'!$G$6:$G$1413,'февраль 2024'!$D$6:$D$1413,$B157,'февраль 2024'!$J$6:$J$1413,AH$1)</f>
        <v>0</v>
      </c>
      <c r="AI157" s="87"/>
    </row>
    <row r="158" spans="2:35" ht="15" hidden="1" customHeight="1" x14ac:dyDescent="0.25">
      <c r="B158" s="93"/>
      <c r="C158" s="91"/>
      <c r="D158" s="80">
        <f>SUMIFS('февраль 2024'!$G$6:$G$1413,'февраль 2024'!$D$6:$D$1413,$B158,'февраль 2024'!$J$6:$J$1413,D$1)</f>
        <v>0</v>
      </c>
      <c r="E158" s="80">
        <f>SUMIFS('февраль 2024'!$G$6:$G$1413,'февраль 2024'!$D$6:$D$1413,$B158,'февраль 2024'!$J$6:$J$1413,E$1)</f>
        <v>0</v>
      </c>
      <c r="F158" s="80">
        <f>SUMIFS('февраль 2024'!$G$6:$G$1413,'февраль 2024'!$D$6:$D$1413,$B158,'февраль 2024'!$J$6:$J$1413,F$1)</f>
        <v>0</v>
      </c>
      <c r="G158" s="80">
        <f>SUMIFS('февраль 2024'!$G$6:$G$1413,'февраль 2024'!$D$6:$D$1413,$B158,'февраль 2024'!$J$6:$J$1413,G$1)</f>
        <v>0</v>
      </c>
      <c r="H158" s="80">
        <f>SUMIFS('февраль 2024'!$G$6:$G$1413,'февраль 2024'!$D$6:$D$1413,$B158,'февраль 2024'!$J$6:$J$1413,H$1)</f>
        <v>0</v>
      </c>
      <c r="I158" s="80">
        <f>SUMIFS('февраль 2024'!$G$6:$G$1413,'февраль 2024'!$D$6:$D$1413,$B158,'февраль 2024'!$J$6:$J$1413,I$1)</f>
        <v>0</v>
      </c>
      <c r="J158" s="80">
        <f>SUMIFS('февраль 2024'!$G$6:$G$1413,'февраль 2024'!$D$6:$D$1413,$B158,'февраль 2024'!$J$6:$J$1413,J$1)</f>
        <v>0</v>
      </c>
      <c r="K158" s="80">
        <f>SUMIFS('февраль 2024'!$G$6:$G$1413,'февраль 2024'!$D$6:$D$1413,$B158,'февраль 2024'!$J$6:$J$1413,K$1)</f>
        <v>0</v>
      </c>
      <c r="L158" s="80">
        <f>SUMIFS('февраль 2024'!$G$6:$G$1413,'февраль 2024'!$D$6:$D$1413,$B158,'февраль 2024'!$J$6:$J$1413,L$1)</f>
        <v>0</v>
      </c>
      <c r="M158" s="80">
        <f>SUMIFS('февраль 2024'!$G$6:$G$1413,'февраль 2024'!$D$6:$D$1413,$B158,'февраль 2024'!$J$6:$J$1413,M$1)</f>
        <v>0</v>
      </c>
      <c r="N158" s="80">
        <f>SUMIFS('февраль 2024'!$G$6:$G$1413,'февраль 2024'!$D$6:$D$1413,$B158,'февраль 2024'!$J$6:$J$1413,N$1)</f>
        <v>0</v>
      </c>
      <c r="O158" s="80">
        <f>SUMIFS('февраль 2024'!$G$6:$G$1413,'февраль 2024'!$D$6:$D$1413,$B158,'февраль 2024'!$J$6:$J$1413,O$1)</f>
        <v>0</v>
      </c>
      <c r="P158" s="80">
        <f>SUMIFS('февраль 2024'!$G$6:$G$1413,'февраль 2024'!$D$6:$D$1413,$B158,'февраль 2024'!$J$6:$J$1413,P$1)</f>
        <v>0</v>
      </c>
      <c r="Q158" s="80">
        <f>SUMIFS('февраль 2024'!$G$6:$G$1413,'февраль 2024'!$D$6:$D$1413,$B158,'февраль 2024'!$J$6:$J$1413,Q$1)</f>
        <v>0</v>
      </c>
      <c r="R158" s="80">
        <f>SUMIFS('февраль 2024'!$G$6:$G$1413,'февраль 2024'!$D$6:$D$1413,$B158,'февраль 2024'!$J$6:$J$1413,R$1)</f>
        <v>0</v>
      </c>
      <c r="S158" s="80">
        <f>SUMIFS('февраль 2024'!$G$6:$G$1413,'февраль 2024'!$D$6:$D$1413,$B158,'февраль 2024'!$J$6:$J$1413,S$1)</f>
        <v>0</v>
      </c>
      <c r="T158" s="80">
        <f>SUMIFS('февраль 2024'!$G$6:$G$1413,'февраль 2024'!$D$6:$D$1413,$B158,'февраль 2024'!$J$6:$J$1413,T$1)</f>
        <v>0</v>
      </c>
      <c r="U158" s="80">
        <f>SUMIFS('февраль 2024'!$G$6:$G$1413,'февраль 2024'!$D$6:$D$1413,$B158,'февраль 2024'!$J$6:$J$1413,U$1)</f>
        <v>0</v>
      </c>
      <c r="V158" s="80">
        <f>SUMIFS('февраль 2024'!$G$6:$G$1413,'февраль 2024'!$D$6:$D$1413,$B158,'февраль 2024'!$J$6:$J$1413,V$1)</f>
        <v>0</v>
      </c>
      <c r="W158" s="80">
        <f>SUMIFS('февраль 2024'!$G$6:$G$1413,'февраль 2024'!$D$6:$D$1413,$B158,'февраль 2024'!$J$6:$J$1413,W$1)</f>
        <v>0</v>
      </c>
      <c r="X158" s="80">
        <f>SUMIFS('февраль 2024'!$G$6:$G$1413,'февраль 2024'!$D$6:$D$1413,$B158,'февраль 2024'!$J$6:$J$1413,X$1)</f>
        <v>0</v>
      </c>
      <c r="Y158" s="80">
        <f>SUMIFS('февраль 2024'!$G$6:$G$1413,'февраль 2024'!$D$6:$D$1413,$B158,'февраль 2024'!$J$6:$J$1413,Y$1)</f>
        <v>0</v>
      </c>
      <c r="Z158" s="80">
        <f>SUMIFS('февраль 2024'!$G$6:$G$1413,'февраль 2024'!$D$6:$D$1413,$B158,'февраль 2024'!$J$6:$J$1413,Z$1)</f>
        <v>0</v>
      </c>
      <c r="AA158" s="80">
        <f>SUMIFS('февраль 2024'!$G$6:$G$1413,'февраль 2024'!$D$6:$D$1413,$B158,'февраль 2024'!$J$6:$J$1413,AA$1)</f>
        <v>0</v>
      </c>
      <c r="AB158" s="80">
        <f>SUMIFS('февраль 2024'!$G$6:$G$1413,'февраль 2024'!$D$6:$D$1413,$B158,'февраль 2024'!$J$6:$J$1413,AB$1)</f>
        <v>0</v>
      </c>
      <c r="AC158" s="80">
        <f>SUMIFS('февраль 2024'!$G$6:$G$1413,'февраль 2024'!$D$6:$D$1413,$B158,'февраль 2024'!$J$6:$J$1413,AC$1)</f>
        <v>0</v>
      </c>
      <c r="AD158" s="80">
        <f>SUMIFS('февраль 2024'!$G$6:$G$1413,'февраль 2024'!$D$6:$D$1413,$B158,'февраль 2024'!$J$6:$J$1413,AD$1)</f>
        <v>0</v>
      </c>
      <c r="AE158" s="80">
        <f>SUMIFS('февраль 2024'!$G$6:$G$1413,'февраль 2024'!$D$6:$D$1413,$B158,'февраль 2024'!$J$6:$J$1413,AE$1)</f>
        <v>0</v>
      </c>
      <c r="AF158" s="80">
        <f>SUMIFS('февраль 2024'!$G$6:$G$1413,'февраль 2024'!$D$6:$D$1413,$B158,'февраль 2024'!$J$6:$J$1413,AF$1)</f>
        <v>0</v>
      </c>
      <c r="AG158" s="80">
        <f>SUMIFS('февраль 2024'!$G$6:$G$1413,'февраль 2024'!$D$6:$D$1413,$B158,'февраль 2024'!$J$6:$J$1413,AG$1)</f>
        <v>0</v>
      </c>
      <c r="AH158" s="80">
        <f>SUMIFS('февраль 2024'!$G$6:$G$1413,'февраль 2024'!$D$6:$D$1413,$B158,'февраль 2024'!$J$6:$J$1413,AH$1)</f>
        <v>0</v>
      </c>
      <c r="AI158" s="87"/>
    </row>
    <row r="159" spans="2:35" ht="15" hidden="1" customHeight="1" x14ac:dyDescent="0.25">
      <c r="B159" s="93"/>
      <c r="C159" s="91"/>
      <c r="D159" s="80">
        <f>SUMIFS('февраль 2024'!$G$6:$G$1413,'февраль 2024'!$D$6:$D$1413,$B159,'февраль 2024'!$J$6:$J$1413,D$1)</f>
        <v>0</v>
      </c>
      <c r="E159" s="80">
        <f>SUMIFS('февраль 2024'!$G$6:$G$1413,'февраль 2024'!$D$6:$D$1413,$B159,'февраль 2024'!$J$6:$J$1413,E$1)</f>
        <v>0</v>
      </c>
      <c r="F159" s="80">
        <f>SUMIFS('февраль 2024'!$G$6:$G$1413,'февраль 2024'!$D$6:$D$1413,$B159,'февраль 2024'!$J$6:$J$1413,F$1)</f>
        <v>0</v>
      </c>
      <c r="G159" s="80">
        <f>SUMIFS('февраль 2024'!$G$6:$G$1413,'февраль 2024'!$D$6:$D$1413,$B159,'февраль 2024'!$J$6:$J$1413,G$1)</f>
        <v>0</v>
      </c>
      <c r="H159" s="80">
        <f>SUMIFS('февраль 2024'!$G$6:$G$1413,'февраль 2024'!$D$6:$D$1413,$B159,'февраль 2024'!$J$6:$J$1413,H$1)</f>
        <v>0</v>
      </c>
      <c r="I159" s="80">
        <f>SUMIFS('февраль 2024'!$G$6:$G$1413,'февраль 2024'!$D$6:$D$1413,$B159,'февраль 2024'!$J$6:$J$1413,I$1)</f>
        <v>0</v>
      </c>
      <c r="J159" s="80">
        <f>SUMIFS('февраль 2024'!$G$6:$G$1413,'февраль 2024'!$D$6:$D$1413,$B159,'февраль 2024'!$J$6:$J$1413,J$1)</f>
        <v>0</v>
      </c>
      <c r="K159" s="80">
        <f>SUMIFS('февраль 2024'!$G$6:$G$1413,'февраль 2024'!$D$6:$D$1413,$B159,'февраль 2024'!$J$6:$J$1413,K$1)</f>
        <v>0</v>
      </c>
      <c r="L159" s="80">
        <f>SUMIFS('февраль 2024'!$G$6:$G$1413,'февраль 2024'!$D$6:$D$1413,$B159,'февраль 2024'!$J$6:$J$1413,L$1)</f>
        <v>0</v>
      </c>
      <c r="M159" s="80">
        <f>SUMIFS('февраль 2024'!$G$6:$G$1413,'февраль 2024'!$D$6:$D$1413,$B159,'февраль 2024'!$J$6:$J$1413,M$1)</f>
        <v>0</v>
      </c>
      <c r="N159" s="80">
        <f>SUMIFS('февраль 2024'!$G$6:$G$1413,'февраль 2024'!$D$6:$D$1413,$B159,'февраль 2024'!$J$6:$J$1413,N$1)</f>
        <v>0</v>
      </c>
      <c r="O159" s="80">
        <f>SUMIFS('февраль 2024'!$G$6:$G$1413,'февраль 2024'!$D$6:$D$1413,$B159,'февраль 2024'!$J$6:$J$1413,O$1)</f>
        <v>0</v>
      </c>
      <c r="P159" s="80">
        <f>SUMIFS('февраль 2024'!$G$6:$G$1413,'февраль 2024'!$D$6:$D$1413,$B159,'февраль 2024'!$J$6:$J$1413,P$1)</f>
        <v>0</v>
      </c>
      <c r="Q159" s="80">
        <f>SUMIFS('февраль 2024'!$G$6:$G$1413,'февраль 2024'!$D$6:$D$1413,$B159,'февраль 2024'!$J$6:$J$1413,Q$1)</f>
        <v>0</v>
      </c>
      <c r="R159" s="80">
        <f>SUMIFS('февраль 2024'!$G$6:$G$1413,'февраль 2024'!$D$6:$D$1413,$B159,'февраль 2024'!$J$6:$J$1413,R$1)</f>
        <v>0</v>
      </c>
      <c r="S159" s="80">
        <f>SUMIFS('февраль 2024'!$G$6:$G$1413,'февраль 2024'!$D$6:$D$1413,$B159,'февраль 2024'!$J$6:$J$1413,S$1)</f>
        <v>0</v>
      </c>
      <c r="T159" s="80">
        <f>SUMIFS('февраль 2024'!$G$6:$G$1413,'февраль 2024'!$D$6:$D$1413,$B159,'февраль 2024'!$J$6:$J$1413,T$1)</f>
        <v>0</v>
      </c>
      <c r="U159" s="80">
        <f>SUMIFS('февраль 2024'!$G$6:$G$1413,'февраль 2024'!$D$6:$D$1413,$B159,'февраль 2024'!$J$6:$J$1413,U$1)</f>
        <v>0</v>
      </c>
      <c r="V159" s="80">
        <f>SUMIFS('февраль 2024'!$G$6:$G$1413,'февраль 2024'!$D$6:$D$1413,$B159,'февраль 2024'!$J$6:$J$1413,V$1)</f>
        <v>0</v>
      </c>
      <c r="W159" s="80">
        <f>SUMIFS('февраль 2024'!$G$6:$G$1413,'февраль 2024'!$D$6:$D$1413,$B159,'февраль 2024'!$J$6:$J$1413,W$1)</f>
        <v>0</v>
      </c>
      <c r="X159" s="80">
        <f>SUMIFS('февраль 2024'!$G$6:$G$1413,'февраль 2024'!$D$6:$D$1413,$B159,'февраль 2024'!$J$6:$J$1413,X$1)</f>
        <v>0</v>
      </c>
      <c r="Y159" s="80">
        <f>SUMIFS('февраль 2024'!$G$6:$G$1413,'февраль 2024'!$D$6:$D$1413,$B159,'февраль 2024'!$J$6:$J$1413,Y$1)</f>
        <v>0</v>
      </c>
      <c r="Z159" s="80">
        <f>SUMIFS('февраль 2024'!$G$6:$G$1413,'февраль 2024'!$D$6:$D$1413,$B159,'февраль 2024'!$J$6:$J$1413,Z$1)</f>
        <v>0</v>
      </c>
      <c r="AA159" s="80">
        <f>SUMIFS('февраль 2024'!$G$6:$G$1413,'февраль 2024'!$D$6:$D$1413,$B159,'февраль 2024'!$J$6:$J$1413,AA$1)</f>
        <v>0</v>
      </c>
      <c r="AB159" s="80">
        <f>SUMIFS('февраль 2024'!$G$6:$G$1413,'февраль 2024'!$D$6:$D$1413,$B159,'февраль 2024'!$J$6:$J$1413,AB$1)</f>
        <v>0</v>
      </c>
      <c r="AC159" s="80">
        <f>SUMIFS('февраль 2024'!$G$6:$G$1413,'февраль 2024'!$D$6:$D$1413,$B159,'февраль 2024'!$J$6:$J$1413,AC$1)</f>
        <v>0</v>
      </c>
      <c r="AD159" s="80">
        <f>SUMIFS('февраль 2024'!$G$6:$G$1413,'февраль 2024'!$D$6:$D$1413,$B159,'февраль 2024'!$J$6:$J$1413,AD$1)</f>
        <v>0</v>
      </c>
      <c r="AE159" s="80">
        <f>SUMIFS('февраль 2024'!$G$6:$G$1413,'февраль 2024'!$D$6:$D$1413,$B159,'февраль 2024'!$J$6:$J$1413,AE$1)</f>
        <v>0</v>
      </c>
      <c r="AF159" s="80">
        <f>SUMIFS('февраль 2024'!$G$6:$G$1413,'февраль 2024'!$D$6:$D$1413,$B159,'февраль 2024'!$J$6:$J$1413,AF$1)</f>
        <v>0</v>
      </c>
      <c r="AG159" s="80">
        <f>SUMIFS('февраль 2024'!$G$6:$G$1413,'февраль 2024'!$D$6:$D$1413,$B159,'февраль 2024'!$J$6:$J$1413,AG$1)</f>
        <v>0</v>
      </c>
      <c r="AH159" s="80">
        <f>SUMIFS('февраль 2024'!$G$6:$G$1413,'февраль 2024'!$D$6:$D$1413,$B159,'февраль 2024'!$J$6:$J$1413,AH$1)</f>
        <v>0</v>
      </c>
      <c r="AI159" s="87"/>
    </row>
    <row r="160" spans="2:35" ht="15" hidden="1" customHeight="1" x14ac:dyDescent="0.25">
      <c r="B160" s="89"/>
      <c r="C160" s="88"/>
      <c r="D160" s="80">
        <f>SUMIFS('февраль 2024'!$G$6:$G$1413,'февраль 2024'!$D$6:$D$1413,$B160,'февраль 2024'!$J$6:$J$1413,D$1)</f>
        <v>0</v>
      </c>
      <c r="E160" s="80">
        <f>SUMIFS('февраль 2024'!$G$6:$G$1413,'февраль 2024'!$D$6:$D$1413,$B160,'февраль 2024'!$J$6:$J$1413,E$1)</f>
        <v>0</v>
      </c>
      <c r="F160" s="80">
        <f>SUMIFS('февраль 2024'!$G$6:$G$1413,'февраль 2024'!$D$6:$D$1413,$B160,'февраль 2024'!$J$6:$J$1413,F$1)</f>
        <v>0</v>
      </c>
      <c r="G160" s="80">
        <f>SUMIFS('февраль 2024'!$G$6:$G$1413,'февраль 2024'!$D$6:$D$1413,$B160,'февраль 2024'!$J$6:$J$1413,G$1)</f>
        <v>0</v>
      </c>
      <c r="H160" s="80">
        <f>SUMIFS('февраль 2024'!$G$6:$G$1413,'февраль 2024'!$D$6:$D$1413,$B160,'февраль 2024'!$J$6:$J$1413,H$1)</f>
        <v>0</v>
      </c>
      <c r="I160" s="80">
        <f>SUMIFS('февраль 2024'!$G$6:$G$1413,'февраль 2024'!$D$6:$D$1413,$B160,'февраль 2024'!$J$6:$J$1413,I$1)</f>
        <v>0</v>
      </c>
      <c r="J160" s="80">
        <f>SUMIFS('февраль 2024'!$G$6:$G$1413,'февраль 2024'!$D$6:$D$1413,$B160,'февраль 2024'!$J$6:$J$1413,J$1)</f>
        <v>0</v>
      </c>
      <c r="K160" s="80">
        <f>SUMIFS('февраль 2024'!$G$6:$G$1413,'февраль 2024'!$D$6:$D$1413,$B160,'февраль 2024'!$J$6:$J$1413,K$1)</f>
        <v>0</v>
      </c>
      <c r="L160" s="80">
        <f>SUMIFS('февраль 2024'!$G$6:$G$1413,'февраль 2024'!$D$6:$D$1413,$B160,'февраль 2024'!$J$6:$J$1413,L$1)</f>
        <v>0</v>
      </c>
      <c r="M160" s="80">
        <f>SUMIFS('февраль 2024'!$G$6:$G$1413,'февраль 2024'!$D$6:$D$1413,$B160,'февраль 2024'!$J$6:$J$1413,M$1)</f>
        <v>0</v>
      </c>
      <c r="N160" s="80">
        <f>SUMIFS('февраль 2024'!$G$6:$G$1413,'февраль 2024'!$D$6:$D$1413,$B160,'февраль 2024'!$J$6:$J$1413,N$1)</f>
        <v>0</v>
      </c>
      <c r="O160" s="80">
        <f>SUMIFS('февраль 2024'!$G$6:$G$1413,'февраль 2024'!$D$6:$D$1413,$B160,'февраль 2024'!$J$6:$J$1413,O$1)</f>
        <v>0</v>
      </c>
      <c r="P160" s="80">
        <f>SUMIFS('февраль 2024'!$G$6:$G$1413,'февраль 2024'!$D$6:$D$1413,$B160,'февраль 2024'!$J$6:$J$1413,P$1)</f>
        <v>0</v>
      </c>
      <c r="Q160" s="80">
        <f>SUMIFS('февраль 2024'!$G$6:$G$1413,'февраль 2024'!$D$6:$D$1413,$B160,'февраль 2024'!$J$6:$J$1413,Q$1)</f>
        <v>0</v>
      </c>
      <c r="R160" s="80">
        <f>SUMIFS('февраль 2024'!$G$6:$G$1413,'февраль 2024'!$D$6:$D$1413,$B160,'февраль 2024'!$J$6:$J$1413,R$1)</f>
        <v>0</v>
      </c>
      <c r="S160" s="80">
        <f>SUMIFS('февраль 2024'!$G$6:$G$1413,'февраль 2024'!$D$6:$D$1413,$B160,'февраль 2024'!$J$6:$J$1413,S$1)</f>
        <v>0</v>
      </c>
      <c r="T160" s="80">
        <f>SUMIFS('февраль 2024'!$G$6:$G$1413,'февраль 2024'!$D$6:$D$1413,$B160,'февраль 2024'!$J$6:$J$1413,T$1)</f>
        <v>0</v>
      </c>
      <c r="U160" s="80">
        <f>SUMIFS('февраль 2024'!$G$6:$G$1413,'февраль 2024'!$D$6:$D$1413,$B160,'февраль 2024'!$J$6:$J$1413,U$1)</f>
        <v>0</v>
      </c>
      <c r="V160" s="80">
        <f>SUMIFS('февраль 2024'!$G$6:$G$1413,'февраль 2024'!$D$6:$D$1413,$B160,'февраль 2024'!$J$6:$J$1413,V$1)</f>
        <v>0</v>
      </c>
      <c r="W160" s="80">
        <f>SUMIFS('февраль 2024'!$G$6:$G$1413,'февраль 2024'!$D$6:$D$1413,$B160,'февраль 2024'!$J$6:$J$1413,W$1)</f>
        <v>0</v>
      </c>
      <c r="X160" s="80">
        <f>SUMIFS('февраль 2024'!$G$6:$G$1413,'февраль 2024'!$D$6:$D$1413,$B160,'февраль 2024'!$J$6:$J$1413,X$1)</f>
        <v>0</v>
      </c>
      <c r="Y160" s="80">
        <f>SUMIFS('февраль 2024'!$G$6:$G$1413,'февраль 2024'!$D$6:$D$1413,$B160,'февраль 2024'!$J$6:$J$1413,Y$1)</f>
        <v>0</v>
      </c>
      <c r="Z160" s="80">
        <f>SUMIFS('февраль 2024'!$G$6:$G$1413,'февраль 2024'!$D$6:$D$1413,$B160,'февраль 2024'!$J$6:$J$1413,Z$1)</f>
        <v>0</v>
      </c>
      <c r="AA160" s="80">
        <f>SUMIFS('февраль 2024'!$G$6:$G$1413,'февраль 2024'!$D$6:$D$1413,$B160,'февраль 2024'!$J$6:$J$1413,AA$1)</f>
        <v>0</v>
      </c>
      <c r="AB160" s="80">
        <f>SUMIFS('февраль 2024'!$G$6:$G$1413,'февраль 2024'!$D$6:$D$1413,$B160,'февраль 2024'!$J$6:$J$1413,AB$1)</f>
        <v>0</v>
      </c>
      <c r="AC160" s="80">
        <f>SUMIFS('февраль 2024'!$G$6:$G$1413,'февраль 2024'!$D$6:$D$1413,$B160,'февраль 2024'!$J$6:$J$1413,AC$1)</f>
        <v>0</v>
      </c>
      <c r="AD160" s="80">
        <f>SUMIFS('февраль 2024'!$G$6:$G$1413,'февраль 2024'!$D$6:$D$1413,$B160,'февраль 2024'!$J$6:$J$1413,AD$1)</f>
        <v>0</v>
      </c>
      <c r="AE160" s="80">
        <f>SUMIFS('февраль 2024'!$G$6:$G$1413,'февраль 2024'!$D$6:$D$1413,$B160,'февраль 2024'!$J$6:$J$1413,AE$1)</f>
        <v>0</v>
      </c>
      <c r="AF160" s="80">
        <f>SUMIFS('февраль 2024'!$G$6:$G$1413,'февраль 2024'!$D$6:$D$1413,$B160,'февраль 2024'!$J$6:$J$1413,AF$1)</f>
        <v>0</v>
      </c>
      <c r="AG160" s="80">
        <f>SUMIFS('февраль 2024'!$G$6:$G$1413,'февраль 2024'!$D$6:$D$1413,$B160,'февраль 2024'!$J$6:$J$1413,AG$1)</f>
        <v>0</v>
      </c>
      <c r="AH160" s="80">
        <f>SUMIFS('февраль 2024'!$G$6:$G$1413,'февраль 2024'!$D$6:$D$1413,$B160,'февраль 2024'!$J$6:$J$1413,AH$1)</f>
        <v>0</v>
      </c>
      <c r="AI160" s="87"/>
    </row>
    <row r="161" spans="2:35" ht="15" hidden="1" customHeight="1" x14ac:dyDescent="0.25">
      <c r="B161" s="89"/>
      <c r="C161" s="88"/>
      <c r="D161" s="80">
        <f>SUMIFS('февраль 2024'!$G$6:$G$1413,'февраль 2024'!$D$6:$D$1413,$B161,'февраль 2024'!$J$6:$J$1413,D$1)</f>
        <v>0</v>
      </c>
      <c r="E161" s="80">
        <f>SUMIFS('февраль 2024'!$G$6:$G$1413,'февраль 2024'!$D$6:$D$1413,$B161,'февраль 2024'!$J$6:$J$1413,E$1)</f>
        <v>0</v>
      </c>
      <c r="F161" s="80">
        <f>SUMIFS('февраль 2024'!$G$6:$G$1413,'февраль 2024'!$D$6:$D$1413,$B161,'февраль 2024'!$J$6:$J$1413,F$1)</f>
        <v>0</v>
      </c>
      <c r="G161" s="80">
        <f>SUMIFS('февраль 2024'!$G$6:$G$1413,'февраль 2024'!$D$6:$D$1413,$B161,'февраль 2024'!$J$6:$J$1413,G$1)</f>
        <v>0</v>
      </c>
      <c r="H161" s="80">
        <f>SUMIFS('февраль 2024'!$G$6:$G$1413,'февраль 2024'!$D$6:$D$1413,$B161,'февраль 2024'!$J$6:$J$1413,H$1)</f>
        <v>0</v>
      </c>
      <c r="I161" s="80">
        <f>SUMIFS('февраль 2024'!$G$6:$G$1413,'февраль 2024'!$D$6:$D$1413,$B161,'февраль 2024'!$J$6:$J$1413,I$1)</f>
        <v>0</v>
      </c>
      <c r="J161" s="80">
        <f>SUMIFS('февраль 2024'!$G$6:$G$1413,'февраль 2024'!$D$6:$D$1413,$B161,'февраль 2024'!$J$6:$J$1413,J$1)</f>
        <v>0</v>
      </c>
      <c r="K161" s="80">
        <f>SUMIFS('февраль 2024'!$G$6:$G$1413,'февраль 2024'!$D$6:$D$1413,$B161,'февраль 2024'!$J$6:$J$1413,K$1)</f>
        <v>0</v>
      </c>
      <c r="L161" s="80">
        <f>SUMIFS('февраль 2024'!$G$6:$G$1413,'февраль 2024'!$D$6:$D$1413,$B161,'февраль 2024'!$J$6:$J$1413,L$1)</f>
        <v>0</v>
      </c>
      <c r="M161" s="80">
        <f>SUMIFS('февраль 2024'!$G$6:$G$1413,'февраль 2024'!$D$6:$D$1413,$B161,'февраль 2024'!$J$6:$J$1413,M$1)</f>
        <v>0</v>
      </c>
      <c r="N161" s="80">
        <f>SUMIFS('февраль 2024'!$G$6:$G$1413,'февраль 2024'!$D$6:$D$1413,$B161,'февраль 2024'!$J$6:$J$1413,N$1)</f>
        <v>0</v>
      </c>
      <c r="O161" s="80">
        <f>SUMIFS('февраль 2024'!$G$6:$G$1413,'февраль 2024'!$D$6:$D$1413,$B161,'февраль 2024'!$J$6:$J$1413,O$1)</f>
        <v>0</v>
      </c>
      <c r="P161" s="80">
        <f>SUMIFS('февраль 2024'!$G$6:$G$1413,'февраль 2024'!$D$6:$D$1413,$B161,'февраль 2024'!$J$6:$J$1413,P$1)</f>
        <v>0</v>
      </c>
      <c r="Q161" s="80">
        <f>SUMIFS('февраль 2024'!$G$6:$G$1413,'февраль 2024'!$D$6:$D$1413,$B161,'февраль 2024'!$J$6:$J$1413,Q$1)</f>
        <v>0</v>
      </c>
      <c r="R161" s="80">
        <f>SUMIFS('февраль 2024'!$G$6:$G$1413,'февраль 2024'!$D$6:$D$1413,$B161,'февраль 2024'!$J$6:$J$1413,R$1)</f>
        <v>0</v>
      </c>
      <c r="S161" s="80">
        <f>SUMIFS('февраль 2024'!$G$6:$G$1413,'февраль 2024'!$D$6:$D$1413,$B161,'февраль 2024'!$J$6:$J$1413,S$1)</f>
        <v>0</v>
      </c>
      <c r="T161" s="80">
        <f>SUMIFS('февраль 2024'!$G$6:$G$1413,'февраль 2024'!$D$6:$D$1413,$B161,'февраль 2024'!$J$6:$J$1413,T$1)</f>
        <v>0</v>
      </c>
      <c r="U161" s="80">
        <f>SUMIFS('февраль 2024'!$G$6:$G$1413,'февраль 2024'!$D$6:$D$1413,$B161,'февраль 2024'!$J$6:$J$1413,U$1)</f>
        <v>0</v>
      </c>
      <c r="V161" s="80">
        <f>SUMIFS('февраль 2024'!$G$6:$G$1413,'февраль 2024'!$D$6:$D$1413,$B161,'февраль 2024'!$J$6:$J$1413,V$1)</f>
        <v>0</v>
      </c>
      <c r="W161" s="80">
        <f>SUMIFS('февраль 2024'!$G$6:$G$1413,'февраль 2024'!$D$6:$D$1413,$B161,'февраль 2024'!$J$6:$J$1413,W$1)</f>
        <v>0</v>
      </c>
      <c r="X161" s="80">
        <f>SUMIFS('февраль 2024'!$G$6:$G$1413,'февраль 2024'!$D$6:$D$1413,$B161,'февраль 2024'!$J$6:$J$1413,X$1)</f>
        <v>0</v>
      </c>
      <c r="Y161" s="80">
        <f>SUMIFS('февраль 2024'!$G$6:$G$1413,'февраль 2024'!$D$6:$D$1413,$B161,'февраль 2024'!$J$6:$J$1413,Y$1)</f>
        <v>0</v>
      </c>
      <c r="Z161" s="80">
        <f>SUMIFS('февраль 2024'!$G$6:$G$1413,'февраль 2024'!$D$6:$D$1413,$B161,'февраль 2024'!$J$6:$J$1413,Z$1)</f>
        <v>0</v>
      </c>
      <c r="AA161" s="80">
        <f>SUMIFS('февраль 2024'!$G$6:$G$1413,'февраль 2024'!$D$6:$D$1413,$B161,'февраль 2024'!$J$6:$J$1413,AA$1)</f>
        <v>0</v>
      </c>
      <c r="AB161" s="80">
        <f>SUMIFS('февраль 2024'!$G$6:$G$1413,'февраль 2024'!$D$6:$D$1413,$B161,'февраль 2024'!$J$6:$J$1413,AB$1)</f>
        <v>0</v>
      </c>
      <c r="AC161" s="80">
        <f>SUMIFS('февраль 2024'!$G$6:$G$1413,'февраль 2024'!$D$6:$D$1413,$B161,'февраль 2024'!$J$6:$J$1413,AC$1)</f>
        <v>0</v>
      </c>
      <c r="AD161" s="80">
        <f>SUMIFS('февраль 2024'!$G$6:$G$1413,'февраль 2024'!$D$6:$D$1413,$B161,'февраль 2024'!$J$6:$J$1413,AD$1)</f>
        <v>0</v>
      </c>
      <c r="AE161" s="80">
        <f>SUMIFS('февраль 2024'!$G$6:$G$1413,'февраль 2024'!$D$6:$D$1413,$B161,'февраль 2024'!$J$6:$J$1413,AE$1)</f>
        <v>0</v>
      </c>
      <c r="AF161" s="80">
        <f>SUMIFS('февраль 2024'!$G$6:$G$1413,'февраль 2024'!$D$6:$D$1413,$B161,'февраль 2024'!$J$6:$J$1413,AF$1)</f>
        <v>0</v>
      </c>
      <c r="AG161" s="80">
        <f>SUMIFS('февраль 2024'!$G$6:$G$1413,'февраль 2024'!$D$6:$D$1413,$B161,'февраль 2024'!$J$6:$J$1413,AG$1)</f>
        <v>0</v>
      </c>
      <c r="AH161" s="80">
        <f>SUMIFS('февраль 2024'!$G$6:$G$1413,'февраль 2024'!$D$6:$D$1413,$B161,'февраль 2024'!$J$6:$J$1413,AH$1)</f>
        <v>0</v>
      </c>
      <c r="AI161" s="87"/>
    </row>
    <row r="162" spans="2:35" ht="15" hidden="1" customHeight="1" x14ac:dyDescent="0.25">
      <c r="B162" s="89"/>
      <c r="C162" s="88"/>
      <c r="D162" s="80">
        <f>SUMIFS('февраль 2024'!$G$6:$G$1413,'февраль 2024'!$D$6:$D$1413,$B162,'февраль 2024'!$J$6:$J$1413,D$1)</f>
        <v>0</v>
      </c>
      <c r="E162" s="80">
        <f>SUMIFS('февраль 2024'!$G$6:$G$1413,'февраль 2024'!$D$6:$D$1413,$B162,'февраль 2024'!$J$6:$J$1413,E$1)</f>
        <v>0</v>
      </c>
      <c r="F162" s="80">
        <f>SUMIFS('февраль 2024'!$G$6:$G$1413,'февраль 2024'!$D$6:$D$1413,$B162,'февраль 2024'!$J$6:$J$1413,F$1)</f>
        <v>0</v>
      </c>
      <c r="G162" s="80">
        <f>SUMIFS('февраль 2024'!$G$6:$G$1413,'февраль 2024'!$D$6:$D$1413,$B162,'февраль 2024'!$J$6:$J$1413,G$1)</f>
        <v>0</v>
      </c>
      <c r="H162" s="80">
        <f>SUMIFS('февраль 2024'!$G$6:$G$1413,'февраль 2024'!$D$6:$D$1413,$B162,'февраль 2024'!$J$6:$J$1413,H$1)</f>
        <v>0</v>
      </c>
      <c r="I162" s="80">
        <f>SUMIFS('февраль 2024'!$G$6:$G$1413,'февраль 2024'!$D$6:$D$1413,$B162,'февраль 2024'!$J$6:$J$1413,I$1)</f>
        <v>0</v>
      </c>
      <c r="J162" s="80">
        <f>SUMIFS('февраль 2024'!$G$6:$G$1413,'февраль 2024'!$D$6:$D$1413,$B162,'февраль 2024'!$J$6:$J$1413,J$1)</f>
        <v>0</v>
      </c>
      <c r="K162" s="80">
        <f>SUMIFS('февраль 2024'!$G$6:$G$1413,'февраль 2024'!$D$6:$D$1413,$B162,'февраль 2024'!$J$6:$J$1413,K$1)</f>
        <v>0</v>
      </c>
      <c r="L162" s="80">
        <f>SUMIFS('февраль 2024'!$G$6:$G$1413,'февраль 2024'!$D$6:$D$1413,$B162,'февраль 2024'!$J$6:$J$1413,L$1)</f>
        <v>0</v>
      </c>
      <c r="M162" s="80">
        <f>SUMIFS('февраль 2024'!$G$6:$G$1413,'февраль 2024'!$D$6:$D$1413,$B162,'февраль 2024'!$J$6:$J$1413,M$1)</f>
        <v>0</v>
      </c>
      <c r="N162" s="80">
        <f>SUMIFS('февраль 2024'!$G$6:$G$1413,'февраль 2024'!$D$6:$D$1413,$B162,'февраль 2024'!$J$6:$J$1413,N$1)</f>
        <v>0</v>
      </c>
      <c r="O162" s="80">
        <f>SUMIFS('февраль 2024'!$G$6:$G$1413,'февраль 2024'!$D$6:$D$1413,$B162,'февраль 2024'!$J$6:$J$1413,O$1)</f>
        <v>0</v>
      </c>
      <c r="P162" s="80">
        <f>SUMIFS('февраль 2024'!$G$6:$G$1413,'февраль 2024'!$D$6:$D$1413,$B162,'февраль 2024'!$J$6:$J$1413,P$1)</f>
        <v>0</v>
      </c>
      <c r="Q162" s="80">
        <f>SUMIFS('февраль 2024'!$G$6:$G$1413,'февраль 2024'!$D$6:$D$1413,$B162,'февраль 2024'!$J$6:$J$1413,Q$1)</f>
        <v>0</v>
      </c>
      <c r="R162" s="80">
        <f>SUMIFS('февраль 2024'!$G$6:$G$1413,'февраль 2024'!$D$6:$D$1413,$B162,'февраль 2024'!$J$6:$J$1413,R$1)</f>
        <v>0</v>
      </c>
      <c r="S162" s="80">
        <f>SUMIFS('февраль 2024'!$G$6:$G$1413,'февраль 2024'!$D$6:$D$1413,$B162,'февраль 2024'!$J$6:$J$1413,S$1)</f>
        <v>0</v>
      </c>
      <c r="T162" s="80">
        <f>SUMIFS('февраль 2024'!$G$6:$G$1413,'февраль 2024'!$D$6:$D$1413,$B162,'февраль 2024'!$J$6:$J$1413,T$1)</f>
        <v>0</v>
      </c>
      <c r="U162" s="80">
        <f>SUMIFS('февраль 2024'!$G$6:$G$1413,'февраль 2024'!$D$6:$D$1413,$B162,'февраль 2024'!$J$6:$J$1413,U$1)</f>
        <v>0</v>
      </c>
      <c r="V162" s="80">
        <f>SUMIFS('февраль 2024'!$G$6:$G$1413,'февраль 2024'!$D$6:$D$1413,$B162,'февраль 2024'!$J$6:$J$1413,V$1)</f>
        <v>0</v>
      </c>
      <c r="W162" s="80">
        <f>SUMIFS('февраль 2024'!$G$6:$G$1413,'февраль 2024'!$D$6:$D$1413,$B162,'февраль 2024'!$J$6:$J$1413,W$1)</f>
        <v>0</v>
      </c>
      <c r="X162" s="80">
        <f>SUMIFS('февраль 2024'!$G$6:$G$1413,'февраль 2024'!$D$6:$D$1413,$B162,'февраль 2024'!$J$6:$J$1413,X$1)</f>
        <v>0</v>
      </c>
      <c r="Y162" s="80">
        <f>SUMIFS('февраль 2024'!$G$6:$G$1413,'февраль 2024'!$D$6:$D$1413,$B162,'февраль 2024'!$J$6:$J$1413,Y$1)</f>
        <v>0</v>
      </c>
      <c r="Z162" s="80">
        <f>SUMIFS('февраль 2024'!$G$6:$G$1413,'февраль 2024'!$D$6:$D$1413,$B162,'февраль 2024'!$J$6:$J$1413,Z$1)</f>
        <v>0</v>
      </c>
      <c r="AA162" s="80">
        <f>SUMIFS('февраль 2024'!$G$6:$G$1413,'февраль 2024'!$D$6:$D$1413,$B162,'февраль 2024'!$J$6:$J$1413,AA$1)</f>
        <v>0</v>
      </c>
      <c r="AB162" s="80">
        <f>SUMIFS('февраль 2024'!$G$6:$G$1413,'февраль 2024'!$D$6:$D$1413,$B162,'февраль 2024'!$J$6:$J$1413,AB$1)</f>
        <v>0</v>
      </c>
      <c r="AC162" s="80">
        <f>SUMIFS('февраль 2024'!$G$6:$G$1413,'февраль 2024'!$D$6:$D$1413,$B162,'февраль 2024'!$J$6:$J$1413,AC$1)</f>
        <v>0</v>
      </c>
      <c r="AD162" s="80">
        <f>SUMIFS('февраль 2024'!$G$6:$G$1413,'февраль 2024'!$D$6:$D$1413,$B162,'февраль 2024'!$J$6:$J$1413,AD$1)</f>
        <v>0</v>
      </c>
      <c r="AE162" s="80">
        <f>SUMIFS('февраль 2024'!$G$6:$G$1413,'февраль 2024'!$D$6:$D$1413,$B162,'февраль 2024'!$J$6:$J$1413,AE$1)</f>
        <v>0</v>
      </c>
      <c r="AF162" s="80">
        <f>SUMIFS('февраль 2024'!$G$6:$G$1413,'февраль 2024'!$D$6:$D$1413,$B162,'февраль 2024'!$J$6:$J$1413,AF$1)</f>
        <v>0</v>
      </c>
      <c r="AG162" s="80">
        <f>SUMIFS('февраль 2024'!$G$6:$G$1413,'февраль 2024'!$D$6:$D$1413,$B162,'февраль 2024'!$J$6:$J$1413,AG$1)</f>
        <v>0</v>
      </c>
      <c r="AH162" s="80">
        <f>SUMIFS('февраль 2024'!$G$6:$G$1413,'февраль 2024'!$D$6:$D$1413,$B162,'февраль 2024'!$J$6:$J$1413,AH$1)</f>
        <v>0</v>
      </c>
      <c r="AI162" s="87"/>
    </row>
    <row r="163" spans="2:35" ht="15" hidden="1" customHeight="1" x14ac:dyDescent="0.25">
      <c r="B163" s="94"/>
      <c r="C163" s="95"/>
      <c r="D163" s="80">
        <f>SUMIFS('февраль 2024'!$G$6:$G$1413,'февраль 2024'!$D$6:$D$1413,$B163,'февраль 2024'!$J$6:$J$1413,D$1)</f>
        <v>0</v>
      </c>
      <c r="E163" s="80">
        <f>SUMIFS('февраль 2024'!$G$6:$G$1413,'февраль 2024'!$D$6:$D$1413,$B163,'февраль 2024'!$J$6:$J$1413,E$1)</f>
        <v>0</v>
      </c>
      <c r="F163" s="80">
        <f>SUMIFS('февраль 2024'!$G$6:$G$1413,'февраль 2024'!$D$6:$D$1413,$B163,'февраль 2024'!$J$6:$J$1413,F$1)</f>
        <v>0</v>
      </c>
      <c r="G163" s="80">
        <f>SUMIFS('февраль 2024'!$G$6:$G$1413,'февраль 2024'!$D$6:$D$1413,$B163,'февраль 2024'!$J$6:$J$1413,G$1)</f>
        <v>0</v>
      </c>
      <c r="H163" s="80">
        <f>SUMIFS('февраль 2024'!$G$6:$G$1413,'февраль 2024'!$D$6:$D$1413,$B163,'февраль 2024'!$J$6:$J$1413,H$1)</f>
        <v>0</v>
      </c>
      <c r="I163" s="80">
        <f>SUMIFS('февраль 2024'!$G$6:$G$1413,'февраль 2024'!$D$6:$D$1413,$B163,'февраль 2024'!$J$6:$J$1413,I$1)</f>
        <v>0</v>
      </c>
      <c r="J163" s="80">
        <f>SUMIFS('февраль 2024'!$G$6:$G$1413,'февраль 2024'!$D$6:$D$1413,$B163,'февраль 2024'!$J$6:$J$1413,J$1)</f>
        <v>0</v>
      </c>
      <c r="K163" s="80">
        <f>SUMIFS('февраль 2024'!$G$6:$G$1413,'февраль 2024'!$D$6:$D$1413,$B163,'февраль 2024'!$J$6:$J$1413,K$1)</f>
        <v>0</v>
      </c>
      <c r="L163" s="80">
        <f>SUMIFS('февраль 2024'!$G$6:$G$1413,'февраль 2024'!$D$6:$D$1413,$B163,'февраль 2024'!$J$6:$J$1413,L$1)</f>
        <v>0</v>
      </c>
      <c r="M163" s="80">
        <f>SUMIFS('февраль 2024'!$G$6:$G$1413,'февраль 2024'!$D$6:$D$1413,$B163,'февраль 2024'!$J$6:$J$1413,M$1)</f>
        <v>0</v>
      </c>
      <c r="N163" s="80">
        <f>SUMIFS('февраль 2024'!$G$6:$G$1413,'февраль 2024'!$D$6:$D$1413,$B163,'февраль 2024'!$J$6:$J$1413,N$1)</f>
        <v>0</v>
      </c>
      <c r="O163" s="80">
        <f>SUMIFS('февраль 2024'!$G$6:$G$1413,'февраль 2024'!$D$6:$D$1413,$B163,'февраль 2024'!$J$6:$J$1413,O$1)</f>
        <v>0</v>
      </c>
      <c r="P163" s="80">
        <f>SUMIFS('февраль 2024'!$G$6:$G$1413,'февраль 2024'!$D$6:$D$1413,$B163,'февраль 2024'!$J$6:$J$1413,P$1)</f>
        <v>0</v>
      </c>
      <c r="Q163" s="80">
        <f>SUMIFS('февраль 2024'!$G$6:$G$1413,'февраль 2024'!$D$6:$D$1413,$B163,'февраль 2024'!$J$6:$J$1413,Q$1)</f>
        <v>0</v>
      </c>
      <c r="R163" s="80">
        <f>SUMIFS('февраль 2024'!$G$6:$G$1413,'февраль 2024'!$D$6:$D$1413,$B163,'февраль 2024'!$J$6:$J$1413,R$1)</f>
        <v>0</v>
      </c>
      <c r="S163" s="80">
        <f>SUMIFS('февраль 2024'!$G$6:$G$1413,'февраль 2024'!$D$6:$D$1413,$B163,'февраль 2024'!$J$6:$J$1413,S$1)</f>
        <v>0</v>
      </c>
      <c r="T163" s="80">
        <f>SUMIFS('февраль 2024'!$G$6:$G$1413,'февраль 2024'!$D$6:$D$1413,$B163,'февраль 2024'!$J$6:$J$1413,T$1)</f>
        <v>0</v>
      </c>
      <c r="U163" s="80">
        <f>SUMIFS('февраль 2024'!$G$6:$G$1413,'февраль 2024'!$D$6:$D$1413,$B163,'февраль 2024'!$J$6:$J$1413,U$1)</f>
        <v>0</v>
      </c>
      <c r="V163" s="80">
        <f>SUMIFS('февраль 2024'!$G$6:$G$1413,'февраль 2024'!$D$6:$D$1413,$B163,'февраль 2024'!$J$6:$J$1413,V$1)</f>
        <v>0</v>
      </c>
      <c r="W163" s="80">
        <f>SUMIFS('февраль 2024'!$G$6:$G$1413,'февраль 2024'!$D$6:$D$1413,$B163,'февраль 2024'!$J$6:$J$1413,W$1)</f>
        <v>0</v>
      </c>
      <c r="X163" s="80">
        <f>SUMIFS('февраль 2024'!$G$6:$G$1413,'февраль 2024'!$D$6:$D$1413,$B163,'февраль 2024'!$J$6:$J$1413,X$1)</f>
        <v>0</v>
      </c>
      <c r="Y163" s="80">
        <f>SUMIFS('февраль 2024'!$G$6:$G$1413,'февраль 2024'!$D$6:$D$1413,$B163,'февраль 2024'!$J$6:$J$1413,Y$1)</f>
        <v>0</v>
      </c>
      <c r="Z163" s="80">
        <f>SUMIFS('февраль 2024'!$G$6:$G$1413,'февраль 2024'!$D$6:$D$1413,$B163,'февраль 2024'!$J$6:$J$1413,Z$1)</f>
        <v>0</v>
      </c>
      <c r="AA163" s="80">
        <f>SUMIFS('февраль 2024'!$G$6:$G$1413,'февраль 2024'!$D$6:$D$1413,$B163,'февраль 2024'!$J$6:$J$1413,AA$1)</f>
        <v>0</v>
      </c>
      <c r="AB163" s="80">
        <f>SUMIFS('февраль 2024'!$G$6:$G$1413,'февраль 2024'!$D$6:$D$1413,$B163,'февраль 2024'!$J$6:$J$1413,AB$1)</f>
        <v>0</v>
      </c>
      <c r="AC163" s="80">
        <f>SUMIFS('февраль 2024'!$G$6:$G$1413,'февраль 2024'!$D$6:$D$1413,$B163,'февраль 2024'!$J$6:$J$1413,AC$1)</f>
        <v>0</v>
      </c>
      <c r="AD163" s="80">
        <f>SUMIFS('февраль 2024'!$G$6:$G$1413,'февраль 2024'!$D$6:$D$1413,$B163,'февраль 2024'!$J$6:$J$1413,AD$1)</f>
        <v>0</v>
      </c>
      <c r="AE163" s="80">
        <f>SUMIFS('февраль 2024'!$G$6:$G$1413,'февраль 2024'!$D$6:$D$1413,$B163,'февраль 2024'!$J$6:$J$1413,AE$1)</f>
        <v>0</v>
      </c>
      <c r="AF163" s="80">
        <f>SUMIFS('февраль 2024'!$G$6:$G$1413,'февраль 2024'!$D$6:$D$1413,$B163,'февраль 2024'!$J$6:$J$1413,AF$1)</f>
        <v>0</v>
      </c>
      <c r="AG163" s="80">
        <f>SUMIFS('февраль 2024'!$G$6:$G$1413,'февраль 2024'!$D$6:$D$1413,$B163,'февраль 2024'!$J$6:$J$1413,AG$1)</f>
        <v>0</v>
      </c>
      <c r="AH163" s="80">
        <f>SUMIFS('февраль 2024'!$G$6:$G$1413,'февраль 2024'!$D$6:$D$1413,$B163,'февраль 2024'!$J$6:$J$1413,AH$1)</f>
        <v>0</v>
      </c>
      <c r="AI163" s="87"/>
    </row>
    <row r="164" spans="2:35" ht="15" hidden="1" customHeight="1" x14ac:dyDescent="0.25">
      <c r="B164" s="89"/>
      <c r="C164" s="91"/>
      <c r="D164" s="80">
        <f>SUMIFS('февраль 2024'!$G$6:$G$1413,'февраль 2024'!$D$6:$D$1413,$B164,'февраль 2024'!$J$6:$J$1413,D$1)</f>
        <v>0</v>
      </c>
      <c r="E164" s="80">
        <f>SUMIFS('февраль 2024'!$G$6:$G$1413,'февраль 2024'!$D$6:$D$1413,$B164,'февраль 2024'!$J$6:$J$1413,E$1)</f>
        <v>0</v>
      </c>
      <c r="F164" s="80">
        <f>SUMIFS('февраль 2024'!$G$6:$G$1413,'февраль 2024'!$D$6:$D$1413,$B164,'февраль 2024'!$J$6:$J$1413,F$1)</f>
        <v>0</v>
      </c>
      <c r="G164" s="80">
        <f>SUMIFS('февраль 2024'!$G$6:$G$1413,'февраль 2024'!$D$6:$D$1413,$B164,'февраль 2024'!$J$6:$J$1413,G$1)</f>
        <v>0</v>
      </c>
      <c r="H164" s="80">
        <f>SUMIFS('февраль 2024'!$G$6:$G$1413,'февраль 2024'!$D$6:$D$1413,$B164,'февраль 2024'!$J$6:$J$1413,H$1)</f>
        <v>0</v>
      </c>
      <c r="I164" s="80">
        <f>SUMIFS('февраль 2024'!$G$6:$G$1413,'февраль 2024'!$D$6:$D$1413,$B164,'февраль 2024'!$J$6:$J$1413,I$1)</f>
        <v>0</v>
      </c>
      <c r="J164" s="80">
        <f>SUMIFS('февраль 2024'!$G$6:$G$1413,'февраль 2024'!$D$6:$D$1413,$B164,'февраль 2024'!$J$6:$J$1413,J$1)</f>
        <v>0</v>
      </c>
      <c r="K164" s="80">
        <f>SUMIFS('февраль 2024'!$G$6:$G$1413,'февраль 2024'!$D$6:$D$1413,$B164,'февраль 2024'!$J$6:$J$1413,K$1)</f>
        <v>0</v>
      </c>
      <c r="L164" s="80">
        <f>SUMIFS('февраль 2024'!$G$6:$G$1413,'февраль 2024'!$D$6:$D$1413,$B164,'февраль 2024'!$J$6:$J$1413,L$1)</f>
        <v>0</v>
      </c>
      <c r="M164" s="80">
        <f>SUMIFS('февраль 2024'!$G$6:$G$1413,'февраль 2024'!$D$6:$D$1413,$B164,'февраль 2024'!$J$6:$J$1413,M$1)</f>
        <v>0</v>
      </c>
      <c r="N164" s="80">
        <f>SUMIFS('февраль 2024'!$G$6:$G$1413,'февраль 2024'!$D$6:$D$1413,$B164,'февраль 2024'!$J$6:$J$1413,N$1)</f>
        <v>0</v>
      </c>
      <c r="O164" s="80">
        <f>SUMIFS('февраль 2024'!$G$6:$G$1413,'февраль 2024'!$D$6:$D$1413,$B164,'февраль 2024'!$J$6:$J$1413,O$1)</f>
        <v>0</v>
      </c>
      <c r="P164" s="80">
        <f>SUMIFS('февраль 2024'!$G$6:$G$1413,'февраль 2024'!$D$6:$D$1413,$B164,'февраль 2024'!$J$6:$J$1413,P$1)</f>
        <v>0</v>
      </c>
      <c r="Q164" s="80">
        <f>SUMIFS('февраль 2024'!$G$6:$G$1413,'февраль 2024'!$D$6:$D$1413,$B164,'февраль 2024'!$J$6:$J$1413,Q$1)</f>
        <v>0</v>
      </c>
      <c r="R164" s="80">
        <f>SUMIFS('февраль 2024'!$G$6:$G$1413,'февраль 2024'!$D$6:$D$1413,$B164,'февраль 2024'!$J$6:$J$1413,R$1)</f>
        <v>0</v>
      </c>
      <c r="S164" s="80">
        <f>SUMIFS('февраль 2024'!$G$6:$G$1413,'февраль 2024'!$D$6:$D$1413,$B164,'февраль 2024'!$J$6:$J$1413,S$1)</f>
        <v>0</v>
      </c>
      <c r="T164" s="80">
        <f>SUMIFS('февраль 2024'!$G$6:$G$1413,'февраль 2024'!$D$6:$D$1413,$B164,'февраль 2024'!$J$6:$J$1413,T$1)</f>
        <v>0</v>
      </c>
      <c r="U164" s="80">
        <f>SUMIFS('февраль 2024'!$G$6:$G$1413,'февраль 2024'!$D$6:$D$1413,$B164,'февраль 2024'!$J$6:$J$1413,U$1)</f>
        <v>0</v>
      </c>
      <c r="V164" s="80">
        <f>SUMIFS('февраль 2024'!$G$6:$G$1413,'февраль 2024'!$D$6:$D$1413,$B164,'февраль 2024'!$J$6:$J$1413,V$1)</f>
        <v>0</v>
      </c>
      <c r="W164" s="80">
        <f>SUMIFS('февраль 2024'!$G$6:$G$1413,'февраль 2024'!$D$6:$D$1413,$B164,'февраль 2024'!$J$6:$J$1413,W$1)</f>
        <v>0</v>
      </c>
      <c r="X164" s="80">
        <f>SUMIFS('февраль 2024'!$G$6:$G$1413,'февраль 2024'!$D$6:$D$1413,$B164,'февраль 2024'!$J$6:$J$1413,X$1)</f>
        <v>0</v>
      </c>
      <c r="Y164" s="80">
        <f>SUMIFS('февраль 2024'!$G$6:$G$1413,'февраль 2024'!$D$6:$D$1413,$B164,'февраль 2024'!$J$6:$J$1413,Y$1)</f>
        <v>0</v>
      </c>
      <c r="Z164" s="80">
        <f>SUMIFS('февраль 2024'!$G$6:$G$1413,'февраль 2024'!$D$6:$D$1413,$B164,'февраль 2024'!$J$6:$J$1413,Z$1)</f>
        <v>0</v>
      </c>
      <c r="AA164" s="80">
        <f>SUMIFS('февраль 2024'!$G$6:$G$1413,'февраль 2024'!$D$6:$D$1413,$B164,'февраль 2024'!$J$6:$J$1413,AA$1)</f>
        <v>0</v>
      </c>
      <c r="AB164" s="80">
        <f>SUMIFS('февраль 2024'!$G$6:$G$1413,'февраль 2024'!$D$6:$D$1413,$B164,'февраль 2024'!$J$6:$J$1413,AB$1)</f>
        <v>0</v>
      </c>
      <c r="AC164" s="80">
        <f>SUMIFS('февраль 2024'!$G$6:$G$1413,'февраль 2024'!$D$6:$D$1413,$B164,'февраль 2024'!$J$6:$J$1413,AC$1)</f>
        <v>0</v>
      </c>
      <c r="AD164" s="80">
        <f>SUMIFS('февраль 2024'!$G$6:$G$1413,'февраль 2024'!$D$6:$D$1413,$B164,'февраль 2024'!$J$6:$J$1413,AD$1)</f>
        <v>0</v>
      </c>
      <c r="AE164" s="80">
        <f>SUMIFS('февраль 2024'!$G$6:$G$1413,'февраль 2024'!$D$6:$D$1413,$B164,'февраль 2024'!$J$6:$J$1413,AE$1)</f>
        <v>0</v>
      </c>
      <c r="AF164" s="80">
        <f>SUMIFS('февраль 2024'!$G$6:$G$1413,'февраль 2024'!$D$6:$D$1413,$B164,'февраль 2024'!$J$6:$J$1413,AF$1)</f>
        <v>0</v>
      </c>
      <c r="AG164" s="80">
        <f>SUMIFS('февраль 2024'!$G$6:$G$1413,'февраль 2024'!$D$6:$D$1413,$B164,'февраль 2024'!$J$6:$J$1413,AG$1)</f>
        <v>0</v>
      </c>
      <c r="AH164" s="80">
        <f>SUMIFS('февраль 2024'!$G$6:$G$1413,'февраль 2024'!$D$6:$D$1413,$B164,'февраль 2024'!$J$6:$J$1413,AH$1)</f>
        <v>0</v>
      </c>
      <c r="AI164" s="87"/>
    </row>
    <row r="165" spans="2:35" ht="15" hidden="1" customHeight="1" x14ac:dyDescent="0.25">
      <c r="B165" s="89"/>
      <c r="C165" s="88"/>
      <c r="D165" s="80">
        <f>SUMIFS('февраль 2024'!$G$6:$G$1413,'февраль 2024'!$D$6:$D$1413,$B165,'февраль 2024'!$J$6:$J$1413,D$1)</f>
        <v>0</v>
      </c>
      <c r="E165" s="80">
        <f>SUMIFS('февраль 2024'!$G$6:$G$1413,'февраль 2024'!$D$6:$D$1413,$B165,'февраль 2024'!$J$6:$J$1413,E$1)</f>
        <v>0</v>
      </c>
      <c r="F165" s="80">
        <f>SUMIFS('февраль 2024'!$G$6:$G$1413,'февраль 2024'!$D$6:$D$1413,$B165,'февраль 2024'!$J$6:$J$1413,F$1)</f>
        <v>0</v>
      </c>
      <c r="G165" s="80">
        <f>SUMIFS('февраль 2024'!$G$6:$G$1413,'февраль 2024'!$D$6:$D$1413,$B165,'февраль 2024'!$J$6:$J$1413,G$1)</f>
        <v>0</v>
      </c>
      <c r="H165" s="80">
        <f>SUMIFS('февраль 2024'!$G$6:$G$1413,'февраль 2024'!$D$6:$D$1413,$B165,'февраль 2024'!$J$6:$J$1413,H$1)</f>
        <v>0</v>
      </c>
      <c r="I165" s="80">
        <f>SUMIFS('февраль 2024'!$G$6:$G$1413,'февраль 2024'!$D$6:$D$1413,$B165,'февраль 2024'!$J$6:$J$1413,I$1)</f>
        <v>0</v>
      </c>
      <c r="J165" s="80">
        <f>SUMIFS('февраль 2024'!$G$6:$G$1413,'февраль 2024'!$D$6:$D$1413,$B165,'февраль 2024'!$J$6:$J$1413,J$1)</f>
        <v>0</v>
      </c>
      <c r="K165" s="80">
        <f>SUMIFS('февраль 2024'!$G$6:$G$1413,'февраль 2024'!$D$6:$D$1413,$B165,'февраль 2024'!$J$6:$J$1413,K$1)</f>
        <v>0</v>
      </c>
      <c r="L165" s="80">
        <f>SUMIFS('февраль 2024'!$G$6:$G$1413,'февраль 2024'!$D$6:$D$1413,$B165,'февраль 2024'!$J$6:$J$1413,L$1)</f>
        <v>0</v>
      </c>
      <c r="M165" s="80">
        <f>SUMIFS('февраль 2024'!$G$6:$G$1413,'февраль 2024'!$D$6:$D$1413,$B165,'февраль 2024'!$J$6:$J$1413,M$1)</f>
        <v>0</v>
      </c>
      <c r="N165" s="80">
        <f>SUMIFS('февраль 2024'!$G$6:$G$1413,'февраль 2024'!$D$6:$D$1413,$B165,'февраль 2024'!$J$6:$J$1413,N$1)</f>
        <v>0</v>
      </c>
      <c r="O165" s="80">
        <f>SUMIFS('февраль 2024'!$G$6:$G$1413,'февраль 2024'!$D$6:$D$1413,$B165,'февраль 2024'!$J$6:$J$1413,O$1)</f>
        <v>0</v>
      </c>
      <c r="P165" s="80">
        <f>SUMIFS('февраль 2024'!$G$6:$G$1413,'февраль 2024'!$D$6:$D$1413,$B165,'февраль 2024'!$J$6:$J$1413,P$1)</f>
        <v>0</v>
      </c>
      <c r="Q165" s="80">
        <f>SUMIFS('февраль 2024'!$G$6:$G$1413,'февраль 2024'!$D$6:$D$1413,$B165,'февраль 2024'!$J$6:$J$1413,Q$1)</f>
        <v>0</v>
      </c>
      <c r="R165" s="80">
        <f>SUMIFS('февраль 2024'!$G$6:$G$1413,'февраль 2024'!$D$6:$D$1413,$B165,'февраль 2024'!$J$6:$J$1413,R$1)</f>
        <v>0</v>
      </c>
      <c r="S165" s="80">
        <f>SUMIFS('февраль 2024'!$G$6:$G$1413,'февраль 2024'!$D$6:$D$1413,$B165,'февраль 2024'!$J$6:$J$1413,S$1)</f>
        <v>0</v>
      </c>
      <c r="T165" s="80">
        <f>SUMIFS('февраль 2024'!$G$6:$G$1413,'февраль 2024'!$D$6:$D$1413,$B165,'февраль 2024'!$J$6:$J$1413,T$1)</f>
        <v>0</v>
      </c>
      <c r="U165" s="80">
        <f>SUMIFS('февраль 2024'!$G$6:$G$1413,'февраль 2024'!$D$6:$D$1413,$B165,'февраль 2024'!$J$6:$J$1413,U$1)</f>
        <v>0</v>
      </c>
      <c r="V165" s="80">
        <f>SUMIFS('февраль 2024'!$G$6:$G$1413,'февраль 2024'!$D$6:$D$1413,$B165,'февраль 2024'!$J$6:$J$1413,V$1)</f>
        <v>0</v>
      </c>
      <c r="W165" s="80">
        <f>SUMIFS('февраль 2024'!$G$6:$G$1413,'февраль 2024'!$D$6:$D$1413,$B165,'февраль 2024'!$J$6:$J$1413,W$1)</f>
        <v>0</v>
      </c>
      <c r="X165" s="80">
        <f>SUMIFS('февраль 2024'!$G$6:$G$1413,'февраль 2024'!$D$6:$D$1413,$B165,'февраль 2024'!$J$6:$J$1413,X$1)</f>
        <v>0</v>
      </c>
      <c r="Y165" s="80">
        <f>SUMIFS('февраль 2024'!$G$6:$G$1413,'февраль 2024'!$D$6:$D$1413,$B165,'февраль 2024'!$J$6:$J$1413,Y$1)</f>
        <v>0</v>
      </c>
      <c r="Z165" s="80">
        <f>SUMIFS('февраль 2024'!$G$6:$G$1413,'февраль 2024'!$D$6:$D$1413,$B165,'февраль 2024'!$J$6:$J$1413,Z$1)</f>
        <v>0</v>
      </c>
      <c r="AA165" s="80">
        <f>SUMIFS('февраль 2024'!$G$6:$G$1413,'февраль 2024'!$D$6:$D$1413,$B165,'февраль 2024'!$J$6:$J$1413,AA$1)</f>
        <v>0</v>
      </c>
      <c r="AB165" s="80">
        <f>SUMIFS('февраль 2024'!$G$6:$G$1413,'февраль 2024'!$D$6:$D$1413,$B165,'февраль 2024'!$J$6:$J$1413,AB$1)</f>
        <v>0</v>
      </c>
      <c r="AC165" s="80">
        <f>SUMIFS('февраль 2024'!$G$6:$G$1413,'февраль 2024'!$D$6:$D$1413,$B165,'февраль 2024'!$J$6:$J$1413,AC$1)</f>
        <v>0</v>
      </c>
      <c r="AD165" s="80">
        <f>SUMIFS('февраль 2024'!$G$6:$G$1413,'февраль 2024'!$D$6:$D$1413,$B165,'февраль 2024'!$J$6:$J$1413,AD$1)</f>
        <v>0</v>
      </c>
      <c r="AE165" s="80">
        <f>SUMIFS('февраль 2024'!$G$6:$G$1413,'февраль 2024'!$D$6:$D$1413,$B165,'февраль 2024'!$J$6:$J$1413,AE$1)</f>
        <v>0</v>
      </c>
      <c r="AF165" s="80">
        <f>SUMIFS('февраль 2024'!$G$6:$G$1413,'февраль 2024'!$D$6:$D$1413,$B165,'февраль 2024'!$J$6:$J$1413,AF$1)</f>
        <v>0</v>
      </c>
      <c r="AG165" s="80">
        <f>SUMIFS('февраль 2024'!$G$6:$G$1413,'февраль 2024'!$D$6:$D$1413,$B165,'февраль 2024'!$J$6:$J$1413,AG$1)</f>
        <v>0</v>
      </c>
      <c r="AH165" s="80">
        <f>SUMIFS('февраль 2024'!$G$6:$G$1413,'февраль 2024'!$D$6:$D$1413,$B165,'февраль 2024'!$J$6:$J$1413,AH$1)</f>
        <v>0</v>
      </c>
      <c r="AI165" s="87"/>
    </row>
    <row r="166" spans="2:35" ht="15" hidden="1" customHeight="1" x14ac:dyDescent="0.25">
      <c r="B166" s="89"/>
      <c r="C166" s="88"/>
      <c r="D166" s="80">
        <f>SUMIFS('февраль 2024'!$G$6:$G$1413,'февраль 2024'!$D$6:$D$1413,$B166,'февраль 2024'!$J$6:$J$1413,D$1)</f>
        <v>0</v>
      </c>
      <c r="E166" s="80">
        <f>SUMIFS('февраль 2024'!$G$6:$G$1413,'февраль 2024'!$D$6:$D$1413,$B166,'февраль 2024'!$J$6:$J$1413,E$1)</f>
        <v>0</v>
      </c>
      <c r="F166" s="80">
        <f>SUMIFS('февраль 2024'!$G$6:$G$1413,'февраль 2024'!$D$6:$D$1413,$B166,'февраль 2024'!$J$6:$J$1413,F$1)</f>
        <v>0</v>
      </c>
      <c r="G166" s="80">
        <f>SUMIFS('февраль 2024'!$G$6:$G$1413,'февраль 2024'!$D$6:$D$1413,$B166,'февраль 2024'!$J$6:$J$1413,G$1)</f>
        <v>0</v>
      </c>
      <c r="H166" s="80">
        <f>SUMIFS('февраль 2024'!$G$6:$G$1413,'февраль 2024'!$D$6:$D$1413,$B166,'февраль 2024'!$J$6:$J$1413,H$1)</f>
        <v>0</v>
      </c>
      <c r="I166" s="80">
        <f>SUMIFS('февраль 2024'!$G$6:$G$1413,'февраль 2024'!$D$6:$D$1413,$B166,'февраль 2024'!$J$6:$J$1413,I$1)</f>
        <v>0</v>
      </c>
      <c r="J166" s="80">
        <f>SUMIFS('февраль 2024'!$G$6:$G$1413,'февраль 2024'!$D$6:$D$1413,$B166,'февраль 2024'!$J$6:$J$1413,J$1)</f>
        <v>0</v>
      </c>
      <c r="K166" s="80">
        <f>SUMIFS('февраль 2024'!$G$6:$G$1413,'февраль 2024'!$D$6:$D$1413,$B166,'февраль 2024'!$J$6:$J$1413,K$1)</f>
        <v>0</v>
      </c>
      <c r="L166" s="80">
        <f>SUMIFS('февраль 2024'!$G$6:$G$1413,'февраль 2024'!$D$6:$D$1413,$B166,'февраль 2024'!$J$6:$J$1413,L$1)</f>
        <v>0</v>
      </c>
      <c r="M166" s="80">
        <f>SUMIFS('февраль 2024'!$G$6:$G$1413,'февраль 2024'!$D$6:$D$1413,$B166,'февраль 2024'!$J$6:$J$1413,M$1)</f>
        <v>0</v>
      </c>
      <c r="N166" s="80">
        <f>SUMIFS('февраль 2024'!$G$6:$G$1413,'февраль 2024'!$D$6:$D$1413,$B166,'февраль 2024'!$J$6:$J$1413,N$1)</f>
        <v>0</v>
      </c>
      <c r="O166" s="80">
        <f>SUMIFS('февраль 2024'!$G$6:$G$1413,'февраль 2024'!$D$6:$D$1413,$B166,'февраль 2024'!$J$6:$J$1413,O$1)</f>
        <v>0</v>
      </c>
      <c r="P166" s="80">
        <f>SUMIFS('февраль 2024'!$G$6:$G$1413,'февраль 2024'!$D$6:$D$1413,$B166,'февраль 2024'!$J$6:$J$1413,P$1)</f>
        <v>0</v>
      </c>
      <c r="Q166" s="80">
        <f>SUMIFS('февраль 2024'!$G$6:$G$1413,'февраль 2024'!$D$6:$D$1413,$B166,'февраль 2024'!$J$6:$J$1413,Q$1)</f>
        <v>0</v>
      </c>
      <c r="R166" s="80">
        <f>SUMIFS('февраль 2024'!$G$6:$G$1413,'февраль 2024'!$D$6:$D$1413,$B166,'февраль 2024'!$J$6:$J$1413,R$1)</f>
        <v>0</v>
      </c>
      <c r="S166" s="80">
        <f>SUMIFS('февраль 2024'!$G$6:$G$1413,'февраль 2024'!$D$6:$D$1413,$B166,'февраль 2024'!$J$6:$J$1413,S$1)</f>
        <v>0</v>
      </c>
      <c r="T166" s="80">
        <f>SUMIFS('февраль 2024'!$G$6:$G$1413,'февраль 2024'!$D$6:$D$1413,$B166,'февраль 2024'!$J$6:$J$1413,T$1)</f>
        <v>0</v>
      </c>
      <c r="U166" s="80">
        <f>SUMIFS('февраль 2024'!$G$6:$G$1413,'февраль 2024'!$D$6:$D$1413,$B166,'февраль 2024'!$J$6:$J$1413,U$1)</f>
        <v>0</v>
      </c>
      <c r="V166" s="80">
        <f>SUMIFS('февраль 2024'!$G$6:$G$1413,'февраль 2024'!$D$6:$D$1413,$B166,'февраль 2024'!$J$6:$J$1413,V$1)</f>
        <v>0</v>
      </c>
      <c r="W166" s="80">
        <f>SUMIFS('февраль 2024'!$G$6:$G$1413,'февраль 2024'!$D$6:$D$1413,$B166,'февраль 2024'!$J$6:$J$1413,W$1)</f>
        <v>0</v>
      </c>
      <c r="X166" s="80">
        <f>SUMIFS('февраль 2024'!$G$6:$G$1413,'февраль 2024'!$D$6:$D$1413,$B166,'февраль 2024'!$J$6:$J$1413,X$1)</f>
        <v>0</v>
      </c>
      <c r="Y166" s="80">
        <f>SUMIFS('февраль 2024'!$G$6:$G$1413,'февраль 2024'!$D$6:$D$1413,$B166,'февраль 2024'!$J$6:$J$1413,Y$1)</f>
        <v>0</v>
      </c>
      <c r="Z166" s="80">
        <f>SUMIFS('февраль 2024'!$G$6:$G$1413,'февраль 2024'!$D$6:$D$1413,$B166,'февраль 2024'!$J$6:$J$1413,Z$1)</f>
        <v>0</v>
      </c>
      <c r="AA166" s="80">
        <f>SUMIFS('февраль 2024'!$G$6:$G$1413,'февраль 2024'!$D$6:$D$1413,$B166,'февраль 2024'!$J$6:$J$1413,AA$1)</f>
        <v>0</v>
      </c>
      <c r="AB166" s="80">
        <f>SUMIFS('февраль 2024'!$G$6:$G$1413,'февраль 2024'!$D$6:$D$1413,$B166,'февраль 2024'!$J$6:$J$1413,AB$1)</f>
        <v>0</v>
      </c>
      <c r="AC166" s="80">
        <f>SUMIFS('февраль 2024'!$G$6:$G$1413,'февраль 2024'!$D$6:$D$1413,$B166,'февраль 2024'!$J$6:$J$1413,AC$1)</f>
        <v>0</v>
      </c>
      <c r="AD166" s="80">
        <f>SUMIFS('февраль 2024'!$G$6:$G$1413,'февраль 2024'!$D$6:$D$1413,$B166,'февраль 2024'!$J$6:$J$1413,AD$1)</f>
        <v>0</v>
      </c>
      <c r="AE166" s="80">
        <f>SUMIFS('февраль 2024'!$G$6:$G$1413,'февраль 2024'!$D$6:$D$1413,$B166,'февраль 2024'!$J$6:$J$1413,AE$1)</f>
        <v>0</v>
      </c>
      <c r="AF166" s="80">
        <f>SUMIFS('февраль 2024'!$G$6:$G$1413,'февраль 2024'!$D$6:$D$1413,$B166,'февраль 2024'!$J$6:$J$1413,AF$1)</f>
        <v>0</v>
      </c>
      <c r="AG166" s="80">
        <f>SUMIFS('февраль 2024'!$G$6:$G$1413,'февраль 2024'!$D$6:$D$1413,$B166,'февраль 2024'!$J$6:$J$1413,AG$1)</f>
        <v>0</v>
      </c>
      <c r="AH166" s="80">
        <f>SUMIFS('февраль 2024'!$G$6:$G$1413,'февраль 2024'!$D$6:$D$1413,$B166,'февраль 2024'!$J$6:$J$1413,AH$1)</f>
        <v>0</v>
      </c>
      <c r="AI166" s="87"/>
    </row>
    <row r="167" spans="2:35" ht="15" hidden="1" customHeight="1" x14ac:dyDescent="0.25">
      <c r="B167" s="89"/>
      <c r="C167" s="90"/>
      <c r="D167" s="80">
        <f>SUMIFS('февраль 2024'!$G$6:$G$1413,'февраль 2024'!$D$6:$D$1413,$B167,'февраль 2024'!$J$6:$J$1413,D$1)</f>
        <v>0</v>
      </c>
      <c r="E167" s="80">
        <f>SUMIFS('февраль 2024'!$G$6:$G$1413,'февраль 2024'!$D$6:$D$1413,$B167,'февраль 2024'!$J$6:$J$1413,E$1)</f>
        <v>0</v>
      </c>
      <c r="F167" s="80">
        <f>SUMIFS('февраль 2024'!$G$6:$G$1413,'февраль 2024'!$D$6:$D$1413,$B167,'февраль 2024'!$J$6:$J$1413,F$1)</f>
        <v>0</v>
      </c>
      <c r="G167" s="80">
        <f>SUMIFS('февраль 2024'!$G$6:$G$1413,'февраль 2024'!$D$6:$D$1413,$B167,'февраль 2024'!$J$6:$J$1413,G$1)</f>
        <v>0</v>
      </c>
      <c r="H167" s="80">
        <f>SUMIFS('февраль 2024'!$G$6:$G$1413,'февраль 2024'!$D$6:$D$1413,$B167,'февраль 2024'!$J$6:$J$1413,H$1)</f>
        <v>0</v>
      </c>
      <c r="I167" s="80">
        <f>SUMIFS('февраль 2024'!$G$6:$G$1413,'февраль 2024'!$D$6:$D$1413,$B167,'февраль 2024'!$J$6:$J$1413,I$1)</f>
        <v>0</v>
      </c>
      <c r="J167" s="80">
        <f>SUMIFS('февраль 2024'!$G$6:$G$1413,'февраль 2024'!$D$6:$D$1413,$B167,'февраль 2024'!$J$6:$J$1413,J$1)</f>
        <v>0</v>
      </c>
      <c r="K167" s="80">
        <f>SUMIFS('февраль 2024'!$G$6:$G$1413,'февраль 2024'!$D$6:$D$1413,$B167,'февраль 2024'!$J$6:$J$1413,K$1)</f>
        <v>0</v>
      </c>
      <c r="L167" s="80">
        <f>SUMIFS('февраль 2024'!$G$6:$G$1413,'февраль 2024'!$D$6:$D$1413,$B167,'февраль 2024'!$J$6:$J$1413,L$1)</f>
        <v>0</v>
      </c>
      <c r="M167" s="80">
        <f>SUMIFS('февраль 2024'!$G$6:$G$1413,'февраль 2024'!$D$6:$D$1413,$B167,'февраль 2024'!$J$6:$J$1413,M$1)</f>
        <v>0</v>
      </c>
      <c r="N167" s="80">
        <f>SUMIFS('февраль 2024'!$G$6:$G$1413,'февраль 2024'!$D$6:$D$1413,$B167,'февраль 2024'!$J$6:$J$1413,N$1)</f>
        <v>0</v>
      </c>
      <c r="O167" s="80">
        <f>SUMIFS('февраль 2024'!$G$6:$G$1413,'февраль 2024'!$D$6:$D$1413,$B167,'февраль 2024'!$J$6:$J$1413,O$1)</f>
        <v>0</v>
      </c>
      <c r="P167" s="80">
        <f>SUMIFS('февраль 2024'!$G$6:$G$1413,'февраль 2024'!$D$6:$D$1413,$B167,'февраль 2024'!$J$6:$J$1413,P$1)</f>
        <v>0</v>
      </c>
      <c r="Q167" s="80">
        <f>SUMIFS('февраль 2024'!$G$6:$G$1413,'февраль 2024'!$D$6:$D$1413,$B167,'февраль 2024'!$J$6:$J$1413,Q$1)</f>
        <v>0</v>
      </c>
      <c r="R167" s="80">
        <f>SUMIFS('февраль 2024'!$G$6:$G$1413,'февраль 2024'!$D$6:$D$1413,$B167,'февраль 2024'!$J$6:$J$1413,R$1)</f>
        <v>0</v>
      </c>
      <c r="S167" s="80">
        <f>SUMIFS('февраль 2024'!$G$6:$G$1413,'февраль 2024'!$D$6:$D$1413,$B167,'февраль 2024'!$J$6:$J$1413,S$1)</f>
        <v>0</v>
      </c>
      <c r="T167" s="80">
        <f>SUMIFS('февраль 2024'!$G$6:$G$1413,'февраль 2024'!$D$6:$D$1413,$B167,'февраль 2024'!$J$6:$J$1413,T$1)</f>
        <v>0</v>
      </c>
      <c r="U167" s="80">
        <f>SUMIFS('февраль 2024'!$G$6:$G$1413,'февраль 2024'!$D$6:$D$1413,$B167,'февраль 2024'!$J$6:$J$1413,U$1)</f>
        <v>0</v>
      </c>
      <c r="V167" s="80">
        <f>SUMIFS('февраль 2024'!$G$6:$G$1413,'февраль 2024'!$D$6:$D$1413,$B167,'февраль 2024'!$J$6:$J$1413,V$1)</f>
        <v>0</v>
      </c>
      <c r="W167" s="80">
        <f>SUMIFS('февраль 2024'!$G$6:$G$1413,'февраль 2024'!$D$6:$D$1413,$B167,'февраль 2024'!$J$6:$J$1413,W$1)</f>
        <v>0</v>
      </c>
      <c r="X167" s="80">
        <f>SUMIFS('февраль 2024'!$G$6:$G$1413,'февраль 2024'!$D$6:$D$1413,$B167,'февраль 2024'!$J$6:$J$1413,X$1)</f>
        <v>0</v>
      </c>
      <c r="Y167" s="80">
        <f>SUMIFS('февраль 2024'!$G$6:$G$1413,'февраль 2024'!$D$6:$D$1413,$B167,'февраль 2024'!$J$6:$J$1413,Y$1)</f>
        <v>0</v>
      </c>
      <c r="Z167" s="80">
        <f>SUMIFS('февраль 2024'!$G$6:$G$1413,'февраль 2024'!$D$6:$D$1413,$B167,'февраль 2024'!$J$6:$J$1413,Z$1)</f>
        <v>0</v>
      </c>
      <c r="AA167" s="80">
        <f>SUMIFS('февраль 2024'!$G$6:$G$1413,'февраль 2024'!$D$6:$D$1413,$B167,'февраль 2024'!$J$6:$J$1413,AA$1)</f>
        <v>0</v>
      </c>
      <c r="AB167" s="80">
        <f>SUMIFS('февраль 2024'!$G$6:$G$1413,'февраль 2024'!$D$6:$D$1413,$B167,'февраль 2024'!$J$6:$J$1413,AB$1)</f>
        <v>0</v>
      </c>
      <c r="AC167" s="80">
        <f>SUMIFS('февраль 2024'!$G$6:$G$1413,'февраль 2024'!$D$6:$D$1413,$B167,'февраль 2024'!$J$6:$J$1413,AC$1)</f>
        <v>0</v>
      </c>
      <c r="AD167" s="80">
        <f>SUMIFS('февраль 2024'!$G$6:$G$1413,'февраль 2024'!$D$6:$D$1413,$B167,'февраль 2024'!$J$6:$J$1413,AD$1)</f>
        <v>0</v>
      </c>
      <c r="AE167" s="80">
        <f>SUMIFS('февраль 2024'!$G$6:$G$1413,'февраль 2024'!$D$6:$D$1413,$B167,'февраль 2024'!$J$6:$J$1413,AE$1)</f>
        <v>0</v>
      </c>
      <c r="AF167" s="80">
        <f>SUMIFS('февраль 2024'!$G$6:$G$1413,'февраль 2024'!$D$6:$D$1413,$B167,'февраль 2024'!$J$6:$J$1413,AF$1)</f>
        <v>0</v>
      </c>
      <c r="AG167" s="80">
        <f>SUMIFS('февраль 2024'!$G$6:$G$1413,'февраль 2024'!$D$6:$D$1413,$B167,'февраль 2024'!$J$6:$J$1413,AG$1)</f>
        <v>0</v>
      </c>
      <c r="AH167" s="80">
        <f>SUMIFS('февраль 2024'!$G$6:$G$1413,'февраль 2024'!$D$6:$D$1413,$B167,'февраль 2024'!$J$6:$J$1413,AH$1)</f>
        <v>0</v>
      </c>
      <c r="AI167" s="87"/>
    </row>
    <row r="168" spans="2:35" ht="15" hidden="1" customHeight="1" x14ac:dyDescent="0.25">
      <c r="B168" s="89"/>
      <c r="C168" s="91"/>
      <c r="D168" s="80">
        <f>SUMIFS('февраль 2024'!$G$6:$G$1413,'февраль 2024'!$D$6:$D$1413,$B168,'февраль 2024'!$J$6:$J$1413,D$1)</f>
        <v>0</v>
      </c>
      <c r="E168" s="80">
        <f>SUMIFS('февраль 2024'!$G$6:$G$1413,'февраль 2024'!$D$6:$D$1413,$B168,'февраль 2024'!$J$6:$J$1413,E$1)</f>
        <v>0</v>
      </c>
      <c r="F168" s="80">
        <f>SUMIFS('февраль 2024'!$G$6:$G$1413,'февраль 2024'!$D$6:$D$1413,$B168,'февраль 2024'!$J$6:$J$1413,F$1)</f>
        <v>0</v>
      </c>
      <c r="G168" s="80">
        <f>SUMIFS('февраль 2024'!$G$6:$G$1413,'февраль 2024'!$D$6:$D$1413,$B168,'февраль 2024'!$J$6:$J$1413,G$1)</f>
        <v>0</v>
      </c>
      <c r="H168" s="80">
        <f>SUMIFS('февраль 2024'!$G$6:$G$1413,'февраль 2024'!$D$6:$D$1413,$B168,'февраль 2024'!$J$6:$J$1413,H$1)</f>
        <v>0</v>
      </c>
      <c r="I168" s="80">
        <f>SUMIFS('февраль 2024'!$G$6:$G$1413,'февраль 2024'!$D$6:$D$1413,$B168,'февраль 2024'!$J$6:$J$1413,I$1)</f>
        <v>0</v>
      </c>
      <c r="J168" s="80">
        <f>SUMIFS('февраль 2024'!$G$6:$G$1413,'февраль 2024'!$D$6:$D$1413,$B168,'февраль 2024'!$J$6:$J$1413,J$1)</f>
        <v>0</v>
      </c>
      <c r="K168" s="80">
        <f>SUMIFS('февраль 2024'!$G$6:$G$1413,'февраль 2024'!$D$6:$D$1413,$B168,'февраль 2024'!$J$6:$J$1413,K$1)</f>
        <v>0</v>
      </c>
      <c r="L168" s="80">
        <f>SUMIFS('февраль 2024'!$G$6:$G$1413,'февраль 2024'!$D$6:$D$1413,$B168,'февраль 2024'!$J$6:$J$1413,L$1)</f>
        <v>0</v>
      </c>
      <c r="M168" s="80">
        <f>SUMIFS('февраль 2024'!$G$6:$G$1413,'февраль 2024'!$D$6:$D$1413,$B168,'февраль 2024'!$J$6:$J$1413,M$1)</f>
        <v>0</v>
      </c>
      <c r="N168" s="80">
        <f>SUMIFS('февраль 2024'!$G$6:$G$1413,'февраль 2024'!$D$6:$D$1413,$B168,'февраль 2024'!$J$6:$J$1413,N$1)</f>
        <v>0</v>
      </c>
      <c r="O168" s="80">
        <f>SUMIFS('февраль 2024'!$G$6:$G$1413,'февраль 2024'!$D$6:$D$1413,$B168,'февраль 2024'!$J$6:$J$1413,O$1)</f>
        <v>0</v>
      </c>
      <c r="P168" s="80">
        <f>SUMIFS('февраль 2024'!$G$6:$G$1413,'февраль 2024'!$D$6:$D$1413,$B168,'февраль 2024'!$J$6:$J$1413,P$1)</f>
        <v>0</v>
      </c>
      <c r="Q168" s="80">
        <f>SUMIFS('февраль 2024'!$G$6:$G$1413,'февраль 2024'!$D$6:$D$1413,$B168,'февраль 2024'!$J$6:$J$1413,Q$1)</f>
        <v>0</v>
      </c>
      <c r="R168" s="80">
        <f>SUMIFS('февраль 2024'!$G$6:$G$1413,'февраль 2024'!$D$6:$D$1413,$B168,'февраль 2024'!$J$6:$J$1413,R$1)</f>
        <v>0</v>
      </c>
      <c r="S168" s="80">
        <f>SUMIFS('февраль 2024'!$G$6:$G$1413,'февраль 2024'!$D$6:$D$1413,$B168,'февраль 2024'!$J$6:$J$1413,S$1)</f>
        <v>0</v>
      </c>
      <c r="T168" s="80">
        <f>SUMIFS('февраль 2024'!$G$6:$G$1413,'февраль 2024'!$D$6:$D$1413,$B168,'февраль 2024'!$J$6:$J$1413,T$1)</f>
        <v>0</v>
      </c>
      <c r="U168" s="80">
        <f>SUMIFS('февраль 2024'!$G$6:$G$1413,'февраль 2024'!$D$6:$D$1413,$B168,'февраль 2024'!$J$6:$J$1413,U$1)</f>
        <v>0</v>
      </c>
      <c r="V168" s="80">
        <f>SUMIFS('февраль 2024'!$G$6:$G$1413,'февраль 2024'!$D$6:$D$1413,$B168,'февраль 2024'!$J$6:$J$1413,V$1)</f>
        <v>0</v>
      </c>
      <c r="W168" s="80">
        <f>SUMIFS('февраль 2024'!$G$6:$G$1413,'февраль 2024'!$D$6:$D$1413,$B168,'февраль 2024'!$J$6:$J$1413,W$1)</f>
        <v>0</v>
      </c>
      <c r="X168" s="80">
        <f>SUMIFS('февраль 2024'!$G$6:$G$1413,'февраль 2024'!$D$6:$D$1413,$B168,'февраль 2024'!$J$6:$J$1413,X$1)</f>
        <v>0</v>
      </c>
      <c r="Y168" s="80">
        <f>SUMIFS('февраль 2024'!$G$6:$G$1413,'февраль 2024'!$D$6:$D$1413,$B168,'февраль 2024'!$J$6:$J$1413,Y$1)</f>
        <v>0</v>
      </c>
      <c r="Z168" s="80">
        <f>SUMIFS('февраль 2024'!$G$6:$G$1413,'февраль 2024'!$D$6:$D$1413,$B168,'февраль 2024'!$J$6:$J$1413,Z$1)</f>
        <v>0</v>
      </c>
      <c r="AA168" s="80">
        <f>SUMIFS('февраль 2024'!$G$6:$G$1413,'февраль 2024'!$D$6:$D$1413,$B168,'февраль 2024'!$J$6:$J$1413,AA$1)</f>
        <v>0</v>
      </c>
      <c r="AB168" s="80">
        <f>SUMIFS('февраль 2024'!$G$6:$G$1413,'февраль 2024'!$D$6:$D$1413,$B168,'февраль 2024'!$J$6:$J$1413,AB$1)</f>
        <v>0</v>
      </c>
      <c r="AC168" s="80">
        <f>SUMIFS('февраль 2024'!$G$6:$G$1413,'февраль 2024'!$D$6:$D$1413,$B168,'февраль 2024'!$J$6:$J$1413,AC$1)</f>
        <v>0</v>
      </c>
      <c r="AD168" s="80">
        <f>SUMIFS('февраль 2024'!$G$6:$G$1413,'февраль 2024'!$D$6:$D$1413,$B168,'февраль 2024'!$J$6:$J$1413,AD$1)</f>
        <v>0</v>
      </c>
      <c r="AE168" s="80">
        <f>SUMIFS('февраль 2024'!$G$6:$G$1413,'февраль 2024'!$D$6:$D$1413,$B168,'февраль 2024'!$J$6:$J$1413,AE$1)</f>
        <v>0</v>
      </c>
      <c r="AF168" s="80">
        <f>SUMIFS('февраль 2024'!$G$6:$G$1413,'февраль 2024'!$D$6:$D$1413,$B168,'февраль 2024'!$J$6:$J$1413,AF$1)</f>
        <v>0</v>
      </c>
      <c r="AG168" s="80">
        <f>SUMIFS('февраль 2024'!$G$6:$G$1413,'февраль 2024'!$D$6:$D$1413,$B168,'февраль 2024'!$J$6:$J$1413,AG$1)</f>
        <v>0</v>
      </c>
      <c r="AH168" s="80">
        <f>SUMIFS('февраль 2024'!$G$6:$G$1413,'февраль 2024'!$D$6:$D$1413,$B168,'февраль 2024'!$J$6:$J$1413,AH$1)</f>
        <v>0</v>
      </c>
      <c r="AI168" s="87"/>
    </row>
    <row r="169" spans="2:35" ht="15" hidden="1" customHeight="1" x14ac:dyDescent="0.25">
      <c r="B169" s="93"/>
      <c r="C169" s="91"/>
      <c r="D169" s="80">
        <f>SUMIFS('февраль 2024'!$G$6:$G$1413,'февраль 2024'!$D$6:$D$1413,$B169,'февраль 2024'!$J$6:$J$1413,D$1)</f>
        <v>0</v>
      </c>
      <c r="E169" s="80">
        <f>SUMIFS('февраль 2024'!$G$6:$G$1413,'февраль 2024'!$D$6:$D$1413,$B169,'февраль 2024'!$J$6:$J$1413,E$1)</f>
        <v>0</v>
      </c>
      <c r="F169" s="80">
        <f>SUMIFS('февраль 2024'!$G$6:$G$1413,'февраль 2024'!$D$6:$D$1413,$B169,'февраль 2024'!$J$6:$J$1413,F$1)</f>
        <v>0</v>
      </c>
      <c r="G169" s="80">
        <f>SUMIFS('февраль 2024'!$G$6:$G$1413,'февраль 2024'!$D$6:$D$1413,$B169,'февраль 2024'!$J$6:$J$1413,G$1)</f>
        <v>0</v>
      </c>
      <c r="H169" s="80">
        <f>SUMIFS('февраль 2024'!$G$6:$G$1413,'февраль 2024'!$D$6:$D$1413,$B169,'февраль 2024'!$J$6:$J$1413,H$1)</f>
        <v>0</v>
      </c>
      <c r="I169" s="80">
        <f>SUMIFS('февраль 2024'!$G$6:$G$1413,'февраль 2024'!$D$6:$D$1413,$B169,'февраль 2024'!$J$6:$J$1413,I$1)</f>
        <v>0</v>
      </c>
      <c r="J169" s="80">
        <f>SUMIFS('февраль 2024'!$G$6:$G$1413,'февраль 2024'!$D$6:$D$1413,$B169,'февраль 2024'!$J$6:$J$1413,J$1)</f>
        <v>0</v>
      </c>
      <c r="K169" s="80">
        <f>SUMIFS('февраль 2024'!$G$6:$G$1413,'февраль 2024'!$D$6:$D$1413,$B169,'февраль 2024'!$J$6:$J$1413,K$1)</f>
        <v>0</v>
      </c>
      <c r="L169" s="80">
        <f>SUMIFS('февраль 2024'!$G$6:$G$1413,'февраль 2024'!$D$6:$D$1413,$B169,'февраль 2024'!$J$6:$J$1413,L$1)</f>
        <v>0</v>
      </c>
      <c r="M169" s="80">
        <f>SUMIFS('февраль 2024'!$G$6:$G$1413,'февраль 2024'!$D$6:$D$1413,$B169,'февраль 2024'!$J$6:$J$1413,M$1)</f>
        <v>0</v>
      </c>
      <c r="N169" s="80">
        <f>SUMIFS('февраль 2024'!$G$6:$G$1413,'февраль 2024'!$D$6:$D$1413,$B169,'февраль 2024'!$J$6:$J$1413,N$1)</f>
        <v>0</v>
      </c>
      <c r="O169" s="80">
        <f>SUMIFS('февраль 2024'!$G$6:$G$1413,'февраль 2024'!$D$6:$D$1413,$B169,'февраль 2024'!$J$6:$J$1413,O$1)</f>
        <v>0</v>
      </c>
      <c r="P169" s="80">
        <f>SUMIFS('февраль 2024'!$G$6:$G$1413,'февраль 2024'!$D$6:$D$1413,$B169,'февраль 2024'!$J$6:$J$1413,P$1)</f>
        <v>0</v>
      </c>
      <c r="Q169" s="80">
        <f>SUMIFS('февраль 2024'!$G$6:$G$1413,'февраль 2024'!$D$6:$D$1413,$B169,'февраль 2024'!$J$6:$J$1413,Q$1)</f>
        <v>0</v>
      </c>
      <c r="R169" s="80">
        <f>SUMIFS('февраль 2024'!$G$6:$G$1413,'февраль 2024'!$D$6:$D$1413,$B169,'февраль 2024'!$J$6:$J$1413,R$1)</f>
        <v>0</v>
      </c>
      <c r="S169" s="80">
        <f>SUMIFS('февраль 2024'!$G$6:$G$1413,'февраль 2024'!$D$6:$D$1413,$B169,'февраль 2024'!$J$6:$J$1413,S$1)</f>
        <v>0</v>
      </c>
      <c r="T169" s="80">
        <f>SUMIFS('февраль 2024'!$G$6:$G$1413,'февраль 2024'!$D$6:$D$1413,$B169,'февраль 2024'!$J$6:$J$1413,T$1)</f>
        <v>0</v>
      </c>
      <c r="U169" s="80">
        <f>SUMIFS('февраль 2024'!$G$6:$G$1413,'февраль 2024'!$D$6:$D$1413,$B169,'февраль 2024'!$J$6:$J$1413,U$1)</f>
        <v>0</v>
      </c>
      <c r="V169" s="80">
        <f>SUMIFS('февраль 2024'!$G$6:$G$1413,'февраль 2024'!$D$6:$D$1413,$B169,'февраль 2024'!$J$6:$J$1413,V$1)</f>
        <v>0</v>
      </c>
      <c r="W169" s="80">
        <f>SUMIFS('февраль 2024'!$G$6:$G$1413,'февраль 2024'!$D$6:$D$1413,$B169,'февраль 2024'!$J$6:$J$1413,W$1)</f>
        <v>0</v>
      </c>
      <c r="X169" s="80">
        <f>SUMIFS('февраль 2024'!$G$6:$G$1413,'февраль 2024'!$D$6:$D$1413,$B169,'февраль 2024'!$J$6:$J$1413,X$1)</f>
        <v>0</v>
      </c>
      <c r="Y169" s="80">
        <f>SUMIFS('февраль 2024'!$G$6:$G$1413,'февраль 2024'!$D$6:$D$1413,$B169,'февраль 2024'!$J$6:$J$1413,Y$1)</f>
        <v>0</v>
      </c>
      <c r="Z169" s="80">
        <f>SUMIFS('февраль 2024'!$G$6:$G$1413,'февраль 2024'!$D$6:$D$1413,$B169,'февраль 2024'!$J$6:$J$1413,Z$1)</f>
        <v>0</v>
      </c>
      <c r="AA169" s="80">
        <f>SUMIFS('февраль 2024'!$G$6:$G$1413,'февраль 2024'!$D$6:$D$1413,$B169,'февраль 2024'!$J$6:$J$1413,AA$1)</f>
        <v>0</v>
      </c>
      <c r="AB169" s="80">
        <f>SUMIFS('февраль 2024'!$G$6:$G$1413,'февраль 2024'!$D$6:$D$1413,$B169,'февраль 2024'!$J$6:$J$1413,AB$1)</f>
        <v>0</v>
      </c>
      <c r="AC169" s="80">
        <f>SUMIFS('февраль 2024'!$G$6:$G$1413,'февраль 2024'!$D$6:$D$1413,$B169,'февраль 2024'!$J$6:$J$1413,AC$1)</f>
        <v>0</v>
      </c>
      <c r="AD169" s="80">
        <f>SUMIFS('февраль 2024'!$G$6:$G$1413,'февраль 2024'!$D$6:$D$1413,$B169,'февраль 2024'!$J$6:$J$1413,AD$1)</f>
        <v>0</v>
      </c>
      <c r="AE169" s="80">
        <f>SUMIFS('февраль 2024'!$G$6:$G$1413,'февраль 2024'!$D$6:$D$1413,$B169,'февраль 2024'!$J$6:$J$1413,AE$1)</f>
        <v>0</v>
      </c>
      <c r="AF169" s="80">
        <f>SUMIFS('февраль 2024'!$G$6:$G$1413,'февраль 2024'!$D$6:$D$1413,$B169,'февраль 2024'!$J$6:$J$1413,AF$1)</f>
        <v>0</v>
      </c>
      <c r="AG169" s="80">
        <f>SUMIFS('февраль 2024'!$G$6:$G$1413,'февраль 2024'!$D$6:$D$1413,$B169,'февраль 2024'!$J$6:$J$1413,AG$1)</f>
        <v>0</v>
      </c>
      <c r="AH169" s="80">
        <f>SUMIFS('февраль 2024'!$G$6:$G$1413,'февраль 2024'!$D$6:$D$1413,$B169,'февраль 2024'!$J$6:$J$1413,AH$1)</f>
        <v>0</v>
      </c>
      <c r="AI169" s="87"/>
    </row>
    <row r="170" spans="2:35" ht="15" hidden="1" customHeight="1" x14ac:dyDescent="0.25">
      <c r="B170" s="89"/>
      <c r="C170" s="88"/>
      <c r="D170" s="80">
        <f>SUMIFS('февраль 2024'!$G$6:$G$1413,'февраль 2024'!$D$6:$D$1413,$B170,'февраль 2024'!$J$6:$J$1413,D$1)</f>
        <v>0</v>
      </c>
      <c r="E170" s="80">
        <f>SUMIFS('февраль 2024'!$G$6:$G$1413,'февраль 2024'!$D$6:$D$1413,$B170,'февраль 2024'!$J$6:$J$1413,E$1)</f>
        <v>0</v>
      </c>
      <c r="F170" s="80">
        <f>SUMIFS('февраль 2024'!$G$6:$G$1413,'февраль 2024'!$D$6:$D$1413,$B170,'февраль 2024'!$J$6:$J$1413,F$1)</f>
        <v>0</v>
      </c>
      <c r="G170" s="80">
        <f>SUMIFS('февраль 2024'!$G$6:$G$1413,'февраль 2024'!$D$6:$D$1413,$B170,'февраль 2024'!$J$6:$J$1413,G$1)</f>
        <v>0</v>
      </c>
      <c r="H170" s="80">
        <f>SUMIFS('февраль 2024'!$G$6:$G$1413,'февраль 2024'!$D$6:$D$1413,$B170,'февраль 2024'!$J$6:$J$1413,H$1)</f>
        <v>0</v>
      </c>
      <c r="I170" s="80">
        <f>SUMIFS('февраль 2024'!$G$6:$G$1413,'февраль 2024'!$D$6:$D$1413,$B170,'февраль 2024'!$J$6:$J$1413,I$1)</f>
        <v>0</v>
      </c>
      <c r="J170" s="80">
        <f>SUMIFS('февраль 2024'!$G$6:$G$1413,'февраль 2024'!$D$6:$D$1413,$B170,'февраль 2024'!$J$6:$J$1413,J$1)</f>
        <v>0</v>
      </c>
      <c r="K170" s="80">
        <f>SUMIFS('февраль 2024'!$G$6:$G$1413,'февраль 2024'!$D$6:$D$1413,$B170,'февраль 2024'!$J$6:$J$1413,K$1)</f>
        <v>0</v>
      </c>
      <c r="L170" s="80">
        <f>SUMIFS('февраль 2024'!$G$6:$G$1413,'февраль 2024'!$D$6:$D$1413,$B170,'февраль 2024'!$J$6:$J$1413,L$1)</f>
        <v>0</v>
      </c>
      <c r="M170" s="80">
        <f>SUMIFS('февраль 2024'!$G$6:$G$1413,'февраль 2024'!$D$6:$D$1413,$B170,'февраль 2024'!$J$6:$J$1413,M$1)</f>
        <v>0</v>
      </c>
      <c r="N170" s="80">
        <f>SUMIFS('февраль 2024'!$G$6:$G$1413,'февраль 2024'!$D$6:$D$1413,$B170,'февраль 2024'!$J$6:$J$1413,N$1)</f>
        <v>0</v>
      </c>
      <c r="O170" s="80">
        <f>SUMIFS('февраль 2024'!$G$6:$G$1413,'февраль 2024'!$D$6:$D$1413,$B170,'февраль 2024'!$J$6:$J$1413,O$1)</f>
        <v>0</v>
      </c>
      <c r="P170" s="80">
        <f>SUMIFS('февраль 2024'!$G$6:$G$1413,'февраль 2024'!$D$6:$D$1413,$B170,'февраль 2024'!$J$6:$J$1413,P$1)</f>
        <v>0</v>
      </c>
      <c r="Q170" s="80">
        <f>SUMIFS('февраль 2024'!$G$6:$G$1413,'февраль 2024'!$D$6:$D$1413,$B170,'февраль 2024'!$J$6:$J$1413,Q$1)</f>
        <v>0</v>
      </c>
      <c r="R170" s="80">
        <f>SUMIFS('февраль 2024'!$G$6:$G$1413,'февраль 2024'!$D$6:$D$1413,$B170,'февраль 2024'!$J$6:$J$1413,R$1)</f>
        <v>0</v>
      </c>
      <c r="S170" s="80">
        <f>SUMIFS('февраль 2024'!$G$6:$G$1413,'февраль 2024'!$D$6:$D$1413,$B170,'февраль 2024'!$J$6:$J$1413,S$1)</f>
        <v>0</v>
      </c>
      <c r="T170" s="80">
        <f>SUMIFS('февраль 2024'!$G$6:$G$1413,'февраль 2024'!$D$6:$D$1413,$B170,'февраль 2024'!$J$6:$J$1413,T$1)</f>
        <v>0</v>
      </c>
      <c r="U170" s="80">
        <f>SUMIFS('февраль 2024'!$G$6:$G$1413,'февраль 2024'!$D$6:$D$1413,$B170,'февраль 2024'!$J$6:$J$1413,U$1)</f>
        <v>0</v>
      </c>
      <c r="V170" s="80">
        <f>SUMIFS('февраль 2024'!$G$6:$G$1413,'февраль 2024'!$D$6:$D$1413,$B170,'февраль 2024'!$J$6:$J$1413,V$1)</f>
        <v>0</v>
      </c>
      <c r="W170" s="80">
        <f>SUMIFS('февраль 2024'!$G$6:$G$1413,'февраль 2024'!$D$6:$D$1413,$B170,'февраль 2024'!$J$6:$J$1413,W$1)</f>
        <v>0</v>
      </c>
      <c r="X170" s="80">
        <f>SUMIFS('февраль 2024'!$G$6:$G$1413,'февраль 2024'!$D$6:$D$1413,$B170,'февраль 2024'!$J$6:$J$1413,X$1)</f>
        <v>0</v>
      </c>
      <c r="Y170" s="80">
        <f>SUMIFS('февраль 2024'!$G$6:$G$1413,'февраль 2024'!$D$6:$D$1413,$B170,'февраль 2024'!$J$6:$J$1413,Y$1)</f>
        <v>0</v>
      </c>
      <c r="Z170" s="80">
        <f>SUMIFS('февраль 2024'!$G$6:$G$1413,'февраль 2024'!$D$6:$D$1413,$B170,'февраль 2024'!$J$6:$J$1413,Z$1)</f>
        <v>0</v>
      </c>
      <c r="AA170" s="80">
        <f>SUMIFS('февраль 2024'!$G$6:$G$1413,'февраль 2024'!$D$6:$D$1413,$B170,'февраль 2024'!$J$6:$J$1413,AA$1)</f>
        <v>0</v>
      </c>
      <c r="AB170" s="80">
        <f>SUMIFS('февраль 2024'!$G$6:$G$1413,'февраль 2024'!$D$6:$D$1413,$B170,'февраль 2024'!$J$6:$J$1413,AB$1)</f>
        <v>0</v>
      </c>
      <c r="AC170" s="80">
        <f>SUMIFS('февраль 2024'!$G$6:$G$1413,'февраль 2024'!$D$6:$D$1413,$B170,'февраль 2024'!$J$6:$J$1413,AC$1)</f>
        <v>0</v>
      </c>
      <c r="AD170" s="80">
        <f>SUMIFS('февраль 2024'!$G$6:$G$1413,'февраль 2024'!$D$6:$D$1413,$B170,'февраль 2024'!$J$6:$J$1413,AD$1)</f>
        <v>0</v>
      </c>
      <c r="AE170" s="80">
        <f>SUMIFS('февраль 2024'!$G$6:$G$1413,'февраль 2024'!$D$6:$D$1413,$B170,'февраль 2024'!$J$6:$J$1413,AE$1)</f>
        <v>0</v>
      </c>
      <c r="AF170" s="80">
        <f>SUMIFS('февраль 2024'!$G$6:$G$1413,'февраль 2024'!$D$6:$D$1413,$B170,'февраль 2024'!$J$6:$J$1413,AF$1)</f>
        <v>0</v>
      </c>
      <c r="AG170" s="80">
        <f>SUMIFS('февраль 2024'!$G$6:$G$1413,'февраль 2024'!$D$6:$D$1413,$B170,'февраль 2024'!$J$6:$J$1413,AG$1)</f>
        <v>0</v>
      </c>
      <c r="AH170" s="80">
        <f>SUMIFS('февраль 2024'!$G$6:$G$1413,'февраль 2024'!$D$6:$D$1413,$B170,'февраль 2024'!$J$6:$J$1413,AH$1)</f>
        <v>0</v>
      </c>
      <c r="AI170" s="87"/>
    </row>
    <row r="171" spans="2:35" ht="15" hidden="1" customHeight="1" x14ac:dyDescent="0.25">
      <c r="B171" s="89"/>
      <c r="C171" s="91"/>
      <c r="D171" s="80">
        <f>SUMIFS('февраль 2024'!$G$6:$G$1413,'февраль 2024'!$D$6:$D$1413,$B171,'февраль 2024'!$J$6:$J$1413,D$1)</f>
        <v>0</v>
      </c>
      <c r="E171" s="80">
        <f>SUMIFS('февраль 2024'!$G$6:$G$1413,'февраль 2024'!$D$6:$D$1413,$B171,'февраль 2024'!$J$6:$J$1413,E$1)</f>
        <v>0</v>
      </c>
      <c r="F171" s="80">
        <f>SUMIFS('февраль 2024'!$G$6:$G$1413,'февраль 2024'!$D$6:$D$1413,$B171,'февраль 2024'!$J$6:$J$1413,F$1)</f>
        <v>0</v>
      </c>
      <c r="G171" s="80">
        <f>SUMIFS('февраль 2024'!$G$6:$G$1413,'февраль 2024'!$D$6:$D$1413,$B171,'февраль 2024'!$J$6:$J$1413,G$1)</f>
        <v>0</v>
      </c>
      <c r="H171" s="80">
        <f>SUMIFS('февраль 2024'!$G$6:$G$1413,'февраль 2024'!$D$6:$D$1413,$B171,'февраль 2024'!$J$6:$J$1413,H$1)</f>
        <v>0</v>
      </c>
      <c r="I171" s="80">
        <f>SUMIFS('февраль 2024'!$G$6:$G$1413,'февраль 2024'!$D$6:$D$1413,$B171,'февраль 2024'!$J$6:$J$1413,I$1)</f>
        <v>0</v>
      </c>
      <c r="J171" s="80">
        <f>SUMIFS('февраль 2024'!$G$6:$G$1413,'февраль 2024'!$D$6:$D$1413,$B171,'февраль 2024'!$J$6:$J$1413,J$1)</f>
        <v>0</v>
      </c>
      <c r="K171" s="80">
        <f>SUMIFS('февраль 2024'!$G$6:$G$1413,'февраль 2024'!$D$6:$D$1413,$B171,'февраль 2024'!$J$6:$J$1413,K$1)</f>
        <v>0</v>
      </c>
      <c r="L171" s="80">
        <f>SUMIFS('февраль 2024'!$G$6:$G$1413,'февраль 2024'!$D$6:$D$1413,$B171,'февраль 2024'!$J$6:$J$1413,L$1)</f>
        <v>0</v>
      </c>
      <c r="M171" s="80">
        <f>SUMIFS('февраль 2024'!$G$6:$G$1413,'февраль 2024'!$D$6:$D$1413,$B171,'февраль 2024'!$J$6:$J$1413,M$1)</f>
        <v>0</v>
      </c>
      <c r="N171" s="80">
        <f>SUMIFS('февраль 2024'!$G$6:$G$1413,'февраль 2024'!$D$6:$D$1413,$B171,'февраль 2024'!$J$6:$J$1413,N$1)</f>
        <v>0</v>
      </c>
      <c r="O171" s="80">
        <f>SUMIFS('февраль 2024'!$G$6:$G$1413,'февраль 2024'!$D$6:$D$1413,$B171,'февраль 2024'!$J$6:$J$1413,O$1)</f>
        <v>0</v>
      </c>
      <c r="P171" s="80">
        <f>SUMIFS('февраль 2024'!$G$6:$G$1413,'февраль 2024'!$D$6:$D$1413,$B171,'февраль 2024'!$J$6:$J$1413,P$1)</f>
        <v>0</v>
      </c>
      <c r="Q171" s="80">
        <f>SUMIFS('февраль 2024'!$G$6:$G$1413,'февраль 2024'!$D$6:$D$1413,$B171,'февраль 2024'!$J$6:$J$1413,Q$1)</f>
        <v>0</v>
      </c>
      <c r="R171" s="80">
        <f>SUMIFS('февраль 2024'!$G$6:$G$1413,'февраль 2024'!$D$6:$D$1413,$B171,'февраль 2024'!$J$6:$J$1413,R$1)</f>
        <v>0</v>
      </c>
      <c r="S171" s="80">
        <f>SUMIFS('февраль 2024'!$G$6:$G$1413,'февраль 2024'!$D$6:$D$1413,$B171,'февраль 2024'!$J$6:$J$1413,S$1)</f>
        <v>0</v>
      </c>
      <c r="T171" s="80">
        <f>SUMIFS('февраль 2024'!$G$6:$G$1413,'февраль 2024'!$D$6:$D$1413,$B171,'февраль 2024'!$J$6:$J$1413,T$1)</f>
        <v>0</v>
      </c>
      <c r="U171" s="80">
        <f>SUMIFS('февраль 2024'!$G$6:$G$1413,'февраль 2024'!$D$6:$D$1413,$B171,'февраль 2024'!$J$6:$J$1413,U$1)</f>
        <v>0</v>
      </c>
      <c r="V171" s="80">
        <f>SUMIFS('февраль 2024'!$G$6:$G$1413,'февраль 2024'!$D$6:$D$1413,$B171,'февраль 2024'!$J$6:$J$1413,V$1)</f>
        <v>0</v>
      </c>
      <c r="W171" s="80">
        <f>SUMIFS('февраль 2024'!$G$6:$G$1413,'февраль 2024'!$D$6:$D$1413,$B171,'февраль 2024'!$J$6:$J$1413,W$1)</f>
        <v>0</v>
      </c>
      <c r="X171" s="80">
        <f>SUMIFS('февраль 2024'!$G$6:$G$1413,'февраль 2024'!$D$6:$D$1413,$B171,'февраль 2024'!$J$6:$J$1413,X$1)</f>
        <v>0</v>
      </c>
      <c r="Y171" s="80">
        <f>SUMIFS('февраль 2024'!$G$6:$G$1413,'февраль 2024'!$D$6:$D$1413,$B171,'февраль 2024'!$J$6:$J$1413,Y$1)</f>
        <v>0</v>
      </c>
      <c r="Z171" s="80">
        <f>SUMIFS('февраль 2024'!$G$6:$G$1413,'февраль 2024'!$D$6:$D$1413,$B171,'февраль 2024'!$J$6:$J$1413,Z$1)</f>
        <v>0</v>
      </c>
      <c r="AA171" s="80">
        <f>SUMIFS('февраль 2024'!$G$6:$G$1413,'февраль 2024'!$D$6:$D$1413,$B171,'февраль 2024'!$J$6:$J$1413,AA$1)</f>
        <v>0</v>
      </c>
      <c r="AB171" s="80">
        <f>SUMIFS('февраль 2024'!$G$6:$G$1413,'февраль 2024'!$D$6:$D$1413,$B171,'февраль 2024'!$J$6:$J$1413,AB$1)</f>
        <v>0</v>
      </c>
      <c r="AC171" s="80">
        <f>SUMIFS('февраль 2024'!$G$6:$G$1413,'февраль 2024'!$D$6:$D$1413,$B171,'февраль 2024'!$J$6:$J$1413,AC$1)</f>
        <v>0</v>
      </c>
      <c r="AD171" s="80">
        <f>SUMIFS('февраль 2024'!$G$6:$G$1413,'февраль 2024'!$D$6:$D$1413,$B171,'февраль 2024'!$J$6:$J$1413,AD$1)</f>
        <v>0</v>
      </c>
      <c r="AE171" s="80">
        <f>SUMIFS('февраль 2024'!$G$6:$G$1413,'февраль 2024'!$D$6:$D$1413,$B171,'февраль 2024'!$J$6:$J$1413,AE$1)</f>
        <v>0</v>
      </c>
      <c r="AF171" s="80">
        <f>SUMIFS('февраль 2024'!$G$6:$G$1413,'февраль 2024'!$D$6:$D$1413,$B171,'февраль 2024'!$J$6:$J$1413,AF$1)</f>
        <v>0</v>
      </c>
      <c r="AG171" s="80">
        <f>SUMIFS('февраль 2024'!$G$6:$G$1413,'февраль 2024'!$D$6:$D$1413,$B171,'февраль 2024'!$J$6:$J$1413,AG$1)</f>
        <v>0</v>
      </c>
      <c r="AH171" s="80">
        <f>SUMIFS('февраль 2024'!$G$6:$G$1413,'февраль 2024'!$D$6:$D$1413,$B171,'февраль 2024'!$J$6:$J$1413,AH$1)</f>
        <v>0</v>
      </c>
      <c r="AI171" s="87"/>
    </row>
    <row r="172" spans="2:35" ht="15" hidden="1" customHeight="1" x14ac:dyDescent="0.25">
      <c r="B172" s="89"/>
      <c r="C172" s="91"/>
      <c r="D172" s="80">
        <f>SUMIFS('февраль 2024'!$G$6:$G$1413,'февраль 2024'!$D$6:$D$1413,$B172,'февраль 2024'!$J$6:$J$1413,D$1)</f>
        <v>0</v>
      </c>
      <c r="E172" s="80">
        <f>SUMIFS('февраль 2024'!$G$6:$G$1413,'февраль 2024'!$D$6:$D$1413,$B172,'февраль 2024'!$J$6:$J$1413,E$1)</f>
        <v>0</v>
      </c>
      <c r="F172" s="80">
        <f>SUMIFS('февраль 2024'!$G$6:$G$1413,'февраль 2024'!$D$6:$D$1413,$B172,'февраль 2024'!$J$6:$J$1413,F$1)</f>
        <v>0</v>
      </c>
      <c r="G172" s="80">
        <f>SUMIFS('февраль 2024'!$G$6:$G$1413,'февраль 2024'!$D$6:$D$1413,$B172,'февраль 2024'!$J$6:$J$1413,G$1)</f>
        <v>0</v>
      </c>
      <c r="H172" s="80">
        <f>SUMIFS('февраль 2024'!$G$6:$G$1413,'февраль 2024'!$D$6:$D$1413,$B172,'февраль 2024'!$J$6:$J$1413,H$1)</f>
        <v>0</v>
      </c>
      <c r="I172" s="80">
        <f>SUMIFS('февраль 2024'!$G$6:$G$1413,'февраль 2024'!$D$6:$D$1413,$B172,'февраль 2024'!$J$6:$J$1413,I$1)</f>
        <v>0</v>
      </c>
      <c r="J172" s="80">
        <f>SUMIFS('февраль 2024'!$G$6:$G$1413,'февраль 2024'!$D$6:$D$1413,$B172,'февраль 2024'!$J$6:$J$1413,J$1)</f>
        <v>0</v>
      </c>
      <c r="K172" s="80">
        <f>SUMIFS('февраль 2024'!$G$6:$G$1413,'февраль 2024'!$D$6:$D$1413,$B172,'февраль 2024'!$J$6:$J$1413,K$1)</f>
        <v>0</v>
      </c>
      <c r="L172" s="80">
        <f>SUMIFS('февраль 2024'!$G$6:$G$1413,'февраль 2024'!$D$6:$D$1413,$B172,'февраль 2024'!$J$6:$J$1413,L$1)</f>
        <v>0</v>
      </c>
      <c r="M172" s="80">
        <f>SUMIFS('февраль 2024'!$G$6:$G$1413,'февраль 2024'!$D$6:$D$1413,$B172,'февраль 2024'!$J$6:$J$1413,M$1)</f>
        <v>0</v>
      </c>
      <c r="N172" s="80">
        <f>SUMIFS('февраль 2024'!$G$6:$G$1413,'февраль 2024'!$D$6:$D$1413,$B172,'февраль 2024'!$J$6:$J$1413,N$1)</f>
        <v>0</v>
      </c>
      <c r="O172" s="80">
        <f>SUMIFS('февраль 2024'!$G$6:$G$1413,'февраль 2024'!$D$6:$D$1413,$B172,'февраль 2024'!$J$6:$J$1413,O$1)</f>
        <v>0</v>
      </c>
      <c r="P172" s="80">
        <f>SUMIFS('февраль 2024'!$G$6:$G$1413,'февраль 2024'!$D$6:$D$1413,$B172,'февраль 2024'!$J$6:$J$1413,P$1)</f>
        <v>0</v>
      </c>
      <c r="Q172" s="80">
        <f>SUMIFS('февраль 2024'!$G$6:$G$1413,'февраль 2024'!$D$6:$D$1413,$B172,'февраль 2024'!$J$6:$J$1413,Q$1)</f>
        <v>0</v>
      </c>
      <c r="R172" s="80">
        <f>SUMIFS('февраль 2024'!$G$6:$G$1413,'февраль 2024'!$D$6:$D$1413,$B172,'февраль 2024'!$J$6:$J$1413,R$1)</f>
        <v>0</v>
      </c>
      <c r="S172" s="80">
        <f>SUMIFS('февраль 2024'!$G$6:$G$1413,'февраль 2024'!$D$6:$D$1413,$B172,'февраль 2024'!$J$6:$J$1413,S$1)</f>
        <v>0</v>
      </c>
      <c r="T172" s="80">
        <f>SUMIFS('февраль 2024'!$G$6:$G$1413,'февраль 2024'!$D$6:$D$1413,$B172,'февраль 2024'!$J$6:$J$1413,T$1)</f>
        <v>0</v>
      </c>
      <c r="U172" s="80">
        <f>SUMIFS('февраль 2024'!$G$6:$G$1413,'февраль 2024'!$D$6:$D$1413,$B172,'февраль 2024'!$J$6:$J$1413,U$1)</f>
        <v>0</v>
      </c>
      <c r="V172" s="80">
        <f>SUMIFS('февраль 2024'!$G$6:$G$1413,'февраль 2024'!$D$6:$D$1413,$B172,'февраль 2024'!$J$6:$J$1413,V$1)</f>
        <v>0</v>
      </c>
      <c r="W172" s="80">
        <f>SUMIFS('февраль 2024'!$G$6:$G$1413,'февраль 2024'!$D$6:$D$1413,$B172,'февраль 2024'!$J$6:$J$1413,W$1)</f>
        <v>0</v>
      </c>
      <c r="X172" s="80">
        <f>SUMIFS('февраль 2024'!$G$6:$G$1413,'февраль 2024'!$D$6:$D$1413,$B172,'февраль 2024'!$J$6:$J$1413,X$1)</f>
        <v>0</v>
      </c>
      <c r="Y172" s="80">
        <f>SUMIFS('февраль 2024'!$G$6:$G$1413,'февраль 2024'!$D$6:$D$1413,$B172,'февраль 2024'!$J$6:$J$1413,Y$1)</f>
        <v>0</v>
      </c>
      <c r="Z172" s="80">
        <f>SUMIFS('февраль 2024'!$G$6:$G$1413,'февраль 2024'!$D$6:$D$1413,$B172,'февраль 2024'!$J$6:$J$1413,Z$1)</f>
        <v>0</v>
      </c>
      <c r="AA172" s="80">
        <f>SUMIFS('февраль 2024'!$G$6:$G$1413,'февраль 2024'!$D$6:$D$1413,$B172,'февраль 2024'!$J$6:$J$1413,AA$1)</f>
        <v>0</v>
      </c>
      <c r="AB172" s="80">
        <f>SUMIFS('февраль 2024'!$G$6:$G$1413,'февраль 2024'!$D$6:$D$1413,$B172,'февраль 2024'!$J$6:$J$1413,AB$1)</f>
        <v>0</v>
      </c>
      <c r="AC172" s="80">
        <f>SUMIFS('февраль 2024'!$G$6:$G$1413,'февраль 2024'!$D$6:$D$1413,$B172,'февраль 2024'!$J$6:$J$1413,AC$1)</f>
        <v>0</v>
      </c>
      <c r="AD172" s="80">
        <f>SUMIFS('февраль 2024'!$G$6:$G$1413,'февраль 2024'!$D$6:$D$1413,$B172,'февраль 2024'!$J$6:$J$1413,AD$1)</f>
        <v>0</v>
      </c>
      <c r="AE172" s="80">
        <f>SUMIFS('февраль 2024'!$G$6:$G$1413,'февраль 2024'!$D$6:$D$1413,$B172,'февраль 2024'!$J$6:$J$1413,AE$1)</f>
        <v>0</v>
      </c>
      <c r="AF172" s="80">
        <f>SUMIFS('февраль 2024'!$G$6:$G$1413,'февраль 2024'!$D$6:$D$1413,$B172,'февраль 2024'!$J$6:$J$1413,AF$1)</f>
        <v>0</v>
      </c>
      <c r="AG172" s="80">
        <f>SUMIFS('февраль 2024'!$G$6:$G$1413,'февраль 2024'!$D$6:$D$1413,$B172,'февраль 2024'!$J$6:$J$1413,AG$1)</f>
        <v>0</v>
      </c>
      <c r="AH172" s="80">
        <f>SUMIFS('февраль 2024'!$G$6:$G$1413,'февраль 2024'!$D$6:$D$1413,$B172,'февраль 2024'!$J$6:$J$1413,AH$1)</f>
        <v>0</v>
      </c>
      <c r="AI172" s="87"/>
    </row>
    <row r="173" spans="2:35" ht="15" hidden="1" customHeight="1" x14ac:dyDescent="0.25">
      <c r="B173" s="89"/>
      <c r="C173" s="91"/>
      <c r="D173" s="80">
        <f>SUMIFS('февраль 2024'!$G$6:$G$1413,'февраль 2024'!$D$6:$D$1413,$B173,'февраль 2024'!$J$6:$J$1413,D$1)</f>
        <v>0</v>
      </c>
      <c r="E173" s="80">
        <f>SUMIFS('февраль 2024'!$G$6:$G$1413,'февраль 2024'!$D$6:$D$1413,$B173,'февраль 2024'!$J$6:$J$1413,E$1)</f>
        <v>0</v>
      </c>
      <c r="F173" s="80">
        <f>SUMIFS('февраль 2024'!$G$6:$G$1413,'февраль 2024'!$D$6:$D$1413,$B173,'февраль 2024'!$J$6:$J$1413,F$1)</f>
        <v>0</v>
      </c>
      <c r="G173" s="80">
        <f>SUMIFS('февраль 2024'!$G$6:$G$1413,'февраль 2024'!$D$6:$D$1413,$B173,'февраль 2024'!$J$6:$J$1413,G$1)</f>
        <v>0</v>
      </c>
      <c r="H173" s="80">
        <f>SUMIFS('февраль 2024'!$G$6:$G$1413,'февраль 2024'!$D$6:$D$1413,$B173,'февраль 2024'!$J$6:$J$1413,H$1)</f>
        <v>0</v>
      </c>
      <c r="I173" s="80">
        <f>SUMIFS('февраль 2024'!$G$6:$G$1413,'февраль 2024'!$D$6:$D$1413,$B173,'февраль 2024'!$J$6:$J$1413,I$1)</f>
        <v>0</v>
      </c>
      <c r="J173" s="80">
        <f>SUMIFS('февраль 2024'!$G$6:$G$1413,'февраль 2024'!$D$6:$D$1413,$B173,'февраль 2024'!$J$6:$J$1413,J$1)</f>
        <v>0</v>
      </c>
      <c r="K173" s="80">
        <f>SUMIFS('февраль 2024'!$G$6:$G$1413,'февраль 2024'!$D$6:$D$1413,$B173,'февраль 2024'!$J$6:$J$1413,K$1)</f>
        <v>0</v>
      </c>
      <c r="L173" s="80">
        <f>SUMIFS('февраль 2024'!$G$6:$G$1413,'февраль 2024'!$D$6:$D$1413,$B173,'февраль 2024'!$J$6:$J$1413,L$1)</f>
        <v>0</v>
      </c>
      <c r="M173" s="80">
        <f>SUMIFS('февраль 2024'!$G$6:$G$1413,'февраль 2024'!$D$6:$D$1413,$B173,'февраль 2024'!$J$6:$J$1413,M$1)</f>
        <v>0</v>
      </c>
      <c r="N173" s="80">
        <f>SUMIFS('февраль 2024'!$G$6:$G$1413,'февраль 2024'!$D$6:$D$1413,$B173,'февраль 2024'!$J$6:$J$1413,N$1)</f>
        <v>0</v>
      </c>
      <c r="O173" s="80">
        <f>SUMIFS('февраль 2024'!$G$6:$G$1413,'февраль 2024'!$D$6:$D$1413,$B173,'февраль 2024'!$J$6:$J$1413,O$1)</f>
        <v>0</v>
      </c>
      <c r="P173" s="80">
        <f>SUMIFS('февраль 2024'!$G$6:$G$1413,'февраль 2024'!$D$6:$D$1413,$B173,'февраль 2024'!$J$6:$J$1413,P$1)</f>
        <v>0</v>
      </c>
      <c r="Q173" s="80">
        <f>SUMIFS('февраль 2024'!$G$6:$G$1413,'февраль 2024'!$D$6:$D$1413,$B173,'февраль 2024'!$J$6:$J$1413,Q$1)</f>
        <v>0</v>
      </c>
      <c r="R173" s="80">
        <f>SUMIFS('февраль 2024'!$G$6:$G$1413,'февраль 2024'!$D$6:$D$1413,$B173,'февраль 2024'!$J$6:$J$1413,R$1)</f>
        <v>0</v>
      </c>
      <c r="S173" s="80">
        <f>SUMIFS('февраль 2024'!$G$6:$G$1413,'февраль 2024'!$D$6:$D$1413,$B173,'февраль 2024'!$J$6:$J$1413,S$1)</f>
        <v>0</v>
      </c>
      <c r="T173" s="80">
        <f>SUMIFS('февраль 2024'!$G$6:$G$1413,'февраль 2024'!$D$6:$D$1413,$B173,'февраль 2024'!$J$6:$J$1413,T$1)</f>
        <v>0</v>
      </c>
      <c r="U173" s="80">
        <f>SUMIFS('февраль 2024'!$G$6:$G$1413,'февраль 2024'!$D$6:$D$1413,$B173,'февраль 2024'!$J$6:$J$1413,U$1)</f>
        <v>0</v>
      </c>
      <c r="V173" s="80">
        <f>SUMIFS('февраль 2024'!$G$6:$G$1413,'февраль 2024'!$D$6:$D$1413,$B173,'февраль 2024'!$J$6:$J$1413,V$1)</f>
        <v>0</v>
      </c>
      <c r="W173" s="80">
        <f>SUMIFS('февраль 2024'!$G$6:$G$1413,'февраль 2024'!$D$6:$D$1413,$B173,'февраль 2024'!$J$6:$J$1413,W$1)</f>
        <v>0</v>
      </c>
      <c r="X173" s="80">
        <f>SUMIFS('февраль 2024'!$G$6:$G$1413,'февраль 2024'!$D$6:$D$1413,$B173,'февраль 2024'!$J$6:$J$1413,X$1)</f>
        <v>0</v>
      </c>
      <c r="Y173" s="80">
        <f>SUMIFS('февраль 2024'!$G$6:$G$1413,'февраль 2024'!$D$6:$D$1413,$B173,'февраль 2024'!$J$6:$J$1413,Y$1)</f>
        <v>0</v>
      </c>
      <c r="Z173" s="80">
        <f>SUMIFS('февраль 2024'!$G$6:$G$1413,'февраль 2024'!$D$6:$D$1413,$B173,'февраль 2024'!$J$6:$J$1413,Z$1)</f>
        <v>0</v>
      </c>
      <c r="AA173" s="80">
        <f>SUMIFS('февраль 2024'!$G$6:$G$1413,'февраль 2024'!$D$6:$D$1413,$B173,'февраль 2024'!$J$6:$J$1413,AA$1)</f>
        <v>0</v>
      </c>
      <c r="AB173" s="80">
        <f>SUMIFS('февраль 2024'!$G$6:$G$1413,'февраль 2024'!$D$6:$D$1413,$B173,'февраль 2024'!$J$6:$J$1413,AB$1)</f>
        <v>0</v>
      </c>
      <c r="AC173" s="80">
        <f>SUMIFS('февраль 2024'!$G$6:$G$1413,'февраль 2024'!$D$6:$D$1413,$B173,'февраль 2024'!$J$6:$J$1413,AC$1)</f>
        <v>0</v>
      </c>
      <c r="AD173" s="80">
        <f>SUMIFS('февраль 2024'!$G$6:$G$1413,'февраль 2024'!$D$6:$D$1413,$B173,'февраль 2024'!$J$6:$J$1413,AD$1)</f>
        <v>0</v>
      </c>
      <c r="AE173" s="80">
        <f>SUMIFS('февраль 2024'!$G$6:$G$1413,'февраль 2024'!$D$6:$D$1413,$B173,'февраль 2024'!$J$6:$J$1413,AE$1)</f>
        <v>0</v>
      </c>
      <c r="AF173" s="80">
        <f>SUMIFS('февраль 2024'!$G$6:$G$1413,'февраль 2024'!$D$6:$D$1413,$B173,'февраль 2024'!$J$6:$J$1413,AF$1)</f>
        <v>0</v>
      </c>
      <c r="AG173" s="80">
        <f>SUMIFS('февраль 2024'!$G$6:$G$1413,'февраль 2024'!$D$6:$D$1413,$B173,'февраль 2024'!$J$6:$J$1413,AG$1)</f>
        <v>0</v>
      </c>
      <c r="AH173" s="80">
        <f>SUMIFS('февраль 2024'!$G$6:$G$1413,'февраль 2024'!$D$6:$D$1413,$B173,'февраль 2024'!$J$6:$J$1413,AH$1)</f>
        <v>0</v>
      </c>
      <c r="AI173" s="87"/>
    </row>
    <row r="174" spans="2:35" ht="15" hidden="1" customHeight="1" x14ac:dyDescent="0.25">
      <c r="B174" s="89"/>
      <c r="C174" s="91"/>
      <c r="D174" s="80">
        <f>SUMIFS('февраль 2024'!$G$6:$G$1413,'февраль 2024'!$D$6:$D$1413,$B174,'февраль 2024'!$J$6:$J$1413,D$1)</f>
        <v>0</v>
      </c>
      <c r="E174" s="80">
        <f>SUMIFS('февраль 2024'!$G$6:$G$1413,'февраль 2024'!$D$6:$D$1413,$B174,'февраль 2024'!$J$6:$J$1413,E$1)</f>
        <v>0</v>
      </c>
      <c r="F174" s="80">
        <f>SUMIFS('февраль 2024'!$G$6:$G$1413,'февраль 2024'!$D$6:$D$1413,$B174,'февраль 2024'!$J$6:$J$1413,F$1)</f>
        <v>0</v>
      </c>
      <c r="G174" s="80">
        <f>SUMIFS('февраль 2024'!$G$6:$G$1413,'февраль 2024'!$D$6:$D$1413,$B174,'февраль 2024'!$J$6:$J$1413,G$1)</f>
        <v>0</v>
      </c>
      <c r="H174" s="80">
        <f>SUMIFS('февраль 2024'!$G$6:$G$1413,'февраль 2024'!$D$6:$D$1413,$B174,'февраль 2024'!$J$6:$J$1413,H$1)</f>
        <v>0</v>
      </c>
      <c r="I174" s="80">
        <f>SUMIFS('февраль 2024'!$G$6:$G$1413,'февраль 2024'!$D$6:$D$1413,$B174,'февраль 2024'!$J$6:$J$1413,I$1)</f>
        <v>0</v>
      </c>
      <c r="J174" s="80">
        <f>SUMIFS('февраль 2024'!$G$6:$G$1413,'февраль 2024'!$D$6:$D$1413,$B174,'февраль 2024'!$J$6:$J$1413,J$1)</f>
        <v>0</v>
      </c>
      <c r="K174" s="80">
        <f>SUMIFS('февраль 2024'!$G$6:$G$1413,'февраль 2024'!$D$6:$D$1413,$B174,'февраль 2024'!$J$6:$J$1413,K$1)</f>
        <v>0</v>
      </c>
      <c r="L174" s="80">
        <f>SUMIFS('февраль 2024'!$G$6:$G$1413,'февраль 2024'!$D$6:$D$1413,$B174,'февраль 2024'!$J$6:$J$1413,L$1)</f>
        <v>0</v>
      </c>
      <c r="M174" s="80">
        <f>SUMIFS('февраль 2024'!$G$6:$G$1413,'февраль 2024'!$D$6:$D$1413,$B174,'февраль 2024'!$J$6:$J$1413,M$1)</f>
        <v>0</v>
      </c>
      <c r="N174" s="80">
        <f>SUMIFS('февраль 2024'!$G$6:$G$1413,'февраль 2024'!$D$6:$D$1413,$B174,'февраль 2024'!$J$6:$J$1413,N$1)</f>
        <v>0</v>
      </c>
      <c r="O174" s="80">
        <f>SUMIFS('февраль 2024'!$G$6:$G$1413,'февраль 2024'!$D$6:$D$1413,$B174,'февраль 2024'!$J$6:$J$1413,O$1)</f>
        <v>0</v>
      </c>
      <c r="P174" s="80">
        <f>SUMIFS('февраль 2024'!$G$6:$G$1413,'февраль 2024'!$D$6:$D$1413,$B174,'февраль 2024'!$J$6:$J$1413,P$1)</f>
        <v>0</v>
      </c>
      <c r="Q174" s="80">
        <f>SUMIFS('февраль 2024'!$G$6:$G$1413,'февраль 2024'!$D$6:$D$1413,$B174,'февраль 2024'!$J$6:$J$1413,Q$1)</f>
        <v>0</v>
      </c>
      <c r="R174" s="80">
        <f>SUMIFS('февраль 2024'!$G$6:$G$1413,'февраль 2024'!$D$6:$D$1413,$B174,'февраль 2024'!$J$6:$J$1413,R$1)</f>
        <v>0</v>
      </c>
      <c r="S174" s="80">
        <f>SUMIFS('февраль 2024'!$G$6:$G$1413,'февраль 2024'!$D$6:$D$1413,$B174,'февраль 2024'!$J$6:$J$1413,S$1)</f>
        <v>0</v>
      </c>
      <c r="T174" s="80">
        <f>SUMIFS('февраль 2024'!$G$6:$G$1413,'февраль 2024'!$D$6:$D$1413,$B174,'февраль 2024'!$J$6:$J$1413,T$1)</f>
        <v>0</v>
      </c>
      <c r="U174" s="80">
        <f>SUMIFS('февраль 2024'!$G$6:$G$1413,'февраль 2024'!$D$6:$D$1413,$B174,'февраль 2024'!$J$6:$J$1413,U$1)</f>
        <v>0</v>
      </c>
      <c r="V174" s="80">
        <f>SUMIFS('февраль 2024'!$G$6:$G$1413,'февраль 2024'!$D$6:$D$1413,$B174,'февраль 2024'!$J$6:$J$1413,V$1)</f>
        <v>0</v>
      </c>
      <c r="W174" s="80">
        <f>SUMIFS('февраль 2024'!$G$6:$G$1413,'февраль 2024'!$D$6:$D$1413,$B174,'февраль 2024'!$J$6:$J$1413,W$1)</f>
        <v>0</v>
      </c>
      <c r="X174" s="80">
        <f>SUMIFS('февраль 2024'!$G$6:$G$1413,'февраль 2024'!$D$6:$D$1413,$B174,'февраль 2024'!$J$6:$J$1413,X$1)</f>
        <v>0</v>
      </c>
      <c r="Y174" s="80">
        <f>SUMIFS('февраль 2024'!$G$6:$G$1413,'февраль 2024'!$D$6:$D$1413,$B174,'февраль 2024'!$J$6:$J$1413,Y$1)</f>
        <v>0</v>
      </c>
      <c r="Z174" s="80">
        <f>SUMIFS('февраль 2024'!$G$6:$G$1413,'февраль 2024'!$D$6:$D$1413,$B174,'февраль 2024'!$J$6:$J$1413,Z$1)</f>
        <v>0</v>
      </c>
      <c r="AA174" s="80">
        <f>SUMIFS('февраль 2024'!$G$6:$G$1413,'февраль 2024'!$D$6:$D$1413,$B174,'февраль 2024'!$J$6:$J$1413,AA$1)</f>
        <v>0</v>
      </c>
      <c r="AB174" s="80">
        <f>SUMIFS('февраль 2024'!$G$6:$G$1413,'февраль 2024'!$D$6:$D$1413,$B174,'февраль 2024'!$J$6:$J$1413,AB$1)</f>
        <v>0</v>
      </c>
      <c r="AC174" s="80">
        <f>SUMIFS('февраль 2024'!$G$6:$G$1413,'февраль 2024'!$D$6:$D$1413,$B174,'февраль 2024'!$J$6:$J$1413,AC$1)</f>
        <v>0</v>
      </c>
      <c r="AD174" s="80">
        <f>SUMIFS('февраль 2024'!$G$6:$G$1413,'февраль 2024'!$D$6:$D$1413,$B174,'февраль 2024'!$J$6:$J$1413,AD$1)</f>
        <v>0</v>
      </c>
      <c r="AE174" s="80">
        <f>SUMIFS('февраль 2024'!$G$6:$G$1413,'февраль 2024'!$D$6:$D$1413,$B174,'февраль 2024'!$J$6:$J$1413,AE$1)</f>
        <v>0</v>
      </c>
      <c r="AF174" s="80">
        <f>SUMIFS('февраль 2024'!$G$6:$G$1413,'февраль 2024'!$D$6:$D$1413,$B174,'февраль 2024'!$J$6:$J$1413,AF$1)</f>
        <v>0</v>
      </c>
      <c r="AG174" s="80">
        <f>SUMIFS('февраль 2024'!$G$6:$G$1413,'февраль 2024'!$D$6:$D$1413,$B174,'февраль 2024'!$J$6:$J$1413,AG$1)</f>
        <v>0</v>
      </c>
      <c r="AH174" s="80">
        <f>SUMIFS('февраль 2024'!$G$6:$G$1413,'февраль 2024'!$D$6:$D$1413,$B174,'февраль 2024'!$J$6:$J$1413,AH$1)</f>
        <v>0</v>
      </c>
      <c r="AI174" s="87"/>
    </row>
    <row r="175" spans="2:35" ht="15" hidden="1" customHeight="1" x14ac:dyDescent="0.25">
      <c r="B175" s="89"/>
      <c r="C175" s="91"/>
      <c r="D175" s="80">
        <f>SUMIFS('февраль 2024'!$G$6:$G$1413,'февраль 2024'!$D$6:$D$1413,$B175,'февраль 2024'!$J$6:$J$1413,D$1)</f>
        <v>0</v>
      </c>
      <c r="E175" s="80">
        <f>SUMIFS('февраль 2024'!$G$6:$G$1413,'февраль 2024'!$D$6:$D$1413,$B175,'февраль 2024'!$J$6:$J$1413,E$1)</f>
        <v>0</v>
      </c>
      <c r="F175" s="80">
        <f>SUMIFS('февраль 2024'!$G$6:$G$1413,'февраль 2024'!$D$6:$D$1413,$B175,'февраль 2024'!$J$6:$J$1413,F$1)</f>
        <v>0</v>
      </c>
      <c r="G175" s="80">
        <f>SUMIFS('февраль 2024'!$G$6:$G$1413,'февраль 2024'!$D$6:$D$1413,$B175,'февраль 2024'!$J$6:$J$1413,G$1)</f>
        <v>0</v>
      </c>
      <c r="H175" s="80">
        <f>SUMIFS('февраль 2024'!$G$6:$G$1413,'февраль 2024'!$D$6:$D$1413,$B175,'февраль 2024'!$J$6:$J$1413,H$1)</f>
        <v>0</v>
      </c>
      <c r="I175" s="80">
        <f>SUMIFS('февраль 2024'!$G$6:$G$1413,'февраль 2024'!$D$6:$D$1413,$B175,'февраль 2024'!$J$6:$J$1413,I$1)</f>
        <v>0</v>
      </c>
      <c r="J175" s="80">
        <f>SUMIFS('февраль 2024'!$G$6:$G$1413,'февраль 2024'!$D$6:$D$1413,$B175,'февраль 2024'!$J$6:$J$1413,J$1)</f>
        <v>0</v>
      </c>
      <c r="K175" s="80">
        <f>SUMIFS('февраль 2024'!$G$6:$G$1413,'февраль 2024'!$D$6:$D$1413,$B175,'февраль 2024'!$J$6:$J$1413,K$1)</f>
        <v>0</v>
      </c>
      <c r="L175" s="80">
        <f>SUMIFS('февраль 2024'!$G$6:$G$1413,'февраль 2024'!$D$6:$D$1413,$B175,'февраль 2024'!$J$6:$J$1413,L$1)</f>
        <v>0</v>
      </c>
      <c r="M175" s="80">
        <f>SUMIFS('февраль 2024'!$G$6:$G$1413,'февраль 2024'!$D$6:$D$1413,$B175,'февраль 2024'!$J$6:$J$1413,M$1)</f>
        <v>0</v>
      </c>
      <c r="N175" s="80">
        <f>SUMIFS('февраль 2024'!$G$6:$G$1413,'февраль 2024'!$D$6:$D$1413,$B175,'февраль 2024'!$J$6:$J$1413,N$1)</f>
        <v>0</v>
      </c>
      <c r="O175" s="80">
        <f>SUMIFS('февраль 2024'!$G$6:$G$1413,'февраль 2024'!$D$6:$D$1413,$B175,'февраль 2024'!$J$6:$J$1413,O$1)</f>
        <v>0</v>
      </c>
      <c r="P175" s="80">
        <f>SUMIFS('февраль 2024'!$G$6:$G$1413,'февраль 2024'!$D$6:$D$1413,$B175,'февраль 2024'!$J$6:$J$1413,P$1)</f>
        <v>0</v>
      </c>
      <c r="Q175" s="80">
        <f>SUMIFS('февраль 2024'!$G$6:$G$1413,'февраль 2024'!$D$6:$D$1413,$B175,'февраль 2024'!$J$6:$J$1413,Q$1)</f>
        <v>0</v>
      </c>
      <c r="R175" s="80">
        <f>SUMIFS('февраль 2024'!$G$6:$G$1413,'февраль 2024'!$D$6:$D$1413,$B175,'февраль 2024'!$J$6:$J$1413,R$1)</f>
        <v>0</v>
      </c>
      <c r="S175" s="80">
        <f>SUMIFS('февраль 2024'!$G$6:$G$1413,'февраль 2024'!$D$6:$D$1413,$B175,'февраль 2024'!$J$6:$J$1413,S$1)</f>
        <v>0</v>
      </c>
      <c r="T175" s="80">
        <f>SUMIFS('февраль 2024'!$G$6:$G$1413,'февраль 2024'!$D$6:$D$1413,$B175,'февраль 2024'!$J$6:$J$1413,T$1)</f>
        <v>0</v>
      </c>
      <c r="U175" s="80">
        <f>SUMIFS('февраль 2024'!$G$6:$G$1413,'февраль 2024'!$D$6:$D$1413,$B175,'февраль 2024'!$J$6:$J$1413,U$1)</f>
        <v>0</v>
      </c>
      <c r="V175" s="80">
        <f>SUMIFS('февраль 2024'!$G$6:$G$1413,'февраль 2024'!$D$6:$D$1413,$B175,'февраль 2024'!$J$6:$J$1413,V$1)</f>
        <v>0</v>
      </c>
      <c r="W175" s="80">
        <f>SUMIFS('февраль 2024'!$G$6:$G$1413,'февраль 2024'!$D$6:$D$1413,$B175,'февраль 2024'!$J$6:$J$1413,W$1)</f>
        <v>0</v>
      </c>
      <c r="X175" s="80">
        <f>SUMIFS('февраль 2024'!$G$6:$G$1413,'февраль 2024'!$D$6:$D$1413,$B175,'февраль 2024'!$J$6:$J$1413,X$1)</f>
        <v>0</v>
      </c>
      <c r="Y175" s="80">
        <f>SUMIFS('февраль 2024'!$G$6:$G$1413,'февраль 2024'!$D$6:$D$1413,$B175,'февраль 2024'!$J$6:$J$1413,Y$1)</f>
        <v>0</v>
      </c>
      <c r="Z175" s="80">
        <f>SUMIFS('февраль 2024'!$G$6:$G$1413,'февраль 2024'!$D$6:$D$1413,$B175,'февраль 2024'!$J$6:$J$1413,Z$1)</f>
        <v>0</v>
      </c>
      <c r="AA175" s="80">
        <f>SUMIFS('февраль 2024'!$G$6:$G$1413,'февраль 2024'!$D$6:$D$1413,$B175,'февраль 2024'!$J$6:$J$1413,AA$1)</f>
        <v>0</v>
      </c>
      <c r="AB175" s="80">
        <f>SUMIFS('февраль 2024'!$G$6:$G$1413,'февраль 2024'!$D$6:$D$1413,$B175,'февраль 2024'!$J$6:$J$1413,AB$1)</f>
        <v>0</v>
      </c>
      <c r="AC175" s="80">
        <f>SUMIFS('февраль 2024'!$G$6:$G$1413,'февраль 2024'!$D$6:$D$1413,$B175,'февраль 2024'!$J$6:$J$1413,AC$1)</f>
        <v>0</v>
      </c>
      <c r="AD175" s="80">
        <f>SUMIFS('февраль 2024'!$G$6:$G$1413,'февраль 2024'!$D$6:$D$1413,$B175,'февраль 2024'!$J$6:$J$1413,AD$1)</f>
        <v>0</v>
      </c>
      <c r="AE175" s="80">
        <f>SUMIFS('февраль 2024'!$G$6:$G$1413,'февраль 2024'!$D$6:$D$1413,$B175,'февраль 2024'!$J$6:$J$1413,AE$1)</f>
        <v>0</v>
      </c>
      <c r="AF175" s="80">
        <f>SUMIFS('февраль 2024'!$G$6:$G$1413,'февраль 2024'!$D$6:$D$1413,$B175,'февраль 2024'!$J$6:$J$1413,AF$1)</f>
        <v>0</v>
      </c>
      <c r="AG175" s="80">
        <f>SUMIFS('февраль 2024'!$G$6:$G$1413,'февраль 2024'!$D$6:$D$1413,$B175,'февраль 2024'!$J$6:$J$1413,AG$1)</f>
        <v>0</v>
      </c>
      <c r="AH175" s="80">
        <f>SUMIFS('февраль 2024'!$G$6:$G$1413,'февраль 2024'!$D$6:$D$1413,$B175,'февраль 2024'!$J$6:$J$1413,AH$1)</f>
        <v>0</v>
      </c>
      <c r="AI175" s="87"/>
    </row>
    <row r="176" spans="2:35" ht="15" hidden="1" customHeight="1" x14ac:dyDescent="0.25">
      <c r="B176" s="89"/>
      <c r="C176" s="88"/>
      <c r="D176" s="80">
        <f>SUMIFS('февраль 2024'!$G$6:$G$1413,'февраль 2024'!$D$6:$D$1413,$B176,'февраль 2024'!$J$6:$J$1413,D$1)</f>
        <v>0</v>
      </c>
      <c r="E176" s="80">
        <f>SUMIFS('февраль 2024'!$G$6:$G$1413,'февраль 2024'!$D$6:$D$1413,$B176,'февраль 2024'!$J$6:$J$1413,E$1)</f>
        <v>0</v>
      </c>
      <c r="F176" s="80">
        <f>SUMIFS('февраль 2024'!$G$6:$G$1413,'февраль 2024'!$D$6:$D$1413,$B176,'февраль 2024'!$J$6:$J$1413,F$1)</f>
        <v>0</v>
      </c>
      <c r="G176" s="80">
        <f>SUMIFS('февраль 2024'!$G$6:$G$1413,'февраль 2024'!$D$6:$D$1413,$B176,'февраль 2024'!$J$6:$J$1413,G$1)</f>
        <v>0</v>
      </c>
      <c r="H176" s="80">
        <f>SUMIFS('февраль 2024'!$G$6:$G$1413,'февраль 2024'!$D$6:$D$1413,$B176,'февраль 2024'!$J$6:$J$1413,H$1)</f>
        <v>0</v>
      </c>
      <c r="I176" s="80">
        <f>SUMIFS('февраль 2024'!$G$6:$G$1413,'февраль 2024'!$D$6:$D$1413,$B176,'февраль 2024'!$J$6:$J$1413,I$1)</f>
        <v>0</v>
      </c>
      <c r="J176" s="80">
        <f>SUMIFS('февраль 2024'!$G$6:$G$1413,'февраль 2024'!$D$6:$D$1413,$B176,'февраль 2024'!$J$6:$J$1413,J$1)</f>
        <v>0</v>
      </c>
      <c r="K176" s="80">
        <f>SUMIFS('февраль 2024'!$G$6:$G$1413,'февраль 2024'!$D$6:$D$1413,$B176,'февраль 2024'!$J$6:$J$1413,K$1)</f>
        <v>0</v>
      </c>
      <c r="L176" s="80">
        <f>SUMIFS('февраль 2024'!$G$6:$G$1413,'февраль 2024'!$D$6:$D$1413,$B176,'февраль 2024'!$J$6:$J$1413,L$1)</f>
        <v>0</v>
      </c>
      <c r="M176" s="80">
        <f>SUMIFS('февраль 2024'!$G$6:$G$1413,'февраль 2024'!$D$6:$D$1413,$B176,'февраль 2024'!$J$6:$J$1413,M$1)</f>
        <v>0</v>
      </c>
      <c r="N176" s="80">
        <f>SUMIFS('февраль 2024'!$G$6:$G$1413,'февраль 2024'!$D$6:$D$1413,$B176,'февраль 2024'!$J$6:$J$1413,N$1)</f>
        <v>0</v>
      </c>
      <c r="O176" s="80">
        <f>SUMIFS('февраль 2024'!$G$6:$G$1413,'февраль 2024'!$D$6:$D$1413,$B176,'февраль 2024'!$J$6:$J$1413,O$1)</f>
        <v>0</v>
      </c>
      <c r="P176" s="80">
        <f>SUMIFS('февраль 2024'!$G$6:$G$1413,'февраль 2024'!$D$6:$D$1413,$B176,'февраль 2024'!$J$6:$J$1413,P$1)</f>
        <v>0</v>
      </c>
      <c r="Q176" s="80">
        <f>SUMIFS('февраль 2024'!$G$6:$G$1413,'февраль 2024'!$D$6:$D$1413,$B176,'февраль 2024'!$J$6:$J$1413,Q$1)</f>
        <v>0</v>
      </c>
      <c r="R176" s="80">
        <f>SUMIFS('февраль 2024'!$G$6:$G$1413,'февраль 2024'!$D$6:$D$1413,$B176,'февраль 2024'!$J$6:$J$1413,R$1)</f>
        <v>0</v>
      </c>
      <c r="S176" s="80">
        <f>SUMIFS('февраль 2024'!$G$6:$G$1413,'февраль 2024'!$D$6:$D$1413,$B176,'февраль 2024'!$J$6:$J$1413,S$1)</f>
        <v>0</v>
      </c>
      <c r="T176" s="80">
        <f>SUMIFS('февраль 2024'!$G$6:$G$1413,'февраль 2024'!$D$6:$D$1413,$B176,'февраль 2024'!$J$6:$J$1413,T$1)</f>
        <v>0</v>
      </c>
      <c r="U176" s="80">
        <f>SUMIFS('февраль 2024'!$G$6:$G$1413,'февраль 2024'!$D$6:$D$1413,$B176,'февраль 2024'!$J$6:$J$1413,U$1)</f>
        <v>0</v>
      </c>
      <c r="V176" s="80">
        <f>SUMIFS('февраль 2024'!$G$6:$G$1413,'февраль 2024'!$D$6:$D$1413,$B176,'февраль 2024'!$J$6:$J$1413,V$1)</f>
        <v>0</v>
      </c>
      <c r="W176" s="80">
        <f>SUMIFS('февраль 2024'!$G$6:$G$1413,'февраль 2024'!$D$6:$D$1413,$B176,'февраль 2024'!$J$6:$J$1413,W$1)</f>
        <v>0</v>
      </c>
      <c r="X176" s="80">
        <f>SUMIFS('февраль 2024'!$G$6:$G$1413,'февраль 2024'!$D$6:$D$1413,$B176,'февраль 2024'!$J$6:$J$1413,X$1)</f>
        <v>0</v>
      </c>
      <c r="Y176" s="80">
        <f>SUMIFS('февраль 2024'!$G$6:$G$1413,'февраль 2024'!$D$6:$D$1413,$B176,'февраль 2024'!$J$6:$J$1413,Y$1)</f>
        <v>0</v>
      </c>
      <c r="Z176" s="80">
        <f>SUMIFS('февраль 2024'!$G$6:$G$1413,'февраль 2024'!$D$6:$D$1413,$B176,'февраль 2024'!$J$6:$J$1413,Z$1)</f>
        <v>0</v>
      </c>
      <c r="AA176" s="80">
        <f>SUMIFS('февраль 2024'!$G$6:$G$1413,'февраль 2024'!$D$6:$D$1413,$B176,'февраль 2024'!$J$6:$J$1413,AA$1)</f>
        <v>0</v>
      </c>
      <c r="AB176" s="80">
        <f>SUMIFS('февраль 2024'!$G$6:$G$1413,'февраль 2024'!$D$6:$D$1413,$B176,'февраль 2024'!$J$6:$J$1413,AB$1)</f>
        <v>0</v>
      </c>
      <c r="AC176" s="80">
        <f>SUMIFS('февраль 2024'!$G$6:$G$1413,'февраль 2024'!$D$6:$D$1413,$B176,'февраль 2024'!$J$6:$J$1413,AC$1)</f>
        <v>0</v>
      </c>
      <c r="AD176" s="80">
        <f>SUMIFS('февраль 2024'!$G$6:$G$1413,'февраль 2024'!$D$6:$D$1413,$B176,'февраль 2024'!$J$6:$J$1413,AD$1)</f>
        <v>0</v>
      </c>
      <c r="AE176" s="80">
        <f>SUMIFS('февраль 2024'!$G$6:$G$1413,'февраль 2024'!$D$6:$D$1413,$B176,'февраль 2024'!$J$6:$J$1413,AE$1)</f>
        <v>0</v>
      </c>
      <c r="AF176" s="80">
        <f>SUMIFS('февраль 2024'!$G$6:$G$1413,'февраль 2024'!$D$6:$D$1413,$B176,'февраль 2024'!$J$6:$J$1413,AF$1)</f>
        <v>0</v>
      </c>
      <c r="AG176" s="80">
        <f>SUMIFS('февраль 2024'!$G$6:$G$1413,'февраль 2024'!$D$6:$D$1413,$B176,'февраль 2024'!$J$6:$J$1413,AG$1)</f>
        <v>0</v>
      </c>
      <c r="AH176" s="80">
        <f>SUMIFS('февраль 2024'!$G$6:$G$1413,'февраль 2024'!$D$6:$D$1413,$B176,'февраль 2024'!$J$6:$J$1413,AH$1)</f>
        <v>0</v>
      </c>
      <c r="AI176" s="87"/>
    </row>
    <row r="177" spans="2:35" ht="15" hidden="1" customHeight="1" x14ac:dyDescent="0.25">
      <c r="B177" s="89"/>
      <c r="C177" s="88"/>
      <c r="D177" s="80">
        <f>SUMIFS('февраль 2024'!$G$6:$G$1413,'февраль 2024'!$D$6:$D$1413,$B177,'февраль 2024'!$J$6:$J$1413,D$1)</f>
        <v>0</v>
      </c>
      <c r="E177" s="80">
        <f>SUMIFS('февраль 2024'!$G$6:$G$1413,'февраль 2024'!$D$6:$D$1413,$B177,'февраль 2024'!$J$6:$J$1413,E$1)</f>
        <v>0</v>
      </c>
      <c r="F177" s="80">
        <f>SUMIFS('февраль 2024'!$G$6:$G$1413,'февраль 2024'!$D$6:$D$1413,$B177,'февраль 2024'!$J$6:$J$1413,F$1)</f>
        <v>0</v>
      </c>
      <c r="G177" s="80">
        <f>SUMIFS('февраль 2024'!$G$6:$G$1413,'февраль 2024'!$D$6:$D$1413,$B177,'февраль 2024'!$J$6:$J$1413,G$1)</f>
        <v>0</v>
      </c>
      <c r="H177" s="80">
        <f>SUMIFS('февраль 2024'!$G$6:$G$1413,'февраль 2024'!$D$6:$D$1413,$B177,'февраль 2024'!$J$6:$J$1413,H$1)</f>
        <v>0</v>
      </c>
      <c r="I177" s="80">
        <f>SUMIFS('февраль 2024'!$G$6:$G$1413,'февраль 2024'!$D$6:$D$1413,$B177,'февраль 2024'!$J$6:$J$1413,I$1)</f>
        <v>0</v>
      </c>
      <c r="J177" s="80">
        <f>SUMIFS('февраль 2024'!$G$6:$G$1413,'февраль 2024'!$D$6:$D$1413,$B177,'февраль 2024'!$J$6:$J$1413,J$1)</f>
        <v>0</v>
      </c>
      <c r="K177" s="80">
        <f>SUMIFS('февраль 2024'!$G$6:$G$1413,'февраль 2024'!$D$6:$D$1413,$B177,'февраль 2024'!$J$6:$J$1413,K$1)</f>
        <v>0</v>
      </c>
      <c r="L177" s="80">
        <f>SUMIFS('февраль 2024'!$G$6:$G$1413,'февраль 2024'!$D$6:$D$1413,$B177,'февраль 2024'!$J$6:$J$1413,L$1)</f>
        <v>0</v>
      </c>
      <c r="M177" s="80">
        <f>SUMIFS('февраль 2024'!$G$6:$G$1413,'февраль 2024'!$D$6:$D$1413,$B177,'февраль 2024'!$J$6:$J$1413,M$1)</f>
        <v>0</v>
      </c>
      <c r="N177" s="80">
        <f>SUMIFS('февраль 2024'!$G$6:$G$1413,'февраль 2024'!$D$6:$D$1413,$B177,'февраль 2024'!$J$6:$J$1413,N$1)</f>
        <v>0</v>
      </c>
      <c r="O177" s="80">
        <f>SUMIFS('февраль 2024'!$G$6:$G$1413,'февраль 2024'!$D$6:$D$1413,$B177,'февраль 2024'!$J$6:$J$1413,O$1)</f>
        <v>0</v>
      </c>
      <c r="P177" s="80">
        <f>SUMIFS('февраль 2024'!$G$6:$G$1413,'февраль 2024'!$D$6:$D$1413,$B177,'февраль 2024'!$J$6:$J$1413,P$1)</f>
        <v>0</v>
      </c>
      <c r="Q177" s="80">
        <f>SUMIFS('февраль 2024'!$G$6:$G$1413,'февраль 2024'!$D$6:$D$1413,$B177,'февраль 2024'!$J$6:$J$1413,Q$1)</f>
        <v>0</v>
      </c>
      <c r="R177" s="80">
        <f>SUMIFS('февраль 2024'!$G$6:$G$1413,'февраль 2024'!$D$6:$D$1413,$B177,'февраль 2024'!$J$6:$J$1413,R$1)</f>
        <v>0</v>
      </c>
      <c r="S177" s="80">
        <f>SUMIFS('февраль 2024'!$G$6:$G$1413,'февраль 2024'!$D$6:$D$1413,$B177,'февраль 2024'!$J$6:$J$1413,S$1)</f>
        <v>0</v>
      </c>
      <c r="T177" s="80">
        <f>SUMIFS('февраль 2024'!$G$6:$G$1413,'февраль 2024'!$D$6:$D$1413,$B177,'февраль 2024'!$J$6:$J$1413,T$1)</f>
        <v>0</v>
      </c>
      <c r="U177" s="80">
        <f>SUMIFS('февраль 2024'!$G$6:$G$1413,'февраль 2024'!$D$6:$D$1413,$B177,'февраль 2024'!$J$6:$J$1413,U$1)</f>
        <v>0</v>
      </c>
      <c r="V177" s="80">
        <f>SUMIFS('февраль 2024'!$G$6:$G$1413,'февраль 2024'!$D$6:$D$1413,$B177,'февраль 2024'!$J$6:$J$1413,V$1)</f>
        <v>0</v>
      </c>
      <c r="W177" s="80">
        <f>SUMIFS('февраль 2024'!$G$6:$G$1413,'февраль 2024'!$D$6:$D$1413,$B177,'февраль 2024'!$J$6:$J$1413,W$1)</f>
        <v>0</v>
      </c>
      <c r="X177" s="80">
        <f>SUMIFS('февраль 2024'!$G$6:$G$1413,'февраль 2024'!$D$6:$D$1413,$B177,'февраль 2024'!$J$6:$J$1413,X$1)</f>
        <v>0</v>
      </c>
      <c r="Y177" s="80">
        <f>SUMIFS('февраль 2024'!$G$6:$G$1413,'февраль 2024'!$D$6:$D$1413,$B177,'февраль 2024'!$J$6:$J$1413,Y$1)</f>
        <v>0</v>
      </c>
      <c r="Z177" s="80">
        <f>SUMIFS('февраль 2024'!$G$6:$G$1413,'февраль 2024'!$D$6:$D$1413,$B177,'февраль 2024'!$J$6:$J$1413,Z$1)</f>
        <v>0</v>
      </c>
      <c r="AA177" s="80">
        <f>SUMIFS('февраль 2024'!$G$6:$G$1413,'февраль 2024'!$D$6:$D$1413,$B177,'февраль 2024'!$J$6:$J$1413,AA$1)</f>
        <v>0</v>
      </c>
      <c r="AB177" s="80">
        <f>SUMIFS('февраль 2024'!$G$6:$G$1413,'февраль 2024'!$D$6:$D$1413,$B177,'февраль 2024'!$J$6:$J$1413,AB$1)</f>
        <v>0</v>
      </c>
      <c r="AC177" s="80">
        <f>SUMIFS('февраль 2024'!$G$6:$G$1413,'февраль 2024'!$D$6:$D$1413,$B177,'февраль 2024'!$J$6:$J$1413,AC$1)</f>
        <v>0</v>
      </c>
      <c r="AD177" s="80">
        <f>SUMIFS('февраль 2024'!$G$6:$G$1413,'февраль 2024'!$D$6:$D$1413,$B177,'февраль 2024'!$J$6:$J$1413,AD$1)</f>
        <v>0</v>
      </c>
      <c r="AE177" s="80">
        <f>SUMIFS('февраль 2024'!$G$6:$G$1413,'февраль 2024'!$D$6:$D$1413,$B177,'февраль 2024'!$J$6:$J$1413,AE$1)</f>
        <v>0</v>
      </c>
      <c r="AF177" s="80">
        <f>SUMIFS('февраль 2024'!$G$6:$G$1413,'февраль 2024'!$D$6:$D$1413,$B177,'февраль 2024'!$J$6:$J$1413,AF$1)</f>
        <v>0</v>
      </c>
      <c r="AG177" s="80">
        <f>SUMIFS('февраль 2024'!$G$6:$G$1413,'февраль 2024'!$D$6:$D$1413,$B177,'февраль 2024'!$J$6:$J$1413,AG$1)</f>
        <v>0</v>
      </c>
      <c r="AH177" s="80">
        <f>SUMIFS('февраль 2024'!$G$6:$G$1413,'февраль 2024'!$D$6:$D$1413,$B177,'февраль 2024'!$J$6:$J$1413,AH$1)</f>
        <v>0</v>
      </c>
      <c r="AI177" s="87"/>
    </row>
    <row r="178" spans="2:35" ht="15" hidden="1" customHeight="1" x14ac:dyDescent="0.25">
      <c r="B178" s="89"/>
      <c r="C178" s="88"/>
      <c r="D178" s="80">
        <f>SUMIFS('февраль 2024'!$G$6:$G$1413,'февраль 2024'!$D$6:$D$1413,$B178,'февраль 2024'!$J$6:$J$1413,D$1)</f>
        <v>0</v>
      </c>
      <c r="E178" s="80">
        <f>SUMIFS('февраль 2024'!$G$6:$G$1413,'февраль 2024'!$D$6:$D$1413,$B178,'февраль 2024'!$J$6:$J$1413,E$1)</f>
        <v>0</v>
      </c>
      <c r="F178" s="80">
        <f>SUMIFS('февраль 2024'!$G$6:$G$1413,'февраль 2024'!$D$6:$D$1413,$B178,'февраль 2024'!$J$6:$J$1413,F$1)</f>
        <v>0</v>
      </c>
      <c r="G178" s="80">
        <f>SUMIFS('февраль 2024'!$G$6:$G$1413,'февраль 2024'!$D$6:$D$1413,$B178,'февраль 2024'!$J$6:$J$1413,G$1)</f>
        <v>0</v>
      </c>
      <c r="H178" s="80">
        <f>SUMIFS('февраль 2024'!$G$6:$G$1413,'февраль 2024'!$D$6:$D$1413,$B178,'февраль 2024'!$J$6:$J$1413,H$1)</f>
        <v>0</v>
      </c>
      <c r="I178" s="80">
        <f>SUMIFS('февраль 2024'!$G$6:$G$1413,'февраль 2024'!$D$6:$D$1413,$B178,'февраль 2024'!$J$6:$J$1413,I$1)</f>
        <v>0</v>
      </c>
      <c r="J178" s="80">
        <f>SUMIFS('февраль 2024'!$G$6:$G$1413,'февраль 2024'!$D$6:$D$1413,$B178,'февраль 2024'!$J$6:$J$1413,J$1)</f>
        <v>0</v>
      </c>
      <c r="K178" s="80">
        <f>SUMIFS('февраль 2024'!$G$6:$G$1413,'февраль 2024'!$D$6:$D$1413,$B178,'февраль 2024'!$J$6:$J$1413,K$1)</f>
        <v>0</v>
      </c>
      <c r="L178" s="80">
        <f>SUMIFS('февраль 2024'!$G$6:$G$1413,'февраль 2024'!$D$6:$D$1413,$B178,'февраль 2024'!$J$6:$J$1413,L$1)</f>
        <v>0</v>
      </c>
      <c r="M178" s="80">
        <f>SUMIFS('февраль 2024'!$G$6:$G$1413,'февраль 2024'!$D$6:$D$1413,$B178,'февраль 2024'!$J$6:$J$1413,M$1)</f>
        <v>0</v>
      </c>
      <c r="N178" s="80">
        <f>SUMIFS('февраль 2024'!$G$6:$G$1413,'февраль 2024'!$D$6:$D$1413,$B178,'февраль 2024'!$J$6:$J$1413,N$1)</f>
        <v>0</v>
      </c>
      <c r="O178" s="80">
        <f>SUMIFS('февраль 2024'!$G$6:$G$1413,'февраль 2024'!$D$6:$D$1413,$B178,'февраль 2024'!$J$6:$J$1413,O$1)</f>
        <v>0</v>
      </c>
      <c r="P178" s="80">
        <f>SUMIFS('февраль 2024'!$G$6:$G$1413,'февраль 2024'!$D$6:$D$1413,$B178,'февраль 2024'!$J$6:$J$1413,P$1)</f>
        <v>0</v>
      </c>
      <c r="Q178" s="80">
        <f>SUMIFS('февраль 2024'!$G$6:$G$1413,'февраль 2024'!$D$6:$D$1413,$B178,'февраль 2024'!$J$6:$J$1413,Q$1)</f>
        <v>0</v>
      </c>
      <c r="R178" s="80">
        <f>SUMIFS('февраль 2024'!$G$6:$G$1413,'февраль 2024'!$D$6:$D$1413,$B178,'февраль 2024'!$J$6:$J$1413,R$1)</f>
        <v>0</v>
      </c>
      <c r="S178" s="80">
        <f>SUMIFS('февраль 2024'!$G$6:$G$1413,'февраль 2024'!$D$6:$D$1413,$B178,'февраль 2024'!$J$6:$J$1413,S$1)</f>
        <v>0</v>
      </c>
      <c r="T178" s="80">
        <f>SUMIFS('февраль 2024'!$G$6:$G$1413,'февраль 2024'!$D$6:$D$1413,$B178,'февраль 2024'!$J$6:$J$1413,T$1)</f>
        <v>0</v>
      </c>
      <c r="U178" s="80">
        <f>SUMIFS('февраль 2024'!$G$6:$G$1413,'февраль 2024'!$D$6:$D$1413,$B178,'февраль 2024'!$J$6:$J$1413,U$1)</f>
        <v>0</v>
      </c>
      <c r="V178" s="80">
        <f>SUMIFS('февраль 2024'!$G$6:$G$1413,'февраль 2024'!$D$6:$D$1413,$B178,'февраль 2024'!$J$6:$J$1413,V$1)</f>
        <v>0</v>
      </c>
      <c r="W178" s="80">
        <f>SUMIFS('февраль 2024'!$G$6:$G$1413,'февраль 2024'!$D$6:$D$1413,$B178,'февраль 2024'!$J$6:$J$1413,W$1)</f>
        <v>0</v>
      </c>
      <c r="X178" s="80">
        <f>SUMIFS('февраль 2024'!$G$6:$G$1413,'февраль 2024'!$D$6:$D$1413,$B178,'февраль 2024'!$J$6:$J$1413,X$1)</f>
        <v>0</v>
      </c>
      <c r="Y178" s="80">
        <f>SUMIFS('февраль 2024'!$G$6:$G$1413,'февраль 2024'!$D$6:$D$1413,$B178,'февраль 2024'!$J$6:$J$1413,Y$1)</f>
        <v>0</v>
      </c>
      <c r="Z178" s="80">
        <f>SUMIFS('февраль 2024'!$G$6:$G$1413,'февраль 2024'!$D$6:$D$1413,$B178,'февраль 2024'!$J$6:$J$1413,Z$1)</f>
        <v>0</v>
      </c>
      <c r="AA178" s="80">
        <f>SUMIFS('февраль 2024'!$G$6:$G$1413,'февраль 2024'!$D$6:$D$1413,$B178,'февраль 2024'!$J$6:$J$1413,AA$1)</f>
        <v>0</v>
      </c>
      <c r="AB178" s="80">
        <f>SUMIFS('февраль 2024'!$G$6:$G$1413,'февраль 2024'!$D$6:$D$1413,$B178,'февраль 2024'!$J$6:$J$1413,AB$1)</f>
        <v>0</v>
      </c>
      <c r="AC178" s="80">
        <f>SUMIFS('февраль 2024'!$G$6:$G$1413,'февраль 2024'!$D$6:$D$1413,$B178,'февраль 2024'!$J$6:$J$1413,AC$1)</f>
        <v>0</v>
      </c>
      <c r="AD178" s="80">
        <f>SUMIFS('февраль 2024'!$G$6:$G$1413,'февраль 2024'!$D$6:$D$1413,$B178,'февраль 2024'!$J$6:$J$1413,AD$1)</f>
        <v>0</v>
      </c>
      <c r="AE178" s="80">
        <f>SUMIFS('февраль 2024'!$G$6:$G$1413,'февраль 2024'!$D$6:$D$1413,$B178,'февраль 2024'!$J$6:$J$1413,AE$1)</f>
        <v>0</v>
      </c>
      <c r="AF178" s="80">
        <f>SUMIFS('февраль 2024'!$G$6:$G$1413,'февраль 2024'!$D$6:$D$1413,$B178,'февраль 2024'!$J$6:$J$1413,AF$1)</f>
        <v>0</v>
      </c>
      <c r="AG178" s="80">
        <f>SUMIFS('февраль 2024'!$G$6:$G$1413,'февраль 2024'!$D$6:$D$1413,$B178,'февраль 2024'!$J$6:$J$1413,AG$1)</f>
        <v>0</v>
      </c>
      <c r="AH178" s="80">
        <f>SUMIFS('февраль 2024'!$G$6:$G$1413,'февраль 2024'!$D$6:$D$1413,$B178,'февраль 2024'!$J$6:$J$1413,AH$1)</f>
        <v>0</v>
      </c>
      <c r="AI178" s="87"/>
    </row>
    <row r="179" spans="2:35" ht="15" hidden="1" customHeight="1" x14ac:dyDescent="0.25">
      <c r="B179" s="89"/>
      <c r="C179" s="88"/>
      <c r="D179" s="80">
        <f>SUMIFS('февраль 2024'!$G$6:$G$1413,'февраль 2024'!$D$6:$D$1413,$B179,'февраль 2024'!$J$6:$J$1413,D$1)</f>
        <v>0</v>
      </c>
      <c r="E179" s="80">
        <f>SUMIFS('февраль 2024'!$G$6:$G$1413,'февраль 2024'!$D$6:$D$1413,$B179,'февраль 2024'!$J$6:$J$1413,E$1)</f>
        <v>0</v>
      </c>
      <c r="F179" s="80">
        <f>SUMIFS('февраль 2024'!$G$6:$G$1413,'февраль 2024'!$D$6:$D$1413,$B179,'февраль 2024'!$J$6:$J$1413,F$1)</f>
        <v>0</v>
      </c>
      <c r="G179" s="80">
        <f>SUMIFS('февраль 2024'!$G$6:$G$1413,'февраль 2024'!$D$6:$D$1413,$B179,'февраль 2024'!$J$6:$J$1413,G$1)</f>
        <v>0</v>
      </c>
      <c r="H179" s="80">
        <f>SUMIFS('февраль 2024'!$G$6:$G$1413,'февраль 2024'!$D$6:$D$1413,$B179,'февраль 2024'!$J$6:$J$1413,H$1)</f>
        <v>0</v>
      </c>
      <c r="I179" s="80">
        <f>SUMIFS('февраль 2024'!$G$6:$G$1413,'февраль 2024'!$D$6:$D$1413,$B179,'февраль 2024'!$J$6:$J$1413,I$1)</f>
        <v>0</v>
      </c>
      <c r="J179" s="80">
        <f>SUMIFS('февраль 2024'!$G$6:$G$1413,'февраль 2024'!$D$6:$D$1413,$B179,'февраль 2024'!$J$6:$J$1413,J$1)</f>
        <v>0</v>
      </c>
      <c r="K179" s="80">
        <f>SUMIFS('февраль 2024'!$G$6:$G$1413,'февраль 2024'!$D$6:$D$1413,$B179,'февраль 2024'!$J$6:$J$1413,K$1)</f>
        <v>0</v>
      </c>
      <c r="L179" s="80">
        <f>SUMIFS('февраль 2024'!$G$6:$G$1413,'февраль 2024'!$D$6:$D$1413,$B179,'февраль 2024'!$J$6:$J$1413,L$1)</f>
        <v>0</v>
      </c>
      <c r="M179" s="80">
        <f>SUMIFS('февраль 2024'!$G$6:$G$1413,'февраль 2024'!$D$6:$D$1413,$B179,'февраль 2024'!$J$6:$J$1413,M$1)</f>
        <v>0</v>
      </c>
      <c r="N179" s="80">
        <f>SUMIFS('февраль 2024'!$G$6:$G$1413,'февраль 2024'!$D$6:$D$1413,$B179,'февраль 2024'!$J$6:$J$1413,N$1)</f>
        <v>0</v>
      </c>
      <c r="O179" s="80">
        <f>SUMIFS('февраль 2024'!$G$6:$G$1413,'февраль 2024'!$D$6:$D$1413,$B179,'февраль 2024'!$J$6:$J$1413,O$1)</f>
        <v>0</v>
      </c>
      <c r="P179" s="80">
        <f>SUMIFS('февраль 2024'!$G$6:$G$1413,'февраль 2024'!$D$6:$D$1413,$B179,'февраль 2024'!$J$6:$J$1413,P$1)</f>
        <v>0</v>
      </c>
      <c r="Q179" s="80">
        <f>SUMIFS('февраль 2024'!$G$6:$G$1413,'февраль 2024'!$D$6:$D$1413,$B179,'февраль 2024'!$J$6:$J$1413,Q$1)</f>
        <v>0</v>
      </c>
      <c r="R179" s="80">
        <f>SUMIFS('февраль 2024'!$G$6:$G$1413,'февраль 2024'!$D$6:$D$1413,$B179,'февраль 2024'!$J$6:$J$1413,R$1)</f>
        <v>0</v>
      </c>
      <c r="S179" s="80">
        <f>SUMIFS('февраль 2024'!$G$6:$G$1413,'февраль 2024'!$D$6:$D$1413,$B179,'февраль 2024'!$J$6:$J$1413,S$1)</f>
        <v>0</v>
      </c>
      <c r="T179" s="80">
        <f>SUMIFS('февраль 2024'!$G$6:$G$1413,'февраль 2024'!$D$6:$D$1413,$B179,'февраль 2024'!$J$6:$J$1413,T$1)</f>
        <v>0</v>
      </c>
      <c r="U179" s="80">
        <f>SUMIFS('февраль 2024'!$G$6:$G$1413,'февраль 2024'!$D$6:$D$1413,$B179,'февраль 2024'!$J$6:$J$1413,U$1)</f>
        <v>0</v>
      </c>
      <c r="V179" s="80">
        <f>SUMIFS('февраль 2024'!$G$6:$G$1413,'февраль 2024'!$D$6:$D$1413,$B179,'февраль 2024'!$J$6:$J$1413,V$1)</f>
        <v>0</v>
      </c>
      <c r="W179" s="80">
        <f>SUMIFS('февраль 2024'!$G$6:$G$1413,'февраль 2024'!$D$6:$D$1413,$B179,'февраль 2024'!$J$6:$J$1413,W$1)</f>
        <v>0</v>
      </c>
      <c r="X179" s="80">
        <f>SUMIFS('февраль 2024'!$G$6:$G$1413,'февраль 2024'!$D$6:$D$1413,$B179,'февраль 2024'!$J$6:$J$1413,X$1)</f>
        <v>0</v>
      </c>
      <c r="Y179" s="80">
        <f>SUMIFS('февраль 2024'!$G$6:$G$1413,'февраль 2024'!$D$6:$D$1413,$B179,'февраль 2024'!$J$6:$J$1413,Y$1)</f>
        <v>0</v>
      </c>
      <c r="Z179" s="80">
        <f>SUMIFS('февраль 2024'!$G$6:$G$1413,'февраль 2024'!$D$6:$D$1413,$B179,'февраль 2024'!$J$6:$J$1413,Z$1)</f>
        <v>0</v>
      </c>
      <c r="AA179" s="80">
        <f>SUMIFS('февраль 2024'!$G$6:$G$1413,'февраль 2024'!$D$6:$D$1413,$B179,'февраль 2024'!$J$6:$J$1413,AA$1)</f>
        <v>0</v>
      </c>
      <c r="AB179" s="80">
        <f>SUMIFS('февраль 2024'!$G$6:$G$1413,'февраль 2024'!$D$6:$D$1413,$B179,'февраль 2024'!$J$6:$J$1413,AB$1)</f>
        <v>0</v>
      </c>
      <c r="AC179" s="80">
        <f>SUMIFS('февраль 2024'!$G$6:$G$1413,'февраль 2024'!$D$6:$D$1413,$B179,'февраль 2024'!$J$6:$J$1413,AC$1)</f>
        <v>0</v>
      </c>
      <c r="AD179" s="80">
        <f>SUMIFS('февраль 2024'!$G$6:$G$1413,'февраль 2024'!$D$6:$D$1413,$B179,'февраль 2024'!$J$6:$J$1413,AD$1)</f>
        <v>0</v>
      </c>
      <c r="AE179" s="80">
        <f>SUMIFS('февраль 2024'!$G$6:$G$1413,'февраль 2024'!$D$6:$D$1413,$B179,'февраль 2024'!$J$6:$J$1413,AE$1)</f>
        <v>0</v>
      </c>
      <c r="AF179" s="80">
        <f>SUMIFS('февраль 2024'!$G$6:$G$1413,'февраль 2024'!$D$6:$D$1413,$B179,'февраль 2024'!$J$6:$J$1413,AF$1)</f>
        <v>0</v>
      </c>
      <c r="AG179" s="80">
        <f>SUMIFS('февраль 2024'!$G$6:$G$1413,'февраль 2024'!$D$6:$D$1413,$B179,'февраль 2024'!$J$6:$J$1413,AG$1)</f>
        <v>0</v>
      </c>
      <c r="AH179" s="80">
        <f>SUMIFS('февраль 2024'!$G$6:$G$1413,'февраль 2024'!$D$6:$D$1413,$B179,'февраль 2024'!$J$6:$J$1413,AH$1)</f>
        <v>0</v>
      </c>
      <c r="AI179" s="87"/>
    </row>
    <row r="180" spans="2:35" ht="15" hidden="1" customHeight="1" x14ac:dyDescent="0.25">
      <c r="B180" s="89"/>
      <c r="C180" s="88"/>
      <c r="D180" s="80">
        <f>SUMIFS('февраль 2024'!$G$6:$G$1413,'февраль 2024'!$D$6:$D$1413,$B180,'февраль 2024'!$J$6:$J$1413,D$1)</f>
        <v>0</v>
      </c>
      <c r="E180" s="80">
        <f>SUMIFS('февраль 2024'!$G$6:$G$1413,'февраль 2024'!$D$6:$D$1413,$B180,'февраль 2024'!$J$6:$J$1413,E$1)</f>
        <v>0</v>
      </c>
      <c r="F180" s="80">
        <f>SUMIFS('февраль 2024'!$G$6:$G$1413,'февраль 2024'!$D$6:$D$1413,$B180,'февраль 2024'!$J$6:$J$1413,F$1)</f>
        <v>0</v>
      </c>
      <c r="G180" s="80">
        <f>SUMIFS('февраль 2024'!$G$6:$G$1413,'февраль 2024'!$D$6:$D$1413,$B180,'февраль 2024'!$J$6:$J$1413,G$1)</f>
        <v>0</v>
      </c>
      <c r="H180" s="80">
        <f>SUMIFS('февраль 2024'!$G$6:$G$1413,'февраль 2024'!$D$6:$D$1413,$B180,'февраль 2024'!$J$6:$J$1413,H$1)</f>
        <v>0</v>
      </c>
      <c r="I180" s="80">
        <f>SUMIFS('февраль 2024'!$G$6:$G$1413,'февраль 2024'!$D$6:$D$1413,$B180,'февраль 2024'!$J$6:$J$1413,I$1)</f>
        <v>0</v>
      </c>
      <c r="J180" s="80">
        <f>SUMIFS('февраль 2024'!$G$6:$G$1413,'февраль 2024'!$D$6:$D$1413,$B180,'февраль 2024'!$J$6:$J$1413,J$1)</f>
        <v>0</v>
      </c>
      <c r="K180" s="80">
        <f>SUMIFS('февраль 2024'!$G$6:$G$1413,'февраль 2024'!$D$6:$D$1413,$B180,'февраль 2024'!$J$6:$J$1413,K$1)</f>
        <v>0</v>
      </c>
      <c r="L180" s="80">
        <f>SUMIFS('февраль 2024'!$G$6:$G$1413,'февраль 2024'!$D$6:$D$1413,$B180,'февраль 2024'!$J$6:$J$1413,L$1)</f>
        <v>0</v>
      </c>
      <c r="M180" s="80">
        <f>SUMIFS('февраль 2024'!$G$6:$G$1413,'февраль 2024'!$D$6:$D$1413,$B180,'февраль 2024'!$J$6:$J$1413,M$1)</f>
        <v>0</v>
      </c>
      <c r="N180" s="80">
        <f>SUMIFS('февраль 2024'!$G$6:$G$1413,'февраль 2024'!$D$6:$D$1413,$B180,'февраль 2024'!$J$6:$J$1413,N$1)</f>
        <v>0</v>
      </c>
      <c r="O180" s="80">
        <f>SUMIFS('февраль 2024'!$G$6:$G$1413,'февраль 2024'!$D$6:$D$1413,$B180,'февраль 2024'!$J$6:$J$1413,O$1)</f>
        <v>0</v>
      </c>
      <c r="P180" s="80">
        <f>SUMIFS('февраль 2024'!$G$6:$G$1413,'февраль 2024'!$D$6:$D$1413,$B180,'февраль 2024'!$J$6:$J$1413,P$1)</f>
        <v>0</v>
      </c>
      <c r="Q180" s="80">
        <f>SUMIFS('февраль 2024'!$G$6:$G$1413,'февраль 2024'!$D$6:$D$1413,$B180,'февраль 2024'!$J$6:$J$1413,Q$1)</f>
        <v>0</v>
      </c>
      <c r="R180" s="80">
        <f>SUMIFS('февраль 2024'!$G$6:$G$1413,'февраль 2024'!$D$6:$D$1413,$B180,'февраль 2024'!$J$6:$J$1413,R$1)</f>
        <v>0</v>
      </c>
      <c r="S180" s="80">
        <f>SUMIFS('февраль 2024'!$G$6:$G$1413,'февраль 2024'!$D$6:$D$1413,$B180,'февраль 2024'!$J$6:$J$1413,S$1)</f>
        <v>0</v>
      </c>
      <c r="T180" s="80">
        <f>SUMIFS('февраль 2024'!$G$6:$G$1413,'февраль 2024'!$D$6:$D$1413,$B180,'февраль 2024'!$J$6:$J$1413,T$1)</f>
        <v>0</v>
      </c>
      <c r="U180" s="80">
        <f>SUMIFS('февраль 2024'!$G$6:$G$1413,'февраль 2024'!$D$6:$D$1413,$B180,'февраль 2024'!$J$6:$J$1413,U$1)</f>
        <v>0</v>
      </c>
      <c r="V180" s="80">
        <f>SUMIFS('февраль 2024'!$G$6:$G$1413,'февраль 2024'!$D$6:$D$1413,$B180,'февраль 2024'!$J$6:$J$1413,V$1)</f>
        <v>0</v>
      </c>
      <c r="W180" s="80">
        <f>SUMIFS('февраль 2024'!$G$6:$G$1413,'февраль 2024'!$D$6:$D$1413,$B180,'февраль 2024'!$J$6:$J$1413,W$1)</f>
        <v>0</v>
      </c>
      <c r="X180" s="80">
        <f>SUMIFS('февраль 2024'!$G$6:$G$1413,'февраль 2024'!$D$6:$D$1413,$B180,'февраль 2024'!$J$6:$J$1413,X$1)</f>
        <v>0</v>
      </c>
      <c r="Y180" s="80">
        <f>SUMIFS('февраль 2024'!$G$6:$G$1413,'февраль 2024'!$D$6:$D$1413,$B180,'февраль 2024'!$J$6:$J$1413,Y$1)</f>
        <v>0</v>
      </c>
      <c r="Z180" s="80">
        <f>SUMIFS('февраль 2024'!$G$6:$G$1413,'февраль 2024'!$D$6:$D$1413,$B180,'февраль 2024'!$J$6:$J$1413,Z$1)</f>
        <v>0</v>
      </c>
      <c r="AA180" s="80">
        <f>SUMIFS('февраль 2024'!$G$6:$G$1413,'февраль 2024'!$D$6:$D$1413,$B180,'февраль 2024'!$J$6:$J$1413,AA$1)</f>
        <v>0</v>
      </c>
      <c r="AB180" s="80">
        <f>SUMIFS('февраль 2024'!$G$6:$G$1413,'февраль 2024'!$D$6:$D$1413,$B180,'февраль 2024'!$J$6:$J$1413,AB$1)</f>
        <v>0</v>
      </c>
      <c r="AC180" s="80">
        <f>SUMIFS('февраль 2024'!$G$6:$G$1413,'февраль 2024'!$D$6:$D$1413,$B180,'февраль 2024'!$J$6:$J$1413,AC$1)</f>
        <v>0</v>
      </c>
      <c r="AD180" s="80">
        <f>SUMIFS('февраль 2024'!$G$6:$G$1413,'февраль 2024'!$D$6:$D$1413,$B180,'февраль 2024'!$J$6:$J$1413,AD$1)</f>
        <v>0</v>
      </c>
      <c r="AE180" s="80">
        <f>SUMIFS('февраль 2024'!$G$6:$G$1413,'февраль 2024'!$D$6:$D$1413,$B180,'февраль 2024'!$J$6:$J$1413,AE$1)</f>
        <v>0</v>
      </c>
      <c r="AF180" s="80">
        <f>SUMIFS('февраль 2024'!$G$6:$G$1413,'февраль 2024'!$D$6:$D$1413,$B180,'февраль 2024'!$J$6:$J$1413,AF$1)</f>
        <v>0</v>
      </c>
      <c r="AG180" s="80">
        <f>SUMIFS('февраль 2024'!$G$6:$G$1413,'февраль 2024'!$D$6:$D$1413,$B180,'февраль 2024'!$J$6:$J$1413,AG$1)</f>
        <v>0</v>
      </c>
      <c r="AH180" s="80">
        <f>SUMIFS('февраль 2024'!$G$6:$G$1413,'февраль 2024'!$D$6:$D$1413,$B180,'февраль 2024'!$J$6:$J$1413,AH$1)</f>
        <v>0</v>
      </c>
      <c r="AI180" s="87"/>
    </row>
    <row r="181" spans="2:35" ht="15" hidden="1" customHeight="1" x14ac:dyDescent="0.25">
      <c r="B181" s="89"/>
      <c r="C181" s="88"/>
      <c r="D181" s="80">
        <f>SUMIFS('февраль 2024'!$G$6:$G$1413,'февраль 2024'!$D$6:$D$1413,$B181,'февраль 2024'!$J$6:$J$1413,D$1)</f>
        <v>0</v>
      </c>
      <c r="E181" s="80">
        <f>SUMIFS('февраль 2024'!$G$6:$G$1413,'февраль 2024'!$D$6:$D$1413,$B181,'февраль 2024'!$J$6:$J$1413,E$1)</f>
        <v>0</v>
      </c>
      <c r="F181" s="80">
        <f>SUMIFS('февраль 2024'!$G$6:$G$1413,'февраль 2024'!$D$6:$D$1413,$B181,'февраль 2024'!$J$6:$J$1413,F$1)</f>
        <v>0</v>
      </c>
      <c r="G181" s="80">
        <f>SUMIFS('февраль 2024'!$G$6:$G$1413,'февраль 2024'!$D$6:$D$1413,$B181,'февраль 2024'!$J$6:$J$1413,G$1)</f>
        <v>0</v>
      </c>
      <c r="H181" s="80">
        <f>SUMIFS('февраль 2024'!$G$6:$G$1413,'февраль 2024'!$D$6:$D$1413,$B181,'февраль 2024'!$J$6:$J$1413,H$1)</f>
        <v>0</v>
      </c>
      <c r="I181" s="80">
        <f>SUMIFS('февраль 2024'!$G$6:$G$1413,'февраль 2024'!$D$6:$D$1413,$B181,'февраль 2024'!$J$6:$J$1413,I$1)</f>
        <v>0</v>
      </c>
      <c r="J181" s="80">
        <f>SUMIFS('февраль 2024'!$G$6:$G$1413,'февраль 2024'!$D$6:$D$1413,$B181,'февраль 2024'!$J$6:$J$1413,J$1)</f>
        <v>0</v>
      </c>
      <c r="K181" s="80">
        <f>SUMIFS('февраль 2024'!$G$6:$G$1413,'февраль 2024'!$D$6:$D$1413,$B181,'февраль 2024'!$J$6:$J$1413,K$1)</f>
        <v>0</v>
      </c>
      <c r="L181" s="80">
        <f>SUMIFS('февраль 2024'!$G$6:$G$1413,'февраль 2024'!$D$6:$D$1413,$B181,'февраль 2024'!$J$6:$J$1413,L$1)</f>
        <v>0</v>
      </c>
      <c r="M181" s="80">
        <f>SUMIFS('февраль 2024'!$G$6:$G$1413,'февраль 2024'!$D$6:$D$1413,$B181,'февраль 2024'!$J$6:$J$1413,M$1)</f>
        <v>0</v>
      </c>
      <c r="N181" s="80">
        <f>SUMIFS('февраль 2024'!$G$6:$G$1413,'февраль 2024'!$D$6:$D$1413,$B181,'февраль 2024'!$J$6:$J$1413,N$1)</f>
        <v>0</v>
      </c>
      <c r="O181" s="80">
        <f>SUMIFS('февраль 2024'!$G$6:$G$1413,'февраль 2024'!$D$6:$D$1413,$B181,'февраль 2024'!$J$6:$J$1413,O$1)</f>
        <v>0</v>
      </c>
      <c r="P181" s="80">
        <f>SUMIFS('февраль 2024'!$G$6:$G$1413,'февраль 2024'!$D$6:$D$1413,$B181,'февраль 2024'!$J$6:$J$1413,P$1)</f>
        <v>0</v>
      </c>
      <c r="Q181" s="80">
        <f>SUMIFS('февраль 2024'!$G$6:$G$1413,'февраль 2024'!$D$6:$D$1413,$B181,'февраль 2024'!$J$6:$J$1413,Q$1)</f>
        <v>0</v>
      </c>
      <c r="R181" s="80">
        <f>SUMIFS('февраль 2024'!$G$6:$G$1413,'февраль 2024'!$D$6:$D$1413,$B181,'февраль 2024'!$J$6:$J$1413,R$1)</f>
        <v>0</v>
      </c>
      <c r="S181" s="80">
        <f>SUMIFS('февраль 2024'!$G$6:$G$1413,'февраль 2024'!$D$6:$D$1413,$B181,'февраль 2024'!$J$6:$J$1413,S$1)</f>
        <v>0</v>
      </c>
      <c r="T181" s="80">
        <f>SUMIFS('февраль 2024'!$G$6:$G$1413,'февраль 2024'!$D$6:$D$1413,$B181,'февраль 2024'!$J$6:$J$1413,T$1)</f>
        <v>0</v>
      </c>
      <c r="U181" s="80">
        <f>SUMIFS('февраль 2024'!$G$6:$G$1413,'февраль 2024'!$D$6:$D$1413,$B181,'февраль 2024'!$J$6:$J$1413,U$1)</f>
        <v>0</v>
      </c>
      <c r="V181" s="80">
        <f>SUMIFS('февраль 2024'!$G$6:$G$1413,'февраль 2024'!$D$6:$D$1413,$B181,'февраль 2024'!$J$6:$J$1413,V$1)</f>
        <v>0</v>
      </c>
      <c r="W181" s="80">
        <f>SUMIFS('февраль 2024'!$G$6:$G$1413,'февраль 2024'!$D$6:$D$1413,$B181,'февраль 2024'!$J$6:$J$1413,W$1)</f>
        <v>0</v>
      </c>
      <c r="X181" s="80">
        <f>SUMIFS('февраль 2024'!$G$6:$G$1413,'февраль 2024'!$D$6:$D$1413,$B181,'февраль 2024'!$J$6:$J$1413,X$1)</f>
        <v>0</v>
      </c>
      <c r="Y181" s="80">
        <f>SUMIFS('февраль 2024'!$G$6:$G$1413,'февраль 2024'!$D$6:$D$1413,$B181,'февраль 2024'!$J$6:$J$1413,Y$1)</f>
        <v>0</v>
      </c>
      <c r="Z181" s="80">
        <f>SUMIFS('февраль 2024'!$G$6:$G$1413,'февраль 2024'!$D$6:$D$1413,$B181,'февраль 2024'!$J$6:$J$1413,Z$1)</f>
        <v>0</v>
      </c>
      <c r="AA181" s="80">
        <f>SUMIFS('февраль 2024'!$G$6:$G$1413,'февраль 2024'!$D$6:$D$1413,$B181,'февраль 2024'!$J$6:$J$1413,AA$1)</f>
        <v>0</v>
      </c>
      <c r="AB181" s="80">
        <f>SUMIFS('февраль 2024'!$G$6:$G$1413,'февраль 2024'!$D$6:$D$1413,$B181,'февраль 2024'!$J$6:$J$1413,AB$1)</f>
        <v>0</v>
      </c>
      <c r="AC181" s="80">
        <f>SUMIFS('февраль 2024'!$G$6:$G$1413,'февраль 2024'!$D$6:$D$1413,$B181,'февраль 2024'!$J$6:$J$1413,AC$1)</f>
        <v>0</v>
      </c>
      <c r="AD181" s="80">
        <f>SUMIFS('февраль 2024'!$G$6:$G$1413,'февраль 2024'!$D$6:$D$1413,$B181,'февраль 2024'!$J$6:$J$1413,AD$1)</f>
        <v>0</v>
      </c>
      <c r="AE181" s="80">
        <f>SUMIFS('февраль 2024'!$G$6:$G$1413,'февраль 2024'!$D$6:$D$1413,$B181,'февраль 2024'!$J$6:$J$1413,AE$1)</f>
        <v>0</v>
      </c>
      <c r="AF181" s="80">
        <f>SUMIFS('февраль 2024'!$G$6:$G$1413,'февраль 2024'!$D$6:$D$1413,$B181,'февраль 2024'!$J$6:$J$1413,AF$1)</f>
        <v>0</v>
      </c>
      <c r="AG181" s="80">
        <f>SUMIFS('февраль 2024'!$G$6:$G$1413,'февраль 2024'!$D$6:$D$1413,$B181,'февраль 2024'!$J$6:$J$1413,AG$1)</f>
        <v>0</v>
      </c>
      <c r="AH181" s="80">
        <f>SUMIFS('февраль 2024'!$G$6:$G$1413,'февраль 2024'!$D$6:$D$1413,$B181,'февраль 2024'!$J$6:$J$1413,AH$1)</f>
        <v>0</v>
      </c>
      <c r="AI181" s="87"/>
    </row>
    <row r="182" spans="2:35" ht="15" hidden="1" customHeight="1" x14ac:dyDescent="0.25">
      <c r="B182" s="89"/>
      <c r="C182" s="88"/>
      <c r="D182" s="80">
        <f>SUMIFS('февраль 2024'!$G$6:$G$1413,'февраль 2024'!$D$6:$D$1413,$B182,'февраль 2024'!$J$6:$J$1413,D$1)</f>
        <v>0</v>
      </c>
      <c r="E182" s="80">
        <f>SUMIFS('февраль 2024'!$G$6:$G$1413,'февраль 2024'!$D$6:$D$1413,$B182,'февраль 2024'!$J$6:$J$1413,E$1)</f>
        <v>0</v>
      </c>
      <c r="F182" s="80">
        <f>SUMIFS('февраль 2024'!$G$6:$G$1413,'февраль 2024'!$D$6:$D$1413,$B182,'февраль 2024'!$J$6:$J$1413,F$1)</f>
        <v>0</v>
      </c>
      <c r="G182" s="80">
        <f>SUMIFS('февраль 2024'!$G$6:$G$1413,'февраль 2024'!$D$6:$D$1413,$B182,'февраль 2024'!$J$6:$J$1413,G$1)</f>
        <v>0</v>
      </c>
      <c r="H182" s="80">
        <f>SUMIFS('февраль 2024'!$G$6:$G$1413,'февраль 2024'!$D$6:$D$1413,$B182,'февраль 2024'!$J$6:$J$1413,H$1)</f>
        <v>0</v>
      </c>
      <c r="I182" s="80">
        <f>SUMIFS('февраль 2024'!$G$6:$G$1413,'февраль 2024'!$D$6:$D$1413,$B182,'февраль 2024'!$J$6:$J$1413,I$1)</f>
        <v>0</v>
      </c>
      <c r="J182" s="80">
        <f>SUMIFS('февраль 2024'!$G$6:$G$1413,'февраль 2024'!$D$6:$D$1413,$B182,'февраль 2024'!$J$6:$J$1413,J$1)</f>
        <v>0</v>
      </c>
      <c r="K182" s="80">
        <f>SUMIFS('февраль 2024'!$G$6:$G$1413,'февраль 2024'!$D$6:$D$1413,$B182,'февраль 2024'!$J$6:$J$1413,K$1)</f>
        <v>0</v>
      </c>
      <c r="L182" s="80">
        <f>SUMIFS('февраль 2024'!$G$6:$G$1413,'февраль 2024'!$D$6:$D$1413,$B182,'февраль 2024'!$J$6:$J$1413,L$1)</f>
        <v>0</v>
      </c>
      <c r="M182" s="80">
        <f>SUMIFS('февраль 2024'!$G$6:$G$1413,'февраль 2024'!$D$6:$D$1413,$B182,'февраль 2024'!$J$6:$J$1413,M$1)</f>
        <v>0</v>
      </c>
      <c r="N182" s="80">
        <f>SUMIFS('февраль 2024'!$G$6:$G$1413,'февраль 2024'!$D$6:$D$1413,$B182,'февраль 2024'!$J$6:$J$1413,N$1)</f>
        <v>0</v>
      </c>
      <c r="O182" s="80">
        <f>SUMIFS('февраль 2024'!$G$6:$G$1413,'февраль 2024'!$D$6:$D$1413,$B182,'февраль 2024'!$J$6:$J$1413,O$1)</f>
        <v>0</v>
      </c>
      <c r="P182" s="80">
        <f>SUMIFS('февраль 2024'!$G$6:$G$1413,'февраль 2024'!$D$6:$D$1413,$B182,'февраль 2024'!$J$6:$J$1413,P$1)</f>
        <v>0</v>
      </c>
      <c r="Q182" s="80">
        <f>SUMIFS('февраль 2024'!$G$6:$G$1413,'февраль 2024'!$D$6:$D$1413,$B182,'февраль 2024'!$J$6:$J$1413,Q$1)</f>
        <v>0</v>
      </c>
      <c r="R182" s="80">
        <f>SUMIFS('февраль 2024'!$G$6:$G$1413,'февраль 2024'!$D$6:$D$1413,$B182,'февраль 2024'!$J$6:$J$1413,R$1)</f>
        <v>0</v>
      </c>
      <c r="S182" s="80">
        <f>SUMIFS('февраль 2024'!$G$6:$G$1413,'февраль 2024'!$D$6:$D$1413,$B182,'февраль 2024'!$J$6:$J$1413,S$1)</f>
        <v>0</v>
      </c>
      <c r="T182" s="80">
        <f>SUMIFS('февраль 2024'!$G$6:$G$1413,'февраль 2024'!$D$6:$D$1413,$B182,'февраль 2024'!$J$6:$J$1413,T$1)</f>
        <v>0</v>
      </c>
      <c r="U182" s="80">
        <f>SUMIFS('февраль 2024'!$G$6:$G$1413,'февраль 2024'!$D$6:$D$1413,$B182,'февраль 2024'!$J$6:$J$1413,U$1)</f>
        <v>0</v>
      </c>
      <c r="V182" s="80">
        <f>SUMIFS('февраль 2024'!$G$6:$G$1413,'февраль 2024'!$D$6:$D$1413,$B182,'февраль 2024'!$J$6:$J$1413,V$1)</f>
        <v>0</v>
      </c>
      <c r="W182" s="80">
        <f>SUMIFS('февраль 2024'!$G$6:$G$1413,'февраль 2024'!$D$6:$D$1413,$B182,'февраль 2024'!$J$6:$J$1413,W$1)</f>
        <v>0</v>
      </c>
      <c r="X182" s="80">
        <f>SUMIFS('февраль 2024'!$G$6:$G$1413,'февраль 2024'!$D$6:$D$1413,$B182,'февраль 2024'!$J$6:$J$1413,X$1)</f>
        <v>0</v>
      </c>
      <c r="Y182" s="80">
        <f>SUMIFS('февраль 2024'!$G$6:$G$1413,'февраль 2024'!$D$6:$D$1413,$B182,'февраль 2024'!$J$6:$J$1413,Y$1)</f>
        <v>0</v>
      </c>
      <c r="Z182" s="80">
        <f>SUMIFS('февраль 2024'!$G$6:$G$1413,'февраль 2024'!$D$6:$D$1413,$B182,'февраль 2024'!$J$6:$J$1413,Z$1)</f>
        <v>0</v>
      </c>
      <c r="AA182" s="80">
        <f>SUMIFS('февраль 2024'!$G$6:$G$1413,'февраль 2024'!$D$6:$D$1413,$B182,'февраль 2024'!$J$6:$J$1413,AA$1)</f>
        <v>0</v>
      </c>
      <c r="AB182" s="80">
        <f>SUMIFS('февраль 2024'!$G$6:$G$1413,'февраль 2024'!$D$6:$D$1413,$B182,'февраль 2024'!$J$6:$J$1413,AB$1)</f>
        <v>0</v>
      </c>
      <c r="AC182" s="80">
        <f>SUMIFS('февраль 2024'!$G$6:$G$1413,'февраль 2024'!$D$6:$D$1413,$B182,'февраль 2024'!$J$6:$J$1413,AC$1)</f>
        <v>0</v>
      </c>
      <c r="AD182" s="80">
        <f>SUMIFS('февраль 2024'!$G$6:$G$1413,'февраль 2024'!$D$6:$D$1413,$B182,'февраль 2024'!$J$6:$J$1413,AD$1)</f>
        <v>0</v>
      </c>
      <c r="AE182" s="80">
        <f>SUMIFS('февраль 2024'!$G$6:$G$1413,'февраль 2024'!$D$6:$D$1413,$B182,'февраль 2024'!$J$6:$J$1413,AE$1)</f>
        <v>0</v>
      </c>
      <c r="AF182" s="80">
        <f>SUMIFS('февраль 2024'!$G$6:$G$1413,'февраль 2024'!$D$6:$D$1413,$B182,'февраль 2024'!$J$6:$J$1413,AF$1)</f>
        <v>0</v>
      </c>
      <c r="AG182" s="80">
        <f>SUMIFS('февраль 2024'!$G$6:$G$1413,'февраль 2024'!$D$6:$D$1413,$B182,'февраль 2024'!$J$6:$J$1413,AG$1)</f>
        <v>0</v>
      </c>
      <c r="AH182" s="80">
        <f>SUMIFS('февраль 2024'!$G$6:$G$1413,'февраль 2024'!$D$6:$D$1413,$B182,'февраль 2024'!$J$6:$J$1413,AH$1)</f>
        <v>0</v>
      </c>
      <c r="AI182" s="87"/>
    </row>
    <row r="183" spans="2:35" ht="15" hidden="1" customHeight="1" x14ac:dyDescent="0.25">
      <c r="B183" s="89"/>
      <c r="C183" s="88"/>
      <c r="D183" s="80">
        <f>SUMIFS('февраль 2024'!$G$6:$G$1413,'февраль 2024'!$D$6:$D$1413,$B183,'февраль 2024'!$J$6:$J$1413,D$1)</f>
        <v>0</v>
      </c>
      <c r="E183" s="80">
        <f>SUMIFS('февраль 2024'!$G$6:$G$1413,'февраль 2024'!$D$6:$D$1413,$B183,'февраль 2024'!$J$6:$J$1413,E$1)</f>
        <v>0</v>
      </c>
      <c r="F183" s="80">
        <f>SUMIFS('февраль 2024'!$G$6:$G$1413,'февраль 2024'!$D$6:$D$1413,$B183,'февраль 2024'!$J$6:$J$1413,F$1)</f>
        <v>0</v>
      </c>
      <c r="G183" s="80">
        <f>SUMIFS('февраль 2024'!$G$6:$G$1413,'февраль 2024'!$D$6:$D$1413,$B183,'февраль 2024'!$J$6:$J$1413,G$1)</f>
        <v>0</v>
      </c>
      <c r="H183" s="80">
        <f>SUMIFS('февраль 2024'!$G$6:$G$1413,'февраль 2024'!$D$6:$D$1413,$B183,'февраль 2024'!$J$6:$J$1413,H$1)</f>
        <v>0</v>
      </c>
      <c r="I183" s="80">
        <f>SUMIFS('февраль 2024'!$G$6:$G$1413,'февраль 2024'!$D$6:$D$1413,$B183,'февраль 2024'!$J$6:$J$1413,I$1)</f>
        <v>0</v>
      </c>
      <c r="J183" s="80">
        <f>SUMIFS('февраль 2024'!$G$6:$G$1413,'февраль 2024'!$D$6:$D$1413,$B183,'февраль 2024'!$J$6:$J$1413,J$1)</f>
        <v>0</v>
      </c>
      <c r="K183" s="80">
        <f>SUMIFS('февраль 2024'!$G$6:$G$1413,'февраль 2024'!$D$6:$D$1413,$B183,'февраль 2024'!$J$6:$J$1413,K$1)</f>
        <v>0</v>
      </c>
      <c r="L183" s="80">
        <f>SUMIFS('февраль 2024'!$G$6:$G$1413,'февраль 2024'!$D$6:$D$1413,$B183,'февраль 2024'!$J$6:$J$1413,L$1)</f>
        <v>0</v>
      </c>
      <c r="M183" s="80">
        <f>SUMIFS('февраль 2024'!$G$6:$G$1413,'февраль 2024'!$D$6:$D$1413,$B183,'февраль 2024'!$J$6:$J$1413,M$1)</f>
        <v>0</v>
      </c>
      <c r="N183" s="80">
        <f>SUMIFS('февраль 2024'!$G$6:$G$1413,'февраль 2024'!$D$6:$D$1413,$B183,'февраль 2024'!$J$6:$J$1413,N$1)</f>
        <v>0</v>
      </c>
      <c r="O183" s="80">
        <f>SUMIFS('февраль 2024'!$G$6:$G$1413,'февраль 2024'!$D$6:$D$1413,$B183,'февраль 2024'!$J$6:$J$1413,O$1)</f>
        <v>0</v>
      </c>
      <c r="P183" s="80">
        <f>SUMIFS('февраль 2024'!$G$6:$G$1413,'февраль 2024'!$D$6:$D$1413,$B183,'февраль 2024'!$J$6:$J$1413,P$1)</f>
        <v>0</v>
      </c>
      <c r="Q183" s="80">
        <f>SUMIFS('февраль 2024'!$G$6:$G$1413,'февраль 2024'!$D$6:$D$1413,$B183,'февраль 2024'!$J$6:$J$1413,Q$1)</f>
        <v>0</v>
      </c>
      <c r="R183" s="80">
        <f>SUMIFS('февраль 2024'!$G$6:$G$1413,'февраль 2024'!$D$6:$D$1413,$B183,'февраль 2024'!$J$6:$J$1413,R$1)</f>
        <v>0</v>
      </c>
      <c r="S183" s="80">
        <f>SUMIFS('февраль 2024'!$G$6:$G$1413,'февраль 2024'!$D$6:$D$1413,$B183,'февраль 2024'!$J$6:$J$1413,S$1)</f>
        <v>0</v>
      </c>
      <c r="T183" s="80">
        <f>SUMIFS('февраль 2024'!$G$6:$G$1413,'февраль 2024'!$D$6:$D$1413,$B183,'февраль 2024'!$J$6:$J$1413,T$1)</f>
        <v>0</v>
      </c>
      <c r="U183" s="80">
        <f>SUMIFS('февраль 2024'!$G$6:$G$1413,'февраль 2024'!$D$6:$D$1413,$B183,'февраль 2024'!$J$6:$J$1413,U$1)</f>
        <v>0</v>
      </c>
      <c r="V183" s="80">
        <f>SUMIFS('февраль 2024'!$G$6:$G$1413,'февраль 2024'!$D$6:$D$1413,$B183,'февраль 2024'!$J$6:$J$1413,V$1)</f>
        <v>0</v>
      </c>
      <c r="W183" s="80">
        <f>SUMIFS('февраль 2024'!$G$6:$G$1413,'февраль 2024'!$D$6:$D$1413,$B183,'февраль 2024'!$J$6:$J$1413,W$1)</f>
        <v>0</v>
      </c>
      <c r="X183" s="80">
        <f>SUMIFS('февраль 2024'!$G$6:$G$1413,'февраль 2024'!$D$6:$D$1413,$B183,'февраль 2024'!$J$6:$J$1413,X$1)</f>
        <v>0</v>
      </c>
      <c r="Y183" s="80">
        <f>SUMIFS('февраль 2024'!$G$6:$G$1413,'февраль 2024'!$D$6:$D$1413,$B183,'февраль 2024'!$J$6:$J$1413,Y$1)</f>
        <v>0</v>
      </c>
      <c r="Z183" s="80">
        <f>SUMIFS('февраль 2024'!$G$6:$G$1413,'февраль 2024'!$D$6:$D$1413,$B183,'февраль 2024'!$J$6:$J$1413,Z$1)</f>
        <v>0</v>
      </c>
      <c r="AA183" s="80">
        <f>SUMIFS('февраль 2024'!$G$6:$G$1413,'февраль 2024'!$D$6:$D$1413,$B183,'февраль 2024'!$J$6:$J$1413,AA$1)</f>
        <v>0</v>
      </c>
      <c r="AB183" s="80">
        <f>SUMIFS('февраль 2024'!$G$6:$G$1413,'февраль 2024'!$D$6:$D$1413,$B183,'февраль 2024'!$J$6:$J$1413,AB$1)</f>
        <v>0</v>
      </c>
      <c r="AC183" s="80">
        <f>SUMIFS('февраль 2024'!$G$6:$G$1413,'февраль 2024'!$D$6:$D$1413,$B183,'февраль 2024'!$J$6:$J$1413,AC$1)</f>
        <v>0</v>
      </c>
      <c r="AD183" s="80">
        <f>SUMIFS('февраль 2024'!$G$6:$G$1413,'февраль 2024'!$D$6:$D$1413,$B183,'февраль 2024'!$J$6:$J$1413,AD$1)</f>
        <v>0</v>
      </c>
      <c r="AE183" s="80">
        <f>SUMIFS('февраль 2024'!$G$6:$G$1413,'февраль 2024'!$D$6:$D$1413,$B183,'февраль 2024'!$J$6:$J$1413,AE$1)</f>
        <v>0</v>
      </c>
      <c r="AF183" s="80">
        <f>SUMIFS('февраль 2024'!$G$6:$G$1413,'февраль 2024'!$D$6:$D$1413,$B183,'февраль 2024'!$J$6:$J$1413,AF$1)</f>
        <v>0</v>
      </c>
      <c r="AG183" s="80">
        <f>SUMIFS('февраль 2024'!$G$6:$G$1413,'февраль 2024'!$D$6:$D$1413,$B183,'февраль 2024'!$J$6:$J$1413,AG$1)</f>
        <v>0</v>
      </c>
      <c r="AH183" s="80">
        <f>SUMIFS('февраль 2024'!$G$6:$G$1413,'февраль 2024'!$D$6:$D$1413,$B183,'февраль 2024'!$J$6:$J$1413,AH$1)</f>
        <v>0</v>
      </c>
      <c r="AI183" s="87"/>
    </row>
    <row r="184" spans="2:35" ht="15" hidden="1" customHeight="1" x14ac:dyDescent="0.25">
      <c r="B184" s="89"/>
      <c r="C184" s="88"/>
      <c r="D184" s="80">
        <f>SUMIFS('февраль 2024'!$G$6:$G$1413,'февраль 2024'!$D$6:$D$1413,$B184,'февраль 2024'!$J$6:$J$1413,D$1)</f>
        <v>0</v>
      </c>
      <c r="E184" s="80">
        <f>SUMIFS('февраль 2024'!$G$6:$G$1413,'февраль 2024'!$D$6:$D$1413,$B184,'февраль 2024'!$J$6:$J$1413,E$1)</f>
        <v>0</v>
      </c>
      <c r="F184" s="80">
        <f>SUMIFS('февраль 2024'!$G$6:$G$1413,'февраль 2024'!$D$6:$D$1413,$B184,'февраль 2024'!$J$6:$J$1413,F$1)</f>
        <v>0</v>
      </c>
      <c r="G184" s="80">
        <f>SUMIFS('февраль 2024'!$G$6:$G$1413,'февраль 2024'!$D$6:$D$1413,$B184,'февраль 2024'!$J$6:$J$1413,G$1)</f>
        <v>0</v>
      </c>
      <c r="H184" s="80">
        <f>SUMIFS('февраль 2024'!$G$6:$G$1413,'февраль 2024'!$D$6:$D$1413,$B184,'февраль 2024'!$J$6:$J$1413,H$1)</f>
        <v>0</v>
      </c>
      <c r="I184" s="80">
        <f>SUMIFS('февраль 2024'!$G$6:$G$1413,'февраль 2024'!$D$6:$D$1413,$B184,'февраль 2024'!$J$6:$J$1413,I$1)</f>
        <v>0</v>
      </c>
      <c r="J184" s="80">
        <f>SUMIFS('февраль 2024'!$G$6:$G$1413,'февраль 2024'!$D$6:$D$1413,$B184,'февраль 2024'!$J$6:$J$1413,J$1)</f>
        <v>0</v>
      </c>
      <c r="K184" s="80">
        <f>SUMIFS('февраль 2024'!$G$6:$G$1413,'февраль 2024'!$D$6:$D$1413,$B184,'февраль 2024'!$J$6:$J$1413,K$1)</f>
        <v>0</v>
      </c>
      <c r="L184" s="80">
        <f>SUMIFS('февраль 2024'!$G$6:$G$1413,'февраль 2024'!$D$6:$D$1413,$B184,'февраль 2024'!$J$6:$J$1413,L$1)</f>
        <v>0</v>
      </c>
      <c r="M184" s="80">
        <f>SUMIFS('февраль 2024'!$G$6:$G$1413,'февраль 2024'!$D$6:$D$1413,$B184,'февраль 2024'!$J$6:$J$1413,M$1)</f>
        <v>0</v>
      </c>
      <c r="N184" s="80">
        <f>SUMIFS('февраль 2024'!$G$6:$G$1413,'февраль 2024'!$D$6:$D$1413,$B184,'февраль 2024'!$J$6:$J$1413,N$1)</f>
        <v>0</v>
      </c>
      <c r="O184" s="80">
        <f>SUMIFS('февраль 2024'!$G$6:$G$1413,'февраль 2024'!$D$6:$D$1413,$B184,'февраль 2024'!$J$6:$J$1413,O$1)</f>
        <v>0</v>
      </c>
      <c r="P184" s="80">
        <f>SUMIFS('февраль 2024'!$G$6:$G$1413,'февраль 2024'!$D$6:$D$1413,$B184,'февраль 2024'!$J$6:$J$1413,P$1)</f>
        <v>0</v>
      </c>
      <c r="Q184" s="80">
        <f>SUMIFS('февраль 2024'!$G$6:$G$1413,'февраль 2024'!$D$6:$D$1413,$B184,'февраль 2024'!$J$6:$J$1413,Q$1)</f>
        <v>0</v>
      </c>
      <c r="R184" s="80">
        <f>SUMIFS('февраль 2024'!$G$6:$G$1413,'февраль 2024'!$D$6:$D$1413,$B184,'февраль 2024'!$J$6:$J$1413,R$1)</f>
        <v>0</v>
      </c>
      <c r="S184" s="80">
        <f>SUMIFS('февраль 2024'!$G$6:$G$1413,'февраль 2024'!$D$6:$D$1413,$B184,'февраль 2024'!$J$6:$J$1413,S$1)</f>
        <v>0</v>
      </c>
      <c r="T184" s="80">
        <f>SUMIFS('февраль 2024'!$G$6:$G$1413,'февраль 2024'!$D$6:$D$1413,$B184,'февраль 2024'!$J$6:$J$1413,T$1)</f>
        <v>0</v>
      </c>
      <c r="U184" s="80">
        <f>SUMIFS('февраль 2024'!$G$6:$G$1413,'февраль 2024'!$D$6:$D$1413,$B184,'февраль 2024'!$J$6:$J$1413,U$1)</f>
        <v>0</v>
      </c>
      <c r="V184" s="80">
        <f>SUMIFS('февраль 2024'!$G$6:$G$1413,'февраль 2024'!$D$6:$D$1413,$B184,'февраль 2024'!$J$6:$J$1413,V$1)</f>
        <v>0</v>
      </c>
      <c r="W184" s="80">
        <f>SUMIFS('февраль 2024'!$G$6:$G$1413,'февраль 2024'!$D$6:$D$1413,$B184,'февраль 2024'!$J$6:$J$1413,W$1)</f>
        <v>0</v>
      </c>
      <c r="X184" s="80">
        <f>SUMIFS('февраль 2024'!$G$6:$G$1413,'февраль 2024'!$D$6:$D$1413,$B184,'февраль 2024'!$J$6:$J$1413,X$1)</f>
        <v>0</v>
      </c>
      <c r="Y184" s="80">
        <f>SUMIFS('февраль 2024'!$G$6:$G$1413,'февраль 2024'!$D$6:$D$1413,$B184,'февраль 2024'!$J$6:$J$1413,Y$1)</f>
        <v>0</v>
      </c>
      <c r="Z184" s="80">
        <f>SUMIFS('февраль 2024'!$G$6:$G$1413,'февраль 2024'!$D$6:$D$1413,$B184,'февраль 2024'!$J$6:$J$1413,Z$1)</f>
        <v>0</v>
      </c>
      <c r="AA184" s="80">
        <f>SUMIFS('февраль 2024'!$G$6:$G$1413,'февраль 2024'!$D$6:$D$1413,$B184,'февраль 2024'!$J$6:$J$1413,AA$1)</f>
        <v>0</v>
      </c>
      <c r="AB184" s="80">
        <f>SUMIFS('февраль 2024'!$G$6:$G$1413,'февраль 2024'!$D$6:$D$1413,$B184,'февраль 2024'!$J$6:$J$1413,AB$1)</f>
        <v>0</v>
      </c>
      <c r="AC184" s="80">
        <f>SUMIFS('февраль 2024'!$G$6:$G$1413,'февраль 2024'!$D$6:$D$1413,$B184,'февраль 2024'!$J$6:$J$1413,AC$1)</f>
        <v>0</v>
      </c>
      <c r="AD184" s="80">
        <f>SUMIFS('февраль 2024'!$G$6:$G$1413,'февраль 2024'!$D$6:$D$1413,$B184,'февраль 2024'!$J$6:$J$1413,AD$1)</f>
        <v>0</v>
      </c>
      <c r="AE184" s="80">
        <f>SUMIFS('февраль 2024'!$G$6:$G$1413,'февраль 2024'!$D$6:$D$1413,$B184,'февраль 2024'!$J$6:$J$1413,AE$1)</f>
        <v>0</v>
      </c>
      <c r="AF184" s="80">
        <f>SUMIFS('февраль 2024'!$G$6:$G$1413,'февраль 2024'!$D$6:$D$1413,$B184,'февраль 2024'!$J$6:$J$1413,AF$1)</f>
        <v>0</v>
      </c>
      <c r="AG184" s="80">
        <f>SUMIFS('февраль 2024'!$G$6:$G$1413,'февраль 2024'!$D$6:$D$1413,$B184,'февраль 2024'!$J$6:$J$1413,AG$1)</f>
        <v>0</v>
      </c>
      <c r="AH184" s="80">
        <f>SUMIFS('февраль 2024'!$G$6:$G$1413,'февраль 2024'!$D$6:$D$1413,$B184,'февраль 2024'!$J$6:$J$1413,AH$1)</f>
        <v>0</v>
      </c>
      <c r="AI184" s="87"/>
    </row>
    <row r="185" spans="2:35" ht="15" hidden="1" customHeight="1" x14ac:dyDescent="0.25">
      <c r="B185" s="89"/>
      <c r="C185" s="88"/>
      <c r="D185" s="80">
        <f>SUMIFS('февраль 2024'!$G$6:$G$1413,'февраль 2024'!$D$6:$D$1413,$B185,'февраль 2024'!$J$6:$J$1413,D$1)</f>
        <v>0</v>
      </c>
      <c r="E185" s="80">
        <f>SUMIFS('февраль 2024'!$G$6:$G$1413,'февраль 2024'!$D$6:$D$1413,$B185,'февраль 2024'!$J$6:$J$1413,E$1)</f>
        <v>0</v>
      </c>
      <c r="F185" s="80">
        <f>SUMIFS('февраль 2024'!$G$6:$G$1413,'февраль 2024'!$D$6:$D$1413,$B185,'февраль 2024'!$J$6:$J$1413,F$1)</f>
        <v>0</v>
      </c>
      <c r="G185" s="80">
        <f>SUMIFS('февраль 2024'!$G$6:$G$1413,'февраль 2024'!$D$6:$D$1413,$B185,'февраль 2024'!$J$6:$J$1413,G$1)</f>
        <v>0</v>
      </c>
      <c r="H185" s="80">
        <f>SUMIFS('февраль 2024'!$G$6:$G$1413,'февраль 2024'!$D$6:$D$1413,$B185,'февраль 2024'!$J$6:$J$1413,H$1)</f>
        <v>0</v>
      </c>
      <c r="I185" s="80">
        <f>SUMIFS('февраль 2024'!$G$6:$G$1413,'февраль 2024'!$D$6:$D$1413,$B185,'февраль 2024'!$J$6:$J$1413,I$1)</f>
        <v>0</v>
      </c>
      <c r="J185" s="80">
        <f>SUMIFS('февраль 2024'!$G$6:$G$1413,'февраль 2024'!$D$6:$D$1413,$B185,'февраль 2024'!$J$6:$J$1413,J$1)</f>
        <v>0</v>
      </c>
      <c r="K185" s="80">
        <f>SUMIFS('февраль 2024'!$G$6:$G$1413,'февраль 2024'!$D$6:$D$1413,$B185,'февраль 2024'!$J$6:$J$1413,K$1)</f>
        <v>0</v>
      </c>
      <c r="L185" s="80">
        <f>SUMIFS('февраль 2024'!$G$6:$G$1413,'февраль 2024'!$D$6:$D$1413,$B185,'февраль 2024'!$J$6:$J$1413,L$1)</f>
        <v>0</v>
      </c>
      <c r="M185" s="80">
        <f>SUMIFS('февраль 2024'!$G$6:$G$1413,'февраль 2024'!$D$6:$D$1413,$B185,'февраль 2024'!$J$6:$J$1413,M$1)</f>
        <v>0</v>
      </c>
      <c r="N185" s="80">
        <f>SUMIFS('февраль 2024'!$G$6:$G$1413,'февраль 2024'!$D$6:$D$1413,$B185,'февраль 2024'!$J$6:$J$1413,N$1)</f>
        <v>0</v>
      </c>
      <c r="O185" s="80">
        <f>SUMIFS('февраль 2024'!$G$6:$G$1413,'февраль 2024'!$D$6:$D$1413,$B185,'февраль 2024'!$J$6:$J$1413,O$1)</f>
        <v>0</v>
      </c>
      <c r="P185" s="80">
        <f>SUMIFS('февраль 2024'!$G$6:$G$1413,'февраль 2024'!$D$6:$D$1413,$B185,'февраль 2024'!$J$6:$J$1413,P$1)</f>
        <v>0</v>
      </c>
      <c r="Q185" s="80">
        <f>SUMIFS('февраль 2024'!$G$6:$G$1413,'февраль 2024'!$D$6:$D$1413,$B185,'февраль 2024'!$J$6:$J$1413,Q$1)</f>
        <v>0</v>
      </c>
      <c r="R185" s="80">
        <f>SUMIFS('февраль 2024'!$G$6:$G$1413,'февраль 2024'!$D$6:$D$1413,$B185,'февраль 2024'!$J$6:$J$1413,R$1)</f>
        <v>0</v>
      </c>
      <c r="S185" s="80">
        <f>SUMIFS('февраль 2024'!$G$6:$G$1413,'февраль 2024'!$D$6:$D$1413,$B185,'февраль 2024'!$J$6:$J$1413,S$1)</f>
        <v>0</v>
      </c>
      <c r="T185" s="80">
        <f>SUMIFS('февраль 2024'!$G$6:$G$1413,'февраль 2024'!$D$6:$D$1413,$B185,'февраль 2024'!$J$6:$J$1413,T$1)</f>
        <v>0</v>
      </c>
      <c r="U185" s="80">
        <f>SUMIFS('февраль 2024'!$G$6:$G$1413,'февраль 2024'!$D$6:$D$1413,$B185,'февраль 2024'!$J$6:$J$1413,U$1)</f>
        <v>0</v>
      </c>
      <c r="V185" s="80">
        <f>SUMIFS('февраль 2024'!$G$6:$G$1413,'февраль 2024'!$D$6:$D$1413,$B185,'февраль 2024'!$J$6:$J$1413,V$1)</f>
        <v>0</v>
      </c>
      <c r="W185" s="80">
        <f>SUMIFS('февраль 2024'!$G$6:$G$1413,'февраль 2024'!$D$6:$D$1413,$B185,'февраль 2024'!$J$6:$J$1413,W$1)</f>
        <v>0</v>
      </c>
      <c r="X185" s="80">
        <f>SUMIFS('февраль 2024'!$G$6:$G$1413,'февраль 2024'!$D$6:$D$1413,$B185,'февраль 2024'!$J$6:$J$1413,X$1)</f>
        <v>0</v>
      </c>
      <c r="Y185" s="80">
        <f>SUMIFS('февраль 2024'!$G$6:$G$1413,'февраль 2024'!$D$6:$D$1413,$B185,'февраль 2024'!$J$6:$J$1413,Y$1)</f>
        <v>0</v>
      </c>
      <c r="Z185" s="80">
        <f>SUMIFS('февраль 2024'!$G$6:$G$1413,'февраль 2024'!$D$6:$D$1413,$B185,'февраль 2024'!$J$6:$J$1413,Z$1)</f>
        <v>0</v>
      </c>
      <c r="AA185" s="80">
        <f>SUMIFS('февраль 2024'!$G$6:$G$1413,'февраль 2024'!$D$6:$D$1413,$B185,'февраль 2024'!$J$6:$J$1413,AA$1)</f>
        <v>0</v>
      </c>
      <c r="AB185" s="80">
        <f>SUMIFS('февраль 2024'!$G$6:$G$1413,'февраль 2024'!$D$6:$D$1413,$B185,'февраль 2024'!$J$6:$J$1413,AB$1)</f>
        <v>0</v>
      </c>
      <c r="AC185" s="80">
        <f>SUMIFS('февраль 2024'!$G$6:$G$1413,'февраль 2024'!$D$6:$D$1413,$B185,'февраль 2024'!$J$6:$J$1413,AC$1)</f>
        <v>0</v>
      </c>
      <c r="AD185" s="80">
        <f>SUMIFS('февраль 2024'!$G$6:$G$1413,'февраль 2024'!$D$6:$D$1413,$B185,'февраль 2024'!$J$6:$J$1413,AD$1)</f>
        <v>0</v>
      </c>
      <c r="AE185" s="80">
        <f>SUMIFS('февраль 2024'!$G$6:$G$1413,'февраль 2024'!$D$6:$D$1413,$B185,'февраль 2024'!$J$6:$J$1413,AE$1)</f>
        <v>0</v>
      </c>
      <c r="AF185" s="80">
        <f>SUMIFS('февраль 2024'!$G$6:$G$1413,'февраль 2024'!$D$6:$D$1413,$B185,'февраль 2024'!$J$6:$J$1413,AF$1)</f>
        <v>0</v>
      </c>
      <c r="AG185" s="80">
        <f>SUMIFS('февраль 2024'!$G$6:$G$1413,'февраль 2024'!$D$6:$D$1413,$B185,'февраль 2024'!$J$6:$J$1413,AG$1)</f>
        <v>0</v>
      </c>
      <c r="AH185" s="80">
        <f>SUMIFS('февраль 2024'!$G$6:$G$1413,'февраль 2024'!$D$6:$D$1413,$B185,'февраль 2024'!$J$6:$J$1413,AH$1)</f>
        <v>0</v>
      </c>
      <c r="AI185" s="87"/>
    </row>
    <row r="186" spans="2:35" ht="15" hidden="1" customHeight="1" x14ac:dyDescent="0.25">
      <c r="B186" s="89"/>
      <c r="C186" s="88"/>
      <c r="D186" s="80">
        <f>SUMIFS('февраль 2024'!$G$6:$G$1413,'февраль 2024'!$D$6:$D$1413,$B186,'февраль 2024'!$J$6:$J$1413,D$1)</f>
        <v>0</v>
      </c>
      <c r="E186" s="80">
        <f>SUMIFS('февраль 2024'!$G$6:$G$1413,'февраль 2024'!$D$6:$D$1413,$B186,'февраль 2024'!$J$6:$J$1413,E$1)</f>
        <v>0</v>
      </c>
      <c r="F186" s="80">
        <f>SUMIFS('февраль 2024'!$G$6:$G$1413,'февраль 2024'!$D$6:$D$1413,$B186,'февраль 2024'!$J$6:$J$1413,F$1)</f>
        <v>0</v>
      </c>
      <c r="G186" s="80">
        <f>SUMIFS('февраль 2024'!$G$6:$G$1413,'февраль 2024'!$D$6:$D$1413,$B186,'февраль 2024'!$J$6:$J$1413,G$1)</f>
        <v>0</v>
      </c>
      <c r="H186" s="80">
        <f>SUMIFS('февраль 2024'!$G$6:$G$1413,'февраль 2024'!$D$6:$D$1413,$B186,'февраль 2024'!$J$6:$J$1413,H$1)</f>
        <v>0</v>
      </c>
      <c r="I186" s="80">
        <f>SUMIFS('февраль 2024'!$G$6:$G$1413,'февраль 2024'!$D$6:$D$1413,$B186,'февраль 2024'!$J$6:$J$1413,I$1)</f>
        <v>0</v>
      </c>
      <c r="J186" s="80">
        <f>SUMIFS('февраль 2024'!$G$6:$G$1413,'февраль 2024'!$D$6:$D$1413,$B186,'февраль 2024'!$J$6:$J$1413,J$1)</f>
        <v>0</v>
      </c>
      <c r="K186" s="80">
        <f>SUMIFS('февраль 2024'!$G$6:$G$1413,'февраль 2024'!$D$6:$D$1413,$B186,'февраль 2024'!$J$6:$J$1413,K$1)</f>
        <v>0</v>
      </c>
      <c r="L186" s="80">
        <f>SUMIFS('февраль 2024'!$G$6:$G$1413,'февраль 2024'!$D$6:$D$1413,$B186,'февраль 2024'!$J$6:$J$1413,L$1)</f>
        <v>0</v>
      </c>
      <c r="M186" s="80">
        <f>SUMIFS('февраль 2024'!$G$6:$G$1413,'февраль 2024'!$D$6:$D$1413,$B186,'февраль 2024'!$J$6:$J$1413,M$1)</f>
        <v>0</v>
      </c>
      <c r="N186" s="80">
        <f>SUMIFS('февраль 2024'!$G$6:$G$1413,'февраль 2024'!$D$6:$D$1413,$B186,'февраль 2024'!$J$6:$J$1413,N$1)</f>
        <v>0</v>
      </c>
      <c r="O186" s="80">
        <f>SUMIFS('февраль 2024'!$G$6:$G$1413,'февраль 2024'!$D$6:$D$1413,$B186,'февраль 2024'!$J$6:$J$1413,O$1)</f>
        <v>0</v>
      </c>
      <c r="P186" s="80">
        <f>SUMIFS('февраль 2024'!$G$6:$G$1413,'февраль 2024'!$D$6:$D$1413,$B186,'февраль 2024'!$J$6:$J$1413,P$1)</f>
        <v>0</v>
      </c>
      <c r="Q186" s="80">
        <f>SUMIFS('февраль 2024'!$G$6:$G$1413,'февраль 2024'!$D$6:$D$1413,$B186,'февраль 2024'!$J$6:$J$1413,Q$1)</f>
        <v>0</v>
      </c>
      <c r="R186" s="80">
        <f>SUMIFS('февраль 2024'!$G$6:$G$1413,'февраль 2024'!$D$6:$D$1413,$B186,'февраль 2024'!$J$6:$J$1413,R$1)</f>
        <v>0</v>
      </c>
      <c r="S186" s="80">
        <f>SUMIFS('февраль 2024'!$G$6:$G$1413,'февраль 2024'!$D$6:$D$1413,$B186,'февраль 2024'!$J$6:$J$1413,S$1)</f>
        <v>0</v>
      </c>
      <c r="T186" s="80">
        <f>SUMIFS('февраль 2024'!$G$6:$G$1413,'февраль 2024'!$D$6:$D$1413,$B186,'февраль 2024'!$J$6:$J$1413,T$1)</f>
        <v>0</v>
      </c>
      <c r="U186" s="80">
        <f>SUMIFS('февраль 2024'!$G$6:$G$1413,'февраль 2024'!$D$6:$D$1413,$B186,'февраль 2024'!$J$6:$J$1413,U$1)</f>
        <v>0</v>
      </c>
      <c r="V186" s="80">
        <f>SUMIFS('февраль 2024'!$G$6:$G$1413,'февраль 2024'!$D$6:$D$1413,$B186,'февраль 2024'!$J$6:$J$1413,V$1)</f>
        <v>0</v>
      </c>
      <c r="W186" s="80">
        <f>SUMIFS('февраль 2024'!$G$6:$G$1413,'февраль 2024'!$D$6:$D$1413,$B186,'февраль 2024'!$J$6:$J$1413,W$1)</f>
        <v>0</v>
      </c>
      <c r="X186" s="80">
        <f>SUMIFS('февраль 2024'!$G$6:$G$1413,'февраль 2024'!$D$6:$D$1413,$B186,'февраль 2024'!$J$6:$J$1413,X$1)</f>
        <v>0</v>
      </c>
      <c r="Y186" s="80">
        <f>SUMIFS('февраль 2024'!$G$6:$G$1413,'февраль 2024'!$D$6:$D$1413,$B186,'февраль 2024'!$J$6:$J$1413,Y$1)</f>
        <v>0</v>
      </c>
      <c r="Z186" s="80">
        <f>SUMIFS('февраль 2024'!$G$6:$G$1413,'февраль 2024'!$D$6:$D$1413,$B186,'февраль 2024'!$J$6:$J$1413,Z$1)</f>
        <v>0</v>
      </c>
      <c r="AA186" s="80">
        <f>SUMIFS('февраль 2024'!$G$6:$G$1413,'февраль 2024'!$D$6:$D$1413,$B186,'февраль 2024'!$J$6:$J$1413,AA$1)</f>
        <v>0</v>
      </c>
      <c r="AB186" s="80">
        <f>SUMIFS('февраль 2024'!$G$6:$G$1413,'февраль 2024'!$D$6:$D$1413,$B186,'февраль 2024'!$J$6:$J$1413,AB$1)</f>
        <v>0</v>
      </c>
      <c r="AC186" s="80">
        <f>SUMIFS('февраль 2024'!$G$6:$G$1413,'февраль 2024'!$D$6:$D$1413,$B186,'февраль 2024'!$J$6:$J$1413,AC$1)</f>
        <v>0</v>
      </c>
      <c r="AD186" s="80">
        <f>SUMIFS('февраль 2024'!$G$6:$G$1413,'февраль 2024'!$D$6:$D$1413,$B186,'февраль 2024'!$J$6:$J$1413,AD$1)</f>
        <v>0</v>
      </c>
      <c r="AE186" s="80">
        <f>SUMIFS('февраль 2024'!$G$6:$G$1413,'февраль 2024'!$D$6:$D$1413,$B186,'февраль 2024'!$J$6:$J$1413,AE$1)</f>
        <v>0</v>
      </c>
      <c r="AF186" s="80">
        <f>SUMIFS('февраль 2024'!$G$6:$G$1413,'февраль 2024'!$D$6:$D$1413,$B186,'февраль 2024'!$J$6:$J$1413,AF$1)</f>
        <v>0</v>
      </c>
      <c r="AG186" s="80">
        <f>SUMIFS('февраль 2024'!$G$6:$G$1413,'февраль 2024'!$D$6:$D$1413,$B186,'февраль 2024'!$J$6:$J$1413,AG$1)</f>
        <v>0</v>
      </c>
      <c r="AH186" s="80">
        <f>SUMIFS('февраль 2024'!$G$6:$G$1413,'февраль 2024'!$D$6:$D$1413,$B186,'февраль 2024'!$J$6:$J$1413,AH$1)</f>
        <v>0</v>
      </c>
      <c r="AI186" s="87"/>
    </row>
    <row r="187" spans="2:35" ht="15" hidden="1" customHeight="1" x14ac:dyDescent="0.25">
      <c r="B187" s="89"/>
      <c r="C187" s="88"/>
      <c r="D187" s="80">
        <f>SUMIFS('февраль 2024'!$G$6:$G$1413,'февраль 2024'!$D$6:$D$1413,$B187,'февраль 2024'!$J$6:$J$1413,D$1)</f>
        <v>0</v>
      </c>
      <c r="E187" s="80">
        <f>SUMIFS('февраль 2024'!$G$6:$G$1413,'февраль 2024'!$D$6:$D$1413,$B187,'февраль 2024'!$J$6:$J$1413,E$1)</f>
        <v>0</v>
      </c>
      <c r="F187" s="80">
        <f>SUMIFS('февраль 2024'!$G$6:$G$1413,'февраль 2024'!$D$6:$D$1413,$B187,'февраль 2024'!$J$6:$J$1413,F$1)</f>
        <v>0</v>
      </c>
      <c r="G187" s="80">
        <f>SUMIFS('февраль 2024'!$G$6:$G$1413,'февраль 2024'!$D$6:$D$1413,$B187,'февраль 2024'!$J$6:$J$1413,G$1)</f>
        <v>0</v>
      </c>
      <c r="H187" s="80">
        <f>SUMIFS('февраль 2024'!$G$6:$G$1413,'февраль 2024'!$D$6:$D$1413,$B187,'февраль 2024'!$J$6:$J$1413,H$1)</f>
        <v>0</v>
      </c>
      <c r="I187" s="80">
        <f>SUMIFS('февраль 2024'!$G$6:$G$1413,'февраль 2024'!$D$6:$D$1413,$B187,'февраль 2024'!$J$6:$J$1413,I$1)</f>
        <v>0</v>
      </c>
      <c r="J187" s="80">
        <f>SUMIFS('февраль 2024'!$G$6:$G$1413,'февраль 2024'!$D$6:$D$1413,$B187,'февраль 2024'!$J$6:$J$1413,J$1)</f>
        <v>0</v>
      </c>
      <c r="K187" s="80">
        <f>SUMIFS('февраль 2024'!$G$6:$G$1413,'февраль 2024'!$D$6:$D$1413,$B187,'февраль 2024'!$J$6:$J$1413,K$1)</f>
        <v>0</v>
      </c>
      <c r="L187" s="80">
        <f>SUMIFS('февраль 2024'!$G$6:$G$1413,'февраль 2024'!$D$6:$D$1413,$B187,'февраль 2024'!$J$6:$J$1413,L$1)</f>
        <v>0</v>
      </c>
      <c r="M187" s="80">
        <f>SUMIFS('февраль 2024'!$G$6:$G$1413,'февраль 2024'!$D$6:$D$1413,$B187,'февраль 2024'!$J$6:$J$1413,M$1)</f>
        <v>0</v>
      </c>
      <c r="N187" s="80">
        <f>SUMIFS('февраль 2024'!$G$6:$G$1413,'февраль 2024'!$D$6:$D$1413,$B187,'февраль 2024'!$J$6:$J$1413,N$1)</f>
        <v>0</v>
      </c>
      <c r="O187" s="80">
        <f>SUMIFS('февраль 2024'!$G$6:$G$1413,'февраль 2024'!$D$6:$D$1413,$B187,'февраль 2024'!$J$6:$J$1413,O$1)</f>
        <v>0</v>
      </c>
      <c r="P187" s="80">
        <f>SUMIFS('февраль 2024'!$G$6:$G$1413,'февраль 2024'!$D$6:$D$1413,$B187,'февраль 2024'!$J$6:$J$1413,P$1)</f>
        <v>0</v>
      </c>
      <c r="Q187" s="80">
        <f>SUMIFS('февраль 2024'!$G$6:$G$1413,'февраль 2024'!$D$6:$D$1413,$B187,'февраль 2024'!$J$6:$J$1413,Q$1)</f>
        <v>0</v>
      </c>
      <c r="R187" s="80">
        <f>SUMIFS('февраль 2024'!$G$6:$G$1413,'февраль 2024'!$D$6:$D$1413,$B187,'февраль 2024'!$J$6:$J$1413,R$1)</f>
        <v>0</v>
      </c>
      <c r="S187" s="80">
        <f>SUMIFS('февраль 2024'!$G$6:$G$1413,'февраль 2024'!$D$6:$D$1413,$B187,'февраль 2024'!$J$6:$J$1413,S$1)</f>
        <v>0</v>
      </c>
      <c r="T187" s="80">
        <f>SUMIFS('февраль 2024'!$G$6:$G$1413,'февраль 2024'!$D$6:$D$1413,$B187,'февраль 2024'!$J$6:$J$1413,T$1)</f>
        <v>0</v>
      </c>
      <c r="U187" s="80">
        <f>SUMIFS('февраль 2024'!$G$6:$G$1413,'февраль 2024'!$D$6:$D$1413,$B187,'февраль 2024'!$J$6:$J$1413,U$1)</f>
        <v>0</v>
      </c>
      <c r="V187" s="80">
        <f>SUMIFS('февраль 2024'!$G$6:$G$1413,'февраль 2024'!$D$6:$D$1413,$B187,'февраль 2024'!$J$6:$J$1413,V$1)</f>
        <v>0</v>
      </c>
      <c r="W187" s="80">
        <f>SUMIFS('февраль 2024'!$G$6:$G$1413,'февраль 2024'!$D$6:$D$1413,$B187,'февраль 2024'!$J$6:$J$1413,W$1)</f>
        <v>0</v>
      </c>
      <c r="X187" s="80">
        <f>SUMIFS('февраль 2024'!$G$6:$G$1413,'февраль 2024'!$D$6:$D$1413,$B187,'февраль 2024'!$J$6:$J$1413,X$1)</f>
        <v>0</v>
      </c>
      <c r="Y187" s="80">
        <f>SUMIFS('февраль 2024'!$G$6:$G$1413,'февраль 2024'!$D$6:$D$1413,$B187,'февраль 2024'!$J$6:$J$1413,Y$1)</f>
        <v>0</v>
      </c>
      <c r="Z187" s="80">
        <f>SUMIFS('февраль 2024'!$G$6:$G$1413,'февраль 2024'!$D$6:$D$1413,$B187,'февраль 2024'!$J$6:$J$1413,Z$1)</f>
        <v>0</v>
      </c>
      <c r="AA187" s="80">
        <f>SUMIFS('февраль 2024'!$G$6:$G$1413,'февраль 2024'!$D$6:$D$1413,$B187,'февраль 2024'!$J$6:$J$1413,AA$1)</f>
        <v>0</v>
      </c>
      <c r="AB187" s="80">
        <f>SUMIFS('февраль 2024'!$G$6:$G$1413,'февраль 2024'!$D$6:$D$1413,$B187,'февраль 2024'!$J$6:$J$1413,AB$1)</f>
        <v>0</v>
      </c>
      <c r="AC187" s="80">
        <f>SUMIFS('февраль 2024'!$G$6:$G$1413,'февраль 2024'!$D$6:$D$1413,$B187,'февраль 2024'!$J$6:$J$1413,AC$1)</f>
        <v>0</v>
      </c>
      <c r="AD187" s="80">
        <f>SUMIFS('февраль 2024'!$G$6:$G$1413,'февраль 2024'!$D$6:$D$1413,$B187,'февраль 2024'!$J$6:$J$1413,AD$1)</f>
        <v>0</v>
      </c>
      <c r="AE187" s="80">
        <f>SUMIFS('февраль 2024'!$G$6:$G$1413,'февраль 2024'!$D$6:$D$1413,$B187,'февраль 2024'!$J$6:$J$1413,AE$1)</f>
        <v>0</v>
      </c>
      <c r="AF187" s="80">
        <f>SUMIFS('февраль 2024'!$G$6:$G$1413,'февраль 2024'!$D$6:$D$1413,$B187,'февраль 2024'!$J$6:$J$1413,AF$1)</f>
        <v>0</v>
      </c>
      <c r="AG187" s="80">
        <f>SUMIFS('февраль 2024'!$G$6:$G$1413,'февраль 2024'!$D$6:$D$1413,$B187,'февраль 2024'!$J$6:$J$1413,AG$1)</f>
        <v>0</v>
      </c>
      <c r="AH187" s="80">
        <f>SUMIFS('февраль 2024'!$G$6:$G$1413,'февраль 2024'!$D$6:$D$1413,$B187,'февраль 2024'!$J$6:$J$1413,AH$1)</f>
        <v>0</v>
      </c>
      <c r="AI187" s="87"/>
    </row>
    <row r="188" spans="2:35" ht="15" hidden="1" customHeight="1" x14ac:dyDescent="0.25">
      <c r="B188" s="89"/>
      <c r="C188" s="88"/>
      <c r="D188" s="80">
        <f>SUMIFS('февраль 2024'!$G$6:$G$1413,'февраль 2024'!$D$6:$D$1413,$B188,'февраль 2024'!$J$6:$J$1413,D$1)</f>
        <v>0</v>
      </c>
      <c r="E188" s="80">
        <f>SUMIFS('февраль 2024'!$G$6:$G$1413,'февраль 2024'!$D$6:$D$1413,$B188,'февраль 2024'!$J$6:$J$1413,E$1)</f>
        <v>0</v>
      </c>
      <c r="F188" s="80">
        <f>SUMIFS('февраль 2024'!$G$6:$G$1413,'февраль 2024'!$D$6:$D$1413,$B188,'февраль 2024'!$J$6:$J$1413,F$1)</f>
        <v>0</v>
      </c>
      <c r="G188" s="80">
        <f>SUMIFS('февраль 2024'!$G$6:$G$1413,'февраль 2024'!$D$6:$D$1413,$B188,'февраль 2024'!$J$6:$J$1413,G$1)</f>
        <v>0</v>
      </c>
      <c r="H188" s="80">
        <f>SUMIFS('февраль 2024'!$G$6:$G$1413,'февраль 2024'!$D$6:$D$1413,$B188,'февраль 2024'!$J$6:$J$1413,H$1)</f>
        <v>0</v>
      </c>
      <c r="I188" s="80">
        <f>SUMIFS('февраль 2024'!$G$6:$G$1413,'февраль 2024'!$D$6:$D$1413,$B188,'февраль 2024'!$J$6:$J$1413,I$1)</f>
        <v>0</v>
      </c>
      <c r="J188" s="80">
        <f>SUMIFS('февраль 2024'!$G$6:$G$1413,'февраль 2024'!$D$6:$D$1413,$B188,'февраль 2024'!$J$6:$J$1413,J$1)</f>
        <v>0</v>
      </c>
      <c r="K188" s="80">
        <f>SUMIFS('февраль 2024'!$G$6:$G$1413,'февраль 2024'!$D$6:$D$1413,$B188,'февраль 2024'!$J$6:$J$1413,K$1)</f>
        <v>0</v>
      </c>
      <c r="L188" s="80">
        <f>SUMIFS('февраль 2024'!$G$6:$G$1413,'февраль 2024'!$D$6:$D$1413,$B188,'февраль 2024'!$J$6:$J$1413,L$1)</f>
        <v>0</v>
      </c>
      <c r="M188" s="80">
        <f>SUMIFS('февраль 2024'!$G$6:$G$1413,'февраль 2024'!$D$6:$D$1413,$B188,'февраль 2024'!$J$6:$J$1413,M$1)</f>
        <v>0</v>
      </c>
      <c r="N188" s="80">
        <f>SUMIFS('февраль 2024'!$G$6:$G$1413,'февраль 2024'!$D$6:$D$1413,$B188,'февраль 2024'!$J$6:$J$1413,N$1)</f>
        <v>0</v>
      </c>
      <c r="O188" s="80">
        <f>SUMIFS('февраль 2024'!$G$6:$G$1413,'февраль 2024'!$D$6:$D$1413,$B188,'февраль 2024'!$J$6:$J$1413,O$1)</f>
        <v>0</v>
      </c>
      <c r="P188" s="80">
        <f>SUMIFS('февраль 2024'!$G$6:$G$1413,'февраль 2024'!$D$6:$D$1413,$B188,'февраль 2024'!$J$6:$J$1413,P$1)</f>
        <v>0</v>
      </c>
      <c r="Q188" s="80">
        <f>SUMIFS('февраль 2024'!$G$6:$G$1413,'февраль 2024'!$D$6:$D$1413,$B188,'февраль 2024'!$J$6:$J$1413,Q$1)</f>
        <v>0</v>
      </c>
      <c r="R188" s="80">
        <f>SUMIFS('февраль 2024'!$G$6:$G$1413,'февраль 2024'!$D$6:$D$1413,$B188,'февраль 2024'!$J$6:$J$1413,R$1)</f>
        <v>0</v>
      </c>
      <c r="S188" s="80">
        <f>SUMIFS('февраль 2024'!$G$6:$G$1413,'февраль 2024'!$D$6:$D$1413,$B188,'февраль 2024'!$J$6:$J$1413,S$1)</f>
        <v>0</v>
      </c>
      <c r="T188" s="80">
        <f>SUMIFS('февраль 2024'!$G$6:$G$1413,'февраль 2024'!$D$6:$D$1413,$B188,'февраль 2024'!$J$6:$J$1413,T$1)</f>
        <v>0</v>
      </c>
      <c r="U188" s="80">
        <f>SUMIFS('февраль 2024'!$G$6:$G$1413,'февраль 2024'!$D$6:$D$1413,$B188,'февраль 2024'!$J$6:$J$1413,U$1)</f>
        <v>0</v>
      </c>
      <c r="V188" s="80">
        <f>SUMIFS('февраль 2024'!$G$6:$G$1413,'февраль 2024'!$D$6:$D$1413,$B188,'февраль 2024'!$J$6:$J$1413,V$1)</f>
        <v>0</v>
      </c>
      <c r="W188" s="80">
        <f>SUMIFS('февраль 2024'!$G$6:$G$1413,'февраль 2024'!$D$6:$D$1413,$B188,'февраль 2024'!$J$6:$J$1413,W$1)</f>
        <v>0</v>
      </c>
      <c r="X188" s="80">
        <f>SUMIFS('февраль 2024'!$G$6:$G$1413,'февраль 2024'!$D$6:$D$1413,$B188,'февраль 2024'!$J$6:$J$1413,X$1)</f>
        <v>0</v>
      </c>
      <c r="Y188" s="80">
        <f>SUMIFS('февраль 2024'!$G$6:$G$1413,'февраль 2024'!$D$6:$D$1413,$B188,'февраль 2024'!$J$6:$J$1413,Y$1)</f>
        <v>0</v>
      </c>
      <c r="Z188" s="80">
        <f>SUMIFS('февраль 2024'!$G$6:$G$1413,'февраль 2024'!$D$6:$D$1413,$B188,'февраль 2024'!$J$6:$J$1413,Z$1)</f>
        <v>0</v>
      </c>
      <c r="AA188" s="80">
        <f>SUMIFS('февраль 2024'!$G$6:$G$1413,'февраль 2024'!$D$6:$D$1413,$B188,'февраль 2024'!$J$6:$J$1413,AA$1)</f>
        <v>0</v>
      </c>
      <c r="AB188" s="80">
        <f>SUMIFS('февраль 2024'!$G$6:$G$1413,'февраль 2024'!$D$6:$D$1413,$B188,'февраль 2024'!$J$6:$J$1413,AB$1)</f>
        <v>0</v>
      </c>
      <c r="AC188" s="80">
        <f>SUMIFS('февраль 2024'!$G$6:$G$1413,'февраль 2024'!$D$6:$D$1413,$B188,'февраль 2024'!$J$6:$J$1413,AC$1)</f>
        <v>0</v>
      </c>
      <c r="AD188" s="80">
        <f>SUMIFS('февраль 2024'!$G$6:$G$1413,'февраль 2024'!$D$6:$D$1413,$B188,'февраль 2024'!$J$6:$J$1413,AD$1)</f>
        <v>0</v>
      </c>
      <c r="AE188" s="80">
        <f>SUMIFS('февраль 2024'!$G$6:$G$1413,'февраль 2024'!$D$6:$D$1413,$B188,'февраль 2024'!$J$6:$J$1413,AE$1)</f>
        <v>0</v>
      </c>
      <c r="AF188" s="80">
        <f>SUMIFS('февраль 2024'!$G$6:$G$1413,'февраль 2024'!$D$6:$D$1413,$B188,'февраль 2024'!$J$6:$J$1413,AF$1)</f>
        <v>0</v>
      </c>
      <c r="AG188" s="80">
        <f>SUMIFS('февраль 2024'!$G$6:$G$1413,'февраль 2024'!$D$6:$D$1413,$B188,'февраль 2024'!$J$6:$J$1413,AG$1)</f>
        <v>0</v>
      </c>
      <c r="AH188" s="80">
        <f>SUMIFS('февраль 2024'!$G$6:$G$1413,'февраль 2024'!$D$6:$D$1413,$B188,'февраль 2024'!$J$6:$J$1413,AH$1)</f>
        <v>0</v>
      </c>
      <c r="AI188" s="87"/>
    </row>
    <row r="189" spans="2:35" ht="15" hidden="1" customHeight="1" x14ac:dyDescent="0.25">
      <c r="B189" s="89"/>
      <c r="C189" s="88"/>
      <c r="D189" s="80">
        <f>SUMIFS('февраль 2024'!$G$6:$G$1413,'февраль 2024'!$D$6:$D$1413,$B189,'февраль 2024'!$J$6:$J$1413,D$1)</f>
        <v>0</v>
      </c>
      <c r="E189" s="80">
        <f>SUMIFS('февраль 2024'!$G$6:$G$1413,'февраль 2024'!$D$6:$D$1413,$B189,'февраль 2024'!$J$6:$J$1413,E$1)</f>
        <v>0</v>
      </c>
      <c r="F189" s="80">
        <f>SUMIFS('февраль 2024'!$G$6:$G$1413,'февраль 2024'!$D$6:$D$1413,$B189,'февраль 2024'!$J$6:$J$1413,F$1)</f>
        <v>0</v>
      </c>
      <c r="G189" s="80">
        <f>SUMIFS('февраль 2024'!$G$6:$G$1413,'февраль 2024'!$D$6:$D$1413,$B189,'февраль 2024'!$J$6:$J$1413,G$1)</f>
        <v>0</v>
      </c>
      <c r="H189" s="80">
        <f>SUMIFS('февраль 2024'!$G$6:$G$1413,'февраль 2024'!$D$6:$D$1413,$B189,'февраль 2024'!$J$6:$J$1413,H$1)</f>
        <v>0</v>
      </c>
      <c r="I189" s="80">
        <f>SUMIFS('февраль 2024'!$G$6:$G$1413,'февраль 2024'!$D$6:$D$1413,$B189,'февраль 2024'!$J$6:$J$1413,I$1)</f>
        <v>0</v>
      </c>
      <c r="J189" s="80">
        <f>SUMIFS('февраль 2024'!$G$6:$G$1413,'февраль 2024'!$D$6:$D$1413,$B189,'февраль 2024'!$J$6:$J$1413,J$1)</f>
        <v>0</v>
      </c>
      <c r="K189" s="80">
        <f>SUMIFS('февраль 2024'!$G$6:$G$1413,'февраль 2024'!$D$6:$D$1413,$B189,'февраль 2024'!$J$6:$J$1413,K$1)</f>
        <v>0</v>
      </c>
      <c r="L189" s="80">
        <f>SUMIFS('февраль 2024'!$G$6:$G$1413,'февраль 2024'!$D$6:$D$1413,$B189,'февраль 2024'!$J$6:$J$1413,L$1)</f>
        <v>0</v>
      </c>
      <c r="M189" s="80">
        <f>SUMIFS('февраль 2024'!$G$6:$G$1413,'февраль 2024'!$D$6:$D$1413,$B189,'февраль 2024'!$J$6:$J$1413,M$1)</f>
        <v>0</v>
      </c>
      <c r="N189" s="80">
        <f>SUMIFS('февраль 2024'!$G$6:$G$1413,'февраль 2024'!$D$6:$D$1413,$B189,'февраль 2024'!$J$6:$J$1413,N$1)</f>
        <v>0</v>
      </c>
      <c r="O189" s="80">
        <f>SUMIFS('февраль 2024'!$G$6:$G$1413,'февраль 2024'!$D$6:$D$1413,$B189,'февраль 2024'!$J$6:$J$1413,O$1)</f>
        <v>0</v>
      </c>
      <c r="P189" s="80">
        <f>SUMIFS('февраль 2024'!$G$6:$G$1413,'февраль 2024'!$D$6:$D$1413,$B189,'февраль 2024'!$J$6:$J$1413,P$1)</f>
        <v>0</v>
      </c>
      <c r="Q189" s="80">
        <f>SUMIFS('февраль 2024'!$G$6:$G$1413,'февраль 2024'!$D$6:$D$1413,$B189,'февраль 2024'!$J$6:$J$1413,Q$1)</f>
        <v>0</v>
      </c>
      <c r="R189" s="80">
        <f>SUMIFS('февраль 2024'!$G$6:$G$1413,'февраль 2024'!$D$6:$D$1413,$B189,'февраль 2024'!$J$6:$J$1413,R$1)</f>
        <v>0</v>
      </c>
      <c r="S189" s="80">
        <f>SUMIFS('февраль 2024'!$G$6:$G$1413,'февраль 2024'!$D$6:$D$1413,$B189,'февраль 2024'!$J$6:$J$1413,S$1)</f>
        <v>0</v>
      </c>
      <c r="T189" s="80">
        <f>SUMIFS('февраль 2024'!$G$6:$G$1413,'февраль 2024'!$D$6:$D$1413,$B189,'февраль 2024'!$J$6:$J$1413,T$1)</f>
        <v>0</v>
      </c>
      <c r="U189" s="80">
        <f>SUMIFS('февраль 2024'!$G$6:$G$1413,'февраль 2024'!$D$6:$D$1413,$B189,'февраль 2024'!$J$6:$J$1413,U$1)</f>
        <v>0</v>
      </c>
      <c r="V189" s="80">
        <f>SUMIFS('февраль 2024'!$G$6:$G$1413,'февраль 2024'!$D$6:$D$1413,$B189,'февраль 2024'!$J$6:$J$1413,V$1)</f>
        <v>0</v>
      </c>
      <c r="W189" s="80">
        <f>SUMIFS('февраль 2024'!$G$6:$G$1413,'февраль 2024'!$D$6:$D$1413,$B189,'февраль 2024'!$J$6:$J$1413,W$1)</f>
        <v>0</v>
      </c>
      <c r="X189" s="80">
        <f>SUMIFS('февраль 2024'!$G$6:$G$1413,'февраль 2024'!$D$6:$D$1413,$B189,'февраль 2024'!$J$6:$J$1413,X$1)</f>
        <v>0</v>
      </c>
      <c r="Y189" s="80">
        <f>SUMIFS('февраль 2024'!$G$6:$G$1413,'февраль 2024'!$D$6:$D$1413,$B189,'февраль 2024'!$J$6:$J$1413,Y$1)</f>
        <v>0</v>
      </c>
      <c r="Z189" s="80">
        <f>SUMIFS('февраль 2024'!$G$6:$G$1413,'февраль 2024'!$D$6:$D$1413,$B189,'февраль 2024'!$J$6:$J$1413,Z$1)</f>
        <v>0</v>
      </c>
      <c r="AA189" s="80">
        <f>SUMIFS('февраль 2024'!$G$6:$G$1413,'февраль 2024'!$D$6:$D$1413,$B189,'февраль 2024'!$J$6:$J$1413,AA$1)</f>
        <v>0</v>
      </c>
      <c r="AB189" s="80">
        <f>SUMIFS('февраль 2024'!$G$6:$G$1413,'февраль 2024'!$D$6:$D$1413,$B189,'февраль 2024'!$J$6:$J$1413,AB$1)</f>
        <v>0</v>
      </c>
      <c r="AC189" s="80">
        <f>SUMIFS('февраль 2024'!$G$6:$G$1413,'февраль 2024'!$D$6:$D$1413,$B189,'февраль 2024'!$J$6:$J$1413,AC$1)</f>
        <v>0</v>
      </c>
      <c r="AD189" s="80">
        <f>SUMIFS('февраль 2024'!$G$6:$G$1413,'февраль 2024'!$D$6:$D$1413,$B189,'февраль 2024'!$J$6:$J$1413,AD$1)</f>
        <v>0</v>
      </c>
      <c r="AE189" s="80">
        <f>SUMIFS('февраль 2024'!$G$6:$G$1413,'февраль 2024'!$D$6:$D$1413,$B189,'февраль 2024'!$J$6:$J$1413,AE$1)</f>
        <v>0</v>
      </c>
      <c r="AF189" s="80">
        <f>SUMIFS('февраль 2024'!$G$6:$G$1413,'февраль 2024'!$D$6:$D$1413,$B189,'февраль 2024'!$J$6:$J$1413,AF$1)</f>
        <v>0</v>
      </c>
      <c r="AG189" s="80">
        <f>SUMIFS('февраль 2024'!$G$6:$G$1413,'февраль 2024'!$D$6:$D$1413,$B189,'февраль 2024'!$J$6:$J$1413,AG$1)</f>
        <v>0</v>
      </c>
      <c r="AH189" s="80">
        <f>SUMIFS('февраль 2024'!$G$6:$G$1413,'февраль 2024'!$D$6:$D$1413,$B189,'февраль 2024'!$J$6:$J$1413,AH$1)</f>
        <v>0</v>
      </c>
      <c r="AI189" s="87"/>
    </row>
    <row r="190" spans="2:35" ht="15" hidden="1" customHeight="1" x14ac:dyDescent="0.25">
      <c r="B190" s="89"/>
      <c r="C190" s="88"/>
      <c r="D190" s="80">
        <f>SUMIFS('февраль 2024'!$G$6:$G$1413,'февраль 2024'!$D$6:$D$1413,$B190,'февраль 2024'!$J$6:$J$1413,D$1)</f>
        <v>0</v>
      </c>
      <c r="E190" s="80">
        <f>SUMIFS('февраль 2024'!$G$6:$G$1413,'февраль 2024'!$D$6:$D$1413,$B190,'февраль 2024'!$J$6:$J$1413,E$1)</f>
        <v>0</v>
      </c>
      <c r="F190" s="80">
        <f>SUMIFS('февраль 2024'!$G$6:$G$1413,'февраль 2024'!$D$6:$D$1413,$B190,'февраль 2024'!$J$6:$J$1413,F$1)</f>
        <v>0</v>
      </c>
      <c r="G190" s="80">
        <f>SUMIFS('февраль 2024'!$G$6:$G$1413,'февраль 2024'!$D$6:$D$1413,$B190,'февраль 2024'!$J$6:$J$1413,G$1)</f>
        <v>0</v>
      </c>
      <c r="H190" s="80">
        <f>SUMIFS('февраль 2024'!$G$6:$G$1413,'февраль 2024'!$D$6:$D$1413,$B190,'февраль 2024'!$J$6:$J$1413,H$1)</f>
        <v>0</v>
      </c>
      <c r="I190" s="80">
        <f>SUMIFS('февраль 2024'!$G$6:$G$1413,'февраль 2024'!$D$6:$D$1413,$B190,'февраль 2024'!$J$6:$J$1413,I$1)</f>
        <v>0</v>
      </c>
      <c r="J190" s="80">
        <f>SUMIFS('февраль 2024'!$G$6:$G$1413,'февраль 2024'!$D$6:$D$1413,$B190,'февраль 2024'!$J$6:$J$1413,J$1)</f>
        <v>0</v>
      </c>
      <c r="K190" s="80">
        <f>SUMIFS('февраль 2024'!$G$6:$G$1413,'февраль 2024'!$D$6:$D$1413,$B190,'февраль 2024'!$J$6:$J$1413,K$1)</f>
        <v>0</v>
      </c>
      <c r="L190" s="80">
        <f>SUMIFS('февраль 2024'!$G$6:$G$1413,'февраль 2024'!$D$6:$D$1413,$B190,'февраль 2024'!$J$6:$J$1413,L$1)</f>
        <v>0</v>
      </c>
      <c r="M190" s="80">
        <f>SUMIFS('февраль 2024'!$G$6:$G$1413,'февраль 2024'!$D$6:$D$1413,$B190,'февраль 2024'!$J$6:$J$1413,M$1)</f>
        <v>0</v>
      </c>
      <c r="N190" s="80">
        <f>SUMIFS('февраль 2024'!$G$6:$G$1413,'февраль 2024'!$D$6:$D$1413,$B190,'февраль 2024'!$J$6:$J$1413,N$1)</f>
        <v>0</v>
      </c>
      <c r="O190" s="80">
        <f>SUMIFS('февраль 2024'!$G$6:$G$1413,'февраль 2024'!$D$6:$D$1413,$B190,'февраль 2024'!$J$6:$J$1413,O$1)</f>
        <v>0</v>
      </c>
      <c r="P190" s="80">
        <f>SUMIFS('февраль 2024'!$G$6:$G$1413,'февраль 2024'!$D$6:$D$1413,$B190,'февраль 2024'!$J$6:$J$1413,P$1)</f>
        <v>0</v>
      </c>
      <c r="Q190" s="80">
        <f>SUMIFS('февраль 2024'!$G$6:$G$1413,'февраль 2024'!$D$6:$D$1413,$B190,'февраль 2024'!$J$6:$J$1413,Q$1)</f>
        <v>0</v>
      </c>
      <c r="R190" s="80">
        <f>SUMIFS('февраль 2024'!$G$6:$G$1413,'февраль 2024'!$D$6:$D$1413,$B190,'февраль 2024'!$J$6:$J$1413,R$1)</f>
        <v>0</v>
      </c>
      <c r="S190" s="80">
        <f>SUMIFS('февраль 2024'!$G$6:$G$1413,'февраль 2024'!$D$6:$D$1413,$B190,'февраль 2024'!$J$6:$J$1413,S$1)</f>
        <v>0</v>
      </c>
      <c r="T190" s="80">
        <f>SUMIFS('февраль 2024'!$G$6:$G$1413,'февраль 2024'!$D$6:$D$1413,$B190,'февраль 2024'!$J$6:$J$1413,T$1)</f>
        <v>0</v>
      </c>
      <c r="U190" s="80">
        <f>SUMIFS('февраль 2024'!$G$6:$G$1413,'февраль 2024'!$D$6:$D$1413,$B190,'февраль 2024'!$J$6:$J$1413,U$1)</f>
        <v>0</v>
      </c>
      <c r="V190" s="80">
        <f>SUMIFS('февраль 2024'!$G$6:$G$1413,'февраль 2024'!$D$6:$D$1413,$B190,'февраль 2024'!$J$6:$J$1413,V$1)</f>
        <v>0</v>
      </c>
      <c r="W190" s="80">
        <f>SUMIFS('февраль 2024'!$G$6:$G$1413,'февраль 2024'!$D$6:$D$1413,$B190,'февраль 2024'!$J$6:$J$1413,W$1)</f>
        <v>0</v>
      </c>
      <c r="X190" s="80">
        <f>SUMIFS('февраль 2024'!$G$6:$G$1413,'февраль 2024'!$D$6:$D$1413,$B190,'февраль 2024'!$J$6:$J$1413,X$1)</f>
        <v>0</v>
      </c>
      <c r="Y190" s="80">
        <f>SUMIFS('февраль 2024'!$G$6:$G$1413,'февраль 2024'!$D$6:$D$1413,$B190,'февраль 2024'!$J$6:$J$1413,Y$1)</f>
        <v>0</v>
      </c>
      <c r="Z190" s="80">
        <f>SUMIFS('февраль 2024'!$G$6:$G$1413,'февраль 2024'!$D$6:$D$1413,$B190,'февраль 2024'!$J$6:$J$1413,Z$1)</f>
        <v>0</v>
      </c>
      <c r="AA190" s="80">
        <f>SUMIFS('февраль 2024'!$G$6:$G$1413,'февраль 2024'!$D$6:$D$1413,$B190,'февраль 2024'!$J$6:$J$1413,AA$1)</f>
        <v>0</v>
      </c>
      <c r="AB190" s="80">
        <f>SUMIFS('февраль 2024'!$G$6:$G$1413,'февраль 2024'!$D$6:$D$1413,$B190,'февраль 2024'!$J$6:$J$1413,AB$1)</f>
        <v>0</v>
      </c>
      <c r="AC190" s="80">
        <f>SUMIFS('февраль 2024'!$G$6:$G$1413,'февраль 2024'!$D$6:$D$1413,$B190,'февраль 2024'!$J$6:$J$1413,AC$1)</f>
        <v>0</v>
      </c>
      <c r="AD190" s="80">
        <f>SUMIFS('февраль 2024'!$G$6:$G$1413,'февраль 2024'!$D$6:$D$1413,$B190,'февраль 2024'!$J$6:$J$1413,AD$1)</f>
        <v>0</v>
      </c>
      <c r="AE190" s="80">
        <f>SUMIFS('февраль 2024'!$G$6:$G$1413,'февраль 2024'!$D$6:$D$1413,$B190,'февраль 2024'!$J$6:$J$1413,AE$1)</f>
        <v>0</v>
      </c>
      <c r="AF190" s="80">
        <f>SUMIFS('февраль 2024'!$G$6:$G$1413,'февраль 2024'!$D$6:$D$1413,$B190,'февраль 2024'!$J$6:$J$1413,AF$1)</f>
        <v>0</v>
      </c>
      <c r="AG190" s="80">
        <f>SUMIFS('февраль 2024'!$G$6:$G$1413,'февраль 2024'!$D$6:$D$1413,$B190,'февраль 2024'!$J$6:$J$1413,AG$1)</f>
        <v>0</v>
      </c>
      <c r="AH190" s="80">
        <f>SUMIFS('февраль 2024'!$G$6:$G$1413,'февраль 2024'!$D$6:$D$1413,$B190,'февраль 2024'!$J$6:$J$1413,AH$1)</f>
        <v>0</v>
      </c>
      <c r="AI190" s="87"/>
    </row>
    <row r="191" spans="2:35" ht="15" hidden="1" customHeight="1" x14ac:dyDescent="0.25">
      <c r="B191" s="89"/>
      <c r="C191" s="88"/>
      <c r="D191" s="80">
        <f>SUMIFS('февраль 2024'!$G$6:$G$1413,'февраль 2024'!$D$6:$D$1413,$B191,'февраль 2024'!$J$6:$J$1413,D$1)</f>
        <v>0</v>
      </c>
      <c r="E191" s="80">
        <f>SUMIFS('февраль 2024'!$G$6:$G$1413,'февраль 2024'!$D$6:$D$1413,$B191,'февраль 2024'!$J$6:$J$1413,E$1)</f>
        <v>0</v>
      </c>
      <c r="F191" s="80">
        <f>SUMIFS('февраль 2024'!$G$6:$G$1413,'февраль 2024'!$D$6:$D$1413,$B191,'февраль 2024'!$J$6:$J$1413,F$1)</f>
        <v>0</v>
      </c>
      <c r="G191" s="80">
        <f>SUMIFS('февраль 2024'!$G$6:$G$1413,'февраль 2024'!$D$6:$D$1413,$B191,'февраль 2024'!$J$6:$J$1413,G$1)</f>
        <v>0</v>
      </c>
      <c r="H191" s="80">
        <f>SUMIFS('февраль 2024'!$G$6:$G$1413,'февраль 2024'!$D$6:$D$1413,$B191,'февраль 2024'!$J$6:$J$1413,H$1)</f>
        <v>0</v>
      </c>
      <c r="I191" s="80">
        <f>SUMIFS('февраль 2024'!$G$6:$G$1413,'февраль 2024'!$D$6:$D$1413,$B191,'февраль 2024'!$J$6:$J$1413,I$1)</f>
        <v>0</v>
      </c>
      <c r="J191" s="80">
        <f>SUMIFS('февраль 2024'!$G$6:$G$1413,'февраль 2024'!$D$6:$D$1413,$B191,'февраль 2024'!$J$6:$J$1413,J$1)</f>
        <v>0</v>
      </c>
      <c r="K191" s="80">
        <f>SUMIFS('февраль 2024'!$G$6:$G$1413,'февраль 2024'!$D$6:$D$1413,$B191,'февраль 2024'!$J$6:$J$1413,K$1)</f>
        <v>0</v>
      </c>
      <c r="L191" s="80">
        <f>SUMIFS('февраль 2024'!$G$6:$G$1413,'февраль 2024'!$D$6:$D$1413,$B191,'февраль 2024'!$J$6:$J$1413,L$1)</f>
        <v>0</v>
      </c>
      <c r="M191" s="80">
        <f>SUMIFS('февраль 2024'!$G$6:$G$1413,'февраль 2024'!$D$6:$D$1413,$B191,'февраль 2024'!$J$6:$J$1413,M$1)</f>
        <v>0</v>
      </c>
      <c r="N191" s="80">
        <f>SUMIFS('февраль 2024'!$G$6:$G$1413,'февраль 2024'!$D$6:$D$1413,$B191,'февраль 2024'!$J$6:$J$1413,N$1)</f>
        <v>0</v>
      </c>
      <c r="O191" s="80">
        <f>SUMIFS('февраль 2024'!$G$6:$G$1413,'февраль 2024'!$D$6:$D$1413,$B191,'февраль 2024'!$J$6:$J$1413,O$1)</f>
        <v>0</v>
      </c>
      <c r="P191" s="80">
        <f>SUMIFS('февраль 2024'!$G$6:$G$1413,'февраль 2024'!$D$6:$D$1413,$B191,'февраль 2024'!$J$6:$J$1413,P$1)</f>
        <v>0</v>
      </c>
      <c r="Q191" s="80">
        <f>SUMIFS('февраль 2024'!$G$6:$G$1413,'февраль 2024'!$D$6:$D$1413,$B191,'февраль 2024'!$J$6:$J$1413,Q$1)</f>
        <v>0</v>
      </c>
      <c r="R191" s="80">
        <f>SUMIFS('февраль 2024'!$G$6:$G$1413,'февраль 2024'!$D$6:$D$1413,$B191,'февраль 2024'!$J$6:$J$1413,R$1)</f>
        <v>0</v>
      </c>
      <c r="S191" s="80">
        <f>SUMIFS('февраль 2024'!$G$6:$G$1413,'февраль 2024'!$D$6:$D$1413,$B191,'февраль 2024'!$J$6:$J$1413,S$1)</f>
        <v>0</v>
      </c>
      <c r="T191" s="80">
        <f>SUMIFS('февраль 2024'!$G$6:$G$1413,'февраль 2024'!$D$6:$D$1413,$B191,'февраль 2024'!$J$6:$J$1413,T$1)</f>
        <v>0</v>
      </c>
      <c r="U191" s="80">
        <f>SUMIFS('февраль 2024'!$G$6:$G$1413,'февраль 2024'!$D$6:$D$1413,$B191,'февраль 2024'!$J$6:$J$1413,U$1)</f>
        <v>0</v>
      </c>
      <c r="V191" s="80">
        <f>SUMIFS('февраль 2024'!$G$6:$G$1413,'февраль 2024'!$D$6:$D$1413,$B191,'февраль 2024'!$J$6:$J$1413,V$1)</f>
        <v>0</v>
      </c>
      <c r="W191" s="80">
        <f>SUMIFS('февраль 2024'!$G$6:$G$1413,'февраль 2024'!$D$6:$D$1413,$B191,'февраль 2024'!$J$6:$J$1413,W$1)</f>
        <v>0</v>
      </c>
      <c r="X191" s="80">
        <f>SUMIFS('февраль 2024'!$G$6:$G$1413,'февраль 2024'!$D$6:$D$1413,$B191,'февраль 2024'!$J$6:$J$1413,X$1)</f>
        <v>0</v>
      </c>
      <c r="Y191" s="80">
        <f>SUMIFS('февраль 2024'!$G$6:$G$1413,'февраль 2024'!$D$6:$D$1413,$B191,'февраль 2024'!$J$6:$J$1413,Y$1)</f>
        <v>0</v>
      </c>
      <c r="Z191" s="80">
        <f>SUMIFS('февраль 2024'!$G$6:$G$1413,'февраль 2024'!$D$6:$D$1413,$B191,'февраль 2024'!$J$6:$J$1413,Z$1)</f>
        <v>0</v>
      </c>
      <c r="AA191" s="80">
        <f>SUMIFS('февраль 2024'!$G$6:$G$1413,'февраль 2024'!$D$6:$D$1413,$B191,'февраль 2024'!$J$6:$J$1413,AA$1)</f>
        <v>0</v>
      </c>
      <c r="AB191" s="80">
        <f>SUMIFS('февраль 2024'!$G$6:$G$1413,'февраль 2024'!$D$6:$D$1413,$B191,'февраль 2024'!$J$6:$J$1413,AB$1)</f>
        <v>0</v>
      </c>
      <c r="AC191" s="80">
        <f>SUMIFS('февраль 2024'!$G$6:$G$1413,'февраль 2024'!$D$6:$D$1413,$B191,'февраль 2024'!$J$6:$J$1413,AC$1)</f>
        <v>0</v>
      </c>
      <c r="AD191" s="80">
        <f>SUMIFS('февраль 2024'!$G$6:$G$1413,'февраль 2024'!$D$6:$D$1413,$B191,'февраль 2024'!$J$6:$J$1413,AD$1)</f>
        <v>0</v>
      </c>
      <c r="AE191" s="80">
        <f>SUMIFS('февраль 2024'!$G$6:$G$1413,'февраль 2024'!$D$6:$D$1413,$B191,'февраль 2024'!$J$6:$J$1413,AE$1)</f>
        <v>0</v>
      </c>
      <c r="AF191" s="80">
        <f>SUMIFS('февраль 2024'!$G$6:$G$1413,'февраль 2024'!$D$6:$D$1413,$B191,'февраль 2024'!$J$6:$J$1413,AF$1)</f>
        <v>0</v>
      </c>
      <c r="AG191" s="80">
        <f>SUMIFS('февраль 2024'!$G$6:$G$1413,'февраль 2024'!$D$6:$D$1413,$B191,'февраль 2024'!$J$6:$J$1413,AG$1)</f>
        <v>0</v>
      </c>
      <c r="AH191" s="80">
        <f>SUMIFS('февраль 2024'!$G$6:$G$1413,'февраль 2024'!$D$6:$D$1413,$B191,'февраль 2024'!$J$6:$J$1413,AH$1)</f>
        <v>0</v>
      </c>
      <c r="AI191" s="87"/>
    </row>
    <row r="192" spans="2:35" ht="15" hidden="1" customHeight="1" x14ac:dyDescent="0.25">
      <c r="B192" s="89"/>
      <c r="C192" s="88"/>
      <c r="D192" s="80">
        <f>SUMIFS('февраль 2024'!$G$6:$G$1413,'февраль 2024'!$D$6:$D$1413,$B192,'февраль 2024'!$J$6:$J$1413,D$1)</f>
        <v>0</v>
      </c>
      <c r="E192" s="80">
        <f>SUMIFS('февраль 2024'!$G$6:$G$1413,'февраль 2024'!$D$6:$D$1413,$B192,'февраль 2024'!$J$6:$J$1413,E$1)</f>
        <v>0</v>
      </c>
      <c r="F192" s="80">
        <f>SUMIFS('февраль 2024'!$G$6:$G$1413,'февраль 2024'!$D$6:$D$1413,$B192,'февраль 2024'!$J$6:$J$1413,F$1)</f>
        <v>0</v>
      </c>
      <c r="G192" s="80">
        <f>SUMIFS('февраль 2024'!$G$6:$G$1413,'февраль 2024'!$D$6:$D$1413,$B192,'февраль 2024'!$J$6:$J$1413,G$1)</f>
        <v>0</v>
      </c>
      <c r="H192" s="80">
        <f>SUMIFS('февраль 2024'!$G$6:$G$1413,'февраль 2024'!$D$6:$D$1413,$B192,'февраль 2024'!$J$6:$J$1413,H$1)</f>
        <v>0</v>
      </c>
      <c r="I192" s="80">
        <f>SUMIFS('февраль 2024'!$G$6:$G$1413,'февраль 2024'!$D$6:$D$1413,$B192,'февраль 2024'!$J$6:$J$1413,I$1)</f>
        <v>0</v>
      </c>
      <c r="J192" s="80">
        <f>SUMIFS('февраль 2024'!$G$6:$G$1413,'февраль 2024'!$D$6:$D$1413,$B192,'февраль 2024'!$J$6:$J$1413,J$1)</f>
        <v>0</v>
      </c>
      <c r="K192" s="80">
        <f>SUMIFS('февраль 2024'!$G$6:$G$1413,'февраль 2024'!$D$6:$D$1413,$B192,'февраль 2024'!$J$6:$J$1413,K$1)</f>
        <v>0</v>
      </c>
      <c r="L192" s="80">
        <f>SUMIFS('февраль 2024'!$G$6:$G$1413,'февраль 2024'!$D$6:$D$1413,$B192,'февраль 2024'!$J$6:$J$1413,L$1)</f>
        <v>0</v>
      </c>
      <c r="M192" s="80">
        <f>SUMIFS('февраль 2024'!$G$6:$G$1413,'февраль 2024'!$D$6:$D$1413,$B192,'февраль 2024'!$J$6:$J$1413,M$1)</f>
        <v>0</v>
      </c>
      <c r="N192" s="80">
        <f>SUMIFS('февраль 2024'!$G$6:$G$1413,'февраль 2024'!$D$6:$D$1413,$B192,'февраль 2024'!$J$6:$J$1413,N$1)</f>
        <v>0</v>
      </c>
      <c r="O192" s="80">
        <f>SUMIFS('февраль 2024'!$G$6:$G$1413,'февраль 2024'!$D$6:$D$1413,$B192,'февраль 2024'!$J$6:$J$1413,O$1)</f>
        <v>0</v>
      </c>
      <c r="P192" s="80">
        <f>SUMIFS('февраль 2024'!$G$6:$G$1413,'февраль 2024'!$D$6:$D$1413,$B192,'февраль 2024'!$J$6:$J$1413,P$1)</f>
        <v>0</v>
      </c>
      <c r="Q192" s="80">
        <f>SUMIFS('февраль 2024'!$G$6:$G$1413,'февраль 2024'!$D$6:$D$1413,$B192,'февраль 2024'!$J$6:$J$1413,Q$1)</f>
        <v>0</v>
      </c>
      <c r="R192" s="80">
        <f>SUMIFS('февраль 2024'!$G$6:$G$1413,'февраль 2024'!$D$6:$D$1413,$B192,'февраль 2024'!$J$6:$J$1413,R$1)</f>
        <v>0</v>
      </c>
      <c r="S192" s="80">
        <f>SUMIFS('февраль 2024'!$G$6:$G$1413,'февраль 2024'!$D$6:$D$1413,$B192,'февраль 2024'!$J$6:$J$1413,S$1)</f>
        <v>0</v>
      </c>
      <c r="T192" s="80">
        <f>SUMIFS('февраль 2024'!$G$6:$G$1413,'февраль 2024'!$D$6:$D$1413,$B192,'февраль 2024'!$J$6:$J$1413,T$1)</f>
        <v>0</v>
      </c>
      <c r="U192" s="80">
        <f>SUMIFS('февраль 2024'!$G$6:$G$1413,'февраль 2024'!$D$6:$D$1413,$B192,'февраль 2024'!$J$6:$J$1413,U$1)</f>
        <v>0</v>
      </c>
      <c r="V192" s="80">
        <f>SUMIFS('февраль 2024'!$G$6:$G$1413,'февраль 2024'!$D$6:$D$1413,$B192,'февраль 2024'!$J$6:$J$1413,V$1)</f>
        <v>0</v>
      </c>
      <c r="W192" s="80">
        <f>SUMIFS('февраль 2024'!$G$6:$G$1413,'февраль 2024'!$D$6:$D$1413,$B192,'февраль 2024'!$J$6:$J$1413,W$1)</f>
        <v>0</v>
      </c>
      <c r="X192" s="80">
        <f>SUMIFS('февраль 2024'!$G$6:$G$1413,'февраль 2024'!$D$6:$D$1413,$B192,'февраль 2024'!$J$6:$J$1413,X$1)</f>
        <v>0</v>
      </c>
      <c r="Y192" s="80">
        <f>SUMIFS('февраль 2024'!$G$6:$G$1413,'февраль 2024'!$D$6:$D$1413,$B192,'февраль 2024'!$J$6:$J$1413,Y$1)</f>
        <v>0</v>
      </c>
      <c r="Z192" s="80">
        <f>SUMIFS('февраль 2024'!$G$6:$G$1413,'февраль 2024'!$D$6:$D$1413,$B192,'февраль 2024'!$J$6:$J$1413,Z$1)</f>
        <v>0</v>
      </c>
      <c r="AA192" s="80">
        <f>SUMIFS('февраль 2024'!$G$6:$G$1413,'февраль 2024'!$D$6:$D$1413,$B192,'февраль 2024'!$J$6:$J$1413,AA$1)</f>
        <v>0</v>
      </c>
      <c r="AB192" s="80">
        <f>SUMIFS('февраль 2024'!$G$6:$G$1413,'февраль 2024'!$D$6:$D$1413,$B192,'февраль 2024'!$J$6:$J$1413,AB$1)</f>
        <v>0</v>
      </c>
      <c r="AC192" s="80">
        <f>SUMIFS('февраль 2024'!$G$6:$G$1413,'февраль 2024'!$D$6:$D$1413,$B192,'февраль 2024'!$J$6:$J$1413,AC$1)</f>
        <v>0</v>
      </c>
      <c r="AD192" s="80">
        <f>SUMIFS('февраль 2024'!$G$6:$G$1413,'февраль 2024'!$D$6:$D$1413,$B192,'февраль 2024'!$J$6:$J$1413,AD$1)</f>
        <v>0</v>
      </c>
      <c r="AE192" s="80">
        <f>SUMIFS('февраль 2024'!$G$6:$G$1413,'февраль 2024'!$D$6:$D$1413,$B192,'февраль 2024'!$J$6:$J$1413,AE$1)</f>
        <v>0</v>
      </c>
      <c r="AF192" s="80">
        <f>SUMIFS('февраль 2024'!$G$6:$G$1413,'февраль 2024'!$D$6:$D$1413,$B192,'февраль 2024'!$J$6:$J$1413,AF$1)</f>
        <v>0</v>
      </c>
      <c r="AG192" s="80">
        <f>SUMIFS('февраль 2024'!$G$6:$G$1413,'февраль 2024'!$D$6:$D$1413,$B192,'февраль 2024'!$J$6:$J$1413,AG$1)</f>
        <v>0</v>
      </c>
      <c r="AH192" s="80">
        <f>SUMIFS('февраль 2024'!$G$6:$G$1413,'февраль 2024'!$D$6:$D$1413,$B192,'февраль 2024'!$J$6:$J$1413,AH$1)</f>
        <v>0</v>
      </c>
      <c r="AI192" s="87"/>
    </row>
    <row r="193" spans="2:35" ht="15" hidden="1" customHeight="1" x14ac:dyDescent="0.25">
      <c r="B193" s="89"/>
      <c r="C193" s="88"/>
      <c r="D193" s="80">
        <f>SUMIFS('февраль 2024'!$G$6:$G$1413,'февраль 2024'!$D$6:$D$1413,$B193,'февраль 2024'!$J$6:$J$1413,D$1)</f>
        <v>0</v>
      </c>
      <c r="E193" s="80">
        <f>SUMIFS('февраль 2024'!$G$6:$G$1413,'февраль 2024'!$D$6:$D$1413,$B193,'февраль 2024'!$J$6:$J$1413,E$1)</f>
        <v>0</v>
      </c>
      <c r="F193" s="80">
        <f>SUMIFS('февраль 2024'!$G$6:$G$1413,'февраль 2024'!$D$6:$D$1413,$B193,'февраль 2024'!$J$6:$J$1413,F$1)</f>
        <v>0</v>
      </c>
      <c r="G193" s="80">
        <f>SUMIFS('февраль 2024'!$G$6:$G$1413,'февраль 2024'!$D$6:$D$1413,$B193,'февраль 2024'!$J$6:$J$1413,G$1)</f>
        <v>0</v>
      </c>
      <c r="H193" s="80">
        <f>SUMIFS('февраль 2024'!$G$6:$G$1413,'февраль 2024'!$D$6:$D$1413,$B193,'февраль 2024'!$J$6:$J$1413,H$1)</f>
        <v>0</v>
      </c>
      <c r="I193" s="80">
        <f>SUMIFS('февраль 2024'!$G$6:$G$1413,'февраль 2024'!$D$6:$D$1413,$B193,'февраль 2024'!$J$6:$J$1413,I$1)</f>
        <v>0</v>
      </c>
      <c r="J193" s="80">
        <f>SUMIFS('февраль 2024'!$G$6:$G$1413,'февраль 2024'!$D$6:$D$1413,$B193,'февраль 2024'!$J$6:$J$1413,J$1)</f>
        <v>0</v>
      </c>
      <c r="K193" s="80">
        <f>SUMIFS('февраль 2024'!$G$6:$G$1413,'февраль 2024'!$D$6:$D$1413,$B193,'февраль 2024'!$J$6:$J$1413,K$1)</f>
        <v>0</v>
      </c>
      <c r="L193" s="80">
        <f>SUMIFS('февраль 2024'!$G$6:$G$1413,'февраль 2024'!$D$6:$D$1413,$B193,'февраль 2024'!$J$6:$J$1413,L$1)</f>
        <v>0</v>
      </c>
      <c r="M193" s="80">
        <f>SUMIFS('февраль 2024'!$G$6:$G$1413,'февраль 2024'!$D$6:$D$1413,$B193,'февраль 2024'!$J$6:$J$1413,M$1)</f>
        <v>0</v>
      </c>
      <c r="N193" s="80">
        <f>SUMIFS('февраль 2024'!$G$6:$G$1413,'февраль 2024'!$D$6:$D$1413,$B193,'февраль 2024'!$J$6:$J$1413,N$1)</f>
        <v>0</v>
      </c>
      <c r="O193" s="80">
        <f>SUMIFS('февраль 2024'!$G$6:$G$1413,'февраль 2024'!$D$6:$D$1413,$B193,'февраль 2024'!$J$6:$J$1413,O$1)</f>
        <v>0</v>
      </c>
      <c r="P193" s="80">
        <f>SUMIFS('февраль 2024'!$G$6:$G$1413,'февраль 2024'!$D$6:$D$1413,$B193,'февраль 2024'!$J$6:$J$1413,P$1)</f>
        <v>0</v>
      </c>
      <c r="Q193" s="80">
        <f>SUMIFS('февраль 2024'!$G$6:$G$1413,'февраль 2024'!$D$6:$D$1413,$B193,'февраль 2024'!$J$6:$J$1413,Q$1)</f>
        <v>0</v>
      </c>
      <c r="R193" s="80">
        <f>SUMIFS('февраль 2024'!$G$6:$G$1413,'февраль 2024'!$D$6:$D$1413,$B193,'февраль 2024'!$J$6:$J$1413,R$1)</f>
        <v>0</v>
      </c>
      <c r="S193" s="80">
        <f>SUMIFS('февраль 2024'!$G$6:$G$1413,'февраль 2024'!$D$6:$D$1413,$B193,'февраль 2024'!$J$6:$J$1413,S$1)</f>
        <v>0</v>
      </c>
      <c r="T193" s="80">
        <f>SUMIFS('февраль 2024'!$G$6:$G$1413,'февраль 2024'!$D$6:$D$1413,$B193,'февраль 2024'!$J$6:$J$1413,T$1)</f>
        <v>0</v>
      </c>
      <c r="U193" s="80">
        <f>SUMIFS('февраль 2024'!$G$6:$G$1413,'февраль 2024'!$D$6:$D$1413,$B193,'февраль 2024'!$J$6:$J$1413,U$1)</f>
        <v>0</v>
      </c>
      <c r="V193" s="80">
        <f>SUMIFS('февраль 2024'!$G$6:$G$1413,'февраль 2024'!$D$6:$D$1413,$B193,'февраль 2024'!$J$6:$J$1413,V$1)</f>
        <v>0</v>
      </c>
      <c r="W193" s="80">
        <f>SUMIFS('февраль 2024'!$G$6:$G$1413,'февраль 2024'!$D$6:$D$1413,$B193,'февраль 2024'!$J$6:$J$1413,W$1)</f>
        <v>0</v>
      </c>
      <c r="X193" s="80">
        <f>SUMIFS('февраль 2024'!$G$6:$G$1413,'февраль 2024'!$D$6:$D$1413,$B193,'февраль 2024'!$J$6:$J$1413,X$1)</f>
        <v>0</v>
      </c>
      <c r="Y193" s="80">
        <f>SUMIFS('февраль 2024'!$G$6:$G$1413,'февраль 2024'!$D$6:$D$1413,$B193,'февраль 2024'!$J$6:$J$1413,Y$1)</f>
        <v>0</v>
      </c>
      <c r="Z193" s="80">
        <f>SUMIFS('февраль 2024'!$G$6:$G$1413,'февраль 2024'!$D$6:$D$1413,$B193,'февраль 2024'!$J$6:$J$1413,Z$1)</f>
        <v>0</v>
      </c>
      <c r="AA193" s="80">
        <f>SUMIFS('февраль 2024'!$G$6:$G$1413,'февраль 2024'!$D$6:$D$1413,$B193,'февраль 2024'!$J$6:$J$1413,AA$1)</f>
        <v>0</v>
      </c>
      <c r="AB193" s="80">
        <f>SUMIFS('февраль 2024'!$G$6:$G$1413,'февраль 2024'!$D$6:$D$1413,$B193,'февраль 2024'!$J$6:$J$1413,AB$1)</f>
        <v>0</v>
      </c>
      <c r="AC193" s="80">
        <f>SUMIFS('февраль 2024'!$G$6:$G$1413,'февраль 2024'!$D$6:$D$1413,$B193,'февраль 2024'!$J$6:$J$1413,AC$1)</f>
        <v>0</v>
      </c>
      <c r="AD193" s="80">
        <f>SUMIFS('февраль 2024'!$G$6:$G$1413,'февраль 2024'!$D$6:$D$1413,$B193,'февраль 2024'!$J$6:$J$1413,AD$1)</f>
        <v>0</v>
      </c>
      <c r="AE193" s="80">
        <f>SUMIFS('февраль 2024'!$G$6:$G$1413,'февраль 2024'!$D$6:$D$1413,$B193,'февраль 2024'!$J$6:$J$1413,AE$1)</f>
        <v>0</v>
      </c>
      <c r="AF193" s="80">
        <f>SUMIFS('февраль 2024'!$G$6:$G$1413,'февраль 2024'!$D$6:$D$1413,$B193,'февраль 2024'!$J$6:$J$1413,AF$1)</f>
        <v>0</v>
      </c>
      <c r="AG193" s="80">
        <f>SUMIFS('февраль 2024'!$G$6:$G$1413,'февраль 2024'!$D$6:$D$1413,$B193,'февраль 2024'!$J$6:$J$1413,AG$1)</f>
        <v>0</v>
      </c>
      <c r="AH193" s="80">
        <f>SUMIFS('февраль 2024'!$G$6:$G$1413,'февраль 2024'!$D$6:$D$1413,$B193,'февраль 2024'!$J$6:$J$1413,AH$1)</f>
        <v>0</v>
      </c>
      <c r="AI193" s="87"/>
    </row>
    <row r="194" spans="2:35" ht="15" hidden="1" customHeight="1" x14ac:dyDescent="0.25">
      <c r="B194" s="89"/>
      <c r="C194" s="88"/>
      <c r="D194" s="80">
        <f>SUMIFS('февраль 2024'!$G$6:$G$1413,'февраль 2024'!$D$6:$D$1413,$B194,'февраль 2024'!$J$6:$J$1413,D$1)</f>
        <v>0</v>
      </c>
      <c r="E194" s="80">
        <f>SUMIFS('февраль 2024'!$G$6:$G$1413,'февраль 2024'!$D$6:$D$1413,$B194,'февраль 2024'!$J$6:$J$1413,E$1)</f>
        <v>0</v>
      </c>
      <c r="F194" s="80">
        <f>SUMIFS('февраль 2024'!$G$6:$G$1413,'февраль 2024'!$D$6:$D$1413,$B194,'февраль 2024'!$J$6:$J$1413,F$1)</f>
        <v>0</v>
      </c>
      <c r="G194" s="80">
        <f>SUMIFS('февраль 2024'!$G$6:$G$1413,'февраль 2024'!$D$6:$D$1413,$B194,'февраль 2024'!$J$6:$J$1413,G$1)</f>
        <v>0</v>
      </c>
      <c r="H194" s="80">
        <f>SUMIFS('февраль 2024'!$G$6:$G$1413,'февраль 2024'!$D$6:$D$1413,$B194,'февраль 2024'!$J$6:$J$1413,H$1)</f>
        <v>0</v>
      </c>
      <c r="I194" s="80">
        <f>SUMIFS('февраль 2024'!$G$6:$G$1413,'февраль 2024'!$D$6:$D$1413,$B194,'февраль 2024'!$J$6:$J$1413,I$1)</f>
        <v>0</v>
      </c>
      <c r="J194" s="80">
        <f>SUMIFS('февраль 2024'!$G$6:$G$1413,'февраль 2024'!$D$6:$D$1413,$B194,'февраль 2024'!$J$6:$J$1413,J$1)</f>
        <v>0</v>
      </c>
      <c r="K194" s="80">
        <f>SUMIFS('февраль 2024'!$G$6:$G$1413,'февраль 2024'!$D$6:$D$1413,$B194,'февраль 2024'!$J$6:$J$1413,K$1)</f>
        <v>0</v>
      </c>
      <c r="L194" s="80">
        <f>SUMIFS('февраль 2024'!$G$6:$G$1413,'февраль 2024'!$D$6:$D$1413,$B194,'февраль 2024'!$J$6:$J$1413,L$1)</f>
        <v>0</v>
      </c>
      <c r="M194" s="80">
        <f>SUMIFS('февраль 2024'!$G$6:$G$1413,'февраль 2024'!$D$6:$D$1413,$B194,'февраль 2024'!$J$6:$J$1413,M$1)</f>
        <v>0</v>
      </c>
      <c r="N194" s="80">
        <f>SUMIFS('февраль 2024'!$G$6:$G$1413,'февраль 2024'!$D$6:$D$1413,$B194,'февраль 2024'!$J$6:$J$1413,N$1)</f>
        <v>0</v>
      </c>
      <c r="O194" s="80">
        <f>SUMIFS('февраль 2024'!$G$6:$G$1413,'февраль 2024'!$D$6:$D$1413,$B194,'февраль 2024'!$J$6:$J$1413,O$1)</f>
        <v>0</v>
      </c>
      <c r="P194" s="80">
        <f>SUMIFS('февраль 2024'!$G$6:$G$1413,'февраль 2024'!$D$6:$D$1413,$B194,'февраль 2024'!$J$6:$J$1413,P$1)</f>
        <v>0</v>
      </c>
      <c r="Q194" s="80">
        <f>SUMIFS('февраль 2024'!$G$6:$G$1413,'февраль 2024'!$D$6:$D$1413,$B194,'февраль 2024'!$J$6:$J$1413,Q$1)</f>
        <v>0</v>
      </c>
      <c r="R194" s="80">
        <f>SUMIFS('февраль 2024'!$G$6:$G$1413,'февраль 2024'!$D$6:$D$1413,$B194,'февраль 2024'!$J$6:$J$1413,R$1)</f>
        <v>0</v>
      </c>
      <c r="S194" s="80">
        <f>SUMIFS('февраль 2024'!$G$6:$G$1413,'февраль 2024'!$D$6:$D$1413,$B194,'февраль 2024'!$J$6:$J$1413,S$1)</f>
        <v>0</v>
      </c>
      <c r="T194" s="80">
        <f>SUMIFS('февраль 2024'!$G$6:$G$1413,'февраль 2024'!$D$6:$D$1413,$B194,'февраль 2024'!$J$6:$J$1413,T$1)</f>
        <v>0</v>
      </c>
      <c r="U194" s="80">
        <f>SUMIFS('февраль 2024'!$G$6:$G$1413,'февраль 2024'!$D$6:$D$1413,$B194,'февраль 2024'!$J$6:$J$1413,U$1)</f>
        <v>0</v>
      </c>
      <c r="V194" s="80">
        <f>SUMIFS('февраль 2024'!$G$6:$G$1413,'февраль 2024'!$D$6:$D$1413,$B194,'февраль 2024'!$J$6:$J$1413,V$1)</f>
        <v>0</v>
      </c>
      <c r="W194" s="80">
        <f>SUMIFS('февраль 2024'!$G$6:$G$1413,'февраль 2024'!$D$6:$D$1413,$B194,'февраль 2024'!$J$6:$J$1413,W$1)</f>
        <v>0</v>
      </c>
      <c r="X194" s="80">
        <f>SUMIFS('февраль 2024'!$G$6:$G$1413,'февраль 2024'!$D$6:$D$1413,$B194,'февраль 2024'!$J$6:$J$1413,X$1)</f>
        <v>0</v>
      </c>
      <c r="Y194" s="80">
        <f>SUMIFS('февраль 2024'!$G$6:$G$1413,'февраль 2024'!$D$6:$D$1413,$B194,'февраль 2024'!$J$6:$J$1413,Y$1)</f>
        <v>0</v>
      </c>
      <c r="Z194" s="80">
        <f>SUMIFS('февраль 2024'!$G$6:$G$1413,'февраль 2024'!$D$6:$D$1413,$B194,'февраль 2024'!$J$6:$J$1413,Z$1)</f>
        <v>0</v>
      </c>
      <c r="AA194" s="80">
        <f>SUMIFS('февраль 2024'!$G$6:$G$1413,'февраль 2024'!$D$6:$D$1413,$B194,'февраль 2024'!$J$6:$J$1413,AA$1)</f>
        <v>0</v>
      </c>
      <c r="AB194" s="80">
        <f>SUMIFS('февраль 2024'!$G$6:$G$1413,'февраль 2024'!$D$6:$D$1413,$B194,'февраль 2024'!$J$6:$J$1413,AB$1)</f>
        <v>0</v>
      </c>
      <c r="AC194" s="80">
        <f>SUMIFS('февраль 2024'!$G$6:$G$1413,'февраль 2024'!$D$6:$D$1413,$B194,'февраль 2024'!$J$6:$J$1413,AC$1)</f>
        <v>0</v>
      </c>
      <c r="AD194" s="80">
        <f>SUMIFS('февраль 2024'!$G$6:$G$1413,'февраль 2024'!$D$6:$D$1413,$B194,'февраль 2024'!$J$6:$J$1413,AD$1)</f>
        <v>0</v>
      </c>
      <c r="AE194" s="80">
        <f>SUMIFS('февраль 2024'!$G$6:$G$1413,'февраль 2024'!$D$6:$D$1413,$B194,'февраль 2024'!$J$6:$J$1413,AE$1)</f>
        <v>0</v>
      </c>
      <c r="AF194" s="80">
        <f>SUMIFS('февраль 2024'!$G$6:$G$1413,'февраль 2024'!$D$6:$D$1413,$B194,'февраль 2024'!$J$6:$J$1413,AF$1)</f>
        <v>0</v>
      </c>
      <c r="AG194" s="80">
        <f>SUMIFS('февраль 2024'!$G$6:$G$1413,'февраль 2024'!$D$6:$D$1413,$B194,'февраль 2024'!$J$6:$J$1413,AG$1)</f>
        <v>0</v>
      </c>
      <c r="AH194" s="80">
        <f>SUMIFS('февраль 2024'!$G$6:$G$1413,'февраль 2024'!$D$6:$D$1413,$B194,'февраль 2024'!$J$6:$J$1413,AH$1)</f>
        <v>0</v>
      </c>
      <c r="AI194" s="87"/>
    </row>
    <row r="195" spans="2:35" ht="15" hidden="1" customHeight="1" x14ac:dyDescent="0.25">
      <c r="B195" s="89"/>
      <c r="C195" s="88"/>
      <c r="D195" s="80">
        <f>SUMIFS('февраль 2024'!$G$6:$G$1413,'февраль 2024'!$D$6:$D$1413,$B195,'февраль 2024'!$J$6:$J$1413,D$1)</f>
        <v>0</v>
      </c>
      <c r="E195" s="80">
        <f>SUMIFS('февраль 2024'!$G$6:$G$1413,'февраль 2024'!$D$6:$D$1413,$B195,'февраль 2024'!$J$6:$J$1413,E$1)</f>
        <v>0</v>
      </c>
      <c r="F195" s="80">
        <f>SUMIFS('февраль 2024'!$G$6:$G$1413,'февраль 2024'!$D$6:$D$1413,$B195,'февраль 2024'!$J$6:$J$1413,F$1)</f>
        <v>0</v>
      </c>
      <c r="G195" s="80">
        <f>SUMIFS('февраль 2024'!$G$6:$G$1413,'февраль 2024'!$D$6:$D$1413,$B195,'февраль 2024'!$J$6:$J$1413,G$1)</f>
        <v>0</v>
      </c>
      <c r="H195" s="80">
        <f>SUMIFS('февраль 2024'!$G$6:$G$1413,'февраль 2024'!$D$6:$D$1413,$B195,'февраль 2024'!$J$6:$J$1413,H$1)</f>
        <v>0</v>
      </c>
      <c r="I195" s="80">
        <f>SUMIFS('февраль 2024'!$G$6:$G$1413,'февраль 2024'!$D$6:$D$1413,$B195,'февраль 2024'!$J$6:$J$1413,I$1)</f>
        <v>0</v>
      </c>
      <c r="J195" s="80">
        <f>SUMIFS('февраль 2024'!$G$6:$G$1413,'февраль 2024'!$D$6:$D$1413,$B195,'февраль 2024'!$J$6:$J$1413,J$1)</f>
        <v>0</v>
      </c>
      <c r="K195" s="80">
        <f>SUMIFS('февраль 2024'!$G$6:$G$1413,'февраль 2024'!$D$6:$D$1413,$B195,'февраль 2024'!$J$6:$J$1413,K$1)</f>
        <v>0</v>
      </c>
      <c r="L195" s="80">
        <f>SUMIFS('февраль 2024'!$G$6:$G$1413,'февраль 2024'!$D$6:$D$1413,$B195,'февраль 2024'!$J$6:$J$1413,L$1)</f>
        <v>0</v>
      </c>
      <c r="M195" s="80">
        <f>SUMIFS('февраль 2024'!$G$6:$G$1413,'февраль 2024'!$D$6:$D$1413,$B195,'февраль 2024'!$J$6:$J$1413,M$1)</f>
        <v>0</v>
      </c>
      <c r="N195" s="80">
        <f>SUMIFS('февраль 2024'!$G$6:$G$1413,'февраль 2024'!$D$6:$D$1413,$B195,'февраль 2024'!$J$6:$J$1413,N$1)</f>
        <v>0</v>
      </c>
      <c r="O195" s="80">
        <f>SUMIFS('февраль 2024'!$G$6:$G$1413,'февраль 2024'!$D$6:$D$1413,$B195,'февраль 2024'!$J$6:$J$1413,O$1)</f>
        <v>0</v>
      </c>
      <c r="P195" s="80">
        <f>SUMIFS('февраль 2024'!$G$6:$G$1413,'февраль 2024'!$D$6:$D$1413,$B195,'февраль 2024'!$J$6:$J$1413,P$1)</f>
        <v>0</v>
      </c>
      <c r="Q195" s="80">
        <f>SUMIFS('февраль 2024'!$G$6:$G$1413,'февраль 2024'!$D$6:$D$1413,$B195,'февраль 2024'!$J$6:$J$1413,Q$1)</f>
        <v>0</v>
      </c>
      <c r="R195" s="80">
        <f>SUMIFS('февраль 2024'!$G$6:$G$1413,'февраль 2024'!$D$6:$D$1413,$B195,'февраль 2024'!$J$6:$J$1413,R$1)</f>
        <v>0</v>
      </c>
      <c r="S195" s="80">
        <f>SUMIFS('февраль 2024'!$G$6:$G$1413,'февраль 2024'!$D$6:$D$1413,$B195,'февраль 2024'!$J$6:$J$1413,S$1)</f>
        <v>0</v>
      </c>
      <c r="T195" s="80">
        <f>SUMIFS('февраль 2024'!$G$6:$G$1413,'февраль 2024'!$D$6:$D$1413,$B195,'февраль 2024'!$J$6:$J$1413,T$1)</f>
        <v>0</v>
      </c>
      <c r="U195" s="80">
        <f>SUMIFS('февраль 2024'!$G$6:$G$1413,'февраль 2024'!$D$6:$D$1413,$B195,'февраль 2024'!$J$6:$J$1413,U$1)</f>
        <v>0</v>
      </c>
      <c r="V195" s="80">
        <f>SUMIFS('февраль 2024'!$G$6:$G$1413,'февраль 2024'!$D$6:$D$1413,$B195,'февраль 2024'!$J$6:$J$1413,V$1)</f>
        <v>0</v>
      </c>
      <c r="W195" s="80">
        <f>SUMIFS('февраль 2024'!$G$6:$G$1413,'февраль 2024'!$D$6:$D$1413,$B195,'февраль 2024'!$J$6:$J$1413,W$1)</f>
        <v>0</v>
      </c>
      <c r="X195" s="80">
        <f>SUMIFS('февраль 2024'!$G$6:$G$1413,'февраль 2024'!$D$6:$D$1413,$B195,'февраль 2024'!$J$6:$J$1413,X$1)</f>
        <v>0</v>
      </c>
      <c r="Y195" s="80">
        <f>SUMIFS('февраль 2024'!$G$6:$G$1413,'февраль 2024'!$D$6:$D$1413,$B195,'февраль 2024'!$J$6:$J$1413,Y$1)</f>
        <v>0</v>
      </c>
      <c r="Z195" s="80">
        <f>SUMIFS('февраль 2024'!$G$6:$G$1413,'февраль 2024'!$D$6:$D$1413,$B195,'февраль 2024'!$J$6:$J$1413,Z$1)</f>
        <v>0</v>
      </c>
      <c r="AA195" s="80">
        <f>SUMIFS('февраль 2024'!$G$6:$G$1413,'февраль 2024'!$D$6:$D$1413,$B195,'февраль 2024'!$J$6:$J$1413,AA$1)</f>
        <v>0</v>
      </c>
      <c r="AB195" s="80">
        <f>SUMIFS('февраль 2024'!$G$6:$G$1413,'февраль 2024'!$D$6:$D$1413,$B195,'февраль 2024'!$J$6:$J$1413,AB$1)</f>
        <v>0</v>
      </c>
      <c r="AC195" s="80">
        <f>SUMIFS('февраль 2024'!$G$6:$G$1413,'февраль 2024'!$D$6:$D$1413,$B195,'февраль 2024'!$J$6:$J$1413,AC$1)</f>
        <v>0</v>
      </c>
      <c r="AD195" s="80">
        <f>SUMIFS('февраль 2024'!$G$6:$G$1413,'февраль 2024'!$D$6:$D$1413,$B195,'февраль 2024'!$J$6:$J$1413,AD$1)</f>
        <v>0</v>
      </c>
      <c r="AE195" s="80">
        <f>SUMIFS('февраль 2024'!$G$6:$G$1413,'февраль 2024'!$D$6:$D$1413,$B195,'февраль 2024'!$J$6:$J$1413,AE$1)</f>
        <v>0</v>
      </c>
      <c r="AF195" s="80">
        <f>SUMIFS('февраль 2024'!$G$6:$G$1413,'февраль 2024'!$D$6:$D$1413,$B195,'февраль 2024'!$J$6:$J$1413,AF$1)</f>
        <v>0</v>
      </c>
      <c r="AG195" s="80">
        <f>SUMIFS('февраль 2024'!$G$6:$G$1413,'февраль 2024'!$D$6:$D$1413,$B195,'февраль 2024'!$J$6:$J$1413,AG$1)</f>
        <v>0</v>
      </c>
      <c r="AH195" s="80">
        <f>SUMIFS('февраль 2024'!$G$6:$G$1413,'февраль 2024'!$D$6:$D$1413,$B195,'февраль 2024'!$J$6:$J$1413,AH$1)</f>
        <v>0</v>
      </c>
      <c r="AI195" s="87"/>
    </row>
    <row r="196" spans="2:35" ht="15" hidden="1" customHeight="1" x14ac:dyDescent="0.25">
      <c r="B196" s="89"/>
      <c r="C196" s="88"/>
      <c r="D196" s="80">
        <f>SUMIFS('февраль 2024'!$G$6:$G$1413,'февраль 2024'!$D$6:$D$1413,$B196,'февраль 2024'!$J$6:$J$1413,D$1)</f>
        <v>0</v>
      </c>
      <c r="E196" s="80">
        <f>SUMIFS('февраль 2024'!$G$6:$G$1413,'февраль 2024'!$D$6:$D$1413,$B196,'февраль 2024'!$J$6:$J$1413,E$1)</f>
        <v>0</v>
      </c>
      <c r="F196" s="80">
        <f>SUMIFS('февраль 2024'!$G$6:$G$1413,'февраль 2024'!$D$6:$D$1413,$B196,'февраль 2024'!$J$6:$J$1413,F$1)</f>
        <v>0</v>
      </c>
      <c r="G196" s="80">
        <f>SUMIFS('февраль 2024'!$G$6:$G$1413,'февраль 2024'!$D$6:$D$1413,$B196,'февраль 2024'!$J$6:$J$1413,G$1)</f>
        <v>0</v>
      </c>
      <c r="H196" s="80">
        <f>SUMIFS('февраль 2024'!$G$6:$G$1413,'февраль 2024'!$D$6:$D$1413,$B196,'февраль 2024'!$J$6:$J$1413,H$1)</f>
        <v>0</v>
      </c>
      <c r="I196" s="80">
        <f>SUMIFS('февраль 2024'!$G$6:$G$1413,'февраль 2024'!$D$6:$D$1413,$B196,'февраль 2024'!$J$6:$J$1413,I$1)</f>
        <v>0</v>
      </c>
      <c r="J196" s="80">
        <f>SUMIFS('февраль 2024'!$G$6:$G$1413,'февраль 2024'!$D$6:$D$1413,$B196,'февраль 2024'!$J$6:$J$1413,J$1)</f>
        <v>0</v>
      </c>
      <c r="K196" s="80">
        <f>SUMIFS('февраль 2024'!$G$6:$G$1413,'февраль 2024'!$D$6:$D$1413,$B196,'февраль 2024'!$J$6:$J$1413,K$1)</f>
        <v>0</v>
      </c>
      <c r="L196" s="80">
        <f>SUMIFS('февраль 2024'!$G$6:$G$1413,'февраль 2024'!$D$6:$D$1413,$B196,'февраль 2024'!$J$6:$J$1413,L$1)</f>
        <v>0</v>
      </c>
      <c r="M196" s="80">
        <f>SUMIFS('февраль 2024'!$G$6:$G$1413,'февраль 2024'!$D$6:$D$1413,$B196,'февраль 2024'!$J$6:$J$1413,M$1)</f>
        <v>0</v>
      </c>
      <c r="N196" s="80">
        <f>SUMIFS('февраль 2024'!$G$6:$G$1413,'февраль 2024'!$D$6:$D$1413,$B196,'февраль 2024'!$J$6:$J$1413,N$1)</f>
        <v>0</v>
      </c>
      <c r="O196" s="80">
        <f>SUMIFS('февраль 2024'!$G$6:$G$1413,'февраль 2024'!$D$6:$D$1413,$B196,'февраль 2024'!$J$6:$J$1413,O$1)</f>
        <v>0</v>
      </c>
      <c r="P196" s="80">
        <f>SUMIFS('февраль 2024'!$G$6:$G$1413,'февраль 2024'!$D$6:$D$1413,$B196,'февраль 2024'!$J$6:$J$1413,P$1)</f>
        <v>0</v>
      </c>
      <c r="Q196" s="80">
        <f>SUMIFS('февраль 2024'!$G$6:$G$1413,'февраль 2024'!$D$6:$D$1413,$B196,'февраль 2024'!$J$6:$J$1413,Q$1)</f>
        <v>0</v>
      </c>
      <c r="R196" s="80">
        <f>SUMIFS('февраль 2024'!$G$6:$G$1413,'февраль 2024'!$D$6:$D$1413,$B196,'февраль 2024'!$J$6:$J$1413,R$1)</f>
        <v>0</v>
      </c>
      <c r="S196" s="80">
        <f>SUMIFS('февраль 2024'!$G$6:$G$1413,'февраль 2024'!$D$6:$D$1413,$B196,'февраль 2024'!$J$6:$J$1413,S$1)</f>
        <v>0</v>
      </c>
      <c r="T196" s="80">
        <f>SUMIFS('февраль 2024'!$G$6:$G$1413,'февраль 2024'!$D$6:$D$1413,$B196,'февраль 2024'!$J$6:$J$1413,T$1)</f>
        <v>0</v>
      </c>
      <c r="U196" s="80">
        <f>SUMIFS('февраль 2024'!$G$6:$G$1413,'февраль 2024'!$D$6:$D$1413,$B196,'февраль 2024'!$J$6:$J$1413,U$1)</f>
        <v>0</v>
      </c>
      <c r="V196" s="80">
        <f>SUMIFS('февраль 2024'!$G$6:$G$1413,'февраль 2024'!$D$6:$D$1413,$B196,'февраль 2024'!$J$6:$J$1413,V$1)</f>
        <v>0</v>
      </c>
      <c r="W196" s="80">
        <f>SUMIFS('февраль 2024'!$G$6:$G$1413,'февраль 2024'!$D$6:$D$1413,$B196,'февраль 2024'!$J$6:$J$1413,W$1)</f>
        <v>0</v>
      </c>
      <c r="X196" s="80">
        <f>SUMIFS('февраль 2024'!$G$6:$G$1413,'февраль 2024'!$D$6:$D$1413,$B196,'февраль 2024'!$J$6:$J$1413,X$1)</f>
        <v>0</v>
      </c>
      <c r="Y196" s="80">
        <f>SUMIFS('февраль 2024'!$G$6:$G$1413,'февраль 2024'!$D$6:$D$1413,$B196,'февраль 2024'!$J$6:$J$1413,Y$1)</f>
        <v>0</v>
      </c>
      <c r="Z196" s="80">
        <f>SUMIFS('февраль 2024'!$G$6:$G$1413,'февраль 2024'!$D$6:$D$1413,$B196,'февраль 2024'!$J$6:$J$1413,Z$1)</f>
        <v>0</v>
      </c>
      <c r="AA196" s="80">
        <f>SUMIFS('февраль 2024'!$G$6:$G$1413,'февраль 2024'!$D$6:$D$1413,$B196,'февраль 2024'!$J$6:$J$1413,AA$1)</f>
        <v>0</v>
      </c>
      <c r="AB196" s="80">
        <f>SUMIFS('февраль 2024'!$G$6:$G$1413,'февраль 2024'!$D$6:$D$1413,$B196,'февраль 2024'!$J$6:$J$1413,AB$1)</f>
        <v>0</v>
      </c>
      <c r="AC196" s="80">
        <f>SUMIFS('февраль 2024'!$G$6:$G$1413,'февраль 2024'!$D$6:$D$1413,$B196,'февраль 2024'!$J$6:$J$1413,AC$1)</f>
        <v>0</v>
      </c>
      <c r="AD196" s="80">
        <f>SUMIFS('февраль 2024'!$G$6:$G$1413,'февраль 2024'!$D$6:$D$1413,$B196,'февраль 2024'!$J$6:$J$1413,AD$1)</f>
        <v>0</v>
      </c>
      <c r="AE196" s="80">
        <f>SUMIFS('февраль 2024'!$G$6:$G$1413,'февраль 2024'!$D$6:$D$1413,$B196,'февраль 2024'!$J$6:$J$1413,AE$1)</f>
        <v>0</v>
      </c>
      <c r="AF196" s="80">
        <f>SUMIFS('февраль 2024'!$G$6:$G$1413,'февраль 2024'!$D$6:$D$1413,$B196,'февраль 2024'!$J$6:$J$1413,AF$1)</f>
        <v>0</v>
      </c>
      <c r="AG196" s="80">
        <f>SUMIFS('февраль 2024'!$G$6:$G$1413,'февраль 2024'!$D$6:$D$1413,$B196,'февраль 2024'!$J$6:$J$1413,AG$1)</f>
        <v>0</v>
      </c>
      <c r="AH196" s="80">
        <f>SUMIFS('февраль 2024'!$G$6:$G$1413,'февраль 2024'!$D$6:$D$1413,$B196,'февраль 2024'!$J$6:$J$1413,AH$1)</f>
        <v>0</v>
      </c>
      <c r="AI196" s="87"/>
    </row>
    <row r="197" spans="2:35" ht="15" hidden="1" customHeight="1" x14ac:dyDescent="0.25">
      <c r="B197" s="89"/>
      <c r="C197" s="88"/>
      <c r="D197" s="80">
        <f>SUMIFS('февраль 2024'!$G$6:$G$1413,'февраль 2024'!$D$6:$D$1413,$B197,'февраль 2024'!$J$6:$J$1413,D$1)</f>
        <v>0</v>
      </c>
      <c r="E197" s="80">
        <f>SUMIFS('февраль 2024'!$G$6:$G$1413,'февраль 2024'!$D$6:$D$1413,$B197,'февраль 2024'!$J$6:$J$1413,E$1)</f>
        <v>0</v>
      </c>
      <c r="F197" s="80">
        <f>SUMIFS('февраль 2024'!$G$6:$G$1413,'февраль 2024'!$D$6:$D$1413,$B197,'февраль 2024'!$J$6:$J$1413,F$1)</f>
        <v>0</v>
      </c>
      <c r="G197" s="80">
        <f>SUMIFS('февраль 2024'!$G$6:$G$1413,'февраль 2024'!$D$6:$D$1413,$B197,'февраль 2024'!$J$6:$J$1413,G$1)</f>
        <v>0</v>
      </c>
      <c r="H197" s="80">
        <f>SUMIFS('февраль 2024'!$G$6:$G$1413,'февраль 2024'!$D$6:$D$1413,$B197,'февраль 2024'!$J$6:$J$1413,H$1)</f>
        <v>0</v>
      </c>
      <c r="I197" s="80">
        <f>SUMIFS('февраль 2024'!$G$6:$G$1413,'февраль 2024'!$D$6:$D$1413,$B197,'февраль 2024'!$J$6:$J$1413,I$1)</f>
        <v>0</v>
      </c>
      <c r="J197" s="80">
        <f>SUMIFS('февраль 2024'!$G$6:$G$1413,'февраль 2024'!$D$6:$D$1413,$B197,'февраль 2024'!$J$6:$J$1413,J$1)</f>
        <v>0</v>
      </c>
      <c r="K197" s="80">
        <f>SUMIFS('февраль 2024'!$G$6:$G$1413,'февраль 2024'!$D$6:$D$1413,$B197,'февраль 2024'!$J$6:$J$1413,K$1)</f>
        <v>0</v>
      </c>
      <c r="L197" s="80">
        <f>SUMIFS('февраль 2024'!$G$6:$G$1413,'февраль 2024'!$D$6:$D$1413,$B197,'февраль 2024'!$J$6:$J$1413,L$1)</f>
        <v>0</v>
      </c>
      <c r="M197" s="80">
        <f>SUMIFS('февраль 2024'!$G$6:$G$1413,'февраль 2024'!$D$6:$D$1413,$B197,'февраль 2024'!$J$6:$J$1413,M$1)</f>
        <v>0</v>
      </c>
      <c r="N197" s="80">
        <f>SUMIFS('февраль 2024'!$G$6:$G$1413,'февраль 2024'!$D$6:$D$1413,$B197,'февраль 2024'!$J$6:$J$1413,N$1)</f>
        <v>0</v>
      </c>
      <c r="O197" s="80">
        <f>SUMIFS('февраль 2024'!$G$6:$G$1413,'февраль 2024'!$D$6:$D$1413,$B197,'февраль 2024'!$J$6:$J$1413,O$1)</f>
        <v>0</v>
      </c>
      <c r="P197" s="80">
        <f>SUMIFS('февраль 2024'!$G$6:$G$1413,'февраль 2024'!$D$6:$D$1413,$B197,'февраль 2024'!$J$6:$J$1413,P$1)</f>
        <v>0</v>
      </c>
      <c r="Q197" s="80">
        <f>SUMIFS('февраль 2024'!$G$6:$G$1413,'февраль 2024'!$D$6:$D$1413,$B197,'февраль 2024'!$J$6:$J$1413,Q$1)</f>
        <v>0</v>
      </c>
      <c r="R197" s="80">
        <f>SUMIFS('февраль 2024'!$G$6:$G$1413,'февраль 2024'!$D$6:$D$1413,$B197,'февраль 2024'!$J$6:$J$1413,R$1)</f>
        <v>0</v>
      </c>
      <c r="S197" s="80">
        <f>SUMIFS('февраль 2024'!$G$6:$G$1413,'февраль 2024'!$D$6:$D$1413,$B197,'февраль 2024'!$J$6:$J$1413,S$1)</f>
        <v>0</v>
      </c>
      <c r="T197" s="80">
        <f>SUMIFS('февраль 2024'!$G$6:$G$1413,'февраль 2024'!$D$6:$D$1413,$B197,'февраль 2024'!$J$6:$J$1413,T$1)</f>
        <v>0</v>
      </c>
      <c r="U197" s="80">
        <f>SUMIFS('февраль 2024'!$G$6:$G$1413,'февраль 2024'!$D$6:$D$1413,$B197,'февраль 2024'!$J$6:$J$1413,U$1)</f>
        <v>0</v>
      </c>
      <c r="V197" s="80">
        <f>SUMIFS('февраль 2024'!$G$6:$G$1413,'февраль 2024'!$D$6:$D$1413,$B197,'февраль 2024'!$J$6:$J$1413,V$1)</f>
        <v>0</v>
      </c>
      <c r="W197" s="80">
        <f>SUMIFS('февраль 2024'!$G$6:$G$1413,'февраль 2024'!$D$6:$D$1413,$B197,'февраль 2024'!$J$6:$J$1413,W$1)</f>
        <v>0</v>
      </c>
      <c r="X197" s="80">
        <f>SUMIFS('февраль 2024'!$G$6:$G$1413,'февраль 2024'!$D$6:$D$1413,$B197,'февраль 2024'!$J$6:$J$1413,X$1)</f>
        <v>0</v>
      </c>
      <c r="Y197" s="80">
        <f>SUMIFS('февраль 2024'!$G$6:$G$1413,'февраль 2024'!$D$6:$D$1413,$B197,'февраль 2024'!$J$6:$J$1413,Y$1)</f>
        <v>0</v>
      </c>
      <c r="Z197" s="80">
        <f>SUMIFS('февраль 2024'!$G$6:$G$1413,'февраль 2024'!$D$6:$D$1413,$B197,'февраль 2024'!$J$6:$J$1413,Z$1)</f>
        <v>0</v>
      </c>
      <c r="AA197" s="80">
        <f>SUMIFS('февраль 2024'!$G$6:$G$1413,'февраль 2024'!$D$6:$D$1413,$B197,'февраль 2024'!$J$6:$J$1413,AA$1)</f>
        <v>0</v>
      </c>
      <c r="AB197" s="80">
        <f>SUMIFS('февраль 2024'!$G$6:$G$1413,'февраль 2024'!$D$6:$D$1413,$B197,'февраль 2024'!$J$6:$J$1413,AB$1)</f>
        <v>0</v>
      </c>
      <c r="AC197" s="80">
        <f>SUMIFS('февраль 2024'!$G$6:$G$1413,'февраль 2024'!$D$6:$D$1413,$B197,'февраль 2024'!$J$6:$J$1413,AC$1)</f>
        <v>0</v>
      </c>
      <c r="AD197" s="80">
        <f>SUMIFS('февраль 2024'!$G$6:$G$1413,'февраль 2024'!$D$6:$D$1413,$B197,'февраль 2024'!$J$6:$J$1413,AD$1)</f>
        <v>0</v>
      </c>
      <c r="AE197" s="80">
        <f>SUMIFS('февраль 2024'!$G$6:$G$1413,'февраль 2024'!$D$6:$D$1413,$B197,'февраль 2024'!$J$6:$J$1413,AE$1)</f>
        <v>0</v>
      </c>
      <c r="AF197" s="80">
        <f>SUMIFS('февраль 2024'!$G$6:$G$1413,'февраль 2024'!$D$6:$D$1413,$B197,'февраль 2024'!$J$6:$J$1413,AF$1)</f>
        <v>0</v>
      </c>
      <c r="AG197" s="80">
        <f>SUMIFS('февраль 2024'!$G$6:$G$1413,'февраль 2024'!$D$6:$D$1413,$B197,'февраль 2024'!$J$6:$J$1413,AG$1)</f>
        <v>0</v>
      </c>
      <c r="AH197" s="80">
        <f>SUMIFS('февраль 2024'!$G$6:$G$1413,'февраль 2024'!$D$6:$D$1413,$B197,'февраль 2024'!$J$6:$J$1413,AH$1)</f>
        <v>0</v>
      </c>
      <c r="AI197" s="87"/>
    </row>
    <row r="198" spans="2:35" ht="15" hidden="1" customHeight="1" x14ac:dyDescent="0.25">
      <c r="B198" s="89"/>
      <c r="C198" s="88"/>
      <c r="D198" s="80">
        <f>SUMIFS('февраль 2024'!$G$6:$G$1413,'февраль 2024'!$D$6:$D$1413,$B198,'февраль 2024'!$J$6:$J$1413,D$1)</f>
        <v>0</v>
      </c>
      <c r="E198" s="80">
        <f>SUMIFS('февраль 2024'!$G$6:$G$1413,'февраль 2024'!$D$6:$D$1413,$B198,'февраль 2024'!$J$6:$J$1413,E$1)</f>
        <v>0</v>
      </c>
      <c r="F198" s="80">
        <f>SUMIFS('февраль 2024'!$G$6:$G$1413,'февраль 2024'!$D$6:$D$1413,$B198,'февраль 2024'!$J$6:$J$1413,F$1)</f>
        <v>0</v>
      </c>
      <c r="G198" s="80">
        <f>SUMIFS('февраль 2024'!$G$6:$G$1413,'февраль 2024'!$D$6:$D$1413,$B198,'февраль 2024'!$J$6:$J$1413,G$1)</f>
        <v>0</v>
      </c>
      <c r="H198" s="80">
        <f>SUMIFS('февраль 2024'!$G$6:$G$1413,'февраль 2024'!$D$6:$D$1413,$B198,'февраль 2024'!$J$6:$J$1413,H$1)</f>
        <v>0</v>
      </c>
      <c r="I198" s="80">
        <f>SUMIFS('февраль 2024'!$G$6:$G$1413,'февраль 2024'!$D$6:$D$1413,$B198,'февраль 2024'!$J$6:$J$1413,I$1)</f>
        <v>0</v>
      </c>
      <c r="J198" s="80">
        <f>SUMIFS('февраль 2024'!$G$6:$G$1413,'февраль 2024'!$D$6:$D$1413,$B198,'февраль 2024'!$J$6:$J$1413,J$1)</f>
        <v>0</v>
      </c>
      <c r="K198" s="80">
        <f>SUMIFS('февраль 2024'!$G$6:$G$1413,'февраль 2024'!$D$6:$D$1413,$B198,'февраль 2024'!$J$6:$J$1413,K$1)</f>
        <v>0</v>
      </c>
      <c r="L198" s="80">
        <f>SUMIFS('февраль 2024'!$G$6:$G$1413,'февраль 2024'!$D$6:$D$1413,$B198,'февраль 2024'!$J$6:$J$1413,L$1)</f>
        <v>0</v>
      </c>
      <c r="M198" s="80">
        <f>SUMIFS('февраль 2024'!$G$6:$G$1413,'февраль 2024'!$D$6:$D$1413,$B198,'февраль 2024'!$J$6:$J$1413,M$1)</f>
        <v>0</v>
      </c>
      <c r="N198" s="80">
        <f>SUMIFS('февраль 2024'!$G$6:$G$1413,'февраль 2024'!$D$6:$D$1413,$B198,'февраль 2024'!$J$6:$J$1413,N$1)</f>
        <v>0</v>
      </c>
      <c r="O198" s="80">
        <f>SUMIFS('февраль 2024'!$G$6:$G$1413,'февраль 2024'!$D$6:$D$1413,$B198,'февраль 2024'!$J$6:$J$1413,O$1)</f>
        <v>0</v>
      </c>
      <c r="P198" s="80">
        <f>SUMIFS('февраль 2024'!$G$6:$G$1413,'февраль 2024'!$D$6:$D$1413,$B198,'февраль 2024'!$J$6:$J$1413,P$1)</f>
        <v>0</v>
      </c>
      <c r="Q198" s="80">
        <f>SUMIFS('февраль 2024'!$G$6:$G$1413,'февраль 2024'!$D$6:$D$1413,$B198,'февраль 2024'!$J$6:$J$1413,Q$1)</f>
        <v>0</v>
      </c>
      <c r="R198" s="80">
        <f>SUMIFS('февраль 2024'!$G$6:$G$1413,'февраль 2024'!$D$6:$D$1413,$B198,'февраль 2024'!$J$6:$J$1413,R$1)</f>
        <v>0</v>
      </c>
      <c r="S198" s="80">
        <f>SUMIFS('февраль 2024'!$G$6:$G$1413,'февраль 2024'!$D$6:$D$1413,$B198,'февраль 2024'!$J$6:$J$1413,S$1)</f>
        <v>0</v>
      </c>
      <c r="T198" s="80">
        <f>SUMIFS('февраль 2024'!$G$6:$G$1413,'февраль 2024'!$D$6:$D$1413,$B198,'февраль 2024'!$J$6:$J$1413,T$1)</f>
        <v>0</v>
      </c>
      <c r="U198" s="80">
        <f>SUMIFS('февраль 2024'!$G$6:$G$1413,'февраль 2024'!$D$6:$D$1413,$B198,'февраль 2024'!$J$6:$J$1413,U$1)</f>
        <v>0</v>
      </c>
      <c r="V198" s="80">
        <f>SUMIFS('февраль 2024'!$G$6:$G$1413,'февраль 2024'!$D$6:$D$1413,$B198,'февраль 2024'!$J$6:$J$1413,V$1)</f>
        <v>0</v>
      </c>
      <c r="W198" s="80">
        <f>SUMIFS('февраль 2024'!$G$6:$G$1413,'февраль 2024'!$D$6:$D$1413,$B198,'февраль 2024'!$J$6:$J$1413,W$1)</f>
        <v>0</v>
      </c>
      <c r="X198" s="80">
        <f>SUMIFS('февраль 2024'!$G$6:$G$1413,'февраль 2024'!$D$6:$D$1413,$B198,'февраль 2024'!$J$6:$J$1413,X$1)</f>
        <v>0</v>
      </c>
      <c r="Y198" s="80">
        <f>SUMIFS('февраль 2024'!$G$6:$G$1413,'февраль 2024'!$D$6:$D$1413,$B198,'февраль 2024'!$J$6:$J$1413,Y$1)</f>
        <v>0</v>
      </c>
      <c r="Z198" s="80">
        <f>SUMIFS('февраль 2024'!$G$6:$G$1413,'февраль 2024'!$D$6:$D$1413,$B198,'февраль 2024'!$J$6:$J$1413,Z$1)</f>
        <v>0</v>
      </c>
      <c r="AA198" s="80">
        <f>SUMIFS('февраль 2024'!$G$6:$G$1413,'февраль 2024'!$D$6:$D$1413,$B198,'февраль 2024'!$J$6:$J$1413,AA$1)</f>
        <v>0</v>
      </c>
      <c r="AB198" s="80">
        <f>SUMIFS('февраль 2024'!$G$6:$G$1413,'февраль 2024'!$D$6:$D$1413,$B198,'февраль 2024'!$J$6:$J$1413,AB$1)</f>
        <v>0</v>
      </c>
      <c r="AC198" s="80">
        <f>SUMIFS('февраль 2024'!$G$6:$G$1413,'февраль 2024'!$D$6:$D$1413,$B198,'февраль 2024'!$J$6:$J$1413,AC$1)</f>
        <v>0</v>
      </c>
      <c r="AD198" s="80">
        <f>SUMIFS('февраль 2024'!$G$6:$G$1413,'февраль 2024'!$D$6:$D$1413,$B198,'февраль 2024'!$J$6:$J$1413,AD$1)</f>
        <v>0</v>
      </c>
      <c r="AE198" s="80">
        <f>SUMIFS('февраль 2024'!$G$6:$G$1413,'февраль 2024'!$D$6:$D$1413,$B198,'февраль 2024'!$J$6:$J$1413,AE$1)</f>
        <v>0</v>
      </c>
      <c r="AF198" s="80">
        <f>SUMIFS('февраль 2024'!$G$6:$G$1413,'февраль 2024'!$D$6:$D$1413,$B198,'февраль 2024'!$J$6:$J$1413,AF$1)</f>
        <v>0</v>
      </c>
      <c r="AG198" s="80">
        <f>SUMIFS('февраль 2024'!$G$6:$G$1413,'февраль 2024'!$D$6:$D$1413,$B198,'февраль 2024'!$J$6:$J$1413,AG$1)</f>
        <v>0</v>
      </c>
      <c r="AH198" s="80">
        <f>SUMIFS('февраль 2024'!$G$6:$G$1413,'февраль 2024'!$D$6:$D$1413,$B198,'февраль 2024'!$J$6:$J$1413,AH$1)</f>
        <v>0</v>
      </c>
      <c r="AI198" s="87"/>
    </row>
    <row r="199" spans="2:35" ht="15" hidden="1" customHeight="1" x14ac:dyDescent="0.25">
      <c r="B199" s="89"/>
      <c r="C199" s="88"/>
      <c r="D199" s="80">
        <f>SUMIFS('февраль 2024'!$G$6:$G$1413,'февраль 2024'!$D$6:$D$1413,$B199,'февраль 2024'!$J$6:$J$1413,D$1)</f>
        <v>0</v>
      </c>
      <c r="E199" s="80">
        <f>SUMIFS('февраль 2024'!$G$6:$G$1413,'февраль 2024'!$D$6:$D$1413,$B199,'февраль 2024'!$J$6:$J$1413,E$1)</f>
        <v>0</v>
      </c>
      <c r="F199" s="80">
        <f>SUMIFS('февраль 2024'!$G$6:$G$1413,'февраль 2024'!$D$6:$D$1413,$B199,'февраль 2024'!$J$6:$J$1413,F$1)</f>
        <v>0</v>
      </c>
      <c r="G199" s="80">
        <f>SUMIFS('февраль 2024'!$G$6:$G$1413,'февраль 2024'!$D$6:$D$1413,$B199,'февраль 2024'!$J$6:$J$1413,G$1)</f>
        <v>0</v>
      </c>
      <c r="H199" s="80">
        <f>SUMIFS('февраль 2024'!$G$6:$G$1413,'февраль 2024'!$D$6:$D$1413,$B199,'февраль 2024'!$J$6:$J$1413,H$1)</f>
        <v>0</v>
      </c>
      <c r="I199" s="80">
        <f>SUMIFS('февраль 2024'!$G$6:$G$1413,'февраль 2024'!$D$6:$D$1413,$B199,'февраль 2024'!$J$6:$J$1413,I$1)</f>
        <v>0</v>
      </c>
      <c r="J199" s="80">
        <f>SUMIFS('февраль 2024'!$G$6:$G$1413,'февраль 2024'!$D$6:$D$1413,$B199,'февраль 2024'!$J$6:$J$1413,J$1)</f>
        <v>0</v>
      </c>
      <c r="K199" s="80">
        <f>SUMIFS('февраль 2024'!$G$6:$G$1413,'февраль 2024'!$D$6:$D$1413,$B199,'февраль 2024'!$J$6:$J$1413,K$1)</f>
        <v>0</v>
      </c>
      <c r="L199" s="80">
        <f>SUMIFS('февраль 2024'!$G$6:$G$1413,'февраль 2024'!$D$6:$D$1413,$B199,'февраль 2024'!$J$6:$J$1413,L$1)</f>
        <v>0</v>
      </c>
      <c r="M199" s="80">
        <f>SUMIFS('февраль 2024'!$G$6:$G$1413,'февраль 2024'!$D$6:$D$1413,$B199,'февраль 2024'!$J$6:$J$1413,M$1)</f>
        <v>0</v>
      </c>
      <c r="N199" s="80">
        <f>SUMIFS('февраль 2024'!$G$6:$G$1413,'февраль 2024'!$D$6:$D$1413,$B199,'февраль 2024'!$J$6:$J$1413,N$1)</f>
        <v>0</v>
      </c>
      <c r="O199" s="80">
        <f>SUMIFS('февраль 2024'!$G$6:$G$1413,'февраль 2024'!$D$6:$D$1413,$B199,'февраль 2024'!$J$6:$J$1413,O$1)</f>
        <v>0</v>
      </c>
      <c r="P199" s="80">
        <f>SUMIFS('февраль 2024'!$G$6:$G$1413,'февраль 2024'!$D$6:$D$1413,$B199,'февраль 2024'!$J$6:$J$1413,P$1)</f>
        <v>0</v>
      </c>
      <c r="Q199" s="80">
        <f>SUMIFS('февраль 2024'!$G$6:$G$1413,'февраль 2024'!$D$6:$D$1413,$B199,'февраль 2024'!$J$6:$J$1413,Q$1)</f>
        <v>0</v>
      </c>
      <c r="R199" s="80">
        <f>SUMIFS('февраль 2024'!$G$6:$G$1413,'февраль 2024'!$D$6:$D$1413,$B199,'февраль 2024'!$J$6:$J$1413,R$1)</f>
        <v>0</v>
      </c>
      <c r="S199" s="80">
        <f>SUMIFS('февраль 2024'!$G$6:$G$1413,'февраль 2024'!$D$6:$D$1413,$B199,'февраль 2024'!$J$6:$J$1413,S$1)</f>
        <v>0</v>
      </c>
      <c r="T199" s="80">
        <f>SUMIFS('февраль 2024'!$G$6:$G$1413,'февраль 2024'!$D$6:$D$1413,$B199,'февраль 2024'!$J$6:$J$1413,T$1)</f>
        <v>0</v>
      </c>
      <c r="U199" s="80">
        <f>SUMIFS('февраль 2024'!$G$6:$G$1413,'февраль 2024'!$D$6:$D$1413,$B199,'февраль 2024'!$J$6:$J$1413,U$1)</f>
        <v>0</v>
      </c>
      <c r="V199" s="80">
        <f>SUMIFS('февраль 2024'!$G$6:$G$1413,'февраль 2024'!$D$6:$D$1413,$B199,'февраль 2024'!$J$6:$J$1413,V$1)</f>
        <v>0</v>
      </c>
      <c r="W199" s="80">
        <f>SUMIFS('февраль 2024'!$G$6:$G$1413,'февраль 2024'!$D$6:$D$1413,$B199,'февраль 2024'!$J$6:$J$1413,W$1)</f>
        <v>0</v>
      </c>
      <c r="X199" s="80">
        <f>SUMIFS('февраль 2024'!$G$6:$G$1413,'февраль 2024'!$D$6:$D$1413,$B199,'февраль 2024'!$J$6:$J$1413,X$1)</f>
        <v>0</v>
      </c>
      <c r="Y199" s="80">
        <f>SUMIFS('февраль 2024'!$G$6:$G$1413,'февраль 2024'!$D$6:$D$1413,$B199,'февраль 2024'!$J$6:$J$1413,Y$1)</f>
        <v>0</v>
      </c>
      <c r="Z199" s="80">
        <f>SUMIFS('февраль 2024'!$G$6:$G$1413,'февраль 2024'!$D$6:$D$1413,$B199,'февраль 2024'!$J$6:$J$1413,Z$1)</f>
        <v>0</v>
      </c>
      <c r="AA199" s="80">
        <f>SUMIFS('февраль 2024'!$G$6:$G$1413,'февраль 2024'!$D$6:$D$1413,$B199,'февраль 2024'!$J$6:$J$1413,AA$1)</f>
        <v>0</v>
      </c>
      <c r="AB199" s="80">
        <f>SUMIFS('февраль 2024'!$G$6:$G$1413,'февраль 2024'!$D$6:$D$1413,$B199,'февраль 2024'!$J$6:$J$1413,AB$1)</f>
        <v>0</v>
      </c>
      <c r="AC199" s="80">
        <f>SUMIFS('февраль 2024'!$G$6:$G$1413,'февраль 2024'!$D$6:$D$1413,$B199,'февраль 2024'!$J$6:$J$1413,AC$1)</f>
        <v>0</v>
      </c>
      <c r="AD199" s="80">
        <f>SUMIFS('февраль 2024'!$G$6:$G$1413,'февраль 2024'!$D$6:$D$1413,$B199,'февраль 2024'!$J$6:$J$1413,AD$1)</f>
        <v>0</v>
      </c>
      <c r="AE199" s="80">
        <f>SUMIFS('февраль 2024'!$G$6:$G$1413,'февраль 2024'!$D$6:$D$1413,$B199,'февраль 2024'!$J$6:$J$1413,AE$1)</f>
        <v>0</v>
      </c>
      <c r="AF199" s="80">
        <f>SUMIFS('февраль 2024'!$G$6:$G$1413,'февраль 2024'!$D$6:$D$1413,$B199,'февраль 2024'!$J$6:$J$1413,AF$1)</f>
        <v>0</v>
      </c>
      <c r="AG199" s="80">
        <f>SUMIFS('февраль 2024'!$G$6:$G$1413,'февраль 2024'!$D$6:$D$1413,$B199,'февраль 2024'!$J$6:$J$1413,AG$1)</f>
        <v>0</v>
      </c>
      <c r="AH199" s="80">
        <f>SUMIFS('февраль 2024'!$G$6:$G$1413,'февраль 2024'!$D$6:$D$1413,$B199,'февраль 2024'!$J$6:$J$1413,AH$1)</f>
        <v>0</v>
      </c>
      <c r="AI199" s="87"/>
    </row>
    <row r="200" spans="2:35" ht="15" hidden="1" customHeight="1" x14ac:dyDescent="0.25">
      <c r="B200" s="89"/>
      <c r="C200" s="88"/>
      <c r="D200" s="80">
        <f>SUMIFS('февраль 2024'!$G$6:$G$1413,'февраль 2024'!$D$6:$D$1413,$B200,'февраль 2024'!$J$6:$J$1413,D$1)</f>
        <v>0</v>
      </c>
      <c r="E200" s="80">
        <f>SUMIFS('февраль 2024'!$G$6:$G$1413,'февраль 2024'!$D$6:$D$1413,$B200,'февраль 2024'!$J$6:$J$1413,E$1)</f>
        <v>0</v>
      </c>
      <c r="F200" s="80">
        <f>SUMIFS('февраль 2024'!$G$6:$G$1413,'февраль 2024'!$D$6:$D$1413,$B200,'февраль 2024'!$J$6:$J$1413,F$1)</f>
        <v>0</v>
      </c>
      <c r="G200" s="80">
        <f>SUMIFS('февраль 2024'!$G$6:$G$1413,'февраль 2024'!$D$6:$D$1413,$B200,'февраль 2024'!$J$6:$J$1413,G$1)</f>
        <v>0</v>
      </c>
      <c r="H200" s="80">
        <f>SUMIFS('февраль 2024'!$G$6:$G$1413,'февраль 2024'!$D$6:$D$1413,$B200,'февраль 2024'!$J$6:$J$1413,H$1)</f>
        <v>0</v>
      </c>
      <c r="I200" s="80">
        <f>SUMIFS('февраль 2024'!$G$6:$G$1413,'февраль 2024'!$D$6:$D$1413,$B200,'февраль 2024'!$J$6:$J$1413,I$1)</f>
        <v>0</v>
      </c>
      <c r="J200" s="80">
        <f>SUMIFS('февраль 2024'!$G$6:$G$1413,'февраль 2024'!$D$6:$D$1413,$B200,'февраль 2024'!$J$6:$J$1413,J$1)</f>
        <v>0</v>
      </c>
      <c r="K200" s="80">
        <f>SUMIFS('февраль 2024'!$G$6:$G$1413,'февраль 2024'!$D$6:$D$1413,$B200,'февраль 2024'!$J$6:$J$1413,K$1)</f>
        <v>0</v>
      </c>
      <c r="L200" s="80">
        <f>SUMIFS('февраль 2024'!$G$6:$G$1413,'февраль 2024'!$D$6:$D$1413,$B200,'февраль 2024'!$J$6:$J$1413,L$1)</f>
        <v>0</v>
      </c>
      <c r="M200" s="80">
        <f>SUMIFS('февраль 2024'!$G$6:$G$1413,'февраль 2024'!$D$6:$D$1413,$B200,'февраль 2024'!$J$6:$J$1413,M$1)</f>
        <v>0</v>
      </c>
      <c r="N200" s="80">
        <f>SUMIFS('февраль 2024'!$G$6:$G$1413,'февраль 2024'!$D$6:$D$1413,$B200,'февраль 2024'!$J$6:$J$1413,N$1)</f>
        <v>0</v>
      </c>
      <c r="O200" s="80">
        <f>SUMIFS('февраль 2024'!$G$6:$G$1413,'февраль 2024'!$D$6:$D$1413,$B200,'февраль 2024'!$J$6:$J$1413,O$1)</f>
        <v>0</v>
      </c>
      <c r="P200" s="80">
        <f>SUMIFS('февраль 2024'!$G$6:$G$1413,'февраль 2024'!$D$6:$D$1413,$B200,'февраль 2024'!$J$6:$J$1413,P$1)</f>
        <v>0</v>
      </c>
      <c r="Q200" s="80">
        <f>SUMIFS('февраль 2024'!$G$6:$G$1413,'февраль 2024'!$D$6:$D$1413,$B200,'февраль 2024'!$J$6:$J$1413,Q$1)</f>
        <v>0</v>
      </c>
      <c r="R200" s="80">
        <f>SUMIFS('февраль 2024'!$G$6:$G$1413,'февраль 2024'!$D$6:$D$1413,$B200,'февраль 2024'!$J$6:$J$1413,R$1)</f>
        <v>0</v>
      </c>
      <c r="S200" s="80">
        <f>SUMIFS('февраль 2024'!$G$6:$G$1413,'февраль 2024'!$D$6:$D$1413,$B200,'февраль 2024'!$J$6:$J$1413,S$1)</f>
        <v>0</v>
      </c>
      <c r="T200" s="80">
        <f>SUMIFS('февраль 2024'!$G$6:$G$1413,'февраль 2024'!$D$6:$D$1413,$B200,'февраль 2024'!$J$6:$J$1413,T$1)</f>
        <v>0</v>
      </c>
      <c r="U200" s="80">
        <f>SUMIFS('февраль 2024'!$G$6:$G$1413,'февраль 2024'!$D$6:$D$1413,$B200,'февраль 2024'!$J$6:$J$1413,U$1)</f>
        <v>0</v>
      </c>
      <c r="V200" s="80">
        <f>SUMIFS('февраль 2024'!$G$6:$G$1413,'февраль 2024'!$D$6:$D$1413,$B200,'февраль 2024'!$J$6:$J$1413,V$1)</f>
        <v>0</v>
      </c>
      <c r="W200" s="80">
        <f>SUMIFS('февраль 2024'!$G$6:$G$1413,'февраль 2024'!$D$6:$D$1413,$B200,'февраль 2024'!$J$6:$J$1413,W$1)</f>
        <v>0</v>
      </c>
      <c r="X200" s="80">
        <f>SUMIFS('февраль 2024'!$G$6:$G$1413,'февраль 2024'!$D$6:$D$1413,$B200,'февраль 2024'!$J$6:$J$1413,X$1)</f>
        <v>0</v>
      </c>
      <c r="Y200" s="80">
        <f>SUMIFS('февраль 2024'!$G$6:$G$1413,'февраль 2024'!$D$6:$D$1413,$B200,'февраль 2024'!$J$6:$J$1413,Y$1)</f>
        <v>0</v>
      </c>
      <c r="Z200" s="80">
        <f>SUMIFS('февраль 2024'!$G$6:$G$1413,'февраль 2024'!$D$6:$D$1413,$B200,'февраль 2024'!$J$6:$J$1413,Z$1)</f>
        <v>0</v>
      </c>
      <c r="AA200" s="80">
        <f>SUMIFS('февраль 2024'!$G$6:$G$1413,'февраль 2024'!$D$6:$D$1413,$B200,'февраль 2024'!$J$6:$J$1413,AA$1)</f>
        <v>0</v>
      </c>
      <c r="AB200" s="80">
        <f>SUMIFS('февраль 2024'!$G$6:$G$1413,'февраль 2024'!$D$6:$D$1413,$B200,'февраль 2024'!$J$6:$J$1413,AB$1)</f>
        <v>0</v>
      </c>
      <c r="AC200" s="80">
        <f>SUMIFS('февраль 2024'!$G$6:$G$1413,'февраль 2024'!$D$6:$D$1413,$B200,'февраль 2024'!$J$6:$J$1413,AC$1)</f>
        <v>0</v>
      </c>
      <c r="AD200" s="80">
        <f>SUMIFS('февраль 2024'!$G$6:$G$1413,'февраль 2024'!$D$6:$D$1413,$B200,'февраль 2024'!$J$6:$J$1413,AD$1)</f>
        <v>0</v>
      </c>
      <c r="AE200" s="80">
        <f>SUMIFS('февраль 2024'!$G$6:$G$1413,'февраль 2024'!$D$6:$D$1413,$B200,'февраль 2024'!$J$6:$J$1413,AE$1)</f>
        <v>0</v>
      </c>
      <c r="AF200" s="80">
        <f>SUMIFS('февраль 2024'!$G$6:$G$1413,'февраль 2024'!$D$6:$D$1413,$B200,'февраль 2024'!$J$6:$J$1413,AF$1)</f>
        <v>0</v>
      </c>
      <c r="AG200" s="80">
        <f>SUMIFS('февраль 2024'!$G$6:$G$1413,'февраль 2024'!$D$6:$D$1413,$B200,'февраль 2024'!$J$6:$J$1413,AG$1)</f>
        <v>0</v>
      </c>
      <c r="AH200" s="80">
        <f>SUMIFS('февраль 2024'!$G$6:$G$1413,'февраль 2024'!$D$6:$D$1413,$B200,'февраль 2024'!$J$6:$J$1413,AH$1)</f>
        <v>0</v>
      </c>
      <c r="AI200" s="87"/>
    </row>
    <row r="201" spans="2:35" ht="15" hidden="1" customHeight="1" x14ac:dyDescent="0.25">
      <c r="B201" s="89"/>
      <c r="C201" s="88"/>
      <c r="D201" s="80">
        <f>SUMIFS('февраль 2024'!$G$6:$G$1413,'февраль 2024'!$D$6:$D$1413,$B201,'февраль 2024'!$J$6:$J$1413,D$1)</f>
        <v>0</v>
      </c>
      <c r="E201" s="80">
        <f>SUMIFS('февраль 2024'!$G$6:$G$1413,'февраль 2024'!$D$6:$D$1413,$B201,'февраль 2024'!$J$6:$J$1413,E$1)</f>
        <v>0</v>
      </c>
      <c r="F201" s="80">
        <f>SUMIFS('февраль 2024'!$G$6:$G$1413,'февраль 2024'!$D$6:$D$1413,$B201,'февраль 2024'!$J$6:$J$1413,F$1)</f>
        <v>0</v>
      </c>
      <c r="G201" s="80">
        <f>SUMIFS('февраль 2024'!$G$6:$G$1413,'февраль 2024'!$D$6:$D$1413,$B201,'февраль 2024'!$J$6:$J$1413,G$1)</f>
        <v>0</v>
      </c>
      <c r="H201" s="80">
        <f>SUMIFS('февраль 2024'!$G$6:$G$1413,'февраль 2024'!$D$6:$D$1413,$B201,'февраль 2024'!$J$6:$J$1413,H$1)</f>
        <v>0</v>
      </c>
      <c r="I201" s="80">
        <f>SUMIFS('февраль 2024'!$G$6:$G$1413,'февраль 2024'!$D$6:$D$1413,$B201,'февраль 2024'!$J$6:$J$1413,I$1)</f>
        <v>0</v>
      </c>
      <c r="J201" s="80">
        <f>SUMIFS('февраль 2024'!$G$6:$G$1413,'февраль 2024'!$D$6:$D$1413,$B201,'февраль 2024'!$J$6:$J$1413,J$1)</f>
        <v>0</v>
      </c>
      <c r="K201" s="80">
        <f>SUMIFS('февраль 2024'!$G$6:$G$1413,'февраль 2024'!$D$6:$D$1413,$B201,'февраль 2024'!$J$6:$J$1413,K$1)</f>
        <v>0</v>
      </c>
      <c r="L201" s="80">
        <f>SUMIFS('февраль 2024'!$G$6:$G$1413,'февраль 2024'!$D$6:$D$1413,$B201,'февраль 2024'!$J$6:$J$1413,L$1)</f>
        <v>0</v>
      </c>
      <c r="M201" s="80">
        <f>SUMIFS('февраль 2024'!$G$6:$G$1413,'февраль 2024'!$D$6:$D$1413,$B201,'февраль 2024'!$J$6:$J$1413,M$1)</f>
        <v>0</v>
      </c>
      <c r="N201" s="80">
        <f>SUMIFS('февраль 2024'!$G$6:$G$1413,'февраль 2024'!$D$6:$D$1413,$B201,'февраль 2024'!$J$6:$J$1413,N$1)</f>
        <v>0</v>
      </c>
      <c r="O201" s="80">
        <f>SUMIFS('февраль 2024'!$G$6:$G$1413,'февраль 2024'!$D$6:$D$1413,$B201,'февраль 2024'!$J$6:$J$1413,O$1)</f>
        <v>0</v>
      </c>
      <c r="P201" s="80">
        <f>SUMIFS('февраль 2024'!$G$6:$G$1413,'февраль 2024'!$D$6:$D$1413,$B201,'февраль 2024'!$J$6:$J$1413,P$1)</f>
        <v>0</v>
      </c>
      <c r="Q201" s="80">
        <f>SUMIFS('февраль 2024'!$G$6:$G$1413,'февраль 2024'!$D$6:$D$1413,$B201,'февраль 2024'!$J$6:$J$1413,Q$1)</f>
        <v>0</v>
      </c>
      <c r="R201" s="80">
        <f>SUMIFS('февраль 2024'!$G$6:$G$1413,'февраль 2024'!$D$6:$D$1413,$B201,'февраль 2024'!$J$6:$J$1413,R$1)</f>
        <v>0</v>
      </c>
      <c r="S201" s="80">
        <f>SUMIFS('февраль 2024'!$G$6:$G$1413,'февраль 2024'!$D$6:$D$1413,$B201,'февраль 2024'!$J$6:$J$1413,S$1)</f>
        <v>0</v>
      </c>
      <c r="T201" s="80">
        <f>SUMIFS('февраль 2024'!$G$6:$G$1413,'февраль 2024'!$D$6:$D$1413,$B201,'февраль 2024'!$J$6:$J$1413,T$1)</f>
        <v>0</v>
      </c>
      <c r="U201" s="80">
        <f>SUMIFS('февраль 2024'!$G$6:$G$1413,'февраль 2024'!$D$6:$D$1413,$B201,'февраль 2024'!$J$6:$J$1413,U$1)</f>
        <v>0</v>
      </c>
      <c r="V201" s="80">
        <f>SUMIFS('февраль 2024'!$G$6:$G$1413,'февраль 2024'!$D$6:$D$1413,$B201,'февраль 2024'!$J$6:$J$1413,V$1)</f>
        <v>0</v>
      </c>
      <c r="W201" s="80">
        <f>SUMIFS('февраль 2024'!$G$6:$G$1413,'февраль 2024'!$D$6:$D$1413,$B201,'февраль 2024'!$J$6:$J$1413,W$1)</f>
        <v>0</v>
      </c>
      <c r="X201" s="80">
        <f>SUMIFS('февраль 2024'!$G$6:$G$1413,'февраль 2024'!$D$6:$D$1413,$B201,'февраль 2024'!$J$6:$J$1413,X$1)</f>
        <v>0</v>
      </c>
      <c r="Y201" s="80">
        <f>SUMIFS('февраль 2024'!$G$6:$G$1413,'февраль 2024'!$D$6:$D$1413,$B201,'февраль 2024'!$J$6:$J$1413,Y$1)</f>
        <v>0</v>
      </c>
      <c r="Z201" s="80">
        <f>SUMIFS('февраль 2024'!$G$6:$G$1413,'февраль 2024'!$D$6:$D$1413,$B201,'февраль 2024'!$J$6:$J$1413,Z$1)</f>
        <v>0</v>
      </c>
      <c r="AA201" s="80">
        <f>SUMIFS('февраль 2024'!$G$6:$G$1413,'февраль 2024'!$D$6:$D$1413,$B201,'февраль 2024'!$J$6:$J$1413,AA$1)</f>
        <v>0</v>
      </c>
      <c r="AB201" s="80">
        <f>SUMIFS('февраль 2024'!$G$6:$G$1413,'февраль 2024'!$D$6:$D$1413,$B201,'февраль 2024'!$J$6:$J$1413,AB$1)</f>
        <v>0</v>
      </c>
      <c r="AC201" s="80">
        <f>SUMIFS('февраль 2024'!$G$6:$G$1413,'февраль 2024'!$D$6:$D$1413,$B201,'февраль 2024'!$J$6:$J$1413,AC$1)</f>
        <v>0</v>
      </c>
      <c r="AD201" s="80">
        <f>SUMIFS('февраль 2024'!$G$6:$G$1413,'февраль 2024'!$D$6:$D$1413,$B201,'февраль 2024'!$J$6:$J$1413,AD$1)</f>
        <v>0</v>
      </c>
      <c r="AE201" s="80">
        <f>SUMIFS('февраль 2024'!$G$6:$G$1413,'февраль 2024'!$D$6:$D$1413,$B201,'февраль 2024'!$J$6:$J$1413,AE$1)</f>
        <v>0</v>
      </c>
      <c r="AF201" s="80">
        <f>SUMIFS('февраль 2024'!$G$6:$G$1413,'февраль 2024'!$D$6:$D$1413,$B201,'февраль 2024'!$J$6:$J$1413,AF$1)</f>
        <v>0</v>
      </c>
      <c r="AG201" s="80">
        <f>SUMIFS('февраль 2024'!$G$6:$G$1413,'февраль 2024'!$D$6:$D$1413,$B201,'февраль 2024'!$J$6:$J$1413,AG$1)</f>
        <v>0</v>
      </c>
      <c r="AH201" s="80">
        <f>SUMIFS('февраль 2024'!$G$6:$G$1413,'февраль 2024'!$D$6:$D$1413,$B201,'февраль 2024'!$J$6:$J$1413,AH$1)</f>
        <v>0</v>
      </c>
      <c r="AI201" s="87"/>
    </row>
    <row r="202" spans="2:35" ht="15" hidden="1" customHeight="1" x14ac:dyDescent="0.25">
      <c r="B202" s="89"/>
      <c r="C202" s="88"/>
      <c r="D202" s="80">
        <f>SUMIFS('февраль 2024'!$G$6:$G$1413,'февраль 2024'!$D$6:$D$1413,$B202,'февраль 2024'!$J$6:$J$1413,D$1)</f>
        <v>0</v>
      </c>
      <c r="E202" s="80">
        <f>SUMIFS('февраль 2024'!$G$6:$G$1413,'февраль 2024'!$D$6:$D$1413,$B202,'февраль 2024'!$J$6:$J$1413,E$1)</f>
        <v>0</v>
      </c>
      <c r="F202" s="80">
        <f>SUMIFS('февраль 2024'!$G$6:$G$1413,'февраль 2024'!$D$6:$D$1413,$B202,'февраль 2024'!$J$6:$J$1413,F$1)</f>
        <v>0</v>
      </c>
      <c r="G202" s="80">
        <f>SUMIFS('февраль 2024'!$G$6:$G$1413,'февраль 2024'!$D$6:$D$1413,$B202,'февраль 2024'!$J$6:$J$1413,G$1)</f>
        <v>0</v>
      </c>
      <c r="H202" s="80">
        <f>SUMIFS('февраль 2024'!$G$6:$G$1413,'февраль 2024'!$D$6:$D$1413,$B202,'февраль 2024'!$J$6:$J$1413,H$1)</f>
        <v>0</v>
      </c>
      <c r="I202" s="80">
        <f>SUMIFS('февраль 2024'!$G$6:$G$1413,'февраль 2024'!$D$6:$D$1413,$B202,'февраль 2024'!$J$6:$J$1413,I$1)</f>
        <v>0</v>
      </c>
      <c r="J202" s="80">
        <f>SUMIFS('февраль 2024'!$G$6:$G$1413,'февраль 2024'!$D$6:$D$1413,$B202,'февраль 2024'!$J$6:$J$1413,J$1)</f>
        <v>0</v>
      </c>
      <c r="K202" s="80">
        <f>SUMIFS('февраль 2024'!$G$6:$G$1413,'февраль 2024'!$D$6:$D$1413,$B202,'февраль 2024'!$J$6:$J$1413,K$1)</f>
        <v>0</v>
      </c>
      <c r="L202" s="80">
        <f>SUMIFS('февраль 2024'!$G$6:$G$1413,'февраль 2024'!$D$6:$D$1413,$B202,'февраль 2024'!$J$6:$J$1413,L$1)</f>
        <v>0</v>
      </c>
      <c r="M202" s="80">
        <f>SUMIFS('февраль 2024'!$G$6:$G$1413,'февраль 2024'!$D$6:$D$1413,$B202,'февраль 2024'!$J$6:$J$1413,M$1)</f>
        <v>0</v>
      </c>
      <c r="N202" s="80">
        <f>SUMIFS('февраль 2024'!$G$6:$G$1413,'февраль 2024'!$D$6:$D$1413,$B202,'февраль 2024'!$J$6:$J$1413,N$1)</f>
        <v>0</v>
      </c>
      <c r="O202" s="80">
        <f>SUMIFS('февраль 2024'!$G$6:$G$1413,'февраль 2024'!$D$6:$D$1413,$B202,'февраль 2024'!$J$6:$J$1413,O$1)</f>
        <v>0</v>
      </c>
      <c r="P202" s="80">
        <f>SUMIFS('февраль 2024'!$G$6:$G$1413,'февраль 2024'!$D$6:$D$1413,$B202,'февраль 2024'!$J$6:$J$1413,P$1)</f>
        <v>0</v>
      </c>
      <c r="Q202" s="80">
        <f>SUMIFS('февраль 2024'!$G$6:$G$1413,'февраль 2024'!$D$6:$D$1413,$B202,'февраль 2024'!$J$6:$J$1413,Q$1)</f>
        <v>0</v>
      </c>
      <c r="R202" s="80">
        <f>SUMIFS('февраль 2024'!$G$6:$G$1413,'февраль 2024'!$D$6:$D$1413,$B202,'февраль 2024'!$J$6:$J$1413,R$1)</f>
        <v>0</v>
      </c>
      <c r="S202" s="80">
        <f>SUMIFS('февраль 2024'!$G$6:$G$1413,'февраль 2024'!$D$6:$D$1413,$B202,'февраль 2024'!$J$6:$J$1413,S$1)</f>
        <v>0</v>
      </c>
      <c r="T202" s="80">
        <f>SUMIFS('февраль 2024'!$G$6:$G$1413,'февраль 2024'!$D$6:$D$1413,$B202,'февраль 2024'!$J$6:$J$1413,T$1)</f>
        <v>0</v>
      </c>
      <c r="U202" s="80">
        <f>SUMIFS('февраль 2024'!$G$6:$G$1413,'февраль 2024'!$D$6:$D$1413,$B202,'февраль 2024'!$J$6:$J$1413,U$1)</f>
        <v>0</v>
      </c>
      <c r="V202" s="80">
        <f>SUMIFS('февраль 2024'!$G$6:$G$1413,'февраль 2024'!$D$6:$D$1413,$B202,'февраль 2024'!$J$6:$J$1413,V$1)</f>
        <v>0</v>
      </c>
      <c r="W202" s="80">
        <f>SUMIFS('февраль 2024'!$G$6:$G$1413,'февраль 2024'!$D$6:$D$1413,$B202,'февраль 2024'!$J$6:$J$1413,W$1)</f>
        <v>0</v>
      </c>
      <c r="X202" s="80">
        <f>SUMIFS('февраль 2024'!$G$6:$G$1413,'февраль 2024'!$D$6:$D$1413,$B202,'февраль 2024'!$J$6:$J$1413,X$1)</f>
        <v>0</v>
      </c>
      <c r="Y202" s="80">
        <f>SUMIFS('февраль 2024'!$G$6:$G$1413,'февраль 2024'!$D$6:$D$1413,$B202,'февраль 2024'!$J$6:$J$1413,Y$1)</f>
        <v>0</v>
      </c>
      <c r="Z202" s="80">
        <f>SUMIFS('февраль 2024'!$G$6:$G$1413,'февраль 2024'!$D$6:$D$1413,$B202,'февраль 2024'!$J$6:$J$1413,Z$1)</f>
        <v>0</v>
      </c>
      <c r="AA202" s="80">
        <f>SUMIFS('февраль 2024'!$G$6:$G$1413,'февраль 2024'!$D$6:$D$1413,$B202,'февраль 2024'!$J$6:$J$1413,AA$1)</f>
        <v>0</v>
      </c>
      <c r="AB202" s="80">
        <f>SUMIFS('февраль 2024'!$G$6:$G$1413,'февраль 2024'!$D$6:$D$1413,$B202,'февраль 2024'!$J$6:$J$1413,AB$1)</f>
        <v>0</v>
      </c>
      <c r="AC202" s="80">
        <f>SUMIFS('февраль 2024'!$G$6:$G$1413,'февраль 2024'!$D$6:$D$1413,$B202,'февраль 2024'!$J$6:$J$1413,AC$1)</f>
        <v>0</v>
      </c>
      <c r="AD202" s="80">
        <f>SUMIFS('февраль 2024'!$G$6:$G$1413,'февраль 2024'!$D$6:$D$1413,$B202,'февраль 2024'!$J$6:$J$1413,AD$1)</f>
        <v>0</v>
      </c>
      <c r="AE202" s="80">
        <f>SUMIFS('февраль 2024'!$G$6:$G$1413,'февраль 2024'!$D$6:$D$1413,$B202,'февраль 2024'!$J$6:$J$1413,AE$1)</f>
        <v>0</v>
      </c>
      <c r="AF202" s="80">
        <f>SUMIFS('февраль 2024'!$G$6:$G$1413,'февраль 2024'!$D$6:$D$1413,$B202,'февраль 2024'!$J$6:$J$1413,AF$1)</f>
        <v>0</v>
      </c>
      <c r="AG202" s="80">
        <f>SUMIFS('февраль 2024'!$G$6:$G$1413,'февраль 2024'!$D$6:$D$1413,$B202,'февраль 2024'!$J$6:$J$1413,AG$1)</f>
        <v>0</v>
      </c>
      <c r="AH202" s="80">
        <f>SUMIFS('февраль 2024'!$G$6:$G$1413,'февраль 2024'!$D$6:$D$1413,$B202,'февраль 2024'!$J$6:$J$1413,AH$1)</f>
        <v>0</v>
      </c>
      <c r="AI202" s="87"/>
    </row>
    <row r="203" spans="2:35" ht="15" hidden="1" customHeight="1" x14ac:dyDescent="0.25">
      <c r="B203" s="89"/>
      <c r="C203" s="88"/>
      <c r="D203" s="80">
        <f>SUMIFS('февраль 2024'!$G$6:$G$1413,'февраль 2024'!$D$6:$D$1413,$B203,'февраль 2024'!$J$6:$J$1413,D$1)</f>
        <v>0</v>
      </c>
      <c r="E203" s="80">
        <f>SUMIFS('февраль 2024'!$G$6:$G$1413,'февраль 2024'!$D$6:$D$1413,$B203,'февраль 2024'!$J$6:$J$1413,E$1)</f>
        <v>0</v>
      </c>
      <c r="F203" s="80">
        <f>SUMIFS('февраль 2024'!$G$6:$G$1413,'февраль 2024'!$D$6:$D$1413,$B203,'февраль 2024'!$J$6:$J$1413,F$1)</f>
        <v>0</v>
      </c>
      <c r="G203" s="80">
        <f>SUMIFS('февраль 2024'!$G$6:$G$1413,'февраль 2024'!$D$6:$D$1413,$B203,'февраль 2024'!$J$6:$J$1413,G$1)</f>
        <v>0</v>
      </c>
      <c r="H203" s="80">
        <f>SUMIFS('февраль 2024'!$G$6:$G$1413,'февраль 2024'!$D$6:$D$1413,$B203,'февраль 2024'!$J$6:$J$1413,H$1)</f>
        <v>0</v>
      </c>
      <c r="I203" s="80">
        <f>SUMIFS('февраль 2024'!$G$6:$G$1413,'февраль 2024'!$D$6:$D$1413,$B203,'февраль 2024'!$J$6:$J$1413,I$1)</f>
        <v>0</v>
      </c>
      <c r="J203" s="80">
        <f>SUMIFS('февраль 2024'!$G$6:$G$1413,'февраль 2024'!$D$6:$D$1413,$B203,'февраль 2024'!$J$6:$J$1413,J$1)</f>
        <v>0</v>
      </c>
      <c r="K203" s="80">
        <f>SUMIFS('февраль 2024'!$G$6:$G$1413,'февраль 2024'!$D$6:$D$1413,$B203,'февраль 2024'!$J$6:$J$1413,K$1)</f>
        <v>0</v>
      </c>
      <c r="L203" s="80">
        <f>SUMIFS('февраль 2024'!$G$6:$G$1413,'февраль 2024'!$D$6:$D$1413,$B203,'февраль 2024'!$J$6:$J$1413,L$1)</f>
        <v>0</v>
      </c>
      <c r="M203" s="80">
        <f>SUMIFS('февраль 2024'!$G$6:$G$1413,'февраль 2024'!$D$6:$D$1413,$B203,'февраль 2024'!$J$6:$J$1413,M$1)</f>
        <v>0</v>
      </c>
      <c r="N203" s="80">
        <f>SUMIFS('февраль 2024'!$G$6:$G$1413,'февраль 2024'!$D$6:$D$1413,$B203,'февраль 2024'!$J$6:$J$1413,N$1)</f>
        <v>0</v>
      </c>
      <c r="O203" s="80">
        <f>SUMIFS('февраль 2024'!$G$6:$G$1413,'февраль 2024'!$D$6:$D$1413,$B203,'февраль 2024'!$J$6:$J$1413,O$1)</f>
        <v>0</v>
      </c>
      <c r="P203" s="80">
        <f>SUMIFS('февраль 2024'!$G$6:$G$1413,'февраль 2024'!$D$6:$D$1413,$B203,'февраль 2024'!$J$6:$J$1413,P$1)</f>
        <v>0</v>
      </c>
      <c r="Q203" s="80">
        <f>SUMIFS('февраль 2024'!$G$6:$G$1413,'февраль 2024'!$D$6:$D$1413,$B203,'февраль 2024'!$J$6:$J$1413,Q$1)</f>
        <v>0</v>
      </c>
      <c r="R203" s="80">
        <f>SUMIFS('февраль 2024'!$G$6:$G$1413,'февраль 2024'!$D$6:$D$1413,$B203,'февраль 2024'!$J$6:$J$1413,R$1)</f>
        <v>0</v>
      </c>
      <c r="S203" s="80">
        <f>SUMIFS('февраль 2024'!$G$6:$G$1413,'февраль 2024'!$D$6:$D$1413,$B203,'февраль 2024'!$J$6:$J$1413,S$1)</f>
        <v>0</v>
      </c>
      <c r="T203" s="80">
        <f>SUMIFS('февраль 2024'!$G$6:$G$1413,'февраль 2024'!$D$6:$D$1413,$B203,'февраль 2024'!$J$6:$J$1413,T$1)</f>
        <v>0</v>
      </c>
      <c r="U203" s="80">
        <f>SUMIFS('февраль 2024'!$G$6:$G$1413,'февраль 2024'!$D$6:$D$1413,$B203,'февраль 2024'!$J$6:$J$1413,U$1)</f>
        <v>0</v>
      </c>
      <c r="V203" s="80">
        <f>SUMIFS('февраль 2024'!$G$6:$G$1413,'февраль 2024'!$D$6:$D$1413,$B203,'февраль 2024'!$J$6:$J$1413,V$1)</f>
        <v>0</v>
      </c>
      <c r="W203" s="80">
        <f>SUMIFS('февраль 2024'!$G$6:$G$1413,'февраль 2024'!$D$6:$D$1413,$B203,'февраль 2024'!$J$6:$J$1413,W$1)</f>
        <v>0</v>
      </c>
      <c r="X203" s="80">
        <f>SUMIFS('февраль 2024'!$G$6:$G$1413,'февраль 2024'!$D$6:$D$1413,$B203,'февраль 2024'!$J$6:$J$1413,X$1)</f>
        <v>0</v>
      </c>
      <c r="Y203" s="80">
        <f>SUMIFS('февраль 2024'!$G$6:$G$1413,'февраль 2024'!$D$6:$D$1413,$B203,'февраль 2024'!$J$6:$J$1413,Y$1)</f>
        <v>0</v>
      </c>
      <c r="Z203" s="80">
        <f>SUMIFS('февраль 2024'!$G$6:$G$1413,'февраль 2024'!$D$6:$D$1413,$B203,'февраль 2024'!$J$6:$J$1413,Z$1)</f>
        <v>0</v>
      </c>
      <c r="AA203" s="80">
        <f>SUMIFS('февраль 2024'!$G$6:$G$1413,'февраль 2024'!$D$6:$D$1413,$B203,'февраль 2024'!$J$6:$J$1413,AA$1)</f>
        <v>0</v>
      </c>
      <c r="AB203" s="80">
        <f>SUMIFS('февраль 2024'!$G$6:$G$1413,'февраль 2024'!$D$6:$D$1413,$B203,'февраль 2024'!$J$6:$J$1413,AB$1)</f>
        <v>0</v>
      </c>
      <c r="AC203" s="80">
        <f>SUMIFS('февраль 2024'!$G$6:$G$1413,'февраль 2024'!$D$6:$D$1413,$B203,'февраль 2024'!$J$6:$J$1413,AC$1)</f>
        <v>0</v>
      </c>
      <c r="AD203" s="80">
        <f>SUMIFS('февраль 2024'!$G$6:$G$1413,'февраль 2024'!$D$6:$D$1413,$B203,'февраль 2024'!$J$6:$J$1413,AD$1)</f>
        <v>0</v>
      </c>
      <c r="AE203" s="80">
        <f>SUMIFS('февраль 2024'!$G$6:$G$1413,'февраль 2024'!$D$6:$D$1413,$B203,'февраль 2024'!$J$6:$J$1413,AE$1)</f>
        <v>0</v>
      </c>
      <c r="AF203" s="80">
        <f>SUMIFS('февраль 2024'!$G$6:$G$1413,'февраль 2024'!$D$6:$D$1413,$B203,'февраль 2024'!$J$6:$J$1413,AF$1)</f>
        <v>0</v>
      </c>
      <c r="AG203" s="80">
        <f>SUMIFS('февраль 2024'!$G$6:$G$1413,'февраль 2024'!$D$6:$D$1413,$B203,'февраль 2024'!$J$6:$J$1413,AG$1)</f>
        <v>0</v>
      </c>
      <c r="AH203" s="80">
        <f>SUMIFS('февраль 2024'!$G$6:$G$1413,'февраль 2024'!$D$6:$D$1413,$B203,'февраль 2024'!$J$6:$J$1413,AH$1)</f>
        <v>0</v>
      </c>
      <c r="AI203" s="87"/>
    </row>
    <row r="204" spans="2:35" ht="15" hidden="1" customHeight="1" x14ac:dyDescent="0.25">
      <c r="B204" s="89"/>
      <c r="C204" s="88"/>
      <c r="D204" s="80">
        <f>SUMIFS('февраль 2024'!$G$6:$G$1413,'февраль 2024'!$D$6:$D$1413,$B204,'февраль 2024'!$J$6:$J$1413,D$1)</f>
        <v>0</v>
      </c>
      <c r="E204" s="80">
        <f>SUMIFS('февраль 2024'!$G$6:$G$1413,'февраль 2024'!$D$6:$D$1413,$B204,'февраль 2024'!$J$6:$J$1413,E$1)</f>
        <v>0</v>
      </c>
      <c r="F204" s="80">
        <f>SUMIFS('февраль 2024'!$G$6:$G$1413,'февраль 2024'!$D$6:$D$1413,$B204,'февраль 2024'!$J$6:$J$1413,F$1)</f>
        <v>0</v>
      </c>
      <c r="G204" s="80">
        <f>SUMIFS('февраль 2024'!$G$6:$G$1413,'февраль 2024'!$D$6:$D$1413,$B204,'февраль 2024'!$J$6:$J$1413,G$1)</f>
        <v>0</v>
      </c>
      <c r="H204" s="80">
        <f>SUMIFS('февраль 2024'!$G$6:$G$1413,'февраль 2024'!$D$6:$D$1413,$B204,'февраль 2024'!$J$6:$J$1413,H$1)</f>
        <v>0</v>
      </c>
      <c r="I204" s="80">
        <f>SUMIFS('февраль 2024'!$G$6:$G$1413,'февраль 2024'!$D$6:$D$1413,$B204,'февраль 2024'!$J$6:$J$1413,I$1)</f>
        <v>0</v>
      </c>
      <c r="J204" s="80">
        <f>SUMIFS('февраль 2024'!$G$6:$G$1413,'февраль 2024'!$D$6:$D$1413,$B204,'февраль 2024'!$J$6:$J$1413,J$1)</f>
        <v>0</v>
      </c>
      <c r="K204" s="80">
        <f>SUMIFS('февраль 2024'!$G$6:$G$1413,'февраль 2024'!$D$6:$D$1413,$B204,'февраль 2024'!$J$6:$J$1413,K$1)</f>
        <v>0</v>
      </c>
      <c r="L204" s="80">
        <f>SUMIFS('февраль 2024'!$G$6:$G$1413,'февраль 2024'!$D$6:$D$1413,$B204,'февраль 2024'!$J$6:$J$1413,L$1)</f>
        <v>0</v>
      </c>
      <c r="M204" s="80">
        <f>SUMIFS('февраль 2024'!$G$6:$G$1413,'февраль 2024'!$D$6:$D$1413,$B204,'февраль 2024'!$J$6:$J$1413,M$1)</f>
        <v>0</v>
      </c>
      <c r="N204" s="80">
        <f>SUMIFS('февраль 2024'!$G$6:$G$1413,'февраль 2024'!$D$6:$D$1413,$B204,'февраль 2024'!$J$6:$J$1413,N$1)</f>
        <v>0</v>
      </c>
      <c r="O204" s="80">
        <f>SUMIFS('февраль 2024'!$G$6:$G$1413,'февраль 2024'!$D$6:$D$1413,$B204,'февраль 2024'!$J$6:$J$1413,O$1)</f>
        <v>0</v>
      </c>
      <c r="P204" s="80">
        <f>SUMIFS('февраль 2024'!$G$6:$G$1413,'февраль 2024'!$D$6:$D$1413,$B204,'февраль 2024'!$J$6:$J$1413,P$1)</f>
        <v>0</v>
      </c>
      <c r="Q204" s="80">
        <f>SUMIFS('февраль 2024'!$G$6:$G$1413,'февраль 2024'!$D$6:$D$1413,$B204,'февраль 2024'!$J$6:$J$1413,Q$1)</f>
        <v>0</v>
      </c>
      <c r="R204" s="80">
        <f>SUMIFS('февраль 2024'!$G$6:$G$1413,'февраль 2024'!$D$6:$D$1413,$B204,'февраль 2024'!$J$6:$J$1413,R$1)</f>
        <v>0</v>
      </c>
      <c r="S204" s="80">
        <f>SUMIFS('февраль 2024'!$G$6:$G$1413,'февраль 2024'!$D$6:$D$1413,$B204,'февраль 2024'!$J$6:$J$1413,S$1)</f>
        <v>0</v>
      </c>
      <c r="T204" s="80">
        <f>SUMIFS('февраль 2024'!$G$6:$G$1413,'февраль 2024'!$D$6:$D$1413,$B204,'февраль 2024'!$J$6:$J$1413,T$1)</f>
        <v>0</v>
      </c>
      <c r="U204" s="80">
        <f>SUMIFS('февраль 2024'!$G$6:$G$1413,'февраль 2024'!$D$6:$D$1413,$B204,'февраль 2024'!$J$6:$J$1413,U$1)</f>
        <v>0</v>
      </c>
      <c r="V204" s="80">
        <f>SUMIFS('февраль 2024'!$G$6:$G$1413,'февраль 2024'!$D$6:$D$1413,$B204,'февраль 2024'!$J$6:$J$1413,V$1)</f>
        <v>0</v>
      </c>
      <c r="W204" s="80">
        <f>SUMIFS('февраль 2024'!$G$6:$G$1413,'февраль 2024'!$D$6:$D$1413,$B204,'февраль 2024'!$J$6:$J$1413,W$1)</f>
        <v>0</v>
      </c>
      <c r="X204" s="80">
        <f>SUMIFS('февраль 2024'!$G$6:$G$1413,'февраль 2024'!$D$6:$D$1413,$B204,'февраль 2024'!$J$6:$J$1413,X$1)</f>
        <v>0</v>
      </c>
      <c r="Y204" s="80">
        <f>SUMIFS('февраль 2024'!$G$6:$G$1413,'февраль 2024'!$D$6:$D$1413,$B204,'февраль 2024'!$J$6:$J$1413,Y$1)</f>
        <v>0</v>
      </c>
      <c r="Z204" s="80">
        <f>SUMIFS('февраль 2024'!$G$6:$G$1413,'февраль 2024'!$D$6:$D$1413,$B204,'февраль 2024'!$J$6:$J$1413,Z$1)</f>
        <v>0</v>
      </c>
      <c r="AA204" s="80">
        <f>SUMIFS('февраль 2024'!$G$6:$G$1413,'февраль 2024'!$D$6:$D$1413,$B204,'февраль 2024'!$J$6:$J$1413,AA$1)</f>
        <v>0</v>
      </c>
      <c r="AB204" s="80">
        <f>SUMIFS('февраль 2024'!$G$6:$G$1413,'февраль 2024'!$D$6:$D$1413,$B204,'февраль 2024'!$J$6:$J$1413,AB$1)</f>
        <v>0</v>
      </c>
      <c r="AC204" s="80">
        <f>SUMIFS('февраль 2024'!$G$6:$G$1413,'февраль 2024'!$D$6:$D$1413,$B204,'февраль 2024'!$J$6:$J$1413,AC$1)</f>
        <v>0</v>
      </c>
      <c r="AD204" s="80">
        <f>SUMIFS('февраль 2024'!$G$6:$G$1413,'февраль 2024'!$D$6:$D$1413,$B204,'февраль 2024'!$J$6:$J$1413,AD$1)</f>
        <v>0</v>
      </c>
      <c r="AE204" s="80">
        <f>SUMIFS('февраль 2024'!$G$6:$G$1413,'февраль 2024'!$D$6:$D$1413,$B204,'февраль 2024'!$J$6:$J$1413,AE$1)</f>
        <v>0</v>
      </c>
      <c r="AF204" s="80">
        <f>SUMIFS('февраль 2024'!$G$6:$G$1413,'февраль 2024'!$D$6:$D$1413,$B204,'февраль 2024'!$J$6:$J$1413,AF$1)</f>
        <v>0</v>
      </c>
      <c r="AG204" s="80">
        <f>SUMIFS('февраль 2024'!$G$6:$G$1413,'февраль 2024'!$D$6:$D$1413,$B204,'февраль 2024'!$J$6:$J$1413,AG$1)</f>
        <v>0</v>
      </c>
      <c r="AH204" s="80">
        <f>SUMIFS('февраль 2024'!$G$6:$G$1413,'февраль 2024'!$D$6:$D$1413,$B204,'февраль 2024'!$J$6:$J$1413,AH$1)</f>
        <v>0</v>
      </c>
      <c r="AI204" s="87"/>
    </row>
    <row r="205" spans="2:35" ht="15" hidden="1" customHeight="1" x14ac:dyDescent="0.25">
      <c r="B205" s="89"/>
      <c r="C205" s="88"/>
      <c r="D205" s="80">
        <f>SUMIFS('февраль 2024'!$G$6:$G$1413,'февраль 2024'!$D$6:$D$1413,$B205,'февраль 2024'!$J$6:$J$1413,D$1)</f>
        <v>0</v>
      </c>
      <c r="E205" s="80">
        <f>SUMIFS('февраль 2024'!$G$6:$G$1413,'февраль 2024'!$D$6:$D$1413,$B205,'февраль 2024'!$J$6:$J$1413,E$1)</f>
        <v>0</v>
      </c>
      <c r="F205" s="80">
        <f>SUMIFS('февраль 2024'!$G$6:$G$1413,'февраль 2024'!$D$6:$D$1413,$B205,'февраль 2024'!$J$6:$J$1413,F$1)</f>
        <v>0</v>
      </c>
      <c r="G205" s="80">
        <f>SUMIFS('февраль 2024'!$G$6:$G$1413,'февраль 2024'!$D$6:$D$1413,$B205,'февраль 2024'!$J$6:$J$1413,G$1)</f>
        <v>0</v>
      </c>
      <c r="H205" s="80">
        <f>SUMIFS('февраль 2024'!$G$6:$G$1413,'февраль 2024'!$D$6:$D$1413,$B205,'февраль 2024'!$J$6:$J$1413,H$1)</f>
        <v>0</v>
      </c>
      <c r="I205" s="80">
        <f>SUMIFS('февраль 2024'!$G$6:$G$1413,'февраль 2024'!$D$6:$D$1413,$B205,'февраль 2024'!$J$6:$J$1413,I$1)</f>
        <v>0</v>
      </c>
      <c r="J205" s="80">
        <f>SUMIFS('февраль 2024'!$G$6:$G$1413,'февраль 2024'!$D$6:$D$1413,$B205,'февраль 2024'!$J$6:$J$1413,J$1)</f>
        <v>0</v>
      </c>
      <c r="K205" s="80">
        <f>SUMIFS('февраль 2024'!$G$6:$G$1413,'февраль 2024'!$D$6:$D$1413,$B205,'февраль 2024'!$J$6:$J$1413,K$1)</f>
        <v>0</v>
      </c>
      <c r="L205" s="80">
        <f>SUMIFS('февраль 2024'!$G$6:$G$1413,'февраль 2024'!$D$6:$D$1413,$B205,'февраль 2024'!$J$6:$J$1413,L$1)</f>
        <v>0</v>
      </c>
      <c r="M205" s="80">
        <f>SUMIFS('февраль 2024'!$G$6:$G$1413,'февраль 2024'!$D$6:$D$1413,$B205,'февраль 2024'!$J$6:$J$1413,M$1)</f>
        <v>0</v>
      </c>
      <c r="N205" s="80">
        <f>SUMIFS('февраль 2024'!$G$6:$G$1413,'февраль 2024'!$D$6:$D$1413,$B205,'февраль 2024'!$J$6:$J$1413,N$1)</f>
        <v>0</v>
      </c>
      <c r="O205" s="80">
        <f>SUMIFS('февраль 2024'!$G$6:$G$1413,'февраль 2024'!$D$6:$D$1413,$B205,'февраль 2024'!$J$6:$J$1413,O$1)</f>
        <v>0</v>
      </c>
      <c r="P205" s="80">
        <f>SUMIFS('февраль 2024'!$G$6:$G$1413,'февраль 2024'!$D$6:$D$1413,$B205,'февраль 2024'!$J$6:$J$1413,P$1)</f>
        <v>0</v>
      </c>
      <c r="Q205" s="80">
        <f>SUMIFS('февраль 2024'!$G$6:$G$1413,'февраль 2024'!$D$6:$D$1413,$B205,'февраль 2024'!$J$6:$J$1413,Q$1)</f>
        <v>0</v>
      </c>
      <c r="R205" s="80">
        <f>SUMIFS('февраль 2024'!$G$6:$G$1413,'февраль 2024'!$D$6:$D$1413,$B205,'февраль 2024'!$J$6:$J$1413,R$1)</f>
        <v>0</v>
      </c>
      <c r="S205" s="80">
        <f>SUMIFS('февраль 2024'!$G$6:$G$1413,'февраль 2024'!$D$6:$D$1413,$B205,'февраль 2024'!$J$6:$J$1413,S$1)</f>
        <v>0</v>
      </c>
      <c r="T205" s="80">
        <f>SUMIFS('февраль 2024'!$G$6:$G$1413,'февраль 2024'!$D$6:$D$1413,$B205,'февраль 2024'!$J$6:$J$1413,T$1)</f>
        <v>0</v>
      </c>
      <c r="U205" s="80">
        <f>SUMIFS('февраль 2024'!$G$6:$G$1413,'февраль 2024'!$D$6:$D$1413,$B205,'февраль 2024'!$J$6:$J$1413,U$1)</f>
        <v>0</v>
      </c>
      <c r="V205" s="80">
        <f>SUMIFS('февраль 2024'!$G$6:$G$1413,'февраль 2024'!$D$6:$D$1413,$B205,'февраль 2024'!$J$6:$J$1413,V$1)</f>
        <v>0</v>
      </c>
      <c r="W205" s="80">
        <f>SUMIFS('февраль 2024'!$G$6:$G$1413,'февраль 2024'!$D$6:$D$1413,$B205,'февраль 2024'!$J$6:$J$1413,W$1)</f>
        <v>0</v>
      </c>
      <c r="X205" s="80">
        <f>SUMIFS('февраль 2024'!$G$6:$G$1413,'февраль 2024'!$D$6:$D$1413,$B205,'февраль 2024'!$J$6:$J$1413,X$1)</f>
        <v>0</v>
      </c>
      <c r="Y205" s="80">
        <f>SUMIFS('февраль 2024'!$G$6:$G$1413,'февраль 2024'!$D$6:$D$1413,$B205,'февраль 2024'!$J$6:$J$1413,Y$1)</f>
        <v>0</v>
      </c>
      <c r="Z205" s="80">
        <f>SUMIFS('февраль 2024'!$G$6:$G$1413,'февраль 2024'!$D$6:$D$1413,$B205,'февраль 2024'!$J$6:$J$1413,Z$1)</f>
        <v>0</v>
      </c>
      <c r="AA205" s="80">
        <f>SUMIFS('февраль 2024'!$G$6:$G$1413,'февраль 2024'!$D$6:$D$1413,$B205,'февраль 2024'!$J$6:$J$1413,AA$1)</f>
        <v>0</v>
      </c>
      <c r="AB205" s="80">
        <f>SUMIFS('февраль 2024'!$G$6:$G$1413,'февраль 2024'!$D$6:$D$1413,$B205,'февраль 2024'!$J$6:$J$1413,AB$1)</f>
        <v>0</v>
      </c>
      <c r="AC205" s="80">
        <f>SUMIFS('февраль 2024'!$G$6:$G$1413,'февраль 2024'!$D$6:$D$1413,$B205,'февраль 2024'!$J$6:$J$1413,AC$1)</f>
        <v>0</v>
      </c>
      <c r="AD205" s="80">
        <f>SUMIFS('февраль 2024'!$G$6:$G$1413,'февраль 2024'!$D$6:$D$1413,$B205,'февраль 2024'!$J$6:$J$1413,AD$1)</f>
        <v>0</v>
      </c>
      <c r="AE205" s="80">
        <f>SUMIFS('февраль 2024'!$G$6:$G$1413,'февраль 2024'!$D$6:$D$1413,$B205,'февраль 2024'!$J$6:$J$1413,AE$1)</f>
        <v>0</v>
      </c>
      <c r="AF205" s="80">
        <f>SUMIFS('февраль 2024'!$G$6:$G$1413,'февраль 2024'!$D$6:$D$1413,$B205,'февраль 2024'!$J$6:$J$1413,AF$1)</f>
        <v>0</v>
      </c>
      <c r="AG205" s="80">
        <f>SUMIFS('февраль 2024'!$G$6:$G$1413,'февраль 2024'!$D$6:$D$1413,$B205,'февраль 2024'!$J$6:$J$1413,AG$1)</f>
        <v>0</v>
      </c>
      <c r="AH205" s="80">
        <f>SUMIFS('февраль 2024'!$G$6:$G$1413,'февраль 2024'!$D$6:$D$1413,$B205,'февраль 2024'!$J$6:$J$1413,AH$1)</f>
        <v>0</v>
      </c>
      <c r="AI205" s="87"/>
    </row>
    <row r="206" spans="2:35" ht="15" hidden="1" customHeight="1" x14ac:dyDescent="0.25">
      <c r="B206" s="89"/>
      <c r="C206" s="88"/>
      <c r="D206" s="80">
        <f>SUMIFS('февраль 2024'!$G$6:$G$1413,'февраль 2024'!$D$6:$D$1413,$B206,'февраль 2024'!$J$6:$J$1413,D$1)</f>
        <v>0</v>
      </c>
      <c r="E206" s="80">
        <f>SUMIFS('февраль 2024'!$G$6:$G$1413,'февраль 2024'!$D$6:$D$1413,$B206,'февраль 2024'!$J$6:$J$1413,E$1)</f>
        <v>0</v>
      </c>
      <c r="F206" s="80">
        <f>SUMIFS('февраль 2024'!$G$6:$G$1413,'февраль 2024'!$D$6:$D$1413,$B206,'февраль 2024'!$J$6:$J$1413,F$1)</f>
        <v>0</v>
      </c>
      <c r="G206" s="80">
        <f>SUMIFS('февраль 2024'!$G$6:$G$1413,'февраль 2024'!$D$6:$D$1413,$B206,'февраль 2024'!$J$6:$J$1413,G$1)</f>
        <v>0</v>
      </c>
      <c r="H206" s="80">
        <f>SUMIFS('февраль 2024'!$G$6:$G$1413,'февраль 2024'!$D$6:$D$1413,$B206,'февраль 2024'!$J$6:$J$1413,H$1)</f>
        <v>0</v>
      </c>
      <c r="I206" s="80">
        <f>SUMIFS('февраль 2024'!$G$6:$G$1413,'февраль 2024'!$D$6:$D$1413,$B206,'февраль 2024'!$J$6:$J$1413,I$1)</f>
        <v>0</v>
      </c>
      <c r="J206" s="80">
        <f>SUMIFS('февраль 2024'!$G$6:$G$1413,'февраль 2024'!$D$6:$D$1413,$B206,'февраль 2024'!$J$6:$J$1413,J$1)</f>
        <v>0</v>
      </c>
      <c r="K206" s="80">
        <f>SUMIFS('февраль 2024'!$G$6:$G$1413,'февраль 2024'!$D$6:$D$1413,$B206,'февраль 2024'!$J$6:$J$1413,K$1)</f>
        <v>0</v>
      </c>
      <c r="L206" s="80">
        <f>SUMIFS('февраль 2024'!$G$6:$G$1413,'февраль 2024'!$D$6:$D$1413,$B206,'февраль 2024'!$J$6:$J$1413,L$1)</f>
        <v>0</v>
      </c>
      <c r="M206" s="80">
        <f>SUMIFS('февраль 2024'!$G$6:$G$1413,'февраль 2024'!$D$6:$D$1413,$B206,'февраль 2024'!$J$6:$J$1413,M$1)</f>
        <v>0</v>
      </c>
      <c r="N206" s="80">
        <f>SUMIFS('февраль 2024'!$G$6:$G$1413,'февраль 2024'!$D$6:$D$1413,$B206,'февраль 2024'!$J$6:$J$1413,N$1)</f>
        <v>0</v>
      </c>
      <c r="O206" s="80">
        <f>SUMIFS('февраль 2024'!$G$6:$G$1413,'февраль 2024'!$D$6:$D$1413,$B206,'февраль 2024'!$J$6:$J$1413,O$1)</f>
        <v>0</v>
      </c>
      <c r="P206" s="80">
        <f>SUMIFS('февраль 2024'!$G$6:$G$1413,'февраль 2024'!$D$6:$D$1413,$B206,'февраль 2024'!$J$6:$J$1413,P$1)</f>
        <v>0</v>
      </c>
      <c r="Q206" s="80">
        <f>SUMIFS('февраль 2024'!$G$6:$G$1413,'февраль 2024'!$D$6:$D$1413,$B206,'февраль 2024'!$J$6:$J$1413,Q$1)</f>
        <v>0</v>
      </c>
      <c r="R206" s="80">
        <f>SUMIFS('февраль 2024'!$G$6:$G$1413,'февраль 2024'!$D$6:$D$1413,$B206,'февраль 2024'!$J$6:$J$1413,R$1)</f>
        <v>0</v>
      </c>
      <c r="S206" s="80">
        <f>SUMIFS('февраль 2024'!$G$6:$G$1413,'февраль 2024'!$D$6:$D$1413,$B206,'февраль 2024'!$J$6:$J$1413,S$1)</f>
        <v>0</v>
      </c>
      <c r="T206" s="80">
        <f>SUMIFS('февраль 2024'!$G$6:$G$1413,'февраль 2024'!$D$6:$D$1413,$B206,'февраль 2024'!$J$6:$J$1413,T$1)</f>
        <v>0</v>
      </c>
      <c r="U206" s="80">
        <f>SUMIFS('февраль 2024'!$G$6:$G$1413,'февраль 2024'!$D$6:$D$1413,$B206,'февраль 2024'!$J$6:$J$1413,U$1)</f>
        <v>0</v>
      </c>
      <c r="V206" s="80">
        <f>SUMIFS('февраль 2024'!$G$6:$G$1413,'февраль 2024'!$D$6:$D$1413,$B206,'февраль 2024'!$J$6:$J$1413,V$1)</f>
        <v>0</v>
      </c>
      <c r="W206" s="80">
        <f>SUMIFS('февраль 2024'!$G$6:$G$1413,'февраль 2024'!$D$6:$D$1413,$B206,'февраль 2024'!$J$6:$J$1413,W$1)</f>
        <v>0</v>
      </c>
      <c r="X206" s="80">
        <f>SUMIFS('февраль 2024'!$G$6:$G$1413,'февраль 2024'!$D$6:$D$1413,$B206,'февраль 2024'!$J$6:$J$1413,X$1)</f>
        <v>0</v>
      </c>
      <c r="Y206" s="80">
        <f>SUMIFS('февраль 2024'!$G$6:$G$1413,'февраль 2024'!$D$6:$D$1413,$B206,'февраль 2024'!$J$6:$J$1413,Y$1)</f>
        <v>0</v>
      </c>
      <c r="Z206" s="80">
        <f>SUMIFS('февраль 2024'!$G$6:$G$1413,'февраль 2024'!$D$6:$D$1413,$B206,'февраль 2024'!$J$6:$J$1413,Z$1)</f>
        <v>0</v>
      </c>
      <c r="AA206" s="80">
        <f>SUMIFS('февраль 2024'!$G$6:$G$1413,'февраль 2024'!$D$6:$D$1413,$B206,'февраль 2024'!$J$6:$J$1413,AA$1)</f>
        <v>0</v>
      </c>
      <c r="AB206" s="80">
        <f>SUMIFS('февраль 2024'!$G$6:$G$1413,'февраль 2024'!$D$6:$D$1413,$B206,'февраль 2024'!$J$6:$J$1413,AB$1)</f>
        <v>0</v>
      </c>
      <c r="AC206" s="80">
        <f>SUMIFS('февраль 2024'!$G$6:$G$1413,'февраль 2024'!$D$6:$D$1413,$B206,'февраль 2024'!$J$6:$J$1413,AC$1)</f>
        <v>0</v>
      </c>
      <c r="AD206" s="80">
        <f>SUMIFS('февраль 2024'!$G$6:$G$1413,'февраль 2024'!$D$6:$D$1413,$B206,'февраль 2024'!$J$6:$J$1413,AD$1)</f>
        <v>0</v>
      </c>
      <c r="AE206" s="80">
        <f>SUMIFS('февраль 2024'!$G$6:$G$1413,'февраль 2024'!$D$6:$D$1413,$B206,'февраль 2024'!$J$6:$J$1413,AE$1)</f>
        <v>0</v>
      </c>
      <c r="AF206" s="80">
        <f>SUMIFS('февраль 2024'!$G$6:$G$1413,'февраль 2024'!$D$6:$D$1413,$B206,'февраль 2024'!$J$6:$J$1413,AF$1)</f>
        <v>0</v>
      </c>
      <c r="AG206" s="80">
        <f>SUMIFS('февраль 2024'!$G$6:$G$1413,'февраль 2024'!$D$6:$D$1413,$B206,'февраль 2024'!$J$6:$J$1413,AG$1)</f>
        <v>0</v>
      </c>
      <c r="AH206" s="80">
        <f>SUMIFS('февраль 2024'!$G$6:$G$1413,'февраль 2024'!$D$6:$D$1413,$B206,'февраль 2024'!$J$6:$J$1413,AH$1)</f>
        <v>0</v>
      </c>
      <c r="AI206" s="87"/>
    </row>
    <row r="207" spans="2:35" ht="15" hidden="1" customHeight="1" x14ac:dyDescent="0.25">
      <c r="B207" s="89"/>
      <c r="C207" s="88"/>
      <c r="D207" s="80">
        <f>SUMIFS('февраль 2024'!$G$6:$G$1413,'февраль 2024'!$D$6:$D$1413,$B207,'февраль 2024'!$J$6:$J$1413,D$1)</f>
        <v>0</v>
      </c>
      <c r="E207" s="80">
        <f>SUMIFS('февраль 2024'!$G$6:$G$1413,'февраль 2024'!$D$6:$D$1413,$B207,'февраль 2024'!$J$6:$J$1413,E$1)</f>
        <v>0</v>
      </c>
      <c r="F207" s="80">
        <f>SUMIFS('февраль 2024'!$G$6:$G$1413,'февраль 2024'!$D$6:$D$1413,$B207,'февраль 2024'!$J$6:$J$1413,F$1)</f>
        <v>0</v>
      </c>
      <c r="G207" s="80">
        <f>SUMIFS('февраль 2024'!$G$6:$G$1413,'февраль 2024'!$D$6:$D$1413,$B207,'февраль 2024'!$J$6:$J$1413,G$1)</f>
        <v>0</v>
      </c>
      <c r="H207" s="80">
        <f>SUMIFS('февраль 2024'!$G$6:$G$1413,'февраль 2024'!$D$6:$D$1413,$B207,'февраль 2024'!$J$6:$J$1413,H$1)</f>
        <v>0</v>
      </c>
      <c r="I207" s="80">
        <f>SUMIFS('февраль 2024'!$G$6:$G$1413,'февраль 2024'!$D$6:$D$1413,$B207,'февраль 2024'!$J$6:$J$1413,I$1)</f>
        <v>0</v>
      </c>
      <c r="J207" s="80">
        <f>SUMIFS('февраль 2024'!$G$6:$G$1413,'февраль 2024'!$D$6:$D$1413,$B207,'февраль 2024'!$J$6:$J$1413,J$1)</f>
        <v>0</v>
      </c>
      <c r="K207" s="80">
        <f>SUMIFS('февраль 2024'!$G$6:$G$1413,'февраль 2024'!$D$6:$D$1413,$B207,'февраль 2024'!$J$6:$J$1413,K$1)</f>
        <v>0</v>
      </c>
      <c r="L207" s="80">
        <f>SUMIFS('февраль 2024'!$G$6:$G$1413,'февраль 2024'!$D$6:$D$1413,$B207,'февраль 2024'!$J$6:$J$1413,L$1)</f>
        <v>0</v>
      </c>
      <c r="M207" s="80">
        <f>SUMIFS('февраль 2024'!$G$6:$G$1413,'февраль 2024'!$D$6:$D$1413,$B207,'февраль 2024'!$J$6:$J$1413,M$1)</f>
        <v>0</v>
      </c>
      <c r="N207" s="80">
        <f>SUMIFS('февраль 2024'!$G$6:$G$1413,'февраль 2024'!$D$6:$D$1413,$B207,'февраль 2024'!$J$6:$J$1413,N$1)</f>
        <v>0</v>
      </c>
      <c r="O207" s="80">
        <f>SUMIFS('февраль 2024'!$G$6:$G$1413,'февраль 2024'!$D$6:$D$1413,$B207,'февраль 2024'!$J$6:$J$1413,O$1)</f>
        <v>0</v>
      </c>
      <c r="P207" s="80">
        <f>SUMIFS('февраль 2024'!$G$6:$G$1413,'февраль 2024'!$D$6:$D$1413,$B207,'февраль 2024'!$J$6:$J$1413,P$1)</f>
        <v>0</v>
      </c>
      <c r="Q207" s="80">
        <f>SUMIFS('февраль 2024'!$G$6:$G$1413,'февраль 2024'!$D$6:$D$1413,$B207,'февраль 2024'!$J$6:$J$1413,Q$1)</f>
        <v>0</v>
      </c>
      <c r="R207" s="80">
        <f>SUMIFS('февраль 2024'!$G$6:$G$1413,'февраль 2024'!$D$6:$D$1413,$B207,'февраль 2024'!$J$6:$J$1413,R$1)</f>
        <v>0</v>
      </c>
      <c r="S207" s="80">
        <f>SUMIFS('февраль 2024'!$G$6:$G$1413,'февраль 2024'!$D$6:$D$1413,$B207,'февраль 2024'!$J$6:$J$1413,S$1)</f>
        <v>0</v>
      </c>
      <c r="T207" s="80">
        <f>SUMIFS('февраль 2024'!$G$6:$G$1413,'февраль 2024'!$D$6:$D$1413,$B207,'февраль 2024'!$J$6:$J$1413,T$1)</f>
        <v>0</v>
      </c>
      <c r="U207" s="80">
        <f>SUMIFS('февраль 2024'!$G$6:$G$1413,'февраль 2024'!$D$6:$D$1413,$B207,'февраль 2024'!$J$6:$J$1413,U$1)</f>
        <v>0</v>
      </c>
      <c r="V207" s="80">
        <f>SUMIFS('февраль 2024'!$G$6:$G$1413,'февраль 2024'!$D$6:$D$1413,$B207,'февраль 2024'!$J$6:$J$1413,V$1)</f>
        <v>0</v>
      </c>
      <c r="W207" s="80">
        <f>SUMIFS('февраль 2024'!$G$6:$G$1413,'февраль 2024'!$D$6:$D$1413,$B207,'февраль 2024'!$J$6:$J$1413,W$1)</f>
        <v>0</v>
      </c>
      <c r="X207" s="80">
        <f>SUMIFS('февраль 2024'!$G$6:$G$1413,'февраль 2024'!$D$6:$D$1413,$B207,'февраль 2024'!$J$6:$J$1413,X$1)</f>
        <v>0</v>
      </c>
      <c r="Y207" s="80">
        <f>SUMIFS('февраль 2024'!$G$6:$G$1413,'февраль 2024'!$D$6:$D$1413,$B207,'февраль 2024'!$J$6:$J$1413,Y$1)</f>
        <v>0</v>
      </c>
      <c r="Z207" s="80">
        <f>SUMIFS('февраль 2024'!$G$6:$G$1413,'февраль 2024'!$D$6:$D$1413,$B207,'февраль 2024'!$J$6:$J$1413,Z$1)</f>
        <v>0</v>
      </c>
      <c r="AA207" s="80">
        <f>SUMIFS('февраль 2024'!$G$6:$G$1413,'февраль 2024'!$D$6:$D$1413,$B207,'февраль 2024'!$J$6:$J$1413,AA$1)</f>
        <v>0</v>
      </c>
      <c r="AB207" s="80">
        <f>SUMIFS('февраль 2024'!$G$6:$G$1413,'февраль 2024'!$D$6:$D$1413,$B207,'февраль 2024'!$J$6:$J$1413,AB$1)</f>
        <v>0</v>
      </c>
      <c r="AC207" s="80">
        <f>SUMIFS('февраль 2024'!$G$6:$G$1413,'февраль 2024'!$D$6:$D$1413,$B207,'февраль 2024'!$J$6:$J$1413,AC$1)</f>
        <v>0</v>
      </c>
      <c r="AD207" s="80">
        <f>SUMIFS('февраль 2024'!$G$6:$G$1413,'февраль 2024'!$D$6:$D$1413,$B207,'февраль 2024'!$J$6:$J$1413,AD$1)</f>
        <v>0</v>
      </c>
      <c r="AE207" s="80">
        <f>SUMIFS('февраль 2024'!$G$6:$G$1413,'февраль 2024'!$D$6:$D$1413,$B207,'февраль 2024'!$J$6:$J$1413,AE$1)</f>
        <v>0</v>
      </c>
      <c r="AF207" s="80">
        <f>SUMIFS('февраль 2024'!$G$6:$G$1413,'февраль 2024'!$D$6:$D$1413,$B207,'февраль 2024'!$J$6:$J$1413,AF$1)</f>
        <v>0</v>
      </c>
      <c r="AG207" s="80">
        <f>SUMIFS('февраль 2024'!$G$6:$G$1413,'февраль 2024'!$D$6:$D$1413,$B207,'февраль 2024'!$J$6:$J$1413,AG$1)</f>
        <v>0</v>
      </c>
      <c r="AH207" s="80">
        <f>SUMIFS('февраль 2024'!$G$6:$G$1413,'февраль 2024'!$D$6:$D$1413,$B207,'февраль 2024'!$J$6:$J$1413,AH$1)</f>
        <v>0</v>
      </c>
      <c r="AI207" s="87"/>
    </row>
    <row r="208" spans="2:35" ht="15" hidden="1" customHeight="1" x14ac:dyDescent="0.25">
      <c r="B208" s="89"/>
      <c r="C208" s="88"/>
      <c r="D208" s="80">
        <f>SUMIFS('февраль 2024'!$G$6:$G$1413,'февраль 2024'!$D$6:$D$1413,$B208,'февраль 2024'!$J$6:$J$1413,D$1)</f>
        <v>0</v>
      </c>
      <c r="E208" s="80">
        <f>SUMIFS('февраль 2024'!$G$6:$G$1413,'февраль 2024'!$D$6:$D$1413,$B208,'февраль 2024'!$J$6:$J$1413,E$1)</f>
        <v>0</v>
      </c>
      <c r="F208" s="80">
        <f>SUMIFS('февраль 2024'!$G$6:$G$1413,'февраль 2024'!$D$6:$D$1413,$B208,'февраль 2024'!$J$6:$J$1413,F$1)</f>
        <v>0</v>
      </c>
      <c r="G208" s="80">
        <f>SUMIFS('февраль 2024'!$G$6:$G$1413,'февраль 2024'!$D$6:$D$1413,$B208,'февраль 2024'!$J$6:$J$1413,G$1)</f>
        <v>0</v>
      </c>
      <c r="H208" s="80">
        <f>SUMIFS('февраль 2024'!$G$6:$G$1413,'февраль 2024'!$D$6:$D$1413,$B208,'февраль 2024'!$J$6:$J$1413,H$1)</f>
        <v>0</v>
      </c>
      <c r="I208" s="80">
        <f>SUMIFS('февраль 2024'!$G$6:$G$1413,'февраль 2024'!$D$6:$D$1413,$B208,'февраль 2024'!$J$6:$J$1413,I$1)</f>
        <v>0</v>
      </c>
      <c r="J208" s="80">
        <f>SUMIFS('февраль 2024'!$G$6:$G$1413,'февраль 2024'!$D$6:$D$1413,$B208,'февраль 2024'!$J$6:$J$1413,J$1)</f>
        <v>0</v>
      </c>
      <c r="K208" s="80">
        <f>SUMIFS('февраль 2024'!$G$6:$G$1413,'февраль 2024'!$D$6:$D$1413,$B208,'февраль 2024'!$J$6:$J$1413,K$1)</f>
        <v>0</v>
      </c>
      <c r="L208" s="80">
        <f>SUMIFS('февраль 2024'!$G$6:$G$1413,'февраль 2024'!$D$6:$D$1413,$B208,'февраль 2024'!$J$6:$J$1413,L$1)</f>
        <v>0</v>
      </c>
      <c r="M208" s="80">
        <f>SUMIFS('февраль 2024'!$G$6:$G$1413,'февраль 2024'!$D$6:$D$1413,$B208,'февраль 2024'!$J$6:$J$1413,M$1)</f>
        <v>0</v>
      </c>
      <c r="N208" s="80">
        <f>SUMIFS('февраль 2024'!$G$6:$G$1413,'февраль 2024'!$D$6:$D$1413,$B208,'февраль 2024'!$J$6:$J$1413,N$1)</f>
        <v>0</v>
      </c>
      <c r="O208" s="80">
        <f>SUMIFS('февраль 2024'!$G$6:$G$1413,'февраль 2024'!$D$6:$D$1413,$B208,'февраль 2024'!$J$6:$J$1413,O$1)</f>
        <v>0</v>
      </c>
      <c r="P208" s="80">
        <f>SUMIFS('февраль 2024'!$G$6:$G$1413,'февраль 2024'!$D$6:$D$1413,$B208,'февраль 2024'!$J$6:$J$1413,P$1)</f>
        <v>0</v>
      </c>
      <c r="Q208" s="80">
        <f>SUMIFS('февраль 2024'!$G$6:$G$1413,'февраль 2024'!$D$6:$D$1413,$B208,'февраль 2024'!$J$6:$J$1413,Q$1)</f>
        <v>0</v>
      </c>
      <c r="R208" s="80">
        <f>SUMIFS('февраль 2024'!$G$6:$G$1413,'февраль 2024'!$D$6:$D$1413,$B208,'февраль 2024'!$J$6:$J$1413,R$1)</f>
        <v>0</v>
      </c>
      <c r="S208" s="80">
        <f>SUMIFS('февраль 2024'!$G$6:$G$1413,'февраль 2024'!$D$6:$D$1413,$B208,'февраль 2024'!$J$6:$J$1413,S$1)</f>
        <v>0</v>
      </c>
      <c r="T208" s="80">
        <f>SUMIFS('февраль 2024'!$G$6:$G$1413,'февраль 2024'!$D$6:$D$1413,$B208,'февраль 2024'!$J$6:$J$1413,T$1)</f>
        <v>0</v>
      </c>
      <c r="U208" s="80">
        <f>SUMIFS('февраль 2024'!$G$6:$G$1413,'февраль 2024'!$D$6:$D$1413,$B208,'февраль 2024'!$J$6:$J$1413,U$1)</f>
        <v>0</v>
      </c>
      <c r="V208" s="80">
        <f>SUMIFS('февраль 2024'!$G$6:$G$1413,'февраль 2024'!$D$6:$D$1413,$B208,'февраль 2024'!$J$6:$J$1413,V$1)</f>
        <v>0</v>
      </c>
      <c r="W208" s="80">
        <f>SUMIFS('февраль 2024'!$G$6:$G$1413,'февраль 2024'!$D$6:$D$1413,$B208,'февраль 2024'!$J$6:$J$1413,W$1)</f>
        <v>0</v>
      </c>
      <c r="X208" s="80">
        <f>SUMIFS('февраль 2024'!$G$6:$G$1413,'февраль 2024'!$D$6:$D$1413,$B208,'февраль 2024'!$J$6:$J$1413,X$1)</f>
        <v>0</v>
      </c>
      <c r="Y208" s="80">
        <f>SUMIFS('февраль 2024'!$G$6:$G$1413,'февраль 2024'!$D$6:$D$1413,$B208,'февраль 2024'!$J$6:$J$1413,Y$1)</f>
        <v>0</v>
      </c>
      <c r="Z208" s="80">
        <f>SUMIFS('февраль 2024'!$G$6:$G$1413,'февраль 2024'!$D$6:$D$1413,$B208,'февраль 2024'!$J$6:$J$1413,Z$1)</f>
        <v>0</v>
      </c>
      <c r="AA208" s="80">
        <f>SUMIFS('февраль 2024'!$G$6:$G$1413,'февраль 2024'!$D$6:$D$1413,$B208,'февраль 2024'!$J$6:$J$1413,AA$1)</f>
        <v>0</v>
      </c>
      <c r="AB208" s="80">
        <f>SUMIFS('февраль 2024'!$G$6:$G$1413,'февраль 2024'!$D$6:$D$1413,$B208,'февраль 2024'!$J$6:$J$1413,AB$1)</f>
        <v>0</v>
      </c>
      <c r="AC208" s="80">
        <f>SUMIFS('февраль 2024'!$G$6:$G$1413,'февраль 2024'!$D$6:$D$1413,$B208,'февраль 2024'!$J$6:$J$1413,AC$1)</f>
        <v>0</v>
      </c>
      <c r="AD208" s="80">
        <f>SUMIFS('февраль 2024'!$G$6:$G$1413,'февраль 2024'!$D$6:$D$1413,$B208,'февраль 2024'!$J$6:$J$1413,AD$1)</f>
        <v>0</v>
      </c>
      <c r="AE208" s="80">
        <f>SUMIFS('февраль 2024'!$G$6:$G$1413,'февраль 2024'!$D$6:$D$1413,$B208,'февраль 2024'!$J$6:$J$1413,AE$1)</f>
        <v>0</v>
      </c>
      <c r="AF208" s="80">
        <f>SUMIFS('февраль 2024'!$G$6:$G$1413,'февраль 2024'!$D$6:$D$1413,$B208,'февраль 2024'!$J$6:$J$1413,AF$1)</f>
        <v>0</v>
      </c>
      <c r="AG208" s="80">
        <f>SUMIFS('февраль 2024'!$G$6:$G$1413,'февраль 2024'!$D$6:$D$1413,$B208,'февраль 2024'!$J$6:$J$1413,AG$1)</f>
        <v>0</v>
      </c>
      <c r="AH208" s="80">
        <f>SUMIFS('февраль 2024'!$G$6:$G$1413,'февраль 2024'!$D$6:$D$1413,$B208,'февраль 2024'!$J$6:$J$1413,AH$1)</f>
        <v>0</v>
      </c>
      <c r="AI208" s="87"/>
    </row>
    <row r="209" spans="2:35" ht="15" hidden="1" customHeight="1" x14ac:dyDescent="0.25">
      <c r="B209" s="89"/>
      <c r="C209" s="88"/>
      <c r="D209" s="80">
        <f>SUMIFS('февраль 2024'!$G$6:$G$1413,'февраль 2024'!$D$6:$D$1413,$B209,'февраль 2024'!$J$6:$J$1413,D$1)</f>
        <v>0</v>
      </c>
      <c r="E209" s="80">
        <f>SUMIFS('февраль 2024'!$G$6:$G$1413,'февраль 2024'!$D$6:$D$1413,$B209,'февраль 2024'!$J$6:$J$1413,E$1)</f>
        <v>0</v>
      </c>
      <c r="F209" s="80">
        <f>SUMIFS('февраль 2024'!$G$6:$G$1413,'февраль 2024'!$D$6:$D$1413,$B209,'февраль 2024'!$J$6:$J$1413,F$1)</f>
        <v>0</v>
      </c>
      <c r="G209" s="80">
        <f>SUMIFS('февраль 2024'!$G$6:$G$1413,'февраль 2024'!$D$6:$D$1413,$B209,'февраль 2024'!$J$6:$J$1413,G$1)</f>
        <v>0</v>
      </c>
      <c r="H209" s="80">
        <f>SUMIFS('февраль 2024'!$G$6:$G$1413,'февраль 2024'!$D$6:$D$1413,$B209,'февраль 2024'!$J$6:$J$1413,H$1)</f>
        <v>0</v>
      </c>
      <c r="I209" s="80">
        <f>SUMIFS('февраль 2024'!$G$6:$G$1413,'февраль 2024'!$D$6:$D$1413,$B209,'февраль 2024'!$J$6:$J$1413,I$1)</f>
        <v>0</v>
      </c>
      <c r="J209" s="80">
        <f>SUMIFS('февраль 2024'!$G$6:$G$1413,'февраль 2024'!$D$6:$D$1413,$B209,'февраль 2024'!$J$6:$J$1413,J$1)</f>
        <v>0</v>
      </c>
      <c r="K209" s="80">
        <f>SUMIFS('февраль 2024'!$G$6:$G$1413,'февраль 2024'!$D$6:$D$1413,$B209,'февраль 2024'!$J$6:$J$1413,K$1)</f>
        <v>0</v>
      </c>
      <c r="L209" s="80">
        <f>SUMIFS('февраль 2024'!$G$6:$G$1413,'февраль 2024'!$D$6:$D$1413,$B209,'февраль 2024'!$J$6:$J$1413,L$1)</f>
        <v>0</v>
      </c>
      <c r="M209" s="80">
        <f>SUMIFS('февраль 2024'!$G$6:$G$1413,'февраль 2024'!$D$6:$D$1413,$B209,'февраль 2024'!$J$6:$J$1413,M$1)</f>
        <v>0</v>
      </c>
      <c r="N209" s="80">
        <f>SUMIFS('февраль 2024'!$G$6:$G$1413,'февраль 2024'!$D$6:$D$1413,$B209,'февраль 2024'!$J$6:$J$1413,N$1)</f>
        <v>0</v>
      </c>
      <c r="O209" s="80">
        <f>SUMIFS('февраль 2024'!$G$6:$G$1413,'февраль 2024'!$D$6:$D$1413,$B209,'февраль 2024'!$J$6:$J$1413,O$1)</f>
        <v>0</v>
      </c>
      <c r="P209" s="80">
        <f>SUMIFS('февраль 2024'!$G$6:$G$1413,'февраль 2024'!$D$6:$D$1413,$B209,'февраль 2024'!$J$6:$J$1413,P$1)</f>
        <v>0</v>
      </c>
      <c r="Q209" s="80">
        <f>SUMIFS('февраль 2024'!$G$6:$G$1413,'февраль 2024'!$D$6:$D$1413,$B209,'февраль 2024'!$J$6:$J$1413,Q$1)</f>
        <v>0</v>
      </c>
      <c r="R209" s="80">
        <f>SUMIFS('февраль 2024'!$G$6:$G$1413,'февраль 2024'!$D$6:$D$1413,$B209,'февраль 2024'!$J$6:$J$1413,R$1)</f>
        <v>0</v>
      </c>
      <c r="S209" s="80">
        <f>SUMIFS('февраль 2024'!$G$6:$G$1413,'февраль 2024'!$D$6:$D$1413,$B209,'февраль 2024'!$J$6:$J$1413,S$1)</f>
        <v>0</v>
      </c>
      <c r="T209" s="80">
        <f>SUMIFS('февраль 2024'!$G$6:$G$1413,'февраль 2024'!$D$6:$D$1413,$B209,'февраль 2024'!$J$6:$J$1413,T$1)</f>
        <v>0</v>
      </c>
      <c r="U209" s="80">
        <f>SUMIFS('февраль 2024'!$G$6:$G$1413,'февраль 2024'!$D$6:$D$1413,$B209,'февраль 2024'!$J$6:$J$1413,U$1)</f>
        <v>0</v>
      </c>
      <c r="V209" s="80">
        <f>SUMIFS('февраль 2024'!$G$6:$G$1413,'февраль 2024'!$D$6:$D$1413,$B209,'февраль 2024'!$J$6:$J$1413,V$1)</f>
        <v>0</v>
      </c>
      <c r="W209" s="80">
        <f>SUMIFS('февраль 2024'!$G$6:$G$1413,'февраль 2024'!$D$6:$D$1413,$B209,'февраль 2024'!$J$6:$J$1413,W$1)</f>
        <v>0</v>
      </c>
      <c r="X209" s="80">
        <f>SUMIFS('февраль 2024'!$G$6:$G$1413,'февраль 2024'!$D$6:$D$1413,$B209,'февраль 2024'!$J$6:$J$1413,X$1)</f>
        <v>0</v>
      </c>
      <c r="Y209" s="80">
        <f>SUMIFS('февраль 2024'!$G$6:$G$1413,'февраль 2024'!$D$6:$D$1413,$B209,'февраль 2024'!$J$6:$J$1413,Y$1)</f>
        <v>0</v>
      </c>
      <c r="Z209" s="80">
        <f>SUMIFS('февраль 2024'!$G$6:$G$1413,'февраль 2024'!$D$6:$D$1413,$B209,'февраль 2024'!$J$6:$J$1413,Z$1)</f>
        <v>0</v>
      </c>
      <c r="AA209" s="80">
        <f>SUMIFS('февраль 2024'!$G$6:$G$1413,'февраль 2024'!$D$6:$D$1413,$B209,'февраль 2024'!$J$6:$J$1413,AA$1)</f>
        <v>0</v>
      </c>
      <c r="AB209" s="80">
        <f>SUMIFS('февраль 2024'!$G$6:$G$1413,'февраль 2024'!$D$6:$D$1413,$B209,'февраль 2024'!$J$6:$J$1413,AB$1)</f>
        <v>0</v>
      </c>
      <c r="AC209" s="80">
        <f>SUMIFS('февраль 2024'!$G$6:$G$1413,'февраль 2024'!$D$6:$D$1413,$B209,'февраль 2024'!$J$6:$J$1413,AC$1)</f>
        <v>0</v>
      </c>
      <c r="AD209" s="80">
        <f>SUMIFS('февраль 2024'!$G$6:$G$1413,'февраль 2024'!$D$6:$D$1413,$B209,'февраль 2024'!$J$6:$J$1413,AD$1)</f>
        <v>0</v>
      </c>
      <c r="AE209" s="80">
        <f>SUMIFS('февраль 2024'!$G$6:$G$1413,'февраль 2024'!$D$6:$D$1413,$B209,'февраль 2024'!$J$6:$J$1413,AE$1)</f>
        <v>0</v>
      </c>
      <c r="AF209" s="80">
        <f>SUMIFS('февраль 2024'!$G$6:$G$1413,'февраль 2024'!$D$6:$D$1413,$B209,'февраль 2024'!$J$6:$J$1413,AF$1)</f>
        <v>0</v>
      </c>
      <c r="AG209" s="80">
        <f>SUMIFS('февраль 2024'!$G$6:$G$1413,'февраль 2024'!$D$6:$D$1413,$B209,'февраль 2024'!$J$6:$J$1413,AG$1)</f>
        <v>0</v>
      </c>
      <c r="AH209" s="80">
        <f>SUMIFS('февраль 2024'!$G$6:$G$1413,'февраль 2024'!$D$6:$D$1413,$B209,'февраль 2024'!$J$6:$J$1413,AH$1)</f>
        <v>0</v>
      </c>
      <c r="AI209" s="87"/>
    </row>
    <row r="210" spans="2:35" ht="15" hidden="1" customHeight="1" thickBot="1" x14ac:dyDescent="0.3">
      <c r="B210" s="89"/>
      <c r="C210" s="96"/>
      <c r="D210" s="80">
        <f>SUMIFS('февраль 2024'!$G$6:$G$1413,'февраль 2024'!$D$6:$D$1413,$B210,'февраль 2024'!$J$6:$J$1413,D$1)</f>
        <v>0</v>
      </c>
      <c r="E210" s="80">
        <f>SUMIFS('февраль 2024'!$G$6:$G$1413,'февраль 2024'!$D$6:$D$1413,$B210,'февраль 2024'!$J$6:$J$1413,E$1)</f>
        <v>0</v>
      </c>
      <c r="F210" s="80">
        <f>SUMIFS('февраль 2024'!$G$6:$G$1413,'февраль 2024'!$D$6:$D$1413,$B210,'февраль 2024'!$J$6:$J$1413,F$1)</f>
        <v>0</v>
      </c>
      <c r="G210" s="80">
        <f>SUMIFS('февраль 2024'!$G$6:$G$1413,'февраль 2024'!$D$6:$D$1413,$B210,'февраль 2024'!$J$6:$J$1413,G$1)</f>
        <v>0</v>
      </c>
      <c r="H210" s="80">
        <f>SUMIFS('февраль 2024'!$G$6:$G$1413,'февраль 2024'!$D$6:$D$1413,$B210,'февраль 2024'!$J$6:$J$1413,H$1)</f>
        <v>0</v>
      </c>
      <c r="I210" s="80">
        <f>SUMIFS('февраль 2024'!$G$6:$G$1413,'февраль 2024'!$D$6:$D$1413,$B210,'февраль 2024'!$J$6:$J$1413,I$1)</f>
        <v>0</v>
      </c>
      <c r="J210" s="80">
        <f>SUMIFS('февраль 2024'!$G$6:$G$1413,'февраль 2024'!$D$6:$D$1413,$B210,'февраль 2024'!$J$6:$J$1413,J$1)</f>
        <v>0</v>
      </c>
      <c r="K210" s="80">
        <f>SUMIFS('февраль 2024'!$G$6:$G$1413,'февраль 2024'!$D$6:$D$1413,$B210,'февраль 2024'!$J$6:$J$1413,K$1)</f>
        <v>0</v>
      </c>
      <c r="L210" s="80">
        <f>SUMIFS('февраль 2024'!$G$6:$G$1413,'февраль 2024'!$D$6:$D$1413,$B210,'февраль 2024'!$J$6:$J$1413,L$1)</f>
        <v>0</v>
      </c>
      <c r="M210" s="80">
        <f>SUMIFS('февраль 2024'!$G$6:$G$1413,'февраль 2024'!$D$6:$D$1413,$B210,'февраль 2024'!$J$6:$J$1413,M$1)</f>
        <v>0</v>
      </c>
      <c r="N210" s="80">
        <f>SUMIFS('февраль 2024'!$G$6:$G$1413,'февраль 2024'!$D$6:$D$1413,$B210,'февраль 2024'!$J$6:$J$1413,N$1)</f>
        <v>0</v>
      </c>
      <c r="O210" s="80">
        <f>SUMIFS('февраль 2024'!$G$6:$G$1413,'февраль 2024'!$D$6:$D$1413,$B210,'февраль 2024'!$J$6:$J$1413,O$1)</f>
        <v>0</v>
      </c>
      <c r="P210" s="80">
        <f>SUMIFS('февраль 2024'!$G$6:$G$1413,'февраль 2024'!$D$6:$D$1413,$B210,'февраль 2024'!$J$6:$J$1413,P$1)</f>
        <v>0</v>
      </c>
      <c r="Q210" s="80">
        <f>SUMIFS('февраль 2024'!$G$6:$G$1413,'февраль 2024'!$D$6:$D$1413,$B210,'февраль 2024'!$J$6:$J$1413,Q$1)</f>
        <v>0</v>
      </c>
      <c r="R210" s="80">
        <f>SUMIFS('февраль 2024'!$G$6:$G$1413,'февраль 2024'!$D$6:$D$1413,$B210,'февраль 2024'!$J$6:$J$1413,R$1)</f>
        <v>0</v>
      </c>
      <c r="S210" s="80">
        <f>SUMIFS('февраль 2024'!$G$6:$G$1413,'февраль 2024'!$D$6:$D$1413,$B210,'февраль 2024'!$J$6:$J$1413,S$1)</f>
        <v>0</v>
      </c>
      <c r="T210" s="80">
        <f>SUMIFS('февраль 2024'!$G$6:$G$1413,'февраль 2024'!$D$6:$D$1413,$B210,'февраль 2024'!$J$6:$J$1413,T$1)</f>
        <v>0</v>
      </c>
      <c r="U210" s="80">
        <f>SUMIFS('февраль 2024'!$G$6:$G$1413,'февраль 2024'!$D$6:$D$1413,$B210,'февраль 2024'!$J$6:$J$1413,U$1)</f>
        <v>0</v>
      </c>
      <c r="V210" s="80">
        <f>SUMIFS('февраль 2024'!$G$6:$G$1413,'февраль 2024'!$D$6:$D$1413,$B210,'февраль 2024'!$J$6:$J$1413,V$1)</f>
        <v>0</v>
      </c>
      <c r="W210" s="80">
        <f>SUMIFS('февраль 2024'!$G$6:$G$1413,'февраль 2024'!$D$6:$D$1413,$B210,'февраль 2024'!$J$6:$J$1413,W$1)</f>
        <v>0</v>
      </c>
      <c r="X210" s="80">
        <f>SUMIFS('февраль 2024'!$G$6:$G$1413,'февраль 2024'!$D$6:$D$1413,$B210,'февраль 2024'!$J$6:$J$1413,X$1)</f>
        <v>0</v>
      </c>
      <c r="Y210" s="80">
        <f>SUMIFS('февраль 2024'!$G$6:$G$1413,'февраль 2024'!$D$6:$D$1413,$B210,'февраль 2024'!$J$6:$J$1413,Y$1)</f>
        <v>0</v>
      </c>
      <c r="Z210" s="80">
        <f>SUMIFS('февраль 2024'!$G$6:$G$1413,'февраль 2024'!$D$6:$D$1413,$B210,'февраль 2024'!$J$6:$J$1413,Z$1)</f>
        <v>0</v>
      </c>
      <c r="AA210" s="80">
        <f>SUMIFS('февраль 2024'!$G$6:$G$1413,'февраль 2024'!$D$6:$D$1413,$B210,'февраль 2024'!$J$6:$J$1413,AA$1)</f>
        <v>0</v>
      </c>
      <c r="AB210" s="80">
        <f>SUMIFS('февраль 2024'!$G$6:$G$1413,'февраль 2024'!$D$6:$D$1413,$B210,'февраль 2024'!$J$6:$J$1413,AB$1)</f>
        <v>0</v>
      </c>
      <c r="AC210" s="80">
        <f>SUMIFS('февраль 2024'!$G$6:$G$1413,'февраль 2024'!$D$6:$D$1413,$B210,'февраль 2024'!$J$6:$J$1413,AC$1)</f>
        <v>0</v>
      </c>
      <c r="AD210" s="80">
        <f>SUMIFS('февраль 2024'!$G$6:$G$1413,'февраль 2024'!$D$6:$D$1413,$B210,'февраль 2024'!$J$6:$J$1413,AD$1)</f>
        <v>0</v>
      </c>
      <c r="AE210" s="80">
        <f>SUMIFS('февраль 2024'!$G$6:$G$1413,'февраль 2024'!$D$6:$D$1413,$B210,'февраль 2024'!$J$6:$J$1413,AE$1)</f>
        <v>0</v>
      </c>
      <c r="AF210" s="80">
        <f>SUMIFS('февраль 2024'!$G$6:$G$1413,'февраль 2024'!$D$6:$D$1413,$B210,'февраль 2024'!$J$6:$J$1413,AF$1)</f>
        <v>0</v>
      </c>
      <c r="AG210" s="80">
        <f>SUMIFS('февраль 2024'!$G$6:$G$1413,'февраль 2024'!$D$6:$D$1413,$B210,'февраль 2024'!$J$6:$J$1413,AG$1)</f>
        <v>0</v>
      </c>
      <c r="AH210" s="80">
        <f>SUMIFS('февраль 2024'!$G$6:$G$1413,'февраль 2024'!$D$6:$D$1413,$B210,'февраль 2024'!$J$6:$J$1413,AH$1)</f>
        <v>0</v>
      </c>
      <c r="AI210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0000000}">
          <x14:formula1>
            <xm:f>справочник!$E$1:$E$2+справочник!$E$2:$E$37</xm:f>
          </x14:formula1>
          <xm:sqref>B191:B210</xm:sqref>
        </x14:dataValidation>
        <x14:dataValidation type="list" allowBlank="1" showInputMessage="1" showErrorMessage="1" xr:uid="{00000000-0002-0000-1600-000001000000}">
          <x14:formula1>
            <xm:f>справочник!$E$2:$E$155</xm:f>
          </x14:formula1>
          <xm:sqref>B3:B190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AI208"/>
  <sheetViews>
    <sheetView showZeros="0" topLeftCell="A91" zoomScale="70" zoomScaleNormal="70" workbookViewId="0">
      <selection activeCell="AE122" sqref="AE122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45383</v>
      </c>
      <c r="C1" s="72"/>
      <c r="D1" s="73">
        <f>B1</f>
        <v>45383</v>
      </c>
      <c r="E1" s="73">
        <f>D1+1</f>
        <v>45384</v>
      </c>
      <c r="F1" s="73">
        <f t="shared" ref="F1:AH1" si="0">E1+1</f>
        <v>45385</v>
      </c>
      <c r="G1" s="73">
        <f t="shared" si="0"/>
        <v>45386</v>
      </c>
      <c r="H1" s="73">
        <f t="shared" si="0"/>
        <v>45387</v>
      </c>
      <c r="I1" s="73">
        <f t="shared" si="0"/>
        <v>45388</v>
      </c>
      <c r="J1" s="73">
        <f t="shared" si="0"/>
        <v>45389</v>
      </c>
      <c r="K1" s="73">
        <f t="shared" si="0"/>
        <v>45390</v>
      </c>
      <c r="L1" s="73">
        <f t="shared" si="0"/>
        <v>45391</v>
      </c>
      <c r="M1" s="73">
        <f t="shared" si="0"/>
        <v>45392</v>
      </c>
      <c r="N1" s="73">
        <f t="shared" si="0"/>
        <v>45393</v>
      </c>
      <c r="O1" s="73">
        <f t="shared" si="0"/>
        <v>45394</v>
      </c>
      <c r="P1" s="73">
        <f t="shared" si="0"/>
        <v>45395</v>
      </c>
      <c r="Q1" s="73">
        <f t="shared" si="0"/>
        <v>45396</v>
      </c>
      <c r="R1" s="73">
        <f t="shared" si="0"/>
        <v>45397</v>
      </c>
      <c r="S1" s="73">
        <f t="shared" si="0"/>
        <v>45398</v>
      </c>
      <c r="T1" s="73">
        <f t="shared" si="0"/>
        <v>45399</v>
      </c>
      <c r="U1" s="73">
        <f t="shared" si="0"/>
        <v>45400</v>
      </c>
      <c r="V1" s="73">
        <f t="shared" si="0"/>
        <v>45401</v>
      </c>
      <c r="W1" s="73">
        <f t="shared" si="0"/>
        <v>45402</v>
      </c>
      <c r="X1" s="73">
        <f t="shared" si="0"/>
        <v>45403</v>
      </c>
      <c r="Y1" s="73">
        <f t="shared" si="0"/>
        <v>45404</v>
      </c>
      <c r="Z1" s="73">
        <f t="shared" si="0"/>
        <v>45405</v>
      </c>
      <c r="AA1" s="73">
        <f t="shared" si="0"/>
        <v>45406</v>
      </c>
      <c r="AB1" s="73">
        <f t="shared" si="0"/>
        <v>45407</v>
      </c>
      <c r="AC1" s="73">
        <f t="shared" si="0"/>
        <v>45408</v>
      </c>
      <c r="AD1" s="73">
        <f t="shared" si="0"/>
        <v>45409</v>
      </c>
      <c r="AE1" s="73">
        <f t="shared" si="0"/>
        <v>45410</v>
      </c>
      <c r="AF1" s="73">
        <f t="shared" si="0"/>
        <v>45411</v>
      </c>
      <c r="AG1" s="73">
        <f t="shared" si="0"/>
        <v>45412</v>
      </c>
      <c r="AH1" s="73">
        <f t="shared" si="0"/>
        <v>45413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SUMIFS('апрель 2024'!$G$4:$G$1689,'апрель 2024'!$D$4:$D$1689,$B3,'апрель 2024'!$J$4:$J$1689,D$1)</f>
        <v>0</v>
      </c>
      <c r="E3" s="80">
        <f>SUMIFS('апрель 2024'!$G$4:$G$1689,'апрель 2024'!$D$4:$D$1689,$B3,'апрель 2024'!$J$4:$J$1689,E$1)</f>
        <v>0</v>
      </c>
      <c r="F3" s="80">
        <f>SUMIFS('апрель 2024'!$G$4:$G$1689,'апрель 2024'!$D$4:$D$1689,$B3,'апрель 2024'!$J$4:$J$1689,F$1)</f>
        <v>0</v>
      </c>
      <c r="G3" s="80">
        <f>SUMIFS('апрель 2024'!$G$4:$G$1689,'апрель 2024'!$D$4:$D$1689,$B3,'апрель 2024'!$J$4:$J$1689,G$1)</f>
        <v>0</v>
      </c>
      <c r="H3" s="80">
        <f>SUMIFS('апрель 2024'!$G$4:$G$1689,'апрель 2024'!$D$4:$D$1689,$B3,'апрель 2024'!$J$4:$J$1689,H$1)</f>
        <v>0</v>
      </c>
      <c r="I3" s="80">
        <f>SUMIFS('апрель 2024'!$G$4:$G$1689,'апрель 2024'!$D$4:$D$1689,$B3,'апрель 2024'!$J$4:$J$1689,I$1)</f>
        <v>0</v>
      </c>
      <c r="J3" s="80">
        <f>SUMIFS('апрель 2024'!$G$4:$G$1689,'апрель 2024'!$D$4:$D$1689,$B3,'апрель 2024'!$J$4:$J$1689,J$1)</f>
        <v>0</v>
      </c>
      <c r="K3" s="80">
        <f>SUMIFS('апрель 2024'!$G$4:$G$1689,'апрель 2024'!$D$4:$D$1689,$B3,'апрель 2024'!$J$4:$J$1689,K$1)</f>
        <v>0</v>
      </c>
      <c r="L3" s="80">
        <f>SUMIFS('апрель 2024'!$G$4:$G$1689,'апрель 2024'!$D$4:$D$1689,$B3,'апрель 2024'!$J$4:$J$1689,L$1)</f>
        <v>0</v>
      </c>
      <c r="M3" s="80">
        <f>SUMIFS('апрель 2024'!$G$4:$G$1689,'апрель 2024'!$D$4:$D$1689,$B3,'апрель 2024'!$J$4:$J$1689,M$1)</f>
        <v>0</v>
      </c>
      <c r="N3" s="80">
        <f>SUMIFS('апрель 2024'!$G$4:$G$1689,'апрель 2024'!$D$4:$D$1689,$B3,'апрель 2024'!$J$4:$J$1689,N$1)</f>
        <v>0</v>
      </c>
      <c r="O3" s="80">
        <f>SUMIFS('апрель 2024'!$G$4:$G$1689,'апрель 2024'!$D$4:$D$1689,$B3,'апрель 2024'!$J$4:$J$1689,O$1)</f>
        <v>0</v>
      </c>
      <c r="P3" s="80">
        <f>SUMIFS('апрель 2024'!$G$4:$G$1689,'апрель 2024'!$D$4:$D$1689,$B3,'апрель 2024'!$J$4:$J$1689,P$1)</f>
        <v>0</v>
      </c>
      <c r="Q3" s="80">
        <f>SUMIFS('апрель 2024'!$G$4:$G$1689,'апрель 2024'!$D$4:$D$1689,$B3,'апрель 2024'!$J$4:$J$1689,Q$1)</f>
        <v>0</v>
      </c>
      <c r="R3" s="80">
        <f>SUMIFS('апрель 2024'!$G$4:$G$1689,'апрель 2024'!$D$4:$D$1689,$B3,'апрель 2024'!$J$4:$J$1689,R$1)</f>
        <v>0</v>
      </c>
      <c r="S3" s="80">
        <f>SUMIFS('апрель 2024'!$G$4:$G$1689,'апрель 2024'!$D$4:$D$1689,$B3,'апрель 2024'!$J$4:$J$1689,S$1)</f>
        <v>0</v>
      </c>
      <c r="T3" s="80">
        <f>SUMIFS('апрель 2024'!$G$4:$G$1689,'апрель 2024'!$D$4:$D$1689,$B3,'апрель 2024'!$J$4:$J$1689,T$1)</f>
        <v>0</v>
      </c>
      <c r="U3" s="80">
        <f>SUMIFS('апрель 2024'!$G$4:$G$1689,'апрель 2024'!$D$4:$D$1689,$B3,'апрель 2024'!$J$4:$J$1689,U$1)</f>
        <v>0</v>
      </c>
      <c r="V3" s="80">
        <f>SUMIFS('апрель 2024'!$G$4:$G$1689,'апрель 2024'!$D$4:$D$1689,$B3,'апрель 2024'!$J$4:$J$1689,V$1)</f>
        <v>0</v>
      </c>
      <c r="W3" s="80">
        <f>SUMIFS('апрель 2024'!$G$4:$G$1689,'апрель 2024'!$D$4:$D$1689,$B3,'апрель 2024'!$J$4:$J$1689,W$1)</f>
        <v>0</v>
      </c>
      <c r="X3" s="80">
        <f>SUMIFS('апрель 2024'!$G$4:$G$1689,'апрель 2024'!$D$4:$D$1689,$B3,'апрель 2024'!$J$4:$J$1689,X$1)</f>
        <v>0</v>
      </c>
      <c r="Y3" s="80">
        <f>SUMIFS('апрель 2024'!$G$4:$G$1689,'апрель 2024'!$D$4:$D$1689,$B3,'апрель 2024'!$J$4:$J$1689,Y$1)</f>
        <v>0</v>
      </c>
      <c r="Z3" s="80">
        <f>SUMIFS('апрель 2024'!$G$4:$G$1689,'апрель 2024'!$D$4:$D$1689,$B3,'апрель 2024'!$J$4:$J$1689,Z$1)</f>
        <v>0</v>
      </c>
      <c r="AA3" s="80">
        <f>SUMIFS('апрель 2024'!$G$4:$G$1689,'апрель 2024'!$D$4:$D$1689,$B3,'апрель 2024'!$J$4:$J$1689,AA$1)</f>
        <v>0</v>
      </c>
      <c r="AB3" s="80">
        <f>SUMIFS('апрель 2024'!$G$4:$G$1689,'апрель 2024'!$D$4:$D$1689,$B3,'апрель 2024'!$J$4:$J$1689,AB$1)</f>
        <v>0</v>
      </c>
      <c r="AC3" s="80">
        <f>SUMIFS('апрель 2024'!$G$4:$G$1689,'апрель 2024'!$D$4:$D$1689,$B3,'апрель 2024'!$J$4:$J$1689,AC$1)</f>
        <v>0</v>
      </c>
      <c r="AD3" s="80">
        <f>SUMIFS('апрель 2024'!$G$4:$G$1689,'апрель 2024'!$D$4:$D$1689,$B3,'апрель 2024'!$J$4:$J$1689,AD$1)</f>
        <v>0</v>
      </c>
      <c r="AE3" s="80">
        <f>SUMIFS('апрель 2024'!$G$4:$G$1689,'апрель 2024'!$D$4:$D$1689,$B3,'апрель 2024'!$J$4:$J$1689,AE$1)</f>
        <v>0</v>
      </c>
      <c r="AF3" s="80">
        <f>SUMIFS('апрель 2024'!$G$4:$G$1689,'апрель 2024'!$D$4:$D$1689,$B3,'апрель 2024'!$J$4:$J$1689,AF$1)</f>
        <v>0</v>
      </c>
      <c r="AG3" s="80">
        <f>SUMIFS('апрель 2024'!$G$4:$G$1689,'апрель 2024'!$D$4:$D$1689,$B3,'апрель 2024'!$J$4:$J$1689,AG$1)</f>
        <v>0</v>
      </c>
      <c r="AH3" s="80">
        <f>SUMIFS('апрель 2024'!$G$4:$G$1689,'апрель 2024'!$D$4:$D$1689,$B3,'апрель 2024'!$J$4:$J$1689,AH$1)</f>
        <v>0</v>
      </c>
      <c r="AI3" s="49">
        <f t="shared" ref="AI3:AI140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SUMIFS('апрель 2024'!$G$4:$G$1689,'апрель 2024'!$D$4:$D$1689,$B4,'апрель 2024'!$J$4:$J$1689,D$1)</f>
        <v>0</v>
      </c>
      <c r="E4" s="80">
        <f>SUMIFS('апрель 2024'!$G$4:$G$1689,'апрель 2024'!$D$4:$D$1689,$B4,'апрель 2024'!$J$4:$J$1689,E$1)</f>
        <v>0</v>
      </c>
      <c r="F4" s="80">
        <f>SUMIFS('апрель 2024'!$G$4:$G$1689,'апрель 2024'!$D$4:$D$1689,$B4,'апрель 2024'!$J$4:$J$1689,F$1)</f>
        <v>0</v>
      </c>
      <c r="G4" s="80">
        <f>SUMIFS('апрель 2024'!$G$4:$G$1689,'апрель 2024'!$D$4:$D$1689,$B4,'апрель 2024'!$J$4:$J$1689,G$1)</f>
        <v>0</v>
      </c>
      <c r="H4" s="80">
        <f>SUMIFS('апрель 2024'!$G$4:$G$1689,'апрель 2024'!$D$4:$D$1689,$B4,'апрель 2024'!$J$4:$J$1689,H$1)</f>
        <v>0</v>
      </c>
      <c r="I4" s="80">
        <f>SUMIFS('апрель 2024'!$G$4:$G$1689,'апрель 2024'!$D$4:$D$1689,$B4,'апрель 2024'!$J$4:$J$1689,I$1)</f>
        <v>0</v>
      </c>
      <c r="J4" s="80">
        <f>SUMIFS('апрель 2024'!$G$4:$G$1689,'апрель 2024'!$D$4:$D$1689,$B4,'апрель 2024'!$J$4:$J$1689,J$1)</f>
        <v>0</v>
      </c>
      <c r="K4" s="80">
        <f>SUMIFS('апрель 2024'!$G$4:$G$1689,'апрель 2024'!$D$4:$D$1689,$B4,'апрель 2024'!$J$4:$J$1689,K$1)</f>
        <v>0</v>
      </c>
      <c r="L4" s="80">
        <f>SUMIFS('апрель 2024'!$G$4:$G$1689,'апрель 2024'!$D$4:$D$1689,$B4,'апрель 2024'!$J$4:$J$1689,L$1)</f>
        <v>0</v>
      </c>
      <c r="M4" s="80">
        <f>SUMIFS('апрель 2024'!$G$4:$G$1689,'апрель 2024'!$D$4:$D$1689,$B4,'апрель 2024'!$J$4:$J$1689,M$1)</f>
        <v>0</v>
      </c>
      <c r="N4" s="80">
        <f>SUMIFS('апрель 2024'!$G$4:$G$1689,'апрель 2024'!$D$4:$D$1689,$B4,'апрель 2024'!$J$4:$J$1689,N$1)</f>
        <v>0</v>
      </c>
      <c r="O4" s="80">
        <f>SUMIFS('апрель 2024'!$G$4:$G$1689,'апрель 2024'!$D$4:$D$1689,$B4,'апрель 2024'!$J$4:$J$1689,O$1)</f>
        <v>0</v>
      </c>
      <c r="P4" s="80">
        <f>SUMIFS('апрель 2024'!$G$4:$G$1689,'апрель 2024'!$D$4:$D$1689,$B4,'апрель 2024'!$J$4:$J$1689,P$1)</f>
        <v>0</v>
      </c>
      <c r="Q4" s="80">
        <f>SUMIFS('апрель 2024'!$G$4:$G$1689,'апрель 2024'!$D$4:$D$1689,$B4,'апрель 2024'!$J$4:$J$1689,Q$1)</f>
        <v>0</v>
      </c>
      <c r="R4" s="80">
        <f>SUMIFS('апрель 2024'!$G$4:$G$1689,'апрель 2024'!$D$4:$D$1689,$B4,'апрель 2024'!$J$4:$J$1689,R$1)</f>
        <v>0</v>
      </c>
      <c r="S4" s="80">
        <f>SUMIFS('апрель 2024'!$G$4:$G$1689,'апрель 2024'!$D$4:$D$1689,$B4,'апрель 2024'!$J$4:$J$1689,S$1)</f>
        <v>0</v>
      </c>
      <c r="T4" s="80">
        <f>SUMIFS('апрель 2024'!$G$4:$G$1689,'апрель 2024'!$D$4:$D$1689,$B4,'апрель 2024'!$J$4:$J$1689,T$1)</f>
        <v>0</v>
      </c>
      <c r="U4" s="80">
        <f>SUMIFS('апрель 2024'!$G$4:$G$1689,'апрель 2024'!$D$4:$D$1689,$B4,'апрель 2024'!$J$4:$J$1689,U$1)</f>
        <v>0</v>
      </c>
      <c r="V4" s="80">
        <f>SUMIFS('апрель 2024'!$G$4:$G$1689,'апрель 2024'!$D$4:$D$1689,$B4,'апрель 2024'!$J$4:$J$1689,V$1)</f>
        <v>0</v>
      </c>
      <c r="W4" s="80">
        <f>SUMIFS('апрель 2024'!$G$4:$G$1689,'апрель 2024'!$D$4:$D$1689,$B4,'апрель 2024'!$J$4:$J$1689,W$1)</f>
        <v>0</v>
      </c>
      <c r="X4" s="80">
        <f>SUMIFS('апрель 2024'!$G$4:$G$1689,'апрель 2024'!$D$4:$D$1689,$B4,'апрель 2024'!$J$4:$J$1689,X$1)</f>
        <v>0</v>
      </c>
      <c r="Y4" s="80">
        <f>SUMIFS('апрель 2024'!$G$4:$G$1689,'апрель 2024'!$D$4:$D$1689,$B4,'апрель 2024'!$J$4:$J$1689,Y$1)</f>
        <v>0</v>
      </c>
      <c r="Z4" s="80">
        <f>SUMIFS('апрель 2024'!$G$4:$G$1689,'апрель 2024'!$D$4:$D$1689,$B4,'апрель 2024'!$J$4:$J$1689,Z$1)</f>
        <v>0</v>
      </c>
      <c r="AA4" s="80">
        <f>SUMIFS('апрель 2024'!$G$4:$G$1689,'апрель 2024'!$D$4:$D$1689,$B4,'апрель 2024'!$J$4:$J$1689,AA$1)</f>
        <v>0</v>
      </c>
      <c r="AB4" s="80">
        <f>SUMIFS('апрель 2024'!$G$4:$G$1689,'апрель 2024'!$D$4:$D$1689,$B4,'апрель 2024'!$J$4:$J$1689,AB$1)</f>
        <v>0</v>
      </c>
      <c r="AC4" s="80">
        <f>SUMIFS('апрель 2024'!$G$4:$G$1689,'апрель 2024'!$D$4:$D$1689,$B4,'апрель 2024'!$J$4:$J$1689,AC$1)</f>
        <v>0</v>
      </c>
      <c r="AD4" s="80">
        <f>SUMIFS('апрель 2024'!$G$4:$G$1689,'апрель 2024'!$D$4:$D$1689,$B4,'апрель 2024'!$J$4:$J$1689,AD$1)</f>
        <v>0</v>
      </c>
      <c r="AE4" s="80">
        <f>SUMIFS('апрель 2024'!$G$4:$G$1689,'апрель 2024'!$D$4:$D$1689,$B4,'апрель 2024'!$J$4:$J$1689,AE$1)</f>
        <v>0</v>
      </c>
      <c r="AF4" s="80">
        <f>SUMIFS('апрель 2024'!$G$4:$G$1689,'апрель 2024'!$D$4:$D$1689,$B4,'апрель 2024'!$J$4:$J$1689,AF$1)</f>
        <v>0</v>
      </c>
      <c r="AG4" s="80">
        <f>SUMIFS('апрель 2024'!$G$4:$G$1689,'апрель 2024'!$D$4:$D$1689,$B4,'апрель 2024'!$J$4:$J$1689,AG$1)</f>
        <v>0</v>
      </c>
      <c r="AH4" s="80">
        <f>SUMIFS('апрель 2024'!$G$4:$G$1689,'апрель 2024'!$D$4:$D$1689,$B4,'апрель 2024'!$J$4:$J$1689,AH$1)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SUMIFS('апрель 2024'!$G$4:$G$1689,'апрель 2024'!$D$4:$D$1689,$B5,'апрель 2024'!$J$4:$J$1689,D$1)</f>
        <v>0</v>
      </c>
      <c r="E5" s="80">
        <f>SUMIFS('апрель 2024'!$G$4:$G$1689,'апрель 2024'!$D$4:$D$1689,$B5,'апрель 2024'!$J$4:$J$1689,E$1)</f>
        <v>0</v>
      </c>
      <c r="F5" s="80">
        <f>SUMIFS('апрель 2024'!$G$4:$G$1689,'апрель 2024'!$D$4:$D$1689,$B5,'апрель 2024'!$J$4:$J$1689,F$1)</f>
        <v>800</v>
      </c>
      <c r="G5" s="80">
        <f>SUMIFS('апрель 2024'!$G$4:$G$1689,'апрель 2024'!$D$4:$D$1689,$B5,'апрель 2024'!$J$4:$J$1689,G$1)</f>
        <v>0</v>
      </c>
      <c r="H5" s="80">
        <f>SUMIFS('апрель 2024'!$G$4:$G$1689,'апрель 2024'!$D$4:$D$1689,$B5,'апрель 2024'!$J$4:$J$1689,H$1)</f>
        <v>0</v>
      </c>
      <c r="I5" s="80">
        <f>SUMIFS('апрель 2024'!$G$4:$G$1689,'апрель 2024'!$D$4:$D$1689,$B5,'апрель 2024'!$J$4:$J$1689,I$1)</f>
        <v>0</v>
      </c>
      <c r="J5" s="80">
        <f>SUMIFS('апрель 2024'!$G$4:$G$1689,'апрель 2024'!$D$4:$D$1689,$B5,'апрель 2024'!$J$4:$J$1689,J$1)</f>
        <v>0</v>
      </c>
      <c r="K5" s="80">
        <f>SUMIFS('апрель 2024'!$G$4:$G$1689,'апрель 2024'!$D$4:$D$1689,$B5,'апрель 2024'!$J$4:$J$1689,K$1)</f>
        <v>0</v>
      </c>
      <c r="L5" s="80">
        <f>SUMIFS('апрель 2024'!$G$4:$G$1689,'апрель 2024'!$D$4:$D$1689,$B5,'апрель 2024'!$J$4:$J$1689,L$1)</f>
        <v>0</v>
      </c>
      <c r="M5" s="80">
        <f>SUMIFS('апрель 2024'!$G$4:$G$1689,'апрель 2024'!$D$4:$D$1689,$B5,'апрель 2024'!$J$4:$J$1689,M$1)</f>
        <v>0</v>
      </c>
      <c r="N5" s="80">
        <f>SUMIFS('апрель 2024'!$G$4:$G$1689,'апрель 2024'!$D$4:$D$1689,$B5,'апрель 2024'!$J$4:$J$1689,N$1)</f>
        <v>0</v>
      </c>
      <c r="O5" s="80">
        <f>SUMIFS('апрель 2024'!$G$4:$G$1689,'апрель 2024'!$D$4:$D$1689,$B5,'апрель 2024'!$J$4:$J$1689,O$1)</f>
        <v>0</v>
      </c>
      <c r="P5" s="80">
        <f>SUMIFS('апрель 2024'!$G$4:$G$1689,'апрель 2024'!$D$4:$D$1689,$B5,'апрель 2024'!$J$4:$J$1689,P$1)</f>
        <v>0</v>
      </c>
      <c r="Q5" s="80">
        <f>SUMIFS('апрель 2024'!$G$4:$G$1689,'апрель 2024'!$D$4:$D$1689,$B5,'апрель 2024'!$J$4:$J$1689,Q$1)</f>
        <v>0</v>
      </c>
      <c r="R5" s="80">
        <f>SUMIFS('апрель 2024'!$G$4:$G$1689,'апрель 2024'!$D$4:$D$1689,$B5,'апрель 2024'!$J$4:$J$1689,R$1)</f>
        <v>0</v>
      </c>
      <c r="S5" s="80">
        <f>SUMIFS('апрель 2024'!$G$4:$G$1689,'апрель 2024'!$D$4:$D$1689,$B5,'апрель 2024'!$J$4:$J$1689,S$1)</f>
        <v>0</v>
      </c>
      <c r="T5" s="80">
        <f>SUMIFS('апрель 2024'!$G$4:$G$1689,'апрель 2024'!$D$4:$D$1689,$B5,'апрель 2024'!$J$4:$J$1689,T$1)</f>
        <v>0</v>
      </c>
      <c r="U5" s="80">
        <f>SUMIFS('апрель 2024'!$G$4:$G$1689,'апрель 2024'!$D$4:$D$1689,$B5,'апрель 2024'!$J$4:$J$1689,U$1)</f>
        <v>0</v>
      </c>
      <c r="V5" s="80">
        <f>SUMIFS('апрель 2024'!$G$4:$G$1689,'апрель 2024'!$D$4:$D$1689,$B5,'апрель 2024'!$J$4:$J$1689,V$1)</f>
        <v>0</v>
      </c>
      <c r="W5" s="80">
        <f>SUMIFS('апрель 2024'!$G$4:$G$1689,'апрель 2024'!$D$4:$D$1689,$B5,'апрель 2024'!$J$4:$J$1689,W$1)</f>
        <v>0</v>
      </c>
      <c r="X5" s="80">
        <f>SUMIFS('апрель 2024'!$G$4:$G$1689,'апрель 2024'!$D$4:$D$1689,$B5,'апрель 2024'!$J$4:$J$1689,X$1)</f>
        <v>0</v>
      </c>
      <c r="Y5" s="80">
        <f>SUMIFS('апрель 2024'!$G$4:$G$1689,'апрель 2024'!$D$4:$D$1689,$B5,'апрель 2024'!$J$4:$J$1689,Y$1)</f>
        <v>0</v>
      </c>
      <c r="Z5" s="80">
        <f>SUMIFS('апрель 2024'!$G$4:$G$1689,'апрель 2024'!$D$4:$D$1689,$B5,'апрель 2024'!$J$4:$J$1689,Z$1)</f>
        <v>0</v>
      </c>
      <c r="AA5" s="80">
        <f>SUMIFS('апрель 2024'!$G$4:$G$1689,'апрель 2024'!$D$4:$D$1689,$B5,'апрель 2024'!$J$4:$J$1689,AA$1)</f>
        <v>0</v>
      </c>
      <c r="AB5" s="80">
        <f>SUMIFS('апрель 2024'!$G$4:$G$1689,'апрель 2024'!$D$4:$D$1689,$B5,'апрель 2024'!$J$4:$J$1689,AB$1)</f>
        <v>0</v>
      </c>
      <c r="AC5" s="80">
        <f>SUMIFS('апрель 2024'!$G$4:$G$1689,'апрель 2024'!$D$4:$D$1689,$B5,'апрель 2024'!$J$4:$J$1689,AC$1)</f>
        <v>0</v>
      </c>
      <c r="AD5" s="80">
        <f>SUMIFS('апрель 2024'!$G$4:$G$1689,'апрель 2024'!$D$4:$D$1689,$B5,'апрель 2024'!$J$4:$J$1689,AD$1)</f>
        <v>0</v>
      </c>
      <c r="AE5" s="80">
        <f>SUMIFS('апрель 2024'!$G$4:$G$1689,'апрель 2024'!$D$4:$D$1689,$B5,'апрель 2024'!$J$4:$J$1689,AE$1)</f>
        <v>0</v>
      </c>
      <c r="AF5" s="80">
        <f>SUMIFS('апрель 2024'!$G$4:$G$1689,'апрель 2024'!$D$4:$D$1689,$B5,'апрель 2024'!$J$4:$J$1689,AF$1)</f>
        <v>0</v>
      </c>
      <c r="AG5" s="80">
        <f>SUMIFS('апрель 2024'!$G$4:$G$1689,'апрель 2024'!$D$4:$D$1689,$B5,'апрель 2024'!$J$4:$J$1689,AG$1)</f>
        <v>0</v>
      </c>
      <c r="AH5" s="80">
        <f>SUMIFS('апрель 2024'!$G$4:$G$1689,'апрель 2024'!$D$4:$D$1689,$B5,'апрель 2024'!$J$4:$J$1689,AH$1)</f>
        <v>0</v>
      </c>
      <c r="AI5" s="21">
        <f t="shared" si="1"/>
        <v>800</v>
      </c>
    </row>
    <row r="6" spans="2:35" ht="15" customHeight="1" x14ac:dyDescent="0.25">
      <c r="B6" s="81" t="s">
        <v>281</v>
      </c>
      <c r="C6" s="82">
        <v>22.7</v>
      </c>
      <c r="D6" s="80">
        <f>SUMIFS('апрель 2024'!$G$4:$G$1689,'апрель 2024'!$D$4:$D$1689,$B6,'апрель 2024'!$J$4:$J$1689,D$1)</f>
        <v>0</v>
      </c>
      <c r="E6" s="80">
        <f>SUMIFS('апрель 2024'!$G$4:$G$1689,'апрель 2024'!$D$4:$D$1689,$B6,'апрель 2024'!$J$4:$J$1689,E$1)</f>
        <v>0</v>
      </c>
      <c r="F6" s="80">
        <f>SUMIFS('апрель 2024'!$G$4:$G$1689,'апрель 2024'!$D$4:$D$1689,$B6,'апрель 2024'!$J$4:$J$1689,F$1)</f>
        <v>0</v>
      </c>
      <c r="G6" s="80">
        <f>SUMIFS('апрель 2024'!$G$4:$G$1689,'апрель 2024'!$D$4:$D$1689,$B6,'апрель 2024'!$J$4:$J$1689,G$1)</f>
        <v>0</v>
      </c>
      <c r="H6" s="80">
        <f>SUMIFS('апрель 2024'!$G$4:$G$1689,'апрель 2024'!$D$4:$D$1689,$B6,'апрель 2024'!$J$4:$J$1689,H$1)</f>
        <v>0</v>
      </c>
      <c r="I6" s="80">
        <f>SUMIFS('апрель 2024'!$G$4:$G$1689,'апрель 2024'!$D$4:$D$1689,$B6,'апрель 2024'!$J$4:$J$1689,I$1)</f>
        <v>0</v>
      </c>
      <c r="J6" s="80">
        <f>SUMIFS('апрель 2024'!$G$4:$G$1689,'апрель 2024'!$D$4:$D$1689,$B6,'апрель 2024'!$J$4:$J$1689,J$1)</f>
        <v>0</v>
      </c>
      <c r="K6" s="80">
        <f>SUMIFS('апрель 2024'!$G$4:$G$1689,'апрель 2024'!$D$4:$D$1689,$B6,'апрель 2024'!$J$4:$J$1689,K$1)</f>
        <v>0</v>
      </c>
      <c r="L6" s="80">
        <f>SUMIFS('апрель 2024'!$G$4:$G$1689,'апрель 2024'!$D$4:$D$1689,$B6,'апрель 2024'!$J$4:$J$1689,L$1)</f>
        <v>0</v>
      </c>
      <c r="M6" s="80">
        <f>SUMIFS('апрель 2024'!$G$4:$G$1689,'апрель 2024'!$D$4:$D$1689,$B6,'апрель 2024'!$J$4:$J$1689,M$1)</f>
        <v>0</v>
      </c>
      <c r="N6" s="80">
        <f>SUMIFS('апрель 2024'!$G$4:$G$1689,'апрель 2024'!$D$4:$D$1689,$B6,'апрель 2024'!$J$4:$J$1689,N$1)</f>
        <v>0</v>
      </c>
      <c r="O6" s="80">
        <f>SUMIFS('апрель 2024'!$G$4:$G$1689,'апрель 2024'!$D$4:$D$1689,$B6,'апрель 2024'!$J$4:$J$1689,O$1)</f>
        <v>0</v>
      </c>
      <c r="P6" s="80">
        <f>SUMIFS('апрель 2024'!$G$4:$G$1689,'апрель 2024'!$D$4:$D$1689,$B6,'апрель 2024'!$J$4:$J$1689,P$1)</f>
        <v>0</v>
      </c>
      <c r="Q6" s="80">
        <f>SUMIFS('апрель 2024'!$G$4:$G$1689,'апрель 2024'!$D$4:$D$1689,$B6,'апрель 2024'!$J$4:$J$1689,Q$1)</f>
        <v>0</v>
      </c>
      <c r="R6" s="80">
        <f>SUMIFS('апрель 2024'!$G$4:$G$1689,'апрель 2024'!$D$4:$D$1689,$B6,'апрель 2024'!$J$4:$J$1689,R$1)</f>
        <v>0</v>
      </c>
      <c r="S6" s="80">
        <f>SUMIFS('апрель 2024'!$G$4:$G$1689,'апрель 2024'!$D$4:$D$1689,$B6,'апрель 2024'!$J$4:$J$1689,S$1)</f>
        <v>0</v>
      </c>
      <c r="T6" s="80">
        <f>SUMIFS('апрель 2024'!$G$4:$G$1689,'апрель 2024'!$D$4:$D$1689,$B6,'апрель 2024'!$J$4:$J$1689,T$1)</f>
        <v>0</v>
      </c>
      <c r="U6" s="80">
        <f>SUMIFS('апрель 2024'!$G$4:$G$1689,'апрель 2024'!$D$4:$D$1689,$B6,'апрель 2024'!$J$4:$J$1689,U$1)</f>
        <v>0</v>
      </c>
      <c r="V6" s="80">
        <f>SUMIFS('апрель 2024'!$G$4:$G$1689,'апрель 2024'!$D$4:$D$1689,$B6,'апрель 2024'!$J$4:$J$1689,V$1)</f>
        <v>0</v>
      </c>
      <c r="W6" s="80">
        <f>SUMIFS('апрель 2024'!$G$4:$G$1689,'апрель 2024'!$D$4:$D$1689,$B6,'апрель 2024'!$J$4:$J$1689,W$1)</f>
        <v>0</v>
      </c>
      <c r="X6" s="80">
        <f>SUMIFS('апрель 2024'!$G$4:$G$1689,'апрель 2024'!$D$4:$D$1689,$B6,'апрель 2024'!$J$4:$J$1689,X$1)</f>
        <v>0</v>
      </c>
      <c r="Y6" s="80">
        <f>SUMIFS('апрель 2024'!$G$4:$G$1689,'апрель 2024'!$D$4:$D$1689,$B6,'апрель 2024'!$J$4:$J$1689,Y$1)</f>
        <v>0</v>
      </c>
      <c r="Z6" s="80">
        <f>SUMIFS('апрель 2024'!$G$4:$G$1689,'апрель 2024'!$D$4:$D$1689,$B6,'апрель 2024'!$J$4:$J$1689,Z$1)</f>
        <v>0</v>
      </c>
      <c r="AA6" s="80">
        <f>SUMIFS('апрель 2024'!$G$4:$G$1689,'апрель 2024'!$D$4:$D$1689,$B6,'апрель 2024'!$J$4:$J$1689,AA$1)</f>
        <v>0</v>
      </c>
      <c r="AB6" s="80">
        <f>SUMIFS('апрель 2024'!$G$4:$G$1689,'апрель 2024'!$D$4:$D$1689,$B6,'апрель 2024'!$J$4:$J$1689,AB$1)</f>
        <v>0</v>
      </c>
      <c r="AC6" s="80">
        <f>SUMIFS('апрель 2024'!$G$4:$G$1689,'апрель 2024'!$D$4:$D$1689,$B6,'апрель 2024'!$J$4:$J$1689,AC$1)</f>
        <v>0</v>
      </c>
      <c r="AD6" s="80">
        <f>SUMIFS('апрель 2024'!$G$4:$G$1689,'апрель 2024'!$D$4:$D$1689,$B6,'апрель 2024'!$J$4:$J$1689,AD$1)</f>
        <v>0</v>
      </c>
      <c r="AE6" s="80">
        <f>SUMIFS('апрель 2024'!$G$4:$G$1689,'апрель 2024'!$D$4:$D$1689,$B6,'апрель 2024'!$J$4:$J$1689,AE$1)</f>
        <v>0</v>
      </c>
      <c r="AF6" s="80">
        <f>SUMIFS('апрель 2024'!$G$4:$G$1689,'апрель 2024'!$D$4:$D$1689,$B6,'апрель 2024'!$J$4:$J$1689,AF$1)</f>
        <v>0</v>
      </c>
      <c r="AG6" s="80">
        <f>SUMIFS('апрель 2024'!$G$4:$G$1689,'апрель 2024'!$D$4:$D$1689,$B6,'апрель 2024'!$J$4:$J$1689,AG$1)</f>
        <v>0</v>
      </c>
      <c r="AH6" s="80">
        <f>SUMIFS('апрель 2024'!$G$4:$G$1689,'апрель 2024'!$D$4:$D$1689,$B6,'апрель 2024'!$J$4:$J$1689,AH$1)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SUMIFS('апрель 2024'!$G$4:$G$1689,'апрель 2024'!$D$4:$D$1689,$B7,'апрель 2024'!$J$4:$J$1689,D$1)</f>
        <v>0</v>
      </c>
      <c r="E7" s="80">
        <f>SUMIFS('апрель 2024'!$G$4:$G$1689,'апрель 2024'!$D$4:$D$1689,$B7,'апрель 2024'!$J$4:$J$1689,E$1)</f>
        <v>0</v>
      </c>
      <c r="F7" s="80">
        <f>SUMIFS('апрель 2024'!$G$4:$G$1689,'апрель 2024'!$D$4:$D$1689,$B7,'апрель 2024'!$J$4:$J$1689,F$1)</f>
        <v>0</v>
      </c>
      <c r="G7" s="80">
        <f>SUMIFS('апрель 2024'!$G$4:$G$1689,'апрель 2024'!$D$4:$D$1689,$B7,'апрель 2024'!$J$4:$J$1689,G$1)</f>
        <v>0</v>
      </c>
      <c r="H7" s="80">
        <f>SUMIFS('апрель 2024'!$G$4:$G$1689,'апрель 2024'!$D$4:$D$1689,$B7,'апрель 2024'!$J$4:$J$1689,H$1)</f>
        <v>0</v>
      </c>
      <c r="I7" s="80">
        <f>SUMIFS('апрель 2024'!$G$4:$G$1689,'апрель 2024'!$D$4:$D$1689,$B7,'апрель 2024'!$J$4:$J$1689,I$1)</f>
        <v>0</v>
      </c>
      <c r="J7" s="80">
        <f>SUMIFS('апрель 2024'!$G$4:$G$1689,'апрель 2024'!$D$4:$D$1689,$B7,'апрель 2024'!$J$4:$J$1689,J$1)</f>
        <v>0</v>
      </c>
      <c r="K7" s="80">
        <f>SUMIFS('апрель 2024'!$G$4:$G$1689,'апрель 2024'!$D$4:$D$1689,$B7,'апрель 2024'!$J$4:$J$1689,K$1)</f>
        <v>0</v>
      </c>
      <c r="L7" s="80">
        <f>SUMIFS('апрель 2024'!$G$4:$G$1689,'апрель 2024'!$D$4:$D$1689,$B7,'апрель 2024'!$J$4:$J$1689,L$1)</f>
        <v>0</v>
      </c>
      <c r="M7" s="80">
        <f>SUMIFS('апрель 2024'!$G$4:$G$1689,'апрель 2024'!$D$4:$D$1689,$B7,'апрель 2024'!$J$4:$J$1689,M$1)</f>
        <v>0</v>
      </c>
      <c r="N7" s="80">
        <f>SUMIFS('апрель 2024'!$G$4:$G$1689,'апрель 2024'!$D$4:$D$1689,$B7,'апрель 2024'!$J$4:$J$1689,N$1)</f>
        <v>0</v>
      </c>
      <c r="O7" s="80">
        <f>SUMIFS('апрель 2024'!$G$4:$G$1689,'апрель 2024'!$D$4:$D$1689,$B7,'апрель 2024'!$J$4:$J$1689,O$1)</f>
        <v>0</v>
      </c>
      <c r="P7" s="80">
        <f>SUMIFS('апрель 2024'!$G$4:$G$1689,'апрель 2024'!$D$4:$D$1689,$B7,'апрель 2024'!$J$4:$J$1689,P$1)</f>
        <v>0</v>
      </c>
      <c r="Q7" s="80">
        <f>SUMIFS('апрель 2024'!$G$4:$G$1689,'апрель 2024'!$D$4:$D$1689,$B7,'апрель 2024'!$J$4:$J$1689,Q$1)</f>
        <v>0</v>
      </c>
      <c r="R7" s="80">
        <f>SUMIFS('апрель 2024'!$G$4:$G$1689,'апрель 2024'!$D$4:$D$1689,$B7,'апрель 2024'!$J$4:$J$1689,R$1)</f>
        <v>0</v>
      </c>
      <c r="S7" s="80">
        <f>SUMIFS('апрель 2024'!$G$4:$G$1689,'апрель 2024'!$D$4:$D$1689,$B7,'апрель 2024'!$J$4:$J$1689,S$1)</f>
        <v>0</v>
      </c>
      <c r="T7" s="80">
        <f>SUMIFS('апрель 2024'!$G$4:$G$1689,'апрель 2024'!$D$4:$D$1689,$B7,'апрель 2024'!$J$4:$J$1689,T$1)</f>
        <v>0</v>
      </c>
      <c r="U7" s="80">
        <f>SUMIFS('апрель 2024'!$G$4:$G$1689,'апрель 2024'!$D$4:$D$1689,$B7,'апрель 2024'!$J$4:$J$1689,U$1)</f>
        <v>0</v>
      </c>
      <c r="V7" s="80">
        <f>SUMIFS('апрель 2024'!$G$4:$G$1689,'апрель 2024'!$D$4:$D$1689,$B7,'апрель 2024'!$J$4:$J$1689,V$1)</f>
        <v>0</v>
      </c>
      <c r="W7" s="80">
        <f>SUMIFS('апрель 2024'!$G$4:$G$1689,'апрель 2024'!$D$4:$D$1689,$B7,'апрель 2024'!$J$4:$J$1689,W$1)</f>
        <v>0</v>
      </c>
      <c r="X7" s="80">
        <f>SUMIFS('апрель 2024'!$G$4:$G$1689,'апрель 2024'!$D$4:$D$1689,$B7,'апрель 2024'!$J$4:$J$1689,X$1)</f>
        <v>0</v>
      </c>
      <c r="Y7" s="80">
        <f>SUMIFS('апрель 2024'!$G$4:$G$1689,'апрель 2024'!$D$4:$D$1689,$B7,'апрель 2024'!$J$4:$J$1689,Y$1)</f>
        <v>0</v>
      </c>
      <c r="Z7" s="80">
        <f>SUMIFS('апрель 2024'!$G$4:$G$1689,'апрель 2024'!$D$4:$D$1689,$B7,'апрель 2024'!$J$4:$J$1689,Z$1)</f>
        <v>0</v>
      </c>
      <c r="AA7" s="80">
        <f>SUMIFS('апрель 2024'!$G$4:$G$1689,'апрель 2024'!$D$4:$D$1689,$B7,'апрель 2024'!$J$4:$J$1689,AA$1)</f>
        <v>0</v>
      </c>
      <c r="AB7" s="80">
        <f>SUMIFS('апрель 2024'!$G$4:$G$1689,'апрель 2024'!$D$4:$D$1689,$B7,'апрель 2024'!$J$4:$J$1689,AB$1)</f>
        <v>0</v>
      </c>
      <c r="AC7" s="80">
        <f>SUMIFS('апрель 2024'!$G$4:$G$1689,'апрель 2024'!$D$4:$D$1689,$B7,'апрель 2024'!$J$4:$J$1689,AC$1)</f>
        <v>0</v>
      </c>
      <c r="AD7" s="80">
        <f>SUMIFS('апрель 2024'!$G$4:$G$1689,'апрель 2024'!$D$4:$D$1689,$B7,'апрель 2024'!$J$4:$J$1689,AD$1)</f>
        <v>0</v>
      </c>
      <c r="AE7" s="80">
        <f>SUMIFS('апрель 2024'!$G$4:$G$1689,'апрель 2024'!$D$4:$D$1689,$B7,'апрель 2024'!$J$4:$J$1689,AE$1)</f>
        <v>0</v>
      </c>
      <c r="AF7" s="80">
        <f>SUMIFS('апрель 2024'!$G$4:$G$1689,'апрель 2024'!$D$4:$D$1689,$B7,'апрель 2024'!$J$4:$J$1689,AF$1)</f>
        <v>0</v>
      </c>
      <c r="AG7" s="80">
        <f>SUMIFS('апрель 2024'!$G$4:$G$1689,'апрель 2024'!$D$4:$D$1689,$B7,'апрель 2024'!$J$4:$J$1689,AG$1)</f>
        <v>0</v>
      </c>
      <c r="AH7" s="80">
        <f>SUMIFS('апрель 2024'!$G$4:$G$1689,'апрель 2024'!$D$4:$D$1689,$B7,'апрель 2024'!$J$4:$J$1689,AH$1)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SUMIFS('апрель 2024'!$G$4:$G$1689,'апрель 2024'!$D$4:$D$1689,$B8,'апрель 2024'!$J$4:$J$1689,D$1)</f>
        <v>0</v>
      </c>
      <c r="E8" s="80">
        <f>SUMIFS('апрель 2024'!$G$4:$G$1689,'апрель 2024'!$D$4:$D$1689,$B8,'апрель 2024'!$J$4:$J$1689,E$1)</f>
        <v>0</v>
      </c>
      <c r="F8" s="80">
        <f>SUMIFS('апрель 2024'!$G$4:$G$1689,'апрель 2024'!$D$4:$D$1689,$B8,'апрель 2024'!$J$4:$J$1689,F$1)</f>
        <v>0</v>
      </c>
      <c r="G8" s="80">
        <f>SUMIFS('апрель 2024'!$G$4:$G$1689,'апрель 2024'!$D$4:$D$1689,$B8,'апрель 2024'!$J$4:$J$1689,G$1)</f>
        <v>0</v>
      </c>
      <c r="H8" s="80">
        <f>SUMIFS('апрель 2024'!$G$4:$G$1689,'апрель 2024'!$D$4:$D$1689,$B8,'апрель 2024'!$J$4:$J$1689,H$1)</f>
        <v>0</v>
      </c>
      <c r="I8" s="80">
        <f>SUMIFS('апрель 2024'!$G$4:$G$1689,'апрель 2024'!$D$4:$D$1689,$B8,'апрель 2024'!$J$4:$J$1689,I$1)</f>
        <v>0</v>
      </c>
      <c r="J8" s="80">
        <f>SUMIFS('апрель 2024'!$G$4:$G$1689,'апрель 2024'!$D$4:$D$1689,$B8,'апрель 2024'!$J$4:$J$1689,J$1)</f>
        <v>0</v>
      </c>
      <c r="K8" s="80">
        <f>SUMIFS('апрель 2024'!$G$4:$G$1689,'апрель 2024'!$D$4:$D$1689,$B8,'апрель 2024'!$J$4:$J$1689,K$1)</f>
        <v>0</v>
      </c>
      <c r="L8" s="80">
        <f>SUMIFS('апрель 2024'!$G$4:$G$1689,'апрель 2024'!$D$4:$D$1689,$B8,'апрель 2024'!$J$4:$J$1689,L$1)</f>
        <v>0</v>
      </c>
      <c r="M8" s="80">
        <f>SUMIFS('апрель 2024'!$G$4:$G$1689,'апрель 2024'!$D$4:$D$1689,$B8,'апрель 2024'!$J$4:$J$1689,M$1)</f>
        <v>0</v>
      </c>
      <c r="N8" s="80">
        <f>SUMIFS('апрель 2024'!$G$4:$G$1689,'апрель 2024'!$D$4:$D$1689,$B8,'апрель 2024'!$J$4:$J$1689,N$1)</f>
        <v>0</v>
      </c>
      <c r="O8" s="80">
        <f>SUMIFS('апрель 2024'!$G$4:$G$1689,'апрель 2024'!$D$4:$D$1689,$B8,'апрель 2024'!$J$4:$J$1689,O$1)</f>
        <v>0</v>
      </c>
      <c r="P8" s="80">
        <f>SUMIFS('апрель 2024'!$G$4:$G$1689,'апрель 2024'!$D$4:$D$1689,$B8,'апрель 2024'!$J$4:$J$1689,P$1)</f>
        <v>0</v>
      </c>
      <c r="Q8" s="80">
        <f>SUMIFS('апрель 2024'!$G$4:$G$1689,'апрель 2024'!$D$4:$D$1689,$B8,'апрель 2024'!$J$4:$J$1689,Q$1)</f>
        <v>0</v>
      </c>
      <c r="R8" s="80">
        <f>SUMIFS('апрель 2024'!$G$4:$G$1689,'апрель 2024'!$D$4:$D$1689,$B8,'апрель 2024'!$J$4:$J$1689,R$1)</f>
        <v>0</v>
      </c>
      <c r="S8" s="80">
        <f>SUMIFS('апрель 2024'!$G$4:$G$1689,'апрель 2024'!$D$4:$D$1689,$B8,'апрель 2024'!$J$4:$J$1689,S$1)</f>
        <v>0</v>
      </c>
      <c r="T8" s="80">
        <f>SUMIFS('апрель 2024'!$G$4:$G$1689,'апрель 2024'!$D$4:$D$1689,$B8,'апрель 2024'!$J$4:$J$1689,T$1)</f>
        <v>0</v>
      </c>
      <c r="U8" s="80">
        <f>SUMIFS('апрель 2024'!$G$4:$G$1689,'апрель 2024'!$D$4:$D$1689,$B8,'апрель 2024'!$J$4:$J$1689,U$1)</f>
        <v>0</v>
      </c>
      <c r="V8" s="80">
        <f>SUMIFS('апрель 2024'!$G$4:$G$1689,'апрель 2024'!$D$4:$D$1689,$B8,'апрель 2024'!$J$4:$J$1689,V$1)</f>
        <v>0</v>
      </c>
      <c r="W8" s="80">
        <f>SUMIFS('апрель 2024'!$G$4:$G$1689,'апрель 2024'!$D$4:$D$1689,$B8,'апрель 2024'!$J$4:$J$1689,W$1)</f>
        <v>0</v>
      </c>
      <c r="X8" s="80">
        <f>SUMIFS('апрель 2024'!$G$4:$G$1689,'апрель 2024'!$D$4:$D$1689,$B8,'апрель 2024'!$J$4:$J$1689,X$1)</f>
        <v>0</v>
      </c>
      <c r="Y8" s="80">
        <f>SUMIFS('апрель 2024'!$G$4:$G$1689,'апрель 2024'!$D$4:$D$1689,$B8,'апрель 2024'!$J$4:$J$1689,Y$1)</f>
        <v>0</v>
      </c>
      <c r="Z8" s="80">
        <f>SUMIFS('апрель 2024'!$G$4:$G$1689,'апрель 2024'!$D$4:$D$1689,$B8,'апрель 2024'!$J$4:$J$1689,Z$1)</f>
        <v>0</v>
      </c>
      <c r="AA8" s="80">
        <f>SUMIFS('апрель 2024'!$G$4:$G$1689,'апрель 2024'!$D$4:$D$1689,$B8,'апрель 2024'!$J$4:$J$1689,AA$1)</f>
        <v>0</v>
      </c>
      <c r="AB8" s="80">
        <f>SUMIFS('апрель 2024'!$G$4:$G$1689,'апрель 2024'!$D$4:$D$1689,$B8,'апрель 2024'!$J$4:$J$1689,AB$1)</f>
        <v>0</v>
      </c>
      <c r="AC8" s="80">
        <f>SUMIFS('апрель 2024'!$G$4:$G$1689,'апрель 2024'!$D$4:$D$1689,$B8,'апрель 2024'!$J$4:$J$1689,AC$1)</f>
        <v>0</v>
      </c>
      <c r="AD8" s="80">
        <f>SUMIFS('апрель 2024'!$G$4:$G$1689,'апрель 2024'!$D$4:$D$1689,$B8,'апрель 2024'!$J$4:$J$1689,AD$1)</f>
        <v>0</v>
      </c>
      <c r="AE8" s="80">
        <f>SUMIFS('апрель 2024'!$G$4:$G$1689,'апрель 2024'!$D$4:$D$1689,$B8,'апрель 2024'!$J$4:$J$1689,AE$1)</f>
        <v>0</v>
      </c>
      <c r="AF8" s="80">
        <f>SUMIFS('апрель 2024'!$G$4:$G$1689,'апрель 2024'!$D$4:$D$1689,$B8,'апрель 2024'!$J$4:$J$1689,AF$1)</f>
        <v>0</v>
      </c>
      <c r="AG8" s="80">
        <f>SUMIFS('апрель 2024'!$G$4:$G$1689,'апрель 2024'!$D$4:$D$1689,$B8,'апрель 2024'!$J$4:$J$1689,AG$1)</f>
        <v>0</v>
      </c>
      <c r="AH8" s="80">
        <f>SUMIFS('апрель 2024'!$G$4:$G$1689,'апрель 2024'!$D$4:$D$1689,$B8,'апрель 2024'!$J$4:$J$1689,AH$1)</f>
        <v>0</v>
      </c>
      <c r="AI8" s="21">
        <f t="shared" si="1"/>
        <v>0</v>
      </c>
    </row>
    <row r="9" spans="2:35" ht="15" customHeight="1" x14ac:dyDescent="0.25">
      <c r="B9" s="81" t="s">
        <v>287</v>
      </c>
      <c r="C9" s="82">
        <v>25</v>
      </c>
      <c r="D9" s="80">
        <f>SUMIFS('апрель 2024'!$G$4:$G$1689,'апрель 2024'!$D$4:$D$1689,$B9,'апрель 2024'!$J$4:$J$1689,D$1)</f>
        <v>520</v>
      </c>
      <c r="E9" s="80">
        <f>SUMIFS('апрель 2024'!$G$4:$G$1689,'апрель 2024'!$D$4:$D$1689,$B9,'апрель 2024'!$J$4:$J$1689,E$1)</f>
        <v>0</v>
      </c>
      <c r="F9" s="80">
        <f>SUMIFS('апрель 2024'!$G$4:$G$1689,'апрель 2024'!$D$4:$D$1689,$B9,'апрель 2024'!$J$4:$J$1689,F$1)</f>
        <v>0</v>
      </c>
      <c r="G9" s="80">
        <f>SUMIFS('апрель 2024'!$G$4:$G$1689,'апрель 2024'!$D$4:$D$1689,$B9,'апрель 2024'!$J$4:$J$1689,G$1)</f>
        <v>0</v>
      </c>
      <c r="H9" s="80">
        <f>SUMIFS('апрель 2024'!$G$4:$G$1689,'апрель 2024'!$D$4:$D$1689,$B9,'апрель 2024'!$J$4:$J$1689,H$1)</f>
        <v>0</v>
      </c>
      <c r="I9" s="80">
        <f>SUMIFS('апрель 2024'!$G$4:$G$1689,'апрель 2024'!$D$4:$D$1689,$B9,'апрель 2024'!$J$4:$J$1689,I$1)</f>
        <v>0</v>
      </c>
      <c r="J9" s="80">
        <f>SUMIFS('апрель 2024'!$G$4:$G$1689,'апрель 2024'!$D$4:$D$1689,$B9,'апрель 2024'!$J$4:$J$1689,J$1)</f>
        <v>0</v>
      </c>
      <c r="K9" s="80">
        <f>SUMIFS('апрель 2024'!$G$4:$G$1689,'апрель 2024'!$D$4:$D$1689,$B9,'апрель 2024'!$J$4:$J$1689,K$1)</f>
        <v>0</v>
      </c>
      <c r="L9" s="80">
        <f>SUMIFS('апрель 2024'!$G$4:$G$1689,'апрель 2024'!$D$4:$D$1689,$B9,'апрель 2024'!$J$4:$J$1689,L$1)</f>
        <v>800</v>
      </c>
      <c r="M9" s="80">
        <f>SUMIFS('апрель 2024'!$G$4:$G$1689,'апрель 2024'!$D$4:$D$1689,$B9,'апрель 2024'!$J$4:$J$1689,M$1)</f>
        <v>0</v>
      </c>
      <c r="N9" s="80">
        <f>SUMIFS('апрель 2024'!$G$4:$G$1689,'апрель 2024'!$D$4:$D$1689,$B9,'апрель 2024'!$J$4:$J$1689,N$1)</f>
        <v>0</v>
      </c>
      <c r="O9" s="80">
        <f>SUMIFS('апрель 2024'!$G$4:$G$1689,'апрель 2024'!$D$4:$D$1689,$B9,'апрель 2024'!$J$4:$J$1689,O$1)</f>
        <v>0</v>
      </c>
      <c r="P9" s="80">
        <f>SUMIFS('апрель 2024'!$G$4:$G$1689,'апрель 2024'!$D$4:$D$1689,$B9,'апрель 2024'!$J$4:$J$1689,P$1)</f>
        <v>0</v>
      </c>
      <c r="Q9" s="80">
        <f>SUMIFS('апрель 2024'!$G$4:$G$1689,'апрель 2024'!$D$4:$D$1689,$B9,'апрель 2024'!$J$4:$J$1689,Q$1)</f>
        <v>0</v>
      </c>
      <c r="R9" s="80">
        <f>SUMIFS('апрель 2024'!$G$4:$G$1689,'апрель 2024'!$D$4:$D$1689,$B9,'апрель 2024'!$J$4:$J$1689,R$1)</f>
        <v>0</v>
      </c>
      <c r="S9" s="80">
        <f>SUMIFS('апрель 2024'!$G$4:$G$1689,'апрель 2024'!$D$4:$D$1689,$B9,'апрель 2024'!$J$4:$J$1689,S$1)</f>
        <v>1200</v>
      </c>
      <c r="T9" s="80">
        <f>SUMIFS('апрель 2024'!$G$4:$G$1689,'апрель 2024'!$D$4:$D$1689,$B9,'апрель 2024'!$J$4:$J$1689,T$1)</f>
        <v>0</v>
      </c>
      <c r="U9" s="80">
        <f>SUMIFS('апрель 2024'!$G$4:$G$1689,'апрель 2024'!$D$4:$D$1689,$B9,'апрель 2024'!$J$4:$J$1689,U$1)</f>
        <v>0</v>
      </c>
      <c r="V9" s="80">
        <f>SUMIFS('апрель 2024'!$G$4:$G$1689,'апрель 2024'!$D$4:$D$1689,$B9,'апрель 2024'!$J$4:$J$1689,V$1)</f>
        <v>0</v>
      </c>
      <c r="W9" s="80">
        <f>SUMIFS('апрель 2024'!$G$4:$G$1689,'апрель 2024'!$D$4:$D$1689,$B9,'апрель 2024'!$J$4:$J$1689,W$1)</f>
        <v>0</v>
      </c>
      <c r="X9" s="80">
        <f>SUMIFS('апрель 2024'!$G$4:$G$1689,'апрель 2024'!$D$4:$D$1689,$B9,'апрель 2024'!$J$4:$J$1689,X$1)</f>
        <v>0</v>
      </c>
      <c r="Y9" s="80">
        <f>SUMIFS('апрель 2024'!$G$4:$G$1689,'апрель 2024'!$D$4:$D$1689,$B9,'апрель 2024'!$J$4:$J$1689,Y$1)</f>
        <v>0</v>
      </c>
      <c r="Z9" s="80">
        <f>SUMIFS('апрель 2024'!$G$4:$G$1689,'апрель 2024'!$D$4:$D$1689,$B9,'апрель 2024'!$J$4:$J$1689,Z$1)</f>
        <v>0</v>
      </c>
      <c r="AA9" s="80">
        <f>SUMIFS('апрель 2024'!$G$4:$G$1689,'апрель 2024'!$D$4:$D$1689,$B9,'апрель 2024'!$J$4:$J$1689,AA$1)</f>
        <v>0</v>
      </c>
      <c r="AB9" s="80">
        <f>SUMIFS('апрель 2024'!$G$4:$G$1689,'апрель 2024'!$D$4:$D$1689,$B9,'апрель 2024'!$J$4:$J$1689,AB$1)</f>
        <v>0</v>
      </c>
      <c r="AC9" s="80">
        <f>SUMIFS('апрель 2024'!$G$4:$G$1689,'апрель 2024'!$D$4:$D$1689,$B9,'апрель 2024'!$J$4:$J$1689,AC$1)</f>
        <v>0</v>
      </c>
      <c r="AD9" s="80">
        <f>SUMIFS('апрель 2024'!$G$4:$G$1689,'апрель 2024'!$D$4:$D$1689,$B9,'апрель 2024'!$J$4:$J$1689,AD$1)</f>
        <v>0</v>
      </c>
      <c r="AE9" s="80">
        <f>SUMIFS('апрель 2024'!$G$4:$G$1689,'апрель 2024'!$D$4:$D$1689,$B9,'апрель 2024'!$J$4:$J$1689,AE$1)</f>
        <v>0</v>
      </c>
      <c r="AF9" s="80">
        <f>SUMIFS('апрель 2024'!$G$4:$G$1689,'апрель 2024'!$D$4:$D$1689,$B9,'апрель 2024'!$J$4:$J$1689,AF$1)</f>
        <v>0</v>
      </c>
      <c r="AG9" s="80">
        <f>SUMIFS('апрель 2024'!$G$4:$G$1689,'апрель 2024'!$D$4:$D$1689,$B9,'апрель 2024'!$J$4:$J$1689,AG$1)</f>
        <v>0</v>
      </c>
      <c r="AH9" s="80">
        <f>SUMIFS('апрель 2024'!$G$4:$G$1689,'апрель 2024'!$D$4:$D$1689,$B9,'апрель 2024'!$J$4:$J$1689,AH$1)</f>
        <v>0</v>
      </c>
      <c r="AI9" s="21">
        <f t="shared" si="1"/>
        <v>2520</v>
      </c>
    </row>
    <row r="10" spans="2:35" ht="15" customHeight="1" x14ac:dyDescent="0.25">
      <c r="B10" s="81" t="s">
        <v>289</v>
      </c>
      <c r="C10" s="82">
        <v>25</v>
      </c>
      <c r="D10" s="80">
        <f>SUMIFS('апрель 2024'!$G$4:$G$1689,'апрель 2024'!$D$4:$D$1689,$B10,'апрель 2024'!$J$4:$J$1689,D$1)</f>
        <v>0</v>
      </c>
      <c r="E10" s="80">
        <f>SUMIFS('апрель 2024'!$G$4:$G$1689,'апрель 2024'!$D$4:$D$1689,$B10,'апрель 2024'!$J$4:$J$1689,E$1)</f>
        <v>0</v>
      </c>
      <c r="F10" s="80">
        <f>SUMIFS('апрель 2024'!$G$4:$G$1689,'апрель 2024'!$D$4:$D$1689,$B10,'апрель 2024'!$J$4:$J$1689,F$1)</f>
        <v>0</v>
      </c>
      <c r="G10" s="80">
        <f>SUMIFS('апрель 2024'!$G$4:$G$1689,'апрель 2024'!$D$4:$D$1689,$B10,'апрель 2024'!$J$4:$J$1689,G$1)</f>
        <v>0</v>
      </c>
      <c r="H10" s="80">
        <f>SUMIFS('апрель 2024'!$G$4:$G$1689,'апрель 2024'!$D$4:$D$1689,$B10,'апрель 2024'!$J$4:$J$1689,H$1)</f>
        <v>0</v>
      </c>
      <c r="I10" s="80">
        <f>SUMIFS('апрель 2024'!$G$4:$G$1689,'апрель 2024'!$D$4:$D$1689,$B10,'апрель 2024'!$J$4:$J$1689,I$1)</f>
        <v>0</v>
      </c>
      <c r="J10" s="80">
        <f>SUMIFS('апрель 2024'!$G$4:$G$1689,'апрель 2024'!$D$4:$D$1689,$B10,'апрель 2024'!$J$4:$J$1689,J$1)</f>
        <v>0</v>
      </c>
      <c r="K10" s="80">
        <f>SUMIFS('апрель 2024'!$G$4:$G$1689,'апрель 2024'!$D$4:$D$1689,$B10,'апрель 2024'!$J$4:$J$1689,K$1)</f>
        <v>0</v>
      </c>
      <c r="L10" s="80">
        <f>SUMIFS('апрель 2024'!$G$4:$G$1689,'апрель 2024'!$D$4:$D$1689,$B10,'апрель 2024'!$J$4:$J$1689,L$1)</f>
        <v>0</v>
      </c>
      <c r="M10" s="80">
        <f>SUMIFS('апрель 2024'!$G$4:$G$1689,'апрель 2024'!$D$4:$D$1689,$B10,'апрель 2024'!$J$4:$J$1689,M$1)</f>
        <v>0</v>
      </c>
      <c r="N10" s="80">
        <f>SUMIFS('апрель 2024'!$G$4:$G$1689,'апрель 2024'!$D$4:$D$1689,$B10,'апрель 2024'!$J$4:$J$1689,N$1)</f>
        <v>0</v>
      </c>
      <c r="O10" s="80">
        <f>SUMIFS('апрель 2024'!$G$4:$G$1689,'апрель 2024'!$D$4:$D$1689,$B10,'апрель 2024'!$J$4:$J$1689,O$1)</f>
        <v>0</v>
      </c>
      <c r="P10" s="80">
        <f>SUMIFS('апрель 2024'!$G$4:$G$1689,'апрель 2024'!$D$4:$D$1689,$B10,'апрель 2024'!$J$4:$J$1689,P$1)</f>
        <v>0</v>
      </c>
      <c r="Q10" s="80">
        <f>SUMIFS('апрель 2024'!$G$4:$G$1689,'апрель 2024'!$D$4:$D$1689,$B10,'апрель 2024'!$J$4:$J$1689,Q$1)</f>
        <v>0</v>
      </c>
      <c r="R10" s="80">
        <f>SUMIFS('апрель 2024'!$G$4:$G$1689,'апрель 2024'!$D$4:$D$1689,$B10,'апрель 2024'!$J$4:$J$1689,R$1)</f>
        <v>0</v>
      </c>
      <c r="S10" s="80">
        <f>SUMIFS('апрель 2024'!$G$4:$G$1689,'апрель 2024'!$D$4:$D$1689,$B10,'апрель 2024'!$J$4:$J$1689,S$1)</f>
        <v>1200</v>
      </c>
      <c r="T10" s="80">
        <f>SUMIFS('апрель 2024'!$G$4:$G$1689,'апрель 2024'!$D$4:$D$1689,$B10,'апрель 2024'!$J$4:$J$1689,T$1)</f>
        <v>800</v>
      </c>
      <c r="U10" s="80">
        <f>SUMIFS('апрель 2024'!$G$4:$G$1689,'апрель 2024'!$D$4:$D$1689,$B10,'апрель 2024'!$J$4:$J$1689,U$1)</f>
        <v>0</v>
      </c>
      <c r="V10" s="80">
        <f>SUMIFS('апрель 2024'!$G$4:$G$1689,'апрель 2024'!$D$4:$D$1689,$B10,'апрель 2024'!$J$4:$J$1689,V$1)</f>
        <v>800</v>
      </c>
      <c r="W10" s="80">
        <f>SUMIFS('апрель 2024'!$G$4:$G$1689,'апрель 2024'!$D$4:$D$1689,$B10,'апрель 2024'!$J$4:$J$1689,W$1)</f>
        <v>0</v>
      </c>
      <c r="X10" s="80">
        <f>SUMIFS('апрель 2024'!$G$4:$G$1689,'апрель 2024'!$D$4:$D$1689,$B10,'апрель 2024'!$J$4:$J$1689,X$1)</f>
        <v>0</v>
      </c>
      <c r="Y10" s="80">
        <f>SUMIFS('апрель 2024'!$G$4:$G$1689,'апрель 2024'!$D$4:$D$1689,$B10,'апрель 2024'!$J$4:$J$1689,Y$1)</f>
        <v>800</v>
      </c>
      <c r="Z10" s="80">
        <f>SUMIFS('апрель 2024'!$G$4:$G$1689,'апрель 2024'!$D$4:$D$1689,$B10,'апрель 2024'!$J$4:$J$1689,Z$1)</f>
        <v>0</v>
      </c>
      <c r="AA10" s="80">
        <f>SUMIFS('апрель 2024'!$G$4:$G$1689,'апрель 2024'!$D$4:$D$1689,$B10,'апрель 2024'!$J$4:$J$1689,AA$1)</f>
        <v>0</v>
      </c>
      <c r="AB10" s="80">
        <f>SUMIFS('апрель 2024'!$G$4:$G$1689,'апрель 2024'!$D$4:$D$1689,$B10,'апрель 2024'!$J$4:$J$1689,AB$1)</f>
        <v>0</v>
      </c>
      <c r="AC10" s="80">
        <f>SUMIFS('апрель 2024'!$G$4:$G$1689,'апрель 2024'!$D$4:$D$1689,$B10,'апрель 2024'!$J$4:$J$1689,AC$1)</f>
        <v>0</v>
      </c>
      <c r="AD10" s="80">
        <f>SUMIFS('апрель 2024'!$G$4:$G$1689,'апрель 2024'!$D$4:$D$1689,$B10,'апрель 2024'!$J$4:$J$1689,AD$1)</f>
        <v>0</v>
      </c>
      <c r="AE10" s="80">
        <f>SUMIFS('апрель 2024'!$G$4:$G$1689,'апрель 2024'!$D$4:$D$1689,$B10,'апрель 2024'!$J$4:$J$1689,AE$1)</f>
        <v>0</v>
      </c>
      <c r="AF10" s="80">
        <f>SUMIFS('апрель 2024'!$G$4:$G$1689,'апрель 2024'!$D$4:$D$1689,$B10,'апрель 2024'!$J$4:$J$1689,AF$1)</f>
        <v>0</v>
      </c>
      <c r="AG10" s="80">
        <f>SUMIFS('апрель 2024'!$G$4:$G$1689,'апрель 2024'!$D$4:$D$1689,$B10,'апрель 2024'!$J$4:$J$1689,AG$1)</f>
        <v>0</v>
      </c>
      <c r="AH10" s="80">
        <f>SUMIFS('апрель 2024'!$G$4:$G$1689,'апрель 2024'!$D$4:$D$1689,$B10,'апрель 2024'!$J$4:$J$1689,AH$1)</f>
        <v>0</v>
      </c>
      <c r="AI10" s="21">
        <f t="shared" si="1"/>
        <v>3600</v>
      </c>
    </row>
    <row r="11" spans="2:35" ht="15" customHeight="1" x14ac:dyDescent="0.25">
      <c r="B11" s="84" t="s">
        <v>291</v>
      </c>
      <c r="C11" s="85">
        <v>22.68</v>
      </c>
      <c r="D11" s="80">
        <f>SUMIFS('апрель 2024'!$G$4:$G$1689,'апрель 2024'!$D$4:$D$1689,$B11,'апрель 2024'!$J$4:$J$1689,D$1)</f>
        <v>0</v>
      </c>
      <c r="E11" s="80">
        <f>SUMIFS('апрель 2024'!$G$4:$G$1689,'апрель 2024'!$D$4:$D$1689,$B11,'апрель 2024'!$J$4:$J$1689,E$1)</f>
        <v>0</v>
      </c>
      <c r="F11" s="80">
        <f>SUMIFS('апрель 2024'!$G$4:$G$1689,'апрель 2024'!$D$4:$D$1689,$B11,'апрель 2024'!$J$4:$J$1689,F$1)</f>
        <v>0</v>
      </c>
      <c r="G11" s="80">
        <f>SUMIFS('апрель 2024'!$G$4:$G$1689,'апрель 2024'!$D$4:$D$1689,$B11,'апрель 2024'!$J$4:$J$1689,G$1)</f>
        <v>700</v>
      </c>
      <c r="H11" s="80">
        <f>SUMIFS('апрель 2024'!$G$4:$G$1689,'апрель 2024'!$D$4:$D$1689,$B11,'апрель 2024'!$J$4:$J$1689,H$1)</f>
        <v>0</v>
      </c>
      <c r="I11" s="80">
        <f>SUMIFS('апрель 2024'!$G$4:$G$1689,'апрель 2024'!$D$4:$D$1689,$B11,'апрель 2024'!$J$4:$J$1689,I$1)</f>
        <v>0</v>
      </c>
      <c r="J11" s="80">
        <f>SUMIFS('апрель 2024'!$G$4:$G$1689,'апрель 2024'!$D$4:$D$1689,$B11,'апрель 2024'!$J$4:$J$1689,J$1)</f>
        <v>0</v>
      </c>
      <c r="K11" s="80">
        <f>SUMIFS('апрель 2024'!$G$4:$G$1689,'апрель 2024'!$D$4:$D$1689,$B11,'апрель 2024'!$J$4:$J$1689,K$1)</f>
        <v>0</v>
      </c>
      <c r="L11" s="80">
        <f>SUMIFS('апрель 2024'!$G$4:$G$1689,'апрель 2024'!$D$4:$D$1689,$B11,'апрель 2024'!$J$4:$J$1689,L$1)</f>
        <v>0</v>
      </c>
      <c r="M11" s="80">
        <f>SUMIFS('апрель 2024'!$G$4:$G$1689,'апрель 2024'!$D$4:$D$1689,$B11,'апрель 2024'!$J$4:$J$1689,M$1)</f>
        <v>0</v>
      </c>
      <c r="N11" s="80">
        <f>SUMIFS('апрель 2024'!$G$4:$G$1689,'апрель 2024'!$D$4:$D$1689,$B11,'апрель 2024'!$J$4:$J$1689,N$1)</f>
        <v>700</v>
      </c>
      <c r="O11" s="80">
        <f>SUMIFS('апрель 2024'!$G$4:$G$1689,'апрель 2024'!$D$4:$D$1689,$B11,'апрель 2024'!$J$4:$J$1689,O$1)</f>
        <v>0</v>
      </c>
      <c r="P11" s="80">
        <f>SUMIFS('апрель 2024'!$G$4:$G$1689,'апрель 2024'!$D$4:$D$1689,$B11,'апрель 2024'!$J$4:$J$1689,P$1)</f>
        <v>0</v>
      </c>
      <c r="Q11" s="80">
        <f>SUMIFS('апрель 2024'!$G$4:$G$1689,'апрель 2024'!$D$4:$D$1689,$B11,'апрель 2024'!$J$4:$J$1689,Q$1)</f>
        <v>0</v>
      </c>
      <c r="R11" s="80">
        <f>SUMIFS('апрель 2024'!$G$4:$G$1689,'апрель 2024'!$D$4:$D$1689,$B11,'апрель 2024'!$J$4:$J$1689,R$1)</f>
        <v>0</v>
      </c>
      <c r="S11" s="80">
        <f>SUMIFS('апрель 2024'!$G$4:$G$1689,'апрель 2024'!$D$4:$D$1689,$B11,'апрель 2024'!$J$4:$J$1689,S$1)</f>
        <v>0</v>
      </c>
      <c r="T11" s="80">
        <f>SUMIFS('апрель 2024'!$G$4:$G$1689,'апрель 2024'!$D$4:$D$1689,$B11,'апрель 2024'!$J$4:$J$1689,T$1)</f>
        <v>0</v>
      </c>
      <c r="U11" s="80">
        <f>SUMIFS('апрель 2024'!$G$4:$G$1689,'апрель 2024'!$D$4:$D$1689,$B11,'апрель 2024'!$J$4:$J$1689,U$1)</f>
        <v>700</v>
      </c>
      <c r="V11" s="80">
        <f>SUMIFS('апрель 2024'!$G$4:$G$1689,'апрель 2024'!$D$4:$D$1689,$B11,'апрель 2024'!$J$4:$J$1689,V$1)</f>
        <v>0</v>
      </c>
      <c r="W11" s="80">
        <f>SUMIFS('апрель 2024'!$G$4:$G$1689,'апрель 2024'!$D$4:$D$1689,$B11,'апрель 2024'!$J$4:$J$1689,W$1)</f>
        <v>0</v>
      </c>
      <c r="X11" s="80">
        <f>SUMIFS('апрель 2024'!$G$4:$G$1689,'апрель 2024'!$D$4:$D$1689,$B11,'апрель 2024'!$J$4:$J$1689,X$1)</f>
        <v>0</v>
      </c>
      <c r="Y11" s="80">
        <f>SUMIFS('апрель 2024'!$G$4:$G$1689,'апрель 2024'!$D$4:$D$1689,$B11,'апрель 2024'!$J$4:$J$1689,Y$1)</f>
        <v>0</v>
      </c>
      <c r="Z11" s="80">
        <f>SUMIFS('апрель 2024'!$G$4:$G$1689,'апрель 2024'!$D$4:$D$1689,$B11,'апрель 2024'!$J$4:$J$1689,Z$1)</f>
        <v>0</v>
      </c>
      <c r="AA11" s="80">
        <f>SUMIFS('апрель 2024'!$G$4:$G$1689,'апрель 2024'!$D$4:$D$1689,$B11,'апрель 2024'!$J$4:$J$1689,AA$1)</f>
        <v>0</v>
      </c>
      <c r="AB11" s="80">
        <f>SUMIFS('апрель 2024'!$G$4:$G$1689,'апрель 2024'!$D$4:$D$1689,$B11,'апрель 2024'!$J$4:$J$1689,AB$1)</f>
        <v>0</v>
      </c>
      <c r="AC11" s="80">
        <f>SUMIFS('апрель 2024'!$G$4:$G$1689,'апрель 2024'!$D$4:$D$1689,$B11,'апрель 2024'!$J$4:$J$1689,AC$1)</f>
        <v>0</v>
      </c>
      <c r="AD11" s="80">
        <f>SUMIFS('апрель 2024'!$G$4:$G$1689,'апрель 2024'!$D$4:$D$1689,$B11,'апрель 2024'!$J$4:$J$1689,AD$1)</f>
        <v>875</v>
      </c>
      <c r="AE11" s="80">
        <f>SUMIFS('апрель 2024'!$G$4:$G$1689,'апрель 2024'!$D$4:$D$1689,$B11,'апрель 2024'!$J$4:$J$1689,AE$1)</f>
        <v>0</v>
      </c>
      <c r="AF11" s="80">
        <f>SUMIFS('апрель 2024'!$G$4:$G$1689,'апрель 2024'!$D$4:$D$1689,$B11,'апрель 2024'!$J$4:$J$1689,AF$1)</f>
        <v>0</v>
      </c>
      <c r="AG11" s="80">
        <f>SUMIFS('апрель 2024'!$G$4:$G$1689,'апрель 2024'!$D$4:$D$1689,$B11,'апрель 2024'!$J$4:$J$1689,AG$1)</f>
        <v>0</v>
      </c>
      <c r="AH11" s="80">
        <f>SUMIFS('апрель 2024'!$G$4:$G$1689,'апрель 2024'!$D$4:$D$1689,$B11,'апрель 2024'!$J$4:$J$1689,AH$1)</f>
        <v>0</v>
      </c>
      <c r="AI11" s="21">
        <f t="shared" si="1"/>
        <v>2975</v>
      </c>
    </row>
    <row r="12" spans="2:35" ht="15" customHeight="1" x14ac:dyDescent="0.25">
      <c r="B12" s="84" t="s">
        <v>293</v>
      </c>
      <c r="C12" s="85">
        <v>22.68</v>
      </c>
      <c r="D12" s="80">
        <f>SUMIFS('апрель 2024'!$G$4:$G$1689,'апрель 2024'!$D$4:$D$1689,$B12,'апрель 2024'!$J$4:$J$1689,D$1)</f>
        <v>0</v>
      </c>
      <c r="E12" s="80">
        <f>SUMIFS('апрель 2024'!$G$4:$G$1689,'апрель 2024'!$D$4:$D$1689,$B12,'апрель 2024'!$J$4:$J$1689,E$1)</f>
        <v>0</v>
      </c>
      <c r="F12" s="80">
        <f>SUMIFS('апрель 2024'!$G$4:$G$1689,'апрель 2024'!$D$4:$D$1689,$B12,'апрель 2024'!$J$4:$J$1689,F$1)</f>
        <v>0</v>
      </c>
      <c r="G12" s="80">
        <f>SUMIFS('апрель 2024'!$G$4:$G$1689,'апрель 2024'!$D$4:$D$1689,$B12,'апрель 2024'!$J$4:$J$1689,G$1)</f>
        <v>0</v>
      </c>
      <c r="H12" s="80">
        <f>SUMIFS('апрель 2024'!$G$4:$G$1689,'апрель 2024'!$D$4:$D$1689,$B12,'апрель 2024'!$J$4:$J$1689,H$1)</f>
        <v>0</v>
      </c>
      <c r="I12" s="80">
        <f>SUMIFS('апрель 2024'!$G$4:$G$1689,'апрель 2024'!$D$4:$D$1689,$B12,'апрель 2024'!$J$4:$J$1689,I$1)</f>
        <v>0</v>
      </c>
      <c r="J12" s="80">
        <f>SUMIFS('апрель 2024'!$G$4:$G$1689,'апрель 2024'!$D$4:$D$1689,$B12,'апрель 2024'!$J$4:$J$1689,J$1)</f>
        <v>0</v>
      </c>
      <c r="K12" s="80">
        <f>SUMIFS('апрель 2024'!$G$4:$G$1689,'апрель 2024'!$D$4:$D$1689,$B12,'апрель 2024'!$J$4:$J$1689,K$1)</f>
        <v>0</v>
      </c>
      <c r="L12" s="80">
        <f>SUMIFS('апрель 2024'!$G$4:$G$1689,'апрель 2024'!$D$4:$D$1689,$B12,'апрель 2024'!$J$4:$J$1689,L$1)</f>
        <v>0</v>
      </c>
      <c r="M12" s="80">
        <f>SUMIFS('апрель 2024'!$G$4:$G$1689,'апрель 2024'!$D$4:$D$1689,$B12,'апрель 2024'!$J$4:$J$1689,M$1)</f>
        <v>0</v>
      </c>
      <c r="N12" s="80">
        <f>SUMIFS('апрель 2024'!$G$4:$G$1689,'апрель 2024'!$D$4:$D$1689,$B12,'апрель 2024'!$J$4:$J$1689,N$1)</f>
        <v>0</v>
      </c>
      <c r="O12" s="80">
        <f>SUMIFS('апрель 2024'!$G$4:$G$1689,'апрель 2024'!$D$4:$D$1689,$B12,'апрель 2024'!$J$4:$J$1689,O$1)</f>
        <v>0</v>
      </c>
      <c r="P12" s="80">
        <f>SUMIFS('апрель 2024'!$G$4:$G$1689,'апрель 2024'!$D$4:$D$1689,$B12,'апрель 2024'!$J$4:$J$1689,P$1)</f>
        <v>0</v>
      </c>
      <c r="Q12" s="80">
        <f>SUMIFS('апрель 2024'!$G$4:$G$1689,'апрель 2024'!$D$4:$D$1689,$B12,'апрель 2024'!$J$4:$J$1689,Q$1)</f>
        <v>0</v>
      </c>
      <c r="R12" s="80">
        <f>SUMIFS('апрель 2024'!$G$4:$G$1689,'апрель 2024'!$D$4:$D$1689,$B12,'апрель 2024'!$J$4:$J$1689,R$1)</f>
        <v>0</v>
      </c>
      <c r="S12" s="80">
        <f>SUMIFS('апрель 2024'!$G$4:$G$1689,'апрель 2024'!$D$4:$D$1689,$B12,'апрель 2024'!$J$4:$J$1689,S$1)</f>
        <v>0</v>
      </c>
      <c r="T12" s="80">
        <f>SUMIFS('апрель 2024'!$G$4:$G$1689,'апрель 2024'!$D$4:$D$1689,$B12,'апрель 2024'!$J$4:$J$1689,T$1)</f>
        <v>0</v>
      </c>
      <c r="U12" s="80">
        <f>SUMIFS('апрель 2024'!$G$4:$G$1689,'апрель 2024'!$D$4:$D$1689,$B12,'апрель 2024'!$J$4:$J$1689,U$1)</f>
        <v>0</v>
      </c>
      <c r="V12" s="80">
        <f>SUMIFS('апрель 2024'!$G$4:$G$1689,'апрель 2024'!$D$4:$D$1689,$B12,'апрель 2024'!$J$4:$J$1689,V$1)</f>
        <v>0</v>
      </c>
      <c r="W12" s="80">
        <f>SUMIFS('апрель 2024'!$G$4:$G$1689,'апрель 2024'!$D$4:$D$1689,$B12,'апрель 2024'!$J$4:$J$1689,W$1)</f>
        <v>0</v>
      </c>
      <c r="X12" s="80">
        <f>SUMIFS('апрель 2024'!$G$4:$G$1689,'апрель 2024'!$D$4:$D$1689,$B12,'апрель 2024'!$J$4:$J$1689,X$1)</f>
        <v>0</v>
      </c>
      <c r="Y12" s="80">
        <f>SUMIFS('апрель 2024'!$G$4:$G$1689,'апрель 2024'!$D$4:$D$1689,$B12,'апрель 2024'!$J$4:$J$1689,Y$1)</f>
        <v>0</v>
      </c>
      <c r="Z12" s="80">
        <f>SUMIFS('апрель 2024'!$G$4:$G$1689,'апрель 2024'!$D$4:$D$1689,$B12,'апрель 2024'!$J$4:$J$1689,Z$1)</f>
        <v>0</v>
      </c>
      <c r="AA12" s="80">
        <f>SUMIFS('апрель 2024'!$G$4:$G$1689,'апрель 2024'!$D$4:$D$1689,$B12,'апрель 2024'!$J$4:$J$1689,AA$1)</f>
        <v>0</v>
      </c>
      <c r="AB12" s="80">
        <f>SUMIFS('апрель 2024'!$G$4:$G$1689,'апрель 2024'!$D$4:$D$1689,$B12,'апрель 2024'!$J$4:$J$1689,AB$1)</f>
        <v>0</v>
      </c>
      <c r="AC12" s="80">
        <f>SUMIFS('апрель 2024'!$G$4:$G$1689,'апрель 2024'!$D$4:$D$1689,$B12,'апрель 2024'!$J$4:$J$1689,AC$1)</f>
        <v>0</v>
      </c>
      <c r="AD12" s="80">
        <f>SUMIFS('апрель 2024'!$G$4:$G$1689,'апрель 2024'!$D$4:$D$1689,$B12,'апрель 2024'!$J$4:$J$1689,AD$1)</f>
        <v>0</v>
      </c>
      <c r="AE12" s="80">
        <f>SUMIFS('апрель 2024'!$G$4:$G$1689,'апрель 2024'!$D$4:$D$1689,$B12,'апрель 2024'!$J$4:$J$1689,AE$1)</f>
        <v>0</v>
      </c>
      <c r="AF12" s="80">
        <f>SUMIFS('апрель 2024'!$G$4:$G$1689,'апрель 2024'!$D$4:$D$1689,$B12,'апрель 2024'!$J$4:$J$1689,AF$1)</f>
        <v>0</v>
      </c>
      <c r="AG12" s="80">
        <f>SUMIFS('апрель 2024'!$G$4:$G$1689,'апрель 2024'!$D$4:$D$1689,$B12,'апрель 2024'!$J$4:$J$1689,AG$1)</f>
        <v>0</v>
      </c>
      <c r="AH12" s="80">
        <f>SUMIFS('апрель 2024'!$G$4:$G$1689,'апрель 2024'!$D$4:$D$1689,$B12,'апрель 2024'!$J$4:$J$1689,AH$1)</f>
        <v>0</v>
      </c>
      <c r="AI12" s="21">
        <f t="shared" si="1"/>
        <v>0</v>
      </c>
    </row>
    <row r="13" spans="2:35" ht="15" customHeight="1" x14ac:dyDescent="0.25">
      <c r="B13" s="84" t="s">
        <v>1043</v>
      </c>
      <c r="C13" s="85">
        <v>25</v>
      </c>
      <c r="D13" s="80">
        <f>SUMIFS('апрель 2024'!$G$4:$G$1689,'апрель 2024'!$D$4:$D$1689,$B13,'апрель 2024'!$J$4:$J$1689,D$1)</f>
        <v>0</v>
      </c>
      <c r="E13" s="80">
        <f>SUMIFS('апрель 2024'!$G$4:$G$1689,'апрель 2024'!$D$4:$D$1689,$B13,'апрель 2024'!$J$4:$J$1689,E$1)</f>
        <v>0</v>
      </c>
      <c r="F13" s="80">
        <f>SUMIFS('апрель 2024'!$G$4:$G$1689,'апрель 2024'!$D$4:$D$1689,$B13,'апрель 2024'!$J$4:$J$1689,F$1)</f>
        <v>0</v>
      </c>
      <c r="G13" s="80">
        <f>SUMIFS('апрель 2024'!$G$4:$G$1689,'апрель 2024'!$D$4:$D$1689,$B13,'апрель 2024'!$J$4:$J$1689,G$1)</f>
        <v>0</v>
      </c>
      <c r="H13" s="80">
        <f>SUMIFS('апрель 2024'!$G$4:$G$1689,'апрель 2024'!$D$4:$D$1689,$B13,'апрель 2024'!$J$4:$J$1689,H$1)</f>
        <v>0</v>
      </c>
      <c r="I13" s="80">
        <f>SUMIFS('апрель 2024'!$G$4:$G$1689,'апрель 2024'!$D$4:$D$1689,$B13,'апрель 2024'!$J$4:$J$1689,I$1)</f>
        <v>0</v>
      </c>
      <c r="J13" s="80">
        <f>SUMIFS('апрель 2024'!$G$4:$G$1689,'апрель 2024'!$D$4:$D$1689,$B13,'апрель 2024'!$J$4:$J$1689,J$1)</f>
        <v>0</v>
      </c>
      <c r="K13" s="80">
        <f>SUMIFS('апрель 2024'!$G$4:$G$1689,'апрель 2024'!$D$4:$D$1689,$B13,'апрель 2024'!$J$4:$J$1689,K$1)</f>
        <v>0</v>
      </c>
      <c r="L13" s="80">
        <f>SUMIFS('апрель 2024'!$G$4:$G$1689,'апрель 2024'!$D$4:$D$1689,$B13,'апрель 2024'!$J$4:$J$1689,L$1)</f>
        <v>0</v>
      </c>
      <c r="M13" s="80">
        <f>SUMIFS('апрель 2024'!$G$4:$G$1689,'апрель 2024'!$D$4:$D$1689,$B13,'апрель 2024'!$J$4:$J$1689,M$1)</f>
        <v>0</v>
      </c>
      <c r="N13" s="80">
        <f>SUMIFS('апрель 2024'!$G$4:$G$1689,'апрель 2024'!$D$4:$D$1689,$B13,'апрель 2024'!$J$4:$J$1689,N$1)</f>
        <v>0</v>
      </c>
      <c r="O13" s="80">
        <f>SUMIFS('апрель 2024'!$G$4:$G$1689,'апрель 2024'!$D$4:$D$1689,$B13,'апрель 2024'!$J$4:$J$1689,O$1)</f>
        <v>0</v>
      </c>
      <c r="P13" s="80">
        <f>SUMIFS('апрель 2024'!$G$4:$G$1689,'апрель 2024'!$D$4:$D$1689,$B13,'апрель 2024'!$J$4:$J$1689,P$1)</f>
        <v>0</v>
      </c>
      <c r="Q13" s="80">
        <f>SUMIFS('апрель 2024'!$G$4:$G$1689,'апрель 2024'!$D$4:$D$1689,$B13,'апрель 2024'!$J$4:$J$1689,Q$1)</f>
        <v>0</v>
      </c>
      <c r="R13" s="80">
        <f>SUMIFS('апрель 2024'!$G$4:$G$1689,'апрель 2024'!$D$4:$D$1689,$B13,'апрель 2024'!$J$4:$J$1689,R$1)</f>
        <v>0</v>
      </c>
      <c r="S13" s="80">
        <f>SUMIFS('апрель 2024'!$G$4:$G$1689,'апрель 2024'!$D$4:$D$1689,$B13,'апрель 2024'!$J$4:$J$1689,S$1)</f>
        <v>0</v>
      </c>
      <c r="T13" s="80">
        <f>SUMIFS('апрель 2024'!$G$4:$G$1689,'апрель 2024'!$D$4:$D$1689,$B13,'апрель 2024'!$J$4:$J$1689,T$1)</f>
        <v>0</v>
      </c>
      <c r="U13" s="80">
        <f>SUMIFS('апрель 2024'!$G$4:$G$1689,'апрель 2024'!$D$4:$D$1689,$B13,'апрель 2024'!$J$4:$J$1689,U$1)</f>
        <v>0</v>
      </c>
      <c r="V13" s="80">
        <f>SUMIFS('апрель 2024'!$G$4:$G$1689,'апрель 2024'!$D$4:$D$1689,$B13,'апрель 2024'!$J$4:$J$1689,V$1)</f>
        <v>0</v>
      </c>
      <c r="W13" s="80">
        <f>SUMIFS('апрель 2024'!$G$4:$G$1689,'апрель 2024'!$D$4:$D$1689,$B13,'апрель 2024'!$J$4:$J$1689,W$1)</f>
        <v>0</v>
      </c>
      <c r="X13" s="80">
        <f>SUMIFS('апрель 2024'!$G$4:$G$1689,'апрель 2024'!$D$4:$D$1689,$B13,'апрель 2024'!$J$4:$J$1689,X$1)</f>
        <v>0</v>
      </c>
      <c r="Y13" s="80">
        <f>SUMIFS('апрель 2024'!$G$4:$G$1689,'апрель 2024'!$D$4:$D$1689,$B13,'апрель 2024'!$J$4:$J$1689,Y$1)</f>
        <v>0</v>
      </c>
      <c r="Z13" s="80">
        <f>SUMIFS('апрель 2024'!$G$4:$G$1689,'апрель 2024'!$D$4:$D$1689,$B13,'апрель 2024'!$J$4:$J$1689,Z$1)</f>
        <v>0</v>
      </c>
      <c r="AA13" s="80">
        <f>SUMIFS('апрель 2024'!$G$4:$G$1689,'апрель 2024'!$D$4:$D$1689,$B13,'апрель 2024'!$J$4:$J$1689,AA$1)</f>
        <v>0</v>
      </c>
      <c r="AB13" s="80">
        <f>SUMIFS('апрель 2024'!$G$4:$G$1689,'апрель 2024'!$D$4:$D$1689,$B13,'апрель 2024'!$J$4:$J$1689,AB$1)</f>
        <v>0</v>
      </c>
      <c r="AC13" s="80">
        <f>SUMIFS('апрель 2024'!$G$4:$G$1689,'апрель 2024'!$D$4:$D$1689,$B13,'апрель 2024'!$J$4:$J$1689,AC$1)</f>
        <v>0</v>
      </c>
      <c r="AD13" s="80">
        <f>SUMIFS('апрель 2024'!$G$4:$G$1689,'апрель 2024'!$D$4:$D$1689,$B13,'апрель 2024'!$J$4:$J$1689,AD$1)</f>
        <v>0</v>
      </c>
      <c r="AE13" s="80">
        <f>SUMIFS('апрель 2024'!$G$4:$G$1689,'апрель 2024'!$D$4:$D$1689,$B13,'апрель 2024'!$J$4:$J$1689,AE$1)</f>
        <v>0</v>
      </c>
      <c r="AF13" s="80">
        <f>SUMIFS('апрель 2024'!$G$4:$G$1689,'апрель 2024'!$D$4:$D$1689,$B13,'апрель 2024'!$J$4:$J$1689,AF$1)</f>
        <v>0</v>
      </c>
      <c r="AG13" s="80">
        <f>SUMIFS('апрель 2024'!$G$4:$G$1689,'апрель 2024'!$D$4:$D$1689,$B13,'апрель 2024'!$J$4:$J$1689,AG$1)</f>
        <v>0</v>
      </c>
      <c r="AH13" s="80">
        <f>SUMIFS('апрель 2024'!$G$4:$G$1689,'апрель 2024'!$D$4:$D$1689,$B13,'апрель 2024'!$J$4:$J$1689,AH$1)</f>
        <v>0</v>
      </c>
      <c r="AI13" s="21">
        <f>SUM(D13:AH13)</f>
        <v>0</v>
      </c>
    </row>
    <row r="14" spans="2:35" ht="15" customHeight="1" x14ac:dyDescent="0.25">
      <c r="B14" s="84" t="s">
        <v>295</v>
      </c>
      <c r="C14" s="85">
        <v>22.7</v>
      </c>
      <c r="D14" s="80">
        <f>SUMIFS('апрель 2024'!$G$4:$G$1689,'апрель 2024'!$D$4:$D$1689,$B14,'апрель 2024'!$J$4:$J$1689,D$1)</f>
        <v>0</v>
      </c>
      <c r="E14" s="80">
        <f>SUMIFS('апрель 2024'!$G$4:$G$1689,'апрель 2024'!$D$4:$D$1689,$B14,'апрель 2024'!$J$4:$J$1689,E$1)</f>
        <v>0</v>
      </c>
      <c r="F14" s="80">
        <f>SUMIFS('апрель 2024'!$G$4:$G$1689,'апрель 2024'!$D$4:$D$1689,$B14,'апрель 2024'!$J$4:$J$1689,F$1)</f>
        <v>0</v>
      </c>
      <c r="G14" s="80">
        <f>SUMIFS('апрель 2024'!$G$4:$G$1689,'апрель 2024'!$D$4:$D$1689,$B14,'апрель 2024'!$J$4:$J$1689,G$1)</f>
        <v>0</v>
      </c>
      <c r="H14" s="80">
        <f>SUMIFS('апрель 2024'!$G$4:$G$1689,'апрель 2024'!$D$4:$D$1689,$B14,'апрель 2024'!$J$4:$J$1689,H$1)</f>
        <v>0</v>
      </c>
      <c r="I14" s="80">
        <f>SUMIFS('апрель 2024'!$G$4:$G$1689,'апрель 2024'!$D$4:$D$1689,$B14,'апрель 2024'!$J$4:$J$1689,I$1)</f>
        <v>0</v>
      </c>
      <c r="J14" s="80">
        <f>SUMIFS('апрель 2024'!$G$4:$G$1689,'апрель 2024'!$D$4:$D$1689,$B14,'апрель 2024'!$J$4:$J$1689,J$1)</f>
        <v>0</v>
      </c>
      <c r="K14" s="80">
        <f>SUMIFS('апрель 2024'!$G$4:$G$1689,'апрель 2024'!$D$4:$D$1689,$B14,'апрель 2024'!$J$4:$J$1689,K$1)</f>
        <v>0</v>
      </c>
      <c r="L14" s="80">
        <f>SUMIFS('апрель 2024'!$G$4:$G$1689,'апрель 2024'!$D$4:$D$1689,$B14,'апрель 2024'!$J$4:$J$1689,L$1)</f>
        <v>0</v>
      </c>
      <c r="M14" s="80">
        <f>SUMIFS('апрель 2024'!$G$4:$G$1689,'апрель 2024'!$D$4:$D$1689,$B14,'апрель 2024'!$J$4:$J$1689,M$1)</f>
        <v>0</v>
      </c>
      <c r="N14" s="80">
        <f>SUMIFS('апрель 2024'!$G$4:$G$1689,'апрель 2024'!$D$4:$D$1689,$B14,'апрель 2024'!$J$4:$J$1689,N$1)</f>
        <v>0</v>
      </c>
      <c r="O14" s="80">
        <f>SUMIFS('апрель 2024'!$G$4:$G$1689,'апрель 2024'!$D$4:$D$1689,$B14,'апрель 2024'!$J$4:$J$1689,O$1)</f>
        <v>0</v>
      </c>
      <c r="P14" s="80">
        <f>SUMIFS('апрель 2024'!$G$4:$G$1689,'апрель 2024'!$D$4:$D$1689,$B14,'апрель 2024'!$J$4:$J$1689,P$1)</f>
        <v>0</v>
      </c>
      <c r="Q14" s="80">
        <f>SUMIFS('апрель 2024'!$G$4:$G$1689,'апрель 2024'!$D$4:$D$1689,$B14,'апрель 2024'!$J$4:$J$1689,Q$1)</f>
        <v>0</v>
      </c>
      <c r="R14" s="80">
        <f>SUMIFS('апрель 2024'!$G$4:$G$1689,'апрель 2024'!$D$4:$D$1689,$B14,'апрель 2024'!$J$4:$J$1689,R$1)</f>
        <v>0</v>
      </c>
      <c r="S14" s="80">
        <f>SUMIFS('апрель 2024'!$G$4:$G$1689,'апрель 2024'!$D$4:$D$1689,$B14,'апрель 2024'!$J$4:$J$1689,S$1)</f>
        <v>0</v>
      </c>
      <c r="T14" s="80">
        <f>SUMIFS('апрель 2024'!$G$4:$G$1689,'апрель 2024'!$D$4:$D$1689,$B14,'апрель 2024'!$J$4:$J$1689,T$1)</f>
        <v>0</v>
      </c>
      <c r="U14" s="80">
        <f>SUMIFS('апрель 2024'!$G$4:$G$1689,'апрель 2024'!$D$4:$D$1689,$B14,'апрель 2024'!$J$4:$J$1689,U$1)</f>
        <v>0</v>
      </c>
      <c r="V14" s="80">
        <f>SUMIFS('апрель 2024'!$G$4:$G$1689,'апрель 2024'!$D$4:$D$1689,$B14,'апрель 2024'!$J$4:$J$1689,V$1)</f>
        <v>0</v>
      </c>
      <c r="W14" s="80">
        <f>SUMIFS('апрель 2024'!$G$4:$G$1689,'апрель 2024'!$D$4:$D$1689,$B14,'апрель 2024'!$J$4:$J$1689,W$1)</f>
        <v>0</v>
      </c>
      <c r="X14" s="80">
        <f>SUMIFS('апрель 2024'!$G$4:$G$1689,'апрель 2024'!$D$4:$D$1689,$B14,'апрель 2024'!$J$4:$J$1689,X$1)</f>
        <v>0</v>
      </c>
      <c r="Y14" s="80">
        <f>SUMIFS('апрель 2024'!$G$4:$G$1689,'апрель 2024'!$D$4:$D$1689,$B14,'апрель 2024'!$J$4:$J$1689,Y$1)</f>
        <v>0</v>
      </c>
      <c r="Z14" s="80">
        <f>SUMIFS('апрель 2024'!$G$4:$G$1689,'апрель 2024'!$D$4:$D$1689,$B14,'апрель 2024'!$J$4:$J$1689,Z$1)</f>
        <v>0</v>
      </c>
      <c r="AA14" s="80">
        <f>SUMIFS('апрель 2024'!$G$4:$G$1689,'апрель 2024'!$D$4:$D$1689,$B14,'апрель 2024'!$J$4:$J$1689,AA$1)</f>
        <v>0</v>
      </c>
      <c r="AB14" s="80">
        <f>SUMIFS('апрель 2024'!$G$4:$G$1689,'апрель 2024'!$D$4:$D$1689,$B14,'апрель 2024'!$J$4:$J$1689,AB$1)</f>
        <v>0</v>
      </c>
      <c r="AC14" s="80">
        <f>SUMIFS('апрель 2024'!$G$4:$G$1689,'апрель 2024'!$D$4:$D$1689,$B14,'апрель 2024'!$J$4:$J$1689,AC$1)</f>
        <v>0</v>
      </c>
      <c r="AD14" s="80">
        <f>SUMIFS('апрель 2024'!$G$4:$G$1689,'апрель 2024'!$D$4:$D$1689,$B14,'апрель 2024'!$J$4:$J$1689,AD$1)</f>
        <v>0</v>
      </c>
      <c r="AE14" s="80">
        <f>SUMIFS('апрель 2024'!$G$4:$G$1689,'апрель 2024'!$D$4:$D$1689,$B14,'апрель 2024'!$J$4:$J$1689,AE$1)</f>
        <v>0</v>
      </c>
      <c r="AF14" s="80">
        <f>SUMIFS('апрель 2024'!$G$4:$G$1689,'апрель 2024'!$D$4:$D$1689,$B14,'апрель 2024'!$J$4:$J$1689,AF$1)</f>
        <v>0</v>
      </c>
      <c r="AG14" s="80">
        <f>SUMIFS('апрель 2024'!$G$4:$G$1689,'апрель 2024'!$D$4:$D$1689,$B14,'апрель 2024'!$J$4:$J$1689,AG$1)</f>
        <v>0</v>
      </c>
      <c r="AH14" s="80">
        <f>SUMIFS('апрель 2024'!$G$4:$G$1689,'апрель 2024'!$D$4:$D$1689,$B14,'апрель 2024'!$J$4:$J$1689,AH$1)</f>
        <v>0</v>
      </c>
      <c r="AI14" s="21">
        <f t="shared" si="1"/>
        <v>0</v>
      </c>
    </row>
    <row r="15" spans="2:35" ht="15" customHeight="1" x14ac:dyDescent="0.25">
      <c r="B15" s="81" t="s">
        <v>297</v>
      </c>
      <c r="C15" s="82">
        <v>22.7</v>
      </c>
      <c r="D15" s="80">
        <f>SUMIFS('апрель 2024'!$G$4:$G$1689,'апрель 2024'!$D$4:$D$1689,$B15,'апрель 2024'!$J$4:$J$1689,D$1)</f>
        <v>0</v>
      </c>
      <c r="E15" s="80">
        <f>SUMIFS('апрель 2024'!$G$4:$G$1689,'апрель 2024'!$D$4:$D$1689,$B15,'апрель 2024'!$J$4:$J$1689,E$1)</f>
        <v>0</v>
      </c>
      <c r="F15" s="80">
        <f>SUMIFS('апрель 2024'!$G$4:$G$1689,'апрель 2024'!$D$4:$D$1689,$B15,'апрель 2024'!$J$4:$J$1689,F$1)</f>
        <v>0</v>
      </c>
      <c r="G15" s="80">
        <f>SUMIFS('апрель 2024'!$G$4:$G$1689,'апрель 2024'!$D$4:$D$1689,$B15,'апрель 2024'!$J$4:$J$1689,G$1)</f>
        <v>0</v>
      </c>
      <c r="H15" s="80">
        <f>SUMIFS('апрель 2024'!$G$4:$G$1689,'апрель 2024'!$D$4:$D$1689,$B15,'апрель 2024'!$J$4:$J$1689,H$1)</f>
        <v>0</v>
      </c>
      <c r="I15" s="80">
        <f>SUMIFS('апрель 2024'!$G$4:$G$1689,'апрель 2024'!$D$4:$D$1689,$B15,'апрель 2024'!$J$4:$J$1689,I$1)</f>
        <v>0</v>
      </c>
      <c r="J15" s="80">
        <f>SUMIFS('апрель 2024'!$G$4:$G$1689,'апрель 2024'!$D$4:$D$1689,$B15,'апрель 2024'!$J$4:$J$1689,J$1)</f>
        <v>0</v>
      </c>
      <c r="K15" s="80">
        <f>SUMIFS('апрель 2024'!$G$4:$G$1689,'апрель 2024'!$D$4:$D$1689,$B15,'апрель 2024'!$J$4:$J$1689,K$1)</f>
        <v>0</v>
      </c>
      <c r="L15" s="80">
        <f>SUMIFS('апрель 2024'!$G$4:$G$1689,'апрель 2024'!$D$4:$D$1689,$B15,'апрель 2024'!$J$4:$J$1689,L$1)</f>
        <v>0</v>
      </c>
      <c r="M15" s="80">
        <f>SUMIFS('апрель 2024'!$G$4:$G$1689,'апрель 2024'!$D$4:$D$1689,$B15,'апрель 2024'!$J$4:$J$1689,M$1)</f>
        <v>0</v>
      </c>
      <c r="N15" s="80">
        <f>SUMIFS('апрель 2024'!$G$4:$G$1689,'апрель 2024'!$D$4:$D$1689,$B15,'апрель 2024'!$J$4:$J$1689,N$1)</f>
        <v>0</v>
      </c>
      <c r="O15" s="80">
        <f>SUMIFS('апрель 2024'!$G$4:$G$1689,'апрель 2024'!$D$4:$D$1689,$B15,'апрель 2024'!$J$4:$J$1689,O$1)</f>
        <v>0</v>
      </c>
      <c r="P15" s="80">
        <f>SUMIFS('апрель 2024'!$G$4:$G$1689,'апрель 2024'!$D$4:$D$1689,$B15,'апрель 2024'!$J$4:$J$1689,P$1)</f>
        <v>0</v>
      </c>
      <c r="Q15" s="80">
        <f>SUMIFS('апрель 2024'!$G$4:$G$1689,'апрель 2024'!$D$4:$D$1689,$B15,'апрель 2024'!$J$4:$J$1689,Q$1)</f>
        <v>0</v>
      </c>
      <c r="R15" s="80">
        <f>SUMIFS('апрель 2024'!$G$4:$G$1689,'апрель 2024'!$D$4:$D$1689,$B15,'апрель 2024'!$J$4:$J$1689,R$1)</f>
        <v>0</v>
      </c>
      <c r="S15" s="80">
        <f>SUMIFS('апрель 2024'!$G$4:$G$1689,'апрель 2024'!$D$4:$D$1689,$B15,'апрель 2024'!$J$4:$J$1689,S$1)</f>
        <v>0</v>
      </c>
      <c r="T15" s="80">
        <f>SUMIFS('апрель 2024'!$G$4:$G$1689,'апрель 2024'!$D$4:$D$1689,$B15,'апрель 2024'!$J$4:$J$1689,T$1)</f>
        <v>0</v>
      </c>
      <c r="U15" s="80">
        <f>SUMIFS('апрель 2024'!$G$4:$G$1689,'апрель 2024'!$D$4:$D$1689,$B15,'апрель 2024'!$J$4:$J$1689,U$1)</f>
        <v>0</v>
      </c>
      <c r="V15" s="80">
        <f>SUMIFS('апрель 2024'!$G$4:$G$1689,'апрель 2024'!$D$4:$D$1689,$B15,'апрель 2024'!$J$4:$J$1689,V$1)</f>
        <v>0</v>
      </c>
      <c r="W15" s="80">
        <f>SUMIFS('апрель 2024'!$G$4:$G$1689,'апрель 2024'!$D$4:$D$1689,$B15,'апрель 2024'!$J$4:$J$1689,W$1)</f>
        <v>0</v>
      </c>
      <c r="X15" s="80">
        <f>SUMIFS('апрель 2024'!$G$4:$G$1689,'апрель 2024'!$D$4:$D$1689,$B15,'апрель 2024'!$J$4:$J$1689,X$1)</f>
        <v>0</v>
      </c>
      <c r="Y15" s="80">
        <f>SUMIFS('апрель 2024'!$G$4:$G$1689,'апрель 2024'!$D$4:$D$1689,$B15,'апрель 2024'!$J$4:$J$1689,Y$1)</f>
        <v>0</v>
      </c>
      <c r="Z15" s="80">
        <f>SUMIFS('апрель 2024'!$G$4:$G$1689,'апрель 2024'!$D$4:$D$1689,$B15,'апрель 2024'!$J$4:$J$1689,Z$1)</f>
        <v>0</v>
      </c>
      <c r="AA15" s="80">
        <f>SUMIFS('апрель 2024'!$G$4:$G$1689,'апрель 2024'!$D$4:$D$1689,$B15,'апрель 2024'!$J$4:$J$1689,AA$1)</f>
        <v>0</v>
      </c>
      <c r="AB15" s="80">
        <f>SUMIFS('апрель 2024'!$G$4:$G$1689,'апрель 2024'!$D$4:$D$1689,$B15,'апрель 2024'!$J$4:$J$1689,AB$1)</f>
        <v>0</v>
      </c>
      <c r="AC15" s="80">
        <f>SUMIFS('апрель 2024'!$G$4:$G$1689,'апрель 2024'!$D$4:$D$1689,$B15,'апрель 2024'!$J$4:$J$1689,AC$1)</f>
        <v>0</v>
      </c>
      <c r="AD15" s="80">
        <f>SUMIFS('апрель 2024'!$G$4:$G$1689,'апрель 2024'!$D$4:$D$1689,$B15,'апрель 2024'!$J$4:$J$1689,AD$1)</f>
        <v>0</v>
      </c>
      <c r="AE15" s="80">
        <f>SUMIFS('апрель 2024'!$G$4:$G$1689,'апрель 2024'!$D$4:$D$1689,$B15,'апрель 2024'!$J$4:$J$1689,AE$1)</f>
        <v>0</v>
      </c>
      <c r="AF15" s="80">
        <f>SUMIFS('апрель 2024'!$G$4:$G$1689,'апрель 2024'!$D$4:$D$1689,$B15,'апрель 2024'!$J$4:$J$1689,AF$1)</f>
        <v>0</v>
      </c>
      <c r="AG15" s="80">
        <f>SUMIFS('апрель 2024'!$G$4:$G$1689,'апрель 2024'!$D$4:$D$1689,$B15,'апрель 2024'!$J$4:$J$1689,AG$1)</f>
        <v>0</v>
      </c>
      <c r="AH15" s="80">
        <f>SUMIFS('апрель 2024'!$G$4:$G$1689,'апрель 2024'!$D$4:$D$1689,$B15,'апрель 2024'!$J$4:$J$1689,AH$1)</f>
        <v>0</v>
      </c>
      <c r="AI15" s="21">
        <f t="shared" si="1"/>
        <v>0</v>
      </c>
    </row>
    <row r="16" spans="2:35" ht="15" customHeight="1" x14ac:dyDescent="0.25">
      <c r="B16" s="84" t="s">
        <v>299</v>
      </c>
      <c r="C16" s="85">
        <v>22.7</v>
      </c>
      <c r="D16" s="80">
        <f>SUMIFS('апрель 2024'!$G$4:$G$1689,'апрель 2024'!$D$4:$D$1689,$B16,'апрель 2024'!$J$4:$J$1689,D$1)</f>
        <v>0</v>
      </c>
      <c r="E16" s="80">
        <f>SUMIFS('апрель 2024'!$G$4:$G$1689,'апрель 2024'!$D$4:$D$1689,$B16,'апрель 2024'!$J$4:$J$1689,E$1)</f>
        <v>0</v>
      </c>
      <c r="F16" s="80">
        <f>SUMIFS('апрель 2024'!$G$4:$G$1689,'апрель 2024'!$D$4:$D$1689,$B16,'апрель 2024'!$J$4:$J$1689,F$1)</f>
        <v>0</v>
      </c>
      <c r="G16" s="80">
        <f>SUMIFS('апрель 2024'!$G$4:$G$1689,'апрель 2024'!$D$4:$D$1689,$B16,'апрель 2024'!$J$4:$J$1689,G$1)</f>
        <v>0</v>
      </c>
      <c r="H16" s="80">
        <f>SUMIFS('апрель 2024'!$G$4:$G$1689,'апрель 2024'!$D$4:$D$1689,$B16,'апрель 2024'!$J$4:$J$1689,H$1)</f>
        <v>0</v>
      </c>
      <c r="I16" s="80">
        <f>SUMIFS('апрель 2024'!$G$4:$G$1689,'апрель 2024'!$D$4:$D$1689,$B16,'апрель 2024'!$J$4:$J$1689,I$1)</f>
        <v>0</v>
      </c>
      <c r="J16" s="80">
        <f>SUMIFS('апрель 2024'!$G$4:$G$1689,'апрель 2024'!$D$4:$D$1689,$B16,'апрель 2024'!$J$4:$J$1689,J$1)</f>
        <v>0</v>
      </c>
      <c r="K16" s="80">
        <f>SUMIFS('апрель 2024'!$G$4:$G$1689,'апрель 2024'!$D$4:$D$1689,$B16,'апрель 2024'!$J$4:$J$1689,K$1)</f>
        <v>0</v>
      </c>
      <c r="L16" s="80">
        <f>SUMIFS('апрель 2024'!$G$4:$G$1689,'апрель 2024'!$D$4:$D$1689,$B16,'апрель 2024'!$J$4:$J$1689,L$1)</f>
        <v>0</v>
      </c>
      <c r="M16" s="80">
        <f>SUMIFS('апрель 2024'!$G$4:$G$1689,'апрель 2024'!$D$4:$D$1689,$B16,'апрель 2024'!$J$4:$J$1689,M$1)</f>
        <v>0</v>
      </c>
      <c r="N16" s="80">
        <f>SUMIFS('апрель 2024'!$G$4:$G$1689,'апрель 2024'!$D$4:$D$1689,$B16,'апрель 2024'!$J$4:$J$1689,N$1)</f>
        <v>0</v>
      </c>
      <c r="O16" s="80">
        <f>SUMIFS('апрель 2024'!$G$4:$G$1689,'апрель 2024'!$D$4:$D$1689,$B16,'апрель 2024'!$J$4:$J$1689,O$1)</f>
        <v>0</v>
      </c>
      <c r="P16" s="80">
        <f>SUMIFS('апрель 2024'!$G$4:$G$1689,'апрель 2024'!$D$4:$D$1689,$B16,'апрель 2024'!$J$4:$J$1689,P$1)</f>
        <v>0</v>
      </c>
      <c r="Q16" s="80">
        <f>SUMIFS('апрель 2024'!$G$4:$G$1689,'апрель 2024'!$D$4:$D$1689,$B16,'апрель 2024'!$J$4:$J$1689,Q$1)</f>
        <v>0</v>
      </c>
      <c r="R16" s="80">
        <f>SUMIFS('апрель 2024'!$G$4:$G$1689,'апрель 2024'!$D$4:$D$1689,$B16,'апрель 2024'!$J$4:$J$1689,R$1)</f>
        <v>0</v>
      </c>
      <c r="S16" s="80">
        <f>SUMIFS('апрель 2024'!$G$4:$G$1689,'апрель 2024'!$D$4:$D$1689,$B16,'апрель 2024'!$J$4:$J$1689,S$1)</f>
        <v>0</v>
      </c>
      <c r="T16" s="80">
        <f>SUMIFS('апрель 2024'!$G$4:$G$1689,'апрель 2024'!$D$4:$D$1689,$B16,'апрель 2024'!$J$4:$J$1689,T$1)</f>
        <v>0</v>
      </c>
      <c r="U16" s="80">
        <f>SUMIFS('апрель 2024'!$G$4:$G$1689,'апрель 2024'!$D$4:$D$1689,$B16,'апрель 2024'!$J$4:$J$1689,U$1)</f>
        <v>0</v>
      </c>
      <c r="V16" s="80">
        <f>SUMIFS('апрель 2024'!$G$4:$G$1689,'апрель 2024'!$D$4:$D$1689,$B16,'апрель 2024'!$J$4:$J$1689,V$1)</f>
        <v>0</v>
      </c>
      <c r="W16" s="80">
        <f>SUMIFS('апрель 2024'!$G$4:$G$1689,'апрель 2024'!$D$4:$D$1689,$B16,'апрель 2024'!$J$4:$J$1689,W$1)</f>
        <v>0</v>
      </c>
      <c r="X16" s="80">
        <f>SUMIFS('апрель 2024'!$G$4:$G$1689,'апрель 2024'!$D$4:$D$1689,$B16,'апрель 2024'!$J$4:$J$1689,X$1)</f>
        <v>0</v>
      </c>
      <c r="Y16" s="80">
        <f>SUMIFS('апрель 2024'!$G$4:$G$1689,'апрель 2024'!$D$4:$D$1689,$B16,'апрель 2024'!$J$4:$J$1689,Y$1)</f>
        <v>0</v>
      </c>
      <c r="Z16" s="80">
        <f>SUMIFS('апрель 2024'!$G$4:$G$1689,'апрель 2024'!$D$4:$D$1689,$B16,'апрель 2024'!$J$4:$J$1689,Z$1)</f>
        <v>0</v>
      </c>
      <c r="AA16" s="80">
        <f>SUMIFS('апрель 2024'!$G$4:$G$1689,'апрель 2024'!$D$4:$D$1689,$B16,'апрель 2024'!$J$4:$J$1689,AA$1)</f>
        <v>0</v>
      </c>
      <c r="AB16" s="80">
        <f>SUMIFS('апрель 2024'!$G$4:$G$1689,'апрель 2024'!$D$4:$D$1689,$B16,'апрель 2024'!$J$4:$J$1689,AB$1)</f>
        <v>0</v>
      </c>
      <c r="AC16" s="80">
        <f>SUMIFS('апрель 2024'!$G$4:$G$1689,'апрель 2024'!$D$4:$D$1689,$B16,'апрель 2024'!$J$4:$J$1689,AC$1)</f>
        <v>0</v>
      </c>
      <c r="AD16" s="80">
        <f>SUMIFS('апрель 2024'!$G$4:$G$1689,'апрель 2024'!$D$4:$D$1689,$B16,'апрель 2024'!$J$4:$J$1689,AD$1)</f>
        <v>0</v>
      </c>
      <c r="AE16" s="80">
        <f>SUMIFS('апрель 2024'!$G$4:$G$1689,'апрель 2024'!$D$4:$D$1689,$B16,'апрель 2024'!$J$4:$J$1689,AE$1)</f>
        <v>0</v>
      </c>
      <c r="AF16" s="80">
        <f>SUMIFS('апрель 2024'!$G$4:$G$1689,'апрель 2024'!$D$4:$D$1689,$B16,'апрель 2024'!$J$4:$J$1689,AF$1)</f>
        <v>0</v>
      </c>
      <c r="AG16" s="80">
        <f>SUMIFS('апрель 2024'!$G$4:$G$1689,'апрель 2024'!$D$4:$D$1689,$B16,'апрель 2024'!$J$4:$J$1689,AG$1)</f>
        <v>0</v>
      </c>
      <c r="AH16" s="80">
        <f>SUMIFS('апрель 2024'!$G$4:$G$1689,'апрель 2024'!$D$4:$D$1689,$B16,'апрель 2024'!$J$4:$J$1689,AH$1)</f>
        <v>0</v>
      </c>
      <c r="AI16" s="21">
        <f t="shared" si="1"/>
        <v>0</v>
      </c>
    </row>
    <row r="17" spans="2:35" ht="15" customHeight="1" x14ac:dyDescent="0.25">
      <c r="B17" s="84" t="s">
        <v>301</v>
      </c>
      <c r="C17" s="85">
        <v>25</v>
      </c>
      <c r="D17" s="80">
        <f>SUMIFS('апрель 2024'!$G$4:$G$1689,'апрель 2024'!$D$4:$D$1689,$B17,'апрель 2024'!$J$4:$J$1689,D$1)</f>
        <v>0</v>
      </c>
      <c r="E17" s="80">
        <f>SUMIFS('апрель 2024'!$G$4:$G$1689,'апрель 2024'!$D$4:$D$1689,$B17,'апрель 2024'!$J$4:$J$1689,E$1)</f>
        <v>0</v>
      </c>
      <c r="F17" s="80">
        <f>SUMIFS('апрель 2024'!$G$4:$G$1689,'апрель 2024'!$D$4:$D$1689,$B17,'апрель 2024'!$J$4:$J$1689,F$1)</f>
        <v>0</v>
      </c>
      <c r="G17" s="80">
        <f>SUMIFS('апрель 2024'!$G$4:$G$1689,'апрель 2024'!$D$4:$D$1689,$B17,'апрель 2024'!$J$4:$J$1689,G$1)</f>
        <v>0</v>
      </c>
      <c r="H17" s="80">
        <f>SUMIFS('апрель 2024'!$G$4:$G$1689,'апрель 2024'!$D$4:$D$1689,$B17,'апрель 2024'!$J$4:$J$1689,H$1)</f>
        <v>0</v>
      </c>
      <c r="I17" s="80">
        <f>SUMIFS('апрель 2024'!$G$4:$G$1689,'апрель 2024'!$D$4:$D$1689,$B17,'апрель 2024'!$J$4:$J$1689,I$1)</f>
        <v>0</v>
      </c>
      <c r="J17" s="80">
        <f>SUMIFS('апрель 2024'!$G$4:$G$1689,'апрель 2024'!$D$4:$D$1689,$B17,'апрель 2024'!$J$4:$J$1689,J$1)</f>
        <v>0</v>
      </c>
      <c r="K17" s="80">
        <f>SUMIFS('апрель 2024'!$G$4:$G$1689,'апрель 2024'!$D$4:$D$1689,$B17,'апрель 2024'!$J$4:$J$1689,K$1)</f>
        <v>0</v>
      </c>
      <c r="L17" s="80">
        <f>SUMIFS('апрель 2024'!$G$4:$G$1689,'апрель 2024'!$D$4:$D$1689,$B17,'апрель 2024'!$J$4:$J$1689,L$1)</f>
        <v>0</v>
      </c>
      <c r="M17" s="80">
        <f>SUMIFS('апрель 2024'!$G$4:$G$1689,'апрель 2024'!$D$4:$D$1689,$B17,'апрель 2024'!$J$4:$J$1689,M$1)</f>
        <v>0</v>
      </c>
      <c r="N17" s="80">
        <f>SUMIFS('апрель 2024'!$G$4:$G$1689,'апрель 2024'!$D$4:$D$1689,$B17,'апрель 2024'!$J$4:$J$1689,N$1)</f>
        <v>0</v>
      </c>
      <c r="O17" s="80">
        <f>SUMIFS('апрель 2024'!$G$4:$G$1689,'апрель 2024'!$D$4:$D$1689,$B17,'апрель 2024'!$J$4:$J$1689,O$1)</f>
        <v>0</v>
      </c>
      <c r="P17" s="80">
        <f>SUMIFS('апрель 2024'!$G$4:$G$1689,'апрель 2024'!$D$4:$D$1689,$B17,'апрель 2024'!$J$4:$J$1689,P$1)</f>
        <v>0</v>
      </c>
      <c r="Q17" s="80">
        <f>SUMIFS('апрель 2024'!$G$4:$G$1689,'апрель 2024'!$D$4:$D$1689,$B17,'апрель 2024'!$J$4:$J$1689,Q$1)</f>
        <v>0</v>
      </c>
      <c r="R17" s="80">
        <f>SUMIFS('апрель 2024'!$G$4:$G$1689,'апрель 2024'!$D$4:$D$1689,$B17,'апрель 2024'!$J$4:$J$1689,R$1)</f>
        <v>0</v>
      </c>
      <c r="S17" s="80">
        <f>SUMIFS('апрель 2024'!$G$4:$G$1689,'апрель 2024'!$D$4:$D$1689,$B17,'апрель 2024'!$J$4:$J$1689,S$1)</f>
        <v>0</v>
      </c>
      <c r="T17" s="80">
        <f>SUMIFS('апрель 2024'!$G$4:$G$1689,'апрель 2024'!$D$4:$D$1689,$B17,'апрель 2024'!$J$4:$J$1689,T$1)</f>
        <v>0</v>
      </c>
      <c r="U17" s="80">
        <f>SUMIFS('апрель 2024'!$G$4:$G$1689,'апрель 2024'!$D$4:$D$1689,$B17,'апрель 2024'!$J$4:$J$1689,U$1)</f>
        <v>0</v>
      </c>
      <c r="V17" s="80">
        <f>SUMIFS('апрель 2024'!$G$4:$G$1689,'апрель 2024'!$D$4:$D$1689,$B17,'апрель 2024'!$J$4:$J$1689,V$1)</f>
        <v>0</v>
      </c>
      <c r="W17" s="80">
        <f>SUMIFS('апрель 2024'!$G$4:$G$1689,'апрель 2024'!$D$4:$D$1689,$B17,'апрель 2024'!$J$4:$J$1689,W$1)</f>
        <v>0</v>
      </c>
      <c r="X17" s="80">
        <f>SUMIFS('апрель 2024'!$G$4:$G$1689,'апрель 2024'!$D$4:$D$1689,$B17,'апрель 2024'!$J$4:$J$1689,X$1)</f>
        <v>0</v>
      </c>
      <c r="Y17" s="80">
        <f>SUMIFS('апрель 2024'!$G$4:$G$1689,'апрель 2024'!$D$4:$D$1689,$B17,'апрель 2024'!$J$4:$J$1689,Y$1)</f>
        <v>0</v>
      </c>
      <c r="Z17" s="80">
        <f>SUMIFS('апрель 2024'!$G$4:$G$1689,'апрель 2024'!$D$4:$D$1689,$B17,'апрель 2024'!$J$4:$J$1689,Z$1)</f>
        <v>0</v>
      </c>
      <c r="AA17" s="80">
        <f>SUMIFS('апрель 2024'!$G$4:$G$1689,'апрель 2024'!$D$4:$D$1689,$B17,'апрель 2024'!$J$4:$J$1689,AA$1)</f>
        <v>0</v>
      </c>
      <c r="AB17" s="80">
        <f>SUMIFS('апрель 2024'!$G$4:$G$1689,'апрель 2024'!$D$4:$D$1689,$B17,'апрель 2024'!$J$4:$J$1689,AB$1)</f>
        <v>0</v>
      </c>
      <c r="AC17" s="80">
        <f>SUMIFS('апрель 2024'!$G$4:$G$1689,'апрель 2024'!$D$4:$D$1689,$B17,'апрель 2024'!$J$4:$J$1689,AC$1)</f>
        <v>0</v>
      </c>
      <c r="AD17" s="80">
        <f>SUMIFS('апрель 2024'!$G$4:$G$1689,'апрель 2024'!$D$4:$D$1689,$B17,'апрель 2024'!$J$4:$J$1689,AD$1)</f>
        <v>0</v>
      </c>
      <c r="AE17" s="80">
        <f>SUMIFS('апрель 2024'!$G$4:$G$1689,'апрель 2024'!$D$4:$D$1689,$B17,'апрель 2024'!$J$4:$J$1689,AE$1)</f>
        <v>0</v>
      </c>
      <c r="AF17" s="80">
        <f>SUMIFS('апрель 2024'!$G$4:$G$1689,'апрель 2024'!$D$4:$D$1689,$B17,'апрель 2024'!$J$4:$J$1689,AF$1)</f>
        <v>0</v>
      </c>
      <c r="AG17" s="80">
        <f>SUMIFS('апрель 2024'!$G$4:$G$1689,'апрель 2024'!$D$4:$D$1689,$B17,'апрель 2024'!$J$4:$J$1689,AG$1)</f>
        <v>0</v>
      </c>
      <c r="AH17" s="80">
        <f>SUMIFS('апрель 2024'!$G$4:$G$1689,'апрель 2024'!$D$4:$D$1689,$B17,'апрель 2024'!$J$4:$J$1689,AH$1)</f>
        <v>0</v>
      </c>
      <c r="AI17" s="21">
        <f t="shared" si="1"/>
        <v>0</v>
      </c>
    </row>
    <row r="18" spans="2:35" ht="15" customHeight="1" x14ac:dyDescent="0.25">
      <c r="B18" s="81" t="s">
        <v>303</v>
      </c>
      <c r="C18" s="82">
        <v>25</v>
      </c>
      <c r="D18" s="80">
        <f>SUMIFS('апрель 2024'!$G$4:$G$1689,'апрель 2024'!$D$4:$D$1689,$B18,'апрель 2024'!$J$4:$J$1689,D$1)</f>
        <v>0</v>
      </c>
      <c r="E18" s="80">
        <f>SUMIFS('апрель 2024'!$G$4:$G$1689,'апрель 2024'!$D$4:$D$1689,$B18,'апрель 2024'!$J$4:$J$1689,E$1)</f>
        <v>0</v>
      </c>
      <c r="F18" s="80">
        <f>SUMIFS('апрель 2024'!$G$4:$G$1689,'апрель 2024'!$D$4:$D$1689,$B18,'апрель 2024'!$J$4:$J$1689,F$1)</f>
        <v>0</v>
      </c>
      <c r="G18" s="80">
        <f>SUMIFS('апрель 2024'!$G$4:$G$1689,'апрель 2024'!$D$4:$D$1689,$B18,'апрель 2024'!$J$4:$J$1689,G$1)</f>
        <v>0</v>
      </c>
      <c r="H18" s="80">
        <f>SUMIFS('апрель 2024'!$G$4:$G$1689,'апрель 2024'!$D$4:$D$1689,$B18,'апрель 2024'!$J$4:$J$1689,H$1)</f>
        <v>0</v>
      </c>
      <c r="I18" s="80">
        <f>SUMIFS('апрель 2024'!$G$4:$G$1689,'апрель 2024'!$D$4:$D$1689,$B18,'апрель 2024'!$J$4:$J$1689,I$1)</f>
        <v>0</v>
      </c>
      <c r="J18" s="80">
        <f>SUMIFS('апрель 2024'!$G$4:$G$1689,'апрель 2024'!$D$4:$D$1689,$B18,'апрель 2024'!$J$4:$J$1689,J$1)</f>
        <v>0</v>
      </c>
      <c r="K18" s="80">
        <f>SUMIFS('апрель 2024'!$G$4:$G$1689,'апрель 2024'!$D$4:$D$1689,$B18,'апрель 2024'!$J$4:$J$1689,K$1)</f>
        <v>0</v>
      </c>
      <c r="L18" s="80">
        <f>SUMIFS('апрель 2024'!$G$4:$G$1689,'апрель 2024'!$D$4:$D$1689,$B18,'апрель 2024'!$J$4:$J$1689,L$1)</f>
        <v>0</v>
      </c>
      <c r="M18" s="80">
        <f>SUMIFS('апрель 2024'!$G$4:$G$1689,'апрель 2024'!$D$4:$D$1689,$B18,'апрель 2024'!$J$4:$J$1689,M$1)</f>
        <v>0</v>
      </c>
      <c r="N18" s="80">
        <f>SUMIFS('апрель 2024'!$G$4:$G$1689,'апрель 2024'!$D$4:$D$1689,$B18,'апрель 2024'!$J$4:$J$1689,N$1)</f>
        <v>0</v>
      </c>
      <c r="O18" s="80">
        <f>SUMIFS('апрель 2024'!$G$4:$G$1689,'апрель 2024'!$D$4:$D$1689,$B18,'апрель 2024'!$J$4:$J$1689,O$1)</f>
        <v>0</v>
      </c>
      <c r="P18" s="80">
        <f>SUMIFS('апрель 2024'!$G$4:$G$1689,'апрель 2024'!$D$4:$D$1689,$B18,'апрель 2024'!$J$4:$J$1689,P$1)</f>
        <v>0</v>
      </c>
      <c r="Q18" s="80">
        <f>SUMIFS('апрель 2024'!$G$4:$G$1689,'апрель 2024'!$D$4:$D$1689,$B18,'апрель 2024'!$J$4:$J$1689,Q$1)</f>
        <v>0</v>
      </c>
      <c r="R18" s="80">
        <f>SUMIFS('апрель 2024'!$G$4:$G$1689,'апрель 2024'!$D$4:$D$1689,$B18,'апрель 2024'!$J$4:$J$1689,R$1)</f>
        <v>0</v>
      </c>
      <c r="S18" s="80">
        <f>SUMIFS('апрель 2024'!$G$4:$G$1689,'апрель 2024'!$D$4:$D$1689,$B18,'апрель 2024'!$J$4:$J$1689,S$1)</f>
        <v>0</v>
      </c>
      <c r="T18" s="80">
        <f>SUMIFS('апрель 2024'!$G$4:$G$1689,'апрель 2024'!$D$4:$D$1689,$B18,'апрель 2024'!$J$4:$J$1689,T$1)</f>
        <v>0</v>
      </c>
      <c r="U18" s="80">
        <f>SUMIFS('апрель 2024'!$G$4:$G$1689,'апрель 2024'!$D$4:$D$1689,$B18,'апрель 2024'!$J$4:$J$1689,U$1)</f>
        <v>0</v>
      </c>
      <c r="V18" s="80">
        <f>SUMIFS('апрель 2024'!$G$4:$G$1689,'апрель 2024'!$D$4:$D$1689,$B18,'апрель 2024'!$J$4:$J$1689,V$1)</f>
        <v>0</v>
      </c>
      <c r="W18" s="80">
        <f>SUMIFS('апрель 2024'!$G$4:$G$1689,'апрель 2024'!$D$4:$D$1689,$B18,'апрель 2024'!$J$4:$J$1689,W$1)</f>
        <v>0</v>
      </c>
      <c r="X18" s="80">
        <f>SUMIFS('апрель 2024'!$G$4:$G$1689,'апрель 2024'!$D$4:$D$1689,$B18,'апрель 2024'!$J$4:$J$1689,X$1)</f>
        <v>0</v>
      </c>
      <c r="Y18" s="80">
        <f>SUMIFS('апрель 2024'!$G$4:$G$1689,'апрель 2024'!$D$4:$D$1689,$B18,'апрель 2024'!$J$4:$J$1689,Y$1)</f>
        <v>0</v>
      </c>
      <c r="Z18" s="80">
        <f>SUMIFS('апрель 2024'!$G$4:$G$1689,'апрель 2024'!$D$4:$D$1689,$B18,'апрель 2024'!$J$4:$J$1689,Z$1)</f>
        <v>0</v>
      </c>
      <c r="AA18" s="80">
        <f>SUMIFS('апрель 2024'!$G$4:$G$1689,'апрель 2024'!$D$4:$D$1689,$B18,'апрель 2024'!$J$4:$J$1689,AA$1)</f>
        <v>0</v>
      </c>
      <c r="AB18" s="80">
        <f>SUMIFS('апрель 2024'!$G$4:$G$1689,'апрель 2024'!$D$4:$D$1689,$B18,'апрель 2024'!$J$4:$J$1689,AB$1)</f>
        <v>0</v>
      </c>
      <c r="AC18" s="80">
        <f>SUMIFS('апрель 2024'!$G$4:$G$1689,'апрель 2024'!$D$4:$D$1689,$B18,'апрель 2024'!$J$4:$J$1689,AC$1)</f>
        <v>0</v>
      </c>
      <c r="AD18" s="80">
        <f>SUMIFS('апрель 2024'!$G$4:$G$1689,'апрель 2024'!$D$4:$D$1689,$B18,'апрель 2024'!$J$4:$J$1689,AD$1)</f>
        <v>0</v>
      </c>
      <c r="AE18" s="80">
        <f>SUMIFS('апрель 2024'!$G$4:$G$1689,'апрель 2024'!$D$4:$D$1689,$B18,'апрель 2024'!$J$4:$J$1689,AE$1)</f>
        <v>0</v>
      </c>
      <c r="AF18" s="80">
        <f>SUMIFS('апрель 2024'!$G$4:$G$1689,'апрель 2024'!$D$4:$D$1689,$B18,'апрель 2024'!$J$4:$J$1689,AF$1)</f>
        <v>0</v>
      </c>
      <c r="AG18" s="80">
        <f>SUMIFS('апрель 2024'!$G$4:$G$1689,'апрель 2024'!$D$4:$D$1689,$B18,'апрель 2024'!$J$4:$J$1689,AG$1)</f>
        <v>0</v>
      </c>
      <c r="AH18" s="80">
        <f>SUMIFS('апрель 2024'!$G$4:$G$1689,'апрель 2024'!$D$4:$D$1689,$B18,'апрель 2024'!$J$4:$J$1689,AH$1)</f>
        <v>0</v>
      </c>
      <c r="AI18" s="21">
        <f t="shared" si="1"/>
        <v>0</v>
      </c>
    </row>
    <row r="19" spans="2:35" ht="15" customHeight="1" x14ac:dyDescent="0.25">
      <c r="B19" s="81" t="s">
        <v>305</v>
      </c>
      <c r="C19" s="82">
        <v>25</v>
      </c>
      <c r="D19" s="80">
        <f>SUMIFS('апрель 2024'!$G$4:$G$1689,'апрель 2024'!$D$4:$D$1689,$B19,'апрель 2024'!$J$4:$J$1689,D$1)</f>
        <v>0</v>
      </c>
      <c r="E19" s="80">
        <f>SUMIFS('апрель 2024'!$G$4:$G$1689,'апрель 2024'!$D$4:$D$1689,$B19,'апрель 2024'!$J$4:$J$1689,E$1)</f>
        <v>0</v>
      </c>
      <c r="F19" s="80">
        <f>SUMIFS('апрель 2024'!$G$4:$G$1689,'апрель 2024'!$D$4:$D$1689,$B19,'апрель 2024'!$J$4:$J$1689,F$1)</f>
        <v>0</v>
      </c>
      <c r="G19" s="80">
        <f>SUMIFS('апрель 2024'!$G$4:$G$1689,'апрель 2024'!$D$4:$D$1689,$B19,'апрель 2024'!$J$4:$J$1689,G$1)</f>
        <v>0</v>
      </c>
      <c r="H19" s="80">
        <f>SUMIFS('апрель 2024'!$G$4:$G$1689,'апрель 2024'!$D$4:$D$1689,$B19,'апрель 2024'!$J$4:$J$1689,H$1)</f>
        <v>0</v>
      </c>
      <c r="I19" s="80">
        <f>SUMIFS('апрель 2024'!$G$4:$G$1689,'апрель 2024'!$D$4:$D$1689,$B19,'апрель 2024'!$J$4:$J$1689,I$1)</f>
        <v>0</v>
      </c>
      <c r="J19" s="80">
        <f>SUMIFS('апрель 2024'!$G$4:$G$1689,'апрель 2024'!$D$4:$D$1689,$B19,'апрель 2024'!$J$4:$J$1689,J$1)</f>
        <v>0</v>
      </c>
      <c r="K19" s="80">
        <f>SUMIFS('апрель 2024'!$G$4:$G$1689,'апрель 2024'!$D$4:$D$1689,$B19,'апрель 2024'!$J$4:$J$1689,K$1)</f>
        <v>0</v>
      </c>
      <c r="L19" s="80">
        <f>SUMIFS('апрель 2024'!$G$4:$G$1689,'апрель 2024'!$D$4:$D$1689,$B19,'апрель 2024'!$J$4:$J$1689,L$1)</f>
        <v>0</v>
      </c>
      <c r="M19" s="80">
        <f>SUMIFS('апрель 2024'!$G$4:$G$1689,'апрель 2024'!$D$4:$D$1689,$B19,'апрель 2024'!$J$4:$J$1689,M$1)</f>
        <v>0</v>
      </c>
      <c r="N19" s="80">
        <f>SUMIFS('апрель 2024'!$G$4:$G$1689,'апрель 2024'!$D$4:$D$1689,$B19,'апрель 2024'!$J$4:$J$1689,N$1)</f>
        <v>0</v>
      </c>
      <c r="O19" s="80">
        <f>SUMIFS('апрель 2024'!$G$4:$G$1689,'апрель 2024'!$D$4:$D$1689,$B19,'апрель 2024'!$J$4:$J$1689,O$1)</f>
        <v>0</v>
      </c>
      <c r="P19" s="80">
        <f>SUMIFS('апрель 2024'!$G$4:$G$1689,'апрель 2024'!$D$4:$D$1689,$B19,'апрель 2024'!$J$4:$J$1689,P$1)</f>
        <v>0</v>
      </c>
      <c r="Q19" s="80">
        <f>SUMIFS('апрель 2024'!$G$4:$G$1689,'апрель 2024'!$D$4:$D$1689,$B19,'апрель 2024'!$J$4:$J$1689,Q$1)</f>
        <v>0</v>
      </c>
      <c r="R19" s="80">
        <f>SUMIFS('апрель 2024'!$G$4:$G$1689,'апрель 2024'!$D$4:$D$1689,$B19,'апрель 2024'!$J$4:$J$1689,R$1)</f>
        <v>0</v>
      </c>
      <c r="S19" s="80">
        <f>SUMIFS('апрель 2024'!$G$4:$G$1689,'апрель 2024'!$D$4:$D$1689,$B19,'апрель 2024'!$J$4:$J$1689,S$1)</f>
        <v>0</v>
      </c>
      <c r="T19" s="80">
        <f>SUMIFS('апрель 2024'!$G$4:$G$1689,'апрель 2024'!$D$4:$D$1689,$B19,'апрель 2024'!$J$4:$J$1689,T$1)</f>
        <v>0</v>
      </c>
      <c r="U19" s="80">
        <f>SUMIFS('апрель 2024'!$G$4:$G$1689,'апрель 2024'!$D$4:$D$1689,$B19,'апрель 2024'!$J$4:$J$1689,U$1)</f>
        <v>0</v>
      </c>
      <c r="V19" s="80">
        <f>SUMIFS('апрель 2024'!$G$4:$G$1689,'апрель 2024'!$D$4:$D$1689,$B19,'апрель 2024'!$J$4:$J$1689,V$1)</f>
        <v>0</v>
      </c>
      <c r="W19" s="80">
        <f>SUMIFS('апрель 2024'!$G$4:$G$1689,'апрель 2024'!$D$4:$D$1689,$B19,'апрель 2024'!$J$4:$J$1689,W$1)</f>
        <v>0</v>
      </c>
      <c r="X19" s="80">
        <f>SUMIFS('апрель 2024'!$G$4:$G$1689,'апрель 2024'!$D$4:$D$1689,$B19,'апрель 2024'!$J$4:$J$1689,X$1)</f>
        <v>0</v>
      </c>
      <c r="Y19" s="80">
        <f>SUMIFS('апрель 2024'!$G$4:$G$1689,'апрель 2024'!$D$4:$D$1689,$B19,'апрель 2024'!$J$4:$J$1689,Y$1)</f>
        <v>0</v>
      </c>
      <c r="Z19" s="80">
        <f>SUMIFS('апрель 2024'!$G$4:$G$1689,'апрель 2024'!$D$4:$D$1689,$B19,'апрель 2024'!$J$4:$J$1689,Z$1)</f>
        <v>0</v>
      </c>
      <c r="AA19" s="80">
        <f>SUMIFS('апрель 2024'!$G$4:$G$1689,'апрель 2024'!$D$4:$D$1689,$B19,'апрель 2024'!$J$4:$J$1689,AA$1)</f>
        <v>0</v>
      </c>
      <c r="AB19" s="80">
        <f>SUMIFS('апрель 2024'!$G$4:$G$1689,'апрель 2024'!$D$4:$D$1689,$B19,'апрель 2024'!$J$4:$J$1689,AB$1)</f>
        <v>0</v>
      </c>
      <c r="AC19" s="80">
        <f>SUMIFS('апрель 2024'!$G$4:$G$1689,'апрель 2024'!$D$4:$D$1689,$B19,'апрель 2024'!$J$4:$J$1689,AC$1)</f>
        <v>0</v>
      </c>
      <c r="AD19" s="80">
        <f>SUMIFS('апрель 2024'!$G$4:$G$1689,'апрель 2024'!$D$4:$D$1689,$B19,'апрель 2024'!$J$4:$J$1689,AD$1)</f>
        <v>0</v>
      </c>
      <c r="AE19" s="80">
        <f>SUMIFS('апрель 2024'!$G$4:$G$1689,'апрель 2024'!$D$4:$D$1689,$B19,'апрель 2024'!$J$4:$J$1689,AE$1)</f>
        <v>0</v>
      </c>
      <c r="AF19" s="80">
        <f>SUMIFS('апрель 2024'!$G$4:$G$1689,'апрель 2024'!$D$4:$D$1689,$B19,'апрель 2024'!$J$4:$J$1689,AF$1)</f>
        <v>0</v>
      </c>
      <c r="AG19" s="80">
        <f>SUMIFS('апрель 2024'!$G$4:$G$1689,'апрель 2024'!$D$4:$D$1689,$B19,'апрель 2024'!$J$4:$J$1689,AG$1)</f>
        <v>0</v>
      </c>
      <c r="AH19" s="80">
        <f>SUMIFS('апрель 2024'!$G$4:$G$1689,'апрель 2024'!$D$4:$D$1689,$B19,'апрель 2024'!$J$4:$J$1689,AH$1)</f>
        <v>0</v>
      </c>
      <c r="AI19" s="21">
        <f t="shared" si="1"/>
        <v>0</v>
      </c>
    </row>
    <row r="20" spans="2:35" ht="15" customHeight="1" x14ac:dyDescent="0.25">
      <c r="B20" s="81" t="s">
        <v>307</v>
      </c>
      <c r="C20" s="82">
        <v>25</v>
      </c>
      <c r="D20" s="80">
        <f>SUMIFS('апрель 2024'!$G$4:$G$1689,'апрель 2024'!$D$4:$D$1689,$B20,'апрель 2024'!$J$4:$J$1689,D$1)</f>
        <v>0</v>
      </c>
      <c r="E20" s="80">
        <f>SUMIFS('апрель 2024'!$G$4:$G$1689,'апрель 2024'!$D$4:$D$1689,$B20,'апрель 2024'!$J$4:$J$1689,E$1)</f>
        <v>800</v>
      </c>
      <c r="F20" s="80">
        <f>SUMIFS('апрель 2024'!$G$4:$G$1689,'апрель 2024'!$D$4:$D$1689,$B20,'апрель 2024'!$J$4:$J$1689,F$1)</f>
        <v>0</v>
      </c>
      <c r="G20" s="80">
        <f>SUMIFS('апрель 2024'!$G$4:$G$1689,'апрель 2024'!$D$4:$D$1689,$B20,'апрель 2024'!$J$4:$J$1689,G$1)</f>
        <v>800</v>
      </c>
      <c r="H20" s="80">
        <f>SUMIFS('апрель 2024'!$G$4:$G$1689,'апрель 2024'!$D$4:$D$1689,$B20,'апрель 2024'!$J$4:$J$1689,H$1)</f>
        <v>0</v>
      </c>
      <c r="I20" s="80">
        <f>SUMIFS('апрель 2024'!$G$4:$G$1689,'апрель 2024'!$D$4:$D$1689,$B20,'апрель 2024'!$J$4:$J$1689,I$1)</f>
        <v>0</v>
      </c>
      <c r="J20" s="80">
        <f>SUMIFS('апрель 2024'!$G$4:$G$1689,'апрель 2024'!$D$4:$D$1689,$B20,'апрель 2024'!$J$4:$J$1689,J$1)</f>
        <v>0</v>
      </c>
      <c r="K20" s="80">
        <f>SUMIFS('апрель 2024'!$G$4:$G$1689,'апрель 2024'!$D$4:$D$1689,$B20,'апрель 2024'!$J$4:$J$1689,K$1)</f>
        <v>0</v>
      </c>
      <c r="L20" s="80">
        <f>SUMIFS('апрель 2024'!$G$4:$G$1689,'апрель 2024'!$D$4:$D$1689,$B20,'апрель 2024'!$J$4:$J$1689,L$1)</f>
        <v>0</v>
      </c>
      <c r="M20" s="80">
        <f>SUMIFS('апрель 2024'!$G$4:$G$1689,'апрель 2024'!$D$4:$D$1689,$B20,'апрель 2024'!$J$4:$J$1689,M$1)</f>
        <v>0</v>
      </c>
      <c r="N20" s="80">
        <f>SUMIFS('апрель 2024'!$G$4:$G$1689,'апрель 2024'!$D$4:$D$1689,$B20,'апрель 2024'!$J$4:$J$1689,N$1)</f>
        <v>0</v>
      </c>
      <c r="O20" s="80">
        <f>SUMIFS('апрель 2024'!$G$4:$G$1689,'апрель 2024'!$D$4:$D$1689,$B20,'апрель 2024'!$J$4:$J$1689,O$1)</f>
        <v>0</v>
      </c>
      <c r="P20" s="80">
        <f>SUMIFS('апрель 2024'!$G$4:$G$1689,'апрель 2024'!$D$4:$D$1689,$B20,'апрель 2024'!$J$4:$J$1689,P$1)</f>
        <v>0</v>
      </c>
      <c r="Q20" s="80">
        <f>SUMIFS('апрель 2024'!$G$4:$G$1689,'апрель 2024'!$D$4:$D$1689,$B20,'апрель 2024'!$J$4:$J$1689,Q$1)</f>
        <v>0</v>
      </c>
      <c r="R20" s="80">
        <f>SUMIFS('апрель 2024'!$G$4:$G$1689,'апрель 2024'!$D$4:$D$1689,$B20,'апрель 2024'!$J$4:$J$1689,R$1)</f>
        <v>0</v>
      </c>
      <c r="S20" s="80">
        <f>SUMIFS('апрель 2024'!$G$4:$G$1689,'апрель 2024'!$D$4:$D$1689,$B20,'апрель 2024'!$J$4:$J$1689,S$1)</f>
        <v>0</v>
      </c>
      <c r="T20" s="80">
        <f>SUMIFS('апрель 2024'!$G$4:$G$1689,'апрель 2024'!$D$4:$D$1689,$B20,'апрель 2024'!$J$4:$J$1689,T$1)</f>
        <v>0</v>
      </c>
      <c r="U20" s="80">
        <f>SUMIFS('апрель 2024'!$G$4:$G$1689,'апрель 2024'!$D$4:$D$1689,$B20,'апрель 2024'!$J$4:$J$1689,U$1)</f>
        <v>0</v>
      </c>
      <c r="V20" s="80">
        <f>SUMIFS('апрель 2024'!$G$4:$G$1689,'апрель 2024'!$D$4:$D$1689,$B20,'апрель 2024'!$J$4:$J$1689,V$1)</f>
        <v>0</v>
      </c>
      <c r="W20" s="80">
        <f>SUMIFS('апрель 2024'!$G$4:$G$1689,'апрель 2024'!$D$4:$D$1689,$B20,'апрель 2024'!$J$4:$J$1689,W$1)</f>
        <v>0</v>
      </c>
      <c r="X20" s="80">
        <f>SUMIFS('апрель 2024'!$G$4:$G$1689,'апрель 2024'!$D$4:$D$1689,$B20,'апрель 2024'!$J$4:$J$1689,X$1)</f>
        <v>0</v>
      </c>
      <c r="Y20" s="80">
        <f>SUMIFS('апрель 2024'!$G$4:$G$1689,'апрель 2024'!$D$4:$D$1689,$B20,'апрель 2024'!$J$4:$J$1689,Y$1)</f>
        <v>0</v>
      </c>
      <c r="Z20" s="80">
        <f>SUMIFS('апрель 2024'!$G$4:$G$1689,'апрель 2024'!$D$4:$D$1689,$B20,'апрель 2024'!$J$4:$J$1689,Z$1)</f>
        <v>0</v>
      </c>
      <c r="AA20" s="80">
        <f>SUMIFS('апрель 2024'!$G$4:$G$1689,'апрель 2024'!$D$4:$D$1689,$B20,'апрель 2024'!$J$4:$J$1689,AA$1)</f>
        <v>0</v>
      </c>
      <c r="AB20" s="80">
        <f>SUMIFS('апрель 2024'!$G$4:$G$1689,'апрель 2024'!$D$4:$D$1689,$B20,'апрель 2024'!$J$4:$J$1689,AB$1)</f>
        <v>0</v>
      </c>
      <c r="AC20" s="80">
        <f>SUMIFS('апрель 2024'!$G$4:$G$1689,'апрель 2024'!$D$4:$D$1689,$B20,'апрель 2024'!$J$4:$J$1689,AC$1)</f>
        <v>0</v>
      </c>
      <c r="AD20" s="80">
        <f>SUMIFS('апрель 2024'!$G$4:$G$1689,'апрель 2024'!$D$4:$D$1689,$B20,'апрель 2024'!$J$4:$J$1689,AD$1)</f>
        <v>0</v>
      </c>
      <c r="AE20" s="80">
        <f>SUMIFS('апрель 2024'!$G$4:$G$1689,'апрель 2024'!$D$4:$D$1689,$B20,'апрель 2024'!$J$4:$J$1689,AE$1)</f>
        <v>0</v>
      </c>
      <c r="AF20" s="80">
        <f>SUMIFS('апрель 2024'!$G$4:$G$1689,'апрель 2024'!$D$4:$D$1689,$B20,'апрель 2024'!$J$4:$J$1689,AF$1)</f>
        <v>0</v>
      </c>
      <c r="AG20" s="80">
        <f>SUMIFS('апрель 2024'!$G$4:$G$1689,'апрель 2024'!$D$4:$D$1689,$B20,'апрель 2024'!$J$4:$J$1689,AG$1)</f>
        <v>0</v>
      </c>
      <c r="AH20" s="80">
        <f>SUMIFS('апрель 2024'!$G$4:$G$1689,'апрель 2024'!$D$4:$D$1689,$B20,'апрель 2024'!$J$4:$J$1689,AH$1)</f>
        <v>0</v>
      </c>
      <c r="AI20" s="21">
        <f t="shared" si="1"/>
        <v>1600</v>
      </c>
    </row>
    <row r="21" spans="2:35" ht="15" customHeight="1" x14ac:dyDescent="0.25">
      <c r="B21" s="81" t="s">
        <v>309</v>
      </c>
      <c r="C21" s="82">
        <v>25</v>
      </c>
      <c r="D21" s="80">
        <f>SUMIFS('апрель 2024'!$G$4:$G$1689,'апрель 2024'!$D$4:$D$1689,$B21,'апрель 2024'!$J$4:$J$1689,D$1)</f>
        <v>0</v>
      </c>
      <c r="E21" s="80">
        <f>SUMIFS('апрель 2024'!$G$4:$G$1689,'апрель 2024'!$D$4:$D$1689,$B21,'апрель 2024'!$J$4:$J$1689,E$1)</f>
        <v>0</v>
      </c>
      <c r="F21" s="80">
        <f>SUMIFS('апрель 2024'!$G$4:$G$1689,'апрель 2024'!$D$4:$D$1689,$B21,'апрель 2024'!$J$4:$J$1689,F$1)</f>
        <v>0</v>
      </c>
      <c r="G21" s="80">
        <f>SUMIFS('апрель 2024'!$G$4:$G$1689,'апрель 2024'!$D$4:$D$1689,$B21,'апрель 2024'!$J$4:$J$1689,G$1)</f>
        <v>0</v>
      </c>
      <c r="H21" s="80">
        <f>SUMIFS('апрель 2024'!$G$4:$G$1689,'апрель 2024'!$D$4:$D$1689,$B21,'апрель 2024'!$J$4:$J$1689,H$1)</f>
        <v>0</v>
      </c>
      <c r="I21" s="80">
        <f>SUMIFS('апрель 2024'!$G$4:$G$1689,'апрель 2024'!$D$4:$D$1689,$B21,'апрель 2024'!$J$4:$J$1689,I$1)</f>
        <v>0</v>
      </c>
      <c r="J21" s="80">
        <f>SUMIFS('апрель 2024'!$G$4:$G$1689,'апрель 2024'!$D$4:$D$1689,$B21,'апрель 2024'!$J$4:$J$1689,J$1)</f>
        <v>0</v>
      </c>
      <c r="K21" s="80">
        <f>SUMIFS('апрель 2024'!$G$4:$G$1689,'апрель 2024'!$D$4:$D$1689,$B21,'апрель 2024'!$J$4:$J$1689,K$1)</f>
        <v>0</v>
      </c>
      <c r="L21" s="80">
        <f>SUMIFS('апрель 2024'!$G$4:$G$1689,'апрель 2024'!$D$4:$D$1689,$B21,'апрель 2024'!$J$4:$J$1689,L$1)</f>
        <v>0</v>
      </c>
      <c r="M21" s="80">
        <f>SUMIFS('апрель 2024'!$G$4:$G$1689,'апрель 2024'!$D$4:$D$1689,$B21,'апрель 2024'!$J$4:$J$1689,M$1)</f>
        <v>0</v>
      </c>
      <c r="N21" s="80">
        <f>SUMIFS('апрель 2024'!$G$4:$G$1689,'апрель 2024'!$D$4:$D$1689,$B21,'апрель 2024'!$J$4:$J$1689,N$1)</f>
        <v>0</v>
      </c>
      <c r="O21" s="80">
        <f>SUMIFS('апрель 2024'!$G$4:$G$1689,'апрель 2024'!$D$4:$D$1689,$B21,'апрель 2024'!$J$4:$J$1689,O$1)</f>
        <v>0</v>
      </c>
      <c r="P21" s="80">
        <f>SUMIFS('апрель 2024'!$G$4:$G$1689,'апрель 2024'!$D$4:$D$1689,$B21,'апрель 2024'!$J$4:$J$1689,P$1)</f>
        <v>0</v>
      </c>
      <c r="Q21" s="80">
        <f>SUMIFS('апрель 2024'!$G$4:$G$1689,'апрель 2024'!$D$4:$D$1689,$B21,'апрель 2024'!$J$4:$J$1689,Q$1)</f>
        <v>0</v>
      </c>
      <c r="R21" s="80">
        <f>SUMIFS('апрель 2024'!$G$4:$G$1689,'апрель 2024'!$D$4:$D$1689,$B21,'апрель 2024'!$J$4:$J$1689,R$1)</f>
        <v>0</v>
      </c>
      <c r="S21" s="80">
        <f>SUMIFS('апрель 2024'!$G$4:$G$1689,'апрель 2024'!$D$4:$D$1689,$B21,'апрель 2024'!$J$4:$J$1689,S$1)</f>
        <v>0</v>
      </c>
      <c r="T21" s="80">
        <f>SUMIFS('апрель 2024'!$G$4:$G$1689,'апрель 2024'!$D$4:$D$1689,$B21,'апрель 2024'!$J$4:$J$1689,T$1)</f>
        <v>0</v>
      </c>
      <c r="U21" s="80">
        <f>SUMIFS('апрель 2024'!$G$4:$G$1689,'апрель 2024'!$D$4:$D$1689,$B21,'апрель 2024'!$J$4:$J$1689,U$1)</f>
        <v>0</v>
      </c>
      <c r="V21" s="80">
        <f>SUMIFS('апрель 2024'!$G$4:$G$1689,'апрель 2024'!$D$4:$D$1689,$B21,'апрель 2024'!$J$4:$J$1689,V$1)</f>
        <v>0</v>
      </c>
      <c r="W21" s="80">
        <f>SUMIFS('апрель 2024'!$G$4:$G$1689,'апрель 2024'!$D$4:$D$1689,$B21,'апрель 2024'!$J$4:$J$1689,W$1)</f>
        <v>0</v>
      </c>
      <c r="X21" s="80">
        <f>SUMIFS('апрель 2024'!$G$4:$G$1689,'апрель 2024'!$D$4:$D$1689,$B21,'апрель 2024'!$J$4:$J$1689,X$1)</f>
        <v>0</v>
      </c>
      <c r="Y21" s="80">
        <f>SUMIFS('апрель 2024'!$G$4:$G$1689,'апрель 2024'!$D$4:$D$1689,$B21,'апрель 2024'!$J$4:$J$1689,Y$1)</f>
        <v>0</v>
      </c>
      <c r="Z21" s="80">
        <f>SUMIFS('апрель 2024'!$G$4:$G$1689,'апрель 2024'!$D$4:$D$1689,$B21,'апрель 2024'!$J$4:$J$1689,Z$1)</f>
        <v>0</v>
      </c>
      <c r="AA21" s="80">
        <f>SUMIFS('апрель 2024'!$G$4:$G$1689,'апрель 2024'!$D$4:$D$1689,$B21,'апрель 2024'!$J$4:$J$1689,AA$1)</f>
        <v>0</v>
      </c>
      <c r="AB21" s="80">
        <f>SUMIFS('апрель 2024'!$G$4:$G$1689,'апрель 2024'!$D$4:$D$1689,$B21,'апрель 2024'!$J$4:$J$1689,AB$1)</f>
        <v>0</v>
      </c>
      <c r="AC21" s="80">
        <f>SUMIFS('апрель 2024'!$G$4:$G$1689,'апрель 2024'!$D$4:$D$1689,$B21,'апрель 2024'!$J$4:$J$1689,AC$1)</f>
        <v>0</v>
      </c>
      <c r="AD21" s="80">
        <f>SUMIFS('апрель 2024'!$G$4:$G$1689,'апрель 2024'!$D$4:$D$1689,$B21,'апрель 2024'!$J$4:$J$1689,AD$1)</f>
        <v>0</v>
      </c>
      <c r="AE21" s="80">
        <f>SUMIFS('апрель 2024'!$G$4:$G$1689,'апрель 2024'!$D$4:$D$1689,$B21,'апрель 2024'!$J$4:$J$1689,AE$1)</f>
        <v>0</v>
      </c>
      <c r="AF21" s="80">
        <f>SUMIFS('апрель 2024'!$G$4:$G$1689,'апрель 2024'!$D$4:$D$1689,$B21,'апрель 2024'!$J$4:$J$1689,AF$1)</f>
        <v>0</v>
      </c>
      <c r="AG21" s="80">
        <f>SUMIFS('апрель 2024'!$G$4:$G$1689,'апрель 2024'!$D$4:$D$1689,$B21,'апрель 2024'!$J$4:$J$1689,AG$1)</f>
        <v>0</v>
      </c>
      <c r="AH21" s="80">
        <f>SUMIFS('апрель 2024'!$G$4:$G$1689,'апрель 2024'!$D$4:$D$1689,$B21,'апрель 2024'!$J$4:$J$1689,AH$1)</f>
        <v>0</v>
      </c>
      <c r="AI21" s="21">
        <f t="shared" si="1"/>
        <v>0</v>
      </c>
    </row>
    <row r="22" spans="2:35" ht="15" customHeight="1" x14ac:dyDescent="0.25">
      <c r="B22" s="84" t="s">
        <v>311</v>
      </c>
      <c r="C22" s="103">
        <v>25</v>
      </c>
      <c r="D22" s="80">
        <f>SUMIFS('апрель 2024'!$G$4:$G$1689,'апрель 2024'!$D$4:$D$1689,$B22,'апрель 2024'!$J$4:$J$1689,D$1)</f>
        <v>0</v>
      </c>
      <c r="E22" s="80">
        <f>SUMIFS('апрель 2024'!$G$4:$G$1689,'апрель 2024'!$D$4:$D$1689,$B22,'апрель 2024'!$J$4:$J$1689,E$1)</f>
        <v>0</v>
      </c>
      <c r="F22" s="80">
        <f>SUMIFS('апрель 2024'!$G$4:$G$1689,'апрель 2024'!$D$4:$D$1689,$B22,'апрель 2024'!$J$4:$J$1689,F$1)</f>
        <v>0</v>
      </c>
      <c r="G22" s="80">
        <f>SUMIFS('апрель 2024'!$G$4:$G$1689,'апрель 2024'!$D$4:$D$1689,$B22,'апрель 2024'!$J$4:$J$1689,G$1)</f>
        <v>0</v>
      </c>
      <c r="H22" s="80">
        <f>SUMIFS('апрель 2024'!$G$4:$G$1689,'апрель 2024'!$D$4:$D$1689,$B22,'апрель 2024'!$J$4:$J$1689,H$1)</f>
        <v>0</v>
      </c>
      <c r="I22" s="80">
        <f>SUMIFS('апрель 2024'!$G$4:$G$1689,'апрель 2024'!$D$4:$D$1689,$B22,'апрель 2024'!$J$4:$J$1689,I$1)</f>
        <v>0</v>
      </c>
      <c r="J22" s="80">
        <f>SUMIFS('апрель 2024'!$G$4:$G$1689,'апрель 2024'!$D$4:$D$1689,$B22,'апрель 2024'!$J$4:$J$1689,J$1)</f>
        <v>0</v>
      </c>
      <c r="K22" s="80">
        <f>SUMIFS('апрель 2024'!$G$4:$G$1689,'апрель 2024'!$D$4:$D$1689,$B22,'апрель 2024'!$J$4:$J$1689,K$1)</f>
        <v>0</v>
      </c>
      <c r="L22" s="80">
        <f>SUMIFS('апрель 2024'!$G$4:$G$1689,'апрель 2024'!$D$4:$D$1689,$B22,'апрель 2024'!$J$4:$J$1689,L$1)</f>
        <v>0</v>
      </c>
      <c r="M22" s="80">
        <f>SUMIFS('апрель 2024'!$G$4:$G$1689,'апрель 2024'!$D$4:$D$1689,$B22,'апрель 2024'!$J$4:$J$1689,M$1)</f>
        <v>0</v>
      </c>
      <c r="N22" s="80">
        <f>SUMIFS('апрель 2024'!$G$4:$G$1689,'апрель 2024'!$D$4:$D$1689,$B22,'апрель 2024'!$J$4:$J$1689,N$1)</f>
        <v>0</v>
      </c>
      <c r="O22" s="80">
        <f>SUMIFS('апрель 2024'!$G$4:$G$1689,'апрель 2024'!$D$4:$D$1689,$B22,'апрель 2024'!$J$4:$J$1689,O$1)</f>
        <v>0</v>
      </c>
      <c r="P22" s="80">
        <f>SUMIFS('апрель 2024'!$G$4:$G$1689,'апрель 2024'!$D$4:$D$1689,$B22,'апрель 2024'!$J$4:$J$1689,P$1)</f>
        <v>0</v>
      </c>
      <c r="Q22" s="80">
        <f>SUMIFS('апрель 2024'!$G$4:$G$1689,'апрель 2024'!$D$4:$D$1689,$B22,'апрель 2024'!$J$4:$J$1689,Q$1)</f>
        <v>0</v>
      </c>
      <c r="R22" s="80">
        <f>SUMIFS('апрель 2024'!$G$4:$G$1689,'апрель 2024'!$D$4:$D$1689,$B22,'апрель 2024'!$J$4:$J$1689,R$1)</f>
        <v>0</v>
      </c>
      <c r="S22" s="80">
        <f>SUMIFS('апрель 2024'!$G$4:$G$1689,'апрель 2024'!$D$4:$D$1689,$B22,'апрель 2024'!$J$4:$J$1689,S$1)</f>
        <v>0</v>
      </c>
      <c r="T22" s="80">
        <f>SUMIFS('апрель 2024'!$G$4:$G$1689,'апрель 2024'!$D$4:$D$1689,$B22,'апрель 2024'!$J$4:$J$1689,T$1)</f>
        <v>0</v>
      </c>
      <c r="U22" s="80">
        <f>SUMIFS('апрель 2024'!$G$4:$G$1689,'апрель 2024'!$D$4:$D$1689,$B22,'апрель 2024'!$J$4:$J$1689,U$1)</f>
        <v>0</v>
      </c>
      <c r="V22" s="80">
        <f>SUMIFS('апрель 2024'!$G$4:$G$1689,'апрель 2024'!$D$4:$D$1689,$B22,'апрель 2024'!$J$4:$J$1689,V$1)</f>
        <v>0</v>
      </c>
      <c r="W22" s="80">
        <f>SUMIFS('апрель 2024'!$G$4:$G$1689,'апрель 2024'!$D$4:$D$1689,$B22,'апрель 2024'!$J$4:$J$1689,W$1)</f>
        <v>0</v>
      </c>
      <c r="X22" s="80">
        <f>SUMIFS('апрель 2024'!$G$4:$G$1689,'апрель 2024'!$D$4:$D$1689,$B22,'апрель 2024'!$J$4:$J$1689,X$1)</f>
        <v>0</v>
      </c>
      <c r="Y22" s="80">
        <f>SUMIFS('апрель 2024'!$G$4:$G$1689,'апрель 2024'!$D$4:$D$1689,$B22,'апрель 2024'!$J$4:$J$1689,Y$1)</f>
        <v>0</v>
      </c>
      <c r="Z22" s="80">
        <f>SUMIFS('апрель 2024'!$G$4:$G$1689,'апрель 2024'!$D$4:$D$1689,$B22,'апрель 2024'!$J$4:$J$1689,Z$1)</f>
        <v>0</v>
      </c>
      <c r="AA22" s="80">
        <f>SUMIFS('апрель 2024'!$G$4:$G$1689,'апрель 2024'!$D$4:$D$1689,$B22,'апрель 2024'!$J$4:$J$1689,AA$1)</f>
        <v>0</v>
      </c>
      <c r="AB22" s="80">
        <f>SUMIFS('апрель 2024'!$G$4:$G$1689,'апрель 2024'!$D$4:$D$1689,$B22,'апрель 2024'!$J$4:$J$1689,AB$1)</f>
        <v>0</v>
      </c>
      <c r="AC22" s="80">
        <f>SUMIFS('апрель 2024'!$G$4:$G$1689,'апрель 2024'!$D$4:$D$1689,$B22,'апрель 2024'!$J$4:$J$1689,AC$1)</f>
        <v>0</v>
      </c>
      <c r="AD22" s="80">
        <f>SUMIFS('апрель 2024'!$G$4:$G$1689,'апрель 2024'!$D$4:$D$1689,$B22,'апрель 2024'!$J$4:$J$1689,AD$1)</f>
        <v>0</v>
      </c>
      <c r="AE22" s="80">
        <f>SUMIFS('апрель 2024'!$G$4:$G$1689,'апрель 2024'!$D$4:$D$1689,$B22,'апрель 2024'!$J$4:$J$1689,AE$1)</f>
        <v>0</v>
      </c>
      <c r="AF22" s="80">
        <f>SUMIFS('апрель 2024'!$G$4:$G$1689,'апрель 2024'!$D$4:$D$1689,$B22,'апрель 2024'!$J$4:$J$1689,AF$1)</f>
        <v>0</v>
      </c>
      <c r="AG22" s="80">
        <f>SUMIFS('апрель 2024'!$G$4:$G$1689,'апрель 2024'!$D$4:$D$1689,$B22,'апрель 2024'!$J$4:$J$1689,AG$1)</f>
        <v>0</v>
      </c>
      <c r="AH22" s="80">
        <f>SUMIFS('апрель 2024'!$G$4:$G$1689,'апрель 2024'!$D$4:$D$1689,$B22,'апрель 2024'!$J$4:$J$1689,AH$1)</f>
        <v>0</v>
      </c>
      <c r="AI22" s="21">
        <f t="shared" si="1"/>
        <v>0</v>
      </c>
    </row>
    <row r="23" spans="2:35" ht="15" customHeight="1" x14ac:dyDescent="0.25">
      <c r="B23" s="84" t="s">
        <v>312</v>
      </c>
      <c r="C23" s="82">
        <v>25</v>
      </c>
      <c r="D23" s="80">
        <f>SUMIFS('апрель 2024'!$G$4:$G$1689,'апрель 2024'!$D$4:$D$1689,$B23,'апрель 2024'!$J$4:$J$1689,D$1)</f>
        <v>0</v>
      </c>
      <c r="E23" s="80">
        <f>SUMIFS('апрель 2024'!$G$4:$G$1689,'апрель 2024'!$D$4:$D$1689,$B23,'апрель 2024'!$J$4:$J$1689,E$1)</f>
        <v>0</v>
      </c>
      <c r="F23" s="80">
        <f>SUMIFS('апрель 2024'!$G$4:$G$1689,'апрель 2024'!$D$4:$D$1689,$B23,'апрель 2024'!$J$4:$J$1689,F$1)</f>
        <v>0</v>
      </c>
      <c r="G23" s="80">
        <f>SUMIFS('апрель 2024'!$G$4:$G$1689,'апрель 2024'!$D$4:$D$1689,$B23,'апрель 2024'!$J$4:$J$1689,G$1)</f>
        <v>0</v>
      </c>
      <c r="H23" s="80">
        <f>SUMIFS('апрель 2024'!$G$4:$G$1689,'апрель 2024'!$D$4:$D$1689,$B23,'апрель 2024'!$J$4:$J$1689,H$1)</f>
        <v>0</v>
      </c>
      <c r="I23" s="80">
        <f>SUMIFS('апрель 2024'!$G$4:$G$1689,'апрель 2024'!$D$4:$D$1689,$B23,'апрель 2024'!$J$4:$J$1689,I$1)</f>
        <v>0</v>
      </c>
      <c r="J23" s="80">
        <f>SUMIFS('апрель 2024'!$G$4:$G$1689,'апрель 2024'!$D$4:$D$1689,$B23,'апрель 2024'!$J$4:$J$1689,J$1)</f>
        <v>0</v>
      </c>
      <c r="K23" s="80">
        <f>SUMIFS('апрель 2024'!$G$4:$G$1689,'апрель 2024'!$D$4:$D$1689,$B23,'апрель 2024'!$J$4:$J$1689,K$1)</f>
        <v>0</v>
      </c>
      <c r="L23" s="80">
        <f>SUMIFS('апрель 2024'!$G$4:$G$1689,'апрель 2024'!$D$4:$D$1689,$B23,'апрель 2024'!$J$4:$J$1689,L$1)</f>
        <v>0</v>
      </c>
      <c r="M23" s="80">
        <f>SUMIFS('апрель 2024'!$G$4:$G$1689,'апрель 2024'!$D$4:$D$1689,$B23,'апрель 2024'!$J$4:$J$1689,M$1)</f>
        <v>0</v>
      </c>
      <c r="N23" s="80">
        <f>SUMIFS('апрель 2024'!$G$4:$G$1689,'апрель 2024'!$D$4:$D$1689,$B23,'апрель 2024'!$J$4:$J$1689,N$1)</f>
        <v>0</v>
      </c>
      <c r="O23" s="80">
        <f>SUMIFS('апрель 2024'!$G$4:$G$1689,'апрель 2024'!$D$4:$D$1689,$B23,'апрель 2024'!$J$4:$J$1689,O$1)</f>
        <v>0</v>
      </c>
      <c r="P23" s="80">
        <f>SUMIFS('апрель 2024'!$G$4:$G$1689,'апрель 2024'!$D$4:$D$1689,$B23,'апрель 2024'!$J$4:$J$1689,P$1)</f>
        <v>0</v>
      </c>
      <c r="Q23" s="80">
        <f>SUMIFS('апрель 2024'!$G$4:$G$1689,'апрель 2024'!$D$4:$D$1689,$B23,'апрель 2024'!$J$4:$J$1689,Q$1)</f>
        <v>0</v>
      </c>
      <c r="R23" s="80">
        <f>SUMIFS('апрель 2024'!$G$4:$G$1689,'апрель 2024'!$D$4:$D$1689,$B23,'апрель 2024'!$J$4:$J$1689,R$1)</f>
        <v>0</v>
      </c>
      <c r="S23" s="80">
        <f>SUMIFS('апрель 2024'!$G$4:$G$1689,'апрель 2024'!$D$4:$D$1689,$B23,'апрель 2024'!$J$4:$J$1689,S$1)</f>
        <v>0</v>
      </c>
      <c r="T23" s="80">
        <f>SUMIFS('апрель 2024'!$G$4:$G$1689,'апрель 2024'!$D$4:$D$1689,$B23,'апрель 2024'!$J$4:$J$1689,T$1)</f>
        <v>0</v>
      </c>
      <c r="U23" s="80">
        <f>SUMIFS('апрель 2024'!$G$4:$G$1689,'апрель 2024'!$D$4:$D$1689,$B23,'апрель 2024'!$J$4:$J$1689,U$1)</f>
        <v>0</v>
      </c>
      <c r="V23" s="80">
        <f>SUMIFS('апрель 2024'!$G$4:$G$1689,'апрель 2024'!$D$4:$D$1689,$B23,'апрель 2024'!$J$4:$J$1689,V$1)</f>
        <v>0</v>
      </c>
      <c r="W23" s="80">
        <f>SUMIFS('апрель 2024'!$G$4:$G$1689,'апрель 2024'!$D$4:$D$1689,$B23,'апрель 2024'!$J$4:$J$1689,W$1)</f>
        <v>0</v>
      </c>
      <c r="X23" s="80">
        <f>SUMIFS('апрель 2024'!$G$4:$G$1689,'апрель 2024'!$D$4:$D$1689,$B23,'апрель 2024'!$J$4:$J$1689,X$1)</f>
        <v>0</v>
      </c>
      <c r="Y23" s="80">
        <f>SUMIFS('апрель 2024'!$G$4:$G$1689,'апрель 2024'!$D$4:$D$1689,$B23,'апрель 2024'!$J$4:$J$1689,Y$1)</f>
        <v>0</v>
      </c>
      <c r="Z23" s="80">
        <f>SUMIFS('апрель 2024'!$G$4:$G$1689,'апрель 2024'!$D$4:$D$1689,$B23,'апрель 2024'!$J$4:$J$1689,Z$1)</f>
        <v>0</v>
      </c>
      <c r="AA23" s="80">
        <f>SUMIFS('апрель 2024'!$G$4:$G$1689,'апрель 2024'!$D$4:$D$1689,$B23,'апрель 2024'!$J$4:$J$1689,AA$1)</f>
        <v>0</v>
      </c>
      <c r="AB23" s="80">
        <f>SUMIFS('апрель 2024'!$G$4:$G$1689,'апрель 2024'!$D$4:$D$1689,$B23,'апрель 2024'!$J$4:$J$1689,AB$1)</f>
        <v>0</v>
      </c>
      <c r="AC23" s="80">
        <f>SUMIFS('апрель 2024'!$G$4:$G$1689,'апрель 2024'!$D$4:$D$1689,$B23,'апрель 2024'!$J$4:$J$1689,AC$1)</f>
        <v>0</v>
      </c>
      <c r="AD23" s="80">
        <f>SUMIFS('апрель 2024'!$G$4:$G$1689,'апрель 2024'!$D$4:$D$1689,$B23,'апрель 2024'!$J$4:$J$1689,AD$1)</f>
        <v>0</v>
      </c>
      <c r="AE23" s="80">
        <f>SUMIFS('апрель 2024'!$G$4:$G$1689,'апрель 2024'!$D$4:$D$1689,$B23,'апрель 2024'!$J$4:$J$1689,AE$1)</f>
        <v>0</v>
      </c>
      <c r="AF23" s="80">
        <f>SUMIFS('апрель 2024'!$G$4:$G$1689,'апрель 2024'!$D$4:$D$1689,$B23,'апрель 2024'!$J$4:$J$1689,AF$1)</f>
        <v>0</v>
      </c>
      <c r="AG23" s="80">
        <f>SUMIFS('апрель 2024'!$G$4:$G$1689,'апрель 2024'!$D$4:$D$1689,$B23,'апрель 2024'!$J$4:$J$1689,AG$1)</f>
        <v>0</v>
      </c>
      <c r="AH23" s="80">
        <f>SUMIFS('апрель 2024'!$G$4:$G$1689,'апрель 2024'!$D$4:$D$1689,$B23,'апрель 2024'!$J$4:$J$1689,AH$1)</f>
        <v>0</v>
      </c>
      <c r="AI23" s="21">
        <f t="shared" si="1"/>
        <v>0</v>
      </c>
    </row>
    <row r="24" spans="2:35" ht="15" customHeight="1" x14ac:dyDescent="0.25">
      <c r="B24" s="84" t="s">
        <v>313</v>
      </c>
      <c r="C24" s="82">
        <v>25</v>
      </c>
      <c r="D24" s="80">
        <f>SUMIFS('апрель 2024'!$G$4:$G$1689,'апрель 2024'!$D$4:$D$1689,$B24,'апрель 2024'!$J$4:$J$1689,D$1)</f>
        <v>0</v>
      </c>
      <c r="E24" s="80">
        <f>SUMIFS('апрель 2024'!$G$4:$G$1689,'апрель 2024'!$D$4:$D$1689,$B24,'апрель 2024'!$J$4:$J$1689,E$1)</f>
        <v>0</v>
      </c>
      <c r="F24" s="80">
        <f>SUMIFS('апрель 2024'!$G$4:$G$1689,'апрель 2024'!$D$4:$D$1689,$B24,'апрель 2024'!$J$4:$J$1689,F$1)</f>
        <v>0</v>
      </c>
      <c r="G24" s="80">
        <f>SUMIFS('апрель 2024'!$G$4:$G$1689,'апрель 2024'!$D$4:$D$1689,$B24,'апрель 2024'!$J$4:$J$1689,G$1)</f>
        <v>0</v>
      </c>
      <c r="H24" s="80">
        <f>SUMIFS('апрель 2024'!$G$4:$G$1689,'апрель 2024'!$D$4:$D$1689,$B24,'апрель 2024'!$J$4:$J$1689,H$1)</f>
        <v>0</v>
      </c>
      <c r="I24" s="80">
        <f>SUMIFS('апрель 2024'!$G$4:$G$1689,'апрель 2024'!$D$4:$D$1689,$B24,'апрель 2024'!$J$4:$J$1689,I$1)</f>
        <v>0</v>
      </c>
      <c r="J24" s="80">
        <f>SUMIFS('апрель 2024'!$G$4:$G$1689,'апрель 2024'!$D$4:$D$1689,$B24,'апрель 2024'!$J$4:$J$1689,J$1)</f>
        <v>0</v>
      </c>
      <c r="K24" s="80">
        <f>SUMIFS('апрель 2024'!$G$4:$G$1689,'апрель 2024'!$D$4:$D$1689,$B24,'апрель 2024'!$J$4:$J$1689,K$1)</f>
        <v>0</v>
      </c>
      <c r="L24" s="80">
        <f>SUMIFS('апрель 2024'!$G$4:$G$1689,'апрель 2024'!$D$4:$D$1689,$B24,'апрель 2024'!$J$4:$J$1689,L$1)</f>
        <v>0</v>
      </c>
      <c r="M24" s="80">
        <f>SUMIFS('апрель 2024'!$G$4:$G$1689,'апрель 2024'!$D$4:$D$1689,$B24,'апрель 2024'!$J$4:$J$1689,M$1)</f>
        <v>0</v>
      </c>
      <c r="N24" s="80">
        <f>SUMIFS('апрель 2024'!$G$4:$G$1689,'апрель 2024'!$D$4:$D$1689,$B24,'апрель 2024'!$J$4:$J$1689,N$1)</f>
        <v>0</v>
      </c>
      <c r="O24" s="80">
        <f>SUMIFS('апрель 2024'!$G$4:$G$1689,'апрель 2024'!$D$4:$D$1689,$B24,'апрель 2024'!$J$4:$J$1689,O$1)</f>
        <v>0</v>
      </c>
      <c r="P24" s="80">
        <f>SUMIFS('апрель 2024'!$G$4:$G$1689,'апрель 2024'!$D$4:$D$1689,$B24,'апрель 2024'!$J$4:$J$1689,P$1)</f>
        <v>0</v>
      </c>
      <c r="Q24" s="80">
        <f>SUMIFS('апрель 2024'!$G$4:$G$1689,'апрель 2024'!$D$4:$D$1689,$B24,'апрель 2024'!$J$4:$J$1689,Q$1)</f>
        <v>0</v>
      </c>
      <c r="R24" s="80">
        <f>SUMIFS('апрель 2024'!$G$4:$G$1689,'апрель 2024'!$D$4:$D$1689,$B24,'апрель 2024'!$J$4:$J$1689,R$1)</f>
        <v>0</v>
      </c>
      <c r="S24" s="80">
        <f>SUMIFS('апрель 2024'!$G$4:$G$1689,'апрель 2024'!$D$4:$D$1689,$B24,'апрель 2024'!$J$4:$J$1689,S$1)</f>
        <v>0</v>
      </c>
      <c r="T24" s="80">
        <f>SUMIFS('апрель 2024'!$G$4:$G$1689,'апрель 2024'!$D$4:$D$1689,$B24,'апрель 2024'!$J$4:$J$1689,T$1)</f>
        <v>0</v>
      </c>
      <c r="U24" s="80">
        <f>SUMIFS('апрель 2024'!$G$4:$G$1689,'апрель 2024'!$D$4:$D$1689,$B24,'апрель 2024'!$J$4:$J$1689,U$1)</f>
        <v>0</v>
      </c>
      <c r="V24" s="80">
        <f>SUMIFS('апрель 2024'!$G$4:$G$1689,'апрель 2024'!$D$4:$D$1689,$B24,'апрель 2024'!$J$4:$J$1689,V$1)</f>
        <v>0</v>
      </c>
      <c r="W24" s="80">
        <f>SUMIFS('апрель 2024'!$G$4:$G$1689,'апрель 2024'!$D$4:$D$1689,$B24,'апрель 2024'!$J$4:$J$1689,W$1)</f>
        <v>0</v>
      </c>
      <c r="X24" s="80">
        <f>SUMIFS('апрель 2024'!$G$4:$G$1689,'апрель 2024'!$D$4:$D$1689,$B24,'апрель 2024'!$J$4:$J$1689,X$1)</f>
        <v>0</v>
      </c>
      <c r="Y24" s="80">
        <f>SUMIFS('апрель 2024'!$G$4:$G$1689,'апрель 2024'!$D$4:$D$1689,$B24,'апрель 2024'!$J$4:$J$1689,Y$1)</f>
        <v>0</v>
      </c>
      <c r="Z24" s="80">
        <f>SUMIFS('апрель 2024'!$G$4:$G$1689,'апрель 2024'!$D$4:$D$1689,$B24,'апрель 2024'!$J$4:$J$1689,Z$1)</f>
        <v>0</v>
      </c>
      <c r="AA24" s="80">
        <f>SUMIFS('апрель 2024'!$G$4:$G$1689,'апрель 2024'!$D$4:$D$1689,$B24,'апрель 2024'!$J$4:$J$1689,AA$1)</f>
        <v>0</v>
      </c>
      <c r="AB24" s="80">
        <f>SUMIFS('апрель 2024'!$G$4:$G$1689,'апрель 2024'!$D$4:$D$1689,$B24,'апрель 2024'!$J$4:$J$1689,AB$1)</f>
        <v>0</v>
      </c>
      <c r="AC24" s="80">
        <f>SUMIFS('апрель 2024'!$G$4:$G$1689,'апрель 2024'!$D$4:$D$1689,$B24,'апрель 2024'!$J$4:$J$1689,AC$1)</f>
        <v>0</v>
      </c>
      <c r="AD24" s="80">
        <f>SUMIFS('апрель 2024'!$G$4:$G$1689,'апрель 2024'!$D$4:$D$1689,$B24,'апрель 2024'!$J$4:$J$1689,AD$1)</f>
        <v>0</v>
      </c>
      <c r="AE24" s="80">
        <f>SUMIFS('апрель 2024'!$G$4:$G$1689,'апрель 2024'!$D$4:$D$1689,$B24,'апрель 2024'!$J$4:$J$1689,AE$1)</f>
        <v>0</v>
      </c>
      <c r="AF24" s="80">
        <f>SUMIFS('апрель 2024'!$G$4:$G$1689,'апрель 2024'!$D$4:$D$1689,$B24,'апрель 2024'!$J$4:$J$1689,AF$1)</f>
        <v>0</v>
      </c>
      <c r="AG24" s="80">
        <f>SUMIFS('апрель 2024'!$G$4:$G$1689,'апрель 2024'!$D$4:$D$1689,$B24,'апрель 2024'!$J$4:$J$1689,AG$1)</f>
        <v>0</v>
      </c>
      <c r="AH24" s="80">
        <f>SUMIFS('апрель 2024'!$G$4:$G$1689,'апрель 2024'!$D$4:$D$1689,$B24,'апрель 2024'!$J$4:$J$1689,AH$1)</f>
        <v>0</v>
      </c>
      <c r="AI24" s="21">
        <f t="shared" si="1"/>
        <v>0</v>
      </c>
    </row>
    <row r="25" spans="2:35" ht="15" customHeight="1" x14ac:dyDescent="0.25">
      <c r="B25" s="84" t="s">
        <v>314</v>
      </c>
      <c r="C25" s="82">
        <v>25</v>
      </c>
      <c r="D25" s="80">
        <f>SUMIFS('апрель 2024'!$G$4:$G$1689,'апрель 2024'!$D$4:$D$1689,$B25,'апрель 2024'!$J$4:$J$1689,D$1)</f>
        <v>0</v>
      </c>
      <c r="E25" s="80">
        <f>SUMIFS('апрель 2024'!$G$4:$G$1689,'апрель 2024'!$D$4:$D$1689,$B25,'апрель 2024'!$J$4:$J$1689,E$1)</f>
        <v>0</v>
      </c>
      <c r="F25" s="80">
        <f>SUMIFS('апрель 2024'!$G$4:$G$1689,'апрель 2024'!$D$4:$D$1689,$B25,'апрель 2024'!$J$4:$J$1689,F$1)</f>
        <v>0</v>
      </c>
      <c r="G25" s="80">
        <f>SUMIFS('апрель 2024'!$G$4:$G$1689,'апрель 2024'!$D$4:$D$1689,$B25,'апрель 2024'!$J$4:$J$1689,G$1)</f>
        <v>0</v>
      </c>
      <c r="H25" s="80">
        <f>SUMIFS('апрель 2024'!$G$4:$G$1689,'апрель 2024'!$D$4:$D$1689,$B25,'апрель 2024'!$J$4:$J$1689,H$1)</f>
        <v>0</v>
      </c>
      <c r="I25" s="80">
        <f>SUMIFS('апрель 2024'!$G$4:$G$1689,'апрель 2024'!$D$4:$D$1689,$B25,'апрель 2024'!$J$4:$J$1689,I$1)</f>
        <v>0</v>
      </c>
      <c r="J25" s="80">
        <f>SUMIFS('апрель 2024'!$G$4:$G$1689,'апрель 2024'!$D$4:$D$1689,$B25,'апрель 2024'!$J$4:$J$1689,J$1)</f>
        <v>0</v>
      </c>
      <c r="K25" s="80">
        <f>SUMIFS('апрель 2024'!$G$4:$G$1689,'апрель 2024'!$D$4:$D$1689,$B25,'апрель 2024'!$J$4:$J$1689,K$1)</f>
        <v>0</v>
      </c>
      <c r="L25" s="80">
        <f>SUMIFS('апрель 2024'!$G$4:$G$1689,'апрель 2024'!$D$4:$D$1689,$B25,'апрель 2024'!$J$4:$J$1689,L$1)</f>
        <v>0</v>
      </c>
      <c r="M25" s="80">
        <f>SUMIFS('апрель 2024'!$G$4:$G$1689,'апрель 2024'!$D$4:$D$1689,$B25,'апрель 2024'!$J$4:$J$1689,M$1)</f>
        <v>0</v>
      </c>
      <c r="N25" s="80">
        <f>SUMIFS('апрель 2024'!$G$4:$G$1689,'апрель 2024'!$D$4:$D$1689,$B25,'апрель 2024'!$J$4:$J$1689,N$1)</f>
        <v>0</v>
      </c>
      <c r="O25" s="80">
        <f>SUMIFS('апрель 2024'!$G$4:$G$1689,'апрель 2024'!$D$4:$D$1689,$B25,'апрель 2024'!$J$4:$J$1689,O$1)</f>
        <v>0</v>
      </c>
      <c r="P25" s="80">
        <f>SUMIFS('апрель 2024'!$G$4:$G$1689,'апрель 2024'!$D$4:$D$1689,$B25,'апрель 2024'!$J$4:$J$1689,P$1)</f>
        <v>0</v>
      </c>
      <c r="Q25" s="80">
        <f>SUMIFS('апрель 2024'!$G$4:$G$1689,'апрель 2024'!$D$4:$D$1689,$B25,'апрель 2024'!$J$4:$J$1689,Q$1)</f>
        <v>0</v>
      </c>
      <c r="R25" s="80">
        <f>SUMIFS('апрель 2024'!$G$4:$G$1689,'апрель 2024'!$D$4:$D$1689,$B25,'апрель 2024'!$J$4:$J$1689,R$1)</f>
        <v>0</v>
      </c>
      <c r="S25" s="80">
        <f>SUMIFS('апрель 2024'!$G$4:$G$1689,'апрель 2024'!$D$4:$D$1689,$B25,'апрель 2024'!$J$4:$J$1689,S$1)</f>
        <v>0</v>
      </c>
      <c r="T25" s="80">
        <f>SUMIFS('апрель 2024'!$G$4:$G$1689,'апрель 2024'!$D$4:$D$1689,$B25,'апрель 2024'!$J$4:$J$1689,T$1)</f>
        <v>0</v>
      </c>
      <c r="U25" s="80">
        <f>SUMIFS('апрель 2024'!$G$4:$G$1689,'апрель 2024'!$D$4:$D$1689,$B25,'апрель 2024'!$J$4:$J$1689,U$1)</f>
        <v>0</v>
      </c>
      <c r="V25" s="80">
        <f>SUMIFS('апрель 2024'!$G$4:$G$1689,'апрель 2024'!$D$4:$D$1689,$B25,'апрель 2024'!$J$4:$J$1689,V$1)</f>
        <v>0</v>
      </c>
      <c r="W25" s="80">
        <f>SUMIFS('апрель 2024'!$G$4:$G$1689,'апрель 2024'!$D$4:$D$1689,$B25,'апрель 2024'!$J$4:$J$1689,W$1)</f>
        <v>0</v>
      </c>
      <c r="X25" s="80">
        <f>SUMIFS('апрель 2024'!$G$4:$G$1689,'апрель 2024'!$D$4:$D$1689,$B25,'апрель 2024'!$J$4:$J$1689,X$1)</f>
        <v>0</v>
      </c>
      <c r="Y25" s="80">
        <f>SUMIFS('апрель 2024'!$G$4:$G$1689,'апрель 2024'!$D$4:$D$1689,$B25,'апрель 2024'!$J$4:$J$1689,Y$1)</f>
        <v>0</v>
      </c>
      <c r="Z25" s="80">
        <f>SUMIFS('апрель 2024'!$G$4:$G$1689,'апрель 2024'!$D$4:$D$1689,$B25,'апрель 2024'!$J$4:$J$1689,Z$1)</f>
        <v>0</v>
      </c>
      <c r="AA25" s="80">
        <f>SUMIFS('апрель 2024'!$G$4:$G$1689,'апрель 2024'!$D$4:$D$1689,$B25,'апрель 2024'!$J$4:$J$1689,AA$1)</f>
        <v>0</v>
      </c>
      <c r="AB25" s="80">
        <f>SUMIFS('апрель 2024'!$G$4:$G$1689,'апрель 2024'!$D$4:$D$1689,$B25,'апрель 2024'!$J$4:$J$1689,AB$1)</f>
        <v>0</v>
      </c>
      <c r="AC25" s="80">
        <f>SUMIFS('апрель 2024'!$G$4:$G$1689,'апрель 2024'!$D$4:$D$1689,$B25,'апрель 2024'!$J$4:$J$1689,AC$1)</f>
        <v>0</v>
      </c>
      <c r="AD25" s="80">
        <f>SUMIFS('апрель 2024'!$G$4:$G$1689,'апрель 2024'!$D$4:$D$1689,$B25,'апрель 2024'!$J$4:$J$1689,AD$1)</f>
        <v>0</v>
      </c>
      <c r="AE25" s="80">
        <f>SUMIFS('апрель 2024'!$G$4:$G$1689,'апрель 2024'!$D$4:$D$1689,$B25,'апрель 2024'!$J$4:$J$1689,AE$1)</f>
        <v>0</v>
      </c>
      <c r="AF25" s="80">
        <f>SUMIFS('апрель 2024'!$G$4:$G$1689,'апрель 2024'!$D$4:$D$1689,$B25,'апрель 2024'!$J$4:$J$1689,AF$1)</f>
        <v>0</v>
      </c>
      <c r="AG25" s="80">
        <f>SUMIFS('апрель 2024'!$G$4:$G$1689,'апрель 2024'!$D$4:$D$1689,$B25,'апрель 2024'!$J$4:$J$1689,AG$1)</f>
        <v>0</v>
      </c>
      <c r="AH25" s="80">
        <f>SUMIFS('апрель 2024'!$G$4:$G$1689,'апрель 2024'!$D$4:$D$1689,$B25,'апрель 2024'!$J$4:$J$1689,AH$1)</f>
        <v>0</v>
      </c>
      <c r="AI25" s="21">
        <f t="shared" si="1"/>
        <v>0</v>
      </c>
    </row>
    <row r="26" spans="2:35" ht="15" customHeight="1" x14ac:dyDescent="0.25">
      <c r="B26" s="84" t="s">
        <v>315</v>
      </c>
      <c r="C26" s="82">
        <v>25</v>
      </c>
      <c r="D26" s="80">
        <f>SUMIFS('апрель 2024'!$G$4:$G$1689,'апрель 2024'!$D$4:$D$1689,$B26,'апрель 2024'!$J$4:$J$1689,D$1)</f>
        <v>0</v>
      </c>
      <c r="E26" s="80">
        <f>SUMIFS('апрель 2024'!$G$4:$G$1689,'апрель 2024'!$D$4:$D$1689,$B26,'апрель 2024'!$J$4:$J$1689,E$1)</f>
        <v>0</v>
      </c>
      <c r="F26" s="80">
        <f>SUMIFS('апрель 2024'!$G$4:$G$1689,'апрель 2024'!$D$4:$D$1689,$B26,'апрель 2024'!$J$4:$J$1689,F$1)</f>
        <v>0</v>
      </c>
      <c r="G26" s="80">
        <f>SUMIFS('апрель 2024'!$G$4:$G$1689,'апрель 2024'!$D$4:$D$1689,$B26,'апрель 2024'!$J$4:$J$1689,G$1)</f>
        <v>0</v>
      </c>
      <c r="H26" s="80">
        <f>SUMIFS('апрель 2024'!$G$4:$G$1689,'апрель 2024'!$D$4:$D$1689,$B26,'апрель 2024'!$J$4:$J$1689,H$1)</f>
        <v>0</v>
      </c>
      <c r="I26" s="80">
        <f>SUMIFS('апрель 2024'!$G$4:$G$1689,'апрель 2024'!$D$4:$D$1689,$B26,'апрель 2024'!$J$4:$J$1689,I$1)</f>
        <v>0</v>
      </c>
      <c r="J26" s="80">
        <f>SUMIFS('апрель 2024'!$G$4:$G$1689,'апрель 2024'!$D$4:$D$1689,$B26,'апрель 2024'!$J$4:$J$1689,J$1)</f>
        <v>0</v>
      </c>
      <c r="K26" s="80">
        <f>SUMIFS('апрель 2024'!$G$4:$G$1689,'апрель 2024'!$D$4:$D$1689,$B26,'апрель 2024'!$J$4:$J$1689,K$1)</f>
        <v>0</v>
      </c>
      <c r="L26" s="80">
        <f>SUMIFS('апрель 2024'!$G$4:$G$1689,'апрель 2024'!$D$4:$D$1689,$B26,'апрель 2024'!$J$4:$J$1689,L$1)</f>
        <v>0</v>
      </c>
      <c r="M26" s="80">
        <f>SUMIFS('апрель 2024'!$G$4:$G$1689,'апрель 2024'!$D$4:$D$1689,$B26,'апрель 2024'!$J$4:$J$1689,M$1)</f>
        <v>0</v>
      </c>
      <c r="N26" s="80">
        <f>SUMIFS('апрель 2024'!$G$4:$G$1689,'апрель 2024'!$D$4:$D$1689,$B26,'апрель 2024'!$J$4:$J$1689,N$1)</f>
        <v>0</v>
      </c>
      <c r="O26" s="80">
        <f>SUMIFS('апрель 2024'!$G$4:$G$1689,'апрель 2024'!$D$4:$D$1689,$B26,'апрель 2024'!$J$4:$J$1689,O$1)</f>
        <v>0</v>
      </c>
      <c r="P26" s="80">
        <f>SUMIFS('апрель 2024'!$G$4:$G$1689,'апрель 2024'!$D$4:$D$1689,$B26,'апрель 2024'!$J$4:$J$1689,P$1)</f>
        <v>0</v>
      </c>
      <c r="Q26" s="80">
        <f>SUMIFS('апрель 2024'!$G$4:$G$1689,'апрель 2024'!$D$4:$D$1689,$B26,'апрель 2024'!$J$4:$J$1689,Q$1)</f>
        <v>0</v>
      </c>
      <c r="R26" s="80">
        <f>SUMIFS('апрель 2024'!$G$4:$G$1689,'апрель 2024'!$D$4:$D$1689,$B26,'апрель 2024'!$J$4:$J$1689,R$1)</f>
        <v>0</v>
      </c>
      <c r="S26" s="80">
        <f>SUMIFS('апрель 2024'!$G$4:$G$1689,'апрель 2024'!$D$4:$D$1689,$B26,'апрель 2024'!$J$4:$J$1689,S$1)</f>
        <v>0</v>
      </c>
      <c r="T26" s="80">
        <f>SUMIFS('апрель 2024'!$G$4:$G$1689,'апрель 2024'!$D$4:$D$1689,$B26,'апрель 2024'!$J$4:$J$1689,T$1)</f>
        <v>0</v>
      </c>
      <c r="U26" s="80">
        <f>SUMIFS('апрель 2024'!$G$4:$G$1689,'апрель 2024'!$D$4:$D$1689,$B26,'апрель 2024'!$J$4:$J$1689,U$1)</f>
        <v>0</v>
      </c>
      <c r="V26" s="80">
        <f>SUMIFS('апрель 2024'!$G$4:$G$1689,'апрель 2024'!$D$4:$D$1689,$B26,'апрель 2024'!$J$4:$J$1689,V$1)</f>
        <v>0</v>
      </c>
      <c r="W26" s="80">
        <f>SUMIFS('апрель 2024'!$G$4:$G$1689,'апрель 2024'!$D$4:$D$1689,$B26,'апрель 2024'!$J$4:$J$1689,W$1)</f>
        <v>0</v>
      </c>
      <c r="X26" s="80">
        <f>SUMIFS('апрель 2024'!$G$4:$G$1689,'апрель 2024'!$D$4:$D$1689,$B26,'апрель 2024'!$J$4:$J$1689,X$1)</f>
        <v>0</v>
      </c>
      <c r="Y26" s="80">
        <f>SUMIFS('апрель 2024'!$G$4:$G$1689,'апрель 2024'!$D$4:$D$1689,$B26,'апрель 2024'!$J$4:$J$1689,Y$1)</f>
        <v>0</v>
      </c>
      <c r="Z26" s="80">
        <f>SUMIFS('апрель 2024'!$G$4:$G$1689,'апрель 2024'!$D$4:$D$1689,$B26,'апрель 2024'!$J$4:$J$1689,Z$1)</f>
        <v>0</v>
      </c>
      <c r="AA26" s="80">
        <f>SUMIFS('апрель 2024'!$G$4:$G$1689,'апрель 2024'!$D$4:$D$1689,$B26,'апрель 2024'!$J$4:$J$1689,AA$1)</f>
        <v>0</v>
      </c>
      <c r="AB26" s="80">
        <f>SUMIFS('апрель 2024'!$G$4:$G$1689,'апрель 2024'!$D$4:$D$1689,$B26,'апрель 2024'!$J$4:$J$1689,AB$1)</f>
        <v>0</v>
      </c>
      <c r="AC26" s="80">
        <f>SUMIFS('апрель 2024'!$G$4:$G$1689,'апрель 2024'!$D$4:$D$1689,$B26,'апрель 2024'!$J$4:$J$1689,AC$1)</f>
        <v>0</v>
      </c>
      <c r="AD26" s="80">
        <f>SUMIFS('апрель 2024'!$G$4:$G$1689,'апрель 2024'!$D$4:$D$1689,$B26,'апрель 2024'!$J$4:$J$1689,AD$1)</f>
        <v>0</v>
      </c>
      <c r="AE26" s="80">
        <f>SUMIFS('апрель 2024'!$G$4:$G$1689,'апрель 2024'!$D$4:$D$1689,$B26,'апрель 2024'!$J$4:$J$1689,AE$1)</f>
        <v>0</v>
      </c>
      <c r="AF26" s="80">
        <f>SUMIFS('апрель 2024'!$G$4:$G$1689,'апрель 2024'!$D$4:$D$1689,$B26,'апрель 2024'!$J$4:$J$1689,AF$1)</f>
        <v>0</v>
      </c>
      <c r="AG26" s="80">
        <f>SUMIFS('апрель 2024'!$G$4:$G$1689,'апрель 2024'!$D$4:$D$1689,$B26,'апрель 2024'!$J$4:$J$1689,AG$1)</f>
        <v>0</v>
      </c>
      <c r="AH26" s="80">
        <f>SUMIFS('апрель 2024'!$G$4:$G$1689,'апрель 2024'!$D$4:$D$1689,$B26,'апрель 2024'!$J$4:$J$1689,AH$1)</f>
        <v>0</v>
      </c>
      <c r="AI26" s="21">
        <f t="shared" si="1"/>
        <v>0</v>
      </c>
    </row>
    <row r="27" spans="2:35" ht="15" customHeight="1" x14ac:dyDescent="0.25">
      <c r="B27" s="84"/>
      <c r="C27" s="82"/>
      <c r="D27" s="80">
        <f>SUMIFS('апрель 2024'!$G$4:$G$1689,'апрель 2024'!$D$4:$D$1689,$B27,'апрель 2024'!$J$4:$J$1689,D$1)</f>
        <v>0</v>
      </c>
      <c r="E27" s="80">
        <f>SUMIFS('апрель 2024'!$G$4:$G$1689,'апрель 2024'!$D$4:$D$1689,$B27,'апрель 2024'!$J$4:$J$1689,E$1)</f>
        <v>0</v>
      </c>
      <c r="F27" s="80">
        <f>SUMIFS('апрель 2024'!$G$4:$G$1689,'апрель 2024'!$D$4:$D$1689,$B27,'апрель 2024'!$J$4:$J$1689,F$1)</f>
        <v>0</v>
      </c>
      <c r="G27" s="80">
        <f>SUMIFS('апрель 2024'!$G$4:$G$1689,'апрель 2024'!$D$4:$D$1689,$B27,'апрель 2024'!$J$4:$J$1689,G$1)</f>
        <v>0</v>
      </c>
      <c r="H27" s="80">
        <f>SUMIFS('апрель 2024'!$G$4:$G$1689,'апрель 2024'!$D$4:$D$1689,$B27,'апрель 2024'!$J$4:$J$1689,H$1)</f>
        <v>0</v>
      </c>
      <c r="I27" s="80">
        <f>SUMIFS('апрель 2024'!$G$4:$G$1689,'апрель 2024'!$D$4:$D$1689,$B27,'апрель 2024'!$J$4:$J$1689,I$1)</f>
        <v>0</v>
      </c>
      <c r="J27" s="80">
        <f>SUMIFS('апрель 2024'!$G$4:$G$1689,'апрель 2024'!$D$4:$D$1689,$B27,'апрель 2024'!$J$4:$J$1689,J$1)</f>
        <v>0</v>
      </c>
      <c r="K27" s="80">
        <f>SUMIFS('апрель 2024'!$G$4:$G$1689,'апрель 2024'!$D$4:$D$1689,$B27,'апрель 2024'!$J$4:$J$1689,K$1)</f>
        <v>0</v>
      </c>
      <c r="L27" s="80">
        <f>SUMIFS('апрель 2024'!$G$4:$G$1689,'апрель 2024'!$D$4:$D$1689,$B27,'апрель 2024'!$J$4:$J$1689,L$1)</f>
        <v>0</v>
      </c>
      <c r="M27" s="80">
        <f>SUMIFS('апрель 2024'!$G$4:$G$1689,'апрель 2024'!$D$4:$D$1689,$B27,'апрель 2024'!$J$4:$J$1689,M$1)</f>
        <v>0</v>
      </c>
      <c r="N27" s="80">
        <f>SUMIFS('апрель 2024'!$G$4:$G$1689,'апрель 2024'!$D$4:$D$1689,$B27,'апрель 2024'!$J$4:$J$1689,N$1)</f>
        <v>0</v>
      </c>
      <c r="O27" s="80">
        <f>SUMIFS('апрель 2024'!$G$4:$G$1689,'апрель 2024'!$D$4:$D$1689,$B27,'апрель 2024'!$J$4:$J$1689,O$1)</f>
        <v>0</v>
      </c>
      <c r="P27" s="80">
        <f>SUMIFS('апрель 2024'!$G$4:$G$1689,'апрель 2024'!$D$4:$D$1689,$B27,'апрель 2024'!$J$4:$J$1689,P$1)</f>
        <v>0</v>
      </c>
      <c r="Q27" s="80">
        <f>SUMIFS('апрель 2024'!$G$4:$G$1689,'апрель 2024'!$D$4:$D$1689,$B27,'апрель 2024'!$J$4:$J$1689,Q$1)</f>
        <v>0</v>
      </c>
      <c r="R27" s="80">
        <f>SUMIFS('апрель 2024'!$G$4:$G$1689,'апрель 2024'!$D$4:$D$1689,$B27,'апрель 2024'!$J$4:$J$1689,R$1)</f>
        <v>0</v>
      </c>
      <c r="S27" s="80">
        <f>SUMIFS('апрель 2024'!$G$4:$G$1689,'апрель 2024'!$D$4:$D$1689,$B27,'апрель 2024'!$J$4:$J$1689,S$1)</f>
        <v>0</v>
      </c>
      <c r="T27" s="80">
        <f>SUMIFS('апрель 2024'!$G$4:$G$1689,'апрель 2024'!$D$4:$D$1689,$B27,'апрель 2024'!$J$4:$J$1689,T$1)</f>
        <v>0</v>
      </c>
      <c r="U27" s="80">
        <f>SUMIFS('апрель 2024'!$G$4:$G$1689,'апрель 2024'!$D$4:$D$1689,$B27,'апрель 2024'!$J$4:$J$1689,U$1)</f>
        <v>0</v>
      </c>
      <c r="V27" s="80">
        <f>SUMIFS('апрель 2024'!$G$4:$G$1689,'апрель 2024'!$D$4:$D$1689,$B27,'апрель 2024'!$J$4:$J$1689,V$1)</f>
        <v>0</v>
      </c>
      <c r="W27" s="80">
        <f>SUMIFS('апрель 2024'!$G$4:$G$1689,'апрель 2024'!$D$4:$D$1689,$B27,'апрель 2024'!$J$4:$J$1689,W$1)</f>
        <v>0</v>
      </c>
      <c r="X27" s="80">
        <f>SUMIFS('апрель 2024'!$G$4:$G$1689,'апрель 2024'!$D$4:$D$1689,$B27,'апрель 2024'!$J$4:$J$1689,X$1)</f>
        <v>0</v>
      </c>
      <c r="Y27" s="80">
        <f>SUMIFS('апрель 2024'!$G$4:$G$1689,'апрель 2024'!$D$4:$D$1689,$B27,'апрель 2024'!$J$4:$J$1689,Y$1)</f>
        <v>0</v>
      </c>
      <c r="Z27" s="80">
        <f>SUMIFS('апрель 2024'!$G$4:$G$1689,'апрель 2024'!$D$4:$D$1689,$B27,'апрель 2024'!$J$4:$J$1689,Z$1)</f>
        <v>0</v>
      </c>
      <c r="AA27" s="80">
        <f>SUMIFS('апрель 2024'!$G$4:$G$1689,'апрель 2024'!$D$4:$D$1689,$B27,'апрель 2024'!$J$4:$J$1689,AA$1)</f>
        <v>0</v>
      </c>
      <c r="AB27" s="80">
        <f>SUMIFS('апрель 2024'!$G$4:$G$1689,'апрель 2024'!$D$4:$D$1689,$B27,'апрель 2024'!$J$4:$J$1689,AB$1)</f>
        <v>0</v>
      </c>
      <c r="AC27" s="80">
        <f>SUMIFS('апрель 2024'!$G$4:$G$1689,'апрель 2024'!$D$4:$D$1689,$B27,'апрель 2024'!$J$4:$J$1689,AC$1)</f>
        <v>0</v>
      </c>
      <c r="AD27" s="80">
        <f>SUMIFS('апрель 2024'!$G$4:$G$1689,'апрель 2024'!$D$4:$D$1689,$B27,'апрель 2024'!$J$4:$J$1689,AD$1)</f>
        <v>0</v>
      </c>
      <c r="AE27" s="80">
        <f>SUMIFS('апрель 2024'!$G$4:$G$1689,'апрель 2024'!$D$4:$D$1689,$B27,'апрель 2024'!$J$4:$J$1689,AE$1)</f>
        <v>0</v>
      </c>
      <c r="AF27" s="80">
        <f>SUMIFS('апрель 2024'!$G$4:$G$1689,'апрель 2024'!$D$4:$D$1689,$B27,'апрель 2024'!$J$4:$J$1689,AF$1)</f>
        <v>0</v>
      </c>
      <c r="AG27" s="80">
        <f>SUMIFS('апрель 2024'!$G$4:$G$1689,'апрель 2024'!$D$4:$D$1689,$B27,'апрель 2024'!$J$4:$J$1689,AG$1)</f>
        <v>0</v>
      </c>
      <c r="AH27" s="80">
        <f>SUMIFS('апрель 2024'!$G$4:$G$1689,'апрель 2024'!$D$4:$D$1689,$B27,'апрель 2024'!$J$4:$J$1689,AH$1)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80">
        <f>SUMIFS('апрель 2024'!$G$4:$G$1689,'апрель 2024'!$D$4:$D$1689,$B28,'апрель 2024'!$J$4:$J$1689,D$1)</f>
        <v>0</v>
      </c>
      <c r="E28" s="80">
        <f>SUMIFS('апрель 2024'!$G$4:$G$1689,'апрель 2024'!$D$4:$D$1689,$B28,'апрель 2024'!$J$4:$J$1689,E$1)</f>
        <v>0</v>
      </c>
      <c r="F28" s="80">
        <f>SUMIFS('апрель 2024'!$G$4:$G$1689,'апрель 2024'!$D$4:$D$1689,$B28,'апрель 2024'!$J$4:$J$1689,F$1)</f>
        <v>0</v>
      </c>
      <c r="G28" s="80">
        <f>SUMIFS('апрель 2024'!$G$4:$G$1689,'апрель 2024'!$D$4:$D$1689,$B28,'апрель 2024'!$J$4:$J$1689,G$1)</f>
        <v>0</v>
      </c>
      <c r="H28" s="80">
        <f>SUMIFS('апрель 2024'!$G$4:$G$1689,'апрель 2024'!$D$4:$D$1689,$B28,'апрель 2024'!$J$4:$J$1689,H$1)</f>
        <v>0</v>
      </c>
      <c r="I28" s="80">
        <f>SUMIFS('апрель 2024'!$G$4:$G$1689,'апрель 2024'!$D$4:$D$1689,$B28,'апрель 2024'!$J$4:$J$1689,I$1)</f>
        <v>0</v>
      </c>
      <c r="J28" s="80">
        <f>SUMIFS('апрель 2024'!$G$4:$G$1689,'апрель 2024'!$D$4:$D$1689,$B28,'апрель 2024'!$J$4:$J$1689,J$1)</f>
        <v>0</v>
      </c>
      <c r="K28" s="80">
        <f>SUMIFS('апрель 2024'!$G$4:$G$1689,'апрель 2024'!$D$4:$D$1689,$B28,'апрель 2024'!$J$4:$J$1689,K$1)</f>
        <v>0</v>
      </c>
      <c r="L28" s="80">
        <f>SUMIFS('апрель 2024'!$G$4:$G$1689,'апрель 2024'!$D$4:$D$1689,$B28,'апрель 2024'!$J$4:$J$1689,L$1)</f>
        <v>0</v>
      </c>
      <c r="M28" s="80">
        <f>SUMIFS('апрель 2024'!$G$4:$G$1689,'апрель 2024'!$D$4:$D$1689,$B28,'апрель 2024'!$J$4:$J$1689,M$1)</f>
        <v>0</v>
      </c>
      <c r="N28" s="80">
        <f>SUMIFS('апрель 2024'!$G$4:$G$1689,'апрель 2024'!$D$4:$D$1689,$B28,'апрель 2024'!$J$4:$J$1689,N$1)</f>
        <v>0</v>
      </c>
      <c r="O28" s="80">
        <f>SUMIFS('апрель 2024'!$G$4:$G$1689,'апрель 2024'!$D$4:$D$1689,$B28,'апрель 2024'!$J$4:$J$1689,O$1)</f>
        <v>0</v>
      </c>
      <c r="P28" s="80">
        <f>SUMIFS('апрель 2024'!$G$4:$G$1689,'апрель 2024'!$D$4:$D$1689,$B28,'апрель 2024'!$J$4:$J$1689,P$1)</f>
        <v>0</v>
      </c>
      <c r="Q28" s="80">
        <f>SUMIFS('апрель 2024'!$G$4:$G$1689,'апрель 2024'!$D$4:$D$1689,$B28,'апрель 2024'!$J$4:$J$1689,Q$1)</f>
        <v>0</v>
      </c>
      <c r="R28" s="80">
        <f>SUMIFS('апрель 2024'!$G$4:$G$1689,'апрель 2024'!$D$4:$D$1689,$B28,'апрель 2024'!$J$4:$J$1689,R$1)</f>
        <v>0</v>
      </c>
      <c r="S28" s="80">
        <f>SUMIFS('апрель 2024'!$G$4:$G$1689,'апрель 2024'!$D$4:$D$1689,$B28,'апрель 2024'!$J$4:$J$1689,S$1)</f>
        <v>0</v>
      </c>
      <c r="T28" s="80">
        <f>SUMIFS('апрель 2024'!$G$4:$G$1689,'апрель 2024'!$D$4:$D$1689,$B28,'апрель 2024'!$J$4:$J$1689,T$1)</f>
        <v>0</v>
      </c>
      <c r="U28" s="80">
        <f>SUMIFS('апрель 2024'!$G$4:$G$1689,'апрель 2024'!$D$4:$D$1689,$B28,'апрель 2024'!$J$4:$J$1689,U$1)</f>
        <v>0</v>
      </c>
      <c r="V28" s="80">
        <f>SUMIFS('апрель 2024'!$G$4:$G$1689,'апрель 2024'!$D$4:$D$1689,$B28,'апрель 2024'!$J$4:$J$1689,V$1)</f>
        <v>0</v>
      </c>
      <c r="W28" s="80">
        <f>SUMIFS('апрель 2024'!$G$4:$G$1689,'апрель 2024'!$D$4:$D$1689,$B28,'апрель 2024'!$J$4:$J$1689,W$1)</f>
        <v>0</v>
      </c>
      <c r="X28" s="80">
        <f>SUMIFS('апрель 2024'!$G$4:$G$1689,'апрель 2024'!$D$4:$D$1689,$B28,'апрель 2024'!$J$4:$J$1689,X$1)</f>
        <v>0</v>
      </c>
      <c r="Y28" s="80">
        <f>SUMIFS('апрель 2024'!$G$4:$G$1689,'апрель 2024'!$D$4:$D$1689,$B28,'апрель 2024'!$J$4:$J$1689,Y$1)</f>
        <v>0</v>
      </c>
      <c r="Z28" s="80">
        <f>SUMIFS('апрель 2024'!$G$4:$G$1689,'апрель 2024'!$D$4:$D$1689,$B28,'апрель 2024'!$J$4:$J$1689,Z$1)</f>
        <v>0</v>
      </c>
      <c r="AA28" s="80">
        <f>SUMIFS('апрель 2024'!$G$4:$G$1689,'апрель 2024'!$D$4:$D$1689,$B28,'апрель 2024'!$J$4:$J$1689,AA$1)</f>
        <v>0</v>
      </c>
      <c r="AB28" s="80">
        <f>SUMIFS('апрель 2024'!$G$4:$G$1689,'апрель 2024'!$D$4:$D$1689,$B28,'апрель 2024'!$J$4:$J$1689,AB$1)</f>
        <v>0</v>
      </c>
      <c r="AC28" s="80">
        <f>SUMIFS('апрель 2024'!$G$4:$G$1689,'апрель 2024'!$D$4:$D$1689,$B28,'апрель 2024'!$J$4:$J$1689,AC$1)</f>
        <v>0</v>
      </c>
      <c r="AD28" s="80">
        <f>SUMIFS('апрель 2024'!$G$4:$G$1689,'апрель 2024'!$D$4:$D$1689,$B28,'апрель 2024'!$J$4:$J$1689,AD$1)</f>
        <v>0</v>
      </c>
      <c r="AE28" s="80">
        <f>SUMIFS('апрель 2024'!$G$4:$G$1689,'апрель 2024'!$D$4:$D$1689,$B28,'апрель 2024'!$J$4:$J$1689,AE$1)</f>
        <v>0</v>
      </c>
      <c r="AF28" s="80">
        <f>SUMIFS('апрель 2024'!$G$4:$G$1689,'апрель 2024'!$D$4:$D$1689,$B28,'апрель 2024'!$J$4:$J$1689,AF$1)</f>
        <v>0</v>
      </c>
      <c r="AG28" s="80">
        <f>SUMIFS('апрель 2024'!$G$4:$G$1689,'апрель 2024'!$D$4:$D$1689,$B28,'апрель 2024'!$J$4:$J$1689,AG$1)</f>
        <v>0</v>
      </c>
      <c r="AH28" s="80">
        <f>SUMIFS('апрель 2024'!$G$4:$G$1689,'апрель 2024'!$D$4:$D$1689,$B28,'апрель 2024'!$J$4:$J$1689,AH$1)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80">
        <f>SUMIFS('апрель 2024'!$G$4:$G$1689,'апрель 2024'!$D$4:$D$1689,$B29,'апрель 2024'!$J$4:$J$1689,D$1)</f>
        <v>0</v>
      </c>
      <c r="E29" s="80">
        <f>SUMIFS('апрель 2024'!$G$4:$G$1689,'апрель 2024'!$D$4:$D$1689,$B29,'апрель 2024'!$J$4:$J$1689,E$1)</f>
        <v>0</v>
      </c>
      <c r="F29" s="80">
        <f>SUMIFS('апрель 2024'!$G$4:$G$1689,'апрель 2024'!$D$4:$D$1689,$B29,'апрель 2024'!$J$4:$J$1689,F$1)</f>
        <v>0</v>
      </c>
      <c r="G29" s="80">
        <f>SUMIFS('апрель 2024'!$G$4:$G$1689,'апрель 2024'!$D$4:$D$1689,$B29,'апрель 2024'!$J$4:$J$1689,G$1)</f>
        <v>0</v>
      </c>
      <c r="H29" s="80">
        <f>SUMIFS('апрель 2024'!$G$4:$G$1689,'апрель 2024'!$D$4:$D$1689,$B29,'апрель 2024'!$J$4:$J$1689,H$1)</f>
        <v>0</v>
      </c>
      <c r="I29" s="80">
        <f>SUMIFS('апрель 2024'!$G$4:$G$1689,'апрель 2024'!$D$4:$D$1689,$B29,'апрель 2024'!$J$4:$J$1689,I$1)</f>
        <v>0</v>
      </c>
      <c r="J29" s="80">
        <f>SUMIFS('апрель 2024'!$G$4:$G$1689,'апрель 2024'!$D$4:$D$1689,$B29,'апрель 2024'!$J$4:$J$1689,J$1)</f>
        <v>0</v>
      </c>
      <c r="K29" s="80">
        <f>SUMIFS('апрель 2024'!$G$4:$G$1689,'апрель 2024'!$D$4:$D$1689,$B29,'апрель 2024'!$J$4:$J$1689,K$1)</f>
        <v>0</v>
      </c>
      <c r="L29" s="80">
        <f>SUMIFS('апрель 2024'!$G$4:$G$1689,'апрель 2024'!$D$4:$D$1689,$B29,'апрель 2024'!$J$4:$J$1689,L$1)</f>
        <v>0</v>
      </c>
      <c r="M29" s="80">
        <f>SUMIFS('апрель 2024'!$G$4:$G$1689,'апрель 2024'!$D$4:$D$1689,$B29,'апрель 2024'!$J$4:$J$1689,M$1)</f>
        <v>0</v>
      </c>
      <c r="N29" s="80">
        <f>SUMIFS('апрель 2024'!$G$4:$G$1689,'апрель 2024'!$D$4:$D$1689,$B29,'апрель 2024'!$J$4:$J$1689,N$1)</f>
        <v>0</v>
      </c>
      <c r="O29" s="80">
        <f>SUMIFS('апрель 2024'!$G$4:$G$1689,'апрель 2024'!$D$4:$D$1689,$B29,'апрель 2024'!$J$4:$J$1689,O$1)</f>
        <v>0</v>
      </c>
      <c r="P29" s="80">
        <f>SUMIFS('апрель 2024'!$G$4:$G$1689,'апрель 2024'!$D$4:$D$1689,$B29,'апрель 2024'!$J$4:$J$1689,P$1)</f>
        <v>0</v>
      </c>
      <c r="Q29" s="80">
        <f>SUMIFS('апрель 2024'!$G$4:$G$1689,'апрель 2024'!$D$4:$D$1689,$B29,'апрель 2024'!$J$4:$J$1689,Q$1)</f>
        <v>0</v>
      </c>
      <c r="R29" s="80">
        <f>SUMIFS('апрель 2024'!$G$4:$G$1689,'апрель 2024'!$D$4:$D$1689,$B29,'апрель 2024'!$J$4:$J$1689,R$1)</f>
        <v>0</v>
      </c>
      <c r="S29" s="80">
        <f>SUMIFS('апрель 2024'!$G$4:$G$1689,'апрель 2024'!$D$4:$D$1689,$B29,'апрель 2024'!$J$4:$J$1689,S$1)</f>
        <v>0</v>
      </c>
      <c r="T29" s="80">
        <f>SUMIFS('апрель 2024'!$G$4:$G$1689,'апрель 2024'!$D$4:$D$1689,$B29,'апрель 2024'!$J$4:$J$1689,T$1)</f>
        <v>0</v>
      </c>
      <c r="U29" s="80">
        <f>SUMIFS('апрель 2024'!$G$4:$G$1689,'апрель 2024'!$D$4:$D$1689,$B29,'апрель 2024'!$J$4:$J$1689,U$1)</f>
        <v>0</v>
      </c>
      <c r="V29" s="80">
        <f>SUMIFS('апрель 2024'!$G$4:$G$1689,'апрель 2024'!$D$4:$D$1689,$B29,'апрель 2024'!$J$4:$J$1689,V$1)</f>
        <v>0</v>
      </c>
      <c r="W29" s="80">
        <f>SUMIFS('апрель 2024'!$G$4:$G$1689,'апрель 2024'!$D$4:$D$1689,$B29,'апрель 2024'!$J$4:$J$1689,W$1)</f>
        <v>0</v>
      </c>
      <c r="X29" s="80">
        <f>SUMIFS('апрель 2024'!$G$4:$G$1689,'апрель 2024'!$D$4:$D$1689,$B29,'апрель 2024'!$J$4:$J$1689,X$1)</f>
        <v>0</v>
      </c>
      <c r="Y29" s="80">
        <f>SUMIFS('апрель 2024'!$G$4:$G$1689,'апрель 2024'!$D$4:$D$1689,$B29,'апрель 2024'!$J$4:$J$1689,Y$1)</f>
        <v>0</v>
      </c>
      <c r="Z29" s="80">
        <f>SUMIFS('апрель 2024'!$G$4:$G$1689,'апрель 2024'!$D$4:$D$1689,$B29,'апрель 2024'!$J$4:$J$1689,Z$1)</f>
        <v>0</v>
      </c>
      <c r="AA29" s="80">
        <f>SUMIFS('апрель 2024'!$G$4:$G$1689,'апрель 2024'!$D$4:$D$1689,$B29,'апрель 2024'!$J$4:$J$1689,AA$1)</f>
        <v>0</v>
      </c>
      <c r="AB29" s="80">
        <f>SUMIFS('апрель 2024'!$G$4:$G$1689,'апрель 2024'!$D$4:$D$1689,$B29,'апрель 2024'!$J$4:$J$1689,AB$1)</f>
        <v>0</v>
      </c>
      <c r="AC29" s="80">
        <f>SUMIFS('апрель 2024'!$G$4:$G$1689,'апрель 2024'!$D$4:$D$1689,$B29,'апрель 2024'!$J$4:$J$1689,AC$1)</f>
        <v>0</v>
      </c>
      <c r="AD29" s="80">
        <f>SUMIFS('апрель 2024'!$G$4:$G$1689,'апрель 2024'!$D$4:$D$1689,$B29,'апрель 2024'!$J$4:$J$1689,AD$1)</f>
        <v>0</v>
      </c>
      <c r="AE29" s="80">
        <f>SUMIFS('апрель 2024'!$G$4:$G$1689,'апрель 2024'!$D$4:$D$1689,$B29,'апрель 2024'!$J$4:$J$1689,AE$1)</f>
        <v>0</v>
      </c>
      <c r="AF29" s="80">
        <f>SUMIFS('апрель 2024'!$G$4:$G$1689,'апрель 2024'!$D$4:$D$1689,$B29,'апрель 2024'!$J$4:$J$1689,AF$1)</f>
        <v>0</v>
      </c>
      <c r="AG29" s="80">
        <f>SUMIFS('апрель 2024'!$G$4:$G$1689,'апрель 2024'!$D$4:$D$1689,$B29,'апрель 2024'!$J$4:$J$1689,AG$1)</f>
        <v>0</v>
      </c>
      <c r="AH29" s="80">
        <f>SUMIFS('апрель 2024'!$G$4:$G$1689,'апрель 2024'!$D$4:$D$1689,$B29,'апрель 2024'!$J$4:$J$1689,AH$1)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SUMIFS('апрель 2024'!$G$4:$G$1689,'апрель 2024'!$D$4:$D$1689,$B30,'апрель 2024'!$J$4:$J$1689,D$1)</f>
        <v>0</v>
      </c>
      <c r="E30" s="80">
        <f>SUMIFS('апрель 2024'!$G$4:$G$1689,'апрель 2024'!$D$4:$D$1689,$B30,'апрель 2024'!$J$4:$J$1689,E$1)</f>
        <v>0</v>
      </c>
      <c r="F30" s="80">
        <f>SUMIFS('апрель 2024'!$G$4:$G$1689,'апрель 2024'!$D$4:$D$1689,$B30,'апрель 2024'!$J$4:$J$1689,F$1)</f>
        <v>0</v>
      </c>
      <c r="G30" s="80">
        <f>SUMIFS('апрель 2024'!$G$4:$G$1689,'апрель 2024'!$D$4:$D$1689,$B30,'апрель 2024'!$J$4:$J$1689,G$1)</f>
        <v>0</v>
      </c>
      <c r="H30" s="80">
        <f>SUMIFS('апрель 2024'!$G$4:$G$1689,'апрель 2024'!$D$4:$D$1689,$B30,'апрель 2024'!$J$4:$J$1689,H$1)</f>
        <v>0</v>
      </c>
      <c r="I30" s="80">
        <f>SUMIFS('апрель 2024'!$G$4:$G$1689,'апрель 2024'!$D$4:$D$1689,$B30,'апрель 2024'!$J$4:$J$1689,I$1)</f>
        <v>0</v>
      </c>
      <c r="J30" s="80">
        <f>SUMIFS('апрель 2024'!$G$4:$G$1689,'апрель 2024'!$D$4:$D$1689,$B30,'апрель 2024'!$J$4:$J$1689,J$1)</f>
        <v>0</v>
      </c>
      <c r="K30" s="80">
        <f>SUMIFS('апрель 2024'!$G$4:$G$1689,'апрель 2024'!$D$4:$D$1689,$B30,'апрель 2024'!$J$4:$J$1689,K$1)</f>
        <v>0</v>
      </c>
      <c r="L30" s="80">
        <f>SUMIFS('апрель 2024'!$G$4:$G$1689,'апрель 2024'!$D$4:$D$1689,$B30,'апрель 2024'!$J$4:$J$1689,L$1)</f>
        <v>0</v>
      </c>
      <c r="M30" s="80">
        <f>SUMIFS('апрель 2024'!$G$4:$G$1689,'апрель 2024'!$D$4:$D$1689,$B30,'апрель 2024'!$J$4:$J$1689,M$1)</f>
        <v>0</v>
      </c>
      <c r="N30" s="80">
        <f>SUMIFS('апрель 2024'!$G$4:$G$1689,'апрель 2024'!$D$4:$D$1689,$B30,'апрель 2024'!$J$4:$J$1689,N$1)</f>
        <v>0</v>
      </c>
      <c r="O30" s="80">
        <f>SUMIFS('апрель 2024'!$G$4:$G$1689,'апрель 2024'!$D$4:$D$1689,$B30,'апрель 2024'!$J$4:$J$1689,O$1)</f>
        <v>0</v>
      </c>
      <c r="P30" s="80">
        <f>SUMIFS('апрель 2024'!$G$4:$G$1689,'апрель 2024'!$D$4:$D$1689,$B30,'апрель 2024'!$J$4:$J$1689,P$1)</f>
        <v>0</v>
      </c>
      <c r="Q30" s="80">
        <f>SUMIFS('апрель 2024'!$G$4:$G$1689,'апрель 2024'!$D$4:$D$1689,$B30,'апрель 2024'!$J$4:$J$1689,Q$1)</f>
        <v>0</v>
      </c>
      <c r="R30" s="80">
        <f>SUMIFS('апрель 2024'!$G$4:$G$1689,'апрель 2024'!$D$4:$D$1689,$B30,'апрель 2024'!$J$4:$J$1689,R$1)</f>
        <v>0</v>
      </c>
      <c r="S30" s="80">
        <f>SUMIFS('апрель 2024'!$G$4:$G$1689,'апрель 2024'!$D$4:$D$1689,$B30,'апрель 2024'!$J$4:$J$1689,S$1)</f>
        <v>0</v>
      </c>
      <c r="T30" s="80">
        <f>SUMIFS('апрель 2024'!$G$4:$G$1689,'апрель 2024'!$D$4:$D$1689,$B30,'апрель 2024'!$J$4:$J$1689,T$1)</f>
        <v>0</v>
      </c>
      <c r="U30" s="80">
        <f>SUMIFS('апрель 2024'!$G$4:$G$1689,'апрель 2024'!$D$4:$D$1689,$B30,'апрель 2024'!$J$4:$J$1689,U$1)</f>
        <v>0</v>
      </c>
      <c r="V30" s="80">
        <f>SUMIFS('апрель 2024'!$G$4:$G$1689,'апрель 2024'!$D$4:$D$1689,$B30,'апрель 2024'!$J$4:$J$1689,V$1)</f>
        <v>0</v>
      </c>
      <c r="W30" s="80">
        <f>SUMIFS('апрель 2024'!$G$4:$G$1689,'апрель 2024'!$D$4:$D$1689,$B30,'апрель 2024'!$J$4:$J$1689,W$1)</f>
        <v>0</v>
      </c>
      <c r="X30" s="80">
        <f>SUMIFS('апрель 2024'!$G$4:$G$1689,'апрель 2024'!$D$4:$D$1689,$B30,'апрель 2024'!$J$4:$J$1689,X$1)</f>
        <v>0</v>
      </c>
      <c r="Y30" s="80">
        <f>SUMIFS('апрель 2024'!$G$4:$G$1689,'апрель 2024'!$D$4:$D$1689,$B30,'апрель 2024'!$J$4:$J$1689,Y$1)</f>
        <v>0</v>
      </c>
      <c r="Z30" s="80">
        <f>SUMIFS('апрель 2024'!$G$4:$G$1689,'апрель 2024'!$D$4:$D$1689,$B30,'апрель 2024'!$J$4:$J$1689,Z$1)</f>
        <v>0</v>
      </c>
      <c r="AA30" s="80">
        <f>SUMIFS('апрель 2024'!$G$4:$G$1689,'апрель 2024'!$D$4:$D$1689,$B30,'апрель 2024'!$J$4:$J$1689,AA$1)</f>
        <v>0</v>
      </c>
      <c r="AB30" s="80">
        <f>SUMIFS('апрель 2024'!$G$4:$G$1689,'апрель 2024'!$D$4:$D$1689,$B30,'апрель 2024'!$J$4:$J$1689,AB$1)</f>
        <v>0</v>
      </c>
      <c r="AC30" s="80">
        <f>SUMIFS('апрель 2024'!$G$4:$G$1689,'апрель 2024'!$D$4:$D$1689,$B30,'апрель 2024'!$J$4:$J$1689,AC$1)</f>
        <v>0</v>
      </c>
      <c r="AD30" s="80">
        <f>SUMIFS('апрель 2024'!$G$4:$G$1689,'апрель 2024'!$D$4:$D$1689,$B30,'апрель 2024'!$J$4:$J$1689,AD$1)</f>
        <v>0</v>
      </c>
      <c r="AE30" s="80">
        <f>SUMIFS('апрель 2024'!$G$4:$G$1689,'апрель 2024'!$D$4:$D$1689,$B30,'апрель 2024'!$J$4:$J$1689,AE$1)</f>
        <v>0</v>
      </c>
      <c r="AF30" s="80">
        <f>SUMIFS('апрель 2024'!$G$4:$G$1689,'апрель 2024'!$D$4:$D$1689,$B30,'апрель 2024'!$J$4:$J$1689,AF$1)</f>
        <v>0</v>
      </c>
      <c r="AG30" s="80">
        <f>SUMIFS('апрель 2024'!$G$4:$G$1689,'апрель 2024'!$D$4:$D$1689,$B30,'апрель 2024'!$J$4:$J$1689,AG$1)</f>
        <v>0</v>
      </c>
      <c r="AH30" s="80">
        <f>SUMIFS('апрель 2024'!$G$4:$G$1689,'апрель 2024'!$D$4:$D$1689,$B30,'апрель 2024'!$J$4:$J$1689,AH$1)</f>
        <v>0</v>
      </c>
      <c r="AI30" s="21">
        <f t="shared" si="1"/>
        <v>0</v>
      </c>
    </row>
    <row r="31" spans="2:35" ht="15" customHeight="1" x14ac:dyDescent="0.25">
      <c r="B31" s="84"/>
      <c r="C31" s="82"/>
      <c r="D31" s="80">
        <f>SUMIFS('апрель 2024'!$G$4:$G$1689,'апрель 2024'!$D$4:$D$1689,$B31,'апрель 2024'!$J$4:$J$1689,D$1)</f>
        <v>0</v>
      </c>
      <c r="E31" s="80">
        <f>SUMIFS('апрель 2024'!$G$4:$G$1689,'апрель 2024'!$D$4:$D$1689,$B31,'апрель 2024'!$J$4:$J$1689,E$1)</f>
        <v>0</v>
      </c>
      <c r="F31" s="80">
        <f>SUMIFS('апрель 2024'!$G$4:$G$1689,'апрель 2024'!$D$4:$D$1689,$B31,'апрель 2024'!$J$4:$J$1689,F$1)</f>
        <v>0</v>
      </c>
      <c r="G31" s="80">
        <f>SUMIFS('апрель 2024'!$G$4:$G$1689,'апрель 2024'!$D$4:$D$1689,$B31,'апрель 2024'!$J$4:$J$1689,G$1)</f>
        <v>0</v>
      </c>
      <c r="H31" s="80">
        <f>SUMIFS('апрель 2024'!$G$4:$G$1689,'апрель 2024'!$D$4:$D$1689,$B31,'апрель 2024'!$J$4:$J$1689,H$1)</f>
        <v>0</v>
      </c>
      <c r="I31" s="80">
        <f>SUMIFS('апрель 2024'!$G$4:$G$1689,'апрель 2024'!$D$4:$D$1689,$B31,'апрель 2024'!$J$4:$J$1689,I$1)</f>
        <v>0</v>
      </c>
      <c r="J31" s="80">
        <f>SUMIFS('апрель 2024'!$G$4:$G$1689,'апрель 2024'!$D$4:$D$1689,$B31,'апрель 2024'!$J$4:$J$1689,J$1)</f>
        <v>0</v>
      </c>
      <c r="K31" s="80">
        <f>SUMIFS('апрель 2024'!$G$4:$G$1689,'апрель 2024'!$D$4:$D$1689,$B31,'апрель 2024'!$J$4:$J$1689,K$1)</f>
        <v>0</v>
      </c>
      <c r="L31" s="80">
        <f>SUMIFS('апрель 2024'!$G$4:$G$1689,'апрель 2024'!$D$4:$D$1689,$B31,'апрель 2024'!$J$4:$J$1689,L$1)</f>
        <v>0</v>
      </c>
      <c r="M31" s="80">
        <f>SUMIFS('апрель 2024'!$G$4:$G$1689,'апрель 2024'!$D$4:$D$1689,$B31,'апрель 2024'!$J$4:$J$1689,M$1)</f>
        <v>0</v>
      </c>
      <c r="N31" s="80">
        <f>SUMIFS('апрель 2024'!$G$4:$G$1689,'апрель 2024'!$D$4:$D$1689,$B31,'апрель 2024'!$J$4:$J$1689,N$1)</f>
        <v>0</v>
      </c>
      <c r="O31" s="80">
        <f>SUMIFS('апрель 2024'!$G$4:$G$1689,'апрель 2024'!$D$4:$D$1689,$B31,'апрель 2024'!$J$4:$J$1689,O$1)</f>
        <v>0</v>
      </c>
      <c r="P31" s="80">
        <f>SUMIFS('апрель 2024'!$G$4:$G$1689,'апрель 2024'!$D$4:$D$1689,$B31,'апрель 2024'!$J$4:$J$1689,P$1)</f>
        <v>0</v>
      </c>
      <c r="Q31" s="80">
        <f>SUMIFS('апрель 2024'!$G$4:$G$1689,'апрель 2024'!$D$4:$D$1689,$B31,'апрель 2024'!$J$4:$J$1689,Q$1)</f>
        <v>0</v>
      </c>
      <c r="R31" s="80">
        <f>SUMIFS('апрель 2024'!$G$4:$G$1689,'апрель 2024'!$D$4:$D$1689,$B31,'апрель 2024'!$J$4:$J$1689,R$1)</f>
        <v>0</v>
      </c>
      <c r="S31" s="80">
        <f>SUMIFS('апрель 2024'!$G$4:$G$1689,'апрель 2024'!$D$4:$D$1689,$B31,'апрель 2024'!$J$4:$J$1689,S$1)</f>
        <v>0</v>
      </c>
      <c r="T31" s="80">
        <f>SUMIFS('апрель 2024'!$G$4:$G$1689,'апрель 2024'!$D$4:$D$1689,$B31,'апрель 2024'!$J$4:$J$1689,T$1)</f>
        <v>0</v>
      </c>
      <c r="U31" s="80">
        <f>SUMIFS('апрель 2024'!$G$4:$G$1689,'апрель 2024'!$D$4:$D$1689,$B31,'апрель 2024'!$J$4:$J$1689,U$1)</f>
        <v>0</v>
      </c>
      <c r="V31" s="80">
        <f>SUMIFS('апрель 2024'!$G$4:$G$1689,'апрель 2024'!$D$4:$D$1689,$B31,'апрель 2024'!$J$4:$J$1689,V$1)</f>
        <v>0</v>
      </c>
      <c r="W31" s="80">
        <f>SUMIFS('апрель 2024'!$G$4:$G$1689,'апрель 2024'!$D$4:$D$1689,$B31,'апрель 2024'!$J$4:$J$1689,W$1)</f>
        <v>0</v>
      </c>
      <c r="X31" s="80">
        <f>SUMIFS('апрель 2024'!$G$4:$G$1689,'апрель 2024'!$D$4:$D$1689,$B31,'апрель 2024'!$J$4:$J$1689,X$1)</f>
        <v>0</v>
      </c>
      <c r="Y31" s="80">
        <f>SUMIFS('апрель 2024'!$G$4:$G$1689,'апрель 2024'!$D$4:$D$1689,$B31,'апрель 2024'!$J$4:$J$1689,Y$1)</f>
        <v>0</v>
      </c>
      <c r="Z31" s="80">
        <f>SUMIFS('апрель 2024'!$G$4:$G$1689,'апрель 2024'!$D$4:$D$1689,$B31,'апрель 2024'!$J$4:$J$1689,Z$1)</f>
        <v>0</v>
      </c>
      <c r="AA31" s="80">
        <f>SUMIFS('апрель 2024'!$G$4:$G$1689,'апрель 2024'!$D$4:$D$1689,$B31,'апрель 2024'!$J$4:$J$1689,AA$1)</f>
        <v>0</v>
      </c>
      <c r="AB31" s="80">
        <f>SUMIFS('апрель 2024'!$G$4:$G$1689,'апрель 2024'!$D$4:$D$1689,$B31,'апрель 2024'!$J$4:$J$1689,AB$1)</f>
        <v>0</v>
      </c>
      <c r="AC31" s="80">
        <f>SUMIFS('апрель 2024'!$G$4:$G$1689,'апрель 2024'!$D$4:$D$1689,$B31,'апрель 2024'!$J$4:$J$1689,AC$1)</f>
        <v>0</v>
      </c>
      <c r="AD31" s="80">
        <f>SUMIFS('апрель 2024'!$G$4:$G$1689,'апрель 2024'!$D$4:$D$1689,$B31,'апрель 2024'!$J$4:$J$1689,AD$1)</f>
        <v>0</v>
      </c>
      <c r="AE31" s="80">
        <f>SUMIFS('апрель 2024'!$G$4:$G$1689,'апрель 2024'!$D$4:$D$1689,$B31,'апрель 2024'!$J$4:$J$1689,AE$1)</f>
        <v>0</v>
      </c>
      <c r="AF31" s="80">
        <f>SUMIFS('апрель 2024'!$G$4:$G$1689,'апрель 2024'!$D$4:$D$1689,$B31,'апрель 2024'!$J$4:$J$1689,AF$1)</f>
        <v>0</v>
      </c>
      <c r="AG31" s="80">
        <f>SUMIFS('апрель 2024'!$G$4:$G$1689,'апрель 2024'!$D$4:$D$1689,$B31,'апрель 2024'!$J$4:$J$1689,AG$1)</f>
        <v>0</v>
      </c>
      <c r="AH31" s="80">
        <f>SUMIFS('апрель 2024'!$G$4:$G$1689,'апрель 2024'!$D$4:$D$1689,$B31,'апрель 2024'!$J$4:$J$1689,AH$1)</f>
        <v>0</v>
      </c>
      <c r="AI31" s="21">
        <f t="shared" si="1"/>
        <v>0</v>
      </c>
    </row>
    <row r="32" spans="2:35" ht="15" customHeight="1" x14ac:dyDescent="0.25">
      <c r="B32" s="142" t="s">
        <v>276</v>
      </c>
      <c r="C32" s="143">
        <v>25</v>
      </c>
      <c r="D32" s="80">
        <f>SUMIFS('апрель 2024'!$G$4:$G$1689,'апрель 2024'!$D$4:$D$1689,$B32,'апрель 2024'!$J$4:$J$1689,D$1)</f>
        <v>0</v>
      </c>
      <c r="E32" s="80">
        <f>SUMIFS('апрель 2024'!$G$4:$G$1689,'апрель 2024'!$D$4:$D$1689,$B32,'апрель 2024'!$J$4:$J$1689,E$1)</f>
        <v>0</v>
      </c>
      <c r="F32" s="80">
        <f>SUMIFS('апрель 2024'!$G$4:$G$1689,'апрель 2024'!$D$4:$D$1689,$B32,'апрель 2024'!$J$4:$J$1689,F$1)</f>
        <v>0</v>
      </c>
      <c r="G32" s="80">
        <f>SUMIFS('апрель 2024'!$G$4:$G$1689,'апрель 2024'!$D$4:$D$1689,$B32,'апрель 2024'!$J$4:$J$1689,G$1)</f>
        <v>0</v>
      </c>
      <c r="H32" s="80">
        <f>SUMIFS('апрель 2024'!$G$4:$G$1689,'апрель 2024'!$D$4:$D$1689,$B32,'апрель 2024'!$J$4:$J$1689,H$1)</f>
        <v>0</v>
      </c>
      <c r="I32" s="80">
        <f>SUMIFS('апрель 2024'!$G$4:$G$1689,'апрель 2024'!$D$4:$D$1689,$B32,'апрель 2024'!$J$4:$J$1689,I$1)</f>
        <v>0</v>
      </c>
      <c r="J32" s="80">
        <f>SUMIFS('апрель 2024'!$G$4:$G$1689,'апрель 2024'!$D$4:$D$1689,$B32,'апрель 2024'!$J$4:$J$1689,J$1)</f>
        <v>0</v>
      </c>
      <c r="K32" s="80">
        <f>SUMIFS('апрель 2024'!$G$4:$G$1689,'апрель 2024'!$D$4:$D$1689,$B32,'апрель 2024'!$J$4:$J$1689,K$1)</f>
        <v>0</v>
      </c>
      <c r="L32" s="80">
        <f>SUMIFS('апрель 2024'!$G$4:$G$1689,'апрель 2024'!$D$4:$D$1689,$B32,'апрель 2024'!$J$4:$J$1689,L$1)</f>
        <v>0</v>
      </c>
      <c r="M32" s="80">
        <f>SUMIFS('апрель 2024'!$G$4:$G$1689,'апрель 2024'!$D$4:$D$1689,$B32,'апрель 2024'!$J$4:$J$1689,M$1)</f>
        <v>0</v>
      </c>
      <c r="N32" s="80">
        <f>SUMIFS('апрель 2024'!$G$4:$G$1689,'апрель 2024'!$D$4:$D$1689,$B32,'апрель 2024'!$J$4:$J$1689,N$1)</f>
        <v>0</v>
      </c>
      <c r="O32" s="80">
        <f>SUMIFS('апрель 2024'!$G$4:$G$1689,'апрель 2024'!$D$4:$D$1689,$B32,'апрель 2024'!$J$4:$J$1689,O$1)</f>
        <v>0</v>
      </c>
      <c r="P32" s="80">
        <f>SUMIFS('апрель 2024'!$G$4:$G$1689,'апрель 2024'!$D$4:$D$1689,$B32,'апрель 2024'!$J$4:$J$1689,P$1)</f>
        <v>0</v>
      </c>
      <c r="Q32" s="80">
        <f>SUMIFS('апрель 2024'!$G$4:$G$1689,'апрель 2024'!$D$4:$D$1689,$B32,'апрель 2024'!$J$4:$J$1689,Q$1)</f>
        <v>0</v>
      </c>
      <c r="R32" s="80">
        <f>SUMIFS('апрель 2024'!$G$4:$G$1689,'апрель 2024'!$D$4:$D$1689,$B32,'апрель 2024'!$J$4:$J$1689,R$1)</f>
        <v>0</v>
      </c>
      <c r="S32" s="80">
        <f>SUMIFS('апрель 2024'!$G$4:$G$1689,'апрель 2024'!$D$4:$D$1689,$B32,'апрель 2024'!$J$4:$J$1689,S$1)</f>
        <v>0</v>
      </c>
      <c r="T32" s="80">
        <f>SUMIFS('апрель 2024'!$G$4:$G$1689,'апрель 2024'!$D$4:$D$1689,$B32,'апрель 2024'!$J$4:$J$1689,T$1)</f>
        <v>0</v>
      </c>
      <c r="U32" s="80">
        <f>SUMIFS('апрель 2024'!$G$4:$G$1689,'апрель 2024'!$D$4:$D$1689,$B32,'апрель 2024'!$J$4:$J$1689,U$1)</f>
        <v>0</v>
      </c>
      <c r="V32" s="80">
        <f>SUMIFS('апрель 2024'!$G$4:$G$1689,'апрель 2024'!$D$4:$D$1689,$B32,'апрель 2024'!$J$4:$J$1689,V$1)</f>
        <v>0</v>
      </c>
      <c r="W32" s="80">
        <f>SUMIFS('апрель 2024'!$G$4:$G$1689,'апрель 2024'!$D$4:$D$1689,$B32,'апрель 2024'!$J$4:$J$1689,W$1)</f>
        <v>0</v>
      </c>
      <c r="X32" s="80">
        <f>SUMIFS('апрель 2024'!$G$4:$G$1689,'апрель 2024'!$D$4:$D$1689,$B32,'апрель 2024'!$J$4:$J$1689,X$1)</f>
        <v>0</v>
      </c>
      <c r="Y32" s="80">
        <f>SUMIFS('апрель 2024'!$G$4:$G$1689,'апрель 2024'!$D$4:$D$1689,$B32,'апрель 2024'!$J$4:$J$1689,Y$1)</f>
        <v>0</v>
      </c>
      <c r="Z32" s="80">
        <f>SUMIFS('апрель 2024'!$G$4:$G$1689,'апрель 2024'!$D$4:$D$1689,$B32,'апрель 2024'!$J$4:$J$1689,Z$1)</f>
        <v>0</v>
      </c>
      <c r="AA32" s="80">
        <f>SUMIFS('апрель 2024'!$G$4:$G$1689,'апрель 2024'!$D$4:$D$1689,$B32,'апрель 2024'!$J$4:$J$1689,AA$1)</f>
        <v>0</v>
      </c>
      <c r="AB32" s="80">
        <f>SUMIFS('апрель 2024'!$G$4:$G$1689,'апрель 2024'!$D$4:$D$1689,$B32,'апрель 2024'!$J$4:$J$1689,AB$1)</f>
        <v>0</v>
      </c>
      <c r="AC32" s="80">
        <f>SUMIFS('апрель 2024'!$G$4:$G$1689,'апрель 2024'!$D$4:$D$1689,$B32,'апрель 2024'!$J$4:$J$1689,AC$1)</f>
        <v>0</v>
      </c>
      <c r="AD32" s="80">
        <f>SUMIFS('апрель 2024'!$G$4:$G$1689,'апрель 2024'!$D$4:$D$1689,$B32,'апрель 2024'!$J$4:$J$1689,AD$1)</f>
        <v>0</v>
      </c>
      <c r="AE32" s="80">
        <f>SUMIFS('апрель 2024'!$G$4:$G$1689,'апрель 2024'!$D$4:$D$1689,$B32,'апрель 2024'!$J$4:$J$1689,AE$1)</f>
        <v>0</v>
      </c>
      <c r="AF32" s="80">
        <f>SUMIFS('апрель 2024'!$G$4:$G$1689,'апрель 2024'!$D$4:$D$1689,$B32,'апрель 2024'!$J$4:$J$1689,AF$1)</f>
        <v>0</v>
      </c>
      <c r="AG32" s="80">
        <f>SUMIFS('апрель 2024'!$G$4:$G$1689,'апрель 2024'!$D$4:$D$1689,$B32,'апрель 2024'!$J$4:$J$1689,AG$1)</f>
        <v>0</v>
      </c>
      <c r="AH32" s="80">
        <f>SUMIFS('апрель 2024'!$G$4:$G$1689,'апрель 2024'!$D$4:$D$1689,$B32,'апрель 2024'!$J$4:$J$1689,AH$1)</f>
        <v>0</v>
      </c>
      <c r="AI32" s="21">
        <f t="shared" si="1"/>
        <v>0</v>
      </c>
    </row>
    <row r="33" spans="2:35" ht="15" customHeight="1" x14ac:dyDescent="0.25">
      <c r="B33" s="146" t="s">
        <v>278</v>
      </c>
      <c r="C33" s="143">
        <v>25</v>
      </c>
      <c r="D33" s="80">
        <f>SUMIFS('апрель 2024'!$G$4:$G$1689,'апрель 2024'!$D$4:$D$1689,$B33,'апрель 2024'!$J$4:$J$1689,D$1)</f>
        <v>0</v>
      </c>
      <c r="E33" s="80">
        <f>SUMIFS('апрель 2024'!$G$4:$G$1689,'апрель 2024'!$D$4:$D$1689,$B33,'апрель 2024'!$J$4:$J$1689,E$1)</f>
        <v>0</v>
      </c>
      <c r="F33" s="80">
        <f>SUMIFS('апрель 2024'!$G$4:$G$1689,'апрель 2024'!$D$4:$D$1689,$B33,'апрель 2024'!$J$4:$J$1689,F$1)</f>
        <v>0</v>
      </c>
      <c r="G33" s="80">
        <f>SUMIFS('апрель 2024'!$G$4:$G$1689,'апрель 2024'!$D$4:$D$1689,$B33,'апрель 2024'!$J$4:$J$1689,G$1)</f>
        <v>0</v>
      </c>
      <c r="H33" s="80">
        <f>SUMIFS('апрель 2024'!$G$4:$G$1689,'апрель 2024'!$D$4:$D$1689,$B33,'апрель 2024'!$J$4:$J$1689,H$1)</f>
        <v>0</v>
      </c>
      <c r="I33" s="80">
        <f>SUMIFS('апрель 2024'!$G$4:$G$1689,'апрель 2024'!$D$4:$D$1689,$B33,'апрель 2024'!$J$4:$J$1689,I$1)</f>
        <v>0</v>
      </c>
      <c r="J33" s="80">
        <f>SUMIFS('апрель 2024'!$G$4:$G$1689,'апрель 2024'!$D$4:$D$1689,$B33,'апрель 2024'!$J$4:$J$1689,J$1)</f>
        <v>0</v>
      </c>
      <c r="K33" s="80">
        <f>SUMIFS('апрель 2024'!$G$4:$G$1689,'апрель 2024'!$D$4:$D$1689,$B33,'апрель 2024'!$J$4:$J$1689,K$1)</f>
        <v>0</v>
      </c>
      <c r="L33" s="80">
        <f>SUMIFS('апрель 2024'!$G$4:$G$1689,'апрель 2024'!$D$4:$D$1689,$B33,'апрель 2024'!$J$4:$J$1689,L$1)</f>
        <v>0</v>
      </c>
      <c r="M33" s="80">
        <f>SUMIFS('апрель 2024'!$G$4:$G$1689,'апрель 2024'!$D$4:$D$1689,$B33,'апрель 2024'!$J$4:$J$1689,M$1)</f>
        <v>0</v>
      </c>
      <c r="N33" s="80">
        <f>SUMIFS('апрель 2024'!$G$4:$G$1689,'апрель 2024'!$D$4:$D$1689,$B33,'апрель 2024'!$J$4:$J$1689,N$1)</f>
        <v>0</v>
      </c>
      <c r="O33" s="80">
        <f>SUMIFS('апрель 2024'!$G$4:$G$1689,'апрель 2024'!$D$4:$D$1689,$B33,'апрель 2024'!$J$4:$J$1689,O$1)</f>
        <v>0</v>
      </c>
      <c r="P33" s="80">
        <f>SUMIFS('апрель 2024'!$G$4:$G$1689,'апрель 2024'!$D$4:$D$1689,$B33,'апрель 2024'!$J$4:$J$1689,P$1)</f>
        <v>0</v>
      </c>
      <c r="Q33" s="80">
        <f>SUMIFS('апрель 2024'!$G$4:$G$1689,'апрель 2024'!$D$4:$D$1689,$B33,'апрель 2024'!$J$4:$J$1689,Q$1)</f>
        <v>0</v>
      </c>
      <c r="R33" s="80">
        <f>SUMIFS('апрель 2024'!$G$4:$G$1689,'апрель 2024'!$D$4:$D$1689,$B33,'апрель 2024'!$J$4:$J$1689,R$1)</f>
        <v>0</v>
      </c>
      <c r="S33" s="80">
        <f>SUMIFS('апрель 2024'!$G$4:$G$1689,'апрель 2024'!$D$4:$D$1689,$B33,'апрель 2024'!$J$4:$J$1689,S$1)</f>
        <v>0</v>
      </c>
      <c r="T33" s="80">
        <f>SUMIFS('апрель 2024'!$G$4:$G$1689,'апрель 2024'!$D$4:$D$1689,$B33,'апрель 2024'!$J$4:$J$1689,T$1)</f>
        <v>0</v>
      </c>
      <c r="U33" s="80">
        <f>SUMIFS('апрель 2024'!$G$4:$G$1689,'апрель 2024'!$D$4:$D$1689,$B33,'апрель 2024'!$J$4:$J$1689,U$1)</f>
        <v>0</v>
      </c>
      <c r="V33" s="80">
        <f>SUMIFS('апрель 2024'!$G$4:$G$1689,'апрель 2024'!$D$4:$D$1689,$B33,'апрель 2024'!$J$4:$J$1689,V$1)</f>
        <v>0</v>
      </c>
      <c r="W33" s="80">
        <f>SUMIFS('апрель 2024'!$G$4:$G$1689,'апрель 2024'!$D$4:$D$1689,$B33,'апрель 2024'!$J$4:$J$1689,W$1)</f>
        <v>0</v>
      </c>
      <c r="X33" s="80">
        <f>SUMIFS('апрель 2024'!$G$4:$G$1689,'апрель 2024'!$D$4:$D$1689,$B33,'апрель 2024'!$J$4:$J$1689,X$1)</f>
        <v>0</v>
      </c>
      <c r="Y33" s="80">
        <f>SUMIFS('апрель 2024'!$G$4:$G$1689,'апрель 2024'!$D$4:$D$1689,$B33,'апрель 2024'!$J$4:$J$1689,Y$1)</f>
        <v>0</v>
      </c>
      <c r="Z33" s="80">
        <f>SUMIFS('апрель 2024'!$G$4:$G$1689,'апрель 2024'!$D$4:$D$1689,$B33,'апрель 2024'!$J$4:$J$1689,Z$1)</f>
        <v>0</v>
      </c>
      <c r="AA33" s="80">
        <f>SUMIFS('апрель 2024'!$G$4:$G$1689,'апрель 2024'!$D$4:$D$1689,$B33,'апрель 2024'!$J$4:$J$1689,AA$1)</f>
        <v>0</v>
      </c>
      <c r="AB33" s="80">
        <f>SUMIFS('апрель 2024'!$G$4:$G$1689,'апрель 2024'!$D$4:$D$1689,$B33,'апрель 2024'!$J$4:$J$1689,AB$1)</f>
        <v>0</v>
      </c>
      <c r="AC33" s="80">
        <f>SUMIFS('апрель 2024'!$G$4:$G$1689,'апрель 2024'!$D$4:$D$1689,$B33,'апрель 2024'!$J$4:$J$1689,AC$1)</f>
        <v>0</v>
      </c>
      <c r="AD33" s="80">
        <f>SUMIFS('апрель 2024'!$G$4:$G$1689,'апрель 2024'!$D$4:$D$1689,$B33,'апрель 2024'!$J$4:$J$1689,AD$1)</f>
        <v>0</v>
      </c>
      <c r="AE33" s="80">
        <f>SUMIFS('апрель 2024'!$G$4:$G$1689,'апрель 2024'!$D$4:$D$1689,$B33,'апрель 2024'!$J$4:$J$1689,AE$1)</f>
        <v>0</v>
      </c>
      <c r="AF33" s="80">
        <f>SUMIFS('апрель 2024'!$G$4:$G$1689,'апрель 2024'!$D$4:$D$1689,$B33,'апрель 2024'!$J$4:$J$1689,AF$1)</f>
        <v>0</v>
      </c>
      <c r="AG33" s="80">
        <f>SUMIFS('апрель 2024'!$G$4:$G$1689,'апрель 2024'!$D$4:$D$1689,$B33,'апрель 2024'!$J$4:$J$1689,AG$1)</f>
        <v>0</v>
      </c>
      <c r="AH33" s="80">
        <f>SUMIFS('апрель 2024'!$G$4:$G$1689,'апрель 2024'!$D$4:$D$1689,$B33,'апрель 2024'!$J$4:$J$1689,AH$1)</f>
        <v>0</v>
      </c>
      <c r="AI33" s="21">
        <f t="shared" si="1"/>
        <v>0</v>
      </c>
    </row>
    <row r="34" spans="2:35" ht="15" customHeight="1" x14ac:dyDescent="0.25">
      <c r="B34" s="147" t="s">
        <v>280</v>
      </c>
      <c r="C34" s="143">
        <v>25</v>
      </c>
      <c r="D34" s="80">
        <f>SUMIFS('апрель 2024'!$G$4:$G$1689,'апрель 2024'!$D$4:$D$1689,$B34,'апрель 2024'!$J$4:$J$1689,D$1)</f>
        <v>0</v>
      </c>
      <c r="E34" s="80">
        <f>SUMIFS('апрель 2024'!$G$4:$G$1689,'апрель 2024'!$D$4:$D$1689,$B34,'апрель 2024'!$J$4:$J$1689,E$1)</f>
        <v>0</v>
      </c>
      <c r="F34" s="80">
        <f>SUMIFS('апрель 2024'!$G$4:$G$1689,'апрель 2024'!$D$4:$D$1689,$B34,'апрель 2024'!$J$4:$J$1689,F$1)</f>
        <v>0</v>
      </c>
      <c r="G34" s="80">
        <f>SUMIFS('апрель 2024'!$G$4:$G$1689,'апрель 2024'!$D$4:$D$1689,$B34,'апрель 2024'!$J$4:$J$1689,G$1)</f>
        <v>0</v>
      </c>
      <c r="H34" s="80">
        <f>SUMIFS('апрель 2024'!$G$4:$G$1689,'апрель 2024'!$D$4:$D$1689,$B34,'апрель 2024'!$J$4:$J$1689,H$1)</f>
        <v>0</v>
      </c>
      <c r="I34" s="80">
        <f>SUMIFS('апрель 2024'!$G$4:$G$1689,'апрель 2024'!$D$4:$D$1689,$B34,'апрель 2024'!$J$4:$J$1689,I$1)</f>
        <v>0</v>
      </c>
      <c r="J34" s="80">
        <f>SUMIFS('апрель 2024'!$G$4:$G$1689,'апрель 2024'!$D$4:$D$1689,$B34,'апрель 2024'!$J$4:$J$1689,J$1)</f>
        <v>0</v>
      </c>
      <c r="K34" s="80">
        <f>SUMIFS('апрель 2024'!$G$4:$G$1689,'апрель 2024'!$D$4:$D$1689,$B34,'апрель 2024'!$J$4:$J$1689,K$1)</f>
        <v>0</v>
      </c>
      <c r="L34" s="80">
        <f>SUMIFS('апрель 2024'!$G$4:$G$1689,'апрель 2024'!$D$4:$D$1689,$B34,'апрель 2024'!$J$4:$J$1689,L$1)</f>
        <v>0</v>
      </c>
      <c r="M34" s="80">
        <f>SUMIFS('апрель 2024'!$G$4:$G$1689,'апрель 2024'!$D$4:$D$1689,$B34,'апрель 2024'!$J$4:$J$1689,M$1)</f>
        <v>0</v>
      </c>
      <c r="N34" s="80">
        <f>SUMIFS('апрель 2024'!$G$4:$G$1689,'апрель 2024'!$D$4:$D$1689,$B34,'апрель 2024'!$J$4:$J$1689,N$1)</f>
        <v>0</v>
      </c>
      <c r="O34" s="80">
        <f>SUMIFS('апрель 2024'!$G$4:$G$1689,'апрель 2024'!$D$4:$D$1689,$B34,'апрель 2024'!$J$4:$J$1689,O$1)</f>
        <v>0</v>
      </c>
      <c r="P34" s="80">
        <f>SUMIFS('апрель 2024'!$G$4:$G$1689,'апрель 2024'!$D$4:$D$1689,$B34,'апрель 2024'!$J$4:$J$1689,P$1)</f>
        <v>0</v>
      </c>
      <c r="Q34" s="80">
        <f>SUMIFS('апрель 2024'!$G$4:$G$1689,'апрель 2024'!$D$4:$D$1689,$B34,'апрель 2024'!$J$4:$J$1689,Q$1)</f>
        <v>0</v>
      </c>
      <c r="R34" s="80">
        <f>SUMIFS('апрель 2024'!$G$4:$G$1689,'апрель 2024'!$D$4:$D$1689,$B34,'апрель 2024'!$J$4:$J$1689,R$1)</f>
        <v>0</v>
      </c>
      <c r="S34" s="80">
        <f>SUMIFS('апрель 2024'!$G$4:$G$1689,'апрель 2024'!$D$4:$D$1689,$B34,'апрель 2024'!$J$4:$J$1689,S$1)</f>
        <v>0</v>
      </c>
      <c r="T34" s="80">
        <f>SUMIFS('апрель 2024'!$G$4:$G$1689,'апрель 2024'!$D$4:$D$1689,$B34,'апрель 2024'!$J$4:$J$1689,T$1)</f>
        <v>0</v>
      </c>
      <c r="U34" s="80">
        <f>SUMIFS('апрель 2024'!$G$4:$G$1689,'апрель 2024'!$D$4:$D$1689,$B34,'апрель 2024'!$J$4:$J$1689,U$1)</f>
        <v>0</v>
      </c>
      <c r="V34" s="80">
        <f>SUMIFS('апрель 2024'!$G$4:$G$1689,'апрель 2024'!$D$4:$D$1689,$B34,'апрель 2024'!$J$4:$J$1689,V$1)</f>
        <v>0</v>
      </c>
      <c r="W34" s="80">
        <f>SUMIFS('апрель 2024'!$G$4:$G$1689,'апрель 2024'!$D$4:$D$1689,$B34,'апрель 2024'!$J$4:$J$1689,W$1)</f>
        <v>0</v>
      </c>
      <c r="X34" s="80">
        <f>SUMIFS('апрель 2024'!$G$4:$G$1689,'апрель 2024'!$D$4:$D$1689,$B34,'апрель 2024'!$J$4:$J$1689,X$1)</f>
        <v>0</v>
      </c>
      <c r="Y34" s="80">
        <f>SUMIFS('апрель 2024'!$G$4:$G$1689,'апрель 2024'!$D$4:$D$1689,$B34,'апрель 2024'!$J$4:$J$1689,Y$1)</f>
        <v>0</v>
      </c>
      <c r="Z34" s="80">
        <f>SUMIFS('апрель 2024'!$G$4:$G$1689,'апрель 2024'!$D$4:$D$1689,$B34,'апрель 2024'!$J$4:$J$1689,Z$1)</f>
        <v>0</v>
      </c>
      <c r="AA34" s="80">
        <f>SUMIFS('апрель 2024'!$G$4:$G$1689,'апрель 2024'!$D$4:$D$1689,$B34,'апрель 2024'!$J$4:$J$1689,AA$1)</f>
        <v>0</v>
      </c>
      <c r="AB34" s="80">
        <f>SUMIFS('апрель 2024'!$G$4:$G$1689,'апрель 2024'!$D$4:$D$1689,$B34,'апрель 2024'!$J$4:$J$1689,AB$1)</f>
        <v>0</v>
      </c>
      <c r="AC34" s="80">
        <f>SUMIFS('апрель 2024'!$G$4:$G$1689,'апрель 2024'!$D$4:$D$1689,$B34,'апрель 2024'!$J$4:$J$1689,AC$1)</f>
        <v>0</v>
      </c>
      <c r="AD34" s="80">
        <f>SUMIFS('апрель 2024'!$G$4:$G$1689,'апрель 2024'!$D$4:$D$1689,$B34,'апрель 2024'!$J$4:$J$1689,AD$1)</f>
        <v>0</v>
      </c>
      <c r="AE34" s="80">
        <f>SUMIFS('апрель 2024'!$G$4:$G$1689,'апрель 2024'!$D$4:$D$1689,$B34,'апрель 2024'!$J$4:$J$1689,AE$1)</f>
        <v>0</v>
      </c>
      <c r="AF34" s="80">
        <f>SUMIFS('апрель 2024'!$G$4:$G$1689,'апрель 2024'!$D$4:$D$1689,$B34,'апрель 2024'!$J$4:$J$1689,AF$1)</f>
        <v>0</v>
      </c>
      <c r="AG34" s="80">
        <f>SUMIFS('апрель 2024'!$G$4:$G$1689,'апрель 2024'!$D$4:$D$1689,$B34,'апрель 2024'!$J$4:$J$1689,AG$1)</f>
        <v>0</v>
      </c>
      <c r="AH34" s="80">
        <f>SUMIFS('апрель 2024'!$G$4:$G$1689,'апрель 2024'!$D$4:$D$1689,$B34,'апрель 2024'!$J$4:$J$1689,AH$1)</f>
        <v>0</v>
      </c>
      <c r="AI34" s="21">
        <f t="shared" si="1"/>
        <v>0</v>
      </c>
    </row>
    <row r="35" spans="2:35" ht="15" customHeight="1" x14ac:dyDescent="0.25">
      <c r="B35" s="148" t="s">
        <v>282</v>
      </c>
      <c r="C35" s="149">
        <v>25</v>
      </c>
      <c r="D35" s="80">
        <f>SUMIFS('апрель 2024'!$G$4:$G$1689,'апрель 2024'!$D$4:$D$1689,$B35,'апрель 2024'!$J$4:$J$1689,D$1)</f>
        <v>0</v>
      </c>
      <c r="E35" s="80">
        <f>SUMIFS('апрель 2024'!$G$4:$G$1689,'апрель 2024'!$D$4:$D$1689,$B35,'апрель 2024'!$J$4:$J$1689,E$1)</f>
        <v>0</v>
      </c>
      <c r="F35" s="80">
        <f>SUMIFS('апрель 2024'!$G$4:$G$1689,'апрель 2024'!$D$4:$D$1689,$B35,'апрель 2024'!$J$4:$J$1689,F$1)</f>
        <v>0</v>
      </c>
      <c r="G35" s="80">
        <f>SUMIFS('апрель 2024'!$G$4:$G$1689,'апрель 2024'!$D$4:$D$1689,$B35,'апрель 2024'!$J$4:$J$1689,G$1)</f>
        <v>0</v>
      </c>
      <c r="H35" s="80">
        <f>SUMIFS('апрель 2024'!$G$4:$G$1689,'апрель 2024'!$D$4:$D$1689,$B35,'апрель 2024'!$J$4:$J$1689,H$1)</f>
        <v>0</v>
      </c>
      <c r="I35" s="80">
        <f>SUMIFS('апрель 2024'!$G$4:$G$1689,'апрель 2024'!$D$4:$D$1689,$B35,'апрель 2024'!$J$4:$J$1689,I$1)</f>
        <v>0</v>
      </c>
      <c r="J35" s="80">
        <f>SUMIFS('апрель 2024'!$G$4:$G$1689,'апрель 2024'!$D$4:$D$1689,$B35,'апрель 2024'!$J$4:$J$1689,J$1)</f>
        <v>0</v>
      </c>
      <c r="K35" s="80">
        <f>SUMIFS('апрель 2024'!$G$4:$G$1689,'апрель 2024'!$D$4:$D$1689,$B35,'апрель 2024'!$J$4:$J$1689,K$1)</f>
        <v>0</v>
      </c>
      <c r="L35" s="80">
        <f>SUMIFS('апрель 2024'!$G$4:$G$1689,'апрель 2024'!$D$4:$D$1689,$B35,'апрель 2024'!$J$4:$J$1689,L$1)</f>
        <v>0</v>
      </c>
      <c r="M35" s="80">
        <f>SUMIFS('апрель 2024'!$G$4:$G$1689,'апрель 2024'!$D$4:$D$1689,$B35,'апрель 2024'!$J$4:$J$1689,M$1)</f>
        <v>0</v>
      </c>
      <c r="N35" s="80">
        <f>SUMIFS('апрель 2024'!$G$4:$G$1689,'апрель 2024'!$D$4:$D$1689,$B35,'апрель 2024'!$J$4:$J$1689,N$1)</f>
        <v>0</v>
      </c>
      <c r="O35" s="80">
        <f>SUMIFS('апрель 2024'!$G$4:$G$1689,'апрель 2024'!$D$4:$D$1689,$B35,'апрель 2024'!$J$4:$J$1689,O$1)</f>
        <v>0</v>
      </c>
      <c r="P35" s="80">
        <f>SUMIFS('апрель 2024'!$G$4:$G$1689,'апрель 2024'!$D$4:$D$1689,$B35,'апрель 2024'!$J$4:$J$1689,P$1)</f>
        <v>0</v>
      </c>
      <c r="Q35" s="80">
        <f>SUMIFS('апрель 2024'!$G$4:$G$1689,'апрель 2024'!$D$4:$D$1689,$B35,'апрель 2024'!$J$4:$J$1689,Q$1)</f>
        <v>0</v>
      </c>
      <c r="R35" s="80">
        <f>SUMIFS('апрель 2024'!$G$4:$G$1689,'апрель 2024'!$D$4:$D$1689,$B35,'апрель 2024'!$J$4:$J$1689,R$1)</f>
        <v>0</v>
      </c>
      <c r="S35" s="80">
        <f>SUMIFS('апрель 2024'!$G$4:$G$1689,'апрель 2024'!$D$4:$D$1689,$B35,'апрель 2024'!$J$4:$J$1689,S$1)</f>
        <v>0</v>
      </c>
      <c r="T35" s="80">
        <f>SUMIFS('апрель 2024'!$G$4:$G$1689,'апрель 2024'!$D$4:$D$1689,$B35,'апрель 2024'!$J$4:$J$1689,T$1)</f>
        <v>0</v>
      </c>
      <c r="U35" s="80">
        <f>SUMIFS('апрель 2024'!$G$4:$G$1689,'апрель 2024'!$D$4:$D$1689,$B35,'апрель 2024'!$J$4:$J$1689,U$1)</f>
        <v>0</v>
      </c>
      <c r="V35" s="80">
        <f>SUMIFS('апрель 2024'!$G$4:$G$1689,'апрель 2024'!$D$4:$D$1689,$B35,'апрель 2024'!$J$4:$J$1689,V$1)</f>
        <v>0</v>
      </c>
      <c r="W35" s="80">
        <f>SUMIFS('апрель 2024'!$G$4:$G$1689,'апрель 2024'!$D$4:$D$1689,$B35,'апрель 2024'!$J$4:$J$1689,W$1)</f>
        <v>0</v>
      </c>
      <c r="X35" s="80">
        <f>SUMIFS('апрель 2024'!$G$4:$G$1689,'апрель 2024'!$D$4:$D$1689,$B35,'апрель 2024'!$J$4:$J$1689,X$1)</f>
        <v>0</v>
      </c>
      <c r="Y35" s="80">
        <f>SUMIFS('апрель 2024'!$G$4:$G$1689,'апрель 2024'!$D$4:$D$1689,$B35,'апрель 2024'!$J$4:$J$1689,Y$1)</f>
        <v>0</v>
      </c>
      <c r="Z35" s="80">
        <f>SUMIFS('апрель 2024'!$G$4:$G$1689,'апрель 2024'!$D$4:$D$1689,$B35,'апрель 2024'!$J$4:$J$1689,Z$1)</f>
        <v>0</v>
      </c>
      <c r="AA35" s="80">
        <f>SUMIFS('апрель 2024'!$G$4:$G$1689,'апрель 2024'!$D$4:$D$1689,$B35,'апрель 2024'!$J$4:$J$1689,AA$1)</f>
        <v>0</v>
      </c>
      <c r="AB35" s="80">
        <f>SUMIFS('апрель 2024'!$G$4:$G$1689,'апрель 2024'!$D$4:$D$1689,$B35,'апрель 2024'!$J$4:$J$1689,AB$1)</f>
        <v>0</v>
      </c>
      <c r="AC35" s="80">
        <f>SUMIFS('апрель 2024'!$G$4:$G$1689,'апрель 2024'!$D$4:$D$1689,$B35,'апрель 2024'!$J$4:$J$1689,AC$1)</f>
        <v>0</v>
      </c>
      <c r="AD35" s="80">
        <f>SUMIFS('апрель 2024'!$G$4:$G$1689,'апрель 2024'!$D$4:$D$1689,$B35,'апрель 2024'!$J$4:$J$1689,AD$1)</f>
        <v>0</v>
      </c>
      <c r="AE35" s="80">
        <f>SUMIFS('апрель 2024'!$G$4:$G$1689,'апрель 2024'!$D$4:$D$1689,$B35,'апрель 2024'!$J$4:$J$1689,AE$1)</f>
        <v>0</v>
      </c>
      <c r="AF35" s="80">
        <f>SUMIFS('апрель 2024'!$G$4:$G$1689,'апрель 2024'!$D$4:$D$1689,$B35,'апрель 2024'!$J$4:$J$1689,AF$1)</f>
        <v>0</v>
      </c>
      <c r="AG35" s="80">
        <f>SUMIFS('апрель 2024'!$G$4:$G$1689,'апрель 2024'!$D$4:$D$1689,$B35,'апрель 2024'!$J$4:$J$1689,AG$1)</f>
        <v>0</v>
      </c>
      <c r="AH35" s="80">
        <f>SUMIFS('апрель 2024'!$G$4:$G$1689,'апрель 2024'!$D$4:$D$1689,$B35,'апрель 2024'!$J$4:$J$1689,AH$1)</f>
        <v>0</v>
      </c>
      <c r="AI35" s="21">
        <f t="shared" si="1"/>
        <v>0</v>
      </c>
    </row>
    <row r="36" spans="2:35" ht="15" customHeight="1" x14ac:dyDescent="0.25">
      <c r="B36" s="150" t="s">
        <v>284</v>
      </c>
      <c r="C36" s="151">
        <v>22.68</v>
      </c>
      <c r="D36" s="80">
        <f>SUMIFS('апрель 2024'!$G$4:$G$1689,'апрель 2024'!$D$4:$D$1689,$B36,'апрель 2024'!$J$4:$J$1689,D$1)</f>
        <v>0</v>
      </c>
      <c r="E36" s="80">
        <f>SUMIFS('апрель 2024'!$G$4:$G$1689,'апрель 2024'!$D$4:$D$1689,$B36,'апрель 2024'!$J$4:$J$1689,E$1)</f>
        <v>0</v>
      </c>
      <c r="F36" s="80">
        <f>SUMIFS('апрель 2024'!$G$4:$G$1689,'апрель 2024'!$D$4:$D$1689,$B36,'апрель 2024'!$J$4:$J$1689,F$1)</f>
        <v>0</v>
      </c>
      <c r="G36" s="80">
        <f>SUMIFS('апрель 2024'!$G$4:$G$1689,'апрель 2024'!$D$4:$D$1689,$B36,'апрель 2024'!$J$4:$J$1689,G$1)</f>
        <v>0</v>
      </c>
      <c r="H36" s="80">
        <f>SUMIFS('апрель 2024'!$G$4:$G$1689,'апрель 2024'!$D$4:$D$1689,$B36,'апрель 2024'!$J$4:$J$1689,H$1)</f>
        <v>0</v>
      </c>
      <c r="I36" s="80">
        <f>SUMIFS('апрель 2024'!$G$4:$G$1689,'апрель 2024'!$D$4:$D$1689,$B36,'апрель 2024'!$J$4:$J$1689,I$1)</f>
        <v>0</v>
      </c>
      <c r="J36" s="80">
        <f>SUMIFS('апрель 2024'!$G$4:$G$1689,'апрель 2024'!$D$4:$D$1689,$B36,'апрель 2024'!$J$4:$J$1689,J$1)</f>
        <v>0</v>
      </c>
      <c r="K36" s="80">
        <f>SUMIFS('апрель 2024'!$G$4:$G$1689,'апрель 2024'!$D$4:$D$1689,$B36,'апрель 2024'!$J$4:$J$1689,K$1)</f>
        <v>0</v>
      </c>
      <c r="L36" s="80">
        <f>SUMIFS('апрель 2024'!$G$4:$G$1689,'апрель 2024'!$D$4:$D$1689,$B36,'апрель 2024'!$J$4:$J$1689,L$1)</f>
        <v>0</v>
      </c>
      <c r="M36" s="80">
        <f>SUMIFS('апрель 2024'!$G$4:$G$1689,'апрель 2024'!$D$4:$D$1689,$B36,'апрель 2024'!$J$4:$J$1689,M$1)</f>
        <v>0</v>
      </c>
      <c r="N36" s="80">
        <f>SUMIFS('апрель 2024'!$G$4:$G$1689,'апрель 2024'!$D$4:$D$1689,$B36,'апрель 2024'!$J$4:$J$1689,N$1)</f>
        <v>0</v>
      </c>
      <c r="O36" s="80">
        <f>SUMIFS('апрель 2024'!$G$4:$G$1689,'апрель 2024'!$D$4:$D$1689,$B36,'апрель 2024'!$J$4:$J$1689,O$1)</f>
        <v>0</v>
      </c>
      <c r="P36" s="80">
        <f>SUMIFS('апрель 2024'!$G$4:$G$1689,'апрель 2024'!$D$4:$D$1689,$B36,'апрель 2024'!$J$4:$J$1689,P$1)</f>
        <v>0</v>
      </c>
      <c r="Q36" s="80">
        <f>SUMIFS('апрель 2024'!$G$4:$G$1689,'апрель 2024'!$D$4:$D$1689,$B36,'апрель 2024'!$J$4:$J$1689,Q$1)</f>
        <v>0</v>
      </c>
      <c r="R36" s="80">
        <f>SUMIFS('апрель 2024'!$G$4:$G$1689,'апрель 2024'!$D$4:$D$1689,$B36,'апрель 2024'!$J$4:$J$1689,R$1)</f>
        <v>0</v>
      </c>
      <c r="S36" s="80">
        <f>SUMIFS('апрель 2024'!$G$4:$G$1689,'апрель 2024'!$D$4:$D$1689,$B36,'апрель 2024'!$J$4:$J$1689,S$1)</f>
        <v>0</v>
      </c>
      <c r="T36" s="80">
        <f>SUMIFS('апрель 2024'!$G$4:$G$1689,'апрель 2024'!$D$4:$D$1689,$B36,'апрель 2024'!$J$4:$J$1689,T$1)</f>
        <v>0</v>
      </c>
      <c r="U36" s="80">
        <f>SUMIFS('апрель 2024'!$G$4:$G$1689,'апрель 2024'!$D$4:$D$1689,$B36,'апрель 2024'!$J$4:$J$1689,U$1)</f>
        <v>0</v>
      </c>
      <c r="V36" s="80">
        <f>SUMIFS('апрель 2024'!$G$4:$G$1689,'апрель 2024'!$D$4:$D$1689,$B36,'апрель 2024'!$J$4:$J$1689,V$1)</f>
        <v>0</v>
      </c>
      <c r="W36" s="80">
        <f>SUMIFS('апрель 2024'!$G$4:$G$1689,'апрель 2024'!$D$4:$D$1689,$B36,'апрель 2024'!$J$4:$J$1689,W$1)</f>
        <v>0</v>
      </c>
      <c r="X36" s="80">
        <f>SUMIFS('апрель 2024'!$G$4:$G$1689,'апрель 2024'!$D$4:$D$1689,$B36,'апрель 2024'!$J$4:$J$1689,X$1)</f>
        <v>0</v>
      </c>
      <c r="Y36" s="80">
        <f>SUMIFS('апрель 2024'!$G$4:$G$1689,'апрель 2024'!$D$4:$D$1689,$B36,'апрель 2024'!$J$4:$J$1689,Y$1)</f>
        <v>0</v>
      </c>
      <c r="Z36" s="80">
        <f>SUMIFS('апрель 2024'!$G$4:$G$1689,'апрель 2024'!$D$4:$D$1689,$B36,'апрель 2024'!$J$4:$J$1689,Z$1)</f>
        <v>0</v>
      </c>
      <c r="AA36" s="80">
        <f>SUMIFS('апрель 2024'!$G$4:$G$1689,'апрель 2024'!$D$4:$D$1689,$B36,'апрель 2024'!$J$4:$J$1689,AA$1)</f>
        <v>0</v>
      </c>
      <c r="AB36" s="80">
        <f>SUMIFS('апрель 2024'!$G$4:$G$1689,'апрель 2024'!$D$4:$D$1689,$B36,'апрель 2024'!$J$4:$J$1689,AB$1)</f>
        <v>0</v>
      </c>
      <c r="AC36" s="80">
        <f>SUMIFS('апрель 2024'!$G$4:$G$1689,'апрель 2024'!$D$4:$D$1689,$B36,'апрель 2024'!$J$4:$J$1689,AC$1)</f>
        <v>0</v>
      </c>
      <c r="AD36" s="80">
        <f>SUMIFS('апрель 2024'!$G$4:$G$1689,'апрель 2024'!$D$4:$D$1689,$B36,'апрель 2024'!$J$4:$J$1689,AD$1)</f>
        <v>0</v>
      </c>
      <c r="AE36" s="80">
        <f>SUMIFS('апрель 2024'!$G$4:$G$1689,'апрель 2024'!$D$4:$D$1689,$B36,'апрель 2024'!$J$4:$J$1689,AE$1)</f>
        <v>0</v>
      </c>
      <c r="AF36" s="80">
        <f>SUMIFS('апрель 2024'!$G$4:$G$1689,'апрель 2024'!$D$4:$D$1689,$B36,'апрель 2024'!$J$4:$J$1689,AF$1)</f>
        <v>0</v>
      </c>
      <c r="AG36" s="80">
        <f>SUMIFS('апрель 2024'!$G$4:$G$1689,'апрель 2024'!$D$4:$D$1689,$B36,'апрель 2024'!$J$4:$J$1689,AG$1)</f>
        <v>0</v>
      </c>
      <c r="AH36" s="80">
        <f>SUMIFS('апрель 2024'!$G$4:$G$1689,'апрель 2024'!$D$4:$D$1689,$B36,'апрель 2024'!$J$4:$J$1689,AH$1)</f>
        <v>0</v>
      </c>
      <c r="AI36" s="21">
        <f t="shared" si="1"/>
        <v>0</v>
      </c>
    </row>
    <row r="37" spans="2:35" ht="15" customHeight="1" x14ac:dyDescent="0.25">
      <c r="B37" s="150" t="s">
        <v>286</v>
      </c>
      <c r="C37" s="152">
        <v>25</v>
      </c>
      <c r="D37" s="80">
        <f>SUMIFS('апрель 2024'!$G$4:$G$1689,'апрель 2024'!$D$4:$D$1689,$B37,'апрель 2024'!$J$4:$J$1689,D$1)</f>
        <v>0</v>
      </c>
      <c r="E37" s="80">
        <f>SUMIFS('апрель 2024'!$G$4:$G$1689,'апрель 2024'!$D$4:$D$1689,$B37,'апрель 2024'!$J$4:$J$1689,E$1)</f>
        <v>0</v>
      </c>
      <c r="F37" s="80">
        <f>SUMIFS('апрель 2024'!$G$4:$G$1689,'апрель 2024'!$D$4:$D$1689,$B37,'апрель 2024'!$J$4:$J$1689,F$1)</f>
        <v>0</v>
      </c>
      <c r="G37" s="80">
        <f>SUMIFS('апрель 2024'!$G$4:$G$1689,'апрель 2024'!$D$4:$D$1689,$B37,'апрель 2024'!$J$4:$J$1689,G$1)</f>
        <v>0</v>
      </c>
      <c r="H37" s="80">
        <f>SUMIFS('апрель 2024'!$G$4:$G$1689,'апрель 2024'!$D$4:$D$1689,$B37,'апрель 2024'!$J$4:$J$1689,H$1)</f>
        <v>0</v>
      </c>
      <c r="I37" s="80">
        <f>SUMIFS('апрель 2024'!$G$4:$G$1689,'апрель 2024'!$D$4:$D$1689,$B37,'апрель 2024'!$J$4:$J$1689,I$1)</f>
        <v>0</v>
      </c>
      <c r="J37" s="80">
        <f>SUMIFS('апрель 2024'!$G$4:$G$1689,'апрель 2024'!$D$4:$D$1689,$B37,'апрель 2024'!$J$4:$J$1689,J$1)</f>
        <v>0</v>
      </c>
      <c r="K37" s="80">
        <f>SUMIFS('апрель 2024'!$G$4:$G$1689,'апрель 2024'!$D$4:$D$1689,$B37,'апрель 2024'!$J$4:$J$1689,K$1)</f>
        <v>0</v>
      </c>
      <c r="L37" s="80">
        <f>SUMIFS('апрель 2024'!$G$4:$G$1689,'апрель 2024'!$D$4:$D$1689,$B37,'апрель 2024'!$J$4:$J$1689,L$1)</f>
        <v>0</v>
      </c>
      <c r="M37" s="80">
        <f>SUMIFS('апрель 2024'!$G$4:$G$1689,'апрель 2024'!$D$4:$D$1689,$B37,'апрель 2024'!$J$4:$J$1689,M$1)</f>
        <v>0</v>
      </c>
      <c r="N37" s="80">
        <f>SUMIFS('апрель 2024'!$G$4:$G$1689,'апрель 2024'!$D$4:$D$1689,$B37,'апрель 2024'!$J$4:$J$1689,N$1)</f>
        <v>0</v>
      </c>
      <c r="O37" s="80">
        <f>SUMIFS('апрель 2024'!$G$4:$G$1689,'апрель 2024'!$D$4:$D$1689,$B37,'апрель 2024'!$J$4:$J$1689,O$1)</f>
        <v>0</v>
      </c>
      <c r="P37" s="80">
        <f>SUMIFS('апрель 2024'!$G$4:$G$1689,'апрель 2024'!$D$4:$D$1689,$B37,'апрель 2024'!$J$4:$J$1689,P$1)</f>
        <v>0</v>
      </c>
      <c r="Q37" s="80">
        <f>SUMIFS('апрель 2024'!$G$4:$G$1689,'апрель 2024'!$D$4:$D$1689,$B37,'апрель 2024'!$J$4:$J$1689,Q$1)</f>
        <v>0</v>
      </c>
      <c r="R37" s="80">
        <f>SUMIFS('апрель 2024'!$G$4:$G$1689,'апрель 2024'!$D$4:$D$1689,$B37,'апрель 2024'!$J$4:$J$1689,R$1)</f>
        <v>0</v>
      </c>
      <c r="S37" s="80">
        <f>SUMIFS('апрель 2024'!$G$4:$G$1689,'апрель 2024'!$D$4:$D$1689,$B37,'апрель 2024'!$J$4:$J$1689,S$1)</f>
        <v>400</v>
      </c>
      <c r="T37" s="80">
        <f>SUMIFS('апрель 2024'!$G$4:$G$1689,'апрель 2024'!$D$4:$D$1689,$B37,'апрель 2024'!$J$4:$J$1689,T$1)</f>
        <v>0</v>
      </c>
      <c r="U37" s="80">
        <f>SUMIFS('апрель 2024'!$G$4:$G$1689,'апрель 2024'!$D$4:$D$1689,$B37,'апрель 2024'!$J$4:$J$1689,U$1)</f>
        <v>0</v>
      </c>
      <c r="V37" s="80">
        <f>SUMIFS('апрель 2024'!$G$4:$G$1689,'апрель 2024'!$D$4:$D$1689,$B37,'апрель 2024'!$J$4:$J$1689,V$1)</f>
        <v>1</v>
      </c>
      <c r="W37" s="80">
        <f>SUMIFS('апрель 2024'!$G$4:$G$1689,'апрель 2024'!$D$4:$D$1689,$B37,'апрель 2024'!$J$4:$J$1689,W$1)</f>
        <v>0</v>
      </c>
      <c r="X37" s="80">
        <f>SUMIFS('апрель 2024'!$G$4:$G$1689,'апрель 2024'!$D$4:$D$1689,$B37,'апрель 2024'!$J$4:$J$1689,X$1)</f>
        <v>0</v>
      </c>
      <c r="Y37" s="80">
        <f>SUMIFS('апрель 2024'!$G$4:$G$1689,'апрель 2024'!$D$4:$D$1689,$B37,'апрель 2024'!$J$4:$J$1689,Y$1)</f>
        <v>0</v>
      </c>
      <c r="Z37" s="80">
        <f>SUMIFS('апрель 2024'!$G$4:$G$1689,'апрель 2024'!$D$4:$D$1689,$B37,'апрель 2024'!$J$4:$J$1689,Z$1)</f>
        <v>0</v>
      </c>
      <c r="AA37" s="80">
        <f>SUMIFS('апрель 2024'!$G$4:$G$1689,'апрель 2024'!$D$4:$D$1689,$B37,'апрель 2024'!$J$4:$J$1689,AA$1)</f>
        <v>0</v>
      </c>
      <c r="AB37" s="80">
        <f>SUMIFS('апрель 2024'!$G$4:$G$1689,'апрель 2024'!$D$4:$D$1689,$B37,'апрель 2024'!$J$4:$J$1689,AB$1)</f>
        <v>0</v>
      </c>
      <c r="AC37" s="80">
        <f>SUMIFS('апрель 2024'!$G$4:$G$1689,'апрель 2024'!$D$4:$D$1689,$B37,'апрель 2024'!$J$4:$J$1689,AC$1)</f>
        <v>0</v>
      </c>
      <c r="AD37" s="80">
        <f>SUMIFS('апрель 2024'!$G$4:$G$1689,'апрель 2024'!$D$4:$D$1689,$B37,'апрель 2024'!$J$4:$J$1689,AD$1)</f>
        <v>0</v>
      </c>
      <c r="AE37" s="80">
        <f>SUMIFS('апрель 2024'!$G$4:$G$1689,'апрель 2024'!$D$4:$D$1689,$B37,'апрель 2024'!$J$4:$J$1689,AE$1)</f>
        <v>0</v>
      </c>
      <c r="AF37" s="80">
        <f>SUMIFS('апрель 2024'!$G$4:$G$1689,'апрель 2024'!$D$4:$D$1689,$B37,'апрель 2024'!$J$4:$J$1689,AF$1)</f>
        <v>0</v>
      </c>
      <c r="AG37" s="80">
        <f>SUMIFS('апрель 2024'!$G$4:$G$1689,'апрель 2024'!$D$4:$D$1689,$B37,'апрель 2024'!$J$4:$J$1689,AG$1)</f>
        <v>0</v>
      </c>
      <c r="AH37" s="80">
        <f>SUMIFS('апрель 2024'!$G$4:$G$1689,'апрель 2024'!$D$4:$D$1689,$B37,'апрель 2024'!$J$4:$J$1689,AH$1)</f>
        <v>0</v>
      </c>
      <c r="AI37" s="21">
        <f t="shared" si="1"/>
        <v>401</v>
      </c>
    </row>
    <row r="38" spans="2:35" ht="15" customHeight="1" x14ac:dyDescent="0.25">
      <c r="B38" s="150" t="s">
        <v>288</v>
      </c>
      <c r="C38" s="153">
        <v>25</v>
      </c>
      <c r="D38" s="80">
        <f>SUMIFS('апрель 2024'!$G$4:$G$1689,'апрель 2024'!$D$4:$D$1689,$B38,'апрель 2024'!$J$4:$J$1689,D$1)</f>
        <v>0</v>
      </c>
      <c r="E38" s="80">
        <f>SUMIFS('апрель 2024'!$G$4:$G$1689,'апрель 2024'!$D$4:$D$1689,$B38,'апрель 2024'!$J$4:$J$1689,E$1)</f>
        <v>0</v>
      </c>
      <c r="F38" s="80">
        <f>SUMIFS('апрель 2024'!$G$4:$G$1689,'апрель 2024'!$D$4:$D$1689,$B38,'апрель 2024'!$J$4:$J$1689,F$1)</f>
        <v>0</v>
      </c>
      <c r="G38" s="80">
        <f>SUMIFS('апрель 2024'!$G$4:$G$1689,'апрель 2024'!$D$4:$D$1689,$B38,'апрель 2024'!$J$4:$J$1689,G$1)</f>
        <v>0</v>
      </c>
      <c r="H38" s="80">
        <f>SUMIFS('апрель 2024'!$G$4:$G$1689,'апрель 2024'!$D$4:$D$1689,$B38,'апрель 2024'!$J$4:$J$1689,H$1)</f>
        <v>0</v>
      </c>
      <c r="I38" s="80">
        <f>SUMIFS('апрель 2024'!$G$4:$G$1689,'апрель 2024'!$D$4:$D$1689,$B38,'апрель 2024'!$J$4:$J$1689,I$1)</f>
        <v>0</v>
      </c>
      <c r="J38" s="80">
        <f>SUMIFS('апрель 2024'!$G$4:$G$1689,'апрель 2024'!$D$4:$D$1689,$B38,'апрель 2024'!$J$4:$J$1689,J$1)</f>
        <v>0</v>
      </c>
      <c r="K38" s="80">
        <f>SUMIFS('апрель 2024'!$G$4:$G$1689,'апрель 2024'!$D$4:$D$1689,$B38,'апрель 2024'!$J$4:$J$1689,K$1)</f>
        <v>0</v>
      </c>
      <c r="L38" s="80">
        <f>SUMIFS('апрель 2024'!$G$4:$G$1689,'апрель 2024'!$D$4:$D$1689,$B38,'апрель 2024'!$J$4:$J$1689,L$1)</f>
        <v>0</v>
      </c>
      <c r="M38" s="80">
        <f>SUMIFS('апрель 2024'!$G$4:$G$1689,'апрель 2024'!$D$4:$D$1689,$B38,'апрель 2024'!$J$4:$J$1689,M$1)</f>
        <v>0</v>
      </c>
      <c r="N38" s="80">
        <f>SUMIFS('апрель 2024'!$G$4:$G$1689,'апрель 2024'!$D$4:$D$1689,$B38,'апрель 2024'!$J$4:$J$1689,N$1)</f>
        <v>0</v>
      </c>
      <c r="O38" s="80">
        <f>SUMIFS('апрель 2024'!$G$4:$G$1689,'апрель 2024'!$D$4:$D$1689,$B38,'апрель 2024'!$J$4:$J$1689,O$1)</f>
        <v>0</v>
      </c>
      <c r="P38" s="80">
        <f>SUMIFS('апрель 2024'!$G$4:$G$1689,'апрель 2024'!$D$4:$D$1689,$B38,'апрель 2024'!$J$4:$J$1689,P$1)</f>
        <v>0</v>
      </c>
      <c r="Q38" s="80">
        <f>SUMIFS('апрель 2024'!$G$4:$G$1689,'апрель 2024'!$D$4:$D$1689,$B38,'апрель 2024'!$J$4:$J$1689,Q$1)</f>
        <v>0</v>
      </c>
      <c r="R38" s="80">
        <f>SUMIFS('апрель 2024'!$G$4:$G$1689,'апрель 2024'!$D$4:$D$1689,$B38,'апрель 2024'!$J$4:$J$1689,R$1)</f>
        <v>0</v>
      </c>
      <c r="S38" s="80">
        <f>SUMIFS('апрель 2024'!$G$4:$G$1689,'апрель 2024'!$D$4:$D$1689,$B38,'апрель 2024'!$J$4:$J$1689,S$1)</f>
        <v>0</v>
      </c>
      <c r="T38" s="80">
        <f>SUMIFS('апрель 2024'!$G$4:$G$1689,'апрель 2024'!$D$4:$D$1689,$B38,'апрель 2024'!$J$4:$J$1689,T$1)</f>
        <v>0</v>
      </c>
      <c r="U38" s="80">
        <f>SUMIFS('апрель 2024'!$G$4:$G$1689,'апрель 2024'!$D$4:$D$1689,$B38,'апрель 2024'!$J$4:$J$1689,U$1)</f>
        <v>0</v>
      </c>
      <c r="V38" s="80">
        <f>SUMIFS('апрель 2024'!$G$4:$G$1689,'апрель 2024'!$D$4:$D$1689,$B38,'апрель 2024'!$J$4:$J$1689,V$1)</f>
        <v>0</v>
      </c>
      <c r="W38" s="80">
        <f>SUMIFS('апрель 2024'!$G$4:$G$1689,'апрель 2024'!$D$4:$D$1689,$B38,'апрель 2024'!$J$4:$J$1689,W$1)</f>
        <v>0</v>
      </c>
      <c r="X38" s="80">
        <f>SUMIFS('апрель 2024'!$G$4:$G$1689,'апрель 2024'!$D$4:$D$1689,$B38,'апрель 2024'!$J$4:$J$1689,X$1)</f>
        <v>0</v>
      </c>
      <c r="Y38" s="80">
        <f>SUMIFS('апрель 2024'!$G$4:$G$1689,'апрель 2024'!$D$4:$D$1689,$B38,'апрель 2024'!$J$4:$J$1689,Y$1)</f>
        <v>0</v>
      </c>
      <c r="Z38" s="80">
        <f>SUMIFS('апрель 2024'!$G$4:$G$1689,'апрель 2024'!$D$4:$D$1689,$B38,'апрель 2024'!$J$4:$J$1689,Z$1)</f>
        <v>0</v>
      </c>
      <c r="AA38" s="80">
        <f>SUMIFS('апрель 2024'!$G$4:$G$1689,'апрель 2024'!$D$4:$D$1689,$B38,'апрель 2024'!$J$4:$J$1689,AA$1)</f>
        <v>0</v>
      </c>
      <c r="AB38" s="80">
        <f>SUMIFS('апрель 2024'!$G$4:$G$1689,'апрель 2024'!$D$4:$D$1689,$B38,'апрель 2024'!$J$4:$J$1689,AB$1)</f>
        <v>0</v>
      </c>
      <c r="AC38" s="80">
        <f>SUMIFS('апрель 2024'!$G$4:$G$1689,'апрель 2024'!$D$4:$D$1689,$B38,'апрель 2024'!$J$4:$J$1689,AC$1)</f>
        <v>0</v>
      </c>
      <c r="AD38" s="80">
        <f>SUMIFS('апрель 2024'!$G$4:$G$1689,'апрель 2024'!$D$4:$D$1689,$B38,'апрель 2024'!$J$4:$J$1689,AD$1)</f>
        <v>0</v>
      </c>
      <c r="AE38" s="80">
        <f>SUMIFS('апрель 2024'!$G$4:$G$1689,'апрель 2024'!$D$4:$D$1689,$B38,'апрель 2024'!$J$4:$J$1689,AE$1)</f>
        <v>0</v>
      </c>
      <c r="AF38" s="80">
        <f>SUMIFS('апрель 2024'!$G$4:$G$1689,'апрель 2024'!$D$4:$D$1689,$B38,'апрель 2024'!$J$4:$J$1689,AF$1)</f>
        <v>0</v>
      </c>
      <c r="AG38" s="80">
        <f>SUMIFS('апрель 2024'!$G$4:$G$1689,'апрель 2024'!$D$4:$D$1689,$B38,'апрель 2024'!$J$4:$J$1689,AG$1)</f>
        <v>0</v>
      </c>
      <c r="AH38" s="80">
        <f>SUMIFS('апрель 2024'!$G$4:$G$1689,'апрель 2024'!$D$4:$D$1689,$B38,'апрель 2024'!$J$4:$J$1689,AH$1)</f>
        <v>0</v>
      </c>
      <c r="AI38" s="21">
        <f t="shared" si="1"/>
        <v>0</v>
      </c>
    </row>
    <row r="39" spans="2:35" ht="15" customHeight="1" x14ac:dyDescent="0.25">
      <c r="B39" s="150" t="s">
        <v>290</v>
      </c>
      <c r="C39" s="149">
        <v>22.68</v>
      </c>
      <c r="D39" s="80">
        <f>SUMIFS('апрель 2024'!$G$4:$G$1689,'апрель 2024'!$D$4:$D$1689,$B39,'апрель 2024'!$J$4:$J$1689,D$1)</f>
        <v>0</v>
      </c>
      <c r="E39" s="80">
        <f>SUMIFS('апрель 2024'!$G$4:$G$1689,'апрель 2024'!$D$4:$D$1689,$B39,'апрель 2024'!$J$4:$J$1689,E$1)</f>
        <v>0</v>
      </c>
      <c r="F39" s="80">
        <f>SUMIFS('апрель 2024'!$G$4:$G$1689,'апрель 2024'!$D$4:$D$1689,$B39,'апрель 2024'!$J$4:$J$1689,F$1)</f>
        <v>0</v>
      </c>
      <c r="G39" s="80">
        <f>SUMIFS('апрель 2024'!$G$4:$G$1689,'апрель 2024'!$D$4:$D$1689,$B39,'апрель 2024'!$J$4:$J$1689,G$1)</f>
        <v>0</v>
      </c>
      <c r="H39" s="80">
        <f>SUMIFS('апрель 2024'!$G$4:$G$1689,'апрель 2024'!$D$4:$D$1689,$B39,'апрель 2024'!$J$4:$J$1689,H$1)</f>
        <v>0</v>
      </c>
      <c r="I39" s="80">
        <f>SUMIFS('апрель 2024'!$G$4:$G$1689,'апрель 2024'!$D$4:$D$1689,$B39,'апрель 2024'!$J$4:$J$1689,I$1)</f>
        <v>0</v>
      </c>
      <c r="J39" s="80">
        <f>SUMIFS('апрель 2024'!$G$4:$G$1689,'апрель 2024'!$D$4:$D$1689,$B39,'апрель 2024'!$J$4:$J$1689,J$1)</f>
        <v>0</v>
      </c>
      <c r="K39" s="80">
        <f>SUMIFS('апрель 2024'!$G$4:$G$1689,'апрель 2024'!$D$4:$D$1689,$B39,'апрель 2024'!$J$4:$J$1689,K$1)</f>
        <v>0</v>
      </c>
      <c r="L39" s="80">
        <f>SUMIFS('апрель 2024'!$G$4:$G$1689,'апрель 2024'!$D$4:$D$1689,$B39,'апрель 2024'!$J$4:$J$1689,L$1)</f>
        <v>0</v>
      </c>
      <c r="M39" s="80">
        <f>SUMIFS('апрель 2024'!$G$4:$G$1689,'апрель 2024'!$D$4:$D$1689,$B39,'апрель 2024'!$J$4:$J$1689,M$1)</f>
        <v>0</v>
      </c>
      <c r="N39" s="80">
        <f>SUMIFS('апрель 2024'!$G$4:$G$1689,'апрель 2024'!$D$4:$D$1689,$B39,'апрель 2024'!$J$4:$J$1689,N$1)</f>
        <v>0</v>
      </c>
      <c r="O39" s="80">
        <f>SUMIFS('апрель 2024'!$G$4:$G$1689,'апрель 2024'!$D$4:$D$1689,$B39,'апрель 2024'!$J$4:$J$1689,O$1)</f>
        <v>0</v>
      </c>
      <c r="P39" s="80">
        <f>SUMIFS('апрель 2024'!$G$4:$G$1689,'апрель 2024'!$D$4:$D$1689,$B39,'апрель 2024'!$J$4:$J$1689,P$1)</f>
        <v>0</v>
      </c>
      <c r="Q39" s="80">
        <f>SUMIFS('апрель 2024'!$G$4:$G$1689,'апрель 2024'!$D$4:$D$1689,$B39,'апрель 2024'!$J$4:$J$1689,Q$1)</f>
        <v>0</v>
      </c>
      <c r="R39" s="80">
        <f>SUMIFS('апрель 2024'!$G$4:$G$1689,'апрель 2024'!$D$4:$D$1689,$B39,'апрель 2024'!$J$4:$J$1689,R$1)</f>
        <v>0</v>
      </c>
      <c r="S39" s="80">
        <f>SUMIFS('апрель 2024'!$G$4:$G$1689,'апрель 2024'!$D$4:$D$1689,$B39,'апрель 2024'!$J$4:$J$1689,S$1)</f>
        <v>0</v>
      </c>
      <c r="T39" s="80">
        <f>SUMIFS('апрель 2024'!$G$4:$G$1689,'апрель 2024'!$D$4:$D$1689,$B39,'апрель 2024'!$J$4:$J$1689,T$1)</f>
        <v>0</v>
      </c>
      <c r="U39" s="80">
        <f>SUMIFS('апрель 2024'!$G$4:$G$1689,'апрель 2024'!$D$4:$D$1689,$B39,'апрель 2024'!$J$4:$J$1689,U$1)</f>
        <v>0</v>
      </c>
      <c r="V39" s="80">
        <f>SUMIFS('апрель 2024'!$G$4:$G$1689,'апрель 2024'!$D$4:$D$1689,$B39,'апрель 2024'!$J$4:$J$1689,V$1)</f>
        <v>0</v>
      </c>
      <c r="W39" s="80">
        <f>SUMIFS('апрель 2024'!$G$4:$G$1689,'апрель 2024'!$D$4:$D$1689,$B39,'апрель 2024'!$J$4:$J$1689,W$1)</f>
        <v>0</v>
      </c>
      <c r="X39" s="80">
        <f>SUMIFS('апрель 2024'!$G$4:$G$1689,'апрель 2024'!$D$4:$D$1689,$B39,'апрель 2024'!$J$4:$J$1689,X$1)</f>
        <v>0</v>
      </c>
      <c r="Y39" s="80">
        <f>SUMIFS('апрель 2024'!$G$4:$G$1689,'апрель 2024'!$D$4:$D$1689,$B39,'апрель 2024'!$J$4:$J$1689,Y$1)</f>
        <v>0</v>
      </c>
      <c r="Z39" s="80">
        <f>SUMIFS('апрель 2024'!$G$4:$G$1689,'апрель 2024'!$D$4:$D$1689,$B39,'апрель 2024'!$J$4:$J$1689,Z$1)</f>
        <v>0</v>
      </c>
      <c r="AA39" s="80">
        <f>SUMIFS('апрель 2024'!$G$4:$G$1689,'апрель 2024'!$D$4:$D$1689,$B39,'апрель 2024'!$J$4:$J$1689,AA$1)</f>
        <v>0</v>
      </c>
      <c r="AB39" s="80">
        <f>SUMIFS('апрель 2024'!$G$4:$G$1689,'апрель 2024'!$D$4:$D$1689,$B39,'апрель 2024'!$J$4:$J$1689,AB$1)</f>
        <v>0</v>
      </c>
      <c r="AC39" s="80">
        <f>SUMIFS('апрель 2024'!$G$4:$G$1689,'апрель 2024'!$D$4:$D$1689,$B39,'апрель 2024'!$J$4:$J$1689,AC$1)</f>
        <v>0</v>
      </c>
      <c r="AD39" s="80">
        <f>SUMIFS('апрель 2024'!$G$4:$G$1689,'апрель 2024'!$D$4:$D$1689,$B39,'апрель 2024'!$J$4:$J$1689,AD$1)</f>
        <v>0</v>
      </c>
      <c r="AE39" s="80">
        <f>SUMIFS('апрель 2024'!$G$4:$G$1689,'апрель 2024'!$D$4:$D$1689,$B39,'апрель 2024'!$J$4:$J$1689,AE$1)</f>
        <v>0</v>
      </c>
      <c r="AF39" s="80">
        <f>SUMIFS('апрель 2024'!$G$4:$G$1689,'апрель 2024'!$D$4:$D$1689,$B39,'апрель 2024'!$J$4:$J$1689,AF$1)</f>
        <v>0</v>
      </c>
      <c r="AG39" s="80">
        <f>SUMIFS('апрель 2024'!$G$4:$G$1689,'апрель 2024'!$D$4:$D$1689,$B39,'апрель 2024'!$J$4:$J$1689,AG$1)</f>
        <v>0</v>
      </c>
      <c r="AH39" s="80">
        <f>SUMIFS('апрель 2024'!$G$4:$G$1689,'апрель 2024'!$D$4:$D$1689,$B39,'апрель 2024'!$J$4:$J$1689,AH$1)</f>
        <v>0</v>
      </c>
      <c r="AI39" s="21">
        <f t="shared" si="1"/>
        <v>0</v>
      </c>
    </row>
    <row r="40" spans="2:35" ht="15" customHeight="1" x14ac:dyDescent="0.25">
      <c r="B40" s="154" t="s">
        <v>292</v>
      </c>
      <c r="C40" s="151">
        <v>25</v>
      </c>
      <c r="D40" s="80">
        <f>SUMIFS('апрель 2024'!$G$4:$G$1689,'апрель 2024'!$D$4:$D$1689,$B40,'апрель 2024'!$J$4:$J$1689,D$1)</f>
        <v>0</v>
      </c>
      <c r="E40" s="80">
        <f>SUMIFS('апрель 2024'!$G$4:$G$1689,'апрель 2024'!$D$4:$D$1689,$B40,'апрель 2024'!$J$4:$J$1689,E$1)</f>
        <v>0</v>
      </c>
      <c r="F40" s="80">
        <f>SUMIFS('апрель 2024'!$G$4:$G$1689,'апрель 2024'!$D$4:$D$1689,$B40,'апрель 2024'!$J$4:$J$1689,F$1)</f>
        <v>0</v>
      </c>
      <c r="G40" s="80">
        <f>SUMIFS('апрель 2024'!$G$4:$G$1689,'апрель 2024'!$D$4:$D$1689,$B40,'апрель 2024'!$J$4:$J$1689,G$1)</f>
        <v>0</v>
      </c>
      <c r="H40" s="80">
        <f>SUMIFS('апрель 2024'!$G$4:$G$1689,'апрель 2024'!$D$4:$D$1689,$B40,'апрель 2024'!$J$4:$J$1689,H$1)</f>
        <v>0</v>
      </c>
      <c r="I40" s="80">
        <f>SUMIFS('апрель 2024'!$G$4:$G$1689,'апрель 2024'!$D$4:$D$1689,$B40,'апрель 2024'!$J$4:$J$1689,I$1)</f>
        <v>0</v>
      </c>
      <c r="J40" s="80">
        <f>SUMIFS('апрель 2024'!$G$4:$G$1689,'апрель 2024'!$D$4:$D$1689,$B40,'апрель 2024'!$J$4:$J$1689,J$1)</f>
        <v>0</v>
      </c>
      <c r="K40" s="80">
        <f>SUMIFS('апрель 2024'!$G$4:$G$1689,'апрель 2024'!$D$4:$D$1689,$B40,'апрель 2024'!$J$4:$J$1689,K$1)</f>
        <v>0</v>
      </c>
      <c r="L40" s="80">
        <f>SUMIFS('апрель 2024'!$G$4:$G$1689,'апрель 2024'!$D$4:$D$1689,$B40,'апрель 2024'!$J$4:$J$1689,L$1)</f>
        <v>0</v>
      </c>
      <c r="M40" s="80">
        <f>SUMIFS('апрель 2024'!$G$4:$G$1689,'апрель 2024'!$D$4:$D$1689,$B40,'апрель 2024'!$J$4:$J$1689,M$1)</f>
        <v>0</v>
      </c>
      <c r="N40" s="80">
        <f>SUMIFS('апрель 2024'!$G$4:$G$1689,'апрель 2024'!$D$4:$D$1689,$B40,'апрель 2024'!$J$4:$J$1689,N$1)</f>
        <v>0</v>
      </c>
      <c r="O40" s="80">
        <f>SUMIFS('апрель 2024'!$G$4:$G$1689,'апрель 2024'!$D$4:$D$1689,$B40,'апрель 2024'!$J$4:$J$1689,O$1)</f>
        <v>0</v>
      </c>
      <c r="P40" s="80">
        <f>SUMIFS('апрель 2024'!$G$4:$G$1689,'апрель 2024'!$D$4:$D$1689,$B40,'апрель 2024'!$J$4:$J$1689,P$1)</f>
        <v>0</v>
      </c>
      <c r="Q40" s="80">
        <f>SUMIFS('апрель 2024'!$G$4:$G$1689,'апрель 2024'!$D$4:$D$1689,$B40,'апрель 2024'!$J$4:$J$1689,Q$1)</f>
        <v>0</v>
      </c>
      <c r="R40" s="80">
        <f>SUMIFS('апрель 2024'!$G$4:$G$1689,'апрель 2024'!$D$4:$D$1689,$B40,'апрель 2024'!$J$4:$J$1689,R$1)</f>
        <v>0</v>
      </c>
      <c r="S40" s="80">
        <f>SUMIFS('апрель 2024'!$G$4:$G$1689,'апрель 2024'!$D$4:$D$1689,$B40,'апрель 2024'!$J$4:$J$1689,S$1)</f>
        <v>0</v>
      </c>
      <c r="T40" s="80">
        <f>SUMIFS('апрель 2024'!$G$4:$G$1689,'апрель 2024'!$D$4:$D$1689,$B40,'апрель 2024'!$J$4:$J$1689,T$1)</f>
        <v>0</v>
      </c>
      <c r="U40" s="80">
        <f>SUMIFS('апрель 2024'!$G$4:$G$1689,'апрель 2024'!$D$4:$D$1689,$B40,'апрель 2024'!$J$4:$J$1689,U$1)</f>
        <v>0</v>
      </c>
      <c r="V40" s="80">
        <f>SUMIFS('апрель 2024'!$G$4:$G$1689,'апрель 2024'!$D$4:$D$1689,$B40,'апрель 2024'!$J$4:$J$1689,V$1)</f>
        <v>0</v>
      </c>
      <c r="W40" s="80">
        <f>SUMIFS('апрель 2024'!$G$4:$G$1689,'апрель 2024'!$D$4:$D$1689,$B40,'апрель 2024'!$J$4:$J$1689,W$1)</f>
        <v>0</v>
      </c>
      <c r="X40" s="80">
        <f>SUMIFS('апрель 2024'!$G$4:$G$1689,'апрель 2024'!$D$4:$D$1689,$B40,'апрель 2024'!$J$4:$J$1689,X$1)</f>
        <v>0</v>
      </c>
      <c r="Y40" s="80">
        <f>SUMIFS('апрель 2024'!$G$4:$G$1689,'апрель 2024'!$D$4:$D$1689,$B40,'апрель 2024'!$J$4:$J$1689,Y$1)</f>
        <v>0</v>
      </c>
      <c r="Z40" s="80">
        <f>SUMIFS('апрель 2024'!$G$4:$G$1689,'апрель 2024'!$D$4:$D$1689,$B40,'апрель 2024'!$J$4:$J$1689,Z$1)</f>
        <v>0</v>
      </c>
      <c r="AA40" s="80">
        <f>SUMIFS('апрель 2024'!$G$4:$G$1689,'апрель 2024'!$D$4:$D$1689,$B40,'апрель 2024'!$J$4:$J$1689,AA$1)</f>
        <v>0</v>
      </c>
      <c r="AB40" s="80">
        <f>SUMIFS('апрель 2024'!$G$4:$G$1689,'апрель 2024'!$D$4:$D$1689,$B40,'апрель 2024'!$J$4:$J$1689,AB$1)</f>
        <v>0</v>
      </c>
      <c r="AC40" s="80">
        <f>SUMIFS('апрель 2024'!$G$4:$G$1689,'апрель 2024'!$D$4:$D$1689,$B40,'апрель 2024'!$J$4:$J$1689,AC$1)</f>
        <v>0</v>
      </c>
      <c r="AD40" s="80">
        <f>SUMIFS('апрель 2024'!$G$4:$G$1689,'апрель 2024'!$D$4:$D$1689,$B40,'апрель 2024'!$J$4:$J$1689,AD$1)</f>
        <v>0</v>
      </c>
      <c r="AE40" s="80">
        <f>SUMIFS('апрель 2024'!$G$4:$G$1689,'апрель 2024'!$D$4:$D$1689,$B40,'апрель 2024'!$J$4:$J$1689,AE$1)</f>
        <v>0</v>
      </c>
      <c r="AF40" s="80">
        <f>SUMIFS('апрель 2024'!$G$4:$G$1689,'апрель 2024'!$D$4:$D$1689,$B40,'апрель 2024'!$J$4:$J$1689,AF$1)</f>
        <v>0</v>
      </c>
      <c r="AG40" s="80">
        <f>SUMIFS('апрель 2024'!$G$4:$G$1689,'апрель 2024'!$D$4:$D$1689,$B40,'апрель 2024'!$J$4:$J$1689,AG$1)</f>
        <v>0</v>
      </c>
      <c r="AH40" s="80">
        <f>SUMIFS('апрель 2024'!$G$4:$G$1689,'апрель 2024'!$D$4:$D$1689,$B40,'апрель 2024'!$J$4:$J$1689,AH$1)</f>
        <v>0</v>
      </c>
      <c r="AI40" s="21">
        <f t="shared" si="1"/>
        <v>0</v>
      </c>
    </row>
    <row r="41" spans="2:35" ht="15" customHeight="1" x14ac:dyDescent="0.25">
      <c r="B41" s="150" t="s">
        <v>294</v>
      </c>
      <c r="C41" s="153">
        <v>25</v>
      </c>
      <c r="D41" s="80">
        <f>SUMIFS('апрель 2024'!$G$4:$G$1689,'апрель 2024'!$D$4:$D$1689,$B41,'апрель 2024'!$J$4:$J$1689,D$1)</f>
        <v>0</v>
      </c>
      <c r="E41" s="80">
        <f>SUMIFS('апрель 2024'!$G$4:$G$1689,'апрель 2024'!$D$4:$D$1689,$B41,'апрель 2024'!$J$4:$J$1689,E$1)</f>
        <v>0</v>
      </c>
      <c r="F41" s="80">
        <f>SUMIFS('апрель 2024'!$G$4:$G$1689,'апрель 2024'!$D$4:$D$1689,$B41,'апрель 2024'!$J$4:$J$1689,F$1)</f>
        <v>0</v>
      </c>
      <c r="G41" s="80">
        <f>SUMIFS('апрель 2024'!$G$4:$G$1689,'апрель 2024'!$D$4:$D$1689,$B41,'апрель 2024'!$J$4:$J$1689,G$1)</f>
        <v>0</v>
      </c>
      <c r="H41" s="80">
        <f>SUMIFS('апрель 2024'!$G$4:$G$1689,'апрель 2024'!$D$4:$D$1689,$B41,'апрель 2024'!$J$4:$J$1689,H$1)</f>
        <v>0</v>
      </c>
      <c r="I41" s="80">
        <f>SUMIFS('апрель 2024'!$G$4:$G$1689,'апрель 2024'!$D$4:$D$1689,$B41,'апрель 2024'!$J$4:$J$1689,I$1)</f>
        <v>0</v>
      </c>
      <c r="J41" s="80">
        <f>SUMIFS('апрель 2024'!$G$4:$G$1689,'апрель 2024'!$D$4:$D$1689,$B41,'апрель 2024'!$J$4:$J$1689,J$1)</f>
        <v>0</v>
      </c>
      <c r="K41" s="80">
        <f>SUMIFS('апрель 2024'!$G$4:$G$1689,'апрель 2024'!$D$4:$D$1689,$B41,'апрель 2024'!$J$4:$J$1689,K$1)</f>
        <v>0</v>
      </c>
      <c r="L41" s="80">
        <f>SUMIFS('апрель 2024'!$G$4:$G$1689,'апрель 2024'!$D$4:$D$1689,$B41,'апрель 2024'!$J$4:$J$1689,L$1)</f>
        <v>0</v>
      </c>
      <c r="M41" s="80">
        <f>SUMIFS('апрель 2024'!$G$4:$G$1689,'апрель 2024'!$D$4:$D$1689,$B41,'апрель 2024'!$J$4:$J$1689,M$1)</f>
        <v>0</v>
      </c>
      <c r="N41" s="80">
        <f>SUMIFS('апрель 2024'!$G$4:$G$1689,'апрель 2024'!$D$4:$D$1689,$B41,'апрель 2024'!$J$4:$J$1689,N$1)</f>
        <v>0</v>
      </c>
      <c r="O41" s="80">
        <f>SUMIFS('апрель 2024'!$G$4:$G$1689,'апрель 2024'!$D$4:$D$1689,$B41,'апрель 2024'!$J$4:$J$1689,O$1)</f>
        <v>0</v>
      </c>
      <c r="P41" s="80">
        <f>SUMIFS('апрель 2024'!$G$4:$G$1689,'апрель 2024'!$D$4:$D$1689,$B41,'апрель 2024'!$J$4:$J$1689,P$1)</f>
        <v>0</v>
      </c>
      <c r="Q41" s="80">
        <f>SUMIFS('апрель 2024'!$G$4:$G$1689,'апрель 2024'!$D$4:$D$1689,$B41,'апрель 2024'!$J$4:$J$1689,Q$1)</f>
        <v>0</v>
      </c>
      <c r="R41" s="80">
        <f>SUMIFS('апрель 2024'!$G$4:$G$1689,'апрель 2024'!$D$4:$D$1689,$B41,'апрель 2024'!$J$4:$J$1689,R$1)</f>
        <v>0</v>
      </c>
      <c r="S41" s="80">
        <f>SUMIFS('апрель 2024'!$G$4:$G$1689,'апрель 2024'!$D$4:$D$1689,$B41,'апрель 2024'!$J$4:$J$1689,S$1)</f>
        <v>0</v>
      </c>
      <c r="T41" s="80">
        <f>SUMIFS('апрель 2024'!$G$4:$G$1689,'апрель 2024'!$D$4:$D$1689,$B41,'апрель 2024'!$J$4:$J$1689,T$1)</f>
        <v>0</v>
      </c>
      <c r="U41" s="80">
        <f>SUMIFS('апрель 2024'!$G$4:$G$1689,'апрель 2024'!$D$4:$D$1689,$B41,'апрель 2024'!$J$4:$J$1689,U$1)</f>
        <v>0</v>
      </c>
      <c r="V41" s="80">
        <f>SUMIFS('апрель 2024'!$G$4:$G$1689,'апрель 2024'!$D$4:$D$1689,$B41,'апрель 2024'!$J$4:$J$1689,V$1)</f>
        <v>0</v>
      </c>
      <c r="W41" s="80">
        <f>SUMIFS('апрель 2024'!$G$4:$G$1689,'апрель 2024'!$D$4:$D$1689,$B41,'апрель 2024'!$J$4:$J$1689,W$1)</f>
        <v>0</v>
      </c>
      <c r="X41" s="80">
        <f>SUMIFS('апрель 2024'!$G$4:$G$1689,'апрель 2024'!$D$4:$D$1689,$B41,'апрель 2024'!$J$4:$J$1689,X$1)</f>
        <v>0</v>
      </c>
      <c r="Y41" s="80">
        <f>SUMIFS('апрель 2024'!$G$4:$G$1689,'апрель 2024'!$D$4:$D$1689,$B41,'апрель 2024'!$J$4:$J$1689,Y$1)</f>
        <v>0</v>
      </c>
      <c r="Z41" s="80">
        <f>SUMIFS('апрель 2024'!$G$4:$G$1689,'апрель 2024'!$D$4:$D$1689,$B41,'апрель 2024'!$J$4:$J$1689,Z$1)</f>
        <v>0</v>
      </c>
      <c r="AA41" s="80">
        <f>SUMIFS('апрель 2024'!$G$4:$G$1689,'апрель 2024'!$D$4:$D$1689,$B41,'апрель 2024'!$J$4:$J$1689,AA$1)</f>
        <v>0</v>
      </c>
      <c r="AB41" s="80">
        <f>SUMIFS('апрель 2024'!$G$4:$G$1689,'апрель 2024'!$D$4:$D$1689,$B41,'апрель 2024'!$J$4:$J$1689,AB$1)</f>
        <v>0</v>
      </c>
      <c r="AC41" s="80">
        <f>SUMIFS('апрель 2024'!$G$4:$G$1689,'апрель 2024'!$D$4:$D$1689,$B41,'апрель 2024'!$J$4:$J$1689,AC$1)</f>
        <v>0</v>
      </c>
      <c r="AD41" s="80">
        <f>SUMIFS('апрель 2024'!$G$4:$G$1689,'апрель 2024'!$D$4:$D$1689,$B41,'апрель 2024'!$J$4:$J$1689,AD$1)</f>
        <v>0</v>
      </c>
      <c r="AE41" s="80">
        <f>SUMIFS('апрель 2024'!$G$4:$G$1689,'апрель 2024'!$D$4:$D$1689,$B41,'апрель 2024'!$J$4:$J$1689,AE$1)</f>
        <v>0</v>
      </c>
      <c r="AF41" s="80">
        <f>SUMIFS('апрель 2024'!$G$4:$G$1689,'апрель 2024'!$D$4:$D$1689,$B41,'апрель 2024'!$J$4:$J$1689,AF$1)</f>
        <v>0</v>
      </c>
      <c r="AG41" s="80">
        <f>SUMIFS('апрель 2024'!$G$4:$G$1689,'апрель 2024'!$D$4:$D$1689,$B41,'апрель 2024'!$J$4:$J$1689,AG$1)</f>
        <v>0</v>
      </c>
      <c r="AH41" s="80">
        <f>SUMIFS('апрель 2024'!$G$4:$G$1689,'апрель 2024'!$D$4:$D$1689,$B41,'апрель 2024'!$J$4:$J$1689,AH$1)</f>
        <v>0</v>
      </c>
      <c r="AI41" s="21">
        <f t="shared" si="1"/>
        <v>0</v>
      </c>
    </row>
    <row r="42" spans="2:35" ht="15" customHeight="1" x14ac:dyDescent="0.25">
      <c r="B42" s="154" t="s">
        <v>468</v>
      </c>
      <c r="C42" s="170">
        <v>25</v>
      </c>
      <c r="D42" s="80">
        <f>SUMIFS('апрель 2024'!$G$4:$G$1689,'апрель 2024'!$D$4:$D$1689,$B42,'апрель 2024'!$J$4:$J$1689,D$1)</f>
        <v>0</v>
      </c>
      <c r="E42" s="80">
        <f>SUMIFS('апрель 2024'!$G$4:$G$1689,'апрель 2024'!$D$4:$D$1689,$B42,'апрель 2024'!$J$4:$J$1689,E$1)</f>
        <v>0</v>
      </c>
      <c r="F42" s="80">
        <f>SUMIFS('апрель 2024'!$G$4:$G$1689,'апрель 2024'!$D$4:$D$1689,$B42,'апрель 2024'!$J$4:$J$1689,F$1)</f>
        <v>0</v>
      </c>
      <c r="G42" s="80">
        <f>SUMIFS('апрель 2024'!$G$4:$G$1689,'апрель 2024'!$D$4:$D$1689,$B42,'апрель 2024'!$J$4:$J$1689,G$1)</f>
        <v>0</v>
      </c>
      <c r="H42" s="80">
        <f>SUMIFS('апрель 2024'!$G$4:$G$1689,'апрель 2024'!$D$4:$D$1689,$B42,'апрель 2024'!$J$4:$J$1689,H$1)</f>
        <v>0</v>
      </c>
      <c r="I42" s="80">
        <f>SUMIFS('апрель 2024'!$G$4:$G$1689,'апрель 2024'!$D$4:$D$1689,$B42,'апрель 2024'!$J$4:$J$1689,I$1)</f>
        <v>0</v>
      </c>
      <c r="J42" s="80">
        <f>SUMIFS('апрель 2024'!$G$4:$G$1689,'апрель 2024'!$D$4:$D$1689,$B42,'апрель 2024'!$J$4:$J$1689,J$1)</f>
        <v>0</v>
      </c>
      <c r="K42" s="80">
        <f>SUMIFS('апрель 2024'!$G$4:$G$1689,'апрель 2024'!$D$4:$D$1689,$B42,'апрель 2024'!$J$4:$J$1689,K$1)</f>
        <v>0</v>
      </c>
      <c r="L42" s="80">
        <f>SUMIFS('апрель 2024'!$G$4:$G$1689,'апрель 2024'!$D$4:$D$1689,$B42,'апрель 2024'!$J$4:$J$1689,L$1)</f>
        <v>0</v>
      </c>
      <c r="M42" s="80">
        <f>SUMIFS('апрель 2024'!$G$4:$G$1689,'апрель 2024'!$D$4:$D$1689,$B42,'апрель 2024'!$J$4:$J$1689,M$1)</f>
        <v>0</v>
      </c>
      <c r="N42" s="80">
        <f>SUMIFS('апрель 2024'!$G$4:$G$1689,'апрель 2024'!$D$4:$D$1689,$B42,'апрель 2024'!$J$4:$J$1689,N$1)</f>
        <v>0</v>
      </c>
      <c r="O42" s="80">
        <f>SUMIFS('апрель 2024'!$G$4:$G$1689,'апрель 2024'!$D$4:$D$1689,$B42,'апрель 2024'!$J$4:$J$1689,O$1)</f>
        <v>0</v>
      </c>
      <c r="P42" s="80">
        <f>SUMIFS('апрель 2024'!$G$4:$G$1689,'апрель 2024'!$D$4:$D$1689,$B42,'апрель 2024'!$J$4:$J$1689,P$1)</f>
        <v>0</v>
      </c>
      <c r="Q42" s="80">
        <f>SUMIFS('апрель 2024'!$G$4:$G$1689,'апрель 2024'!$D$4:$D$1689,$B42,'апрель 2024'!$J$4:$J$1689,Q$1)</f>
        <v>0</v>
      </c>
      <c r="R42" s="80">
        <f>SUMIFS('апрель 2024'!$G$4:$G$1689,'апрель 2024'!$D$4:$D$1689,$B42,'апрель 2024'!$J$4:$J$1689,R$1)</f>
        <v>0</v>
      </c>
      <c r="S42" s="80">
        <f>SUMIFS('апрель 2024'!$G$4:$G$1689,'апрель 2024'!$D$4:$D$1689,$B42,'апрель 2024'!$J$4:$J$1689,S$1)</f>
        <v>0</v>
      </c>
      <c r="T42" s="80">
        <f>SUMIFS('апрель 2024'!$G$4:$G$1689,'апрель 2024'!$D$4:$D$1689,$B42,'апрель 2024'!$J$4:$J$1689,T$1)</f>
        <v>0</v>
      </c>
      <c r="U42" s="80">
        <f>SUMIFS('апрель 2024'!$G$4:$G$1689,'апрель 2024'!$D$4:$D$1689,$B42,'апрель 2024'!$J$4:$J$1689,U$1)</f>
        <v>0</v>
      </c>
      <c r="V42" s="80">
        <f>SUMIFS('апрель 2024'!$G$4:$G$1689,'апрель 2024'!$D$4:$D$1689,$B42,'апрель 2024'!$J$4:$J$1689,V$1)</f>
        <v>0</v>
      </c>
      <c r="W42" s="80">
        <f>SUMIFS('апрель 2024'!$G$4:$G$1689,'апрель 2024'!$D$4:$D$1689,$B42,'апрель 2024'!$J$4:$J$1689,W$1)</f>
        <v>0</v>
      </c>
      <c r="X42" s="80">
        <f>SUMIFS('апрель 2024'!$G$4:$G$1689,'апрель 2024'!$D$4:$D$1689,$B42,'апрель 2024'!$J$4:$J$1689,X$1)</f>
        <v>0</v>
      </c>
      <c r="Y42" s="80">
        <f>SUMIFS('апрель 2024'!$G$4:$G$1689,'апрель 2024'!$D$4:$D$1689,$B42,'апрель 2024'!$J$4:$J$1689,Y$1)</f>
        <v>0</v>
      </c>
      <c r="Z42" s="80">
        <f>SUMIFS('апрель 2024'!$G$4:$G$1689,'апрель 2024'!$D$4:$D$1689,$B42,'апрель 2024'!$J$4:$J$1689,Z$1)</f>
        <v>0</v>
      </c>
      <c r="AA42" s="80">
        <f>SUMIFS('апрель 2024'!$G$4:$G$1689,'апрель 2024'!$D$4:$D$1689,$B42,'апрель 2024'!$J$4:$J$1689,AA$1)</f>
        <v>0</v>
      </c>
      <c r="AB42" s="80">
        <f>SUMIFS('апрель 2024'!$G$4:$G$1689,'апрель 2024'!$D$4:$D$1689,$B42,'апрель 2024'!$J$4:$J$1689,AB$1)</f>
        <v>0</v>
      </c>
      <c r="AC42" s="80">
        <f>SUMIFS('апрель 2024'!$G$4:$G$1689,'апрель 2024'!$D$4:$D$1689,$B42,'апрель 2024'!$J$4:$J$1689,AC$1)</f>
        <v>0</v>
      </c>
      <c r="AD42" s="80">
        <f>SUMIFS('апрель 2024'!$G$4:$G$1689,'апрель 2024'!$D$4:$D$1689,$B42,'апрель 2024'!$J$4:$J$1689,AD$1)</f>
        <v>0</v>
      </c>
      <c r="AE42" s="80">
        <f>SUMIFS('апрель 2024'!$G$4:$G$1689,'апрель 2024'!$D$4:$D$1689,$B42,'апрель 2024'!$J$4:$J$1689,AE$1)</f>
        <v>0</v>
      </c>
      <c r="AF42" s="80">
        <f>SUMIFS('апрель 2024'!$G$4:$G$1689,'апрель 2024'!$D$4:$D$1689,$B42,'апрель 2024'!$J$4:$J$1689,AF$1)</f>
        <v>0</v>
      </c>
      <c r="AG42" s="80">
        <f>SUMIFS('апрель 2024'!$G$4:$G$1689,'апрель 2024'!$D$4:$D$1689,$B42,'апрель 2024'!$J$4:$J$1689,AG$1)</f>
        <v>0</v>
      </c>
      <c r="AH42" s="80">
        <f>SUMIFS('апрель 2024'!$G$4:$G$1689,'апрель 2024'!$D$4:$D$1689,$B42,'апрель 2024'!$J$4:$J$1689,AH$1)</f>
        <v>0</v>
      </c>
      <c r="AI42" s="21">
        <f t="shared" si="1"/>
        <v>0</v>
      </c>
    </row>
    <row r="43" spans="2:35" ht="15" customHeight="1" x14ac:dyDescent="0.25">
      <c r="B43" s="154" t="s">
        <v>296</v>
      </c>
      <c r="C43" s="151">
        <v>25</v>
      </c>
      <c r="D43" s="80">
        <f>SUMIFS('апрель 2024'!$G$4:$G$1689,'апрель 2024'!$D$4:$D$1689,$B43,'апрель 2024'!$J$4:$J$1689,D$1)</f>
        <v>0</v>
      </c>
      <c r="E43" s="80">
        <f>SUMIFS('апрель 2024'!$G$4:$G$1689,'апрель 2024'!$D$4:$D$1689,$B43,'апрель 2024'!$J$4:$J$1689,E$1)</f>
        <v>0</v>
      </c>
      <c r="F43" s="80">
        <f>SUMIFS('апрель 2024'!$G$4:$G$1689,'апрель 2024'!$D$4:$D$1689,$B43,'апрель 2024'!$J$4:$J$1689,F$1)</f>
        <v>0</v>
      </c>
      <c r="G43" s="80">
        <f>SUMIFS('апрель 2024'!$G$4:$G$1689,'апрель 2024'!$D$4:$D$1689,$B43,'апрель 2024'!$J$4:$J$1689,G$1)</f>
        <v>0</v>
      </c>
      <c r="H43" s="80">
        <f>SUMIFS('апрель 2024'!$G$4:$G$1689,'апрель 2024'!$D$4:$D$1689,$B43,'апрель 2024'!$J$4:$J$1689,H$1)</f>
        <v>0</v>
      </c>
      <c r="I43" s="80">
        <f>SUMIFS('апрель 2024'!$G$4:$G$1689,'апрель 2024'!$D$4:$D$1689,$B43,'апрель 2024'!$J$4:$J$1689,I$1)</f>
        <v>0</v>
      </c>
      <c r="J43" s="80">
        <f>SUMIFS('апрель 2024'!$G$4:$G$1689,'апрель 2024'!$D$4:$D$1689,$B43,'апрель 2024'!$J$4:$J$1689,J$1)</f>
        <v>0</v>
      </c>
      <c r="K43" s="80">
        <f>SUMIFS('апрель 2024'!$G$4:$G$1689,'апрель 2024'!$D$4:$D$1689,$B43,'апрель 2024'!$J$4:$J$1689,K$1)</f>
        <v>0</v>
      </c>
      <c r="L43" s="80">
        <f>SUMIFS('апрель 2024'!$G$4:$G$1689,'апрель 2024'!$D$4:$D$1689,$B43,'апрель 2024'!$J$4:$J$1689,L$1)</f>
        <v>0</v>
      </c>
      <c r="M43" s="80">
        <f>SUMIFS('апрель 2024'!$G$4:$G$1689,'апрель 2024'!$D$4:$D$1689,$B43,'апрель 2024'!$J$4:$J$1689,M$1)</f>
        <v>0</v>
      </c>
      <c r="N43" s="80">
        <f>SUMIFS('апрель 2024'!$G$4:$G$1689,'апрель 2024'!$D$4:$D$1689,$B43,'апрель 2024'!$J$4:$J$1689,N$1)</f>
        <v>0</v>
      </c>
      <c r="O43" s="80">
        <f>SUMIFS('апрель 2024'!$G$4:$G$1689,'апрель 2024'!$D$4:$D$1689,$B43,'апрель 2024'!$J$4:$J$1689,O$1)</f>
        <v>0</v>
      </c>
      <c r="P43" s="80">
        <f>SUMIFS('апрель 2024'!$G$4:$G$1689,'апрель 2024'!$D$4:$D$1689,$B43,'апрель 2024'!$J$4:$J$1689,P$1)</f>
        <v>0</v>
      </c>
      <c r="Q43" s="80">
        <f>SUMIFS('апрель 2024'!$G$4:$G$1689,'апрель 2024'!$D$4:$D$1689,$B43,'апрель 2024'!$J$4:$J$1689,Q$1)</f>
        <v>0</v>
      </c>
      <c r="R43" s="80">
        <f>SUMIFS('апрель 2024'!$G$4:$G$1689,'апрель 2024'!$D$4:$D$1689,$B43,'апрель 2024'!$J$4:$J$1689,R$1)</f>
        <v>0</v>
      </c>
      <c r="S43" s="80">
        <f>SUMIFS('апрель 2024'!$G$4:$G$1689,'апрель 2024'!$D$4:$D$1689,$B43,'апрель 2024'!$J$4:$J$1689,S$1)</f>
        <v>0</v>
      </c>
      <c r="T43" s="80">
        <f>SUMIFS('апрель 2024'!$G$4:$G$1689,'апрель 2024'!$D$4:$D$1689,$B43,'апрель 2024'!$J$4:$J$1689,T$1)</f>
        <v>0</v>
      </c>
      <c r="U43" s="80">
        <f>SUMIFS('апрель 2024'!$G$4:$G$1689,'апрель 2024'!$D$4:$D$1689,$B43,'апрель 2024'!$J$4:$J$1689,U$1)</f>
        <v>0</v>
      </c>
      <c r="V43" s="80">
        <f>SUMIFS('апрель 2024'!$G$4:$G$1689,'апрель 2024'!$D$4:$D$1689,$B43,'апрель 2024'!$J$4:$J$1689,V$1)</f>
        <v>0</v>
      </c>
      <c r="W43" s="80">
        <f>SUMIFS('апрель 2024'!$G$4:$G$1689,'апрель 2024'!$D$4:$D$1689,$B43,'апрель 2024'!$J$4:$J$1689,W$1)</f>
        <v>0</v>
      </c>
      <c r="X43" s="80">
        <f>SUMIFS('апрель 2024'!$G$4:$G$1689,'апрель 2024'!$D$4:$D$1689,$B43,'апрель 2024'!$J$4:$J$1689,X$1)</f>
        <v>0</v>
      </c>
      <c r="Y43" s="80">
        <f>SUMIFS('апрель 2024'!$G$4:$G$1689,'апрель 2024'!$D$4:$D$1689,$B43,'апрель 2024'!$J$4:$J$1689,Y$1)</f>
        <v>0</v>
      </c>
      <c r="Z43" s="80">
        <f>SUMIFS('апрель 2024'!$G$4:$G$1689,'апрель 2024'!$D$4:$D$1689,$B43,'апрель 2024'!$J$4:$J$1689,Z$1)</f>
        <v>0</v>
      </c>
      <c r="AA43" s="80">
        <f>SUMIFS('апрель 2024'!$G$4:$G$1689,'апрель 2024'!$D$4:$D$1689,$B43,'апрель 2024'!$J$4:$J$1689,AA$1)</f>
        <v>0</v>
      </c>
      <c r="AB43" s="80">
        <f>SUMIFS('апрель 2024'!$G$4:$G$1689,'апрель 2024'!$D$4:$D$1689,$B43,'апрель 2024'!$J$4:$J$1689,AB$1)</f>
        <v>0</v>
      </c>
      <c r="AC43" s="80">
        <f>SUMIFS('апрель 2024'!$G$4:$G$1689,'апрель 2024'!$D$4:$D$1689,$B43,'апрель 2024'!$J$4:$J$1689,AC$1)</f>
        <v>0</v>
      </c>
      <c r="AD43" s="80">
        <f>SUMIFS('апрель 2024'!$G$4:$G$1689,'апрель 2024'!$D$4:$D$1689,$B43,'апрель 2024'!$J$4:$J$1689,AD$1)</f>
        <v>0</v>
      </c>
      <c r="AE43" s="80">
        <f>SUMIFS('апрель 2024'!$G$4:$G$1689,'апрель 2024'!$D$4:$D$1689,$B43,'апрель 2024'!$J$4:$J$1689,AE$1)</f>
        <v>0</v>
      </c>
      <c r="AF43" s="80">
        <f>SUMIFS('апрель 2024'!$G$4:$G$1689,'апрель 2024'!$D$4:$D$1689,$B43,'апрель 2024'!$J$4:$J$1689,AF$1)</f>
        <v>0</v>
      </c>
      <c r="AG43" s="80">
        <f>SUMIFS('апрель 2024'!$G$4:$G$1689,'апрель 2024'!$D$4:$D$1689,$B43,'апрель 2024'!$J$4:$J$1689,AG$1)</f>
        <v>0</v>
      </c>
      <c r="AH43" s="80">
        <f>SUMIFS('апрель 2024'!$G$4:$G$1689,'апрель 2024'!$D$4:$D$1689,$B43,'апрель 2024'!$J$4:$J$1689,AH$1)</f>
        <v>0</v>
      </c>
      <c r="AI43" s="21">
        <f t="shared" si="1"/>
        <v>0</v>
      </c>
    </row>
    <row r="44" spans="2:35" ht="15" customHeight="1" x14ac:dyDescent="0.25">
      <c r="B44" s="154" t="s">
        <v>298</v>
      </c>
      <c r="C44" s="151">
        <v>18</v>
      </c>
      <c r="D44" s="80">
        <f>SUMIFS('апрель 2024'!$G$4:$G$1689,'апрель 2024'!$D$4:$D$1689,$B44,'апрель 2024'!$J$4:$J$1689,D$1)</f>
        <v>0</v>
      </c>
      <c r="E44" s="80">
        <f>SUMIFS('апрель 2024'!$G$4:$G$1689,'апрель 2024'!$D$4:$D$1689,$B44,'апрель 2024'!$J$4:$J$1689,E$1)</f>
        <v>0</v>
      </c>
      <c r="F44" s="80">
        <f>SUMIFS('апрель 2024'!$G$4:$G$1689,'апрель 2024'!$D$4:$D$1689,$B44,'апрель 2024'!$J$4:$J$1689,F$1)</f>
        <v>0</v>
      </c>
      <c r="G44" s="80">
        <f>SUMIFS('апрель 2024'!$G$4:$G$1689,'апрель 2024'!$D$4:$D$1689,$B44,'апрель 2024'!$J$4:$J$1689,G$1)</f>
        <v>0</v>
      </c>
      <c r="H44" s="80">
        <f>SUMIFS('апрель 2024'!$G$4:$G$1689,'апрель 2024'!$D$4:$D$1689,$B44,'апрель 2024'!$J$4:$J$1689,H$1)</f>
        <v>0</v>
      </c>
      <c r="I44" s="80">
        <f>SUMIFS('апрель 2024'!$G$4:$G$1689,'апрель 2024'!$D$4:$D$1689,$B44,'апрель 2024'!$J$4:$J$1689,I$1)</f>
        <v>0</v>
      </c>
      <c r="J44" s="80">
        <f>SUMIFS('апрель 2024'!$G$4:$G$1689,'апрель 2024'!$D$4:$D$1689,$B44,'апрель 2024'!$J$4:$J$1689,J$1)</f>
        <v>0</v>
      </c>
      <c r="K44" s="80">
        <f>SUMIFS('апрель 2024'!$G$4:$G$1689,'апрель 2024'!$D$4:$D$1689,$B44,'апрель 2024'!$J$4:$J$1689,K$1)</f>
        <v>0</v>
      </c>
      <c r="L44" s="80">
        <f>SUMIFS('апрель 2024'!$G$4:$G$1689,'апрель 2024'!$D$4:$D$1689,$B44,'апрель 2024'!$J$4:$J$1689,L$1)</f>
        <v>0</v>
      </c>
      <c r="M44" s="80">
        <f>SUMIFS('апрель 2024'!$G$4:$G$1689,'апрель 2024'!$D$4:$D$1689,$B44,'апрель 2024'!$J$4:$J$1689,M$1)</f>
        <v>0</v>
      </c>
      <c r="N44" s="80">
        <f>SUMIFS('апрель 2024'!$G$4:$G$1689,'апрель 2024'!$D$4:$D$1689,$B44,'апрель 2024'!$J$4:$J$1689,N$1)</f>
        <v>0</v>
      </c>
      <c r="O44" s="80">
        <f>SUMIFS('апрель 2024'!$G$4:$G$1689,'апрель 2024'!$D$4:$D$1689,$B44,'апрель 2024'!$J$4:$J$1689,O$1)</f>
        <v>0</v>
      </c>
      <c r="P44" s="80">
        <f>SUMIFS('апрель 2024'!$G$4:$G$1689,'апрель 2024'!$D$4:$D$1689,$B44,'апрель 2024'!$J$4:$J$1689,P$1)</f>
        <v>0</v>
      </c>
      <c r="Q44" s="80">
        <f>SUMIFS('апрель 2024'!$G$4:$G$1689,'апрель 2024'!$D$4:$D$1689,$B44,'апрель 2024'!$J$4:$J$1689,Q$1)</f>
        <v>0</v>
      </c>
      <c r="R44" s="80">
        <f>SUMIFS('апрель 2024'!$G$4:$G$1689,'апрель 2024'!$D$4:$D$1689,$B44,'апрель 2024'!$J$4:$J$1689,R$1)</f>
        <v>0</v>
      </c>
      <c r="S44" s="80">
        <f>SUMIFS('апрель 2024'!$G$4:$G$1689,'апрель 2024'!$D$4:$D$1689,$B44,'апрель 2024'!$J$4:$J$1689,S$1)</f>
        <v>0</v>
      </c>
      <c r="T44" s="80">
        <f>SUMIFS('апрель 2024'!$G$4:$G$1689,'апрель 2024'!$D$4:$D$1689,$B44,'апрель 2024'!$J$4:$J$1689,T$1)</f>
        <v>0</v>
      </c>
      <c r="U44" s="80">
        <f>SUMIFS('апрель 2024'!$G$4:$G$1689,'апрель 2024'!$D$4:$D$1689,$B44,'апрель 2024'!$J$4:$J$1689,U$1)</f>
        <v>280</v>
      </c>
      <c r="V44" s="80">
        <f>SUMIFS('апрель 2024'!$G$4:$G$1689,'апрель 2024'!$D$4:$D$1689,$B44,'апрель 2024'!$J$4:$J$1689,V$1)</f>
        <v>0</v>
      </c>
      <c r="W44" s="80">
        <f>SUMIFS('апрель 2024'!$G$4:$G$1689,'апрель 2024'!$D$4:$D$1689,$B44,'апрель 2024'!$J$4:$J$1689,W$1)</f>
        <v>0</v>
      </c>
      <c r="X44" s="80">
        <f>SUMIFS('апрель 2024'!$G$4:$G$1689,'апрель 2024'!$D$4:$D$1689,$B44,'апрель 2024'!$J$4:$J$1689,X$1)</f>
        <v>0</v>
      </c>
      <c r="Y44" s="80">
        <f>SUMIFS('апрель 2024'!$G$4:$G$1689,'апрель 2024'!$D$4:$D$1689,$B44,'апрель 2024'!$J$4:$J$1689,Y$1)</f>
        <v>0</v>
      </c>
      <c r="Z44" s="80">
        <f>SUMIFS('апрель 2024'!$G$4:$G$1689,'апрель 2024'!$D$4:$D$1689,$B44,'апрель 2024'!$J$4:$J$1689,Z$1)</f>
        <v>0</v>
      </c>
      <c r="AA44" s="80">
        <f>SUMIFS('апрель 2024'!$G$4:$G$1689,'апрель 2024'!$D$4:$D$1689,$B44,'апрель 2024'!$J$4:$J$1689,AA$1)</f>
        <v>0</v>
      </c>
      <c r="AB44" s="80">
        <f>SUMIFS('апрель 2024'!$G$4:$G$1689,'апрель 2024'!$D$4:$D$1689,$B44,'апрель 2024'!$J$4:$J$1689,AB$1)</f>
        <v>0</v>
      </c>
      <c r="AC44" s="80">
        <f>SUMIFS('апрель 2024'!$G$4:$G$1689,'апрель 2024'!$D$4:$D$1689,$B44,'апрель 2024'!$J$4:$J$1689,AC$1)</f>
        <v>0</v>
      </c>
      <c r="AD44" s="80">
        <f>SUMIFS('апрель 2024'!$G$4:$G$1689,'апрель 2024'!$D$4:$D$1689,$B44,'апрель 2024'!$J$4:$J$1689,AD$1)</f>
        <v>0</v>
      </c>
      <c r="AE44" s="80">
        <f>SUMIFS('апрель 2024'!$G$4:$G$1689,'апрель 2024'!$D$4:$D$1689,$B44,'апрель 2024'!$J$4:$J$1689,AE$1)</f>
        <v>0</v>
      </c>
      <c r="AF44" s="80">
        <f>SUMIFS('апрель 2024'!$G$4:$G$1689,'апрель 2024'!$D$4:$D$1689,$B44,'апрель 2024'!$J$4:$J$1689,AF$1)</f>
        <v>0</v>
      </c>
      <c r="AG44" s="80">
        <f>SUMIFS('апрель 2024'!$G$4:$G$1689,'апрель 2024'!$D$4:$D$1689,$B44,'апрель 2024'!$J$4:$J$1689,AG$1)</f>
        <v>0</v>
      </c>
      <c r="AH44" s="80">
        <f>SUMIFS('апрель 2024'!$G$4:$G$1689,'апрель 2024'!$D$4:$D$1689,$B44,'апрель 2024'!$J$4:$J$1689,AH$1)</f>
        <v>0</v>
      </c>
      <c r="AI44" s="21">
        <f t="shared" si="1"/>
        <v>280</v>
      </c>
    </row>
    <row r="45" spans="2:35" ht="15" customHeight="1" x14ac:dyDescent="0.25">
      <c r="B45" s="154" t="s">
        <v>300</v>
      </c>
      <c r="C45" s="151">
        <v>20</v>
      </c>
      <c r="D45" s="80">
        <f>SUMIFS('апрель 2024'!$G$4:$G$1689,'апрель 2024'!$D$4:$D$1689,$B45,'апрель 2024'!$J$4:$J$1689,D$1)</f>
        <v>0</v>
      </c>
      <c r="E45" s="80">
        <f>SUMIFS('апрель 2024'!$G$4:$G$1689,'апрель 2024'!$D$4:$D$1689,$B45,'апрель 2024'!$J$4:$J$1689,E$1)</f>
        <v>0</v>
      </c>
      <c r="F45" s="80">
        <f>SUMIFS('апрель 2024'!$G$4:$G$1689,'апрель 2024'!$D$4:$D$1689,$B45,'апрель 2024'!$J$4:$J$1689,F$1)</f>
        <v>0</v>
      </c>
      <c r="G45" s="80">
        <f>SUMIFS('апрель 2024'!$G$4:$G$1689,'апрель 2024'!$D$4:$D$1689,$B45,'апрель 2024'!$J$4:$J$1689,G$1)</f>
        <v>0</v>
      </c>
      <c r="H45" s="80">
        <f>SUMIFS('апрель 2024'!$G$4:$G$1689,'апрель 2024'!$D$4:$D$1689,$B45,'апрель 2024'!$J$4:$J$1689,H$1)</f>
        <v>0</v>
      </c>
      <c r="I45" s="80">
        <f>SUMIFS('апрель 2024'!$G$4:$G$1689,'апрель 2024'!$D$4:$D$1689,$B45,'апрель 2024'!$J$4:$J$1689,I$1)</f>
        <v>0</v>
      </c>
      <c r="J45" s="80">
        <f>SUMIFS('апрель 2024'!$G$4:$G$1689,'апрель 2024'!$D$4:$D$1689,$B45,'апрель 2024'!$J$4:$J$1689,J$1)</f>
        <v>0</v>
      </c>
      <c r="K45" s="80">
        <f>SUMIFS('апрель 2024'!$G$4:$G$1689,'апрель 2024'!$D$4:$D$1689,$B45,'апрель 2024'!$J$4:$J$1689,K$1)</f>
        <v>0</v>
      </c>
      <c r="L45" s="80">
        <f>SUMIFS('апрель 2024'!$G$4:$G$1689,'апрель 2024'!$D$4:$D$1689,$B45,'апрель 2024'!$J$4:$J$1689,L$1)</f>
        <v>0</v>
      </c>
      <c r="M45" s="80">
        <f>SUMIFS('апрель 2024'!$G$4:$G$1689,'апрель 2024'!$D$4:$D$1689,$B45,'апрель 2024'!$J$4:$J$1689,M$1)</f>
        <v>0</v>
      </c>
      <c r="N45" s="80">
        <f>SUMIFS('апрель 2024'!$G$4:$G$1689,'апрель 2024'!$D$4:$D$1689,$B45,'апрель 2024'!$J$4:$J$1689,N$1)</f>
        <v>0</v>
      </c>
      <c r="O45" s="80">
        <f>SUMIFS('апрель 2024'!$G$4:$G$1689,'апрель 2024'!$D$4:$D$1689,$B45,'апрель 2024'!$J$4:$J$1689,O$1)</f>
        <v>0</v>
      </c>
      <c r="P45" s="80">
        <f>SUMIFS('апрель 2024'!$G$4:$G$1689,'апрель 2024'!$D$4:$D$1689,$B45,'апрель 2024'!$J$4:$J$1689,P$1)</f>
        <v>0</v>
      </c>
      <c r="Q45" s="80">
        <f>SUMIFS('апрель 2024'!$G$4:$G$1689,'апрель 2024'!$D$4:$D$1689,$B45,'апрель 2024'!$J$4:$J$1689,Q$1)</f>
        <v>0</v>
      </c>
      <c r="R45" s="80">
        <f>SUMIFS('апрель 2024'!$G$4:$G$1689,'апрель 2024'!$D$4:$D$1689,$B45,'апрель 2024'!$J$4:$J$1689,R$1)</f>
        <v>0</v>
      </c>
      <c r="S45" s="80">
        <f>SUMIFS('апрель 2024'!$G$4:$G$1689,'апрель 2024'!$D$4:$D$1689,$B45,'апрель 2024'!$J$4:$J$1689,S$1)</f>
        <v>0</v>
      </c>
      <c r="T45" s="80">
        <f>SUMIFS('апрель 2024'!$G$4:$G$1689,'апрель 2024'!$D$4:$D$1689,$B45,'апрель 2024'!$J$4:$J$1689,T$1)</f>
        <v>0</v>
      </c>
      <c r="U45" s="80">
        <f>SUMIFS('апрель 2024'!$G$4:$G$1689,'апрель 2024'!$D$4:$D$1689,$B45,'апрель 2024'!$J$4:$J$1689,U$1)</f>
        <v>0</v>
      </c>
      <c r="V45" s="80">
        <f>SUMIFS('апрель 2024'!$G$4:$G$1689,'апрель 2024'!$D$4:$D$1689,$B45,'апрель 2024'!$J$4:$J$1689,V$1)</f>
        <v>0</v>
      </c>
      <c r="W45" s="80">
        <f>SUMIFS('апрель 2024'!$G$4:$G$1689,'апрель 2024'!$D$4:$D$1689,$B45,'апрель 2024'!$J$4:$J$1689,W$1)</f>
        <v>0</v>
      </c>
      <c r="X45" s="80">
        <f>SUMIFS('апрель 2024'!$G$4:$G$1689,'апрель 2024'!$D$4:$D$1689,$B45,'апрель 2024'!$J$4:$J$1689,X$1)</f>
        <v>0</v>
      </c>
      <c r="Y45" s="80">
        <f>SUMIFS('апрель 2024'!$G$4:$G$1689,'апрель 2024'!$D$4:$D$1689,$B45,'апрель 2024'!$J$4:$J$1689,Y$1)</f>
        <v>0</v>
      </c>
      <c r="Z45" s="80">
        <f>SUMIFS('апрель 2024'!$G$4:$G$1689,'апрель 2024'!$D$4:$D$1689,$B45,'апрель 2024'!$J$4:$J$1689,Z$1)</f>
        <v>0</v>
      </c>
      <c r="AA45" s="80">
        <f>SUMIFS('апрель 2024'!$G$4:$G$1689,'апрель 2024'!$D$4:$D$1689,$B45,'апрель 2024'!$J$4:$J$1689,AA$1)</f>
        <v>0</v>
      </c>
      <c r="AB45" s="80">
        <f>SUMIFS('апрель 2024'!$G$4:$G$1689,'апрель 2024'!$D$4:$D$1689,$B45,'апрель 2024'!$J$4:$J$1689,AB$1)</f>
        <v>0</v>
      </c>
      <c r="AC45" s="80">
        <f>SUMIFS('апрель 2024'!$G$4:$G$1689,'апрель 2024'!$D$4:$D$1689,$B45,'апрель 2024'!$J$4:$J$1689,AC$1)</f>
        <v>0</v>
      </c>
      <c r="AD45" s="80">
        <f>SUMIFS('апрель 2024'!$G$4:$G$1689,'апрель 2024'!$D$4:$D$1689,$B45,'апрель 2024'!$J$4:$J$1689,AD$1)</f>
        <v>0</v>
      </c>
      <c r="AE45" s="80">
        <f>SUMIFS('апрель 2024'!$G$4:$G$1689,'апрель 2024'!$D$4:$D$1689,$B45,'апрель 2024'!$J$4:$J$1689,AE$1)</f>
        <v>0</v>
      </c>
      <c r="AF45" s="80">
        <f>SUMIFS('апрель 2024'!$G$4:$G$1689,'апрель 2024'!$D$4:$D$1689,$B45,'апрель 2024'!$J$4:$J$1689,AF$1)</f>
        <v>0</v>
      </c>
      <c r="AG45" s="80">
        <f>SUMIFS('апрель 2024'!$G$4:$G$1689,'апрель 2024'!$D$4:$D$1689,$B45,'апрель 2024'!$J$4:$J$1689,AG$1)</f>
        <v>0</v>
      </c>
      <c r="AH45" s="80">
        <f>SUMIFS('апрель 2024'!$G$4:$G$1689,'апрель 2024'!$D$4:$D$1689,$B45,'апрель 2024'!$J$4:$J$1689,AH$1)</f>
        <v>0</v>
      </c>
      <c r="AI45" s="21">
        <f t="shared" si="1"/>
        <v>0</v>
      </c>
    </row>
    <row r="46" spans="2:35" ht="15" customHeight="1" x14ac:dyDescent="0.25">
      <c r="B46" s="150" t="s">
        <v>302</v>
      </c>
      <c r="C46" s="153">
        <v>20</v>
      </c>
      <c r="D46" s="80">
        <f>SUMIFS('апрель 2024'!$G$4:$G$1689,'апрель 2024'!$D$4:$D$1689,$B46,'апрель 2024'!$J$4:$J$1689,D$1)</f>
        <v>0</v>
      </c>
      <c r="E46" s="80">
        <f>SUMIFS('апрель 2024'!$G$4:$G$1689,'апрель 2024'!$D$4:$D$1689,$B46,'апрель 2024'!$J$4:$J$1689,E$1)</f>
        <v>0</v>
      </c>
      <c r="F46" s="80">
        <f>SUMIFS('апрель 2024'!$G$4:$G$1689,'апрель 2024'!$D$4:$D$1689,$B46,'апрель 2024'!$J$4:$J$1689,F$1)</f>
        <v>0</v>
      </c>
      <c r="G46" s="80">
        <f>SUMIFS('апрель 2024'!$G$4:$G$1689,'апрель 2024'!$D$4:$D$1689,$B46,'апрель 2024'!$J$4:$J$1689,G$1)</f>
        <v>0</v>
      </c>
      <c r="H46" s="80">
        <f>SUMIFS('апрель 2024'!$G$4:$G$1689,'апрель 2024'!$D$4:$D$1689,$B46,'апрель 2024'!$J$4:$J$1689,H$1)</f>
        <v>0</v>
      </c>
      <c r="I46" s="80">
        <f>SUMIFS('апрель 2024'!$G$4:$G$1689,'апрель 2024'!$D$4:$D$1689,$B46,'апрель 2024'!$J$4:$J$1689,I$1)</f>
        <v>0</v>
      </c>
      <c r="J46" s="80">
        <f>SUMIFS('апрель 2024'!$G$4:$G$1689,'апрель 2024'!$D$4:$D$1689,$B46,'апрель 2024'!$J$4:$J$1689,J$1)</f>
        <v>0</v>
      </c>
      <c r="K46" s="80">
        <f>SUMIFS('апрель 2024'!$G$4:$G$1689,'апрель 2024'!$D$4:$D$1689,$B46,'апрель 2024'!$J$4:$J$1689,K$1)</f>
        <v>0</v>
      </c>
      <c r="L46" s="80">
        <f>SUMIFS('апрель 2024'!$G$4:$G$1689,'апрель 2024'!$D$4:$D$1689,$B46,'апрель 2024'!$J$4:$J$1689,L$1)</f>
        <v>0</v>
      </c>
      <c r="M46" s="80">
        <f>SUMIFS('апрель 2024'!$G$4:$G$1689,'апрель 2024'!$D$4:$D$1689,$B46,'апрель 2024'!$J$4:$J$1689,M$1)</f>
        <v>0</v>
      </c>
      <c r="N46" s="80">
        <f>SUMIFS('апрель 2024'!$G$4:$G$1689,'апрель 2024'!$D$4:$D$1689,$B46,'апрель 2024'!$J$4:$J$1689,N$1)</f>
        <v>0</v>
      </c>
      <c r="O46" s="80">
        <f>SUMIFS('апрель 2024'!$G$4:$G$1689,'апрель 2024'!$D$4:$D$1689,$B46,'апрель 2024'!$J$4:$J$1689,O$1)</f>
        <v>0</v>
      </c>
      <c r="P46" s="80">
        <f>SUMIFS('апрель 2024'!$G$4:$G$1689,'апрель 2024'!$D$4:$D$1689,$B46,'апрель 2024'!$J$4:$J$1689,P$1)</f>
        <v>0</v>
      </c>
      <c r="Q46" s="80">
        <f>SUMIFS('апрель 2024'!$G$4:$G$1689,'апрель 2024'!$D$4:$D$1689,$B46,'апрель 2024'!$J$4:$J$1689,Q$1)</f>
        <v>0</v>
      </c>
      <c r="R46" s="80">
        <f>SUMIFS('апрель 2024'!$G$4:$G$1689,'апрель 2024'!$D$4:$D$1689,$B46,'апрель 2024'!$J$4:$J$1689,R$1)</f>
        <v>0</v>
      </c>
      <c r="S46" s="80">
        <f>SUMIFS('апрель 2024'!$G$4:$G$1689,'апрель 2024'!$D$4:$D$1689,$B46,'апрель 2024'!$J$4:$J$1689,S$1)</f>
        <v>0</v>
      </c>
      <c r="T46" s="80">
        <f>SUMIFS('апрель 2024'!$G$4:$G$1689,'апрель 2024'!$D$4:$D$1689,$B46,'апрель 2024'!$J$4:$J$1689,T$1)</f>
        <v>0</v>
      </c>
      <c r="U46" s="80">
        <f>SUMIFS('апрель 2024'!$G$4:$G$1689,'апрель 2024'!$D$4:$D$1689,$B46,'апрель 2024'!$J$4:$J$1689,U$1)</f>
        <v>0</v>
      </c>
      <c r="V46" s="80">
        <f>SUMIFS('апрель 2024'!$G$4:$G$1689,'апрель 2024'!$D$4:$D$1689,$B46,'апрель 2024'!$J$4:$J$1689,V$1)</f>
        <v>0</v>
      </c>
      <c r="W46" s="80">
        <f>SUMIFS('апрель 2024'!$G$4:$G$1689,'апрель 2024'!$D$4:$D$1689,$B46,'апрель 2024'!$J$4:$J$1689,W$1)</f>
        <v>0</v>
      </c>
      <c r="X46" s="80">
        <f>SUMIFS('апрель 2024'!$G$4:$G$1689,'апрель 2024'!$D$4:$D$1689,$B46,'апрель 2024'!$J$4:$J$1689,X$1)</f>
        <v>0</v>
      </c>
      <c r="Y46" s="80">
        <f>SUMIFS('апрель 2024'!$G$4:$G$1689,'апрель 2024'!$D$4:$D$1689,$B46,'апрель 2024'!$J$4:$J$1689,Y$1)</f>
        <v>0</v>
      </c>
      <c r="Z46" s="80">
        <f>SUMIFS('апрель 2024'!$G$4:$G$1689,'апрель 2024'!$D$4:$D$1689,$B46,'апрель 2024'!$J$4:$J$1689,Z$1)</f>
        <v>0</v>
      </c>
      <c r="AA46" s="80">
        <f>SUMIFS('апрель 2024'!$G$4:$G$1689,'апрель 2024'!$D$4:$D$1689,$B46,'апрель 2024'!$J$4:$J$1689,AA$1)</f>
        <v>0</v>
      </c>
      <c r="AB46" s="80">
        <f>SUMIFS('апрель 2024'!$G$4:$G$1689,'апрель 2024'!$D$4:$D$1689,$B46,'апрель 2024'!$J$4:$J$1689,AB$1)</f>
        <v>0</v>
      </c>
      <c r="AC46" s="80">
        <f>SUMIFS('апрель 2024'!$G$4:$G$1689,'апрель 2024'!$D$4:$D$1689,$B46,'апрель 2024'!$J$4:$J$1689,AC$1)</f>
        <v>0</v>
      </c>
      <c r="AD46" s="80">
        <f>SUMIFS('апрель 2024'!$G$4:$G$1689,'апрель 2024'!$D$4:$D$1689,$B46,'апрель 2024'!$J$4:$J$1689,AD$1)</f>
        <v>0</v>
      </c>
      <c r="AE46" s="80">
        <f>SUMIFS('апрель 2024'!$G$4:$G$1689,'апрель 2024'!$D$4:$D$1689,$B46,'апрель 2024'!$J$4:$J$1689,AE$1)</f>
        <v>0</v>
      </c>
      <c r="AF46" s="80">
        <f>SUMIFS('апрель 2024'!$G$4:$G$1689,'апрель 2024'!$D$4:$D$1689,$B46,'апрель 2024'!$J$4:$J$1689,AF$1)</f>
        <v>0</v>
      </c>
      <c r="AG46" s="80">
        <f>SUMIFS('апрель 2024'!$G$4:$G$1689,'апрель 2024'!$D$4:$D$1689,$B46,'апрель 2024'!$J$4:$J$1689,AG$1)</f>
        <v>0</v>
      </c>
      <c r="AH46" s="80">
        <f>SUMIFS('апрель 2024'!$G$4:$G$1689,'апрель 2024'!$D$4:$D$1689,$B46,'апрель 2024'!$J$4:$J$1689,AH$1)</f>
        <v>0</v>
      </c>
      <c r="AI46" s="21">
        <f t="shared" si="1"/>
        <v>0</v>
      </c>
    </row>
    <row r="47" spans="2:35" ht="15" customHeight="1" x14ac:dyDescent="0.25">
      <c r="B47" s="150" t="s">
        <v>304</v>
      </c>
      <c r="C47" s="149">
        <v>20</v>
      </c>
      <c r="D47" s="80">
        <f>SUMIFS('апрель 2024'!$G$4:$G$1689,'апрель 2024'!$D$4:$D$1689,$B47,'апрель 2024'!$J$4:$J$1689,D$1)</f>
        <v>0</v>
      </c>
      <c r="E47" s="80">
        <f>SUMIFS('апрель 2024'!$G$4:$G$1689,'апрель 2024'!$D$4:$D$1689,$B47,'апрель 2024'!$J$4:$J$1689,E$1)</f>
        <v>0</v>
      </c>
      <c r="F47" s="80">
        <f>SUMIFS('апрель 2024'!$G$4:$G$1689,'апрель 2024'!$D$4:$D$1689,$B47,'апрель 2024'!$J$4:$J$1689,F$1)</f>
        <v>0</v>
      </c>
      <c r="G47" s="80">
        <f>SUMIFS('апрель 2024'!$G$4:$G$1689,'апрель 2024'!$D$4:$D$1689,$B47,'апрель 2024'!$J$4:$J$1689,G$1)</f>
        <v>0</v>
      </c>
      <c r="H47" s="80">
        <f>SUMIFS('апрель 2024'!$G$4:$G$1689,'апрель 2024'!$D$4:$D$1689,$B47,'апрель 2024'!$J$4:$J$1689,H$1)</f>
        <v>0</v>
      </c>
      <c r="I47" s="80">
        <f>SUMIFS('апрель 2024'!$G$4:$G$1689,'апрель 2024'!$D$4:$D$1689,$B47,'апрель 2024'!$J$4:$J$1689,I$1)</f>
        <v>0</v>
      </c>
      <c r="J47" s="80">
        <f>SUMIFS('апрель 2024'!$G$4:$G$1689,'апрель 2024'!$D$4:$D$1689,$B47,'апрель 2024'!$J$4:$J$1689,J$1)</f>
        <v>0</v>
      </c>
      <c r="K47" s="80">
        <f>SUMIFS('апрель 2024'!$G$4:$G$1689,'апрель 2024'!$D$4:$D$1689,$B47,'апрель 2024'!$J$4:$J$1689,K$1)</f>
        <v>0</v>
      </c>
      <c r="L47" s="80">
        <f>SUMIFS('апрель 2024'!$G$4:$G$1689,'апрель 2024'!$D$4:$D$1689,$B47,'апрель 2024'!$J$4:$J$1689,L$1)</f>
        <v>0</v>
      </c>
      <c r="M47" s="80">
        <f>SUMIFS('апрель 2024'!$G$4:$G$1689,'апрель 2024'!$D$4:$D$1689,$B47,'апрель 2024'!$J$4:$J$1689,M$1)</f>
        <v>0</v>
      </c>
      <c r="N47" s="80">
        <f>SUMIFS('апрель 2024'!$G$4:$G$1689,'апрель 2024'!$D$4:$D$1689,$B47,'апрель 2024'!$J$4:$J$1689,N$1)</f>
        <v>0</v>
      </c>
      <c r="O47" s="80">
        <f>SUMIFS('апрель 2024'!$G$4:$G$1689,'апрель 2024'!$D$4:$D$1689,$B47,'апрель 2024'!$J$4:$J$1689,O$1)</f>
        <v>0</v>
      </c>
      <c r="P47" s="80">
        <f>SUMIFS('апрель 2024'!$G$4:$G$1689,'апрель 2024'!$D$4:$D$1689,$B47,'апрель 2024'!$J$4:$J$1689,P$1)</f>
        <v>0</v>
      </c>
      <c r="Q47" s="80">
        <f>SUMIFS('апрель 2024'!$G$4:$G$1689,'апрель 2024'!$D$4:$D$1689,$B47,'апрель 2024'!$J$4:$J$1689,Q$1)</f>
        <v>0</v>
      </c>
      <c r="R47" s="80">
        <f>SUMIFS('апрель 2024'!$G$4:$G$1689,'апрель 2024'!$D$4:$D$1689,$B47,'апрель 2024'!$J$4:$J$1689,R$1)</f>
        <v>0</v>
      </c>
      <c r="S47" s="80">
        <f>SUMIFS('апрель 2024'!$G$4:$G$1689,'апрель 2024'!$D$4:$D$1689,$B47,'апрель 2024'!$J$4:$J$1689,S$1)</f>
        <v>0</v>
      </c>
      <c r="T47" s="80">
        <f>SUMIFS('апрель 2024'!$G$4:$G$1689,'апрель 2024'!$D$4:$D$1689,$B47,'апрель 2024'!$J$4:$J$1689,T$1)</f>
        <v>0</v>
      </c>
      <c r="U47" s="80">
        <f>SUMIFS('апрель 2024'!$G$4:$G$1689,'апрель 2024'!$D$4:$D$1689,$B47,'апрель 2024'!$J$4:$J$1689,U$1)</f>
        <v>0</v>
      </c>
      <c r="V47" s="80">
        <f>SUMIFS('апрель 2024'!$G$4:$G$1689,'апрель 2024'!$D$4:$D$1689,$B47,'апрель 2024'!$J$4:$J$1689,V$1)</f>
        <v>0</v>
      </c>
      <c r="W47" s="80">
        <f>SUMIFS('апрель 2024'!$G$4:$G$1689,'апрель 2024'!$D$4:$D$1689,$B47,'апрель 2024'!$J$4:$J$1689,W$1)</f>
        <v>0</v>
      </c>
      <c r="X47" s="80">
        <f>SUMIFS('апрель 2024'!$G$4:$G$1689,'апрель 2024'!$D$4:$D$1689,$B47,'апрель 2024'!$J$4:$J$1689,X$1)</f>
        <v>0</v>
      </c>
      <c r="Y47" s="80">
        <f>SUMIFS('апрель 2024'!$G$4:$G$1689,'апрель 2024'!$D$4:$D$1689,$B47,'апрель 2024'!$J$4:$J$1689,Y$1)</f>
        <v>0</v>
      </c>
      <c r="Z47" s="80">
        <f>SUMIFS('апрель 2024'!$G$4:$G$1689,'апрель 2024'!$D$4:$D$1689,$B47,'апрель 2024'!$J$4:$J$1689,Z$1)</f>
        <v>0</v>
      </c>
      <c r="AA47" s="80">
        <f>SUMIFS('апрель 2024'!$G$4:$G$1689,'апрель 2024'!$D$4:$D$1689,$B47,'апрель 2024'!$J$4:$J$1689,AA$1)</f>
        <v>0</v>
      </c>
      <c r="AB47" s="80">
        <f>SUMIFS('апрель 2024'!$G$4:$G$1689,'апрель 2024'!$D$4:$D$1689,$B47,'апрель 2024'!$J$4:$J$1689,AB$1)</f>
        <v>0</v>
      </c>
      <c r="AC47" s="80">
        <f>SUMIFS('апрель 2024'!$G$4:$G$1689,'апрель 2024'!$D$4:$D$1689,$B47,'апрель 2024'!$J$4:$J$1689,AC$1)</f>
        <v>0</v>
      </c>
      <c r="AD47" s="80">
        <f>SUMIFS('апрель 2024'!$G$4:$G$1689,'апрель 2024'!$D$4:$D$1689,$B47,'апрель 2024'!$J$4:$J$1689,AD$1)</f>
        <v>0</v>
      </c>
      <c r="AE47" s="80">
        <f>SUMIFS('апрель 2024'!$G$4:$G$1689,'апрель 2024'!$D$4:$D$1689,$B47,'апрель 2024'!$J$4:$J$1689,AE$1)</f>
        <v>0</v>
      </c>
      <c r="AF47" s="80">
        <f>SUMIFS('апрель 2024'!$G$4:$G$1689,'апрель 2024'!$D$4:$D$1689,$B47,'апрель 2024'!$J$4:$J$1689,AF$1)</f>
        <v>0</v>
      </c>
      <c r="AG47" s="80">
        <f>SUMIFS('апрель 2024'!$G$4:$G$1689,'апрель 2024'!$D$4:$D$1689,$B47,'апрель 2024'!$J$4:$J$1689,AG$1)</f>
        <v>0</v>
      </c>
      <c r="AH47" s="80">
        <f>SUMIFS('апрель 2024'!$G$4:$G$1689,'апрель 2024'!$D$4:$D$1689,$B47,'апрель 2024'!$J$4:$J$1689,AH$1)</f>
        <v>0</v>
      </c>
      <c r="AI47" s="21">
        <f t="shared" si="1"/>
        <v>0</v>
      </c>
    </row>
    <row r="48" spans="2:35" ht="15" customHeight="1" x14ac:dyDescent="0.25">
      <c r="B48" s="150" t="s">
        <v>306</v>
      </c>
      <c r="C48" s="151">
        <v>20</v>
      </c>
      <c r="D48" s="80">
        <f>SUMIFS('апрель 2024'!$G$4:$G$1689,'апрель 2024'!$D$4:$D$1689,$B48,'апрель 2024'!$J$4:$J$1689,D$1)</f>
        <v>0</v>
      </c>
      <c r="E48" s="80">
        <f>SUMIFS('апрель 2024'!$G$4:$G$1689,'апрель 2024'!$D$4:$D$1689,$B48,'апрель 2024'!$J$4:$J$1689,E$1)</f>
        <v>0</v>
      </c>
      <c r="F48" s="80">
        <f>SUMIFS('апрель 2024'!$G$4:$G$1689,'апрель 2024'!$D$4:$D$1689,$B48,'апрель 2024'!$J$4:$J$1689,F$1)</f>
        <v>0</v>
      </c>
      <c r="G48" s="80">
        <f>SUMIFS('апрель 2024'!$G$4:$G$1689,'апрель 2024'!$D$4:$D$1689,$B48,'апрель 2024'!$J$4:$J$1689,G$1)</f>
        <v>0</v>
      </c>
      <c r="H48" s="80">
        <f>SUMIFS('апрель 2024'!$G$4:$G$1689,'апрель 2024'!$D$4:$D$1689,$B48,'апрель 2024'!$J$4:$J$1689,H$1)</f>
        <v>0</v>
      </c>
      <c r="I48" s="80">
        <f>SUMIFS('апрель 2024'!$G$4:$G$1689,'апрель 2024'!$D$4:$D$1689,$B48,'апрель 2024'!$J$4:$J$1689,I$1)</f>
        <v>0</v>
      </c>
      <c r="J48" s="80">
        <f>SUMIFS('апрель 2024'!$G$4:$G$1689,'апрель 2024'!$D$4:$D$1689,$B48,'апрель 2024'!$J$4:$J$1689,J$1)</f>
        <v>0</v>
      </c>
      <c r="K48" s="80">
        <f>SUMIFS('апрель 2024'!$G$4:$G$1689,'апрель 2024'!$D$4:$D$1689,$B48,'апрель 2024'!$J$4:$J$1689,K$1)</f>
        <v>0</v>
      </c>
      <c r="L48" s="80">
        <f>SUMIFS('апрель 2024'!$G$4:$G$1689,'апрель 2024'!$D$4:$D$1689,$B48,'апрель 2024'!$J$4:$J$1689,L$1)</f>
        <v>0</v>
      </c>
      <c r="M48" s="80">
        <f>SUMIFS('апрель 2024'!$G$4:$G$1689,'апрель 2024'!$D$4:$D$1689,$B48,'апрель 2024'!$J$4:$J$1689,M$1)</f>
        <v>0</v>
      </c>
      <c r="N48" s="80">
        <f>SUMIFS('апрель 2024'!$G$4:$G$1689,'апрель 2024'!$D$4:$D$1689,$B48,'апрель 2024'!$J$4:$J$1689,N$1)</f>
        <v>0</v>
      </c>
      <c r="O48" s="80">
        <f>SUMIFS('апрель 2024'!$G$4:$G$1689,'апрель 2024'!$D$4:$D$1689,$B48,'апрель 2024'!$J$4:$J$1689,O$1)</f>
        <v>0</v>
      </c>
      <c r="P48" s="80">
        <f>SUMIFS('апрель 2024'!$G$4:$G$1689,'апрель 2024'!$D$4:$D$1689,$B48,'апрель 2024'!$J$4:$J$1689,P$1)</f>
        <v>0</v>
      </c>
      <c r="Q48" s="80">
        <f>SUMIFS('апрель 2024'!$G$4:$G$1689,'апрель 2024'!$D$4:$D$1689,$B48,'апрель 2024'!$J$4:$J$1689,Q$1)</f>
        <v>0</v>
      </c>
      <c r="R48" s="80">
        <f>SUMIFS('апрель 2024'!$G$4:$G$1689,'апрель 2024'!$D$4:$D$1689,$B48,'апрель 2024'!$J$4:$J$1689,R$1)</f>
        <v>0</v>
      </c>
      <c r="S48" s="80">
        <f>SUMIFS('апрель 2024'!$G$4:$G$1689,'апрель 2024'!$D$4:$D$1689,$B48,'апрель 2024'!$J$4:$J$1689,S$1)</f>
        <v>0</v>
      </c>
      <c r="T48" s="80">
        <f>SUMIFS('апрель 2024'!$G$4:$G$1689,'апрель 2024'!$D$4:$D$1689,$B48,'апрель 2024'!$J$4:$J$1689,T$1)</f>
        <v>0</v>
      </c>
      <c r="U48" s="80">
        <f>SUMIFS('апрель 2024'!$G$4:$G$1689,'апрель 2024'!$D$4:$D$1689,$B48,'апрель 2024'!$J$4:$J$1689,U$1)</f>
        <v>0</v>
      </c>
      <c r="V48" s="80">
        <f>SUMIFS('апрель 2024'!$G$4:$G$1689,'апрель 2024'!$D$4:$D$1689,$B48,'апрель 2024'!$J$4:$J$1689,V$1)</f>
        <v>0</v>
      </c>
      <c r="W48" s="80">
        <f>SUMIFS('апрель 2024'!$G$4:$G$1689,'апрель 2024'!$D$4:$D$1689,$B48,'апрель 2024'!$J$4:$J$1689,W$1)</f>
        <v>0</v>
      </c>
      <c r="X48" s="80">
        <f>SUMIFS('апрель 2024'!$G$4:$G$1689,'апрель 2024'!$D$4:$D$1689,$B48,'апрель 2024'!$J$4:$J$1689,X$1)</f>
        <v>0</v>
      </c>
      <c r="Y48" s="80">
        <f>SUMIFS('апрель 2024'!$G$4:$G$1689,'апрель 2024'!$D$4:$D$1689,$B48,'апрель 2024'!$J$4:$J$1689,Y$1)</f>
        <v>0</v>
      </c>
      <c r="Z48" s="80">
        <f>SUMIFS('апрель 2024'!$G$4:$G$1689,'апрель 2024'!$D$4:$D$1689,$B48,'апрель 2024'!$J$4:$J$1689,Z$1)</f>
        <v>0</v>
      </c>
      <c r="AA48" s="80">
        <f>SUMIFS('апрель 2024'!$G$4:$G$1689,'апрель 2024'!$D$4:$D$1689,$B48,'апрель 2024'!$J$4:$J$1689,AA$1)</f>
        <v>0</v>
      </c>
      <c r="AB48" s="80">
        <f>SUMIFS('апрель 2024'!$G$4:$G$1689,'апрель 2024'!$D$4:$D$1689,$B48,'апрель 2024'!$J$4:$J$1689,AB$1)</f>
        <v>0</v>
      </c>
      <c r="AC48" s="80">
        <f>SUMIFS('апрель 2024'!$G$4:$G$1689,'апрель 2024'!$D$4:$D$1689,$B48,'апрель 2024'!$J$4:$J$1689,AC$1)</f>
        <v>0</v>
      </c>
      <c r="AD48" s="80">
        <f>SUMIFS('апрель 2024'!$G$4:$G$1689,'апрель 2024'!$D$4:$D$1689,$B48,'апрель 2024'!$J$4:$J$1689,AD$1)</f>
        <v>0</v>
      </c>
      <c r="AE48" s="80">
        <f>SUMIFS('апрель 2024'!$G$4:$G$1689,'апрель 2024'!$D$4:$D$1689,$B48,'апрель 2024'!$J$4:$J$1689,AE$1)</f>
        <v>0</v>
      </c>
      <c r="AF48" s="80">
        <f>SUMIFS('апрель 2024'!$G$4:$G$1689,'апрель 2024'!$D$4:$D$1689,$B48,'апрель 2024'!$J$4:$J$1689,AF$1)</f>
        <v>0</v>
      </c>
      <c r="AG48" s="80">
        <f>SUMIFS('апрель 2024'!$G$4:$G$1689,'апрель 2024'!$D$4:$D$1689,$B48,'апрель 2024'!$J$4:$J$1689,AG$1)</f>
        <v>0</v>
      </c>
      <c r="AH48" s="80">
        <f>SUMIFS('апрель 2024'!$G$4:$G$1689,'апрель 2024'!$D$4:$D$1689,$B48,'апрель 2024'!$J$4:$J$1689,AH$1)</f>
        <v>0</v>
      </c>
      <c r="AI48" s="21">
        <f t="shared" si="1"/>
        <v>0</v>
      </c>
    </row>
    <row r="49" spans="2:35" ht="15" customHeight="1" x14ac:dyDescent="0.25">
      <c r="B49" s="150" t="s">
        <v>308</v>
      </c>
      <c r="C49" s="151">
        <v>14</v>
      </c>
      <c r="D49" s="80">
        <f>SUMIFS('апрель 2024'!$G$4:$G$1689,'апрель 2024'!$D$4:$D$1689,$B49,'апрель 2024'!$J$4:$J$1689,D$1)</f>
        <v>0</v>
      </c>
      <c r="E49" s="80">
        <f>SUMIFS('апрель 2024'!$G$4:$G$1689,'апрель 2024'!$D$4:$D$1689,$B49,'апрель 2024'!$J$4:$J$1689,E$1)</f>
        <v>0</v>
      </c>
      <c r="F49" s="80">
        <f>SUMIFS('апрель 2024'!$G$4:$G$1689,'апрель 2024'!$D$4:$D$1689,$B49,'апрель 2024'!$J$4:$J$1689,F$1)</f>
        <v>0</v>
      </c>
      <c r="G49" s="80">
        <f>SUMIFS('апрель 2024'!$G$4:$G$1689,'апрель 2024'!$D$4:$D$1689,$B49,'апрель 2024'!$J$4:$J$1689,G$1)</f>
        <v>0</v>
      </c>
      <c r="H49" s="80">
        <f>SUMIFS('апрель 2024'!$G$4:$G$1689,'апрель 2024'!$D$4:$D$1689,$B49,'апрель 2024'!$J$4:$J$1689,H$1)</f>
        <v>0</v>
      </c>
      <c r="I49" s="80">
        <f>SUMIFS('апрель 2024'!$G$4:$G$1689,'апрель 2024'!$D$4:$D$1689,$B49,'апрель 2024'!$J$4:$J$1689,I$1)</f>
        <v>0</v>
      </c>
      <c r="J49" s="80">
        <f>SUMIFS('апрель 2024'!$G$4:$G$1689,'апрель 2024'!$D$4:$D$1689,$B49,'апрель 2024'!$J$4:$J$1689,J$1)</f>
        <v>0</v>
      </c>
      <c r="K49" s="80">
        <f>SUMIFS('апрель 2024'!$G$4:$G$1689,'апрель 2024'!$D$4:$D$1689,$B49,'апрель 2024'!$J$4:$J$1689,K$1)</f>
        <v>0</v>
      </c>
      <c r="L49" s="80">
        <f>SUMIFS('апрель 2024'!$G$4:$G$1689,'апрель 2024'!$D$4:$D$1689,$B49,'апрель 2024'!$J$4:$J$1689,L$1)</f>
        <v>0</v>
      </c>
      <c r="M49" s="80">
        <f>SUMIFS('апрель 2024'!$G$4:$G$1689,'апрель 2024'!$D$4:$D$1689,$B49,'апрель 2024'!$J$4:$J$1689,M$1)</f>
        <v>0</v>
      </c>
      <c r="N49" s="80">
        <f>SUMIFS('апрель 2024'!$G$4:$G$1689,'апрель 2024'!$D$4:$D$1689,$B49,'апрель 2024'!$J$4:$J$1689,N$1)</f>
        <v>0</v>
      </c>
      <c r="O49" s="80">
        <f>SUMIFS('апрель 2024'!$G$4:$G$1689,'апрель 2024'!$D$4:$D$1689,$B49,'апрель 2024'!$J$4:$J$1689,O$1)</f>
        <v>0</v>
      </c>
      <c r="P49" s="80">
        <f>SUMIFS('апрель 2024'!$G$4:$G$1689,'апрель 2024'!$D$4:$D$1689,$B49,'апрель 2024'!$J$4:$J$1689,P$1)</f>
        <v>0</v>
      </c>
      <c r="Q49" s="80">
        <f>SUMIFS('апрель 2024'!$G$4:$G$1689,'апрель 2024'!$D$4:$D$1689,$B49,'апрель 2024'!$J$4:$J$1689,Q$1)</f>
        <v>0</v>
      </c>
      <c r="R49" s="80">
        <f>SUMIFS('апрель 2024'!$G$4:$G$1689,'апрель 2024'!$D$4:$D$1689,$B49,'апрель 2024'!$J$4:$J$1689,R$1)</f>
        <v>1000</v>
      </c>
      <c r="S49" s="80">
        <f>SUMIFS('апрель 2024'!$G$4:$G$1689,'апрель 2024'!$D$4:$D$1689,$B49,'апрель 2024'!$J$4:$J$1689,S$1)</f>
        <v>0</v>
      </c>
      <c r="T49" s="80">
        <f>SUMIFS('апрель 2024'!$G$4:$G$1689,'апрель 2024'!$D$4:$D$1689,$B49,'апрель 2024'!$J$4:$J$1689,T$1)</f>
        <v>0</v>
      </c>
      <c r="U49" s="80">
        <f>SUMIFS('апрель 2024'!$G$4:$G$1689,'апрель 2024'!$D$4:$D$1689,$B49,'апрель 2024'!$J$4:$J$1689,U$1)</f>
        <v>0</v>
      </c>
      <c r="V49" s="80">
        <f>SUMIFS('апрель 2024'!$G$4:$G$1689,'апрель 2024'!$D$4:$D$1689,$B49,'апрель 2024'!$J$4:$J$1689,V$1)</f>
        <v>0</v>
      </c>
      <c r="W49" s="80">
        <f>SUMIFS('апрель 2024'!$G$4:$G$1689,'апрель 2024'!$D$4:$D$1689,$B49,'апрель 2024'!$J$4:$J$1689,W$1)</f>
        <v>0</v>
      </c>
      <c r="X49" s="80">
        <f>SUMIFS('апрель 2024'!$G$4:$G$1689,'апрель 2024'!$D$4:$D$1689,$B49,'апрель 2024'!$J$4:$J$1689,X$1)</f>
        <v>0</v>
      </c>
      <c r="Y49" s="80">
        <f>SUMIFS('апрель 2024'!$G$4:$G$1689,'апрель 2024'!$D$4:$D$1689,$B49,'апрель 2024'!$J$4:$J$1689,Y$1)</f>
        <v>0</v>
      </c>
      <c r="Z49" s="80">
        <f>SUMIFS('апрель 2024'!$G$4:$G$1689,'апрель 2024'!$D$4:$D$1689,$B49,'апрель 2024'!$J$4:$J$1689,Z$1)</f>
        <v>0</v>
      </c>
      <c r="AA49" s="80">
        <f>SUMIFS('апрель 2024'!$G$4:$G$1689,'апрель 2024'!$D$4:$D$1689,$B49,'апрель 2024'!$J$4:$J$1689,AA$1)</f>
        <v>0</v>
      </c>
      <c r="AB49" s="80">
        <f>SUMIFS('апрель 2024'!$G$4:$G$1689,'апрель 2024'!$D$4:$D$1689,$B49,'апрель 2024'!$J$4:$J$1689,AB$1)</f>
        <v>0</v>
      </c>
      <c r="AC49" s="80">
        <f>SUMIFS('апрель 2024'!$G$4:$G$1689,'апрель 2024'!$D$4:$D$1689,$B49,'апрель 2024'!$J$4:$J$1689,AC$1)</f>
        <v>0</v>
      </c>
      <c r="AD49" s="80">
        <f>SUMIFS('апрель 2024'!$G$4:$G$1689,'апрель 2024'!$D$4:$D$1689,$B49,'апрель 2024'!$J$4:$J$1689,AD$1)</f>
        <v>0</v>
      </c>
      <c r="AE49" s="80">
        <f>SUMIFS('апрель 2024'!$G$4:$G$1689,'апрель 2024'!$D$4:$D$1689,$B49,'апрель 2024'!$J$4:$J$1689,AE$1)</f>
        <v>0</v>
      </c>
      <c r="AF49" s="80">
        <f>SUMIFS('апрель 2024'!$G$4:$G$1689,'апрель 2024'!$D$4:$D$1689,$B49,'апрель 2024'!$J$4:$J$1689,AF$1)</f>
        <v>0</v>
      </c>
      <c r="AG49" s="80">
        <f>SUMIFS('апрель 2024'!$G$4:$G$1689,'апрель 2024'!$D$4:$D$1689,$B49,'апрель 2024'!$J$4:$J$1689,AG$1)</f>
        <v>0</v>
      </c>
      <c r="AH49" s="80">
        <f>SUMIFS('апрель 2024'!$G$4:$G$1689,'апрель 2024'!$D$4:$D$1689,$B49,'апрель 2024'!$J$4:$J$1689,AH$1)</f>
        <v>0</v>
      </c>
      <c r="AI49" s="21">
        <f t="shared" si="1"/>
        <v>1000</v>
      </c>
    </row>
    <row r="50" spans="2:35" ht="15" customHeight="1" x14ac:dyDescent="0.25">
      <c r="B50" s="150" t="s">
        <v>310</v>
      </c>
      <c r="C50" s="151">
        <v>25</v>
      </c>
      <c r="D50" s="80">
        <f>SUMIFS('апрель 2024'!$G$4:$G$1689,'апрель 2024'!$D$4:$D$1689,$B50,'апрель 2024'!$J$4:$J$1689,D$1)</f>
        <v>0</v>
      </c>
      <c r="E50" s="80">
        <f>SUMIFS('апрель 2024'!$G$4:$G$1689,'апрель 2024'!$D$4:$D$1689,$B50,'апрель 2024'!$J$4:$J$1689,E$1)</f>
        <v>0</v>
      </c>
      <c r="F50" s="80">
        <f>SUMIFS('апрель 2024'!$G$4:$G$1689,'апрель 2024'!$D$4:$D$1689,$B50,'апрель 2024'!$J$4:$J$1689,F$1)</f>
        <v>0</v>
      </c>
      <c r="G50" s="80">
        <f>SUMIFS('апрель 2024'!$G$4:$G$1689,'апрель 2024'!$D$4:$D$1689,$B50,'апрель 2024'!$J$4:$J$1689,G$1)</f>
        <v>0</v>
      </c>
      <c r="H50" s="80">
        <f>SUMIFS('апрель 2024'!$G$4:$G$1689,'апрель 2024'!$D$4:$D$1689,$B50,'апрель 2024'!$J$4:$J$1689,H$1)</f>
        <v>0</v>
      </c>
      <c r="I50" s="80">
        <f>SUMIFS('апрель 2024'!$G$4:$G$1689,'апрель 2024'!$D$4:$D$1689,$B50,'апрель 2024'!$J$4:$J$1689,I$1)</f>
        <v>0</v>
      </c>
      <c r="J50" s="80">
        <f>SUMIFS('апрель 2024'!$G$4:$G$1689,'апрель 2024'!$D$4:$D$1689,$B50,'апрель 2024'!$J$4:$J$1689,J$1)</f>
        <v>0</v>
      </c>
      <c r="K50" s="80">
        <f>SUMIFS('апрель 2024'!$G$4:$G$1689,'апрель 2024'!$D$4:$D$1689,$B50,'апрель 2024'!$J$4:$J$1689,K$1)</f>
        <v>0</v>
      </c>
      <c r="L50" s="80">
        <f>SUMIFS('апрель 2024'!$G$4:$G$1689,'апрель 2024'!$D$4:$D$1689,$B50,'апрель 2024'!$J$4:$J$1689,L$1)</f>
        <v>0</v>
      </c>
      <c r="M50" s="80">
        <f>SUMIFS('апрель 2024'!$G$4:$G$1689,'апрель 2024'!$D$4:$D$1689,$B50,'апрель 2024'!$J$4:$J$1689,M$1)</f>
        <v>0</v>
      </c>
      <c r="N50" s="80">
        <f>SUMIFS('апрель 2024'!$G$4:$G$1689,'апрель 2024'!$D$4:$D$1689,$B50,'апрель 2024'!$J$4:$J$1689,N$1)</f>
        <v>0</v>
      </c>
      <c r="O50" s="80">
        <f>SUMIFS('апрель 2024'!$G$4:$G$1689,'апрель 2024'!$D$4:$D$1689,$B50,'апрель 2024'!$J$4:$J$1689,O$1)</f>
        <v>0</v>
      </c>
      <c r="P50" s="80">
        <f>SUMIFS('апрель 2024'!$G$4:$G$1689,'апрель 2024'!$D$4:$D$1689,$B50,'апрель 2024'!$J$4:$J$1689,P$1)</f>
        <v>0</v>
      </c>
      <c r="Q50" s="80">
        <f>SUMIFS('апрель 2024'!$G$4:$G$1689,'апрель 2024'!$D$4:$D$1689,$B50,'апрель 2024'!$J$4:$J$1689,Q$1)</f>
        <v>0</v>
      </c>
      <c r="R50" s="80">
        <f>SUMIFS('апрель 2024'!$G$4:$G$1689,'апрель 2024'!$D$4:$D$1689,$B50,'апрель 2024'!$J$4:$J$1689,R$1)</f>
        <v>0</v>
      </c>
      <c r="S50" s="80">
        <f>SUMIFS('апрель 2024'!$G$4:$G$1689,'апрель 2024'!$D$4:$D$1689,$B50,'апрель 2024'!$J$4:$J$1689,S$1)</f>
        <v>0</v>
      </c>
      <c r="T50" s="80">
        <f>SUMIFS('апрель 2024'!$G$4:$G$1689,'апрель 2024'!$D$4:$D$1689,$B50,'апрель 2024'!$J$4:$J$1689,T$1)</f>
        <v>0</v>
      </c>
      <c r="U50" s="80">
        <f>SUMIFS('апрель 2024'!$G$4:$G$1689,'апрель 2024'!$D$4:$D$1689,$B50,'апрель 2024'!$J$4:$J$1689,U$1)</f>
        <v>0</v>
      </c>
      <c r="V50" s="80">
        <f>SUMIFS('апрель 2024'!$G$4:$G$1689,'апрель 2024'!$D$4:$D$1689,$B50,'апрель 2024'!$J$4:$J$1689,V$1)</f>
        <v>0</v>
      </c>
      <c r="W50" s="80">
        <f>SUMIFS('апрель 2024'!$G$4:$G$1689,'апрель 2024'!$D$4:$D$1689,$B50,'апрель 2024'!$J$4:$J$1689,W$1)</f>
        <v>0</v>
      </c>
      <c r="X50" s="80">
        <f>SUMIFS('апрель 2024'!$G$4:$G$1689,'апрель 2024'!$D$4:$D$1689,$B50,'апрель 2024'!$J$4:$J$1689,X$1)</f>
        <v>0</v>
      </c>
      <c r="Y50" s="80">
        <f>SUMIFS('апрель 2024'!$G$4:$G$1689,'апрель 2024'!$D$4:$D$1689,$B50,'апрель 2024'!$J$4:$J$1689,Y$1)</f>
        <v>0</v>
      </c>
      <c r="Z50" s="80">
        <f>SUMIFS('апрель 2024'!$G$4:$G$1689,'апрель 2024'!$D$4:$D$1689,$B50,'апрель 2024'!$J$4:$J$1689,Z$1)</f>
        <v>0</v>
      </c>
      <c r="AA50" s="80">
        <f>SUMIFS('апрель 2024'!$G$4:$G$1689,'апрель 2024'!$D$4:$D$1689,$B50,'апрель 2024'!$J$4:$J$1689,AA$1)</f>
        <v>0</v>
      </c>
      <c r="AB50" s="80">
        <f>SUMIFS('апрель 2024'!$G$4:$G$1689,'апрель 2024'!$D$4:$D$1689,$B50,'апрель 2024'!$J$4:$J$1689,AB$1)</f>
        <v>0</v>
      </c>
      <c r="AC50" s="80">
        <f>SUMIFS('апрель 2024'!$G$4:$G$1689,'апрель 2024'!$D$4:$D$1689,$B50,'апрель 2024'!$J$4:$J$1689,AC$1)</f>
        <v>0</v>
      </c>
      <c r="AD50" s="80">
        <f>SUMIFS('апрель 2024'!$G$4:$G$1689,'апрель 2024'!$D$4:$D$1689,$B50,'апрель 2024'!$J$4:$J$1689,AD$1)</f>
        <v>0</v>
      </c>
      <c r="AE50" s="80">
        <f>SUMIFS('апрель 2024'!$G$4:$G$1689,'апрель 2024'!$D$4:$D$1689,$B50,'апрель 2024'!$J$4:$J$1689,AE$1)</f>
        <v>0</v>
      </c>
      <c r="AF50" s="80">
        <f>SUMIFS('апрель 2024'!$G$4:$G$1689,'апрель 2024'!$D$4:$D$1689,$B50,'апрель 2024'!$J$4:$J$1689,AF$1)</f>
        <v>0</v>
      </c>
      <c r="AG50" s="80">
        <f>SUMIFS('апрель 2024'!$G$4:$G$1689,'апрель 2024'!$D$4:$D$1689,$B50,'апрель 2024'!$J$4:$J$1689,AG$1)</f>
        <v>0</v>
      </c>
      <c r="AH50" s="80">
        <f>SUMIFS('апрель 2024'!$G$4:$G$1689,'апрель 2024'!$D$4:$D$1689,$B50,'апрель 2024'!$J$4:$J$1689,AH$1)</f>
        <v>0</v>
      </c>
      <c r="AI50" s="21">
        <f t="shared" si="1"/>
        <v>0</v>
      </c>
    </row>
    <row r="51" spans="2:35" ht="15" customHeight="1" x14ac:dyDescent="0.25">
      <c r="B51" s="150" t="s">
        <v>316</v>
      </c>
      <c r="C51" s="151">
        <v>20</v>
      </c>
      <c r="D51" s="80">
        <f>SUMIFS('апрель 2024'!$G$4:$G$1689,'апрель 2024'!$D$4:$D$1689,$B51,'апрель 2024'!$J$4:$J$1689,D$1)</f>
        <v>350</v>
      </c>
      <c r="E51" s="80">
        <f>SUMIFS('апрель 2024'!$G$4:$G$1689,'апрель 2024'!$D$4:$D$1689,$B51,'апрель 2024'!$J$4:$J$1689,E$1)</f>
        <v>0</v>
      </c>
      <c r="F51" s="80">
        <f>SUMIFS('апрель 2024'!$G$4:$G$1689,'апрель 2024'!$D$4:$D$1689,$B51,'апрель 2024'!$J$4:$J$1689,F$1)</f>
        <v>0</v>
      </c>
      <c r="G51" s="80">
        <f>SUMIFS('апрель 2024'!$G$4:$G$1689,'апрель 2024'!$D$4:$D$1689,$B51,'апрель 2024'!$J$4:$J$1689,G$1)</f>
        <v>0</v>
      </c>
      <c r="H51" s="80">
        <f>SUMIFS('апрель 2024'!$G$4:$G$1689,'апрель 2024'!$D$4:$D$1689,$B51,'апрель 2024'!$J$4:$J$1689,H$1)</f>
        <v>0</v>
      </c>
      <c r="I51" s="80">
        <f>SUMIFS('апрель 2024'!$G$4:$G$1689,'апрель 2024'!$D$4:$D$1689,$B51,'апрель 2024'!$J$4:$J$1689,I$1)</f>
        <v>0</v>
      </c>
      <c r="J51" s="80">
        <f>SUMIFS('апрель 2024'!$G$4:$G$1689,'апрель 2024'!$D$4:$D$1689,$B51,'апрель 2024'!$J$4:$J$1689,J$1)</f>
        <v>0</v>
      </c>
      <c r="K51" s="80">
        <f>SUMIFS('апрель 2024'!$G$4:$G$1689,'апрель 2024'!$D$4:$D$1689,$B51,'апрель 2024'!$J$4:$J$1689,K$1)</f>
        <v>0</v>
      </c>
      <c r="L51" s="80">
        <f>SUMIFS('апрель 2024'!$G$4:$G$1689,'апрель 2024'!$D$4:$D$1689,$B51,'апрель 2024'!$J$4:$J$1689,L$1)</f>
        <v>0</v>
      </c>
      <c r="M51" s="80">
        <f>SUMIFS('апрель 2024'!$G$4:$G$1689,'апрель 2024'!$D$4:$D$1689,$B51,'апрель 2024'!$J$4:$J$1689,M$1)</f>
        <v>0</v>
      </c>
      <c r="N51" s="80">
        <f>SUMIFS('апрель 2024'!$G$4:$G$1689,'апрель 2024'!$D$4:$D$1689,$B51,'апрель 2024'!$J$4:$J$1689,N$1)</f>
        <v>0</v>
      </c>
      <c r="O51" s="80">
        <f>SUMIFS('апрель 2024'!$G$4:$G$1689,'апрель 2024'!$D$4:$D$1689,$B51,'апрель 2024'!$J$4:$J$1689,O$1)</f>
        <v>0</v>
      </c>
      <c r="P51" s="80">
        <f>SUMIFS('апрель 2024'!$G$4:$G$1689,'апрель 2024'!$D$4:$D$1689,$B51,'апрель 2024'!$J$4:$J$1689,P$1)</f>
        <v>0</v>
      </c>
      <c r="Q51" s="80">
        <f>SUMIFS('апрель 2024'!$G$4:$G$1689,'апрель 2024'!$D$4:$D$1689,$B51,'апрель 2024'!$J$4:$J$1689,Q$1)</f>
        <v>0</v>
      </c>
      <c r="R51" s="80">
        <f>SUMIFS('апрель 2024'!$G$4:$G$1689,'апрель 2024'!$D$4:$D$1689,$B51,'апрель 2024'!$J$4:$J$1689,R$1)</f>
        <v>0</v>
      </c>
      <c r="S51" s="80">
        <f>SUMIFS('апрель 2024'!$G$4:$G$1689,'апрель 2024'!$D$4:$D$1689,$B51,'апрель 2024'!$J$4:$J$1689,S$1)</f>
        <v>0</v>
      </c>
      <c r="T51" s="80">
        <f>SUMIFS('апрель 2024'!$G$4:$G$1689,'апрель 2024'!$D$4:$D$1689,$B51,'апрель 2024'!$J$4:$J$1689,T$1)</f>
        <v>0</v>
      </c>
      <c r="U51" s="80">
        <f>SUMIFS('апрель 2024'!$G$4:$G$1689,'апрель 2024'!$D$4:$D$1689,$B51,'апрель 2024'!$J$4:$J$1689,U$1)</f>
        <v>0</v>
      </c>
      <c r="V51" s="80">
        <f>SUMIFS('апрель 2024'!$G$4:$G$1689,'апрель 2024'!$D$4:$D$1689,$B51,'апрель 2024'!$J$4:$J$1689,V$1)</f>
        <v>0</v>
      </c>
      <c r="W51" s="80">
        <f>SUMIFS('апрель 2024'!$G$4:$G$1689,'апрель 2024'!$D$4:$D$1689,$B51,'апрель 2024'!$J$4:$J$1689,W$1)</f>
        <v>0</v>
      </c>
      <c r="X51" s="80">
        <f>SUMIFS('апрель 2024'!$G$4:$G$1689,'апрель 2024'!$D$4:$D$1689,$B51,'апрель 2024'!$J$4:$J$1689,X$1)</f>
        <v>0</v>
      </c>
      <c r="Y51" s="80">
        <f>SUMIFS('апрель 2024'!$G$4:$G$1689,'апрель 2024'!$D$4:$D$1689,$B51,'апрель 2024'!$J$4:$J$1689,Y$1)</f>
        <v>0</v>
      </c>
      <c r="Z51" s="80">
        <f>SUMIFS('апрель 2024'!$G$4:$G$1689,'апрель 2024'!$D$4:$D$1689,$B51,'апрель 2024'!$J$4:$J$1689,Z$1)</f>
        <v>0</v>
      </c>
      <c r="AA51" s="80">
        <f>SUMIFS('апрель 2024'!$G$4:$G$1689,'апрель 2024'!$D$4:$D$1689,$B51,'апрель 2024'!$J$4:$J$1689,AA$1)</f>
        <v>0</v>
      </c>
      <c r="AB51" s="80">
        <f>SUMIFS('апрель 2024'!$G$4:$G$1689,'апрель 2024'!$D$4:$D$1689,$B51,'апрель 2024'!$J$4:$J$1689,AB$1)</f>
        <v>0</v>
      </c>
      <c r="AC51" s="80">
        <f>SUMIFS('апрель 2024'!$G$4:$G$1689,'апрель 2024'!$D$4:$D$1689,$B51,'апрель 2024'!$J$4:$J$1689,AC$1)</f>
        <v>0</v>
      </c>
      <c r="AD51" s="80">
        <f>SUMIFS('апрель 2024'!$G$4:$G$1689,'апрель 2024'!$D$4:$D$1689,$B51,'апрель 2024'!$J$4:$J$1689,AD$1)</f>
        <v>0</v>
      </c>
      <c r="AE51" s="80">
        <f>SUMIFS('апрель 2024'!$G$4:$G$1689,'апрель 2024'!$D$4:$D$1689,$B51,'апрель 2024'!$J$4:$J$1689,AE$1)</f>
        <v>0</v>
      </c>
      <c r="AF51" s="80">
        <f>SUMIFS('апрель 2024'!$G$4:$G$1689,'апрель 2024'!$D$4:$D$1689,$B51,'апрель 2024'!$J$4:$J$1689,AF$1)</f>
        <v>0</v>
      </c>
      <c r="AG51" s="80">
        <f>SUMIFS('апрель 2024'!$G$4:$G$1689,'апрель 2024'!$D$4:$D$1689,$B51,'апрель 2024'!$J$4:$J$1689,AG$1)</f>
        <v>0</v>
      </c>
      <c r="AH51" s="80">
        <f>SUMIFS('апрель 2024'!$G$4:$G$1689,'апрель 2024'!$D$4:$D$1689,$B51,'апрель 2024'!$J$4:$J$1689,AH$1)</f>
        <v>0</v>
      </c>
      <c r="AI51" s="21">
        <f t="shared" si="1"/>
        <v>350</v>
      </c>
    </row>
    <row r="52" spans="2:35" ht="15" customHeight="1" x14ac:dyDescent="0.25">
      <c r="B52" s="146" t="s">
        <v>317</v>
      </c>
      <c r="C52" s="151">
        <v>20</v>
      </c>
      <c r="D52" s="80">
        <f>SUMIFS('апрель 2024'!$G$4:$G$1689,'апрель 2024'!$D$4:$D$1689,$B52,'апрель 2024'!$J$4:$J$1689,D$1)</f>
        <v>0</v>
      </c>
      <c r="E52" s="80">
        <f>SUMIFS('апрель 2024'!$G$4:$G$1689,'апрель 2024'!$D$4:$D$1689,$B52,'апрель 2024'!$J$4:$J$1689,E$1)</f>
        <v>0</v>
      </c>
      <c r="F52" s="80">
        <f>SUMIFS('апрель 2024'!$G$4:$G$1689,'апрель 2024'!$D$4:$D$1689,$B52,'апрель 2024'!$J$4:$J$1689,F$1)</f>
        <v>0</v>
      </c>
      <c r="G52" s="80">
        <f>SUMIFS('апрель 2024'!$G$4:$G$1689,'апрель 2024'!$D$4:$D$1689,$B52,'апрель 2024'!$J$4:$J$1689,G$1)</f>
        <v>0</v>
      </c>
      <c r="H52" s="80">
        <f>SUMIFS('апрель 2024'!$G$4:$G$1689,'апрель 2024'!$D$4:$D$1689,$B52,'апрель 2024'!$J$4:$J$1689,H$1)</f>
        <v>0</v>
      </c>
      <c r="I52" s="80">
        <f>SUMIFS('апрель 2024'!$G$4:$G$1689,'апрель 2024'!$D$4:$D$1689,$B52,'апрель 2024'!$J$4:$J$1689,I$1)</f>
        <v>0</v>
      </c>
      <c r="J52" s="80">
        <f>SUMIFS('апрель 2024'!$G$4:$G$1689,'апрель 2024'!$D$4:$D$1689,$B52,'апрель 2024'!$J$4:$J$1689,J$1)</f>
        <v>0</v>
      </c>
      <c r="K52" s="80">
        <f>SUMIFS('апрель 2024'!$G$4:$G$1689,'апрель 2024'!$D$4:$D$1689,$B52,'апрель 2024'!$J$4:$J$1689,K$1)</f>
        <v>0</v>
      </c>
      <c r="L52" s="80">
        <f>SUMIFS('апрель 2024'!$G$4:$G$1689,'апрель 2024'!$D$4:$D$1689,$B52,'апрель 2024'!$J$4:$J$1689,L$1)</f>
        <v>0</v>
      </c>
      <c r="M52" s="80">
        <f>SUMIFS('апрель 2024'!$G$4:$G$1689,'апрель 2024'!$D$4:$D$1689,$B52,'апрель 2024'!$J$4:$J$1689,M$1)</f>
        <v>0</v>
      </c>
      <c r="N52" s="80">
        <f>SUMIFS('апрель 2024'!$G$4:$G$1689,'апрель 2024'!$D$4:$D$1689,$B52,'апрель 2024'!$J$4:$J$1689,N$1)</f>
        <v>0</v>
      </c>
      <c r="O52" s="80">
        <f>SUMIFS('апрель 2024'!$G$4:$G$1689,'апрель 2024'!$D$4:$D$1689,$B52,'апрель 2024'!$J$4:$J$1689,O$1)</f>
        <v>0</v>
      </c>
      <c r="P52" s="80">
        <f>SUMIFS('апрель 2024'!$G$4:$G$1689,'апрель 2024'!$D$4:$D$1689,$B52,'апрель 2024'!$J$4:$J$1689,P$1)</f>
        <v>0</v>
      </c>
      <c r="Q52" s="80">
        <f>SUMIFS('апрель 2024'!$G$4:$G$1689,'апрель 2024'!$D$4:$D$1689,$B52,'апрель 2024'!$J$4:$J$1689,Q$1)</f>
        <v>0</v>
      </c>
      <c r="R52" s="80">
        <f>SUMIFS('апрель 2024'!$G$4:$G$1689,'апрель 2024'!$D$4:$D$1689,$B52,'апрель 2024'!$J$4:$J$1689,R$1)</f>
        <v>0</v>
      </c>
      <c r="S52" s="80">
        <f>SUMIFS('апрель 2024'!$G$4:$G$1689,'апрель 2024'!$D$4:$D$1689,$B52,'апрель 2024'!$J$4:$J$1689,S$1)</f>
        <v>0</v>
      </c>
      <c r="T52" s="80">
        <f>SUMIFS('апрель 2024'!$G$4:$G$1689,'апрель 2024'!$D$4:$D$1689,$B52,'апрель 2024'!$J$4:$J$1689,T$1)</f>
        <v>0</v>
      </c>
      <c r="U52" s="80">
        <f>SUMIFS('апрель 2024'!$G$4:$G$1689,'апрель 2024'!$D$4:$D$1689,$B52,'апрель 2024'!$J$4:$J$1689,U$1)</f>
        <v>0</v>
      </c>
      <c r="V52" s="80">
        <f>SUMIFS('апрель 2024'!$G$4:$G$1689,'апрель 2024'!$D$4:$D$1689,$B52,'апрель 2024'!$J$4:$J$1689,V$1)</f>
        <v>0</v>
      </c>
      <c r="W52" s="80">
        <f>SUMIFS('апрель 2024'!$G$4:$G$1689,'апрель 2024'!$D$4:$D$1689,$B52,'апрель 2024'!$J$4:$J$1689,W$1)</f>
        <v>0</v>
      </c>
      <c r="X52" s="80">
        <f>SUMIFS('апрель 2024'!$G$4:$G$1689,'апрель 2024'!$D$4:$D$1689,$B52,'апрель 2024'!$J$4:$J$1689,X$1)</f>
        <v>0</v>
      </c>
      <c r="Y52" s="80">
        <f>SUMIFS('апрель 2024'!$G$4:$G$1689,'апрель 2024'!$D$4:$D$1689,$B52,'апрель 2024'!$J$4:$J$1689,Y$1)</f>
        <v>0</v>
      </c>
      <c r="Z52" s="80">
        <f>SUMIFS('апрель 2024'!$G$4:$G$1689,'апрель 2024'!$D$4:$D$1689,$B52,'апрель 2024'!$J$4:$J$1689,Z$1)</f>
        <v>0</v>
      </c>
      <c r="AA52" s="80">
        <f>SUMIFS('апрель 2024'!$G$4:$G$1689,'апрель 2024'!$D$4:$D$1689,$B52,'апрель 2024'!$J$4:$J$1689,AA$1)</f>
        <v>0</v>
      </c>
      <c r="AB52" s="80">
        <f>SUMIFS('апрель 2024'!$G$4:$G$1689,'апрель 2024'!$D$4:$D$1689,$B52,'апрель 2024'!$J$4:$J$1689,AB$1)</f>
        <v>0</v>
      </c>
      <c r="AC52" s="80">
        <f>SUMIFS('апрель 2024'!$G$4:$G$1689,'апрель 2024'!$D$4:$D$1689,$B52,'апрель 2024'!$J$4:$J$1689,AC$1)</f>
        <v>0</v>
      </c>
      <c r="AD52" s="80">
        <f>SUMIFS('апрель 2024'!$G$4:$G$1689,'апрель 2024'!$D$4:$D$1689,$B52,'апрель 2024'!$J$4:$J$1689,AD$1)</f>
        <v>0</v>
      </c>
      <c r="AE52" s="80">
        <f>SUMIFS('апрель 2024'!$G$4:$G$1689,'апрель 2024'!$D$4:$D$1689,$B52,'апрель 2024'!$J$4:$J$1689,AE$1)</f>
        <v>0</v>
      </c>
      <c r="AF52" s="80">
        <f>SUMIFS('апрель 2024'!$G$4:$G$1689,'апрель 2024'!$D$4:$D$1689,$B52,'апрель 2024'!$J$4:$J$1689,AF$1)</f>
        <v>0</v>
      </c>
      <c r="AG52" s="80">
        <f>SUMIFS('апрель 2024'!$G$4:$G$1689,'апрель 2024'!$D$4:$D$1689,$B52,'апрель 2024'!$J$4:$J$1689,AG$1)</f>
        <v>0</v>
      </c>
      <c r="AH52" s="80">
        <f>SUMIFS('апрель 2024'!$G$4:$G$1689,'апрель 2024'!$D$4:$D$1689,$B52,'апрель 2024'!$J$4:$J$1689,AH$1)</f>
        <v>0</v>
      </c>
      <c r="AI52" s="21">
        <f t="shared" si="1"/>
        <v>0</v>
      </c>
    </row>
    <row r="53" spans="2:35" ht="15" customHeight="1" x14ac:dyDescent="0.25">
      <c r="B53" s="150" t="s">
        <v>318</v>
      </c>
      <c r="C53" s="151">
        <v>20</v>
      </c>
      <c r="D53" s="80">
        <f>SUMIFS('апрель 2024'!$G$4:$G$1689,'апрель 2024'!$D$4:$D$1689,$B53,'апрель 2024'!$J$4:$J$1689,D$1)</f>
        <v>0</v>
      </c>
      <c r="E53" s="80">
        <f>SUMIFS('апрель 2024'!$G$4:$G$1689,'апрель 2024'!$D$4:$D$1689,$B53,'апрель 2024'!$J$4:$J$1689,E$1)</f>
        <v>0</v>
      </c>
      <c r="F53" s="80">
        <f>SUMIFS('апрель 2024'!$G$4:$G$1689,'апрель 2024'!$D$4:$D$1689,$B53,'апрель 2024'!$J$4:$J$1689,F$1)</f>
        <v>0</v>
      </c>
      <c r="G53" s="80">
        <f>SUMIFS('апрель 2024'!$G$4:$G$1689,'апрель 2024'!$D$4:$D$1689,$B53,'апрель 2024'!$J$4:$J$1689,G$1)</f>
        <v>0</v>
      </c>
      <c r="H53" s="80">
        <f>SUMIFS('апрель 2024'!$G$4:$G$1689,'апрель 2024'!$D$4:$D$1689,$B53,'апрель 2024'!$J$4:$J$1689,H$1)</f>
        <v>0</v>
      </c>
      <c r="I53" s="80">
        <f>SUMIFS('апрель 2024'!$G$4:$G$1689,'апрель 2024'!$D$4:$D$1689,$B53,'апрель 2024'!$J$4:$J$1689,I$1)</f>
        <v>0</v>
      </c>
      <c r="J53" s="80">
        <f>SUMIFS('апрель 2024'!$G$4:$G$1689,'апрель 2024'!$D$4:$D$1689,$B53,'апрель 2024'!$J$4:$J$1689,J$1)</f>
        <v>0</v>
      </c>
      <c r="K53" s="80">
        <f>SUMIFS('апрель 2024'!$G$4:$G$1689,'апрель 2024'!$D$4:$D$1689,$B53,'апрель 2024'!$J$4:$J$1689,K$1)</f>
        <v>0</v>
      </c>
      <c r="L53" s="80">
        <f>SUMIFS('апрель 2024'!$G$4:$G$1689,'апрель 2024'!$D$4:$D$1689,$B53,'апрель 2024'!$J$4:$J$1689,L$1)</f>
        <v>0</v>
      </c>
      <c r="M53" s="80">
        <f>SUMIFS('апрель 2024'!$G$4:$G$1689,'апрель 2024'!$D$4:$D$1689,$B53,'апрель 2024'!$J$4:$J$1689,M$1)</f>
        <v>0</v>
      </c>
      <c r="N53" s="80">
        <f>SUMIFS('апрель 2024'!$G$4:$G$1689,'апрель 2024'!$D$4:$D$1689,$B53,'апрель 2024'!$J$4:$J$1689,N$1)</f>
        <v>0</v>
      </c>
      <c r="O53" s="80">
        <f>SUMIFS('апрель 2024'!$G$4:$G$1689,'апрель 2024'!$D$4:$D$1689,$B53,'апрель 2024'!$J$4:$J$1689,O$1)</f>
        <v>0</v>
      </c>
      <c r="P53" s="80">
        <f>SUMIFS('апрель 2024'!$G$4:$G$1689,'апрель 2024'!$D$4:$D$1689,$B53,'апрель 2024'!$J$4:$J$1689,P$1)</f>
        <v>0</v>
      </c>
      <c r="Q53" s="80">
        <f>SUMIFS('апрель 2024'!$G$4:$G$1689,'апрель 2024'!$D$4:$D$1689,$B53,'апрель 2024'!$J$4:$J$1689,Q$1)</f>
        <v>0</v>
      </c>
      <c r="R53" s="80">
        <f>SUMIFS('апрель 2024'!$G$4:$G$1689,'апрель 2024'!$D$4:$D$1689,$B53,'апрель 2024'!$J$4:$J$1689,R$1)</f>
        <v>0</v>
      </c>
      <c r="S53" s="80">
        <f>SUMIFS('апрель 2024'!$G$4:$G$1689,'апрель 2024'!$D$4:$D$1689,$B53,'апрель 2024'!$J$4:$J$1689,S$1)</f>
        <v>0</v>
      </c>
      <c r="T53" s="80">
        <f>SUMIFS('апрель 2024'!$G$4:$G$1689,'апрель 2024'!$D$4:$D$1689,$B53,'апрель 2024'!$J$4:$J$1689,T$1)</f>
        <v>0</v>
      </c>
      <c r="U53" s="80">
        <f>SUMIFS('апрель 2024'!$G$4:$G$1689,'апрель 2024'!$D$4:$D$1689,$B53,'апрель 2024'!$J$4:$J$1689,U$1)</f>
        <v>0</v>
      </c>
      <c r="V53" s="80">
        <f>SUMIFS('апрель 2024'!$G$4:$G$1689,'апрель 2024'!$D$4:$D$1689,$B53,'апрель 2024'!$J$4:$J$1689,V$1)</f>
        <v>0</v>
      </c>
      <c r="W53" s="80">
        <f>SUMIFS('апрель 2024'!$G$4:$G$1689,'апрель 2024'!$D$4:$D$1689,$B53,'апрель 2024'!$J$4:$J$1689,W$1)</f>
        <v>0</v>
      </c>
      <c r="X53" s="80">
        <f>SUMIFS('апрель 2024'!$G$4:$G$1689,'апрель 2024'!$D$4:$D$1689,$B53,'апрель 2024'!$J$4:$J$1689,X$1)</f>
        <v>0</v>
      </c>
      <c r="Y53" s="80">
        <f>SUMIFS('апрель 2024'!$G$4:$G$1689,'апрель 2024'!$D$4:$D$1689,$B53,'апрель 2024'!$J$4:$J$1689,Y$1)</f>
        <v>0</v>
      </c>
      <c r="Z53" s="80">
        <f>SUMIFS('апрель 2024'!$G$4:$G$1689,'апрель 2024'!$D$4:$D$1689,$B53,'апрель 2024'!$J$4:$J$1689,Z$1)</f>
        <v>0</v>
      </c>
      <c r="AA53" s="80">
        <f>SUMIFS('апрель 2024'!$G$4:$G$1689,'апрель 2024'!$D$4:$D$1689,$B53,'апрель 2024'!$J$4:$J$1689,AA$1)</f>
        <v>0</v>
      </c>
      <c r="AB53" s="80">
        <f>SUMIFS('апрель 2024'!$G$4:$G$1689,'апрель 2024'!$D$4:$D$1689,$B53,'апрель 2024'!$J$4:$J$1689,AB$1)</f>
        <v>0</v>
      </c>
      <c r="AC53" s="80">
        <f>SUMIFS('апрель 2024'!$G$4:$G$1689,'апрель 2024'!$D$4:$D$1689,$B53,'апрель 2024'!$J$4:$J$1689,AC$1)</f>
        <v>0</v>
      </c>
      <c r="AD53" s="80">
        <f>SUMIFS('апрель 2024'!$G$4:$G$1689,'апрель 2024'!$D$4:$D$1689,$B53,'апрель 2024'!$J$4:$J$1689,AD$1)</f>
        <v>0</v>
      </c>
      <c r="AE53" s="80">
        <f>SUMIFS('апрель 2024'!$G$4:$G$1689,'апрель 2024'!$D$4:$D$1689,$B53,'апрель 2024'!$J$4:$J$1689,AE$1)</f>
        <v>0</v>
      </c>
      <c r="AF53" s="80">
        <f>SUMIFS('апрель 2024'!$G$4:$G$1689,'апрель 2024'!$D$4:$D$1689,$B53,'апрель 2024'!$J$4:$J$1689,AF$1)</f>
        <v>0</v>
      </c>
      <c r="AG53" s="80">
        <f>SUMIFS('апрель 2024'!$G$4:$G$1689,'апрель 2024'!$D$4:$D$1689,$B53,'апрель 2024'!$J$4:$J$1689,AG$1)</f>
        <v>0</v>
      </c>
      <c r="AH53" s="80">
        <f>SUMIFS('апрель 2024'!$G$4:$G$1689,'апрель 2024'!$D$4:$D$1689,$B53,'апрель 2024'!$J$4:$J$1689,AH$1)</f>
        <v>0</v>
      </c>
      <c r="AI53" s="21">
        <f t="shared" si="1"/>
        <v>0</v>
      </c>
    </row>
    <row r="54" spans="2:35" ht="15" customHeight="1" x14ac:dyDescent="0.25">
      <c r="B54" s="150" t="s">
        <v>319</v>
      </c>
      <c r="C54" s="151">
        <v>20</v>
      </c>
      <c r="D54" s="80">
        <f>SUMIFS('апрель 2024'!$G$4:$G$1689,'апрель 2024'!$D$4:$D$1689,$B54,'апрель 2024'!$J$4:$J$1689,D$1)</f>
        <v>0</v>
      </c>
      <c r="E54" s="80">
        <f>SUMIFS('апрель 2024'!$G$4:$G$1689,'апрель 2024'!$D$4:$D$1689,$B54,'апрель 2024'!$J$4:$J$1689,E$1)</f>
        <v>0</v>
      </c>
      <c r="F54" s="80">
        <f>SUMIFS('апрель 2024'!$G$4:$G$1689,'апрель 2024'!$D$4:$D$1689,$B54,'апрель 2024'!$J$4:$J$1689,F$1)</f>
        <v>0</v>
      </c>
      <c r="G54" s="80">
        <f>SUMIFS('апрель 2024'!$G$4:$G$1689,'апрель 2024'!$D$4:$D$1689,$B54,'апрель 2024'!$J$4:$J$1689,G$1)</f>
        <v>0</v>
      </c>
      <c r="H54" s="80">
        <f>SUMIFS('апрель 2024'!$G$4:$G$1689,'апрель 2024'!$D$4:$D$1689,$B54,'апрель 2024'!$J$4:$J$1689,H$1)</f>
        <v>0</v>
      </c>
      <c r="I54" s="80">
        <f>SUMIFS('апрель 2024'!$G$4:$G$1689,'апрель 2024'!$D$4:$D$1689,$B54,'апрель 2024'!$J$4:$J$1689,I$1)</f>
        <v>0</v>
      </c>
      <c r="J54" s="80">
        <f>SUMIFS('апрель 2024'!$G$4:$G$1689,'апрель 2024'!$D$4:$D$1689,$B54,'апрель 2024'!$J$4:$J$1689,J$1)</f>
        <v>0</v>
      </c>
      <c r="K54" s="80">
        <f>SUMIFS('апрель 2024'!$G$4:$G$1689,'апрель 2024'!$D$4:$D$1689,$B54,'апрель 2024'!$J$4:$J$1689,K$1)</f>
        <v>0</v>
      </c>
      <c r="L54" s="80">
        <f>SUMIFS('апрель 2024'!$G$4:$G$1689,'апрель 2024'!$D$4:$D$1689,$B54,'апрель 2024'!$J$4:$J$1689,L$1)</f>
        <v>0</v>
      </c>
      <c r="M54" s="80">
        <f>SUMIFS('апрель 2024'!$G$4:$G$1689,'апрель 2024'!$D$4:$D$1689,$B54,'апрель 2024'!$J$4:$J$1689,M$1)</f>
        <v>0</v>
      </c>
      <c r="N54" s="80">
        <f>SUMIFS('апрель 2024'!$G$4:$G$1689,'апрель 2024'!$D$4:$D$1689,$B54,'апрель 2024'!$J$4:$J$1689,N$1)</f>
        <v>0</v>
      </c>
      <c r="O54" s="80">
        <f>SUMIFS('апрель 2024'!$G$4:$G$1689,'апрель 2024'!$D$4:$D$1689,$B54,'апрель 2024'!$J$4:$J$1689,O$1)</f>
        <v>0</v>
      </c>
      <c r="P54" s="80">
        <f>SUMIFS('апрель 2024'!$G$4:$G$1689,'апрель 2024'!$D$4:$D$1689,$B54,'апрель 2024'!$J$4:$J$1689,P$1)</f>
        <v>0</v>
      </c>
      <c r="Q54" s="80">
        <f>SUMIFS('апрель 2024'!$G$4:$G$1689,'апрель 2024'!$D$4:$D$1689,$B54,'апрель 2024'!$J$4:$J$1689,Q$1)</f>
        <v>0</v>
      </c>
      <c r="R54" s="80">
        <f>SUMIFS('апрель 2024'!$G$4:$G$1689,'апрель 2024'!$D$4:$D$1689,$B54,'апрель 2024'!$J$4:$J$1689,R$1)</f>
        <v>0</v>
      </c>
      <c r="S54" s="80">
        <f>SUMIFS('апрель 2024'!$G$4:$G$1689,'апрель 2024'!$D$4:$D$1689,$B54,'апрель 2024'!$J$4:$J$1689,S$1)</f>
        <v>0</v>
      </c>
      <c r="T54" s="80">
        <f>SUMIFS('апрель 2024'!$G$4:$G$1689,'апрель 2024'!$D$4:$D$1689,$B54,'апрель 2024'!$J$4:$J$1689,T$1)</f>
        <v>0</v>
      </c>
      <c r="U54" s="80">
        <f>SUMIFS('апрель 2024'!$G$4:$G$1689,'апрель 2024'!$D$4:$D$1689,$B54,'апрель 2024'!$J$4:$J$1689,U$1)</f>
        <v>0</v>
      </c>
      <c r="V54" s="80">
        <f>SUMIFS('апрель 2024'!$G$4:$G$1689,'апрель 2024'!$D$4:$D$1689,$B54,'апрель 2024'!$J$4:$J$1689,V$1)</f>
        <v>0</v>
      </c>
      <c r="W54" s="80">
        <f>SUMIFS('апрель 2024'!$G$4:$G$1689,'апрель 2024'!$D$4:$D$1689,$B54,'апрель 2024'!$J$4:$J$1689,W$1)</f>
        <v>0</v>
      </c>
      <c r="X54" s="80">
        <f>SUMIFS('апрель 2024'!$G$4:$G$1689,'апрель 2024'!$D$4:$D$1689,$B54,'апрель 2024'!$J$4:$J$1689,X$1)</f>
        <v>0</v>
      </c>
      <c r="Y54" s="80">
        <f>SUMIFS('апрель 2024'!$G$4:$G$1689,'апрель 2024'!$D$4:$D$1689,$B54,'апрель 2024'!$J$4:$J$1689,Y$1)</f>
        <v>0</v>
      </c>
      <c r="Z54" s="80">
        <f>SUMIFS('апрель 2024'!$G$4:$G$1689,'апрель 2024'!$D$4:$D$1689,$B54,'апрель 2024'!$J$4:$J$1689,Z$1)</f>
        <v>0</v>
      </c>
      <c r="AA54" s="80">
        <f>SUMIFS('апрель 2024'!$G$4:$G$1689,'апрель 2024'!$D$4:$D$1689,$B54,'апрель 2024'!$J$4:$J$1689,AA$1)</f>
        <v>0</v>
      </c>
      <c r="AB54" s="80">
        <f>SUMIFS('апрель 2024'!$G$4:$G$1689,'апрель 2024'!$D$4:$D$1689,$B54,'апрель 2024'!$J$4:$J$1689,AB$1)</f>
        <v>0</v>
      </c>
      <c r="AC54" s="80">
        <f>SUMIFS('апрель 2024'!$G$4:$G$1689,'апрель 2024'!$D$4:$D$1689,$B54,'апрель 2024'!$J$4:$J$1689,AC$1)</f>
        <v>0</v>
      </c>
      <c r="AD54" s="80">
        <f>SUMIFS('апрель 2024'!$G$4:$G$1689,'апрель 2024'!$D$4:$D$1689,$B54,'апрель 2024'!$J$4:$J$1689,AD$1)</f>
        <v>0</v>
      </c>
      <c r="AE54" s="80">
        <f>SUMIFS('апрель 2024'!$G$4:$G$1689,'апрель 2024'!$D$4:$D$1689,$B54,'апрель 2024'!$J$4:$J$1689,AE$1)</f>
        <v>0</v>
      </c>
      <c r="AF54" s="80">
        <f>SUMIFS('апрель 2024'!$G$4:$G$1689,'апрель 2024'!$D$4:$D$1689,$B54,'апрель 2024'!$J$4:$J$1689,AF$1)</f>
        <v>0</v>
      </c>
      <c r="AG54" s="80">
        <f>SUMIFS('апрель 2024'!$G$4:$G$1689,'апрель 2024'!$D$4:$D$1689,$B54,'апрель 2024'!$J$4:$J$1689,AG$1)</f>
        <v>0</v>
      </c>
      <c r="AH54" s="80">
        <f>SUMIFS('апрель 2024'!$G$4:$G$1689,'апрель 2024'!$D$4:$D$1689,$B54,'апрель 2024'!$J$4:$J$1689,AH$1)</f>
        <v>0</v>
      </c>
      <c r="AI54" s="21">
        <f t="shared" si="1"/>
        <v>0</v>
      </c>
    </row>
    <row r="55" spans="2:35" ht="15" customHeight="1" x14ac:dyDescent="0.25">
      <c r="B55" s="150"/>
      <c r="C55" s="151"/>
      <c r="D55" s="80">
        <f>SUMIFS('апрель 2024'!$G$4:$G$1689,'апрель 2024'!$D$4:$D$1689,$B55,'апрель 2024'!$J$4:$J$1689,D$1)</f>
        <v>0</v>
      </c>
      <c r="E55" s="80">
        <f>SUMIFS('апрель 2024'!$G$4:$G$1689,'апрель 2024'!$D$4:$D$1689,$B55,'апрель 2024'!$J$4:$J$1689,E$1)</f>
        <v>0</v>
      </c>
      <c r="F55" s="80">
        <f>SUMIFS('апрель 2024'!$G$4:$G$1689,'апрель 2024'!$D$4:$D$1689,$B55,'апрель 2024'!$J$4:$J$1689,F$1)</f>
        <v>0</v>
      </c>
      <c r="G55" s="80">
        <f>SUMIFS('апрель 2024'!$G$4:$G$1689,'апрель 2024'!$D$4:$D$1689,$B55,'апрель 2024'!$J$4:$J$1689,G$1)</f>
        <v>0</v>
      </c>
      <c r="H55" s="80">
        <f>SUMIFS('апрель 2024'!$G$4:$G$1689,'апрель 2024'!$D$4:$D$1689,$B55,'апрель 2024'!$J$4:$J$1689,H$1)</f>
        <v>0</v>
      </c>
      <c r="I55" s="80">
        <f>SUMIFS('апрель 2024'!$G$4:$G$1689,'апрель 2024'!$D$4:$D$1689,$B55,'апрель 2024'!$J$4:$J$1689,I$1)</f>
        <v>0</v>
      </c>
      <c r="J55" s="80">
        <f>SUMIFS('апрель 2024'!$G$4:$G$1689,'апрель 2024'!$D$4:$D$1689,$B55,'апрель 2024'!$J$4:$J$1689,J$1)</f>
        <v>0</v>
      </c>
      <c r="K55" s="80">
        <f>SUMIFS('апрель 2024'!$G$4:$G$1689,'апрель 2024'!$D$4:$D$1689,$B55,'апрель 2024'!$J$4:$J$1689,K$1)</f>
        <v>0</v>
      </c>
      <c r="L55" s="80">
        <f>SUMIFS('апрель 2024'!$G$4:$G$1689,'апрель 2024'!$D$4:$D$1689,$B55,'апрель 2024'!$J$4:$J$1689,L$1)</f>
        <v>0</v>
      </c>
      <c r="M55" s="80">
        <f>SUMIFS('апрель 2024'!$G$4:$G$1689,'апрель 2024'!$D$4:$D$1689,$B55,'апрель 2024'!$J$4:$J$1689,M$1)</f>
        <v>0</v>
      </c>
      <c r="N55" s="80">
        <f>SUMIFS('апрель 2024'!$G$4:$G$1689,'апрель 2024'!$D$4:$D$1689,$B55,'апрель 2024'!$J$4:$J$1689,N$1)</f>
        <v>0</v>
      </c>
      <c r="O55" s="80">
        <f>SUMIFS('апрель 2024'!$G$4:$G$1689,'апрель 2024'!$D$4:$D$1689,$B55,'апрель 2024'!$J$4:$J$1689,O$1)</f>
        <v>0</v>
      </c>
      <c r="P55" s="80">
        <f>SUMIFS('апрель 2024'!$G$4:$G$1689,'апрель 2024'!$D$4:$D$1689,$B55,'апрель 2024'!$J$4:$J$1689,P$1)</f>
        <v>0</v>
      </c>
      <c r="Q55" s="80">
        <f>SUMIFS('апрель 2024'!$G$4:$G$1689,'апрель 2024'!$D$4:$D$1689,$B55,'апрель 2024'!$J$4:$J$1689,Q$1)</f>
        <v>0</v>
      </c>
      <c r="R55" s="80">
        <f>SUMIFS('апрель 2024'!$G$4:$G$1689,'апрель 2024'!$D$4:$D$1689,$B55,'апрель 2024'!$J$4:$J$1689,R$1)</f>
        <v>0</v>
      </c>
      <c r="S55" s="80">
        <f>SUMIFS('апрель 2024'!$G$4:$G$1689,'апрель 2024'!$D$4:$D$1689,$B55,'апрель 2024'!$J$4:$J$1689,S$1)</f>
        <v>0</v>
      </c>
      <c r="T55" s="80">
        <f>SUMIFS('апрель 2024'!$G$4:$G$1689,'апрель 2024'!$D$4:$D$1689,$B55,'апрель 2024'!$J$4:$J$1689,T$1)</f>
        <v>0</v>
      </c>
      <c r="U55" s="80">
        <f>SUMIFS('апрель 2024'!$G$4:$G$1689,'апрель 2024'!$D$4:$D$1689,$B55,'апрель 2024'!$J$4:$J$1689,U$1)</f>
        <v>0</v>
      </c>
      <c r="V55" s="80">
        <f>SUMIFS('апрель 2024'!$G$4:$G$1689,'апрель 2024'!$D$4:$D$1689,$B55,'апрель 2024'!$J$4:$J$1689,V$1)</f>
        <v>0</v>
      </c>
      <c r="W55" s="80">
        <f>SUMIFS('апрель 2024'!$G$4:$G$1689,'апрель 2024'!$D$4:$D$1689,$B55,'апрель 2024'!$J$4:$J$1689,W$1)</f>
        <v>0</v>
      </c>
      <c r="X55" s="80">
        <f>SUMIFS('апрель 2024'!$G$4:$G$1689,'апрель 2024'!$D$4:$D$1689,$B55,'апрель 2024'!$J$4:$J$1689,X$1)</f>
        <v>0</v>
      </c>
      <c r="Y55" s="80">
        <f>SUMIFS('апрель 2024'!$G$4:$G$1689,'апрель 2024'!$D$4:$D$1689,$B55,'апрель 2024'!$J$4:$J$1689,Y$1)</f>
        <v>0</v>
      </c>
      <c r="Z55" s="80">
        <f>SUMIFS('апрель 2024'!$G$4:$G$1689,'апрель 2024'!$D$4:$D$1689,$B55,'апрель 2024'!$J$4:$J$1689,Z$1)</f>
        <v>0</v>
      </c>
      <c r="AA55" s="80">
        <f>SUMIFS('апрель 2024'!$G$4:$G$1689,'апрель 2024'!$D$4:$D$1689,$B55,'апрель 2024'!$J$4:$J$1689,AA$1)</f>
        <v>0</v>
      </c>
      <c r="AB55" s="80">
        <f>SUMIFS('апрель 2024'!$G$4:$G$1689,'апрель 2024'!$D$4:$D$1689,$B55,'апрель 2024'!$J$4:$J$1689,AB$1)</f>
        <v>0</v>
      </c>
      <c r="AC55" s="80">
        <f>SUMIFS('апрель 2024'!$G$4:$G$1689,'апрель 2024'!$D$4:$D$1689,$B55,'апрель 2024'!$J$4:$J$1689,AC$1)</f>
        <v>0</v>
      </c>
      <c r="AD55" s="80">
        <f>SUMIFS('апрель 2024'!$G$4:$G$1689,'апрель 2024'!$D$4:$D$1689,$B55,'апрель 2024'!$J$4:$J$1689,AD$1)</f>
        <v>0</v>
      </c>
      <c r="AE55" s="80">
        <f>SUMIFS('апрель 2024'!$G$4:$G$1689,'апрель 2024'!$D$4:$D$1689,$B55,'апрель 2024'!$J$4:$J$1689,AE$1)</f>
        <v>0</v>
      </c>
      <c r="AF55" s="80">
        <f>SUMIFS('апрель 2024'!$G$4:$G$1689,'апрель 2024'!$D$4:$D$1689,$B55,'апрель 2024'!$J$4:$J$1689,AF$1)</f>
        <v>0</v>
      </c>
      <c r="AG55" s="80">
        <f>SUMIFS('апрель 2024'!$G$4:$G$1689,'апрель 2024'!$D$4:$D$1689,$B55,'апрель 2024'!$J$4:$J$1689,AG$1)</f>
        <v>0</v>
      </c>
      <c r="AH55" s="80">
        <f>SUMIFS('апрель 2024'!$G$4:$G$1689,'апрель 2024'!$D$4:$D$1689,$B55,'апрель 2024'!$J$4:$J$1689,AH$1)</f>
        <v>0</v>
      </c>
      <c r="AI55" s="21">
        <f t="shared" si="1"/>
        <v>0</v>
      </c>
    </row>
    <row r="56" spans="2:35" ht="15" customHeight="1" x14ac:dyDescent="0.25">
      <c r="B56" s="150"/>
      <c r="C56" s="151"/>
      <c r="D56" s="80">
        <f>SUMIFS('апрель 2024'!$G$4:$G$1689,'апрель 2024'!$D$4:$D$1689,$B56,'апрель 2024'!$J$4:$J$1689,D$1)</f>
        <v>0</v>
      </c>
      <c r="E56" s="80">
        <f>SUMIFS('апрель 2024'!$G$4:$G$1689,'апрель 2024'!$D$4:$D$1689,$B56,'апрель 2024'!$J$4:$J$1689,E$1)</f>
        <v>0</v>
      </c>
      <c r="F56" s="80">
        <f>SUMIFS('апрель 2024'!$G$4:$G$1689,'апрель 2024'!$D$4:$D$1689,$B56,'апрель 2024'!$J$4:$J$1689,F$1)</f>
        <v>0</v>
      </c>
      <c r="G56" s="80">
        <f>SUMIFS('апрель 2024'!$G$4:$G$1689,'апрель 2024'!$D$4:$D$1689,$B56,'апрель 2024'!$J$4:$J$1689,G$1)</f>
        <v>0</v>
      </c>
      <c r="H56" s="80">
        <f>SUMIFS('апрель 2024'!$G$4:$G$1689,'апрель 2024'!$D$4:$D$1689,$B56,'апрель 2024'!$J$4:$J$1689,H$1)</f>
        <v>0</v>
      </c>
      <c r="I56" s="80">
        <f>SUMIFS('апрель 2024'!$G$4:$G$1689,'апрель 2024'!$D$4:$D$1689,$B56,'апрель 2024'!$J$4:$J$1689,I$1)</f>
        <v>0</v>
      </c>
      <c r="J56" s="80">
        <f>SUMIFS('апрель 2024'!$G$4:$G$1689,'апрель 2024'!$D$4:$D$1689,$B56,'апрель 2024'!$J$4:$J$1689,J$1)</f>
        <v>0</v>
      </c>
      <c r="K56" s="80">
        <f>SUMIFS('апрель 2024'!$G$4:$G$1689,'апрель 2024'!$D$4:$D$1689,$B56,'апрель 2024'!$J$4:$J$1689,K$1)</f>
        <v>0</v>
      </c>
      <c r="L56" s="80">
        <f>SUMIFS('апрель 2024'!$G$4:$G$1689,'апрель 2024'!$D$4:$D$1689,$B56,'апрель 2024'!$J$4:$J$1689,L$1)</f>
        <v>0</v>
      </c>
      <c r="M56" s="80">
        <f>SUMIFS('апрель 2024'!$G$4:$G$1689,'апрель 2024'!$D$4:$D$1689,$B56,'апрель 2024'!$J$4:$J$1689,M$1)</f>
        <v>0</v>
      </c>
      <c r="N56" s="80">
        <f>SUMIFS('апрель 2024'!$G$4:$G$1689,'апрель 2024'!$D$4:$D$1689,$B56,'апрель 2024'!$J$4:$J$1689,N$1)</f>
        <v>0</v>
      </c>
      <c r="O56" s="80">
        <f>SUMIFS('апрель 2024'!$G$4:$G$1689,'апрель 2024'!$D$4:$D$1689,$B56,'апрель 2024'!$J$4:$J$1689,O$1)</f>
        <v>0</v>
      </c>
      <c r="P56" s="80">
        <f>SUMIFS('апрель 2024'!$G$4:$G$1689,'апрель 2024'!$D$4:$D$1689,$B56,'апрель 2024'!$J$4:$J$1689,P$1)</f>
        <v>0</v>
      </c>
      <c r="Q56" s="80">
        <f>SUMIFS('апрель 2024'!$G$4:$G$1689,'апрель 2024'!$D$4:$D$1689,$B56,'апрель 2024'!$J$4:$J$1689,Q$1)</f>
        <v>0</v>
      </c>
      <c r="R56" s="80">
        <f>SUMIFS('апрель 2024'!$G$4:$G$1689,'апрель 2024'!$D$4:$D$1689,$B56,'апрель 2024'!$J$4:$J$1689,R$1)</f>
        <v>0</v>
      </c>
      <c r="S56" s="80">
        <f>SUMIFS('апрель 2024'!$G$4:$G$1689,'апрель 2024'!$D$4:$D$1689,$B56,'апрель 2024'!$J$4:$J$1689,S$1)</f>
        <v>0</v>
      </c>
      <c r="T56" s="80">
        <f>SUMIFS('апрель 2024'!$G$4:$G$1689,'апрель 2024'!$D$4:$D$1689,$B56,'апрель 2024'!$J$4:$J$1689,T$1)</f>
        <v>0</v>
      </c>
      <c r="U56" s="80">
        <f>SUMIFS('апрель 2024'!$G$4:$G$1689,'апрель 2024'!$D$4:$D$1689,$B56,'апрель 2024'!$J$4:$J$1689,U$1)</f>
        <v>0</v>
      </c>
      <c r="V56" s="80">
        <f>SUMIFS('апрель 2024'!$G$4:$G$1689,'апрель 2024'!$D$4:$D$1689,$B56,'апрель 2024'!$J$4:$J$1689,V$1)</f>
        <v>0</v>
      </c>
      <c r="W56" s="80">
        <f>SUMIFS('апрель 2024'!$G$4:$G$1689,'апрель 2024'!$D$4:$D$1689,$B56,'апрель 2024'!$J$4:$J$1689,W$1)</f>
        <v>0</v>
      </c>
      <c r="X56" s="80">
        <f>SUMIFS('апрель 2024'!$G$4:$G$1689,'апрель 2024'!$D$4:$D$1689,$B56,'апрель 2024'!$J$4:$J$1689,X$1)</f>
        <v>0</v>
      </c>
      <c r="Y56" s="80">
        <f>SUMIFS('апрель 2024'!$G$4:$G$1689,'апрель 2024'!$D$4:$D$1689,$B56,'апрель 2024'!$J$4:$J$1689,Y$1)</f>
        <v>0</v>
      </c>
      <c r="Z56" s="80">
        <f>SUMIFS('апрель 2024'!$G$4:$G$1689,'апрель 2024'!$D$4:$D$1689,$B56,'апрель 2024'!$J$4:$J$1689,Z$1)</f>
        <v>0</v>
      </c>
      <c r="AA56" s="80">
        <f>SUMIFS('апрель 2024'!$G$4:$G$1689,'апрель 2024'!$D$4:$D$1689,$B56,'апрель 2024'!$J$4:$J$1689,AA$1)</f>
        <v>0</v>
      </c>
      <c r="AB56" s="80">
        <f>SUMIFS('апрель 2024'!$G$4:$G$1689,'апрель 2024'!$D$4:$D$1689,$B56,'апрель 2024'!$J$4:$J$1689,AB$1)</f>
        <v>0</v>
      </c>
      <c r="AC56" s="80">
        <f>SUMIFS('апрель 2024'!$G$4:$G$1689,'апрель 2024'!$D$4:$D$1689,$B56,'апрель 2024'!$J$4:$J$1689,AC$1)</f>
        <v>0</v>
      </c>
      <c r="AD56" s="80">
        <f>SUMIFS('апрель 2024'!$G$4:$G$1689,'апрель 2024'!$D$4:$D$1689,$B56,'апрель 2024'!$J$4:$J$1689,AD$1)</f>
        <v>0</v>
      </c>
      <c r="AE56" s="80">
        <f>SUMIFS('апрель 2024'!$G$4:$G$1689,'апрель 2024'!$D$4:$D$1689,$B56,'апрель 2024'!$J$4:$J$1689,AE$1)</f>
        <v>0</v>
      </c>
      <c r="AF56" s="80">
        <f>SUMIFS('апрель 2024'!$G$4:$G$1689,'апрель 2024'!$D$4:$D$1689,$B56,'апрель 2024'!$J$4:$J$1689,AF$1)</f>
        <v>0</v>
      </c>
      <c r="AG56" s="80">
        <f>SUMIFS('апрель 2024'!$G$4:$G$1689,'апрель 2024'!$D$4:$D$1689,$B56,'апрель 2024'!$J$4:$J$1689,AG$1)</f>
        <v>0</v>
      </c>
      <c r="AH56" s="80">
        <f>SUMIFS('апрель 2024'!$G$4:$G$1689,'апрель 2024'!$D$4:$D$1689,$B56,'апрель 2024'!$J$4:$J$1689,AH$1)</f>
        <v>0</v>
      </c>
      <c r="AI56" s="21">
        <f t="shared" si="1"/>
        <v>0</v>
      </c>
    </row>
    <row r="57" spans="2:35" ht="15" customHeight="1" x14ac:dyDescent="0.25">
      <c r="B57" s="155"/>
      <c r="C57" s="151"/>
      <c r="D57" s="80">
        <f>SUMIFS('апрель 2024'!$G$4:$G$1689,'апрель 2024'!$D$4:$D$1689,$B57,'апрель 2024'!$J$4:$J$1689,D$1)</f>
        <v>0</v>
      </c>
      <c r="E57" s="80">
        <f>SUMIFS('апрель 2024'!$G$4:$G$1689,'апрель 2024'!$D$4:$D$1689,$B57,'апрель 2024'!$J$4:$J$1689,E$1)</f>
        <v>0</v>
      </c>
      <c r="F57" s="80">
        <f>SUMIFS('апрель 2024'!$G$4:$G$1689,'апрель 2024'!$D$4:$D$1689,$B57,'апрель 2024'!$J$4:$J$1689,F$1)</f>
        <v>0</v>
      </c>
      <c r="G57" s="80">
        <f>SUMIFS('апрель 2024'!$G$4:$G$1689,'апрель 2024'!$D$4:$D$1689,$B57,'апрель 2024'!$J$4:$J$1689,G$1)</f>
        <v>0</v>
      </c>
      <c r="H57" s="80">
        <f>SUMIFS('апрель 2024'!$G$4:$G$1689,'апрель 2024'!$D$4:$D$1689,$B57,'апрель 2024'!$J$4:$J$1689,H$1)</f>
        <v>0</v>
      </c>
      <c r="I57" s="80">
        <f>SUMIFS('апрель 2024'!$G$4:$G$1689,'апрель 2024'!$D$4:$D$1689,$B57,'апрель 2024'!$J$4:$J$1689,I$1)</f>
        <v>0</v>
      </c>
      <c r="J57" s="80">
        <f>SUMIFS('апрель 2024'!$G$4:$G$1689,'апрель 2024'!$D$4:$D$1689,$B57,'апрель 2024'!$J$4:$J$1689,J$1)</f>
        <v>0</v>
      </c>
      <c r="K57" s="80">
        <f>SUMIFS('апрель 2024'!$G$4:$G$1689,'апрель 2024'!$D$4:$D$1689,$B57,'апрель 2024'!$J$4:$J$1689,K$1)</f>
        <v>0</v>
      </c>
      <c r="L57" s="80">
        <f>SUMIFS('апрель 2024'!$G$4:$G$1689,'апрель 2024'!$D$4:$D$1689,$B57,'апрель 2024'!$J$4:$J$1689,L$1)</f>
        <v>0</v>
      </c>
      <c r="M57" s="80">
        <f>SUMIFS('апрель 2024'!$G$4:$G$1689,'апрель 2024'!$D$4:$D$1689,$B57,'апрель 2024'!$J$4:$J$1689,M$1)</f>
        <v>0</v>
      </c>
      <c r="N57" s="80">
        <f>SUMIFS('апрель 2024'!$G$4:$G$1689,'апрель 2024'!$D$4:$D$1689,$B57,'апрель 2024'!$J$4:$J$1689,N$1)</f>
        <v>0</v>
      </c>
      <c r="O57" s="80">
        <f>SUMIFS('апрель 2024'!$G$4:$G$1689,'апрель 2024'!$D$4:$D$1689,$B57,'апрель 2024'!$J$4:$J$1689,O$1)</f>
        <v>0</v>
      </c>
      <c r="P57" s="80">
        <f>SUMIFS('апрель 2024'!$G$4:$G$1689,'апрель 2024'!$D$4:$D$1689,$B57,'апрель 2024'!$J$4:$J$1689,P$1)</f>
        <v>0</v>
      </c>
      <c r="Q57" s="80">
        <f>SUMIFS('апрель 2024'!$G$4:$G$1689,'апрель 2024'!$D$4:$D$1689,$B57,'апрель 2024'!$J$4:$J$1689,Q$1)</f>
        <v>0</v>
      </c>
      <c r="R57" s="80">
        <f>SUMIFS('апрель 2024'!$G$4:$G$1689,'апрель 2024'!$D$4:$D$1689,$B57,'апрель 2024'!$J$4:$J$1689,R$1)</f>
        <v>0</v>
      </c>
      <c r="S57" s="80">
        <f>SUMIFS('апрель 2024'!$G$4:$G$1689,'апрель 2024'!$D$4:$D$1689,$B57,'апрель 2024'!$J$4:$J$1689,S$1)</f>
        <v>0</v>
      </c>
      <c r="T57" s="80">
        <f>SUMIFS('апрель 2024'!$G$4:$G$1689,'апрель 2024'!$D$4:$D$1689,$B57,'апрель 2024'!$J$4:$J$1689,T$1)</f>
        <v>0</v>
      </c>
      <c r="U57" s="80">
        <f>SUMIFS('апрель 2024'!$G$4:$G$1689,'апрель 2024'!$D$4:$D$1689,$B57,'апрель 2024'!$J$4:$J$1689,U$1)</f>
        <v>0</v>
      </c>
      <c r="V57" s="80">
        <f>SUMIFS('апрель 2024'!$G$4:$G$1689,'апрель 2024'!$D$4:$D$1689,$B57,'апрель 2024'!$J$4:$J$1689,V$1)</f>
        <v>0</v>
      </c>
      <c r="W57" s="80">
        <f>SUMIFS('апрель 2024'!$G$4:$G$1689,'апрель 2024'!$D$4:$D$1689,$B57,'апрель 2024'!$J$4:$J$1689,W$1)</f>
        <v>0</v>
      </c>
      <c r="X57" s="80">
        <f>SUMIFS('апрель 2024'!$G$4:$G$1689,'апрель 2024'!$D$4:$D$1689,$B57,'апрель 2024'!$J$4:$J$1689,X$1)</f>
        <v>0</v>
      </c>
      <c r="Y57" s="80">
        <f>SUMIFS('апрель 2024'!$G$4:$G$1689,'апрель 2024'!$D$4:$D$1689,$B57,'апрель 2024'!$J$4:$J$1689,Y$1)</f>
        <v>0</v>
      </c>
      <c r="Z57" s="80">
        <f>SUMIFS('апрель 2024'!$G$4:$G$1689,'апрель 2024'!$D$4:$D$1689,$B57,'апрель 2024'!$J$4:$J$1689,Z$1)</f>
        <v>0</v>
      </c>
      <c r="AA57" s="80">
        <f>SUMIFS('апрель 2024'!$G$4:$G$1689,'апрель 2024'!$D$4:$D$1689,$B57,'апрель 2024'!$J$4:$J$1689,AA$1)</f>
        <v>0</v>
      </c>
      <c r="AB57" s="80">
        <f>SUMIFS('апрель 2024'!$G$4:$G$1689,'апрель 2024'!$D$4:$D$1689,$B57,'апрель 2024'!$J$4:$J$1689,AB$1)</f>
        <v>0</v>
      </c>
      <c r="AC57" s="80">
        <f>SUMIFS('апрель 2024'!$G$4:$G$1689,'апрель 2024'!$D$4:$D$1689,$B57,'апрель 2024'!$J$4:$J$1689,AC$1)</f>
        <v>0</v>
      </c>
      <c r="AD57" s="80">
        <f>SUMIFS('апрель 2024'!$G$4:$G$1689,'апрель 2024'!$D$4:$D$1689,$B57,'апрель 2024'!$J$4:$J$1689,AD$1)</f>
        <v>0</v>
      </c>
      <c r="AE57" s="80">
        <f>SUMIFS('апрель 2024'!$G$4:$G$1689,'апрель 2024'!$D$4:$D$1689,$B57,'апрель 2024'!$J$4:$J$1689,AE$1)</f>
        <v>0</v>
      </c>
      <c r="AF57" s="80">
        <f>SUMIFS('апрель 2024'!$G$4:$G$1689,'апрель 2024'!$D$4:$D$1689,$B57,'апрель 2024'!$J$4:$J$1689,AF$1)</f>
        <v>0</v>
      </c>
      <c r="AG57" s="80">
        <f>SUMIFS('апрель 2024'!$G$4:$G$1689,'апрель 2024'!$D$4:$D$1689,$B57,'апрель 2024'!$J$4:$J$1689,AG$1)</f>
        <v>0</v>
      </c>
      <c r="AH57" s="80">
        <f>SUMIFS('апрель 2024'!$G$4:$G$1689,'апрель 2024'!$D$4:$D$1689,$B57,'апрель 2024'!$J$4:$J$1689,AH$1)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80">
        <f>SUMIFS('апрель 2024'!$G$4:$G$1689,'апрель 2024'!$D$4:$D$1689,$B58,'апрель 2024'!$J$4:$J$1689,D$1)</f>
        <v>0</v>
      </c>
      <c r="E58" s="80">
        <f>SUMIFS('апрель 2024'!$G$4:$G$1689,'апрель 2024'!$D$4:$D$1689,$B58,'апрель 2024'!$J$4:$J$1689,E$1)</f>
        <v>0</v>
      </c>
      <c r="F58" s="80">
        <f>SUMIFS('апрель 2024'!$G$4:$G$1689,'апрель 2024'!$D$4:$D$1689,$B58,'апрель 2024'!$J$4:$J$1689,F$1)</f>
        <v>0</v>
      </c>
      <c r="G58" s="80">
        <f>SUMIFS('апрель 2024'!$G$4:$G$1689,'апрель 2024'!$D$4:$D$1689,$B58,'апрель 2024'!$J$4:$J$1689,G$1)</f>
        <v>0</v>
      </c>
      <c r="H58" s="80">
        <f>SUMIFS('апрель 2024'!$G$4:$G$1689,'апрель 2024'!$D$4:$D$1689,$B58,'апрель 2024'!$J$4:$J$1689,H$1)</f>
        <v>0</v>
      </c>
      <c r="I58" s="80">
        <f>SUMIFS('апрель 2024'!$G$4:$G$1689,'апрель 2024'!$D$4:$D$1689,$B58,'апрель 2024'!$J$4:$J$1689,I$1)</f>
        <v>0</v>
      </c>
      <c r="J58" s="80">
        <f>SUMIFS('апрель 2024'!$G$4:$G$1689,'апрель 2024'!$D$4:$D$1689,$B58,'апрель 2024'!$J$4:$J$1689,J$1)</f>
        <v>0</v>
      </c>
      <c r="K58" s="80">
        <f>SUMIFS('апрель 2024'!$G$4:$G$1689,'апрель 2024'!$D$4:$D$1689,$B58,'апрель 2024'!$J$4:$J$1689,K$1)</f>
        <v>0</v>
      </c>
      <c r="L58" s="80">
        <f>SUMIFS('апрель 2024'!$G$4:$G$1689,'апрель 2024'!$D$4:$D$1689,$B58,'апрель 2024'!$J$4:$J$1689,L$1)</f>
        <v>0</v>
      </c>
      <c r="M58" s="80">
        <f>SUMIFS('апрель 2024'!$G$4:$G$1689,'апрель 2024'!$D$4:$D$1689,$B58,'апрель 2024'!$J$4:$J$1689,M$1)</f>
        <v>0</v>
      </c>
      <c r="N58" s="80">
        <f>SUMIFS('апрель 2024'!$G$4:$G$1689,'апрель 2024'!$D$4:$D$1689,$B58,'апрель 2024'!$J$4:$J$1689,N$1)</f>
        <v>0</v>
      </c>
      <c r="O58" s="80">
        <f>SUMIFS('апрель 2024'!$G$4:$G$1689,'апрель 2024'!$D$4:$D$1689,$B58,'апрель 2024'!$J$4:$J$1689,O$1)</f>
        <v>0</v>
      </c>
      <c r="P58" s="80">
        <f>SUMIFS('апрель 2024'!$G$4:$G$1689,'апрель 2024'!$D$4:$D$1689,$B58,'апрель 2024'!$J$4:$J$1689,P$1)</f>
        <v>0</v>
      </c>
      <c r="Q58" s="80">
        <f>SUMIFS('апрель 2024'!$G$4:$G$1689,'апрель 2024'!$D$4:$D$1689,$B58,'апрель 2024'!$J$4:$J$1689,Q$1)</f>
        <v>0</v>
      </c>
      <c r="R58" s="80">
        <f>SUMIFS('апрель 2024'!$G$4:$G$1689,'апрель 2024'!$D$4:$D$1689,$B58,'апрель 2024'!$J$4:$J$1689,R$1)</f>
        <v>0</v>
      </c>
      <c r="S58" s="80">
        <f>SUMIFS('апрель 2024'!$G$4:$G$1689,'апрель 2024'!$D$4:$D$1689,$B58,'апрель 2024'!$J$4:$J$1689,S$1)</f>
        <v>0</v>
      </c>
      <c r="T58" s="80">
        <f>SUMIFS('апрель 2024'!$G$4:$G$1689,'апрель 2024'!$D$4:$D$1689,$B58,'апрель 2024'!$J$4:$J$1689,T$1)</f>
        <v>0</v>
      </c>
      <c r="U58" s="80">
        <f>SUMIFS('апрель 2024'!$G$4:$G$1689,'апрель 2024'!$D$4:$D$1689,$B58,'апрель 2024'!$J$4:$J$1689,U$1)</f>
        <v>0</v>
      </c>
      <c r="V58" s="80">
        <f>SUMIFS('апрель 2024'!$G$4:$G$1689,'апрель 2024'!$D$4:$D$1689,$B58,'апрель 2024'!$J$4:$J$1689,V$1)</f>
        <v>0</v>
      </c>
      <c r="W58" s="80">
        <f>SUMIFS('апрель 2024'!$G$4:$G$1689,'апрель 2024'!$D$4:$D$1689,$B58,'апрель 2024'!$J$4:$J$1689,W$1)</f>
        <v>0</v>
      </c>
      <c r="X58" s="80">
        <f>SUMIFS('апрель 2024'!$G$4:$G$1689,'апрель 2024'!$D$4:$D$1689,$B58,'апрель 2024'!$J$4:$J$1689,X$1)</f>
        <v>0</v>
      </c>
      <c r="Y58" s="80">
        <f>SUMIFS('апрель 2024'!$G$4:$G$1689,'апрель 2024'!$D$4:$D$1689,$B58,'апрель 2024'!$J$4:$J$1689,Y$1)</f>
        <v>0</v>
      </c>
      <c r="Z58" s="80">
        <f>SUMIFS('апрель 2024'!$G$4:$G$1689,'апрель 2024'!$D$4:$D$1689,$B58,'апрель 2024'!$J$4:$J$1689,Z$1)</f>
        <v>0</v>
      </c>
      <c r="AA58" s="80">
        <f>SUMIFS('апрель 2024'!$G$4:$G$1689,'апрель 2024'!$D$4:$D$1689,$B58,'апрель 2024'!$J$4:$J$1689,AA$1)</f>
        <v>0</v>
      </c>
      <c r="AB58" s="80">
        <f>SUMIFS('апрель 2024'!$G$4:$G$1689,'апрель 2024'!$D$4:$D$1689,$B58,'апрель 2024'!$J$4:$J$1689,AB$1)</f>
        <v>0</v>
      </c>
      <c r="AC58" s="80">
        <f>SUMIFS('апрель 2024'!$G$4:$G$1689,'апрель 2024'!$D$4:$D$1689,$B58,'апрель 2024'!$J$4:$J$1689,AC$1)</f>
        <v>0</v>
      </c>
      <c r="AD58" s="80">
        <f>SUMIFS('апрель 2024'!$G$4:$G$1689,'апрель 2024'!$D$4:$D$1689,$B58,'апрель 2024'!$J$4:$J$1689,AD$1)</f>
        <v>0</v>
      </c>
      <c r="AE58" s="80">
        <f>SUMIFS('апрель 2024'!$G$4:$G$1689,'апрель 2024'!$D$4:$D$1689,$B58,'апрель 2024'!$J$4:$J$1689,AE$1)</f>
        <v>0</v>
      </c>
      <c r="AF58" s="80">
        <f>SUMIFS('апрель 2024'!$G$4:$G$1689,'апрель 2024'!$D$4:$D$1689,$B58,'апрель 2024'!$J$4:$J$1689,AF$1)</f>
        <v>0</v>
      </c>
      <c r="AG58" s="80">
        <f>SUMIFS('апрель 2024'!$G$4:$G$1689,'апрель 2024'!$D$4:$D$1689,$B58,'апрель 2024'!$J$4:$J$1689,AG$1)</f>
        <v>0</v>
      </c>
      <c r="AH58" s="80">
        <f>SUMIFS('апрель 2024'!$G$4:$G$1689,'апрель 2024'!$D$4:$D$1689,$B58,'апрель 2024'!$J$4:$J$1689,AH$1)</f>
        <v>0</v>
      </c>
      <c r="AI58" s="21">
        <f t="shared" si="1"/>
        <v>0</v>
      </c>
    </row>
    <row r="59" spans="2:35" ht="15" customHeight="1" x14ac:dyDescent="0.25">
      <c r="B59" s="155"/>
      <c r="C59" s="151"/>
      <c r="D59" s="80">
        <f>SUMIFS('апрель 2024'!$G$4:$G$1689,'апрель 2024'!$D$4:$D$1689,$B59,'апрель 2024'!$J$4:$J$1689,D$1)</f>
        <v>0</v>
      </c>
      <c r="E59" s="80">
        <f>SUMIFS('апрель 2024'!$G$4:$G$1689,'апрель 2024'!$D$4:$D$1689,$B59,'апрель 2024'!$J$4:$J$1689,E$1)</f>
        <v>0</v>
      </c>
      <c r="F59" s="80">
        <f>SUMIFS('апрель 2024'!$G$4:$G$1689,'апрель 2024'!$D$4:$D$1689,$B59,'апрель 2024'!$J$4:$J$1689,F$1)</f>
        <v>0</v>
      </c>
      <c r="G59" s="80">
        <f>SUMIFS('апрель 2024'!$G$4:$G$1689,'апрель 2024'!$D$4:$D$1689,$B59,'апрель 2024'!$J$4:$J$1689,G$1)</f>
        <v>0</v>
      </c>
      <c r="H59" s="80">
        <f>SUMIFS('апрель 2024'!$G$4:$G$1689,'апрель 2024'!$D$4:$D$1689,$B59,'апрель 2024'!$J$4:$J$1689,H$1)</f>
        <v>0</v>
      </c>
      <c r="I59" s="80">
        <f>SUMIFS('апрель 2024'!$G$4:$G$1689,'апрель 2024'!$D$4:$D$1689,$B59,'апрель 2024'!$J$4:$J$1689,I$1)</f>
        <v>0</v>
      </c>
      <c r="J59" s="80">
        <f>SUMIFS('апрель 2024'!$G$4:$G$1689,'апрель 2024'!$D$4:$D$1689,$B59,'апрель 2024'!$J$4:$J$1689,J$1)</f>
        <v>0</v>
      </c>
      <c r="K59" s="80">
        <f>SUMIFS('апрель 2024'!$G$4:$G$1689,'апрель 2024'!$D$4:$D$1689,$B59,'апрель 2024'!$J$4:$J$1689,K$1)</f>
        <v>0</v>
      </c>
      <c r="L59" s="80">
        <f>SUMIFS('апрель 2024'!$G$4:$G$1689,'апрель 2024'!$D$4:$D$1689,$B59,'апрель 2024'!$J$4:$J$1689,L$1)</f>
        <v>0</v>
      </c>
      <c r="M59" s="80">
        <f>SUMIFS('апрель 2024'!$G$4:$G$1689,'апрель 2024'!$D$4:$D$1689,$B59,'апрель 2024'!$J$4:$J$1689,M$1)</f>
        <v>0</v>
      </c>
      <c r="N59" s="80">
        <f>SUMIFS('апрель 2024'!$G$4:$G$1689,'апрель 2024'!$D$4:$D$1689,$B59,'апрель 2024'!$J$4:$J$1689,N$1)</f>
        <v>0</v>
      </c>
      <c r="O59" s="80">
        <f>SUMIFS('апрель 2024'!$G$4:$G$1689,'апрель 2024'!$D$4:$D$1689,$B59,'апрель 2024'!$J$4:$J$1689,O$1)</f>
        <v>0</v>
      </c>
      <c r="P59" s="80">
        <f>SUMIFS('апрель 2024'!$G$4:$G$1689,'апрель 2024'!$D$4:$D$1689,$B59,'апрель 2024'!$J$4:$J$1689,P$1)</f>
        <v>0</v>
      </c>
      <c r="Q59" s="80">
        <f>SUMIFS('апрель 2024'!$G$4:$G$1689,'апрель 2024'!$D$4:$D$1689,$B59,'апрель 2024'!$J$4:$J$1689,Q$1)</f>
        <v>0</v>
      </c>
      <c r="R59" s="80">
        <f>SUMIFS('апрель 2024'!$G$4:$G$1689,'апрель 2024'!$D$4:$D$1689,$B59,'апрель 2024'!$J$4:$J$1689,R$1)</f>
        <v>0</v>
      </c>
      <c r="S59" s="80">
        <f>SUMIFS('апрель 2024'!$G$4:$G$1689,'апрель 2024'!$D$4:$D$1689,$B59,'апрель 2024'!$J$4:$J$1689,S$1)</f>
        <v>0</v>
      </c>
      <c r="T59" s="80">
        <f>SUMIFS('апрель 2024'!$G$4:$G$1689,'апрель 2024'!$D$4:$D$1689,$B59,'апрель 2024'!$J$4:$J$1689,T$1)</f>
        <v>0</v>
      </c>
      <c r="U59" s="80">
        <f>SUMIFS('апрель 2024'!$G$4:$G$1689,'апрель 2024'!$D$4:$D$1689,$B59,'апрель 2024'!$J$4:$J$1689,U$1)</f>
        <v>0</v>
      </c>
      <c r="V59" s="80">
        <f>SUMIFS('апрель 2024'!$G$4:$G$1689,'апрель 2024'!$D$4:$D$1689,$B59,'апрель 2024'!$J$4:$J$1689,V$1)</f>
        <v>0</v>
      </c>
      <c r="W59" s="80">
        <f>SUMIFS('апрель 2024'!$G$4:$G$1689,'апрель 2024'!$D$4:$D$1689,$B59,'апрель 2024'!$J$4:$J$1689,W$1)</f>
        <v>0</v>
      </c>
      <c r="X59" s="80">
        <f>SUMIFS('апрель 2024'!$G$4:$G$1689,'апрель 2024'!$D$4:$D$1689,$B59,'апрель 2024'!$J$4:$J$1689,X$1)</f>
        <v>0</v>
      </c>
      <c r="Y59" s="80">
        <f>SUMIFS('апрель 2024'!$G$4:$G$1689,'апрель 2024'!$D$4:$D$1689,$B59,'апрель 2024'!$J$4:$J$1689,Y$1)</f>
        <v>0</v>
      </c>
      <c r="Z59" s="80">
        <f>SUMIFS('апрель 2024'!$G$4:$G$1689,'апрель 2024'!$D$4:$D$1689,$B59,'апрель 2024'!$J$4:$J$1689,Z$1)</f>
        <v>0</v>
      </c>
      <c r="AA59" s="80">
        <f>SUMIFS('апрель 2024'!$G$4:$G$1689,'апрель 2024'!$D$4:$D$1689,$B59,'апрель 2024'!$J$4:$J$1689,AA$1)</f>
        <v>0</v>
      </c>
      <c r="AB59" s="80">
        <f>SUMIFS('апрель 2024'!$G$4:$G$1689,'апрель 2024'!$D$4:$D$1689,$B59,'апрель 2024'!$J$4:$J$1689,AB$1)</f>
        <v>0</v>
      </c>
      <c r="AC59" s="80">
        <f>SUMIFS('апрель 2024'!$G$4:$G$1689,'апрель 2024'!$D$4:$D$1689,$B59,'апрель 2024'!$J$4:$J$1689,AC$1)</f>
        <v>0</v>
      </c>
      <c r="AD59" s="80">
        <f>SUMIFS('апрель 2024'!$G$4:$G$1689,'апрель 2024'!$D$4:$D$1689,$B59,'апрель 2024'!$J$4:$J$1689,AD$1)</f>
        <v>0</v>
      </c>
      <c r="AE59" s="80">
        <f>SUMIFS('апрель 2024'!$G$4:$G$1689,'апрель 2024'!$D$4:$D$1689,$B59,'апрель 2024'!$J$4:$J$1689,AE$1)</f>
        <v>0</v>
      </c>
      <c r="AF59" s="80">
        <f>SUMIFS('апрель 2024'!$G$4:$G$1689,'апрель 2024'!$D$4:$D$1689,$B59,'апрель 2024'!$J$4:$J$1689,AF$1)</f>
        <v>0</v>
      </c>
      <c r="AG59" s="80">
        <f>SUMIFS('апрель 2024'!$G$4:$G$1689,'апрель 2024'!$D$4:$D$1689,$B59,'апрель 2024'!$J$4:$J$1689,AG$1)</f>
        <v>0</v>
      </c>
      <c r="AH59" s="80">
        <f>SUMIFS('апрель 2024'!$G$4:$G$1689,'апрель 2024'!$D$4:$D$1689,$B59,'апрель 2024'!$J$4:$J$1689,AH$1)</f>
        <v>0</v>
      </c>
      <c r="AI59" s="21">
        <f t="shared" si="1"/>
        <v>0</v>
      </c>
    </row>
    <row r="60" spans="2:35" ht="15" customHeight="1" x14ac:dyDescent="0.25">
      <c r="B60" s="92" t="s">
        <v>161</v>
      </c>
      <c r="C60" s="91">
        <v>200</v>
      </c>
      <c r="D60" s="80">
        <f>SUMIFS('апрель 2024'!$G$4:$G$1689,'апрель 2024'!$D$4:$D$1689,$B60,'апрель 2024'!$J$4:$J$1689,D$1)</f>
        <v>0</v>
      </c>
      <c r="E60" s="80">
        <f>SUMIFS('апрель 2024'!$G$4:$G$1689,'апрель 2024'!$D$4:$D$1689,$B60,'апрель 2024'!$J$4:$J$1689,E$1)</f>
        <v>0</v>
      </c>
      <c r="F60" s="80">
        <f>SUMIFS('апрель 2024'!$G$4:$G$1689,'апрель 2024'!$D$4:$D$1689,$B60,'апрель 2024'!$J$4:$J$1689,F$1)</f>
        <v>0</v>
      </c>
      <c r="G60" s="80">
        <f>SUMIFS('апрель 2024'!$G$4:$G$1689,'апрель 2024'!$D$4:$D$1689,$B60,'апрель 2024'!$J$4:$J$1689,G$1)</f>
        <v>0</v>
      </c>
      <c r="H60" s="80">
        <f>SUMIFS('апрель 2024'!$G$4:$G$1689,'апрель 2024'!$D$4:$D$1689,$B60,'апрель 2024'!$J$4:$J$1689,H$1)</f>
        <v>0</v>
      </c>
      <c r="I60" s="80">
        <f>SUMIFS('апрель 2024'!$G$4:$G$1689,'апрель 2024'!$D$4:$D$1689,$B60,'апрель 2024'!$J$4:$J$1689,I$1)</f>
        <v>0</v>
      </c>
      <c r="J60" s="80">
        <f>SUMIFS('апрель 2024'!$G$4:$G$1689,'апрель 2024'!$D$4:$D$1689,$B60,'апрель 2024'!$J$4:$J$1689,J$1)</f>
        <v>0</v>
      </c>
      <c r="K60" s="80">
        <f>SUMIFS('апрель 2024'!$G$4:$G$1689,'апрель 2024'!$D$4:$D$1689,$B60,'апрель 2024'!$J$4:$J$1689,K$1)</f>
        <v>0</v>
      </c>
      <c r="L60" s="80">
        <f>SUMIFS('апрель 2024'!$G$4:$G$1689,'апрель 2024'!$D$4:$D$1689,$B60,'апрель 2024'!$J$4:$J$1689,L$1)</f>
        <v>0</v>
      </c>
      <c r="M60" s="80">
        <f>SUMIFS('апрель 2024'!$G$4:$G$1689,'апрель 2024'!$D$4:$D$1689,$B60,'апрель 2024'!$J$4:$J$1689,M$1)</f>
        <v>0</v>
      </c>
      <c r="N60" s="80">
        <f>SUMIFS('апрель 2024'!$G$4:$G$1689,'апрель 2024'!$D$4:$D$1689,$B60,'апрель 2024'!$J$4:$J$1689,N$1)</f>
        <v>0</v>
      </c>
      <c r="O60" s="80">
        <f>SUMIFS('апрель 2024'!$G$4:$G$1689,'апрель 2024'!$D$4:$D$1689,$B60,'апрель 2024'!$J$4:$J$1689,O$1)</f>
        <v>0</v>
      </c>
      <c r="P60" s="80">
        <f>SUMIFS('апрель 2024'!$G$4:$G$1689,'апрель 2024'!$D$4:$D$1689,$B60,'апрель 2024'!$J$4:$J$1689,P$1)</f>
        <v>0</v>
      </c>
      <c r="Q60" s="80">
        <f>SUMIFS('апрель 2024'!$G$4:$G$1689,'апрель 2024'!$D$4:$D$1689,$B60,'апрель 2024'!$J$4:$J$1689,Q$1)</f>
        <v>0</v>
      </c>
      <c r="R60" s="80">
        <f>SUMIFS('апрель 2024'!$G$4:$G$1689,'апрель 2024'!$D$4:$D$1689,$B60,'апрель 2024'!$J$4:$J$1689,R$1)</f>
        <v>0</v>
      </c>
      <c r="S60" s="80">
        <f>SUMIFS('апрель 2024'!$G$4:$G$1689,'апрель 2024'!$D$4:$D$1689,$B60,'апрель 2024'!$J$4:$J$1689,S$1)</f>
        <v>0</v>
      </c>
      <c r="T60" s="80">
        <f>SUMIFS('апрель 2024'!$G$4:$G$1689,'апрель 2024'!$D$4:$D$1689,$B60,'апрель 2024'!$J$4:$J$1689,T$1)</f>
        <v>0</v>
      </c>
      <c r="U60" s="80">
        <f>SUMIFS('апрель 2024'!$G$4:$G$1689,'апрель 2024'!$D$4:$D$1689,$B60,'апрель 2024'!$J$4:$J$1689,U$1)</f>
        <v>0</v>
      </c>
      <c r="V60" s="80">
        <f>SUMIFS('апрель 2024'!$G$4:$G$1689,'апрель 2024'!$D$4:$D$1689,$B60,'апрель 2024'!$J$4:$J$1689,V$1)</f>
        <v>0</v>
      </c>
      <c r="W60" s="80">
        <f>SUMIFS('апрель 2024'!$G$4:$G$1689,'апрель 2024'!$D$4:$D$1689,$B60,'апрель 2024'!$J$4:$J$1689,W$1)</f>
        <v>0</v>
      </c>
      <c r="X60" s="80">
        <f>SUMIFS('апрель 2024'!$G$4:$G$1689,'апрель 2024'!$D$4:$D$1689,$B60,'апрель 2024'!$J$4:$J$1689,X$1)</f>
        <v>0</v>
      </c>
      <c r="Y60" s="80">
        <f>SUMIFS('апрель 2024'!$G$4:$G$1689,'апрель 2024'!$D$4:$D$1689,$B60,'апрель 2024'!$J$4:$J$1689,Y$1)</f>
        <v>0</v>
      </c>
      <c r="Z60" s="80">
        <f>SUMIFS('апрель 2024'!$G$4:$G$1689,'апрель 2024'!$D$4:$D$1689,$B60,'апрель 2024'!$J$4:$J$1689,Z$1)</f>
        <v>0</v>
      </c>
      <c r="AA60" s="80">
        <f>SUMIFS('апрель 2024'!$G$4:$G$1689,'апрель 2024'!$D$4:$D$1689,$B60,'апрель 2024'!$J$4:$J$1689,AA$1)</f>
        <v>0</v>
      </c>
      <c r="AB60" s="80">
        <f>SUMIFS('апрель 2024'!$G$4:$G$1689,'апрель 2024'!$D$4:$D$1689,$B60,'апрель 2024'!$J$4:$J$1689,AB$1)</f>
        <v>0</v>
      </c>
      <c r="AC60" s="80">
        <f>SUMIFS('апрель 2024'!$G$4:$G$1689,'апрель 2024'!$D$4:$D$1689,$B60,'апрель 2024'!$J$4:$J$1689,AC$1)</f>
        <v>0</v>
      </c>
      <c r="AD60" s="80">
        <f>SUMIFS('апрель 2024'!$G$4:$G$1689,'апрель 2024'!$D$4:$D$1689,$B60,'апрель 2024'!$J$4:$J$1689,AD$1)</f>
        <v>0</v>
      </c>
      <c r="AE60" s="80">
        <f>SUMIFS('апрель 2024'!$G$4:$G$1689,'апрель 2024'!$D$4:$D$1689,$B60,'апрель 2024'!$J$4:$J$1689,AE$1)</f>
        <v>0</v>
      </c>
      <c r="AF60" s="80">
        <f>SUMIFS('апрель 2024'!$G$4:$G$1689,'апрель 2024'!$D$4:$D$1689,$B60,'апрель 2024'!$J$4:$J$1689,AF$1)</f>
        <v>0</v>
      </c>
      <c r="AG60" s="80">
        <f>SUMIFS('апрель 2024'!$G$4:$G$1689,'апрель 2024'!$D$4:$D$1689,$B60,'апрель 2024'!$J$4:$J$1689,AG$1)</f>
        <v>0</v>
      </c>
      <c r="AH60" s="80">
        <f>SUMIFS('апрель 2024'!$G$4:$G$1689,'апрель 2024'!$D$4:$D$1689,$B60,'апрель 2024'!$J$4:$J$1689,AH$1)</f>
        <v>0</v>
      </c>
      <c r="AI60" s="21">
        <f t="shared" si="1"/>
        <v>0</v>
      </c>
    </row>
    <row r="61" spans="2:35" ht="15" customHeight="1" x14ac:dyDescent="0.25">
      <c r="B61" s="92" t="s">
        <v>208</v>
      </c>
      <c r="C61" s="91">
        <v>50</v>
      </c>
      <c r="D61" s="80">
        <f>SUMIFS('апрель 2024'!$G$4:$G$1689,'апрель 2024'!$D$4:$D$1689,$B61,'апрель 2024'!$J$4:$J$1689,D$1)</f>
        <v>0</v>
      </c>
      <c r="E61" s="80">
        <f>SUMIFS('апрель 2024'!$G$4:$G$1689,'апрель 2024'!$D$4:$D$1689,$B61,'апрель 2024'!$J$4:$J$1689,E$1)</f>
        <v>0</v>
      </c>
      <c r="F61" s="80">
        <f>SUMIFS('апрель 2024'!$G$4:$G$1689,'апрель 2024'!$D$4:$D$1689,$B61,'апрель 2024'!$J$4:$J$1689,F$1)</f>
        <v>0</v>
      </c>
      <c r="G61" s="80">
        <f>SUMIFS('апрель 2024'!$G$4:$G$1689,'апрель 2024'!$D$4:$D$1689,$B61,'апрель 2024'!$J$4:$J$1689,G$1)</f>
        <v>0</v>
      </c>
      <c r="H61" s="80">
        <f>SUMIFS('апрель 2024'!$G$4:$G$1689,'апрель 2024'!$D$4:$D$1689,$B61,'апрель 2024'!$J$4:$J$1689,H$1)</f>
        <v>0</v>
      </c>
      <c r="I61" s="80">
        <f>SUMIFS('апрель 2024'!$G$4:$G$1689,'апрель 2024'!$D$4:$D$1689,$B61,'апрель 2024'!$J$4:$J$1689,I$1)</f>
        <v>0</v>
      </c>
      <c r="J61" s="80">
        <f>SUMIFS('апрель 2024'!$G$4:$G$1689,'апрель 2024'!$D$4:$D$1689,$B61,'апрель 2024'!$J$4:$J$1689,J$1)</f>
        <v>0</v>
      </c>
      <c r="K61" s="80">
        <f>SUMIFS('апрель 2024'!$G$4:$G$1689,'апрель 2024'!$D$4:$D$1689,$B61,'апрель 2024'!$J$4:$J$1689,K$1)</f>
        <v>0</v>
      </c>
      <c r="L61" s="80">
        <f>SUMIFS('апрель 2024'!$G$4:$G$1689,'апрель 2024'!$D$4:$D$1689,$B61,'апрель 2024'!$J$4:$J$1689,L$1)</f>
        <v>0</v>
      </c>
      <c r="M61" s="80">
        <f>SUMIFS('апрель 2024'!$G$4:$G$1689,'апрель 2024'!$D$4:$D$1689,$B61,'апрель 2024'!$J$4:$J$1689,M$1)</f>
        <v>0</v>
      </c>
      <c r="N61" s="80">
        <f>SUMIFS('апрель 2024'!$G$4:$G$1689,'апрель 2024'!$D$4:$D$1689,$B61,'апрель 2024'!$J$4:$J$1689,N$1)</f>
        <v>0</v>
      </c>
      <c r="O61" s="80">
        <f>SUMIFS('апрель 2024'!$G$4:$G$1689,'апрель 2024'!$D$4:$D$1689,$B61,'апрель 2024'!$J$4:$J$1689,O$1)</f>
        <v>0</v>
      </c>
      <c r="P61" s="80">
        <f>SUMIFS('апрель 2024'!$G$4:$G$1689,'апрель 2024'!$D$4:$D$1689,$B61,'апрель 2024'!$J$4:$J$1689,P$1)</f>
        <v>0</v>
      </c>
      <c r="Q61" s="80">
        <f>SUMIFS('апрель 2024'!$G$4:$G$1689,'апрель 2024'!$D$4:$D$1689,$B61,'апрель 2024'!$J$4:$J$1689,Q$1)</f>
        <v>0</v>
      </c>
      <c r="R61" s="80">
        <f>SUMIFS('апрель 2024'!$G$4:$G$1689,'апрель 2024'!$D$4:$D$1689,$B61,'апрель 2024'!$J$4:$J$1689,R$1)</f>
        <v>0</v>
      </c>
      <c r="S61" s="80">
        <f>SUMIFS('апрель 2024'!$G$4:$G$1689,'апрель 2024'!$D$4:$D$1689,$B61,'апрель 2024'!$J$4:$J$1689,S$1)</f>
        <v>0</v>
      </c>
      <c r="T61" s="80">
        <f>SUMIFS('апрель 2024'!$G$4:$G$1689,'апрель 2024'!$D$4:$D$1689,$B61,'апрель 2024'!$J$4:$J$1689,T$1)</f>
        <v>0</v>
      </c>
      <c r="U61" s="80">
        <f>SUMIFS('апрель 2024'!$G$4:$G$1689,'апрель 2024'!$D$4:$D$1689,$B61,'апрель 2024'!$J$4:$J$1689,U$1)</f>
        <v>0</v>
      </c>
      <c r="V61" s="80">
        <f>SUMIFS('апрель 2024'!$G$4:$G$1689,'апрель 2024'!$D$4:$D$1689,$B61,'апрель 2024'!$J$4:$J$1689,V$1)</f>
        <v>0</v>
      </c>
      <c r="W61" s="80">
        <f>SUMIFS('апрель 2024'!$G$4:$G$1689,'апрель 2024'!$D$4:$D$1689,$B61,'апрель 2024'!$J$4:$J$1689,W$1)</f>
        <v>0</v>
      </c>
      <c r="X61" s="80">
        <f>SUMIFS('апрель 2024'!$G$4:$G$1689,'апрель 2024'!$D$4:$D$1689,$B61,'апрель 2024'!$J$4:$J$1689,X$1)</f>
        <v>0</v>
      </c>
      <c r="Y61" s="80">
        <f>SUMIFS('апрель 2024'!$G$4:$G$1689,'апрель 2024'!$D$4:$D$1689,$B61,'апрель 2024'!$J$4:$J$1689,Y$1)</f>
        <v>0</v>
      </c>
      <c r="Z61" s="80">
        <f>SUMIFS('апрель 2024'!$G$4:$G$1689,'апрель 2024'!$D$4:$D$1689,$B61,'апрель 2024'!$J$4:$J$1689,Z$1)</f>
        <v>0</v>
      </c>
      <c r="AA61" s="80">
        <f>SUMIFS('апрель 2024'!$G$4:$G$1689,'апрель 2024'!$D$4:$D$1689,$B61,'апрель 2024'!$J$4:$J$1689,AA$1)</f>
        <v>0</v>
      </c>
      <c r="AB61" s="80">
        <f>SUMIFS('апрель 2024'!$G$4:$G$1689,'апрель 2024'!$D$4:$D$1689,$B61,'апрель 2024'!$J$4:$J$1689,AB$1)</f>
        <v>0</v>
      </c>
      <c r="AC61" s="80">
        <f>SUMIFS('апрель 2024'!$G$4:$G$1689,'апрель 2024'!$D$4:$D$1689,$B61,'апрель 2024'!$J$4:$J$1689,AC$1)</f>
        <v>0</v>
      </c>
      <c r="AD61" s="80">
        <f>SUMIFS('апрель 2024'!$G$4:$G$1689,'апрель 2024'!$D$4:$D$1689,$B61,'апрель 2024'!$J$4:$J$1689,AD$1)</f>
        <v>0</v>
      </c>
      <c r="AE61" s="80">
        <f>SUMIFS('апрель 2024'!$G$4:$G$1689,'апрель 2024'!$D$4:$D$1689,$B61,'апрель 2024'!$J$4:$J$1689,AE$1)</f>
        <v>0</v>
      </c>
      <c r="AF61" s="80">
        <f>SUMIFS('апрель 2024'!$G$4:$G$1689,'апрель 2024'!$D$4:$D$1689,$B61,'апрель 2024'!$J$4:$J$1689,AF$1)</f>
        <v>0</v>
      </c>
      <c r="AG61" s="80">
        <f>SUMIFS('апрель 2024'!$G$4:$G$1689,'апрель 2024'!$D$4:$D$1689,$B61,'апрель 2024'!$J$4:$J$1689,AG$1)</f>
        <v>0</v>
      </c>
      <c r="AH61" s="80">
        <f>SUMIFS('апрель 2024'!$G$4:$G$1689,'апрель 2024'!$D$4:$D$1689,$B61,'апрель 2024'!$J$4:$J$1689,AH$1)</f>
        <v>0</v>
      </c>
      <c r="AI61" s="21">
        <f t="shared" si="1"/>
        <v>0</v>
      </c>
    </row>
    <row r="62" spans="2:35" ht="15" customHeight="1" x14ac:dyDescent="0.25">
      <c r="B62" s="93" t="s">
        <v>209</v>
      </c>
      <c r="C62" s="91">
        <v>200</v>
      </c>
      <c r="D62" s="80">
        <f>SUMIFS('апрель 2024'!$G$4:$G$1689,'апрель 2024'!$D$4:$D$1689,$B62,'апрель 2024'!$J$4:$J$1689,D$1)</f>
        <v>0</v>
      </c>
      <c r="E62" s="80">
        <f>SUMIFS('апрель 2024'!$G$4:$G$1689,'апрель 2024'!$D$4:$D$1689,$B62,'апрель 2024'!$J$4:$J$1689,E$1)</f>
        <v>0</v>
      </c>
      <c r="F62" s="80">
        <f>SUMIFS('апрель 2024'!$G$4:$G$1689,'апрель 2024'!$D$4:$D$1689,$B62,'апрель 2024'!$J$4:$J$1689,F$1)</f>
        <v>0</v>
      </c>
      <c r="G62" s="80">
        <f>SUMIFS('апрель 2024'!$G$4:$G$1689,'апрель 2024'!$D$4:$D$1689,$B62,'апрель 2024'!$J$4:$J$1689,G$1)</f>
        <v>0</v>
      </c>
      <c r="H62" s="80">
        <f>SUMIFS('апрель 2024'!$G$4:$G$1689,'апрель 2024'!$D$4:$D$1689,$B62,'апрель 2024'!$J$4:$J$1689,H$1)</f>
        <v>0</v>
      </c>
      <c r="I62" s="80">
        <f>SUMIFS('апрель 2024'!$G$4:$G$1689,'апрель 2024'!$D$4:$D$1689,$B62,'апрель 2024'!$J$4:$J$1689,I$1)</f>
        <v>0</v>
      </c>
      <c r="J62" s="80">
        <f>SUMIFS('апрель 2024'!$G$4:$G$1689,'апрель 2024'!$D$4:$D$1689,$B62,'апрель 2024'!$J$4:$J$1689,J$1)</f>
        <v>0</v>
      </c>
      <c r="K62" s="80">
        <f>SUMIFS('апрель 2024'!$G$4:$G$1689,'апрель 2024'!$D$4:$D$1689,$B62,'апрель 2024'!$J$4:$J$1689,K$1)</f>
        <v>0</v>
      </c>
      <c r="L62" s="80">
        <f>SUMIFS('апрель 2024'!$G$4:$G$1689,'апрель 2024'!$D$4:$D$1689,$B62,'апрель 2024'!$J$4:$J$1689,L$1)</f>
        <v>0</v>
      </c>
      <c r="M62" s="80">
        <f>SUMIFS('апрель 2024'!$G$4:$G$1689,'апрель 2024'!$D$4:$D$1689,$B62,'апрель 2024'!$J$4:$J$1689,M$1)</f>
        <v>0</v>
      </c>
      <c r="N62" s="80">
        <f>SUMIFS('апрель 2024'!$G$4:$G$1689,'апрель 2024'!$D$4:$D$1689,$B62,'апрель 2024'!$J$4:$J$1689,N$1)</f>
        <v>0</v>
      </c>
      <c r="O62" s="80">
        <f>SUMIFS('апрель 2024'!$G$4:$G$1689,'апрель 2024'!$D$4:$D$1689,$B62,'апрель 2024'!$J$4:$J$1689,O$1)</f>
        <v>0</v>
      </c>
      <c r="P62" s="80">
        <f>SUMIFS('апрель 2024'!$G$4:$G$1689,'апрель 2024'!$D$4:$D$1689,$B62,'апрель 2024'!$J$4:$J$1689,P$1)</f>
        <v>0</v>
      </c>
      <c r="Q62" s="80">
        <f>SUMIFS('апрель 2024'!$G$4:$G$1689,'апрель 2024'!$D$4:$D$1689,$B62,'апрель 2024'!$J$4:$J$1689,Q$1)</f>
        <v>0</v>
      </c>
      <c r="R62" s="80">
        <f>SUMIFS('апрель 2024'!$G$4:$G$1689,'апрель 2024'!$D$4:$D$1689,$B62,'апрель 2024'!$J$4:$J$1689,R$1)</f>
        <v>0</v>
      </c>
      <c r="S62" s="80">
        <f>SUMIFS('апрель 2024'!$G$4:$G$1689,'апрель 2024'!$D$4:$D$1689,$B62,'апрель 2024'!$J$4:$J$1689,S$1)</f>
        <v>0</v>
      </c>
      <c r="T62" s="80">
        <f>SUMIFS('апрель 2024'!$G$4:$G$1689,'апрель 2024'!$D$4:$D$1689,$B62,'апрель 2024'!$J$4:$J$1689,T$1)</f>
        <v>0</v>
      </c>
      <c r="U62" s="80">
        <f>SUMIFS('апрель 2024'!$G$4:$G$1689,'апрель 2024'!$D$4:$D$1689,$B62,'апрель 2024'!$J$4:$J$1689,U$1)</f>
        <v>0</v>
      </c>
      <c r="V62" s="80">
        <f>SUMIFS('апрель 2024'!$G$4:$G$1689,'апрель 2024'!$D$4:$D$1689,$B62,'апрель 2024'!$J$4:$J$1689,V$1)</f>
        <v>0</v>
      </c>
      <c r="W62" s="80">
        <f>SUMIFS('апрель 2024'!$G$4:$G$1689,'апрель 2024'!$D$4:$D$1689,$B62,'апрель 2024'!$J$4:$J$1689,W$1)</f>
        <v>0</v>
      </c>
      <c r="X62" s="80">
        <f>SUMIFS('апрель 2024'!$G$4:$G$1689,'апрель 2024'!$D$4:$D$1689,$B62,'апрель 2024'!$J$4:$J$1689,X$1)</f>
        <v>0</v>
      </c>
      <c r="Y62" s="80">
        <f>SUMIFS('апрель 2024'!$G$4:$G$1689,'апрель 2024'!$D$4:$D$1689,$B62,'апрель 2024'!$J$4:$J$1689,Y$1)</f>
        <v>0</v>
      </c>
      <c r="Z62" s="80">
        <f>SUMIFS('апрель 2024'!$G$4:$G$1689,'апрель 2024'!$D$4:$D$1689,$B62,'апрель 2024'!$J$4:$J$1689,Z$1)</f>
        <v>0</v>
      </c>
      <c r="AA62" s="80">
        <f>SUMIFS('апрель 2024'!$G$4:$G$1689,'апрель 2024'!$D$4:$D$1689,$B62,'апрель 2024'!$J$4:$J$1689,AA$1)</f>
        <v>0</v>
      </c>
      <c r="AB62" s="80">
        <f>SUMIFS('апрель 2024'!$G$4:$G$1689,'апрель 2024'!$D$4:$D$1689,$B62,'апрель 2024'!$J$4:$J$1689,AB$1)</f>
        <v>0</v>
      </c>
      <c r="AC62" s="80">
        <f>SUMIFS('апрель 2024'!$G$4:$G$1689,'апрель 2024'!$D$4:$D$1689,$B62,'апрель 2024'!$J$4:$J$1689,AC$1)</f>
        <v>0</v>
      </c>
      <c r="AD62" s="80">
        <f>SUMIFS('апрель 2024'!$G$4:$G$1689,'апрель 2024'!$D$4:$D$1689,$B62,'апрель 2024'!$J$4:$J$1689,AD$1)</f>
        <v>0</v>
      </c>
      <c r="AE62" s="80">
        <f>SUMIFS('апрель 2024'!$G$4:$G$1689,'апрель 2024'!$D$4:$D$1689,$B62,'апрель 2024'!$J$4:$J$1689,AE$1)</f>
        <v>0</v>
      </c>
      <c r="AF62" s="80">
        <f>SUMIFS('апрель 2024'!$G$4:$G$1689,'апрель 2024'!$D$4:$D$1689,$B62,'апрель 2024'!$J$4:$J$1689,AF$1)</f>
        <v>0</v>
      </c>
      <c r="AG62" s="80">
        <f>SUMIFS('апрель 2024'!$G$4:$G$1689,'апрель 2024'!$D$4:$D$1689,$B62,'апрель 2024'!$J$4:$J$1689,AG$1)</f>
        <v>0</v>
      </c>
      <c r="AH62" s="80">
        <f>SUMIFS('апрель 2024'!$G$4:$G$1689,'апрель 2024'!$D$4:$D$1689,$B62,'апрель 2024'!$J$4:$J$1689,AH$1)</f>
        <v>0</v>
      </c>
      <c r="AI62" s="21">
        <f t="shared" si="1"/>
        <v>0</v>
      </c>
    </row>
    <row r="63" spans="2:35" ht="15" customHeight="1" x14ac:dyDescent="0.25">
      <c r="B63" s="93" t="s">
        <v>222</v>
      </c>
      <c r="C63" s="91">
        <v>25</v>
      </c>
      <c r="D63" s="80">
        <f>SUMIFS('апрель 2024'!$G$4:$G$1689,'апрель 2024'!$D$4:$D$1689,$B63,'апрель 2024'!$J$4:$J$1689,D$1)</f>
        <v>0</v>
      </c>
      <c r="E63" s="80">
        <f>SUMIFS('апрель 2024'!$G$4:$G$1689,'апрель 2024'!$D$4:$D$1689,$B63,'апрель 2024'!$J$4:$J$1689,E$1)</f>
        <v>0</v>
      </c>
      <c r="F63" s="80">
        <f>SUMIFS('апрель 2024'!$G$4:$G$1689,'апрель 2024'!$D$4:$D$1689,$B63,'апрель 2024'!$J$4:$J$1689,F$1)</f>
        <v>0</v>
      </c>
      <c r="G63" s="80">
        <f>SUMIFS('апрель 2024'!$G$4:$G$1689,'апрель 2024'!$D$4:$D$1689,$B63,'апрель 2024'!$J$4:$J$1689,G$1)</f>
        <v>0</v>
      </c>
      <c r="H63" s="80">
        <f>SUMIFS('апрель 2024'!$G$4:$G$1689,'апрель 2024'!$D$4:$D$1689,$B63,'апрель 2024'!$J$4:$J$1689,H$1)</f>
        <v>0</v>
      </c>
      <c r="I63" s="80">
        <f>SUMIFS('апрель 2024'!$G$4:$G$1689,'апрель 2024'!$D$4:$D$1689,$B63,'апрель 2024'!$J$4:$J$1689,I$1)</f>
        <v>0</v>
      </c>
      <c r="J63" s="80">
        <f>SUMIFS('апрель 2024'!$G$4:$G$1689,'апрель 2024'!$D$4:$D$1689,$B63,'апрель 2024'!$J$4:$J$1689,J$1)</f>
        <v>0</v>
      </c>
      <c r="K63" s="80">
        <f>SUMIFS('апрель 2024'!$G$4:$G$1689,'апрель 2024'!$D$4:$D$1689,$B63,'апрель 2024'!$J$4:$J$1689,K$1)</f>
        <v>0</v>
      </c>
      <c r="L63" s="80">
        <f>SUMIFS('апрель 2024'!$G$4:$G$1689,'апрель 2024'!$D$4:$D$1689,$B63,'апрель 2024'!$J$4:$J$1689,L$1)</f>
        <v>0</v>
      </c>
      <c r="M63" s="80">
        <f>SUMIFS('апрель 2024'!$G$4:$G$1689,'апрель 2024'!$D$4:$D$1689,$B63,'апрель 2024'!$J$4:$J$1689,M$1)</f>
        <v>0</v>
      </c>
      <c r="N63" s="80">
        <f>SUMIFS('апрель 2024'!$G$4:$G$1689,'апрель 2024'!$D$4:$D$1689,$B63,'апрель 2024'!$J$4:$J$1689,N$1)</f>
        <v>0</v>
      </c>
      <c r="O63" s="80">
        <f>SUMIFS('апрель 2024'!$G$4:$G$1689,'апрель 2024'!$D$4:$D$1689,$B63,'апрель 2024'!$J$4:$J$1689,O$1)</f>
        <v>0</v>
      </c>
      <c r="P63" s="80">
        <f>SUMIFS('апрель 2024'!$G$4:$G$1689,'апрель 2024'!$D$4:$D$1689,$B63,'апрель 2024'!$J$4:$J$1689,P$1)</f>
        <v>0</v>
      </c>
      <c r="Q63" s="80">
        <f>SUMIFS('апрель 2024'!$G$4:$G$1689,'апрель 2024'!$D$4:$D$1689,$B63,'апрель 2024'!$J$4:$J$1689,Q$1)</f>
        <v>0</v>
      </c>
      <c r="R63" s="80">
        <f>SUMIFS('апрель 2024'!$G$4:$G$1689,'апрель 2024'!$D$4:$D$1689,$B63,'апрель 2024'!$J$4:$J$1689,R$1)</f>
        <v>0</v>
      </c>
      <c r="S63" s="80">
        <f>SUMIFS('апрель 2024'!$G$4:$G$1689,'апрель 2024'!$D$4:$D$1689,$B63,'апрель 2024'!$J$4:$J$1689,S$1)</f>
        <v>0</v>
      </c>
      <c r="T63" s="80">
        <f>SUMIFS('апрель 2024'!$G$4:$G$1689,'апрель 2024'!$D$4:$D$1689,$B63,'апрель 2024'!$J$4:$J$1689,T$1)</f>
        <v>0</v>
      </c>
      <c r="U63" s="80">
        <f>SUMIFS('апрель 2024'!$G$4:$G$1689,'апрель 2024'!$D$4:$D$1689,$B63,'апрель 2024'!$J$4:$J$1689,U$1)</f>
        <v>0</v>
      </c>
      <c r="V63" s="80">
        <f>SUMIFS('апрель 2024'!$G$4:$G$1689,'апрель 2024'!$D$4:$D$1689,$B63,'апрель 2024'!$J$4:$J$1689,V$1)</f>
        <v>0</v>
      </c>
      <c r="W63" s="80">
        <f>SUMIFS('апрель 2024'!$G$4:$G$1689,'апрель 2024'!$D$4:$D$1689,$B63,'апрель 2024'!$J$4:$J$1689,W$1)</f>
        <v>0</v>
      </c>
      <c r="X63" s="80">
        <f>SUMIFS('апрель 2024'!$G$4:$G$1689,'апрель 2024'!$D$4:$D$1689,$B63,'апрель 2024'!$J$4:$J$1689,X$1)</f>
        <v>0</v>
      </c>
      <c r="Y63" s="80">
        <f>SUMIFS('апрель 2024'!$G$4:$G$1689,'апрель 2024'!$D$4:$D$1689,$B63,'апрель 2024'!$J$4:$J$1689,Y$1)</f>
        <v>0</v>
      </c>
      <c r="Z63" s="80">
        <f>SUMIFS('апрель 2024'!$G$4:$G$1689,'апрель 2024'!$D$4:$D$1689,$B63,'апрель 2024'!$J$4:$J$1689,Z$1)</f>
        <v>0</v>
      </c>
      <c r="AA63" s="80">
        <f>SUMIFS('апрель 2024'!$G$4:$G$1689,'апрель 2024'!$D$4:$D$1689,$B63,'апрель 2024'!$J$4:$J$1689,AA$1)</f>
        <v>0</v>
      </c>
      <c r="AB63" s="80">
        <f>SUMIFS('апрель 2024'!$G$4:$G$1689,'апрель 2024'!$D$4:$D$1689,$B63,'апрель 2024'!$J$4:$J$1689,AB$1)</f>
        <v>0</v>
      </c>
      <c r="AC63" s="80">
        <f>SUMIFS('апрель 2024'!$G$4:$G$1689,'апрель 2024'!$D$4:$D$1689,$B63,'апрель 2024'!$J$4:$J$1689,AC$1)</f>
        <v>0</v>
      </c>
      <c r="AD63" s="80">
        <f>SUMIFS('апрель 2024'!$G$4:$G$1689,'апрель 2024'!$D$4:$D$1689,$B63,'апрель 2024'!$J$4:$J$1689,AD$1)</f>
        <v>0</v>
      </c>
      <c r="AE63" s="80">
        <f>SUMIFS('апрель 2024'!$G$4:$G$1689,'апрель 2024'!$D$4:$D$1689,$B63,'апрель 2024'!$J$4:$J$1689,AE$1)</f>
        <v>0</v>
      </c>
      <c r="AF63" s="80">
        <f>SUMIFS('апрель 2024'!$G$4:$G$1689,'апрель 2024'!$D$4:$D$1689,$B63,'апрель 2024'!$J$4:$J$1689,AF$1)</f>
        <v>0</v>
      </c>
      <c r="AG63" s="80">
        <f>SUMIFS('апрель 2024'!$G$4:$G$1689,'апрель 2024'!$D$4:$D$1689,$B63,'апрель 2024'!$J$4:$J$1689,AG$1)</f>
        <v>0</v>
      </c>
      <c r="AH63" s="80">
        <f>SUMIFS('апрель 2024'!$G$4:$G$1689,'апрель 2024'!$D$4:$D$1689,$B63,'апрель 2024'!$J$4:$J$1689,AH$1)</f>
        <v>0</v>
      </c>
      <c r="AI63" s="21">
        <f t="shared" si="1"/>
        <v>0</v>
      </c>
    </row>
    <row r="64" spans="2:35" ht="15" customHeight="1" x14ac:dyDescent="0.25">
      <c r="B64" s="93" t="s">
        <v>189</v>
      </c>
      <c r="C64" s="91">
        <v>50</v>
      </c>
      <c r="D64" s="80">
        <f>SUMIFS('апрель 2024'!$G$4:$G$1689,'апрель 2024'!$D$4:$D$1689,$B64,'апрель 2024'!$J$4:$J$1689,D$1)</f>
        <v>0</v>
      </c>
      <c r="E64" s="80">
        <f>SUMIFS('апрель 2024'!$G$4:$G$1689,'апрель 2024'!$D$4:$D$1689,$B64,'апрель 2024'!$J$4:$J$1689,E$1)</f>
        <v>0</v>
      </c>
      <c r="F64" s="80">
        <f>SUMIFS('апрель 2024'!$G$4:$G$1689,'апрель 2024'!$D$4:$D$1689,$B64,'апрель 2024'!$J$4:$J$1689,F$1)</f>
        <v>0</v>
      </c>
      <c r="G64" s="80">
        <f>SUMIFS('апрель 2024'!$G$4:$G$1689,'апрель 2024'!$D$4:$D$1689,$B64,'апрель 2024'!$J$4:$J$1689,G$1)</f>
        <v>0</v>
      </c>
      <c r="H64" s="80">
        <f>SUMIFS('апрель 2024'!$G$4:$G$1689,'апрель 2024'!$D$4:$D$1689,$B64,'апрель 2024'!$J$4:$J$1689,H$1)</f>
        <v>0</v>
      </c>
      <c r="I64" s="80">
        <f>SUMIFS('апрель 2024'!$G$4:$G$1689,'апрель 2024'!$D$4:$D$1689,$B64,'апрель 2024'!$J$4:$J$1689,I$1)</f>
        <v>0</v>
      </c>
      <c r="J64" s="80">
        <f>SUMIFS('апрель 2024'!$G$4:$G$1689,'апрель 2024'!$D$4:$D$1689,$B64,'апрель 2024'!$J$4:$J$1689,J$1)</f>
        <v>0</v>
      </c>
      <c r="K64" s="80">
        <f>SUMIFS('апрель 2024'!$G$4:$G$1689,'апрель 2024'!$D$4:$D$1689,$B64,'апрель 2024'!$J$4:$J$1689,K$1)</f>
        <v>0</v>
      </c>
      <c r="L64" s="80">
        <f>SUMIFS('апрель 2024'!$G$4:$G$1689,'апрель 2024'!$D$4:$D$1689,$B64,'апрель 2024'!$J$4:$J$1689,L$1)</f>
        <v>0</v>
      </c>
      <c r="M64" s="80">
        <f>SUMIFS('апрель 2024'!$G$4:$G$1689,'апрель 2024'!$D$4:$D$1689,$B64,'апрель 2024'!$J$4:$J$1689,M$1)</f>
        <v>0</v>
      </c>
      <c r="N64" s="80">
        <f>SUMIFS('апрель 2024'!$G$4:$G$1689,'апрель 2024'!$D$4:$D$1689,$B64,'апрель 2024'!$J$4:$J$1689,N$1)</f>
        <v>0</v>
      </c>
      <c r="O64" s="80">
        <f>SUMIFS('апрель 2024'!$G$4:$G$1689,'апрель 2024'!$D$4:$D$1689,$B64,'апрель 2024'!$J$4:$J$1689,O$1)</f>
        <v>0</v>
      </c>
      <c r="P64" s="80">
        <f>SUMIFS('апрель 2024'!$G$4:$G$1689,'апрель 2024'!$D$4:$D$1689,$B64,'апрель 2024'!$J$4:$J$1689,P$1)</f>
        <v>0</v>
      </c>
      <c r="Q64" s="80">
        <f>SUMIFS('апрель 2024'!$G$4:$G$1689,'апрель 2024'!$D$4:$D$1689,$B64,'апрель 2024'!$J$4:$J$1689,Q$1)</f>
        <v>0</v>
      </c>
      <c r="R64" s="80">
        <f>SUMIFS('апрель 2024'!$G$4:$G$1689,'апрель 2024'!$D$4:$D$1689,$B64,'апрель 2024'!$J$4:$J$1689,R$1)</f>
        <v>0</v>
      </c>
      <c r="S64" s="80">
        <f>SUMIFS('апрель 2024'!$G$4:$G$1689,'апрель 2024'!$D$4:$D$1689,$B64,'апрель 2024'!$J$4:$J$1689,S$1)</f>
        <v>0</v>
      </c>
      <c r="T64" s="80">
        <f>SUMIFS('апрель 2024'!$G$4:$G$1689,'апрель 2024'!$D$4:$D$1689,$B64,'апрель 2024'!$J$4:$J$1689,T$1)</f>
        <v>0</v>
      </c>
      <c r="U64" s="80">
        <f>SUMIFS('апрель 2024'!$G$4:$G$1689,'апрель 2024'!$D$4:$D$1689,$B64,'апрель 2024'!$J$4:$J$1689,U$1)</f>
        <v>0</v>
      </c>
      <c r="V64" s="80">
        <f>SUMIFS('апрель 2024'!$G$4:$G$1689,'апрель 2024'!$D$4:$D$1689,$B64,'апрель 2024'!$J$4:$J$1689,V$1)</f>
        <v>0</v>
      </c>
      <c r="W64" s="80">
        <f>SUMIFS('апрель 2024'!$G$4:$G$1689,'апрель 2024'!$D$4:$D$1689,$B64,'апрель 2024'!$J$4:$J$1689,W$1)</f>
        <v>0</v>
      </c>
      <c r="X64" s="80">
        <f>SUMIFS('апрель 2024'!$G$4:$G$1689,'апрель 2024'!$D$4:$D$1689,$B64,'апрель 2024'!$J$4:$J$1689,X$1)</f>
        <v>0</v>
      </c>
      <c r="Y64" s="80">
        <f>SUMIFS('апрель 2024'!$G$4:$G$1689,'апрель 2024'!$D$4:$D$1689,$B64,'апрель 2024'!$J$4:$J$1689,Y$1)</f>
        <v>0</v>
      </c>
      <c r="Z64" s="80">
        <f>SUMIFS('апрель 2024'!$G$4:$G$1689,'апрель 2024'!$D$4:$D$1689,$B64,'апрель 2024'!$J$4:$J$1689,Z$1)</f>
        <v>0</v>
      </c>
      <c r="AA64" s="80">
        <f>SUMIFS('апрель 2024'!$G$4:$G$1689,'апрель 2024'!$D$4:$D$1689,$B64,'апрель 2024'!$J$4:$J$1689,AA$1)</f>
        <v>0</v>
      </c>
      <c r="AB64" s="80">
        <f>SUMIFS('апрель 2024'!$G$4:$G$1689,'апрель 2024'!$D$4:$D$1689,$B64,'апрель 2024'!$J$4:$J$1689,AB$1)</f>
        <v>0</v>
      </c>
      <c r="AC64" s="80">
        <f>SUMIFS('апрель 2024'!$G$4:$G$1689,'апрель 2024'!$D$4:$D$1689,$B64,'апрель 2024'!$J$4:$J$1689,AC$1)</f>
        <v>0</v>
      </c>
      <c r="AD64" s="80">
        <f>SUMIFS('апрель 2024'!$G$4:$G$1689,'апрель 2024'!$D$4:$D$1689,$B64,'апрель 2024'!$J$4:$J$1689,AD$1)</f>
        <v>0</v>
      </c>
      <c r="AE64" s="80">
        <f>SUMIFS('апрель 2024'!$G$4:$G$1689,'апрель 2024'!$D$4:$D$1689,$B64,'апрель 2024'!$J$4:$J$1689,AE$1)</f>
        <v>0</v>
      </c>
      <c r="AF64" s="80">
        <f>SUMIFS('апрель 2024'!$G$4:$G$1689,'апрель 2024'!$D$4:$D$1689,$B64,'апрель 2024'!$J$4:$J$1689,AF$1)</f>
        <v>0</v>
      </c>
      <c r="AG64" s="80">
        <f>SUMIFS('апрель 2024'!$G$4:$G$1689,'апрель 2024'!$D$4:$D$1689,$B64,'апрель 2024'!$J$4:$J$1689,AG$1)</f>
        <v>0</v>
      </c>
      <c r="AH64" s="80">
        <f>SUMIFS('апрель 2024'!$G$4:$G$1689,'апрель 2024'!$D$4:$D$1689,$B64,'апрель 2024'!$J$4:$J$1689,AH$1)</f>
        <v>0</v>
      </c>
      <c r="AI64" s="21">
        <f t="shared" si="1"/>
        <v>0</v>
      </c>
    </row>
    <row r="65" spans="2:35" ht="15.75" x14ac:dyDescent="0.25">
      <c r="B65" s="89" t="s">
        <v>159</v>
      </c>
      <c r="C65" s="88">
        <v>200</v>
      </c>
      <c r="D65" s="80">
        <f>SUMIFS('апрель 2024'!$G$4:$G$1689,'апрель 2024'!$D$4:$D$1689,$B65,'апрель 2024'!$J$4:$J$1689,D$1)</f>
        <v>0</v>
      </c>
      <c r="E65" s="80">
        <f>SUMIFS('апрель 2024'!$G$4:$G$1689,'апрель 2024'!$D$4:$D$1689,$B65,'апрель 2024'!$J$4:$J$1689,E$1)</f>
        <v>0</v>
      </c>
      <c r="F65" s="80">
        <f>SUMIFS('апрель 2024'!$G$4:$G$1689,'апрель 2024'!$D$4:$D$1689,$B65,'апрель 2024'!$J$4:$J$1689,F$1)</f>
        <v>0</v>
      </c>
      <c r="G65" s="80">
        <f>SUMIFS('апрель 2024'!$G$4:$G$1689,'апрель 2024'!$D$4:$D$1689,$B65,'апрель 2024'!$J$4:$J$1689,G$1)</f>
        <v>0</v>
      </c>
      <c r="H65" s="80">
        <f>SUMIFS('апрель 2024'!$G$4:$G$1689,'апрель 2024'!$D$4:$D$1689,$B65,'апрель 2024'!$J$4:$J$1689,H$1)</f>
        <v>0</v>
      </c>
      <c r="I65" s="80">
        <f>SUMIFS('апрель 2024'!$G$4:$G$1689,'апрель 2024'!$D$4:$D$1689,$B65,'апрель 2024'!$J$4:$J$1689,I$1)</f>
        <v>0</v>
      </c>
      <c r="J65" s="80">
        <f>SUMIFS('апрель 2024'!$G$4:$G$1689,'апрель 2024'!$D$4:$D$1689,$B65,'апрель 2024'!$J$4:$J$1689,J$1)</f>
        <v>0</v>
      </c>
      <c r="K65" s="80">
        <f>SUMIFS('апрель 2024'!$G$4:$G$1689,'апрель 2024'!$D$4:$D$1689,$B65,'апрель 2024'!$J$4:$J$1689,K$1)</f>
        <v>0</v>
      </c>
      <c r="L65" s="80">
        <f>SUMIFS('апрель 2024'!$G$4:$G$1689,'апрель 2024'!$D$4:$D$1689,$B65,'апрель 2024'!$J$4:$J$1689,L$1)</f>
        <v>0</v>
      </c>
      <c r="M65" s="80">
        <f>SUMIFS('апрель 2024'!$G$4:$G$1689,'апрель 2024'!$D$4:$D$1689,$B65,'апрель 2024'!$J$4:$J$1689,M$1)</f>
        <v>0</v>
      </c>
      <c r="N65" s="80">
        <f>SUMIFS('апрель 2024'!$G$4:$G$1689,'апрель 2024'!$D$4:$D$1689,$B65,'апрель 2024'!$J$4:$J$1689,N$1)</f>
        <v>0</v>
      </c>
      <c r="O65" s="80">
        <f>SUMIFS('апрель 2024'!$G$4:$G$1689,'апрель 2024'!$D$4:$D$1689,$B65,'апрель 2024'!$J$4:$J$1689,O$1)</f>
        <v>0</v>
      </c>
      <c r="P65" s="80">
        <f>SUMIFS('апрель 2024'!$G$4:$G$1689,'апрель 2024'!$D$4:$D$1689,$B65,'апрель 2024'!$J$4:$J$1689,P$1)</f>
        <v>0</v>
      </c>
      <c r="Q65" s="80">
        <f>SUMIFS('апрель 2024'!$G$4:$G$1689,'апрель 2024'!$D$4:$D$1689,$B65,'апрель 2024'!$J$4:$J$1689,Q$1)</f>
        <v>0</v>
      </c>
      <c r="R65" s="80">
        <f>SUMIFS('апрель 2024'!$G$4:$G$1689,'апрель 2024'!$D$4:$D$1689,$B65,'апрель 2024'!$J$4:$J$1689,R$1)</f>
        <v>0</v>
      </c>
      <c r="S65" s="80">
        <f>SUMIFS('апрель 2024'!$G$4:$G$1689,'апрель 2024'!$D$4:$D$1689,$B65,'апрель 2024'!$J$4:$J$1689,S$1)</f>
        <v>0</v>
      </c>
      <c r="T65" s="80">
        <f>SUMIFS('апрель 2024'!$G$4:$G$1689,'апрель 2024'!$D$4:$D$1689,$B65,'апрель 2024'!$J$4:$J$1689,T$1)</f>
        <v>0</v>
      </c>
      <c r="U65" s="80">
        <f>SUMIFS('апрель 2024'!$G$4:$G$1689,'апрель 2024'!$D$4:$D$1689,$B65,'апрель 2024'!$J$4:$J$1689,U$1)</f>
        <v>0</v>
      </c>
      <c r="V65" s="80">
        <f>SUMIFS('апрель 2024'!$G$4:$G$1689,'апрель 2024'!$D$4:$D$1689,$B65,'апрель 2024'!$J$4:$J$1689,V$1)</f>
        <v>0</v>
      </c>
      <c r="W65" s="80">
        <f>SUMIFS('апрель 2024'!$G$4:$G$1689,'апрель 2024'!$D$4:$D$1689,$B65,'апрель 2024'!$J$4:$J$1689,W$1)</f>
        <v>0</v>
      </c>
      <c r="X65" s="80">
        <f>SUMIFS('апрель 2024'!$G$4:$G$1689,'апрель 2024'!$D$4:$D$1689,$B65,'апрель 2024'!$J$4:$J$1689,X$1)</f>
        <v>0</v>
      </c>
      <c r="Y65" s="80">
        <f>SUMIFS('апрель 2024'!$G$4:$G$1689,'апрель 2024'!$D$4:$D$1689,$B65,'апрель 2024'!$J$4:$J$1689,Y$1)</f>
        <v>0</v>
      </c>
      <c r="Z65" s="80">
        <f>SUMIFS('апрель 2024'!$G$4:$G$1689,'апрель 2024'!$D$4:$D$1689,$B65,'апрель 2024'!$J$4:$J$1689,Z$1)</f>
        <v>0</v>
      </c>
      <c r="AA65" s="80">
        <f>SUMIFS('апрель 2024'!$G$4:$G$1689,'апрель 2024'!$D$4:$D$1689,$B65,'апрель 2024'!$J$4:$J$1689,AA$1)</f>
        <v>0</v>
      </c>
      <c r="AB65" s="80">
        <f>SUMIFS('апрель 2024'!$G$4:$G$1689,'апрель 2024'!$D$4:$D$1689,$B65,'апрель 2024'!$J$4:$J$1689,AB$1)</f>
        <v>0</v>
      </c>
      <c r="AC65" s="80">
        <f>SUMIFS('апрель 2024'!$G$4:$G$1689,'апрель 2024'!$D$4:$D$1689,$B65,'апрель 2024'!$J$4:$J$1689,AC$1)</f>
        <v>0</v>
      </c>
      <c r="AD65" s="80">
        <f>SUMIFS('апрель 2024'!$G$4:$G$1689,'апрель 2024'!$D$4:$D$1689,$B65,'апрель 2024'!$J$4:$J$1689,AD$1)</f>
        <v>0</v>
      </c>
      <c r="AE65" s="80">
        <f>SUMIFS('апрель 2024'!$G$4:$G$1689,'апрель 2024'!$D$4:$D$1689,$B65,'апрель 2024'!$J$4:$J$1689,AE$1)</f>
        <v>0</v>
      </c>
      <c r="AF65" s="80">
        <f>SUMIFS('апрель 2024'!$G$4:$G$1689,'апрель 2024'!$D$4:$D$1689,$B65,'апрель 2024'!$J$4:$J$1689,AF$1)</f>
        <v>0</v>
      </c>
      <c r="AG65" s="80">
        <f>SUMIFS('апрель 2024'!$G$4:$G$1689,'апрель 2024'!$D$4:$D$1689,$B65,'апрель 2024'!$J$4:$J$1689,AG$1)</f>
        <v>0</v>
      </c>
      <c r="AH65" s="80">
        <f>SUMIFS('апрель 2024'!$G$4:$G$1689,'апрель 2024'!$D$4:$D$1689,$B65,'апрель 2024'!$J$4:$J$1689,AH$1)</f>
        <v>0</v>
      </c>
      <c r="AI65" s="21">
        <f t="shared" si="1"/>
        <v>0</v>
      </c>
    </row>
    <row r="66" spans="2:35" ht="15.75" x14ac:dyDescent="0.25">
      <c r="B66" s="93" t="s">
        <v>158</v>
      </c>
      <c r="C66" s="91">
        <v>200</v>
      </c>
      <c r="D66" s="80">
        <f>SUMIFS('апрель 2024'!$G$4:$G$1689,'апрель 2024'!$D$4:$D$1689,$B66,'апрель 2024'!$J$4:$J$1689,D$1)</f>
        <v>0</v>
      </c>
      <c r="E66" s="80">
        <f>SUMIFS('апрель 2024'!$G$4:$G$1689,'апрель 2024'!$D$4:$D$1689,$B66,'апрель 2024'!$J$4:$J$1689,E$1)</f>
        <v>0</v>
      </c>
      <c r="F66" s="80">
        <f>SUMIFS('апрель 2024'!$G$4:$G$1689,'апрель 2024'!$D$4:$D$1689,$B66,'апрель 2024'!$J$4:$J$1689,F$1)</f>
        <v>0</v>
      </c>
      <c r="G66" s="80">
        <f>SUMIFS('апрель 2024'!$G$4:$G$1689,'апрель 2024'!$D$4:$D$1689,$B66,'апрель 2024'!$J$4:$J$1689,G$1)</f>
        <v>88</v>
      </c>
      <c r="H66" s="80">
        <f>SUMIFS('апрель 2024'!$G$4:$G$1689,'апрель 2024'!$D$4:$D$1689,$B66,'апрель 2024'!$J$4:$J$1689,H$1)</f>
        <v>0</v>
      </c>
      <c r="I66" s="80">
        <f>SUMIFS('апрель 2024'!$G$4:$G$1689,'апрель 2024'!$D$4:$D$1689,$B66,'апрель 2024'!$J$4:$J$1689,I$1)</f>
        <v>0</v>
      </c>
      <c r="J66" s="80">
        <f>SUMIFS('апрель 2024'!$G$4:$G$1689,'апрель 2024'!$D$4:$D$1689,$B66,'апрель 2024'!$J$4:$J$1689,J$1)</f>
        <v>0</v>
      </c>
      <c r="K66" s="80">
        <f>SUMIFS('апрель 2024'!$G$4:$G$1689,'апрель 2024'!$D$4:$D$1689,$B66,'апрель 2024'!$J$4:$J$1689,K$1)</f>
        <v>0</v>
      </c>
      <c r="L66" s="80">
        <f>SUMIFS('апрель 2024'!$G$4:$G$1689,'апрель 2024'!$D$4:$D$1689,$B66,'апрель 2024'!$J$4:$J$1689,L$1)</f>
        <v>0</v>
      </c>
      <c r="M66" s="80">
        <f>SUMIFS('апрель 2024'!$G$4:$G$1689,'апрель 2024'!$D$4:$D$1689,$B66,'апрель 2024'!$J$4:$J$1689,M$1)</f>
        <v>0</v>
      </c>
      <c r="N66" s="80">
        <f>SUMIFS('апрель 2024'!$G$4:$G$1689,'апрель 2024'!$D$4:$D$1689,$B66,'апрель 2024'!$J$4:$J$1689,N$1)</f>
        <v>0</v>
      </c>
      <c r="O66" s="80">
        <f>SUMIFS('апрель 2024'!$G$4:$G$1689,'апрель 2024'!$D$4:$D$1689,$B66,'апрель 2024'!$J$4:$J$1689,O$1)</f>
        <v>0</v>
      </c>
      <c r="P66" s="80">
        <f>SUMIFS('апрель 2024'!$G$4:$G$1689,'апрель 2024'!$D$4:$D$1689,$B66,'апрель 2024'!$J$4:$J$1689,P$1)</f>
        <v>0</v>
      </c>
      <c r="Q66" s="80">
        <f>SUMIFS('апрель 2024'!$G$4:$G$1689,'апрель 2024'!$D$4:$D$1689,$B66,'апрель 2024'!$J$4:$J$1689,Q$1)</f>
        <v>0</v>
      </c>
      <c r="R66" s="80">
        <f>SUMIFS('апрель 2024'!$G$4:$G$1689,'апрель 2024'!$D$4:$D$1689,$B66,'апрель 2024'!$J$4:$J$1689,R$1)</f>
        <v>0</v>
      </c>
      <c r="S66" s="80">
        <f>SUMIFS('апрель 2024'!$G$4:$G$1689,'апрель 2024'!$D$4:$D$1689,$B66,'апрель 2024'!$J$4:$J$1689,S$1)</f>
        <v>0</v>
      </c>
      <c r="T66" s="80">
        <f>SUMIFS('апрель 2024'!$G$4:$G$1689,'апрель 2024'!$D$4:$D$1689,$B66,'апрель 2024'!$J$4:$J$1689,T$1)</f>
        <v>0</v>
      </c>
      <c r="U66" s="80">
        <f>SUMIFS('апрель 2024'!$G$4:$G$1689,'апрель 2024'!$D$4:$D$1689,$B66,'апрель 2024'!$J$4:$J$1689,U$1)</f>
        <v>0</v>
      </c>
      <c r="V66" s="80">
        <f>SUMIFS('апрель 2024'!$G$4:$G$1689,'апрель 2024'!$D$4:$D$1689,$B66,'апрель 2024'!$J$4:$J$1689,V$1)</f>
        <v>0</v>
      </c>
      <c r="W66" s="80">
        <f>SUMIFS('апрель 2024'!$G$4:$G$1689,'апрель 2024'!$D$4:$D$1689,$B66,'апрель 2024'!$J$4:$J$1689,W$1)</f>
        <v>0</v>
      </c>
      <c r="X66" s="80">
        <f>SUMIFS('апрель 2024'!$G$4:$G$1689,'апрель 2024'!$D$4:$D$1689,$B66,'апрель 2024'!$J$4:$J$1689,X$1)</f>
        <v>0</v>
      </c>
      <c r="Y66" s="80">
        <f>SUMIFS('апрель 2024'!$G$4:$G$1689,'апрель 2024'!$D$4:$D$1689,$B66,'апрель 2024'!$J$4:$J$1689,Y$1)</f>
        <v>0</v>
      </c>
      <c r="Z66" s="80">
        <f>SUMIFS('апрель 2024'!$G$4:$G$1689,'апрель 2024'!$D$4:$D$1689,$B66,'апрель 2024'!$J$4:$J$1689,Z$1)</f>
        <v>0</v>
      </c>
      <c r="AA66" s="80">
        <f>SUMIFS('апрель 2024'!$G$4:$G$1689,'апрель 2024'!$D$4:$D$1689,$B66,'апрель 2024'!$J$4:$J$1689,AA$1)</f>
        <v>88</v>
      </c>
      <c r="AB66" s="80">
        <f>SUMIFS('апрель 2024'!$G$4:$G$1689,'апрель 2024'!$D$4:$D$1689,$B66,'апрель 2024'!$J$4:$J$1689,AB$1)</f>
        <v>0</v>
      </c>
      <c r="AC66" s="80">
        <f>SUMIFS('апрель 2024'!$G$4:$G$1689,'апрель 2024'!$D$4:$D$1689,$B66,'апрель 2024'!$J$4:$J$1689,AC$1)</f>
        <v>0</v>
      </c>
      <c r="AD66" s="80">
        <f>SUMIFS('апрель 2024'!$G$4:$G$1689,'апрель 2024'!$D$4:$D$1689,$B66,'апрель 2024'!$J$4:$J$1689,AD$1)</f>
        <v>0</v>
      </c>
      <c r="AE66" s="80">
        <f>SUMIFS('апрель 2024'!$G$4:$G$1689,'апрель 2024'!$D$4:$D$1689,$B66,'апрель 2024'!$J$4:$J$1689,AE$1)</f>
        <v>0</v>
      </c>
      <c r="AF66" s="80">
        <f>SUMIFS('апрель 2024'!$G$4:$G$1689,'апрель 2024'!$D$4:$D$1689,$B66,'апрель 2024'!$J$4:$J$1689,AF$1)</f>
        <v>0</v>
      </c>
      <c r="AG66" s="80">
        <f>SUMIFS('апрель 2024'!$G$4:$G$1689,'апрель 2024'!$D$4:$D$1689,$B66,'апрель 2024'!$J$4:$J$1689,AG$1)</f>
        <v>0</v>
      </c>
      <c r="AH66" s="80">
        <f>SUMIFS('апрель 2024'!$G$4:$G$1689,'апрель 2024'!$D$4:$D$1689,$B66,'апрель 2024'!$J$4:$J$1689,AH$1)</f>
        <v>0</v>
      </c>
      <c r="AI66" s="21">
        <f t="shared" si="1"/>
        <v>176</v>
      </c>
    </row>
    <row r="67" spans="2:35" ht="15.75" x14ac:dyDescent="0.25">
      <c r="B67" s="93" t="s">
        <v>897</v>
      </c>
      <c r="C67" s="91">
        <v>200</v>
      </c>
      <c r="D67" s="80">
        <f>SUMIFS('апрель 2024'!$G$4:$G$1689,'апрель 2024'!$D$4:$D$1689,$B67,'апрель 2024'!$J$4:$J$1689,D$1)</f>
        <v>88</v>
      </c>
      <c r="E67" s="80">
        <f>SUMIFS('апрель 2024'!$G$4:$G$1689,'апрель 2024'!$D$4:$D$1689,$B67,'апрель 2024'!$J$4:$J$1689,E$1)</f>
        <v>0</v>
      </c>
      <c r="F67" s="80">
        <f>SUMIFS('апрель 2024'!$G$4:$G$1689,'апрель 2024'!$D$4:$D$1689,$B67,'апрель 2024'!$J$4:$J$1689,F$1)</f>
        <v>0</v>
      </c>
      <c r="G67" s="80">
        <f>SUMIFS('апрель 2024'!$G$4:$G$1689,'апрель 2024'!$D$4:$D$1689,$B67,'апрель 2024'!$J$4:$J$1689,G$1)</f>
        <v>0</v>
      </c>
      <c r="H67" s="80">
        <f>SUMIFS('апрель 2024'!$G$4:$G$1689,'апрель 2024'!$D$4:$D$1689,$B67,'апрель 2024'!$J$4:$J$1689,H$1)</f>
        <v>0</v>
      </c>
      <c r="I67" s="80">
        <f>SUMIFS('апрель 2024'!$G$4:$G$1689,'апрель 2024'!$D$4:$D$1689,$B67,'апрель 2024'!$J$4:$J$1689,I$1)</f>
        <v>0</v>
      </c>
      <c r="J67" s="80">
        <f>SUMIFS('апрель 2024'!$G$4:$G$1689,'апрель 2024'!$D$4:$D$1689,$B67,'апрель 2024'!$J$4:$J$1689,J$1)</f>
        <v>0</v>
      </c>
      <c r="K67" s="80">
        <f>SUMIFS('апрель 2024'!$G$4:$G$1689,'апрель 2024'!$D$4:$D$1689,$B67,'апрель 2024'!$J$4:$J$1689,K$1)</f>
        <v>0</v>
      </c>
      <c r="L67" s="80">
        <f>SUMIFS('апрель 2024'!$G$4:$G$1689,'апрель 2024'!$D$4:$D$1689,$B67,'апрель 2024'!$J$4:$J$1689,L$1)</f>
        <v>0</v>
      </c>
      <c r="M67" s="80">
        <f>SUMIFS('апрель 2024'!$G$4:$G$1689,'апрель 2024'!$D$4:$D$1689,$B67,'апрель 2024'!$J$4:$J$1689,M$1)</f>
        <v>0</v>
      </c>
      <c r="N67" s="80">
        <f>SUMIFS('апрель 2024'!$G$4:$G$1689,'апрель 2024'!$D$4:$D$1689,$B67,'апрель 2024'!$J$4:$J$1689,N$1)</f>
        <v>0</v>
      </c>
      <c r="O67" s="80">
        <f>SUMIFS('апрель 2024'!$G$4:$G$1689,'апрель 2024'!$D$4:$D$1689,$B67,'апрель 2024'!$J$4:$J$1689,O$1)</f>
        <v>0</v>
      </c>
      <c r="P67" s="80">
        <f>SUMIFS('апрель 2024'!$G$4:$G$1689,'апрель 2024'!$D$4:$D$1689,$B67,'апрель 2024'!$J$4:$J$1689,P$1)</f>
        <v>0</v>
      </c>
      <c r="Q67" s="80">
        <f>SUMIFS('апрель 2024'!$G$4:$G$1689,'апрель 2024'!$D$4:$D$1689,$B67,'апрель 2024'!$J$4:$J$1689,Q$1)</f>
        <v>0</v>
      </c>
      <c r="R67" s="80">
        <f>SUMIFS('апрель 2024'!$G$4:$G$1689,'апрель 2024'!$D$4:$D$1689,$B67,'апрель 2024'!$J$4:$J$1689,R$1)</f>
        <v>0</v>
      </c>
      <c r="S67" s="80">
        <f>SUMIFS('апрель 2024'!$G$4:$G$1689,'апрель 2024'!$D$4:$D$1689,$B67,'апрель 2024'!$J$4:$J$1689,S$1)</f>
        <v>0</v>
      </c>
      <c r="T67" s="80">
        <f>SUMIFS('апрель 2024'!$G$4:$G$1689,'апрель 2024'!$D$4:$D$1689,$B67,'апрель 2024'!$J$4:$J$1689,T$1)</f>
        <v>0</v>
      </c>
      <c r="U67" s="80">
        <f>SUMIFS('апрель 2024'!$G$4:$G$1689,'апрель 2024'!$D$4:$D$1689,$B67,'апрель 2024'!$J$4:$J$1689,U$1)</f>
        <v>80</v>
      </c>
      <c r="V67" s="80">
        <f>SUMIFS('апрель 2024'!$G$4:$G$1689,'апрель 2024'!$D$4:$D$1689,$B67,'апрель 2024'!$J$4:$J$1689,V$1)</f>
        <v>160</v>
      </c>
      <c r="W67" s="80">
        <f>SUMIFS('апрель 2024'!$G$4:$G$1689,'апрель 2024'!$D$4:$D$1689,$B67,'апрель 2024'!$J$4:$J$1689,W$1)</f>
        <v>0</v>
      </c>
      <c r="X67" s="80">
        <f>SUMIFS('апрель 2024'!$G$4:$G$1689,'апрель 2024'!$D$4:$D$1689,$B67,'апрель 2024'!$J$4:$J$1689,X$1)</f>
        <v>0</v>
      </c>
      <c r="Y67" s="80">
        <f>SUMIFS('апрель 2024'!$G$4:$G$1689,'апрель 2024'!$D$4:$D$1689,$B67,'апрель 2024'!$J$4:$J$1689,Y$1)</f>
        <v>0</v>
      </c>
      <c r="Z67" s="80">
        <f>SUMIFS('апрель 2024'!$G$4:$G$1689,'апрель 2024'!$D$4:$D$1689,$B67,'апрель 2024'!$J$4:$J$1689,Z$1)</f>
        <v>0</v>
      </c>
      <c r="AA67" s="80">
        <f>SUMIFS('апрель 2024'!$G$4:$G$1689,'апрель 2024'!$D$4:$D$1689,$B67,'апрель 2024'!$J$4:$J$1689,AA$1)</f>
        <v>0</v>
      </c>
      <c r="AB67" s="80">
        <f>SUMIFS('апрель 2024'!$G$4:$G$1689,'апрель 2024'!$D$4:$D$1689,$B67,'апрель 2024'!$J$4:$J$1689,AB$1)</f>
        <v>0</v>
      </c>
      <c r="AC67" s="80">
        <f>SUMIFS('апрель 2024'!$G$4:$G$1689,'апрель 2024'!$D$4:$D$1689,$B67,'апрель 2024'!$J$4:$J$1689,AC$1)</f>
        <v>0</v>
      </c>
      <c r="AD67" s="80">
        <f>SUMIFS('апрель 2024'!$G$4:$G$1689,'апрель 2024'!$D$4:$D$1689,$B67,'апрель 2024'!$J$4:$J$1689,AD$1)</f>
        <v>0</v>
      </c>
      <c r="AE67" s="80">
        <f>SUMIFS('апрель 2024'!$G$4:$G$1689,'апрель 2024'!$D$4:$D$1689,$B67,'апрель 2024'!$J$4:$J$1689,AE$1)</f>
        <v>0</v>
      </c>
      <c r="AF67" s="80">
        <f>SUMIFS('апрель 2024'!$G$4:$G$1689,'апрель 2024'!$D$4:$D$1689,$B67,'апрель 2024'!$J$4:$J$1689,AF$1)</f>
        <v>0</v>
      </c>
      <c r="AG67" s="80">
        <f>SUMIFS('апрель 2024'!$G$4:$G$1689,'апрель 2024'!$D$4:$D$1689,$B67,'апрель 2024'!$J$4:$J$1689,AG$1)</f>
        <v>0</v>
      </c>
      <c r="AH67" s="80">
        <f>SUMIFS('апрель 2024'!$G$4:$G$1689,'апрель 2024'!$D$4:$D$1689,$B67,'апрель 2024'!$J$4:$J$1689,AH$1)</f>
        <v>0</v>
      </c>
      <c r="AI67" s="21">
        <f t="shared" si="1"/>
        <v>328</v>
      </c>
    </row>
    <row r="68" spans="2:35" ht="15" customHeight="1" x14ac:dyDescent="0.25">
      <c r="B68" s="93" t="s">
        <v>213</v>
      </c>
      <c r="C68" s="91">
        <v>200</v>
      </c>
      <c r="D68" s="80">
        <f>SUMIFS('апрель 2024'!$G$4:$G$1689,'апрель 2024'!$D$4:$D$1689,$B68,'апрель 2024'!$J$4:$J$1689,D$1)</f>
        <v>0</v>
      </c>
      <c r="E68" s="80">
        <f>SUMIFS('апрель 2024'!$G$4:$G$1689,'апрель 2024'!$D$4:$D$1689,$B68,'апрель 2024'!$J$4:$J$1689,E$1)</f>
        <v>0</v>
      </c>
      <c r="F68" s="80">
        <f>SUMIFS('апрель 2024'!$G$4:$G$1689,'апрель 2024'!$D$4:$D$1689,$B68,'апрель 2024'!$J$4:$J$1689,F$1)</f>
        <v>0</v>
      </c>
      <c r="G68" s="80">
        <f>SUMIFS('апрель 2024'!$G$4:$G$1689,'апрель 2024'!$D$4:$D$1689,$B68,'апрель 2024'!$J$4:$J$1689,G$1)</f>
        <v>0</v>
      </c>
      <c r="H68" s="80">
        <f>SUMIFS('апрель 2024'!$G$4:$G$1689,'апрель 2024'!$D$4:$D$1689,$B68,'апрель 2024'!$J$4:$J$1689,H$1)</f>
        <v>0</v>
      </c>
      <c r="I68" s="80">
        <f>SUMIFS('апрель 2024'!$G$4:$G$1689,'апрель 2024'!$D$4:$D$1689,$B68,'апрель 2024'!$J$4:$J$1689,I$1)</f>
        <v>0</v>
      </c>
      <c r="J68" s="80">
        <f>SUMIFS('апрель 2024'!$G$4:$G$1689,'апрель 2024'!$D$4:$D$1689,$B68,'апрель 2024'!$J$4:$J$1689,J$1)</f>
        <v>0</v>
      </c>
      <c r="K68" s="80">
        <f>SUMIFS('апрель 2024'!$G$4:$G$1689,'апрель 2024'!$D$4:$D$1689,$B68,'апрель 2024'!$J$4:$J$1689,K$1)</f>
        <v>0</v>
      </c>
      <c r="L68" s="80">
        <f>SUMIFS('апрель 2024'!$G$4:$G$1689,'апрель 2024'!$D$4:$D$1689,$B68,'апрель 2024'!$J$4:$J$1689,L$1)</f>
        <v>0</v>
      </c>
      <c r="M68" s="80">
        <f>SUMIFS('апрель 2024'!$G$4:$G$1689,'апрель 2024'!$D$4:$D$1689,$B68,'апрель 2024'!$J$4:$J$1689,M$1)</f>
        <v>0</v>
      </c>
      <c r="N68" s="80">
        <f>SUMIFS('апрель 2024'!$G$4:$G$1689,'апрель 2024'!$D$4:$D$1689,$B68,'апрель 2024'!$J$4:$J$1689,N$1)</f>
        <v>0</v>
      </c>
      <c r="O68" s="80">
        <f>SUMIFS('апрель 2024'!$G$4:$G$1689,'апрель 2024'!$D$4:$D$1689,$B68,'апрель 2024'!$J$4:$J$1689,O$1)</f>
        <v>0</v>
      </c>
      <c r="P68" s="80">
        <f>SUMIFS('апрель 2024'!$G$4:$G$1689,'апрель 2024'!$D$4:$D$1689,$B68,'апрель 2024'!$J$4:$J$1689,P$1)</f>
        <v>0</v>
      </c>
      <c r="Q68" s="80">
        <f>SUMIFS('апрель 2024'!$G$4:$G$1689,'апрель 2024'!$D$4:$D$1689,$B68,'апрель 2024'!$J$4:$J$1689,Q$1)</f>
        <v>0</v>
      </c>
      <c r="R68" s="80">
        <f>SUMIFS('апрель 2024'!$G$4:$G$1689,'апрель 2024'!$D$4:$D$1689,$B68,'апрель 2024'!$J$4:$J$1689,R$1)</f>
        <v>0</v>
      </c>
      <c r="S68" s="80">
        <f>SUMIFS('апрель 2024'!$G$4:$G$1689,'апрель 2024'!$D$4:$D$1689,$B68,'апрель 2024'!$J$4:$J$1689,S$1)</f>
        <v>0</v>
      </c>
      <c r="T68" s="80">
        <f>SUMIFS('апрель 2024'!$G$4:$G$1689,'апрель 2024'!$D$4:$D$1689,$B68,'апрель 2024'!$J$4:$J$1689,T$1)</f>
        <v>0</v>
      </c>
      <c r="U68" s="80">
        <f>SUMIFS('апрель 2024'!$G$4:$G$1689,'апрель 2024'!$D$4:$D$1689,$B68,'апрель 2024'!$J$4:$J$1689,U$1)</f>
        <v>0</v>
      </c>
      <c r="V68" s="80">
        <f>SUMIFS('апрель 2024'!$G$4:$G$1689,'апрель 2024'!$D$4:$D$1689,$B68,'апрель 2024'!$J$4:$J$1689,V$1)</f>
        <v>0</v>
      </c>
      <c r="W68" s="80">
        <f>SUMIFS('апрель 2024'!$G$4:$G$1689,'апрель 2024'!$D$4:$D$1689,$B68,'апрель 2024'!$J$4:$J$1689,W$1)</f>
        <v>0</v>
      </c>
      <c r="X68" s="80">
        <f>SUMIFS('апрель 2024'!$G$4:$G$1689,'апрель 2024'!$D$4:$D$1689,$B68,'апрель 2024'!$J$4:$J$1689,X$1)</f>
        <v>0</v>
      </c>
      <c r="Y68" s="80">
        <f>SUMIFS('апрель 2024'!$G$4:$G$1689,'апрель 2024'!$D$4:$D$1689,$B68,'апрель 2024'!$J$4:$J$1689,Y$1)</f>
        <v>0</v>
      </c>
      <c r="Z68" s="80">
        <f>SUMIFS('апрель 2024'!$G$4:$G$1689,'апрель 2024'!$D$4:$D$1689,$B68,'апрель 2024'!$J$4:$J$1689,Z$1)</f>
        <v>0</v>
      </c>
      <c r="AA68" s="80">
        <f>SUMIFS('апрель 2024'!$G$4:$G$1689,'апрель 2024'!$D$4:$D$1689,$B68,'апрель 2024'!$J$4:$J$1689,AA$1)</f>
        <v>0</v>
      </c>
      <c r="AB68" s="80">
        <f>SUMIFS('апрель 2024'!$G$4:$G$1689,'апрель 2024'!$D$4:$D$1689,$B68,'апрель 2024'!$J$4:$J$1689,AB$1)</f>
        <v>0</v>
      </c>
      <c r="AC68" s="80">
        <f>SUMIFS('апрель 2024'!$G$4:$G$1689,'апрель 2024'!$D$4:$D$1689,$B68,'апрель 2024'!$J$4:$J$1689,AC$1)</f>
        <v>0</v>
      </c>
      <c r="AD68" s="80">
        <f>SUMIFS('апрель 2024'!$G$4:$G$1689,'апрель 2024'!$D$4:$D$1689,$B68,'апрель 2024'!$J$4:$J$1689,AD$1)</f>
        <v>0</v>
      </c>
      <c r="AE68" s="80">
        <f>SUMIFS('апрель 2024'!$G$4:$G$1689,'апрель 2024'!$D$4:$D$1689,$B68,'апрель 2024'!$J$4:$J$1689,AE$1)</f>
        <v>0</v>
      </c>
      <c r="AF68" s="80">
        <f>SUMIFS('апрель 2024'!$G$4:$G$1689,'апрель 2024'!$D$4:$D$1689,$B68,'апрель 2024'!$J$4:$J$1689,AF$1)</f>
        <v>0</v>
      </c>
      <c r="AG68" s="80">
        <f>SUMIFS('апрель 2024'!$G$4:$G$1689,'апрель 2024'!$D$4:$D$1689,$B68,'апрель 2024'!$J$4:$J$1689,AG$1)</f>
        <v>0</v>
      </c>
      <c r="AH68" s="80">
        <f>SUMIFS('апрель 2024'!$G$4:$G$1689,'апрель 2024'!$D$4:$D$1689,$B68,'апрель 2024'!$J$4:$J$1689,AH$1)</f>
        <v>0</v>
      </c>
      <c r="AI68" s="21">
        <f t="shared" si="1"/>
        <v>0</v>
      </c>
    </row>
    <row r="69" spans="2:35" ht="15" customHeight="1" x14ac:dyDescent="0.25">
      <c r="B69" s="93" t="s">
        <v>197</v>
      </c>
      <c r="C69" s="91">
        <v>200</v>
      </c>
      <c r="D69" s="80">
        <f>SUMIFS('апрель 2024'!$G$4:$G$1689,'апрель 2024'!$D$4:$D$1689,$B69,'апрель 2024'!$J$4:$J$1689,D$1)</f>
        <v>0</v>
      </c>
      <c r="E69" s="80">
        <f>SUMIFS('апрель 2024'!$G$4:$G$1689,'апрель 2024'!$D$4:$D$1689,$B69,'апрель 2024'!$J$4:$J$1689,E$1)</f>
        <v>0</v>
      </c>
      <c r="F69" s="80">
        <f>SUMIFS('апрель 2024'!$G$4:$G$1689,'апрель 2024'!$D$4:$D$1689,$B69,'апрель 2024'!$J$4:$J$1689,F$1)</f>
        <v>0</v>
      </c>
      <c r="G69" s="80">
        <f>SUMIFS('апрель 2024'!$G$4:$G$1689,'апрель 2024'!$D$4:$D$1689,$B69,'апрель 2024'!$J$4:$J$1689,G$1)</f>
        <v>0</v>
      </c>
      <c r="H69" s="80">
        <f>SUMIFS('апрель 2024'!$G$4:$G$1689,'апрель 2024'!$D$4:$D$1689,$B69,'апрель 2024'!$J$4:$J$1689,H$1)</f>
        <v>0</v>
      </c>
      <c r="I69" s="80">
        <f>SUMIFS('апрель 2024'!$G$4:$G$1689,'апрель 2024'!$D$4:$D$1689,$B69,'апрель 2024'!$J$4:$J$1689,I$1)</f>
        <v>0</v>
      </c>
      <c r="J69" s="80">
        <f>SUMIFS('апрель 2024'!$G$4:$G$1689,'апрель 2024'!$D$4:$D$1689,$B69,'апрель 2024'!$J$4:$J$1689,J$1)</f>
        <v>0</v>
      </c>
      <c r="K69" s="80">
        <f>SUMIFS('апрель 2024'!$G$4:$G$1689,'апрель 2024'!$D$4:$D$1689,$B69,'апрель 2024'!$J$4:$J$1689,K$1)</f>
        <v>0</v>
      </c>
      <c r="L69" s="80">
        <f>SUMIFS('апрель 2024'!$G$4:$G$1689,'апрель 2024'!$D$4:$D$1689,$B69,'апрель 2024'!$J$4:$J$1689,L$1)</f>
        <v>0</v>
      </c>
      <c r="M69" s="80">
        <f>SUMIFS('апрель 2024'!$G$4:$G$1689,'апрель 2024'!$D$4:$D$1689,$B69,'апрель 2024'!$J$4:$J$1689,M$1)</f>
        <v>0</v>
      </c>
      <c r="N69" s="80">
        <f>SUMIFS('апрель 2024'!$G$4:$G$1689,'апрель 2024'!$D$4:$D$1689,$B69,'апрель 2024'!$J$4:$J$1689,N$1)</f>
        <v>0</v>
      </c>
      <c r="O69" s="80">
        <f>SUMIFS('апрель 2024'!$G$4:$G$1689,'апрель 2024'!$D$4:$D$1689,$B69,'апрель 2024'!$J$4:$J$1689,O$1)</f>
        <v>0</v>
      </c>
      <c r="P69" s="80">
        <f>SUMIFS('апрель 2024'!$G$4:$G$1689,'апрель 2024'!$D$4:$D$1689,$B69,'апрель 2024'!$J$4:$J$1689,P$1)</f>
        <v>0</v>
      </c>
      <c r="Q69" s="80">
        <f>SUMIFS('апрель 2024'!$G$4:$G$1689,'апрель 2024'!$D$4:$D$1689,$B69,'апрель 2024'!$J$4:$J$1689,Q$1)</f>
        <v>0</v>
      </c>
      <c r="R69" s="80">
        <f>SUMIFS('апрель 2024'!$G$4:$G$1689,'апрель 2024'!$D$4:$D$1689,$B69,'апрель 2024'!$J$4:$J$1689,R$1)</f>
        <v>0</v>
      </c>
      <c r="S69" s="80">
        <f>SUMIFS('апрель 2024'!$G$4:$G$1689,'апрель 2024'!$D$4:$D$1689,$B69,'апрель 2024'!$J$4:$J$1689,S$1)</f>
        <v>0</v>
      </c>
      <c r="T69" s="80">
        <f>SUMIFS('апрель 2024'!$G$4:$G$1689,'апрель 2024'!$D$4:$D$1689,$B69,'апрель 2024'!$J$4:$J$1689,T$1)</f>
        <v>0</v>
      </c>
      <c r="U69" s="80">
        <f>SUMIFS('апрель 2024'!$G$4:$G$1689,'апрель 2024'!$D$4:$D$1689,$B69,'апрель 2024'!$J$4:$J$1689,U$1)</f>
        <v>0</v>
      </c>
      <c r="V69" s="80">
        <f>SUMIFS('апрель 2024'!$G$4:$G$1689,'апрель 2024'!$D$4:$D$1689,$B69,'апрель 2024'!$J$4:$J$1689,V$1)</f>
        <v>0</v>
      </c>
      <c r="W69" s="80">
        <f>SUMIFS('апрель 2024'!$G$4:$G$1689,'апрель 2024'!$D$4:$D$1689,$B69,'апрель 2024'!$J$4:$J$1689,W$1)</f>
        <v>0</v>
      </c>
      <c r="X69" s="80">
        <f>SUMIFS('апрель 2024'!$G$4:$G$1689,'апрель 2024'!$D$4:$D$1689,$B69,'апрель 2024'!$J$4:$J$1689,X$1)</f>
        <v>0</v>
      </c>
      <c r="Y69" s="80">
        <f>SUMIFS('апрель 2024'!$G$4:$G$1689,'апрель 2024'!$D$4:$D$1689,$B69,'апрель 2024'!$J$4:$J$1689,Y$1)</f>
        <v>0</v>
      </c>
      <c r="Z69" s="80">
        <f>SUMIFS('апрель 2024'!$G$4:$G$1689,'апрель 2024'!$D$4:$D$1689,$B69,'апрель 2024'!$J$4:$J$1689,Z$1)</f>
        <v>0</v>
      </c>
      <c r="AA69" s="80">
        <f>SUMIFS('апрель 2024'!$G$4:$G$1689,'апрель 2024'!$D$4:$D$1689,$B69,'апрель 2024'!$J$4:$J$1689,AA$1)</f>
        <v>0</v>
      </c>
      <c r="AB69" s="80">
        <f>SUMIFS('апрель 2024'!$G$4:$G$1689,'апрель 2024'!$D$4:$D$1689,$B69,'апрель 2024'!$J$4:$J$1689,AB$1)</f>
        <v>0</v>
      </c>
      <c r="AC69" s="80">
        <f>SUMIFS('апрель 2024'!$G$4:$G$1689,'апрель 2024'!$D$4:$D$1689,$B69,'апрель 2024'!$J$4:$J$1689,AC$1)</f>
        <v>0</v>
      </c>
      <c r="AD69" s="80">
        <f>SUMIFS('апрель 2024'!$G$4:$G$1689,'апрель 2024'!$D$4:$D$1689,$B69,'апрель 2024'!$J$4:$J$1689,AD$1)</f>
        <v>0</v>
      </c>
      <c r="AE69" s="80">
        <f>SUMIFS('апрель 2024'!$G$4:$G$1689,'апрель 2024'!$D$4:$D$1689,$B69,'апрель 2024'!$J$4:$J$1689,AE$1)</f>
        <v>0</v>
      </c>
      <c r="AF69" s="80">
        <f>SUMIFS('апрель 2024'!$G$4:$G$1689,'апрель 2024'!$D$4:$D$1689,$B69,'апрель 2024'!$J$4:$J$1689,AF$1)</f>
        <v>0</v>
      </c>
      <c r="AG69" s="80">
        <f>SUMIFS('апрель 2024'!$G$4:$G$1689,'апрель 2024'!$D$4:$D$1689,$B69,'апрель 2024'!$J$4:$J$1689,AG$1)</f>
        <v>0</v>
      </c>
      <c r="AH69" s="80">
        <f>SUMIFS('апрель 2024'!$G$4:$G$1689,'апрель 2024'!$D$4:$D$1689,$B69,'апрель 2024'!$J$4:$J$1689,AH$1)</f>
        <v>0</v>
      </c>
      <c r="AI69" s="21">
        <f t="shared" si="1"/>
        <v>0</v>
      </c>
    </row>
    <row r="70" spans="2:35" ht="15" customHeight="1" x14ac:dyDescent="0.25">
      <c r="B70" s="93" t="s">
        <v>198</v>
      </c>
      <c r="C70" s="91">
        <v>200</v>
      </c>
      <c r="D70" s="80">
        <f>SUMIFS('апрель 2024'!$G$4:$G$1689,'апрель 2024'!$D$4:$D$1689,$B70,'апрель 2024'!$J$4:$J$1689,D$1)</f>
        <v>0</v>
      </c>
      <c r="E70" s="80">
        <f>SUMIFS('апрель 2024'!$G$4:$G$1689,'апрель 2024'!$D$4:$D$1689,$B70,'апрель 2024'!$J$4:$J$1689,E$1)</f>
        <v>0</v>
      </c>
      <c r="F70" s="80">
        <f>SUMIFS('апрель 2024'!$G$4:$G$1689,'апрель 2024'!$D$4:$D$1689,$B70,'апрель 2024'!$J$4:$J$1689,F$1)</f>
        <v>0</v>
      </c>
      <c r="G70" s="80">
        <f>SUMIFS('апрель 2024'!$G$4:$G$1689,'апрель 2024'!$D$4:$D$1689,$B70,'апрель 2024'!$J$4:$J$1689,G$1)</f>
        <v>0</v>
      </c>
      <c r="H70" s="80">
        <f>SUMIFS('апрель 2024'!$G$4:$G$1689,'апрель 2024'!$D$4:$D$1689,$B70,'апрель 2024'!$J$4:$J$1689,H$1)</f>
        <v>0</v>
      </c>
      <c r="I70" s="80">
        <f>SUMIFS('апрель 2024'!$G$4:$G$1689,'апрель 2024'!$D$4:$D$1689,$B70,'апрель 2024'!$J$4:$J$1689,I$1)</f>
        <v>0</v>
      </c>
      <c r="J70" s="80">
        <f>SUMIFS('апрель 2024'!$G$4:$G$1689,'апрель 2024'!$D$4:$D$1689,$B70,'апрель 2024'!$J$4:$J$1689,J$1)</f>
        <v>0</v>
      </c>
      <c r="K70" s="80">
        <f>SUMIFS('апрель 2024'!$G$4:$G$1689,'апрель 2024'!$D$4:$D$1689,$B70,'апрель 2024'!$J$4:$J$1689,K$1)</f>
        <v>0</v>
      </c>
      <c r="L70" s="80">
        <f>SUMIFS('апрель 2024'!$G$4:$G$1689,'апрель 2024'!$D$4:$D$1689,$B70,'апрель 2024'!$J$4:$J$1689,L$1)</f>
        <v>0</v>
      </c>
      <c r="M70" s="80">
        <f>SUMIFS('апрель 2024'!$G$4:$G$1689,'апрель 2024'!$D$4:$D$1689,$B70,'апрель 2024'!$J$4:$J$1689,M$1)</f>
        <v>0</v>
      </c>
      <c r="N70" s="80">
        <f>SUMIFS('апрель 2024'!$G$4:$G$1689,'апрель 2024'!$D$4:$D$1689,$B70,'апрель 2024'!$J$4:$J$1689,N$1)</f>
        <v>0</v>
      </c>
      <c r="O70" s="80">
        <f>SUMIFS('апрель 2024'!$G$4:$G$1689,'апрель 2024'!$D$4:$D$1689,$B70,'апрель 2024'!$J$4:$J$1689,O$1)</f>
        <v>0</v>
      </c>
      <c r="P70" s="80">
        <f>SUMIFS('апрель 2024'!$G$4:$G$1689,'апрель 2024'!$D$4:$D$1689,$B70,'апрель 2024'!$J$4:$J$1689,P$1)</f>
        <v>0</v>
      </c>
      <c r="Q70" s="80">
        <f>SUMIFS('апрель 2024'!$G$4:$G$1689,'апрель 2024'!$D$4:$D$1689,$B70,'апрель 2024'!$J$4:$J$1689,Q$1)</f>
        <v>0</v>
      </c>
      <c r="R70" s="80">
        <f>SUMIFS('апрель 2024'!$G$4:$G$1689,'апрель 2024'!$D$4:$D$1689,$B70,'апрель 2024'!$J$4:$J$1689,R$1)</f>
        <v>0</v>
      </c>
      <c r="S70" s="80">
        <f>SUMIFS('апрель 2024'!$G$4:$G$1689,'апрель 2024'!$D$4:$D$1689,$B70,'апрель 2024'!$J$4:$J$1689,S$1)</f>
        <v>0</v>
      </c>
      <c r="T70" s="80">
        <f>SUMIFS('апрель 2024'!$G$4:$G$1689,'апрель 2024'!$D$4:$D$1689,$B70,'апрель 2024'!$J$4:$J$1689,T$1)</f>
        <v>0</v>
      </c>
      <c r="U70" s="80">
        <f>SUMIFS('апрель 2024'!$G$4:$G$1689,'апрель 2024'!$D$4:$D$1689,$B70,'апрель 2024'!$J$4:$J$1689,U$1)</f>
        <v>0</v>
      </c>
      <c r="V70" s="80">
        <f>SUMIFS('апрель 2024'!$G$4:$G$1689,'апрель 2024'!$D$4:$D$1689,$B70,'апрель 2024'!$J$4:$J$1689,V$1)</f>
        <v>0</v>
      </c>
      <c r="W70" s="80">
        <f>SUMIFS('апрель 2024'!$G$4:$G$1689,'апрель 2024'!$D$4:$D$1689,$B70,'апрель 2024'!$J$4:$J$1689,W$1)</f>
        <v>0</v>
      </c>
      <c r="X70" s="80">
        <f>SUMIFS('апрель 2024'!$G$4:$G$1689,'апрель 2024'!$D$4:$D$1689,$B70,'апрель 2024'!$J$4:$J$1689,X$1)</f>
        <v>0</v>
      </c>
      <c r="Y70" s="80">
        <f>SUMIFS('апрель 2024'!$G$4:$G$1689,'апрель 2024'!$D$4:$D$1689,$B70,'апрель 2024'!$J$4:$J$1689,Y$1)</f>
        <v>0</v>
      </c>
      <c r="Z70" s="80">
        <f>SUMIFS('апрель 2024'!$G$4:$G$1689,'апрель 2024'!$D$4:$D$1689,$B70,'апрель 2024'!$J$4:$J$1689,Z$1)</f>
        <v>0</v>
      </c>
      <c r="AA70" s="80">
        <f>SUMIFS('апрель 2024'!$G$4:$G$1689,'апрель 2024'!$D$4:$D$1689,$B70,'апрель 2024'!$J$4:$J$1689,AA$1)</f>
        <v>0</v>
      </c>
      <c r="AB70" s="80">
        <f>SUMIFS('апрель 2024'!$G$4:$G$1689,'апрель 2024'!$D$4:$D$1689,$B70,'апрель 2024'!$J$4:$J$1689,AB$1)</f>
        <v>0</v>
      </c>
      <c r="AC70" s="80">
        <f>SUMIFS('апрель 2024'!$G$4:$G$1689,'апрель 2024'!$D$4:$D$1689,$B70,'апрель 2024'!$J$4:$J$1689,AC$1)</f>
        <v>0</v>
      </c>
      <c r="AD70" s="80">
        <f>SUMIFS('апрель 2024'!$G$4:$G$1689,'апрель 2024'!$D$4:$D$1689,$B70,'апрель 2024'!$J$4:$J$1689,AD$1)</f>
        <v>0</v>
      </c>
      <c r="AE70" s="80">
        <f>SUMIFS('апрель 2024'!$G$4:$G$1689,'апрель 2024'!$D$4:$D$1689,$B70,'апрель 2024'!$J$4:$J$1689,AE$1)</f>
        <v>0</v>
      </c>
      <c r="AF70" s="80">
        <f>SUMIFS('апрель 2024'!$G$4:$G$1689,'апрель 2024'!$D$4:$D$1689,$B70,'апрель 2024'!$J$4:$J$1689,AF$1)</f>
        <v>0</v>
      </c>
      <c r="AG70" s="80">
        <f>SUMIFS('апрель 2024'!$G$4:$G$1689,'апрель 2024'!$D$4:$D$1689,$B70,'апрель 2024'!$J$4:$J$1689,AG$1)</f>
        <v>0</v>
      </c>
      <c r="AH70" s="80">
        <f>SUMIFS('апрель 2024'!$G$4:$G$1689,'апрель 2024'!$D$4:$D$1689,$B70,'апрель 2024'!$J$4:$J$1689,AH$1)</f>
        <v>0</v>
      </c>
      <c r="AI70" s="21">
        <f t="shared" si="1"/>
        <v>0</v>
      </c>
    </row>
    <row r="71" spans="2:35" ht="15" customHeight="1" x14ac:dyDescent="0.25">
      <c r="B71" s="93" t="s">
        <v>320</v>
      </c>
      <c r="C71" s="91">
        <v>190</v>
      </c>
      <c r="D71" s="80">
        <f>SUMIFS('апрель 2024'!$G$4:$G$1689,'апрель 2024'!$D$4:$D$1689,$B71,'апрель 2024'!$J$4:$J$1689,D$1)</f>
        <v>0</v>
      </c>
      <c r="E71" s="80">
        <f>SUMIFS('апрель 2024'!$G$4:$G$1689,'апрель 2024'!$D$4:$D$1689,$B71,'апрель 2024'!$J$4:$J$1689,E$1)</f>
        <v>0</v>
      </c>
      <c r="F71" s="80">
        <f>SUMIFS('апрель 2024'!$G$4:$G$1689,'апрель 2024'!$D$4:$D$1689,$B71,'апрель 2024'!$J$4:$J$1689,F$1)</f>
        <v>0</v>
      </c>
      <c r="G71" s="80">
        <f>SUMIFS('апрель 2024'!$G$4:$G$1689,'апрель 2024'!$D$4:$D$1689,$B71,'апрель 2024'!$J$4:$J$1689,G$1)</f>
        <v>0</v>
      </c>
      <c r="H71" s="80">
        <f>SUMIFS('апрель 2024'!$G$4:$G$1689,'апрель 2024'!$D$4:$D$1689,$B71,'апрель 2024'!$J$4:$J$1689,H$1)</f>
        <v>0</v>
      </c>
      <c r="I71" s="80">
        <f>SUMIFS('апрель 2024'!$G$4:$G$1689,'апрель 2024'!$D$4:$D$1689,$B71,'апрель 2024'!$J$4:$J$1689,I$1)</f>
        <v>0</v>
      </c>
      <c r="J71" s="80">
        <f>SUMIFS('апрель 2024'!$G$4:$G$1689,'апрель 2024'!$D$4:$D$1689,$B71,'апрель 2024'!$J$4:$J$1689,J$1)</f>
        <v>0</v>
      </c>
      <c r="K71" s="80">
        <f>SUMIFS('апрель 2024'!$G$4:$G$1689,'апрель 2024'!$D$4:$D$1689,$B71,'апрель 2024'!$J$4:$J$1689,K$1)</f>
        <v>0</v>
      </c>
      <c r="L71" s="80">
        <f>SUMIFS('апрель 2024'!$G$4:$G$1689,'апрель 2024'!$D$4:$D$1689,$B71,'апрель 2024'!$J$4:$J$1689,L$1)</f>
        <v>0</v>
      </c>
      <c r="M71" s="80">
        <f>SUMIFS('апрель 2024'!$G$4:$G$1689,'апрель 2024'!$D$4:$D$1689,$B71,'апрель 2024'!$J$4:$J$1689,M$1)</f>
        <v>0</v>
      </c>
      <c r="N71" s="80">
        <f>SUMIFS('апрель 2024'!$G$4:$G$1689,'апрель 2024'!$D$4:$D$1689,$B71,'апрель 2024'!$J$4:$J$1689,N$1)</f>
        <v>0</v>
      </c>
      <c r="O71" s="80">
        <f>SUMIFS('апрель 2024'!$G$4:$G$1689,'апрель 2024'!$D$4:$D$1689,$B71,'апрель 2024'!$J$4:$J$1689,O$1)</f>
        <v>0</v>
      </c>
      <c r="P71" s="80">
        <f>SUMIFS('апрель 2024'!$G$4:$G$1689,'апрель 2024'!$D$4:$D$1689,$B71,'апрель 2024'!$J$4:$J$1689,P$1)</f>
        <v>0</v>
      </c>
      <c r="Q71" s="80">
        <f>SUMIFS('апрель 2024'!$G$4:$G$1689,'апрель 2024'!$D$4:$D$1689,$B71,'апрель 2024'!$J$4:$J$1689,Q$1)</f>
        <v>0</v>
      </c>
      <c r="R71" s="80">
        <f>SUMIFS('апрель 2024'!$G$4:$G$1689,'апрель 2024'!$D$4:$D$1689,$B71,'апрель 2024'!$J$4:$J$1689,R$1)</f>
        <v>0</v>
      </c>
      <c r="S71" s="80">
        <f>SUMIFS('апрель 2024'!$G$4:$G$1689,'апрель 2024'!$D$4:$D$1689,$B71,'апрель 2024'!$J$4:$J$1689,S$1)</f>
        <v>0</v>
      </c>
      <c r="T71" s="80">
        <f>SUMIFS('апрель 2024'!$G$4:$G$1689,'апрель 2024'!$D$4:$D$1689,$B71,'апрель 2024'!$J$4:$J$1689,T$1)</f>
        <v>0</v>
      </c>
      <c r="U71" s="80">
        <f>SUMIFS('апрель 2024'!$G$4:$G$1689,'апрель 2024'!$D$4:$D$1689,$B71,'апрель 2024'!$J$4:$J$1689,U$1)</f>
        <v>0</v>
      </c>
      <c r="V71" s="80">
        <f>SUMIFS('апрель 2024'!$G$4:$G$1689,'апрель 2024'!$D$4:$D$1689,$B71,'апрель 2024'!$J$4:$J$1689,V$1)</f>
        <v>0</v>
      </c>
      <c r="W71" s="80">
        <f>SUMIFS('апрель 2024'!$G$4:$G$1689,'апрель 2024'!$D$4:$D$1689,$B71,'апрель 2024'!$J$4:$J$1689,W$1)</f>
        <v>0</v>
      </c>
      <c r="X71" s="80">
        <f>SUMIFS('апрель 2024'!$G$4:$G$1689,'апрель 2024'!$D$4:$D$1689,$B71,'апрель 2024'!$J$4:$J$1689,X$1)</f>
        <v>0</v>
      </c>
      <c r="Y71" s="80">
        <f>SUMIFS('апрель 2024'!$G$4:$G$1689,'апрель 2024'!$D$4:$D$1689,$B71,'апрель 2024'!$J$4:$J$1689,Y$1)</f>
        <v>0</v>
      </c>
      <c r="Z71" s="80">
        <f>SUMIFS('апрель 2024'!$G$4:$G$1689,'апрель 2024'!$D$4:$D$1689,$B71,'апрель 2024'!$J$4:$J$1689,Z$1)</f>
        <v>0</v>
      </c>
      <c r="AA71" s="80">
        <f>SUMIFS('апрель 2024'!$G$4:$G$1689,'апрель 2024'!$D$4:$D$1689,$B71,'апрель 2024'!$J$4:$J$1689,AA$1)</f>
        <v>0</v>
      </c>
      <c r="AB71" s="80">
        <f>SUMIFS('апрель 2024'!$G$4:$G$1689,'апрель 2024'!$D$4:$D$1689,$B71,'апрель 2024'!$J$4:$J$1689,AB$1)</f>
        <v>0</v>
      </c>
      <c r="AC71" s="80">
        <f>SUMIFS('апрель 2024'!$G$4:$G$1689,'апрель 2024'!$D$4:$D$1689,$B71,'апрель 2024'!$J$4:$J$1689,AC$1)</f>
        <v>0</v>
      </c>
      <c r="AD71" s="80">
        <f>SUMIFS('апрель 2024'!$G$4:$G$1689,'апрель 2024'!$D$4:$D$1689,$B71,'апрель 2024'!$J$4:$J$1689,AD$1)</f>
        <v>0</v>
      </c>
      <c r="AE71" s="80">
        <f>SUMIFS('апрель 2024'!$G$4:$G$1689,'апрель 2024'!$D$4:$D$1689,$B71,'апрель 2024'!$J$4:$J$1689,AE$1)</f>
        <v>0</v>
      </c>
      <c r="AF71" s="80">
        <f>SUMIFS('апрель 2024'!$G$4:$G$1689,'апрель 2024'!$D$4:$D$1689,$B71,'апрель 2024'!$J$4:$J$1689,AF$1)</f>
        <v>0</v>
      </c>
      <c r="AG71" s="80">
        <f>SUMIFS('апрель 2024'!$G$4:$G$1689,'апрель 2024'!$D$4:$D$1689,$B71,'апрель 2024'!$J$4:$J$1689,AG$1)</f>
        <v>0</v>
      </c>
      <c r="AH71" s="80">
        <f>SUMIFS('апрель 2024'!$G$4:$G$1689,'апрель 2024'!$D$4:$D$1689,$B71,'апрель 2024'!$J$4:$J$1689,AH$1)</f>
        <v>0</v>
      </c>
      <c r="AI71" s="21">
        <f t="shared" si="1"/>
        <v>0</v>
      </c>
    </row>
    <row r="72" spans="2:35" ht="15" customHeight="1" x14ac:dyDescent="0.25">
      <c r="B72" s="93" t="s">
        <v>210</v>
      </c>
      <c r="C72" s="91">
        <v>200</v>
      </c>
      <c r="D72" s="80">
        <f>SUMIFS('апрель 2024'!$G$4:$G$1689,'апрель 2024'!$D$4:$D$1689,$B72,'апрель 2024'!$J$4:$J$1689,D$1)</f>
        <v>0</v>
      </c>
      <c r="E72" s="80">
        <f>SUMIFS('апрель 2024'!$G$4:$G$1689,'апрель 2024'!$D$4:$D$1689,$B72,'апрель 2024'!$J$4:$J$1689,E$1)</f>
        <v>0</v>
      </c>
      <c r="F72" s="80">
        <f>SUMIFS('апрель 2024'!$G$4:$G$1689,'апрель 2024'!$D$4:$D$1689,$B72,'апрель 2024'!$J$4:$J$1689,F$1)</f>
        <v>0</v>
      </c>
      <c r="G72" s="80">
        <f>SUMIFS('апрель 2024'!$G$4:$G$1689,'апрель 2024'!$D$4:$D$1689,$B72,'апрель 2024'!$J$4:$J$1689,G$1)</f>
        <v>0</v>
      </c>
      <c r="H72" s="80">
        <f>SUMIFS('апрель 2024'!$G$4:$G$1689,'апрель 2024'!$D$4:$D$1689,$B72,'апрель 2024'!$J$4:$J$1689,H$1)</f>
        <v>0</v>
      </c>
      <c r="I72" s="80">
        <f>SUMIFS('апрель 2024'!$G$4:$G$1689,'апрель 2024'!$D$4:$D$1689,$B72,'апрель 2024'!$J$4:$J$1689,I$1)</f>
        <v>0</v>
      </c>
      <c r="J72" s="80">
        <f>SUMIFS('апрель 2024'!$G$4:$G$1689,'апрель 2024'!$D$4:$D$1689,$B72,'апрель 2024'!$J$4:$J$1689,J$1)</f>
        <v>0</v>
      </c>
      <c r="K72" s="80">
        <f>SUMIFS('апрель 2024'!$G$4:$G$1689,'апрель 2024'!$D$4:$D$1689,$B72,'апрель 2024'!$J$4:$J$1689,K$1)</f>
        <v>0</v>
      </c>
      <c r="L72" s="80">
        <f>SUMIFS('апрель 2024'!$G$4:$G$1689,'апрель 2024'!$D$4:$D$1689,$B72,'апрель 2024'!$J$4:$J$1689,L$1)</f>
        <v>0</v>
      </c>
      <c r="M72" s="80">
        <f>SUMIFS('апрель 2024'!$G$4:$G$1689,'апрель 2024'!$D$4:$D$1689,$B72,'апрель 2024'!$J$4:$J$1689,M$1)</f>
        <v>0</v>
      </c>
      <c r="N72" s="80">
        <f>SUMIFS('апрель 2024'!$G$4:$G$1689,'апрель 2024'!$D$4:$D$1689,$B72,'апрель 2024'!$J$4:$J$1689,N$1)</f>
        <v>0</v>
      </c>
      <c r="O72" s="80">
        <f>SUMIFS('апрель 2024'!$G$4:$G$1689,'апрель 2024'!$D$4:$D$1689,$B72,'апрель 2024'!$J$4:$J$1689,O$1)</f>
        <v>0</v>
      </c>
      <c r="P72" s="80">
        <f>SUMIFS('апрель 2024'!$G$4:$G$1689,'апрель 2024'!$D$4:$D$1689,$B72,'апрель 2024'!$J$4:$J$1689,P$1)</f>
        <v>0</v>
      </c>
      <c r="Q72" s="80">
        <f>SUMIFS('апрель 2024'!$G$4:$G$1689,'апрель 2024'!$D$4:$D$1689,$B72,'апрель 2024'!$J$4:$J$1689,Q$1)</f>
        <v>0</v>
      </c>
      <c r="R72" s="80">
        <f>SUMIFS('апрель 2024'!$G$4:$G$1689,'апрель 2024'!$D$4:$D$1689,$B72,'апрель 2024'!$J$4:$J$1689,R$1)</f>
        <v>0</v>
      </c>
      <c r="S72" s="80">
        <f>SUMIFS('апрель 2024'!$G$4:$G$1689,'апрель 2024'!$D$4:$D$1689,$B72,'апрель 2024'!$J$4:$J$1689,S$1)</f>
        <v>0</v>
      </c>
      <c r="T72" s="80">
        <f>SUMIFS('апрель 2024'!$G$4:$G$1689,'апрель 2024'!$D$4:$D$1689,$B72,'апрель 2024'!$J$4:$J$1689,T$1)</f>
        <v>0</v>
      </c>
      <c r="U72" s="80">
        <f>SUMIFS('апрель 2024'!$G$4:$G$1689,'апрель 2024'!$D$4:$D$1689,$B72,'апрель 2024'!$J$4:$J$1689,U$1)</f>
        <v>0</v>
      </c>
      <c r="V72" s="80">
        <f>SUMIFS('апрель 2024'!$G$4:$G$1689,'апрель 2024'!$D$4:$D$1689,$B72,'апрель 2024'!$J$4:$J$1689,V$1)</f>
        <v>0</v>
      </c>
      <c r="W72" s="80">
        <f>SUMIFS('апрель 2024'!$G$4:$G$1689,'апрель 2024'!$D$4:$D$1689,$B72,'апрель 2024'!$J$4:$J$1689,W$1)</f>
        <v>0</v>
      </c>
      <c r="X72" s="80">
        <f>SUMIFS('апрель 2024'!$G$4:$G$1689,'апрель 2024'!$D$4:$D$1689,$B72,'апрель 2024'!$J$4:$J$1689,X$1)</f>
        <v>0</v>
      </c>
      <c r="Y72" s="80">
        <f>SUMIFS('апрель 2024'!$G$4:$G$1689,'апрель 2024'!$D$4:$D$1689,$B72,'апрель 2024'!$J$4:$J$1689,Y$1)</f>
        <v>0</v>
      </c>
      <c r="Z72" s="80">
        <f>SUMIFS('апрель 2024'!$G$4:$G$1689,'апрель 2024'!$D$4:$D$1689,$B72,'апрель 2024'!$J$4:$J$1689,Z$1)</f>
        <v>0</v>
      </c>
      <c r="AA72" s="80">
        <f>SUMIFS('апрель 2024'!$G$4:$G$1689,'апрель 2024'!$D$4:$D$1689,$B72,'апрель 2024'!$J$4:$J$1689,AA$1)</f>
        <v>0</v>
      </c>
      <c r="AB72" s="80">
        <f>SUMIFS('апрель 2024'!$G$4:$G$1689,'апрель 2024'!$D$4:$D$1689,$B72,'апрель 2024'!$J$4:$J$1689,AB$1)</f>
        <v>0</v>
      </c>
      <c r="AC72" s="80">
        <f>SUMIFS('апрель 2024'!$G$4:$G$1689,'апрель 2024'!$D$4:$D$1689,$B72,'апрель 2024'!$J$4:$J$1689,AC$1)</f>
        <v>0</v>
      </c>
      <c r="AD72" s="80">
        <f>SUMIFS('апрель 2024'!$G$4:$G$1689,'апрель 2024'!$D$4:$D$1689,$B72,'апрель 2024'!$J$4:$J$1689,AD$1)</f>
        <v>0</v>
      </c>
      <c r="AE72" s="80">
        <f>SUMIFS('апрель 2024'!$G$4:$G$1689,'апрель 2024'!$D$4:$D$1689,$B72,'апрель 2024'!$J$4:$J$1689,AE$1)</f>
        <v>0</v>
      </c>
      <c r="AF72" s="80">
        <f>SUMIFS('апрель 2024'!$G$4:$G$1689,'апрель 2024'!$D$4:$D$1689,$B72,'апрель 2024'!$J$4:$J$1689,AF$1)</f>
        <v>0</v>
      </c>
      <c r="AG72" s="80">
        <f>SUMIFS('апрель 2024'!$G$4:$G$1689,'апрель 2024'!$D$4:$D$1689,$B72,'апрель 2024'!$J$4:$J$1689,AG$1)</f>
        <v>0</v>
      </c>
      <c r="AH72" s="80">
        <f>SUMIFS('апрель 2024'!$G$4:$G$1689,'апрель 2024'!$D$4:$D$1689,$B72,'апрель 2024'!$J$4:$J$1689,AH$1)</f>
        <v>0</v>
      </c>
      <c r="AI72" s="21">
        <f t="shared" si="1"/>
        <v>0</v>
      </c>
    </row>
    <row r="73" spans="2:35" ht="15" customHeight="1" x14ac:dyDescent="0.25">
      <c r="B73" s="93" t="s">
        <v>221</v>
      </c>
      <c r="C73" s="91">
        <v>25</v>
      </c>
      <c r="D73" s="80">
        <f>SUMIFS('апрель 2024'!$G$4:$G$1689,'апрель 2024'!$D$4:$D$1689,$B73,'апрель 2024'!$J$4:$J$1689,D$1)</f>
        <v>0</v>
      </c>
      <c r="E73" s="80">
        <f>SUMIFS('апрель 2024'!$G$4:$G$1689,'апрель 2024'!$D$4:$D$1689,$B73,'апрель 2024'!$J$4:$J$1689,E$1)</f>
        <v>0</v>
      </c>
      <c r="F73" s="80">
        <f>SUMIFS('апрель 2024'!$G$4:$G$1689,'апрель 2024'!$D$4:$D$1689,$B73,'апрель 2024'!$J$4:$J$1689,F$1)</f>
        <v>0</v>
      </c>
      <c r="G73" s="80">
        <f>SUMIFS('апрель 2024'!$G$4:$G$1689,'апрель 2024'!$D$4:$D$1689,$B73,'апрель 2024'!$J$4:$J$1689,G$1)</f>
        <v>0</v>
      </c>
      <c r="H73" s="80">
        <f>SUMIFS('апрель 2024'!$G$4:$G$1689,'апрель 2024'!$D$4:$D$1689,$B73,'апрель 2024'!$J$4:$J$1689,H$1)</f>
        <v>0</v>
      </c>
      <c r="I73" s="80">
        <f>SUMIFS('апрель 2024'!$G$4:$G$1689,'апрель 2024'!$D$4:$D$1689,$B73,'апрель 2024'!$J$4:$J$1689,I$1)</f>
        <v>0</v>
      </c>
      <c r="J73" s="80">
        <f>SUMIFS('апрель 2024'!$G$4:$G$1689,'апрель 2024'!$D$4:$D$1689,$B73,'апрель 2024'!$J$4:$J$1689,J$1)</f>
        <v>0</v>
      </c>
      <c r="K73" s="80">
        <f>SUMIFS('апрель 2024'!$G$4:$G$1689,'апрель 2024'!$D$4:$D$1689,$B73,'апрель 2024'!$J$4:$J$1689,K$1)</f>
        <v>0</v>
      </c>
      <c r="L73" s="80">
        <f>SUMIFS('апрель 2024'!$G$4:$G$1689,'апрель 2024'!$D$4:$D$1689,$B73,'апрель 2024'!$J$4:$J$1689,L$1)</f>
        <v>0</v>
      </c>
      <c r="M73" s="80">
        <f>SUMIFS('апрель 2024'!$G$4:$G$1689,'апрель 2024'!$D$4:$D$1689,$B73,'апрель 2024'!$J$4:$J$1689,M$1)</f>
        <v>0</v>
      </c>
      <c r="N73" s="80">
        <f>SUMIFS('апрель 2024'!$G$4:$G$1689,'апрель 2024'!$D$4:$D$1689,$B73,'апрель 2024'!$J$4:$J$1689,N$1)</f>
        <v>0</v>
      </c>
      <c r="O73" s="80">
        <f>SUMIFS('апрель 2024'!$G$4:$G$1689,'апрель 2024'!$D$4:$D$1689,$B73,'апрель 2024'!$J$4:$J$1689,O$1)</f>
        <v>0</v>
      </c>
      <c r="P73" s="80">
        <f>SUMIFS('апрель 2024'!$G$4:$G$1689,'апрель 2024'!$D$4:$D$1689,$B73,'апрель 2024'!$J$4:$J$1689,P$1)</f>
        <v>0</v>
      </c>
      <c r="Q73" s="80">
        <f>SUMIFS('апрель 2024'!$G$4:$G$1689,'апрель 2024'!$D$4:$D$1689,$B73,'апрель 2024'!$J$4:$J$1689,Q$1)</f>
        <v>0</v>
      </c>
      <c r="R73" s="80">
        <f>SUMIFS('апрель 2024'!$G$4:$G$1689,'апрель 2024'!$D$4:$D$1689,$B73,'апрель 2024'!$J$4:$J$1689,R$1)</f>
        <v>0</v>
      </c>
      <c r="S73" s="80">
        <f>SUMIFS('апрель 2024'!$G$4:$G$1689,'апрель 2024'!$D$4:$D$1689,$B73,'апрель 2024'!$J$4:$J$1689,S$1)</f>
        <v>0</v>
      </c>
      <c r="T73" s="80">
        <f>SUMIFS('апрель 2024'!$G$4:$G$1689,'апрель 2024'!$D$4:$D$1689,$B73,'апрель 2024'!$J$4:$J$1689,T$1)</f>
        <v>0</v>
      </c>
      <c r="U73" s="80">
        <f>SUMIFS('апрель 2024'!$G$4:$G$1689,'апрель 2024'!$D$4:$D$1689,$B73,'апрель 2024'!$J$4:$J$1689,U$1)</f>
        <v>0</v>
      </c>
      <c r="V73" s="80">
        <f>SUMIFS('апрель 2024'!$G$4:$G$1689,'апрель 2024'!$D$4:$D$1689,$B73,'апрель 2024'!$J$4:$J$1689,V$1)</f>
        <v>0</v>
      </c>
      <c r="W73" s="80">
        <f>SUMIFS('апрель 2024'!$G$4:$G$1689,'апрель 2024'!$D$4:$D$1689,$B73,'апрель 2024'!$J$4:$J$1689,W$1)</f>
        <v>0</v>
      </c>
      <c r="X73" s="80">
        <f>SUMIFS('апрель 2024'!$G$4:$G$1689,'апрель 2024'!$D$4:$D$1689,$B73,'апрель 2024'!$J$4:$J$1689,X$1)</f>
        <v>0</v>
      </c>
      <c r="Y73" s="80">
        <f>SUMIFS('апрель 2024'!$G$4:$G$1689,'апрель 2024'!$D$4:$D$1689,$B73,'апрель 2024'!$J$4:$J$1689,Y$1)</f>
        <v>0</v>
      </c>
      <c r="Z73" s="80">
        <f>SUMIFS('апрель 2024'!$G$4:$G$1689,'апрель 2024'!$D$4:$D$1689,$B73,'апрель 2024'!$J$4:$J$1689,Z$1)</f>
        <v>0</v>
      </c>
      <c r="AA73" s="80">
        <f>SUMIFS('апрель 2024'!$G$4:$G$1689,'апрель 2024'!$D$4:$D$1689,$B73,'апрель 2024'!$J$4:$J$1689,AA$1)</f>
        <v>0</v>
      </c>
      <c r="AB73" s="80">
        <f>SUMIFS('апрель 2024'!$G$4:$G$1689,'апрель 2024'!$D$4:$D$1689,$B73,'апрель 2024'!$J$4:$J$1689,AB$1)</f>
        <v>0</v>
      </c>
      <c r="AC73" s="80">
        <f>SUMIFS('апрель 2024'!$G$4:$G$1689,'апрель 2024'!$D$4:$D$1689,$B73,'апрель 2024'!$J$4:$J$1689,AC$1)</f>
        <v>0</v>
      </c>
      <c r="AD73" s="80">
        <f>SUMIFS('апрель 2024'!$G$4:$G$1689,'апрель 2024'!$D$4:$D$1689,$B73,'апрель 2024'!$J$4:$J$1689,AD$1)</f>
        <v>0</v>
      </c>
      <c r="AE73" s="80">
        <f>SUMIFS('апрель 2024'!$G$4:$G$1689,'апрель 2024'!$D$4:$D$1689,$B73,'апрель 2024'!$J$4:$J$1689,AE$1)</f>
        <v>0</v>
      </c>
      <c r="AF73" s="80">
        <f>SUMIFS('апрель 2024'!$G$4:$G$1689,'апрель 2024'!$D$4:$D$1689,$B73,'апрель 2024'!$J$4:$J$1689,AF$1)</f>
        <v>0</v>
      </c>
      <c r="AG73" s="80">
        <f>SUMIFS('апрель 2024'!$G$4:$G$1689,'апрель 2024'!$D$4:$D$1689,$B73,'апрель 2024'!$J$4:$J$1689,AG$1)</f>
        <v>0</v>
      </c>
      <c r="AH73" s="80">
        <f>SUMIFS('апрель 2024'!$G$4:$G$1689,'апрель 2024'!$D$4:$D$1689,$B73,'апрель 2024'!$J$4:$J$1689,AH$1)</f>
        <v>0</v>
      </c>
      <c r="AI73" s="21">
        <f t="shared" si="1"/>
        <v>0</v>
      </c>
    </row>
    <row r="74" spans="2:35" ht="15" customHeight="1" x14ac:dyDescent="0.25">
      <c r="B74" s="93" t="s">
        <v>188</v>
      </c>
      <c r="C74" s="91">
        <v>50</v>
      </c>
      <c r="D74" s="80">
        <f>SUMIFS('апрель 2024'!$G$4:$G$1689,'апрель 2024'!$D$4:$D$1689,$B74,'апрель 2024'!$J$4:$J$1689,D$1)</f>
        <v>0</v>
      </c>
      <c r="E74" s="80">
        <f>SUMIFS('апрель 2024'!$G$4:$G$1689,'апрель 2024'!$D$4:$D$1689,$B74,'апрель 2024'!$J$4:$J$1689,E$1)</f>
        <v>0</v>
      </c>
      <c r="F74" s="80">
        <f>SUMIFS('апрель 2024'!$G$4:$G$1689,'апрель 2024'!$D$4:$D$1689,$B74,'апрель 2024'!$J$4:$J$1689,F$1)</f>
        <v>0</v>
      </c>
      <c r="G74" s="80">
        <f>SUMIFS('апрель 2024'!$G$4:$G$1689,'апрель 2024'!$D$4:$D$1689,$B74,'апрель 2024'!$J$4:$J$1689,G$1)</f>
        <v>0</v>
      </c>
      <c r="H74" s="80">
        <f>SUMIFS('апрель 2024'!$G$4:$G$1689,'апрель 2024'!$D$4:$D$1689,$B74,'апрель 2024'!$J$4:$J$1689,H$1)</f>
        <v>0</v>
      </c>
      <c r="I74" s="80">
        <f>SUMIFS('апрель 2024'!$G$4:$G$1689,'апрель 2024'!$D$4:$D$1689,$B74,'апрель 2024'!$J$4:$J$1689,I$1)</f>
        <v>0</v>
      </c>
      <c r="J74" s="80">
        <f>SUMIFS('апрель 2024'!$G$4:$G$1689,'апрель 2024'!$D$4:$D$1689,$B74,'апрель 2024'!$J$4:$J$1689,J$1)</f>
        <v>0</v>
      </c>
      <c r="K74" s="80">
        <f>SUMIFS('апрель 2024'!$G$4:$G$1689,'апрель 2024'!$D$4:$D$1689,$B74,'апрель 2024'!$J$4:$J$1689,K$1)</f>
        <v>0</v>
      </c>
      <c r="L74" s="80">
        <f>SUMIFS('апрель 2024'!$G$4:$G$1689,'апрель 2024'!$D$4:$D$1689,$B74,'апрель 2024'!$J$4:$J$1689,L$1)</f>
        <v>0</v>
      </c>
      <c r="M74" s="80">
        <f>SUMIFS('апрель 2024'!$G$4:$G$1689,'апрель 2024'!$D$4:$D$1689,$B74,'апрель 2024'!$J$4:$J$1689,M$1)</f>
        <v>0</v>
      </c>
      <c r="N74" s="80">
        <f>SUMIFS('апрель 2024'!$G$4:$G$1689,'апрель 2024'!$D$4:$D$1689,$B74,'апрель 2024'!$J$4:$J$1689,N$1)</f>
        <v>0</v>
      </c>
      <c r="O74" s="80">
        <f>SUMIFS('апрель 2024'!$G$4:$G$1689,'апрель 2024'!$D$4:$D$1689,$B74,'апрель 2024'!$J$4:$J$1689,O$1)</f>
        <v>0</v>
      </c>
      <c r="P74" s="80">
        <f>SUMIFS('апрель 2024'!$G$4:$G$1689,'апрель 2024'!$D$4:$D$1689,$B74,'апрель 2024'!$J$4:$J$1689,P$1)</f>
        <v>0</v>
      </c>
      <c r="Q74" s="80">
        <f>SUMIFS('апрель 2024'!$G$4:$G$1689,'апрель 2024'!$D$4:$D$1689,$B74,'апрель 2024'!$J$4:$J$1689,Q$1)</f>
        <v>0</v>
      </c>
      <c r="R74" s="80">
        <f>SUMIFS('апрель 2024'!$G$4:$G$1689,'апрель 2024'!$D$4:$D$1689,$B74,'апрель 2024'!$J$4:$J$1689,R$1)</f>
        <v>0</v>
      </c>
      <c r="S74" s="80">
        <f>SUMIFS('апрель 2024'!$G$4:$G$1689,'апрель 2024'!$D$4:$D$1689,$B74,'апрель 2024'!$J$4:$J$1689,S$1)</f>
        <v>0</v>
      </c>
      <c r="T74" s="80">
        <f>SUMIFS('апрель 2024'!$G$4:$G$1689,'апрель 2024'!$D$4:$D$1689,$B74,'апрель 2024'!$J$4:$J$1689,T$1)</f>
        <v>0</v>
      </c>
      <c r="U74" s="80">
        <f>SUMIFS('апрель 2024'!$G$4:$G$1689,'апрель 2024'!$D$4:$D$1689,$B74,'апрель 2024'!$J$4:$J$1689,U$1)</f>
        <v>0</v>
      </c>
      <c r="V74" s="80">
        <f>SUMIFS('апрель 2024'!$G$4:$G$1689,'апрель 2024'!$D$4:$D$1689,$B74,'апрель 2024'!$J$4:$J$1689,V$1)</f>
        <v>0</v>
      </c>
      <c r="W74" s="80">
        <f>SUMIFS('апрель 2024'!$G$4:$G$1689,'апрель 2024'!$D$4:$D$1689,$B74,'апрель 2024'!$J$4:$J$1689,W$1)</f>
        <v>0</v>
      </c>
      <c r="X74" s="80">
        <f>SUMIFS('апрель 2024'!$G$4:$G$1689,'апрель 2024'!$D$4:$D$1689,$B74,'апрель 2024'!$J$4:$J$1689,X$1)</f>
        <v>0</v>
      </c>
      <c r="Y74" s="80">
        <f>SUMIFS('апрель 2024'!$G$4:$G$1689,'апрель 2024'!$D$4:$D$1689,$B74,'апрель 2024'!$J$4:$J$1689,Y$1)</f>
        <v>0</v>
      </c>
      <c r="Z74" s="80">
        <f>SUMIFS('апрель 2024'!$G$4:$G$1689,'апрель 2024'!$D$4:$D$1689,$B74,'апрель 2024'!$J$4:$J$1689,Z$1)</f>
        <v>0</v>
      </c>
      <c r="AA74" s="80">
        <f>SUMIFS('апрель 2024'!$G$4:$G$1689,'апрель 2024'!$D$4:$D$1689,$B74,'апрель 2024'!$J$4:$J$1689,AA$1)</f>
        <v>0</v>
      </c>
      <c r="AB74" s="80">
        <f>SUMIFS('апрель 2024'!$G$4:$G$1689,'апрель 2024'!$D$4:$D$1689,$B74,'апрель 2024'!$J$4:$J$1689,AB$1)</f>
        <v>0</v>
      </c>
      <c r="AC74" s="80">
        <f>SUMIFS('апрель 2024'!$G$4:$G$1689,'апрель 2024'!$D$4:$D$1689,$B74,'апрель 2024'!$J$4:$J$1689,AC$1)</f>
        <v>0</v>
      </c>
      <c r="AD74" s="80">
        <f>SUMIFS('апрель 2024'!$G$4:$G$1689,'апрель 2024'!$D$4:$D$1689,$B74,'апрель 2024'!$J$4:$J$1689,AD$1)</f>
        <v>0</v>
      </c>
      <c r="AE74" s="80">
        <f>SUMIFS('апрель 2024'!$G$4:$G$1689,'апрель 2024'!$D$4:$D$1689,$B74,'апрель 2024'!$J$4:$J$1689,AE$1)</f>
        <v>0</v>
      </c>
      <c r="AF74" s="80">
        <f>SUMIFS('апрель 2024'!$G$4:$G$1689,'апрель 2024'!$D$4:$D$1689,$B74,'апрель 2024'!$J$4:$J$1689,AF$1)</f>
        <v>0</v>
      </c>
      <c r="AG74" s="80">
        <f>SUMIFS('апрель 2024'!$G$4:$G$1689,'апрель 2024'!$D$4:$D$1689,$B74,'апрель 2024'!$J$4:$J$1689,AG$1)</f>
        <v>0</v>
      </c>
      <c r="AH74" s="80">
        <f>SUMIFS('апрель 2024'!$G$4:$G$1689,'апрель 2024'!$D$4:$D$1689,$B74,'апрель 2024'!$J$4:$J$1689,AH$1)</f>
        <v>0</v>
      </c>
      <c r="AI74" s="21">
        <f t="shared" si="1"/>
        <v>0</v>
      </c>
    </row>
    <row r="75" spans="2:35" ht="15" customHeight="1" x14ac:dyDescent="0.25">
      <c r="B75" s="93" t="s">
        <v>173</v>
      </c>
      <c r="C75" s="91">
        <v>200</v>
      </c>
      <c r="D75" s="80">
        <f>SUMIFS('апрель 2024'!$G$4:$G$1689,'апрель 2024'!$D$4:$D$1689,$B75,'апрель 2024'!$J$4:$J$1689,D$1)</f>
        <v>0</v>
      </c>
      <c r="E75" s="80">
        <f>SUMIFS('апрель 2024'!$G$4:$G$1689,'апрель 2024'!$D$4:$D$1689,$B75,'апрель 2024'!$J$4:$J$1689,E$1)</f>
        <v>0</v>
      </c>
      <c r="F75" s="80">
        <f>SUMIFS('апрель 2024'!$G$4:$G$1689,'апрель 2024'!$D$4:$D$1689,$B75,'апрель 2024'!$J$4:$J$1689,F$1)</f>
        <v>0</v>
      </c>
      <c r="G75" s="80">
        <f>SUMIFS('апрель 2024'!$G$4:$G$1689,'апрель 2024'!$D$4:$D$1689,$B75,'апрель 2024'!$J$4:$J$1689,G$1)</f>
        <v>0</v>
      </c>
      <c r="H75" s="80">
        <f>SUMIFS('апрель 2024'!$G$4:$G$1689,'апрель 2024'!$D$4:$D$1689,$B75,'апрель 2024'!$J$4:$J$1689,H$1)</f>
        <v>0</v>
      </c>
      <c r="I75" s="80">
        <f>SUMIFS('апрель 2024'!$G$4:$G$1689,'апрель 2024'!$D$4:$D$1689,$B75,'апрель 2024'!$J$4:$J$1689,I$1)</f>
        <v>0</v>
      </c>
      <c r="J75" s="80">
        <f>SUMIFS('апрель 2024'!$G$4:$G$1689,'апрель 2024'!$D$4:$D$1689,$B75,'апрель 2024'!$J$4:$J$1689,J$1)</f>
        <v>0</v>
      </c>
      <c r="K75" s="80">
        <f>SUMIFS('апрель 2024'!$G$4:$G$1689,'апрель 2024'!$D$4:$D$1689,$B75,'апрель 2024'!$J$4:$J$1689,K$1)</f>
        <v>0</v>
      </c>
      <c r="L75" s="80">
        <f>SUMIFS('апрель 2024'!$G$4:$G$1689,'апрель 2024'!$D$4:$D$1689,$B75,'апрель 2024'!$J$4:$J$1689,L$1)</f>
        <v>0</v>
      </c>
      <c r="M75" s="80">
        <f>SUMIFS('апрель 2024'!$G$4:$G$1689,'апрель 2024'!$D$4:$D$1689,$B75,'апрель 2024'!$J$4:$J$1689,M$1)</f>
        <v>0</v>
      </c>
      <c r="N75" s="80">
        <f>SUMIFS('апрель 2024'!$G$4:$G$1689,'апрель 2024'!$D$4:$D$1689,$B75,'апрель 2024'!$J$4:$J$1689,N$1)</f>
        <v>0</v>
      </c>
      <c r="O75" s="80">
        <f>SUMIFS('апрель 2024'!$G$4:$G$1689,'апрель 2024'!$D$4:$D$1689,$B75,'апрель 2024'!$J$4:$J$1689,O$1)</f>
        <v>0</v>
      </c>
      <c r="P75" s="80">
        <f>SUMIFS('апрель 2024'!$G$4:$G$1689,'апрель 2024'!$D$4:$D$1689,$B75,'апрель 2024'!$J$4:$J$1689,P$1)</f>
        <v>0</v>
      </c>
      <c r="Q75" s="80">
        <f>SUMIFS('апрель 2024'!$G$4:$G$1689,'апрель 2024'!$D$4:$D$1689,$B75,'апрель 2024'!$J$4:$J$1689,Q$1)</f>
        <v>0</v>
      </c>
      <c r="R75" s="80">
        <f>SUMIFS('апрель 2024'!$G$4:$G$1689,'апрель 2024'!$D$4:$D$1689,$B75,'апрель 2024'!$J$4:$J$1689,R$1)</f>
        <v>0</v>
      </c>
      <c r="S75" s="80">
        <f>SUMIFS('апрель 2024'!$G$4:$G$1689,'апрель 2024'!$D$4:$D$1689,$B75,'апрель 2024'!$J$4:$J$1689,S$1)</f>
        <v>0</v>
      </c>
      <c r="T75" s="80">
        <f>SUMIFS('апрель 2024'!$G$4:$G$1689,'апрель 2024'!$D$4:$D$1689,$B75,'апрель 2024'!$J$4:$J$1689,T$1)</f>
        <v>0</v>
      </c>
      <c r="U75" s="80">
        <f>SUMIFS('апрель 2024'!$G$4:$G$1689,'апрель 2024'!$D$4:$D$1689,$B75,'апрель 2024'!$J$4:$J$1689,U$1)</f>
        <v>0</v>
      </c>
      <c r="V75" s="80">
        <f>SUMIFS('апрель 2024'!$G$4:$G$1689,'апрель 2024'!$D$4:$D$1689,$B75,'апрель 2024'!$J$4:$J$1689,V$1)</f>
        <v>0</v>
      </c>
      <c r="W75" s="80">
        <f>SUMIFS('апрель 2024'!$G$4:$G$1689,'апрель 2024'!$D$4:$D$1689,$B75,'апрель 2024'!$J$4:$J$1689,W$1)</f>
        <v>0</v>
      </c>
      <c r="X75" s="80">
        <f>SUMIFS('апрель 2024'!$G$4:$G$1689,'апрель 2024'!$D$4:$D$1689,$B75,'апрель 2024'!$J$4:$J$1689,X$1)</f>
        <v>0</v>
      </c>
      <c r="Y75" s="80">
        <f>SUMIFS('апрель 2024'!$G$4:$G$1689,'апрель 2024'!$D$4:$D$1689,$B75,'апрель 2024'!$J$4:$J$1689,Y$1)</f>
        <v>0</v>
      </c>
      <c r="Z75" s="80">
        <f>SUMIFS('апрель 2024'!$G$4:$G$1689,'апрель 2024'!$D$4:$D$1689,$B75,'апрель 2024'!$J$4:$J$1689,Z$1)</f>
        <v>0</v>
      </c>
      <c r="AA75" s="80">
        <f>SUMIFS('апрель 2024'!$G$4:$G$1689,'апрель 2024'!$D$4:$D$1689,$B75,'апрель 2024'!$J$4:$J$1689,AA$1)</f>
        <v>80</v>
      </c>
      <c r="AB75" s="80">
        <f>SUMIFS('апрель 2024'!$G$4:$G$1689,'апрель 2024'!$D$4:$D$1689,$B75,'апрель 2024'!$J$4:$J$1689,AB$1)</f>
        <v>0</v>
      </c>
      <c r="AC75" s="80">
        <f>SUMIFS('апрель 2024'!$G$4:$G$1689,'апрель 2024'!$D$4:$D$1689,$B75,'апрель 2024'!$J$4:$J$1689,AC$1)</f>
        <v>0</v>
      </c>
      <c r="AD75" s="80">
        <f>SUMIFS('апрель 2024'!$G$4:$G$1689,'апрель 2024'!$D$4:$D$1689,$B75,'апрель 2024'!$J$4:$J$1689,AD$1)</f>
        <v>0</v>
      </c>
      <c r="AE75" s="80">
        <f>SUMIFS('апрель 2024'!$G$4:$G$1689,'апрель 2024'!$D$4:$D$1689,$B75,'апрель 2024'!$J$4:$J$1689,AE$1)</f>
        <v>0</v>
      </c>
      <c r="AF75" s="80">
        <f>SUMIFS('апрель 2024'!$G$4:$G$1689,'апрель 2024'!$D$4:$D$1689,$B75,'апрель 2024'!$J$4:$J$1689,AF$1)</f>
        <v>0</v>
      </c>
      <c r="AG75" s="80">
        <f>SUMIFS('апрель 2024'!$G$4:$G$1689,'апрель 2024'!$D$4:$D$1689,$B75,'апрель 2024'!$J$4:$J$1689,AG$1)</f>
        <v>0</v>
      </c>
      <c r="AH75" s="80">
        <f>SUMIFS('апрель 2024'!$G$4:$G$1689,'апрель 2024'!$D$4:$D$1689,$B75,'апрель 2024'!$J$4:$J$1689,AH$1)</f>
        <v>0</v>
      </c>
      <c r="AI75" s="21">
        <f t="shared" si="1"/>
        <v>80</v>
      </c>
    </row>
    <row r="76" spans="2:35" ht="15" customHeight="1" x14ac:dyDescent="0.25">
      <c r="B76" s="93" t="s">
        <v>174</v>
      </c>
      <c r="C76" s="91">
        <v>200</v>
      </c>
      <c r="D76" s="80">
        <f>SUMIFS('апрель 2024'!$G$4:$G$1689,'апрель 2024'!$D$4:$D$1689,$B76,'апрель 2024'!$J$4:$J$1689,D$1)</f>
        <v>0</v>
      </c>
      <c r="E76" s="80">
        <f>SUMIFS('апрель 2024'!$G$4:$G$1689,'апрель 2024'!$D$4:$D$1689,$B76,'апрель 2024'!$J$4:$J$1689,E$1)</f>
        <v>0</v>
      </c>
      <c r="F76" s="80">
        <f>SUMIFS('апрель 2024'!$G$4:$G$1689,'апрель 2024'!$D$4:$D$1689,$B76,'апрель 2024'!$J$4:$J$1689,F$1)</f>
        <v>0</v>
      </c>
      <c r="G76" s="80">
        <f>SUMIFS('апрель 2024'!$G$4:$G$1689,'апрель 2024'!$D$4:$D$1689,$B76,'апрель 2024'!$J$4:$J$1689,G$1)</f>
        <v>0</v>
      </c>
      <c r="H76" s="80">
        <f>SUMIFS('апрель 2024'!$G$4:$G$1689,'апрель 2024'!$D$4:$D$1689,$B76,'апрель 2024'!$J$4:$J$1689,H$1)</f>
        <v>88</v>
      </c>
      <c r="I76" s="80">
        <f>SUMIFS('апрель 2024'!$G$4:$G$1689,'апрель 2024'!$D$4:$D$1689,$B76,'апрель 2024'!$J$4:$J$1689,I$1)</f>
        <v>0</v>
      </c>
      <c r="J76" s="80">
        <f>SUMIFS('апрель 2024'!$G$4:$G$1689,'апрель 2024'!$D$4:$D$1689,$B76,'апрель 2024'!$J$4:$J$1689,J$1)</f>
        <v>0</v>
      </c>
      <c r="K76" s="80">
        <f>SUMIFS('апрель 2024'!$G$4:$G$1689,'апрель 2024'!$D$4:$D$1689,$B76,'апрель 2024'!$J$4:$J$1689,K$1)</f>
        <v>0</v>
      </c>
      <c r="L76" s="80">
        <f>SUMIFS('апрель 2024'!$G$4:$G$1689,'апрель 2024'!$D$4:$D$1689,$B76,'апрель 2024'!$J$4:$J$1689,L$1)</f>
        <v>0</v>
      </c>
      <c r="M76" s="80">
        <f>SUMIFS('апрель 2024'!$G$4:$G$1689,'апрель 2024'!$D$4:$D$1689,$B76,'апрель 2024'!$J$4:$J$1689,M$1)</f>
        <v>0</v>
      </c>
      <c r="N76" s="80">
        <f>SUMIFS('апрель 2024'!$G$4:$G$1689,'апрель 2024'!$D$4:$D$1689,$B76,'апрель 2024'!$J$4:$J$1689,N$1)</f>
        <v>0</v>
      </c>
      <c r="O76" s="80">
        <f>SUMIFS('апрель 2024'!$G$4:$G$1689,'апрель 2024'!$D$4:$D$1689,$B76,'апрель 2024'!$J$4:$J$1689,O$1)</f>
        <v>0</v>
      </c>
      <c r="P76" s="80">
        <f>SUMIFS('апрель 2024'!$G$4:$G$1689,'апрель 2024'!$D$4:$D$1689,$B76,'апрель 2024'!$J$4:$J$1689,P$1)</f>
        <v>0</v>
      </c>
      <c r="Q76" s="80">
        <f>SUMIFS('апрель 2024'!$G$4:$G$1689,'апрель 2024'!$D$4:$D$1689,$B76,'апрель 2024'!$J$4:$J$1689,Q$1)</f>
        <v>0</v>
      </c>
      <c r="R76" s="80">
        <f>SUMIFS('апрель 2024'!$G$4:$G$1689,'апрель 2024'!$D$4:$D$1689,$B76,'апрель 2024'!$J$4:$J$1689,R$1)</f>
        <v>0</v>
      </c>
      <c r="S76" s="80">
        <f>SUMIFS('апрель 2024'!$G$4:$G$1689,'апрель 2024'!$D$4:$D$1689,$B76,'апрель 2024'!$J$4:$J$1689,S$1)</f>
        <v>0</v>
      </c>
      <c r="T76" s="80">
        <f>SUMIFS('апрель 2024'!$G$4:$G$1689,'апрель 2024'!$D$4:$D$1689,$B76,'апрель 2024'!$J$4:$J$1689,T$1)</f>
        <v>0</v>
      </c>
      <c r="U76" s="80">
        <f>SUMIFS('апрель 2024'!$G$4:$G$1689,'апрель 2024'!$D$4:$D$1689,$B76,'апрель 2024'!$J$4:$J$1689,U$1)</f>
        <v>0</v>
      </c>
      <c r="V76" s="80">
        <f>SUMIFS('апрель 2024'!$G$4:$G$1689,'апрель 2024'!$D$4:$D$1689,$B76,'апрель 2024'!$J$4:$J$1689,V$1)</f>
        <v>0</v>
      </c>
      <c r="W76" s="80">
        <f>SUMIFS('апрель 2024'!$G$4:$G$1689,'апрель 2024'!$D$4:$D$1689,$B76,'апрель 2024'!$J$4:$J$1689,W$1)</f>
        <v>0</v>
      </c>
      <c r="X76" s="80">
        <f>SUMIFS('апрель 2024'!$G$4:$G$1689,'апрель 2024'!$D$4:$D$1689,$B76,'апрель 2024'!$J$4:$J$1689,X$1)</f>
        <v>0</v>
      </c>
      <c r="Y76" s="80">
        <f>SUMIFS('апрель 2024'!$G$4:$G$1689,'апрель 2024'!$D$4:$D$1689,$B76,'апрель 2024'!$J$4:$J$1689,Y$1)</f>
        <v>0</v>
      </c>
      <c r="Z76" s="80">
        <f>SUMIFS('апрель 2024'!$G$4:$G$1689,'апрель 2024'!$D$4:$D$1689,$B76,'апрель 2024'!$J$4:$J$1689,Z$1)</f>
        <v>0</v>
      </c>
      <c r="AA76" s="80">
        <f>SUMIFS('апрель 2024'!$G$4:$G$1689,'апрель 2024'!$D$4:$D$1689,$B76,'апрель 2024'!$J$4:$J$1689,AA$1)</f>
        <v>0</v>
      </c>
      <c r="AB76" s="80">
        <f>SUMIFS('апрель 2024'!$G$4:$G$1689,'апрель 2024'!$D$4:$D$1689,$B76,'апрель 2024'!$J$4:$J$1689,AB$1)</f>
        <v>0</v>
      </c>
      <c r="AC76" s="80">
        <f>SUMIFS('апрель 2024'!$G$4:$G$1689,'апрель 2024'!$D$4:$D$1689,$B76,'апрель 2024'!$J$4:$J$1689,AC$1)</f>
        <v>0</v>
      </c>
      <c r="AD76" s="80">
        <f>SUMIFS('апрель 2024'!$G$4:$G$1689,'апрель 2024'!$D$4:$D$1689,$B76,'апрель 2024'!$J$4:$J$1689,AD$1)</f>
        <v>0</v>
      </c>
      <c r="AE76" s="80">
        <f>SUMIFS('апрель 2024'!$G$4:$G$1689,'апрель 2024'!$D$4:$D$1689,$B76,'апрель 2024'!$J$4:$J$1689,AE$1)</f>
        <v>0</v>
      </c>
      <c r="AF76" s="80">
        <f>SUMIFS('апрель 2024'!$G$4:$G$1689,'апрель 2024'!$D$4:$D$1689,$B76,'апрель 2024'!$J$4:$J$1689,AF$1)</f>
        <v>0</v>
      </c>
      <c r="AG76" s="80">
        <f>SUMIFS('апрель 2024'!$G$4:$G$1689,'апрель 2024'!$D$4:$D$1689,$B76,'апрель 2024'!$J$4:$J$1689,AG$1)</f>
        <v>0</v>
      </c>
      <c r="AH76" s="80">
        <f>SUMIFS('апрель 2024'!$G$4:$G$1689,'апрель 2024'!$D$4:$D$1689,$B76,'апрель 2024'!$J$4:$J$1689,AH$1)</f>
        <v>0</v>
      </c>
      <c r="AI76" s="21">
        <f t="shared" si="1"/>
        <v>88</v>
      </c>
    </row>
    <row r="77" spans="2:35" ht="15" customHeight="1" x14ac:dyDescent="0.25">
      <c r="B77" s="93" t="s">
        <v>321</v>
      </c>
      <c r="C77" s="91">
        <v>190</v>
      </c>
      <c r="D77" s="80">
        <f>SUMIFS('апрель 2024'!$G$4:$G$1689,'апрель 2024'!$D$4:$D$1689,$B77,'апрель 2024'!$J$4:$J$1689,D$1)</f>
        <v>0</v>
      </c>
      <c r="E77" s="80">
        <f>SUMIFS('апрель 2024'!$G$4:$G$1689,'апрель 2024'!$D$4:$D$1689,$B77,'апрель 2024'!$J$4:$J$1689,E$1)</f>
        <v>0</v>
      </c>
      <c r="F77" s="80">
        <f>SUMIFS('апрель 2024'!$G$4:$G$1689,'апрель 2024'!$D$4:$D$1689,$B77,'апрель 2024'!$J$4:$J$1689,F$1)</f>
        <v>0</v>
      </c>
      <c r="G77" s="80">
        <f>SUMIFS('апрель 2024'!$G$4:$G$1689,'апрель 2024'!$D$4:$D$1689,$B77,'апрель 2024'!$J$4:$J$1689,G$1)</f>
        <v>0</v>
      </c>
      <c r="H77" s="80">
        <f>SUMIFS('апрель 2024'!$G$4:$G$1689,'апрель 2024'!$D$4:$D$1689,$B77,'апрель 2024'!$J$4:$J$1689,H$1)</f>
        <v>0</v>
      </c>
      <c r="I77" s="80">
        <f>SUMIFS('апрель 2024'!$G$4:$G$1689,'апрель 2024'!$D$4:$D$1689,$B77,'апрель 2024'!$J$4:$J$1689,I$1)</f>
        <v>0</v>
      </c>
      <c r="J77" s="80">
        <f>SUMIFS('апрель 2024'!$G$4:$G$1689,'апрель 2024'!$D$4:$D$1689,$B77,'апрель 2024'!$J$4:$J$1689,J$1)</f>
        <v>0</v>
      </c>
      <c r="K77" s="80">
        <f>SUMIFS('апрель 2024'!$G$4:$G$1689,'апрель 2024'!$D$4:$D$1689,$B77,'апрель 2024'!$J$4:$J$1689,K$1)</f>
        <v>0</v>
      </c>
      <c r="L77" s="80">
        <f>SUMIFS('апрель 2024'!$G$4:$G$1689,'апрель 2024'!$D$4:$D$1689,$B77,'апрель 2024'!$J$4:$J$1689,L$1)</f>
        <v>0</v>
      </c>
      <c r="M77" s="80">
        <f>SUMIFS('апрель 2024'!$G$4:$G$1689,'апрель 2024'!$D$4:$D$1689,$B77,'апрель 2024'!$J$4:$J$1689,M$1)</f>
        <v>0</v>
      </c>
      <c r="N77" s="80">
        <f>SUMIFS('апрель 2024'!$G$4:$G$1689,'апрель 2024'!$D$4:$D$1689,$B77,'апрель 2024'!$J$4:$J$1689,N$1)</f>
        <v>0</v>
      </c>
      <c r="O77" s="80">
        <f>SUMIFS('апрель 2024'!$G$4:$G$1689,'апрель 2024'!$D$4:$D$1689,$B77,'апрель 2024'!$J$4:$J$1689,O$1)</f>
        <v>0</v>
      </c>
      <c r="P77" s="80">
        <f>SUMIFS('апрель 2024'!$G$4:$G$1689,'апрель 2024'!$D$4:$D$1689,$B77,'апрель 2024'!$J$4:$J$1689,P$1)</f>
        <v>0</v>
      </c>
      <c r="Q77" s="80">
        <f>SUMIFS('апрель 2024'!$G$4:$G$1689,'апрель 2024'!$D$4:$D$1689,$B77,'апрель 2024'!$J$4:$J$1689,Q$1)</f>
        <v>0</v>
      </c>
      <c r="R77" s="80">
        <f>SUMIFS('апрель 2024'!$G$4:$G$1689,'апрель 2024'!$D$4:$D$1689,$B77,'апрель 2024'!$J$4:$J$1689,R$1)</f>
        <v>0</v>
      </c>
      <c r="S77" s="80">
        <f>SUMIFS('апрель 2024'!$G$4:$G$1689,'апрель 2024'!$D$4:$D$1689,$B77,'апрель 2024'!$J$4:$J$1689,S$1)</f>
        <v>0</v>
      </c>
      <c r="T77" s="80">
        <f>SUMIFS('апрель 2024'!$G$4:$G$1689,'апрель 2024'!$D$4:$D$1689,$B77,'апрель 2024'!$J$4:$J$1689,T$1)</f>
        <v>0</v>
      </c>
      <c r="U77" s="80">
        <f>SUMIFS('апрель 2024'!$G$4:$G$1689,'апрель 2024'!$D$4:$D$1689,$B77,'апрель 2024'!$J$4:$J$1689,U$1)</f>
        <v>0</v>
      </c>
      <c r="V77" s="80">
        <f>SUMIFS('апрель 2024'!$G$4:$G$1689,'апрель 2024'!$D$4:$D$1689,$B77,'апрель 2024'!$J$4:$J$1689,V$1)</f>
        <v>0</v>
      </c>
      <c r="W77" s="80">
        <f>SUMIFS('апрель 2024'!$G$4:$G$1689,'апрель 2024'!$D$4:$D$1689,$B77,'апрель 2024'!$J$4:$J$1689,W$1)</f>
        <v>0</v>
      </c>
      <c r="X77" s="80">
        <f>SUMIFS('апрель 2024'!$G$4:$G$1689,'апрель 2024'!$D$4:$D$1689,$B77,'апрель 2024'!$J$4:$J$1689,X$1)</f>
        <v>0</v>
      </c>
      <c r="Y77" s="80">
        <f>SUMIFS('апрель 2024'!$G$4:$G$1689,'апрель 2024'!$D$4:$D$1689,$B77,'апрель 2024'!$J$4:$J$1689,Y$1)</f>
        <v>0</v>
      </c>
      <c r="Z77" s="80">
        <f>SUMIFS('апрель 2024'!$G$4:$G$1689,'апрель 2024'!$D$4:$D$1689,$B77,'апрель 2024'!$J$4:$J$1689,Z$1)</f>
        <v>0</v>
      </c>
      <c r="AA77" s="80">
        <f>SUMIFS('апрель 2024'!$G$4:$G$1689,'апрель 2024'!$D$4:$D$1689,$B77,'апрель 2024'!$J$4:$J$1689,AA$1)</f>
        <v>0</v>
      </c>
      <c r="AB77" s="80">
        <f>SUMIFS('апрель 2024'!$G$4:$G$1689,'апрель 2024'!$D$4:$D$1689,$B77,'апрель 2024'!$J$4:$J$1689,AB$1)</f>
        <v>0</v>
      </c>
      <c r="AC77" s="80">
        <f>SUMIFS('апрель 2024'!$G$4:$G$1689,'апрель 2024'!$D$4:$D$1689,$B77,'апрель 2024'!$J$4:$J$1689,AC$1)</f>
        <v>0</v>
      </c>
      <c r="AD77" s="80">
        <f>SUMIFS('апрель 2024'!$G$4:$G$1689,'апрель 2024'!$D$4:$D$1689,$B77,'апрель 2024'!$J$4:$J$1689,AD$1)</f>
        <v>0</v>
      </c>
      <c r="AE77" s="80">
        <f>SUMIFS('апрель 2024'!$G$4:$G$1689,'апрель 2024'!$D$4:$D$1689,$B77,'апрель 2024'!$J$4:$J$1689,AE$1)</f>
        <v>0</v>
      </c>
      <c r="AF77" s="80">
        <f>SUMIFS('апрель 2024'!$G$4:$G$1689,'апрель 2024'!$D$4:$D$1689,$B77,'апрель 2024'!$J$4:$J$1689,AF$1)</f>
        <v>0</v>
      </c>
      <c r="AG77" s="80">
        <f>SUMIFS('апрель 2024'!$G$4:$G$1689,'апрель 2024'!$D$4:$D$1689,$B77,'апрель 2024'!$J$4:$J$1689,AG$1)</f>
        <v>0</v>
      </c>
      <c r="AH77" s="80">
        <f>SUMIFS('апрель 2024'!$G$4:$G$1689,'апрель 2024'!$D$4:$D$1689,$B77,'апрель 2024'!$J$4:$J$1689,AH$1)</f>
        <v>0</v>
      </c>
      <c r="AI77" s="21">
        <f t="shared" si="1"/>
        <v>0</v>
      </c>
    </row>
    <row r="78" spans="2:35" ht="15" customHeight="1" x14ac:dyDescent="0.25">
      <c r="B78" s="89" t="s">
        <v>199</v>
      </c>
      <c r="C78" s="88">
        <v>180</v>
      </c>
      <c r="D78" s="80">
        <f>SUMIFS('апрель 2024'!$G$4:$G$1689,'апрель 2024'!$D$4:$D$1689,$B78,'апрель 2024'!$J$4:$J$1689,D$1)</f>
        <v>0</v>
      </c>
      <c r="E78" s="80">
        <f>SUMIFS('апрель 2024'!$G$4:$G$1689,'апрель 2024'!$D$4:$D$1689,$B78,'апрель 2024'!$J$4:$J$1689,E$1)</f>
        <v>0</v>
      </c>
      <c r="F78" s="80">
        <f>SUMIFS('апрель 2024'!$G$4:$G$1689,'апрель 2024'!$D$4:$D$1689,$B78,'апрель 2024'!$J$4:$J$1689,F$1)</f>
        <v>0</v>
      </c>
      <c r="G78" s="80">
        <f>SUMIFS('апрель 2024'!$G$4:$G$1689,'апрель 2024'!$D$4:$D$1689,$B78,'апрель 2024'!$J$4:$J$1689,G$1)</f>
        <v>0</v>
      </c>
      <c r="H78" s="80">
        <f>SUMIFS('апрель 2024'!$G$4:$G$1689,'апрель 2024'!$D$4:$D$1689,$B78,'апрель 2024'!$J$4:$J$1689,H$1)</f>
        <v>0</v>
      </c>
      <c r="I78" s="80">
        <f>SUMIFS('апрель 2024'!$G$4:$G$1689,'апрель 2024'!$D$4:$D$1689,$B78,'апрель 2024'!$J$4:$J$1689,I$1)</f>
        <v>0</v>
      </c>
      <c r="J78" s="80">
        <f>SUMIFS('апрель 2024'!$G$4:$G$1689,'апрель 2024'!$D$4:$D$1689,$B78,'апрель 2024'!$J$4:$J$1689,J$1)</f>
        <v>0</v>
      </c>
      <c r="K78" s="80">
        <f>SUMIFS('апрель 2024'!$G$4:$G$1689,'апрель 2024'!$D$4:$D$1689,$B78,'апрель 2024'!$J$4:$J$1689,K$1)</f>
        <v>0</v>
      </c>
      <c r="L78" s="80">
        <f>SUMIFS('апрель 2024'!$G$4:$G$1689,'апрель 2024'!$D$4:$D$1689,$B78,'апрель 2024'!$J$4:$J$1689,L$1)</f>
        <v>0</v>
      </c>
      <c r="M78" s="80">
        <f>SUMIFS('апрель 2024'!$G$4:$G$1689,'апрель 2024'!$D$4:$D$1689,$B78,'апрель 2024'!$J$4:$J$1689,M$1)</f>
        <v>0</v>
      </c>
      <c r="N78" s="80">
        <f>SUMIFS('апрель 2024'!$G$4:$G$1689,'апрель 2024'!$D$4:$D$1689,$B78,'апрель 2024'!$J$4:$J$1689,N$1)</f>
        <v>0</v>
      </c>
      <c r="O78" s="80">
        <f>SUMIFS('апрель 2024'!$G$4:$G$1689,'апрель 2024'!$D$4:$D$1689,$B78,'апрель 2024'!$J$4:$J$1689,O$1)</f>
        <v>0</v>
      </c>
      <c r="P78" s="80">
        <f>SUMIFS('апрель 2024'!$G$4:$G$1689,'апрель 2024'!$D$4:$D$1689,$B78,'апрель 2024'!$J$4:$J$1689,P$1)</f>
        <v>0</v>
      </c>
      <c r="Q78" s="80">
        <f>SUMIFS('апрель 2024'!$G$4:$G$1689,'апрель 2024'!$D$4:$D$1689,$B78,'апрель 2024'!$J$4:$J$1689,Q$1)</f>
        <v>0</v>
      </c>
      <c r="R78" s="80">
        <f>SUMIFS('апрель 2024'!$G$4:$G$1689,'апрель 2024'!$D$4:$D$1689,$B78,'апрель 2024'!$J$4:$J$1689,R$1)</f>
        <v>0</v>
      </c>
      <c r="S78" s="80">
        <f>SUMIFS('апрель 2024'!$G$4:$G$1689,'апрель 2024'!$D$4:$D$1689,$B78,'апрель 2024'!$J$4:$J$1689,S$1)</f>
        <v>0</v>
      </c>
      <c r="T78" s="80">
        <f>SUMIFS('апрель 2024'!$G$4:$G$1689,'апрель 2024'!$D$4:$D$1689,$B78,'апрель 2024'!$J$4:$J$1689,T$1)</f>
        <v>0</v>
      </c>
      <c r="U78" s="80">
        <f>SUMIFS('апрель 2024'!$G$4:$G$1689,'апрель 2024'!$D$4:$D$1689,$B78,'апрель 2024'!$J$4:$J$1689,U$1)</f>
        <v>0</v>
      </c>
      <c r="V78" s="80">
        <f>SUMIFS('апрель 2024'!$G$4:$G$1689,'апрель 2024'!$D$4:$D$1689,$B78,'апрель 2024'!$J$4:$J$1689,V$1)</f>
        <v>0</v>
      </c>
      <c r="W78" s="80">
        <f>SUMIFS('апрель 2024'!$G$4:$G$1689,'апрель 2024'!$D$4:$D$1689,$B78,'апрель 2024'!$J$4:$J$1689,W$1)</f>
        <v>0</v>
      </c>
      <c r="X78" s="80">
        <f>SUMIFS('апрель 2024'!$G$4:$G$1689,'апрель 2024'!$D$4:$D$1689,$B78,'апрель 2024'!$J$4:$J$1689,X$1)</f>
        <v>0</v>
      </c>
      <c r="Y78" s="80">
        <f>SUMIFS('апрель 2024'!$G$4:$G$1689,'апрель 2024'!$D$4:$D$1689,$B78,'апрель 2024'!$J$4:$J$1689,Y$1)</f>
        <v>0</v>
      </c>
      <c r="Z78" s="80">
        <f>SUMIFS('апрель 2024'!$G$4:$G$1689,'апрель 2024'!$D$4:$D$1689,$B78,'апрель 2024'!$J$4:$J$1689,Z$1)</f>
        <v>0</v>
      </c>
      <c r="AA78" s="80">
        <f>SUMIFS('апрель 2024'!$G$4:$G$1689,'апрель 2024'!$D$4:$D$1689,$B78,'апрель 2024'!$J$4:$J$1689,AA$1)</f>
        <v>0</v>
      </c>
      <c r="AB78" s="80">
        <f>SUMIFS('апрель 2024'!$G$4:$G$1689,'апрель 2024'!$D$4:$D$1689,$B78,'апрель 2024'!$J$4:$J$1689,AB$1)</f>
        <v>0</v>
      </c>
      <c r="AC78" s="80">
        <f>SUMIFS('апрель 2024'!$G$4:$G$1689,'апрель 2024'!$D$4:$D$1689,$B78,'апрель 2024'!$J$4:$J$1689,AC$1)</f>
        <v>0</v>
      </c>
      <c r="AD78" s="80">
        <f>SUMIFS('апрель 2024'!$G$4:$G$1689,'апрель 2024'!$D$4:$D$1689,$B78,'апрель 2024'!$J$4:$J$1689,AD$1)</f>
        <v>0</v>
      </c>
      <c r="AE78" s="80">
        <f>SUMIFS('апрель 2024'!$G$4:$G$1689,'апрель 2024'!$D$4:$D$1689,$B78,'апрель 2024'!$J$4:$J$1689,AE$1)</f>
        <v>0</v>
      </c>
      <c r="AF78" s="80">
        <f>SUMIFS('апрель 2024'!$G$4:$G$1689,'апрель 2024'!$D$4:$D$1689,$B78,'апрель 2024'!$J$4:$J$1689,AF$1)</f>
        <v>0</v>
      </c>
      <c r="AG78" s="80">
        <f>SUMIFS('апрель 2024'!$G$4:$G$1689,'апрель 2024'!$D$4:$D$1689,$B78,'апрель 2024'!$J$4:$J$1689,AG$1)</f>
        <v>0</v>
      </c>
      <c r="AH78" s="80">
        <f>SUMIFS('апрель 2024'!$G$4:$G$1689,'апрель 2024'!$D$4:$D$1689,$B78,'апрель 2024'!$J$4:$J$1689,AH$1)</f>
        <v>0</v>
      </c>
      <c r="AI78" s="21">
        <f t="shared" si="1"/>
        <v>0</v>
      </c>
    </row>
    <row r="79" spans="2:35" ht="15" customHeight="1" x14ac:dyDescent="0.25">
      <c r="B79" s="93" t="s">
        <v>200</v>
      </c>
      <c r="C79" s="91">
        <v>190</v>
      </c>
      <c r="D79" s="80">
        <f>SUMIFS('апрель 2024'!$G$4:$G$1689,'апрель 2024'!$D$4:$D$1689,$B79,'апрель 2024'!$J$4:$J$1689,D$1)</f>
        <v>0</v>
      </c>
      <c r="E79" s="80">
        <f>SUMIFS('апрель 2024'!$G$4:$G$1689,'апрель 2024'!$D$4:$D$1689,$B79,'апрель 2024'!$J$4:$J$1689,E$1)</f>
        <v>0</v>
      </c>
      <c r="F79" s="80">
        <f>SUMIFS('апрель 2024'!$G$4:$G$1689,'апрель 2024'!$D$4:$D$1689,$B79,'апрель 2024'!$J$4:$J$1689,F$1)</f>
        <v>0</v>
      </c>
      <c r="G79" s="80">
        <f>SUMIFS('апрель 2024'!$G$4:$G$1689,'апрель 2024'!$D$4:$D$1689,$B79,'апрель 2024'!$J$4:$J$1689,G$1)</f>
        <v>0</v>
      </c>
      <c r="H79" s="80">
        <f>SUMIFS('апрель 2024'!$G$4:$G$1689,'апрель 2024'!$D$4:$D$1689,$B79,'апрель 2024'!$J$4:$J$1689,H$1)</f>
        <v>0</v>
      </c>
      <c r="I79" s="80">
        <f>SUMIFS('апрель 2024'!$G$4:$G$1689,'апрель 2024'!$D$4:$D$1689,$B79,'апрель 2024'!$J$4:$J$1689,I$1)</f>
        <v>0</v>
      </c>
      <c r="J79" s="80">
        <f>SUMIFS('апрель 2024'!$G$4:$G$1689,'апрель 2024'!$D$4:$D$1689,$B79,'апрель 2024'!$J$4:$J$1689,J$1)</f>
        <v>0</v>
      </c>
      <c r="K79" s="80">
        <f>SUMIFS('апрель 2024'!$G$4:$G$1689,'апрель 2024'!$D$4:$D$1689,$B79,'апрель 2024'!$J$4:$J$1689,K$1)</f>
        <v>0</v>
      </c>
      <c r="L79" s="80">
        <f>SUMIFS('апрель 2024'!$G$4:$G$1689,'апрель 2024'!$D$4:$D$1689,$B79,'апрель 2024'!$J$4:$J$1689,L$1)</f>
        <v>0</v>
      </c>
      <c r="M79" s="80">
        <f>SUMIFS('апрель 2024'!$G$4:$G$1689,'апрель 2024'!$D$4:$D$1689,$B79,'апрель 2024'!$J$4:$J$1689,M$1)</f>
        <v>0</v>
      </c>
      <c r="N79" s="80">
        <f>SUMIFS('апрель 2024'!$G$4:$G$1689,'апрель 2024'!$D$4:$D$1689,$B79,'апрель 2024'!$J$4:$J$1689,N$1)</f>
        <v>0</v>
      </c>
      <c r="O79" s="80">
        <f>SUMIFS('апрель 2024'!$G$4:$G$1689,'апрель 2024'!$D$4:$D$1689,$B79,'апрель 2024'!$J$4:$J$1689,O$1)</f>
        <v>0</v>
      </c>
      <c r="P79" s="80">
        <f>SUMIFS('апрель 2024'!$G$4:$G$1689,'апрель 2024'!$D$4:$D$1689,$B79,'апрель 2024'!$J$4:$J$1689,P$1)</f>
        <v>0</v>
      </c>
      <c r="Q79" s="80">
        <f>SUMIFS('апрель 2024'!$G$4:$G$1689,'апрель 2024'!$D$4:$D$1689,$B79,'апрель 2024'!$J$4:$J$1689,Q$1)</f>
        <v>0</v>
      </c>
      <c r="R79" s="80">
        <f>SUMIFS('апрель 2024'!$G$4:$G$1689,'апрель 2024'!$D$4:$D$1689,$B79,'апрель 2024'!$J$4:$J$1689,R$1)</f>
        <v>0</v>
      </c>
      <c r="S79" s="80">
        <f>SUMIFS('апрель 2024'!$G$4:$G$1689,'апрель 2024'!$D$4:$D$1689,$B79,'апрель 2024'!$J$4:$J$1689,S$1)</f>
        <v>0</v>
      </c>
      <c r="T79" s="80">
        <f>SUMIFS('апрель 2024'!$G$4:$G$1689,'апрель 2024'!$D$4:$D$1689,$B79,'апрель 2024'!$J$4:$J$1689,T$1)</f>
        <v>0</v>
      </c>
      <c r="U79" s="80">
        <f>SUMIFS('апрель 2024'!$G$4:$G$1689,'апрель 2024'!$D$4:$D$1689,$B79,'апрель 2024'!$J$4:$J$1689,U$1)</f>
        <v>0</v>
      </c>
      <c r="V79" s="80">
        <f>SUMIFS('апрель 2024'!$G$4:$G$1689,'апрель 2024'!$D$4:$D$1689,$B79,'апрель 2024'!$J$4:$J$1689,V$1)</f>
        <v>0</v>
      </c>
      <c r="W79" s="80">
        <f>SUMIFS('апрель 2024'!$G$4:$G$1689,'апрель 2024'!$D$4:$D$1689,$B79,'апрель 2024'!$J$4:$J$1689,W$1)</f>
        <v>0</v>
      </c>
      <c r="X79" s="80">
        <f>SUMIFS('апрель 2024'!$G$4:$G$1689,'апрель 2024'!$D$4:$D$1689,$B79,'апрель 2024'!$J$4:$J$1689,X$1)</f>
        <v>0</v>
      </c>
      <c r="Y79" s="80">
        <f>SUMIFS('апрель 2024'!$G$4:$G$1689,'апрель 2024'!$D$4:$D$1689,$B79,'апрель 2024'!$J$4:$J$1689,Y$1)</f>
        <v>0</v>
      </c>
      <c r="Z79" s="80">
        <f>SUMIFS('апрель 2024'!$G$4:$G$1689,'апрель 2024'!$D$4:$D$1689,$B79,'апрель 2024'!$J$4:$J$1689,Z$1)</f>
        <v>0</v>
      </c>
      <c r="AA79" s="80">
        <f>SUMIFS('апрель 2024'!$G$4:$G$1689,'апрель 2024'!$D$4:$D$1689,$B79,'апрель 2024'!$J$4:$J$1689,AA$1)</f>
        <v>0</v>
      </c>
      <c r="AB79" s="80">
        <f>SUMIFS('апрель 2024'!$G$4:$G$1689,'апрель 2024'!$D$4:$D$1689,$B79,'апрель 2024'!$J$4:$J$1689,AB$1)</f>
        <v>0</v>
      </c>
      <c r="AC79" s="80">
        <f>SUMIFS('апрель 2024'!$G$4:$G$1689,'апрель 2024'!$D$4:$D$1689,$B79,'апрель 2024'!$J$4:$J$1689,AC$1)</f>
        <v>0</v>
      </c>
      <c r="AD79" s="80">
        <f>SUMIFS('апрель 2024'!$G$4:$G$1689,'апрель 2024'!$D$4:$D$1689,$B79,'апрель 2024'!$J$4:$J$1689,AD$1)</f>
        <v>0</v>
      </c>
      <c r="AE79" s="80">
        <f>SUMIFS('апрель 2024'!$G$4:$G$1689,'апрель 2024'!$D$4:$D$1689,$B79,'апрель 2024'!$J$4:$J$1689,AE$1)</f>
        <v>0</v>
      </c>
      <c r="AF79" s="80">
        <f>SUMIFS('апрель 2024'!$G$4:$G$1689,'апрель 2024'!$D$4:$D$1689,$B79,'апрель 2024'!$J$4:$J$1689,AF$1)</f>
        <v>0</v>
      </c>
      <c r="AG79" s="80">
        <f>SUMIFS('апрель 2024'!$G$4:$G$1689,'апрель 2024'!$D$4:$D$1689,$B79,'апрель 2024'!$J$4:$J$1689,AG$1)</f>
        <v>0</v>
      </c>
      <c r="AH79" s="80">
        <f>SUMIFS('апрель 2024'!$G$4:$G$1689,'апрель 2024'!$D$4:$D$1689,$B79,'апрель 2024'!$J$4:$J$1689,AH$1)</f>
        <v>0</v>
      </c>
      <c r="AI79" s="21">
        <f t="shared" si="1"/>
        <v>0</v>
      </c>
    </row>
    <row r="80" spans="2:35" ht="15" customHeight="1" x14ac:dyDescent="0.25">
      <c r="B80" s="93" t="s">
        <v>201</v>
      </c>
      <c r="C80" s="91">
        <v>190</v>
      </c>
      <c r="D80" s="80">
        <f>SUMIFS('апрель 2024'!$G$4:$G$1689,'апрель 2024'!$D$4:$D$1689,$B80,'апрель 2024'!$J$4:$J$1689,D$1)</f>
        <v>0</v>
      </c>
      <c r="E80" s="80">
        <f>SUMIFS('апрель 2024'!$G$4:$G$1689,'апрель 2024'!$D$4:$D$1689,$B80,'апрель 2024'!$J$4:$J$1689,E$1)</f>
        <v>0</v>
      </c>
      <c r="F80" s="80">
        <f>SUMIFS('апрель 2024'!$G$4:$G$1689,'апрель 2024'!$D$4:$D$1689,$B80,'апрель 2024'!$J$4:$J$1689,F$1)</f>
        <v>0</v>
      </c>
      <c r="G80" s="80">
        <f>SUMIFS('апрель 2024'!$G$4:$G$1689,'апрель 2024'!$D$4:$D$1689,$B80,'апрель 2024'!$J$4:$J$1689,G$1)</f>
        <v>0</v>
      </c>
      <c r="H80" s="80">
        <f>SUMIFS('апрель 2024'!$G$4:$G$1689,'апрель 2024'!$D$4:$D$1689,$B80,'апрель 2024'!$J$4:$J$1689,H$1)</f>
        <v>0</v>
      </c>
      <c r="I80" s="80">
        <f>SUMIFS('апрель 2024'!$G$4:$G$1689,'апрель 2024'!$D$4:$D$1689,$B80,'апрель 2024'!$J$4:$J$1689,I$1)</f>
        <v>0</v>
      </c>
      <c r="J80" s="80">
        <f>SUMIFS('апрель 2024'!$G$4:$G$1689,'апрель 2024'!$D$4:$D$1689,$B80,'апрель 2024'!$J$4:$J$1689,J$1)</f>
        <v>0</v>
      </c>
      <c r="K80" s="80">
        <f>SUMIFS('апрель 2024'!$G$4:$G$1689,'апрель 2024'!$D$4:$D$1689,$B80,'апрель 2024'!$J$4:$J$1689,K$1)</f>
        <v>0</v>
      </c>
      <c r="L80" s="80">
        <f>SUMIFS('апрель 2024'!$G$4:$G$1689,'апрель 2024'!$D$4:$D$1689,$B80,'апрель 2024'!$J$4:$J$1689,L$1)</f>
        <v>0</v>
      </c>
      <c r="M80" s="80">
        <f>SUMIFS('апрель 2024'!$G$4:$G$1689,'апрель 2024'!$D$4:$D$1689,$B80,'апрель 2024'!$J$4:$J$1689,M$1)</f>
        <v>0</v>
      </c>
      <c r="N80" s="80">
        <f>SUMIFS('апрель 2024'!$G$4:$G$1689,'апрель 2024'!$D$4:$D$1689,$B80,'апрель 2024'!$J$4:$J$1689,N$1)</f>
        <v>0</v>
      </c>
      <c r="O80" s="80">
        <f>SUMIFS('апрель 2024'!$G$4:$G$1689,'апрель 2024'!$D$4:$D$1689,$B80,'апрель 2024'!$J$4:$J$1689,O$1)</f>
        <v>0</v>
      </c>
      <c r="P80" s="80">
        <f>SUMIFS('апрель 2024'!$G$4:$G$1689,'апрель 2024'!$D$4:$D$1689,$B80,'апрель 2024'!$J$4:$J$1689,P$1)</f>
        <v>0</v>
      </c>
      <c r="Q80" s="80">
        <f>SUMIFS('апрель 2024'!$G$4:$G$1689,'апрель 2024'!$D$4:$D$1689,$B80,'апрель 2024'!$J$4:$J$1689,Q$1)</f>
        <v>0</v>
      </c>
      <c r="R80" s="80">
        <f>SUMIFS('апрель 2024'!$G$4:$G$1689,'апрель 2024'!$D$4:$D$1689,$B80,'апрель 2024'!$J$4:$J$1689,R$1)</f>
        <v>0</v>
      </c>
      <c r="S80" s="80">
        <f>SUMIFS('апрель 2024'!$G$4:$G$1689,'апрель 2024'!$D$4:$D$1689,$B80,'апрель 2024'!$J$4:$J$1689,S$1)</f>
        <v>0</v>
      </c>
      <c r="T80" s="80">
        <f>SUMIFS('апрель 2024'!$G$4:$G$1689,'апрель 2024'!$D$4:$D$1689,$B80,'апрель 2024'!$J$4:$J$1689,T$1)</f>
        <v>0</v>
      </c>
      <c r="U80" s="80">
        <f>SUMIFS('апрель 2024'!$G$4:$G$1689,'апрель 2024'!$D$4:$D$1689,$B80,'апрель 2024'!$J$4:$J$1689,U$1)</f>
        <v>0</v>
      </c>
      <c r="V80" s="80">
        <f>SUMIFS('апрель 2024'!$G$4:$G$1689,'апрель 2024'!$D$4:$D$1689,$B80,'апрель 2024'!$J$4:$J$1689,V$1)</f>
        <v>0</v>
      </c>
      <c r="W80" s="80">
        <f>SUMIFS('апрель 2024'!$G$4:$G$1689,'апрель 2024'!$D$4:$D$1689,$B80,'апрель 2024'!$J$4:$J$1689,W$1)</f>
        <v>0</v>
      </c>
      <c r="X80" s="80">
        <f>SUMIFS('апрель 2024'!$G$4:$G$1689,'апрель 2024'!$D$4:$D$1689,$B80,'апрель 2024'!$J$4:$J$1689,X$1)</f>
        <v>0</v>
      </c>
      <c r="Y80" s="80">
        <f>SUMIFS('апрель 2024'!$G$4:$G$1689,'апрель 2024'!$D$4:$D$1689,$B80,'апрель 2024'!$J$4:$J$1689,Y$1)</f>
        <v>0</v>
      </c>
      <c r="Z80" s="80">
        <f>SUMIFS('апрель 2024'!$G$4:$G$1689,'апрель 2024'!$D$4:$D$1689,$B80,'апрель 2024'!$J$4:$J$1689,Z$1)</f>
        <v>0</v>
      </c>
      <c r="AA80" s="80">
        <f>SUMIFS('апрель 2024'!$G$4:$G$1689,'апрель 2024'!$D$4:$D$1689,$B80,'апрель 2024'!$J$4:$J$1689,AA$1)</f>
        <v>0</v>
      </c>
      <c r="AB80" s="80">
        <f>SUMIFS('апрель 2024'!$G$4:$G$1689,'апрель 2024'!$D$4:$D$1689,$B80,'апрель 2024'!$J$4:$J$1689,AB$1)</f>
        <v>0</v>
      </c>
      <c r="AC80" s="80">
        <f>SUMIFS('апрель 2024'!$G$4:$G$1689,'апрель 2024'!$D$4:$D$1689,$B80,'апрель 2024'!$J$4:$J$1689,AC$1)</f>
        <v>72</v>
      </c>
      <c r="AD80" s="80">
        <f>SUMIFS('апрель 2024'!$G$4:$G$1689,'апрель 2024'!$D$4:$D$1689,$B80,'апрель 2024'!$J$4:$J$1689,AD$1)</f>
        <v>0</v>
      </c>
      <c r="AE80" s="80">
        <f>SUMIFS('апрель 2024'!$G$4:$G$1689,'апрель 2024'!$D$4:$D$1689,$B80,'апрель 2024'!$J$4:$J$1689,AE$1)</f>
        <v>0</v>
      </c>
      <c r="AF80" s="80">
        <f>SUMIFS('апрель 2024'!$G$4:$G$1689,'апрель 2024'!$D$4:$D$1689,$B80,'апрель 2024'!$J$4:$J$1689,AF$1)</f>
        <v>0</v>
      </c>
      <c r="AG80" s="80">
        <f>SUMIFS('апрель 2024'!$G$4:$G$1689,'апрель 2024'!$D$4:$D$1689,$B80,'апрель 2024'!$J$4:$J$1689,AG$1)</f>
        <v>0</v>
      </c>
      <c r="AH80" s="80">
        <f>SUMIFS('апрель 2024'!$G$4:$G$1689,'апрель 2024'!$D$4:$D$1689,$B80,'апрель 2024'!$J$4:$J$1689,AH$1)</f>
        <v>0</v>
      </c>
      <c r="AI80" s="21">
        <f t="shared" si="1"/>
        <v>72</v>
      </c>
    </row>
    <row r="81" spans="2:35" ht="15" customHeight="1" x14ac:dyDescent="0.25">
      <c r="B81" s="93" t="s">
        <v>202</v>
      </c>
      <c r="C81" s="91">
        <v>900</v>
      </c>
      <c r="D81" s="80">
        <f>SUMIFS('апрель 2024'!$G$4:$G$1689,'апрель 2024'!$D$4:$D$1689,$B81,'апрель 2024'!$J$4:$J$1689,D$1)</f>
        <v>0</v>
      </c>
      <c r="E81" s="80">
        <f>SUMIFS('апрель 2024'!$G$4:$G$1689,'апрель 2024'!$D$4:$D$1689,$B81,'апрель 2024'!$J$4:$J$1689,E$1)</f>
        <v>0</v>
      </c>
      <c r="F81" s="80">
        <f>SUMIFS('апрель 2024'!$G$4:$G$1689,'апрель 2024'!$D$4:$D$1689,$B81,'апрель 2024'!$J$4:$J$1689,F$1)</f>
        <v>0</v>
      </c>
      <c r="G81" s="80">
        <f>SUMIFS('апрель 2024'!$G$4:$G$1689,'апрель 2024'!$D$4:$D$1689,$B81,'апрель 2024'!$J$4:$J$1689,G$1)</f>
        <v>0</v>
      </c>
      <c r="H81" s="80">
        <f>SUMIFS('апрель 2024'!$G$4:$G$1689,'апрель 2024'!$D$4:$D$1689,$B81,'апрель 2024'!$J$4:$J$1689,H$1)</f>
        <v>0</v>
      </c>
      <c r="I81" s="80">
        <f>SUMIFS('апрель 2024'!$G$4:$G$1689,'апрель 2024'!$D$4:$D$1689,$B81,'апрель 2024'!$J$4:$J$1689,I$1)</f>
        <v>0</v>
      </c>
      <c r="J81" s="80">
        <f>SUMIFS('апрель 2024'!$G$4:$G$1689,'апрель 2024'!$D$4:$D$1689,$B81,'апрель 2024'!$J$4:$J$1689,J$1)</f>
        <v>0</v>
      </c>
      <c r="K81" s="80">
        <f>SUMIFS('апрель 2024'!$G$4:$G$1689,'апрель 2024'!$D$4:$D$1689,$B81,'апрель 2024'!$J$4:$J$1689,K$1)</f>
        <v>0</v>
      </c>
      <c r="L81" s="80">
        <f>SUMIFS('апрель 2024'!$G$4:$G$1689,'апрель 2024'!$D$4:$D$1689,$B81,'апрель 2024'!$J$4:$J$1689,L$1)</f>
        <v>0</v>
      </c>
      <c r="M81" s="80">
        <f>SUMIFS('апрель 2024'!$G$4:$G$1689,'апрель 2024'!$D$4:$D$1689,$B81,'апрель 2024'!$J$4:$J$1689,M$1)</f>
        <v>0</v>
      </c>
      <c r="N81" s="80">
        <f>SUMIFS('апрель 2024'!$G$4:$G$1689,'апрель 2024'!$D$4:$D$1689,$B81,'апрель 2024'!$J$4:$J$1689,N$1)</f>
        <v>0</v>
      </c>
      <c r="O81" s="80">
        <f>SUMIFS('апрель 2024'!$G$4:$G$1689,'апрель 2024'!$D$4:$D$1689,$B81,'апрель 2024'!$J$4:$J$1689,O$1)</f>
        <v>0</v>
      </c>
      <c r="P81" s="80">
        <f>SUMIFS('апрель 2024'!$G$4:$G$1689,'апрель 2024'!$D$4:$D$1689,$B81,'апрель 2024'!$J$4:$J$1689,P$1)</f>
        <v>0</v>
      </c>
      <c r="Q81" s="80">
        <f>SUMIFS('апрель 2024'!$G$4:$G$1689,'апрель 2024'!$D$4:$D$1689,$B81,'апрель 2024'!$J$4:$J$1689,Q$1)</f>
        <v>0</v>
      </c>
      <c r="R81" s="80">
        <f>SUMIFS('апрель 2024'!$G$4:$G$1689,'апрель 2024'!$D$4:$D$1689,$B81,'апрель 2024'!$J$4:$J$1689,R$1)</f>
        <v>0</v>
      </c>
      <c r="S81" s="80">
        <f>SUMIFS('апрель 2024'!$G$4:$G$1689,'апрель 2024'!$D$4:$D$1689,$B81,'апрель 2024'!$J$4:$J$1689,S$1)</f>
        <v>0</v>
      </c>
      <c r="T81" s="80">
        <f>SUMIFS('апрель 2024'!$G$4:$G$1689,'апрель 2024'!$D$4:$D$1689,$B81,'апрель 2024'!$J$4:$J$1689,T$1)</f>
        <v>0</v>
      </c>
      <c r="U81" s="80">
        <f>SUMIFS('апрель 2024'!$G$4:$G$1689,'апрель 2024'!$D$4:$D$1689,$B81,'апрель 2024'!$J$4:$J$1689,U$1)</f>
        <v>0</v>
      </c>
      <c r="V81" s="80">
        <f>SUMIFS('апрель 2024'!$G$4:$G$1689,'апрель 2024'!$D$4:$D$1689,$B81,'апрель 2024'!$J$4:$J$1689,V$1)</f>
        <v>0</v>
      </c>
      <c r="W81" s="80">
        <f>SUMIFS('апрель 2024'!$G$4:$G$1689,'апрель 2024'!$D$4:$D$1689,$B81,'апрель 2024'!$J$4:$J$1689,W$1)</f>
        <v>0</v>
      </c>
      <c r="X81" s="80">
        <f>SUMIFS('апрель 2024'!$G$4:$G$1689,'апрель 2024'!$D$4:$D$1689,$B81,'апрель 2024'!$J$4:$J$1689,X$1)</f>
        <v>0</v>
      </c>
      <c r="Y81" s="80">
        <f>SUMIFS('апрель 2024'!$G$4:$G$1689,'апрель 2024'!$D$4:$D$1689,$B81,'апрель 2024'!$J$4:$J$1689,Y$1)</f>
        <v>0</v>
      </c>
      <c r="Z81" s="80">
        <f>SUMIFS('апрель 2024'!$G$4:$G$1689,'апрель 2024'!$D$4:$D$1689,$B81,'апрель 2024'!$J$4:$J$1689,Z$1)</f>
        <v>0</v>
      </c>
      <c r="AA81" s="80">
        <f>SUMIFS('апрель 2024'!$G$4:$G$1689,'апрель 2024'!$D$4:$D$1689,$B81,'апрель 2024'!$J$4:$J$1689,AA$1)</f>
        <v>0</v>
      </c>
      <c r="AB81" s="80">
        <f>SUMIFS('апрель 2024'!$G$4:$G$1689,'апрель 2024'!$D$4:$D$1689,$B81,'апрель 2024'!$J$4:$J$1689,AB$1)</f>
        <v>0</v>
      </c>
      <c r="AC81" s="80">
        <f>SUMIFS('апрель 2024'!$G$4:$G$1689,'апрель 2024'!$D$4:$D$1689,$B81,'апрель 2024'!$J$4:$J$1689,AC$1)</f>
        <v>0</v>
      </c>
      <c r="AD81" s="80">
        <f>SUMIFS('апрель 2024'!$G$4:$G$1689,'апрель 2024'!$D$4:$D$1689,$B81,'апрель 2024'!$J$4:$J$1689,AD$1)</f>
        <v>0</v>
      </c>
      <c r="AE81" s="80">
        <f>SUMIFS('апрель 2024'!$G$4:$G$1689,'апрель 2024'!$D$4:$D$1689,$B81,'апрель 2024'!$J$4:$J$1689,AE$1)</f>
        <v>0</v>
      </c>
      <c r="AF81" s="80">
        <f>SUMIFS('апрель 2024'!$G$4:$G$1689,'апрель 2024'!$D$4:$D$1689,$B81,'апрель 2024'!$J$4:$J$1689,AF$1)</f>
        <v>0</v>
      </c>
      <c r="AG81" s="80">
        <f>SUMIFS('апрель 2024'!$G$4:$G$1689,'апрель 2024'!$D$4:$D$1689,$B81,'апрель 2024'!$J$4:$J$1689,AG$1)</f>
        <v>0</v>
      </c>
      <c r="AH81" s="80">
        <f>SUMIFS('апрель 2024'!$G$4:$G$1689,'апрель 2024'!$D$4:$D$1689,$B81,'апрель 2024'!$J$4:$J$1689,AH$1)</f>
        <v>0</v>
      </c>
      <c r="AI81" s="21">
        <f t="shared" si="1"/>
        <v>0</v>
      </c>
    </row>
    <row r="82" spans="2:35" ht="15" customHeight="1" x14ac:dyDescent="0.25">
      <c r="B82" s="89" t="s">
        <v>196</v>
      </c>
      <c r="C82" s="88">
        <v>190</v>
      </c>
      <c r="D82" s="80">
        <f>SUMIFS('апрель 2024'!$G$4:$G$1689,'апрель 2024'!$D$4:$D$1689,$B82,'апрель 2024'!$J$4:$J$1689,D$1)</f>
        <v>0</v>
      </c>
      <c r="E82" s="80">
        <f>SUMIFS('апрель 2024'!$G$4:$G$1689,'апрель 2024'!$D$4:$D$1689,$B82,'апрель 2024'!$J$4:$J$1689,E$1)</f>
        <v>0</v>
      </c>
      <c r="F82" s="80">
        <f>SUMIFS('апрель 2024'!$G$4:$G$1689,'апрель 2024'!$D$4:$D$1689,$B82,'апрель 2024'!$J$4:$J$1689,F$1)</f>
        <v>0</v>
      </c>
      <c r="G82" s="80">
        <f>SUMIFS('апрель 2024'!$G$4:$G$1689,'апрель 2024'!$D$4:$D$1689,$B82,'апрель 2024'!$J$4:$J$1689,G$1)</f>
        <v>0</v>
      </c>
      <c r="H82" s="80">
        <f>SUMIFS('апрель 2024'!$G$4:$G$1689,'апрель 2024'!$D$4:$D$1689,$B82,'апрель 2024'!$J$4:$J$1689,H$1)</f>
        <v>0</v>
      </c>
      <c r="I82" s="80">
        <f>SUMIFS('апрель 2024'!$G$4:$G$1689,'апрель 2024'!$D$4:$D$1689,$B82,'апрель 2024'!$J$4:$J$1689,I$1)</f>
        <v>0</v>
      </c>
      <c r="J82" s="80">
        <f>SUMIFS('апрель 2024'!$G$4:$G$1689,'апрель 2024'!$D$4:$D$1689,$B82,'апрель 2024'!$J$4:$J$1689,J$1)</f>
        <v>0</v>
      </c>
      <c r="K82" s="80">
        <f>SUMIFS('апрель 2024'!$G$4:$G$1689,'апрель 2024'!$D$4:$D$1689,$B82,'апрель 2024'!$J$4:$J$1689,K$1)</f>
        <v>0</v>
      </c>
      <c r="L82" s="80">
        <f>SUMIFS('апрель 2024'!$G$4:$G$1689,'апрель 2024'!$D$4:$D$1689,$B82,'апрель 2024'!$J$4:$J$1689,L$1)</f>
        <v>0</v>
      </c>
      <c r="M82" s="80">
        <f>SUMIFS('апрель 2024'!$G$4:$G$1689,'апрель 2024'!$D$4:$D$1689,$B82,'апрель 2024'!$J$4:$J$1689,M$1)</f>
        <v>0</v>
      </c>
      <c r="N82" s="80">
        <f>SUMIFS('апрель 2024'!$G$4:$G$1689,'апрель 2024'!$D$4:$D$1689,$B82,'апрель 2024'!$J$4:$J$1689,N$1)</f>
        <v>0</v>
      </c>
      <c r="O82" s="80">
        <f>SUMIFS('апрель 2024'!$G$4:$G$1689,'апрель 2024'!$D$4:$D$1689,$B82,'апрель 2024'!$J$4:$J$1689,O$1)</f>
        <v>0</v>
      </c>
      <c r="P82" s="80">
        <f>SUMIFS('апрель 2024'!$G$4:$G$1689,'апрель 2024'!$D$4:$D$1689,$B82,'апрель 2024'!$J$4:$J$1689,P$1)</f>
        <v>0</v>
      </c>
      <c r="Q82" s="80">
        <f>SUMIFS('апрель 2024'!$G$4:$G$1689,'апрель 2024'!$D$4:$D$1689,$B82,'апрель 2024'!$J$4:$J$1689,Q$1)</f>
        <v>0</v>
      </c>
      <c r="R82" s="80">
        <f>SUMIFS('апрель 2024'!$G$4:$G$1689,'апрель 2024'!$D$4:$D$1689,$B82,'апрель 2024'!$J$4:$J$1689,R$1)</f>
        <v>0</v>
      </c>
      <c r="S82" s="80">
        <f>SUMIFS('апрель 2024'!$G$4:$G$1689,'апрель 2024'!$D$4:$D$1689,$B82,'апрель 2024'!$J$4:$J$1689,S$1)</f>
        <v>0</v>
      </c>
      <c r="T82" s="80">
        <f>SUMIFS('апрель 2024'!$G$4:$G$1689,'апрель 2024'!$D$4:$D$1689,$B82,'апрель 2024'!$J$4:$J$1689,T$1)</f>
        <v>0</v>
      </c>
      <c r="U82" s="80">
        <f>SUMIFS('апрель 2024'!$G$4:$G$1689,'апрель 2024'!$D$4:$D$1689,$B82,'апрель 2024'!$J$4:$J$1689,U$1)</f>
        <v>0</v>
      </c>
      <c r="V82" s="80">
        <f>SUMIFS('апрель 2024'!$G$4:$G$1689,'апрель 2024'!$D$4:$D$1689,$B82,'апрель 2024'!$J$4:$J$1689,V$1)</f>
        <v>0</v>
      </c>
      <c r="W82" s="80">
        <f>SUMIFS('апрель 2024'!$G$4:$G$1689,'апрель 2024'!$D$4:$D$1689,$B82,'апрель 2024'!$J$4:$J$1689,W$1)</f>
        <v>0</v>
      </c>
      <c r="X82" s="80">
        <f>SUMIFS('апрель 2024'!$G$4:$G$1689,'апрель 2024'!$D$4:$D$1689,$B82,'апрель 2024'!$J$4:$J$1689,X$1)</f>
        <v>0</v>
      </c>
      <c r="Y82" s="80">
        <f>SUMIFS('апрель 2024'!$G$4:$G$1689,'апрель 2024'!$D$4:$D$1689,$B82,'апрель 2024'!$J$4:$J$1689,Y$1)</f>
        <v>0</v>
      </c>
      <c r="Z82" s="80">
        <f>SUMIFS('апрель 2024'!$G$4:$G$1689,'апрель 2024'!$D$4:$D$1689,$B82,'апрель 2024'!$J$4:$J$1689,Z$1)</f>
        <v>0</v>
      </c>
      <c r="AA82" s="80">
        <f>SUMIFS('апрель 2024'!$G$4:$G$1689,'апрель 2024'!$D$4:$D$1689,$B82,'апрель 2024'!$J$4:$J$1689,AA$1)</f>
        <v>0</v>
      </c>
      <c r="AB82" s="80">
        <f>SUMIFS('апрель 2024'!$G$4:$G$1689,'апрель 2024'!$D$4:$D$1689,$B82,'апрель 2024'!$J$4:$J$1689,AB$1)</f>
        <v>0</v>
      </c>
      <c r="AC82" s="80">
        <f>SUMIFS('апрель 2024'!$G$4:$G$1689,'апрель 2024'!$D$4:$D$1689,$B82,'апрель 2024'!$J$4:$J$1689,AC$1)</f>
        <v>0</v>
      </c>
      <c r="AD82" s="80">
        <f>SUMIFS('апрель 2024'!$G$4:$G$1689,'апрель 2024'!$D$4:$D$1689,$B82,'апрель 2024'!$J$4:$J$1689,AD$1)</f>
        <v>0</v>
      </c>
      <c r="AE82" s="80">
        <f>SUMIFS('апрель 2024'!$G$4:$G$1689,'апрель 2024'!$D$4:$D$1689,$B82,'апрель 2024'!$J$4:$J$1689,AE$1)</f>
        <v>0</v>
      </c>
      <c r="AF82" s="80">
        <f>SUMIFS('апрель 2024'!$G$4:$G$1689,'апрель 2024'!$D$4:$D$1689,$B82,'апрель 2024'!$J$4:$J$1689,AF$1)</f>
        <v>0</v>
      </c>
      <c r="AG82" s="80">
        <f>SUMIFS('апрель 2024'!$G$4:$G$1689,'апрель 2024'!$D$4:$D$1689,$B82,'апрель 2024'!$J$4:$J$1689,AG$1)</f>
        <v>0</v>
      </c>
      <c r="AH82" s="80">
        <f>SUMIFS('апрель 2024'!$G$4:$G$1689,'апрель 2024'!$D$4:$D$1689,$B82,'апрель 2024'!$J$4:$J$1689,AH$1)</f>
        <v>0</v>
      </c>
      <c r="AI82" s="21">
        <f t="shared" si="1"/>
        <v>0</v>
      </c>
    </row>
    <row r="83" spans="2:35" ht="15" customHeight="1" x14ac:dyDescent="0.25">
      <c r="B83" s="89" t="s">
        <v>217</v>
      </c>
      <c r="C83" s="88">
        <v>190</v>
      </c>
      <c r="D83" s="80">
        <f>SUMIFS('апрель 2024'!$G$4:$G$1689,'апрель 2024'!$D$4:$D$1689,$B83,'апрель 2024'!$J$4:$J$1689,D$1)</f>
        <v>0</v>
      </c>
      <c r="E83" s="80">
        <f>SUMIFS('апрель 2024'!$G$4:$G$1689,'апрель 2024'!$D$4:$D$1689,$B83,'апрель 2024'!$J$4:$J$1689,E$1)</f>
        <v>0</v>
      </c>
      <c r="F83" s="80">
        <f>SUMIFS('апрель 2024'!$G$4:$G$1689,'апрель 2024'!$D$4:$D$1689,$B83,'апрель 2024'!$J$4:$J$1689,F$1)</f>
        <v>0</v>
      </c>
      <c r="G83" s="80">
        <f>SUMIFS('апрель 2024'!$G$4:$G$1689,'апрель 2024'!$D$4:$D$1689,$B83,'апрель 2024'!$J$4:$J$1689,G$1)</f>
        <v>0</v>
      </c>
      <c r="H83" s="80">
        <f>SUMIFS('апрель 2024'!$G$4:$G$1689,'апрель 2024'!$D$4:$D$1689,$B83,'апрель 2024'!$J$4:$J$1689,H$1)</f>
        <v>0</v>
      </c>
      <c r="I83" s="80">
        <f>SUMIFS('апрель 2024'!$G$4:$G$1689,'апрель 2024'!$D$4:$D$1689,$B83,'апрель 2024'!$J$4:$J$1689,I$1)</f>
        <v>0</v>
      </c>
      <c r="J83" s="80">
        <f>SUMIFS('апрель 2024'!$G$4:$G$1689,'апрель 2024'!$D$4:$D$1689,$B83,'апрель 2024'!$J$4:$J$1689,J$1)</f>
        <v>0</v>
      </c>
      <c r="K83" s="80">
        <f>SUMIFS('апрель 2024'!$G$4:$G$1689,'апрель 2024'!$D$4:$D$1689,$B83,'апрель 2024'!$J$4:$J$1689,K$1)</f>
        <v>0</v>
      </c>
      <c r="L83" s="80">
        <f>SUMIFS('апрель 2024'!$G$4:$G$1689,'апрель 2024'!$D$4:$D$1689,$B83,'апрель 2024'!$J$4:$J$1689,L$1)</f>
        <v>0</v>
      </c>
      <c r="M83" s="80">
        <f>SUMIFS('апрель 2024'!$G$4:$G$1689,'апрель 2024'!$D$4:$D$1689,$B83,'апрель 2024'!$J$4:$J$1689,M$1)</f>
        <v>0</v>
      </c>
      <c r="N83" s="80">
        <f>SUMIFS('апрель 2024'!$G$4:$G$1689,'апрель 2024'!$D$4:$D$1689,$B83,'апрель 2024'!$J$4:$J$1689,N$1)</f>
        <v>0</v>
      </c>
      <c r="O83" s="80">
        <f>SUMIFS('апрель 2024'!$G$4:$G$1689,'апрель 2024'!$D$4:$D$1689,$B83,'апрель 2024'!$J$4:$J$1689,O$1)</f>
        <v>0</v>
      </c>
      <c r="P83" s="80">
        <f>SUMIFS('апрель 2024'!$G$4:$G$1689,'апрель 2024'!$D$4:$D$1689,$B83,'апрель 2024'!$J$4:$J$1689,P$1)</f>
        <v>0</v>
      </c>
      <c r="Q83" s="80">
        <f>SUMIFS('апрель 2024'!$G$4:$G$1689,'апрель 2024'!$D$4:$D$1689,$B83,'апрель 2024'!$J$4:$J$1689,Q$1)</f>
        <v>0</v>
      </c>
      <c r="R83" s="80">
        <f>SUMIFS('апрель 2024'!$G$4:$G$1689,'апрель 2024'!$D$4:$D$1689,$B83,'апрель 2024'!$J$4:$J$1689,R$1)</f>
        <v>0</v>
      </c>
      <c r="S83" s="80">
        <f>SUMIFS('апрель 2024'!$G$4:$G$1689,'апрель 2024'!$D$4:$D$1689,$B83,'апрель 2024'!$J$4:$J$1689,S$1)</f>
        <v>0</v>
      </c>
      <c r="T83" s="80">
        <f>SUMIFS('апрель 2024'!$G$4:$G$1689,'апрель 2024'!$D$4:$D$1689,$B83,'апрель 2024'!$J$4:$J$1689,T$1)</f>
        <v>0</v>
      </c>
      <c r="U83" s="80">
        <f>SUMIFS('апрель 2024'!$G$4:$G$1689,'апрель 2024'!$D$4:$D$1689,$B83,'апрель 2024'!$J$4:$J$1689,U$1)</f>
        <v>0</v>
      </c>
      <c r="V83" s="80">
        <f>SUMIFS('апрель 2024'!$G$4:$G$1689,'апрель 2024'!$D$4:$D$1689,$B83,'апрель 2024'!$J$4:$J$1689,V$1)</f>
        <v>0</v>
      </c>
      <c r="W83" s="80">
        <f>SUMIFS('апрель 2024'!$G$4:$G$1689,'апрель 2024'!$D$4:$D$1689,$B83,'апрель 2024'!$J$4:$J$1689,W$1)</f>
        <v>0</v>
      </c>
      <c r="X83" s="80">
        <f>SUMIFS('апрель 2024'!$G$4:$G$1689,'апрель 2024'!$D$4:$D$1689,$B83,'апрель 2024'!$J$4:$J$1689,X$1)</f>
        <v>0</v>
      </c>
      <c r="Y83" s="80">
        <f>SUMIFS('апрель 2024'!$G$4:$G$1689,'апрель 2024'!$D$4:$D$1689,$B83,'апрель 2024'!$J$4:$J$1689,Y$1)</f>
        <v>0</v>
      </c>
      <c r="Z83" s="80">
        <f>SUMIFS('апрель 2024'!$G$4:$G$1689,'апрель 2024'!$D$4:$D$1689,$B83,'апрель 2024'!$J$4:$J$1689,Z$1)</f>
        <v>0</v>
      </c>
      <c r="AA83" s="80">
        <f>SUMIFS('апрель 2024'!$G$4:$G$1689,'апрель 2024'!$D$4:$D$1689,$B83,'апрель 2024'!$J$4:$J$1689,AA$1)</f>
        <v>0</v>
      </c>
      <c r="AB83" s="80">
        <f>SUMIFS('апрель 2024'!$G$4:$G$1689,'апрель 2024'!$D$4:$D$1689,$B83,'апрель 2024'!$J$4:$J$1689,AB$1)</f>
        <v>0</v>
      </c>
      <c r="AC83" s="80">
        <f>SUMIFS('апрель 2024'!$G$4:$G$1689,'апрель 2024'!$D$4:$D$1689,$B83,'апрель 2024'!$J$4:$J$1689,AC$1)</f>
        <v>0</v>
      </c>
      <c r="AD83" s="80">
        <f>SUMIFS('апрель 2024'!$G$4:$G$1689,'апрель 2024'!$D$4:$D$1689,$B83,'апрель 2024'!$J$4:$J$1689,AD$1)</f>
        <v>0</v>
      </c>
      <c r="AE83" s="80">
        <f>SUMIFS('апрель 2024'!$G$4:$G$1689,'апрель 2024'!$D$4:$D$1689,$B83,'апрель 2024'!$J$4:$J$1689,AE$1)</f>
        <v>0</v>
      </c>
      <c r="AF83" s="80">
        <f>SUMIFS('апрель 2024'!$G$4:$G$1689,'апрель 2024'!$D$4:$D$1689,$B83,'апрель 2024'!$J$4:$J$1689,AF$1)</f>
        <v>0</v>
      </c>
      <c r="AG83" s="80">
        <f>SUMIFS('апрель 2024'!$G$4:$G$1689,'апрель 2024'!$D$4:$D$1689,$B83,'апрель 2024'!$J$4:$J$1689,AG$1)</f>
        <v>0</v>
      </c>
      <c r="AH83" s="80">
        <f>SUMIFS('апрель 2024'!$G$4:$G$1689,'апрель 2024'!$D$4:$D$1689,$B83,'апрель 2024'!$J$4:$J$1689,AH$1)</f>
        <v>0</v>
      </c>
      <c r="AI83" s="21">
        <f t="shared" si="1"/>
        <v>0</v>
      </c>
    </row>
    <row r="84" spans="2:35" ht="15" customHeight="1" x14ac:dyDescent="0.25">
      <c r="B84" s="93" t="s">
        <v>179</v>
      </c>
      <c r="C84" s="88">
        <v>190</v>
      </c>
      <c r="D84" s="80">
        <f>SUMIFS('апрель 2024'!$G$4:$G$1689,'апрель 2024'!$D$4:$D$1689,$B84,'апрель 2024'!$J$4:$J$1689,D$1)</f>
        <v>0</v>
      </c>
      <c r="E84" s="80">
        <f>SUMIFS('апрель 2024'!$G$4:$G$1689,'апрель 2024'!$D$4:$D$1689,$B84,'апрель 2024'!$J$4:$J$1689,E$1)</f>
        <v>0</v>
      </c>
      <c r="F84" s="80">
        <f>SUMIFS('апрель 2024'!$G$4:$G$1689,'апрель 2024'!$D$4:$D$1689,$B84,'апрель 2024'!$J$4:$J$1689,F$1)</f>
        <v>0</v>
      </c>
      <c r="G84" s="80">
        <f>SUMIFS('апрель 2024'!$G$4:$G$1689,'апрель 2024'!$D$4:$D$1689,$B84,'апрель 2024'!$J$4:$J$1689,G$1)</f>
        <v>0</v>
      </c>
      <c r="H84" s="80">
        <f>SUMIFS('апрель 2024'!$G$4:$G$1689,'апрель 2024'!$D$4:$D$1689,$B84,'апрель 2024'!$J$4:$J$1689,H$1)</f>
        <v>0</v>
      </c>
      <c r="I84" s="80">
        <f>SUMIFS('апрель 2024'!$G$4:$G$1689,'апрель 2024'!$D$4:$D$1689,$B84,'апрель 2024'!$J$4:$J$1689,I$1)</f>
        <v>0</v>
      </c>
      <c r="J84" s="80">
        <f>SUMIFS('апрель 2024'!$G$4:$G$1689,'апрель 2024'!$D$4:$D$1689,$B84,'апрель 2024'!$J$4:$J$1689,J$1)</f>
        <v>0</v>
      </c>
      <c r="K84" s="80">
        <f>SUMIFS('апрель 2024'!$G$4:$G$1689,'апрель 2024'!$D$4:$D$1689,$B84,'апрель 2024'!$J$4:$J$1689,K$1)</f>
        <v>0</v>
      </c>
      <c r="L84" s="80">
        <f>SUMIFS('апрель 2024'!$G$4:$G$1689,'апрель 2024'!$D$4:$D$1689,$B84,'апрель 2024'!$J$4:$J$1689,L$1)</f>
        <v>0</v>
      </c>
      <c r="M84" s="80">
        <f>SUMIFS('апрель 2024'!$G$4:$G$1689,'апрель 2024'!$D$4:$D$1689,$B84,'апрель 2024'!$J$4:$J$1689,M$1)</f>
        <v>0</v>
      </c>
      <c r="N84" s="80">
        <f>SUMIFS('апрель 2024'!$G$4:$G$1689,'апрель 2024'!$D$4:$D$1689,$B84,'апрель 2024'!$J$4:$J$1689,N$1)</f>
        <v>0</v>
      </c>
      <c r="O84" s="80">
        <f>SUMIFS('апрель 2024'!$G$4:$G$1689,'апрель 2024'!$D$4:$D$1689,$B84,'апрель 2024'!$J$4:$J$1689,O$1)</f>
        <v>0</v>
      </c>
      <c r="P84" s="80">
        <f>SUMIFS('апрель 2024'!$G$4:$G$1689,'апрель 2024'!$D$4:$D$1689,$B84,'апрель 2024'!$J$4:$J$1689,P$1)</f>
        <v>0</v>
      </c>
      <c r="Q84" s="80">
        <f>SUMIFS('апрель 2024'!$G$4:$G$1689,'апрель 2024'!$D$4:$D$1689,$B84,'апрель 2024'!$J$4:$J$1689,Q$1)</f>
        <v>0</v>
      </c>
      <c r="R84" s="80">
        <f>SUMIFS('апрель 2024'!$G$4:$G$1689,'апрель 2024'!$D$4:$D$1689,$B84,'апрель 2024'!$J$4:$J$1689,R$1)</f>
        <v>0</v>
      </c>
      <c r="S84" s="80">
        <f>SUMIFS('апрель 2024'!$G$4:$G$1689,'апрель 2024'!$D$4:$D$1689,$B84,'апрель 2024'!$J$4:$J$1689,S$1)</f>
        <v>0</v>
      </c>
      <c r="T84" s="80">
        <f>SUMIFS('апрель 2024'!$G$4:$G$1689,'апрель 2024'!$D$4:$D$1689,$B84,'апрель 2024'!$J$4:$J$1689,T$1)</f>
        <v>0</v>
      </c>
      <c r="U84" s="80">
        <f>SUMIFS('апрель 2024'!$G$4:$G$1689,'апрель 2024'!$D$4:$D$1689,$B84,'апрель 2024'!$J$4:$J$1689,U$1)</f>
        <v>0</v>
      </c>
      <c r="V84" s="80">
        <f>SUMIFS('апрель 2024'!$G$4:$G$1689,'апрель 2024'!$D$4:$D$1689,$B84,'апрель 2024'!$J$4:$J$1689,V$1)</f>
        <v>0</v>
      </c>
      <c r="W84" s="80">
        <f>SUMIFS('апрель 2024'!$G$4:$G$1689,'апрель 2024'!$D$4:$D$1689,$B84,'апрель 2024'!$J$4:$J$1689,W$1)</f>
        <v>0</v>
      </c>
      <c r="X84" s="80">
        <f>SUMIFS('апрель 2024'!$G$4:$G$1689,'апрель 2024'!$D$4:$D$1689,$B84,'апрель 2024'!$J$4:$J$1689,X$1)</f>
        <v>0</v>
      </c>
      <c r="Y84" s="80">
        <f>SUMIFS('апрель 2024'!$G$4:$G$1689,'апрель 2024'!$D$4:$D$1689,$B84,'апрель 2024'!$J$4:$J$1689,Y$1)</f>
        <v>0</v>
      </c>
      <c r="Z84" s="80">
        <f>SUMIFS('апрель 2024'!$G$4:$G$1689,'апрель 2024'!$D$4:$D$1689,$B84,'апрель 2024'!$J$4:$J$1689,Z$1)</f>
        <v>0</v>
      </c>
      <c r="AA84" s="80">
        <f>SUMIFS('апрель 2024'!$G$4:$G$1689,'апрель 2024'!$D$4:$D$1689,$B84,'апрель 2024'!$J$4:$J$1689,AA$1)</f>
        <v>0</v>
      </c>
      <c r="AB84" s="80">
        <f>SUMIFS('апрель 2024'!$G$4:$G$1689,'апрель 2024'!$D$4:$D$1689,$B84,'апрель 2024'!$J$4:$J$1689,AB$1)</f>
        <v>0</v>
      </c>
      <c r="AC84" s="80">
        <f>SUMIFS('апрель 2024'!$G$4:$G$1689,'апрель 2024'!$D$4:$D$1689,$B84,'апрель 2024'!$J$4:$J$1689,AC$1)</f>
        <v>0</v>
      </c>
      <c r="AD84" s="80">
        <f>SUMIFS('апрель 2024'!$G$4:$G$1689,'апрель 2024'!$D$4:$D$1689,$B84,'апрель 2024'!$J$4:$J$1689,AD$1)</f>
        <v>0</v>
      </c>
      <c r="AE84" s="80">
        <f>SUMIFS('апрель 2024'!$G$4:$G$1689,'апрель 2024'!$D$4:$D$1689,$B84,'апрель 2024'!$J$4:$J$1689,AE$1)</f>
        <v>0</v>
      </c>
      <c r="AF84" s="80">
        <f>SUMIFS('апрель 2024'!$G$4:$G$1689,'апрель 2024'!$D$4:$D$1689,$B84,'апрель 2024'!$J$4:$J$1689,AF$1)</f>
        <v>0</v>
      </c>
      <c r="AG84" s="80">
        <f>SUMIFS('апрель 2024'!$G$4:$G$1689,'апрель 2024'!$D$4:$D$1689,$B84,'апрель 2024'!$J$4:$J$1689,AG$1)</f>
        <v>0</v>
      </c>
      <c r="AH84" s="80">
        <f>SUMIFS('апрель 2024'!$G$4:$G$1689,'апрель 2024'!$D$4:$D$1689,$B84,'апрель 2024'!$J$4:$J$1689,AH$1)</f>
        <v>0</v>
      </c>
      <c r="AI84" s="21">
        <f t="shared" si="1"/>
        <v>0</v>
      </c>
    </row>
    <row r="85" spans="2:35" ht="15" customHeight="1" x14ac:dyDescent="0.25">
      <c r="B85" s="93" t="s">
        <v>192</v>
      </c>
      <c r="C85" s="91">
        <v>180</v>
      </c>
      <c r="D85" s="80">
        <f>SUMIFS('апрель 2024'!$G$4:$G$1689,'апрель 2024'!$D$4:$D$1689,$B85,'апрель 2024'!$J$4:$J$1689,D$1)</f>
        <v>0</v>
      </c>
      <c r="E85" s="80">
        <f>SUMIFS('апрель 2024'!$G$4:$G$1689,'апрель 2024'!$D$4:$D$1689,$B85,'апрель 2024'!$J$4:$J$1689,E$1)</f>
        <v>0</v>
      </c>
      <c r="F85" s="80">
        <f>SUMIFS('апрель 2024'!$G$4:$G$1689,'апрель 2024'!$D$4:$D$1689,$B85,'апрель 2024'!$J$4:$J$1689,F$1)</f>
        <v>0</v>
      </c>
      <c r="G85" s="80">
        <f>SUMIFS('апрель 2024'!$G$4:$G$1689,'апрель 2024'!$D$4:$D$1689,$B85,'апрель 2024'!$J$4:$J$1689,G$1)</f>
        <v>0</v>
      </c>
      <c r="H85" s="80">
        <f>SUMIFS('апрель 2024'!$G$4:$G$1689,'апрель 2024'!$D$4:$D$1689,$B85,'апрель 2024'!$J$4:$J$1689,H$1)</f>
        <v>0</v>
      </c>
      <c r="I85" s="80">
        <f>SUMIFS('апрель 2024'!$G$4:$G$1689,'апрель 2024'!$D$4:$D$1689,$B85,'апрель 2024'!$J$4:$J$1689,I$1)</f>
        <v>0</v>
      </c>
      <c r="J85" s="80">
        <f>SUMIFS('апрель 2024'!$G$4:$G$1689,'апрель 2024'!$D$4:$D$1689,$B85,'апрель 2024'!$J$4:$J$1689,J$1)</f>
        <v>0</v>
      </c>
      <c r="K85" s="80">
        <f>SUMIFS('апрель 2024'!$G$4:$G$1689,'апрель 2024'!$D$4:$D$1689,$B85,'апрель 2024'!$J$4:$J$1689,K$1)</f>
        <v>0</v>
      </c>
      <c r="L85" s="80">
        <f>SUMIFS('апрель 2024'!$G$4:$G$1689,'апрель 2024'!$D$4:$D$1689,$B85,'апрель 2024'!$J$4:$J$1689,L$1)</f>
        <v>0</v>
      </c>
      <c r="M85" s="80">
        <f>SUMIFS('апрель 2024'!$G$4:$G$1689,'апрель 2024'!$D$4:$D$1689,$B85,'апрель 2024'!$J$4:$J$1689,M$1)</f>
        <v>0</v>
      </c>
      <c r="N85" s="80">
        <f>SUMIFS('апрель 2024'!$G$4:$G$1689,'апрель 2024'!$D$4:$D$1689,$B85,'апрель 2024'!$J$4:$J$1689,N$1)</f>
        <v>0</v>
      </c>
      <c r="O85" s="80">
        <f>SUMIFS('апрель 2024'!$G$4:$G$1689,'апрель 2024'!$D$4:$D$1689,$B85,'апрель 2024'!$J$4:$J$1689,O$1)</f>
        <v>0</v>
      </c>
      <c r="P85" s="80">
        <f>SUMIFS('апрель 2024'!$G$4:$G$1689,'апрель 2024'!$D$4:$D$1689,$B85,'апрель 2024'!$J$4:$J$1689,P$1)</f>
        <v>0</v>
      </c>
      <c r="Q85" s="80">
        <f>SUMIFS('апрель 2024'!$G$4:$G$1689,'апрель 2024'!$D$4:$D$1689,$B85,'апрель 2024'!$J$4:$J$1689,Q$1)</f>
        <v>0</v>
      </c>
      <c r="R85" s="80">
        <f>SUMIFS('апрель 2024'!$G$4:$G$1689,'апрель 2024'!$D$4:$D$1689,$B85,'апрель 2024'!$J$4:$J$1689,R$1)</f>
        <v>0</v>
      </c>
      <c r="S85" s="80">
        <f>SUMIFS('апрель 2024'!$G$4:$G$1689,'апрель 2024'!$D$4:$D$1689,$B85,'апрель 2024'!$J$4:$J$1689,S$1)</f>
        <v>0</v>
      </c>
      <c r="T85" s="80">
        <f>SUMIFS('апрель 2024'!$G$4:$G$1689,'апрель 2024'!$D$4:$D$1689,$B85,'апрель 2024'!$J$4:$J$1689,T$1)</f>
        <v>0</v>
      </c>
      <c r="U85" s="80">
        <f>SUMIFS('апрель 2024'!$G$4:$G$1689,'апрель 2024'!$D$4:$D$1689,$B85,'апрель 2024'!$J$4:$J$1689,U$1)</f>
        <v>0</v>
      </c>
      <c r="V85" s="80">
        <f>SUMIFS('апрель 2024'!$G$4:$G$1689,'апрель 2024'!$D$4:$D$1689,$B85,'апрель 2024'!$J$4:$J$1689,V$1)</f>
        <v>0</v>
      </c>
      <c r="W85" s="80">
        <f>SUMIFS('апрель 2024'!$G$4:$G$1689,'апрель 2024'!$D$4:$D$1689,$B85,'апрель 2024'!$J$4:$J$1689,W$1)</f>
        <v>0</v>
      </c>
      <c r="X85" s="80">
        <f>SUMIFS('апрель 2024'!$G$4:$G$1689,'апрель 2024'!$D$4:$D$1689,$B85,'апрель 2024'!$J$4:$J$1689,X$1)</f>
        <v>0</v>
      </c>
      <c r="Y85" s="80">
        <f>SUMIFS('апрель 2024'!$G$4:$G$1689,'апрель 2024'!$D$4:$D$1689,$B85,'апрель 2024'!$J$4:$J$1689,Y$1)</f>
        <v>0</v>
      </c>
      <c r="Z85" s="80">
        <f>SUMIFS('апрель 2024'!$G$4:$G$1689,'апрель 2024'!$D$4:$D$1689,$B85,'апрель 2024'!$J$4:$J$1689,Z$1)</f>
        <v>0</v>
      </c>
      <c r="AA85" s="80">
        <f>SUMIFS('апрель 2024'!$G$4:$G$1689,'апрель 2024'!$D$4:$D$1689,$B85,'апрель 2024'!$J$4:$J$1689,AA$1)</f>
        <v>0</v>
      </c>
      <c r="AB85" s="80">
        <f>SUMIFS('апрель 2024'!$G$4:$G$1689,'апрель 2024'!$D$4:$D$1689,$B85,'апрель 2024'!$J$4:$J$1689,AB$1)</f>
        <v>0</v>
      </c>
      <c r="AC85" s="80">
        <f>SUMIFS('апрель 2024'!$G$4:$G$1689,'апрель 2024'!$D$4:$D$1689,$B85,'апрель 2024'!$J$4:$J$1689,AC$1)</f>
        <v>0</v>
      </c>
      <c r="AD85" s="80">
        <f>SUMIFS('апрель 2024'!$G$4:$G$1689,'апрель 2024'!$D$4:$D$1689,$B85,'апрель 2024'!$J$4:$J$1689,AD$1)</f>
        <v>0</v>
      </c>
      <c r="AE85" s="80">
        <f>SUMIFS('апрель 2024'!$G$4:$G$1689,'апрель 2024'!$D$4:$D$1689,$B85,'апрель 2024'!$J$4:$J$1689,AE$1)</f>
        <v>0</v>
      </c>
      <c r="AF85" s="80">
        <f>SUMIFS('апрель 2024'!$G$4:$G$1689,'апрель 2024'!$D$4:$D$1689,$B85,'апрель 2024'!$J$4:$J$1689,AF$1)</f>
        <v>0</v>
      </c>
      <c r="AG85" s="80">
        <f>SUMIFS('апрель 2024'!$G$4:$G$1689,'апрель 2024'!$D$4:$D$1689,$B85,'апрель 2024'!$J$4:$J$1689,AG$1)</f>
        <v>0</v>
      </c>
      <c r="AH85" s="80">
        <f>SUMIFS('апрель 2024'!$G$4:$G$1689,'апрель 2024'!$D$4:$D$1689,$B85,'апрель 2024'!$J$4:$J$1689,AH$1)</f>
        <v>0</v>
      </c>
      <c r="AI85" s="21">
        <f t="shared" si="1"/>
        <v>0</v>
      </c>
    </row>
    <row r="86" spans="2:35" ht="15" customHeight="1" x14ac:dyDescent="0.25">
      <c r="B86" s="93" t="s">
        <v>887</v>
      </c>
      <c r="C86" s="91">
        <v>190</v>
      </c>
      <c r="D86" s="80">
        <f>SUMIFS('апрель 2024'!$G$4:$G$1689,'апрель 2024'!$D$4:$D$1689,$B86,'апрель 2024'!$J$4:$J$1689,D$1)</f>
        <v>0</v>
      </c>
      <c r="E86" s="80">
        <f>SUMIFS('апрель 2024'!$G$4:$G$1689,'апрель 2024'!$D$4:$D$1689,$B86,'апрель 2024'!$J$4:$J$1689,E$1)</f>
        <v>0</v>
      </c>
      <c r="F86" s="80">
        <f>SUMIFS('апрель 2024'!$G$4:$G$1689,'апрель 2024'!$D$4:$D$1689,$B86,'апрель 2024'!$J$4:$J$1689,F$1)</f>
        <v>0</v>
      </c>
      <c r="G86" s="80">
        <f>SUMIFS('апрель 2024'!$G$4:$G$1689,'апрель 2024'!$D$4:$D$1689,$B86,'апрель 2024'!$J$4:$J$1689,G$1)</f>
        <v>0</v>
      </c>
      <c r="H86" s="80">
        <f>SUMIFS('апрель 2024'!$G$4:$G$1689,'апрель 2024'!$D$4:$D$1689,$B86,'апрель 2024'!$J$4:$J$1689,H$1)</f>
        <v>0</v>
      </c>
      <c r="I86" s="80">
        <f>SUMIFS('апрель 2024'!$G$4:$G$1689,'апрель 2024'!$D$4:$D$1689,$B86,'апрель 2024'!$J$4:$J$1689,I$1)</f>
        <v>0</v>
      </c>
      <c r="J86" s="80">
        <f>SUMIFS('апрель 2024'!$G$4:$G$1689,'апрель 2024'!$D$4:$D$1689,$B86,'апрель 2024'!$J$4:$J$1689,J$1)</f>
        <v>0</v>
      </c>
      <c r="K86" s="80">
        <f>SUMIFS('апрель 2024'!$G$4:$G$1689,'апрель 2024'!$D$4:$D$1689,$B86,'апрель 2024'!$J$4:$J$1689,K$1)</f>
        <v>0</v>
      </c>
      <c r="L86" s="80">
        <f>SUMIFS('апрель 2024'!$G$4:$G$1689,'апрель 2024'!$D$4:$D$1689,$B86,'апрель 2024'!$J$4:$J$1689,L$1)</f>
        <v>0</v>
      </c>
      <c r="M86" s="80">
        <f>SUMIFS('апрель 2024'!$G$4:$G$1689,'апрель 2024'!$D$4:$D$1689,$B86,'апрель 2024'!$J$4:$J$1689,M$1)</f>
        <v>0</v>
      </c>
      <c r="N86" s="80">
        <f>SUMIFS('апрель 2024'!$G$4:$G$1689,'апрель 2024'!$D$4:$D$1689,$B86,'апрель 2024'!$J$4:$J$1689,N$1)</f>
        <v>0</v>
      </c>
      <c r="O86" s="80">
        <f>SUMIFS('апрель 2024'!$G$4:$G$1689,'апрель 2024'!$D$4:$D$1689,$B86,'апрель 2024'!$J$4:$J$1689,O$1)</f>
        <v>0</v>
      </c>
      <c r="P86" s="80">
        <f>SUMIFS('апрель 2024'!$G$4:$G$1689,'апрель 2024'!$D$4:$D$1689,$B86,'апрель 2024'!$J$4:$J$1689,P$1)</f>
        <v>0</v>
      </c>
      <c r="Q86" s="80">
        <f>SUMIFS('апрель 2024'!$G$4:$G$1689,'апрель 2024'!$D$4:$D$1689,$B86,'апрель 2024'!$J$4:$J$1689,Q$1)</f>
        <v>0</v>
      </c>
      <c r="R86" s="80">
        <f>SUMIFS('апрель 2024'!$G$4:$G$1689,'апрель 2024'!$D$4:$D$1689,$B86,'апрель 2024'!$J$4:$J$1689,R$1)</f>
        <v>0</v>
      </c>
      <c r="S86" s="80">
        <f>SUMIFS('апрель 2024'!$G$4:$G$1689,'апрель 2024'!$D$4:$D$1689,$B86,'апрель 2024'!$J$4:$J$1689,S$1)</f>
        <v>0</v>
      </c>
      <c r="T86" s="80">
        <f>SUMIFS('апрель 2024'!$G$4:$G$1689,'апрель 2024'!$D$4:$D$1689,$B86,'апрель 2024'!$J$4:$J$1689,T$1)</f>
        <v>0</v>
      </c>
      <c r="U86" s="80">
        <f>SUMIFS('апрель 2024'!$G$4:$G$1689,'апрель 2024'!$D$4:$D$1689,$B86,'апрель 2024'!$J$4:$J$1689,U$1)</f>
        <v>0</v>
      </c>
      <c r="V86" s="80">
        <f>SUMIFS('апрель 2024'!$G$4:$G$1689,'апрель 2024'!$D$4:$D$1689,$B86,'апрель 2024'!$J$4:$J$1689,V$1)</f>
        <v>0</v>
      </c>
      <c r="W86" s="80">
        <f>SUMIFS('апрель 2024'!$G$4:$G$1689,'апрель 2024'!$D$4:$D$1689,$B86,'апрель 2024'!$J$4:$J$1689,W$1)</f>
        <v>0</v>
      </c>
      <c r="X86" s="80">
        <f>SUMIFS('апрель 2024'!$G$4:$G$1689,'апрель 2024'!$D$4:$D$1689,$B86,'апрель 2024'!$J$4:$J$1689,X$1)</f>
        <v>0</v>
      </c>
      <c r="Y86" s="80">
        <f>SUMIFS('апрель 2024'!$G$4:$G$1689,'апрель 2024'!$D$4:$D$1689,$B86,'апрель 2024'!$J$4:$J$1689,Y$1)</f>
        <v>0</v>
      </c>
      <c r="Z86" s="80">
        <f>SUMIFS('апрель 2024'!$G$4:$G$1689,'апрель 2024'!$D$4:$D$1689,$B86,'апрель 2024'!$J$4:$J$1689,Z$1)</f>
        <v>0</v>
      </c>
      <c r="AA86" s="80">
        <f>SUMIFS('апрель 2024'!$G$4:$G$1689,'апрель 2024'!$D$4:$D$1689,$B86,'апрель 2024'!$J$4:$J$1689,AA$1)</f>
        <v>0</v>
      </c>
      <c r="AB86" s="80">
        <f>SUMIFS('апрель 2024'!$G$4:$G$1689,'апрель 2024'!$D$4:$D$1689,$B86,'апрель 2024'!$J$4:$J$1689,AB$1)</f>
        <v>0</v>
      </c>
      <c r="AC86" s="80">
        <f>SUMIFS('апрель 2024'!$G$4:$G$1689,'апрель 2024'!$D$4:$D$1689,$B86,'апрель 2024'!$J$4:$J$1689,AC$1)</f>
        <v>16</v>
      </c>
      <c r="AD86" s="80">
        <f>SUMIFS('апрель 2024'!$G$4:$G$1689,'апрель 2024'!$D$4:$D$1689,$B86,'апрель 2024'!$J$4:$J$1689,AD$1)</f>
        <v>0</v>
      </c>
      <c r="AE86" s="80">
        <f>SUMIFS('апрель 2024'!$G$4:$G$1689,'апрель 2024'!$D$4:$D$1689,$B86,'апрель 2024'!$J$4:$J$1689,AE$1)</f>
        <v>0</v>
      </c>
      <c r="AF86" s="80">
        <f>SUMIFS('апрель 2024'!$G$4:$G$1689,'апрель 2024'!$D$4:$D$1689,$B86,'апрель 2024'!$J$4:$J$1689,AF$1)</f>
        <v>0</v>
      </c>
      <c r="AG86" s="80">
        <f>SUMIFS('апрель 2024'!$G$4:$G$1689,'апрель 2024'!$D$4:$D$1689,$B86,'апрель 2024'!$J$4:$J$1689,AG$1)</f>
        <v>0</v>
      </c>
      <c r="AH86" s="80">
        <f>SUMIFS('апрель 2024'!$G$4:$G$1689,'апрель 2024'!$D$4:$D$1689,$B86,'апрель 2024'!$J$4:$J$1689,AH$1)</f>
        <v>0</v>
      </c>
      <c r="AI86" s="21">
        <f t="shared" si="1"/>
        <v>16</v>
      </c>
    </row>
    <row r="87" spans="2:35" ht="15" customHeight="1" x14ac:dyDescent="0.25">
      <c r="B87" s="93" t="s">
        <v>399</v>
      </c>
      <c r="C87" s="91">
        <v>190</v>
      </c>
      <c r="D87" s="80">
        <f>SUMIFS('апрель 2024'!$G$4:$G$1689,'апрель 2024'!$D$4:$D$1689,$B87,'апрель 2024'!$J$4:$J$1689,D$1)</f>
        <v>0</v>
      </c>
      <c r="E87" s="80">
        <f>SUMIFS('апрель 2024'!$G$4:$G$1689,'апрель 2024'!$D$4:$D$1689,$B87,'апрель 2024'!$J$4:$J$1689,E$1)</f>
        <v>0</v>
      </c>
      <c r="F87" s="80">
        <f>SUMIFS('апрель 2024'!$G$4:$G$1689,'апрель 2024'!$D$4:$D$1689,$B87,'апрель 2024'!$J$4:$J$1689,F$1)</f>
        <v>0</v>
      </c>
      <c r="G87" s="80">
        <f>SUMIFS('апрель 2024'!$G$4:$G$1689,'апрель 2024'!$D$4:$D$1689,$B87,'апрель 2024'!$J$4:$J$1689,G$1)</f>
        <v>0</v>
      </c>
      <c r="H87" s="80">
        <f>SUMIFS('апрель 2024'!$G$4:$G$1689,'апрель 2024'!$D$4:$D$1689,$B87,'апрель 2024'!$J$4:$J$1689,H$1)</f>
        <v>0</v>
      </c>
      <c r="I87" s="80">
        <f>SUMIFS('апрель 2024'!$G$4:$G$1689,'апрель 2024'!$D$4:$D$1689,$B87,'апрель 2024'!$J$4:$J$1689,I$1)</f>
        <v>0</v>
      </c>
      <c r="J87" s="80">
        <f>SUMIFS('апрель 2024'!$G$4:$G$1689,'апрель 2024'!$D$4:$D$1689,$B87,'апрель 2024'!$J$4:$J$1689,J$1)</f>
        <v>0</v>
      </c>
      <c r="K87" s="80">
        <f>SUMIFS('апрель 2024'!$G$4:$G$1689,'апрель 2024'!$D$4:$D$1689,$B87,'апрель 2024'!$J$4:$J$1689,K$1)</f>
        <v>0</v>
      </c>
      <c r="L87" s="80">
        <f>SUMIFS('апрель 2024'!$G$4:$G$1689,'апрель 2024'!$D$4:$D$1689,$B87,'апрель 2024'!$J$4:$J$1689,L$1)</f>
        <v>0</v>
      </c>
      <c r="M87" s="80">
        <f>SUMIFS('апрель 2024'!$G$4:$G$1689,'апрель 2024'!$D$4:$D$1689,$B87,'апрель 2024'!$J$4:$J$1689,M$1)</f>
        <v>0</v>
      </c>
      <c r="N87" s="80">
        <f>SUMIFS('апрель 2024'!$G$4:$G$1689,'апрель 2024'!$D$4:$D$1689,$B87,'апрель 2024'!$J$4:$J$1689,N$1)</f>
        <v>0</v>
      </c>
      <c r="O87" s="80">
        <f>SUMIFS('апрель 2024'!$G$4:$G$1689,'апрель 2024'!$D$4:$D$1689,$B87,'апрель 2024'!$J$4:$J$1689,O$1)</f>
        <v>0</v>
      </c>
      <c r="P87" s="80">
        <f>SUMIFS('апрель 2024'!$G$4:$G$1689,'апрель 2024'!$D$4:$D$1689,$B87,'апрель 2024'!$J$4:$J$1689,P$1)</f>
        <v>0</v>
      </c>
      <c r="Q87" s="80">
        <f>SUMIFS('апрель 2024'!$G$4:$G$1689,'апрель 2024'!$D$4:$D$1689,$B87,'апрель 2024'!$J$4:$J$1689,Q$1)</f>
        <v>0</v>
      </c>
      <c r="R87" s="80">
        <f>SUMIFS('апрель 2024'!$G$4:$G$1689,'апрель 2024'!$D$4:$D$1689,$B87,'апрель 2024'!$J$4:$J$1689,R$1)</f>
        <v>0</v>
      </c>
      <c r="S87" s="80">
        <f>SUMIFS('апрель 2024'!$G$4:$G$1689,'апрель 2024'!$D$4:$D$1689,$B87,'апрель 2024'!$J$4:$J$1689,S$1)</f>
        <v>0</v>
      </c>
      <c r="T87" s="80">
        <f>SUMIFS('апрель 2024'!$G$4:$G$1689,'апрель 2024'!$D$4:$D$1689,$B87,'апрель 2024'!$J$4:$J$1689,T$1)</f>
        <v>0</v>
      </c>
      <c r="U87" s="80">
        <f>SUMIFS('апрель 2024'!$G$4:$G$1689,'апрель 2024'!$D$4:$D$1689,$B87,'апрель 2024'!$J$4:$J$1689,U$1)</f>
        <v>0</v>
      </c>
      <c r="V87" s="80">
        <f>SUMIFS('апрель 2024'!$G$4:$G$1689,'апрель 2024'!$D$4:$D$1689,$B87,'апрель 2024'!$J$4:$J$1689,V$1)</f>
        <v>0</v>
      </c>
      <c r="W87" s="80">
        <f>SUMIFS('апрель 2024'!$G$4:$G$1689,'апрель 2024'!$D$4:$D$1689,$B87,'апрель 2024'!$J$4:$J$1689,W$1)</f>
        <v>0</v>
      </c>
      <c r="X87" s="80">
        <f>SUMIFS('апрель 2024'!$G$4:$G$1689,'апрель 2024'!$D$4:$D$1689,$B87,'апрель 2024'!$J$4:$J$1689,X$1)</f>
        <v>0</v>
      </c>
      <c r="Y87" s="80">
        <f>SUMIFS('апрель 2024'!$G$4:$G$1689,'апрель 2024'!$D$4:$D$1689,$B87,'апрель 2024'!$J$4:$J$1689,Y$1)</f>
        <v>0</v>
      </c>
      <c r="Z87" s="80">
        <f>SUMIFS('апрель 2024'!$G$4:$G$1689,'апрель 2024'!$D$4:$D$1689,$B87,'апрель 2024'!$J$4:$J$1689,Z$1)</f>
        <v>0</v>
      </c>
      <c r="AA87" s="80">
        <f>SUMIFS('апрель 2024'!$G$4:$G$1689,'апрель 2024'!$D$4:$D$1689,$B87,'апрель 2024'!$J$4:$J$1689,AA$1)</f>
        <v>0</v>
      </c>
      <c r="AB87" s="80">
        <f>SUMIFS('апрель 2024'!$G$4:$G$1689,'апрель 2024'!$D$4:$D$1689,$B87,'апрель 2024'!$J$4:$J$1689,AB$1)</f>
        <v>0</v>
      </c>
      <c r="AC87" s="80">
        <f>SUMIFS('апрель 2024'!$G$4:$G$1689,'апрель 2024'!$D$4:$D$1689,$B87,'апрель 2024'!$J$4:$J$1689,AC$1)</f>
        <v>0</v>
      </c>
      <c r="AD87" s="80">
        <f>SUMIFS('апрель 2024'!$G$4:$G$1689,'апрель 2024'!$D$4:$D$1689,$B87,'апрель 2024'!$J$4:$J$1689,AD$1)</f>
        <v>0</v>
      </c>
      <c r="AE87" s="80">
        <f>SUMIFS('апрель 2024'!$G$4:$G$1689,'апрель 2024'!$D$4:$D$1689,$B87,'апрель 2024'!$J$4:$J$1689,AE$1)</f>
        <v>0</v>
      </c>
      <c r="AF87" s="80">
        <f>SUMIFS('апрель 2024'!$G$4:$G$1689,'апрель 2024'!$D$4:$D$1689,$B87,'апрель 2024'!$J$4:$J$1689,AF$1)</f>
        <v>0</v>
      </c>
      <c r="AG87" s="80">
        <f>SUMIFS('апрель 2024'!$G$4:$G$1689,'апрель 2024'!$D$4:$D$1689,$B87,'апрель 2024'!$J$4:$J$1689,AG$1)</f>
        <v>0</v>
      </c>
      <c r="AH87" s="80">
        <f>SUMIFS('апрель 2024'!$G$4:$G$1689,'апрель 2024'!$D$4:$D$1689,$B87,'апрель 2024'!$J$4:$J$1689,AH$1)</f>
        <v>0</v>
      </c>
      <c r="AI87" s="21">
        <f t="shared" si="1"/>
        <v>0</v>
      </c>
    </row>
    <row r="88" spans="2:35" ht="15" customHeight="1" x14ac:dyDescent="0.25">
      <c r="B88" s="93" t="s">
        <v>322</v>
      </c>
      <c r="C88" s="91">
        <v>180</v>
      </c>
      <c r="D88" s="80">
        <f>SUMIFS('апрель 2024'!$G$4:$G$1689,'апрель 2024'!$D$4:$D$1689,$B88,'апрель 2024'!$J$4:$J$1689,D$1)</f>
        <v>0</v>
      </c>
      <c r="E88" s="80">
        <f>SUMIFS('апрель 2024'!$G$4:$G$1689,'апрель 2024'!$D$4:$D$1689,$B88,'апрель 2024'!$J$4:$J$1689,E$1)</f>
        <v>0</v>
      </c>
      <c r="F88" s="80">
        <f>SUMIFS('апрель 2024'!$G$4:$G$1689,'апрель 2024'!$D$4:$D$1689,$B88,'апрель 2024'!$J$4:$J$1689,F$1)</f>
        <v>0</v>
      </c>
      <c r="G88" s="80">
        <f>SUMIFS('апрель 2024'!$G$4:$G$1689,'апрель 2024'!$D$4:$D$1689,$B88,'апрель 2024'!$J$4:$J$1689,G$1)</f>
        <v>0</v>
      </c>
      <c r="H88" s="80">
        <f>SUMIFS('апрель 2024'!$G$4:$G$1689,'апрель 2024'!$D$4:$D$1689,$B88,'апрель 2024'!$J$4:$J$1689,H$1)</f>
        <v>0</v>
      </c>
      <c r="I88" s="80">
        <f>SUMIFS('апрель 2024'!$G$4:$G$1689,'апрель 2024'!$D$4:$D$1689,$B88,'апрель 2024'!$J$4:$J$1689,I$1)</f>
        <v>0</v>
      </c>
      <c r="J88" s="80">
        <f>SUMIFS('апрель 2024'!$G$4:$G$1689,'апрель 2024'!$D$4:$D$1689,$B88,'апрель 2024'!$J$4:$J$1689,J$1)</f>
        <v>0</v>
      </c>
      <c r="K88" s="80">
        <f>SUMIFS('апрель 2024'!$G$4:$G$1689,'апрель 2024'!$D$4:$D$1689,$B88,'апрель 2024'!$J$4:$J$1689,K$1)</f>
        <v>0</v>
      </c>
      <c r="L88" s="80">
        <f>SUMIFS('апрель 2024'!$G$4:$G$1689,'апрель 2024'!$D$4:$D$1689,$B88,'апрель 2024'!$J$4:$J$1689,L$1)</f>
        <v>0</v>
      </c>
      <c r="M88" s="80">
        <f>SUMIFS('апрель 2024'!$G$4:$G$1689,'апрель 2024'!$D$4:$D$1689,$B88,'апрель 2024'!$J$4:$J$1689,M$1)</f>
        <v>0</v>
      </c>
      <c r="N88" s="80">
        <f>SUMIFS('апрель 2024'!$G$4:$G$1689,'апрель 2024'!$D$4:$D$1689,$B88,'апрель 2024'!$J$4:$J$1689,N$1)</f>
        <v>0</v>
      </c>
      <c r="O88" s="80">
        <f>SUMIFS('апрель 2024'!$G$4:$G$1689,'апрель 2024'!$D$4:$D$1689,$B88,'апрель 2024'!$J$4:$J$1689,O$1)</f>
        <v>0</v>
      </c>
      <c r="P88" s="80">
        <f>SUMIFS('апрель 2024'!$G$4:$G$1689,'апрель 2024'!$D$4:$D$1689,$B88,'апрель 2024'!$J$4:$J$1689,P$1)</f>
        <v>0</v>
      </c>
      <c r="Q88" s="80">
        <f>SUMIFS('апрель 2024'!$G$4:$G$1689,'апрель 2024'!$D$4:$D$1689,$B88,'апрель 2024'!$J$4:$J$1689,Q$1)</f>
        <v>0</v>
      </c>
      <c r="R88" s="80">
        <f>SUMIFS('апрель 2024'!$G$4:$G$1689,'апрель 2024'!$D$4:$D$1689,$B88,'апрель 2024'!$J$4:$J$1689,R$1)</f>
        <v>0</v>
      </c>
      <c r="S88" s="80">
        <f>SUMIFS('апрель 2024'!$G$4:$G$1689,'апрель 2024'!$D$4:$D$1689,$B88,'апрель 2024'!$J$4:$J$1689,S$1)</f>
        <v>0</v>
      </c>
      <c r="T88" s="80">
        <f>SUMIFS('апрель 2024'!$G$4:$G$1689,'апрель 2024'!$D$4:$D$1689,$B88,'апрель 2024'!$J$4:$J$1689,T$1)</f>
        <v>0</v>
      </c>
      <c r="U88" s="80">
        <f>SUMIFS('апрель 2024'!$G$4:$G$1689,'апрель 2024'!$D$4:$D$1689,$B88,'апрель 2024'!$J$4:$J$1689,U$1)</f>
        <v>0</v>
      </c>
      <c r="V88" s="80">
        <f>SUMIFS('апрель 2024'!$G$4:$G$1689,'апрель 2024'!$D$4:$D$1689,$B88,'апрель 2024'!$J$4:$J$1689,V$1)</f>
        <v>0</v>
      </c>
      <c r="W88" s="80">
        <f>SUMIFS('апрель 2024'!$G$4:$G$1689,'апрель 2024'!$D$4:$D$1689,$B88,'апрель 2024'!$J$4:$J$1689,W$1)</f>
        <v>0</v>
      </c>
      <c r="X88" s="80">
        <f>SUMIFS('апрель 2024'!$G$4:$G$1689,'апрель 2024'!$D$4:$D$1689,$B88,'апрель 2024'!$J$4:$J$1689,X$1)</f>
        <v>0</v>
      </c>
      <c r="Y88" s="80">
        <f>SUMIFS('апрель 2024'!$G$4:$G$1689,'апрель 2024'!$D$4:$D$1689,$B88,'апрель 2024'!$J$4:$J$1689,Y$1)</f>
        <v>0</v>
      </c>
      <c r="Z88" s="80">
        <f>SUMIFS('апрель 2024'!$G$4:$G$1689,'апрель 2024'!$D$4:$D$1689,$B88,'апрель 2024'!$J$4:$J$1689,Z$1)</f>
        <v>0</v>
      </c>
      <c r="AA88" s="80">
        <f>SUMIFS('апрель 2024'!$G$4:$G$1689,'апрель 2024'!$D$4:$D$1689,$B88,'апрель 2024'!$J$4:$J$1689,AA$1)</f>
        <v>0</v>
      </c>
      <c r="AB88" s="80">
        <f>SUMIFS('апрель 2024'!$G$4:$G$1689,'апрель 2024'!$D$4:$D$1689,$B88,'апрель 2024'!$J$4:$J$1689,AB$1)</f>
        <v>0</v>
      </c>
      <c r="AC88" s="80">
        <f>SUMIFS('апрель 2024'!$G$4:$G$1689,'апрель 2024'!$D$4:$D$1689,$B88,'апрель 2024'!$J$4:$J$1689,AC$1)</f>
        <v>0</v>
      </c>
      <c r="AD88" s="80">
        <f>SUMIFS('апрель 2024'!$G$4:$G$1689,'апрель 2024'!$D$4:$D$1689,$B88,'апрель 2024'!$J$4:$J$1689,AD$1)</f>
        <v>0</v>
      </c>
      <c r="AE88" s="80">
        <f>SUMIFS('апрель 2024'!$G$4:$G$1689,'апрель 2024'!$D$4:$D$1689,$B88,'апрель 2024'!$J$4:$J$1689,AE$1)</f>
        <v>0</v>
      </c>
      <c r="AF88" s="80">
        <f>SUMIFS('апрель 2024'!$G$4:$G$1689,'апрель 2024'!$D$4:$D$1689,$B88,'апрель 2024'!$J$4:$J$1689,AF$1)</f>
        <v>0</v>
      </c>
      <c r="AG88" s="80">
        <f>SUMIFS('апрель 2024'!$G$4:$G$1689,'апрель 2024'!$D$4:$D$1689,$B88,'апрель 2024'!$J$4:$J$1689,AG$1)</f>
        <v>0</v>
      </c>
      <c r="AH88" s="80">
        <f>SUMIFS('апрель 2024'!$G$4:$G$1689,'апрель 2024'!$D$4:$D$1689,$B88,'апрель 2024'!$J$4:$J$1689,AH$1)</f>
        <v>0</v>
      </c>
      <c r="AI88" s="21">
        <f t="shared" si="1"/>
        <v>0</v>
      </c>
    </row>
    <row r="89" spans="2:35" ht="15" customHeight="1" x14ac:dyDescent="0.25">
      <c r="B89" s="93" t="s">
        <v>323</v>
      </c>
      <c r="C89" s="91">
        <v>180</v>
      </c>
      <c r="D89" s="80">
        <f>SUMIFS('апрель 2024'!$G$4:$G$1689,'апрель 2024'!$D$4:$D$1689,$B89,'апрель 2024'!$J$4:$J$1689,D$1)</f>
        <v>0</v>
      </c>
      <c r="E89" s="80">
        <f>SUMIFS('апрель 2024'!$G$4:$G$1689,'апрель 2024'!$D$4:$D$1689,$B89,'апрель 2024'!$J$4:$J$1689,E$1)</f>
        <v>0</v>
      </c>
      <c r="F89" s="80">
        <f>SUMIFS('апрель 2024'!$G$4:$G$1689,'апрель 2024'!$D$4:$D$1689,$B89,'апрель 2024'!$J$4:$J$1689,F$1)</f>
        <v>0</v>
      </c>
      <c r="G89" s="80">
        <f>SUMIFS('апрель 2024'!$G$4:$G$1689,'апрель 2024'!$D$4:$D$1689,$B89,'апрель 2024'!$J$4:$J$1689,G$1)</f>
        <v>0</v>
      </c>
      <c r="H89" s="80">
        <f>SUMIFS('апрель 2024'!$G$4:$G$1689,'апрель 2024'!$D$4:$D$1689,$B89,'апрель 2024'!$J$4:$J$1689,H$1)</f>
        <v>0</v>
      </c>
      <c r="I89" s="80">
        <f>SUMIFS('апрель 2024'!$G$4:$G$1689,'апрель 2024'!$D$4:$D$1689,$B89,'апрель 2024'!$J$4:$J$1689,I$1)</f>
        <v>0</v>
      </c>
      <c r="J89" s="80">
        <f>SUMIFS('апрель 2024'!$G$4:$G$1689,'апрель 2024'!$D$4:$D$1689,$B89,'апрель 2024'!$J$4:$J$1689,J$1)</f>
        <v>0</v>
      </c>
      <c r="K89" s="80">
        <f>SUMIFS('апрель 2024'!$G$4:$G$1689,'апрель 2024'!$D$4:$D$1689,$B89,'апрель 2024'!$J$4:$J$1689,K$1)</f>
        <v>0</v>
      </c>
      <c r="L89" s="80">
        <f>SUMIFS('апрель 2024'!$G$4:$G$1689,'апрель 2024'!$D$4:$D$1689,$B89,'апрель 2024'!$J$4:$J$1689,L$1)</f>
        <v>0</v>
      </c>
      <c r="M89" s="80">
        <f>SUMIFS('апрель 2024'!$G$4:$G$1689,'апрель 2024'!$D$4:$D$1689,$B89,'апрель 2024'!$J$4:$J$1689,M$1)</f>
        <v>0</v>
      </c>
      <c r="N89" s="80">
        <f>SUMIFS('апрель 2024'!$G$4:$G$1689,'апрель 2024'!$D$4:$D$1689,$B89,'апрель 2024'!$J$4:$J$1689,N$1)</f>
        <v>0</v>
      </c>
      <c r="O89" s="80">
        <f>SUMIFS('апрель 2024'!$G$4:$G$1689,'апрель 2024'!$D$4:$D$1689,$B89,'апрель 2024'!$J$4:$J$1689,O$1)</f>
        <v>0</v>
      </c>
      <c r="P89" s="80">
        <f>SUMIFS('апрель 2024'!$G$4:$G$1689,'апрель 2024'!$D$4:$D$1689,$B89,'апрель 2024'!$J$4:$J$1689,P$1)</f>
        <v>0</v>
      </c>
      <c r="Q89" s="80">
        <f>SUMIFS('апрель 2024'!$G$4:$G$1689,'апрель 2024'!$D$4:$D$1689,$B89,'апрель 2024'!$J$4:$J$1689,Q$1)</f>
        <v>0</v>
      </c>
      <c r="R89" s="80">
        <f>SUMIFS('апрель 2024'!$G$4:$G$1689,'апрель 2024'!$D$4:$D$1689,$B89,'апрель 2024'!$J$4:$J$1689,R$1)</f>
        <v>0</v>
      </c>
      <c r="S89" s="80">
        <f>SUMIFS('апрель 2024'!$G$4:$G$1689,'апрель 2024'!$D$4:$D$1689,$B89,'апрель 2024'!$J$4:$J$1689,S$1)</f>
        <v>0</v>
      </c>
      <c r="T89" s="80">
        <f>SUMIFS('апрель 2024'!$G$4:$G$1689,'апрель 2024'!$D$4:$D$1689,$B89,'апрель 2024'!$J$4:$J$1689,T$1)</f>
        <v>0</v>
      </c>
      <c r="U89" s="80">
        <f>SUMIFS('апрель 2024'!$G$4:$G$1689,'апрель 2024'!$D$4:$D$1689,$B89,'апрель 2024'!$J$4:$J$1689,U$1)</f>
        <v>0</v>
      </c>
      <c r="V89" s="80">
        <f>SUMIFS('апрель 2024'!$G$4:$G$1689,'апрель 2024'!$D$4:$D$1689,$B89,'апрель 2024'!$J$4:$J$1689,V$1)</f>
        <v>0</v>
      </c>
      <c r="W89" s="80">
        <f>SUMIFS('апрель 2024'!$G$4:$G$1689,'апрель 2024'!$D$4:$D$1689,$B89,'апрель 2024'!$J$4:$J$1689,W$1)</f>
        <v>0</v>
      </c>
      <c r="X89" s="80">
        <f>SUMIFS('апрель 2024'!$G$4:$G$1689,'апрель 2024'!$D$4:$D$1689,$B89,'апрель 2024'!$J$4:$J$1689,X$1)</f>
        <v>0</v>
      </c>
      <c r="Y89" s="80">
        <f>SUMIFS('апрель 2024'!$G$4:$G$1689,'апрель 2024'!$D$4:$D$1689,$B89,'апрель 2024'!$J$4:$J$1689,Y$1)</f>
        <v>0</v>
      </c>
      <c r="Z89" s="80">
        <f>SUMIFS('апрель 2024'!$G$4:$G$1689,'апрель 2024'!$D$4:$D$1689,$B89,'апрель 2024'!$J$4:$J$1689,Z$1)</f>
        <v>0</v>
      </c>
      <c r="AA89" s="80">
        <f>SUMIFS('апрель 2024'!$G$4:$G$1689,'апрель 2024'!$D$4:$D$1689,$B89,'апрель 2024'!$J$4:$J$1689,AA$1)</f>
        <v>0</v>
      </c>
      <c r="AB89" s="80">
        <f>SUMIFS('апрель 2024'!$G$4:$G$1689,'апрель 2024'!$D$4:$D$1689,$B89,'апрель 2024'!$J$4:$J$1689,AB$1)</f>
        <v>0</v>
      </c>
      <c r="AC89" s="80">
        <f>SUMIFS('апрель 2024'!$G$4:$G$1689,'апрель 2024'!$D$4:$D$1689,$B89,'апрель 2024'!$J$4:$J$1689,AC$1)</f>
        <v>0</v>
      </c>
      <c r="AD89" s="80">
        <f>SUMIFS('апрель 2024'!$G$4:$G$1689,'апрель 2024'!$D$4:$D$1689,$B89,'апрель 2024'!$J$4:$J$1689,AD$1)</f>
        <v>0</v>
      </c>
      <c r="AE89" s="80">
        <f>SUMIFS('апрель 2024'!$G$4:$G$1689,'апрель 2024'!$D$4:$D$1689,$B89,'апрель 2024'!$J$4:$J$1689,AE$1)</f>
        <v>0</v>
      </c>
      <c r="AF89" s="80">
        <f>SUMIFS('апрель 2024'!$G$4:$G$1689,'апрель 2024'!$D$4:$D$1689,$B89,'апрель 2024'!$J$4:$J$1689,AF$1)</f>
        <v>0</v>
      </c>
      <c r="AG89" s="80">
        <f>SUMIFS('апрель 2024'!$G$4:$G$1689,'апрель 2024'!$D$4:$D$1689,$B89,'апрель 2024'!$J$4:$J$1689,AG$1)</f>
        <v>0</v>
      </c>
      <c r="AH89" s="80">
        <f>SUMIFS('апрель 2024'!$G$4:$G$1689,'апрель 2024'!$D$4:$D$1689,$B89,'апрель 2024'!$J$4:$J$1689,AH$1)</f>
        <v>0</v>
      </c>
      <c r="AI89" s="21">
        <f t="shared" si="1"/>
        <v>0</v>
      </c>
    </row>
    <row r="90" spans="2:35" ht="15" customHeight="1" x14ac:dyDescent="0.25">
      <c r="B90" s="93" t="s">
        <v>513</v>
      </c>
      <c r="C90" s="91">
        <v>20</v>
      </c>
      <c r="D90" s="80">
        <f>SUMIFS('апрель 2024'!$G$4:$G$1689,'апрель 2024'!$D$4:$D$1689,$B90,'апрель 2024'!$J$4:$J$1689,D$1)</f>
        <v>0</v>
      </c>
      <c r="E90" s="80">
        <f>SUMIFS('апрель 2024'!$G$4:$G$1689,'апрель 2024'!$D$4:$D$1689,$B90,'апрель 2024'!$J$4:$J$1689,E$1)</f>
        <v>0</v>
      </c>
      <c r="F90" s="80">
        <f>SUMIFS('апрель 2024'!$G$4:$G$1689,'апрель 2024'!$D$4:$D$1689,$B90,'апрель 2024'!$J$4:$J$1689,F$1)</f>
        <v>0</v>
      </c>
      <c r="G90" s="80">
        <f>SUMIFS('апрель 2024'!$G$4:$G$1689,'апрель 2024'!$D$4:$D$1689,$B90,'апрель 2024'!$J$4:$J$1689,G$1)</f>
        <v>0</v>
      </c>
      <c r="H90" s="80">
        <f>SUMIFS('апрель 2024'!$G$4:$G$1689,'апрель 2024'!$D$4:$D$1689,$B90,'апрель 2024'!$J$4:$J$1689,H$1)</f>
        <v>0</v>
      </c>
      <c r="I90" s="80">
        <f>SUMIFS('апрель 2024'!$G$4:$G$1689,'апрель 2024'!$D$4:$D$1689,$B90,'апрель 2024'!$J$4:$J$1689,I$1)</f>
        <v>0</v>
      </c>
      <c r="J90" s="80">
        <f>SUMIFS('апрель 2024'!$G$4:$G$1689,'апрель 2024'!$D$4:$D$1689,$B90,'апрель 2024'!$J$4:$J$1689,J$1)</f>
        <v>0</v>
      </c>
      <c r="K90" s="80">
        <f>SUMIFS('апрель 2024'!$G$4:$G$1689,'апрель 2024'!$D$4:$D$1689,$B90,'апрель 2024'!$J$4:$J$1689,K$1)</f>
        <v>0</v>
      </c>
      <c r="L90" s="80">
        <f>SUMIFS('апрель 2024'!$G$4:$G$1689,'апрель 2024'!$D$4:$D$1689,$B90,'апрель 2024'!$J$4:$J$1689,L$1)</f>
        <v>0</v>
      </c>
      <c r="M90" s="80">
        <f>SUMIFS('апрель 2024'!$G$4:$G$1689,'апрель 2024'!$D$4:$D$1689,$B90,'апрель 2024'!$J$4:$J$1689,M$1)</f>
        <v>0</v>
      </c>
      <c r="N90" s="80">
        <f>SUMIFS('апрель 2024'!$G$4:$G$1689,'апрель 2024'!$D$4:$D$1689,$B90,'апрель 2024'!$J$4:$J$1689,N$1)</f>
        <v>0</v>
      </c>
      <c r="O90" s="80">
        <f>SUMIFS('апрель 2024'!$G$4:$G$1689,'апрель 2024'!$D$4:$D$1689,$B90,'апрель 2024'!$J$4:$J$1689,O$1)</f>
        <v>0</v>
      </c>
      <c r="P90" s="80">
        <f>SUMIFS('апрель 2024'!$G$4:$G$1689,'апрель 2024'!$D$4:$D$1689,$B90,'апрель 2024'!$J$4:$J$1689,P$1)</f>
        <v>0</v>
      </c>
      <c r="Q90" s="80">
        <f>SUMIFS('апрель 2024'!$G$4:$G$1689,'апрель 2024'!$D$4:$D$1689,$B90,'апрель 2024'!$J$4:$J$1689,Q$1)</f>
        <v>0</v>
      </c>
      <c r="R90" s="80">
        <f>SUMIFS('апрель 2024'!$G$4:$G$1689,'апрель 2024'!$D$4:$D$1689,$B90,'апрель 2024'!$J$4:$J$1689,R$1)</f>
        <v>0</v>
      </c>
      <c r="S90" s="80">
        <f>SUMIFS('апрель 2024'!$G$4:$G$1689,'апрель 2024'!$D$4:$D$1689,$B90,'апрель 2024'!$J$4:$J$1689,S$1)</f>
        <v>0</v>
      </c>
      <c r="T90" s="80">
        <f>SUMIFS('апрель 2024'!$G$4:$G$1689,'апрель 2024'!$D$4:$D$1689,$B90,'апрель 2024'!$J$4:$J$1689,T$1)</f>
        <v>0</v>
      </c>
      <c r="U90" s="80">
        <f>SUMIFS('апрель 2024'!$G$4:$G$1689,'апрель 2024'!$D$4:$D$1689,$B90,'апрель 2024'!$J$4:$J$1689,U$1)</f>
        <v>0</v>
      </c>
      <c r="V90" s="80">
        <f>SUMIFS('апрель 2024'!$G$4:$G$1689,'апрель 2024'!$D$4:$D$1689,$B90,'апрель 2024'!$J$4:$J$1689,V$1)</f>
        <v>0</v>
      </c>
      <c r="W90" s="80">
        <f>SUMIFS('апрель 2024'!$G$4:$G$1689,'апрель 2024'!$D$4:$D$1689,$B90,'апрель 2024'!$J$4:$J$1689,W$1)</f>
        <v>0</v>
      </c>
      <c r="X90" s="80">
        <f>SUMIFS('апрель 2024'!$G$4:$G$1689,'апрель 2024'!$D$4:$D$1689,$B90,'апрель 2024'!$J$4:$J$1689,X$1)</f>
        <v>0</v>
      </c>
      <c r="Y90" s="80">
        <f>SUMIFS('апрель 2024'!$G$4:$G$1689,'апрель 2024'!$D$4:$D$1689,$B90,'апрель 2024'!$J$4:$J$1689,Y$1)</f>
        <v>0</v>
      </c>
      <c r="Z90" s="80">
        <f>SUMIFS('апрель 2024'!$G$4:$G$1689,'апрель 2024'!$D$4:$D$1689,$B90,'апрель 2024'!$J$4:$J$1689,Z$1)</f>
        <v>0</v>
      </c>
      <c r="AA90" s="80">
        <f>SUMIFS('апрель 2024'!$G$4:$G$1689,'апрель 2024'!$D$4:$D$1689,$B90,'апрель 2024'!$J$4:$J$1689,AA$1)</f>
        <v>0</v>
      </c>
      <c r="AB90" s="80">
        <f>SUMIFS('апрель 2024'!$G$4:$G$1689,'апрель 2024'!$D$4:$D$1689,$B90,'апрель 2024'!$J$4:$J$1689,AB$1)</f>
        <v>0</v>
      </c>
      <c r="AC90" s="80">
        <f>SUMIFS('апрель 2024'!$G$4:$G$1689,'апрель 2024'!$D$4:$D$1689,$B90,'апрель 2024'!$J$4:$J$1689,AC$1)</f>
        <v>0</v>
      </c>
      <c r="AD90" s="80">
        <f>SUMIFS('апрель 2024'!$G$4:$G$1689,'апрель 2024'!$D$4:$D$1689,$B90,'апрель 2024'!$J$4:$J$1689,AD$1)</f>
        <v>0</v>
      </c>
      <c r="AE90" s="80">
        <f>SUMIFS('апрель 2024'!$G$4:$G$1689,'апрель 2024'!$D$4:$D$1689,$B90,'апрель 2024'!$J$4:$J$1689,AE$1)</f>
        <v>0</v>
      </c>
      <c r="AF90" s="80">
        <f>SUMIFS('апрель 2024'!$G$4:$G$1689,'апрель 2024'!$D$4:$D$1689,$B90,'апрель 2024'!$J$4:$J$1689,AF$1)</f>
        <v>0</v>
      </c>
      <c r="AG90" s="80">
        <f>SUMIFS('апрель 2024'!$G$4:$G$1689,'апрель 2024'!$D$4:$D$1689,$B90,'апрель 2024'!$J$4:$J$1689,AG$1)</f>
        <v>0</v>
      </c>
      <c r="AH90" s="80">
        <f>SUMIFS('апрель 2024'!$G$4:$G$1689,'апрель 2024'!$D$4:$D$1689,$B90,'апрель 2024'!$J$4:$J$1689,AH$1)</f>
        <v>0</v>
      </c>
      <c r="AI90" s="21">
        <f t="shared" si="1"/>
        <v>0</v>
      </c>
    </row>
    <row r="91" spans="2:35" ht="15" customHeight="1" x14ac:dyDescent="0.25">
      <c r="B91" s="93" t="s">
        <v>203</v>
      </c>
      <c r="C91" s="91">
        <v>180</v>
      </c>
      <c r="D91" s="80">
        <f>SUMIFS('апрель 2024'!$G$4:$G$1689,'апрель 2024'!$D$4:$D$1689,$B91,'апрель 2024'!$J$4:$J$1689,D$1)</f>
        <v>0</v>
      </c>
      <c r="E91" s="80">
        <f>SUMIFS('апрель 2024'!$G$4:$G$1689,'апрель 2024'!$D$4:$D$1689,$B91,'апрель 2024'!$J$4:$J$1689,E$1)</f>
        <v>0</v>
      </c>
      <c r="F91" s="80">
        <f>SUMIFS('апрель 2024'!$G$4:$G$1689,'апрель 2024'!$D$4:$D$1689,$B91,'апрель 2024'!$J$4:$J$1689,F$1)</f>
        <v>0</v>
      </c>
      <c r="G91" s="80">
        <f>SUMIFS('апрель 2024'!$G$4:$G$1689,'апрель 2024'!$D$4:$D$1689,$B91,'апрель 2024'!$J$4:$J$1689,G$1)</f>
        <v>0</v>
      </c>
      <c r="H91" s="80">
        <f>SUMIFS('апрель 2024'!$G$4:$G$1689,'апрель 2024'!$D$4:$D$1689,$B91,'апрель 2024'!$J$4:$J$1689,H$1)</f>
        <v>0</v>
      </c>
      <c r="I91" s="80">
        <f>SUMIFS('апрель 2024'!$G$4:$G$1689,'апрель 2024'!$D$4:$D$1689,$B91,'апрель 2024'!$J$4:$J$1689,I$1)</f>
        <v>0</v>
      </c>
      <c r="J91" s="80">
        <f>SUMIFS('апрель 2024'!$G$4:$G$1689,'апрель 2024'!$D$4:$D$1689,$B91,'апрель 2024'!$J$4:$J$1689,J$1)</f>
        <v>0</v>
      </c>
      <c r="K91" s="80">
        <f>SUMIFS('апрель 2024'!$G$4:$G$1689,'апрель 2024'!$D$4:$D$1689,$B91,'апрель 2024'!$J$4:$J$1689,K$1)</f>
        <v>0</v>
      </c>
      <c r="L91" s="80">
        <f>SUMIFS('апрель 2024'!$G$4:$G$1689,'апрель 2024'!$D$4:$D$1689,$B91,'апрель 2024'!$J$4:$J$1689,L$1)</f>
        <v>0</v>
      </c>
      <c r="M91" s="80">
        <f>SUMIFS('апрель 2024'!$G$4:$G$1689,'апрель 2024'!$D$4:$D$1689,$B91,'апрель 2024'!$J$4:$J$1689,M$1)</f>
        <v>0</v>
      </c>
      <c r="N91" s="80">
        <f>SUMIFS('апрель 2024'!$G$4:$G$1689,'апрель 2024'!$D$4:$D$1689,$B91,'апрель 2024'!$J$4:$J$1689,N$1)</f>
        <v>0</v>
      </c>
      <c r="O91" s="80">
        <f>SUMIFS('апрель 2024'!$G$4:$G$1689,'апрель 2024'!$D$4:$D$1689,$B91,'апрель 2024'!$J$4:$J$1689,O$1)</f>
        <v>0</v>
      </c>
      <c r="P91" s="80">
        <f>SUMIFS('апрель 2024'!$G$4:$G$1689,'апрель 2024'!$D$4:$D$1689,$B91,'апрель 2024'!$J$4:$J$1689,P$1)</f>
        <v>0</v>
      </c>
      <c r="Q91" s="80">
        <f>SUMIFS('апрель 2024'!$G$4:$G$1689,'апрель 2024'!$D$4:$D$1689,$B91,'апрель 2024'!$J$4:$J$1689,Q$1)</f>
        <v>0</v>
      </c>
      <c r="R91" s="80">
        <f>SUMIFS('апрель 2024'!$G$4:$G$1689,'апрель 2024'!$D$4:$D$1689,$B91,'апрель 2024'!$J$4:$J$1689,R$1)</f>
        <v>0</v>
      </c>
      <c r="S91" s="80">
        <f>SUMIFS('апрель 2024'!$G$4:$G$1689,'апрель 2024'!$D$4:$D$1689,$B91,'апрель 2024'!$J$4:$J$1689,S$1)</f>
        <v>0</v>
      </c>
      <c r="T91" s="80">
        <f>SUMIFS('апрель 2024'!$G$4:$G$1689,'апрель 2024'!$D$4:$D$1689,$B91,'апрель 2024'!$J$4:$J$1689,T$1)</f>
        <v>0</v>
      </c>
      <c r="U91" s="80">
        <f>SUMIFS('апрель 2024'!$G$4:$G$1689,'апрель 2024'!$D$4:$D$1689,$B91,'апрель 2024'!$J$4:$J$1689,U$1)</f>
        <v>12</v>
      </c>
      <c r="V91" s="80">
        <f>SUMIFS('апрель 2024'!$G$4:$G$1689,'апрель 2024'!$D$4:$D$1689,$B91,'апрель 2024'!$J$4:$J$1689,V$1)</f>
        <v>0</v>
      </c>
      <c r="W91" s="80">
        <f>SUMIFS('апрель 2024'!$G$4:$G$1689,'апрель 2024'!$D$4:$D$1689,$B91,'апрель 2024'!$J$4:$J$1689,W$1)</f>
        <v>0</v>
      </c>
      <c r="X91" s="80">
        <f>SUMIFS('апрель 2024'!$G$4:$G$1689,'апрель 2024'!$D$4:$D$1689,$B91,'апрель 2024'!$J$4:$J$1689,X$1)</f>
        <v>0</v>
      </c>
      <c r="Y91" s="80">
        <f>SUMIFS('апрель 2024'!$G$4:$G$1689,'апрель 2024'!$D$4:$D$1689,$B91,'апрель 2024'!$J$4:$J$1689,Y$1)</f>
        <v>0</v>
      </c>
      <c r="Z91" s="80">
        <f>SUMIFS('апрель 2024'!$G$4:$G$1689,'апрель 2024'!$D$4:$D$1689,$B91,'апрель 2024'!$J$4:$J$1689,Z$1)</f>
        <v>0</v>
      </c>
      <c r="AA91" s="80">
        <f>SUMIFS('апрель 2024'!$G$4:$G$1689,'апрель 2024'!$D$4:$D$1689,$B91,'апрель 2024'!$J$4:$J$1689,AA$1)</f>
        <v>0</v>
      </c>
      <c r="AB91" s="80">
        <f>SUMIFS('апрель 2024'!$G$4:$G$1689,'апрель 2024'!$D$4:$D$1689,$B91,'апрель 2024'!$J$4:$J$1689,AB$1)</f>
        <v>0</v>
      </c>
      <c r="AC91" s="80">
        <f>SUMIFS('апрель 2024'!$G$4:$G$1689,'апрель 2024'!$D$4:$D$1689,$B91,'апрель 2024'!$J$4:$J$1689,AC$1)</f>
        <v>0</v>
      </c>
      <c r="AD91" s="80">
        <f>SUMIFS('апрель 2024'!$G$4:$G$1689,'апрель 2024'!$D$4:$D$1689,$B91,'апрель 2024'!$J$4:$J$1689,AD$1)</f>
        <v>0</v>
      </c>
      <c r="AE91" s="80">
        <f>SUMIFS('апрель 2024'!$G$4:$G$1689,'апрель 2024'!$D$4:$D$1689,$B91,'апрель 2024'!$J$4:$J$1689,AE$1)</f>
        <v>0</v>
      </c>
      <c r="AF91" s="80">
        <f>SUMIFS('апрель 2024'!$G$4:$G$1689,'апрель 2024'!$D$4:$D$1689,$B91,'апрель 2024'!$J$4:$J$1689,AF$1)</f>
        <v>0</v>
      </c>
      <c r="AG91" s="80">
        <f>SUMIFS('апрель 2024'!$G$4:$G$1689,'апрель 2024'!$D$4:$D$1689,$B91,'апрель 2024'!$J$4:$J$1689,AG$1)</f>
        <v>0</v>
      </c>
      <c r="AH91" s="80">
        <f>SUMIFS('апрель 2024'!$G$4:$G$1689,'апрель 2024'!$D$4:$D$1689,$B91,'апрель 2024'!$J$4:$J$1689,AH$1)</f>
        <v>0</v>
      </c>
      <c r="AI91" s="21">
        <f t="shared" si="1"/>
        <v>12</v>
      </c>
    </row>
    <row r="92" spans="2:35" ht="15" customHeight="1" x14ac:dyDescent="0.25">
      <c r="B92" s="89" t="s">
        <v>204</v>
      </c>
      <c r="C92" s="88">
        <v>200</v>
      </c>
      <c r="D92" s="80">
        <f>SUMIFS('апрель 2024'!$G$4:$G$1689,'апрель 2024'!$D$4:$D$1689,$B92,'апрель 2024'!$J$4:$J$1689,D$1)</f>
        <v>0</v>
      </c>
      <c r="E92" s="80">
        <f>SUMIFS('апрель 2024'!$G$4:$G$1689,'апрель 2024'!$D$4:$D$1689,$B92,'апрель 2024'!$J$4:$J$1689,E$1)</f>
        <v>0</v>
      </c>
      <c r="F92" s="80">
        <f>SUMIFS('апрель 2024'!$G$4:$G$1689,'апрель 2024'!$D$4:$D$1689,$B92,'апрель 2024'!$J$4:$J$1689,F$1)</f>
        <v>0</v>
      </c>
      <c r="G92" s="80">
        <f>SUMIFS('апрель 2024'!$G$4:$G$1689,'апрель 2024'!$D$4:$D$1689,$B92,'апрель 2024'!$J$4:$J$1689,G$1)</f>
        <v>0</v>
      </c>
      <c r="H92" s="80">
        <f>SUMIFS('апрель 2024'!$G$4:$G$1689,'апрель 2024'!$D$4:$D$1689,$B92,'апрель 2024'!$J$4:$J$1689,H$1)</f>
        <v>0</v>
      </c>
      <c r="I92" s="80">
        <f>SUMIFS('апрель 2024'!$G$4:$G$1689,'апрель 2024'!$D$4:$D$1689,$B92,'апрель 2024'!$J$4:$J$1689,I$1)</f>
        <v>0</v>
      </c>
      <c r="J92" s="80">
        <f>SUMIFS('апрель 2024'!$G$4:$G$1689,'апрель 2024'!$D$4:$D$1689,$B92,'апрель 2024'!$J$4:$J$1689,J$1)</f>
        <v>0</v>
      </c>
      <c r="K92" s="80">
        <f>SUMIFS('апрель 2024'!$G$4:$G$1689,'апрель 2024'!$D$4:$D$1689,$B92,'апрель 2024'!$J$4:$J$1689,K$1)</f>
        <v>0</v>
      </c>
      <c r="L92" s="80">
        <f>SUMIFS('апрель 2024'!$G$4:$G$1689,'апрель 2024'!$D$4:$D$1689,$B92,'апрель 2024'!$J$4:$J$1689,L$1)</f>
        <v>0</v>
      </c>
      <c r="M92" s="80">
        <f>SUMIFS('апрель 2024'!$G$4:$G$1689,'апрель 2024'!$D$4:$D$1689,$B92,'апрель 2024'!$J$4:$J$1689,M$1)</f>
        <v>0</v>
      </c>
      <c r="N92" s="80">
        <f>SUMIFS('апрель 2024'!$G$4:$G$1689,'апрель 2024'!$D$4:$D$1689,$B92,'апрель 2024'!$J$4:$J$1689,N$1)</f>
        <v>0</v>
      </c>
      <c r="O92" s="80">
        <f>SUMIFS('апрель 2024'!$G$4:$G$1689,'апрель 2024'!$D$4:$D$1689,$B92,'апрель 2024'!$J$4:$J$1689,O$1)</f>
        <v>0</v>
      </c>
      <c r="P92" s="80">
        <f>SUMIFS('апрель 2024'!$G$4:$G$1689,'апрель 2024'!$D$4:$D$1689,$B92,'апрель 2024'!$J$4:$J$1689,P$1)</f>
        <v>0</v>
      </c>
      <c r="Q92" s="80">
        <f>SUMIFS('апрель 2024'!$G$4:$G$1689,'апрель 2024'!$D$4:$D$1689,$B92,'апрель 2024'!$J$4:$J$1689,Q$1)</f>
        <v>0</v>
      </c>
      <c r="R92" s="80">
        <f>SUMIFS('апрель 2024'!$G$4:$G$1689,'апрель 2024'!$D$4:$D$1689,$B92,'апрель 2024'!$J$4:$J$1689,R$1)</f>
        <v>0</v>
      </c>
      <c r="S92" s="80">
        <f>SUMIFS('апрель 2024'!$G$4:$G$1689,'апрель 2024'!$D$4:$D$1689,$B92,'апрель 2024'!$J$4:$J$1689,S$1)</f>
        <v>0</v>
      </c>
      <c r="T92" s="80">
        <f>SUMIFS('апрель 2024'!$G$4:$G$1689,'апрель 2024'!$D$4:$D$1689,$B92,'апрель 2024'!$J$4:$J$1689,T$1)</f>
        <v>0</v>
      </c>
      <c r="U92" s="80">
        <f>SUMIFS('апрель 2024'!$G$4:$G$1689,'апрель 2024'!$D$4:$D$1689,$B92,'апрель 2024'!$J$4:$J$1689,U$1)</f>
        <v>0</v>
      </c>
      <c r="V92" s="80">
        <f>SUMIFS('апрель 2024'!$G$4:$G$1689,'апрель 2024'!$D$4:$D$1689,$B92,'апрель 2024'!$J$4:$J$1689,V$1)</f>
        <v>0</v>
      </c>
      <c r="W92" s="80">
        <f>SUMIFS('апрель 2024'!$G$4:$G$1689,'апрель 2024'!$D$4:$D$1689,$B92,'апрель 2024'!$J$4:$J$1689,W$1)</f>
        <v>0</v>
      </c>
      <c r="X92" s="80">
        <f>SUMIFS('апрель 2024'!$G$4:$G$1689,'апрель 2024'!$D$4:$D$1689,$B92,'апрель 2024'!$J$4:$J$1689,X$1)</f>
        <v>0</v>
      </c>
      <c r="Y92" s="80">
        <f>SUMIFS('апрель 2024'!$G$4:$G$1689,'апрель 2024'!$D$4:$D$1689,$B92,'апрель 2024'!$J$4:$J$1689,Y$1)</f>
        <v>88</v>
      </c>
      <c r="Z92" s="80">
        <f>SUMIFS('апрель 2024'!$G$4:$G$1689,'апрель 2024'!$D$4:$D$1689,$B92,'апрель 2024'!$J$4:$J$1689,Z$1)</f>
        <v>0</v>
      </c>
      <c r="AA92" s="80">
        <f>SUMIFS('апрель 2024'!$G$4:$G$1689,'апрель 2024'!$D$4:$D$1689,$B92,'апрель 2024'!$J$4:$J$1689,AA$1)</f>
        <v>0</v>
      </c>
      <c r="AB92" s="80">
        <f>SUMIFS('апрель 2024'!$G$4:$G$1689,'апрель 2024'!$D$4:$D$1689,$B92,'апрель 2024'!$J$4:$J$1689,AB$1)</f>
        <v>0</v>
      </c>
      <c r="AC92" s="80">
        <f>SUMIFS('апрель 2024'!$G$4:$G$1689,'апрель 2024'!$D$4:$D$1689,$B92,'апрель 2024'!$J$4:$J$1689,AC$1)</f>
        <v>0</v>
      </c>
      <c r="AD92" s="80">
        <f>SUMIFS('апрель 2024'!$G$4:$G$1689,'апрель 2024'!$D$4:$D$1689,$B92,'апрель 2024'!$J$4:$J$1689,AD$1)</f>
        <v>0</v>
      </c>
      <c r="AE92" s="80">
        <f>SUMIFS('апрель 2024'!$G$4:$G$1689,'апрель 2024'!$D$4:$D$1689,$B92,'апрель 2024'!$J$4:$J$1689,AE$1)</f>
        <v>0</v>
      </c>
      <c r="AF92" s="80">
        <f>SUMIFS('апрель 2024'!$G$4:$G$1689,'апрель 2024'!$D$4:$D$1689,$B92,'апрель 2024'!$J$4:$J$1689,AF$1)</f>
        <v>0</v>
      </c>
      <c r="AG92" s="80">
        <f>SUMIFS('апрель 2024'!$G$4:$G$1689,'апрель 2024'!$D$4:$D$1689,$B92,'апрель 2024'!$J$4:$J$1689,AG$1)</f>
        <v>0</v>
      </c>
      <c r="AH92" s="80">
        <f>SUMIFS('апрель 2024'!$G$4:$G$1689,'апрель 2024'!$D$4:$D$1689,$B92,'апрель 2024'!$J$4:$J$1689,AH$1)</f>
        <v>0</v>
      </c>
      <c r="AI92" s="21">
        <f t="shared" si="1"/>
        <v>88</v>
      </c>
    </row>
    <row r="93" spans="2:35" ht="15" customHeight="1" x14ac:dyDescent="0.25">
      <c r="B93" s="92" t="s">
        <v>175</v>
      </c>
      <c r="C93" s="91">
        <v>180</v>
      </c>
      <c r="D93" s="80">
        <f>SUMIFS('апрель 2024'!$G$4:$G$1689,'апрель 2024'!$D$4:$D$1689,$B93,'апрель 2024'!$J$4:$J$1689,D$1)</f>
        <v>0</v>
      </c>
      <c r="E93" s="80">
        <f>SUMIFS('апрель 2024'!$G$4:$G$1689,'апрель 2024'!$D$4:$D$1689,$B93,'апрель 2024'!$J$4:$J$1689,E$1)</f>
        <v>0</v>
      </c>
      <c r="F93" s="80">
        <f>SUMIFS('апрель 2024'!$G$4:$G$1689,'апрель 2024'!$D$4:$D$1689,$B93,'апрель 2024'!$J$4:$J$1689,F$1)</f>
        <v>0</v>
      </c>
      <c r="G93" s="80">
        <f>SUMIFS('апрель 2024'!$G$4:$G$1689,'апрель 2024'!$D$4:$D$1689,$B93,'апрель 2024'!$J$4:$J$1689,G$1)</f>
        <v>0</v>
      </c>
      <c r="H93" s="80">
        <f>SUMIFS('апрель 2024'!$G$4:$G$1689,'апрель 2024'!$D$4:$D$1689,$B93,'апрель 2024'!$J$4:$J$1689,H$1)</f>
        <v>0</v>
      </c>
      <c r="I93" s="80">
        <f>SUMIFS('апрель 2024'!$G$4:$G$1689,'апрель 2024'!$D$4:$D$1689,$B93,'апрель 2024'!$J$4:$J$1689,I$1)</f>
        <v>0</v>
      </c>
      <c r="J93" s="80">
        <f>SUMIFS('апрель 2024'!$G$4:$G$1689,'апрель 2024'!$D$4:$D$1689,$B93,'апрель 2024'!$J$4:$J$1689,J$1)</f>
        <v>0</v>
      </c>
      <c r="K93" s="80">
        <f>SUMIFS('апрель 2024'!$G$4:$G$1689,'апрель 2024'!$D$4:$D$1689,$B93,'апрель 2024'!$J$4:$J$1689,K$1)</f>
        <v>0</v>
      </c>
      <c r="L93" s="80">
        <f>SUMIFS('апрель 2024'!$G$4:$G$1689,'апрель 2024'!$D$4:$D$1689,$B93,'апрель 2024'!$J$4:$J$1689,L$1)</f>
        <v>0</v>
      </c>
      <c r="M93" s="80">
        <f>SUMIFS('апрель 2024'!$G$4:$G$1689,'апрель 2024'!$D$4:$D$1689,$B93,'апрель 2024'!$J$4:$J$1689,M$1)</f>
        <v>0</v>
      </c>
      <c r="N93" s="80">
        <f>SUMIFS('апрель 2024'!$G$4:$G$1689,'апрель 2024'!$D$4:$D$1689,$B93,'апрель 2024'!$J$4:$J$1689,N$1)</f>
        <v>0</v>
      </c>
      <c r="O93" s="80">
        <f>SUMIFS('апрель 2024'!$G$4:$G$1689,'апрель 2024'!$D$4:$D$1689,$B93,'апрель 2024'!$J$4:$J$1689,O$1)</f>
        <v>0</v>
      </c>
      <c r="P93" s="80">
        <f>SUMIFS('апрель 2024'!$G$4:$G$1689,'апрель 2024'!$D$4:$D$1689,$B93,'апрель 2024'!$J$4:$J$1689,P$1)</f>
        <v>0</v>
      </c>
      <c r="Q93" s="80">
        <f>SUMIFS('апрель 2024'!$G$4:$G$1689,'апрель 2024'!$D$4:$D$1689,$B93,'апрель 2024'!$J$4:$J$1689,Q$1)</f>
        <v>0</v>
      </c>
      <c r="R93" s="80">
        <f>SUMIFS('апрель 2024'!$G$4:$G$1689,'апрель 2024'!$D$4:$D$1689,$B93,'апрель 2024'!$J$4:$J$1689,R$1)</f>
        <v>0</v>
      </c>
      <c r="S93" s="80">
        <f>SUMIFS('апрель 2024'!$G$4:$G$1689,'апрель 2024'!$D$4:$D$1689,$B93,'апрель 2024'!$J$4:$J$1689,S$1)</f>
        <v>0</v>
      </c>
      <c r="T93" s="80">
        <f>SUMIFS('апрель 2024'!$G$4:$G$1689,'апрель 2024'!$D$4:$D$1689,$B93,'апрель 2024'!$J$4:$J$1689,T$1)</f>
        <v>0</v>
      </c>
      <c r="U93" s="80">
        <f>SUMIFS('апрель 2024'!$G$4:$G$1689,'апрель 2024'!$D$4:$D$1689,$B93,'апрель 2024'!$J$4:$J$1689,U$1)</f>
        <v>0</v>
      </c>
      <c r="V93" s="80">
        <f>SUMIFS('апрель 2024'!$G$4:$G$1689,'апрель 2024'!$D$4:$D$1689,$B93,'апрель 2024'!$J$4:$J$1689,V$1)</f>
        <v>0</v>
      </c>
      <c r="W93" s="80">
        <f>SUMIFS('апрель 2024'!$G$4:$G$1689,'апрель 2024'!$D$4:$D$1689,$B93,'апрель 2024'!$J$4:$J$1689,W$1)</f>
        <v>0</v>
      </c>
      <c r="X93" s="80">
        <f>SUMIFS('апрель 2024'!$G$4:$G$1689,'апрель 2024'!$D$4:$D$1689,$B93,'апрель 2024'!$J$4:$J$1689,X$1)</f>
        <v>0</v>
      </c>
      <c r="Y93" s="80">
        <f>SUMIFS('апрель 2024'!$G$4:$G$1689,'апрель 2024'!$D$4:$D$1689,$B93,'апрель 2024'!$J$4:$J$1689,Y$1)</f>
        <v>0</v>
      </c>
      <c r="Z93" s="80">
        <f>SUMIFS('апрель 2024'!$G$4:$G$1689,'апрель 2024'!$D$4:$D$1689,$B93,'апрель 2024'!$J$4:$J$1689,Z$1)</f>
        <v>0</v>
      </c>
      <c r="AA93" s="80">
        <f>SUMIFS('апрель 2024'!$G$4:$G$1689,'апрель 2024'!$D$4:$D$1689,$B93,'апрель 2024'!$J$4:$J$1689,AA$1)</f>
        <v>0</v>
      </c>
      <c r="AB93" s="80">
        <f>SUMIFS('апрель 2024'!$G$4:$G$1689,'апрель 2024'!$D$4:$D$1689,$B93,'апрель 2024'!$J$4:$J$1689,AB$1)</f>
        <v>0</v>
      </c>
      <c r="AC93" s="80">
        <f>SUMIFS('апрель 2024'!$G$4:$G$1689,'апрель 2024'!$D$4:$D$1689,$B93,'апрель 2024'!$J$4:$J$1689,AC$1)</f>
        <v>0</v>
      </c>
      <c r="AD93" s="80">
        <f>SUMIFS('апрель 2024'!$G$4:$G$1689,'апрель 2024'!$D$4:$D$1689,$B93,'апрель 2024'!$J$4:$J$1689,AD$1)</f>
        <v>0</v>
      </c>
      <c r="AE93" s="80">
        <f>SUMIFS('апрель 2024'!$G$4:$G$1689,'апрель 2024'!$D$4:$D$1689,$B93,'апрель 2024'!$J$4:$J$1689,AE$1)</f>
        <v>0</v>
      </c>
      <c r="AF93" s="80">
        <f>SUMIFS('апрель 2024'!$G$4:$G$1689,'апрель 2024'!$D$4:$D$1689,$B93,'апрель 2024'!$J$4:$J$1689,AF$1)</f>
        <v>0</v>
      </c>
      <c r="AG93" s="80">
        <f>SUMIFS('апрель 2024'!$G$4:$G$1689,'апрель 2024'!$D$4:$D$1689,$B93,'апрель 2024'!$J$4:$J$1689,AG$1)</f>
        <v>0</v>
      </c>
      <c r="AH93" s="80">
        <f>SUMIFS('апрель 2024'!$G$4:$G$1689,'апрель 2024'!$D$4:$D$1689,$B93,'апрель 2024'!$J$4:$J$1689,AH$1)</f>
        <v>0</v>
      </c>
      <c r="AI93" s="21">
        <f t="shared" si="1"/>
        <v>0</v>
      </c>
    </row>
    <row r="94" spans="2:35" ht="15" customHeight="1" x14ac:dyDescent="0.25">
      <c r="B94" s="89" t="s">
        <v>176</v>
      </c>
      <c r="C94" s="91">
        <v>200</v>
      </c>
      <c r="D94" s="80">
        <f>SUMIFS('апрель 2024'!$G$4:$G$1689,'апрель 2024'!$D$4:$D$1689,$B94,'апрель 2024'!$J$4:$J$1689,D$1)</f>
        <v>0</v>
      </c>
      <c r="E94" s="80">
        <f>SUMIFS('апрель 2024'!$G$4:$G$1689,'апрель 2024'!$D$4:$D$1689,$B94,'апрель 2024'!$J$4:$J$1689,E$1)</f>
        <v>0</v>
      </c>
      <c r="F94" s="80">
        <f>SUMIFS('апрель 2024'!$G$4:$G$1689,'апрель 2024'!$D$4:$D$1689,$B94,'апрель 2024'!$J$4:$J$1689,F$1)</f>
        <v>0</v>
      </c>
      <c r="G94" s="80">
        <f>SUMIFS('апрель 2024'!$G$4:$G$1689,'апрель 2024'!$D$4:$D$1689,$B94,'апрель 2024'!$J$4:$J$1689,G$1)</f>
        <v>0</v>
      </c>
      <c r="H94" s="80">
        <f>SUMIFS('апрель 2024'!$G$4:$G$1689,'апрель 2024'!$D$4:$D$1689,$B94,'апрель 2024'!$J$4:$J$1689,H$1)</f>
        <v>0</v>
      </c>
      <c r="I94" s="80">
        <f>SUMIFS('апрель 2024'!$G$4:$G$1689,'апрель 2024'!$D$4:$D$1689,$B94,'апрель 2024'!$J$4:$J$1689,I$1)</f>
        <v>0</v>
      </c>
      <c r="J94" s="80">
        <f>SUMIFS('апрель 2024'!$G$4:$G$1689,'апрель 2024'!$D$4:$D$1689,$B94,'апрель 2024'!$J$4:$J$1689,J$1)</f>
        <v>0</v>
      </c>
      <c r="K94" s="80">
        <f>SUMIFS('апрель 2024'!$G$4:$G$1689,'апрель 2024'!$D$4:$D$1689,$B94,'апрель 2024'!$J$4:$J$1689,K$1)</f>
        <v>0</v>
      </c>
      <c r="L94" s="80">
        <f>SUMIFS('апрель 2024'!$G$4:$G$1689,'апрель 2024'!$D$4:$D$1689,$B94,'апрель 2024'!$J$4:$J$1689,L$1)</f>
        <v>0</v>
      </c>
      <c r="M94" s="80">
        <f>SUMIFS('апрель 2024'!$G$4:$G$1689,'апрель 2024'!$D$4:$D$1689,$B94,'апрель 2024'!$J$4:$J$1689,M$1)</f>
        <v>0</v>
      </c>
      <c r="N94" s="80">
        <f>SUMIFS('апрель 2024'!$G$4:$G$1689,'апрель 2024'!$D$4:$D$1689,$B94,'апрель 2024'!$J$4:$J$1689,N$1)</f>
        <v>0</v>
      </c>
      <c r="O94" s="80">
        <f>SUMIFS('апрель 2024'!$G$4:$G$1689,'апрель 2024'!$D$4:$D$1689,$B94,'апрель 2024'!$J$4:$J$1689,O$1)</f>
        <v>0</v>
      </c>
      <c r="P94" s="80">
        <f>SUMIFS('апрель 2024'!$G$4:$G$1689,'апрель 2024'!$D$4:$D$1689,$B94,'апрель 2024'!$J$4:$J$1689,P$1)</f>
        <v>0</v>
      </c>
      <c r="Q94" s="80">
        <f>SUMIFS('апрель 2024'!$G$4:$G$1689,'апрель 2024'!$D$4:$D$1689,$B94,'апрель 2024'!$J$4:$J$1689,Q$1)</f>
        <v>0</v>
      </c>
      <c r="R94" s="80">
        <f>SUMIFS('апрель 2024'!$G$4:$G$1689,'апрель 2024'!$D$4:$D$1689,$B94,'апрель 2024'!$J$4:$J$1689,R$1)</f>
        <v>0</v>
      </c>
      <c r="S94" s="80">
        <f>SUMIFS('апрель 2024'!$G$4:$G$1689,'апрель 2024'!$D$4:$D$1689,$B94,'апрель 2024'!$J$4:$J$1689,S$1)</f>
        <v>0</v>
      </c>
      <c r="T94" s="80">
        <f>SUMIFS('апрель 2024'!$G$4:$G$1689,'апрель 2024'!$D$4:$D$1689,$B94,'апрель 2024'!$J$4:$J$1689,T$1)</f>
        <v>0</v>
      </c>
      <c r="U94" s="80">
        <f>SUMIFS('апрель 2024'!$G$4:$G$1689,'апрель 2024'!$D$4:$D$1689,$B94,'апрель 2024'!$J$4:$J$1689,U$1)</f>
        <v>0</v>
      </c>
      <c r="V94" s="80">
        <f>SUMIFS('апрель 2024'!$G$4:$G$1689,'апрель 2024'!$D$4:$D$1689,$B94,'апрель 2024'!$J$4:$J$1689,V$1)</f>
        <v>0</v>
      </c>
      <c r="W94" s="80">
        <f>SUMIFS('апрель 2024'!$G$4:$G$1689,'апрель 2024'!$D$4:$D$1689,$B94,'апрель 2024'!$J$4:$J$1689,W$1)</f>
        <v>0</v>
      </c>
      <c r="X94" s="80">
        <f>SUMIFS('апрель 2024'!$G$4:$G$1689,'апрель 2024'!$D$4:$D$1689,$B94,'апрель 2024'!$J$4:$J$1689,X$1)</f>
        <v>0</v>
      </c>
      <c r="Y94" s="80">
        <f>SUMIFS('апрель 2024'!$G$4:$G$1689,'апрель 2024'!$D$4:$D$1689,$B94,'апрель 2024'!$J$4:$J$1689,Y$1)</f>
        <v>0</v>
      </c>
      <c r="Z94" s="80">
        <f>SUMIFS('апрель 2024'!$G$4:$G$1689,'апрель 2024'!$D$4:$D$1689,$B94,'апрель 2024'!$J$4:$J$1689,Z$1)</f>
        <v>0</v>
      </c>
      <c r="AA94" s="80">
        <f>SUMIFS('апрель 2024'!$G$4:$G$1689,'апрель 2024'!$D$4:$D$1689,$B94,'апрель 2024'!$J$4:$J$1689,AA$1)</f>
        <v>0</v>
      </c>
      <c r="AB94" s="80">
        <f>SUMIFS('апрель 2024'!$G$4:$G$1689,'апрель 2024'!$D$4:$D$1689,$B94,'апрель 2024'!$J$4:$J$1689,AB$1)</f>
        <v>0</v>
      </c>
      <c r="AC94" s="80">
        <f>SUMIFS('апрель 2024'!$G$4:$G$1689,'апрель 2024'!$D$4:$D$1689,$B94,'апрель 2024'!$J$4:$J$1689,AC$1)</f>
        <v>0</v>
      </c>
      <c r="AD94" s="80">
        <f>SUMIFS('апрель 2024'!$G$4:$G$1689,'апрель 2024'!$D$4:$D$1689,$B94,'апрель 2024'!$J$4:$J$1689,AD$1)</f>
        <v>0</v>
      </c>
      <c r="AE94" s="80">
        <f>SUMIFS('апрель 2024'!$G$4:$G$1689,'апрель 2024'!$D$4:$D$1689,$B94,'апрель 2024'!$J$4:$J$1689,AE$1)</f>
        <v>0</v>
      </c>
      <c r="AF94" s="80">
        <f>SUMIFS('апрель 2024'!$G$4:$G$1689,'апрель 2024'!$D$4:$D$1689,$B94,'апрель 2024'!$J$4:$J$1689,AF$1)</f>
        <v>0</v>
      </c>
      <c r="AG94" s="80">
        <f>SUMIFS('апрель 2024'!$G$4:$G$1689,'апрель 2024'!$D$4:$D$1689,$B94,'апрель 2024'!$J$4:$J$1689,AG$1)</f>
        <v>0</v>
      </c>
      <c r="AH94" s="80">
        <f>SUMIFS('апрель 2024'!$G$4:$G$1689,'апрель 2024'!$D$4:$D$1689,$B94,'апрель 2024'!$J$4:$J$1689,AH$1)</f>
        <v>0</v>
      </c>
      <c r="AI94" s="21">
        <f t="shared" si="1"/>
        <v>0</v>
      </c>
    </row>
    <row r="95" spans="2:35" ht="15" customHeight="1" x14ac:dyDescent="0.25">
      <c r="B95" s="89" t="s">
        <v>205</v>
      </c>
      <c r="C95" s="88">
        <v>185</v>
      </c>
      <c r="D95" s="80">
        <f>SUMIFS('апрель 2024'!$G$4:$G$1689,'апрель 2024'!$D$4:$D$1689,$B95,'апрель 2024'!$J$4:$J$1689,D$1)</f>
        <v>0</v>
      </c>
      <c r="E95" s="80">
        <f>SUMIFS('апрель 2024'!$G$4:$G$1689,'апрель 2024'!$D$4:$D$1689,$B95,'апрель 2024'!$J$4:$J$1689,E$1)</f>
        <v>0</v>
      </c>
      <c r="F95" s="80">
        <f>SUMIFS('апрель 2024'!$G$4:$G$1689,'апрель 2024'!$D$4:$D$1689,$B95,'апрель 2024'!$J$4:$J$1689,F$1)</f>
        <v>0</v>
      </c>
      <c r="G95" s="80">
        <f>SUMIFS('апрель 2024'!$G$4:$G$1689,'апрель 2024'!$D$4:$D$1689,$B95,'апрель 2024'!$J$4:$J$1689,G$1)</f>
        <v>0</v>
      </c>
      <c r="H95" s="80">
        <f>SUMIFS('апрель 2024'!$G$4:$G$1689,'апрель 2024'!$D$4:$D$1689,$B95,'апрель 2024'!$J$4:$J$1689,H$1)</f>
        <v>0</v>
      </c>
      <c r="I95" s="80">
        <f>SUMIFS('апрель 2024'!$G$4:$G$1689,'апрель 2024'!$D$4:$D$1689,$B95,'апрель 2024'!$J$4:$J$1689,I$1)</f>
        <v>0</v>
      </c>
      <c r="J95" s="80">
        <f>SUMIFS('апрель 2024'!$G$4:$G$1689,'апрель 2024'!$D$4:$D$1689,$B95,'апрель 2024'!$J$4:$J$1689,J$1)</f>
        <v>0</v>
      </c>
      <c r="K95" s="80">
        <f>SUMIFS('апрель 2024'!$G$4:$G$1689,'апрель 2024'!$D$4:$D$1689,$B95,'апрель 2024'!$J$4:$J$1689,K$1)</f>
        <v>0</v>
      </c>
      <c r="L95" s="80">
        <f>SUMIFS('апрель 2024'!$G$4:$G$1689,'апрель 2024'!$D$4:$D$1689,$B95,'апрель 2024'!$J$4:$J$1689,L$1)</f>
        <v>0</v>
      </c>
      <c r="M95" s="80">
        <f>SUMIFS('апрель 2024'!$G$4:$G$1689,'апрель 2024'!$D$4:$D$1689,$B95,'апрель 2024'!$J$4:$J$1689,M$1)</f>
        <v>0</v>
      </c>
      <c r="N95" s="80">
        <f>SUMIFS('апрель 2024'!$G$4:$G$1689,'апрель 2024'!$D$4:$D$1689,$B95,'апрель 2024'!$J$4:$J$1689,N$1)</f>
        <v>0</v>
      </c>
      <c r="O95" s="80">
        <f>SUMIFS('апрель 2024'!$G$4:$G$1689,'апрель 2024'!$D$4:$D$1689,$B95,'апрель 2024'!$J$4:$J$1689,O$1)</f>
        <v>0</v>
      </c>
      <c r="P95" s="80">
        <f>SUMIFS('апрель 2024'!$G$4:$G$1689,'апрель 2024'!$D$4:$D$1689,$B95,'апрель 2024'!$J$4:$J$1689,P$1)</f>
        <v>0</v>
      </c>
      <c r="Q95" s="80">
        <f>SUMIFS('апрель 2024'!$G$4:$G$1689,'апрель 2024'!$D$4:$D$1689,$B95,'апрель 2024'!$J$4:$J$1689,Q$1)</f>
        <v>0</v>
      </c>
      <c r="R95" s="80">
        <f>SUMIFS('апрель 2024'!$G$4:$G$1689,'апрель 2024'!$D$4:$D$1689,$B95,'апрель 2024'!$J$4:$J$1689,R$1)</f>
        <v>0</v>
      </c>
      <c r="S95" s="80">
        <f>SUMIFS('апрель 2024'!$G$4:$G$1689,'апрель 2024'!$D$4:$D$1689,$B95,'апрель 2024'!$J$4:$J$1689,S$1)</f>
        <v>0</v>
      </c>
      <c r="T95" s="80">
        <f>SUMIFS('апрель 2024'!$G$4:$G$1689,'апрель 2024'!$D$4:$D$1689,$B95,'апрель 2024'!$J$4:$J$1689,T$1)</f>
        <v>0</v>
      </c>
      <c r="U95" s="80">
        <f>SUMIFS('апрель 2024'!$G$4:$G$1689,'апрель 2024'!$D$4:$D$1689,$B95,'апрель 2024'!$J$4:$J$1689,U$1)</f>
        <v>0</v>
      </c>
      <c r="V95" s="80">
        <f>SUMIFS('апрель 2024'!$G$4:$G$1689,'апрель 2024'!$D$4:$D$1689,$B95,'апрель 2024'!$J$4:$J$1689,V$1)</f>
        <v>0</v>
      </c>
      <c r="W95" s="80">
        <f>SUMIFS('апрель 2024'!$G$4:$G$1689,'апрель 2024'!$D$4:$D$1689,$B95,'апрель 2024'!$J$4:$J$1689,W$1)</f>
        <v>0</v>
      </c>
      <c r="X95" s="80">
        <f>SUMIFS('апрель 2024'!$G$4:$G$1689,'апрель 2024'!$D$4:$D$1689,$B95,'апрель 2024'!$J$4:$J$1689,X$1)</f>
        <v>0</v>
      </c>
      <c r="Y95" s="80">
        <f>SUMIFS('апрель 2024'!$G$4:$G$1689,'апрель 2024'!$D$4:$D$1689,$B95,'апрель 2024'!$J$4:$J$1689,Y$1)</f>
        <v>0</v>
      </c>
      <c r="Z95" s="80">
        <f>SUMIFS('апрель 2024'!$G$4:$G$1689,'апрель 2024'!$D$4:$D$1689,$B95,'апрель 2024'!$J$4:$J$1689,Z$1)</f>
        <v>0</v>
      </c>
      <c r="AA95" s="80">
        <f>SUMIFS('апрель 2024'!$G$4:$G$1689,'апрель 2024'!$D$4:$D$1689,$B95,'апрель 2024'!$J$4:$J$1689,AA$1)</f>
        <v>0</v>
      </c>
      <c r="AB95" s="80">
        <f>SUMIFS('апрель 2024'!$G$4:$G$1689,'апрель 2024'!$D$4:$D$1689,$B95,'апрель 2024'!$J$4:$J$1689,AB$1)</f>
        <v>0</v>
      </c>
      <c r="AC95" s="80">
        <f>SUMIFS('апрель 2024'!$G$4:$G$1689,'апрель 2024'!$D$4:$D$1689,$B95,'апрель 2024'!$J$4:$J$1689,AC$1)</f>
        <v>0</v>
      </c>
      <c r="AD95" s="80">
        <f>SUMIFS('апрель 2024'!$G$4:$G$1689,'апрель 2024'!$D$4:$D$1689,$B95,'апрель 2024'!$J$4:$J$1689,AD$1)</f>
        <v>0</v>
      </c>
      <c r="AE95" s="80">
        <f>SUMIFS('апрель 2024'!$G$4:$G$1689,'апрель 2024'!$D$4:$D$1689,$B95,'апрель 2024'!$J$4:$J$1689,AE$1)</f>
        <v>0</v>
      </c>
      <c r="AF95" s="80">
        <f>SUMIFS('апрель 2024'!$G$4:$G$1689,'апрель 2024'!$D$4:$D$1689,$B95,'апрель 2024'!$J$4:$J$1689,AF$1)</f>
        <v>0</v>
      </c>
      <c r="AG95" s="80">
        <f>SUMIFS('апрель 2024'!$G$4:$G$1689,'апрель 2024'!$D$4:$D$1689,$B95,'апрель 2024'!$J$4:$J$1689,AG$1)</f>
        <v>0</v>
      </c>
      <c r="AH95" s="80">
        <f>SUMIFS('апрель 2024'!$G$4:$G$1689,'апрель 2024'!$D$4:$D$1689,$B95,'апрель 2024'!$J$4:$J$1689,AH$1)</f>
        <v>0</v>
      </c>
      <c r="AI95" s="21">
        <f t="shared" si="1"/>
        <v>0</v>
      </c>
    </row>
    <row r="96" spans="2:35" ht="15" customHeight="1" x14ac:dyDescent="0.25">
      <c r="B96" s="89" t="s">
        <v>206</v>
      </c>
      <c r="C96" s="88">
        <v>185</v>
      </c>
      <c r="D96" s="80">
        <f>SUMIFS('апрель 2024'!$G$4:$G$1689,'апрель 2024'!$D$4:$D$1689,$B96,'апрель 2024'!$J$4:$J$1689,D$1)</f>
        <v>0</v>
      </c>
      <c r="E96" s="80">
        <f>SUMIFS('апрель 2024'!$G$4:$G$1689,'апрель 2024'!$D$4:$D$1689,$B96,'апрель 2024'!$J$4:$J$1689,E$1)</f>
        <v>0</v>
      </c>
      <c r="F96" s="80">
        <f>SUMIFS('апрель 2024'!$G$4:$G$1689,'апрель 2024'!$D$4:$D$1689,$B96,'апрель 2024'!$J$4:$J$1689,F$1)</f>
        <v>0</v>
      </c>
      <c r="G96" s="80">
        <f>SUMIFS('апрель 2024'!$G$4:$G$1689,'апрель 2024'!$D$4:$D$1689,$B96,'апрель 2024'!$J$4:$J$1689,G$1)</f>
        <v>0</v>
      </c>
      <c r="H96" s="80">
        <f>SUMIFS('апрель 2024'!$G$4:$G$1689,'апрель 2024'!$D$4:$D$1689,$B96,'апрель 2024'!$J$4:$J$1689,H$1)</f>
        <v>0</v>
      </c>
      <c r="I96" s="80">
        <f>SUMIFS('апрель 2024'!$G$4:$G$1689,'апрель 2024'!$D$4:$D$1689,$B96,'апрель 2024'!$J$4:$J$1689,I$1)</f>
        <v>0</v>
      </c>
      <c r="J96" s="80">
        <f>SUMIFS('апрель 2024'!$G$4:$G$1689,'апрель 2024'!$D$4:$D$1689,$B96,'апрель 2024'!$J$4:$J$1689,J$1)</f>
        <v>0</v>
      </c>
      <c r="K96" s="80">
        <f>SUMIFS('апрель 2024'!$G$4:$G$1689,'апрель 2024'!$D$4:$D$1689,$B96,'апрель 2024'!$J$4:$J$1689,K$1)</f>
        <v>0</v>
      </c>
      <c r="L96" s="80">
        <f>SUMIFS('апрель 2024'!$G$4:$G$1689,'апрель 2024'!$D$4:$D$1689,$B96,'апрель 2024'!$J$4:$J$1689,L$1)</f>
        <v>0</v>
      </c>
      <c r="M96" s="80">
        <f>SUMIFS('апрель 2024'!$G$4:$G$1689,'апрель 2024'!$D$4:$D$1689,$B96,'апрель 2024'!$J$4:$J$1689,M$1)</f>
        <v>0</v>
      </c>
      <c r="N96" s="80">
        <f>SUMIFS('апрель 2024'!$G$4:$G$1689,'апрель 2024'!$D$4:$D$1689,$B96,'апрель 2024'!$J$4:$J$1689,N$1)</f>
        <v>0</v>
      </c>
      <c r="O96" s="80">
        <f>SUMIFS('апрель 2024'!$G$4:$G$1689,'апрель 2024'!$D$4:$D$1689,$B96,'апрель 2024'!$J$4:$J$1689,O$1)</f>
        <v>0</v>
      </c>
      <c r="P96" s="80">
        <f>SUMIFS('апрель 2024'!$G$4:$G$1689,'апрель 2024'!$D$4:$D$1689,$B96,'апрель 2024'!$J$4:$J$1689,P$1)</f>
        <v>0</v>
      </c>
      <c r="Q96" s="80">
        <f>SUMIFS('апрель 2024'!$G$4:$G$1689,'апрель 2024'!$D$4:$D$1689,$B96,'апрель 2024'!$J$4:$J$1689,Q$1)</f>
        <v>0</v>
      </c>
      <c r="R96" s="80">
        <f>SUMIFS('апрель 2024'!$G$4:$G$1689,'апрель 2024'!$D$4:$D$1689,$B96,'апрель 2024'!$J$4:$J$1689,R$1)</f>
        <v>0</v>
      </c>
      <c r="S96" s="80">
        <f>SUMIFS('апрель 2024'!$G$4:$G$1689,'апрель 2024'!$D$4:$D$1689,$B96,'апрель 2024'!$J$4:$J$1689,S$1)</f>
        <v>0</v>
      </c>
      <c r="T96" s="80">
        <f>SUMIFS('апрель 2024'!$G$4:$G$1689,'апрель 2024'!$D$4:$D$1689,$B96,'апрель 2024'!$J$4:$J$1689,T$1)</f>
        <v>0</v>
      </c>
      <c r="U96" s="80">
        <f>SUMIFS('апрель 2024'!$G$4:$G$1689,'апрель 2024'!$D$4:$D$1689,$B96,'апрель 2024'!$J$4:$J$1689,U$1)</f>
        <v>0</v>
      </c>
      <c r="V96" s="80">
        <f>SUMIFS('апрель 2024'!$G$4:$G$1689,'апрель 2024'!$D$4:$D$1689,$B96,'апрель 2024'!$J$4:$J$1689,V$1)</f>
        <v>0</v>
      </c>
      <c r="W96" s="80">
        <f>SUMIFS('апрель 2024'!$G$4:$G$1689,'апрель 2024'!$D$4:$D$1689,$B96,'апрель 2024'!$J$4:$J$1689,W$1)</f>
        <v>0</v>
      </c>
      <c r="X96" s="80">
        <f>SUMIFS('апрель 2024'!$G$4:$G$1689,'апрель 2024'!$D$4:$D$1689,$B96,'апрель 2024'!$J$4:$J$1689,X$1)</f>
        <v>0</v>
      </c>
      <c r="Y96" s="80">
        <f>SUMIFS('апрель 2024'!$G$4:$G$1689,'апрель 2024'!$D$4:$D$1689,$B96,'апрель 2024'!$J$4:$J$1689,Y$1)</f>
        <v>0</v>
      </c>
      <c r="Z96" s="80">
        <f>SUMIFS('апрель 2024'!$G$4:$G$1689,'апрель 2024'!$D$4:$D$1689,$B96,'апрель 2024'!$J$4:$J$1689,Z$1)</f>
        <v>0</v>
      </c>
      <c r="AA96" s="80">
        <f>SUMIFS('апрель 2024'!$G$4:$G$1689,'апрель 2024'!$D$4:$D$1689,$B96,'апрель 2024'!$J$4:$J$1689,AA$1)</f>
        <v>0</v>
      </c>
      <c r="AB96" s="80">
        <f>SUMIFS('апрель 2024'!$G$4:$G$1689,'апрель 2024'!$D$4:$D$1689,$B96,'апрель 2024'!$J$4:$J$1689,AB$1)</f>
        <v>0</v>
      </c>
      <c r="AC96" s="80">
        <f>SUMIFS('апрель 2024'!$G$4:$G$1689,'апрель 2024'!$D$4:$D$1689,$B96,'апрель 2024'!$J$4:$J$1689,AC$1)</f>
        <v>0</v>
      </c>
      <c r="AD96" s="80">
        <f>SUMIFS('апрель 2024'!$G$4:$G$1689,'апрель 2024'!$D$4:$D$1689,$B96,'апрель 2024'!$J$4:$J$1689,AD$1)</f>
        <v>0</v>
      </c>
      <c r="AE96" s="80">
        <f>SUMIFS('апрель 2024'!$G$4:$G$1689,'апрель 2024'!$D$4:$D$1689,$B96,'апрель 2024'!$J$4:$J$1689,AE$1)</f>
        <v>0</v>
      </c>
      <c r="AF96" s="80">
        <f>SUMIFS('апрель 2024'!$G$4:$G$1689,'апрель 2024'!$D$4:$D$1689,$B96,'апрель 2024'!$J$4:$J$1689,AF$1)</f>
        <v>0</v>
      </c>
      <c r="AG96" s="80">
        <f>SUMIFS('апрель 2024'!$G$4:$G$1689,'апрель 2024'!$D$4:$D$1689,$B96,'апрель 2024'!$J$4:$J$1689,AG$1)</f>
        <v>0</v>
      </c>
      <c r="AH96" s="80">
        <f>SUMIFS('апрель 2024'!$G$4:$G$1689,'апрель 2024'!$D$4:$D$1689,$B96,'апрель 2024'!$J$4:$J$1689,AH$1)</f>
        <v>0</v>
      </c>
      <c r="AI96" s="21">
        <f t="shared" si="1"/>
        <v>0</v>
      </c>
    </row>
    <row r="97" spans="2:35" ht="15" customHeight="1" x14ac:dyDescent="0.25">
      <c r="B97" s="89" t="s">
        <v>324</v>
      </c>
      <c r="C97" s="88">
        <v>180</v>
      </c>
      <c r="D97" s="80">
        <f>SUMIFS('апрель 2024'!$G$4:$G$1689,'апрель 2024'!$D$4:$D$1689,$B97,'апрель 2024'!$J$4:$J$1689,D$1)</f>
        <v>0</v>
      </c>
      <c r="E97" s="80">
        <f>SUMIFS('апрель 2024'!$G$4:$G$1689,'апрель 2024'!$D$4:$D$1689,$B97,'апрель 2024'!$J$4:$J$1689,E$1)</f>
        <v>0</v>
      </c>
      <c r="F97" s="80">
        <f>SUMIFS('апрель 2024'!$G$4:$G$1689,'апрель 2024'!$D$4:$D$1689,$B97,'апрель 2024'!$J$4:$J$1689,F$1)</f>
        <v>0</v>
      </c>
      <c r="G97" s="80">
        <f>SUMIFS('апрель 2024'!$G$4:$G$1689,'апрель 2024'!$D$4:$D$1689,$B97,'апрель 2024'!$J$4:$J$1689,G$1)</f>
        <v>0</v>
      </c>
      <c r="H97" s="80">
        <f>SUMIFS('апрель 2024'!$G$4:$G$1689,'апрель 2024'!$D$4:$D$1689,$B97,'апрель 2024'!$J$4:$J$1689,H$1)</f>
        <v>0</v>
      </c>
      <c r="I97" s="80">
        <f>SUMIFS('апрель 2024'!$G$4:$G$1689,'апрель 2024'!$D$4:$D$1689,$B97,'апрель 2024'!$J$4:$J$1689,I$1)</f>
        <v>0</v>
      </c>
      <c r="J97" s="80">
        <f>SUMIFS('апрель 2024'!$G$4:$G$1689,'апрель 2024'!$D$4:$D$1689,$B97,'апрель 2024'!$J$4:$J$1689,J$1)</f>
        <v>0</v>
      </c>
      <c r="K97" s="80">
        <f>SUMIFS('апрель 2024'!$G$4:$G$1689,'апрель 2024'!$D$4:$D$1689,$B97,'апрель 2024'!$J$4:$J$1689,K$1)</f>
        <v>0</v>
      </c>
      <c r="L97" s="80">
        <f>SUMIFS('апрель 2024'!$G$4:$G$1689,'апрель 2024'!$D$4:$D$1689,$B97,'апрель 2024'!$J$4:$J$1689,L$1)</f>
        <v>0</v>
      </c>
      <c r="M97" s="80">
        <f>SUMIFS('апрель 2024'!$G$4:$G$1689,'апрель 2024'!$D$4:$D$1689,$B97,'апрель 2024'!$J$4:$J$1689,M$1)</f>
        <v>0</v>
      </c>
      <c r="N97" s="80">
        <f>SUMIFS('апрель 2024'!$G$4:$G$1689,'апрель 2024'!$D$4:$D$1689,$B97,'апрель 2024'!$J$4:$J$1689,N$1)</f>
        <v>0</v>
      </c>
      <c r="O97" s="80">
        <f>SUMIFS('апрель 2024'!$G$4:$G$1689,'апрель 2024'!$D$4:$D$1689,$B97,'апрель 2024'!$J$4:$J$1689,O$1)</f>
        <v>0</v>
      </c>
      <c r="P97" s="80">
        <f>SUMIFS('апрель 2024'!$G$4:$G$1689,'апрель 2024'!$D$4:$D$1689,$B97,'апрель 2024'!$J$4:$J$1689,P$1)</f>
        <v>0</v>
      </c>
      <c r="Q97" s="80">
        <f>SUMIFS('апрель 2024'!$G$4:$G$1689,'апрель 2024'!$D$4:$D$1689,$B97,'апрель 2024'!$J$4:$J$1689,Q$1)</f>
        <v>0</v>
      </c>
      <c r="R97" s="80">
        <f>SUMIFS('апрель 2024'!$G$4:$G$1689,'апрель 2024'!$D$4:$D$1689,$B97,'апрель 2024'!$J$4:$J$1689,R$1)</f>
        <v>0</v>
      </c>
      <c r="S97" s="80">
        <f>SUMIFS('апрель 2024'!$G$4:$G$1689,'апрель 2024'!$D$4:$D$1689,$B97,'апрель 2024'!$J$4:$J$1689,S$1)</f>
        <v>0</v>
      </c>
      <c r="T97" s="80">
        <f>SUMIFS('апрель 2024'!$G$4:$G$1689,'апрель 2024'!$D$4:$D$1689,$B97,'апрель 2024'!$J$4:$J$1689,T$1)</f>
        <v>0</v>
      </c>
      <c r="U97" s="80">
        <f>SUMIFS('апрель 2024'!$G$4:$G$1689,'апрель 2024'!$D$4:$D$1689,$B97,'апрель 2024'!$J$4:$J$1689,U$1)</f>
        <v>0</v>
      </c>
      <c r="V97" s="80">
        <f>SUMIFS('апрель 2024'!$G$4:$G$1689,'апрель 2024'!$D$4:$D$1689,$B97,'апрель 2024'!$J$4:$J$1689,V$1)</f>
        <v>0</v>
      </c>
      <c r="W97" s="80">
        <f>SUMIFS('апрель 2024'!$G$4:$G$1689,'апрель 2024'!$D$4:$D$1689,$B97,'апрель 2024'!$J$4:$J$1689,W$1)</f>
        <v>0</v>
      </c>
      <c r="X97" s="80">
        <f>SUMIFS('апрель 2024'!$G$4:$G$1689,'апрель 2024'!$D$4:$D$1689,$B97,'апрель 2024'!$J$4:$J$1689,X$1)</f>
        <v>0</v>
      </c>
      <c r="Y97" s="80">
        <f>SUMIFS('апрель 2024'!$G$4:$G$1689,'апрель 2024'!$D$4:$D$1689,$B97,'апрель 2024'!$J$4:$J$1689,Y$1)</f>
        <v>0</v>
      </c>
      <c r="Z97" s="80">
        <f>SUMIFS('апрель 2024'!$G$4:$G$1689,'апрель 2024'!$D$4:$D$1689,$B97,'апрель 2024'!$J$4:$J$1689,Z$1)</f>
        <v>0</v>
      </c>
      <c r="AA97" s="80">
        <f>SUMIFS('апрель 2024'!$G$4:$G$1689,'апрель 2024'!$D$4:$D$1689,$B97,'апрель 2024'!$J$4:$J$1689,AA$1)</f>
        <v>0</v>
      </c>
      <c r="AB97" s="80">
        <f>SUMIFS('апрель 2024'!$G$4:$G$1689,'апрель 2024'!$D$4:$D$1689,$B97,'апрель 2024'!$J$4:$J$1689,AB$1)</f>
        <v>0</v>
      </c>
      <c r="AC97" s="80">
        <f>SUMIFS('апрель 2024'!$G$4:$G$1689,'апрель 2024'!$D$4:$D$1689,$B97,'апрель 2024'!$J$4:$J$1689,AC$1)</f>
        <v>0</v>
      </c>
      <c r="AD97" s="80">
        <f>SUMIFS('апрель 2024'!$G$4:$G$1689,'апрель 2024'!$D$4:$D$1689,$B97,'апрель 2024'!$J$4:$J$1689,AD$1)</f>
        <v>0</v>
      </c>
      <c r="AE97" s="80">
        <f>SUMIFS('апрель 2024'!$G$4:$G$1689,'апрель 2024'!$D$4:$D$1689,$B97,'апрель 2024'!$J$4:$J$1689,AE$1)</f>
        <v>0</v>
      </c>
      <c r="AF97" s="80">
        <f>SUMIFS('апрель 2024'!$G$4:$G$1689,'апрель 2024'!$D$4:$D$1689,$B97,'апрель 2024'!$J$4:$J$1689,AF$1)</f>
        <v>0</v>
      </c>
      <c r="AG97" s="80">
        <f>SUMIFS('апрель 2024'!$G$4:$G$1689,'апрель 2024'!$D$4:$D$1689,$B97,'апрель 2024'!$J$4:$J$1689,AG$1)</f>
        <v>0</v>
      </c>
      <c r="AH97" s="80">
        <f>SUMIFS('апрель 2024'!$G$4:$G$1689,'апрель 2024'!$D$4:$D$1689,$B97,'апрель 2024'!$J$4:$J$1689,AH$1)</f>
        <v>0</v>
      </c>
      <c r="AI97" s="21">
        <f t="shared" si="1"/>
        <v>0</v>
      </c>
    </row>
    <row r="98" spans="2:35" ht="15" customHeight="1" x14ac:dyDescent="0.25">
      <c r="B98" s="93" t="s">
        <v>325</v>
      </c>
      <c r="C98" s="91">
        <v>200</v>
      </c>
      <c r="D98" s="80">
        <f>SUMIFS('апрель 2024'!$G$4:$G$1689,'апрель 2024'!$D$4:$D$1689,$B98,'апрель 2024'!$J$4:$J$1689,D$1)</f>
        <v>0</v>
      </c>
      <c r="E98" s="80">
        <f>SUMIFS('апрель 2024'!$G$4:$G$1689,'апрель 2024'!$D$4:$D$1689,$B98,'апрель 2024'!$J$4:$J$1689,E$1)</f>
        <v>0</v>
      </c>
      <c r="F98" s="80">
        <f>SUMIFS('апрель 2024'!$G$4:$G$1689,'апрель 2024'!$D$4:$D$1689,$B98,'апрель 2024'!$J$4:$J$1689,F$1)</f>
        <v>0</v>
      </c>
      <c r="G98" s="80">
        <f>SUMIFS('апрель 2024'!$G$4:$G$1689,'апрель 2024'!$D$4:$D$1689,$B98,'апрель 2024'!$J$4:$J$1689,G$1)</f>
        <v>0</v>
      </c>
      <c r="H98" s="80">
        <f>SUMIFS('апрель 2024'!$G$4:$G$1689,'апрель 2024'!$D$4:$D$1689,$B98,'апрель 2024'!$J$4:$J$1689,H$1)</f>
        <v>0</v>
      </c>
      <c r="I98" s="80">
        <f>SUMIFS('апрель 2024'!$G$4:$G$1689,'апрель 2024'!$D$4:$D$1689,$B98,'апрель 2024'!$J$4:$J$1689,I$1)</f>
        <v>0</v>
      </c>
      <c r="J98" s="80">
        <f>SUMIFS('апрель 2024'!$G$4:$G$1689,'апрель 2024'!$D$4:$D$1689,$B98,'апрель 2024'!$J$4:$J$1689,J$1)</f>
        <v>0</v>
      </c>
      <c r="K98" s="80">
        <f>SUMIFS('апрель 2024'!$G$4:$G$1689,'апрель 2024'!$D$4:$D$1689,$B98,'апрель 2024'!$J$4:$J$1689,K$1)</f>
        <v>0</v>
      </c>
      <c r="L98" s="80">
        <f>SUMIFS('апрель 2024'!$G$4:$G$1689,'апрель 2024'!$D$4:$D$1689,$B98,'апрель 2024'!$J$4:$J$1689,L$1)</f>
        <v>0</v>
      </c>
      <c r="M98" s="80">
        <f>SUMIFS('апрель 2024'!$G$4:$G$1689,'апрель 2024'!$D$4:$D$1689,$B98,'апрель 2024'!$J$4:$J$1689,M$1)</f>
        <v>0</v>
      </c>
      <c r="N98" s="80">
        <f>SUMIFS('апрель 2024'!$G$4:$G$1689,'апрель 2024'!$D$4:$D$1689,$B98,'апрель 2024'!$J$4:$J$1689,N$1)</f>
        <v>0</v>
      </c>
      <c r="O98" s="80">
        <f>SUMIFS('апрель 2024'!$G$4:$G$1689,'апрель 2024'!$D$4:$D$1689,$B98,'апрель 2024'!$J$4:$J$1689,O$1)</f>
        <v>0</v>
      </c>
      <c r="P98" s="80">
        <f>SUMIFS('апрель 2024'!$G$4:$G$1689,'апрель 2024'!$D$4:$D$1689,$B98,'апрель 2024'!$J$4:$J$1689,P$1)</f>
        <v>0</v>
      </c>
      <c r="Q98" s="80">
        <f>SUMIFS('апрель 2024'!$G$4:$G$1689,'апрель 2024'!$D$4:$D$1689,$B98,'апрель 2024'!$J$4:$J$1689,Q$1)</f>
        <v>0</v>
      </c>
      <c r="R98" s="80">
        <f>SUMIFS('апрель 2024'!$G$4:$G$1689,'апрель 2024'!$D$4:$D$1689,$B98,'апрель 2024'!$J$4:$J$1689,R$1)</f>
        <v>0</v>
      </c>
      <c r="S98" s="80">
        <f>SUMIFS('апрель 2024'!$G$4:$G$1689,'апрель 2024'!$D$4:$D$1689,$B98,'апрель 2024'!$J$4:$J$1689,S$1)</f>
        <v>0</v>
      </c>
      <c r="T98" s="80">
        <f>SUMIFS('апрель 2024'!$G$4:$G$1689,'апрель 2024'!$D$4:$D$1689,$B98,'апрель 2024'!$J$4:$J$1689,T$1)</f>
        <v>0</v>
      </c>
      <c r="U98" s="80">
        <f>SUMIFS('апрель 2024'!$G$4:$G$1689,'апрель 2024'!$D$4:$D$1689,$B98,'апрель 2024'!$J$4:$J$1689,U$1)</f>
        <v>0</v>
      </c>
      <c r="V98" s="80">
        <f>SUMIFS('апрель 2024'!$G$4:$G$1689,'апрель 2024'!$D$4:$D$1689,$B98,'апрель 2024'!$J$4:$J$1689,V$1)</f>
        <v>0</v>
      </c>
      <c r="W98" s="80">
        <f>SUMIFS('апрель 2024'!$G$4:$G$1689,'апрель 2024'!$D$4:$D$1689,$B98,'апрель 2024'!$J$4:$J$1689,W$1)</f>
        <v>0</v>
      </c>
      <c r="X98" s="80">
        <f>SUMIFS('апрель 2024'!$G$4:$G$1689,'апрель 2024'!$D$4:$D$1689,$B98,'апрель 2024'!$J$4:$J$1689,X$1)</f>
        <v>0</v>
      </c>
      <c r="Y98" s="80">
        <f>SUMIFS('апрель 2024'!$G$4:$G$1689,'апрель 2024'!$D$4:$D$1689,$B98,'апрель 2024'!$J$4:$J$1689,Y$1)</f>
        <v>0</v>
      </c>
      <c r="Z98" s="80">
        <f>SUMIFS('апрель 2024'!$G$4:$G$1689,'апрель 2024'!$D$4:$D$1689,$B98,'апрель 2024'!$J$4:$J$1689,Z$1)</f>
        <v>0</v>
      </c>
      <c r="AA98" s="80">
        <f>SUMIFS('апрель 2024'!$G$4:$G$1689,'апрель 2024'!$D$4:$D$1689,$B98,'апрель 2024'!$J$4:$J$1689,AA$1)</f>
        <v>0</v>
      </c>
      <c r="AB98" s="80">
        <f>SUMIFS('апрель 2024'!$G$4:$G$1689,'апрель 2024'!$D$4:$D$1689,$B98,'апрель 2024'!$J$4:$J$1689,AB$1)</f>
        <v>0</v>
      </c>
      <c r="AC98" s="80">
        <f>SUMIFS('апрель 2024'!$G$4:$G$1689,'апрель 2024'!$D$4:$D$1689,$B98,'апрель 2024'!$J$4:$J$1689,AC$1)</f>
        <v>0</v>
      </c>
      <c r="AD98" s="80">
        <f>SUMIFS('апрель 2024'!$G$4:$G$1689,'апрель 2024'!$D$4:$D$1689,$B98,'апрель 2024'!$J$4:$J$1689,AD$1)</f>
        <v>0</v>
      </c>
      <c r="AE98" s="80">
        <f>SUMIFS('апрель 2024'!$G$4:$G$1689,'апрель 2024'!$D$4:$D$1689,$B98,'апрель 2024'!$J$4:$J$1689,AE$1)</f>
        <v>0</v>
      </c>
      <c r="AF98" s="80">
        <f>SUMIFS('апрель 2024'!$G$4:$G$1689,'апрель 2024'!$D$4:$D$1689,$B98,'апрель 2024'!$J$4:$J$1689,AF$1)</f>
        <v>0</v>
      </c>
      <c r="AG98" s="80">
        <f>SUMIFS('апрель 2024'!$G$4:$G$1689,'апрель 2024'!$D$4:$D$1689,$B98,'апрель 2024'!$J$4:$J$1689,AG$1)</f>
        <v>0</v>
      </c>
      <c r="AH98" s="80">
        <f>SUMIFS('апрель 2024'!$G$4:$G$1689,'апрель 2024'!$D$4:$D$1689,$B98,'апрель 2024'!$J$4:$J$1689,AH$1)</f>
        <v>0</v>
      </c>
      <c r="AI98" s="21">
        <f t="shared" si="1"/>
        <v>0</v>
      </c>
    </row>
    <row r="99" spans="2:35" ht="15" customHeight="1" x14ac:dyDescent="0.25">
      <c r="B99" s="93" t="s">
        <v>190</v>
      </c>
      <c r="C99" s="91">
        <v>200</v>
      </c>
      <c r="D99" s="80">
        <f>SUMIFS('апрель 2024'!$G$4:$G$1689,'апрель 2024'!$D$4:$D$1689,$B99,'апрель 2024'!$J$4:$J$1689,D$1)</f>
        <v>0</v>
      </c>
      <c r="E99" s="80">
        <f>SUMIFS('апрель 2024'!$G$4:$G$1689,'апрель 2024'!$D$4:$D$1689,$B99,'апрель 2024'!$J$4:$J$1689,E$1)</f>
        <v>0</v>
      </c>
      <c r="F99" s="80">
        <f>SUMIFS('апрель 2024'!$G$4:$G$1689,'апрель 2024'!$D$4:$D$1689,$B99,'апрель 2024'!$J$4:$J$1689,F$1)</f>
        <v>0</v>
      </c>
      <c r="G99" s="80">
        <f>SUMIFS('апрель 2024'!$G$4:$G$1689,'апрель 2024'!$D$4:$D$1689,$B99,'апрель 2024'!$J$4:$J$1689,G$1)</f>
        <v>0</v>
      </c>
      <c r="H99" s="80">
        <f>SUMIFS('апрель 2024'!$G$4:$G$1689,'апрель 2024'!$D$4:$D$1689,$B99,'апрель 2024'!$J$4:$J$1689,H$1)</f>
        <v>0</v>
      </c>
      <c r="I99" s="80">
        <f>SUMIFS('апрель 2024'!$G$4:$G$1689,'апрель 2024'!$D$4:$D$1689,$B99,'апрель 2024'!$J$4:$J$1689,I$1)</f>
        <v>0</v>
      </c>
      <c r="J99" s="80">
        <f>SUMIFS('апрель 2024'!$G$4:$G$1689,'апрель 2024'!$D$4:$D$1689,$B99,'апрель 2024'!$J$4:$J$1689,J$1)</f>
        <v>0</v>
      </c>
      <c r="K99" s="80">
        <f>SUMIFS('апрель 2024'!$G$4:$G$1689,'апрель 2024'!$D$4:$D$1689,$B99,'апрель 2024'!$J$4:$J$1689,K$1)</f>
        <v>0</v>
      </c>
      <c r="L99" s="80">
        <f>SUMIFS('апрель 2024'!$G$4:$G$1689,'апрель 2024'!$D$4:$D$1689,$B99,'апрель 2024'!$J$4:$J$1689,L$1)</f>
        <v>0</v>
      </c>
      <c r="M99" s="80">
        <f>SUMIFS('апрель 2024'!$G$4:$G$1689,'апрель 2024'!$D$4:$D$1689,$B99,'апрель 2024'!$J$4:$J$1689,M$1)</f>
        <v>0</v>
      </c>
      <c r="N99" s="80">
        <f>SUMIFS('апрель 2024'!$G$4:$G$1689,'апрель 2024'!$D$4:$D$1689,$B99,'апрель 2024'!$J$4:$J$1689,N$1)</f>
        <v>0</v>
      </c>
      <c r="O99" s="80">
        <f>SUMIFS('апрель 2024'!$G$4:$G$1689,'апрель 2024'!$D$4:$D$1689,$B99,'апрель 2024'!$J$4:$J$1689,O$1)</f>
        <v>0</v>
      </c>
      <c r="P99" s="80">
        <f>SUMIFS('апрель 2024'!$G$4:$G$1689,'апрель 2024'!$D$4:$D$1689,$B99,'апрель 2024'!$J$4:$J$1689,P$1)</f>
        <v>0</v>
      </c>
      <c r="Q99" s="80">
        <f>SUMIFS('апрель 2024'!$G$4:$G$1689,'апрель 2024'!$D$4:$D$1689,$B99,'апрель 2024'!$J$4:$J$1689,Q$1)</f>
        <v>0</v>
      </c>
      <c r="R99" s="80">
        <f>SUMIFS('апрель 2024'!$G$4:$G$1689,'апрель 2024'!$D$4:$D$1689,$B99,'апрель 2024'!$J$4:$J$1689,R$1)</f>
        <v>0</v>
      </c>
      <c r="S99" s="80">
        <f>SUMIFS('апрель 2024'!$G$4:$G$1689,'апрель 2024'!$D$4:$D$1689,$B99,'апрель 2024'!$J$4:$J$1689,S$1)</f>
        <v>0</v>
      </c>
      <c r="T99" s="80">
        <f>SUMIFS('апрель 2024'!$G$4:$G$1689,'апрель 2024'!$D$4:$D$1689,$B99,'апрель 2024'!$J$4:$J$1689,T$1)</f>
        <v>0</v>
      </c>
      <c r="U99" s="80">
        <f>SUMIFS('апрель 2024'!$G$4:$G$1689,'апрель 2024'!$D$4:$D$1689,$B99,'апрель 2024'!$J$4:$J$1689,U$1)</f>
        <v>0</v>
      </c>
      <c r="V99" s="80">
        <f>SUMIFS('апрель 2024'!$G$4:$G$1689,'апрель 2024'!$D$4:$D$1689,$B99,'апрель 2024'!$J$4:$J$1689,V$1)</f>
        <v>0</v>
      </c>
      <c r="W99" s="80">
        <f>SUMIFS('апрель 2024'!$G$4:$G$1689,'апрель 2024'!$D$4:$D$1689,$B99,'апрель 2024'!$J$4:$J$1689,W$1)</f>
        <v>0</v>
      </c>
      <c r="X99" s="80">
        <f>SUMIFS('апрель 2024'!$G$4:$G$1689,'апрель 2024'!$D$4:$D$1689,$B99,'апрель 2024'!$J$4:$J$1689,X$1)</f>
        <v>0</v>
      </c>
      <c r="Y99" s="80">
        <f>SUMIFS('апрель 2024'!$G$4:$G$1689,'апрель 2024'!$D$4:$D$1689,$B99,'апрель 2024'!$J$4:$J$1689,Y$1)</f>
        <v>0</v>
      </c>
      <c r="Z99" s="80">
        <f>SUMIFS('апрель 2024'!$G$4:$G$1689,'апрель 2024'!$D$4:$D$1689,$B99,'апрель 2024'!$J$4:$J$1689,Z$1)</f>
        <v>0</v>
      </c>
      <c r="AA99" s="80">
        <f>SUMIFS('апрель 2024'!$G$4:$G$1689,'апрель 2024'!$D$4:$D$1689,$B99,'апрель 2024'!$J$4:$J$1689,AA$1)</f>
        <v>0</v>
      </c>
      <c r="AB99" s="80">
        <f>SUMIFS('апрель 2024'!$G$4:$G$1689,'апрель 2024'!$D$4:$D$1689,$B99,'апрель 2024'!$J$4:$J$1689,AB$1)</f>
        <v>0</v>
      </c>
      <c r="AC99" s="80">
        <f>SUMIFS('апрель 2024'!$G$4:$G$1689,'апрель 2024'!$D$4:$D$1689,$B99,'апрель 2024'!$J$4:$J$1689,AC$1)</f>
        <v>0</v>
      </c>
      <c r="AD99" s="80">
        <f>SUMIFS('апрель 2024'!$G$4:$G$1689,'апрель 2024'!$D$4:$D$1689,$B99,'апрель 2024'!$J$4:$J$1689,AD$1)</f>
        <v>0</v>
      </c>
      <c r="AE99" s="80">
        <f>SUMIFS('апрель 2024'!$G$4:$G$1689,'апрель 2024'!$D$4:$D$1689,$B99,'апрель 2024'!$J$4:$J$1689,AE$1)</f>
        <v>0</v>
      </c>
      <c r="AF99" s="80">
        <f>SUMIFS('апрель 2024'!$G$4:$G$1689,'апрель 2024'!$D$4:$D$1689,$B99,'апрель 2024'!$J$4:$J$1689,AF$1)</f>
        <v>0</v>
      </c>
      <c r="AG99" s="80">
        <f>SUMIFS('апрель 2024'!$G$4:$G$1689,'апрель 2024'!$D$4:$D$1689,$B99,'апрель 2024'!$J$4:$J$1689,AG$1)</f>
        <v>0</v>
      </c>
      <c r="AH99" s="80">
        <f>SUMIFS('апрель 2024'!$G$4:$G$1689,'апрель 2024'!$D$4:$D$1689,$B99,'апрель 2024'!$J$4:$J$1689,AH$1)</f>
        <v>0</v>
      </c>
      <c r="AI99" s="21">
        <f t="shared" si="1"/>
        <v>0</v>
      </c>
    </row>
    <row r="100" spans="2:35" ht="15" customHeight="1" x14ac:dyDescent="0.25">
      <c r="B100" s="93" t="s">
        <v>326</v>
      </c>
      <c r="C100" s="91">
        <v>200</v>
      </c>
      <c r="D100" s="80">
        <f>SUMIFS('апрель 2024'!$G$4:$G$1689,'апрель 2024'!$D$4:$D$1689,$B100,'апрель 2024'!$J$4:$J$1689,D$1)</f>
        <v>0</v>
      </c>
      <c r="E100" s="80">
        <f>SUMIFS('апрель 2024'!$G$4:$G$1689,'апрель 2024'!$D$4:$D$1689,$B100,'апрель 2024'!$J$4:$J$1689,E$1)</f>
        <v>0</v>
      </c>
      <c r="F100" s="80">
        <f>SUMIFS('апрель 2024'!$G$4:$G$1689,'апрель 2024'!$D$4:$D$1689,$B100,'апрель 2024'!$J$4:$J$1689,F$1)</f>
        <v>0</v>
      </c>
      <c r="G100" s="80">
        <f>SUMIFS('апрель 2024'!$G$4:$G$1689,'апрель 2024'!$D$4:$D$1689,$B100,'апрель 2024'!$J$4:$J$1689,G$1)</f>
        <v>0</v>
      </c>
      <c r="H100" s="80">
        <f>SUMIFS('апрель 2024'!$G$4:$G$1689,'апрель 2024'!$D$4:$D$1689,$B100,'апрель 2024'!$J$4:$J$1689,H$1)</f>
        <v>0</v>
      </c>
      <c r="I100" s="80">
        <f>SUMIFS('апрель 2024'!$G$4:$G$1689,'апрель 2024'!$D$4:$D$1689,$B100,'апрель 2024'!$J$4:$J$1689,I$1)</f>
        <v>0</v>
      </c>
      <c r="J100" s="80">
        <f>SUMIFS('апрель 2024'!$G$4:$G$1689,'апрель 2024'!$D$4:$D$1689,$B100,'апрель 2024'!$J$4:$J$1689,J$1)</f>
        <v>0</v>
      </c>
      <c r="K100" s="80">
        <f>SUMIFS('апрель 2024'!$G$4:$G$1689,'апрель 2024'!$D$4:$D$1689,$B100,'апрель 2024'!$J$4:$J$1689,K$1)</f>
        <v>0</v>
      </c>
      <c r="L100" s="80">
        <f>SUMIFS('апрель 2024'!$G$4:$G$1689,'апрель 2024'!$D$4:$D$1689,$B100,'апрель 2024'!$J$4:$J$1689,L$1)</f>
        <v>0</v>
      </c>
      <c r="M100" s="80">
        <f>SUMIFS('апрель 2024'!$G$4:$G$1689,'апрель 2024'!$D$4:$D$1689,$B100,'апрель 2024'!$J$4:$J$1689,M$1)</f>
        <v>0</v>
      </c>
      <c r="N100" s="80">
        <f>SUMIFS('апрель 2024'!$G$4:$G$1689,'апрель 2024'!$D$4:$D$1689,$B100,'апрель 2024'!$J$4:$J$1689,N$1)</f>
        <v>0</v>
      </c>
      <c r="O100" s="80">
        <f>SUMIFS('апрель 2024'!$G$4:$G$1689,'апрель 2024'!$D$4:$D$1689,$B100,'апрель 2024'!$J$4:$J$1689,O$1)</f>
        <v>0</v>
      </c>
      <c r="P100" s="80">
        <f>SUMIFS('апрель 2024'!$G$4:$G$1689,'апрель 2024'!$D$4:$D$1689,$B100,'апрель 2024'!$J$4:$J$1689,P$1)</f>
        <v>0</v>
      </c>
      <c r="Q100" s="80">
        <f>SUMIFS('апрель 2024'!$G$4:$G$1689,'апрель 2024'!$D$4:$D$1689,$B100,'апрель 2024'!$J$4:$J$1689,Q$1)</f>
        <v>0</v>
      </c>
      <c r="R100" s="80">
        <f>SUMIFS('апрель 2024'!$G$4:$G$1689,'апрель 2024'!$D$4:$D$1689,$B100,'апрель 2024'!$J$4:$J$1689,R$1)</f>
        <v>0</v>
      </c>
      <c r="S100" s="80">
        <f>SUMIFS('апрель 2024'!$G$4:$G$1689,'апрель 2024'!$D$4:$D$1689,$B100,'апрель 2024'!$J$4:$J$1689,S$1)</f>
        <v>0</v>
      </c>
      <c r="T100" s="80">
        <f>SUMIFS('апрель 2024'!$G$4:$G$1689,'апрель 2024'!$D$4:$D$1689,$B100,'апрель 2024'!$J$4:$J$1689,T$1)</f>
        <v>0</v>
      </c>
      <c r="U100" s="80">
        <f>SUMIFS('апрель 2024'!$G$4:$G$1689,'апрель 2024'!$D$4:$D$1689,$B100,'апрель 2024'!$J$4:$J$1689,U$1)</f>
        <v>0</v>
      </c>
      <c r="V100" s="80">
        <f>SUMIFS('апрель 2024'!$G$4:$G$1689,'апрель 2024'!$D$4:$D$1689,$B100,'апрель 2024'!$J$4:$J$1689,V$1)</f>
        <v>0</v>
      </c>
      <c r="W100" s="80">
        <f>SUMIFS('апрель 2024'!$G$4:$G$1689,'апрель 2024'!$D$4:$D$1689,$B100,'апрель 2024'!$J$4:$J$1689,W$1)</f>
        <v>0</v>
      </c>
      <c r="X100" s="80">
        <f>SUMIFS('апрель 2024'!$G$4:$G$1689,'апрель 2024'!$D$4:$D$1689,$B100,'апрель 2024'!$J$4:$J$1689,X$1)</f>
        <v>0</v>
      </c>
      <c r="Y100" s="80">
        <f>SUMIFS('апрель 2024'!$G$4:$G$1689,'апрель 2024'!$D$4:$D$1689,$B100,'апрель 2024'!$J$4:$J$1689,Y$1)</f>
        <v>0</v>
      </c>
      <c r="Z100" s="80">
        <f>SUMIFS('апрель 2024'!$G$4:$G$1689,'апрель 2024'!$D$4:$D$1689,$B100,'апрель 2024'!$J$4:$J$1689,Z$1)</f>
        <v>0</v>
      </c>
      <c r="AA100" s="80">
        <f>SUMIFS('апрель 2024'!$G$4:$G$1689,'апрель 2024'!$D$4:$D$1689,$B100,'апрель 2024'!$J$4:$J$1689,AA$1)</f>
        <v>0</v>
      </c>
      <c r="AB100" s="80">
        <f>SUMIFS('апрель 2024'!$G$4:$G$1689,'апрель 2024'!$D$4:$D$1689,$B100,'апрель 2024'!$J$4:$J$1689,AB$1)</f>
        <v>0</v>
      </c>
      <c r="AC100" s="80">
        <f>SUMIFS('апрель 2024'!$G$4:$G$1689,'апрель 2024'!$D$4:$D$1689,$B100,'апрель 2024'!$J$4:$J$1689,AC$1)</f>
        <v>0</v>
      </c>
      <c r="AD100" s="80">
        <f>SUMIFS('апрель 2024'!$G$4:$G$1689,'апрель 2024'!$D$4:$D$1689,$B100,'апрель 2024'!$J$4:$J$1689,AD$1)</f>
        <v>0</v>
      </c>
      <c r="AE100" s="80">
        <f>SUMIFS('апрель 2024'!$G$4:$G$1689,'апрель 2024'!$D$4:$D$1689,$B100,'апрель 2024'!$J$4:$J$1689,AE$1)</f>
        <v>0</v>
      </c>
      <c r="AF100" s="80">
        <f>SUMIFS('апрель 2024'!$G$4:$G$1689,'апрель 2024'!$D$4:$D$1689,$B100,'апрель 2024'!$J$4:$J$1689,AF$1)</f>
        <v>0</v>
      </c>
      <c r="AG100" s="80">
        <f>SUMIFS('апрель 2024'!$G$4:$G$1689,'апрель 2024'!$D$4:$D$1689,$B100,'апрель 2024'!$J$4:$J$1689,AG$1)</f>
        <v>0</v>
      </c>
      <c r="AH100" s="80">
        <f>SUMIFS('апрель 2024'!$G$4:$G$1689,'апрель 2024'!$D$4:$D$1689,$B100,'апрель 2024'!$J$4:$J$1689,AH$1)</f>
        <v>0</v>
      </c>
      <c r="AI100" s="21">
        <f t="shared" si="1"/>
        <v>0</v>
      </c>
    </row>
    <row r="101" spans="2:35" ht="15" customHeight="1" x14ac:dyDescent="0.25">
      <c r="B101" s="93" t="s">
        <v>327</v>
      </c>
      <c r="C101" s="91">
        <v>200</v>
      </c>
      <c r="D101" s="80">
        <f>SUMIFS('апрель 2024'!$G$4:$G$1689,'апрель 2024'!$D$4:$D$1689,$B101,'апрель 2024'!$J$4:$J$1689,D$1)</f>
        <v>0</v>
      </c>
      <c r="E101" s="80">
        <f>SUMIFS('апрель 2024'!$G$4:$G$1689,'апрель 2024'!$D$4:$D$1689,$B101,'апрель 2024'!$J$4:$J$1689,E$1)</f>
        <v>0</v>
      </c>
      <c r="F101" s="80">
        <f>SUMIFS('апрель 2024'!$G$4:$G$1689,'апрель 2024'!$D$4:$D$1689,$B101,'апрель 2024'!$J$4:$J$1689,F$1)</f>
        <v>0</v>
      </c>
      <c r="G101" s="80">
        <f>SUMIFS('апрель 2024'!$G$4:$G$1689,'апрель 2024'!$D$4:$D$1689,$B101,'апрель 2024'!$J$4:$J$1689,G$1)</f>
        <v>0</v>
      </c>
      <c r="H101" s="80">
        <f>SUMIFS('апрель 2024'!$G$4:$G$1689,'апрель 2024'!$D$4:$D$1689,$B101,'апрель 2024'!$J$4:$J$1689,H$1)</f>
        <v>0</v>
      </c>
      <c r="I101" s="80">
        <f>SUMIFS('апрель 2024'!$G$4:$G$1689,'апрель 2024'!$D$4:$D$1689,$B101,'апрель 2024'!$J$4:$J$1689,I$1)</f>
        <v>0</v>
      </c>
      <c r="J101" s="80">
        <f>SUMIFS('апрель 2024'!$G$4:$G$1689,'апрель 2024'!$D$4:$D$1689,$B101,'апрель 2024'!$J$4:$J$1689,J$1)</f>
        <v>0</v>
      </c>
      <c r="K101" s="80">
        <f>SUMIFS('апрель 2024'!$G$4:$G$1689,'апрель 2024'!$D$4:$D$1689,$B101,'апрель 2024'!$J$4:$J$1689,K$1)</f>
        <v>0</v>
      </c>
      <c r="L101" s="80">
        <f>SUMIFS('апрель 2024'!$G$4:$G$1689,'апрель 2024'!$D$4:$D$1689,$B101,'апрель 2024'!$J$4:$J$1689,L$1)</f>
        <v>0</v>
      </c>
      <c r="M101" s="80">
        <f>SUMIFS('апрель 2024'!$G$4:$G$1689,'апрель 2024'!$D$4:$D$1689,$B101,'апрель 2024'!$J$4:$J$1689,M$1)</f>
        <v>0</v>
      </c>
      <c r="N101" s="80">
        <f>SUMIFS('апрель 2024'!$G$4:$G$1689,'апрель 2024'!$D$4:$D$1689,$B101,'апрель 2024'!$J$4:$J$1689,N$1)</f>
        <v>0</v>
      </c>
      <c r="O101" s="80">
        <f>SUMIFS('апрель 2024'!$G$4:$G$1689,'апрель 2024'!$D$4:$D$1689,$B101,'апрель 2024'!$J$4:$J$1689,O$1)</f>
        <v>0</v>
      </c>
      <c r="P101" s="80">
        <f>SUMIFS('апрель 2024'!$G$4:$G$1689,'апрель 2024'!$D$4:$D$1689,$B101,'апрель 2024'!$J$4:$J$1689,P$1)</f>
        <v>0</v>
      </c>
      <c r="Q101" s="80">
        <f>SUMIFS('апрель 2024'!$G$4:$G$1689,'апрель 2024'!$D$4:$D$1689,$B101,'апрель 2024'!$J$4:$J$1689,Q$1)</f>
        <v>0</v>
      </c>
      <c r="R101" s="80">
        <f>SUMIFS('апрель 2024'!$G$4:$G$1689,'апрель 2024'!$D$4:$D$1689,$B101,'апрель 2024'!$J$4:$J$1689,R$1)</f>
        <v>0</v>
      </c>
      <c r="S101" s="80">
        <f>SUMIFS('апрель 2024'!$G$4:$G$1689,'апрель 2024'!$D$4:$D$1689,$B101,'апрель 2024'!$J$4:$J$1689,S$1)</f>
        <v>0</v>
      </c>
      <c r="T101" s="80">
        <f>SUMIFS('апрель 2024'!$G$4:$G$1689,'апрель 2024'!$D$4:$D$1689,$B101,'апрель 2024'!$J$4:$J$1689,T$1)</f>
        <v>0</v>
      </c>
      <c r="U101" s="80">
        <f>SUMIFS('апрель 2024'!$G$4:$G$1689,'апрель 2024'!$D$4:$D$1689,$B101,'апрель 2024'!$J$4:$J$1689,U$1)</f>
        <v>0</v>
      </c>
      <c r="V101" s="80">
        <f>SUMIFS('апрель 2024'!$G$4:$G$1689,'апрель 2024'!$D$4:$D$1689,$B101,'апрель 2024'!$J$4:$J$1689,V$1)</f>
        <v>0</v>
      </c>
      <c r="W101" s="80">
        <f>SUMIFS('апрель 2024'!$G$4:$G$1689,'апрель 2024'!$D$4:$D$1689,$B101,'апрель 2024'!$J$4:$J$1689,W$1)</f>
        <v>0</v>
      </c>
      <c r="X101" s="80">
        <f>SUMIFS('апрель 2024'!$G$4:$G$1689,'апрель 2024'!$D$4:$D$1689,$B101,'апрель 2024'!$J$4:$J$1689,X$1)</f>
        <v>0</v>
      </c>
      <c r="Y101" s="80">
        <f>SUMIFS('апрель 2024'!$G$4:$G$1689,'апрель 2024'!$D$4:$D$1689,$B101,'апрель 2024'!$J$4:$J$1689,Y$1)</f>
        <v>0</v>
      </c>
      <c r="Z101" s="80">
        <f>SUMIFS('апрель 2024'!$G$4:$G$1689,'апрель 2024'!$D$4:$D$1689,$B101,'апрель 2024'!$J$4:$J$1689,Z$1)</f>
        <v>0</v>
      </c>
      <c r="AA101" s="80">
        <f>SUMIFS('апрель 2024'!$G$4:$G$1689,'апрель 2024'!$D$4:$D$1689,$B101,'апрель 2024'!$J$4:$J$1689,AA$1)</f>
        <v>0</v>
      </c>
      <c r="AB101" s="80">
        <f>SUMIFS('апрель 2024'!$G$4:$G$1689,'апрель 2024'!$D$4:$D$1689,$B101,'апрель 2024'!$J$4:$J$1689,AB$1)</f>
        <v>0</v>
      </c>
      <c r="AC101" s="80">
        <f>SUMIFS('апрель 2024'!$G$4:$G$1689,'апрель 2024'!$D$4:$D$1689,$B101,'апрель 2024'!$J$4:$J$1689,AC$1)</f>
        <v>0</v>
      </c>
      <c r="AD101" s="80">
        <f>SUMIFS('апрель 2024'!$G$4:$G$1689,'апрель 2024'!$D$4:$D$1689,$B101,'апрель 2024'!$J$4:$J$1689,AD$1)</f>
        <v>0</v>
      </c>
      <c r="AE101" s="80">
        <f>SUMIFS('апрель 2024'!$G$4:$G$1689,'апрель 2024'!$D$4:$D$1689,$B101,'апрель 2024'!$J$4:$J$1689,AE$1)</f>
        <v>0</v>
      </c>
      <c r="AF101" s="80">
        <f>SUMIFS('апрель 2024'!$G$4:$G$1689,'апрель 2024'!$D$4:$D$1689,$B101,'апрель 2024'!$J$4:$J$1689,AF$1)</f>
        <v>0</v>
      </c>
      <c r="AG101" s="80">
        <f>SUMIFS('апрель 2024'!$G$4:$G$1689,'апрель 2024'!$D$4:$D$1689,$B101,'апрель 2024'!$J$4:$J$1689,AG$1)</f>
        <v>0</v>
      </c>
      <c r="AH101" s="80">
        <f>SUMIFS('апрель 2024'!$G$4:$G$1689,'апрель 2024'!$D$4:$D$1689,$B101,'апрель 2024'!$J$4:$J$1689,AH$1)</f>
        <v>0</v>
      </c>
      <c r="AI101" s="21">
        <f t="shared" si="1"/>
        <v>0</v>
      </c>
    </row>
    <row r="102" spans="2:35" ht="15" customHeight="1" x14ac:dyDescent="0.25">
      <c r="B102" s="89" t="s">
        <v>223</v>
      </c>
      <c r="C102" s="88">
        <v>25</v>
      </c>
      <c r="D102" s="80">
        <f>SUMIFS('апрель 2024'!$G$4:$G$1689,'апрель 2024'!$D$4:$D$1689,$B102,'апрель 2024'!$J$4:$J$1689,D$1)</f>
        <v>0</v>
      </c>
      <c r="E102" s="80">
        <f>SUMIFS('апрель 2024'!$G$4:$G$1689,'апрель 2024'!$D$4:$D$1689,$B102,'апрель 2024'!$J$4:$J$1689,E$1)</f>
        <v>0</v>
      </c>
      <c r="F102" s="80">
        <f>SUMIFS('апрель 2024'!$G$4:$G$1689,'апрель 2024'!$D$4:$D$1689,$B102,'апрель 2024'!$J$4:$J$1689,F$1)</f>
        <v>0</v>
      </c>
      <c r="G102" s="80">
        <f>SUMIFS('апрель 2024'!$G$4:$G$1689,'апрель 2024'!$D$4:$D$1689,$B102,'апрель 2024'!$J$4:$J$1689,G$1)</f>
        <v>0</v>
      </c>
      <c r="H102" s="80">
        <f>SUMIFS('апрель 2024'!$G$4:$G$1689,'апрель 2024'!$D$4:$D$1689,$B102,'апрель 2024'!$J$4:$J$1689,H$1)</f>
        <v>0</v>
      </c>
      <c r="I102" s="80">
        <f>SUMIFS('апрель 2024'!$G$4:$G$1689,'апрель 2024'!$D$4:$D$1689,$B102,'апрель 2024'!$J$4:$J$1689,I$1)</f>
        <v>0</v>
      </c>
      <c r="J102" s="80">
        <f>SUMIFS('апрель 2024'!$G$4:$G$1689,'апрель 2024'!$D$4:$D$1689,$B102,'апрель 2024'!$J$4:$J$1689,J$1)</f>
        <v>0</v>
      </c>
      <c r="K102" s="80">
        <f>SUMIFS('апрель 2024'!$G$4:$G$1689,'апрель 2024'!$D$4:$D$1689,$B102,'апрель 2024'!$J$4:$J$1689,K$1)</f>
        <v>0</v>
      </c>
      <c r="L102" s="80">
        <f>SUMIFS('апрель 2024'!$G$4:$G$1689,'апрель 2024'!$D$4:$D$1689,$B102,'апрель 2024'!$J$4:$J$1689,L$1)</f>
        <v>0</v>
      </c>
      <c r="M102" s="80">
        <f>SUMIFS('апрель 2024'!$G$4:$G$1689,'апрель 2024'!$D$4:$D$1689,$B102,'апрель 2024'!$J$4:$J$1689,M$1)</f>
        <v>0</v>
      </c>
      <c r="N102" s="80">
        <f>SUMIFS('апрель 2024'!$G$4:$G$1689,'апрель 2024'!$D$4:$D$1689,$B102,'апрель 2024'!$J$4:$J$1689,N$1)</f>
        <v>0</v>
      </c>
      <c r="O102" s="80">
        <f>SUMIFS('апрель 2024'!$G$4:$G$1689,'апрель 2024'!$D$4:$D$1689,$B102,'апрель 2024'!$J$4:$J$1689,O$1)</f>
        <v>0</v>
      </c>
      <c r="P102" s="80">
        <f>SUMIFS('апрель 2024'!$G$4:$G$1689,'апрель 2024'!$D$4:$D$1689,$B102,'апрель 2024'!$J$4:$J$1689,P$1)</f>
        <v>0</v>
      </c>
      <c r="Q102" s="80">
        <f>SUMIFS('апрель 2024'!$G$4:$G$1689,'апрель 2024'!$D$4:$D$1689,$B102,'апрель 2024'!$J$4:$J$1689,Q$1)</f>
        <v>0</v>
      </c>
      <c r="R102" s="80">
        <f>SUMIFS('апрель 2024'!$G$4:$G$1689,'апрель 2024'!$D$4:$D$1689,$B102,'апрель 2024'!$J$4:$J$1689,R$1)</f>
        <v>0</v>
      </c>
      <c r="S102" s="80">
        <f>SUMIFS('апрель 2024'!$G$4:$G$1689,'апрель 2024'!$D$4:$D$1689,$B102,'апрель 2024'!$J$4:$J$1689,S$1)</f>
        <v>0</v>
      </c>
      <c r="T102" s="80">
        <f>SUMIFS('апрель 2024'!$G$4:$G$1689,'апрель 2024'!$D$4:$D$1689,$B102,'апрель 2024'!$J$4:$J$1689,T$1)</f>
        <v>0</v>
      </c>
      <c r="U102" s="80">
        <f>SUMIFS('апрель 2024'!$G$4:$G$1689,'апрель 2024'!$D$4:$D$1689,$B102,'апрель 2024'!$J$4:$J$1689,U$1)</f>
        <v>0</v>
      </c>
      <c r="V102" s="80">
        <f>SUMIFS('апрель 2024'!$G$4:$G$1689,'апрель 2024'!$D$4:$D$1689,$B102,'апрель 2024'!$J$4:$J$1689,V$1)</f>
        <v>0</v>
      </c>
      <c r="W102" s="80">
        <f>SUMIFS('апрель 2024'!$G$4:$G$1689,'апрель 2024'!$D$4:$D$1689,$B102,'апрель 2024'!$J$4:$J$1689,W$1)</f>
        <v>0</v>
      </c>
      <c r="X102" s="80">
        <f>SUMIFS('апрель 2024'!$G$4:$G$1689,'апрель 2024'!$D$4:$D$1689,$B102,'апрель 2024'!$J$4:$J$1689,X$1)</f>
        <v>0</v>
      </c>
      <c r="Y102" s="80">
        <f>SUMIFS('апрель 2024'!$G$4:$G$1689,'апрель 2024'!$D$4:$D$1689,$B102,'апрель 2024'!$J$4:$J$1689,Y$1)</f>
        <v>0</v>
      </c>
      <c r="Z102" s="80">
        <f>SUMIFS('апрель 2024'!$G$4:$G$1689,'апрель 2024'!$D$4:$D$1689,$B102,'апрель 2024'!$J$4:$J$1689,Z$1)</f>
        <v>0</v>
      </c>
      <c r="AA102" s="80">
        <f>SUMIFS('апрель 2024'!$G$4:$G$1689,'апрель 2024'!$D$4:$D$1689,$B102,'апрель 2024'!$J$4:$J$1689,AA$1)</f>
        <v>0</v>
      </c>
      <c r="AB102" s="80">
        <f>SUMIFS('апрель 2024'!$G$4:$G$1689,'апрель 2024'!$D$4:$D$1689,$B102,'апрель 2024'!$J$4:$J$1689,AB$1)</f>
        <v>0</v>
      </c>
      <c r="AC102" s="80">
        <f>SUMIFS('апрель 2024'!$G$4:$G$1689,'апрель 2024'!$D$4:$D$1689,$B102,'апрель 2024'!$J$4:$J$1689,AC$1)</f>
        <v>0</v>
      </c>
      <c r="AD102" s="80">
        <f>SUMIFS('апрель 2024'!$G$4:$G$1689,'апрель 2024'!$D$4:$D$1689,$B102,'апрель 2024'!$J$4:$J$1689,AD$1)</f>
        <v>0</v>
      </c>
      <c r="AE102" s="80">
        <f>SUMIFS('апрель 2024'!$G$4:$G$1689,'апрель 2024'!$D$4:$D$1689,$B102,'апрель 2024'!$J$4:$J$1689,AE$1)</f>
        <v>0</v>
      </c>
      <c r="AF102" s="80">
        <f>SUMIFS('апрель 2024'!$G$4:$G$1689,'апрель 2024'!$D$4:$D$1689,$B102,'апрель 2024'!$J$4:$J$1689,AF$1)</f>
        <v>0</v>
      </c>
      <c r="AG102" s="80">
        <f>SUMIFS('апрель 2024'!$G$4:$G$1689,'апрель 2024'!$D$4:$D$1689,$B102,'апрель 2024'!$J$4:$J$1689,AG$1)</f>
        <v>0</v>
      </c>
      <c r="AH102" s="80">
        <f>SUMIFS('апрель 2024'!$G$4:$G$1689,'апрель 2024'!$D$4:$D$1689,$B102,'апрель 2024'!$J$4:$J$1689,AH$1)</f>
        <v>0</v>
      </c>
      <c r="AI102" s="21">
        <f t="shared" si="1"/>
        <v>0</v>
      </c>
    </row>
    <row r="103" spans="2:35" ht="15" customHeight="1" x14ac:dyDescent="0.25">
      <c r="B103" s="93" t="s">
        <v>328</v>
      </c>
      <c r="C103" s="91">
        <v>50</v>
      </c>
      <c r="D103" s="80">
        <f>SUMIFS('апрель 2024'!$G$4:$G$1689,'апрель 2024'!$D$4:$D$1689,$B103,'апрель 2024'!$J$4:$J$1689,D$1)</f>
        <v>0</v>
      </c>
      <c r="E103" s="80">
        <f>SUMIFS('апрель 2024'!$G$4:$G$1689,'апрель 2024'!$D$4:$D$1689,$B103,'апрель 2024'!$J$4:$J$1689,E$1)</f>
        <v>0</v>
      </c>
      <c r="F103" s="80">
        <f>SUMIFS('апрель 2024'!$G$4:$G$1689,'апрель 2024'!$D$4:$D$1689,$B103,'апрель 2024'!$J$4:$J$1689,F$1)</f>
        <v>0</v>
      </c>
      <c r="G103" s="80">
        <f>SUMIFS('апрель 2024'!$G$4:$G$1689,'апрель 2024'!$D$4:$D$1689,$B103,'апрель 2024'!$J$4:$J$1689,G$1)</f>
        <v>0</v>
      </c>
      <c r="H103" s="80">
        <f>SUMIFS('апрель 2024'!$G$4:$G$1689,'апрель 2024'!$D$4:$D$1689,$B103,'апрель 2024'!$J$4:$J$1689,H$1)</f>
        <v>0</v>
      </c>
      <c r="I103" s="80">
        <f>SUMIFS('апрель 2024'!$G$4:$G$1689,'апрель 2024'!$D$4:$D$1689,$B103,'апрель 2024'!$J$4:$J$1689,I$1)</f>
        <v>0</v>
      </c>
      <c r="J103" s="80">
        <f>SUMIFS('апрель 2024'!$G$4:$G$1689,'апрель 2024'!$D$4:$D$1689,$B103,'апрель 2024'!$J$4:$J$1689,J$1)</f>
        <v>0</v>
      </c>
      <c r="K103" s="80">
        <f>SUMIFS('апрель 2024'!$G$4:$G$1689,'апрель 2024'!$D$4:$D$1689,$B103,'апрель 2024'!$J$4:$J$1689,K$1)</f>
        <v>0</v>
      </c>
      <c r="L103" s="80">
        <f>SUMIFS('апрель 2024'!$G$4:$G$1689,'апрель 2024'!$D$4:$D$1689,$B103,'апрель 2024'!$J$4:$J$1689,L$1)</f>
        <v>0</v>
      </c>
      <c r="M103" s="80">
        <f>SUMIFS('апрель 2024'!$G$4:$G$1689,'апрель 2024'!$D$4:$D$1689,$B103,'апрель 2024'!$J$4:$J$1689,M$1)</f>
        <v>0</v>
      </c>
      <c r="N103" s="80">
        <f>SUMIFS('апрель 2024'!$G$4:$G$1689,'апрель 2024'!$D$4:$D$1689,$B103,'апрель 2024'!$J$4:$J$1689,N$1)</f>
        <v>0</v>
      </c>
      <c r="O103" s="80">
        <f>SUMIFS('апрель 2024'!$G$4:$G$1689,'апрель 2024'!$D$4:$D$1689,$B103,'апрель 2024'!$J$4:$J$1689,O$1)</f>
        <v>0</v>
      </c>
      <c r="P103" s="80">
        <f>SUMIFS('апрель 2024'!$G$4:$G$1689,'апрель 2024'!$D$4:$D$1689,$B103,'апрель 2024'!$J$4:$J$1689,P$1)</f>
        <v>0</v>
      </c>
      <c r="Q103" s="80">
        <f>SUMIFS('апрель 2024'!$G$4:$G$1689,'апрель 2024'!$D$4:$D$1689,$B103,'апрель 2024'!$J$4:$J$1689,Q$1)</f>
        <v>0</v>
      </c>
      <c r="R103" s="80">
        <f>SUMIFS('апрель 2024'!$G$4:$G$1689,'апрель 2024'!$D$4:$D$1689,$B103,'апрель 2024'!$J$4:$J$1689,R$1)</f>
        <v>0</v>
      </c>
      <c r="S103" s="80">
        <f>SUMIFS('апрель 2024'!$G$4:$G$1689,'апрель 2024'!$D$4:$D$1689,$B103,'апрель 2024'!$J$4:$J$1689,S$1)</f>
        <v>0</v>
      </c>
      <c r="T103" s="80">
        <f>SUMIFS('апрель 2024'!$G$4:$G$1689,'апрель 2024'!$D$4:$D$1689,$B103,'апрель 2024'!$J$4:$J$1689,T$1)</f>
        <v>0</v>
      </c>
      <c r="U103" s="80">
        <f>SUMIFS('апрель 2024'!$G$4:$G$1689,'апрель 2024'!$D$4:$D$1689,$B103,'апрель 2024'!$J$4:$J$1689,U$1)</f>
        <v>0</v>
      </c>
      <c r="V103" s="80">
        <f>SUMIFS('апрель 2024'!$G$4:$G$1689,'апрель 2024'!$D$4:$D$1689,$B103,'апрель 2024'!$J$4:$J$1689,V$1)</f>
        <v>0</v>
      </c>
      <c r="W103" s="80">
        <f>SUMIFS('апрель 2024'!$G$4:$G$1689,'апрель 2024'!$D$4:$D$1689,$B103,'апрель 2024'!$J$4:$J$1689,W$1)</f>
        <v>0</v>
      </c>
      <c r="X103" s="80">
        <f>SUMIFS('апрель 2024'!$G$4:$G$1689,'апрель 2024'!$D$4:$D$1689,$B103,'апрель 2024'!$J$4:$J$1689,X$1)</f>
        <v>0</v>
      </c>
      <c r="Y103" s="80">
        <f>SUMIFS('апрель 2024'!$G$4:$G$1689,'апрель 2024'!$D$4:$D$1689,$B103,'апрель 2024'!$J$4:$J$1689,Y$1)</f>
        <v>0</v>
      </c>
      <c r="Z103" s="80">
        <f>SUMIFS('апрель 2024'!$G$4:$G$1689,'апрель 2024'!$D$4:$D$1689,$B103,'апрель 2024'!$J$4:$J$1689,Z$1)</f>
        <v>0</v>
      </c>
      <c r="AA103" s="80">
        <f>SUMIFS('апрель 2024'!$G$4:$G$1689,'апрель 2024'!$D$4:$D$1689,$B103,'апрель 2024'!$J$4:$J$1689,AA$1)</f>
        <v>0</v>
      </c>
      <c r="AB103" s="80">
        <f>SUMIFS('апрель 2024'!$G$4:$G$1689,'апрель 2024'!$D$4:$D$1689,$B103,'апрель 2024'!$J$4:$J$1689,AB$1)</f>
        <v>0</v>
      </c>
      <c r="AC103" s="80">
        <f>SUMIFS('апрель 2024'!$G$4:$G$1689,'апрель 2024'!$D$4:$D$1689,$B103,'апрель 2024'!$J$4:$J$1689,AC$1)</f>
        <v>0</v>
      </c>
      <c r="AD103" s="80">
        <f>SUMIFS('апрель 2024'!$G$4:$G$1689,'апрель 2024'!$D$4:$D$1689,$B103,'апрель 2024'!$J$4:$J$1689,AD$1)</f>
        <v>0</v>
      </c>
      <c r="AE103" s="80">
        <f>SUMIFS('апрель 2024'!$G$4:$G$1689,'апрель 2024'!$D$4:$D$1689,$B103,'апрель 2024'!$J$4:$J$1689,AE$1)</f>
        <v>0</v>
      </c>
      <c r="AF103" s="80">
        <f>SUMIFS('апрель 2024'!$G$4:$G$1689,'апрель 2024'!$D$4:$D$1689,$B103,'апрель 2024'!$J$4:$J$1689,AF$1)</f>
        <v>0</v>
      </c>
      <c r="AG103" s="80">
        <f>SUMIFS('апрель 2024'!$G$4:$G$1689,'апрель 2024'!$D$4:$D$1689,$B103,'апрель 2024'!$J$4:$J$1689,AG$1)</f>
        <v>0</v>
      </c>
      <c r="AH103" s="80">
        <f>SUMIFS('апрель 2024'!$G$4:$G$1689,'апрель 2024'!$D$4:$D$1689,$B103,'апрель 2024'!$J$4:$J$1689,AH$1)</f>
        <v>0</v>
      </c>
      <c r="AI103" s="21">
        <f t="shared" si="1"/>
        <v>0</v>
      </c>
    </row>
    <row r="104" spans="2:35" ht="15" customHeight="1" x14ac:dyDescent="0.25">
      <c r="B104" s="93" t="s">
        <v>195</v>
      </c>
      <c r="C104" s="91">
        <v>180</v>
      </c>
      <c r="D104" s="80">
        <f>SUMIFS('апрель 2024'!$G$4:$G$1689,'апрель 2024'!$D$4:$D$1689,$B104,'апрель 2024'!$J$4:$J$1689,D$1)</f>
        <v>0</v>
      </c>
      <c r="E104" s="80">
        <f>SUMIFS('апрель 2024'!$G$4:$G$1689,'апрель 2024'!$D$4:$D$1689,$B104,'апрель 2024'!$J$4:$J$1689,E$1)</f>
        <v>0</v>
      </c>
      <c r="F104" s="80">
        <f>SUMIFS('апрель 2024'!$G$4:$G$1689,'апрель 2024'!$D$4:$D$1689,$B104,'апрель 2024'!$J$4:$J$1689,F$1)</f>
        <v>0</v>
      </c>
      <c r="G104" s="80">
        <f>SUMIFS('апрель 2024'!$G$4:$G$1689,'апрель 2024'!$D$4:$D$1689,$B104,'апрель 2024'!$J$4:$J$1689,G$1)</f>
        <v>0</v>
      </c>
      <c r="H104" s="80">
        <f>SUMIFS('апрель 2024'!$G$4:$G$1689,'апрель 2024'!$D$4:$D$1689,$B104,'апрель 2024'!$J$4:$J$1689,H$1)</f>
        <v>0</v>
      </c>
      <c r="I104" s="80">
        <f>SUMIFS('апрель 2024'!$G$4:$G$1689,'апрель 2024'!$D$4:$D$1689,$B104,'апрель 2024'!$J$4:$J$1689,I$1)</f>
        <v>0</v>
      </c>
      <c r="J104" s="80">
        <f>SUMIFS('апрель 2024'!$G$4:$G$1689,'апрель 2024'!$D$4:$D$1689,$B104,'апрель 2024'!$J$4:$J$1689,J$1)</f>
        <v>0</v>
      </c>
      <c r="K104" s="80">
        <f>SUMIFS('апрель 2024'!$G$4:$G$1689,'апрель 2024'!$D$4:$D$1689,$B104,'апрель 2024'!$J$4:$J$1689,K$1)</f>
        <v>0</v>
      </c>
      <c r="L104" s="80">
        <f>SUMIFS('апрель 2024'!$G$4:$G$1689,'апрель 2024'!$D$4:$D$1689,$B104,'апрель 2024'!$J$4:$J$1689,L$1)</f>
        <v>0</v>
      </c>
      <c r="M104" s="80">
        <f>SUMIFS('апрель 2024'!$G$4:$G$1689,'апрель 2024'!$D$4:$D$1689,$B104,'апрель 2024'!$J$4:$J$1689,M$1)</f>
        <v>0</v>
      </c>
      <c r="N104" s="80">
        <f>SUMIFS('апрель 2024'!$G$4:$G$1689,'апрель 2024'!$D$4:$D$1689,$B104,'апрель 2024'!$J$4:$J$1689,N$1)</f>
        <v>0</v>
      </c>
      <c r="O104" s="80">
        <f>SUMIFS('апрель 2024'!$G$4:$G$1689,'апрель 2024'!$D$4:$D$1689,$B104,'апрель 2024'!$J$4:$J$1689,O$1)</f>
        <v>0</v>
      </c>
      <c r="P104" s="80">
        <f>SUMIFS('апрель 2024'!$G$4:$G$1689,'апрель 2024'!$D$4:$D$1689,$B104,'апрель 2024'!$J$4:$J$1689,P$1)</f>
        <v>0</v>
      </c>
      <c r="Q104" s="80">
        <f>SUMIFS('апрель 2024'!$G$4:$G$1689,'апрель 2024'!$D$4:$D$1689,$B104,'апрель 2024'!$J$4:$J$1689,Q$1)</f>
        <v>0</v>
      </c>
      <c r="R104" s="80">
        <f>SUMIFS('апрель 2024'!$G$4:$G$1689,'апрель 2024'!$D$4:$D$1689,$B104,'апрель 2024'!$J$4:$J$1689,R$1)</f>
        <v>0</v>
      </c>
      <c r="S104" s="80">
        <f>SUMIFS('апрель 2024'!$G$4:$G$1689,'апрель 2024'!$D$4:$D$1689,$B104,'апрель 2024'!$J$4:$J$1689,S$1)</f>
        <v>0</v>
      </c>
      <c r="T104" s="80">
        <f>SUMIFS('апрель 2024'!$G$4:$G$1689,'апрель 2024'!$D$4:$D$1689,$B104,'апрель 2024'!$J$4:$J$1689,T$1)</f>
        <v>0</v>
      </c>
      <c r="U104" s="80">
        <f>SUMIFS('апрель 2024'!$G$4:$G$1689,'апрель 2024'!$D$4:$D$1689,$B104,'апрель 2024'!$J$4:$J$1689,U$1)</f>
        <v>0</v>
      </c>
      <c r="V104" s="80">
        <f>SUMIFS('апрель 2024'!$G$4:$G$1689,'апрель 2024'!$D$4:$D$1689,$B104,'апрель 2024'!$J$4:$J$1689,V$1)</f>
        <v>0</v>
      </c>
      <c r="W104" s="80">
        <f>SUMIFS('апрель 2024'!$G$4:$G$1689,'апрель 2024'!$D$4:$D$1689,$B104,'апрель 2024'!$J$4:$J$1689,W$1)</f>
        <v>0</v>
      </c>
      <c r="X104" s="80">
        <f>SUMIFS('апрель 2024'!$G$4:$G$1689,'апрель 2024'!$D$4:$D$1689,$B104,'апрель 2024'!$J$4:$J$1689,X$1)</f>
        <v>0</v>
      </c>
      <c r="Y104" s="80">
        <f>SUMIFS('апрель 2024'!$G$4:$G$1689,'апрель 2024'!$D$4:$D$1689,$B104,'апрель 2024'!$J$4:$J$1689,Y$1)</f>
        <v>0</v>
      </c>
      <c r="Z104" s="80">
        <f>SUMIFS('апрель 2024'!$G$4:$G$1689,'апрель 2024'!$D$4:$D$1689,$B104,'апрель 2024'!$J$4:$J$1689,Z$1)</f>
        <v>0</v>
      </c>
      <c r="AA104" s="80">
        <f>SUMIFS('апрель 2024'!$G$4:$G$1689,'апрель 2024'!$D$4:$D$1689,$B104,'апрель 2024'!$J$4:$J$1689,AA$1)</f>
        <v>0</v>
      </c>
      <c r="AB104" s="80">
        <f>SUMIFS('апрель 2024'!$G$4:$G$1689,'апрель 2024'!$D$4:$D$1689,$B104,'апрель 2024'!$J$4:$J$1689,AB$1)</f>
        <v>0</v>
      </c>
      <c r="AC104" s="80">
        <f>SUMIFS('апрель 2024'!$G$4:$G$1689,'апрель 2024'!$D$4:$D$1689,$B104,'апрель 2024'!$J$4:$J$1689,AC$1)</f>
        <v>0</v>
      </c>
      <c r="AD104" s="80">
        <f>SUMIFS('апрель 2024'!$G$4:$G$1689,'апрель 2024'!$D$4:$D$1689,$B104,'апрель 2024'!$J$4:$J$1689,AD$1)</f>
        <v>0</v>
      </c>
      <c r="AE104" s="80">
        <f>SUMIFS('апрель 2024'!$G$4:$G$1689,'апрель 2024'!$D$4:$D$1689,$B104,'апрель 2024'!$J$4:$J$1689,AE$1)</f>
        <v>0</v>
      </c>
      <c r="AF104" s="80">
        <f>SUMIFS('апрель 2024'!$G$4:$G$1689,'апрель 2024'!$D$4:$D$1689,$B104,'апрель 2024'!$J$4:$J$1689,AF$1)</f>
        <v>0</v>
      </c>
      <c r="AG104" s="80">
        <f>SUMIFS('апрель 2024'!$G$4:$G$1689,'апрель 2024'!$D$4:$D$1689,$B104,'апрель 2024'!$J$4:$J$1689,AG$1)</f>
        <v>0</v>
      </c>
      <c r="AH104" s="80">
        <f>SUMIFS('апрель 2024'!$G$4:$G$1689,'апрель 2024'!$D$4:$D$1689,$B104,'апрель 2024'!$J$4:$J$1689,AH$1)</f>
        <v>0</v>
      </c>
      <c r="AI104" s="21">
        <f t="shared" si="1"/>
        <v>0</v>
      </c>
    </row>
    <row r="105" spans="2:35" ht="15" customHeight="1" x14ac:dyDescent="0.25">
      <c r="B105" s="93" t="s">
        <v>214</v>
      </c>
      <c r="C105" s="91">
        <v>185</v>
      </c>
      <c r="D105" s="80">
        <f>SUMIFS('апрель 2024'!$G$4:$G$1689,'апрель 2024'!$D$4:$D$1689,$B105,'апрель 2024'!$J$4:$J$1689,D$1)</f>
        <v>0</v>
      </c>
      <c r="E105" s="80">
        <f>SUMIFS('апрель 2024'!$G$4:$G$1689,'апрель 2024'!$D$4:$D$1689,$B105,'апрель 2024'!$J$4:$J$1689,E$1)</f>
        <v>0</v>
      </c>
      <c r="F105" s="80">
        <f>SUMIFS('апрель 2024'!$G$4:$G$1689,'апрель 2024'!$D$4:$D$1689,$B105,'апрель 2024'!$J$4:$J$1689,F$1)</f>
        <v>0</v>
      </c>
      <c r="G105" s="80">
        <f>SUMIFS('апрель 2024'!$G$4:$G$1689,'апрель 2024'!$D$4:$D$1689,$B105,'апрель 2024'!$J$4:$J$1689,G$1)</f>
        <v>0</v>
      </c>
      <c r="H105" s="80">
        <f>SUMIFS('апрель 2024'!$G$4:$G$1689,'апрель 2024'!$D$4:$D$1689,$B105,'апрель 2024'!$J$4:$J$1689,H$1)</f>
        <v>0</v>
      </c>
      <c r="I105" s="80">
        <f>SUMIFS('апрель 2024'!$G$4:$G$1689,'апрель 2024'!$D$4:$D$1689,$B105,'апрель 2024'!$J$4:$J$1689,I$1)</f>
        <v>0</v>
      </c>
      <c r="J105" s="80">
        <f>SUMIFS('апрель 2024'!$G$4:$G$1689,'апрель 2024'!$D$4:$D$1689,$B105,'апрель 2024'!$J$4:$J$1689,J$1)</f>
        <v>0</v>
      </c>
      <c r="K105" s="80">
        <f>SUMIFS('апрель 2024'!$G$4:$G$1689,'апрель 2024'!$D$4:$D$1689,$B105,'апрель 2024'!$J$4:$J$1689,K$1)</f>
        <v>0</v>
      </c>
      <c r="L105" s="80">
        <f>SUMIFS('апрель 2024'!$G$4:$G$1689,'апрель 2024'!$D$4:$D$1689,$B105,'апрель 2024'!$J$4:$J$1689,L$1)</f>
        <v>0</v>
      </c>
      <c r="M105" s="80">
        <f>SUMIFS('апрель 2024'!$G$4:$G$1689,'апрель 2024'!$D$4:$D$1689,$B105,'апрель 2024'!$J$4:$J$1689,M$1)</f>
        <v>0</v>
      </c>
      <c r="N105" s="80">
        <f>SUMIFS('апрель 2024'!$G$4:$G$1689,'апрель 2024'!$D$4:$D$1689,$B105,'апрель 2024'!$J$4:$J$1689,N$1)</f>
        <v>0</v>
      </c>
      <c r="O105" s="80">
        <f>SUMIFS('апрель 2024'!$G$4:$G$1689,'апрель 2024'!$D$4:$D$1689,$B105,'апрель 2024'!$J$4:$J$1689,O$1)</f>
        <v>0</v>
      </c>
      <c r="P105" s="80">
        <f>SUMIFS('апрель 2024'!$G$4:$G$1689,'апрель 2024'!$D$4:$D$1689,$B105,'апрель 2024'!$J$4:$J$1689,P$1)</f>
        <v>0</v>
      </c>
      <c r="Q105" s="80">
        <f>SUMIFS('апрель 2024'!$G$4:$G$1689,'апрель 2024'!$D$4:$D$1689,$B105,'апрель 2024'!$J$4:$J$1689,Q$1)</f>
        <v>0</v>
      </c>
      <c r="R105" s="80">
        <f>SUMIFS('апрель 2024'!$G$4:$G$1689,'апрель 2024'!$D$4:$D$1689,$B105,'апрель 2024'!$J$4:$J$1689,R$1)</f>
        <v>0</v>
      </c>
      <c r="S105" s="80">
        <f>SUMIFS('апрель 2024'!$G$4:$G$1689,'апрель 2024'!$D$4:$D$1689,$B105,'апрель 2024'!$J$4:$J$1689,S$1)</f>
        <v>0</v>
      </c>
      <c r="T105" s="80">
        <f>SUMIFS('апрель 2024'!$G$4:$G$1689,'апрель 2024'!$D$4:$D$1689,$B105,'апрель 2024'!$J$4:$J$1689,T$1)</f>
        <v>0</v>
      </c>
      <c r="U105" s="80">
        <f>SUMIFS('апрель 2024'!$G$4:$G$1689,'апрель 2024'!$D$4:$D$1689,$B105,'апрель 2024'!$J$4:$J$1689,U$1)</f>
        <v>0</v>
      </c>
      <c r="V105" s="80">
        <f>SUMIFS('апрель 2024'!$G$4:$G$1689,'апрель 2024'!$D$4:$D$1689,$B105,'апрель 2024'!$J$4:$J$1689,V$1)</f>
        <v>0</v>
      </c>
      <c r="W105" s="80">
        <f>SUMIFS('апрель 2024'!$G$4:$G$1689,'апрель 2024'!$D$4:$D$1689,$B105,'апрель 2024'!$J$4:$J$1689,W$1)</f>
        <v>0</v>
      </c>
      <c r="X105" s="80">
        <f>SUMIFS('апрель 2024'!$G$4:$G$1689,'апрель 2024'!$D$4:$D$1689,$B105,'апрель 2024'!$J$4:$J$1689,X$1)</f>
        <v>0</v>
      </c>
      <c r="Y105" s="80">
        <f>SUMIFS('апрель 2024'!$G$4:$G$1689,'апрель 2024'!$D$4:$D$1689,$B105,'апрель 2024'!$J$4:$J$1689,Y$1)</f>
        <v>0</v>
      </c>
      <c r="Z105" s="80">
        <f>SUMIFS('апрель 2024'!$G$4:$G$1689,'апрель 2024'!$D$4:$D$1689,$B105,'апрель 2024'!$J$4:$J$1689,Z$1)</f>
        <v>0</v>
      </c>
      <c r="AA105" s="80">
        <f>SUMIFS('апрель 2024'!$G$4:$G$1689,'апрель 2024'!$D$4:$D$1689,$B105,'апрель 2024'!$J$4:$J$1689,AA$1)</f>
        <v>0</v>
      </c>
      <c r="AB105" s="80">
        <f>SUMIFS('апрель 2024'!$G$4:$G$1689,'апрель 2024'!$D$4:$D$1689,$B105,'апрель 2024'!$J$4:$J$1689,AB$1)</f>
        <v>0</v>
      </c>
      <c r="AC105" s="80">
        <f>SUMIFS('апрель 2024'!$G$4:$G$1689,'апрель 2024'!$D$4:$D$1689,$B105,'апрель 2024'!$J$4:$J$1689,AC$1)</f>
        <v>0</v>
      </c>
      <c r="AD105" s="80">
        <f>SUMIFS('апрель 2024'!$G$4:$G$1689,'апрель 2024'!$D$4:$D$1689,$B105,'апрель 2024'!$J$4:$J$1689,AD$1)</f>
        <v>0</v>
      </c>
      <c r="AE105" s="80">
        <f>SUMIFS('апрель 2024'!$G$4:$G$1689,'апрель 2024'!$D$4:$D$1689,$B105,'апрель 2024'!$J$4:$J$1689,AE$1)</f>
        <v>0</v>
      </c>
      <c r="AF105" s="80">
        <f>SUMIFS('апрель 2024'!$G$4:$G$1689,'апрель 2024'!$D$4:$D$1689,$B105,'апрель 2024'!$J$4:$J$1689,AF$1)</f>
        <v>0</v>
      </c>
      <c r="AG105" s="80">
        <f>SUMIFS('апрель 2024'!$G$4:$G$1689,'апрель 2024'!$D$4:$D$1689,$B105,'апрель 2024'!$J$4:$J$1689,AG$1)</f>
        <v>0</v>
      </c>
      <c r="AH105" s="80">
        <f>SUMIFS('апрель 2024'!$G$4:$G$1689,'апрель 2024'!$D$4:$D$1689,$B105,'апрель 2024'!$J$4:$J$1689,AH$1)</f>
        <v>0</v>
      </c>
      <c r="AI105" s="21">
        <f t="shared" si="1"/>
        <v>0</v>
      </c>
    </row>
    <row r="106" spans="2:35" ht="15" customHeight="1" x14ac:dyDescent="0.25">
      <c r="B106" s="93" t="s">
        <v>329</v>
      </c>
      <c r="C106" s="91">
        <v>180</v>
      </c>
      <c r="D106" s="80">
        <f>SUMIFS('апрель 2024'!$G$4:$G$1689,'апрель 2024'!$D$4:$D$1689,$B106,'апрель 2024'!$J$4:$J$1689,D$1)</f>
        <v>0</v>
      </c>
      <c r="E106" s="80">
        <f>SUMIFS('апрель 2024'!$G$4:$G$1689,'апрель 2024'!$D$4:$D$1689,$B106,'апрель 2024'!$J$4:$J$1689,E$1)</f>
        <v>0</v>
      </c>
      <c r="F106" s="80">
        <f>SUMIFS('апрель 2024'!$G$4:$G$1689,'апрель 2024'!$D$4:$D$1689,$B106,'апрель 2024'!$J$4:$J$1689,F$1)</f>
        <v>0</v>
      </c>
      <c r="G106" s="80">
        <f>SUMIFS('апрель 2024'!$G$4:$G$1689,'апрель 2024'!$D$4:$D$1689,$B106,'апрель 2024'!$J$4:$J$1689,G$1)</f>
        <v>0</v>
      </c>
      <c r="H106" s="80">
        <f>SUMIFS('апрель 2024'!$G$4:$G$1689,'апрель 2024'!$D$4:$D$1689,$B106,'апрель 2024'!$J$4:$J$1689,H$1)</f>
        <v>0</v>
      </c>
      <c r="I106" s="80">
        <f>SUMIFS('апрель 2024'!$G$4:$G$1689,'апрель 2024'!$D$4:$D$1689,$B106,'апрель 2024'!$J$4:$J$1689,I$1)</f>
        <v>0</v>
      </c>
      <c r="J106" s="80">
        <f>SUMIFS('апрель 2024'!$G$4:$G$1689,'апрель 2024'!$D$4:$D$1689,$B106,'апрель 2024'!$J$4:$J$1689,J$1)</f>
        <v>0</v>
      </c>
      <c r="K106" s="80">
        <f>SUMIFS('апрель 2024'!$G$4:$G$1689,'апрель 2024'!$D$4:$D$1689,$B106,'апрель 2024'!$J$4:$J$1689,K$1)</f>
        <v>0</v>
      </c>
      <c r="L106" s="80">
        <f>SUMIFS('апрель 2024'!$G$4:$G$1689,'апрель 2024'!$D$4:$D$1689,$B106,'апрель 2024'!$J$4:$J$1689,L$1)</f>
        <v>0</v>
      </c>
      <c r="M106" s="80">
        <f>SUMIFS('апрель 2024'!$G$4:$G$1689,'апрель 2024'!$D$4:$D$1689,$B106,'апрель 2024'!$J$4:$J$1689,M$1)</f>
        <v>0</v>
      </c>
      <c r="N106" s="80">
        <f>SUMIFS('апрель 2024'!$G$4:$G$1689,'апрель 2024'!$D$4:$D$1689,$B106,'апрель 2024'!$J$4:$J$1689,N$1)</f>
        <v>0</v>
      </c>
      <c r="O106" s="80">
        <f>SUMIFS('апрель 2024'!$G$4:$G$1689,'апрель 2024'!$D$4:$D$1689,$B106,'апрель 2024'!$J$4:$J$1689,O$1)</f>
        <v>0</v>
      </c>
      <c r="P106" s="80">
        <f>SUMIFS('апрель 2024'!$G$4:$G$1689,'апрель 2024'!$D$4:$D$1689,$B106,'апрель 2024'!$J$4:$J$1689,P$1)</f>
        <v>0</v>
      </c>
      <c r="Q106" s="80">
        <f>SUMIFS('апрель 2024'!$G$4:$G$1689,'апрель 2024'!$D$4:$D$1689,$B106,'апрель 2024'!$J$4:$J$1689,Q$1)</f>
        <v>0</v>
      </c>
      <c r="R106" s="80">
        <f>SUMIFS('апрель 2024'!$G$4:$G$1689,'апрель 2024'!$D$4:$D$1689,$B106,'апрель 2024'!$J$4:$J$1689,R$1)</f>
        <v>0</v>
      </c>
      <c r="S106" s="80">
        <f>SUMIFS('апрель 2024'!$G$4:$G$1689,'апрель 2024'!$D$4:$D$1689,$B106,'апрель 2024'!$J$4:$J$1689,S$1)</f>
        <v>0</v>
      </c>
      <c r="T106" s="80">
        <f>SUMIFS('апрель 2024'!$G$4:$G$1689,'апрель 2024'!$D$4:$D$1689,$B106,'апрель 2024'!$J$4:$J$1689,T$1)</f>
        <v>0</v>
      </c>
      <c r="U106" s="80">
        <f>SUMIFS('апрель 2024'!$G$4:$G$1689,'апрель 2024'!$D$4:$D$1689,$B106,'апрель 2024'!$J$4:$J$1689,U$1)</f>
        <v>0</v>
      </c>
      <c r="V106" s="80">
        <f>SUMIFS('апрель 2024'!$G$4:$G$1689,'апрель 2024'!$D$4:$D$1689,$B106,'апрель 2024'!$J$4:$J$1689,V$1)</f>
        <v>0</v>
      </c>
      <c r="W106" s="80">
        <f>SUMIFS('апрель 2024'!$G$4:$G$1689,'апрель 2024'!$D$4:$D$1689,$B106,'апрель 2024'!$J$4:$J$1689,W$1)</f>
        <v>0</v>
      </c>
      <c r="X106" s="80">
        <f>SUMIFS('апрель 2024'!$G$4:$G$1689,'апрель 2024'!$D$4:$D$1689,$B106,'апрель 2024'!$J$4:$J$1689,X$1)</f>
        <v>0</v>
      </c>
      <c r="Y106" s="80">
        <f>SUMIFS('апрель 2024'!$G$4:$G$1689,'апрель 2024'!$D$4:$D$1689,$B106,'апрель 2024'!$J$4:$J$1689,Y$1)</f>
        <v>0</v>
      </c>
      <c r="Z106" s="80">
        <f>SUMIFS('апрель 2024'!$G$4:$G$1689,'апрель 2024'!$D$4:$D$1689,$B106,'апрель 2024'!$J$4:$J$1689,Z$1)</f>
        <v>0</v>
      </c>
      <c r="AA106" s="80">
        <f>SUMIFS('апрель 2024'!$G$4:$G$1689,'апрель 2024'!$D$4:$D$1689,$B106,'апрель 2024'!$J$4:$J$1689,AA$1)</f>
        <v>0</v>
      </c>
      <c r="AB106" s="80">
        <f>SUMIFS('апрель 2024'!$G$4:$G$1689,'апрель 2024'!$D$4:$D$1689,$B106,'апрель 2024'!$J$4:$J$1689,AB$1)</f>
        <v>0</v>
      </c>
      <c r="AC106" s="80">
        <f>SUMIFS('апрель 2024'!$G$4:$G$1689,'апрель 2024'!$D$4:$D$1689,$B106,'апрель 2024'!$J$4:$J$1689,AC$1)</f>
        <v>0</v>
      </c>
      <c r="AD106" s="80">
        <f>SUMIFS('апрель 2024'!$G$4:$G$1689,'апрель 2024'!$D$4:$D$1689,$B106,'апрель 2024'!$J$4:$J$1689,AD$1)</f>
        <v>0</v>
      </c>
      <c r="AE106" s="80">
        <f>SUMIFS('апрель 2024'!$G$4:$G$1689,'апрель 2024'!$D$4:$D$1689,$B106,'апрель 2024'!$J$4:$J$1689,AE$1)</f>
        <v>0</v>
      </c>
      <c r="AF106" s="80">
        <f>SUMIFS('апрель 2024'!$G$4:$G$1689,'апрель 2024'!$D$4:$D$1689,$B106,'апрель 2024'!$J$4:$J$1689,AF$1)</f>
        <v>0</v>
      </c>
      <c r="AG106" s="80">
        <f>SUMIFS('апрель 2024'!$G$4:$G$1689,'апрель 2024'!$D$4:$D$1689,$B106,'апрель 2024'!$J$4:$J$1689,AG$1)</f>
        <v>0</v>
      </c>
      <c r="AH106" s="80">
        <f>SUMIFS('апрель 2024'!$G$4:$G$1689,'апрель 2024'!$D$4:$D$1689,$B106,'апрель 2024'!$J$4:$J$1689,AH$1)</f>
        <v>0</v>
      </c>
      <c r="AI106" s="21">
        <f t="shared" si="1"/>
        <v>0</v>
      </c>
    </row>
    <row r="107" spans="2:35" ht="15" customHeight="1" x14ac:dyDescent="0.25">
      <c r="B107" s="93" t="s">
        <v>344</v>
      </c>
      <c r="C107" s="91">
        <v>185</v>
      </c>
      <c r="D107" s="80">
        <f>SUMIFS('апрель 2024'!$G$4:$G$1689,'апрель 2024'!$D$4:$D$1689,$B107,'апрель 2024'!$J$4:$J$1689,D$1)</f>
        <v>0</v>
      </c>
      <c r="E107" s="80">
        <f>SUMIFS('апрель 2024'!$G$4:$G$1689,'апрель 2024'!$D$4:$D$1689,$B107,'апрель 2024'!$J$4:$J$1689,E$1)</f>
        <v>0</v>
      </c>
      <c r="F107" s="80">
        <f>SUMIFS('апрель 2024'!$G$4:$G$1689,'апрель 2024'!$D$4:$D$1689,$B107,'апрель 2024'!$J$4:$J$1689,F$1)</f>
        <v>0</v>
      </c>
      <c r="G107" s="80">
        <f>SUMIFS('апрель 2024'!$G$4:$G$1689,'апрель 2024'!$D$4:$D$1689,$B107,'апрель 2024'!$J$4:$J$1689,G$1)</f>
        <v>0</v>
      </c>
      <c r="H107" s="80">
        <f>SUMIFS('апрель 2024'!$G$4:$G$1689,'апрель 2024'!$D$4:$D$1689,$B107,'апрель 2024'!$J$4:$J$1689,H$1)</f>
        <v>0</v>
      </c>
      <c r="I107" s="80">
        <f>SUMIFS('апрель 2024'!$G$4:$G$1689,'апрель 2024'!$D$4:$D$1689,$B107,'апрель 2024'!$J$4:$J$1689,I$1)</f>
        <v>0</v>
      </c>
      <c r="J107" s="80">
        <f>SUMIFS('апрель 2024'!$G$4:$G$1689,'апрель 2024'!$D$4:$D$1689,$B107,'апрель 2024'!$J$4:$J$1689,J$1)</f>
        <v>0</v>
      </c>
      <c r="K107" s="80">
        <f>SUMIFS('апрель 2024'!$G$4:$G$1689,'апрель 2024'!$D$4:$D$1689,$B107,'апрель 2024'!$J$4:$J$1689,K$1)</f>
        <v>0</v>
      </c>
      <c r="L107" s="80">
        <f>SUMIFS('апрель 2024'!$G$4:$G$1689,'апрель 2024'!$D$4:$D$1689,$B107,'апрель 2024'!$J$4:$J$1689,L$1)</f>
        <v>0</v>
      </c>
      <c r="M107" s="80">
        <f>SUMIFS('апрель 2024'!$G$4:$G$1689,'апрель 2024'!$D$4:$D$1689,$B107,'апрель 2024'!$J$4:$J$1689,M$1)</f>
        <v>0</v>
      </c>
      <c r="N107" s="80">
        <f>SUMIFS('апрель 2024'!$G$4:$G$1689,'апрель 2024'!$D$4:$D$1689,$B107,'апрель 2024'!$J$4:$J$1689,N$1)</f>
        <v>0</v>
      </c>
      <c r="O107" s="80">
        <f>SUMIFS('апрель 2024'!$G$4:$G$1689,'апрель 2024'!$D$4:$D$1689,$B107,'апрель 2024'!$J$4:$J$1689,O$1)</f>
        <v>0</v>
      </c>
      <c r="P107" s="80">
        <f>SUMIFS('апрель 2024'!$G$4:$G$1689,'апрель 2024'!$D$4:$D$1689,$B107,'апрель 2024'!$J$4:$J$1689,P$1)</f>
        <v>0</v>
      </c>
      <c r="Q107" s="80">
        <f>SUMIFS('апрель 2024'!$G$4:$G$1689,'апрель 2024'!$D$4:$D$1689,$B107,'апрель 2024'!$J$4:$J$1689,Q$1)</f>
        <v>0</v>
      </c>
      <c r="R107" s="80">
        <f>SUMIFS('апрель 2024'!$G$4:$G$1689,'апрель 2024'!$D$4:$D$1689,$B107,'апрель 2024'!$J$4:$J$1689,R$1)</f>
        <v>0</v>
      </c>
      <c r="S107" s="80">
        <f>SUMIFS('апрель 2024'!$G$4:$G$1689,'апрель 2024'!$D$4:$D$1689,$B107,'апрель 2024'!$J$4:$J$1689,S$1)</f>
        <v>0</v>
      </c>
      <c r="T107" s="80">
        <f>SUMIFS('апрель 2024'!$G$4:$G$1689,'апрель 2024'!$D$4:$D$1689,$B107,'апрель 2024'!$J$4:$J$1689,T$1)</f>
        <v>0</v>
      </c>
      <c r="U107" s="80">
        <f>SUMIFS('апрель 2024'!$G$4:$G$1689,'апрель 2024'!$D$4:$D$1689,$B107,'апрель 2024'!$J$4:$J$1689,U$1)</f>
        <v>0</v>
      </c>
      <c r="V107" s="80">
        <f>SUMIFS('апрель 2024'!$G$4:$G$1689,'апрель 2024'!$D$4:$D$1689,$B107,'апрель 2024'!$J$4:$J$1689,V$1)</f>
        <v>0</v>
      </c>
      <c r="W107" s="80">
        <f>SUMIFS('апрель 2024'!$G$4:$G$1689,'апрель 2024'!$D$4:$D$1689,$B107,'апрель 2024'!$J$4:$J$1689,W$1)</f>
        <v>0</v>
      </c>
      <c r="X107" s="80">
        <f>SUMIFS('апрель 2024'!$G$4:$G$1689,'апрель 2024'!$D$4:$D$1689,$B107,'апрель 2024'!$J$4:$J$1689,X$1)</f>
        <v>0</v>
      </c>
      <c r="Y107" s="80">
        <f>SUMIFS('апрель 2024'!$G$4:$G$1689,'апрель 2024'!$D$4:$D$1689,$B107,'апрель 2024'!$J$4:$J$1689,Y$1)</f>
        <v>0</v>
      </c>
      <c r="Z107" s="80">
        <f>SUMIFS('апрель 2024'!$G$4:$G$1689,'апрель 2024'!$D$4:$D$1689,$B107,'апрель 2024'!$J$4:$J$1689,Z$1)</f>
        <v>0</v>
      </c>
      <c r="AA107" s="80">
        <f>SUMIFS('апрель 2024'!$G$4:$G$1689,'апрель 2024'!$D$4:$D$1689,$B107,'апрель 2024'!$J$4:$J$1689,AA$1)</f>
        <v>0</v>
      </c>
      <c r="AB107" s="80">
        <f>SUMIFS('апрель 2024'!$G$4:$G$1689,'апрель 2024'!$D$4:$D$1689,$B107,'апрель 2024'!$J$4:$J$1689,AB$1)</f>
        <v>0</v>
      </c>
      <c r="AC107" s="80">
        <f>SUMIFS('апрель 2024'!$G$4:$G$1689,'апрель 2024'!$D$4:$D$1689,$B107,'апрель 2024'!$J$4:$J$1689,AC$1)</f>
        <v>0</v>
      </c>
      <c r="AD107" s="80">
        <f>SUMIFS('апрель 2024'!$G$4:$G$1689,'апрель 2024'!$D$4:$D$1689,$B107,'апрель 2024'!$J$4:$J$1689,AD$1)</f>
        <v>0</v>
      </c>
      <c r="AE107" s="80">
        <f>SUMIFS('апрель 2024'!$G$4:$G$1689,'апрель 2024'!$D$4:$D$1689,$B107,'апрель 2024'!$J$4:$J$1689,AE$1)</f>
        <v>0</v>
      </c>
      <c r="AF107" s="80">
        <f>SUMIFS('апрель 2024'!$G$4:$G$1689,'апрель 2024'!$D$4:$D$1689,$B107,'апрель 2024'!$J$4:$J$1689,AF$1)</f>
        <v>0</v>
      </c>
      <c r="AG107" s="80">
        <f>SUMIFS('апрель 2024'!$G$4:$G$1689,'апрель 2024'!$D$4:$D$1689,$B107,'апрель 2024'!$J$4:$J$1689,AG$1)</f>
        <v>0</v>
      </c>
      <c r="AH107" s="80">
        <f>SUMIFS('апрель 2024'!$G$4:$G$1689,'апрель 2024'!$D$4:$D$1689,$B107,'апрель 2024'!$J$4:$J$1689,AH$1)</f>
        <v>0</v>
      </c>
      <c r="AI107" s="21">
        <f t="shared" si="1"/>
        <v>0</v>
      </c>
    </row>
    <row r="108" spans="2:35" ht="15" customHeight="1" x14ac:dyDescent="0.25">
      <c r="B108" s="93" t="s">
        <v>400</v>
      </c>
      <c r="C108" s="91">
        <v>185</v>
      </c>
      <c r="D108" s="80">
        <f>SUMIFS('апрель 2024'!$G$4:$G$1689,'апрель 2024'!$D$4:$D$1689,$B108,'апрель 2024'!$J$4:$J$1689,D$1)</f>
        <v>0</v>
      </c>
      <c r="E108" s="80">
        <f>SUMIFS('апрель 2024'!$G$4:$G$1689,'апрель 2024'!$D$4:$D$1689,$B108,'апрель 2024'!$J$4:$J$1689,E$1)</f>
        <v>0</v>
      </c>
      <c r="F108" s="80">
        <f>SUMIFS('апрель 2024'!$G$4:$G$1689,'апрель 2024'!$D$4:$D$1689,$B108,'апрель 2024'!$J$4:$J$1689,F$1)</f>
        <v>0</v>
      </c>
      <c r="G108" s="80">
        <f>SUMIFS('апрель 2024'!$G$4:$G$1689,'апрель 2024'!$D$4:$D$1689,$B108,'апрель 2024'!$J$4:$J$1689,G$1)</f>
        <v>0</v>
      </c>
      <c r="H108" s="80">
        <f>SUMIFS('апрель 2024'!$G$4:$G$1689,'апрель 2024'!$D$4:$D$1689,$B108,'апрель 2024'!$J$4:$J$1689,H$1)</f>
        <v>0</v>
      </c>
      <c r="I108" s="80">
        <f>SUMIFS('апрель 2024'!$G$4:$G$1689,'апрель 2024'!$D$4:$D$1689,$B108,'апрель 2024'!$J$4:$J$1689,I$1)</f>
        <v>0</v>
      </c>
      <c r="J108" s="80">
        <f>SUMIFS('апрель 2024'!$G$4:$G$1689,'апрель 2024'!$D$4:$D$1689,$B108,'апрель 2024'!$J$4:$J$1689,J$1)</f>
        <v>0</v>
      </c>
      <c r="K108" s="80">
        <f>SUMIFS('апрель 2024'!$G$4:$G$1689,'апрель 2024'!$D$4:$D$1689,$B108,'апрель 2024'!$J$4:$J$1689,K$1)</f>
        <v>0</v>
      </c>
      <c r="L108" s="80">
        <f>SUMIFS('апрель 2024'!$G$4:$G$1689,'апрель 2024'!$D$4:$D$1689,$B108,'апрель 2024'!$J$4:$J$1689,L$1)</f>
        <v>0</v>
      </c>
      <c r="M108" s="80">
        <f>SUMIFS('апрель 2024'!$G$4:$G$1689,'апрель 2024'!$D$4:$D$1689,$B108,'апрель 2024'!$J$4:$J$1689,M$1)</f>
        <v>0</v>
      </c>
      <c r="N108" s="80">
        <f>SUMIFS('апрель 2024'!$G$4:$G$1689,'апрель 2024'!$D$4:$D$1689,$B108,'апрель 2024'!$J$4:$J$1689,N$1)</f>
        <v>0</v>
      </c>
      <c r="O108" s="80">
        <f>SUMIFS('апрель 2024'!$G$4:$G$1689,'апрель 2024'!$D$4:$D$1689,$B108,'апрель 2024'!$J$4:$J$1689,O$1)</f>
        <v>0</v>
      </c>
      <c r="P108" s="80">
        <f>SUMIFS('апрель 2024'!$G$4:$G$1689,'апрель 2024'!$D$4:$D$1689,$B108,'апрель 2024'!$J$4:$J$1689,P$1)</f>
        <v>0</v>
      </c>
      <c r="Q108" s="80">
        <f>SUMIFS('апрель 2024'!$G$4:$G$1689,'апрель 2024'!$D$4:$D$1689,$B108,'апрель 2024'!$J$4:$J$1689,Q$1)</f>
        <v>0</v>
      </c>
      <c r="R108" s="80">
        <f>SUMIFS('апрель 2024'!$G$4:$G$1689,'апрель 2024'!$D$4:$D$1689,$B108,'апрель 2024'!$J$4:$J$1689,R$1)</f>
        <v>0</v>
      </c>
      <c r="S108" s="80">
        <f>SUMIFS('апрель 2024'!$G$4:$G$1689,'апрель 2024'!$D$4:$D$1689,$B108,'апрель 2024'!$J$4:$J$1689,S$1)</f>
        <v>0</v>
      </c>
      <c r="T108" s="80">
        <f>SUMIFS('апрель 2024'!$G$4:$G$1689,'апрель 2024'!$D$4:$D$1689,$B108,'апрель 2024'!$J$4:$J$1689,T$1)</f>
        <v>0</v>
      </c>
      <c r="U108" s="80">
        <f>SUMIFS('апрель 2024'!$G$4:$G$1689,'апрель 2024'!$D$4:$D$1689,$B108,'апрель 2024'!$J$4:$J$1689,U$1)</f>
        <v>0</v>
      </c>
      <c r="V108" s="80">
        <f>SUMIFS('апрель 2024'!$G$4:$G$1689,'апрель 2024'!$D$4:$D$1689,$B108,'апрель 2024'!$J$4:$J$1689,V$1)</f>
        <v>0</v>
      </c>
      <c r="W108" s="80">
        <f>SUMIFS('апрель 2024'!$G$4:$G$1689,'апрель 2024'!$D$4:$D$1689,$B108,'апрель 2024'!$J$4:$J$1689,W$1)</f>
        <v>0</v>
      </c>
      <c r="X108" s="80">
        <f>SUMIFS('апрель 2024'!$G$4:$G$1689,'апрель 2024'!$D$4:$D$1689,$B108,'апрель 2024'!$J$4:$J$1689,X$1)</f>
        <v>0</v>
      </c>
      <c r="Y108" s="80">
        <f>SUMIFS('апрель 2024'!$G$4:$G$1689,'апрель 2024'!$D$4:$D$1689,$B108,'апрель 2024'!$J$4:$J$1689,Y$1)</f>
        <v>0</v>
      </c>
      <c r="Z108" s="80">
        <f>SUMIFS('апрель 2024'!$G$4:$G$1689,'апрель 2024'!$D$4:$D$1689,$B108,'апрель 2024'!$J$4:$J$1689,Z$1)</f>
        <v>0</v>
      </c>
      <c r="AA108" s="80">
        <f>SUMIFS('апрель 2024'!$G$4:$G$1689,'апрель 2024'!$D$4:$D$1689,$B108,'апрель 2024'!$J$4:$J$1689,AA$1)</f>
        <v>0</v>
      </c>
      <c r="AB108" s="80">
        <f>SUMIFS('апрель 2024'!$G$4:$G$1689,'апрель 2024'!$D$4:$D$1689,$B108,'апрель 2024'!$J$4:$J$1689,AB$1)</f>
        <v>0</v>
      </c>
      <c r="AC108" s="80">
        <f>SUMIFS('апрель 2024'!$G$4:$G$1689,'апрель 2024'!$D$4:$D$1689,$B108,'апрель 2024'!$J$4:$J$1689,AC$1)</f>
        <v>0</v>
      </c>
      <c r="AD108" s="80">
        <f>SUMIFS('апрель 2024'!$G$4:$G$1689,'апрель 2024'!$D$4:$D$1689,$B108,'апрель 2024'!$J$4:$J$1689,AD$1)</f>
        <v>0</v>
      </c>
      <c r="AE108" s="80">
        <f>SUMIFS('апрель 2024'!$G$4:$G$1689,'апрель 2024'!$D$4:$D$1689,$B108,'апрель 2024'!$J$4:$J$1689,AE$1)</f>
        <v>0</v>
      </c>
      <c r="AF108" s="80">
        <f>SUMIFS('апрель 2024'!$G$4:$G$1689,'апрель 2024'!$D$4:$D$1689,$B108,'апрель 2024'!$J$4:$J$1689,AF$1)</f>
        <v>0</v>
      </c>
      <c r="AG108" s="80">
        <f>SUMIFS('апрель 2024'!$G$4:$G$1689,'апрель 2024'!$D$4:$D$1689,$B108,'апрель 2024'!$J$4:$J$1689,AG$1)</f>
        <v>0</v>
      </c>
      <c r="AH108" s="80">
        <f>SUMIFS('апрель 2024'!$G$4:$G$1689,'апрель 2024'!$D$4:$D$1689,$B108,'апрель 2024'!$J$4:$J$1689,AH$1)</f>
        <v>0</v>
      </c>
      <c r="AI108" s="21">
        <f t="shared" si="1"/>
        <v>0</v>
      </c>
    </row>
    <row r="109" spans="2:35" ht="15" customHeight="1" x14ac:dyDescent="0.25">
      <c r="B109" s="93" t="s">
        <v>330</v>
      </c>
      <c r="C109" s="91">
        <v>180</v>
      </c>
      <c r="D109" s="80">
        <f>SUMIFS('апрель 2024'!$G$4:$G$1689,'апрель 2024'!$D$4:$D$1689,$B109,'апрель 2024'!$J$4:$J$1689,D$1)</f>
        <v>0</v>
      </c>
      <c r="E109" s="80">
        <f>SUMIFS('апрель 2024'!$G$4:$G$1689,'апрель 2024'!$D$4:$D$1689,$B109,'апрель 2024'!$J$4:$J$1689,E$1)</f>
        <v>0</v>
      </c>
      <c r="F109" s="80">
        <f>SUMIFS('апрель 2024'!$G$4:$G$1689,'апрель 2024'!$D$4:$D$1689,$B109,'апрель 2024'!$J$4:$J$1689,F$1)</f>
        <v>0</v>
      </c>
      <c r="G109" s="80">
        <f>SUMIFS('апрель 2024'!$G$4:$G$1689,'апрель 2024'!$D$4:$D$1689,$B109,'апрель 2024'!$J$4:$J$1689,G$1)</f>
        <v>0</v>
      </c>
      <c r="H109" s="80">
        <f>SUMIFS('апрель 2024'!$G$4:$G$1689,'апрель 2024'!$D$4:$D$1689,$B109,'апрель 2024'!$J$4:$J$1689,H$1)</f>
        <v>0</v>
      </c>
      <c r="I109" s="80">
        <f>SUMIFS('апрель 2024'!$G$4:$G$1689,'апрель 2024'!$D$4:$D$1689,$B109,'апрель 2024'!$J$4:$J$1689,I$1)</f>
        <v>0</v>
      </c>
      <c r="J109" s="80">
        <f>SUMIFS('апрель 2024'!$G$4:$G$1689,'апрель 2024'!$D$4:$D$1689,$B109,'апрель 2024'!$J$4:$J$1689,J$1)</f>
        <v>0</v>
      </c>
      <c r="K109" s="80">
        <f>SUMIFS('апрель 2024'!$G$4:$G$1689,'апрель 2024'!$D$4:$D$1689,$B109,'апрель 2024'!$J$4:$J$1689,K$1)</f>
        <v>0</v>
      </c>
      <c r="L109" s="80">
        <f>SUMIFS('апрель 2024'!$G$4:$G$1689,'апрель 2024'!$D$4:$D$1689,$B109,'апрель 2024'!$J$4:$J$1689,L$1)</f>
        <v>0</v>
      </c>
      <c r="M109" s="80">
        <f>SUMIFS('апрель 2024'!$G$4:$G$1689,'апрель 2024'!$D$4:$D$1689,$B109,'апрель 2024'!$J$4:$J$1689,M$1)</f>
        <v>0</v>
      </c>
      <c r="N109" s="80">
        <f>SUMIFS('апрель 2024'!$G$4:$G$1689,'апрель 2024'!$D$4:$D$1689,$B109,'апрель 2024'!$J$4:$J$1689,N$1)</f>
        <v>0</v>
      </c>
      <c r="O109" s="80">
        <f>SUMIFS('апрель 2024'!$G$4:$G$1689,'апрель 2024'!$D$4:$D$1689,$B109,'апрель 2024'!$J$4:$J$1689,O$1)</f>
        <v>0</v>
      </c>
      <c r="P109" s="80">
        <f>SUMIFS('апрель 2024'!$G$4:$G$1689,'апрель 2024'!$D$4:$D$1689,$B109,'апрель 2024'!$J$4:$J$1689,P$1)</f>
        <v>0</v>
      </c>
      <c r="Q109" s="80">
        <f>SUMIFS('апрель 2024'!$G$4:$G$1689,'апрель 2024'!$D$4:$D$1689,$B109,'апрель 2024'!$J$4:$J$1689,Q$1)</f>
        <v>0</v>
      </c>
      <c r="R109" s="80">
        <f>SUMIFS('апрель 2024'!$G$4:$G$1689,'апрель 2024'!$D$4:$D$1689,$B109,'апрель 2024'!$J$4:$J$1689,R$1)</f>
        <v>0</v>
      </c>
      <c r="S109" s="80">
        <f>SUMIFS('апрель 2024'!$G$4:$G$1689,'апрель 2024'!$D$4:$D$1689,$B109,'апрель 2024'!$J$4:$J$1689,S$1)</f>
        <v>0</v>
      </c>
      <c r="T109" s="80">
        <f>SUMIFS('апрель 2024'!$G$4:$G$1689,'апрель 2024'!$D$4:$D$1689,$B109,'апрель 2024'!$J$4:$J$1689,T$1)</f>
        <v>0</v>
      </c>
      <c r="U109" s="80">
        <f>SUMIFS('апрель 2024'!$G$4:$G$1689,'апрель 2024'!$D$4:$D$1689,$B109,'апрель 2024'!$J$4:$J$1689,U$1)</f>
        <v>0</v>
      </c>
      <c r="V109" s="80">
        <f>SUMIFS('апрель 2024'!$G$4:$G$1689,'апрель 2024'!$D$4:$D$1689,$B109,'апрель 2024'!$J$4:$J$1689,V$1)</f>
        <v>0</v>
      </c>
      <c r="W109" s="80">
        <f>SUMIFS('апрель 2024'!$G$4:$G$1689,'апрель 2024'!$D$4:$D$1689,$B109,'апрель 2024'!$J$4:$J$1689,W$1)</f>
        <v>0</v>
      </c>
      <c r="X109" s="80">
        <f>SUMIFS('апрель 2024'!$G$4:$G$1689,'апрель 2024'!$D$4:$D$1689,$B109,'апрель 2024'!$J$4:$J$1689,X$1)</f>
        <v>0</v>
      </c>
      <c r="Y109" s="80">
        <f>SUMIFS('апрель 2024'!$G$4:$G$1689,'апрель 2024'!$D$4:$D$1689,$B109,'апрель 2024'!$J$4:$J$1689,Y$1)</f>
        <v>0</v>
      </c>
      <c r="Z109" s="80">
        <f>SUMIFS('апрель 2024'!$G$4:$G$1689,'апрель 2024'!$D$4:$D$1689,$B109,'апрель 2024'!$J$4:$J$1689,Z$1)</f>
        <v>0</v>
      </c>
      <c r="AA109" s="80">
        <f>SUMIFS('апрель 2024'!$G$4:$G$1689,'апрель 2024'!$D$4:$D$1689,$B109,'апрель 2024'!$J$4:$J$1689,AA$1)</f>
        <v>0</v>
      </c>
      <c r="AB109" s="80">
        <f>SUMIFS('апрель 2024'!$G$4:$G$1689,'апрель 2024'!$D$4:$D$1689,$B109,'апрель 2024'!$J$4:$J$1689,AB$1)</f>
        <v>0</v>
      </c>
      <c r="AC109" s="80">
        <f>SUMIFS('апрель 2024'!$G$4:$G$1689,'апрель 2024'!$D$4:$D$1689,$B109,'апрель 2024'!$J$4:$J$1689,AC$1)</f>
        <v>0</v>
      </c>
      <c r="AD109" s="80">
        <f>SUMIFS('апрель 2024'!$G$4:$G$1689,'апрель 2024'!$D$4:$D$1689,$B109,'апрель 2024'!$J$4:$J$1689,AD$1)</f>
        <v>0</v>
      </c>
      <c r="AE109" s="80">
        <f>SUMIFS('апрель 2024'!$G$4:$G$1689,'апрель 2024'!$D$4:$D$1689,$B109,'апрель 2024'!$J$4:$J$1689,AE$1)</f>
        <v>0</v>
      </c>
      <c r="AF109" s="80">
        <f>SUMIFS('апрель 2024'!$G$4:$G$1689,'апрель 2024'!$D$4:$D$1689,$B109,'апрель 2024'!$J$4:$J$1689,AF$1)</f>
        <v>0</v>
      </c>
      <c r="AG109" s="80">
        <f>SUMIFS('апрель 2024'!$G$4:$G$1689,'апрель 2024'!$D$4:$D$1689,$B109,'апрель 2024'!$J$4:$J$1689,AG$1)</f>
        <v>0</v>
      </c>
      <c r="AH109" s="80">
        <f>SUMIFS('апрель 2024'!$G$4:$G$1689,'апрель 2024'!$D$4:$D$1689,$B109,'апрель 2024'!$J$4:$J$1689,AH$1)</f>
        <v>0</v>
      </c>
      <c r="AI109" s="21">
        <f t="shared" si="1"/>
        <v>0</v>
      </c>
    </row>
    <row r="110" spans="2:35" ht="15" customHeight="1" x14ac:dyDescent="0.25">
      <c r="B110" s="93" t="s">
        <v>331</v>
      </c>
      <c r="C110" s="91">
        <v>200</v>
      </c>
      <c r="D110" s="80">
        <f>SUMIFS('апрель 2024'!$G$4:$G$1689,'апрель 2024'!$D$4:$D$1689,$B110,'апрель 2024'!$J$4:$J$1689,D$1)</f>
        <v>0</v>
      </c>
      <c r="E110" s="80">
        <f>SUMIFS('апрель 2024'!$G$4:$G$1689,'апрель 2024'!$D$4:$D$1689,$B110,'апрель 2024'!$J$4:$J$1689,E$1)</f>
        <v>0</v>
      </c>
      <c r="F110" s="80">
        <f>SUMIFS('апрель 2024'!$G$4:$G$1689,'апрель 2024'!$D$4:$D$1689,$B110,'апрель 2024'!$J$4:$J$1689,F$1)</f>
        <v>0</v>
      </c>
      <c r="G110" s="80">
        <f>SUMIFS('апрель 2024'!$G$4:$G$1689,'апрель 2024'!$D$4:$D$1689,$B110,'апрель 2024'!$J$4:$J$1689,G$1)</f>
        <v>0</v>
      </c>
      <c r="H110" s="80">
        <f>SUMIFS('апрель 2024'!$G$4:$G$1689,'апрель 2024'!$D$4:$D$1689,$B110,'апрель 2024'!$J$4:$J$1689,H$1)</f>
        <v>0</v>
      </c>
      <c r="I110" s="80">
        <f>SUMIFS('апрель 2024'!$G$4:$G$1689,'апрель 2024'!$D$4:$D$1689,$B110,'апрель 2024'!$J$4:$J$1689,I$1)</f>
        <v>0</v>
      </c>
      <c r="J110" s="80">
        <f>SUMIFS('апрель 2024'!$G$4:$G$1689,'апрель 2024'!$D$4:$D$1689,$B110,'апрель 2024'!$J$4:$J$1689,J$1)</f>
        <v>0</v>
      </c>
      <c r="K110" s="80">
        <f>SUMIFS('апрель 2024'!$G$4:$G$1689,'апрель 2024'!$D$4:$D$1689,$B110,'апрель 2024'!$J$4:$J$1689,K$1)</f>
        <v>0</v>
      </c>
      <c r="L110" s="80">
        <f>SUMIFS('апрель 2024'!$G$4:$G$1689,'апрель 2024'!$D$4:$D$1689,$B110,'апрель 2024'!$J$4:$J$1689,L$1)</f>
        <v>0</v>
      </c>
      <c r="M110" s="80">
        <f>SUMIFS('апрель 2024'!$G$4:$G$1689,'апрель 2024'!$D$4:$D$1689,$B110,'апрель 2024'!$J$4:$J$1689,M$1)</f>
        <v>0</v>
      </c>
      <c r="N110" s="80">
        <f>SUMIFS('апрель 2024'!$G$4:$G$1689,'апрель 2024'!$D$4:$D$1689,$B110,'апрель 2024'!$J$4:$J$1689,N$1)</f>
        <v>0</v>
      </c>
      <c r="O110" s="80">
        <f>SUMIFS('апрель 2024'!$G$4:$G$1689,'апрель 2024'!$D$4:$D$1689,$B110,'апрель 2024'!$J$4:$J$1689,O$1)</f>
        <v>0</v>
      </c>
      <c r="P110" s="80">
        <f>SUMIFS('апрель 2024'!$G$4:$G$1689,'апрель 2024'!$D$4:$D$1689,$B110,'апрель 2024'!$J$4:$J$1689,P$1)</f>
        <v>0</v>
      </c>
      <c r="Q110" s="80">
        <f>SUMIFS('апрель 2024'!$G$4:$G$1689,'апрель 2024'!$D$4:$D$1689,$B110,'апрель 2024'!$J$4:$J$1689,Q$1)</f>
        <v>0</v>
      </c>
      <c r="R110" s="80">
        <f>SUMIFS('апрель 2024'!$G$4:$G$1689,'апрель 2024'!$D$4:$D$1689,$B110,'апрель 2024'!$J$4:$J$1689,R$1)</f>
        <v>0</v>
      </c>
      <c r="S110" s="80">
        <f>SUMIFS('апрель 2024'!$G$4:$G$1689,'апрель 2024'!$D$4:$D$1689,$B110,'апрель 2024'!$J$4:$J$1689,S$1)</f>
        <v>0</v>
      </c>
      <c r="T110" s="80">
        <f>SUMIFS('апрель 2024'!$G$4:$G$1689,'апрель 2024'!$D$4:$D$1689,$B110,'апрель 2024'!$J$4:$J$1689,T$1)</f>
        <v>0</v>
      </c>
      <c r="U110" s="80">
        <f>SUMIFS('апрель 2024'!$G$4:$G$1689,'апрель 2024'!$D$4:$D$1689,$B110,'апрель 2024'!$J$4:$J$1689,U$1)</f>
        <v>0</v>
      </c>
      <c r="V110" s="80">
        <f>SUMIFS('апрель 2024'!$G$4:$G$1689,'апрель 2024'!$D$4:$D$1689,$B110,'апрель 2024'!$J$4:$J$1689,V$1)</f>
        <v>0</v>
      </c>
      <c r="W110" s="80">
        <f>SUMIFS('апрель 2024'!$G$4:$G$1689,'апрель 2024'!$D$4:$D$1689,$B110,'апрель 2024'!$J$4:$J$1689,W$1)</f>
        <v>0</v>
      </c>
      <c r="X110" s="80">
        <f>SUMIFS('апрель 2024'!$G$4:$G$1689,'апрель 2024'!$D$4:$D$1689,$B110,'апрель 2024'!$J$4:$J$1689,X$1)</f>
        <v>0</v>
      </c>
      <c r="Y110" s="80">
        <f>SUMIFS('апрель 2024'!$G$4:$G$1689,'апрель 2024'!$D$4:$D$1689,$B110,'апрель 2024'!$J$4:$J$1689,Y$1)</f>
        <v>0</v>
      </c>
      <c r="Z110" s="80">
        <f>SUMIFS('апрель 2024'!$G$4:$G$1689,'апрель 2024'!$D$4:$D$1689,$B110,'апрель 2024'!$J$4:$J$1689,Z$1)</f>
        <v>88</v>
      </c>
      <c r="AA110" s="80">
        <f>SUMIFS('апрель 2024'!$G$4:$G$1689,'апрель 2024'!$D$4:$D$1689,$B110,'апрель 2024'!$J$4:$J$1689,AA$1)</f>
        <v>0</v>
      </c>
      <c r="AB110" s="80">
        <f>SUMIFS('апрель 2024'!$G$4:$G$1689,'апрель 2024'!$D$4:$D$1689,$B110,'апрель 2024'!$J$4:$J$1689,AB$1)</f>
        <v>0</v>
      </c>
      <c r="AC110" s="80">
        <f>SUMIFS('апрель 2024'!$G$4:$G$1689,'апрель 2024'!$D$4:$D$1689,$B110,'апрель 2024'!$J$4:$J$1689,AC$1)</f>
        <v>0</v>
      </c>
      <c r="AD110" s="80">
        <f>SUMIFS('апрель 2024'!$G$4:$G$1689,'апрель 2024'!$D$4:$D$1689,$B110,'апрель 2024'!$J$4:$J$1689,AD$1)</f>
        <v>0</v>
      </c>
      <c r="AE110" s="80">
        <f>SUMIFS('апрель 2024'!$G$4:$G$1689,'апрель 2024'!$D$4:$D$1689,$B110,'апрель 2024'!$J$4:$J$1689,AE$1)</f>
        <v>0</v>
      </c>
      <c r="AF110" s="80">
        <f>SUMIFS('апрель 2024'!$G$4:$G$1689,'апрель 2024'!$D$4:$D$1689,$B110,'апрель 2024'!$J$4:$J$1689,AF$1)</f>
        <v>0</v>
      </c>
      <c r="AG110" s="80">
        <f>SUMIFS('апрель 2024'!$G$4:$G$1689,'апрель 2024'!$D$4:$D$1689,$B110,'апрель 2024'!$J$4:$J$1689,AG$1)</f>
        <v>0</v>
      </c>
      <c r="AH110" s="80">
        <f>SUMIFS('апрель 2024'!$G$4:$G$1689,'апрель 2024'!$D$4:$D$1689,$B110,'апрель 2024'!$J$4:$J$1689,AH$1)</f>
        <v>0</v>
      </c>
      <c r="AI110" s="21">
        <f t="shared" si="1"/>
        <v>88</v>
      </c>
    </row>
    <row r="111" spans="2:35" ht="15" customHeight="1" x14ac:dyDescent="0.25">
      <c r="B111" s="89" t="s">
        <v>164</v>
      </c>
      <c r="C111" s="88">
        <v>950</v>
      </c>
      <c r="D111" s="80">
        <f>SUMIFS('апрель 2024'!$G$4:$G$1689,'апрель 2024'!$D$4:$D$1689,$B111,'апрель 2024'!$J$4:$J$1689,D$1)</f>
        <v>0</v>
      </c>
      <c r="E111" s="80">
        <f>SUMIFS('апрель 2024'!$G$4:$G$1689,'апрель 2024'!$D$4:$D$1689,$B111,'апрель 2024'!$J$4:$J$1689,E$1)</f>
        <v>0</v>
      </c>
      <c r="F111" s="80">
        <f>SUMIFS('апрель 2024'!$G$4:$G$1689,'апрель 2024'!$D$4:$D$1689,$B111,'апрель 2024'!$J$4:$J$1689,F$1)</f>
        <v>0</v>
      </c>
      <c r="G111" s="80">
        <f>SUMIFS('апрель 2024'!$G$4:$G$1689,'апрель 2024'!$D$4:$D$1689,$B111,'апрель 2024'!$J$4:$J$1689,G$1)</f>
        <v>0</v>
      </c>
      <c r="H111" s="80">
        <f>SUMIFS('апрель 2024'!$G$4:$G$1689,'апрель 2024'!$D$4:$D$1689,$B111,'апрель 2024'!$J$4:$J$1689,H$1)</f>
        <v>0</v>
      </c>
      <c r="I111" s="80">
        <f>SUMIFS('апрель 2024'!$G$4:$G$1689,'апрель 2024'!$D$4:$D$1689,$B111,'апрель 2024'!$J$4:$J$1689,I$1)</f>
        <v>0</v>
      </c>
      <c r="J111" s="80">
        <f>SUMIFS('апрель 2024'!$G$4:$G$1689,'апрель 2024'!$D$4:$D$1689,$B111,'апрель 2024'!$J$4:$J$1689,J$1)</f>
        <v>0</v>
      </c>
      <c r="K111" s="80">
        <f>SUMIFS('апрель 2024'!$G$4:$G$1689,'апрель 2024'!$D$4:$D$1689,$B111,'апрель 2024'!$J$4:$J$1689,K$1)</f>
        <v>0</v>
      </c>
      <c r="L111" s="80">
        <f>SUMIFS('апрель 2024'!$G$4:$G$1689,'апрель 2024'!$D$4:$D$1689,$B111,'апрель 2024'!$J$4:$J$1689,L$1)</f>
        <v>0</v>
      </c>
      <c r="M111" s="80">
        <f>SUMIFS('апрель 2024'!$G$4:$G$1689,'апрель 2024'!$D$4:$D$1689,$B111,'апрель 2024'!$J$4:$J$1689,M$1)</f>
        <v>0</v>
      </c>
      <c r="N111" s="80">
        <f>SUMIFS('апрель 2024'!$G$4:$G$1689,'апрель 2024'!$D$4:$D$1689,$B111,'апрель 2024'!$J$4:$J$1689,N$1)</f>
        <v>0</v>
      </c>
      <c r="O111" s="80">
        <f>SUMIFS('апрель 2024'!$G$4:$G$1689,'апрель 2024'!$D$4:$D$1689,$B111,'апрель 2024'!$J$4:$J$1689,O$1)</f>
        <v>0</v>
      </c>
      <c r="P111" s="80">
        <f>SUMIFS('апрель 2024'!$G$4:$G$1689,'апрель 2024'!$D$4:$D$1689,$B111,'апрель 2024'!$J$4:$J$1689,P$1)</f>
        <v>0</v>
      </c>
      <c r="Q111" s="80">
        <f>SUMIFS('апрель 2024'!$G$4:$G$1689,'апрель 2024'!$D$4:$D$1689,$B111,'апрель 2024'!$J$4:$J$1689,Q$1)</f>
        <v>0</v>
      </c>
      <c r="R111" s="80">
        <f>SUMIFS('апрель 2024'!$G$4:$G$1689,'апрель 2024'!$D$4:$D$1689,$B111,'апрель 2024'!$J$4:$J$1689,R$1)</f>
        <v>0</v>
      </c>
      <c r="S111" s="80">
        <f>SUMIFS('апрель 2024'!$G$4:$G$1689,'апрель 2024'!$D$4:$D$1689,$B111,'апрель 2024'!$J$4:$J$1689,S$1)</f>
        <v>0</v>
      </c>
      <c r="T111" s="80">
        <f>SUMIFS('апрель 2024'!$G$4:$G$1689,'апрель 2024'!$D$4:$D$1689,$B111,'апрель 2024'!$J$4:$J$1689,T$1)</f>
        <v>0</v>
      </c>
      <c r="U111" s="80">
        <f>SUMIFS('апрель 2024'!$G$4:$G$1689,'апрель 2024'!$D$4:$D$1689,$B111,'апрель 2024'!$J$4:$J$1689,U$1)</f>
        <v>0</v>
      </c>
      <c r="V111" s="80">
        <f>SUMIFS('апрель 2024'!$G$4:$G$1689,'апрель 2024'!$D$4:$D$1689,$B111,'апрель 2024'!$J$4:$J$1689,V$1)</f>
        <v>0</v>
      </c>
      <c r="W111" s="80">
        <f>SUMIFS('апрель 2024'!$G$4:$G$1689,'апрель 2024'!$D$4:$D$1689,$B111,'апрель 2024'!$J$4:$J$1689,W$1)</f>
        <v>0</v>
      </c>
      <c r="X111" s="80">
        <f>SUMIFS('апрель 2024'!$G$4:$G$1689,'апрель 2024'!$D$4:$D$1689,$B111,'апрель 2024'!$J$4:$J$1689,X$1)</f>
        <v>0</v>
      </c>
      <c r="Y111" s="80">
        <f>SUMIFS('апрель 2024'!$G$4:$G$1689,'апрель 2024'!$D$4:$D$1689,$B111,'апрель 2024'!$J$4:$J$1689,Y$1)</f>
        <v>0</v>
      </c>
      <c r="Z111" s="80">
        <f>SUMIFS('апрель 2024'!$G$4:$G$1689,'апрель 2024'!$D$4:$D$1689,$B111,'апрель 2024'!$J$4:$J$1689,Z$1)</f>
        <v>0</v>
      </c>
      <c r="AA111" s="80">
        <f>SUMIFS('апрель 2024'!$G$4:$G$1689,'апрель 2024'!$D$4:$D$1689,$B111,'апрель 2024'!$J$4:$J$1689,AA$1)</f>
        <v>0</v>
      </c>
      <c r="AB111" s="80">
        <f>SUMIFS('апрель 2024'!$G$4:$G$1689,'апрель 2024'!$D$4:$D$1689,$B111,'апрель 2024'!$J$4:$J$1689,AB$1)</f>
        <v>0</v>
      </c>
      <c r="AC111" s="80">
        <f>SUMIFS('апрель 2024'!$G$4:$G$1689,'апрель 2024'!$D$4:$D$1689,$B111,'апрель 2024'!$J$4:$J$1689,AC$1)</f>
        <v>0</v>
      </c>
      <c r="AD111" s="80">
        <f>SUMIFS('апрель 2024'!$G$4:$G$1689,'апрель 2024'!$D$4:$D$1689,$B111,'апрель 2024'!$J$4:$J$1689,AD$1)</f>
        <v>0</v>
      </c>
      <c r="AE111" s="80">
        <f>SUMIFS('апрель 2024'!$G$4:$G$1689,'апрель 2024'!$D$4:$D$1689,$B111,'апрель 2024'!$J$4:$J$1689,AE$1)</f>
        <v>0</v>
      </c>
      <c r="AF111" s="80">
        <f>SUMIFS('апрель 2024'!$G$4:$G$1689,'апрель 2024'!$D$4:$D$1689,$B111,'апрель 2024'!$J$4:$J$1689,AF$1)</f>
        <v>0</v>
      </c>
      <c r="AG111" s="80">
        <f>SUMIFS('апрель 2024'!$G$4:$G$1689,'апрель 2024'!$D$4:$D$1689,$B111,'апрель 2024'!$J$4:$J$1689,AG$1)</f>
        <v>0</v>
      </c>
      <c r="AH111" s="80">
        <f>SUMIFS('апрель 2024'!$G$4:$G$1689,'апрель 2024'!$D$4:$D$1689,$B111,'апрель 2024'!$J$4:$J$1689,AH$1)</f>
        <v>0</v>
      </c>
      <c r="AI111" s="21">
        <f t="shared" si="1"/>
        <v>0</v>
      </c>
    </row>
    <row r="112" spans="2:35" ht="15" customHeight="1" x14ac:dyDescent="0.25">
      <c r="B112" s="89" t="s">
        <v>193</v>
      </c>
      <c r="C112" s="88">
        <v>180</v>
      </c>
      <c r="D112" s="80">
        <f>SUMIFS('апрель 2024'!$G$4:$G$1689,'апрель 2024'!$D$4:$D$1689,$B112,'апрель 2024'!$J$4:$J$1689,D$1)</f>
        <v>0</v>
      </c>
      <c r="E112" s="80">
        <f>SUMIFS('апрель 2024'!$G$4:$G$1689,'апрель 2024'!$D$4:$D$1689,$B112,'апрель 2024'!$J$4:$J$1689,E$1)</f>
        <v>0</v>
      </c>
      <c r="F112" s="80">
        <f>SUMIFS('апрель 2024'!$G$4:$G$1689,'апрель 2024'!$D$4:$D$1689,$B112,'апрель 2024'!$J$4:$J$1689,F$1)</f>
        <v>0</v>
      </c>
      <c r="G112" s="80">
        <f>SUMIFS('апрель 2024'!$G$4:$G$1689,'апрель 2024'!$D$4:$D$1689,$B112,'апрель 2024'!$J$4:$J$1689,G$1)</f>
        <v>0</v>
      </c>
      <c r="H112" s="80">
        <f>SUMIFS('апрель 2024'!$G$4:$G$1689,'апрель 2024'!$D$4:$D$1689,$B112,'апрель 2024'!$J$4:$J$1689,H$1)</f>
        <v>0</v>
      </c>
      <c r="I112" s="80">
        <f>SUMIFS('апрель 2024'!$G$4:$G$1689,'апрель 2024'!$D$4:$D$1689,$B112,'апрель 2024'!$J$4:$J$1689,I$1)</f>
        <v>0</v>
      </c>
      <c r="J112" s="80">
        <f>SUMIFS('апрель 2024'!$G$4:$G$1689,'апрель 2024'!$D$4:$D$1689,$B112,'апрель 2024'!$J$4:$J$1689,J$1)</f>
        <v>0</v>
      </c>
      <c r="K112" s="80">
        <f>SUMIFS('апрель 2024'!$G$4:$G$1689,'апрель 2024'!$D$4:$D$1689,$B112,'апрель 2024'!$J$4:$J$1689,K$1)</f>
        <v>0</v>
      </c>
      <c r="L112" s="80">
        <f>SUMIFS('апрель 2024'!$G$4:$G$1689,'апрель 2024'!$D$4:$D$1689,$B112,'апрель 2024'!$J$4:$J$1689,L$1)</f>
        <v>0</v>
      </c>
      <c r="M112" s="80">
        <f>SUMIFS('апрель 2024'!$G$4:$G$1689,'апрель 2024'!$D$4:$D$1689,$B112,'апрель 2024'!$J$4:$J$1689,M$1)</f>
        <v>0</v>
      </c>
      <c r="N112" s="80">
        <f>SUMIFS('апрель 2024'!$G$4:$G$1689,'апрель 2024'!$D$4:$D$1689,$B112,'апрель 2024'!$J$4:$J$1689,N$1)</f>
        <v>0</v>
      </c>
      <c r="O112" s="80">
        <f>SUMIFS('апрель 2024'!$G$4:$G$1689,'апрель 2024'!$D$4:$D$1689,$B112,'апрель 2024'!$J$4:$J$1689,O$1)</f>
        <v>80</v>
      </c>
      <c r="P112" s="80">
        <f>SUMIFS('апрель 2024'!$G$4:$G$1689,'апрель 2024'!$D$4:$D$1689,$B112,'апрель 2024'!$J$4:$J$1689,P$1)</f>
        <v>0</v>
      </c>
      <c r="Q112" s="80">
        <f>SUMIFS('апрель 2024'!$G$4:$G$1689,'апрель 2024'!$D$4:$D$1689,$B112,'апрель 2024'!$J$4:$J$1689,Q$1)</f>
        <v>0</v>
      </c>
      <c r="R112" s="80">
        <f>SUMIFS('апрель 2024'!$G$4:$G$1689,'апрель 2024'!$D$4:$D$1689,$B112,'апрель 2024'!$J$4:$J$1689,R$1)</f>
        <v>80</v>
      </c>
      <c r="S112" s="80">
        <f>SUMIFS('апрель 2024'!$G$4:$G$1689,'апрель 2024'!$D$4:$D$1689,$B112,'апрель 2024'!$J$4:$J$1689,S$1)</f>
        <v>0</v>
      </c>
      <c r="T112" s="80">
        <f>SUMIFS('апрель 2024'!$G$4:$G$1689,'апрель 2024'!$D$4:$D$1689,$B112,'апрель 2024'!$J$4:$J$1689,T$1)</f>
        <v>0</v>
      </c>
      <c r="U112" s="80">
        <f>SUMIFS('апрель 2024'!$G$4:$G$1689,'апрель 2024'!$D$4:$D$1689,$B112,'апрель 2024'!$J$4:$J$1689,U$1)</f>
        <v>0</v>
      </c>
      <c r="V112" s="80">
        <f>SUMIFS('апрель 2024'!$G$4:$G$1689,'апрель 2024'!$D$4:$D$1689,$B112,'апрель 2024'!$J$4:$J$1689,V$1)</f>
        <v>80</v>
      </c>
      <c r="W112" s="80">
        <f>SUMIFS('апрель 2024'!$G$4:$G$1689,'апрель 2024'!$D$4:$D$1689,$B112,'апрель 2024'!$J$4:$J$1689,W$1)</f>
        <v>0</v>
      </c>
      <c r="X112" s="80">
        <f>SUMIFS('апрель 2024'!$G$4:$G$1689,'апрель 2024'!$D$4:$D$1689,$B112,'апрель 2024'!$J$4:$J$1689,X$1)</f>
        <v>0</v>
      </c>
      <c r="Y112" s="80">
        <f>SUMIFS('апрель 2024'!$G$4:$G$1689,'апрель 2024'!$D$4:$D$1689,$B112,'апрель 2024'!$J$4:$J$1689,Y$1)</f>
        <v>80</v>
      </c>
      <c r="Z112" s="80">
        <f>SUMIFS('апрель 2024'!$G$4:$G$1689,'апрель 2024'!$D$4:$D$1689,$B112,'апрель 2024'!$J$4:$J$1689,Z$1)</f>
        <v>0</v>
      </c>
      <c r="AA112" s="80">
        <f>SUMIFS('апрель 2024'!$G$4:$G$1689,'апрель 2024'!$D$4:$D$1689,$B112,'апрель 2024'!$J$4:$J$1689,AA$1)</f>
        <v>0</v>
      </c>
      <c r="AB112" s="80">
        <f>SUMIFS('апрель 2024'!$G$4:$G$1689,'апрель 2024'!$D$4:$D$1689,$B112,'апрель 2024'!$J$4:$J$1689,AB$1)</f>
        <v>0</v>
      </c>
      <c r="AC112" s="80">
        <f>SUMIFS('апрель 2024'!$G$4:$G$1689,'апрель 2024'!$D$4:$D$1689,$B112,'апрель 2024'!$J$4:$J$1689,AC$1)</f>
        <v>0</v>
      </c>
      <c r="AD112" s="80">
        <f>SUMIFS('апрель 2024'!$G$4:$G$1689,'апрель 2024'!$D$4:$D$1689,$B112,'апрель 2024'!$J$4:$J$1689,AD$1)</f>
        <v>0</v>
      </c>
      <c r="AE112" s="80">
        <f>SUMIFS('апрель 2024'!$G$4:$G$1689,'апрель 2024'!$D$4:$D$1689,$B112,'апрель 2024'!$J$4:$J$1689,AE$1)</f>
        <v>0</v>
      </c>
      <c r="AF112" s="80">
        <f>SUMIFS('апрель 2024'!$G$4:$G$1689,'апрель 2024'!$D$4:$D$1689,$B112,'апрель 2024'!$J$4:$J$1689,AF$1)</f>
        <v>0</v>
      </c>
      <c r="AG112" s="80">
        <f>SUMIFS('апрель 2024'!$G$4:$G$1689,'апрель 2024'!$D$4:$D$1689,$B112,'апрель 2024'!$J$4:$J$1689,AG$1)</f>
        <v>0</v>
      </c>
      <c r="AH112" s="80">
        <f>SUMIFS('апрель 2024'!$G$4:$G$1689,'апрель 2024'!$D$4:$D$1689,$B112,'апрель 2024'!$J$4:$J$1689,AH$1)</f>
        <v>0</v>
      </c>
      <c r="AI112" s="21">
        <f t="shared" si="1"/>
        <v>320</v>
      </c>
    </row>
    <row r="113" spans="2:35" ht="15" customHeight="1" x14ac:dyDescent="0.25">
      <c r="B113" s="89" t="s">
        <v>1070</v>
      </c>
      <c r="C113" s="88">
        <v>180</v>
      </c>
      <c r="D113" s="80">
        <f>SUMIFS('апрель 2024'!$G$4:$G$1689,'апрель 2024'!$D$4:$D$1689,$B113,'апрель 2024'!$J$4:$J$1689,D$1)</f>
        <v>0</v>
      </c>
      <c r="E113" s="80">
        <f>SUMIFS('апрель 2024'!$G$4:$G$1689,'апрель 2024'!$D$4:$D$1689,$B113,'апрель 2024'!$J$4:$J$1689,E$1)</f>
        <v>0</v>
      </c>
      <c r="F113" s="80">
        <f>SUMIFS('апрель 2024'!$G$4:$G$1689,'апрель 2024'!$D$4:$D$1689,$B113,'апрель 2024'!$J$4:$J$1689,F$1)</f>
        <v>0</v>
      </c>
      <c r="G113" s="80">
        <f>SUMIFS('апрель 2024'!$G$4:$G$1689,'апрель 2024'!$D$4:$D$1689,$B113,'апрель 2024'!$J$4:$J$1689,G$1)</f>
        <v>0</v>
      </c>
      <c r="H113" s="80">
        <f>SUMIFS('апрель 2024'!$G$4:$G$1689,'апрель 2024'!$D$4:$D$1689,$B113,'апрель 2024'!$J$4:$J$1689,H$1)</f>
        <v>0</v>
      </c>
      <c r="I113" s="80">
        <f>SUMIFS('апрель 2024'!$G$4:$G$1689,'апрель 2024'!$D$4:$D$1689,$B113,'апрель 2024'!$J$4:$J$1689,I$1)</f>
        <v>0</v>
      </c>
      <c r="J113" s="80">
        <f>SUMIFS('апрель 2024'!$G$4:$G$1689,'апрель 2024'!$D$4:$D$1689,$B113,'апрель 2024'!$J$4:$J$1689,J$1)</f>
        <v>0</v>
      </c>
      <c r="K113" s="80">
        <f>SUMIFS('апрель 2024'!$G$4:$G$1689,'апрель 2024'!$D$4:$D$1689,$B113,'апрель 2024'!$J$4:$J$1689,K$1)</f>
        <v>0</v>
      </c>
      <c r="L113" s="80">
        <f>SUMIFS('апрель 2024'!$G$4:$G$1689,'апрель 2024'!$D$4:$D$1689,$B113,'апрель 2024'!$J$4:$J$1689,L$1)</f>
        <v>0</v>
      </c>
      <c r="M113" s="80">
        <f>SUMIFS('апрель 2024'!$G$4:$G$1689,'апрель 2024'!$D$4:$D$1689,$B113,'апрель 2024'!$J$4:$J$1689,M$1)</f>
        <v>0</v>
      </c>
      <c r="N113" s="80">
        <f>SUMIFS('апрель 2024'!$G$4:$G$1689,'апрель 2024'!$D$4:$D$1689,$B113,'апрель 2024'!$J$4:$J$1689,N$1)</f>
        <v>0</v>
      </c>
      <c r="O113" s="80">
        <f>SUMIFS('апрель 2024'!$G$4:$G$1689,'апрель 2024'!$D$4:$D$1689,$B113,'апрель 2024'!$J$4:$J$1689,O$1)</f>
        <v>0</v>
      </c>
      <c r="P113" s="80">
        <f>SUMIFS('апрель 2024'!$G$4:$G$1689,'апрель 2024'!$D$4:$D$1689,$B113,'апрель 2024'!$J$4:$J$1689,P$1)</f>
        <v>0</v>
      </c>
      <c r="Q113" s="80">
        <f>SUMIFS('апрель 2024'!$G$4:$G$1689,'апрель 2024'!$D$4:$D$1689,$B113,'апрель 2024'!$J$4:$J$1689,Q$1)</f>
        <v>0</v>
      </c>
      <c r="R113" s="80">
        <f>SUMIFS('апрель 2024'!$G$4:$G$1689,'апрель 2024'!$D$4:$D$1689,$B113,'апрель 2024'!$J$4:$J$1689,R$1)</f>
        <v>0</v>
      </c>
      <c r="S113" s="80">
        <f>SUMIFS('апрель 2024'!$G$4:$G$1689,'апрель 2024'!$D$4:$D$1689,$B113,'апрель 2024'!$J$4:$J$1689,S$1)</f>
        <v>0</v>
      </c>
      <c r="T113" s="80">
        <f>SUMIFS('апрель 2024'!$G$4:$G$1689,'апрель 2024'!$D$4:$D$1689,$B113,'апрель 2024'!$J$4:$J$1689,T$1)</f>
        <v>0</v>
      </c>
      <c r="U113" s="80">
        <f>SUMIFS('апрель 2024'!$G$4:$G$1689,'апрель 2024'!$D$4:$D$1689,$B113,'апрель 2024'!$J$4:$J$1689,U$1)</f>
        <v>0</v>
      </c>
      <c r="V113" s="80">
        <f>SUMIFS('апрель 2024'!$G$4:$G$1689,'апрель 2024'!$D$4:$D$1689,$B113,'апрель 2024'!$J$4:$J$1689,V$1)</f>
        <v>0</v>
      </c>
      <c r="W113" s="80">
        <f>SUMIFS('апрель 2024'!$G$4:$G$1689,'апрель 2024'!$D$4:$D$1689,$B113,'апрель 2024'!$J$4:$J$1689,W$1)</f>
        <v>0</v>
      </c>
      <c r="X113" s="80">
        <f>SUMIFS('апрель 2024'!$G$4:$G$1689,'апрель 2024'!$D$4:$D$1689,$B113,'апрель 2024'!$J$4:$J$1689,X$1)</f>
        <v>0</v>
      </c>
      <c r="Y113" s="80">
        <f>SUMIFS('апрель 2024'!$G$4:$G$1689,'апрель 2024'!$D$4:$D$1689,$B113,'апрель 2024'!$J$4:$J$1689,Y$1)</f>
        <v>0</v>
      </c>
      <c r="Z113" s="80">
        <f>SUMIFS('апрель 2024'!$G$4:$G$1689,'апрель 2024'!$D$4:$D$1689,$B113,'апрель 2024'!$J$4:$J$1689,Z$1)</f>
        <v>0</v>
      </c>
      <c r="AA113" s="80">
        <f>SUMIFS('апрель 2024'!$G$4:$G$1689,'апрель 2024'!$D$4:$D$1689,$B113,'апрель 2024'!$J$4:$J$1689,AA$1)</f>
        <v>0</v>
      </c>
      <c r="AB113" s="80">
        <f>SUMIFS('апрель 2024'!$G$4:$G$1689,'апрель 2024'!$D$4:$D$1689,$B113,'апрель 2024'!$J$4:$J$1689,AB$1)</f>
        <v>0</v>
      </c>
      <c r="AC113" s="80">
        <f>SUMIFS('апрель 2024'!$G$4:$G$1689,'апрель 2024'!$D$4:$D$1689,$B113,'апрель 2024'!$J$4:$J$1689,AC$1)</f>
        <v>0</v>
      </c>
      <c r="AD113" s="80">
        <f>SUMIFS('апрель 2024'!$G$4:$G$1689,'апрель 2024'!$D$4:$D$1689,$B113,'апрель 2024'!$J$4:$J$1689,AD$1)</f>
        <v>0</v>
      </c>
      <c r="AE113" s="80">
        <f>SUMIFS('апрель 2024'!$G$4:$G$1689,'апрель 2024'!$D$4:$D$1689,$B113,'апрель 2024'!$J$4:$J$1689,AE$1)</f>
        <v>0</v>
      </c>
      <c r="AF113" s="80">
        <f>SUMIFS('апрель 2024'!$G$4:$G$1689,'апрель 2024'!$D$4:$D$1689,$B113,'апрель 2024'!$J$4:$J$1689,AF$1)</f>
        <v>0</v>
      </c>
      <c r="AG113" s="80">
        <f>SUMIFS('апрель 2024'!$G$4:$G$1689,'апрель 2024'!$D$4:$D$1689,$B113,'апрель 2024'!$J$4:$J$1689,AG$1)</f>
        <v>0</v>
      </c>
      <c r="AH113" s="80">
        <f>SUMIFS('апрель 2024'!$G$4:$G$1689,'апрель 2024'!$D$4:$D$1689,$B113,'апрель 2024'!$J$4:$J$1689,AH$1)</f>
        <v>0</v>
      </c>
      <c r="AI113" s="21">
        <f>SUM(D113:AH113)</f>
        <v>0</v>
      </c>
    </row>
    <row r="114" spans="2:35" ht="15" customHeight="1" x14ac:dyDescent="0.25">
      <c r="B114" s="89" t="s">
        <v>177</v>
      </c>
      <c r="C114" s="88">
        <v>200</v>
      </c>
      <c r="D114" s="80">
        <f>SUMIFS('апрель 2024'!$G$4:$G$1689,'апрель 2024'!$D$4:$D$1689,$B114,'апрель 2024'!$J$4:$J$1689,D$1)</f>
        <v>0</v>
      </c>
      <c r="E114" s="80">
        <f>SUMIFS('апрель 2024'!$G$4:$G$1689,'апрель 2024'!$D$4:$D$1689,$B114,'апрель 2024'!$J$4:$J$1689,E$1)</f>
        <v>0</v>
      </c>
      <c r="F114" s="80">
        <f>SUMIFS('апрель 2024'!$G$4:$G$1689,'апрель 2024'!$D$4:$D$1689,$B114,'апрель 2024'!$J$4:$J$1689,F$1)</f>
        <v>0</v>
      </c>
      <c r="G114" s="80">
        <f>SUMIFS('апрель 2024'!$G$4:$G$1689,'апрель 2024'!$D$4:$D$1689,$B114,'апрель 2024'!$J$4:$J$1689,G$1)</f>
        <v>0</v>
      </c>
      <c r="H114" s="80">
        <f>SUMIFS('апрель 2024'!$G$4:$G$1689,'апрель 2024'!$D$4:$D$1689,$B114,'апрель 2024'!$J$4:$J$1689,H$1)</f>
        <v>0</v>
      </c>
      <c r="I114" s="80">
        <f>SUMIFS('апрель 2024'!$G$4:$G$1689,'апрель 2024'!$D$4:$D$1689,$B114,'апрель 2024'!$J$4:$J$1689,I$1)</f>
        <v>0</v>
      </c>
      <c r="J114" s="80">
        <f>SUMIFS('апрель 2024'!$G$4:$G$1689,'апрель 2024'!$D$4:$D$1689,$B114,'апрель 2024'!$J$4:$J$1689,J$1)</f>
        <v>0</v>
      </c>
      <c r="K114" s="80">
        <f>SUMIFS('апрель 2024'!$G$4:$G$1689,'апрель 2024'!$D$4:$D$1689,$B114,'апрель 2024'!$J$4:$J$1689,K$1)</f>
        <v>0</v>
      </c>
      <c r="L114" s="80">
        <f>SUMIFS('апрель 2024'!$G$4:$G$1689,'апрель 2024'!$D$4:$D$1689,$B114,'апрель 2024'!$J$4:$J$1689,L$1)</f>
        <v>0</v>
      </c>
      <c r="M114" s="80">
        <f>SUMIFS('апрель 2024'!$G$4:$G$1689,'апрель 2024'!$D$4:$D$1689,$B114,'апрель 2024'!$J$4:$J$1689,M$1)</f>
        <v>0</v>
      </c>
      <c r="N114" s="80">
        <f>SUMIFS('апрель 2024'!$G$4:$G$1689,'апрель 2024'!$D$4:$D$1689,$B114,'апрель 2024'!$J$4:$J$1689,N$1)</f>
        <v>0</v>
      </c>
      <c r="O114" s="80">
        <f>SUMIFS('апрель 2024'!$G$4:$G$1689,'апрель 2024'!$D$4:$D$1689,$B114,'апрель 2024'!$J$4:$J$1689,O$1)</f>
        <v>0</v>
      </c>
      <c r="P114" s="80">
        <f>SUMIFS('апрель 2024'!$G$4:$G$1689,'апрель 2024'!$D$4:$D$1689,$B114,'апрель 2024'!$J$4:$J$1689,P$1)</f>
        <v>0</v>
      </c>
      <c r="Q114" s="80">
        <f>SUMIFS('апрель 2024'!$G$4:$G$1689,'апрель 2024'!$D$4:$D$1689,$B114,'апрель 2024'!$J$4:$J$1689,Q$1)</f>
        <v>0</v>
      </c>
      <c r="R114" s="80">
        <f>SUMIFS('апрель 2024'!$G$4:$G$1689,'апрель 2024'!$D$4:$D$1689,$B114,'апрель 2024'!$J$4:$J$1689,R$1)</f>
        <v>0</v>
      </c>
      <c r="S114" s="80">
        <f>SUMIFS('апрель 2024'!$G$4:$G$1689,'апрель 2024'!$D$4:$D$1689,$B114,'апрель 2024'!$J$4:$J$1689,S$1)</f>
        <v>0</v>
      </c>
      <c r="T114" s="80">
        <f>SUMIFS('апрель 2024'!$G$4:$G$1689,'апрель 2024'!$D$4:$D$1689,$B114,'апрель 2024'!$J$4:$J$1689,T$1)</f>
        <v>0</v>
      </c>
      <c r="U114" s="80">
        <f>SUMIFS('апрель 2024'!$G$4:$G$1689,'апрель 2024'!$D$4:$D$1689,$B114,'апрель 2024'!$J$4:$J$1689,U$1)</f>
        <v>0</v>
      </c>
      <c r="V114" s="80">
        <f>SUMIFS('апрель 2024'!$G$4:$G$1689,'апрель 2024'!$D$4:$D$1689,$B114,'апрель 2024'!$J$4:$J$1689,V$1)</f>
        <v>0</v>
      </c>
      <c r="W114" s="80">
        <f>SUMIFS('апрель 2024'!$G$4:$G$1689,'апрель 2024'!$D$4:$D$1689,$B114,'апрель 2024'!$J$4:$J$1689,W$1)</f>
        <v>0</v>
      </c>
      <c r="X114" s="80">
        <f>SUMIFS('апрель 2024'!$G$4:$G$1689,'апрель 2024'!$D$4:$D$1689,$B114,'апрель 2024'!$J$4:$J$1689,X$1)</f>
        <v>0</v>
      </c>
      <c r="Y114" s="80">
        <f>SUMIFS('апрель 2024'!$G$4:$G$1689,'апрель 2024'!$D$4:$D$1689,$B114,'апрель 2024'!$J$4:$J$1689,Y$1)</f>
        <v>0</v>
      </c>
      <c r="Z114" s="80">
        <f>SUMIFS('апрель 2024'!$G$4:$G$1689,'апрель 2024'!$D$4:$D$1689,$B114,'апрель 2024'!$J$4:$J$1689,Z$1)</f>
        <v>0</v>
      </c>
      <c r="AA114" s="80">
        <f>SUMIFS('апрель 2024'!$G$4:$G$1689,'апрель 2024'!$D$4:$D$1689,$B114,'апрель 2024'!$J$4:$J$1689,AA$1)</f>
        <v>0</v>
      </c>
      <c r="AB114" s="80">
        <f>SUMIFS('апрель 2024'!$G$4:$G$1689,'апрель 2024'!$D$4:$D$1689,$B114,'апрель 2024'!$J$4:$J$1689,AB$1)</f>
        <v>0</v>
      </c>
      <c r="AC114" s="80">
        <f>SUMIFS('апрель 2024'!$G$4:$G$1689,'апрель 2024'!$D$4:$D$1689,$B114,'апрель 2024'!$J$4:$J$1689,AC$1)</f>
        <v>0</v>
      </c>
      <c r="AD114" s="80">
        <f>SUMIFS('апрель 2024'!$G$4:$G$1689,'апрель 2024'!$D$4:$D$1689,$B114,'апрель 2024'!$J$4:$J$1689,AD$1)</f>
        <v>0</v>
      </c>
      <c r="AE114" s="80">
        <f>SUMIFS('апрель 2024'!$G$4:$G$1689,'апрель 2024'!$D$4:$D$1689,$B114,'апрель 2024'!$J$4:$J$1689,AE$1)</f>
        <v>0</v>
      </c>
      <c r="AF114" s="80">
        <f>SUMIFS('апрель 2024'!$G$4:$G$1689,'апрель 2024'!$D$4:$D$1689,$B114,'апрель 2024'!$J$4:$J$1689,AF$1)</f>
        <v>0</v>
      </c>
      <c r="AG114" s="80">
        <f>SUMIFS('апрель 2024'!$G$4:$G$1689,'апрель 2024'!$D$4:$D$1689,$B114,'апрель 2024'!$J$4:$J$1689,AG$1)</f>
        <v>0</v>
      </c>
      <c r="AH114" s="80">
        <f>SUMIFS('апрель 2024'!$G$4:$G$1689,'апрель 2024'!$D$4:$D$1689,$B114,'апрель 2024'!$J$4:$J$1689,AH$1)</f>
        <v>0</v>
      </c>
      <c r="AI114" s="21">
        <f t="shared" si="1"/>
        <v>0</v>
      </c>
    </row>
    <row r="115" spans="2:35" ht="15" customHeight="1" x14ac:dyDescent="0.25">
      <c r="B115" s="89" t="s">
        <v>178</v>
      </c>
      <c r="C115" s="88">
        <v>200</v>
      </c>
      <c r="D115" s="80">
        <f>SUMIFS('апрель 2024'!$G$4:$G$1689,'апрель 2024'!$D$4:$D$1689,$B115,'апрель 2024'!$J$4:$J$1689,D$1)</f>
        <v>0</v>
      </c>
      <c r="E115" s="80">
        <f>SUMIFS('апрель 2024'!$G$4:$G$1689,'апрель 2024'!$D$4:$D$1689,$B115,'апрель 2024'!$J$4:$J$1689,E$1)</f>
        <v>0</v>
      </c>
      <c r="F115" s="80">
        <f>SUMIFS('апрель 2024'!$G$4:$G$1689,'апрель 2024'!$D$4:$D$1689,$B115,'апрель 2024'!$J$4:$J$1689,F$1)</f>
        <v>0</v>
      </c>
      <c r="G115" s="80">
        <f>SUMIFS('апрель 2024'!$G$4:$G$1689,'апрель 2024'!$D$4:$D$1689,$B115,'апрель 2024'!$J$4:$J$1689,G$1)</f>
        <v>0</v>
      </c>
      <c r="H115" s="80">
        <f>SUMIFS('апрель 2024'!$G$4:$G$1689,'апрель 2024'!$D$4:$D$1689,$B115,'апрель 2024'!$J$4:$J$1689,H$1)</f>
        <v>0</v>
      </c>
      <c r="I115" s="80">
        <f>SUMIFS('апрель 2024'!$G$4:$G$1689,'апрель 2024'!$D$4:$D$1689,$B115,'апрель 2024'!$J$4:$J$1689,I$1)</f>
        <v>0</v>
      </c>
      <c r="J115" s="80">
        <f>SUMIFS('апрель 2024'!$G$4:$G$1689,'апрель 2024'!$D$4:$D$1689,$B115,'апрель 2024'!$J$4:$J$1689,J$1)</f>
        <v>0</v>
      </c>
      <c r="K115" s="80">
        <f>SUMIFS('апрель 2024'!$G$4:$G$1689,'апрель 2024'!$D$4:$D$1689,$B115,'апрель 2024'!$J$4:$J$1689,K$1)</f>
        <v>0</v>
      </c>
      <c r="L115" s="80">
        <f>SUMIFS('апрель 2024'!$G$4:$G$1689,'апрель 2024'!$D$4:$D$1689,$B115,'апрель 2024'!$J$4:$J$1689,L$1)</f>
        <v>0</v>
      </c>
      <c r="M115" s="80">
        <f>SUMIFS('апрель 2024'!$G$4:$G$1689,'апрель 2024'!$D$4:$D$1689,$B115,'апрель 2024'!$J$4:$J$1689,M$1)</f>
        <v>0</v>
      </c>
      <c r="N115" s="80">
        <f>SUMIFS('апрель 2024'!$G$4:$G$1689,'апрель 2024'!$D$4:$D$1689,$B115,'апрель 2024'!$J$4:$J$1689,N$1)</f>
        <v>0</v>
      </c>
      <c r="O115" s="80">
        <f>SUMIFS('апрель 2024'!$G$4:$G$1689,'апрель 2024'!$D$4:$D$1689,$B115,'апрель 2024'!$J$4:$J$1689,O$1)</f>
        <v>0</v>
      </c>
      <c r="P115" s="80">
        <f>SUMIFS('апрель 2024'!$G$4:$G$1689,'апрель 2024'!$D$4:$D$1689,$B115,'апрель 2024'!$J$4:$J$1689,P$1)</f>
        <v>0</v>
      </c>
      <c r="Q115" s="80">
        <f>SUMIFS('апрель 2024'!$G$4:$G$1689,'апрель 2024'!$D$4:$D$1689,$B115,'апрель 2024'!$J$4:$J$1689,Q$1)</f>
        <v>0</v>
      </c>
      <c r="R115" s="80">
        <f>SUMIFS('апрель 2024'!$G$4:$G$1689,'апрель 2024'!$D$4:$D$1689,$B115,'апрель 2024'!$J$4:$J$1689,R$1)</f>
        <v>0</v>
      </c>
      <c r="S115" s="80">
        <f>SUMIFS('апрель 2024'!$G$4:$G$1689,'апрель 2024'!$D$4:$D$1689,$B115,'апрель 2024'!$J$4:$J$1689,S$1)</f>
        <v>0</v>
      </c>
      <c r="T115" s="80">
        <f>SUMIFS('апрель 2024'!$G$4:$G$1689,'апрель 2024'!$D$4:$D$1689,$B115,'апрель 2024'!$J$4:$J$1689,T$1)</f>
        <v>0</v>
      </c>
      <c r="U115" s="80">
        <f>SUMIFS('апрель 2024'!$G$4:$G$1689,'апрель 2024'!$D$4:$D$1689,$B115,'апрель 2024'!$J$4:$J$1689,U$1)</f>
        <v>0</v>
      </c>
      <c r="V115" s="80">
        <f>SUMIFS('апрель 2024'!$G$4:$G$1689,'апрель 2024'!$D$4:$D$1689,$B115,'апрель 2024'!$J$4:$J$1689,V$1)</f>
        <v>0</v>
      </c>
      <c r="W115" s="80">
        <f>SUMIFS('апрель 2024'!$G$4:$G$1689,'апрель 2024'!$D$4:$D$1689,$B115,'апрель 2024'!$J$4:$J$1689,W$1)</f>
        <v>0</v>
      </c>
      <c r="X115" s="80">
        <f>SUMIFS('апрель 2024'!$G$4:$G$1689,'апрель 2024'!$D$4:$D$1689,$B115,'апрель 2024'!$J$4:$J$1689,X$1)</f>
        <v>0</v>
      </c>
      <c r="Y115" s="80">
        <f>SUMIFS('апрель 2024'!$G$4:$G$1689,'апрель 2024'!$D$4:$D$1689,$B115,'апрель 2024'!$J$4:$J$1689,Y$1)</f>
        <v>0</v>
      </c>
      <c r="Z115" s="80">
        <f>SUMIFS('апрель 2024'!$G$4:$G$1689,'апрель 2024'!$D$4:$D$1689,$B115,'апрель 2024'!$J$4:$J$1689,Z$1)</f>
        <v>0</v>
      </c>
      <c r="AA115" s="80">
        <f>SUMIFS('апрель 2024'!$G$4:$G$1689,'апрель 2024'!$D$4:$D$1689,$B115,'апрель 2024'!$J$4:$J$1689,AA$1)</f>
        <v>0</v>
      </c>
      <c r="AB115" s="80">
        <f>SUMIFS('апрель 2024'!$G$4:$G$1689,'апрель 2024'!$D$4:$D$1689,$B115,'апрель 2024'!$J$4:$J$1689,AB$1)</f>
        <v>0</v>
      </c>
      <c r="AC115" s="80">
        <f>SUMIFS('апрель 2024'!$G$4:$G$1689,'апрель 2024'!$D$4:$D$1689,$B115,'апрель 2024'!$J$4:$J$1689,AC$1)</f>
        <v>0</v>
      </c>
      <c r="AD115" s="80">
        <f>SUMIFS('апрель 2024'!$G$4:$G$1689,'апрель 2024'!$D$4:$D$1689,$B115,'апрель 2024'!$J$4:$J$1689,AD$1)</f>
        <v>0</v>
      </c>
      <c r="AE115" s="80">
        <f>SUMIFS('апрель 2024'!$G$4:$G$1689,'апрель 2024'!$D$4:$D$1689,$B115,'апрель 2024'!$J$4:$J$1689,AE$1)</f>
        <v>0</v>
      </c>
      <c r="AF115" s="80">
        <f>SUMIFS('апрель 2024'!$G$4:$G$1689,'апрель 2024'!$D$4:$D$1689,$B115,'апрель 2024'!$J$4:$J$1689,AF$1)</f>
        <v>0</v>
      </c>
      <c r="AG115" s="80">
        <f>SUMIFS('апрель 2024'!$G$4:$G$1689,'апрель 2024'!$D$4:$D$1689,$B115,'апрель 2024'!$J$4:$J$1689,AG$1)</f>
        <v>0</v>
      </c>
      <c r="AH115" s="80">
        <f>SUMIFS('апрель 2024'!$G$4:$G$1689,'апрель 2024'!$D$4:$D$1689,$B115,'апрель 2024'!$J$4:$J$1689,AH$1)</f>
        <v>0</v>
      </c>
      <c r="AI115" s="21">
        <f t="shared" si="1"/>
        <v>0</v>
      </c>
    </row>
    <row r="116" spans="2:35" ht="15" customHeight="1" x14ac:dyDescent="0.25">
      <c r="B116" s="89" t="s">
        <v>180</v>
      </c>
      <c r="C116" s="88">
        <v>200</v>
      </c>
      <c r="D116" s="80">
        <f>SUMIFS('апрель 2024'!$G$4:$G$1689,'апрель 2024'!$D$4:$D$1689,$B116,'апрель 2024'!$J$4:$J$1689,D$1)</f>
        <v>0</v>
      </c>
      <c r="E116" s="80">
        <f>SUMIFS('апрель 2024'!$G$4:$G$1689,'апрель 2024'!$D$4:$D$1689,$B116,'апрель 2024'!$J$4:$J$1689,E$1)</f>
        <v>0</v>
      </c>
      <c r="F116" s="80">
        <f>SUMIFS('апрель 2024'!$G$4:$G$1689,'апрель 2024'!$D$4:$D$1689,$B116,'апрель 2024'!$J$4:$J$1689,F$1)</f>
        <v>0</v>
      </c>
      <c r="G116" s="80">
        <f>SUMIFS('апрель 2024'!$G$4:$G$1689,'апрель 2024'!$D$4:$D$1689,$B116,'апрель 2024'!$J$4:$J$1689,G$1)</f>
        <v>0</v>
      </c>
      <c r="H116" s="80">
        <f>SUMIFS('апрель 2024'!$G$4:$G$1689,'апрель 2024'!$D$4:$D$1689,$B116,'апрель 2024'!$J$4:$J$1689,H$1)</f>
        <v>0</v>
      </c>
      <c r="I116" s="80">
        <f>SUMIFS('апрель 2024'!$G$4:$G$1689,'апрель 2024'!$D$4:$D$1689,$B116,'апрель 2024'!$J$4:$J$1689,I$1)</f>
        <v>0</v>
      </c>
      <c r="J116" s="80">
        <f>SUMIFS('апрель 2024'!$G$4:$G$1689,'апрель 2024'!$D$4:$D$1689,$B116,'апрель 2024'!$J$4:$J$1689,J$1)</f>
        <v>0</v>
      </c>
      <c r="K116" s="80">
        <f>SUMIFS('апрель 2024'!$G$4:$G$1689,'апрель 2024'!$D$4:$D$1689,$B116,'апрель 2024'!$J$4:$J$1689,K$1)</f>
        <v>0</v>
      </c>
      <c r="L116" s="80">
        <f>SUMIFS('апрель 2024'!$G$4:$G$1689,'апрель 2024'!$D$4:$D$1689,$B116,'апрель 2024'!$J$4:$J$1689,L$1)</f>
        <v>0</v>
      </c>
      <c r="M116" s="80">
        <f>SUMIFS('апрель 2024'!$G$4:$G$1689,'апрель 2024'!$D$4:$D$1689,$B116,'апрель 2024'!$J$4:$J$1689,M$1)</f>
        <v>0</v>
      </c>
      <c r="N116" s="80">
        <f>SUMIFS('апрель 2024'!$G$4:$G$1689,'апрель 2024'!$D$4:$D$1689,$B116,'апрель 2024'!$J$4:$J$1689,N$1)</f>
        <v>0</v>
      </c>
      <c r="O116" s="80">
        <f>SUMIFS('апрель 2024'!$G$4:$G$1689,'апрель 2024'!$D$4:$D$1689,$B116,'апрель 2024'!$J$4:$J$1689,O$1)</f>
        <v>0</v>
      </c>
      <c r="P116" s="80">
        <f>SUMIFS('апрель 2024'!$G$4:$G$1689,'апрель 2024'!$D$4:$D$1689,$B116,'апрель 2024'!$J$4:$J$1689,P$1)</f>
        <v>0</v>
      </c>
      <c r="Q116" s="80">
        <f>SUMIFS('апрель 2024'!$G$4:$G$1689,'апрель 2024'!$D$4:$D$1689,$B116,'апрель 2024'!$J$4:$J$1689,Q$1)</f>
        <v>0</v>
      </c>
      <c r="R116" s="80">
        <f>SUMIFS('апрель 2024'!$G$4:$G$1689,'апрель 2024'!$D$4:$D$1689,$B116,'апрель 2024'!$J$4:$J$1689,R$1)</f>
        <v>0</v>
      </c>
      <c r="S116" s="80">
        <f>SUMIFS('апрель 2024'!$G$4:$G$1689,'апрель 2024'!$D$4:$D$1689,$B116,'апрель 2024'!$J$4:$J$1689,S$1)</f>
        <v>0</v>
      </c>
      <c r="T116" s="80">
        <f>SUMIFS('апрель 2024'!$G$4:$G$1689,'апрель 2024'!$D$4:$D$1689,$B116,'апрель 2024'!$J$4:$J$1689,T$1)</f>
        <v>0</v>
      </c>
      <c r="U116" s="80">
        <f>SUMIFS('апрель 2024'!$G$4:$G$1689,'апрель 2024'!$D$4:$D$1689,$B116,'апрель 2024'!$J$4:$J$1689,U$1)</f>
        <v>0</v>
      </c>
      <c r="V116" s="80">
        <f>SUMIFS('апрель 2024'!$G$4:$G$1689,'апрель 2024'!$D$4:$D$1689,$B116,'апрель 2024'!$J$4:$J$1689,V$1)</f>
        <v>0</v>
      </c>
      <c r="W116" s="80">
        <f>SUMIFS('апрель 2024'!$G$4:$G$1689,'апрель 2024'!$D$4:$D$1689,$B116,'апрель 2024'!$J$4:$J$1689,W$1)</f>
        <v>0</v>
      </c>
      <c r="X116" s="80">
        <f>SUMIFS('апрель 2024'!$G$4:$G$1689,'апрель 2024'!$D$4:$D$1689,$B116,'апрель 2024'!$J$4:$J$1689,X$1)</f>
        <v>0</v>
      </c>
      <c r="Y116" s="80">
        <f>SUMIFS('апрель 2024'!$G$4:$G$1689,'апрель 2024'!$D$4:$D$1689,$B116,'апрель 2024'!$J$4:$J$1689,Y$1)</f>
        <v>0</v>
      </c>
      <c r="Z116" s="80">
        <f>SUMIFS('апрель 2024'!$G$4:$G$1689,'апрель 2024'!$D$4:$D$1689,$B116,'апрель 2024'!$J$4:$J$1689,Z$1)</f>
        <v>0</v>
      </c>
      <c r="AA116" s="80">
        <f>SUMIFS('апрель 2024'!$G$4:$G$1689,'апрель 2024'!$D$4:$D$1689,$B116,'апрель 2024'!$J$4:$J$1689,AA$1)</f>
        <v>0</v>
      </c>
      <c r="AB116" s="80">
        <f>SUMIFS('апрель 2024'!$G$4:$G$1689,'апрель 2024'!$D$4:$D$1689,$B116,'апрель 2024'!$J$4:$J$1689,AB$1)</f>
        <v>0</v>
      </c>
      <c r="AC116" s="80">
        <f>SUMIFS('апрель 2024'!$G$4:$G$1689,'апрель 2024'!$D$4:$D$1689,$B116,'апрель 2024'!$J$4:$J$1689,AC$1)</f>
        <v>0</v>
      </c>
      <c r="AD116" s="80">
        <f>SUMIFS('апрель 2024'!$G$4:$G$1689,'апрель 2024'!$D$4:$D$1689,$B116,'апрель 2024'!$J$4:$J$1689,AD$1)</f>
        <v>0</v>
      </c>
      <c r="AE116" s="80">
        <f>SUMIFS('апрель 2024'!$G$4:$G$1689,'апрель 2024'!$D$4:$D$1689,$B116,'апрель 2024'!$J$4:$J$1689,AE$1)</f>
        <v>0</v>
      </c>
      <c r="AF116" s="80">
        <f>SUMIFS('апрель 2024'!$G$4:$G$1689,'апрель 2024'!$D$4:$D$1689,$B116,'апрель 2024'!$J$4:$J$1689,AF$1)</f>
        <v>0</v>
      </c>
      <c r="AG116" s="80">
        <f>SUMIFS('апрель 2024'!$G$4:$G$1689,'апрель 2024'!$D$4:$D$1689,$B116,'апрель 2024'!$J$4:$J$1689,AG$1)</f>
        <v>0</v>
      </c>
      <c r="AH116" s="80">
        <f>SUMIFS('апрель 2024'!$G$4:$G$1689,'апрель 2024'!$D$4:$D$1689,$B116,'апрель 2024'!$J$4:$J$1689,AH$1)</f>
        <v>0</v>
      </c>
      <c r="AI116" s="21">
        <f t="shared" si="1"/>
        <v>0</v>
      </c>
    </row>
    <row r="117" spans="2:35" ht="15" customHeight="1" x14ac:dyDescent="0.25">
      <c r="B117" s="94" t="s">
        <v>194</v>
      </c>
      <c r="C117" s="95">
        <v>180</v>
      </c>
      <c r="D117" s="80">
        <f>SUMIFS('апрель 2024'!$G$4:$G$1689,'апрель 2024'!$D$4:$D$1689,$B117,'апрель 2024'!$J$4:$J$1689,D$1)</f>
        <v>0</v>
      </c>
      <c r="E117" s="80">
        <f>SUMIFS('апрель 2024'!$G$4:$G$1689,'апрель 2024'!$D$4:$D$1689,$B117,'апрель 2024'!$J$4:$J$1689,E$1)</f>
        <v>0</v>
      </c>
      <c r="F117" s="80">
        <f>SUMIFS('апрель 2024'!$G$4:$G$1689,'апрель 2024'!$D$4:$D$1689,$B117,'апрель 2024'!$J$4:$J$1689,F$1)</f>
        <v>0</v>
      </c>
      <c r="G117" s="80">
        <f>SUMIFS('апрель 2024'!$G$4:$G$1689,'апрель 2024'!$D$4:$D$1689,$B117,'апрель 2024'!$J$4:$J$1689,G$1)</f>
        <v>0</v>
      </c>
      <c r="H117" s="80">
        <f>SUMIFS('апрель 2024'!$G$4:$G$1689,'апрель 2024'!$D$4:$D$1689,$B117,'апрель 2024'!$J$4:$J$1689,H$1)</f>
        <v>0</v>
      </c>
      <c r="I117" s="80">
        <f>SUMIFS('апрель 2024'!$G$4:$G$1689,'апрель 2024'!$D$4:$D$1689,$B117,'апрель 2024'!$J$4:$J$1689,I$1)</f>
        <v>0</v>
      </c>
      <c r="J117" s="80">
        <f>SUMIFS('апрель 2024'!$G$4:$G$1689,'апрель 2024'!$D$4:$D$1689,$B117,'апрель 2024'!$J$4:$J$1689,J$1)</f>
        <v>0</v>
      </c>
      <c r="K117" s="80">
        <f>SUMIFS('апрель 2024'!$G$4:$G$1689,'апрель 2024'!$D$4:$D$1689,$B117,'апрель 2024'!$J$4:$J$1689,K$1)</f>
        <v>0</v>
      </c>
      <c r="L117" s="80">
        <f>SUMIFS('апрель 2024'!$G$4:$G$1689,'апрель 2024'!$D$4:$D$1689,$B117,'апрель 2024'!$J$4:$J$1689,L$1)</f>
        <v>0</v>
      </c>
      <c r="M117" s="80">
        <f>SUMIFS('апрель 2024'!$G$4:$G$1689,'апрель 2024'!$D$4:$D$1689,$B117,'апрель 2024'!$J$4:$J$1689,M$1)</f>
        <v>0</v>
      </c>
      <c r="N117" s="80">
        <f>SUMIFS('апрель 2024'!$G$4:$G$1689,'апрель 2024'!$D$4:$D$1689,$B117,'апрель 2024'!$J$4:$J$1689,N$1)</f>
        <v>0</v>
      </c>
      <c r="O117" s="80">
        <f>SUMIFS('апрель 2024'!$G$4:$G$1689,'апрель 2024'!$D$4:$D$1689,$B117,'апрель 2024'!$J$4:$J$1689,O$1)</f>
        <v>0</v>
      </c>
      <c r="P117" s="80">
        <f>SUMIFS('апрель 2024'!$G$4:$G$1689,'апрель 2024'!$D$4:$D$1689,$B117,'апрель 2024'!$J$4:$J$1689,P$1)</f>
        <v>0</v>
      </c>
      <c r="Q117" s="80">
        <f>SUMIFS('апрель 2024'!$G$4:$G$1689,'апрель 2024'!$D$4:$D$1689,$B117,'апрель 2024'!$J$4:$J$1689,Q$1)</f>
        <v>0</v>
      </c>
      <c r="R117" s="80">
        <f>SUMIFS('апрель 2024'!$G$4:$G$1689,'апрель 2024'!$D$4:$D$1689,$B117,'апрель 2024'!$J$4:$J$1689,R$1)</f>
        <v>0</v>
      </c>
      <c r="S117" s="80">
        <f>SUMIFS('апрель 2024'!$G$4:$G$1689,'апрель 2024'!$D$4:$D$1689,$B117,'апрель 2024'!$J$4:$J$1689,S$1)</f>
        <v>0</v>
      </c>
      <c r="T117" s="80">
        <f>SUMIFS('апрель 2024'!$G$4:$G$1689,'апрель 2024'!$D$4:$D$1689,$B117,'апрель 2024'!$J$4:$J$1689,T$1)</f>
        <v>0</v>
      </c>
      <c r="U117" s="80">
        <f>SUMIFS('апрель 2024'!$G$4:$G$1689,'апрель 2024'!$D$4:$D$1689,$B117,'апрель 2024'!$J$4:$J$1689,U$1)</f>
        <v>0</v>
      </c>
      <c r="V117" s="80">
        <f>SUMIFS('апрель 2024'!$G$4:$G$1689,'апрель 2024'!$D$4:$D$1689,$B117,'апрель 2024'!$J$4:$J$1689,V$1)</f>
        <v>0</v>
      </c>
      <c r="W117" s="80">
        <f>SUMIFS('апрель 2024'!$G$4:$G$1689,'апрель 2024'!$D$4:$D$1689,$B117,'апрель 2024'!$J$4:$J$1689,W$1)</f>
        <v>0</v>
      </c>
      <c r="X117" s="80">
        <f>SUMIFS('апрель 2024'!$G$4:$G$1689,'апрель 2024'!$D$4:$D$1689,$B117,'апрель 2024'!$J$4:$J$1689,X$1)</f>
        <v>0</v>
      </c>
      <c r="Y117" s="80">
        <f>SUMIFS('апрель 2024'!$G$4:$G$1689,'апрель 2024'!$D$4:$D$1689,$B117,'апрель 2024'!$J$4:$J$1689,Y$1)</f>
        <v>0</v>
      </c>
      <c r="Z117" s="80">
        <f>SUMIFS('апрель 2024'!$G$4:$G$1689,'апрель 2024'!$D$4:$D$1689,$B117,'апрель 2024'!$J$4:$J$1689,Z$1)</f>
        <v>0</v>
      </c>
      <c r="AA117" s="80">
        <f>SUMIFS('апрель 2024'!$G$4:$G$1689,'апрель 2024'!$D$4:$D$1689,$B117,'апрель 2024'!$J$4:$J$1689,AA$1)</f>
        <v>0</v>
      </c>
      <c r="AB117" s="80">
        <f>SUMIFS('апрель 2024'!$G$4:$G$1689,'апрель 2024'!$D$4:$D$1689,$B117,'апрель 2024'!$J$4:$J$1689,AB$1)</f>
        <v>0</v>
      </c>
      <c r="AC117" s="80">
        <f>SUMIFS('апрель 2024'!$G$4:$G$1689,'апрель 2024'!$D$4:$D$1689,$B117,'апрель 2024'!$J$4:$J$1689,AC$1)</f>
        <v>0</v>
      </c>
      <c r="AD117" s="80">
        <f>SUMIFS('апрель 2024'!$G$4:$G$1689,'апрель 2024'!$D$4:$D$1689,$B117,'апрель 2024'!$J$4:$J$1689,AD$1)</f>
        <v>0</v>
      </c>
      <c r="AE117" s="80">
        <f>SUMIFS('апрель 2024'!$G$4:$G$1689,'апрель 2024'!$D$4:$D$1689,$B117,'апрель 2024'!$J$4:$J$1689,AE$1)</f>
        <v>0</v>
      </c>
      <c r="AF117" s="80">
        <f>SUMIFS('апрель 2024'!$G$4:$G$1689,'апрель 2024'!$D$4:$D$1689,$B117,'апрель 2024'!$J$4:$J$1689,AF$1)</f>
        <v>0</v>
      </c>
      <c r="AG117" s="80">
        <f>SUMIFS('апрель 2024'!$G$4:$G$1689,'апрель 2024'!$D$4:$D$1689,$B117,'апрель 2024'!$J$4:$J$1689,AG$1)</f>
        <v>0</v>
      </c>
      <c r="AH117" s="80">
        <f>SUMIFS('апрель 2024'!$G$4:$G$1689,'апрель 2024'!$D$4:$D$1689,$B117,'апрель 2024'!$J$4:$J$1689,AH$1)</f>
        <v>0</v>
      </c>
      <c r="AI117" s="21">
        <f t="shared" si="1"/>
        <v>0</v>
      </c>
    </row>
    <row r="118" spans="2:35" ht="15" customHeight="1" x14ac:dyDescent="0.25">
      <c r="B118" s="89" t="s">
        <v>332</v>
      </c>
      <c r="C118" s="91">
        <v>180</v>
      </c>
      <c r="D118" s="80">
        <f>SUMIFS('апрель 2024'!$G$4:$G$1689,'апрель 2024'!$D$4:$D$1689,$B118,'апрель 2024'!$J$4:$J$1689,D$1)</f>
        <v>0</v>
      </c>
      <c r="E118" s="80">
        <f>SUMIFS('апрель 2024'!$G$4:$G$1689,'апрель 2024'!$D$4:$D$1689,$B118,'апрель 2024'!$J$4:$J$1689,E$1)</f>
        <v>0</v>
      </c>
      <c r="F118" s="80">
        <f>SUMIFS('апрель 2024'!$G$4:$G$1689,'апрель 2024'!$D$4:$D$1689,$B118,'апрель 2024'!$J$4:$J$1689,F$1)</f>
        <v>0</v>
      </c>
      <c r="G118" s="80">
        <f>SUMIFS('апрель 2024'!$G$4:$G$1689,'апрель 2024'!$D$4:$D$1689,$B118,'апрель 2024'!$J$4:$J$1689,G$1)</f>
        <v>0</v>
      </c>
      <c r="H118" s="80">
        <f>SUMIFS('апрель 2024'!$G$4:$G$1689,'апрель 2024'!$D$4:$D$1689,$B118,'апрель 2024'!$J$4:$J$1689,H$1)</f>
        <v>0</v>
      </c>
      <c r="I118" s="80">
        <f>SUMIFS('апрель 2024'!$G$4:$G$1689,'апрель 2024'!$D$4:$D$1689,$B118,'апрель 2024'!$J$4:$J$1689,I$1)</f>
        <v>0</v>
      </c>
      <c r="J118" s="80">
        <f>SUMIFS('апрель 2024'!$G$4:$G$1689,'апрель 2024'!$D$4:$D$1689,$B118,'апрель 2024'!$J$4:$J$1689,J$1)</f>
        <v>0</v>
      </c>
      <c r="K118" s="80">
        <f>SUMIFS('апрель 2024'!$G$4:$G$1689,'апрель 2024'!$D$4:$D$1689,$B118,'апрель 2024'!$J$4:$J$1689,K$1)</f>
        <v>0</v>
      </c>
      <c r="L118" s="80">
        <f>SUMIFS('апрель 2024'!$G$4:$G$1689,'апрель 2024'!$D$4:$D$1689,$B118,'апрель 2024'!$J$4:$J$1689,L$1)</f>
        <v>0</v>
      </c>
      <c r="M118" s="80">
        <f>SUMIFS('апрель 2024'!$G$4:$G$1689,'апрель 2024'!$D$4:$D$1689,$B118,'апрель 2024'!$J$4:$J$1689,M$1)</f>
        <v>0</v>
      </c>
      <c r="N118" s="80">
        <f>SUMIFS('апрель 2024'!$G$4:$G$1689,'апрель 2024'!$D$4:$D$1689,$B118,'апрель 2024'!$J$4:$J$1689,N$1)</f>
        <v>0</v>
      </c>
      <c r="O118" s="80">
        <f>SUMIFS('апрель 2024'!$G$4:$G$1689,'апрель 2024'!$D$4:$D$1689,$B118,'апрель 2024'!$J$4:$J$1689,O$1)</f>
        <v>0</v>
      </c>
      <c r="P118" s="80">
        <f>SUMIFS('апрель 2024'!$G$4:$G$1689,'апрель 2024'!$D$4:$D$1689,$B118,'апрель 2024'!$J$4:$J$1689,P$1)</f>
        <v>0</v>
      </c>
      <c r="Q118" s="80">
        <f>SUMIFS('апрель 2024'!$G$4:$G$1689,'апрель 2024'!$D$4:$D$1689,$B118,'апрель 2024'!$J$4:$J$1689,Q$1)</f>
        <v>0</v>
      </c>
      <c r="R118" s="80">
        <f>SUMIFS('апрель 2024'!$G$4:$G$1689,'апрель 2024'!$D$4:$D$1689,$B118,'апрель 2024'!$J$4:$J$1689,R$1)</f>
        <v>0</v>
      </c>
      <c r="S118" s="80">
        <f>SUMIFS('апрель 2024'!$G$4:$G$1689,'апрель 2024'!$D$4:$D$1689,$B118,'апрель 2024'!$J$4:$J$1689,S$1)</f>
        <v>0</v>
      </c>
      <c r="T118" s="80">
        <f>SUMIFS('апрель 2024'!$G$4:$G$1689,'апрель 2024'!$D$4:$D$1689,$B118,'апрель 2024'!$J$4:$J$1689,T$1)</f>
        <v>0</v>
      </c>
      <c r="U118" s="80">
        <f>SUMIFS('апрель 2024'!$G$4:$G$1689,'апрель 2024'!$D$4:$D$1689,$B118,'апрель 2024'!$J$4:$J$1689,U$1)</f>
        <v>0</v>
      </c>
      <c r="V118" s="80">
        <f>SUMIFS('апрель 2024'!$G$4:$G$1689,'апрель 2024'!$D$4:$D$1689,$B118,'апрель 2024'!$J$4:$J$1689,V$1)</f>
        <v>0</v>
      </c>
      <c r="W118" s="80">
        <f>SUMIFS('апрель 2024'!$G$4:$G$1689,'апрель 2024'!$D$4:$D$1689,$B118,'апрель 2024'!$J$4:$J$1689,W$1)</f>
        <v>0</v>
      </c>
      <c r="X118" s="80">
        <f>SUMIFS('апрель 2024'!$G$4:$G$1689,'апрель 2024'!$D$4:$D$1689,$B118,'апрель 2024'!$J$4:$J$1689,X$1)</f>
        <v>0</v>
      </c>
      <c r="Y118" s="80">
        <f>SUMIFS('апрель 2024'!$G$4:$G$1689,'апрель 2024'!$D$4:$D$1689,$B118,'апрель 2024'!$J$4:$J$1689,Y$1)</f>
        <v>0</v>
      </c>
      <c r="Z118" s="80">
        <f>SUMIFS('апрель 2024'!$G$4:$G$1689,'апрель 2024'!$D$4:$D$1689,$B118,'апрель 2024'!$J$4:$J$1689,Z$1)</f>
        <v>0</v>
      </c>
      <c r="AA118" s="80">
        <f>SUMIFS('апрель 2024'!$G$4:$G$1689,'апрель 2024'!$D$4:$D$1689,$B118,'апрель 2024'!$J$4:$J$1689,AA$1)</f>
        <v>0</v>
      </c>
      <c r="AB118" s="80">
        <f>SUMIFS('апрель 2024'!$G$4:$G$1689,'апрель 2024'!$D$4:$D$1689,$B118,'апрель 2024'!$J$4:$J$1689,AB$1)</f>
        <v>0</v>
      </c>
      <c r="AC118" s="80">
        <f>SUMIFS('апрель 2024'!$G$4:$G$1689,'апрель 2024'!$D$4:$D$1689,$B118,'апрель 2024'!$J$4:$J$1689,AC$1)</f>
        <v>0</v>
      </c>
      <c r="AD118" s="80">
        <f>SUMIFS('апрель 2024'!$G$4:$G$1689,'апрель 2024'!$D$4:$D$1689,$B118,'апрель 2024'!$J$4:$J$1689,AD$1)</f>
        <v>0</v>
      </c>
      <c r="AE118" s="80">
        <f>SUMIFS('апрель 2024'!$G$4:$G$1689,'апрель 2024'!$D$4:$D$1689,$B118,'апрель 2024'!$J$4:$J$1689,AE$1)</f>
        <v>0</v>
      </c>
      <c r="AF118" s="80">
        <f>SUMIFS('апрель 2024'!$G$4:$G$1689,'апрель 2024'!$D$4:$D$1689,$B118,'апрель 2024'!$J$4:$J$1689,AF$1)</f>
        <v>0</v>
      </c>
      <c r="AG118" s="80">
        <f>SUMIFS('апрель 2024'!$G$4:$G$1689,'апрель 2024'!$D$4:$D$1689,$B118,'апрель 2024'!$J$4:$J$1689,AG$1)</f>
        <v>0</v>
      </c>
      <c r="AH118" s="80">
        <f>SUMIFS('апрель 2024'!$G$4:$G$1689,'апрель 2024'!$D$4:$D$1689,$B118,'апрель 2024'!$J$4:$J$1689,AH$1)</f>
        <v>0</v>
      </c>
      <c r="AI118" s="21">
        <f t="shared" si="1"/>
        <v>0</v>
      </c>
    </row>
    <row r="119" spans="2:35" ht="15" customHeight="1" x14ac:dyDescent="0.25">
      <c r="B119" s="89" t="s">
        <v>342</v>
      </c>
      <c r="C119" s="91">
        <v>180</v>
      </c>
      <c r="D119" s="80">
        <f>SUMIFS('апрель 2024'!$G$4:$G$1689,'апрель 2024'!$D$4:$D$1689,$B119,'апрель 2024'!$J$4:$J$1689,D$1)</f>
        <v>0</v>
      </c>
      <c r="E119" s="80">
        <f>SUMIFS('апрель 2024'!$G$4:$G$1689,'апрель 2024'!$D$4:$D$1689,$B119,'апрель 2024'!$J$4:$J$1689,E$1)</f>
        <v>0</v>
      </c>
      <c r="F119" s="80">
        <f>SUMIFS('апрель 2024'!$G$4:$G$1689,'апрель 2024'!$D$4:$D$1689,$B119,'апрель 2024'!$J$4:$J$1689,F$1)</f>
        <v>0</v>
      </c>
      <c r="G119" s="80">
        <f>SUMIFS('апрель 2024'!$G$4:$G$1689,'апрель 2024'!$D$4:$D$1689,$B119,'апрель 2024'!$J$4:$J$1689,G$1)</f>
        <v>0</v>
      </c>
      <c r="H119" s="80">
        <f>SUMIFS('апрель 2024'!$G$4:$G$1689,'апрель 2024'!$D$4:$D$1689,$B119,'апрель 2024'!$J$4:$J$1689,H$1)</f>
        <v>0</v>
      </c>
      <c r="I119" s="80">
        <f>SUMIFS('апрель 2024'!$G$4:$G$1689,'апрель 2024'!$D$4:$D$1689,$B119,'апрель 2024'!$J$4:$J$1689,I$1)</f>
        <v>0</v>
      </c>
      <c r="J119" s="80">
        <f>SUMIFS('апрель 2024'!$G$4:$G$1689,'апрель 2024'!$D$4:$D$1689,$B119,'апрель 2024'!$J$4:$J$1689,J$1)</f>
        <v>0</v>
      </c>
      <c r="K119" s="80">
        <f>SUMIFS('апрель 2024'!$G$4:$G$1689,'апрель 2024'!$D$4:$D$1689,$B119,'апрель 2024'!$J$4:$J$1689,K$1)</f>
        <v>0</v>
      </c>
      <c r="L119" s="80">
        <f>SUMIFS('апрель 2024'!$G$4:$G$1689,'апрель 2024'!$D$4:$D$1689,$B119,'апрель 2024'!$J$4:$J$1689,L$1)</f>
        <v>0</v>
      </c>
      <c r="M119" s="80">
        <f>SUMIFS('апрель 2024'!$G$4:$G$1689,'апрель 2024'!$D$4:$D$1689,$B119,'апрель 2024'!$J$4:$J$1689,M$1)</f>
        <v>0</v>
      </c>
      <c r="N119" s="80">
        <f>SUMIFS('апрель 2024'!$G$4:$G$1689,'апрель 2024'!$D$4:$D$1689,$B119,'апрель 2024'!$J$4:$J$1689,N$1)</f>
        <v>0</v>
      </c>
      <c r="O119" s="80">
        <f>SUMIFS('апрель 2024'!$G$4:$G$1689,'апрель 2024'!$D$4:$D$1689,$B119,'апрель 2024'!$J$4:$J$1689,O$1)</f>
        <v>0</v>
      </c>
      <c r="P119" s="80">
        <f>SUMIFS('апрель 2024'!$G$4:$G$1689,'апрель 2024'!$D$4:$D$1689,$B119,'апрель 2024'!$J$4:$J$1689,P$1)</f>
        <v>0</v>
      </c>
      <c r="Q119" s="80">
        <f>SUMIFS('апрель 2024'!$G$4:$G$1689,'апрель 2024'!$D$4:$D$1689,$B119,'апрель 2024'!$J$4:$J$1689,Q$1)</f>
        <v>0</v>
      </c>
      <c r="R119" s="80">
        <f>SUMIFS('апрель 2024'!$G$4:$G$1689,'апрель 2024'!$D$4:$D$1689,$B119,'апрель 2024'!$J$4:$J$1689,R$1)</f>
        <v>0</v>
      </c>
      <c r="S119" s="80">
        <f>SUMIFS('апрель 2024'!$G$4:$G$1689,'апрель 2024'!$D$4:$D$1689,$B119,'апрель 2024'!$J$4:$J$1689,S$1)</f>
        <v>0</v>
      </c>
      <c r="T119" s="80">
        <f>SUMIFS('апрель 2024'!$G$4:$G$1689,'апрель 2024'!$D$4:$D$1689,$B119,'апрель 2024'!$J$4:$J$1689,T$1)</f>
        <v>0</v>
      </c>
      <c r="U119" s="80">
        <f>SUMIFS('апрель 2024'!$G$4:$G$1689,'апрель 2024'!$D$4:$D$1689,$B119,'апрель 2024'!$J$4:$J$1689,U$1)</f>
        <v>0</v>
      </c>
      <c r="V119" s="80">
        <f>SUMIFS('апрель 2024'!$G$4:$G$1689,'апрель 2024'!$D$4:$D$1689,$B119,'апрель 2024'!$J$4:$J$1689,V$1)</f>
        <v>0</v>
      </c>
      <c r="W119" s="80">
        <f>SUMIFS('апрель 2024'!$G$4:$G$1689,'апрель 2024'!$D$4:$D$1689,$B119,'апрель 2024'!$J$4:$J$1689,W$1)</f>
        <v>0</v>
      </c>
      <c r="X119" s="80">
        <f>SUMIFS('апрель 2024'!$G$4:$G$1689,'апрель 2024'!$D$4:$D$1689,$B119,'апрель 2024'!$J$4:$J$1689,X$1)</f>
        <v>0</v>
      </c>
      <c r="Y119" s="80">
        <f>SUMIFS('апрель 2024'!$G$4:$G$1689,'апрель 2024'!$D$4:$D$1689,$B119,'апрель 2024'!$J$4:$J$1689,Y$1)</f>
        <v>0</v>
      </c>
      <c r="Z119" s="80">
        <f>SUMIFS('апрель 2024'!$G$4:$G$1689,'апрель 2024'!$D$4:$D$1689,$B119,'апрель 2024'!$J$4:$J$1689,Z$1)</f>
        <v>0</v>
      </c>
      <c r="AA119" s="80">
        <f>SUMIFS('апрель 2024'!$G$4:$G$1689,'апрель 2024'!$D$4:$D$1689,$B119,'апрель 2024'!$J$4:$J$1689,AA$1)</f>
        <v>0</v>
      </c>
      <c r="AB119" s="80">
        <f>SUMIFS('апрель 2024'!$G$4:$G$1689,'апрель 2024'!$D$4:$D$1689,$B119,'апрель 2024'!$J$4:$J$1689,AB$1)</f>
        <v>0</v>
      </c>
      <c r="AC119" s="80">
        <f>SUMIFS('апрель 2024'!$G$4:$G$1689,'апрель 2024'!$D$4:$D$1689,$B119,'апрель 2024'!$J$4:$J$1689,AC$1)</f>
        <v>0</v>
      </c>
      <c r="AD119" s="80">
        <f>SUMIFS('апрель 2024'!$G$4:$G$1689,'апрель 2024'!$D$4:$D$1689,$B119,'апрель 2024'!$J$4:$J$1689,AD$1)</f>
        <v>0</v>
      </c>
      <c r="AE119" s="80">
        <f>SUMIFS('апрель 2024'!$G$4:$G$1689,'апрель 2024'!$D$4:$D$1689,$B119,'апрель 2024'!$J$4:$J$1689,AE$1)</f>
        <v>0</v>
      </c>
      <c r="AF119" s="80">
        <f>SUMIFS('апрель 2024'!$G$4:$G$1689,'апрель 2024'!$D$4:$D$1689,$B119,'апрель 2024'!$J$4:$J$1689,AF$1)</f>
        <v>0</v>
      </c>
      <c r="AG119" s="80">
        <f>SUMIFS('апрель 2024'!$G$4:$G$1689,'апрель 2024'!$D$4:$D$1689,$B119,'апрель 2024'!$J$4:$J$1689,AG$1)</f>
        <v>0</v>
      </c>
      <c r="AH119" s="80">
        <f>SUMIFS('апрель 2024'!$G$4:$G$1689,'апрель 2024'!$D$4:$D$1689,$B119,'апрель 2024'!$J$4:$J$1689,AH$1)</f>
        <v>0</v>
      </c>
      <c r="AI119" s="21">
        <f t="shared" si="1"/>
        <v>0</v>
      </c>
    </row>
    <row r="120" spans="2:35" ht="15" customHeight="1" x14ac:dyDescent="0.25">
      <c r="B120" s="89" t="s">
        <v>760</v>
      </c>
      <c r="C120" s="91">
        <v>190</v>
      </c>
      <c r="D120" s="80">
        <f>SUMIFS('апрель 2024'!$G$4:$G$1689,'апрель 2024'!$D$4:$D$1689,$B120,'апрель 2024'!$J$4:$J$1689,D$1)</f>
        <v>0</v>
      </c>
      <c r="E120" s="80">
        <f>SUMIFS('апрель 2024'!$G$4:$G$1689,'апрель 2024'!$D$4:$D$1689,$B120,'апрель 2024'!$J$4:$J$1689,E$1)</f>
        <v>0</v>
      </c>
      <c r="F120" s="80">
        <f>SUMIFS('апрель 2024'!$G$4:$G$1689,'апрель 2024'!$D$4:$D$1689,$B120,'апрель 2024'!$J$4:$J$1689,F$1)</f>
        <v>0</v>
      </c>
      <c r="G120" s="80">
        <f>SUMIFS('апрель 2024'!$G$4:$G$1689,'апрель 2024'!$D$4:$D$1689,$B120,'апрель 2024'!$J$4:$J$1689,G$1)</f>
        <v>0</v>
      </c>
      <c r="H120" s="80">
        <f>SUMIFS('апрель 2024'!$G$4:$G$1689,'апрель 2024'!$D$4:$D$1689,$B120,'апрель 2024'!$J$4:$J$1689,H$1)</f>
        <v>0</v>
      </c>
      <c r="I120" s="80">
        <f>SUMIFS('апрель 2024'!$G$4:$G$1689,'апрель 2024'!$D$4:$D$1689,$B120,'апрель 2024'!$J$4:$J$1689,I$1)</f>
        <v>0</v>
      </c>
      <c r="J120" s="80">
        <f>SUMIFS('апрель 2024'!$G$4:$G$1689,'апрель 2024'!$D$4:$D$1689,$B120,'апрель 2024'!$J$4:$J$1689,J$1)</f>
        <v>0</v>
      </c>
      <c r="K120" s="80">
        <f>SUMIFS('апрель 2024'!$G$4:$G$1689,'апрель 2024'!$D$4:$D$1689,$B120,'апрель 2024'!$J$4:$J$1689,K$1)</f>
        <v>0</v>
      </c>
      <c r="L120" s="80">
        <f>SUMIFS('апрель 2024'!$G$4:$G$1689,'апрель 2024'!$D$4:$D$1689,$B120,'апрель 2024'!$J$4:$J$1689,L$1)</f>
        <v>0</v>
      </c>
      <c r="M120" s="80">
        <f>SUMIFS('апрель 2024'!$G$4:$G$1689,'апрель 2024'!$D$4:$D$1689,$B120,'апрель 2024'!$J$4:$J$1689,M$1)</f>
        <v>0</v>
      </c>
      <c r="N120" s="80">
        <f>SUMIFS('апрель 2024'!$G$4:$G$1689,'апрель 2024'!$D$4:$D$1689,$B120,'апрель 2024'!$J$4:$J$1689,N$1)</f>
        <v>0</v>
      </c>
      <c r="O120" s="80">
        <f>SUMIFS('апрель 2024'!$G$4:$G$1689,'апрель 2024'!$D$4:$D$1689,$B120,'апрель 2024'!$J$4:$J$1689,O$1)</f>
        <v>0</v>
      </c>
      <c r="P120" s="80">
        <f>SUMIFS('апрель 2024'!$G$4:$G$1689,'апрель 2024'!$D$4:$D$1689,$B120,'апрель 2024'!$J$4:$J$1689,P$1)</f>
        <v>0</v>
      </c>
      <c r="Q120" s="80">
        <f>SUMIFS('апрель 2024'!$G$4:$G$1689,'апрель 2024'!$D$4:$D$1689,$B120,'апрель 2024'!$J$4:$J$1689,Q$1)</f>
        <v>0</v>
      </c>
      <c r="R120" s="80">
        <f>SUMIFS('апрель 2024'!$G$4:$G$1689,'апрель 2024'!$D$4:$D$1689,$B120,'апрель 2024'!$J$4:$J$1689,R$1)</f>
        <v>0</v>
      </c>
      <c r="S120" s="80">
        <f>SUMIFS('апрель 2024'!$G$4:$G$1689,'апрель 2024'!$D$4:$D$1689,$B120,'апрель 2024'!$J$4:$J$1689,S$1)</f>
        <v>0</v>
      </c>
      <c r="T120" s="80">
        <f>SUMIFS('апрель 2024'!$G$4:$G$1689,'апрель 2024'!$D$4:$D$1689,$B120,'апрель 2024'!$J$4:$J$1689,T$1)</f>
        <v>0</v>
      </c>
      <c r="U120" s="80">
        <f>SUMIFS('апрель 2024'!$G$4:$G$1689,'апрель 2024'!$D$4:$D$1689,$B120,'апрель 2024'!$J$4:$J$1689,U$1)</f>
        <v>0</v>
      </c>
      <c r="V120" s="80">
        <f>SUMIFS('апрель 2024'!$G$4:$G$1689,'апрель 2024'!$D$4:$D$1689,$B120,'апрель 2024'!$J$4:$J$1689,V$1)</f>
        <v>0</v>
      </c>
      <c r="W120" s="80">
        <f>SUMIFS('апрель 2024'!$G$4:$G$1689,'апрель 2024'!$D$4:$D$1689,$B120,'апрель 2024'!$J$4:$J$1689,W$1)</f>
        <v>0</v>
      </c>
      <c r="X120" s="80">
        <f>SUMIFS('апрель 2024'!$G$4:$G$1689,'апрель 2024'!$D$4:$D$1689,$B120,'апрель 2024'!$J$4:$J$1689,X$1)</f>
        <v>0</v>
      </c>
      <c r="Y120" s="80">
        <f>SUMIFS('апрель 2024'!$G$4:$G$1689,'апрель 2024'!$D$4:$D$1689,$B120,'апрель 2024'!$J$4:$J$1689,Y$1)</f>
        <v>0</v>
      </c>
      <c r="Z120" s="80">
        <f>SUMIFS('апрель 2024'!$G$4:$G$1689,'апрель 2024'!$D$4:$D$1689,$B120,'апрель 2024'!$J$4:$J$1689,Z$1)</f>
        <v>0</v>
      </c>
      <c r="AA120" s="80">
        <f>SUMIFS('апрель 2024'!$G$4:$G$1689,'апрель 2024'!$D$4:$D$1689,$B120,'апрель 2024'!$J$4:$J$1689,AA$1)</f>
        <v>0</v>
      </c>
      <c r="AB120" s="80">
        <f>SUMIFS('апрель 2024'!$G$4:$G$1689,'апрель 2024'!$D$4:$D$1689,$B120,'апрель 2024'!$J$4:$J$1689,AB$1)</f>
        <v>0</v>
      </c>
      <c r="AC120" s="80">
        <f>SUMIFS('апрель 2024'!$G$4:$G$1689,'апрель 2024'!$D$4:$D$1689,$B120,'апрель 2024'!$J$4:$J$1689,AC$1)</f>
        <v>0</v>
      </c>
      <c r="AD120" s="80">
        <f>SUMIFS('апрель 2024'!$G$4:$G$1689,'апрель 2024'!$D$4:$D$1689,$B120,'апрель 2024'!$J$4:$J$1689,AD$1)</f>
        <v>0</v>
      </c>
      <c r="AE120" s="80">
        <f>SUMIFS('апрель 2024'!$G$4:$G$1689,'апрель 2024'!$D$4:$D$1689,$B120,'апрель 2024'!$J$4:$J$1689,AE$1)</f>
        <v>0</v>
      </c>
      <c r="AF120" s="80">
        <f>SUMIFS('апрель 2024'!$G$4:$G$1689,'апрель 2024'!$D$4:$D$1689,$B120,'апрель 2024'!$J$4:$J$1689,AF$1)</f>
        <v>0</v>
      </c>
      <c r="AG120" s="80">
        <f>SUMIFS('апрель 2024'!$G$4:$G$1689,'апрель 2024'!$D$4:$D$1689,$B120,'апрель 2024'!$J$4:$J$1689,AG$1)</f>
        <v>0</v>
      </c>
      <c r="AH120" s="80">
        <f>SUMIFS('апрель 2024'!$G$4:$G$1689,'апрель 2024'!$D$4:$D$1689,$B120,'апрель 2024'!$J$4:$J$1689,AH$1)</f>
        <v>0</v>
      </c>
      <c r="AI120" s="21">
        <f t="shared" si="1"/>
        <v>0</v>
      </c>
    </row>
    <row r="121" spans="2:35" ht="15" customHeight="1" x14ac:dyDescent="0.25">
      <c r="B121" s="89" t="s">
        <v>333</v>
      </c>
      <c r="C121" s="91">
        <v>200</v>
      </c>
      <c r="D121" s="80">
        <f>SUMIFS('апрель 2024'!$G$4:$G$1689,'апрель 2024'!$D$4:$D$1689,$B121,'апрель 2024'!$J$4:$J$1689,D$1)</f>
        <v>0</v>
      </c>
      <c r="E121" s="80">
        <f>SUMIFS('апрель 2024'!$G$4:$G$1689,'апрель 2024'!$D$4:$D$1689,$B121,'апрель 2024'!$J$4:$J$1689,E$1)</f>
        <v>0</v>
      </c>
      <c r="F121" s="80">
        <f>SUMIFS('апрель 2024'!$G$4:$G$1689,'апрель 2024'!$D$4:$D$1689,$B121,'апрель 2024'!$J$4:$J$1689,F$1)</f>
        <v>0</v>
      </c>
      <c r="G121" s="80">
        <f>SUMIFS('апрель 2024'!$G$4:$G$1689,'апрель 2024'!$D$4:$D$1689,$B121,'апрель 2024'!$J$4:$J$1689,G$1)</f>
        <v>0</v>
      </c>
      <c r="H121" s="80">
        <f>SUMIFS('апрель 2024'!$G$4:$G$1689,'апрель 2024'!$D$4:$D$1689,$B121,'апрель 2024'!$J$4:$J$1689,H$1)</f>
        <v>0</v>
      </c>
      <c r="I121" s="80">
        <f>SUMIFS('апрель 2024'!$G$4:$G$1689,'апрель 2024'!$D$4:$D$1689,$B121,'апрель 2024'!$J$4:$J$1689,I$1)</f>
        <v>0</v>
      </c>
      <c r="J121" s="80">
        <f>SUMIFS('апрель 2024'!$G$4:$G$1689,'апрель 2024'!$D$4:$D$1689,$B121,'апрель 2024'!$J$4:$J$1689,J$1)</f>
        <v>0</v>
      </c>
      <c r="K121" s="80">
        <f>SUMIFS('апрель 2024'!$G$4:$G$1689,'апрель 2024'!$D$4:$D$1689,$B121,'апрель 2024'!$J$4:$J$1689,K$1)</f>
        <v>0</v>
      </c>
      <c r="L121" s="80">
        <f>SUMIFS('апрель 2024'!$G$4:$G$1689,'апрель 2024'!$D$4:$D$1689,$B121,'апрель 2024'!$J$4:$J$1689,L$1)</f>
        <v>0</v>
      </c>
      <c r="M121" s="80">
        <f>SUMIFS('апрель 2024'!$G$4:$G$1689,'апрель 2024'!$D$4:$D$1689,$B121,'апрель 2024'!$J$4:$J$1689,M$1)</f>
        <v>0</v>
      </c>
      <c r="N121" s="80">
        <f>SUMIFS('апрель 2024'!$G$4:$G$1689,'апрель 2024'!$D$4:$D$1689,$B121,'апрель 2024'!$J$4:$J$1689,N$1)</f>
        <v>0</v>
      </c>
      <c r="O121" s="80">
        <f>SUMIFS('апрель 2024'!$G$4:$G$1689,'апрель 2024'!$D$4:$D$1689,$B121,'апрель 2024'!$J$4:$J$1689,O$1)</f>
        <v>0</v>
      </c>
      <c r="P121" s="80">
        <f>SUMIFS('апрель 2024'!$G$4:$G$1689,'апрель 2024'!$D$4:$D$1689,$B121,'апрель 2024'!$J$4:$J$1689,P$1)</f>
        <v>0</v>
      </c>
      <c r="Q121" s="80">
        <f>SUMIFS('апрель 2024'!$G$4:$G$1689,'апрель 2024'!$D$4:$D$1689,$B121,'апрель 2024'!$J$4:$J$1689,Q$1)</f>
        <v>0</v>
      </c>
      <c r="R121" s="80">
        <f>SUMIFS('апрель 2024'!$G$4:$G$1689,'апрель 2024'!$D$4:$D$1689,$B121,'апрель 2024'!$J$4:$J$1689,R$1)</f>
        <v>0</v>
      </c>
      <c r="S121" s="80">
        <f>SUMIFS('апрель 2024'!$G$4:$G$1689,'апрель 2024'!$D$4:$D$1689,$B121,'апрель 2024'!$J$4:$J$1689,S$1)</f>
        <v>0</v>
      </c>
      <c r="T121" s="80">
        <f>SUMIFS('апрель 2024'!$G$4:$G$1689,'апрель 2024'!$D$4:$D$1689,$B121,'апрель 2024'!$J$4:$J$1689,T$1)</f>
        <v>0</v>
      </c>
      <c r="U121" s="80">
        <f>SUMIFS('апрель 2024'!$G$4:$G$1689,'апрель 2024'!$D$4:$D$1689,$B121,'апрель 2024'!$J$4:$J$1689,U$1)</f>
        <v>0</v>
      </c>
      <c r="V121" s="80">
        <f>SUMIFS('апрель 2024'!$G$4:$G$1689,'апрель 2024'!$D$4:$D$1689,$B121,'апрель 2024'!$J$4:$J$1689,V$1)</f>
        <v>0</v>
      </c>
      <c r="W121" s="80">
        <f>SUMIFS('апрель 2024'!$G$4:$G$1689,'апрель 2024'!$D$4:$D$1689,$B121,'апрель 2024'!$J$4:$J$1689,W$1)</f>
        <v>0</v>
      </c>
      <c r="X121" s="80">
        <f>SUMIFS('апрель 2024'!$G$4:$G$1689,'апрель 2024'!$D$4:$D$1689,$B121,'апрель 2024'!$J$4:$J$1689,X$1)</f>
        <v>0</v>
      </c>
      <c r="Y121" s="80">
        <f>SUMIFS('апрель 2024'!$G$4:$G$1689,'апрель 2024'!$D$4:$D$1689,$B121,'апрель 2024'!$J$4:$J$1689,Y$1)</f>
        <v>0</v>
      </c>
      <c r="Z121" s="80">
        <f>SUMIFS('апрель 2024'!$G$4:$G$1689,'апрель 2024'!$D$4:$D$1689,$B121,'апрель 2024'!$J$4:$J$1689,Z$1)</f>
        <v>0</v>
      </c>
      <c r="AA121" s="80">
        <f>SUMIFS('апрель 2024'!$G$4:$G$1689,'апрель 2024'!$D$4:$D$1689,$B121,'апрель 2024'!$J$4:$J$1689,AA$1)</f>
        <v>0</v>
      </c>
      <c r="AB121" s="80">
        <f>SUMIFS('апрель 2024'!$G$4:$G$1689,'апрель 2024'!$D$4:$D$1689,$B121,'апрель 2024'!$J$4:$J$1689,AB$1)</f>
        <v>0</v>
      </c>
      <c r="AC121" s="80">
        <f>SUMIFS('апрель 2024'!$G$4:$G$1689,'апрель 2024'!$D$4:$D$1689,$B121,'апрель 2024'!$J$4:$J$1689,AC$1)</f>
        <v>0</v>
      </c>
      <c r="AD121" s="80">
        <f>SUMIFS('апрель 2024'!$G$4:$G$1689,'апрель 2024'!$D$4:$D$1689,$B121,'апрель 2024'!$J$4:$J$1689,AD$1)</f>
        <v>0</v>
      </c>
      <c r="AE121" s="80">
        <f>SUMIFS('апрель 2024'!$G$4:$G$1689,'апрель 2024'!$D$4:$D$1689,$B121,'апрель 2024'!$J$4:$J$1689,AE$1)</f>
        <v>0</v>
      </c>
      <c r="AF121" s="80">
        <f>SUMIFS('апрель 2024'!$G$4:$G$1689,'апрель 2024'!$D$4:$D$1689,$B121,'апрель 2024'!$J$4:$J$1689,AF$1)</f>
        <v>0</v>
      </c>
      <c r="AG121" s="80">
        <f>SUMIFS('апрель 2024'!$G$4:$G$1689,'апрель 2024'!$D$4:$D$1689,$B121,'апрель 2024'!$J$4:$J$1689,AG$1)</f>
        <v>0</v>
      </c>
      <c r="AH121" s="80">
        <f>SUMIFS('апрель 2024'!$G$4:$G$1689,'апрель 2024'!$D$4:$D$1689,$B121,'апрель 2024'!$J$4:$J$1689,AH$1)</f>
        <v>0</v>
      </c>
      <c r="AI121" s="21">
        <f t="shared" si="1"/>
        <v>0</v>
      </c>
    </row>
    <row r="122" spans="2:35" ht="15" customHeight="1" x14ac:dyDescent="0.25">
      <c r="B122" s="89" t="s">
        <v>343</v>
      </c>
      <c r="C122" s="91">
        <v>200</v>
      </c>
      <c r="D122" s="80">
        <f>SUMIFS('апрель 2024'!$G$4:$G$1689,'апрель 2024'!$D$4:$D$1689,$B122,'апрель 2024'!$J$4:$J$1689,D$1)</f>
        <v>0</v>
      </c>
      <c r="E122" s="80">
        <f>SUMIFS('апрель 2024'!$G$4:$G$1689,'апрель 2024'!$D$4:$D$1689,$B122,'апрель 2024'!$J$4:$J$1689,E$1)</f>
        <v>0</v>
      </c>
      <c r="F122" s="80">
        <f>SUMIFS('апрель 2024'!$G$4:$G$1689,'апрель 2024'!$D$4:$D$1689,$B122,'апрель 2024'!$J$4:$J$1689,F$1)</f>
        <v>0</v>
      </c>
      <c r="G122" s="80">
        <f>SUMIFS('апрель 2024'!$G$4:$G$1689,'апрель 2024'!$D$4:$D$1689,$B122,'апрель 2024'!$J$4:$J$1689,G$1)</f>
        <v>0</v>
      </c>
      <c r="H122" s="80">
        <f>SUMIFS('апрель 2024'!$G$4:$G$1689,'апрель 2024'!$D$4:$D$1689,$B122,'апрель 2024'!$J$4:$J$1689,H$1)</f>
        <v>0</v>
      </c>
      <c r="I122" s="80">
        <f>SUMIFS('апрель 2024'!$G$4:$G$1689,'апрель 2024'!$D$4:$D$1689,$B122,'апрель 2024'!$J$4:$J$1689,I$1)</f>
        <v>0</v>
      </c>
      <c r="J122" s="80">
        <f>SUMIFS('апрель 2024'!$G$4:$G$1689,'апрель 2024'!$D$4:$D$1689,$B122,'апрель 2024'!$J$4:$J$1689,J$1)</f>
        <v>0</v>
      </c>
      <c r="K122" s="80">
        <f>SUMIFS('апрель 2024'!$G$4:$G$1689,'апрель 2024'!$D$4:$D$1689,$B122,'апрель 2024'!$J$4:$J$1689,K$1)</f>
        <v>0</v>
      </c>
      <c r="L122" s="80">
        <f>SUMIFS('апрель 2024'!$G$4:$G$1689,'апрель 2024'!$D$4:$D$1689,$B122,'апрель 2024'!$J$4:$J$1689,L$1)</f>
        <v>0</v>
      </c>
      <c r="M122" s="80">
        <f>SUMIFS('апрель 2024'!$G$4:$G$1689,'апрель 2024'!$D$4:$D$1689,$B122,'апрель 2024'!$J$4:$J$1689,M$1)</f>
        <v>0</v>
      </c>
      <c r="N122" s="80">
        <f>SUMIFS('апрель 2024'!$G$4:$G$1689,'апрель 2024'!$D$4:$D$1689,$B122,'апрель 2024'!$J$4:$J$1689,N$1)</f>
        <v>0</v>
      </c>
      <c r="O122" s="80">
        <f>SUMIFS('апрель 2024'!$G$4:$G$1689,'апрель 2024'!$D$4:$D$1689,$B122,'апрель 2024'!$J$4:$J$1689,O$1)</f>
        <v>0</v>
      </c>
      <c r="P122" s="80">
        <f>SUMIFS('апрель 2024'!$G$4:$G$1689,'апрель 2024'!$D$4:$D$1689,$B122,'апрель 2024'!$J$4:$J$1689,P$1)</f>
        <v>0</v>
      </c>
      <c r="Q122" s="80">
        <f>SUMIFS('апрель 2024'!$G$4:$G$1689,'апрель 2024'!$D$4:$D$1689,$B122,'апрель 2024'!$J$4:$J$1689,Q$1)</f>
        <v>0</v>
      </c>
      <c r="R122" s="80">
        <f>SUMIFS('апрель 2024'!$G$4:$G$1689,'апрель 2024'!$D$4:$D$1689,$B122,'апрель 2024'!$J$4:$J$1689,R$1)</f>
        <v>0</v>
      </c>
      <c r="S122" s="80">
        <f>SUMIFS('апрель 2024'!$G$4:$G$1689,'апрель 2024'!$D$4:$D$1689,$B122,'апрель 2024'!$J$4:$J$1689,S$1)</f>
        <v>0</v>
      </c>
      <c r="T122" s="80">
        <f>SUMIFS('апрель 2024'!$G$4:$G$1689,'апрель 2024'!$D$4:$D$1689,$B122,'апрель 2024'!$J$4:$J$1689,T$1)</f>
        <v>0</v>
      </c>
      <c r="U122" s="80">
        <f>SUMIFS('апрель 2024'!$G$4:$G$1689,'апрель 2024'!$D$4:$D$1689,$B122,'апрель 2024'!$J$4:$J$1689,U$1)</f>
        <v>0</v>
      </c>
      <c r="V122" s="80">
        <f>SUMIFS('апрель 2024'!$G$4:$G$1689,'апрель 2024'!$D$4:$D$1689,$B122,'апрель 2024'!$J$4:$J$1689,V$1)</f>
        <v>0</v>
      </c>
      <c r="W122" s="80">
        <f>SUMIFS('апрель 2024'!$G$4:$G$1689,'апрель 2024'!$D$4:$D$1689,$B122,'апрель 2024'!$J$4:$J$1689,W$1)</f>
        <v>0</v>
      </c>
      <c r="X122" s="80">
        <f>SUMIFS('апрель 2024'!$G$4:$G$1689,'апрель 2024'!$D$4:$D$1689,$B122,'апрель 2024'!$J$4:$J$1689,X$1)</f>
        <v>0</v>
      </c>
      <c r="Y122" s="80">
        <f>SUMIFS('апрель 2024'!$G$4:$G$1689,'апрель 2024'!$D$4:$D$1689,$B122,'апрель 2024'!$J$4:$J$1689,Y$1)</f>
        <v>0</v>
      </c>
      <c r="Z122" s="80">
        <f>SUMIFS('апрель 2024'!$G$4:$G$1689,'апрель 2024'!$D$4:$D$1689,$B122,'апрель 2024'!$J$4:$J$1689,Z$1)</f>
        <v>0</v>
      </c>
      <c r="AA122" s="80">
        <f>SUMIFS('апрель 2024'!$G$4:$G$1689,'апрель 2024'!$D$4:$D$1689,$B122,'апрель 2024'!$J$4:$J$1689,AA$1)</f>
        <v>0</v>
      </c>
      <c r="AB122" s="80">
        <f>SUMIFS('апрель 2024'!$G$4:$G$1689,'апрель 2024'!$D$4:$D$1689,$B122,'апрель 2024'!$J$4:$J$1689,AB$1)</f>
        <v>0</v>
      </c>
      <c r="AC122" s="80">
        <f>SUMIFS('апрель 2024'!$G$4:$G$1689,'апрель 2024'!$D$4:$D$1689,$B122,'апрель 2024'!$J$4:$J$1689,AC$1)</f>
        <v>0</v>
      </c>
      <c r="AD122" s="80">
        <f>SUMIFS('апрель 2024'!$G$4:$G$1689,'апрель 2024'!$D$4:$D$1689,$B122,'апрель 2024'!$J$4:$J$1689,AD$1)</f>
        <v>0</v>
      </c>
      <c r="AE122" s="80">
        <f>SUMIFS('апрель 2024'!$G$4:$G$1689,'апрель 2024'!$D$4:$D$1689,$B122,'апрель 2024'!$J$4:$J$1689,AE$1)</f>
        <v>0</v>
      </c>
      <c r="AF122" s="80">
        <f>SUMIFS('апрель 2024'!$G$4:$G$1689,'апрель 2024'!$D$4:$D$1689,$B122,'апрель 2024'!$J$4:$J$1689,AF$1)</f>
        <v>0</v>
      </c>
      <c r="AG122" s="80">
        <f>SUMIFS('апрель 2024'!$G$4:$G$1689,'апрель 2024'!$D$4:$D$1689,$B122,'апрель 2024'!$J$4:$J$1689,AG$1)</f>
        <v>0</v>
      </c>
      <c r="AH122" s="80">
        <f>SUMIFS('апрель 2024'!$G$4:$G$1689,'апрель 2024'!$D$4:$D$1689,$B122,'апрель 2024'!$J$4:$J$1689,AH$1)</f>
        <v>0</v>
      </c>
      <c r="AI122" s="21">
        <f t="shared" si="1"/>
        <v>0</v>
      </c>
    </row>
    <row r="123" spans="2:35" ht="15" customHeight="1" x14ac:dyDescent="0.25">
      <c r="B123" s="89" t="s">
        <v>207</v>
      </c>
      <c r="C123" s="91">
        <v>180</v>
      </c>
      <c r="D123" s="80">
        <f>SUMIFS('апрель 2024'!$G$4:$G$1689,'апрель 2024'!$D$4:$D$1689,$B123,'апрель 2024'!$J$4:$J$1689,D$1)</f>
        <v>0</v>
      </c>
      <c r="E123" s="80">
        <f>SUMIFS('апрель 2024'!$G$4:$G$1689,'апрель 2024'!$D$4:$D$1689,$B123,'апрель 2024'!$J$4:$J$1689,E$1)</f>
        <v>0</v>
      </c>
      <c r="F123" s="80">
        <f>SUMIFS('апрель 2024'!$G$4:$G$1689,'апрель 2024'!$D$4:$D$1689,$B123,'апрель 2024'!$J$4:$J$1689,F$1)</f>
        <v>0</v>
      </c>
      <c r="G123" s="80">
        <f>SUMIFS('апрель 2024'!$G$4:$G$1689,'апрель 2024'!$D$4:$D$1689,$B123,'апрель 2024'!$J$4:$J$1689,G$1)</f>
        <v>0</v>
      </c>
      <c r="H123" s="80">
        <f>SUMIFS('апрель 2024'!$G$4:$G$1689,'апрель 2024'!$D$4:$D$1689,$B123,'апрель 2024'!$J$4:$J$1689,H$1)</f>
        <v>0</v>
      </c>
      <c r="I123" s="80">
        <f>SUMIFS('апрель 2024'!$G$4:$G$1689,'апрель 2024'!$D$4:$D$1689,$B123,'апрель 2024'!$J$4:$J$1689,I$1)</f>
        <v>0</v>
      </c>
      <c r="J123" s="80">
        <f>SUMIFS('апрель 2024'!$G$4:$G$1689,'апрель 2024'!$D$4:$D$1689,$B123,'апрель 2024'!$J$4:$J$1689,J$1)</f>
        <v>0</v>
      </c>
      <c r="K123" s="80">
        <f>SUMIFS('апрель 2024'!$G$4:$G$1689,'апрель 2024'!$D$4:$D$1689,$B123,'апрель 2024'!$J$4:$J$1689,K$1)</f>
        <v>0</v>
      </c>
      <c r="L123" s="80">
        <f>SUMIFS('апрель 2024'!$G$4:$G$1689,'апрель 2024'!$D$4:$D$1689,$B123,'апрель 2024'!$J$4:$J$1689,L$1)</f>
        <v>0</v>
      </c>
      <c r="M123" s="80">
        <f>SUMIFS('апрель 2024'!$G$4:$G$1689,'апрель 2024'!$D$4:$D$1689,$B123,'апрель 2024'!$J$4:$J$1689,M$1)</f>
        <v>0</v>
      </c>
      <c r="N123" s="80">
        <f>SUMIFS('апрель 2024'!$G$4:$G$1689,'апрель 2024'!$D$4:$D$1689,$B123,'апрель 2024'!$J$4:$J$1689,N$1)</f>
        <v>0</v>
      </c>
      <c r="O123" s="80">
        <f>SUMIFS('апрель 2024'!$G$4:$G$1689,'апрель 2024'!$D$4:$D$1689,$B123,'апрель 2024'!$J$4:$J$1689,O$1)</f>
        <v>0</v>
      </c>
      <c r="P123" s="80">
        <f>SUMIFS('апрель 2024'!$G$4:$G$1689,'апрель 2024'!$D$4:$D$1689,$B123,'апрель 2024'!$J$4:$J$1689,P$1)</f>
        <v>0</v>
      </c>
      <c r="Q123" s="80">
        <f>SUMIFS('апрель 2024'!$G$4:$G$1689,'апрель 2024'!$D$4:$D$1689,$B123,'апрель 2024'!$J$4:$J$1689,Q$1)</f>
        <v>0</v>
      </c>
      <c r="R123" s="80">
        <f>SUMIFS('апрель 2024'!$G$4:$G$1689,'апрель 2024'!$D$4:$D$1689,$B123,'апрель 2024'!$J$4:$J$1689,R$1)</f>
        <v>0</v>
      </c>
      <c r="S123" s="80">
        <f>SUMIFS('апрель 2024'!$G$4:$G$1689,'апрель 2024'!$D$4:$D$1689,$B123,'апрель 2024'!$J$4:$J$1689,S$1)</f>
        <v>0</v>
      </c>
      <c r="T123" s="80">
        <f>SUMIFS('апрель 2024'!$G$4:$G$1689,'апрель 2024'!$D$4:$D$1689,$B123,'апрель 2024'!$J$4:$J$1689,T$1)</f>
        <v>0</v>
      </c>
      <c r="U123" s="80">
        <f>SUMIFS('апрель 2024'!$G$4:$G$1689,'апрель 2024'!$D$4:$D$1689,$B123,'апрель 2024'!$J$4:$J$1689,U$1)</f>
        <v>0</v>
      </c>
      <c r="V123" s="80">
        <f>SUMIFS('апрель 2024'!$G$4:$G$1689,'апрель 2024'!$D$4:$D$1689,$B123,'апрель 2024'!$J$4:$J$1689,V$1)</f>
        <v>0</v>
      </c>
      <c r="W123" s="80">
        <f>SUMIFS('апрель 2024'!$G$4:$G$1689,'апрель 2024'!$D$4:$D$1689,$B123,'апрель 2024'!$J$4:$J$1689,W$1)</f>
        <v>0</v>
      </c>
      <c r="X123" s="80">
        <f>SUMIFS('апрель 2024'!$G$4:$G$1689,'апрель 2024'!$D$4:$D$1689,$B123,'апрель 2024'!$J$4:$J$1689,X$1)</f>
        <v>0</v>
      </c>
      <c r="Y123" s="80">
        <f>SUMIFS('апрель 2024'!$G$4:$G$1689,'апрель 2024'!$D$4:$D$1689,$B123,'апрель 2024'!$J$4:$J$1689,Y$1)</f>
        <v>0</v>
      </c>
      <c r="Z123" s="80">
        <f>SUMIFS('апрель 2024'!$G$4:$G$1689,'апрель 2024'!$D$4:$D$1689,$B123,'апрель 2024'!$J$4:$J$1689,Z$1)</f>
        <v>0</v>
      </c>
      <c r="AA123" s="80">
        <f>SUMIFS('апрель 2024'!$G$4:$G$1689,'апрель 2024'!$D$4:$D$1689,$B123,'апрель 2024'!$J$4:$J$1689,AA$1)</f>
        <v>0</v>
      </c>
      <c r="AB123" s="80">
        <f>SUMIFS('апрель 2024'!$G$4:$G$1689,'апрель 2024'!$D$4:$D$1689,$B123,'апрель 2024'!$J$4:$J$1689,AB$1)</f>
        <v>0</v>
      </c>
      <c r="AC123" s="80">
        <f>SUMIFS('апрель 2024'!$G$4:$G$1689,'апрель 2024'!$D$4:$D$1689,$B123,'апрель 2024'!$J$4:$J$1689,AC$1)</f>
        <v>0</v>
      </c>
      <c r="AD123" s="80">
        <f>SUMIFS('апрель 2024'!$G$4:$G$1689,'апрель 2024'!$D$4:$D$1689,$B123,'апрель 2024'!$J$4:$J$1689,AD$1)</f>
        <v>0</v>
      </c>
      <c r="AE123" s="80">
        <f>SUMIFS('апрель 2024'!$G$4:$G$1689,'апрель 2024'!$D$4:$D$1689,$B123,'апрель 2024'!$J$4:$J$1689,AE$1)</f>
        <v>0</v>
      </c>
      <c r="AF123" s="80">
        <f>SUMIFS('апрель 2024'!$G$4:$G$1689,'апрель 2024'!$D$4:$D$1689,$B123,'апрель 2024'!$J$4:$J$1689,AF$1)</f>
        <v>0</v>
      </c>
      <c r="AG123" s="80">
        <f>SUMIFS('апрель 2024'!$G$4:$G$1689,'апрель 2024'!$D$4:$D$1689,$B123,'апрель 2024'!$J$4:$J$1689,AG$1)</f>
        <v>0</v>
      </c>
      <c r="AH123" s="80">
        <f>SUMIFS('апрель 2024'!$G$4:$G$1689,'апрель 2024'!$D$4:$D$1689,$B123,'апрель 2024'!$J$4:$J$1689,AH$1)</f>
        <v>0</v>
      </c>
      <c r="AI123" s="21">
        <f t="shared" si="1"/>
        <v>0</v>
      </c>
    </row>
    <row r="124" spans="2:35" ht="15" customHeight="1" x14ac:dyDescent="0.25">
      <c r="B124" s="93" t="s">
        <v>621</v>
      </c>
      <c r="C124" s="91">
        <v>180</v>
      </c>
      <c r="D124" s="80">
        <f>SUMIFS('апрель 2024'!$G$4:$G$1689,'апрель 2024'!$D$4:$D$1689,$B124,'апрель 2024'!$J$4:$J$1689,D$1)</f>
        <v>0</v>
      </c>
      <c r="E124" s="80">
        <f>SUMIFS('апрель 2024'!$G$4:$G$1689,'апрель 2024'!$D$4:$D$1689,$B124,'апрель 2024'!$J$4:$J$1689,E$1)</f>
        <v>0</v>
      </c>
      <c r="F124" s="80">
        <f>SUMIFS('апрель 2024'!$G$4:$G$1689,'апрель 2024'!$D$4:$D$1689,$B124,'апрель 2024'!$J$4:$J$1689,F$1)</f>
        <v>0</v>
      </c>
      <c r="G124" s="80">
        <f>SUMIFS('апрель 2024'!$G$4:$G$1689,'апрель 2024'!$D$4:$D$1689,$B124,'апрель 2024'!$J$4:$J$1689,G$1)</f>
        <v>0</v>
      </c>
      <c r="H124" s="80">
        <f>SUMIFS('апрель 2024'!$G$4:$G$1689,'апрель 2024'!$D$4:$D$1689,$B124,'апрель 2024'!$J$4:$J$1689,H$1)</f>
        <v>0</v>
      </c>
      <c r="I124" s="80">
        <f>SUMIFS('апрель 2024'!$G$4:$G$1689,'апрель 2024'!$D$4:$D$1689,$B124,'апрель 2024'!$J$4:$J$1689,I$1)</f>
        <v>0</v>
      </c>
      <c r="J124" s="80">
        <f>SUMIFS('апрель 2024'!$G$4:$G$1689,'апрель 2024'!$D$4:$D$1689,$B124,'апрель 2024'!$J$4:$J$1689,J$1)</f>
        <v>0</v>
      </c>
      <c r="K124" s="80">
        <f>SUMIFS('апрель 2024'!$G$4:$G$1689,'апрель 2024'!$D$4:$D$1689,$B124,'апрель 2024'!$J$4:$J$1689,K$1)</f>
        <v>88</v>
      </c>
      <c r="L124" s="80">
        <f>SUMIFS('апрель 2024'!$G$4:$G$1689,'апрель 2024'!$D$4:$D$1689,$B124,'апрель 2024'!$J$4:$J$1689,L$1)</f>
        <v>0</v>
      </c>
      <c r="M124" s="80">
        <f>SUMIFS('апрель 2024'!$G$4:$G$1689,'апрель 2024'!$D$4:$D$1689,$B124,'апрель 2024'!$J$4:$J$1689,M$1)</f>
        <v>0</v>
      </c>
      <c r="N124" s="80">
        <f>SUMIFS('апрель 2024'!$G$4:$G$1689,'апрель 2024'!$D$4:$D$1689,$B124,'апрель 2024'!$J$4:$J$1689,N$1)</f>
        <v>0</v>
      </c>
      <c r="O124" s="80">
        <f>SUMIFS('апрель 2024'!$G$4:$G$1689,'апрель 2024'!$D$4:$D$1689,$B124,'апрель 2024'!$J$4:$J$1689,O$1)</f>
        <v>0</v>
      </c>
      <c r="P124" s="80">
        <f>SUMIFS('апрель 2024'!$G$4:$G$1689,'апрель 2024'!$D$4:$D$1689,$B124,'апрель 2024'!$J$4:$J$1689,P$1)</f>
        <v>0</v>
      </c>
      <c r="Q124" s="80">
        <f>SUMIFS('апрель 2024'!$G$4:$G$1689,'апрель 2024'!$D$4:$D$1689,$B124,'апрель 2024'!$J$4:$J$1689,Q$1)</f>
        <v>0</v>
      </c>
      <c r="R124" s="80">
        <f>SUMIFS('апрель 2024'!$G$4:$G$1689,'апрель 2024'!$D$4:$D$1689,$B124,'апрель 2024'!$J$4:$J$1689,R$1)</f>
        <v>0</v>
      </c>
      <c r="S124" s="80">
        <f>SUMIFS('апрель 2024'!$G$4:$G$1689,'апрель 2024'!$D$4:$D$1689,$B124,'апрель 2024'!$J$4:$J$1689,S$1)</f>
        <v>0</v>
      </c>
      <c r="T124" s="80">
        <f>SUMIFS('апрель 2024'!$G$4:$G$1689,'апрель 2024'!$D$4:$D$1689,$B124,'апрель 2024'!$J$4:$J$1689,T$1)</f>
        <v>0</v>
      </c>
      <c r="U124" s="80">
        <f>SUMIFS('апрель 2024'!$G$4:$G$1689,'апрель 2024'!$D$4:$D$1689,$B124,'апрель 2024'!$J$4:$J$1689,U$1)</f>
        <v>0</v>
      </c>
      <c r="V124" s="80">
        <f>SUMIFS('апрель 2024'!$G$4:$G$1689,'апрель 2024'!$D$4:$D$1689,$B124,'апрель 2024'!$J$4:$J$1689,V$1)</f>
        <v>0</v>
      </c>
      <c r="W124" s="80">
        <f>SUMIFS('апрель 2024'!$G$4:$G$1689,'апрель 2024'!$D$4:$D$1689,$B124,'апрель 2024'!$J$4:$J$1689,W$1)</f>
        <v>0</v>
      </c>
      <c r="X124" s="80">
        <f>SUMIFS('апрель 2024'!$G$4:$G$1689,'апрель 2024'!$D$4:$D$1689,$B124,'апрель 2024'!$J$4:$J$1689,X$1)</f>
        <v>0</v>
      </c>
      <c r="Y124" s="80">
        <f>SUMIFS('апрель 2024'!$G$4:$G$1689,'апрель 2024'!$D$4:$D$1689,$B124,'апрель 2024'!$J$4:$J$1689,Y$1)</f>
        <v>0</v>
      </c>
      <c r="Z124" s="80">
        <f>SUMIFS('апрель 2024'!$G$4:$G$1689,'апрель 2024'!$D$4:$D$1689,$B124,'апрель 2024'!$J$4:$J$1689,Z$1)</f>
        <v>0</v>
      </c>
      <c r="AA124" s="80">
        <f>SUMIFS('апрель 2024'!$G$4:$G$1689,'апрель 2024'!$D$4:$D$1689,$B124,'апрель 2024'!$J$4:$J$1689,AA$1)</f>
        <v>0</v>
      </c>
      <c r="AB124" s="80">
        <f>SUMIFS('апрель 2024'!$G$4:$G$1689,'апрель 2024'!$D$4:$D$1689,$B124,'апрель 2024'!$J$4:$J$1689,AB$1)</f>
        <v>0</v>
      </c>
      <c r="AC124" s="80">
        <f>SUMIFS('апрель 2024'!$G$4:$G$1689,'апрель 2024'!$D$4:$D$1689,$B124,'апрель 2024'!$J$4:$J$1689,AC$1)</f>
        <v>0</v>
      </c>
      <c r="AD124" s="80">
        <f>SUMIFS('апрель 2024'!$G$4:$G$1689,'апрель 2024'!$D$4:$D$1689,$B124,'апрель 2024'!$J$4:$J$1689,AD$1)</f>
        <v>0</v>
      </c>
      <c r="AE124" s="80">
        <f>SUMIFS('апрель 2024'!$G$4:$G$1689,'апрель 2024'!$D$4:$D$1689,$B124,'апрель 2024'!$J$4:$J$1689,AE$1)</f>
        <v>0</v>
      </c>
      <c r="AF124" s="80">
        <f>SUMIFS('апрель 2024'!$G$4:$G$1689,'апрель 2024'!$D$4:$D$1689,$B124,'апрель 2024'!$J$4:$J$1689,AF$1)</f>
        <v>0</v>
      </c>
      <c r="AG124" s="80">
        <f>SUMIFS('апрель 2024'!$G$4:$G$1689,'апрель 2024'!$D$4:$D$1689,$B124,'апрель 2024'!$J$4:$J$1689,AG$1)</f>
        <v>0</v>
      </c>
      <c r="AH124" s="80">
        <f>SUMIFS('апрель 2024'!$G$4:$G$1689,'апрель 2024'!$D$4:$D$1689,$B124,'апрель 2024'!$J$4:$J$1689,AH$1)</f>
        <v>0</v>
      </c>
      <c r="AI124" s="21">
        <f t="shared" si="1"/>
        <v>88</v>
      </c>
    </row>
    <row r="125" spans="2:35" ht="15" customHeight="1" x14ac:dyDescent="0.25">
      <c r="B125" s="93" t="s">
        <v>191</v>
      </c>
      <c r="C125" s="91">
        <v>190</v>
      </c>
      <c r="D125" s="80">
        <f>SUMIFS('апрель 2024'!$G$4:$G$1689,'апрель 2024'!$D$4:$D$1689,$B125,'апрель 2024'!$J$4:$J$1689,D$1)</f>
        <v>0</v>
      </c>
      <c r="E125" s="80">
        <f>SUMIFS('апрель 2024'!$G$4:$G$1689,'апрель 2024'!$D$4:$D$1689,$B125,'апрель 2024'!$J$4:$J$1689,E$1)</f>
        <v>0</v>
      </c>
      <c r="F125" s="80">
        <f>SUMIFS('апрель 2024'!$G$4:$G$1689,'апрель 2024'!$D$4:$D$1689,$B125,'апрель 2024'!$J$4:$J$1689,F$1)</f>
        <v>0</v>
      </c>
      <c r="G125" s="80">
        <f>SUMIFS('апрель 2024'!$G$4:$G$1689,'апрель 2024'!$D$4:$D$1689,$B125,'апрель 2024'!$J$4:$J$1689,G$1)</f>
        <v>0</v>
      </c>
      <c r="H125" s="80">
        <f>SUMIFS('апрель 2024'!$G$4:$G$1689,'апрель 2024'!$D$4:$D$1689,$B125,'апрель 2024'!$J$4:$J$1689,H$1)</f>
        <v>0</v>
      </c>
      <c r="I125" s="80">
        <f>SUMIFS('апрель 2024'!$G$4:$G$1689,'апрель 2024'!$D$4:$D$1689,$B125,'апрель 2024'!$J$4:$J$1689,I$1)</f>
        <v>0</v>
      </c>
      <c r="J125" s="80">
        <f>SUMIFS('апрель 2024'!$G$4:$G$1689,'апрель 2024'!$D$4:$D$1689,$B125,'апрель 2024'!$J$4:$J$1689,J$1)</f>
        <v>0</v>
      </c>
      <c r="K125" s="80">
        <f>SUMIFS('апрель 2024'!$G$4:$G$1689,'апрель 2024'!$D$4:$D$1689,$B125,'апрель 2024'!$J$4:$J$1689,K$1)</f>
        <v>0</v>
      </c>
      <c r="L125" s="80">
        <f>SUMIFS('апрель 2024'!$G$4:$G$1689,'апрель 2024'!$D$4:$D$1689,$B125,'апрель 2024'!$J$4:$J$1689,L$1)</f>
        <v>0</v>
      </c>
      <c r="M125" s="80">
        <f>SUMIFS('апрель 2024'!$G$4:$G$1689,'апрель 2024'!$D$4:$D$1689,$B125,'апрель 2024'!$J$4:$J$1689,M$1)</f>
        <v>0</v>
      </c>
      <c r="N125" s="80">
        <f>SUMIFS('апрель 2024'!$G$4:$G$1689,'апрель 2024'!$D$4:$D$1689,$B125,'апрель 2024'!$J$4:$J$1689,N$1)</f>
        <v>0</v>
      </c>
      <c r="O125" s="80">
        <f>SUMIFS('апрель 2024'!$G$4:$G$1689,'апрель 2024'!$D$4:$D$1689,$B125,'апрель 2024'!$J$4:$J$1689,O$1)</f>
        <v>0</v>
      </c>
      <c r="P125" s="80">
        <f>SUMIFS('апрель 2024'!$G$4:$G$1689,'апрель 2024'!$D$4:$D$1689,$B125,'апрель 2024'!$J$4:$J$1689,P$1)</f>
        <v>0</v>
      </c>
      <c r="Q125" s="80">
        <f>SUMIFS('апрель 2024'!$G$4:$G$1689,'апрель 2024'!$D$4:$D$1689,$B125,'апрель 2024'!$J$4:$J$1689,Q$1)</f>
        <v>0</v>
      </c>
      <c r="R125" s="80">
        <f>SUMIFS('апрель 2024'!$G$4:$G$1689,'апрель 2024'!$D$4:$D$1689,$B125,'апрель 2024'!$J$4:$J$1689,R$1)</f>
        <v>0</v>
      </c>
      <c r="S125" s="80">
        <f>SUMIFS('апрель 2024'!$G$4:$G$1689,'апрель 2024'!$D$4:$D$1689,$B125,'апрель 2024'!$J$4:$J$1689,S$1)</f>
        <v>0</v>
      </c>
      <c r="T125" s="80">
        <f>SUMIFS('апрель 2024'!$G$4:$G$1689,'апрель 2024'!$D$4:$D$1689,$B125,'апрель 2024'!$J$4:$J$1689,T$1)</f>
        <v>0</v>
      </c>
      <c r="U125" s="80">
        <f>SUMIFS('апрель 2024'!$G$4:$G$1689,'апрель 2024'!$D$4:$D$1689,$B125,'апрель 2024'!$J$4:$J$1689,U$1)</f>
        <v>0</v>
      </c>
      <c r="V125" s="80">
        <f>SUMIFS('апрель 2024'!$G$4:$G$1689,'апрель 2024'!$D$4:$D$1689,$B125,'апрель 2024'!$J$4:$J$1689,V$1)</f>
        <v>0</v>
      </c>
      <c r="W125" s="80">
        <f>SUMIFS('апрель 2024'!$G$4:$G$1689,'апрель 2024'!$D$4:$D$1689,$B125,'апрель 2024'!$J$4:$J$1689,W$1)</f>
        <v>0</v>
      </c>
      <c r="X125" s="80">
        <f>SUMIFS('апрель 2024'!$G$4:$G$1689,'апрель 2024'!$D$4:$D$1689,$B125,'апрель 2024'!$J$4:$J$1689,X$1)</f>
        <v>0</v>
      </c>
      <c r="Y125" s="80">
        <f>SUMIFS('апрель 2024'!$G$4:$G$1689,'апрель 2024'!$D$4:$D$1689,$B125,'апрель 2024'!$J$4:$J$1689,Y$1)</f>
        <v>0</v>
      </c>
      <c r="Z125" s="80">
        <f>SUMIFS('апрель 2024'!$G$4:$G$1689,'апрель 2024'!$D$4:$D$1689,$B125,'апрель 2024'!$J$4:$J$1689,Z$1)</f>
        <v>0</v>
      </c>
      <c r="AA125" s="80">
        <f>SUMIFS('апрель 2024'!$G$4:$G$1689,'апрель 2024'!$D$4:$D$1689,$B125,'апрель 2024'!$J$4:$J$1689,AA$1)</f>
        <v>0</v>
      </c>
      <c r="AB125" s="80">
        <f>SUMIFS('апрель 2024'!$G$4:$G$1689,'апрель 2024'!$D$4:$D$1689,$B125,'апрель 2024'!$J$4:$J$1689,AB$1)</f>
        <v>0</v>
      </c>
      <c r="AC125" s="80">
        <f>SUMIFS('апрель 2024'!$G$4:$G$1689,'апрель 2024'!$D$4:$D$1689,$B125,'апрель 2024'!$J$4:$J$1689,AC$1)</f>
        <v>0</v>
      </c>
      <c r="AD125" s="80">
        <f>SUMIFS('апрель 2024'!$G$4:$G$1689,'апрель 2024'!$D$4:$D$1689,$B125,'апрель 2024'!$J$4:$J$1689,AD$1)</f>
        <v>0</v>
      </c>
      <c r="AE125" s="80">
        <f>SUMIFS('апрель 2024'!$G$4:$G$1689,'апрель 2024'!$D$4:$D$1689,$B125,'апрель 2024'!$J$4:$J$1689,AE$1)</f>
        <v>0</v>
      </c>
      <c r="AF125" s="80">
        <f>SUMIFS('апрель 2024'!$G$4:$G$1689,'апрель 2024'!$D$4:$D$1689,$B125,'апрель 2024'!$J$4:$J$1689,AF$1)</f>
        <v>0</v>
      </c>
      <c r="AG125" s="80">
        <f>SUMIFS('апрель 2024'!$G$4:$G$1689,'апрель 2024'!$D$4:$D$1689,$B125,'апрель 2024'!$J$4:$J$1689,AG$1)</f>
        <v>0</v>
      </c>
      <c r="AH125" s="80">
        <f>SUMIFS('апрель 2024'!$G$4:$G$1689,'апрель 2024'!$D$4:$D$1689,$B125,'апрель 2024'!$J$4:$J$1689,AH$1)</f>
        <v>0</v>
      </c>
      <c r="AI125" s="21">
        <f t="shared" si="1"/>
        <v>0</v>
      </c>
    </row>
    <row r="126" spans="2:35" ht="15" customHeight="1" x14ac:dyDescent="0.25">
      <c r="B126" s="93" t="s">
        <v>334</v>
      </c>
      <c r="C126" s="91">
        <v>190</v>
      </c>
      <c r="D126" s="80">
        <f>SUMIFS('апрель 2024'!$G$4:$G$1689,'апрель 2024'!$D$4:$D$1689,$B126,'апрель 2024'!$J$4:$J$1689,D$1)</f>
        <v>0</v>
      </c>
      <c r="E126" s="80">
        <f>SUMIFS('апрель 2024'!$G$4:$G$1689,'апрель 2024'!$D$4:$D$1689,$B126,'апрель 2024'!$J$4:$J$1689,E$1)</f>
        <v>0</v>
      </c>
      <c r="F126" s="80">
        <f>SUMIFS('апрель 2024'!$G$4:$G$1689,'апрель 2024'!$D$4:$D$1689,$B126,'апрель 2024'!$J$4:$J$1689,F$1)</f>
        <v>0</v>
      </c>
      <c r="G126" s="80">
        <f>SUMIFS('апрель 2024'!$G$4:$G$1689,'апрель 2024'!$D$4:$D$1689,$B126,'апрель 2024'!$J$4:$J$1689,G$1)</f>
        <v>0</v>
      </c>
      <c r="H126" s="80">
        <f>SUMIFS('апрель 2024'!$G$4:$G$1689,'апрель 2024'!$D$4:$D$1689,$B126,'апрель 2024'!$J$4:$J$1689,H$1)</f>
        <v>0</v>
      </c>
      <c r="I126" s="80">
        <f>SUMIFS('апрель 2024'!$G$4:$G$1689,'апрель 2024'!$D$4:$D$1689,$B126,'апрель 2024'!$J$4:$J$1689,I$1)</f>
        <v>0</v>
      </c>
      <c r="J126" s="80">
        <f>SUMIFS('апрель 2024'!$G$4:$G$1689,'апрель 2024'!$D$4:$D$1689,$B126,'апрель 2024'!$J$4:$J$1689,J$1)</f>
        <v>0</v>
      </c>
      <c r="K126" s="80">
        <f>SUMIFS('апрель 2024'!$G$4:$G$1689,'апрель 2024'!$D$4:$D$1689,$B126,'апрель 2024'!$J$4:$J$1689,K$1)</f>
        <v>0</v>
      </c>
      <c r="L126" s="80">
        <f>SUMIFS('апрель 2024'!$G$4:$G$1689,'апрель 2024'!$D$4:$D$1689,$B126,'апрель 2024'!$J$4:$J$1689,L$1)</f>
        <v>0</v>
      </c>
      <c r="M126" s="80">
        <f>SUMIFS('апрель 2024'!$G$4:$G$1689,'апрель 2024'!$D$4:$D$1689,$B126,'апрель 2024'!$J$4:$J$1689,M$1)</f>
        <v>0</v>
      </c>
      <c r="N126" s="80">
        <f>SUMIFS('апрель 2024'!$G$4:$G$1689,'апрель 2024'!$D$4:$D$1689,$B126,'апрель 2024'!$J$4:$J$1689,N$1)</f>
        <v>0</v>
      </c>
      <c r="O126" s="80">
        <f>SUMIFS('апрель 2024'!$G$4:$G$1689,'апрель 2024'!$D$4:$D$1689,$B126,'апрель 2024'!$J$4:$J$1689,O$1)</f>
        <v>0</v>
      </c>
      <c r="P126" s="80">
        <f>SUMIFS('апрель 2024'!$G$4:$G$1689,'апрель 2024'!$D$4:$D$1689,$B126,'апрель 2024'!$J$4:$J$1689,P$1)</f>
        <v>0</v>
      </c>
      <c r="Q126" s="80">
        <f>SUMIFS('апрель 2024'!$G$4:$G$1689,'апрель 2024'!$D$4:$D$1689,$B126,'апрель 2024'!$J$4:$J$1689,Q$1)</f>
        <v>0</v>
      </c>
      <c r="R126" s="80">
        <f>SUMIFS('апрель 2024'!$G$4:$G$1689,'апрель 2024'!$D$4:$D$1689,$B126,'апрель 2024'!$J$4:$J$1689,R$1)</f>
        <v>0</v>
      </c>
      <c r="S126" s="80">
        <f>SUMIFS('апрель 2024'!$G$4:$G$1689,'апрель 2024'!$D$4:$D$1689,$B126,'апрель 2024'!$J$4:$J$1689,S$1)</f>
        <v>0</v>
      </c>
      <c r="T126" s="80">
        <f>SUMIFS('апрель 2024'!$G$4:$G$1689,'апрель 2024'!$D$4:$D$1689,$B126,'апрель 2024'!$J$4:$J$1689,T$1)</f>
        <v>0</v>
      </c>
      <c r="U126" s="80">
        <f>SUMIFS('апрель 2024'!$G$4:$G$1689,'апрель 2024'!$D$4:$D$1689,$B126,'апрель 2024'!$J$4:$J$1689,U$1)</f>
        <v>0</v>
      </c>
      <c r="V126" s="80">
        <f>SUMIFS('апрель 2024'!$G$4:$G$1689,'апрель 2024'!$D$4:$D$1689,$B126,'апрель 2024'!$J$4:$J$1689,V$1)</f>
        <v>0</v>
      </c>
      <c r="W126" s="80">
        <f>SUMIFS('апрель 2024'!$G$4:$G$1689,'апрель 2024'!$D$4:$D$1689,$B126,'апрель 2024'!$J$4:$J$1689,W$1)</f>
        <v>0</v>
      </c>
      <c r="X126" s="80">
        <f>SUMIFS('апрель 2024'!$G$4:$G$1689,'апрель 2024'!$D$4:$D$1689,$B126,'апрель 2024'!$J$4:$J$1689,X$1)</f>
        <v>0</v>
      </c>
      <c r="Y126" s="80">
        <f>SUMIFS('апрель 2024'!$G$4:$G$1689,'апрель 2024'!$D$4:$D$1689,$B126,'апрель 2024'!$J$4:$J$1689,Y$1)</f>
        <v>0</v>
      </c>
      <c r="Z126" s="80">
        <f>SUMIFS('апрель 2024'!$G$4:$G$1689,'апрель 2024'!$D$4:$D$1689,$B126,'апрель 2024'!$J$4:$J$1689,Z$1)</f>
        <v>0</v>
      </c>
      <c r="AA126" s="80">
        <f>SUMIFS('апрель 2024'!$G$4:$G$1689,'апрель 2024'!$D$4:$D$1689,$B126,'апрель 2024'!$J$4:$J$1689,AA$1)</f>
        <v>0</v>
      </c>
      <c r="AB126" s="80">
        <f>SUMIFS('апрель 2024'!$G$4:$G$1689,'апрель 2024'!$D$4:$D$1689,$B126,'апрель 2024'!$J$4:$J$1689,AB$1)</f>
        <v>0</v>
      </c>
      <c r="AC126" s="80">
        <f>SUMIFS('апрель 2024'!$G$4:$G$1689,'апрель 2024'!$D$4:$D$1689,$B126,'апрель 2024'!$J$4:$J$1689,AC$1)</f>
        <v>0</v>
      </c>
      <c r="AD126" s="80">
        <f>SUMIFS('апрель 2024'!$G$4:$G$1689,'апрель 2024'!$D$4:$D$1689,$B126,'апрель 2024'!$J$4:$J$1689,AD$1)</f>
        <v>0</v>
      </c>
      <c r="AE126" s="80">
        <f>SUMIFS('апрель 2024'!$G$4:$G$1689,'апрель 2024'!$D$4:$D$1689,$B126,'апрель 2024'!$J$4:$J$1689,AE$1)</f>
        <v>0</v>
      </c>
      <c r="AF126" s="80">
        <f>SUMIFS('апрель 2024'!$G$4:$G$1689,'апрель 2024'!$D$4:$D$1689,$B126,'апрель 2024'!$J$4:$J$1689,AF$1)</f>
        <v>0</v>
      </c>
      <c r="AG126" s="80">
        <f>SUMIFS('апрель 2024'!$G$4:$G$1689,'апрель 2024'!$D$4:$D$1689,$B126,'апрель 2024'!$J$4:$J$1689,AG$1)</f>
        <v>0</v>
      </c>
      <c r="AH126" s="80">
        <f>SUMIFS('апрель 2024'!$G$4:$G$1689,'апрель 2024'!$D$4:$D$1689,$B126,'апрель 2024'!$J$4:$J$1689,AH$1)</f>
        <v>0</v>
      </c>
      <c r="AI126" s="21">
        <f t="shared" si="1"/>
        <v>0</v>
      </c>
    </row>
    <row r="127" spans="2:35" ht="16.899999999999999" customHeight="1" x14ac:dyDescent="0.25">
      <c r="B127" s="89" t="s">
        <v>335</v>
      </c>
      <c r="C127" s="88">
        <v>200</v>
      </c>
      <c r="D127" s="80">
        <f>SUMIFS('апрель 2024'!$G$4:$G$1689,'апрель 2024'!$D$4:$D$1689,$B127,'апрель 2024'!$J$4:$J$1689,D$1)</f>
        <v>0</v>
      </c>
      <c r="E127" s="80">
        <f>SUMIFS('апрель 2024'!$G$4:$G$1689,'апрель 2024'!$D$4:$D$1689,$B127,'апрель 2024'!$J$4:$J$1689,E$1)</f>
        <v>0</v>
      </c>
      <c r="F127" s="80">
        <f>SUMIFS('апрель 2024'!$G$4:$G$1689,'апрель 2024'!$D$4:$D$1689,$B127,'апрель 2024'!$J$4:$J$1689,F$1)</f>
        <v>0</v>
      </c>
      <c r="G127" s="80">
        <f>SUMIFS('апрель 2024'!$G$4:$G$1689,'апрель 2024'!$D$4:$D$1689,$B127,'апрель 2024'!$J$4:$J$1689,G$1)</f>
        <v>0</v>
      </c>
      <c r="H127" s="80">
        <f>SUMIFS('апрель 2024'!$G$4:$G$1689,'апрель 2024'!$D$4:$D$1689,$B127,'апрель 2024'!$J$4:$J$1689,H$1)</f>
        <v>0</v>
      </c>
      <c r="I127" s="80">
        <f>SUMIFS('апрель 2024'!$G$4:$G$1689,'апрель 2024'!$D$4:$D$1689,$B127,'апрель 2024'!$J$4:$J$1689,I$1)</f>
        <v>0</v>
      </c>
      <c r="J127" s="80">
        <f>SUMIFS('апрель 2024'!$G$4:$G$1689,'апрель 2024'!$D$4:$D$1689,$B127,'апрель 2024'!$J$4:$J$1689,J$1)</f>
        <v>0</v>
      </c>
      <c r="K127" s="80">
        <f>SUMIFS('апрель 2024'!$G$4:$G$1689,'апрель 2024'!$D$4:$D$1689,$B127,'апрель 2024'!$J$4:$J$1689,K$1)</f>
        <v>0</v>
      </c>
      <c r="L127" s="80">
        <f>SUMIFS('апрель 2024'!$G$4:$G$1689,'апрель 2024'!$D$4:$D$1689,$B127,'апрель 2024'!$J$4:$J$1689,L$1)</f>
        <v>0</v>
      </c>
      <c r="M127" s="80">
        <f>SUMIFS('апрель 2024'!$G$4:$G$1689,'апрель 2024'!$D$4:$D$1689,$B127,'апрель 2024'!$J$4:$J$1689,M$1)</f>
        <v>0</v>
      </c>
      <c r="N127" s="80">
        <f>SUMIFS('апрель 2024'!$G$4:$G$1689,'апрель 2024'!$D$4:$D$1689,$B127,'апрель 2024'!$J$4:$J$1689,N$1)</f>
        <v>0</v>
      </c>
      <c r="O127" s="80">
        <f>SUMIFS('апрель 2024'!$G$4:$G$1689,'апрель 2024'!$D$4:$D$1689,$B127,'апрель 2024'!$J$4:$J$1689,O$1)</f>
        <v>0</v>
      </c>
      <c r="P127" s="80">
        <f>SUMIFS('апрель 2024'!$G$4:$G$1689,'апрель 2024'!$D$4:$D$1689,$B127,'апрель 2024'!$J$4:$J$1689,P$1)</f>
        <v>0</v>
      </c>
      <c r="Q127" s="80">
        <f>SUMIFS('апрель 2024'!$G$4:$G$1689,'апрель 2024'!$D$4:$D$1689,$B127,'апрель 2024'!$J$4:$J$1689,Q$1)</f>
        <v>0</v>
      </c>
      <c r="R127" s="80">
        <f>SUMIFS('апрель 2024'!$G$4:$G$1689,'апрель 2024'!$D$4:$D$1689,$B127,'апрель 2024'!$J$4:$J$1689,R$1)</f>
        <v>0</v>
      </c>
      <c r="S127" s="80">
        <f>SUMIFS('апрель 2024'!$G$4:$G$1689,'апрель 2024'!$D$4:$D$1689,$B127,'апрель 2024'!$J$4:$J$1689,S$1)</f>
        <v>0</v>
      </c>
      <c r="T127" s="80">
        <f>SUMIFS('апрель 2024'!$G$4:$G$1689,'апрель 2024'!$D$4:$D$1689,$B127,'апрель 2024'!$J$4:$J$1689,T$1)</f>
        <v>0</v>
      </c>
      <c r="U127" s="80">
        <f>SUMIFS('апрель 2024'!$G$4:$G$1689,'апрель 2024'!$D$4:$D$1689,$B127,'апрель 2024'!$J$4:$J$1689,U$1)</f>
        <v>0</v>
      </c>
      <c r="V127" s="80">
        <f>SUMIFS('апрель 2024'!$G$4:$G$1689,'апрель 2024'!$D$4:$D$1689,$B127,'апрель 2024'!$J$4:$J$1689,V$1)</f>
        <v>0</v>
      </c>
      <c r="W127" s="80">
        <f>SUMIFS('апрель 2024'!$G$4:$G$1689,'апрель 2024'!$D$4:$D$1689,$B127,'апрель 2024'!$J$4:$J$1689,W$1)</f>
        <v>0</v>
      </c>
      <c r="X127" s="80">
        <f>SUMIFS('апрель 2024'!$G$4:$G$1689,'апрель 2024'!$D$4:$D$1689,$B127,'апрель 2024'!$J$4:$J$1689,X$1)</f>
        <v>0</v>
      </c>
      <c r="Y127" s="80">
        <f>SUMIFS('апрель 2024'!$G$4:$G$1689,'апрель 2024'!$D$4:$D$1689,$B127,'апрель 2024'!$J$4:$J$1689,Y$1)</f>
        <v>0</v>
      </c>
      <c r="Z127" s="80">
        <f>SUMIFS('апрель 2024'!$G$4:$G$1689,'апрель 2024'!$D$4:$D$1689,$B127,'апрель 2024'!$J$4:$J$1689,Z$1)</f>
        <v>0</v>
      </c>
      <c r="AA127" s="80">
        <f>SUMIFS('апрель 2024'!$G$4:$G$1689,'апрель 2024'!$D$4:$D$1689,$B127,'апрель 2024'!$J$4:$J$1689,AA$1)</f>
        <v>0</v>
      </c>
      <c r="AB127" s="80">
        <f>SUMIFS('апрель 2024'!$G$4:$G$1689,'апрель 2024'!$D$4:$D$1689,$B127,'апрель 2024'!$J$4:$J$1689,AB$1)</f>
        <v>0</v>
      </c>
      <c r="AC127" s="80">
        <f>SUMIFS('апрель 2024'!$G$4:$G$1689,'апрель 2024'!$D$4:$D$1689,$B127,'апрель 2024'!$J$4:$J$1689,AC$1)</f>
        <v>0</v>
      </c>
      <c r="AD127" s="80">
        <f>SUMIFS('апрель 2024'!$G$4:$G$1689,'апрель 2024'!$D$4:$D$1689,$B127,'апрель 2024'!$J$4:$J$1689,AD$1)</f>
        <v>0</v>
      </c>
      <c r="AE127" s="80">
        <f>SUMIFS('апрель 2024'!$G$4:$G$1689,'апрель 2024'!$D$4:$D$1689,$B127,'апрель 2024'!$J$4:$J$1689,AE$1)</f>
        <v>0</v>
      </c>
      <c r="AF127" s="80">
        <f>SUMIFS('апрель 2024'!$G$4:$G$1689,'апрель 2024'!$D$4:$D$1689,$B127,'апрель 2024'!$J$4:$J$1689,AF$1)</f>
        <v>0</v>
      </c>
      <c r="AG127" s="80">
        <f>SUMIFS('апрель 2024'!$G$4:$G$1689,'апрель 2024'!$D$4:$D$1689,$B127,'апрель 2024'!$J$4:$J$1689,AG$1)</f>
        <v>0</v>
      </c>
      <c r="AH127" s="80">
        <f>SUMIFS('апрель 2024'!$G$4:$G$1689,'апрель 2024'!$D$4:$D$1689,$B127,'апрель 2024'!$J$4:$J$1689,AH$1)</f>
        <v>0</v>
      </c>
      <c r="AI127" s="21">
        <f t="shared" si="1"/>
        <v>0</v>
      </c>
    </row>
    <row r="128" spans="2:35" ht="16.899999999999999" customHeight="1" x14ac:dyDescent="0.25">
      <c r="B128" s="89" t="s">
        <v>340</v>
      </c>
      <c r="C128" s="88">
        <v>200</v>
      </c>
      <c r="D128" s="80">
        <f>SUMIFS('апрель 2024'!$G$4:$G$1689,'апрель 2024'!$D$4:$D$1689,$B128,'апрель 2024'!$J$4:$J$1689,D$1)</f>
        <v>0</v>
      </c>
      <c r="E128" s="80">
        <f>SUMIFS('апрель 2024'!$G$4:$G$1689,'апрель 2024'!$D$4:$D$1689,$B128,'апрель 2024'!$J$4:$J$1689,E$1)</f>
        <v>0</v>
      </c>
      <c r="F128" s="80">
        <f>SUMIFS('апрель 2024'!$G$4:$G$1689,'апрель 2024'!$D$4:$D$1689,$B128,'апрель 2024'!$J$4:$J$1689,F$1)</f>
        <v>0</v>
      </c>
      <c r="G128" s="80">
        <f>SUMIFS('апрель 2024'!$G$4:$G$1689,'апрель 2024'!$D$4:$D$1689,$B128,'апрель 2024'!$J$4:$J$1689,G$1)</f>
        <v>0</v>
      </c>
      <c r="H128" s="80">
        <f>SUMIFS('апрель 2024'!$G$4:$G$1689,'апрель 2024'!$D$4:$D$1689,$B128,'апрель 2024'!$J$4:$J$1689,H$1)</f>
        <v>0</v>
      </c>
      <c r="I128" s="80">
        <f>SUMIFS('апрель 2024'!$G$4:$G$1689,'апрель 2024'!$D$4:$D$1689,$B128,'апрель 2024'!$J$4:$J$1689,I$1)</f>
        <v>0</v>
      </c>
      <c r="J128" s="80">
        <f>SUMIFS('апрель 2024'!$G$4:$G$1689,'апрель 2024'!$D$4:$D$1689,$B128,'апрель 2024'!$J$4:$J$1689,J$1)</f>
        <v>0</v>
      </c>
      <c r="K128" s="80">
        <f>SUMIFS('апрель 2024'!$G$4:$G$1689,'апрель 2024'!$D$4:$D$1689,$B128,'апрель 2024'!$J$4:$J$1689,K$1)</f>
        <v>0</v>
      </c>
      <c r="L128" s="80">
        <f>SUMIFS('апрель 2024'!$G$4:$G$1689,'апрель 2024'!$D$4:$D$1689,$B128,'апрель 2024'!$J$4:$J$1689,L$1)</f>
        <v>0</v>
      </c>
      <c r="M128" s="80">
        <f>SUMIFS('апрель 2024'!$G$4:$G$1689,'апрель 2024'!$D$4:$D$1689,$B128,'апрель 2024'!$J$4:$J$1689,M$1)</f>
        <v>0</v>
      </c>
      <c r="N128" s="80">
        <f>SUMIFS('апрель 2024'!$G$4:$G$1689,'апрель 2024'!$D$4:$D$1689,$B128,'апрель 2024'!$J$4:$J$1689,N$1)</f>
        <v>0</v>
      </c>
      <c r="O128" s="80">
        <f>SUMIFS('апрель 2024'!$G$4:$G$1689,'апрель 2024'!$D$4:$D$1689,$B128,'апрель 2024'!$J$4:$J$1689,O$1)</f>
        <v>0</v>
      </c>
      <c r="P128" s="80">
        <f>SUMIFS('апрель 2024'!$G$4:$G$1689,'апрель 2024'!$D$4:$D$1689,$B128,'апрель 2024'!$J$4:$J$1689,P$1)</f>
        <v>0</v>
      </c>
      <c r="Q128" s="80">
        <f>SUMIFS('апрель 2024'!$G$4:$G$1689,'апрель 2024'!$D$4:$D$1689,$B128,'апрель 2024'!$J$4:$J$1689,Q$1)</f>
        <v>0</v>
      </c>
      <c r="R128" s="80">
        <f>SUMIFS('апрель 2024'!$G$4:$G$1689,'апрель 2024'!$D$4:$D$1689,$B128,'апрель 2024'!$J$4:$J$1689,R$1)</f>
        <v>0</v>
      </c>
      <c r="S128" s="80">
        <f>SUMIFS('апрель 2024'!$G$4:$G$1689,'апрель 2024'!$D$4:$D$1689,$B128,'апрель 2024'!$J$4:$J$1689,S$1)</f>
        <v>0</v>
      </c>
      <c r="T128" s="80">
        <f>SUMIFS('апрель 2024'!$G$4:$G$1689,'апрель 2024'!$D$4:$D$1689,$B128,'апрель 2024'!$J$4:$J$1689,T$1)</f>
        <v>0</v>
      </c>
      <c r="U128" s="80">
        <f>SUMIFS('апрель 2024'!$G$4:$G$1689,'апрель 2024'!$D$4:$D$1689,$B128,'апрель 2024'!$J$4:$J$1689,U$1)</f>
        <v>0</v>
      </c>
      <c r="V128" s="80">
        <f>SUMIFS('апрель 2024'!$G$4:$G$1689,'апрель 2024'!$D$4:$D$1689,$B128,'апрель 2024'!$J$4:$J$1689,V$1)</f>
        <v>0</v>
      </c>
      <c r="W128" s="80">
        <f>SUMIFS('апрель 2024'!$G$4:$G$1689,'апрель 2024'!$D$4:$D$1689,$B128,'апрель 2024'!$J$4:$J$1689,W$1)</f>
        <v>0</v>
      </c>
      <c r="X128" s="80">
        <f>SUMIFS('апрель 2024'!$G$4:$G$1689,'апрель 2024'!$D$4:$D$1689,$B128,'апрель 2024'!$J$4:$J$1689,X$1)</f>
        <v>0</v>
      </c>
      <c r="Y128" s="80">
        <f>SUMIFS('апрель 2024'!$G$4:$G$1689,'апрель 2024'!$D$4:$D$1689,$B128,'апрель 2024'!$J$4:$J$1689,Y$1)</f>
        <v>0</v>
      </c>
      <c r="Z128" s="80">
        <f>SUMIFS('апрель 2024'!$G$4:$G$1689,'апрель 2024'!$D$4:$D$1689,$B128,'апрель 2024'!$J$4:$J$1689,Z$1)</f>
        <v>0</v>
      </c>
      <c r="AA128" s="80">
        <f>SUMIFS('апрель 2024'!$G$4:$G$1689,'апрель 2024'!$D$4:$D$1689,$B128,'апрель 2024'!$J$4:$J$1689,AA$1)</f>
        <v>0</v>
      </c>
      <c r="AB128" s="80">
        <f>SUMIFS('апрель 2024'!$G$4:$G$1689,'апрель 2024'!$D$4:$D$1689,$B128,'апрель 2024'!$J$4:$J$1689,AB$1)</f>
        <v>0</v>
      </c>
      <c r="AC128" s="80">
        <f>SUMIFS('апрель 2024'!$G$4:$G$1689,'апрель 2024'!$D$4:$D$1689,$B128,'апрель 2024'!$J$4:$J$1689,AC$1)</f>
        <v>0</v>
      </c>
      <c r="AD128" s="80">
        <f>SUMIFS('апрель 2024'!$G$4:$G$1689,'апрель 2024'!$D$4:$D$1689,$B128,'апрель 2024'!$J$4:$J$1689,AD$1)</f>
        <v>0</v>
      </c>
      <c r="AE128" s="80">
        <f>SUMIFS('апрель 2024'!$G$4:$G$1689,'апрель 2024'!$D$4:$D$1689,$B128,'апрель 2024'!$J$4:$J$1689,AE$1)</f>
        <v>0</v>
      </c>
      <c r="AF128" s="80">
        <f>SUMIFS('апрель 2024'!$G$4:$G$1689,'апрель 2024'!$D$4:$D$1689,$B128,'апрель 2024'!$J$4:$J$1689,AF$1)</f>
        <v>0</v>
      </c>
      <c r="AG128" s="80">
        <f>SUMIFS('апрель 2024'!$G$4:$G$1689,'апрель 2024'!$D$4:$D$1689,$B128,'апрель 2024'!$J$4:$J$1689,AG$1)</f>
        <v>0</v>
      </c>
      <c r="AH128" s="80">
        <f>SUMIFS('апрель 2024'!$G$4:$G$1689,'апрель 2024'!$D$4:$D$1689,$B128,'апрель 2024'!$J$4:$J$1689,AH$1)</f>
        <v>0</v>
      </c>
      <c r="AI128" s="21">
        <f t="shared" si="1"/>
        <v>0</v>
      </c>
    </row>
    <row r="129" spans="2:35" ht="16.899999999999999" customHeight="1" x14ac:dyDescent="0.25">
      <c r="B129" s="89" t="s">
        <v>336</v>
      </c>
      <c r="C129" s="88">
        <v>200</v>
      </c>
      <c r="D129" s="80">
        <f>SUMIFS('апрель 2024'!$G$4:$G$1689,'апрель 2024'!$D$4:$D$1689,$B129,'апрель 2024'!$J$4:$J$1689,D$1)</f>
        <v>0</v>
      </c>
      <c r="E129" s="80">
        <f>SUMIFS('апрель 2024'!$G$4:$G$1689,'апрель 2024'!$D$4:$D$1689,$B129,'апрель 2024'!$J$4:$J$1689,E$1)</f>
        <v>0</v>
      </c>
      <c r="F129" s="80">
        <f>SUMIFS('апрель 2024'!$G$4:$G$1689,'апрель 2024'!$D$4:$D$1689,$B129,'апрель 2024'!$J$4:$J$1689,F$1)</f>
        <v>0</v>
      </c>
      <c r="G129" s="80">
        <f>SUMIFS('апрель 2024'!$G$4:$G$1689,'апрель 2024'!$D$4:$D$1689,$B129,'апрель 2024'!$J$4:$J$1689,G$1)</f>
        <v>0</v>
      </c>
      <c r="H129" s="80">
        <f>SUMIFS('апрель 2024'!$G$4:$G$1689,'апрель 2024'!$D$4:$D$1689,$B129,'апрель 2024'!$J$4:$J$1689,H$1)</f>
        <v>0</v>
      </c>
      <c r="I129" s="80">
        <f>SUMIFS('апрель 2024'!$G$4:$G$1689,'апрель 2024'!$D$4:$D$1689,$B129,'апрель 2024'!$J$4:$J$1689,I$1)</f>
        <v>0</v>
      </c>
      <c r="J129" s="80">
        <f>SUMIFS('апрель 2024'!$G$4:$G$1689,'апрель 2024'!$D$4:$D$1689,$B129,'апрель 2024'!$J$4:$J$1689,J$1)</f>
        <v>0</v>
      </c>
      <c r="K129" s="80">
        <f>SUMIFS('апрель 2024'!$G$4:$G$1689,'апрель 2024'!$D$4:$D$1689,$B129,'апрель 2024'!$J$4:$J$1689,K$1)</f>
        <v>0</v>
      </c>
      <c r="L129" s="80">
        <f>SUMIFS('апрель 2024'!$G$4:$G$1689,'апрель 2024'!$D$4:$D$1689,$B129,'апрель 2024'!$J$4:$J$1689,L$1)</f>
        <v>0</v>
      </c>
      <c r="M129" s="80">
        <f>SUMIFS('апрель 2024'!$G$4:$G$1689,'апрель 2024'!$D$4:$D$1689,$B129,'апрель 2024'!$J$4:$J$1689,M$1)</f>
        <v>0</v>
      </c>
      <c r="N129" s="80">
        <f>SUMIFS('апрель 2024'!$G$4:$G$1689,'апрель 2024'!$D$4:$D$1689,$B129,'апрель 2024'!$J$4:$J$1689,N$1)</f>
        <v>0</v>
      </c>
      <c r="O129" s="80">
        <f>SUMIFS('апрель 2024'!$G$4:$G$1689,'апрель 2024'!$D$4:$D$1689,$B129,'апрель 2024'!$J$4:$J$1689,O$1)</f>
        <v>0</v>
      </c>
      <c r="P129" s="80">
        <f>SUMIFS('апрель 2024'!$G$4:$G$1689,'апрель 2024'!$D$4:$D$1689,$B129,'апрель 2024'!$J$4:$J$1689,P$1)</f>
        <v>0</v>
      </c>
      <c r="Q129" s="80">
        <f>SUMIFS('апрель 2024'!$G$4:$G$1689,'апрель 2024'!$D$4:$D$1689,$B129,'апрель 2024'!$J$4:$J$1689,Q$1)</f>
        <v>0</v>
      </c>
      <c r="R129" s="80">
        <f>SUMIFS('апрель 2024'!$G$4:$G$1689,'апрель 2024'!$D$4:$D$1689,$B129,'апрель 2024'!$J$4:$J$1689,R$1)</f>
        <v>0</v>
      </c>
      <c r="S129" s="80">
        <f>SUMIFS('апрель 2024'!$G$4:$G$1689,'апрель 2024'!$D$4:$D$1689,$B129,'апрель 2024'!$J$4:$J$1689,S$1)</f>
        <v>0</v>
      </c>
      <c r="T129" s="80">
        <f>SUMIFS('апрель 2024'!$G$4:$G$1689,'апрель 2024'!$D$4:$D$1689,$B129,'апрель 2024'!$J$4:$J$1689,T$1)</f>
        <v>0</v>
      </c>
      <c r="U129" s="80">
        <f>SUMIFS('апрель 2024'!$G$4:$G$1689,'апрель 2024'!$D$4:$D$1689,$B129,'апрель 2024'!$J$4:$J$1689,U$1)</f>
        <v>0</v>
      </c>
      <c r="V129" s="80">
        <f>SUMIFS('апрель 2024'!$G$4:$G$1689,'апрель 2024'!$D$4:$D$1689,$B129,'апрель 2024'!$J$4:$J$1689,V$1)</f>
        <v>0</v>
      </c>
      <c r="W129" s="80">
        <f>SUMIFS('апрель 2024'!$G$4:$G$1689,'апрель 2024'!$D$4:$D$1689,$B129,'апрель 2024'!$J$4:$J$1689,W$1)</f>
        <v>0</v>
      </c>
      <c r="X129" s="80">
        <f>SUMIFS('апрель 2024'!$G$4:$G$1689,'апрель 2024'!$D$4:$D$1689,$B129,'апрель 2024'!$J$4:$J$1689,X$1)</f>
        <v>0</v>
      </c>
      <c r="Y129" s="80">
        <f>SUMIFS('апрель 2024'!$G$4:$G$1689,'апрель 2024'!$D$4:$D$1689,$B129,'апрель 2024'!$J$4:$J$1689,Y$1)</f>
        <v>0</v>
      </c>
      <c r="Z129" s="80">
        <f>SUMIFS('апрель 2024'!$G$4:$G$1689,'апрель 2024'!$D$4:$D$1689,$B129,'апрель 2024'!$J$4:$J$1689,Z$1)</f>
        <v>0</v>
      </c>
      <c r="AA129" s="80">
        <f>SUMIFS('апрель 2024'!$G$4:$G$1689,'апрель 2024'!$D$4:$D$1689,$B129,'апрель 2024'!$J$4:$J$1689,AA$1)</f>
        <v>0</v>
      </c>
      <c r="AB129" s="80">
        <f>SUMIFS('апрель 2024'!$G$4:$G$1689,'апрель 2024'!$D$4:$D$1689,$B129,'апрель 2024'!$J$4:$J$1689,AB$1)</f>
        <v>0</v>
      </c>
      <c r="AC129" s="80">
        <f>SUMIFS('апрель 2024'!$G$4:$G$1689,'апрель 2024'!$D$4:$D$1689,$B129,'апрель 2024'!$J$4:$J$1689,AC$1)</f>
        <v>0</v>
      </c>
      <c r="AD129" s="80">
        <f>SUMIFS('апрель 2024'!$G$4:$G$1689,'апрель 2024'!$D$4:$D$1689,$B129,'апрель 2024'!$J$4:$J$1689,AD$1)</f>
        <v>0</v>
      </c>
      <c r="AE129" s="80">
        <f>SUMIFS('апрель 2024'!$G$4:$G$1689,'апрель 2024'!$D$4:$D$1689,$B129,'апрель 2024'!$J$4:$J$1689,AE$1)</f>
        <v>0</v>
      </c>
      <c r="AF129" s="80">
        <f>SUMIFS('апрель 2024'!$G$4:$G$1689,'апрель 2024'!$D$4:$D$1689,$B129,'апрель 2024'!$J$4:$J$1689,AF$1)</f>
        <v>0</v>
      </c>
      <c r="AG129" s="80">
        <f>SUMIFS('апрель 2024'!$G$4:$G$1689,'апрель 2024'!$D$4:$D$1689,$B129,'апрель 2024'!$J$4:$J$1689,AG$1)</f>
        <v>0</v>
      </c>
      <c r="AH129" s="80">
        <f>SUMIFS('апрель 2024'!$G$4:$G$1689,'апрель 2024'!$D$4:$D$1689,$B129,'апрель 2024'!$J$4:$J$1689,AH$1)</f>
        <v>0</v>
      </c>
      <c r="AI129" s="21">
        <f t="shared" si="1"/>
        <v>0</v>
      </c>
    </row>
    <row r="130" spans="2:35" ht="15" customHeight="1" x14ac:dyDescent="0.25">
      <c r="B130" s="89" t="s">
        <v>341</v>
      </c>
      <c r="C130" s="88">
        <v>200</v>
      </c>
      <c r="D130" s="80">
        <f>SUMIFS('апрель 2024'!$G$4:$G$1689,'апрель 2024'!$D$4:$D$1689,$B130,'апрель 2024'!$J$4:$J$1689,D$1)</f>
        <v>0</v>
      </c>
      <c r="E130" s="80">
        <f>SUMIFS('апрель 2024'!$G$4:$G$1689,'апрель 2024'!$D$4:$D$1689,$B130,'апрель 2024'!$J$4:$J$1689,E$1)</f>
        <v>0</v>
      </c>
      <c r="F130" s="80">
        <f>SUMIFS('апрель 2024'!$G$4:$G$1689,'апрель 2024'!$D$4:$D$1689,$B130,'апрель 2024'!$J$4:$J$1689,F$1)</f>
        <v>0</v>
      </c>
      <c r="G130" s="80">
        <f>SUMIFS('апрель 2024'!$G$4:$G$1689,'апрель 2024'!$D$4:$D$1689,$B130,'апрель 2024'!$J$4:$J$1689,G$1)</f>
        <v>0</v>
      </c>
      <c r="H130" s="80">
        <f>SUMIFS('апрель 2024'!$G$4:$G$1689,'апрель 2024'!$D$4:$D$1689,$B130,'апрель 2024'!$J$4:$J$1689,H$1)</f>
        <v>0</v>
      </c>
      <c r="I130" s="80">
        <f>SUMIFS('апрель 2024'!$G$4:$G$1689,'апрель 2024'!$D$4:$D$1689,$B130,'апрель 2024'!$J$4:$J$1689,I$1)</f>
        <v>0</v>
      </c>
      <c r="J130" s="80">
        <f>SUMIFS('апрель 2024'!$G$4:$G$1689,'апрель 2024'!$D$4:$D$1689,$B130,'апрель 2024'!$J$4:$J$1689,J$1)</f>
        <v>0</v>
      </c>
      <c r="K130" s="80">
        <f>SUMIFS('апрель 2024'!$G$4:$G$1689,'апрель 2024'!$D$4:$D$1689,$B130,'апрель 2024'!$J$4:$J$1689,K$1)</f>
        <v>0</v>
      </c>
      <c r="L130" s="80">
        <f>SUMIFS('апрель 2024'!$G$4:$G$1689,'апрель 2024'!$D$4:$D$1689,$B130,'апрель 2024'!$J$4:$J$1689,L$1)</f>
        <v>0</v>
      </c>
      <c r="M130" s="80">
        <f>SUMIFS('апрель 2024'!$G$4:$G$1689,'апрель 2024'!$D$4:$D$1689,$B130,'апрель 2024'!$J$4:$J$1689,M$1)</f>
        <v>0</v>
      </c>
      <c r="N130" s="80">
        <f>SUMIFS('апрель 2024'!$G$4:$G$1689,'апрель 2024'!$D$4:$D$1689,$B130,'апрель 2024'!$J$4:$J$1689,N$1)</f>
        <v>0</v>
      </c>
      <c r="O130" s="80">
        <f>SUMIFS('апрель 2024'!$G$4:$G$1689,'апрель 2024'!$D$4:$D$1689,$B130,'апрель 2024'!$J$4:$J$1689,O$1)</f>
        <v>0</v>
      </c>
      <c r="P130" s="80">
        <f>SUMIFS('апрель 2024'!$G$4:$G$1689,'апрель 2024'!$D$4:$D$1689,$B130,'апрель 2024'!$J$4:$J$1689,P$1)</f>
        <v>0</v>
      </c>
      <c r="Q130" s="80">
        <f>SUMIFS('апрель 2024'!$G$4:$G$1689,'апрель 2024'!$D$4:$D$1689,$B130,'апрель 2024'!$J$4:$J$1689,Q$1)</f>
        <v>0</v>
      </c>
      <c r="R130" s="80">
        <f>SUMIFS('апрель 2024'!$G$4:$G$1689,'апрель 2024'!$D$4:$D$1689,$B130,'апрель 2024'!$J$4:$J$1689,R$1)</f>
        <v>0</v>
      </c>
      <c r="S130" s="80">
        <f>SUMIFS('апрель 2024'!$G$4:$G$1689,'апрель 2024'!$D$4:$D$1689,$B130,'апрель 2024'!$J$4:$J$1689,S$1)</f>
        <v>0</v>
      </c>
      <c r="T130" s="80">
        <f>SUMIFS('апрель 2024'!$G$4:$G$1689,'апрель 2024'!$D$4:$D$1689,$B130,'апрель 2024'!$J$4:$J$1689,T$1)</f>
        <v>0</v>
      </c>
      <c r="U130" s="80">
        <f>SUMIFS('апрель 2024'!$G$4:$G$1689,'апрель 2024'!$D$4:$D$1689,$B130,'апрель 2024'!$J$4:$J$1689,U$1)</f>
        <v>0</v>
      </c>
      <c r="V130" s="80">
        <f>SUMIFS('апрель 2024'!$G$4:$G$1689,'апрель 2024'!$D$4:$D$1689,$B130,'апрель 2024'!$J$4:$J$1689,V$1)</f>
        <v>0</v>
      </c>
      <c r="W130" s="80">
        <f>SUMIFS('апрель 2024'!$G$4:$G$1689,'апрель 2024'!$D$4:$D$1689,$B130,'апрель 2024'!$J$4:$J$1689,W$1)</f>
        <v>0</v>
      </c>
      <c r="X130" s="80">
        <f>SUMIFS('апрель 2024'!$G$4:$G$1689,'апрель 2024'!$D$4:$D$1689,$B130,'апрель 2024'!$J$4:$J$1689,X$1)</f>
        <v>0</v>
      </c>
      <c r="Y130" s="80">
        <f>SUMIFS('апрель 2024'!$G$4:$G$1689,'апрель 2024'!$D$4:$D$1689,$B130,'апрель 2024'!$J$4:$J$1689,Y$1)</f>
        <v>0</v>
      </c>
      <c r="Z130" s="80">
        <f>SUMIFS('апрель 2024'!$G$4:$G$1689,'апрель 2024'!$D$4:$D$1689,$B130,'апрель 2024'!$J$4:$J$1689,Z$1)</f>
        <v>0</v>
      </c>
      <c r="AA130" s="80">
        <f>SUMIFS('апрель 2024'!$G$4:$G$1689,'апрель 2024'!$D$4:$D$1689,$B130,'апрель 2024'!$J$4:$J$1689,AA$1)</f>
        <v>0</v>
      </c>
      <c r="AB130" s="80">
        <f>SUMIFS('апрель 2024'!$G$4:$G$1689,'апрель 2024'!$D$4:$D$1689,$B130,'апрель 2024'!$J$4:$J$1689,AB$1)</f>
        <v>0</v>
      </c>
      <c r="AC130" s="80">
        <f>SUMIFS('апрель 2024'!$G$4:$G$1689,'апрель 2024'!$D$4:$D$1689,$B130,'апрель 2024'!$J$4:$J$1689,AC$1)</f>
        <v>0</v>
      </c>
      <c r="AD130" s="80">
        <f>SUMIFS('апрель 2024'!$G$4:$G$1689,'апрель 2024'!$D$4:$D$1689,$B130,'апрель 2024'!$J$4:$J$1689,AD$1)</f>
        <v>0</v>
      </c>
      <c r="AE130" s="80">
        <f>SUMIFS('апрель 2024'!$G$4:$G$1689,'апрель 2024'!$D$4:$D$1689,$B130,'апрель 2024'!$J$4:$J$1689,AE$1)</f>
        <v>0</v>
      </c>
      <c r="AF130" s="80">
        <f>SUMIFS('апрель 2024'!$G$4:$G$1689,'апрель 2024'!$D$4:$D$1689,$B130,'апрель 2024'!$J$4:$J$1689,AF$1)</f>
        <v>0</v>
      </c>
      <c r="AG130" s="80">
        <f>SUMIFS('апрель 2024'!$G$4:$G$1689,'апрель 2024'!$D$4:$D$1689,$B130,'апрель 2024'!$J$4:$J$1689,AG$1)</f>
        <v>0</v>
      </c>
      <c r="AH130" s="80">
        <f>SUMIFS('апрель 2024'!$G$4:$G$1689,'апрель 2024'!$D$4:$D$1689,$B130,'апрель 2024'!$J$4:$J$1689,AH$1)</f>
        <v>0</v>
      </c>
      <c r="AI130" s="21">
        <f t="shared" si="1"/>
        <v>0</v>
      </c>
    </row>
    <row r="131" spans="2:35" ht="15" customHeight="1" x14ac:dyDescent="0.25">
      <c r="B131" s="89" t="s">
        <v>337</v>
      </c>
      <c r="C131" s="88">
        <v>200</v>
      </c>
      <c r="D131" s="80">
        <f>SUMIFS('апрель 2024'!$G$4:$G$1689,'апрель 2024'!$D$4:$D$1689,$B131,'апрель 2024'!$J$4:$J$1689,D$1)</f>
        <v>0</v>
      </c>
      <c r="E131" s="80">
        <f>SUMIFS('апрель 2024'!$G$4:$G$1689,'апрель 2024'!$D$4:$D$1689,$B131,'апрель 2024'!$J$4:$J$1689,E$1)</f>
        <v>0</v>
      </c>
      <c r="F131" s="80">
        <f>SUMIFS('апрель 2024'!$G$4:$G$1689,'апрель 2024'!$D$4:$D$1689,$B131,'апрель 2024'!$J$4:$J$1689,F$1)</f>
        <v>0</v>
      </c>
      <c r="G131" s="80">
        <f>SUMIFS('апрель 2024'!$G$4:$G$1689,'апрель 2024'!$D$4:$D$1689,$B131,'апрель 2024'!$J$4:$J$1689,G$1)</f>
        <v>0</v>
      </c>
      <c r="H131" s="80">
        <f>SUMIFS('апрель 2024'!$G$4:$G$1689,'апрель 2024'!$D$4:$D$1689,$B131,'апрель 2024'!$J$4:$J$1689,H$1)</f>
        <v>0</v>
      </c>
      <c r="I131" s="80">
        <f>SUMIFS('апрель 2024'!$G$4:$G$1689,'апрель 2024'!$D$4:$D$1689,$B131,'апрель 2024'!$J$4:$J$1689,I$1)</f>
        <v>0</v>
      </c>
      <c r="J131" s="80">
        <f>SUMIFS('апрель 2024'!$G$4:$G$1689,'апрель 2024'!$D$4:$D$1689,$B131,'апрель 2024'!$J$4:$J$1689,J$1)</f>
        <v>0</v>
      </c>
      <c r="K131" s="80">
        <f>SUMIFS('апрель 2024'!$G$4:$G$1689,'апрель 2024'!$D$4:$D$1689,$B131,'апрель 2024'!$J$4:$J$1689,K$1)</f>
        <v>0</v>
      </c>
      <c r="L131" s="80">
        <f>SUMIFS('апрель 2024'!$G$4:$G$1689,'апрель 2024'!$D$4:$D$1689,$B131,'апрель 2024'!$J$4:$J$1689,L$1)</f>
        <v>0</v>
      </c>
      <c r="M131" s="80">
        <f>SUMIFS('апрель 2024'!$G$4:$G$1689,'апрель 2024'!$D$4:$D$1689,$B131,'апрель 2024'!$J$4:$J$1689,M$1)</f>
        <v>0</v>
      </c>
      <c r="N131" s="80">
        <f>SUMIFS('апрель 2024'!$G$4:$G$1689,'апрель 2024'!$D$4:$D$1689,$B131,'апрель 2024'!$J$4:$J$1689,N$1)</f>
        <v>0</v>
      </c>
      <c r="O131" s="80">
        <f>SUMIFS('апрель 2024'!$G$4:$G$1689,'апрель 2024'!$D$4:$D$1689,$B131,'апрель 2024'!$J$4:$J$1689,O$1)</f>
        <v>0</v>
      </c>
      <c r="P131" s="80">
        <f>SUMIFS('апрель 2024'!$G$4:$G$1689,'апрель 2024'!$D$4:$D$1689,$B131,'апрель 2024'!$J$4:$J$1689,P$1)</f>
        <v>0</v>
      </c>
      <c r="Q131" s="80">
        <f>SUMIFS('апрель 2024'!$G$4:$G$1689,'апрель 2024'!$D$4:$D$1689,$B131,'апрель 2024'!$J$4:$J$1689,Q$1)</f>
        <v>0</v>
      </c>
      <c r="R131" s="80">
        <f>SUMIFS('апрель 2024'!$G$4:$G$1689,'апрель 2024'!$D$4:$D$1689,$B131,'апрель 2024'!$J$4:$J$1689,R$1)</f>
        <v>0</v>
      </c>
      <c r="S131" s="80">
        <f>SUMIFS('апрель 2024'!$G$4:$G$1689,'апрель 2024'!$D$4:$D$1689,$B131,'апрель 2024'!$J$4:$J$1689,S$1)</f>
        <v>0</v>
      </c>
      <c r="T131" s="80">
        <f>SUMIFS('апрель 2024'!$G$4:$G$1689,'апрель 2024'!$D$4:$D$1689,$B131,'апрель 2024'!$J$4:$J$1689,T$1)</f>
        <v>0</v>
      </c>
      <c r="U131" s="80">
        <f>SUMIFS('апрель 2024'!$G$4:$G$1689,'апрель 2024'!$D$4:$D$1689,$B131,'апрель 2024'!$J$4:$J$1689,U$1)</f>
        <v>0</v>
      </c>
      <c r="V131" s="80">
        <f>SUMIFS('апрель 2024'!$G$4:$G$1689,'апрель 2024'!$D$4:$D$1689,$B131,'апрель 2024'!$J$4:$J$1689,V$1)</f>
        <v>0</v>
      </c>
      <c r="W131" s="80">
        <f>SUMIFS('апрель 2024'!$G$4:$G$1689,'апрель 2024'!$D$4:$D$1689,$B131,'апрель 2024'!$J$4:$J$1689,W$1)</f>
        <v>0</v>
      </c>
      <c r="X131" s="80">
        <f>SUMIFS('апрель 2024'!$G$4:$G$1689,'апрель 2024'!$D$4:$D$1689,$B131,'апрель 2024'!$J$4:$J$1689,X$1)</f>
        <v>0</v>
      </c>
      <c r="Y131" s="80">
        <f>SUMIFS('апрель 2024'!$G$4:$G$1689,'апрель 2024'!$D$4:$D$1689,$B131,'апрель 2024'!$J$4:$J$1689,Y$1)</f>
        <v>0</v>
      </c>
      <c r="Z131" s="80">
        <f>SUMIFS('апрель 2024'!$G$4:$G$1689,'апрель 2024'!$D$4:$D$1689,$B131,'апрель 2024'!$J$4:$J$1689,Z$1)</f>
        <v>0</v>
      </c>
      <c r="AA131" s="80">
        <f>SUMIFS('апрель 2024'!$G$4:$G$1689,'апрель 2024'!$D$4:$D$1689,$B131,'апрель 2024'!$J$4:$J$1689,AA$1)</f>
        <v>0</v>
      </c>
      <c r="AB131" s="80">
        <f>SUMIFS('апрель 2024'!$G$4:$G$1689,'апрель 2024'!$D$4:$D$1689,$B131,'апрель 2024'!$J$4:$J$1689,AB$1)</f>
        <v>0</v>
      </c>
      <c r="AC131" s="80">
        <f>SUMIFS('апрель 2024'!$G$4:$G$1689,'апрель 2024'!$D$4:$D$1689,$B131,'апрель 2024'!$J$4:$J$1689,AC$1)</f>
        <v>0</v>
      </c>
      <c r="AD131" s="80">
        <f>SUMIFS('апрель 2024'!$G$4:$G$1689,'апрель 2024'!$D$4:$D$1689,$B131,'апрель 2024'!$J$4:$J$1689,AD$1)</f>
        <v>0</v>
      </c>
      <c r="AE131" s="80">
        <f>SUMIFS('апрель 2024'!$G$4:$G$1689,'апрель 2024'!$D$4:$D$1689,$B131,'апрель 2024'!$J$4:$J$1689,AE$1)</f>
        <v>0</v>
      </c>
      <c r="AF131" s="80">
        <f>SUMIFS('апрель 2024'!$G$4:$G$1689,'апрель 2024'!$D$4:$D$1689,$B131,'апрель 2024'!$J$4:$J$1689,AF$1)</f>
        <v>0</v>
      </c>
      <c r="AG131" s="80">
        <f>SUMIFS('апрель 2024'!$G$4:$G$1689,'апрель 2024'!$D$4:$D$1689,$B131,'апрель 2024'!$J$4:$J$1689,AG$1)</f>
        <v>0</v>
      </c>
      <c r="AH131" s="80">
        <f>SUMIFS('апрель 2024'!$G$4:$G$1689,'апрель 2024'!$D$4:$D$1689,$B131,'апрель 2024'!$J$4:$J$1689,AH$1)</f>
        <v>0</v>
      </c>
      <c r="AI131" s="21">
        <f t="shared" si="1"/>
        <v>0</v>
      </c>
    </row>
    <row r="132" spans="2:35" ht="15" customHeight="1" x14ac:dyDescent="0.25">
      <c r="B132" s="89" t="s">
        <v>338</v>
      </c>
      <c r="C132" s="88">
        <v>200</v>
      </c>
      <c r="D132" s="80">
        <f>SUMIFS('апрель 2024'!$G$4:$G$1689,'апрель 2024'!$D$4:$D$1689,$B132,'апрель 2024'!$J$4:$J$1689,D$1)</f>
        <v>0</v>
      </c>
      <c r="E132" s="80">
        <f>SUMIFS('апрель 2024'!$G$4:$G$1689,'апрель 2024'!$D$4:$D$1689,$B132,'апрель 2024'!$J$4:$J$1689,E$1)</f>
        <v>0</v>
      </c>
      <c r="F132" s="80">
        <f>SUMIFS('апрель 2024'!$G$4:$G$1689,'апрель 2024'!$D$4:$D$1689,$B132,'апрель 2024'!$J$4:$J$1689,F$1)</f>
        <v>0</v>
      </c>
      <c r="G132" s="80">
        <f>SUMIFS('апрель 2024'!$G$4:$G$1689,'апрель 2024'!$D$4:$D$1689,$B132,'апрель 2024'!$J$4:$J$1689,G$1)</f>
        <v>0</v>
      </c>
      <c r="H132" s="80">
        <f>SUMIFS('апрель 2024'!$G$4:$G$1689,'апрель 2024'!$D$4:$D$1689,$B132,'апрель 2024'!$J$4:$J$1689,H$1)</f>
        <v>0</v>
      </c>
      <c r="I132" s="80">
        <f>SUMIFS('апрель 2024'!$G$4:$G$1689,'апрель 2024'!$D$4:$D$1689,$B132,'апрель 2024'!$J$4:$J$1689,I$1)</f>
        <v>0</v>
      </c>
      <c r="J132" s="80">
        <f>SUMIFS('апрель 2024'!$G$4:$G$1689,'апрель 2024'!$D$4:$D$1689,$B132,'апрель 2024'!$J$4:$J$1689,J$1)</f>
        <v>0</v>
      </c>
      <c r="K132" s="80">
        <f>SUMIFS('апрель 2024'!$G$4:$G$1689,'апрель 2024'!$D$4:$D$1689,$B132,'апрель 2024'!$J$4:$J$1689,K$1)</f>
        <v>0</v>
      </c>
      <c r="L132" s="80">
        <f>SUMIFS('апрель 2024'!$G$4:$G$1689,'апрель 2024'!$D$4:$D$1689,$B132,'апрель 2024'!$J$4:$J$1689,L$1)</f>
        <v>0</v>
      </c>
      <c r="M132" s="80">
        <f>SUMIFS('апрель 2024'!$G$4:$G$1689,'апрель 2024'!$D$4:$D$1689,$B132,'апрель 2024'!$J$4:$J$1689,M$1)</f>
        <v>0</v>
      </c>
      <c r="N132" s="80">
        <f>SUMIFS('апрель 2024'!$G$4:$G$1689,'апрель 2024'!$D$4:$D$1689,$B132,'апрель 2024'!$J$4:$J$1689,N$1)</f>
        <v>0</v>
      </c>
      <c r="O132" s="80">
        <f>SUMIFS('апрель 2024'!$G$4:$G$1689,'апрель 2024'!$D$4:$D$1689,$B132,'апрель 2024'!$J$4:$J$1689,O$1)</f>
        <v>0</v>
      </c>
      <c r="P132" s="80">
        <f>SUMIFS('апрель 2024'!$G$4:$G$1689,'апрель 2024'!$D$4:$D$1689,$B132,'апрель 2024'!$J$4:$J$1689,P$1)</f>
        <v>0</v>
      </c>
      <c r="Q132" s="80">
        <f>SUMIFS('апрель 2024'!$G$4:$G$1689,'апрель 2024'!$D$4:$D$1689,$B132,'апрель 2024'!$J$4:$J$1689,Q$1)</f>
        <v>0</v>
      </c>
      <c r="R132" s="80">
        <f>SUMIFS('апрель 2024'!$G$4:$G$1689,'апрель 2024'!$D$4:$D$1689,$B132,'апрель 2024'!$J$4:$J$1689,R$1)</f>
        <v>0</v>
      </c>
      <c r="S132" s="80">
        <f>SUMIFS('апрель 2024'!$G$4:$G$1689,'апрель 2024'!$D$4:$D$1689,$B132,'апрель 2024'!$J$4:$J$1689,S$1)</f>
        <v>0</v>
      </c>
      <c r="T132" s="80">
        <f>SUMIFS('апрель 2024'!$G$4:$G$1689,'апрель 2024'!$D$4:$D$1689,$B132,'апрель 2024'!$J$4:$J$1689,T$1)</f>
        <v>0</v>
      </c>
      <c r="U132" s="80">
        <f>SUMIFS('апрель 2024'!$G$4:$G$1689,'апрель 2024'!$D$4:$D$1689,$B132,'апрель 2024'!$J$4:$J$1689,U$1)</f>
        <v>0</v>
      </c>
      <c r="V132" s="80">
        <f>SUMIFS('апрель 2024'!$G$4:$G$1689,'апрель 2024'!$D$4:$D$1689,$B132,'апрель 2024'!$J$4:$J$1689,V$1)</f>
        <v>0</v>
      </c>
      <c r="W132" s="80">
        <f>SUMIFS('апрель 2024'!$G$4:$G$1689,'апрель 2024'!$D$4:$D$1689,$B132,'апрель 2024'!$J$4:$J$1689,W$1)</f>
        <v>0</v>
      </c>
      <c r="X132" s="80">
        <f>SUMIFS('апрель 2024'!$G$4:$G$1689,'апрель 2024'!$D$4:$D$1689,$B132,'апрель 2024'!$J$4:$J$1689,X$1)</f>
        <v>0</v>
      </c>
      <c r="Y132" s="80">
        <f>SUMIFS('апрель 2024'!$G$4:$G$1689,'апрель 2024'!$D$4:$D$1689,$B132,'апрель 2024'!$J$4:$J$1689,Y$1)</f>
        <v>0</v>
      </c>
      <c r="Z132" s="80">
        <f>SUMIFS('апрель 2024'!$G$4:$G$1689,'апрель 2024'!$D$4:$D$1689,$B132,'апрель 2024'!$J$4:$J$1689,Z$1)</f>
        <v>0</v>
      </c>
      <c r="AA132" s="80">
        <f>SUMIFS('апрель 2024'!$G$4:$G$1689,'апрель 2024'!$D$4:$D$1689,$B132,'апрель 2024'!$J$4:$J$1689,AA$1)</f>
        <v>0</v>
      </c>
      <c r="AB132" s="80">
        <f>SUMIFS('апрель 2024'!$G$4:$G$1689,'апрель 2024'!$D$4:$D$1689,$B132,'апрель 2024'!$J$4:$J$1689,AB$1)</f>
        <v>0</v>
      </c>
      <c r="AC132" s="80">
        <f>SUMIFS('апрель 2024'!$G$4:$G$1689,'апрель 2024'!$D$4:$D$1689,$B132,'апрель 2024'!$J$4:$J$1689,AC$1)</f>
        <v>0</v>
      </c>
      <c r="AD132" s="80">
        <f>SUMIFS('апрель 2024'!$G$4:$G$1689,'апрель 2024'!$D$4:$D$1689,$B132,'апрель 2024'!$J$4:$J$1689,AD$1)</f>
        <v>0</v>
      </c>
      <c r="AE132" s="80">
        <f>SUMIFS('апрель 2024'!$G$4:$G$1689,'апрель 2024'!$D$4:$D$1689,$B132,'апрель 2024'!$J$4:$J$1689,AE$1)</f>
        <v>0</v>
      </c>
      <c r="AF132" s="80">
        <f>SUMIFS('апрель 2024'!$G$4:$G$1689,'апрель 2024'!$D$4:$D$1689,$B132,'апрель 2024'!$J$4:$J$1689,AF$1)</f>
        <v>0</v>
      </c>
      <c r="AG132" s="80">
        <f>SUMIFS('апрель 2024'!$G$4:$G$1689,'апрель 2024'!$D$4:$D$1689,$B132,'апрель 2024'!$J$4:$J$1689,AG$1)</f>
        <v>0</v>
      </c>
      <c r="AH132" s="80">
        <f>SUMIFS('апрель 2024'!$G$4:$G$1689,'апрель 2024'!$D$4:$D$1689,$B132,'апрель 2024'!$J$4:$J$1689,AH$1)</f>
        <v>0</v>
      </c>
      <c r="AI132" s="21">
        <f t="shared" si="1"/>
        <v>0</v>
      </c>
    </row>
    <row r="133" spans="2:35" ht="15" customHeight="1" x14ac:dyDescent="0.25">
      <c r="B133" s="89" t="s">
        <v>211</v>
      </c>
      <c r="C133" s="88">
        <v>200</v>
      </c>
      <c r="D133" s="80">
        <f>SUMIFS('апрель 2024'!$G$4:$G$1689,'апрель 2024'!$D$4:$D$1689,$B133,'апрель 2024'!$J$4:$J$1689,D$1)</f>
        <v>0</v>
      </c>
      <c r="E133" s="80">
        <f>SUMIFS('апрель 2024'!$G$4:$G$1689,'апрель 2024'!$D$4:$D$1689,$B133,'апрель 2024'!$J$4:$J$1689,E$1)</f>
        <v>0</v>
      </c>
      <c r="F133" s="80">
        <f>SUMIFS('апрель 2024'!$G$4:$G$1689,'апрель 2024'!$D$4:$D$1689,$B133,'апрель 2024'!$J$4:$J$1689,F$1)</f>
        <v>0</v>
      </c>
      <c r="G133" s="80">
        <f>SUMIFS('апрель 2024'!$G$4:$G$1689,'апрель 2024'!$D$4:$D$1689,$B133,'апрель 2024'!$J$4:$J$1689,G$1)</f>
        <v>0</v>
      </c>
      <c r="H133" s="80">
        <f>SUMIFS('апрель 2024'!$G$4:$G$1689,'апрель 2024'!$D$4:$D$1689,$B133,'апрель 2024'!$J$4:$J$1689,H$1)</f>
        <v>0</v>
      </c>
      <c r="I133" s="80">
        <f>SUMIFS('апрель 2024'!$G$4:$G$1689,'апрель 2024'!$D$4:$D$1689,$B133,'апрель 2024'!$J$4:$J$1689,I$1)</f>
        <v>0</v>
      </c>
      <c r="J133" s="80">
        <f>SUMIFS('апрель 2024'!$G$4:$G$1689,'апрель 2024'!$D$4:$D$1689,$B133,'апрель 2024'!$J$4:$J$1689,J$1)</f>
        <v>0</v>
      </c>
      <c r="K133" s="80">
        <f>SUMIFS('апрель 2024'!$G$4:$G$1689,'апрель 2024'!$D$4:$D$1689,$B133,'апрель 2024'!$J$4:$J$1689,K$1)</f>
        <v>0</v>
      </c>
      <c r="L133" s="80">
        <f>SUMIFS('апрель 2024'!$G$4:$G$1689,'апрель 2024'!$D$4:$D$1689,$B133,'апрель 2024'!$J$4:$J$1689,L$1)</f>
        <v>0</v>
      </c>
      <c r="M133" s="80">
        <f>SUMIFS('апрель 2024'!$G$4:$G$1689,'апрель 2024'!$D$4:$D$1689,$B133,'апрель 2024'!$J$4:$J$1689,M$1)</f>
        <v>0</v>
      </c>
      <c r="N133" s="80">
        <f>SUMIFS('апрель 2024'!$G$4:$G$1689,'апрель 2024'!$D$4:$D$1689,$B133,'апрель 2024'!$J$4:$J$1689,N$1)</f>
        <v>0</v>
      </c>
      <c r="O133" s="80">
        <f>SUMIFS('апрель 2024'!$G$4:$G$1689,'апрель 2024'!$D$4:$D$1689,$B133,'апрель 2024'!$J$4:$J$1689,O$1)</f>
        <v>0</v>
      </c>
      <c r="P133" s="80">
        <f>SUMIFS('апрель 2024'!$G$4:$G$1689,'апрель 2024'!$D$4:$D$1689,$B133,'апрель 2024'!$J$4:$J$1689,P$1)</f>
        <v>0</v>
      </c>
      <c r="Q133" s="80">
        <f>SUMIFS('апрель 2024'!$G$4:$G$1689,'апрель 2024'!$D$4:$D$1689,$B133,'апрель 2024'!$J$4:$J$1689,Q$1)</f>
        <v>0</v>
      </c>
      <c r="R133" s="80">
        <f>SUMIFS('апрель 2024'!$G$4:$G$1689,'апрель 2024'!$D$4:$D$1689,$B133,'апрель 2024'!$J$4:$J$1689,R$1)</f>
        <v>0</v>
      </c>
      <c r="S133" s="80">
        <f>SUMIFS('апрель 2024'!$G$4:$G$1689,'апрель 2024'!$D$4:$D$1689,$B133,'апрель 2024'!$J$4:$J$1689,S$1)</f>
        <v>0</v>
      </c>
      <c r="T133" s="80">
        <f>SUMIFS('апрель 2024'!$G$4:$G$1689,'апрель 2024'!$D$4:$D$1689,$B133,'апрель 2024'!$J$4:$J$1689,T$1)</f>
        <v>0</v>
      </c>
      <c r="U133" s="80">
        <f>SUMIFS('апрель 2024'!$G$4:$G$1689,'апрель 2024'!$D$4:$D$1689,$B133,'апрель 2024'!$J$4:$J$1689,U$1)</f>
        <v>0</v>
      </c>
      <c r="V133" s="80">
        <f>SUMIFS('апрель 2024'!$G$4:$G$1689,'апрель 2024'!$D$4:$D$1689,$B133,'апрель 2024'!$J$4:$J$1689,V$1)</f>
        <v>0</v>
      </c>
      <c r="W133" s="80">
        <f>SUMIFS('апрель 2024'!$G$4:$G$1689,'апрель 2024'!$D$4:$D$1689,$B133,'апрель 2024'!$J$4:$J$1689,W$1)</f>
        <v>0</v>
      </c>
      <c r="X133" s="80">
        <f>SUMIFS('апрель 2024'!$G$4:$G$1689,'апрель 2024'!$D$4:$D$1689,$B133,'апрель 2024'!$J$4:$J$1689,X$1)</f>
        <v>0</v>
      </c>
      <c r="Y133" s="80">
        <f>SUMIFS('апрель 2024'!$G$4:$G$1689,'апрель 2024'!$D$4:$D$1689,$B133,'апрель 2024'!$J$4:$J$1689,Y$1)</f>
        <v>0</v>
      </c>
      <c r="Z133" s="80">
        <f>SUMIFS('апрель 2024'!$G$4:$G$1689,'апрель 2024'!$D$4:$D$1689,$B133,'апрель 2024'!$J$4:$J$1689,Z$1)</f>
        <v>0</v>
      </c>
      <c r="AA133" s="80">
        <f>SUMIFS('апрель 2024'!$G$4:$G$1689,'апрель 2024'!$D$4:$D$1689,$B133,'апрель 2024'!$J$4:$J$1689,AA$1)</f>
        <v>0</v>
      </c>
      <c r="AB133" s="80">
        <f>SUMIFS('апрель 2024'!$G$4:$G$1689,'апрель 2024'!$D$4:$D$1689,$B133,'апрель 2024'!$J$4:$J$1689,AB$1)</f>
        <v>0</v>
      </c>
      <c r="AC133" s="80">
        <f>SUMIFS('апрель 2024'!$G$4:$G$1689,'апрель 2024'!$D$4:$D$1689,$B133,'апрель 2024'!$J$4:$J$1689,AC$1)</f>
        <v>0</v>
      </c>
      <c r="AD133" s="80">
        <f>SUMIFS('апрель 2024'!$G$4:$G$1689,'апрель 2024'!$D$4:$D$1689,$B133,'апрель 2024'!$J$4:$J$1689,AD$1)</f>
        <v>0</v>
      </c>
      <c r="AE133" s="80">
        <f>SUMIFS('апрель 2024'!$G$4:$G$1689,'апрель 2024'!$D$4:$D$1689,$B133,'апрель 2024'!$J$4:$J$1689,AE$1)</f>
        <v>0</v>
      </c>
      <c r="AF133" s="80">
        <f>SUMIFS('апрель 2024'!$G$4:$G$1689,'апрель 2024'!$D$4:$D$1689,$B133,'апрель 2024'!$J$4:$J$1689,AF$1)</f>
        <v>0</v>
      </c>
      <c r="AG133" s="80">
        <f>SUMIFS('апрель 2024'!$G$4:$G$1689,'апрель 2024'!$D$4:$D$1689,$B133,'апрель 2024'!$J$4:$J$1689,AG$1)</f>
        <v>0</v>
      </c>
      <c r="AH133" s="80">
        <f>SUMIFS('апрель 2024'!$G$4:$G$1689,'апрель 2024'!$D$4:$D$1689,$B133,'апрель 2024'!$J$4:$J$1689,AH$1)</f>
        <v>0</v>
      </c>
      <c r="AI133" s="21">
        <f t="shared" si="1"/>
        <v>0</v>
      </c>
    </row>
    <row r="134" spans="2:35" ht="15" customHeight="1" x14ac:dyDescent="0.25">
      <c r="B134" s="89" t="s">
        <v>339</v>
      </c>
      <c r="C134" s="88">
        <v>200</v>
      </c>
      <c r="D134" s="80">
        <f>SUMIFS('апрель 2024'!$G$4:$G$1689,'апрель 2024'!$D$4:$D$1689,$B134,'апрель 2024'!$J$4:$J$1689,D$1)</f>
        <v>0</v>
      </c>
      <c r="E134" s="80">
        <f>SUMIFS('апрель 2024'!$G$4:$G$1689,'апрель 2024'!$D$4:$D$1689,$B134,'апрель 2024'!$J$4:$J$1689,E$1)</f>
        <v>0</v>
      </c>
      <c r="F134" s="80">
        <f>SUMIFS('апрель 2024'!$G$4:$G$1689,'апрель 2024'!$D$4:$D$1689,$B134,'апрель 2024'!$J$4:$J$1689,F$1)</f>
        <v>0</v>
      </c>
      <c r="G134" s="80">
        <f>SUMIFS('апрель 2024'!$G$4:$G$1689,'апрель 2024'!$D$4:$D$1689,$B134,'апрель 2024'!$J$4:$J$1689,G$1)</f>
        <v>0</v>
      </c>
      <c r="H134" s="80">
        <f>SUMIFS('апрель 2024'!$G$4:$G$1689,'апрель 2024'!$D$4:$D$1689,$B134,'апрель 2024'!$J$4:$J$1689,H$1)</f>
        <v>0</v>
      </c>
      <c r="I134" s="80">
        <f>SUMIFS('апрель 2024'!$G$4:$G$1689,'апрель 2024'!$D$4:$D$1689,$B134,'апрель 2024'!$J$4:$J$1689,I$1)</f>
        <v>0</v>
      </c>
      <c r="J134" s="80">
        <f>SUMIFS('апрель 2024'!$G$4:$G$1689,'апрель 2024'!$D$4:$D$1689,$B134,'апрель 2024'!$J$4:$J$1689,J$1)</f>
        <v>0</v>
      </c>
      <c r="K134" s="80">
        <f>SUMIFS('апрель 2024'!$G$4:$G$1689,'апрель 2024'!$D$4:$D$1689,$B134,'апрель 2024'!$J$4:$J$1689,K$1)</f>
        <v>0</v>
      </c>
      <c r="L134" s="80">
        <f>SUMIFS('апрель 2024'!$G$4:$G$1689,'апрель 2024'!$D$4:$D$1689,$B134,'апрель 2024'!$J$4:$J$1689,L$1)</f>
        <v>0</v>
      </c>
      <c r="M134" s="80">
        <f>SUMIFS('апрель 2024'!$G$4:$G$1689,'апрель 2024'!$D$4:$D$1689,$B134,'апрель 2024'!$J$4:$J$1689,M$1)</f>
        <v>0</v>
      </c>
      <c r="N134" s="80">
        <f>SUMIFS('апрель 2024'!$G$4:$G$1689,'апрель 2024'!$D$4:$D$1689,$B134,'апрель 2024'!$J$4:$J$1689,N$1)</f>
        <v>0</v>
      </c>
      <c r="O134" s="80">
        <f>SUMIFS('апрель 2024'!$G$4:$G$1689,'апрель 2024'!$D$4:$D$1689,$B134,'апрель 2024'!$J$4:$J$1689,O$1)</f>
        <v>0</v>
      </c>
      <c r="P134" s="80">
        <f>SUMIFS('апрель 2024'!$G$4:$G$1689,'апрель 2024'!$D$4:$D$1689,$B134,'апрель 2024'!$J$4:$J$1689,P$1)</f>
        <v>0</v>
      </c>
      <c r="Q134" s="80">
        <f>SUMIFS('апрель 2024'!$G$4:$G$1689,'апрель 2024'!$D$4:$D$1689,$B134,'апрель 2024'!$J$4:$J$1689,Q$1)</f>
        <v>0</v>
      </c>
      <c r="R134" s="80">
        <f>SUMIFS('апрель 2024'!$G$4:$G$1689,'апрель 2024'!$D$4:$D$1689,$B134,'апрель 2024'!$J$4:$J$1689,R$1)</f>
        <v>0</v>
      </c>
      <c r="S134" s="80">
        <f>SUMIFS('апрель 2024'!$G$4:$G$1689,'апрель 2024'!$D$4:$D$1689,$B134,'апрель 2024'!$J$4:$J$1689,S$1)</f>
        <v>0</v>
      </c>
      <c r="T134" s="80">
        <f>SUMIFS('апрель 2024'!$G$4:$G$1689,'апрель 2024'!$D$4:$D$1689,$B134,'апрель 2024'!$J$4:$J$1689,T$1)</f>
        <v>0</v>
      </c>
      <c r="U134" s="80">
        <f>SUMIFS('апрель 2024'!$G$4:$G$1689,'апрель 2024'!$D$4:$D$1689,$B134,'апрель 2024'!$J$4:$J$1689,U$1)</f>
        <v>0</v>
      </c>
      <c r="V134" s="80">
        <f>SUMIFS('апрель 2024'!$G$4:$G$1689,'апрель 2024'!$D$4:$D$1689,$B134,'апрель 2024'!$J$4:$J$1689,V$1)</f>
        <v>0</v>
      </c>
      <c r="W134" s="80">
        <f>SUMIFS('апрель 2024'!$G$4:$G$1689,'апрель 2024'!$D$4:$D$1689,$B134,'апрель 2024'!$J$4:$J$1689,W$1)</f>
        <v>0</v>
      </c>
      <c r="X134" s="80">
        <f>SUMIFS('апрель 2024'!$G$4:$G$1689,'апрель 2024'!$D$4:$D$1689,$B134,'апрель 2024'!$J$4:$J$1689,X$1)</f>
        <v>0</v>
      </c>
      <c r="Y134" s="80">
        <f>SUMIFS('апрель 2024'!$G$4:$G$1689,'апрель 2024'!$D$4:$D$1689,$B134,'апрель 2024'!$J$4:$J$1689,Y$1)</f>
        <v>0</v>
      </c>
      <c r="Z134" s="80">
        <f>SUMIFS('апрель 2024'!$G$4:$G$1689,'апрель 2024'!$D$4:$D$1689,$B134,'апрель 2024'!$J$4:$J$1689,Z$1)</f>
        <v>0</v>
      </c>
      <c r="AA134" s="80">
        <f>SUMIFS('апрель 2024'!$G$4:$G$1689,'апрель 2024'!$D$4:$D$1689,$B134,'апрель 2024'!$J$4:$J$1689,AA$1)</f>
        <v>0</v>
      </c>
      <c r="AB134" s="80">
        <f>SUMIFS('апрель 2024'!$G$4:$G$1689,'апрель 2024'!$D$4:$D$1689,$B134,'апрель 2024'!$J$4:$J$1689,AB$1)</f>
        <v>0</v>
      </c>
      <c r="AC134" s="80">
        <f>SUMIFS('апрель 2024'!$G$4:$G$1689,'апрель 2024'!$D$4:$D$1689,$B134,'апрель 2024'!$J$4:$J$1689,AC$1)</f>
        <v>0</v>
      </c>
      <c r="AD134" s="80">
        <f>SUMIFS('апрель 2024'!$G$4:$G$1689,'апрель 2024'!$D$4:$D$1689,$B134,'апрель 2024'!$J$4:$J$1689,AD$1)</f>
        <v>0</v>
      </c>
      <c r="AE134" s="80">
        <f>SUMIFS('апрель 2024'!$G$4:$G$1689,'апрель 2024'!$D$4:$D$1689,$B134,'апрель 2024'!$J$4:$J$1689,AE$1)</f>
        <v>0</v>
      </c>
      <c r="AF134" s="80">
        <f>SUMIFS('апрель 2024'!$G$4:$G$1689,'апрель 2024'!$D$4:$D$1689,$B134,'апрель 2024'!$J$4:$J$1689,AF$1)</f>
        <v>0</v>
      </c>
      <c r="AG134" s="80">
        <f>SUMIFS('апрель 2024'!$G$4:$G$1689,'апрель 2024'!$D$4:$D$1689,$B134,'апрель 2024'!$J$4:$J$1689,AG$1)</f>
        <v>0</v>
      </c>
      <c r="AH134" s="80">
        <f>SUMIFS('апрель 2024'!$G$4:$G$1689,'апрель 2024'!$D$4:$D$1689,$B134,'апрель 2024'!$J$4:$J$1689,AH$1)</f>
        <v>0</v>
      </c>
      <c r="AI134" s="21">
        <f t="shared" si="1"/>
        <v>0</v>
      </c>
    </row>
    <row r="135" spans="2:35" ht="15" customHeight="1" x14ac:dyDescent="0.25">
      <c r="B135" s="89" t="s">
        <v>215</v>
      </c>
      <c r="C135" s="91">
        <v>200</v>
      </c>
      <c r="D135" s="80">
        <f>SUMIFS('апрель 2024'!$G$4:$G$1689,'апрель 2024'!$D$4:$D$1689,$B135,'апрель 2024'!$J$4:$J$1689,D$1)</f>
        <v>0</v>
      </c>
      <c r="E135" s="80">
        <f>SUMIFS('апрель 2024'!$G$4:$G$1689,'апрель 2024'!$D$4:$D$1689,$B135,'апрель 2024'!$J$4:$J$1689,E$1)</f>
        <v>0</v>
      </c>
      <c r="F135" s="80">
        <f>SUMIFS('апрель 2024'!$G$4:$G$1689,'апрель 2024'!$D$4:$D$1689,$B135,'апрель 2024'!$J$4:$J$1689,F$1)</f>
        <v>0</v>
      </c>
      <c r="G135" s="80">
        <f>SUMIFS('апрель 2024'!$G$4:$G$1689,'апрель 2024'!$D$4:$D$1689,$B135,'апрель 2024'!$J$4:$J$1689,G$1)</f>
        <v>0</v>
      </c>
      <c r="H135" s="80">
        <f>SUMIFS('апрель 2024'!$G$4:$G$1689,'апрель 2024'!$D$4:$D$1689,$B135,'апрель 2024'!$J$4:$J$1689,H$1)</f>
        <v>0</v>
      </c>
      <c r="I135" s="80">
        <f>SUMIFS('апрель 2024'!$G$4:$G$1689,'апрель 2024'!$D$4:$D$1689,$B135,'апрель 2024'!$J$4:$J$1689,I$1)</f>
        <v>0</v>
      </c>
      <c r="J135" s="80">
        <f>SUMIFS('апрель 2024'!$G$4:$G$1689,'апрель 2024'!$D$4:$D$1689,$B135,'апрель 2024'!$J$4:$J$1689,J$1)</f>
        <v>0</v>
      </c>
      <c r="K135" s="80">
        <f>SUMIFS('апрель 2024'!$G$4:$G$1689,'апрель 2024'!$D$4:$D$1689,$B135,'апрель 2024'!$J$4:$J$1689,K$1)</f>
        <v>0</v>
      </c>
      <c r="L135" s="80">
        <f>SUMIFS('апрель 2024'!$G$4:$G$1689,'апрель 2024'!$D$4:$D$1689,$B135,'апрель 2024'!$J$4:$J$1689,L$1)</f>
        <v>0</v>
      </c>
      <c r="M135" s="80">
        <f>SUMIFS('апрель 2024'!$G$4:$G$1689,'апрель 2024'!$D$4:$D$1689,$B135,'апрель 2024'!$J$4:$J$1689,M$1)</f>
        <v>0</v>
      </c>
      <c r="N135" s="80">
        <f>SUMIFS('апрель 2024'!$G$4:$G$1689,'апрель 2024'!$D$4:$D$1689,$B135,'апрель 2024'!$J$4:$J$1689,N$1)</f>
        <v>0</v>
      </c>
      <c r="O135" s="80">
        <f>SUMIFS('апрель 2024'!$G$4:$G$1689,'апрель 2024'!$D$4:$D$1689,$B135,'апрель 2024'!$J$4:$J$1689,O$1)</f>
        <v>0</v>
      </c>
      <c r="P135" s="80">
        <f>SUMIFS('апрель 2024'!$G$4:$G$1689,'апрель 2024'!$D$4:$D$1689,$B135,'апрель 2024'!$J$4:$J$1689,P$1)</f>
        <v>0</v>
      </c>
      <c r="Q135" s="80">
        <f>SUMIFS('апрель 2024'!$G$4:$G$1689,'апрель 2024'!$D$4:$D$1689,$B135,'апрель 2024'!$J$4:$J$1689,Q$1)</f>
        <v>0</v>
      </c>
      <c r="R135" s="80">
        <f>SUMIFS('апрель 2024'!$G$4:$G$1689,'апрель 2024'!$D$4:$D$1689,$B135,'апрель 2024'!$J$4:$J$1689,R$1)</f>
        <v>0</v>
      </c>
      <c r="S135" s="80">
        <f>SUMIFS('апрель 2024'!$G$4:$G$1689,'апрель 2024'!$D$4:$D$1689,$B135,'апрель 2024'!$J$4:$J$1689,S$1)</f>
        <v>0</v>
      </c>
      <c r="T135" s="80">
        <f>SUMIFS('апрель 2024'!$G$4:$G$1689,'апрель 2024'!$D$4:$D$1689,$B135,'апрель 2024'!$J$4:$J$1689,T$1)</f>
        <v>0</v>
      </c>
      <c r="U135" s="80">
        <f>SUMIFS('апрель 2024'!$G$4:$G$1689,'апрель 2024'!$D$4:$D$1689,$B135,'апрель 2024'!$J$4:$J$1689,U$1)</f>
        <v>0</v>
      </c>
      <c r="V135" s="80">
        <f>SUMIFS('апрель 2024'!$G$4:$G$1689,'апрель 2024'!$D$4:$D$1689,$B135,'апрель 2024'!$J$4:$J$1689,V$1)</f>
        <v>0</v>
      </c>
      <c r="W135" s="80">
        <f>SUMIFS('апрель 2024'!$G$4:$G$1689,'апрель 2024'!$D$4:$D$1689,$B135,'апрель 2024'!$J$4:$J$1689,W$1)</f>
        <v>0</v>
      </c>
      <c r="X135" s="80">
        <f>SUMIFS('апрель 2024'!$G$4:$G$1689,'апрель 2024'!$D$4:$D$1689,$B135,'апрель 2024'!$J$4:$J$1689,X$1)</f>
        <v>0</v>
      </c>
      <c r="Y135" s="80">
        <f>SUMIFS('апрель 2024'!$G$4:$G$1689,'апрель 2024'!$D$4:$D$1689,$B135,'апрель 2024'!$J$4:$J$1689,Y$1)</f>
        <v>0</v>
      </c>
      <c r="Z135" s="80">
        <f>SUMIFS('апрель 2024'!$G$4:$G$1689,'апрель 2024'!$D$4:$D$1689,$B135,'апрель 2024'!$J$4:$J$1689,Z$1)</f>
        <v>0</v>
      </c>
      <c r="AA135" s="80">
        <f>SUMIFS('апрель 2024'!$G$4:$G$1689,'апрель 2024'!$D$4:$D$1689,$B135,'апрель 2024'!$J$4:$J$1689,AA$1)</f>
        <v>0</v>
      </c>
      <c r="AB135" s="80">
        <f>SUMIFS('апрель 2024'!$G$4:$G$1689,'апрель 2024'!$D$4:$D$1689,$B135,'апрель 2024'!$J$4:$J$1689,AB$1)</f>
        <v>0</v>
      </c>
      <c r="AC135" s="80">
        <f>SUMIFS('апрель 2024'!$G$4:$G$1689,'апрель 2024'!$D$4:$D$1689,$B135,'апрель 2024'!$J$4:$J$1689,AC$1)</f>
        <v>0</v>
      </c>
      <c r="AD135" s="80">
        <f>SUMIFS('апрель 2024'!$G$4:$G$1689,'апрель 2024'!$D$4:$D$1689,$B135,'апрель 2024'!$J$4:$J$1689,AD$1)</f>
        <v>0</v>
      </c>
      <c r="AE135" s="80">
        <f>SUMIFS('апрель 2024'!$G$4:$G$1689,'апрель 2024'!$D$4:$D$1689,$B135,'апрель 2024'!$J$4:$J$1689,AE$1)</f>
        <v>0</v>
      </c>
      <c r="AF135" s="80">
        <f>SUMIFS('апрель 2024'!$G$4:$G$1689,'апрель 2024'!$D$4:$D$1689,$B135,'апрель 2024'!$J$4:$J$1689,AF$1)</f>
        <v>0</v>
      </c>
      <c r="AG135" s="80">
        <f>SUMIFS('апрель 2024'!$G$4:$G$1689,'апрель 2024'!$D$4:$D$1689,$B135,'апрель 2024'!$J$4:$J$1689,AG$1)</f>
        <v>0</v>
      </c>
      <c r="AH135" s="80">
        <f>SUMIFS('апрель 2024'!$G$4:$G$1689,'апрель 2024'!$D$4:$D$1689,$B135,'апрель 2024'!$J$4:$J$1689,AH$1)</f>
        <v>0</v>
      </c>
      <c r="AI135" s="21">
        <f t="shared" si="1"/>
        <v>0</v>
      </c>
    </row>
    <row r="136" spans="2:35" ht="15" customHeight="1" x14ac:dyDescent="0.25">
      <c r="B136" s="89" t="s">
        <v>585</v>
      </c>
      <c r="C136" s="91">
        <v>200</v>
      </c>
      <c r="D136" s="80">
        <f>SUMIFS('апрель 2024'!$G$4:$G$1689,'апрель 2024'!$D$4:$D$1689,$B136,'апрель 2024'!$J$4:$J$1689,D$1)</f>
        <v>0</v>
      </c>
      <c r="E136" s="80">
        <f>SUMIFS('апрель 2024'!$G$4:$G$1689,'апрель 2024'!$D$4:$D$1689,$B136,'апрель 2024'!$J$4:$J$1689,E$1)</f>
        <v>0</v>
      </c>
      <c r="F136" s="80">
        <f>SUMIFS('апрель 2024'!$G$4:$G$1689,'апрель 2024'!$D$4:$D$1689,$B136,'апрель 2024'!$J$4:$J$1689,F$1)</f>
        <v>0</v>
      </c>
      <c r="G136" s="80">
        <f>SUMIFS('апрель 2024'!$G$4:$G$1689,'апрель 2024'!$D$4:$D$1689,$B136,'апрель 2024'!$J$4:$J$1689,G$1)</f>
        <v>0</v>
      </c>
      <c r="H136" s="80">
        <f>SUMIFS('апрель 2024'!$G$4:$G$1689,'апрель 2024'!$D$4:$D$1689,$B136,'апрель 2024'!$J$4:$J$1689,H$1)</f>
        <v>0</v>
      </c>
      <c r="I136" s="80">
        <f>SUMIFS('апрель 2024'!$G$4:$G$1689,'апрель 2024'!$D$4:$D$1689,$B136,'апрель 2024'!$J$4:$J$1689,I$1)</f>
        <v>0</v>
      </c>
      <c r="J136" s="80">
        <f>SUMIFS('апрель 2024'!$G$4:$G$1689,'апрель 2024'!$D$4:$D$1689,$B136,'апрель 2024'!$J$4:$J$1689,J$1)</f>
        <v>0</v>
      </c>
      <c r="K136" s="80">
        <f>SUMIFS('апрель 2024'!$G$4:$G$1689,'апрель 2024'!$D$4:$D$1689,$B136,'апрель 2024'!$J$4:$J$1689,K$1)</f>
        <v>0</v>
      </c>
      <c r="L136" s="80">
        <f>SUMIFS('апрель 2024'!$G$4:$G$1689,'апрель 2024'!$D$4:$D$1689,$B136,'апрель 2024'!$J$4:$J$1689,L$1)</f>
        <v>0</v>
      </c>
      <c r="M136" s="80">
        <f>SUMIFS('апрель 2024'!$G$4:$G$1689,'апрель 2024'!$D$4:$D$1689,$B136,'апрель 2024'!$J$4:$J$1689,M$1)</f>
        <v>0</v>
      </c>
      <c r="N136" s="80">
        <f>SUMIFS('апрель 2024'!$G$4:$G$1689,'апрель 2024'!$D$4:$D$1689,$B136,'апрель 2024'!$J$4:$J$1689,N$1)</f>
        <v>0</v>
      </c>
      <c r="O136" s="80">
        <f>SUMIFS('апрель 2024'!$G$4:$G$1689,'апрель 2024'!$D$4:$D$1689,$B136,'апрель 2024'!$J$4:$J$1689,O$1)</f>
        <v>0</v>
      </c>
      <c r="P136" s="80">
        <f>SUMIFS('апрель 2024'!$G$4:$G$1689,'апрель 2024'!$D$4:$D$1689,$B136,'апрель 2024'!$J$4:$J$1689,P$1)</f>
        <v>0</v>
      </c>
      <c r="Q136" s="80">
        <f>SUMIFS('апрель 2024'!$G$4:$G$1689,'апрель 2024'!$D$4:$D$1689,$B136,'апрель 2024'!$J$4:$J$1689,Q$1)</f>
        <v>0</v>
      </c>
      <c r="R136" s="80">
        <f>SUMIFS('апрель 2024'!$G$4:$G$1689,'апрель 2024'!$D$4:$D$1689,$B136,'апрель 2024'!$J$4:$J$1689,R$1)</f>
        <v>0</v>
      </c>
      <c r="S136" s="80">
        <f>SUMIFS('апрель 2024'!$G$4:$G$1689,'апрель 2024'!$D$4:$D$1689,$B136,'апрель 2024'!$J$4:$J$1689,S$1)</f>
        <v>0</v>
      </c>
      <c r="T136" s="80">
        <f>SUMIFS('апрель 2024'!$G$4:$G$1689,'апрель 2024'!$D$4:$D$1689,$B136,'апрель 2024'!$J$4:$J$1689,T$1)</f>
        <v>0</v>
      </c>
      <c r="U136" s="80">
        <f>SUMIFS('апрель 2024'!$G$4:$G$1689,'апрель 2024'!$D$4:$D$1689,$B136,'апрель 2024'!$J$4:$J$1689,U$1)</f>
        <v>0</v>
      </c>
      <c r="V136" s="80">
        <f>SUMIFS('апрель 2024'!$G$4:$G$1689,'апрель 2024'!$D$4:$D$1689,$B136,'апрель 2024'!$J$4:$J$1689,V$1)</f>
        <v>0</v>
      </c>
      <c r="W136" s="80">
        <f>SUMIFS('апрель 2024'!$G$4:$G$1689,'апрель 2024'!$D$4:$D$1689,$B136,'апрель 2024'!$J$4:$J$1689,W$1)</f>
        <v>0</v>
      </c>
      <c r="X136" s="80">
        <f>SUMIFS('апрель 2024'!$G$4:$G$1689,'апрель 2024'!$D$4:$D$1689,$B136,'апрель 2024'!$J$4:$J$1689,X$1)</f>
        <v>0</v>
      </c>
      <c r="Y136" s="80">
        <f>SUMIFS('апрель 2024'!$G$4:$G$1689,'апрель 2024'!$D$4:$D$1689,$B136,'апрель 2024'!$J$4:$J$1689,Y$1)</f>
        <v>0</v>
      </c>
      <c r="Z136" s="80">
        <f>SUMIFS('апрель 2024'!$G$4:$G$1689,'апрель 2024'!$D$4:$D$1689,$B136,'апрель 2024'!$J$4:$J$1689,Z$1)</f>
        <v>0</v>
      </c>
      <c r="AA136" s="80">
        <f>SUMIFS('апрель 2024'!$G$4:$G$1689,'апрель 2024'!$D$4:$D$1689,$B136,'апрель 2024'!$J$4:$J$1689,AA$1)</f>
        <v>0</v>
      </c>
      <c r="AB136" s="80">
        <f>SUMIFS('апрель 2024'!$G$4:$G$1689,'апрель 2024'!$D$4:$D$1689,$B136,'апрель 2024'!$J$4:$J$1689,AB$1)</f>
        <v>0</v>
      </c>
      <c r="AC136" s="80">
        <f>SUMIFS('апрель 2024'!$G$4:$G$1689,'апрель 2024'!$D$4:$D$1689,$B136,'апрель 2024'!$J$4:$J$1689,AC$1)</f>
        <v>0</v>
      </c>
      <c r="AD136" s="80">
        <f>SUMIFS('апрель 2024'!$G$4:$G$1689,'апрель 2024'!$D$4:$D$1689,$B136,'апрель 2024'!$J$4:$J$1689,AD$1)</f>
        <v>0</v>
      </c>
      <c r="AE136" s="80">
        <f>SUMIFS('апрель 2024'!$G$4:$G$1689,'апрель 2024'!$D$4:$D$1689,$B136,'апрель 2024'!$J$4:$J$1689,AE$1)</f>
        <v>0</v>
      </c>
      <c r="AF136" s="80">
        <f>SUMIFS('апрель 2024'!$G$4:$G$1689,'апрель 2024'!$D$4:$D$1689,$B136,'апрель 2024'!$J$4:$J$1689,AF$1)</f>
        <v>0</v>
      </c>
      <c r="AG136" s="80">
        <f>SUMIFS('апрель 2024'!$G$4:$G$1689,'апрель 2024'!$D$4:$D$1689,$B136,'апрель 2024'!$J$4:$J$1689,AG$1)</f>
        <v>0</v>
      </c>
      <c r="AH136" s="80">
        <f>SUMIFS('апрель 2024'!$G$4:$G$1689,'апрель 2024'!$D$4:$D$1689,$B136,'апрель 2024'!$J$4:$J$1689,AH$1)</f>
        <v>0</v>
      </c>
      <c r="AI136" s="21">
        <f t="shared" si="1"/>
        <v>0</v>
      </c>
    </row>
    <row r="137" spans="2:35" ht="15" customHeight="1" x14ac:dyDescent="0.25">
      <c r="B137" s="93" t="s">
        <v>186</v>
      </c>
      <c r="C137" s="91">
        <v>25</v>
      </c>
      <c r="D137" s="80">
        <f>SUMIFS('апрель 2024'!$G$4:$G$1689,'апрель 2024'!$D$4:$D$1689,$B137,'апрель 2024'!$J$4:$J$1689,D$1)</f>
        <v>0</v>
      </c>
      <c r="E137" s="80">
        <f>SUMIFS('апрель 2024'!$G$4:$G$1689,'апрель 2024'!$D$4:$D$1689,$B137,'апрель 2024'!$J$4:$J$1689,E$1)</f>
        <v>0</v>
      </c>
      <c r="F137" s="80">
        <f>SUMIFS('апрель 2024'!$G$4:$G$1689,'апрель 2024'!$D$4:$D$1689,$B137,'апрель 2024'!$J$4:$J$1689,F$1)</f>
        <v>0</v>
      </c>
      <c r="G137" s="80">
        <f>SUMIFS('апрель 2024'!$G$4:$G$1689,'апрель 2024'!$D$4:$D$1689,$B137,'апрель 2024'!$J$4:$J$1689,G$1)</f>
        <v>0</v>
      </c>
      <c r="H137" s="80">
        <f>SUMIFS('апрель 2024'!$G$4:$G$1689,'апрель 2024'!$D$4:$D$1689,$B137,'апрель 2024'!$J$4:$J$1689,H$1)</f>
        <v>0</v>
      </c>
      <c r="I137" s="80">
        <f>SUMIFS('апрель 2024'!$G$4:$G$1689,'апрель 2024'!$D$4:$D$1689,$B137,'апрель 2024'!$J$4:$J$1689,I$1)</f>
        <v>0</v>
      </c>
      <c r="J137" s="80">
        <f>SUMIFS('апрель 2024'!$G$4:$G$1689,'апрель 2024'!$D$4:$D$1689,$B137,'апрель 2024'!$J$4:$J$1689,J$1)</f>
        <v>0</v>
      </c>
      <c r="K137" s="80">
        <f>SUMIFS('апрель 2024'!$G$4:$G$1689,'апрель 2024'!$D$4:$D$1689,$B137,'апрель 2024'!$J$4:$J$1689,K$1)</f>
        <v>0</v>
      </c>
      <c r="L137" s="80">
        <f>SUMIFS('апрель 2024'!$G$4:$G$1689,'апрель 2024'!$D$4:$D$1689,$B137,'апрель 2024'!$J$4:$J$1689,L$1)</f>
        <v>0</v>
      </c>
      <c r="M137" s="80">
        <f>SUMIFS('апрель 2024'!$G$4:$G$1689,'апрель 2024'!$D$4:$D$1689,$B137,'апрель 2024'!$J$4:$J$1689,M$1)</f>
        <v>0</v>
      </c>
      <c r="N137" s="80">
        <f>SUMIFS('апрель 2024'!$G$4:$G$1689,'апрель 2024'!$D$4:$D$1689,$B137,'апрель 2024'!$J$4:$J$1689,N$1)</f>
        <v>0</v>
      </c>
      <c r="O137" s="80">
        <f>SUMIFS('апрель 2024'!$G$4:$G$1689,'апрель 2024'!$D$4:$D$1689,$B137,'апрель 2024'!$J$4:$J$1689,O$1)</f>
        <v>0</v>
      </c>
      <c r="P137" s="80">
        <f>SUMIFS('апрель 2024'!$G$4:$G$1689,'апрель 2024'!$D$4:$D$1689,$B137,'апрель 2024'!$J$4:$J$1689,P$1)</f>
        <v>0</v>
      </c>
      <c r="Q137" s="80">
        <f>SUMIFS('апрель 2024'!$G$4:$G$1689,'апрель 2024'!$D$4:$D$1689,$B137,'апрель 2024'!$J$4:$J$1689,Q$1)</f>
        <v>0</v>
      </c>
      <c r="R137" s="80">
        <f>SUMIFS('апрель 2024'!$G$4:$G$1689,'апрель 2024'!$D$4:$D$1689,$B137,'апрель 2024'!$J$4:$J$1689,R$1)</f>
        <v>0</v>
      </c>
      <c r="S137" s="80">
        <f>SUMIFS('апрель 2024'!$G$4:$G$1689,'апрель 2024'!$D$4:$D$1689,$B137,'апрель 2024'!$J$4:$J$1689,S$1)</f>
        <v>0</v>
      </c>
      <c r="T137" s="80">
        <f>SUMIFS('апрель 2024'!$G$4:$G$1689,'апрель 2024'!$D$4:$D$1689,$B137,'апрель 2024'!$J$4:$J$1689,T$1)</f>
        <v>0</v>
      </c>
      <c r="U137" s="80">
        <f>SUMIFS('апрель 2024'!$G$4:$G$1689,'апрель 2024'!$D$4:$D$1689,$B137,'апрель 2024'!$J$4:$J$1689,U$1)</f>
        <v>0</v>
      </c>
      <c r="V137" s="80">
        <f>SUMIFS('апрель 2024'!$G$4:$G$1689,'апрель 2024'!$D$4:$D$1689,$B137,'апрель 2024'!$J$4:$J$1689,V$1)</f>
        <v>0</v>
      </c>
      <c r="W137" s="80">
        <f>SUMIFS('апрель 2024'!$G$4:$G$1689,'апрель 2024'!$D$4:$D$1689,$B137,'апрель 2024'!$J$4:$J$1689,W$1)</f>
        <v>0</v>
      </c>
      <c r="X137" s="80">
        <f>SUMIFS('апрель 2024'!$G$4:$G$1689,'апрель 2024'!$D$4:$D$1689,$B137,'апрель 2024'!$J$4:$J$1689,X$1)</f>
        <v>0</v>
      </c>
      <c r="Y137" s="80">
        <f>SUMIFS('апрель 2024'!$G$4:$G$1689,'апрель 2024'!$D$4:$D$1689,$B137,'апрель 2024'!$J$4:$J$1689,Y$1)</f>
        <v>0</v>
      </c>
      <c r="Z137" s="80">
        <f>SUMIFS('апрель 2024'!$G$4:$G$1689,'апрель 2024'!$D$4:$D$1689,$B137,'апрель 2024'!$J$4:$J$1689,Z$1)</f>
        <v>0</v>
      </c>
      <c r="AA137" s="80">
        <f>SUMIFS('апрель 2024'!$G$4:$G$1689,'апрель 2024'!$D$4:$D$1689,$B137,'апрель 2024'!$J$4:$J$1689,AA$1)</f>
        <v>0</v>
      </c>
      <c r="AB137" s="80">
        <f>SUMIFS('апрель 2024'!$G$4:$G$1689,'апрель 2024'!$D$4:$D$1689,$B137,'апрель 2024'!$J$4:$J$1689,AB$1)</f>
        <v>0</v>
      </c>
      <c r="AC137" s="80">
        <f>SUMIFS('апрель 2024'!$G$4:$G$1689,'апрель 2024'!$D$4:$D$1689,$B137,'апрель 2024'!$J$4:$J$1689,AC$1)</f>
        <v>0</v>
      </c>
      <c r="AD137" s="80">
        <f>SUMIFS('апрель 2024'!$G$4:$G$1689,'апрель 2024'!$D$4:$D$1689,$B137,'апрель 2024'!$J$4:$J$1689,AD$1)</f>
        <v>0</v>
      </c>
      <c r="AE137" s="80">
        <f>SUMIFS('апрель 2024'!$G$4:$G$1689,'апрель 2024'!$D$4:$D$1689,$B137,'апрель 2024'!$J$4:$J$1689,AE$1)</f>
        <v>0</v>
      </c>
      <c r="AF137" s="80">
        <f>SUMIFS('апрель 2024'!$G$4:$G$1689,'апрель 2024'!$D$4:$D$1689,$B137,'апрель 2024'!$J$4:$J$1689,AF$1)</f>
        <v>0</v>
      </c>
      <c r="AG137" s="80">
        <f>SUMIFS('апрель 2024'!$G$4:$G$1689,'апрель 2024'!$D$4:$D$1689,$B137,'апрель 2024'!$J$4:$J$1689,AG$1)</f>
        <v>0</v>
      </c>
      <c r="AH137" s="80">
        <f>SUMIFS('апрель 2024'!$G$4:$G$1689,'апрель 2024'!$D$4:$D$1689,$B137,'апрель 2024'!$J$4:$J$1689,AH$1)</f>
        <v>0</v>
      </c>
      <c r="AI137" s="21">
        <f t="shared" si="1"/>
        <v>0</v>
      </c>
    </row>
    <row r="138" spans="2:35" ht="15" customHeight="1" x14ac:dyDescent="0.25">
      <c r="B138" s="89" t="s">
        <v>184</v>
      </c>
      <c r="C138" s="88">
        <v>25</v>
      </c>
      <c r="D138" s="80">
        <f>SUMIFS('апрель 2024'!$G$4:$G$1689,'апрель 2024'!$D$4:$D$1689,$B138,'апрель 2024'!$J$4:$J$1689,D$1)</f>
        <v>0</v>
      </c>
      <c r="E138" s="80">
        <f>SUMIFS('апрель 2024'!$G$4:$G$1689,'апрель 2024'!$D$4:$D$1689,$B138,'апрель 2024'!$J$4:$J$1689,E$1)</f>
        <v>0</v>
      </c>
      <c r="F138" s="80">
        <f>SUMIFS('апрель 2024'!$G$4:$G$1689,'апрель 2024'!$D$4:$D$1689,$B138,'апрель 2024'!$J$4:$J$1689,F$1)</f>
        <v>0</v>
      </c>
      <c r="G138" s="80">
        <f>SUMIFS('апрель 2024'!$G$4:$G$1689,'апрель 2024'!$D$4:$D$1689,$B138,'апрель 2024'!$J$4:$J$1689,G$1)</f>
        <v>0</v>
      </c>
      <c r="H138" s="80">
        <f>SUMIFS('апрель 2024'!$G$4:$G$1689,'апрель 2024'!$D$4:$D$1689,$B138,'апрель 2024'!$J$4:$J$1689,H$1)</f>
        <v>0</v>
      </c>
      <c r="I138" s="80">
        <f>SUMIFS('апрель 2024'!$G$4:$G$1689,'апрель 2024'!$D$4:$D$1689,$B138,'апрель 2024'!$J$4:$J$1689,I$1)</f>
        <v>0</v>
      </c>
      <c r="J138" s="80">
        <f>SUMIFS('апрель 2024'!$G$4:$G$1689,'апрель 2024'!$D$4:$D$1689,$B138,'апрель 2024'!$J$4:$J$1689,J$1)</f>
        <v>0</v>
      </c>
      <c r="K138" s="80">
        <f>SUMIFS('апрель 2024'!$G$4:$G$1689,'апрель 2024'!$D$4:$D$1689,$B138,'апрель 2024'!$J$4:$J$1689,K$1)</f>
        <v>0</v>
      </c>
      <c r="L138" s="80">
        <f>SUMIFS('апрель 2024'!$G$4:$G$1689,'апрель 2024'!$D$4:$D$1689,$B138,'апрель 2024'!$J$4:$J$1689,L$1)</f>
        <v>0</v>
      </c>
      <c r="M138" s="80">
        <f>SUMIFS('апрель 2024'!$G$4:$G$1689,'апрель 2024'!$D$4:$D$1689,$B138,'апрель 2024'!$J$4:$J$1689,M$1)</f>
        <v>0</v>
      </c>
      <c r="N138" s="80">
        <f>SUMIFS('апрель 2024'!$G$4:$G$1689,'апрель 2024'!$D$4:$D$1689,$B138,'апрель 2024'!$J$4:$J$1689,N$1)</f>
        <v>0</v>
      </c>
      <c r="O138" s="80">
        <f>SUMIFS('апрель 2024'!$G$4:$G$1689,'апрель 2024'!$D$4:$D$1689,$B138,'апрель 2024'!$J$4:$J$1689,O$1)</f>
        <v>0</v>
      </c>
      <c r="P138" s="80">
        <f>SUMIFS('апрель 2024'!$G$4:$G$1689,'апрель 2024'!$D$4:$D$1689,$B138,'апрель 2024'!$J$4:$J$1689,P$1)</f>
        <v>0</v>
      </c>
      <c r="Q138" s="80">
        <f>SUMIFS('апрель 2024'!$G$4:$G$1689,'апрель 2024'!$D$4:$D$1689,$B138,'апрель 2024'!$J$4:$J$1689,Q$1)</f>
        <v>0</v>
      </c>
      <c r="R138" s="80">
        <f>SUMIFS('апрель 2024'!$G$4:$G$1689,'апрель 2024'!$D$4:$D$1689,$B138,'апрель 2024'!$J$4:$J$1689,R$1)</f>
        <v>0</v>
      </c>
      <c r="S138" s="80">
        <f>SUMIFS('апрель 2024'!$G$4:$G$1689,'апрель 2024'!$D$4:$D$1689,$B138,'апрель 2024'!$J$4:$J$1689,S$1)</f>
        <v>0</v>
      </c>
      <c r="T138" s="80">
        <f>SUMIFS('апрель 2024'!$G$4:$G$1689,'апрель 2024'!$D$4:$D$1689,$B138,'апрель 2024'!$J$4:$J$1689,T$1)</f>
        <v>0</v>
      </c>
      <c r="U138" s="80">
        <f>SUMIFS('апрель 2024'!$G$4:$G$1689,'апрель 2024'!$D$4:$D$1689,$B138,'апрель 2024'!$J$4:$J$1689,U$1)</f>
        <v>0</v>
      </c>
      <c r="V138" s="80">
        <f>SUMIFS('апрель 2024'!$G$4:$G$1689,'апрель 2024'!$D$4:$D$1689,$B138,'апрель 2024'!$J$4:$J$1689,V$1)</f>
        <v>0</v>
      </c>
      <c r="W138" s="80">
        <f>SUMIFS('апрель 2024'!$G$4:$G$1689,'апрель 2024'!$D$4:$D$1689,$B138,'апрель 2024'!$J$4:$J$1689,W$1)</f>
        <v>0</v>
      </c>
      <c r="X138" s="80">
        <f>SUMIFS('апрель 2024'!$G$4:$G$1689,'апрель 2024'!$D$4:$D$1689,$B138,'апрель 2024'!$J$4:$J$1689,X$1)</f>
        <v>0</v>
      </c>
      <c r="Y138" s="80">
        <f>SUMIFS('апрель 2024'!$G$4:$G$1689,'апрель 2024'!$D$4:$D$1689,$B138,'апрель 2024'!$J$4:$J$1689,Y$1)</f>
        <v>0</v>
      </c>
      <c r="Z138" s="80">
        <f>SUMIFS('апрель 2024'!$G$4:$G$1689,'апрель 2024'!$D$4:$D$1689,$B138,'апрель 2024'!$J$4:$J$1689,Z$1)</f>
        <v>0</v>
      </c>
      <c r="AA138" s="80">
        <f>SUMIFS('апрель 2024'!$G$4:$G$1689,'апрель 2024'!$D$4:$D$1689,$B138,'апрель 2024'!$J$4:$J$1689,AA$1)</f>
        <v>0</v>
      </c>
      <c r="AB138" s="80">
        <f>SUMIFS('апрель 2024'!$G$4:$G$1689,'апрель 2024'!$D$4:$D$1689,$B138,'апрель 2024'!$J$4:$J$1689,AB$1)</f>
        <v>0</v>
      </c>
      <c r="AC138" s="80">
        <f>SUMIFS('апрель 2024'!$G$4:$G$1689,'апрель 2024'!$D$4:$D$1689,$B138,'апрель 2024'!$J$4:$J$1689,AC$1)</f>
        <v>0</v>
      </c>
      <c r="AD138" s="80">
        <f>SUMIFS('апрель 2024'!$G$4:$G$1689,'апрель 2024'!$D$4:$D$1689,$B138,'апрель 2024'!$J$4:$J$1689,AD$1)</f>
        <v>0</v>
      </c>
      <c r="AE138" s="80">
        <f>SUMIFS('апрель 2024'!$G$4:$G$1689,'апрель 2024'!$D$4:$D$1689,$B138,'апрель 2024'!$J$4:$J$1689,AE$1)</f>
        <v>0</v>
      </c>
      <c r="AF138" s="80">
        <f>SUMIFS('апрель 2024'!$G$4:$G$1689,'апрель 2024'!$D$4:$D$1689,$B138,'апрель 2024'!$J$4:$J$1689,AF$1)</f>
        <v>0</v>
      </c>
      <c r="AG138" s="80">
        <f>SUMIFS('апрель 2024'!$G$4:$G$1689,'апрель 2024'!$D$4:$D$1689,$B138,'апрель 2024'!$J$4:$J$1689,AG$1)</f>
        <v>0</v>
      </c>
      <c r="AH138" s="80">
        <f>SUMIFS('апрель 2024'!$G$4:$G$1689,'апрель 2024'!$D$4:$D$1689,$B138,'апрель 2024'!$J$4:$J$1689,AH$1)</f>
        <v>0</v>
      </c>
      <c r="AI138" s="21">
        <f t="shared" si="1"/>
        <v>0</v>
      </c>
    </row>
    <row r="139" spans="2:35" ht="15" customHeight="1" x14ac:dyDescent="0.25">
      <c r="B139" s="89" t="s">
        <v>185</v>
      </c>
      <c r="C139" s="88">
        <v>25</v>
      </c>
      <c r="D139" s="80">
        <f>SUMIFS('апрель 2024'!$G$4:$G$1689,'апрель 2024'!$D$4:$D$1689,$B139,'апрель 2024'!$J$4:$J$1689,D$1)</f>
        <v>0</v>
      </c>
      <c r="E139" s="80">
        <f>SUMIFS('апрель 2024'!$G$4:$G$1689,'апрель 2024'!$D$4:$D$1689,$B139,'апрель 2024'!$J$4:$J$1689,E$1)</f>
        <v>0</v>
      </c>
      <c r="F139" s="80">
        <f>SUMIFS('апрель 2024'!$G$4:$G$1689,'апрель 2024'!$D$4:$D$1689,$B139,'апрель 2024'!$J$4:$J$1689,F$1)</f>
        <v>0</v>
      </c>
      <c r="G139" s="80">
        <f>SUMIFS('апрель 2024'!$G$4:$G$1689,'апрель 2024'!$D$4:$D$1689,$B139,'апрель 2024'!$J$4:$J$1689,G$1)</f>
        <v>0</v>
      </c>
      <c r="H139" s="80">
        <f>SUMIFS('апрель 2024'!$G$4:$G$1689,'апрель 2024'!$D$4:$D$1689,$B139,'апрель 2024'!$J$4:$J$1689,H$1)</f>
        <v>0</v>
      </c>
      <c r="I139" s="80">
        <f>SUMIFS('апрель 2024'!$G$4:$G$1689,'апрель 2024'!$D$4:$D$1689,$B139,'апрель 2024'!$J$4:$J$1689,I$1)</f>
        <v>0</v>
      </c>
      <c r="J139" s="80">
        <f>SUMIFS('апрель 2024'!$G$4:$G$1689,'апрель 2024'!$D$4:$D$1689,$B139,'апрель 2024'!$J$4:$J$1689,J$1)</f>
        <v>0</v>
      </c>
      <c r="K139" s="80">
        <f>SUMIFS('апрель 2024'!$G$4:$G$1689,'апрель 2024'!$D$4:$D$1689,$B139,'апрель 2024'!$J$4:$J$1689,K$1)</f>
        <v>0</v>
      </c>
      <c r="L139" s="80">
        <f>SUMIFS('апрель 2024'!$G$4:$G$1689,'апрель 2024'!$D$4:$D$1689,$B139,'апрель 2024'!$J$4:$J$1689,L$1)</f>
        <v>0</v>
      </c>
      <c r="M139" s="80">
        <f>SUMIFS('апрель 2024'!$G$4:$G$1689,'апрель 2024'!$D$4:$D$1689,$B139,'апрель 2024'!$J$4:$J$1689,M$1)</f>
        <v>0</v>
      </c>
      <c r="N139" s="80">
        <f>SUMIFS('апрель 2024'!$G$4:$G$1689,'апрель 2024'!$D$4:$D$1689,$B139,'апрель 2024'!$J$4:$J$1689,N$1)</f>
        <v>0</v>
      </c>
      <c r="O139" s="80">
        <f>SUMIFS('апрель 2024'!$G$4:$G$1689,'апрель 2024'!$D$4:$D$1689,$B139,'апрель 2024'!$J$4:$J$1689,O$1)</f>
        <v>0</v>
      </c>
      <c r="P139" s="80">
        <f>SUMIFS('апрель 2024'!$G$4:$G$1689,'апрель 2024'!$D$4:$D$1689,$B139,'апрель 2024'!$J$4:$J$1689,P$1)</f>
        <v>0</v>
      </c>
      <c r="Q139" s="80">
        <f>SUMIFS('апрель 2024'!$G$4:$G$1689,'апрель 2024'!$D$4:$D$1689,$B139,'апрель 2024'!$J$4:$J$1689,Q$1)</f>
        <v>0</v>
      </c>
      <c r="R139" s="80">
        <f>SUMIFS('апрель 2024'!$G$4:$G$1689,'апрель 2024'!$D$4:$D$1689,$B139,'апрель 2024'!$J$4:$J$1689,R$1)</f>
        <v>0</v>
      </c>
      <c r="S139" s="80">
        <f>SUMIFS('апрель 2024'!$G$4:$G$1689,'апрель 2024'!$D$4:$D$1689,$B139,'апрель 2024'!$J$4:$J$1689,S$1)</f>
        <v>0</v>
      </c>
      <c r="T139" s="80">
        <f>SUMIFS('апрель 2024'!$G$4:$G$1689,'апрель 2024'!$D$4:$D$1689,$B139,'апрель 2024'!$J$4:$J$1689,T$1)</f>
        <v>0</v>
      </c>
      <c r="U139" s="80">
        <f>SUMIFS('апрель 2024'!$G$4:$G$1689,'апрель 2024'!$D$4:$D$1689,$B139,'апрель 2024'!$J$4:$J$1689,U$1)</f>
        <v>0</v>
      </c>
      <c r="V139" s="80">
        <f>SUMIFS('апрель 2024'!$G$4:$G$1689,'апрель 2024'!$D$4:$D$1689,$B139,'апрель 2024'!$J$4:$J$1689,V$1)</f>
        <v>0</v>
      </c>
      <c r="W139" s="80">
        <f>SUMIFS('апрель 2024'!$G$4:$G$1689,'апрель 2024'!$D$4:$D$1689,$B139,'апрель 2024'!$J$4:$J$1689,W$1)</f>
        <v>0</v>
      </c>
      <c r="X139" s="80">
        <f>SUMIFS('апрель 2024'!$G$4:$G$1689,'апрель 2024'!$D$4:$D$1689,$B139,'апрель 2024'!$J$4:$J$1689,X$1)</f>
        <v>0</v>
      </c>
      <c r="Y139" s="80">
        <f>SUMIFS('апрель 2024'!$G$4:$G$1689,'апрель 2024'!$D$4:$D$1689,$B139,'апрель 2024'!$J$4:$J$1689,Y$1)</f>
        <v>0</v>
      </c>
      <c r="Z139" s="80">
        <f>SUMIFS('апрель 2024'!$G$4:$G$1689,'апрель 2024'!$D$4:$D$1689,$B139,'апрель 2024'!$J$4:$J$1689,Z$1)</f>
        <v>0</v>
      </c>
      <c r="AA139" s="80">
        <f>SUMIFS('апрель 2024'!$G$4:$G$1689,'апрель 2024'!$D$4:$D$1689,$B139,'апрель 2024'!$J$4:$J$1689,AA$1)</f>
        <v>0</v>
      </c>
      <c r="AB139" s="80">
        <f>SUMIFS('апрель 2024'!$G$4:$G$1689,'апрель 2024'!$D$4:$D$1689,$B139,'апрель 2024'!$J$4:$J$1689,AB$1)</f>
        <v>0</v>
      </c>
      <c r="AC139" s="80">
        <f>SUMIFS('апрель 2024'!$G$4:$G$1689,'апрель 2024'!$D$4:$D$1689,$B139,'апрель 2024'!$J$4:$J$1689,AC$1)</f>
        <v>0</v>
      </c>
      <c r="AD139" s="80">
        <f>SUMIFS('апрель 2024'!$G$4:$G$1689,'апрель 2024'!$D$4:$D$1689,$B139,'апрель 2024'!$J$4:$J$1689,AD$1)</f>
        <v>0</v>
      </c>
      <c r="AE139" s="80">
        <f>SUMIFS('апрель 2024'!$G$4:$G$1689,'апрель 2024'!$D$4:$D$1689,$B139,'апрель 2024'!$J$4:$J$1689,AE$1)</f>
        <v>0</v>
      </c>
      <c r="AF139" s="80">
        <f>SUMIFS('апрель 2024'!$G$4:$G$1689,'апрель 2024'!$D$4:$D$1689,$B139,'апрель 2024'!$J$4:$J$1689,AF$1)</f>
        <v>0</v>
      </c>
      <c r="AG139" s="80">
        <f>SUMIFS('апрель 2024'!$G$4:$G$1689,'апрель 2024'!$D$4:$D$1689,$B139,'апрель 2024'!$J$4:$J$1689,AG$1)</f>
        <v>0</v>
      </c>
      <c r="AH139" s="80">
        <f>SUMIFS('апрель 2024'!$G$4:$G$1689,'апрель 2024'!$D$4:$D$1689,$B139,'апрель 2024'!$J$4:$J$1689,AH$1)</f>
        <v>0</v>
      </c>
      <c r="AI139" s="21">
        <f t="shared" si="1"/>
        <v>0</v>
      </c>
    </row>
    <row r="140" spans="2:35" ht="15" customHeight="1" x14ac:dyDescent="0.25">
      <c r="B140" s="89" t="s">
        <v>212</v>
      </c>
      <c r="C140" s="88">
        <v>25</v>
      </c>
      <c r="D140" s="80">
        <f>SUMIFS('апрель 2024'!$G$4:$G$1689,'апрель 2024'!$D$4:$D$1689,$B140,'апрель 2024'!$J$4:$J$1689,D$1)</f>
        <v>0</v>
      </c>
      <c r="E140" s="80">
        <f>SUMIFS('апрель 2024'!$G$4:$G$1689,'апрель 2024'!$D$4:$D$1689,$B140,'апрель 2024'!$J$4:$J$1689,E$1)</f>
        <v>0</v>
      </c>
      <c r="F140" s="80">
        <f>SUMIFS('апрель 2024'!$G$4:$G$1689,'апрель 2024'!$D$4:$D$1689,$B140,'апрель 2024'!$J$4:$J$1689,F$1)</f>
        <v>0</v>
      </c>
      <c r="G140" s="80">
        <f>SUMIFS('апрель 2024'!$G$4:$G$1689,'апрель 2024'!$D$4:$D$1689,$B140,'апрель 2024'!$J$4:$J$1689,G$1)</f>
        <v>0</v>
      </c>
      <c r="H140" s="80">
        <f>SUMIFS('апрель 2024'!$G$4:$G$1689,'апрель 2024'!$D$4:$D$1689,$B140,'апрель 2024'!$J$4:$J$1689,H$1)</f>
        <v>0</v>
      </c>
      <c r="I140" s="80">
        <f>SUMIFS('апрель 2024'!$G$4:$G$1689,'апрель 2024'!$D$4:$D$1689,$B140,'апрель 2024'!$J$4:$J$1689,I$1)</f>
        <v>0</v>
      </c>
      <c r="J140" s="80">
        <f>SUMIFS('апрель 2024'!$G$4:$G$1689,'апрель 2024'!$D$4:$D$1689,$B140,'апрель 2024'!$J$4:$J$1689,J$1)</f>
        <v>0</v>
      </c>
      <c r="K140" s="80">
        <f>SUMIFS('апрель 2024'!$G$4:$G$1689,'апрель 2024'!$D$4:$D$1689,$B140,'апрель 2024'!$J$4:$J$1689,K$1)</f>
        <v>0</v>
      </c>
      <c r="L140" s="80">
        <f>SUMIFS('апрель 2024'!$G$4:$G$1689,'апрель 2024'!$D$4:$D$1689,$B140,'апрель 2024'!$J$4:$J$1689,L$1)</f>
        <v>0</v>
      </c>
      <c r="M140" s="80">
        <f>SUMIFS('апрель 2024'!$G$4:$G$1689,'апрель 2024'!$D$4:$D$1689,$B140,'апрель 2024'!$J$4:$J$1689,M$1)</f>
        <v>0</v>
      </c>
      <c r="N140" s="80">
        <f>SUMIFS('апрель 2024'!$G$4:$G$1689,'апрель 2024'!$D$4:$D$1689,$B140,'апрель 2024'!$J$4:$J$1689,N$1)</f>
        <v>0</v>
      </c>
      <c r="O140" s="80">
        <f>SUMIFS('апрель 2024'!$G$4:$G$1689,'апрель 2024'!$D$4:$D$1689,$B140,'апрель 2024'!$J$4:$J$1689,O$1)</f>
        <v>0</v>
      </c>
      <c r="P140" s="80">
        <f>SUMIFS('апрель 2024'!$G$4:$G$1689,'апрель 2024'!$D$4:$D$1689,$B140,'апрель 2024'!$J$4:$J$1689,P$1)</f>
        <v>0</v>
      </c>
      <c r="Q140" s="80">
        <f>SUMIFS('апрель 2024'!$G$4:$G$1689,'апрель 2024'!$D$4:$D$1689,$B140,'апрель 2024'!$J$4:$J$1689,Q$1)</f>
        <v>0</v>
      </c>
      <c r="R140" s="80">
        <f>SUMIFS('апрель 2024'!$G$4:$G$1689,'апрель 2024'!$D$4:$D$1689,$B140,'апрель 2024'!$J$4:$J$1689,R$1)</f>
        <v>0</v>
      </c>
      <c r="S140" s="80">
        <f>SUMIFS('апрель 2024'!$G$4:$G$1689,'апрель 2024'!$D$4:$D$1689,$B140,'апрель 2024'!$J$4:$J$1689,S$1)</f>
        <v>0</v>
      </c>
      <c r="T140" s="80">
        <f>SUMIFS('апрель 2024'!$G$4:$G$1689,'апрель 2024'!$D$4:$D$1689,$B140,'апрель 2024'!$J$4:$J$1689,T$1)</f>
        <v>0</v>
      </c>
      <c r="U140" s="80">
        <f>SUMIFS('апрель 2024'!$G$4:$G$1689,'апрель 2024'!$D$4:$D$1689,$B140,'апрель 2024'!$J$4:$J$1689,U$1)</f>
        <v>0</v>
      </c>
      <c r="V140" s="80">
        <f>SUMIFS('апрель 2024'!$G$4:$G$1689,'апрель 2024'!$D$4:$D$1689,$B140,'апрель 2024'!$J$4:$J$1689,V$1)</f>
        <v>0</v>
      </c>
      <c r="W140" s="80">
        <f>SUMIFS('апрель 2024'!$G$4:$G$1689,'апрель 2024'!$D$4:$D$1689,$B140,'апрель 2024'!$J$4:$J$1689,W$1)</f>
        <v>0</v>
      </c>
      <c r="X140" s="80">
        <f>SUMIFS('апрель 2024'!$G$4:$G$1689,'апрель 2024'!$D$4:$D$1689,$B140,'апрель 2024'!$J$4:$J$1689,X$1)</f>
        <v>0</v>
      </c>
      <c r="Y140" s="80">
        <f>SUMIFS('апрель 2024'!$G$4:$G$1689,'апрель 2024'!$D$4:$D$1689,$B140,'апрель 2024'!$J$4:$J$1689,Y$1)</f>
        <v>0</v>
      </c>
      <c r="Z140" s="80">
        <f>SUMIFS('апрель 2024'!$G$4:$G$1689,'апрель 2024'!$D$4:$D$1689,$B140,'апрель 2024'!$J$4:$J$1689,Z$1)</f>
        <v>0</v>
      </c>
      <c r="AA140" s="80">
        <f>SUMIFS('апрель 2024'!$G$4:$G$1689,'апрель 2024'!$D$4:$D$1689,$B140,'апрель 2024'!$J$4:$J$1689,AA$1)</f>
        <v>0</v>
      </c>
      <c r="AB140" s="80">
        <f>SUMIFS('апрель 2024'!$G$4:$G$1689,'апрель 2024'!$D$4:$D$1689,$B140,'апрель 2024'!$J$4:$J$1689,AB$1)</f>
        <v>0</v>
      </c>
      <c r="AC140" s="80">
        <f>SUMIFS('апрель 2024'!$G$4:$G$1689,'апрель 2024'!$D$4:$D$1689,$B140,'апрель 2024'!$J$4:$J$1689,AC$1)</f>
        <v>0</v>
      </c>
      <c r="AD140" s="80">
        <f>SUMIFS('апрель 2024'!$G$4:$G$1689,'апрель 2024'!$D$4:$D$1689,$B140,'апрель 2024'!$J$4:$J$1689,AD$1)</f>
        <v>0</v>
      </c>
      <c r="AE140" s="80">
        <f>SUMIFS('апрель 2024'!$G$4:$G$1689,'апрель 2024'!$D$4:$D$1689,$B140,'апрель 2024'!$J$4:$J$1689,AE$1)</f>
        <v>0</v>
      </c>
      <c r="AF140" s="80">
        <f>SUMIFS('апрель 2024'!$G$4:$G$1689,'апрель 2024'!$D$4:$D$1689,$B140,'апрель 2024'!$J$4:$J$1689,AF$1)</f>
        <v>0</v>
      </c>
      <c r="AG140" s="80">
        <f>SUMIFS('апрель 2024'!$G$4:$G$1689,'апрель 2024'!$D$4:$D$1689,$B140,'апрель 2024'!$J$4:$J$1689,AG$1)</f>
        <v>0</v>
      </c>
      <c r="AH140" s="80">
        <f>SUMIFS('апрель 2024'!$G$4:$G$1689,'апрель 2024'!$D$4:$D$1689,$B140,'апрель 2024'!$J$4:$J$1689,AH$1)</f>
        <v>0</v>
      </c>
      <c r="AI140" s="21">
        <f t="shared" si="1"/>
        <v>0</v>
      </c>
    </row>
    <row r="141" spans="2:35" ht="15" customHeight="1" x14ac:dyDescent="0.25">
      <c r="B141" s="89" t="s">
        <v>994</v>
      </c>
      <c r="C141" s="88">
        <v>200</v>
      </c>
      <c r="D141" s="80">
        <f>SUMIFS('апрель 2024'!$G$4:$G$1689,'апрель 2024'!$D$4:$D$1689,$B141,'апрель 2024'!$J$4:$J$1689,D$1)</f>
        <v>0</v>
      </c>
      <c r="E141" s="80">
        <f>SUMIFS('апрель 2024'!$G$4:$G$1689,'апрель 2024'!$D$4:$D$1689,$B141,'апрель 2024'!$J$4:$J$1689,E$1)</f>
        <v>0</v>
      </c>
      <c r="F141" s="80">
        <f>SUMIFS('апрель 2024'!$G$4:$G$1689,'апрель 2024'!$D$4:$D$1689,$B141,'апрель 2024'!$J$4:$J$1689,F$1)</f>
        <v>0</v>
      </c>
      <c r="G141" s="80">
        <f>SUMIFS('апрель 2024'!$G$4:$G$1689,'апрель 2024'!$D$4:$D$1689,$B141,'апрель 2024'!$J$4:$J$1689,G$1)</f>
        <v>0</v>
      </c>
      <c r="H141" s="80">
        <f>SUMIFS('апрель 2024'!$G$4:$G$1689,'апрель 2024'!$D$4:$D$1689,$B141,'апрель 2024'!$J$4:$J$1689,H$1)</f>
        <v>0</v>
      </c>
      <c r="I141" s="80">
        <f>SUMIFS('апрель 2024'!$G$4:$G$1689,'апрель 2024'!$D$4:$D$1689,$B141,'апрель 2024'!$J$4:$J$1689,I$1)</f>
        <v>0</v>
      </c>
      <c r="J141" s="80">
        <f>SUMIFS('апрель 2024'!$G$4:$G$1689,'апрель 2024'!$D$4:$D$1689,$B141,'апрель 2024'!$J$4:$J$1689,J$1)</f>
        <v>0</v>
      </c>
      <c r="K141" s="80">
        <f>SUMIFS('апрель 2024'!$G$4:$G$1689,'апрель 2024'!$D$4:$D$1689,$B141,'апрель 2024'!$J$4:$J$1689,K$1)</f>
        <v>0</v>
      </c>
      <c r="L141" s="80">
        <f>SUMIFS('апрель 2024'!$G$4:$G$1689,'апрель 2024'!$D$4:$D$1689,$B141,'апрель 2024'!$J$4:$J$1689,L$1)</f>
        <v>0</v>
      </c>
      <c r="M141" s="80">
        <f>SUMIFS('апрель 2024'!$G$4:$G$1689,'апрель 2024'!$D$4:$D$1689,$B141,'апрель 2024'!$J$4:$J$1689,M$1)</f>
        <v>0</v>
      </c>
      <c r="N141" s="80">
        <f>SUMIFS('апрель 2024'!$G$4:$G$1689,'апрель 2024'!$D$4:$D$1689,$B141,'апрель 2024'!$J$4:$J$1689,N$1)</f>
        <v>0</v>
      </c>
      <c r="O141" s="80">
        <f>SUMIFS('апрель 2024'!$G$4:$G$1689,'апрель 2024'!$D$4:$D$1689,$B141,'апрель 2024'!$J$4:$J$1689,O$1)</f>
        <v>0</v>
      </c>
      <c r="P141" s="80">
        <f>SUMIFS('апрель 2024'!$G$4:$G$1689,'апрель 2024'!$D$4:$D$1689,$B141,'апрель 2024'!$J$4:$J$1689,P$1)</f>
        <v>0</v>
      </c>
      <c r="Q141" s="80">
        <f>SUMIFS('апрель 2024'!$G$4:$G$1689,'апрель 2024'!$D$4:$D$1689,$B141,'апрель 2024'!$J$4:$J$1689,Q$1)</f>
        <v>0</v>
      </c>
      <c r="R141" s="80">
        <f>SUMIFS('апрель 2024'!$G$4:$G$1689,'апрель 2024'!$D$4:$D$1689,$B141,'апрель 2024'!$J$4:$J$1689,R$1)</f>
        <v>0</v>
      </c>
      <c r="S141" s="80">
        <f>SUMIFS('апрель 2024'!$G$4:$G$1689,'апрель 2024'!$D$4:$D$1689,$B141,'апрель 2024'!$J$4:$J$1689,S$1)</f>
        <v>0</v>
      </c>
      <c r="T141" s="80">
        <f>SUMIFS('апрель 2024'!$G$4:$G$1689,'апрель 2024'!$D$4:$D$1689,$B141,'апрель 2024'!$J$4:$J$1689,T$1)</f>
        <v>0</v>
      </c>
      <c r="U141" s="80">
        <f>SUMIFS('апрель 2024'!$G$4:$G$1689,'апрель 2024'!$D$4:$D$1689,$B141,'апрель 2024'!$J$4:$J$1689,U$1)</f>
        <v>80</v>
      </c>
      <c r="V141" s="80">
        <f>SUMIFS('апрель 2024'!$G$4:$G$1689,'апрель 2024'!$D$4:$D$1689,$B141,'апрель 2024'!$J$4:$J$1689,V$1)</f>
        <v>0</v>
      </c>
      <c r="W141" s="80">
        <f>SUMIFS('апрель 2024'!$G$4:$G$1689,'апрель 2024'!$D$4:$D$1689,$B141,'апрель 2024'!$J$4:$J$1689,W$1)</f>
        <v>0</v>
      </c>
      <c r="X141" s="80">
        <f>SUMIFS('апрель 2024'!$G$4:$G$1689,'апрель 2024'!$D$4:$D$1689,$B141,'апрель 2024'!$J$4:$J$1689,X$1)</f>
        <v>0</v>
      </c>
      <c r="Y141" s="80">
        <f>SUMIFS('апрель 2024'!$G$4:$G$1689,'апрель 2024'!$D$4:$D$1689,$B141,'апрель 2024'!$J$4:$J$1689,Y$1)</f>
        <v>0</v>
      </c>
      <c r="Z141" s="80">
        <f>SUMIFS('апрель 2024'!$G$4:$G$1689,'апрель 2024'!$D$4:$D$1689,$B141,'апрель 2024'!$J$4:$J$1689,Z$1)</f>
        <v>0</v>
      </c>
      <c r="AA141" s="80">
        <f>SUMIFS('апрель 2024'!$G$4:$G$1689,'апрель 2024'!$D$4:$D$1689,$B141,'апрель 2024'!$J$4:$J$1689,AA$1)</f>
        <v>0</v>
      </c>
      <c r="AB141" s="80">
        <f>SUMIFS('апрель 2024'!$G$4:$G$1689,'апрель 2024'!$D$4:$D$1689,$B141,'апрель 2024'!$J$4:$J$1689,AB$1)</f>
        <v>0</v>
      </c>
      <c r="AC141" s="80">
        <f>SUMIFS('апрель 2024'!$G$4:$G$1689,'апрель 2024'!$D$4:$D$1689,$B141,'апрель 2024'!$J$4:$J$1689,AC$1)</f>
        <v>0</v>
      </c>
      <c r="AD141" s="80">
        <f>SUMIFS('апрель 2024'!$G$4:$G$1689,'апрель 2024'!$D$4:$D$1689,$B141,'апрель 2024'!$J$4:$J$1689,AD$1)</f>
        <v>0</v>
      </c>
      <c r="AE141" s="80">
        <f>SUMIFS('апрель 2024'!$G$4:$G$1689,'апрель 2024'!$D$4:$D$1689,$B141,'апрель 2024'!$J$4:$J$1689,AE$1)</f>
        <v>0</v>
      </c>
      <c r="AF141" s="80">
        <f>SUMIFS('апрель 2024'!$G$4:$G$1689,'апрель 2024'!$D$4:$D$1689,$B141,'апрель 2024'!$J$4:$J$1689,AF$1)</f>
        <v>0</v>
      </c>
      <c r="AG141" s="80">
        <f>SUMIFS('апрель 2024'!$G$4:$G$1689,'апрель 2024'!$D$4:$D$1689,$B141,'апрель 2024'!$J$4:$J$1689,AG$1)</f>
        <v>0</v>
      </c>
      <c r="AH141" s="80">
        <f>SUMIFS('апрель 2024'!$G$4:$G$1689,'апрель 2024'!$D$4:$D$1689,$B141,'апрель 2024'!$J$4:$J$1689,AH$1)</f>
        <v>0</v>
      </c>
      <c r="AI141" s="21">
        <f>SUM(D141:AH141)</f>
        <v>80</v>
      </c>
    </row>
    <row r="142" spans="2:35" ht="15" customHeight="1" x14ac:dyDescent="0.25">
      <c r="B142" s="89"/>
      <c r="C142" s="88"/>
      <c r="D142" s="86">
        <f>SUMIFS('март 2024'!$G$6:$G$1612,'март 2024'!$D$6:$D$1612,$B142,'март 2024'!$J$6:$J$1612,D$1)</f>
        <v>0</v>
      </c>
      <c r="E142" s="86">
        <f>SUMIFS('март 2024'!$G$6:$G$1612,'март 2024'!$D$6:$D$1612,$B142,'март 2024'!$J$6:$J$1612,E$1)</f>
        <v>0</v>
      </c>
      <c r="F142" s="86">
        <f>SUMIFS('март 2024'!$G$6:$G$1612,'март 2024'!$D$6:$D$1612,$B142,'март 2024'!$J$6:$J$1612,F$1)</f>
        <v>0</v>
      </c>
      <c r="G142" s="86">
        <f>SUMIFS('март 2024'!$G$6:$G$1612,'март 2024'!$D$6:$D$1612,$B142,'март 2024'!$J$6:$J$1612,G$1)</f>
        <v>0</v>
      </c>
      <c r="H142" s="86">
        <f>SUMIFS('март 2024'!$G$6:$G$1612,'март 2024'!$D$6:$D$1612,$B142,'март 2024'!$J$6:$J$1612,H$1)</f>
        <v>0</v>
      </c>
      <c r="I142" s="86">
        <f>SUMIFS('март 2024'!$G$6:$G$1612,'март 2024'!$D$6:$D$1612,$B142,'март 2024'!$J$6:$J$1612,I$1)</f>
        <v>0</v>
      </c>
      <c r="J142" s="86">
        <f>SUMIFS('март 2024'!$G$6:$G$1612,'март 2024'!$D$6:$D$1612,$B142,'март 2024'!$J$6:$J$1612,J$1)</f>
        <v>0</v>
      </c>
      <c r="K142" s="86">
        <f>SUMIFS('март 2024'!$G$6:$G$1612,'март 2024'!$D$6:$D$1612,$B142,'март 2024'!$J$6:$J$1612,K$1)</f>
        <v>0</v>
      </c>
      <c r="L142" s="86">
        <f>SUMIFS('март 2024'!$G$6:$G$1612,'март 2024'!$D$6:$D$1612,$B142,'март 2024'!$J$6:$J$1612,L$1)</f>
        <v>0</v>
      </c>
      <c r="M142" s="86">
        <f>SUMIFS('март 2024'!$G$6:$G$1612,'март 2024'!$D$6:$D$1612,$B142,'март 2024'!$J$6:$J$1612,M$1)</f>
        <v>0</v>
      </c>
      <c r="N142" s="86">
        <f>SUMIFS('март 2024'!$G$6:$G$1612,'март 2024'!$D$6:$D$1612,$B142,'март 2024'!$J$6:$J$1612,N$1)</f>
        <v>0</v>
      </c>
      <c r="O142" s="86">
        <f>SUMIFS('март 2024'!$G$6:$G$1612,'март 2024'!$D$6:$D$1612,$B142,'март 2024'!$J$6:$J$1612,O$1)</f>
        <v>0</v>
      </c>
      <c r="P142" s="86">
        <f>SUMIFS('март 2024'!$G$6:$G$1612,'март 2024'!$D$6:$D$1612,$B142,'март 2024'!$J$6:$J$1612,P$1)</f>
        <v>0</v>
      </c>
      <c r="Q142" s="86">
        <f>SUMIFS('март 2024'!$G$6:$G$1612,'март 2024'!$D$6:$D$1612,$B142,'март 2024'!$J$6:$J$1612,Q$1)</f>
        <v>0</v>
      </c>
      <c r="R142" s="86">
        <f>SUMIFS('март 2024'!$G$6:$G$1612,'март 2024'!$D$6:$D$1612,$B142,'март 2024'!$J$6:$J$1612,R$1)</f>
        <v>0</v>
      </c>
      <c r="S142" s="86">
        <f>SUMIFS('март 2024'!$G$6:$G$1612,'март 2024'!$D$6:$D$1612,$B142,'март 2024'!$J$6:$J$1612,S$1)</f>
        <v>0</v>
      </c>
      <c r="T142" s="86">
        <f>SUMIFS('март 2024'!$G$6:$G$1612,'март 2024'!$D$6:$D$1612,$B142,'март 2024'!$J$6:$J$1612,T$1)</f>
        <v>0</v>
      </c>
      <c r="U142" s="86">
        <f>SUMIFS('март 2024'!$G$6:$G$1612,'март 2024'!$D$6:$D$1612,$B142,'март 2024'!$J$6:$J$1612,U$1)</f>
        <v>0</v>
      </c>
      <c r="V142" s="86">
        <f>SUMIFS('март 2024'!$G$6:$G$1612,'март 2024'!$D$6:$D$1612,$B142,'март 2024'!$J$6:$J$1612,V$1)</f>
        <v>0</v>
      </c>
      <c r="W142" s="86">
        <f>SUMIFS('март 2024'!$G$6:$G$1612,'март 2024'!$D$6:$D$1612,$B142,'март 2024'!$J$6:$J$1612,W$1)</f>
        <v>0</v>
      </c>
      <c r="X142" s="86">
        <f>SUMIFS('март 2024'!$G$6:$G$1612,'март 2024'!$D$6:$D$1612,$B142,'март 2024'!$J$6:$J$1612,X$1)</f>
        <v>0</v>
      </c>
      <c r="Y142" s="86">
        <f>SUMIFS('март 2024'!$G$6:$G$1612,'март 2024'!$D$6:$D$1612,$B142,'март 2024'!$J$6:$J$1612,Y$1)</f>
        <v>0</v>
      </c>
      <c r="Z142" s="86">
        <f>SUMIFS('март 2024'!$G$6:$G$1612,'март 2024'!$D$6:$D$1612,$B142,'март 2024'!$J$6:$J$1612,Z$1)</f>
        <v>0</v>
      </c>
      <c r="AA142" s="86">
        <f>SUMIFS('март 2024'!$G$6:$G$1612,'март 2024'!$D$6:$D$1612,$B142,'март 2024'!$J$6:$J$1612,AA$1)</f>
        <v>0</v>
      </c>
      <c r="AB142" s="86">
        <f>SUMIFS('март 2024'!$G$6:$G$1612,'март 2024'!$D$6:$D$1612,$B142,'март 2024'!$J$6:$J$1612,AB$1)</f>
        <v>0</v>
      </c>
      <c r="AC142" s="86">
        <f>SUMIFS('март 2024'!$G$6:$G$1612,'март 2024'!$D$6:$D$1612,$B142,'март 2024'!$J$6:$J$1612,AC$1)</f>
        <v>0</v>
      </c>
      <c r="AD142" s="86">
        <f>SUMIFS('март 2024'!$G$6:$G$1612,'март 2024'!$D$6:$D$1612,$B142,'март 2024'!$J$6:$J$1612,AD$1)</f>
        <v>0</v>
      </c>
      <c r="AE142" s="86">
        <f>SUMIFS('март 2024'!$G$6:$G$1612,'март 2024'!$D$6:$D$1612,$B142,'март 2024'!$J$6:$J$1612,AE$1)</f>
        <v>0</v>
      </c>
      <c r="AF142" s="86">
        <f>SUMIFS('март 2024'!$G$6:$G$1612,'март 2024'!$D$6:$D$1612,$B142,'март 2024'!$J$6:$J$1612,AF$1)</f>
        <v>0</v>
      </c>
      <c r="AG142" s="86">
        <f>SUMIFS('март 2024'!$G$6:$G$1612,'март 2024'!$D$6:$D$1612,$B142,'март 2024'!$J$6:$J$1612,AG$1)</f>
        <v>0</v>
      </c>
      <c r="AH142" s="86">
        <f>SUMIFS('март 2024'!$G$6:$G$1612,'март 2024'!$D$6:$D$1612,$B142,'март 2024'!$J$6:$J$1612,AH$1)</f>
        <v>0</v>
      </c>
      <c r="AI142" s="21">
        <f>SUM(D142:AH142)</f>
        <v>0</v>
      </c>
    </row>
    <row r="143" spans="2:35" ht="15" customHeight="1" x14ac:dyDescent="0.25">
      <c r="B143" s="89"/>
      <c r="C143" s="88"/>
      <c r="D143" s="86">
        <f>SUMIFS('март 2024'!$G$6:$G$1612,'март 2024'!$D$6:$D$1612,$B143,'март 2024'!$J$6:$J$1612,D$1)</f>
        <v>0</v>
      </c>
      <c r="E143" s="86">
        <f>SUMIFS('март 2024'!$G$6:$G$1612,'март 2024'!$D$6:$D$1612,$B143,'март 2024'!$J$6:$J$1612,E$1)</f>
        <v>0</v>
      </c>
      <c r="F143" s="86">
        <f>SUMIFS('март 2024'!$G$6:$G$1612,'март 2024'!$D$6:$D$1612,$B143,'март 2024'!$J$6:$J$1612,F$1)</f>
        <v>0</v>
      </c>
      <c r="G143" s="86">
        <f>SUMIFS('март 2024'!$G$6:$G$1612,'март 2024'!$D$6:$D$1612,$B143,'март 2024'!$J$6:$J$1612,G$1)</f>
        <v>0</v>
      </c>
      <c r="H143" s="86">
        <f>SUMIFS('март 2024'!$G$6:$G$1612,'март 2024'!$D$6:$D$1612,$B143,'март 2024'!$J$6:$J$1612,H$1)</f>
        <v>0</v>
      </c>
      <c r="I143" s="86">
        <f>SUMIFS('март 2024'!$G$6:$G$1612,'март 2024'!$D$6:$D$1612,$B143,'март 2024'!$J$6:$J$1612,I$1)</f>
        <v>0</v>
      </c>
      <c r="J143" s="86">
        <f>SUMIFS('март 2024'!$G$6:$G$1612,'март 2024'!$D$6:$D$1612,$B143,'март 2024'!$J$6:$J$1612,J$1)</f>
        <v>0</v>
      </c>
      <c r="K143" s="86">
        <f>SUMIFS('март 2024'!$G$6:$G$1612,'март 2024'!$D$6:$D$1612,$B143,'март 2024'!$J$6:$J$1612,K$1)</f>
        <v>0</v>
      </c>
      <c r="L143" s="86">
        <f>SUMIFS('март 2024'!$G$6:$G$1612,'март 2024'!$D$6:$D$1612,$B143,'март 2024'!$J$6:$J$1612,L$1)</f>
        <v>0</v>
      </c>
      <c r="M143" s="86">
        <f>SUMIFS('март 2024'!$G$6:$G$1612,'март 2024'!$D$6:$D$1612,$B143,'март 2024'!$J$6:$J$1612,M$1)</f>
        <v>0</v>
      </c>
      <c r="N143" s="86">
        <f>SUMIFS('март 2024'!$G$6:$G$1612,'март 2024'!$D$6:$D$1612,$B143,'март 2024'!$J$6:$J$1612,N$1)</f>
        <v>0</v>
      </c>
      <c r="O143" s="86">
        <f>SUMIFS('март 2024'!$G$6:$G$1612,'март 2024'!$D$6:$D$1612,$B143,'март 2024'!$J$6:$J$1612,O$1)</f>
        <v>0</v>
      </c>
      <c r="P143" s="86">
        <f>SUMIFS('март 2024'!$G$6:$G$1612,'март 2024'!$D$6:$D$1612,$B143,'март 2024'!$J$6:$J$1612,P$1)</f>
        <v>0</v>
      </c>
      <c r="Q143" s="86">
        <f>SUMIFS('март 2024'!$G$6:$G$1612,'март 2024'!$D$6:$D$1612,$B143,'март 2024'!$J$6:$J$1612,Q$1)</f>
        <v>0</v>
      </c>
      <c r="R143" s="86">
        <f>SUMIFS('март 2024'!$G$6:$G$1612,'март 2024'!$D$6:$D$1612,$B143,'март 2024'!$J$6:$J$1612,R$1)</f>
        <v>0</v>
      </c>
      <c r="S143" s="86">
        <f>SUMIFS('март 2024'!$G$6:$G$1612,'март 2024'!$D$6:$D$1612,$B143,'март 2024'!$J$6:$J$1612,S$1)</f>
        <v>0</v>
      </c>
      <c r="T143" s="86">
        <f>SUMIFS('март 2024'!$G$6:$G$1612,'март 2024'!$D$6:$D$1612,$B143,'март 2024'!$J$6:$J$1612,T$1)</f>
        <v>0</v>
      </c>
      <c r="U143" s="86">
        <f>SUMIFS('март 2024'!$G$6:$G$1612,'март 2024'!$D$6:$D$1612,$B143,'март 2024'!$J$6:$J$1612,U$1)</f>
        <v>0</v>
      </c>
      <c r="V143" s="86">
        <f>SUMIFS('март 2024'!$G$6:$G$1612,'март 2024'!$D$6:$D$1612,$B143,'март 2024'!$J$6:$J$1612,V$1)</f>
        <v>0</v>
      </c>
      <c r="W143" s="86">
        <f>SUMIFS('март 2024'!$G$6:$G$1612,'март 2024'!$D$6:$D$1612,$B143,'март 2024'!$J$6:$J$1612,W$1)</f>
        <v>0</v>
      </c>
      <c r="X143" s="86">
        <f>SUMIFS('март 2024'!$G$6:$G$1612,'март 2024'!$D$6:$D$1612,$B143,'март 2024'!$J$6:$J$1612,X$1)</f>
        <v>0</v>
      </c>
      <c r="Y143" s="86">
        <f>SUMIFS('март 2024'!$G$6:$G$1612,'март 2024'!$D$6:$D$1612,$B143,'март 2024'!$J$6:$J$1612,Y$1)</f>
        <v>0</v>
      </c>
      <c r="Z143" s="86">
        <f>SUMIFS('март 2024'!$G$6:$G$1612,'март 2024'!$D$6:$D$1612,$B143,'март 2024'!$J$6:$J$1612,Z$1)</f>
        <v>0</v>
      </c>
      <c r="AA143" s="86">
        <f>SUMIFS('март 2024'!$G$6:$G$1612,'март 2024'!$D$6:$D$1612,$B143,'март 2024'!$J$6:$J$1612,AA$1)</f>
        <v>0</v>
      </c>
      <c r="AB143" s="86">
        <f>SUMIFS('март 2024'!$G$6:$G$1612,'март 2024'!$D$6:$D$1612,$B143,'март 2024'!$J$6:$J$1612,AB$1)</f>
        <v>0</v>
      </c>
      <c r="AC143" s="86">
        <f>SUMIFS('март 2024'!$G$6:$G$1612,'март 2024'!$D$6:$D$1612,$B143,'март 2024'!$J$6:$J$1612,AC$1)</f>
        <v>0</v>
      </c>
      <c r="AD143" s="86">
        <f>SUMIFS('март 2024'!$G$6:$G$1612,'март 2024'!$D$6:$D$1612,$B143,'март 2024'!$J$6:$J$1612,AD$1)</f>
        <v>0</v>
      </c>
      <c r="AE143" s="86">
        <f>SUMIFS('март 2024'!$G$6:$G$1612,'март 2024'!$D$6:$D$1612,$B143,'март 2024'!$J$6:$J$1612,AE$1)</f>
        <v>0</v>
      </c>
      <c r="AF143" s="86">
        <f>SUMIFS('март 2024'!$G$6:$G$1612,'март 2024'!$D$6:$D$1612,$B143,'март 2024'!$J$6:$J$1612,AF$1)</f>
        <v>0</v>
      </c>
      <c r="AG143" s="86">
        <f>SUMIFS('март 2024'!$G$6:$G$1612,'март 2024'!$D$6:$D$1612,$B143,'март 2024'!$J$6:$J$1612,AG$1)</f>
        <v>0</v>
      </c>
      <c r="AH143" s="86">
        <f>SUMIFS('март 2024'!$G$6:$G$1612,'март 2024'!$D$6:$D$1612,$B143,'март 2024'!$J$6:$J$1612,AH$1)</f>
        <v>0</v>
      </c>
      <c r="AI143" s="21">
        <f>SUM(D143:AH143)</f>
        <v>0</v>
      </c>
    </row>
    <row r="144" spans="2:35" ht="15" customHeight="1" x14ac:dyDescent="0.25">
      <c r="B144" s="89"/>
      <c r="C144" s="88"/>
      <c r="D144" s="86">
        <f>SUMIFS('март 2024'!$G$6:$G$1612,'март 2024'!$D$6:$D$1612,$B144,'март 2024'!$J$6:$J$1612,D$1)</f>
        <v>0</v>
      </c>
      <c r="E144" s="86">
        <f>SUMIFS('март 2024'!$G$6:$G$1612,'март 2024'!$D$6:$D$1612,$B144,'март 2024'!$J$6:$J$1612,E$1)</f>
        <v>0</v>
      </c>
      <c r="F144" s="86">
        <f>SUMIFS('март 2024'!$G$6:$G$1612,'март 2024'!$D$6:$D$1612,$B144,'март 2024'!$J$6:$J$1612,F$1)</f>
        <v>0</v>
      </c>
      <c r="G144" s="86">
        <f>SUMIFS('март 2024'!$G$6:$G$1612,'март 2024'!$D$6:$D$1612,$B144,'март 2024'!$J$6:$J$1612,G$1)</f>
        <v>0</v>
      </c>
      <c r="H144" s="86">
        <f>SUMIFS('март 2024'!$G$6:$G$1612,'март 2024'!$D$6:$D$1612,$B144,'март 2024'!$J$6:$J$1612,H$1)</f>
        <v>0</v>
      </c>
      <c r="I144" s="86">
        <f>SUMIFS('март 2024'!$G$6:$G$1612,'март 2024'!$D$6:$D$1612,$B144,'март 2024'!$J$6:$J$1612,I$1)</f>
        <v>0</v>
      </c>
      <c r="J144" s="86">
        <f>SUMIFS('март 2024'!$G$6:$G$1612,'март 2024'!$D$6:$D$1612,$B144,'март 2024'!$J$6:$J$1612,J$1)</f>
        <v>0</v>
      </c>
      <c r="K144" s="86">
        <f>SUMIFS('март 2024'!$G$6:$G$1612,'март 2024'!$D$6:$D$1612,$B144,'март 2024'!$J$6:$J$1612,K$1)</f>
        <v>0</v>
      </c>
      <c r="L144" s="86">
        <f>SUMIFS('март 2024'!$G$6:$G$1612,'март 2024'!$D$6:$D$1612,$B144,'март 2024'!$J$6:$J$1612,L$1)</f>
        <v>0</v>
      </c>
      <c r="M144" s="86">
        <f>SUMIFS('март 2024'!$G$6:$G$1612,'март 2024'!$D$6:$D$1612,$B144,'март 2024'!$J$6:$J$1612,M$1)</f>
        <v>0</v>
      </c>
      <c r="N144" s="86">
        <f>SUMIFS('март 2024'!$G$6:$G$1612,'март 2024'!$D$6:$D$1612,$B144,'март 2024'!$J$6:$J$1612,N$1)</f>
        <v>0</v>
      </c>
      <c r="O144" s="86">
        <f>SUMIFS('март 2024'!$G$6:$G$1612,'март 2024'!$D$6:$D$1612,$B144,'март 2024'!$J$6:$J$1612,O$1)</f>
        <v>0</v>
      </c>
      <c r="P144" s="86">
        <f>SUMIFS('март 2024'!$G$6:$G$1612,'март 2024'!$D$6:$D$1612,$B144,'март 2024'!$J$6:$J$1612,P$1)</f>
        <v>0</v>
      </c>
      <c r="Q144" s="86">
        <f>SUMIFS('март 2024'!$G$6:$G$1612,'март 2024'!$D$6:$D$1612,$B144,'март 2024'!$J$6:$J$1612,Q$1)</f>
        <v>0</v>
      </c>
      <c r="R144" s="86">
        <f>SUMIFS('март 2024'!$G$6:$G$1612,'март 2024'!$D$6:$D$1612,$B144,'март 2024'!$J$6:$J$1612,R$1)</f>
        <v>0</v>
      </c>
      <c r="S144" s="86">
        <f>SUMIFS('март 2024'!$G$6:$G$1612,'март 2024'!$D$6:$D$1612,$B144,'март 2024'!$J$6:$J$1612,S$1)</f>
        <v>0</v>
      </c>
      <c r="T144" s="86">
        <f>SUMIFS('март 2024'!$G$6:$G$1612,'март 2024'!$D$6:$D$1612,$B144,'март 2024'!$J$6:$J$1612,T$1)</f>
        <v>0</v>
      </c>
      <c r="U144" s="86">
        <f>SUMIFS('март 2024'!$G$6:$G$1612,'март 2024'!$D$6:$D$1612,$B144,'март 2024'!$J$6:$J$1612,U$1)</f>
        <v>0</v>
      </c>
      <c r="V144" s="86">
        <f>SUMIFS('март 2024'!$G$6:$G$1612,'март 2024'!$D$6:$D$1612,$B144,'март 2024'!$J$6:$J$1612,V$1)</f>
        <v>0</v>
      </c>
      <c r="W144" s="86">
        <f>SUMIFS('март 2024'!$G$6:$G$1612,'март 2024'!$D$6:$D$1612,$B144,'март 2024'!$J$6:$J$1612,W$1)</f>
        <v>0</v>
      </c>
      <c r="X144" s="86">
        <f>SUMIFS('март 2024'!$G$6:$G$1612,'март 2024'!$D$6:$D$1612,$B144,'март 2024'!$J$6:$J$1612,X$1)</f>
        <v>0</v>
      </c>
      <c r="Y144" s="86">
        <f>SUMIFS('март 2024'!$G$6:$G$1612,'март 2024'!$D$6:$D$1612,$B144,'март 2024'!$J$6:$J$1612,Y$1)</f>
        <v>0</v>
      </c>
      <c r="Z144" s="86">
        <f>SUMIFS('март 2024'!$G$6:$G$1612,'март 2024'!$D$6:$D$1612,$B144,'март 2024'!$J$6:$J$1612,Z$1)</f>
        <v>0</v>
      </c>
      <c r="AA144" s="86">
        <f>SUMIFS('март 2024'!$G$6:$G$1612,'март 2024'!$D$6:$D$1612,$B144,'март 2024'!$J$6:$J$1612,AA$1)</f>
        <v>0</v>
      </c>
      <c r="AB144" s="86">
        <f>SUMIFS('март 2024'!$G$6:$G$1612,'март 2024'!$D$6:$D$1612,$B144,'март 2024'!$J$6:$J$1612,AB$1)</f>
        <v>0</v>
      </c>
      <c r="AC144" s="86">
        <f>SUMIFS('март 2024'!$G$6:$G$1612,'март 2024'!$D$6:$D$1612,$B144,'март 2024'!$J$6:$J$1612,AC$1)</f>
        <v>0</v>
      </c>
      <c r="AD144" s="86">
        <f>SUMIFS('март 2024'!$G$6:$G$1612,'март 2024'!$D$6:$D$1612,$B144,'март 2024'!$J$6:$J$1612,AD$1)</f>
        <v>0</v>
      </c>
      <c r="AE144" s="86">
        <f>SUMIFS('март 2024'!$G$6:$G$1612,'март 2024'!$D$6:$D$1612,$B144,'март 2024'!$J$6:$J$1612,AE$1)</f>
        <v>0</v>
      </c>
      <c r="AF144" s="86">
        <f>SUMIFS('март 2024'!$G$6:$G$1612,'март 2024'!$D$6:$D$1612,$B144,'март 2024'!$J$6:$J$1612,AF$1)</f>
        <v>0</v>
      </c>
      <c r="AG144" s="86">
        <f>SUMIFS('март 2024'!$G$6:$G$1612,'март 2024'!$D$6:$D$1612,$B144,'март 2024'!$J$6:$J$1612,AG$1)</f>
        <v>0</v>
      </c>
      <c r="AH144" s="86">
        <f>SUMIFS('март 2024'!$G$6:$G$1612,'март 2024'!$D$6:$D$1612,$B144,'март 2024'!$J$6:$J$1612,AH$1)</f>
        <v>0</v>
      </c>
      <c r="AI144" s="21">
        <f>SUM(D144:AH144)</f>
        <v>0</v>
      </c>
    </row>
    <row r="145" spans="2:35" ht="15" hidden="1" customHeight="1" x14ac:dyDescent="0.25">
      <c r="B145" s="89"/>
      <c r="C145" s="88"/>
      <c r="D145" s="80">
        <f>SUMIFS('февраль 2024'!$G$6:$G$1413,'февраль 2024'!$D$6:$D$1413,$B145,'февраль 2024'!$J$6:$J$1413,D$1)</f>
        <v>0</v>
      </c>
      <c r="E145" s="80">
        <f>SUMIFS('февраль 2024'!$G$6:$G$1413,'февраль 2024'!$D$6:$D$1413,$B145,'февраль 2024'!$J$6:$J$1413,E$1)</f>
        <v>0</v>
      </c>
      <c r="F145" s="80">
        <f>SUMIFS('февраль 2024'!$G$6:$G$1413,'февраль 2024'!$D$6:$D$1413,$B145,'февраль 2024'!$J$6:$J$1413,F$1)</f>
        <v>0</v>
      </c>
      <c r="G145" s="80">
        <f>SUMIFS('февраль 2024'!$G$6:$G$1413,'февраль 2024'!$D$6:$D$1413,$B145,'февраль 2024'!$J$6:$J$1413,G$1)</f>
        <v>0</v>
      </c>
      <c r="H145" s="80">
        <f>SUMIFS('февраль 2024'!$G$6:$G$1413,'февраль 2024'!$D$6:$D$1413,$B145,'февраль 2024'!$J$6:$J$1413,H$1)</f>
        <v>0</v>
      </c>
      <c r="I145" s="80">
        <f>SUMIFS('февраль 2024'!$G$6:$G$1413,'февраль 2024'!$D$6:$D$1413,$B145,'февраль 2024'!$J$6:$J$1413,I$1)</f>
        <v>0</v>
      </c>
      <c r="J145" s="80">
        <f>SUMIFS('февраль 2024'!$G$6:$G$1413,'февраль 2024'!$D$6:$D$1413,$B145,'февраль 2024'!$J$6:$J$1413,J$1)</f>
        <v>0</v>
      </c>
      <c r="K145" s="80">
        <f>SUMIFS('февраль 2024'!$G$6:$G$1413,'февраль 2024'!$D$6:$D$1413,$B145,'февраль 2024'!$J$6:$J$1413,K$1)</f>
        <v>0</v>
      </c>
      <c r="L145" s="80">
        <f>SUMIFS('февраль 2024'!$G$6:$G$1413,'февраль 2024'!$D$6:$D$1413,$B145,'февраль 2024'!$J$6:$J$1413,L$1)</f>
        <v>0</v>
      </c>
      <c r="M145" s="80">
        <f>SUMIFS('февраль 2024'!$G$6:$G$1413,'февраль 2024'!$D$6:$D$1413,$B145,'февраль 2024'!$J$6:$J$1413,M$1)</f>
        <v>0</v>
      </c>
      <c r="N145" s="80">
        <f>SUMIFS('февраль 2024'!$G$6:$G$1413,'февраль 2024'!$D$6:$D$1413,$B145,'февраль 2024'!$J$6:$J$1413,N$1)</f>
        <v>0</v>
      </c>
      <c r="O145" s="80">
        <f>SUMIFS('февраль 2024'!$G$6:$G$1413,'февраль 2024'!$D$6:$D$1413,$B145,'февраль 2024'!$J$6:$J$1413,O$1)</f>
        <v>0</v>
      </c>
      <c r="P145" s="80">
        <f>SUMIFS('февраль 2024'!$G$6:$G$1413,'февраль 2024'!$D$6:$D$1413,$B145,'февраль 2024'!$J$6:$J$1413,P$1)</f>
        <v>0</v>
      </c>
      <c r="Q145" s="80">
        <f>SUMIFS('февраль 2024'!$G$6:$G$1413,'февраль 2024'!$D$6:$D$1413,$B145,'февраль 2024'!$J$6:$J$1413,Q$1)</f>
        <v>0</v>
      </c>
      <c r="R145" s="80">
        <f>SUMIFS('февраль 2024'!$G$6:$G$1413,'февраль 2024'!$D$6:$D$1413,$B145,'февраль 2024'!$J$6:$J$1413,R$1)</f>
        <v>0</v>
      </c>
      <c r="S145" s="80">
        <f>SUMIFS('февраль 2024'!$G$6:$G$1413,'февраль 2024'!$D$6:$D$1413,$B145,'февраль 2024'!$J$6:$J$1413,S$1)</f>
        <v>0</v>
      </c>
      <c r="T145" s="80">
        <f>SUMIFS('февраль 2024'!$G$6:$G$1413,'февраль 2024'!$D$6:$D$1413,$B145,'февраль 2024'!$J$6:$J$1413,T$1)</f>
        <v>0</v>
      </c>
      <c r="U145" s="80">
        <f>SUMIFS('февраль 2024'!$G$6:$G$1413,'февраль 2024'!$D$6:$D$1413,$B145,'февраль 2024'!$J$6:$J$1413,U$1)</f>
        <v>0</v>
      </c>
      <c r="V145" s="80">
        <f>SUMIFS('февраль 2024'!$G$6:$G$1413,'февраль 2024'!$D$6:$D$1413,$B145,'февраль 2024'!$J$6:$J$1413,V$1)</f>
        <v>0</v>
      </c>
      <c r="W145" s="80">
        <f>SUMIFS('февраль 2024'!$G$6:$G$1413,'февраль 2024'!$D$6:$D$1413,$B145,'февраль 2024'!$J$6:$J$1413,W$1)</f>
        <v>0</v>
      </c>
      <c r="X145" s="80">
        <f>SUMIFS('февраль 2024'!$G$6:$G$1413,'февраль 2024'!$D$6:$D$1413,$B145,'февраль 2024'!$J$6:$J$1413,X$1)</f>
        <v>0</v>
      </c>
      <c r="Y145" s="80">
        <f>SUMIFS('февраль 2024'!$G$6:$G$1413,'февраль 2024'!$D$6:$D$1413,$B145,'февраль 2024'!$J$6:$J$1413,Y$1)</f>
        <v>0</v>
      </c>
      <c r="Z145" s="80">
        <f>SUMIFS('февраль 2024'!$G$6:$G$1413,'февраль 2024'!$D$6:$D$1413,$B145,'февраль 2024'!$J$6:$J$1413,Z$1)</f>
        <v>0</v>
      </c>
      <c r="AA145" s="80">
        <f>SUMIFS('февраль 2024'!$G$6:$G$1413,'февраль 2024'!$D$6:$D$1413,$B145,'февраль 2024'!$J$6:$J$1413,AA$1)</f>
        <v>0</v>
      </c>
      <c r="AB145" s="80">
        <f>SUMIFS('февраль 2024'!$G$6:$G$1413,'февраль 2024'!$D$6:$D$1413,$B145,'февраль 2024'!$J$6:$J$1413,AB$1)</f>
        <v>0</v>
      </c>
      <c r="AC145" s="80">
        <f>SUMIFS('февраль 2024'!$G$6:$G$1413,'февраль 2024'!$D$6:$D$1413,$B145,'февраль 2024'!$J$6:$J$1413,AC$1)</f>
        <v>0</v>
      </c>
      <c r="AD145" s="80">
        <f>SUMIFS('февраль 2024'!$G$6:$G$1413,'февраль 2024'!$D$6:$D$1413,$B145,'февраль 2024'!$J$6:$J$1413,AD$1)</f>
        <v>0</v>
      </c>
      <c r="AE145" s="80">
        <f>SUMIFS('февраль 2024'!$G$6:$G$1413,'февраль 2024'!$D$6:$D$1413,$B145,'февраль 2024'!$J$6:$J$1413,AE$1)</f>
        <v>0</v>
      </c>
      <c r="AF145" s="80">
        <f>SUMIFS('февраль 2024'!$G$6:$G$1413,'февраль 2024'!$D$6:$D$1413,$B145,'февраль 2024'!$J$6:$J$1413,AF$1)</f>
        <v>0</v>
      </c>
      <c r="AG145" s="80">
        <f>SUMIFS('февраль 2024'!$G$6:$G$1413,'февраль 2024'!$D$6:$D$1413,$B145,'февраль 2024'!$J$6:$J$1413,AG$1)</f>
        <v>0</v>
      </c>
      <c r="AH145" s="80">
        <f>SUMIFS('февраль 2024'!$G$6:$G$1413,'февраль 2024'!$D$6:$D$1413,$B145,'февраль 2024'!$J$6:$J$1413,AH$1)</f>
        <v>0</v>
      </c>
      <c r="AI145" s="87"/>
    </row>
    <row r="146" spans="2:35" ht="15" hidden="1" customHeight="1" x14ac:dyDescent="0.25">
      <c r="B146" s="89"/>
      <c r="C146" s="88"/>
      <c r="D146" s="80">
        <f>SUMIFS('февраль 2024'!$G$6:$G$1413,'февраль 2024'!$D$6:$D$1413,$B146,'февраль 2024'!$J$6:$J$1413,D$1)</f>
        <v>0</v>
      </c>
      <c r="E146" s="80">
        <f>SUMIFS('февраль 2024'!$G$6:$G$1413,'февраль 2024'!$D$6:$D$1413,$B146,'февраль 2024'!$J$6:$J$1413,E$1)</f>
        <v>0</v>
      </c>
      <c r="F146" s="80">
        <f>SUMIFS('февраль 2024'!$G$6:$G$1413,'февраль 2024'!$D$6:$D$1413,$B146,'февраль 2024'!$J$6:$J$1413,F$1)</f>
        <v>0</v>
      </c>
      <c r="G146" s="80">
        <f>SUMIFS('февраль 2024'!$G$6:$G$1413,'февраль 2024'!$D$6:$D$1413,$B146,'февраль 2024'!$J$6:$J$1413,G$1)</f>
        <v>0</v>
      </c>
      <c r="H146" s="80">
        <f>SUMIFS('февраль 2024'!$G$6:$G$1413,'февраль 2024'!$D$6:$D$1413,$B146,'февраль 2024'!$J$6:$J$1413,H$1)</f>
        <v>0</v>
      </c>
      <c r="I146" s="80">
        <f>SUMIFS('февраль 2024'!$G$6:$G$1413,'февраль 2024'!$D$6:$D$1413,$B146,'февраль 2024'!$J$6:$J$1413,I$1)</f>
        <v>0</v>
      </c>
      <c r="J146" s="80">
        <f>SUMIFS('февраль 2024'!$G$6:$G$1413,'февраль 2024'!$D$6:$D$1413,$B146,'февраль 2024'!$J$6:$J$1413,J$1)</f>
        <v>0</v>
      </c>
      <c r="K146" s="80">
        <f>SUMIFS('февраль 2024'!$G$6:$G$1413,'февраль 2024'!$D$6:$D$1413,$B146,'февраль 2024'!$J$6:$J$1413,K$1)</f>
        <v>0</v>
      </c>
      <c r="L146" s="80">
        <f>SUMIFS('февраль 2024'!$G$6:$G$1413,'февраль 2024'!$D$6:$D$1413,$B146,'февраль 2024'!$J$6:$J$1413,L$1)</f>
        <v>0</v>
      </c>
      <c r="M146" s="80">
        <f>SUMIFS('февраль 2024'!$G$6:$G$1413,'февраль 2024'!$D$6:$D$1413,$B146,'февраль 2024'!$J$6:$J$1413,M$1)</f>
        <v>0</v>
      </c>
      <c r="N146" s="80">
        <f>SUMIFS('февраль 2024'!$G$6:$G$1413,'февраль 2024'!$D$6:$D$1413,$B146,'февраль 2024'!$J$6:$J$1413,N$1)</f>
        <v>0</v>
      </c>
      <c r="O146" s="80">
        <f>SUMIFS('февраль 2024'!$G$6:$G$1413,'февраль 2024'!$D$6:$D$1413,$B146,'февраль 2024'!$J$6:$J$1413,O$1)</f>
        <v>0</v>
      </c>
      <c r="P146" s="80">
        <f>SUMIFS('февраль 2024'!$G$6:$G$1413,'февраль 2024'!$D$6:$D$1413,$B146,'февраль 2024'!$J$6:$J$1413,P$1)</f>
        <v>0</v>
      </c>
      <c r="Q146" s="80">
        <f>SUMIFS('февраль 2024'!$G$6:$G$1413,'февраль 2024'!$D$6:$D$1413,$B146,'февраль 2024'!$J$6:$J$1413,Q$1)</f>
        <v>0</v>
      </c>
      <c r="R146" s="80">
        <f>SUMIFS('февраль 2024'!$G$6:$G$1413,'февраль 2024'!$D$6:$D$1413,$B146,'февраль 2024'!$J$6:$J$1413,R$1)</f>
        <v>0</v>
      </c>
      <c r="S146" s="80">
        <f>SUMIFS('февраль 2024'!$G$6:$G$1413,'февраль 2024'!$D$6:$D$1413,$B146,'февраль 2024'!$J$6:$J$1413,S$1)</f>
        <v>0</v>
      </c>
      <c r="T146" s="80">
        <f>SUMIFS('февраль 2024'!$G$6:$G$1413,'февраль 2024'!$D$6:$D$1413,$B146,'февраль 2024'!$J$6:$J$1413,T$1)</f>
        <v>0</v>
      </c>
      <c r="U146" s="80">
        <f>SUMIFS('февраль 2024'!$G$6:$G$1413,'февраль 2024'!$D$6:$D$1413,$B146,'февраль 2024'!$J$6:$J$1413,U$1)</f>
        <v>0</v>
      </c>
      <c r="V146" s="80">
        <f>SUMIFS('февраль 2024'!$G$6:$G$1413,'февраль 2024'!$D$6:$D$1413,$B146,'февраль 2024'!$J$6:$J$1413,V$1)</f>
        <v>0</v>
      </c>
      <c r="W146" s="80">
        <f>SUMIFS('февраль 2024'!$G$6:$G$1413,'февраль 2024'!$D$6:$D$1413,$B146,'февраль 2024'!$J$6:$J$1413,W$1)</f>
        <v>0</v>
      </c>
      <c r="X146" s="80">
        <f>SUMIFS('февраль 2024'!$G$6:$G$1413,'февраль 2024'!$D$6:$D$1413,$B146,'февраль 2024'!$J$6:$J$1413,X$1)</f>
        <v>0</v>
      </c>
      <c r="Y146" s="80">
        <f>SUMIFS('февраль 2024'!$G$6:$G$1413,'февраль 2024'!$D$6:$D$1413,$B146,'февраль 2024'!$J$6:$J$1413,Y$1)</f>
        <v>0</v>
      </c>
      <c r="Z146" s="80">
        <f>SUMIFS('февраль 2024'!$G$6:$G$1413,'февраль 2024'!$D$6:$D$1413,$B146,'февраль 2024'!$J$6:$J$1413,Z$1)</f>
        <v>0</v>
      </c>
      <c r="AA146" s="80">
        <f>SUMIFS('февраль 2024'!$G$6:$G$1413,'февраль 2024'!$D$6:$D$1413,$B146,'февраль 2024'!$J$6:$J$1413,AA$1)</f>
        <v>0</v>
      </c>
      <c r="AB146" s="80">
        <f>SUMIFS('февраль 2024'!$G$6:$G$1413,'февраль 2024'!$D$6:$D$1413,$B146,'февраль 2024'!$J$6:$J$1413,AB$1)</f>
        <v>0</v>
      </c>
      <c r="AC146" s="80">
        <f>SUMIFS('февраль 2024'!$G$6:$G$1413,'февраль 2024'!$D$6:$D$1413,$B146,'февраль 2024'!$J$6:$J$1413,AC$1)</f>
        <v>0</v>
      </c>
      <c r="AD146" s="80">
        <f>SUMIFS('февраль 2024'!$G$6:$G$1413,'февраль 2024'!$D$6:$D$1413,$B146,'февраль 2024'!$J$6:$J$1413,AD$1)</f>
        <v>0</v>
      </c>
      <c r="AE146" s="80">
        <f>SUMIFS('февраль 2024'!$G$6:$G$1413,'февраль 2024'!$D$6:$D$1413,$B146,'февраль 2024'!$J$6:$J$1413,AE$1)</f>
        <v>0</v>
      </c>
      <c r="AF146" s="80">
        <f>SUMIFS('февраль 2024'!$G$6:$G$1413,'февраль 2024'!$D$6:$D$1413,$B146,'февраль 2024'!$J$6:$J$1413,AF$1)</f>
        <v>0</v>
      </c>
      <c r="AG146" s="80">
        <f>SUMIFS('февраль 2024'!$G$6:$G$1413,'февраль 2024'!$D$6:$D$1413,$B146,'февраль 2024'!$J$6:$J$1413,AG$1)</f>
        <v>0</v>
      </c>
      <c r="AH146" s="80">
        <f>SUMIFS('февраль 2024'!$G$6:$G$1413,'февраль 2024'!$D$6:$D$1413,$B146,'февраль 2024'!$J$6:$J$1413,AH$1)</f>
        <v>0</v>
      </c>
      <c r="AI146" s="87"/>
    </row>
    <row r="147" spans="2:35" ht="15" hidden="1" customHeight="1" x14ac:dyDescent="0.25">
      <c r="B147" s="93"/>
      <c r="C147" s="88"/>
      <c r="D147" s="80">
        <f>SUMIFS('февраль 2024'!$G$6:$G$1413,'февраль 2024'!$D$6:$D$1413,$B147,'февраль 2024'!$J$6:$J$1413,D$1)</f>
        <v>0</v>
      </c>
      <c r="E147" s="80">
        <f>SUMIFS('февраль 2024'!$G$6:$G$1413,'февраль 2024'!$D$6:$D$1413,$B147,'февраль 2024'!$J$6:$J$1413,E$1)</f>
        <v>0</v>
      </c>
      <c r="F147" s="80">
        <f>SUMIFS('февраль 2024'!$G$6:$G$1413,'февраль 2024'!$D$6:$D$1413,$B147,'февраль 2024'!$J$6:$J$1413,F$1)</f>
        <v>0</v>
      </c>
      <c r="G147" s="80">
        <f>SUMIFS('февраль 2024'!$G$6:$G$1413,'февраль 2024'!$D$6:$D$1413,$B147,'февраль 2024'!$J$6:$J$1413,G$1)</f>
        <v>0</v>
      </c>
      <c r="H147" s="80">
        <f>SUMIFS('февраль 2024'!$G$6:$G$1413,'февраль 2024'!$D$6:$D$1413,$B147,'февраль 2024'!$J$6:$J$1413,H$1)</f>
        <v>0</v>
      </c>
      <c r="I147" s="80">
        <f>SUMIFS('февраль 2024'!$G$6:$G$1413,'февраль 2024'!$D$6:$D$1413,$B147,'февраль 2024'!$J$6:$J$1413,I$1)</f>
        <v>0</v>
      </c>
      <c r="J147" s="80">
        <f>SUMIFS('февраль 2024'!$G$6:$G$1413,'февраль 2024'!$D$6:$D$1413,$B147,'февраль 2024'!$J$6:$J$1413,J$1)</f>
        <v>0</v>
      </c>
      <c r="K147" s="80">
        <f>SUMIFS('февраль 2024'!$G$6:$G$1413,'февраль 2024'!$D$6:$D$1413,$B147,'февраль 2024'!$J$6:$J$1413,K$1)</f>
        <v>0</v>
      </c>
      <c r="L147" s="80">
        <f>SUMIFS('февраль 2024'!$G$6:$G$1413,'февраль 2024'!$D$6:$D$1413,$B147,'февраль 2024'!$J$6:$J$1413,L$1)</f>
        <v>0</v>
      </c>
      <c r="M147" s="80">
        <f>SUMIFS('февраль 2024'!$G$6:$G$1413,'февраль 2024'!$D$6:$D$1413,$B147,'февраль 2024'!$J$6:$J$1413,M$1)</f>
        <v>0</v>
      </c>
      <c r="N147" s="80">
        <f>SUMIFS('февраль 2024'!$G$6:$G$1413,'февраль 2024'!$D$6:$D$1413,$B147,'февраль 2024'!$J$6:$J$1413,N$1)</f>
        <v>0</v>
      </c>
      <c r="O147" s="80">
        <f>SUMIFS('февраль 2024'!$G$6:$G$1413,'февраль 2024'!$D$6:$D$1413,$B147,'февраль 2024'!$J$6:$J$1413,O$1)</f>
        <v>0</v>
      </c>
      <c r="P147" s="80">
        <f>SUMIFS('февраль 2024'!$G$6:$G$1413,'февраль 2024'!$D$6:$D$1413,$B147,'февраль 2024'!$J$6:$J$1413,P$1)</f>
        <v>0</v>
      </c>
      <c r="Q147" s="80">
        <f>SUMIFS('февраль 2024'!$G$6:$G$1413,'февраль 2024'!$D$6:$D$1413,$B147,'февраль 2024'!$J$6:$J$1413,Q$1)</f>
        <v>0</v>
      </c>
      <c r="R147" s="80">
        <f>SUMIFS('февраль 2024'!$G$6:$G$1413,'февраль 2024'!$D$6:$D$1413,$B147,'февраль 2024'!$J$6:$J$1413,R$1)</f>
        <v>0</v>
      </c>
      <c r="S147" s="80">
        <f>SUMIFS('февраль 2024'!$G$6:$G$1413,'февраль 2024'!$D$6:$D$1413,$B147,'февраль 2024'!$J$6:$J$1413,S$1)</f>
        <v>0</v>
      </c>
      <c r="T147" s="80">
        <f>SUMIFS('февраль 2024'!$G$6:$G$1413,'февраль 2024'!$D$6:$D$1413,$B147,'февраль 2024'!$J$6:$J$1413,T$1)</f>
        <v>0</v>
      </c>
      <c r="U147" s="80">
        <f>SUMIFS('февраль 2024'!$G$6:$G$1413,'февраль 2024'!$D$6:$D$1413,$B147,'февраль 2024'!$J$6:$J$1413,U$1)</f>
        <v>0</v>
      </c>
      <c r="V147" s="80">
        <f>SUMIFS('февраль 2024'!$G$6:$G$1413,'февраль 2024'!$D$6:$D$1413,$B147,'февраль 2024'!$J$6:$J$1413,V$1)</f>
        <v>0</v>
      </c>
      <c r="W147" s="80">
        <f>SUMIFS('февраль 2024'!$G$6:$G$1413,'февраль 2024'!$D$6:$D$1413,$B147,'февраль 2024'!$J$6:$J$1413,W$1)</f>
        <v>0</v>
      </c>
      <c r="X147" s="80">
        <f>SUMIFS('февраль 2024'!$G$6:$G$1413,'февраль 2024'!$D$6:$D$1413,$B147,'февраль 2024'!$J$6:$J$1413,X$1)</f>
        <v>0</v>
      </c>
      <c r="Y147" s="80">
        <f>SUMIFS('февраль 2024'!$G$6:$G$1413,'февраль 2024'!$D$6:$D$1413,$B147,'февраль 2024'!$J$6:$J$1413,Y$1)</f>
        <v>0</v>
      </c>
      <c r="Z147" s="80">
        <f>SUMIFS('февраль 2024'!$G$6:$G$1413,'февраль 2024'!$D$6:$D$1413,$B147,'февраль 2024'!$J$6:$J$1413,Z$1)</f>
        <v>0</v>
      </c>
      <c r="AA147" s="80">
        <f>SUMIFS('февраль 2024'!$G$6:$G$1413,'февраль 2024'!$D$6:$D$1413,$B147,'февраль 2024'!$J$6:$J$1413,AA$1)</f>
        <v>0</v>
      </c>
      <c r="AB147" s="80">
        <f>SUMIFS('февраль 2024'!$G$6:$G$1413,'февраль 2024'!$D$6:$D$1413,$B147,'февраль 2024'!$J$6:$J$1413,AB$1)</f>
        <v>0</v>
      </c>
      <c r="AC147" s="80">
        <f>SUMIFS('февраль 2024'!$G$6:$G$1413,'февраль 2024'!$D$6:$D$1413,$B147,'февраль 2024'!$J$6:$J$1413,AC$1)</f>
        <v>0</v>
      </c>
      <c r="AD147" s="80">
        <f>SUMIFS('февраль 2024'!$G$6:$G$1413,'февраль 2024'!$D$6:$D$1413,$B147,'февраль 2024'!$J$6:$J$1413,AD$1)</f>
        <v>0</v>
      </c>
      <c r="AE147" s="80">
        <f>SUMIFS('февраль 2024'!$G$6:$G$1413,'февраль 2024'!$D$6:$D$1413,$B147,'февраль 2024'!$J$6:$J$1413,AE$1)</f>
        <v>0</v>
      </c>
      <c r="AF147" s="80">
        <f>SUMIFS('февраль 2024'!$G$6:$G$1413,'февраль 2024'!$D$6:$D$1413,$B147,'февраль 2024'!$J$6:$J$1413,AF$1)</f>
        <v>0</v>
      </c>
      <c r="AG147" s="80">
        <f>SUMIFS('февраль 2024'!$G$6:$G$1413,'февраль 2024'!$D$6:$D$1413,$B147,'февраль 2024'!$J$6:$J$1413,AG$1)</f>
        <v>0</v>
      </c>
      <c r="AH147" s="80">
        <f>SUMIFS('февраль 2024'!$G$6:$G$1413,'февраль 2024'!$D$6:$D$1413,$B147,'февраль 2024'!$J$6:$J$1413,AH$1)</f>
        <v>0</v>
      </c>
      <c r="AI147" s="87"/>
    </row>
    <row r="148" spans="2:35" ht="15" hidden="1" customHeight="1" x14ac:dyDescent="0.25">
      <c r="B148" s="93"/>
      <c r="C148" s="91"/>
      <c r="D148" s="80">
        <f>SUMIFS('февраль 2024'!$G$6:$G$1413,'февраль 2024'!$D$6:$D$1413,$B148,'февраль 2024'!$J$6:$J$1413,D$1)</f>
        <v>0</v>
      </c>
      <c r="E148" s="80">
        <f>SUMIFS('февраль 2024'!$G$6:$G$1413,'февраль 2024'!$D$6:$D$1413,$B148,'февраль 2024'!$J$6:$J$1413,E$1)</f>
        <v>0</v>
      </c>
      <c r="F148" s="80">
        <f>SUMIFS('февраль 2024'!$G$6:$G$1413,'февраль 2024'!$D$6:$D$1413,$B148,'февраль 2024'!$J$6:$J$1413,F$1)</f>
        <v>0</v>
      </c>
      <c r="G148" s="80">
        <f>SUMIFS('февраль 2024'!$G$6:$G$1413,'февраль 2024'!$D$6:$D$1413,$B148,'февраль 2024'!$J$6:$J$1413,G$1)</f>
        <v>0</v>
      </c>
      <c r="H148" s="80">
        <f>SUMIFS('февраль 2024'!$G$6:$G$1413,'февраль 2024'!$D$6:$D$1413,$B148,'февраль 2024'!$J$6:$J$1413,H$1)</f>
        <v>0</v>
      </c>
      <c r="I148" s="80">
        <f>SUMIFS('февраль 2024'!$G$6:$G$1413,'февраль 2024'!$D$6:$D$1413,$B148,'февраль 2024'!$J$6:$J$1413,I$1)</f>
        <v>0</v>
      </c>
      <c r="J148" s="80">
        <f>SUMIFS('февраль 2024'!$G$6:$G$1413,'февраль 2024'!$D$6:$D$1413,$B148,'февраль 2024'!$J$6:$J$1413,J$1)</f>
        <v>0</v>
      </c>
      <c r="K148" s="80">
        <f>SUMIFS('февраль 2024'!$G$6:$G$1413,'февраль 2024'!$D$6:$D$1413,$B148,'февраль 2024'!$J$6:$J$1413,K$1)</f>
        <v>0</v>
      </c>
      <c r="L148" s="80">
        <f>SUMIFS('февраль 2024'!$G$6:$G$1413,'февраль 2024'!$D$6:$D$1413,$B148,'февраль 2024'!$J$6:$J$1413,L$1)</f>
        <v>0</v>
      </c>
      <c r="M148" s="80">
        <f>SUMIFS('февраль 2024'!$G$6:$G$1413,'февраль 2024'!$D$6:$D$1413,$B148,'февраль 2024'!$J$6:$J$1413,M$1)</f>
        <v>0</v>
      </c>
      <c r="N148" s="80">
        <f>SUMIFS('февраль 2024'!$G$6:$G$1413,'февраль 2024'!$D$6:$D$1413,$B148,'февраль 2024'!$J$6:$J$1413,N$1)</f>
        <v>0</v>
      </c>
      <c r="O148" s="80">
        <f>SUMIFS('февраль 2024'!$G$6:$G$1413,'февраль 2024'!$D$6:$D$1413,$B148,'февраль 2024'!$J$6:$J$1413,O$1)</f>
        <v>0</v>
      </c>
      <c r="P148" s="80">
        <f>SUMIFS('февраль 2024'!$G$6:$G$1413,'февраль 2024'!$D$6:$D$1413,$B148,'февраль 2024'!$J$6:$J$1413,P$1)</f>
        <v>0</v>
      </c>
      <c r="Q148" s="80">
        <f>SUMIFS('февраль 2024'!$G$6:$G$1413,'февраль 2024'!$D$6:$D$1413,$B148,'февраль 2024'!$J$6:$J$1413,Q$1)</f>
        <v>0</v>
      </c>
      <c r="R148" s="80">
        <f>SUMIFS('февраль 2024'!$G$6:$G$1413,'февраль 2024'!$D$6:$D$1413,$B148,'февраль 2024'!$J$6:$J$1413,R$1)</f>
        <v>0</v>
      </c>
      <c r="S148" s="80">
        <f>SUMIFS('февраль 2024'!$G$6:$G$1413,'февраль 2024'!$D$6:$D$1413,$B148,'февраль 2024'!$J$6:$J$1413,S$1)</f>
        <v>0</v>
      </c>
      <c r="T148" s="80">
        <f>SUMIFS('февраль 2024'!$G$6:$G$1413,'февраль 2024'!$D$6:$D$1413,$B148,'февраль 2024'!$J$6:$J$1413,T$1)</f>
        <v>0</v>
      </c>
      <c r="U148" s="80">
        <f>SUMIFS('февраль 2024'!$G$6:$G$1413,'февраль 2024'!$D$6:$D$1413,$B148,'февраль 2024'!$J$6:$J$1413,U$1)</f>
        <v>0</v>
      </c>
      <c r="V148" s="80">
        <f>SUMIFS('февраль 2024'!$G$6:$G$1413,'февраль 2024'!$D$6:$D$1413,$B148,'февраль 2024'!$J$6:$J$1413,V$1)</f>
        <v>0</v>
      </c>
      <c r="W148" s="80">
        <f>SUMIFS('февраль 2024'!$G$6:$G$1413,'февраль 2024'!$D$6:$D$1413,$B148,'февраль 2024'!$J$6:$J$1413,W$1)</f>
        <v>0</v>
      </c>
      <c r="X148" s="80">
        <f>SUMIFS('февраль 2024'!$G$6:$G$1413,'февраль 2024'!$D$6:$D$1413,$B148,'февраль 2024'!$J$6:$J$1413,X$1)</f>
        <v>0</v>
      </c>
      <c r="Y148" s="80">
        <f>SUMIFS('февраль 2024'!$G$6:$G$1413,'февраль 2024'!$D$6:$D$1413,$B148,'февраль 2024'!$J$6:$J$1413,Y$1)</f>
        <v>0</v>
      </c>
      <c r="Z148" s="80">
        <f>SUMIFS('февраль 2024'!$G$6:$G$1413,'февраль 2024'!$D$6:$D$1413,$B148,'февраль 2024'!$J$6:$J$1413,Z$1)</f>
        <v>0</v>
      </c>
      <c r="AA148" s="80">
        <f>SUMIFS('февраль 2024'!$G$6:$G$1413,'февраль 2024'!$D$6:$D$1413,$B148,'февраль 2024'!$J$6:$J$1413,AA$1)</f>
        <v>0</v>
      </c>
      <c r="AB148" s="80">
        <f>SUMIFS('февраль 2024'!$G$6:$G$1413,'февраль 2024'!$D$6:$D$1413,$B148,'февраль 2024'!$J$6:$J$1413,AB$1)</f>
        <v>0</v>
      </c>
      <c r="AC148" s="80">
        <f>SUMIFS('февраль 2024'!$G$6:$G$1413,'февраль 2024'!$D$6:$D$1413,$B148,'февраль 2024'!$J$6:$J$1413,AC$1)</f>
        <v>0</v>
      </c>
      <c r="AD148" s="80">
        <f>SUMIFS('февраль 2024'!$G$6:$G$1413,'февраль 2024'!$D$6:$D$1413,$B148,'февраль 2024'!$J$6:$J$1413,AD$1)</f>
        <v>0</v>
      </c>
      <c r="AE148" s="80">
        <f>SUMIFS('февраль 2024'!$G$6:$G$1413,'февраль 2024'!$D$6:$D$1413,$B148,'февраль 2024'!$J$6:$J$1413,AE$1)</f>
        <v>0</v>
      </c>
      <c r="AF148" s="80">
        <f>SUMIFS('февраль 2024'!$G$6:$G$1413,'февраль 2024'!$D$6:$D$1413,$B148,'февраль 2024'!$J$6:$J$1413,AF$1)</f>
        <v>0</v>
      </c>
      <c r="AG148" s="80">
        <f>SUMIFS('февраль 2024'!$G$6:$G$1413,'февраль 2024'!$D$6:$D$1413,$B148,'февраль 2024'!$J$6:$J$1413,AG$1)</f>
        <v>0</v>
      </c>
      <c r="AH148" s="80">
        <f>SUMIFS('февраль 2024'!$G$6:$G$1413,'февраль 2024'!$D$6:$D$1413,$B148,'февраль 2024'!$J$6:$J$1413,AH$1)</f>
        <v>0</v>
      </c>
      <c r="AI148" s="87"/>
    </row>
    <row r="149" spans="2:35" ht="15" hidden="1" customHeight="1" x14ac:dyDescent="0.25">
      <c r="B149" s="89"/>
      <c r="C149" s="88"/>
      <c r="D149" s="80">
        <f>SUMIFS('февраль 2024'!$G$6:$G$1413,'февраль 2024'!$D$6:$D$1413,$B149,'февраль 2024'!$J$6:$J$1413,D$1)</f>
        <v>0</v>
      </c>
      <c r="E149" s="80">
        <f>SUMIFS('февраль 2024'!$G$6:$G$1413,'февраль 2024'!$D$6:$D$1413,$B149,'февраль 2024'!$J$6:$J$1413,E$1)</f>
        <v>0</v>
      </c>
      <c r="F149" s="80">
        <f>SUMIFS('февраль 2024'!$G$6:$G$1413,'февраль 2024'!$D$6:$D$1413,$B149,'февраль 2024'!$J$6:$J$1413,F$1)</f>
        <v>0</v>
      </c>
      <c r="G149" s="80">
        <f>SUMIFS('февраль 2024'!$G$6:$G$1413,'февраль 2024'!$D$6:$D$1413,$B149,'февраль 2024'!$J$6:$J$1413,G$1)</f>
        <v>0</v>
      </c>
      <c r="H149" s="80">
        <f>SUMIFS('февраль 2024'!$G$6:$G$1413,'февраль 2024'!$D$6:$D$1413,$B149,'февраль 2024'!$J$6:$J$1413,H$1)</f>
        <v>0</v>
      </c>
      <c r="I149" s="80">
        <f>SUMIFS('февраль 2024'!$G$6:$G$1413,'февраль 2024'!$D$6:$D$1413,$B149,'февраль 2024'!$J$6:$J$1413,I$1)</f>
        <v>0</v>
      </c>
      <c r="J149" s="80">
        <f>SUMIFS('февраль 2024'!$G$6:$G$1413,'февраль 2024'!$D$6:$D$1413,$B149,'февраль 2024'!$J$6:$J$1413,J$1)</f>
        <v>0</v>
      </c>
      <c r="K149" s="80">
        <f>SUMIFS('февраль 2024'!$G$6:$G$1413,'февраль 2024'!$D$6:$D$1413,$B149,'февраль 2024'!$J$6:$J$1413,K$1)</f>
        <v>0</v>
      </c>
      <c r="L149" s="80">
        <f>SUMIFS('февраль 2024'!$G$6:$G$1413,'февраль 2024'!$D$6:$D$1413,$B149,'февраль 2024'!$J$6:$J$1413,L$1)</f>
        <v>0</v>
      </c>
      <c r="M149" s="80">
        <f>SUMIFS('февраль 2024'!$G$6:$G$1413,'февраль 2024'!$D$6:$D$1413,$B149,'февраль 2024'!$J$6:$J$1413,M$1)</f>
        <v>0</v>
      </c>
      <c r="N149" s="80">
        <f>SUMIFS('февраль 2024'!$G$6:$G$1413,'февраль 2024'!$D$6:$D$1413,$B149,'февраль 2024'!$J$6:$J$1413,N$1)</f>
        <v>0</v>
      </c>
      <c r="O149" s="80">
        <f>SUMIFS('февраль 2024'!$G$6:$G$1413,'февраль 2024'!$D$6:$D$1413,$B149,'февраль 2024'!$J$6:$J$1413,O$1)</f>
        <v>0</v>
      </c>
      <c r="P149" s="80">
        <f>SUMIFS('февраль 2024'!$G$6:$G$1413,'февраль 2024'!$D$6:$D$1413,$B149,'февраль 2024'!$J$6:$J$1413,P$1)</f>
        <v>0</v>
      </c>
      <c r="Q149" s="80">
        <f>SUMIFS('февраль 2024'!$G$6:$G$1413,'февраль 2024'!$D$6:$D$1413,$B149,'февраль 2024'!$J$6:$J$1413,Q$1)</f>
        <v>0</v>
      </c>
      <c r="R149" s="80">
        <f>SUMIFS('февраль 2024'!$G$6:$G$1413,'февраль 2024'!$D$6:$D$1413,$B149,'февраль 2024'!$J$6:$J$1413,R$1)</f>
        <v>0</v>
      </c>
      <c r="S149" s="80">
        <f>SUMIFS('февраль 2024'!$G$6:$G$1413,'февраль 2024'!$D$6:$D$1413,$B149,'февраль 2024'!$J$6:$J$1413,S$1)</f>
        <v>0</v>
      </c>
      <c r="T149" s="80">
        <f>SUMIFS('февраль 2024'!$G$6:$G$1413,'февраль 2024'!$D$6:$D$1413,$B149,'февраль 2024'!$J$6:$J$1413,T$1)</f>
        <v>0</v>
      </c>
      <c r="U149" s="80">
        <f>SUMIFS('февраль 2024'!$G$6:$G$1413,'февраль 2024'!$D$6:$D$1413,$B149,'февраль 2024'!$J$6:$J$1413,U$1)</f>
        <v>0</v>
      </c>
      <c r="V149" s="80">
        <f>SUMIFS('февраль 2024'!$G$6:$G$1413,'февраль 2024'!$D$6:$D$1413,$B149,'февраль 2024'!$J$6:$J$1413,V$1)</f>
        <v>0</v>
      </c>
      <c r="W149" s="80">
        <f>SUMIFS('февраль 2024'!$G$6:$G$1413,'февраль 2024'!$D$6:$D$1413,$B149,'февраль 2024'!$J$6:$J$1413,W$1)</f>
        <v>0</v>
      </c>
      <c r="X149" s="80">
        <f>SUMIFS('февраль 2024'!$G$6:$G$1413,'февраль 2024'!$D$6:$D$1413,$B149,'февраль 2024'!$J$6:$J$1413,X$1)</f>
        <v>0</v>
      </c>
      <c r="Y149" s="80">
        <f>SUMIFS('февраль 2024'!$G$6:$G$1413,'февраль 2024'!$D$6:$D$1413,$B149,'февраль 2024'!$J$6:$J$1413,Y$1)</f>
        <v>0</v>
      </c>
      <c r="Z149" s="80">
        <f>SUMIFS('февраль 2024'!$G$6:$G$1413,'февраль 2024'!$D$6:$D$1413,$B149,'февраль 2024'!$J$6:$J$1413,Z$1)</f>
        <v>0</v>
      </c>
      <c r="AA149" s="80">
        <f>SUMIFS('февраль 2024'!$G$6:$G$1413,'февраль 2024'!$D$6:$D$1413,$B149,'февраль 2024'!$J$6:$J$1413,AA$1)</f>
        <v>0</v>
      </c>
      <c r="AB149" s="80">
        <f>SUMIFS('февраль 2024'!$G$6:$G$1413,'февраль 2024'!$D$6:$D$1413,$B149,'февраль 2024'!$J$6:$J$1413,AB$1)</f>
        <v>0</v>
      </c>
      <c r="AC149" s="80">
        <f>SUMIFS('февраль 2024'!$G$6:$G$1413,'февраль 2024'!$D$6:$D$1413,$B149,'февраль 2024'!$J$6:$J$1413,AC$1)</f>
        <v>0</v>
      </c>
      <c r="AD149" s="80">
        <f>SUMIFS('февраль 2024'!$G$6:$G$1413,'февраль 2024'!$D$6:$D$1413,$B149,'февраль 2024'!$J$6:$J$1413,AD$1)</f>
        <v>0</v>
      </c>
      <c r="AE149" s="80">
        <f>SUMIFS('февраль 2024'!$G$6:$G$1413,'февраль 2024'!$D$6:$D$1413,$B149,'февраль 2024'!$J$6:$J$1413,AE$1)</f>
        <v>0</v>
      </c>
      <c r="AF149" s="80">
        <f>SUMIFS('февраль 2024'!$G$6:$G$1413,'февраль 2024'!$D$6:$D$1413,$B149,'февраль 2024'!$J$6:$J$1413,AF$1)</f>
        <v>0</v>
      </c>
      <c r="AG149" s="80">
        <f>SUMIFS('февраль 2024'!$G$6:$G$1413,'февраль 2024'!$D$6:$D$1413,$B149,'февраль 2024'!$J$6:$J$1413,AG$1)</f>
        <v>0</v>
      </c>
      <c r="AH149" s="80">
        <f>SUMIFS('февраль 2024'!$G$6:$G$1413,'февраль 2024'!$D$6:$D$1413,$B149,'февраль 2024'!$J$6:$J$1413,AH$1)</f>
        <v>0</v>
      </c>
      <c r="AI149" s="87"/>
    </row>
    <row r="150" spans="2:35" ht="15" hidden="1" customHeight="1" x14ac:dyDescent="0.25">
      <c r="B150" s="92"/>
      <c r="C150" s="91"/>
      <c r="D150" s="80">
        <f>SUMIFS('февраль 2024'!$G$6:$G$1413,'февраль 2024'!$D$6:$D$1413,$B150,'февраль 2024'!$J$6:$J$1413,D$1)</f>
        <v>0</v>
      </c>
      <c r="E150" s="80">
        <f>SUMIFS('февраль 2024'!$G$6:$G$1413,'февраль 2024'!$D$6:$D$1413,$B150,'февраль 2024'!$J$6:$J$1413,E$1)</f>
        <v>0</v>
      </c>
      <c r="F150" s="80">
        <f>SUMIFS('февраль 2024'!$G$6:$G$1413,'февраль 2024'!$D$6:$D$1413,$B150,'февраль 2024'!$J$6:$J$1413,F$1)</f>
        <v>0</v>
      </c>
      <c r="G150" s="80">
        <f>SUMIFS('февраль 2024'!$G$6:$G$1413,'февраль 2024'!$D$6:$D$1413,$B150,'февраль 2024'!$J$6:$J$1413,G$1)</f>
        <v>0</v>
      </c>
      <c r="H150" s="80">
        <f>SUMIFS('февраль 2024'!$G$6:$G$1413,'февраль 2024'!$D$6:$D$1413,$B150,'февраль 2024'!$J$6:$J$1413,H$1)</f>
        <v>0</v>
      </c>
      <c r="I150" s="80">
        <f>SUMIFS('февраль 2024'!$G$6:$G$1413,'февраль 2024'!$D$6:$D$1413,$B150,'февраль 2024'!$J$6:$J$1413,I$1)</f>
        <v>0</v>
      </c>
      <c r="J150" s="80">
        <f>SUMIFS('февраль 2024'!$G$6:$G$1413,'февраль 2024'!$D$6:$D$1413,$B150,'февраль 2024'!$J$6:$J$1413,J$1)</f>
        <v>0</v>
      </c>
      <c r="K150" s="80">
        <f>SUMIFS('февраль 2024'!$G$6:$G$1413,'февраль 2024'!$D$6:$D$1413,$B150,'февраль 2024'!$J$6:$J$1413,K$1)</f>
        <v>0</v>
      </c>
      <c r="L150" s="80">
        <f>SUMIFS('февраль 2024'!$G$6:$G$1413,'февраль 2024'!$D$6:$D$1413,$B150,'февраль 2024'!$J$6:$J$1413,L$1)</f>
        <v>0</v>
      </c>
      <c r="M150" s="80">
        <f>SUMIFS('февраль 2024'!$G$6:$G$1413,'февраль 2024'!$D$6:$D$1413,$B150,'февраль 2024'!$J$6:$J$1413,M$1)</f>
        <v>0</v>
      </c>
      <c r="N150" s="80">
        <f>SUMIFS('февраль 2024'!$G$6:$G$1413,'февраль 2024'!$D$6:$D$1413,$B150,'февраль 2024'!$J$6:$J$1413,N$1)</f>
        <v>0</v>
      </c>
      <c r="O150" s="80">
        <f>SUMIFS('февраль 2024'!$G$6:$G$1413,'февраль 2024'!$D$6:$D$1413,$B150,'февраль 2024'!$J$6:$J$1413,O$1)</f>
        <v>0</v>
      </c>
      <c r="P150" s="80">
        <f>SUMIFS('февраль 2024'!$G$6:$G$1413,'февраль 2024'!$D$6:$D$1413,$B150,'февраль 2024'!$J$6:$J$1413,P$1)</f>
        <v>0</v>
      </c>
      <c r="Q150" s="80">
        <f>SUMIFS('февраль 2024'!$G$6:$G$1413,'февраль 2024'!$D$6:$D$1413,$B150,'февраль 2024'!$J$6:$J$1413,Q$1)</f>
        <v>0</v>
      </c>
      <c r="R150" s="80">
        <f>SUMIFS('февраль 2024'!$G$6:$G$1413,'февраль 2024'!$D$6:$D$1413,$B150,'февраль 2024'!$J$6:$J$1413,R$1)</f>
        <v>0</v>
      </c>
      <c r="S150" s="80">
        <f>SUMIFS('февраль 2024'!$G$6:$G$1413,'февраль 2024'!$D$6:$D$1413,$B150,'февраль 2024'!$J$6:$J$1413,S$1)</f>
        <v>0</v>
      </c>
      <c r="T150" s="80">
        <f>SUMIFS('февраль 2024'!$G$6:$G$1413,'февраль 2024'!$D$6:$D$1413,$B150,'февраль 2024'!$J$6:$J$1413,T$1)</f>
        <v>0</v>
      </c>
      <c r="U150" s="80">
        <f>SUMIFS('февраль 2024'!$G$6:$G$1413,'февраль 2024'!$D$6:$D$1413,$B150,'февраль 2024'!$J$6:$J$1413,U$1)</f>
        <v>0</v>
      </c>
      <c r="V150" s="80">
        <f>SUMIFS('февраль 2024'!$G$6:$G$1413,'февраль 2024'!$D$6:$D$1413,$B150,'февраль 2024'!$J$6:$J$1413,V$1)</f>
        <v>0</v>
      </c>
      <c r="W150" s="80">
        <f>SUMIFS('февраль 2024'!$G$6:$G$1413,'февраль 2024'!$D$6:$D$1413,$B150,'февраль 2024'!$J$6:$J$1413,W$1)</f>
        <v>0</v>
      </c>
      <c r="X150" s="80">
        <f>SUMIFS('февраль 2024'!$G$6:$G$1413,'февраль 2024'!$D$6:$D$1413,$B150,'февраль 2024'!$J$6:$J$1413,X$1)</f>
        <v>0</v>
      </c>
      <c r="Y150" s="80">
        <f>SUMIFS('февраль 2024'!$G$6:$G$1413,'февраль 2024'!$D$6:$D$1413,$B150,'февраль 2024'!$J$6:$J$1413,Y$1)</f>
        <v>0</v>
      </c>
      <c r="Z150" s="80">
        <f>SUMIFS('февраль 2024'!$G$6:$G$1413,'февраль 2024'!$D$6:$D$1413,$B150,'февраль 2024'!$J$6:$J$1413,Z$1)</f>
        <v>0</v>
      </c>
      <c r="AA150" s="80">
        <f>SUMIFS('февраль 2024'!$G$6:$G$1413,'февраль 2024'!$D$6:$D$1413,$B150,'февраль 2024'!$J$6:$J$1413,AA$1)</f>
        <v>0</v>
      </c>
      <c r="AB150" s="80">
        <f>SUMIFS('февраль 2024'!$G$6:$G$1413,'февраль 2024'!$D$6:$D$1413,$B150,'февраль 2024'!$J$6:$J$1413,AB$1)</f>
        <v>0</v>
      </c>
      <c r="AC150" s="80">
        <f>SUMIFS('февраль 2024'!$G$6:$G$1413,'февраль 2024'!$D$6:$D$1413,$B150,'февраль 2024'!$J$6:$J$1413,AC$1)</f>
        <v>0</v>
      </c>
      <c r="AD150" s="80">
        <f>SUMIFS('февраль 2024'!$G$6:$G$1413,'февраль 2024'!$D$6:$D$1413,$B150,'февраль 2024'!$J$6:$J$1413,AD$1)</f>
        <v>0</v>
      </c>
      <c r="AE150" s="80">
        <f>SUMIFS('февраль 2024'!$G$6:$G$1413,'февраль 2024'!$D$6:$D$1413,$B150,'февраль 2024'!$J$6:$J$1413,AE$1)</f>
        <v>0</v>
      </c>
      <c r="AF150" s="80">
        <f>SUMIFS('февраль 2024'!$G$6:$G$1413,'февраль 2024'!$D$6:$D$1413,$B150,'февраль 2024'!$J$6:$J$1413,AF$1)</f>
        <v>0</v>
      </c>
      <c r="AG150" s="80">
        <f>SUMIFS('февраль 2024'!$G$6:$G$1413,'февраль 2024'!$D$6:$D$1413,$B150,'февраль 2024'!$J$6:$J$1413,AG$1)</f>
        <v>0</v>
      </c>
      <c r="AH150" s="80">
        <f>SUMIFS('февраль 2024'!$G$6:$G$1413,'февраль 2024'!$D$6:$D$1413,$B150,'февраль 2024'!$J$6:$J$1413,AH$1)</f>
        <v>0</v>
      </c>
      <c r="AI150" s="87"/>
    </row>
    <row r="151" spans="2:35" ht="15" hidden="1" customHeight="1" x14ac:dyDescent="0.25">
      <c r="B151" s="89"/>
      <c r="C151" s="91"/>
      <c r="D151" s="80">
        <f>SUMIFS('февраль 2024'!$G$6:$G$1413,'февраль 2024'!$D$6:$D$1413,$B151,'февраль 2024'!$J$6:$J$1413,D$1)</f>
        <v>0</v>
      </c>
      <c r="E151" s="80">
        <f>SUMIFS('февраль 2024'!$G$6:$G$1413,'февраль 2024'!$D$6:$D$1413,$B151,'февраль 2024'!$J$6:$J$1413,E$1)</f>
        <v>0</v>
      </c>
      <c r="F151" s="80">
        <f>SUMIFS('февраль 2024'!$G$6:$G$1413,'февраль 2024'!$D$6:$D$1413,$B151,'февраль 2024'!$J$6:$J$1413,F$1)</f>
        <v>0</v>
      </c>
      <c r="G151" s="80">
        <f>SUMIFS('февраль 2024'!$G$6:$G$1413,'февраль 2024'!$D$6:$D$1413,$B151,'февраль 2024'!$J$6:$J$1413,G$1)</f>
        <v>0</v>
      </c>
      <c r="H151" s="80">
        <f>SUMIFS('февраль 2024'!$G$6:$G$1413,'февраль 2024'!$D$6:$D$1413,$B151,'февраль 2024'!$J$6:$J$1413,H$1)</f>
        <v>0</v>
      </c>
      <c r="I151" s="80">
        <f>SUMIFS('февраль 2024'!$G$6:$G$1413,'февраль 2024'!$D$6:$D$1413,$B151,'февраль 2024'!$J$6:$J$1413,I$1)</f>
        <v>0</v>
      </c>
      <c r="J151" s="80">
        <f>SUMIFS('февраль 2024'!$G$6:$G$1413,'февраль 2024'!$D$6:$D$1413,$B151,'февраль 2024'!$J$6:$J$1413,J$1)</f>
        <v>0</v>
      </c>
      <c r="K151" s="80">
        <f>SUMIFS('февраль 2024'!$G$6:$G$1413,'февраль 2024'!$D$6:$D$1413,$B151,'февраль 2024'!$J$6:$J$1413,K$1)</f>
        <v>0</v>
      </c>
      <c r="L151" s="80">
        <f>SUMIFS('февраль 2024'!$G$6:$G$1413,'февраль 2024'!$D$6:$D$1413,$B151,'февраль 2024'!$J$6:$J$1413,L$1)</f>
        <v>0</v>
      </c>
      <c r="M151" s="80">
        <f>SUMIFS('февраль 2024'!$G$6:$G$1413,'февраль 2024'!$D$6:$D$1413,$B151,'февраль 2024'!$J$6:$J$1413,M$1)</f>
        <v>0</v>
      </c>
      <c r="N151" s="80">
        <f>SUMIFS('февраль 2024'!$G$6:$G$1413,'февраль 2024'!$D$6:$D$1413,$B151,'февраль 2024'!$J$6:$J$1413,N$1)</f>
        <v>0</v>
      </c>
      <c r="O151" s="80">
        <f>SUMIFS('февраль 2024'!$G$6:$G$1413,'февраль 2024'!$D$6:$D$1413,$B151,'февраль 2024'!$J$6:$J$1413,O$1)</f>
        <v>0</v>
      </c>
      <c r="P151" s="80">
        <f>SUMIFS('февраль 2024'!$G$6:$G$1413,'февраль 2024'!$D$6:$D$1413,$B151,'февраль 2024'!$J$6:$J$1413,P$1)</f>
        <v>0</v>
      </c>
      <c r="Q151" s="80">
        <f>SUMIFS('февраль 2024'!$G$6:$G$1413,'февраль 2024'!$D$6:$D$1413,$B151,'февраль 2024'!$J$6:$J$1413,Q$1)</f>
        <v>0</v>
      </c>
      <c r="R151" s="80">
        <f>SUMIFS('февраль 2024'!$G$6:$G$1413,'февраль 2024'!$D$6:$D$1413,$B151,'февраль 2024'!$J$6:$J$1413,R$1)</f>
        <v>0</v>
      </c>
      <c r="S151" s="80">
        <f>SUMIFS('февраль 2024'!$G$6:$G$1413,'февраль 2024'!$D$6:$D$1413,$B151,'февраль 2024'!$J$6:$J$1413,S$1)</f>
        <v>0</v>
      </c>
      <c r="T151" s="80">
        <f>SUMIFS('февраль 2024'!$G$6:$G$1413,'февраль 2024'!$D$6:$D$1413,$B151,'февраль 2024'!$J$6:$J$1413,T$1)</f>
        <v>0</v>
      </c>
      <c r="U151" s="80">
        <f>SUMIFS('февраль 2024'!$G$6:$G$1413,'февраль 2024'!$D$6:$D$1413,$B151,'февраль 2024'!$J$6:$J$1413,U$1)</f>
        <v>0</v>
      </c>
      <c r="V151" s="80">
        <f>SUMIFS('февраль 2024'!$G$6:$G$1413,'февраль 2024'!$D$6:$D$1413,$B151,'февраль 2024'!$J$6:$J$1413,V$1)</f>
        <v>0</v>
      </c>
      <c r="W151" s="80">
        <f>SUMIFS('февраль 2024'!$G$6:$G$1413,'февраль 2024'!$D$6:$D$1413,$B151,'февраль 2024'!$J$6:$J$1413,W$1)</f>
        <v>0</v>
      </c>
      <c r="X151" s="80">
        <f>SUMIFS('февраль 2024'!$G$6:$G$1413,'февраль 2024'!$D$6:$D$1413,$B151,'февраль 2024'!$J$6:$J$1413,X$1)</f>
        <v>0</v>
      </c>
      <c r="Y151" s="80">
        <f>SUMIFS('февраль 2024'!$G$6:$G$1413,'февраль 2024'!$D$6:$D$1413,$B151,'февраль 2024'!$J$6:$J$1413,Y$1)</f>
        <v>0</v>
      </c>
      <c r="Z151" s="80">
        <f>SUMIFS('февраль 2024'!$G$6:$G$1413,'февраль 2024'!$D$6:$D$1413,$B151,'февраль 2024'!$J$6:$J$1413,Z$1)</f>
        <v>0</v>
      </c>
      <c r="AA151" s="80">
        <f>SUMIFS('февраль 2024'!$G$6:$G$1413,'февраль 2024'!$D$6:$D$1413,$B151,'февраль 2024'!$J$6:$J$1413,AA$1)</f>
        <v>0</v>
      </c>
      <c r="AB151" s="80">
        <f>SUMIFS('февраль 2024'!$G$6:$G$1413,'февраль 2024'!$D$6:$D$1413,$B151,'февраль 2024'!$J$6:$J$1413,AB$1)</f>
        <v>0</v>
      </c>
      <c r="AC151" s="80">
        <f>SUMIFS('февраль 2024'!$G$6:$G$1413,'февраль 2024'!$D$6:$D$1413,$B151,'февраль 2024'!$J$6:$J$1413,AC$1)</f>
        <v>0</v>
      </c>
      <c r="AD151" s="80">
        <f>SUMIFS('февраль 2024'!$G$6:$G$1413,'февраль 2024'!$D$6:$D$1413,$B151,'февраль 2024'!$J$6:$J$1413,AD$1)</f>
        <v>0</v>
      </c>
      <c r="AE151" s="80">
        <f>SUMIFS('февраль 2024'!$G$6:$G$1413,'февраль 2024'!$D$6:$D$1413,$B151,'февраль 2024'!$J$6:$J$1413,AE$1)</f>
        <v>0</v>
      </c>
      <c r="AF151" s="80">
        <f>SUMIFS('февраль 2024'!$G$6:$G$1413,'февраль 2024'!$D$6:$D$1413,$B151,'февраль 2024'!$J$6:$J$1413,AF$1)</f>
        <v>0</v>
      </c>
      <c r="AG151" s="80">
        <f>SUMIFS('февраль 2024'!$G$6:$G$1413,'февраль 2024'!$D$6:$D$1413,$B151,'февраль 2024'!$J$6:$J$1413,AG$1)</f>
        <v>0</v>
      </c>
      <c r="AH151" s="80">
        <f>SUMIFS('февраль 2024'!$G$6:$G$1413,'февраль 2024'!$D$6:$D$1413,$B151,'февраль 2024'!$J$6:$J$1413,AH$1)</f>
        <v>0</v>
      </c>
      <c r="AI151" s="87"/>
    </row>
    <row r="152" spans="2:35" ht="15" hidden="1" customHeight="1" x14ac:dyDescent="0.25">
      <c r="B152" s="89"/>
      <c r="C152" s="88"/>
      <c r="D152" s="80">
        <f>SUMIFS('февраль 2024'!$G$6:$G$1413,'февраль 2024'!$D$6:$D$1413,$B152,'февраль 2024'!$J$6:$J$1413,D$1)</f>
        <v>0</v>
      </c>
      <c r="E152" s="80">
        <f>SUMIFS('февраль 2024'!$G$6:$G$1413,'февраль 2024'!$D$6:$D$1413,$B152,'февраль 2024'!$J$6:$J$1413,E$1)</f>
        <v>0</v>
      </c>
      <c r="F152" s="80">
        <f>SUMIFS('февраль 2024'!$G$6:$G$1413,'февраль 2024'!$D$6:$D$1413,$B152,'февраль 2024'!$J$6:$J$1413,F$1)</f>
        <v>0</v>
      </c>
      <c r="G152" s="80">
        <f>SUMIFS('февраль 2024'!$G$6:$G$1413,'февраль 2024'!$D$6:$D$1413,$B152,'февраль 2024'!$J$6:$J$1413,G$1)</f>
        <v>0</v>
      </c>
      <c r="H152" s="80">
        <f>SUMIFS('февраль 2024'!$G$6:$G$1413,'февраль 2024'!$D$6:$D$1413,$B152,'февраль 2024'!$J$6:$J$1413,H$1)</f>
        <v>0</v>
      </c>
      <c r="I152" s="80">
        <f>SUMIFS('февраль 2024'!$G$6:$G$1413,'февраль 2024'!$D$6:$D$1413,$B152,'февраль 2024'!$J$6:$J$1413,I$1)</f>
        <v>0</v>
      </c>
      <c r="J152" s="80">
        <f>SUMIFS('февраль 2024'!$G$6:$G$1413,'февраль 2024'!$D$6:$D$1413,$B152,'февраль 2024'!$J$6:$J$1413,J$1)</f>
        <v>0</v>
      </c>
      <c r="K152" s="80">
        <f>SUMIFS('февраль 2024'!$G$6:$G$1413,'февраль 2024'!$D$6:$D$1413,$B152,'февраль 2024'!$J$6:$J$1413,K$1)</f>
        <v>0</v>
      </c>
      <c r="L152" s="80">
        <f>SUMIFS('февраль 2024'!$G$6:$G$1413,'февраль 2024'!$D$6:$D$1413,$B152,'февраль 2024'!$J$6:$J$1413,L$1)</f>
        <v>0</v>
      </c>
      <c r="M152" s="80">
        <f>SUMIFS('февраль 2024'!$G$6:$G$1413,'февраль 2024'!$D$6:$D$1413,$B152,'февраль 2024'!$J$6:$J$1413,M$1)</f>
        <v>0</v>
      </c>
      <c r="N152" s="80">
        <f>SUMIFS('февраль 2024'!$G$6:$G$1413,'февраль 2024'!$D$6:$D$1413,$B152,'февраль 2024'!$J$6:$J$1413,N$1)</f>
        <v>0</v>
      </c>
      <c r="O152" s="80">
        <f>SUMIFS('февраль 2024'!$G$6:$G$1413,'февраль 2024'!$D$6:$D$1413,$B152,'февраль 2024'!$J$6:$J$1413,O$1)</f>
        <v>0</v>
      </c>
      <c r="P152" s="80">
        <f>SUMIFS('февраль 2024'!$G$6:$G$1413,'февраль 2024'!$D$6:$D$1413,$B152,'февраль 2024'!$J$6:$J$1413,P$1)</f>
        <v>0</v>
      </c>
      <c r="Q152" s="80">
        <f>SUMIFS('февраль 2024'!$G$6:$G$1413,'февраль 2024'!$D$6:$D$1413,$B152,'февраль 2024'!$J$6:$J$1413,Q$1)</f>
        <v>0</v>
      </c>
      <c r="R152" s="80">
        <f>SUMIFS('февраль 2024'!$G$6:$G$1413,'февраль 2024'!$D$6:$D$1413,$B152,'февраль 2024'!$J$6:$J$1413,R$1)</f>
        <v>0</v>
      </c>
      <c r="S152" s="80">
        <f>SUMIFS('февраль 2024'!$G$6:$G$1413,'февраль 2024'!$D$6:$D$1413,$B152,'февраль 2024'!$J$6:$J$1413,S$1)</f>
        <v>0</v>
      </c>
      <c r="T152" s="80">
        <f>SUMIFS('февраль 2024'!$G$6:$G$1413,'февраль 2024'!$D$6:$D$1413,$B152,'февраль 2024'!$J$6:$J$1413,T$1)</f>
        <v>0</v>
      </c>
      <c r="U152" s="80">
        <f>SUMIFS('февраль 2024'!$G$6:$G$1413,'февраль 2024'!$D$6:$D$1413,$B152,'февраль 2024'!$J$6:$J$1413,U$1)</f>
        <v>0</v>
      </c>
      <c r="V152" s="80">
        <f>SUMIFS('февраль 2024'!$G$6:$G$1413,'февраль 2024'!$D$6:$D$1413,$B152,'февраль 2024'!$J$6:$J$1413,V$1)</f>
        <v>0</v>
      </c>
      <c r="W152" s="80">
        <f>SUMIFS('февраль 2024'!$G$6:$G$1413,'февраль 2024'!$D$6:$D$1413,$B152,'февраль 2024'!$J$6:$J$1413,W$1)</f>
        <v>0</v>
      </c>
      <c r="X152" s="80">
        <f>SUMIFS('февраль 2024'!$G$6:$G$1413,'февраль 2024'!$D$6:$D$1413,$B152,'февраль 2024'!$J$6:$J$1413,X$1)</f>
        <v>0</v>
      </c>
      <c r="Y152" s="80">
        <f>SUMIFS('февраль 2024'!$G$6:$G$1413,'февраль 2024'!$D$6:$D$1413,$B152,'февраль 2024'!$J$6:$J$1413,Y$1)</f>
        <v>0</v>
      </c>
      <c r="Z152" s="80">
        <f>SUMIFS('февраль 2024'!$G$6:$G$1413,'февраль 2024'!$D$6:$D$1413,$B152,'февраль 2024'!$J$6:$J$1413,Z$1)</f>
        <v>0</v>
      </c>
      <c r="AA152" s="80">
        <f>SUMIFS('февраль 2024'!$G$6:$G$1413,'февраль 2024'!$D$6:$D$1413,$B152,'февраль 2024'!$J$6:$J$1413,AA$1)</f>
        <v>0</v>
      </c>
      <c r="AB152" s="80">
        <f>SUMIFS('февраль 2024'!$G$6:$G$1413,'февраль 2024'!$D$6:$D$1413,$B152,'февраль 2024'!$J$6:$J$1413,AB$1)</f>
        <v>0</v>
      </c>
      <c r="AC152" s="80">
        <f>SUMIFS('февраль 2024'!$G$6:$G$1413,'февраль 2024'!$D$6:$D$1413,$B152,'февраль 2024'!$J$6:$J$1413,AC$1)</f>
        <v>0</v>
      </c>
      <c r="AD152" s="80">
        <f>SUMIFS('февраль 2024'!$G$6:$G$1413,'февраль 2024'!$D$6:$D$1413,$B152,'февраль 2024'!$J$6:$J$1413,AD$1)</f>
        <v>0</v>
      </c>
      <c r="AE152" s="80">
        <f>SUMIFS('февраль 2024'!$G$6:$G$1413,'февраль 2024'!$D$6:$D$1413,$B152,'февраль 2024'!$J$6:$J$1413,AE$1)</f>
        <v>0</v>
      </c>
      <c r="AF152" s="80">
        <f>SUMIFS('февраль 2024'!$G$6:$G$1413,'февраль 2024'!$D$6:$D$1413,$B152,'февраль 2024'!$J$6:$J$1413,AF$1)</f>
        <v>0</v>
      </c>
      <c r="AG152" s="80">
        <f>SUMIFS('февраль 2024'!$G$6:$G$1413,'февраль 2024'!$D$6:$D$1413,$B152,'февраль 2024'!$J$6:$J$1413,AG$1)</f>
        <v>0</v>
      </c>
      <c r="AH152" s="80">
        <f>SUMIFS('февраль 2024'!$G$6:$G$1413,'февраль 2024'!$D$6:$D$1413,$B152,'февраль 2024'!$J$6:$J$1413,AH$1)</f>
        <v>0</v>
      </c>
      <c r="AI152" s="87"/>
    </row>
    <row r="153" spans="2:35" ht="15" hidden="1" customHeight="1" x14ac:dyDescent="0.25">
      <c r="B153" s="89"/>
      <c r="C153" s="88"/>
      <c r="D153" s="80">
        <f>SUMIFS('февраль 2024'!$G$6:$G$1413,'февраль 2024'!$D$6:$D$1413,$B153,'февраль 2024'!$J$6:$J$1413,D$1)</f>
        <v>0</v>
      </c>
      <c r="E153" s="80">
        <f>SUMIFS('февраль 2024'!$G$6:$G$1413,'февраль 2024'!$D$6:$D$1413,$B153,'февраль 2024'!$J$6:$J$1413,E$1)</f>
        <v>0</v>
      </c>
      <c r="F153" s="80">
        <f>SUMIFS('февраль 2024'!$G$6:$G$1413,'февраль 2024'!$D$6:$D$1413,$B153,'февраль 2024'!$J$6:$J$1413,F$1)</f>
        <v>0</v>
      </c>
      <c r="G153" s="80">
        <f>SUMIFS('февраль 2024'!$G$6:$G$1413,'февраль 2024'!$D$6:$D$1413,$B153,'февраль 2024'!$J$6:$J$1413,G$1)</f>
        <v>0</v>
      </c>
      <c r="H153" s="80">
        <f>SUMIFS('февраль 2024'!$G$6:$G$1413,'февраль 2024'!$D$6:$D$1413,$B153,'февраль 2024'!$J$6:$J$1413,H$1)</f>
        <v>0</v>
      </c>
      <c r="I153" s="80">
        <f>SUMIFS('февраль 2024'!$G$6:$G$1413,'февраль 2024'!$D$6:$D$1413,$B153,'февраль 2024'!$J$6:$J$1413,I$1)</f>
        <v>0</v>
      </c>
      <c r="J153" s="80">
        <f>SUMIFS('февраль 2024'!$G$6:$G$1413,'февраль 2024'!$D$6:$D$1413,$B153,'февраль 2024'!$J$6:$J$1413,J$1)</f>
        <v>0</v>
      </c>
      <c r="K153" s="80">
        <f>SUMIFS('февраль 2024'!$G$6:$G$1413,'февраль 2024'!$D$6:$D$1413,$B153,'февраль 2024'!$J$6:$J$1413,K$1)</f>
        <v>0</v>
      </c>
      <c r="L153" s="80">
        <f>SUMIFS('февраль 2024'!$G$6:$G$1413,'февраль 2024'!$D$6:$D$1413,$B153,'февраль 2024'!$J$6:$J$1413,L$1)</f>
        <v>0</v>
      </c>
      <c r="M153" s="80">
        <f>SUMIFS('февраль 2024'!$G$6:$G$1413,'февраль 2024'!$D$6:$D$1413,$B153,'февраль 2024'!$J$6:$J$1413,M$1)</f>
        <v>0</v>
      </c>
      <c r="N153" s="80">
        <f>SUMIFS('февраль 2024'!$G$6:$G$1413,'февраль 2024'!$D$6:$D$1413,$B153,'февраль 2024'!$J$6:$J$1413,N$1)</f>
        <v>0</v>
      </c>
      <c r="O153" s="80">
        <f>SUMIFS('февраль 2024'!$G$6:$G$1413,'февраль 2024'!$D$6:$D$1413,$B153,'февраль 2024'!$J$6:$J$1413,O$1)</f>
        <v>0</v>
      </c>
      <c r="P153" s="80">
        <f>SUMIFS('февраль 2024'!$G$6:$G$1413,'февраль 2024'!$D$6:$D$1413,$B153,'февраль 2024'!$J$6:$J$1413,P$1)</f>
        <v>0</v>
      </c>
      <c r="Q153" s="80">
        <f>SUMIFS('февраль 2024'!$G$6:$G$1413,'февраль 2024'!$D$6:$D$1413,$B153,'февраль 2024'!$J$6:$J$1413,Q$1)</f>
        <v>0</v>
      </c>
      <c r="R153" s="80">
        <f>SUMIFS('февраль 2024'!$G$6:$G$1413,'февраль 2024'!$D$6:$D$1413,$B153,'февраль 2024'!$J$6:$J$1413,R$1)</f>
        <v>0</v>
      </c>
      <c r="S153" s="80">
        <f>SUMIFS('февраль 2024'!$G$6:$G$1413,'февраль 2024'!$D$6:$D$1413,$B153,'февраль 2024'!$J$6:$J$1413,S$1)</f>
        <v>0</v>
      </c>
      <c r="T153" s="80">
        <f>SUMIFS('февраль 2024'!$G$6:$G$1413,'февраль 2024'!$D$6:$D$1413,$B153,'февраль 2024'!$J$6:$J$1413,T$1)</f>
        <v>0</v>
      </c>
      <c r="U153" s="80">
        <f>SUMIFS('февраль 2024'!$G$6:$G$1413,'февраль 2024'!$D$6:$D$1413,$B153,'февраль 2024'!$J$6:$J$1413,U$1)</f>
        <v>0</v>
      </c>
      <c r="V153" s="80">
        <f>SUMIFS('февраль 2024'!$G$6:$G$1413,'февраль 2024'!$D$6:$D$1413,$B153,'февраль 2024'!$J$6:$J$1413,V$1)</f>
        <v>0</v>
      </c>
      <c r="W153" s="80">
        <f>SUMIFS('февраль 2024'!$G$6:$G$1413,'февраль 2024'!$D$6:$D$1413,$B153,'февраль 2024'!$J$6:$J$1413,W$1)</f>
        <v>0</v>
      </c>
      <c r="X153" s="80">
        <f>SUMIFS('февраль 2024'!$G$6:$G$1413,'февраль 2024'!$D$6:$D$1413,$B153,'февраль 2024'!$J$6:$J$1413,X$1)</f>
        <v>0</v>
      </c>
      <c r="Y153" s="80">
        <f>SUMIFS('февраль 2024'!$G$6:$G$1413,'февраль 2024'!$D$6:$D$1413,$B153,'февраль 2024'!$J$6:$J$1413,Y$1)</f>
        <v>0</v>
      </c>
      <c r="Z153" s="80">
        <f>SUMIFS('февраль 2024'!$G$6:$G$1413,'февраль 2024'!$D$6:$D$1413,$B153,'февраль 2024'!$J$6:$J$1413,Z$1)</f>
        <v>0</v>
      </c>
      <c r="AA153" s="80">
        <f>SUMIFS('февраль 2024'!$G$6:$G$1413,'февраль 2024'!$D$6:$D$1413,$B153,'февраль 2024'!$J$6:$J$1413,AA$1)</f>
        <v>0</v>
      </c>
      <c r="AB153" s="80">
        <f>SUMIFS('февраль 2024'!$G$6:$G$1413,'февраль 2024'!$D$6:$D$1413,$B153,'февраль 2024'!$J$6:$J$1413,AB$1)</f>
        <v>0</v>
      </c>
      <c r="AC153" s="80">
        <f>SUMIFS('февраль 2024'!$G$6:$G$1413,'февраль 2024'!$D$6:$D$1413,$B153,'февраль 2024'!$J$6:$J$1413,AC$1)</f>
        <v>0</v>
      </c>
      <c r="AD153" s="80">
        <f>SUMIFS('февраль 2024'!$G$6:$G$1413,'февраль 2024'!$D$6:$D$1413,$B153,'февраль 2024'!$J$6:$J$1413,AD$1)</f>
        <v>0</v>
      </c>
      <c r="AE153" s="80">
        <f>SUMIFS('февраль 2024'!$G$6:$G$1413,'февраль 2024'!$D$6:$D$1413,$B153,'февраль 2024'!$J$6:$J$1413,AE$1)</f>
        <v>0</v>
      </c>
      <c r="AF153" s="80">
        <f>SUMIFS('февраль 2024'!$G$6:$G$1413,'февраль 2024'!$D$6:$D$1413,$B153,'февраль 2024'!$J$6:$J$1413,AF$1)</f>
        <v>0</v>
      </c>
      <c r="AG153" s="80">
        <f>SUMIFS('февраль 2024'!$G$6:$G$1413,'февраль 2024'!$D$6:$D$1413,$B153,'февраль 2024'!$J$6:$J$1413,AG$1)</f>
        <v>0</v>
      </c>
      <c r="AH153" s="80">
        <f>SUMIFS('февраль 2024'!$G$6:$G$1413,'февраль 2024'!$D$6:$D$1413,$B153,'февраль 2024'!$J$6:$J$1413,AH$1)</f>
        <v>0</v>
      </c>
      <c r="AI153" s="87"/>
    </row>
    <row r="154" spans="2:35" ht="15" hidden="1" customHeight="1" x14ac:dyDescent="0.25">
      <c r="B154" s="89"/>
      <c r="C154" s="88"/>
      <c r="D154" s="80">
        <f>SUMIFS('февраль 2024'!$G$6:$G$1413,'февраль 2024'!$D$6:$D$1413,$B154,'февраль 2024'!$J$6:$J$1413,D$1)</f>
        <v>0</v>
      </c>
      <c r="E154" s="80">
        <f>SUMIFS('февраль 2024'!$G$6:$G$1413,'февраль 2024'!$D$6:$D$1413,$B154,'февраль 2024'!$J$6:$J$1413,E$1)</f>
        <v>0</v>
      </c>
      <c r="F154" s="80">
        <f>SUMIFS('февраль 2024'!$G$6:$G$1413,'февраль 2024'!$D$6:$D$1413,$B154,'февраль 2024'!$J$6:$J$1413,F$1)</f>
        <v>0</v>
      </c>
      <c r="G154" s="80">
        <f>SUMIFS('февраль 2024'!$G$6:$G$1413,'февраль 2024'!$D$6:$D$1413,$B154,'февраль 2024'!$J$6:$J$1413,G$1)</f>
        <v>0</v>
      </c>
      <c r="H154" s="80">
        <f>SUMIFS('февраль 2024'!$G$6:$G$1413,'февраль 2024'!$D$6:$D$1413,$B154,'февраль 2024'!$J$6:$J$1413,H$1)</f>
        <v>0</v>
      </c>
      <c r="I154" s="80">
        <f>SUMIFS('февраль 2024'!$G$6:$G$1413,'февраль 2024'!$D$6:$D$1413,$B154,'февраль 2024'!$J$6:$J$1413,I$1)</f>
        <v>0</v>
      </c>
      <c r="J154" s="80">
        <f>SUMIFS('февраль 2024'!$G$6:$G$1413,'февраль 2024'!$D$6:$D$1413,$B154,'февраль 2024'!$J$6:$J$1413,J$1)</f>
        <v>0</v>
      </c>
      <c r="K154" s="80">
        <f>SUMIFS('февраль 2024'!$G$6:$G$1413,'февраль 2024'!$D$6:$D$1413,$B154,'февраль 2024'!$J$6:$J$1413,K$1)</f>
        <v>0</v>
      </c>
      <c r="L154" s="80">
        <f>SUMIFS('февраль 2024'!$G$6:$G$1413,'февраль 2024'!$D$6:$D$1413,$B154,'февраль 2024'!$J$6:$J$1413,L$1)</f>
        <v>0</v>
      </c>
      <c r="M154" s="80">
        <f>SUMIFS('февраль 2024'!$G$6:$G$1413,'февраль 2024'!$D$6:$D$1413,$B154,'февраль 2024'!$J$6:$J$1413,M$1)</f>
        <v>0</v>
      </c>
      <c r="N154" s="80">
        <f>SUMIFS('февраль 2024'!$G$6:$G$1413,'февраль 2024'!$D$6:$D$1413,$B154,'февраль 2024'!$J$6:$J$1413,N$1)</f>
        <v>0</v>
      </c>
      <c r="O154" s="80">
        <f>SUMIFS('февраль 2024'!$G$6:$G$1413,'февраль 2024'!$D$6:$D$1413,$B154,'февраль 2024'!$J$6:$J$1413,O$1)</f>
        <v>0</v>
      </c>
      <c r="P154" s="80">
        <f>SUMIFS('февраль 2024'!$G$6:$G$1413,'февраль 2024'!$D$6:$D$1413,$B154,'февраль 2024'!$J$6:$J$1413,P$1)</f>
        <v>0</v>
      </c>
      <c r="Q154" s="80">
        <f>SUMIFS('февраль 2024'!$G$6:$G$1413,'февраль 2024'!$D$6:$D$1413,$B154,'февраль 2024'!$J$6:$J$1413,Q$1)</f>
        <v>0</v>
      </c>
      <c r="R154" s="80">
        <f>SUMIFS('февраль 2024'!$G$6:$G$1413,'февраль 2024'!$D$6:$D$1413,$B154,'февраль 2024'!$J$6:$J$1413,R$1)</f>
        <v>0</v>
      </c>
      <c r="S154" s="80">
        <f>SUMIFS('февраль 2024'!$G$6:$G$1413,'февраль 2024'!$D$6:$D$1413,$B154,'февраль 2024'!$J$6:$J$1413,S$1)</f>
        <v>0</v>
      </c>
      <c r="T154" s="80">
        <f>SUMIFS('февраль 2024'!$G$6:$G$1413,'февраль 2024'!$D$6:$D$1413,$B154,'февраль 2024'!$J$6:$J$1413,T$1)</f>
        <v>0</v>
      </c>
      <c r="U154" s="80">
        <f>SUMIFS('февраль 2024'!$G$6:$G$1413,'февраль 2024'!$D$6:$D$1413,$B154,'февраль 2024'!$J$6:$J$1413,U$1)</f>
        <v>0</v>
      </c>
      <c r="V154" s="80">
        <f>SUMIFS('февраль 2024'!$G$6:$G$1413,'февраль 2024'!$D$6:$D$1413,$B154,'февраль 2024'!$J$6:$J$1413,V$1)</f>
        <v>0</v>
      </c>
      <c r="W154" s="80">
        <f>SUMIFS('февраль 2024'!$G$6:$G$1413,'февраль 2024'!$D$6:$D$1413,$B154,'февраль 2024'!$J$6:$J$1413,W$1)</f>
        <v>0</v>
      </c>
      <c r="X154" s="80">
        <f>SUMIFS('февраль 2024'!$G$6:$G$1413,'февраль 2024'!$D$6:$D$1413,$B154,'февраль 2024'!$J$6:$J$1413,X$1)</f>
        <v>0</v>
      </c>
      <c r="Y154" s="80">
        <f>SUMIFS('февраль 2024'!$G$6:$G$1413,'февраль 2024'!$D$6:$D$1413,$B154,'февраль 2024'!$J$6:$J$1413,Y$1)</f>
        <v>0</v>
      </c>
      <c r="Z154" s="80">
        <f>SUMIFS('февраль 2024'!$G$6:$G$1413,'февраль 2024'!$D$6:$D$1413,$B154,'февраль 2024'!$J$6:$J$1413,Z$1)</f>
        <v>0</v>
      </c>
      <c r="AA154" s="80">
        <f>SUMIFS('февраль 2024'!$G$6:$G$1413,'февраль 2024'!$D$6:$D$1413,$B154,'февраль 2024'!$J$6:$J$1413,AA$1)</f>
        <v>0</v>
      </c>
      <c r="AB154" s="80">
        <f>SUMIFS('февраль 2024'!$G$6:$G$1413,'февраль 2024'!$D$6:$D$1413,$B154,'февраль 2024'!$J$6:$J$1413,AB$1)</f>
        <v>0</v>
      </c>
      <c r="AC154" s="80">
        <f>SUMIFS('февраль 2024'!$G$6:$G$1413,'февраль 2024'!$D$6:$D$1413,$B154,'февраль 2024'!$J$6:$J$1413,AC$1)</f>
        <v>0</v>
      </c>
      <c r="AD154" s="80">
        <f>SUMIFS('февраль 2024'!$G$6:$G$1413,'февраль 2024'!$D$6:$D$1413,$B154,'февраль 2024'!$J$6:$J$1413,AD$1)</f>
        <v>0</v>
      </c>
      <c r="AE154" s="80">
        <f>SUMIFS('февраль 2024'!$G$6:$G$1413,'февраль 2024'!$D$6:$D$1413,$B154,'февраль 2024'!$J$6:$J$1413,AE$1)</f>
        <v>0</v>
      </c>
      <c r="AF154" s="80">
        <f>SUMIFS('февраль 2024'!$G$6:$G$1413,'февраль 2024'!$D$6:$D$1413,$B154,'февраль 2024'!$J$6:$J$1413,AF$1)</f>
        <v>0</v>
      </c>
      <c r="AG154" s="80">
        <f>SUMIFS('февраль 2024'!$G$6:$G$1413,'февраль 2024'!$D$6:$D$1413,$B154,'февраль 2024'!$J$6:$J$1413,AG$1)</f>
        <v>0</v>
      </c>
      <c r="AH154" s="80">
        <f>SUMIFS('февраль 2024'!$G$6:$G$1413,'февраль 2024'!$D$6:$D$1413,$B154,'февраль 2024'!$J$6:$J$1413,AH$1)</f>
        <v>0</v>
      </c>
      <c r="AI154" s="87"/>
    </row>
    <row r="155" spans="2:35" ht="15" hidden="1" customHeight="1" x14ac:dyDescent="0.25">
      <c r="B155" s="93"/>
      <c r="C155" s="91"/>
      <c r="D155" s="80">
        <f>SUMIFS('февраль 2024'!$G$6:$G$1413,'февраль 2024'!$D$6:$D$1413,$B155,'февраль 2024'!$J$6:$J$1413,D$1)</f>
        <v>0</v>
      </c>
      <c r="E155" s="80">
        <f>SUMIFS('февраль 2024'!$G$6:$G$1413,'февраль 2024'!$D$6:$D$1413,$B155,'февраль 2024'!$J$6:$J$1413,E$1)</f>
        <v>0</v>
      </c>
      <c r="F155" s="80">
        <f>SUMIFS('февраль 2024'!$G$6:$G$1413,'февраль 2024'!$D$6:$D$1413,$B155,'февраль 2024'!$J$6:$J$1413,F$1)</f>
        <v>0</v>
      </c>
      <c r="G155" s="80">
        <f>SUMIFS('февраль 2024'!$G$6:$G$1413,'февраль 2024'!$D$6:$D$1413,$B155,'февраль 2024'!$J$6:$J$1413,G$1)</f>
        <v>0</v>
      </c>
      <c r="H155" s="80">
        <f>SUMIFS('февраль 2024'!$G$6:$G$1413,'февраль 2024'!$D$6:$D$1413,$B155,'февраль 2024'!$J$6:$J$1413,H$1)</f>
        <v>0</v>
      </c>
      <c r="I155" s="80">
        <f>SUMIFS('февраль 2024'!$G$6:$G$1413,'февраль 2024'!$D$6:$D$1413,$B155,'февраль 2024'!$J$6:$J$1413,I$1)</f>
        <v>0</v>
      </c>
      <c r="J155" s="80">
        <f>SUMIFS('февраль 2024'!$G$6:$G$1413,'февраль 2024'!$D$6:$D$1413,$B155,'февраль 2024'!$J$6:$J$1413,J$1)</f>
        <v>0</v>
      </c>
      <c r="K155" s="80">
        <f>SUMIFS('февраль 2024'!$G$6:$G$1413,'февраль 2024'!$D$6:$D$1413,$B155,'февраль 2024'!$J$6:$J$1413,K$1)</f>
        <v>0</v>
      </c>
      <c r="L155" s="80">
        <f>SUMIFS('февраль 2024'!$G$6:$G$1413,'февраль 2024'!$D$6:$D$1413,$B155,'февраль 2024'!$J$6:$J$1413,L$1)</f>
        <v>0</v>
      </c>
      <c r="M155" s="80">
        <f>SUMIFS('февраль 2024'!$G$6:$G$1413,'февраль 2024'!$D$6:$D$1413,$B155,'февраль 2024'!$J$6:$J$1413,M$1)</f>
        <v>0</v>
      </c>
      <c r="N155" s="80">
        <f>SUMIFS('февраль 2024'!$G$6:$G$1413,'февраль 2024'!$D$6:$D$1413,$B155,'февраль 2024'!$J$6:$J$1413,N$1)</f>
        <v>0</v>
      </c>
      <c r="O155" s="80">
        <f>SUMIFS('февраль 2024'!$G$6:$G$1413,'февраль 2024'!$D$6:$D$1413,$B155,'февраль 2024'!$J$6:$J$1413,O$1)</f>
        <v>0</v>
      </c>
      <c r="P155" s="80">
        <f>SUMIFS('февраль 2024'!$G$6:$G$1413,'февраль 2024'!$D$6:$D$1413,$B155,'февраль 2024'!$J$6:$J$1413,P$1)</f>
        <v>0</v>
      </c>
      <c r="Q155" s="80">
        <f>SUMIFS('февраль 2024'!$G$6:$G$1413,'февраль 2024'!$D$6:$D$1413,$B155,'февраль 2024'!$J$6:$J$1413,Q$1)</f>
        <v>0</v>
      </c>
      <c r="R155" s="80">
        <f>SUMIFS('февраль 2024'!$G$6:$G$1413,'февраль 2024'!$D$6:$D$1413,$B155,'февраль 2024'!$J$6:$J$1413,R$1)</f>
        <v>0</v>
      </c>
      <c r="S155" s="80">
        <f>SUMIFS('февраль 2024'!$G$6:$G$1413,'февраль 2024'!$D$6:$D$1413,$B155,'февраль 2024'!$J$6:$J$1413,S$1)</f>
        <v>0</v>
      </c>
      <c r="T155" s="80">
        <f>SUMIFS('февраль 2024'!$G$6:$G$1413,'февраль 2024'!$D$6:$D$1413,$B155,'февраль 2024'!$J$6:$J$1413,T$1)</f>
        <v>0</v>
      </c>
      <c r="U155" s="80">
        <f>SUMIFS('февраль 2024'!$G$6:$G$1413,'февраль 2024'!$D$6:$D$1413,$B155,'февраль 2024'!$J$6:$J$1413,U$1)</f>
        <v>0</v>
      </c>
      <c r="V155" s="80">
        <f>SUMIFS('февраль 2024'!$G$6:$G$1413,'февраль 2024'!$D$6:$D$1413,$B155,'февраль 2024'!$J$6:$J$1413,V$1)</f>
        <v>0</v>
      </c>
      <c r="W155" s="80">
        <f>SUMIFS('февраль 2024'!$G$6:$G$1413,'февраль 2024'!$D$6:$D$1413,$B155,'февраль 2024'!$J$6:$J$1413,W$1)</f>
        <v>0</v>
      </c>
      <c r="X155" s="80">
        <f>SUMIFS('февраль 2024'!$G$6:$G$1413,'февраль 2024'!$D$6:$D$1413,$B155,'февраль 2024'!$J$6:$J$1413,X$1)</f>
        <v>0</v>
      </c>
      <c r="Y155" s="80">
        <f>SUMIFS('февраль 2024'!$G$6:$G$1413,'февраль 2024'!$D$6:$D$1413,$B155,'февраль 2024'!$J$6:$J$1413,Y$1)</f>
        <v>0</v>
      </c>
      <c r="Z155" s="80">
        <f>SUMIFS('февраль 2024'!$G$6:$G$1413,'февраль 2024'!$D$6:$D$1413,$B155,'февраль 2024'!$J$6:$J$1413,Z$1)</f>
        <v>0</v>
      </c>
      <c r="AA155" s="80">
        <f>SUMIFS('февраль 2024'!$G$6:$G$1413,'февраль 2024'!$D$6:$D$1413,$B155,'февраль 2024'!$J$6:$J$1413,AA$1)</f>
        <v>0</v>
      </c>
      <c r="AB155" s="80">
        <f>SUMIFS('февраль 2024'!$G$6:$G$1413,'февраль 2024'!$D$6:$D$1413,$B155,'февраль 2024'!$J$6:$J$1413,AB$1)</f>
        <v>0</v>
      </c>
      <c r="AC155" s="80">
        <f>SUMIFS('февраль 2024'!$G$6:$G$1413,'февраль 2024'!$D$6:$D$1413,$B155,'февраль 2024'!$J$6:$J$1413,AC$1)</f>
        <v>0</v>
      </c>
      <c r="AD155" s="80">
        <f>SUMIFS('февраль 2024'!$G$6:$G$1413,'февраль 2024'!$D$6:$D$1413,$B155,'февраль 2024'!$J$6:$J$1413,AD$1)</f>
        <v>0</v>
      </c>
      <c r="AE155" s="80">
        <f>SUMIFS('февраль 2024'!$G$6:$G$1413,'февраль 2024'!$D$6:$D$1413,$B155,'февраль 2024'!$J$6:$J$1413,AE$1)</f>
        <v>0</v>
      </c>
      <c r="AF155" s="80">
        <f>SUMIFS('февраль 2024'!$G$6:$G$1413,'февраль 2024'!$D$6:$D$1413,$B155,'февраль 2024'!$J$6:$J$1413,AF$1)</f>
        <v>0</v>
      </c>
      <c r="AG155" s="80">
        <f>SUMIFS('февраль 2024'!$G$6:$G$1413,'февраль 2024'!$D$6:$D$1413,$B155,'февраль 2024'!$J$6:$J$1413,AG$1)</f>
        <v>0</v>
      </c>
      <c r="AH155" s="80">
        <f>SUMIFS('февраль 2024'!$G$6:$G$1413,'февраль 2024'!$D$6:$D$1413,$B155,'февраль 2024'!$J$6:$J$1413,AH$1)</f>
        <v>0</v>
      </c>
      <c r="AI155" s="87"/>
    </row>
    <row r="156" spans="2:35" ht="15" hidden="1" customHeight="1" x14ac:dyDescent="0.25">
      <c r="B156" s="93"/>
      <c r="C156" s="91"/>
      <c r="D156" s="80">
        <f>SUMIFS('февраль 2024'!$G$6:$G$1413,'февраль 2024'!$D$6:$D$1413,$B156,'февраль 2024'!$J$6:$J$1413,D$1)</f>
        <v>0</v>
      </c>
      <c r="E156" s="80">
        <f>SUMIFS('февраль 2024'!$G$6:$G$1413,'февраль 2024'!$D$6:$D$1413,$B156,'февраль 2024'!$J$6:$J$1413,E$1)</f>
        <v>0</v>
      </c>
      <c r="F156" s="80">
        <f>SUMIFS('февраль 2024'!$G$6:$G$1413,'февраль 2024'!$D$6:$D$1413,$B156,'февраль 2024'!$J$6:$J$1413,F$1)</f>
        <v>0</v>
      </c>
      <c r="G156" s="80">
        <f>SUMIFS('февраль 2024'!$G$6:$G$1413,'февраль 2024'!$D$6:$D$1413,$B156,'февраль 2024'!$J$6:$J$1413,G$1)</f>
        <v>0</v>
      </c>
      <c r="H156" s="80">
        <f>SUMIFS('февраль 2024'!$G$6:$G$1413,'февраль 2024'!$D$6:$D$1413,$B156,'февраль 2024'!$J$6:$J$1413,H$1)</f>
        <v>0</v>
      </c>
      <c r="I156" s="80">
        <f>SUMIFS('февраль 2024'!$G$6:$G$1413,'февраль 2024'!$D$6:$D$1413,$B156,'февраль 2024'!$J$6:$J$1413,I$1)</f>
        <v>0</v>
      </c>
      <c r="J156" s="80">
        <f>SUMIFS('февраль 2024'!$G$6:$G$1413,'февраль 2024'!$D$6:$D$1413,$B156,'февраль 2024'!$J$6:$J$1413,J$1)</f>
        <v>0</v>
      </c>
      <c r="K156" s="80">
        <f>SUMIFS('февраль 2024'!$G$6:$G$1413,'февраль 2024'!$D$6:$D$1413,$B156,'февраль 2024'!$J$6:$J$1413,K$1)</f>
        <v>0</v>
      </c>
      <c r="L156" s="80">
        <f>SUMIFS('февраль 2024'!$G$6:$G$1413,'февраль 2024'!$D$6:$D$1413,$B156,'февраль 2024'!$J$6:$J$1413,L$1)</f>
        <v>0</v>
      </c>
      <c r="M156" s="80">
        <f>SUMIFS('февраль 2024'!$G$6:$G$1413,'февраль 2024'!$D$6:$D$1413,$B156,'февраль 2024'!$J$6:$J$1413,M$1)</f>
        <v>0</v>
      </c>
      <c r="N156" s="80">
        <f>SUMIFS('февраль 2024'!$G$6:$G$1413,'февраль 2024'!$D$6:$D$1413,$B156,'февраль 2024'!$J$6:$J$1413,N$1)</f>
        <v>0</v>
      </c>
      <c r="O156" s="80">
        <f>SUMIFS('февраль 2024'!$G$6:$G$1413,'февраль 2024'!$D$6:$D$1413,$B156,'февраль 2024'!$J$6:$J$1413,O$1)</f>
        <v>0</v>
      </c>
      <c r="P156" s="80">
        <f>SUMIFS('февраль 2024'!$G$6:$G$1413,'февраль 2024'!$D$6:$D$1413,$B156,'февраль 2024'!$J$6:$J$1413,P$1)</f>
        <v>0</v>
      </c>
      <c r="Q156" s="80">
        <f>SUMIFS('февраль 2024'!$G$6:$G$1413,'февраль 2024'!$D$6:$D$1413,$B156,'февраль 2024'!$J$6:$J$1413,Q$1)</f>
        <v>0</v>
      </c>
      <c r="R156" s="80">
        <f>SUMIFS('февраль 2024'!$G$6:$G$1413,'февраль 2024'!$D$6:$D$1413,$B156,'февраль 2024'!$J$6:$J$1413,R$1)</f>
        <v>0</v>
      </c>
      <c r="S156" s="80">
        <f>SUMIFS('февраль 2024'!$G$6:$G$1413,'февраль 2024'!$D$6:$D$1413,$B156,'февраль 2024'!$J$6:$J$1413,S$1)</f>
        <v>0</v>
      </c>
      <c r="T156" s="80">
        <f>SUMIFS('февраль 2024'!$G$6:$G$1413,'февраль 2024'!$D$6:$D$1413,$B156,'февраль 2024'!$J$6:$J$1413,T$1)</f>
        <v>0</v>
      </c>
      <c r="U156" s="80">
        <f>SUMIFS('февраль 2024'!$G$6:$G$1413,'февраль 2024'!$D$6:$D$1413,$B156,'февраль 2024'!$J$6:$J$1413,U$1)</f>
        <v>0</v>
      </c>
      <c r="V156" s="80">
        <f>SUMIFS('февраль 2024'!$G$6:$G$1413,'февраль 2024'!$D$6:$D$1413,$B156,'февраль 2024'!$J$6:$J$1413,V$1)</f>
        <v>0</v>
      </c>
      <c r="W156" s="80">
        <f>SUMIFS('февраль 2024'!$G$6:$G$1413,'февраль 2024'!$D$6:$D$1413,$B156,'февраль 2024'!$J$6:$J$1413,W$1)</f>
        <v>0</v>
      </c>
      <c r="X156" s="80">
        <f>SUMIFS('февраль 2024'!$G$6:$G$1413,'февраль 2024'!$D$6:$D$1413,$B156,'февраль 2024'!$J$6:$J$1413,X$1)</f>
        <v>0</v>
      </c>
      <c r="Y156" s="80">
        <f>SUMIFS('февраль 2024'!$G$6:$G$1413,'февраль 2024'!$D$6:$D$1413,$B156,'февраль 2024'!$J$6:$J$1413,Y$1)</f>
        <v>0</v>
      </c>
      <c r="Z156" s="80">
        <f>SUMIFS('февраль 2024'!$G$6:$G$1413,'февраль 2024'!$D$6:$D$1413,$B156,'февраль 2024'!$J$6:$J$1413,Z$1)</f>
        <v>0</v>
      </c>
      <c r="AA156" s="80">
        <f>SUMIFS('февраль 2024'!$G$6:$G$1413,'февраль 2024'!$D$6:$D$1413,$B156,'февраль 2024'!$J$6:$J$1413,AA$1)</f>
        <v>0</v>
      </c>
      <c r="AB156" s="80">
        <f>SUMIFS('февраль 2024'!$G$6:$G$1413,'февраль 2024'!$D$6:$D$1413,$B156,'февраль 2024'!$J$6:$J$1413,AB$1)</f>
        <v>0</v>
      </c>
      <c r="AC156" s="80">
        <f>SUMIFS('февраль 2024'!$G$6:$G$1413,'февраль 2024'!$D$6:$D$1413,$B156,'февраль 2024'!$J$6:$J$1413,AC$1)</f>
        <v>0</v>
      </c>
      <c r="AD156" s="80">
        <f>SUMIFS('февраль 2024'!$G$6:$G$1413,'февраль 2024'!$D$6:$D$1413,$B156,'февраль 2024'!$J$6:$J$1413,AD$1)</f>
        <v>0</v>
      </c>
      <c r="AE156" s="80">
        <f>SUMIFS('февраль 2024'!$G$6:$G$1413,'февраль 2024'!$D$6:$D$1413,$B156,'февраль 2024'!$J$6:$J$1413,AE$1)</f>
        <v>0</v>
      </c>
      <c r="AF156" s="80">
        <f>SUMIFS('февраль 2024'!$G$6:$G$1413,'февраль 2024'!$D$6:$D$1413,$B156,'февраль 2024'!$J$6:$J$1413,AF$1)</f>
        <v>0</v>
      </c>
      <c r="AG156" s="80">
        <f>SUMIFS('февраль 2024'!$G$6:$G$1413,'февраль 2024'!$D$6:$D$1413,$B156,'февраль 2024'!$J$6:$J$1413,AG$1)</f>
        <v>0</v>
      </c>
      <c r="AH156" s="80">
        <f>SUMIFS('февраль 2024'!$G$6:$G$1413,'февраль 2024'!$D$6:$D$1413,$B156,'февраль 2024'!$J$6:$J$1413,AH$1)</f>
        <v>0</v>
      </c>
      <c r="AI156" s="87"/>
    </row>
    <row r="157" spans="2:35" ht="15" hidden="1" customHeight="1" x14ac:dyDescent="0.25">
      <c r="B157" s="93"/>
      <c r="C157" s="91"/>
      <c r="D157" s="80">
        <f>SUMIFS('февраль 2024'!$G$6:$G$1413,'февраль 2024'!$D$6:$D$1413,$B157,'февраль 2024'!$J$6:$J$1413,D$1)</f>
        <v>0</v>
      </c>
      <c r="E157" s="80">
        <f>SUMIFS('февраль 2024'!$G$6:$G$1413,'февраль 2024'!$D$6:$D$1413,$B157,'февраль 2024'!$J$6:$J$1413,E$1)</f>
        <v>0</v>
      </c>
      <c r="F157" s="80">
        <f>SUMIFS('февраль 2024'!$G$6:$G$1413,'февраль 2024'!$D$6:$D$1413,$B157,'февраль 2024'!$J$6:$J$1413,F$1)</f>
        <v>0</v>
      </c>
      <c r="G157" s="80">
        <f>SUMIFS('февраль 2024'!$G$6:$G$1413,'февраль 2024'!$D$6:$D$1413,$B157,'февраль 2024'!$J$6:$J$1413,G$1)</f>
        <v>0</v>
      </c>
      <c r="H157" s="80">
        <f>SUMIFS('февраль 2024'!$G$6:$G$1413,'февраль 2024'!$D$6:$D$1413,$B157,'февраль 2024'!$J$6:$J$1413,H$1)</f>
        <v>0</v>
      </c>
      <c r="I157" s="80">
        <f>SUMIFS('февраль 2024'!$G$6:$G$1413,'февраль 2024'!$D$6:$D$1413,$B157,'февраль 2024'!$J$6:$J$1413,I$1)</f>
        <v>0</v>
      </c>
      <c r="J157" s="80">
        <f>SUMIFS('февраль 2024'!$G$6:$G$1413,'февраль 2024'!$D$6:$D$1413,$B157,'февраль 2024'!$J$6:$J$1413,J$1)</f>
        <v>0</v>
      </c>
      <c r="K157" s="80">
        <f>SUMIFS('февраль 2024'!$G$6:$G$1413,'февраль 2024'!$D$6:$D$1413,$B157,'февраль 2024'!$J$6:$J$1413,K$1)</f>
        <v>0</v>
      </c>
      <c r="L157" s="80">
        <f>SUMIFS('февраль 2024'!$G$6:$G$1413,'февраль 2024'!$D$6:$D$1413,$B157,'февраль 2024'!$J$6:$J$1413,L$1)</f>
        <v>0</v>
      </c>
      <c r="M157" s="80">
        <f>SUMIFS('февраль 2024'!$G$6:$G$1413,'февраль 2024'!$D$6:$D$1413,$B157,'февраль 2024'!$J$6:$J$1413,M$1)</f>
        <v>0</v>
      </c>
      <c r="N157" s="80">
        <f>SUMIFS('февраль 2024'!$G$6:$G$1413,'февраль 2024'!$D$6:$D$1413,$B157,'февраль 2024'!$J$6:$J$1413,N$1)</f>
        <v>0</v>
      </c>
      <c r="O157" s="80">
        <f>SUMIFS('февраль 2024'!$G$6:$G$1413,'февраль 2024'!$D$6:$D$1413,$B157,'февраль 2024'!$J$6:$J$1413,O$1)</f>
        <v>0</v>
      </c>
      <c r="P157" s="80">
        <f>SUMIFS('февраль 2024'!$G$6:$G$1413,'февраль 2024'!$D$6:$D$1413,$B157,'февраль 2024'!$J$6:$J$1413,P$1)</f>
        <v>0</v>
      </c>
      <c r="Q157" s="80">
        <f>SUMIFS('февраль 2024'!$G$6:$G$1413,'февраль 2024'!$D$6:$D$1413,$B157,'февраль 2024'!$J$6:$J$1413,Q$1)</f>
        <v>0</v>
      </c>
      <c r="R157" s="80">
        <f>SUMIFS('февраль 2024'!$G$6:$G$1413,'февраль 2024'!$D$6:$D$1413,$B157,'февраль 2024'!$J$6:$J$1413,R$1)</f>
        <v>0</v>
      </c>
      <c r="S157" s="80">
        <f>SUMIFS('февраль 2024'!$G$6:$G$1413,'февраль 2024'!$D$6:$D$1413,$B157,'февраль 2024'!$J$6:$J$1413,S$1)</f>
        <v>0</v>
      </c>
      <c r="T157" s="80">
        <f>SUMIFS('февраль 2024'!$G$6:$G$1413,'февраль 2024'!$D$6:$D$1413,$B157,'февраль 2024'!$J$6:$J$1413,T$1)</f>
        <v>0</v>
      </c>
      <c r="U157" s="80">
        <f>SUMIFS('февраль 2024'!$G$6:$G$1413,'февраль 2024'!$D$6:$D$1413,$B157,'февраль 2024'!$J$6:$J$1413,U$1)</f>
        <v>0</v>
      </c>
      <c r="V157" s="80">
        <f>SUMIFS('февраль 2024'!$G$6:$G$1413,'февраль 2024'!$D$6:$D$1413,$B157,'февраль 2024'!$J$6:$J$1413,V$1)</f>
        <v>0</v>
      </c>
      <c r="W157" s="80">
        <f>SUMIFS('февраль 2024'!$G$6:$G$1413,'февраль 2024'!$D$6:$D$1413,$B157,'февраль 2024'!$J$6:$J$1413,W$1)</f>
        <v>0</v>
      </c>
      <c r="X157" s="80">
        <f>SUMIFS('февраль 2024'!$G$6:$G$1413,'февраль 2024'!$D$6:$D$1413,$B157,'февраль 2024'!$J$6:$J$1413,X$1)</f>
        <v>0</v>
      </c>
      <c r="Y157" s="80">
        <f>SUMIFS('февраль 2024'!$G$6:$G$1413,'февраль 2024'!$D$6:$D$1413,$B157,'февраль 2024'!$J$6:$J$1413,Y$1)</f>
        <v>0</v>
      </c>
      <c r="Z157" s="80">
        <f>SUMIFS('февраль 2024'!$G$6:$G$1413,'февраль 2024'!$D$6:$D$1413,$B157,'февраль 2024'!$J$6:$J$1413,Z$1)</f>
        <v>0</v>
      </c>
      <c r="AA157" s="80">
        <f>SUMIFS('февраль 2024'!$G$6:$G$1413,'февраль 2024'!$D$6:$D$1413,$B157,'февраль 2024'!$J$6:$J$1413,AA$1)</f>
        <v>0</v>
      </c>
      <c r="AB157" s="80">
        <f>SUMIFS('февраль 2024'!$G$6:$G$1413,'февраль 2024'!$D$6:$D$1413,$B157,'февраль 2024'!$J$6:$J$1413,AB$1)</f>
        <v>0</v>
      </c>
      <c r="AC157" s="80">
        <f>SUMIFS('февраль 2024'!$G$6:$G$1413,'февраль 2024'!$D$6:$D$1413,$B157,'февраль 2024'!$J$6:$J$1413,AC$1)</f>
        <v>0</v>
      </c>
      <c r="AD157" s="80">
        <f>SUMIFS('февраль 2024'!$G$6:$G$1413,'февраль 2024'!$D$6:$D$1413,$B157,'февраль 2024'!$J$6:$J$1413,AD$1)</f>
        <v>0</v>
      </c>
      <c r="AE157" s="80">
        <f>SUMIFS('февраль 2024'!$G$6:$G$1413,'февраль 2024'!$D$6:$D$1413,$B157,'февраль 2024'!$J$6:$J$1413,AE$1)</f>
        <v>0</v>
      </c>
      <c r="AF157" s="80">
        <f>SUMIFS('февраль 2024'!$G$6:$G$1413,'февраль 2024'!$D$6:$D$1413,$B157,'февраль 2024'!$J$6:$J$1413,AF$1)</f>
        <v>0</v>
      </c>
      <c r="AG157" s="80">
        <f>SUMIFS('февраль 2024'!$G$6:$G$1413,'февраль 2024'!$D$6:$D$1413,$B157,'февраль 2024'!$J$6:$J$1413,AG$1)</f>
        <v>0</v>
      </c>
      <c r="AH157" s="80">
        <f>SUMIFS('февраль 2024'!$G$6:$G$1413,'февраль 2024'!$D$6:$D$1413,$B157,'февраль 2024'!$J$6:$J$1413,AH$1)</f>
        <v>0</v>
      </c>
      <c r="AI157" s="87"/>
    </row>
    <row r="158" spans="2:35" ht="15" hidden="1" customHeight="1" x14ac:dyDescent="0.25">
      <c r="B158" s="89"/>
      <c r="C158" s="88"/>
      <c r="D158" s="80">
        <f>SUMIFS('февраль 2024'!$G$6:$G$1413,'февраль 2024'!$D$6:$D$1413,$B158,'февраль 2024'!$J$6:$J$1413,D$1)</f>
        <v>0</v>
      </c>
      <c r="E158" s="80">
        <f>SUMIFS('февраль 2024'!$G$6:$G$1413,'февраль 2024'!$D$6:$D$1413,$B158,'февраль 2024'!$J$6:$J$1413,E$1)</f>
        <v>0</v>
      </c>
      <c r="F158" s="80">
        <f>SUMIFS('февраль 2024'!$G$6:$G$1413,'февраль 2024'!$D$6:$D$1413,$B158,'февраль 2024'!$J$6:$J$1413,F$1)</f>
        <v>0</v>
      </c>
      <c r="G158" s="80">
        <f>SUMIFS('февраль 2024'!$G$6:$G$1413,'февраль 2024'!$D$6:$D$1413,$B158,'февраль 2024'!$J$6:$J$1413,G$1)</f>
        <v>0</v>
      </c>
      <c r="H158" s="80">
        <f>SUMIFS('февраль 2024'!$G$6:$G$1413,'февраль 2024'!$D$6:$D$1413,$B158,'февраль 2024'!$J$6:$J$1413,H$1)</f>
        <v>0</v>
      </c>
      <c r="I158" s="80">
        <f>SUMIFS('февраль 2024'!$G$6:$G$1413,'февраль 2024'!$D$6:$D$1413,$B158,'февраль 2024'!$J$6:$J$1413,I$1)</f>
        <v>0</v>
      </c>
      <c r="J158" s="80">
        <f>SUMIFS('февраль 2024'!$G$6:$G$1413,'февраль 2024'!$D$6:$D$1413,$B158,'февраль 2024'!$J$6:$J$1413,J$1)</f>
        <v>0</v>
      </c>
      <c r="K158" s="80">
        <f>SUMIFS('февраль 2024'!$G$6:$G$1413,'февраль 2024'!$D$6:$D$1413,$B158,'февраль 2024'!$J$6:$J$1413,K$1)</f>
        <v>0</v>
      </c>
      <c r="L158" s="80">
        <f>SUMIFS('февраль 2024'!$G$6:$G$1413,'февраль 2024'!$D$6:$D$1413,$B158,'февраль 2024'!$J$6:$J$1413,L$1)</f>
        <v>0</v>
      </c>
      <c r="M158" s="80">
        <f>SUMIFS('февраль 2024'!$G$6:$G$1413,'февраль 2024'!$D$6:$D$1413,$B158,'февраль 2024'!$J$6:$J$1413,M$1)</f>
        <v>0</v>
      </c>
      <c r="N158" s="80">
        <f>SUMIFS('февраль 2024'!$G$6:$G$1413,'февраль 2024'!$D$6:$D$1413,$B158,'февраль 2024'!$J$6:$J$1413,N$1)</f>
        <v>0</v>
      </c>
      <c r="O158" s="80">
        <f>SUMIFS('февраль 2024'!$G$6:$G$1413,'февраль 2024'!$D$6:$D$1413,$B158,'февраль 2024'!$J$6:$J$1413,O$1)</f>
        <v>0</v>
      </c>
      <c r="P158" s="80">
        <f>SUMIFS('февраль 2024'!$G$6:$G$1413,'февраль 2024'!$D$6:$D$1413,$B158,'февраль 2024'!$J$6:$J$1413,P$1)</f>
        <v>0</v>
      </c>
      <c r="Q158" s="80">
        <f>SUMIFS('февраль 2024'!$G$6:$G$1413,'февраль 2024'!$D$6:$D$1413,$B158,'февраль 2024'!$J$6:$J$1413,Q$1)</f>
        <v>0</v>
      </c>
      <c r="R158" s="80">
        <f>SUMIFS('февраль 2024'!$G$6:$G$1413,'февраль 2024'!$D$6:$D$1413,$B158,'февраль 2024'!$J$6:$J$1413,R$1)</f>
        <v>0</v>
      </c>
      <c r="S158" s="80">
        <f>SUMIFS('февраль 2024'!$G$6:$G$1413,'февраль 2024'!$D$6:$D$1413,$B158,'февраль 2024'!$J$6:$J$1413,S$1)</f>
        <v>0</v>
      </c>
      <c r="T158" s="80">
        <f>SUMIFS('февраль 2024'!$G$6:$G$1413,'февраль 2024'!$D$6:$D$1413,$B158,'февраль 2024'!$J$6:$J$1413,T$1)</f>
        <v>0</v>
      </c>
      <c r="U158" s="80">
        <f>SUMIFS('февраль 2024'!$G$6:$G$1413,'февраль 2024'!$D$6:$D$1413,$B158,'февраль 2024'!$J$6:$J$1413,U$1)</f>
        <v>0</v>
      </c>
      <c r="V158" s="80">
        <f>SUMIFS('февраль 2024'!$G$6:$G$1413,'февраль 2024'!$D$6:$D$1413,$B158,'февраль 2024'!$J$6:$J$1413,V$1)</f>
        <v>0</v>
      </c>
      <c r="W158" s="80">
        <f>SUMIFS('февраль 2024'!$G$6:$G$1413,'февраль 2024'!$D$6:$D$1413,$B158,'февраль 2024'!$J$6:$J$1413,W$1)</f>
        <v>0</v>
      </c>
      <c r="X158" s="80">
        <f>SUMIFS('февраль 2024'!$G$6:$G$1413,'февраль 2024'!$D$6:$D$1413,$B158,'февраль 2024'!$J$6:$J$1413,X$1)</f>
        <v>0</v>
      </c>
      <c r="Y158" s="80">
        <f>SUMIFS('февраль 2024'!$G$6:$G$1413,'февраль 2024'!$D$6:$D$1413,$B158,'февраль 2024'!$J$6:$J$1413,Y$1)</f>
        <v>0</v>
      </c>
      <c r="Z158" s="80">
        <f>SUMIFS('февраль 2024'!$G$6:$G$1413,'февраль 2024'!$D$6:$D$1413,$B158,'февраль 2024'!$J$6:$J$1413,Z$1)</f>
        <v>0</v>
      </c>
      <c r="AA158" s="80">
        <f>SUMIFS('февраль 2024'!$G$6:$G$1413,'февраль 2024'!$D$6:$D$1413,$B158,'февраль 2024'!$J$6:$J$1413,AA$1)</f>
        <v>0</v>
      </c>
      <c r="AB158" s="80">
        <f>SUMIFS('февраль 2024'!$G$6:$G$1413,'февраль 2024'!$D$6:$D$1413,$B158,'февраль 2024'!$J$6:$J$1413,AB$1)</f>
        <v>0</v>
      </c>
      <c r="AC158" s="80">
        <f>SUMIFS('февраль 2024'!$G$6:$G$1413,'февраль 2024'!$D$6:$D$1413,$B158,'февраль 2024'!$J$6:$J$1413,AC$1)</f>
        <v>0</v>
      </c>
      <c r="AD158" s="80">
        <f>SUMIFS('февраль 2024'!$G$6:$G$1413,'февраль 2024'!$D$6:$D$1413,$B158,'февраль 2024'!$J$6:$J$1413,AD$1)</f>
        <v>0</v>
      </c>
      <c r="AE158" s="80">
        <f>SUMIFS('февраль 2024'!$G$6:$G$1413,'февраль 2024'!$D$6:$D$1413,$B158,'февраль 2024'!$J$6:$J$1413,AE$1)</f>
        <v>0</v>
      </c>
      <c r="AF158" s="80">
        <f>SUMIFS('февраль 2024'!$G$6:$G$1413,'февраль 2024'!$D$6:$D$1413,$B158,'февраль 2024'!$J$6:$J$1413,AF$1)</f>
        <v>0</v>
      </c>
      <c r="AG158" s="80">
        <f>SUMIFS('февраль 2024'!$G$6:$G$1413,'февраль 2024'!$D$6:$D$1413,$B158,'февраль 2024'!$J$6:$J$1413,AG$1)</f>
        <v>0</v>
      </c>
      <c r="AH158" s="80">
        <f>SUMIFS('февраль 2024'!$G$6:$G$1413,'февраль 2024'!$D$6:$D$1413,$B158,'февраль 2024'!$J$6:$J$1413,AH$1)</f>
        <v>0</v>
      </c>
      <c r="AI158" s="87"/>
    </row>
    <row r="159" spans="2:35" ht="15" hidden="1" customHeight="1" x14ac:dyDescent="0.25">
      <c r="B159" s="89"/>
      <c r="C159" s="88"/>
      <c r="D159" s="80">
        <f>SUMIFS('февраль 2024'!$G$6:$G$1413,'февраль 2024'!$D$6:$D$1413,$B159,'февраль 2024'!$J$6:$J$1413,D$1)</f>
        <v>0</v>
      </c>
      <c r="E159" s="80">
        <f>SUMIFS('февраль 2024'!$G$6:$G$1413,'февраль 2024'!$D$6:$D$1413,$B159,'февраль 2024'!$J$6:$J$1413,E$1)</f>
        <v>0</v>
      </c>
      <c r="F159" s="80">
        <f>SUMIFS('февраль 2024'!$G$6:$G$1413,'февраль 2024'!$D$6:$D$1413,$B159,'февраль 2024'!$J$6:$J$1413,F$1)</f>
        <v>0</v>
      </c>
      <c r="G159" s="80">
        <f>SUMIFS('февраль 2024'!$G$6:$G$1413,'февраль 2024'!$D$6:$D$1413,$B159,'февраль 2024'!$J$6:$J$1413,G$1)</f>
        <v>0</v>
      </c>
      <c r="H159" s="80">
        <f>SUMIFS('февраль 2024'!$G$6:$G$1413,'февраль 2024'!$D$6:$D$1413,$B159,'февраль 2024'!$J$6:$J$1413,H$1)</f>
        <v>0</v>
      </c>
      <c r="I159" s="80">
        <f>SUMIFS('февраль 2024'!$G$6:$G$1413,'февраль 2024'!$D$6:$D$1413,$B159,'февраль 2024'!$J$6:$J$1413,I$1)</f>
        <v>0</v>
      </c>
      <c r="J159" s="80">
        <f>SUMIFS('февраль 2024'!$G$6:$G$1413,'февраль 2024'!$D$6:$D$1413,$B159,'февраль 2024'!$J$6:$J$1413,J$1)</f>
        <v>0</v>
      </c>
      <c r="K159" s="80">
        <f>SUMIFS('февраль 2024'!$G$6:$G$1413,'февраль 2024'!$D$6:$D$1413,$B159,'февраль 2024'!$J$6:$J$1413,K$1)</f>
        <v>0</v>
      </c>
      <c r="L159" s="80">
        <f>SUMIFS('февраль 2024'!$G$6:$G$1413,'февраль 2024'!$D$6:$D$1413,$B159,'февраль 2024'!$J$6:$J$1413,L$1)</f>
        <v>0</v>
      </c>
      <c r="M159" s="80">
        <f>SUMIFS('февраль 2024'!$G$6:$G$1413,'февраль 2024'!$D$6:$D$1413,$B159,'февраль 2024'!$J$6:$J$1413,M$1)</f>
        <v>0</v>
      </c>
      <c r="N159" s="80">
        <f>SUMIFS('февраль 2024'!$G$6:$G$1413,'февраль 2024'!$D$6:$D$1413,$B159,'февраль 2024'!$J$6:$J$1413,N$1)</f>
        <v>0</v>
      </c>
      <c r="O159" s="80">
        <f>SUMIFS('февраль 2024'!$G$6:$G$1413,'февраль 2024'!$D$6:$D$1413,$B159,'февраль 2024'!$J$6:$J$1413,O$1)</f>
        <v>0</v>
      </c>
      <c r="P159" s="80">
        <f>SUMIFS('февраль 2024'!$G$6:$G$1413,'февраль 2024'!$D$6:$D$1413,$B159,'февраль 2024'!$J$6:$J$1413,P$1)</f>
        <v>0</v>
      </c>
      <c r="Q159" s="80">
        <f>SUMIFS('февраль 2024'!$G$6:$G$1413,'февраль 2024'!$D$6:$D$1413,$B159,'февраль 2024'!$J$6:$J$1413,Q$1)</f>
        <v>0</v>
      </c>
      <c r="R159" s="80">
        <f>SUMIFS('февраль 2024'!$G$6:$G$1413,'февраль 2024'!$D$6:$D$1413,$B159,'февраль 2024'!$J$6:$J$1413,R$1)</f>
        <v>0</v>
      </c>
      <c r="S159" s="80">
        <f>SUMIFS('февраль 2024'!$G$6:$G$1413,'февраль 2024'!$D$6:$D$1413,$B159,'февраль 2024'!$J$6:$J$1413,S$1)</f>
        <v>0</v>
      </c>
      <c r="T159" s="80">
        <f>SUMIFS('февраль 2024'!$G$6:$G$1413,'февраль 2024'!$D$6:$D$1413,$B159,'февраль 2024'!$J$6:$J$1413,T$1)</f>
        <v>0</v>
      </c>
      <c r="U159" s="80">
        <f>SUMIFS('февраль 2024'!$G$6:$G$1413,'февраль 2024'!$D$6:$D$1413,$B159,'февраль 2024'!$J$6:$J$1413,U$1)</f>
        <v>0</v>
      </c>
      <c r="V159" s="80">
        <f>SUMIFS('февраль 2024'!$G$6:$G$1413,'февраль 2024'!$D$6:$D$1413,$B159,'февраль 2024'!$J$6:$J$1413,V$1)</f>
        <v>0</v>
      </c>
      <c r="W159" s="80">
        <f>SUMIFS('февраль 2024'!$G$6:$G$1413,'февраль 2024'!$D$6:$D$1413,$B159,'февраль 2024'!$J$6:$J$1413,W$1)</f>
        <v>0</v>
      </c>
      <c r="X159" s="80">
        <f>SUMIFS('февраль 2024'!$G$6:$G$1413,'февраль 2024'!$D$6:$D$1413,$B159,'февраль 2024'!$J$6:$J$1413,X$1)</f>
        <v>0</v>
      </c>
      <c r="Y159" s="80">
        <f>SUMIFS('февраль 2024'!$G$6:$G$1413,'февраль 2024'!$D$6:$D$1413,$B159,'февраль 2024'!$J$6:$J$1413,Y$1)</f>
        <v>0</v>
      </c>
      <c r="Z159" s="80">
        <f>SUMIFS('февраль 2024'!$G$6:$G$1413,'февраль 2024'!$D$6:$D$1413,$B159,'февраль 2024'!$J$6:$J$1413,Z$1)</f>
        <v>0</v>
      </c>
      <c r="AA159" s="80">
        <f>SUMIFS('февраль 2024'!$G$6:$G$1413,'февраль 2024'!$D$6:$D$1413,$B159,'февраль 2024'!$J$6:$J$1413,AA$1)</f>
        <v>0</v>
      </c>
      <c r="AB159" s="80">
        <f>SUMIFS('февраль 2024'!$G$6:$G$1413,'февраль 2024'!$D$6:$D$1413,$B159,'февраль 2024'!$J$6:$J$1413,AB$1)</f>
        <v>0</v>
      </c>
      <c r="AC159" s="80">
        <f>SUMIFS('февраль 2024'!$G$6:$G$1413,'февраль 2024'!$D$6:$D$1413,$B159,'февраль 2024'!$J$6:$J$1413,AC$1)</f>
        <v>0</v>
      </c>
      <c r="AD159" s="80">
        <f>SUMIFS('февраль 2024'!$G$6:$G$1413,'февраль 2024'!$D$6:$D$1413,$B159,'февраль 2024'!$J$6:$J$1413,AD$1)</f>
        <v>0</v>
      </c>
      <c r="AE159" s="80">
        <f>SUMIFS('февраль 2024'!$G$6:$G$1413,'февраль 2024'!$D$6:$D$1413,$B159,'февраль 2024'!$J$6:$J$1413,AE$1)</f>
        <v>0</v>
      </c>
      <c r="AF159" s="80">
        <f>SUMIFS('февраль 2024'!$G$6:$G$1413,'февраль 2024'!$D$6:$D$1413,$B159,'февраль 2024'!$J$6:$J$1413,AF$1)</f>
        <v>0</v>
      </c>
      <c r="AG159" s="80">
        <f>SUMIFS('февраль 2024'!$G$6:$G$1413,'февраль 2024'!$D$6:$D$1413,$B159,'февраль 2024'!$J$6:$J$1413,AG$1)</f>
        <v>0</v>
      </c>
      <c r="AH159" s="80">
        <f>SUMIFS('февраль 2024'!$G$6:$G$1413,'февраль 2024'!$D$6:$D$1413,$B159,'февраль 2024'!$J$6:$J$1413,AH$1)</f>
        <v>0</v>
      </c>
      <c r="AI159" s="87"/>
    </row>
    <row r="160" spans="2:35" ht="15" hidden="1" customHeight="1" x14ac:dyDescent="0.25">
      <c r="B160" s="89"/>
      <c r="C160" s="88"/>
      <c r="D160" s="80">
        <f>SUMIFS('февраль 2024'!$G$6:$G$1413,'февраль 2024'!$D$6:$D$1413,$B160,'февраль 2024'!$J$6:$J$1413,D$1)</f>
        <v>0</v>
      </c>
      <c r="E160" s="80">
        <f>SUMIFS('февраль 2024'!$G$6:$G$1413,'февраль 2024'!$D$6:$D$1413,$B160,'февраль 2024'!$J$6:$J$1413,E$1)</f>
        <v>0</v>
      </c>
      <c r="F160" s="80">
        <f>SUMIFS('февраль 2024'!$G$6:$G$1413,'февраль 2024'!$D$6:$D$1413,$B160,'февраль 2024'!$J$6:$J$1413,F$1)</f>
        <v>0</v>
      </c>
      <c r="G160" s="80">
        <f>SUMIFS('февраль 2024'!$G$6:$G$1413,'февраль 2024'!$D$6:$D$1413,$B160,'февраль 2024'!$J$6:$J$1413,G$1)</f>
        <v>0</v>
      </c>
      <c r="H160" s="80">
        <f>SUMIFS('февраль 2024'!$G$6:$G$1413,'февраль 2024'!$D$6:$D$1413,$B160,'февраль 2024'!$J$6:$J$1413,H$1)</f>
        <v>0</v>
      </c>
      <c r="I160" s="80">
        <f>SUMIFS('февраль 2024'!$G$6:$G$1413,'февраль 2024'!$D$6:$D$1413,$B160,'февраль 2024'!$J$6:$J$1413,I$1)</f>
        <v>0</v>
      </c>
      <c r="J160" s="80">
        <f>SUMIFS('февраль 2024'!$G$6:$G$1413,'февраль 2024'!$D$6:$D$1413,$B160,'февраль 2024'!$J$6:$J$1413,J$1)</f>
        <v>0</v>
      </c>
      <c r="K160" s="80">
        <f>SUMIFS('февраль 2024'!$G$6:$G$1413,'февраль 2024'!$D$6:$D$1413,$B160,'февраль 2024'!$J$6:$J$1413,K$1)</f>
        <v>0</v>
      </c>
      <c r="L160" s="80">
        <f>SUMIFS('февраль 2024'!$G$6:$G$1413,'февраль 2024'!$D$6:$D$1413,$B160,'февраль 2024'!$J$6:$J$1413,L$1)</f>
        <v>0</v>
      </c>
      <c r="M160" s="80">
        <f>SUMIFS('февраль 2024'!$G$6:$G$1413,'февраль 2024'!$D$6:$D$1413,$B160,'февраль 2024'!$J$6:$J$1413,M$1)</f>
        <v>0</v>
      </c>
      <c r="N160" s="80">
        <f>SUMIFS('февраль 2024'!$G$6:$G$1413,'февраль 2024'!$D$6:$D$1413,$B160,'февраль 2024'!$J$6:$J$1413,N$1)</f>
        <v>0</v>
      </c>
      <c r="O160" s="80">
        <f>SUMIFS('февраль 2024'!$G$6:$G$1413,'февраль 2024'!$D$6:$D$1413,$B160,'февраль 2024'!$J$6:$J$1413,O$1)</f>
        <v>0</v>
      </c>
      <c r="P160" s="80">
        <f>SUMIFS('февраль 2024'!$G$6:$G$1413,'февраль 2024'!$D$6:$D$1413,$B160,'февраль 2024'!$J$6:$J$1413,P$1)</f>
        <v>0</v>
      </c>
      <c r="Q160" s="80">
        <f>SUMIFS('февраль 2024'!$G$6:$G$1413,'февраль 2024'!$D$6:$D$1413,$B160,'февраль 2024'!$J$6:$J$1413,Q$1)</f>
        <v>0</v>
      </c>
      <c r="R160" s="80">
        <f>SUMIFS('февраль 2024'!$G$6:$G$1413,'февраль 2024'!$D$6:$D$1413,$B160,'февраль 2024'!$J$6:$J$1413,R$1)</f>
        <v>0</v>
      </c>
      <c r="S160" s="80">
        <f>SUMIFS('февраль 2024'!$G$6:$G$1413,'февраль 2024'!$D$6:$D$1413,$B160,'февраль 2024'!$J$6:$J$1413,S$1)</f>
        <v>0</v>
      </c>
      <c r="T160" s="80">
        <f>SUMIFS('февраль 2024'!$G$6:$G$1413,'февраль 2024'!$D$6:$D$1413,$B160,'февраль 2024'!$J$6:$J$1413,T$1)</f>
        <v>0</v>
      </c>
      <c r="U160" s="80">
        <f>SUMIFS('февраль 2024'!$G$6:$G$1413,'февраль 2024'!$D$6:$D$1413,$B160,'февраль 2024'!$J$6:$J$1413,U$1)</f>
        <v>0</v>
      </c>
      <c r="V160" s="80">
        <f>SUMIFS('февраль 2024'!$G$6:$G$1413,'февраль 2024'!$D$6:$D$1413,$B160,'февраль 2024'!$J$6:$J$1413,V$1)</f>
        <v>0</v>
      </c>
      <c r="W160" s="80">
        <f>SUMIFS('февраль 2024'!$G$6:$G$1413,'февраль 2024'!$D$6:$D$1413,$B160,'февраль 2024'!$J$6:$J$1413,W$1)</f>
        <v>0</v>
      </c>
      <c r="X160" s="80">
        <f>SUMIFS('февраль 2024'!$G$6:$G$1413,'февраль 2024'!$D$6:$D$1413,$B160,'февраль 2024'!$J$6:$J$1413,X$1)</f>
        <v>0</v>
      </c>
      <c r="Y160" s="80">
        <f>SUMIFS('февраль 2024'!$G$6:$G$1413,'февраль 2024'!$D$6:$D$1413,$B160,'февраль 2024'!$J$6:$J$1413,Y$1)</f>
        <v>0</v>
      </c>
      <c r="Z160" s="80">
        <f>SUMIFS('февраль 2024'!$G$6:$G$1413,'февраль 2024'!$D$6:$D$1413,$B160,'февраль 2024'!$J$6:$J$1413,Z$1)</f>
        <v>0</v>
      </c>
      <c r="AA160" s="80">
        <f>SUMIFS('февраль 2024'!$G$6:$G$1413,'февраль 2024'!$D$6:$D$1413,$B160,'февраль 2024'!$J$6:$J$1413,AA$1)</f>
        <v>0</v>
      </c>
      <c r="AB160" s="80">
        <f>SUMIFS('февраль 2024'!$G$6:$G$1413,'февраль 2024'!$D$6:$D$1413,$B160,'февраль 2024'!$J$6:$J$1413,AB$1)</f>
        <v>0</v>
      </c>
      <c r="AC160" s="80">
        <f>SUMIFS('февраль 2024'!$G$6:$G$1413,'февраль 2024'!$D$6:$D$1413,$B160,'февраль 2024'!$J$6:$J$1413,AC$1)</f>
        <v>0</v>
      </c>
      <c r="AD160" s="80">
        <f>SUMIFS('февраль 2024'!$G$6:$G$1413,'февраль 2024'!$D$6:$D$1413,$B160,'февраль 2024'!$J$6:$J$1413,AD$1)</f>
        <v>0</v>
      </c>
      <c r="AE160" s="80">
        <f>SUMIFS('февраль 2024'!$G$6:$G$1413,'февраль 2024'!$D$6:$D$1413,$B160,'февраль 2024'!$J$6:$J$1413,AE$1)</f>
        <v>0</v>
      </c>
      <c r="AF160" s="80">
        <f>SUMIFS('февраль 2024'!$G$6:$G$1413,'февраль 2024'!$D$6:$D$1413,$B160,'февраль 2024'!$J$6:$J$1413,AF$1)</f>
        <v>0</v>
      </c>
      <c r="AG160" s="80">
        <f>SUMIFS('февраль 2024'!$G$6:$G$1413,'февраль 2024'!$D$6:$D$1413,$B160,'февраль 2024'!$J$6:$J$1413,AG$1)</f>
        <v>0</v>
      </c>
      <c r="AH160" s="80">
        <f>SUMIFS('февраль 2024'!$G$6:$G$1413,'февраль 2024'!$D$6:$D$1413,$B160,'февраль 2024'!$J$6:$J$1413,AH$1)</f>
        <v>0</v>
      </c>
      <c r="AI160" s="87"/>
    </row>
    <row r="161" spans="2:35" ht="15" hidden="1" customHeight="1" x14ac:dyDescent="0.25">
      <c r="B161" s="94"/>
      <c r="C161" s="95"/>
      <c r="D161" s="80">
        <f>SUMIFS('февраль 2024'!$G$6:$G$1413,'февраль 2024'!$D$6:$D$1413,$B161,'февраль 2024'!$J$6:$J$1413,D$1)</f>
        <v>0</v>
      </c>
      <c r="E161" s="80">
        <f>SUMIFS('февраль 2024'!$G$6:$G$1413,'февраль 2024'!$D$6:$D$1413,$B161,'февраль 2024'!$J$6:$J$1413,E$1)</f>
        <v>0</v>
      </c>
      <c r="F161" s="80">
        <f>SUMIFS('февраль 2024'!$G$6:$G$1413,'февраль 2024'!$D$6:$D$1413,$B161,'февраль 2024'!$J$6:$J$1413,F$1)</f>
        <v>0</v>
      </c>
      <c r="G161" s="80">
        <f>SUMIFS('февраль 2024'!$G$6:$G$1413,'февраль 2024'!$D$6:$D$1413,$B161,'февраль 2024'!$J$6:$J$1413,G$1)</f>
        <v>0</v>
      </c>
      <c r="H161" s="80">
        <f>SUMIFS('февраль 2024'!$G$6:$G$1413,'февраль 2024'!$D$6:$D$1413,$B161,'февраль 2024'!$J$6:$J$1413,H$1)</f>
        <v>0</v>
      </c>
      <c r="I161" s="80">
        <f>SUMIFS('февраль 2024'!$G$6:$G$1413,'февраль 2024'!$D$6:$D$1413,$B161,'февраль 2024'!$J$6:$J$1413,I$1)</f>
        <v>0</v>
      </c>
      <c r="J161" s="80">
        <f>SUMIFS('февраль 2024'!$G$6:$G$1413,'февраль 2024'!$D$6:$D$1413,$B161,'февраль 2024'!$J$6:$J$1413,J$1)</f>
        <v>0</v>
      </c>
      <c r="K161" s="80">
        <f>SUMIFS('февраль 2024'!$G$6:$G$1413,'февраль 2024'!$D$6:$D$1413,$B161,'февраль 2024'!$J$6:$J$1413,K$1)</f>
        <v>0</v>
      </c>
      <c r="L161" s="80">
        <f>SUMIFS('февраль 2024'!$G$6:$G$1413,'февраль 2024'!$D$6:$D$1413,$B161,'февраль 2024'!$J$6:$J$1413,L$1)</f>
        <v>0</v>
      </c>
      <c r="M161" s="80">
        <f>SUMIFS('февраль 2024'!$G$6:$G$1413,'февраль 2024'!$D$6:$D$1413,$B161,'февраль 2024'!$J$6:$J$1413,M$1)</f>
        <v>0</v>
      </c>
      <c r="N161" s="80">
        <f>SUMIFS('февраль 2024'!$G$6:$G$1413,'февраль 2024'!$D$6:$D$1413,$B161,'февраль 2024'!$J$6:$J$1413,N$1)</f>
        <v>0</v>
      </c>
      <c r="O161" s="80">
        <f>SUMIFS('февраль 2024'!$G$6:$G$1413,'февраль 2024'!$D$6:$D$1413,$B161,'февраль 2024'!$J$6:$J$1413,O$1)</f>
        <v>0</v>
      </c>
      <c r="P161" s="80">
        <f>SUMIFS('февраль 2024'!$G$6:$G$1413,'февраль 2024'!$D$6:$D$1413,$B161,'февраль 2024'!$J$6:$J$1413,P$1)</f>
        <v>0</v>
      </c>
      <c r="Q161" s="80">
        <f>SUMIFS('февраль 2024'!$G$6:$G$1413,'февраль 2024'!$D$6:$D$1413,$B161,'февраль 2024'!$J$6:$J$1413,Q$1)</f>
        <v>0</v>
      </c>
      <c r="R161" s="80">
        <f>SUMIFS('февраль 2024'!$G$6:$G$1413,'февраль 2024'!$D$6:$D$1413,$B161,'февраль 2024'!$J$6:$J$1413,R$1)</f>
        <v>0</v>
      </c>
      <c r="S161" s="80">
        <f>SUMIFS('февраль 2024'!$G$6:$G$1413,'февраль 2024'!$D$6:$D$1413,$B161,'февраль 2024'!$J$6:$J$1413,S$1)</f>
        <v>0</v>
      </c>
      <c r="T161" s="80">
        <f>SUMIFS('февраль 2024'!$G$6:$G$1413,'февраль 2024'!$D$6:$D$1413,$B161,'февраль 2024'!$J$6:$J$1413,T$1)</f>
        <v>0</v>
      </c>
      <c r="U161" s="80">
        <f>SUMIFS('февраль 2024'!$G$6:$G$1413,'февраль 2024'!$D$6:$D$1413,$B161,'февраль 2024'!$J$6:$J$1413,U$1)</f>
        <v>0</v>
      </c>
      <c r="V161" s="80">
        <f>SUMIFS('февраль 2024'!$G$6:$G$1413,'февраль 2024'!$D$6:$D$1413,$B161,'февраль 2024'!$J$6:$J$1413,V$1)</f>
        <v>0</v>
      </c>
      <c r="W161" s="80">
        <f>SUMIFS('февраль 2024'!$G$6:$G$1413,'февраль 2024'!$D$6:$D$1413,$B161,'февраль 2024'!$J$6:$J$1413,W$1)</f>
        <v>0</v>
      </c>
      <c r="X161" s="80">
        <f>SUMIFS('февраль 2024'!$G$6:$G$1413,'февраль 2024'!$D$6:$D$1413,$B161,'февраль 2024'!$J$6:$J$1413,X$1)</f>
        <v>0</v>
      </c>
      <c r="Y161" s="80">
        <f>SUMIFS('февраль 2024'!$G$6:$G$1413,'февраль 2024'!$D$6:$D$1413,$B161,'февраль 2024'!$J$6:$J$1413,Y$1)</f>
        <v>0</v>
      </c>
      <c r="Z161" s="80">
        <f>SUMIFS('февраль 2024'!$G$6:$G$1413,'февраль 2024'!$D$6:$D$1413,$B161,'февраль 2024'!$J$6:$J$1413,Z$1)</f>
        <v>0</v>
      </c>
      <c r="AA161" s="80">
        <f>SUMIFS('февраль 2024'!$G$6:$G$1413,'февраль 2024'!$D$6:$D$1413,$B161,'февраль 2024'!$J$6:$J$1413,AA$1)</f>
        <v>0</v>
      </c>
      <c r="AB161" s="80">
        <f>SUMIFS('февраль 2024'!$G$6:$G$1413,'февраль 2024'!$D$6:$D$1413,$B161,'февраль 2024'!$J$6:$J$1413,AB$1)</f>
        <v>0</v>
      </c>
      <c r="AC161" s="80">
        <f>SUMIFS('февраль 2024'!$G$6:$G$1413,'февраль 2024'!$D$6:$D$1413,$B161,'февраль 2024'!$J$6:$J$1413,AC$1)</f>
        <v>0</v>
      </c>
      <c r="AD161" s="80">
        <f>SUMIFS('февраль 2024'!$G$6:$G$1413,'февраль 2024'!$D$6:$D$1413,$B161,'февраль 2024'!$J$6:$J$1413,AD$1)</f>
        <v>0</v>
      </c>
      <c r="AE161" s="80">
        <f>SUMIFS('февраль 2024'!$G$6:$G$1413,'февраль 2024'!$D$6:$D$1413,$B161,'февраль 2024'!$J$6:$J$1413,AE$1)</f>
        <v>0</v>
      </c>
      <c r="AF161" s="80">
        <f>SUMIFS('февраль 2024'!$G$6:$G$1413,'февраль 2024'!$D$6:$D$1413,$B161,'февраль 2024'!$J$6:$J$1413,AF$1)</f>
        <v>0</v>
      </c>
      <c r="AG161" s="80">
        <f>SUMIFS('февраль 2024'!$G$6:$G$1413,'февраль 2024'!$D$6:$D$1413,$B161,'февраль 2024'!$J$6:$J$1413,AG$1)</f>
        <v>0</v>
      </c>
      <c r="AH161" s="80">
        <f>SUMIFS('февраль 2024'!$G$6:$G$1413,'февраль 2024'!$D$6:$D$1413,$B161,'февраль 2024'!$J$6:$J$1413,AH$1)</f>
        <v>0</v>
      </c>
      <c r="AI161" s="87"/>
    </row>
    <row r="162" spans="2:35" ht="15" hidden="1" customHeight="1" x14ac:dyDescent="0.25">
      <c r="B162" s="89"/>
      <c r="C162" s="91"/>
      <c r="D162" s="80">
        <f>SUMIFS('февраль 2024'!$G$6:$G$1413,'февраль 2024'!$D$6:$D$1413,$B162,'февраль 2024'!$J$6:$J$1413,D$1)</f>
        <v>0</v>
      </c>
      <c r="E162" s="80">
        <f>SUMIFS('февраль 2024'!$G$6:$G$1413,'февраль 2024'!$D$6:$D$1413,$B162,'февраль 2024'!$J$6:$J$1413,E$1)</f>
        <v>0</v>
      </c>
      <c r="F162" s="80">
        <f>SUMIFS('февраль 2024'!$G$6:$G$1413,'февраль 2024'!$D$6:$D$1413,$B162,'февраль 2024'!$J$6:$J$1413,F$1)</f>
        <v>0</v>
      </c>
      <c r="G162" s="80">
        <f>SUMIFS('февраль 2024'!$G$6:$G$1413,'февраль 2024'!$D$6:$D$1413,$B162,'февраль 2024'!$J$6:$J$1413,G$1)</f>
        <v>0</v>
      </c>
      <c r="H162" s="80">
        <f>SUMIFS('февраль 2024'!$G$6:$G$1413,'февраль 2024'!$D$6:$D$1413,$B162,'февраль 2024'!$J$6:$J$1413,H$1)</f>
        <v>0</v>
      </c>
      <c r="I162" s="80">
        <f>SUMIFS('февраль 2024'!$G$6:$G$1413,'февраль 2024'!$D$6:$D$1413,$B162,'февраль 2024'!$J$6:$J$1413,I$1)</f>
        <v>0</v>
      </c>
      <c r="J162" s="80">
        <f>SUMIFS('февраль 2024'!$G$6:$G$1413,'февраль 2024'!$D$6:$D$1413,$B162,'февраль 2024'!$J$6:$J$1413,J$1)</f>
        <v>0</v>
      </c>
      <c r="K162" s="80">
        <f>SUMIFS('февраль 2024'!$G$6:$G$1413,'февраль 2024'!$D$6:$D$1413,$B162,'февраль 2024'!$J$6:$J$1413,K$1)</f>
        <v>0</v>
      </c>
      <c r="L162" s="80">
        <f>SUMIFS('февраль 2024'!$G$6:$G$1413,'февраль 2024'!$D$6:$D$1413,$B162,'февраль 2024'!$J$6:$J$1413,L$1)</f>
        <v>0</v>
      </c>
      <c r="M162" s="80">
        <f>SUMIFS('февраль 2024'!$G$6:$G$1413,'февраль 2024'!$D$6:$D$1413,$B162,'февраль 2024'!$J$6:$J$1413,M$1)</f>
        <v>0</v>
      </c>
      <c r="N162" s="80">
        <f>SUMIFS('февраль 2024'!$G$6:$G$1413,'февраль 2024'!$D$6:$D$1413,$B162,'февраль 2024'!$J$6:$J$1413,N$1)</f>
        <v>0</v>
      </c>
      <c r="O162" s="80">
        <f>SUMIFS('февраль 2024'!$G$6:$G$1413,'февраль 2024'!$D$6:$D$1413,$B162,'февраль 2024'!$J$6:$J$1413,O$1)</f>
        <v>0</v>
      </c>
      <c r="P162" s="80">
        <f>SUMIFS('февраль 2024'!$G$6:$G$1413,'февраль 2024'!$D$6:$D$1413,$B162,'февраль 2024'!$J$6:$J$1413,P$1)</f>
        <v>0</v>
      </c>
      <c r="Q162" s="80">
        <f>SUMIFS('февраль 2024'!$G$6:$G$1413,'февраль 2024'!$D$6:$D$1413,$B162,'февраль 2024'!$J$6:$J$1413,Q$1)</f>
        <v>0</v>
      </c>
      <c r="R162" s="80">
        <f>SUMIFS('февраль 2024'!$G$6:$G$1413,'февраль 2024'!$D$6:$D$1413,$B162,'февраль 2024'!$J$6:$J$1413,R$1)</f>
        <v>0</v>
      </c>
      <c r="S162" s="80">
        <f>SUMIFS('февраль 2024'!$G$6:$G$1413,'февраль 2024'!$D$6:$D$1413,$B162,'февраль 2024'!$J$6:$J$1413,S$1)</f>
        <v>0</v>
      </c>
      <c r="T162" s="80">
        <f>SUMIFS('февраль 2024'!$G$6:$G$1413,'февраль 2024'!$D$6:$D$1413,$B162,'февраль 2024'!$J$6:$J$1413,T$1)</f>
        <v>0</v>
      </c>
      <c r="U162" s="80">
        <f>SUMIFS('февраль 2024'!$G$6:$G$1413,'февраль 2024'!$D$6:$D$1413,$B162,'февраль 2024'!$J$6:$J$1413,U$1)</f>
        <v>0</v>
      </c>
      <c r="V162" s="80">
        <f>SUMIFS('февраль 2024'!$G$6:$G$1413,'февраль 2024'!$D$6:$D$1413,$B162,'февраль 2024'!$J$6:$J$1413,V$1)</f>
        <v>0</v>
      </c>
      <c r="W162" s="80">
        <f>SUMIFS('февраль 2024'!$G$6:$G$1413,'февраль 2024'!$D$6:$D$1413,$B162,'февраль 2024'!$J$6:$J$1413,W$1)</f>
        <v>0</v>
      </c>
      <c r="X162" s="80">
        <f>SUMIFS('февраль 2024'!$G$6:$G$1413,'февраль 2024'!$D$6:$D$1413,$B162,'февраль 2024'!$J$6:$J$1413,X$1)</f>
        <v>0</v>
      </c>
      <c r="Y162" s="80">
        <f>SUMIFS('февраль 2024'!$G$6:$G$1413,'февраль 2024'!$D$6:$D$1413,$B162,'февраль 2024'!$J$6:$J$1413,Y$1)</f>
        <v>0</v>
      </c>
      <c r="Z162" s="80">
        <f>SUMIFS('февраль 2024'!$G$6:$G$1413,'февраль 2024'!$D$6:$D$1413,$B162,'февраль 2024'!$J$6:$J$1413,Z$1)</f>
        <v>0</v>
      </c>
      <c r="AA162" s="80">
        <f>SUMIFS('февраль 2024'!$G$6:$G$1413,'февраль 2024'!$D$6:$D$1413,$B162,'февраль 2024'!$J$6:$J$1413,AA$1)</f>
        <v>0</v>
      </c>
      <c r="AB162" s="80">
        <f>SUMIFS('февраль 2024'!$G$6:$G$1413,'февраль 2024'!$D$6:$D$1413,$B162,'февраль 2024'!$J$6:$J$1413,AB$1)</f>
        <v>0</v>
      </c>
      <c r="AC162" s="80">
        <f>SUMIFS('февраль 2024'!$G$6:$G$1413,'февраль 2024'!$D$6:$D$1413,$B162,'февраль 2024'!$J$6:$J$1413,AC$1)</f>
        <v>0</v>
      </c>
      <c r="AD162" s="80">
        <f>SUMIFS('февраль 2024'!$G$6:$G$1413,'февраль 2024'!$D$6:$D$1413,$B162,'февраль 2024'!$J$6:$J$1413,AD$1)</f>
        <v>0</v>
      </c>
      <c r="AE162" s="80">
        <f>SUMIFS('февраль 2024'!$G$6:$G$1413,'февраль 2024'!$D$6:$D$1413,$B162,'февраль 2024'!$J$6:$J$1413,AE$1)</f>
        <v>0</v>
      </c>
      <c r="AF162" s="80">
        <f>SUMIFS('февраль 2024'!$G$6:$G$1413,'февраль 2024'!$D$6:$D$1413,$B162,'февраль 2024'!$J$6:$J$1413,AF$1)</f>
        <v>0</v>
      </c>
      <c r="AG162" s="80">
        <f>SUMIFS('февраль 2024'!$G$6:$G$1413,'февраль 2024'!$D$6:$D$1413,$B162,'февраль 2024'!$J$6:$J$1413,AG$1)</f>
        <v>0</v>
      </c>
      <c r="AH162" s="80">
        <f>SUMIFS('февраль 2024'!$G$6:$G$1413,'февраль 2024'!$D$6:$D$1413,$B162,'февраль 2024'!$J$6:$J$1413,AH$1)</f>
        <v>0</v>
      </c>
      <c r="AI162" s="87"/>
    </row>
    <row r="163" spans="2:35" ht="15" hidden="1" customHeight="1" x14ac:dyDescent="0.25">
      <c r="B163" s="89"/>
      <c r="C163" s="88"/>
      <c r="D163" s="80">
        <f>SUMIFS('февраль 2024'!$G$6:$G$1413,'февраль 2024'!$D$6:$D$1413,$B163,'февраль 2024'!$J$6:$J$1413,D$1)</f>
        <v>0</v>
      </c>
      <c r="E163" s="80">
        <f>SUMIFS('февраль 2024'!$G$6:$G$1413,'февраль 2024'!$D$6:$D$1413,$B163,'февраль 2024'!$J$6:$J$1413,E$1)</f>
        <v>0</v>
      </c>
      <c r="F163" s="80">
        <f>SUMIFS('февраль 2024'!$G$6:$G$1413,'февраль 2024'!$D$6:$D$1413,$B163,'февраль 2024'!$J$6:$J$1413,F$1)</f>
        <v>0</v>
      </c>
      <c r="G163" s="80">
        <f>SUMIFS('февраль 2024'!$G$6:$G$1413,'февраль 2024'!$D$6:$D$1413,$B163,'февраль 2024'!$J$6:$J$1413,G$1)</f>
        <v>0</v>
      </c>
      <c r="H163" s="80">
        <f>SUMIFS('февраль 2024'!$G$6:$G$1413,'февраль 2024'!$D$6:$D$1413,$B163,'февраль 2024'!$J$6:$J$1413,H$1)</f>
        <v>0</v>
      </c>
      <c r="I163" s="80">
        <f>SUMIFS('февраль 2024'!$G$6:$G$1413,'февраль 2024'!$D$6:$D$1413,$B163,'февраль 2024'!$J$6:$J$1413,I$1)</f>
        <v>0</v>
      </c>
      <c r="J163" s="80">
        <f>SUMIFS('февраль 2024'!$G$6:$G$1413,'февраль 2024'!$D$6:$D$1413,$B163,'февраль 2024'!$J$6:$J$1413,J$1)</f>
        <v>0</v>
      </c>
      <c r="K163" s="80">
        <f>SUMIFS('февраль 2024'!$G$6:$G$1413,'февраль 2024'!$D$6:$D$1413,$B163,'февраль 2024'!$J$6:$J$1413,K$1)</f>
        <v>0</v>
      </c>
      <c r="L163" s="80">
        <f>SUMIFS('февраль 2024'!$G$6:$G$1413,'февраль 2024'!$D$6:$D$1413,$B163,'февраль 2024'!$J$6:$J$1413,L$1)</f>
        <v>0</v>
      </c>
      <c r="M163" s="80">
        <f>SUMIFS('февраль 2024'!$G$6:$G$1413,'февраль 2024'!$D$6:$D$1413,$B163,'февраль 2024'!$J$6:$J$1413,M$1)</f>
        <v>0</v>
      </c>
      <c r="N163" s="80">
        <f>SUMIFS('февраль 2024'!$G$6:$G$1413,'февраль 2024'!$D$6:$D$1413,$B163,'февраль 2024'!$J$6:$J$1413,N$1)</f>
        <v>0</v>
      </c>
      <c r="O163" s="80">
        <f>SUMIFS('февраль 2024'!$G$6:$G$1413,'февраль 2024'!$D$6:$D$1413,$B163,'февраль 2024'!$J$6:$J$1413,O$1)</f>
        <v>0</v>
      </c>
      <c r="P163" s="80">
        <f>SUMIFS('февраль 2024'!$G$6:$G$1413,'февраль 2024'!$D$6:$D$1413,$B163,'февраль 2024'!$J$6:$J$1413,P$1)</f>
        <v>0</v>
      </c>
      <c r="Q163" s="80">
        <f>SUMIFS('февраль 2024'!$G$6:$G$1413,'февраль 2024'!$D$6:$D$1413,$B163,'февраль 2024'!$J$6:$J$1413,Q$1)</f>
        <v>0</v>
      </c>
      <c r="R163" s="80">
        <f>SUMIFS('февраль 2024'!$G$6:$G$1413,'февраль 2024'!$D$6:$D$1413,$B163,'февраль 2024'!$J$6:$J$1413,R$1)</f>
        <v>0</v>
      </c>
      <c r="S163" s="80">
        <f>SUMIFS('февраль 2024'!$G$6:$G$1413,'февраль 2024'!$D$6:$D$1413,$B163,'февраль 2024'!$J$6:$J$1413,S$1)</f>
        <v>0</v>
      </c>
      <c r="T163" s="80">
        <f>SUMIFS('февраль 2024'!$G$6:$G$1413,'февраль 2024'!$D$6:$D$1413,$B163,'февраль 2024'!$J$6:$J$1413,T$1)</f>
        <v>0</v>
      </c>
      <c r="U163" s="80">
        <f>SUMIFS('февраль 2024'!$G$6:$G$1413,'февраль 2024'!$D$6:$D$1413,$B163,'февраль 2024'!$J$6:$J$1413,U$1)</f>
        <v>0</v>
      </c>
      <c r="V163" s="80">
        <f>SUMIFS('февраль 2024'!$G$6:$G$1413,'февраль 2024'!$D$6:$D$1413,$B163,'февраль 2024'!$J$6:$J$1413,V$1)</f>
        <v>0</v>
      </c>
      <c r="W163" s="80">
        <f>SUMIFS('февраль 2024'!$G$6:$G$1413,'февраль 2024'!$D$6:$D$1413,$B163,'февраль 2024'!$J$6:$J$1413,W$1)</f>
        <v>0</v>
      </c>
      <c r="X163" s="80">
        <f>SUMIFS('февраль 2024'!$G$6:$G$1413,'февраль 2024'!$D$6:$D$1413,$B163,'февраль 2024'!$J$6:$J$1413,X$1)</f>
        <v>0</v>
      </c>
      <c r="Y163" s="80">
        <f>SUMIFS('февраль 2024'!$G$6:$G$1413,'февраль 2024'!$D$6:$D$1413,$B163,'февраль 2024'!$J$6:$J$1413,Y$1)</f>
        <v>0</v>
      </c>
      <c r="Z163" s="80">
        <f>SUMIFS('февраль 2024'!$G$6:$G$1413,'февраль 2024'!$D$6:$D$1413,$B163,'февраль 2024'!$J$6:$J$1413,Z$1)</f>
        <v>0</v>
      </c>
      <c r="AA163" s="80">
        <f>SUMIFS('февраль 2024'!$G$6:$G$1413,'февраль 2024'!$D$6:$D$1413,$B163,'февраль 2024'!$J$6:$J$1413,AA$1)</f>
        <v>0</v>
      </c>
      <c r="AB163" s="80">
        <f>SUMIFS('февраль 2024'!$G$6:$G$1413,'февраль 2024'!$D$6:$D$1413,$B163,'февраль 2024'!$J$6:$J$1413,AB$1)</f>
        <v>0</v>
      </c>
      <c r="AC163" s="80">
        <f>SUMIFS('февраль 2024'!$G$6:$G$1413,'февраль 2024'!$D$6:$D$1413,$B163,'февраль 2024'!$J$6:$J$1413,AC$1)</f>
        <v>0</v>
      </c>
      <c r="AD163" s="80">
        <f>SUMIFS('февраль 2024'!$G$6:$G$1413,'февраль 2024'!$D$6:$D$1413,$B163,'февраль 2024'!$J$6:$J$1413,AD$1)</f>
        <v>0</v>
      </c>
      <c r="AE163" s="80">
        <f>SUMIFS('февраль 2024'!$G$6:$G$1413,'февраль 2024'!$D$6:$D$1413,$B163,'февраль 2024'!$J$6:$J$1413,AE$1)</f>
        <v>0</v>
      </c>
      <c r="AF163" s="80">
        <f>SUMIFS('февраль 2024'!$G$6:$G$1413,'февраль 2024'!$D$6:$D$1413,$B163,'февраль 2024'!$J$6:$J$1413,AF$1)</f>
        <v>0</v>
      </c>
      <c r="AG163" s="80">
        <f>SUMIFS('февраль 2024'!$G$6:$G$1413,'февраль 2024'!$D$6:$D$1413,$B163,'февраль 2024'!$J$6:$J$1413,AG$1)</f>
        <v>0</v>
      </c>
      <c r="AH163" s="80">
        <f>SUMIFS('февраль 2024'!$G$6:$G$1413,'февраль 2024'!$D$6:$D$1413,$B163,'февраль 2024'!$J$6:$J$1413,AH$1)</f>
        <v>0</v>
      </c>
      <c r="AI163" s="87"/>
    </row>
    <row r="164" spans="2:35" ht="15" hidden="1" customHeight="1" x14ac:dyDescent="0.25">
      <c r="B164" s="89"/>
      <c r="C164" s="88"/>
      <c r="D164" s="80">
        <f>SUMIFS('февраль 2024'!$G$6:$G$1413,'февраль 2024'!$D$6:$D$1413,$B164,'февраль 2024'!$J$6:$J$1413,D$1)</f>
        <v>0</v>
      </c>
      <c r="E164" s="80">
        <f>SUMIFS('февраль 2024'!$G$6:$G$1413,'февраль 2024'!$D$6:$D$1413,$B164,'февраль 2024'!$J$6:$J$1413,E$1)</f>
        <v>0</v>
      </c>
      <c r="F164" s="80">
        <f>SUMIFS('февраль 2024'!$G$6:$G$1413,'февраль 2024'!$D$6:$D$1413,$B164,'февраль 2024'!$J$6:$J$1413,F$1)</f>
        <v>0</v>
      </c>
      <c r="G164" s="80">
        <f>SUMIFS('февраль 2024'!$G$6:$G$1413,'февраль 2024'!$D$6:$D$1413,$B164,'февраль 2024'!$J$6:$J$1413,G$1)</f>
        <v>0</v>
      </c>
      <c r="H164" s="80">
        <f>SUMIFS('февраль 2024'!$G$6:$G$1413,'февраль 2024'!$D$6:$D$1413,$B164,'февраль 2024'!$J$6:$J$1413,H$1)</f>
        <v>0</v>
      </c>
      <c r="I164" s="80">
        <f>SUMIFS('февраль 2024'!$G$6:$G$1413,'февраль 2024'!$D$6:$D$1413,$B164,'февраль 2024'!$J$6:$J$1413,I$1)</f>
        <v>0</v>
      </c>
      <c r="J164" s="80">
        <f>SUMIFS('февраль 2024'!$G$6:$G$1413,'февраль 2024'!$D$6:$D$1413,$B164,'февраль 2024'!$J$6:$J$1413,J$1)</f>
        <v>0</v>
      </c>
      <c r="K164" s="80">
        <f>SUMIFS('февраль 2024'!$G$6:$G$1413,'февраль 2024'!$D$6:$D$1413,$B164,'февраль 2024'!$J$6:$J$1413,K$1)</f>
        <v>0</v>
      </c>
      <c r="L164" s="80">
        <f>SUMIFS('февраль 2024'!$G$6:$G$1413,'февраль 2024'!$D$6:$D$1413,$B164,'февраль 2024'!$J$6:$J$1413,L$1)</f>
        <v>0</v>
      </c>
      <c r="M164" s="80">
        <f>SUMIFS('февраль 2024'!$G$6:$G$1413,'февраль 2024'!$D$6:$D$1413,$B164,'февраль 2024'!$J$6:$J$1413,M$1)</f>
        <v>0</v>
      </c>
      <c r="N164" s="80">
        <f>SUMIFS('февраль 2024'!$G$6:$G$1413,'февраль 2024'!$D$6:$D$1413,$B164,'февраль 2024'!$J$6:$J$1413,N$1)</f>
        <v>0</v>
      </c>
      <c r="O164" s="80">
        <f>SUMIFS('февраль 2024'!$G$6:$G$1413,'февраль 2024'!$D$6:$D$1413,$B164,'февраль 2024'!$J$6:$J$1413,O$1)</f>
        <v>0</v>
      </c>
      <c r="P164" s="80">
        <f>SUMIFS('февраль 2024'!$G$6:$G$1413,'февраль 2024'!$D$6:$D$1413,$B164,'февраль 2024'!$J$6:$J$1413,P$1)</f>
        <v>0</v>
      </c>
      <c r="Q164" s="80">
        <f>SUMIFS('февраль 2024'!$G$6:$G$1413,'февраль 2024'!$D$6:$D$1413,$B164,'февраль 2024'!$J$6:$J$1413,Q$1)</f>
        <v>0</v>
      </c>
      <c r="R164" s="80">
        <f>SUMIFS('февраль 2024'!$G$6:$G$1413,'февраль 2024'!$D$6:$D$1413,$B164,'февраль 2024'!$J$6:$J$1413,R$1)</f>
        <v>0</v>
      </c>
      <c r="S164" s="80">
        <f>SUMIFS('февраль 2024'!$G$6:$G$1413,'февраль 2024'!$D$6:$D$1413,$B164,'февраль 2024'!$J$6:$J$1413,S$1)</f>
        <v>0</v>
      </c>
      <c r="T164" s="80">
        <f>SUMIFS('февраль 2024'!$G$6:$G$1413,'февраль 2024'!$D$6:$D$1413,$B164,'февраль 2024'!$J$6:$J$1413,T$1)</f>
        <v>0</v>
      </c>
      <c r="U164" s="80">
        <f>SUMIFS('февраль 2024'!$G$6:$G$1413,'февраль 2024'!$D$6:$D$1413,$B164,'февраль 2024'!$J$6:$J$1413,U$1)</f>
        <v>0</v>
      </c>
      <c r="V164" s="80">
        <f>SUMIFS('февраль 2024'!$G$6:$G$1413,'февраль 2024'!$D$6:$D$1413,$B164,'февраль 2024'!$J$6:$J$1413,V$1)</f>
        <v>0</v>
      </c>
      <c r="W164" s="80">
        <f>SUMIFS('февраль 2024'!$G$6:$G$1413,'февраль 2024'!$D$6:$D$1413,$B164,'февраль 2024'!$J$6:$J$1413,W$1)</f>
        <v>0</v>
      </c>
      <c r="X164" s="80">
        <f>SUMIFS('февраль 2024'!$G$6:$G$1413,'февраль 2024'!$D$6:$D$1413,$B164,'февраль 2024'!$J$6:$J$1413,X$1)</f>
        <v>0</v>
      </c>
      <c r="Y164" s="80">
        <f>SUMIFS('февраль 2024'!$G$6:$G$1413,'февраль 2024'!$D$6:$D$1413,$B164,'февраль 2024'!$J$6:$J$1413,Y$1)</f>
        <v>0</v>
      </c>
      <c r="Z164" s="80">
        <f>SUMIFS('февраль 2024'!$G$6:$G$1413,'февраль 2024'!$D$6:$D$1413,$B164,'февраль 2024'!$J$6:$J$1413,Z$1)</f>
        <v>0</v>
      </c>
      <c r="AA164" s="80">
        <f>SUMIFS('февраль 2024'!$G$6:$G$1413,'февраль 2024'!$D$6:$D$1413,$B164,'февраль 2024'!$J$6:$J$1413,AA$1)</f>
        <v>0</v>
      </c>
      <c r="AB164" s="80">
        <f>SUMIFS('февраль 2024'!$G$6:$G$1413,'февраль 2024'!$D$6:$D$1413,$B164,'февраль 2024'!$J$6:$J$1413,AB$1)</f>
        <v>0</v>
      </c>
      <c r="AC164" s="80">
        <f>SUMIFS('февраль 2024'!$G$6:$G$1413,'февраль 2024'!$D$6:$D$1413,$B164,'февраль 2024'!$J$6:$J$1413,AC$1)</f>
        <v>0</v>
      </c>
      <c r="AD164" s="80">
        <f>SUMIFS('февраль 2024'!$G$6:$G$1413,'февраль 2024'!$D$6:$D$1413,$B164,'февраль 2024'!$J$6:$J$1413,AD$1)</f>
        <v>0</v>
      </c>
      <c r="AE164" s="80">
        <f>SUMIFS('февраль 2024'!$G$6:$G$1413,'февраль 2024'!$D$6:$D$1413,$B164,'февраль 2024'!$J$6:$J$1413,AE$1)</f>
        <v>0</v>
      </c>
      <c r="AF164" s="80">
        <f>SUMIFS('февраль 2024'!$G$6:$G$1413,'февраль 2024'!$D$6:$D$1413,$B164,'февраль 2024'!$J$6:$J$1413,AF$1)</f>
        <v>0</v>
      </c>
      <c r="AG164" s="80">
        <f>SUMIFS('февраль 2024'!$G$6:$G$1413,'февраль 2024'!$D$6:$D$1413,$B164,'февраль 2024'!$J$6:$J$1413,AG$1)</f>
        <v>0</v>
      </c>
      <c r="AH164" s="80">
        <f>SUMIFS('февраль 2024'!$G$6:$G$1413,'февраль 2024'!$D$6:$D$1413,$B164,'февраль 2024'!$J$6:$J$1413,AH$1)</f>
        <v>0</v>
      </c>
      <c r="AI164" s="87"/>
    </row>
    <row r="165" spans="2:35" ht="15" hidden="1" customHeight="1" x14ac:dyDescent="0.25">
      <c r="B165" s="89"/>
      <c r="C165" s="90"/>
      <c r="D165" s="80">
        <f>SUMIFS('февраль 2024'!$G$6:$G$1413,'февраль 2024'!$D$6:$D$1413,$B165,'февраль 2024'!$J$6:$J$1413,D$1)</f>
        <v>0</v>
      </c>
      <c r="E165" s="80">
        <f>SUMIFS('февраль 2024'!$G$6:$G$1413,'февраль 2024'!$D$6:$D$1413,$B165,'февраль 2024'!$J$6:$J$1413,E$1)</f>
        <v>0</v>
      </c>
      <c r="F165" s="80">
        <f>SUMIFS('февраль 2024'!$G$6:$G$1413,'февраль 2024'!$D$6:$D$1413,$B165,'февраль 2024'!$J$6:$J$1413,F$1)</f>
        <v>0</v>
      </c>
      <c r="G165" s="80">
        <f>SUMIFS('февраль 2024'!$G$6:$G$1413,'февраль 2024'!$D$6:$D$1413,$B165,'февраль 2024'!$J$6:$J$1413,G$1)</f>
        <v>0</v>
      </c>
      <c r="H165" s="80">
        <f>SUMIFS('февраль 2024'!$G$6:$G$1413,'февраль 2024'!$D$6:$D$1413,$B165,'февраль 2024'!$J$6:$J$1413,H$1)</f>
        <v>0</v>
      </c>
      <c r="I165" s="80">
        <f>SUMIFS('февраль 2024'!$G$6:$G$1413,'февраль 2024'!$D$6:$D$1413,$B165,'февраль 2024'!$J$6:$J$1413,I$1)</f>
        <v>0</v>
      </c>
      <c r="J165" s="80">
        <f>SUMIFS('февраль 2024'!$G$6:$G$1413,'февраль 2024'!$D$6:$D$1413,$B165,'февраль 2024'!$J$6:$J$1413,J$1)</f>
        <v>0</v>
      </c>
      <c r="K165" s="80">
        <f>SUMIFS('февраль 2024'!$G$6:$G$1413,'февраль 2024'!$D$6:$D$1413,$B165,'февраль 2024'!$J$6:$J$1413,K$1)</f>
        <v>0</v>
      </c>
      <c r="L165" s="80">
        <f>SUMIFS('февраль 2024'!$G$6:$G$1413,'февраль 2024'!$D$6:$D$1413,$B165,'февраль 2024'!$J$6:$J$1413,L$1)</f>
        <v>0</v>
      </c>
      <c r="M165" s="80">
        <f>SUMIFS('февраль 2024'!$G$6:$G$1413,'февраль 2024'!$D$6:$D$1413,$B165,'февраль 2024'!$J$6:$J$1413,M$1)</f>
        <v>0</v>
      </c>
      <c r="N165" s="80">
        <f>SUMIFS('февраль 2024'!$G$6:$G$1413,'февраль 2024'!$D$6:$D$1413,$B165,'февраль 2024'!$J$6:$J$1413,N$1)</f>
        <v>0</v>
      </c>
      <c r="O165" s="80">
        <f>SUMIFS('февраль 2024'!$G$6:$G$1413,'февраль 2024'!$D$6:$D$1413,$B165,'февраль 2024'!$J$6:$J$1413,O$1)</f>
        <v>0</v>
      </c>
      <c r="P165" s="80">
        <f>SUMIFS('февраль 2024'!$G$6:$G$1413,'февраль 2024'!$D$6:$D$1413,$B165,'февраль 2024'!$J$6:$J$1413,P$1)</f>
        <v>0</v>
      </c>
      <c r="Q165" s="80">
        <f>SUMIFS('февраль 2024'!$G$6:$G$1413,'февраль 2024'!$D$6:$D$1413,$B165,'февраль 2024'!$J$6:$J$1413,Q$1)</f>
        <v>0</v>
      </c>
      <c r="R165" s="80">
        <f>SUMIFS('февраль 2024'!$G$6:$G$1413,'февраль 2024'!$D$6:$D$1413,$B165,'февраль 2024'!$J$6:$J$1413,R$1)</f>
        <v>0</v>
      </c>
      <c r="S165" s="80">
        <f>SUMIFS('февраль 2024'!$G$6:$G$1413,'февраль 2024'!$D$6:$D$1413,$B165,'февраль 2024'!$J$6:$J$1413,S$1)</f>
        <v>0</v>
      </c>
      <c r="T165" s="80">
        <f>SUMIFS('февраль 2024'!$G$6:$G$1413,'февраль 2024'!$D$6:$D$1413,$B165,'февраль 2024'!$J$6:$J$1413,T$1)</f>
        <v>0</v>
      </c>
      <c r="U165" s="80">
        <f>SUMIFS('февраль 2024'!$G$6:$G$1413,'февраль 2024'!$D$6:$D$1413,$B165,'февраль 2024'!$J$6:$J$1413,U$1)</f>
        <v>0</v>
      </c>
      <c r="V165" s="80">
        <f>SUMIFS('февраль 2024'!$G$6:$G$1413,'февраль 2024'!$D$6:$D$1413,$B165,'февраль 2024'!$J$6:$J$1413,V$1)</f>
        <v>0</v>
      </c>
      <c r="W165" s="80">
        <f>SUMIFS('февраль 2024'!$G$6:$G$1413,'февраль 2024'!$D$6:$D$1413,$B165,'февраль 2024'!$J$6:$J$1413,W$1)</f>
        <v>0</v>
      </c>
      <c r="X165" s="80">
        <f>SUMIFS('февраль 2024'!$G$6:$G$1413,'февраль 2024'!$D$6:$D$1413,$B165,'февраль 2024'!$J$6:$J$1413,X$1)</f>
        <v>0</v>
      </c>
      <c r="Y165" s="80">
        <f>SUMIFS('февраль 2024'!$G$6:$G$1413,'февраль 2024'!$D$6:$D$1413,$B165,'февраль 2024'!$J$6:$J$1413,Y$1)</f>
        <v>0</v>
      </c>
      <c r="Z165" s="80">
        <f>SUMIFS('февраль 2024'!$G$6:$G$1413,'февраль 2024'!$D$6:$D$1413,$B165,'февраль 2024'!$J$6:$J$1413,Z$1)</f>
        <v>0</v>
      </c>
      <c r="AA165" s="80">
        <f>SUMIFS('февраль 2024'!$G$6:$G$1413,'февраль 2024'!$D$6:$D$1413,$B165,'февраль 2024'!$J$6:$J$1413,AA$1)</f>
        <v>0</v>
      </c>
      <c r="AB165" s="80">
        <f>SUMIFS('февраль 2024'!$G$6:$G$1413,'февраль 2024'!$D$6:$D$1413,$B165,'февраль 2024'!$J$6:$J$1413,AB$1)</f>
        <v>0</v>
      </c>
      <c r="AC165" s="80">
        <f>SUMIFS('февраль 2024'!$G$6:$G$1413,'февраль 2024'!$D$6:$D$1413,$B165,'февраль 2024'!$J$6:$J$1413,AC$1)</f>
        <v>0</v>
      </c>
      <c r="AD165" s="80">
        <f>SUMIFS('февраль 2024'!$G$6:$G$1413,'февраль 2024'!$D$6:$D$1413,$B165,'февраль 2024'!$J$6:$J$1413,AD$1)</f>
        <v>0</v>
      </c>
      <c r="AE165" s="80">
        <f>SUMIFS('февраль 2024'!$G$6:$G$1413,'февраль 2024'!$D$6:$D$1413,$B165,'февраль 2024'!$J$6:$J$1413,AE$1)</f>
        <v>0</v>
      </c>
      <c r="AF165" s="80">
        <f>SUMIFS('февраль 2024'!$G$6:$G$1413,'февраль 2024'!$D$6:$D$1413,$B165,'февраль 2024'!$J$6:$J$1413,AF$1)</f>
        <v>0</v>
      </c>
      <c r="AG165" s="80">
        <f>SUMIFS('февраль 2024'!$G$6:$G$1413,'февраль 2024'!$D$6:$D$1413,$B165,'февраль 2024'!$J$6:$J$1413,AG$1)</f>
        <v>0</v>
      </c>
      <c r="AH165" s="80">
        <f>SUMIFS('февраль 2024'!$G$6:$G$1413,'февраль 2024'!$D$6:$D$1413,$B165,'февраль 2024'!$J$6:$J$1413,AH$1)</f>
        <v>0</v>
      </c>
      <c r="AI165" s="87"/>
    </row>
    <row r="166" spans="2:35" ht="15" hidden="1" customHeight="1" x14ac:dyDescent="0.25">
      <c r="B166" s="89"/>
      <c r="C166" s="91"/>
      <c r="D166" s="80">
        <f>SUMIFS('февраль 2024'!$G$6:$G$1413,'февраль 2024'!$D$6:$D$1413,$B166,'февраль 2024'!$J$6:$J$1413,D$1)</f>
        <v>0</v>
      </c>
      <c r="E166" s="80">
        <f>SUMIFS('февраль 2024'!$G$6:$G$1413,'февраль 2024'!$D$6:$D$1413,$B166,'февраль 2024'!$J$6:$J$1413,E$1)</f>
        <v>0</v>
      </c>
      <c r="F166" s="80">
        <f>SUMIFS('февраль 2024'!$G$6:$G$1413,'февраль 2024'!$D$6:$D$1413,$B166,'февраль 2024'!$J$6:$J$1413,F$1)</f>
        <v>0</v>
      </c>
      <c r="G166" s="80">
        <f>SUMIFS('февраль 2024'!$G$6:$G$1413,'февраль 2024'!$D$6:$D$1413,$B166,'февраль 2024'!$J$6:$J$1413,G$1)</f>
        <v>0</v>
      </c>
      <c r="H166" s="80">
        <f>SUMIFS('февраль 2024'!$G$6:$G$1413,'февраль 2024'!$D$6:$D$1413,$B166,'февраль 2024'!$J$6:$J$1413,H$1)</f>
        <v>0</v>
      </c>
      <c r="I166" s="80">
        <f>SUMIFS('февраль 2024'!$G$6:$G$1413,'февраль 2024'!$D$6:$D$1413,$B166,'февраль 2024'!$J$6:$J$1413,I$1)</f>
        <v>0</v>
      </c>
      <c r="J166" s="80">
        <f>SUMIFS('февраль 2024'!$G$6:$G$1413,'февраль 2024'!$D$6:$D$1413,$B166,'февраль 2024'!$J$6:$J$1413,J$1)</f>
        <v>0</v>
      </c>
      <c r="K166" s="80">
        <f>SUMIFS('февраль 2024'!$G$6:$G$1413,'февраль 2024'!$D$6:$D$1413,$B166,'февраль 2024'!$J$6:$J$1413,K$1)</f>
        <v>0</v>
      </c>
      <c r="L166" s="80">
        <f>SUMIFS('февраль 2024'!$G$6:$G$1413,'февраль 2024'!$D$6:$D$1413,$B166,'февраль 2024'!$J$6:$J$1413,L$1)</f>
        <v>0</v>
      </c>
      <c r="M166" s="80">
        <f>SUMIFS('февраль 2024'!$G$6:$G$1413,'февраль 2024'!$D$6:$D$1413,$B166,'февраль 2024'!$J$6:$J$1413,M$1)</f>
        <v>0</v>
      </c>
      <c r="N166" s="80">
        <f>SUMIFS('февраль 2024'!$G$6:$G$1413,'февраль 2024'!$D$6:$D$1413,$B166,'февраль 2024'!$J$6:$J$1413,N$1)</f>
        <v>0</v>
      </c>
      <c r="O166" s="80">
        <f>SUMIFS('февраль 2024'!$G$6:$G$1413,'февраль 2024'!$D$6:$D$1413,$B166,'февраль 2024'!$J$6:$J$1413,O$1)</f>
        <v>0</v>
      </c>
      <c r="P166" s="80">
        <f>SUMIFS('февраль 2024'!$G$6:$G$1413,'февраль 2024'!$D$6:$D$1413,$B166,'февраль 2024'!$J$6:$J$1413,P$1)</f>
        <v>0</v>
      </c>
      <c r="Q166" s="80">
        <f>SUMIFS('февраль 2024'!$G$6:$G$1413,'февраль 2024'!$D$6:$D$1413,$B166,'февраль 2024'!$J$6:$J$1413,Q$1)</f>
        <v>0</v>
      </c>
      <c r="R166" s="80">
        <f>SUMIFS('февраль 2024'!$G$6:$G$1413,'февраль 2024'!$D$6:$D$1413,$B166,'февраль 2024'!$J$6:$J$1413,R$1)</f>
        <v>0</v>
      </c>
      <c r="S166" s="80">
        <f>SUMIFS('февраль 2024'!$G$6:$G$1413,'февраль 2024'!$D$6:$D$1413,$B166,'февраль 2024'!$J$6:$J$1413,S$1)</f>
        <v>0</v>
      </c>
      <c r="T166" s="80">
        <f>SUMIFS('февраль 2024'!$G$6:$G$1413,'февраль 2024'!$D$6:$D$1413,$B166,'февраль 2024'!$J$6:$J$1413,T$1)</f>
        <v>0</v>
      </c>
      <c r="U166" s="80">
        <f>SUMIFS('февраль 2024'!$G$6:$G$1413,'февраль 2024'!$D$6:$D$1413,$B166,'февраль 2024'!$J$6:$J$1413,U$1)</f>
        <v>0</v>
      </c>
      <c r="V166" s="80">
        <f>SUMIFS('февраль 2024'!$G$6:$G$1413,'февраль 2024'!$D$6:$D$1413,$B166,'февраль 2024'!$J$6:$J$1413,V$1)</f>
        <v>0</v>
      </c>
      <c r="W166" s="80">
        <f>SUMIFS('февраль 2024'!$G$6:$G$1413,'февраль 2024'!$D$6:$D$1413,$B166,'февраль 2024'!$J$6:$J$1413,W$1)</f>
        <v>0</v>
      </c>
      <c r="X166" s="80">
        <f>SUMIFS('февраль 2024'!$G$6:$G$1413,'февраль 2024'!$D$6:$D$1413,$B166,'февраль 2024'!$J$6:$J$1413,X$1)</f>
        <v>0</v>
      </c>
      <c r="Y166" s="80">
        <f>SUMIFS('февраль 2024'!$G$6:$G$1413,'февраль 2024'!$D$6:$D$1413,$B166,'февраль 2024'!$J$6:$J$1413,Y$1)</f>
        <v>0</v>
      </c>
      <c r="Z166" s="80">
        <f>SUMIFS('февраль 2024'!$G$6:$G$1413,'февраль 2024'!$D$6:$D$1413,$B166,'февраль 2024'!$J$6:$J$1413,Z$1)</f>
        <v>0</v>
      </c>
      <c r="AA166" s="80">
        <f>SUMIFS('февраль 2024'!$G$6:$G$1413,'февраль 2024'!$D$6:$D$1413,$B166,'февраль 2024'!$J$6:$J$1413,AA$1)</f>
        <v>0</v>
      </c>
      <c r="AB166" s="80">
        <f>SUMIFS('февраль 2024'!$G$6:$G$1413,'февраль 2024'!$D$6:$D$1413,$B166,'февраль 2024'!$J$6:$J$1413,AB$1)</f>
        <v>0</v>
      </c>
      <c r="AC166" s="80">
        <f>SUMIFS('февраль 2024'!$G$6:$G$1413,'февраль 2024'!$D$6:$D$1413,$B166,'февраль 2024'!$J$6:$J$1413,AC$1)</f>
        <v>0</v>
      </c>
      <c r="AD166" s="80">
        <f>SUMIFS('февраль 2024'!$G$6:$G$1413,'февраль 2024'!$D$6:$D$1413,$B166,'февраль 2024'!$J$6:$J$1413,AD$1)</f>
        <v>0</v>
      </c>
      <c r="AE166" s="80">
        <f>SUMIFS('февраль 2024'!$G$6:$G$1413,'февраль 2024'!$D$6:$D$1413,$B166,'февраль 2024'!$J$6:$J$1413,AE$1)</f>
        <v>0</v>
      </c>
      <c r="AF166" s="80">
        <f>SUMIFS('февраль 2024'!$G$6:$G$1413,'февраль 2024'!$D$6:$D$1413,$B166,'февраль 2024'!$J$6:$J$1413,AF$1)</f>
        <v>0</v>
      </c>
      <c r="AG166" s="80">
        <f>SUMIFS('февраль 2024'!$G$6:$G$1413,'февраль 2024'!$D$6:$D$1413,$B166,'февраль 2024'!$J$6:$J$1413,AG$1)</f>
        <v>0</v>
      </c>
      <c r="AH166" s="80">
        <f>SUMIFS('февраль 2024'!$G$6:$G$1413,'февраль 2024'!$D$6:$D$1413,$B166,'февраль 2024'!$J$6:$J$1413,AH$1)</f>
        <v>0</v>
      </c>
      <c r="AI166" s="87"/>
    </row>
    <row r="167" spans="2:35" ht="15" hidden="1" customHeight="1" x14ac:dyDescent="0.25">
      <c r="B167" s="93"/>
      <c r="C167" s="91"/>
      <c r="D167" s="80">
        <f>SUMIFS('февраль 2024'!$G$6:$G$1413,'февраль 2024'!$D$6:$D$1413,$B167,'февраль 2024'!$J$6:$J$1413,D$1)</f>
        <v>0</v>
      </c>
      <c r="E167" s="80">
        <f>SUMIFS('февраль 2024'!$G$6:$G$1413,'февраль 2024'!$D$6:$D$1413,$B167,'февраль 2024'!$J$6:$J$1413,E$1)</f>
        <v>0</v>
      </c>
      <c r="F167" s="80">
        <f>SUMIFS('февраль 2024'!$G$6:$G$1413,'февраль 2024'!$D$6:$D$1413,$B167,'февраль 2024'!$J$6:$J$1413,F$1)</f>
        <v>0</v>
      </c>
      <c r="G167" s="80">
        <f>SUMIFS('февраль 2024'!$G$6:$G$1413,'февраль 2024'!$D$6:$D$1413,$B167,'февраль 2024'!$J$6:$J$1413,G$1)</f>
        <v>0</v>
      </c>
      <c r="H167" s="80">
        <f>SUMIFS('февраль 2024'!$G$6:$G$1413,'февраль 2024'!$D$6:$D$1413,$B167,'февраль 2024'!$J$6:$J$1413,H$1)</f>
        <v>0</v>
      </c>
      <c r="I167" s="80">
        <f>SUMIFS('февраль 2024'!$G$6:$G$1413,'февраль 2024'!$D$6:$D$1413,$B167,'февраль 2024'!$J$6:$J$1413,I$1)</f>
        <v>0</v>
      </c>
      <c r="J167" s="80">
        <f>SUMIFS('февраль 2024'!$G$6:$G$1413,'февраль 2024'!$D$6:$D$1413,$B167,'февраль 2024'!$J$6:$J$1413,J$1)</f>
        <v>0</v>
      </c>
      <c r="K167" s="80">
        <f>SUMIFS('февраль 2024'!$G$6:$G$1413,'февраль 2024'!$D$6:$D$1413,$B167,'февраль 2024'!$J$6:$J$1413,K$1)</f>
        <v>0</v>
      </c>
      <c r="L167" s="80">
        <f>SUMIFS('февраль 2024'!$G$6:$G$1413,'февраль 2024'!$D$6:$D$1413,$B167,'февраль 2024'!$J$6:$J$1413,L$1)</f>
        <v>0</v>
      </c>
      <c r="M167" s="80">
        <f>SUMIFS('февраль 2024'!$G$6:$G$1413,'февраль 2024'!$D$6:$D$1413,$B167,'февраль 2024'!$J$6:$J$1413,M$1)</f>
        <v>0</v>
      </c>
      <c r="N167" s="80">
        <f>SUMIFS('февраль 2024'!$G$6:$G$1413,'февраль 2024'!$D$6:$D$1413,$B167,'февраль 2024'!$J$6:$J$1413,N$1)</f>
        <v>0</v>
      </c>
      <c r="O167" s="80">
        <f>SUMIFS('февраль 2024'!$G$6:$G$1413,'февраль 2024'!$D$6:$D$1413,$B167,'февраль 2024'!$J$6:$J$1413,O$1)</f>
        <v>0</v>
      </c>
      <c r="P167" s="80">
        <f>SUMIFS('февраль 2024'!$G$6:$G$1413,'февраль 2024'!$D$6:$D$1413,$B167,'февраль 2024'!$J$6:$J$1413,P$1)</f>
        <v>0</v>
      </c>
      <c r="Q167" s="80">
        <f>SUMIFS('февраль 2024'!$G$6:$G$1413,'февраль 2024'!$D$6:$D$1413,$B167,'февраль 2024'!$J$6:$J$1413,Q$1)</f>
        <v>0</v>
      </c>
      <c r="R167" s="80">
        <f>SUMIFS('февраль 2024'!$G$6:$G$1413,'февраль 2024'!$D$6:$D$1413,$B167,'февраль 2024'!$J$6:$J$1413,R$1)</f>
        <v>0</v>
      </c>
      <c r="S167" s="80">
        <f>SUMIFS('февраль 2024'!$G$6:$G$1413,'февраль 2024'!$D$6:$D$1413,$B167,'февраль 2024'!$J$6:$J$1413,S$1)</f>
        <v>0</v>
      </c>
      <c r="T167" s="80">
        <f>SUMIFS('февраль 2024'!$G$6:$G$1413,'февраль 2024'!$D$6:$D$1413,$B167,'февраль 2024'!$J$6:$J$1413,T$1)</f>
        <v>0</v>
      </c>
      <c r="U167" s="80">
        <f>SUMIFS('февраль 2024'!$G$6:$G$1413,'февраль 2024'!$D$6:$D$1413,$B167,'февраль 2024'!$J$6:$J$1413,U$1)</f>
        <v>0</v>
      </c>
      <c r="V167" s="80">
        <f>SUMIFS('февраль 2024'!$G$6:$G$1413,'февраль 2024'!$D$6:$D$1413,$B167,'февраль 2024'!$J$6:$J$1413,V$1)</f>
        <v>0</v>
      </c>
      <c r="W167" s="80">
        <f>SUMIFS('февраль 2024'!$G$6:$G$1413,'февраль 2024'!$D$6:$D$1413,$B167,'февраль 2024'!$J$6:$J$1413,W$1)</f>
        <v>0</v>
      </c>
      <c r="X167" s="80">
        <f>SUMIFS('февраль 2024'!$G$6:$G$1413,'февраль 2024'!$D$6:$D$1413,$B167,'февраль 2024'!$J$6:$J$1413,X$1)</f>
        <v>0</v>
      </c>
      <c r="Y167" s="80">
        <f>SUMIFS('февраль 2024'!$G$6:$G$1413,'февраль 2024'!$D$6:$D$1413,$B167,'февраль 2024'!$J$6:$J$1413,Y$1)</f>
        <v>0</v>
      </c>
      <c r="Z167" s="80">
        <f>SUMIFS('февраль 2024'!$G$6:$G$1413,'февраль 2024'!$D$6:$D$1413,$B167,'февраль 2024'!$J$6:$J$1413,Z$1)</f>
        <v>0</v>
      </c>
      <c r="AA167" s="80">
        <f>SUMIFS('февраль 2024'!$G$6:$G$1413,'февраль 2024'!$D$6:$D$1413,$B167,'февраль 2024'!$J$6:$J$1413,AA$1)</f>
        <v>0</v>
      </c>
      <c r="AB167" s="80">
        <f>SUMIFS('февраль 2024'!$G$6:$G$1413,'февраль 2024'!$D$6:$D$1413,$B167,'февраль 2024'!$J$6:$J$1413,AB$1)</f>
        <v>0</v>
      </c>
      <c r="AC167" s="80">
        <f>SUMIFS('февраль 2024'!$G$6:$G$1413,'февраль 2024'!$D$6:$D$1413,$B167,'февраль 2024'!$J$6:$J$1413,AC$1)</f>
        <v>0</v>
      </c>
      <c r="AD167" s="80">
        <f>SUMIFS('февраль 2024'!$G$6:$G$1413,'февраль 2024'!$D$6:$D$1413,$B167,'февраль 2024'!$J$6:$J$1413,AD$1)</f>
        <v>0</v>
      </c>
      <c r="AE167" s="80">
        <f>SUMIFS('февраль 2024'!$G$6:$G$1413,'февраль 2024'!$D$6:$D$1413,$B167,'февраль 2024'!$J$6:$J$1413,AE$1)</f>
        <v>0</v>
      </c>
      <c r="AF167" s="80">
        <f>SUMIFS('февраль 2024'!$G$6:$G$1413,'февраль 2024'!$D$6:$D$1413,$B167,'февраль 2024'!$J$6:$J$1413,AF$1)</f>
        <v>0</v>
      </c>
      <c r="AG167" s="80">
        <f>SUMIFS('февраль 2024'!$G$6:$G$1413,'февраль 2024'!$D$6:$D$1413,$B167,'февраль 2024'!$J$6:$J$1413,AG$1)</f>
        <v>0</v>
      </c>
      <c r="AH167" s="80">
        <f>SUMIFS('февраль 2024'!$G$6:$G$1413,'февраль 2024'!$D$6:$D$1413,$B167,'февраль 2024'!$J$6:$J$1413,AH$1)</f>
        <v>0</v>
      </c>
      <c r="AI167" s="87"/>
    </row>
    <row r="168" spans="2:35" ht="15" hidden="1" customHeight="1" x14ac:dyDescent="0.25">
      <c r="B168" s="89"/>
      <c r="C168" s="88"/>
      <c r="D168" s="80">
        <f>SUMIFS('февраль 2024'!$G$6:$G$1413,'февраль 2024'!$D$6:$D$1413,$B168,'февраль 2024'!$J$6:$J$1413,D$1)</f>
        <v>0</v>
      </c>
      <c r="E168" s="80">
        <f>SUMIFS('февраль 2024'!$G$6:$G$1413,'февраль 2024'!$D$6:$D$1413,$B168,'февраль 2024'!$J$6:$J$1413,E$1)</f>
        <v>0</v>
      </c>
      <c r="F168" s="80">
        <f>SUMIFS('февраль 2024'!$G$6:$G$1413,'февраль 2024'!$D$6:$D$1413,$B168,'февраль 2024'!$J$6:$J$1413,F$1)</f>
        <v>0</v>
      </c>
      <c r="G168" s="80">
        <f>SUMIFS('февраль 2024'!$G$6:$G$1413,'февраль 2024'!$D$6:$D$1413,$B168,'февраль 2024'!$J$6:$J$1413,G$1)</f>
        <v>0</v>
      </c>
      <c r="H168" s="80">
        <f>SUMIFS('февраль 2024'!$G$6:$G$1413,'февраль 2024'!$D$6:$D$1413,$B168,'февраль 2024'!$J$6:$J$1413,H$1)</f>
        <v>0</v>
      </c>
      <c r="I168" s="80">
        <f>SUMIFS('февраль 2024'!$G$6:$G$1413,'февраль 2024'!$D$6:$D$1413,$B168,'февраль 2024'!$J$6:$J$1413,I$1)</f>
        <v>0</v>
      </c>
      <c r="J168" s="80">
        <f>SUMIFS('февраль 2024'!$G$6:$G$1413,'февраль 2024'!$D$6:$D$1413,$B168,'февраль 2024'!$J$6:$J$1413,J$1)</f>
        <v>0</v>
      </c>
      <c r="K168" s="80">
        <f>SUMIFS('февраль 2024'!$G$6:$G$1413,'февраль 2024'!$D$6:$D$1413,$B168,'февраль 2024'!$J$6:$J$1413,K$1)</f>
        <v>0</v>
      </c>
      <c r="L168" s="80">
        <f>SUMIFS('февраль 2024'!$G$6:$G$1413,'февраль 2024'!$D$6:$D$1413,$B168,'февраль 2024'!$J$6:$J$1413,L$1)</f>
        <v>0</v>
      </c>
      <c r="M168" s="80">
        <f>SUMIFS('февраль 2024'!$G$6:$G$1413,'февраль 2024'!$D$6:$D$1413,$B168,'февраль 2024'!$J$6:$J$1413,M$1)</f>
        <v>0</v>
      </c>
      <c r="N168" s="80">
        <f>SUMIFS('февраль 2024'!$G$6:$G$1413,'февраль 2024'!$D$6:$D$1413,$B168,'февраль 2024'!$J$6:$J$1413,N$1)</f>
        <v>0</v>
      </c>
      <c r="O168" s="80">
        <f>SUMIFS('февраль 2024'!$G$6:$G$1413,'февраль 2024'!$D$6:$D$1413,$B168,'февраль 2024'!$J$6:$J$1413,O$1)</f>
        <v>0</v>
      </c>
      <c r="P168" s="80">
        <f>SUMIFS('февраль 2024'!$G$6:$G$1413,'февраль 2024'!$D$6:$D$1413,$B168,'февраль 2024'!$J$6:$J$1413,P$1)</f>
        <v>0</v>
      </c>
      <c r="Q168" s="80">
        <f>SUMIFS('февраль 2024'!$G$6:$G$1413,'февраль 2024'!$D$6:$D$1413,$B168,'февраль 2024'!$J$6:$J$1413,Q$1)</f>
        <v>0</v>
      </c>
      <c r="R168" s="80">
        <f>SUMIFS('февраль 2024'!$G$6:$G$1413,'февраль 2024'!$D$6:$D$1413,$B168,'февраль 2024'!$J$6:$J$1413,R$1)</f>
        <v>0</v>
      </c>
      <c r="S168" s="80">
        <f>SUMIFS('февраль 2024'!$G$6:$G$1413,'февраль 2024'!$D$6:$D$1413,$B168,'февраль 2024'!$J$6:$J$1413,S$1)</f>
        <v>0</v>
      </c>
      <c r="T168" s="80">
        <f>SUMIFS('февраль 2024'!$G$6:$G$1413,'февраль 2024'!$D$6:$D$1413,$B168,'февраль 2024'!$J$6:$J$1413,T$1)</f>
        <v>0</v>
      </c>
      <c r="U168" s="80">
        <f>SUMIFS('февраль 2024'!$G$6:$G$1413,'февраль 2024'!$D$6:$D$1413,$B168,'февраль 2024'!$J$6:$J$1413,U$1)</f>
        <v>0</v>
      </c>
      <c r="V168" s="80">
        <f>SUMIFS('февраль 2024'!$G$6:$G$1413,'февраль 2024'!$D$6:$D$1413,$B168,'февраль 2024'!$J$6:$J$1413,V$1)</f>
        <v>0</v>
      </c>
      <c r="W168" s="80">
        <f>SUMIFS('февраль 2024'!$G$6:$G$1413,'февраль 2024'!$D$6:$D$1413,$B168,'февраль 2024'!$J$6:$J$1413,W$1)</f>
        <v>0</v>
      </c>
      <c r="X168" s="80">
        <f>SUMIFS('февраль 2024'!$G$6:$G$1413,'февраль 2024'!$D$6:$D$1413,$B168,'февраль 2024'!$J$6:$J$1413,X$1)</f>
        <v>0</v>
      </c>
      <c r="Y168" s="80">
        <f>SUMIFS('февраль 2024'!$G$6:$G$1413,'февраль 2024'!$D$6:$D$1413,$B168,'февраль 2024'!$J$6:$J$1413,Y$1)</f>
        <v>0</v>
      </c>
      <c r="Z168" s="80">
        <f>SUMIFS('февраль 2024'!$G$6:$G$1413,'февраль 2024'!$D$6:$D$1413,$B168,'февраль 2024'!$J$6:$J$1413,Z$1)</f>
        <v>0</v>
      </c>
      <c r="AA168" s="80">
        <f>SUMIFS('февраль 2024'!$G$6:$G$1413,'февраль 2024'!$D$6:$D$1413,$B168,'февраль 2024'!$J$6:$J$1413,AA$1)</f>
        <v>0</v>
      </c>
      <c r="AB168" s="80">
        <f>SUMIFS('февраль 2024'!$G$6:$G$1413,'февраль 2024'!$D$6:$D$1413,$B168,'февраль 2024'!$J$6:$J$1413,AB$1)</f>
        <v>0</v>
      </c>
      <c r="AC168" s="80">
        <f>SUMIFS('февраль 2024'!$G$6:$G$1413,'февраль 2024'!$D$6:$D$1413,$B168,'февраль 2024'!$J$6:$J$1413,AC$1)</f>
        <v>0</v>
      </c>
      <c r="AD168" s="80">
        <f>SUMIFS('февраль 2024'!$G$6:$G$1413,'февраль 2024'!$D$6:$D$1413,$B168,'февраль 2024'!$J$6:$J$1413,AD$1)</f>
        <v>0</v>
      </c>
      <c r="AE168" s="80">
        <f>SUMIFS('февраль 2024'!$G$6:$G$1413,'февраль 2024'!$D$6:$D$1413,$B168,'февраль 2024'!$J$6:$J$1413,AE$1)</f>
        <v>0</v>
      </c>
      <c r="AF168" s="80">
        <f>SUMIFS('февраль 2024'!$G$6:$G$1413,'февраль 2024'!$D$6:$D$1413,$B168,'февраль 2024'!$J$6:$J$1413,AF$1)</f>
        <v>0</v>
      </c>
      <c r="AG168" s="80">
        <f>SUMIFS('февраль 2024'!$G$6:$G$1413,'февраль 2024'!$D$6:$D$1413,$B168,'февраль 2024'!$J$6:$J$1413,AG$1)</f>
        <v>0</v>
      </c>
      <c r="AH168" s="80">
        <f>SUMIFS('февраль 2024'!$G$6:$G$1413,'февраль 2024'!$D$6:$D$1413,$B168,'февраль 2024'!$J$6:$J$1413,AH$1)</f>
        <v>0</v>
      </c>
      <c r="AI168" s="87"/>
    </row>
    <row r="169" spans="2:35" ht="15" hidden="1" customHeight="1" x14ac:dyDescent="0.25">
      <c r="B169" s="89"/>
      <c r="C169" s="91"/>
      <c r="D169" s="80">
        <f>SUMIFS('февраль 2024'!$G$6:$G$1413,'февраль 2024'!$D$6:$D$1413,$B169,'февраль 2024'!$J$6:$J$1413,D$1)</f>
        <v>0</v>
      </c>
      <c r="E169" s="80">
        <f>SUMIFS('февраль 2024'!$G$6:$G$1413,'февраль 2024'!$D$6:$D$1413,$B169,'февраль 2024'!$J$6:$J$1413,E$1)</f>
        <v>0</v>
      </c>
      <c r="F169" s="80">
        <f>SUMIFS('февраль 2024'!$G$6:$G$1413,'февраль 2024'!$D$6:$D$1413,$B169,'февраль 2024'!$J$6:$J$1413,F$1)</f>
        <v>0</v>
      </c>
      <c r="G169" s="80">
        <f>SUMIFS('февраль 2024'!$G$6:$G$1413,'февраль 2024'!$D$6:$D$1413,$B169,'февраль 2024'!$J$6:$J$1413,G$1)</f>
        <v>0</v>
      </c>
      <c r="H169" s="80">
        <f>SUMIFS('февраль 2024'!$G$6:$G$1413,'февраль 2024'!$D$6:$D$1413,$B169,'февраль 2024'!$J$6:$J$1413,H$1)</f>
        <v>0</v>
      </c>
      <c r="I169" s="80">
        <f>SUMIFS('февраль 2024'!$G$6:$G$1413,'февраль 2024'!$D$6:$D$1413,$B169,'февраль 2024'!$J$6:$J$1413,I$1)</f>
        <v>0</v>
      </c>
      <c r="J169" s="80">
        <f>SUMIFS('февраль 2024'!$G$6:$G$1413,'февраль 2024'!$D$6:$D$1413,$B169,'февраль 2024'!$J$6:$J$1413,J$1)</f>
        <v>0</v>
      </c>
      <c r="K169" s="80">
        <f>SUMIFS('февраль 2024'!$G$6:$G$1413,'февраль 2024'!$D$6:$D$1413,$B169,'февраль 2024'!$J$6:$J$1413,K$1)</f>
        <v>0</v>
      </c>
      <c r="L169" s="80">
        <f>SUMIFS('февраль 2024'!$G$6:$G$1413,'февраль 2024'!$D$6:$D$1413,$B169,'февраль 2024'!$J$6:$J$1413,L$1)</f>
        <v>0</v>
      </c>
      <c r="M169" s="80">
        <f>SUMIFS('февраль 2024'!$G$6:$G$1413,'февраль 2024'!$D$6:$D$1413,$B169,'февраль 2024'!$J$6:$J$1413,M$1)</f>
        <v>0</v>
      </c>
      <c r="N169" s="80">
        <f>SUMIFS('февраль 2024'!$G$6:$G$1413,'февраль 2024'!$D$6:$D$1413,$B169,'февраль 2024'!$J$6:$J$1413,N$1)</f>
        <v>0</v>
      </c>
      <c r="O169" s="80">
        <f>SUMIFS('февраль 2024'!$G$6:$G$1413,'февраль 2024'!$D$6:$D$1413,$B169,'февраль 2024'!$J$6:$J$1413,O$1)</f>
        <v>0</v>
      </c>
      <c r="P169" s="80">
        <f>SUMIFS('февраль 2024'!$G$6:$G$1413,'февраль 2024'!$D$6:$D$1413,$B169,'февраль 2024'!$J$6:$J$1413,P$1)</f>
        <v>0</v>
      </c>
      <c r="Q169" s="80">
        <f>SUMIFS('февраль 2024'!$G$6:$G$1413,'февраль 2024'!$D$6:$D$1413,$B169,'февраль 2024'!$J$6:$J$1413,Q$1)</f>
        <v>0</v>
      </c>
      <c r="R169" s="80">
        <f>SUMIFS('февраль 2024'!$G$6:$G$1413,'февраль 2024'!$D$6:$D$1413,$B169,'февраль 2024'!$J$6:$J$1413,R$1)</f>
        <v>0</v>
      </c>
      <c r="S169" s="80">
        <f>SUMIFS('февраль 2024'!$G$6:$G$1413,'февраль 2024'!$D$6:$D$1413,$B169,'февраль 2024'!$J$6:$J$1413,S$1)</f>
        <v>0</v>
      </c>
      <c r="T169" s="80">
        <f>SUMIFS('февраль 2024'!$G$6:$G$1413,'февраль 2024'!$D$6:$D$1413,$B169,'февраль 2024'!$J$6:$J$1413,T$1)</f>
        <v>0</v>
      </c>
      <c r="U169" s="80">
        <f>SUMIFS('февраль 2024'!$G$6:$G$1413,'февраль 2024'!$D$6:$D$1413,$B169,'февраль 2024'!$J$6:$J$1413,U$1)</f>
        <v>0</v>
      </c>
      <c r="V169" s="80">
        <f>SUMIFS('февраль 2024'!$G$6:$G$1413,'февраль 2024'!$D$6:$D$1413,$B169,'февраль 2024'!$J$6:$J$1413,V$1)</f>
        <v>0</v>
      </c>
      <c r="W169" s="80">
        <f>SUMIFS('февраль 2024'!$G$6:$G$1413,'февраль 2024'!$D$6:$D$1413,$B169,'февраль 2024'!$J$6:$J$1413,W$1)</f>
        <v>0</v>
      </c>
      <c r="X169" s="80">
        <f>SUMIFS('февраль 2024'!$G$6:$G$1413,'февраль 2024'!$D$6:$D$1413,$B169,'февраль 2024'!$J$6:$J$1413,X$1)</f>
        <v>0</v>
      </c>
      <c r="Y169" s="80">
        <f>SUMIFS('февраль 2024'!$G$6:$G$1413,'февраль 2024'!$D$6:$D$1413,$B169,'февраль 2024'!$J$6:$J$1413,Y$1)</f>
        <v>0</v>
      </c>
      <c r="Z169" s="80">
        <f>SUMIFS('февраль 2024'!$G$6:$G$1413,'февраль 2024'!$D$6:$D$1413,$B169,'февраль 2024'!$J$6:$J$1413,Z$1)</f>
        <v>0</v>
      </c>
      <c r="AA169" s="80">
        <f>SUMIFS('февраль 2024'!$G$6:$G$1413,'февраль 2024'!$D$6:$D$1413,$B169,'февраль 2024'!$J$6:$J$1413,AA$1)</f>
        <v>0</v>
      </c>
      <c r="AB169" s="80">
        <f>SUMIFS('февраль 2024'!$G$6:$G$1413,'февраль 2024'!$D$6:$D$1413,$B169,'февраль 2024'!$J$6:$J$1413,AB$1)</f>
        <v>0</v>
      </c>
      <c r="AC169" s="80">
        <f>SUMIFS('февраль 2024'!$G$6:$G$1413,'февраль 2024'!$D$6:$D$1413,$B169,'февраль 2024'!$J$6:$J$1413,AC$1)</f>
        <v>0</v>
      </c>
      <c r="AD169" s="80">
        <f>SUMIFS('февраль 2024'!$G$6:$G$1413,'февраль 2024'!$D$6:$D$1413,$B169,'февраль 2024'!$J$6:$J$1413,AD$1)</f>
        <v>0</v>
      </c>
      <c r="AE169" s="80">
        <f>SUMIFS('февраль 2024'!$G$6:$G$1413,'февраль 2024'!$D$6:$D$1413,$B169,'февраль 2024'!$J$6:$J$1413,AE$1)</f>
        <v>0</v>
      </c>
      <c r="AF169" s="80">
        <f>SUMIFS('февраль 2024'!$G$6:$G$1413,'февраль 2024'!$D$6:$D$1413,$B169,'февраль 2024'!$J$6:$J$1413,AF$1)</f>
        <v>0</v>
      </c>
      <c r="AG169" s="80">
        <f>SUMIFS('февраль 2024'!$G$6:$G$1413,'февраль 2024'!$D$6:$D$1413,$B169,'февраль 2024'!$J$6:$J$1413,AG$1)</f>
        <v>0</v>
      </c>
      <c r="AH169" s="80">
        <f>SUMIFS('февраль 2024'!$G$6:$G$1413,'февраль 2024'!$D$6:$D$1413,$B169,'февраль 2024'!$J$6:$J$1413,AH$1)</f>
        <v>0</v>
      </c>
      <c r="AI169" s="87"/>
    </row>
    <row r="170" spans="2:35" ht="15" hidden="1" customHeight="1" x14ac:dyDescent="0.25">
      <c r="B170" s="89"/>
      <c r="C170" s="91"/>
      <c r="D170" s="80">
        <f>SUMIFS('февраль 2024'!$G$6:$G$1413,'февраль 2024'!$D$6:$D$1413,$B170,'февраль 2024'!$J$6:$J$1413,D$1)</f>
        <v>0</v>
      </c>
      <c r="E170" s="80">
        <f>SUMIFS('февраль 2024'!$G$6:$G$1413,'февраль 2024'!$D$6:$D$1413,$B170,'февраль 2024'!$J$6:$J$1413,E$1)</f>
        <v>0</v>
      </c>
      <c r="F170" s="80">
        <f>SUMIFS('февраль 2024'!$G$6:$G$1413,'февраль 2024'!$D$6:$D$1413,$B170,'февраль 2024'!$J$6:$J$1413,F$1)</f>
        <v>0</v>
      </c>
      <c r="G170" s="80">
        <f>SUMIFS('февраль 2024'!$G$6:$G$1413,'февраль 2024'!$D$6:$D$1413,$B170,'февраль 2024'!$J$6:$J$1413,G$1)</f>
        <v>0</v>
      </c>
      <c r="H170" s="80">
        <f>SUMIFS('февраль 2024'!$G$6:$G$1413,'февраль 2024'!$D$6:$D$1413,$B170,'февраль 2024'!$J$6:$J$1413,H$1)</f>
        <v>0</v>
      </c>
      <c r="I170" s="80">
        <f>SUMIFS('февраль 2024'!$G$6:$G$1413,'февраль 2024'!$D$6:$D$1413,$B170,'февраль 2024'!$J$6:$J$1413,I$1)</f>
        <v>0</v>
      </c>
      <c r="J170" s="80">
        <f>SUMIFS('февраль 2024'!$G$6:$G$1413,'февраль 2024'!$D$6:$D$1413,$B170,'февраль 2024'!$J$6:$J$1413,J$1)</f>
        <v>0</v>
      </c>
      <c r="K170" s="80">
        <f>SUMIFS('февраль 2024'!$G$6:$G$1413,'февраль 2024'!$D$6:$D$1413,$B170,'февраль 2024'!$J$6:$J$1413,K$1)</f>
        <v>0</v>
      </c>
      <c r="L170" s="80">
        <f>SUMIFS('февраль 2024'!$G$6:$G$1413,'февраль 2024'!$D$6:$D$1413,$B170,'февраль 2024'!$J$6:$J$1413,L$1)</f>
        <v>0</v>
      </c>
      <c r="M170" s="80">
        <f>SUMIFS('февраль 2024'!$G$6:$G$1413,'февраль 2024'!$D$6:$D$1413,$B170,'февраль 2024'!$J$6:$J$1413,M$1)</f>
        <v>0</v>
      </c>
      <c r="N170" s="80">
        <f>SUMIFS('февраль 2024'!$G$6:$G$1413,'февраль 2024'!$D$6:$D$1413,$B170,'февраль 2024'!$J$6:$J$1413,N$1)</f>
        <v>0</v>
      </c>
      <c r="O170" s="80">
        <f>SUMIFS('февраль 2024'!$G$6:$G$1413,'февраль 2024'!$D$6:$D$1413,$B170,'февраль 2024'!$J$6:$J$1413,O$1)</f>
        <v>0</v>
      </c>
      <c r="P170" s="80">
        <f>SUMIFS('февраль 2024'!$G$6:$G$1413,'февраль 2024'!$D$6:$D$1413,$B170,'февраль 2024'!$J$6:$J$1413,P$1)</f>
        <v>0</v>
      </c>
      <c r="Q170" s="80">
        <f>SUMIFS('февраль 2024'!$G$6:$G$1413,'февраль 2024'!$D$6:$D$1413,$B170,'февраль 2024'!$J$6:$J$1413,Q$1)</f>
        <v>0</v>
      </c>
      <c r="R170" s="80">
        <f>SUMIFS('февраль 2024'!$G$6:$G$1413,'февраль 2024'!$D$6:$D$1413,$B170,'февраль 2024'!$J$6:$J$1413,R$1)</f>
        <v>0</v>
      </c>
      <c r="S170" s="80">
        <f>SUMIFS('февраль 2024'!$G$6:$G$1413,'февраль 2024'!$D$6:$D$1413,$B170,'февраль 2024'!$J$6:$J$1413,S$1)</f>
        <v>0</v>
      </c>
      <c r="T170" s="80">
        <f>SUMIFS('февраль 2024'!$G$6:$G$1413,'февраль 2024'!$D$6:$D$1413,$B170,'февраль 2024'!$J$6:$J$1413,T$1)</f>
        <v>0</v>
      </c>
      <c r="U170" s="80">
        <f>SUMIFS('февраль 2024'!$G$6:$G$1413,'февраль 2024'!$D$6:$D$1413,$B170,'февраль 2024'!$J$6:$J$1413,U$1)</f>
        <v>0</v>
      </c>
      <c r="V170" s="80">
        <f>SUMIFS('февраль 2024'!$G$6:$G$1413,'февраль 2024'!$D$6:$D$1413,$B170,'февраль 2024'!$J$6:$J$1413,V$1)</f>
        <v>0</v>
      </c>
      <c r="W170" s="80">
        <f>SUMIFS('февраль 2024'!$G$6:$G$1413,'февраль 2024'!$D$6:$D$1413,$B170,'февраль 2024'!$J$6:$J$1413,W$1)</f>
        <v>0</v>
      </c>
      <c r="X170" s="80">
        <f>SUMIFS('февраль 2024'!$G$6:$G$1413,'февраль 2024'!$D$6:$D$1413,$B170,'февраль 2024'!$J$6:$J$1413,X$1)</f>
        <v>0</v>
      </c>
      <c r="Y170" s="80">
        <f>SUMIFS('февраль 2024'!$G$6:$G$1413,'февраль 2024'!$D$6:$D$1413,$B170,'февраль 2024'!$J$6:$J$1413,Y$1)</f>
        <v>0</v>
      </c>
      <c r="Z170" s="80">
        <f>SUMIFS('февраль 2024'!$G$6:$G$1413,'февраль 2024'!$D$6:$D$1413,$B170,'февраль 2024'!$J$6:$J$1413,Z$1)</f>
        <v>0</v>
      </c>
      <c r="AA170" s="80">
        <f>SUMIFS('февраль 2024'!$G$6:$G$1413,'февраль 2024'!$D$6:$D$1413,$B170,'февраль 2024'!$J$6:$J$1413,AA$1)</f>
        <v>0</v>
      </c>
      <c r="AB170" s="80">
        <f>SUMIFS('февраль 2024'!$G$6:$G$1413,'февраль 2024'!$D$6:$D$1413,$B170,'февраль 2024'!$J$6:$J$1413,AB$1)</f>
        <v>0</v>
      </c>
      <c r="AC170" s="80">
        <f>SUMIFS('февраль 2024'!$G$6:$G$1413,'февраль 2024'!$D$6:$D$1413,$B170,'февраль 2024'!$J$6:$J$1413,AC$1)</f>
        <v>0</v>
      </c>
      <c r="AD170" s="80">
        <f>SUMIFS('февраль 2024'!$G$6:$G$1413,'февраль 2024'!$D$6:$D$1413,$B170,'февраль 2024'!$J$6:$J$1413,AD$1)</f>
        <v>0</v>
      </c>
      <c r="AE170" s="80">
        <f>SUMIFS('февраль 2024'!$G$6:$G$1413,'февраль 2024'!$D$6:$D$1413,$B170,'февраль 2024'!$J$6:$J$1413,AE$1)</f>
        <v>0</v>
      </c>
      <c r="AF170" s="80">
        <f>SUMIFS('февраль 2024'!$G$6:$G$1413,'февраль 2024'!$D$6:$D$1413,$B170,'февраль 2024'!$J$6:$J$1413,AF$1)</f>
        <v>0</v>
      </c>
      <c r="AG170" s="80">
        <f>SUMIFS('февраль 2024'!$G$6:$G$1413,'февраль 2024'!$D$6:$D$1413,$B170,'февраль 2024'!$J$6:$J$1413,AG$1)</f>
        <v>0</v>
      </c>
      <c r="AH170" s="80">
        <f>SUMIFS('февраль 2024'!$G$6:$G$1413,'февраль 2024'!$D$6:$D$1413,$B170,'февраль 2024'!$J$6:$J$1413,AH$1)</f>
        <v>0</v>
      </c>
      <c r="AI170" s="87"/>
    </row>
    <row r="171" spans="2:35" ht="15" hidden="1" customHeight="1" x14ac:dyDescent="0.25">
      <c r="B171" s="89"/>
      <c r="C171" s="91"/>
      <c r="D171" s="80">
        <f>SUMIFS('февраль 2024'!$G$6:$G$1413,'февраль 2024'!$D$6:$D$1413,$B171,'февраль 2024'!$J$6:$J$1413,D$1)</f>
        <v>0</v>
      </c>
      <c r="E171" s="80">
        <f>SUMIFS('февраль 2024'!$G$6:$G$1413,'февраль 2024'!$D$6:$D$1413,$B171,'февраль 2024'!$J$6:$J$1413,E$1)</f>
        <v>0</v>
      </c>
      <c r="F171" s="80">
        <f>SUMIFS('февраль 2024'!$G$6:$G$1413,'февраль 2024'!$D$6:$D$1413,$B171,'февраль 2024'!$J$6:$J$1413,F$1)</f>
        <v>0</v>
      </c>
      <c r="G171" s="80">
        <f>SUMIFS('февраль 2024'!$G$6:$G$1413,'февраль 2024'!$D$6:$D$1413,$B171,'февраль 2024'!$J$6:$J$1413,G$1)</f>
        <v>0</v>
      </c>
      <c r="H171" s="80">
        <f>SUMIFS('февраль 2024'!$G$6:$G$1413,'февраль 2024'!$D$6:$D$1413,$B171,'февраль 2024'!$J$6:$J$1413,H$1)</f>
        <v>0</v>
      </c>
      <c r="I171" s="80">
        <f>SUMIFS('февраль 2024'!$G$6:$G$1413,'февраль 2024'!$D$6:$D$1413,$B171,'февраль 2024'!$J$6:$J$1413,I$1)</f>
        <v>0</v>
      </c>
      <c r="J171" s="80">
        <f>SUMIFS('февраль 2024'!$G$6:$G$1413,'февраль 2024'!$D$6:$D$1413,$B171,'февраль 2024'!$J$6:$J$1413,J$1)</f>
        <v>0</v>
      </c>
      <c r="K171" s="80">
        <f>SUMIFS('февраль 2024'!$G$6:$G$1413,'февраль 2024'!$D$6:$D$1413,$B171,'февраль 2024'!$J$6:$J$1413,K$1)</f>
        <v>0</v>
      </c>
      <c r="L171" s="80">
        <f>SUMIFS('февраль 2024'!$G$6:$G$1413,'февраль 2024'!$D$6:$D$1413,$B171,'февраль 2024'!$J$6:$J$1413,L$1)</f>
        <v>0</v>
      </c>
      <c r="M171" s="80">
        <f>SUMIFS('февраль 2024'!$G$6:$G$1413,'февраль 2024'!$D$6:$D$1413,$B171,'февраль 2024'!$J$6:$J$1413,M$1)</f>
        <v>0</v>
      </c>
      <c r="N171" s="80">
        <f>SUMIFS('февраль 2024'!$G$6:$G$1413,'февраль 2024'!$D$6:$D$1413,$B171,'февраль 2024'!$J$6:$J$1413,N$1)</f>
        <v>0</v>
      </c>
      <c r="O171" s="80">
        <f>SUMIFS('февраль 2024'!$G$6:$G$1413,'февраль 2024'!$D$6:$D$1413,$B171,'февраль 2024'!$J$6:$J$1413,O$1)</f>
        <v>0</v>
      </c>
      <c r="P171" s="80">
        <f>SUMIFS('февраль 2024'!$G$6:$G$1413,'февраль 2024'!$D$6:$D$1413,$B171,'февраль 2024'!$J$6:$J$1413,P$1)</f>
        <v>0</v>
      </c>
      <c r="Q171" s="80">
        <f>SUMIFS('февраль 2024'!$G$6:$G$1413,'февраль 2024'!$D$6:$D$1413,$B171,'февраль 2024'!$J$6:$J$1413,Q$1)</f>
        <v>0</v>
      </c>
      <c r="R171" s="80">
        <f>SUMIFS('февраль 2024'!$G$6:$G$1413,'февраль 2024'!$D$6:$D$1413,$B171,'февраль 2024'!$J$6:$J$1413,R$1)</f>
        <v>0</v>
      </c>
      <c r="S171" s="80">
        <f>SUMIFS('февраль 2024'!$G$6:$G$1413,'февраль 2024'!$D$6:$D$1413,$B171,'февраль 2024'!$J$6:$J$1413,S$1)</f>
        <v>0</v>
      </c>
      <c r="T171" s="80">
        <f>SUMIFS('февраль 2024'!$G$6:$G$1413,'февраль 2024'!$D$6:$D$1413,$B171,'февраль 2024'!$J$6:$J$1413,T$1)</f>
        <v>0</v>
      </c>
      <c r="U171" s="80">
        <f>SUMIFS('февраль 2024'!$G$6:$G$1413,'февраль 2024'!$D$6:$D$1413,$B171,'февраль 2024'!$J$6:$J$1413,U$1)</f>
        <v>0</v>
      </c>
      <c r="V171" s="80">
        <f>SUMIFS('февраль 2024'!$G$6:$G$1413,'февраль 2024'!$D$6:$D$1413,$B171,'февраль 2024'!$J$6:$J$1413,V$1)</f>
        <v>0</v>
      </c>
      <c r="W171" s="80">
        <f>SUMIFS('февраль 2024'!$G$6:$G$1413,'февраль 2024'!$D$6:$D$1413,$B171,'февраль 2024'!$J$6:$J$1413,W$1)</f>
        <v>0</v>
      </c>
      <c r="X171" s="80">
        <f>SUMIFS('февраль 2024'!$G$6:$G$1413,'февраль 2024'!$D$6:$D$1413,$B171,'февраль 2024'!$J$6:$J$1413,X$1)</f>
        <v>0</v>
      </c>
      <c r="Y171" s="80">
        <f>SUMIFS('февраль 2024'!$G$6:$G$1413,'февраль 2024'!$D$6:$D$1413,$B171,'февраль 2024'!$J$6:$J$1413,Y$1)</f>
        <v>0</v>
      </c>
      <c r="Z171" s="80">
        <f>SUMIFS('февраль 2024'!$G$6:$G$1413,'февраль 2024'!$D$6:$D$1413,$B171,'февраль 2024'!$J$6:$J$1413,Z$1)</f>
        <v>0</v>
      </c>
      <c r="AA171" s="80">
        <f>SUMIFS('февраль 2024'!$G$6:$G$1413,'февраль 2024'!$D$6:$D$1413,$B171,'февраль 2024'!$J$6:$J$1413,AA$1)</f>
        <v>0</v>
      </c>
      <c r="AB171" s="80">
        <f>SUMIFS('февраль 2024'!$G$6:$G$1413,'февраль 2024'!$D$6:$D$1413,$B171,'февраль 2024'!$J$6:$J$1413,AB$1)</f>
        <v>0</v>
      </c>
      <c r="AC171" s="80">
        <f>SUMIFS('февраль 2024'!$G$6:$G$1413,'февраль 2024'!$D$6:$D$1413,$B171,'февраль 2024'!$J$6:$J$1413,AC$1)</f>
        <v>0</v>
      </c>
      <c r="AD171" s="80">
        <f>SUMIFS('февраль 2024'!$G$6:$G$1413,'февраль 2024'!$D$6:$D$1413,$B171,'февраль 2024'!$J$6:$J$1413,AD$1)</f>
        <v>0</v>
      </c>
      <c r="AE171" s="80">
        <f>SUMIFS('февраль 2024'!$G$6:$G$1413,'февраль 2024'!$D$6:$D$1413,$B171,'февраль 2024'!$J$6:$J$1413,AE$1)</f>
        <v>0</v>
      </c>
      <c r="AF171" s="80">
        <f>SUMIFS('февраль 2024'!$G$6:$G$1413,'февраль 2024'!$D$6:$D$1413,$B171,'февраль 2024'!$J$6:$J$1413,AF$1)</f>
        <v>0</v>
      </c>
      <c r="AG171" s="80">
        <f>SUMIFS('февраль 2024'!$G$6:$G$1413,'февраль 2024'!$D$6:$D$1413,$B171,'февраль 2024'!$J$6:$J$1413,AG$1)</f>
        <v>0</v>
      </c>
      <c r="AH171" s="80">
        <f>SUMIFS('февраль 2024'!$G$6:$G$1413,'февраль 2024'!$D$6:$D$1413,$B171,'февраль 2024'!$J$6:$J$1413,AH$1)</f>
        <v>0</v>
      </c>
      <c r="AI171" s="87"/>
    </row>
    <row r="172" spans="2:35" ht="15" hidden="1" customHeight="1" x14ac:dyDescent="0.25">
      <c r="B172" s="89"/>
      <c r="C172" s="91"/>
      <c r="D172" s="80">
        <f>SUMIFS('февраль 2024'!$G$6:$G$1413,'февраль 2024'!$D$6:$D$1413,$B172,'февраль 2024'!$J$6:$J$1413,D$1)</f>
        <v>0</v>
      </c>
      <c r="E172" s="80">
        <f>SUMIFS('февраль 2024'!$G$6:$G$1413,'февраль 2024'!$D$6:$D$1413,$B172,'февраль 2024'!$J$6:$J$1413,E$1)</f>
        <v>0</v>
      </c>
      <c r="F172" s="80">
        <f>SUMIFS('февраль 2024'!$G$6:$G$1413,'февраль 2024'!$D$6:$D$1413,$B172,'февраль 2024'!$J$6:$J$1413,F$1)</f>
        <v>0</v>
      </c>
      <c r="G172" s="80">
        <f>SUMIFS('февраль 2024'!$G$6:$G$1413,'февраль 2024'!$D$6:$D$1413,$B172,'февраль 2024'!$J$6:$J$1413,G$1)</f>
        <v>0</v>
      </c>
      <c r="H172" s="80">
        <f>SUMIFS('февраль 2024'!$G$6:$G$1413,'февраль 2024'!$D$6:$D$1413,$B172,'февраль 2024'!$J$6:$J$1413,H$1)</f>
        <v>0</v>
      </c>
      <c r="I172" s="80">
        <f>SUMIFS('февраль 2024'!$G$6:$G$1413,'февраль 2024'!$D$6:$D$1413,$B172,'февраль 2024'!$J$6:$J$1413,I$1)</f>
        <v>0</v>
      </c>
      <c r="J172" s="80">
        <f>SUMIFS('февраль 2024'!$G$6:$G$1413,'февраль 2024'!$D$6:$D$1413,$B172,'февраль 2024'!$J$6:$J$1413,J$1)</f>
        <v>0</v>
      </c>
      <c r="K172" s="80">
        <f>SUMIFS('февраль 2024'!$G$6:$G$1413,'февраль 2024'!$D$6:$D$1413,$B172,'февраль 2024'!$J$6:$J$1413,K$1)</f>
        <v>0</v>
      </c>
      <c r="L172" s="80">
        <f>SUMIFS('февраль 2024'!$G$6:$G$1413,'февраль 2024'!$D$6:$D$1413,$B172,'февраль 2024'!$J$6:$J$1413,L$1)</f>
        <v>0</v>
      </c>
      <c r="M172" s="80">
        <f>SUMIFS('февраль 2024'!$G$6:$G$1413,'февраль 2024'!$D$6:$D$1413,$B172,'февраль 2024'!$J$6:$J$1413,M$1)</f>
        <v>0</v>
      </c>
      <c r="N172" s="80">
        <f>SUMIFS('февраль 2024'!$G$6:$G$1413,'февраль 2024'!$D$6:$D$1413,$B172,'февраль 2024'!$J$6:$J$1413,N$1)</f>
        <v>0</v>
      </c>
      <c r="O172" s="80">
        <f>SUMIFS('февраль 2024'!$G$6:$G$1413,'февраль 2024'!$D$6:$D$1413,$B172,'февраль 2024'!$J$6:$J$1413,O$1)</f>
        <v>0</v>
      </c>
      <c r="P172" s="80">
        <f>SUMIFS('февраль 2024'!$G$6:$G$1413,'февраль 2024'!$D$6:$D$1413,$B172,'февраль 2024'!$J$6:$J$1413,P$1)</f>
        <v>0</v>
      </c>
      <c r="Q172" s="80">
        <f>SUMIFS('февраль 2024'!$G$6:$G$1413,'февраль 2024'!$D$6:$D$1413,$B172,'февраль 2024'!$J$6:$J$1413,Q$1)</f>
        <v>0</v>
      </c>
      <c r="R172" s="80">
        <f>SUMIFS('февраль 2024'!$G$6:$G$1413,'февраль 2024'!$D$6:$D$1413,$B172,'февраль 2024'!$J$6:$J$1413,R$1)</f>
        <v>0</v>
      </c>
      <c r="S172" s="80">
        <f>SUMIFS('февраль 2024'!$G$6:$G$1413,'февраль 2024'!$D$6:$D$1413,$B172,'февраль 2024'!$J$6:$J$1413,S$1)</f>
        <v>0</v>
      </c>
      <c r="T172" s="80">
        <f>SUMIFS('февраль 2024'!$G$6:$G$1413,'февраль 2024'!$D$6:$D$1413,$B172,'февраль 2024'!$J$6:$J$1413,T$1)</f>
        <v>0</v>
      </c>
      <c r="U172" s="80">
        <f>SUMIFS('февраль 2024'!$G$6:$G$1413,'февраль 2024'!$D$6:$D$1413,$B172,'февраль 2024'!$J$6:$J$1413,U$1)</f>
        <v>0</v>
      </c>
      <c r="V172" s="80">
        <f>SUMIFS('февраль 2024'!$G$6:$G$1413,'февраль 2024'!$D$6:$D$1413,$B172,'февраль 2024'!$J$6:$J$1413,V$1)</f>
        <v>0</v>
      </c>
      <c r="W172" s="80">
        <f>SUMIFS('февраль 2024'!$G$6:$G$1413,'февраль 2024'!$D$6:$D$1413,$B172,'февраль 2024'!$J$6:$J$1413,W$1)</f>
        <v>0</v>
      </c>
      <c r="X172" s="80">
        <f>SUMIFS('февраль 2024'!$G$6:$G$1413,'февраль 2024'!$D$6:$D$1413,$B172,'февраль 2024'!$J$6:$J$1413,X$1)</f>
        <v>0</v>
      </c>
      <c r="Y172" s="80">
        <f>SUMIFS('февраль 2024'!$G$6:$G$1413,'февраль 2024'!$D$6:$D$1413,$B172,'февраль 2024'!$J$6:$J$1413,Y$1)</f>
        <v>0</v>
      </c>
      <c r="Z172" s="80">
        <f>SUMIFS('февраль 2024'!$G$6:$G$1413,'февраль 2024'!$D$6:$D$1413,$B172,'февраль 2024'!$J$6:$J$1413,Z$1)</f>
        <v>0</v>
      </c>
      <c r="AA172" s="80">
        <f>SUMIFS('февраль 2024'!$G$6:$G$1413,'февраль 2024'!$D$6:$D$1413,$B172,'февраль 2024'!$J$6:$J$1413,AA$1)</f>
        <v>0</v>
      </c>
      <c r="AB172" s="80">
        <f>SUMIFS('февраль 2024'!$G$6:$G$1413,'февраль 2024'!$D$6:$D$1413,$B172,'февраль 2024'!$J$6:$J$1413,AB$1)</f>
        <v>0</v>
      </c>
      <c r="AC172" s="80">
        <f>SUMIFS('февраль 2024'!$G$6:$G$1413,'февраль 2024'!$D$6:$D$1413,$B172,'февраль 2024'!$J$6:$J$1413,AC$1)</f>
        <v>0</v>
      </c>
      <c r="AD172" s="80">
        <f>SUMIFS('февраль 2024'!$G$6:$G$1413,'февраль 2024'!$D$6:$D$1413,$B172,'февраль 2024'!$J$6:$J$1413,AD$1)</f>
        <v>0</v>
      </c>
      <c r="AE172" s="80">
        <f>SUMIFS('февраль 2024'!$G$6:$G$1413,'февраль 2024'!$D$6:$D$1413,$B172,'февраль 2024'!$J$6:$J$1413,AE$1)</f>
        <v>0</v>
      </c>
      <c r="AF172" s="80">
        <f>SUMIFS('февраль 2024'!$G$6:$G$1413,'февраль 2024'!$D$6:$D$1413,$B172,'февраль 2024'!$J$6:$J$1413,AF$1)</f>
        <v>0</v>
      </c>
      <c r="AG172" s="80">
        <f>SUMIFS('февраль 2024'!$G$6:$G$1413,'февраль 2024'!$D$6:$D$1413,$B172,'февраль 2024'!$J$6:$J$1413,AG$1)</f>
        <v>0</v>
      </c>
      <c r="AH172" s="80">
        <f>SUMIFS('февраль 2024'!$G$6:$G$1413,'февраль 2024'!$D$6:$D$1413,$B172,'февраль 2024'!$J$6:$J$1413,AH$1)</f>
        <v>0</v>
      </c>
      <c r="AI172" s="87"/>
    </row>
    <row r="173" spans="2:35" ht="15" hidden="1" customHeight="1" x14ac:dyDescent="0.25">
      <c r="B173" s="89"/>
      <c r="C173" s="91"/>
      <c r="D173" s="80">
        <f>SUMIFS('февраль 2024'!$G$6:$G$1413,'февраль 2024'!$D$6:$D$1413,$B173,'февраль 2024'!$J$6:$J$1413,D$1)</f>
        <v>0</v>
      </c>
      <c r="E173" s="80">
        <f>SUMIFS('февраль 2024'!$G$6:$G$1413,'февраль 2024'!$D$6:$D$1413,$B173,'февраль 2024'!$J$6:$J$1413,E$1)</f>
        <v>0</v>
      </c>
      <c r="F173" s="80">
        <f>SUMIFS('февраль 2024'!$G$6:$G$1413,'февраль 2024'!$D$6:$D$1413,$B173,'февраль 2024'!$J$6:$J$1413,F$1)</f>
        <v>0</v>
      </c>
      <c r="G173" s="80">
        <f>SUMIFS('февраль 2024'!$G$6:$G$1413,'февраль 2024'!$D$6:$D$1413,$B173,'февраль 2024'!$J$6:$J$1413,G$1)</f>
        <v>0</v>
      </c>
      <c r="H173" s="80">
        <f>SUMIFS('февраль 2024'!$G$6:$G$1413,'февраль 2024'!$D$6:$D$1413,$B173,'февраль 2024'!$J$6:$J$1413,H$1)</f>
        <v>0</v>
      </c>
      <c r="I173" s="80">
        <f>SUMIFS('февраль 2024'!$G$6:$G$1413,'февраль 2024'!$D$6:$D$1413,$B173,'февраль 2024'!$J$6:$J$1413,I$1)</f>
        <v>0</v>
      </c>
      <c r="J173" s="80">
        <f>SUMIFS('февраль 2024'!$G$6:$G$1413,'февраль 2024'!$D$6:$D$1413,$B173,'февраль 2024'!$J$6:$J$1413,J$1)</f>
        <v>0</v>
      </c>
      <c r="K173" s="80">
        <f>SUMIFS('февраль 2024'!$G$6:$G$1413,'февраль 2024'!$D$6:$D$1413,$B173,'февраль 2024'!$J$6:$J$1413,K$1)</f>
        <v>0</v>
      </c>
      <c r="L173" s="80">
        <f>SUMIFS('февраль 2024'!$G$6:$G$1413,'февраль 2024'!$D$6:$D$1413,$B173,'февраль 2024'!$J$6:$J$1413,L$1)</f>
        <v>0</v>
      </c>
      <c r="M173" s="80">
        <f>SUMIFS('февраль 2024'!$G$6:$G$1413,'февраль 2024'!$D$6:$D$1413,$B173,'февраль 2024'!$J$6:$J$1413,M$1)</f>
        <v>0</v>
      </c>
      <c r="N173" s="80">
        <f>SUMIFS('февраль 2024'!$G$6:$G$1413,'февраль 2024'!$D$6:$D$1413,$B173,'февраль 2024'!$J$6:$J$1413,N$1)</f>
        <v>0</v>
      </c>
      <c r="O173" s="80">
        <f>SUMIFS('февраль 2024'!$G$6:$G$1413,'февраль 2024'!$D$6:$D$1413,$B173,'февраль 2024'!$J$6:$J$1413,O$1)</f>
        <v>0</v>
      </c>
      <c r="P173" s="80">
        <f>SUMIFS('февраль 2024'!$G$6:$G$1413,'февраль 2024'!$D$6:$D$1413,$B173,'февраль 2024'!$J$6:$J$1413,P$1)</f>
        <v>0</v>
      </c>
      <c r="Q173" s="80">
        <f>SUMIFS('февраль 2024'!$G$6:$G$1413,'февраль 2024'!$D$6:$D$1413,$B173,'февраль 2024'!$J$6:$J$1413,Q$1)</f>
        <v>0</v>
      </c>
      <c r="R173" s="80">
        <f>SUMIFS('февраль 2024'!$G$6:$G$1413,'февраль 2024'!$D$6:$D$1413,$B173,'февраль 2024'!$J$6:$J$1413,R$1)</f>
        <v>0</v>
      </c>
      <c r="S173" s="80">
        <f>SUMIFS('февраль 2024'!$G$6:$G$1413,'февраль 2024'!$D$6:$D$1413,$B173,'февраль 2024'!$J$6:$J$1413,S$1)</f>
        <v>0</v>
      </c>
      <c r="T173" s="80">
        <f>SUMIFS('февраль 2024'!$G$6:$G$1413,'февраль 2024'!$D$6:$D$1413,$B173,'февраль 2024'!$J$6:$J$1413,T$1)</f>
        <v>0</v>
      </c>
      <c r="U173" s="80">
        <f>SUMIFS('февраль 2024'!$G$6:$G$1413,'февраль 2024'!$D$6:$D$1413,$B173,'февраль 2024'!$J$6:$J$1413,U$1)</f>
        <v>0</v>
      </c>
      <c r="V173" s="80">
        <f>SUMIFS('февраль 2024'!$G$6:$G$1413,'февраль 2024'!$D$6:$D$1413,$B173,'февраль 2024'!$J$6:$J$1413,V$1)</f>
        <v>0</v>
      </c>
      <c r="W173" s="80">
        <f>SUMIFS('февраль 2024'!$G$6:$G$1413,'февраль 2024'!$D$6:$D$1413,$B173,'февраль 2024'!$J$6:$J$1413,W$1)</f>
        <v>0</v>
      </c>
      <c r="X173" s="80">
        <f>SUMIFS('февраль 2024'!$G$6:$G$1413,'февраль 2024'!$D$6:$D$1413,$B173,'февраль 2024'!$J$6:$J$1413,X$1)</f>
        <v>0</v>
      </c>
      <c r="Y173" s="80">
        <f>SUMIFS('февраль 2024'!$G$6:$G$1413,'февраль 2024'!$D$6:$D$1413,$B173,'февраль 2024'!$J$6:$J$1413,Y$1)</f>
        <v>0</v>
      </c>
      <c r="Z173" s="80">
        <f>SUMIFS('февраль 2024'!$G$6:$G$1413,'февраль 2024'!$D$6:$D$1413,$B173,'февраль 2024'!$J$6:$J$1413,Z$1)</f>
        <v>0</v>
      </c>
      <c r="AA173" s="80">
        <f>SUMIFS('февраль 2024'!$G$6:$G$1413,'февраль 2024'!$D$6:$D$1413,$B173,'февраль 2024'!$J$6:$J$1413,AA$1)</f>
        <v>0</v>
      </c>
      <c r="AB173" s="80">
        <f>SUMIFS('февраль 2024'!$G$6:$G$1413,'февраль 2024'!$D$6:$D$1413,$B173,'февраль 2024'!$J$6:$J$1413,AB$1)</f>
        <v>0</v>
      </c>
      <c r="AC173" s="80">
        <f>SUMIFS('февраль 2024'!$G$6:$G$1413,'февраль 2024'!$D$6:$D$1413,$B173,'февраль 2024'!$J$6:$J$1413,AC$1)</f>
        <v>0</v>
      </c>
      <c r="AD173" s="80">
        <f>SUMIFS('февраль 2024'!$G$6:$G$1413,'февраль 2024'!$D$6:$D$1413,$B173,'февраль 2024'!$J$6:$J$1413,AD$1)</f>
        <v>0</v>
      </c>
      <c r="AE173" s="80">
        <f>SUMIFS('февраль 2024'!$G$6:$G$1413,'февраль 2024'!$D$6:$D$1413,$B173,'февраль 2024'!$J$6:$J$1413,AE$1)</f>
        <v>0</v>
      </c>
      <c r="AF173" s="80">
        <f>SUMIFS('февраль 2024'!$G$6:$G$1413,'февраль 2024'!$D$6:$D$1413,$B173,'февраль 2024'!$J$6:$J$1413,AF$1)</f>
        <v>0</v>
      </c>
      <c r="AG173" s="80">
        <f>SUMIFS('февраль 2024'!$G$6:$G$1413,'февраль 2024'!$D$6:$D$1413,$B173,'февраль 2024'!$J$6:$J$1413,AG$1)</f>
        <v>0</v>
      </c>
      <c r="AH173" s="80">
        <f>SUMIFS('февраль 2024'!$G$6:$G$1413,'февраль 2024'!$D$6:$D$1413,$B173,'февраль 2024'!$J$6:$J$1413,AH$1)</f>
        <v>0</v>
      </c>
      <c r="AI173" s="87"/>
    </row>
    <row r="174" spans="2:35" ht="15" hidden="1" customHeight="1" x14ac:dyDescent="0.25">
      <c r="B174" s="89"/>
      <c r="C174" s="88"/>
      <c r="D174" s="80">
        <f>SUMIFS('февраль 2024'!$G$6:$G$1413,'февраль 2024'!$D$6:$D$1413,$B174,'февраль 2024'!$J$6:$J$1413,D$1)</f>
        <v>0</v>
      </c>
      <c r="E174" s="80">
        <f>SUMIFS('февраль 2024'!$G$6:$G$1413,'февраль 2024'!$D$6:$D$1413,$B174,'февраль 2024'!$J$6:$J$1413,E$1)</f>
        <v>0</v>
      </c>
      <c r="F174" s="80">
        <f>SUMIFS('февраль 2024'!$G$6:$G$1413,'февраль 2024'!$D$6:$D$1413,$B174,'февраль 2024'!$J$6:$J$1413,F$1)</f>
        <v>0</v>
      </c>
      <c r="G174" s="80">
        <f>SUMIFS('февраль 2024'!$G$6:$G$1413,'февраль 2024'!$D$6:$D$1413,$B174,'февраль 2024'!$J$6:$J$1413,G$1)</f>
        <v>0</v>
      </c>
      <c r="H174" s="80">
        <f>SUMIFS('февраль 2024'!$G$6:$G$1413,'февраль 2024'!$D$6:$D$1413,$B174,'февраль 2024'!$J$6:$J$1413,H$1)</f>
        <v>0</v>
      </c>
      <c r="I174" s="80">
        <f>SUMIFS('февраль 2024'!$G$6:$G$1413,'февраль 2024'!$D$6:$D$1413,$B174,'февраль 2024'!$J$6:$J$1413,I$1)</f>
        <v>0</v>
      </c>
      <c r="J174" s="80">
        <f>SUMIFS('февраль 2024'!$G$6:$G$1413,'февраль 2024'!$D$6:$D$1413,$B174,'февраль 2024'!$J$6:$J$1413,J$1)</f>
        <v>0</v>
      </c>
      <c r="K174" s="80">
        <f>SUMIFS('февраль 2024'!$G$6:$G$1413,'февраль 2024'!$D$6:$D$1413,$B174,'февраль 2024'!$J$6:$J$1413,K$1)</f>
        <v>0</v>
      </c>
      <c r="L174" s="80">
        <f>SUMIFS('февраль 2024'!$G$6:$G$1413,'февраль 2024'!$D$6:$D$1413,$B174,'февраль 2024'!$J$6:$J$1413,L$1)</f>
        <v>0</v>
      </c>
      <c r="M174" s="80">
        <f>SUMIFS('февраль 2024'!$G$6:$G$1413,'февраль 2024'!$D$6:$D$1413,$B174,'февраль 2024'!$J$6:$J$1413,M$1)</f>
        <v>0</v>
      </c>
      <c r="N174" s="80">
        <f>SUMIFS('февраль 2024'!$G$6:$G$1413,'февраль 2024'!$D$6:$D$1413,$B174,'февраль 2024'!$J$6:$J$1413,N$1)</f>
        <v>0</v>
      </c>
      <c r="O174" s="80">
        <f>SUMIFS('февраль 2024'!$G$6:$G$1413,'февраль 2024'!$D$6:$D$1413,$B174,'февраль 2024'!$J$6:$J$1413,O$1)</f>
        <v>0</v>
      </c>
      <c r="P174" s="80">
        <f>SUMIFS('февраль 2024'!$G$6:$G$1413,'февраль 2024'!$D$6:$D$1413,$B174,'февраль 2024'!$J$6:$J$1413,P$1)</f>
        <v>0</v>
      </c>
      <c r="Q174" s="80">
        <f>SUMIFS('февраль 2024'!$G$6:$G$1413,'февраль 2024'!$D$6:$D$1413,$B174,'февраль 2024'!$J$6:$J$1413,Q$1)</f>
        <v>0</v>
      </c>
      <c r="R174" s="80">
        <f>SUMIFS('февраль 2024'!$G$6:$G$1413,'февраль 2024'!$D$6:$D$1413,$B174,'февраль 2024'!$J$6:$J$1413,R$1)</f>
        <v>0</v>
      </c>
      <c r="S174" s="80">
        <f>SUMIFS('февраль 2024'!$G$6:$G$1413,'февраль 2024'!$D$6:$D$1413,$B174,'февраль 2024'!$J$6:$J$1413,S$1)</f>
        <v>0</v>
      </c>
      <c r="T174" s="80">
        <f>SUMIFS('февраль 2024'!$G$6:$G$1413,'февраль 2024'!$D$6:$D$1413,$B174,'февраль 2024'!$J$6:$J$1413,T$1)</f>
        <v>0</v>
      </c>
      <c r="U174" s="80">
        <f>SUMIFS('февраль 2024'!$G$6:$G$1413,'февраль 2024'!$D$6:$D$1413,$B174,'февраль 2024'!$J$6:$J$1413,U$1)</f>
        <v>0</v>
      </c>
      <c r="V174" s="80">
        <f>SUMIFS('февраль 2024'!$G$6:$G$1413,'февраль 2024'!$D$6:$D$1413,$B174,'февраль 2024'!$J$6:$J$1413,V$1)</f>
        <v>0</v>
      </c>
      <c r="W174" s="80">
        <f>SUMIFS('февраль 2024'!$G$6:$G$1413,'февраль 2024'!$D$6:$D$1413,$B174,'февраль 2024'!$J$6:$J$1413,W$1)</f>
        <v>0</v>
      </c>
      <c r="X174" s="80">
        <f>SUMIFS('февраль 2024'!$G$6:$G$1413,'февраль 2024'!$D$6:$D$1413,$B174,'февраль 2024'!$J$6:$J$1413,X$1)</f>
        <v>0</v>
      </c>
      <c r="Y174" s="80">
        <f>SUMIFS('февраль 2024'!$G$6:$G$1413,'февраль 2024'!$D$6:$D$1413,$B174,'февраль 2024'!$J$6:$J$1413,Y$1)</f>
        <v>0</v>
      </c>
      <c r="Z174" s="80">
        <f>SUMIFS('февраль 2024'!$G$6:$G$1413,'февраль 2024'!$D$6:$D$1413,$B174,'февраль 2024'!$J$6:$J$1413,Z$1)</f>
        <v>0</v>
      </c>
      <c r="AA174" s="80">
        <f>SUMIFS('февраль 2024'!$G$6:$G$1413,'февраль 2024'!$D$6:$D$1413,$B174,'февраль 2024'!$J$6:$J$1413,AA$1)</f>
        <v>0</v>
      </c>
      <c r="AB174" s="80">
        <f>SUMIFS('февраль 2024'!$G$6:$G$1413,'февраль 2024'!$D$6:$D$1413,$B174,'февраль 2024'!$J$6:$J$1413,AB$1)</f>
        <v>0</v>
      </c>
      <c r="AC174" s="80">
        <f>SUMIFS('февраль 2024'!$G$6:$G$1413,'февраль 2024'!$D$6:$D$1413,$B174,'февраль 2024'!$J$6:$J$1413,AC$1)</f>
        <v>0</v>
      </c>
      <c r="AD174" s="80">
        <f>SUMIFS('февраль 2024'!$G$6:$G$1413,'февраль 2024'!$D$6:$D$1413,$B174,'февраль 2024'!$J$6:$J$1413,AD$1)</f>
        <v>0</v>
      </c>
      <c r="AE174" s="80">
        <f>SUMIFS('февраль 2024'!$G$6:$G$1413,'февраль 2024'!$D$6:$D$1413,$B174,'февраль 2024'!$J$6:$J$1413,AE$1)</f>
        <v>0</v>
      </c>
      <c r="AF174" s="80">
        <f>SUMIFS('февраль 2024'!$G$6:$G$1413,'февраль 2024'!$D$6:$D$1413,$B174,'февраль 2024'!$J$6:$J$1413,AF$1)</f>
        <v>0</v>
      </c>
      <c r="AG174" s="80">
        <f>SUMIFS('февраль 2024'!$G$6:$G$1413,'февраль 2024'!$D$6:$D$1413,$B174,'февраль 2024'!$J$6:$J$1413,AG$1)</f>
        <v>0</v>
      </c>
      <c r="AH174" s="80">
        <f>SUMIFS('февраль 2024'!$G$6:$G$1413,'февраль 2024'!$D$6:$D$1413,$B174,'февраль 2024'!$J$6:$J$1413,AH$1)</f>
        <v>0</v>
      </c>
      <c r="AI174" s="87"/>
    </row>
    <row r="175" spans="2:35" ht="15" hidden="1" customHeight="1" x14ac:dyDescent="0.25">
      <c r="B175" s="89"/>
      <c r="C175" s="88"/>
      <c r="D175" s="80">
        <f>SUMIFS('февраль 2024'!$G$6:$G$1413,'февраль 2024'!$D$6:$D$1413,$B175,'февраль 2024'!$J$6:$J$1413,D$1)</f>
        <v>0</v>
      </c>
      <c r="E175" s="80">
        <f>SUMIFS('февраль 2024'!$G$6:$G$1413,'февраль 2024'!$D$6:$D$1413,$B175,'февраль 2024'!$J$6:$J$1413,E$1)</f>
        <v>0</v>
      </c>
      <c r="F175" s="80">
        <f>SUMIFS('февраль 2024'!$G$6:$G$1413,'февраль 2024'!$D$6:$D$1413,$B175,'февраль 2024'!$J$6:$J$1413,F$1)</f>
        <v>0</v>
      </c>
      <c r="G175" s="80">
        <f>SUMIFS('февраль 2024'!$G$6:$G$1413,'февраль 2024'!$D$6:$D$1413,$B175,'февраль 2024'!$J$6:$J$1413,G$1)</f>
        <v>0</v>
      </c>
      <c r="H175" s="80">
        <f>SUMIFS('февраль 2024'!$G$6:$G$1413,'февраль 2024'!$D$6:$D$1413,$B175,'февраль 2024'!$J$6:$J$1413,H$1)</f>
        <v>0</v>
      </c>
      <c r="I175" s="80">
        <f>SUMIFS('февраль 2024'!$G$6:$G$1413,'февраль 2024'!$D$6:$D$1413,$B175,'февраль 2024'!$J$6:$J$1413,I$1)</f>
        <v>0</v>
      </c>
      <c r="J175" s="80">
        <f>SUMIFS('февраль 2024'!$G$6:$G$1413,'февраль 2024'!$D$6:$D$1413,$B175,'февраль 2024'!$J$6:$J$1413,J$1)</f>
        <v>0</v>
      </c>
      <c r="K175" s="80">
        <f>SUMIFS('февраль 2024'!$G$6:$G$1413,'февраль 2024'!$D$6:$D$1413,$B175,'февраль 2024'!$J$6:$J$1413,K$1)</f>
        <v>0</v>
      </c>
      <c r="L175" s="80">
        <f>SUMIFS('февраль 2024'!$G$6:$G$1413,'февраль 2024'!$D$6:$D$1413,$B175,'февраль 2024'!$J$6:$J$1413,L$1)</f>
        <v>0</v>
      </c>
      <c r="M175" s="80">
        <f>SUMIFS('февраль 2024'!$G$6:$G$1413,'февраль 2024'!$D$6:$D$1413,$B175,'февраль 2024'!$J$6:$J$1413,M$1)</f>
        <v>0</v>
      </c>
      <c r="N175" s="80">
        <f>SUMIFS('февраль 2024'!$G$6:$G$1413,'февраль 2024'!$D$6:$D$1413,$B175,'февраль 2024'!$J$6:$J$1413,N$1)</f>
        <v>0</v>
      </c>
      <c r="O175" s="80">
        <f>SUMIFS('февраль 2024'!$G$6:$G$1413,'февраль 2024'!$D$6:$D$1413,$B175,'февраль 2024'!$J$6:$J$1413,O$1)</f>
        <v>0</v>
      </c>
      <c r="P175" s="80">
        <f>SUMIFS('февраль 2024'!$G$6:$G$1413,'февраль 2024'!$D$6:$D$1413,$B175,'февраль 2024'!$J$6:$J$1413,P$1)</f>
        <v>0</v>
      </c>
      <c r="Q175" s="80">
        <f>SUMIFS('февраль 2024'!$G$6:$G$1413,'февраль 2024'!$D$6:$D$1413,$B175,'февраль 2024'!$J$6:$J$1413,Q$1)</f>
        <v>0</v>
      </c>
      <c r="R175" s="80">
        <f>SUMIFS('февраль 2024'!$G$6:$G$1413,'февраль 2024'!$D$6:$D$1413,$B175,'февраль 2024'!$J$6:$J$1413,R$1)</f>
        <v>0</v>
      </c>
      <c r="S175" s="80">
        <f>SUMIFS('февраль 2024'!$G$6:$G$1413,'февраль 2024'!$D$6:$D$1413,$B175,'февраль 2024'!$J$6:$J$1413,S$1)</f>
        <v>0</v>
      </c>
      <c r="T175" s="80">
        <f>SUMIFS('февраль 2024'!$G$6:$G$1413,'февраль 2024'!$D$6:$D$1413,$B175,'февраль 2024'!$J$6:$J$1413,T$1)</f>
        <v>0</v>
      </c>
      <c r="U175" s="80">
        <f>SUMIFS('февраль 2024'!$G$6:$G$1413,'февраль 2024'!$D$6:$D$1413,$B175,'февраль 2024'!$J$6:$J$1413,U$1)</f>
        <v>0</v>
      </c>
      <c r="V175" s="80">
        <f>SUMIFS('февраль 2024'!$G$6:$G$1413,'февраль 2024'!$D$6:$D$1413,$B175,'февраль 2024'!$J$6:$J$1413,V$1)</f>
        <v>0</v>
      </c>
      <c r="W175" s="80">
        <f>SUMIFS('февраль 2024'!$G$6:$G$1413,'февраль 2024'!$D$6:$D$1413,$B175,'февраль 2024'!$J$6:$J$1413,W$1)</f>
        <v>0</v>
      </c>
      <c r="X175" s="80">
        <f>SUMIFS('февраль 2024'!$G$6:$G$1413,'февраль 2024'!$D$6:$D$1413,$B175,'февраль 2024'!$J$6:$J$1413,X$1)</f>
        <v>0</v>
      </c>
      <c r="Y175" s="80">
        <f>SUMIFS('февраль 2024'!$G$6:$G$1413,'февраль 2024'!$D$6:$D$1413,$B175,'февраль 2024'!$J$6:$J$1413,Y$1)</f>
        <v>0</v>
      </c>
      <c r="Z175" s="80">
        <f>SUMIFS('февраль 2024'!$G$6:$G$1413,'февраль 2024'!$D$6:$D$1413,$B175,'февраль 2024'!$J$6:$J$1413,Z$1)</f>
        <v>0</v>
      </c>
      <c r="AA175" s="80">
        <f>SUMIFS('февраль 2024'!$G$6:$G$1413,'февраль 2024'!$D$6:$D$1413,$B175,'февраль 2024'!$J$6:$J$1413,AA$1)</f>
        <v>0</v>
      </c>
      <c r="AB175" s="80">
        <f>SUMIFS('февраль 2024'!$G$6:$G$1413,'февраль 2024'!$D$6:$D$1413,$B175,'февраль 2024'!$J$6:$J$1413,AB$1)</f>
        <v>0</v>
      </c>
      <c r="AC175" s="80">
        <f>SUMIFS('февраль 2024'!$G$6:$G$1413,'февраль 2024'!$D$6:$D$1413,$B175,'февраль 2024'!$J$6:$J$1413,AC$1)</f>
        <v>0</v>
      </c>
      <c r="AD175" s="80">
        <f>SUMIFS('февраль 2024'!$G$6:$G$1413,'февраль 2024'!$D$6:$D$1413,$B175,'февраль 2024'!$J$6:$J$1413,AD$1)</f>
        <v>0</v>
      </c>
      <c r="AE175" s="80">
        <f>SUMIFS('февраль 2024'!$G$6:$G$1413,'февраль 2024'!$D$6:$D$1413,$B175,'февраль 2024'!$J$6:$J$1413,AE$1)</f>
        <v>0</v>
      </c>
      <c r="AF175" s="80">
        <f>SUMIFS('февраль 2024'!$G$6:$G$1413,'февраль 2024'!$D$6:$D$1413,$B175,'февраль 2024'!$J$6:$J$1413,AF$1)</f>
        <v>0</v>
      </c>
      <c r="AG175" s="80">
        <f>SUMIFS('февраль 2024'!$G$6:$G$1413,'февраль 2024'!$D$6:$D$1413,$B175,'февраль 2024'!$J$6:$J$1413,AG$1)</f>
        <v>0</v>
      </c>
      <c r="AH175" s="80">
        <f>SUMIFS('февраль 2024'!$G$6:$G$1413,'февраль 2024'!$D$6:$D$1413,$B175,'февраль 2024'!$J$6:$J$1413,AH$1)</f>
        <v>0</v>
      </c>
      <c r="AI175" s="87"/>
    </row>
    <row r="176" spans="2:35" ht="15" hidden="1" customHeight="1" x14ac:dyDescent="0.25">
      <c r="B176" s="89"/>
      <c r="C176" s="88"/>
      <c r="D176" s="80">
        <f>SUMIFS('февраль 2024'!$G$6:$G$1413,'февраль 2024'!$D$6:$D$1413,$B176,'февраль 2024'!$J$6:$J$1413,D$1)</f>
        <v>0</v>
      </c>
      <c r="E176" s="80">
        <f>SUMIFS('февраль 2024'!$G$6:$G$1413,'февраль 2024'!$D$6:$D$1413,$B176,'февраль 2024'!$J$6:$J$1413,E$1)</f>
        <v>0</v>
      </c>
      <c r="F176" s="80">
        <f>SUMIFS('февраль 2024'!$G$6:$G$1413,'февраль 2024'!$D$6:$D$1413,$B176,'февраль 2024'!$J$6:$J$1413,F$1)</f>
        <v>0</v>
      </c>
      <c r="G176" s="80">
        <f>SUMIFS('февраль 2024'!$G$6:$G$1413,'февраль 2024'!$D$6:$D$1413,$B176,'февраль 2024'!$J$6:$J$1413,G$1)</f>
        <v>0</v>
      </c>
      <c r="H176" s="80">
        <f>SUMIFS('февраль 2024'!$G$6:$G$1413,'февраль 2024'!$D$6:$D$1413,$B176,'февраль 2024'!$J$6:$J$1413,H$1)</f>
        <v>0</v>
      </c>
      <c r="I176" s="80">
        <f>SUMIFS('февраль 2024'!$G$6:$G$1413,'февраль 2024'!$D$6:$D$1413,$B176,'февраль 2024'!$J$6:$J$1413,I$1)</f>
        <v>0</v>
      </c>
      <c r="J176" s="80">
        <f>SUMIFS('февраль 2024'!$G$6:$G$1413,'февраль 2024'!$D$6:$D$1413,$B176,'февраль 2024'!$J$6:$J$1413,J$1)</f>
        <v>0</v>
      </c>
      <c r="K176" s="80">
        <f>SUMIFS('февраль 2024'!$G$6:$G$1413,'февраль 2024'!$D$6:$D$1413,$B176,'февраль 2024'!$J$6:$J$1413,K$1)</f>
        <v>0</v>
      </c>
      <c r="L176" s="80">
        <f>SUMIFS('февраль 2024'!$G$6:$G$1413,'февраль 2024'!$D$6:$D$1413,$B176,'февраль 2024'!$J$6:$J$1413,L$1)</f>
        <v>0</v>
      </c>
      <c r="M176" s="80">
        <f>SUMIFS('февраль 2024'!$G$6:$G$1413,'февраль 2024'!$D$6:$D$1413,$B176,'февраль 2024'!$J$6:$J$1413,M$1)</f>
        <v>0</v>
      </c>
      <c r="N176" s="80">
        <f>SUMIFS('февраль 2024'!$G$6:$G$1413,'февраль 2024'!$D$6:$D$1413,$B176,'февраль 2024'!$J$6:$J$1413,N$1)</f>
        <v>0</v>
      </c>
      <c r="O176" s="80">
        <f>SUMIFS('февраль 2024'!$G$6:$G$1413,'февраль 2024'!$D$6:$D$1413,$B176,'февраль 2024'!$J$6:$J$1413,O$1)</f>
        <v>0</v>
      </c>
      <c r="P176" s="80">
        <f>SUMIFS('февраль 2024'!$G$6:$G$1413,'февраль 2024'!$D$6:$D$1413,$B176,'февраль 2024'!$J$6:$J$1413,P$1)</f>
        <v>0</v>
      </c>
      <c r="Q176" s="80">
        <f>SUMIFS('февраль 2024'!$G$6:$G$1413,'февраль 2024'!$D$6:$D$1413,$B176,'февраль 2024'!$J$6:$J$1413,Q$1)</f>
        <v>0</v>
      </c>
      <c r="R176" s="80">
        <f>SUMIFS('февраль 2024'!$G$6:$G$1413,'февраль 2024'!$D$6:$D$1413,$B176,'февраль 2024'!$J$6:$J$1413,R$1)</f>
        <v>0</v>
      </c>
      <c r="S176" s="80">
        <f>SUMIFS('февраль 2024'!$G$6:$G$1413,'февраль 2024'!$D$6:$D$1413,$B176,'февраль 2024'!$J$6:$J$1413,S$1)</f>
        <v>0</v>
      </c>
      <c r="T176" s="80">
        <f>SUMIFS('февраль 2024'!$G$6:$G$1413,'февраль 2024'!$D$6:$D$1413,$B176,'февраль 2024'!$J$6:$J$1413,T$1)</f>
        <v>0</v>
      </c>
      <c r="U176" s="80">
        <f>SUMIFS('февраль 2024'!$G$6:$G$1413,'февраль 2024'!$D$6:$D$1413,$B176,'февраль 2024'!$J$6:$J$1413,U$1)</f>
        <v>0</v>
      </c>
      <c r="V176" s="80">
        <f>SUMIFS('февраль 2024'!$G$6:$G$1413,'февраль 2024'!$D$6:$D$1413,$B176,'февраль 2024'!$J$6:$J$1413,V$1)</f>
        <v>0</v>
      </c>
      <c r="W176" s="80">
        <f>SUMIFS('февраль 2024'!$G$6:$G$1413,'февраль 2024'!$D$6:$D$1413,$B176,'февраль 2024'!$J$6:$J$1413,W$1)</f>
        <v>0</v>
      </c>
      <c r="X176" s="80">
        <f>SUMIFS('февраль 2024'!$G$6:$G$1413,'февраль 2024'!$D$6:$D$1413,$B176,'февраль 2024'!$J$6:$J$1413,X$1)</f>
        <v>0</v>
      </c>
      <c r="Y176" s="80">
        <f>SUMIFS('февраль 2024'!$G$6:$G$1413,'февраль 2024'!$D$6:$D$1413,$B176,'февраль 2024'!$J$6:$J$1413,Y$1)</f>
        <v>0</v>
      </c>
      <c r="Z176" s="80">
        <f>SUMIFS('февраль 2024'!$G$6:$G$1413,'февраль 2024'!$D$6:$D$1413,$B176,'февраль 2024'!$J$6:$J$1413,Z$1)</f>
        <v>0</v>
      </c>
      <c r="AA176" s="80">
        <f>SUMIFS('февраль 2024'!$G$6:$G$1413,'февраль 2024'!$D$6:$D$1413,$B176,'февраль 2024'!$J$6:$J$1413,AA$1)</f>
        <v>0</v>
      </c>
      <c r="AB176" s="80">
        <f>SUMIFS('февраль 2024'!$G$6:$G$1413,'февраль 2024'!$D$6:$D$1413,$B176,'февраль 2024'!$J$6:$J$1413,AB$1)</f>
        <v>0</v>
      </c>
      <c r="AC176" s="80">
        <f>SUMIFS('февраль 2024'!$G$6:$G$1413,'февраль 2024'!$D$6:$D$1413,$B176,'февраль 2024'!$J$6:$J$1413,AC$1)</f>
        <v>0</v>
      </c>
      <c r="AD176" s="80">
        <f>SUMIFS('февраль 2024'!$G$6:$G$1413,'февраль 2024'!$D$6:$D$1413,$B176,'февраль 2024'!$J$6:$J$1413,AD$1)</f>
        <v>0</v>
      </c>
      <c r="AE176" s="80">
        <f>SUMIFS('февраль 2024'!$G$6:$G$1413,'февраль 2024'!$D$6:$D$1413,$B176,'февраль 2024'!$J$6:$J$1413,AE$1)</f>
        <v>0</v>
      </c>
      <c r="AF176" s="80">
        <f>SUMIFS('февраль 2024'!$G$6:$G$1413,'февраль 2024'!$D$6:$D$1413,$B176,'февраль 2024'!$J$6:$J$1413,AF$1)</f>
        <v>0</v>
      </c>
      <c r="AG176" s="80">
        <f>SUMIFS('февраль 2024'!$G$6:$G$1413,'февраль 2024'!$D$6:$D$1413,$B176,'февраль 2024'!$J$6:$J$1413,AG$1)</f>
        <v>0</v>
      </c>
      <c r="AH176" s="80">
        <f>SUMIFS('февраль 2024'!$G$6:$G$1413,'февраль 2024'!$D$6:$D$1413,$B176,'февраль 2024'!$J$6:$J$1413,AH$1)</f>
        <v>0</v>
      </c>
      <c r="AI176" s="87"/>
    </row>
    <row r="177" spans="2:35" ht="15" hidden="1" customHeight="1" x14ac:dyDescent="0.25">
      <c r="B177" s="89"/>
      <c r="C177" s="88"/>
      <c r="D177" s="80">
        <f>SUMIFS('февраль 2024'!$G$6:$G$1413,'февраль 2024'!$D$6:$D$1413,$B177,'февраль 2024'!$J$6:$J$1413,D$1)</f>
        <v>0</v>
      </c>
      <c r="E177" s="80">
        <f>SUMIFS('февраль 2024'!$G$6:$G$1413,'февраль 2024'!$D$6:$D$1413,$B177,'февраль 2024'!$J$6:$J$1413,E$1)</f>
        <v>0</v>
      </c>
      <c r="F177" s="80">
        <f>SUMIFS('февраль 2024'!$G$6:$G$1413,'февраль 2024'!$D$6:$D$1413,$B177,'февраль 2024'!$J$6:$J$1413,F$1)</f>
        <v>0</v>
      </c>
      <c r="G177" s="80">
        <f>SUMIFS('февраль 2024'!$G$6:$G$1413,'февраль 2024'!$D$6:$D$1413,$B177,'февраль 2024'!$J$6:$J$1413,G$1)</f>
        <v>0</v>
      </c>
      <c r="H177" s="80">
        <f>SUMIFS('февраль 2024'!$G$6:$G$1413,'февраль 2024'!$D$6:$D$1413,$B177,'февраль 2024'!$J$6:$J$1413,H$1)</f>
        <v>0</v>
      </c>
      <c r="I177" s="80">
        <f>SUMIFS('февраль 2024'!$G$6:$G$1413,'февраль 2024'!$D$6:$D$1413,$B177,'февраль 2024'!$J$6:$J$1413,I$1)</f>
        <v>0</v>
      </c>
      <c r="J177" s="80">
        <f>SUMIFS('февраль 2024'!$G$6:$G$1413,'февраль 2024'!$D$6:$D$1413,$B177,'февраль 2024'!$J$6:$J$1413,J$1)</f>
        <v>0</v>
      </c>
      <c r="K177" s="80">
        <f>SUMIFS('февраль 2024'!$G$6:$G$1413,'февраль 2024'!$D$6:$D$1413,$B177,'февраль 2024'!$J$6:$J$1413,K$1)</f>
        <v>0</v>
      </c>
      <c r="L177" s="80">
        <f>SUMIFS('февраль 2024'!$G$6:$G$1413,'февраль 2024'!$D$6:$D$1413,$B177,'февраль 2024'!$J$6:$J$1413,L$1)</f>
        <v>0</v>
      </c>
      <c r="M177" s="80">
        <f>SUMIFS('февраль 2024'!$G$6:$G$1413,'февраль 2024'!$D$6:$D$1413,$B177,'февраль 2024'!$J$6:$J$1413,M$1)</f>
        <v>0</v>
      </c>
      <c r="N177" s="80">
        <f>SUMIFS('февраль 2024'!$G$6:$G$1413,'февраль 2024'!$D$6:$D$1413,$B177,'февраль 2024'!$J$6:$J$1413,N$1)</f>
        <v>0</v>
      </c>
      <c r="O177" s="80">
        <f>SUMIFS('февраль 2024'!$G$6:$G$1413,'февраль 2024'!$D$6:$D$1413,$B177,'февраль 2024'!$J$6:$J$1413,O$1)</f>
        <v>0</v>
      </c>
      <c r="P177" s="80">
        <f>SUMIFS('февраль 2024'!$G$6:$G$1413,'февраль 2024'!$D$6:$D$1413,$B177,'февраль 2024'!$J$6:$J$1413,P$1)</f>
        <v>0</v>
      </c>
      <c r="Q177" s="80">
        <f>SUMIFS('февраль 2024'!$G$6:$G$1413,'февраль 2024'!$D$6:$D$1413,$B177,'февраль 2024'!$J$6:$J$1413,Q$1)</f>
        <v>0</v>
      </c>
      <c r="R177" s="80">
        <f>SUMIFS('февраль 2024'!$G$6:$G$1413,'февраль 2024'!$D$6:$D$1413,$B177,'февраль 2024'!$J$6:$J$1413,R$1)</f>
        <v>0</v>
      </c>
      <c r="S177" s="80">
        <f>SUMIFS('февраль 2024'!$G$6:$G$1413,'февраль 2024'!$D$6:$D$1413,$B177,'февраль 2024'!$J$6:$J$1413,S$1)</f>
        <v>0</v>
      </c>
      <c r="T177" s="80">
        <f>SUMIFS('февраль 2024'!$G$6:$G$1413,'февраль 2024'!$D$6:$D$1413,$B177,'февраль 2024'!$J$6:$J$1413,T$1)</f>
        <v>0</v>
      </c>
      <c r="U177" s="80">
        <f>SUMIFS('февраль 2024'!$G$6:$G$1413,'февраль 2024'!$D$6:$D$1413,$B177,'февраль 2024'!$J$6:$J$1413,U$1)</f>
        <v>0</v>
      </c>
      <c r="V177" s="80">
        <f>SUMIFS('февраль 2024'!$G$6:$G$1413,'февраль 2024'!$D$6:$D$1413,$B177,'февраль 2024'!$J$6:$J$1413,V$1)</f>
        <v>0</v>
      </c>
      <c r="W177" s="80">
        <f>SUMIFS('февраль 2024'!$G$6:$G$1413,'февраль 2024'!$D$6:$D$1413,$B177,'февраль 2024'!$J$6:$J$1413,W$1)</f>
        <v>0</v>
      </c>
      <c r="X177" s="80">
        <f>SUMIFS('февраль 2024'!$G$6:$G$1413,'февраль 2024'!$D$6:$D$1413,$B177,'февраль 2024'!$J$6:$J$1413,X$1)</f>
        <v>0</v>
      </c>
      <c r="Y177" s="80">
        <f>SUMIFS('февраль 2024'!$G$6:$G$1413,'февраль 2024'!$D$6:$D$1413,$B177,'февраль 2024'!$J$6:$J$1413,Y$1)</f>
        <v>0</v>
      </c>
      <c r="Z177" s="80">
        <f>SUMIFS('февраль 2024'!$G$6:$G$1413,'февраль 2024'!$D$6:$D$1413,$B177,'февраль 2024'!$J$6:$J$1413,Z$1)</f>
        <v>0</v>
      </c>
      <c r="AA177" s="80">
        <f>SUMIFS('февраль 2024'!$G$6:$G$1413,'февраль 2024'!$D$6:$D$1413,$B177,'февраль 2024'!$J$6:$J$1413,AA$1)</f>
        <v>0</v>
      </c>
      <c r="AB177" s="80">
        <f>SUMIFS('февраль 2024'!$G$6:$G$1413,'февраль 2024'!$D$6:$D$1413,$B177,'февраль 2024'!$J$6:$J$1413,AB$1)</f>
        <v>0</v>
      </c>
      <c r="AC177" s="80">
        <f>SUMIFS('февраль 2024'!$G$6:$G$1413,'февраль 2024'!$D$6:$D$1413,$B177,'февраль 2024'!$J$6:$J$1413,AC$1)</f>
        <v>0</v>
      </c>
      <c r="AD177" s="80">
        <f>SUMIFS('февраль 2024'!$G$6:$G$1413,'февраль 2024'!$D$6:$D$1413,$B177,'февраль 2024'!$J$6:$J$1413,AD$1)</f>
        <v>0</v>
      </c>
      <c r="AE177" s="80">
        <f>SUMIFS('февраль 2024'!$G$6:$G$1413,'февраль 2024'!$D$6:$D$1413,$B177,'февраль 2024'!$J$6:$J$1413,AE$1)</f>
        <v>0</v>
      </c>
      <c r="AF177" s="80">
        <f>SUMIFS('февраль 2024'!$G$6:$G$1413,'февраль 2024'!$D$6:$D$1413,$B177,'февраль 2024'!$J$6:$J$1413,AF$1)</f>
        <v>0</v>
      </c>
      <c r="AG177" s="80">
        <f>SUMIFS('февраль 2024'!$G$6:$G$1413,'февраль 2024'!$D$6:$D$1413,$B177,'февраль 2024'!$J$6:$J$1413,AG$1)</f>
        <v>0</v>
      </c>
      <c r="AH177" s="80">
        <f>SUMIFS('февраль 2024'!$G$6:$G$1413,'февраль 2024'!$D$6:$D$1413,$B177,'февраль 2024'!$J$6:$J$1413,AH$1)</f>
        <v>0</v>
      </c>
      <c r="AI177" s="87"/>
    </row>
    <row r="178" spans="2:35" ht="15" hidden="1" customHeight="1" x14ac:dyDescent="0.25">
      <c r="B178" s="89"/>
      <c r="C178" s="88"/>
      <c r="D178" s="80">
        <f>SUMIFS('февраль 2024'!$G$6:$G$1413,'февраль 2024'!$D$6:$D$1413,$B178,'февраль 2024'!$J$6:$J$1413,D$1)</f>
        <v>0</v>
      </c>
      <c r="E178" s="80">
        <f>SUMIFS('февраль 2024'!$G$6:$G$1413,'февраль 2024'!$D$6:$D$1413,$B178,'февраль 2024'!$J$6:$J$1413,E$1)</f>
        <v>0</v>
      </c>
      <c r="F178" s="80">
        <f>SUMIFS('февраль 2024'!$G$6:$G$1413,'февраль 2024'!$D$6:$D$1413,$B178,'февраль 2024'!$J$6:$J$1413,F$1)</f>
        <v>0</v>
      </c>
      <c r="G178" s="80">
        <f>SUMIFS('февраль 2024'!$G$6:$G$1413,'февраль 2024'!$D$6:$D$1413,$B178,'февраль 2024'!$J$6:$J$1413,G$1)</f>
        <v>0</v>
      </c>
      <c r="H178" s="80">
        <f>SUMIFS('февраль 2024'!$G$6:$G$1413,'февраль 2024'!$D$6:$D$1413,$B178,'февраль 2024'!$J$6:$J$1413,H$1)</f>
        <v>0</v>
      </c>
      <c r="I178" s="80">
        <f>SUMIFS('февраль 2024'!$G$6:$G$1413,'февраль 2024'!$D$6:$D$1413,$B178,'февраль 2024'!$J$6:$J$1413,I$1)</f>
        <v>0</v>
      </c>
      <c r="J178" s="80">
        <f>SUMIFS('февраль 2024'!$G$6:$G$1413,'февраль 2024'!$D$6:$D$1413,$B178,'февраль 2024'!$J$6:$J$1413,J$1)</f>
        <v>0</v>
      </c>
      <c r="K178" s="80">
        <f>SUMIFS('февраль 2024'!$G$6:$G$1413,'февраль 2024'!$D$6:$D$1413,$B178,'февраль 2024'!$J$6:$J$1413,K$1)</f>
        <v>0</v>
      </c>
      <c r="L178" s="80">
        <f>SUMIFS('февраль 2024'!$G$6:$G$1413,'февраль 2024'!$D$6:$D$1413,$B178,'февраль 2024'!$J$6:$J$1413,L$1)</f>
        <v>0</v>
      </c>
      <c r="M178" s="80">
        <f>SUMIFS('февраль 2024'!$G$6:$G$1413,'февраль 2024'!$D$6:$D$1413,$B178,'февраль 2024'!$J$6:$J$1413,M$1)</f>
        <v>0</v>
      </c>
      <c r="N178" s="80">
        <f>SUMIFS('февраль 2024'!$G$6:$G$1413,'февраль 2024'!$D$6:$D$1413,$B178,'февраль 2024'!$J$6:$J$1413,N$1)</f>
        <v>0</v>
      </c>
      <c r="O178" s="80">
        <f>SUMIFS('февраль 2024'!$G$6:$G$1413,'февраль 2024'!$D$6:$D$1413,$B178,'февраль 2024'!$J$6:$J$1413,O$1)</f>
        <v>0</v>
      </c>
      <c r="P178" s="80">
        <f>SUMIFS('февраль 2024'!$G$6:$G$1413,'февраль 2024'!$D$6:$D$1413,$B178,'февраль 2024'!$J$6:$J$1413,P$1)</f>
        <v>0</v>
      </c>
      <c r="Q178" s="80">
        <f>SUMIFS('февраль 2024'!$G$6:$G$1413,'февраль 2024'!$D$6:$D$1413,$B178,'февраль 2024'!$J$6:$J$1413,Q$1)</f>
        <v>0</v>
      </c>
      <c r="R178" s="80">
        <f>SUMIFS('февраль 2024'!$G$6:$G$1413,'февраль 2024'!$D$6:$D$1413,$B178,'февраль 2024'!$J$6:$J$1413,R$1)</f>
        <v>0</v>
      </c>
      <c r="S178" s="80">
        <f>SUMIFS('февраль 2024'!$G$6:$G$1413,'февраль 2024'!$D$6:$D$1413,$B178,'февраль 2024'!$J$6:$J$1413,S$1)</f>
        <v>0</v>
      </c>
      <c r="T178" s="80">
        <f>SUMIFS('февраль 2024'!$G$6:$G$1413,'февраль 2024'!$D$6:$D$1413,$B178,'февраль 2024'!$J$6:$J$1413,T$1)</f>
        <v>0</v>
      </c>
      <c r="U178" s="80">
        <f>SUMIFS('февраль 2024'!$G$6:$G$1413,'февраль 2024'!$D$6:$D$1413,$B178,'февраль 2024'!$J$6:$J$1413,U$1)</f>
        <v>0</v>
      </c>
      <c r="V178" s="80">
        <f>SUMIFS('февраль 2024'!$G$6:$G$1413,'февраль 2024'!$D$6:$D$1413,$B178,'февраль 2024'!$J$6:$J$1413,V$1)</f>
        <v>0</v>
      </c>
      <c r="W178" s="80">
        <f>SUMIFS('февраль 2024'!$G$6:$G$1413,'февраль 2024'!$D$6:$D$1413,$B178,'февраль 2024'!$J$6:$J$1413,W$1)</f>
        <v>0</v>
      </c>
      <c r="X178" s="80">
        <f>SUMIFS('февраль 2024'!$G$6:$G$1413,'февраль 2024'!$D$6:$D$1413,$B178,'февраль 2024'!$J$6:$J$1413,X$1)</f>
        <v>0</v>
      </c>
      <c r="Y178" s="80">
        <f>SUMIFS('февраль 2024'!$G$6:$G$1413,'февраль 2024'!$D$6:$D$1413,$B178,'февраль 2024'!$J$6:$J$1413,Y$1)</f>
        <v>0</v>
      </c>
      <c r="Z178" s="80">
        <f>SUMIFS('февраль 2024'!$G$6:$G$1413,'февраль 2024'!$D$6:$D$1413,$B178,'февраль 2024'!$J$6:$J$1413,Z$1)</f>
        <v>0</v>
      </c>
      <c r="AA178" s="80">
        <f>SUMIFS('февраль 2024'!$G$6:$G$1413,'февраль 2024'!$D$6:$D$1413,$B178,'февраль 2024'!$J$6:$J$1413,AA$1)</f>
        <v>0</v>
      </c>
      <c r="AB178" s="80">
        <f>SUMIFS('февраль 2024'!$G$6:$G$1413,'февраль 2024'!$D$6:$D$1413,$B178,'февраль 2024'!$J$6:$J$1413,AB$1)</f>
        <v>0</v>
      </c>
      <c r="AC178" s="80">
        <f>SUMIFS('февраль 2024'!$G$6:$G$1413,'февраль 2024'!$D$6:$D$1413,$B178,'февраль 2024'!$J$6:$J$1413,AC$1)</f>
        <v>0</v>
      </c>
      <c r="AD178" s="80">
        <f>SUMIFS('февраль 2024'!$G$6:$G$1413,'февраль 2024'!$D$6:$D$1413,$B178,'февраль 2024'!$J$6:$J$1413,AD$1)</f>
        <v>0</v>
      </c>
      <c r="AE178" s="80">
        <f>SUMIFS('февраль 2024'!$G$6:$G$1413,'февраль 2024'!$D$6:$D$1413,$B178,'февраль 2024'!$J$6:$J$1413,AE$1)</f>
        <v>0</v>
      </c>
      <c r="AF178" s="80">
        <f>SUMIFS('февраль 2024'!$G$6:$G$1413,'февраль 2024'!$D$6:$D$1413,$B178,'февраль 2024'!$J$6:$J$1413,AF$1)</f>
        <v>0</v>
      </c>
      <c r="AG178" s="80">
        <f>SUMIFS('февраль 2024'!$G$6:$G$1413,'февраль 2024'!$D$6:$D$1413,$B178,'февраль 2024'!$J$6:$J$1413,AG$1)</f>
        <v>0</v>
      </c>
      <c r="AH178" s="80">
        <f>SUMIFS('февраль 2024'!$G$6:$G$1413,'февраль 2024'!$D$6:$D$1413,$B178,'февраль 2024'!$J$6:$J$1413,AH$1)</f>
        <v>0</v>
      </c>
      <c r="AI178" s="87"/>
    </row>
    <row r="179" spans="2:35" ht="15" hidden="1" customHeight="1" x14ac:dyDescent="0.25">
      <c r="B179" s="89"/>
      <c r="C179" s="88"/>
      <c r="D179" s="80">
        <f>SUMIFS('февраль 2024'!$G$6:$G$1413,'февраль 2024'!$D$6:$D$1413,$B179,'февраль 2024'!$J$6:$J$1413,D$1)</f>
        <v>0</v>
      </c>
      <c r="E179" s="80">
        <f>SUMIFS('февраль 2024'!$G$6:$G$1413,'февраль 2024'!$D$6:$D$1413,$B179,'февраль 2024'!$J$6:$J$1413,E$1)</f>
        <v>0</v>
      </c>
      <c r="F179" s="80">
        <f>SUMIFS('февраль 2024'!$G$6:$G$1413,'февраль 2024'!$D$6:$D$1413,$B179,'февраль 2024'!$J$6:$J$1413,F$1)</f>
        <v>0</v>
      </c>
      <c r="G179" s="80">
        <f>SUMIFS('февраль 2024'!$G$6:$G$1413,'февраль 2024'!$D$6:$D$1413,$B179,'февраль 2024'!$J$6:$J$1413,G$1)</f>
        <v>0</v>
      </c>
      <c r="H179" s="80">
        <f>SUMIFS('февраль 2024'!$G$6:$G$1413,'февраль 2024'!$D$6:$D$1413,$B179,'февраль 2024'!$J$6:$J$1413,H$1)</f>
        <v>0</v>
      </c>
      <c r="I179" s="80">
        <f>SUMIFS('февраль 2024'!$G$6:$G$1413,'февраль 2024'!$D$6:$D$1413,$B179,'февраль 2024'!$J$6:$J$1413,I$1)</f>
        <v>0</v>
      </c>
      <c r="J179" s="80">
        <f>SUMIFS('февраль 2024'!$G$6:$G$1413,'февраль 2024'!$D$6:$D$1413,$B179,'февраль 2024'!$J$6:$J$1413,J$1)</f>
        <v>0</v>
      </c>
      <c r="K179" s="80">
        <f>SUMIFS('февраль 2024'!$G$6:$G$1413,'февраль 2024'!$D$6:$D$1413,$B179,'февраль 2024'!$J$6:$J$1413,K$1)</f>
        <v>0</v>
      </c>
      <c r="L179" s="80">
        <f>SUMIFS('февраль 2024'!$G$6:$G$1413,'февраль 2024'!$D$6:$D$1413,$B179,'февраль 2024'!$J$6:$J$1413,L$1)</f>
        <v>0</v>
      </c>
      <c r="M179" s="80">
        <f>SUMIFS('февраль 2024'!$G$6:$G$1413,'февраль 2024'!$D$6:$D$1413,$B179,'февраль 2024'!$J$6:$J$1413,M$1)</f>
        <v>0</v>
      </c>
      <c r="N179" s="80">
        <f>SUMIFS('февраль 2024'!$G$6:$G$1413,'февраль 2024'!$D$6:$D$1413,$B179,'февраль 2024'!$J$6:$J$1413,N$1)</f>
        <v>0</v>
      </c>
      <c r="O179" s="80">
        <f>SUMIFS('февраль 2024'!$G$6:$G$1413,'февраль 2024'!$D$6:$D$1413,$B179,'февраль 2024'!$J$6:$J$1413,O$1)</f>
        <v>0</v>
      </c>
      <c r="P179" s="80">
        <f>SUMIFS('февраль 2024'!$G$6:$G$1413,'февраль 2024'!$D$6:$D$1413,$B179,'февраль 2024'!$J$6:$J$1413,P$1)</f>
        <v>0</v>
      </c>
      <c r="Q179" s="80">
        <f>SUMIFS('февраль 2024'!$G$6:$G$1413,'февраль 2024'!$D$6:$D$1413,$B179,'февраль 2024'!$J$6:$J$1413,Q$1)</f>
        <v>0</v>
      </c>
      <c r="R179" s="80">
        <f>SUMIFS('февраль 2024'!$G$6:$G$1413,'февраль 2024'!$D$6:$D$1413,$B179,'февраль 2024'!$J$6:$J$1413,R$1)</f>
        <v>0</v>
      </c>
      <c r="S179" s="80">
        <f>SUMIFS('февраль 2024'!$G$6:$G$1413,'февраль 2024'!$D$6:$D$1413,$B179,'февраль 2024'!$J$6:$J$1413,S$1)</f>
        <v>0</v>
      </c>
      <c r="T179" s="80">
        <f>SUMIFS('февраль 2024'!$G$6:$G$1413,'февраль 2024'!$D$6:$D$1413,$B179,'февраль 2024'!$J$6:$J$1413,T$1)</f>
        <v>0</v>
      </c>
      <c r="U179" s="80">
        <f>SUMIFS('февраль 2024'!$G$6:$G$1413,'февраль 2024'!$D$6:$D$1413,$B179,'февраль 2024'!$J$6:$J$1413,U$1)</f>
        <v>0</v>
      </c>
      <c r="V179" s="80">
        <f>SUMIFS('февраль 2024'!$G$6:$G$1413,'февраль 2024'!$D$6:$D$1413,$B179,'февраль 2024'!$J$6:$J$1413,V$1)</f>
        <v>0</v>
      </c>
      <c r="W179" s="80">
        <f>SUMIFS('февраль 2024'!$G$6:$G$1413,'февраль 2024'!$D$6:$D$1413,$B179,'февраль 2024'!$J$6:$J$1413,W$1)</f>
        <v>0</v>
      </c>
      <c r="X179" s="80">
        <f>SUMIFS('февраль 2024'!$G$6:$G$1413,'февраль 2024'!$D$6:$D$1413,$B179,'февраль 2024'!$J$6:$J$1413,X$1)</f>
        <v>0</v>
      </c>
      <c r="Y179" s="80">
        <f>SUMIFS('февраль 2024'!$G$6:$G$1413,'февраль 2024'!$D$6:$D$1413,$B179,'февраль 2024'!$J$6:$J$1413,Y$1)</f>
        <v>0</v>
      </c>
      <c r="Z179" s="80">
        <f>SUMIFS('февраль 2024'!$G$6:$G$1413,'февраль 2024'!$D$6:$D$1413,$B179,'февраль 2024'!$J$6:$J$1413,Z$1)</f>
        <v>0</v>
      </c>
      <c r="AA179" s="80">
        <f>SUMIFS('февраль 2024'!$G$6:$G$1413,'февраль 2024'!$D$6:$D$1413,$B179,'февраль 2024'!$J$6:$J$1413,AA$1)</f>
        <v>0</v>
      </c>
      <c r="AB179" s="80">
        <f>SUMIFS('февраль 2024'!$G$6:$G$1413,'февраль 2024'!$D$6:$D$1413,$B179,'февраль 2024'!$J$6:$J$1413,AB$1)</f>
        <v>0</v>
      </c>
      <c r="AC179" s="80">
        <f>SUMIFS('февраль 2024'!$G$6:$G$1413,'февраль 2024'!$D$6:$D$1413,$B179,'февраль 2024'!$J$6:$J$1413,AC$1)</f>
        <v>0</v>
      </c>
      <c r="AD179" s="80">
        <f>SUMIFS('февраль 2024'!$G$6:$G$1413,'февраль 2024'!$D$6:$D$1413,$B179,'февраль 2024'!$J$6:$J$1413,AD$1)</f>
        <v>0</v>
      </c>
      <c r="AE179" s="80">
        <f>SUMIFS('февраль 2024'!$G$6:$G$1413,'февраль 2024'!$D$6:$D$1413,$B179,'февраль 2024'!$J$6:$J$1413,AE$1)</f>
        <v>0</v>
      </c>
      <c r="AF179" s="80">
        <f>SUMIFS('февраль 2024'!$G$6:$G$1413,'февраль 2024'!$D$6:$D$1413,$B179,'февраль 2024'!$J$6:$J$1413,AF$1)</f>
        <v>0</v>
      </c>
      <c r="AG179" s="80">
        <f>SUMIFS('февраль 2024'!$G$6:$G$1413,'февраль 2024'!$D$6:$D$1413,$B179,'февраль 2024'!$J$6:$J$1413,AG$1)</f>
        <v>0</v>
      </c>
      <c r="AH179" s="80">
        <f>SUMIFS('февраль 2024'!$G$6:$G$1413,'февраль 2024'!$D$6:$D$1413,$B179,'февраль 2024'!$J$6:$J$1413,AH$1)</f>
        <v>0</v>
      </c>
      <c r="AI179" s="87"/>
    </row>
    <row r="180" spans="2:35" ht="15" hidden="1" customHeight="1" x14ac:dyDescent="0.25">
      <c r="B180" s="89"/>
      <c r="C180" s="88"/>
      <c r="D180" s="80">
        <f>SUMIFS('февраль 2024'!$G$6:$G$1413,'февраль 2024'!$D$6:$D$1413,$B180,'февраль 2024'!$J$6:$J$1413,D$1)</f>
        <v>0</v>
      </c>
      <c r="E180" s="80">
        <f>SUMIFS('февраль 2024'!$G$6:$G$1413,'февраль 2024'!$D$6:$D$1413,$B180,'февраль 2024'!$J$6:$J$1413,E$1)</f>
        <v>0</v>
      </c>
      <c r="F180" s="80">
        <f>SUMIFS('февраль 2024'!$G$6:$G$1413,'февраль 2024'!$D$6:$D$1413,$B180,'февраль 2024'!$J$6:$J$1413,F$1)</f>
        <v>0</v>
      </c>
      <c r="G180" s="80">
        <f>SUMIFS('февраль 2024'!$G$6:$G$1413,'февраль 2024'!$D$6:$D$1413,$B180,'февраль 2024'!$J$6:$J$1413,G$1)</f>
        <v>0</v>
      </c>
      <c r="H180" s="80">
        <f>SUMIFS('февраль 2024'!$G$6:$G$1413,'февраль 2024'!$D$6:$D$1413,$B180,'февраль 2024'!$J$6:$J$1413,H$1)</f>
        <v>0</v>
      </c>
      <c r="I180" s="80">
        <f>SUMIFS('февраль 2024'!$G$6:$G$1413,'февраль 2024'!$D$6:$D$1413,$B180,'февраль 2024'!$J$6:$J$1413,I$1)</f>
        <v>0</v>
      </c>
      <c r="J180" s="80">
        <f>SUMIFS('февраль 2024'!$G$6:$G$1413,'февраль 2024'!$D$6:$D$1413,$B180,'февраль 2024'!$J$6:$J$1413,J$1)</f>
        <v>0</v>
      </c>
      <c r="K180" s="80">
        <f>SUMIFS('февраль 2024'!$G$6:$G$1413,'февраль 2024'!$D$6:$D$1413,$B180,'февраль 2024'!$J$6:$J$1413,K$1)</f>
        <v>0</v>
      </c>
      <c r="L180" s="80">
        <f>SUMIFS('февраль 2024'!$G$6:$G$1413,'февраль 2024'!$D$6:$D$1413,$B180,'февраль 2024'!$J$6:$J$1413,L$1)</f>
        <v>0</v>
      </c>
      <c r="M180" s="80">
        <f>SUMIFS('февраль 2024'!$G$6:$G$1413,'февраль 2024'!$D$6:$D$1413,$B180,'февраль 2024'!$J$6:$J$1413,M$1)</f>
        <v>0</v>
      </c>
      <c r="N180" s="80">
        <f>SUMIFS('февраль 2024'!$G$6:$G$1413,'февраль 2024'!$D$6:$D$1413,$B180,'февраль 2024'!$J$6:$J$1413,N$1)</f>
        <v>0</v>
      </c>
      <c r="O180" s="80">
        <f>SUMIFS('февраль 2024'!$G$6:$G$1413,'февраль 2024'!$D$6:$D$1413,$B180,'февраль 2024'!$J$6:$J$1413,O$1)</f>
        <v>0</v>
      </c>
      <c r="P180" s="80">
        <f>SUMIFS('февраль 2024'!$G$6:$G$1413,'февраль 2024'!$D$6:$D$1413,$B180,'февраль 2024'!$J$6:$J$1413,P$1)</f>
        <v>0</v>
      </c>
      <c r="Q180" s="80">
        <f>SUMIFS('февраль 2024'!$G$6:$G$1413,'февраль 2024'!$D$6:$D$1413,$B180,'февраль 2024'!$J$6:$J$1413,Q$1)</f>
        <v>0</v>
      </c>
      <c r="R180" s="80">
        <f>SUMIFS('февраль 2024'!$G$6:$G$1413,'февраль 2024'!$D$6:$D$1413,$B180,'февраль 2024'!$J$6:$J$1413,R$1)</f>
        <v>0</v>
      </c>
      <c r="S180" s="80">
        <f>SUMIFS('февраль 2024'!$G$6:$G$1413,'февраль 2024'!$D$6:$D$1413,$B180,'февраль 2024'!$J$6:$J$1413,S$1)</f>
        <v>0</v>
      </c>
      <c r="T180" s="80">
        <f>SUMIFS('февраль 2024'!$G$6:$G$1413,'февраль 2024'!$D$6:$D$1413,$B180,'февраль 2024'!$J$6:$J$1413,T$1)</f>
        <v>0</v>
      </c>
      <c r="U180" s="80">
        <f>SUMIFS('февраль 2024'!$G$6:$G$1413,'февраль 2024'!$D$6:$D$1413,$B180,'февраль 2024'!$J$6:$J$1413,U$1)</f>
        <v>0</v>
      </c>
      <c r="V180" s="80">
        <f>SUMIFS('февраль 2024'!$G$6:$G$1413,'февраль 2024'!$D$6:$D$1413,$B180,'февраль 2024'!$J$6:$J$1413,V$1)</f>
        <v>0</v>
      </c>
      <c r="W180" s="80">
        <f>SUMIFS('февраль 2024'!$G$6:$G$1413,'февраль 2024'!$D$6:$D$1413,$B180,'февраль 2024'!$J$6:$J$1413,W$1)</f>
        <v>0</v>
      </c>
      <c r="X180" s="80">
        <f>SUMIFS('февраль 2024'!$G$6:$G$1413,'февраль 2024'!$D$6:$D$1413,$B180,'февраль 2024'!$J$6:$J$1413,X$1)</f>
        <v>0</v>
      </c>
      <c r="Y180" s="80">
        <f>SUMIFS('февраль 2024'!$G$6:$G$1413,'февраль 2024'!$D$6:$D$1413,$B180,'февраль 2024'!$J$6:$J$1413,Y$1)</f>
        <v>0</v>
      </c>
      <c r="Z180" s="80">
        <f>SUMIFS('февраль 2024'!$G$6:$G$1413,'февраль 2024'!$D$6:$D$1413,$B180,'февраль 2024'!$J$6:$J$1413,Z$1)</f>
        <v>0</v>
      </c>
      <c r="AA180" s="80">
        <f>SUMIFS('февраль 2024'!$G$6:$G$1413,'февраль 2024'!$D$6:$D$1413,$B180,'февраль 2024'!$J$6:$J$1413,AA$1)</f>
        <v>0</v>
      </c>
      <c r="AB180" s="80">
        <f>SUMIFS('февраль 2024'!$G$6:$G$1413,'февраль 2024'!$D$6:$D$1413,$B180,'февраль 2024'!$J$6:$J$1413,AB$1)</f>
        <v>0</v>
      </c>
      <c r="AC180" s="80">
        <f>SUMIFS('февраль 2024'!$G$6:$G$1413,'февраль 2024'!$D$6:$D$1413,$B180,'февраль 2024'!$J$6:$J$1413,AC$1)</f>
        <v>0</v>
      </c>
      <c r="AD180" s="80">
        <f>SUMIFS('февраль 2024'!$G$6:$G$1413,'февраль 2024'!$D$6:$D$1413,$B180,'февраль 2024'!$J$6:$J$1413,AD$1)</f>
        <v>0</v>
      </c>
      <c r="AE180" s="80">
        <f>SUMIFS('февраль 2024'!$G$6:$G$1413,'февраль 2024'!$D$6:$D$1413,$B180,'февраль 2024'!$J$6:$J$1413,AE$1)</f>
        <v>0</v>
      </c>
      <c r="AF180" s="80">
        <f>SUMIFS('февраль 2024'!$G$6:$G$1413,'февраль 2024'!$D$6:$D$1413,$B180,'февраль 2024'!$J$6:$J$1413,AF$1)</f>
        <v>0</v>
      </c>
      <c r="AG180" s="80">
        <f>SUMIFS('февраль 2024'!$G$6:$G$1413,'февраль 2024'!$D$6:$D$1413,$B180,'февраль 2024'!$J$6:$J$1413,AG$1)</f>
        <v>0</v>
      </c>
      <c r="AH180" s="80">
        <f>SUMIFS('февраль 2024'!$G$6:$G$1413,'февраль 2024'!$D$6:$D$1413,$B180,'февраль 2024'!$J$6:$J$1413,AH$1)</f>
        <v>0</v>
      </c>
      <c r="AI180" s="87"/>
    </row>
    <row r="181" spans="2:35" ht="15" hidden="1" customHeight="1" x14ac:dyDescent="0.25">
      <c r="B181" s="89"/>
      <c r="C181" s="88"/>
      <c r="D181" s="80">
        <f>SUMIFS('февраль 2024'!$G$6:$G$1413,'февраль 2024'!$D$6:$D$1413,$B181,'февраль 2024'!$J$6:$J$1413,D$1)</f>
        <v>0</v>
      </c>
      <c r="E181" s="80">
        <f>SUMIFS('февраль 2024'!$G$6:$G$1413,'февраль 2024'!$D$6:$D$1413,$B181,'февраль 2024'!$J$6:$J$1413,E$1)</f>
        <v>0</v>
      </c>
      <c r="F181" s="80">
        <f>SUMIFS('февраль 2024'!$G$6:$G$1413,'февраль 2024'!$D$6:$D$1413,$B181,'февраль 2024'!$J$6:$J$1413,F$1)</f>
        <v>0</v>
      </c>
      <c r="G181" s="80">
        <f>SUMIFS('февраль 2024'!$G$6:$G$1413,'февраль 2024'!$D$6:$D$1413,$B181,'февраль 2024'!$J$6:$J$1413,G$1)</f>
        <v>0</v>
      </c>
      <c r="H181" s="80">
        <f>SUMIFS('февраль 2024'!$G$6:$G$1413,'февраль 2024'!$D$6:$D$1413,$B181,'февраль 2024'!$J$6:$J$1413,H$1)</f>
        <v>0</v>
      </c>
      <c r="I181" s="80">
        <f>SUMIFS('февраль 2024'!$G$6:$G$1413,'февраль 2024'!$D$6:$D$1413,$B181,'февраль 2024'!$J$6:$J$1413,I$1)</f>
        <v>0</v>
      </c>
      <c r="J181" s="80">
        <f>SUMIFS('февраль 2024'!$G$6:$G$1413,'февраль 2024'!$D$6:$D$1413,$B181,'февраль 2024'!$J$6:$J$1413,J$1)</f>
        <v>0</v>
      </c>
      <c r="K181" s="80">
        <f>SUMIFS('февраль 2024'!$G$6:$G$1413,'февраль 2024'!$D$6:$D$1413,$B181,'февраль 2024'!$J$6:$J$1413,K$1)</f>
        <v>0</v>
      </c>
      <c r="L181" s="80">
        <f>SUMIFS('февраль 2024'!$G$6:$G$1413,'февраль 2024'!$D$6:$D$1413,$B181,'февраль 2024'!$J$6:$J$1413,L$1)</f>
        <v>0</v>
      </c>
      <c r="M181" s="80">
        <f>SUMIFS('февраль 2024'!$G$6:$G$1413,'февраль 2024'!$D$6:$D$1413,$B181,'февраль 2024'!$J$6:$J$1413,M$1)</f>
        <v>0</v>
      </c>
      <c r="N181" s="80">
        <f>SUMIFS('февраль 2024'!$G$6:$G$1413,'февраль 2024'!$D$6:$D$1413,$B181,'февраль 2024'!$J$6:$J$1413,N$1)</f>
        <v>0</v>
      </c>
      <c r="O181" s="80">
        <f>SUMIFS('февраль 2024'!$G$6:$G$1413,'февраль 2024'!$D$6:$D$1413,$B181,'февраль 2024'!$J$6:$J$1413,O$1)</f>
        <v>0</v>
      </c>
      <c r="P181" s="80">
        <f>SUMIFS('февраль 2024'!$G$6:$G$1413,'февраль 2024'!$D$6:$D$1413,$B181,'февраль 2024'!$J$6:$J$1413,P$1)</f>
        <v>0</v>
      </c>
      <c r="Q181" s="80">
        <f>SUMIFS('февраль 2024'!$G$6:$G$1413,'февраль 2024'!$D$6:$D$1413,$B181,'февраль 2024'!$J$6:$J$1413,Q$1)</f>
        <v>0</v>
      </c>
      <c r="R181" s="80">
        <f>SUMIFS('февраль 2024'!$G$6:$G$1413,'февраль 2024'!$D$6:$D$1413,$B181,'февраль 2024'!$J$6:$J$1413,R$1)</f>
        <v>0</v>
      </c>
      <c r="S181" s="80">
        <f>SUMIFS('февраль 2024'!$G$6:$G$1413,'февраль 2024'!$D$6:$D$1413,$B181,'февраль 2024'!$J$6:$J$1413,S$1)</f>
        <v>0</v>
      </c>
      <c r="T181" s="80">
        <f>SUMIFS('февраль 2024'!$G$6:$G$1413,'февраль 2024'!$D$6:$D$1413,$B181,'февраль 2024'!$J$6:$J$1413,T$1)</f>
        <v>0</v>
      </c>
      <c r="U181" s="80">
        <f>SUMIFS('февраль 2024'!$G$6:$G$1413,'февраль 2024'!$D$6:$D$1413,$B181,'февраль 2024'!$J$6:$J$1413,U$1)</f>
        <v>0</v>
      </c>
      <c r="V181" s="80">
        <f>SUMIFS('февраль 2024'!$G$6:$G$1413,'февраль 2024'!$D$6:$D$1413,$B181,'февраль 2024'!$J$6:$J$1413,V$1)</f>
        <v>0</v>
      </c>
      <c r="W181" s="80">
        <f>SUMIFS('февраль 2024'!$G$6:$G$1413,'февраль 2024'!$D$6:$D$1413,$B181,'февраль 2024'!$J$6:$J$1413,W$1)</f>
        <v>0</v>
      </c>
      <c r="X181" s="80">
        <f>SUMIFS('февраль 2024'!$G$6:$G$1413,'февраль 2024'!$D$6:$D$1413,$B181,'февраль 2024'!$J$6:$J$1413,X$1)</f>
        <v>0</v>
      </c>
      <c r="Y181" s="80">
        <f>SUMIFS('февраль 2024'!$G$6:$G$1413,'февраль 2024'!$D$6:$D$1413,$B181,'февраль 2024'!$J$6:$J$1413,Y$1)</f>
        <v>0</v>
      </c>
      <c r="Z181" s="80">
        <f>SUMIFS('февраль 2024'!$G$6:$G$1413,'февраль 2024'!$D$6:$D$1413,$B181,'февраль 2024'!$J$6:$J$1413,Z$1)</f>
        <v>0</v>
      </c>
      <c r="AA181" s="80">
        <f>SUMIFS('февраль 2024'!$G$6:$G$1413,'февраль 2024'!$D$6:$D$1413,$B181,'февраль 2024'!$J$6:$J$1413,AA$1)</f>
        <v>0</v>
      </c>
      <c r="AB181" s="80">
        <f>SUMIFS('февраль 2024'!$G$6:$G$1413,'февраль 2024'!$D$6:$D$1413,$B181,'февраль 2024'!$J$6:$J$1413,AB$1)</f>
        <v>0</v>
      </c>
      <c r="AC181" s="80">
        <f>SUMIFS('февраль 2024'!$G$6:$G$1413,'февраль 2024'!$D$6:$D$1413,$B181,'февраль 2024'!$J$6:$J$1413,AC$1)</f>
        <v>0</v>
      </c>
      <c r="AD181" s="80">
        <f>SUMIFS('февраль 2024'!$G$6:$G$1413,'февраль 2024'!$D$6:$D$1413,$B181,'февраль 2024'!$J$6:$J$1413,AD$1)</f>
        <v>0</v>
      </c>
      <c r="AE181" s="80">
        <f>SUMIFS('февраль 2024'!$G$6:$G$1413,'февраль 2024'!$D$6:$D$1413,$B181,'февраль 2024'!$J$6:$J$1413,AE$1)</f>
        <v>0</v>
      </c>
      <c r="AF181" s="80">
        <f>SUMIFS('февраль 2024'!$G$6:$G$1413,'февраль 2024'!$D$6:$D$1413,$B181,'февраль 2024'!$J$6:$J$1413,AF$1)</f>
        <v>0</v>
      </c>
      <c r="AG181" s="80">
        <f>SUMIFS('февраль 2024'!$G$6:$G$1413,'февраль 2024'!$D$6:$D$1413,$B181,'февраль 2024'!$J$6:$J$1413,AG$1)</f>
        <v>0</v>
      </c>
      <c r="AH181" s="80">
        <f>SUMIFS('февраль 2024'!$G$6:$G$1413,'февраль 2024'!$D$6:$D$1413,$B181,'февраль 2024'!$J$6:$J$1413,AH$1)</f>
        <v>0</v>
      </c>
      <c r="AI181" s="87"/>
    </row>
    <row r="182" spans="2:35" ht="15" hidden="1" customHeight="1" x14ac:dyDescent="0.25">
      <c r="B182" s="89"/>
      <c r="C182" s="88"/>
      <c r="D182" s="80">
        <f>SUMIFS('февраль 2024'!$G$6:$G$1413,'февраль 2024'!$D$6:$D$1413,$B182,'февраль 2024'!$J$6:$J$1413,D$1)</f>
        <v>0</v>
      </c>
      <c r="E182" s="80">
        <f>SUMIFS('февраль 2024'!$G$6:$G$1413,'февраль 2024'!$D$6:$D$1413,$B182,'февраль 2024'!$J$6:$J$1413,E$1)</f>
        <v>0</v>
      </c>
      <c r="F182" s="80">
        <f>SUMIFS('февраль 2024'!$G$6:$G$1413,'февраль 2024'!$D$6:$D$1413,$B182,'февраль 2024'!$J$6:$J$1413,F$1)</f>
        <v>0</v>
      </c>
      <c r="G182" s="80">
        <f>SUMIFS('февраль 2024'!$G$6:$G$1413,'февраль 2024'!$D$6:$D$1413,$B182,'февраль 2024'!$J$6:$J$1413,G$1)</f>
        <v>0</v>
      </c>
      <c r="H182" s="80">
        <f>SUMIFS('февраль 2024'!$G$6:$G$1413,'февраль 2024'!$D$6:$D$1413,$B182,'февраль 2024'!$J$6:$J$1413,H$1)</f>
        <v>0</v>
      </c>
      <c r="I182" s="80">
        <f>SUMIFS('февраль 2024'!$G$6:$G$1413,'февраль 2024'!$D$6:$D$1413,$B182,'февраль 2024'!$J$6:$J$1413,I$1)</f>
        <v>0</v>
      </c>
      <c r="J182" s="80">
        <f>SUMIFS('февраль 2024'!$G$6:$G$1413,'февраль 2024'!$D$6:$D$1413,$B182,'февраль 2024'!$J$6:$J$1413,J$1)</f>
        <v>0</v>
      </c>
      <c r="K182" s="80">
        <f>SUMIFS('февраль 2024'!$G$6:$G$1413,'февраль 2024'!$D$6:$D$1413,$B182,'февраль 2024'!$J$6:$J$1413,K$1)</f>
        <v>0</v>
      </c>
      <c r="L182" s="80">
        <f>SUMIFS('февраль 2024'!$G$6:$G$1413,'февраль 2024'!$D$6:$D$1413,$B182,'февраль 2024'!$J$6:$J$1413,L$1)</f>
        <v>0</v>
      </c>
      <c r="M182" s="80">
        <f>SUMIFS('февраль 2024'!$G$6:$G$1413,'февраль 2024'!$D$6:$D$1413,$B182,'февраль 2024'!$J$6:$J$1413,M$1)</f>
        <v>0</v>
      </c>
      <c r="N182" s="80">
        <f>SUMIFS('февраль 2024'!$G$6:$G$1413,'февраль 2024'!$D$6:$D$1413,$B182,'февраль 2024'!$J$6:$J$1413,N$1)</f>
        <v>0</v>
      </c>
      <c r="O182" s="80">
        <f>SUMIFS('февраль 2024'!$G$6:$G$1413,'февраль 2024'!$D$6:$D$1413,$B182,'февраль 2024'!$J$6:$J$1413,O$1)</f>
        <v>0</v>
      </c>
      <c r="P182" s="80">
        <f>SUMIFS('февраль 2024'!$G$6:$G$1413,'февраль 2024'!$D$6:$D$1413,$B182,'февраль 2024'!$J$6:$J$1413,P$1)</f>
        <v>0</v>
      </c>
      <c r="Q182" s="80">
        <f>SUMIFS('февраль 2024'!$G$6:$G$1413,'февраль 2024'!$D$6:$D$1413,$B182,'февраль 2024'!$J$6:$J$1413,Q$1)</f>
        <v>0</v>
      </c>
      <c r="R182" s="80">
        <f>SUMIFS('февраль 2024'!$G$6:$G$1413,'февраль 2024'!$D$6:$D$1413,$B182,'февраль 2024'!$J$6:$J$1413,R$1)</f>
        <v>0</v>
      </c>
      <c r="S182" s="80">
        <f>SUMIFS('февраль 2024'!$G$6:$G$1413,'февраль 2024'!$D$6:$D$1413,$B182,'февраль 2024'!$J$6:$J$1413,S$1)</f>
        <v>0</v>
      </c>
      <c r="T182" s="80">
        <f>SUMIFS('февраль 2024'!$G$6:$G$1413,'февраль 2024'!$D$6:$D$1413,$B182,'февраль 2024'!$J$6:$J$1413,T$1)</f>
        <v>0</v>
      </c>
      <c r="U182" s="80">
        <f>SUMIFS('февраль 2024'!$G$6:$G$1413,'февраль 2024'!$D$6:$D$1413,$B182,'февраль 2024'!$J$6:$J$1413,U$1)</f>
        <v>0</v>
      </c>
      <c r="V182" s="80">
        <f>SUMIFS('февраль 2024'!$G$6:$G$1413,'февраль 2024'!$D$6:$D$1413,$B182,'февраль 2024'!$J$6:$J$1413,V$1)</f>
        <v>0</v>
      </c>
      <c r="W182" s="80">
        <f>SUMIFS('февраль 2024'!$G$6:$G$1413,'февраль 2024'!$D$6:$D$1413,$B182,'февраль 2024'!$J$6:$J$1413,W$1)</f>
        <v>0</v>
      </c>
      <c r="X182" s="80">
        <f>SUMIFS('февраль 2024'!$G$6:$G$1413,'февраль 2024'!$D$6:$D$1413,$B182,'февраль 2024'!$J$6:$J$1413,X$1)</f>
        <v>0</v>
      </c>
      <c r="Y182" s="80">
        <f>SUMIFS('февраль 2024'!$G$6:$G$1413,'февраль 2024'!$D$6:$D$1413,$B182,'февраль 2024'!$J$6:$J$1413,Y$1)</f>
        <v>0</v>
      </c>
      <c r="Z182" s="80">
        <f>SUMIFS('февраль 2024'!$G$6:$G$1413,'февраль 2024'!$D$6:$D$1413,$B182,'февраль 2024'!$J$6:$J$1413,Z$1)</f>
        <v>0</v>
      </c>
      <c r="AA182" s="80">
        <f>SUMIFS('февраль 2024'!$G$6:$G$1413,'февраль 2024'!$D$6:$D$1413,$B182,'февраль 2024'!$J$6:$J$1413,AA$1)</f>
        <v>0</v>
      </c>
      <c r="AB182" s="80">
        <f>SUMIFS('февраль 2024'!$G$6:$G$1413,'февраль 2024'!$D$6:$D$1413,$B182,'февраль 2024'!$J$6:$J$1413,AB$1)</f>
        <v>0</v>
      </c>
      <c r="AC182" s="80">
        <f>SUMIFS('февраль 2024'!$G$6:$G$1413,'февраль 2024'!$D$6:$D$1413,$B182,'февраль 2024'!$J$6:$J$1413,AC$1)</f>
        <v>0</v>
      </c>
      <c r="AD182" s="80">
        <f>SUMIFS('февраль 2024'!$G$6:$G$1413,'февраль 2024'!$D$6:$D$1413,$B182,'февраль 2024'!$J$6:$J$1413,AD$1)</f>
        <v>0</v>
      </c>
      <c r="AE182" s="80">
        <f>SUMIFS('февраль 2024'!$G$6:$G$1413,'февраль 2024'!$D$6:$D$1413,$B182,'февраль 2024'!$J$6:$J$1413,AE$1)</f>
        <v>0</v>
      </c>
      <c r="AF182" s="80">
        <f>SUMIFS('февраль 2024'!$G$6:$G$1413,'февраль 2024'!$D$6:$D$1413,$B182,'февраль 2024'!$J$6:$J$1413,AF$1)</f>
        <v>0</v>
      </c>
      <c r="AG182" s="80">
        <f>SUMIFS('февраль 2024'!$G$6:$G$1413,'февраль 2024'!$D$6:$D$1413,$B182,'февраль 2024'!$J$6:$J$1413,AG$1)</f>
        <v>0</v>
      </c>
      <c r="AH182" s="80">
        <f>SUMIFS('февраль 2024'!$G$6:$G$1413,'февраль 2024'!$D$6:$D$1413,$B182,'февраль 2024'!$J$6:$J$1413,AH$1)</f>
        <v>0</v>
      </c>
      <c r="AI182" s="87"/>
    </row>
    <row r="183" spans="2:35" ht="15" hidden="1" customHeight="1" x14ac:dyDescent="0.25">
      <c r="B183" s="89"/>
      <c r="C183" s="88"/>
      <c r="D183" s="80">
        <f>SUMIFS('февраль 2024'!$G$6:$G$1413,'февраль 2024'!$D$6:$D$1413,$B183,'февраль 2024'!$J$6:$J$1413,D$1)</f>
        <v>0</v>
      </c>
      <c r="E183" s="80">
        <f>SUMIFS('февраль 2024'!$G$6:$G$1413,'февраль 2024'!$D$6:$D$1413,$B183,'февраль 2024'!$J$6:$J$1413,E$1)</f>
        <v>0</v>
      </c>
      <c r="F183" s="80">
        <f>SUMIFS('февраль 2024'!$G$6:$G$1413,'февраль 2024'!$D$6:$D$1413,$B183,'февраль 2024'!$J$6:$J$1413,F$1)</f>
        <v>0</v>
      </c>
      <c r="G183" s="80">
        <f>SUMIFS('февраль 2024'!$G$6:$G$1413,'февраль 2024'!$D$6:$D$1413,$B183,'февраль 2024'!$J$6:$J$1413,G$1)</f>
        <v>0</v>
      </c>
      <c r="H183" s="80">
        <f>SUMIFS('февраль 2024'!$G$6:$G$1413,'февраль 2024'!$D$6:$D$1413,$B183,'февраль 2024'!$J$6:$J$1413,H$1)</f>
        <v>0</v>
      </c>
      <c r="I183" s="80">
        <f>SUMIFS('февраль 2024'!$G$6:$G$1413,'февраль 2024'!$D$6:$D$1413,$B183,'февраль 2024'!$J$6:$J$1413,I$1)</f>
        <v>0</v>
      </c>
      <c r="J183" s="80">
        <f>SUMIFS('февраль 2024'!$G$6:$G$1413,'февраль 2024'!$D$6:$D$1413,$B183,'февраль 2024'!$J$6:$J$1413,J$1)</f>
        <v>0</v>
      </c>
      <c r="K183" s="80">
        <f>SUMIFS('февраль 2024'!$G$6:$G$1413,'февраль 2024'!$D$6:$D$1413,$B183,'февраль 2024'!$J$6:$J$1413,K$1)</f>
        <v>0</v>
      </c>
      <c r="L183" s="80">
        <f>SUMIFS('февраль 2024'!$G$6:$G$1413,'февраль 2024'!$D$6:$D$1413,$B183,'февраль 2024'!$J$6:$J$1413,L$1)</f>
        <v>0</v>
      </c>
      <c r="M183" s="80">
        <f>SUMIFS('февраль 2024'!$G$6:$G$1413,'февраль 2024'!$D$6:$D$1413,$B183,'февраль 2024'!$J$6:$J$1413,M$1)</f>
        <v>0</v>
      </c>
      <c r="N183" s="80">
        <f>SUMIFS('февраль 2024'!$G$6:$G$1413,'февраль 2024'!$D$6:$D$1413,$B183,'февраль 2024'!$J$6:$J$1413,N$1)</f>
        <v>0</v>
      </c>
      <c r="O183" s="80">
        <f>SUMIFS('февраль 2024'!$G$6:$G$1413,'февраль 2024'!$D$6:$D$1413,$B183,'февраль 2024'!$J$6:$J$1413,O$1)</f>
        <v>0</v>
      </c>
      <c r="P183" s="80">
        <f>SUMIFS('февраль 2024'!$G$6:$G$1413,'февраль 2024'!$D$6:$D$1413,$B183,'февраль 2024'!$J$6:$J$1413,P$1)</f>
        <v>0</v>
      </c>
      <c r="Q183" s="80">
        <f>SUMIFS('февраль 2024'!$G$6:$G$1413,'февраль 2024'!$D$6:$D$1413,$B183,'февраль 2024'!$J$6:$J$1413,Q$1)</f>
        <v>0</v>
      </c>
      <c r="R183" s="80">
        <f>SUMIFS('февраль 2024'!$G$6:$G$1413,'февраль 2024'!$D$6:$D$1413,$B183,'февраль 2024'!$J$6:$J$1413,R$1)</f>
        <v>0</v>
      </c>
      <c r="S183" s="80">
        <f>SUMIFS('февраль 2024'!$G$6:$G$1413,'февраль 2024'!$D$6:$D$1413,$B183,'февраль 2024'!$J$6:$J$1413,S$1)</f>
        <v>0</v>
      </c>
      <c r="T183" s="80">
        <f>SUMIFS('февраль 2024'!$G$6:$G$1413,'февраль 2024'!$D$6:$D$1413,$B183,'февраль 2024'!$J$6:$J$1413,T$1)</f>
        <v>0</v>
      </c>
      <c r="U183" s="80">
        <f>SUMIFS('февраль 2024'!$G$6:$G$1413,'февраль 2024'!$D$6:$D$1413,$B183,'февраль 2024'!$J$6:$J$1413,U$1)</f>
        <v>0</v>
      </c>
      <c r="V183" s="80">
        <f>SUMIFS('февраль 2024'!$G$6:$G$1413,'февраль 2024'!$D$6:$D$1413,$B183,'февраль 2024'!$J$6:$J$1413,V$1)</f>
        <v>0</v>
      </c>
      <c r="W183" s="80">
        <f>SUMIFS('февраль 2024'!$G$6:$G$1413,'февраль 2024'!$D$6:$D$1413,$B183,'февраль 2024'!$J$6:$J$1413,W$1)</f>
        <v>0</v>
      </c>
      <c r="X183" s="80">
        <f>SUMIFS('февраль 2024'!$G$6:$G$1413,'февраль 2024'!$D$6:$D$1413,$B183,'февраль 2024'!$J$6:$J$1413,X$1)</f>
        <v>0</v>
      </c>
      <c r="Y183" s="80">
        <f>SUMIFS('февраль 2024'!$G$6:$G$1413,'февраль 2024'!$D$6:$D$1413,$B183,'февраль 2024'!$J$6:$J$1413,Y$1)</f>
        <v>0</v>
      </c>
      <c r="Z183" s="80">
        <f>SUMIFS('февраль 2024'!$G$6:$G$1413,'февраль 2024'!$D$6:$D$1413,$B183,'февраль 2024'!$J$6:$J$1413,Z$1)</f>
        <v>0</v>
      </c>
      <c r="AA183" s="80">
        <f>SUMIFS('февраль 2024'!$G$6:$G$1413,'февраль 2024'!$D$6:$D$1413,$B183,'февраль 2024'!$J$6:$J$1413,AA$1)</f>
        <v>0</v>
      </c>
      <c r="AB183" s="80">
        <f>SUMIFS('февраль 2024'!$G$6:$G$1413,'февраль 2024'!$D$6:$D$1413,$B183,'февраль 2024'!$J$6:$J$1413,AB$1)</f>
        <v>0</v>
      </c>
      <c r="AC183" s="80">
        <f>SUMIFS('февраль 2024'!$G$6:$G$1413,'февраль 2024'!$D$6:$D$1413,$B183,'февраль 2024'!$J$6:$J$1413,AC$1)</f>
        <v>0</v>
      </c>
      <c r="AD183" s="80">
        <f>SUMIFS('февраль 2024'!$G$6:$G$1413,'февраль 2024'!$D$6:$D$1413,$B183,'февраль 2024'!$J$6:$J$1413,AD$1)</f>
        <v>0</v>
      </c>
      <c r="AE183" s="80">
        <f>SUMIFS('февраль 2024'!$G$6:$G$1413,'февраль 2024'!$D$6:$D$1413,$B183,'февраль 2024'!$J$6:$J$1413,AE$1)</f>
        <v>0</v>
      </c>
      <c r="AF183" s="80">
        <f>SUMIFS('февраль 2024'!$G$6:$G$1413,'февраль 2024'!$D$6:$D$1413,$B183,'февраль 2024'!$J$6:$J$1413,AF$1)</f>
        <v>0</v>
      </c>
      <c r="AG183" s="80">
        <f>SUMIFS('февраль 2024'!$G$6:$G$1413,'февраль 2024'!$D$6:$D$1413,$B183,'февраль 2024'!$J$6:$J$1413,AG$1)</f>
        <v>0</v>
      </c>
      <c r="AH183" s="80">
        <f>SUMIFS('февраль 2024'!$G$6:$G$1413,'февраль 2024'!$D$6:$D$1413,$B183,'февраль 2024'!$J$6:$J$1413,AH$1)</f>
        <v>0</v>
      </c>
      <c r="AI183" s="87"/>
    </row>
    <row r="184" spans="2:35" ht="15" hidden="1" customHeight="1" x14ac:dyDescent="0.25">
      <c r="B184" s="89"/>
      <c r="C184" s="88"/>
      <c r="D184" s="80">
        <f>SUMIFS('февраль 2024'!$G$6:$G$1413,'февраль 2024'!$D$6:$D$1413,$B184,'февраль 2024'!$J$6:$J$1413,D$1)</f>
        <v>0</v>
      </c>
      <c r="E184" s="80">
        <f>SUMIFS('февраль 2024'!$G$6:$G$1413,'февраль 2024'!$D$6:$D$1413,$B184,'февраль 2024'!$J$6:$J$1413,E$1)</f>
        <v>0</v>
      </c>
      <c r="F184" s="80">
        <f>SUMIFS('февраль 2024'!$G$6:$G$1413,'февраль 2024'!$D$6:$D$1413,$B184,'февраль 2024'!$J$6:$J$1413,F$1)</f>
        <v>0</v>
      </c>
      <c r="G184" s="80">
        <f>SUMIFS('февраль 2024'!$G$6:$G$1413,'февраль 2024'!$D$6:$D$1413,$B184,'февраль 2024'!$J$6:$J$1413,G$1)</f>
        <v>0</v>
      </c>
      <c r="H184" s="80">
        <f>SUMIFS('февраль 2024'!$G$6:$G$1413,'февраль 2024'!$D$6:$D$1413,$B184,'февраль 2024'!$J$6:$J$1413,H$1)</f>
        <v>0</v>
      </c>
      <c r="I184" s="80">
        <f>SUMIFS('февраль 2024'!$G$6:$G$1413,'февраль 2024'!$D$6:$D$1413,$B184,'февраль 2024'!$J$6:$J$1413,I$1)</f>
        <v>0</v>
      </c>
      <c r="J184" s="80">
        <f>SUMIFS('февраль 2024'!$G$6:$G$1413,'февраль 2024'!$D$6:$D$1413,$B184,'февраль 2024'!$J$6:$J$1413,J$1)</f>
        <v>0</v>
      </c>
      <c r="K184" s="80">
        <f>SUMIFS('февраль 2024'!$G$6:$G$1413,'февраль 2024'!$D$6:$D$1413,$B184,'февраль 2024'!$J$6:$J$1413,K$1)</f>
        <v>0</v>
      </c>
      <c r="L184" s="80">
        <f>SUMIFS('февраль 2024'!$G$6:$G$1413,'февраль 2024'!$D$6:$D$1413,$B184,'февраль 2024'!$J$6:$J$1413,L$1)</f>
        <v>0</v>
      </c>
      <c r="M184" s="80">
        <f>SUMIFS('февраль 2024'!$G$6:$G$1413,'февраль 2024'!$D$6:$D$1413,$B184,'февраль 2024'!$J$6:$J$1413,M$1)</f>
        <v>0</v>
      </c>
      <c r="N184" s="80">
        <f>SUMIFS('февраль 2024'!$G$6:$G$1413,'февраль 2024'!$D$6:$D$1413,$B184,'февраль 2024'!$J$6:$J$1413,N$1)</f>
        <v>0</v>
      </c>
      <c r="O184" s="80">
        <f>SUMIFS('февраль 2024'!$G$6:$G$1413,'февраль 2024'!$D$6:$D$1413,$B184,'февраль 2024'!$J$6:$J$1413,O$1)</f>
        <v>0</v>
      </c>
      <c r="P184" s="80">
        <f>SUMIFS('февраль 2024'!$G$6:$G$1413,'февраль 2024'!$D$6:$D$1413,$B184,'февраль 2024'!$J$6:$J$1413,P$1)</f>
        <v>0</v>
      </c>
      <c r="Q184" s="80">
        <f>SUMIFS('февраль 2024'!$G$6:$G$1413,'февраль 2024'!$D$6:$D$1413,$B184,'февраль 2024'!$J$6:$J$1413,Q$1)</f>
        <v>0</v>
      </c>
      <c r="R184" s="80">
        <f>SUMIFS('февраль 2024'!$G$6:$G$1413,'февраль 2024'!$D$6:$D$1413,$B184,'февраль 2024'!$J$6:$J$1413,R$1)</f>
        <v>0</v>
      </c>
      <c r="S184" s="80">
        <f>SUMIFS('февраль 2024'!$G$6:$G$1413,'февраль 2024'!$D$6:$D$1413,$B184,'февраль 2024'!$J$6:$J$1413,S$1)</f>
        <v>0</v>
      </c>
      <c r="T184" s="80">
        <f>SUMIFS('февраль 2024'!$G$6:$G$1413,'февраль 2024'!$D$6:$D$1413,$B184,'февраль 2024'!$J$6:$J$1413,T$1)</f>
        <v>0</v>
      </c>
      <c r="U184" s="80">
        <f>SUMIFS('февраль 2024'!$G$6:$G$1413,'февраль 2024'!$D$6:$D$1413,$B184,'февраль 2024'!$J$6:$J$1413,U$1)</f>
        <v>0</v>
      </c>
      <c r="V184" s="80">
        <f>SUMIFS('февраль 2024'!$G$6:$G$1413,'февраль 2024'!$D$6:$D$1413,$B184,'февраль 2024'!$J$6:$J$1413,V$1)</f>
        <v>0</v>
      </c>
      <c r="W184" s="80">
        <f>SUMIFS('февраль 2024'!$G$6:$G$1413,'февраль 2024'!$D$6:$D$1413,$B184,'февраль 2024'!$J$6:$J$1413,W$1)</f>
        <v>0</v>
      </c>
      <c r="X184" s="80">
        <f>SUMIFS('февраль 2024'!$G$6:$G$1413,'февраль 2024'!$D$6:$D$1413,$B184,'февраль 2024'!$J$6:$J$1413,X$1)</f>
        <v>0</v>
      </c>
      <c r="Y184" s="80">
        <f>SUMIFS('февраль 2024'!$G$6:$G$1413,'февраль 2024'!$D$6:$D$1413,$B184,'февраль 2024'!$J$6:$J$1413,Y$1)</f>
        <v>0</v>
      </c>
      <c r="Z184" s="80">
        <f>SUMIFS('февраль 2024'!$G$6:$G$1413,'февраль 2024'!$D$6:$D$1413,$B184,'февраль 2024'!$J$6:$J$1413,Z$1)</f>
        <v>0</v>
      </c>
      <c r="AA184" s="80">
        <f>SUMIFS('февраль 2024'!$G$6:$G$1413,'февраль 2024'!$D$6:$D$1413,$B184,'февраль 2024'!$J$6:$J$1413,AA$1)</f>
        <v>0</v>
      </c>
      <c r="AB184" s="80">
        <f>SUMIFS('февраль 2024'!$G$6:$G$1413,'февраль 2024'!$D$6:$D$1413,$B184,'февраль 2024'!$J$6:$J$1413,AB$1)</f>
        <v>0</v>
      </c>
      <c r="AC184" s="80">
        <f>SUMIFS('февраль 2024'!$G$6:$G$1413,'февраль 2024'!$D$6:$D$1413,$B184,'февраль 2024'!$J$6:$J$1413,AC$1)</f>
        <v>0</v>
      </c>
      <c r="AD184" s="80">
        <f>SUMIFS('февраль 2024'!$G$6:$G$1413,'февраль 2024'!$D$6:$D$1413,$B184,'февраль 2024'!$J$6:$J$1413,AD$1)</f>
        <v>0</v>
      </c>
      <c r="AE184" s="80">
        <f>SUMIFS('февраль 2024'!$G$6:$G$1413,'февраль 2024'!$D$6:$D$1413,$B184,'февраль 2024'!$J$6:$J$1413,AE$1)</f>
        <v>0</v>
      </c>
      <c r="AF184" s="80">
        <f>SUMIFS('февраль 2024'!$G$6:$G$1413,'февраль 2024'!$D$6:$D$1413,$B184,'февраль 2024'!$J$6:$J$1413,AF$1)</f>
        <v>0</v>
      </c>
      <c r="AG184" s="80">
        <f>SUMIFS('февраль 2024'!$G$6:$G$1413,'февраль 2024'!$D$6:$D$1413,$B184,'февраль 2024'!$J$6:$J$1413,AG$1)</f>
        <v>0</v>
      </c>
      <c r="AH184" s="80">
        <f>SUMIFS('февраль 2024'!$G$6:$G$1413,'февраль 2024'!$D$6:$D$1413,$B184,'февраль 2024'!$J$6:$J$1413,AH$1)</f>
        <v>0</v>
      </c>
      <c r="AI184" s="87"/>
    </row>
    <row r="185" spans="2:35" ht="15" hidden="1" customHeight="1" x14ac:dyDescent="0.25">
      <c r="B185" s="89"/>
      <c r="C185" s="88"/>
      <c r="D185" s="80">
        <f>SUMIFS('февраль 2024'!$G$6:$G$1413,'февраль 2024'!$D$6:$D$1413,$B185,'февраль 2024'!$J$6:$J$1413,D$1)</f>
        <v>0</v>
      </c>
      <c r="E185" s="80">
        <f>SUMIFS('февраль 2024'!$G$6:$G$1413,'февраль 2024'!$D$6:$D$1413,$B185,'февраль 2024'!$J$6:$J$1413,E$1)</f>
        <v>0</v>
      </c>
      <c r="F185" s="80">
        <f>SUMIFS('февраль 2024'!$G$6:$G$1413,'февраль 2024'!$D$6:$D$1413,$B185,'февраль 2024'!$J$6:$J$1413,F$1)</f>
        <v>0</v>
      </c>
      <c r="G185" s="80">
        <f>SUMIFS('февраль 2024'!$G$6:$G$1413,'февраль 2024'!$D$6:$D$1413,$B185,'февраль 2024'!$J$6:$J$1413,G$1)</f>
        <v>0</v>
      </c>
      <c r="H185" s="80">
        <f>SUMIFS('февраль 2024'!$G$6:$G$1413,'февраль 2024'!$D$6:$D$1413,$B185,'февраль 2024'!$J$6:$J$1413,H$1)</f>
        <v>0</v>
      </c>
      <c r="I185" s="80">
        <f>SUMIFS('февраль 2024'!$G$6:$G$1413,'февраль 2024'!$D$6:$D$1413,$B185,'февраль 2024'!$J$6:$J$1413,I$1)</f>
        <v>0</v>
      </c>
      <c r="J185" s="80">
        <f>SUMIFS('февраль 2024'!$G$6:$G$1413,'февраль 2024'!$D$6:$D$1413,$B185,'февраль 2024'!$J$6:$J$1413,J$1)</f>
        <v>0</v>
      </c>
      <c r="K185" s="80">
        <f>SUMIFS('февраль 2024'!$G$6:$G$1413,'февраль 2024'!$D$6:$D$1413,$B185,'февраль 2024'!$J$6:$J$1413,K$1)</f>
        <v>0</v>
      </c>
      <c r="L185" s="80">
        <f>SUMIFS('февраль 2024'!$G$6:$G$1413,'февраль 2024'!$D$6:$D$1413,$B185,'февраль 2024'!$J$6:$J$1413,L$1)</f>
        <v>0</v>
      </c>
      <c r="M185" s="80">
        <f>SUMIFS('февраль 2024'!$G$6:$G$1413,'февраль 2024'!$D$6:$D$1413,$B185,'февраль 2024'!$J$6:$J$1413,M$1)</f>
        <v>0</v>
      </c>
      <c r="N185" s="80">
        <f>SUMIFS('февраль 2024'!$G$6:$G$1413,'февраль 2024'!$D$6:$D$1413,$B185,'февраль 2024'!$J$6:$J$1413,N$1)</f>
        <v>0</v>
      </c>
      <c r="O185" s="80">
        <f>SUMIFS('февраль 2024'!$G$6:$G$1413,'февраль 2024'!$D$6:$D$1413,$B185,'февраль 2024'!$J$6:$J$1413,O$1)</f>
        <v>0</v>
      </c>
      <c r="P185" s="80">
        <f>SUMIFS('февраль 2024'!$G$6:$G$1413,'февраль 2024'!$D$6:$D$1413,$B185,'февраль 2024'!$J$6:$J$1413,P$1)</f>
        <v>0</v>
      </c>
      <c r="Q185" s="80">
        <f>SUMIFS('февраль 2024'!$G$6:$G$1413,'февраль 2024'!$D$6:$D$1413,$B185,'февраль 2024'!$J$6:$J$1413,Q$1)</f>
        <v>0</v>
      </c>
      <c r="R185" s="80">
        <f>SUMIFS('февраль 2024'!$G$6:$G$1413,'февраль 2024'!$D$6:$D$1413,$B185,'февраль 2024'!$J$6:$J$1413,R$1)</f>
        <v>0</v>
      </c>
      <c r="S185" s="80">
        <f>SUMIFS('февраль 2024'!$G$6:$G$1413,'февраль 2024'!$D$6:$D$1413,$B185,'февраль 2024'!$J$6:$J$1413,S$1)</f>
        <v>0</v>
      </c>
      <c r="T185" s="80">
        <f>SUMIFS('февраль 2024'!$G$6:$G$1413,'февраль 2024'!$D$6:$D$1413,$B185,'февраль 2024'!$J$6:$J$1413,T$1)</f>
        <v>0</v>
      </c>
      <c r="U185" s="80">
        <f>SUMIFS('февраль 2024'!$G$6:$G$1413,'февраль 2024'!$D$6:$D$1413,$B185,'февраль 2024'!$J$6:$J$1413,U$1)</f>
        <v>0</v>
      </c>
      <c r="V185" s="80">
        <f>SUMIFS('февраль 2024'!$G$6:$G$1413,'февраль 2024'!$D$6:$D$1413,$B185,'февраль 2024'!$J$6:$J$1413,V$1)</f>
        <v>0</v>
      </c>
      <c r="W185" s="80">
        <f>SUMIFS('февраль 2024'!$G$6:$G$1413,'февраль 2024'!$D$6:$D$1413,$B185,'февраль 2024'!$J$6:$J$1413,W$1)</f>
        <v>0</v>
      </c>
      <c r="X185" s="80">
        <f>SUMIFS('февраль 2024'!$G$6:$G$1413,'февраль 2024'!$D$6:$D$1413,$B185,'февраль 2024'!$J$6:$J$1413,X$1)</f>
        <v>0</v>
      </c>
      <c r="Y185" s="80">
        <f>SUMIFS('февраль 2024'!$G$6:$G$1413,'февраль 2024'!$D$6:$D$1413,$B185,'февраль 2024'!$J$6:$J$1413,Y$1)</f>
        <v>0</v>
      </c>
      <c r="Z185" s="80">
        <f>SUMIFS('февраль 2024'!$G$6:$G$1413,'февраль 2024'!$D$6:$D$1413,$B185,'февраль 2024'!$J$6:$J$1413,Z$1)</f>
        <v>0</v>
      </c>
      <c r="AA185" s="80">
        <f>SUMIFS('февраль 2024'!$G$6:$G$1413,'февраль 2024'!$D$6:$D$1413,$B185,'февраль 2024'!$J$6:$J$1413,AA$1)</f>
        <v>0</v>
      </c>
      <c r="AB185" s="80">
        <f>SUMIFS('февраль 2024'!$G$6:$G$1413,'февраль 2024'!$D$6:$D$1413,$B185,'февраль 2024'!$J$6:$J$1413,AB$1)</f>
        <v>0</v>
      </c>
      <c r="AC185" s="80">
        <f>SUMIFS('февраль 2024'!$G$6:$G$1413,'февраль 2024'!$D$6:$D$1413,$B185,'февраль 2024'!$J$6:$J$1413,AC$1)</f>
        <v>0</v>
      </c>
      <c r="AD185" s="80">
        <f>SUMIFS('февраль 2024'!$G$6:$G$1413,'февраль 2024'!$D$6:$D$1413,$B185,'февраль 2024'!$J$6:$J$1413,AD$1)</f>
        <v>0</v>
      </c>
      <c r="AE185" s="80">
        <f>SUMIFS('февраль 2024'!$G$6:$G$1413,'февраль 2024'!$D$6:$D$1413,$B185,'февраль 2024'!$J$6:$J$1413,AE$1)</f>
        <v>0</v>
      </c>
      <c r="AF185" s="80">
        <f>SUMIFS('февраль 2024'!$G$6:$G$1413,'февраль 2024'!$D$6:$D$1413,$B185,'февраль 2024'!$J$6:$J$1413,AF$1)</f>
        <v>0</v>
      </c>
      <c r="AG185" s="80">
        <f>SUMIFS('февраль 2024'!$G$6:$G$1413,'февраль 2024'!$D$6:$D$1413,$B185,'февраль 2024'!$J$6:$J$1413,AG$1)</f>
        <v>0</v>
      </c>
      <c r="AH185" s="80">
        <f>SUMIFS('февраль 2024'!$G$6:$G$1413,'февраль 2024'!$D$6:$D$1413,$B185,'февраль 2024'!$J$6:$J$1413,AH$1)</f>
        <v>0</v>
      </c>
      <c r="AI185" s="87"/>
    </row>
    <row r="186" spans="2:35" ht="15" hidden="1" customHeight="1" x14ac:dyDescent="0.25">
      <c r="B186" s="89"/>
      <c r="C186" s="88"/>
      <c r="D186" s="80">
        <f>SUMIFS('февраль 2024'!$G$6:$G$1413,'февраль 2024'!$D$6:$D$1413,$B186,'февраль 2024'!$J$6:$J$1413,D$1)</f>
        <v>0</v>
      </c>
      <c r="E186" s="80">
        <f>SUMIFS('февраль 2024'!$G$6:$G$1413,'февраль 2024'!$D$6:$D$1413,$B186,'февраль 2024'!$J$6:$J$1413,E$1)</f>
        <v>0</v>
      </c>
      <c r="F186" s="80">
        <f>SUMIFS('февраль 2024'!$G$6:$G$1413,'февраль 2024'!$D$6:$D$1413,$B186,'февраль 2024'!$J$6:$J$1413,F$1)</f>
        <v>0</v>
      </c>
      <c r="G186" s="80">
        <f>SUMIFS('февраль 2024'!$G$6:$G$1413,'февраль 2024'!$D$6:$D$1413,$B186,'февраль 2024'!$J$6:$J$1413,G$1)</f>
        <v>0</v>
      </c>
      <c r="H186" s="80">
        <f>SUMIFS('февраль 2024'!$G$6:$G$1413,'февраль 2024'!$D$6:$D$1413,$B186,'февраль 2024'!$J$6:$J$1413,H$1)</f>
        <v>0</v>
      </c>
      <c r="I186" s="80">
        <f>SUMIFS('февраль 2024'!$G$6:$G$1413,'февраль 2024'!$D$6:$D$1413,$B186,'февраль 2024'!$J$6:$J$1413,I$1)</f>
        <v>0</v>
      </c>
      <c r="J186" s="80">
        <f>SUMIFS('февраль 2024'!$G$6:$G$1413,'февраль 2024'!$D$6:$D$1413,$B186,'февраль 2024'!$J$6:$J$1413,J$1)</f>
        <v>0</v>
      </c>
      <c r="K186" s="80">
        <f>SUMIFS('февраль 2024'!$G$6:$G$1413,'февраль 2024'!$D$6:$D$1413,$B186,'февраль 2024'!$J$6:$J$1413,K$1)</f>
        <v>0</v>
      </c>
      <c r="L186" s="80">
        <f>SUMIFS('февраль 2024'!$G$6:$G$1413,'февраль 2024'!$D$6:$D$1413,$B186,'февраль 2024'!$J$6:$J$1413,L$1)</f>
        <v>0</v>
      </c>
      <c r="M186" s="80">
        <f>SUMIFS('февраль 2024'!$G$6:$G$1413,'февраль 2024'!$D$6:$D$1413,$B186,'февраль 2024'!$J$6:$J$1413,M$1)</f>
        <v>0</v>
      </c>
      <c r="N186" s="80">
        <f>SUMIFS('февраль 2024'!$G$6:$G$1413,'февраль 2024'!$D$6:$D$1413,$B186,'февраль 2024'!$J$6:$J$1413,N$1)</f>
        <v>0</v>
      </c>
      <c r="O186" s="80">
        <f>SUMIFS('февраль 2024'!$G$6:$G$1413,'февраль 2024'!$D$6:$D$1413,$B186,'февраль 2024'!$J$6:$J$1413,O$1)</f>
        <v>0</v>
      </c>
      <c r="P186" s="80">
        <f>SUMIFS('февраль 2024'!$G$6:$G$1413,'февраль 2024'!$D$6:$D$1413,$B186,'февраль 2024'!$J$6:$J$1413,P$1)</f>
        <v>0</v>
      </c>
      <c r="Q186" s="80">
        <f>SUMIFS('февраль 2024'!$G$6:$G$1413,'февраль 2024'!$D$6:$D$1413,$B186,'февраль 2024'!$J$6:$J$1413,Q$1)</f>
        <v>0</v>
      </c>
      <c r="R186" s="80">
        <f>SUMIFS('февраль 2024'!$G$6:$G$1413,'февраль 2024'!$D$6:$D$1413,$B186,'февраль 2024'!$J$6:$J$1413,R$1)</f>
        <v>0</v>
      </c>
      <c r="S186" s="80">
        <f>SUMIFS('февраль 2024'!$G$6:$G$1413,'февраль 2024'!$D$6:$D$1413,$B186,'февраль 2024'!$J$6:$J$1413,S$1)</f>
        <v>0</v>
      </c>
      <c r="T186" s="80">
        <f>SUMIFS('февраль 2024'!$G$6:$G$1413,'февраль 2024'!$D$6:$D$1413,$B186,'февраль 2024'!$J$6:$J$1413,T$1)</f>
        <v>0</v>
      </c>
      <c r="U186" s="80">
        <f>SUMIFS('февраль 2024'!$G$6:$G$1413,'февраль 2024'!$D$6:$D$1413,$B186,'февраль 2024'!$J$6:$J$1413,U$1)</f>
        <v>0</v>
      </c>
      <c r="V186" s="80">
        <f>SUMIFS('февраль 2024'!$G$6:$G$1413,'февраль 2024'!$D$6:$D$1413,$B186,'февраль 2024'!$J$6:$J$1413,V$1)</f>
        <v>0</v>
      </c>
      <c r="W186" s="80">
        <f>SUMIFS('февраль 2024'!$G$6:$G$1413,'февраль 2024'!$D$6:$D$1413,$B186,'февраль 2024'!$J$6:$J$1413,W$1)</f>
        <v>0</v>
      </c>
      <c r="X186" s="80">
        <f>SUMIFS('февраль 2024'!$G$6:$G$1413,'февраль 2024'!$D$6:$D$1413,$B186,'февраль 2024'!$J$6:$J$1413,X$1)</f>
        <v>0</v>
      </c>
      <c r="Y186" s="80">
        <f>SUMIFS('февраль 2024'!$G$6:$G$1413,'февраль 2024'!$D$6:$D$1413,$B186,'февраль 2024'!$J$6:$J$1413,Y$1)</f>
        <v>0</v>
      </c>
      <c r="Z186" s="80">
        <f>SUMIFS('февраль 2024'!$G$6:$G$1413,'февраль 2024'!$D$6:$D$1413,$B186,'февраль 2024'!$J$6:$J$1413,Z$1)</f>
        <v>0</v>
      </c>
      <c r="AA186" s="80">
        <f>SUMIFS('февраль 2024'!$G$6:$G$1413,'февраль 2024'!$D$6:$D$1413,$B186,'февраль 2024'!$J$6:$J$1413,AA$1)</f>
        <v>0</v>
      </c>
      <c r="AB186" s="80">
        <f>SUMIFS('февраль 2024'!$G$6:$G$1413,'февраль 2024'!$D$6:$D$1413,$B186,'февраль 2024'!$J$6:$J$1413,AB$1)</f>
        <v>0</v>
      </c>
      <c r="AC186" s="80">
        <f>SUMIFS('февраль 2024'!$G$6:$G$1413,'февраль 2024'!$D$6:$D$1413,$B186,'февраль 2024'!$J$6:$J$1413,AC$1)</f>
        <v>0</v>
      </c>
      <c r="AD186" s="80">
        <f>SUMIFS('февраль 2024'!$G$6:$G$1413,'февраль 2024'!$D$6:$D$1413,$B186,'февраль 2024'!$J$6:$J$1413,AD$1)</f>
        <v>0</v>
      </c>
      <c r="AE186" s="80">
        <f>SUMIFS('февраль 2024'!$G$6:$G$1413,'февраль 2024'!$D$6:$D$1413,$B186,'февраль 2024'!$J$6:$J$1413,AE$1)</f>
        <v>0</v>
      </c>
      <c r="AF186" s="80">
        <f>SUMIFS('февраль 2024'!$G$6:$G$1413,'февраль 2024'!$D$6:$D$1413,$B186,'февраль 2024'!$J$6:$J$1413,AF$1)</f>
        <v>0</v>
      </c>
      <c r="AG186" s="80">
        <f>SUMIFS('февраль 2024'!$G$6:$G$1413,'февраль 2024'!$D$6:$D$1413,$B186,'февраль 2024'!$J$6:$J$1413,AG$1)</f>
        <v>0</v>
      </c>
      <c r="AH186" s="80">
        <f>SUMIFS('февраль 2024'!$G$6:$G$1413,'февраль 2024'!$D$6:$D$1413,$B186,'февраль 2024'!$J$6:$J$1413,AH$1)</f>
        <v>0</v>
      </c>
      <c r="AI186" s="87"/>
    </row>
    <row r="187" spans="2:35" ht="15" hidden="1" customHeight="1" x14ac:dyDescent="0.25">
      <c r="B187" s="89"/>
      <c r="C187" s="88"/>
      <c r="D187" s="80">
        <f>SUMIFS('февраль 2024'!$G$6:$G$1413,'февраль 2024'!$D$6:$D$1413,$B187,'февраль 2024'!$J$6:$J$1413,D$1)</f>
        <v>0</v>
      </c>
      <c r="E187" s="80">
        <f>SUMIFS('февраль 2024'!$G$6:$G$1413,'февраль 2024'!$D$6:$D$1413,$B187,'февраль 2024'!$J$6:$J$1413,E$1)</f>
        <v>0</v>
      </c>
      <c r="F187" s="80">
        <f>SUMIFS('февраль 2024'!$G$6:$G$1413,'февраль 2024'!$D$6:$D$1413,$B187,'февраль 2024'!$J$6:$J$1413,F$1)</f>
        <v>0</v>
      </c>
      <c r="G187" s="80">
        <f>SUMIFS('февраль 2024'!$G$6:$G$1413,'февраль 2024'!$D$6:$D$1413,$B187,'февраль 2024'!$J$6:$J$1413,G$1)</f>
        <v>0</v>
      </c>
      <c r="H187" s="80">
        <f>SUMIFS('февраль 2024'!$G$6:$G$1413,'февраль 2024'!$D$6:$D$1413,$B187,'февраль 2024'!$J$6:$J$1413,H$1)</f>
        <v>0</v>
      </c>
      <c r="I187" s="80">
        <f>SUMIFS('февраль 2024'!$G$6:$G$1413,'февраль 2024'!$D$6:$D$1413,$B187,'февраль 2024'!$J$6:$J$1413,I$1)</f>
        <v>0</v>
      </c>
      <c r="J187" s="80">
        <f>SUMIFS('февраль 2024'!$G$6:$G$1413,'февраль 2024'!$D$6:$D$1413,$B187,'февраль 2024'!$J$6:$J$1413,J$1)</f>
        <v>0</v>
      </c>
      <c r="K187" s="80">
        <f>SUMIFS('февраль 2024'!$G$6:$G$1413,'февраль 2024'!$D$6:$D$1413,$B187,'февраль 2024'!$J$6:$J$1413,K$1)</f>
        <v>0</v>
      </c>
      <c r="L187" s="80">
        <f>SUMIFS('февраль 2024'!$G$6:$G$1413,'февраль 2024'!$D$6:$D$1413,$B187,'февраль 2024'!$J$6:$J$1413,L$1)</f>
        <v>0</v>
      </c>
      <c r="M187" s="80">
        <f>SUMIFS('февраль 2024'!$G$6:$G$1413,'февраль 2024'!$D$6:$D$1413,$B187,'февраль 2024'!$J$6:$J$1413,M$1)</f>
        <v>0</v>
      </c>
      <c r="N187" s="80">
        <f>SUMIFS('февраль 2024'!$G$6:$G$1413,'февраль 2024'!$D$6:$D$1413,$B187,'февраль 2024'!$J$6:$J$1413,N$1)</f>
        <v>0</v>
      </c>
      <c r="O187" s="80">
        <f>SUMIFS('февраль 2024'!$G$6:$G$1413,'февраль 2024'!$D$6:$D$1413,$B187,'февраль 2024'!$J$6:$J$1413,O$1)</f>
        <v>0</v>
      </c>
      <c r="P187" s="80">
        <f>SUMIFS('февраль 2024'!$G$6:$G$1413,'февраль 2024'!$D$6:$D$1413,$B187,'февраль 2024'!$J$6:$J$1413,P$1)</f>
        <v>0</v>
      </c>
      <c r="Q187" s="80">
        <f>SUMIFS('февраль 2024'!$G$6:$G$1413,'февраль 2024'!$D$6:$D$1413,$B187,'февраль 2024'!$J$6:$J$1413,Q$1)</f>
        <v>0</v>
      </c>
      <c r="R187" s="80">
        <f>SUMIFS('февраль 2024'!$G$6:$G$1413,'февраль 2024'!$D$6:$D$1413,$B187,'февраль 2024'!$J$6:$J$1413,R$1)</f>
        <v>0</v>
      </c>
      <c r="S187" s="80">
        <f>SUMIFS('февраль 2024'!$G$6:$G$1413,'февраль 2024'!$D$6:$D$1413,$B187,'февраль 2024'!$J$6:$J$1413,S$1)</f>
        <v>0</v>
      </c>
      <c r="T187" s="80">
        <f>SUMIFS('февраль 2024'!$G$6:$G$1413,'февраль 2024'!$D$6:$D$1413,$B187,'февраль 2024'!$J$6:$J$1413,T$1)</f>
        <v>0</v>
      </c>
      <c r="U187" s="80">
        <f>SUMIFS('февраль 2024'!$G$6:$G$1413,'февраль 2024'!$D$6:$D$1413,$B187,'февраль 2024'!$J$6:$J$1413,U$1)</f>
        <v>0</v>
      </c>
      <c r="V187" s="80">
        <f>SUMIFS('февраль 2024'!$G$6:$G$1413,'февраль 2024'!$D$6:$D$1413,$B187,'февраль 2024'!$J$6:$J$1413,V$1)</f>
        <v>0</v>
      </c>
      <c r="W187" s="80">
        <f>SUMIFS('февраль 2024'!$G$6:$G$1413,'февраль 2024'!$D$6:$D$1413,$B187,'февраль 2024'!$J$6:$J$1413,W$1)</f>
        <v>0</v>
      </c>
      <c r="X187" s="80">
        <f>SUMIFS('февраль 2024'!$G$6:$G$1413,'февраль 2024'!$D$6:$D$1413,$B187,'февраль 2024'!$J$6:$J$1413,X$1)</f>
        <v>0</v>
      </c>
      <c r="Y187" s="80">
        <f>SUMIFS('февраль 2024'!$G$6:$G$1413,'февраль 2024'!$D$6:$D$1413,$B187,'февраль 2024'!$J$6:$J$1413,Y$1)</f>
        <v>0</v>
      </c>
      <c r="Z187" s="80">
        <f>SUMIFS('февраль 2024'!$G$6:$G$1413,'февраль 2024'!$D$6:$D$1413,$B187,'февраль 2024'!$J$6:$J$1413,Z$1)</f>
        <v>0</v>
      </c>
      <c r="AA187" s="80">
        <f>SUMIFS('февраль 2024'!$G$6:$G$1413,'февраль 2024'!$D$6:$D$1413,$B187,'февраль 2024'!$J$6:$J$1413,AA$1)</f>
        <v>0</v>
      </c>
      <c r="AB187" s="80">
        <f>SUMIFS('февраль 2024'!$G$6:$G$1413,'февраль 2024'!$D$6:$D$1413,$B187,'февраль 2024'!$J$6:$J$1413,AB$1)</f>
        <v>0</v>
      </c>
      <c r="AC187" s="80">
        <f>SUMIFS('февраль 2024'!$G$6:$G$1413,'февраль 2024'!$D$6:$D$1413,$B187,'февраль 2024'!$J$6:$J$1413,AC$1)</f>
        <v>0</v>
      </c>
      <c r="AD187" s="80">
        <f>SUMIFS('февраль 2024'!$G$6:$G$1413,'февраль 2024'!$D$6:$D$1413,$B187,'февраль 2024'!$J$6:$J$1413,AD$1)</f>
        <v>0</v>
      </c>
      <c r="AE187" s="80">
        <f>SUMIFS('февраль 2024'!$G$6:$G$1413,'февраль 2024'!$D$6:$D$1413,$B187,'февраль 2024'!$J$6:$J$1413,AE$1)</f>
        <v>0</v>
      </c>
      <c r="AF187" s="80">
        <f>SUMIFS('февраль 2024'!$G$6:$G$1413,'февраль 2024'!$D$6:$D$1413,$B187,'февраль 2024'!$J$6:$J$1413,AF$1)</f>
        <v>0</v>
      </c>
      <c r="AG187" s="80">
        <f>SUMIFS('февраль 2024'!$G$6:$G$1413,'февраль 2024'!$D$6:$D$1413,$B187,'февраль 2024'!$J$6:$J$1413,AG$1)</f>
        <v>0</v>
      </c>
      <c r="AH187" s="80">
        <f>SUMIFS('февраль 2024'!$G$6:$G$1413,'февраль 2024'!$D$6:$D$1413,$B187,'февраль 2024'!$J$6:$J$1413,AH$1)</f>
        <v>0</v>
      </c>
      <c r="AI187" s="87"/>
    </row>
    <row r="188" spans="2:35" ht="15" hidden="1" customHeight="1" x14ac:dyDescent="0.25">
      <c r="B188" s="89"/>
      <c r="C188" s="88"/>
      <c r="D188" s="80">
        <f>SUMIFS('февраль 2024'!$G$6:$G$1413,'февраль 2024'!$D$6:$D$1413,$B188,'февраль 2024'!$J$6:$J$1413,D$1)</f>
        <v>0</v>
      </c>
      <c r="E188" s="80">
        <f>SUMIFS('февраль 2024'!$G$6:$G$1413,'февраль 2024'!$D$6:$D$1413,$B188,'февраль 2024'!$J$6:$J$1413,E$1)</f>
        <v>0</v>
      </c>
      <c r="F188" s="80">
        <f>SUMIFS('февраль 2024'!$G$6:$G$1413,'февраль 2024'!$D$6:$D$1413,$B188,'февраль 2024'!$J$6:$J$1413,F$1)</f>
        <v>0</v>
      </c>
      <c r="G188" s="80">
        <f>SUMIFS('февраль 2024'!$G$6:$G$1413,'февраль 2024'!$D$6:$D$1413,$B188,'февраль 2024'!$J$6:$J$1413,G$1)</f>
        <v>0</v>
      </c>
      <c r="H188" s="80">
        <f>SUMIFS('февраль 2024'!$G$6:$G$1413,'февраль 2024'!$D$6:$D$1413,$B188,'февраль 2024'!$J$6:$J$1413,H$1)</f>
        <v>0</v>
      </c>
      <c r="I188" s="80">
        <f>SUMIFS('февраль 2024'!$G$6:$G$1413,'февраль 2024'!$D$6:$D$1413,$B188,'февраль 2024'!$J$6:$J$1413,I$1)</f>
        <v>0</v>
      </c>
      <c r="J188" s="80">
        <f>SUMIFS('февраль 2024'!$G$6:$G$1413,'февраль 2024'!$D$6:$D$1413,$B188,'февраль 2024'!$J$6:$J$1413,J$1)</f>
        <v>0</v>
      </c>
      <c r="K188" s="80">
        <f>SUMIFS('февраль 2024'!$G$6:$G$1413,'февраль 2024'!$D$6:$D$1413,$B188,'февраль 2024'!$J$6:$J$1413,K$1)</f>
        <v>0</v>
      </c>
      <c r="L188" s="80">
        <f>SUMIFS('февраль 2024'!$G$6:$G$1413,'февраль 2024'!$D$6:$D$1413,$B188,'февраль 2024'!$J$6:$J$1413,L$1)</f>
        <v>0</v>
      </c>
      <c r="M188" s="80">
        <f>SUMIFS('февраль 2024'!$G$6:$G$1413,'февраль 2024'!$D$6:$D$1413,$B188,'февраль 2024'!$J$6:$J$1413,M$1)</f>
        <v>0</v>
      </c>
      <c r="N188" s="80">
        <f>SUMIFS('февраль 2024'!$G$6:$G$1413,'февраль 2024'!$D$6:$D$1413,$B188,'февраль 2024'!$J$6:$J$1413,N$1)</f>
        <v>0</v>
      </c>
      <c r="O188" s="80">
        <f>SUMIFS('февраль 2024'!$G$6:$G$1413,'февраль 2024'!$D$6:$D$1413,$B188,'февраль 2024'!$J$6:$J$1413,O$1)</f>
        <v>0</v>
      </c>
      <c r="P188" s="80">
        <f>SUMIFS('февраль 2024'!$G$6:$G$1413,'февраль 2024'!$D$6:$D$1413,$B188,'февраль 2024'!$J$6:$J$1413,P$1)</f>
        <v>0</v>
      </c>
      <c r="Q188" s="80">
        <f>SUMIFS('февраль 2024'!$G$6:$G$1413,'февраль 2024'!$D$6:$D$1413,$B188,'февраль 2024'!$J$6:$J$1413,Q$1)</f>
        <v>0</v>
      </c>
      <c r="R188" s="80">
        <f>SUMIFS('февраль 2024'!$G$6:$G$1413,'февраль 2024'!$D$6:$D$1413,$B188,'февраль 2024'!$J$6:$J$1413,R$1)</f>
        <v>0</v>
      </c>
      <c r="S188" s="80">
        <f>SUMIFS('февраль 2024'!$G$6:$G$1413,'февраль 2024'!$D$6:$D$1413,$B188,'февраль 2024'!$J$6:$J$1413,S$1)</f>
        <v>0</v>
      </c>
      <c r="T188" s="80">
        <f>SUMIFS('февраль 2024'!$G$6:$G$1413,'февраль 2024'!$D$6:$D$1413,$B188,'февраль 2024'!$J$6:$J$1413,T$1)</f>
        <v>0</v>
      </c>
      <c r="U188" s="80">
        <f>SUMIFS('февраль 2024'!$G$6:$G$1413,'февраль 2024'!$D$6:$D$1413,$B188,'февраль 2024'!$J$6:$J$1413,U$1)</f>
        <v>0</v>
      </c>
      <c r="V188" s="80">
        <f>SUMIFS('февраль 2024'!$G$6:$G$1413,'февраль 2024'!$D$6:$D$1413,$B188,'февраль 2024'!$J$6:$J$1413,V$1)</f>
        <v>0</v>
      </c>
      <c r="W188" s="80">
        <f>SUMIFS('февраль 2024'!$G$6:$G$1413,'февраль 2024'!$D$6:$D$1413,$B188,'февраль 2024'!$J$6:$J$1413,W$1)</f>
        <v>0</v>
      </c>
      <c r="X188" s="80">
        <f>SUMIFS('февраль 2024'!$G$6:$G$1413,'февраль 2024'!$D$6:$D$1413,$B188,'февраль 2024'!$J$6:$J$1413,X$1)</f>
        <v>0</v>
      </c>
      <c r="Y188" s="80">
        <f>SUMIFS('февраль 2024'!$G$6:$G$1413,'февраль 2024'!$D$6:$D$1413,$B188,'февраль 2024'!$J$6:$J$1413,Y$1)</f>
        <v>0</v>
      </c>
      <c r="Z188" s="80">
        <f>SUMIFS('февраль 2024'!$G$6:$G$1413,'февраль 2024'!$D$6:$D$1413,$B188,'февраль 2024'!$J$6:$J$1413,Z$1)</f>
        <v>0</v>
      </c>
      <c r="AA188" s="80">
        <f>SUMIFS('февраль 2024'!$G$6:$G$1413,'февраль 2024'!$D$6:$D$1413,$B188,'февраль 2024'!$J$6:$J$1413,AA$1)</f>
        <v>0</v>
      </c>
      <c r="AB188" s="80">
        <f>SUMIFS('февраль 2024'!$G$6:$G$1413,'февраль 2024'!$D$6:$D$1413,$B188,'февраль 2024'!$J$6:$J$1413,AB$1)</f>
        <v>0</v>
      </c>
      <c r="AC188" s="80">
        <f>SUMIFS('февраль 2024'!$G$6:$G$1413,'февраль 2024'!$D$6:$D$1413,$B188,'февраль 2024'!$J$6:$J$1413,AC$1)</f>
        <v>0</v>
      </c>
      <c r="AD188" s="80">
        <f>SUMIFS('февраль 2024'!$G$6:$G$1413,'февраль 2024'!$D$6:$D$1413,$B188,'февраль 2024'!$J$6:$J$1413,AD$1)</f>
        <v>0</v>
      </c>
      <c r="AE188" s="80">
        <f>SUMIFS('февраль 2024'!$G$6:$G$1413,'февраль 2024'!$D$6:$D$1413,$B188,'февраль 2024'!$J$6:$J$1413,AE$1)</f>
        <v>0</v>
      </c>
      <c r="AF188" s="80">
        <f>SUMIFS('февраль 2024'!$G$6:$G$1413,'февраль 2024'!$D$6:$D$1413,$B188,'февраль 2024'!$J$6:$J$1413,AF$1)</f>
        <v>0</v>
      </c>
      <c r="AG188" s="80">
        <f>SUMIFS('февраль 2024'!$G$6:$G$1413,'февраль 2024'!$D$6:$D$1413,$B188,'февраль 2024'!$J$6:$J$1413,AG$1)</f>
        <v>0</v>
      </c>
      <c r="AH188" s="80">
        <f>SUMIFS('февраль 2024'!$G$6:$G$1413,'февраль 2024'!$D$6:$D$1413,$B188,'февраль 2024'!$J$6:$J$1413,AH$1)</f>
        <v>0</v>
      </c>
      <c r="AI188" s="87"/>
    </row>
    <row r="189" spans="2:35" ht="15" hidden="1" customHeight="1" x14ac:dyDescent="0.25">
      <c r="B189" s="89"/>
      <c r="C189" s="88"/>
      <c r="D189" s="80">
        <f>SUMIFS('февраль 2024'!$G$6:$G$1413,'февраль 2024'!$D$6:$D$1413,$B189,'февраль 2024'!$J$6:$J$1413,D$1)</f>
        <v>0</v>
      </c>
      <c r="E189" s="80">
        <f>SUMIFS('февраль 2024'!$G$6:$G$1413,'февраль 2024'!$D$6:$D$1413,$B189,'февраль 2024'!$J$6:$J$1413,E$1)</f>
        <v>0</v>
      </c>
      <c r="F189" s="80">
        <f>SUMIFS('февраль 2024'!$G$6:$G$1413,'февраль 2024'!$D$6:$D$1413,$B189,'февраль 2024'!$J$6:$J$1413,F$1)</f>
        <v>0</v>
      </c>
      <c r="G189" s="80">
        <f>SUMIFS('февраль 2024'!$G$6:$G$1413,'февраль 2024'!$D$6:$D$1413,$B189,'февраль 2024'!$J$6:$J$1413,G$1)</f>
        <v>0</v>
      </c>
      <c r="H189" s="80">
        <f>SUMIFS('февраль 2024'!$G$6:$G$1413,'февраль 2024'!$D$6:$D$1413,$B189,'февраль 2024'!$J$6:$J$1413,H$1)</f>
        <v>0</v>
      </c>
      <c r="I189" s="80">
        <f>SUMIFS('февраль 2024'!$G$6:$G$1413,'февраль 2024'!$D$6:$D$1413,$B189,'февраль 2024'!$J$6:$J$1413,I$1)</f>
        <v>0</v>
      </c>
      <c r="J189" s="80">
        <f>SUMIFS('февраль 2024'!$G$6:$G$1413,'февраль 2024'!$D$6:$D$1413,$B189,'февраль 2024'!$J$6:$J$1413,J$1)</f>
        <v>0</v>
      </c>
      <c r="K189" s="80">
        <f>SUMIFS('февраль 2024'!$G$6:$G$1413,'февраль 2024'!$D$6:$D$1413,$B189,'февраль 2024'!$J$6:$J$1413,K$1)</f>
        <v>0</v>
      </c>
      <c r="L189" s="80">
        <f>SUMIFS('февраль 2024'!$G$6:$G$1413,'февраль 2024'!$D$6:$D$1413,$B189,'февраль 2024'!$J$6:$J$1413,L$1)</f>
        <v>0</v>
      </c>
      <c r="M189" s="80">
        <f>SUMIFS('февраль 2024'!$G$6:$G$1413,'февраль 2024'!$D$6:$D$1413,$B189,'февраль 2024'!$J$6:$J$1413,M$1)</f>
        <v>0</v>
      </c>
      <c r="N189" s="80">
        <f>SUMIFS('февраль 2024'!$G$6:$G$1413,'февраль 2024'!$D$6:$D$1413,$B189,'февраль 2024'!$J$6:$J$1413,N$1)</f>
        <v>0</v>
      </c>
      <c r="O189" s="80">
        <f>SUMIFS('февраль 2024'!$G$6:$G$1413,'февраль 2024'!$D$6:$D$1413,$B189,'февраль 2024'!$J$6:$J$1413,O$1)</f>
        <v>0</v>
      </c>
      <c r="P189" s="80">
        <f>SUMIFS('февраль 2024'!$G$6:$G$1413,'февраль 2024'!$D$6:$D$1413,$B189,'февраль 2024'!$J$6:$J$1413,P$1)</f>
        <v>0</v>
      </c>
      <c r="Q189" s="80">
        <f>SUMIFS('февраль 2024'!$G$6:$G$1413,'февраль 2024'!$D$6:$D$1413,$B189,'февраль 2024'!$J$6:$J$1413,Q$1)</f>
        <v>0</v>
      </c>
      <c r="R189" s="80">
        <f>SUMIFS('февраль 2024'!$G$6:$G$1413,'февраль 2024'!$D$6:$D$1413,$B189,'февраль 2024'!$J$6:$J$1413,R$1)</f>
        <v>0</v>
      </c>
      <c r="S189" s="80">
        <f>SUMIFS('февраль 2024'!$G$6:$G$1413,'февраль 2024'!$D$6:$D$1413,$B189,'февраль 2024'!$J$6:$J$1413,S$1)</f>
        <v>0</v>
      </c>
      <c r="T189" s="80">
        <f>SUMIFS('февраль 2024'!$G$6:$G$1413,'февраль 2024'!$D$6:$D$1413,$B189,'февраль 2024'!$J$6:$J$1413,T$1)</f>
        <v>0</v>
      </c>
      <c r="U189" s="80">
        <f>SUMIFS('февраль 2024'!$G$6:$G$1413,'февраль 2024'!$D$6:$D$1413,$B189,'февраль 2024'!$J$6:$J$1413,U$1)</f>
        <v>0</v>
      </c>
      <c r="V189" s="80">
        <f>SUMIFS('февраль 2024'!$G$6:$G$1413,'февраль 2024'!$D$6:$D$1413,$B189,'февраль 2024'!$J$6:$J$1413,V$1)</f>
        <v>0</v>
      </c>
      <c r="W189" s="80">
        <f>SUMIFS('февраль 2024'!$G$6:$G$1413,'февраль 2024'!$D$6:$D$1413,$B189,'февраль 2024'!$J$6:$J$1413,W$1)</f>
        <v>0</v>
      </c>
      <c r="X189" s="80">
        <f>SUMIFS('февраль 2024'!$G$6:$G$1413,'февраль 2024'!$D$6:$D$1413,$B189,'февраль 2024'!$J$6:$J$1413,X$1)</f>
        <v>0</v>
      </c>
      <c r="Y189" s="80">
        <f>SUMIFS('февраль 2024'!$G$6:$G$1413,'февраль 2024'!$D$6:$D$1413,$B189,'февраль 2024'!$J$6:$J$1413,Y$1)</f>
        <v>0</v>
      </c>
      <c r="Z189" s="80">
        <f>SUMIFS('февраль 2024'!$G$6:$G$1413,'февраль 2024'!$D$6:$D$1413,$B189,'февраль 2024'!$J$6:$J$1413,Z$1)</f>
        <v>0</v>
      </c>
      <c r="AA189" s="80">
        <f>SUMIFS('февраль 2024'!$G$6:$G$1413,'февраль 2024'!$D$6:$D$1413,$B189,'февраль 2024'!$J$6:$J$1413,AA$1)</f>
        <v>0</v>
      </c>
      <c r="AB189" s="80">
        <f>SUMIFS('февраль 2024'!$G$6:$G$1413,'февраль 2024'!$D$6:$D$1413,$B189,'февраль 2024'!$J$6:$J$1413,AB$1)</f>
        <v>0</v>
      </c>
      <c r="AC189" s="80">
        <f>SUMIFS('февраль 2024'!$G$6:$G$1413,'февраль 2024'!$D$6:$D$1413,$B189,'февраль 2024'!$J$6:$J$1413,AC$1)</f>
        <v>0</v>
      </c>
      <c r="AD189" s="80">
        <f>SUMIFS('февраль 2024'!$G$6:$G$1413,'февраль 2024'!$D$6:$D$1413,$B189,'февраль 2024'!$J$6:$J$1413,AD$1)</f>
        <v>0</v>
      </c>
      <c r="AE189" s="80">
        <f>SUMIFS('февраль 2024'!$G$6:$G$1413,'февраль 2024'!$D$6:$D$1413,$B189,'февраль 2024'!$J$6:$J$1413,AE$1)</f>
        <v>0</v>
      </c>
      <c r="AF189" s="80">
        <f>SUMIFS('февраль 2024'!$G$6:$G$1413,'февраль 2024'!$D$6:$D$1413,$B189,'февраль 2024'!$J$6:$J$1413,AF$1)</f>
        <v>0</v>
      </c>
      <c r="AG189" s="80">
        <f>SUMIFS('февраль 2024'!$G$6:$G$1413,'февраль 2024'!$D$6:$D$1413,$B189,'февраль 2024'!$J$6:$J$1413,AG$1)</f>
        <v>0</v>
      </c>
      <c r="AH189" s="80">
        <f>SUMIFS('февраль 2024'!$G$6:$G$1413,'февраль 2024'!$D$6:$D$1413,$B189,'февраль 2024'!$J$6:$J$1413,AH$1)</f>
        <v>0</v>
      </c>
      <c r="AI189" s="87"/>
    </row>
    <row r="190" spans="2:35" ht="15" hidden="1" customHeight="1" x14ac:dyDescent="0.25">
      <c r="B190" s="89"/>
      <c r="C190" s="88"/>
      <c r="D190" s="80">
        <f>SUMIFS('февраль 2024'!$G$6:$G$1413,'февраль 2024'!$D$6:$D$1413,$B190,'февраль 2024'!$J$6:$J$1413,D$1)</f>
        <v>0</v>
      </c>
      <c r="E190" s="80">
        <f>SUMIFS('февраль 2024'!$G$6:$G$1413,'февраль 2024'!$D$6:$D$1413,$B190,'февраль 2024'!$J$6:$J$1413,E$1)</f>
        <v>0</v>
      </c>
      <c r="F190" s="80">
        <f>SUMIFS('февраль 2024'!$G$6:$G$1413,'февраль 2024'!$D$6:$D$1413,$B190,'февраль 2024'!$J$6:$J$1413,F$1)</f>
        <v>0</v>
      </c>
      <c r="G190" s="80">
        <f>SUMIFS('февраль 2024'!$G$6:$G$1413,'февраль 2024'!$D$6:$D$1413,$B190,'февраль 2024'!$J$6:$J$1413,G$1)</f>
        <v>0</v>
      </c>
      <c r="H190" s="80">
        <f>SUMIFS('февраль 2024'!$G$6:$G$1413,'февраль 2024'!$D$6:$D$1413,$B190,'февраль 2024'!$J$6:$J$1413,H$1)</f>
        <v>0</v>
      </c>
      <c r="I190" s="80">
        <f>SUMIFS('февраль 2024'!$G$6:$G$1413,'февраль 2024'!$D$6:$D$1413,$B190,'февраль 2024'!$J$6:$J$1413,I$1)</f>
        <v>0</v>
      </c>
      <c r="J190" s="80">
        <f>SUMIFS('февраль 2024'!$G$6:$G$1413,'февраль 2024'!$D$6:$D$1413,$B190,'февраль 2024'!$J$6:$J$1413,J$1)</f>
        <v>0</v>
      </c>
      <c r="K190" s="80">
        <f>SUMIFS('февраль 2024'!$G$6:$G$1413,'февраль 2024'!$D$6:$D$1413,$B190,'февраль 2024'!$J$6:$J$1413,K$1)</f>
        <v>0</v>
      </c>
      <c r="L190" s="80">
        <f>SUMIFS('февраль 2024'!$G$6:$G$1413,'февраль 2024'!$D$6:$D$1413,$B190,'февраль 2024'!$J$6:$J$1413,L$1)</f>
        <v>0</v>
      </c>
      <c r="M190" s="80">
        <f>SUMIFS('февраль 2024'!$G$6:$G$1413,'февраль 2024'!$D$6:$D$1413,$B190,'февраль 2024'!$J$6:$J$1413,M$1)</f>
        <v>0</v>
      </c>
      <c r="N190" s="80">
        <f>SUMIFS('февраль 2024'!$G$6:$G$1413,'февраль 2024'!$D$6:$D$1413,$B190,'февраль 2024'!$J$6:$J$1413,N$1)</f>
        <v>0</v>
      </c>
      <c r="O190" s="80">
        <f>SUMIFS('февраль 2024'!$G$6:$G$1413,'февраль 2024'!$D$6:$D$1413,$B190,'февраль 2024'!$J$6:$J$1413,O$1)</f>
        <v>0</v>
      </c>
      <c r="P190" s="80">
        <f>SUMIFS('февраль 2024'!$G$6:$G$1413,'февраль 2024'!$D$6:$D$1413,$B190,'февраль 2024'!$J$6:$J$1413,P$1)</f>
        <v>0</v>
      </c>
      <c r="Q190" s="80">
        <f>SUMIFS('февраль 2024'!$G$6:$G$1413,'февраль 2024'!$D$6:$D$1413,$B190,'февраль 2024'!$J$6:$J$1413,Q$1)</f>
        <v>0</v>
      </c>
      <c r="R190" s="80">
        <f>SUMIFS('февраль 2024'!$G$6:$G$1413,'февраль 2024'!$D$6:$D$1413,$B190,'февраль 2024'!$J$6:$J$1413,R$1)</f>
        <v>0</v>
      </c>
      <c r="S190" s="80">
        <f>SUMIFS('февраль 2024'!$G$6:$G$1413,'февраль 2024'!$D$6:$D$1413,$B190,'февраль 2024'!$J$6:$J$1413,S$1)</f>
        <v>0</v>
      </c>
      <c r="T190" s="80">
        <f>SUMIFS('февраль 2024'!$G$6:$G$1413,'февраль 2024'!$D$6:$D$1413,$B190,'февраль 2024'!$J$6:$J$1413,T$1)</f>
        <v>0</v>
      </c>
      <c r="U190" s="80">
        <f>SUMIFS('февраль 2024'!$G$6:$G$1413,'февраль 2024'!$D$6:$D$1413,$B190,'февраль 2024'!$J$6:$J$1413,U$1)</f>
        <v>0</v>
      </c>
      <c r="V190" s="80">
        <f>SUMIFS('февраль 2024'!$G$6:$G$1413,'февраль 2024'!$D$6:$D$1413,$B190,'февраль 2024'!$J$6:$J$1413,V$1)</f>
        <v>0</v>
      </c>
      <c r="W190" s="80">
        <f>SUMIFS('февраль 2024'!$G$6:$G$1413,'февраль 2024'!$D$6:$D$1413,$B190,'февраль 2024'!$J$6:$J$1413,W$1)</f>
        <v>0</v>
      </c>
      <c r="X190" s="80">
        <f>SUMIFS('февраль 2024'!$G$6:$G$1413,'февраль 2024'!$D$6:$D$1413,$B190,'февраль 2024'!$J$6:$J$1413,X$1)</f>
        <v>0</v>
      </c>
      <c r="Y190" s="80">
        <f>SUMIFS('февраль 2024'!$G$6:$G$1413,'февраль 2024'!$D$6:$D$1413,$B190,'февраль 2024'!$J$6:$J$1413,Y$1)</f>
        <v>0</v>
      </c>
      <c r="Z190" s="80">
        <f>SUMIFS('февраль 2024'!$G$6:$G$1413,'февраль 2024'!$D$6:$D$1413,$B190,'февраль 2024'!$J$6:$J$1413,Z$1)</f>
        <v>0</v>
      </c>
      <c r="AA190" s="80">
        <f>SUMIFS('февраль 2024'!$G$6:$G$1413,'февраль 2024'!$D$6:$D$1413,$B190,'февраль 2024'!$J$6:$J$1413,AA$1)</f>
        <v>0</v>
      </c>
      <c r="AB190" s="80">
        <f>SUMIFS('февраль 2024'!$G$6:$G$1413,'февраль 2024'!$D$6:$D$1413,$B190,'февраль 2024'!$J$6:$J$1413,AB$1)</f>
        <v>0</v>
      </c>
      <c r="AC190" s="80">
        <f>SUMIFS('февраль 2024'!$G$6:$G$1413,'февраль 2024'!$D$6:$D$1413,$B190,'февраль 2024'!$J$6:$J$1413,AC$1)</f>
        <v>0</v>
      </c>
      <c r="AD190" s="80">
        <f>SUMIFS('февраль 2024'!$G$6:$G$1413,'февраль 2024'!$D$6:$D$1413,$B190,'февраль 2024'!$J$6:$J$1413,AD$1)</f>
        <v>0</v>
      </c>
      <c r="AE190" s="80">
        <f>SUMIFS('февраль 2024'!$G$6:$G$1413,'февраль 2024'!$D$6:$D$1413,$B190,'февраль 2024'!$J$6:$J$1413,AE$1)</f>
        <v>0</v>
      </c>
      <c r="AF190" s="80">
        <f>SUMIFS('февраль 2024'!$G$6:$G$1413,'февраль 2024'!$D$6:$D$1413,$B190,'февраль 2024'!$J$6:$J$1413,AF$1)</f>
        <v>0</v>
      </c>
      <c r="AG190" s="80">
        <f>SUMIFS('февраль 2024'!$G$6:$G$1413,'февраль 2024'!$D$6:$D$1413,$B190,'февраль 2024'!$J$6:$J$1413,AG$1)</f>
        <v>0</v>
      </c>
      <c r="AH190" s="80">
        <f>SUMIFS('февраль 2024'!$G$6:$G$1413,'февраль 2024'!$D$6:$D$1413,$B190,'февраль 2024'!$J$6:$J$1413,AH$1)</f>
        <v>0</v>
      </c>
      <c r="AI190" s="87"/>
    </row>
    <row r="191" spans="2:35" ht="15" hidden="1" customHeight="1" x14ac:dyDescent="0.25">
      <c r="B191" s="89"/>
      <c r="C191" s="88"/>
      <c r="D191" s="80">
        <f>SUMIFS('февраль 2024'!$G$6:$G$1413,'февраль 2024'!$D$6:$D$1413,$B191,'февраль 2024'!$J$6:$J$1413,D$1)</f>
        <v>0</v>
      </c>
      <c r="E191" s="80">
        <f>SUMIFS('февраль 2024'!$G$6:$G$1413,'февраль 2024'!$D$6:$D$1413,$B191,'февраль 2024'!$J$6:$J$1413,E$1)</f>
        <v>0</v>
      </c>
      <c r="F191" s="80">
        <f>SUMIFS('февраль 2024'!$G$6:$G$1413,'февраль 2024'!$D$6:$D$1413,$B191,'февраль 2024'!$J$6:$J$1413,F$1)</f>
        <v>0</v>
      </c>
      <c r="G191" s="80">
        <f>SUMIFS('февраль 2024'!$G$6:$G$1413,'февраль 2024'!$D$6:$D$1413,$B191,'февраль 2024'!$J$6:$J$1413,G$1)</f>
        <v>0</v>
      </c>
      <c r="H191" s="80">
        <f>SUMIFS('февраль 2024'!$G$6:$G$1413,'февраль 2024'!$D$6:$D$1413,$B191,'февраль 2024'!$J$6:$J$1413,H$1)</f>
        <v>0</v>
      </c>
      <c r="I191" s="80">
        <f>SUMIFS('февраль 2024'!$G$6:$G$1413,'февраль 2024'!$D$6:$D$1413,$B191,'февраль 2024'!$J$6:$J$1413,I$1)</f>
        <v>0</v>
      </c>
      <c r="J191" s="80">
        <f>SUMIFS('февраль 2024'!$G$6:$G$1413,'февраль 2024'!$D$6:$D$1413,$B191,'февраль 2024'!$J$6:$J$1413,J$1)</f>
        <v>0</v>
      </c>
      <c r="K191" s="80">
        <f>SUMIFS('февраль 2024'!$G$6:$G$1413,'февраль 2024'!$D$6:$D$1413,$B191,'февраль 2024'!$J$6:$J$1413,K$1)</f>
        <v>0</v>
      </c>
      <c r="L191" s="80">
        <f>SUMIFS('февраль 2024'!$G$6:$G$1413,'февраль 2024'!$D$6:$D$1413,$B191,'февраль 2024'!$J$6:$J$1413,L$1)</f>
        <v>0</v>
      </c>
      <c r="M191" s="80">
        <f>SUMIFS('февраль 2024'!$G$6:$G$1413,'февраль 2024'!$D$6:$D$1413,$B191,'февраль 2024'!$J$6:$J$1413,M$1)</f>
        <v>0</v>
      </c>
      <c r="N191" s="80">
        <f>SUMIFS('февраль 2024'!$G$6:$G$1413,'февраль 2024'!$D$6:$D$1413,$B191,'февраль 2024'!$J$6:$J$1413,N$1)</f>
        <v>0</v>
      </c>
      <c r="O191" s="80">
        <f>SUMIFS('февраль 2024'!$G$6:$G$1413,'февраль 2024'!$D$6:$D$1413,$B191,'февраль 2024'!$J$6:$J$1413,O$1)</f>
        <v>0</v>
      </c>
      <c r="P191" s="80">
        <f>SUMIFS('февраль 2024'!$G$6:$G$1413,'февраль 2024'!$D$6:$D$1413,$B191,'февраль 2024'!$J$6:$J$1413,P$1)</f>
        <v>0</v>
      </c>
      <c r="Q191" s="80">
        <f>SUMIFS('февраль 2024'!$G$6:$G$1413,'февраль 2024'!$D$6:$D$1413,$B191,'февраль 2024'!$J$6:$J$1413,Q$1)</f>
        <v>0</v>
      </c>
      <c r="R191" s="80">
        <f>SUMIFS('февраль 2024'!$G$6:$G$1413,'февраль 2024'!$D$6:$D$1413,$B191,'февраль 2024'!$J$6:$J$1413,R$1)</f>
        <v>0</v>
      </c>
      <c r="S191" s="80">
        <f>SUMIFS('февраль 2024'!$G$6:$G$1413,'февраль 2024'!$D$6:$D$1413,$B191,'февраль 2024'!$J$6:$J$1413,S$1)</f>
        <v>0</v>
      </c>
      <c r="T191" s="80">
        <f>SUMIFS('февраль 2024'!$G$6:$G$1413,'февраль 2024'!$D$6:$D$1413,$B191,'февраль 2024'!$J$6:$J$1413,T$1)</f>
        <v>0</v>
      </c>
      <c r="U191" s="80">
        <f>SUMIFS('февраль 2024'!$G$6:$G$1413,'февраль 2024'!$D$6:$D$1413,$B191,'февраль 2024'!$J$6:$J$1413,U$1)</f>
        <v>0</v>
      </c>
      <c r="V191" s="80">
        <f>SUMIFS('февраль 2024'!$G$6:$G$1413,'февраль 2024'!$D$6:$D$1413,$B191,'февраль 2024'!$J$6:$J$1413,V$1)</f>
        <v>0</v>
      </c>
      <c r="W191" s="80">
        <f>SUMIFS('февраль 2024'!$G$6:$G$1413,'февраль 2024'!$D$6:$D$1413,$B191,'февраль 2024'!$J$6:$J$1413,W$1)</f>
        <v>0</v>
      </c>
      <c r="X191" s="80">
        <f>SUMIFS('февраль 2024'!$G$6:$G$1413,'февраль 2024'!$D$6:$D$1413,$B191,'февраль 2024'!$J$6:$J$1413,X$1)</f>
        <v>0</v>
      </c>
      <c r="Y191" s="80">
        <f>SUMIFS('февраль 2024'!$G$6:$G$1413,'февраль 2024'!$D$6:$D$1413,$B191,'февраль 2024'!$J$6:$J$1413,Y$1)</f>
        <v>0</v>
      </c>
      <c r="Z191" s="80">
        <f>SUMIFS('февраль 2024'!$G$6:$G$1413,'февраль 2024'!$D$6:$D$1413,$B191,'февраль 2024'!$J$6:$J$1413,Z$1)</f>
        <v>0</v>
      </c>
      <c r="AA191" s="80">
        <f>SUMIFS('февраль 2024'!$G$6:$G$1413,'февраль 2024'!$D$6:$D$1413,$B191,'февраль 2024'!$J$6:$J$1413,AA$1)</f>
        <v>0</v>
      </c>
      <c r="AB191" s="80">
        <f>SUMIFS('февраль 2024'!$G$6:$G$1413,'февраль 2024'!$D$6:$D$1413,$B191,'февраль 2024'!$J$6:$J$1413,AB$1)</f>
        <v>0</v>
      </c>
      <c r="AC191" s="80">
        <f>SUMIFS('февраль 2024'!$G$6:$G$1413,'февраль 2024'!$D$6:$D$1413,$B191,'февраль 2024'!$J$6:$J$1413,AC$1)</f>
        <v>0</v>
      </c>
      <c r="AD191" s="80">
        <f>SUMIFS('февраль 2024'!$G$6:$G$1413,'февраль 2024'!$D$6:$D$1413,$B191,'февраль 2024'!$J$6:$J$1413,AD$1)</f>
        <v>0</v>
      </c>
      <c r="AE191" s="80">
        <f>SUMIFS('февраль 2024'!$G$6:$G$1413,'февраль 2024'!$D$6:$D$1413,$B191,'февраль 2024'!$J$6:$J$1413,AE$1)</f>
        <v>0</v>
      </c>
      <c r="AF191" s="80">
        <f>SUMIFS('февраль 2024'!$G$6:$G$1413,'февраль 2024'!$D$6:$D$1413,$B191,'февраль 2024'!$J$6:$J$1413,AF$1)</f>
        <v>0</v>
      </c>
      <c r="AG191" s="80">
        <f>SUMIFS('февраль 2024'!$G$6:$G$1413,'февраль 2024'!$D$6:$D$1413,$B191,'февраль 2024'!$J$6:$J$1413,AG$1)</f>
        <v>0</v>
      </c>
      <c r="AH191" s="80">
        <f>SUMIFS('февраль 2024'!$G$6:$G$1413,'февраль 2024'!$D$6:$D$1413,$B191,'февраль 2024'!$J$6:$J$1413,AH$1)</f>
        <v>0</v>
      </c>
      <c r="AI191" s="87"/>
    </row>
    <row r="192" spans="2:35" ht="15" hidden="1" customHeight="1" x14ac:dyDescent="0.25">
      <c r="B192" s="89"/>
      <c r="C192" s="88"/>
      <c r="D192" s="80">
        <f>SUMIFS('февраль 2024'!$G$6:$G$1413,'февраль 2024'!$D$6:$D$1413,$B192,'февраль 2024'!$J$6:$J$1413,D$1)</f>
        <v>0</v>
      </c>
      <c r="E192" s="80">
        <f>SUMIFS('февраль 2024'!$G$6:$G$1413,'февраль 2024'!$D$6:$D$1413,$B192,'февраль 2024'!$J$6:$J$1413,E$1)</f>
        <v>0</v>
      </c>
      <c r="F192" s="80">
        <f>SUMIFS('февраль 2024'!$G$6:$G$1413,'февраль 2024'!$D$6:$D$1413,$B192,'февраль 2024'!$J$6:$J$1413,F$1)</f>
        <v>0</v>
      </c>
      <c r="G192" s="80">
        <f>SUMIFS('февраль 2024'!$G$6:$G$1413,'февраль 2024'!$D$6:$D$1413,$B192,'февраль 2024'!$J$6:$J$1413,G$1)</f>
        <v>0</v>
      </c>
      <c r="H192" s="80">
        <f>SUMIFS('февраль 2024'!$G$6:$G$1413,'февраль 2024'!$D$6:$D$1413,$B192,'февраль 2024'!$J$6:$J$1413,H$1)</f>
        <v>0</v>
      </c>
      <c r="I192" s="80">
        <f>SUMIFS('февраль 2024'!$G$6:$G$1413,'февраль 2024'!$D$6:$D$1413,$B192,'февраль 2024'!$J$6:$J$1413,I$1)</f>
        <v>0</v>
      </c>
      <c r="J192" s="80">
        <f>SUMIFS('февраль 2024'!$G$6:$G$1413,'февраль 2024'!$D$6:$D$1413,$B192,'февраль 2024'!$J$6:$J$1413,J$1)</f>
        <v>0</v>
      </c>
      <c r="K192" s="80">
        <f>SUMIFS('февраль 2024'!$G$6:$G$1413,'февраль 2024'!$D$6:$D$1413,$B192,'февраль 2024'!$J$6:$J$1413,K$1)</f>
        <v>0</v>
      </c>
      <c r="L192" s="80">
        <f>SUMIFS('февраль 2024'!$G$6:$G$1413,'февраль 2024'!$D$6:$D$1413,$B192,'февраль 2024'!$J$6:$J$1413,L$1)</f>
        <v>0</v>
      </c>
      <c r="M192" s="80">
        <f>SUMIFS('февраль 2024'!$G$6:$G$1413,'февраль 2024'!$D$6:$D$1413,$B192,'февраль 2024'!$J$6:$J$1413,M$1)</f>
        <v>0</v>
      </c>
      <c r="N192" s="80">
        <f>SUMIFS('февраль 2024'!$G$6:$G$1413,'февраль 2024'!$D$6:$D$1413,$B192,'февраль 2024'!$J$6:$J$1413,N$1)</f>
        <v>0</v>
      </c>
      <c r="O192" s="80">
        <f>SUMIFS('февраль 2024'!$G$6:$G$1413,'февраль 2024'!$D$6:$D$1413,$B192,'февраль 2024'!$J$6:$J$1413,O$1)</f>
        <v>0</v>
      </c>
      <c r="P192" s="80">
        <f>SUMIFS('февраль 2024'!$G$6:$G$1413,'февраль 2024'!$D$6:$D$1413,$B192,'февраль 2024'!$J$6:$J$1413,P$1)</f>
        <v>0</v>
      </c>
      <c r="Q192" s="80">
        <f>SUMIFS('февраль 2024'!$G$6:$G$1413,'февраль 2024'!$D$6:$D$1413,$B192,'февраль 2024'!$J$6:$J$1413,Q$1)</f>
        <v>0</v>
      </c>
      <c r="R192" s="80">
        <f>SUMIFS('февраль 2024'!$G$6:$G$1413,'февраль 2024'!$D$6:$D$1413,$B192,'февраль 2024'!$J$6:$J$1413,R$1)</f>
        <v>0</v>
      </c>
      <c r="S192" s="80">
        <f>SUMIFS('февраль 2024'!$G$6:$G$1413,'февраль 2024'!$D$6:$D$1413,$B192,'февраль 2024'!$J$6:$J$1413,S$1)</f>
        <v>0</v>
      </c>
      <c r="T192" s="80">
        <f>SUMIFS('февраль 2024'!$G$6:$G$1413,'февраль 2024'!$D$6:$D$1413,$B192,'февраль 2024'!$J$6:$J$1413,T$1)</f>
        <v>0</v>
      </c>
      <c r="U192" s="80">
        <f>SUMIFS('февраль 2024'!$G$6:$G$1413,'февраль 2024'!$D$6:$D$1413,$B192,'февраль 2024'!$J$6:$J$1413,U$1)</f>
        <v>0</v>
      </c>
      <c r="V192" s="80">
        <f>SUMIFS('февраль 2024'!$G$6:$G$1413,'февраль 2024'!$D$6:$D$1413,$B192,'февраль 2024'!$J$6:$J$1413,V$1)</f>
        <v>0</v>
      </c>
      <c r="W192" s="80">
        <f>SUMIFS('февраль 2024'!$G$6:$G$1413,'февраль 2024'!$D$6:$D$1413,$B192,'февраль 2024'!$J$6:$J$1413,W$1)</f>
        <v>0</v>
      </c>
      <c r="X192" s="80">
        <f>SUMIFS('февраль 2024'!$G$6:$G$1413,'февраль 2024'!$D$6:$D$1413,$B192,'февраль 2024'!$J$6:$J$1413,X$1)</f>
        <v>0</v>
      </c>
      <c r="Y192" s="80">
        <f>SUMIFS('февраль 2024'!$G$6:$G$1413,'февраль 2024'!$D$6:$D$1413,$B192,'февраль 2024'!$J$6:$J$1413,Y$1)</f>
        <v>0</v>
      </c>
      <c r="Z192" s="80">
        <f>SUMIFS('февраль 2024'!$G$6:$G$1413,'февраль 2024'!$D$6:$D$1413,$B192,'февраль 2024'!$J$6:$J$1413,Z$1)</f>
        <v>0</v>
      </c>
      <c r="AA192" s="80">
        <f>SUMIFS('февраль 2024'!$G$6:$G$1413,'февраль 2024'!$D$6:$D$1413,$B192,'февраль 2024'!$J$6:$J$1413,AA$1)</f>
        <v>0</v>
      </c>
      <c r="AB192" s="80">
        <f>SUMIFS('февраль 2024'!$G$6:$G$1413,'февраль 2024'!$D$6:$D$1413,$B192,'февраль 2024'!$J$6:$J$1413,AB$1)</f>
        <v>0</v>
      </c>
      <c r="AC192" s="80">
        <f>SUMIFS('февраль 2024'!$G$6:$G$1413,'февраль 2024'!$D$6:$D$1413,$B192,'февраль 2024'!$J$6:$J$1413,AC$1)</f>
        <v>0</v>
      </c>
      <c r="AD192" s="80">
        <f>SUMIFS('февраль 2024'!$G$6:$G$1413,'февраль 2024'!$D$6:$D$1413,$B192,'февраль 2024'!$J$6:$J$1413,AD$1)</f>
        <v>0</v>
      </c>
      <c r="AE192" s="80">
        <f>SUMIFS('февраль 2024'!$G$6:$G$1413,'февраль 2024'!$D$6:$D$1413,$B192,'февраль 2024'!$J$6:$J$1413,AE$1)</f>
        <v>0</v>
      </c>
      <c r="AF192" s="80">
        <f>SUMIFS('февраль 2024'!$G$6:$G$1413,'февраль 2024'!$D$6:$D$1413,$B192,'февраль 2024'!$J$6:$J$1413,AF$1)</f>
        <v>0</v>
      </c>
      <c r="AG192" s="80">
        <f>SUMIFS('февраль 2024'!$G$6:$G$1413,'февраль 2024'!$D$6:$D$1413,$B192,'февраль 2024'!$J$6:$J$1413,AG$1)</f>
        <v>0</v>
      </c>
      <c r="AH192" s="80">
        <f>SUMIFS('февраль 2024'!$G$6:$G$1413,'февраль 2024'!$D$6:$D$1413,$B192,'февраль 2024'!$J$6:$J$1413,AH$1)</f>
        <v>0</v>
      </c>
      <c r="AI192" s="87"/>
    </row>
    <row r="193" spans="2:35" ht="15" hidden="1" customHeight="1" x14ac:dyDescent="0.25">
      <c r="B193" s="89"/>
      <c r="C193" s="88"/>
      <c r="D193" s="80">
        <f>SUMIFS('февраль 2024'!$G$6:$G$1413,'февраль 2024'!$D$6:$D$1413,$B193,'февраль 2024'!$J$6:$J$1413,D$1)</f>
        <v>0</v>
      </c>
      <c r="E193" s="80">
        <f>SUMIFS('февраль 2024'!$G$6:$G$1413,'февраль 2024'!$D$6:$D$1413,$B193,'февраль 2024'!$J$6:$J$1413,E$1)</f>
        <v>0</v>
      </c>
      <c r="F193" s="80">
        <f>SUMIFS('февраль 2024'!$G$6:$G$1413,'февраль 2024'!$D$6:$D$1413,$B193,'февраль 2024'!$J$6:$J$1413,F$1)</f>
        <v>0</v>
      </c>
      <c r="G193" s="80">
        <f>SUMIFS('февраль 2024'!$G$6:$G$1413,'февраль 2024'!$D$6:$D$1413,$B193,'февраль 2024'!$J$6:$J$1413,G$1)</f>
        <v>0</v>
      </c>
      <c r="H193" s="80">
        <f>SUMIFS('февраль 2024'!$G$6:$G$1413,'февраль 2024'!$D$6:$D$1413,$B193,'февраль 2024'!$J$6:$J$1413,H$1)</f>
        <v>0</v>
      </c>
      <c r="I193" s="80">
        <f>SUMIFS('февраль 2024'!$G$6:$G$1413,'февраль 2024'!$D$6:$D$1413,$B193,'февраль 2024'!$J$6:$J$1413,I$1)</f>
        <v>0</v>
      </c>
      <c r="J193" s="80">
        <f>SUMIFS('февраль 2024'!$G$6:$G$1413,'февраль 2024'!$D$6:$D$1413,$B193,'февраль 2024'!$J$6:$J$1413,J$1)</f>
        <v>0</v>
      </c>
      <c r="K193" s="80">
        <f>SUMIFS('февраль 2024'!$G$6:$G$1413,'февраль 2024'!$D$6:$D$1413,$B193,'февраль 2024'!$J$6:$J$1413,K$1)</f>
        <v>0</v>
      </c>
      <c r="L193" s="80">
        <f>SUMIFS('февраль 2024'!$G$6:$G$1413,'февраль 2024'!$D$6:$D$1413,$B193,'февраль 2024'!$J$6:$J$1413,L$1)</f>
        <v>0</v>
      </c>
      <c r="M193" s="80">
        <f>SUMIFS('февраль 2024'!$G$6:$G$1413,'февраль 2024'!$D$6:$D$1413,$B193,'февраль 2024'!$J$6:$J$1413,M$1)</f>
        <v>0</v>
      </c>
      <c r="N193" s="80">
        <f>SUMIFS('февраль 2024'!$G$6:$G$1413,'февраль 2024'!$D$6:$D$1413,$B193,'февраль 2024'!$J$6:$J$1413,N$1)</f>
        <v>0</v>
      </c>
      <c r="O193" s="80">
        <f>SUMIFS('февраль 2024'!$G$6:$G$1413,'февраль 2024'!$D$6:$D$1413,$B193,'февраль 2024'!$J$6:$J$1413,O$1)</f>
        <v>0</v>
      </c>
      <c r="P193" s="80">
        <f>SUMIFS('февраль 2024'!$G$6:$G$1413,'февраль 2024'!$D$6:$D$1413,$B193,'февраль 2024'!$J$6:$J$1413,P$1)</f>
        <v>0</v>
      </c>
      <c r="Q193" s="80">
        <f>SUMIFS('февраль 2024'!$G$6:$G$1413,'февраль 2024'!$D$6:$D$1413,$B193,'февраль 2024'!$J$6:$J$1413,Q$1)</f>
        <v>0</v>
      </c>
      <c r="R193" s="80">
        <f>SUMIFS('февраль 2024'!$G$6:$G$1413,'февраль 2024'!$D$6:$D$1413,$B193,'февраль 2024'!$J$6:$J$1413,R$1)</f>
        <v>0</v>
      </c>
      <c r="S193" s="80">
        <f>SUMIFS('февраль 2024'!$G$6:$G$1413,'февраль 2024'!$D$6:$D$1413,$B193,'февраль 2024'!$J$6:$J$1413,S$1)</f>
        <v>0</v>
      </c>
      <c r="T193" s="80">
        <f>SUMIFS('февраль 2024'!$G$6:$G$1413,'февраль 2024'!$D$6:$D$1413,$B193,'февраль 2024'!$J$6:$J$1413,T$1)</f>
        <v>0</v>
      </c>
      <c r="U193" s="80">
        <f>SUMIFS('февраль 2024'!$G$6:$G$1413,'февраль 2024'!$D$6:$D$1413,$B193,'февраль 2024'!$J$6:$J$1413,U$1)</f>
        <v>0</v>
      </c>
      <c r="V193" s="80">
        <f>SUMIFS('февраль 2024'!$G$6:$G$1413,'февраль 2024'!$D$6:$D$1413,$B193,'февраль 2024'!$J$6:$J$1413,V$1)</f>
        <v>0</v>
      </c>
      <c r="W193" s="80">
        <f>SUMIFS('февраль 2024'!$G$6:$G$1413,'февраль 2024'!$D$6:$D$1413,$B193,'февраль 2024'!$J$6:$J$1413,W$1)</f>
        <v>0</v>
      </c>
      <c r="X193" s="80">
        <f>SUMIFS('февраль 2024'!$G$6:$G$1413,'февраль 2024'!$D$6:$D$1413,$B193,'февраль 2024'!$J$6:$J$1413,X$1)</f>
        <v>0</v>
      </c>
      <c r="Y193" s="80">
        <f>SUMIFS('февраль 2024'!$G$6:$G$1413,'февраль 2024'!$D$6:$D$1413,$B193,'февраль 2024'!$J$6:$J$1413,Y$1)</f>
        <v>0</v>
      </c>
      <c r="Z193" s="80">
        <f>SUMIFS('февраль 2024'!$G$6:$G$1413,'февраль 2024'!$D$6:$D$1413,$B193,'февраль 2024'!$J$6:$J$1413,Z$1)</f>
        <v>0</v>
      </c>
      <c r="AA193" s="80">
        <f>SUMIFS('февраль 2024'!$G$6:$G$1413,'февраль 2024'!$D$6:$D$1413,$B193,'февраль 2024'!$J$6:$J$1413,AA$1)</f>
        <v>0</v>
      </c>
      <c r="AB193" s="80">
        <f>SUMIFS('февраль 2024'!$G$6:$G$1413,'февраль 2024'!$D$6:$D$1413,$B193,'февраль 2024'!$J$6:$J$1413,AB$1)</f>
        <v>0</v>
      </c>
      <c r="AC193" s="80">
        <f>SUMIFS('февраль 2024'!$G$6:$G$1413,'февраль 2024'!$D$6:$D$1413,$B193,'февраль 2024'!$J$6:$J$1413,AC$1)</f>
        <v>0</v>
      </c>
      <c r="AD193" s="80">
        <f>SUMIFS('февраль 2024'!$G$6:$G$1413,'февраль 2024'!$D$6:$D$1413,$B193,'февраль 2024'!$J$6:$J$1413,AD$1)</f>
        <v>0</v>
      </c>
      <c r="AE193" s="80">
        <f>SUMIFS('февраль 2024'!$G$6:$G$1413,'февраль 2024'!$D$6:$D$1413,$B193,'февраль 2024'!$J$6:$J$1413,AE$1)</f>
        <v>0</v>
      </c>
      <c r="AF193" s="80">
        <f>SUMIFS('февраль 2024'!$G$6:$G$1413,'февраль 2024'!$D$6:$D$1413,$B193,'февраль 2024'!$J$6:$J$1413,AF$1)</f>
        <v>0</v>
      </c>
      <c r="AG193" s="80">
        <f>SUMIFS('февраль 2024'!$G$6:$G$1413,'февраль 2024'!$D$6:$D$1413,$B193,'февраль 2024'!$J$6:$J$1413,AG$1)</f>
        <v>0</v>
      </c>
      <c r="AH193" s="80">
        <f>SUMIFS('февраль 2024'!$G$6:$G$1413,'февраль 2024'!$D$6:$D$1413,$B193,'февраль 2024'!$J$6:$J$1413,AH$1)</f>
        <v>0</v>
      </c>
      <c r="AI193" s="87"/>
    </row>
    <row r="194" spans="2:35" ht="15" hidden="1" customHeight="1" x14ac:dyDescent="0.25">
      <c r="B194" s="89"/>
      <c r="C194" s="88"/>
      <c r="D194" s="80">
        <f>SUMIFS('февраль 2024'!$G$6:$G$1413,'февраль 2024'!$D$6:$D$1413,$B194,'февраль 2024'!$J$6:$J$1413,D$1)</f>
        <v>0</v>
      </c>
      <c r="E194" s="80">
        <f>SUMIFS('февраль 2024'!$G$6:$G$1413,'февраль 2024'!$D$6:$D$1413,$B194,'февраль 2024'!$J$6:$J$1413,E$1)</f>
        <v>0</v>
      </c>
      <c r="F194" s="80">
        <f>SUMIFS('февраль 2024'!$G$6:$G$1413,'февраль 2024'!$D$6:$D$1413,$B194,'февраль 2024'!$J$6:$J$1413,F$1)</f>
        <v>0</v>
      </c>
      <c r="G194" s="80">
        <f>SUMIFS('февраль 2024'!$G$6:$G$1413,'февраль 2024'!$D$6:$D$1413,$B194,'февраль 2024'!$J$6:$J$1413,G$1)</f>
        <v>0</v>
      </c>
      <c r="H194" s="80">
        <f>SUMIFS('февраль 2024'!$G$6:$G$1413,'февраль 2024'!$D$6:$D$1413,$B194,'февраль 2024'!$J$6:$J$1413,H$1)</f>
        <v>0</v>
      </c>
      <c r="I194" s="80">
        <f>SUMIFS('февраль 2024'!$G$6:$G$1413,'февраль 2024'!$D$6:$D$1413,$B194,'февраль 2024'!$J$6:$J$1413,I$1)</f>
        <v>0</v>
      </c>
      <c r="J194" s="80">
        <f>SUMIFS('февраль 2024'!$G$6:$G$1413,'февраль 2024'!$D$6:$D$1413,$B194,'февраль 2024'!$J$6:$J$1413,J$1)</f>
        <v>0</v>
      </c>
      <c r="K194" s="80">
        <f>SUMIFS('февраль 2024'!$G$6:$G$1413,'февраль 2024'!$D$6:$D$1413,$B194,'февраль 2024'!$J$6:$J$1413,K$1)</f>
        <v>0</v>
      </c>
      <c r="L194" s="80">
        <f>SUMIFS('февраль 2024'!$G$6:$G$1413,'февраль 2024'!$D$6:$D$1413,$B194,'февраль 2024'!$J$6:$J$1413,L$1)</f>
        <v>0</v>
      </c>
      <c r="M194" s="80">
        <f>SUMIFS('февраль 2024'!$G$6:$G$1413,'февраль 2024'!$D$6:$D$1413,$B194,'февраль 2024'!$J$6:$J$1413,M$1)</f>
        <v>0</v>
      </c>
      <c r="N194" s="80">
        <f>SUMIFS('февраль 2024'!$G$6:$G$1413,'февраль 2024'!$D$6:$D$1413,$B194,'февраль 2024'!$J$6:$J$1413,N$1)</f>
        <v>0</v>
      </c>
      <c r="O194" s="80">
        <f>SUMIFS('февраль 2024'!$G$6:$G$1413,'февраль 2024'!$D$6:$D$1413,$B194,'февраль 2024'!$J$6:$J$1413,O$1)</f>
        <v>0</v>
      </c>
      <c r="P194" s="80">
        <f>SUMIFS('февраль 2024'!$G$6:$G$1413,'февраль 2024'!$D$6:$D$1413,$B194,'февраль 2024'!$J$6:$J$1413,P$1)</f>
        <v>0</v>
      </c>
      <c r="Q194" s="80">
        <f>SUMIFS('февраль 2024'!$G$6:$G$1413,'февраль 2024'!$D$6:$D$1413,$B194,'февраль 2024'!$J$6:$J$1413,Q$1)</f>
        <v>0</v>
      </c>
      <c r="R194" s="80">
        <f>SUMIFS('февраль 2024'!$G$6:$G$1413,'февраль 2024'!$D$6:$D$1413,$B194,'февраль 2024'!$J$6:$J$1413,R$1)</f>
        <v>0</v>
      </c>
      <c r="S194" s="80">
        <f>SUMIFS('февраль 2024'!$G$6:$G$1413,'февраль 2024'!$D$6:$D$1413,$B194,'февраль 2024'!$J$6:$J$1413,S$1)</f>
        <v>0</v>
      </c>
      <c r="T194" s="80">
        <f>SUMIFS('февраль 2024'!$G$6:$G$1413,'февраль 2024'!$D$6:$D$1413,$B194,'февраль 2024'!$J$6:$J$1413,T$1)</f>
        <v>0</v>
      </c>
      <c r="U194" s="80">
        <f>SUMIFS('февраль 2024'!$G$6:$G$1413,'февраль 2024'!$D$6:$D$1413,$B194,'февраль 2024'!$J$6:$J$1413,U$1)</f>
        <v>0</v>
      </c>
      <c r="V194" s="80">
        <f>SUMIFS('февраль 2024'!$G$6:$G$1413,'февраль 2024'!$D$6:$D$1413,$B194,'февраль 2024'!$J$6:$J$1413,V$1)</f>
        <v>0</v>
      </c>
      <c r="W194" s="80">
        <f>SUMIFS('февраль 2024'!$G$6:$G$1413,'февраль 2024'!$D$6:$D$1413,$B194,'февраль 2024'!$J$6:$J$1413,W$1)</f>
        <v>0</v>
      </c>
      <c r="X194" s="80">
        <f>SUMIFS('февраль 2024'!$G$6:$G$1413,'февраль 2024'!$D$6:$D$1413,$B194,'февраль 2024'!$J$6:$J$1413,X$1)</f>
        <v>0</v>
      </c>
      <c r="Y194" s="80">
        <f>SUMIFS('февраль 2024'!$G$6:$G$1413,'февраль 2024'!$D$6:$D$1413,$B194,'февраль 2024'!$J$6:$J$1413,Y$1)</f>
        <v>0</v>
      </c>
      <c r="Z194" s="80">
        <f>SUMIFS('февраль 2024'!$G$6:$G$1413,'февраль 2024'!$D$6:$D$1413,$B194,'февраль 2024'!$J$6:$J$1413,Z$1)</f>
        <v>0</v>
      </c>
      <c r="AA194" s="80">
        <f>SUMIFS('февраль 2024'!$G$6:$G$1413,'февраль 2024'!$D$6:$D$1413,$B194,'февраль 2024'!$J$6:$J$1413,AA$1)</f>
        <v>0</v>
      </c>
      <c r="AB194" s="80">
        <f>SUMIFS('февраль 2024'!$G$6:$G$1413,'февраль 2024'!$D$6:$D$1413,$B194,'февраль 2024'!$J$6:$J$1413,AB$1)</f>
        <v>0</v>
      </c>
      <c r="AC194" s="80">
        <f>SUMIFS('февраль 2024'!$G$6:$G$1413,'февраль 2024'!$D$6:$D$1413,$B194,'февраль 2024'!$J$6:$J$1413,AC$1)</f>
        <v>0</v>
      </c>
      <c r="AD194" s="80">
        <f>SUMIFS('февраль 2024'!$G$6:$G$1413,'февраль 2024'!$D$6:$D$1413,$B194,'февраль 2024'!$J$6:$J$1413,AD$1)</f>
        <v>0</v>
      </c>
      <c r="AE194" s="80">
        <f>SUMIFS('февраль 2024'!$G$6:$G$1413,'февраль 2024'!$D$6:$D$1413,$B194,'февраль 2024'!$J$6:$J$1413,AE$1)</f>
        <v>0</v>
      </c>
      <c r="AF194" s="80">
        <f>SUMIFS('февраль 2024'!$G$6:$G$1413,'февраль 2024'!$D$6:$D$1413,$B194,'февраль 2024'!$J$6:$J$1413,AF$1)</f>
        <v>0</v>
      </c>
      <c r="AG194" s="80">
        <f>SUMIFS('февраль 2024'!$G$6:$G$1413,'февраль 2024'!$D$6:$D$1413,$B194,'февраль 2024'!$J$6:$J$1413,AG$1)</f>
        <v>0</v>
      </c>
      <c r="AH194" s="80">
        <f>SUMIFS('февраль 2024'!$G$6:$G$1413,'февраль 2024'!$D$6:$D$1413,$B194,'февраль 2024'!$J$6:$J$1413,AH$1)</f>
        <v>0</v>
      </c>
      <c r="AI194" s="87"/>
    </row>
    <row r="195" spans="2:35" ht="15" hidden="1" customHeight="1" x14ac:dyDescent="0.25">
      <c r="B195" s="89"/>
      <c r="C195" s="88"/>
      <c r="D195" s="80">
        <f>SUMIFS('февраль 2024'!$G$6:$G$1413,'февраль 2024'!$D$6:$D$1413,$B195,'февраль 2024'!$J$6:$J$1413,D$1)</f>
        <v>0</v>
      </c>
      <c r="E195" s="80">
        <f>SUMIFS('февраль 2024'!$G$6:$G$1413,'февраль 2024'!$D$6:$D$1413,$B195,'февраль 2024'!$J$6:$J$1413,E$1)</f>
        <v>0</v>
      </c>
      <c r="F195" s="80">
        <f>SUMIFS('февраль 2024'!$G$6:$G$1413,'февраль 2024'!$D$6:$D$1413,$B195,'февраль 2024'!$J$6:$J$1413,F$1)</f>
        <v>0</v>
      </c>
      <c r="G195" s="80">
        <f>SUMIFS('февраль 2024'!$G$6:$G$1413,'февраль 2024'!$D$6:$D$1413,$B195,'февраль 2024'!$J$6:$J$1413,G$1)</f>
        <v>0</v>
      </c>
      <c r="H195" s="80">
        <f>SUMIFS('февраль 2024'!$G$6:$G$1413,'февраль 2024'!$D$6:$D$1413,$B195,'февраль 2024'!$J$6:$J$1413,H$1)</f>
        <v>0</v>
      </c>
      <c r="I195" s="80">
        <f>SUMIFS('февраль 2024'!$G$6:$G$1413,'февраль 2024'!$D$6:$D$1413,$B195,'февраль 2024'!$J$6:$J$1413,I$1)</f>
        <v>0</v>
      </c>
      <c r="J195" s="80">
        <f>SUMIFS('февраль 2024'!$G$6:$G$1413,'февраль 2024'!$D$6:$D$1413,$B195,'февраль 2024'!$J$6:$J$1413,J$1)</f>
        <v>0</v>
      </c>
      <c r="K195" s="80">
        <f>SUMIFS('февраль 2024'!$G$6:$G$1413,'февраль 2024'!$D$6:$D$1413,$B195,'февраль 2024'!$J$6:$J$1413,K$1)</f>
        <v>0</v>
      </c>
      <c r="L195" s="80">
        <f>SUMIFS('февраль 2024'!$G$6:$G$1413,'февраль 2024'!$D$6:$D$1413,$B195,'февраль 2024'!$J$6:$J$1413,L$1)</f>
        <v>0</v>
      </c>
      <c r="M195" s="80">
        <f>SUMIFS('февраль 2024'!$G$6:$G$1413,'февраль 2024'!$D$6:$D$1413,$B195,'февраль 2024'!$J$6:$J$1413,M$1)</f>
        <v>0</v>
      </c>
      <c r="N195" s="80">
        <f>SUMIFS('февраль 2024'!$G$6:$G$1413,'февраль 2024'!$D$6:$D$1413,$B195,'февраль 2024'!$J$6:$J$1413,N$1)</f>
        <v>0</v>
      </c>
      <c r="O195" s="80">
        <f>SUMIFS('февраль 2024'!$G$6:$G$1413,'февраль 2024'!$D$6:$D$1413,$B195,'февраль 2024'!$J$6:$J$1413,O$1)</f>
        <v>0</v>
      </c>
      <c r="P195" s="80">
        <f>SUMIFS('февраль 2024'!$G$6:$G$1413,'февраль 2024'!$D$6:$D$1413,$B195,'февраль 2024'!$J$6:$J$1413,P$1)</f>
        <v>0</v>
      </c>
      <c r="Q195" s="80">
        <f>SUMIFS('февраль 2024'!$G$6:$G$1413,'февраль 2024'!$D$6:$D$1413,$B195,'февраль 2024'!$J$6:$J$1413,Q$1)</f>
        <v>0</v>
      </c>
      <c r="R195" s="80">
        <f>SUMIFS('февраль 2024'!$G$6:$G$1413,'февраль 2024'!$D$6:$D$1413,$B195,'февраль 2024'!$J$6:$J$1413,R$1)</f>
        <v>0</v>
      </c>
      <c r="S195" s="80">
        <f>SUMIFS('февраль 2024'!$G$6:$G$1413,'февраль 2024'!$D$6:$D$1413,$B195,'февраль 2024'!$J$6:$J$1413,S$1)</f>
        <v>0</v>
      </c>
      <c r="T195" s="80">
        <f>SUMIFS('февраль 2024'!$G$6:$G$1413,'февраль 2024'!$D$6:$D$1413,$B195,'февраль 2024'!$J$6:$J$1413,T$1)</f>
        <v>0</v>
      </c>
      <c r="U195" s="80">
        <f>SUMIFS('февраль 2024'!$G$6:$G$1413,'февраль 2024'!$D$6:$D$1413,$B195,'февраль 2024'!$J$6:$J$1413,U$1)</f>
        <v>0</v>
      </c>
      <c r="V195" s="80">
        <f>SUMIFS('февраль 2024'!$G$6:$G$1413,'февраль 2024'!$D$6:$D$1413,$B195,'февраль 2024'!$J$6:$J$1413,V$1)</f>
        <v>0</v>
      </c>
      <c r="W195" s="80">
        <f>SUMIFS('февраль 2024'!$G$6:$G$1413,'февраль 2024'!$D$6:$D$1413,$B195,'февраль 2024'!$J$6:$J$1413,W$1)</f>
        <v>0</v>
      </c>
      <c r="X195" s="80">
        <f>SUMIFS('февраль 2024'!$G$6:$G$1413,'февраль 2024'!$D$6:$D$1413,$B195,'февраль 2024'!$J$6:$J$1413,X$1)</f>
        <v>0</v>
      </c>
      <c r="Y195" s="80">
        <f>SUMIFS('февраль 2024'!$G$6:$G$1413,'февраль 2024'!$D$6:$D$1413,$B195,'февраль 2024'!$J$6:$J$1413,Y$1)</f>
        <v>0</v>
      </c>
      <c r="Z195" s="80">
        <f>SUMIFS('февраль 2024'!$G$6:$G$1413,'февраль 2024'!$D$6:$D$1413,$B195,'февраль 2024'!$J$6:$J$1413,Z$1)</f>
        <v>0</v>
      </c>
      <c r="AA195" s="80">
        <f>SUMIFS('февраль 2024'!$G$6:$G$1413,'февраль 2024'!$D$6:$D$1413,$B195,'февраль 2024'!$J$6:$J$1413,AA$1)</f>
        <v>0</v>
      </c>
      <c r="AB195" s="80">
        <f>SUMIFS('февраль 2024'!$G$6:$G$1413,'февраль 2024'!$D$6:$D$1413,$B195,'февраль 2024'!$J$6:$J$1413,AB$1)</f>
        <v>0</v>
      </c>
      <c r="AC195" s="80">
        <f>SUMIFS('февраль 2024'!$G$6:$G$1413,'февраль 2024'!$D$6:$D$1413,$B195,'февраль 2024'!$J$6:$J$1413,AC$1)</f>
        <v>0</v>
      </c>
      <c r="AD195" s="80">
        <f>SUMIFS('февраль 2024'!$G$6:$G$1413,'февраль 2024'!$D$6:$D$1413,$B195,'февраль 2024'!$J$6:$J$1413,AD$1)</f>
        <v>0</v>
      </c>
      <c r="AE195" s="80">
        <f>SUMIFS('февраль 2024'!$G$6:$G$1413,'февраль 2024'!$D$6:$D$1413,$B195,'февраль 2024'!$J$6:$J$1413,AE$1)</f>
        <v>0</v>
      </c>
      <c r="AF195" s="80">
        <f>SUMIFS('февраль 2024'!$G$6:$G$1413,'февраль 2024'!$D$6:$D$1413,$B195,'февраль 2024'!$J$6:$J$1413,AF$1)</f>
        <v>0</v>
      </c>
      <c r="AG195" s="80">
        <f>SUMIFS('февраль 2024'!$G$6:$G$1413,'февраль 2024'!$D$6:$D$1413,$B195,'февраль 2024'!$J$6:$J$1413,AG$1)</f>
        <v>0</v>
      </c>
      <c r="AH195" s="80">
        <f>SUMIFS('февраль 2024'!$G$6:$G$1413,'февраль 2024'!$D$6:$D$1413,$B195,'февраль 2024'!$J$6:$J$1413,AH$1)</f>
        <v>0</v>
      </c>
      <c r="AI195" s="87"/>
    </row>
    <row r="196" spans="2:35" ht="15" hidden="1" customHeight="1" x14ac:dyDescent="0.25">
      <c r="B196" s="89"/>
      <c r="C196" s="88"/>
      <c r="D196" s="80">
        <f>SUMIFS('февраль 2024'!$G$6:$G$1413,'февраль 2024'!$D$6:$D$1413,$B196,'февраль 2024'!$J$6:$J$1413,D$1)</f>
        <v>0</v>
      </c>
      <c r="E196" s="80">
        <f>SUMIFS('февраль 2024'!$G$6:$G$1413,'февраль 2024'!$D$6:$D$1413,$B196,'февраль 2024'!$J$6:$J$1413,E$1)</f>
        <v>0</v>
      </c>
      <c r="F196" s="80">
        <f>SUMIFS('февраль 2024'!$G$6:$G$1413,'февраль 2024'!$D$6:$D$1413,$B196,'февраль 2024'!$J$6:$J$1413,F$1)</f>
        <v>0</v>
      </c>
      <c r="G196" s="80">
        <f>SUMIFS('февраль 2024'!$G$6:$G$1413,'февраль 2024'!$D$6:$D$1413,$B196,'февраль 2024'!$J$6:$J$1413,G$1)</f>
        <v>0</v>
      </c>
      <c r="H196" s="80">
        <f>SUMIFS('февраль 2024'!$G$6:$G$1413,'февраль 2024'!$D$6:$D$1413,$B196,'февраль 2024'!$J$6:$J$1413,H$1)</f>
        <v>0</v>
      </c>
      <c r="I196" s="80">
        <f>SUMIFS('февраль 2024'!$G$6:$G$1413,'февраль 2024'!$D$6:$D$1413,$B196,'февраль 2024'!$J$6:$J$1413,I$1)</f>
        <v>0</v>
      </c>
      <c r="J196" s="80">
        <f>SUMIFS('февраль 2024'!$G$6:$G$1413,'февраль 2024'!$D$6:$D$1413,$B196,'февраль 2024'!$J$6:$J$1413,J$1)</f>
        <v>0</v>
      </c>
      <c r="K196" s="80">
        <f>SUMIFS('февраль 2024'!$G$6:$G$1413,'февраль 2024'!$D$6:$D$1413,$B196,'февраль 2024'!$J$6:$J$1413,K$1)</f>
        <v>0</v>
      </c>
      <c r="L196" s="80">
        <f>SUMIFS('февраль 2024'!$G$6:$G$1413,'февраль 2024'!$D$6:$D$1413,$B196,'февраль 2024'!$J$6:$J$1413,L$1)</f>
        <v>0</v>
      </c>
      <c r="M196" s="80">
        <f>SUMIFS('февраль 2024'!$G$6:$G$1413,'февраль 2024'!$D$6:$D$1413,$B196,'февраль 2024'!$J$6:$J$1413,M$1)</f>
        <v>0</v>
      </c>
      <c r="N196" s="80">
        <f>SUMIFS('февраль 2024'!$G$6:$G$1413,'февраль 2024'!$D$6:$D$1413,$B196,'февраль 2024'!$J$6:$J$1413,N$1)</f>
        <v>0</v>
      </c>
      <c r="O196" s="80">
        <f>SUMIFS('февраль 2024'!$G$6:$G$1413,'февраль 2024'!$D$6:$D$1413,$B196,'февраль 2024'!$J$6:$J$1413,O$1)</f>
        <v>0</v>
      </c>
      <c r="P196" s="80">
        <f>SUMIFS('февраль 2024'!$G$6:$G$1413,'февраль 2024'!$D$6:$D$1413,$B196,'февраль 2024'!$J$6:$J$1413,P$1)</f>
        <v>0</v>
      </c>
      <c r="Q196" s="80">
        <f>SUMIFS('февраль 2024'!$G$6:$G$1413,'февраль 2024'!$D$6:$D$1413,$B196,'февраль 2024'!$J$6:$J$1413,Q$1)</f>
        <v>0</v>
      </c>
      <c r="R196" s="80">
        <f>SUMIFS('февраль 2024'!$G$6:$G$1413,'февраль 2024'!$D$6:$D$1413,$B196,'февраль 2024'!$J$6:$J$1413,R$1)</f>
        <v>0</v>
      </c>
      <c r="S196" s="80">
        <f>SUMIFS('февраль 2024'!$G$6:$G$1413,'февраль 2024'!$D$6:$D$1413,$B196,'февраль 2024'!$J$6:$J$1413,S$1)</f>
        <v>0</v>
      </c>
      <c r="T196" s="80">
        <f>SUMIFS('февраль 2024'!$G$6:$G$1413,'февраль 2024'!$D$6:$D$1413,$B196,'февраль 2024'!$J$6:$J$1413,T$1)</f>
        <v>0</v>
      </c>
      <c r="U196" s="80">
        <f>SUMIFS('февраль 2024'!$G$6:$G$1413,'февраль 2024'!$D$6:$D$1413,$B196,'февраль 2024'!$J$6:$J$1413,U$1)</f>
        <v>0</v>
      </c>
      <c r="V196" s="80">
        <f>SUMIFS('февраль 2024'!$G$6:$G$1413,'февраль 2024'!$D$6:$D$1413,$B196,'февраль 2024'!$J$6:$J$1413,V$1)</f>
        <v>0</v>
      </c>
      <c r="W196" s="80">
        <f>SUMIFS('февраль 2024'!$G$6:$G$1413,'февраль 2024'!$D$6:$D$1413,$B196,'февраль 2024'!$J$6:$J$1413,W$1)</f>
        <v>0</v>
      </c>
      <c r="X196" s="80">
        <f>SUMIFS('февраль 2024'!$G$6:$G$1413,'февраль 2024'!$D$6:$D$1413,$B196,'февраль 2024'!$J$6:$J$1413,X$1)</f>
        <v>0</v>
      </c>
      <c r="Y196" s="80">
        <f>SUMIFS('февраль 2024'!$G$6:$G$1413,'февраль 2024'!$D$6:$D$1413,$B196,'февраль 2024'!$J$6:$J$1413,Y$1)</f>
        <v>0</v>
      </c>
      <c r="Z196" s="80">
        <f>SUMIFS('февраль 2024'!$G$6:$G$1413,'февраль 2024'!$D$6:$D$1413,$B196,'февраль 2024'!$J$6:$J$1413,Z$1)</f>
        <v>0</v>
      </c>
      <c r="AA196" s="80">
        <f>SUMIFS('февраль 2024'!$G$6:$G$1413,'февраль 2024'!$D$6:$D$1413,$B196,'февраль 2024'!$J$6:$J$1413,AA$1)</f>
        <v>0</v>
      </c>
      <c r="AB196" s="80">
        <f>SUMIFS('февраль 2024'!$G$6:$G$1413,'февраль 2024'!$D$6:$D$1413,$B196,'февраль 2024'!$J$6:$J$1413,AB$1)</f>
        <v>0</v>
      </c>
      <c r="AC196" s="80">
        <f>SUMIFS('февраль 2024'!$G$6:$G$1413,'февраль 2024'!$D$6:$D$1413,$B196,'февраль 2024'!$J$6:$J$1413,AC$1)</f>
        <v>0</v>
      </c>
      <c r="AD196" s="80">
        <f>SUMIFS('февраль 2024'!$G$6:$G$1413,'февраль 2024'!$D$6:$D$1413,$B196,'февраль 2024'!$J$6:$J$1413,AD$1)</f>
        <v>0</v>
      </c>
      <c r="AE196" s="80">
        <f>SUMIFS('февраль 2024'!$G$6:$G$1413,'февраль 2024'!$D$6:$D$1413,$B196,'февраль 2024'!$J$6:$J$1413,AE$1)</f>
        <v>0</v>
      </c>
      <c r="AF196" s="80">
        <f>SUMIFS('февраль 2024'!$G$6:$G$1413,'февраль 2024'!$D$6:$D$1413,$B196,'февраль 2024'!$J$6:$J$1413,AF$1)</f>
        <v>0</v>
      </c>
      <c r="AG196" s="80">
        <f>SUMIFS('февраль 2024'!$G$6:$G$1413,'февраль 2024'!$D$6:$D$1413,$B196,'февраль 2024'!$J$6:$J$1413,AG$1)</f>
        <v>0</v>
      </c>
      <c r="AH196" s="80">
        <f>SUMIFS('февраль 2024'!$G$6:$G$1413,'февраль 2024'!$D$6:$D$1413,$B196,'февраль 2024'!$J$6:$J$1413,AH$1)</f>
        <v>0</v>
      </c>
      <c r="AI196" s="87"/>
    </row>
    <row r="197" spans="2:35" ht="15" hidden="1" customHeight="1" x14ac:dyDescent="0.25">
      <c r="B197" s="89"/>
      <c r="C197" s="88"/>
      <c r="D197" s="80">
        <f>SUMIFS('февраль 2024'!$G$6:$G$1413,'февраль 2024'!$D$6:$D$1413,$B197,'февраль 2024'!$J$6:$J$1413,D$1)</f>
        <v>0</v>
      </c>
      <c r="E197" s="80">
        <f>SUMIFS('февраль 2024'!$G$6:$G$1413,'февраль 2024'!$D$6:$D$1413,$B197,'февраль 2024'!$J$6:$J$1413,E$1)</f>
        <v>0</v>
      </c>
      <c r="F197" s="80">
        <f>SUMIFS('февраль 2024'!$G$6:$G$1413,'февраль 2024'!$D$6:$D$1413,$B197,'февраль 2024'!$J$6:$J$1413,F$1)</f>
        <v>0</v>
      </c>
      <c r="G197" s="80">
        <f>SUMIFS('февраль 2024'!$G$6:$G$1413,'февраль 2024'!$D$6:$D$1413,$B197,'февраль 2024'!$J$6:$J$1413,G$1)</f>
        <v>0</v>
      </c>
      <c r="H197" s="80">
        <f>SUMIFS('февраль 2024'!$G$6:$G$1413,'февраль 2024'!$D$6:$D$1413,$B197,'февраль 2024'!$J$6:$J$1413,H$1)</f>
        <v>0</v>
      </c>
      <c r="I197" s="80">
        <f>SUMIFS('февраль 2024'!$G$6:$G$1413,'февраль 2024'!$D$6:$D$1413,$B197,'февраль 2024'!$J$6:$J$1413,I$1)</f>
        <v>0</v>
      </c>
      <c r="J197" s="80">
        <f>SUMIFS('февраль 2024'!$G$6:$G$1413,'февраль 2024'!$D$6:$D$1413,$B197,'февраль 2024'!$J$6:$J$1413,J$1)</f>
        <v>0</v>
      </c>
      <c r="K197" s="80">
        <f>SUMIFS('февраль 2024'!$G$6:$G$1413,'февраль 2024'!$D$6:$D$1413,$B197,'февраль 2024'!$J$6:$J$1413,K$1)</f>
        <v>0</v>
      </c>
      <c r="L197" s="80">
        <f>SUMIFS('февраль 2024'!$G$6:$G$1413,'февраль 2024'!$D$6:$D$1413,$B197,'февраль 2024'!$J$6:$J$1413,L$1)</f>
        <v>0</v>
      </c>
      <c r="M197" s="80">
        <f>SUMIFS('февраль 2024'!$G$6:$G$1413,'февраль 2024'!$D$6:$D$1413,$B197,'февраль 2024'!$J$6:$J$1413,M$1)</f>
        <v>0</v>
      </c>
      <c r="N197" s="80">
        <f>SUMIFS('февраль 2024'!$G$6:$G$1413,'февраль 2024'!$D$6:$D$1413,$B197,'февраль 2024'!$J$6:$J$1413,N$1)</f>
        <v>0</v>
      </c>
      <c r="O197" s="80">
        <f>SUMIFS('февраль 2024'!$G$6:$G$1413,'февраль 2024'!$D$6:$D$1413,$B197,'февраль 2024'!$J$6:$J$1413,O$1)</f>
        <v>0</v>
      </c>
      <c r="P197" s="80">
        <f>SUMIFS('февраль 2024'!$G$6:$G$1413,'февраль 2024'!$D$6:$D$1413,$B197,'февраль 2024'!$J$6:$J$1413,P$1)</f>
        <v>0</v>
      </c>
      <c r="Q197" s="80">
        <f>SUMIFS('февраль 2024'!$G$6:$G$1413,'февраль 2024'!$D$6:$D$1413,$B197,'февраль 2024'!$J$6:$J$1413,Q$1)</f>
        <v>0</v>
      </c>
      <c r="R197" s="80">
        <f>SUMIFS('февраль 2024'!$G$6:$G$1413,'февраль 2024'!$D$6:$D$1413,$B197,'февраль 2024'!$J$6:$J$1413,R$1)</f>
        <v>0</v>
      </c>
      <c r="S197" s="80">
        <f>SUMIFS('февраль 2024'!$G$6:$G$1413,'февраль 2024'!$D$6:$D$1413,$B197,'февраль 2024'!$J$6:$J$1413,S$1)</f>
        <v>0</v>
      </c>
      <c r="T197" s="80">
        <f>SUMIFS('февраль 2024'!$G$6:$G$1413,'февраль 2024'!$D$6:$D$1413,$B197,'февраль 2024'!$J$6:$J$1413,T$1)</f>
        <v>0</v>
      </c>
      <c r="U197" s="80">
        <f>SUMIFS('февраль 2024'!$G$6:$G$1413,'февраль 2024'!$D$6:$D$1413,$B197,'февраль 2024'!$J$6:$J$1413,U$1)</f>
        <v>0</v>
      </c>
      <c r="V197" s="80">
        <f>SUMIFS('февраль 2024'!$G$6:$G$1413,'февраль 2024'!$D$6:$D$1413,$B197,'февраль 2024'!$J$6:$J$1413,V$1)</f>
        <v>0</v>
      </c>
      <c r="W197" s="80">
        <f>SUMIFS('февраль 2024'!$G$6:$G$1413,'февраль 2024'!$D$6:$D$1413,$B197,'февраль 2024'!$J$6:$J$1413,W$1)</f>
        <v>0</v>
      </c>
      <c r="X197" s="80">
        <f>SUMIFS('февраль 2024'!$G$6:$G$1413,'февраль 2024'!$D$6:$D$1413,$B197,'февраль 2024'!$J$6:$J$1413,X$1)</f>
        <v>0</v>
      </c>
      <c r="Y197" s="80">
        <f>SUMIFS('февраль 2024'!$G$6:$G$1413,'февраль 2024'!$D$6:$D$1413,$B197,'февраль 2024'!$J$6:$J$1413,Y$1)</f>
        <v>0</v>
      </c>
      <c r="Z197" s="80">
        <f>SUMIFS('февраль 2024'!$G$6:$G$1413,'февраль 2024'!$D$6:$D$1413,$B197,'февраль 2024'!$J$6:$J$1413,Z$1)</f>
        <v>0</v>
      </c>
      <c r="AA197" s="80">
        <f>SUMIFS('февраль 2024'!$G$6:$G$1413,'февраль 2024'!$D$6:$D$1413,$B197,'февраль 2024'!$J$6:$J$1413,AA$1)</f>
        <v>0</v>
      </c>
      <c r="AB197" s="80">
        <f>SUMIFS('февраль 2024'!$G$6:$G$1413,'февраль 2024'!$D$6:$D$1413,$B197,'февраль 2024'!$J$6:$J$1413,AB$1)</f>
        <v>0</v>
      </c>
      <c r="AC197" s="80">
        <f>SUMIFS('февраль 2024'!$G$6:$G$1413,'февраль 2024'!$D$6:$D$1413,$B197,'февраль 2024'!$J$6:$J$1413,AC$1)</f>
        <v>0</v>
      </c>
      <c r="AD197" s="80">
        <f>SUMIFS('февраль 2024'!$G$6:$G$1413,'февраль 2024'!$D$6:$D$1413,$B197,'февраль 2024'!$J$6:$J$1413,AD$1)</f>
        <v>0</v>
      </c>
      <c r="AE197" s="80">
        <f>SUMIFS('февраль 2024'!$G$6:$G$1413,'февраль 2024'!$D$6:$D$1413,$B197,'февраль 2024'!$J$6:$J$1413,AE$1)</f>
        <v>0</v>
      </c>
      <c r="AF197" s="80">
        <f>SUMIFS('февраль 2024'!$G$6:$G$1413,'февраль 2024'!$D$6:$D$1413,$B197,'февраль 2024'!$J$6:$J$1413,AF$1)</f>
        <v>0</v>
      </c>
      <c r="AG197" s="80">
        <f>SUMIFS('февраль 2024'!$G$6:$G$1413,'февраль 2024'!$D$6:$D$1413,$B197,'февраль 2024'!$J$6:$J$1413,AG$1)</f>
        <v>0</v>
      </c>
      <c r="AH197" s="80">
        <f>SUMIFS('февраль 2024'!$G$6:$G$1413,'февраль 2024'!$D$6:$D$1413,$B197,'февраль 2024'!$J$6:$J$1413,AH$1)</f>
        <v>0</v>
      </c>
      <c r="AI197" s="87"/>
    </row>
    <row r="198" spans="2:35" ht="15" hidden="1" customHeight="1" x14ac:dyDescent="0.25">
      <c r="B198" s="89"/>
      <c r="C198" s="88"/>
      <c r="D198" s="80">
        <f>SUMIFS('февраль 2024'!$G$6:$G$1413,'февраль 2024'!$D$6:$D$1413,$B198,'февраль 2024'!$J$6:$J$1413,D$1)</f>
        <v>0</v>
      </c>
      <c r="E198" s="80">
        <f>SUMIFS('февраль 2024'!$G$6:$G$1413,'февраль 2024'!$D$6:$D$1413,$B198,'февраль 2024'!$J$6:$J$1413,E$1)</f>
        <v>0</v>
      </c>
      <c r="F198" s="80">
        <f>SUMIFS('февраль 2024'!$G$6:$G$1413,'февраль 2024'!$D$6:$D$1413,$B198,'февраль 2024'!$J$6:$J$1413,F$1)</f>
        <v>0</v>
      </c>
      <c r="G198" s="80">
        <f>SUMIFS('февраль 2024'!$G$6:$G$1413,'февраль 2024'!$D$6:$D$1413,$B198,'февраль 2024'!$J$6:$J$1413,G$1)</f>
        <v>0</v>
      </c>
      <c r="H198" s="80">
        <f>SUMIFS('февраль 2024'!$G$6:$G$1413,'февраль 2024'!$D$6:$D$1413,$B198,'февраль 2024'!$J$6:$J$1413,H$1)</f>
        <v>0</v>
      </c>
      <c r="I198" s="80">
        <f>SUMIFS('февраль 2024'!$G$6:$G$1413,'февраль 2024'!$D$6:$D$1413,$B198,'февраль 2024'!$J$6:$J$1413,I$1)</f>
        <v>0</v>
      </c>
      <c r="J198" s="80">
        <f>SUMIFS('февраль 2024'!$G$6:$G$1413,'февраль 2024'!$D$6:$D$1413,$B198,'февраль 2024'!$J$6:$J$1413,J$1)</f>
        <v>0</v>
      </c>
      <c r="K198" s="80">
        <f>SUMIFS('февраль 2024'!$G$6:$G$1413,'февраль 2024'!$D$6:$D$1413,$B198,'февраль 2024'!$J$6:$J$1413,K$1)</f>
        <v>0</v>
      </c>
      <c r="L198" s="80">
        <f>SUMIFS('февраль 2024'!$G$6:$G$1413,'февраль 2024'!$D$6:$D$1413,$B198,'февраль 2024'!$J$6:$J$1413,L$1)</f>
        <v>0</v>
      </c>
      <c r="M198" s="80">
        <f>SUMIFS('февраль 2024'!$G$6:$G$1413,'февраль 2024'!$D$6:$D$1413,$B198,'февраль 2024'!$J$6:$J$1413,M$1)</f>
        <v>0</v>
      </c>
      <c r="N198" s="80">
        <f>SUMIFS('февраль 2024'!$G$6:$G$1413,'февраль 2024'!$D$6:$D$1413,$B198,'февраль 2024'!$J$6:$J$1413,N$1)</f>
        <v>0</v>
      </c>
      <c r="O198" s="80">
        <f>SUMIFS('февраль 2024'!$G$6:$G$1413,'февраль 2024'!$D$6:$D$1413,$B198,'февраль 2024'!$J$6:$J$1413,O$1)</f>
        <v>0</v>
      </c>
      <c r="P198" s="80">
        <f>SUMIFS('февраль 2024'!$G$6:$G$1413,'февраль 2024'!$D$6:$D$1413,$B198,'февраль 2024'!$J$6:$J$1413,P$1)</f>
        <v>0</v>
      </c>
      <c r="Q198" s="80">
        <f>SUMIFS('февраль 2024'!$G$6:$G$1413,'февраль 2024'!$D$6:$D$1413,$B198,'февраль 2024'!$J$6:$J$1413,Q$1)</f>
        <v>0</v>
      </c>
      <c r="R198" s="80">
        <f>SUMIFS('февраль 2024'!$G$6:$G$1413,'февраль 2024'!$D$6:$D$1413,$B198,'февраль 2024'!$J$6:$J$1413,R$1)</f>
        <v>0</v>
      </c>
      <c r="S198" s="80">
        <f>SUMIFS('февраль 2024'!$G$6:$G$1413,'февраль 2024'!$D$6:$D$1413,$B198,'февраль 2024'!$J$6:$J$1413,S$1)</f>
        <v>0</v>
      </c>
      <c r="T198" s="80">
        <f>SUMIFS('февраль 2024'!$G$6:$G$1413,'февраль 2024'!$D$6:$D$1413,$B198,'февраль 2024'!$J$6:$J$1413,T$1)</f>
        <v>0</v>
      </c>
      <c r="U198" s="80">
        <f>SUMIFS('февраль 2024'!$G$6:$G$1413,'февраль 2024'!$D$6:$D$1413,$B198,'февраль 2024'!$J$6:$J$1413,U$1)</f>
        <v>0</v>
      </c>
      <c r="V198" s="80">
        <f>SUMIFS('февраль 2024'!$G$6:$G$1413,'февраль 2024'!$D$6:$D$1413,$B198,'февраль 2024'!$J$6:$J$1413,V$1)</f>
        <v>0</v>
      </c>
      <c r="W198" s="80">
        <f>SUMIFS('февраль 2024'!$G$6:$G$1413,'февраль 2024'!$D$6:$D$1413,$B198,'февраль 2024'!$J$6:$J$1413,W$1)</f>
        <v>0</v>
      </c>
      <c r="X198" s="80">
        <f>SUMIFS('февраль 2024'!$G$6:$G$1413,'февраль 2024'!$D$6:$D$1413,$B198,'февраль 2024'!$J$6:$J$1413,X$1)</f>
        <v>0</v>
      </c>
      <c r="Y198" s="80">
        <f>SUMIFS('февраль 2024'!$G$6:$G$1413,'февраль 2024'!$D$6:$D$1413,$B198,'февраль 2024'!$J$6:$J$1413,Y$1)</f>
        <v>0</v>
      </c>
      <c r="Z198" s="80">
        <f>SUMIFS('февраль 2024'!$G$6:$G$1413,'февраль 2024'!$D$6:$D$1413,$B198,'февраль 2024'!$J$6:$J$1413,Z$1)</f>
        <v>0</v>
      </c>
      <c r="AA198" s="80">
        <f>SUMIFS('февраль 2024'!$G$6:$G$1413,'февраль 2024'!$D$6:$D$1413,$B198,'февраль 2024'!$J$6:$J$1413,AA$1)</f>
        <v>0</v>
      </c>
      <c r="AB198" s="80">
        <f>SUMIFS('февраль 2024'!$G$6:$G$1413,'февраль 2024'!$D$6:$D$1413,$B198,'февраль 2024'!$J$6:$J$1413,AB$1)</f>
        <v>0</v>
      </c>
      <c r="AC198" s="80">
        <f>SUMIFS('февраль 2024'!$G$6:$G$1413,'февраль 2024'!$D$6:$D$1413,$B198,'февраль 2024'!$J$6:$J$1413,AC$1)</f>
        <v>0</v>
      </c>
      <c r="AD198" s="80">
        <f>SUMIFS('февраль 2024'!$G$6:$G$1413,'февраль 2024'!$D$6:$D$1413,$B198,'февраль 2024'!$J$6:$J$1413,AD$1)</f>
        <v>0</v>
      </c>
      <c r="AE198" s="80">
        <f>SUMIFS('февраль 2024'!$G$6:$G$1413,'февраль 2024'!$D$6:$D$1413,$B198,'февраль 2024'!$J$6:$J$1413,AE$1)</f>
        <v>0</v>
      </c>
      <c r="AF198" s="80">
        <f>SUMIFS('февраль 2024'!$G$6:$G$1413,'февраль 2024'!$D$6:$D$1413,$B198,'февраль 2024'!$J$6:$J$1413,AF$1)</f>
        <v>0</v>
      </c>
      <c r="AG198" s="80">
        <f>SUMIFS('февраль 2024'!$G$6:$G$1413,'февраль 2024'!$D$6:$D$1413,$B198,'февраль 2024'!$J$6:$J$1413,AG$1)</f>
        <v>0</v>
      </c>
      <c r="AH198" s="80">
        <f>SUMIFS('февраль 2024'!$G$6:$G$1413,'февраль 2024'!$D$6:$D$1413,$B198,'февраль 2024'!$J$6:$J$1413,AH$1)</f>
        <v>0</v>
      </c>
      <c r="AI198" s="87"/>
    </row>
    <row r="199" spans="2:35" ht="15" hidden="1" customHeight="1" x14ac:dyDescent="0.25">
      <c r="B199" s="89"/>
      <c r="C199" s="88"/>
      <c r="D199" s="80">
        <f>SUMIFS('февраль 2024'!$G$6:$G$1413,'февраль 2024'!$D$6:$D$1413,$B199,'февраль 2024'!$J$6:$J$1413,D$1)</f>
        <v>0</v>
      </c>
      <c r="E199" s="80">
        <f>SUMIFS('февраль 2024'!$G$6:$G$1413,'февраль 2024'!$D$6:$D$1413,$B199,'февраль 2024'!$J$6:$J$1413,E$1)</f>
        <v>0</v>
      </c>
      <c r="F199" s="80">
        <f>SUMIFS('февраль 2024'!$G$6:$G$1413,'февраль 2024'!$D$6:$D$1413,$B199,'февраль 2024'!$J$6:$J$1413,F$1)</f>
        <v>0</v>
      </c>
      <c r="G199" s="80">
        <f>SUMIFS('февраль 2024'!$G$6:$G$1413,'февраль 2024'!$D$6:$D$1413,$B199,'февраль 2024'!$J$6:$J$1413,G$1)</f>
        <v>0</v>
      </c>
      <c r="H199" s="80">
        <f>SUMIFS('февраль 2024'!$G$6:$G$1413,'февраль 2024'!$D$6:$D$1413,$B199,'февраль 2024'!$J$6:$J$1413,H$1)</f>
        <v>0</v>
      </c>
      <c r="I199" s="80">
        <f>SUMIFS('февраль 2024'!$G$6:$G$1413,'февраль 2024'!$D$6:$D$1413,$B199,'февраль 2024'!$J$6:$J$1413,I$1)</f>
        <v>0</v>
      </c>
      <c r="J199" s="80">
        <f>SUMIFS('февраль 2024'!$G$6:$G$1413,'февраль 2024'!$D$6:$D$1413,$B199,'февраль 2024'!$J$6:$J$1413,J$1)</f>
        <v>0</v>
      </c>
      <c r="K199" s="80">
        <f>SUMIFS('февраль 2024'!$G$6:$G$1413,'февраль 2024'!$D$6:$D$1413,$B199,'февраль 2024'!$J$6:$J$1413,K$1)</f>
        <v>0</v>
      </c>
      <c r="L199" s="80">
        <f>SUMIFS('февраль 2024'!$G$6:$G$1413,'февраль 2024'!$D$6:$D$1413,$B199,'февраль 2024'!$J$6:$J$1413,L$1)</f>
        <v>0</v>
      </c>
      <c r="M199" s="80">
        <f>SUMIFS('февраль 2024'!$G$6:$G$1413,'февраль 2024'!$D$6:$D$1413,$B199,'февраль 2024'!$J$6:$J$1413,M$1)</f>
        <v>0</v>
      </c>
      <c r="N199" s="80">
        <f>SUMIFS('февраль 2024'!$G$6:$G$1413,'февраль 2024'!$D$6:$D$1413,$B199,'февраль 2024'!$J$6:$J$1413,N$1)</f>
        <v>0</v>
      </c>
      <c r="O199" s="80">
        <f>SUMIFS('февраль 2024'!$G$6:$G$1413,'февраль 2024'!$D$6:$D$1413,$B199,'февраль 2024'!$J$6:$J$1413,O$1)</f>
        <v>0</v>
      </c>
      <c r="P199" s="80">
        <f>SUMIFS('февраль 2024'!$G$6:$G$1413,'февраль 2024'!$D$6:$D$1413,$B199,'февраль 2024'!$J$6:$J$1413,P$1)</f>
        <v>0</v>
      </c>
      <c r="Q199" s="80">
        <f>SUMIFS('февраль 2024'!$G$6:$G$1413,'февраль 2024'!$D$6:$D$1413,$B199,'февраль 2024'!$J$6:$J$1413,Q$1)</f>
        <v>0</v>
      </c>
      <c r="R199" s="80">
        <f>SUMIFS('февраль 2024'!$G$6:$G$1413,'февраль 2024'!$D$6:$D$1413,$B199,'февраль 2024'!$J$6:$J$1413,R$1)</f>
        <v>0</v>
      </c>
      <c r="S199" s="80">
        <f>SUMIFS('февраль 2024'!$G$6:$G$1413,'февраль 2024'!$D$6:$D$1413,$B199,'февраль 2024'!$J$6:$J$1413,S$1)</f>
        <v>0</v>
      </c>
      <c r="T199" s="80">
        <f>SUMIFS('февраль 2024'!$G$6:$G$1413,'февраль 2024'!$D$6:$D$1413,$B199,'февраль 2024'!$J$6:$J$1413,T$1)</f>
        <v>0</v>
      </c>
      <c r="U199" s="80">
        <f>SUMIFS('февраль 2024'!$G$6:$G$1413,'февраль 2024'!$D$6:$D$1413,$B199,'февраль 2024'!$J$6:$J$1413,U$1)</f>
        <v>0</v>
      </c>
      <c r="V199" s="80">
        <f>SUMIFS('февраль 2024'!$G$6:$G$1413,'февраль 2024'!$D$6:$D$1413,$B199,'февраль 2024'!$J$6:$J$1413,V$1)</f>
        <v>0</v>
      </c>
      <c r="W199" s="80">
        <f>SUMIFS('февраль 2024'!$G$6:$G$1413,'февраль 2024'!$D$6:$D$1413,$B199,'февраль 2024'!$J$6:$J$1413,W$1)</f>
        <v>0</v>
      </c>
      <c r="X199" s="80">
        <f>SUMIFS('февраль 2024'!$G$6:$G$1413,'февраль 2024'!$D$6:$D$1413,$B199,'февраль 2024'!$J$6:$J$1413,X$1)</f>
        <v>0</v>
      </c>
      <c r="Y199" s="80">
        <f>SUMIFS('февраль 2024'!$G$6:$G$1413,'февраль 2024'!$D$6:$D$1413,$B199,'февраль 2024'!$J$6:$J$1413,Y$1)</f>
        <v>0</v>
      </c>
      <c r="Z199" s="80">
        <f>SUMIFS('февраль 2024'!$G$6:$G$1413,'февраль 2024'!$D$6:$D$1413,$B199,'февраль 2024'!$J$6:$J$1413,Z$1)</f>
        <v>0</v>
      </c>
      <c r="AA199" s="80">
        <f>SUMIFS('февраль 2024'!$G$6:$G$1413,'февраль 2024'!$D$6:$D$1413,$B199,'февраль 2024'!$J$6:$J$1413,AA$1)</f>
        <v>0</v>
      </c>
      <c r="AB199" s="80">
        <f>SUMIFS('февраль 2024'!$G$6:$G$1413,'февраль 2024'!$D$6:$D$1413,$B199,'февраль 2024'!$J$6:$J$1413,AB$1)</f>
        <v>0</v>
      </c>
      <c r="AC199" s="80">
        <f>SUMIFS('февраль 2024'!$G$6:$G$1413,'февраль 2024'!$D$6:$D$1413,$B199,'февраль 2024'!$J$6:$J$1413,AC$1)</f>
        <v>0</v>
      </c>
      <c r="AD199" s="80">
        <f>SUMIFS('февраль 2024'!$G$6:$G$1413,'февраль 2024'!$D$6:$D$1413,$B199,'февраль 2024'!$J$6:$J$1413,AD$1)</f>
        <v>0</v>
      </c>
      <c r="AE199" s="80">
        <f>SUMIFS('февраль 2024'!$G$6:$G$1413,'февраль 2024'!$D$6:$D$1413,$B199,'февраль 2024'!$J$6:$J$1413,AE$1)</f>
        <v>0</v>
      </c>
      <c r="AF199" s="80">
        <f>SUMIFS('февраль 2024'!$G$6:$G$1413,'февраль 2024'!$D$6:$D$1413,$B199,'февраль 2024'!$J$6:$J$1413,AF$1)</f>
        <v>0</v>
      </c>
      <c r="AG199" s="80">
        <f>SUMIFS('февраль 2024'!$G$6:$G$1413,'февраль 2024'!$D$6:$D$1413,$B199,'февраль 2024'!$J$6:$J$1413,AG$1)</f>
        <v>0</v>
      </c>
      <c r="AH199" s="80">
        <f>SUMIFS('февраль 2024'!$G$6:$G$1413,'февраль 2024'!$D$6:$D$1413,$B199,'февраль 2024'!$J$6:$J$1413,AH$1)</f>
        <v>0</v>
      </c>
      <c r="AI199" s="87"/>
    </row>
    <row r="200" spans="2:35" ht="15" hidden="1" customHeight="1" x14ac:dyDescent="0.25">
      <c r="B200" s="89"/>
      <c r="C200" s="88"/>
      <c r="D200" s="80">
        <f>SUMIFS('февраль 2024'!$G$6:$G$1413,'февраль 2024'!$D$6:$D$1413,$B200,'февраль 2024'!$J$6:$J$1413,D$1)</f>
        <v>0</v>
      </c>
      <c r="E200" s="80">
        <f>SUMIFS('февраль 2024'!$G$6:$G$1413,'февраль 2024'!$D$6:$D$1413,$B200,'февраль 2024'!$J$6:$J$1413,E$1)</f>
        <v>0</v>
      </c>
      <c r="F200" s="80">
        <f>SUMIFS('февраль 2024'!$G$6:$G$1413,'февраль 2024'!$D$6:$D$1413,$B200,'февраль 2024'!$J$6:$J$1413,F$1)</f>
        <v>0</v>
      </c>
      <c r="G200" s="80">
        <f>SUMIFS('февраль 2024'!$G$6:$G$1413,'февраль 2024'!$D$6:$D$1413,$B200,'февраль 2024'!$J$6:$J$1413,G$1)</f>
        <v>0</v>
      </c>
      <c r="H200" s="80">
        <f>SUMIFS('февраль 2024'!$G$6:$G$1413,'февраль 2024'!$D$6:$D$1413,$B200,'февраль 2024'!$J$6:$J$1413,H$1)</f>
        <v>0</v>
      </c>
      <c r="I200" s="80">
        <f>SUMIFS('февраль 2024'!$G$6:$G$1413,'февраль 2024'!$D$6:$D$1413,$B200,'февраль 2024'!$J$6:$J$1413,I$1)</f>
        <v>0</v>
      </c>
      <c r="J200" s="80">
        <f>SUMIFS('февраль 2024'!$G$6:$G$1413,'февраль 2024'!$D$6:$D$1413,$B200,'февраль 2024'!$J$6:$J$1413,J$1)</f>
        <v>0</v>
      </c>
      <c r="K200" s="80">
        <f>SUMIFS('февраль 2024'!$G$6:$G$1413,'февраль 2024'!$D$6:$D$1413,$B200,'февраль 2024'!$J$6:$J$1413,K$1)</f>
        <v>0</v>
      </c>
      <c r="L200" s="80">
        <f>SUMIFS('февраль 2024'!$G$6:$G$1413,'февраль 2024'!$D$6:$D$1413,$B200,'февраль 2024'!$J$6:$J$1413,L$1)</f>
        <v>0</v>
      </c>
      <c r="M200" s="80">
        <f>SUMIFS('февраль 2024'!$G$6:$G$1413,'февраль 2024'!$D$6:$D$1413,$B200,'февраль 2024'!$J$6:$J$1413,M$1)</f>
        <v>0</v>
      </c>
      <c r="N200" s="80">
        <f>SUMIFS('февраль 2024'!$G$6:$G$1413,'февраль 2024'!$D$6:$D$1413,$B200,'февраль 2024'!$J$6:$J$1413,N$1)</f>
        <v>0</v>
      </c>
      <c r="O200" s="80">
        <f>SUMIFS('февраль 2024'!$G$6:$G$1413,'февраль 2024'!$D$6:$D$1413,$B200,'февраль 2024'!$J$6:$J$1413,O$1)</f>
        <v>0</v>
      </c>
      <c r="P200" s="80">
        <f>SUMIFS('февраль 2024'!$G$6:$G$1413,'февраль 2024'!$D$6:$D$1413,$B200,'февраль 2024'!$J$6:$J$1413,P$1)</f>
        <v>0</v>
      </c>
      <c r="Q200" s="80">
        <f>SUMIFS('февраль 2024'!$G$6:$G$1413,'февраль 2024'!$D$6:$D$1413,$B200,'февраль 2024'!$J$6:$J$1413,Q$1)</f>
        <v>0</v>
      </c>
      <c r="R200" s="80">
        <f>SUMIFS('февраль 2024'!$G$6:$G$1413,'февраль 2024'!$D$6:$D$1413,$B200,'февраль 2024'!$J$6:$J$1413,R$1)</f>
        <v>0</v>
      </c>
      <c r="S200" s="80">
        <f>SUMIFS('февраль 2024'!$G$6:$G$1413,'февраль 2024'!$D$6:$D$1413,$B200,'февраль 2024'!$J$6:$J$1413,S$1)</f>
        <v>0</v>
      </c>
      <c r="T200" s="80">
        <f>SUMIFS('февраль 2024'!$G$6:$G$1413,'февраль 2024'!$D$6:$D$1413,$B200,'февраль 2024'!$J$6:$J$1413,T$1)</f>
        <v>0</v>
      </c>
      <c r="U200" s="80">
        <f>SUMIFS('февраль 2024'!$G$6:$G$1413,'февраль 2024'!$D$6:$D$1413,$B200,'февраль 2024'!$J$6:$J$1413,U$1)</f>
        <v>0</v>
      </c>
      <c r="V200" s="80">
        <f>SUMIFS('февраль 2024'!$G$6:$G$1413,'февраль 2024'!$D$6:$D$1413,$B200,'февраль 2024'!$J$6:$J$1413,V$1)</f>
        <v>0</v>
      </c>
      <c r="W200" s="80">
        <f>SUMIFS('февраль 2024'!$G$6:$G$1413,'февраль 2024'!$D$6:$D$1413,$B200,'февраль 2024'!$J$6:$J$1413,W$1)</f>
        <v>0</v>
      </c>
      <c r="X200" s="80">
        <f>SUMIFS('февраль 2024'!$G$6:$G$1413,'февраль 2024'!$D$6:$D$1413,$B200,'февраль 2024'!$J$6:$J$1413,X$1)</f>
        <v>0</v>
      </c>
      <c r="Y200" s="80">
        <f>SUMIFS('февраль 2024'!$G$6:$G$1413,'февраль 2024'!$D$6:$D$1413,$B200,'февраль 2024'!$J$6:$J$1413,Y$1)</f>
        <v>0</v>
      </c>
      <c r="Z200" s="80">
        <f>SUMIFS('февраль 2024'!$G$6:$G$1413,'февраль 2024'!$D$6:$D$1413,$B200,'февраль 2024'!$J$6:$J$1413,Z$1)</f>
        <v>0</v>
      </c>
      <c r="AA200" s="80">
        <f>SUMIFS('февраль 2024'!$G$6:$G$1413,'февраль 2024'!$D$6:$D$1413,$B200,'февраль 2024'!$J$6:$J$1413,AA$1)</f>
        <v>0</v>
      </c>
      <c r="AB200" s="80">
        <f>SUMIFS('февраль 2024'!$G$6:$G$1413,'февраль 2024'!$D$6:$D$1413,$B200,'февраль 2024'!$J$6:$J$1413,AB$1)</f>
        <v>0</v>
      </c>
      <c r="AC200" s="80">
        <f>SUMIFS('февраль 2024'!$G$6:$G$1413,'февраль 2024'!$D$6:$D$1413,$B200,'февраль 2024'!$J$6:$J$1413,AC$1)</f>
        <v>0</v>
      </c>
      <c r="AD200" s="80">
        <f>SUMIFS('февраль 2024'!$G$6:$G$1413,'февраль 2024'!$D$6:$D$1413,$B200,'февраль 2024'!$J$6:$J$1413,AD$1)</f>
        <v>0</v>
      </c>
      <c r="AE200" s="80">
        <f>SUMIFS('февраль 2024'!$G$6:$G$1413,'февраль 2024'!$D$6:$D$1413,$B200,'февраль 2024'!$J$6:$J$1413,AE$1)</f>
        <v>0</v>
      </c>
      <c r="AF200" s="80">
        <f>SUMIFS('февраль 2024'!$G$6:$G$1413,'февраль 2024'!$D$6:$D$1413,$B200,'февраль 2024'!$J$6:$J$1413,AF$1)</f>
        <v>0</v>
      </c>
      <c r="AG200" s="80">
        <f>SUMIFS('февраль 2024'!$G$6:$G$1413,'февраль 2024'!$D$6:$D$1413,$B200,'февраль 2024'!$J$6:$J$1413,AG$1)</f>
        <v>0</v>
      </c>
      <c r="AH200" s="80">
        <f>SUMIFS('февраль 2024'!$G$6:$G$1413,'февраль 2024'!$D$6:$D$1413,$B200,'февраль 2024'!$J$6:$J$1413,AH$1)</f>
        <v>0</v>
      </c>
      <c r="AI200" s="87"/>
    </row>
    <row r="201" spans="2:35" ht="15" hidden="1" customHeight="1" x14ac:dyDescent="0.25">
      <c r="B201" s="89"/>
      <c r="C201" s="88"/>
      <c r="D201" s="80">
        <f>SUMIFS('февраль 2024'!$G$6:$G$1413,'февраль 2024'!$D$6:$D$1413,$B201,'февраль 2024'!$J$6:$J$1413,D$1)</f>
        <v>0</v>
      </c>
      <c r="E201" s="80">
        <f>SUMIFS('февраль 2024'!$G$6:$G$1413,'февраль 2024'!$D$6:$D$1413,$B201,'февраль 2024'!$J$6:$J$1413,E$1)</f>
        <v>0</v>
      </c>
      <c r="F201" s="80">
        <f>SUMIFS('февраль 2024'!$G$6:$G$1413,'февраль 2024'!$D$6:$D$1413,$B201,'февраль 2024'!$J$6:$J$1413,F$1)</f>
        <v>0</v>
      </c>
      <c r="G201" s="80">
        <f>SUMIFS('февраль 2024'!$G$6:$G$1413,'февраль 2024'!$D$6:$D$1413,$B201,'февраль 2024'!$J$6:$J$1413,G$1)</f>
        <v>0</v>
      </c>
      <c r="H201" s="80">
        <f>SUMIFS('февраль 2024'!$G$6:$G$1413,'февраль 2024'!$D$6:$D$1413,$B201,'февраль 2024'!$J$6:$J$1413,H$1)</f>
        <v>0</v>
      </c>
      <c r="I201" s="80">
        <f>SUMIFS('февраль 2024'!$G$6:$G$1413,'февраль 2024'!$D$6:$D$1413,$B201,'февраль 2024'!$J$6:$J$1413,I$1)</f>
        <v>0</v>
      </c>
      <c r="J201" s="80">
        <f>SUMIFS('февраль 2024'!$G$6:$G$1413,'февраль 2024'!$D$6:$D$1413,$B201,'февраль 2024'!$J$6:$J$1413,J$1)</f>
        <v>0</v>
      </c>
      <c r="K201" s="80">
        <f>SUMIFS('февраль 2024'!$G$6:$G$1413,'февраль 2024'!$D$6:$D$1413,$B201,'февраль 2024'!$J$6:$J$1413,K$1)</f>
        <v>0</v>
      </c>
      <c r="L201" s="80">
        <f>SUMIFS('февраль 2024'!$G$6:$G$1413,'февраль 2024'!$D$6:$D$1413,$B201,'февраль 2024'!$J$6:$J$1413,L$1)</f>
        <v>0</v>
      </c>
      <c r="M201" s="80">
        <f>SUMIFS('февраль 2024'!$G$6:$G$1413,'февраль 2024'!$D$6:$D$1413,$B201,'февраль 2024'!$J$6:$J$1413,M$1)</f>
        <v>0</v>
      </c>
      <c r="N201" s="80">
        <f>SUMIFS('февраль 2024'!$G$6:$G$1413,'февраль 2024'!$D$6:$D$1413,$B201,'февраль 2024'!$J$6:$J$1413,N$1)</f>
        <v>0</v>
      </c>
      <c r="O201" s="80">
        <f>SUMIFS('февраль 2024'!$G$6:$G$1413,'февраль 2024'!$D$6:$D$1413,$B201,'февраль 2024'!$J$6:$J$1413,O$1)</f>
        <v>0</v>
      </c>
      <c r="P201" s="80">
        <f>SUMIFS('февраль 2024'!$G$6:$G$1413,'февраль 2024'!$D$6:$D$1413,$B201,'февраль 2024'!$J$6:$J$1413,P$1)</f>
        <v>0</v>
      </c>
      <c r="Q201" s="80">
        <f>SUMIFS('февраль 2024'!$G$6:$G$1413,'февраль 2024'!$D$6:$D$1413,$B201,'февраль 2024'!$J$6:$J$1413,Q$1)</f>
        <v>0</v>
      </c>
      <c r="R201" s="80">
        <f>SUMIFS('февраль 2024'!$G$6:$G$1413,'февраль 2024'!$D$6:$D$1413,$B201,'февраль 2024'!$J$6:$J$1413,R$1)</f>
        <v>0</v>
      </c>
      <c r="S201" s="80">
        <f>SUMIFS('февраль 2024'!$G$6:$G$1413,'февраль 2024'!$D$6:$D$1413,$B201,'февраль 2024'!$J$6:$J$1413,S$1)</f>
        <v>0</v>
      </c>
      <c r="T201" s="80">
        <f>SUMIFS('февраль 2024'!$G$6:$G$1413,'февраль 2024'!$D$6:$D$1413,$B201,'февраль 2024'!$J$6:$J$1413,T$1)</f>
        <v>0</v>
      </c>
      <c r="U201" s="80">
        <f>SUMIFS('февраль 2024'!$G$6:$G$1413,'февраль 2024'!$D$6:$D$1413,$B201,'февраль 2024'!$J$6:$J$1413,U$1)</f>
        <v>0</v>
      </c>
      <c r="V201" s="80">
        <f>SUMIFS('февраль 2024'!$G$6:$G$1413,'февраль 2024'!$D$6:$D$1413,$B201,'февраль 2024'!$J$6:$J$1413,V$1)</f>
        <v>0</v>
      </c>
      <c r="W201" s="80">
        <f>SUMIFS('февраль 2024'!$G$6:$G$1413,'февраль 2024'!$D$6:$D$1413,$B201,'февраль 2024'!$J$6:$J$1413,W$1)</f>
        <v>0</v>
      </c>
      <c r="X201" s="80">
        <f>SUMIFS('февраль 2024'!$G$6:$G$1413,'февраль 2024'!$D$6:$D$1413,$B201,'февраль 2024'!$J$6:$J$1413,X$1)</f>
        <v>0</v>
      </c>
      <c r="Y201" s="80">
        <f>SUMIFS('февраль 2024'!$G$6:$G$1413,'февраль 2024'!$D$6:$D$1413,$B201,'февраль 2024'!$J$6:$J$1413,Y$1)</f>
        <v>0</v>
      </c>
      <c r="Z201" s="80">
        <f>SUMIFS('февраль 2024'!$G$6:$G$1413,'февраль 2024'!$D$6:$D$1413,$B201,'февраль 2024'!$J$6:$J$1413,Z$1)</f>
        <v>0</v>
      </c>
      <c r="AA201" s="80">
        <f>SUMIFS('февраль 2024'!$G$6:$G$1413,'февраль 2024'!$D$6:$D$1413,$B201,'февраль 2024'!$J$6:$J$1413,AA$1)</f>
        <v>0</v>
      </c>
      <c r="AB201" s="80">
        <f>SUMIFS('февраль 2024'!$G$6:$G$1413,'февраль 2024'!$D$6:$D$1413,$B201,'февраль 2024'!$J$6:$J$1413,AB$1)</f>
        <v>0</v>
      </c>
      <c r="AC201" s="80">
        <f>SUMIFS('февраль 2024'!$G$6:$G$1413,'февраль 2024'!$D$6:$D$1413,$B201,'февраль 2024'!$J$6:$J$1413,AC$1)</f>
        <v>0</v>
      </c>
      <c r="AD201" s="80">
        <f>SUMIFS('февраль 2024'!$G$6:$G$1413,'февраль 2024'!$D$6:$D$1413,$B201,'февраль 2024'!$J$6:$J$1413,AD$1)</f>
        <v>0</v>
      </c>
      <c r="AE201" s="80">
        <f>SUMIFS('февраль 2024'!$G$6:$G$1413,'февраль 2024'!$D$6:$D$1413,$B201,'февраль 2024'!$J$6:$J$1413,AE$1)</f>
        <v>0</v>
      </c>
      <c r="AF201" s="80">
        <f>SUMIFS('февраль 2024'!$G$6:$G$1413,'февраль 2024'!$D$6:$D$1413,$B201,'февраль 2024'!$J$6:$J$1413,AF$1)</f>
        <v>0</v>
      </c>
      <c r="AG201" s="80">
        <f>SUMIFS('февраль 2024'!$G$6:$G$1413,'февраль 2024'!$D$6:$D$1413,$B201,'февраль 2024'!$J$6:$J$1413,AG$1)</f>
        <v>0</v>
      </c>
      <c r="AH201" s="80">
        <f>SUMIFS('февраль 2024'!$G$6:$G$1413,'февраль 2024'!$D$6:$D$1413,$B201,'февраль 2024'!$J$6:$J$1413,AH$1)</f>
        <v>0</v>
      </c>
      <c r="AI201" s="87"/>
    </row>
    <row r="202" spans="2:35" ht="15" hidden="1" customHeight="1" x14ac:dyDescent="0.25">
      <c r="B202" s="89"/>
      <c r="C202" s="88"/>
      <c r="D202" s="80">
        <f>SUMIFS('февраль 2024'!$G$6:$G$1413,'февраль 2024'!$D$6:$D$1413,$B202,'февраль 2024'!$J$6:$J$1413,D$1)</f>
        <v>0</v>
      </c>
      <c r="E202" s="80">
        <f>SUMIFS('февраль 2024'!$G$6:$G$1413,'февраль 2024'!$D$6:$D$1413,$B202,'февраль 2024'!$J$6:$J$1413,E$1)</f>
        <v>0</v>
      </c>
      <c r="F202" s="80">
        <f>SUMIFS('февраль 2024'!$G$6:$G$1413,'февраль 2024'!$D$6:$D$1413,$B202,'февраль 2024'!$J$6:$J$1413,F$1)</f>
        <v>0</v>
      </c>
      <c r="G202" s="80">
        <f>SUMIFS('февраль 2024'!$G$6:$G$1413,'февраль 2024'!$D$6:$D$1413,$B202,'февраль 2024'!$J$6:$J$1413,G$1)</f>
        <v>0</v>
      </c>
      <c r="H202" s="80">
        <f>SUMIFS('февраль 2024'!$G$6:$G$1413,'февраль 2024'!$D$6:$D$1413,$B202,'февраль 2024'!$J$6:$J$1413,H$1)</f>
        <v>0</v>
      </c>
      <c r="I202" s="80">
        <f>SUMIFS('февраль 2024'!$G$6:$G$1413,'февраль 2024'!$D$6:$D$1413,$B202,'февраль 2024'!$J$6:$J$1413,I$1)</f>
        <v>0</v>
      </c>
      <c r="J202" s="80">
        <f>SUMIFS('февраль 2024'!$G$6:$G$1413,'февраль 2024'!$D$6:$D$1413,$B202,'февраль 2024'!$J$6:$J$1413,J$1)</f>
        <v>0</v>
      </c>
      <c r="K202" s="80">
        <f>SUMIFS('февраль 2024'!$G$6:$G$1413,'февраль 2024'!$D$6:$D$1413,$B202,'февраль 2024'!$J$6:$J$1413,K$1)</f>
        <v>0</v>
      </c>
      <c r="L202" s="80">
        <f>SUMIFS('февраль 2024'!$G$6:$G$1413,'февраль 2024'!$D$6:$D$1413,$B202,'февраль 2024'!$J$6:$J$1413,L$1)</f>
        <v>0</v>
      </c>
      <c r="M202" s="80">
        <f>SUMIFS('февраль 2024'!$G$6:$G$1413,'февраль 2024'!$D$6:$D$1413,$B202,'февраль 2024'!$J$6:$J$1413,M$1)</f>
        <v>0</v>
      </c>
      <c r="N202" s="80">
        <f>SUMIFS('февраль 2024'!$G$6:$G$1413,'февраль 2024'!$D$6:$D$1413,$B202,'февраль 2024'!$J$6:$J$1413,N$1)</f>
        <v>0</v>
      </c>
      <c r="O202" s="80">
        <f>SUMIFS('февраль 2024'!$G$6:$G$1413,'февраль 2024'!$D$6:$D$1413,$B202,'февраль 2024'!$J$6:$J$1413,O$1)</f>
        <v>0</v>
      </c>
      <c r="P202" s="80">
        <f>SUMIFS('февраль 2024'!$G$6:$G$1413,'февраль 2024'!$D$6:$D$1413,$B202,'февраль 2024'!$J$6:$J$1413,P$1)</f>
        <v>0</v>
      </c>
      <c r="Q202" s="80">
        <f>SUMIFS('февраль 2024'!$G$6:$G$1413,'февраль 2024'!$D$6:$D$1413,$B202,'февраль 2024'!$J$6:$J$1413,Q$1)</f>
        <v>0</v>
      </c>
      <c r="R202" s="80">
        <f>SUMIFS('февраль 2024'!$G$6:$G$1413,'февраль 2024'!$D$6:$D$1413,$B202,'февраль 2024'!$J$6:$J$1413,R$1)</f>
        <v>0</v>
      </c>
      <c r="S202" s="80">
        <f>SUMIFS('февраль 2024'!$G$6:$G$1413,'февраль 2024'!$D$6:$D$1413,$B202,'февраль 2024'!$J$6:$J$1413,S$1)</f>
        <v>0</v>
      </c>
      <c r="T202" s="80">
        <f>SUMIFS('февраль 2024'!$G$6:$G$1413,'февраль 2024'!$D$6:$D$1413,$B202,'февраль 2024'!$J$6:$J$1413,T$1)</f>
        <v>0</v>
      </c>
      <c r="U202" s="80">
        <f>SUMIFS('февраль 2024'!$G$6:$G$1413,'февраль 2024'!$D$6:$D$1413,$B202,'февраль 2024'!$J$6:$J$1413,U$1)</f>
        <v>0</v>
      </c>
      <c r="V202" s="80">
        <f>SUMIFS('февраль 2024'!$G$6:$G$1413,'февраль 2024'!$D$6:$D$1413,$B202,'февраль 2024'!$J$6:$J$1413,V$1)</f>
        <v>0</v>
      </c>
      <c r="W202" s="80">
        <f>SUMIFS('февраль 2024'!$G$6:$G$1413,'февраль 2024'!$D$6:$D$1413,$B202,'февраль 2024'!$J$6:$J$1413,W$1)</f>
        <v>0</v>
      </c>
      <c r="X202" s="80">
        <f>SUMIFS('февраль 2024'!$G$6:$G$1413,'февраль 2024'!$D$6:$D$1413,$B202,'февраль 2024'!$J$6:$J$1413,X$1)</f>
        <v>0</v>
      </c>
      <c r="Y202" s="80">
        <f>SUMIFS('февраль 2024'!$G$6:$G$1413,'февраль 2024'!$D$6:$D$1413,$B202,'февраль 2024'!$J$6:$J$1413,Y$1)</f>
        <v>0</v>
      </c>
      <c r="Z202" s="80">
        <f>SUMIFS('февраль 2024'!$G$6:$G$1413,'февраль 2024'!$D$6:$D$1413,$B202,'февраль 2024'!$J$6:$J$1413,Z$1)</f>
        <v>0</v>
      </c>
      <c r="AA202" s="80">
        <f>SUMIFS('февраль 2024'!$G$6:$G$1413,'февраль 2024'!$D$6:$D$1413,$B202,'февраль 2024'!$J$6:$J$1413,AA$1)</f>
        <v>0</v>
      </c>
      <c r="AB202" s="80">
        <f>SUMIFS('февраль 2024'!$G$6:$G$1413,'февраль 2024'!$D$6:$D$1413,$B202,'февраль 2024'!$J$6:$J$1413,AB$1)</f>
        <v>0</v>
      </c>
      <c r="AC202" s="80">
        <f>SUMIFS('февраль 2024'!$G$6:$G$1413,'февраль 2024'!$D$6:$D$1413,$B202,'февраль 2024'!$J$6:$J$1413,AC$1)</f>
        <v>0</v>
      </c>
      <c r="AD202" s="80">
        <f>SUMIFS('февраль 2024'!$G$6:$G$1413,'февраль 2024'!$D$6:$D$1413,$B202,'февраль 2024'!$J$6:$J$1413,AD$1)</f>
        <v>0</v>
      </c>
      <c r="AE202" s="80">
        <f>SUMIFS('февраль 2024'!$G$6:$G$1413,'февраль 2024'!$D$6:$D$1413,$B202,'февраль 2024'!$J$6:$J$1413,AE$1)</f>
        <v>0</v>
      </c>
      <c r="AF202" s="80">
        <f>SUMIFS('февраль 2024'!$G$6:$G$1413,'февраль 2024'!$D$6:$D$1413,$B202,'февраль 2024'!$J$6:$J$1413,AF$1)</f>
        <v>0</v>
      </c>
      <c r="AG202" s="80">
        <f>SUMIFS('февраль 2024'!$G$6:$G$1413,'февраль 2024'!$D$6:$D$1413,$B202,'февраль 2024'!$J$6:$J$1413,AG$1)</f>
        <v>0</v>
      </c>
      <c r="AH202" s="80">
        <f>SUMIFS('февраль 2024'!$G$6:$G$1413,'февраль 2024'!$D$6:$D$1413,$B202,'февраль 2024'!$J$6:$J$1413,AH$1)</f>
        <v>0</v>
      </c>
      <c r="AI202" s="87"/>
    </row>
    <row r="203" spans="2:35" ht="15" hidden="1" customHeight="1" x14ac:dyDescent="0.25">
      <c r="B203" s="89"/>
      <c r="C203" s="88"/>
      <c r="D203" s="80">
        <f>SUMIFS('февраль 2024'!$G$6:$G$1413,'февраль 2024'!$D$6:$D$1413,$B203,'февраль 2024'!$J$6:$J$1413,D$1)</f>
        <v>0</v>
      </c>
      <c r="E203" s="80">
        <f>SUMIFS('февраль 2024'!$G$6:$G$1413,'февраль 2024'!$D$6:$D$1413,$B203,'февраль 2024'!$J$6:$J$1413,E$1)</f>
        <v>0</v>
      </c>
      <c r="F203" s="80">
        <f>SUMIFS('февраль 2024'!$G$6:$G$1413,'февраль 2024'!$D$6:$D$1413,$B203,'февраль 2024'!$J$6:$J$1413,F$1)</f>
        <v>0</v>
      </c>
      <c r="G203" s="80">
        <f>SUMIFS('февраль 2024'!$G$6:$G$1413,'февраль 2024'!$D$6:$D$1413,$B203,'февраль 2024'!$J$6:$J$1413,G$1)</f>
        <v>0</v>
      </c>
      <c r="H203" s="80">
        <f>SUMIFS('февраль 2024'!$G$6:$G$1413,'февраль 2024'!$D$6:$D$1413,$B203,'февраль 2024'!$J$6:$J$1413,H$1)</f>
        <v>0</v>
      </c>
      <c r="I203" s="80">
        <f>SUMIFS('февраль 2024'!$G$6:$G$1413,'февраль 2024'!$D$6:$D$1413,$B203,'февраль 2024'!$J$6:$J$1413,I$1)</f>
        <v>0</v>
      </c>
      <c r="J203" s="80">
        <f>SUMIFS('февраль 2024'!$G$6:$G$1413,'февраль 2024'!$D$6:$D$1413,$B203,'февраль 2024'!$J$6:$J$1413,J$1)</f>
        <v>0</v>
      </c>
      <c r="K203" s="80">
        <f>SUMIFS('февраль 2024'!$G$6:$G$1413,'февраль 2024'!$D$6:$D$1413,$B203,'февраль 2024'!$J$6:$J$1413,K$1)</f>
        <v>0</v>
      </c>
      <c r="L203" s="80">
        <f>SUMIFS('февраль 2024'!$G$6:$G$1413,'февраль 2024'!$D$6:$D$1413,$B203,'февраль 2024'!$J$6:$J$1413,L$1)</f>
        <v>0</v>
      </c>
      <c r="M203" s="80">
        <f>SUMIFS('февраль 2024'!$G$6:$G$1413,'февраль 2024'!$D$6:$D$1413,$B203,'февраль 2024'!$J$6:$J$1413,M$1)</f>
        <v>0</v>
      </c>
      <c r="N203" s="80">
        <f>SUMIFS('февраль 2024'!$G$6:$G$1413,'февраль 2024'!$D$6:$D$1413,$B203,'февраль 2024'!$J$6:$J$1413,N$1)</f>
        <v>0</v>
      </c>
      <c r="O203" s="80">
        <f>SUMIFS('февраль 2024'!$G$6:$G$1413,'февраль 2024'!$D$6:$D$1413,$B203,'февраль 2024'!$J$6:$J$1413,O$1)</f>
        <v>0</v>
      </c>
      <c r="P203" s="80">
        <f>SUMIFS('февраль 2024'!$G$6:$G$1413,'февраль 2024'!$D$6:$D$1413,$B203,'февраль 2024'!$J$6:$J$1413,P$1)</f>
        <v>0</v>
      </c>
      <c r="Q203" s="80">
        <f>SUMIFS('февраль 2024'!$G$6:$G$1413,'февраль 2024'!$D$6:$D$1413,$B203,'февраль 2024'!$J$6:$J$1413,Q$1)</f>
        <v>0</v>
      </c>
      <c r="R203" s="80">
        <f>SUMIFS('февраль 2024'!$G$6:$G$1413,'февраль 2024'!$D$6:$D$1413,$B203,'февраль 2024'!$J$6:$J$1413,R$1)</f>
        <v>0</v>
      </c>
      <c r="S203" s="80">
        <f>SUMIFS('февраль 2024'!$G$6:$G$1413,'февраль 2024'!$D$6:$D$1413,$B203,'февраль 2024'!$J$6:$J$1413,S$1)</f>
        <v>0</v>
      </c>
      <c r="T203" s="80">
        <f>SUMIFS('февраль 2024'!$G$6:$G$1413,'февраль 2024'!$D$6:$D$1413,$B203,'февраль 2024'!$J$6:$J$1413,T$1)</f>
        <v>0</v>
      </c>
      <c r="U203" s="80">
        <f>SUMIFS('февраль 2024'!$G$6:$G$1413,'февраль 2024'!$D$6:$D$1413,$B203,'февраль 2024'!$J$6:$J$1413,U$1)</f>
        <v>0</v>
      </c>
      <c r="V203" s="80">
        <f>SUMIFS('февраль 2024'!$G$6:$G$1413,'февраль 2024'!$D$6:$D$1413,$B203,'февраль 2024'!$J$6:$J$1413,V$1)</f>
        <v>0</v>
      </c>
      <c r="W203" s="80">
        <f>SUMIFS('февраль 2024'!$G$6:$G$1413,'февраль 2024'!$D$6:$D$1413,$B203,'февраль 2024'!$J$6:$J$1413,W$1)</f>
        <v>0</v>
      </c>
      <c r="X203" s="80">
        <f>SUMIFS('февраль 2024'!$G$6:$G$1413,'февраль 2024'!$D$6:$D$1413,$B203,'февраль 2024'!$J$6:$J$1413,X$1)</f>
        <v>0</v>
      </c>
      <c r="Y203" s="80">
        <f>SUMIFS('февраль 2024'!$G$6:$G$1413,'февраль 2024'!$D$6:$D$1413,$B203,'февраль 2024'!$J$6:$J$1413,Y$1)</f>
        <v>0</v>
      </c>
      <c r="Z203" s="80">
        <f>SUMIFS('февраль 2024'!$G$6:$G$1413,'февраль 2024'!$D$6:$D$1413,$B203,'февраль 2024'!$J$6:$J$1413,Z$1)</f>
        <v>0</v>
      </c>
      <c r="AA203" s="80">
        <f>SUMIFS('февраль 2024'!$G$6:$G$1413,'февраль 2024'!$D$6:$D$1413,$B203,'февраль 2024'!$J$6:$J$1413,AA$1)</f>
        <v>0</v>
      </c>
      <c r="AB203" s="80">
        <f>SUMIFS('февраль 2024'!$G$6:$G$1413,'февраль 2024'!$D$6:$D$1413,$B203,'февраль 2024'!$J$6:$J$1413,AB$1)</f>
        <v>0</v>
      </c>
      <c r="AC203" s="80">
        <f>SUMIFS('февраль 2024'!$G$6:$G$1413,'февраль 2024'!$D$6:$D$1413,$B203,'февраль 2024'!$J$6:$J$1413,AC$1)</f>
        <v>0</v>
      </c>
      <c r="AD203" s="80">
        <f>SUMIFS('февраль 2024'!$G$6:$G$1413,'февраль 2024'!$D$6:$D$1413,$B203,'февраль 2024'!$J$6:$J$1413,AD$1)</f>
        <v>0</v>
      </c>
      <c r="AE203" s="80">
        <f>SUMIFS('февраль 2024'!$G$6:$G$1413,'февраль 2024'!$D$6:$D$1413,$B203,'февраль 2024'!$J$6:$J$1413,AE$1)</f>
        <v>0</v>
      </c>
      <c r="AF203" s="80">
        <f>SUMIFS('февраль 2024'!$G$6:$G$1413,'февраль 2024'!$D$6:$D$1413,$B203,'февраль 2024'!$J$6:$J$1413,AF$1)</f>
        <v>0</v>
      </c>
      <c r="AG203" s="80">
        <f>SUMIFS('февраль 2024'!$G$6:$G$1413,'февраль 2024'!$D$6:$D$1413,$B203,'февраль 2024'!$J$6:$J$1413,AG$1)</f>
        <v>0</v>
      </c>
      <c r="AH203" s="80">
        <f>SUMIFS('февраль 2024'!$G$6:$G$1413,'февраль 2024'!$D$6:$D$1413,$B203,'февраль 2024'!$J$6:$J$1413,AH$1)</f>
        <v>0</v>
      </c>
      <c r="AI203" s="87"/>
    </row>
    <row r="204" spans="2:35" ht="15" hidden="1" customHeight="1" x14ac:dyDescent="0.25">
      <c r="B204" s="89"/>
      <c r="C204" s="88"/>
      <c r="D204" s="80">
        <f>SUMIFS('февраль 2024'!$G$6:$G$1413,'февраль 2024'!$D$6:$D$1413,$B204,'февраль 2024'!$J$6:$J$1413,D$1)</f>
        <v>0</v>
      </c>
      <c r="E204" s="80">
        <f>SUMIFS('февраль 2024'!$G$6:$G$1413,'февраль 2024'!$D$6:$D$1413,$B204,'февраль 2024'!$J$6:$J$1413,E$1)</f>
        <v>0</v>
      </c>
      <c r="F204" s="80">
        <f>SUMIFS('февраль 2024'!$G$6:$G$1413,'февраль 2024'!$D$6:$D$1413,$B204,'февраль 2024'!$J$6:$J$1413,F$1)</f>
        <v>0</v>
      </c>
      <c r="G204" s="80">
        <f>SUMIFS('февраль 2024'!$G$6:$G$1413,'февраль 2024'!$D$6:$D$1413,$B204,'февраль 2024'!$J$6:$J$1413,G$1)</f>
        <v>0</v>
      </c>
      <c r="H204" s="80">
        <f>SUMIFS('февраль 2024'!$G$6:$G$1413,'февраль 2024'!$D$6:$D$1413,$B204,'февраль 2024'!$J$6:$J$1413,H$1)</f>
        <v>0</v>
      </c>
      <c r="I204" s="80">
        <f>SUMIFS('февраль 2024'!$G$6:$G$1413,'февраль 2024'!$D$6:$D$1413,$B204,'февраль 2024'!$J$6:$J$1413,I$1)</f>
        <v>0</v>
      </c>
      <c r="J204" s="80">
        <f>SUMIFS('февраль 2024'!$G$6:$G$1413,'февраль 2024'!$D$6:$D$1413,$B204,'февраль 2024'!$J$6:$J$1413,J$1)</f>
        <v>0</v>
      </c>
      <c r="K204" s="80">
        <f>SUMIFS('февраль 2024'!$G$6:$G$1413,'февраль 2024'!$D$6:$D$1413,$B204,'февраль 2024'!$J$6:$J$1413,K$1)</f>
        <v>0</v>
      </c>
      <c r="L204" s="80">
        <f>SUMIFS('февраль 2024'!$G$6:$G$1413,'февраль 2024'!$D$6:$D$1413,$B204,'февраль 2024'!$J$6:$J$1413,L$1)</f>
        <v>0</v>
      </c>
      <c r="M204" s="80">
        <f>SUMIFS('февраль 2024'!$G$6:$G$1413,'февраль 2024'!$D$6:$D$1413,$B204,'февраль 2024'!$J$6:$J$1413,M$1)</f>
        <v>0</v>
      </c>
      <c r="N204" s="80">
        <f>SUMIFS('февраль 2024'!$G$6:$G$1413,'февраль 2024'!$D$6:$D$1413,$B204,'февраль 2024'!$J$6:$J$1413,N$1)</f>
        <v>0</v>
      </c>
      <c r="O204" s="80">
        <f>SUMIFS('февраль 2024'!$G$6:$G$1413,'февраль 2024'!$D$6:$D$1413,$B204,'февраль 2024'!$J$6:$J$1413,O$1)</f>
        <v>0</v>
      </c>
      <c r="P204" s="80">
        <f>SUMIFS('февраль 2024'!$G$6:$G$1413,'февраль 2024'!$D$6:$D$1413,$B204,'февраль 2024'!$J$6:$J$1413,P$1)</f>
        <v>0</v>
      </c>
      <c r="Q204" s="80">
        <f>SUMIFS('февраль 2024'!$G$6:$G$1413,'февраль 2024'!$D$6:$D$1413,$B204,'февраль 2024'!$J$6:$J$1413,Q$1)</f>
        <v>0</v>
      </c>
      <c r="R204" s="80">
        <f>SUMIFS('февраль 2024'!$G$6:$G$1413,'февраль 2024'!$D$6:$D$1413,$B204,'февраль 2024'!$J$6:$J$1413,R$1)</f>
        <v>0</v>
      </c>
      <c r="S204" s="80">
        <f>SUMIFS('февраль 2024'!$G$6:$G$1413,'февраль 2024'!$D$6:$D$1413,$B204,'февраль 2024'!$J$6:$J$1413,S$1)</f>
        <v>0</v>
      </c>
      <c r="T204" s="80">
        <f>SUMIFS('февраль 2024'!$G$6:$G$1413,'февраль 2024'!$D$6:$D$1413,$B204,'февраль 2024'!$J$6:$J$1413,T$1)</f>
        <v>0</v>
      </c>
      <c r="U204" s="80">
        <f>SUMIFS('февраль 2024'!$G$6:$G$1413,'февраль 2024'!$D$6:$D$1413,$B204,'февраль 2024'!$J$6:$J$1413,U$1)</f>
        <v>0</v>
      </c>
      <c r="V204" s="80">
        <f>SUMIFS('февраль 2024'!$G$6:$G$1413,'февраль 2024'!$D$6:$D$1413,$B204,'февраль 2024'!$J$6:$J$1413,V$1)</f>
        <v>0</v>
      </c>
      <c r="W204" s="80">
        <f>SUMIFS('февраль 2024'!$G$6:$G$1413,'февраль 2024'!$D$6:$D$1413,$B204,'февраль 2024'!$J$6:$J$1413,W$1)</f>
        <v>0</v>
      </c>
      <c r="X204" s="80">
        <f>SUMIFS('февраль 2024'!$G$6:$G$1413,'февраль 2024'!$D$6:$D$1413,$B204,'февраль 2024'!$J$6:$J$1413,X$1)</f>
        <v>0</v>
      </c>
      <c r="Y204" s="80">
        <f>SUMIFS('февраль 2024'!$G$6:$G$1413,'февраль 2024'!$D$6:$D$1413,$B204,'февраль 2024'!$J$6:$J$1413,Y$1)</f>
        <v>0</v>
      </c>
      <c r="Z204" s="80">
        <f>SUMIFS('февраль 2024'!$G$6:$G$1413,'февраль 2024'!$D$6:$D$1413,$B204,'февраль 2024'!$J$6:$J$1413,Z$1)</f>
        <v>0</v>
      </c>
      <c r="AA204" s="80">
        <f>SUMIFS('февраль 2024'!$G$6:$G$1413,'февраль 2024'!$D$6:$D$1413,$B204,'февраль 2024'!$J$6:$J$1413,AA$1)</f>
        <v>0</v>
      </c>
      <c r="AB204" s="80">
        <f>SUMIFS('февраль 2024'!$G$6:$G$1413,'февраль 2024'!$D$6:$D$1413,$B204,'февраль 2024'!$J$6:$J$1413,AB$1)</f>
        <v>0</v>
      </c>
      <c r="AC204" s="80">
        <f>SUMIFS('февраль 2024'!$G$6:$G$1413,'февраль 2024'!$D$6:$D$1413,$B204,'февраль 2024'!$J$6:$J$1413,AC$1)</f>
        <v>0</v>
      </c>
      <c r="AD204" s="80">
        <f>SUMIFS('февраль 2024'!$G$6:$G$1413,'февраль 2024'!$D$6:$D$1413,$B204,'февраль 2024'!$J$6:$J$1413,AD$1)</f>
        <v>0</v>
      </c>
      <c r="AE204" s="80">
        <f>SUMIFS('февраль 2024'!$G$6:$G$1413,'февраль 2024'!$D$6:$D$1413,$B204,'февраль 2024'!$J$6:$J$1413,AE$1)</f>
        <v>0</v>
      </c>
      <c r="AF204" s="80">
        <f>SUMIFS('февраль 2024'!$G$6:$G$1413,'февраль 2024'!$D$6:$D$1413,$B204,'февраль 2024'!$J$6:$J$1413,AF$1)</f>
        <v>0</v>
      </c>
      <c r="AG204" s="80">
        <f>SUMIFS('февраль 2024'!$G$6:$G$1413,'февраль 2024'!$D$6:$D$1413,$B204,'февраль 2024'!$J$6:$J$1413,AG$1)</f>
        <v>0</v>
      </c>
      <c r="AH204" s="80">
        <f>SUMIFS('февраль 2024'!$G$6:$G$1413,'февраль 2024'!$D$6:$D$1413,$B204,'февраль 2024'!$J$6:$J$1413,AH$1)</f>
        <v>0</v>
      </c>
      <c r="AI204" s="87"/>
    </row>
    <row r="205" spans="2:35" ht="15" hidden="1" customHeight="1" x14ac:dyDescent="0.25">
      <c r="B205" s="89"/>
      <c r="C205" s="88"/>
      <c r="D205" s="80">
        <f>SUMIFS('февраль 2024'!$G$6:$G$1413,'февраль 2024'!$D$6:$D$1413,$B205,'февраль 2024'!$J$6:$J$1413,D$1)</f>
        <v>0</v>
      </c>
      <c r="E205" s="80">
        <f>SUMIFS('февраль 2024'!$G$6:$G$1413,'февраль 2024'!$D$6:$D$1413,$B205,'февраль 2024'!$J$6:$J$1413,E$1)</f>
        <v>0</v>
      </c>
      <c r="F205" s="80">
        <f>SUMIFS('февраль 2024'!$G$6:$G$1413,'февраль 2024'!$D$6:$D$1413,$B205,'февраль 2024'!$J$6:$J$1413,F$1)</f>
        <v>0</v>
      </c>
      <c r="G205" s="80">
        <f>SUMIFS('февраль 2024'!$G$6:$G$1413,'февраль 2024'!$D$6:$D$1413,$B205,'февраль 2024'!$J$6:$J$1413,G$1)</f>
        <v>0</v>
      </c>
      <c r="H205" s="80">
        <f>SUMIFS('февраль 2024'!$G$6:$G$1413,'февраль 2024'!$D$6:$D$1413,$B205,'февраль 2024'!$J$6:$J$1413,H$1)</f>
        <v>0</v>
      </c>
      <c r="I205" s="80">
        <f>SUMIFS('февраль 2024'!$G$6:$G$1413,'февраль 2024'!$D$6:$D$1413,$B205,'февраль 2024'!$J$6:$J$1413,I$1)</f>
        <v>0</v>
      </c>
      <c r="J205" s="80">
        <f>SUMIFS('февраль 2024'!$G$6:$G$1413,'февраль 2024'!$D$6:$D$1413,$B205,'февраль 2024'!$J$6:$J$1413,J$1)</f>
        <v>0</v>
      </c>
      <c r="K205" s="80">
        <f>SUMIFS('февраль 2024'!$G$6:$G$1413,'февраль 2024'!$D$6:$D$1413,$B205,'февраль 2024'!$J$6:$J$1413,K$1)</f>
        <v>0</v>
      </c>
      <c r="L205" s="80">
        <f>SUMIFS('февраль 2024'!$G$6:$G$1413,'февраль 2024'!$D$6:$D$1413,$B205,'февраль 2024'!$J$6:$J$1413,L$1)</f>
        <v>0</v>
      </c>
      <c r="M205" s="80">
        <f>SUMIFS('февраль 2024'!$G$6:$G$1413,'февраль 2024'!$D$6:$D$1413,$B205,'февраль 2024'!$J$6:$J$1413,M$1)</f>
        <v>0</v>
      </c>
      <c r="N205" s="80">
        <f>SUMIFS('февраль 2024'!$G$6:$G$1413,'февраль 2024'!$D$6:$D$1413,$B205,'февраль 2024'!$J$6:$J$1413,N$1)</f>
        <v>0</v>
      </c>
      <c r="O205" s="80">
        <f>SUMIFS('февраль 2024'!$G$6:$G$1413,'февраль 2024'!$D$6:$D$1413,$B205,'февраль 2024'!$J$6:$J$1413,O$1)</f>
        <v>0</v>
      </c>
      <c r="P205" s="80">
        <f>SUMIFS('февраль 2024'!$G$6:$G$1413,'февраль 2024'!$D$6:$D$1413,$B205,'февраль 2024'!$J$6:$J$1413,P$1)</f>
        <v>0</v>
      </c>
      <c r="Q205" s="80">
        <f>SUMIFS('февраль 2024'!$G$6:$G$1413,'февраль 2024'!$D$6:$D$1413,$B205,'февраль 2024'!$J$6:$J$1413,Q$1)</f>
        <v>0</v>
      </c>
      <c r="R205" s="80">
        <f>SUMIFS('февраль 2024'!$G$6:$G$1413,'февраль 2024'!$D$6:$D$1413,$B205,'февраль 2024'!$J$6:$J$1413,R$1)</f>
        <v>0</v>
      </c>
      <c r="S205" s="80">
        <f>SUMIFS('февраль 2024'!$G$6:$G$1413,'февраль 2024'!$D$6:$D$1413,$B205,'февраль 2024'!$J$6:$J$1413,S$1)</f>
        <v>0</v>
      </c>
      <c r="T205" s="80">
        <f>SUMIFS('февраль 2024'!$G$6:$G$1413,'февраль 2024'!$D$6:$D$1413,$B205,'февраль 2024'!$J$6:$J$1413,T$1)</f>
        <v>0</v>
      </c>
      <c r="U205" s="80">
        <f>SUMIFS('февраль 2024'!$G$6:$G$1413,'февраль 2024'!$D$6:$D$1413,$B205,'февраль 2024'!$J$6:$J$1413,U$1)</f>
        <v>0</v>
      </c>
      <c r="V205" s="80">
        <f>SUMIFS('февраль 2024'!$G$6:$G$1413,'февраль 2024'!$D$6:$D$1413,$B205,'февраль 2024'!$J$6:$J$1413,V$1)</f>
        <v>0</v>
      </c>
      <c r="W205" s="80">
        <f>SUMIFS('февраль 2024'!$G$6:$G$1413,'февраль 2024'!$D$6:$D$1413,$B205,'февраль 2024'!$J$6:$J$1413,W$1)</f>
        <v>0</v>
      </c>
      <c r="X205" s="80">
        <f>SUMIFS('февраль 2024'!$G$6:$G$1413,'февраль 2024'!$D$6:$D$1413,$B205,'февраль 2024'!$J$6:$J$1413,X$1)</f>
        <v>0</v>
      </c>
      <c r="Y205" s="80">
        <f>SUMIFS('февраль 2024'!$G$6:$G$1413,'февраль 2024'!$D$6:$D$1413,$B205,'февраль 2024'!$J$6:$J$1413,Y$1)</f>
        <v>0</v>
      </c>
      <c r="Z205" s="80">
        <f>SUMIFS('февраль 2024'!$G$6:$G$1413,'февраль 2024'!$D$6:$D$1413,$B205,'февраль 2024'!$J$6:$J$1413,Z$1)</f>
        <v>0</v>
      </c>
      <c r="AA205" s="80">
        <f>SUMIFS('февраль 2024'!$G$6:$G$1413,'февраль 2024'!$D$6:$D$1413,$B205,'февраль 2024'!$J$6:$J$1413,AA$1)</f>
        <v>0</v>
      </c>
      <c r="AB205" s="80">
        <f>SUMIFS('февраль 2024'!$G$6:$G$1413,'февраль 2024'!$D$6:$D$1413,$B205,'февраль 2024'!$J$6:$J$1413,AB$1)</f>
        <v>0</v>
      </c>
      <c r="AC205" s="80">
        <f>SUMIFS('февраль 2024'!$G$6:$G$1413,'февраль 2024'!$D$6:$D$1413,$B205,'февраль 2024'!$J$6:$J$1413,AC$1)</f>
        <v>0</v>
      </c>
      <c r="AD205" s="80">
        <f>SUMIFS('февраль 2024'!$G$6:$G$1413,'февраль 2024'!$D$6:$D$1413,$B205,'февраль 2024'!$J$6:$J$1413,AD$1)</f>
        <v>0</v>
      </c>
      <c r="AE205" s="80">
        <f>SUMIFS('февраль 2024'!$G$6:$G$1413,'февраль 2024'!$D$6:$D$1413,$B205,'февраль 2024'!$J$6:$J$1413,AE$1)</f>
        <v>0</v>
      </c>
      <c r="AF205" s="80">
        <f>SUMIFS('февраль 2024'!$G$6:$G$1413,'февраль 2024'!$D$6:$D$1413,$B205,'февраль 2024'!$J$6:$J$1413,AF$1)</f>
        <v>0</v>
      </c>
      <c r="AG205" s="80">
        <f>SUMIFS('февраль 2024'!$G$6:$G$1413,'февраль 2024'!$D$6:$D$1413,$B205,'февраль 2024'!$J$6:$J$1413,AG$1)</f>
        <v>0</v>
      </c>
      <c r="AH205" s="80">
        <f>SUMIFS('февраль 2024'!$G$6:$G$1413,'февраль 2024'!$D$6:$D$1413,$B205,'февраль 2024'!$J$6:$J$1413,AH$1)</f>
        <v>0</v>
      </c>
      <c r="AI205" s="87"/>
    </row>
    <row r="206" spans="2:35" ht="15" hidden="1" customHeight="1" x14ac:dyDescent="0.25">
      <c r="B206" s="89"/>
      <c r="C206" s="88"/>
      <c r="D206" s="80">
        <f>SUMIFS('февраль 2024'!$G$6:$G$1413,'февраль 2024'!$D$6:$D$1413,$B206,'февраль 2024'!$J$6:$J$1413,D$1)</f>
        <v>0</v>
      </c>
      <c r="E206" s="80">
        <f>SUMIFS('февраль 2024'!$G$6:$G$1413,'февраль 2024'!$D$6:$D$1413,$B206,'февраль 2024'!$J$6:$J$1413,E$1)</f>
        <v>0</v>
      </c>
      <c r="F206" s="80">
        <f>SUMIFS('февраль 2024'!$G$6:$G$1413,'февраль 2024'!$D$6:$D$1413,$B206,'февраль 2024'!$J$6:$J$1413,F$1)</f>
        <v>0</v>
      </c>
      <c r="G206" s="80">
        <f>SUMIFS('февраль 2024'!$G$6:$G$1413,'февраль 2024'!$D$6:$D$1413,$B206,'февраль 2024'!$J$6:$J$1413,G$1)</f>
        <v>0</v>
      </c>
      <c r="H206" s="80">
        <f>SUMIFS('февраль 2024'!$G$6:$G$1413,'февраль 2024'!$D$6:$D$1413,$B206,'февраль 2024'!$J$6:$J$1413,H$1)</f>
        <v>0</v>
      </c>
      <c r="I206" s="80">
        <f>SUMIFS('февраль 2024'!$G$6:$G$1413,'февраль 2024'!$D$6:$D$1413,$B206,'февраль 2024'!$J$6:$J$1413,I$1)</f>
        <v>0</v>
      </c>
      <c r="J206" s="80">
        <f>SUMIFS('февраль 2024'!$G$6:$G$1413,'февраль 2024'!$D$6:$D$1413,$B206,'февраль 2024'!$J$6:$J$1413,J$1)</f>
        <v>0</v>
      </c>
      <c r="K206" s="80">
        <f>SUMIFS('февраль 2024'!$G$6:$G$1413,'февраль 2024'!$D$6:$D$1413,$B206,'февраль 2024'!$J$6:$J$1413,K$1)</f>
        <v>0</v>
      </c>
      <c r="L206" s="80">
        <f>SUMIFS('февраль 2024'!$G$6:$G$1413,'февраль 2024'!$D$6:$D$1413,$B206,'февраль 2024'!$J$6:$J$1413,L$1)</f>
        <v>0</v>
      </c>
      <c r="M206" s="80">
        <f>SUMIFS('февраль 2024'!$G$6:$G$1413,'февраль 2024'!$D$6:$D$1413,$B206,'февраль 2024'!$J$6:$J$1413,M$1)</f>
        <v>0</v>
      </c>
      <c r="N206" s="80">
        <f>SUMIFS('февраль 2024'!$G$6:$G$1413,'февраль 2024'!$D$6:$D$1413,$B206,'февраль 2024'!$J$6:$J$1413,N$1)</f>
        <v>0</v>
      </c>
      <c r="O206" s="80">
        <f>SUMIFS('февраль 2024'!$G$6:$G$1413,'февраль 2024'!$D$6:$D$1413,$B206,'февраль 2024'!$J$6:$J$1413,O$1)</f>
        <v>0</v>
      </c>
      <c r="P206" s="80">
        <f>SUMIFS('февраль 2024'!$G$6:$G$1413,'февраль 2024'!$D$6:$D$1413,$B206,'февраль 2024'!$J$6:$J$1413,P$1)</f>
        <v>0</v>
      </c>
      <c r="Q206" s="80">
        <f>SUMIFS('февраль 2024'!$G$6:$G$1413,'февраль 2024'!$D$6:$D$1413,$B206,'февраль 2024'!$J$6:$J$1413,Q$1)</f>
        <v>0</v>
      </c>
      <c r="R206" s="80">
        <f>SUMIFS('февраль 2024'!$G$6:$G$1413,'февраль 2024'!$D$6:$D$1413,$B206,'февраль 2024'!$J$6:$J$1413,R$1)</f>
        <v>0</v>
      </c>
      <c r="S206" s="80">
        <f>SUMIFS('февраль 2024'!$G$6:$G$1413,'февраль 2024'!$D$6:$D$1413,$B206,'февраль 2024'!$J$6:$J$1413,S$1)</f>
        <v>0</v>
      </c>
      <c r="T206" s="80">
        <f>SUMIFS('февраль 2024'!$G$6:$G$1413,'февраль 2024'!$D$6:$D$1413,$B206,'февраль 2024'!$J$6:$J$1413,T$1)</f>
        <v>0</v>
      </c>
      <c r="U206" s="80">
        <f>SUMIFS('февраль 2024'!$G$6:$G$1413,'февраль 2024'!$D$6:$D$1413,$B206,'февраль 2024'!$J$6:$J$1413,U$1)</f>
        <v>0</v>
      </c>
      <c r="V206" s="80">
        <f>SUMIFS('февраль 2024'!$G$6:$G$1413,'февраль 2024'!$D$6:$D$1413,$B206,'февраль 2024'!$J$6:$J$1413,V$1)</f>
        <v>0</v>
      </c>
      <c r="W206" s="80">
        <f>SUMIFS('февраль 2024'!$G$6:$G$1413,'февраль 2024'!$D$6:$D$1413,$B206,'февраль 2024'!$J$6:$J$1413,W$1)</f>
        <v>0</v>
      </c>
      <c r="X206" s="80">
        <f>SUMIFS('февраль 2024'!$G$6:$G$1413,'февраль 2024'!$D$6:$D$1413,$B206,'февраль 2024'!$J$6:$J$1413,X$1)</f>
        <v>0</v>
      </c>
      <c r="Y206" s="80">
        <f>SUMIFS('февраль 2024'!$G$6:$G$1413,'февраль 2024'!$D$6:$D$1413,$B206,'февраль 2024'!$J$6:$J$1413,Y$1)</f>
        <v>0</v>
      </c>
      <c r="Z206" s="80">
        <f>SUMIFS('февраль 2024'!$G$6:$G$1413,'февраль 2024'!$D$6:$D$1413,$B206,'февраль 2024'!$J$6:$J$1413,Z$1)</f>
        <v>0</v>
      </c>
      <c r="AA206" s="80">
        <f>SUMIFS('февраль 2024'!$G$6:$G$1413,'февраль 2024'!$D$6:$D$1413,$B206,'февраль 2024'!$J$6:$J$1413,AA$1)</f>
        <v>0</v>
      </c>
      <c r="AB206" s="80">
        <f>SUMIFS('февраль 2024'!$G$6:$G$1413,'февраль 2024'!$D$6:$D$1413,$B206,'февраль 2024'!$J$6:$J$1413,AB$1)</f>
        <v>0</v>
      </c>
      <c r="AC206" s="80">
        <f>SUMIFS('февраль 2024'!$G$6:$G$1413,'февраль 2024'!$D$6:$D$1413,$B206,'февраль 2024'!$J$6:$J$1413,AC$1)</f>
        <v>0</v>
      </c>
      <c r="AD206" s="80">
        <f>SUMIFS('февраль 2024'!$G$6:$G$1413,'февраль 2024'!$D$6:$D$1413,$B206,'февраль 2024'!$J$6:$J$1413,AD$1)</f>
        <v>0</v>
      </c>
      <c r="AE206" s="80">
        <f>SUMIFS('февраль 2024'!$G$6:$G$1413,'февраль 2024'!$D$6:$D$1413,$B206,'февраль 2024'!$J$6:$J$1413,AE$1)</f>
        <v>0</v>
      </c>
      <c r="AF206" s="80">
        <f>SUMIFS('февраль 2024'!$G$6:$G$1413,'февраль 2024'!$D$6:$D$1413,$B206,'февраль 2024'!$J$6:$J$1413,AF$1)</f>
        <v>0</v>
      </c>
      <c r="AG206" s="80">
        <f>SUMIFS('февраль 2024'!$G$6:$G$1413,'февраль 2024'!$D$6:$D$1413,$B206,'февраль 2024'!$J$6:$J$1413,AG$1)</f>
        <v>0</v>
      </c>
      <c r="AH206" s="80">
        <f>SUMIFS('февраль 2024'!$G$6:$G$1413,'февраль 2024'!$D$6:$D$1413,$B206,'февраль 2024'!$J$6:$J$1413,AH$1)</f>
        <v>0</v>
      </c>
      <c r="AI206" s="87"/>
    </row>
    <row r="207" spans="2:35" ht="15" hidden="1" customHeight="1" x14ac:dyDescent="0.25">
      <c r="B207" s="89"/>
      <c r="C207" s="88"/>
      <c r="D207" s="80">
        <f>SUMIFS('февраль 2024'!$G$6:$G$1413,'февраль 2024'!$D$6:$D$1413,$B207,'февраль 2024'!$J$6:$J$1413,D$1)</f>
        <v>0</v>
      </c>
      <c r="E207" s="80">
        <f>SUMIFS('февраль 2024'!$G$6:$G$1413,'февраль 2024'!$D$6:$D$1413,$B207,'февраль 2024'!$J$6:$J$1413,E$1)</f>
        <v>0</v>
      </c>
      <c r="F207" s="80">
        <f>SUMIFS('февраль 2024'!$G$6:$G$1413,'февраль 2024'!$D$6:$D$1413,$B207,'февраль 2024'!$J$6:$J$1413,F$1)</f>
        <v>0</v>
      </c>
      <c r="G207" s="80">
        <f>SUMIFS('февраль 2024'!$G$6:$G$1413,'февраль 2024'!$D$6:$D$1413,$B207,'февраль 2024'!$J$6:$J$1413,G$1)</f>
        <v>0</v>
      </c>
      <c r="H207" s="80">
        <f>SUMIFS('февраль 2024'!$G$6:$G$1413,'февраль 2024'!$D$6:$D$1413,$B207,'февраль 2024'!$J$6:$J$1413,H$1)</f>
        <v>0</v>
      </c>
      <c r="I207" s="80">
        <f>SUMIFS('февраль 2024'!$G$6:$G$1413,'февраль 2024'!$D$6:$D$1413,$B207,'февраль 2024'!$J$6:$J$1413,I$1)</f>
        <v>0</v>
      </c>
      <c r="J207" s="80">
        <f>SUMIFS('февраль 2024'!$G$6:$G$1413,'февраль 2024'!$D$6:$D$1413,$B207,'февраль 2024'!$J$6:$J$1413,J$1)</f>
        <v>0</v>
      </c>
      <c r="K207" s="80">
        <f>SUMIFS('февраль 2024'!$G$6:$G$1413,'февраль 2024'!$D$6:$D$1413,$B207,'февраль 2024'!$J$6:$J$1413,K$1)</f>
        <v>0</v>
      </c>
      <c r="L207" s="80">
        <f>SUMIFS('февраль 2024'!$G$6:$G$1413,'февраль 2024'!$D$6:$D$1413,$B207,'февраль 2024'!$J$6:$J$1413,L$1)</f>
        <v>0</v>
      </c>
      <c r="M207" s="80">
        <f>SUMIFS('февраль 2024'!$G$6:$G$1413,'февраль 2024'!$D$6:$D$1413,$B207,'февраль 2024'!$J$6:$J$1413,M$1)</f>
        <v>0</v>
      </c>
      <c r="N207" s="80">
        <f>SUMIFS('февраль 2024'!$G$6:$G$1413,'февраль 2024'!$D$6:$D$1413,$B207,'февраль 2024'!$J$6:$J$1413,N$1)</f>
        <v>0</v>
      </c>
      <c r="O207" s="80">
        <f>SUMIFS('февраль 2024'!$G$6:$G$1413,'февраль 2024'!$D$6:$D$1413,$B207,'февраль 2024'!$J$6:$J$1413,O$1)</f>
        <v>0</v>
      </c>
      <c r="P207" s="80">
        <f>SUMIFS('февраль 2024'!$G$6:$G$1413,'февраль 2024'!$D$6:$D$1413,$B207,'февраль 2024'!$J$6:$J$1413,P$1)</f>
        <v>0</v>
      </c>
      <c r="Q207" s="80">
        <f>SUMIFS('февраль 2024'!$G$6:$G$1413,'февраль 2024'!$D$6:$D$1413,$B207,'февраль 2024'!$J$6:$J$1413,Q$1)</f>
        <v>0</v>
      </c>
      <c r="R207" s="80">
        <f>SUMIFS('февраль 2024'!$G$6:$G$1413,'февраль 2024'!$D$6:$D$1413,$B207,'февраль 2024'!$J$6:$J$1413,R$1)</f>
        <v>0</v>
      </c>
      <c r="S207" s="80">
        <f>SUMIFS('февраль 2024'!$G$6:$G$1413,'февраль 2024'!$D$6:$D$1413,$B207,'февраль 2024'!$J$6:$J$1413,S$1)</f>
        <v>0</v>
      </c>
      <c r="T207" s="80">
        <f>SUMIFS('февраль 2024'!$G$6:$G$1413,'февраль 2024'!$D$6:$D$1413,$B207,'февраль 2024'!$J$6:$J$1413,T$1)</f>
        <v>0</v>
      </c>
      <c r="U207" s="80">
        <f>SUMIFS('февраль 2024'!$G$6:$G$1413,'февраль 2024'!$D$6:$D$1413,$B207,'февраль 2024'!$J$6:$J$1413,U$1)</f>
        <v>0</v>
      </c>
      <c r="V207" s="80">
        <f>SUMIFS('февраль 2024'!$G$6:$G$1413,'февраль 2024'!$D$6:$D$1413,$B207,'февраль 2024'!$J$6:$J$1413,V$1)</f>
        <v>0</v>
      </c>
      <c r="W207" s="80">
        <f>SUMIFS('февраль 2024'!$G$6:$G$1413,'февраль 2024'!$D$6:$D$1413,$B207,'февраль 2024'!$J$6:$J$1413,W$1)</f>
        <v>0</v>
      </c>
      <c r="X207" s="80">
        <f>SUMIFS('февраль 2024'!$G$6:$G$1413,'февраль 2024'!$D$6:$D$1413,$B207,'февраль 2024'!$J$6:$J$1413,X$1)</f>
        <v>0</v>
      </c>
      <c r="Y207" s="80">
        <f>SUMIFS('февраль 2024'!$G$6:$G$1413,'февраль 2024'!$D$6:$D$1413,$B207,'февраль 2024'!$J$6:$J$1413,Y$1)</f>
        <v>0</v>
      </c>
      <c r="Z207" s="80">
        <f>SUMIFS('февраль 2024'!$G$6:$G$1413,'февраль 2024'!$D$6:$D$1413,$B207,'февраль 2024'!$J$6:$J$1413,Z$1)</f>
        <v>0</v>
      </c>
      <c r="AA207" s="80">
        <f>SUMIFS('февраль 2024'!$G$6:$G$1413,'февраль 2024'!$D$6:$D$1413,$B207,'февраль 2024'!$J$6:$J$1413,AA$1)</f>
        <v>0</v>
      </c>
      <c r="AB207" s="80">
        <f>SUMIFS('февраль 2024'!$G$6:$G$1413,'февраль 2024'!$D$6:$D$1413,$B207,'февраль 2024'!$J$6:$J$1413,AB$1)</f>
        <v>0</v>
      </c>
      <c r="AC207" s="80">
        <f>SUMIFS('февраль 2024'!$G$6:$G$1413,'февраль 2024'!$D$6:$D$1413,$B207,'февраль 2024'!$J$6:$J$1413,AC$1)</f>
        <v>0</v>
      </c>
      <c r="AD207" s="80">
        <f>SUMIFS('февраль 2024'!$G$6:$G$1413,'февраль 2024'!$D$6:$D$1413,$B207,'февраль 2024'!$J$6:$J$1413,AD$1)</f>
        <v>0</v>
      </c>
      <c r="AE207" s="80">
        <f>SUMIFS('февраль 2024'!$G$6:$G$1413,'февраль 2024'!$D$6:$D$1413,$B207,'февраль 2024'!$J$6:$J$1413,AE$1)</f>
        <v>0</v>
      </c>
      <c r="AF207" s="80">
        <f>SUMIFS('февраль 2024'!$G$6:$G$1413,'февраль 2024'!$D$6:$D$1413,$B207,'февраль 2024'!$J$6:$J$1413,AF$1)</f>
        <v>0</v>
      </c>
      <c r="AG207" s="80">
        <f>SUMIFS('февраль 2024'!$G$6:$G$1413,'февраль 2024'!$D$6:$D$1413,$B207,'февраль 2024'!$J$6:$J$1413,AG$1)</f>
        <v>0</v>
      </c>
      <c r="AH207" s="80">
        <f>SUMIFS('февраль 2024'!$G$6:$G$1413,'февраль 2024'!$D$6:$D$1413,$B207,'февраль 2024'!$J$6:$J$1413,AH$1)</f>
        <v>0</v>
      </c>
      <c r="AI207" s="87"/>
    </row>
    <row r="208" spans="2:35" ht="15" hidden="1" customHeight="1" thickBot="1" x14ac:dyDescent="0.3">
      <c r="B208" s="89"/>
      <c r="C208" s="96"/>
      <c r="D208" s="80">
        <f>SUMIFS('февраль 2024'!$G$6:$G$1413,'февраль 2024'!$D$6:$D$1413,$B208,'февраль 2024'!$J$6:$J$1413,D$1)</f>
        <v>0</v>
      </c>
      <c r="E208" s="80">
        <f>SUMIFS('февраль 2024'!$G$6:$G$1413,'февраль 2024'!$D$6:$D$1413,$B208,'февраль 2024'!$J$6:$J$1413,E$1)</f>
        <v>0</v>
      </c>
      <c r="F208" s="80">
        <f>SUMIFS('февраль 2024'!$G$6:$G$1413,'февраль 2024'!$D$6:$D$1413,$B208,'февраль 2024'!$J$6:$J$1413,F$1)</f>
        <v>0</v>
      </c>
      <c r="G208" s="80">
        <f>SUMIFS('февраль 2024'!$G$6:$G$1413,'февраль 2024'!$D$6:$D$1413,$B208,'февраль 2024'!$J$6:$J$1413,G$1)</f>
        <v>0</v>
      </c>
      <c r="H208" s="80">
        <f>SUMIFS('февраль 2024'!$G$6:$G$1413,'февраль 2024'!$D$6:$D$1413,$B208,'февраль 2024'!$J$6:$J$1413,H$1)</f>
        <v>0</v>
      </c>
      <c r="I208" s="80">
        <f>SUMIFS('февраль 2024'!$G$6:$G$1413,'февраль 2024'!$D$6:$D$1413,$B208,'февраль 2024'!$J$6:$J$1413,I$1)</f>
        <v>0</v>
      </c>
      <c r="J208" s="80">
        <f>SUMIFS('февраль 2024'!$G$6:$G$1413,'февраль 2024'!$D$6:$D$1413,$B208,'февраль 2024'!$J$6:$J$1413,J$1)</f>
        <v>0</v>
      </c>
      <c r="K208" s="80">
        <f>SUMIFS('февраль 2024'!$G$6:$G$1413,'февраль 2024'!$D$6:$D$1413,$B208,'февраль 2024'!$J$6:$J$1413,K$1)</f>
        <v>0</v>
      </c>
      <c r="L208" s="80">
        <f>SUMIFS('февраль 2024'!$G$6:$G$1413,'февраль 2024'!$D$6:$D$1413,$B208,'февраль 2024'!$J$6:$J$1413,L$1)</f>
        <v>0</v>
      </c>
      <c r="M208" s="80">
        <f>SUMIFS('февраль 2024'!$G$6:$G$1413,'февраль 2024'!$D$6:$D$1413,$B208,'февраль 2024'!$J$6:$J$1413,M$1)</f>
        <v>0</v>
      </c>
      <c r="N208" s="80">
        <f>SUMIFS('февраль 2024'!$G$6:$G$1413,'февраль 2024'!$D$6:$D$1413,$B208,'февраль 2024'!$J$6:$J$1413,N$1)</f>
        <v>0</v>
      </c>
      <c r="O208" s="80">
        <f>SUMIFS('февраль 2024'!$G$6:$G$1413,'февраль 2024'!$D$6:$D$1413,$B208,'февраль 2024'!$J$6:$J$1413,O$1)</f>
        <v>0</v>
      </c>
      <c r="P208" s="80">
        <f>SUMIFS('февраль 2024'!$G$6:$G$1413,'февраль 2024'!$D$6:$D$1413,$B208,'февраль 2024'!$J$6:$J$1413,P$1)</f>
        <v>0</v>
      </c>
      <c r="Q208" s="80">
        <f>SUMIFS('февраль 2024'!$G$6:$G$1413,'февраль 2024'!$D$6:$D$1413,$B208,'февраль 2024'!$J$6:$J$1413,Q$1)</f>
        <v>0</v>
      </c>
      <c r="R208" s="80">
        <f>SUMIFS('февраль 2024'!$G$6:$G$1413,'февраль 2024'!$D$6:$D$1413,$B208,'февраль 2024'!$J$6:$J$1413,R$1)</f>
        <v>0</v>
      </c>
      <c r="S208" s="80">
        <f>SUMIFS('февраль 2024'!$G$6:$G$1413,'февраль 2024'!$D$6:$D$1413,$B208,'февраль 2024'!$J$6:$J$1413,S$1)</f>
        <v>0</v>
      </c>
      <c r="T208" s="80">
        <f>SUMIFS('февраль 2024'!$G$6:$G$1413,'февраль 2024'!$D$6:$D$1413,$B208,'февраль 2024'!$J$6:$J$1413,T$1)</f>
        <v>0</v>
      </c>
      <c r="U208" s="80">
        <f>SUMIFS('февраль 2024'!$G$6:$G$1413,'февраль 2024'!$D$6:$D$1413,$B208,'февраль 2024'!$J$6:$J$1413,U$1)</f>
        <v>0</v>
      </c>
      <c r="V208" s="80">
        <f>SUMIFS('февраль 2024'!$G$6:$G$1413,'февраль 2024'!$D$6:$D$1413,$B208,'февраль 2024'!$J$6:$J$1413,V$1)</f>
        <v>0</v>
      </c>
      <c r="W208" s="80">
        <f>SUMIFS('февраль 2024'!$G$6:$G$1413,'февраль 2024'!$D$6:$D$1413,$B208,'февраль 2024'!$J$6:$J$1413,W$1)</f>
        <v>0</v>
      </c>
      <c r="X208" s="80">
        <f>SUMIFS('февраль 2024'!$G$6:$G$1413,'февраль 2024'!$D$6:$D$1413,$B208,'февраль 2024'!$J$6:$J$1413,X$1)</f>
        <v>0</v>
      </c>
      <c r="Y208" s="80">
        <f>SUMIFS('февраль 2024'!$G$6:$G$1413,'февраль 2024'!$D$6:$D$1413,$B208,'февраль 2024'!$J$6:$J$1413,Y$1)</f>
        <v>0</v>
      </c>
      <c r="Z208" s="80">
        <f>SUMIFS('февраль 2024'!$G$6:$G$1413,'февраль 2024'!$D$6:$D$1413,$B208,'февраль 2024'!$J$6:$J$1413,Z$1)</f>
        <v>0</v>
      </c>
      <c r="AA208" s="80">
        <f>SUMIFS('февраль 2024'!$G$6:$G$1413,'февраль 2024'!$D$6:$D$1413,$B208,'февраль 2024'!$J$6:$J$1413,AA$1)</f>
        <v>0</v>
      </c>
      <c r="AB208" s="80">
        <f>SUMIFS('февраль 2024'!$G$6:$G$1413,'февраль 2024'!$D$6:$D$1413,$B208,'февраль 2024'!$J$6:$J$1413,AB$1)</f>
        <v>0</v>
      </c>
      <c r="AC208" s="80">
        <f>SUMIFS('февраль 2024'!$G$6:$G$1413,'февраль 2024'!$D$6:$D$1413,$B208,'февраль 2024'!$J$6:$J$1413,AC$1)</f>
        <v>0</v>
      </c>
      <c r="AD208" s="80">
        <f>SUMIFS('февраль 2024'!$G$6:$G$1413,'февраль 2024'!$D$6:$D$1413,$B208,'февраль 2024'!$J$6:$J$1413,AD$1)</f>
        <v>0</v>
      </c>
      <c r="AE208" s="80">
        <f>SUMIFS('февраль 2024'!$G$6:$G$1413,'февраль 2024'!$D$6:$D$1413,$B208,'февраль 2024'!$J$6:$J$1413,AE$1)</f>
        <v>0</v>
      </c>
      <c r="AF208" s="80">
        <f>SUMIFS('февраль 2024'!$G$6:$G$1413,'февраль 2024'!$D$6:$D$1413,$B208,'февраль 2024'!$J$6:$J$1413,AF$1)</f>
        <v>0</v>
      </c>
      <c r="AG208" s="80">
        <f>SUMIFS('февраль 2024'!$G$6:$G$1413,'февраль 2024'!$D$6:$D$1413,$B208,'февраль 2024'!$J$6:$J$1413,AG$1)</f>
        <v>0</v>
      </c>
      <c r="AH208" s="80">
        <f>SUMIFS('февраль 2024'!$G$6:$G$1413,'февраль 2024'!$D$6:$D$1413,$B208,'февраль 2024'!$J$6:$J$1413,AH$1)</f>
        <v>0</v>
      </c>
      <c r="AI208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700-000000000000}">
          <x14:formula1>
            <xm:f>справочник!$E$2:$E$155</xm:f>
          </x14:formula1>
          <xm:sqref>B3:B188</xm:sqref>
        </x14:dataValidation>
        <x14:dataValidation type="list" allowBlank="1" showInputMessage="1" showErrorMessage="1" xr:uid="{00000000-0002-0000-1700-000001000000}">
          <x14:formula1>
            <xm:f>справочник!$E$1:$E$2+справочник!$E$2:$E$37</xm:f>
          </x14:formula1>
          <xm:sqref>B189:B208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AI206"/>
  <sheetViews>
    <sheetView showZeros="0" zoomScale="70" zoomScaleNormal="70" workbookViewId="0">
      <selection activeCell="B66" sqref="B66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45352</v>
      </c>
      <c r="C1" s="72"/>
      <c r="D1" s="73">
        <f>B1</f>
        <v>45352</v>
      </c>
      <c r="E1" s="73">
        <f>D1+1</f>
        <v>45353</v>
      </c>
      <c r="F1" s="73">
        <f t="shared" ref="F1:AH1" si="0">E1+1</f>
        <v>45354</v>
      </c>
      <c r="G1" s="73">
        <f t="shared" si="0"/>
        <v>45355</v>
      </c>
      <c r="H1" s="73">
        <f t="shared" si="0"/>
        <v>45356</v>
      </c>
      <c r="I1" s="73">
        <f t="shared" si="0"/>
        <v>45357</v>
      </c>
      <c r="J1" s="73">
        <f t="shared" si="0"/>
        <v>45358</v>
      </c>
      <c r="K1" s="73">
        <f t="shared" si="0"/>
        <v>45359</v>
      </c>
      <c r="L1" s="73">
        <f t="shared" si="0"/>
        <v>45360</v>
      </c>
      <c r="M1" s="73">
        <f t="shared" si="0"/>
        <v>45361</v>
      </c>
      <c r="N1" s="73">
        <f t="shared" si="0"/>
        <v>45362</v>
      </c>
      <c r="O1" s="73">
        <f t="shared" si="0"/>
        <v>45363</v>
      </c>
      <c r="P1" s="73">
        <f t="shared" si="0"/>
        <v>45364</v>
      </c>
      <c r="Q1" s="73">
        <f t="shared" si="0"/>
        <v>45365</v>
      </c>
      <c r="R1" s="73">
        <f t="shared" si="0"/>
        <v>45366</v>
      </c>
      <c r="S1" s="73">
        <f t="shared" si="0"/>
        <v>45367</v>
      </c>
      <c r="T1" s="73">
        <f t="shared" si="0"/>
        <v>45368</v>
      </c>
      <c r="U1" s="73">
        <f t="shared" si="0"/>
        <v>45369</v>
      </c>
      <c r="V1" s="73">
        <f t="shared" si="0"/>
        <v>45370</v>
      </c>
      <c r="W1" s="73">
        <f t="shared" si="0"/>
        <v>45371</v>
      </c>
      <c r="X1" s="73">
        <f t="shared" si="0"/>
        <v>45372</v>
      </c>
      <c r="Y1" s="73">
        <f t="shared" si="0"/>
        <v>45373</v>
      </c>
      <c r="Z1" s="73">
        <f t="shared" si="0"/>
        <v>45374</v>
      </c>
      <c r="AA1" s="73">
        <f t="shared" si="0"/>
        <v>45375</v>
      </c>
      <c r="AB1" s="73">
        <f t="shared" si="0"/>
        <v>45376</v>
      </c>
      <c r="AC1" s="73">
        <f t="shared" si="0"/>
        <v>45377</v>
      </c>
      <c r="AD1" s="73">
        <f t="shared" si="0"/>
        <v>45378</v>
      </c>
      <c r="AE1" s="73">
        <f t="shared" si="0"/>
        <v>45379</v>
      </c>
      <c r="AF1" s="73">
        <f t="shared" si="0"/>
        <v>45380</v>
      </c>
      <c r="AG1" s="73">
        <f t="shared" si="0"/>
        <v>45381</v>
      </c>
      <c r="AH1" s="73">
        <f t="shared" si="0"/>
        <v>45382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SUMIFS('март 2024'!$G$4:$G$1612,'март 2024'!$D$4:$D$1612,$B3,'март 2024'!$J$4:$J$1612,D$1)</f>
        <v>0</v>
      </c>
      <c r="E3" s="80">
        <f>SUMIFS('март 2024'!$G$4:$G$1612,'март 2024'!$D$4:$D$1612,$B3,'март 2024'!$J$4:$J$1612,E$1)</f>
        <v>0</v>
      </c>
      <c r="F3" s="80">
        <f>SUMIFS('март 2024'!$G$4:$G$1612,'март 2024'!$D$4:$D$1612,$B3,'март 2024'!$J$4:$J$1612,F$1)</f>
        <v>0</v>
      </c>
      <c r="G3" s="80">
        <f>SUMIFS('март 2024'!$G$4:$G$1612,'март 2024'!$D$4:$D$1612,$B3,'март 2024'!$J$4:$J$1612,G$1)</f>
        <v>0</v>
      </c>
      <c r="H3" s="80">
        <f>SUMIFS('март 2024'!$G$4:$G$1612,'март 2024'!$D$4:$D$1612,$B3,'март 2024'!$J$4:$J$1612,H$1)</f>
        <v>0</v>
      </c>
      <c r="I3" s="80">
        <f>SUMIFS('март 2024'!$G$4:$G$1612,'март 2024'!$D$4:$D$1612,$B3,'март 2024'!$J$4:$J$1612,I$1)</f>
        <v>0</v>
      </c>
      <c r="J3" s="80">
        <f>SUMIFS('март 2024'!$G$4:$G$1612,'март 2024'!$D$4:$D$1612,$B3,'март 2024'!$J$4:$J$1612,J$1)</f>
        <v>0</v>
      </c>
      <c r="K3" s="80">
        <f>SUMIFS('март 2024'!$G$4:$G$1612,'март 2024'!$D$4:$D$1612,$B3,'март 2024'!$J$4:$J$1612,K$1)</f>
        <v>0</v>
      </c>
      <c r="L3" s="80">
        <f>SUMIFS('март 2024'!$G$4:$G$1612,'март 2024'!$D$4:$D$1612,$B3,'март 2024'!$J$4:$J$1612,L$1)</f>
        <v>0</v>
      </c>
      <c r="M3" s="80">
        <f>SUMIFS('март 2024'!$G$4:$G$1612,'март 2024'!$D$4:$D$1612,$B3,'март 2024'!$J$4:$J$1612,M$1)</f>
        <v>0</v>
      </c>
      <c r="N3" s="80">
        <f>SUMIFS('март 2024'!$G$4:$G$1612,'март 2024'!$D$4:$D$1612,$B3,'март 2024'!$J$4:$J$1612,N$1)</f>
        <v>0</v>
      </c>
      <c r="O3" s="80">
        <f>SUMIFS('март 2024'!$G$4:$G$1612,'март 2024'!$D$4:$D$1612,$B3,'март 2024'!$J$4:$J$1612,O$1)</f>
        <v>0</v>
      </c>
      <c r="P3" s="80">
        <f>SUMIFS('март 2024'!$G$4:$G$1612,'март 2024'!$D$4:$D$1612,$B3,'март 2024'!$J$4:$J$1612,P$1)</f>
        <v>0</v>
      </c>
      <c r="Q3" s="80">
        <f>SUMIFS('март 2024'!$G$4:$G$1612,'март 2024'!$D$4:$D$1612,$B3,'март 2024'!$J$4:$J$1612,Q$1)</f>
        <v>0</v>
      </c>
      <c r="R3" s="80">
        <f>SUMIFS('март 2024'!$G$4:$G$1612,'март 2024'!$D$4:$D$1612,$B3,'март 2024'!$J$4:$J$1612,R$1)</f>
        <v>0</v>
      </c>
      <c r="S3" s="80">
        <f>SUMIFS('март 2024'!$G$4:$G$1612,'март 2024'!$D$4:$D$1612,$B3,'март 2024'!$J$4:$J$1612,S$1)</f>
        <v>0</v>
      </c>
      <c r="T3" s="80">
        <f>SUMIFS('март 2024'!$G$4:$G$1612,'март 2024'!$D$4:$D$1612,$B3,'март 2024'!$J$4:$J$1612,T$1)</f>
        <v>0</v>
      </c>
      <c r="U3" s="80">
        <f>SUMIFS('март 2024'!$G$4:$G$1612,'март 2024'!$D$4:$D$1612,$B3,'март 2024'!$J$4:$J$1612,U$1)</f>
        <v>0</v>
      </c>
      <c r="V3" s="80">
        <f>SUMIFS('март 2024'!$G$4:$G$1612,'март 2024'!$D$4:$D$1612,$B3,'март 2024'!$J$4:$J$1612,V$1)</f>
        <v>0</v>
      </c>
      <c r="W3" s="80">
        <f>SUMIFS('март 2024'!$G$4:$G$1612,'март 2024'!$D$4:$D$1612,$B3,'март 2024'!$J$4:$J$1612,W$1)</f>
        <v>0</v>
      </c>
      <c r="X3" s="80">
        <f>SUMIFS('март 2024'!$G$4:$G$1612,'март 2024'!$D$4:$D$1612,$B3,'март 2024'!$J$4:$J$1612,X$1)</f>
        <v>0</v>
      </c>
      <c r="Y3" s="80">
        <f>SUMIFS('март 2024'!$G$4:$G$1612,'март 2024'!$D$4:$D$1612,$B3,'март 2024'!$J$4:$J$1612,Y$1)</f>
        <v>0</v>
      </c>
      <c r="Z3" s="80">
        <f>SUMIFS('март 2024'!$G$4:$G$1612,'март 2024'!$D$4:$D$1612,$B3,'март 2024'!$J$4:$J$1612,Z$1)</f>
        <v>0</v>
      </c>
      <c r="AA3" s="80">
        <f>SUMIFS('март 2024'!$G$4:$G$1612,'март 2024'!$D$4:$D$1612,$B3,'март 2024'!$J$4:$J$1612,AA$1)</f>
        <v>0</v>
      </c>
      <c r="AB3" s="80">
        <f>SUMIFS('март 2024'!$G$4:$G$1612,'март 2024'!$D$4:$D$1612,$B3,'март 2024'!$J$4:$J$1612,AB$1)</f>
        <v>0</v>
      </c>
      <c r="AC3" s="80">
        <f>SUMIFS('март 2024'!$G$4:$G$1612,'март 2024'!$D$4:$D$1612,$B3,'март 2024'!$J$4:$J$1612,AC$1)</f>
        <v>0</v>
      </c>
      <c r="AD3" s="80">
        <f>SUMIFS('март 2024'!$G$4:$G$1612,'март 2024'!$D$4:$D$1612,$B3,'март 2024'!$J$4:$J$1612,AD$1)</f>
        <v>0</v>
      </c>
      <c r="AE3" s="80">
        <f>SUMIFS('март 2024'!$G$4:$G$1612,'март 2024'!$D$4:$D$1612,$B3,'март 2024'!$J$4:$J$1612,AE$1)</f>
        <v>0</v>
      </c>
      <c r="AF3" s="80">
        <f>SUMIFS('март 2024'!$G$4:$G$1612,'март 2024'!$D$4:$D$1612,$B3,'март 2024'!$J$4:$J$1612,AF$1)</f>
        <v>0</v>
      </c>
      <c r="AG3" s="80">
        <f>SUMIFS('март 2024'!$G$4:$G$1612,'март 2024'!$D$4:$D$1612,$B3,'март 2024'!$J$4:$J$1612,AG$1)</f>
        <v>0</v>
      </c>
      <c r="AH3" s="80">
        <f>SUMIFS('март 2024'!$G$4:$G$1612,'март 2024'!$D$4:$D$1612,$B3,'март 2024'!$J$4:$J$1612,AH$1)</f>
        <v>0</v>
      </c>
      <c r="AI3" s="49">
        <f t="shared" ref="AI3:AI138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SUMIFS('март 2024'!$G$4:$G$1612,'март 2024'!$D$4:$D$1612,$B4,'март 2024'!$J$4:$J$1612,D$1)</f>
        <v>0</v>
      </c>
      <c r="E4" s="80">
        <f>SUMIFS('март 2024'!$G$4:$G$1612,'март 2024'!$D$4:$D$1612,$B4,'март 2024'!$J$4:$J$1612,E$1)</f>
        <v>0</v>
      </c>
      <c r="F4" s="80">
        <f>SUMIFS('март 2024'!$G$4:$G$1612,'март 2024'!$D$4:$D$1612,$B4,'март 2024'!$J$4:$J$1612,F$1)</f>
        <v>0</v>
      </c>
      <c r="G4" s="80">
        <f>SUMIFS('март 2024'!$G$4:$G$1612,'март 2024'!$D$4:$D$1612,$B4,'март 2024'!$J$4:$J$1612,G$1)</f>
        <v>0</v>
      </c>
      <c r="H4" s="80">
        <f>SUMIFS('март 2024'!$G$4:$G$1612,'март 2024'!$D$4:$D$1612,$B4,'март 2024'!$J$4:$J$1612,H$1)</f>
        <v>0</v>
      </c>
      <c r="I4" s="80">
        <f>SUMIFS('март 2024'!$G$4:$G$1612,'март 2024'!$D$4:$D$1612,$B4,'март 2024'!$J$4:$J$1612,I$1)</f>
        <v>0</v>
      </c>
      <c r="J4" s="80">
        <f>SUMIFS('март 2024'!$G$4:$G$1612,'март 2024'!$D$4:$D$1612,$B4,'март 2024'!$J$4:$J$1612,J$1)</f>
        <v>0</v>
      </c>
      <c r="K4" s="80">
        <f>SUMIFS('март 2024'!$G$4:$G$1612,'март 2024'!$D$4:$D$1612,$B4,'март 2024'!$J$4:$J$1612,K$1)</f>
        <v>0</v>
      </c>
      <c r="L4" s="80">
        <f>SUMIFS('март 2024'!$G$4:$G$1612,'март 2024'!$D$4:$D$1612,$B4,'март 2024'!$J$4:$J$1612,L$1)</f>
        <v>0</v>
      </c>
      <c r="M4" s="80">
        <f>SUMIFS('март 2024'!$G$4:$G$1612,'март 2024'!$D$4:$D$1612,$B4,'март 2024'!$J$4:$J$1612,M$1)</f>
        <v>0</v>
      </c>
      <c r="N4" s="80">
        <f>SUMIFS('март 2024'!$G$4:$G$1612,'март 2024'!$D$4:$D$1612,$B4,'март 2024'!$J$4:$J$1612,N$1)</f>
        <v>0</v>
      </c>
      <c r="O4" s="80">
        <f>SUMIFS('март 2024'!$G$4:$G$1612,'март 2024'!$D$4:$D$1612,$B4,'март 2024'!$J$4:$J$1612,O$1)</f>
        <v>0</v>
      </c>
      <c r="P4" s="80">
        <f>SUMIFS('март 2024'!$G$4:$G$1612,'март 2024'!$D$4:$D$1612,$B4,'март 2024'!$J$4:$J$1612,P$1)</f>
        <v>0</v>
      </c>
      <c r="Q4" s="80">
        <f>SUMIFS('март 2024'!$G$4:$G$1612,'март 2024'!$D$4:$D$1612,$B4,'март 2024'!$J$4:$J$1612,Q$1)</f>
        <v>0</v>
      </c>
      <c r="R4" s="80">
        <f>SUMIFS('март 2024'!$G$4:$G$1612,'март 2024'!$D$4:$D$1612,$B4,'март 2024'!$J$4:$J$1612,R$1)</f>
        <v>480</v>
      </c>
      <c r="S4" s="80">
        <f>SUMIFS('март 2024'!$G$4:$G$1612,'март 2024'!$D$4:$D$1612,$B4,'март 2024'!$J$4:$J$1612,S$1)</f>
        <v>0</v>
      </c>
      <c r="T4" s="80">
        <f>SUMIFS('март 2024'!$G$4:$G$1612,'март 2024'!$D$4:$D$1612,$B4,'март 2024'!$J$4:$J$1612,T$1)</f>
        <v>0</v>
      </c>
      <c r="U4" s="80">
        <f>SUMIFS('март 2024'!$G$4:$G$1612,'март 2024'!$D$4:$D$1612,$B4,'март 2024'!$J$4:$J$1612,U$1)</f>
        <v>0</v>
      </c>
      <c r="V4" s="80">
        <f>SUMIFS('март 2024'!$G$4:$G$1612,'март 2024'!$D$4:$D$1612,$B4,'март 2024'!$J$4:$J$1612,V$1)</f>
        <v>0</v>
      </c>
      <c r="W4" s="80">
        <f>SUMIFS('март 2024'!$G$4:$G$1612,'март 2024'!$D$4:$D$1612,$B4,'март 2024'!$J$4:$J$1612,W$1)</f>
        <v>0</v>
      </c>
      <c r="X4" s="80">
        <f>SUMIFS('март 2024'!$G$4:$G$1612,'март 2024'!$D$4:$D$1612,$B4,'март 2024'!$J$4:$J$1612,X$1)</f>
        <v>0</v>
      </c>
      <c r="Y4" s="80">
        <f>SUMIFS('март 2024'!$G$4:$G$1612,'март 2024'!$D$4:$D$1612,$B4,'март 2024'!$J$4:$J$1612,Y$1)</f>
        <v>0</v>
      </c>
      <c r="Z4" s="80">
        <f>SUMIFS('март 2024'!$G$4:$G$1612,'март 2024'!$D$4:$D$1612,$B4,'март 2024'!$J$4:$J$1612,Z$1)</f>
        <v>0</v>
      </c>
      <c r="AA4" s="80">
        <f>SUMIFS('март 2024'!$G$4:$G$1612,'март 2024'!$D$4:$D$1612,$B4,'март 2024'!$J$4:$J$1612,AA$1)</f>
        <v>0</v>
      </c>
      <c r="AB4" s="80">
        <f>SUMIFS('март 2024'!$G$4:$G$1612,'март 2024'!$D$4:$D$1612,$B4,'март 2024'!$J$4:$J$1612,AB$1)</f>
        <v>0</v>
      </c>
      <c r="AC4" s="80">
        <f>SUMIFS('март 2024'!$G$4:$G$1612,'март 2024'!$D$4:$D$1612,$B4,'март 2024'!$J$4:$J$1612,AC$1)</f>
        <v>1</v>
      </c>
      <c r="AD4" s="80">
        <f>SUMIFS('март 2024'!$G$4:$G$1612,'март 2024'!$D$4:$D$1612,$B4,'март 2024'!$J$4:$J$1612,AD$1)</f>
        <v>0</v>
      </c>
      <c r="AE4" s="80">
        <f>SUMIFS('март 2024'!$G$4:$G$1612,'март 2024'!$D$4:$D$1612,$B4,'март 2024'!$J$4:$J$1612,AE$1)</f>
        <v>0</v>
      </c>
      <c r="AF4" s="80">
        <f>SUMIFS('март 2024'!$G$4:$G$1612,'март 2024'!$D$4:$D$1612,$B4,'март 2024'!$J$4:$J$1612,AF$1)</f>
        <v>0</v>
      </c>
      <c r="AG4" s="80">
        <f>SUMIFS('март 2024'!$G$4:$G$1612,'март 2024'!$D$4:$D$1612,$B4,'март 2024'!$J$4:$J$1612,AG$1)</f>
        <v>0</v>
      </c>
      <c r="AH4" s="80">
        <f>SUMIFS('март 2024'!$G$4:$G$1612,'март 2024'!$D$4:$D$1612,$B4,'март 2024'!$J$4:$J$1612,AH$1)</f>
        <v>0</v>
      </c>
      <c r="AI4" s="21">
        <f t="shared" si="1"/>
        <v>481</v>
      </c>
    </row>
    <row r="5" spans="2:35" ht="15" customHeight="1" x14ac:dyDescent="0.25">
      <c r="B5" s="81" t="s">
        <v>279</v>
      </c>
      <c r="C5" s="82">
        <v>25</v>
      </c>
      <c r="D5" s="80">
        <f>SUMIFS('март 2024'!$G$4:$G$1612,'март 2024'!$D$4:$D$1612,$B5,'март 2024'!$J$4:$J$1612,D$1)</f>
        <v>0</v>
      </c>
      <c r="E5" s="80">
        <f>SUMIFS('март 2024'!$G$4:$G$1612,'март 2024'!$D$4:$D$1612,$B5,'март 2024'!$J$4:$J$1612,E$1)</f>
        <v>0</v>
      </c>
      <c r="F5" s="80">
        <f>SUMIFS('март 2024'!$G$4:$G$1612,'март 2024'!$D$4:$D$1612,$B5,'март 2024'!$J$4:$J$1612,F$1)</f>
        <v>0</v>
      </c>
      <c r="G5" s="80">
        <f>SUMIFS('март 2024'!$G$4:$G$1612,'март 2024'!$D$4:$D$1612,$B5,'март 2024'!$J$4:$J$1612,G$1)</f>
        <v>1780</v>
      </c>
      <c r="H5" s="80">
        <f>SUMIFS('март 2024'!$G$4:$G$1612,'март 2024'!$D$4:$D$1612,$B5,'март 2024'!$J$4:$J$1612,H$1)</f>
        <v>0</v>
      </c>
      <c r="I5" s="80">
        <f>SUMIFS('март 2024'!$G$4:$G$1612,'март 2024'!$D$4:$D$1612,$B5,'март 2024'!$J$4:$J$1612,I$1)</f>
        <v>0</v>
      </c>
      <c r="J5" s="80">
        <f>SUMIFS('март 2024'!$G$4:$G$1612,'март 2024'!$D$4:$D$1612,$B5,'март 2024'!$J$4:$J$1612,J$1)</f>
        <v>0</v>
      </c>
      <c r="K5" s="80">
        <f>SUMIFS('март 2024'!$G$4:$G$1612,'март 2024'!$D$4:$D$1612,$B5,'март 2024'!$J$4:$J$1612,K$1)</f>
        <v>0</v>
      </c>
      <c r="L5" s="80">
        <f>SUMIFS('март 2024'!$G$4:$G$1612,'март 2024'!$D$4:$D$1612,$B5,'март 2024'!$J$4:$J$1612,L$1)</f>
        <v>0</v>
      </c>
      <c r="M5" s="80">
        <f>SUMIFS('март 2024'!$G$4:$G$1612,'март 2024'!$D$4:$D$1612,$B5,'март 2024'!$J$4:$J$1612,M$1)</f>
        <v>0</v>
      </c>
      <c r="N5" s="80">
        <f>SUMIFS('март 2024'!$G$4:$G$1612,'март 2024'!$D$4:$D$1612,$B5,'март 2024'!$J$4:$J$1612,N$1)</f>
        <v>0</v>
      </c>
      <c r="O5" s="80">
        <f>SUMIFS('март 2024'!$G$4:$G$1612,'март 2024'!$D$4:$D$1612,$B5,'март 2024'!$J$4:$J$1612,O$1)</f>
        <v>0</v>
      </c>
      <c r="P5" s="80">
        <f>SUMIFS('март 2024'!$G$4:$G$1612,'март 2024'!$D$4:$D$1612,$B5,'март 2024'!$J$4:$J$1612,P$1)</f>
        <v>0</v>
      </c>
      <c r="Q5" s="80">
        <f>SUMIFS('март 2024'!$G$4:$G$1612,'март 2024'!$D$4:$D$1612,$B5,'март 2024'!$J$4:$J$1612,Q$1)</f>
        <v>0</v>
      </c>
      <c r="R5" s="80">
        <f>SUMIFS('март 2024'!$G$4:$G$1612,'март 2024'!$D$4:$D$1612,$B5,'март 2024'!$J$4:$J$1612,R$1)</f>
        <v>0</v>
      </c>
      <c r="S5" s="80">
        <f>SUMIFS('март 2024'!$G$4:$G$1612,'март 2024'!$D$4:$D$1612,$B5,'март 2024'!$J$4:$J$1612,S$1)</f>
        <v>1500</v>
      </c>
      <c r="T5" s="80">
        <f>SUMIFS('март 2024'!$G$4:$G$1612,'март 2024'!$D$4:$D$1612,$B5,'март 2024'!$J$4:$J$1612,T$1)</f>
        <v>0</v>
      </c>
      <c r="U5" s="80">
        <f>SUMIFS('март 2024'!$G$4:$G$1612,'март 2024'!$D$4:$D$1612,$B5,'март 2024'!$J$4:$J$1612,U$1)</f>
        <v>0</v>
      </c>
      <c r="V5" s="80">
        <f>SUMIFS('март 2024'!$G$4:$G$1612,'март 2024'!$D$4:$D$1612,$B5,'март 2024'!$J$4:$J$1612,V$1)</f>
        <v>0</v>
      </c>
      <c r="W5" s="80">
        <f>SUMIFS('март 2024'!$G$4:$G$1612,'март 2024'!$D$4:$D$1612,$B5,'март 2024'!$J$4:$J$1612,W$1)</f>
        <v>0</v>
      </c>
      <c r="X5" s="80">
        <f>SUMIFS('март 2024'!$G$4:$G$1612,'март 2024'!$D$4:$D$1612,$B5,'март 2024'!$J$4:$J$1612,X$1)</f>
        <v>0</v>
      </c>
      <c r="Y5" s="80">
        <f>SUMIFS('март 2024'!$G$4:$G$1612,'март 2024'!$D$4:$D$1612,$B5,'март 2024'!$J$4:$J$1612,Y$1)</f>
        <v>0</v>
      </c>
      <c r="Z5" s="80">
        <f>SUMIFS('март 2024'!$G$4:$G$1612,'март 2024'!$D$4:$D$1612,$B5,'март 2024'!$J$4:$J$1612,Z$1)</f>
        <v>0</v>
      </c>
      <c r="AA5" s="80">
        <f>SUMIFS('март 2024'!$G$4:$G$1612,'март 2024'!$D$4:$D$1612,$B5,'март 2024'!$J$4:$J$1612,AA$1)</f>
        <v>0</v>
      </c>
      <c r="AB5" s="80">
        <f>SUMIFS('март 2024'!$G$4:$G$1612,'март 2024'!$D$4:$D$1612,$B5,'март 2024'!$J$4:$J$1612,AB$1)</f>
        <v>1304</v>
      </c>
      <c r="AC5" s="80">
        <f>SUMIFS('март 2024'!$G$4:$G$1612,'март 2024'!$D$4:$D$1612,$B5,'март 2024'!$J$4:$J$1612,AC$1)</f>
        <v>0</v>
      </c>
      <c r="AD5" s="80">
        <f>SUMIFS('март 2024'!$G$4:$G$1612,'март 2024'!$D$4:$D$1612,$B5,'март 2024'!$J$4:$J$1612,AD$1)</f>
        <v>0</v>
      </c>
      <c r="AE5" s="80">
        <f>SUMIFS('март 2024'!$G$4:$G$1612,'март 2024'!$D$4:$D$1612,$B5,'март 2024'!$J$4:$J$1612,AE$1)</f>
        <v>800</v>
      </c>
      <c r="AF5" s="80">
        <f>SUMIFS('март 2024'!$G$4:$G$1612,'март 2024'!$D$4:$D$1612,$B5,'март 2024'!$J$4:$J$1612,AF$1)</f>
        <v>0</v>
      </c>
      <c r="AG5" s="80">
        <f>SUMIFS('март 2024'!$G$4:$G$1612,'март 2024'!$D$4:$D$1612,$B5,'март 2024'!$J$4:$J$1612,AG$1)</f>
        <v>0</v>
      </c>
      <c r="AH5" s="80">
        <f>SUMIFS('март 2024'!$G$4:$G$1612,'март 2024'!$D$4:$D$1612,$B5,'март 2024'!$J$4:$J$1612,AH$1)</f>
        <v>0</v>
      </c>
      <c r="AI5" s="21">
        <f t="shared" si="1"/>
        <v>5384</v>
      </c>
    </row>
    <row r="6" spans="2:35" ht="15" customHeight="1" x14ac:dyDescent="0.25">
      <c r="B6" s="81" t="s">
        <v>281</v>
      </c>
      <c r="C6" s="82">
        <v>22.7</v>
      </c>
      <c r="D6" s="80">
        <f>SUMIFS('март 2024'!$G$4:$G$1612,'март 2024'!$D$4:$D$1612,$B6,'март 2024'!$J$4:$J$1612,D$1)</f>
        <v>0</v>
      </c>
      <c r="E6" s="80">
        <f>SUMIFS('март 2024'!$G$4:$G$1612,'март 2024'!$D$4:$D$1612,$B6,'март 2024'!$J$4:$J$1612,E$1)</f>
        <v>0</v>
      </c>
      <c r="F6" s="80">
        <f>SUMIFS('март 2024'!$G$4:$G$1612,'март 2024'!$D$4:$D$1612,$B6,'март 2024'!$J$4:$J$1612,F$1)</f>
        <v>0</v>
      </c>
      <c r="G6" s="80">
        <f>SUMIFS('март 2024'!$G$4:$G$1612,'март 2024'!$D$4:$D$1612,$B6,'март 2024'!$J$4:$J$1612,G$1)</f>
        <v>0</v>
      </c>
      <c r="H6" s="80">
        <f>SUMIFS('март 2024'!$G$4:$G$1612,'март 2024'!$D$4:$D$1612,$B6,'март 2024'!$J$4:$J$1612,H$1)</f>
        <v>0</v>
      </c>
      <c r="I6" s="80">
        <f>SUMIFS('март 2024'!$G$4:$G$1612,'март 2024'!$D$4:$D$1612,$B6,'март 2024'!$J$4:$J$1612,I$1)</f>
        <v>0</v>
      </c>
      <c r="J6" s="80">
        <f>SUMIFS('март 2024'!$G$4:$G$1612,'март 2024'!$D$4:$D$1612,$B6,'март 2024'!$J$4:$J$1612,J$1)</f>
        <v>0</v>
      </c>
      <c r="K6" s="80">
        <f>SUMIFS('март 2024'!$G$4:$G$1612,'март 2024'!$D$4:$D$1612,$B6,'март 2024'!$J$4:$J$1612,K$1)</f>
        <v>0</v>
      </c>
      <c r="L6" s="80">
        <f>SUMIFS('март 2024'!$G$4:$G$1612,'март 2024'!$D$4:$D$1612,$B6,'март 2024'!$J$4:$J$1612,L$1)</f>
        <v>0</v>
      </c>
      <c r="M6" s="80">
        <f>SUMIFS('март 2024'!$G$4:$G$1612,'март 2024'!$D$4:$D$1612,$B6,'март 2024'!$J$4:$J$1612,M$1)</f>
        <v>0</v>
      </c>
      <c r="N6" s="80">
        <f>SUMIFS('март 2024'!$G$4:$G$1612,'март 2024'!$D$4:$D$1612,$B6,'март 2024'!$J$4:$J$1612,N$1)</f>
        <v>0</v>
      </c>
      <c r="O6" s="80">
        <f>SUMIFS('март 2024'!$G$4:$G$1612,'март 2024'!$D$4:$D$1612,$B6,'март 2024'!$J$4:$J$1612,O$1)</f>
        <v>0</v>
      </c>
      <c r="P6" s="80">
        <f>SUMIFS('март 2024'!$G$4:$G$1612,'март 2024'!$D$4:$D$1612,$B6,'март 2024'!$J$4:$J$1612,P$1)</f>
        <v>0</v>
      </c>
      <c r="Q6" s="80">
        <f>SUMIFS('март 2024'!$G$4:$G$1612,'март 2024'!$D$4:$D$1612,$B6,'март 2024'!$J$4:$J$1612,Q$1)</f>
        <v>0</v>
      </c>
      <c r="R6" s="80">
        <f>SUMIFS('март 2024'!$G$4:$G$1612,'март 2024'!$D$4:$D$1612,$B6,'март 2024'!$J$4:$J$1612,R$1)</f>
        <v>0</v>
      </c>
      <c r="S6" s="80">
        <f>SUMIFS('март 2024'!$G$4:$G$1612,'март 2024'!$D$4:$D$1612,$B6,'март 2024'!$J$4:$J$1612,S$1)</f>
        <v>0</v>
      </c>
      <c r="T6" s="80">
        <f>SUMIFS('март 2024'!$G$4:$G$1612,'март 2024'!$D$4:$D$1612,$B6,'март 2024'!$J$4:$J$1612,T$1)</f>
        <v>0</v>
      </c>
      <c r="U6" s="80">
        <f>SUMIFS('март 2024'!$G$4:$G$1612,'март 2024'!$D$4:$D$1612,$B6,'март 2024'!$J$4:$J$1612,U$1)</f>
        <v>0</v>
      </c>
      <c r="V6" s="80">
        <f>SUMIFS('март 2024'!$G$4:$G$1612,'март 2024'!$D$4:$D$1612,$B6,'март 2024'!$J$4:$J$1612,V$1)</f>
        <v>0</v>
      </c>
      <c r="W6" s="80">
        <f>SUMIFS('март 2024'!$G$4:$G$1612,'март 2024'!$D$4:$D$1612,$B6,'март 2024'!$J$4:$J$1612,W$1)</f>
        <v>0</v>
      </c>
      <c r="X6" s="80">
        <f>SUMIFS('март 2024'!$G$4:$G$1612,'март 2024'!$D$4:$D$1612,$B6,'март 2024'!$J$4:$J$1612,X$1)</f>
        <v>0</v>
      </c>
      <c r="Y6" s="80">
        <f>SUMIFS('март 2024'!$G$4:$G$1612,'март 2024'!$D$4:$D$1612,$B6,'март 2024'!$J$4:$J$1612,Y$1)</f>
        <v>0</v>
      </c>
      <c r="Z6" s="80">
        <f>SUMIFS('март 2024'!$G$4:$G$1612,'март 2024'!$D$4:$D$1612,$B6,'март 2024'!$J$4:$J$1612,Z$1)</f>
        <v>0</v>
      </c>
      <c r="AA6" s="80">
        <f>SUMIFS('март 2024'!$G$4:$G$1612,'март 2024'!$D$4:$D$1612,$B6,'март 2024'!$J$4:$J$1612,AA$1)</f>
        <v>0</v>
      </c>
      <c r="AB6" s="80">
        <f>SUMIFS('март 2024'!$G$4:$G$1612,'март 2024'!$D$4:$D$1612,$B6,'март 2024'!$J$4:$J$1612,AB$1)</f>
        <v>0</v>
      </c>
      <c r="AC6" s="80">
        <f>SUMIFS('март 2024'!$G$4:$G$1612,'март 2024'!$D$4:$D$1612,$B6,'март 2024'!$J$4:$J$1612,AC$1)</f>
        <v>0</v>
      </c>
      <c r="AD6" s="80">
        <f>SUMIFS('март 2024'!$G$4:$G$1612,'март 2024'!$D$4:$D$1612,$B6,'март 2024'!$J$4:$J$1612,AD$1)</f>
        <v>0</v>
      </c>
      <c r="AE6" s="80">
        <f>SUMIFS('март 2024'!$G$4:$G$1612,'март 2024'!$D$4:$D$1612,$B6,'март 2024'!$J$4:$J$1612,AE$1)</f>
        <v>0</v>
      </c>
      <c r="AF6" s="80">
        <f>SUMIFS('март 2024'!$G$4:$G$1612,'март 2024'!$D$4:$D$1612,$B6,'март 2024'!$J$4:$J$1612,AF$1)</f>
        <v>0</v>
      </c>
      <c r="AG6" s="80">
        <f>SUMIFS('март 2024'!$G$4:$G$1612,'март 2024'!$D$4:$D$1612,$B6,'март 2024'!$J$4:$J$1612,AG$1)</f>
        <v>0</v>
      </c>
      <c r="AH6" s="80">
        <f>SUMIFS('март 2024'!$G$4:$G$1612,'март 2024'!$D$4:$D$1612,$B6,'март 2024'!$J$4:$J$1612,AH$1)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SUMIFS('март 2024'!$G$4:$G$1612,'март 2024'!$D$4:$D$1612,$B7,'март 2024'!$J$4:$J$1612,D$1)</f>
        <v>0</v>
      </c>
      <c r="E7" s="80">
        <f>SUMIFS('март 2024'!$G$4:$G$1612,'март 2024'!$D$4:$D$1612,$B7,'март 2024'!$J$4:$J$1612,E$1)</f>
        <v>0</v>
      </c>
      <c r="F7" s="80">
        <f>SUMIFS('март 2024'!$G$4:$G$1612,'март 2024'!$D$4:$D$1612,$B7,'март 2024'!$J$4:$J$1612,F$1)</f>
        <v>0</v>
      </c>
      <c r="G7" s="80">
        <f>SUMIFS('март 2024'!$G$4:$G$1612,'март 2024'!$D$4:$D$1612,$B7,'март 2024'!$J$4:$J$1612,G$1)</f>
        <v>0</v>
      </c>
      <c r="H7" s="80">
        <f>SUMIFS('март 2024'!$G$4:$G$1612,'март 2024'!$D$4:$D$1612,$B7,'март 2024'!$J$4:$J$1612,H$1)</f>
        <v>0</v>
      </c>
      <c r="I7" s="80">
        <f>SUMIFS('март 2024'!$G$4:$G$1612,'март 2024'!$D$4:$D$1612,$B7,'март 2024'!$J$4:$J$1612,I$1)</f>
        <v>0</v>
      </c>
      <c r="J7" s="80">
        <f>SUMIFS('март 2024'!$G$4:$G$1612,'март 2024'!$D$4:$D$1612,$B7,'март 2024'!$J$4:$J$1612,J$1)</f>
        <v>0</v>
      </c>
      <c r="K7" s="80">
        <f>SUMIFS('март 2024'!$G$4:$G$1612,'март 2024'!$D$4:$D$1612,$B7,'март 2024'!$J$4:$J$1612,K$1)</f>
        <v>0</v>
      </c>
      <c r="L7" s="80">
        <f>SUMIFS('март 2024'!$G$4:$G$1612,'март 2024'!$D$4:$D$1612,$B7,'март 2024'!$J$4:$J$1612,L$1)</f>
        <v>0</v>
      </c>
      <c r="M7" s="80">
        <f>SUMIFS('март 2024'!$G$4:$G$1612,'март 2024'!$D$4:$D$1612,$B7,'март 2024'!$J$4:$J$1612,M$1)</f>
        <v>0</v>
      </c>
      <c r="N7" s="80">
        <f>SUMIFS('март 2024'!$G$4:$G$1612,'март 2024'!$D$4:$D$1612,$B7,'март 2024'!$J$4:$J$1612,N$1)</f>
        <v>0</v>
      </c>
      <c r="O7" s="80">
        <f>SUMIFS('март 2024'!$G$4:$G$1612,'март 2024'!$D$4:$D$1612,$B7,'март 2024'!$J$4:$J$1612,O$1)</f>
        <v>0</v>
      </c>
      <c r="P7" s="80">
        <f>SUMIFS('март 2024'!$G$4:$G$1612,'март 2024'!$D$4:$D$1612,$B7,'март 2024'!$J$4:$J$1612,P$1)</f>
        <v>0</v>
      </c>
      <c r="Q7" s="80">
        <f>SUMIFS('март 2024'!$G$4:$G$1612,'март 2024'!$D$4:$D$1612,$B7,'март 2024'!$J$4:$J$1612,Q$1)</f>
        <v>0</v>
      </c>
      <c r="R7" s="80">
        <f>SUMIFS('март 2024'!$G$4:$G$1612,'март 2024'!$D$4:$D$1612,$B7,'март 2024'!$J$4:$J$1612,R$1)</f>
        <v>0</v>
      </c>
      <c r="S7" s="80">
        <f>SUMIFS('март 2024'!$G$4:$G$1612,'март 2024'!$D$4:$D$1612,$B7,'март 2024'!$J$4:$J$1612,S$1)</f>
        <v>0</v>
      </c>
      <c r="T7" s="80">
        <f>SUMIFS('март 2024'!$G$4:$G$1612,'март 2024'!$D$4:$D$1612,$B7,'март 2024'!$J$4:$J$1612,T$1)</f>
        <v>0</v>
      </c>
      <c r="U7" s="80">
        <f>SUMIFS('март 2024'!$G$4:$G$1612,'март 2024'!$D$4:$D$1612,$B7,'март 2024'!$J$4:$J$1612,U$1)</f>
        <v>0</v>
      </c>
      <c r="V7" s="80">
        <f>SUMIFS('март 2024'!$G$4:$G$1612,'март 2024'!$D$4:$D$1612,$B7,'март 2024'!$J$4:$J$1612,V$1)</f>
        <v>0</v>
      </c>
      <c r="W7" s="80">
        <f>SUMIFS('март 2024'!$G$4:$G$1612,'март 2024'!$D$4:$D$1612,$B7,'март 2024'!$J$4:$J$1612,W$1)</f>
        <v>0</v>
      </c>
      <c r="X7" s="80">
        <f>SUMIFS('март 2024'!$G$4:$G$1612,'март 2024'!$D$4:$D$1612,$B7,'март 2024'!$J$4:$J$1612,X$1)</f>
        <v>0</v>
      </c>
      <c r="Y7" s="80">
        <f>SUMIFS('март 2024'!$G$4:$G$1612,'март 2024'!$D$4:$D$1612,$B7,'март 2024'!$J$4:$J$1612,Y$1)</f>
        <v>0</v>
      </c>
      <c r="Z7" s="80">
        <f>SUMIFS('март 2024'!$G$4:$G$1612,'март 2024'!$D$4:$D$1612,$B7,'март 2024'!$J$4:$J$1612,Z$1)</f>
        <v>0</v>
      </c>
      <c r="AA7" s="80">
        <f>SUMIFS('март 2024'!$G$4:$G$1612,'март 2024'!$D$4:$D$1612,$B7,'март 2024'!$J$4:$J$1612,AA$1)</f>
        <v>0</v>
      </c>
      <c r="AB7" s="80">
        <f>SUMIFS('март 2024'!$G$4:$G$1612,'март 2024'!$D$4:$D$1612,$B7,'март 2024'!$J$4:$J$1612,AB$1)</f>
        <v>0</v>
      </c>
      <c r="AC7" s="80">
        <f>SUMIFS('март 2024'!$G$4:$G$1612,'март 2024'!$D$4:$D$1612,$B7,'март 2024'!$J$4:$J$1612,AC$1)</f>
        <v>0</v>
      </c>
      <c r="AD7" s="80">
        <f>SUMIFS('март 2024'!$G$4:$G$1612,'март 2024'!$D$4:$D$1612,$B7,'март 2024'!$J$4:$J$1612,AD$1)</f>
        <v>0</v>
      </c>
      <c r="AE7" s="80">
        <f>SUMIFS('март 2024'!$G$4:$G$1612,'март 2024'!$D$4:$D$1612,$B7,'март 2024'!$J$4:$J$1612,AE$1)</f>
        <v>0</v>
      </c>
      <c r="AF7" s="80">
        <f>SUMIFS('март 2024'!$G$4:$G$1612,'март 2024'!$D$4:$D$1612,$B7,'март 2024'!$J$4:$J$1612,AF$1)</f>
        <v>0</v>
      </c>
      <c r="AG7" s="80">
        <f>SUMIFS('март 2024'!$G$4:$G$1612,'март 2024'!$D$4:$D$1612,$B7,'март 2024'!$J$4:$J$1612,AG$1)</f>
        <v>0</v>
      </c>
      <c r="AH7" s="80">
        <f>SUMIFS('март 2024'!$G$4:$G$1612,'март 2024'!$D$4:$D$1612,$B7,'март 2024'!$J$4:$J$1612,AH$1)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SUMIFS('март 2024'!$G$4:$G$1612,'март 2024'!$D$4:$D$1612,$B8,'март 2024'!$J$4:$J$1612,D$1)</f>
        <v>0</v>
      </c>
      <c r="E8" s="80">
        <f>SUMIFS('март 2024'!$G$4:$G$1612,'март 2024'!$D$4:$D$1612,$B8,'март 2024'!$J$4:$J$1612,E$1)</f>
        <v>0</v>
      </c>
      <c r="F8" s="80">
        <f>SUMIFS('март 2024'!$G$4:$G$1612,'март 2024'!$D$4:$D$1612,$B8,'март 2024'!$J$4:$J$1612,F$1)</f>
        <v>0</v>
      </c>
      <c r="G8" s="80">
        <f>SUMIFS('март 2024'!$G$4:$G$1612,'март 2024'!$D$4:$D$1612,$B8,'март 2024'!$J$4:$J$1612,G$1)</f>
        <v>0</v>
      </c>
      <c r="H8" s="80">
        <f>SUMIFS('март 2024'!$G$4:$G$1612,'март 2024'!$D$4:$D$1612,$B8,'март 2024'!$J$4:$J$1612,H$1)</f>
        <v>0</v>
      </c>
      <c r="I8" s="80">
        <f>SUMIFS('март 2024'!$G$4:$G$1612,'март 2024'!$D$4:$D$1612,$B8,'март 2024'!$J$4:$J$1612,I$1)</f>
        <v>0</v>
      </c>
      <c r="J8" s="80">
        <f>SUMIFS('март 2024'!$G$4:$G$1612,'март 2024'!$D$4:$D$1612,$B8,'март 2024'!$J$4:$J$1612,J$1)</f>
        <v>0</v>
      </c>
      <c r="K8" s="80">
        <f>SUMIFS('март 2024'!$G$4:$G$1612,'март 2024'!$D$4:$D$1612,$B8,'март 2024'!$J$4:$J$1612,K$1)</f>
        <v>0</v>
      </c>
      <c r="L8" s="80">
        <f>SUMIFS('март 2024'!$G$4:$G$1612,'март 2024'!$D$4:$D$1612,$B8,'март 2024'!$J$4:$J$1612,L$1)</f>
        <v>0</v>
      </c>
      <c r="M8" s="80">
        <f>SUMIFS('март 2024'!$G$4:$G$1612,'март 2024'!$D$4:$D$1612,$B8,'март 2024'!$J$4:$J$1612,M$1)</f>
        <v>0</v>
      </c>
      <c r="N8" s="80">
        <f>SUMIFS('март 2024'!$G$4:$G$1612,'март 2024'!$D$4:$D$1612,$B8,'март 2024'!$J$4:$J$1612,N$1)</f>
        <v>0</v>
      </c>
      <c r="O8" s="80">
        <f>SUMIFS('март 2024'!$G$4:$G$1612,'март 2024'!$D$4:$D$1612,$B8,'март 2024'!$J$4:$J$1612,O$1)</f>
        <v>0</v>
      </c>
      <c r="P8" s="80">
        <f>SUMIFS('март 2024'!$G$4:$G$1612,'март 2024'!$D$4:$D$1612,$B8,'март 2024'!$J$4:$J$1612,P$1)</f>
        <v>0</v>
      </c>
      <c r="Q8" s="80">
        <f>SUMIFS('март 2024'!$G$4:$G$1612,'март 2024'!$D$4:$D$1612,$B8,'март 2024'!$J$4:$J$1612,Q$1)</f>
        <v>0</v>
      </c>
      <c r="R8" s="80">
        <f>SUMIFS('март 2024'!$G$4:$G$1612,'март 2024'!$D$4:$D$1612,$B8,'март 2024'!$J$4:$J$1612,R$1)</f>
        <v>0</v>
      </c>
      <c r="S8" s="80">
        <f>SUMIFS('март 2024'!$G$4:$G$1612,'март 2024'!$D$4:$D$1612,$B8,'март 2024'!$J$4:$J$1612,S$1)</f>
        <v>0</v>
      </c>
      <c r="T8" s="80">
        <f>SUMIFS('март 2024'!$G$4:$G$1612,'март 2024'!$D$4:$D$1612,$B8,'март 2024'!$J$4:$J$1612,T$1)</f>
        <v>0</v>
      </c>
      <c r="U8" s="80">
        <f>SUMIFS('март 2024'!$G$4:$G$1612,'март 2024'!$D$4:$D$1612,$B8,'март 2024'!$J$4:$J$1612,U$1)</f>
        <v>0</v>
      </c>
      <c r="V8" s="80">
        <f>SUMIFS('март 2024'!$G$4:$G$1612,'март 2024'!$D$4:$D$1612,$B8,'март 2024'!$J$4:$J$1612,V$1)</f>
        <v>0</v>
      </c>
      <c r="W8" s="80">
        <f>SUMIFS('март 2024'!$G$4:$G$1612,'март 2024'!$D$4:$D$1612,$B8,'март 2024'!$J$4:$J$1612,W$1)</f>
        <v>0</v>
      </c>
      <c r="X8" s="80">
        <f>SUMIFS('март 2024'!$G$4:$G$1612,'март 2024'!$D$4:$D$1612,$B8,'март 2024'!$J$4:$J$1612,X$1)</f>
        <v>0</v>
      </c>
      <c r="Y8" s="80">
        <f>SUMIFS('март 2024'!$G$4:$G$1612,'март 2024'!$D$4:$D$1612,$B8,'март 2024'!$J$4:$J$1612,Y$1)</f>
        <v>0</v>
      </c>
      <c r="Z8" s="80">
        <f>SUMIFS('март 2024'!$G$4:$G$1612,'март 2024'!$D$4:$D$1612,$B8,'март 2024'!$J$4:$J$1612,Z$1)</f>
        <v>0</v>
      </c>
      <c r="AA8" s="80">
        <f>SUMIFS('март 2024'!$G$4:$G$1612,'март 2024'!$D$4:$D$1612,$B8,'март 2024'!$J$4:$J$1612,AA$1)</f>
        <v>0</v>
      </c>
      <c r="AB8" s="80">
        <f>SUMIFS('март 2024'!$G$4:$G$1612,'март 2024'!$D$4:$D$1612,$B8,'март 2024'!$J$4:$J$1612,AB$1)</f>
        <v>0</v>
      </c>
      <c r="AC8" s="80">
        <f>SUMIFS('март 2024'!$G$4:$G$1612,'март 2024'!$D$4:$D$1612,$B8,'март 2024'!$J$4:$J$1612,AC$1)</f>
        <v>0</v>
      </c>
      <c r="AD8" s="80">
        <f>SUMIFS('март 2024'!$G$4:$G$1612,'март 2024'!$D$4:$D$1612,$B8,'март 2024'!$J$4:$J$1612,AD$1)</f>
        <v>0</v>
      </c>
      <c r="AE8" s="80">
        <f>SUMIFS('март 2024'!$G$4:$G$1612,'март 2024'!$D$4:$D$1612,$B8,'март 2024'!$J$4:$J$1612,AE$1)</f>
        <v>0</v>
      </c>
      <c r="AF8" s="80">
        <f>SUMIFS('март 2024'!$G$4:$G$1612,'март 2024'!$D$4:$D$1612,$B8,'март 2024'!$J$4:$J$1612,AF$1)</f>
        <v>0</v>
      </c>
      <c r="AG8" s="80">
        <f>SUMIFS('март 2024'!$G$4:$G$1612,'март 2024'!$D$4:$D$1612,$B8,'март 2024'!$J$4:$J$1612,AG$1)</f>
        <v>0</v>
      </c>
      <c r="AH8" s="80">
        <f>SUMIFS('март 2024'!$G$4:$G$1612,'март 2024'!$D$4:$D$1612,$B8,'март 2024'!$J$4:$J$1612,AH$1)</f>
        <v>0</v>
      </c>
      <c r="AI8" s="21">
        <f t="shared" si="1"/>
        <v>0</v>
      </c>
    </row>
    <row r="9" spans="2:35" ht="15" customHeight="1" x14ac:dyDescent="0.25">
      <c r="B9" s="81" t="s">
        <v>287</v>
      </c>
      <c r="C9" s="82">
        <v>25</v>
      </c>
      <c r="D9" s="80">
        <f>SUMIFS('март 2024'!$G$4:$G$1612,'март 2024'!$D$4:$D$1612,$B9,'март 2024'!$J$4:$J$1612,D$1)</f>
        <v>0</v>
      </c>
      <c r="E9" s="80">
        <f>SUMIFS('март 2024'!$G$4:$G$1612,'март 2024'!$D$4:$D$1612,$B9,'март 2024'!$J$4:$J$1612,E$1)</f>
        <v>0</v>
      </c>
      <c r="F9" s="80">
        <f>SUMIFS('март 2024'!$G$4:$G$1612,'март 2024'!$D$4:$D$1612,$B9,'март 2024'!$J$4:$J$1612,F$1)</f>
        <v>0</v>
      </c>
      <c r="G9" s="80">
        <f>SUMIFS('март 2024'!$G$4:$G$1612,'март 2024'!$D$4:$D$1612,$B9,'март 2024'!$J$4:$J$1612,G$1)</f>
        <v>0</v>
      </c>
      <c r="H9" s="80">
        <f>SUMIFS('март 2024'!$G$4:$G$1612,'март 2024'!$D$4:$D$1612,$B9,'март 2024'!$J$4:$J$1612,H$1)</f>
        <v>0</v>
      </c>
      <c r="I9" s="80">
        <f>SUMIFS('март 2024'!$G$4:$G$1612,'март 2024'!$D$4:$D$1612,$B9,'март 2024'!$J$4:$J$1612,I$1)</f>
        <v>0</v>
      </c>
      <c r="J9" s="80">
        <f>SUMIFS('март 2024'!$G$4:$G$1612,'март 2024'!$D$4:$D$1612,$B9,'март 2024'!$J$4:$J$1612,J$1)</f>
        <v>0</v>
      </c>
      <c r="K9" s="80">
        <f>SUMIFS('март 2024'!$G$4:$G$1612,'март 2024'!$D$4:$D$1612,$B9,'март 2024'!$J$4:$J$1612,K$1)</f>
        <v>0</v>
      </c>
      <c r="L9" s="80">
        <f>SUMIFS('март 2024'!$G$4:$G$1612,'март 2024'!$D$4:$D$1612,$B9,'март 2024'!$J$4:$J$1612,L$1)</f>
        <v>0</v>
      </c>
      <c r="M9" s="80">
        <f>SUMIFS('март 2024'!$G$4:$G$1612,'март 2024'!$D$4:$D$1612,$B9,'март 2024'!$J$4:$J$1612,M$1)</f>
        <v>0</v>
      </c>
      <c r="N9" s="80">
        <f>SUMIFS('март 2024'!$G$4:$G$1612,'март 2024'!$D$4:$D$1612,$B9,'март 2024'!$J$4:$J$1612,N$1)</f>
        <v>0</v>
      </c>
      <c r="O9" s="80">
        <f>SUMIFS('март 2024'!$G$4:$G$1612,'март 2024'!$D$4:$D$1612,$B9,'март 2024'!$J$4:$J$1612,O$1)</f>
        <v>0</v>
      </c>
      <c r="P9" s="80">
        <f>SUMIFS('март 2024'!$G$4:$G$1612,'март 2024'!$D$4:$D$1612,$B9,'март 2024'!$J$4:$J$1612,P$1)</f>
        <v>0</v>
      </c>
      <c r="Q9" s="80">
        <f>SUMIFS('март 2024'!$G$4:$G$1612,'март 2024'!$D$4:$D$1612,$B9,'март 2024'!$J$4:$J$1612,Q$1)</f>
        <v>0</v>
      </c>
      <c r="R9" s="80">
        <f>SUMIFS('март 2024'!$G$4:$G$1612,'март 2024'!$D$4:$D$1612,$B9,'март 2024'!$J$4:$J$1612,R$1)</f>
        <v>0</v>
      </c>
      <c r="S9" s="80">
        <f>SUMIFS('март 2024'!$G$4:$G$1612,'март 2024'!$D$4:$D$1612,$B9,'март 2024'!$J$4:$J$1612,S$1)</f>
        <v>0</v>
      </c>
      <c r="T9" s="80">
        <f>SUMIFS('март 2024'!$G$4:$G$1612,'март 2024'!$D$4:$D$1612,$B9,'март 2024'!$J$4:$J$1612,T$1)</f>
        <v>0</v>
      </c>
      <c r="U9" s="80">
        <f>SUMIFS('март 2024'!$G$4:$G$1612,'март 2024'!$D$4:$D$1612,$B9,'март 2024'!$J$4:$J$1612,U$1)</f>
        <v>0</v>
      </c>
      <c r="V9" s="80">
        <f>SUMIFS('март 2024'!$G$4:$G$1612,'март 2024'!$D$4:$D$1612,$B9,'март 2024'!$J$4:$J$1612,V$1)</f>
        <v>0</v>
      </c>
      <c r="W9" s="80">
        <f>SUMIFS('март 2024'!$G$4:$G$1612,'март 2024'!$D$4:$D$1612,$B9,'март 2024'!$J$4:$J$1612,W$1)</f>
        <v>0</v>
      </c>
      <c r="X9" s="80">
        <f>SUMIFS('март 2024'!$G$4:$G$1612,'март 2024'!$D$4:$D$1612,$B9,'март 2024'!$J$4:$J$1612,X$1)</f>
        <v>0</v>
      </c>
      <c r="Y9" s="80">
        <f>SUMIFS('март 2024'!$G$4:$G$1612,'март 2024'!$D$4:$D$1612,$B9,'март 2024'!$J$4:$J$1612,Y$1)</f>
        <v>0</v>
      </c>
      <c r="Z9" s="80">
        <f>SUMIFS('март 2024'!$G$4:$G$1612,'март 2024'!$D$4:$D$1612,$B9,'март 2024'!$J$4:$J$1612,Z$1)</f>
        <v>0</v>
      </c>
      <c r="AA9" s="80">
        <f>SUMIFS('март 2024'!$G$4:$G$1612,'март 2024'!$D$4:$D$1612,$B9,'март 2024'!$J$4:$J$1612,AA$1)</f>
        <v>0</v>
      </c>
      <c r="AB9" s="80">
        <f>SUMIFS('март 2024'!$G$4:$G$1612,'март 2024'!$D$4:$D$1612,$B9,'март 2024'!$J$4:$J$1612,AB$1)</f>
        <v>0</v>
      </c>
      <c r="AC9" s="80">
        <f>SUMIFS('март 2024'!$G$4:$G$1612,'март 2024'!$D$4:$D$1612,$B9,'март 2024'!$J$4:$J$1612,AC$1)</f>
        <v>0</v>
      </c>
      <c r="AD9" s="80">
        <f>SUMIFS('март 2024'!$G$4:$G$1612,'март 2024'!$D$4:$D$1612,$B9,'март 2024'!$J$4:$J$1612,AD$1)</f>
        <v>0</v>
      </c>
      <c r="AE9" s="80">
        <f>SUMIFS('март 2024'!$G$4:$G$1612,'март 2024'!$D$4:$D$1612,$B9,'март 2024'!$J$4:$J$1612,AE$1)</f>
        <v>0</v>
      </c>
      <c r="AF9" s="80">
        <f>SUMIFS('март 2024'!$G$4:$G$1612,'март 2024'!$D$4:$D$1612,$B9,'март 2024'!$J$4:$J$1612,AF$1)</f>
        <v>0</v>
      </c>
      <c r="AG9" s="80">
        <f>SUMIFS('март 2024'!$G$4:$G$1612,'март 2024'!$D$4:$D$1612,$B9,'март 2024'!$J$4:$J$1612,AG$1)</f>
        <v>0</v>
      </c>
      <c r="AH9" s="80">
        <f>SUMIFS('март 2024'!$G$4:$G$1612,'март 2024'!$D$4:$D$1612,$B9,'март 2024'!$J$4:$J$1612,AH$1)</f>
        <v>0</v>
      </c>
      <c r="AI9" s="21">
        <f t="shared" si="1"/>
        <v>0</v>
      </c>
    </row>
    <row r="10" spans="2:35" ht="15" customHeight="1" x14ac:dyDescent="0.25">
      <c r="B10" s="81" t="s">
        <v>289</v>
      </c>
      <c r="C10" s="82">
        <v>25</v>
      </c>
      <c r="D10" s="80">
        <f>SUMIFS('март 2024'!$G$4:$G$1612,'март 2024'!$D$4:$D$1612,$B10,'март 2024'!$J$4:$J$1612,D$1)</f>
        <v>0</v>
      </c>
      <c r="E10" s="80">
        <f>SUMIFS('март 2024'!$G$4:$G$1612,'март 2024'!$D$4:$D$1612,$B10,'март 2024'!$J$4:$J$1612,E$1)</f>
        <v>0</v>
      </c>
      <c r="F10" s="80">
        <f>SUMIFS('март 2024'!$G$4:$G$1612,'март 2024'!$D$4:$D$1612,$B10,'март 2024'!$J$4:$J$1612,F$1)</f>
        <v>0</v>
      </c>
      <c r="G10" s="80">
        <f>SUMIFS('март 2024'!$G$4:$G$1612,'март 2024'!$D$4:$D$1612,$B10,'март 2024'!$J$4:$J$1612,G$1)</f>
        <v>0</v>
      </c>
      <c r="H10" s="80">
        <f>SUMIFS('март 2024'!$G$4:$G$1612,'март 2024'!$D$4:$D$1612,$B10,'март 2024'!$J$4:$J$1612,H$1)</f>
        <v>0</v>
      </c>
      <c r="I10" s="80">
        <f>SUMIFS('март 2024'!$G$4:$G$1612,'март 2024'!$D$4:$D$1612,$B10,'март 2024'!$J$4:$J$1612,I$1)</f>
        <v>0</v>
      </c>
      <c r="J10" s="80">
        <f>SUMIFS('март 2024'!$G$4:$G$1612,'март 2024'!$D$4:$D$1612,$B10,'март 2024'!$J$4:$J$1612,J$1)</f>
        <v>800</v>
      </c>
      <c r="K10" s="80">
        <f>SUMIFS('март 2024'!$G$4:$G$1612,'март 2024'!$D$4:$D$1612,$B10,'март 2024'!$J$4:$J$1612,K$1)</f>
        <v>0</v>
      </c>
      <c r="L10" s="80">
        <f>SUMIFS('март 2024'!$G$4:$G$1612,'март 2024'!$D$4:$D$1612,$B10,'март 2024'!$J$4:$J$1612,L$1)</f>
        <v>0</v>
      </c>
      <c r="M10" s="80">
        <f>SUMIFS('март 2024'!$G$4:$G$1612,'март 2024'!$D$4:$D$1612,$B10,'март 2024'!$J$4:$J$1612,M$1)</f>
        <v>0</v>
      </c>
      <c r="N10" s="80">
        <f>SUMIFS('март 2024'!$G$4:$G$1612,'март 2024'!$D$4:$D$1612,$B10,'март 2024'!$J$4:$J$1612,N$1)</f>
        <v>0</v>
      </c>
      <c r="O10" s="80">
        <f>SUMIFS('март 2024'!$G$4:$G$1612,'март 2024'!$D$4:$D$1612,$B10,'март 2024'!$J$4:$J$1612,O$1)</f>
        <v>1600</v>
      </c>
      <c r="P10" s="80">
        <f>SUMIFS('март 2024'!$G$4:$G$1612,'март 2024'!$D$4:$D$1612,$B10,'март 2024'!$J$4:$J$1612,P$1)</f>
        <v>0</v>
      </c>
      <c r="Q10" s="80">
        <f>SUMIFS('март 2024'!$G$4:$G$1612,'март 2024'!$D$4:$D$1612,$B10,'март 2024'!$J$4:$J$1612,Q$1)</f>
        <v>400</v>
      </c>
      <c r="R10" s="80">
        <f>SUMIFS('март 2024'!$G$4:$G$1612,'март 2024'!$D$4:$D$1612,$B10,'март 2024'!$J$4:$J$1612,R$1)</f>
        <v>0</v>
      </c>
      <c r="S10" s="80">
        <f>SUMIFS('март 2024'!$G$4:$G$1612,'март 2024'!$D$4:$D$1612,$B10,'март 2024'!$J$4:$J$1612,S$1)</f>
        <v>0</v>
      </c>
      <c r="T10" s="80">
        <f>SUMIFS('март 2024'!$G$4:$G$1612,'март 2024'!$D$4:$D$1612,$B10,'март 2024'!$J$4:$J$1612,T$1)</f>
        <v>0</v>
      </c>
      <c r="U10" s="80">
        <f>SUMIFS('март 2024'!$G$4:$G$1612,'март 2024'!$D$4:$D$1612,$B10,'март 2024'!$J$4:$J$1612,U$1)</f>
        <v>0</v>
      </c>
      <c r="V10" s="80">
        <f>SUMIFS('март 2024'!$G$4:$G$1612,'март 2024'!$D$4:$D$1612,$B10,'март 2024'!$J$4:$J$1612,V$1)</f>
        <v>0</v>
      </c>
      <c r="W10" s="80">
        <f>SUMIFS('март 2024'!$G$4:$G$1612,'март 2024'!$D$4:$D$1612,$B10,'март 2024'!$J$4:$J$1612,W$1)</f>
        <v>0</v>
      </c>
      <c r="X10" s="80">
        <f>SUMIFS('март 2024'!$G$4:$G$1612,'март 2024'!$D$4:$D$1612,$B10,'март 2024'!$J$4:$J$1612,X$1)</f>
        <v>0</v>
      </c>
      <c r="Y10" s="80">
        <f>SUMIFS('март 2024'!$G$4:$G$1612,'март 2024'!$D$4:$D$1612,$B10,'март 2024'!$J$4:$J$1612,Y$1)</f>
        <v>0</v>
      </c>
      <c r="Z10" s="80">
        <f>SUMIFS('март 2024'!$G$4:$G$1612,'март 2024'!$D$4:$D$1612,$B10,'март 2024'!$J$4:$J$1612,Z$1)</f>
        <v>0</v>
      </c>
      <c r="AA10" s="80">
        <f>SUMIFS('март 2024'!$G$4:$G$1612,'март 2024'!$D$4:$D$1612,$B10,'март 2024'!$J$4:$J$1612,AA$1)</f>
        <v>0</v>
      </c>
      <c r="AB10" s="80">
        <f>SUMIFS('март 2024'!$G$4:$G$1612,'март 2024'!$D$4:$D$1612,$B10,'март 2024'!$J$4:$J$1612,AB$1)</f>
        <v>0</v>
      </c>
      <c r="AC10" s="80">
        <f>SUMIFS('март 2024'!$G$4:$G$1612,'март 2024'!$D$4:$D$1612,$B10,'март 2024'!$J$4:$J$1612,AC$1)</f>
        <v>800</v>
      </c>
      <c r="AD10" s="80">
        <f>SUMIFS('март 2024'!$G$4:$G$1612,'март 2024'!$D$4:$D$1612,$B10,'март 2024'!$J$4:$J$1612,AD$1)</f>
        <v>0</v>
      </c>
      <c r="AE10" s="80">
        <f>SUMIFS('март 2024'!$G$4:$G$1612,'март 2024'!$D$4:$D$1612,$B10,'март 2024'!$J$4:$J$1612,AE$1)</f>
        <v>800</v>
      </c>
      <c r="AF10" s="80">
        <f>SUMIFS('март 2024'!$G$4:$G$1612,'март 2024'!$D$4:$D$1612,$B10,'март 2024'!$J$4:$J$1612,AF$1)</f>
        <v>0</v>
      </c>
      <c r="AG10" s="80">
        <f>SUMIFS('март 2024'!$G$4:$G$1612,'март 2024'!$D$4:$D$1612,$B10,'март 2024'!$J$4:$J$1612,AG$1)</f>
        <v>0</v>
      </c>
      <c r="AH10" s="80">
        <f>SUMIFS('март 2024'!$G$4:$G$1612,'март 2024'!$D$4:$D$1612,$B10,'март 2024'!$J$4:$J$1612,AH$1)</f>
        <v>0</v>
      </c>
      <c r="AI10" s="21">
        <f t="shared" si="1"/>
        <v>4400</v>
      </c>
    </row>
    <row r="11" spans="2:35" ht="15" customHeight="1" x14ac:dyDescent="0.25">
      <c r="B11" s="84" t="s">
        <v>291</v>
      </c>
      <c r="C11" s="85">
        <v>22.68</v>
      </c>
      <c r="D11" s="80">
        <f>SUMIFS('март 2024'!$G$4:$G$1612,'март 2024'!$D$4:$D$1612,$B11,'март 2024'!$J$4:$J$1612,D$1)</f>
        <v>700</v>
      </c>
      <c r="E11" s="80">
        <f>SUMIFS('март 2024'!$G$4:$G$1612,'март 2024'!$D$4:$D$1612,$B11,'март 2024'!$J$4:$J$1612,E$1)</f>
        <v>0</v>
      </c>
      <c r="F11" s="80">
        <f>SUMIFS('март 2024'!$G$4:$G$1612,'март 2024'!$D$4:$D$1612,$B11,'март 2024'!$J$4:$J$1612,F$1)</f>
        <v>0</v>
      </c>
      <c r="G11" s="80">
        <f>SUMIFS('март 2024'!$G$4:$G$1612,'март 2024'!$D$4:$D$1612,$B11,'март 2024'!$J$4:$J$1612,G$1)</f>
        <v>0</v>
      </c>
      <c r="H11" s="80">
        <f>SUMIFS('март 2024'!$G$4:$G$1612,'март 2024'!$D$4:$D$1612,$B11,'март 2024'!$J$4:$J$1612,H$1)</f>
        <v>0</v>
      </c>
      <c r="I11" s="80">
        <f>SUMIFS('март 2024'!$G$4:$G$1612,'март 2024'!$D$4:$D$1612,$B11,'март 2024'!$J$4:$J$1612,I$1)</f>
        <v>0</v>
      </c>
      <c r="J11" s="80">
        <f>SUMIFS('март 2024'!$G$4:$G$1612,'март 2024'!$D$4:$D$1612,$B11,'март 2024'!$J$4:$J$1612,J$1)</f>
        <v>0</v>
      </c>
      <c r="K11" s="80">
        <f>SUMIFS('март 2024'!$G$4:$G$1612,'март 2024'!$D$4:$D$1612,$B11,'март 2024'!$J$4:$J$1612,K$1)</f>
        <v>0</v>
      </c>
      <c r="L11" s="80">
        <f>SUMIFS('март 2024'!$G$4:$G$1612,'март 2024'!$D$4:$D$1612,$B11,'март 2024'!$J$4:$J$1612,L$1)</f>
        <v>0</v>
      </c>
      <c r="M11" s="80">
        <f>SUMIFS('март 2024'!$G$4:$G$1612,'март 2024'!$D$4:$D$1612,$B11,'март 2024'!$J$4:$J$1612,M$1)</f>
        <v>0</v>
      </c>
      <c r="N11" s="80">
        <f>SUMIFS('март 2024'!$G$4:$G$1612,'март 2024'!$D$4:$D$1612,$B11,'март 2024'!$J$4:$J$1612,N$1)</f>
        <v>0</v>
      </c>
      <c r="O11" s="80">
        <f>SUMIFS('март 2024'!$G$4:$G$1612,'март 2024'!$D$4:$D$1612,$B11,'март 2024'!$J$4:$J$1612,O$1)</f>
        <v>0</v>
      </c>
      <c r="P11" s="80">
        <f>SUMIFS('март 2024'!$G$4:$G$1612,'март 2024'!$D$4:$D$1612,$B11,'март 2024'!$J$4:$J$1612,P$1)</f>
        <v>0</v>
      </c>
      <c r="Q11" s="80">
        <f>SUMIFS('март 2024'!$G$4:$G$1612,'март 2024'!$D$4:$D$1612,$B11,'март 2024'!$J$4:$J$1612,Q$1)</f>
        <v>0</v>
      </c>
      <c r="R11" s="80">
        <f>SUMIFS('март 2024'!$G$4:$G$1612,'март 2024'!$D$4:$D$1612,$B11,'март 2024'!$J$4:$J$1612,R$1)</f>
        <v>0</v>
      </c>
      <c r="S11" s="80">
        <f>SUMIFS('март 2024'!$G$4:$G$1612,'март 2024'!$D$4:$D$1612,$B11,'март 2024'!$J$4:$J$1612,S$1)</f>
        <v>0</v>
      </c>
      <c r="T11" s="80">
        <f>SUMIFS('март 2024'!$G$4:$G$1612,'март 2024'!$D$4:$D$1612,$B11,'март 2024'!$J$4:$J$1612,T$1)</f>
        <v>0</v>
      </c>
      <c r="U11" s="80">
        <f>SUMIFS('март 2024'!$G$4:$G$1612,'март 2024'!$D$4:$D$1612,$B11,'март 2024'!$J$4:$J$1612,U$1)</f>
        <v>0</v>
      </c>
      <c r="V11" s="80">
        <f>SUMIFS('март 2024'!$G$4:$G$1612,'март 2024'!$D$4:$D$1612,$B11,'март 2024'!$J$4:$J$1612,V$1)</f>
        <v>0</v>
      </c>
      <c r="W11" s="80">
        <f>SUMIFS('март 2024'!$G$4:$G$1612,'март 2024'!$D$4:$D$1612,$B11,'март 2024'!$J$4:$J$1612,W$1)</f>
        <v>0</v>
      </c>
      <c r="X11" s="80">
        <f>SUMIFS('март 2024'!$G$4:$G$1612,'март 2024'!$D$4:$D$1612,$B11,'март 2024'!$J$4:$J$1612,X$1)</f>
        <v>0</v>
      </c>
      <c r="Y11" s="80">
        <f>SUMIFS('март 2024'!$G$4:$G$1612,'март 2024'!$D$4:$D$1612,$B11,'март 2024'!$J$4:$J$1612,Y$1)</f>
        <v>0</v>
      </c>
      <c r="Z11" s="80">
        <f>SUMIFS('март 2024'!$G$4:$G$1612,'март 2024'!$D$4:$D$1612,$B11,'март 2024'!$J$4:$J$1612,Z$1)</f>
        <v>0</v>
      </c>
      <c r="AA11" s="80">
        <f>SUMIFS('март 2024'!$G$4:$G$1612,'март 2024'!$D$4:$D$1612,$B11,'март 2024'!$J$4:$J$1612,AA$1)</f>
        <v>0</v>
      </c>
      <c r="AB11" s="80">
        <f>SUMIFS('март 2024'!$G$4:$G$1612,'март 2024'!$D$4:$D$1612,$B11,'март 2024'!$J$4:$J$1612,AB$1)</f>
        <v>0</v>
      </c>
      <c r="AC11" s="80">
        <f>SUMIFS('март 2024'!$G$4:$G$1612,'март 2024'!$D$4:$D$1612,$B11,'март 2024'!$J$4:$J$1612,AC$1)</f>
        <v>0</v>
      </c>
      <c r="AD11" s="80">
        <f>SUMIFS('март 2024'!$G$4:$G$1612,'март 2024'!$D$4:$D$1612,$B11,'март 2024'!$J$4:$J$1612,AD$1)</f>
        <v>0</v>
      </c>
      <c r="AE11" s="80">
        <f>SUMIFS('март 2024'!$G$4:$G$1612,'март 2024'!$D$4:$D$1612,$B11,'март 2024'!$J$4:$J$1612,AE$1)</f>
        <v>0</v>
      </c>
      <c r="AF11" s="80">
        <f>SUMIFS('март 2024'!$G$4:$G$1612,'март 2024'!$D$4:$D$1612,$B11,'март 2024'!$J$4:$J$1612,AF$1)</f>
        <v>0</v>
      </c>
      <c r="AG11" s="80">
        <f>SUMIFS('март 2024'!$G$4:$G$1612,'март 2024'!$D$4:$D$1612,$B11,'март 2024'!$J$4:$J$1612,AG$1)</f>
        <v>0</v>
      </c>
      <c r="AH11" s="80">
        <f>SUMIFS('март 2024'!$G$4:$G$1612,'март 2024'!$D$4:$D$1612,$B11,'март 2024'!$J$4:$J$1612,AH$1)</f>
        <v>0</v>
      </c>
      <c r="AI11" s="21">
        <f t="shared" si="1"/>
        <v>700</v>
      </c>
    </row>
    <row r="12" spans="2:35" ht="15" customHeight="1" x14ac:dyDescent="0.25">
      <c r="B12" s="84" t="s">
        <v>293</v>
      </c>
      <c r="C12" s="85">
        <v>22.68</v>
      </c>
      <c r="D12" s="80">
        <f>SUMIFS('март 2024'!$G$4:$G$1612,'март 2024'!$D$4:$D$1612,$B12,'март 2024'!$J$4:$J$1612,D$1)</f>
        <v>0</v>
      </c>
      <c r="E12" s="80">
        <f>SUMIFS('март 2024'!$G$4:$G$1612,'март 2024'!$D$4:$D$1612,$B12,'март 2024'!$J$4:$J$1612,E$1)</f>
        <v>0</v>
      </c>
      <c r="F12" s="80">
        <f>SUMIFS('март 2024'!$G$4:$G$1612,'март 2024'!$D$4:$D$1612,$B12,'март 2024'!$J$4:$J$1612,F$1)</f>
        <v>0</v>
      </c>
      <c r="G12" s="80">
        <f>SUMIFS('март 2024'!$G$4:$G$1612,'март 2024'!$D$4:$D$1612,$B12,'март 2024'!$J$4:$J$1612,G$1)</f>
        <v>0</v>
      </c>
      <c r="H12" s="80">
        <f>SUMIFS('март 2024'!$G$4:$G$1612,'март 2024'!$D$4:$D$1612,$B12,'март 2024'!$J$4:$J$1612,H$1)</f>
        <v>0</v>
      </c>
      <c r="I12" s="80">
        <f>SUMIFS('март 2024'!$G$4:$G$1612,'март 2024'!$D$4:$D$1612,$B12,'март 2024'!$J$4:$J$1612,I$1)</f>
        <v>0</v>
      </c>
      <c r="J12" s="80">
        <f>SUMIFS('март 2024'!$G$4:$G$1612,'март 2024'!$D$4:$D$1612,$B12,'март 2024'!$J$4:$J$1612,J$1)</f>
        <v>0</v>
      </c>
      <c r="K12" s="80">
        <f>SUMIFS('март 2024'!$G$4:$G$1612,'март 2024'!$D$4:$D$1612,$B12,'март 2024'!$J$4:$J$1612,K$1)</f>
        <v>0</v>
      </c>
      <c r="L12" s="80">
        <f>SUMIFS('март 2024'!$G$4:$G$1612,'март 2024'!$D$4:$D$1612,$B12,'март 2024'!$J$4:$J$1612,L$1)</f>
        <v>0</v>
      </c>
      <c r="M12" s="80">
        <f>SUMIFS('март 2024'!$G$4:$G$1612,'март 2024'!$D$4:$D$1612,$B12,'март 2024'!$J$4:$J$1612,M$1)</f>
        <v>0</v>
      </c>
      <c r="N12" s="80">
        <f>SUMIFS('март 2024'!$G$4:$G$1612,'март 2024'!$D$4:$D$1612,$B12,'март 2024'!$J$4:$J$1612,N$1)</f>
        <v>0</v>
      </c>
      <c r="O12" s="80">
        <f>SUMIFS('март 2024'!$G$4:$G$1612,'март 2024'!$D$4:$D$1612,$B12,'март 2024'!$J$4:$J$1612,O$1)</f>
        <v>0</v>
      </c>
      <c r="P12" s="80">
        <f>SUMIFS('март 2024'!$G$4:$G$1612,'март 2024'!$D$4:$D$1612,$B12,'март 2024'!$J$4:$J$1612,P$1)</f>
        <v>0</v>
      </c>
      <c r="Q12" s="80">
        <f>SUMIFS('март 2024'!$G$4:$G$1612,'март 2024'!$D$4:$D$1612,$B12,'март 2024'!$J$4:$J$1612,Q$1)</f>
        <v>0</v>
      </c>
      <c r="R12" s="80">
        <f>SUMIFS('март 2024'!$G$4:$G$1612,'март 2024'!$D$4:$D$1612,$B12,'март 2024'!$J$4:$J$1612,R$1)</f>
        <v>0</v>
      </c>
      <c r="S12" s="80">
        <f>SUMIFS('март 2024'!$G$4:$G$1612,'март 2024'!$D$4:$D$1612,$B12,'март 2024'!$J$4:$J$1612,S$1)</f>
        <v>0</v>
      </c>
      <c r="T12" s="80">
        <f>SUMIFS('март 2024'!$G$4:$G$1612,'март 2024'!$D$4:$D$1612,$B12,'март 2024'!$J$4:$J$1612,T$1)</f>
        <v>0</v>
      </c>
      <c r="U12" s="80">
        <f>SUMIFS('март 2024'!$G$4:$G$1612,'март 2024'!$D$4:$D$1612,$B12,'март 2024'!$J$4:$J$1612,U$1)</f>
        <v>0</v>
      </c>
      <c r="V12" s="80">
        <f>SUMIFS('март 2024'!$G$4:$G$1612,'март 2024'!$D$4:$D$1612,$B12,'март 2024'!$J$4:$J$1612,V$1)</f>
        <v>0</v>
      </c>
      <c r="W12" s="80">
        <f>SUMIFS('март 2024'!$G$4:$G$1612,'март 2024'!$D$4:$D$1612,$B12,'март 2024'!$J$4:$J$1612,W$1)</f>
        <v>0</v>
      </c>
      <c r="X12" s="80">
        <f>SUMIFS('март 2024'!$G$4:$G$1612,'март 2024'!$D$4:$D$1612,$B12,'март 2024'!$J$4:$J$1612,X$1)</f>
        <v>0</v>
      </c>
      <c r="Y12" s="80">
        <f>SUMIFS('март 2024'!$G$4:$G$1612,'март 2024'!$D$4:$D$1612,$B12,'март 2024'!$J$4:$J$1612,Y$1)</f>
        <v>0</v>
      </c>
      <c r="Z12" s="80">
        <f>SUMIFS('март 2024'!$G$4:$G$1612,'март 2024'!$D$4:$D$1612,$B12,'март 2024'!$J$4:$J$1612,Z$1)</f>
        <v>0</v>
      </c>
      <c r="AA12" s="80">
        <f>SUMIFS('март 2024'!$G$4:$G$1612,'март 2024'!$D$4:$D$1612,$B12,'март 2024'!$J$4:$J$1612,AA$1)</f>
        <v>0</v>
      </c>
      <c r="AB12" s="80">
        <f>SUMIFS('март 2024'!$G$4:$G$1612,'март 2024'!$D$4:$D$1612,$B12,'март 2024'!$J$4:$J$1612,AB$1)</f>
        <v>0</v>
      </c>
      <c r="AC12" s="80">
        <f>SUMIFS('март 2024'!$G$4:$G$1612,'март 2024'!$D$4:$D$1612,$B12,'март 2024'!$J$4:$J$1612,AC$1)</f>
        <v>0</v>
      </c>
      <c r="AD12" s="80">
        <f>SUMIFS('март 2024'!$G$4:$G$1612,'март 2024'!$D$4:$D$1612,$B12,'март 2024'!$J$4:$J$1612,AD$1)</f>
        <v>0</v>
      </c>
      <c r="AE12" s="80">
        <f>SUMIFS('март 2024'!$G$4:$G$1612,'март 2024'!$D$4:$D$1612,$B12,'март 2024'!$J$4:$J$1612,AE$1)</f>
        <v>0</v>
      </c>
      <c r="AF12" s="80">
        <f>SUMIFS('март 2024'!$G$4:$G$1612,'март 2024'!$D$4:$D$1612,$B12,'март 2024'!$J$4:$J$1612,AF$1)</f>
        <v>0</v>
      </c>
      <c r="AG12" s="80">
        <f>SUMIFS('март 2024'!$G$4:$G$1612,'март 2024'!$D$4:$D$1612,$B12,'март 2024'!$J$4:$J$1612,AG$1)</f>
        <v>0</v>
      </c>
      <c r="AH12" s="80">
        <f>SUMIFS('март 2024'!$G$4:$G$1612,'март 2024'!$D$4:$D$1612,$B12,'март 2024'!$J$4:$J$1612,AH$1)</f>
        <v>0</v>
      </c>
      <c r="AI12" s="21">
        <f t="shared" si="1"/>
        <v>0</v>
      </c>
    </row>
    <row r="13" spans="2:35" ht="15" customHeight="1" x14ac:dyDescent="0.25">
      <c r="B13" s="84" t="s">
        <v>295</v>
      </c>
      <c r="C13" s="85">
        <v>22.7</v>
      </c>
      <c r="D13" s="80">
        <f>SUMIFS('март 2024'!$G$4:$G$1612,'март 2024'!$D$4:$D$1612,$B13,'март 2024'!$J$4:$J$1612,D$1)</f>
        <v>0</v>
      </c>
      <c r="E13" s="80">
        <f>SUMIFS('март 2024'!$G$4:$G$1612,'март 2024'!$D$4:$D$1612,$B13,'март 2024'!$J$4:$J$1612,E$1)</f>
        <v>0</v>
      </c>
      <c r="F13" s="80">
        <f>SUMIFS('март 2024'!$G$4:$G$1612,'март 2024'!$D$4:$D$1612,$B13,'март 2024'!$J$4:$J$1612,F$1)</f>
        <v>0</v>
      </c>
      <c r="G13" s="80">
        <f>SUMIFS('март 2024'!$G$4:$G$1612,'март 2024'!$D$4:$D$1612,$B13,'март 2024'!$J$4:$J$1612,G$1)</f>
        <v>0</v>
      </c>
      <c r="H13" s="80">
        <f>SUMIFS('март 2024'!$G$4:$G$1612,'март 2024'!$D$4:$D$1612,$B13,'март 2024'!$J$4:$J$1612,H$1)</f>
        <v>875</v>
      </c>
      <c r="I13" s="80">
        <f>SUMIFS('март 2024'!$G$4:$G$1612,'март 2024'!$D$4:$D$1612,$B13,'март 2024'!$J$4:$J$1612,I$1)</f>
        <v>0</v>
      </c>
      <c r="J13" s="80">
        <f>SUMIFS('март 2024'!$G$4:$G$1612,'март 2024'!$D$4:$D$1612,$B13,'март 2024'!$J$4:$J$1612,J$1)</f>
        <v>0</v>
      </c>
      <c r="K13" s="80">
        <f>SUMIFS('март 2024'!$G$4:$G$1612,'март 2024'!$D$4:$D$1612,$B13,'март 2024'!$J$4:$J$1612,K$1)</f>
        <v>0</v>
      </c>
      <c r="L13" s="80">
        <f>SUMIFS('март 2024'!$G$4:$G$1612,'март 2024'!$D$4:$D$1612,$B13,'март 2024'!$J$4:$J$1612,L$1)</f>
        <v>1750</v>
      </c>
      <c r="M13" s="80">
        <f>SUMIFS('март 2024'!$G$4:$G$1612,'март 2024'!$D$4:$D$1612,$B13,'март 2024'!$J$4:$J$1612,M$1)</f>
        <v>0</v>
      </c>
      <c r="N13" s="80">
        <f>SUMIFS('март 2024'!$G$4:$G$1612,'март 2024'!$D$4:$D$1612,$B13,'март 2024'!$J$4:$J$1612,N$1)</f>
        <v>0</v>
      </c>
      <c r="O13" s="80">
        <f>SUMIFS('март 2024'!$G$4:$G$1612,'март 2024'!$D$4:$D$1612,$B13,'март 2024'!$J$4:$J$1612,O$1)</f>
        <v>875</v>
      </c>
      <c r="P13" s="80">
        <f>SUMIFS('март 2024'!$G$4:$G$1612,'март 2024'!$D$4:$D$1612,$B13,'март 2024'!$J$4:$J$1612,P$1)</f>
        <v>0</v>
      </c>
      <c r="Q13" s="80">
        <f>SUMIFS('март 2024'!$G$4:$G$1612,'март 2024'!$D$4:$D$1612,$B13,'март 2024'!$J$4:$J$1612,Q$1)</f>
        <v>0</v>
      </c>
      <c r="R13" s="80">
        <f>SUMIFS('март 2024'!$G$4:$G$1612,'март 2024'!$D$4:$D$1612,$B13,'март 2024'!$J$4:$J$1612,R$1)</f>
        <v>875</v>
      </c>
      <c r="S13" s="80">
        <f>SUMIFS('март 2024'!$G$4:$G$1612,'март 2024'!$D$4:$D$1612,$B13,'март 2024'!$J$4:$J$1612,S$1)</f>
        <v>0</v>
      </c>
      <c r="T13" s="80">
        <f>SUMIFS('март 2024'!$G$4:$G$1612,'март 2024'!$D$4:$D$1612,$B13,'март 2024'!$J$4:$J$1612,T$1)</f>
        <v>0</v>
      </c>
      <c r="U13" s="80">
        <f>SUMIFS('март 2024'!$G$4:$G$1612,'март 2024'!$D$4:$D$1612,$B13,'март 2024'!$J$4:$J$1612,U$1)</f>
        <v>0</v>
      </c>
      <c r="V13" s="80">
        <f>SUMIFS('март 2024'!$G$4:$G$1612,'март 2024'!$D$4:$D$1612,$B13,'март 2024'!$J$4:$J$1612,V$1)</f>
        <v>0</v>
      </c>
      <c r="W13" s="80">
        <f>SUMIFS('март 2024'!$G$4:$G$1612,'март 2024'!$D$4:$D$1612,$B13,'март 2024'!$J$4:$J$1612,W$1)</f>
        <v>0</v>
      </c>
      <c r="X13" s="80">
        <f>SUMIFS('март 2024'!$G$4:$G$1612,'март 2024'!$D$4:$D$1612,$B13,'март 2024'!$J$4:$J$1612,X$1)</f>
        <v>0</v>
      </c>
      <c r="Y13" s="80">
        <f>SUMIFS('март 2024'!$G$4:$G$1612,'март 2024'!$D$4:$D$1612,$B13,'март 2024'!$J$4:$J$1612,Y$1)</f>
        <v>0</v>
      </c>
      <c r="Z13" s="80">
        <f>SUMIFS('март 2024'!$G$4:$G$1612,'март 2024'!$D$4:$D$1612,$B13,'март 2024'!$J$4:$J$1612,Z$1)</f>
        <v>0</v>
      </c>
      <c r="AA13" s="80">
        <f>SUMIFS('март 2024'!$G$4:$G$1612,'март 2024'!$D$4:$D$1612,$B13,'март 2024'!$J$4:$J$1612,AA$1)</f>
        <v>0</v>
      </c>
      <c r="AB13" s="80">
        <f>SUMIFS('март 2024'!$G$4:$G$1612,'март 2024'!$D$4:$D$1612,$B13,'март 2024'!$J$4:$J$1612,AB$1)</f>
        <v>0</v>
      </c>
      <c r="AC13" s="80">
        <f>SUMIFS('март 2024'!$G$4:$G$1612,'март 2024'!$D$4:$D$1612,$B13,'март 2024'!$J$4:$J$1612,AC$1)</f>
        <v>0</v>
      </c>
      <c r="AD13" s="80">
        <f>SUMIFS('март 2024'!$G$4:$G$1612,'март 2024'!$D$4:$D$1612,$B13,'март 2024'!$J$4:$J$1612,AD$1)</f>
        <v>0</v>
      </c>
      <c r="AE13" s="80">
        <f>SUMIFS('март 2024'!$G$4:$G$1612,'март 2024'!$D$4:$D$1612,$B13,'март 2024'!$J$4:$J$1612,AE$1)</f>
        <v>0</v>
      </c>
      <c r="AF13" s="80">
        <f>SUMIFS('март 2024'!$G$4:$G$1612,'март 2024'!$D$4:$D$1612,$B13,'март 2024'!$J$4:$J$1612,AF$1)</f>
        <v>0</v>
      </c>
      <c r="AG13" s="80">
        <f>SUMIFS('март 2024'!$G$4:$G$1612,'март 2024'!$D$4:$D$1612,$B13,'март 2024'!$J$4:$J$1612,AG$1)</f>
        <v>0</v>
      </c>
      <c r="AH13" s="80">
        <f>SUMIFS('март 2024'!$G$4:$G$1612,'март 2024'!$D$4:$D$1612,$B13,'март 2024'!$J$4:$J$1612,AH$1)</f>
        <v>0</v>
      </c>
      <c r="AI13" s="21">
        <f t="shared" si="1"/>
        <v>4375</v>
      </c>
    </row>
    <row r="14" spans="2:35" ht="15" customHeight="1" x14ac:dyDescent="0.25">
      <c r="B14" s="81" t="s">
        <v>297</v>
      </c>
      <c r="C14" s="82">
        <v>22.7</v>
      </c>
      <c r="D14" s="80">
        <f>SUMIFS('март 2024'!$G$4:$G$1612,'март 2024'!$D$4:$D$1612,$B14,'март 2024'!$J$4:$J$1612,D$1)</f>
        <v>0</v>
      </c>
      <c r="E14" s="80">
        <f>SUMIFS('март 2024'!$G$4:$G$1612,'март 2024'!$D$4:$D$1612,$B14,'март 2024'!$J$4:$J$1612,E$1)</f>
        <v>0</v>
      </c>
      <c r="F14" s="80">
        <f>SUMIFS('март 2024'!$G$4:$G$1612,'март 2024'!$D$4:$D$1612,$B14,'март 2024'!$J$4:$J$1612,F$1)</f>
        <v>0</v>
      </c>
      <c r="G14" s="80">
        <f>SUMIFS('март 2024'!$G$4:$G$1612,'март 2024'!$D$4:$D$1612,$B14,'март 2024'!$J$4:$J$1612,G$1)</f>
        <v>0</v>
      </c>
      <c r="H14" s="80">
        <f>SUMIFS('март 2024'!$G$4:$G$1612,'март 2024'!$D$4:$D$1612,$B14,'март 2024'!$J$4:$J$1612,H$1)</f>
        <v>0</v>
      </c>
      <c r="I14" s="80">
        <f>SUMIFS('март 2024'!$G$4:$G$1612,'март 2024'!$D$4:$D$1612,$B14,'март 2024'!$J$4:$J$1612,I$1)</f>
        <v>0</v>
      </c>
      <c r="J14" s="80">
        <f>SUMIFS('март 2024'!$G$4:$G$1612,'март 2024'!$D$4:$D$1612,$B14,'март 2024'!$J$4:$J$1612,J$1)</f>
        <v>0</v>
      </c>
      <c r="K14" s="80">
        <f>SUMIFS('март 2024'!$G$4:$G$1612,'март 2024'!$D$4:$D$1612,$B14,'март 2024'!$J$4:$J$1612,K$1)</f>
        <v>0</v>
      </c>
      <c r="L14" s="80">
        <f>SUMIFS('март 2024'!$G$4:$G$1612,'март 2024'!$D$4:$D$1612,$B14,'март 2024'!$J$4:$J$1612,L$1)</f>
        <v>0</v>
      </c>
      <c r="M14" s="80">
        <f>SUMIFS('март 2024'!$G$4:$G$1612,'март 2024'!$D$4:$D$1612,$B14,'март 2024'!$J$4:$J$1612,M$1)</f>
        <v>0</v>
      </c>
      <c r="N14" s="80">
        <f>SUMIFS('март 2024'!$G$4:$G$1612,'март 2024'!$D$4:$D$1612,$B14,'март 2024'!$J$4:$J$1612,N$1)</f>
        <v>0</v>
      </c>
      <c r="O14" s="80">
        <f>SUMIFS('март 2024'!$G$4:$G$1612,'март 2024'!$D$4:$D$1612,$B14,'март 2024'!$J$4:$J$1612,O$1)</f>
        <v>0</v>
      </c>
      <c r="P14" s="80">
        <f>SUMIFS('март 2024'!$G$4:$G$1612,'март 2024'!$D$4:$D$1612,$B14,'март 2024'!$J$4:$J$1612,P$1)</f>
        <v>0</v>
      </c>
      <c r="Q14" s="80">
        <f>SUMIFS('март 2024'!$G$4:$G$1612,'март 2024'!$D$4:$D$1612,$B14,'март 2024'!$J$4:$J$1612,Q$1)</f>
        <v>0</v>
      </c>
      <c r="R14" s="80">
        <f>SUMIFS('март 2024'!$G$4:$G$1612,'март 2024'!$D$4:$D$1612,$B14,'март 2024'!$J$4:$J$1612,R$1)</f>
        <v>0</v>
      </c>
      <c r="S14" s="80">
        <f>SUMIFS('март 2024'!$G$4:$G$1612,'март 2024'!$D$4:$D$1612,$B14,'март 2024'!$J$4:$J$1612,S$1)</f>
        <v>0</v>
      </c>
      <c r="T14" s="80">
        <f>SUMIFS('март 2024'!$G$4:$G$1612,'март 2024'!$D$4:$D$1612,$B14,'март 2024'!$J$4:$J$1612,T$1)</f>
        <v>0</v>
      </c>
      <c r="U14" s="80">
        <f>SUMIFS('март 2024'!$G$4:$G$1612,'март 2024'!$D$4:$D$1612,$B14,'март 2024'!$J$4:$J$1612,U$1)</f>
        <v>0</v>
      </c>
      <c r="V14" s="80">
        <f>SUMIFS('март 2024'!$G$4:$G$1612,'март 2024'!$D$4:$D$1612,$B14,'март 2024'!$J$4:$J$1612,V$1)</f>
        <v>0</v>
      </c>
      <c r="W14" s="80">
        <f>SUMIFS('март 2024'!$G$4:$G$1612,'март 2024'!$D$4:$D$1612,$B14,'март 2024'!$J$4:$J$1612,W$1)</f>
        <v>0</v>
      </c>
      <c r="X14" s="80">
        <f>SUMIFS('март 2024'!$G$4:$G$1612,'март 2024'!$D$4:$D$1612,$B14,'март 2024'!$J$4:$J$1612,X$1)</f>
        <v>0</v>
      </c>
      <c r="Y14" s="80">
        <f>SUMIFS('март 2024'!$G$4:$G$1612,'март 2024'!$D$4:$D$1612,$B14,'март 2024'!$J$4:$J$1612,Y$1)</f>
        <v>0</v>
      </c>
      <c r="Z14" s="80">
        <f>SUMIFS('март 2024'!$G$4:$G$1612,'март 2024'!$D$4:$D$1612,$B14,'март 2024'!$J$4:$J$1612,Z$1)</f>
        <v>0</v>
      </c>
      <c r="AA14" s="80">
        <f>SUMIFS('март 2024'!$G$4:$G$1612,'март 2024'!$D$4:$D$1612,$B14,'март 2024'!$J$4:$J$1612,AA$1)</f>
        <v>0</v>
      </c>
      <c r="AB14" s="80">
        <f>SUMIFS('март 2024'!$G$4:$G$1612,'март 2024'!$D$4:$D$1612,$B14,'март 2024'!$J$4:$J$1612,AB$1)</f>
        <v>0</v>
      </c>
      <c r="AC14" s="80">
        <f>SUMIFS('март 2024'!$G$4:$G$1612,'март 2024'!$D$4:$D$1612,$B14,'март 2024'!$J$4:$J$1612,AC$1)</f>
        <v>0</v>
      </c>
      <c r="AD14" s="80">
        <f>SUMIFS('март 2024'!$G$4:$G$1612,'март 2024'!$D$4:$D$1612,$B14,'март 2024'!$J$4:$J$1612,AD$1)</f>
        <v>0</v>
      </c>
      <c r="AE14" s="80">
        <f>SUMIFS('март 2024'!$G$4:$G$1612,'март 2024'!$D$4:$D$1612,$B14,'март 2024'!$J$4:$J$1612,AE$1)</f>
        <v>0</v>
      </c>
      <c r="AF14" s="80">
        <f>SUMIFS('март 2024'!$G$4:$G$1612,'март 2024'!$D$4:$D$1612,$B14,'март 2024'!$J$4:$J$1612,AF$1)</f>
        <v>0</v>
      </c>
      <c r="AG14" s="80">
        <f>SUMIFS('март 2024'!$G$4:$G$1612,'март 2024'!$D$4:$D$1612,$B14,'март 2024'!$J$4:$J$1612,AG$1)</f>
        <v>0</v>
      </c>
      <c r="AH14" s="80">
        <f>SUMIFS('март 2024'!$G$4:$G$1612,'март 2024'!$D$4:$D$1612,$B14,'март 2024'!$J$4:$J$1612,AH$1)</f>
        <v>0</v>
      </c>
      <c r="AI14" s="21">
        <f t="shared" si="1"/>
        <v>0</v>
      </c>
    </row>
    <row r="15" spans="2:35" ht="15" customHeight="1" x14ac:dyDescent="0.25">
      <c r="B15" s="84" t="s">
        <v>299</v>
      </c>
      <c r="C15" s="85">
        <v>22.7</v>
      </c>
      <c r="D15" s="80">
        <f>SUMIFS('март 2024'!$G$4:$G$1612,'март 2024'!$D$4:$D$1612,$B15,'март 2024'!$J$4:$J$1612,D$1)</f>
        <v>0</v>
      </c>
      <c r="E15" s="80">
        <f>SUMIFS('март 2024'!$G$4:$G$1612,'март 2024'!$D$4:$D$1612,$B15,'март 2024'!$J$4:$J$1612,E$1)</f>
        <v>0</v>
      </c>
      <c r="F15" s="80">
        <f>SUMIFS('март 2024'!$G$4:$G$1612,'март 2024'!$D$4:$D$1612,$B15,'март 2024'!$J$4:$J$1612,F$1)</f>
        <v>0</v>
      </c>
      <c r="G15" s="80">
        <f>SUMIFS('март 2024'!$G$4:$G$1612,'март 2024'!$D$4:$D$1612,$B15,'март 2024'!$J$4:$J$1612,G$1)</f>
        <v>0</v>
      </c>
      <c r="H15" s="80">
        <f>SUMIFS('март 2024'!$G$4:$G$1612,'март 2024'!$D$4:$D$1612,$B15,'март 2024'!$J$4:$J$1612,H$1)</f>
        <v>0</v>
      </c>
      <c r="I15" s="80">
        <f>SUMIFS('март 2024'!$G$4:$G$1612,'март 2024'!$D$4:$D$1612,$B15,'март 2024'!$J$4:$J$1612,I$1)</f>
        <v>0</v>
      </c>
      <c r="J15" s="80">
        <f>SUMIFS('март 2024'!$G$4:$G$1612,'март 2024'!$D$4:$D$1612,$B15,'март 2024'!$J$4:$J$1612,J$1)</f>
        <v>0</v>
      </c>
      <c r="K15" s="80">
        <f>SUMIFS('март 2024'!$G$4:$G$1612,'март 2024'!$D$4:$D$1612,$B15,'март 2024'!$J$4:$J$1612,K$1)</f>
        <v>0</v>
      </c>
      <c r="L15" s="80">
        <f>SUMIFS('март 2024'!$G$4:$G$1612,'март 2024'!$D$4:$D$1612,$B15,'март 2024'!$J$4:$J$1612,L$1)</f>
        <v>0</v>
      </c>
      <c r="M15" s="80">
        <f>SUMIFS('март 2024'!$G$4:$G$1612,'март 2024'!$D$4:$D$1612,$B15,'март 2024'!$J$4:$J$1612,M$1)</f>
        <v>0</v>
      </c>
      <c r="N15" s="80">
        <f>SUMIFS('март 2024'!$G$4:$G$1612,'март 2024'!$D$4:$D$1612,$B15,'март 2024'!$J$4:$J$1612,N$1)</f>
        <v>0</v>
      </c>
      <c r="O15" s="80">
        <f>SUMIFS('март 2024'!$G$4:$G$1612,'март 2024'!$D$4:$D$1612,$B15,'март 2024'!$J$4:$J$1612,O$1)</f>
        <v>0</v>
      </c>
      <c r="P15" s="80">
        <f>SUMIFS('март 2024'!$G$4:$G$1612,'март 2024'!$D$4:$D$1612,$B15,'март 2024'!$J$4:$J$1612,P$1)</f>
        <v>0</v>
      </c>
      <c r="Q15" s="80">
        <f>SUMIFS('март 2024'!$G$4:$G$1612,'март 2024'!$D$4:$D$1612,$B15,'март 2024'!$J$4:$J$1612,Q$1)</f>
        <v>0</v>
      </c>
      <c r="R15" s="80">
        <f>SUMIFS('март 2024'!$G$4:$G$1612,'март 2024'!$D$4:$D$1612,$B15,'март 2024'!$J$4:$J$1612,R$1)</f>
        <v>0</v>
      </c>
      <c r="S15" s="80">
        <f>SUMIFS('март 2024'!$G$4:$G$1612,'март 2024'!$D$4:$D$1612,$B15,'март 2024'!$J$4:$J$1612,S$1)</f>
        <v>0</v>
      </c>
      <c r="T15" s="80">
        <f>SUMIFS('март 2024'!$G$4:$G$1612,'март 2024'!$D$4:$D$1612,$B15,'март 2024'!$J$4:$J$1612,T$1)</f>
        <v>0</v>
      </c>
      <c r="U15" s="80">
        <f>SUMIFS('март 2024'!$G$4:$G$1612,'март 2024'!$D$4:$D$1612,$B15,'март 2024'!$J$4:$J$1612,U$1)</f>
        <v>0</v>
      </c>
      <c r="V15" s="80">
        <f>SUMIFS('март 2024'!$G$4:$G$1612,'март 2024'!$D$4:$D$1612,$B15,'март 2024'!$J$4:$J$1612,V$1)</f>
        <v>0</v>
      </c>
      <c r="W15" s="80">
        <f>SUMIFS('март 2024'!$G$4:$G$1612,'март 2024'!$D$4:$D$1612,$B15,'март 2024'!$J$4:$J$1612,W$1)</f>
        <v>0</v>
      </c>
      <c r="X15" s="80">
        <f>SUMIFS('март 2024'!$G$4:$G$1612,'март 2024'!$D$4:$D$1612,$B15,'март 2024'!$J$4:$J$1612,X$1)</f>
        <v>0</v>
      </c>
      <c r="Y15" s="80">
        <f>SUMIFS('март 2024'!$G$4:$G$1612,'март 2024'!$D$4:$D$1612,$B15,'март 2024'!$J$4:$J$1612,Y$1)</f>
        <v>0</v>
      </c>
      <c r="Z15" s="80">
        <f>SUMIFS('март 2024'!$G$4:$G$1612,'март 2024'!$D$4:$D$1612,$B15,'март 2024'!$J$4:$J$1612,Z$1)</f>
        <v>0</v>
      </c>
      <c r="AA15" s="80">
        <f>SUMIFS('март 2024'!$G$4:$G$1612,'март 2024'!$D$4:$D$1612,$B15,'март 2024'!$J$4:$J$1612,AA$1)</f>
        <v>0</v>
      </c>
      <c r="AB15" s="80">
        <f>SUMIFS('март 2024'!$G$4:$G$1612,'март 2024'!$D$4:$D$1612,$B15,'март 2024'!$J$4:$J$1612,AB$1)</f>
        <v>0</v>
      </c>
      <c r="AC15" s="80">
        <f>SUMIFS('март 2024'!$G$4:$G$1612,'март 2024'!$D$4:$D$1612,$B15,'март 2024'!$J$4:$J$1612,AC$1)</f>
        <v>0</v>
      </c>
      <c r="AD15" s="80">
        <f>SUMIFS('март 2024'!$G$4:$G$1612,'март 2024'!$D$4:$D$1612,$B15,'март 2024'!$J$4:$J$1612,AD$1)</f>
        <v>0</v>
      </c>
      <c r="AE15" s="80">
        <f>SUMIFS('март 2024'!$G$4:$G$1612,'март 2024'!$D$4:$D$1612,$B15,'март 2024'!$J$4:$J$1612,AE$1)</f>
        <v>0</v>
      </c>
      <c r="AF15" s="80">
        <f>SUMIFS('март 2024'!$G$4:$G$1612,'март 2024'!$D$4:$D$1612,$B15,'март 2024'!$J$4:$J$1612,AF$1)</f>
        <v>0</v>
      </c>
      <c r="AG15" s="80">
        <f>SUMIFS('март 2024'!$G$4:$G$1612,'март 2024'!$D$4:$D$1612,$B15,'март 2024'!$J$4:$J$1612,AG$1)</f>
        <v>0</v>
      </c>
      <c r="AH15" s="80">
        <f>SUMIFS('март 2024'!$G$4:$G$1612,'март 2024'!$D$4:$D$1612,$B15,'март 2024'!$J$4:$J$1612,AH$1)</f>
        <v>0</v>
      </c>
      <c r="AI15" s="21">
        <f t="shared" si="1"/>
        <v>0</v>
      </c>
    </row>
    <row r="16" spans="2:35" ht="15" customHeight="1" x14ac:dyDescent="0.25">
      <c r="B16" s="84" t="s">
        <v>301</v>
      </c>
      <c r="C16" s="85">
        <v>25</v>
      </c>
      <c r="D16" s="80">
        <f>SUMIFS('март 2024'!$G$4:$G$1612,'март 2024'!$D$4:$D$1612,$B16,'март 2024'!$J$4:$J$1612,D$1)</f>
        <v>0</v>
      </c>
      <c r="E16" s="80">
        <f>SUMIFS('март 2024'!$G$4:$G$1612,'март 2024'!$D$4:$D$1612,$B16,'март 2024'!$J$4:$J$1612,E$1)</f>
        <v>0</v>
      </c>
      <c r="F16" s="80">
        <f>SUMIFS('март 2024'!$G$4:$G$1612,'март 2024'!$D$4:$D$1612,$B16,'март 2024'!$J$4:$J$1612,F$1)</f>
        <v>0</v>
      </c>
      <c r="G16" s="80">
        <f>SUMIFS('март 2024'!$G$4:$G$1612,'март 2024'!$D$4:$D$1612,$B16,'март 2024'!$J$4:$J$1612,G$1)</f>
        <v>0</v>
      </c>
      <c r="H16" s="80">
        <f>SUMIFS('март 2024'!$G$4:$G$1612,'март 2024'!$D$4:$D$1612,$B16,'март 2024'!$J$4:$J$1612,H$1)</f>
        <v>0</v>
      </c>
      <c r="I16" s="80">
        <f>SUMIFS('март 2024'!$G$4:$G$1612,'март 2024'!$D$4:$D$1612,$B16,'март 2024'!$J$4:$J$1612,I$1)</f>
        <v>0</v>
      </c>
      <c r="J16" s="80">
        <f>SUMIFS('март 2024'!$G$4:$G$1612,'март 2024'!$D$4:$D$1612,$B16,'март 2024'!$J$4:$J$1612,J$1)</f>
        <v>0</v>
      </c>
      <c r="K16" s="80">
        <f>SUMIFS('март 2024'!$G$4:$G$1612,'март 2024'!$D$4:$D$1612,$B16,'март 2024'!$J$4:$J$1612,K$1)</f>
        <v>0</v>
      </c>
      <c r="L16" s="80">
        <f>SUMIFS('март 2024'!$G$4:$G$1612,'март 2024'!$D$4:$D$1612,$B16,'март 2024'!$J$4:$J$1612,L$1)</f>
        <v>0</v>
      </c>
      <c r="M16" s="80">
        <f>SUMIFS('март 2024'!$G$4:$G$1612,'март 2024'!$D$4:$D$1612,$B16,'март 2024'!$J$4:$J$1612,M$1)</f>
        <v>0</v>
      </c>
      <c r="N16" s="80">
        <f>SUMIFS('март 2024'!$G$4:$G$1612,'март 2024'!$D$4:$D$1612,$B16,'март 2024'!$J$4:$J$1612,N$1)</f>
        <v>0</v>
      </c>
      <c r="O16" s="80">
        <f>SUMIFS('март 2024'!$G$4:$G$1612,'март 2024'!$D$4:$D$1612,$B16,'март 2024'!$J$4:$J$1612,O$1)</f>
        <v>0</v>
      </c>
      <c r="P16" s="80">
        <f>SUMIFS('март 2024'!$G$4:$G$1612,'март 2024'!$D$4:$D$1612,$B16,'март 2024'!$J$4:$J$1612,P$1)</f>
        <v>0</v>
      </c>
      <c r="Q16" s="80">
        <f>SUMIFS('март 2024'!$G$4:$G$1612,'март 2024'!$D$4:$D$1612,$B16,'март 2024'!$J$4:$J$1612,Q$1)</f>
        <v>0</v>
      </c>
      <c r="R16" s="80">
        <f>SUMIFS('март 2024'!$G$4:$G$1612,'март 2024'!$D$4:$D$1612,$B16,'март 2024'!$J$4:$J$1612,R$1)</f>
        <v>0</v>
      </c>
      <c r="S16" s="80">
        <f>SUMIFS('март 2024'!$G$4:$G$1612,'март 2024'!$D$4:$D$1612,$B16,'март 2024'!$J$4:$J$1612,S$1)</f>
        <v>0</v>
      </c>
      <c r="T16" s="80">
        <f>SUMIFS('март 2024'!$G$4:$G$1612,'март 2024'!$D$4:$D$1612,$B16,'март 2024'!$J$4:$J$1612,T$1)</f>
        <v>0</v>
      </c>
      <c r="U16" s="80">
        <f>SUMIFS('март 2024'!$G$4:$G$1612,'март 2024'!$D$4:$D$1612,$B16,'март 2024'!$J$4:$J$1612,U$1)</f>
        <v>0</v>
      </c>
      <c r="V16" s="80">
        <f>SUMIFS('март 2024'!$G$4:$G$1612,'март 2024'!$D$4:$D$1612,$B16,'март 2024'!$J$4:$J$1612,V$1)</f>
        <v>0</v>
      </c>
      <c r="W16" s="80">
        <f>SUMIFS('март 2024'!$G$4:$G$1612,'март 2024'!$D$4:$D$1612,$B16,'март 2024'!$J$4:$J$1612,W$1)</f>
        <v>0</v>
      </c>
      <c r="X16" s="80">
        <f>SUMIFS('март 2024'!$G$4:$G$1612,'март 2024'!$D$4:$D$1612,$B16,'март 2024'!$J$4:$J$1612,X$1)</f>
        <v>0</v>
      </c>
      <c r="Y16" s="80">
        <f>SUMIFS('март 2024'!$G$4:$G$1612,'март 2024'!$D$4:$D$1612,$B16,'март 2024'!$J$4:$J$1612,Y$1)</f>
        <v>0</v>
      </c>
      <c r="Z16" s="80">
        <f>SUMIFS('март 2024'!$G$4:$G$1612,'март 2024'!$D$4:$D$1612,$B16,'март 2024'!$J$4:$J$1612,Z$1)</f>
        <v>0</v>
      </c>
      <c r="AA16" s="80">
        <f>SUMIFS('март 2024'!$G$4:$G$1612,'март 2024'!$D$4:$D$1612,$B16,'март 2024'!$J$4:$J$1612,AA$1)</f>
        <v>0</v>
      </c>
      <c r="AB16" s="80">
        <f>SUMIFS('март 2024'!$G$4:$G$1612,'март 2024'!$D$4:$D$1612,$B16,'март 2024'!$J$4:$J$1612,AB$1)</f>
        <v>0</v>
      </c>
      <c r="AC16" s="80">
        <f>SUMIFS('март 2024'!$G$4:$G$1612,'март 2024'!$D$4:$D$1612,$B16,'март 2024'!$J$4:$J$1612,AC$1)</f>
        <v>0</v>
      </c>
      <c r="AD16" s="80">
        <f>SUMIFS('март 2024'!$G$4:$G$1612,'март 2024'!$D$4:$D$1612,$B16,'март 2024'!$J$4:$J$1612,AD$1)</f>
        <v>0</v>
      </c>
      <c r="AE16" s="80">
        <f>SUMIFS('март 2024'!$G$4:$G$1612,'март 2024'!$D$4:$D$1612,$B16,'март 2024'!$J$4:$J$1612,AE$1)</f>
        <v>0</v>
      </c>
      <c r="AF16" s="80">
        <f>SUMIFS('март 2024'!$G$4:$G$1612,'март 2024'!$D$4:$D$1612,$B16,'март 2024'!$J$4:$J$1612,AF$1)</f>
        <v>0</v>
      </c>
      <c r="AG16" s="80">
        <f>SUMIFS('март 2024'!$G$4:$G$1612,'март 2024'!$D$4:$D$1612,$B16,'март 2024'!$J$4:$J$1612,AG$1)</f>
        <v>0</v>
      </c>
      <c r="AH16" s="80">
        <f>SUMIFS('март 2024'!$G$4:$G$1612,'март 2024'!$D$4:$D$1612,$B16,'март 2024'!$J$4:$J$1612,AH$1)</f>
        <v>0</v>
      </c>
      <c r="AI16" s="21">
        <f t="shared" si="1"/>
        <v>0</v>
      </c>
    </row>
    <row r="17" spans="2:35" ht="15" customHeight="1" x14ac:dyDescent="0.25">
      <c r="B17" s="81" t="s">
        <v>303</v>
      </c>
      <c r="C17" s="82">
        <v>25</v>
      </c>
      <c r="D17" s="80">
        <f>SUMIFS('март 2024'!$G$4:$G$1612,'март 2024'!$D$4:$D$1612,$B17,'март 2024'!$J$4:$J$1612,D$1)</f>
        <v>0</v>
      </c>
      <c r="E17" s="80">
        <f>SUMIFS('март 2024'!$G$4:$G$1612,'март 2024'!$D$4:$D$1612,$B17,'март 2024'!$J$4:$J$1612,E$1)</f>
        <v>0</v>
      </c>
      <c r="F17" s="80">
        <f>SUMIFS('март 2024'!$G$4:$G$1612,'март 2024'!$D$4:$D$1612,$B17,'март 2024'!$J$4:$J$1612,F$1)</f>
        <v>0</v>
      </c>
      <c r="G17" s="80">
        <f>SUMIFS('март 2024'!$G$4:$G$1612,'март 2024'!$D$4:$D$1612,$B17,'март 2024'!$J$4:$J$1612,G$1)</f>
        <v>0</v>
      </c>
      <c r="H17" s="80">
        <f>SUMIFS('март 2024'!$G$4:$G$1612,'март 2024'!$D$4:$D$1612,$B17,'март 2024'!$J$4:$J$1612,H$1)</f>
        <v>0</v>
      </c>
      <c r="I17" s="80">
        <f>SUMIFS('март 2024'!$G$4:$G$1612,'март 2024'!$D$4:$D$1612,$B17,'март 2024'!$J$4:$J$1612,I$1)</f>
        <v>0</v>
      </c>
      <c r="J17" s="80">
        <f>SUMIFS('март 2024'!$G$4:$G$1612,'март 2024'!$D$4:$D$1612,$B17,'март 2024'!$J$4:$J$1612,J$1)</f>
        <v>0</v>
      </c>
      <c r="K17" s="80">
        <f>SUMIFS('март 2024'!$G$4:$G$1612,'март 2024'!$D$4:$D$1612,$B17,'март 2024'!$J$4:$J$1612,K$1)</f>
        <v>0</v>
      </c>
      <c r="L17" s="80">
        <f>SUMIFS('март 2024'!$G$4:$G$1612,'март 2024'!$D$4:$D$1612,$B17,'март 2024'!$J$4:$J$1612,L$1)</f>
        <v>0</v>
      </c>
      <c r="M17" s="80">
        <f>SUMIFS('март 2024'!$G$4:$G$1612,'март 2024'!$D$4:$D$1612,$B17,'март 2024'!$J$4:$J$1612,M$1)</f>
        <v>0</v>
      </c>
      <c r="N17" s="80">
        <f>SUMIFS('март 2024'!$G$4:$G$1612,'март 2024'!$D$4:$D$1612,$B17,'март 2024'!$J$4:$J$1612,N$1)</f>
        <v>0</v>
      </c>
      <c r="O17" s="80">
        <f>SUMIFS('март 2024'!$G$4:$G$1612,'март 2024'!$D$4:$D$1612,$B17,'март 2024'!$J$4:$J$1612,O$1)</f>
        <v>0</v>
      </c>
      <c r="P17" s="80">
        <f>SUMIFS('март 2024'!$G$4:$G$1612,'март 2024'!$D$4:$D$1612,$B17,'март 2024'!$J$4:$J$1612,P$1)</f>
        <v>0</v>
      </c>
      <c r="Q17" s="80">
        <f>SUMIFS('март 2024'!$G$4:$G$1612,'март 2024'!$D$4:$D$1612,$B17,'март 2024'!$J$4:$J$1612,Q$1)</f>
        <v>0</v>
      </c>
      <c r="R17" s="80">
        <f>SUMIFS('март 2024'!$G$4:$G$1612,'март 2024'!$D$4:$D$1612,$B17,'март 2024'!$J$4:$J$1612,R$1)</f>
        <v>0</v>
      </c>
      <c r="S17" s="80">
        <f>SUMIFS('март 2024'!$G$4:$G$1612,'март 2024'!$D$4:$D$1612,$B17,'март 2024'!$J$4:$J$1612,S$1)</f>
        <v>0</v>
      </c>
      <c r="T17" s="80">
        <f>SUMIFS('март 2024'!$G$4:$G$1612,'март 2024'!$D$4:$D$1612,$B17,'март 2024'!$J$4:$J$1612,T$1)</f>
        <v>0</v>
      </c>
      <c r="U17" s="80">
        <f>SUMIFS('март 2024'!$G$4:$G$1612,'март 2024'!$D$4:$D$1612,$B17,'март 2024'!$J$4:$J$1612,U$1)</f>
        <v>0</v>
      </c>
      <c r="V17" s="80">
        <f>SUMIFS('март 2024'!$G$4:$G$1612,'март 2024'!$D$4:$D$1612,$B17,'март 2024'!$J$4:$J$1612,V$1)</f>
        <v>0</v>
      </c>
      <c r="W17" s="80">
        <f>SUMIFS('март 2024'!$G$4:$G$1612,'март 2024'!$D$4:$D$1612,$B17,'март 2024'!$J$4:$J$1612,W$1)</f>
        <v>0</v>
      </c>
      <c r="X17" s="80">
        <f>SUMIFS('март 2024'!$G$4:$G$1612,'март 2024'!$D$4:$D$1612,$B17,'март 2024'!$J$4:$J$1612,X$1)</f>
        <v>0</v>
      </c>
      <c r="Y17" s="80">
        <f>SUMIFS('март 2024'!$G$4:$G$1612,'март 2024'!$D$4:$D$1612,$B17,'март 2024'!$J$4:$J$1612,Y$1)</f>
        <v>0</v>
      </c>
      <c r="Z17" s="80">
        <f>SUMIFS('март 2024'!$G$4:$G$1612,'март 2024'!$D$4:$D$1612,$B17,'март 2024'!$J$4:$J$1612,Z$1)</f>
        <v>0</v>
      </c>
      <c r="AA17" s="80">
        <f>SUMIFS('март 2024'!$G$4:$G$1612,'март 2024'!$D$4:$D$1612,$B17,'март 2024'!$J$4:$J$1612,AA$1)</f>
        <v>0</v>
      </c>
      <c r="AB17" s="80">
        <f>SUMIFS('март 2024'!$G$4:$G$1612,'март 2024'!$D$4:$D$1612,$B17,'март 2024'!$J$4:$J$1612,AB$1)</f>
        <v>0</v>
      </c>
      <c r="AC17" s="80">
        <f>SUMIFS('март 2024'!$G$4:$G$1612,'март 2024'!$D$4:$D$1612,$B17,'март 2024'!$J$4:$J$1612,AC$1)</f>
        <v>0</v>
      </c>
      <c r="AD17" s="80">
        <f>SUMIFS('март 2024'!$G$4:$G$1612,'март 2024'!$D$4:$D$1612,$B17,'март 2024'!$J$4:$J$1612,AD$1)</f>
        <v>0</v>
      </c>
      <c r="AE17" s="80">
        <f>SUMIFS('март 2024'!$G$4:$G$1612,'март 2024'!$D$4:$D$1612,$B17,'март 2024'!$J$4:$J$1612,AE$1)</f>
        <v>0</v>
      </c>
      <c r="AF17" s="80">
        <f>SUMIFS('март 2024'!$G$4:$G$1612,'март 2024'!$D$4:$D$1612,$B17,'март 2024'!$J$4:$J$1612,AF$1)</f>
        <v>0</v>
      </c>
      <c r="AG17" s="80">
        <f>SUMIFS('март 2024'!$G$4:$G$1612,'март 2024'!$D$4:$D$1612,$B17,'март 2024'!$J$4:$J$1612,AG$1)</f>
        <v>0</v>
      </c>
      <c r="AH17" s="80">
        <f>SUMIFS('март 2024'!$G$4:$G$1612,'март 2024'!$D$4:$D$1612,$B17,'март 2024'!$J$4:$J$1612,AH$1)</f>
        <v>0</v>
      </c>
      <c r="AI17" s="21">
        <f t="shared" si="1"/>
        <v>0</v>
      </c>
    </row>
    <row r="18" spans="2:35" ht="15" customHeight="1" x14ac:dyDescent="0.25">
      <c r="B18" s="81" t="s">
        <v>305</v>
      </c>
      <c r="C18" s="82">
        <v>25</v>
      </c>
      <c r="D18" s="80">
        <f>SUMIFS('март 2024'!$G$4:$G$1612,'март 2024'!$D$4:$D$1612,$B18,'март 2024'!$J$4:$J$1612,D$1)</f>
        <v>0</v>
      </c>
      <c r="E18" s="80">
        <f>SUMIFS('март 2024'!$G$4:$G$1612,'март 2024'!$D$4:$D$1612,$B18,'март 2024'!$J$4:$J$1612,E$1)</f>
        <v>0</v>
      </c>
      <c r="F18" s="80">
        <f>SUMIFS('март 2024'!$G$4:$G$1612,'март 2024'!$D$4:$D$1612,$B18,'март 2024'!$J$4:$J$1612,F$1)</f>
        <v>0</v>
      </c>
      <c r="G18" s="80">
        <f>SUMIFS('март 2024'!$G$4:$G$1612,'март 2024'!$D$4:$D$1612,$B18,'март 2024'!$J$4:$J$1612,G$1)</f>
        <v>0</v>
      </c>
      <c r="H18" s="80">
        <f>SUMIFS('март 2024'!$G$4:$G$1612,'март 2024'!$D$4:$D$1612,$B18,'март 2024'!$J$4:$J$1612,H$1)</f>
        <v>0</v>
      </c>
      <c r="I18" s="80">
        <f>SUMIFS('март 2024'!$G$4:$G$1612,'март 2024'!$D$4:$D$1612,$B18,'март 2024'!$J$4:$J$1612,I$1)</f>
        <v>0</v>
      </c>
      <c r="J18" s="80">
        <f>SUMIFS('март 2024'!$G$4:$G$1612,'март 2024'!$D$4:$D$1612,$B18,'март 2024'!$J$4:$J$1612,J$1)</f>
        <v>0</v>
      </c>
      <c r="K18" s="80">
        <f>SUMIFS('март 2024'!$G$4:$G$1612,'март 2024'!$D$4:$D$1612,$B18,'март 2024'!$J$4:$J$1612,K$1)</f>
        <v>0</v>
      </c>
      <c r="L18" s="80">
        <f>SUMIFS('март 2024'!$G$4:$G$1612,'март 2024'!$D$4:$D$1612,$B18,'март 2024'!$J$4:$J$1612,L$1)</f>
        <v>0</v>
      </c>
      <c r="M18" s="80">
        <f>SUMIFS('март 2024'!$G$4:$G$1612,'март 2024'!$D$4:$D$1612,$B18,'март 2024'!$J$4:$J$1612,M$1)</f>
        <v>0</v>
      </c>
      <c r="N18" s="80">
        <f>SUMIFS('март 2024'!$G$4:$G$1612,'март 2024'!$D$4:$D$1612,$B18,'март 2024'!$J$4:$J$1612,N$1)</f>
        <v>0</v>
      </c>
      <c r="O18" s="80">
        <f>SUMIFS('март 2024'!$G$4:$G$1612,'март 2024'!$D$4:$D$1612,$B18,'март 2024'!$J$4:$J$1612,O$1)</f>
        <v>0</v>
      </c>
      <c r="P18" s="80">
        <f>SUMIFS('март 2024'!$G$4:$G$1612,'март 2024'!$D$4:$D$1612,$B18,'март 2024'!$J$4:$J$1612,P$1)</f>
        <v>0</v>
      </c>
      <c r="Q18" s="80">
        <f>SUMIFS('март 2024'!$G$4:$G$1612,'март 2024'!$D$4:$D$1612,$B18,'март 2024'!$J$4:$J$1612,Q$1)</f>
        <v>0</v>
      </c>
      <c r="R18" s="80">
        <f>SUMIFS('март 2024'!$G$4:$G$1612,'март 2024'!$D$4:$D$1612,$B18,'март 2024'!$J$4:$J$1612,R$1)</f>
        <v>0</v>
      </c>
      <c r="S18" s="80">
        <f>SUMIFS('март 2024'!$G$4:$G$1612,'март 2024'!$D$4:$D$1612,$B18,'март 2024'!$J$4:$J$1612,S$1)</f>
        <v>0</v>
      </c>
      <c r="T18" s="80">
        <f>SUMIFS('март 2024'!$G$4:$G$1612,'март 2024'!$D$4:$D$1612,$B18,'март 2024'!$J$4:$J$1612,T$1)</f>
        <v>0</v>
      </c>
      <c r="U18" s="80">
        <f>SUMIFS('март 2024'!$G$4:$G$1612,'март 2024'!$D$4:$D$1612,$B18,'март 2024'!$J$4:$J$1612,U$1)</f>
        <v>0</v>
      </c>
      <c r="V18" s="80">
        <f>SUMIFS('март 2024'!$G$4:$G$1612,'март 2024'!$D$4:$D$1612,$B18,'март 2024'!$J$4:$J$1612,V$1)</f>
        <v>2400</v>
      </c>
      <c r="W18" s="80">
        <f>SUMIFS('март 2024'!$G$4:$G$1612,'март 2024'!$D$4:$D$1612,$B18,'март 2024'!$J$4:$J$1612,W$1)</f>
        <v>0</v>
      </c>
      <c r="X18" s="80">
        <f>SUMIFS('март 2024'!$G$4:$G$1612,'март 2024'!$D$4:$D$1612,$B18,'март 2024'!$J$4:$J$1612,X$1)</f>
        <v>0</v>
      </c>
      <c r="Y18" s="80">
        <f>SUMIFS('март 2024'!$G$4:$G$1612,'март 2024'!$D$4:$D$1612,$B18,'март 2024'!$J$4:$J$1612,Y$1)</f>
        <v>0</v>
      </c>
      <c r="Z18" s="80">
        <f>SUMIFS('март 2024'!$G$4:$G$1612,'март 2024'!$D$4:$D$1612,$B18,'март 2024'!$J$4:$J$1612,Z$1)</f>
        <v>0</v>
      </c>
      <c r="AA18" s="80">
        <f>SUMIFS('март 2024'!$G$4:$G$1612,'март 2024'!$D$4:$D$1612,$B18,'март 2024'!$J$4:$J$1612,AA$1)</f>
        <v>0</v>
      </c>
      <c r="AB18" s="80">
        <f>SUMIFS('март 2024'!$G$4:$G$1612,'март 2024'!$D$4:$D$1612,$B18,'март 2024'!$J$4:$J$1612,AB$1)</f>
        <v>0</v>
      </c>
      <c r="AC18" s="80">
        <f>SUMIFS('март 2024'!$G$4:$G$1612,'март 2024'!$D$4:$D$1612,$B18,'март 2024'!$J$4:$J$1612,AC$1)</f>
        <v>0</v>
      </c>
      <c r="AD18" s="80">
        <f>SUMIFS('март 2024'!$G$4:$G$1612,'март 2024'!$D$4:$D$1612,$B18,'март 2024'!$J$4:$J$1612,AD$1)</f>
        <v>0</v>
      </c>
      <c r="AE18" s="80">
        <f>SUMIFS('март 2024'!$G$4:$G$1612,'март 2024'!$D$4:$D$1612,$B18,'март 2024'!$J$4:$J$1612,AE$1)</f>
        <v>0</v>
      </c>
      <c r="AF18" s="80">
        <f>SUMIFS('март 2024'!$G$4:$G$1612,'март 2024'!$D$4:$D$1612,$B18,'март 2024'!$J$4:$J$1612,AF$1)</f>
        <v>0</v>
      </c>
      <c r="AG18" s="80">
        <f>SUMIFS('март 2024'!$G$4:$G$1612,'март 2024'!$D$4:$D$1612,$B18,'март 2024'!$J$4:$J$1612,AG$1)</f>
        <v>0</v>
      </c>
      <c r="AH18" s="80">
        <f>SUMIFS('март 2024'!$G$4:$G$1612,'март 2024'!$D$4:$D$1612,$B18,'март 2024'!$J$4:$J$1612,AH$1)</f>
        <v>0</v>
      </c>
      <c r="AI18" s="21">
        <f t="shared" si="1"/>
        <v>2400</v>
      </c>
    </row>
    <row r="19" spans="2:35" ht="15" customHeight="1" x14ac:dyDescent="0.25">
      <c r="B19" s="81" t="s">
        <v>307</v>
      </c>
      <c r="C19" s="82">
        <v>25</v>
      </c>
      <c r="D19" s="80">
        <f>SUMIFS('март 2024'!$G$4:$G$1612,'март 2024'!$D$4:$D$1612,$B19,'март 2024'!$J$4:$J$1612,D$1)</f>
        <v>0</v>
      </c>
      <c r="E19" s="80">
        <f>SUMIFS('март 2024'!$G$4:$G$1612,'март 2024'!$D$4:$D$1612,$B19,'март 2024'!$J$4:$J$1612,E$1)</f>
        <v>0</v>
      </c>
      <c r="F19" s="80">
        <f>SUMIFS('март 2024'!$G$4:$G$1612,'март 2024'!$D$4:$D$1612,$B19,'март 2024'!$J$4:$J$1612,F$1)</f>
        <v>0</v>
      </c>
      <c r="G19" s="80">
        <f>SUMIFS('март 2024'!$G$4:$G$1612,'март 2024'!$D$4:$D$1612,$B19,'март 2024'!$J$4:$J$1612,G$1)</f>
        <v>0</v>
      </c>
      <c r="H19" s="80">
        <f>SUMIFS('март 2024'!$G$4:$G$1612,'март 2024'!$D$4:$D$1612,$B19,'март 2024'!$J$4:$J$1612,H$1)</f>
        <v>0</v>
      </c>
      <c r="I19" s="80">
        <f>SUMIFS('март 2024'!$G$4:$G$1612,'март 2024'!$D$4:$D$1612,$B19,'март 2024'!$J$4:$J$1612,I$1)</f>
        <v>0</v>
      </c>
      <c r="J19" s="80">
        <f>SUMIFS('март 2024'!$G$4:$G$1612,'март 2024'!$D$4:$D$1612,$B19,'март 2024'!$J$4:$J$1612,J$1)</f>
        <v>0</v>
      </c>
      <c r="K19" s="80">
        <f>SUMIFS('март 2024'!$G$4:$G$1612,'март 2024'!$D$4:$D$1612,$B19,'март 2024'!$J$4:$J$1612,K$1)</f>
        <v>0</v>
      </c>
      <c r="L19" s="80">
        <f>SUMIFS('март 2024'!$G$4:$G$1612,'март 2024'!$D$4:$D$1612,$B19,'март 2024'!$J$4:$J$1612,L$1)</f>
        <v>0</v>
      </c>
      <c r="M19" s="80">
        <f>SUMIFS('март 2024'!$G$4:$G$1612,'март 2024'!$D$4:$D$1612,$B19,'март 2024'!$J$4:$J$1612,M$1)</f>
        <v>0</v>
      </c>
      <c r="N19" s="80">
        <f>SUMIFS('март 2024'!$G$4:$G$1612,'март 2024'!$D$4:$D$1612,$B19,'март 2024'!$J$4:$J$1612,N$1)</f>
        <v>0</v>
      </c>
      <c r="O19" s="80">
        <f>SUMIFS('март 2024'!$G$4:$G$1612,'март 2024'!$D$4:$D$1612,$B19,'март 2024'!$J$4:$J$1612,O$1)</f>
        <v>0</v>
      </c>
      <c r="P19" s="80">
        <f>SUMIFS('март 2024'!$G$4:$G$1612,'март 2024'!$D$4:$D$1612,$B19,'март 2024'!$J$4:$J$1612,P$1)</f>
        <v>0</v>
      </c>
      <c r="Q19" s="80">
        <f>SUMIFS('март 2024'!$G$4:$G$1612,'март 2024'!$D$4:$D$1612,$B19,'март 2024'!$J$4:$J$1612,Q$1)</f>
        <v>0</v>
      </c>
      <c r="R19" s="80">
        <f>SUMIFS('март 2024'!$G$4:$G$1612,'март 2024'!$D$4:$D$1612,$B19,'март 2024'!$J$4:$J$1612,R$1)</f>
        <v>0</v>
      </c>
      <c r="S19" s="80">
        <f>SUMIFS('март 2024'!$G$4:$G$1612,'март 2024'!$D$4:$D$1612,$B19,'март 2024'!$J$4:$J$1612,S$1)</f>
        <v>0</v>
      </c>
      <c r="T19" s="80">
        <f>SUMIFS('март 2024'!$G$4:$G$1612,'март 2024'!$D$4:$D$1612,$B19,'март 2024'!$J$4:$J$1612,T$1)</f>
        <v>0</v>
      </c>
      <c r="U19" s="80">
        <f>SUMIFS('март 2024'!$G$4:$G$1612,'март 2024'!$D$4:$D$1612,$B19,'март 2024'!$J$4:$J$1612,U$1)</f>
        <v>0</v>
      </c>
      <c r="V19" s="80">
        <f>SUMIFS('март 2024'!$G$4:$G$1612,'март 2024'!$D$4:$D$1612,$B19,'март 2024'!$J$4:$J$1612,V$1)</f>
        <v>0</v>
      </c>
      <c r="W19" s="80">
        <f>SUMIFS('март 2024'!$G$4:$G$1612,'март 2024'!$D$4:$D$1612,$B19,'март 2024'!$J$4:$J$1612,W$1)</f>
        <v>0</v>
      </c>
      <c r="X19" s="80">
        <f>SUMIFS('март 2024'!$G$4:$G$1612,'март 2024'!$D$4:$D$1612,$B19,'март 2024'!$J$4:$J$1612,X$1)</f>
        <v>0</v>
      </c>
      <c r="Y19" s="80">
        <f>SUMIFS('март 2024'!$G$4:$G$1612,'март 2024'!$D$4:$D$1612,$B19,'март 2024'!$J$4:$J$1612,Y$1)</f>
        <v>0</v>
      </c>
      <c r="Z19" s="80">
        <f>SUMIFS('март 2024'!$G$4:$G$1612,'март 2024'!$D$4:$D$1612,$B19,'март 2024'!$J$4:$J$1612,Z$1)</f>
        <v>0</v>
      </c>
      <c r="AA19" s="80">
        <f>SUMIFS('март 2024'!$G$4:$G$1612,'март 2024'!$D$4:$D$1612,$B19,'март 2024'!$J$4:$J$1612,AA$1)</f>
        <v>0</v>
      </c>
      <c r="AB19" s="80">
        <f>SUMIFS('март 2024'!$G$4:$G$1612,'март 2024'!$D$4:$D$1612,$B19,'март 2024'!$J$4:$J$1612,AB$1)</f>
        <v>0</v>
      </c>
      <c r="AC19" s="80">
        <f>SUMIFS('март 2024'!$G$4:$G$1612,'март 2024'!$D$4:$D$1612,$B19,'март 2024'!$J$4:$J$1612,AC$1)</f>
        <v>0</v>
      </c>
      <c r="AD19" s="80">
        <f>SUMIFS('март 2024'!$G$4:$G$1612,'март 2024'!$D$4:$D$1612,$B19,'март 2024'!$J$4:$J$1612,AD$1)</f>
        <v>0</v>
      </c>
      <c r="AE19" s="80">
        <f>SUMIFS('март 2024'!$G$4:$G$1612,'март 2024'!$D$4:$D$1612,$B19,'март 2024'!$J$4:$J$1612,AE$1)</f>
        <v>0</v>
      </c>
      <c r="AF19" s="80">
        <f>SUMIFS('март 2024'!$G$4:$G$1612,'март 2024'!$D$4:$D$1612,$B19,'март 2024'!$J$4:$J$1612,AF$1)</f>
        <v>120</v>
      </c>
      <c r="AG19" s="80">
        <f>SUMIFS('март 2024'!$G$4:$G$1612,'март 2024'!$D$4:$D$1612,$B19,'март 2024'!$J$4:$J$1612,AG$1)</f>
        <v>0</v>
      </c>
      <c r="AH19" s="80">
        <f>SUMIFS('март 2024'!$G$4:$G$1612,'март 2024'!$D$4:$D$1612,$B19,'март 2024'!$J$4:$J$1612,AH$1)</f>
        <v>0</v>
      </c>
      <c r="AI19" s="21">
        <f t="shared" si="1"/>
        <v>120</v>
      </c>
    </row>
    <row r="20" spans="2:35" ht="15" customHeight="1" x14ac:dyDescent="0.25">
      <c r="B20" s="81" t="s">
        <v>309</v>
      </c>
      <c r="C20" s="82">
        <v>25</v>
      </c>
      <c r="D20" s="80">
        <f>SUMIFS('март 2024'!$G$4:$G$1612,'март 2024'!$D$4:$D$1612,$B20,'март 2024'!$J$4:$J$1612,D$1)</f>
        <v>0</v>
      </c>
      <c r="E20" s="80">
        <f>SUMIFS('март 2024'!$G$4:$G$1612,'март 2024'!$D$4:$D$1612,$B20,'март 2024'!$J$4:$J$1612,E$1)</f>
        <v>0</v>
      </c>
      <c r="F20" s="80">
        <f>SUMIFS('март 2024'!$G$4:$G$1612,'март 2024'!$D$4:$D$1612,$B20,'март 2024'!$J$4:$J$1612,F$1)</f>
        <v>0</v>
      </c>
      <c r="G20" s="80">
        <f>SUMIFS('март 2024'!$G$4:$G$1612,'март 2024'!$D$4:$D$1612,$B20,'март 2024'!$J$4:$J$1612,G$1)</f>
        <v>0</v>
      </c>
      <c r="H20" s="80">
        <f>SUMIFS('март 2024'!$G$4:$G$1612,'март 2024'!$D$4:$D$1612,$B20,'март 2024'!$J$4:$J$1612,H$1)</f>
        <v>0</v>
      </c>
      <c r="I20" s="80">
        <f>SUMIFS('март 2024'!$G$4:$G$1612,'март 2024'!$D$4:$D$1612,$B20,'март 2024'!$J$4:$J$1612,I$1)</f>
        <v>0</v>
      </c>
      <c r="J20" s="80">
        <f>SUMIFS('март 2024'!$G$4:$G$1612,'март 2024'!$D$4:$D$1612,$B20,'март 2024'!$J$4:$J$1612,J$1)</f>
        <v>0</v>
      </c>
      <c r="K20" s="80">
        <f>SUMIFS('март 2024'!$G$4:$G$1612,'март 2024'!$D$4:$D$1612,$B20,'март 2024'!$J$4:$J$1612,K$1)</f>
        <v>0</v>
      </c>
      <c r="L20" s="80">
        <f>SUMIFS('март 2024'!$G$4:$G$1612,'март 2024'!$D$4:$D$1612,$B20,'март 2024'!$J$4:$J$1612,L$1)</f>
        <v>0</v>
      </c>
      <c r="M20" s="80">
        <f>SUMIFS('март 2024'!$G$4:$G$1612,'март 2024'!$D$4:$D$1612,$B20,'март 2024'!$J$4:$J$1612,M$1)</f>
        <v>0</v>
      </c>
      <c r="N20" s="80">
        <f>SUMIFS('март 2024'!$G$4:$G$1612,'март 2024'!$D$4:$D$1612,$B20,'март 2024'!$J$4:$J$1612,N$1)</f>
        <v>0</v>
      </c>
      <c r="O20" s="80">
        <f>SUMIFS('март 2024'!$G$4:$G$1612,'март 2024'!$D$4:$D$1612,$B20,'март 2024'!$J$4:$J$1612,O$1)</f>
        <v>0</v>
      </c>
      <c r="P20" s="80">
        <f>SUMIFS('март 2024'!$G$4:$G$1612,'март 2024'!$D$4:$D$1612,$B20,'март 2024'!$J$4:$J$1612,P$1)</f>
        <v>0</v>
      </c>
      <c r="Q20" s="80">
        <f>SUMIFS('март 2024'!$G$4:$G$1612,'март 2024'!$D$4:$D$1612,$B20,'март 2024'!$J$4:$J$1612,Q$1)</f>
        <v>0</v>
      </c>
      <c r="R20" s="80">
        <f>SUMIFS('март 2024'!$G$4:$G$1612,'март 2024'!$D$4:$D$1612,$B20,'март 2024'!$J$4:$J$1612,R$1)</f>
        <v>0</v>
      </c>
      <c r="S20" s="80">
        <f>SUMIFS('март 2024'!$G$4:$G$1612,'март 2024'!$D$4:$D$1612,$B20,'март 2024'!$J$4:$J$1612,S$1)</f>
        <v>0</v>
      </c>
      <c r="T20" s="80">
        <f>SUMIFS('март 2024'!$G$4:$G$1612,'март 2024'!$D$4:$D$1612,$B20,'март 2024'!$J$4:$J$1612,T$1)</f>
        <v>0</v>
      </c>
      <c r="U20" s="80">
        <f>SUMIFS('март 2024'!$G$4:$G$1612,'март 2024'!$D$4:$D$1612,$B20,'март 2024'!$J$4:$J$1612,U$1)</f>
        <v>0</v>
      </c>
      <c r="V20" s="80">
        <f>SUMIFS('март 2024'!$G$4:$G$1612,'март 2024'!$D$4:$D$1612,$B20,'март 2024'!$J$4:$J$1612,V$1)</f>
        <v>0</v>
      </c>
      <c r="W20" s="80">
        <f>SUMIFS('март 2024'!$G$4:$G$1612,'март 2024'!$D$4:$D$1612,$B20,'март 2024'!$J$4:$J$1612,W$1)</f>
        <v>0</v>
      </c>
      <c r="X20" s="80">
        <f>SUMIFS('март 2024'!$G$4:$G$1612,'март 2024'!$D$4:$D$1612,$B20,'март 2024'!$J$4:$J$1612,X$1)</f>
        <v>0</v>
      </c>
      <c r="Y20" s="80">
        <f>SUMIFS('март 2024'!$G$4:$G$1612,'март 2024'!$D$4:$D$1612,$B20,'март 2024'!$J$4:$J$1612,Y$1)</f>
        <v>0</v>
      </c>
      <c r="Z20" s="80">
        <f>SUMIFS('март 2024'!$G$4:$G$1612,'март 2024'!$D$4:$D$1612,$B20,'март 2024'!$J$4:$J$1612,Z$1)</f>
        <v>0</v>
      </c>
      <c r="AA20" s="80">
        <f>SUMIFS('март 2024'!$G$4:$G$1612,'март 2024'!$D$4:$D$1612,$B20,'март 2024'!$J$4:$J$1612,AA$1)</f>
        <v>0</v>
      </c>
      <c r="AB20" s="80">
        <f>SUMIFS('март 2024'!$G$4:$G$1612,'март 2024'!$D$4:$D$1612,$B20,'март 2024'!$J$4:$J$1612,AB$1)</f>
        <v>0</v>
      </c>
      <c r="AC20" s="80">
        <f>SUMIFS('март 2024'!$G$4:$G$1612,'март 2024'!$D$4:$D$1612,$B20,'март 2024'!$J$4:$J$1612,AC$1)</f>
        <v>0</v>
      </c>
      <c r="AD20" s="80">
        <f>SUMIFS('март 2024'!$G$4:$G$1612,'март 2024'!$D$4:$D$1612,$B20,'март 2024'!$J$4:$J$1612,AD$1)</f>
        <v>0</v>
      </c>
      <c r="AE20" s="80">
        <f>SUMIFS('март 2024'!$G$4:$G$1612,'март 2024'!$D$4:$D$1612,$B20,'март 2024'!$J$4:$J$1612,AE$1)</f>
        <v>0</v>
      </c>
      <c r="AF20" s="80">
        <f>SUMIFS('март 2024'!$G$4:$G$1612,'март 2024'!$D$4:$D$1612,$B20,'март 2024'!$J$4:$J$1612,AF$1)</f>
        <v>0</v>
      </c>
      <c r="AG20" s="80">
        <f>SUMIFS('март 2024'!$G$4:$G$1612,'март 2024'!$D$4:$D$1612,$B20,'март 2024'!$J$4:$J$1612,AG$1)</f>
        <v>0</v>
      </c>
      <c r="AH20" s="80">
        <f>SUMIFS('март 2024'!$G$4:$G$1612,'март 2024'!$D$4:$D$1612,$B20,'март 2024'!$J$4:$J$1612,AH$1)</f>
        <v>0</v>
      </c>
      <c r="AI20" s="21">
        <f t="shared" si="1"/>
        <v>0</v>
      </c>
    </row>
    <row r="21" spans="2:35" ht="15" customHeight="1" x14ac:dyDescent="0.25">
      <c r="B21" s="84" t="s">
        <v>311</v>
      </c>
      <c r="C21" s="103">
        <v>25</v>
      </c>
      <c r="D21" s="80">
        <f>SUMIFS('март 2024'!$G$4:$G$1612,'март 2024'!$D$4:$D$1612,$B21,'март 2024'!$J$4:$J$1612,D$1)</f>
        <v>0</v>
      </c>
      <c r="E21" s="80">
        <f>SUMIFS('март 2024'!$G$4:$G$1612,'март 2024'!$D$4:$D$1612,$B21,'март 2024'!$J$4:$J$1612,E$1)</f>
        <v>0</v>
      </c>
      <c r="F21" s="80">
        <f>SUMIFS('март 2024'!$G$4:$G$1612,'март 2024'!$D$4:$D$1612,$B21,'март 2024'!$J$4:$J$1612,F$1)</f>
        <v>0</v>
      </c>
      <c r="G21" s="80">
        <f>SUMIFS('март 2024'!$G$4:$G$1612,'март 2024'!$D$4:$D$1612,$B21,'март 2024'!$J$4:$J$1612,G$1)</f>
        <v>0</v>
      </c>
      <c r="H21" s="80">
        <f>SUMIFS('март 2024'!$G$4:$G$1612,'март 2024'!$D$4:$D$1612,$B21,'март 2024'!$J$4:$J$1612,H$1)</f>
        <v>0</v>
      </c>
      <c r="I21" s="80">
        <f>SUMIFS('март 2024'!$G$4:$G$1612,'март 2024'!$D$4:$D$1612,$B21,'март 2024'!$J$4:$J$1612,I$1)</f>
        <v>0</v>
      </c>
      <c r="J21" s="80">
        <f>SUMIFS('март 2024'!$G$4:$G$1612,'март 2024'!$D$4:$D$1612,$B21,'март 2024'!$J$4:$J$1612,J$1)</f>
        <v>0</v>
      </c>
      <c r="K21" s="80">
        <f>SUMIFS('март 2024'!$G$4:$G$1612,'март 2024'!$D$4:$D$1612,$B21,'март 2024'!$J$4:$J$1612,K$1)</f>
        <v>0</v>
      </c>
      <c r="L21" s="80">
        <f>SUMIFS('март 2024'!$G$4:$G$1612,'март 2024'!$D$4:$D$1612,$B21,'март 2024'!$J$4:$J$1612,L$1)</f>
        <v>0</v>
      </c>
      <c r="M21" s="80">
        <f>SUMIFS('март 2024'!$G$4:$G$1612,'март 2024'!$D$4:$D$1612,$B21,'март 2024'!$J$4:$J$1612,M$1)</f>
        <v>0</v>
      </c>
      <c r="N21" s="80">
        <f>SUMIFS('март 2024'!$G$4:$G$1612,'март 2024'!$D$4:$D$1612,$B21,'март 2024'!$J$4:$J$1612,N$1)</f>
        <v>0</v>
      </c>
      <c r="O21" s="80">
        <f>SUMIFS('март 2024'!$G$4:$G$1612,'март 2024'!$D$4:$D$1612,$B21,'март 2024'!$J$4:$J$1612,O$1)</f>
        <v>0</v>
      </c>
      <c r="P21" s="80">
        <f>SUMIFS('март 2024'!$G$4:$G$1612,'март 2024'!$D$4:$D$1612,$B21,'март 2024'!$J$4:$J$1612,P$1)</f>
        <v>0</v>
      </c>
      <c r="Q21" s="80">
        <f>SUMIFS('март 2024'!$G$4:$G$1612,'март 2024'!$D$4:$D$1612,$B21,'март 2024'!$J$4:$J$1612,Q$1)</f>
        <v>0</v>
      </c>
      <c r="R21" s="80">
        <f>SUMIFS('март 2024'!$G$4:$G$1612,'март 2024'!$D$4:$D$1612,$B21,'март 2024'!$J$4:$J$1612,R$1)</f>
        <v>0</v>
      </c>
      <c r="S21" s="80">
        <f>SUMIFS('март 2024'!$G$4:$G$1612,'март 2024'!$D$4:$D$1612,$B21,'март 2024'!$J$4:$J$1612,S$1)</f>
        <v>0</v>
      </c>
      <c r="T21" s="80">
        <f>SUMIFS('март 2024'!$G$4:$G$1612,'март 2024'!$D$4:$D$1612,$B21,'март 2024'!$J$4:$J$1612,T$1)</f>
        <v>0</v>
      </c>
      <c r="U21" s="80">
        <f>SUMIFS('март 2024'!$G$4:$G$1612,'март 2024'!$D$4:$D$1612,$B21,'март 2024'!$J$4:$J$1612,U$1)</f>
        <v>0</v>
      </c>
      <c r="V21" s="80">
        <f>SUMIFS('март 2024'!$G$4:$G$1612,'март 2024'!$D$4:$D$1612,$B21,'март 2024'!$J$4:$J$1612,V$1)</f>
        <v>0</v>
      </c>
      <c r="W21" s="80">
        <f>SUMIFS('март 2024'!$G$4:$G$1612,'март 2024'!$D$4:$D$1612,$B21,'март 2024'!$J$4:$J$1612,W$1)</f>
        <v>0</v>
      </c>
      <c r="X21" s="80">
        <f>SUMIFS('март 2024'!$G$4:$G$1612,'март 2024'!$D$4:$D$1612,$B21,'март 2024'!$J$4:$J$1612,X$1)</f>
        <v>0</v>
      </c>
      <c r="Y21" s="80">
        <f>SUMIFS('март 2024'!$G$4:$G$1612,'март 2024'!$D$4:$D$1612,$B21,'март 2024'!$J$4:$J$1612,Y$1)</f>
        <v>0</v>
      </c>
      <c r="Z21" s="80">
        <f>SUMIFS('март 2024'!$G$4:$G$1612,'март 2024'!$D$4:$D$1612,$B21,'март 2024'!$J$4:$J$1612,Z$1)</f>
        <v>0</v>
      </c>
      <c r="AA21" s="80">
        <f>SUMIFS('март 2024'!$G$4:$G$1612,'март 2024'!$D$4:$D$1612,$B21,'март 2024'!$J$4:$J$1612,AA$1)</f>
        <v>0</v>
      </c>
      <c r="AB21" s="80">
        <f>SUMIFS('март 2024'!$G$4:$G$1612,'март 2024'!$D$4:$D$1612,$B21,'март 2024'!$J$4:$J$1612,AB$1)</f>
        <v>0</v>
      </c>
      <c r="AC21" s="80">
        <f>SUMIFS('март 2024'!$G$4:$G$1612,'март 2024'!$D$4:$D$1612,$B21,'март 2024'!$J$4:$J$1612,AC$1)</f>
        <v>0</v>
      </c>
      <c r="AD21" s="80">
        <f>SUMIFS('март 2024'!$G$4:$G$1612,'март 2024'!$D$4:$D$1612,$B21,'март 2024'!$J$4:$J$1612,AD$1)</f>
        <v>0</v>
      </c>
      <c r="AE21" s="80">
        <f>SUMIFS('март 2024'!$G$4:$G$1612,'март 2024'!$D$4:$D$1612,$B21,'март 2024'!$J$4:$J$1612,AE$1)</f>
        <v>0</v>
      </c>
      <c r="AF21" s="80">
        <f>SUMIFS('март 2024'!$G$4:$G$1612,'март 2024'!$D$4:$D$1612,$B21,'март 2024'!$J$4:$J$1612,AF$1)</f>
        <v>0</v>
      </c>
      <c r="AG21" s="80">
        <f>SUMIFS('март 2024'!$G$4:$G$1612,'март 2024'!$D$4:$D$1612,$B21,'март 2024'!$J$4:$J$1612,AG$1)</f>
        <v>0</v>
      </c>
      <c r="AH21" s="80">
        <f>SUMIFS('март 2024'!$G$4:$G$1612,'март 2024'!$D$4:$D$1612,$B21,'март 2024'!$J$4:$J$1612,AH$1)</f>
        <v>0</v>
      </c>
      <c r="AI21" s="21">
        <f t="shared" si="1"/>
        <v>0</v>
      </c>
    </row>
    <row r="22" spans="2:35" ht="15" customHeight="1" x14ac:dyDescent="0.25">
      <c r="B22" s="84" t="s">
        <v>312</v>
      </c>
      <c r="C22" s="82">
        <v>25</v>
      </c>
      <c r="D22" s="80">
        <f>SUMIFS('март 2024'!$G$4:$G$1612,'март 2024'!$D$4:$D$1612,$B22,'март 2024'!$J$4:$J$1612,D$1)</f>
        <v>0</v>
      </c>
      <c r="E22" s="80">
        <f>SUMIFS('март 2024'!$G$4:$G$1612,'март 2024'!$D$4:$D$1612,$B22,'март 2024'!$J$4:$J$1612,E$1)</f>
        <v>0</v>
      </c>
      <c r="F22" s="80">
        <f>SUMIFS('март 2024'!$G$4:$G$1612,'март 2024'!$D$4:$D$1612,$B22,'март 2024'!$J$4:$J$1612,F$1)</f>
        <v>0</v>
      </c>
      <c r="G22" s="80">
        <f>SUMIFS('март 2024'!$G$4:$G$1612,'март 2024'!$D$4:$D$1612,$B22,'март 2024'!$J$4:$J$1612,G$1)</f>
        <v>0</v>
      </c>
      <c r="H22" s="80">
        <f>SUMIFS('март 2024'!$G$4:$G$1612,'март 2024'!$D$4:$D$1612,$B22,'март 2024'!$J$4:$J$1612,H$1)</f>
        <v>0</v>
      </c>
      <c r="I22" s="80">
        <f>SUMIFS('март 2024'!$G$4:$G$1612,'март 2024'!$D$4:$D$1612,$B22,'март 2024'!$J$4:$J$1612,I$1)</f>
        <v>0</v>
      </c>
      <c r="J22" s="80">
        <f>SUMIFS('март 2024'!$G$4:$G$1612,'март 2024'!$D$4:$D$1612,$B22,'март 2024'!$J$4:$J$1612,J$1)</f>
        <v>0</v>
      </c>
      <c r="K22" s="80">
        <f>SUMIFS('март 2024'!$G$4:$G$1612,'март 2024'!$D$4:$D$1612,$B22,'март 2024'!$J$4:$J$1612,K$1)</f>
        <v>0</v>
      </c>
      <c r="L22" s="80">
        <f>SUMIFS('март 2024'!$G$4:$G$1612,'март 2024'!$D$4:$D$1612,$B22,'март 2024'!$J$4:$J$1612,L$1)</f>
        <v>0</v>
      </c>
      <c r="M22" s="80">
        <f>SUMIFS('март 2024'!$G$4:$G$1612,'март 2024'!$D$4:$D$1612,$B22,'март 2024'!$J$4:$J$1612,M$1)</f>
        <v>0</v>
      </c>
      <c r="N22" s="80">
        <f>SUMIFS('март 2024'!$G$4:$G$1612,'март 2024'!$D$4:$D$1612,$B22,'март 2024'!$J$4:$J$1612,N$1)</f>
        <v>0</v>
      </c>
      <c r="O22" s="80">
        <f>SUMIFS('март 2024'!$G$4:$G$1612,'март 2024'!$D$4:$D$1612,$B22,'март 2024'!$J$4:$J$1612,O$1)</f>
        <v>0</v>
      </c>
      <c r="P22" s="80">
        <f>SUMIFS('март 2024'!$G$4:$G$1612,'март 2024'!$D$4:$D$1612,$B22,'март 2024'!$J$4:$J$1612,P$1)</f>
        <v>0</v>
      </c>
      <c r="Q22" s="80">
        <f>SUMIFS('март 2024'!$G$4:$G$1612,'март 2024'!$D$4:$D$1612,$B22,'март 2024'!$J$4:$J$1612,Q$1)</f>
        <v>0</v>
      </c>
      <c r="R22" s="80">
        <f>SUMIFS('март 2024'!$G$4:$G$1612,'март 2024'!$D$4:$D$1612,$B22,'март 2024'!$J$4:$J$1612,R$1)</f>
        <v>0</v>
      </c>
      <c r="S22" s="80">
        <f>SUMIFS('март 2024'!$G$4:$G$1612,'март 2024'!$D$4:$D$1612,$B22,'март 2024'!$J$4:$J$1612,S$1)</f>
        <v>0</v>
      </c>
      <c r="T22" s="80">
        <f>SUMIFS('март 2024'!$G$4:$G$1612,'март 2024'!$D$4:$D$1612,$B22,'март 2024'!$J$4:$J$1612,T$1)</f>
        <v>0</v>
      </c>
      <c r="U22" s="80">
        <f>SUMIFS('март 2024'!$G$4:$G$1612,'март 2024'!$D$4:$D$1612,$B22,'март 2024'!$J$4:$J$1612,U$1)</f>
        <v>0</v>
      </c>
      <c r="V22" s="80">
        <f>SUMIFS('март 2024'!$G$4:$G$1612,'март 2024'!$D$4:$D$1612,$B22,'март 2024'!$J$4:$J$1612,V$1)</f>
        <v>0</v>
      </c>
      <c r="W22" s="80">
        <f>SUMIFS('март 2024'!$G$4:$G$1612,'март 2024'!$D$4:$D$1612,$B22,'март 2024'!$J$4:$J$1612,W$1)</f>
        <v>0</v>
      </c>
      <c r="X22" s="80">
        <f>SUMIFS('март 2024'!$G$4:$G$1612,'март 2024'!$D$4:$D$1612,$B22,'март 2024'!$J$4:$J$1612,X$1)</f>
        <v>0</v>
      </c>
      <c r="Y22" s="80">
        <f>SUMIFS('март 2024'!$G$4:$G$1612,'март 2024'!$D$4:$D$1612,$B22,'март 2024'!$J$4:$J$1612,Y$1)</f>
        <v>0</v>
      </c>
      <c r="Z22" s="80">
        <f>SUMIFS('март 2024'!$G$4:$G$1612,'март 2024'!$D$4:$D$1612,$B22,'март 2024'!$J$4:$J$1612,Z$1)</f>
        <v>0</v>
      </c>
      <c r="AA22" s="80">
        <f>SUMIFS('март 2024'!$G$4:$G$1612,'март 2024'!$D$4:$D$1612,$B22,'март 2024'!$J$4:$J$1612,AA$1)</f>
        <v>0</v>
      </c>
      <c r="AB22" s="80">
        <f>SUMIFS('март 2024'!$G$4:$G$1612,'март 2024'!$D$4:$D$1612,$B22,'март 2024'!$J$4:$J$1612,AB$1)</f>
        <v>0</v>
      </c>
      <c r="AC22" s="80">
        <f>SUMIFS('март 2024'!$G$4:$G$1612,'март 2024'!$D$4:$D$1612,$B22,'март 2024'!$J$4:$J$1612,AC$1)</f>
        <v>0</v>
      </c>
      <c r="AD22" s="80">
        <f>SUMIFS('март 2024'!$G$4:$G$1612,'март 2024'!$D$4:$D$1612,$B22,'март 2024'!$J$4:$J$1612,AD$1)</f>
        <v>0</v>
      </c>
      <c r="AE22" s="80">
        <f>SUMIFS('март 2024'!$G$4:$G$1612,'март 2024'!$D$4:$D$1612,$B22,'март 2024'!$J$4:$J$1612,AE$1)</f>
        <v>0</v>
      </c>
      <c r="AF22" s="80">
        <f>SUMIFS('март 2024'!$G$4:$G$1612,'март 2024'!$D$4:$D$1612,$B22,'март 2024'!$J$4:$J$1612,AF$1)</f>
        <v>0</v>
      </c>
      <c r="AG22" s="80">
        <f>SUMIFS('март 2024'!$G$4:$G$1612,'март 2024'!$D$4:$D$1612,$B22,'март 2024'!$J$4:$J$1612,AG$1)</f>
        <v>0</v>
      </c>
      <c r="AH22" s="80">
        <f>SUMIFS('март 2024'!$G$4:$G$1612,'март 2024'!$D$4:$D$1612,$B22,'март 2024'!$J$4:$J$1612,AH$1)</f>
        <v>0</v>
      </c>
      <c r="AI22" s="21">
        <f t="shared" si="1"/>
        <v>0</v>
      </c>
    </row>
    <row r="23" spans="2:35" ht="15" customHeight="1" x14ac:dyDescent="0.25">
      <c r="B23" s="84" t="s">
        <v>313</v>
      </c>
      <c r="C23" s="82">
        <v>25</v>
      </c>
      <c r="D23" s="80">
        <f>SUMIFS('март 2024'!$G$4:$G$1612,'март 2024'!$D$4:$D$1612,$B23,'март 2024'!$J$4:$J$1612,D$1)</f>
        <v>0</v>
      </c>
      <c r="E23" s="80">
        <f>SUMIFS('март 2024'!$G$4:$G$1612,'март 2024'!$D$4:$D$1612,$B23,'март 2024'!$J$4:$J$1612,E$1)</f>
        <v>0</v>
      </c>
      <c r="F23" s="80">
        <f>SUMIFS('март 2024'!$G$4:$G$1612,'март 2024'!$D$4:$D$1612,$B23,'март 2024'!$J$4:$J$1612,F$1)</f>
        <v>0</v>
      </c>
      <c r="G23" s="80">
        <f>SUMIFS('март 2024'!$G$4:$G$1612,'март 2024'!$D$4:$D$1612,$B23,'март 2024'!$J$4:$J$1612,G$1)</f>
        <v>0</v>
      </c>
      <c r="H23" s="80">
        <f>SUMIFS('март 2024'!$G$4:$G$1612,'март 2024'!$D$4:$D$1612,$B23,'март 2024'!$J$4:$J$1612,H$1)</f>
        <v>0</v>
      </c>
      <c r="I23" s="80">
        <f>SUMIFS('март 2024'!$G$4:$G$1612,'март 2024'!$D$4:$D$1612,$B23,'март 2024'!$J$4:$J$1612,I$1)</f>
        <v>0</v>
      </c>
      <c r="J23" s="80">
        <f>SUMIFS('март 2024'!$G$4:$G$1612,'март 2024'!$D$4:$D$1612,$B23,'март 2024'!$J$4:$J$1612,J$1)</f>
        <v>0</v>
      </c>
      <c r="K23" s="80">
        <f>SUMIFS('март 2024'!$G$4:$G$1612,'март 2024'!$D$4:$D$1612,$B23,'март 2024'!$J$4:$J$1612,K$1)</f>
        <v>0</v>
      </c>
      <c r="L23" s="80">
        <f>SUMIFS('март 2024'!$G$4:$G$1612,'март 2024'!$D$4:$D$1612,$B23,'март 2024'!$J$4:$J$1612,L$1)</f>
        <v>0</v>
      </c>
      <c r="M23" s="80">
        <f>SUMIFS('март 2024'!$G$4:$G$1612,'март 2024'!$D$4:$D$1612,$B23,'март 2024'!$J$4:$J$1612,M$1)</f>
        <v>0</v>
      </c>
      <c r="N23" s="80">
        <f>SUMIFS('март 2024'!$G$4:$G$1612,'март 2024'!$D$4:$D$1612,$B23,'март 2024'!$J$4:$J$1612,N$1)</f>
        <v>0</v>
      </c>
      <c r="O23" s="80">
        <f>SUMIFS('март 2024'!$G$4:$G$1612,'март 2024'!$D$4:$D$1612,$B23,'март 2024'!$J$4:$J$1612,O$1)</f>
        <v>0</v>
      </c>
      <c r="P23" s="80">
        <f>SUMIFS('март 2024'!$G$4:$G$1612,'март 2024'!$D$4:$D$1612,$B23,'март 2024'!$J$4:$J$1612,P$1)</f>
        <v>0</v>
      </c>
      <c r="Q23" s="80">
        <f>SUMIFS('март 2024'!$G$4:$G$1612,'март 2024'!$D$4:$D$1612,$B23,'март 2024'!$J$4:$J$1612,Q$1)</f>
        <v>0</v>
      </c>
      <c r="R23" s="80">
        <f>SUMIFS('март 2024'!$G$4:$G$1612,'март 2024'!$D$4:$D$1612,$B23,'март 2024'!$J$4:$J$1612,R$1)</f>
        <v>0</v>
      </c>
      <c r="S23" s="80">
        <f>SUMIFS('март 2024'!$G$4:$G$1612,'март 2024'!$D$4:$D$1612,$B23,'март 2024'!$J$4:$J$1612,S$1)</f>
        <v>0</v>
      </c>
      <c r="T23" s="80">
        <f>SUMIFS('март 2024'!$G$4:$G$1612,'март 2024'!$D$4:$D$1612,$B23,'март 2024'!$J$4:$J$1612,T$1)</f>
        <v>0</v>
      </c>
      <c r="U23" s="80">
        <f>SUMIFS('март 2024'!$G$4:$G$1612,'март 2024'!$D$4:$D$1612,$B23,'март 2024'!$J$4:$J$1612,U$1)</f>
        <v>0</v>
      </c>
      <c r="V23" s="80">
        <f>SUMIFS('март 2024'!$G$4:$G$1612,'март 2024'!$D$4:$D$1612,$B23,'март 2024'!$J$4:$J$1612,V$1)</f>
        <v>0</v>
      </c>
      <c r="W23" s="80">
        <f>SUMIFS('март 2024'!$G$4:$G$1612,'март 2024'!$D$4:$D$1612,$B23,'март 2024'!$J$4:$J$1612,W$1)</f>
        <v>0</v>
      </c>
      <c r="X23" s="80">
        <f>SUMIFS('март 2024'!$G$4:$G$1612,'март 2024'!$D$4:$D$1612,$B23,'март 2024'!$J$4:$J$1612,X$1)</f>
        <v>0</v>
      </c>
      <c r="Y23" s="80">
        <f>SUMIFS('март 2024'!$G$4:$G$1612,'март 2024'!$D$4:$D$1612,$B23,'март 2024'!$J$4:$J$1612,Y$1)</f>
        <v>0</v>
      </c>
      <c r="Z23" s="80">
        <f>SUMIFS('март 2024'!$G$4:$G$1612,'март 2024'!$D$4:$D$1612,$B23,'март 2024'!$J$4:$J$1612,Z$1)</f>
        <v>0</v>
      </c>
      <c r="AA23" s="80">
        <f>SUMIFS('март 2024'!$G$4:$G$1612,'март 2024'!$D$4:$D$1612,$B23,'март 2024'!$J$4:$J$1612,AA$1)</f>
        <v>0</v>
      </c>
      <c r="AB23" s="80">
        <f>SUMIFS('март 2024'!$G$4:$G$1612,'март 2024'!$D$4:$D$1612,$B23,'март 2024'!$J$4:$J$1612,AB$1)</f>
        <v>0</v>
      </c>
      <c r="AC23" s="80">
        <f>SUMIFS('март 2024'!$G$4:$G$1612,'март 2024'!$D$4:$D$1612,$B23,'март 2024'!$J$4:$J$1612,AC$1)</f>
        <v>0</v>
      </c>
      <c r="AD23" s="80">
        <f>SUMIFS('март 2024'!$G$4:$G$1612,'март 2024'!$D$4:$D$1612,$B23,'март 2024'!$J$4:$J$1612,AD$1)</f>
        <v>0</v>
      </c>
      <c r="AE23" s="80">
        <f>SUMIFS('март 2024'!$G$4:$G$1612,'март 2024'!$D$4:$D$1612,$B23,'март 2024'!$J$4:$J$1612,AE$1)</f>
        <v>0</v>
      </c>
      <c r="AF23" s="80">
        <f>SUMIFS('март 2024'!$G$4:$G$1612,'март 2024'!$D$4:$D$1612,$B23,'март 2024'!$J$4:$J$1612,AF$1)</f>
        <v>0</v>
      </c>
      <c r="AG23" s="80">
        <f>SUMIFS('март 2024'!$G$4:$G$1612,'март 2024'!$D$4:$D$1612,$B23,'март 2024'!$J$4:$J$1612,AG$1)</f>
        <v>0</v>
      </c>
      <c r="AH23" s="80">
        <f>SUMIFS('март 2024'!$G$4:$G$1612,'март 2024'!$D$4:$D$1612,$B23,'март 2024'!$J$4:$J$1612,AH$1)</f>
        <v>0</v>
      </c>
      <c r="AI23" s="21">
        <f t="shared" si="1"/>
        <v>0</v>
      </c>
    </row>
    <row r="24" spans="2:35" ht="15" customHeight="1" x14ac:dyDescent="0.25">
      <c r="B24" s="84" t="s">
        <v>314</v>
      </c>
      <c r="C24" s="82">
        <v>25</v>
      </c>
      <c r="D24" s="80">
        <f>SUMIFS('март 2024'!$G$4:$G$1612,'март 2024'!$D$4:$D$1612,$B24,'март 2024'!$J$4:$J$1612,D$1)</f>
        <v>0</v>
      </c>
      <c r="E24" s="80">
        <f>SUMIFS('март 2024'!$G$4:$G$1612,'март 2024'!$D$4:$D$1612,$B24,'март 2024'!$J$4:$J$1612,E$1)</f>
        <v>0</v>
      </c>
      <c r="F24" s="80">
        <f>SUMIFS('март 2024'!$G$4:$G$1612,'март 2024'!$D$4:$D$1612,$B24,'март 2024'!$J$4:$J$1612,F$1)</f>
        <v>0</v>
      </c>
      <c r="G24" s="80">
        <f>SUMIFS('март 2024'!$G$4:$G$1612,'март 2024'!$D$4:$D$1612,$B24,'март 2024'!$J$4:$J$1612,G$1)</f>
        <v>0</v>
      </c>
      <c r="H24" s="80">
        <f>SUMIFS('март 2024'!$G$4:$G$1612,'март 2024'!$D$4:$D$1612,$B24,'март 2024'!$J$4:$J$1612,H$1)</f>
        <v>0</v>
      </c>
      <c r="I24" s="80">
        <f>SUMIFS('март 2024'!$G$4:$G$1612,'март 2024'!$D$4:$D$1612,$B24,'март 2024'!$J$4:$J$1612,I$1)</f>
        <v>0</v>
      </c>
      <c r="J24" s="80">
        <f>SUMIFS('март 2024'!$G$4:$G$1612,'март 2024'!$D$4:$D$1612,$B24,'март 2024'!$J$4:$J$1612,J$1)</f>
        <v>0</v>
      </c>
      <c r="K24" s="80">
        <f>SUMIFS('март 2024'!$G$4:$G$1612,'март 2024'!$D$4:$D$1612,$B24,'март 2024'!$J$4:$J$1612,K$1)</f>
        <v>0</v>
      </c>
      <c r="L24" s="80">
        <f>SUMIFS('март 2024'!$G$4:$G$1612,'март 2024'!$D$4:$D$1612,$B24,'март 2024'!$J$4:$J$1612,L$1)</f>
        <v>0</v>
      </c>
      <c r="M24" s="80">
        <f>SUMIFS('март 2024'!$G$4:$G$1612,'март 2024'!$D$4:$D$1612,$B24,'март 2024'!$J$4:$J$1612,M$1)</f>
        <v>0</v>
      </c>
      <c r="N24" s="80">
        <f>SUMIFS('март 2024'!$G$4:$G$1612,'март 2024'!$D$4:$D$1612,$B24,'март 2024'!$J$4:$J$1612,N$1)</f>
        <v>0</v>
      </c>
      <c r="O24" s="80">
        <f>SUMIFS('март 2024'!$G$4:$G$1612,'март 2024'!$D$4:$D$1612,$B24,'март 2024'!$J$4:$J$1612,O$1)</f>
        <v>0</v>
      </c>
      <c r="P24" s="80">
        <f>SUMIFS('март 2024'!$G$4:$G$1612,'март 2024'!$D$4:$D$1612,$B24,'март 2024'!$J$4:$J$1612,P$1)</f>
        <v>0</v>
      </c>
      <c r="Q24" s="80">
        <f>SUMIFS('март 2024'!$G$4:$G$1612,'март 2024'!$D$4:$D$1612,$B24,'март 2024'!$J$4:$J$1612,Q$1)</f>
        <v>0</v>
      </c>
      <c r="R24" s="80">
        <f>SUMIFS('март 2024'!$G$4:$G$1612,'март 2024'!$D$4:$D$1612,$B24,'март 2024'!$J$4:$J$1612,R$1)</f>
        <v>0</v>
      </c>
      <c r="S24" s="80">
        <f>SUMIFS('март 2024'!$G$4:$G$1612,'март 2024'!$D$4:$D$1612,$B24,'март 2024'!$J$4:$J$1612,S$1)</f>
        <v>0</v>
      </c>
      <c r="T24" s="80">
        <f>SUMIFS('март 2024'!$G$4:$G$1612,'март 2024'!$D$4:$D$1612,$B24,'март 2024'!$J$4:$J$1612,T$1)</f>
        <v>0</v>
      </c>
      <c r="U24" s="80">
        <f>SUMIFS('март 2024'!$G$4:$G$1612,'март 2024'!$D$4:$D$1612,$B24,'март 2024'!$J$4:$J$1612,U$1)</f>
        <v>0</v>
      </c>
      <c r="V24" s="80">
        <f>SUMIFS('март 2024'!$G$4:$G$1612,'март 2024'!$D$4:$D$1612,$B24,'март 2024'!$J$4:$J$1612,V$1)</f>
        <v>0</v>
      </c>
      <c r="W24" s="80">
        <f>SUMIFS('март 2024'!$G$4:$G$1612,'март 2024'!$D$4:$D$1612,$B24,'март 2024'!$J$4:$J$1612,W$1)</f>
        <v>0</v>
      </c>
      <c r="X24" s="80">
        <f>SUMIFS('март 2024'!$G$4:$G$1612,'март 2024'!$D$4:$D$1612,$B24,'март 2024'!$J$4:$J$1612,X$1)</f>
        <v>0</v>
      </c>
      <c r="Y24" s="80">
        <f>SUMIFS('март 2024'!$G$4:$G$1612,'март 2024'!$D$4:$D$1612,$B24,'март 2024'!$J$4:$J$1612,Y$1)</f>
        <v>0</v>
      </c>
      <c r="Z24" s="80">
        <f>SUMIFS('март 2024'!$G$4:$G$1612,'март 2024'!$D$4:$D$1612,$B24,'март 2024'!$J$4:$J$1612,Z$1)</f>
        <v>0</v>
      </c>
      <c r="AA24" s="80">
        <f>SUMIFS('март 2024'!$G$4:$G$1612,'март 2024'!$D$4:$D$1612,$B24,'март 2024'!$J$4:$J$1612,AA$1)</f>
        <v>0</v>
      </c>
      <c r="AB24" s="80">
        <f>SUMIFS('март 2024'!$G$4:$G$1612,'март 2024'!$D$4:$D$1612,$B24,'март 2024'!$J$4:$J$1612,AB$1)</f>
        <v>0</v>
      </c>
      <c r="AC24" s="80">
        <f>SUMIFS('март 2024'!$G$4:$G$1612,'март 2024'!$D$4:$D$1612,$B24,'март 2024'!$J$4:$J$1612,AC$1)</f>
        <v>0</v>
      </c>
      <c r="AD24" s="80">
        <f>SUMIFS('март 2024'!$G$4:$G$1612,'март 2024'!$D$4:$D$1612,$B24,'март 2024'!$J$4:$J$1612,AD$1)</f>
        <v>0</v>
      </c>
      <c r="AE24" s="80">
        <f>SUMIFS('март 2024'!$G$4:$G$1612,'март 2024'!$D$4:$D$1612,$B24,'март 2024'!$J$4:$J$1612,AE$1)</f>
        <v>0</v>
      </c>
      <c r="AF24" s="80">
        <f>SUMIFS('март 2024'!$G$4:$G$1612,'март 2024'!$D$4:$D$1612,$B24,'март 2024'!$J$4:$J$1612,AF$1)</f>
        <v>0</v>
      </c>
      <c r="AG24" s="80">
        <f>SUMIFS('март 2024'!$G$4:$G$1612,'март 2024'!$D$4:$D$1612,$B24,'март 2024'!$J$4:$J$1612,AG$1)</f>
        <v>0</v>
      </c>
      <c r="AH24" s="80">
        <f>SUMIFS('март 2024'!$G$4:$G$1612,'март 2024'!$D$4:$D$1612,$B24,'март 2024'!$J$4:$J$1612,AH$1)</f>
        <v>0</v>
      </c>
      <c r="AI24" s="21">
        <f t="shared" si="1"/>
        <v>0</v>
      </c>
    </row>
    <row r="25" spans="2:35" ht="15" customHeight="1" x14ac:dyDescent="0.25">
      <c r="B25" s="84" t="s">
        <v>315</v>
      </c>
      <c r="C25" s="82">
        <v>25</v>
      </c>
      <c r="D25" s="80">
        <f>SUMIFS('март 2024'!$G$4:$G$1612,'март 2024'!$D$4:$D$1612,$B25,'март 2024'!$J$4:$J$1612,D$1)</f>
        <v>0</v>
      </c>
      <c r="E25" s="80">
        <f>SUMIFS('март 2024'!$G$4:$G$1612,'март 2024'!$D$4:$D$1612,$B25,'март 2024'!$J$4:$J$1612,E$1)</f>
        <v>0</v>
      </c>
      <c r="F25" s="80">
        <f>SUMIFS('март 2024'!$G$4:$G$1612,'март 2024'!$D$4:$D$1612,$B25,'март 2024'!$J$4:$J$1612,F$1)</f>
        <v>0</v>
      </c>
      <c r="G25" s="80">
        <f>SUMIFS('март 2024'!$G$4:$G$1612,'март 2024'!$D$4:$D$1612,$B25,'март 2024'!$J$4:$J$1612,G$1)</f>
        <v>0</v>
      </c>
      <c r="H25" s="80">
        <f>SUMIFS('март 2024'!$G$4:$G$1612,'март 2024'!$D$4:$D$1612,$B25,'март 2024'!$J$4:$J$1612,H$1)</f>
        <v>0</v>
      </c>
      <c r="I25" s="80">
        <f>SUMIFS('март 2024'!$G$4:$G$1612,'март 2024'!$D$4:$D$1612,$B25,'март 2024'!$J$4:$J$1612,I$1)</f>
        <v>0</v>
      </c>
      <c r="J25" s="80">
        <f>SUMIFS('март 2024'!$G$4:$G$1612,'март 2024'!$D$4:$D$1612,$B25,'март 2024'!$J$4:$J$1612,J$1)</f>
        <v>0</v>
      </c>
      <c r="K25" s="80">
        <f>SUMIFS('март 2024'!$G$4:$G$1612,'март 2024'!$D$4:$D$1612,$B25,'март 2024'!$J$4:$J$1612,K$1)</f>
        <v>0</v>
      </c>
      <c r="L25" s="80">
        <f>SUMIFS('март 2024'!$G$4:$G$1612,'март 2024'!$D$4:$D$1612,$B25,'март 2024'!$J$4:$J$1612,L$1)</f>
        <v>0</v>
      </c>
      <c r="M25" s="80">
        <f>SUMIFS('март 2024'!$G$4:$G$1612,'март 2024'!$D$4:$D$1612,$B25,'март 2024'!$J$4:$J$1612,M$1)</f>
        <v>0</v>
      </c>
      <c r="N25" s="80">
        <f>SUMIFS('март 2024'!$G$4:$G$1612,'март 2024'!$D$4:$D$1612,$B25,'март 2024'!$J$4:$J$1612,N$1)</f>
        <v>0</v>
      </c>
      <c r="O25" s="80">
        <f>SUMIFS('март 2024'!$G$4:$G$1612,'март 2024'!$D$4:$D$1612,$B25,'март 2024'!$J$4:$J$1612,O$1)</f>
        <v>0</v>
      </c>
      <c r="P25" s="80">
        <f>SUMIFS('март 2024'!$G$4:$G$1612,'март 2024'!$D$4:$D$1612,$B25,'март 2024'!$J$4:$J$1612,P$1)</f>
        <v>0</v>
      </c>
      <c r="Q25" s="80">
        <f>SUMIFS('март 2024'!$G$4:$G$1612,'март 2024'!$D$4:$D$1612,$B25,'март 2024'!$J$4:$J$1612,Q$1)</f>
        <v>0</v>
      </c>
      <c r="R25" s="80">
        <f>SUMIFS('март 2024'!$G$4:$G$1612,'март 2024'!$D$4:$D$1612,$B25,'март 2024'!$J$4:$J$1612,R$1)</f>
        <v>0</v>
      </c>
      <c r="S25" s="80">
        <f>SUMIFS('март 2024'!$G$4:$G$1612,'март 2024'!$D$4:$D$1612,$B25,'март 2024'!$J$4:$J$1612,S$1)</f>
        <v>0</v>
      </c>
      <c r="T25" s="80">
        <f>SUMIFS('март 2024'!$G$4:$G$1612,'март 2024'!$D$4:$D$1612,$B25,'март 2024'!$J$4:$J$1612,T$1)</f>
        <v>0</v>
      </c>
      <c r="U25" s="80">
        <f>SUMIFS('март 2024'!$G$4:$G$1612,'март 2024'!$D$4:$D$1612,$B25,'март 2024'!$J$4:$J$1612,U$1)</f>
        <v>0</v>
      </c>
      <c r="V25" s="80">
        <f>SUMIFS('март 2024'!$G$4:$G$1612,'март 2024'!$D$4:$D$1612,$B25,'март 2024'!$J$4:$J$1612,V$1)</f>
        <v>0</v>
      </c>
      <c r="W25" s="80">
        <f>SUMIFS('март 2024'!$G$4:$G$1612,'март 2024'!$D$4:$D$1612,$B25,'март 2024'!$J$4:$J$1612,W$1)</f>
        <v>0</v>
      </c>
      <c r="X25" s="80">
        <f>SUMIFS('март 2024'!$G$4:$G$1612,'март 2024'!$D$4:$D$1612,$B25,'март 2024'!$J$4:$J$1612,X$1)</f>
        <v>0</v>
      </c>
      <c r="Y25" s="80">
        <f>SUMIFS('март 2024'!$G$4:$G$1612,'март 2024'!$D$4:$D$1612,$B25,'март 2024'!$J$4:$J$1612,Y$1)</f>
        <v>0</v>
      </c>
      <c r="Z25" s="80">
        <f>SUMIFS('март 2024'!$G$4:$G$1612,'март 2024'!$D$4:$D$1612,$B25,'март 2024'!$J$4:$J$1612,Z$1)</f>
        <v>0</v>
      </c>
      <c r="AA25" s="80">
        <f>SUMIFS('март 2024'!$G$4:$G$1612,'март 2024'!$D$4:$D$1612,$B25,'март 2024'!$J$4:$J$1612,AA$1)</f>
        <v>0</v>
      </c>
      <c r="AB25" s="80">
        <f>SUMIFS('март 2024'!$G$4:$G$1612,'март 2024'!$D$4:$D$1612,$B25,'март 2024'!$J$4:$J$1612,AB$1)</f>
        <v>0</v>
      </c>
      <c r="AC25" s="80">
        <f>SUMIFS('март 2024'!$G$4:$G$1612,'март 2024'!$D$4:$D$1612,$B25,'март 2024'!$J$4:$J$1612,AC$1)</f>
        <v>0</v>
      </c>
      <c r="AD25" s="80">
        <f>SUMIFS('март 2024'!$G$4:$G$1612,'март 2024'!$D$4:$D$1612,$B25,'март 2024'!$J$4:$J$1612,AD$1)</f>
        <v>0</v>
      </c>
      <c r="AE25" s="80">
        <f>SUMIFS('март 2024'!$G$4:$G$1612,'март 2024'!$D$4:$D$1612,$B25,'март 2024'!$J$4:$J$1612,AE$1)</f>
        <v>0</v>
      </c>
      <c r="AF25" s="80">
        <f>SUMIFS('март 2024'!$G$4:$G$1612,'март 2024'!$D$4:$D$1612,$B25,'март 2024'!$J$4:$J$1612,AF$1)</f>
        <v>0</v>
      </c>
      <c r="AG25" s="80">
        <f>SUMIFS('март 2024'!$G$4:$G$1612,'март 2024'!$D$4:$D$1612,$B25,'март 2024'!$J$4:$J$1612,AG$1)</f>
        <v>0</v>
      </c>
      <c r="AH25" s="80">
        <f>SUMIFS('март 2024'!$G$4:$G$1612,'март 2024'!$D$4:$D$1612,$B25,'март 2024'!$J$4:$J$1612,AH$1)</f>
        <v>0</v>
      </c>
      <c r="AI25" s="21">
        <f t="shared" si="1"/>
        <v>0</v>
      </c>
    </row>
    <row r="26" spans="2:35" ht="15" customHeight="1" x14ac:dyDescent="0.25">
      <c r="B26" s="84"/>
      <c r="C26" s="82"/>
      <c r="D26" s="80">
        <f>SUMIFS('март 2024'!$G$4:$G$1612,'март 2024'!$D$4:$D$1612,$B26,'март 2024'!$J$4:$J$1612,D$1)</f>
        <v>0</v>
      </c>
      <c r="E26" s="80">
        <f>SUMIFS('март 2024'!$G$4:$G$1612,'март 2024'!$D$4:$D$1612,$B26,'март 2024'!$J$4:$J$1612,E$1)</f>
        <v>0</v>
      </c>
      <c r="F26" s="80">
        <f>SUMIFS('март 2024'!$G$4:$G$1612,'март 2024'!$D$4:$D$1612,$B26,'март 2024'!$J$4:$J$1612,F$1)</f>
        <v>0</v>
      </c>
      <c r="G26" s="80">
        <f>SUMIFS('март 2024'!$G$4:$G$1612,'март 2024'!$D$4:$D$1612,$B26,'март 2024'!$J$4:$J$1612,G$1)</f>
        <v>0</v>
      </c>
      <c r="H26" s="80">
        <f>SUMIFS('март 2024'!$G$4:$G$1612,'март 2024'!$D$4:$D$1612,$B26,'март 2024'!$J$4:$J$1612,H$1)</f>
        <v>0</v>
      </c>
      <c r="I26" s="80">
        <f>SUMIFS('март 2024'!$G$4:$G$1612,'март 2024'!$D$4:$D$1612,$B26,'март 2024'!$J$4:$J$1612,I$1)</f>
        <v>0</v>
      </c>
      <c r="J26" s="80">
        <f>SUMIFS('март 2024'!$G$4:$G$1612,'март 2024'!$D$4:$D$1612,$B26,'март 2024'!$J$4:$J$1612,J$1)</f>
        <v>0</v>
      </c>
      <c r="K26" s="80">
        <f>SUMIFS('март 2024'!$G$4:$G$1612,'март 2024'!$D$4:$D$1612,$B26,'март 2024'!$J$4:$J$1612,K$1)</f>
        <v>0</v>
      </c>
      <c r="L26" s="80">
        <f>SUMIFS('март 2024'!$G$4:$G$1612,'март 2024'!$D$4:$D$1612,$B26,'март 2024'!$J$4:$J$1612,L$1)</f>
        <v>0</v>
      </c>
      <c r="M26" s="80">
        <f>SUMIFS('март 2024'!$G$4:$G$1612,'март 2024'!$D$4:$D$1612,$B26,'март 2024'!$J$4:$J$1612,M$1)</f>
        <v>0</v>
      </c>
      <c r="N26" s="80">
        <f>SUMIFS('март 2024'!$G$4:$G$1612,'март 2024'!$D$4:$D$1612,$B26,'март 2024'!$J$4:$J$1612,N$1)</f>
        <v>0</v>
      </c>
      <c r="O26" s="80">
        <f>SUMIFS('март 2024'!$G$4:$G$1612,'март 2024'!$D$4:$D$1612,$B26,'март 2024'!$J$4:$J$1612,O$1)</f>
        <v>0</v>
      </c>
      <c r="P26" s="80">
        <f>SUMIFS('март 2024'!$G$4:$G$1612,'март 2024'!$D$4:$D$1612,$B26,'март 2024'!$J$4:$J$1612,P$1)</f>
        <v>0</v>
      </c>
      <c r="Q26" s="80">
        <f>SUMIFS('март 2024'!$G$4:$G$1612,'март 2024'!$D$4:$D$1612,$B26,'март 2024'!$J$4:$J$1612,Q$1)</f>
        <v>0</v>
      </c>
      <c r="R26" s="80">
        <f>SUMIFS('март 2024'!$G$4:$G$1612,'март 2024'!$D$4:$D$1612,$B26,'март 2024'!$J$4:$J$1612,R$1)</f>
        <v>0</v>
      </c>
      <c r="S26" s="80">
        <f>SUMIFS('март 2024'!$G$4:$G$1612,'март 2024'!$D$4:$D$1612,$B26,'март 2024'!$J$4:$J$1612,S$1)</f>
        <v>0</v>
      </c>
      <c r="T26" s="80">
        <f>SUMIFS('март 2024'!$G$4:$G$1612,'март 2024'!$D$4:$D$1612,$B26,'март 2024'!$J$4:$J$1612,T$1)</f>
        <v>0</v>
      </c>
      <c r="U26" s="80">
        <f>SUMIFS('март 2024'!$G$4:$G$1612,'март 2024'!$D$4:$D$1612,$B26,'март 2024'!$J$4:$J$1612,U$1)</f>
        <v>0</v>
      </c>
      <c r="V26" s="80">
        <f>SUMIFS('март 2024'!$G$4:$G$1612,'март 2024'!$D$4:$D$1612,$B26,'март 2024'!$J$4:$J$1612,V$1)</f>
        <v>0</v>
      </c>
      <c r="W26" s="80">
        <f>SUMIFS('март 2024'!$G$4:$G$1612,'март 2024'!$D$4:$D$1612,$B26,'март 2024'!$J$4:$J$1612,W$1)</f>
        <v>0</v>
      </c>
      <c r="X26" s="80">
        <f>SUMIFS('март 2024'!$G$4:$G$1612,'март 2024'!$D$4:$D$1612,$B26,'март 2024'!$J$4:$J$1612,X$1)</f>
        <v>0</v>
      </c>
      <c r="Y26" s="80">
        <f>SUMIFS('март 2024'!$G$4:$G$1612,'март 2024'!$D$4:$D$1612,$B26,'март 2024'!$J$4:$J$1612,Y$1)</f>
        <v>0</v>
      </c>
      <c r="Z26" s="80">
        <f>SUMIFS('март 2024'!$G$4:$G$1612,'март 2024'!$D$4:$D$1612,$B26,'март 2024'!$J$4:$J$1612,Z$1)</f>
        <v>0</v>
      </c>
      <c r="AA26" s="80">
        <f>SUMIFS('март 2024'!$G$4:$G$1612,'март 2024'!$D$4:$D$1612,$B26,'март 2024'!$J$4:$J$1612,AA$1)</f>
        <v>0</v>
      </c>
      <c r="AB26" s="80">
        <f>SUMIFS('март 2024'!$G$4:$G$1612,'март 2024'!$D$4:$D$1612,$B26,'март 2024'!$J$4:$J$1612,AB$1)</f>
        <v>0</v>
      </c>
      <c r="AC26" s="80">
        <f>SUMIFS('март 2024'!$G$4:$G$1612,'март 2024'!$D$4:$D$1612,$B26,'март 2024'!$J$4:$J$1612,AC$1)</f>
        <v>0</v>
      </c>
      <c r="AD26" s="80">
        <f>SUMIFS('март 2024'!$G$4:$G$1612,'март 2024'!$D$4:$D$1612,$B26,'март 2024'!$J$4:$J$1612,AD$1)</f>
        <v>0</v>
      </c>
      <c r="AE26" s="80">
        <f>SUMIFS('март 2024'!$G$4:$G$1612,'март 2024'!$D$4:$D$1612,$B26,'март 2024'!$J$4:$J$1612,AE$1)</f>
        <v>0</v>
      </c>
      <c r="AF26" s="80">
        <f>SUMIFS('март 2024'!$G$4:$G$1612,'март 2024'!$D$4:$D$1612,$B26,'март 2024'!$J$4:$J$1612,AF$1)</f>
        <v>0</v>
      </c>
      <c r="AG26" s="80">
        <f>SUMIFS('март 2024'!$G$4:$G$1612,'март 2024'!$D$4:$D$1612,$B26,'март 2024'!$J$4:$J$1612,AG$1)</f>
        <v>0</v>
      </c>
      <c r="AH26" s="80">
        <f>SUMIFS('март 2024'!$G$4:$G$1612,'март 2024'!$D$4:$D$1612,$B26,'март 2024'!$J$4:$J$1612,AH$1)</f>
        <v>0</v>
      </c>
      <c r="AI26" s="21">
        <f t="shared" si="1"/>
        <v>0</v>
      </c>
    </row>
    <row r="27" spans="2:35" ht="15" customHeight="1" x14ac:dyDescent="0.25">
      <c r="B27" s="84"/>
      <c r="C27" s="82"/>
      <c r="D27" s="80">
        <f>SUMIFS('март 2024'!$G$4:$G$1612,'март 2024'!$D$4:$D$1612,$B27,'март 2024'!$J$4:$J$1612,D$1)</f>
        <v>0</v>
      </c>
      <c r="E27" s="80">
        <f>SUMIFS('март 2024'!$G$4:$G$1612,'март 2024'!$D$4:$D$1612,$B27,'март 2024'!$J$4:$J$1612,E$1)</f>
        <v>0</v>
      </c>
      <c r="F27" s="80">
        <f>SUMIFS('март 2024'!$G$4:$G$1612,'март 2024'!$D$4:$D$1612,$B27,'март 2024'!$J$4:$J$1612,F$1)</f>
        <v>0</v>
      </c>
      <c r="G27" s="80">
        <f>SUMIFS('март 2024'!$G$4:$G$1612,'март 2024'!$D$4:$D$1612,$B27,'март 2024'!$J$4:$J$1612,G$1)</f>
        <v>0</v>
      </c>
      <c r="H27" s="80">
        <f>SUMIFS('март 2024'!$G$4:$G$1612,'март 2024'!$D$4:$D$1612,$B27,'март 2024'!$J$4:$J$1612,H$1)</f>
        <v>0</v>
      </c>
      <c r="I27" s="80">
        <f>SUMIFS('март 2024'!$G$4:$G$1612,'март 2024'!$D$4:$D$1612,$B27,'март 2024'!$J$4:$J$1612,I$1)</f>
        <v>0</v>
      </c>
      <c r="J27" s="80">
        <f>SUMIFS('март 2024'!$G$4:$G$1612,'март 2024'!$D$4:$D$1612,$B27,'март 2024'!$J$4:$J$1612,J$1)</f>
        <v>0</v>
      </c>
      <c r="K27" s="80">
        <f>SUMIFS('март 2024'!$G$4:$G$1612,'март 2024'!$D$4:$D$1612,$B27,'март 2024'!$J$4:$J$1612,K$1)</f>
        <v>0</v>
      </c>
      <c r="L27" s="80">
        <f>SUMIFS('март 2024'!$G$4:$G$1612,'март 2024'!$D$4:$D$1612,$B27,'март 2024'!$J$4:$J$1612,L$1)</f>
        <v>0</v>
      </c>
      <c r="M27" s="80">
        <f>SUMIFS('март 2024'!$G$4:$G$1612,'март 2024'!$D$4:$D$1612,$B27,'март 2024'!$J$4:$J$1612,M$1)</f>
        <v>0</v>
      </c>
      <c r="N27" s="80">
        <f>SUMIFS('март 2024'!$G$4:$G$1612,'март 2024'!$D$4:$D$1612,$B27,'март 2024'!$J$4:$J$1612,N$1)</f>
        <v>0</v>
      </c>
      <c r="O27" s="80">
        <f>SUMIFS('март 2024'!$G$4:$G$1612,'март 2024'!$D$4:$D$1612,$B27,'март 2024'!$J$4:$J$1612,O$1)</f>
        <v>0</v>
      </c>
      <c r="P27" s="80">
        <f>SUMIFS('март 2024'!$G$4:$G$1612,'март 2024'!$D$4:$D$1612,$B27,'март 2024'!$J$4:$J$1612,P$1)</f>
        <v>0</v>
      </c>
      <c r="Q27" s="80">
        <f>SUMIFS('март 2024'!$G$4:$G$1612,'март 2024'!$D$4:$D$1612,$B27,'март 2024'!$J$4:$J$1612,Q$1)</f>
        <v>0</v>
      </c>
      <c r="R27" s="80">
        <f>SUMIFS('март 2024'!$G$4:$G$1612,'март 2024'!$D$4:$D$1612,$B27,'март 2024'!$J$4:$J$1612,R$1)</f>
        <v>0</v>
      </c>
      <c r="S27" s="80">
        <f>SUMIFS('март 2024'!$G$4:$G$1612,'март 2024'!$D$4:$D$1612,$B27,'март 2024'!$J$4:$J$1612,S$1)</f>
        <v>0</v>
      </c>
      <c r="T27" s="80">
        <f>SUMIFS('март 2024'!$G$4:$G$1612,'март 2024'!$D$4:$D$1612,$B27,'март 2024'!$J$4:$J$1612,T$1)</f>
        <v>0</v>
      </c>
      <c r="U27" s="80">
        <f>SUMIFS('март 2024'!$G$4:$G$1612,'март 2024'!$D$4:$D$1612,$B27,'март 2024'!$J$4:$J$1612,U$1)</f>
        <v>0</v>
      </c>
      <c r="V27" s="80">
        <f>SUMIFS('март 2024'!$G$4:$G$1612,'март 2024'!$D$4:$D$1612,$B27,'март 2024'!$J$4:$J$1612,V$1)</f>
        <v>0</v>
      </c>
      <c r="W27" s="80">
        <f>SUMIFS('март 2024'!$G$4:$G$1612,'март 2024'!$D$4:$D$1612,$B27,'март 2024'!$J$4:$J$1612,W$1)</f>
        <v>0</v>
      </c>
      <c r="X27" s="80">
        <f>SUMIFS('март 2024'!$G$4:$G$1612,'март 2024'!$D$4:$D$1612,$B27,'март 2024'!$J$4:$J$1612,X$1)</f>
        <v>0</v>
      </c>
      <c r="Y27" s="80">
        <f>SUMIFS('март 2024'!$G$4:$G$1612,'март 2024'!$D$4:$D$1612,$B27,'март 2024'!$J$4:$J$1612,Y$1)</f>
        <v>0</v>
      </c>
      <c r="Z27" s="80">
        <f>SUMIFS('март 2024'!$G$4:$G$1612,'март 2024'!$D$4:$D$1612,$B27,'март 2024'!$J$4:$J$1612,Z$1)</f>
        <v>0</v>
      </c>
      <c r="AA27" s="80">
        <f>SUMIFS('март 2024'!$G$4:$G$1612,'март 2024'!$D$4:$D$1612,$B27,'март 2024'!$J$4:$J$1612,AA$1)</f>
        <v>0</v>
      </c>
      <c r="AB27" s="80">
        <f>SUMIFS('март 2024'!$G$4:$G$1612,'март 2024'!$D$4:$D$1612,$B27,'март 2024'!$J$4:$J$1612,AB$1)</f>
        <v>0</v>
      </c>
      <c r="AC27" s="80">
        <f>SUMIFS('март 2024'!$G$4:$G$1612,'март 2024'!$D$4:$D$1612,$B27,'март 2024'!$J$4:$J$1612,AC$1)</f>
        <v>0</v>
      </c>
      <c r="AD27" s="80">
        <f>SUMIFS('март 2024'!$G$4:$G$1612,'март 2024'!$D$4:$D$1612,$B27,'март 2024'!$J$4:$J$1612,AD$1)</f>
        <v>0</v>
      </c>
      <c r="AE27" s="80">
        <f>SUMIFS('март 2024'!$G$4:$G$1612,'март 2024'!$D$4:$D$1612,$B27,'март 2024'!$J$4:$J$1612,AE$1)</f>
        <v>0</v>
      </c>
      <c r="AF27" s="80">
        <f>SUMIFS('март 2024'!$G$4:$G$1612,'март 2024'!$D$4:$D$1612,$B27,'март 2024'!$J$4:$J$1612,AF$1)</f>
        <v>0</v>
      </c>
      <c r="AG27" s="80">
        <f>SUMIFS('март 2024'!$G$4:$G$1612,'март 2024'!$D$4:$D$1612,$B27,'март 2024'!$J$4:$J$1612,AG$1)</f>
        <v>0</v>
      </c>
      <c r="AH27" s="80">
        <f>SUMIFS('март 2024'!$G$4:$G$1612,'март 2024'!$D$4:$D$1612,$B27,'март 2024'!$J$4:$J$1612,AH$1)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80">
        <f>SUMIFS('март 2024'!$G$4:$G$1612,'март 2024'!$D$4:$D$1612,$B28,'март 2024'!$J$4:$J$1612,D$1)</f>
        <v>0</v>
      </c>
      <c r="E28" s="80">
        <f>SUMIFS('март 2024'!$G$4:$G$1612,'март 2024'!$D$4:$D$1612,$B28,'март 2024'!$J$4:$J$1612,E$1)</f>
        <v>0</v>
      </c>
      <c r="F28" s="80">
        <f>SUMIFS('март 2024'!$G$4:$G$1612,'март 2024'!$D$4:$D$1612,$B28,'март 2024'!$J$4:$J$1612,F$1)</f>
        <v>0</v>
      </c>
      <c r="G28" s="80">
        <f>SUMIFS('март 2024'!$G$4:$G$1612,'март 2024'!$D$4:$D$1612,$B28,'март 2024'!$J$4:$J$1612,G$1)</f>
        <v>0</v>
      </c>
      <c r="H28" s="80">
        <f>SUMIFS('март 2024'!$G$4:$G$1612,'март 2024'!$D$4:$D$1612,$B28,'март 2024'!$J$4:$J$1612,H$1)</f>
        <v>0</v>
      </c>
      <c r="I28" s="80">
        <f>SUMIFS('март 2024'!$G$4:$G$1612,'март 2024'!$D$4:$D$1612,$B28,'март 2024'!$J$4:$J$1612,I$1)</f>
        <v>0</v>
      </c>
      <c r="J28" s="80">
        <f>SUMIFS('март 2024'!$G$4:$G$1612,'март 2024'!$D$4:$D$1612,$B28,'март 2024'!$J$4:$J$1612,J$1)</f>
        <v>0</v>
      </c>
      <c r="K28" s="80">
        <f>SUMIFS('март 2024'!$G$4:$G$1612,'март 2024'!$D$4:$D$1612,$B28,'март 2024'!$J$4:$J$1612,K$1)</f>
        <v>0</v>
      </c>
      <c r="L28" s="80">
        <f>SUMIFS('март 2024'!$G$4:$G$1612,'март 2024'!$D$4:$D$1612,$B28,'март 2024'!$J$4:$J$1612,L$1)</f>
        <v>0</v>
      </c>
      <c r="M28" s="80">
        <f>SUMIFS('март 2024'!$G$4:$G$1612,'март 2024'!$D$4:$D$1612,$B28,'март 2024'!$J$4:$J$1612,M$1)</f>
        <v>0</v>
      </c>
      <c r="N28" s="80">
        <f>SUMIFS('март 2024'!$G$4:$G$1612,'март 2024'!$D$4:$D$1612,$B28,'март 2024'!$J$4:$J$1612,N$1)</f>
        <v>0</v>
      </c>
      <c r="O28" s="80">
        <f>SUMIFS('март 2024'!$G$4:$G$1612,'март 2024'!$D$4:$D$1612,$B28,'март 2024'!$J$4:$J$1612,O$1)</f>
        <v>0</v>
      </c>
      <c r="P28" s="80">
        <f>SUMIFS('март 2024'!$G$4:$G$1612,'март 2024'!$D$4:$D$1612,$B28,'март 2024'!$J$4:$J$1612,P$1)</f>
        <v>0</v>
      </c>
      <c r="Q28" s="80">
        <f>SUMIFS('март 2024'!$G$4:$G$1612,'март 2024'!$D$4:$D$1612,$B28,'март 2024'!$J$4:$J$1612,Q$1)</f>
        <v>0</v>
      </c>
      <c r="R28" s="80">
        <f>SUMIFS('март 2024'!$G$4:$G$1612,'март 2024'!$D$4:$D$1612,$B28,'март 2024'!$J$4:$J$1612,R$1)</f>
        <v>0</v>
      </c>
      <c r="S28" s="80">
        <f>SUMIFS('март 2024'!$G$4:$G$1612,'март 2024'!$D$4:$D$1612,$B28,'март 2024'!$J$4:$J$1612,S$1)</f>
        <v>0</v>
      </c>
      <c r="T28" s="80">
        <f>SUMIFS('март 2024'!$G$4:$G$1612,'март 2024'!$D$4:$D$1612,$B28,'март 2024'!$J$4:$J$1612,T$1)</f>
        <v>0</v>
      </c>
      <c r="U28" s="80">
        <f>SUMIFS('март 2024'!$G$4:$G$1612,'март 2024'!$D$4:$D$1612,$B28,'март 2024'!$J$4:$J$1612,U$1)</f>
        <v>0</v>
      </c>
      <c r="V28" s="80">
        <f>SUMIFS('март 2024'!$G$4:$G$1612,'март 2024'!$D$4:$D$1612,$B28,'март 2024'!$J$4:$J$1612,V$1)</f>
        <v>0</v>
      </c>
      <c r="W28" s="80">
        <f>SUMIFS('март 2024'!$G$4:$G$1612,'март 2024'!$D$4:$D$1612,$B28,'март 2024'!$J$4:$J$1612,W$1)</f>
        <v>0</v>
      </c>
      <c r="X28" s="80">
        <f>SUMIFS('март 2024'!$G$4:$G$1612,'март 2024'!$D$4:$D$1612,$B28,'март 2024'!$J$4:$J$1612,X$1)</f>
        <v>0</v>
      </c>
      <c r="Y28" s="80">
        <f>SUMIFS('март 2024'!$G$4:$G$1612,'март 2024'!$D$4:$D$1612,$B28,'март 2024'!$J$4:$J$1612,Y$1)</f>
        <v>0</v>
      </c>
      <c r="Z28" s="80">
        <f>SUMIFS('март 2024'!$G$4:$G$1612,'март 2024'!$D$4:$D$1612,$B28,'март 2024'!$J$4:$J$1612,Z$1)</f>
        <v>0</v>
      </c>
      <c r="AA28" s="80">
        <f>SUMIFS('март 2024'!$G$4:$G$1612,'март 2024'!$D$4:$D$1612,$B28,'март 2024'!$J$4:$J$1612,AA$1)</f>
        <v>0</v>
      </c>
      <c r="AB28" s="80">
        <f>SUMIFS('март 2024'!$G$4:$G$1612,'март 2024'!$D$4:$D$1612,$B28,'март 2024'!$J$4:$J$1612,AB$1)</f>
        <v>0</v>
      </c>
      <c r="AC28" s="80">
        <f>SUMIFS('март 2024'!$G$4:$G$1612,'март 2024'!$D$4:$D$1612,$B28,'март 2024'!$J$4:$J$1612,AC$1)</f>
        <v>0</v>
      </c>
      <c r="AD28" s="80">
        <f>SUMIFS('март 2024'!$G$4:$G$1612,'март 2024'!$D$4:$D$1612,$B28,'март 2024'!$J$4:$J$1612,AD$1)</f>
        <v>0</v>
      </c>
      <c r="AE28" s="80">
        <f>SUMIFS('март 2024'!$G$4:$G$1612,'март 2024'!$D$4:$D$1612,$B28,'март 2024'!$J$4:$J$1612,AE$1)</f>
        <v>0</v>
      </c>
      <c r="AF28" s="80">
        <f>SUMIFS('март 2024'!$G$4:$G$1612,'март 2024'!$D$4:$D$1612,$B28,'март 2024'!$J$4:$J$1612,AF$1)</f>
        <v>0</v>
      </c>
      <c r="AG28" s="80">
        <f>SUMIFS('март 2024'!$G$4:$G$1612,'март 2024'!$D$4:$D$1612,$B28,'март 2024'!$J$4:$J$1612,AG$1)</f>
        <v>0</v>
      </c>
      <c r="AH28" s="80">
        <f>SUMIFS('март 2024'!$G$4:$G$1612,'март 2024'!$D$4:$D$1612,$B28,'март 2024'!$J$4:$J$1612,AH$1)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80">
        <f>SUMIFS('март 2024'!$G$4:$G$1612,'март 2024'!$D$4:$D$1612,$B29,'март 2024'!$J$4:$J$1612,D$1)</f>
        <v>0</v>
      </c>
      <c r="E29" s="80">
        <f>SUMIFS('март 2024'!$G$4:$G$1612,'март 2024'!$D$4:$D$1612,$B29,'март 2024'!$J$4:$J$1612,E$1)</f>
        <v>0</v>
      </c>
      <c r="F29" s="80">
        <f>SUMIFS('март 2024'!$G$4:$G$1612,'март 2024'!$D$4:$D$1612,$B29,'март 2024'!$J$4:$J$1612,F$1)</f>
        <v>0</v>
      </c>
      <c r="G29" s="80">
        <f>SUMIFS('март 2024'!$G$4:$G$1612,'март 2024'!$D$4:$D$1612,$B29,'март 2024'!$J$4:$J$1612,G$1)</f>
        <v>0</v>
      </c>
      <c r="H29" s="80">
        <f>SUMIFS('март 2024'!$G$4:$G$1612,'март 2024'!$D$4:$D$1612,$B29,'март 2024'!$J$4:$J$1612,H$1)</f>
        <v>0</v>
      </c>
      <c r="I29" s="80">
        <f>SUMIFS('март 2024'!$G$4:$G$1612,'март 2024'!$D$4:$D$1612,$B29,'март 2024'!$J$4:$J$1612,I$1)</f>
        <v>0</v>
      </c>
      <c r="J29" s="80">
        <f>SUMIFS('март 2024'!$G$4:$G$1612,'март 2024'!$D$4:$D$1612,$B29,'март 2024'!$J$4:$J$1612,J$1)</f>
        <v>0</v>
      </c>
      <c r="K29" s="80">
        <f>SUMIFS('март 2024'!$G$4:$G$1612,'март 2024'!$D$4:$D$1612,$B29,'март 2024'!$J$4:$J$1612,K$1)</f>
        <v>0</v>
      </c>
      <c r="L29" s="80">
        <f>SUMIFS('март 2024'!$G$4:$G$1612,'март 2024'!$D$4:$D$1612,$B29,'март 2024'!$J$4:$J$1612,L$1)</f>
        <v>0</v>
      </c>
      <c r="M29" s="80">
        <f>SUMIFS('март 2024'!$G$4:$G$1612,'март 2024'!$D$4:$D$1612,$B29,'март 2024'!$J$4:$J$1612,M$1)</f>
        <v>0</v>
      </c>
      <c r="N29" s="80">
        <f>SUMIFS('март 2024'!$G$4:$G$1612,'март 2024'!$D$4:$D$1612,$B29,'март 2024'!$J$4:$J$1612,N$1)</f>
        <v>0</v>
      </c>
      <c r="O29" s="80">
        <f>SUMIFS('март 2024'!$G$4:$G$1612,'март 2024'!$D$4:$D$1612,$B29,'март 2024'!$J$4:$J$1612,O$1)</f>
        <v>0</v>
      </c>
      <c r="P29" s="80">
        <f>SUMIFS('март 2024'!$G$4:$G$1612,'март 2024'!$D$4:$D$1612,$B29,'март 2024'!$J$4:$J$1612,P$1)</f>
        <v>0</v>
      </c>
      <c r="Q29" s="80">
        <f>SUMIFS('март 2024'!$G$4:$G$1612,'март 2024'!$D$4:$D$1612,$B29,'март 2024'!$J$4:$J$1612,Q$1)</f>
        <v>0</v>
      </c>
      <c r="R29" s="80">
        <f>SUMIFS('март 2024'!$G$4:$G$1612,'март 2024'!$D$4:$D$1612,$B29,'март 2024'!$J$4:$J$1612,R$1)</f>
        <v>0</v>
      </c>
      <c r="S29" s="80">
        <f>SUMIFS('март 2024'!$G$4:$G$1612,'март 2024'!$D$4:$D$1612,$B29,'март 2024'!$J$4:$J$1612,S$1)</f>
        <v>0</v>
      </c>
      <c r="T29" s="80">
        <f>SUMIFS('март 2024'!$G$4:$G$1612,'март 2024'!$D$4:$D$1612,$B29,'март 2024'!$J$4:$J$1612,T$1)</f>
        <v>0</v>
      </c>
      <c r="U29" s="80">
        <f>SUMIFS('март 2024'!$G$4:$G$1612,'март 2024'!$D$4:$D$1612,$B29,'март 2024'!$J$4:$J$1612,U$1)</f>
        <v>0</v>
      </c>
      <c r="V29" s="80">
        <f>SUMIFS('март 2024'!$G$4:$G$1612,'март 2024'!$D$4:$D$1612,$B29,'март 2024'!$J$4:$J$1612,V$1)</f>
        <v>0</v>
      </c>
      <c r="W29" s="80">
        <f>SUMIFS('март 2024'!$G$4:$G$1612,'март 2024'!$D$4:$D$1612,$B29,'март 2024'!$J$4:$J$1612,W$1)</f>
        <v>0</v>
      </c>
      <c r="X29" s="80">
        <f>SUMIFS('март 2024'!$G$4:$G$1612,'март 2024'!$D$4:$D$1612,$B29,'март 2024'!$J$4:$J$1612,X$1)</f>
        <v>0</v>
      </c>
      <c r="Y29" s="80">
        <f>SUMIFS('март 2024'!$G$4:$G$1612,'март 2024'!$D$4:$D$1612,$B29,'март 2024'!$J$4:$J$1612,Y$1)</f>
        <v>0</v>
      </c>
      <c r="Z29" s="80">
        <f>SUMIFS('март 2024'!$G$4:$G$1612,'март 2024'!$D$4:$D$1612,$B29,'март 2024'!$J$4:$J$1612,Z$1)</f>
        <v>0</v>
      </c>
      <c r="AA29" s="80">
        <f>SUMIFS('март 2024'!$G$4:$G$1612,'март 2024'!$D$4:$D$1612,$B29,'март 2024'!$J$4:$J$1612,AA$1)</f>
        <v>0</v>
      </c>
      <c r="AB29" s="80">
        <f>SUMIFS('март 2024'!$G$4:$G$1612,'март 2024'!$D$4:$D$1612,$B29,'март 2024'!$J$4:$J$1612,AB$1)</f>
        <v>0</v>
      </c>
      <c r="AC29" s="80">
        <f>SUMIFS('март 2024'!$G$4:$G$1612,'март 2024'!$D$4:$D$1612,$B29,'март 2024'!$J$4:$J$1612,AC$1)</f>
        <v>0</v>
      </c>
      <c r="AD29" s="80">
        <f>SUMIFS('март 2024'!$G$4:$G$1612,'март 2024'!$D$4:$D$1612,$B29,'март 2024'!$J$4:$J$1612,AD$1)</f>
        <v>0</v>
      </c>
      <c r="AE29" s="80">
        <f>SUMIFS('март 2024'!$G$4:$G$1612,'март 2024'!$D$4:$D$1612,$B29,'март 2024'!$J$4:$J$1612,AE$1)</f>
        <v>0</v>
      </c>
      <c r="AF29" s="80">
        <f>SUMIFS('март 2024'!$G$4:$G$1612,'март 2024'!$D$4:$D$1612,$B29,'март 2024'!$J$4:$J$1612,AF$1)</f>
        <v>0</v>
      </c>
      <c r="AG29" s="80">
        <f>SUMIFS('март 2024'!$G$4:$G$1612,'март 2024'!$D$4:$D$1612,$B29,'март 2024'!$J$4:$J$1612,AG$1)</f>
        <v>0</v>
      </c>
      <c r="AH29" s="80">
        <f>SUMIFS('март 2024'!$G$4:$G$1612,'март 2024'!$D$4:$D$1612,$B29,'март 2024'!$J$4:$J$1612,AH$1)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80">
        <f>SUMIFS('март 2024'!$G$4:$G$1612,'март 2024'!$D$4:$D$1612,$B30,'март 2024'!$J$4:$J$1612,D$1)</f>
        <v>0</v>
      </c>
      <c r="E30" s="80">
        <f>SUMIFS('март 2024'!$G$4:$G$1612,'март 2024'!$D$4:$D$1612,$B30,'март 2024'!$J$4:$J$1612,E$1)</f>
        <v>0</v>
      </c>
      <c r="F30" s="80">
        <f>SUMIFS('март 2024'!$G$4:$G$1612,'март 2024'!$D$4:$D$1612,$B30,'март 2024'!$J$4:$J$1612,F$1)</f>
        <v>0</v>
      </c>
      <c r="G30" s="80">
        <f>SUMIFS('март 2024'!$G$4:$G$1612,'март 2024'!$D$4:$D$1612,$B30,'март 2024'!$J$4:$J$1612,G$1)</f>
        <v>0</v>
      </c>
      <c r="H30" s="80">
        <f>SUMIFS('март 2024'!$G$4:$G$1612,'март 2024'!$D$4:$D$1612,$B30,'март 2024'!$J$4:$J$1612,H$1)</f>
        <v>0</v>
      </c>
      <c r="I30" s="80">
        <f>SUMIFS('март 2024'!$G$4:$G$1612,'март 2024'!$D$4:$D$1612,$B30,'март 2024'!$J$4:$J$1612,I$1)</f>
        <v>0</v>
      </c>
      <c r="J30" s="80">
        <f>SUMIFS('март 2024'!$G$4:$G$1612,'март 2024'!$D$4:$D$1612,$B30,'март 2024'!$J$4:$J$1612,J$1)</f>
        <v>0</v>
      </c>
      <c r="K30" s="80">
        <f>SUMIFS('март 2024'!$G$4:$G$1612,'март 2024'!$D$4:$D$1612,$B30,'март 2024'!$J$4:$J$1612,K$1)</f>
        <v>0</v>
      </c>
      <c r="L30" s="80">
        <f>SUMIFS('март 2024'!$G$4:$G$1612,'март 2024'!$D$4:$D$1612,$B30,'март 2024'!$J$4:$J$1612,L$1)</f>
        <v>0</v>
      </c>
      <c r="M30" s="80">
        <f>SUMIFS('март 2024'!$G$4:$G$1612,'март 2024'!$D$4:$D$1612,$B30,'март 2024'!$J$4:$J$1612,M$1)</f>
        <v>0</v>
      </c>
      <c r="N30" s="80">
        <f>SUMIFS('март 2024'!$G$4:$G$1612,'март 2024'!$D$4:$D$1612,$B30,'март 2024'!$J$4:$J$1612,N$1)</f>
        <v>0</v>
      </c>
      <c r="O30" s="80">
        <f>SUMIFS('март 2024'!$G$4:$G$1612,'март 2024'!$D$4:$D$1612,$B30,'март 2024'!$J$4:$J$1612,O$1)</f>
        <v>0</v>
      </c>
      <c r="P30" s="80">
        <f>SUMIFS('март 2024'!$G$4:$G$1612,'март 2024'!$D$4:$D$1612,$B30,'март 2024'!$J$4:$J$1612,P$1)</f>
        <v>0</v>
      </c>
      <c r="Q30" s="80">
        <f>SUMIFS('март 2024'!$G$4:$G$1612,'март 2024'!$D$4:$D$1612,$B30,'март 2024'!$J$4:$J$1612,Q$1)</f>
        <v>0</v>
      </c>
      <c r="R30" s="80">
        <f>SUMIFS('март 2024'!$G$4:$G$1612,'март 2024'!$D$4:$D$1612,$B30,'март 2024'!$J$4:$J$1612,R$1)</f>
        <v>0</v>
      </c>
      <c r="S30" s="80">
        <f>SUMIFS('март 2024'!$G$4:$G$1612,'март 2024'!$D$4:$D$1612,$B30,'март 2024'!$J$4:$J$1612,S$1)</f>
        <v>0</v>
      </c>
      <c r="T30" s="80">
        <f>SUMIFS('март 2024'!$G$4:$G$1612,'март 2024'!$D$4:$D$1612,$B30,'март 2024'!$J$4:$J$1612,T$1)</f>
        <v>0</v>
      </c>
      <c r="U30" s="80">
        <f>SUMIFS('март 2024'!$G$4:$G$1612,'март 2024'!$D$4:$D$1612,$B30,'март 2024'!$J$4:$J$1612,U$1)</f>
        <v>0</v>
      </c>
      <c r="V30" s="80">
        <f>SUMIFS('март 2024'!$G$4:$G$1612,'март 2024'!$D$4:$D$1612,$B30,'март 2024'!$J$4:$J$1612,V$1)</f>
        <v>0</v>
      </c>
      <c r="W30" s="80">
        <f>SUMIFS('март 2024'!$G$4:$G$1612,'март 2024'!$D$4:$D$1612,$B30,'март 2024'!$J$4:$J$1612,W$1)</f>
        <v>0</v>
      </c>
      <c r="X30" s="80">
        <f>SUMIFS('март 2024'!$G$4:$G$1612,'март 2024'!$D$4:$D$1612,$B30,'март 2024'!$J$4:$J$1612,X$1)</f>
        <v>0</v>
      </c>
      <c r="Y30" s="80">
        <f>SUMIFS('март 2024'!$G$4:$G$1612,'март 2024'!$D$4:$D$1612,$B30,'март 2024'!$J$4:$J$1612,Y$1)</f>
        <v>0</v>
      </c>
      <c r="Z30" s="80">
        <f>SUMIFS('март 2024'!$G$4:$G$1612,'март 2024'!$D$4:$D$1612,$B30,'март 2024'!$J$4:$J$1612,Z$1)</f>
        <v>0</v>
      </c>
      <c r="AA30" s="80">
        <f>SUMIFS('март 2024'!$G$4:$G$1612,'март 2024'!$D$4:$D$1612,$B30,'март 2024'!$J$4:$J$1612,AA$1)</f>
        <v>0</v>
      </c>
      <c r="AB30" s="80">
        <f>SUMIFS('март 2024'!$G$4:$G$1612,'март 2024'!$D$4:$D$1612,$B30,'март 2024'!$J$4:$J$1612,AB$1)</f>
        <v>0</v>
      </c>
      <c r="AC30" s="80">
        <f>SUMIFS('март 2024'!$G$4:$G$1612,'март 2024'!$D$4:$D$1612,$B30,'март 2024'!$J$4:$J$1612,AC$1)</f>
        <v>0</v>
      </c>
      <c r="AD30" s="80">
        <f>SUMIFS('март 2024'!$G$4:$G$1612,'март 2024'!$D$4:$D$1612,$B30,'март 2024'!$J$4:$J$1612,AD$1)</f>
        <v>0</v>
      </c>
      <c r="AE30" s="80">
        <f>SUMIFS('март 2024'!$G$4:$G$1612,'март 2024'!$D$4:$D$1612,$B30,'март 2024'!$J$4:$J$1612,AE$1)</f>
        <v>0</v>
      </c>
      <c r="AF30" s="80">
        <f>SUMIFS('март 2024'!$G$4:$G$1612,'март 2024'!$D$4:$D$1612,$B30,'март 2024'!$J$4:$J$1612,AF$1)</f>
        <v>0</v>
      </c>
      <c r="AG30" s="80">
        <f>SUMIFS('март 2024'!$G$4:$G$1612,'март 2024'!$D$4:$D$1612,$B30,'март 2024'!$J$4:$J$1612,AG$1)</f>
        <v>0</v>
      </c>
      <c r="AH30" s="80">
        <f>SUMIFS('март 2024'!$G$4:$G$1612,'март 2024'!$D$4:$D$1612,$B30,'март 2024'!$J$4:$J$1612,AH$1)</f>
        <v>0</v>
      </c>
      <c r="AI30" s="21">
        <f t="shared" si="1"/>
        <v>0</v>
      </c>
    </row>
    <row r="31" spans="2:35" ht="15" customHeight="1" x14ac:dyDescent="0.25">
      <c r="B31" s="142" t="s">
        <v>276</v>
      </c>
      <c r="C31" s="143">
        <v>25</v>
      </c>
      <c r="D31" s="80">
        <f>SUMIFS('март 2024'!$G$4:$G$1612,'март 2024'!$D$4:$D$1612,$B31,'март 2024'!$J$4:$J$1612,D$1)</f>
        <v>0</v>
      </c>
      <c r="E31" s="80">
        <f>SUMIFS('март 2024'!$G$4:$G$1612,'март 2024'!$D$4:$D$1612,$B31,'март 2024'!$J$4:$J$1612,E$1)</f>
        <v>0</v>
      </c>
      <c r="F31" s="80">
        <f>SUMIFS('март 2024'!$G$4:$G$1612,'март 2024'!$D$4:$D$1612,$B31,'март 2024'!$J$4:$J$1612,F$1)</f>
        <v>0</v>
      </c>
      <c r="G31" s="80">
        <f>SUMIFS('март 2024'!$G$4:$G$1612,'март 2024'!$D$4:$D$1612,$B31,'март 2024'!$J$4:$J$1612,G$1)</f>
        <v>0</v>
      </c>
      <c r="H31" s="80">
        <f>SUMIFS('март 2024'!$G$4:$G$1612,'март 2024'!$D$4:$D$1612,$B31,'март 2024'!$J$4:$J$1612,H$1)</f>
        <v>0</v>
      </c>
      <c r="I31" s="80">
        <f>SUMIFS('март 2024'!$G$4:$G$1612,'март 2024'!$D$4:$D$1612,$B31,'март 2024'!$J$4:$J$1612,I$1)</f>
        <v>0</v>
      </c>
      <c r="J31" s="80">
        <f>SUMIFS('март 2024'!$G$4:$G$1612,'март 2024'!$D$4:$D$1612,$B31,'март 2024'!$J$4:$J$1612,J$1)</f>
        <v>0</v>
      </c>
      <c r="K31" s="80">
        <f>SUMIFS('март 2024'!$G$4:$G$1612,'март 2024'!$D$4:$D$1612,$B31,'март 2024'!$J$4:$J$1612,K$1)</f>
        <v>0</v>
      </c>
      <c r="L31" s="80">
        <f>SUMIFS('март 2024'!$G$4:$G$1612,'март 2024'!$D$4:$D$1612,$B31,'март 2024'!$J$4:$J$1612,L$1)</f>
        <v>0</v>
      </c>
      <c r="M31" s="80">
        <f>SUMIFS('март 2024'!$G$4:$G$1612,'март 2024'!$D$4:$D$1612,$B31,'март 2024'!$J$4:$J$1612,M$1)</f>
        <v>0</v>
      </c>
      <c r="N31" s="80">
        <f>SUMIFS('март 2024'!$G$4:$G$1612,'март 2024'!$D$4:$D$1612,$B31,'март 2024'!$J$4:$J$1612,N$1)</f>
        <v>0</v>
      </c>
      <c r="O31" s="80">
        <f>SUMIFS('март 2024'!$G$4:$G$1612,'март 2024'!$D$4:$D$1612,$B31,'март 2024'!$J$4:$J$1612,O$1)</f>
        <v>0</v>
      </c>
      <c r="P31" s="80">
        <f>SUMIFS('март 2024'!$G$4:$G$1612,'март 2024'!$D$4:$D$1612,$B31,'март 2024'!$J$4:$J$1612,P$1)</f>
        <v>0</v>
      </c>
      <c r="Q31" s="80">
        <f>SUMIFS('март 2024'!$G$4:$G$1612,'март 2024'!$D$4:$D$1612,$B31,'март 2024'!$J$4:$J$1612,Q$1)</f>
        <v>0</v>
      </c>
      <c r="R31" s="80">
        <f>SUMIFS('март 2024'!$G$4:$G$1612,'март 2024'!$D$4:$D$1612,$B31,'март 2024'!$J$4:$J$1612,R$1)</f>
        <v>0</v>
      </c>
      <c r="S31" s="80">
        <f>SUMIFS('март 2024'!$G$4:$G$1612,'март 2024'!$D$4:$D$1612,$B31,'март 2024'!$J$4:$J$1612,S$1)</f>
        <v>0</v>
      </c>
      <c r="T31" s="80">
        <f>SUMIFS('март 2024'!$G$4:$G$1612,'март 2024'!$D$4:$D$1612,$B31,'март 2024'!$J$4:$J$1612,T$1)</f>
        <v>0</v>
      </c>
      <c r="U31" s="80">
        <f>SUMIFS('март 2024'!$G$4:$G$1612,'март 2024'!$D$4:$D$1612,$B31,'март 2024'!$J$4:$J$1612,U$1)</f>
        <v>0</v>
      </c>
      <c r="V31" s="80">
        <f>SUMIFS('март 2024'!$G$4:$G$1612,'март 2024'!$D$4:$D$1612,$B31,'март 2024'!$J$4:$J$1612,V$1)</f>
        <v>0</v>
      </c>
      <c r="W31" s="80">
        <f>SUMIFS('март 2024'!$G$4:$G$1612,'март 2024'!$D$4:$D$1612,$B31,'март 2024'!$J$4:$J$1612,W$1)</f>
        <v>0</v>
      </c>
      <c r="X31" s="80">
        <f>SUMIFS('март 2024'!$G$4:$G$1612,'март 2024'!$D$4:$D$1612,$B31,'март 2024'!$J$4:$J$1612,X$1)</f>
        <v>0</v>
      </c>
      <c r="Y31" s="80">
        <f>SUMIFS('март 2024'!$G$4:$G$1612,'март 2024'!$D$4:$D$1612,$B31,'март 2024'!$J$4:$J$1612,Y$1)</f>
        <v>0</v>
      </c>
      <c r="Z31" s="80">
        <f>SUMIFS('март 2024'!$G$4:$G$1612,'март 2024'!$D$4:$D$1612,$B31,'март 2024'!$J$4:$J$1612,Z$1)</f>
        <v>0</v>
      </c>
      <c r="AA31" s="80">
        <f>SUMIFS('март 2024'!$G$4:$G$1612,'март 2024'!$D$4:$D$1612,$B31,'март 2024'!$J$4:$J$1612,AA$1)</f>
        <v>0</v>
      </c>
      <c r="AB31" s="80">
        <f>SUMIFS('март 2024'!$G$4:$G$1612,'март 2024'!$D$4:$D$1612,$B31,'март 2024'!$J$4:$J$1612,AB$1)</f>
        <v>0</v>
      </c>
      <c r="AC31" s="80">
        <f>SUMIFS('март 2024'!$G$4:$G$1612,'март 2024'!$D$4:$D$1612,$B31,'март 2024'!$J$4:$J$1612,AC$1)</f>
        <v>0</v>
      </c>
      <c r="AD31" s="80">
        <f>SUMIFS('март 2024'!$G$4:$G$1612,'март 2024'!$D$4:$D$1612,$B31,'март 2024'!$J$4:$J$1612,AD$1)</f>
        <v>0</v>
      </c>
      <c r="AE31" s="80">
        <f>SUMIFS('март 2024'!$G$4:$G$1612,'март 2024'!$D$4:$D$1612,$B31,'март 2024'!$J$4:$J$1612,AE$1)</f>
        <v>0</v>
      </c>
      <c r="AF31" s="80">
        <f>SUMIFS('март 2024'!$G$4:$G$1612,'март 2024'!$D$4:$D$1612,$B31,'март 2024'!$J$4:$J$1612,AF$1)</f>
        <v>0</v>
      </c>
      <c r="AG31" s="80">
        <f>SUMIFS('март 2024'!$G$4:$G$1612,'март 2024'!$D$4:$D$1612,$B31,'март 2024'!$J$4:$J$1612,AG$1)</f>
        <v>0</v>
      </c>
      <c r="AH31" s="80">
        <f>SUMIFS('март 2024'!$G$4:$G$1612,'март 2024'!$D$4:$D$1612,$B31,'март 2024'!$J$4:$J$1612,AH$1)</f>
        <v>0</v>
      </c>
      <c r="AI31" s="21">
        <f t="shared" si="1"/>
        <v>0</v>
      </c>
    </row>
    <row r="32" spans="2:35" ht="15" customHeight="1" x14ac:dyDescent="0.25">
      <c r="B32" s="146" t="s">
        <v>278</v>
      </c>
      <c r="C32" s="143">
        <v>25</v>
      </c>
      <c r="D32" s="80">
        <f>SUMIFS('март 2024'!$G$4:$G$1612,'март 2024'!$D$4:$D$1612,$B32,'март 2024'!$J$4:$J$1612,D$1)</f>
        <v>0</v>
      </c>
      <c r="E32" s="80">
        <f>SUMIFS('март 2024'!$G$4:$G$1612,'март 2024'!$D$4:$D$1612,$B32,'март 2024'!$J$4:$J$1612,E$1)</f>
        <v>0</v>
      </c>
      <c r="F32" s="80">
        <f>SUMIFS('март 2024'!$G$4:$G$1612,'март 2024'!$D$4:$D$1612,$B32,'март 2024'!$J$4:$J$1612,F$1)</f>
        <v>0</v>
      </c>
      <c r="G32" s="80">
        <f>SUMIFS('март 2024'!$G$4:$G$1612,'март 2024'!$D$4:$D$1612,$B32,'март 2024'!$J$4:$J$1612,G$1)</f>
        <v>0</v>
      </c>
      <c r="H32" s="80">
        <f>SUMIFS('март 2024'!$G$4:$G$1612,'март 2024'!$D$4:$D$1612,$B32,'март 2024'!$J$4:$J$1612,H$1)</f>
        <v>0</v>
      </c>
      <c r="I32" s="80">
        <f>SUMIFS('март 2024'!$G$4:$G$1612,'март 2024'!$D$4:$D$1612,$B32,'март 2024'!$J$4:$J$1612,I$1)</f>
        <v>0</v>
      </c>
      <c r="J32" s="80">
        <f>SUMIFS('март 2024'!$G$4:$G$1612,'март 2024'!$D$4:$D$1612,$B32,'март 2024'!$J$4:$J$1612,J$1)</f>
        <v>0</v>
      </c>
      <c r="K32" s="80">
        <f>SUMIFS('март 2024'!$G$4:$G$1612,'март 2024'!$D$4:$D$1612,$B32,'март 2024'!$J$4:$J$1612,K$1)</f>
        <v>0</v>
      </c>
      <c r="L32" s="80">
        <f>SUMIFS('март 2024'!$G$4:$G$1612,'март 2024'!$D$4:$D$1612,$B32,'март 2024'!$J$4:$J$1612,L$1)</f>
        <v>0</v>
      </c>
      <c r="M32" s="80">
        <f>SUMIFS('март 2024'!$G$4:$G$1612,'март 2024'!$D$4:$D$1612,$B32,'март 2024'!$J$4:$J$1612,M$1)</f>
        <v>0</v>
      </c>
      <c r="N32" s="80">
        <f>SUMIFS('март 2024'!$G$4:$G$1612,'март 2024'!$D$4:$D$1612,$B32,'март 2024'!$J$4:$J$1612,N$1)</f>
        <v>0</v>
      </c>
      <c r="O32" s="80">
        <f>SUMIFS('март 2024'!$G$4:$G$1612,'март 2024'!$D$4:$D$1612,$B32,'март 2024'!$J$4:$J$1612,O$1)</f>
        <v>0</v>
      </c>
      <c r="P32" s="80">
        <f>SUMIFS('март 2024'!$G$4:$G$1612,'март 2024'!$D$4:$D$1612,$B32,'март 2024'!$J$4:$J$1612,P$1)</f>
        <v>0</v>
      </c>
      <c r="Q32" s="80">
        <f>SUMIFS('март 2024'!$G$4:$G$1612,'март 2024'!$D$4:$D$1612,$B32,'март 2024'!$J$4:$J$1612,Q$1)</f>
        <v>0</v>
      </c>
      <c r="R32" s="80">
        <f>SUMIFS('март 2024'!$G$4:$G$1612,'март 2024'!$D$4:$D$1612,$B32,'март 2024'!$J$4:$J$1612,R$1)</f>
        <v>0</v>
      </c>
      <c r="S32" s="80">
        <f>SUMIFS('март 2024'!$G$4:$G$1612,'март 2024'!$D$4:$D$1612,$B32,'март 2024'!$J$4:$J$1612,S$1)</f>
        <v>0</v>
      </c>
      <c r="T32" s="80">
        <f>SUMIFS('март 2024'!$G$4:$G$1612,'март 2024'!$D$4:$D$1612,$B32,'март 2024'!$J$4:$J$1612,T$1)</f>
        <v>0</v>
      </c>
      <c r="U32" s="80">
        <f>SUMIFS('март 2024'!$G$4:$G$1612,'март 2024'!$D$4:$D$1612,$B32,'март 2024'!$J$4:$J$1612,U$1)</f>
        <v>0</v>
      </c>
      <c r="V32" s="80">
        <f>SUMIFS('март 2024'!$G$4:$G$1612,'март 2024'!$D$4:$D$1612,$B32,'март 2024'!$J$4:$J$1612,V$1)</f>
        <v>0</v>
      </c>
      <c r="W32" s="80">
        <f>SUMIFS('март 2024'!$G$4:$G$1612,'март 2024'!$D$4:$D$1612,$B32,'март 2024'!$J$4:$J$1612,W$1)</f>
        <v>0</v>
      </c>
      <c r="X32" s="80">
        <f>SUMIFS('март 2024'!$G$4:$G$1612,'март 2024'!$D$4:$D$1612,$B32,'март 2024'!$J$4:$J$1612,X$1)</f>
        <v>0</v>
      </c>
      <c r="Y32" s="80">
        <f>SUMIFS('март 2024'!$G$4:$G$1612,'март 2024'!$D$4:$D$1612,$B32,'март 2024'!$J$4:$J$1612,Y$1)</f>
        <v>0</v>
      </c>
      <c r="Z32" s="80">
        <f>SUMIFS('март 2024'!$G$4:$G$1612,'март 2024'!$D$4:$D$1612,$B32,'март 2024'!$J$4:$J$1612,Z$1)</f>
        <v>0</v>
      </c>
      <c r="AA32" s="80">
        <f>SUMIFS('март 2024'!$G$4:$G$1612,'март 2024'!$D$4:$D$1612,$B32,'март 2024'!$J$4:$J$1612,AA$1)</f>
        <v>0</v>
      </c>
      <c r="AB32" s="80">
        <f>SUMIFS('март 2024'!$G$4:$G$1612,'март 2024'!$D$4:$D$1612,$B32,'март 2024'!$J$4:$J$1612,AB$1)</f>
        <v>0</v>
      </c>
      <c r="AC32" s="80">
        <f>SUMIFS('март 2024'!$G$4:$G$1612,'март 2024'!$D$4:$D$1612,$B32,'март 2024'!$J$4:$J$1612,AC$1)</f>
        <v>0</v>
      </c>
      <c r="AD32" s="80">
        <f>SUMIFS('март 2024'!$G$4:$G$1612,'март 2024'!$D$4:$D$1612,$B32,'март 2024'!$J$4:$J$1612,AD$1)</f>
        <v>0</v>
      </c>
      <c r="AE32" s="80">
        <f>SUMIFS('март 2024'!$G$4:$G$1612,'март 2024'!$D$4:$D$1612,$B32,'март 2024'!$J$4:$J$1612,AE$1)</f>
        <v>0</v>
      </c>
      <c r="AF32" s="80">
        <f>SUMIFS('март 2024'!$G$4:$G$1612,'март 2024'!$D$4:$D$1612,$B32,'март 2024'!$J$4:$J$1612,AF$1)</f>
        <v>0</v>
      </c>
      <c r="AG32" s="80">
        <f>SUMIFS('март 2024'!$G$4:$G$1612,'март 2024'!$D$4:$D$1612,$B32,'март 2024'!$J$4:$J$1612,AG$1)</f>
        <v>0</v>
      </c>
      <c r="AH32" s="80">
        <f>SUMIFS('март 2024'!$G$4:$G$1612,'март 2024'!$D$4:$D$1612,$B32,'март 2024'!$J$4:$J$1612,AH$1)</f>
        <v>0</v>
      </c>
      <c r="AI32" s="21">
        <f t="shared" si="1"/>
        <v>0</v>
      </c>
    </row>
    <row r="33" spans="2:35" ht="15" customHeight="1" x14ac:dyDescent="0.25">
      <c r="B33" s="147" t="s">
        <v>280</v>
      </c>
      <c r="C33" s="143">
        <v>25</v>
      </c>
      <c r="D33" s="80">
        <f>SUMIFS('март 2024'!$G$4:$G$1612,'март 2024'!$D$4:$D$1612,$B33,'март 2024'!$J$4:$J$1612,D$1)</f>
        <v>0</v>
      </c>
      <c r="E33" s="80">
        <f>SUMIFS('март 2024'!$G$4:$G$1612,'март 2024'!$D$4:$D$1612,$B33,'март 2024'!$J$4:$J$1612,E$1)</f>
        <v>0</v>
      </c>
      <c r="F33" s="80">
        <f>SUMIFS('март 2024'!$G$4:$G$1612,'март 2024'!$D$4:$D$1612,$B33,'март 2024'!$J$4:$J$1612,F$1)</f>
        <v>0</v>
      </c>
      <c r="G33" s="80">
        <f>SUMIFS('март 2024'!$G$4:$G$1612,'март 2024'!$D$4:$D$1612,$B33,'март 2024'!$J$4:$J$1612,G$1)</f>
        <v>0</v>
      </c>
      <c r="H33" s="80">
        <f>SUMIFS('март 2024'!$G$4:$G$1612,'март 2024'!$D$4:$D$1612,$B33,'март 2024'!$J$4:$J$1612,H$1)</f>
        <v>0</v>
      </c>
      <c r="I33" s="80">
        <f>SUMIFS('март 2024'!$G$4:$G$1612,'март 2024'!$D$4:$D$1612,$B33,'март 2024'!$J$4:$J$1612,I$1)</f>
        <v>0</v>
      </c>
      <c r="J33" s="80">
        <f>SUMIFS('март 2024'!$G$4:$G$1612,'март 2024'!$D$4:$D$1612,$B33,'март 2024'!$J$4:$J$1612,J$1)</f>
        <v>0</v>
      </c>
      <c r="K33" s="80">
        <f>SUMIFS('март 2024'!$G$4:$G$1612,'март 2024'!$D$4:$D$1612,$B33,'март 2024'!$J$4:$J$1612,K$1)</f>
        <v>0</v>
      </c>
      <c r="L33" s="80">
        <f>SUMIFS('март 2024'!$G$4:$G$1612,'март 2024'!$D$4:$D$1612,$B33,'март 2024'!$J$4:$J$1612,L$1)</f>
        <v>0</v>
      </c>
      <c r="M33" s="80">
        <f>SUMIFS('март 2024'!$G$4:$G$1612,'март 2024'!$D$4:$D$1612,$B33,'март 2024'!$J$4:$J$1612,M$1)</f>
        <v>0</v>
      </c>
      <c r="N33" s="80">
        <f>SUMIFS('март 2024'!$G$4:$G$1612,'март 2024'!$D$4:$D$1612,$B33,'март 2024'!$J$4:$J$1612,N$1)</f>
        <v>0</v>
      </c>
      <c r="O33" s="80">
        <f>SUMIFS('март 2024'!$G$4:$G$1612,'март 2024'!$D$4:$D$1612,$B33,'март 2024'!$J$4:$J$1612,O$1)</f>
        <v>0</v>
      </c>
      <c r="P33" s="80">
        <f>SUMIFS('март 2024'!$G$4:$G$1612,'март 2024'!$D$4:$D$1612,$B33,'март 2024'!$J$4:$J$1612,P$1)</f>
        <v>0</v>
      </c>
      <c r="Q33" s="80">
        <f>SUMIFS('март 2024'!$G$4:$G$1612,'март 2024'!$D$4:$D$1612,$B33,'март 2024'!$J$4:$J$1612,Q$1)</f>
        <v>0</v>
      </c>
      <c r="R33" s="80">
        <f>SUMIFS('март 2024'!$G$4:$G$1612,'март 2024'!$D$4:$D$1612,$B33,'март 2024'!$J$4:$J$1612,R$1)</f>
        <v>0</v>
      </c>
      <c r="S33" s="80">
        <f>SUMIFS('март 2024'!$G$4:$G$1612,'март 2024'!$D$4:$D$1612,$B33,'март 2024'!$J$4:$J$1612,S$1)</f>
        <v>0</v>
      </c>
      <c r="T33" s="80">
        <f>SUMIFS('март 2024'!$G$4:$G$1612,'март 2024'!$D$4:$D$1612,$B33,'март 2024'!$J$4:$J$1612,T$1)</f>
        <v>0</v>
      </c>
      <c r="U33" s="80">
        <f>SUMIFS('март 2024'!$G$4:$G$1612,'март 2024'!$D$4:$D$1612,$B33,'март 2024'!$J$4:$J$1612,U$1)</f>
        <v>0</v>
      </c>
      <c r="V33" s="80">
        <f>SUMIFS('март 2024'!$G$4:$G$1612,'март 2024'!$D$4:$D$1612,$B33,'март 2024'!$J$4:$J$1612,V$1)</f>
        <v>0</v>
      </c>
      <c r="W33" s="80">
        <f>SUMIFS('март 2024'!$G$4:$G$1612,'март 2024'!$D$4:$D$1612,$B33,'март 2024'!$J$4:$J$1612,W$1)</f>
        <v>0</v>
      </c>
      <c r="X33" s="80">
        <f>SUMIFS('март 2024'!$G$4:$G$1612,'март 2024'!$D$4:$D$1612,$B33,'март 2024'!$J$4:$J$1612,X$1)</f>
        <v>0</v>
      </c>
      <c r="Y33" s="80">
        <f>SUMIFS('март 2024'!$G$4:$G$1612,'март 2024'!$D$4:$D$1612,$B33,'март 2024'!$J$4:$J$1612,Y$1)</f>
        <v>0</v>
      </c>
      <c r="Z33" s="80">
        <f>SUMIFS('март 2024'!$G$4:$G$1612,'март 2024'!$D$4:$D$1612,$B33,'март 2024'!$J$4:$J$1612,Z$1)</f>
        <v>0</v>
      </c>
      <c r="AA33" s="80">
        <f>SUMIFS('март 2024'!$G$4:$G$1612,'март 2024'!$D$4:$D$1612,$B33,'март 2024'!$J$4:$J$1612,AA$1)</f>
        <v>0</v>
      </c>
      <c r="AB33" s="80">
        <f>SUMIFS('март 2024'!$G$4:$G$1612,'март 2024'!$D$4:$D$1612,$B33,'март 2024'!$J$4:$J$1612,AB$1)</f>
        <v>0</v>
      </c>
      <c r="AC33" s="80">
        <f>SUMIFS('март 2024'!$G$4:$G$1612,'март 2024'!$D$4:$D$1612,$B33,'март 2024'!$J$4:$J$1612,AC$1)</f>
        <v>0</v>
      </c>
      <c r="AD33" s="80">
        <f>SUMIFS('март 2024'!$G$4:$G$1612,'март 2024'!$D$4:$D$1612,$B33,'март 2024'!$J$4:$J$1612,AD$1)</f>
        <v>0</v>
      </c>
      <c r="AE33" s="80">
        <f>SUMIFS('март 2024'!$G$4:$G$1612,'март 2024'!$D$4:$D$1612,$B33,'март 2024'!$J$4:$J$1612,AE$1)</f>
        <v>0</v>
      </c>
      <c r="AF33" s="80">
        <f>SUMIFS('март 2024'!$G$4:$G$1612,'март 2024'!$D$4:$D$1612,$B33,'март 2024'!$J$4:$J$1612,AF$1)</f>
        <v>0</v>
      </c>
      <c r="AG33" s="80">
        <f>SUMIFS('март 2024'!$G$4:$G$1612,'март 2024'!$D$4:$D$1612,$B33,'март 2024'!$J$4:$J$1612,AG$1)</f>
        <v>0</v>
      </c>
      <c r="AH33" s="80">
        <f>SUMIFS('март 2024'!$G$4:$G$1612,'март 2024'!$D$4:$D$1612,$B33,'март 2024'!$J$4:$J$1612,AH$1)</f>
        <v>0</v>
      </c>
      <c r="AI33" s="21">
        <f t="shared" si="1"/>
        <v>0</v>
      </c>
    </row>
    <row r="34" spans="2:35" ht="15" customHeight="1" x14ac:dyDescent="0.25">
      <c r="B34" s="148" t="s">
        <v>282</v>
      </c>
      <c r="C34" s="149">
        <v>25</v>
      </c>
      <c r="D34" s="80">
        <f>SUMIFS('март 2024'!$G$4:$G$1612,'март 2024'!$D$4:$D$1612,$B34,'март 2024'!$J$4:$J$1612,D$1)</f>
        <v>0</v>
      </c>
      <c r="E34" s="80">
        <f>SUMIFS('март 2024'!$G$4:$G$1612,'март 2024'!$D$4:$D$1612,$B34,'март 2024'!$J$4:$J$1612,E$1)</f>
        <v>0</v>
      </c>
      <c r="F34" s="80">
        <f>SUMIFS('март 2024'!$G$4:$G$1612,'март 2024'!$D$4:$D$1612,$B34,'март 2024'!$J$4:$J$1612,F$1)</f>
        <v>0</v>
      </c>
      <c r="G34" s="80">
        <f>SUMIFS('март 2024'!$G$4:$G$1612,'март 2024'!$D$4:$D$1612,$B34,'март 2024'!$J$4:$J$1612,G$1)</f>
        <v>0</v>
      </c>
      <c r="H34" s="80">
        <f>SUMIFS('март 2024'!$G$4:$G$1612,'март 2024'!$D$4:$D$1612,$B34,'март 2024'!$J$4:$J$1612,H$1)</f>
        <v>0</v>
      </c>
      <c r="I34" s="80">
        <f>SUMIFS('март 2024'!$G$4:$G$1612,'март 2024'!$D$4:$D$1612,$B34,'март 2024'!$J$4:$J$1612,I$1)</f>
        <v>0</v>
      </c>
      <c r="J34" s="80">
        <f>SUMIFS('март 2024'!$G$4:$G$1612,'март 2024'!$D$4:$D$1612,$B34,'март 2024'!$J$4:$J$1612,J$1)</f>
        <v>0</v>
      </c>
      <c r="K34" s="80">
        <f>SUMIFS('март 2024'!$G$4:$G$1612,'март 2024'!$D$4:$D$1612,$B34,'март 2024'!$J$4:$J$1612,K$1)</f>
        <v>0</v>
      </c>
      <c r="L34" s="80">
        <f>SUMIFS('март 2024'!$G$4:$G$1612,'март 2024'!$D$4:$D$1612,$B34,'март 2024'!$J$4:$J$1612,L$1)</f>
        <v>0</v>
      </c>
      <c r="M34" s="80">
        <f>SUMIFS('март 2024'!$G$4:$G$1612,'март 2024'!$D$4:$D$1612,$B34,'март 2024'!$J$4:$J$1612,M$1)</f>
        <v>0</v>
      </c>
      <c r="N34" s="80">
        <f>SUMIFS('март 2024'!$G$4:$G$1612,'март 2024'!$D$4:$D$1612,$B34,'март 2024'!$J$4:$J$1612,N$1)</f>
        <v>0</v>
      </c>
      <c r="O34" s="80">
        <f>SUMIFS('март 2024'!$G$4:$G$1612,'март 2024'!$D$4:$D$1612,$B34,'март 2024'!$J$4:$J$1612,O$1)</f>
        <v>0</v>
      </c>
      <c r="P34" s="80">
        <f>SUMIFS('март 2024'!$G$4:$G$1612,'март 2024'!$D$4:$D$1612,$B34,'март 2024'!$J$4:$J$1612,P$1)</f>
        <v>0</v>
      </c>
      <c r="Q34" s="80">
        <f>SUMIFS('март 2024'!$G$4:$G$1612,'март 2024'!$D$4:$D$1612,$B34,'март 2024'!$J$4:$J$1612,Q$1)</f>
        <v>0</v>
      </c>
      <c r="R34" s="80">
        <f>SUMIFS('март 2024'!$G$4:$G$1612,'март 2024'!$D$4:$D$1612,$B34,'март 2024'!$J$4:$J$1612,R$1)</f>
        <v>0</v>
      </c>
      <c r="S34" s="80">
        <f>SUMIFS('март 2024'!$G$4:$G$1612,'март 2024'!$D$4:$D$1612,$B34,'март 2024'!$J$4:$J$1612,S$1)</f>
        <v>0</v>
      </c>
      <c r="T34" s="80">
        <f>SUMIFS('март 2024'!$G$4:$G$1612,'март 2024'!$D$4:$D$1612,$B34,'март 2024'!$J$4:$J$1612,T$1)</f>
        <v>0</v>
      </c>
      <c r="U34" s="80">
        <f>SUMIFS('март 2024'!$G$4:$G$1612,'март 2024'!$D$4:$D$1612,$B34,'март 2024'!$J$4:$J$1612,U$1)</f>
        <v>0</v>
      </c>
      <c r="V34" s="80">
        <f>SUMIFS('март 2024'!$G$4:$G$1612,'март 2024'!$D$4:$D$1612,$B34,'март 2024'!$J$4:$J$1612,V$1)</f>
        <v>0</v>
      </c>
      <c r="W34" s="80">
        <f>SUMIFS('март 2024'!$G$4:$G$1612,'март 2024'!$D$4:$D$1612,$B34,'март 2024'!$J$4:$J$1612,W$1)</f>
        <v>0</v>
      </c>
      <c r="X34" s="80">
        <f>SUMIFS('март 2024'!$G$4:$G$1612,'март 2024'!$D$4:$D$1612,$B34,'март 2024'!$J$4:$J$1612,X$1)</f>
        <v>0</v>
      </c>
      <c r="Y34" s="80">
        <f>SUMIFS('март 2024'!$G$4:$G$1612,'март 2024'!$D$4:$D$1612,$B34,'март 2024'!$J$4:$J$1612,Y$1)</f>
        <v>0</v>
      </c>
      <c r="Z34" s="80">
        <f>SUMIFS('март 2024'!$G$4:$G$1612,'март 2024'!$D$4:$D$1612,$B34,'март 2024'!$J$4:$J$1612,Z$1)</f>
        <v>0</v>
      </c>
      <c r="AA34" s="80">
        <f>SUMIFS('март 2024'!$G$4:$G$1612,'март 2024'!$D$4:$D$1612,$B34,'март 2024'!$J$4:$J$1612,AA$1)</f>
        <v>0</v>
      </c>
      <c r="AB34" s="80">
        <f>SUMIFS('март 2024'!$G$4:$G$1612,'март 2024'!$D$4:$D$1612,$B34,'март 2024'!$J$4:$J$1612,AB$1)</f>
        <v>0</v>
      </c>
      <c r="AC34" s="80">
        <f>SUMIFS('март 2024'!$G$4:$G$1612,'март 2024'!$D$4:$D$1612,$B34,'март 2024'!$J$4:$J$1612,AC$1)</f>
        <v>0</v>
      </c>
      <c r="AD34" s="80">
        <f>SUMIFS('март 2024'!$G$4:$G$1612,'март 2024'!$D$4:$D$1612,$B34,'март 2024'!$J$4:$J$1612,AD$1)</f>
        <v>0</v>
      </c>
      <c r="AE34" s="80">
        <f>SUMIFS('март 2024'!$G$4:$G$1612,'март 2024'!$D$4:$D$1612,$B34,'март 2024'!$J$4:$J$1612,AE$1)</f>
        <v>0</v>
      </c>
      <c r="AF34" s="80">
        <f>SUMIFS('март 2024'!$G$4:$G$1612,'март 2024'!$D$4:$D$1612,$B34,'март 2024'!$J$4:$J$1612,AF$1)</f>
        <v>0</v>
      </c>
      <c r="AG34" s="80">
        <f>SUMIFS('март 2024'!$G$4:$G$1612,'март 2024'!$D$4:$D$1612,$B34,'март 2024'!$J$4:$J$1612,AG$1)</f>
        <v>0</v>
      </c>
      <c r="AH34" s="80">
        <f>SUMIFS('март 2024'!$G$4:$G$1612,'март 2024'!$D$4:$D$1612,$B34,'март 2024'!$J$4:$J$1612,AH$1)</f>
        <v>0</v>
      </c>
      <c r="AI34" s="21">
        <f t="shared" si="1"/>
        <v>0</v>
      </c>
    </row>
    <row r="35" spans="2:35" ht="15" customHeight="1" x14ac:dyDescent="0.25">
      <c r="B35" s="150" t="s">
        <v>284</v>
      </c>
      <c r="C35" s="151">
        <v>22.68</v>
      </c>
      <c r="D35" s="80">
        <f>SUMIFS('март 2024'!$G$4:$G$1612,'март 2024'!$D$4:$D$1612,$B35,'март 2024'!$J$4:$J$1612,D$1)</f>
        <v>0</v>
      </c>
      <c r="E35" s="80">
        <f>SUMIFS('март 2024'!$G$4:$G$1612,'март 2024'!$D$4:$D$1612,$B35,'март 2024'!$J$4:$J$1612,E$1)</f>
        <v>0</v>
      </c>
      <c r="F35" s="80">
        <f>SUMIFS('март 2024'!$G$4:$G$1612,'март 2024'!$D$4:$D$1612,$B35,'март 2024'!$J$4:$J$1612,F$1)</f>
        <v>0</v>
      </c>
      <c r="G35" s="80">
        <f>SUMIFS('март 2024'!$G$4:$G$1612,'март 2024'!$D$4:$D$1612,$B35,'март 2024'!$J$4:$J$1612,G$1)</f>
        <v>0</v>
      </c>
      <c r="H35" s="80">
        <f>SUMIFS('март 2024'!$G$4:$G$1612,'март 2024'!$D$4:$D$1612,$B35,'март 2024'!$J$4:$J$1612,H$1)</f>
        <v>0</v>
      </c>
      <c r="I35" s="80">
        <f>SUMIFS('март 2024'!$G$4:$G$1612,'март 2024'!$D$4:$D$1612,$B35,'март 2024'!$J$4:$J$1612,I$1)</f>
        <v>0</v>
      </c>
      <c r="J35" s="80">
        <f>SUMIFS('март 2024'!$G$4:$G$1612,'март 2024'!$D$4:$D$1612,$B35,'март 2024'!$J$4:$J$1612,J$1)</f>
        <v>0</v>
      </c>
      <c r="K35" s="80">
        <f>SUMIFS('март 2024'!$G$4:$G$1612,'март 2024'!$D$4:$D$1612,$B35,'март 2024'!$J$4:$J$1612,K$1)</f>
        <v>0</v>
      </c>
      <c r="L35" s="80">
        <f>SUMIFS('март 2024'!$G$4:$G$1612,'март 2024'!$D$4:$D$1612,$B35,'март 2024'!$J$4:$J$1612,L$1)</f>
        <v>0</v>
      </c>
      <c r="M35" s="80">
        <f>SUMIFS('март 2024'!$G$4:$G$1612,'март 2024'!$D$4:$D$1612,$B35,'март 2024'!$J$4:$J$1612,M$1)</f>
        <v>0</v>
      </c>
      <c r="N35" s="80">
        <f>SUMIFS('март 2024'!$G$4:$G$1612,'март 2024'!$D$4:$D$1612,$B35,'март 2024'!$J$4:$J$1612,N$1)</f>
        <v>0</v>
      </c>
      <c r="O35" s="80">
        <f>SUMIFS('март 2024'!$G$4:$G$1612,'март 2024'!$D$4:$D$1612,$B35,'март 2024'!$J$4:$J$1612,O$1)</f>
        <v>0</v>
      </c>
      <c r="P35" s="80">
        <f>SUMIFS('март 2024'!$G$4:$G$1612,'март 2024'!$D$4:$D$1612,$B35,'март 2024'!$J$4:$J$1612,P$1)</f>
        <v>0</v>
      </c>
      <c r="Q35" s="80">
        <f>SUMIFS('март 2024'!$G$4:$G$1612,'март 2024'!$D$4:$D$1612,$B35,'март 2024'!$J$4:$J$1612,Q$1)</f>
        <v>0</v>
      </c>
      <c r="R35" s="80">
        <f>SUMIFS('март 2024'!$G$4:$G$1612,'март 2024'!$D$4:$D$1612,$B35,'март 2024'!$J$4:$J$1612,R$1)</f>
        <v>0</v>
      </c>
      <c r="S35" s="80">
        <f>SUMIFS('март 2024'!$G$4:$G$1612,'март 2024'!$D$4:$D$1612,$B35,'март 2024'!$J$4:$J$1612,S$1)</f>
        <v>0</v>
      </c>
      <c r="T35" s="80">
        <f>SUMIFS('март 2024'!$G$4:$G$1612,'март 2024'!$D$4:$D$1612,$B35,'март 2024'!$J$4:$J$1612,T$1)</f>
        <v>0</v>
      </c>
      <c r="U35" s="80">
        <f>SUMIFS('март 2024'!$G$4:$G$1612,'март 2024'!$D$4:$D$1612,$B35,'март 2024'!$J$4:$J$1612,U$1)</f>
        <v>0</v>
      </c>
      <c r="V35" s="80">
        <f>SUMIFS('март 2024'!$G$4:$G$1612,'март 2024'!$D$4:$D$1612,$B35,'март 2024'!$J$4:$J$1612,V$1)</f>
        <v>0</v>
      </c>
      <c r="W35" s="80">
        <f>SUMIFS('март 2024'!$G$4:$G$1612,'март 2024'!$D$4:$D$1612,$B35,'март 2024'!$J$4:$J$1612,W$1)</f>
        <v>0</v>
      </c>
      <c r="X35" s="80">
        <f>SUMIFS('март 2024'!$G$4:$G$1612,'март 2024'!$D$4:$D$1612,$B35,'март 2024'!$J$4:$J$1612,X$1)</f>
        <v>0</v>
      </c>
      <c r="Y35" s="80">
        <f>SUMIFS('март 2024'!$G$4:$G$1612,'март 2024'!$D$4:$D$1612,$B35,'март 2024'!$J$4:$J$1612,Y$1)</f>
        <v>0</v>
      </c>
      <c r="Z35" s="80">
        <f>SUMIFS('март 2024'!$G$4:$G$1612,'март 2024'!$D$4:$D$1612,$B35,'март 2024'!$J$4:$J$1612,Z$1)</f>
        <v>0</v>
      </c>
      <c r="AA35" s="80">
        <f>SUMIFS('март 2024'!$G$4:$G$1612,'март 2024'!$D$4:$D$1612,$B35,'март 2024'!$J$4:$J$1612,AA$1)</f>
        <v>0</v>
      </c>
      <c r="AB35" s="80">
        <f>SUMIFS('март 2024'!$G$4:$G$1612,'март 2024'!$D$4:$D$1612,$B35,'март 2024'!$J$4:$J$1612,AB$1)</f>
        <v>0</v>
      </c>
      <c r="AC35" s="80">
        <f>SUMIFS('март 2024'!$G$4:$G$1612,'март 2024'!$D$4:$D$1612,$B35,'март 2024'!$J$4:$J$1612,AC$1)</f>
        <v>0</v>
      </c>
      <c r="AD35" s="80">
        <f>SUMIFS('март 2024'!$G$4:$G$1612,'март 2024'!$D$4:$D$1612,$B35,'март 2024'!$J$4:$J$1612,AD$1)</f>
        <v>0</v>
      </c>
      <c r="AE35" s="80">
        <f>SUMIFS('март 2024'!$G$4:$G$1612,'март 2024'!$D$4:$D$1612,$B35,'март 2024'!$J$4:$J$1612,AE$1)</f>
        <v>0</v>
      </c>
      <c r="AF35" s="80">
        <f>SUMIFS('март 2024'!$G$4:$G$1612,'март 2024'!$D$4:$D$1612,$B35,'март 2024'!$J$4:$J$1612,AF$1)</f>
        <v>0</v>
      </c>
      <c r="AG35" s="80">
        <f>SUMIFS('март 2024'!$G$4:$G$1612,'март 2024'!$D$4:$D$1612,$B35,'март 2024'!$J$4:$J$1612,AG$1)</f>
        <v>0</v>
      </c>
      <c r="AH35" s="80">
        <f>SUMIFS('март 2024'!$G$4:$G$1612,'март 2024'!$D$4:$D$1612,$B35,'март 2024'!$J$4:$J$1612,AH$1)</f>
        <v>0</v>
      </c>
      <c r="AI35" s="21">
        <f t="shared" si="1"/>
        <v>0</v>
      </c>
    </row>
    <row r="36" spans="2:35" ht="15" customHeight="1" x14ac:dyDescent="0.25">
      <c r="B36" s="150" t="s">
        <v>286</v>
      </c>
      <c r="C36" s="152">
        <v>25</v>
      </c>
      <c r="D36" s="80">
        <f>SUMIFS('март 2024'!$G$4:$G$1612,'март 2024'!$D$4:$D$1612,$B36,'март 2024'!$J$4:$J$1612,D$1)</f>
        <v>0</v>
      </c>
      <c r="E36" s="80">
        <f>SUMIFS('март 2024'!$G$4:$G$1612,'март 2024'!$D$4:$D$1612,$B36,'март 2024'!$J$4:$J$1612,E$1)</f>
        <v>0</v>
      </c>
      <c r="F36" s="80">
        <f>SUMIFS('март 2024'!$G$4:$G$1612,'март 2024'!$D$4:$D$1612,$B36,'март 2024'!$J$4:$J$1612,F$1)</f>
        <v>0</v>
      </c>
      <c r="G36" s="80">
        <f>SUMIFS('март 2024'!$G$4:$G$1612,'март 2024'!$D$4:$D$1612,$B36,'март 2024'!$J$4:$J$1612,G$1)</f>
        <v>95</v>
      </c>
      <c r="H36" s="80">
        <f>SUMIFS('март 2024'!$G$4:$G$1612,'март 2024'!$D$4:$D$1612,$B36,'март 2024'!$J$4:$J$1612,H$1)</f>
        <v>0</v>
      </c>
      <c r="I36" s="80">
        <f>SUMIFS('март 2024'!$G$4:$G$1612,'март 2024'!$D$4:$D$1612,$B36,'март 2024'!$J$4:$J$1612,I$1)</f>
        <v>0</v>
      </c>
      <c r="J36" s="80">
        <f>SUMIFS('март 2024'!$G$4:$G$1612,'март 2024'!$D$4:$D$1612,$B36,'март 2024'!$J$4:$J$1612,J$1)</f>
        <v>0</v>
      </c>
      <c r="K36" s="80">
        <f>SUMIFS('март 2024'!$G$4:$G$1612,'март 2024'!$D$4:$D$1612,$B36,'март 2024'!$J$4:$J$1612,K$1)</f>
        <v>0</v>
      </c>
      <c r="L36" s="80">
        <f>SUMIFS('март 2024'!$G$4:$G$1612,'март 2024'!$D$4:$D$1612,$B36,'март 2024'!$J$4:$J$1612,L$1)</f>
        <v>0</v>
      </c>
      <c r="M36" s="80">
        <f>SUMIFS('март 2024'!$G$4:$G$1612,'март 2024'!$D$4:$D$1612,$B36,'март 2024'!$J$4:$J$1612,M$1)</f>
        <v>0</v>
      </c>
      <c r="N36" s="80">
        <f>SUMIFS('март 2024'!$G$4:$G$1612,'март 2024'!$D$4:$D$1612,$B36,'март 2024'!$J$4:$J$1612,N$1)</f>
        <v>0</v>
      </c>
      <c r="O36" s="80">
        <f>SUMIFS('март 2024'!$G$4:$G$1612,'март 2024'!$D$4:$D$1612,$B36,'март 2024'!$J$4:$J$1612,O$1)</f>
        <v>0</v>
      </c>
      <c r="P36" s="80">
        <f>SUMIFS('март 2024'!$G$4:$G$1612,'март 2024'!$D$4:$D$1612,$B36,'март 2024'!$J$4:$J$1612,P$1)</f>
        <v>0</v>
      </c>
      <c r="Q36" s="80">
        <f>SUMIFS('март 2024'!$G$4:$G$1612,'март 2024'!$D$4:$D$1612,$B36,'март 2024'!$J$4:$J$1612,Q$1)</f>
        <v>400</v>
      </c>
      <c r="R36" s="80">
        <f>SUMIFS('март 2024'!$G$4:$G$1612,'март 2024'!$D$4:$D$1612,$B36,'март 2024'!$J$4:$J$1612,R$1)</f>
        <v>0</v>
      </c>
      <c r="S36" s="80">
        <f>SUMIFS('март 2024'!$G$4:$G$1612,'март 2024'!$D$4:$D$1612,$B36,'март 2024'!$J$4:$J$1612,S$1)</f>
        <v>0</v>
      </c>
      <c r="T36" s="80">
        <f>SUMIFS('март 2024'!$G$4:$G$1612,'март 2024'!$D$4:$D$1612,$B36,'март 2024'!$J$4:$J$1612,T$1)</f>
        <v>0</v>
      </c>
      <c r="U36" s="80">
        <f>SUMIFS('март 2024'!$G$4:$G$1612,'март 2024'!$D$4:$D$1612,$B36,'март 2024'!$J$4:$J$1612,U$1)</f>
        <v>0</v>
      </c>
      <c r="V36" s="80">
        <f>SUMIFS('март 2024'!$G$4:$G$1612,'март 2024'!$D$4:$D$1612,$B36,'март 2024'!$J$4:$J$1612,V$1)</f>
        <v>0</v>
      </c>
      <c r="W36" s="80">
        <f>SUMIFS('март 2024'!$G$4:$G$1612,'март 2024'!$D$4:$D$1612,$B36,'март 2024'!$J$4:$J$1612,W$1)</f>
        <v>0</v>
      </c>
      <c r="X36" s="80">
        <f>SUMIFS('март 2024'!$G$4:$G$1612,'март 2024'!$D$4:$D$1612,$B36,'март 2024'!$J$4:$J$1612,X$1)</f>
        <v>0</v>
      </c>
      <c r="Y36" s="80">
        <f>SUMIFS('март 2024'!$G$4:$G$1612,'март 2024'!$D$4:$D$1612,$B36,'март 2024'!$J$4:$J$1612,Y$1)</f>
        <v>0</v>
      </c>
      <c r="Z36" s="80">
        <f>SUMIFS('март 2024'!$G$4:$G$1612,'март 2024'!$D$4:$D$1612,$B36,'март 2024'!$J$4:$J$1612,Z$1)</f>
        <v>0</v>
      </c>
      <c r="AA36" s="80">
        <f>SUMIFS('март 2024'!$G$4:$G$1612,'март 2024'!$D$4:$D$1612,$B36,'март 2024'!$J$4:$J$1612,AA$1)</f>
        <v>0</v>
      </c>
      <c r="AB36" s="80">
        <f>SUMIFS('март 2024'!$G$4:$G$1612,'март 2024'!$D$4:$D$1612,$B36,'март 2024'!$J$4:$J$1612,AB$1)</f>
        <v>0</v>
      </c>
      <c r="AC36" s="80">
        <f>SUMIFS('март 2024'!$G$4:$G$1612,'март 2024'!$D$4:$D$1612,$B36,'март 2024'!$J$4:$J$1612,AC$1)</f>
        <v>0</v>
      </c>
      <c r="AD36" s="80">
        <f>SUMIFS('март 2024'!$G$4:$G$1612,'март 2024'!$D$4:$D$1612,$B36,'март 2024'!$J$4:$J$1612,AD$1)</f>
        <v>0</v>
      </c>
      <c r="AE36" s="80">
        <f>SUMIFS('март 2024'!$G$4:$G$1612,'март 2024'!$D$4:$D$1612,$B36,'март 2024'!$J$4:$J$1612,AE$1)</f>
        <v>0</v>
      </c>
      <c r="AF36" s="80">
        <f>SUMIFS('март 2024'!$G$4:$G$1612,'март 2024'!$D$4:$D$1612,$B36,'март 2024'!$J$4:$J$1612,AF$1)</f>
        <v>0</v>
      </c>
      <c r="AG36" s="80">
        <f>SUMIFS('март 2024'!$G$4:$G$1612,'март 2024'!$D$4:$D$1612,$B36,'март 2024'!$J$4:$J$1612,AG$1)</f>
        <v>0</v>
      </c>
      <c r="AH36" s="80">
        <f>SUMIFS('март 2024'!$G$4:$G$1612,'март 2024'!$D$4:$D$1612,$B36,'март 2024'!$J$4:$J$1612,AH$1)</f>
        <v>0</v>
      </c>
      <c r="AI36" s="21">
        <f t="shared" si="1"/>
        <v>495</v>
      </c>
    </row>
    <row r="37" spans="2:35" ht="15" customHeight="1" x14ac:dyDescent="0.25">
      <c r="B37" s="150" t="s">
        <v>288</v>
      </c>
      <c r="C37" s="153">
        <v>25</v>
      </c>
      <c r="D37" s="80">
        <f>SUMIFS('март 2024'!$G$4:$G$1612,'март 2024'!$D$4:$D$1612,$B37,'март 2024'!$J$4:$J$1612,D$1)</f>
        <v>0</v>
      </c>
      <c r="E37" s="80">
        <f>SUMIFS('март 2024'!$G$4:$G$1612,'март 2024'!$D$4:$D$1612,$B37,'март 2024'!$J$4:$J$1612,E$1)</f>
        <v>0</v>
      </c>
      <c r="F37" s="80">
        <f>SUMIFS('март 2024'!$G$4:$G$1612,'март 2024'!$D$4:$D$1612,$B37,'март 2024'!$J$4:$J$1612,F$1)</f>
        <v>0</v>
      </c>
      <c r="G37" s="80">
        <f>SUMIFS('март 2024'!$G$4:$G$1612,'март 2024'!$D$4:$D$1612,$B37,'март 2024'!$J$4:$J$1612,G$1)</f>
        <v>0</v>
      </c>
      <c r="H37" s="80">
        <f>SUMIFS('март 2024'!$G$4:$G$1612,'март 2024'!$D$4:$D$1612,$B37,'март 2024'!$J$4:$J$1612,H$1)</f>
        <v>0</v>
      </c>
      <c r="I37" s="80">
        <f>SUMIFS('март 2024'!$G$4:$G$1612,'март 2024'!$D$4:$D$1612,$B37,'март 2024'!$J$4:$J$1612,I$1)</f>
        <v>0</v>
      </c>
      <c r="J37" s="80">
        <f>SUMIFS('март 2024'!$G$4:$G$1612,'март 2024'!$D$4:$D$1612,$B37,'март 2024'!$J$4:$J$1612,J$1)</f>
        <v>0</v>
      </c>
      <c r="K37" s="80">
        <f>SUMIFS('март 2024'!$G$4:$G$1612,'март 2024'!$D$4:$D$1612,$B37,'март 2024'!$J$4:$J$1612,K$1)</f>
        <v>0</v>
      </c>
      <c r="L37" s="80">
        <f>SUMIFS('март 2024'!$G$4:$G$1612,'март 2024'!$D$4:$D$1612,$B37,'март 2024'!$J$4:$J$1612,L$1)</f>
        <v>0</v>
      </c>
      <c r="M37" s="80">
        <f>SUMIFS('март 2024'!$G$4:$G$1612,'март 2024'!$D$4:$D$1612,$B37,'март 2024'!$J$4:$J$1612,M$1)</f>
        <v>0</v>
      </c>
      <c r="N37" s="80">
        <f>SUMIFS('март 2024'!$G$4:$G$1612,'март 2024'!$D$4:$D$1612,$B37,'март 2024'!$J$4:$J$1612,N$1)</f>
        <v>0</v>
      </c>
      <c r="O37" s="80">
        <f>SUMIFS('март 2024'!$G$4:$G$1612,'март 2024'!$D$4:$D$1612,$B37,'март 2024'!$J$4:$J$1612,O$1)</f>
        <v>0</v>
      </c>
      <c r="P37" s="80">
        <f>SUMIFS('март 2024'!$G$4:$G$1612,'март 2024'!$D$4:$D$1612,$B37,'март 2024'!$J$4:$J$1612,P$1)</f>
        <v>0</v>
      </c>
      <c r="Q37" s="80">
        <f>SUMIFS('март 2024'!$G$4:$G$1612,'март 2024'!$D$4:$D$1612,$B37,'март 2024'!$J$4:$J$1612,Q$1)</f>
        <v>0</v>
      </c>
      <c r="R37" s="80">
        <f>SUMIFS('март 2024'!$G$4:$G$1612,'март 2024'!$D$4:$D$1612,$B37,'март 2024'!$J$4:$J$1612,R$1)</f>
        <v>0</v>
      </c>
      <c r="S37" s="80">
        <f>SUMIFS('март 2024'!$G$4:$G$1612,'март 2024'!$D$4:$D$1612,$B37,'март 2024'!$J$4:$J$1612,S$1)</f>
        <v>0</v>
      </c>
      <c r="T37" s="80">
        <f>SUMIFS('март 2024'!$G$4:$G$1612,'март 2024'!$D$4:$D$1612,$B37,'март 2024'!$J$4:$J$1612,T$1)</f>
        <v>0</v>
      </c>
      <c r="U37" s="80">
        <f>SUMIFS('март 2024'!$G$4:$G$1612,'март 2024'!$D$4:$D$1612,$B37,'март 2024'!$J$4:$J$1612,U$1)</f>
        <v>0</v>
      </c>
      <c r="V37" s="80">
        <f>SUMIFS('март 2024'!$G$4:$G$1612,'март 2024'!$D$4:$D$1612,$B37,'март 2024'!$J$4:$J$1612,V$1)</f>
        <v>0</v>
      </c>
      <c r="W37" s="80">
        <f>SUMIFS('март 2024'!$G$4:$G$1612,'март 2024'!$D$4:$D$1612,$B37,'март 2024'!$J$4:$J$1612,W$1)</f>
        <v>0</v>
      </c>
      <c r="X37" s="80">
        <f>SUMIFS('март 2024'!$G$4:$G$1612,'март 2024'!$D$4:$D$1612,$B37,'март 2024'!$J$4:$J$1612,X$1)</f>
        <v>0</v>
      </c>
      <c r="Y37" s="80">
        <f>SUMIFS('март 2024'!$G$4:$G$1612,'март 2024'!$D$4:$D$1612,$B37,'март 2024'!$J$4:$J$1612,Y$1)</f>
        <v>0</v>
      </c>
      <c r="Z37" s="80">
        <f>SUMIFS('март 2024'!$G$4:$G$1612,'март 2024'!$D$4:$D$1612,$B37,'март 2024'!$J$4:$J$1612,Z$1)</f>
        <v>0</v>
      </c>
      <c r="AA37" s="80">
        <f>SUMIFS('март 2024'!$G$4:$G$1612,'март 2024'!$D$4:$D$1612,$B37,'март 2024'!$J$4:$J$1612,AA$1)</f>
        <v>0</v>
      </c>
      <c r="AB37" s="80">
        <f>SUMIFS('март 2024'!$G$4:$G$1612,'март 2024'!$D$4:$D$1612,$B37,'март 2024'!$J$4:$J$1612,AB$1)</f>
        <v>0</v>
      </c>
      <c r="AC37" s="80">
        <f>SUMIFS('март 2024'!$G$4:$G$1612,'март 2024'!$D$4:$D$1612,$B37,'март 2024'!$J$4:$J$1612,AC$1)</f>
        <v>0</v>
      </c>
      <c r="AD37" s="80">
        <f>SUMIFS('март 2024'!$G$4:$G$1612,'март 2024'!$D$4:$D$1612,$B37,'март 2024'!$J$4:$J$1612,AD$1)</f>
        <v>0</v>
      </c>
      <c r="AE37" s="80">
        <f>SUMIFS('март 2024'!$G$4:$G$1612,'март 2024'!$D$4:$D$1612,$B37,'март 2024'!$J$4:$J$1612,AE$1)</f>
        <v>0</v>
      </c>
      <c r="AF37" s="80">
        <f>SUMIFS('март 2024'!$G$4:$G$1612,'март 2024'!$D$4:$D$1612,$B37,'март 2024'!$J$4:$J$1612,AF$1)</f>
        <v>0</v>
      </c>
      <c r="AG37" s="80">
        <f>SUMIFS('март 2024'!$G$4:$G$1612,'март 2024'!$D$4:$D$1612,$B37,'март 2024'!$J$4:$J$1612,AG$1)</f>
        <v>0</v>
      </c>
      <c r="AH37" s="80">
        <f>SUMIFS('март 2024'!$G$4:$G$1612,'март 2024'!$D$4:$D$1612,$B37,'март 2024'!$J$4:$J$1612,AH$1)</f>
        <v>0</v>
      </c>
      <c r="AI37" s="21">
        <f t="shared" si="1"/>
        <v>0</v>
      </c>
    </row>
    <row r="38" spans="2:35" ht="15" customHeight="1" x14ac:dyDescent="0.25">
      <c r="B38" s="150" t="s">
        <v>290</v>
      </c>
      <c r="C38" s="149">
        <v>22.68</v>
      </c>
      <c r="D38" s="80">
        <f>SUMIFS('март 2024'!$G$4:$G$1612,'март 2024'!$D$4:$D$1612,$B38,'март 2024'!$J$4:$J$1612,D$1)</f>
        <v>0</v>
      </c>
      <c r="E38" s="80">
        <f>SUMIFS('март 2024'!$G$4:$G$1612,'март 2024'!$D$4:$D$1612,$B38,'март 2024'!$J$4:$J$1612,E$1)</f>
        <v>0</v>
      </c>
      <c r="F38" s="80">
        <f>SUMIFS('март 2024'!$G$4:$G$1612,'март 2024'!$D$4:$D$1612,$B38,'март 2024'!$J$4:$J$1612,F$1)</f>
        <v>0</v>
      </c>
      <c r="G38" s="80">
        <f>SUMIFS('март 2024'!$G$4:$G$1612,'март 2024'!$D$4:$D$1612,$B38,'март 2024'!$J$4:$J$1612,G$1)</f>
        <v>0</v>
      </c>
      <c r="H38" s="80">
        <f>SUMIFS('март 2024'!$G$4:$G$1612,'март 2024'!$D$4:$D$1612,$B38,'март 2024'!$J$4:$J$1612,H$1)</f>
        <v>0</v>
      </c>
      <c r="I38" s="80">
        <f>SUMIFS('март 2024'!$G$4:$G$1612,'март 2024'!$D$4:$D$1612,$B38,'март 2024'!$J$4:$J$1612,I$1)</f>
        <v>0</v>
      </c>
      <c r="J38" s="80">
        <f>SUMIFS('март 2024'!$G$4:$G$1612,'март 2024'!$D$4:$D$1612,$B38,'март 2024'!$J$4:$J$1612,J$1)</f>
        <v>0</v>
      </c>
      <c r="K38" s="80">
        <f>SUMIFS('март 2024'!$G$4:$G$1612,'март 2024'!$D$4:$D$1612,$B38,'март 2024'!$J$4:$J$1612,K$1)</f>
        <v>0</v>
      </c>
      <c r="L38" s="80">
        <f>SUMIFS('март 2024'!$G$4:$G$1612,'март 2024'!$D$4:$D$1612,$B38,'март 2024'!$J$4:$J$1612,L$1)</f>
        <v>0</v>
      </c>
      <c r="M38" s="80">
        <f>SUMIFS('март 2024'!$G$4:$G$1612,'март 2024'!$D$4:$D$1612,$B38,'март 2024'!$J$4:$J$1612,M$1)</f>
        <v>0</v>
      </c>
      <c r="N38" s="80">
        <f>SUMIFS('март 2024'!$G$4:$G$1612,'март 2024'!$D$4:$D$1612,$B38,'март 2024'!$J$4:$J$1612,N$1)</f>
        <v>0</v>
      </c>
      <c r="O38" s="80">
        <f>SUMIFS('март 2024'!$G$4:$G$1612,'март 2024'!$D$4:$D$1612,$B38,'март 2024'!$J$4:$J$1612,O$1)</f>
        <v>0</v>
      </c>
      <c r="P38" s="80">
        <f>SUMIFS('март 2024'!$G$4:$G$1612,'март 2024'!$D$4:$D$1612,$B38,'март 2024'!$J$4:$J$1612,P$1)</f>
        <v>0</v>
      </c>
      <c r="Q38" s="80">
        <f>SUMIFS('март 2024'!$G$4:$G$1612,'март 2024'!$D$4:$D$1612,$B38,'март 2024'!$J$4:$J$1612,Q$1)</f>
        <v>0</v>
      </c>
      <c r="R38" s="80">
        <f>SUMIFS('март 2024'!$G$4:$G$1612,'март 2024'!$D$4:$D$1612,$B38,'март 2024'!$J$4:$J$1612,R$1)</f>
        <v>0</v>
      </c>
      <c r="S38" s="80">
        <f>SUMIFS('март 2024'!$G$4:$G$1612,'март 2024'!$D$4:$D$1612,$B38,'март 2024'!$J$4:$J$1612,S$1)</f>
        <v>0</v>
      </c>
      <c r="T38" s="80">
        <f>SUMIFS('март 2024'!$G$4:$G$1612,'март 2024'!$D$4:$D$1612,$B38,'март 2024'!$J$4:$J$1612,T$1)</f>
        <v>0</v>
      </c>
      <c r="U38" s="80">
        <f>SUMIFS('март 2024'!$G$4:$G$1612,'март 2024'!$D$4:$D$1612,$B38,'март 2024'!$J$4:$J$1612,U$1)</f>
        <v>0</v>
      </c>
      <c r="V38" s="80">
        <f>SUMIFS('март 2024'!$G$4:$G$1612,'март 2024'!$D$4:$D$1612,$B38,'март 2024'!$J$4:$J$1612,V$1)</f>
        <v>0</v>
      </c>
      <c r="W38" s="80">
        <f>SUMIFS('март 2024'!$G$4:$G$1612,'март 2024'!$D$4:$D$1612,$B38,'март 2024'!$J$4:$J$1612,W$1)</f>
        <v>0</v>
      </c>
      <c r="X38" s="80">
        <f>SUMIFS('март 2024'!$G$4:$G$1612,'март 2024'!$D$4:$D$1612,$B38,'март 2024'!$J$4:$J$1612,X$1)</f>
        <v>0</v>
      </c>
      <c r="Y38" s="80">
        <f>SUMIFS('март 2024'!$G$4:$G$1612,'март 2024'!$D$4:$D$1612,$B38,'март 2024'!$J$4:$J$1612,Y$1)</f>
        <v>0</v>
      </c>
      <c r="Z38" s="80">
        <f>SUMIFS('март 2024'!$G$4:$G$1612,'март 2024'!$D$4:$D$1612,$B38,'март 2024'!$J$4:$J$1612,Z$1)</f>
        <v>0</v>
      </c>
      <c r="AA38" s="80">
        <f>SUMIFS('март 2024'!$G$4:$G$1612,'март 2024'!$D$4:$D$1612,$B38,'март 2024'!$J$4:$J$1612,AA$1)</f>
        <v>0</v>
      </c>
      <c r="AB38" s="80">
        <f>SUMIFS('март 2024'!$G$4:$G$1612,'март 2024'!$D$4:$D$1612,$B38,'март 2024'!$J$4:$J$1612,AB$1)</f>
        <v>0</v>
      </c>
      <c r="AC38" s="80">
        <f>SUMIFS('март 2024'!$G$4:$G$1612,'март 2024'!$D$4:$D$1612,$B38,'март 2024'!$J$4:$J$1612,AC$1)</f>
        <v>0</v>
      </c>
      <c r="AD38" s="80">
        <f>SUMIFS('март 2024'!$G$4:$G$1612,'март 2024'!$D$4:$D$1612,$B38,'март 2024'!$J$4:$J$1612,AD$1)</f>
        <v>0</v>
      </c>
      <c r="AE38" s="80">
        <f>SUMIFS('март 2024'!$G$4:$G$1612,'март 2024'!$D$4:$D$1612,$B38,'март 2024'!$J$4:$J$1612,AE$1)</f>
        <v>0</v>
      </c>
      <c r="AF38" s="80">
        <f>SUMIFS('март 2024'!$G$4:$G$1612,'март 2024'!$D$4:$D$1612,$B38,'март 2024'!$J$4:$J$1612,AF$1)</f>
        <v>0</v>
      </c>
      <c r="AG38" s="80">
        <f>SUMIFS('март 2024'!$G$4:$G$1612,'март 2024'!$D$4:$D$1612,$B38,'март 2024'!$J$4:$J$1612,AG$1)</f>
        <v>0</v>
      </c>
      <c r="AH38" s="80">
        <f>SUMIFS('март 2024'!$G$4:$G$1612,'март 2024'!$D$4:$D$1612,$B38,'март 2024'!$J$4:$J$1612,AH$1)</f>
        <v>0</v>
      </c>
      <c r="AI38" s="21">
        <f t="shared" si="1"/>
        <v>0</v>
      </c>
    </row>
    <row r="39" spans="2:35" ht="15" customHeight="1" x14ac:dyDescent="0.25">
      <c r="B39" s="154" t="s">
        <v>292</v>
      </c>
      <c r="C39" s="151">
        <v>25</v>
      </c>
      <c r="D39" s="80">
        <f>SUMIFS('март 2024'!$G$4:$G$1612,'март 2024'!$D$4:$D$1612,$B39,'март 2024'!$J$4:$J$1612,D$1)</f>
        <v>0</v>
      </c>
      <c r="E39" s="80">
        <f>SUMIFS('март 2024'!$G$4:$G$1612,'март 2024'!$D$4:$D$1612,$B39,'март 2024'!$J$4:$J$1612,E$1)</f>
        <v>0</v>
      </c>
      <c r="F39" s="80">
        <f>SUMIFS('март 2024'!$G$4:$G$1612,'март 2024'!$D$4:$D$1612,$B39,'март 2024'!$J$4:$J$1612,F$1)</f>
        <v>0</v>
      </c>
      <c r="G39" s="80">
        <f>SUMIFS('март 2024'!$G$4:$G$1612,'март 2024'!$D$4:$D$1612,$B39,'март 2024'!$J$4:$J$1612,G$1)</f>
        <v>0</v>
      </c>
      <c r="H39" s="80">
        <f>SUMIFS('март 2024'!$G$4:$G$1612,'март 2024'!$D$4:$D$1612,$B39,'март 2024'!$J$4:$J$1612,H$1)</f>
        <v>0</v>
      </c>
      <c r="I39" s="80">
        <f>SUMIFS('март 2024'!$G$4:$G$1612,'март 2024'!$D$4:$D$1612,$B39,'март 2024'!$J$4:$J$1612,I$1)</f>
        <v>0</v>
      </c>
      <c r="J39" s="80">
        <f>SUMIFS('март 2024'!$G$4:$G$1612,'март 2024'!$D$4:$D$1612,$B39,'март 2024'!$J$4:$J$1612,J$1)</f>
        <v>0</v>
      </c>
      <c r="K39" s="80">
        <f>SUMIFS('март 2024'!$G$4:$G$1612,'март 2024'!$D$4:$D$1612,$B39,'март 2024'!$J$4:$J$1612,K$1)</f>
        <v>0</v>
      </c>
      <c r="L39" s="80">
        <f>SUMIFS('март 2024'!$G$4:$G$1612,'март 2024'!$D$4:$D$1612,$B39,'март 2024'!$J$4:$J$1612,L$1)</f>
        <v>0</v>
      </c>
      <c r="M39" s="80">
        <f>SUMIFS('март 2024'!$G$4:$G$1612,'март 2024'!$D$4:$D$1612,$B39,'март 2024'!$J$4:$J$1612,M$1)</f>
        <v>0</v>
      </c>
      <c r="N39" s="80">
        <f>SUMIFS('март 2024'!$G$4:$G$1612,'март 2024'!$D$4:$D$1612,$B39,'март 2024'!$J$4:$J$1612,N$1)</f>
        <v>0</v>
      </c>
      <c r="O39" s="80">
        <f>SUMIFS('март 2024'!$G$4:$G$1612,'март 2024'!$D$4:$D$1612,$B39,'март 2024'!$J$4:$J$1612,O$1)</f>
        <v>0</v>
      </c>
      <c r="P39" s="80">
        <f>SUMIFS('март 2024'!$G$4:$G$1612,'март 2024'!$D$4:$D$1612,$B39,'март 2024'!$J$4:$J$1612,P$1)</f>
        <v>0</v>
      </c>
      <c r="Q39" s="80">
        <f>SUMIFS('март 2024'!$G$4:$G$1612,'март 2024'!$D$4:$D$1612,$B39,'март 2024'!$J$4:$J$1612,Q$1)</f>
        <v>0</v>
      </c>
      <c r="R39" s="80">
        <f>SUMIFS('март 2024'!$G$4:$G$1612,'март 2024'!$D$4:$D$1612,$B39,'март 2024'!$J$4:$J$1612,R$1)</f>
        <v>0</v>
      </c>
      <c r="S39" s="80">
        <f>SUMIFS('март 2024'!$G$4:$G$1612,'март 2024'!$D$4:$D$1612,$B39,'март 2024'!$J$4:$J$1612,S$1)</f>
        <v>0</v>
      </c>
      <c r="T39" s="80">
        <f>SUMIFS('март 2024'!$G$4:$G$1612,'март 2024'!$D$4:$D$1612,$B39,'март 2024'!$J$4:$J$1612,T$1)</f>
        <v>0</v>
      </c>
      <c r="U39" s="80">
        <f>SUMIFS('март 2024'!$G$4:$G$1612,'март 2024'!$D$4:$D$1612,$B39,'март 2024'!$J$4:$J$1612,U$1)</f>
        <v>0</v>
      </c>
      <c r="V39" s="80">
        <f>SUMIFS('март 2024'!$G$4:$G$1612,'март 2024'!$D$4:$D$1612,$B39,'март 2024'!$J$4:$J$1612,V$1)</f>
        <v>0</v>
      </c>
      <c r="W39" s="80">
        <f>SUMIFS('март 2024'!$G$4:$G$1612,'март 2024'!$D$4:$D$1612,$B39,'март 2024'!$J$4:$J$1612,W$1)</f>
        <v>0</v>
      </c>
      <c r="X39" s="80">
        <f>SUMIFS('март 2024'!$G$4:$G$1612,'март 2024'!$D$4:$D$1612,$B39,'март 2024'!$J$4:$J$1612,X$1)</f>
        <v>0</v>
      </c>
      <c r="Y39" s="80">
        <f>SUMIFS('март 2024'!$G$4:$G$1612,'март 2024'!$D$4:$D$1612,$B39,'март 2024'!$J$4:$J$1612,Y$1)</f>
        <v>0</v>
      </c>
      <c r="Z39" s="80">
        <f>SUMIFS('март 2024'!$G$4:$G$1612,'март 2024'!$D$4:$D$1612,$B39,'март 2024'!$J$4:$J$1612,Z$1)</f>
        <v>0</v>
      </c>
      <c r="AA39" s="80">
        <f>SUMIFS('март 2024'!$G$4:$G$1612,'март 2024'!$D$4:$D$1612,$B39,'март 2024'!$J$4:$J$1612,AA$1)</f>
        <v>0</v>
      </c>
      <c r="AB39" s="80">
        <f>SUMIFS('март 2024'!$G$4:$G$1612,'март 2024'!$D$4:$D$1612,$B39,'март 2024'!$J$4:$J$1612,AB$1)</f>
        <v>0</v>
      </c>
      <c r="AC39" s="80">
        <f>SUMIFS('март 2024'!$G$4:$G$1612,'март 2024'!$D$4:$D$1612,$B39,'март 2024'!$J$4:$J$1612,AC$1)</f>
        <v>0</v>
      </c>
      <c r="AD39" s="80">
        <f>SUMIFS('март 2024'!$G$4:$G$1612,'март 2024'!$D$4:$D$1612,$B39,'март 2024'!$J$4:$J$1612,AD$1)</f>
        <v>0</v>
      </c>
      <c r="AE39" s="80">
        <f>SUMIFS('март 2024'!$G$4:$G$1612,'март 2024'!$D$4:$D$1612,$B39,'март 2024'!$J$4:$J$1612,AE$1)</f>
        <v>0</v>
      </c>
      <c r="AF39" s="80">
        <f>SUMIFS('март 2024'!$G$4:$G$1612,'март 2024'!$D$4:$D$1612,$B39,'март 2024'!$J$4:$J$1612,AF$1)</f>
        <v>0</v>
      </c>
      <c r="AG39" s="80">
        <f>SUMIFS('март 2024'!$G$4:$G$1612,'март 2024'!$D$4:$D$1612,$B39,'март 2024'!$J$4:$J$1612,AG$1)</f>
        <v>0</v>
      </c>
      <c r="AH39" s="80">
        <f>SUMIFS('март 2024'!$G$4:$G$1612,'март 2024'!$D$4:$D$1612,$B39,'март 2024'!$J$4:$J$1612,AH$1)</f>
        <v>0</v>
      </c>
      <c r="AI39" s="21">
        <f t="shared" si="1"/>
        <v>0</v>
      </c>
    </row>
    <row r="40" spans="2:35" ht="15" customHeight="1" x14ac:dyDescent="0.25">
      <c r="B40" s="150" t="s">
        <v>294</v>
      </c>
      <c r="C40" s="153">
        <v>25</v>
      </c>
      <c r="D40" s="80">
        <f>SUMIFS('март 2024'!$G$4:$G$1612,'март 2024'!$D$4:$D$1612,$B40,'март 2024'!$J$4:$J$1612,D$1)</f>
        <v>0</v>
      </c>
      <c r="E40" s="80">
        <f>SUMIFS('март 2024'!$G$4:$G$1612,'март 2024'!$D$4:$D$1612,$B40,'март 2024'!$J$4:$J$1612,E$1)</f>
        <v>0</v>
      </c>
      <c r="F40" s="80">
        <f>SUMIFS('март 2024'!$G$4:$G$1612,'март 2024'!$D$4:$D$1612,$B40,'март 2024'!$J$4:$J$1612,F$1)</f>
        <v>0</v>
      </c>
      <c r="G40" s="80">
        <f>SUMIFS('март 2024'!$G$4:$G$1612,'март 2024'!$D$4:$D$1612,$B40,'март 2024'!$J$4:$J$1612,G$1)</f>
        <v>0</v>
      </c>
      <c r="H40" s="80">
        <f>SUMIFS('март 2024'!$G$4:$G$1612,'март 2024'!$D$4:$D$1612,$B40,'март 2024'!$J$4:$J$1612,H$1)</f>
        <v>0</v>
      </c>
      <c r="I40" s="80">
        <f>SUMIFS('март 2024'!$G$4:$G$1612,'март 2024'!$D$4:$D$1612,$B40,'март 2024'!$J$4:$J$1612,I$1)</f>
        <v>0</v>
      </c>
      <c r="J40" s="80">
        <f>SUMIFS('март 2024'!$G$4:$G$1612,'март 2024'!$D$4:$D$1612,$B40,'март 2024'!$J$4:$J$1612,J$1)</f>
        <v>0</v>
      </c>
      <c r="K40" s="80">
        <f>SUMIFS('март 2024'!$G$4:$G$1612,'март 2024'!$D$4:$D$1612,$B40,'март 2024'!$J$4:$J$1612,K$1)</f>
        <v>0</v>
      </c>
      <c r="L40" s="80">
        <f>SUMIFS('март 2024'!$G$4:$G$1612,'март 2024'!$D$4:$D$1612,$B40,'март 2024'!$J$4:$J$1612,L$1)</f>
        <v>0</v>
      </c>
      <c r="M40" s="80">
        <f>SUMIFS('март 2024'!$G$4:$G$1612,'март 2024'!$D$4:$D$1612,$B40,'март 2024'!$J$4:$J$1612,M$1)</f>
        <v>0</v>
      </c>
      <c r="N40" s="80">
        <f>SUMIFS('март 2024'!$G$4:$G$1612,'март 2024'!$D$4:$D$1612,$B40,'март 2024'!$J$4:$J$1612,N$1)</f>
        <v>0</v>
      </c>
      <c r="O40" s="80">
        <f>SUMIFS('март 2024'!$G$4:$G$1612,'март 2024'!$D$4:$D$1612,$B40,'март 2024'!$J$4:$J$1612,O$1)</f>
        <v>0</v>
      </c>
      <c r="P40" s="80">
        <f>SUMIFS('март 2024'!$G$4:$G$1612,'март 2024'!$D$4:$D$1612,$B40,'март 2024'!$J$4:$J$1612,P$1)</f>
        <v>0</v>
      </c>
      <c r="Q40" s="80">
        <f>SUMIFS('март 2024'!$G$4:$G$1612,'март 2024'!$D$4:$D$1612,$B40,'март 2024'!$J$4:$J$1612,Q$1)</f>
        <v>0</v>
      </c>
      <c r="R40" s="80">
        <f>SUMIFS('март 2024'!$G$4:$G$1612,'март 2024'!$D$4:$D$1612,$B40,'март 2024'!$J$4:$J$1612,R$1)</f>
        <v>0</v>
      </c>
      <c r="S40" s="80">
        <f>SUMIFS('март 2024'!$G$4:$G$1612,'март 2024'!$D$4:$D$1612,$B40,'март 2024'!$J$4:$J$1612,S$1)</f>
        <v>0</v>
      </c>
      <c r="T40" s="80">
        <f>SUMIFS('март 2024'!$G$4:$G$1612,'март 2024'!$D$4:$D$1612,$B40,'март 2024'!$J$4:$J$1612,T$1)</f>
        <v>0</v>
      </c>
      <c r="U40" s="80">
        <f>SUMIFS('март 2024'!$G$4:$G$1612,'март 2024'!$D$4:$D$1612,$B40,'март 2024'!$J$4:$J$1612,U$1)</f>
        <v>0</v>
      </c>
      <c r="V40" s="80">
        <f>SUMIFS('март 2024'!$G$4:$G$1612,'март 2024'!$D$4:$D$1612,$B40,'март 2024'!$J$4:$J$1612,V$1)</f>
        <v>0</v>
      </c>
      <c r="W40" s="80">
        <f>SUMIFS('март 2024'!$G$4:$G$1612,'март 2024'!$D$4:$D$1612,$B40,'март 2024'!$J$4:$J$1612,W$1)</f>
        <v>0</v>
      </c>
      <c r="X40" s="80">
        <f>SUMIFS('март 2024'!$G$4:$G$1612,'март 2024'!$D$4:$D$1612,$B40,'март 2024'!$J$4:$J$1612,X$1)</f>
        <v>0</v>
      </c>
      <c r="Y40" s="80">
        <f>SUMIFS('март 2024'!$G$4:$G$1612,'март 2024'!$D$4:$D$1612,$B40,'март 2024'!$J$4:$J$1612,Y$1)</f>
        <v>0</v>
      </c>
      <c r="Z40" s="80">
        <f>SUMIFS('март 2024'!$G$4:$G$1612,'март 2024'!$D$4:$D$1612,$B40,'март 2024'!$J$4:$J$1612,Z$1)</f>
        <v>0</v>
      </c>
      <c r="AA40" s="80">
        <f>SUMIFS('март 2024'!$G$4:$G$1612,'март 2024'!$D$4:$D$1612,$B40,'март 2024'!$J$4:$J$1612,AA$1)</f>
        <v>0</v>
      </c>
      <c r="AB40" s="80">
        <f>SUMIFS('март 2024'!$G$4:$G$1612,'март 2024'!$D$4:$D$1612,$B40,'март 2024'!$J$4:$J$1612,AB$1)</f>
        <v>0</v>
      </c>
      <c r="AC40" s="80">
        <f>SUMIFS('март 2024'!$G$4:$G$1612,'март 2024'!$D$4:$D$1612,$B40,'март 2024'!$J$4:$J$1612,AC$1)</f>
        <v>0</v>
      </c>
      <c r="AD40" s="80">
        <f>SUMIFS('март 2024'!$G$4:$G$1612,'март 2024'!$D$4:$D$1612,$B40,'март 2024'!$J$4:$J$1612,AD$1)</f>
        <v>0</v>
      </c>
      <c r="AE40" s="80">
        <f>SUMIFS('март 2024'!$G$4:$G$1612,'март 2024'!$D$4:$D$1612,$B40,'март 2024'!$J$4:$J$1612,AE$1)</f>
        <v>0</v>
      </c>
      <c r="AF40" s="80">
        <f>SUMIFS('март 2024'!$G$4:$G$1612,'март 2024'!$D$4:$D$1612,$B40,'март 2024'!$J$4:$J$1612,AF$1)</f>
        <v>0</v>
      </c>
      <c r="AG40" s="80">
        <f>SUMIFS('март 2024'!$G$4:$G$1612,'март 2024'!$D$4:$D$1612,$B40,'март 2024'!$J$4:$J$1612,AG$1)</f>
        <v>0</v>
      </c>
      <c r="AH40" s="80">
        <f>SUMIFS('март 2024'!$G$4:$G$1612,'март 2024'!$D$4:$D$1612,$B40,'март 2024'!$J$4:$J$1612,AH$1)</f>
        <v>0</v>
      </c>
      <c r="AI40" s="21">
        <f t="shared" si="1"/>
        <v>0</v>
      </c>
    </row>
    <row r="41" spans="2:35" ht="15" customHeight="1" x14ac:dyDescent="0.25">
      <c r="B41" s="154" t="s">
        <v>468</v>
      </c>
      <c r="C41" s="170">
        <v>25</v>
      </c>
      <c r="D41" s="80">
        <f>SUMIFS('март 2024'!$G$4:$G$1612,'март 2024'!$D$4:$D$1612,$B41,'март 2024'!$J$4:$J$1612,D$1)</f>
        <v>0</v>
      </c>
      <c r="E41" s="80">
        <f>SUMIFS('март 2024'!$G$4:$G$1612,'март 2024'!$D$4:$D$1612,$B41,'март 2024'!$J$4:$J$1612,E$1)</f>
        <v>0</v>
      </c>
      <c r="F41" s="80">
        <f>SUMIFS('март 2024'!$G$4:$G$1612,'март 2024'!$D$4:$D$1612,$B41,'март 2024'!$J$4:$J$1612,F$1)</f>
        <v>0</v>
      </c>
      <c r="G41" s="80">
        <f>SUMIFS('март 2024'!$G$4:$G$1612,'март 2024'!$D$4:$D$1612,$B41,'март 2024'!$J$4:$J$1612,G$1)</f>
        <v>0</v>
      </c>
      <c r="H41" s="80">
        <f>SUMIFS('март 2024'!$G$4:$G$1612,'март 2024'!$D$4:$D$1612,$B41,'март 2024'!$J$4:$J$1612,H$1)</f>
        <v>0</v>
      </c>
      <c r="I41" s="80">
        <f>SUMIFS('март 2024'!$G$4:$G$1612,'март 2024'!$D$4:$D$1612,$B41,'март 2024'!$J$4:$J$1612,I$1)</f>
        <v>0</v>
      </c>
      <c r="J41" s="80">
        <f>SUMIFS('март 2024'!$G$4:$G$1612,'март 2024'!$D$4:$D$1612,$B41,'март 2024'!$J$4:$J$1612,J$1)</f>
        <v>0</v>
      </c>
      <c r="K41" s="80">
        <f>SUMIFS('март 2024'!$G$4:$G$1612,'март 2024'!$D$4:$D$1612,$B41,'март 2024'!$J$4:$J$1612,K$1)</f>
        <v>0</v>
      </c>
      <c r="L41" s="80">
        <f>SUMIFS('март 2024'!$G$4:$G$1612,'март 2024'!$D$4:$D$1612,$B41,'март 2024'!$J$4:$J$1612,L$1)</f>
        <v>0</v>
      </c>
      <c r="M41" s="80">
        <f>SUMIFS('март 2024'!$G$4:$G$1612,'март 2024'!$D$4:$D$1612,$B41,'март 2024'!$J$4:$J$1612,M$1)</f>
        <v>0</v>
      </c>
      <c r="N41" s="80">
        <f>SUMIFS('март 2024'!$G$4:$G$1612,'март 2024'!$D$4:$D$1612,$B41,'март 2024'!$J$4:$J$1612,N$1)</f>
        <v>0</v>
      </c>
      <c r="O41" s="80">
        <f>SUMIFS('март 2024'!$G$4:$G$1612,'март 2024'!$D$4:$D$1612,$B41,'март 2024'!$J$4:$J$1612,O$1)</f>
        <v>0</v>
      </c>
      <c r="P41" s="80">
        <f>SUMIFS('март 2024'!$G$4:$G$1612,'март 2024'!$D$4:$D$1612,$B41,'март 2024'!$J$4:$J$1612,P$1)</f>
        <v>0</v>
      </c>
      <c r="Q41" s="80">
        <f>SUMIFS('март 2024'!$G$4:$G$1612,'март 2024'!$D$4:$D$1612,$B41,'март 2024'!$J$4:$J$1612,Q$1)</f>
        <v>0</v>
      </c>
      <c r="R41" s="80">
        <f>SUMIFS('март 2024'!$G$4:$G$1612,'март 2024'!$D$4:$D$1612,$B41,'март 2024'!$J$4:$J$1612,R$1)</f>
        <v>0</v>
      </c>
      <c r="S41" s="80">
        <f>SUMIFS('март 2024'!$G$4:$G$1612,'март 2024'!$D$4:$D$1612,$B41,'март 2024'!$J$4:$J$1612,S$1)</f>
        <v>0</v>
      </c>
      <c r="T41" s="80">
        <f>SUMIFS('март 2024'!$G$4:$G$1612,'март 2024'!$D$4:$D$1612,$B41,'март 2024'!$J$4:$J$1612,T$1)</f>
        <v>0</v>
      </c>
      <c r="U41" s="80">
        <f>SUMIFS('март 2024'!$G$4:$G$1612,'март 2024'!$D$4:$D$1612,$B41,'март 2024'!$J$4:$J$1612,U$1)</f>
        <v>0</v>
      </c>
      <c r="V41" s="80">
        <f>SUMIFS('март 2024'!$G$4:$G$1612,'март 2024'!$D$4:$D$1612,$B41,'март 2024'!$J$4:$J$1612,V$1)</f>
        <v>0</v>
      </c>
      <c r="W41" s="80">
        <f>SUMIFS('март 2024'!$G$4:$G$1612,'март 2024'!$D$4:$D$1612,$B41,'март 2024'!$J$4:$J$1612,W$1)</f>
        <v>0</v>
      </c>
      <c r="X41" s="80">
        <f>SUMIFS('март 2024'!$G$4:$G$1612,'март 2024'!$D$4:$D$1612,$B41,'март 2024'!$J$4:$J$1612,X$1)</f>
        <v>0</v>
      </c>
      <c r="Y41" s="80">
        <f>SUMIFS('март 2024'!$G$4:$G$1612,'март 2024'!$D$4:$D$1612,$B41,'март 2024'!$J$4:$J$1612,Y$1)</f>
        <v>0</v>
      </c>
      <c r="Z41" s="80">
        <f>SUMIFS('март 2024'!$G$4:$G$1612,'март 2024'!$D$4:$D$1612,$B41,'март 2024'!$J$4:$J$1612,Z$1)</f>
        <v>0</v>
      </c>
      <c r="AA41" s="80">
        <f>SUMIFS('март 2024'!$G$4:$G$1612,'март 2024'!$D$4:$D$1612,$B41,'март 2024'!$J$4:$J$1612,AA$1)</f>
        <v>0</v>
      </c>
      <c r="AB41" s="80">
        <f>SUMIFS('март 2024'!$G$4:$G$1612,'март 2024'!$D$4:$D$1612,$B41,'март 2024'!$J$4:$J$1612,AB$1)</f>
        <v>0</v>
      </c>
      <c r="AC41" s="80">
        <f>SUMIFS('март 2024'!$G$4:$G$1612,'март 2024'!$D$4:$D$1612,$B41,'март 2024'!$J$4:$J$1612,AC$1)</f>
        <v>0</v>
      </c>
      <c r="AD41" s="80">
        <f>SUMIFS('март 2024'!$G$4:$G$1612,'март 2024'!$D$4:$D$1612,$B41,'март 2024'!$J$4:$J$1612,AD$1)</f>
        <v>0</v>
      </c>
      <c r="AE41" s="80">
        <f>SUMIFS('март 2024'!$G$4:$G$1612,'март 2024'!$D$4:$D$1612,$B41,'март 2024'!$J$4:$J$1612,AE$1)</f>
        <v>0</v>
      </c>
      <c r="AF41" s="80">
        <f>SUMIFS('март 2024'!$G$4:$G$1612,'март 2024'!$D$4:$D$1612,$B41,'март 2024'!$J$4:$J$1612,AF$1)</f>
        <v>0</v>
      </c>
      <c r="AG41" s="80">
        <f>SUMIFS('март 2024'!$G$4:$G$1612,'март 2024'!$D$4:$D$1612,$B41,'март 2024'!$J$4:$J$1612,AG$1)</f>
        <v>0</v>
      </c>
      <c r="AH41" s="80">
        <f>SUMIFS('март 2024'!$G$4:$G$1612,'март 2024'!$D$4:$D$1612,$B41,'март 2024'!$J$4:$J$1612,AH$1)</f>
        <v>0</v>
      </c>
      <c r="AI41" s="21">
        <f t="shared" si="1"/>
        <v>0</v>
      </c>
    </row>
    <row r="42" spans="2:35" ht="15" customHeight="1" x14ac:dyDescent="0.25">
      <c r="B42" s="154" t="s">
        <v>296</v>
      </c>
      <c r="C42" s="151">
        <v>25</v>
      </c>
      <c r="D42" s="80">
        <f>SUMIFS('март 2024'!$G$4:$G$1612,'март 2024'!$D$4:$D$1612,$B42,'март 2024'!$J$4:$J$1612,D$1)</f>
        <v>0</v>
      </c>
      <c r="E42" s="80">
        <f>SUMIFS('март 2024'!$G$4:$G$1612,'март 2024'!$D$4:$D$1612,$B42,'март 2024'!$J$4:$J$1612,E$1)</f>
        <v>0</v>
      </c>
      <c r="F42" s="80">
        <f>SUMIFS('март 2024'!$G$4:$G$1612,'март 2024'!$D$4:$D$1612,$B42,'март 2024'!$J$4:$J$1612,F$1)</f>
        <v>0</v>
      </c>
      <c r="G42" s="80">
        <f>SUMIFS('март 2024'!$G$4:$G$1612,'март 2024'!$D$4:$D$1612,$B42,'март 2024'!$J$4:$J$1612,G$1)</f>
        <v>0</v>
      </c>
      <c r="H42" s="80">
        <f>SUMIFS('март 2024'!$G$4:$G$1612,'март 2024'!$D$4:$D$1612,$B42,'март 2024'!$J$4:$J$1612,H$1)</f>
        <v>0</v>
      </c>
      <c r="I42" s="80">
        <f>SUMIFS('март 2024'!$G$4:$G$1612,'март 2024'!$D$4:$D$1612,$B42,'март 2024'!$J$4:$J$1612,I$1)</f>
        <v>0</v>
      </c>
      <c r="J42" s="80">
        <f>SUMIFS('март 2024'!$G$4:$G$1612,'март 2024'!$D$4:$D$1612,$B42,'март 2024'!$J$4:$J$1612,J$1)</f>
        <v>0</v>
      </c>
      <c r="K42" s="80">
        <f>SUMIFS('март 2024'!$G$4:$G$1612,'март 2024'!$D$4:$D$1612,$B42,'март 2024'!$J$4:$J$1612,K$1)</f>
        <v>0</v>
      </c>
      <c r="L42" s="80">
        <f>SUMIFS('март 2024'!$G$4:$G$1612,'март 2024'!$D$4:$D$1612,$B42,'март 2024'!$J$4:$J$1612,L$1)</f>
        <v>0</v>
      </c>
      <c r="M42" s="80">
        <f>SUMIFS('март 2024'!$G$4:$G$1612,'март 2024'!$D$4:$D$1612,$B42,'март 2024'!$J$4:$J$1612,M$1)</f>
        <v>0</v>
      </c>
      <c r="N42" s="80">
        <f>SUMIFS('март 2024'!$G$4:$G$1612,'март 2024'!$D$4:$D$1612,$B42,'март 2024'!$J$4:$J$1612,N$1)</f>
        <v>0</v>
      </c>
      <c r="O42" s="80">
        <f>SUMIFS('март 2024'!$G$4:$G$1612,'март 2024'!$D$4:$D$1612,$B42,'март 2024'!$J$4:$J$1612,O$1)</f>
        <v>0</v>
      </c>
      <c r="P42" s="80">
        <f>SUMIFS('март 2024'!$G$4:$G$1612,'март 2024'!$D$4:$D$1612,$B42,'март 2024'!$J$4:$J$1612,P$1)</f>
        <v>0</v>
      </c>
      <c r="Q42" s="80">
        <f>SUMIFS('март 2024'!$G$4:$G$1612,'март 2024'!$D$4:$D$1612,$B42,'март 2024'!$J$4:$J$1612,Q$1)</f>
        <v>0</v>
      </c>
      <c r="R42" s="80">
        <f>SUMIFS('март 2024'!$G$4:$G$1612,'март 2024'!$D$4:$D$1612,$B42,'март 2024'!$J$4:$J$1612,R$1)</f>
        <v>0</v>
      </c>
      <c r="S42" s="80">
        <f>SUMIFS('март 2024'!$G$4:$G$1612,'март 2024'!$D$4:$D$1612,$B42,'март 2024'!$J$4:$J$1612,S$1)</f>
        <v>0</v>
      </c>
      <c r="T42" s="80">
        <f>SUMIFS('март 2024'!$G$4:$G$1612,'март 2024'!$D$4:$D$1612,$B42,'март 2024'!$J$4:$J$1612,T$1)</f>
        <v>0</v>
      </c>
      <c r="U42" s="80">
        <f>SUMIFS('март 2024'!$G$4:$G$1612,'март 2024'!$D$4:$D$1612,$B42,'март 2024'!$J$4:$J$1612,U$1)</f>
        <v>0</v>
      </c>
      <c r="V42" s="80">
        <f>SUMIFS('март 2024'!$G$4:$G$1612,'март 2024'!$D$4:$D$1612,$B42,'март 2024'!$J$4:$J$1612,V$1)</f>
        <v>0</v>
      </c>
      <c r="W42" s="80">
        <f>SUMIFS('март 2024'!$G$4:$G$1612,'март 2024'!$D$4:$D$1612,$B42,'март 2024'!$J$4:$J$1612,W$1)</f>
        <v>0</v>
      </c>
      <c r="X42" s="80">
        <f>SUMIFS('март 2024'!$G$4:$G$1612,'март 2024'!$D$4:$D$1612,$B42,'март 2024'!$J$4:$J$1612,X$1)</f>
        <v>0</v>
      </c>
      <c r="Y42" s="80">
        <f>SUMIFS('март 2024'!$G$4:$G$1612,'март 2024'!$D$4:$D$1612,$B42,'март 2024'!$J$4:$J$1612,Y$1)</f>
        <v>0</v>
      </c>
      <c r="Z42" s="80">
        <f>SUMIFS('март 2024'!$G$4:$G$1612,'март 2024'!$D$4:$D$1612,$B42,'март 2024'!$J$4:$J$1612,Z$1)</f>
        <v>0</v>
      </c>
      <c r="AA42" s="80">
        <f>SUMIFS('март 2024'!$G$4:$G$1612,'март 2024'!$D$4:$D$1612,$B42,'март 2024'!$J$4:$J$1612,AA$1)</f>
        <v>0</v>
      </c>
      <c r="AB42" s="80">
        <f>SUMIFS('март 2024'!$G$4:$G$1612,'март 2024'!$D$4:$D$1612,$B42,'март 2024'!$J$4:$J$1612,AB$1)</f>
        <v>0</v>
      </c>
      <c r="AC42" s="80">
        <f>SUMIFS('март 2024'!$G$4:$G$1612,'март 2024'!$D$4:$D$1612,$B42,'март 2024'!$J$4:$J$1612,AC$1)</f>
        <v>0</v>
      </c>
      <c r="AD42" s="80">
        <f>SUMIFS('март 2024'!$G$4:$G$1612,'март 2024'!$D$4:$D$1612,$B42,'март 2024'!$J$4:$J$1612,AD$1)</f>
        <v>0</v>
      </c>
      <c r="AE42" s="80">
        <f>SUMIFS('март 2024'!$G$4:$G$1612,'март 2024'!$D$4:$D$1612,$B42,'март 2024'!$J$4:$J$1612,AE$1)</f>
        <v>0</v>
      </c>
      <c r="AF42" s="80">
        <f>SUMIFS('март 2024'!$G$4:$G$1612,'март 2024'!$D$4:$D$1612,$B42,'март 2024'!$J$4:$J$1612,AF$1)</f>
        <v>0</v>
      </c>
      <c r="AG42" s="80">
        <f>SUMIFS('март 2024'!$G$4:$G$1612,'март 2024'!$D$4:$D$1612,$B42,'март 2024'!$J$4:$J$1612,AG$1)</f>
        <v>0</v>
      </c>
      <c r="AH42" s="80">
        <f>SUMIFS('март 2024'!$G$4:$G$1612,'март 2024'!$D$4:$D$1612,$B42,'март 2024'!$J$4:$J$1612,AH$1)</f>
        <v>0</v>
      </c>
      <c r="AI42" s="21">
        <f t="shared" si="1"/>
        <v>0</v>
      </c>
    </row>
    <row r="43" spans="2:35" ht="15" customHeight="1" x14ac:dyDescent="0.25">
      <c r="B43" s="154" t="s">
        <v>298</v>
      </c>
      <c r="C43" s="151">
        <v>18</v>
      </c>
      <c r="D43" s="80">
        <f>SUMIFS('март 2024'!$G$4:$G$1612,'март 2024'!$D$4:$D$1612,$B43,'март 2024'!$J$4:$J$1612,D$1)</f>
        <v>0</v>
      </c>
      <c r="E43" s="80">
        <f>SUMIFS('март 2024'!$G$4:$G$1612,'март 2024'!$D$4:$D$1612,$B43,'март 2024'!$J$4:$J$1612,E$1)</f>
        <v>0</v>
      </c>
      <c r="F43" s="80">
        <f>SUMIFS('март 2024'!$G$4:$G$1612,'март 2024'!$D$4:$D$1612,$B43,'март 2024'!$J$4:$J$1612,F$1)</f>
        <v>0</v>
      </c>
      <c r="G43" s="80">
        <f>SUMIFS('март 2024'!$G$4:$G$1612,'март 2024'!$D$4:$D$1612,$B43,'март 2024'!$J$4:$J$1612,G$1)</f>
        <v>0</v>
      </c>
      <c r="H43" s="80">
        <f>SUMIFS('март 2024'!$G$4:$G$1612,'март 2024'!$D$4:$D$1612,$B43,'март 2024'!$J$4:$J$1612,H$1)</f>
        <v>0</v>
      </c>
      <c r="I43" s="80">
        <f>SUMIFS('март 2024'!$G$4:$G$1612,'март 2024'!$D$4:$D$1612,$B43,'март 2024'!$J$4:$J$1612,I$1)</f>
        <v>0</v>
      </c>
      <c r="J43" s="80">
        <f>SUMIFS('март 2024'!$G$4:$G$1612,'март 2024'!$D$4:$D$1612,$B43,'март 2024'!$J$4:$J$1612,J$1)</f>
        <v>0</v>
      </c>
      <c r="K43" s="80">
        <f>SUMIFS('март 2024'!$G$4:$G$1612,'март 2024'!$D$4:$D$1612,$B43,'март 2024'!$J$4:$J$1612,K$1)</f>
        <v>0</v>
      </c>
      <c r="L43" s="80">
        <f>SUMIFS('март 2024'!$G$4:$G$1612,'март 2024'!$D$4:$D$1612,$B43,'март 2024'!$J$4:$J$1612,L$1)</f>
        <v>0</v>
      </c>
      <c r="M43" s="80">
        <f>SUMIFS('март 2024'!$G$4:$G$1612,'март 2024'!$D$4:$D$1612,$B43,'март 2024'!$J$4:$J$1612,M$1)</f>
        <v>0</v>
      </c>
      <c r="N43" s="80">
        <f>SUMIFS('март 2024'!$G$4:$G$1612,'март 2024'!$D$4:$D$1612,$B43,'март 2024'!$J$4:$J$1612,N$1)</f>
        <v>0</v>
      </c>
      <c r="O43" s="80">
        <f>SUMIFS('март 2024'!$G$4:$G$1612,'март 2024'!$D$4:$D$1612,$B43,'март 2024'!$J$4:$J$1612,O$1)</f>
        <v>0</v>
      </c>
      <c r="P43" s="80">
        <f>SUMIFS('март 2024'!$G$4:$G$1612,'март 2024'!$D$4:$D$1612,$B43,'март 2024'!$J$4:$J$1612,P$1)</f>
        <v>0</v>
      </c>
      <c r="Q43" s="80">
        <f>SUMIFS('март 2024'!$G$4:$G$1612,'март 2024'!$D$4:$D$1612,$B43,'март 2024'!$J$4:$J$1612,Q$1)</f>
        <v>0</v>
      </c>
      <c r="R43" s="80">
        <f>SUMIFS('март 2024'!$G$4:$G$1612,'март 2024'!$D$4:$D$1612,$B43,'март 2024'!$J$4:$J$1612,R$1)</f>
        <v>0</v>
      </c>
      <c r="S43" s="80">
        <f>SUMIFS('март 2024'!$G$4:$G$1612,'март 2024'!$D$4:$D$1612,$B43,'март 2024'!$J$4:$J$1612,S$1)</f>
        <v>0</v>
      </c>
      <c r="T43" s="80">
        <f>SUMIFS('март 2024'!$G$4:$G$1612,'март 2024'!$D$4:$D$1612,$B43,'март 2024'!$J$4:$J$1612,T$1)</f>
        <v>0</v>
      </c>
      <c r="U43" s="80">
        <f>SUMIFS('март 2024'!$G$4:$G$1612,'март 2024'!$D$4:$D$1612,$B43,'март 2024'!$J$4:$J$1612,U$1)</f>
        <v>0</v>
      </c>
      <c r="V43" s="80">
        <f>SUMIFS('март 2024'!$G$4:$G$1612,'март 2024'!$D$4:$D$1612,$B43,'март 2024'!$J$4:$J$1612,V$1)</f>
        <v>0</v>
      </c>
      <c r="W43" s="80">
        <f>SUMIFS('март 2024'!$G$4:$G$1612,'март 2024'!$D$4:$D$1612,$B43,'март 2024'!$J$4:$J$1612,W$1)</f>
        <v>0</v>
      </c>
      <c r="X43" s="80">
        <f>SUMIFS('март 2024'!$G$4:$G$1612,'март 2024'!$D$4:$D$1612,$B43,'март 2024'!$J$4:$J$1612,X$1)</f>
        <v>0</v>
      </c>
      <c r="Y43" s="80">
        <f>SUMIFS('март 2024'!$G$4:$G$1612,'март 2024'!$D$4:$D$1612,$B43,'март 2024'!$J$4:$J$1612,Y$1)</f>
        <v>160</v>
      </c>
      <c r="Z43" s="80">
        <f>SUMIFS('март 2024'!$G$4:$G$1612,'март 2024'!$D$4:$D$1612,$B43,'март 2024'!$J$4:$J$1612,Z$1)</f>
        <v>0</v>
      </c>
      <c r="AA43" s="80">
        <f>SUMIFS('март 2024'!$G$4:$G$1612,'март 2024'!$D$4:$D$1612,$B43,'март 2024'!$J$4:$J$1612,AA$1)</f>
        <v>0</v>
      </c>
      <c r="AB43" s="80">
        <f>SUMIFS('март 2024'!$G$4:$G$1612,'март 2024'!$D$4:$D$1612,$B43,'март 2024'!$J$4:$J$1612,AB$1)</f>
        <v>0</v>
      </c>
      <c r="AC43" s="80">
        <f>SUMIFS('март 2024'!$G$4:$G$1612,'март 2024'!$D$4:$D$1612,$B43,'март 2024'!$J$4:$J$1612,AC$1)</f>
        <v>0</v>
      </c>
      <c r="AD43" s="80">
        <f>SUMIFS('март 2024'!$G$4:$G$1612,'март 2024'!$D$4:$D$1612,$B43,'март 2024'!$J$4:$J$1612,AD$1)</f>
        <v>0</v>
      </c>
      <c r="AE43" s="80">
        <f>SUMIFS('март 2024'!$G$4:$G$1612,'март 2024'!$D$4:$D$1612,$B43,'март 2024'!$J$4:$J$1612,AE$1)</f>
        <v>160</v>
      </c>
      <c r="AF43" s="80">
        <f>SUMIFS('март 2024'!$G$4:$G$1612,'март 2024'!$D$4:$D$1612,$B43,'март 2024'!$J$4:$J$1612,AF$1)</f>
        <v>0</v>
      </c>
      <c r="AG43" s="80">
        <f>SUMIFS('март 2024'!$G$4:$G$1612,'март 2024'!$D$4:$D$1612,$B43,'март 2024'!$J$4:$J$1612,AG$1)</f>
        <v>0</v>
      </c>
      <c r="AH43" s="80">
        <f>SUMIFS('март 2024'!$G$4:$G$1612,'март 2024'!$D$4:$D$1612,$B43,'март 2024'!$J$4:$J$1612,AH$1)</f>
        <v>0</v>
      </c>
      <c r="AI43" s="21">
        <f t="shared" si="1"/>
        <v>320</v>
      </c>
    </row>
    <row r="44" spans="2:35" ht="15" customHeight="1" x14ac:dyDescent="0.25">
      <c r="B44" s="154" t="s">
        <v>300</v>
      </c>
      <c r="C44" s="151">
        <v>20</v>
      </c>
      <c r="D44" s="80">
        <f>SUMIFS('март 2024'!$G$4:$G$1612,'март 2024'!$D$4:$D$1612,$B44,'март 2024'!$J$4:$J$1612,D$1)</f>
        <v>0</v>
      </c>
      <c r="E44" s="80">
        <f>SUMIFS('март 2024'!$G$4:$G$1612,'март 2024'!$D$4:$D$1612,$B44,'март 2024'!$J$4:$J$1612,E$1)</f>
        <v>0</v>
      </c>
      <c r="F44" s="80">
        <f>SUMIFS('март 2024'!$G$4:$G$1612,'март 2024'!$D$4:$D$1612,$B44,'март 2024'!$J$4:$J$1612,F$1)</f>
        <v>0</v>
      </c>
      <c r="G44" s="80">
        <f>SUMIFS('март 2024'!$G$4:$G$1612,'март 2024'!$D$4:$D$1612,$B44,'март 2024'!$J$4:$J$1612,G$1)</f>
        <v>0</v>
      </c>
      <c r="H44" s="80">
        <f>SUMIFS('март 2024'!$G$4:$G$1612,'март 2024'!$D$4:$D$1612,$B44,'март 2024'!$J$4:$J$1612,H$1)</f>
        <v>0</v>
      </c>
      <c r="I44" s="80">
        <f>SUMIFS('март 2024'!$G$4:$G$1612,'март 2024'!$D$4:$D$1612,$B44,'март 2024'!$J$4:$J$1612,I$1)</f>
        <v>0</v>
      </c>
      <c r="J44" s="80">
        <f>SUMIFS('март 2024'!$G$4:$G$1612,'март 2024'!$D$4:$D$1612,$B44,'март 2024'!$J$4:$J$1612,J$1)</f>
        <v>0</v>
      </c>
      <c r="K44" s="80">
        <f>SUMIFS('март 2024'!$G$4:$G$1612,'март 2024'!$D$4:$D$1612,$B44,'март 2024'!$J$4:$J$1612,K$1)</f>
        <v>0</v>
      </c>
      <c r="L44" s="80">
        <f>SUMIFS('март 2024'!$G$4:$G$1612,'март 2024'!$D$4:$D$1612,$B44,'март 2024'!$J$4:$J$1612,L$1)</f>
        <v>0</v>
      </c>
      <c r="M44" s="80">
        <f>SUMIFS('март 2024'!$G$4:$G$1612,'март 2024'!$D$4:$D$1612,$B44,'март 2024'!$J$4:$J$1612,M$1)</f>
        <v>0</v>
      </c>
      <c r="N44" s="80">
        <f>SUMIFS('март 2024'!$G$4:$G$1612,'март 2024'!$D$4:$D$1612,$B44,'март 2024'!$J$4:$J$1612,N$1)</f>
        <v>0</v>
      </c>
      <c r="O44" s="80">
        <f>SUMIFS('март 2024'!$G$4:$G$1612,'март 2024'!$D$4:$D$1612,$B44,'март 2024'!$J$4:$J$1612,O$1)</f>
        <v>0</v>
      </c>
      <c r="P44" s="80">
        <f>SUMIFS('март 2024'!$G$4:$G$1612,'март 2024'!$D$4:$D$1612,$B44,'март 2024'!$J$4:$J$1612,P$1)</f>
        <v>0</v>
      </c>
      <c r="Q44" s="80">
        <f>SUMIFS('март 2024'!$G$4:$G$1612,'март 2024'!$D$4:$D$1612,$B44,'март 2024'!$J$4:$J$1612,Q$1)</f>
        <v>0</v>
      </c>
      <c r="R44" s="80">
        <f>SUMIFS('март 2024'!$G$4:$G$1612,'март 2024'!$D$4:$D$1612,$B44,'март 2024'!$J$4:$J$1612,R$1)</f>
        <v>0</v>
      </c>
      <c r="S44" s="80">
        <f>SUMIFS('март 2024'!$G$4:$G$1612,'март 2024'!$D$4:$D$1612,$B44,'март 2024'!$J$4:$J$1612,S$1)</f>
        <v>0</v>
      </c>
      <c r="T44" s="80">
        <f>SUMIFS('март 2024'!$G$4:$G$1612,'март 2024'!$D$4:$D$1612,$B44,'март 2024'!$J$4:$J$1612,T$1)</f>
        <v>0</v>
      </c>
      <c r="U44" s="80">
        <f>SUMIFS('март 2024'!$G$4:$G$1612,'март 2024'!$D$4:$D$1612,$B44,'март 2024'!$J$4:$J$1612,U$1)</f>
        <v>0</v>
      </c>
      <c r="V44" s="80">
        <f>SUMIFS('март 2024'!$G$4:$G$1612,'март 2024'!$D$4:$D$1612,$B44,'март 2024'!$J$4:$J$1612,V$1)</f>
        <v>0</v>
      </c>
      <c r="W44" s="80">
        <f>SUMIFS('март 2024'!$G$4:$G$1612,'март 2024'!$D$4:$D$1612,$B44,'март 2024'!$J$4:$J$1612,W$1)</f>
        <v>0</v>
      </c>
      <c r="X44" s="80">
        <f>SUMIFS('март 2024'!$G$4:$G$1612,'март 2024'!$D$4:$D$1612,$B44,'март 2024'!$J$4:$J$1612,X$1)</f>
        <v>0</v>
      </c>
      <c r="Y44" s="80">
        <f>SUMIFS('март 2024'!$G$4:$G$1612,'март 2024'!$D$4:$D$1612,$B44,'март 2024'!$J$4:$J$1612,Y$1)</f>
        <v>0</v>
      </c>
      <c r="Z44" s="80">
        <f>SUMIFS('март 2024'!$G$4:$G$1612,'март 2024'!$D$4:$D$1612,$B44,'март 2024'!$J$4:$J$1612,Z$1)</f>
        <v>0</v>
      </c>
      <c r="AA44" s="80">
        <f>SUMIFS('март 2024'!$G$4:$G$1612,'март 2024'!$D$4:$D$1612,$B44,'март 2024'!$J$4:$J$1612,AA$1)</f>
        <v>0</v>
      </c>
      <c r="AB44" s="80">
        <f>SUMIFS('март 2024'!$G$4:$G$1612,'март 2024'!$D$4:$D$1612,$B44,'март 2024'!$J$4:$J$1612,AB$1)</f>
        <v>0</v>
      </c>
      <c r="AC44" s="80">
        <f>SUMIFS('март 2024'!$G$4:$G$1612,'март 2024'!$D$4:$D$1612,$B44,'март 2024'!$J$4:$J$1612,AC$1)</f>
        <v>0</v>
      </c>
      <c r="AD44" s="80">
        <f>SUMIFS('март 2024'!$G$4:$G$1612,'март 2024'!$D$4:$D$1612,$B44,'март 2024'!$J$4:$J$1612,AD$1)</f>
        <v>0</v>
      </c>
      <c r="AE44" s="80">
        <f>SUMIFS('март 2024'!$G$4:$G$1612,'март 2024'!$D$4:$D$1612,$B44,'март 2024'!$J$4:$J$1612,AE$1)</f>
        <v>0</v>
      </c>
      <c r="AF44" s="80">
        <f>SUMIFS('март 2024'!$G$4:$G$1612,'март 2024'!$D$4:$D$1612,$B44,'март 2024'!$J$4:$J$1612,AF$1)</f>
        <v>0</v>
      </c>
      <c r="AG44" s="80">
        <f>SUMIFS('март 2024'!$G$4:$G$1612,'март 2024'!$D$4:$D$1612,$B44,'март 2024'!$J$4:$J$1612,AG$1)</f>
        <v>0</v>
      </c>
      <c r="AH44" s="80">
        <f>SUMIFS('март 2024'!$G$4:$G$1612,'март 2024'!$D$4:$D$1612,$B44,'март 2024'!$J$4:$J$1612,AH$1)</f>
        <v>0</v>
      </c>
      <c r="AI44" s="21">
        <f t="shared" si="1"/>
        <v>0</v>
      </c>
    </row>
    <row r="45" spans="2:35" ht="15" customHeight="1" x14ac:dyDescent="0.25">
      <c r="B45" s="150" t="s">
        <v>302</v>
      </c>
      <c r="C45" s="153">
        <v>20</v>
      </c>
      <c r="D45" s="80">
        <f>SUMIFS('март 2024'!$G$4:$G$1612,'март 2024'!$D$4:$D$1612,$B45,'март 2024'!$J$4:$J$1612,D$1)</f>
        <v>0</v>
      </c>
      <c r="E45" s="80">
        <f>SUMIFS('март 2024'!$G$4:$G$1612,'март 2024'!$D$4:$D$1612,$B45,'март 2024'!$J$4:$J$1612,E$1)</f>
        <v>0</v>
      </c>
      <c r="F45" s="80">
        <f>SUMIFS('март 2024'!$G$4:$G$1612,'март 2024'!$D$4:$D$1612,$B45,'март 2024'!$J$4:$J$1612,F$1)</f>
        <v>0</v>
      </c>
      <c r="G45" s="80">
        <f>SUMIFS('март 2024'!$G$4:$G$1612,'март 2024'!$D$4:$D$1612,$B45,'март 2024'!$J$4:$J$1612,G$1)</f>
        <v>0</v>
      </c>
      <c r="H45" s="80">
        <f>SUMIFS('март 2024'!$G$4:$G$1612,'март 2024'!$D$4:$D$1612,$B45,'март 2024'!$J$4:$J$1612,H$1)</f>
        <v>0</v>
      </c>
      <c r="I45" s="80">
        <f>SUMIFS('март 2024'!$G$4:$G$1612,'март 2024'!$D$4:$D$1612,$B45,'март 2024'!$J$4:$J$1612,I$1)</f>
        <v>0</v>
      </c>
      <c r="J45" s="80">
        <f>SUMIFS('март 2024'!$G$4:$G$1612,'март 2024'!$D$4:$D$1612,$B45,'март 2024'!$J$4:$J$1612,J$1)</f>
        <v>0</v>
      </c>
      <c r="K45" s="80">
        <f>SUMIFS('март 2024'!$G$4:$G$1612,'март 2024'!$D$4:$D$1612,$B45,'март 2024'!$J$4:$J$1612,K$1)</f>
        <v>0</v>
      </c>
      <c r="L45" s="80">
        <f>SUMIFS('март 2024'!$G$4:$G$1612,'март 2024'!$D$4:$D$1612,$B45,'март 2024'!$J$4:$J$1612,L$1)</f>
        <v>0</v>
      </c>
      <c r="M45" s="80">
        <f>SUMIFS('март 2024'!$G$4:$G$1612,'март 2024'!$D$4:$D$1612,$B45,'март 2024'!$J$4:$J$1612,M$1)</f>
        <v>0</v>
      </c>
      <c r="N45" s="80">
        <f>SUMIFS('март 2024'!$G$4:$G$1612,'март 2024'!$D$4:$D$1612,$B45,'март 2024'!$J$4:$J$1612,N$1)</f>
        <v>0</v>
      </c>
      <c r="O45" s="80">
        <f>SUMIFS('март 2024'!$G$4:$G$1612,'март 2024'!$D$4:$D$1612,$B45,'март 2024'!$J$4:$J$1612,O$1)</f>
        <v>0</v>
      </c>
      <c r="P45" s="80">
        <f>SUMIFS('март 2024'!$G$4:$G$1612,'март 2024'!$D$4:$D$1612,$B45,'март 2024'!$J$4:$J$1612,P$1)</f>
        <v>0</v>
      </c>
      <c r="Q45" s="80">
        <f>SUMIFS('март 2024'!$G$4:$G$1612,'март 2024'!$D$4:$D$1612,$B45,'март 2024'!$J$4:$J$1612,Q$1)</f>
        <v>0</v>
      </c>
      <c r="R45" s="80">
        <f>SUMIFS('март 2024'!$G$4:$G$1612,'март 2024'!$D$4:$D$1612,$B45,'март 2024'!$J$4:$J$1612,R$1)</f>
        <v>0</v>
      </c>
      <c r="S45" s="80">
        <f>SUMIFS('март 2024'!$G$4:$G$1612,'март 2024'!$D$4:$D$1612,$B45,'март 2024'!$J$4:$J$1612,S$1)</f>
        <v>0</v>
      </c>
      <c r="T45" s="80">
        <f>SUMIFS('март 2024'!$G$4:$G$1612,'март 2024'!$D$4:$D$1612,$B45,'март 2024'!$J$4:$J$1612,T$1)</f>
        <v>0</v>
      </c>
      <c r="U45" s="80">
        <f>SUMIFS('март 2024'!$G$4:$G$1612,'март 2024'!$D$4:$D$1612,$B45,'март 2024'!$J$4:$J$1612,U$1)</f>
        <v>0</v>
      </c>
      <c r="V45" s="80">
        <f>SUMIFS('март 2024'!$G$4:$G$1612,'март 2024'!$D$4:$D$1612,$B45,'март 2024'!$J$4:$J$1612,V$1)</f>
        <v>0</v>
      </c>
      <c r="W45" s="80">
        <f>SUMIFS('март 2024'!$G$4:$G$1612,'март 2024'!$D$4:$D$1612,$B45,'март 2024'!$J$4:$J$1612,W$1)</f>
        <v>0</v>
      </c>
      <c r="X45" s="80">
        <f>SUMIFS('март 2024'!$G$4:$G$1612,'март 2024'!$D$4:$D$1612,$B45,'март 2024'!$J$4:$J$1612,X$1)</f>
        <v>0</v>
      </c>
      <c r="Y45" s="80">
        <f>SUMIFS('март 2024'!$G$4:$G$1612,'март 2024'!$D$4:$D$1612,$B45,'март 2024'!$J$4:$J$1612,Y$1)</f>
        <v>0</v>
      </c>
      <c r="Z45" s="80">
        <f>SUMIFS('март 2024'!$G$4:$G$1612,'март 2024'!$D$4:$D$1612,$B45,'март 2024'!$J$4:$J$1612,Z$1)</f>
        <v>0</v>
      </c>
      <c r="AA45" s="80">
        <f>SUMIFS('март 2024'!$G$4:$G$1612,'март 2024'!$D$4:$D$1612,$B45,'март 2024'!$J$4:$J$1612,AA$1)</f>
        <v>0</v>
      </c>
      <c r="AB45" s="80">
        <f>SUMIFS('март 2024'!$G$4:$G$1612,'март 2024'!$D$4:$D$1612,$B45,'март 2024'!$J$4:$J$1612,AB$1)</f>
        <v>0</v>
      </c>
      <c r="AC45" s="80">
        <f>SUMIFS('март 2024'!$G$4:$G$1612,'март 2024'!$D$4:$D$1612,$B45,'март 2024'!$J$4:$J$1612,AC$1)</f>
        <v>0</v>
      </c>
      <c r="AD45" s="80">
        <f>SUMIFS('март 2024'!$G$4:$G$1612,'март 2024'!$D$4:$D$1612,$B45,'март 2024'!$J$4:$J$1612,AD$1)</f>
        <v>0</v>
      </c>
      <c r="AE45" s="80">
        <f>SUMIFS('март 2024'!$G$4:$G$1612,'март 2024'!$D$4:$D$1612,$B45,'март 2024'!$J$4:$J$1612,AE$1)</f>
        <v>0</v>
      </c>
      <c r="AF45" s="80">
        <f>SUMIFS('март 2024'!$G$4:$G$1612,'март 2024'!$D$4:$D$1612,$B45,'март 2024'!$J$4:$J$1612,AF$1)</f>
        <v>0</v>
      </c>
      <c r="AG45" s="80">
        <f>SUMIFS('март 2024'!$G$4:$G$1612,'март 2024'!$D$4:$D$1612,$B45,'март 2024'!$J$4:$J$1612,AG$1)</f>
        <v>0</v>
      </c>
      <c r="AH45" s="80">
        <f>SUMIFS('март 2024'!$G$4:$G$1612,'март 2024'!$D$4:$D$1612,$B45,'март 2024'!$J$4:$J$1612,AH$1)</f>
        <v>0</v>
      </c>
      <c r="AI45" s="21">
        <f t="shared" si="1"/>
        <v>0</v>
      </c>
    </row>
    <row r="46" spans="2:35" ht="15" customHeight="1" x14ac:dyDescent="0.25">
      <c r="B46" s="150" t="s">
        <v>304</v>
      </c>
      <c r="C46" s="149">
        <v>20</v>
      </c>
      <c r="D46" s="80">
        <f>SUMIFS('март 2024'!$G$4:$G$1612,'март 2024'!$D$4:$D$1612,$B46,'март 2024'!$J$4:$J$1612,D$1)</f>
        <v>0</v>
      </c>
      <c r="E46" s="80">
        <f>SUMIFS('март 2024'!$G$4:$G$1612,'март 2024'!$D$4:$D$1612,$B46,'март 2024'!$J$4:$J$1612,E$1)</f>
        <v>0</v>
      </c>
      <c r="F46" s="80">
        <f>SUMIFS('март 2024'!$G$4:$G$1612,'март 2024'!$D$4:$D$1612,$B46,'март 2024'!$J$4:$J$1612,F$1)</f>
        <v>0</v>
      </c>
      <c r="G46" s="80">
        <f>SUMIFS('март 2024'!$G$4:$G$1612,'март 2024'!$D$4:$D$1612,$B46,'март 2024'!$J$4:$J$1612,G$1)</f>
        <v>0</v>
      </c>
      <c r="H46" s="80">
        <f>SUMIFS('март 2024'!$G$4:$G$1612,'март 2024'!$D$4:$D$1612,$B46,'март 2024'!$J$4:$J$1612,H$1)</f>
        <v>0</v>
      </c>
      <c r="I46" s="80">
        <f>SUMIFS('март 2024'!$G$4:$G$1612,'март 2024'!$D$4:$D$1612,$B46,'март 2024'!$J$4:$J$1612,I$1)</f>
        <v>0</v>
      </c>
      <c r="J46" s="80">
        <f>SUMIFS('март 2024'!$G$4:$G$1612,'март 2024'!$D$4:$D$1612,$B46,'март 2024'!$J$4:$J$1612,J$1)</f>
        <v>0</v>
      </c>
      <c r="K46" s="80">
        <f>SUMIFS('март 2024'!$G$4:$G$1612,'март 2024'!$D$4:$D$1612,$B46,'март 2024'!$J$4:$J$1612,K$1)</f>
        <v>0</v>
      </c>
      <c r="L46" s="80">
        <f>SUMIFS('март 2024'!$G$4:$G$1612,'март 2024'!$D$4:$D$1612,$B46,'март 2024'!$J$4:$J$1612,L$1)</f>
        <v>0</v>
      </c>
      <c r="M46" s="80">
        <f>SUMIFS('март 2024'!$G$4:$G$1612,'март 2024'!$D$4:$D$1612,$B46,'март 2024'!$J$4:$J$1612,M$1)</f>
        <v>0</v>
      </c>
      <c r="N46" s="80">
        <f>SUMIFS('март 2024'!$G$4:$G$1612,'март 2024'!$D$4:$D$1612,$B46,'март 2024'!$J$4:$J$1612,N$1)</f>
        <v>0</v>
      </c>
      <c r="O46" s="80">
        <f>SUMIFS('март 2024'!$G$4:$G$1612,'март 2024'!$D$4:$D$1612,$B46,'март 2024'!$J$4:$J$1612,O$1)</f>
        <v>0</v>
      </c>
      <c r="P46" s="80">
        <f>SUMIFS('март 2024'!$G$4:$G$1612,'март 2024'!$D$4:$D$1612,$B46,'март 2024'!$J$4:$J$1612,P$1)</f>
        <v>0</v>
      </c>
      <c r="Q46" s="80">
        <f>SUMIFS('март 2024'!$G$4:$G$1612,'март 2024'!$D$4:$D$1612,$B46,'март 2024'!$J$4:$J$1612,Q$1)</f>
        <v>0</v>
      </c>
      <c r="R46" s="80">
        <f>SUMIFS('март 2024'!$G$4:$G$1612,'март 2024'!$D$4:$D$1612,$B46,'март 2024'!$J$4:$J$1612,R$1)</f>
        <v>0</v>
      </c>
      <c r="S46" s="80">
        <f>SUMIFS('март 2024'!$G$4:$G$1612,'март 2024'!$D$4:$D$1612,$B46,'март 2024'!$J$4:$J$1612,S$1)</f>
        <v>0</v>
      </c>
      <c r="T46" s="80">
        <f>SUMIFS('март 2024'!$G$4:$G$1612,'март 2024'!$D$4:$D$1612,$B46,'март 2024'!$J$4:$J$1612,T$1)</f>
        <v>0</v>
      </c>
      <c r="U46" s="80">
        <f>SUMIFS('март 2024'!$G$4:$G$1612,'март 2024'!$D$4:$D$1612,$B46,'март 2024'!$J$4:$J$1612,U$1)</f>
        <v>0</v>
      </c>
      <c r="V46" s="80">
        <f>SUMIFS('март 2024'!$G$4:$G$1612,'март 2024'!$D$4:$D$1612,$B46,'март 2024'!$J$4:$J$1612,V$1)</f>
        <v>0</v>
      </c>
      <c r="W46" s="80">
        <f>SUMIFS('март 2024'!$G$4:$G$1612,'март 2024'!$D$4:$D$1612,$B46,'март 2024'!$J$4:$J$1612,W$1)</f>
        <v>0</v>
      </c>
      <c r="X46" s="80">
        <f>SUMIFS('март 2024'!$G$4:$G$1612,'март 2024'!$D$4:$D$1612,$B46,'март 2024'!$J$4:$J$1612,X$1)</f>
        <v>0</v>
      </c>
      <c r="Y46" s="80">
        <f>SUMIFS('март 2024'!$G$4:$G$1612,'март 2024'!$D$4:$D$1612,$B46,'март 2024'!$J$4:$J$1612,Y$1)</f>
        <v>0</v>
      </c>
      <c r="Z46" s="80">
        <f>SUMIFS('март 2024'!$G$4:$G$1612,'март 2024'!$D$4:$D$1612,$B46,'март 2024'!$J$4:$J$1612,Z$1)</f>
        <v>0</v>
      </c>
      <c r="AA46" s="80">
        <f>SUMIFS('март 2024'!$G$4:$G$1612,'март 2024'!$D$4:$D$1612,$B46,'март 2024'!$J$4:$J$1612,AA$1)</f>
        <v>0</v>
      </c>
      <c r="AB46" s="80">
        <f>SUMIFS('март 2024'!$G$4:$G$1612,'март 2024'!$D$4:$D$1612,$B46,'март 2024'!$J$4:$J$1612,AB$1)</f>
        <v>0</v>
      </c>
      <c r="AC46" s="80">
        <f>SUMIFS('март 2024'!$G$4:$G$1612,'март 2024'!$D$4:$D$1612,$B46,'март 2024'!$J$4:$J$1612,AC$1)</f>
        <v>0</v>
      </c>
      <c r="AD46" s="80">
        <f>SUMIFS('март 2024'!$G$4:$G$1612,'март 2024'!$D$4:$D$1612,$B46,'март 2024'!$J$4:$J$1612,AD$1)</f>
        <v>0</v>
      </c>
      <c r="AE46" s="80">
        <f>SUMIFS('март 2024'!$G$4:$G$1612,'март 2024'!$D$4:$D$1612,$B46,'март 2024'!$J$4:$J$1612,AE$1)</f>
        <v>0</v>
      </c>
      <c r="AF46" s="80">
        <f>SUMIFS('март 2024'!$G$4:$G$1612,'март 2024'!$D$4:$D$1612,$B46,'март 2024'!$J$4:$J$1612,AF$1)</f>
        <v>0</v>
      </c>
      <c r="AG46" s="80">
        <f>SUMIFS('март 2024'!$G$4:$G$1612,'март 2024'!$D$4:$D$1612,$B46,'март 2024'!$J$4:$J$1612,AG$1)</f>
        <v>0</v>
      </c>
      <c r="AH46" s="80">
        <f>SUMIFS('март 2024'!$G$4:$G$1612,'март 2024'!$D$4:$D$1612,$B46,'март 2024'!$J$4:$J$1612,AH$1)</f>
        <v>0</v>
      </c>
      <c r="AI46" s="21">
        <f t="shared" si="1"/>
        <v>0</v>
      </c>
    </row>
    <row r="47" spans="2:35" ht="15" customHeight="1" x14ac:dyDescent="0.25">
      <c r="B47" s="150" t="s">
        <v>306</v>
      </c>
      <c r="C47" s="151">
        <v>20</v>
      </c>
      <c r="D47" s="80">
        <f>SUMIFS('март 2024'!$G$4:$G$1612,'март 2024'!$D$4:$D$1612,$B47,'март 2024'!$J$4:$J$1612,D$1)</f>
        <v>0</v>
      </c>
      <c r="E47" s="80">
        <f>SUMIFS('март 2024'!$G$4:$G$1612,'март 2024'!$D$4:$D$1612,$B47,'март 2024'!$J$4:$J$1612,E$1)</f>
        <v>0</v>
      </c>
      <c r="F47" s="80">
        <f>SUMIFS('март 2024'!$G$4:$G$1612,'март 2024'!$D$4:$D$1612,$B47,'март 2024'!$J$4:$J$1612,F$1)</f>
        <v>0</v>
      </c>
      <c r="G47" s="80">
        <f>SUMIFS('март 2024'!$G$4:$G$1612,'март 2024'!$D$4:$D$1612,$B47,'март 2024'!$J$4:$J$1612,G$1)</f>
        <v>0</v>
      </c>
      <c r="H47" s="80">
        <f>SUMIFS('март 2024'!$G$4:$G$1612,'март 2024'!$D$4:$D$1612,$B47,'март 2024'!$J$4:$J$1612,H$1)</f>
        <v>0</v>
      </c>
      <c r="I47" s="80">
        <f>SUMIFS('март 2024'!$G$4:$G$1612,'март 2024'!$D$4:$D$1612,$B47,'март 2024'!$J$4:$J$1612,I$1)</f>
        <v>0</v>
      </c>
      <c r="J47" s="80">
        <f>SUMIFS('март 2024'!$G$4:$G$1612,'март 2024'!$D$4:$D$1612,$B47,'март 2024'!$J$4:$J$1612,J$1)</f>
        <v>0</v>
      </c>
      <c r="K47" s="80">
        <f>SUMIFS('март 2024'!$G$4:$G$1612,'март 2024'!$D$4:$D$1612,$B47,'март 2024'!$J$4:$J$1612,K$1)</f>
        <v>0</v>
      </c>
      <c r="L47" s="80">
        <f>SUMIFS('март 2024'!$G$4:$G$1612,'март 2024'!$D$4:$D$1612,$B47,'март 2024'!$J$4:$J$1612,L$1)</f>
        <v>0</v>
      </c>
      <c r="M47" s="80">
        <f>SUMIFS('март 2024'!$G$4:$G$1612,'март 2024'!$D$4:$D$1612,$B47,'март 2024'!$J$4:$J$1612,M$1)</f>
        <v>0</v>
      </c>
      <c r="N47" s="80">
        <f>SUMIFS('март 2024'!$G$4:$G$1612,'март 2024'!$D$4:$D$1612,$B47,'март 2024'!$J$4:$J$1612,N$1)</f>
        <v>0</v>
      </c>
      <c r="O47" s="80">
        <f>SUMIFS('март 2024'!$G$4:$G$1612,'март 2024'!$D$4:$D$1612,$B47,'март 2024'!$J$4:$J$1612,O$1)</f>
        <v>0</v>
      </c>
      <c r="P47" s="80">
        <f>SUMIFS('март 2024'!$G$4:$G$1612,'март 2024'!$D$4:$D$1612,$B47,'март 2024'!$J$4:$J$1612,P$1)</f>
        <v>0</v>
      </c>
      <c r="Q47" s="80">
        <f>SUMIFS('март 2024'!$G$4:$G$1612,'март 2024'!$D$4:$D$1612,$B47,'март 2024'!$J$4:$J$1612,Q$1)</f>
        <v>0</v>
      </c>
      <c r="R47" s="80">
        <f>SUMIFS('март 2024'!$G$4:$G$1612,'март 2024'!$D$4:$D$1612,$B47,'март 2024'!$J$4:$J$1612,R$1)</f>
        <v>0</v>
      </c>
      <c r="S47" s="80">
        <f>SUMIFS('март 2024'!$G$4:$G$1612,'март 2024'!$D$4:$D$1612,$B47,'март 2024'!$J$4:$J$1612,S$1)</f>
        <v>0</v>
      </c>
      <c r="T47" s="80">
        <f>SUMIFS('март 2024'!$G$4:$G$1612,'март 2024'!$D$4:$D$1612,$B47,'март 2024'!$J$4:$J$1612,T$1)</f>
        <v>0</v>
      </c>
      <c r="U47" s="80">
        <f>SUMIFS('март 2024'!$G$4:$G$1612,'март 2024'!$D$4:$D$1612,$B47,'март 2024'!$J$4:$J$1612,U$1)</f>
        <v>0</v>
      </c>
      <c r="V47" s="80">
        <f>SUMIFS('март 2024'!$G$4:$G$1612,'март 2024'!$D$4:$D$1612,$B47,'март 2024'!$J$4:$J$1612,V$1)</f>
        <v>0</v>
      </c>
      <c r="W47" s="80">
        <f>SUMIFS('март 2024'!$G$4:$G$1612,'март 2024'!$D$4:$D$1612,$B47,'март 2024'!$J$4:$J$1612,W$1)</f>
        <v>0</v>
      </c>
      <c r="X47" s="80">
        <f>SUMIFS('март 2024'!$G$4:$G$1612,'март 2024'!$D$4:$D$1612,$B47,'март 2024'!$J$4:$J$1612,X$1)</f>
        <v>0</v>
      </c>
      <c r="Y47" s="80">
        <f>SUMIFS('март 2024'!$G$4:$G$1612,'март 2024'!$D$4:$D$1612,$B47,'март 2024'!$J$4:$J$1612,Y$1)</f>
        <v>0</v>
      </c>
      <c r="Z47" s="80">
        <f>SUMIFS('март 2024'!$G$4:$G$1612,'март 2024'!$D$4:$D$1612,$B47,'март 2024'!$J$4:$J$1612,Z$1)</f>
        <v>0</v>
      </c>
      <c r="AA47" s="80">
        <f>SUMIFS('март 2024'!$G$4:$G$1612,'март 2024'!$D$4:$D$1612,$B47,'март 2024'!$J$4:$J$1612,AA$1)</f>
        <v>0</v>
      </c>
      <c r="AB47" s="80">
        <f>SUMIFS('март 2024'!$G$4:$G$1612,'март 2024'!$D$4:$D$1612,$B47,'март 2024'!$J$4:$J$1612,AB$1)</f>
        <v>0</v>
      </c>
      <c r="AC47" s="80">
        <f>SUMIFS('март 2024'!$G$4:$G$1612,'март 2024'!$D$4:$D$1612,$B47,'март 2024'!$J$4:$J$1612,AC$1)</f>
        <v>0</v>
      </c>
      <c r="AD47" s="80">
        <f>SUMIFS('март 2024'!$G$4:$G$1612,'март 2024'!$D$4:$D$1612,$B47,'март 2024'!$J$4:$J$1612,AD$1)</f>
        <v>0</v>
      </c>
      <c r="AE47" s="80">
        <f>SUMIFS('март 2024'!$G$4:$G$1612,'март 2024'!$D$4:$D$1612,$B47,'март 2024'!$J$4:$J$1612,AE$1)</f>
        <v>0</v>
      </c>
      <c r="AF47" s="80">
        <f>SUMIFS('март 2024'!$G$4:$G$1612,'март 2024'!$D$4:$D$1612,$B47,'март 2024'!$J$4:$J$1612,AF$1)</f>
        <v>0</v>
      </c>
      <c r="AG47" s="80">
        <f>SUMIFS('март 2024'!$G$4:$G$1612,'март 2024'!$D$4:$D$1612,$B47,'март 2024'!$J$4:$J$1612,AG$1)</f>
        <v>0</v>
      </c>
      <c r="AH47" s="80">
        <f>SUMIFS('март 2024'!$G$4:$G$1612,'март 2024'!$D$4:$D$1612,$B47,'март 2024'!$J$4:$J$1612,AH$1)</f>
        <v>0</v>
      </c>
      <c r="AI47" s="21">
        <f t="shared" si="1"/>
        <v>0</v>
      </c>
    </row>
    <row r="48" spans="2:35" ht="15" customHeight="1" x14ac:dyDescent="0.25">
      <c r="B48" s="150" t="s">
        <v>308</v>
      </c>
      <c r="C48" s="151">
        <v>14</v>
      </c>
      <c r="D48" s="80">
        <f>SUMIFS('март 2024'!$G$4:$G$1612,'март 2024'!$D$4:$D$1612,$B48,'март 2024'!$J$4:$J$1612,D$1)</f>
        <v>0</v>
      </c>
      <c r="E48" s="80">
        <f>SUMIFS('март 2024'!$G$4:$G$1612,'март 2024'!$D$4:$D$1612,$B48,'март 2024'!$J$4:$J$1612,E$1)</f>
        <v>0</v>
      </c>
      <c r="F48" s="80">
        <f>SUMIFS('март 2024'!$G$4:$G$1612,'март 2024'!$D$4:$D$1612,$B48,'март 2024'!$J$4:$J$1612,F$1)</f>
        <v>0</v>
      </c>
      <c r="G48" s="80">
        <f>SUMIFS('март 2024'!$G$4:$G$1612,'март 2024'!$D$4:$D$1612,$B48,'март 2024'!$J$4:$J$1612,G$1)</f>
        <v>0</v>
      </c>
      <c r="H48" s="80">
        <f>SUMIFS('март 2024'!$G$4:$G$1612,'март 2024'!$D$4:$D$1612,$B48,'март 2024'!$J$4:$J$1612,H$1)</f>
        <v>0</v>
      </c>
      <c r="I48" s="80">
        <f>SUMIFS('март 2024'!$G$4:$G$1612,'март 2024'!$D$4:$D$1612,$B48,'март 2024'!$J$4:$J$1612,I$1)</f>
        <v>0</v>
      </c>
      <c r="J48" s="80">
        <f>SUMIFS('март 2024'!$G$4:$G$1612,'март 2024'!$D$4:$D$1612,$B48,'март 2024'!$J$4:$J$1612,J$1)</f>
        <v>0</v>
      </c>
      <c r="K48" s="80">
        <f>SUMIFS('март 2024'!$G$4:$G$1612,'март 2024'!$D$4:$D$1612,$B48,'март 2024'!$J$4:$J$1612,K$1)</f>
        <v>0</v>
      </c>
      <c r="L48" s="80">
        <f>SUMIFS('март 2024'!$G$4:$G$1612,'март 2024'!$D$4:$D$1612,$B48,'март 2024'!$J$4:$J$1612,L$1)</f>
        <v>0</v>
      </c>
      <c r="M48" s="80">
        <f>SUMIFS('март 2024'!$G$4:$G$1612,'март 2024'!$D$4:$D$1612,$B48,'март 2024'!$J$4:$J$1612,M$1)</f>
        <v>0</v>
      </c>
      <c r="N48" s="80">
        <f>SUMIFS('март 2024'!$G$4:$G$1612,'март 2024'!$D$4:$D$1612,$B48,'март 2024'!$J$4:$J$1612,N$1)</f>
        <v>0</v>
      </c>
      <c r="O48" s="80">
        <f>SUMIFS('март 2024'!$G$4:$G$1612,'март 2024'!$D$4:$D$1612,$B48,'март 2024'!$J$4:$J$1612,O$1)</f>
        <v>0</v>
      </c>
      <c r="P48" s="80">
        <f>SUMIFS('март 2024'!$G$4:$G$1612,'март 2024'!$D$4:$D$1612,$B48,'март 2024'!$J$4:$J$1612,P$1)</f>
        <v>0</v>
      </c>
      <c r="Q48" s="80">
        <f>SUMIFS('март 2024'!$G$4:$G$1612,'март 2024'!$D$4:$D$1612,$B48,'март 2024'!$J$4:$J$1612,Q$1)</f>
        <v>0</v>
      </c>
      <c r="R48" s="80">
        <f>SUMIFS('март 2024'!$G$4:$G$1612,'март 2024'!$D$4:$D$1612,$B48,'март 2024'!$J$4:$J$1612,R$1)</f>
        <v>0</v>
      </c>
      <c r="S48" s="80">
        <f>SUMIFS('март 2024'!$G$4:$G$1612,'март 2024'!$D$4:$D$1612,$B48,'март 2024'!$J$4:$J$1612,S$1)</f>
        <v>0</v>
      </c>
      <c r="T48" s="80">
        <f>SUMIFS('март 2024'!$G$4:$G$1612,'март 2024'!$D$4:$D$1612,$B48,'март 2024'!$J$4:$J$1612,T$1)</f>
        <v>0</v>
      </c>
      <c r="U48" s="80">
        <f>SUMIFS('март 2024'!$G$4:$G$1612,'март 2024'!$D$4:$D$1612,$B48,'март 2024'!$J$4:$J$1612,U$1)</f>
        <v>0</v>
      </c>
      <c r="V48" s="80">
        <f>SUMIFS('март 2024'!$G$4:$G$1612,'март 2024'!$D$4:$D$1612,$B48,'март 2024'!$J$4:$J$1612,V$1)</f>
        <v>0</v>
      </c>
      <c r="W48" s="80">
        <f>SUMIFS('март 2024'!$G$4:$G$1612,'март 2024'!$D$4:$D$1612,$B48,'март 2024'!$J$4:$J$1612,W$1)</f>
        <v>0</v>
      </c>
      <c r="X48" s="80">
        <f>SUMIFS('март 2024'!$G$4:$G$1612,'март 2024'!$D$4:$D$1612,$B48,'март 2024'!$J$4:$J$1612,X$1)</f>
        <v>0</v>
      </c>
      <c r="Y48" s="80">
        <f>SUMIFS('март 2024'!$G$4:$G$1612,'март 2024'!$D$4:$D$1612,$B48,'март 2024'!$J$4:$J$1612,Y$1)</f>
        <v>0</v>
      </c>
      <c r="Z48" s="80">
        <f>SUMIFS('март 2024'!$G$4:$G$1612,'март 2024'!$D$4:$D$1612,$B48,'март 2024'!$J$4:$J$1612,Z$1)</f>
        <v>0</v>
      </c>
      <c r="AA48" s="80">
        <f>SUMIFS('март 2024'!$G$4:$G$1612,'март 2024'!$D$4:$D$1612,$B48,'март 2024'!$J$4:$J$1612,AA$1)</f>
        <v>0</v>
      </c>
      <c r="AB48" s="80">
        <f>SUMIFS('март 2024'!$G$4:$G$1612,'март 2024'!$D$4:$D$1612,$B48,'март 2024'!$J$4:$J$1612,AB$1)</f>
        <v>0</v>
      </c>
      <c r="AC48" s="80">
        <f>SUMIFS('март 2024'!$G$4:$G$1612,'март 2024'!$D$4:$D$1612,$B48,'март 2024'!$J$4:$J$1612,AC$1)</f>
        <v>0</v>
      </c>
      <c r="AD48" s="80">
        <f>SUMIFS('март 2024'!$G$4:$G$1612,'март 2024'!$D$4:$D$1612,$B48,'март 2024'!$J$4:$J$1612,AD$1)</f>
        <v>0</v>
      </c>
      <c r="AE48" s="80">
        <f>SUMIFS('март 2024'!$G$4:$G$1612,'март 2024'!$D$4:$D$1612,$B48,'март 2024'!$J$4:$J$1612,AE$1)</f>
        <v>0</v>
      </c>
      <c r="AF48" s="80">
        <f>SUMIFS('март 2024'!$G$4:$G$1612,'март 2024'!$D$4:$D$1612,$B48,'март 2024'!$J$4:$J$1612,AF$1)</f>
        <v>0</v>
      </c>
      <c r="AG48" s="80">
        <f>SUMIFS('март 2024'!$G$4:$G$1612,'март 2024'!$D$4:$D$1612,$B48,'март 2024'!$J$4:$J$1612,AG$1)</f>
        <v>0</v>
      </c>
      <c r="AH48" s="80">
        <f>SUMIFS('март 2024'!$G$4:$G$1612,'март 2024'!$D$4:$D$1612,$B48,'март 2024'!$J$4:$J$1612,AH$1)</f>
        <v>0</v>
      </c>
      <c r="AI48" s="21">
        <f t="shared" si="1"/>
        <v>0</v>
      </c>
    </row>
    <row r="49" spans="2:35" ht="15" customHeight="1" x14ac:dyDescent="0.25">
      <c r="B49" s="150" t="s">
        <v>310</v>
      </c>
      <c r="C49" s="151">
        <v>25</v>
      </c>
      <c r="D49" s="80">
        <f>SUMIFS('март 2024'!$G$4:$G$1612,'март 2024'!$D$4:$D$1612,$B49,'март 2024'!$J$4:$J$1612,D$1)</f>
        <v>0</v>
      </c>
      <c r="E49" s="80">
        <f>SUMIFS('март 2024'!$G$4:$G$1612,'март 2024'!$D$4:$D$1612,$B49,'март 2024'!$J$4:$J$1612,E$1)</f>
        <v>0</v>
      </c>
      <c r="F49" s="80">
        <f>SUMIFS('март 2024'!$G$4:$G$1612,'март 2024'!$D$4:$D$1612,$B49,'март 2024'!$J$4:$J$1612,F$1)</f>
        <v>0</v>
      </c>
      <c r="G49" s="80">
        <f>SUMIFS('март 2024'!$G$4:$G$1612,'март 2024'!$D$4:$D$1612,$B49,'март 2024'!$J$4:$J$1612,G$1)</f>
        <v>0</v>
      </c>
      <c r="H49" s="80">
        <f>SUMIFS('март 2024'!$G$4:$G$1612,'март 2024'!$D$4:$D$1612,$B49,'март 2024'!$J$4:$J$1612,H$1)</f>
        <v>0</v>
      </c>
      <c r="I49" s="80">
        <f>SUMIFS('март 2024'!$G$4:$G$1612,'март 2024'!$D$4:$D$1612,$B49,'март 2024'!$J$4:$J$1612,I$1)</f>
        <v>0</v>
      </c>
      <c r="J49" s="80">
        <f>SUMIFS('март 2024'!$G$4:$G$1612,'март 2024'!$D$4:$D$1612,$B49,'март 2024'!$J$4:$J$1612,J$1)</f>
        <v>0</v>
      </c>
      <c r="K49" s="80">
        <f>SUMIFS('март 2024'!$G$4:$G$1612,'март 2024'!$D$4:$D$1612,$B49,'март 2024'!$J$4:$J$1612,K$1)</f>
        <v>0</v>
      </c>
      <c r="L49" s="80">
        <f>SUMIFS('март 2024'!$G$4:$G$1612,'март 2024'!$D$4:$D$1612,$B49,'март 2024'!$J$4:$J$1612,L$1)</f>
        <v>0</v>
      </c>
      <c r="M49" s="80">
        <f>SUMIFS('март 2024'!$G$4:$G$1612,'март 2024'!$D$4:$D$1612,$B49,'март 2024'!$J$4:$J$1612,M$1)</f>
        <v>0</v>
      </c>
      <c r="N49" s="80">
        <f>SUMIFS('март 2024'!$G$4:$G$1612,'март 2024'!$D$4:$D$1612,$B49,'март 2024'!$J$4:$J$1612,N$1)</f>
        <v>0</v>
      </c>
      <c r="O49" s="80">
        <f>SUMIFS('март 2024'!$G$4:$G$1612,'март 2024'!$D$4:$D$1612,$B49,'март 2024'!$J$4:$J$1612,O$1)</f>
        <v>0</v>
      </c>
      <c r="P49" s="80">
        <f>SUMIFS('март 2024'!$G$4:$G$1612,'март 2024'!$D$4:$D$1612,$B49,'март 2024'!$J$4:$J$1612,P$1)</f>
        <v>0</v>
      </c>
      <c r="Q49" s="80">
        <f>SUMIFS('март 2024'!$G$4:$G$1612,'март 2024'!$D$4:$D$1612,$B49,'март 2024'!$J$4:$J$1612,Q$1)</f>
        <v>0</v>
      </c>
      <c r="R49" s="80">
        <f>SUMIFS('март 2024'!$G$4:$G$1612,'март 2024'!$D$4:$D$1612,$B49,'март 2024'!$J$4:$J$1612,R$1)</f>
        <v>0</v>
      </c>
      <c r="S49" s="80">
        <f>SUMIFS('март 2024'!$G$4:$G$1612,'март 2024'!$D$4:$D$1612,$B49,'март 2024'!$J$4:$J$1612,S$1)</f>
        <v>0</v>
      </c>
      <c r="T49" s="80">
        <f>SUMIFS('март 2024'!$G$4:$G$1612,'март 2024'!$D$4:$D$1612,$B49,'март 2024'!$J$4:$J$1612,T$1)</f>
        <v>0</v>
      </c>
      <c r="U49" s="80">
        <f>SUMIFS('март 2024'!$G$4:$G$1612,'март 2024'!$D$4:$D$1612,$B49,'март 2024'!$J$4:$J$1612,U$1)</f>
        <v>0</v>
      </c>
      <c r="V49" s="80">
        <f>SUMIFS('март 2024'!$G$4:$G$1612,'март 2024'!$D$4:$D$1612,$B49,'март 2024'!$J$4:$J$1612,V$1)</f>
        <v>0</v>
      </c>
      <c r="W49" s="80">
        <f>SUMIFS('март 2024'!$G$4:$G$1612,'март 2024'!$D$4:$D$1612,$B49,'март 2024'!$J$4:$J$1612,W$1)</f>
        <v>0</v>
      </c>
      <c r="X49" s="80">
        <f>SUMIFS('март 2024'!$G$4:$G$1612,'март 2024'!$D$4:$D$1612,$B49,'март 2024'!$J$4:$J$1612,X$1)</f>
        <v>0</v>
      </c>
      <c r="Y49" s="80">
        <f>SUMIFS('март 2024'!$G$4:$G$1612,'март 2024'!$D$4:$D$1612,$B49,'март 2024'!$J$4:$J$1612,Y$1)</f>
        <v>0</v>
      </c>
      <c r="Z49" s="80">
        <f>SUMIFS('март 2024'!$G$4:$G$1612,'март 2024'!$D$4:$D$1612,$B49,'март 2024'!$J$4:$J$1612,Z$1)</f>
        <v>0</v>
      </c>
      <c r="AA49" s="80">
        <f>SUMIFS('март 2024'!$G$4:$G$1612,'март 2024'!$D$4:$D$1612,$B49,'март 2024'!$J$4:$J$1612,AA$1)</f>
        <v>0</v>
      </c>
      <c r="AB49" s="80">
        <f>SUMIFS('март 2024'!$G$4:$G$1612,'март 2024'!$D$4:$D$1612,$B49,'март 2024'!$J$4:$J$1612,AB$1)</f>
        <v>80</v>
      </c>
      <c r="AC49" s="80">
        <f>SUMIFS('март 2024'!$G$4:$G$1612,'март 2024'!$D$4:$D$1612,$B49,'март 2024'!$J$4:$J$1612,AC$1)</f>
        <v>0</v>
      </c>
      <c r="AD49" s="80">
        <f>SUMIFS('март 2024'!$G$4:$G$1612,'март 2024'!$D$4:$D$1612,$B49,'март 2024'!$J$4:$J$1612,AD$1)</f>
        <v>0</v>
      </c>
      <c r="AE49" s="80">
        <f>SUMIFS('март 2024'!$G$4:$G$1612,'март 2024'!$D$4:$D$1612,$B49,'март 2024'!$J$4:$J$1612,AE$1)</f>
        <v>0</v>
      </c>
      <c r="AF49" s="80">
        <f>SUMIFS('март 2024'!$G$4:$G$1612,'март 2024'!$D$4:$D$1612,$B49,'март 2024'!$J$4:$J$1612,AF$1)</f>
        <v>0</v>
      </c>
      <c r="AG49" s="80">
        <f>SUMIFS('март 2024'!$G$4:$G$1612,'март 2024'!$D$4:$D$1612,$B49,'март 2024'!$J$4:$J$1612,AG$1)</f>
        <v>0</v>
      </c>
      <c r="AH49" s="80">
        <f>SUMIFS('март 2024'!$G$4:$G$1612,'март 2024'!$D$4:$D$1612,$B49,'март 2024'!$J$4:$J$1612,AH$1)</f>
        <v>0</v>
      </c>
      <c r="AI49" s="21">
        <f t="shared" si="1"/>
        <v>80</v>
      </c>
    </row>
    <row r="50" spans="2:35" ht="15" customHeight="1" x14ac:dyDescent="0.25">
      <c r="B50" s="150" t="s">
        <v>316</v>
      </c>
      <c r="C50" s="151">
        <v>20</v>
      </c>
      <c r="D50" s="80">
        <f>SUMIFS('март 2024'!$G$4:$G$1612,'март 2024'!$D$4:$D$1612,$B50,'март 2024'!$J$4:$J$1612,D$1)</f>
        <v>0</v>
      </c>
      <c r="E50" s="80">
        <f>SUMIFS('март 2024'!$G$4:$G$1612,'март 2024'!$D$4:$D$1612,$B50,'март 2024'!$J$4:$J$1612,E$1)</f>
        <v>0</v>
      </c>
      <c r="F50" s="80">
        <f>SUMIFS('март 2024'!$G$4:$G$1612,'март 2024'!$D$4:$D$1612,$B50,'март 2024'!$J$4:$J$1612,F$1)</f>
        <v>0</v>
      </c>
      <c r="G50" s="80">
        <f>SUMIFS('март 2024'!$G$4:$G$1612,'март 2024'!$D$4:$D$1612,$B50,'март 2024'!$J$4:$J$1612,G$1)</f>
        <v>1000</v>
      </c>
      <c r="H50" s="80">
        <f>SUMIFS('март 2024'!$G$4:$G$1612,'март 2024'!$D$4:$D$1612,$B50,'март 2024'!$J$4:$J$1612,H$1)</f>
        <v>0</v>
      </c>
      <c r="I50" s="80">
        <f>SUMIFS('март 2024'!$G$4:$G$1612,'март 2024'!$D$4:$D$1612,$B50,'март 2024'!$J$4:$J$1612,I$1)</f>
        <v>0</v>
      </c>
      <c r="J50" s="80">
        <f>SUMIFS('март 2024'!$G$4:$G$1612,'март 2024'!$D$4:$D$1612,$B50,'март 2024'!$J$4:$J$1612,J$1)</f>
        <v>0</v>
      </c>
      <c r="K50" s="80">
        <f>SUMIFS('март 2024'!$G$4:$G$1612,'март 2024'!$D$4:$D$1612,$B50,'март 2024'!$J$4:$J$1612,K$1)</f>
        <v>0</v>
      </c>
      <c r="L50" s="80">
        <f>SUMIFS('март 2024'!$G$4:$G$1612,'март 2024'!$D$4:$D$1612,$B50,'март 2024'!$J$4:$J$1612,L$1)</f>
        <v>0</v>
      </c>
      <c r="M50" s="80">
        <f>SUMIFS('март 2024'!$G$4:$G$1612,'март 2024'!$D$4:$D$1612,$B50,'март 2024'!$J$4:$J$1612,M$1)</f>
        <v>0</v>
      </c>
      <c r="N50" s="80">
        <f>SUMIFS('март 2024'!$G$4:$G$1612,'март 2024'!$D$4:$D$1612,$B50,'март 2024'!$J$4:$J$1612,N$1)</f>
        <v>1000</v>
      </c>
      <c r="O50" s="80">
        <f>SUMIFS('март 2024'!$G$4:$G$1612,'март 2024'!$D$4:$D$1612,$B50,'март 2024'!$J$4:$J$1612,O$1)</f>
        <v>0</v>
      </c>
      <c r="P50" s="80">
        <f>SUMIFS('март 2024'!$G$4:$G$1612,'март 2024'!$D$4:$D$1612,$B50,'март 2024'!$J$4:$J$1612,P$1)</f>
        <v>0</v>
      </c>
      <c r="Q50" s="80">
        <f>SUMIFS('март 2024'!$G$4:$G$1612,'март 2024'!$D$4:$D$1612,$B50,'март 2024'!$J$4:$J$1612,Q$1)</f>
        <v>0</v>
      </c>
      <c r="R50" s="80">
        <f>SUMIFS('март 2024'!$G$4:$G$1612,'март 2024'!$D$4:$D$1612,$B50,'март 2024'!$J$4:$J$1612,R$1)</f>
        <v>1000</v>
      </c>
      <c r="S50" s="80">
        <f>SUMIFS('март 2024'!$G$4:$G$1612,'март 2024'!$D$4:$D$1612,$B50,'март 2024'!$J$4:$J$1612,S$1)</f>
        <v>0</v>
      </c>
      <c r="T50" s="80">
        <f>SUMIFS('март 2024'!$G$4:$G$1612,'март 2024'!$D$4:$D$1612,$B50,'март 2024'!$J$4:$J$1612,T$1)</f>
        <v>0</v>
      </c>
      <c r="U50" s="80">
        <f>SUMIFS('март 2024'!$G$4:$G$1612,'март 2024'!$D$4:$D$1612,$B50,'март 2024'!$J$4:$J$1612,U$1)</f>
        <v>0</v>
      </c>
      <c r="V50" s="80">
        <f>SUMIFS('март 2024'!$G$4:$G$1612,'март 2024'!$D$4:$D$1612,$B50,'март 2024'!$J$4:$J$1612,V$1)</f>
        <v>0</v>
      </c>
      <c r="W50" s="80">
        <f>SUMIFS('март 2024'!$G$4:$G$1612,'март 2024'!$D$4:$D$1612,$B50,'март 2024'!$J$4:$J$1612,W$1)</f>
        <v>1000</v>
      </c>
      <c r="X50" s="80">
        <f>SUMIFS('март 2024'!$G$4:$G$1612,'март 2024'!$D$4:$D$1612,$B50,'март 2024'!$J$4:$J$1612,X$1)</f>
        <v>0</v>
      </c>
      <c r="Y50" s="80">
        <f>SUMIFS('март 2024'!$G$4:$G$1612,'март 2024'!$D$4:$D$1612,$B50,'март 2024'!$J$4:$J$1612,Y$1)</f>
        <v>0</v>
      </c>
      <c r="Z50" s="80">
        <f>SUMIFS('март 2024'!$G$4:$G$1612,'март 2024'!$D$4:$D$1612,$B50,'март 2024'!$J$4:$J$1612,Z$1)</f>
        <v>0</v>
      </c>
      <c r="AA50" s="80">
        <f>SUMIFS('март 2024'!$G$4:$G$1612,'март 2024'!$D$4:$D$1612,$B50,'март 2024'!$J$4:$J$1612,AA$1)</f>
        <v>0</v>
      </c>
      <c r="AB50" s="80">
        <f>SUMIFS('март 2024'!$G$4:$G$1612,'март 2024'!$D$4:$D$1612,$B50,'март 2024'!$J$4:$J$1612,AB$1)</f>
        <v>0</v>
      </c>
      <c r="AC50" s="80">
        <f>SUMIFS('март 2024'!$G$4:$G$1612,'март 2024'!$D$4:$D$1612,$B50,'март 2024'!$J$4:$J$1612,AC$1)</f>
        <v>0</v>
      </c>
      <c r="AD50" s="80">
        <f>SUMIFS('март 2024'!$G$4:$G$1612,'март 2024'!$D$4:$D$1612,$B50,'март 2024'!$J$4:$J$1612,AD$1)</f>
        <v>0</v>
      </c>
      <c r="AE50" s="80">
        <f>SUMIFS('март 2024'!$G$4:$G$1612,'март 2024'!$D$4:$D$1612,$B50,'март 2024'!$J$4:$J$1612,AE$1)</f>
        <v>0</v>
      </c>
      <c r="AF50" s="80">
        <f>SUMIFS('март 2024'!$G$4:$G$1612,'март 2024'!$D$4:$D$1612,$B50,'март 2024'!$J$4:$J$1612,AF$1)</f>
        <v>600</v>
      </c>
      <c r="AG50" s="80">
        <f>SUMIFS('март 2024'!$G$4:$G$1612,'март 2024'!$D$4:$D$1612,$B50,'март 2024'!$J$4:$J$1612,AG$1)</f>
        <v>0</v>
      </c>
      <c r="AH50" s="80">
        <f>SUMIFS('март 2024'!$G$4:$G$1612,'март 2024'!$D$4:$D$1612,$B50,'март 2024'!$J$4:$J$1612,AH$1)</f>
        <v>0</v>
      </c>
      <c r="AI50" s="21">
        <f t="shared" si="1"/>
        <v>4600</v>
      </c>
    </row>
    <row r="51" spans="2:35" ht="15" customHeight="1" x14ac:dyDescent="0.25">
      <c r="B51" s="146" t="s">
        <v>317</v>
      </c>
      <c r="C51" s="151">
        <v>20</v>
      </c>
      <c r="D51" s="80">
        <f>SUMIFS('март 2024'!$G$4:$G$1612,'март 2024'!$D$4:$D$1612,$B51,'март 2024'!$J$4:$J$1612,D$1)</f>
        <v>0</v>
      </c>
      <c r="E51" s="80">
        <f>SUMIFS('март 2024'!$G$4:$G$1612,'март 2024'!$D$4:$D$1612,$B51,'март 2024'!$J$4:$J$1612,E$1)</f>
        <v>0</v>
      </c>
      <c r="F51" s="80">
        <f>SUMIFS('март 2024'!$G$4:$G$1612,'март 2024'!$D$4:$D$1612,$B51,'март 2024'!$J$4:$J$1612,F$1)</f>
        <v>0</v>
      </c>
      <c r="G51" s="80">
        <f>SUMIFS('март 2024'!$G$4:$G$1612,'март 2024'!$D$4:$D$1612,$B51,'март 2024'!$J$4:$J$1612,G$1)</f>
        <v>0</v>
      </c>
      <c r="H51" s="80">
        <f>SUMIFS('март 2024'!$G$4:$G$1612,'март 2024'!$D$4:$D$1612,$B51,'март 2024'!$J$4:$J$1612,H$1)</f>
        <v>0</v>
      </c>
      <c r="I51" s="80">
        <f>SUMIFS('март 2024'!$G$4:$G$1612,'март 2024'!$D$4:$D$1612,$B51,'март 2024'!$J$4:$J$1612,I$1)</f>
        <v>0</v>
      </c>
      <c r="J51" s="80">
        <f>SUMIFS('март 2024'!$G$4:$G$1612,'март 2024'!$D$4:$D$1612,$B51,'март 2024'!$J$4:$J$1612,J$1)</f>
        <v>0</v>
      </c>
      <c r="K51" s="80">
        <f>SUMIFS('март 2024'!$G$4:$G$1612,'март 2024'!$D$4:$D$1612,$B51,'март 2024'!$J$4:$J$1612,K$1)</f>
        <v>0</v>
      </c>
      <c r="L51" s="80">
        <f>SUMIFS('март 2024'!$G$4:$G$1612,'март 2024'!$D$4:$D$1612,$B51,'март 2024'!$J$4:$J$1612,L$1)</f>
        <v>0</v>
      </c>
      <c r="M51" s="80">
        <f>SUMIFS('март 2024'!$G$4:$G$1612,'март 2024'!$D$4:$D$1612,$B51,'март 2024'!$J$4:$J$1612,M$1)</f>
        <v>0</v>
      </c>
      <c r="N51" s="80">
        <f>SUMIFS('март 2024'!$G$4:$G$1612,'март 2024'!$D$4:$D$1612,$B51,'март 2024'!$J$4:$J$1612,N$1)</f>
        <v>0</v>
      </c>
      <c r="O51" s="80">
        <f>SUMIFS('март 2024'!$G$4:$G$1612,'март 2024'!$D$4:$D$1612,$B51,'март 2024'!$J$4:$J$1612,O$1)</f>
        <v>0</v>
      </c>
      <c r="P51" s="80">
        <f>SUMIFS('март 2024'!$G$4:$G$1612,'март 2024'!$D$4:$D$1612,$B51,'март 2024'!$J$4:$J$1612,P$1)</f>
        <v>0</v>
      </c>
      <c r="Q51" s="80">
        <f>SUMIFS('март 2024'!$G$4:$G$1612,'март 2024'!$D$4:$D$1612,$B51,'март 2024'!$J$4:$J$1612,Q$1)</f>
        <v>0</v>
      </c>
      <c r="R51" s="80">
        <f>SUMIFS('март 2024'!$G$4:$G$1612,'март 2024'!$D$4:$D$1612,$B51,'март 2024'!$J$4:$J$1612,R$1)</f>
        <v>0</v>
      </c>
      <c r="S51" s="80">
        <f>SUMIFS('март 2024'!$G$4:$G$1612,'март 2024'!$D$4:$D$1612,$B51,'март 2024'!$J$4:$J$1612,S$1)</f>
        <v>0</v>
      </c>
      <c r="T51" s="80">
        <f>SUMIFS('март 2024'!$G$4:$G$1612,'март 2024'!$D$4:$D$1612,$B51,'март 2024'!$J$4:$J$1612,T$1)</f>
        <v>0</v>
      </c>
      <c r="U51" s="80">
        <f>SUMIFS('март 2024'!$G$4:$G$1612,'март 2024'!$D$4:$D$1612,$B51,'март 2024'!$J$4:$J$1612,U$1)</f>
        <v>0</v>
      </c>
      <c r="V51" s="80">
        <f>SUMIFS('март 2024'!$G$4:$G$1612,'март 2024'!$D$4:$D$1612,$B51,'март 2024'!$J$4:$J$1612,V$1)</f>
        <v>0</v>
      </c>
      <c r="W51" s="80">
        <f>SUMIFS('март 2024'!$G$4:$G$1612,'март 2024'!$D$4:$D$1612,$B51,'март 2024'!$J$4:$J$1612,W$1)</f>
        <v>0</v>
      </c>
      <c r="X51" s="80">
        <f>SUMIFS('март 2024'!$G$4:$G$1612,'март 2024'!$D$4:$D$1612,$B51,'март 2024'!$J$4:$J$1612,X$1)</f>
        <v>0</v>
      </c>
      <c r="Y51" s="80">
        <f>SUMIFS('март 2024'!$G$4:$G$1612,'март 2024'!$D$4:$D$1612,$B51,'март 2024'!$J$4:$J$1612,Y$1)</f>
        <v>0</v>
      </c>
      <c r="Z51" s="80">
        <f>SUMIFS('март 2024'!$G$4:$G$1612,'март 2024'!$D$4:$D$1612,$B51,'март 2024'!$J$4:$J$1612,Z$1)</f>
        <v>0</v>
      </c>
      <c r="AA51" s="80">
        <f>SUMIFS('март 2024'!$G$4:$G$1612,'март 2024'!$D$4:$D$1612,$B51,'март 2024'!$J$4:$J$1612,AA$1)</f>
        <v>0</v>
      </c>
      <c r="AB51" s="80">
        <f>SUMIFS('март 2024'!$G$4:$G$1612,'март 2024'!$D$4:$D$1612,$B51,'март 2024'!$J$4:$J$1612,AB$1)</f>
        <v>0</v>
      </c>
      <c r="AC51" s="80">
        <f>SUMIFS('март 2024'!$G$4:$G$1612,'март 2024'!$D$4:$D$1612,$B51,'март 2024'!$J$4:$J$1612,AC$1)</f>
        <v>0</v>
      </c>
      <c r="AD51" s="80">
        <f>SUMIFS('март 2024'!$G$4:$G$1612,'март 2024'!$D$4:$D$1612,$B51,'март 2024'!$J$4:$J$1612,AD$1)</f>
        <v>0</v>
      </c>
      <c r="AE51" s="80">
        <f>SUMIFS('март 2024'!$G$4:$G$1612,'март 2024'!$D$4:$D$1612,$B51,'март 2024'!$J$4:$J$1612,AE$1)</f>
        <v>0</v>
      </c>
      <c r="AF51" s="80">
        <f>SUMIFS('март 2024'!$G$4:$G$1612,'март 2024'!$D$4:$D$1612,$B51,'март 2024'!$J$4:$J$1612,AF$1)</f>
        <v>0</v>
      </c>
      <c r="AG51" s="80">
        <f>SUMIFS('март 2024'!$G$4:$G$1612,'март 2024'!$D$4:$D$1612,$B51,'март 2024'!$J$4:$J$1612,AG$1)</f>
        <v>0</v>
      </c>
      <c r="AH51" s="80">
        <f>SUMIFS('март 2024'!$G$4:$G$1612,'март 2024'!$D$4:$D$1612,$B51,'март 2024'!$J$4:$J$1612,AH$1)</f>
        <v>0</v>
      </c>
      <c r="AI51" s="21">
        <f t="shared" si="1"/>
        <v>0</v>
      </c>
    </row>
    <row r="52" spans="2:35" ht="15" customHeight="1" x14ac:dyDescent="0.25">
      <c r="B52" s="150" t="s">
        <v>318</v>
      </c>
      <c r="C52" s="151">
        <v>20</v>
      </c>
      <c r="D52" s="80">
        <f>SUMIFS('март 2024'!$G$4:$G$1612,'март 2024'!$D$4:$D$1612,$B52,'март 2024'!$J$4:$J$1612,D$1)</f>
        <v>0</v>
      </c>
      <c r="E52" s="80">
        <f>SUMIFS('март 2024'!$G$4:$G$1612,'март 2024'!$D$4:$D$1612,$B52,'март 2024'!$J$4:$J$1612,E$1)</f>
        <v>0</v>
      </c>
      <c r="F52" s="80">
        <f>SUMIFS('март 2024'!$G$4:$G$1612,'март 2024'!$D$4:$D$1612,$B52,'март 2024'!$J$4:$J$1612,F$1)</f>
        <v>0</v>
      </c>
      <c r="G52" s="80">
        <f>SUMIFS('март 2024'!$G$4:$G$1612,'март 2024'!$D$4:$D$1612,$B52,'март 2024'!$J$4:$J$1612,G$1)</f>
        <v>0</v>
      </c>
      <c r="H52" s="80">
        <f>SUMIFS('март 2024'!$G$4:$G$1612,'март 2024'!$D$4:$D$1612,$B52,'март 2024'!$J$4:$J$1612,H$1)</f>
        <v>0</v>
      </c>
      <c r="I52" s="80">
        <f>SUMIFS('март 2024'!$G$4:$G$1612,'март 2024'!$D$4:$D$1612,$B52,'март 2024'!$J$4:$J$1612,I$1)</f>
        <v>0</v>
      </c>
      <c r="J52" s="80">
        <f>SUMIFS('март 2024'!$G$4:$G$1612,'март 2024'!$D$4:$D$1612,$B52,'март 2024'!$J$4:$J$1612,J$1)</f>
        <v>0</v>
      </c>
      <c r="K52" s="80">
        <f>SUMIFS('март 2024'!$G$4:$G$1612,'март 2024'!$D$4:$D$1612,$B52,'март 2024'!$J$4:$J$1612,K$1)</f>
        <v>0</v>
      </c>
      <c r="L52" s="80">
        <f>SUMIFS('март 2024'!$G$4:$G$1612,'март 2024'!$D$4:$D$1612,$B52,'март 2024'!$J$4:$J$1612,L$1)</f>
        <v>0</v>
      </c>
      <c r="M52" s="80">
        <f>SUMIFS('март 2024'!$G$4:$G$1612,'март 2024'!$D$4:$D$1612,$B52,'март 2024'!$J$4:$J$1612,M$1)</f>
        <v>0</v>
      </c>
      <c r="N52" s="80">
        <f>SUMIFS('март 2024'!$G$4:$G$1612,'март 2024'!$D$4:$D$1612,$B52,'март 2024'!$J$4:$J$1612,N$1)</f>
        <v>0</v>
      </c>
      <c r="O52" s="80">
        <f>SUMIFS('март 2024'!$G$4:$G$1612,'март 2024'!$D$4:$D$1612,$B52,'март 2024'!$J$4:$J$1612,O$1)</f>
        <v>0</v>
      </c>
      <c r="P52" s="80">
        <f>SUMIFS('март 2024'!$G$4:$G$1612,'март 2024'!$D$4:$D$1612,$B52,'март 2024'!$J$4:$J$1612,P$1)</f>
        <v>0</v>
      </c>
      <c r="Q52" s="80">
        <f>SUMIFS('март 2024'!$G$4:$G$1612,'март 2024'!$D$4:$D$1612,$B52,'март 2024'!$J$4:$J$1612,Q$1)</f>
        <v>0</v>
      </c>
      <c r="R52" s="80">
        <f>SUMIFS('март 2024'!$G$4:$G$1612,'март 2024'!$D$4:$D$1612,$B52,'март 2024'!$J$4:$J$1612,R$1)</f>
        <v>0</v>
      </c>
      <c r="S52" s="80">
        <f>SUMIFS('март 2024'!$G$4:$G$1612,'март 2024'!$D$4:$D$1612,$B52,'март 2024'!$J$4:$J$1612,S$1)</f>
        <v>0</v>
      </c>
      <c r="T52" s="80">
        <f>SUMIFS('март 2024'!$G$4:$G$1612,'март 2024'!$D$4:$D$1612,$B52,'март 2024'!$J$4:$J$1612,T$1)</f>
        <v>0</v>
      </c>
      <c r="U52" s="80">
        <f>SUMIFS('март 2024'!$G$4:$G$1612,'март 2024'!$D$4:$D$1612,$B52,'март 2024'!$J$4:$J$1612,U$1)</f>
        <v>0</v>
      </c>
      <c r="V52" s="80">
        <f>SUMIFS('март 2024'!$G$4:$G$1612,'март 2024'!$D$4:$D$1612,$B52,'март 2024'!$J$4:$J$1612,V$1)</f>
        <v>0</v>
      </c>
      <c r="W52" s="80">
        <f>SUMIFS('март 2024'!$G$4:$G$1612,'март 2024'!$D$4:$D$1612,$B52,'март 2024'!$J$4:$J$1612,W$1)</f>
        <v>0</v>
      </c>
      <c r="X52" s="80">
        <f>SUMIFS('март 2024'!$G$4:$G$1612,'март 2024'!$D$4:$D$1612,$B52,'март 2024'!$J$4:$J$1612,X$1)</f>
        <v>0</v>
      </c>
      <c r="Y52" s="80">
        <f>SUMIFS('март 2024'!$G$4:$G$1612,'март 2024'!$D$4:$D$1612,$B52,'март 2024'!$J$4:$J$1612,Y$1)</f>
        <v>0</v>
      </c>
      <c r="Z52" s="80">
        <f>SUMIFS('март 2024'!$G$4:$G$1612,'март 2024'!$D$4:$D$1612,$B52,'март 2024'!$J$4:$J$1612,Z$1)</f>
        <v>0</v>
      </c>
      <c r="AA52" s="80">
        <f>SUMIFS('март 2024'!$G$4:$G$1612,'март 2024'!$D$4:$D$1612,$B52,'март 2024'!$J$4:$J$1612,AA$1)</f>
        <v>0</v>
      </c>
      <c r="AB52" s="80">
        <f>SUMIFS('март 2024'!$G$4:$G$1612,'март 2024'!$D$4:$D$1612,$B52,'март 2024'!$J$4:$J$1612,AB$1)</f>
        <v>0</v>
      </c>
      <c r="AC52" s="80">
        <f>SUMIFS('март 2024'!$G$4:$G$1612,'март 2024'!$D$4:$D$1612,$B52,'март 2024'!$J$4:$J$1612,AC$1)</f>
        <v>0</v>
      </c>
      <c r="AD52" s="80">
        <f>SUMIFS('март 2024'!$G$4:$G$1612,'март 2024'!$D$4:$D$1612,$B52,'март 2024'!$J$4:$J$1612,AD$1)</f>
        <v>0</v>
      </c>
      <c r="AE52" s="80">
        <f>SUMIFS('март 2024'!$G$4:$G$1612,'март 2024'!$D$4:$D$1612,$B52,'март 2024'!$J$4:$J$1612,AE$1)</f>
        <v>0</v>
      </c>
      <c r="AF52" s="80">
        <f>SUMIFS('март 2024'!$G$4:$G$1612,'март 2024'!$D$4:$D$1612,$B52,'март 2024'!$J$4:$J$1612,AF$1)</f>
        <v>0</v>
      </c>
      <c r="AG52" s="80">
        <f>SUMIFS('март 2024'!$G$4:$G$1612,'март 2024'!$D$4:$D$1612,$B52,'март 2024'!$J$4:$J$1612,AG$1)</f>
        <v>0</v>
      </c>
      <c r="AH52" s="80">
        <f>SUMIFS('март 2024'!$G$4:$G$1612,'март 2024'!$D$4:$D$1612,$B52,'март 2024'!$J$4:$J$1612,AH$1)</f>
        <v>0</v>
      </c>
      <c r="AI52" s="21">
        <f t="shared" si="1"/>
        <v>0</v>
      </c>
    </row>
    <row r="53" spans="2:35" ht="15" customHeight="1" x14ac:dyDescent="0.25">
      <c r="B53" s="150" t="s">
        <v>319</v>
      </c>
      <c r="C53" s="151">
        <v>20</v>
      </c>
      <c r="D53" s="80">
        <f>SUMIFS('март 2024'!$G$4:$G$1612,'март 2024'!$D$4:$D$1612,$B53,'март 2024'!$J$4:$J$1612,D$1)</f>
        <v>0</v>
      </c>
      <c r="E53" s="80">
        <f>SUMIFS('март 2024'!$G$4:$G$1612,'март 2024'!$D$4:$D$1612,$B53,'март 2024'!$J$4:$J$1612,E$1)</f>
        <v>0</v>
      </c>
      <c r="F53" s="80">
        <f>SUMIFS('март 2024'!$G$4:$G$1612,'март 2024'!$D$4:$D$1612,$B53,'март 2024'!$J$4:$J$1612,F$1)</f>
        <v>0</v>
      </c>
      <c r="G53" s="80">
        <f>SUMIFS('март 2024'!$G$4:$G$1612,'март 2024'!$D$4:$D$1612,$B53,'март 2024'!$J$4:$J$1612,G$1)</f>
        <v>0</v>
      </c>
      <c r="H53" s="80">
        <f>SUMIFS('март 2024'!$G$4:$G$1612,'март 2024'!$D$4:$D$1612,$B53,'март 2024'!$J$4:$J$1612,H$1)</f>
        <v>0</v>
      </c>
      <c r="I53" s="80">
        <f>SUMIFS('март 2024'!$G$4:$G$1612,'март 2024'!$D$4:$D$1612,$B53,'март 2024'!$J$4:$J$1612,I$1)</f>
        <v>0</v>
      </c>
      <c r="J53" s="80">
        <f>SUMIFS('март 2024'!$G$4:$G$1612,'март 2024'!$D$4:$D$1612,$B53,'март 2024'!$J$4:$J$1612,J$1)</f>
        <v>0</v>
      </c>
      <c r="K53" s="80">
        <f>SUMIFS('март 2024'!$G$4:$G$1612,'март 2024'!$D$4:$D$1612,$B53,'март 2024'!$J$4:$J$1612,K$1)</f>
        <v>0</v>
      </c>
      <c r="L53" s="80">
        <f>SUMIFS('март 2024'!$G$4:$G$1612,'март 2024'!$D$4:$D$1612,$B53,'март 2024'!$J$4:$J$1612,L$1)</f>
        <v>0</v>
      </c>
      <c r="M53" s="80">
        <f>SUMIFS('март 2024'!$G$4:$G$1612,'март 2024'!$D$4:$D$1612,$B53,'март 2024'!$J$4:$J$1612,M$1)</f>
        <v>0</v>
      </c>
      <c r="N53" s="80">
        <f>SUMIFS('март 2024'!$G$4:$G$1612,'март 2024'!$D$4:$D$1612,$B53,'март 2024'!$J$4:$J$1612,N$1)</f>
        <v>0</v>
      </c>
      <c r="O53" s="80">
        <f>SUMIFS('март 2024'!$G$4:$G$1612,'март 2024'!$D$4:$D$1612,$B53,'март 2024'!$J$4:$J$1612,O$1)</f>
        <v>0</v>
      </c>
      <c r="P53" s="80">
        <f>SUMIFS('март 2024'!$G$4:$G$1612,'март 2024'!$D$4:$D$1612,$B53,'март 2024'!$J$4:$J$1612,P$1)</f>
        <v>0</v>
      </c>
      <c r="Q53" s="80">
        <f>SUMIFS('март 2024'!$G$4:$G$1612,'март 2024'!$D$4:$D$1612,$B53,'март 2024'!$J$4:$J$1612,Q$1)</f>
        <v>0</v>
      </c>
      <c r="R53" s="80">
        <f>SUMIFS('март 2024'!$G$4:$G$1612,'март 2024'!$D$4:$D$1612,$B53,'март 2024'!$J$4:$J$1612,R$1)</f>
        <v>0</v>
      </c>
      <c r="S53" s="80">
        <f>SUMIFS('март 2024'!$G$4:$G$1612,'март 2024'!$D$4:$D$1612,$B53,'март 2024'!$J$4:$J$1612,S$1)</f>
        <v>0</v>
      </c>
      <c r="T53" s="80">
        <f>SUMIFS('март 2024'!$G$4:$G$1612,'март 2024'!$D$4:$D$1612,$B53,'март 2024'!$J$4:$J$1612,T$1)</f>
        <v>0</v>
      </c>
      <c r="U53" s="80">
        <f>SUMIFS('март 2024'!$G$4:$G$1612,'март 2024'!$D$4:$D$1612,$B53,'март 2024'!$J$4:$J$1612,U$1)</f>
        <v>0</v>
      </c>
      <c r="V53" s="80">
        <f>SUMIFS('март 2024'!$G$4:$G$1612,'март 2024'!$D$4:$D$1612,$B53,'март 2024'!$J$4:$J$1612,V$1)</f>
        <v>0</v>
      </c>
      <c r="W53" s="80">
        <f>SUMIFS('март 2024'!$G$4:$G$1612,'март 2024'!$D$4:$D$1612,$B53,'март 2024'!$J$4:$J$1612,W$1)</f>
        <v>0</v>
      </c>
      <c r="X53" s="80">
        <f>SUMIFS('март 2024'!$G$4:$G$1612,'март 2024'!$D$4:$D$1612,$B53,'март 2024'!$J$4:$J$1612,X$1)</f>
        <v>0</v>
      </c>
      <c r="Y53" s="80">
        <f>SUMIFS('март 2024'!$G$4:$G$1612,'март 2024'!$D$4:$D$1612,$B53,'март 2024'!$J$4:$J$1612,Y$1)</f>
        <v>0</v>
      </c>
      <c r="Z53" s="80">
        <f>SUMIFS('март 2024'!$G$4:$G$1612,'март 2024'!$D$4:$D$1612,$B53,'март 2024'!$J$4:$J$1612,Z$1)</f>
        <v>0</v>
      </c>
      <c r="AA53" s="80">
        <f>SUMIFS('март 2024'!$G$4:$G$1612,'март 2024'!$D$4:$D$1612,$B53,'март 2024'!$J$4:$J$1612,AA$1)</f>
        <v>0</v>
      </c>
      <c r="AB53" s="80">
        <f>SUMIFS('март 2024'!$G$4:$G$1612,'март 2024'!$D$4:$D$1612,$B53,'март 2024'!$J$4:$J$1612,AB$1)</f>
        <v>0</v>
      </c>
      <c r="AC53" s="80">
        <f>SUMIFS('март 2024'!$G$4:$G$1612,'март 2024'!$D$4:$D$1612,$B53,'март 2024'!$J$4:$J$1612,AC$1)</f>
        <v>0</v>
      </c>
      <c r="AD53" s="80">
        <f>SUMIFS('март 2024'!$G$4:$G$1612,'март 2024'!$D$4:$D$1612,$B53,'март 2024'!$J$4:$J$1612,AD$1)</f>
        <v>0</v>
      </c>
      <c r="AE53" s="80">
        <f>SUMIFS('март 2024'!$G$4:$G$1612,'март 2024'!$D$4:$D$1612,$B53,'март 2024'!$J$4:$J$1612,AE$1)</f>
        <v>0</v>
      </c>
      <c r="AF53" s="80">
        <f>SUMIFS('март 2024'!$G$4:$G$1612,'март 2024'!$D$4:$D$1612,$B53,'март 2024'!$J$4:$J$1612,AF$1)</f>
        <v>0</v>
      </c>
      <c r="AG53" s="80">
        <f>SUMIFS('март 2024'!$G$4:$G$1612,'март 2024'!$D$4:$D$1612,$B53,'март 2024'!$J$4:$J$1612,AG$1)</f>
        <v>0</v>
      </c>
      <c r="AH53" s="80">
        <f>SUMIFS('март 2024'!$G$4:$G$1612,'март 2024'!$D$4:$D$1612,$B53,'март 2024'!$J$4:$J$1612,AH$1)</f>
        <v>0</v>
      </c>
      <c r="AI53" s="21">
        <f t="shared" si="1"/>
        <v>0</v>
      </c>
    </row>
    <row r="54" spans="2:35" ht="15" customHeight="1" x14ac:dyDescent="0.25">
      <c r="B54" s="150"/>
      <c r="C54" s="151"/>
      <c r="D54" s="80">
        <f>SUMIFS('март 2024'!$G$4:$G$1612,'март 2024'!$D$4:$D$1612,$B54,'март 2024'!$J$4:$J$1612,D$1)</f>
        <v>0</v>
      </c>
      <c r="E54" s="80">
        <f>SUMIFS('март 2024'!$G$4:$G$1612,'март 2024'!$D$4:$D$1612,$B54,'март 2024'!$J$4:$J$1612,E$1)</f>
        <v>0</v>
      </c>
      <c r="F54" s="80">
        <f>SUMIFS('март 2024'!$G$4:$G$1612,'март 2024'!$D$4:$D$1612,$B54,'март 2024'!$J$4:$J$1612,F$1)</f>
        <v>0</v>
      </c>
      <c r="G54" s="80">
        <f>SUMIFS('март 2024'!$G$4:$G$1612,'март 2024'!$D$4:$D$1612,$B54,'март 2024'!$J$4:$J$1612,G$1)</f>
        <v>0</v>
      </c>
      <c r="H54" s="80">
        <f>SUMIFS('март 2024'!$G$4:$G$1612,'март 2024'!$D$4:$D$1612,$B54,'март 2024'!$J$4:$J$1612,H$1)</f>
        <v>0</v>
      </c>
      <c r="I54" s="80">
        <f>SUMIFS('март 2024'!$G$4:$G$1612,'март 2024'!$D$4:$D$1612,$B54,'март 2024'!$J$4:$J$1612,I$1)</f>
        <v>0</v>
      </c>
      <c r="J54" s="80">
        <f>SUMIFS('март 2024'!$G$4:$G$1612,'март 2024'!$D$4:$D$1612,$B54,'март 2024'!$J$4:$J$1612,J$1)</f>
        <v>0</v>
      </c>
      <c r="K54" s="80">
        <f>SUMIFS('март 2024'!$G$4:$G$1612,'март 2024'!$D$4:$D$1612,$B54,'март 2024'!$J$4:$J$1612,K$1)</f>
        <v>0</v>
      </c>
      <c r="L54" s="80">
        <f>SUMIFS('март 2024'!$G$4:$G$1612,'март 2024'!$D$4:$D$1612,$B54,'март 2024'!$J$4:$J$1612,L$1)</f>
        <v>0</v>
      </c>
      <c r="M54" s="80">
        <f>SUMIFS('март 2024'!$G$4:$G$1612,'март 2024'!$D$4:$D$1612,$B54,'март 2024'!$J$4:$J$1612,M$1)</f>
        <v>0</v>
      </c>
      <c r="N54" s="80">
        <f>SUMIFS('март 2024'!$G$4:$G$1612,'март 2024'!$D$4:$D$1612,$B54,'март 2024'!$J$4:$J$1612,N$1)</f>
        <v>0</v>
      </c>
      <c r="O54" s="80">
        <f>SUMIFS('март 2024'!$G$4:$G$1612,'март 2024'!$D$4:$D$1612,$B54,'март 2024'!$J$4:$J$1612,O$1)</f>
        <v>0</v>
      </c>
      <c r="P54" s="80">
        <f>SUMIFS('март 2024'!$G$4:$G$1612,'март 2024'!$D$4:$D$1612,$B54,'март 2024'!$J$4:$J$1612,P$1)</f>
        <v>0</v>
      </c>
      <c r="Q54" s="80">
        <f>SUMIFS('март 2024'!$G$4:$G$1612,'март 2024'!$D$4:$D$1612,$B54,'март 2024'!$J$4:$J$1612,Q$1)</f>
        <v>0</v>
      </c>
      <c r="R54" s="80">
        <f>SUMIFS('март 2024'!$G$4:$G$1612,'март 2024'!$D$4:$D$1612,$B54,'март 2024'!$J$4:$J$1612,R$1)</f>
        <v>0</v>
      </c>
      <c r="S54" s="80">
        <f>SUMIFS('март 2024'!$G$4:$G$1612,'март 2024'!$D$4:$D$1612,$B54,'март 2024'!$J$4:$J$1612,S$1)</f>
        <v>0</v>
      </c>
      <c r="T54" s="80">
        <f>SUMIFS('март 2024'!$G$4:$G$1612,'март 2024'!$D$4:$D$1612,$B54,'март 2024'!$J$4:$J$1612,T$1)</f>
        <v>0</v>
      </c>
      <c r="U54" s="80">
        <f>SUMIFS('март 2024'!$G$4:$G$1612,'март 2024'!$D$4:$D$1612,$B54,'март 2024'!$J$4:$J$1612,U$1)</f>
        <v>0</v>
      </c>
      <c r="V54" s="80">
        <f>SUMIFS('март 2024'!$G$4:$G$1612,'март 2024'!$D$4:$D$1612,$B54,'март 2024'!$J$4:$J$1612,V$1)</f>
        <v>0</v>
      </c>
      <c r="W54" s="80">
        <f>SUMIFS('март 2024'!$G$4:$G$1612,'март 2024'!$D$4:$D$1612,$B54,'март 2024'!$J$4:$J$1612,W$1)</f>
        <v>0</v>
      </c>
      <c r="X54" s="80">
        <f>SUMIFS('март 2024'!$G$4:$G$1612,'март 2024'!$D$4:$D$1612,$B54,'март 2024'!$J$4:$J$1612,X$1)</f>
        <v>0</v>
      </c>
      <c r="Y54" s="80">
        <f>SUMIFS('март 2024'!$G$4:$G$1612,'март 2024'!$D$4:$D$1612,$B54,'март 2024'!$J$4:$J$1612,Y$1)</f>
        <v>0</v>
      </c>
      <c r="Z54" s="80">
        <f>SUMIFS('март 2024'!$G$4:$G$1612,'март 2024'!$D$4:$D$1612,$B54,'март 2024'!$J$4:$J$1612,Z$1)</f>
        <v>0</v>
      </c>
      <c r="AA54" s="80">
        <f>SUMIFS('март 2024'!$G$4:$G$1612,'март 2024'!$D$4:$D$1612,$B54,'март 2024'!$J$4:$J$1612,AA$1)</f>
        <v>0</v>
      </c>
      <c r="AB54" s="80">
        <f>SUMIFS('март 2024'!$G$4:$G$1612,'март 2024'!$D$4:$D$1612,$B54,'март 2024'!$J$4:$J$1612,AB$1)</f>
        <v>0</v>
      </c>
      <c r="AC54" s="80">
        <f>SUMIFS('март 2024'!$G$4:$G$1612,'март 2024'!$D$4:$D$1612,$B54,'март 2024'!$J$4:$J$1612,AC$1)</f>
        <v>0</v>
      </c>
      <c r="AD54" s="80">
        <f>SUMIFS('март 2024'!$G$4:$G$1612,'март 2024'!$D$4:$D$1612,$B54,'март 2024'!$J$4:$J$1612,AD$1)</f>
        <v>0</v>
      </c>
      <c r="AE54" s="80">
        <f>SUMIFS('март 2024'!$G$4:$G$1612,'март 2024'!$D$4:$D$1612,$B54,'март 2024'!$J$4:$J$1612,AE$1)</f>
        <v>0</v>
      </c>
      <c r="AF54" s="80">
        <f>SUMIFS('март 2024'!$G$4:$G$1612,'март 2024'!$D$4:$D$1612,$B54,'март 2024'!$J$4:$J$1612,AF$1)</f>
        <v>0</v>
      </c>
      <c r="AG54" s="80">
        <f>SUMIFS('март 2024'!$G$4:$G$1612,'март 2024'!$D$4:$D$1612,$B54,'март 2024'!$J$4:$J$1612,AG$1)</f>
        <v>0</v>
      </c>
      <c r="AH54" s="80">
        <f>SUMIFS('март 2024'!$G$4:$G$1612,'март 2024'!$D$4:$D$1612,$B54,'март 2024'!$J$4:$J$1612,AH$1)</f>
        <v>0</v>
      </c>
      <c r="AI54" s="21">
        <f t="shared" si="1"/>
        <v>0</v>
      </c>
    </row>
    <row r="55" spans="2:35" ht="15" customHeight="1" x14ac:dyDescent="0.25">
      <c r="B55" s="150"/>
      <c r="C55" s="151"/>
      <c r="D55" s="80">
        <f>SUMIFS('март 2024'!$G$4:$G$1612,'март 2024'!$D$4:$D$1612,$B55,'март 2024'!$J$4:$J$1612,D$1)</f>
        <v>0</v>
      </c>
      <c r="E55" s="80">
        <f>SUMIFS('март 2024'!$G$4:$G$1612,'март 2024'!$D$4:$D$1612,$B55,'март 2024'!$J$4:$J$1612,E$1)</f>
        <v>0</v>
      </c>
      <c r="F55" s="80">
        <f>SUMIFS('март 2024'!$G$4:$G$1612,'март 2024'!$D$4:$D$1612,$B55,'март 2024'!$J$4:$J$1612,F$1)</f>
        <v>0</v>
      </c>
      <c r="G55" s="80">
        <f>SUMIFS('март 2024'!$G$4:$G$1612,'март 2024'!$D$4:$D$1612,$B55,'март 2024'!$J$4:$J$1612,G$1)</f>
        <v>0</v>
      </c>
      <c r="H55" s="80">
        <f>SUMIFS('март 2024'!$G$4:$G$1612,'март 2024'!$D$4:$D$1612,$B55,'март 2024'!$J$4:$J$1612,H$1)</f>
        <v>0</v>
      </c>
      <c r="I55" s="80">
        <f>SUMIFS('март 2024'!$G$4:$G$1612,'март 2024'!$D$4:$D$1612,$B55,'март 2024'!$J$4:$J$1612,I$1)</f>
        <v>0</v>
      </c>
      <c r="J55" s="80">
        <f>SUMIFS('март 2024'!$G$4:$G$1612,'март 2024'!$D$4:$D$1612,$B55,'март 2024'!$J$4:$J$1612,J$1)</f>
        <v>0</v>
      </c>
      <c r="K55" s="80">
        <f>SUMIFS('март 2024'!$G$4:$G$1612,'март 2024'!$D$4:$D$1612,$B55,'март 2024'!$J$4:$J$1612,K$1)</f>
        <v>0</v>
      </c>
      <c r="L55" s="80">
        <f>SUMIFS('март 2024'!$G$4:$G$1612,'март 2024'!$D$4:$D$1612,$B55,'март 2024'!$J$4:$J$1612,L$1)</f>
        <v>0</v>
      </c>
      <c r="M55" s="80">
        <f>SUMIFS('март 2024'!$G$4:$G$1612,'март 2024'!$D$4:$D$1612,$B55,'март 2024'!$J$4:$J$1612,M$1)</f>
        <v>0</v>
      </c>
      <c r="N55" s="80">
        <f>SUMIFS('март 2024'!$G$4:$G$1612,'март 2024'!$D$4:$D$1612,$B55,'март 2024'!$J$4:$J$1612,N$1)</f>
        <v>0</v>
      </c>
      <c r="O55" s="80">
        <f>SUMIFS('март 2024'!$G$4:$G$1612,'март 2024'!$D$4:$D$1612,$B55,'март 2024'!$J$4:$J$1612,O$1)</f>
        <v>0</v>
      </c>
      <c r="P55" s="80">
        <f>SUMIFS('март 2024'!$G$4:$G$1612,'март 2024'!$D$4:$D$1612,$B55,'март 2024'!$J$4:$J$1612,P$1)</f>
        <v>0</v>
      </c>
      <c r="Q55" s="80">
        <f>SUMIFS('март 2024'!$G$4:$G$1612,'март 2024'!$D$4:$D$1612,$B55,'март 2024'!$J$4:$J$1612,Q$1)</f>
        <v>0</v>
      </c>
      <c r="R55" s="80">
        <f>SUMIFS('март 2024'!$G$4:$G$1612,'март 2024'!$D$4:$D$1612,$B55,'март 2024'!$J$4:$J$1612,R$1)</f>
        <v>0</v>
      </c>
      <c r="S55" s="80">
        <f>SUMIFS('март 2024'!$G$4:$G$1612,'март 2024'!$D$4:$D$1612,$B55,'март 2024'!$J$4:$J$1612,S$1)</f>
        <v>0</v>
      </c>
      <c r="T55" s="80">
        <f>SUMIFS('март 2024'!$G$4:$G$1612,'март 2024'!$D$4:$D$1612,$B55,'март 2024'!$J$4:$J$1612,T$1)</f>
        <v>0</v>
      </c>
      <c r="U55" s="80">
        <f>SUMIFS('март 2024'!$G$4:$G$1612,'март 2024'!$D$4:$D$1612,$B55,'март 2024'!$J$4:$J$1612,U$1)</f>
        <v>0</v>
      </c>
      <c r="V55" s="80">
        <f>SUMIFS('март 2024'!$G$4:$G$1612,'март 2024'!$D$4:$D$1612,$B55,'март 2024'!$J$4:$J$1612,V$1)</f>
        <v>0</v>
      </c>
      <c r="W55" s="80">
        <f>SUMIFS('март 2024'!$G$4:$G$1612,'март 2024'!$D$4:$D$1612,$B55,'март 2024'!$J$4:$J$1612,W$1)</f>
        <v>0</v>
      </c>
      <c r="X55" s="80">
        <f>SUMIFS('март 2024'!$G$4:$G$1612,'март 2024'!$D$4:$D$1612,$B55,'март 2024'!$J$4:$J$1612,X$1)</f>
        <v>0</v>
      </c>
      <c r="Y55" s="80">
        <f>SUMIFS('март 2024'!$G$4:$G$1612,'март 2024'!$D$4:$D$1612,$B55,'март 2024'!$J$4:$J$1612,Y$1)</f>
        <v>0</v>
      </c>
      <c r="Z55" s="80">
        <f>SUMIFS('март 2024'!$G$4:$G$1612,'март 2024'!$D$4:$D$1612,$B55,'март 2024'!$J$4:$J$1612,Z$1)</f>
        <v>0</v>
      </c>
      <c r="AA55" s="80">
        <f>SUMIFS('март 2024'!$G$4:$G$1612,'март 2024'!$D$4:$D$1612,$B55,'март 2024'!$J$4:$J$1612,AA$1)</f>
        <v>0</v>
      </c>
      <c r="AB55" s="80">
        <f>SUMIFS('март 2024'!$G$4:$G$1612,'март 2024'!$D$4:$D$1612,$B55,'март 2024'!$J$4:$J$1612,AB$1)</f>
        <v>0</v>
      </c>
      <c r="AC55" s="80">
        <f>SUMIFS('март 2024'!$G$4:$G$1612,'март 2024'!$D$4:$D$1612,$B55,'март 2024'!$J$4:$J$1612,AC$1)</f>
        <v>0</v>
      </c>
      <c r="AD55" s="80">
        <f>SUMIFS('март 2024'!$G$4:$G$1612,'март 2024'!$D$4:$D$1612,$B55,'март 2024'!$J$4:$J$1612,AD$1)</f>
        <v>0</v>
      </c>
      <c r="AE55" s="80">
        <f>SUMIFS('март 2024'!$G$4:$G$1612,'март 2024'!$D$4:$D$1612,$B55,'март 2024'!$J$4:$J$1612,AE$1)</f>
        <v>0</v>
      </c>
      <c r="AF55" s="80">
        <f>SUMIFS('март 2024'!$G$4:$G$1612,'март 2024'!$D$4:$D$1612,$B55,'март 2024'!$J$4:$J$1612,AF$1)</f>
        <v>0</v>
      </c>
      <c r="AG55" s="80">
        <f>SUMIFS('март 2024'!$G$4:$G$1612,'март 2024'!$D$4:$D$1612,$B55,'март 2024'!$J$4:$J$1612,AG$1)</f>
        <v>0</v>
      </c>
      <c r="AH55" s="80">
        <f>SUMIFS('март 2024'!$G$4:$G$1612,'март 2024'!$D$4:$D$1612,$B55,'март 2024'!$J$4:$J$1612,AH$1)</f>
        <v>0</v>
      </c>
      <c r="AI55" s="21">
        <f t="shared" si="1"/>
        <v>0</v>
      </c>
    </row>
    <row r="56" spans="2:35" ht="15" customHeight="1" x14ac:dyDescent="0.25">
      <c r="B56" s="155"/>
      <c r="C56" s="151"/>
      <c r="D56" s="80">
        <f>SUMIFS('март 2024'!$G$4:$G$1612,'март 2024'!$D$4:$D$1612,$B56,'март 2024'!$J$4:$J$1612,D$1)</f>
        <v>0</v>
      </c>
      <c r="E56" s="80">
        <f>SUMIFS('март 2024'!$G$4:$G$1612,'март 2024'!$D$4:$D$1612,$B56,'март 2024'!$J$4:$J$1612,E$1)</f>
        <v>0</v>
      </c>
      <c r="F56" s="80">
        <f>SUMIFS('март 2024'!$G$4:$G$1612,'март 2024'!$D$4:$D$1612,$B56,'март 2024'!$J$4:$J$1612,F$1)</f>
        <v>0</v>
      </c>
      <c r="G56" s="80">
        <f>SUMIFS('март 2024'!$G$4:$G$1612,'март 2024'!$D$4:$D$1612,$B56,'март 2024'!$J$4:$J$1612,G$1)</f>
        <v>0</v>
      </c>
      <c r="H56" s="80">
        <f>SUMIFS('март 2024'!$G$4:$G$1612,'март 2024'!$D$4:$D$1612,$B56,'март 2024'!$J$4:$J$1612,H$1)</f>
        <v>0</v>
      </c>
      <c r="I56" s="80">
        <f>SUMIFS('март 2024'!$G$4:$G$1612,'март 2024'!$D$4:$D$1612,$B56,'март 2024'!$J$4:$J$1612,I$1)</f>
        <v>0</v>
      </c>
      <c r="J56" s="80">
        <f>SUMIFS('март 2024'!$G$4:$G$1612,'март 2024'!$D$4:$D$1612,$B56,'март 2024'!$J$4:$J$1612,J$1)</f>
        <v>0</v>
      </c>
      <c r="K56" s="80">
        <f>SUMIFS('март 2024'!$G$4:$G$1612,'март 2024'!$D$4:$D$1612,$B56,'март 2024'!$J$4:$J$1612,K$1)</f>
        <v>0</v>
      </c>
      <c r="L56" s="80">
        <f>SUMIFS('март 2024'!$G$4:$G$1612,'март 2024'!$D$4:$D$1612,$B56,'март 2024'!$J$4:$J$1612,L$1)</f>
        <v>0</v>
      </c>
      <c r="M56" s="80">
        <f>SUMIFS('март 2024'!$G$4:$G$1612,'март 2024'!$D$4:$D$1612,$B56,'март 2024'!$J$4:$J$1612,M$1)</f>
        <v>0</v>
      </c>
      <c r="N56" s="80">
        <f>SUMIFS('март 2024'!$G$4:$G$1612,'март 2024'!$D$4:$D$1612,$B56,'март 2024'!$J$4:$J$1612,N$1)</f>
        <v>0</v>
      </c>
      <c r="O56" s="80">
        <f>SUMIFS('март 2024'!$G$4:$G$1612,'март 2024'!$D$4:$D$1612,$B56,'март 2024'!$J$4:$J$1612,O$1)</f>
        <v>0</v>
      </c>
      <c r="P56" s="80">
        <f>SUMIFS('март 2024'!$G$4:$G$1612,'март 2024'!$D$4:$D$1612,$B56,'март 2024'!$J$4:$J$1612,P$1)</f>
        <v>0</v>
      </c>
      <c r="Q56" s="80">
        <f>SUMIFS('март 2024'!$G$4:$G$1612,'март 2024'!$D$4:$D$1612,$B56,'март 2024'!$J$4:$J$1612,Q$1)</f>
        <v>0</v>
      </c>
      <c r="R56" s="80">
        <f>SUMIFS('март 2024'!$G$4:$G$1612,'март 2024'!$D$4:$D$1612,$B56,'март 2024'!$J$4:$J$1612,R$1)</f>
        <v>0</v>
      </c>
      <c r="S56" s="80">
        <f>SUMIFS('март 2024'!$G$4:$G$1612,'март 2024'!$D$4:$D$1612,$B56,'март 2024'!$J$4:$J$1612,S$1)</f>
        <v>0</v>
      </c>
      <c r="T56" s="80">
        <f>SUMIFS('март 2024'!$G$4:$G$1612,'март 2024'!$D$4:$D$1612,$B56,'март 2024'!$J$4:$J$1612,T$1)</f>
        <v>0</v>
      </c>
      <c r="U56" s="80">
        <f>SUMIFS('март 2024'!$G$4:$G$1612,'март 2024'!$D$4:$D$1612,$B56,'март 2024'!$J$4:$J$1612,U$1)</f>
        <v>0</v>
      </c>
      <c r="V56" s="80">
        <f>SUMIFS('март 2024'!$G$4:$G$1612,'март 2024'!$D$4:$D$1612,$B56,'март 2024'!$J$4:$J$1612,V$1)</f>
        <v>0</v>
      </c>
      <c r="W56" s="80">
        <f>SUMIFS('март 2024'!$G$4:$G$1612,'март 2024'!$D$4:$D$1612,$B56,'март 2024'!$J$4:$J$1612,W$1)</f>
        <v>0</v>
      </c>
      <c r="X56" s="80">
        <f>SUMIFS('март 2024'!$G$4:$G$1612,'март 2024'!$D$4:$D$1612,$B56,'март 2024'!$J$4:$J$1612,X$1)</f>
        <v>0</v>
      </c>
      <c r="Y56" s="80">
        <f>SUMIFS('март 2024'!$G$4:$G$1612,'март 2024'!$D$4:$D$1612,$B56,'март 2024'!$J$4:$J$1612,Y$1)</f>
        <v>0</v>
      </c>
      <c r="Z56" s="80">
        <f>SUMIFS('март 2024'!$G$4:$G$1612,'март 2024'!$D$4:$D$1612,$B56,'март 2024'!$J$4:$J$1612,Z$1)</f>
        <v>0</v>
      </c>
      <c r="AA56" s="80">
        <f>SUMIFS('март 2024'!$G$4:$G$1612,'март 2024'!$D$4:$D$1612,$B56,'март 2024'!$J$4:$J$1612,AA$1)</f>
        <v>0</v>
      </c>
      <c r="AB56" s="80">
        <f>SUMIFS('март 2024'!$G$4:$G$1612,'март 2024'!$D$4:$D$1612,$B56,'март 2024'!$J$4:$J$1612,AB$1)</f>
        <v>0</v>
      </c>
      <c r="AC56" s="80">
        <f>SUMIFS('март 2024'!$G$4:$G$1612,'март 2024'!$D$4:$D$1612,$B56,'март 2024'!$J$4:$J$1612,AC$1)</f>
        <v>0</v>
      </c>
      <c r="AD56" s="80">
        <f>SUMIFS('март 2024'!$G$4:$G$1612,'март 2024'!$D$4:$D$1612,$B56,'март 2024'!$J$4:$J$1612,AD$1)</f>
        <v>0</v>
      </c>
      <c r="AE56" s="80">
        <f>SUMIFS('март 2024'!$G$4:$G$1612,'март 2024'!$D$4:$D$1612,$B56,'март 2024'!$J$4:$J$1612,AE$1)</f>
        <v>0</v>
      </c>
      <c r="AF56" s="80">
        <f>SUMIFS('март 2024'!$G$4:$G$1612,'март 2024'!$D$4:$D$1612,$B56,'март 2024'!$J$4:$J$1612,AF$1)</f>
        <v>0</v>
      </c>
      <c r="AG56" s="80">
        <f>SUMIFS('март 2024'!$G$4:$G$1612,'март 2024'!$D$4:$D$1612,$B56,'март 2024'!$J$4:$J$1612,AG$1)</f>
        <v>0</v>
      </c>
      <c r="AH56" s="80">
        <f>SUMIFS('март 2024'!$G$4:$G$1612,'март 2024'!$D$4:$D$1612,$B56,'март 2024'!$J$4:$J$1612,AH$1)</f>
        <v>0</v>
      </c>
      <c r="AI56" s="21">
        <f t="shared" si="1"/>
        <v>0</v>
      </c>
    </row>
    <row r="57" spans="2:35" ht="15" customHeight="1" x14ac:dyDescent="0.25">
      <c r="B57" s="155"/>
      <c r="C57" s="151"/>
      <c r="D57" s="80">
        <f>SUMIFS('март 2024'!$G$4:$G$1612,'март 2024'!$D$4:$D$1612,$B57,'март 2024'!$J$4:$J$1612,D$1)</f>
        <v>0</v>
      </c>
      <c r="E57" s="80">
        <f>SUMIFS('март 2024'!$G$4:$G$1612,'март 2024'!$D$4:$D$1612,$B57,'март 2024'!$J$4:$J$1612,E$1)</f>
        <v>0</v>
      </c>
      <c r="F57" s="80">
        <f>SUMIFS('март 2024'!$G$4:$G$1612,'март 2024'!$D$4:$D$1612,$B57,'март 2024'!$J$4:$J$1612,F$1)</f>
        <v>0</v>
      </c>
      <c r="G57" s="80">
        <f>SUMIFS('март 2024'!$G$4:$G$1612,'март 2024'!$D$4:$D$1612,$B57,'март 2024'!$J$4:$J$1612,G$1)</f>
        <v>0</v>
      </c>
      <c r="H57" s="80">
        <f>SUMIFS('март 2024'!$G$4:$G$1612,'март 2024'!$D$4:$D$1612,$B57,'март 2024'!$J$4:$J$1612,H$1)</f>
        <v>0</v>
      </c>
      <c r="I57" s="80">
        <f>SUMIFS('март 2024'!$G$4:$G$1612,'март 2024'!$D$4:$D$1612,$B57,'март 2024'!$J$4:$J$1612,I$1)</f>
        <v>0</v>
      </c>
      <c r="J57" s="80">
        <f>SUMIFS('март 2024'!$G$4:$G$1612,'март 2024'!$D$4:$D$1612,$B57,'март 2024'!$J$4:$J$1612,J$1)</f>
        <v>0</v>
      </c>
      <c r="K57" s="80">
        <f>SUMIFS('март 2024'!$G$4:$G$1612,'март 2024'!$D$4:$D$1612,$B57,'март 2024'!$J$4:$J$1612,K$1)</f>
        <v>0</v>
      </c>
      <c r="L57" s="80">
        <f>SUMIFS('март 2024'!$G$4:$G$1612,'март 2024'!$D$4:$D$1612,$B57,'март 2024'!$J$4:$J$1612,L$1)</f>
        <v>0</v>
      </c>
      <c r="M57" s="80">
        <f>SUMIFS('март 2024'!$G$4:$G$1612,'март 2024'!$D$4:$D$1612,$B57,'март 2024'!$J$4:$J$1612,M$1)</f>
        <v>0</v>
      </c>
      <c r="N57" s="80">
        <f>SUMIFS('март 2024'!$G$4:$G$1612,'март 2024'!$D$4:$D$1612,$B57,'март 2024'!$J$4:$J$1612,N$1)</f>
        <v>0</v>
      </c>
      <c r="O57" s="80">
        <f>SUMIFS('март 2024'!$G$4:$G$1612,'март 2024'!$D$4:$D$1612,$B57,'март 2024'!$J$4:$J$1612,O$1)</f>
        <v>0</v>
      </c>
      <c r="P57" s="80">
        <f>SUMIFS('март 2024'!$G$4:$G$1612,'март 2024'!$D$4:$D$1612,$B57,'март 2024'!$J$4:$J$1612,P$1)</f>
        <v>0</v>
      </c>
      <c r="Q57" s="80">
        <f>SUMIFS('март 2024'!$G$4:$G$1612,'март 2024'!$D$4:$D$1612,$B57,'март 2024'!$J$4:$J$1612,Q$1)</f>
        <v>0</v>
      </c>
      <c r="R57" s="80">
        <f>SUMIFS('март 2024'!$G$4:$G$1612,'март 2024'!$D$4:$D$1612,$B57,'март 2024'!$J$4:$J$1612,R$1)</f>
        <v>0</v>
      </c>
      <c r="S57" s="80">
        <f>SUMIFS('март 2024'!$G$4:$G$1612,'март 2024'!$D$4:$D$1612,$B57,'март 2024'!$J$4:$J$1612,S$1)</f>
        <v>0</v>
      </c>
      <c r="T57" s="80">
        <f>SUMIFS('март 2024'!$G$4:$G$1612,'март 2024'!$D$4:$D$1612,$B57,'март 2024'!$J$4:$J$1612,T$1)</f>
        <v>0</v>
      </c>
      <c r="U57" s="80">
        <f>SUMIFS('март 2024'!$G$4:$G$1612,'март 2024'!$D$4:$D$1612,$B57,'март 2024'!$J$4:$J$1612,U$1)</f>
        <v>0</v>
      </c>
      <c r="V57" s="80">
        <f>SUMIFS('март 2024'!$G$4:$G$1612,'март 2024'!$D$4:$D$1612,$B57,'март 2024'!$J$4:$J$1612,V$1)</f>
        <v>0</v>
      </c>
      <c r="W57" s="80">
        <f>SUMIFS('март 2024'!$G$4:$G$1612,'март 2024'!$D$4:$D$1612,$B57,'март 2024'!$J$4:$J$1612,W$1)</f>
        <v>0</v>
      </c>
      <c r="X57" s="80">
        <f>SUMIFS('март 2024'!$G$4:$G$1612,'март 2024'!$D$4:$D$1612,$B57,'март 2024'!$J$4:$J$1612,X$1)</f>
        <v>0</v>
      </c>
      <c r="Y57" s="80">
        <f>SUMIFS('март 2024'!$G$4:$G$1612,'март 2024'!$D$4:$D$1612,$B57,'март 2024'!$J$4:$J$1612,Y$1)</f>
        <v>0</v>
      </c>
      <c r="Z57" s="80">
        <f>SUMIFS('март 2024'!$G$4:$G$1612,'март 2024'!$D$4:$D$1612,$B57,'март 2024'!$J$4:$J$1612,Z$1)</f>
        <v>0</v>
      </c>
      <c r="AA57" s="80">
        <f>SUMIFS('март 2024'!$G$4:$G$1612,'март 2024'!$D$4:$D$1612,$B57,'март 2024'!$J$4:$J$1612,AA$1)</f>
        <v>0</v>
      </c>
      <c r="AB57" s="80">
        <f>SUMIFS('март 2024'!$G$4:$G$1612,'март 2024'!$D$4:$D$1612,$B57,'март 2024'!$J$4:$J$1612,AB$1)</f>
        <v>0</v>
      </c>
      <c r="AC57" s="80">
        <f>SUMIFS('март 2024'!$G$4:$G$1612,'март 2024'!$D$4:$D$1612,$B57,'март 2024'!$J$4:$J$1612,AC$1)</f>
        <v>0</v>
      </c>
      <c r="AD57" s="80">
        <f>SUMIFS('март 2024'!$G$4:$G$1612,'март 2024'!$D$4:$D$1612,$B57,'март 2024'!$J$4:$J$1612,AD$1)</f>
        <v>0</v>
      </c>
      <c r="AE57" s="80">
        <f>SUMIFS('март 2024'!$G$4:$G$1612,'март 2024'!$D$4:$D$1612,$B57,'март 2024'!$J$4:$J$1612,AE$1)</f>
        <v>0</v>
      </c>
      <c r="AF57" s="80">
        <f>SUMIFS('март 2024'!$G$4:$G$1612,'март 2024'!$D$4:$D$1612,$B57,'март 2024'!$J$4:$J$1612,AF$1)</f>
        <v>0</v>
      </c>
      <c r="AG57" s="80">
        <f>SUMIFS('март 2024'!$G$4:$G$1612,'март 2024'!$D$4:$D$1612,$B57,'март 2024'!$J$4:$J$1612,AG$1)</f>
        <v>0</v>
      </c>
      <c r="AH57" s="80">
        <f>SUMIFS('март 2024'!$G$4:$G$1612,'март 2024'!$D$4:$D$1612,$B57,'март 2024'!$J$4:$J$1612,AH$1)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80">
        <f>SUMIFS('март 2024'!$G$4:$G$1612,'март 2024'!$D$4:$D$1612,$B58,'март 2024'!$J$4:$J$1612,D$1)</f>
        <v>0</v>
      </c>
      <c r="E58" s="80">
        <f>SUMIFS('март 2024'!$G$4:$G$1612,'март 2024'!$D$4:$D$1612,$B58,'март 2024'!$J$4:$J$1612,E$1)</f>
        <v>0</v>
      </c>
      <c r="F58" s="80">
        <f>SUMIFS('март 2024'!$G$4:$G$1612,'март 2024'!$D$4:$D$1612,$B58,'март 2024'!$J$4:$J$1612,F$1)</f>
        <v>0</v>
      </c>
      <c r="G58" s="80">
        <f>SUMIFS('март 2024'!$G$4:$G$1612,'март 2024'!$D$4:$D$1612,$B58,'март 2024'!$J$4:$J$1612,G$1)</f>
        <v>0</v>
      </c>
      <c r="H58" s="80">
        <f>SUMIFS('март 2024'!$G$4:$G$1612,'март 2024'!$D$4:$D$1612,$B58,'март 2024'!$J$4:$J$1612,H$1)</f>
        <v>0</v>
      </c>
      <c r="I58" s="80">
        <f>SUMIFS('март 2024'!$G$4:$G$1612,'март 2024'!$D$4:$D$1612,$B58,'март 2024'!$J$4:$J$1612,I$1)</f>
        <v>0</v>
      </c>
      <c r="J58" s="80">
        <f>SUMIFS('март 2024'!$G$4:$G$1612,'март 2024'!$D$4:$D$1612,$B58,'март 2024'!$J$4:$J$1612,J$1)</f>
        <v>0</v>
      </c>
      <c r="K58" s="80">
        <f>SUMIFS('март 2024'!$G$4:$G$1612,'март 2024'!$D$4:$D$1612,$B58,'март 2024'!$J$4:$J$1612,K$1)</f>
        <v>0</v>
      </c>
      <c r="L58" s="80">
        <f>SUMIFS('март 2024'!$G$4:$G$1612,'март 2024'!$D$4:$D$1612,$B58,'март 2024'!$J$4:$J$1612,L$1)</f>
        <v>0</v>
      </c>
      <c r="M58" s="80">
        <f>SUMIFS('март 2024'!$G$4:$G$1612,'март 2024'!$D$4:$D$1612,$B58,'март 2024'!$J$4:$J$1612,M$1)</f>
        <v>0</v>
      </c>
      <c r="N58" s="80">
        <f>SUMIFS('март 2024'!$G$4:$G$1612,'март 2024'!$D$4:$D$1612,$B58,'март 2024'!$J$4:$J$1612,N$1)</f>
        <v>0</v>
      </c>
      <c r="O58" s="80">
        <f>SUMIFS('март 2024'!$G$4:$G$1612,'март 2024'!$D$4:$D$1612,$B58,'март 2024'!$J$4:$J$1612,O$1)</f>
        <v>0</v>
      </c>
      <c r="P58" s="80">
        <f>SUMIFS('март 2024'!$G$4:$G$1612,'март 2024'!$D$4:$D$1612,$B58,'март 2024'!$J$4:$J$1612,P$1)</f>
        <v>0</v>
      </c>
      <c r="Q58" s="80">
        <f>SUMIFS('март 2024'!$G$4:$G$1612,'март 2024'!$D$4:$D$1612,$B58,'март 2024'!$J$4:$J$1612,Q$1)</f>
        <v>0</v>
      </c>
      <c r="R58" s="80">
        <f>SUMIFS('март 2024'!$G$4:$G$1612,'март 2024'!$D$4:$D$1612,$B58,'март 2024'!$J$4:$J$1612,R$1)</f>
        <v>0</v>
      </c>
      <c r="S58" s="80">
        <f>SUMIFS('март 2024'!$G$4:$G$1612,'март 2024'!$D$4:$D$1612,$B58,'март 2024'!$J$4:$J$1612,S$1)</f>
        <v>0</v>
      </c>
      <c r="T58" s="80">
        <f>SUMIFS('март 2024'!$G$4:$G$1612,'март 2024'!$D$4:$D$1612,$B58,'март 2024'!$J$4:$J$1612,T$1)</f>
        <v>0</v>
      </c>
      <c r="U58" s="80">
        <f>SUMIFS('март 2024'!$G$4:$G$1612,'март 2024'!$D$4:$D$1612,$B58,'март 2024'!$J$4:$J$1612,U$1)</f>
        <v>0</v>
      </c>
      <c r="V58" s="80">
        <f>SUMIFS('март 2024'!$G$4:$G$1612,'март 2024'!$D$4:$D$1612,$B58,'март 2024'!$J$4:$J$1612,V$1)</f>
        <v>0</v>
      </c>
      <c r="W58" s="80">
        <f>SUMIFS('март 2024'!$G$4:$G$1612,'март 2024'!$D$4:$D$1612,$B58,'март 2024'!$J$4:$J$1612,W$1)</f>
        <v>0</v>
      </c>
      <c r="X58" s="80">
        <f>SUMIFS('март 2024'!$G$4:$G$1612,'март 2024'!$D$4:$D$1612,$B58,'март 2024'!$J$4:$J$1612,X$1)</f>
        <v>0</v>
      </c>
      <c r="Y58" s="80">
        <f>SUMIFS('март 2024'!$G$4:$G$1612,'март 2024'!$D$4:$D$1612,$B58,'март 2024'!$J$4:$J$1612,Y$1)</f>
        <v>0</v>
      </c>
      <c r="Z58" s="80">
        <f>SUMIFS('март 2024'!$G$4:$G$1612,'март 2024'!$D$4:$D$1612,$B58,'март 2024'!$J$4:$J$1612,Z$1)</f>
        <v>0</v>
      </c>
      <c r="AA58" s="80">
        <f>SUMIFS('март 2024'!$G$4:$G$1612,'март 2024'!$D$4:$D$1612,$B58,'март 2024'!$J$4:$J$1612,AA$1)</f>
        <v>0</v>
      </c>
      <c r="AB58" s="80">
        <f>SUMIFS('март 2024'!$G$4:$G$1612,'март 2024'!$D$4:$D$1612,$B58,'март 2024'!$J$4:$J$1612,AB$1)</f>
        <v>0</v>
      </c>
      <c r="AC58" s="80">
        <f>SUMIFS('март 2024'!$G$4:$G$1612,'март 2024'!$D$4:$D$1612,$B58,'март 2024'!$J$4:$J$1612,AC$1)</f>
        <v>0</v>
      </c>
      <c r="AD58" s="80">
        <f>SUMIFS('март 2024'!$G$4:$G$1612,'март 2024'!$D$4:$D$1612,$B58,'март 2024'!$J$4:$J$1612,AD$1)</f>
        <v>0</v>
      </c>
      <c r="AE58" s="80">
        <f>SUMIFS('март 2024'!$G$4:$G$1612,'март 2024'!$D$4:$D$1612,$B58,'март 2024'!$J$4:$J$1612,AE$1)</f>
        <v>0</v>
      </c>
      <c r="AF58" s="80">
        <f>SUMIFS('март 2024'!$G$4:$G$1612,'март 2024'!$D$4:$D$1612,$B58,'март 2024'!$J$4:$J$1612,AF$1)</f>
        <v>0</v>
      </c>
      <c r="AG58" s="80">
        <f>SUMIFS('март 2024'!$G$4:$G$1612,'март 2024'!$D$4:$D$1612,$B58,'март 2024'!$J$4:$J$1612,AG$1)</f>
        <v>0</v>
      </c>
      <c r="AH58" s="80">
        <f>SUMIFS('март 2024'!$G$4:$G$1612,'март 2024'!$D$4:$D$1612,$B58,'март 2024'!$J$4:$J$1612,AH$1)</f>
        <v>0</v>
      </c>
      <c r="AI58" s="21">
        <f t="shared" si="1"/>
        <v>0</v>
      </c>
    </row>
    <row r="59" spans="2:35" ht="15" customHeight="1" x14ac:dyDescent="0.25">
      <c r="B59" s="92" t="s">
        <v>161</v>
      </c>
      <c r="C59" s="91">
        <v>200</v>
      </c>
      <c r="D59" s="80">
        <f>SUMIFS('март 2024'!$G$4:$G$1612,'март 2024'!$D$4:$D$1612,$B59,'март 2024'!$J$4:$J$1612,D$1)</f>
        <v>0</v>
      </c>
      <c r="E59" s="80">
        <f>SUMIFS('март 2024'!$G$4:$G$1612,'март 2024'!$D$4:$D$1612,$B59,'март 2024'!$J$4:$J$1612,E$1)</f>
        <v>0</v>
      </c>
      <c r="F59" s="80">
        <f>SUMIFS('март 2024'!$G$4:$G$1612,'март 2024'!$D$4:$D$1612,$B59,'март 2024'!$J$4:$J$1612,F$1)</f>
        <v>0</v>
      </c>
      <c r="G59" s="80">
        <f>SUMIFS('март 2024'!$G$4:$G$1612,'март 2024'!$D$4:$D$1612,$B59,'март 2024'!$J$4:$J$1612,G$1)</f>
        <v>0</v>
      </c>
      <c r="H59" s="80">
        <f>SUMIFS('март 2024'!$G$4:$G$1612,'март 2024'!$D$4:$D$1612,$B59,'март 2024'!$J$4:$J$1612,H$1)</f>
        <v>0</v>
      </c>
      <c r="I59" s="80">
        <f>SUMIFS('март 2024'!$G$4:$G$1612,'март 2024'!$D$4:$D$1612,$B59,'март 2024'!$J$4:$J$1612,I$1)</f>
        <v>0</v>
      </c>
      <c r="J59" s="80">
        <f>SUMIFS('март 2024'!$G$4:$G$1612,'март 2024'!$D$4:$D$1612,$B59,'март 2024'!$J$4:$J$1612,J$1)</f>
        <v>0</v>
      </c>
      <c r="K59" s="80">
        <f>SUMIFS('март 2024'!$G$4:$G$1612,'март 2024'!$D$4:$D$1612,$B59,'март 2024'!$J$4:$J$1612,K$1)</f>
        <v>0</v>
      </c>
      <c r="L59" s="80">
        <f>SUMIFS('март 2024'!$G$4:$G$1612,'март 2024'!$D$4:$D$1612,$B59,'март 2024'!$J$4:$J$1612,L$1)</f>
        <v>0</v>
      </c>
      <c r="M59" s="80">
        <f>SUMIFS('март 2024'!$G$4:$G$1612,'март 2024'!$D$4:$D$1612,$B59,'март 2024'!$J$4:$J$1612,M$1)</f>
        <v>0</v>
      </c>
      <c r="N59" s="80">
        <f>SUMIFS('март 2024'!$G$4:$G$1612,'март 2024'!$D$4:$D$1612,$B59,'март 2024'!$J$4:$J$1612,N$1)</f>
        <v>0</v>
      </c>
      <c r="O59" s="80">
        <f>SUMIFS('март 2024'!$G$4:$G$1612,'март 2024'!$D$4:$D$1612,$B59,'март 2024'!$J$4:$J$1612,O$1)</f>
        <v>0</v>
      </c>
      <c r="P59" s="80">
        <f>SUMIFS('март 2024'!$G$4:$G$1612,'март 2024'!$D$4:$D$1612,$B59,'март 2024'!$J$4:$J$1612,P$1)</f>
        <v>0</v>
      </c>
      <c r="Q59" s="80">
        <f>SUMIFS('март 2024'!$G$4:$G$1612,'март 2024'!$D$4:$D$1612,$B59,'март 2024'!$J$4:$J$1612,Q$1)</f>
        <v>0</v>
      </c>
      <c r="R59" s="80">
        <f>SUMIFS('март 2024'!$G$4:$G$1612,'март 2024'!$D$4:$D$1612,$B59,'март 2024'!$J$4:$J$1612,R$1)</f>
        <v>0</v>
      </c>
      <c r="S59" s="80">
        <f>SUMIFS('март 2024'!$G$4:$G$1612,'март 2024'!$D$4:$D$1612,$B59,'март 2024'!$J$4:$J$1612,S$1)</f>
        <v>0</v>
      </c>
      <c r="T59" s="80">
        <f>SUMIFS('март 2024'!$G$4:$G$1612,'март 2024'!$D$4:$D$1612,$B59,'март 2024'!$J$4:$J$1612,T$1)</f>
        <v>0</v>
      </c>
      <c r="U59" s="80">
        <f>SUMIFS('март 2024'!$G$4:$G$1612,'март 2024'!$D$4:$D$1612,$B59,'март 2024'!$J$4:$J$1612,U$1)</f>
        <v>0</v>
      </c>
      <c r="V59" s="80">
        <f>SUMIFS('март 2024'!$G$4:$G$1612,'март 2024'!$D$4:$D$1612,$B59,'март 2024'!$J$4:$J$1612,V$1)</f>
        <v>0</v>
      </c>
      <c r="W59" s="80">
        <f>SUMIFS('март 2024'!$G$4:$G$1612,'март 2024'!$D$4:$D$1612,$B59,'март 2024'!$J$4:$J$1612,W$1)</f>
        <v>0</v>
      </c>
      <c r="X59" s="80">
        <f>SUMIFS('март 2024'!$G$4:$G$1612,'март 2024'!$D$4:$D$1612,$B59,'март 2024'!$J$4:$J$1612,X$1)</f>
        <v>0</v>
      </c>
      <c r="Y59" s="80">
        <f>SUMIFS('март 2024'!$G$4:$G$1612,'март 2024'!$D$4:$D$1612,$B59,'март 2024'!$J$4:$J$1612,Y$1)</f>
        <v>0</v>
      </c>
      <c r="Z59" s="80">
        <f>SUMIFS('март 2024'!$G$4:$G$1612,'март 2024'!$D$4:$D$1612,$B59,'март 2024'!$J$4:$J$1612,Z$1)</f>
        <v>0</v>
      </c>
      <c r="AA59" s="80">
        <f>SUMIFS('март 2024'!$G$4:$G$1612,'март 2024'!$D$4:$D$1612,$B59,'март 2024'!$J$4:$J$1612,AA$1)</f>
        <v>0</v>
      </c>
      <c r="AB59" s="80">
        <f>SUMIFS('март 2024'!$G$4:$G$1612,'март 2024'!$D$4:$D$1612,$B59,'март 2024'!$J$4:$J$1612,AB$1)</f>
        <v>0</v>
      </c>
      <c r="AC59" s="80">
        <f>SUMIFS('март 2024'!$G$4:$G$1612,'март 2024'!$D$4:$D$1612,$B59,'март 2024'!$J$4:$J$1612,AC$1)</f>
        <v>0</v>
      </c>
      <c r="AD59" s="80">
        <f>SUMIFS('март 2024'!$G$4:$G$1612,'март 2024'!$D$4:$D$1612,$B59,'март 2024'!$J$4:$J$1612,AD$1)</f>
        <v>0</v>
      </c>
      <c r="AE59" s="80">
        <f>SUMIFS('март 2024'!$G$4:$G$1612,'март 2024'!$D$4:$D$1612,$B59,'март 2024'!$J$4:$J$1612,AE$1)</f>
        <v>0</v>
      </c>
      <c r="AF59" s="80">
        <f>SUMIFS('март 2024'!$G$4:$G$1612,'март 2024'!$D$4:$D$1612,$B59,'март 2024'!$J$4:$J$1612,AF$1)</f>
        <v>0</v>
      </c>
      <c r="AG59" s="80">
        <f>SUMIFS('март 2024'!$G$4:$G$1612,'март 2024'!$D$4:$D$1612,$B59,'март 2024'!$J$4:$J$1612,AG$1)</f>
        <v>0</v>
      </c>
      <c r="AH59" s="80">
        <f>SUMIFS('март 2024'!$G$4:$G$1612,'март 2024'!$D$4:$D$1612,$B59,'март 2024'!$J$4:$J$1612,AH$1)</f>
        <v>0</v>
      </c>
      <c r="AI59" s="21">
        <f t="shared" si="1"/>
        <v>0</v>
      </c>
    </row>
    <row r="60" spans="2:35" ht="15" customHeight="1" x14ac:dyDescent="0.25">
      <c r="B60" s="92" t="s">
        <v>208</v>
      </c>
      <c r="C60" s="91">
        <v>50</v>
      </c>
      <c r="D60" s="80">
        <f>SUMIFS('март 2024'!$G$4:$G$1612,'март 2024'!$D$4:$D$1612,$B60,'март 2024'!$J$4:$J$1612,D$1)</f>
        <v>0</v>
      </c>
      <c r="E60" s="80">
        <f>SUMIFS('март 2024'!$G$4:$G$1612,'март 2024'!$D$4:$D$1612,$B60,'март 2024'!$J$4:$J$1612,E$1)</f>
        <v>0</v>
      </c>
      <c r="F60" s="80">
        <f>SUMIFS('март 2024'!$G$4:$G$1612,'март 2024'!$D$4:$D$1612,$B60,'март 2024'!$J$4:$J$1612,F$1)</f>
        <v>0</v>
      </c>
      <c r="G60" s="80">
        <f>SUMIFS('март 2024'!$G$4:$G$1612,'март 2024'!$D$4:$D$1612,$B60,'март 2024'!$J$4:$J$1612,G$1)</f>
        <v>0</v>
      </c>
      <c r="H60" s="80">
        <f>SUMIFS('март 2024'!$G$4:$G$1612,'март 2024'!$D$4:$D$1612,$B60,'март 2024'!$J$4:$J$1612,H$1)</f>
        <v>0</v>
      </c>
      <c r="I60" s="80">
        <f>SUMIFS('март 2024'!$G$4:$G$1612,'март 2024'!$D$4:$D$1612,$B60,'март 2024'!$J$4:$J$1612,I$1)</f>
        <v>0</v>
      </c>
      <c r="J60" s="80">
        <f>SUMIFS('март 2024'!$G$4:$G$1612,'март 2024'!$D$4:$D$1612,$B60,'март 2024'!$J$4:$J$1612,J$1)</f>
        <v>0</v>
      </c>
      <c r="K60" s="80">
        <f>SUMIFS('март 2024'!$G$4:$G$1612,'март 2024'!$D$4:$D$1612,$B60,'март 2024'!$J$4:$J$1612,K$1)</f>
        <v>0</v>
      </c>
      <c r="L60" s="80">
        <f>SUMIFS('март 2024'!$G$4:$G$1612,'март 2024'!$D$4:$D$1612,$B60,'март 2024'!$J$4:$J$1612,L$1)</f>
        <v>0</v>
      </c>
      <c r="M60" s="80">
        <f>SUMIFS('март 2024'!$G$4:$G$1612,'март 2024'!$D$4:$D$1612,$B60,'март 2024'!$J$4:$J$1612,M$1)</f>
        <v>0</v>
      </c>
      <c r="N60" s="80">
        <f>SUMIFS('март 2024'!$G$4:$G$1612,'март 2024'!$D$4:$D$1612,$B60,'март 2024'!$J$4:$J$1612,N$1)</f>
        <v>0</v>
      </c>
      <c r="O60" s="80">
        <f>SUMIFS('март 2024'!$G$4:$G$1612,'март 2024'!$D$4:$D$1612,$B60,'март 2024'!$J$4:$J$1612,O$1)</f>
        <v>0</v>
      </c>
      <c r="P60" s="80">
        <f>SUMIFS('март 2024'!$G$4:$G$1612,'март 2024'!$D$4:$D$1612,$B60,'март 2024'!$J$4:$J$1612,P$1)</f>
        <v>0</v>
      </c>
      <c r="Q60" s="80">
        <f>SUMIFS('март 2024'!$G$4:$G$1612,'март 2024'!$D$4:$D$1612,$B60,'март 2024'!$J$4:$J$1612,Q$1)</f>
        <v>0</v>
      </c>
      <c r="R60" s="80">
        <f>SUMIFS('март 2024'!$G$4:$G$1612,'март 2024'!$D$4:$D$1612,$B60,'март 2024'!$J$4:$J$1612,R$1)</f>
        <v>0</v>
      </c>
      <c r="S60" s="80">
        <f>SUMIFS('март 2024'!$G$4:$G$1612,'март 2024'!$D$4:$D$1612,$B60,'март 2024'!$J$4:$J$1612,S$1)</f>
        <v>0</v>
      </c>
      <c r="T60" s="80">
        <f>SUMIFS('март 2024'!$G$4:$G$1612,'март 2024'!$D$4:$D$1612,$B60,'март 2024'!$J$4:$J$1612,T$1)</f>
        <v>0</v>
      </c>
      <c r="U60" s="80">
        <f>SUMIFS('март 2024'!$G$4:$G$1612,'март 2024'!$D$4:$D$1612,$B60,'март 2024'!$J$4:$J$1612,U$1)</f>
        <v>0</v>
      </c>
      <c r="V60" s="80">
        <f>SUMIFS('март 2024'!$G$4:$G$1612,'март 2024'!$D$4:$D$1612,$B60,'март 2024'!$J$4:$J$1612,V$1)</f>
        <v>0</v>
      </c>
      <c r="W60" s="80">
        <f>SUMIFS('март 2024'!$G$4:$G$1612,'март 2024'!$D$4:$D$1612,$B60,'март 2024'!$J$4:$J$1612,W$1)</f>
        <v>0</v>
      </c>
      <c r="X60" s="80">
        <f>SUMIFS('март 2024'!$G$4:$G$1612,'март 2024'!$D$4:$D$1612,$B60,'март 2024'!$J$4:$J$1612,X$1)</f>
        <v>0</v>
      </c>
      <c r="Y60" s="80">
        <f>SUMIFS('март 2024'!$G$4:$G$1612,'март 2024'!$D$4:$D$1612,$B60,'март 2024'!$J$4:$J$1612,Y$1)</f>
        <v>0</v>
      </c>
      <c r="Z60" s="80">
        <f>SUMIFS('март 2024'!$G$4:$G$1612,'март 2024'!$D$4:$D$1612,$B60,'март 2024'!$J$4:$J$1612,Z$1)</f>
        <v>0</v>
      </c>
      <c r="AA60" s="80">
        <f>SUMIFS('март 2024'!$G$4:$G$1612,'март 2024'!$D$4:$D$1612,$B60,'март 2024'!$J$4:$J$1612,AA$1)</f>
        <v>0</v>
      </c>
      <c r="AB60" s="80">
        <f>SUMIFS('март 2024'!$G$4:$G$1612,'март 2024'!$D$4:$D$1612,$B60,'март 2024'!$J$4:$J$1612,AB$1)</f>
        <v>0</v>
      </c>
      <c r="AC60" s="80">
        <f>SUMIFS('март 2024'!$G$4:$G$1612,'март 2024'!$D$4:$D$1612,$B60,'март 2024'!$J$4:$J$1612,AC$1)</f>
        <v>0</v>
      </c>
      <c r="AD60" s="80">
        <f>SUMIFS('март 2024'!$G$4:$G$1612,'март 2024'!$D$4:$D$1612,$B60,'март 2024'!$J$4:$J$1612,AD$1)</f>
        <v>0</v>
      </c>
      <c r="AE60" s="80">
        <f>SUMIFS('март 2024'!$G$4:$G$1612,'март 2024'!$D$4:$D$1612,$B60,'март 2024'!$J$4:$J$1612,AE$1)</f>
        <v>0</v>
      </c>
      <c r="AF60" s="80">
        <f>SUMIFS('март 2024'!$G$4:$G$1612,'март 2024'!$D$4:$D$1612,$B60,'март 2024'!$J$4:$J$1612,AF$1)</f>
        <v>0</v>
      </c>
      <c r="AG60" s="80">
        <f>SUMIFS('март 2024'!$G$4:$G$1612,'март 2024'!$D$4:$D$1612,$B60,'март 2024'!$J$4:$J$1612,AG$1)</f>
        <v>0</v>
      </c>
      <c r="AH60" s="80">
        <f>SUMIFS('март 2024'!$G$4:$G$1612,'март 2024'!$D$4:$D$1612,$B60,'март 2024'!$J$4:$J$1612,AH$1)</f>
        <v>0</v>
      </c>
      <c r="AI60" s="21">
        <f t="shared" si="1"/>
        <v>0</v>
      </c>
    </row>
    <row r="61" spans="2:35" ht="15" customHeight="1" x14ac:dyDescent="0.25">
      <c r="B61" s="93" t="s">
        <v>209</v>
      </c>
      <c r="C61" s="91">
        <v>200</v>
      </c>
      <c r="D61" s="80">
        <f>SUMIFS('март 2024'!$G$4:$G$1612,'март 2024'!$D$4:$D$1612,$B61,'март 2024'!$J$4:$J$1612,D$1)</f>
        <v>0</v>
      </c>
      <c r="E61" s="80">
        <f>SUMIFS('март 2024'!$G$4:$G$1612,'март 2024'!$D$4:$D$1612,$B61,'март 2024'!$J$4:$J$1612,E$1)</f>
        <v>0</v>
      </c>
      <c r="F61" s="80">
        <f>SUMIFS('март 2024'!$G$4:$G$1612,'март 2024'!$D$4:$D$1612,$B61,'март 2024'!$J$4:$J$1612,F$1)</f>
        <v>0</v>
      </c>
      <c r="G61" s="80">
        <f>SUMIFS('март 2024'!$G$4:$G$1612,'март 2024'!$D$4:$D$1612,$B61,'март 2024'!$J$4:$J$1612,G$1)</f>
        <v>0</v>
      </c>
      <c r="H61" s="80">
        <f>SUMIFS('март 2024'!$G$4:$G$1612,'март 2024'!$D$4:$D$1612,$B61,'март 2024'!$J$4:$J$1612,H$1)</f>
        <v>0</v>
      </c>
      <c r="I61" s="80">
        <f>SUMIFS('март 2024'!$G$4:$G$1612,'март 2024'!$D$4:$D$1612,$B61,'март 2024'!$J$4:$J$1612,I$1)</f>
        <v>0</v>
      </c>
      <c r="J61" s="80">
        <f>SUMIFS('март 2024'!$G$4:$G$1612,'март 2024'!$D$4:$D$1612,$B61,'март 2024'!$J$4:$J$1612,J$1)</f>
        <v>0</v>
      </c>
      <c r="K61" s="80">
        <f>SUMIFS('март 2024'!$G$4:$G$1612,'март 2024'!$D$4:$D$1612,$B61,'март 2024'!$J$4:$J$1612,K$1)</f>
        <v>0</v>
      </c>
      <c r="L61" s="80">
        <f>SUMIFS('март 2024'!$G$4:$G$1612,'март 2024'!$D$4:$D$1612,$B61,'март 2024'!$J$4:$J$1612,L$1)</f>
        <v>0</v>
      </c>
      <c r="M61" s="80">
        <f>SUMIFS('март 2024'!$G$4:$G$1612,'март 2024'!$D$4:$D$1612,$B61,'март 2024'!$J$4:$J$1612,M$1)</f>
        <v>0</v>
      </c>
      <c r="N61" s="80">
        <f>SUMIFS('март 2024'!$G$4:$G$1612,'март 2024'!$D$4:$D$1612,$B61,'март 2024'!$J$4:$J$1612,N$1)</f>
        <v>0</v>
      </c>
      <c r="O61" s="80">
        <f>SUMIFS('март 2024'!$G$4:$G$1612,'март 2024'!$D$4:$D$1612,$B61,'март 2024'!$J$4:$J$1612,O$1)</f>
        <v>0</v>
      </c>
      <c r="P61" s="80">
        <f>SUMIFS('март 2024'!$G$4:$G$1612,'март 2024'!$D$4:$D$1612,$B61,'март 2024'!$J$4:$J$1612,P$1)</f>
        <v>0</v>
      </c>
      <c r="Q61" s="80">
        <f>SUMIFS('март 2024'!$G$4:$G$1612,'март 2024'!$D$4:$D$1612,$B61,'март 2024'!$J$4:$J$1612,Q$1)</f>
        <v>0</v>
      </c>
      <c r="R61" s="80">
        <f>SUMIFS('март 2024'!$G$4:$G$1612,'март 2024'!$D$4:$D$1612,$B61,'март 2024'!$J$4:$J$1612,R$1)</f>
        <v>0</v>
      </c>
      <c r="S61" s="80">
        <f>SUMIFS('март 2024'!$G$4:$G$1612,'март 2024'!$D$4:$D$1612,$B61,'март 2024'!$J$4:$J$1612,S$1)</f>
        <v>0</v>
      </c>
      <c r="T61" s="80">
        <f>SUMIFS('март 2024'!$G$4:$G$1612,'март 2024'!$D$4:$D$1612,$B61,'март 2024'!$J$4:$J$1612,T$1)</f>
        <v>0</v>
      </c>
      <c r="U61" s="80">
        <f>SUMIFS('март 2024'!$G$4:$G$1612,'март 2024'!$D$4:$D$1612,$B61,'март 2024'!$J$4:$J$1612,U$1)</f>
        <v>0</v>
      </c>
      <c r="V61" s="80">
        <f>SUMIFS('март 2024'!$G$4:$G$1612,'март 2024'!$D$4:$D$1612,$B61,'март 2024'!$J$4:$J$1612,V$1)</f>
        <v>0</v>
      </c>
      <c r="W61" s="80">
        <f>SUMIFS('март 2024'!$G$4:$G$1612,'март 2024'!$D$4:$D$1612,$B61,'март 2024'!$J$4:$J$1612,W$1)</f>
        <v>0</v>
      </c>
      <c r="X61" s="80">
        <f>SUMIFS('март 2024'!$G$4:$G$1612,'март 2024'!$D$4:$D$1612,$B61,'март 2024'!$J$4:$J$1612,X$1)</f>
        <v>0</v>
      </c>
      <c r="Y61" s="80">
        <f>SUMIFS('март 2024'!$G$4:$G$1612,'март 2024'!$D$4:$D$1612,$B61,'март 2024'!$J$4:$J$1612,Y$1)</f>
        <v>0</v>
      </c>
      <c r="Z61" s="80">
        <f>SUMIFS('март 2024'!$G$4:$G$1612,'март 2024'!$D$4:$D$1612,$B61,'март 2024'!$J$4:$J$1612,Z$1)</f>
        <v>0</v>
      </c>
      <c r="AA61" s="80">
        <f>SUMIFS('март 2024'!$G$4:$G$1612,'март 2024'!$D$4:$D$1612,$B61,'март 2024'!$J$4:$J$1612,AA$1)</f>
        <v>0</v>
      </c>
      <c r="AB61" s="80">
        <f>SUMIFS('март 2024'!$G$4:$G$1612,'март 2024'!$D$4:$D$1612,$B61,'март 2024'!$J$4:$J$1612,AB$1)</f>
        <v>0</v>
      </c>
      <c r="AC61" s="80">
        <f>SUMIFS('март 2024'!$G$4:$G$1612,'март 2024'!$D$4:$D$1612,$B61,'март 2024'!$J$4:$J$1612,AC$1)</f>
        <v>0</v>
      </c>
      <c r="AD61" s="80">
        <f>SUMIFS('март 2024'!$G$4:$G$1612,'март 2024'!$D$4:$D$1612,$B61,'март 2024'!$J$4:$J$1612,AD$1)</f>
        <v>0</v>
      </c>
      <c r="AE61" s="80">
        <f>SUMIFS('март 2024'!$G$4:$G$1612,'март 2024'!$D$4:$D$1612,$B61,'март 2024'!$J$4:$J$1612,AE$1)</f>
        <v>0</v>
      </c>
      <c r="AF61" s="80">
        <f>SUMIFS('март 2024'!$G$4:$G$1612,'март 2024'!$D$4:$D$1612,$B61,'март 2024'!$J$4:$J$1612,AF$1)</f>
        <v>0</v>
      </c>
      <c r="AG61" s="80">
        <f>SUMIFS('март 2024'!$G$4:$G$1612,'март 2024'!$D$4:$D$1612,$B61,'март 2024'!$J$4:$J$1612,AG$1)</f>
        <v>0</v>
      </c>
      <c r="AH61" s="80">
        <f>SUMIFS('март 2024'!$G$4:$G$1612,'март 2024'!$D$4:$D$1612,$B61,'март 2024'!$J$4:$J$1612,AH$1)</f>
        <v>0</v>
      </c>
      <c r="AI61" s="21">
        <f t="shared" si="1"/>
        <v>0</v>
      </c>
    </row>
    <row r="62" spans="2:35" ht="15" customHeight="1" x14ac:dyDescent="0.25">
      <c r="B62" s="93" t="s">
        <v>222</v>
      </c>
      <c r="C62" s="91">
        <v>25</v>
      </c>
      <c r="D62" s="80">
        <f>SUMIFS('март 2024'!$G$4:$G$1612,'март 2024'!$D$4:$D$1612,$B62,'март 2024'!$J$4:$J$1612,D$1)</f>
        <v>0</v>
      </c>
      <c r="E62" s="80">
        <f>SUMIFS('март 2024'!$G$4:$G$1612,'март 2024'!$D$4:$D$1612,$B62,'март 2024'!$J$4:$J$1612,E$1)</f>
        <v>0</v>
      </c>
      <c r="F62" s="80">
        <f>SUMIFS('март 2024'!$G$4:$G$1612,'март 2024'!$D$4:$D$1612,$B62,'март 2024'!$J$4:$J$1612,F$1)</f>
        <v>0</v>
      </c>
      <c r="G62" s="80">
        <f>SUMIFS('март 2024'!$G$4:$G$1612,'март 2024'!$D$4:$D$1612,$B62,'март 2024'!$J$4:$J$1612,G$1)</f>
        <v>0</v>
      </c>
      <c r="H62" s="80">
        <f>SUMIFS('март 2024'!$G$4:$G$1612,'март 2024'!$D$4:$D$1612,$B62,'март 2024'!$J$4:$J$1612,H$1)</f>
        <v>0</v>
      </c>
      <c r="I62" s="80">
        <f>SUMIFS('март 2024'!$G$4:$G$1612,'март 2024'!$D$4:$D$1612,$B62,'март 2024'!$J$4:$J$1612,I$1)</f>
        <v>0</v>
      </c>
      <c r="J62" s="80">
        <f>SUMIFS('март 2024'!$G$4:$G$1612,'март 2024'!$D$4:$D$1612,$B62,'март 2024'!$J$4:$J$1612,J$1)</f>
        <v>0</v>
      </c>
      <c r="K62" s="80">
        <f>SUMIFS('март 2024'!$G$4:$G$1612,'март 2024'!$D$4:$D$1612,$B62,'март 2024'!$J$4:$J$1612,K$1)</f>
        <v>0</v>
      </c>
      <c r="L62" s="80">
        <f>SUMIFS('март 2024'!$G$4:$G$1612,'март 2024'!$D$4:$D$1612,$B62,'март 2024'!$J$4:$J$1612,L$1)</f>
        <v>0</v>
      </c>
      <c r="M62" s="80">
        <f>SUMIFS('март 2024'!$G$4:$G$1612,'март 2024'!$D$4:$D$1612,$B62,'март 2024'!$J$4:$J$1612,M$1)</f>
        <v>0</v>
      </c>
      <c r="N62" s="80">
        <f>SUMIFS('март 2024'!$G$4:$G$1612,'март 2024'!$D$4:$D$1612,$B62,'март 2024'!$J$4:$J$1612,N$1)</f>
        <v>0</v>
      </c>
      <c r="O62" s="80">
        <f>SUMIFS('март 2024'!$G$4:$G$1612,'март 2024'!$D$4:$D$1612,$B62,'март 2024'!$J$4:$J$1612,O$1)</f>
        <v>0</v>
      </c>
      <c r="P62" s="80">
        <f>SUMIFS('март 2024'!$G$4:$G$1612,'март 2024'!$D$4:$D$1612,$B62,'март 2024'!$J$4:$J$1612,P$1)</f>
        <v>0</v>
      </c>
      <c r="Q62" s="80">
        <f>SUMIFS('март 2024'!$G$4:$G$1612,'март 2024'!$D$4:$D$1612,$B62,'март 2024'!$J$4:$J$1612,Q$1)</f>
        <v>0</v>
      </c>
      <c r="R62" s="80">
        <f>SUMIFS('март 2024'!$G$4:$G$1612,'март 2024'!$D$4:$D$1612,$B62,'март 2024'!$J$4:$J$1612,R$1)</f>
        <v>0</v>
      </c>
      <c r="S62" s="80">
        <f>SUMIFS('март 2024'!$G$4:$G$1612,'март 2024'!$D$4:$D$1612,$B62,'март 2024'!$J$4:$J$1612,S$1)</f>
        <v>0</v>
      </c>
      <c r="T62" s="80">
        <f>SUMIFS('март 2024'!$G$4:$G$1612,'март 2024'!$D$4:$D$1612,$B62,'март 2024'!$J$4:$J$1612,T$1)</f>
        <v>0</v>
      </c>
      <c r="U62" s="80">
        <f>SUMIFS('март 2024'!$G$4:$G$1612,'март 2024'!$D$4:$D$1612,$B62,'март 2024'!$J$4:$J$1612,U$1)</f>
        <v>0</v>
      </c>
      <c r="V62" s="80">
        <f>SUMIFS('март 2024'!$G$4:$G$1612,'март 2024'!$D$4:$D$1612,$B62,'март 2024'!$J$4:$J$1612,V$1)</f>
        <v>0</v>
      </c>
      <c r="W62" s="80">
        <f>SUMIFS('март 2024'!$G$4:$G$1612,'март 2024'!$D$4:$D$1612,$B62,'март 2024'!$J$4:$J$1612,W$1)</f>
        <v>0</v>
      </c>
      <c r="X62" s="80">
        <f>SUMIFS('март 2024'!$G$4:$G$1612,'март 2024'!$D$4:$D$1612,$B62,'март 2024'!$J$4:$J$1612,X$1)</f>
        <v>0</v>
      </c>
      <c r="Y62" s="80">
        <f>SUMIFS('март 2024'!$G$4:$G$1612,'март 2024'!$D$4:$D$1612,$B62,'март 2024'!$J$4:$J$1612,Y$1)</f>
        <v>0</v>
      </c>
      <c r="Z62" s="80">
        <f>SUMIFS('март 2024'!$G$4:$G$1612,'март 2024'!$D$4:$D$1612,$B62,'март 2024'!$J$4:$J$1612,Z$1)</f>
        <v>0</v>
      </c>
      <c r="AA62" s="80">
        <f>SUMIFS('март 2024'!$G$4:$G$1612,'март 2024'!$D$4:$D$1612,$B62,'март 2024'!$J$4:$J$1612,AA$1)</f>
        <v>0</v>
      </c>
      <c r="AB62" s="80">
        <f>SUMIFS('март 2024'!$G$4:$G$1612,'март 2024'!$D$4:$D$1612,$B62,'март 2024'!$J$4:$J$1612,AB$1)</f>
        <v>0</v>
      </c>
      <c r="AC62" s="80">
        <f>SUMIFS('март 2024'!$G$4:$G$1612,'март 2024'!$D$4:$D$1612,$B62,'март 2024'!$J$4:$J$1612,AC$1)</f>
        <v>0</v>
      </c>
      <c r="AD62" s="80">
        <f>SUMIFS('март 2024'!$G$4:$G$1612,'март 2024'!$D$4:$D$1612,$B62,'март 2024'!$J$4:$J$1612,AD$1)</f>
        <v>0</v>
      </c>
      <c r="AE62" s="80">
        <f>SUMIFS('март 2024'!$G$4:$G$1612,'март 2024'!$D$4:$D$1612,$B62,'март 2024'!$J$4:$J$1612,AE$1)</f>
        <v>0</v>
      </c>
      <c r="AF62" s="80">
        <f>SUMIFS('март 2024'!$G$4:$G$1612,'март 2024'!$D$4:$D$1612,$B62,'март 2024'!$J$4:$J$1612,AF$1)</f>
        <v>0</v>
      </c>
      <c r="AG62" s="80">
        <f>SUMIFS('март 2024'!$G$4:$G$1612,'март 2024'!$D$4:$D$1612,$B62,'март 2024'!$J$4:$J$1612,AG$1)</f>
        <v>0</v>
      </c>
      <c r="AH62" s="80">
        <f>SUMIFS('март 2024'!$G$4:$G$1612,'март 2024'!$D$4:$D$1612,$B62,'март 2024'!$J$4:$J$1612,AH$1)</f>
        <v>0</v>
      </c>
      <c r="AI62" s="21">
        <f t="shared" si="1"/>
        <v>0</v>
      </c>
    </row>
    <row r="63" spans="2:35" ht="15" customHeight="1" x14ac:dyDescent="0.25">
      <c r="B63" s="93" t="s">
        <v>189</v>
      </c>
      <c r="C63" s="91">
        <v>50</v>
      </c>
      <c r="D63" s="80">
        <f>SUMIFS('март 2024'!$G$4:$G$1612,'март 2024'!$D$4:$D$1612,$B63,'март 2024'!$J$4:$J$1612,D$1)</f>
        <v>0</v>
      </c>
      <c r="E63" s="80">
        <f>SUMIFS('март 2024'!$G$4:$G$1612,'март 2024'!$D$4:$D$1612,$B63,'март 2024'!$J$4:$J$1612,E$1)</f>
        <v>0</v>
      </c>
      <c r="F63" s="80">
        <f>SUMIFS('март 2024'!$G$4:$G$1612,'март 2024'!$D$4:$D$1612,$B63,'март 2024'!$J$4:$J$1612,F$1)</f>
        <v>0</v>
      </c>
      <c r="G63" s="80">
        <f>SUMIFS('март 2024'!$G$4:$G$1612,'март 2024'!$D$4:$D$1612,$B63,'март 2024'!$J$4:$J$1612,G$1)</f>
        <v>0</v>
      </c>
      <c r="H63" s="80">
        <f>SUMIFS('март 2024'!$G$4:$G$1612,'март 2024'!$D$4:$D$1612,$B63,'март 2024'!$J$4:$J$1612,H$1)</f>
        <v>0</v>
      </c>
      <c r="I63" s="80">
        <f>SUMIFS('март 2024'!$G$4:$G$1612,'март 2024'!$D$4:$D$1612,$B63,'март 2024'!$J$4:$J$1612,I$1)</f>
        <v>0</v>
      </c>
      <c r="J63" s="80">
        <f>SUMIFS('март 2024'!$G$4:$G$1612,'март 2024'!$D$4:$D$1612,$B63,'март 2024'!$J$4:$J$1612,J$1)</f>
        <v>0</v>
      </c>
      <c r="K63" s="80">
        <f>SUMIFS('март 2024'!$G$4:$G$1612,'март 2024'!$D$4:$D$1612,$B63,'март 2024'!$J$4:$J$1612,K$1)</f>
        <v>0</v>
      </c>
      <c r="L63" s="80">
        <f>SUMIFS('март 2024'!$G$4:$G$1612,'март 2024'!$D$4:$D$1612,$B63,'март 2024'!$J$4:$J$1612,L$1)</f>
        <v>0</v>
      </c>
      <c r="M63" s="80">
        <f>SUMIFS('март 2024'!$G$4:$G$1612,'март 2024'!$D$4:$D$1612,$B63,'март 2024'!$J$4:$J$1612,M$1)</f>
        <v>0</v>
      </c>
      <c r="N63" s="80">
        <f>SUMIFS('март 2024'!$G$4:$G$1612,'март 2024'!$D$4:$D$1612,$B63,'март 2024'!$J$4:$J$1612,N$1)</f>
        <v>0</v>
      </c>
      <c r="O63" s="80">
        <f>SUMIFS('март 2024'!$G$4:$G$1612,'март 2024'!$D$4:$D$1612,$B63,'март 2024'!$J$4:$J$1612,O$1)</f>
        <v>0</v>
      </c>
      <c r="P63" s="80">
        <f>SUMIFS('март 2024'!$G$4:$G$1612,'март 2024'!$D$4:$D$1612,$B63,'март 2024'!$J$4:$J$1612,P$1)</f>
        <v>0</v>
      </c>
      <c r="Q63" s="80">
        <f>SUMIFS('март 2024'!$G$4:$G$1612,'март 2024'!$D$4:$D$1612,$B63,'март 2024'!$J$4:$J$1612,Q$1)</f>
        <v>0</v>
      </c>
      <c r="R63" s="80">
        <f>SUMIFS('март 2024'!$G$4:$G$1612,'март 2024'!$D$4:$D$1612,$B63,'март 2024'!$J$4:$J$1612,R$1)</f>
        <v>0</v>
      </c>
      <c r="S63" s="80">
        <f>SUMIFS('март 2024'!$G$4:$G$1612,'март 2024'!$D$4:$D$1612,$B63,'март 2024'!$J$4:$J$1612,S$1)</f>
        <v>0</v>
      </c>
      <c r="T63" s="80">
        <f>SUMIFS('март 2024'!$G$4:$G$1612,'март 2024'!$D$4:$D$1612,$B63,'март 2024'!$J$4:$J$1612,T$1)</f>
        <v>0</v>
      </c>
      <c r="U63" s="80">
        <f>SUMIFS('март 2024'!$G$4:$G$1612,'март 2024'!$D$4:$D$1612,$B63,'март 2024'!$J$4:$J$1612,U$1)</f>
        <v>0</v>
      </c>
      <c r="V63" s="80">
        <f>SUMIFS('март 2024'!$G$4:$G$1612,'март 2024'!$D$4:$D$1612,$B63,'март 2024'!$J$4:$J$1612,V$1)</f>
        <v>0</v>
      </c>
      <c r="W63" s="80">
        <f>SUMIFS('март 2024'!$G$4:$G$1612,'март 2024'!$D$4:$D$1612,$B63,'март 2024'!$J$4:$J$1612,W$1)</f>
        <v>0</v>
      </c>
      <c r="X63" s="80">
        <f>SUMIFS('март 2024'!$G$4:$G$1612,'март 2024'!$D$4:$D$1612,$B63,'март 2024'!$J$4:$J$1612,X$1)</f>
        <v>0</v>
      </c>
      <c r="Y63" s="80">
        <f>SUMIFS('март 2024'!$G$4:$G$1612,'март 2024'!$D$4:$D$1612,$B63,'март 2024'!$J$4:$J$1612,Y$1)</f>
        <v>0</v>
      </c>
      <c r="Z63" s="80">
        <f>SUMIFS('март 2024'!$G$4:$G$1612,'март 2024'!$D$4:$D$1612,$B63,'март 2024'!$J$4:$J$1612,Z$1)</f>
        <v>0</v>
      </c>
      <c r="AA63" s="80">
        <f>SUMIFS('март 2024'!$G$4:$G$1612,'март 2024'!$D$4:$D$1612,$B63,'март 2024'!$J$4:$J$1612,AA$1)</f>
        <v>0</v>
      </c>
      <c r="AB63" s="80">
        <f>SUMIFS('март 2024'!$G$4:$G$1612,'март 2024'!$D$4:$D$1612,$B63,'март 2024'!$J$4:$J$1612,AB$1)</f>
        <v>0</v>
      </c>
      <c r="AC63" s="80">
        <f>SUMIFS('март 2024'!$G$4:$G$1612,'март 2024'!$D$4:$D$1612,$B63,'март 2024'!$J$4:$J$1612,AC$1)</f>
        <v>0</v>
      </c>
      <c r="AD63" s="80">
        <f>SUMIFS('март 2024'!$G$4:$G$1612,'март 2024'!$D$4:$D$1612,$B63,'март 2024'!$J$4:$J$1612,AD$1)</f>
        <v>0</v>
      </c>
      <c r="AE63" s="80">
        <f>SUMIFS('март 2024'!$G$4:$G$1612,'март 2024'!$D$4:$D$1612,$B63,'март 2024'!$J$4:$J$1612,AE$1)</f>
        <v>0</v>
      </c>
      <c r="AF63" s="80">
        <f>SUMIFS('март 2024'!$G$4:$G$1612,'март 2024'!$D$4:$D$1612,$B63,'март 2024'!$J$4:$J$1612,AF$1)</f>
        <v>0</v>
      </c>
      <c r="AG63" s="80">
        <f>SUMIFS('март 2024'!$G$4:$G$1612,'март 2024'!$D$4:$D$1612,$B63,'март 2024'!$J$4:$J$1612,AG$1)</f>
        <v>0</v>
      </c>
      <c r="AH63" s="80">
        <f>SUMIFS('март 2024'!$G$4:$G$1612,'март 2024'!$D$4:$D$1612,$B63,'март 2024'!$J$4:$J$1612,AH$1)</f>
        <v>0</v>
      </c>
      <c r="AI63" s="21">
        <f t="shared" si="1"/>
        <v>0</v>
      </c>
    </row>
    <row r="64" spans="2:35" ht="15.75" x14ac:dyDescent="0.25">
      <c r="B64" s="89" t="s">
        <v>159</v>
      </c>
      <c r="C64" s="88">
        <v>200</v>
      </c>
      <c r="D64" s="80">
        <f>SUMIFS('март 2024'!$G$4:$G$1612,'март 2024'!$D$4:$D$1612,$B64,'март 2024'!$J$4:$J$1612,D$1)</f>
        <v>0</v>
      </c>
      <c r="E64" s="80">
        <f>SUMIFS('март 2024'!$G$4:$G$1612,'март 2024'!$D$4:$D$1612,$B64,'март 2024'!$J$4:$J$1612,E$1)</f>
        <v>0</v>
      </c>
      <c r="F64" s="80">
        <f>SUMIFS('март 2024'!$G$4:$G$1612,'март 2024'!$D$4:$D$1612,$B64,'март 2024'!$J$4:$J$1612,F$1)</f>
        <v>0</v>
      </c>
      <c r="G64" s="80">
        <f>SUMIFS('март 2024'!$G$4:$G$1612,'март 2024'!$D$4:$D$1612,$B64,'март 2024'!$J$4:$J$1612,G$1)</f>
        <v>0</v>
      </c>
      <c r="H64" s="80">
        <f>SUMIFS('март 2024'!$G$4:$G$1612,'март 2024'!$D$4:$D$1612,$B64,'март 2024'!$J$4:$J$1612,H$1)</f>
        <v>0</v>
      </c>
      <c r="I64" s="80">
        <f>SUMIFS('март 2024'!$G$4:$G$1612,'март 2024'!$D$4:$D$1612,$B64,'март 2024'!$J$4:$J$1612,I$1)</f>
        <v>0</v>
      </c>
      <c r="J64" s="80">
        <f>SUMIFS('март 2024'!$G$4:$G$1612,'март 2024'!$D$4:$D$1612,$B64,'март 2024'!$J$4:$J$1612,J$1)</f>
        <v>0</v>
      </c>
      <c r="K64" s="80">
        <f>SUMIFS('март 2024'!$G$4:$G$1612,'март 2024'!$D$4:$D$1612,$B64,'март 2024'!$J$4:$J$1612,K$1)</f>
        <v>0</v>
      </c>
      <c r="L64" s="80">
        <f>SUMIFS('март 2024'!$G$4:$G$1612,'март 2024'!$D$4:$D$1612,$B64,'март 2024'!$J$4:$J$1612,L$1)</f>
        <v>0</v>
      </c>
      <c r="M64" s="80">
        <f>SUMIFS('март 2024'!$G$4:$G$1612,'март 2024'!$D$4:$D$1612,$B64,'март 2024'!$J$4:$J$1612,M$1)</f>
        <v>0</v>
      </c>
      <c r="N64" s="80">
        <f>SUMIFS('март 2024'!$G$4:$G$1612,'март 2024'!$D$4:$D$1612,$B64,'март 2024'!$J$4:$J$1612,N$1)</f>
        <v>0</v>
      </c>
      <c r="O64" s="80">
        <f>SUMIFS('март 2024'!$G$4:$G$1612,'март 2024'!$D$4:$D$1612,$B64,'март 2024'!$J$4:$J$1612,O$1)</f>
        <v>0</v>
      </c>
      <c r="P64" s="80">
        <f>SUMIFS('март 2024'!$G$4:$G$1612,'март 2024'!$D$4:$D$1612,$B64,'март 2024'!$J$4:$J$1612,P$1)</f>
        <v>0</v>
      </c>
      <c r="Q64" s="80">
        <f>SUMIFS('март 2024'!$G$4:$G$1612,'март 2024'!$D$4:$D$1612,$B64,'март 2024'!$J$4:$J$1612,Q$1)</f>
        <v>0</v>
      </c>
      <c r="R64" s="80">
        <f>SUMIFS('март 2024'!$G$4:$G$1612,'март 2024'!$D$4:$D$1612,$B64,'март 2024'!$J$4:$J$1612,R$1)</f>
        <v>0</v>
      </c>
      <c r="S64" s="80">
        <f>SUMIFS('март 2024'!$G$4:$G$1612,'март 2024'!$D$4:$D$1612,$B64,'март 2024'!$J$4:$J$1612,S$1)</f>
        <v>0</v>
      </c>
      <c r="T64" s="80">
        <f>SUMIFS('март 2024'!$G$4:$G$1612,'март 2024'!$D$4:$D$1612,$B64,'март 2024'!$J$4:$J$1612,T$1)</f>
        <v>0</v>
      </c>
      <c r="U64" s="80">
        <f>SUMIFS('март 2024'!$G$4:$G$1612,'март 2024'!$D$4:$D$1612,$B64,'март 2024'!$J$4:$J$1612,U$1)</f>
        <v>0</v>
      </c>
      <c r="V64" s="80">
        <f>SUMIFS('март 2024'!$G$4:$G$1612,'март 2024'!$D$4:$D$1612,$B64,'март 2024'!$J$4:$J$1612,V$1)</f>
        <v>0</v>
      </c>
      <c r="W64" s="80">
        <f>SUMIFS('март 2024'!$G$4:$G$1612,'март 2024'!$D$4:$D$1612,$B64,'март 2024'!$J$4:$J$1612,W$1)</f>
        <v>0</v>
      </c>
      <c r="X64" s="80">
        <f>SUMIFS('март 2024'!$G$4:$G$1612,'март 2024'!$D$4:$D$1612,$B64,'март 2024'!$J$4:$J$1612,X$1)</f>
        <v>0</v>
      </c>
      <c r="Y64" s="80">
        <f>SUMIFS('март 2024'!$G$4:$G$1612,'март 2024'!$D$4:$D$1612,$B64,'март 2024'!$J$4:$J$1612,Y$1)</f>
        <v>0</v>
      </c>
      <c r="Z64" s="80">
        <f>SUMIFS('март 2024'!$G$4:$G$1612,'март 2024'!$D$4:$D$1612,$B64,'март 2024'!$J$4:$J$1612,Z$1)</f>
        <v>0</v>
      </c>
      <c r="AA64" s="80">
        <f>SUMIFS('март 2024'!$G$4:$G$1612,'март 2024'!$D$4:$D$1612,$B64,'март 2024'!$J$4:$J$1612,AA$1)</f>
        <v>0</v>
      </c>
      <c r="AB64" s="80">
        <f>SUMIFS('март 2024'!$G$4:$G$1612,'март 2024'!$D$4:$D$1612,$B64,'март 2024'!$J$4:$J$1612,AB$1)</f>
        <v>0</v>
      </c>
      <c r="AC64" s="80">
        <f>SUMIFS('март 2024'!$G$4:$G$1612,'март 2024'!$D$4:$D$1612,$B64,'март 2024'!$J$4:$J$1612,AC$1)</f>
        <v>0</v>
      </c>
      <c r="AD64" s="80">
        <f>SUMIFS('март 2024'!$G$4:$G$1612,'март 2024'!$D$4:$D$1612,$B64,'март 2024'!$J$4:$J$1612,AD$1)</f>
        <v>0</v>
      </c>
      <c r="AE64" s="80">
        <f>SUMIFS('март 2024'!$G$4:$G$1612,'март 2024'!$D$4:$D$1612,$B64,'март 2024'!$J$4:$J$1612,AE$1)</f>
        <v>0</v>
      </c>
      <c r="AF64" s="80">
        <f>SUMIFS('март 2024'!$G$4:$G$1612,'март 2024'!$D$4:$D$1612,$B64,'март 2024'!$J$4:$J$1612,AF$1)</f>
        <v>0</v>
      </c>
      <c r="AG64" s="80">
        <f>SUMIFS('март 2024'!$G$4:$G$1612,'март 2024'!$D$4:$D$1612,$B64,'март 2024'!$J$4:$J$1612,AG$1)</f>
        <v>0</v>
      </c>
      <c r="AH64" s="80">
        <f>SUMIFS('март 2024'!$G$4:$G$1612,'март 2024'!$D$4:$D$1612,$B64,'март 2024'!$J$4:$J$1612,AH$1)</f>
        <v>0</v>
      </c>
      <c r="AI64" s="21">
        <f t="shared" si="1"/>
        <v>0</v>
      </c>
    </row>
    <row r="65" spans="2:35" ht="15.75" x14ac:dyDescent="0.25">
      <c r="B65" s="93" t="s">
        <v>158</v>
      </c>
      <c r="C65" s="91">
        <v>200</v>
      </c>
      <c r="D65" s="80">
        <f>SUMIFS('март 2024'!$G$4:$G$1612,'март 2024'!$D$4:$D$1612,$B65,'март 2024'!$J$4:$J$1612,D$1)</f>
        <v>0</v>
      </c>
      <c r="E65" s="80">
        <f>SUMIFS('март 2024'!$G$4:$G$1612,'март 2024'!$D$4:$D$1612,$B65,'март 2024'!$J$4:$J$1612,E$1)</f>
        <v>0</v>
      </c>
      <c r="F65" s="80">
        <f>SUMIFS('март 2024'!$G$4:$G$1612,'март 2024'!$D$4:$D$1612,$B65,'март 2024'!$J$4:$J$1612,F$1)</f>
        <v>0</v>
      </c>
      <c r="G65" s="80">
        <f>SUMIFS('март 2024'!$G$4:$G$1612,'март 2024'!$D$4:$D$1612,$B65,'март 2024'!$J$4:$J$1612,G$1)</f>
        <v>62</v>
      </c>
      <c r="H65" s="80">
        <f>SUMIFS('март 2024'!$G$4:$G$1612,'март 2024'!$D$4:$D$1612,$B65,'март 2024'!$J$4:$J$1612,H$1)</f>
        <v>0</v>
      </c>
      <c r="I65" s="80">
        <f>SUMIFS('март 2024'!$G$4:$G$1612,'март 2024'!$D$4:$D$1612,$B65,'март 2024'!$J$4:$J$1612,I$1)</f>
        <v>0</v>
      </c>
      <c r="J65" s="80">
        <f>SUMIFS('март 2024'!$G$4:$G$1612,'март 2024'!$D$4:$D$1612,$B65,'март 2024'!$J$4:$J$1612,J$1)</f>
        <v>0</v>
      </c>
      <c r="K65" s="80">
        <f>SUMIFS('март 2024'!$G$4:$G$1612,'март 2024'!$D$4:$D$1612,$B65,'март 2024'!$J$4:$J$1612,K$1)</f>
        <v>0</v>
      </c>
      <c r="L65" s="80">
        <f>SUMIFS('март 2024'!$G$4:$G$1612,'март 2024'!$D$4:$D$1612,$B65,'март 2024'!$J$4:$J$1612,L$1)</f>
        <v>0</v>
      </c>
      <c r="M65" s="80">
        <f>SUMIFS('март 2024'!$G$4:$G$1612,'март 2024'!$D$4:$D$1612,$B65,'март 2024'!$J$4:$J$1612,M$1)</f>
        <v>0</v>
      </c>
      <c r="N65" s="80">
        <f>SUMIFS('март 2024'!$G$4:$G$1612,'март 2024'!$D$4:$D$1612,$B65,'март 2024'!$J$4:$J$1612,N$1)</f>
        <v>0</v>
      </c>
      <c r="O65" s="80">
        <f>SUMIFS('март 2024'!$G$4:$G$1612,'март 2024'!$D$4:$D$1612,$B65,'март 2024'!$J$4:$J$1612,O$1)</f>
        <v>0</v>
      </c>
      <c r="P65" s="80">
        <f>SUMIFS('март 2024'!$G$4:$G$1612,'март 2024'!$D$4:$D$1612,$B65,'март 2024'!$J$4:$J$1612,P$1)</f>
        <v>0</v>
      </c>
      <c r="Q65" s="80">
        <f>SUMIFS('март 2024'!$G$4:$G$1612,'март 2024'!$D$4:$D$1612,$B65,'март 2024'!$J$4:$J$1612,Q$1)</f>
        <v>0</v>
      </c>
      <c r="R65" s="80">
        <f>SUMIFS('март 2024'!$G$4:$G$1612,'март 2024'!$D$4:$D$1612,$B65,'март 2024'!$J$4:$J$1612,R$1)</f>
        <v>0</v>
      </c>
      <c r="S65" s="80">
        <f>SUMIFS('март 2024'!$G$4:$G$1612,'март 2024'!$D$4:$D$1612,$B65,'март 2024'!$J$4:$J$1612,S$1)</f>
        <v>96</v>
      </c>
      <c r="T65" s="80">
        <f>SUMIFS('март 2024'!$G$4:$G$1612,'март 2024'!$D$4:$D$1612,$B65,'март 2024'!$J$4:$J$1612,T$1)</f>
        <v>0</v>
      </c>
      <c r="U65" s="80">
        <f>SUMIFS('март 2024'!$G$4:$G$1612,'март 2024'!$D$4:$D$1612,$B65,'март 2024'!$J$4:$J$1612,U$1)</f>
        <v>0</v>
      </c>
      <c r="V65" s="80">
        <f>SUMIFS('март 2024'!$G$4:$G$1612,'март 2024'!$D$4:$D$1612,$B65,'март 2024'!$J$4:$J$1612,V$1)</f>
        <v>88</v>
      </c>
      <c r="W65" s="80">
        <f>SUMIFS('март 2024'!$G$4:$G$1612,'март 2024'!$D$4:$D$1612,$B65,'март 2024'!$J$4:$J$1612,W$1)</f>
        <v>88</v>
      </c>
      <c r="X65" s="80">
        <f>SUMIFS('март 2024'!$G$4:$G$1612,'март 2024'!$D$4:$D$1612,$B65,'март 2024'!$J$4:$J$1612,X$1)</f>
        <v>88</v>
      </c>
      <c r="Y65" s="80">
        <f>SUMIFS('март 2024'!$G$4:$G$1612,'март 2024'!$D$4:$D$1612,$B65,'март 2024'!$J$4:$J$1612,Y$1)</f>
        <v>0</v>
      </c>
      <c r="Z65" s="80">
        <f>SUMIFS('март 2024'!$G$4:$G$1612,'март 2024'!$D$4:$D$1612,$B65,'март 2024'!$J$4:$J$1612,Z$1)</f>
        <v>0</v>
      </c>
      <c r="AA65" s="80">
        <f>SUMIFS('март 2024'!$G$4:$G$1612,'март 2024'!$D$4:$D$1612,$B65,'март 2024'!$J$4:$J$1612,AA$1)</f>
        <v>0</v>
      </c>
      <c r="AB65" s="80">
        <f>SUMIFS('март 2024'!$G$4:$G$1612,'март 2024'!$D$4:$D$1612,$B65,'март 2024'!$J$4:$J$1612,AB$1)</f>
        <v>101</v>
      </c>
      <c r="AC65" s="80">
        <f>SUMIFS('март 2024'!$G$4:$G$1612,'март 2024'!$D$4:$D$1612,$B65,'март 2024'!$J$4:$J$1612,AC$1)</f>
        <v>88</v>
      </c>
      <c r="AD65" s="80">
        <f>SUMIFS('март 2024'!$G$4:$G$1612,'март 2024'!$D$4:$D$1612,$B65,'март 2024'!$J$4:$J$1612,AD$1)</f>
        <v>0</v>
      </c>
      <c r="AE65" s="80">
        <f>SUMIFS('март 2024'!$G$4:$G$1612,'март 2024'!$D$4:$D$1612,$B65,'март 2024'!$J$4:$J$1612,AE$1)</f>
        <v>0</v>
      </c>
      <c r="AF65" s="80">
        <f>SUMIFS('март 2024'!$G$4:$G$1612,'март 2024'!$D$4:$D$1612,$B65,'март 2024'!$J$4:$J$1612,AF$1)</f>
        <v>0</v>
      </c>
      <c r="AG65" s="80">
        <f>SUMIFS('март 2024'!$G$4:$G$1612,'март 2024'!$D$4:$D$1612,$B65,'март 2024'!$J$4:$J$1612,AG$1)</f>
        <v>0</v>
      </c>
      <c r="AH65" s="80">
        <f>SUMIFS('март 2024'!$G$4:$G$1612,'март 2024'!$D$4:$D$1612,$B65,'март 2024'!$J$4:$J$1612,AH$1)</f>
        <v>0</v>
      </c>
      <c r="AI65" s="21">
        <f t="shared" si="1"/>
        <v>611</v>
      </c>
    </row>
    <row r="66" spans="2:35" ht="15.75" x14ac:dyDescent="0.25">
      <c r="B66" s="93" t="s">
        <v>897</v>
      </c>
      <c r="C66" s="91">
        <v>200</v>
      </c>
      <c r="D66" s="80">
        <f>SUMIFS('март 2024'!$G$4:$G$1612,'март 2024'!$D$4:$D$1612,$B66,'март 2024'!$J$4:$J$1612,D$1)</f>
        <v>0</v>
      </c>
      <c r="E66" s="80">
        <f>SUMIFS('март 2024'!$G$4:$G$1612,'март 2024'!$D$4:$D$1612,$B66,'март 2024'!$J$4:$J$1612,E$1)</f>
        <v>0</v>
      </c>
      <c r="F66" s="80">
        <f>SUMIFS('март 2024'!$G$4:$G$1612,'март 2024'!$D$4:$D$1612,$B66,'март 2024'!$J$4:$J$1612,F$1)</f>
        <v>0</v>
      </c>
      <c r="G66" s="80">
        <f>SUMIFS('март 2024'!$G$4:$G$1612,'март 2024'!$D$4:$D$1612,$B66,'март 2024'!$J$4:$J$1612,G$1)</f>
        <v>0</v>
      </c>
      <c r="H66" s="80">
        <f>SUMIFS('март 2024'!$G$4:$G$1612,'март 2024'!$D$4:$D$1612,$B66,'март 2024'!$J$4:$J$1612,H$1)</f>
        <v>0</v>
      </c>
      <c r="I66" s="80">
        <f>SUMIFS('март 2024'!$G$4:$G$1612,'март 2024'!$D$4:$D$1612,$B66,'март 2024'!$J$4:$J$1612,I$1)</f>
        <v>0</v>
      </c>
      <c r="J66" s="80">
        <f>SUMIFS('март 2024'!$G$4:$G$1612,'март 2024'!$D$4:$D$1612,$B66,'март 2024'!$J$4:$J$1612,J$1)</f>
        <v>0</v>
      </c>
      <c r="K66" s="80">
        <f>SUMIFS('март 2024'!$G$4:$G$1612,'март 2024'!$D$4:$D$1612,$B66,'март 2024'!$J$4:$J$1612,K$1)</f>
        <v>0</v>
      </c>
      <c r="L66" s="80">
        <f>SUMIFS('март 2024'!$G$4:$G$1612,'март 2024'!$D$4:$D$1612,$B66,'март 2024'!$J$4:$J$1612,L$1)</f>
        <v>0</v>
      </c>
      <c r="M66" s="80">
        <f>SUMIFS('март 2024'!$G$4:$G$1612,'март 2024'!$D$4:$D$1612,$B66,'март 2024'!$J$4:$J$1612,M$1)</f>
        <v>0</v>
      </c>
      <c r="N66" s="80">
        <f>SUMIFS('март 2024'!$G$4:$G$1612,'март 2024'!$D$4:$D$1612,$B66,'март 2024'!$J$4:$J$1612,N$1)</f>
        <v>0</v>
      </c>
      <c r="O66" s="80">
        <f>SUMIFS('март 2024'!$G$4:$G$1612,'март 2024'!$D$4:$D$1612,$B66,'март 2024'!$J$4:$J$1612,O$1)</f>
        <v>0</v>
      </c>
      <c r="P66" s="80">
        <f>SUMIFS('март 2024'!$G$4:$G$1612,'март 2024'!$D$4:$D$1612,$B66,'март 2024'!$J$4:$J$1612,P$1)</f>
        <v>0</v>
      </c>
      <c r="Q66" s="80">
        <f>SUMIFS('март 2024'!$G$4:$G$1612,'март 2024'!$D$4:$D$1612,$B66,'март 2024'!$J$4:$J$1612,Q$1)</f>
        <v>0</v>
      </c>
      <c r="R66" s="80">
        <f>SUMIFS('март 2024'!$G$4:$G$1612,'март 2024'!$D$4:$D$1612,$B66,'март 2024'!$J$4:$J$1612,R$1)</f>
        <v>0</v>
      </c>
      <c r="S66" s="80">
        <f>SUMIFS('март 2024'!$G$4:$G$1612,'март 2024'!$D$4:$D$1612,$B66,'март 2024'!$J$4:$J$1612,S$1)</f>
        <v>0</v>
      </c>
      <c r="T66" s="80">
        <f>SUMIFS('март 2024'!$G$4:$G$1612,'март 2024'!$D$4:$D$1612,$B66,'март 2024'!$J$4:$J$1612,T$1)</f>
        <v>0</v>
      </c>
      <c r="U66" s="80">
        <f>SUMIFS('март 2024'!$G$4:$G$1612,'март 2024'!$D$4:$D$1612,$B66,'март 2024'!$J$4:$J$1612,U$1)</f>
        <v>0</v>
      </c>
      <c r="V66" s="80">
        <f>SUMIFS('март 2024'!$G$4:$G$1612,'март 2024'!$D$4:$D$1612,$B66,'март 2024'!$J$4:$J$1612,V$1)</f>
        <v>0</v>
      </c>
      <c r="W66" s="80">
        <f>SUMIFS('март 2024'!$G$4:$G$1612,'март 2024'!$D$4:$D$1612,$B66,'март 2024'!$J$4:$J$1612,W$1)</f>
        <v>0</v>
      </c>
      <c r="X66" s="80">
        <f>SUMIFS('март 2024'!$G$4:$G$1612,'март 2024'!$D$4:$D$1612,$B66,'март 2024'!$J$4:$J$1612,X$1)</f>
        <v>0</v>
      </c>
      <c r="Y66" s="80">
        <f>SUMIFS('март 2024'!$G$4:$G$1612,'март 2024'!$D$4:$D$1612,$B66,'март 2024'!$J$4:$J$1612,Y$1)</f>
        <v>0</v>
      </c>
      <c r="Z66" s="80">
        <f>SUMIFS('март 2024'!$G$4:$G$1612,'март 2024'!$D$4:$D$1612,$B66,'март 2024'!$J$4:$J$1612,Z$1)</f>
        <v>0</v>
      </c>
      <c r="AA66" s="80">
        <f>SUMIFS('март 2024'!$G$4:$G$1612,'март 2024'!$D$4:$D$1612,$B66,'март 2024'!$J$4:$J$1612,AA$1)</f>
        <v>0</v>
      </c>
      <c r="AB66" s="80">
        <f>SUMIFS('март 2024'!$G$4:$G$1612,'март 2024'!$D$4:$D$1612,$B66,'март 2024'!$J$4:$J$1612,AB$1)</f>
        <v>0</v>
      </c>
      <c r="AC66" s="80">
        <f>SUMIFS('март 2024'!$G$4:$G$1612,'март 2024'!$D$4:$D$1612,$B66,'март 2024'!$J$4:$J$1612,AC$1)</f>
        <v>0</v>
      </c>
      <c r="AD66" s="80">
        <f>SUMIFS('март 2024'!$G$4:$G$1612,'март 2024'!$D$4:$D$1612,$B66,'март 2024'!$J$4:$J$1612,AD$1)</f>
        <v>0</v>
      </c>
      <c r="AE66" s="80">
        <f>SUMIFS('март 2024'!$G$4:$G$1612,'март 2024'!$D$4:$D$1612,$B66,'март 2024'!$J$4:$J$1612,AE$1)</f>
        <v>0</v>
      </c>
      <c r="AF66" s="80">
        <f>SUMIFS('март 2024'!$G$4:$G$1612,'март 2024'!$D$4:$D$1612,$B66,'март 2024'!$J$4:$J$1612,AF$1)</f>
        <v>0</v>
      </c>
      <c r="AG66" s="80">
        <f>SUMIFS('март 2024'!$G$4:$G$1612,'март 2024'!$D$4:$D$1612,$B66,'март 2024'!$J$4:$J$1612,AG$1)</f>
        <v>0</v>
      </c>
      <c r="AH66" s="80">
        <f>SUMIFS('март 2024'!$G$4:$G$1612,'март 2024'!$D$4:$D$1612,$B66,'март 2024'!$J$4:$J$1612,AH$1)</f>
        <v>0</v>
      </c>
      <c r="AI66" s="21">
        <f>SUM(D66:AH66)</f>
        <v>0</v>
      </c>
    </row>
    <row r="67" spans="2:35" ht="15" customHeight="1" x14ac:dyDescent="0.25">
      <c r="B67" s="93" t="s">
        <v>213</v>
      </c>
      <c r="C67" s="91">
        <v>200</v>
      </c>
      <c r="D67" s="80">
        <f>SUMIFS('март 2024'!$G$4:$G$1612,'март 2024'!$D$4:$D$1612,$B67,'март 2024'!$J$4:$J$1612,D$1)</f>
        <v>0</v>
      </c>
      <c r="E67" s="80">
        <f>SUMIFS('март 2024'!$G$4:$G$1612,'март 2024'!$D$4:$D$1612,$B67,'март 2024'!$J$4:$J$1612,E$1)</f>
        <v>0</v>
      </c>
      <c r="F67" s="80">
        <f>SUMIFS('март 2024'!$G$4:$G$1612,'март 2024'!$D$4:$D$1612,$B67,'март 2024'!$J$4:$J$1612,F$1)</f>
        <v>0</v>
      </c>
      <c r="G67" s="80">
        <f>SUMIFS('март 2024'!$G$4:$G$1612,'март 2024'!$D$4:$D$1612,$B67,'март 2024'!$J$4:$J$1612,G$1)</f>
        <v>0</v>
      </c>
      <c r="H67" s="80">
        <f>SUMIFS('март 2024'!$G$4:$G$1612,'март 2024'!$D$4:$D$1612,$B67,'март 2024'!$J$4:$J$1612,H$1)</f>
        <v>0</v>
      </c>
      <c r="I67" s="80">
        <f>SUMIFS('март 2024'!$G$4:$G$1612,'март 2024'!$D$4:$D$1612,$B67,'март 2024'!$J$4:$J$1612,I$1)</f>
        <v>0</v>
      </c>
      <c r="J67" s="80">
        <f>SUMIFS('март 2024'!$G$4:$G$1612,'март 2024'!$D$4:$D$1612,$B67,'март 2024'!$J$4:$J$1612,J$1)</f>
        <v>0</v>
      </c>
      <c r="K67" s="80">
        <f>SUMIFS('март 2024'!$G$4:$G$1612,'март 2024'!$D$4:$D$1612,$B67,'март 2024'!$J$4:$J$1612,K$1)</f>
        <v>0</v>
      </c>
      <c r="L67" s="80">
        <f>SUMIFS('март 2024'!$G$4:$G$1612,'март 2024'!$D$4:$D$1612,$B67,'март 2024'!$J$4:$J$1612,L$1)</f>
        <v>0</v>
      </c>
      <c r="M67" s="80">
        <f>SUMIFS('март 2024'!$G$4:$G$1612,'март 2024'!$D$4:$D$1612,$B67,'март 2024'!$J$4:$J$1612,M$1)</f>
        <v>0</v>
      </c>
      <c r="N67" s="80">
        <f>SUMIFS('март 2024'!$G$4:$G$1612,'март 2024'!$D$4:$D$1612,$B67,'март 2024'!$J$4:$J$1612,N$1)</f>
        <v>0</v>
      </c>
      <c r="O67" s="80">
        <f>SUMIFS('март 2024'!$G$4:$G$1612,'март 2024'!$D$4:$D$1612,$B67,'март 2024'!$J$4:$J$1612,O$1)</f>
        <v>0</v>
      </c>
      <c r="P67" s="80">
        <f>SUMIFS('март 2024'!$G$4:$G$1612,'март 2024'!$D$4:$D$1612,$B67,'март 2024'!$J$4:$J$1612,P$1)</f>
        <v>0</v>
      </c>
      <c r="Q67" s="80">
        <f>SUMIFS('март 2024'!$G$4:$G$1612,'март 2024'!$D$4:$D$1612,$B67,'март 2024'!$J$4:$J$1612,Q$1)</f>
        <v>0</v>
      </c>
      <c r="R67" s="80">
        <f>SUMIFS('март 2024'!$G$4:$G$1612,'март 2024'!$D$4:$D$1612,$B67,'март 2024'!$J$4:$J$1612,R$1)</f>
        <v>0</v>
      </c>
      <c r="S67" s="80">
        <f>SUMIFS('март 2024'!$G$4:$G$1612,'март 2024'!$D$4:$D$1612,$B67,'март 2024'!$J$4:$J$1612,S$1)</f>
        <v>0</v>
      </c>
      <c r="T67" s="80">
        <f>SUMIFS('март 2024'!$G$4:$G$1612,'март 2024'!$D$4:$D$1612,$B67,'март 2024'!$J$4:$J$1612,T$1)</f>
        <v>0</v>
      </c>
      <c r="U67" s="80">
        <f>SUMIFS('март 2024'!$G$4:$G$1612,'март 2024'!$D$4:$D$1612,$B67,'март 2024'!$J$4:$J$1612,U$1)</f>
        <v>0</v>
      </c>
      <c r="V67" s="80">
        <f>SUMIFS('март 2024'!$G$4:$G$1612,'март 2024'!$D$4:$D$1612,$B67,'март 2024'!$J$4:$J$1612,V$1)</f>
        <v>0</v>
      </c>
      <c r="W67" s="80">
        <f>SUMIFS('март 2024'!$G$4:$G$1612,'март 2024'!$D$4:$D$1612,$B67,'март 2024'!$J$4:$J$1612,W$1)</f>
        <v>0</v>
      </c>
      <c r="X67" s="80">
        <f>SUMIFS('март 2024'!$G$4:$G$1612,'март 2024'!$D$4:$D$1612,$B67,'март 2024'!$J$4:$J$1612,X$1)</f>
        <v>0</v>
      </c>
      <c r="Y67" s="80">
        <f>SUMIFS('март 2024'!$G$4:$G$1612,'март 2024'!$D$4:$D$1612,$B67,'март 2024'!$J$4:$J$1612,Y$1)</f>
        <v>0</v>
      </c>
      <c r="Z67" s="80">
        <f>SUMIFS('март 2024'!$G$4:$G$1612,'март 2024'!$D$4:$D$1612,$B67,'март 2024'!$J$4:$J$1612,Z$1)</f>
        <v>0</v>
      </c>
      <c r="AA67" s="80">
        <f>SUMIFS('март 2024'!$G$4:$G$1612,'март 2024'!$D$4:$D$1612,$B67,'март 2024'!$J$4:$J$1612,AA$1)</f>
        <v>0</v>
      </c>
      <c r="AB67" s="80">
        <f>SUMIFS('март 2024'!$G$4:$G$1612,'март 2024'!$D$4:$D$1612,$B67,'март 2024'!$J$4:$J$1612,AB$1)</f>
        <v>0</v>
      </c>
      <c r="AC67" s="80">
        <f>SUMIFS('март 2024'!$G$4:$G$1612,'март 2024'!$D$4:$D$1612,$B67,'март 2024'!$J$4:$J$1612,AC$1)</f>
        <v>0</v>
      </c>
      <c r="AD67" s="80">
        <f>SUMIFS('март 2024'!$G$4:$G$1612,'март 2024'!$D$4:$D$1612,$B67,'март 2024'!$J$4:$J$1612,AD$1)</f>
        <v>0</v>
      </c>
      <c r="AE67" s="80">
        <f>SUMIFS('март 2024'!$G$4:$G$1612,'март 2024'!$D$4:$D$1612,$B67,'март 2024'!$J$4:$J$1612,AE$1)</f>
        <v>0</v>
      </c>
      <c r="AF67" s="80">
        <f>SUMIFS('март 2024'!$G$4:$G$1612,'март 2024'!$D$4:$D$1612,$B67,'март 2024'!$J$4:$J$1612,AF$1)</f>
        <v>0</v>
      </c>
      <c r="AG67" s="80">
        <f>SUMIFS('март 2024'!$G$4:$G$1612,'март 2024'!$D$4:$D$1612,$B67,'март 2024'!$J$4:$J$1612,AG$1)</f>
        <v>0</v>
      </c>
      <c r="AH67" s="80">
        <f>SUMIFS('март 2024'!$G$4:$G$1612,'март 2024'!$D$4:$D$1612,$B67,'март 2024'!$J$4:$J$1612,AH$1)</f>
        <v>0</v>
      </c>
      <c r="AI67" s="21">
        <f t="shared" si="1"/>
        <v>0</v>
      </c>
    </row>
    <row r="68" spans="2:35" ht="15" customHeight="1" x14ac:dyDescent="0.25">
      <c r="B68" s="93" t="s">
        <v>197</v>
      </c>
      <c r="C68" s="91">
        <v>200</v>
      </c>
      <c r="D68" s="80">
        <f>SUMIFS('март 2024'!$G$4:$G$1612,'март 2024'!$D$4:$D$1612,$B68,'март 2024'!$J$4:$J$1612,D$1)</f>
        <v>0</v>
      </c>
      <c r="E68" s="80">
        <f>SUMIFS('март 2024'!$G$4:$G$1612,'март 2024'!$D$4:$D$1612,$B68,'март 2024'!$J$4:$J$1612,E$1)</f>
        <v>0</v>
      </c>
      <c r="F68" s="80">
        <f>SUMIFS('март 2024'!$G$4:$G$1612,'март 2024'!$D$4:$D$1612,$B68,'март 2024'!$J$4:$J$1612,F$1)</f>
        <v>0</v>
      </c>
      <c r="G68" s="80">
        <f>SUMIFS('март 2024'!$G$4:$G$1612,'март 2024'!$D$4:$D$1612,$B68,'март 2024'!$J$4:$J$1612,G$1)</f>
        <v>0</v>
      </c>
      <c r="H68" s="80">
        <f>SUMIFS('март 2024'!$G$4:$G$1612,'март 2024'!$D$4:$D$1612,$B68,'март 2024'!$J$4:$J$1612,H$1)</f>
        <v>0</v>
      </c>
      <c r="I68" s="80">
        <f>SUMIFS('март 2024'!$G$4:$G$1612,'март 2024'!$D$4:$D$1612,$B68,'март 2024'!$J$4:$J$1612,I$1)</f>
        <v>0</v>
      </c>
      <c r="J68" s="80">
        <f>SUMIFS('март 2024'!$G$4:$G$1612,'март 2024'!$D$4:$D$1612,$B68,'март 2024'!$J$4:$J$1612,J$1)</f>
        <v>0</v>
      </c>
      <c r="K68" s="80">
        <f>SUMIFS('март 2024'!$G$4:$G$1612,'март 2024'!$D$4:$D$1612,$B68,'март 2024'!$J$4:$J$1612,K$1)</f>
        <v>0</v>
      </c>
      <c r="L68" s="80">
        <f>SUMIFS('март 2024'!$G$4:$G$1612,'март 2024'!$D$4:$D$1612,$B68,'март 2024'!$J$4:$J$1612,L$1)</f>
        <v>0</v>
      </c>
      <c r="M68" s="80">
        <f>SUMIFS('март 2024'!$G$4:$G$1612,'март 2024'!$D$4:$D$1612,$B68,'март 2024'!$J$4:$J$1612,M$1)</f>
        <v>0</v>
      </c>
      <c r="N68" s="80">
        <f>SUMIFS('март 2024'!$G$4:$G$1612,'март 2024'!$D$4:$D$1612,$B68,'март 2024'!$J$4:$J$1612,N$1)</f>
        <v>0</v>
      </c>
      <c r="O68" s="80">
        <f>SUMIFS('март 2024'!$G$4:$G$1612,'март 2024'!$D$4:$D$1612,$B68,'март 2024'!$J$4:$J$1612,O$1)</f>
        <v>0</v>
      </c>
      <c r="P68" s="80">
        <f>SUMIFS('март 2024'!$G$4:$G$1612,'март 2024'!$D$4:$D$1612,$B68,'март 2024'!$J$4:$J$1612,P$1)</f>
        <v>0</v>
      </c>
      <c r="Q68" s="80">
        <f>SUMIFS('март 2024'!$G$4:$G$1612,'март 2024'!$D$4:$D$1612,$B68,'март 2024'!$J$4:$J$1612,Q$1)</f>
        <v>0</v>
      </c>
      <c r="R68" s="80">
        <f>SUMIFS('март 2024'!$G$4:$G$1612,'март 2024'!$D$4:$D$1612,$B68,'март 2024'!$J$4:$J$1612,R$1)</f>
        <v>0</v>
      </c>
      <c r="S68" s="80">
        <f>SUMIFS('март 2024'!$G$4:$G$1612,'март 2024'!$D$4:$D$1612,$B68,'март 2024'!$J$4:$J$1612,S$1)</f>
        <v>0</v>
      </c>
      <c r="T68" s="80">
        <f>SUMIFS('март 2024'!$G$4:$G$1612,'март 2024'!$D$4:$D$1612,$B68,'март 2024'!$J$4:$J$1612,T$1)</f>
        <v>0</v>
      </c>
      <c r="U68" s="80">
        <f>SUMIFS('март 2024'!$G$4:$G$1612,'март 2024'!$D$4:$D$1612,$B68,'март 2024'!$J$4:$J$1612,U$1)</f>
        <v>0</v>
      </c>
      <c r="V68" s="80">
        <f>SUMIFS('март 2024'!$G$4:$G$1612,'март 2024'!$D$4:$D$1612,$B68,'март 2024'!$J$4:$J$1612,V$1)</f>
        <v>0</v>
      </c>
      <c r="W68" s="80">
        <f>SUMIFS('март 2024'!$G$4:$G$1612,'март 2024'!$D$4:$D$1612,$B68,'март 2024'!$J$4:$J$1612,W$1)</f>
        <v>0</v>
      </c>
      <c r="X68" s="80">
        <f>SUMIFS('март 2024'!$G$4:$G$1612,'март 2024'!$D$4:$D$1612,$B68,'март 2024'!$J$4:$J$1612,X$1)</f>
        <v>0</v>
      </c>
      <c r="Y68" s="80">
        <f>SUMIFS('март 2024'!$G$4:$G$1612,'март 2024'!$D$4:$D$1612,$B68,'март 2024'!$J$4:$J$1612,Y$1)</f>
        <v>0</v>
      </c>
      <c r="Z68" s="80">
        <f>SUMIFS('март 2024'!$G$4:$G$1612,'март 2024'!$D$4:$D$1612,$B68,'март 2024'!$J$4:$J$1612,Z$1)</f>
        <v>0</v>
      </c>
      <c r="AA68" s="80">
        <f>SUMIFS('март 2024'!$G$4:$G$1612,'март 2024'!$D$4:$D$1612,$B68,'март 2024'!$J$4:$J$1612,AA$1)</f>
        <v>0</v>
      </c>
      <c r="AB68" s="80">
        <f>SUMIFS('март 2024'!$G$4:$G$1612,'март 2024'!$D$4:$D$1612,$B68,'март 2024'!$J$4:$J$1612,AB$1)</f>
        <v>0</v>
      </c>
      <c r="AC68" s="80">
        <f>SUMIFS('март 2024'!$G$4:$G$1612,'март 2024'!$D$4:$D$1612,$B68,'март 2024'!$J$4:$J$1612,AC$1)</f>
        <v>0</v>
      </c>
      <c r="AD68" s="80">
        <f>SUMIFS('март 2024'!$G$4:$G$1612,'март 2024'!$D$4:$D$1612,$B68,'март 2024'!$J$4:$J$1612,AD$1)</f>
        <v>0</v>
      </c>
      <c r="AE68" s="80">
        <f>SUMIFS('март 2024'!$G$4:$G$1612,'март 2024'!$D$4:$D$1612,$B68,'март 2024'!$J$4:$J$1612,AE$1)</f>
        <v>0</v>
      </c>
      <c r="AF68" s="80">
        <f>SUMIFS('март 2024'!$G$4:$G$1612,'март 2024'!$D$4:$D$1612,$B68,'март 2024'!$J$4:$J$1612,AF$1)</f>
        <v>0</v>
      </c>
      <c r="AG68" s="80">
        <f>SUMIFS('март 2024'!$G$4:$G$1612,'март 2024'!$D$4:$D$1612,$B68,'март 2024'!$J$4:$J$1612,AG$1)</f>
        <v>0</v>
      </c>
      <c r="AH68" s="80">
        <f>SUMIFS('март 2024'!$G$4:$G$1612,'март 2024'!$D$4:$D$1612,$B68,'март 2024'!$J$4:$J$1612,AH$1)</f>
        <v>0</v>
      </c>
      <c r="AI68" s="21">
        <f t="shared" si="1"/>
        <v>0</v>
      </c>
    </row>
    <row r="69" spans="2:35" ht="15" customHeight="1" x14ac:dyDescent="0.25">
      <c r="B69" s="93" t="s">
        <v>198</v>
      </c>
      <c r="C69" s="91">
        <v>200</v>
      </c>
      <c r="D69" s="80">
        <f>SUMIFS('март 2024'!$G$4:$G$1612,'март 2024'!$D$4:$D$1612,$B69,'март 2024'!$J$4:$J$1612,D$1)</f>
        <v>0</v>
      </c>
      <c r="E69" s="80">
        <f>SUMIFS('март 2024'!$G$4:$G$1612,'март 2024'!$D$4:$D$1612,$B69,'март 2024'!$J$4:$J$1612,E$1)</f>
        <v>0</v>
      </c>
      <c r="F69" s="80">
        <f>SUMIFS('март 2024'!$G$4:$G$1612,'март 2024'!$D$4:$D$1612,$B69,'март 2024'!$J$4:$J$1612,F$1)</f>
        <v>0</v>
      </c>
      <c r="G69" s="80">
        <f>SUMIFS('март 2024'!$G$4:$G$1612,'март 2024'!$D$4:$D$1612,$B69,'март 2024'!$J$4:$J$1612,G$1)</f>
        <v>0</v>
      </c>
      <c r="H69" s="80">
        <f>SUMIFS('март 2024'!$G$4:$G$1612,'март 2024'!$D$4:$D$1612,$B69,'март 2024'!$J$4:$J$1612,H$1)</f>
        <v>0</v>
      </c>
      <c r="I69" s="80">
        <f>SUMIFS('март 2024'!$G$4:$G$1612,'март 2024'!$D$4:$D$1612,$B69,'март 2024'!$J$4:$J$1612,I$1)</f>
        <v>0</v>
      </c>
      <c r="J69" s="80">
        <f>SUMIFS('март 2024'!$G$4:$G$1612,'март 2024'!$D$4:$D$1612,$B69,'март 2024'!$J$4:$J$1612,J$1)</f>
        <v>0</v>
      </c>
      <c r="K69" s="80">
        <f>SUMIFS('март 2024'!$G$4:$G$1612,'март 2024'!$D$4:$D$1612,$B69,'март 2024'!$J$4:$J$1612,K$1)</f>
        <v>0</v>
      </c>
      <c r="L69" s="80">
        <f>SUMIFS('март 2024'!$G$4:$G$1612,'март 2024'!$D$4:$D$1612,$B69,'март 2024'!$J$4:$J$1612,L$1)</f>
        <v>0</v>
      </c>
      <c r="M69" s="80">
        <f>SUMIFS('март 2024'!$G$4:$G$1612,'март 2024'!$D$4:$D$1612,$B69,'март 2024'!$J$4:$J$1612,M$1)</f>
        <v>0</v>
      </c>
      <c r="N69" s="80">
        <f>SUMIFS('март 2024'!$G$4:$G$1612,'март 2024'!$D$4:$D$1612,$B69,'март 2024'!$J$4:$J$1612,N$1)</f>
        <v>0</v>
      </c>
      <c r="O69" s="80">
        <f>SUMIFS('март 2024'!$G$4:$G$1612,'март 2024'!$D$4:$D$1612,$B69,'март 2024'!$J$4:$J$1612,O$1)</f>
        <v>0</v>
      </c>
      <c r="P69" s="80">
        <f>SUMIFS('март 2024'!$G$4:$G$1612,'март 2024'!$D$4:$D$1612,$B69,'март 2024'!$J$4:$J$1612,P$1)</f>
        <v>0</v>
      </c>
      <c r="Q69" s="80">
        <f>SUMIFS('март 2024'!$G$4:$G$1612,'март 2024'!$D$4:$D$1612,$B69,'март 2024'!$J$4:$J$1612,Q$1)</f>
        <v>0</v>
      </c>
      <c r="R69" s="80">
        <f>SUMIFS('март 2024'!$G$4:$G$1612,'март 2024'!$D$4:$D$1612,$B69,'март 2024'!$J$4:$J$1612,R$1)</f>
        <v>0</v>
      </c>
      <c r="S69" s="80">
        <f>SUMIFS('март 2024'!$G$4:$G$1612,'март 2024'!$D$4:$D$1612,$B69,'март 2024'!$J$4:$J$1612,S$1)</f>
        <v>0</v>
      </c>
      <c r="T69" s="80">
        <f>SUMIFS('март 2024'!$G$4:$G$1612,'март 2024'!$D$4:$D$1612,$B69,'март 2024'!$J$4:$J$1612,T$1)</f>
        <v>0</v>
      </c>
      <c r="U69" s="80">
        <f>SUMIFS('март 2024'!$G$4:$G$1612,'март 2024'!$D$4:$D$1612,$B69,'март 2024'!$J$4:$J$1612,U$1)</f>
        <v>0</v>
      </c>
      <c r="V69" s="80">
        <f>SUMIFS('март 2024'!$G$4:$G$1612,'март 2024'!$D$4:$D$1612,$B69,'март 2024'!$J$4:$J$1612,V$1)</f>
        <v>0</v>
      </c>
      <c r="W69" s="80">
        <f>SUMIFS('март 2024'!$G$4:$G$1612,'март 2024'!$D$4:$D$1612,$B69,'март 2024'!$J$4:$J$1612,W$1)</f>
        <v>0</v>
      </c>
      <c r="X69" s="80">
        <f>SUMIFS('март 2024'!$G$4:$G$1612,'март 2024'!$D$4:$D$1612,$B69,'март 2024'!$J$4:$J$1612,X$1)</f>
        <v>0</v>
      </c>
      <c r="Y69" s="80">
        <f>SUMIFS('март 2024'!$G$4:$G$1612,'март 2024'!$D$4:$D$1612,$B69,'март 2024'!$J$4:$J$1612,Y$1)</f>
        <v>0</v>
      </c>
      <c r="Z69" s="80">
        <f>SUMIFS('март 2024'!$G$4:$G$1612,'март 2024'!$D$4:$D$1612,$B69,'март 2024'!$J$4:$J$1612,Z$1)</f>
        <v>0</v>
      </c>
      <c r="AA69" s="80">
        <f>SUMIFS('март 2024'!$G$4:$G$1612,'март 2024'!$D$4:$D$1612,$B69,'март 2024'!$J$4:$J$1612,AA$1)</f>
        <v>0</v>
      </c>
      <c r="AB69" s="80">
        <f>SUMIFS('март 2024'!$G$4:$G$1612,'март 2024'!$D$4:$D$1612,$B69,'март 2024'!$J$4:$J$1612,AB$1)</f>
        <v>0</v>
      </c>
      <c r="AC69" s="80">
        <f>SUMIFS('март 2024'!$G$4:$G$1612,'март 2024'!$D$4:$D$1612,$B69,'март 2024'!$J$4:$J$1612,AC$1)</f>
        <v>0</v>
      </c>
      <c r="AD69" s="80">
        <f>SUMIFS('март 2024'!$G$4:$G$1612,'март 2024'!$D$4:$D$1612,$B69,'март 2024'!$J$4:$J$1612,AD$1)</f>
        <v>0</v>
      </c>
      <c r="AE69" s="80">
        <f>SUMIFS('март 2024'!$G$4:$G$1612,'март 2024'!$D$4:$D$1612,$B69,'март 2024'!$J$4:$J$1612,AE$1)</f>
        <v>0</v>
      </c>
      <c r="AF69" s="80">
        <f>SUMIFS('март 2024'!$G$4:$G$1612,'март 2024'!$D$4:$D$1612,$B69,'март 2024'!$J$4:$J$1612,AF$1)</f>
        <v>0</v>
      </c>
      <c r="AG69" s="80">
        <f>SUMIFS('март 2024'!$G$4:$G$1612,'март 2024'!$D$4:$D$1612,$B69,'март 2024'!$J$4:$J$1612,AG$1)</f>
        <v>0</v>
      </c>
      <c r="AH69" s="80">
        <f>SUMIFS('март 2024'!$G$4:$G$1612,'март 2024'!$D$4:$D$1612,$B69,'март 2024'!$J$4:$J$1612,AH$1)</f>
        <v>0</v>
      </c>
      <c r="AI69" s="21">
        <f t="shared" si="1"/>
        <v>0</v>
      </c>
    </row>
    <row r="70" spans="2:35" ht="15" customHeight="1" x14ac:dyDescent="0.25">
      <c r="B70" s="93" t="s">
        <v>320</v>
      </c>
      <c r="C70" s="91">
        <v>190</v>
      </c>
      <c r="D70" s="80">
        <f>SUMIFS('март 2024'!$G$4:$G$1612,'март 2024'!$D$4:$D$1612,$B70,'март 2024'!$J$4:$J$1612,D$1)</f>
        <v>0</v>
      </c>
      <c r="E70" s="80">
        <f>SUMIFS('март 2024'!$G$4:$G$1612,'март 2024'!$D$4:$D$1612,$B70,'март 2024'!$J$4:$J$1612,E$1)</f>
        <v>0</v>
      </c>
      <c r="F70" s="80">
        <f>SUMIFS('март 2024'!$G$4:$G$1612,'март 2024'!$D$4:$D$1612,$B70,'март 2024'!$J$4:$J$1612,F$1)</f>
        <v>0</v>
      </c>
      <c r="G70" s="80">
        <f>SUMIFS('март 2024'!$G$4:$G$1612,'март 2024'!$D$4:$D$1612,$B70,'март 2024'!$J$4:$J$1612,G$1)</f>
        <v>0</v>
      </c>
      <c r="H70" s="80">
        <f>SUMIFS('март 2024'!$G$4:$G$1612,'март 2024'!$D$4:$D$1612,$B70,'март 2024'!$J$4:$J$1612,H$1)</f>
        <v>0</v>
      </c>
      <c r="I70" s="80">
        <f>SUMIFS('март 2024'!$G$4:$G$1612,'март 2024'!$D$4:$D$1612,$B70,'март 2024'!$J$4:$J$1612,I$1)</f>
        <v>0</v>
      </c>
      <c r="J70" s="80">
        <f>SUMIFS('март 2024'!$G$4:$G$1612,'март 2024'!$D$4:$D$1612,$B70,'март 2024'!$J$4:$J$1612,J$1)</f>
        <v>0</v>
      </c>
      <c r="K70" s="80">
        <f>SUMIFS('март 2024'!$G$4:$G$1612,'март 2024'!$D$4:$D$1612,$B70,'март 2024'!$J$4:$J$1612,K$1)</f>
        <v>0</v>
      </c>
      <c r="L70" s="80">
        <f>SUMIFS('март 2024'!$G$4:$G$1612,'март 2024'!$D$4:$D$1612,$B70,'март 2024'!$J$4:$J$1612,L$1)</f>
        <v>0</v>
      </c>
      <c r="M70" s="80">
        <f>SUMIFS('март 2024'!$G$4:$G$1612,'март 2024'!$D$4:$D$1612,$B70,'март 2024'!$J$4:$J$1612,M$1)</f>
        <v>0</v>
      </c>
      <c r="N70" s="80">
        <f>SUMIFS('март 2024'!$G$4:$G$1612,'март 2024'!$D$4:$D$1612,$B70,'март 2024'!$J$4:$J$1612,N$1)</f>
        <v>0</v>
      </c>
      <c r="O70" s="80">
        <f>SUMIFS('март 2024'!$G$4:$G$1612,'март 2024'!$D$4:$D$1612,$B70,'март 2024'!$J$4:$J$1612,O$1)</f>
        <v>0</v>
      </c>
      <c r="P70" s="80">
        <f>SUMIFS('март 2024'!$G$4:$G$1612,'март 2024'!$D$4:$D$1612,$B70,'март 2024'!$J$4:$J$1612,P$1)</f>
        <v>0</v>
      </c>
      <c r="Q70" s="80">
        <f>SUMIFS('март 2024'!$G$4:$G$1612,'март 2024'!$D$4:$D$1612,$B70,'март 2024'!$J$4:$J$1612,Q$1)</f>
        <v>0</v>
      </c>
      <c r="R70" s="80">
        <f>SUMIFS('март 2024'!$G$4:$G$1612,'март 2024'!$D$4:$D$1612,$B70,'март 2024'!$J$4:$J$1612,R$1)</f>
        <v>0</v>
      </c>
      <c r="S70" s="80">
        <f>SUMIFS('март 2024'!$G$4:$G$1612,'март 2024'!$D$4:$D$1612,$B70,'март 2024'!$J$4:$J$1612,S$1)</f>
        <v>0</v>
      </c>
      <c r="T70" s="80">
        <f>SUMIFS('март 2024'!$G$4:$G$1612,'март 2024'!$D$4:$D$1612,$B70,'март 2024'!$J$4:$J$1612,T$1)</f>
        <v>0</v>
      </c>
      <c r="U70" s="80">
        <f>SUMIFS('март 2024'!$G$4:$G$1612,'март 2024'!$D$4:$D$1612,$B70,'март 2024'!$J$4:$J$1612,U$1)</f>
        <v>0</v>
      </c>
      <c r="V70" s="80">
        <f>SUMIFS('март 2024'!$G$4:$G$1612,'март 2024'!$D$4:$D$1612,$B70,'март 2024'!$J$4:$J$1612,V$1)</f>
        <v>0</v>
      </c>
      <c r="W70" s="80">
        <f>SUMIFS('март 2024'!$G$4:$G$1612,'март 2024'!$D$4:$D$1612,$B70,'март 2024'!$J$4:$J$1612,W$1)</f>
        <v>0</v>
      </c>
      <c r="X70" s="80">
        <f>SUMIFS('март 2024'!$G$4:$G$1612,'март 2024'!$D$4:$D$1612,$B70,'март 2024'!$J$4:$J$1612,X$1)</f>
        <v>0</v>
      </c>
      <c r="Y70" s="80">
        <f>SUMIFS('март 2024'!$G$4:$G$1612,'март 2024'!$D$4:$D$1612,$B70,'март 2024'!$J$4:$J$1612,Y$1)</f>
        <v>0</v>
      </c>
      <c r="Z70" s="80">
        <f>SUMIFS('март 2024'!$G$4:$G$1612,'март 2024'!$D$4:$D$1612,$B70,'март 2024'!$J$4:$J$1612,Z$1)</f>
        <v>0</v>
      </c>
      <c r="AA70" s="80">
        <f>SUMIFS('март 2024'!$G$4:$G$1612,'март 2024'!$D$4:$D$1612,$B70,'март 2024'!$J$4:$J$1612,AA$1)</f>
        <v>0</v>
      </c>
      <c r="AB70" s="80">
        <f>SUMIFS('март 2024'!$G$4:$G$1612,'март 2024'!$D$4:$D$1612,$B70,'март 2024'!$J$4:$J$1612,AB$1)</f>
        <v>0</v>
      </c>
      <c r="AC70" s="80">
        <f>SUMIFS('март 2024'!$G$4:$G$1612,'март 2024'!$D$4:$D$1612,$B70,'март 2024'!$J$4:$J$1612,AC$1)</f>
        <v>0</v>
      </c>
      <c r="AD70" s="80">
        <f>SUMIFS('март 2024'!$G$4:$G$1612,'март 2024'!$D$4:$D$1612,$B70,'март 2024'!$J$4:$J$1612,AD$1)</f>
        <v>0</v>
      </c>
      <c r="AE70" s="80">
        <f>SUMIFS('март 2024'!$G$4:$G$1612,'март 2024'!$D$4:$D$1612,$B70,'март 2024'!$J$4:$J$1612,AE$1)</f>
        <v>0</v>
      </c>
      <c r="AF70" s="80">
        <f>SUMIFS('март 2024'!$G$4:$G$1612,'март 2024'!$D$4:$D$1612,$B70,'март 2024'!$J$4:$J$1612,AF$1)</f>
        <v>0</v>
      </c>
      <c r="AG70" s="80">
        <f>SUMIFS('март 2024'!$G$4:$G$1612,'март 2024'!$D$4:$D$1612,$B70,'март 2024'!$J$4:$J$1612,AG$1)</f>
        <v>0</v>
      </c>
      <c r="AH70" s="80">
        <f>SUMIFS('март 2024'!$G$4:$G$1612,'март 2024'!$D$4:$D$1612,$B70,'март 2024'!$J$4:$J$1612,AH$1)</f>
        <v>0</v>
      </c>
      <c r="AI70" s="21">
        <f t="shared" si="1"/>
        <v>0</v>
      </c>
    </row>
    <row r="71" spans="2:35" ht="15" customHeight="1" x14ac:dyDescent="0.25">
      <c r="B71" s="93" t="s">
        <v>210</v>
      </c>
      <c r="C71" s="91">
        <v>200</v>
      </c>
      <c r="D71" s="80">
        <f>SUMIFS('март 2024'!$G$4:$G$1612,'март 2024'!$D$4:$D$1612,$B71,'март 2024'!$J$4:$J$1612,D$1)</f>
        <v>0</v>
      </c>
      <c r="E71" s="80">
        <f>SUMIFS('март 2024'!$G$4:$G$1612,'март 2024'!$D$4:$D$1612,$B71,'март 2024'!$J$4:$J$1612,E$1)</f>
        <v>0</v>
      </c>
      <c r="F71" s="80">
        <f>SUMIFS('март 2024'!$G$4:$G$1612,'март 2024'!$D$4:$D$1612,$B71,'март 2024'!$J$4:$J$1612,F$1)</f>
        <v>0</v>
      </c>
      <c r="G71" s="80">
        <f>SUMIFS('март 2024'!$G$4:$G$1612,'март 2024'!$D$4:$D$1612,$B71,'март 2024'!$J$4:$J$1612,G$1)</f>
        <v>0</v>
      </c>
      <c r="H71" s="80">
        <f>SUMIFS('март 2024'!$G$4:$G$1612,'март 2024'!$D$4:$D$1612,$B71,'март 2024'!$J$4:$J$1612,H$1)</f>
        <v>0</v>
      </c>
      <c r="I71" s="80">
        <f>SUMIFS('март 2024'!$G$4:$G$1612,'март 2024'!$D$4:$D$1612,$B71,'март 2024'!$J$4:$J$1612,I$1)</f>
        <v>0</v>
      </c>
      <c r="J71" s="80">
        <f>SUMIFS('март 2024'!$G$4:$G$1612,'март 2024'!$D$4:$D$1612,$B71,'март 2024'!$J$4:$J$1612,J$1)</f>
        <v>0</v>
      </c>
      <c r="K71" s="80">
        <f>SUMIFS('март 2024'!$G$4:$G$1612,'март 2024'!$D$4:$D$1612,$B71,'март 2024'!$J$4:$J$1612,K$1)</f>
        <v>0</v>
      </c>
      <c r="L71" s="80">
        <f>SUMIFS('март 2024'!$G$4:$G$1612,'март 2024'!$D$4:$D$1612,$B71,'март 2024'!$J$4:$J$1612,L$1)</f>
        <v>0</v>
      </c>
      <c r="M71" s="80">
        <f>SUMIFS('март 2024'!$G$4:$G$1612,'март 2024'!$D$4:$D$1612,$B71,'март 2024'!$J$4:$J$1612,M$1)</f>
        <v>0</v>
      </c>
      <c r="N71" s="80">
        <f>SUMIFS('март 2024'!$G$4:$G$1612,'март 2024'!$D$4:$D$1612,$B71,'март 2024'!$J$4:$J$1612,N$1)</f>
        <v>0</v>
      </c>
      <c r="O71" s="80">
        <f>SUMIFS('март 2024'!$G$4:$G$1612,'март 2024'!$D$4:$D$1612,$B71,'март 2024'!$J$4:$J$1612,O$1)</f>
        <v>0</v>
      </c>
      <c r="P71" s="80">
        <f>SUMIFS('март 2024'!$G$4:$G$1612,'март 2024'!$D$4:$D$1612,$B71,'март 2024'!$J$4:$J$1612,P$1)</f>
        <v>0</v>
      </c>
      <c r="Q71" s="80">
        <f>SUMIFS('март 2024'!$G$4:$G$1612,'март 2024'!$D$4:$D$1612,$B71,'март 2024'!$J$4:$J$1612,Q$1)</f>
        <v>0</v>
      </c>
      <c r="R71" s="80">
        <f>SUMIFS('март 2024'!$G$4:$G$1612,'март 2024'!$D$4:$D$1612,$B71,'март 2024'!$J$4:$J$1612,R$1)</f>
        <v>0</v>
      </c>
      <c r="S71" s="80">
        <f>SUMIFS('март 2024'!$G$4:$G$1612,'март 2024'!$D$4:$D$1612,$B71,'март 2024'!$J$4:$J$1612,S$1)</f>
        <v>0</v>
      </c>
      <c r="T71" s="80">
        <f>SUMIFS('март 2024'!$G$4:$G$1612,'март 2024'!$D$4:$D$1612,$B71,'март 2024'!$J$4:$J$1612,T$1)</f>
        <v>0</v>
      </c>
      <c r="U71" s="80">
        <f>SUMIFS('март 2024'!$G$4:$G$1612,'март 2024'!$D$4:$D$1612,$B71,'март 2024'!$J$4:$J$1612,U$1)</f>
        <v>0</v>
      </c>
      <c r="V71" s="80">
        <f>SUMIFS('март 2024'!$G$4:$G$1612,'март 2024'!$D$4:$D$1612,$B71,'март 2024'!$J$4:$J$1612,V$1)</f>
        <v>0</v>
      </c>
      <c r="W71" s="80">
        <f>SUMIFS('март 2024'!$G$4:$G$1612,'март 2024'!$D$4:$D$1612,$B71,'март 2024'!$J$4:$J$1612,W$1)</f>
        <v>0</v>
      </c>
      <c r="X71" s="80">
        <f>SUMIFS('март 2024'!$G$4:$G$1612,'март 2024'!$D$4:$D$1612,$B71,'март 2024'!$J$4:$J$1612,X$1)</f>
        <v>0</v>
      </c>
      <c r="Y71" s="80">
        <f>SUMIFS('март 2024'!$G$4:$G$1612,'март 2024'!$D$4:$D$1612,$B71,'март 2024'!$J$4:$J$1612,Y$1)</f>
        <v>0</v>
      </c>
      <c r="Z71" s="80">
        <f>SUMIFS('март 2024'!$G$4:$G$1612,'март 2024'!$D$4:$D$1612,$B71,'март 2024'!$J$4:$J$1612,Z$1)</f>
        <v>0</v>
      </c>
      <c r="AA71" s="80">
        <f>SUMIFS('март 2024'!$G$4:$G$1612,'март 2024'!$D$4:$D$1612,$B71,'март 2024'!$J$4:$J$1612,AA$1)</f>
        <v>0</v>
      </c>
      <c r="AB71" s="80">
        <f>SUMIFS('март 2024'!$G$4:$G$1612,'март 2024'!$D$4:$D$1612,$B71,'март 2024'!$J$4:$J$1612,AB$1)</f>
        <v>0</v>
      </c>
      <c r="AC71" s="80">
        <f>SUMIFS('март 2024'!$G$4:$G$1612,'март 2024'!$D$4:$D$1612,$B71,'март 2024'!$J$4:$J$1612,AC$1)</f>
        <v>0</v>
      </c>
      <c r="AD71" s="80">
        <f>SUMIFS('март 2024'!$G$4:$G$1612,'март 2024'!$D$4:$D$1612,$B71,'март 2024'!$J$4:$J$1612,AD$1)</f>
        <v>0</v>
      </c>
      <c r="AE71" s="80">
        <f>SUMIFS('март 2024'!$G$4:$G$1612,'март 2024'!$D$4:$D$1612,$B71,'март 2024'!$J$4:$J$1612,AE$1)</f>
        <v>0</v>
      </c>
      <c r="AF71" s="80">
        <f>SUMIFS('март 2024'!$G$4:$G$1612,'март 2024'!$D$4:$D$1612,$B71,'март 2024'!$J$4:$J$1612,AF$1)</f>
        <v>0</v>
      </c>
      <c r="AG71" s="80">
        <f>SUMIFS('март 2024'!$G$4:$G$1612,'март 2024'!$D$4:$D$1612,$B71,'март 2024'!$J$4:$J$1612,AG$1)</f>
        <v>0</v>
      </c>
      <c r="AH71" s="80">
        <f>SUMIFS('март 2024'!$G$4:$G$1612,'март 2024'!$D$4:$D$1612,$B71,'март 2024'!$J$4:$J$1612,AH$1)</f>
        <v>0</v>
      </c>
      <c r="AI71" s="21">
        <f t="shared" si="1"/>
        <v>0</v>
      </c>
    </row>
    <row r="72" spans="2:35" ht="15" customHeight="1" x14ac:dyDescent="0.25">
      <c r="B72" s="93" t="s">
        <v>221</v>
      </c>
      <c r="C72" s="91">
        <v>25</v>
      </c>
      <c r="D72" s="80">
        <f>SUMIFS('март 2024'!$G$4:$G$1612,'март 2024'!$D$4:$D$1612,$B72,'март 2024'!$J$4:$J$1612,D$1)</f>
        <v>0</v>
      </c>
      <c r="E72" s="80">
        <f>SUMIFS('март 2024'!$G$4:$G$1612,'март 2024'!$D$4:$D$1612,$B72,'март 2024'!$J$4:$J$1612,E$1)</f>
        <v>0</v>
      </c>
      <c r="F72" s="80">
        <f>SUMIFS('март 2024'!$G$4:$G$1612,'март 2024'!$D$4:$D$1612,$B72,'март 2024'!$J$4:$J$1612,F$1)</f>
        <v>0</v>
      </c>
      <c r="G72" s="80">
        <f>SUMIFS('март 2024'!$G$4:$G$1612,'март 2024'!$D$4:$D$1612,$B72,'март 2024'!$J$4:$J$1612,G$1)</f>
        <v>0</v>
      </c>
      <c r="H72" s="80">
        <f>SUMIFS('март 2024'!$G$4:$G$1612,'март 2024'!$D$4:$D$1612,$B72,'март 2024'!$J$4:$J$1612,H$1)</f>
        <v>0</v>
      </c>
      <c r="I72" s="80">
        <f>SUMIFS('март 2024'!$G$4:$G$1612,'март 2024'!$D$4:$D$1612,$B72,'март 2024'!$J$4:$J$1612,I$1)</f>
        <v>0</v>
      </c>
      <c r="J72" s="80">
        <f>SUMIFS('март 2024'!$G$4:$G$1612,'март 2024'!$D$4:$D$1612,$B72,'март 2024'!$J$4:$J$1612,J$1)</f>
        <v>0</v>
      </c>
      <c r="K72" s="80">
        <f>SUMIFS('март 2024'!$G$4:$G$1612,'март 2024'!$D$4:$D$1612,$B72,'март 2024'!$J$4:$J$1612,K$1)</f>
        <v>0</v>
      </c>
      <c r="L72" s="80">
        <f>SUMIFS('март 2024'!$G$4:$G$1612,'март 2024'!$D$4:$D$1612,$B72,'март 2024'!$J$4:$J$1612,L$1)</f>
        <v>0</v>
      </c>
      <c r="M72" s="80">
        <f>SUMIFS('март 2024'!$G$4:$G$1612,'март 2024'!$D$4:$D$1612,$B72,'март 2024'!$J$4:$J$1612,M$1)</f>
        <v>0</v>
      </c>
      <c r="N72" s="80">
        <f>SUMIFS('март 2024'!$G$4:$G$1612,'март 2024'!$D$4:$D$1612,$B72,'март 2024'!$J$4:$J$1612,N$1)</f>
        <v>0</v>
      </c>
      <c r="O72" s="80">
        <f>SUMIFS('март 2024'!$G$4:$G$1612,'март 2024'!$D$4:$D$1612,$B72,'март 2024'!$J$4:$J$1612,O$1)</f>
        <v>0</v>
      </c>
      <c r="P72" s="80">
        <f>SUMIFS('март 2024'!$G$4:$G$1612,'март 2024'!$D$4:$D$1612,$B72,'март 2024'!$J$4:$J$1612,P$1)</f>
        <v>0</v>
      </c>
      <c r="Q72" s="80">
        <f>SUMIFS('март 2024'!$G$4:$G$1612,'март 2024'!$D$4:$D$1612,$B72,'март 2024'!$J$4:$J$1612,Q$1)</f>
        <v>0</v>
      </c>
      <c r="R72" s="80">
        <f>SUMIFS('март 2024'!$G$4:$G$1612,'март 2024'!$D$4:$D$1612,$B72,'март 2024'!$J$4:$J$1612,R$1)</f>
        <v>0</v>
      </c>
      <c r="S72" s="80">
        <f>SUMIFS('март 2024'!$G$4:$G$1612,'март 2024'!$D$4:$D$1612,$B72,'март 2024'!$J$4:$J$1612,S$1)</f>
        <v>0</v>
      </c>
      <c r="T72" s="80">
        <f>SUMIFS('март 2024'!$G$4:$G$1612,'март 2024'!$D$4:$D$1612,$B72,'март 2024'!$J$4:$J$1612,T$1)</f>
        <v>0</v>
      </c>
      <c r="U72" s="80">
        <f>SUMIFS('март 2024'!$G$4:$G$1612,'март 2024'!$D$4:$D$1612,$B72,'март 2024'!$J$4:$J$1612,U$1)</f>
        <v>0</v>
      </c>
      <c r="V72" s="80">
        <f>SUMIFS('март 2024'!$G$4:$G$1612,'март 2024'!$D$4:$D$1612,$B72,'март 2024'!$J$4:$J$1612,V$1)</f>
        <v>0</v>
      </c>
      <c r="W72" s="80">
        <f>SUMIFS('март 2024'!$G$4:$G$1612,'март 2024'!$D$4:$D$1612,$B72,'март 2024'!$J$4:$J$1612,W$1)</f>
        <v>0</v>
      </c>
      <c r="X72" s="80">
        <f>SUMIFS('март 2024'!$G$4:$G$1612,'март 2024'!$D$4:$D$1612,$B72,'март 2024'!$J$4:$J$1612,X$1)</f>
        <v>0</v>
      </c>
      <c r="Y72" s="80">
        <f>SUMIFS('март 2024'!$G$4:$G$1612,'март 2024'!$D$4:$D$1612,$B72,'март 2024'!$J$4:$J$1612,Y$1)</f>
        <v>0</v>
      </c>
      <c r="Z72" s="80">
        <f>SUMIFS('март 2024'!$G$4:$G$1612,'март 2024'!$D$4:$D$1612,$B72,'март 2024'!$J$4:$J$1612,Z$1)</f>
        <v>0</v>
      </c>
      <c r="AA72" s="80">
        <f>SUMIFS('март 2024'!$G$4:$G$1612,'март 2024'!$D$4:$D$1612,$B72,'март 2024'!$J$4:$J$1612,AA$1)</f>
        <v>0</v>
      </c>
      <c r="AB72" s="80">
        <f>SUMIFS('март 2024'!$G$4:$G$1612,'март 2024'!$D$4:$D$1612,$B72,'март 2024'!$J$4:$J$1612,AB$1)</f>
        <v>0</v>
      </c>
      <c r="AC72" s="80">
        <f>SUMIFS('март 2024'!$G$4:$G$1612,'март 2024'!$D$4:$D$1612,$B72,'март 2024'!$J$4:$J$1612,AC$1)</f>
        <v>0</v>
      </c>
      <c r="AD72" s="80">
        <f>SUMIFS('март 2024'!$G$4:$G$1612,'март 2024'!$D$4:$D$1612,$B72,'март 2024'!$J$4:$J$1612,AD$1)</f>
        <v>0</v>
      </c>
      <c r="AE72" s="80">
        <f>SUMIFS('март 2024'!$G$4:$G$1612,'март 2024'!$D$4:$D$1612,$B72,'март 2024'!$J$4:$J$1612,AE$1)</f>
        <v>0</v>
      </c>
      <c r="AF72" s="80">
        <f>SUMIFS('март 2024'!$G$4:$G$1612,'март 2024'!$D$4:$D$1612,$B72,'март 2024'!$J$4:$J$1612,AF$1)</f>
        <v>0</v>
      </c>
      <c r="AG72" s="80">
        <f>SUMIFS('март 2024'!$G$4:$G$1612,'март 2024'!$D$4:$D$1612,$B72,'март 2024'!$J$4:$J$1612,AG$1)</f>
        <v>0</v>
      </c>
      <c r="AH72" s="80">
        <f>SUMIFS('март 2024'!$G$4:$G$1612,'март 2024'!$D$4:$D$1612,$B72,'март 2024'!$J$4:$J$1612,AH$1)</f>
        <v>0</v>
      </c>
      <c r="AI72" s="21">
        <f t="shared" si="1"/>
        <v>0</v>
      </c>
    </row>
    <row r="73" spans="2:35" ht="15" customHeight="1" x14ac:dyDescent="0.25">
      <c r="B73" s="93" t="s">
        <v>188</v>
      </c>
      <c r="C73" s="91">
        <v>50</v>
      </c>
      <c r="D73" s="80">
        <f>SUMIFS('март 2024'!$G$4:$G$1612,'март 2024'!$D$4:$D$1612,$B73,'март 2024'!$J$4:$J$1612,D$1)</f>
        <v>0</v>
      </c>
      <c r="E73" s="80">
        <f>SUMIFS('март 2024'!$G$4:$G$1612,'март 2024'!$D$4:$D$1612,$B73,'март 2024'!$J$4:$J$1612,E$1)</f>
        <v>0</v>
      </c>
      <c r="F73" s="80">
        <f>SUMIFS('март 2024'!$G$4:$G$1612,'март 2024'!$D$4:$D$1612,$B73,'март 2024'!$J$4:$J$1612,F$1)</f>
        <v>0</v>
      </c>
      <c r="G73" s="80">
        <f>SUMIFS('март 2024'!$G$4:$G$1612,'март 2024'!$D$4:$D$1612,$B73,'март 2024'!$J$4:$J$1612,G$1)</f>
        <v>0</v>
      </c>
      <c r="H73" s="80">
        <f>SUMIFS('март 2024'!$G$4:$G$1612,'март 2024'!$D$4:$D$1612,$B73,'март 2024'!$J$4:$J$1612,H$1)</f>
        <v>0</v>
      </c>
      <c r="I73" s="80">
        <f>SUMIFS('март 2024'!$G$4:$G$1612,'март 2024'!$D$4:$D$1612,$B73,'март 2024'!$J$4:$J$1612,I$1)</f>
        <v>0</v>
      </c>
      <c r="J73" s="80">
        <f>SUMIFS('март 2024'!$G$4:$G$1612,'март 2024'!$D$4:$D$1612,$B73,'март 2024'!$J$4:$J$1612,J$1)</f>
        <v>0</v>
      </c>
      <c r="K73" s="80">
        <f>SUMIFS('март 2024'!$G$4:$G$1612,'март 2024'!$D$4:$D$1612,$B73,'март 2024'!$J$4:$J$1612,K$1)</f>
        <v>0</v>
      </c>
      <c r="L73" s="80">
        <f>SUMIFS('март 2024'!$G$4:$G$1612,'март 2024'!$D$4:$D$1612,$B73,'март 2024'!$J$4:$J$1612,L$1)</f>
        <v>0</v>
      </c>
      <c r="M73" s="80">
        <f>SUMIFS('март 2024'!$G$4:$G$1612,'март 2024'!$D$4:$D$1612,$B73,'март 2024'!$J$4:$J$1612,M$1)</f>
        <v>0</v>
      </c>
      <c r="N73" s="80">
        <f>SUMIFS('март 2024'!$G$4:$G$1612,'март 2024'!$D$4:$D$1612,$B73,'март 2024'!$J$4:$J$1612,N$1)</f>
        <v>0</v>
      </c>
      <c r="O73" s="80">
        <f>SUMIFS('март 2024'!$G$4:$G$1612,'март 2024'!$D$4:$D$1612,$B73,'март 2024'!$J$4:$J$1612,O$1)</f>
        <v>0</v>
      </c>
      <c r="P73" s="80">
        <f>SUMIFS('март 2024'!$G$4:$G$1612,'март 2024'!$D$4:$D$1612,$B73,'март 2024'!$J$4:$J$1612,P$1)</f>
        <v>0</v>
      </c>
      <c r="Q73" s="80">
        <f>SUMIFS('март 2024'!$G$4:$G$1612,'март 2024'!$D$4:$D$1612,$B73,'март 2024'!$J$4:$J$1612,Q$1)</f>
        <v>0</v>
      </c>
      <c r="R73" s="80">
        <f>SUMIFS('март 2024'!$G$4:$G$1612,'март 2024'!$D$4:$D$1612,$B73,'март 2024'!$J$4:$J$1612,R$1)</f>
        <v>0</v>
      </c>
      <c r="S73" s="80">
        <f>SUMIFS('март 2024'!$G$4:$G$1612,'март 2024'!$D$4:$D$1612,$B73,'март 2024'!$J$4:$J$1612,S$1)</f>
        <v>0</v>
      </c>
      <c r="T73" s="80">
        <f>SUMIFS('март 2024'!$G$4:$G$1612,'март 2024'!$D$4:$D$1612,$B73,'март 2024'!$J$4:$J$1612,T$1)</f>
        <v>0</v>
      </c>
      <c r="U73" s="80">
        <f>SUMIFS('март 2024'!$G$4:$G$1612,'март 2024'!$D$4:$D$1612,$B73,'март 2024'!$J$4:$J$1612,U$1)</f>
        <v>0</v>
      </c>
      <c r="V73" s="80">
        <f>SUMIFS('март 2024'!$G$4:$G$1612,'март 2024'!$D$4:$D$1612,$B73,'март 2024'!$J$4:$J$1612,V$1)</f>
        <v>0</v>
      </c>
      <c r="W73" s="80">
        <f>SUMIFS('март 2024'!$G$4:$G$1612,'март 2024'!$D$4:$D$1612,$B73,'март 2024'!$J$4:$J$1612,W$1)</f>
        <v>0</v>
      </c>
      <c r="X73" s="80">
        <f>SUMIFS('март 2024'!$G$4:$G$1612,'март 2024'!$D$4:$D$1612,$B73,'март 2024'!$J$4:$J$1612,X$1)</f>
        <v>0</v>
      </c>
      <c r="Y73" s="80">
        <f>SUMIFS('март 2024'!$G$4:$G$1612,'март 2024'!$D$4:$D$1612,$B73,'март 2024'!$J$4:$J$1612,Y$1)</f>
        <v>0</v>
      </c>
      <c r="Z73" s="80">
        <f>SUMIFS('март 2024'!$G$4:$G$1612,'март 2024'!$D$4:$D$1612,$B73,'март 2024'!$J$4:$J$1612,Z$1)</f>
        <v>0</v>
      </c>
      <c r="AA73" s="80">
        <f>SUMIFS('март 2024'!$G$4:$G$1612,'март 2024'!$D$4:$D$1612,$B73,'март 2024'!$J$4:$J$1612,AA$1)</f>
        <v>0</v>
      </c>
      <c r="AB73" s="80">
        <f>SUMIFS('март 2024'!$G$4:$G$1612,'март 2024'!$D$4:$D$1612,$B73,'март 2024'!$J$4:$J$1612,AB$1)</f>
        <v>0</v>
      </c>
      <c r="AC73" s="80">
        <f>SUMIFS('март 2024'!$G$4:$G$1612,'март 2024'!$D$4:$D$1612,$B73,'март 2024'!$J$4:$J$1612,AC$1)</f>
        <v>0</v>
      </c>
      <c r="AD73" s="80">
        <f>SUMIFS('март 2024'!$G$4:$G$1612,'март 2024'!$D$4:$D$1612,$B73,'март 2024'!$J$4:$J$1612,AD$1)</f>
        <v>0</v>
      </c>
      <c r="AE73" s="80">
        <f>SUMIFS('март 2024'!$G$4:$G$1612,'март 2024'!$D$4:$D$1612,$B73,'март 2024'!$J$4:$J$1612,AE$1)</f>
        <v>0</v>
      </c>
      <c r="AF73" s="80">
        <f>SUMIFS('март 2024'!$G$4:$G$1612,'март 2024'!$D$4:$D$1612,$B73,'март 2024'!$J$4:$J$1612,AF$1)</f>
        <v>0</v>
      </c>
      <c r="AG73" s="80">
        <f>SUMIFS('март 2024'!$G$4:$G$1612,'март 2024'!$D$4:$D$1612,$B73,'март 2024'!$J$4:$J$1612,AG$1)</f>
        <v>0</v>
      </c>
      <c r="AH73" s="80">
        <f>SUMIFS('март 2024'!$G$4:$G$1612,'март 2024'!$D$4:$D$1612,$B73,'март 2024'!$J$4:$J$1612,AH$1)</f>
        <v>0</v>
      </c>
      <c r="AI73" s="21">
        <f t="shared" si="1"/>
        <v>0</v>
      </c>
    </row>
    <row r="74" spans="2:35" ht="15" customHeight="1" x14ac:dyDescent="0.25">
      <c r="B74" s="93" t="s">
        <v>173</v>
      </c>
      <c r="C74" s="91">
        <v>200</v>
      </c>
      <c r="D74" s="80">
        <f>SUMIFS('март 2024'!$G$4:$G$1612,'март 2024'!$D$4:$D$1612,$B74,'март 2024'!$J$4:$J$1612,D$1)</f>
        <v>0</v>
      </c>
      <c r="E74" s="80">
        <f>SUMIFS('март 2024'!$G$4:$G$1612,'март 2024'!$D$4:$D$1612,$B74,'март 2024'!$J$4:$J$1612,E$1)</f>
        <v>0</v>
      </c>
      <c r="F74" s="80">
        <f>SUMIFS('март 2024'!$G$4:$G$1612,'март 2024'!$D$4:$D$1612,$B74,'март 2024'!$J$4:$J$1612,F$1)</f>
        <v>0</v>
      </c>
      <c r="G74" s="80">
        <f>SUMIFS('март 2024'!$G$4:$G$1612,'март 2024'!$D$4:$D$1612,$B74,'март 2024'!$J$4:$J$1612,G$1)</f>
        <v>0</v>
      </c>
      <c r="H74" s="80">
        <f>SUMIFS('март 2024'!$G$4:$G$1612,'март 2024'!$D$4:$D$1612,$B74,'март 2024'!$J$4:$J$1612,H$1)</f>
        <v>0</v>
      </c>
      <c r="I74" s="80">
        <f>SUMIFS('март 2024'!$G$4:$G$1612,'март 2024'!$D$4:$D$1612,$B74,'март 2024'!$J$4:$J$1612,I$1)</f>
        <v>0</v>
      </c>
      <c r="J74" s="80">
        <f>SUMIFS('март 2024'!$G$4:$G$1612,'март 2024'!$D$4:$D$1612,$B74,'март 2024'!$J$4:$J$1612,J$1)</f>
        <v>0</v>
      </c>
      <c r="K74" s="80">
        <f>SUMIFS('март 2024'!$G$4:$G$1612,'март 2024'!$D$4:$D$1612,$B74,'март 2024'!$J$4:$J$1612,K$1)</f>
        <v>0</v>
      </c>
      <c r="L74" s="80">
        <f>SUMIFS('март 2024'!$G$4:$G$1612,'март 2024'!$D$4:$D$1612,$B74,'март 2024'!$J$4:$J$1612,L$1)</f>
        <v>0</v>
      </c>
      <c r="M74" s="80">
        <f>SUMIFS('март 2024'!$G$4:$G$1612,'март 2024'!$D$4:$D$1612,$B74,'март 2024'!$J$4:$J$1612,M$1)</f>
        <v>0</v>
      </c>
      <c r="N74" s="80">
        <f>SUMIFS('март 2024'!$G$4:$G$1612,'март 2024'!$D$4:$D$1612,$B74,'март 2024'!$J$4:$J$1612,N$1)</f>
        <v>0</v>
      </c>
      <c r="O74" s="80">
        <f>SUMIFS('март 2024'!$G$4:$G$1612,'март 2024'!$D$4:$D$1612,$B74,'март 2024'!$J$4:$J$1612,O$1)</f>
        <v>0</v>
      </c>
      <c r="P74" s="80">
        <f>SUMIFS('март 2024'!$G$4:$G$1612,'март 2024'!$D$4:$D$1612,$B74,'март 2024'!$J$4:$J$1612,P$1)</f>
        <v>0</v>
      </c>
      <c r="Q74" s="80">
        <f>SUMIFS('март 2024'!$G$4:$G$1612,'март 2024'!$D$4:$D$1612,$B74,'март 2024'!$J$4:$J$1612,Q$1)</f>
        <v>0</v>
      </c>
      <c r="R74" s="80">
        <f>SUMIFS('март 2024'!$G$4:$G$1612,'март 2024'!$D$4:$D$1612,$B74,'март 2024'!$J$4:$J$1612,R$1)</f>
        <v>40</v>
      </c>
      <c r="S74" s="80">
        <f>SUMIFS('март 2024'!$G$4:$G$1612,'март 2024'!$D$4:$D$1612,$B74,'март 2024'!$J$4:$J$1612,S$1)</f>
        <v>0</v>
      </c>
      <c r="T74" s="80">
        <f>SUMIFS('март 2024'!$G$4:$G$1612,'март 2024'!$D$4:$D$1612,$B74,'март 2024'!$J$4:$J$1612,T$1)</f>
        <v>0</v>
      </c>
      <c r="U74" s="80">
        <f>SUMIFS('март 2024'!$G$4:$G$1612,'март 2024'!$D$4:$D$1612,$B74,'март 2024'!$J$4:$J$1612,U$1)</f>
        <v>0</v>
      </c>
      <c r="V74" s="80">
        <f>SUMIFS('март 2024'!$G$4:$G$1612,'март 2024'!$D$4:$D$1612,$B74,'март 2024'!$J$4:$J$1612,V$1)</f>
        <v>0</v>
      </c>
      <c r="W74" s="80">
        <f>SUMIFS('март 2024'!$G$4:$G$1612,'март 2024'!$D$4:$D$1612,$B74,'март 2024'!$J$4:$J$1612,W$1)</f>
        <v>0</v>
      </c>
      <c r="X74" s="80">
        <f>SUMIFS('март 2024'!$G$4:$G$1612,'март 2024'!$D$4:$D$1612,$B74,'март 2024'!$J$4:$J$1612,X$1)</f>
        <v>0</v>
      </c>
      <c r="Y74" s="80">
        <f>SUMIFS('март 2024'!$G$4:$G$1612,'март 2024'!$D$4:$D$1612,$B74,'март 2024'!$J$4:$J$1612,Y$1)</f>
        <v>4</v>
      </c>
      <c r="Z74" s="80">
        <f>SUMIFS('март 2024'!$G$4:$G$1612,'март 2024'!$D$4:$D$1612,$B74,'март 2024'!$J$4:$J$1612,Z$1)</f>
        <v>0</v>
      </c>
      <c r="AA74" s="80">
        <f>SUMIFS('март 2024'!$G$4:$G$1612,'март 2024'!$D$4:$D$1612,$B74,'март 2024'!$J$4:$J$1612,AA$1)</f>
        <v>0</v>
      </c>
      <c r="AB74" s="80">
        <f>SUMIFS('март 2024'!$G$4:$G$1612,'март 2024'!$D$4:$D$1612,$B74,'март 2024'!$J$4:$J$1612,AB$1)</f>
        <v>0</v>
      </c>
      <c r="AC74" s="80">
        <f>SUMIFS('март 2024'!$G$4:$G$1612,'март 2024'!$D$4:$D$1612,$B74,'март 2024'!$J$4:$J$1612,AC$1)</f>
        <v>0</v>
      </c>
      <c r="AD74" s="80">
        <f>SUMIFS('март 2024'!$G$4:$G$1612,'март 2024'!$D$4:$D$1612,$B74,'март 2024'!$J$4:$J$1612,AD$1)</f>
        <v>0</v>
      </c>
      <c r="AE74" s="80">
        <f>SUMIFS('март 2024'!$G$4:$G$1612,'март 2024'!$D$4:$D$1612,$B74,'март 2024'!$J$4:$J$1612,AE$1)</f>
        <v>0</v>
      </c>
      <c r="AF74" s="80">
        <f>SUMIFS('март 2024'!$G$4:$G$1612,'март 2024'!$D$4:$D$1612,$B74,'март 2024'!$J$4:$J$1612,AF$1)</f>
        <v>0</v>
      </c>
      <c r="AG74" s="80">
        <f>SUMIFS('март 2024'!$G$4:$G$1612,'март 2024'!$D$4:$D$1612,$B74,'март 2024'!$J$4:$J$1612,AG$1)</f>
        <v>0</v>
      </c>
      <c r="AH74" s="80">
        <f>SUMIFS('март 2024'!$G$4:$G$1612,'март 2024'!$D$4:$D$1612,$B74,'март 2024'!$J$4:$J$1612,AH$1)</f>
        <v>0</v>
      </c>
      <c r="AI74" s="21">
        <f t="shared" si="1"/>
        <v>44</v>
      </c>
    </row>
    <row r="75" spans="2:35" ht="15" customHeight="1" x14ac:dyDescent="0.25">
      <c r="B75" s="93" t="s">
        <v>174</v>
      </c>
      <c r="C75" s="91">
        <v>200</v>
      </c>
      <c r="D75" s="80">
        <f>SUMIFS('март 2024'!$G$4:$G$1612,'март 2024'!$D$4:$D$1612,$B75,'март 2024'!$J$4:$J$1612,D$1)</f>
        <v>0</v>
      </c>
      <c r="E75" s="80">
        <f>SUMIFS('март 2024'!$G$4:$G$1612,'март 2024'!$D$4:$D$1612,$B75,'март 2024'!$J$4:$J$1612,E$1)</f>
        <v>0</v>
      </c>
      <c r="F75" s="80">
        <f>SUMIFS('март 2024'!$G$4:$G$1612,'март 2024'!$D$4:$D$1612,$B75,'март 2024'!$J$4:$J$1612,F$1)</f>
        <v>0</v>
      </c>
      <c r="G75" s="80">
        <f>SUMIFS('март 2024'!$G$4:$G$1612,'март 2024'!$D$4:$D$1612,$B75,'март 2024'!$J$4:$J$1612,G$1)</f>
        <v>0</v>
      </c>
      <c r="H75" s="80">
        <f>SUMIFS('март 2024'!$G$4:$G$1612,'март 2024'!$D$4:$D$1612,$B75,'март 2024'!$J$4:$J$1612,H$1)</f>
        <v>0</v>
      </c>
      <c r="I75" s="80">
        <f>SUMIFS('март 2024'!$G$4:$G$1612,'март 2024'!$D$4:$D$1612,$B75,'март 2024'!$J$4:$J$1612,I$1)</f>
        <v>0</v>
      </c>
      <c r="J75" s="80">
        <f>SUMIFS('март 2024'!$G$4:$G$1612,'март 2024'!$D$4:$D$1612,$B75,'март 2024'!$J$4:$J$1612,J$1)</f>
        <v>0</v>
      </c>
      <c r="K75" s="80">
        <f>SUMIFS('март 2024'!$G$4:$G$1612,'март 2024'!$D$4:$D$1612,$B75,'март 2024'!$J$4:$J$1612,K$1)</f>
        <v>0</v>
      </c>
      <c r="L75" s="80">
        <f>SUMIFS('март 2024'!$G$4:$G$1612,'март 2024'!$D$4:$D$1612,$B75,'март 2024'!$J$4:$J$1612,L$1)</f>
        <v>0</v>
      </c>
      <c r="M75" s="80">
        <f>SUMIFS('март 2024'!$G$4:$G$1612,'март 2024'!$D$4:$D$1612,$B75,'март 2024'!$J$4:$J$1612,M$1)</f>
        <v>0</v>
      </c>
      <c r="N75" s="80">
        <f>SUMIFS('март 2024'!$G$4:$G$1612,'март 2024'!$D$4:$D$1612,$B75,'март 2024'!$J$4:$J$1612,N$1)</f>
        <v>88</v>
      </c>
      <c r="O75" s="80">
        <f>SUMIFS('март 2024'!$G$4:$G$1612,'март 2024'!$D$4:$D$1612,$B75,'март 2024'!$J$4:$J$1612,O$1)</f>
        <v>88</v>
      </c>
      <c r="P75" s="80">
        <f>SUMIFS('март 2024'!$G$4:$G$1612,'март 2024'!$D$4:$D$1612,$B75,'март 2024'!$J$4:$J$1612,P$1)</f>
        <v>88</v>
      </c>
      <c r="Q75" s="80">
        <f>SUMIFS('март 2024'!$G$4:$G$1612,'март 2024'!$D$4:$D$1612,$B75,'март 2024'!$J$4:$J$1612,Q$1)</f>
        <v>0</v>
      </c>
      <c r="R75" s="80">
        <f>SUMIFS('март 2024'!$G$4:$G$1612,'март 2024'!$D$4:$D$1612,$B75,'март 2024'!$J$4:$J$1612,R$1)</f>
        <v>88</v>
      </c>
      <c r="S75" s="80">
        <f>SUMIFS('март 2024'!$G$4:$G$1612,'март 2024'!$D$4:$D$1612,$B75,'март 2024'!$J$4:$J$1612,S$1)</f>
        <v>0</v>
      </c>
      <c r="T75" s="80">
        <f>SUMIFS('март 2024'!$G$4:$G$1612,'март 2024'!$D$4:$D$1612,$B75,'март 2024'!$J$4:$J$1612,T$1)</f>
        <v>0</v>
      </c>
      <c r="U75" s="80">
        <f>SUMIFS('март 2024'!$G$4:$G$1612,'март 2024'!$D$4:$D$1612,$B75,'март 2024'!$J$4:$J$1612,U$1)</f>
        <v>0</v>
      </c>
      <c r="V75" s="80">
        <f>SUMIFS('март 2024'!$G$4:$G$1612,'март 2024'!$D$4:$D$1612,$B75,'март 2024'!$J$4:$J$1612,V$1)</f>
        <v>0</v>
      </c>
      <c r="W75" s="80">
        <f>SUMIFS('март 2024'!$G$4:$G$1612,'март 2024'!$D$4:$D$1612,$B75,'март 2024'!$J$4:$J$1612,W$1)</f>
        <v>0</v>
      </c>
      <c r="X75" s="80">
        <f>SUMIFS('март 2024'!$G$4:$G$1612,'март 2024'!$D$4:$D$1612,$B75,'март 2024'!$J$4:$J$1612,X$1)</f>
        <v>0</v>
      </c>
      <c r="Y75" s="80">
        <f>SUMIFS('март 2024'!$G$4:$G$1612,'март 2024'!$D$4:$D$1612,$B75,'март 2024'!$J$4:$J$1612,Y$1)</f>
        <v>0</v>
      </c>
      <c r="Z75" s="80">
        <f>SUMIFS('март 2024'!$G$4:$G$1612,'март 2024'!$D$4:$D$1612,$B75,'март 2024'!$J$4:$J$1612,Z$1)</f>
        <v>0</v>
      </c>
      <c r="AA75" s="80">
        <f>SUMIFS('март 2024'!$G$4:$G$1612,'март 2024'!$D$4:$D$1612,$B75,'март 2024'!$J$4:$J$1612,AA$1)</f>
        <v>0</v>
      </c>
      <c r="AB75" s="80">
        <f>SUMIFS('март 2024'!$G$4:$G$1612,'март 2024'!$D$4:$D$1612,$B75,'март 2024'!$J$4:$J$1612,AB$1)</f>
        <v>0</v>
      </c>
      <c r="AC75" s="80">
        <f>SUMIFS('март 2024'!$G$4:$G$1612,'март 2024'!$D$4:$D$1612,$B75,'март 2024'!$J$4:$J$1612,AC$1)</f>
        <v>0</v>
      </c>
      <c r="AD75" s="80">
        <f>SUMIFS('март 2024'!$G$4:$G$1612,'март 2024'!$D$4:$D$1612,$B75,'март 2024'!$J$4:$J$1612,AD$1)</f>
        <v>0</v>
      </c>
      <c r="AE75" s="80">
        <f>SUMIFS('март 2024'!$G$4:$G$1612,'март 2024'!$D$4:$D$1612,$B75,'март 2024'!$J$4:$J$1612,AE$1)</f>
        <v>0</v>
      </c>
      <c r="AF75" s="80">
        <f>SUMIFS('март 2024'!$G$4:$G$1612,'март 2024'!$D$4:$D$1612,$B75,'март 2024'!$J$4:$J$1612,AF$1)</f>
        <v>0</v>
      </c>
      <c r="AG75" s="80">
        <f>SUMIFS('март 2024'!$G$4:$G$1612,'март 2024'!$D$4:$D$1612,$B75,'март 2024'!$J$4:$J$1612,AG$1)</f>
        <v>0</v>
      </c>
      <c r="AH75" s="80">
        <f>SUMIFS('март 2024'!$G$4:$G$1612,'март 2024'!$D$4:$D$1612,$B75,'март 2024'!$J$4:$J$1612,AH$1)</f>
        <v>0</v>
      </c>
      <c r="AI75" s="21">
        <f t="shared" si="1"/>
        <v>352</v>
      </c>
    </row>
    <row r="76" spans="2:35" ht="15" customHeight="1" x14ac:dyDescent="0.25">
      <c r="B76" s="93" t="s">
        <v>321</v>
      </c>
      <c r="C76" s="91">
        <v>190</v>
      </c>
      <c r="D76" s="80">
        <f>SUMIFS('март 2024'!$G$4:$G$1612,'март 2024'!$D$4:$D$1612,$B76,'март 2024'!$J$4:$J$1612,D$1)</f>
        <v>0</v>
      </c>
      <c r="E76" s="80">
        <f>SUMIFS('март 2024'!$G$4:$G$1612,'март 2024'!$D$4:$D$1612,$B76,'март 2024'!$J$4:$J$1612,E$1)</f>
        <v>0</v>
      </c>
      <c r="F76" s="80">
        <f>SUMIFS('март 2024'!$G$4:$G$1612,'март 2024'!$D$4:$D$1612,$B76,'март 2024'!$J$4:$J$1612,F$1)</f>
        <v>0</v>
      </c>
      <c r="G76" s="80">
        <f>SUMIFS('март 2024'!$G$4:$G$1612,'март 2024'!$D$4:$D$1612,$B76,'март 2024'!$J$4:$J$1612,G$1)</f>
        <v>0</v>
      </c>
      <c r="H76" s="80">
        <f>SUMIFS('март 2024'!$G$4:$G$1612,'март 2024'!$D$4:$D$1612,$B76,'март 2024'!$J$4:$J$1612,H$1)</f>
        <v>0</v>
      </c>
      <c r="I76" s="80">
        <f>SUMIFS('март 2024'!$G$4:$G$1612,'март 2024'!$D$4:$D$1612,$B76,'март 2024'!$J$4:$J$1612,I$1)</f>
        <v>0</v>
      </c>
      <c r="J76" s="80">
        <f>SUMIFS('март 2024'!$G$4:$G$1612,'март 2024'!$D$4:$D$1612,$B76,'март 2024'!$J$4:$J$1612,J$1)</f>
        <v>0</v>
      </c>
      <c r="K76" s="80">
        <f>SUMIFS('март 2024'!$G$4:$G$1612,'март 2024'!$D$4:$D$1612,$B76,'март 2024'!$J$4:$J$1612,K$1)</f>
        <v>0</v>
      </c>
      <c r="L76" s="80">
        <f>SUMIFS('март 2024'!$G$4:$G$1612,'март 2024'!$D$4:$D$1612,$B76,'март 2024'!$J$4:$J$1612,L$1)</f>
        <v>0</v>
      </c>
      <c r="M76" s="80">
        <f>SUMIFS('март 2024'!$G$4:$G$1612,'март 2024'!$D$4:$D$1612,$B76,'март 2024'!$J$4:$J$1612,M$1)</f>
        <v>0</v>
      </c>
      <c r="N76" s="80">
        <f>SUMIFS('март 2024'!$G$4:$G$1612,'март 2024'!$D$4:$D$1612,$B76,'март 2024'!$J$4:$J$1612,N$1)</f>
        <v>0</v>
      </c>
      <c r="O76" s="80">
        <f>SUMIFS('март 2024'!$G$4:$G$1612,'март 2024'!$D$4:$D$1612,$B76,'март 2024'!$J$4:$J$1612,O$1)</f>
        <v>0</v>
      </c>
      <c r="P76" s="80">
        <f>SUMIFS('март 2024'!$G$4:$G$1612,'март 2024'!$D$4:$D$1612,$B76,'март 2024'!$J$4:$J$1612,P$1)</f>
        <v>0</v>
      </c>
      <c r="Q76" s="80">
        <f>SUMIFS('март 2024'!$G$4:$G$1612,'март 2024'!$D$4:$D$1612,$B76,'март 2024'!$J$4:$J$1612,Q$1)</f>
        <v>0</v>
      </c>
      <c r="R76" s="80">
        <f>SUMIFS('март 2024'!$G$4:$G$1612,'март 2024'!$D$4:$D$1612,$B76,'март 2024'!$J$4:$J$1612,R$1)</f>
        <v>0</v>
      </c>
      <c r="S76" s="80">
        <f>SUMIFS('март 2024'!$G$4:$G$1612,'март 2024'!$D$4:$D$1612,$B76,'март 2024'!$J$4:$J$1612,S$1)</f>
        <v>0</v>
      </c>
      <c r="T76" s="80">
        <f>SUMIFS('март 2024'!$G$4:$G$1612,'март 2024'!$D$4:$D$1612,$B76,'март 2024'!$J$4:$J$1612,T$1)</f>
        <v>0</v>
      </c>
      <c r="U76" s="80">
        <f>SUMIFS('март 2024'!$G$4:$G$1612,'март 2024'!$D$4:$D$1612,$B76,'март 2024'!$J$4:$J$1612,U$1)</f>
        <v>0</v>
      </c>
      <c r="V76" s="80">
        <f>SUMIFS('март 2024'!$G$4:$G$1612,'март 2024'!$D$4:$D$1612,$B76,'март 2024'!$J$4:$J$1612,V$1)</f>
        <v>0</v>
      </c>
      <c r="W76" s="80">
        <f>SUMIFS('март 2024'!$G$4:$G$1612,'март 2024'!$D$4:$D$1612,$B76,'март 2024'!$J$4:$J$1612,W$1)</f>
        <v>0</v>
      </c>
      <c r="X76" s="80">
        <f>SUMIFS('март 2024'!$G$4:$G$1612,'март 2024'!$D$4:$D$1612,$B76,'март 2024'!$J$4:$J$1612,X$1)</f>
        <v>0</v>
      </c>
      <c r="Y76" s="80">
        <f>SUMIFS('март 2024'!$G$4:$G$1612,'март 2024'!$D$4:$D$1612,$B76,'март 2024'!$J$4:$J$1612,Y$1)</f>
        <v>0</v>
      </c>
      <c r="Z76" s="80">
        <f>SUMIFS('март 2024'!$G$4:$G$1612,'март 2024'!$D$4:$D$1612,$B76,'март 2024'!$J$4:$J$1612,Z$1)</f>
        <v>0</v>
      </c>
      <c r="AA76" s="80">
        <f>SUMIFS('март 2024'!$G$4:$G$1612,'март 2024'!$D$4:$D$1612,$B76,'март 2024'!$J$4:$J$1612,AA$1)</f>
        <v>0</v>
      </c>
      <c r="AB76" s="80">
        <f>SUMIFS('март 2024'!$G$4:$G$1612,'март 2024'!$D$4:$D$1612,$B76,'март 2024'!$J$4:$J$1612,AB$1)</f>
        <v>0</v>
      </c>
      <c r="AC76" s="80">
        <f>SUMIFS('март 2024'!$G$4:$G$1612,'март 2024'!$D$4:$D$1612,$B76,'март 2024'!$J$4:$J$1612,AC$1)</f>
        <v>0</v>
      </c>
      <c r="AD76" s="80">
        <f>SUMIFS('март 2024'!$G$4:$G$1612,'март 2024'!$D$4:$D$1612,$B76,'март 2024'!$J$4:$J$1612,AD$1)</f>
        <v>0</v>
      </c>
      <c r="AE76" s="80">
        <f>SUMIFS('март 2024'!$G$4:$G$1612,'март 2024'!$D$4:$D$1612,$B76,'март 2024'!$J$4:$J$1612,AE$1)</f>
        <v>0</v>
      </c>
      <c r="AF76" s="80">
        <f>SUMIFS('март 2024'!$G$4:$G$1612,'март 2024'!$D$4:$D$1612,$B76,'март 2024'!$J$4:$J$1612,AF$1)</f>
        <v>0</v>
      </c>
      <c r="AG76" s="80">
        <f>SUMIFS('март 2024'!$G$4:$G$1612,'март 2024'!$D$4:$D$1612,$B76,'март 2024'!$J$4:$J$1612,AG$1)</f>
        <v>0</v>
      </c>
      <c r="AH76" s="80">
        <f>SUMIFS('март 2024'!$G$4:$G$1612,'март 2024'!$D$4:$D$1612,$B76,'март 2024'!$J$4:$J$1612,AH$1)</f>
        <v>0</v>
      </c>
      <c r="AI76" s="21">
        <f t="shared" si="1"/>
        <v>0</v>
      </c>
    </row>
    <row r="77" spans="2:35" ht="15" customHeight="1" x14ac:dyDescent="0.25">
      <c r="B77" s="89" t="s">
        <v>199</v>
      </c>
      <c r="C77" s="88">
        <v>180</v>
      </c>
      <c r="D77" s="80">
        <f>SUMIFS('март 2024'!$G$4:$G$1612,'март 2024'!$D$4:$D$1612,$B77,'март 2024'!$J$4:$J$1612,D$1)</f>
        <v>0</v>
      </c>
      <c r="E77" s="80">
        <f>SUMIFS('март 2024'!$G$4:$G$1612,'март 2024'!$D$4:$D$1612,$B77,'март 2024'!$J$4:$J$1612,E$1)</f>
        <v>0</v>
      </c>
      <c r="F77" s="80">
        <f>SUMIFS('март 2024'!$G$4:$G$1612,'март 2024'!$D$4:$D$1612,$B77,'март 2024'!$J$4:$J$1612,F$1)</f>
        <v>0</v>
      </c>
      <c r="G77" s="80">
        <f>SUMIFS('март 2024'!$G$4:$G$1612,'март 2024'!$D$4:$D$1612,$B77,'март 2024'!$J$4:$J$1612,G$1)</f>
        <v>0</v>
      </c>
      <c r="H77" s="80">
        <f>SUMIFS('март 2024'!$G$4:$G$1612,'март 2024'!$D$4:$D$1612,$B77,'март 2024'!$J$4:$J$1612,H$1)</f>
        <v>0</v>
      </c>
      <c r="I77" s="80">
        <f>SUMIFS('март 2024'!$G$4:$G$1612,'март 2024'!$D$4:$D$1612,$B77,'март 2024'!$J$4:$J$1612,I$1)</f>
        <v>0</v>
      </c>
      <c r="J77" s="80">
        <f>SUMIFS('март 2024'!$G$4:$G$1612,'март 2024'!$D$4:$D$1612,$B77,'март 2024'!$J$4:$J$1612,J$1)</f>
        <v>0</v>
      </c>
      <c r="K77" s="80">
        <f>SUMIFS('март 2024'!$G$4:$G$1612,'март 2024'!$D$4:$D$1612,$B77,'март 2024'!$J$4:$J$1612,K$1)</f>
        <v>0</v>
      </c>
      <c r="L77" s="80">
        <f>SUMIFS('март 2024'!$G$4:$G$1612,'март 2024'!$D$4:$D$1612,$B77,'март 2024'!$J$4:$J$1612,L$1)</f>
        <v>0</v>
      </c>
      <c r="M77" s="80">
        <f>SUMIFS('март 2024'!$G$4:$G$1612,'март 2024'!$D$4:$D$1612,$B77,'март 2024'!$J$4:$J$1612,M$1)</f>
        <v>0</v>
      </c>
      <c r="N77" s="80">
        <f>SUMIFS('март 2024'!$G$4:$G$1612,'март 2024'!$D$4:$D$1612,$B77,'март 2024'!$J$4:$J$1612,N$1)</f>
        <v>0</v>
      </c>
      <c r="O77" s="80">
        <f>SUMIFS('март 2024'!$G$4:$G$1612,'март 2024'!$D$4:$D$1612,$B77,'март 2024'!$J$4:$J$1612,O$1)</f>
        <v>0</v>
      </c>
      <c r="P77" s="80">
        <f>SUMIFS('март 2024'!$G$4:$G$1612,'март 2024'!$D$4:$D$1612,$B77,'март 2024'!$J$4:$J$1612,P$1)</f>
        <v>0</v>
      </c>
      <c r="Q77" s="80">
        <f>SUMIFS('март 2024'!$G$4:$G$1612,'март 2024'!$D$4:$D$1612,$B77,'март 2024'!$J$4:$J$1612,Q$1)</f>
        <v>0</v>
      </c>
      <c r="R77" s="80">
        <f>SUMIFS('март 2024'!$G$4:$G$1612,'март 2024'!$D$4:$D$1612,$B77,'март 2024'!$J$4:$J$1612,R$1)</f>
        <v>0</v>
      </c>
      <c r="S77" s="80">
        <f>SUMIFS('март 2024'!$G$4:$G$1612,'март 2024'!$D$4:$D$1612,$B77,'март 2024'!$J$4:$J$1612,S$1)</f>
        <v>0</v>
      </c>
      <c r="T77" s="80">
        <f>SUMIFS('март 2024'!$G$4:$G$1612,'март 2024'!$D$4:$D$1612,$B77,'март 2024'!$J$4:$J$1612,T$1)</f>
        <v>0</v>
      </c>
      <c r="U77" s="80">
        <f>SUMIFS('март 2024'!$G$4:$G$1612,'март 2024'!$D$4:$D$1612,$B77,'март 2024'!$J$4:$J$1612,U$1)</f>
        <v>0</v>
      </c>
      <c r="V77" s="80">
        <f>SUMIFS('март 2024'!$G$4:$G$1612,'март 2024'!$D$4:$D$1612,$B77,'март 2024'!$J$4:$J$1612,V$1)</f>
        <v>0</v>
      </c>
      <c r="W77" s="80">
        <f>SUMIFS('март 2024'!$G$4:$G$1612,'март 2024'!$D$4:$D$1612,$B77,'март 2024'!$J$4:$J$1612,W$1)</f>
        <v>0</v>
      </c>
      <c r="X77" s="80">
        <f>SUMIFS('март 2024'!$G$4:$G$1612,'март 2024'!$D$4:$D$1612,$B77,'март 2024'!$J$4:$J$1612,X$1)</f>
        <v>0</v>
      </c>
      <c r="Y77" s="80">
        <f>SUMIFS('март 2024'!$G$4:$G$1612,'март 2024'!$D$4:$D$1612,$B77,'март 2024'!$J$4:$J$1612,Y$1)</f>
        <v>0</v>
      </c>
      <c r="Z77" s="80">
        <f>SUMIFS('март 2024'!$G$4:$G$1612,'март 2024'!$D$4:$D$1612,$B77,'март 2024'!$J$4:$J$1612,Z$1)</f>
        <v>0</v>
      </c>
      <c r="AA77" s="80">
        <f>SUMIFS('март 2024'!$G$4:$G$1612,'март 2024'!$D$4:$D$1612,$B77,'март 2024'!$J$4:$J$1612,AA$1)</f>
        <v>0</v>
      </c>
      <c r="AB77" s="80">
        <f>SUMIFS('март 2024'!$G$4:$G$1612,'март 2024'!$D$4:$D$1612,$B77,'март 2024'!$J$4:$J$1612,AB$1)</f>
        <v>0</v>
      </c>
      <c r="AC77" s="80">
        <f>SUMIFS('март 2024'!$G$4:$G$1612,'март 2024'!$D$4:$D$1612,$B77,'март 2024'!$J$4:$J$1612,AC$1)</f>
        <v>0</v>
      </c>
      <c r="AD77" s="80">
        <f>SUMIFS('март 2024'!$G$4:$G$1612,'март 2024'!$D$4:$D$1612,$B77,'март 2024'!$J$4:$J$1612,AD$1)</f>
        <v>0</v>
      </c>
      <c r="AE77" s="80">
        <f>SUMIFS('март 2024'!$G$4:$G$1612,'март 2024'!$D$4:$D$1612,$B77,'март 2024'!$J$4:$J$1612,AE$1)</f>
        <v>0</v>
      </c>
      <c r="AF77" s="80">
        <f>SUMIFS('март 2024'!$G$4:$G$1612,'март 2024'!$D$4:$D$1612,$B77,'март 2024'!$J$4:$J$1612,AF$1)</f>
        <v>0</v>
      </c>
      <c r="AG77" s="80">
        <f>SUMIFS('март 2024'!$G$4:$G$1612,'март 2024'!$D$4:$D$1612,$B77,'март 2024'!$J$4:$J$1612,AG$1)</f>
        <v>0</v>
      </c>
      <c r="AH77" s="80">
        <f>SUMIFS('март 2024'!$G$4:$G$1612,'март 2024'!$D$4:$D$1612,$B77,'март 2024'!$J$4:$J$1612,AH$1)</f>
        <v>0</v>
      </c>
      <c r="AI77" s="21">
        <f t="shared" si="1"/>
        <v>0</v>
      </c>
    </row>
    <row r="78" spans="2:35" ht="15" customHeight="1" x14ac:dyDescent="0.25">
      <c r="B78" s="93" t="s">
        <v>200</v>
      </c>
      <c r="C78" s="91">
        <v>190</v>
      </c>
      <c r="D78" s="80">
        <f>SUMIFS('март 2024'!$G$4:$G$1612,'март 2024'!$D$4:$D$1612,$B78,'март 2024'!$J$4:$J$1612,D$1)</f>
        <v>0</v>
      </c>
      <c r="E78" s="80">
        <f>SUMIFS('март 2024'!$G$4:$G$1612,'март 2024'!$D$4:$D$1612,$B78,'март 2024'!$J$4:$J$1612,E$1)</f>
        <v>0</v>
      </c>
      <c r="F78" s="80">
        <f>SUMIFS('март 2024'!$G$4:$G$1612,'март 2024'!$D$4:$D$1612,$B78,'март 2024'!$J$4:$J$1612,F$1)</f>
        <v>0</v>
      </c>
      <c r="G78" s="80">
        <f>SUMIFS('март 2024'!$G$4:$G$1612,'март 2024'!$D$4:$D$1612,$B78,'март 2024'!$J$4:$J$1612,G$1)</f>
        <v>0</v>
      </c>
      <c r="H78" s="80">
        <f>SUMIFS('март 2024'!$G$4:$G$1612,'март 2024'!$D$4:$D$1612,$B78,'март 2024'!$J$4:$J$1612,H$1)</f>
        <v>0</v>
      </c>
      <c r="I78" s="80">
        <f>SUMIFS('март 2024'!$G$4:$G$1612,'март 2024'!$D$4:$D$1612,$B78,'март 2024'!$J$4:$J$1612,I$1)</f>
        <v>0</v>
      </c>
      <c r="J78" s="80">
        <f>SUMIFS('март 2024'!$G$4:$G$1612,'март 2024'!$D$4:$D$1612,$B78,'март 2024'!$J$4:$J$1612,J$1)</f>
        <v>0</v>
      </c>
      <c r="K78" s="80">
        <f>SUMIFS('март 2024'!$G$4:$G$1612,'март 2024'!$D$4:$D$1612,$B78,'март 2024'!$J$4:$J$1612,K$1)</f>
        <v>0</v>
      </c>
      <c r="L78" s="80">
        <f>SUMIFS('март 2024'!$G$4:$G$1612,'март 2024'!$D$4:$D$1612,$B78,'март 2024'!$J$4:$J$1612,L$1)</f>
        <v>0</v>
      </c>
      <c r="M78" s="80">
        <f>SUMIFS('март 2024'!$G$4:$G$1612,'март 2024'!$D$4:$D$1612,$B78,'март 2024'!$J$4:$J$1612,M$1)</f>
        <v>0</v>
      </c>
      <c r="N78" s="80">
        <f>SUMIFS('март 2024'!$G$4:$G$1612,'март 2024'!$D$4:$D$1612,$B78,'март 2024'!$J$4:$J$1612,N$1)</f>
        <v>0</v>
      </c>
      <c r="O78" s="80">
        <f>SUMIFS('март 2024'!$G$4:$G$1612,'март 2024'!$D$4:$D$1612,$B78,'март 2024'!$J$4:$J$1612,O$1)</f>
        <v>0</v>
      </c>
      <c r="P78" s="80">
        <f>SUMIFS('март 2024'!$G$4:$G$1612,'март 2024'!$D$4:$D$1612,$B78,'март 2024'!$J$4:$J$1612,P$1)</f>
        <v>0</v>
      </c>
      <c r="Q78" s="80">
        <f>SUMIFS('март 2024'!$G$4:$G$1612,'март 2024'!$D$4:$D$1612,$B78,'март 2024'!$J$4:$J$1612,Q$1)</f>
        <v>0</v>
      </c>
      <c r="R78" s="80">
        <f>SUMIFS('март 2024'!$G$4:$G$1612,'март 2024'!$D$4:$D$1612,$B78,'март 2024'!$J$4:$J$1612,R$1)</f>
        <v>0</v>
      </c>
      <c r="S78" s="80">
        <f>SUMIFS('март 2024'!$G$4:$G$1612,'март 2024'!$D$4:$D$1612,$B78,'март 2024'!$J$4:$J$1612,S$1)</f>
        <v>0</v>
      </c>
      <c r="T78" s="80">
        <f>SUMIFS('март 2024'!$G$4:$G$1612,'март 2024'!$D$4:$D$1612,$B78,'март 2024'!$J$4:$J$1612,T$1)</f>
        <v>0</v>
      </c>
      <c r="U78" s="80">
        <f>SUMIFS('март 2024'!$G$4:$G$1612,'март 2024'!$D$4:$D$1612,$B78,'март 2024'!$J$4:$J$1612,U$1)</f>
        <v>0</v>
      </c>
      <c r="V78" s="80">
        <f>SUMIFS('март 2024'!$G$4:$G$1612,'март 2024'!$D$4:$D$1612,$B78,'март 2024'!$J$4:$J$1612,V$1)</f>
        <v>0</v>
      </c>
      <c r="W78" s="80">
        <f>SUMIFS('март 2024'!$G$4:$G$1612,'март 2024'!$D$4:$D$1612,$B78,'март 2024'!$J$4:$J$1612,W$1)</f>
        <v>0</v>
      </c>
      <c r="X78" s="80">
        <f>SUMIFS('март 2024'!$G$4:$G$1612,'март 2024'!$D$4:$D$1612,$B78,'март 2024'!$J$4:$J$1612,X$1)</f>
        <v>0</v>
      </c>
      <c r="Y78" s="80">
        <f>SUMIFS('март 2024'!$G$4:$G$1612,'март 2024'!$D$4:$D$1612,$B78,'март 2024'!$J$4:$J$1612,Y$1)</f>
        <v>0</v>
      </c>
      <c r="Z78" s="80">
        <f>SUMIFS('март 2024'!$G$4:$G$1612,'март 2024'!$D$4:$D$1612,$B78,'март 2024'!$J$4:$J$1612,Z$1)</f>
        <v>0</v>
      </c>
      <c r="AA78" s="80">
        <f>SUMIFS('март 2024'!$G$4:$G$1612,'март 2024'!$D$4:$D$1612,$B78,'март 2024'!$J$4:$J$1612,AA$1)</f>
        <v>0</v>
      </c>
      <c r="AB78" s="80">
        <f>SUMIFS('март 2024'!$G$4:$G$1612,'март 2024'!$D$4:$D$1612,$B78,'март 2024'!$J$4:$J$1612,AB$1)</f>
        <v>0</v>
      </c>
      <c r="AC78" s="80">
        <f>SUMIFS('март 2024'!$G$4:$G$1612,'март 2024'!$D$4:$D$1612,$B78,'март 2024'!$J$4:$J$1612,AC$1)</f>
        <v>0</v>
      </c>
      <c r="AD78" s="80">
        <f>SUMIFS('март 2024'!$G$4:$G$1612,'март 2024'!$D$4:$D$1612,$B78,'март 2024'!$J$4:$J$1612,AD$1)</f>
        <v>0</v>
      </c>
      <c r="AE78" s="80">
        <f>SUMIFS('март 2024'!$G$4:$G$1612,'март 2024'!$D$4:$D$1612,$B78,'март 2024'!$J$4:$J$1612,AE$1)</f>
        <v>0</v>
      </c>
      <c r="AF78" s="80">
        <f>SUMIFS('март 2024'!$G$4:$G$1612,'март 2024'!$D$4:$D$1612,$B78,'март 2024'!$J$4:$J$1612,AF$1)</f>
        <v>0</v>
      </c>
      <c r="AG78" s="80">
        <f>SUMIFS('март 2024'!$G$4:$G$1612,'март 2024'!$D$4:$D$1612,$B78,'март 2024'!$J$4:$J$1612,AG$1)</f>
        <v>0</v>
      </c>
      <c r="AH78" s="80">
        <f>SUMIFS('март 2024'!$G$4:$G$1612,'март 2024'!$D$4:$D$1612,$B78,'март 2024'!$J$4:$J$1612,AH$1)</f>
        <v>0</v>
      </c>
      <c r="AI78" s="21">
        <f t="shared" si="1"/>
        <v>0</v>
      </c>
    </row>
    <row r="79" spans="2:35" ht="15" customHeight="1" x14ac:dyDescent="0.25">
      <c r="B79" s="93" t="s">
        <v>201</v>
      </c>
      <c r="C79" s="91">
        <v>190</v>
      </c>
      <c r="D79" s="80">
        <f>SUMIFS('март 2024'!$G$4:$G$1612,'март 2024'!$D$4:$D$1612,$B79,'март 2024'!$J$4:$J$1612,D$1)</f>
        <v>0</v>
      </c>
      <c r="E79" s="80">
        <f>SUMIFS('март 2024'!$G$4:$G$1612,'март 2024'!$D$4:$D$1612,$B79,'март 2024'!$J$4:$J$1612,E$1)</f>
        <v>0</v>
      </c>
      <c r="F79" s="80">
        <f>SUMIFS('март 2024'!$G$4:$G$1612,'март 2024'!$D$4:$D$1612,$B79,'март 2024'!$J$4:$J$1612,F$1)</f>
        <v>0</v>
      </c>
      <c r="G79" s="80">
        <f>SUMIFS('март 2024'!$G$4:$G$1612,'март 2024'!$D$4:$D$1612,$B79,'март 2024'!$J$4:$J$1612,G$1)</f>
        <v>0</v>
      </c>
      <c r="H79" s="80">
        <f>SUMIFS('март 2024'!$G$4:$G$1612,'март 2024'!$D$4:$D$1612,$B79,'март 2024'!$J$4:$J$1612,H$1)</f>
        <v>0</v>
      </c>
      <c r="I79" s="80">
        <f>SUMIFS('март 2024'!$G$4:$G$1612,'март 2024'!$D$4:$D$1612,$B79,'март 2024'!$J$4:$J$1612,I$1)</f>
        <v>0</v>
      </c>
      <c r="J79" s="80">
        <f>SUMIFS('март 2024'!$G$4:$G$1612,'март 2024'!$D$4:$D$1612,$B79,'март 2024'!$J$4:$J$1612,J$1)</f>
        <v>0</v>
      </c>
      <c r="K79" s="80">
        <f>SUMIFS('март 2024'!$G$4:$G$1612,'март 2024'!$D$4:$D$1612,$B79,'март 2024'!$J$4:$J$1612,K$1)</f>
        <v>0</v>
      </c>
      <c r="L79" s="80">
        <f>SUMIFS('март 2024'!$G$4:$G$1612,'март 2024'!$D$4:$D$1612,$B79,'март 2024'!$J$4:$J$1612,L$1)</f>
        <v>0</v>
      </c>
      <c r="M79" s="80">
        <f>SUMIFS('март 2024'!$G$4:$G$1612,'март 2024'!$D$4:$D$1612,$B79,'март 2024'!$J$4:$J$1612,M$1)</f>
        <v>0</v>
      </c>
      <c r="N79" s="80">
        <f>SUMIFS('март 2024'!$G$4:$G$1612,'март 2024'!$D$4:$D$1612,$B79,'март 2024'!$J$4:$J$1612,N$1)</f>
        <v>0</v>
      </c>
      <c r="O79" s="80">
        <f>SUMIFS('март 2024'!$G$4:$G$1612,'март 2024'!$D$4:$D$1612,$B79,'март 2024'!$J$4:$J$1612,O$1)</f>
        <v>0</v>
      </c>
      <c r="P79" s="80">
        <f>SUMIFS('март 2024'!$G$4:$G$1612,'март 2024'!$D$4:$D$1612,$B79,'март 2024'!$J$4:$J$1612,P$1)</f>
        <v>0</v>
      </c>
      <c r="Q79" s="80">
        <f>SUMIFS('март 2024'!$G$4:$G$1612,'март 2024'!$D$4:$D$1612,$B79,'март 2024'!$J$4:$J$1612,Q$1)</f>
        <v>0</v>
      </c>
      <c r="R79" s="80">
        <f>SUMIFS('март 2024'!$G$4:$G$1612,'март 2024'!$D$4:$D$1612,$B79,'март 2024'!$J$4:$J$1612,R$1)</f>
        <v>0</v>
      </c>
      <c r="S79" s="80">
        <f>SUMIFS('март 2024'!$G$4:$G$1612,'март 2024'!$D$4:$D$1612,$B79,'март 2024'!$J$4:$J$1612,S$1)</f>
        <v>0</v>
      </c>
      <c r="T79" s="80">
        <f>SUMIFS('март 2024'!$G$4:$G$1612,'март 2024'!$D$4:$D$1612,$B79,'март 2024'!$J$4:$J$1612,T$1)</f>
        <v>0</v>
      </c>
      <c r="U79" s="80">
        <f>SUMIFS('март 2024'!$G$4:$G$1612,'март 2024'!$D$4:$D$1612,$B79,'март 2024'!$J$4:$J$1612,U$1)</f>
        <v>0</v>
      </c>
      <c r="V79" s="80">
        <f>SUMIFS('март 2024'!$G$4:$G$1612,'март 2024'!$D$4:$D$1612,$B79,'март 2024'!$J$4:$J$1612,V$1)</f>
        <v>0</v>
      </c>
      <c r="W79" s="80">
        <f>SUMIFS('март 2024'!$G$4:$G$1612,'март 2024'!$D$4:$D$1612,$B79,'март 2024'!$J$4:$J$1612,W$1)</f>
        <v>0</v>
      </c>
      <c r="X79" s="80">
        <f>SUMIFS('март 2024'!$G$4:$G$1612,'март 2024'!$D$4:$D$1612,$B79,'март 2024'!$J$4:$J$1612,X$1)</f>
        <v>0</v>
      </c>
      <c r="Y79" s="80">
        <f>SUMIFS('март 2024'!$G$4:$G$1612,'март 2024'!$D$4:$D$1612,$B79,'март 2024'!$J$4:$J$1612,Y$1)</f>
        <v>28</v>
      </c>
      <c r="Z79" s="80">
        <f>SUMIFS('март 2024'!$G$4:$G$1612,'март 2024'!$D$4:$D$1612,$B79,'март 2024'!$J$4:$J$1612,Z$1)</f>
        <v>0</v>
      </c>
      <c r="AA79" s="80">
        <f>SUMIFS('март 2024'!$G$4:$G$1612,'март 2024'!$D$4:$D$1612,$B79,'март 2024'!$J$4:$J$1612,AA$1)</f>
        <v>0</v>
      </c>
      <c r="AB79" s="80">
        <f>SUMIFS('март 2024'!$G$4:$G$1612,'март 2024'!$D$4:$D$1612,$B79,'март 2024'!$J$4:$J$1612,AB$1)</f>
        <v>0</v>
      </c>
      <c r="AC79" s="80">
        <f>SUMIFS('март 2024'!$G$4:$G$1612,'март 2024'!$D$4:$D$1612,$B79,'март 2024'!$J$4:$J$1612,AC$1)</f>
        <v>0</v>
      </c>
      <c r="AD79" s="80">
        <f>SUMIFS('март 2024'!$G$4:$G$1612,'март 2024'!$D$4:$D$1612,$B79,'март 2024'!$J$4:$J$1612,AD$1)</f>
        <v>0</v>
      </c>
      <c r="AE79" s="80">
        <f>SUMIFS('март 2024'!$G$4:$G$1612,'март 2024'!$D$4:$D$1612,$B79,'март 2024'!$J$4:$J$1612,AE$1)</f>
        <v>72</v>
      </c>
      <c r="AF79" s="80">
        <f>SUMIFS('март 2024'!$G$4:$G$1612,'март 2024'!$D$4:$D$1612,$B79,'март 2024'!$J$4:$J$1612,AF$1)</f>
        <v>0</v>
      </c>
      <c r="AG79" s="80">
        <f>SUMIFS('март 2024'!$G$4:$G$1612,'март 2024'!$D$4:$D$1612,$B79,'март 2024'!$J$4:$J$1612,AG$1)</f>
        <v>0</v>
      </c>
      <c r="AH79" s="80">
        <f>SUMIFS('март 2024'!$G$4:$G$1612,'март 2024'!$D$4:$D$1612,$B79,'март 2024'!$J$4:$J$1612,AH$1)</f>
        <v>0</v>
      </c>
      <c r="AI79" s="21">
        <f t="shared" si="1"/>
        <v>100</v>
      </c>
    </row>
    <row r="80" spans="2:35" ht="15" customHeight="1" x14ac:dyDescent="0.25">
      <c r="B80" s="93" t="s">
        <v>202</v>
      </c>
      <c r="C80" s="91">
        <v>900</v>
      </c>
      <c r="D80" s="80">
        <f>SUMIFS('март 2024'!$G$4:$G$1612,'март 2024'!$D$4:$D$1612,$B80,'март 2024'!$J$4:$J$1612,D$1)</f>
        <v>0</v>
      </c>
      <c r="E80" s="80">
        <f>SUMIFS('март 2024'!$G$4:$G$1612,'март 2024'!$D$4:$D$1612,$B80,'март 2024'!$J$4:$J$1612,E$1)</f>
        <v>0</v>
      </c>
      <c r="F80" s="80">
        <f>SUMIFS('март 2024'!$G$4:$G$1612,'март 2024'!$D$4:$D$1612,$B80,'март 2024'!$J$4:$J$1612,F$1)</f>
        <v>0</v>
      </c>
      <c r="G80" s="80">
        <f>SUMIFS('март 2024'!$G$4:$G$1612,'март 2024'!$D$4:$D$1612,$B80,'март 2024'!$J$4:$J$1612,G$1)</f>
        <v>0</v>
      </c>
      <c r="H80" s="80">
        <f>SUMIFS('март 2024'!$G$4:$G$1612,'март 2024'!$D$4:$D$1612,$B80,'март 2024'!$J$4:$J$1612,H$1)</f>
        <v>0</v>
      </c>
      <c r="I80" s="80">
        <f>SUMIFS('март 2024'!$G$4:$G$1612,'март 2024'!$D$4:$D$1612,$B80,'март 2024'!$J$4:$J$1612,I$1)</f>
        <v>0</v>
      </c>
      <c r="J80" s="80">
        <f>SUMIFS('март 2024'!$G$4:$G$1612,'март 2024'!$D$4:$D$1612,$B80,'март 2024'!$J$4:$J$1612,J$1)</f>
        <v>0</v>
      </c>
      <c r="K80" s="80">
        <f>SUMIFS('март 2024'!$G$4:$G$1612,'март 2024'!$D$4:$D$1612,$B80,'март 2024'!$J$4:$J$1612,K$1)</f>
        <v>0</v>
      </c>
      <c r="L80" s="80">
        <f>SUMIFS('март 2024'!$G$4:$G$1612,'март 2024'!$D$4:$D$1612,$B80,'март 2024'!$J$4:$J$1612,L$1)</f>
        <v>0</v>
      </c>
      <c r="M80" s="80">
        <f>SUMIFS('март 2024'!$G$4:$G$1612,'март 2024'!$D$4:$D$1612,$B80,'март 2024'!$J$4:$J$1612,M$1)</f>
        <v>0</v>
      </c>
      <c r="N80" s="80">
        <f>SUMIFS('март 2024'!$G$4:$G$1612,'март 2024'!$D$4:$D$1612,$B80,'март 2024'!$J$4:$J$1612,N$1)</f>
        <v>0</v>
      </c>
      <c r="O80" s="80">
        <f>SUMIFS('март 2024'!$G$4:$G$1612,'март 2024'!$D$4:$D$1612,$B80,'март 2024'!$J$4:$J$1612,O$1)</f>
        <v>0</v>
      </c>
      <c r="P80" s="80">
        <f>SUMIFS('март 2024'!$G$4:$G$1612,'март 2024'!$D$4:$D$1612,$B80,'март 2024'!$J$4:$J$1612,P$1)</f>
        <v>0</v>
      </c>
      <c r="Q80" s="80">
        <f>SUMIFS('март 2024'!$G$4:$G$1612,'март 2024'!$D$4:$D$1612,$B80,'март 2024'!$J$4:$J$1612,Q$1)</f>
        <v>0</v>
      </c>
      <c r="R80" s="80">
        <f>SUMIFS('март 2024'!$G$4:$G$1612,'март 2024'!$D$4:$D$1612,$B80,'март 2024'!$J$4:$J$1612,R$1)</f>
        <v>0</v>
      </c>
      <c r="S80" s="80">
        <f>SUMIFS('март 2024'!$G$4:$G$1612,'март 2024'!$D$4:$D$1612,$B80,'март 2024'!$J$4:$J$1612,S$1)</f>
        <v>0</v>
      </c>
      <c r="T80" s="80">
        <f>SUMIFS('март 2024'!$G$4:$G$1612,'март 2024'!$D$4:$D$1612,$B80,'март 2024'!$J$4:$J$1612,T$1)</f>
        <v>0</v>
      </c>
      <c r="U80" s="80">
        <f>SUMIFS('март 2024'!$G$4:$G$1612,'март 2024'!$D$4:$D$1612,$B80,'март 2024'!$J$4:$J$1612,U$1)</f>
        <v>0</v>
      </c>
      <c r="V80" s="80">
        <f>SUMIFS('март 2024'!$G$4:$G$1612,'март 2024'!$D$4:$D$1612,$B80,'март 2024'!$J$4:$J$1612,V$1)</f>
        <v>0</v>
      </c>
      <c r="W80" s="80">
        <f>SUMIFS('март 2024'!$G$4:$G$1612,'март 2024'!$D$4:$D$1612,$B80,'март 2024'!$J$4:$J$1612,W$1)</f>
        <v>0</v>
      </c>
      <c r="X80" s="80">
        <f>SUMIFS('март 2024'!$G$4:$G$1612,'март 2024'!$D$4:$D$1612,$B80,'март 2024'!$J$4:$J$1612,X$1)</f>
        <v>0</v>
      </c>
      <c r="Y80" s="80">
        <f>SUMIFS('март 2024'!$G$4:$G$1612,'март 2024'!$D$4:$D$1612,$B80,'март 2024'!$J$4:$J$1612,Y$1)</f>
        <v>0</v>
      </c>
      <c r="Z80" s="80">
        <f>SUMIFS('март 2024'!$G$4:$G$1612,'март 2024'!$D$4:$D$1612,$B80,'март 2024'!$J$4:$J$1612,Z$1)</f>
        <v>0</v>
      </c>
      <c r="AA80" s="80">
        <f>SUMIFS('март 2024'!$G$4:$G$1612,'март 2024'!$D$4:$D$1612,$B80,'март 2024'!$J$4:$J$1612,AA$1)</f>
        <v>0</v>
      </c>
      <c r="AB80" s="80">
        <f>SUMIFS('март 2024'!$G$4:$G$1612,'март 2024'!$D$4:$D$1612,$B80,'март 2024'!$J$4:$J$1612,AB$1)</f>
        <v>0</v>
      </c>
      <c r="AC80" s="80">
        <f>SUMIFS('март 2024'!$G$4:$G$1612,'март 2024'!$D$4:$D$1612,$B80,'март 2024'!$J$4:$J$1612,AC$1)</f>
        <v>0</v>
      </c>
      <c r="AD80" s="80">
        <f>SUMIFS('март 2024'!$G$4:$G$1612,'март 2024'!$D$4:$D$1612,$B80,'март 2024'!$J$4:$J$1612,AD$1)</f>
        <v>0</v>
      </c>
      <c r="AE80" s="80">
        <f>SUMIFS('март 2024'!$G$4:$G$1612,'март 2024'!$D$4:$D$1612,$B80,'март 2024'!$J$4:$J$1612,AE$1)</f>
        <v>0</v>
      </c>
      <c r="AF80" s="80">
        <f>SUMIFS('март 2024'!$G$4:$G$1612,'март 2024'!$D$4:$D$1612,$B80,'март 2024'!$J$4:$J$1612,AF$1)</f>
        <v>0</v>
      </c>
      <c r="AG80" s="80">
        <f>SUMIFS('март 2024'!$G$4:$G$1612,'март 2024'!$D$4:$D$1612,$B80,'март 2024'!$J$4:$J$1612,AG$1)</f>
        <v>0</v>
      </c>
      <c r="AH80" s="80">
        <f>SUMIFS('март 2024'!$G$4:$G$1612,'март 2024'!$D$4:$D$1612,$B80,'март 2024'!$J$4:$J$1612,AH$1)</f>
        <v>0</v>
      </c>
      <c r="AI80" s="21">
        <f t="shared" si="1"/>
        <v>0</v>
      </c>
    </row>
    <row r="81" spans="2:35" ht="15" customHeight="1" x14ac:dyDescent="0.25">
      <c r="B81" s="89" t="s">
        <v>196</v>
      </c>
      <c r="C81" s="88">
        <v>190</v>
      </c>
      <c r="D81" s="80">
        <f>SUMIFS('март 2024'!$G$4:$G$1612,'март 2024'!$D$4:$D$1612,$B81,'март 2024'!$J$4:$J$1612,D$1)</f>
        <v>0</v>
      </c>
      <c r="E81" s="80">
        <f>SUMIFS('март 2024'!$G$4:$G$1612,'март 2024'!$D$4:$D$1612,$B81,'март 2024'!$J$4:$J$1612,E$1)</f>
        <v>0</v>
      </c>
      <c r="F81" s="80">
        <f>SUMIFS('март 2024'!$G$4:$G$1612,'март 2024'!$D$4:$D$1612,$B81,'март 2024'!$J$4:$J$1612,F$1)</f>
        <v>0</v>
      </c>
      <c r="G81" s="80">
        <f>SUMIFS('март 2024'!$G$4:$G$1612,'март 2024'!$D$4:$D$1612,$B81,'март 2024'!$J$4:$J$1612,G$1)</f>
        <v>0</v>
      </c>
      <c r="H81" s="80">
        <f>SUMIFS('март 2024'!$G$4:$G$1612,'март 2024'!$D$4:$D$1612,$B81,'март 2024'!$J$4:$J$1612,H$1)</f>
        <v>0</v>
      </c>
      <c r="I81" s="80">
        <f>SUMIFS('март 2024'!$G$4:$G$1612,'март 2024'!$D$4:$D$1612,$B81,'март 2024'!$J$4:$J$1612,I$1)</f>
        <v>0</v>
      </c>
      <c r="J81" s="80">
        <f>SUMIFS('март 2024'!$G$4:$G$1612,'март 2024'!$D$4:$D$1612,$B81,'март 2024'!$J$4:$J$1612,J$1)</f>
        <v>0</v>
      </c>
      <c r="K81" s="80">
        <f>SUMIFS('март 2024'!$G$4:$G$1612,'март 2024'!$D$4:$D$1612,$B81,'март 2024'!$J$4:$J$1612,K$1)</f>
        <v>0</v>
      </c>
      <c r="L81" s="80">
        <f>SUMIFS('март 2024'!$G$4:$G$1612,'март 2024'!$D$4:$D$1612,$B81,'март 2024'!$J$4:$J$1612,L$1)</f>
        <v>0</v>
      </c>
      <c r="M81" s="80">
        <f>SUMIFS('март 2024'!$G$4:$G$1612,'март 2024'!$D$4:$D$1612,$B81,'март 2024'!$J$4:$J$1612,M$1)</f>
        <v>0</v>
      </c>
      <c r="N81" s="80">
        <f>SUMIFS('март 2024'!$G$4:$G$1612,'март 2024'!$D$4:$D$1612,$B81,'март 2024'!$J$4:$J$1612,N$1)</f>
        <v>0</v>
      </c>
      <c r="O81" s="80">
        <f>SUMIFS('март 2024'!$G$4:$G$1612,'март 2024'!$D$4:$D$1612,$B81,'март 2024'!$J$4:$J$1612,O$1)</f>
        <v>0</v>
      </c>
      <c r="P81" s="80">
        <f>SUMIFS('март 2024'!$G$4:$G$1612,'март 2024'!$D$4:$D$1612,$B81,'март 2024'!$J$4:$J$1612,P$1)</f>
        <v>0</v>
      </c>
      <c r="Q81" s="80">
        <f>SUMIFS('март 2024'!$G$4:$G$1612,'март 2024'!$D$4:$D$1612,$B81,'март 2024'!$J$4:$J$1612,Q$1)</f>
        <v>0</v>
      </c>
      <c r="R81" s="80">
        <f>SUMIFS('март 2024'!$G$4:$G$1612,'март 2024'!$D$4:$D$1612,$B81,'март 2024'!$J$4:$J$1612,R$1)</f>
        <v>0</v>
      </c>
      <c r="S81" s="80">
        <f>SUMIFS('март 2024'!$G$4:$G$1612,'март 2024'!$D$4:$D$1612,$B81,'март 2024'!$J$4:$J$1612,S$1)</f>
        <v>0</v>
      </c>
      <c r="T81" s="80">
        <f>SUMIFS('март 2024'!$G$4:$G$1612,'март 2024'!$D$4:$D$1612,$B81,'март 2024'!$J$4:$J$1612,T$1)</f>
        <v>0</v>
      </c>
      <c r="U81" s="80">
        <f>SUMIFS('март 2024'!$G$4:$G$1612,'март 2024'!$D$4:$D$1612,$B81,'март 2024'!$J$4:$J$1612,U$1)</f>
        <v>0</v>
      </c>
      <c r="V81" s="80">
        <f>SUMIFS('март 2024'!$G$4:$G$1612,'март 2024'!$D$4:$D$1612,$B81,'март 2024'!$J$4:$J$1612,V$1)</f>
        <v>0</v>
      </c>
      <c r="W81" s="80">
        <f>SUMIFS('март 2024'!$G$4:$G$1612,'март 2024'!$D$4:$D$1612,$B81,'март 2024'!$J$4:$J$1612,W$1)</f>
        <v>0</v>
      </c>
      <c r="X81" s="80">
        <f>SUMIFS('март 2024'!$G$4:$G$1612,'март 2024'!$D$4:$D$1612,$B81,'март 2024'!$J$4:$J$1612,X$1)</f>
        <v>0</v>
      </c>
      <c r="Y81" s="80">
        <f>SUMIFS('март 2024'!$G$4:$G$1612,'март 2024'!$D$4:$D$1612,$B81,'март 2024'!$J$4:$J$1612,Y$1)</f>
        <v>0</v>
      </c>
      <c r="Z81" s="80">
        <f>SUMIFS('март 2024'!$G$4:$G$1612,'март 2024'!$D$4:$D$1612,$B81,'март 2024'!$J$4:$J$1612,Z$1)</f>
        <v>0</v>
      </c>
      <c r="AA81" s="80">
        <f>SUMIFS('март 2024'!$G$4:$G$1612,'март 2024'!$D$4:$D$1612,$B81,'март 2024'!$J$4:$J$1612,AA$1)</f>
        <v>0</v>
      </c>
      <c r="AB81" s="80">
        <f>SUMIFS('март 2024'!$G$4:$G$1612,'март 2024'!$D$4:$D$1612,$B81,'март 2024'!$J$4:$J$1612,AB$1)</f>
        <v>0</v>
      </c>
      <c r="AC81" s="80">
        <f>SUMIFS('март 2024'!$G$4:$G$1612,'март 2024'!$D$4:$D$1612,$B81,'март 2024'!$J$4:$J$1612,AC$1)</f>
        <v>0</v>
      </c>
      <c r="AD81" s="80">
        <f>SUMIFS('март 2024'!$G$4:$G$1612,'март 2024'!$D$4:$D$1612,$B81,'март 2024'!$J$4:$J$1612,AD$1)</f>
        <v>0</v>
      </c>
      <c r="AE81" s="80">
        <f>SUMIFS('март 2024'!$G$4:$G$1612,'март 2024'!$D$4:$D$1612,$B81,'март 2024'!$J$4:$J$1612,AE$1)</f>
        <v>0</v>
      </c>
      <c r="AF81" s="80">
        <f>SUMIFS('март 2024'!$G$4:$G$1612,'март 2024'!$D$4:$D$1612,$B81,'март 2024'!$J$4:$J$1612,AF$1)</f>
        <v>0</v>
      </c>
      <c r="AG81" s="80">
        <f>SUMIFS('март 2024'!$G$4:$G$1612,'март 2024'!$D$4:$D$1612,$B81,'март 2024'!$J$4:$J$1612,AG$1)</f>
        <v>0</v>
      </c>
      <c r="AH81" s="80">
        <f>SUMIFS('март 2024'!$G$4:$G$1612,'март 2024'!$D$4:$D$1612,$B81,'март 2024'!$J$4:$J$1612,AH$1)</f>
        <v>0</v>
      </c>
      <c r="AI81" s="21">
        <f t="shared" si="1"/>
        <v>0</v>
      </c>
    </row>
    <row r="82" spans="2:35" ht="15" customHeight="1" x14ac:dyDescent="0.25">
      <c r="B82" s="89" t="s">
        <v>217</v>
      </c>
      <c r="C82" s="88">
        <v>190</v>
      </c>
      <c r="D82" s="80">
        <f>SUMIFS('март 2024'!$G$4:$G$1612,'март 2024'!$D$4:$D$1612,$B82,'март 2024'!$J$4:$J$1612,D$1)</f>
        <v>0</v>
      </c>
      <c r="E82" s="80">
        <f>SUMIFS('март 2024'!$G$4:$G$1612,'март 2024'!$D$4:$D$1612,$B82,'март 2024'!$J$4:$J$1612,E$1)</f>
        <v>0</v>
      </c>
      <c r="F82" s="80">
        <f>SUMIFS('март 2024'!$G$4:$G$1612,'март 2024'!$D$4:$D$1612,$B82,'март 2024'!$J$4:$J$1612,F$1)</f>
        <v>0</v>
      </c>
      <c r="G82" s="80">
        <f>SUMIFS('март 2024'!$G$4:$G$1612,'март 2024'!$D$4:$D$1612,$B82,'март 2024'!$J$4:$J$1612,G$1)</f>
        <v>0</v>
      </c>
      <c r="H82" s="80">
        <f>SUMIFS('март 2024'!$G$4:$G$1612,'март 2024'!$D$4:$D$1612,$B82,'март 2024'!$J$4:$J$1612,H$1)</f>
        <v>0</v>
      </c>
      <c r="I82" s="80">
        <f>SUMIFS('март 2024'!$G$4:$G$1612,'март 2024'!$D$4:$D$1612,$B82,'март 2024'!$J$4:$J$1612,I$1)</f>
        <v>0</v>
      </c>
      <c r="J82" s="80">
        <f>SUMIFS('март 2024'!$G$4:$G$1612,'март 2024'!$D$4:$D$1612,$B82,'март 2024'!$J$4:$J$1612,J$1)</f>
        <v>0</v>
      </c>
      <c r="K82" s="80">
        <f>SUMIFS('март 2024'!$G$4:$G$1612,'март 2024'!$D$4:$D$1612,$B82,'март 2024'!$J$4:$J$1612,K$1)</f>
        <v>0</v>
      </c>
      <c r="L82" s="80">
        <f>SUMIFS('март 2024'!$G$4:$G$1612,'март 2024'!$D$4:$D$1612,$B82,'март 2024'!$J$4:$J$1612,L$1)</f>
        <v>0</v>
      </c>
      <c r="M82" s="80">
        <f>SUMIFS('март 2024'!$G$4:$G$1612,'март 2024'!$D$4:$D$1612,$B82,'март 2024'!$J$4:$J$1612,M$1)</f>
        <v>0</v>
      </c>
      <c r="N82" s="80">
        <f>SUMIFS('март 2024'!$G$4:$G$1612,'март 2024'!$D$4:$D$1612,$B82,'март 2024'!$J$4:$J$1612,N$1)</f>
        <v>0</v>
      </c>
      <c r="O82" s="80">
        <f>SUMIFS('март 2024'!$G$4:$G$1612,'март 2024'!$D$4:$D$1612,$B82,'март 2024'!$J$4:$J$1612,O$1)</f>
        <v>0</v>
      </c>
      <c r="P82" s="80">
        <f>SUMIFS('март 2024'!$G$4:$G$1612,'март 2024'!$D$4:$D$1612,$B82,'март 2024'!$J$4:$J$1612,P$1)</f>
        <v>0</v>
      </c>
      <c r="Q82" s="80">
        <f>SUMIFS('март 2024'!$G$4:$G$1612,'март 2024'!$D$4:$D$1612,$B82,'март 2024'!$J$4:$J$1612,Q$1)</f>
        <v>0</v>
      </c>
      <c r="R82" s="80">
        <f>SUMIFS('март 2024'!$G$4:$G$1612,'март 2024'!$D$4:$D$1612,$B82,'март 2024'!$J$4:$J$1612,R$1)</f>
        <v>0</v>
      </c>
      <c r="S82" s="80">
        <f>SUMIFS('март 2024'!$G$4:$G$1612,'март 2024'!$D$4:$D$1612,$B82,'март 2024'!$J$4:$J$1612,S$1)</f>
        <v>0</v>
      </c>
      <c r="T82" s="80">
        <f>SUMIFS('март 2024'!$G$4:$G$1612,'март 2024'!$D$4:$D$1612,$B82,'март 2024'!$J$4:$J$1612,T$1)</f>
        <v>0</v>
      </c>
      <c r="U82" s="80">
        <f>SUMIFS('март 2024'!$G$4:$G$1612,'март 2024'!$D$4:$D$1612,$B82,'март 2024'!$J$4:$J$1612,U$1)</f>
        <v>0</v>
      </c>
      <c r="V82" s="80">
        <f>SUMIFS('март 2024'!$G$4:$G$1612,'март 2024'!$D$4:$D$1612,$B82,'март 2024'!$J$4:$J$1612,V$1)</f>
        <v>0</v>
      </c>
      <c r="W82" s="80">
        <f>SUMIFS('март 2024'!$G$4:$G$1612,'март 2024'!$D$4:$D$1612,$B82,'март 2024'!$J$4:$J$1612,W$1)</f>
        <v>0</v>
      </c>
      <c r="X82" s="80">
        <f>SUMIFS('март 2024'!$G$4:$G$1612,'март 2024'!$D$4:$D$1612,$B82,'март 2024'!$J$4:$J$1612,X$1)</f>
        <v>0</v>
      </c>
      <c r="Y82" s="80">
        <f>SUMIFS('март 2024'!$G$4:$G$1612,'март 2024'!$D$4:$D$1612,$B82,'март 2024'!$J$4:$J$1612,Y$1)</f>
        <v>0</v>
      </c>
      <c r="Z82" s="80">
        <f>SUMIFS('март 2024'!$G$4:$G$1612,'март 2024'!$D$4:$D$1612,$B82,'март 2024'!$J$4:$J$1612,Z$1)</f>
        <v>0</v>
      </c>
      <c r="AA82" s="80">
        <f>SUMIFS('март 2024'!$G$4:$G$1612,'март 2024'!$D$4:$D$1612,$B82,'март 2024'!$J$4:$J$1612,AA$1)</f>
        <v>0</v>
      </c>
      <c r="AB82" s="80">
        <f>SUMIFS('март 2024'!$G$4:$G$1612,'март 2024'!$D$4:$D$1612,$B82,'март 2024'!$J$4:$J$1612,AB$1)</f>
        <v>0</v>
      </c>
      <c r="AC82" s="80">
        <f>SUMIFS('март 2024'!$G$4:$G$1612,'март 2024'!$D$4:$D$1612,$B82,'март 2024'!$J$4:$J$1612,AC$1)</f>
        <v>0</v>
      </c>
      <c r="AD82" s="80">
        <f>SUMIFS('март 2024'!$G$4:$G$1612,'март 2024'!$D$4:$D$1612,$B82,'март 2024'!$J$4:$J$1612,AD$1)</f>
        <v>0</v>
      </c>
      <c r="AE82" s="80">
        <f>SUMIFS('март 2024'!$G$4:$G$1612,'март 2024'!$D$4:$D$1612,$B82,'март 2024'!$J$4:$J$1612,AE$1)</f>
        <v>0</v>
      </c>
      <c r="AF82" s="80">
        <f>SUMIFS('март 2024'!$G$4:$G$1612,'март 2024'!$D$4:$D$1612,$B82,'март 2024'!$J$4:$J$1612,AF$1)</f>
        <v>0</v>
      </c>
      <c r="AG82" s="80">
        <f>SUMIFS('март 2024'!$G$4:$G$1612,'март 2024'!$D$4:$D$1612,$B82,'март 2024'!$J$4:$J$1612,AG$1)</f>
        <v>0</v>
      </c>
      <c r="AH82" s="80">
        <f>SUMIFS('март 2024'!$G$4:$G$1612,'март 2024'!$D$4:$D$1612,$B82,'март 2024'!$J$4:$J$1612,AH$1)</f>
        <v>0</v>
      </c>
      <c r="AI82" s="21">
        <f t="shared" si="1"/>
        <v>0</v>
      </c>
    </row>
    <row r="83" spans="2:35" ht="15" customHeight="1" x14ac:dyDescent="0.25">
      <c r="B83" s="93" t="s">
        <v>179</v>
      </c>
      <c r="C83" s="88">
        <v>190</v>
      </c>
      <c r="D83" s="80">
        <f>SUMIFS('март 2024'!$G$4:$G$1612,'март 2024'!$D$4:$D$1612,$B83,'март 2024'!$J$4:$J$1612,D$1)</f>
        <v>0</v>
      </c>
      <c r="E83" s="80">
        <f>SUMIFS('март 2024'!$G$4:$G$1612,'март 2024'!$D$4:$D$1612,$B83,'март 2024'!$J$4:$J$1612,E$1)</f>
        <v>0</v>
      </c>
      <c r="F83" s="80">
        <f>SUMIFS('март 2024'!$G$4:$G$1612,'март 2024'!$D$4:$D$1612,$B83,'март 2024'!$J$4:$J$1612,F$1)</f>
        <v>0</v>
      </c>
      <c r="G83" s="80">
        <f>SUMIFS('март 2024'!$G$4:$G$1612,'март 2024'!$D$4:$D$1612,$B83,'март 2024'!$J$4:$J$1612,G$1)</f>
        <v>0</v>
      </c>
      <c r="H83" s="80">
        <f>SUMIFS('март 2024'!$G$4:$G$1612,'март 2024'!$D$4:$D$1612,$B83,'март 2024'!$J$4:$J$1612,H$1)</f>
        <v>0</v>
      </c>
      <c r="I83" s="80">
        <f>SUMIFS('март 2024'!$G$4:$G$1612,'март 2024'!$D$4:$D$1612,$B83,'март 2024'!$J$4:$J$1612,I$1)</f>
        <v>0</v>
      </c>
      <c r="J83" s="80">
        <f>SUMIFS('март 2024'!$G$4:$G$1612,'март 2024'!$D$4:$D$1612,$B83,'март 2024'!$J$4:$J$1612,J$1)</f>
        <v>0</v>
      </c>
      <c r="K83" s="80">
        <f>SUMIFS('март 2024'!$G$4:$G$1612,'март 2024'!$D$4:$D$1612,$B83,'март 2024'!$J$4:$J$1612,K$1)</f>
        <v>0</v>
      </c>
      <c r="L83" s="80">
        <f>SUMIFS('март 2024'!$G$4:$G$1612,'март 2024'!$D$4:$D$1612,$B83,'март 2024'!$J$4:$J$1612,L$1)</f>
        <v>0</v>
      </c>
      <c r="M83" s="80">
        <f>SUMIFS('март 2024'!$G$4:$G$1612,'март 2024'!$D$4:$D$1612,$B83,'март 2024'!$J$4:$J$1612,M$1)</f>
        <v>0</v>
      </c>
      <c r="N83" s="80">
        <f>SUMIFS('март 2024'!$G$4:$G$1612,'март 2024'!$D$4:$D$1612,$B83,'март 2024'!$J$4:$J$1612,N$1)</f>
        <v>0</v>
      </c>
      <c r="O83" s="80">
        <f>SUMIFS('март 2024'!$G$4:$G$1612,'март 2024'!$D$4:$D$1612,$B83,'март 2024'!$J$4:$J$1612,O$1)</f>
        <v>0</v>
      </c>
      <c r="P83" s="80">
        <f>SUMIFS('март 2024'!$G$4:$G$1612,'март 2024'!$D$4:$D$1612,$B83,'март 2024'!$J$4:$J$1612,P$1)</f>
        <v>0</v>
      </c>
      <c r="Q83" s="80">
        <f>SUMIFS('март 2024'!$G$4:$G$1612,'март 2024'!$D$4:$D$1612,$B83,'март 2024'!$J$4:$J$1612,Q$1)</f>
        <v>0</v>
      </c>
      <c r="R83" s="80">
        <f>SUMIFS('март 2024'!$G$4:$G$1612,'март 2024'!$D$4:$D$1612,$B83,'март 2024'!$J$4:$J$1612,R$1)</f>
        <v>0</v>
      </c>
      <c r="S83" s="80">
        <f>SUMIFS('март 2024'!$G$4:$G$1612,'март 2024'!$D$4:$D$1612,$B83,'март 2024'!$J$4:$J$1612,S$1)</f>
        <v>0</v>
      </c>
      <c r="T83" s="80">
        <f>SUMIFS('март 2024'!$G$4:$G$1612,'март 2024'!$D$4:$D$1612,$B83,'март 2024'!$J$4:$J$1612,T$1)</f>
        <v>0</v>
      </c>
      <c r="U83" s="80">
        <f>SUMIFS('март 2024'!$G$4:$G$1612,'март 2024'!$D$4:$D$1612,$B83,'март 2024'!$J$4:$J$1612,U$1)</f>
        <v>0</v>
      </c>
      <c r="V83" s="80">
        <f>SUMIFS('март 2024'!$G$4:$G$1612,'март 2024'!$D$4:$D$1612,$B83,'март 2024'!$J$4:$J$1612,V$1)</f>
        <v>0</v>
      </c>
      <c r="W83" s="80">
        <f>SUMIFS('март 2024'!$G$4:$G$1612,'март 2024'!$D$4:$D$1612,$B83,'март 2024'!$J$4:$J$1612,W$1)</f>
        <v>0</v>
      </c>
      <c r="X83" s="80">
        <f>SUMIFS('март 2024'!$G$4:$G$1612,'март 2024'!$D$4:$D$1612,$B83,'март 2024'!$J$4:$J$1612,X$1)</f>
        <v>0</v>
      </c>
      <c r="Y83" s="80">
        <f>SUMIFS('март 2024'!$G$4:$G$1612,'март 2024'!$D$4:$D$1612,$B83,'март 2024'!$J$4:$J$1612,Y$1)</f>
        <v>0</v>
      </c>
      <c r="Z83" s="80">
        <f>SUMIFS('март 2024'!$G$4:$G$1612,'март 2024'!$D$4:$D$1612,$B83,'март 2024'!$J$4:$J$1612,Z$1)</f>
        <v>0</v>
      </c>
      <c r="AA83" s="80">
        <f>SUMIFS('март 2024'!$G$4:$G$1612,'март 2024'!$D$4:$D$1612,$B83,'март 2024'!$J$4:$J$1612,AA$1)</f>
        <v>0</v>
      </c>
      <c r="AB83" s="80">
        <f>SUMIFS('март 2024'!$G$4:$G$1612,'март 2024'!$D$4:$D$1612,$B83,'март 2024'!$J$4:$J$1612,AB$1)</f>
        <v>0</v>
      </c>
      <c r="AC83" s="80">
        <f>SUMIFS('март 2024'!$G$4:$G$1612,'март 2024'!$D$4:$D$1612,$B83,'март 2024'!$J$4:$J$1612,AC$1)</f>
        <v>0</v>
      </c>
      <c r="AD83" s="80">
        <f>SUMIFS('март 2024'!$G$4:$G$1612,'март 2024'!$D$4:$D$1612,$B83,'март 2024'!$J$4:$J$1612,AD$1)</f>
        <v>0</v>
      </c>
      <c r="AE83" s="80">
        <f>SUMIFS('март 2024'!$G$4:$G$1612,'март 2024'!$D$4:$D$1612,$B83,'март 2024'!$J$4:$J$1612,AE$1)</f>
        <v>0</v>
      </c>
      <c r="AF83" s="80">
        <f>SUMIFS('март 2024'!$G$4:$G$1612,'март 2024'!$D$4:$D$1612,$B83,'март 2024'!$J$4:$J$1612,AF$1)</f>
        <v>0</v>
      </c>
      <c r="AG83" s="80">
        <f>SUMIFS('март 2024'!$G$4:$G$1612,'март 2024'!$D$4:$D$1612,$B83,'март 2024'!$J$4:$J$1612,AG$1)</f>
        <v>0</v>
      </c>
      <c r="AH83" s="80">
        <f>SUMIFS('март 2024'!$G$4:$G$1612,'март 2024'!$D$4:$D$1612,$B83,'март 2024'!$J$4:$J$1612,AH$1)</f>
        <v>0</v>
      </c>
      <c r="AI83" s="21">
        <f t="shared" si="1"/>
        <v>0</v>
      </c>
    </row>
    <row r="84" spans="2:35" ht="15" customHeight="1" x14ac:dyDescent="0.25">
      <c r="B84" s="93" t="s">
        <v>192</v>
      </c>
      <c r="C84" s="91">
        <v>180</v>
      </c>
      <c r="D84" s="80">
        <f>SUMIFS('март 2024'!$G$4:$G$1612,'март 2024'!$D$4:$D$1612,$B84,'март 2024'!$J$4:$J$1612,D$1)</f>
        <v>0</v>
      </c>
      <c r="E84" s="80">
        <f>SUMIFS('март 2024'!$G$4:$G$1612,'март 2024'!$D$4:$D$1612,$B84,'март 2024'!$J$4:$J$1612,E$1)</f>
        <v>0</v>
      </c>
      <c r="F84" s="80">
        <f>SUMIFS('март 2024'!$G$4:$G$1612,'март 2024'!$D$4:$D$1612,$B84,'март 2024'!$J$4:$J$1612,F$1)</f>
        <v>0</v>
      </c>
      <c r="G84" s="80">
        <f>SUMIFS('март 2024'!$G$4:$G$1612,'март 2024'!$D$4:$D$1612,$B84,'март 2024'!$J$4:$J$1612,G$1)</f>
        <v>0</v>
      </c>
      <c r="H84" s="80">
        <f>SUMIFS('март 2024'!$G$4:$G$1612,'март 2024'!$D$4:$D$1612,$B84,'март 2024'!$J$4:$J$1612,H$1)</f>
        <v>0</v>
      </c>
      <c r="I84" s="80">
        <f>SUMIFS('март 2024'!$G$4:$G$1612,'март 2024'!$D$4:$D$1612,$B84,'март 2024'!$J$4:$J$1612,I$1)</f>
        <v>0</v>
      </c>
      <c r="J84" s="80">
        <f>SUMIFS('март 2024'!$G$4:$G$1612,'март 2024'!$D$4:$D$1612,$B84,'март 2024'!$J$4:$J$1612,J$1)</f>
        <v>0</v>
      </c>
      <c r="K84" s="80">
        <f>SUMIFS('март 2024'!$G$4:$G$1612,'март 2024'!$D$4:$D$1612,$B84,'март 2024'!$J$4:$J$1612,K$1)</f>
        <v>0</v>
      </c>
      <c r="L84" s="80">
        <f>SUMIFS('март 2024'!$G$4:$G$1612,'март 2024'!$D$4:$D$1612,$B84,'март 2024'!$J$4:$J$1612,L$1)</f>
        <v>0</v>
      </c>
      <c r="M84" s="80">
        <f>SUMIFS('март 2024'!$G$4:$G$1612,'март 2024'!$D$4:$D$1612,$B84,'март 2024'!$J$4:$J$1612,M$1)</f>
        <v>0</v>
      </c>
      <c r="N84" s="80">
        <f>SUMIFS('март 2024'!$G$4:$G$1612,'март 2024'!$D$4:$D$1612,$B84,'март 2024'!$J$4:$J$1612,N$1)</f>
        <v>0</v>
      </c>
      <c r="O84" s="80">
        <f>SUMIFS('март 2024'!$G$4:$G$1612,'март 2024'!$D$4:$D$1612,$B84,'март 2024'!$J$4:$J$1612,O$1)</f>
        <v>0</v>
      </c>
      <c r="P84" s="80">
        <f>SUMIFS('март 2024'!$G$4:$G$1612,'март 2024'!$D$4:$D$1612,$B84,'март 2024'!$J$4:$J$1612,P$1)</f>
        <v>0</v>
      </c>
      <c r="Q84" s="80">
        <f>SUMIFS('март 2024'!$G$4:$G$1612,'март 2024'!$D$4:$D$1612,$B84,'март 2024'!$J$4:$J$1612,Q$1)</f>
        <v>0</v>
      </c>
      <c r="R84" s="80">
        <f>SUMIFS('март 2024'!$G$4:$G$1612,'март 2024'!$D$4:$D$1612,$B84,'март 2024'!$J$4:$J$1612,R$1)</f>
        <v>0</v>
      </c>
      <c r="S84" s="80">
        <f>SUMIFS('март 2024'!$G$4:$G$1612,'март 2024'!$D$4:$D$1612,$B84,'март 2024'!$J$4:$J$1612,S$1)</f>
        <v>0</v>
      </c>
      <c r="T84" s="80">
        <f>SUMIFS('март 2024'!$G$4:$G$1612,'март 2024'!$D$4:$D$1612,$B84,'март 2024'!$J$4:$J$1612,T$1)</f>
        <v>0</v>
      </c>
      <c r="U84" s="80">
        <f>SUMIFS('март 2024'!$G$4:$G$1612,'март 2024'!$D$4:$D$1612,$B84,'март 2024'!$J$4:$J$1612,U$1)</f>
        <v>0</v>
      </c>
      <c r="V84" s="80">
        <f>SUMIFS('март 2024'!$G$4:$G$1612,'март 2024'!$D$4:$D$1612,$B84,'март 2024'!$J$4:$J$1612,V$1)</f>
        <v>0</v>
      </c>
      <c r="W84" s="80">
        <f>SUMIFS('март 2024'!$G$4:$G$1612,'март 2024'!$D$4:$D$1612,$B84,'март 2024'!$J$4:$J$1612,W$1)</f>
        <v>0</v>
      </c>
      <c r="X84" s="80">
        <f>SUMIFS('март 2024'!$G$4:$G$1612,'март 2024'!$D$4:$D$1612,$B84,'март 2024'!$J$4:$J$1612,X$1)</f>
        <v>0</v>
      </c>
      <c r="Y84" s="80">
        <f>SUMIFS('март 2024'!$G$4:$G$1612,'март 2024'!$D$4:$D$1612,$B84,'март 2024'!$J$4:$J$1612,Y$1)</f>
        <v>0</v>
      </c>
      <c r="Z84" s="80">
        <f>SUMIFS('март 2024'!$G$4:$G$1612,'март 2024'!$D$4:$D$1612,$B84,'март 2024'!$J$4:$J$1612,Z$1)</f>
        <v>0</v>
      </c>
      <c r="AA84" s="80">
        <f>SUMIFS('март 2024'!$G$4:$G$1612,'март 2024'!$D$4:$D$1612,$B84,'март 2024'!$J$4:$J$1612,AA$1)</f>
        <v>0</v>
      </c>
      <c r="AB84" s="80">
        <f>SUMIFS('март 2024'!$G$4:$G$1612,'март 2024'!$D$4:$D$1612,$B84,'март 2024'!$J$4:$J$1612,AB$1)</f>
        <v>0</v>
      </c>
      <c r="AC84" s="80">
        <f>SUMIFS('март 2024'!$G$4:$G$1612,'март 2024'!$D$4:$D$1612,$B84,'март 2024'!$J$4:$J$1612,AC$1)</f>
        <v>0</v>
      </c>
      <c r="AD84" s="80">
        <f>SUMIFS('март 2024'!$G$4:$G$1612,'март 2024'!$D$4:$D$1612,$B84,'март 2024'!$J$4:$J$1612,AD$1)</f>
        <v>0</v>
      </c>
      <c r="AE84" s="80">
        <f>SUMIFS('март 2024'!$G$4:$G$1612,'март 2024'!$D$4:$D$1612,$B84,'март 2024'!$J$4:$J$1612,AE$1)</f>
        <v>0</v>
      </c>
      <c r="AF84" s="80">
        <f>SUMIFS('март 2024'!$G$4:$G$1612,'март 2024'!$D$4:$D$1612,$B84,'март 2024'!$J$4:$J$1612,AF$1)</f>
        <v>0</v>
      </c>
      <c r="AG84" s="80">
        <f>SUMIFS('март 2024'!$G$4:$G$1612,'март 2024'!$D$4:$D$1612,$B84,'март 2024'!$J$4:$J$1612,AG$1)</f>
        <v>0</v>
      </c>
      <c r="AH84" s="80">
        <f>SUMIFS('март 2024'!$G$4:$G$1612,'март 2024'!$D$4:$D$1612,$B84,'март 2024'!$J$4:$J$1612,AH$1)</f>
        <v>0</v>
      </c>
      <c r="AI84" s="21">
        <f t="shared" si="1"/>
        <v>0</v>
      </c>
    </row>
    <row r="85" spans="2:35" ht="15" customHeight="1" x14ac:dyDescent="0.25">
      <c r="B85" s="93" t="s">
        <v>887</v>
      </c>
      <c r="C85" s="91">
        <v>190</v>
      </c>
      <c r="D85" s="80">
        <f>SUMIFS('март 2024'!$G$4:$G$1612,'март 2024'!$D$4:$D$1612,$B85,'март 2024'!$J$4:$J$1612,D$1)</f>
        <v>0</v>
      </c>
      <c r="E85" s="80">
        <f>SUMIFS('март 2024'!$G$4:$G$1612,'март 2024'!$D$4:$D$1612,$B85,'март 2024'!$J$4:$J$1612,E$1)</f>
        <v>0</v>
      </c>
      <c r="F85" s="80">
        <f>SUMIFS('март 2024'!$G$4:$G$1612,'март 2024'!$D$4:$D$1612,$B85,'март 2024'!$J$4:$J$1612,F$1)</f>
        <v>0</v>
      </c>
      <c r="G85" s="80">
        <f>SUMIFS('март 2024'!$G$4:$G$1612,'март 2024'!$D$4:$D$1612,$B85,'март 2024'!$J$4:$J$1612,G$1)</f>
        <v>0</v>
      </c>
      <c r="H85" s="80">
        <f>SUMIFS('март 2024'!$G$4:$G$1612,'март 2024'!$D$4:$D$1612,$B85,'март 2024'!$J$4:$J$1612,H$1)</f>
        <v>0</v>
      </c>
      <c r="I85" s="80">
        <f>SUMIFS('март 2024'!$G$4:$G$1612,'март 2024'!$D$4:$D$1612,$B85,'март 2024'!$J$4:$J$1612,I$1)</f>
        <v>0</v>
      </c>
      <c r="J85" s="80">
        <f>SUMIFS('март 2024'!$G$4:$G$1612,'март 2024'!$D$4:$D$1612,$B85,'март 2024'!$J$4:$J$1612,J$1)</f>
        <v>0</v>
      </c>
      <c r="K85" s="80">
        <f>SUMIFS('март 2024'!$G$4:$G$1612,'март 2024'!$D$4:$D$1612,$B85,'март 2024'!$J$4:$J$1612,K$1)</f>
        <v>0</v>
      </c>
      <c r="L85" s="80">
        <f>SUMIFS('март 2024'!$G$4:$G$1612,'март 2024'!$D$4:$D$1612,$B85,'март 2024'!$J$4:$J$1612,L$1)</f>
        <v>0</v>
      </c>
      <c r="M85" s="80">
        <f>SUMIFS('март 2024'!$G$4:$G$1612,'март 2024'!$D$4:$D$1612,$B85,'март 2024'!$J$4:$J$1612,M$1)</f>
        <v>0</v>
      </c>
      <c r="N85" s="80">
        <f>SUMIFS('март 2024'!$G$4:$G$1612,'март 2024'!$D$4:$D$1612,$B85,'март 2024'!$J$4:$J$1612,N$1)</f>
        <v>0</v>
      </c>
      <c r="O85" s="80">
        <f>SUMIFS('март 2024'!$G$4:$G$1612,'март 2024'!$D$4:$D$1612,$B85,'март 2024'!$J$4:$J$1612,O$1)</f>
        <v>0</v>
      </c>
      <c r="P85" s="80">
        <f>SUMIFS('март 2024'!$G$4:$G$1612,'март 2024'!$D$4:$D$1612,$B85,'март 2024'!$J$4:$J$1612,P$1)</f>
        <v>0</v>
      </c>
      <c r="Q85" s="80">
        <f>SUMIFS('март 2024'!$G$4:$G$1612,'март 2024'!$D$4:$D$1612,$B85,'март 2024'!$J$4:$J$1612,Q$1)</f>
        <v>0</v>
      </c>
      <c r="R85" s="80">
        <f>SUMIFS('март 2024'!$G$4:$G$1612,'март 2024'!$D$4:$D$1612,$B85,'март 2024'!$J$4:$J$1612,R$1)</f>
        <v>0</v>
      </c>
      <c r="S85" s="80">
        <f>SUMIFS('март 2024'!$G$4:$G$1612,'март 2024'!$D$4:$D$1612,$B85,'март 2024'!$J$4:$J$1612,S$1)</f>
        <v>0</v>
      </c>
      <c r="T85" s="80">
        <f>SUMIFS('март 2024'!$G$4:$G$1612,'март 2024'!$D$4:$D$1612,$B85,'март 2024'!$J$4:$J$1612,T$1)</f>
        <v>0</v>
      </c>
      <c r="U85" s="80">
        <f>SUMIFS('март 2024'!$G$4:$G$1612,'март 2024'!$D$4:$D$1612,$B85,'март 2024'!$J$4:$J$1612,U$1)</f>
        <v>0</v>
      </c>
      <c r="V85" s="80">
        <f>SUMIFS('март 2024'!$G$4:$G$1612,'март 2024'!$D$4:$D$1612,$B85,'март 2024'!$J$4:$J$1612,V$1)</f>
        <v>0</v>
      </c>
      <c r="W85" s="80">
        <f>SUMIFS('март 2024'!$G$4:$G$1612,'март 2024'!$D$4:$D$1612,$B85,'март 2024'!$J$4:$J$1612,W$1)</f>
        <v>0</v>
      </c>
      <c r="X85" s="80">
        <f>SUMIFS('март 2024'!$G$4:$G$1612,'март 2024'!$D$4:$D$1612,$B85,'март 2024'!$J$4:$J$1612,X$1)</f>
        <v>0</v>
      </c>
      <c r="Y85" s="80">
        <f>SUMIFS('март 2024'!$G$4:$G$1612,'март 2024'!$D$4:$D$1612,$B85,'март 2024'!$J$4:$J$1612,Y$1)</f>
        <v>16</v>
      </c>
      <c r="Z85" s="80">
        <f>SUMIFS('март 2024'!$G$4:$G$1612,'март 2024'!$D$4:$D$1612,$B85,'март 2024'!$J$4:$J$1612,Z$1)</f>
        <v>0</v>
      </c>
      <c r="AA85" s="80">
        <f>SUMIFS('март 2024'!$G$4:$G$1612,'март 2024'!$D$4:$D$1612,$B85,'март 2024'!$J$4:$J$1612,AA$1)</f>
        <v>0</v>
      </c>
      <c r="AB85" s="80">
        <f>SUMIFS('март 2024'!$G$4:$G$1612,'март 2024'!$D$4:$D$1612,$B85,'март 2024'!$J$4:$J$1612,AB$1)</f>
        <v>0</v>
      </c>
      <c r="AC85" s="80">
        <f>SUMIFS('март 2024'!$G$4:$G$1612,'март 2024'!$D$4:$D$1612,$B85,'март 2024'!$J$4:$J$1612,AC$1)</f>
        <v>0</v>
      </c>
      <c r="AD85" s="80">
        <f>SUMIFS('март 2024'!$G$4:$G$1612,'март 2024'!$D$4:$D$1612,$B85,'март 2024'!$J$4:$J$1612,AD$1)</f>
        <v>0</v>
      </c>
      <c r="AE85" s="80">
        <f>SUMIFS('март 2024'!$G$4:$G$1612,'март 2024'!$D$4:$D$1612,$B85,'март 2024'!$J$4:$J$1612,AE$1)</f>
        <v>0</v>
      </c>
      <c r="AF85" s="80">
        <f>SUMIFS('март 2024'!$G$4:$G$1612,'март 2024'!$D$4:$D$1612,$B85,'март 2024'!$J$4:$J$1612,AF$1)</f>
        <v>0</v>
      </c>
      <c r="AG85" s="80">
        <f>SUMIFS('март 2024'!$G$4:$G$1612,'март 2024'!$D$4:$D$1612,$B85,'март 2024'!$J$4:$J$1612,AG$1)</f>
        <v>0</v>
      </c>
      <c r="AH85" s="80">
        <f>SUMIFS('март 2024'!$G$4:$G$1612,'март 2024'!$D$4:$D$1612,$B85,'март 2024'!$J$4:$J$1612,AH$1)</f>
        <v>0</v>
      </c>
      <c r="AI85" s="21">
        <f t="shared" si="1"/>
        <v>16</v>
      </c>
    </row>
    <row r="86" spans="2:35" ht="15" customHeight="1" x14ac:dyDescent="0.25">
      <c r="B86" s="93" t="s">
        <v>399</v>
      </c>
      <c r="C86" s="91">
        <v>190</v>
      </c>
      <c r="D86" s="80">
        <f>SUMIFS('март 2024'!$G$4:$G$1612,'март 2024'!$D$4:$D$1612,$B86,'март 2024'!$J$4:$J$1612,D$1)</f>
        <v>0</v>
      </c>
      <c r="E86" s="80">
        <f>SUMIFS('март 2024'!$G$4:$G$1612,'март 2024'!$D$4:$D$1612,$B86,'март 2024'!$J$4:$J$1612,E$1)</f>
        <v>0</v>
      </c>
      <c r="F86" s="80">
        <f>SUMIFS('март 2024'!$G$4:$G$1612,'март 2024'!$D$4:$D$1612,$B86,'март 2024'!$J$4:$J$1612,F$1)</f>
        <v>0</v>
      </c>
      <c r="G86" s="80">
        <f>SUMIFS('март 2024'!$G$4:$G$1612,'март 2024'!$D$4:$D$1612,$B86,'март 2024'!$J$4:$J$1612,G$1)</f>
        <v>0</v>
      </c>
      <c r="H86" s="80">
        <f>SUMIFS('март 2024'!$G$4:$G$1612,'март 2024'!$D$4:$D$1612,$B86,'март 2024'!$J$4:$J$1612,H$1)</f>
        <v>0</v>
      </c>
      <c r="I86" s="80">
        <f>SUMIFS('март 2024'!$G$4:$G$1612,'март 2024'!$D$4:$D$1612,$B86,'март 2024'!$J$4:$J$1612,I$1)</f>
        <v>0</v>
      </c>
      <c r="J86" s="80">
        <f>SUMIFS('март 2024'!$G$4:$G$1612,'март 2024'!$D$4:$D$1612,$B86,'март 2024'!$J$4:$J$1612,J$1)</f>
        <v>0</v>
      </c>
      <c r="K86" s="80">
        <f>SUMIFS('март 2024'!$G$4:$G$1612,'март 2024'!$D$4:$D$1612,$B86,'март 2024'!$J$4:$J$1612,K$1)</f>
        <v>0</v>
      </c>
      <c r="L86" s="80">
        <f>SUMIFS('март 2024'!$G$4:$G$1612,'март 2024'!$D$4:$D$1612,$B86,'март 2024'!$J$4:$J$1612,L$1)</f>
        <v>0</v>
      </c>
      <c r="M86" s="80">
        <f>SUMIFS('март 2024'!$G$4:$G$1612,'март 2024'!$D$4:$D$1612,$B86,'март 2024'!$J$4:$J$1612,M$1)</f>
        <v>0</v>
      </c>
      <c r="N86" s="80">
        <f>SUMIFS('март 2024'!$G$4:$G$1612,'март 2024'!$D$4:$D$1612,$B86,'март 2024'!$J$4:$J$1612,N$1)</f>
        <v>0</v>
      </c>
      <c r="O86" s="80">
        <f>SUMIFS('март 2024'!$G$4:$G$1612,'март 2024'!$D$4:$D$1612,$B86,'март 2024'!$J$4:$J$1612,O$1)</f>
        <v>0</v>
      </c>
      <c r="P86" s="80">
        <f>SUMIFS('март 2024'!$G$4:$G$1612,'март 2024'!$D$4:$D$1612,$B86,'март 2024'!$J$4:$J$1612,P$1)</f>
        <v>0</v>
      </c>
      <c r="Q86" s="80">
        <f>SUMIFS('март 2024'!$G$4:$G$1612,'март 2024'!$D$4:$D$1612,$B86,'март 2024'!$J$4:$J$1612,Q$1)</f>
        <v>0</v>
      </c>
      <c r="R86" s="80">
        <f>SUMIFS('март 2024'!$G$4:$G$1612,'март 2024'!$D$4:$D$1612,$B86,'март 2024'!$J$4:$J$1612,R$1)</f>
        <v>0</v>
      </c>
      <c r="S86" s="80">
        <f>SUMIFS('март 2024'!$G$4:$G$1612,'март 2024'!$D$4:$D$1612,$B86,'март 2024'!$J$4:$J$1612,S$1)</f>
        <v>0</v>
      </c>
      <c r="T86" s="80">
        <f>SUMIFS('март 2024'!$G$4:$G$1612,'март 2024'!$D$4:$D$1612,$B86,'март 2024'!$J$4:$J$1612,T$1)</f>
        <v>0</v>
      </c>
      <c r="U86" s="80">
        <f>SUMIFS('март 2024'!$G$4:$G$1612,'март 2024'!$D$4:$D$1612,$B86,'март 2024'!$J$4:$J$1612,U$1)</f>
        <v>0</v>
      </c>
      <c r="V86" s="80">
        <f>SUMIFS('март 2024'!$G$4:$G$1612,'март 2024'!$D$4:$D$1612,$B86,'март 2024'!$J$4:$J$1612,V$1)</f>
        <v>0</v>
      </c>
      <c r="W86" s="80">
        <f>SUMIFS('март 2024'!$G$4:$G$1612,'март 2024'!$D$4:$D$1612,$B86,'март 2024'!$J$4:$J$1612,W$1)</f>
        <v>0</v>
      </c>
      <c r="X86" s="80">
        <f>SUMIFS('март 2024'!$G$4:$G$1612,'март 2024'!$D$4:$D$1612,$B86,'март 2024'!$J$4:$J$1612,X$1)</f>
        <v>0</v>
      </c>
      <c r="Y86" s="80">
        <f>SUMIFS('март 2024'!$G$4:$G$1612,'март 2024'!$D$4:$D$1612,$B86,'март 2024'!$J$4:$J$1612,Y$1)</f>
        <v>0</v>
      </c>
      <c r="Z86" s="80">
        <f>SUMIFS('март 2024'!$G$4:$G$1612,'март 2024'!$D$4:$D$1612,$B86,'март 2024'!$J$4:$J$1612,Z$1)</f>
        <v>0</v>
      </c>
      <c r="AA86" s="80">
        <f>SUMIFS('март 2024'!$G$4:$G$1612,'март 2024'!$D$4:$D$1612,$B86,'март 2024'!$J$4:$J$1612,AA$1)</f>
        <v>0</v>
      </c>
      <c r="AB86" s="80">
        <f>SUMIFS('март 2024'!$G$4:$G$1612,'март 2024'!$D$4:$D$1612,$B86,'март 2024'!$J$4:$J$1612,AB$1)</f>
        <v>0</v>
      </c>
      <c r="AC86" s="80">
        <f>SUMIFS('март 2024'!$G$4:$G$1612,'март 2024'!$D$4:$D$1612,$B86,'март 2024'!$J$4:$J$1612,AC$1)</f>
        <v>0</v>
      </c>
      <c r="AD86" s="80">
        <f>SUMIFS('март 2024'!$G$4:$G$1612,'март 2024'!$D$4:$D$1612,$B86,'март 2024'!$J$4:$J$1612,AD$1)</f>
        <v>0</v>
      </c>
      <c r="AE86" s="80">
        <f>SUMIFS('март 2024'!$G$4:$G$1612,'март 2024'!$D$4:$D$1612,$B86,'март 2024'!$J$4:$J$1612,AE$1)</f>
        <v>0</v>
      </c>
      <c r="AF86" s="80">
        <f>SUMIFS('март 2024'!$G$4:$G$1612,'март 2024'!$D$4:$D$1612,$B86,'март 2024'!$J$4:$J$1612,AF$1)</f>
        <v>0</v>
      </c>
      <c r="AG86" s="80">
        <f>SUMIFS('март 2024'!$G$4:$G$1612,'март 2024'!$D$4:$D$1612,$B86,'март 2024'!$J$4:$J$1612,AG$1)</f>
        <v>0</v>
      </c>
      <c r="AH86" s="80">
        <f>SUMIFS('март 2024'!$G$4:$G$1612,'март 2024'!$D$4:$D$1612,$B86,'март 2024'!$J$4:$J$1612,AH$1)</f>
        <v>0</v>
      </c>
      <c r="AI86" s="21">
        <f t="shared" si="1"/>
        <v>0</v>
      </c>
    </row>
    <row r="87" spans="2:35" ht="15" customHeight="1" x14ac:dyDescent="0.25">
      <c r="B87" s="93" t="s">
        <v>322</v>
      </c>
      <c r="C87" s="91">
        <v>180</v>
      </c>
      <c r="D87" s="80">
        <f>SUMIFS('март 2024'!$G$4:$G$1612,'март 2024'!$D$4:$D$1612,$B87,'март 2024'!$J$4:$J$1612,D$1)</f>
        <v>0</v>
      </c>
      <c r="E87" s="80">
        <f>SUMIFS('март 2024'!$G$4:$G$1612,'март 2024'!$D$4:$D$1612,$B87,'март 2024'!$J$4:$J$1612,E$1)</f>
        <v>0</v>
      </c>
      <c r="F87" s="80">
        <f>SUMIFS('март 2024'!$G$4:$G$1612,'март 2024'!$D$4:$D$1612,$B87,'март 2024'!$J$4:$J$1612,F$1)</f>
        <v>0</v>
      </c>
      <c r="G87" s="80">
        <f>SUMIFS('март 2024'!$G$4:$G$1612,'март 2024'!$D$4:$D$1612,$B87,'март 2024'!$J$4:$J$1612,G$1)</f>
        <v>0</v>
      </c>
      <c r="H87" s="80">
        <f>SUMIFS('март 2024'!$G$4:$G$1612,'март 2024'!$D$4:$D$1612,$B87,'март 2024'!$J$4:$J$1612,H$1)</f>
        <v>0</v>
      </c>
      <c r="I87" s="80">
        <f>SUMIFS('март 2024'!$G$4:$G$1612,'март 2024'!$D$4:$D$1612,$B87,'март 2024'!$J$4:$J$1612,I$1)</f>
        <v>0</v>
      </c>
      <c r="J87" s="80">
        <f>SUMIFS('март 2024'!$G$4:$G$1612,'март 2024'!$D$4:$D$1612,$B87,'март 2024'!$J$4:$J$1612,J$1)</f>
        <v>0</v>
      </c>
      <c r="K87" s="80">
        <f>SUMIFS('март 2024'!$G$4:$G$1612,'март 2024'!$D$4:$D$1612,$B87,'март 2024'!$J$4:$J$1612,K$1)</f>
        <v>0</v>
      </c>
      <c r="L87" s="80">
        <f>SUMIFS('март 2024'!$G$4:$G$1612,'март 2024'!$D$4:$D$1612,$B87,'март 2024'!$J$4:$J$1612,L$1)</f>
        <v>0</v>
      </c>
      <c r="M87" s="80">
        <f>SUMIFS('март 2024'!$G$4:$G$1612,'март 2024'!$D$4:$D$1612,$B87,'март 2024'!$J$4:$J$1612,M$1)</f>
        <v>0</v>
      </c>
      <c r="N87" s="80">
        <f>SUMIFS('март 2024'!$G$4:$G$1612,'март 2024'!$D$4:$D$1612,$B87,'март 2024'!$J$4:$J$1612,N$1)</f>
        <v>0</v>
      </c>
      <c r="O87" s="80">
        <f>SUMIFS('март 2024'!$G$4:$G$1612,'март 2024'!$D$4:$D$1612,$B87,'март 2024'!$J$4:$J$1612,O$1)</f>
        <v>0</v>
      </c>
      <c r="P87" s="80">
        <f>SUMIFS('март 2024'!$G$4:$G$1612,'март 2024'!$D$4:$D$1612,$B87,'март 2024'!$J$4:$J$1612,P$1)</f>
        <v>0</v>
      </c>
      <c r="Q87" s="80">
        <f>SUMIFS('март 2024'!$G$4:$G$1612,'март 2024'!$D$4:$D$1612,$B87,'март 2024'!$J$4:$J$1612,Q$1)</f>
        <v>0</v>
      </c>
      <c r="R87" s="80">
        <f>SUMIFS('март 2024'!$G$4:$G$1612,'март 2024'!$D$4:$D$1612,$B87,'март 2024'!$J$4:$J$1612,R$1)</f>
        <v>0</v>
      </c>
      <c r="S87" s="80">
        <f>SUMIFS('март 2024'!$G$4:$G$1612,'март 2024'!$D$4:$D$1612,$B87,'март 2024'!$J$4:$J$1612,S$1)</f>
        <v>0</v>
      </c>
      <c r="T87" s="80">
        <f>SUMIFS('март 2024'!$G$4:$G$1612,'март 2024'!$D$4:$D$1612,$B87,'март 2024'!$J$4:$J$1612,T$1)</f>
        <v>0</v>
      </c>
      <c r="U87" s="80">
        <f>SUMIFS('март 2024'!$G$4:$G$1612,'март 2024'!$D$4:$D$1612,$B87,'март 2024'!$J$4:$J$1612,U$1)</f>
        <v>0</v>
      </c>
      <c r="V87" s="80">
        <f>SUMIFS('март 2024'!$G$4:$G$1612,'март 2024'!$D$4:$D$1612,$B87,'март 2024'!$J$4:$J$1612,V$1)</f>
        <v>0</v>
      </c>
      <c r="W87" s="80">
        <f>SUMIFS('март 2024'!$G$4:$G$1612,'март 2024'!$D$4:$D$1612,$B87,'март 2024'!$J$4:$J$1612,W$1)</f>
        <v>0</v>
      </c>
      <c r="X87" s="80">
        <f>SUMIFS('март 2024'!$G$4:$G$1612,'март 2024'!$D$4:$D$1612,$B87,'март 2024'!$J$4:$J$1612,X$1)</f>
        <v>0</v>
      </c>
      <c r="Y87" s="80">
        <f>SUMIFS('март 2024'!$G$4:$G$1612,'март 2024'!$D$4:$D$1612,$B87,'март 2024'!$J$4:$J$1612,Y$1)</f>
        <v>0</v>
      </c>
      <c r="Z87" s="80">
        <f>SUMIFS('март 2024'!$G$4:$G$1612,'март 2024'!$D$4:$D$1612,$B87,'март 2024'!$J$4:$J$1612,Z$1)</f>
        <v>0</v>
      </c>
      <c r="AA87" s="80">
        <f>SUMIFS('март 2024'!$G$4:$G$1612,'март 2024'!$D$4:$D$1612,$B87,'март 2024'!$J$4:$J$1612,AA$1)</f>
        <v>0</v>
      </c>
      <c r="AB87" s="80">
        <f>SUMIFS('март 2024'!$G$4:$G$1612,'март 2024'!$D$4:$D$1612,$B87,'март 2024'!$J$4:$J$1612,AB$1)</f>
        <v>0</v>
      </c>
      <c r="AC87" s="80">
        <f>SUMIFS('март 2024'!$G$4:$G$1612,'март 2024'!$D$4:$D$1612,$B87,'март 2024'!$J$4:$J$1612,AC$1)</f>
        <v>0</v>
      </c>
      <c r="AD87" s="80">
        <f>SUMIFS('март 2024'!$G$4:$G$1612,'март 2024'!$D$4:$D$1612,$B87,'март 2024'!$J$4:$J$1612,AD$1)</f>
        <v>0</v>
      </c>
      <c r="AE87" s="80">
        <f>SUMIFS('март 2024'!$G$4:$G$1612,'март 2024'!$D$4:$D$1612,$B87,'март 2024'!$J$4:$J$1612,AE$1)</f>
        <v>0</v>
      </c>
      <c r="AF87" s="80">
        <f>SUMIFS('март 2024'!$G$4:$G$1612,'март 2024'!$D$4:$D$1612,$B87,'март 2024'!$J$4:$J$1612,AF$1)</f>
        <v>0</v>
      </c>
      <c r="AG87" s="80">
        <f>SUMIFS('март 2024'!$G$4:$G$1612,'март 2024'!$D$4:$D$1612,$B87,'март 2024'!$J$4:$J$1612,AG$1)</f>
        <v>0</v>
      </c>
      <c r="AH87" s="80">
        <f>SUMIFS('март 2024'!$G$4:$G$1612,'март 2024'!$D$4:$D$1612,$B87,'март 2024'!$J$4:$J$1612,AH$1)</f>
        <v>0</v>
      </c>
      <c r="AI87" s="21">
        <f t="shared" si="1"/>
        <v>0</v>
      </c>
    </row>
    <row r="88" spans="2:35" ht="15" customHeight="1" x14ac:dyDescent="0.25">
      <c r="B88" s="93" t="s">
        <v>323</v>
      </c>
      <c r="C88" s="91">
        <v>180</v>
      </c>
      <c r="D88" s="80">
        <f>SUMIFS('март 2024'!$G$4:$G$1612,'март 2024'!$D$4:$D$1612,$B88,'март 2024'!$J$4:$J$1612,D$1)</f>
        <v>0</v>
      </c>
      <c r="E88" s="80">
        <f>SUMIFS('март 2024'!$G$4:$G$1612,'март 2024'!$D$4:$D$1612,$B88,'март 2024'!$J$4:$J$1612,E$1)</f>
        <v>0</v>
      </c>
      <c r="F88" s="80">
        <f>SUMIFS('март 2024'!$G$4:$G$1612,'март 2024'!$D$4:$D$1612,$B88,'март 2024'!$J$4:$J$1612,F$1)</f>
        <v>0</v>
      </c>
      <c r="G88" s="80">
        <f>SUMIFS('март 2024'!$G$4:$G$1612,'март 2024'!$D$4:$D$1612,$B88,'март 2024'!$J$4:$J$1612,G$1)</f>
        <v>0</v>
      </c>
      <c r="H88" s="80">
        <f>SUMIFS('март 2024'!$G$4:$G$1612,'март 2024'!$D$4:$D$1612,$B88,'март 2024'!$J$4:$J$1612,H$1)</f>
        <v>0</v>
      </c>
      <c r="I88" s="80">
        <f>SUMIFS('март 2024'!$G$4:$G$1612,'март 2024'!$D$4:$D$1612,$B88,'март 2024'!$J$4:$J$1612,I$1)</f>
        <v>0</v>
      </c>
      <c r="J88" s="80">
        <f>SUMIFS('март 2024'!$G$4:$G$1612,'март 2024'!$D$4:$D$1612,$B88,'март 2024'!$J$4:$J$1612,J$1)</f>
        <v>0</v>
      </c>
      <c r="K88" s="80">
        <f>SUMIFS('март 2024'!$G$4:$G$1612,'март 2024'!$D$4:$D$1612,$B88,'март 2024'!$J$4:$J$1612,K$1)</f>
        <v>0</v>
      </c>
      <c r="L88" s="80">
        <f>SUMIFS('март 2024'!$G$4:$G$1612,'март 2024'!$D$4:$D$1612,$B88,'март 2024'!$J$4:$J$1612,L$1)</f>
        <v>0</v>
      </c>
      <c r="M88" s="80">
        <f>SUMIFS('март 2024'!$G$4:$G$1612,'март 2024'!$D$4:$D$1612,$B88,'март 2024'!$J$4:$J$1612,M$1)</f>
        <v>0</v>
      </c>
      <c r="N88" s="80">
        <f>SUMIFS('март 2024'!$G$4:$G$1612,'март 2024'!$D$4:$D$1612,$B88,'март 2024'!$J$4:$J$1612,N$1)</f>
        <v>0</v>
      </c>
      <c r="O88" s="80">
        <f>SUMIFS('март 2024'!$G$4:$G$1612,'март 2024'!$D$4:$D$1612,$B88,'март 2024'!$J$4:$J$1612,O$1)</f>
        <v>0</v>
      </c>
      <c r="P88" s="80">
        <f>SUMIFS('март 2024'!$G$4:$G$1612,'март 2024'!$D$4:$D$1612,$B88,'март 2024'!$J$4:$J$1612,P$1)</f>
        <v>0</v>
      </c>
      <c r="Q88" s="80">
        <f>SUMIFS('март 2024'!$G$4:$G$1612,'март 2024'!$D$4:$D$1612,$B88,'март 2024'!$J$4:$J$1612,Q$1)</f>
        <v>0</v>
      </c>
      <c r="R88" s="80">
        <f>SUMIFS('март 2024'!$G$4:$G$1612,'март 2024'!$D$4:$D$1612,$B88,'март 2024'!$J$4:$J$1612,R$1)</f>
        <v>0</v>
      </c>
      <c r="S88" s="80">
        <f>SUMIFS('март 2024'!$G$4:$G$1612,'март 2024'!$D$4:$D$1612,$B88,'март 2024'!$J$4:$J$1612,S$1)</f>
        <v>0</v>
      </c>
      <c r="T88" s="80">
        <f>SUMIFS('март 2024'!$G$4:$G$1612,'март 2024'!$D$4:$D$1612,$B88,'март 2024'!$J$4:$J$1612,T$1)</f>
        <v>0</v>
      </c>
      <c r="U88" s="80">
        <f>SUMIFS('март 2024'!$G$4:$G$1612,'март 2024'!$D$4:$D$1612,$B88,'март 2024'!$J$4:$J$1612,U$1)</f>
        <v>0</v>
      </c>
      <c r="V88" s="80">
        <f>SUMIFS('март 2024'!$G$4:$G$1612,'март 2024'!$D$4:$D$1612,$B88,'март 2024'!$J$4:$J$1612,V$1)</f>
        <v>0</v>
      </c>
      <c r="W88" s="80">
        <f>SUMIFS('март 2024'!$G$4:$G$1612,'март 2024'!$D$4:$D$1612,$B88,'март 2024'!$J$4:$J$1612,W$1)</f>
        <v>0</v>
      </c>
      <c r="X88" s="80">
        <f>SUMIFS('март 2024'!$G$4:$G$1612,'март 2024'!$D$4:$D$1612,$B88,'март 2024'!$J$4:$J$1612,X$1)</f>
        <v>0</v>
      </c>
      <c r="Y88" s="80">
        <f>SUMIFS('март 2024'!$G$4:$G$1612,'март 2024'!$D$4:$D$1612,$B88,'март 2024'!$J$4:$J$1612,Y$1)</f>
        <v>0</v>
      </c>
      <c r="Z88" s="80">
        <f>SUMIFS('март 2024'!$G$4:$G$1612,'март 2024'!$D$4:$D$1612,$B88,'март 2024'!$J$4:$J$1612,Z$1)</f>
        <v>0</v>
      </c>
      <c r="AA88" s="80">
        <f>SUMIFS('март 2024'!$G$4:$G$1612,'март 2024'!$D$4:$D$1612,$B88,'март 2024'!$J$4:$J$1612,AA$1)</f>
        <v>0</v>
      </c>
      <c r="AB88" s="80">
        <f>SUMIFS('март 2024'!$G$4:$G$1612,'март 2024'!$D$4:$D$1612,$B88,'март 2024'!$J$4:$J$1612,AB$1)</f>
        <v>0</v>
      </c>
      <c r="AC88" s="80">
        <f>SUMIFS('март 2024'!$G$4:$G$1612,'март 2024'!$D$4:$D$1612,$B88,'март 2024'!$J$4:$J$1612,AC$1)</f>
        <v>0</v>
      </c>
      <c r="AD88" s="80">
        <f>SUMIFS('март 2024'!$G$4:$G$1612,'март 2024'!$D$4:$D$1612,$B88,'март 2024'!$J$4:$J$1612,AD$1)</f>
        <v>0</v>
      </c>
      <c r="AE88" s="80">
        <f>SUMIFS('март 2024'!$G$4:$G$1612,'март 2024'!$D$4:$D$1612,$B88,'март 2024'!$J$4:$J$1612,AE$1)</f>
        <v>0</v>
      </c>
      <c r="AF88" s="80">
        <f>SUMIFS('март 2024'!$G$4:$G$1612,'март 2024'!$D$4:$D$1612,$B88,'март 2024'!$J$4:$J$1612,AF$1)</f>
        <v>0</v>
      </c>
      <c r="AG88" s="80">
        <f>SUMIFS('март 2024'!$G$4:$G$1612,'март 2024'!$D$4:$D$1612,$B88,'март 2024'!$J$4:$J$1612,AG$1)</f>
        <v>0</v>
      </c>
      <c r="AH88" s="80">
        <f>SUMIFS('март 2024'!$G$4:$G$1612,'март 2024'!$D$4:$D$1612,$B88,'март 2024'!$J$4:$J$1612,AH$1)</f>
        <v>0</v>
      </c>
      <c r="AI88" s="21">
        <f t="shared" si="1"/>
        <v>0</v>
      </c>
    </row>
    <row r="89" spans="2:35" ht="15" customHeight="1" x14ac:dyDescent="0.25">
      <c r="B89" s="93" t="s">
        <v>513</v>
      </c>
      <c r="C89" s="91">
        <v>20</v>
      </c>
      <c r="D89" s="80">
        <f>SUMIFS('март 2024'!$G$4:$G$1612,'март 2024'!$D$4:$D$1612,$B89,'март 2024'!$J$4:$J$1612,D$1)</f>
        <v>0</v>
      </c>
      <c r="E89" s="80">
        <f>SUMIFS('март 2024'!$G$4:$G$1612,'март 2024'!$D$4:$D$1612,$B89,'март 2024'!$J$4:$J$1612,E$1)</f>
        <v>0</v>
      </c>
      <c r="F89" s="80">
        <f>SUMIFS('март 2024'!$G$4:$G$1612,'март 2024'!$D$4:$D$1612,$B89,'март 2024'!$J$4:$J$1612,F$1)</f>
        <v>0</v>
      </c>
      <c r="G89" s="80">
        <f>SUMIFS('март 2024'!$G$4:$G$1612,'март 2024'!$D$4:$D$1612,$B89,'март 2024'!$J$4:$J$1612,G$1)</f>
        <v>0</v>
      </c>
      <c r="H89" s="80">
        <f>SUMIFS('март 2024'!$G$4:$G$1612,'март 2024'!$D$4:$D$1612,$B89,'март 2024'!$J$4:$J$1612,H$1)</f>
        <v>936</v>
      </c>
      <c r="I89" s="80">
        <f>SUMIFS('март 2024'!$G$4:$G$1612,'март 2024'!$D$4:$D$1612,$B89,'март 2024'!$J$4:$J$1612,I$1)</f>
        <v>0</v>
      </c>
      <c r="J89" s="80">
        <f>SUMIFS('март 2024'!$G$4:$G$1612,'март 2024'!$D$4:$D$1612,$B89,'март 2024'!$J$4:$J$1612,J$1)</f>
        <v>0</v>
      </c>
      <c r="K89" s="80">
        <f>SUMIFS('март 2024'!$G$4:$G$1612,'март 2024'!$D$4:$D$1612,$B89,'март 2024'!$J$4:$J$1612,K$1)</f>
        <v>0</v>
      </c>
      <c r="L89" s="80">
        <f>SUMIFS('март 2024'!$G$4:$G$1612,'март 2024'!$D$4:$D$1612,$B89,'март 2024'!$J$4:$J$1612,L$1)</f>
        <v>0</v>
      </c>
      <c r="M89" s="80">
        <f>SUMIFS('март 2024'!$G$4:$G$1612,'март 2024'!$D$4:$D$1612,$B89,'март 2024'!$J$4:$J$1612,M$1)</f>
        <v>0</v>
      </c>
      <c r="N89" s="80">
        <f>SUMIFS('март 2024'!$G$4:$G$1612,'март 2024'!$D$4:$D$1612,$B89,'март 2024'!$J$4:$J$1612,N$1)</f>
        <v>936</v>
      </c>
      <c r="O89" s="80">
        <f>SUMIFS('март 2024'!$G$4:$G$1612,'март 2024'!$D$4:$D$1612,$B89,'март 2024'!$J$4:$J$1612,O$1)</f>
        <v>0</v>
      </c>
      <c r="P89" s="80">
        <f>SUMIFS('март 2024'!$G$4:$G$1612,'март 2024'!$D$4:$D$1612,$B89,'март 2024'!$J$4:$J$1612,P$1)</f>
        <v>0</v>
      </c>
      <c r="Q89" s="80">
        <f>SUMIFS('март 2024'!$G$4:$G$1612,'март 2024'!$D$4:$D$1612,$B89,'март 2024'!$J$4:$J$1612,Q$1)</f>
        <v>0</v>
      </c>
      <c r="R89" s="80">
        <f>SUMIFS('март 2024'!$G$4:$G$1612,'март 2024'!$D$4:$D$1612,$B89,'март 2024'!$J$4:$J$1612,R$1)</f>
        <v>0</v>
      </c>
      <c r="S89" s="80">
        <f>SUMIFS('март 2024'!$G$4:$G$1612,'март 2024'!$D$4:$D$1612,$B89,'март 2024'!$J$4:$J$1612,S$1)</f>
        <v>0</v>
      </c>
      <c r="T89" s="80">
        <f>SUMIFS('март 2024'!$G$4:$G$1612,'март 2024'!$D$4:$D$1612,$B89,'март 2024'!$J$4:$J$1612,T$1)</f>
        <v>0</v>
      </c>
      <c r="U89" s="80">
        <f>SUMIFS('март 2024'!$G$4:$G$1612,'март 2024'!$D$4:$D$1612,$B89,'март 2024'!$J$4:$J$1612,U$1)</f>
        <v>0</v>
      </c>
      <c r="V89" s="80">
        <f>SUMIFS('март 2024'!$G$4:$G$1612,'март 2024'!$D$4:$D$1612,$B89,'март 2024'!$J$4:$J$1612,V$1)</f>
        <v>0</v>
      </c>
      <c r="W89" s="80">
        <f>SUMIFS('март 2024'!$G$4:$G$1612,'март 2024'!$D$4:$D$1612,$B89,'март 2024'!$J$4:$J$1612,W$1)</f>
        <v>768</v>
      </c>
      <c r="X89" s="80">
        <f>SUMIFS('март 2024'!$G$4:$G$1612,'март 2024'!$D$4:$D$1612,$B89,'март 2024'!$J$4:$J$1612,X$1)</f>
        <v>0</v>
      </c>
      <c r="Y89" s="80">
        <f>SUMIFS('март 2024'!$G$4:$G$1612,'март 2024'!$D$4:$D$1612,$B89,'март 2024'!$J$4:$J$1612,Y$1)</f>
        <v>0</v>
      </c>
      <c r="Z89" s="80">
        <f>SUMIFS('март 2024'!$G$4:$G$1612,'март 2024'!$D$4:$D$1612,$B89,'март 2024'!$J$4:$J$1612,Z$1)</f>
        <v>0</v>
      </c>
      <c r="AA89" s="80">
        <f>SUMIFS('март 2024'!$G$4:$G$1612,'март 2024'!$D$4:$D$1612,$B89,'март 2024'!$J$4:$J$1612,AA$1)</f>
        <v>0</v>
      </c>
      <c r="AB89" s="80">
        <f>SUMIFS('март 2024'!$G$4:$G$1612,'март 2024'!$D$4:$D$1612,$B89,'март 2024'!$J$4:$J$1612,AB$1)</f>
        <v>0</v>
      </c>
      <c r="AC89" s="80">
        <f>SUMIFS('март 2024'!$G$4:$G$1612,'март 2024'!$D$4:$D$1612,$B89,'март 2024'!$J$4:$J$1612,AC$1)</f>
        <v>0</v>
      </c>
      <c r="AD89" s="80">
        <f>SUMIFS('март 2024'!$G$4:$G$1612,'март 2024'!$D$4:$D$1612,$B89,'март 2024'!$J$4:$J$1612,AD$1)</f>
        <v>0</v>
      </c>
      <c r="AE89" s="80">
        <f>SUMIFS('март 2024'!$G$4:$G$1612,'март 2024'!$D$4:$D$1612,$B89,'март 2024'!$J$4:$J$1612,AE$1)</f>
        <v>0</v>
      </c>
      <c r="AF89" s="80">
        <f>SUMIFS('март 2024'!$G$4:$G$1612,'март 2024'!$D$4:$D$1612,$B89,'март 2024'!$J$4:$J$1612,AF$1)</f>
        <v>0</v>
      </c>
      <c r="AG89" s="80">
        <f>SUMIFS('март 2024'!$G$4:$G$1612,'март 2024'!$D$4:$D$1612,$B89,'март 2024'!$J$4:$J$1612,AG$1)</f>
        <v>0</v>
      </c>
      <c r="AH89" s="80">
        <f>SUMIFS('март 2024'!$G$4:$G$1612,'март 2024'!$D$4:$D$1612,$B89,'март 2024'!$J$4:$J$1612,AH$1)</f>
        <v>0</v>
      </c>
      <c r="AI89" s="21">
        <f t="shared" si="1"/>
        <v>2640</v>
      </c>
    </row>
    <row r="90" spans="2:35" ht="15" customHeight="1" x14ac:dyDescent="0.25">
      <c r="B90" s="93" t="s">
        <v>203</v>
      </c>
      <c r="C90" s="91">
        <v>180</v>
      </c>
      <c r="D90" s="80">
        <f>SUMIFS('март 2024'!$G$4:$G$1612,'март 2024'!$D$4:$D$1612,$B90,'март 2024'!$J$4:$J$1612,D$1)</f>
        <v>0</v>
      </c>
      <c r="E90" s="80">
        <f>SUMIFS('март 2024'!$G$4:$G$1612,'март 2024'!$D$4:$D$1612,$B90,'март 2024'!$J$4:$J$1612,E$1)</f>
        <v>0</v>
      </c>
      <c r="F90" s="80">
        <f>SUMIFS('март 2024'!$G$4:$G$1612,'март 2024'!$D$4:$D$1612,$B90,'март 2024'!$J$4:$J$1612,F$1)</f>
        <v>0</v>
      </c>
      <c r="G90" s="80">
        <f>SUMIFS('март 2024'!$G$4:$G$1612,'март 2024'!$D$4:$D$1612,$B90,'март 2024'!$J$4:$J$1612,G$1)</f>
        <v>0</v>
      </c>
      <c r="H90" s="80">
        <f>SUMIFS('март 2024'!$G$4:$G$1612,'март 2024'!$D$4:$D$1612,$B90,'март 2024'!$J$4:$J$1612,H$1)</f>
        <v>0</v>
      </c>
      <c r="I90" s="80">
        <f>SUMIFS('март 2024'!$G$4:$G$1612,'март 2024'!$D$4:$D$1612,$B90,'март 2024'!$J$4:$J$1612,I$1)</f>
        <v>0</v>
      </c>
      <c r="J90" s="80">
        <f>SUMIFS('март 2024'!$G$4:$G$1612,'март 2024'!$D$4:$D$1612,$B90,'март 2024'!$J$4:$J$1612,J$1)</f>
        <v>0</v>
      </c>
      <c r="K90" s="80">
        <f>SUMIFS('март 2024'!$G$4:$G$1612,'март 2024'!$D$4:$D$1612,$B90,'март 2024'!$J$4:$J$1612,K$1)</f>
        <v>0</v>
      </c>
      <c r="L90" s="80">
        <f>SUMIFS('март 2024'!$G$4:$G$1612,'март 2024'!$D$4:$D$1612,$B90,'март 2024'!$J$4:$J$1612,L$1)</f>
        <v>0</v>
      </c>
      <c r="M90" s="80">
        <f>SUMIFS('март 2024'!$G$4:$G$1612,'март 2024'!$D$4:$D$1612,$B90,'март 2024'!$J$4:$J$1612,M$1)</f>
        <v>0</v>
      </c>
      <c r="N90" s="80">
        <f>SUMIFS('март 2024'!$G$4:$G$1612,'март 2024'!$D$4:$D$1612,$B90,'март 2024'!$J$4:$J$1612,N$1)</f>
        <v>0</v>
      </c>
      <c r="O90" s="80">
        <f>SUMIFS('март 2024'!$G$4:$G$1612,'март 2024'!$D$4:$D$1612,$B90,'март 2024'!$J$4:$J$1612,O$1)</f>
        <v>0</v>
      </c>
      <c r="P90" s="80">
        <f>SUMIFS('март 2024'!$G$4:$G$1612,'март 2024'!$D$4:$D$1612,$B90,'март 2024'!$J$4:$J$1612,P$1)</f>
        <v>0</v>
      </c>
      <c r="Q90" s="80">
        <f>SUMIFS('март 2024'!$G$4:$G$1612,'март 2024'!$D$4:$D$1612,$B90,'март 2024'!$J$4:$J$1612,Q$1)</f>
        <v>0</v>
      </c>
      <c r="R90" s="80">
        <f>SUMIFS('март 2024'!$G$4:$G$1612,'март 2024'!$D$4:$D$1612,$B90,'март 2024'!$J$4:$J$1612,R$1)</f>
        <v>0</v>
      </c>
      <c r="S90" s="80">
        <f>SUMIFS('март 2024'!$G$4:$G$1612,'март 2024'!$D$4:$D$1612,$B90,'март 2024'!$J$4:$J$1612,S$1)</f>
        <v>0</v>
      </c>
      <c r="T90" s="80">
        <f>SUMIFS('март 2024'!$G$4:$G$1612,'март 2024'!$D$4:$D$1612,$B90,'март 2024'!$J$4:$J$1612,T$1)</f>
        <v>0</v>
      </c>
      <c r="U90" s="80">
        <f>SUMIFS('март 2024'!$G$4:$G$1612,'март 2024'!$D$4:$D$1612,$B90,'март 2024'!$J$4:$J$1612,U$1)</f>
        <v>0</v>
      </c>
      <c r="V90" s="80">
        <f>SUMIFS('март 2024'!$G$4:$G$1612,'март 2024'!$D$4:$D$1612,$B90,'март 2024'!$J$4:$J$1612,V$1)</f>
        <v>0</v>
      </c>
      <c r="W90" s="80">
        <f>SUMIFS('март 2024'!$G$4:$G$1612,'март 2024'!$D$4:$D$1612,$B90,'март 2024'!$J$4:$J$1612,W$1)</f>
        <v>0</v>
      </c>
      <c r="X90" s="80">
        <f>SUMIFS('март 2024'!$G$4:$G$1612,'март 2024'!$D$4:$D$1612,$B90,'март 2024'!$J$4:$J$1612,X$1)</f>
        <v>0</v>
      </c>
      <c r="Y90" s="80">
        <f>SUMIFS('март 2024'!$G$4:$G$1612,'март 2024'!$D$4:$D$1612,$B90,'март 2024'!$J$4:$J$1612,Y$1)</f>
        <v>16</v>
      </c>
      <c r="Z90" s="80">
        <f>SUMIFS('март 2024'!$G$4:$G$1612,'март 2024'!$D$4:$D$1612,$B90,'март 2024'!$J$4:$J$1612,Z$1)</f>
        <v>0</v>
      </c>
      <c r="AA90" s="80">
        <f>SUMIFS('март 2024'!$G$4:$G$1612,'март 2024'!$D$4:$D$1612,$B90,'март 2024'!$J$4:$J$1612,AA$1)</f>
        <v>0</v>
      </c>
      <c r="AB90" s="80">
        <f>SUMIFS('март 2024'!$G$4:$G$1612,'март 2024'!$D$4:$D$1612,$B90,'март 2024'!$J$4:$J$1612,AB$1)</f>
        <v>0</v>
      </c>
      <c r="AC90" s="80">
        <f>SUMIFS('март 2024'!$G$4:$G$1612,'март 2024'!$D$4:$D$1612,$B90,'март 2024'!$J$4:$J$1612,AC$1)</f>
        <v>0</v>
      </c>
      <c r="AD90" s="80">
        <f>SUMIFS('март 2024'!$G$4:$G$1612,'март 2024'!$D$4:$D$1612,$B90,'март 2024'!$J$4:$J$1612,AD$1)</f>
        <v>0</v>
      </c>
      <c r="AE90" s="80">
        <f>SUMIFS('март 2024'!$G$4:$G$1612,'март 2024'!$D$4:$D$1612,$B90,'март 2024'!$J$4:$J$1612,AE$1)</f>
        <v>0</v>
      </c>
      <c r="AF90" s="80">
        <f>SUMIFS('март 2024'!$G$4:$G$1612,'март 2024'!$D$4:$D$1612,$B90,'март 2024'!$J$4:$J$1612,AF$1)</f>
        <v>0</v>
      </c>
      <c r="AG90" s="80">
        <f>SUMIFS('март 2024'!$G$4:$G$1612,'март 2024'!$D$4:$D$1612,$B90,'март 2024'!$J$4:$J$1612,AG$1)</f>
        <v>0</v>
      </c>
      <c r="AH90" s="80">
        <f>SUMIFS('март 2024'!$G$4:$G$1612,'март 2024'!$D$4:$D$1612,$B90,'март 2024'!$J$4:$J$1612,AH$1)</f>
        <v>0</v>
      </c>
      <c r="AI90" s="21">
        <f t="shared" si="1"/>
        <v>16</v>
      </c>
    </row>
    <row r="91" spans="2:35" ht="15" customHeight="1" x14ac:dyDescent="0.25">
      <c r="B91" s="89" t="s">
        <v>204</v>
      </c>
      <c r="C91" s="88">
        <v>200</v>
      </c>
      <c r="D91" s="80">
        <f>SUMIFS('март 2024'!$G$4:$G$1612,'март 2024'!$D$4:$D$1612,$B91,'март 2024'!$J$4:$J$1612,D$1)</f>
        <v>0</v>
      </c>
      <c r="E91" s="80">
        <f>SUMIFS('март 2024'!$G$4:$G$1612,'март 2024'!$D$4:$D$1612,$B91,'март 2024'!$J$4:$J$1612,E$1)</f>
        <v>0</v>
      </c>
      <c r="F91" s="80">
        <f>SUMIFS('март 2024'!$G$4:$G$1612,'март 2024'!$D$4:$D$1612,$B91,'март 2024'!$J$4:$J$1612,F$1)</f>
        <v>0</v>
      </c>
      <c r="G91" s="80">
        <f>SUMIFS('март 2024'!$G$4:$G$1612,'март 2024'!$D$4:$D$1612,$B91,'март 2024'!$J$4:$J$1612,G$1)</f>
        <v>22</v>
      </c>
      <c r="H91" s="80">
        <f>SUMIFS('март 2024'!$G$4:$G$1612,'март 2024'!$D$4:$D$1612,$B91,'март 2024'!$J$4:$J$1612,H$1)</f>
        <v>0</v>
      </c>
      <c r="I91" s="80">
        <f>SUMIFS('март 2024'!$G$4:$G$1612,'март 2024'!$D$4:$D$1612,$B91,'март 2024'!$J$4:$J$1612,I$1)</f>
        <v>0</v>
      </c>
      <c r="J91" s="80">
        <f>SUMIFS('март 2024'!$G$4:$G$1612,'март 2024'!$D$4:$D$1612,$B91,'март 2024'!$J$4:$J$1612,J$1)</f>
        <v>0</v>
      </c>
      <c r="K91" s="80">
        <f>SUMIFS('март 2024'!$G$4:$G$1612,'март 2024'!$D$4:$D$1612,$B91,'март 2024'!$J$4:$J$1612,K$1)</f>
        <v>0</v>
      </c>
      <c r="L91" s="80">
        <f>SUMIFS('март 2024'!$G$4:$G$1612,'март 2024'!$D$4:$D$1612,$B91,'март 2024'!$J$4:$J$1612,L$1)</f>
        <v>0</v>
      </c>
      <c r="M91" s="80">
        <f>SUMIFS('март 2024'!$G$4:$G$1612,'март 2024'!$D$4:$D$1612,$B91,'март 2024'!$J$4:$J$1612,M$1)</f>
        <v>0</v>
      </c>
      <c r="N91" s="80">
        <f>SUMIFS('март 2024'!$G$4:$G$1612,'март 2024'!$D$4:$D$1612,$B91,'март 2024'!$J$4:$J$1612,N$1)</f>
        <v>0</v>
      </c>
      <c r="O91" s="80">
        <f>SUMIFS('март 2024'!$G$4:$G$1612,'март 2024'!$D$4:$D$1612,$B91,'март 2024'!$J$4:$J$1612,O$1)</f>
        <v>0</v>
      </c>
      <c r="P91" s="80">
        <f>SUMIFS('март 2024'!$G$4:$G$1612,'март 2024'!$D$4:$D$1612,$B91,'март 2024'!$J$4:$J$1612,P$1)</f>
        <v>0</v>
      </c>
      <c r="Q91" s="80">
        <f>SUMIFS('март 2024'!$G$4:$G$1612,'март 2024'!$D$4:$D$1612,$B91,'март 2024'!$J$4:$J$1612,Q$1)</f>
        <v>0</v>
      </c>
      <c r="R91" s="80">
        <f>SUMIFS('март 2024'!$G$4:$G$1612,'март 2024'!$D$4:$D$1612,$B91,'март 2024'!$J$4:$J$1612,R$1)</f>
        <v>0</v>
      </c>
      <c r="S91" s="80">
        <f>SUMIFS('март 2024'!$G$4:$G$1612,'март 2024'!$D$4:$D$1612,$B91,'март 2024'!$J$4:$J$1612,S$1)</f>
        <v>0</v>
      </c>
      <c r="T91" s="80">
        <f>SUMIFS('март 2024'!$G$4:$G$1612,'март 2024'!$D$4:$D$1612,$B91,'март 2024'!$J$4:$J$1612,T$1)</f>
        <v>176</v>
      </c>
      <c r="U91" s="80">
        <f>SUMIFS('март 2024'!$G$4:$G$1612,'март 2024'!$D$4:$D$1612,$B91,'март 2024'!$J$4:$J$1612,U$1)</f>
        <v>0</v>
      </c>
      <c r="V91" s="80">
        <f>SUMIFS('март 2024'!$G$4:$G$1612,'март 2024'!$D$4:$D$1612,$B91,'март 2024'!$J$4:$J$1612,V$1)</f>
        <v>160</v>
      </c>
      <c r="W91" s="80">
        <f>SUMIFS('март 2024'!$G$4:$G$1612,'март 2024'!$D$4:$D$1612,$B91,'март 2024'!$J$4:$J$1612,W$1)</f>
        <v>84</v>
      </c>
      <c r="X91" s="80">
        <f>SUMIFS('март 2024'!$G$4:$G$1612,'март 2024'!$D$4:$D$1612,$B91,'март 2024'!$J$4:$J$1612,X$1)</f>
        <v>0</v>
      </c>
      <c r="Y91" s="80">
        <f>SUMIFS('март 2024'!$G$4:$G$1612,'март 2024'!$D$4:$D$1612,$B91,'март 2024'!$J$4:$J$1612,Y$1)</f>
        <v>0</v>
      </c>
      <c r="Z91" s="80">
        <f>SUMIFS('март 2024'!$G$4:$G$1612,'март 2024'!$D$4:$D$1612,$B91,'март 2024'!$J$4:$J$1612,Z$1)</f>
        <v>0</v>
      </c>
      <c r="AA91" s="80">
        <f>SUMIFS('март 2024'!$G$4:$G$1612,'март 2024'!$D$4:$D$1612,$B91,'март 2024'!$J$4:$J$1612,AA$1)</f>
        <v>0</v>
      </c>
      <c r="AB91" s="80">
        <f>SUMIFS('март 2024'!$G$4:$G$1612,'март 2024'!$D$4:$D$1612,$B91,'март 2024'!$J$4:$J$1612,AB$1)</f>
        <v>0</v>
      </c>
      <c r="AC91" s="80">
        <f>SUMIFS('март 2024'!$G$4:$G$1612,'март 2024'!$D$4:$D$1612,$B91,'март 2024'!$J$4:$J$1612,AC$1)</f>
        <v>0</v>
      </c>
      <c r="AD91" s="80">
        <f>SUMIFS('март 2024'!$G$4:$G$1612,'март 2024'!$D$4:$D$1612,$B91,'март 2024'!$J$4:$J$1612,AD$1)</f>
        <v>0</v>
      </c>
      <c r="AE91" s="80">
        <f>SUMIFS('март 2024'!$G$4:$G$1612,'март 2024'!$D$4:$D$1612,$B91,'март 2024'!$J$4:$J$1612,AE$1)</f>
        <v>0</v>
      </c>
      <c r="AF91" s="80">
        <f>SUMIFS('март 2024'!$G$4:$G$1612,'март 2024'!$D$4:$D$1612,$B91,'март 2024'!$J$4:$J$1612,AF$1)</f>
        <v>0</v>
      </c>
      <c r="AG91" s="80">
        <f>SUMIFS('март 2024'!$G$4:$G$1612,'март 2024'!$D$4:$D$1612,$B91,'март 2024'!$J$4:$J$1612,AG$1)</f>
        <v>0</v>
      </c>
      <c r="AH91" s="80">
        <f>SUMIFS('март 2024'!$G$4:$G$1612,'март 2024'!$D$4:$D$1612,$B91,'март 2024'!$J$4:$J$1612,AH$1)</f>
        <v>0</v>
      </c>
      <c r="AI91" s="21">
        <f t="shared" si="1"/>
        <v>442</v>
      </c>
    </row>
    <row r="92" spans="2:35" ht="15" customHeight="1" x14ac:dyDescent="0.25">
      <c r="B92" s="92" t="s">
        <v>175</v>
      </c>
      <c r="C92" s="91">
        <v>180</v>
      </c>
      <c r="D92" s="80">
        <f>SUMIFS('март 2024'!$G$4:$G$1612,'март 2024'!$D$4:$D$1612,$B92,'март 2024'!$J$4:$J$1612,D$1)</f>
        <v>0</v>
      </c>
      <c r="E92" s="80">
        <f>SUMIFS('март 2024'!$G$4:$G$1612,'март 2024'!$D$4:$D$1612,$B92,'март 2024'!$J$4:$J$1612,E$1)</f>
        <v>0</v>
      </c>
      <c r="F92" s="80">
        <f>SUMIFS('март 2024'!$G$4:$G$1612,'март 2024'!$D$4:$D$1612,$B92,'март 2024'!$J$4:$J$1612,F$1)</f>
        <v>0</v>
      </c>
      <c r="G92" s="80">
        <f>SUMIFS('март 2024'!$G$4:$G$1612,'март 2024'!$D$4:$D$1612,$B92,'март 2024'!$J$4:$J$1612,G$1)</f>
        <v>0</v>
      </c>
      <c r="H92" s="80">
        <f>SUMIFS('март 2024'!$G$4:$G$1612,'март 2024'!$D$4:$D$1612,$B92,'март 2024'!$J$4:$J$1612,H$1)</f>
        <v>0</v>
      </c>
      <c r="I92" s="80">
        <f>SUMIFS('март 2024'!$G$4:$G$1612,'март 2024'!$D$4:$D$1612,$B92,'март 2024'!$J$4:$J$1612,I$1)</f>
        <v>0</v>
      </c>
      <c r="J92" s="80">
        <f>SUMIFS('март 2024'!$G$4:$G$1612,'март 2024'!$D$4:$D$1612,$B92,'март 2024'!$J$4:$J$1612,J$1)</f>
        <v>0</v>
      </c>
      <c r="K92" s="80">
        <f>SUMIFS('март 2024'!$G$4:$G$1612,'март 2024'!$D$4:$D$1612,$B92,'март 2024'!$J$4:$J$1612,K$1)</f>
        <v>0</v>
      </c>
      <c r="L92" s="80">
        <f>SUMIFS('март 2024'!$G$4:$G$1612,'март 2024'!$D$4:$D$1612,$B92,'март 2024'!$J$4:$J$1612,L$1)</f>
        <v>0</v>
      </c>
      <c r="M92" s="80">
        <f>SUMIFS('март 2024'!$G$4:$G$1612,'март 2024'!$D$4:$D$1612,$B92,'март 2024'!$J$4:$J$1612,M$1)</f>
        <v>0</v>
      </c>
      <c r="N92" s="80">
        <f>SUMIFS('март 2024'!$G$4:$G$1612,'март 2024'!$D$4:$D$1612,$B92,'март 2024'!$J$4:$J$1612,N$1)</f>
        <v>0</v>
      </c>
      <c r="O92" s="80">
        <f>SUMIFS('март 2024'!$G$4:$G$1612,'март 2024'!$D$4:$D$1612,$B92,'март 2024'!$J$4:$J$1612,O$1)</f>
        <v>0</v>
      </c>
      <c r="P92" s="80">
        <f>SUMIFS('март 2024'!$G$4:$G$1612,'март 2024'!$D$4:$D$1612,$B92,'март 2024'!$J$4:$J$1612,P$1)</f>
        <v>0</v>
      </c>
      <c r="Q92" s="80">
        <f>SUMIFS('март 2024'!$G$4:$G$1612,'март 2024'!$D$4:$D$1612,$B92,'март 2024'!$J$4:$J$1612,Q$1)</f>
        <v>0</v>
      </c>
      <c r="R92" s="80">
        <f>SUMIFS('март 2024'!$G$4:$G$1612,'март 2024'!$D$4:$D$1612,$B92,'март 2024'!$J$4:$J$1612,R$1)</f>
        <v>0</v>
      </c>
      <c r="S92" s="80">
        <f>SUMIFS('март 2024'!$G$4:$G$1612,'март 2024'!$D$4:$D$1612,$B92,'март 2024'!$J$4:$J$1612,S$1)</f>
        <v>0</v>
      </c>
      <c r="T92" s="80">
        <f>SUMIFS('март 2024'!$G$4:$G$1612,'март 2024'!$D$4:$D$1612,$B92,'март 2024'!$J$4:$J$1612,T$1)</f>
        <v>0</v>
      </c>
      <c r="U92" s="80">
        <f>SUMIFS('март 2024'!$G$4:$G$1612,'март 2024'!$D$4:$D$1612,$B92,'март 2024'!$J$4:$J$1612,U$1)</f>
        <v>0</v>
      </c>
      <c r="V92" s="80">
        <f>SUMIFS('март 2024'!$G$4:$G$1612,'март 2024'!$D$4:$D$1612,$B92,'март 2024'!$J$4:$J$1612,V$1)</f>
        <v>0</v>
      </c>
      <c r="W92" s="80">
        <f>SUMIFS('март 2024'!$G$4:$G$1612,'март 2024'!$D$4:$D$1612,$B92,'март 2024'!$J$4:$J$1612,W$1)</f>
        <v>0</v>
      </c>
      <c r="X92" s="80">
        <f>SUMIFS('март 2024'!$G$4:$G$1612,'март 2024'!$D$4:$D$1612,$B92,'март 2024'!$J$4:$J$1612,X$1)</f>
        <v>0</v>
      </c>
      <c r="Y92" s="80">
        <f>SUMIFS('март 2024'!$G$4:$G$1612,'март 2024'!$D$4:$D$1612,$B92,'март 2024'!$J$4:$J$1612,Y$1)</f>
        <v>0</v>
      </c>
      <c r="Z92" s="80">
        <f>SUMIFS('март 2024'!$G$4:$G$1612,'март 2024'!$D$4:$D$1612,$B92,'март 2024'!$J$4:$J$1612,Z$1)</f>
        <v>0</v>
      </c>
      <c r="AA92" s="80">
        <f>SUMIFS('март 2024'!$G$4:$G$1612,'март 2024'!$D$4:$D$1612,$B92,'март 2024'!$J$4:$J$1612,AA$1)</f>
        <v>0</v>
      </c>
      <c r="AB92" s="80">
        <f>SUMIFS('март 2024'!$G$4:$G$1612,'март 2024'!$D$4:$D$1612,$B92,'март 2024'!$J$4:$J$1612,AB$1)</f>
        <v>0</v>
      </c>
      <c r="AC92" s="80">
        <f>SUMIFS('март 2024'!$G$4:$G$1612,'март 2024'!$D$4:$D$1612,$B92,'март 2024'!$J$4:$J$1612,AC$1)</f>
        <v>0</v>
      </c>
      <c r="AD92" s="80">
        <f>SUMIFS('март 2024'!$G$4:$G$1612,'март 2024'!$D$4:$D$1612,$B92,'март 2024'!$J$4:$J$1612,AD$1)</f>
        <v>0</v>
      </c>
      <c r="AE92" s="80">
        <f>SUMIFS('март 2024'!$G$4:$G$1612,'март 2024'!$D$4:$D$1612,$B92,'март 2024'!$J$4:$J$1612,AE$1)</f>
        <v>0</v>
      </c>
      <c r="AF92" s="80">
        <f>SUMIFS('март 2024'!$G$4:$G$1612,'март 2024'!$D$4:$D$1612,$B92,'март 2024'!$J$4:$J$1612,AF$1)</f>
        <v>0</v>
      </c>
      <c r="AG92" s="80">
        <f>SUMIFS('март 2024'!$G$4:$G$1612,'март 2024'!$D$4:$D$1612,$B92,'март 2024'!$J$4:$J$1612,AG$1)</f>
        <v>0</v>
      </c>
      <c r="AH92" s="80">
        <f>SUMIFS('март 2024'!$G$4:$G$1612,'март 2024'!$D$4:$D$1612,$B92,'март 2024'!$J$4:$J$1612,AH$1)</f>
        <v>0</v>
      </c>
      <c r="AI92" s="21">
        <f t="shared" si="1"/>
        <v>0</v>
      </c>
    </row>
    <row r="93" spans="2:35" ht="15" customHeight="1" x14ac:dyDescent="0.25">
      <c r="B93" s="89" t="s">
        <v>176</v>
      </c>
      <c r="C93" s="91">
        <v>200</v>
      </c>
      <c r="D93" s="80">
        <f>SUMIFS('март 2024'!$G$4:$G$1612,'март 2024'!$D$4:$D$1612,$B93,'март 2024'!$J$4:$J$1612,D$1)</f>
        <v>0</v>
      </c>
      <c r="E93" s="80">
        <f>SUMIFS('март 2024'!$G$4:$G$1612,'март 2024'!$D$4:$D$1612,$B93,'март 2024'!$J$4:$J$1612,E$1)</f>
        <v>0</v>
      </c>
      <c r="F93" s="80">
        <f>SUMIFS('март 2024'!$G$4:$G$1612,'март 2024'!$D$4:$D$1612,$B93,'март 2024'!$J$4:$J$1612,F$1)</f>
        <v>0</v>
      </c>
      <c r="G93" s="80">
        <f>SUMIFS('март 2024'!$G$4:$G$1612,'март 2024'!$D$4:$D$1612,$B93,'март 2024'!$J$4:$J$1612,G$1)</f>
        <v>0</v>
      </c>
      <c r="H93" s="80">
        <f>SUMIFS('март 2024'!$G$4:$G$1612,'март 2024'!$D$4:$D$1612,$B93,'март 2024'!$J$4:$J$1612,H$1)</f>
        <v>0</v>
      </c>
      <c r="I93" s="80">
        <f>SUMIFS('март 2024'!$G$4:$G$1612,'март 2024'!$D$4:$D$1612,$B93,'март 2024'!$J$4:$J$1612,I$1)</f>
        <v>0</v>
      </c>
      <c r="J93" s="80">
        <f>SUMIFS('март 2024'!$G$4:$G$1612,'март 2024'!$D$4:$D$1612,$B93,'март 2024'!$J$4:$J$1612,J$1)</f>
        <v>0</v>
      </c>
      <c r="K93" s="80">
        <f>SUMIFS('март 2024'!$G$4:$G$1612,'март 2024'!$D$4:$D$1612,$B93,'март 2024'!$J$4:$J$1612,K$1)</f>
        <v>0</v>
      </c>
      <c r="L93" s="80">
        <f>SUMIFS('март 2024'!$G$4:$G$1612,'март 2024'!$D$4:$D$1612,$B93,'март 2024'!$J$4:$J$1612,L$1)</f>
        <v>0</v>
      </c>
      <c r="M93" s="80">
        <f>SUMIFS('март 2024'!$G$4:$G$1612,'март 2024'!$D$4:$D$1612,$B93,'март 2024'!$J$4:$J$1612,M$1)</f>
        <v>0</v>
      </c>
      <c r="N93" s="80">
        <f>SUMIFS('март 2024'!$G$4:$G$1612,'март 2024'!$D$4:$D$1612,$B93,'март 2024'!$J$4:$J$1612,N$1)</f>
        <v>0</v>
      </c>
      <c r="O93" s="80">
        <f>SUMIFS('март 2024'!$G$4:$G$1612,'март 2024'!$D$4:$D$1612,$B93,'март 2024'!$J$4:$J$1612,O$1)</f>
        <v>0</v>
      </c>
      <c r="P93" s="80">
        <f>SUMIFS('март 2024'!$G$4:$G$1612,'март 2024'!$D$4:$D$1612,$B93,'март 2024'!$J$4:$J$1612,P$1)</f>
        <v>0</v>
      </c>
      <c r="Q93" s="80">
        <f>SUMIFS('март 2024'!$G$4:$G$1612,'март 2024'!$D$4:$D$1612,$B93,'март 2024'!$J$4:$J$1612,Q$1)</f>
        <v>0</v>
      </c>
      <c r="R93" s="80">
        <f>SUMIFS('март 2024'!$G$4:$G$1612,'март 2024'!$D$4:$D$1612,$B93,'март 2024'!$J$4:$J$1612,R$1)</f>
        <v>0</v>
      </c>
      <c r="S93" s="80">
        <f>SUMIFS('март 2024'!$G$4:$G$1612,'март 2024'!$D$4:$D$1612,$B93,'март 2024'!$J$4:$J$1612,S$1)</f>
        <v>0</v>
      </c>
      <c r="T93" s="80">
        <f>SUMIFS('март 2024'!$G$4:$G$1612,'март 2024'!$D$4:$D$1612,$B93,'март 2024'!$J$4:$J$1612,T$1)</f>
        <v>0</v>
      </c>
      <c r="U93" s="80">
        <f>SUMIFS('март 2024'!$G$4:$G$1612,'март 2024'!$D$4:$D$1612,$B93,'март 2024'!$J$4:$J$1612,U$1)</f>
        <v>0</v>
      </c>
      <c r="V93" s="80">
        <f>SUMIFS('март 2024'!$G$4:$G$1612,'март 2024'!$D$4:$D$1612,$B93,'март 2024'!$J$4:$J$1612,V$1)</f>
        <v>0</v>
      </c>
      <c r="W93" s="80">
        <f>SUMIFS('март 2024'!$G$4:$G$1612,'март 2024'!$D$4:$D$1612,$B93,'март 2024'!$J$4:$J$1612,W$1)</f>
        <v>0</v>
      </c>
      <c r="X93" s="80">
        <f>SUMIFS('март 2024'!$G$4:$G$1612,'март 2024'!$D$4:$D$1612,$B93,'март 2024'!$J$4:$J$1612,X$1)</f>
        <v>0</v>
      </c>
      <c r="Y93" s="80">
        <f>SUMIFS('март 2024'!$G$4:$G$1612,'март 2024'!$D$4:$D$1612,$B93,'март 2024'!$J$4:$J$1612,Y$1)</f>
        <v>0</v>
      </c>
      <c r="Z93" s="80">
        <f>SUMIFS('март 2024'!$G$4:$G$1612,'март 2024'!$D$4:$D$1612,$B93,'март 2024'!$J$4:$J$1612,Z$1)</f>
        <v>0</v>
      </c>
      <c r="AA93" s="80">
        <f>SUMIFS('март 2024'!$G$4:$G$1612,'март 2024'!$D$4:$D$1612,$B93,'март 2024'!$J$4:$J$1612,AA$1)</f>
        <v>0</v>
      </c>
      <c r="AB93" s="80">
        <f>SUMIFS('март 2024'!$G$4:$G$1612,'март 2024'!$D$4:$D$1612,$B93,'март 2024'!$J$4:$J$1612,AB$1)</f>
        <v>0</v>
      </c>
      <c r="AC93" s="80">
        <f>SUMIFS('март 2024'!$G$4:$G$1612,'март 2024'!$D$4:$D$1612,$B93,'март 2024'!$J$4:$J$1612,AC$1)</f>
        <v>0</v>
      </c>
      <c r="AD93" s="80">
        <f>SUMIFS('март 2024'!$G$4:$G$1612,'март 2024'!$D$4:$D$1612,$B93,'март 2024'!$J$4:$J$1612,AD$1)</f>
        <v>0</v>
      </c>
      <c r="AE93" s="80">
        <f>SUMIFS('март 2024'!$G$4:$G$1612,'март 2024'!$D$4:$D$1612,$B93,'март 2024'!$J$4:$J$1612,AE$1)</f>
        <v>0</v>
      </c>
      <c r="AF93" s="80">
        <f>SUMIFS('март 2024'!$G$4:$G$1612,'март 2024'!$D$4:$D$1612,$B93,'март 2024'!$J$4:$J$1612,AF$1)</f>
        <v>0</v>
      </c>
      <c r="AG93" s="80">
        <f>SUMIFS('март 2024'!$G$4:$G$1612,'март 2024'!$D$4:$D$1612,$B93,'март 2024'!$J$4:$J$1612,AG$1)</f>
        <v>0</v>
      </c>
      <c r="AH93" s="80">
        <f>SUMIFS('март 2024'!$G$4:$G$1612,'март 2024'!$D$4:$D$1612,$B93,'март 2024'!$J$4:$J$1612,AH$1)</f>
        <v>0</v>
      </c>
      <c r="AI93" s="21">
        <f t="shared" si="1"/>
        <v>0</v>
      </c>
    </row>
    <row r="94" spans="2:35" ht="15" customHeight="1" x14ac:dyDescent="0.25">
      <c r="B94" s="89" t="s">
        <v>205</v>
      </c>
      <c r="C94" s="88">
        <v>185</v>
      </c>
      <c r="D94" s="80">
        <f>SUMIFS('март 2024'!$G$4:$G$1612,'март 2024'!$D$4:$D$1612,$B94,'март 2024'!$J$4:$J$1612,D$1)</f>
        <v>0</v>
      </c>
      <c r="E94" s="80">
        <f>SUMIFS('март 2024'!$G$4:$G$1612,'март 2024'!$D$4:$D$1612,$B94,'март 2024'!$J$4:$J$1612,E$1)</f>
        <v>0</v>
      </c>
      <c r="F94" s="80">
        <f>SUMIFS('март 2024'!$G$4:$G$1612,'март 2024'!$D$4:$D$1612,$B94,'март 2024'!$J$4:$J$1612,F$1)</f>
        <v>0</v>
      </c>
      <c r="G94" s="80">
        <f>SUMIFS('март 2024'!$G$4:$G$1612,'март 2024'!$D$4:$D$1612,$B94,'март 2024'!$J$4:$J$1612,G$1)</f>
        <v>0</v>
      </c>
      <c r="H94" s="80">
        <f>SUMIFS('март 2024'!$G$4:$G$1612,'март 2024'!$D$4:$D$1612,$B94,'март 2024'!$J$4:$J$1612,H$1)</f>
        <v>0</v>
      </c>
      <c r="I94" s="80">
        <f>SUMIFS('март 2024'!$G$4:$G$1612,'март 2024'!$D$4:$D$1612,$B94,'март 2024'!$J$4:$J$1612,I$1)</f>
        <v>0</v>
      </c>
      <c r="J94" s="80">
        <f>SUMIFS('март 2024'!$G$4:$G$1612,'март 2024'!$D$4:$D$1612,$B94,'март 2024'!$J$4:$J$1612,J$1)</f>
        <v>0</v>
      </c>
      <c r="K94" s="80">
        <f>SUMIFS('март 2024'!$G$4:$G$1612,'март 2024'!$D$4:$D$1612,$B94,'март 2024'!$J$4:$J$1612,K$1)</f>
        <v>0</v>
      </c>
      <c r="L94" s="80">
        <f>SUMIFS('март 2024'!$G$4:$G$1612,'март 2024'!$D$4:$D$1612,$B94,'март 2024'!$J$4:$J$1612,L$1)</f>
        <v>0</v>
      </c>
      <c r="M94" s="80">
        <f>SUMIFS('март 2024'!$G$4:$G$1612,'март 2024'!$D$4:$D$1612,$B94,'март 2024'!$J$4:$J$1612,M$1)</f>
        <v>0</v>
      </c>
      <c r="N94" s="80">
        <f>SUMIFS('март 2024'!$G$4:$G$1612,'март 2024'!$D$4:$D$1612,$B94,'март 2024'!$J$4:$J$1612,N$1)</f>
        <v>0</v>
      </c>
      <c r="O94" s="80">
        <f>SUMIFS('март 2024'!$G$4:$G$1612,'март 2024'!$D$4:$D$1612,$B94,'март 2024'!$J$4:$J$1612,O$1)</f>
        <v>0</v>
      </c>
      <c r="P94" s="80">
        <f>SUMIFS('март 2024'!$G$4:$G$1612,'март 2024'!$D$4:$D$1612,$B94,'март 2024'!$J$4:$J$1612,P$1)</f>
        <v>0</v>
      </c>
      <c r="Q94" s="80">
        <f>SUMIFS('март 2024'!$G$4:$G$1612,'март 2024'!$D$4:$D$1612,$B94,'март 2024'!$J$4:$J$1612,Q$1)</f>
        <v>0</v>
      </c>
      <c r="R94" s="80">
        <f>SUMIFS('март 2024'!$G$4:$G$1612,'март 2024'!$D$4:$D$1612,$B94,'март 2024'!$J$4:$J$1612,R$1)</f>
        <v>0</v>
      </c>
      <c r="S94" s="80">
        <f>SUMIFS('март 2024'!$G$4:$G$1612,'март 2024'!$D$4:$D$1612,$B94,'март 2024'!$J$4:$J$1612,S$1)</f>
        <v>0</v>
      </c>
      <c r="T94" s="80">
        <f>SUMIFS('март 2024'!$G$4:$G$1612,'март 2024'!$D$4:$D$1612,$B94,'март 2024'!$J$4:$J$1612,T$1)</f>
        <v>0</v>
      </c>
      <c r="U94" s="80">
        <f>SUMIFS('март 2024'!$G$4:$G$1612,'март 2024'!$D$4:$D$1612,$B94,'март 2024'!$J$4:$J$1612,U$1)</f>
        <v>0</v>
      </c>
      <c r="V94" s="80">
        <f>SUMIFS('март 2024'!$G$4:$G$1612,'март 2024'!$D$4:$D$1612,$B94,'март 2024'!$J$4:$J$1612,V$1)</f>
        <v>0</v>
      </c>
      <c r="W94" s="80">
        <f>SUMIFS('март 2024'!$G$4:$G$1612,'март 2024'!$D$4:$D$1612,$B94,'март 2024'!$J$4:$J$1612,W$1)</f>
        <v>0</v>
      </c>
      <c r="X94" s="80">
        <f>SUMIFS('март 2024'!$G$4:$G$1612,'март 2024'!$D$4:$D$1612,$B94,'март 2024'!$J$4:$J$1612,X$1)</f>
        <v>0</v>
      </c>
      <c r="Y94" s="80">
        <f>SUMIFS('март 2024'!$G$4:$G$1612,'март 2024'!$D$4:$D$1612,$B94,'март 2024'!$J$4:$J$1612,Y$1)</f>
        <v>0</v>
      </c>
      <c r="Z94" s="80">
        <f>SUMIFS('март 2024'!$G$4:$G$1612,'март 2024'!$D$4:$D$1612,$B94,'март 2024'!$J$4:$J$1612,Z$1)</f>
        <v>0</v>
      </c>
      <c r="AA94" s="80">
        <f>SUMIFS('март 2024'!$G$4:$G$1612,'март 2024'!$D$4:$D$1612,$B94,'март 2024'!$J$4:$J$1612,AA$1)</f>
        <v>0</v>
      </c>
      <c r="AB94" s="80">
        <f>SUMIFS('март 2024'!$G$4:$G$1612,'март 2024'!$D$4:$D$1612,$B94,'март 2024'!$J$4:$J$1612,AB$1)</f>
        <v>0</v>
      </c>
      <c r="AC94" s="80">
        <f>SUMIFS('март 2024'!$G$4:$G$1612,'март 2024'!$D$4:$D$1612,$B94,'март 2024'!$J$4:$J$1612,AC$1)</f>
        <v>0</v>
      </c>
      <c r="AD94" s="80">
        <f>SUMIFS('март 2024'!$G$4:$G$1612,'март 2024'!$D$4:$D$1612,$B94,'март 2024'!$J$4:$J$1612,AD$1)</f>
        <v>0</v>
      </c>
      <c r="AE94" s="80">
        <f>SUMIFS('март 2024'!$G$4:$G$1612,'март 2024'!$D$4:$D$1612,$B94,'март 2024'!$J$4:$J$1612,AE$1)</f>
        <v>0</v>
      </c>
      <c r="AF94" s="80">
        <f>SUMIFS('март 2024'!$G$4:$G$1612,'март 2024'!$D$4:$D$1612,$B94,'март 2024'!$J$4:$J$1612,AF$1)</f>
        <v>0</v>
      </c>
      <c r="AG94" s="80">
        <f>SUMIFS('март 2024'!$G$4:$G$1612,'март 2024'!$D$4:$D$1612,$B94,'март 2024'!$J$4:$J$1612,AG$1)</f>
        <v>0</v>
      </c>
      <c r="AH94" s="80">
        <f>SUMIFS('март 2024'!$G$4:$G$1612,'март 2024'!$D$4:$D$1612,$B94,'март 2024'!$J$4:$J$1612,AH$1)</f>
        <v>0</v>
      </c>
      <c r="AI94" s="21">
        <f t="shared" si="1"/>
        <v>0</v>
      </c>
    </row>
    <row r="95" spans="2:35" ht="15" customHeight="1" x14ac:dyDescent="0.25">
      <c r="B95" s="89" t="s">
        <v>206</v>
      </c>
      <c r="C95" s="88">
        <v>185</v>
      </c>
      <c r="D95" s="80">
        <f>SUMIFS('март 2024'!$G$4:$G$1612,'март 2024'!$D$4:$D$1612,$B95,'март 2024'!$J$4:$J$1612,D$1)</f>
        <v>0</v>
      </c>
      <c r="E95" s="80">
        <f>SUMIFS('март 2024'!$G$4:$G$1612,'март 2024'!$D$4:$D$1612,$B95,'март 2024'!$J$4:$J$1612,E$1)</f>
        <v>0</v>
      </c>
      <c r="F95" s="80">
        <f>SUMIFS('март 2024'!$G$4:$G$1612,'март 2024'!$D$4:$D$1612,$B95,'март 2024'!$J$4:$J$1612,F$1)</f>
        <v>0</v>
      </c>
      <c r="G95" s="80">
        <f>SUMIFS('март 2024'!$G$4:$G$1612,'март 2024'!$D$4:$D$1612,$B95,'март 2024'!$J$4:$J$1612,G$1)</f>
        <v>0</v>
      </c>
      <c r="H95" s="80">
        <f>SUMIFS('март 2024'!$G$4:$G$1612,'март 2024'!$D$4:$D$1612,$B95,'март 2024'!$J$4:$J$1612,H$1)</f>
        <v>0</v>
      </c>
      <c r="I95" s="80">
        <f>SUMIFS('март 2024'!$G$4:$G$1612,'март 2024'!$D$4:$D$1612,$B95,'март 2024'!$J$4:$J$1612,I$1)</f>
        <v>0</v>
      </c>
      <c r="J95" s="80">
        <f>SUMIFS('март 2024'!$G$4:$G$1612,'март 2024'!$D$4:$D$1612,$B95,'март 2024'!$J$4:$J$1612,J$1)</f>
        <v>0</v>
      </c>
      <c r="K95" s="80">
        <f>SUMIFS('март 2024'!$G$4:$G$1612,'март 2024'!$D$4:$D$1612,$B95,'март 2024'!$J$4:$J$1612,K$1)</f>
        <v>0</v>
      </c>
      <c r="L95" s="80">
        <f>SUMIFS('март 2024'!$G$4:$G$1612,'март 2024'!$D$4:$D$1612,$B95,'март 2024'!$J$4:$J$1612,L$1)</f>
        <v>0</v>
      </c>
      <c r="M95" s="80">
        <f>SUMIFS('март 2024'!$G$4:$G$1612,'март 2024'!$D$4:$D$1612,$B95,'март 2024'!$J$4:$J$1612,M$1)</f>
        <v>0</v>
      </c>
      <c r="N95" s="80">
        <f>SUMIFS('март 2024'!$G$4:$G$1612,'март 2024'!$D$4:$D$1612,$B95,'март 2024'!$J$4:$J$1612,N$1)</f>
        <v>0</v>
      </c>
      <c r="O95" s="80">
        <f>SUMIFS('март 2024'!$G$4:$G$1612,'март 2024'!$D$4:$D$1612,$B95,'март 2024'!$J$4:$J$1612,O$1)</f>
        <v>0</v>
      </c>
      <c r="P95" s="80">
        <f>SUMIFS('март 2024'!$G$4:$G$1612,'март 2024'!$D$4:$D$1612,$B95,'март 2024'!$J$4:$J$1612,P$1)</f>
        <v>0</v>
      </c>
      <c r="Q95" s="80">
        <f>SUMIFS('март 2024'!$G$4:$G$1612,'март 2024'!$D$4:$D$1612,$B95,'март 2024'!$J$4:$J$1612,Q$1)</f>
        <v>0</v>
      </c>
      <c r="R95" s="80">
        <f>SUMIFS('март 2024'!$G$4:$G$1612,'март 2024'!$D$4:$D$1612,$B95,'март 2024'!$J$4:$J$1612,R$1)</f>
        <v>0</v>
      </c>
      <c r="S95" s="80">
        <f>SUMIFS('март 2024'!$G$4:$G$1612,'март 2024'!$D$4:$D$1612,$B95,'март 2024'!$J$4:$J$1612,S$1)</f>
        <v>0</v>
      </c>
      <c r="T95" s="80">
        <f>SUMIFS('март 2024'!$G$4:$G$1612,'март 2024'!$D$4:$D$1612,$B95,'март 2024'!$J$4:$J$1612,T$1)</f>
        <v>0</v>
      </c>
      <c r="U95" s="80">
        <f>SUMIFS('март 2024'!$G$4:$G$1612,'март 2024'!$D$4:$D$1612,$B95,'март 2024'!$J$4:$J$1612,U$1)</f>
        <v>0</v>
      </c>
      <c r="V95" s="80">
        <f>SUMIFS('март 2024'!$G$4:$G$1612,'март 2024'!$D$4:$D$1612,$B95,'март 2024'!$J$4:$J$1612,V$1)</f>
        <v>0</v>
      </c>
      <c r="W95" s="80">
        <f>SUMIFS('март 2024'!$G$4:$G$1612,'март 2024'!$D$4:$D$1612,$B95,'март 2024'!$J$4:$J$1612,W$1)</f>
        <v>0</v>
      </c>
      <c r="X95" s="80">
        <f>SUMIFS('март 2024'!$G$4:$G$1612,'март 2024'!$D$4:$D$1612,$B95,'март 2024'!$J$4:$J$1612,X$1)</f>
        <v>0</v>
      </c>
      <c r="Y95" s="80">
        <f>SUMIFS('март 2024'!$G$4:$G$1612,'март 2024'!$D$4:$D$1612,$B95,'март 2024'!$J$4:$J$1612,Y$1)</f>
        <v>0</v>
      </c>
      <c r="Z95" s="80">
        <f>SUMIFS('март 2024'!$G$4:$G$1612,'март 2024'!$D$4:$D$1612,$B95,'март 2024'!$J$4:$J$1612,Z$1)</f>
        <v>0</v>
      </c>
      <c r="AA95" s="80">
        <f>SUMIFS('март 2024'!$G$4:$G$1612,'март 2024'!$D$4:$D$1612,$B95,'март 2024'!$J$4:$J$1612,AA$1)</f>
        <v>0</v>
      </c>
      <c r="AB95" s="80">
        <f>SUMIFS('март 2024'!$G$4:$G$1612,'март 2024'!$D$4:$D$1612,$B95,'март 2024'!$J$4:$J$1612,AB$1)</f>
        <v>0</v>
      </c>
      <c r="AC95" s="80">
        <f>SUMIFS('март 2024'!$G$4:$G$1612,'март 2024'!$D$4:$D$1612,$B95,'март 2024'!$J$4:$J$1612,AC$1)</f>
        <v>0</v>
      </c>
      <c r="AD95" s="80">
        <f>SUMIFS('март 2024'!$G$4:$G$1612,'март 2024'!$D$4:$D$1612,$B95,'март 2024'!$J$4:$J$1612,AD$1)</f>
        <v>0</v>
      </c>
      <c r="AE95" s="80">
        <f>SUMIFS('март 2024'!$G$4:$G$1612,'март 2024'!$D$4:$D$1612,$B95,'март 2024'!$J$4:$J$1612,AE$1)</f>
        <v>0</v>
      </c>
      <c r="AF95" s="80">
        <f>SUMIFS('март 2024'!$G$4:$G$1612,'март 2024'!$D$4:$D$1612,$B95,'март 2024'!$J$4:$J$1612,AF$1)</f>
        <v>0</v>
      </c>
      <c r="AG95" s="80">
        <f>SUMIFS('март 2024'!$G$4:$G$1612,'март 2024'!$D$4:$D$1612,$B95,'март 2024'!$J$4:$J$1612,AG$1)</f>
        <v>0</v>
      </c>
      <c r="AH95" s="80">
        <f>SUMIFS('март 2024'!$G$4:$G$1612,'март 2024'!$D$4:$D$1612,$B95,'март 2024'!$J$4:$J$1612,AH$1)</f>
        <v>0</v>
      </c>
      <c r="AI95" s="21">
        <f t="shared" si="1"/>
        <v>0</v>
      </c>
    </row>
    <row r="96" spans="2:35" ht="15" customHeight="1" x14ac:dyDescent="0.25">
      <c r="B96" s="89" t="s">
        <v>324</v>
      </c>
      <c r="C96" s="88">
        <v>180</v>
      </c>
      <c r="D96" s="80">
        <f>SUMIFS('март 2024'!$G$4:$G$1612,'март 2024'!$D$4:$D$1612,$B96,'март 2024'!$J$4:$J$1612,D$1)</f>
        <v>0</v>
      </c>
      <c r="E96" s="80">
        <f>SUMIFS('март 2024'!$G$4:$G$1612,'март 2024'!$D$4:$D$1612,$B96,'март 2024'!$J$4:$J$1612,E$1)</f>
        <v>0</v>
      </c>
      <c r="F96" s="80">
        <f>SUMIFS('март 2024'!$G$4:$G$1612,'март 2024'!$D$4:$D$1612,$B96,'март 2024'!$J$4:$J$1612,F$1)</f>
        <v>0</v>
      </c>
      <c r="G96" s="80">
        <f>SUMIFS('март 2024'!$G$4:$G$1612,'март 2024'!$D$4:$D$1612,$B96,'март 2024'!$J$4:$J$1612,G$1)</f>
        <v>0</v>
      </c>
      <c r="H96" s="80">
        <f>SUMIFS('март 2024'!$G$4:$G$1612,'март 2024'!$D$4:$D$1612,$B96,'март 2024'!$J$4:$J$1612,H$1)</f>
        <v>0</v>
      </c>
      <c r="I96" s="80">
        <f>SUMIFS('март 2024'!$G$4:$G$1612,'март 2024'!$D$4:$D$1612,$B96,'март 2024'!$J$4:$J$1612,I$1)</f>
        <v>0</v>
      </c>
      <c r="J96" s="80">
        <f>SUMIFS('март 2024'!$G$4:$G$1612,'март 2024'!$D$4:$D$1612,$B96,'март 2024'!$J$4:$J$1612,J$1)</f>
        <v>0</v>
      </c>
      <c r="K96" s="80">
        <f>SUMIFS('март 2024'!$G$4:$G$1612,'март 2024'!$D$4:$D$1612,$B96,'март 2024'!$J$4:$J$1612,K$1)</f>
        <v>0</v>
      </c>
      <c r="L96" s="80">
        <f>SUMIFS('март 2024'!$G$4:$G$1612,'март 2024'!$D$4:$D$1612,$B96,'март 2024'!$J$4:$J$1612,L$1)</f>
        <v>0</v>
      </c>
      <c r="M96" s="80">
        <f>SUMIFS('март 2024'!$G$4:$G$1612,'март 2024'!$D$4:$D$1612,$B96,'март 2024'!$J$4:$J$1612,M$1)</f>
        <v>0</v>
      </c>
      <c r="N96" s="80">
        <f>SUMIFS('март 2024'!$G$4:$G$1612,'март 2024'!$D$4:$D$1612,$B96,'март 2024'!$J$4:$J$1612,N$1)</f>
        <v>0</v>
      </c>
      <c r="O96" s="80">
        <f>SUMIFS('март 2024'!$G$4:$G$1612,'март 2024'!$D$4:$D$1612,$B96,'март 2024'!$J$4:$J$1612,O$1)</f>
        <v>0</v>
      </c>
      <c r="P96" s="80">
        <f>SUMIFS('март 2024'!$G$4:$G$1612,'март 2024'!$D$4:$D$1612,$B96,'март 2024'!$J$4:$J$1612,P$1)</f>
        <v>0</v>
      </c>
      <c r="Q96" s="80">
        <f>SUMIFS('март 2024'!$G$4:$G$1612,'март 2024'!$D$4:$D$1612,$B96,'март 2024'!$J$4:$J$1612,Q$1)</f>
        <v>0</v>
      </c>
      <c r="R96" s="80">
        <f>SUMIFS('март 2024'!$G$4:$G$1612,'март 2024'!$D$4:$D$1612,$B96,'март 2024'!$J$4:$J$1612,R$1)</f>
        <v>0</v>
      </c>
      <c r="S96" s="80">
        <f>SUMIFS('март 2024'!$G$4:$G$1612,'март 2024'!$D$4:$D$1612,$B96,'март 2024'!$J$4:$J$1612,S$1)</f>
        <v>0</v>
      </c>
      <c r="T96" s="80">
        <f>SUMIFS('март 2024'!$G$4:$G$1612,'март 2024'!$D$4:$D$1612,$B96,'март 2024'!$J$4:$J$1612,T$1)</f>
        <v>0</v>
      </c>
      <c r="U96" s="80">
        <f>SUMIFS('март 2024'!$G$4:$G$1612,'март 2024'!$D$4:$D$1612,$B96,'март 2024'!$J$4:$J$1612,U$1)</f>
        <v>0</v>
      </c>
      <c r="V96" s="80">
        <f>SUMIFS('март 2024'!$G$4:$G$1612,'март 2024'!$D$4:$D$1612,$B96,'март 2024'!$J$4:$J$1612,V$1)</f>
        <v>0</v>
      </c>
      <c r="W96" s="80">
        <f>SUMIFS('март 2024'!$G$4:$G$1612,'март 2024'!$D$4:$D$1612,$B96,'март 2024'!$J$4:$J$1612,W$1)</f>
        <v>0</v>
      </c>
      <c r="X96" s="80">
        <f>SUMIFS('март 2024'!$G$4:$G$1612,'март 2024'!$D$4:$D$1612,$B96,'март 2024'!$J$4:$J$1612,X$1)</f>
        <v>0</v>
      </c>
      <c r="Y96" s="80">
        <f>SUMIFS('март 2024'!$G$4:$G$1612,'март 2024'!$D$4:$D$1612,$B96,'март 2024'!$J$4:$J$1612,Y$1)</f>
        <v>0</v>
      </c>
      <c r="Z96" s="80">
        <f>SUMIFS('март 2024'!$G$4:$G$1612,'март 2024'!$D$4:$D$1612,$B96,'март 2024'!$J$4:$J$1612,Z$1)</f>
        <v>0</v>
      </c>
      <c r="AA96" s="80">
        <f>SUMIFS('март 2024'!$G$4:$G$1612,'март 2024'!$D$4:$D$1612,$B96,'март 2024'!$J$4:$J$1612,AA$1)</f>
        <v>0</v>
      </c>
      <c r="AB96" s="80">
        <f>SUMIFS('март 2024'!$G$4:$G$1612,'март 2024'!$D$4:$D$1612,$B96,'март 2024'!$J$4:$J$1612,AB$1)</f>
        <v>0</v>
      </c>
      <c r="AC96" s="80">
        <f>SUMIFS('март 2024'!$G$4:$G$1612,'март 2024'!$D$4:$D$1612,$B96,'март 2024'!$J$4:$J$1612,AC$1)</f>
        <v>0</v>
      </c>
      <c r="AD96" s="80">
        <f>SUMIFS('март 2024'!$G$4:$G$1612,'март 2024'!$D$4:$D$1612,$B96,'март 2024'!$J$4:$J$1612,AD$1)</f>
        <v>0</v>
      </c>
      <c r="AE96" s="80">
        <f>SUMIFS('март 2024'!$G$4:$G$1612,'март 2024'!$D$4:$D$1612,$B96,'март 2024'!$J$4:$J$1612,AE$1)</f>
        <v>0</v>
      </c>
      <c r="AF96" s="80">
        <f>SUMIFS('март 2024'!$G$4:$G$1612,'март 2024'!$D$4:$D$1612,$B96,'март 2024'!$J$4:$J$1612,AF$1)</f>
        <v>0</v>
      </c>
      <c r="AG96" s="80">
        <f>SUMIFS('март 2024'!$G$4:$G$1612,'март 2024'!$D$4:$D$1612,$B96,'март 2024'!$J$4:$J$1612,AG$1)</f>
        <v>0</v>
      </c>
      <c r="AH96" s="80">
        <f>SUMIFS('март 2024'!$G$4:$G$1612,'март 2024'!$D$4:$D$1612,$B96,'март 2024'!$J$4:$J$1612,AH$1)</f>
        <v>0</v>
      </c>
      <c r="AI96" s="21">
        <f t="shared" si="1"/>
        <v>0</v>
      </c>
    </row>
    <row r="97" spans="2:35" ht="15" customHeight="1" x14ac:dyDescent="0.25">
      <c r="B97" s="93" t="s">
        <v>325</v>
      </c>
      <c r="C97" s="91">
        <v>200</v>
      </c>
      <c r="D97" s="80">
        <f>SUMIFS('март 2024'!$G$4:$G$1612,'март 2024'!$D$4:$D$1612,$B97,'март 2024'!$J$4:$J$1612,D$1)</f>
        <v>0</v>
      </c>
      <c r="E97" s="80">
        <f>SUMIFS('март 2024'!$G$4:$G$1612,'март 2024'!$D$4:$D$1612,$B97,'март 2024'!$J$4:$J$1612,E$1)</f>
        <v>0</v>
      </c>
      <c r="F97" s="80">
        <f>SUMIFS('март 2024'!$G$4:$G$1612,'март 2024'!$D$4:$D$1612,$B97,'март 2024'!$J$4:$J$1612,F$1)</f>
        <v>0</v>
      </c>
      <c r="G97" s="80">
        <f>SUMIFS('март 2024'!$G$4:$G$1612,'март 2024'!$D$4:$D$1612,$B97,'март 2024'!$J$4:$J$1612,G$1)</f>
        <v>0</v>
      </c>
      <c r="H97" s="80">
        <f>SUMIFS('март 2024'!$G$4:$G$1612,'март 2024'!$D$4:$D$1612,$B97,'март 2024'!$J$4:$J$1612,H$1)</f>
        <v>0</v>
      </c>
      <c r="I97" s="80">
        <f>SUMIFS('март 2024'!$G$4:$G$1612,'март 2024'!$D$4:$D$1612,$B97,'март 2024'!$J$4:$J$1612,I$1)</f>
        <v>0</v>
      </c>
      <c r="J97" s="80">
        <f>SUMIFS('март 2024'!$G$4:$G$1612,'март 2024'!$D$4:$D$1612,$B97,'март 2024'!$J$4:$J$1612,J$1)</f>
        <v>0</v>
      </c>
      <c r="K97" s="80">
        <f>SUMIFS('март 2024'!$G$4:$G$1612,'март 2024'!$D$4:$D$1612,$B97,'март 2024'!$J$4:$J$1612,K$1)</f>
        <v>0</v>
      </c>
      <c r="L97" s="80">
        <f>SUMIFS('март 2024'!$G$4:$G$1612,'март 2024'!$D$4:$D$1612,$B97,'март 2024'!$J$4:$J$1612,L$1)</f>
        <v>0</v>
      </c>
      <c r="M97" s="80">
        <f>SUMIFS('март 2024'!$G$4:$G$1612,'март 2024'!$D$4:$D$1612,$B97,'март 2024'!$J$4:$J$1612,M$1)</f>
        <v>0</v>
      </c>
      <c r="N97" s="80">
        <f>SUMIFS('март 2024'!$G$4:$G$1612,'март 2024'!$D$4:$D$1612,$B97,'март 2024'!$J$4:$J$1612,N$1)</f>
        <v>0</v>
      </c>
      <c r="O97" s="80">
        <f>SUMIFS('март 2024'!$G$4:$G$1612,'март 2024'!$D$4:$D$1612,$B97,'март 2024'!$J$4:$J$1612,O$1)</f>
        <v>0</v>
      </c>
      <c r="P97" s="80">
        <f>SUMIFS('март 2024'!$G$4:$G$1612,'март 2024'!$D$4:$D$1612,$B97,'март 2024'!$J$4:$J$1612,P$1)</f>
        <v>0</v>
      </c>
      <c r="Q97" s="80">
        <f>SUMIFS('март 2024'!$G$4:$G$1612,'март 2024'!$D$4:$D$1612,$B97,'март 2024'!$J$4:$J$1612,Q$1)</f>
        <v>0</v>
      </c>
      <c r="R97" s="80">
        <f>SUMIFS('март 2024'!$G$4:$G$1612,'март 2024'!$D$4:$D$1612,$B97,'март 2024'!$J$4:$J$1612,R$1)</f>
        <v>0</v>
      </c>
      <c r="S97" s="80">
        <f>SUMIFS('март 2024'!$G$4:$G$1612,'март 2024'!$D$4:$D$1612,$B97,'март 2024'!$J$4:$J$1612,S$1)</f>
        <v>0</v>
      </c>
      <c r="T97" s="80">
        <f>SUMIFS('март 2024'!$G$4:$G$1612,'март 2024'!$D$4:$D$1612,$B97,'март 2024'!$J$4:$J$1612,T$1)</f>
        <v>0</v>
      </c>
      <c r="U97" s="80">
        <f>SUMIFS('март 2024'!$G$4:$G$1612,'март 2024'!$D$4:$D$1612,$B97,'март 2024'!$J$4:$J$1612,U$1)</f>
        <v>0</v>
      </c>
      <c r="V97" s="80">
        <f>SUMIFS('март 2024'!$G$4:$G$1612,'март 2024'!$D$4:$D$1612,$B97,'март 2024'!$J$4:$J$1612,V$1)</f>
        <v>0</v>
      </c>
      <c r="W97" s="80">
        <f>SUMIFS('март 2024'!$G$4:$G$1612,'март 2024'!$D$4:$D$1612,$B97,'март 2024'!$J$4:$J$1612,W$1)</f>
        <v>0</v>
      </c>
      <c r="X97" s="80">
        <f>SUMIFS('март 2024'!$G$4:$G$1612,'март 2024'!$D$4:$D$1612,$B97,'март 2024'!$J$4:$J$1612,X$1)</f>
        <v>0</v>
      </c>
      <c r="Y97" s="80">
        <f>SUMIFS('март 2024'!$G$4:$G$1612,'март 2024'!$D$4:$D$1612,$B97,'март 2024'!$J$4:$J$1612,Y$1)</f>
        <v>0</v>
      </c>
      <c r="Z97" s="80">
        <f>SUMIFS('март 2024'!$G$4:$G$1612,'март 2024'!$D$4:$D$1612,$B97,'март 2024'!$J$4:$J$1612,Z$1)</f>
        <v>0</v>
      </c>
      <c r="AA97" s="80">
        <f>SUMIFS('март 2024'!$G$4:$G$1612,'март 2024'!$D$4:$D$1612,$B97,'март 2024'!$J$4:$J$1612,AA$1)</f>
        <v>0</v>
      </c>
      <c r="AB97" s="80">
        <f>SUMIFS('март 2024'!$G$4:$G$1612,'март 2024'!$D$4:$D$1612,$B97,'март 2024'!$J$4:$J$1612,AB$1)</f>
        <v>0</v>
      </c>
      <c r="AC97" s="80">
        <f>SUMIFS('март 2024'!$G$4:$G$1612,'март 2024'!$D$4:$D$1612,$B97,'март 2024'!$J$4:$J$1612,AC$1)</f>
        <v>0</v>
      </c>
      <c r="AD97" s="80">
        <f>SUMIFS('март 2024'!$G$4:$G$1612,'март 2024'!$D$4:$D$1612,$B97,'март 2024'!$J$4:$J$1612,AD$1)</f>
        <v>0</v>
      </c>
      <c r="AE97" s="80">
        <f>SUMIFS('март 2024'!$G$4:$G$1612,'март 2024'!$D$4:$D$1612,$B97,'март 2024'!$J$4:$J$1612,AE$1)</f>
        <v>0</v>
      </c>
      <c r="AF97" s="80">
        <f>SUMIFS('март 2024'!$G$4:$G$1612,'март 2024'!$D$4:$D$1612,$B97,'март 2024'!$J$4:$J$1612,AF$1)</f>
        <v>0</v>
      </c>
      <c r="AG97" s="80">
        <f>SUMIFS('март 2024'!$G$4:$G$1612,'март 2024'!$D$4:$D$1612,$B97,'март 2024'!$J$4:$J$1612,AG$1)</f>
        <v>0</v>
      </c>
      <c r="AH97" s="80">
        <f>SUMIFS('март 2024'!$G$4:$G$1612,'март 2024'!$D$4:$D$1612,$B97,'март 2024'!$J$4:$J$1612,AH$1)</f>
        <v>0</v>
      </c>
      <c r="AI97" s="21">
        <f t="shared" si="1"/>
        <v>0</v>
      </c>
    </row>
    <row r="98" spans="2:35" ht="15" customHeight="1" x14ac:dyDescent="0.25">
      <c r="B98" s="93" t="s">
        <v>190</v>
      </c>
      <c r="C98" s="91">
        <v>200</v>
      </c>
      <c r="D98" s="80">
        <f>SUMIFS('март 2024'!$G$4:$G$1612,'март 2024'!$D$4:$D$1612,$B98,'март 2024'!$J$4:$J$1612,D$1)</f>
        <v>0</v>
      </c>
      <c r="E98" s="80">
        <f>SUMIFS('март 2024'!$G$4:$G$1612,'март 2024'!$D$4:$D$1612,$B98,'март 2024'!$J$4:$J$1612,E$1)</f>
        <v>0</v>
      </c>
      <c r="F98" s="80">
        <f>SUMIFS('март 2024'!$G$4:$G$1612,'март 2024'!$D$4:$D$1612,$B98,'март 2024'!$J$4:$J$1612,F$1)</f>
        <v>0</v>
      </c>
      <c r="G98" s="80">
        <f>SUMIFS('март 2024'!$G$4:$G$1612,'март 2024'!$D$4:$D$1612,$B98,'март 2024'!$J$4:$J$1612,G$1)</f>
        <v>211</v>
      </c>
      <c r="H98" s="80">
        <f>SUMIFS('март 2024'!$G$4:$G$1612,'март 2024'!$D$4:$D$1612,$B98,'март 2024'!$J$4:$J$1612,H$1)</f>
        <v>0</v>
      </c>
      <c r="I98" s="80">
        <f>SUMIFS('март 2024'!$G$4:$G$1612,'март 2024'!$D$4:$D$1612,$B98,'март 2024'!$J$4:$J$1612,I$1)</f>
        <v>0</v>
      </c>
      <c r="J98" s="80">
        <f>SUMIFS('март 2024'!$G$4:$G$1612,'март 2024'!$D$4:$D$1612,$B98,'март 2024'!$J$4:$J$1612,J$1)</f>
        <v>0</v>
      </c>
      <c r="K98" s="80">
        <f>SUMIFS('март 2024'!$G$4:$G$1612,'март 2024'!$D$4:$D$1612,$B98,'март 2024'!$J$4:$J$1612,K$1)</f>
        <v>0</v>
      </c>
      <c r="L98" s="80">
        <f>SUMIFS('март 2024'!$G$4:$G$1612,'март 2024'!$D$4:$D$1612,$B98,'март 2024'!$J$4:$J$1612,L$1)</f>
        <v>0</v>
      </c>
      <c r="M98" s="80">
        <f>SUMIFS('март 2024'!$G$4:$G$1612,'март 2024'!$D$4:$D$1612,$B98,'март 2024'!$J$4:$J$1612,M$1)</f>
        <v>0</v>
      </c>
      <c r="N98" s="80">
        <f>SUMIFS('март 2024'!$G$4:$G$1612,'март 2024'!$D$4:$D$1612,$B98,'март 2024'!$J$4:$J$1612,N$1)</f>
        <v>0</v>
      </c>
      <c r="O98" s="80">
        <f>SUMIFS('март 2024'!$G$4:$G$1612,'март 2024'!$D$4:$D$1612,$B98,'март 2024'!$J$4:$J$1612,O$1)</f>
        <v>0</v>
      </c>
      <c r="P98" s="80">
        <f>SUMIFS('март 2024'!$G$4:$G$1612,'март 2024'!$D$4:$D$1612,$B98,'март 2024'!$J$4:$J$1612,P$1)</f>
        <v>0</v>
      </c>
      <c r="Q98" s="80">
        <f>SUMIFS('март 2024'!$G$4:$G$1612,'март 2024'!$D$4:$D$1612,$B98,'март 2024'!$J$4:$J$1612,Q$1)</f>
        <v>0</v>
      </c>
      <c r="R98" s="80">
        <f>SUMIFS('март 2024'!$G$4:$G$1612,'март 2024'!$D$4:$D$1612,$B98,'март 2024'!$J$4:$J$1612,R$1)</f>
        <v>0</v>
      </c>
      <c r="S98" s="80">
        <f>SUMIFS('март 2024'!$G$4:$G$1612,'март 2024'!$D$4:$D$1612,$B98,'март 2024'!$J$4:$J$1612,S$1)</f>
        <v>163</v>
      </c>
      <c r="T98" s="80">
        <f>SUMIFS('март 2024'!$G$4:$G$1612,'март 2024'!$D$4:$D$1612,$B98,'март 2024'!$J$4:$J$1612,T$1)</f>
        <v>0</v>
      </c>
      <c r="U98" s="80">
        <f>SUMIFS('март 2024'!$G$4:$G$1612,'март 2024'!$D$4:$D$1612,$B98,'март 2024'!$J$4:$J$1612,U$1)</f>
        <v>0</v>
      </c>
      <c r="V98" s="80">
        <f>SUMIFS('март 2024'!$G$4:$G$1612,'март 2024'!$D$4:$D$1612,$B98,'март 2024'!$J$4:$J$1612,V$1)</f>
        <v>0</v>
      </c>
      <c r="W98" s="80">
        <f>SUMIFS('март 2024'!$G$4:$G$1612,'март 2024'!$D$4:$D$1612,$B98,'март 2024'!$J$4:$J$1612,W$1)</f>
        <v>0</v>
      </c>
      <c r="X98" s="80">
        <f>SUMIFS('март 2024'!$G$4:$G$1612,'март 2024'!$D$4:$D$1612,$B98,'март 2024'!$J$4:$J$1612,X$1)</f>
        <v>0</v>
      </c>
      <c r="Y98" s="80">
        <f>SUMIFS('март 2024'!$G$4:$G$1612,'март 2024'!$D$4:$D$1612,$B98,'март 2024'!$J$4:$J$1612,Y$1)</f>
        <v>0</v>
      </c>
      <c r="Z98" s="80">
        <f>SUMIFS('март 2024'!$G$4:$G$1612,'март 2024'!$D$4:$D$1612,$B98,'март 2024'!$J$4:$J$1612,Z$1)</f>
        <v>0</v>
      </c>
      <c r="AA98" s="80">
        <f>SUMIFS('март 2024'!$G$4:$G$1612,'март 2024'!$D$4:$D$1612,$B98,'март 2024'!$J$4:$J$1612,AA$1)</f>
        <v>0</v>
      </c>
      <c r="AB98" s="80">
        <f>SUMIFS('март 2024'!$G$4:$G$1612,'март 2024'!$D$4:$D$1612,$B98,'март 2024'!$J$4:$J$1612,AB$1)</f>
        <v>217</v>
      </c>
      <c r="AC98" s="80">
        <f>SUMIFS('март 2024'!$G$4:$G$1612,'март 2024'!$D$4:$D$1612,$B98,'март 2024'!$J$4:$J$1612,AC$1)</f>
        <v>0</v>
      </c>
      <c r="AD98" s="80">
        <f>SUMIFS('март 2024'!$G$4:$G$1612,'март 2024'!$D$4:$D$1612,$B98,'март 2024'!$J$4:$J$1612,AD$1)</f>
        <v>0</v>
      </c>
      <c r="AE98" s="80">
        <f>SUMIFS('март 2024'!$G$4:$G$1612,'март 2024'!$D$4:$D$1612,$B98,'март 2024'!$J$4:$J$1612,AE$1)</f>
        <v>0</v>
      </c>
      <c r="AF98" s="80">
        <f>SUMIFS('март 2024'!$G$4:$G$1612,'март 2024'!$D$4:$D$1612,$B98,'март 2024'!$J$4:$J$1612,AF$1)</f>
        <v>0</v>
      </c>
      <c r="AG98" s="80">
        <f>SUMIFS('март 2024'!$G$4:$G$1612,'март 2024'!$D$4:$D$1612,$B98,'март 2024'!$J$4:$J$1612,AG$1)</f>
        <v>0</v>
      </c>
      <c r="AH98" s="80">
        <f>SUMIFS('март 2024'!$G$4:$G$1612,'март 2024'!$D$4:$D$1612,$B98,'март 2024'!$J$4:$J$1612,AH$1)</f>
        <v>0</v>
      </c>
      <c r="AI98" s="21">
        <f t="shared" si="1"/>
        <v>591</v>
      </c>
    </row>
    <row r="99" spans="2:35" ht="15" customHeight="1" x14ac:dyDescent="0.25">
      <c r="B99" s="93" t="s">
        <v>326</v>
      </c>
      <c r="C99" s="91">
        <v>200</v>
      </c>
      <c r="D99" s="80">
        <f>SUMIFS('март 2024'!$G$4:$G$1612,'март 2024'!$D$4:$D$1612,$B99,'март 2024'!$J$4:$J$1612,D$1)</f>
        <v>0</v>
      </c>
      <c r="E99" s="80">
        <f>SUMIFS('март 2024'!$G$4:$G$1612,'март 2024'!$D$4:$D$1612,$B99,'март 2024'!$J$4:$J$1612,E$1)</f>
        <v>0</v>
      </c>
      <c r="F99" s="80">
        <f>SUMIFS('март 2024'!$G$4:$G$1612,'март 2024'!$D$4:$D$1612,$B99,'март 2024'!$J$4:$J$1612,F$1)</f>
        <v>0</v>
      </c>
      <c r="G99" s="80">
        <f>SUMIFS('март 2024'!$G$4:$G$1612,'март 2024'!$D$4:$D$1612,$B99,'март 2024'!$J$4:$J$1612,G$1)</f>
        <v>0</v>
      </c>
      <c r="H99" s="80">
        <f>SUMIFS('март 2024'!$G$4:$G$1612,'март 2024'!$D$4:$D$1612,$B99,'март 2024'!$J$4:$J$1612,H$1)</f>
        <v>0</v>
      </c>
      <c r="I99" s="80">
        <f>SUMIFS('март 2024'!$G$4:$G$1612,'март 2024'!$D$4:$D$1612,$B99,'март 2024'!$J$4:$J$1612,I$1)</f>
        <v>0</v>
      </c>
      <c r="J99" s="80">
        <f>SUMIFS('март 2024'!$G$4:$G$1612,'март 2024'!$D$4:$D$1612,$B99,'март 2024'!$J$4:$J$1612,J$1)</f>
        <v>0</v>
      </c>
      <c r="K99" s="80">
        <f>SUMIFS('март 2024'!$G$4:$G$1612,'март 2024'!$D$4:$D$1612,$B99,'март 2024'!$J$4:$J$1612,K$1)</f>
        <v>0</v>
      </c>
      <c r="L99" s="80">
        <f>SUMIFS('март 2024'!$G$4:$G$1612,'март 2024'!$D$4:$D$1612,$B99,'март 2024'!$J$4:$J$1612,L$1)</f>
        <v>0</v>
      </c>
      <c r="M99" s="80">
        <f>SUMIFS('март 2024'!$G$4:$G$1612,'март 2024'!$D$4:$D$1612,$B99,'март 2024'!$J$4:$J$1612,M$1)</f>
        <v>0</v>
      </c>
      <c r="N99" s="80">
        <f>SUMIFS('март 2024'!$G$4:$G$1612,'март 2024'!$D$4:$D$1612,$B99,'март 2024'!$J$4:$J$1612,N$1)</f>
        <v>0</v>
      </c>
      <c r="O99" s="80">
        <f>SUMIFS('март 2024'!$G$4:$G$1612,'март 2024'!$D$4:$D$1612,$B99,'март 2024'!$J$4:$J$1612,O$1)</f>
        <v>0</v>
      </c>
      <c r="P99" s="80">
        <f>SUMIFS('март 2024'!$G$4:$G$1612,'март 2024'!$D$4:$D$1612,$B99,'март 2024'!$J$4:$J$1612,P$1)</f>
        <v>0</v>
      </c>
      <c r="Q99" s="80">
        <f>SUMIFS('март 2024'!$G$4:$G$1612,'март 2024'!$D$4:$D$1612,$B99,'март 2024'!$J$4:$J$1612,Q$1)</f>
        <v>0</v>
      </c>
      <c r="R99" s="80">
        <f>SUMIFS('март 2024'!$G$4:$G$1612,'март 2024'!$D$4:$D$1612,$B99,'март 2024'!$J$4:$J$1612,R$1)</f>
        <v>0</v>
      </c>
      <c r="S99" s="80">
        <f>SUMIFS('март 2024'!$G$4:$G$1612,'март 2024'!$D$4:$D$1612,$B99,'март 2024'!$J$4:$J$1612,S$1)</f>
        <v>0</v>
      </c>
      <c r="T99" s="80">
        <f>SUMIFS('март 2024'!$G$4:$G$1612,'март 2024'!$D$4:$D$1612,$B99,'март 2024'!$J$4:$J$1612,T$1)</f>
        <v>0</v>
      </c>
      <c r="U99" s="80">
        <f>SUMIFS('март 2024'!$G$4:$G$1612,'март 2024'!$D$4:$D$1612,$B99,'март 2024'!$J$4:$J$1612,U$1)</f>
        <v>0</v>
      </c>
      <c r="V99" s="80">
        <f>SUMIFS('март 2024'!$G$4:$G$1612,'март 2024'!$D$4:$D$1612,$B99,'март 2024'!$J$4:$J$1612,V$1)</f>
        <v>0</v>
      </c>
      <c r="W99" s="80">
        <f>SUMIFS('март 2024'!$G$4:$G$1612,'март 2024'!$D$4:$D$1612,$B99,'март 2024'!$J$4:$J$1612,W$1)</f>
        <v>0</v>
      </c>
      <c r="X99" s="80">
        <f>SUMIFS('март 2024'!$G$4:$G$1612,'март 2024'!$D$4:$D$1612,$B99,'март 2024'!$J$4:$J$1612,X$1)</f>
        <v>0</v>
      </c>
      <c r="Y99" s="80">
        <f>SUMIFS('март 2024'!$G$4:$G$1612,'март 2024'!$D$4:$D$1612,$B99,'март 2024'!$J$4:$J$1612,Y$1)</f>
        <v>0</v>
      </c>
      <c r="Z99" s="80">
        <f>SUMIFS('март 2024'!$G$4:$G$1612,'март 2024'!$D$4:$D$1612,$B99,'март 2024'!$J$4:$J$1612,Z$1)</f>
        <v>0</v>
      </c>
      <c r="AA99" s="80">
        <f>SUMIFS('март 2024'!$G$4:$G$1612,'март 2024'!$D$4:$D$1612,$B99,'март 2024'!$J$4:$J$1612,AA$1)</f>
        <v>0</v>
      </c>
      <c r="AB99" s="80">
        <f>SUMIFS('март 2024'!$G$4:$G$1612,'март 2024'!$D$4:$D$1612,$B99,'март 2024'!$J$4:$J$1612,AB$1)</f>
        <v>0</v>
      </c>
      <c r="AC99" s="80">
        <f>SUMIFS('март 2024'!$G$4:$G$1612,'март 2024'!$D$4:$D$1612,$B99,'март 2024'!$J$4:$J$1612,AC$1)</f>
        <v>0</v>
      </c>
      <c r="AD99" s="80">
        <f>SUMIFS('март 2024'!$G$4:$G$1612,'март 2024'!$D$4:$D$1612,$B99,'март 2024'!$J$4:$J$1612,AD$1)</f>
        <v>0</v>
      </c>
      <c r="AE99" s="80">
        <f>SUMIFS('март 2024'!$G$4:$G$1612,'март 2024'!$D$4:$D$1612,$B99,'март 2024'!$J$4:$J$1612,AE$1)</f>
        <v>0</v>
      </c>
      <c r="AF99" s="80">
        <f>SUMIFS('март 2024'!$G$4:$G$1612,'март 2024'!$D$4:$D$1612,$B99,'март 2024'!$J$4:$J$1612,AF$1)</f>
        <v>0</v>
      </c>
      <c r="AG99" s="80">
        <f>SUMIFS('март 2024'!$G$4:$G$1612,'март 2024'!$D$4:$D$1612,$B99,'март 2024'!$J$4:$J$1612,AG$1)</f>
        <v>0</v>
      </c>
      <c r="AH99" s="80">
        <f>SUMIFS('март 2024'!$G$4:$G$1612,'март 2024'!$D$4:$D$1612,$B99,'март 2024'!$J$4:$J$1612,AH$1)</f>
        <v>0</v>
      </c>
      <c r="AI99" s="21">
        <f t="shared" si="1"/>
        <v>0</v>
      </c>
    </row>
    <row r="100" spans="2:35" ht="15" customHeight="1" x14ac:dyDescent="0.25">
      <c r="B100" s="93" t="s">
        <v>327</v>
      </c>
      <c r="C100" s="91">
        <v>200</v>
      </c>
      <c r="D100" s="80">
        <f>SUMIFS('март 2024'!$G$4:$G$1612,'март 2024'!$D$4:$D$1612,$B100,'март 2024'!$J$4:$J$1612,D$1)</f>
        <v>0</v>
      </c>
      <c r="E100" s="80">
        <f>SUMIFS('март 2024'!$G$4:$G$1612,'март 2024'!$D$4:$D$1612,$B100,'март 2024'!$J$4:$J$1612,E$1)</f>
        <v>0</v>
      </c>
      <c r="F100" s="80">
        <f>SUMIFS('март 2024'!$G$4:$G$1612,'март 2024'!$D$4:$D$1612,$B100,'март 2024'!$J$4:$J$1612,F$1)</f>
        <v>0</v>
      </c>
      <c r="G100" s="80">
        <f>SUMIFS('март 2024'!$G$4:$G$1612,'март 2024'!$D$4:$D$1612,$B100,'март 2024'!$J$4:$J$1612,G$1)</f>
        <v>0</v>
      </c>
      <c r="H100" s="80">
        <f>SUMIFS('март 2024'!$G$4:$G$1612,'март 2024'!$D$4:$D$1612,$B100,'март 2024'!$J$4:$J$1612,H$1)</f>
        <v>0</v>
      </c>
      <c r="I100" s="80">
        <f>SUMIFS('март 2024'!$G$4:$G$1612,'март 2024'!$D$4:$D$1612,$B100,'март 2024'!$J$4:$J$1612,I$1)</f>
        <v>0</v>
      </c>
      <c r="J100" s="80">
        <f>SUMIFS('март 2024'!$G$4:$G$1612,'март 2024'!$D$4:$D$1612,$B100,'март 2024'!$J$4:$J$1612,J$1)</f>
        <v>0</v>
      </c>
      <c r="K100" s="80">
        <f>SUMIFS('март 2024'!$G$4:$G$1612,'март 2024'!$D$4:$D$1612,$B100,'март 2024'!$J$4:$J$1612,K$1)</f>
        <v>0</v>
      </c>
      <c r="L100" s="80">
        <f>SUMIFS('март 2024'!$G$4:$G$1612,'март 2024'!$D$4:$D$1612,$B100,'март 2024'!$J$4:$J$1612,L$1)</f>
        <v>0</v>
      </c>
      <c r="M100" s="80">
        <f>SUMIFS('март 2024'!$G$4:$G$1612,'март 2024'!$D$4:$D$1612,$B100,'март 2024'!$J$4:$J$1612,M$1)</f>
        <v>0</v>
      </c>
      <c r="N100" s="80">
        <f>SUMIFS('март 2024'!$G$4:$G$1612,'март 2024'!$D$4:$D$1612,$B100,'март 2024'!$J$4:$J$1612,N$1)</f>
        <v>0</v>
      </c>
      <c r="O100" s="80">
        <f>SUMIFS('март 2024'!$G$4:$G$1612,'март 2024'!$D$4:$D$1612,$B100,'март 2024'!$J$4:$J$1612,O$1)</f>
        <v>0</v>
      </c>
      <c r="P100" s="80">
        <f>SUMIFS('март 2024'!$G$4:$G$1612,'март 2024'!$D$4:$D$1612,$B100,'март 2024'!$J$4:$J$1612,P$1)</f>
        <v>0</v>
      </c>
      <c r="Q100" s="80">
        <f>SUMIFS('март 2024'!$G$4:$G$1612,'март 2024'!$D$4:$D$1612,$B100,'март 2024'!$J$4:$J$1612,Q$1)</f>
        <v>0</v>
      </c>
      <c r="R100" s="80">
        <f>SUMIFS('март 2024'!$G$4:$G$1612,'март 2024'!$D$4:$D$1612,$B100,'март 2024'!$J$4:$J$1612,R$1)</f>
        <v>0</v>
      </c>
      <c r="S100" s="80">
        <f>SUMIFS('март 2024'!$G$4:$G$1612,'март 2024'!$D$4:$D$1612,$B100,'март 2024'!$J$4:$J$1612,S$1)</f>
        <v>0</v>
      </c>
      <c r="T100" s="80">
        <f>SUMIFS('март 2024'!$G$4:$G$1612,'март 2024'!$D$4:$D$1612,$B100,'март 2024'!$J$4:$J$1612,T$1)</f>
        <v>0</v>
      </c>
      <c r="U100" s="80">
        <f>SUMIFS('март 2024'!$G$4:$G$1612,'март 2024'!$D$4:$D$1612,$B100,'март 2024'!$J$4:$J$1612,U$1)</f>
        <v>0</v>
      </c>
      <c r="V100" s="80">
        <f>SUMIFS('март 2024'!$G$4:$G$1612,'март 2024'!$D$4:$D$1612,$B100,'март 2024'!$J$4:$J$1612,V$1)</f>
        <v>0</v>
      </c>
      <c r="W100" s="80">
        <f>SUMIFS('март 2024'!$G$4:$G$1612,'март 2024'!$D$4:$D$1612,$B100,'март 2024'!$J$4:$J$1612,W$1)</f>
        <v>0</v>
      </c>
      <c r="X100" s="80">
        <f>SUMIFS('март 2024'!$G$4:$G$1612,'март 2024'!$D$4:$D$1612,$B100,'март 2024'!$J$4:$J$1612,X$1)</f>
        <v>0</v>
      </c>
      <c r="Y100" s="80">
        <f>SUMIFS('март 2024'!$G$4:$G$1612,'март 2024'!$D$4:$D$1612,$B100,'март 2024'!$J$4:$J$1612,Y$1)</f>
        <v>0</v>
      </c>
      <c r="Z100" s="80">
        <f>SUMIFS('март 2024'!$G$4:$G$1612,'март 2024'!$D$4:$D$1612,$B100,'март 2024'!$J$4:$J$1612,Z$1)</f>
        <v>0</v>
      </c>
      <c r="AA100" s="80">
        <f>SUMIFS('март 2024'!$G$4:$G$1612,'март 2024'!$D$4:$D$1612,$B100,'март 2024'!$J$4:$J$1612,AA$1)</f>
        <v>0</v>
      </c>
      <c r="AB100" s="80">
        <f>SUMIFS('март 2024'!$G$4:$G$1612,'март 2024'!$D$4:$D$1612,$B100,'март 2024'!$J$4:$J$1612,AB$1)</f>
        <v>0</v>
      </c>
      <c r="AC100" s="80">
        <f>SUMIFS('март 2024'!$G$4:$G$1612,'март 2024'!$D$4:$D$1612,$B100,'март 2024'!$J$4:$J$1612,AC$1)</f>
        <v>0</v>
      </c>
      <c r="AD100" s="80">
        <f>SUMIFS('март 2024'!$G$4:$G$1612,'март 2024'!$D$4:$D$1612,$B100,'март 2024'!$J$4:$J$1612,AD$1)</f>
        <v>0</v>
      </c>
      <c r="AE100" s="80">
        <f>SUMIFS('март 2024'!$G$4:$G$1612,'март 2024'!$D$4:$D$1612,$B100,'март 2024'!$J$4:$J$1612,AE$1)</f>
        <v>0</v>
      </c>
      <c r="AF100" s="80">
        <f>SUMIFS('март 2024'!$G$4:$G$1612,'март 2024'!$D$4:$D$1612,$B100,'март 2024'!$J$4:$J$1612,AF$1)</f>
        <v>0</v>
      </c>
      <c r="AG100" s="80">
        <f>SUMIFS('март 2024'!$G$4:$G$1612,'март 2024'!$D$4:$D$1612,$B100,'март 2024'!$J$4:$J$1612,AG$1)</f>
        <v>0</v>
      </c>
      <c r="AH100" s="80">
        <f>SUMIFS('март 2024'!$G$4:$G$1612,'март 2024'!$D$4:$D$1612,$B100,'март 2024'!$J$4:$J$1612,AH$1)</f>
        <v>0</v>
      </c>
      <c r="AI100" s="21">
        <f t="shared" si="1"/>
        <v>0</v>
      </c>
    </row>
    <row r="101" spans="2:35" ht="15" customHeight="1" x14ac:dyDescent="0.25">
      <c r="B101" s="89" t="s">
        <v>223</v>
      </c>
      <c r="C101" s="88">
        <v>25</v>
      </c>
      <c r="D101" s="80">
        <f>SUMIFS('март 2024'!$G$4:$G$1612,'март 2024'!$D$4:$D$1612,$B101,'март 2024'!$J$4:$J$1612,D$1)</f>
        <v>0</v>
      </c>
      <c r="E101" s="80">
        <f>SUMIFS('март 2024'!$G$4:$G$1612,'март 2024'!$D$4:$D$1612,$B101,'март 2024'!$J$4:$J$1612,E$1)</f>
        <v>0</v>
      </c>
      <c r="F101" s="80">
        <f>SUMIFS('март 2024'!$G$4:$G$1612,'март 2024'!$D$4:$D$1612,$B101,'март 2024'!$J$4:$J$1612,F$1)</f>
        <v>0</v>
      </c>
      <c r="G101" s="80">
        <f>SUMIFS('март 2024'!$G$4:$G$1612,'март 2024'!$D$4:$D$1612,$B101,'март 2024'!$J$4:$J$1612,G$1)</f>
        <v>0</v>
      </c>
      <c r="H101" s="80">
        <f>SUMIFS('март 2024'!$G$4:$G$1612,'март 2024'!$D$4:$D$1612,$B101,'март 2024'!$J$4:$J$1612,H$1)</f>
        <v>0</v>
      </c>
      <c r="I101" s="80">
        <f>SUMIFS('март 2024'!$G$4:$G$1612,'март 2024'!$D$4:$D$1612,$B101,'март 2024'!$J$4:$J$1612,I$1)</f>
        <v>0</v>
      </c>
      <c r="J101" s="80">
        <f>SUMIFS('март 2024'!$G$4:$G$1612,'март 2024'!$D$4:$D$1612,$B101,'март 2024'!$J$4:$J$1612,J$1)</f>
        <v>0</v>
      </c>
      <c r="K101" s="80">
        <f>SUMIFS('март 2024'!$G$4:$G$1612,'март 2024'!$D$4:$D$1612,$B101,'март 2024'!$J$4:$J$1612,K$1)</f>
        <v>0</v>
      </c>
      <c r="L101" s="80">
        <f>SUMIFS('март 2024'!$G$4:$G$1612,'март 2024'!$D$4:$D$1612,$B101,'март 2024'!$J$4:$J$1612,L$1)</f>
        <v>0</v>
      </c>
      <c r="M101" s="80">
        <f>SUMIFS('март 2024'!$G$4:$G$1612,'март 2024'!$D$4:$D$1612,$B101,'март 2024'!$J$4:$J$1612,M$1)</f>
        <v>0</v>
      </c>
      <c r="N101" s="80">
        <f>SUMIFS('март 2024'!$G$4:$G$1612,'март 2024'!$D$4:$D$1612,$B101,'март 2024'!$J$4:$J$1612,N$1)</f>
        <v>0</v>
      </c>
      <c r="O101" s="80">
        <f>SUMIFS('март 2024'!$G$4:$G$1612,'март 2024'!$D$4:$D$1612,$B101,'март 2024'!$J$4:$J$1612,O$1)</f>
        <v>0</v>
      </c>
      <c r="P101" s="80">
        <f>SUMIFS('март 2024'!$G$4:$G$1612,'март 2024'!$D$4:$D$1612,$B101,'март 2024'!$J$4:$J$1612,P$1)</f>
        <v>0</v>
      </c>
      <c r="Q101" s="80">
        <f>SUMIFS('март 2024'!$G$4:$G$1612,'март 2024'!$D$4:$D$1612,$B101,'март 2024'!$J$4:$J$1612,Q$1)</f>
        <v>0</v>
      </c>
      <c r="R101" s="80">
        <f>SUMIFS('март 2024'!$G$4:$G$1612,'март 2024'!$D$4:$D$1612,$B101,'март 2024'!$J$4:$J$1612,R$1)</f>
        <v>0</v>
      </c>
      <c r="S101" s="80">
        <f>SUMIFS('март 2024'!$G$4:$G$1612,'март 2024'!$D$4:$D$1612,$B101,'март 2024'!$J$4:$J$1612,S$1)</f>
        <v>0</v>
      </c>
      <c r="T101" s="80">
        <f>SUMIFS('март 2024'!$G$4:$G$1612,'март 2024'!$D$4:$D$1612,$B101,'март 2024'!$J$4:$J$1612,T$1)</f>
        <v>0</v>
      </c>
      <c r="U101" s="80">
        <f>SUMIFS('март 2024'!$G$4:$G$1612,'март 2024'!$D$4:$D$1612,$B101,'март 2024'!$J$4:$J$1612,U$1)</f>
        <v>0</v>
      </c>
      <c r="V101" s="80">
        <f>SUMIFS('март 2024'!$G$4:$G$1612,'март 2024'!$D$4:$D$1612,$B101,'март 2024'!$J$4:$J$1612,V$1)</f>
        <v>0</v>
      </c>
      <c r="W101" s="80">
        <f>SUMIFS('март 2024'!$G$4:$G$1612,'март 2024'!$D$4:$D$1612,$B101,'март 2024'!$J$4:$J$1612,W$1)</f>
        <v>0</v>
      </c>
      <c r="X101" s="80">
        <f>SUMIFS('март 2024'!$G$4:$G$1612,'март 2024'!$D$4:$D$1612,$B101,'март 2024'!$J$4:$J$1612,X$1)</f>
        <v>0</v>
      </c>
      <c r="Y101" s="80">
        <f>SUMIFS('март 2024'!$G$4:$G$1612,'март 2024'!$D$4:$D$1612,$B101,'март 2024'!$J$4:$J$1612,Y$1)</f>
        <v>0</v>
      </c>
      <c r="Z101" s="80">
        <f>SUMIFS('март 2024'!$G$4:$G$1612,'март 2024'!$D$4:$D$1612,$B101,'март 2024'!$J$4:$J$1612,Z$1)</f>
        <v>0</v>
      </c>
      <c r="AA101" s="80">
        <f>SUMIFS('март 2024'!$G$4:$G$1612,'март 2024'!$D$4:$D$1612,$B101,'март 2024'!$J$4:$J$1612,AA$1)</f>
        <v>0</v>
      </c>
      <c r="AB101" s="80">
        <f>SUMIFS('март 2024'!$G$4:$G$1612,'март 2024'!$D$4:$D$1612,$B101,'март 2024'!$J$4:$J$1612,AB$1)</f>
        <v>0</v>
      </c>
      <c r="AC101" s="80">
        <f>SUMIFS('март 2024'!$G$4:$G$1612,'март 2024'!$D$4:$D$1612,$B101,'март 2024'!$J$4:$J$1612,AC$1)</f>
        <v>0</v>
      </c>
      <c r="AD101" s="80">
        <f>SUMIFS('март 2024'!$G$4:$G$1612,'март 2024'!$D$4:$D$1612,$B101,'март 2024'!$J$4:$J$1612,AD$1)</f>
        <v>0</v>
      </c>
      <c r="AE101" s="80">
        <f>SUMIFS('март 2024'!$G$4:$G$1612,'март 2024'!$D$4:$D$1612,$B101,'март 2024'!$J$4:$J$1612,AE$1)</f>
        <v>0</v>
      </c>
      <c r="AF101" s="80">
        <f>SUMIFS('март 2024'!$G$4:$G$1612,'март 2024'!$D$4:$D$1612,$B101,'март 2024'!$J$4:$J$1612,AF$1)</f>
        <v>0</v>
      </c>
      <c r="AG101" s="80">
        <f>SUMIFS('март 2024'!$G$4:$G$1612,'март 2024'!$D$4:$D$1612,$B101,'март 2024'!$J$4:$J$1612,AG$1)</f>
        <v>0</v>
      </c>
      <c r="AH101" s="80">
        <f>SUMIFS('март 2024'!$G$4:$G$1612,'март 2024'!$D$4:$D$1612,$B101,'март 2024'!$J$4:$J$1612,AH$1)</f>
        <v>0</v>
      </c>
      <c r="AI101" s="21">
        <f t="shared" si="1"/>
        <v>0</v>
      </c>
    </row>
    <row r="102" spans="2:35" ht="15" customHeight="1" x14ac:dyDescent="0.25">
      <c r="B102" s="93" t="s">
        <v>328</v>
      </c>
      <c r="C102" s="91">
        <v>50</v>
      </c>
      <c r="D102" s="80">
        <f>SUMIFS('март 2024'!$G$4:$G$1612,'март 2024'!$D$4:$D$1612,$B102,'март 2024'!$J$4:$J$1612,D$1)</f>
        <v>0</v>
      </c>
      <c r="E102" s="80">
        <f>SUMIFS('март 2024'!$G$4:$G$1612,'март 2024'!$D$4:$D$1612,$B102,'март 2024'!$J$4:$J$1612,E$1)</f>
        <v>0</v>
      </c>
      <c r="F102" s="80">
        <f>SUMIFS('март 2024'!$G$4:$G$1612,'март 2024'!$D$4:$D$1612,$B102,'март 2024'!$J$4:$J$1612,F$1)</f>
        <v>0</v>
      </c>
      <c r="G102" s="80">
        <f>SUMIFS('март 2024'!$G$4:$G$1612,'март 2024'!$D$4:$D$1612,$B102,'март 2024'!$J$4:$J$1612,G$1)</f>
        <v>0</v>
      </c>
      <c r="H102" s="80">
        <f>SUMIFS('март 2024'!$G$4:$G$1612,'март 2024'!$D$4:$D$1612,$B102,'март 2024'!$J$4:$J$1612,H$1)</f>
        <v>0</v>
      </c>
      <c r="I102" s="80">
        <f>SUMIFS('март 2024'!$G$4:$G$1612,'март 2024'!$D$4:$D$1612,$B102,'март 2024'!$J$4:$J$1612,I$1)</f>
        <v>0</v>
      </c>
      <c r="J102" s="80">
        <f>SUMIFS('март 2024'!$G$4:$G$1612,'март 2024'!$D$4:$D$1612,$B102,'март 2024'!$J$4:$J$1612,J$1)</f>
        <v>0</v>
      </c>
      <c r="K102" s="80">
        <f>SUMIFS('март 2024'!$G$4:$G$1612,'март 2024'!$D$4:$D$1612,$B102,'март 2024'!$J$4:$J$1612,K$1)</f>
        <v>0</v>
      </c>
      <c r="L102" s="80">
        <f>SUMIFS('март 2024'!$G$4:$G$1612,'март 2024'!$D$4:$D$1612,$B102,'март 2024'!$J$4:$J$1612,L$1)</f>
        <v>0</v>
      </c>
      <c r="M102" s="80">
        <f>SUMIFS('март 2024'!$G$4:$G$1612,'март 2024'!$D$4:$D$1612,$B102,'март 2024'!$J$4:$J$1612,M$1)</f>
        <v>0</v>
      </c>
      <c r="N102" s="80">
        <f>SUMIFS('март 2024'!$G$4:$G$1612,'март 2024'!$D$4:$D$1612,$B102,'март 2024'!$J$4:$J$1612,N$1)</f>
        <v>0</v>
      </c>
      <c r="O102" s="80">
        <f>SUMIFS('март 2024'!$G$4:$G$1612,'март 2024'!$D$4:$D$1612,$B102,'март 2024'!$J$4:$J$1612,O$1)</f>
        <v>0</v>
      </c>
      <c r="P102" s="80">
        <f>SUMIFS('март 2024'!$G$4:$G$1612,'март 2024'!$D$4:$D$1612,$B102,'март 2024'!$J$4:$J$1612,P$1)</f>
        <v>0</v>
      </c>
      <c r="Q102" s="80">
        <f>SUMIFS('март 2024'!$G$4:$G$1612,'март 2024'!$D$4:$D$1612,$B102,'март 2024'!$J$4:$J$1612,Q$1)</f>
        <v>0</v>
      </c>
      <c r="R102" s="80">
        <f>SUMIFS('март 2024'!$G$4:$G$1612,'март 2024'!$D$4:$D$1612,$B102,'март 2024'!$J$4:$J$1612,R$1)</f>
        <v>0</v>
      </c>
      <c r="S102" s="80">
        <f>SUMIFS('март 2024'!$G$4:$G$1612,'март 2024'!$D$4:$D$1612,$B102,'март 2024'!$J$4:$J$1612,S$1)</f>
        <v>0</v>
      </c>
      <c r="T102" s="80">
        <f>SUMIFS('март 2024'!$G$4:$G$1612,'март 2024'!$D$4:$D$1612,$B102,'март 2024'!$J$4:$J$1612,T$1)</f>
        <v>0</v>
      </c>
      <c r="U102" s="80">
        <f>SUMIFS('март 2024'!$G$4:$G$1612,'март 2024'!$D$4:$D$1612,$B102,'март 2024'!$J$4:$J$1612,U$1)</f>
        <v>0</v>
      </c>
      <c r="V102" s="80">
        <f>SUMIFS('март 2024'!$G$4:$G$1612,'март 2024'!$D$4:$D$1612,$B102,'март 2024'!$J$4:$J$1612,V$1)</f>
        <v>0</v>
      </c>
      <c r="W102" s="80">
        <f>SUMIFS('март 2024'!$G$4:$G$1612,'март 2024'!$D$4:$D$1612,$B102,'март 2024'!$J$4:$J$1612,W$1)</f>
        <v>0</v>
      </c>
      <c r="X102" s="80">
        <f>SUMIFS('март 2024'!$G$4:$G$1612,'март 2024'!$D$4:$D$1612,$B102,'март 2024'!$J$4:$J$1612,X$1)</f>
        <v>0</v>
      </c>
      <c r="Y102" s="80">
        <f>SUMIFS('март 2024'!$G$4:$G$1612,'март 2024'!$D$4:$D$1612,$B102,'март 2024'!$J$4:$J$1612,Y$1)</f>
        <v>0</v>
      </c>
      <c r="Z102" s="80">
        <f>SUMIFS('март 2024'!$G$4:$G$1612,'март 2024'!$D$4:$D$1612,$B102,'март 2024'!$J$4:$J$1612,Z$1)</f>
        <v>0</v>
      </c>
      <c r="AA102" s="80">
        <f>SUMIFS('март 2024'!$G$4:$G$1612,'март 2024'!$D$4:$D$1612,$B102,'март 2024'!$J$4:$J$1612,AA$1)</f>
        <v>0</v>
      </c>
      <c r="AB102" s="80">
        <f>SUMIFS('март 2024'!$G$4:$G$1612,'март 2024'!$D$4:$D$1612,$B102,'март 2024'!$J$4:$J$1612,AB$1)</f>
        <v>0</v>
      </c>
      <c r="AC102" s="80">
        <f>SUMIFS('март 2024'!$G$4:$G$1612,'март 2024'!$D$4:$D$1612,$B102,'март 2024'!$J$4:$J$1612,AC$1)</f>
        <v>0</v>
      </c>
      <c r="AD102" s="80">
        <f>SUMIFS('март 2024'!$G$4:$G$1612,'март 2024'!$D$4:$D$1612,$B102,'март 2024'!$J$4:$J$1612,AD$1)</f>
        <v>0</v>
      </c>
      <c r="AE102" s="80">
        <f>SUMIFS('март 2024'!$G$4:$G$1612,'март 2024'!$D$4:$D$1612,$B102,'март 2024'!$J$4:$J$1612,AE$1)</f>
        <v>0</v>
      </c>
      <c r="AF102" s="80">
        <f>SUMIFS('март 2024'!$G$4:$G$1612,'март 2024'!$D$4:$D$1612,$B102,'март 2024'!$J$4:$J$1612,AF$1)</f>
        <v>0</v>
      </c>
      <c r="AG102" s="80">
        <f>SUMIFS('март 2024'!$G$4:$G$1612,'март 2024'!$D$4:$D$1612,$B102,'март 2024'!$J$4:$J$1612,AG$1)</f>
        <v>0</v>
      </c>
      <c r="AH102" s="80">
        <f>SUMIFS('март 2024'!$G$4:$G$1612,'март 2024'!$D$4:$D$1612,$B102,'март 2024'!$J$4:$J$1612,AH$1)</f>
        <v>0</v>
      </c>
      <c r="AI102" s="21">
        <f t="shared" si="1"/>
        <v>0</v>
      </c>
    </row>
    <row r="103" spans="2:35" ht="15" customHeight="1" x14ac:dyDescent="0.25">
      <c r="B103" s="93" t="s">
        <v>195</v>
      </c>
      <c r="C103" s="91">
        <v>180</v>
      </c>
      <c r="D103" s="80">
        <f>SUMIFS('март 2024'!$G$4:$G$1612,'март 2024'!$D$4:$D$1612,$B103,'март 2024'!$J$4:$J$1612,D$1)</f>
        <v>0</v>
      </c>
      <c r="E103" s="80">
        <f>SUMIFS('март 2024'!$G$4:$G$1612,'март 2024'!$D$4:$D$1612,$B103,'март 2024'!$J$4:$J$1612,E$1)</f>
        <v>0</v>
      </c>
      <c r="F103" s="80">
        <f>SUMIFS('март 2024'!$G$4:$G$1612,'март 2024'!$D$4:$D$1612,$B103,'март 2024'!$J$4:$J$1612,F$1)</f>
        <v>0</v>
      </c>
      <c r="G103" s="80">
        <f>SUMIFS('март 2024'!$G$4:$G$1612,'март 2024'!$D$4:$D$1612,$B103,'март 2024'!$J$4:$J$1612,G$1)</f>
        <v>0</v>
      </c>
      <c r="H103" s="80">
        <f>SUMIFS('март 2024'!$G$4:$G$1612,'март 2024'!$D$4:$D$1612,$B103,'март 2024'!$J$4:$J$1612,H$1)</f>
        <v>0</v>
      </c>
      <c r="I103" s="80">
        <f>SUMIFS('март 2024'!$G$4:$G$1612,'март 2024'!$D$4:$D$1612,$B103,'март 2024'!$J$4:$J$1612,I$1)</f>
        <v>0</v>
      </c>
      <c r="J103" s="80">
        <f>SUMIFS('март 2024'!$G$4:$G$1612,'март 2024'!$D$4:$D$1612,$B103,'март 2024'!$J$4:$J$1612,J$1)</f>
        <v>0</v>
      </c>
      <c r="K103" s="80">
        <f>SUMIFS('март 2024'!$G$4:$G$1612,'март 2024'!$D$4:$D$1612,$B103,'март 2024'!$J$4:$J$1612,K$1)</f>
        <v>0</v>
      </c>
      <c r="L103" s="80">
        <f>SUMIFS('март 2024'!$G$4:$G$1612,'март 2024'!$D$4:$D$1612,$B103,'март 2024'!$J$4:$J$1612,L$1)</f>
        <v>0</v>
      </c>
      <c r="M103" s="80">
        <f>SUMIFS('март 2024'!$G$4:$G$1612,'март 2024'!$D$4:$D$1612,$B103,'март 2024'!$J$4:$J$1612,M$1)</f>
        <v>0</v>
      </c>
      <c r="N103" s="80">
        <f>SUMIFS('март 2024'!$G$4:$G$1612,'март 2024'!$D$4:$D$1612,$B103,'март 2024'!$J$4:$J$1612,N$1)</f>
        <v>0</v>
      </c>
      <c r="O103" s="80">
        <f>SUMIFS('март 2024'!$G$4:$G$1612,'март 2024'!$D$4:$D$1612,$B103,'март 2024'!$J$4:$J$1612,O$1)</f>
        <v>0</v>
      </c>
      <c r="P103" s="80">
        <f>SUMIFS('март 2024'!$G$4:$G$1612,'март 2024'!$D$4:$D$1612,$B103,'март 2024'!$J$4:$J$1612,P$1)</f>
        <v>0</v>
      </c>
      <c r="Q103" s="80">
        <f>SUMIFS('март 2024'!$G$4:$G$1612,'март 2024'!$D$4:$D$1612,$B103,'март 2024'!$J$4:$J$1612,Q$1)</f>
        <v>0</v>
      </c>
      <c r="R103" s="80">
        <f>SUMIFS('март 2024'!$G$4:$G$1612,'март 2024'!$D$4:$D$1612,$B103,'март 2024'!$J$4:$J$1612,R$1)</f>
        <v>0</v>
      </c>
      <c r="S103" s="80">
        <f>SUMIFS('март 2024'!$G$4:$G$1612,'март 2024'!$D$4:$D$1612,$B103,'март 2024'!$J$4:$J$1612,S$1)</f>
        <v>0</v>
      </c>
      <c r="T103" s="80">
        <f>SUMIFS('март 2024'!$G$4:$G$1612,'март 2024'!$D$4:$D$1612,$B103,'март 2024'!$J$4:$J$1612,T$1)</f>
        <v>0</v>
      </c>
      <c r="U103" s="80">
        <f>SUMIFS('март 2024'!$G$4:$G$1612,'март 2024'!$D$4:$D$1612,$B103,'март 2024'!$J$4:$J$1612,U$1)</f>
        <v>0</v>
      </c>
      <c r="V103" s="80">
        <f>SUMIFS('март 2024'!$G$4:$G$1612,'март 2024'!$D$4:$D$1612,$B103,'март 2024'!$J$4:$J$1612,V$1)</f>
        <v>0</v>
      </c>
      <c r="W103" s="80">
        <f>SUMIFS('март 2024'!$G$4:$G$1612,'март 2024'!$D$4:$D$1612,$B103,'март 2024'!$J$4:$J$1612,W$1)</f>
        <v>0</v>
      </c>
      <c r="X103" s="80">
        <f>SUMIFS('март 2024'!$G$4:$G$1612,'март 2024'!$D$4:$D$1612,$B103,'март 2024'!$J$4:$J$1612,X$1)</f>
        <v>0</v>
      </c>
      <c r="Y103" s="80">
        <f>SUMIFS('март 2024'!$G$4:$G$1612,'март 2024'!$D$4:$D$1612,$B103,'март 2024'!$J$4:$J$1612,Y$1)</f>
        <v>0</v>
      </c>
      <c r="Z103" s="80">
        <f>SUMIFS('март 2024'!$G$4:$G$1612,'март 2024'!$D$4:$D$1612,$B103,'март 2024'!$J$4:$J$1612,Z$1)</f>
        <v>0</v>
      </c>
      <c r="AA103" s="80">
        <f>SUMIFS('март 2024'!$G$4:$G$1612,'март 2024'!$D$4:$D$1612,$B103,'март 2024'!$J$4:$J$1612,AA$1)</f>
        <v>0</v>
      </c>
      <c r="AB103" s="80">
        <f>SUMIFS('март 2024'!$G$4:$G$1612,'март 2024'!$D$4:$D$1612,$B103,'март 2024'!$J$4:$J$1612,AB$1)</f>
        <v>0</v>
      </c>
      <c r="AC103" s="80">
        <f>SUMIFS('март 2024'!$G$4:$G$1612,'март 2024'!$D$4:$D$1612,$B103,'март 2024'!$J$4:$J$1612,AC$1)</f>
        <v>0</v>
      </c>
      <c r="AD103" s="80">
        <f>SUMIFS('март 2024'!$G$4:$G$1612,'март 2024'!$D$4:$D$1612,$B103,'март 2024'!$J$4:$J$1612,AD$1)</f>
        <v>0</v>
      </c>
      <c r="AE103" s="80">
        <f>SUMIFS('март 2024'!$G$4:$G$1612,'март 2024'!$D$4:$D$1612,$B103,'март 2024'!$J$4:$J$1612,AE$1)</f>
        <v>0</v>
      </c>
      <c r="AF103" s="80">
        <f>SUMIFS('март 2024'!$G$4:$G$1612,'март 2024'!$D$4:$D$1612,$B103,'март 2024'!$J$4:$J$1612,AF$1)</f>
        <v>0</v>
      </c>
      <c r="AG103" s="80">
        <f>SUMIFS('март 2024'!$G$4:$G$1612,'март 2024'!$D$4:$D$1612,$B103,'март 2024'!$J$4:$J$1612,AG$1)</f>
        <v>0</v>
      </c>
      <c r="AH103" s="80">
        <f>SUMIFS('март 2024'!$G$4:$G$1612,'март 2024'!$D$4:$D$1612,$B103,'март 2024'!$J$4:$J$1612,AH$1)</f>
        <v>0</v>
      </c>
      <c r="AI103" s="21">
        <f t="shared" si="1"/>
        <v>0</v>
      </c>
    </row>
    <row r="104" spans="2:35" ht="15" customHeight="1" x14ac:dyDescent="0.25">
      <c r="B104" s="93" t="s">
        <v>214</v>
      </c>
      <c r="C104" s="91">
        <v>185</v>
      </c>
      <c r="D104" s="80">
        <f>SUMIFS('март 2024'!$G$4:$G$1612,'март 2024'!$D$4:$D$1612,$B104,'март 2024'!$J$4:$J$1612,D$1)</f>
        <v>0</v>
      </c>
      <c r="E104" s="80">
        <f>SUMIFS('март 2024'!$G$4:$G$1612,'март 2024'!$D$4:$D$1612,$B104,'март 2024'!$J$4:$J$1612,E$1)</f>
        <v>0</v>
      </c>
      <c r="F104" s="80">
        <f>SUMIFS('март 2024'!$G$4:$G$1612,'март 2024'!$D$4:$D$1612,$B104,'март 2024'!$J$4:$J$1612,F$1)</f>
        <v>0</v>
      </c>
      <c r="G104" s="80">
        <f>SUMIFS('март 2024'!$G$4:$G$1612,'март 2024'!$D$4:$D$1612,$B104,'март 2024'!$J$4:$J$1612,G$1)</f>
        <v>0</v>
      </c>
      <c r="H104" s="80">
        <f>SUMIFS('март 2024'!$G$4:$G$1612,'март 2024'!$D$4:$D$1612,$B104,'март 2024'!$J$4:$J$1612,H$1)</f>
        <v>0</v>
      </c>
      <c r="I104" s="80">
        <f>SUMIFS('март 2024'!$G$4:$G$1612,'март 2024'!$D$4:$D$1612,$B104,'март 2024'!$J$4:$J$1612,I$1)</f>
        <v>0</v>
      </c>
      <c r="J104" s="80">
        <f>SUMIFS('март 2024'!$G$4:$G$1612,'март 2024'!$D$4:$D$1612,$B104,'март 2024'!$J$4:$J$1612,J$1)</f>
        <v>0</v>
      </c>
      <c r="K104" s="80">
        <f>SUMIFS('март 2024'!$G$4:$G$1612,'март 2024'!$D$4:$D$1612,$B104,'март 2024'!$J$4:$J$1612,K$1)</f>
        <v>0</v>
      </c>
      <c r="L104" s="80">
        <f>SUMIFS('март 2024'!$G$4:$G$1612,'март 2024'!$D$4:$D$1612,$B104,'март 2024'!$J$4:$J$1612,L$1)</f>
        <v>0</v>
      </c>
      <c r="M104" s="80">
        <f>SUMIFS('март 2024'!$G$4:$G$1612,'март 2024'!$D$4:$D$1612,$B104,'март 2024'!$J$4:$J$1612,M$1)</f>
        <v>0</v>
      </c>
      <c r="N104" s="80">
        <f>SUMIFS('март 2024'!$G$4:$G$1612,'март 2024'!$D$4:$D$1612,$B104,'март 2024'!$J$4:$J$1612,N$1)</f>
        <v>0</v>
      </c>
      <c r="O104" s="80">
        <f>SUMIFS('март 2024'!$G$4:$G$1612,'март 2024'!$D$4:$D$1612,$B104,'март 2024'!$J$4:$J$1612,O$1)</f>
        <v>0</v>
      </c>
      <c r="P104" s="80">
        <f>SUMIFS('март 2024'!$G$4:$G$1612,'март 2024'!$D$4:$D$1612,$B104,'март 2024'!$J$4:$J$1612,P$1)</f>
        <v>0</v>
      </c>
      <c r="Q104" s="80">
        <f>SUMIFS('март 2024'!$G$4:$G$1612,'март 2024'!$D$4:$D$1612,$B104,'март 2024'!$J$4:$J$1612,Q$1)</f>
        <v>0</v>
      </c>
      <c r="R104" s="80">
        <f>SUMIFS('март 2024'!$G$4:$G$1612,'март 2024'!$D$4:$D$1612,$B104,'март 2024'!$J$4:$J$1612,R$1)</f>
        <v>0</v>
      </c>
      <c r="S104" s="80">
        <f>SUMIFS('март 2024'!$G$4:$G$1612,'март 2024'!$D$4:$D$1612,$B104,'март 2024'!$J$4:$J$1612,S$1)</f>
        <v>0</v>
      </c>
      <c r="T104" s="80">
        <f>SUMIFS('март 2024'!$G$4:$G$1612,'март 2024'!$D$4:$D$1612,$B104,'март 2024'!$J$4:$J$1612,T$1)</f>
        <v>0</v>
      </c>
      <c r="U104" s="80">
        <f>SUMIFS('март 2024'!$G$4:$G$1612,'март 2024'!$D$4:$D$1612,$B104,'март 2024'!$J$4:$J$1612,U$1)</f>
        <v>0</v>
      </c>
      <c r="V104" s="80">
        <f>SUMIFS('март 2024'!$G$4:$G$1612,'март 2024'!$D$4:$D$1612,$B104,'март 2024'!$J$4:$J$1612,V$1)</f>
        <v>0</v>
      </c>
      <c r="W104" s="80">
        <f>SUMIFS('март 2024'!$G$4:$G$1612,'март 2024'!$D$4:$D$1612,$B104,'март 2024'!$J$4:$J$1612,W$1)</f>
        <v>0</v>
      </c>
      <c r="X104" s="80">
        <f>SUMIFS('март 2024'!$G$4:$G$1612,'март 2024'!$D$4:$D$1612,$B104,'март 2024'!$J$4:$J$1612,X$1)</f>
        <v>0</v>
      </c>
      <c r="Y104" s="80">
        <f>SUMIFS('март 2024'!$G$4:$G$1612,'март 2024'!$D$4:$D$1612,$B104,'март 2024'!$J$4:$J$1612,Y$1)</f>
        <v>0</v>
      </c>
      <c r="Z104" s="80">
        <f>SUMIFS('март 2024'!$G$4:$G$1612,'март 2024'!$D$4:$D$1612,$B104,'март 2024'!$J$4:$J$1612,Z$1)</f>
        <v>0</v>
      </c>
      <c r="AA104" s="80">
        <f>SUMIFS('март 2024'!$G$4:$G$1612,'март 2024'!$D$4:$D$1612,$B104,'март 2024'!$J$4:$J$1612,AA$1)</f>
        <v>0</v>
      </c>
      <c r="AB104" s="80">
        <f>SUMIFS('март 2024'!$G$4:$G$1612,'март 2024'!$D$4:$D$1612,$B104,'март 2024'!$J$4:$J$1612,AB$1)</f>
        <v>0</v>
      </c>
      <c r="AC104" s="80">
        <f>SUMIFS('март 2024'!$G$4:$G$1612,'март 2024'!$D$4:$D$1612,$B104,'март 2024'!$J$4:$J$1612,AC$1)</f>
        <v>0</v>
      </c>
      <c r="AD104" s="80">
        <f>SUMIFS('март 2024'!$G$4:$G$1612,'март 2024'!$D$4:$D$1612,$B104,'март 2024'!$J$4:$J$1612,AD$1)</f>
        <v>0</v>
      </c>
      <c r="AE104" s="80">
        <f>SUMIFS('март 2024'!$G$4:$G$1612,'март 2024'!$D$4:$D$1612,$B104,'март 2024'!$J$4:$J$1612,AE$1)</f>
        <v>0</v>
      </c>
      <c r="AF104" s="80">
        <f>SUMIFS('март 2024'!$G$4:$G$1612,'март 2024'!$D$4:$D$1612,$B104,'март 2024'!$J$4:$J$1612,AF$1)</f>
        <v>20</v>
      </c>
      <c r="AG104" s="80">
        <f>SUMIFS('март 2024'!$G$4:$G$1612,'март 2024'!$D$4:$D$1612,$B104,'март 2024'!$J$4:$J$1612,AG$1)</f>
        <v>0</v>
      </c>
      <c r="AH104" s="80">
        <f>SUMIFS('март 2024'!$G$4:$G$1612,'март 2024'!$D$4:$D$1612,$B104,'март 2024'!$J$4:$J$1612,AH$1)</f>
        <v>0</v>
      </c>
      <c r="AI104" s="21">
        <f t="shared" si="1"/>
        <v>20</v>
      </c>
    </row>
    <row r="105" spans="2:35" ht="15" customHeight="1" x14ac:dyDescent="0.25">
      <c r="B105" s="93" t="s">
        <v>329</v>
      </c>
      <c r="C105" s="91">
        <v>180</v>
      </c>
      <c r="D105" s="80">
        <f>SUMIFS('март 2024'!$G$4:$G$1612,'март 2024'!$D$4:$D$1612,$B105,'март 2024'!$J$4:$J$1612,D$1)</f>
        <v>0</v>
      </c>
      <c r="E105" s="80">
        <f>SUMIFS('март 2024'!$G$4:$G$1612,'март 2024'!$D$4:$D$1612,$B105,'март 2024'!$J$4:$J$1612,E$1)</f>
        <v>0</v>
      </c>
      <c r="F105" s="80">
        <f>SUMIFS('март 2024'!$G$4:$G$1612,'март 2024'!$D$4:$D$1612,$B105,'март 2024'!$J$4:$J$1612,F$1)</f>
        <v>0</v>
      </c>
      <c r="G105" s="80">
        <f>SUMIFS('март 2024'!$G$4:$G$1612,'март 2024'!$D$4:$D$1612,$B105,'март 2024'!$J$4:$J$1612,G$1)</f>
        <v>0</v>
      </c>
      <c r="H105" s="80">
        <f>SUMIFS('март 2024'!$G$4:$G$1612,'март 2024'!$D$4:$D$1612,$B105,'март 2024'!$J$4:$J$1612,H$1)</f>
        <v>0</v>
      </c>
      <c r="I105" s="80">
        <f>SUMIFS('март 2024'!$G$4:$G$1612,'март 2024'!$D$4:$D$1612,$B105,'март 2024'!$J$4:$J$1612,I$1)</f>
        <v>0</v>
      </c>
      <c r="J105" s="80">
        <f>SUMIFS('март 2024'!$G$4:$G$1612,'март 2024'!$D$4:$D$1612,$B105,'март 2024'!$J$4:$J$1612,J$1)</f>
        <v>0</v>
      </c>
      <c r="K105" s="80">
        <f>SUMIFS('март 2024'!$G$4:$G$1612,'март 2024'!$D$4:$D$1612,$B105,'март 2024'!$J$4:$J$1612,K$1)</f>
        <v>0</v>
      </c>
      <c r="L105" s="80">
        <f>SUMIFS('март 2024'!$G$4:$G$1612,'март 2024'!$D$4:$D$1612,$B105,'март 2024'!$J$4:$J$1612,L$1)</f>
        <v>0</v>
      </c>
      <c r="M105" s="80">
        <f>SUMIFS('март 2024'!$G$4:$G$1612,'март 2024'!$D$4:$D$1612,$B105,'март 2024'!$J$4:$J$1612,M$1)</f>
        <v>0</v>
      </c>
      <c r="N105" s="80">
        <f>SUMIFS('март 2024'!$G$4:$G$1612,'март 2024'!$D$4:$D$1612,$B105,'март 2024'!$J$4:$J$1612,N$1)</f>
        <v>0</v>
      </c>
      <c r="O105" s="80">
        <f>SUMIFS('март 2024'!$G$4:$G$1612,'март 2024'!$D$4:$D$1612,$B105,'март 2024'!$J$4:$J$1612,O$1)</f>
        <v>0</v>
      </c>
      <c r="P105" s="80">
        <f>SUMIFS('март 2024'!$G$4:$G$1612,'март 2024'!$D$4:$D$1612,$B105,'март 2024'!$J$4:$J$1612,P$1)</f>
        <v>0</v>
      </c>
      <c r="Q105" s="80">
        <f>SUMIFS('март 2024'!$G$4:$G$1612,'март 2024'!$D$4:$D$1612,$B105,'март 2024'!$J$4:$J$1612,Q$1)</f>
        <v>0</v>
      </c>
      <c r="R105" s="80">
        <f>SUMIFS('март 2024'!$G$4:$G$1612,'март 2024'!$D$4:$D$1612,$B105,'март 2024'!$J$4:$J$1612,R$1)</f>
        <v>0</v>
      </c>
      <c r="S105" s="80">
        <f>SUMIFS('март 2024'!$G$4:$G$1612,'март 2024'!$D$4:$D$1612,$B105,'март 2024'!$J$4:$J$1612,S$1)</f>
        <v>0</v>
      </c>
      <c r="T105" s="80">
        <f>SUMIFS('март 2024'!$G$4:$G$1612,'март 2024'!$D$4:$D$1612,$B105,'март 2024'!$J$4:$J$1612,T$1)</f>
        <v>0</v>
      </c>
      <c r="U105" s="80">
        <f>SUMIFS('март 2024'!$G$4:$G$1612,'март 2024'!$D$4:$D$1612,$B105,'март 2024'!$J$4:$J$1612,U$1)</f>
        <v>0</v>
      </c>
      <c r="V105" s="80">
        <f>SUMIFS('март 2024'!$G$4:$G$1612,'март 2024'!$D$4:$D$1612,$B105,'март 2024'!$J$4:$J$1612,V$1)</f>
        <v>0</v>
      </c>
      <c r="W105" s="80">
        <f>SUMIFS('март 2024'!$G$4:$G$1612,'март 2024'!$D$4:$D$1612,$B105,'март 2024'!$J$4:$J$1612,W$1)</f>
        <v>0</v>
      </c>
      <c r="X105" s="80">
        <f>SUMIFS('март 2024'!$G$4:$G$1612,'март 2024'!$D$4:$D$1612,$B105,'март 2024'!$J$4:$J$1612,X$1)</f>
        <v>0</v>
      </c>
      <c r="Y105" s="80">
        <f>SUMIFS('март 2024'!$G$4:$G$1612,'март 2024'!$D$4:$D$1612,$B105,'март 2024'!$J$4:$J$1612,Y$1)</f>
        <v>0</v>
      </c>
      <c r="Z105" s="80">
        <f>SUMIFS('март 2024'!$G$4:$G$1612,'март 2024'!$D$4:$D$1612,$B105,'март 2024'!$J$4:$J$1612,Z$1)</f>
        <v>0</v>
      </c>
      <c r="AA105" s="80">
        <f>SUMIFS('март 2024'!$G$4:$G$1612,'март 2024'!$D$4:$D$1612,$B105,'март 2024'!$J$4:$J$1612,AA$1)</f>
        <v>0</v>
      </c>
      <c r="AB105" s="80">
        <f>SUMIFS('март 2024'!$G$4:$G$1612,'март 2024'!$D$4:$D$1612,$B105,'март 2024'!$J$4:$J$1612,AB$1)</f>
        <v>0</v>
      </c>
      <c r="AC105" s="80">
        <f>SUMIFS('март 2024'!$G$4:$G$1612,'март 2024'!$D$4:$D$1612,$B105,'март 2024'!$J$4:$J$1612,AC$1)</f>
        <v>0</v>
      </c>
      <c r="AD105" s="80">
        <f>SUMIFS('март 2024'!$G$4:$G$1612,'март 2024'!$D$4:$D$1612,$B105,'март 2024'!$J$4:$J$1612,AD$1)</f>
        <v>0</v>
      </c>
      <c r="AE105" s="80">
        <f>SUMIFS('март 2024'!$G$4:$G$1612,'март 2024'!$D$4:$D$1612,$B105,'март 2024'!$J$4:$J$1612,AE$1)</f>
        <v>0</v>
      </c>
      <c r="AF105" s="80">
        <f>SUMIFS('март 2024'!$G$4:$G$1612,'март 2024'!$D$4:$D$1612,$B105,'март 2024'!$J$4:$J$1612,AF$1)</f>
        <v>0</v>
      </c>
      <c r="AG105" s="80">
        <f>SUMIFS('март 2024'!$G$4:$G$1612,'март 2024'!$D$4:$D$1612,$B105,'март 2024'!$J$4:$J$1612,AG$1)</f>
        <v>0</v>
      </c>
      <c r="AH105" s="80">
        <f>SUMIFS('март 2024'!$G$4:$G$1612,'март 2024'!$D$4:$D$1612,$B105,'март 2024'!$J$4:$J$1612,AH$1)</f>
        <v>0</v>
      </c>
      <c r="AI105" s="21">
        <f t="shared" si="1"/>
        <v>0</v>
      </c>
    </row>
    <row r="106" spans="2:35" ht="15" customHeight="1" x14ac:dyDescent="0.25">
      <c r="B106" s="93" t="s">
        <v>344</v>
      </c>
      <c r="C106" s="91">
        <v>185</v>
      </c>
      <c r="D106" s="80">
        <f>SUMIFS('март 2024'!$G$4:$G$1612,'март 2024'!$D$4:$D$1612,$B106,'март 2024'!$J$4:$J$1612,D$1)</f>
        <v>0</v>
      </c>
      <c r="E106" s="80">
        <f>SUMIFS('март 2024'!$G$4:$G$1612,'март 2024'!$D$4:$D$1612,$B106,'март 2024'!$J$4:$J$1612,E$1)</f>
        <v>0</v>
      </c>
      <c r="F106" s="80">
        <f>SUMIFS('март 2024'!$G$4:$G$1612,'март 2024'!$D$4:$D$1612,$B106,'март 2024'!$J$4:$J$1612,F$1)</f>
        <v>0</v>
      </c>
      <c r="G106" s="80">
        <f>SUMIFS('март 2024'!$G$4:$G$1612,'март 2024'!$D$4:$D$1612,$B106,'март 2024'!$J$4:$J$1612,G$1)</f>
        <v>0</v>
      </c>
      <c r="H106" s="80">
        <f>SUMIFS('март 2024'!$G$4:$G$1612,'март 2024'!$D$4:$D$1612,$B106,'март 2024'!$J$4:$J$1612,H$1)</f>
        <v>0</v>
      </c>
      <c r="I106" s="80">
        <f>SUMIFS('март 2024'!$G$4:$G$1612,'март 2024'!$D$4:$D$1612,$B106,'март 2024'!$J$4:$J$1612,I$1)</f>
        <v>0</v>
      </c>
      <c r="J106" s="80">
        <f>SUMIFS('март 2024'!$G$4:$G$1612,'март 2024'!$D$4:$D$1612,$B106,'март 2024'!$J$4:$J$1612,J$1)</f>
        <v>0</v>
      </c>
      <c r="K106" s="80">
        <f>SUMIFS('март 2024'!$G$4:$G$1612,'март 2024'!$D$4:$D$1612,$B106,'март 2024'!$J$4:$J$1612,K$1)</f>
        <v>0</v>
      </c>
      <c r="L106" s="80">
        <f>SUMIFS('март 2024'!$G$4:$G$1612,'март 2024'!$D$4:$D$1612,$B106,'март 2024'!$J$4:$J$1612,L$1)</f>
        <v>0</v>
      </c>
      <c r="M106" s="80">
        <f>SUMIFS('март 2024'!$G$4:$G$1612,'март 2024'!$D$4:$D$1612,$B106,'март 2024'!$J$4:$J$1612,M$1)</f>
        <v>0</v>
      </c>
      <c r="N106" s="80">
        <f>SUMIFS('март 2024'!$G$4:$G$1612,'март 2024'!$D$4:$D$1612,$B106,'март 2024'!$J$4:$J$1612,N$1)</f>
        <v>0</v>
      </c>
      <c r="O106" s="80">
        <f>SUMIFS('март 2024'!$G$4:$G$1612,'март 2024'!$D$4:$D$1612,$B106,'март 2024'!$J$4:$J$1612,O$1)</f>
        <v>0</v>
      </c>
      <c r="P106" s="80">
        <f>SUMIFS('март 2024'!$G$4:$G$1612,'март 2024'!$D$4:$D$1612,$B106,'март 2024'!$J$4:$J$1612,P$1)</f>
        <v>0</v>
      </c>
      <c r="Q106" s="80">
        <f>SUMIFS('март 2024'!$G$4:$G$1612,'март 2024'!$D$4:$D$1612,$B106,'март 2024'!$J$4:$J$1612,Q$1)</f>
        <v>0</v>
      </c>
      <c r="R106" s="80">
        <f>SUMIFS('март 2024'!$G$4:$G$1612,'март 2024'!$D$4:$D$1612,$B106,'март 2024'!$J$4:$J$1612,R$1)</f>
        <v>0</v>
      </c>
      <c r="S106" s="80">
        <f>SUMIFS('март 2024'!$G$4:$G$1612,'март 2024'!$D$4:$D$1612,$B106,'март 2024'!$J$4:$J$1612,S$1)</f>
        <v>0</v>
      </c>
      <c r="T106" s="80">
        <f>SUMIFS('март 2024'!$G$4:$G$1612,'март 2024'!$D$4:$D$1612,$B106,'март 2024'!$J$4:$J$1612,T$1)</f>
        <v>0</v>
      </c>
      <c r="U106" s="80">
        <f>SUMIFS('март 2024'!$G$4:$G$1612,'март 2024'!$D$4:$D$1612,$B106,'март 2024'!$J$4:$J$1612,U$1)</f>
        <v>0</v>
      </c>
      <c r="V106" s="80">
        <f>SUMIFS('март 2024'!$G$4:$G$1612,'март 2024'!$D$4:$D$1612,$B106,'март 2024'!$J$4:$J$1612,V$1)</f>
        <v>0</v>
      </c>
      <c r="W106" s="80">
        <f>SUMIFS('март 2024'!$G$4:$G$1612,'март 2024'!$D$4:$D$1612,$B106,'март 2024'!$J$4:$J$1612,W$1)</f>
        <v>0</v>
      </c>
      <c r="X106" s="80">
        <f>SUMIFS('март 2024'!$G$4:$G$1612,'март 2024'!$D$4:$D$1612,$B106,'март 2024'!$J$4:$J$1612,X$1)</f>
        <v>0</v>
      </c>
      <c r="Y106" s="80">
        <f>SUMIFS('март 2024'!$G$4:$G$1612,'март 2024'!$D$4:$D$1612,$B106,'март 2024'!$J$4:$J$1612,Y$1)</f>
        <v>0</v>
      </c>
      <c r="Z106" s="80">
        <f>SUMIFS('март 2024'!$G$4:$G$1612,'март 2024'!$D$4:$D$1612,$B106,'март 2024'!$J$4:$J$1612,Z$1)</f>
        <v>0</v>
      </c>
      <c r="AA106" s="80">
        <f>SUMIFS('март 2024'!$G$4:$G$1612,'март 2024'!$D$4:$D$1612,$B106,'март 2024'!$J$4:$J$1612,AA$1)</f>
        <v>0</v>
      </c>
      <c r="AB106" s="80">
        <f>SUMIFS('март 2024'!$G$4:$G$1612,'март 2024'!$D$4:$D$1612,$B106,'март 2024'!$J$4:$J$1612,AB$1)</f>
        <v>0</v>
      </c>
      <c r="AC106" s="80">
        <f>SUMIFS('март 2024'!$G$4:$G$1612,'март 2024'!$D$4:$D$1612,$B106,'март 2024'!$J$4:$J$1612,AC$1)</f>
        <v>0</v>
      </c>
      <c r="AD106" s="80">
        <f>SUMIFS('март 2024'!$G$4:$G$1612,'март 2024'!$D$4:$D$1612,$B106,'март 2024'!$J$4:$J$1612,AD$1)</f>
        <v>0</v>
      </c>
      <c r="AE106" s="80">
        <f>SUMIFS('март 2024'!$G$4:$G$1612,'март 2024'!$D$4:$D$1612,$B106,'март 2024'!$J$4:$J$1612,AE$1)</f>
        <v>0</v>
      </c>
      <c r="AF106" s="80">
        <f>SUMIFS('март 2024'!$G$4:$G$1612,'март 2024'!$D$4:$D$1612,$B106,'март 2024'!$J$4:$J$1612,AF$1)</f>
        <v>0</v>
      </c>
      <c r="AG106" s="80">
        <f>SUMIFS('март 2024'!$G$4:$G$1612,'март 2024'!$D$4:$D$1612,$B106,'март 2024'!$J$4:$J$1612,AG$1)</f>
        <v>0</v>
      </c>
      <c r="AH106" s="80">
        <f>SUMIFS('март 2024'!$G$4:$G$1612,'март 2024'!$D$4:$D$1612,$B106,'март 2024'!$J$4:$J$1612,AH$1)</f>
        <v>0</v>
      </c>
      <c r="AI106" s="21">
        <f t="shared" si="1"/>
        <v>0</v>
      </c>
    </row>
    <row r="107" spans="2:35" ht="15" customHeight="1" x14ac:dyDescent="0.25">
      <c r="B107" s="93" t="s">
        <v>400</v>
      </c>
      <c r="C107" s="91">
        <v>185</v>
      </c>
      <c r="D107" s="80">
        <f>SUMIFS('март 2024'!$G$4:$G$1612,'март 2024'!$D$4:$D$1612,$B107,'март 2024'!$J$4:$J$1612,D$1)</f>
        <v>0</v>
      </c>
      <c r="E107" s="80">
        <f>SUMIFS('март 2024'!$G$4:$G$1612,'март 2024'!$D$4:$D$1612,$B107,'март 2024'!$J$4:$J$1612,E$1)</f>
        <v>0</v>
      </c>
      <c r="F107" s="80">
        <f>SUMIFS('март 2024'!$G$4:$G$1612,'март 2024'!$D$4:$D$1612,$B107,'март 2024'!$J$4:$J$1612,F$1)</f>
        <v>0</v>
      </c>
      <c r="G107" s="80">
        <f>SUMIFS('март 2024'!$G$4:$G$1612,'март 2024'!$D$4:$D$1612,$B107,'март 2024'!$J$4:$J$1612,G$1)</f>
        <v>0</v>
      </c>
      <c r="H107" s="80">
        <f>SUMIFS('март 2024'!$G$4:$G$1612,'март 2024'!$D$4:$D$1612,$B107,'март 2024'!$J$4:$J$1612,H$1)</f>
        <v>0</v>
      </c>
      <c r="I107" s="80">
        <f>SUMIFS('март 2024'!$G$4:$G$1612,'март 2024'!$D$4:$D$1612,$B107,'март 2024'!$J$4:$J$1612,I$1)</f>
        <v>0</v>
      </c>
      <c r="J107" s="80">
        <f>SUMIFS('март 2024'!$G$4:$G$1612,'март 2024'!$D$4:$D$1612,$B107,'март 2024'!$J$4:$J$1612,J$1)</f>
        <v>0</v>
      </c>
      <c r="K107" s="80">
        <f>SUMIFS('март 2024'!$G$4:$G$1612,'март 2024'!$D$4:$D$1612,$B107,'март 2024'!$J$4:$J$1612,K$1)</f>
        <v>0</v>
      </c>
      <c r="L107" s="80">
        <f>SUMIFS('март 2024'!$G$4:$G$1612,'март 2024'!$D$4:$D$1612,$B107,'март 2024'!$J$4:$J$1612,L$1)</f>
        <v>0</v>
      </c>
      <c r="M107" s="80">
        <f>SUMIFS('март 2024'!$G$4:$G$1612,'март 2024'!$D$4:$D$1612,$B107,'март 2024'!$J$4:$J$1612,M$1)</f>
        <v>0</v>
      </c>
      <c r="N107" s="80">
        <f>SUMIFS('март 2024'!$G$4:$G$1612,'март 2024'!$D$4:$D$1612,$B107,'март 2024'!$J$4:$J$1612,N$1)</f>
        <v>0</v>
      </c>
      <c r="O107" s="80">
        <f>SUMIFS('март 2024'!$G$4:$G$1612,'март 2024'!$D$4:$D$1612,$B107,'март 2024'!$J$4:$J$1612,O$1)</f>
        <v>0</v>
      </c>
      <c r="P107" s="80">
        <f>SUMIFS('март 2024'!$G$4:$G$1612,'март 2024'!$D$4:$D$1612,$B107,'март 2024'!$J$4:$J$1612,P$1)</f>
        <v>0</v>
      </c>
      <c r="Q107" s="80">
        <f>SUMIFS('март 2024'!$G$4:$G$1612,'март 2024'!$D$4:$D$1612,$B107,'март 2024'!$J$4:$J$1612,Q$1)</f>
        <v>0</v>
      </c>
      <c r="R107" s="80">
        <f>SUMIFS('март 2024'!$G$4:$G$1612,'март 2024'!$D$4:$D$1612,$B107,'март 2024'!$J$4:$J$1612,R$1)</f>
        <v>0</v>
      </c>
      <c r="S107" s="80">
        <f>SUMIFS('март 2024'!$G$4:$G$1612,'март 2024'!$D$4:$D$1612,$B107,'март 2024'!$J$4:$J$1612,S$1)</f>
        <v>0</v>
      </c>
      <c r="T107" s="80">
        <f>SUMIFS('март 2024'!$G$4:$G$1612,'март 2024'!$D$4:$D$1612,$B107,'март 2024'!$J$4:$J$1612,T$1)</f>
        <v>0</v>
      </c>
      <c r="U107" s="80">
        <f>SUMIFS('март 2024'!$G$4:$G$1612,'март 2024'!$D$4:$D$1612,$B107,'март 2024'!$J$4:$J$1612,U$1)</f>
        <v>0</v>
      </c>
      <c r="V107" s="80">
        <f>SUMIFS('март 2024'!$G$4:$G$1612,'март 2024'!$D$4:$D$1612,$B107,'март 2024'!$J$4:$J$1612,V$1)</f>
        <v>0</v>
      </c>
      <c r="W107" s="80">
        <f>SUMIFS('март 2024'!$G$4:$G$1612,'март 2024'!$D$4:$D$1612,$B107,'март 2024'!$J$4:$J$1612,W$1)</f>
        <v>0</v>
      </c>
      <c r="X107" s="80">
        <f>SUMIFS('март 2024'!$G$4:$G$1612,'март 2024'!$D$4:$D$1612,$B107,'март 2024'!$J$4:$J$1612,X$1)</f>
        <v>0</v>
      </c>
      <c r="Y107" s="80">
        <f>SUMIFS('март 2024'!$G$4:$G$1612,'март 2024'!$D$4:$D$1612,$B107,'март 2024'!$J$4:$J$1612,Y$1)</f>
        <v>0</v>
      </c>
      <c r="Z107" s="80">
        <f>SUMIFS('март 2024'!$G$4:$G$1612,'март 2024'!$D$4:$D$1612,$B107,'март 2024'!$J$4:$J$1612,Z$1)</f>
        <v>0</v>
      </c>
      <c r="AA107" s="80">
        <f>SUMIFS('март 2024'!$G$4:$G$1612,'март 2024'!$D$4:$D$1612,$B107,'март 2024'!$J$4:$J$1612,AA$1)</f>
        <v>0</v>
      </c>
      <c r="AB107" s="80">
        <f>SUMIFS('март 2024'!$G$4:$G$1612,'март 2024'!$D$4:$D$1612,$B107,'март 2024'!$J$4:$J$1612,AB$1)</f>
        <v>0</v>
      </c>
      <c r="AC107" s="80">
        <f>SUMIFS('март 2024'!$G$4:$G$1612,'март 2024'!$D$4:$D$1612,$B107,'март 2024'!$J$4:$J$1612,AC$1)</f>
        <v>0</v>
      </c>
      <c r="AD107" s="80">
        <f>SUMIFS('март 2024'!$G$4:$G$1612,'март 2024'!$D$4:$D$1612,$B107,'март 2024'!$J$4:$J$1612,AD$1)</f>
        <v>0</v>
      </c>
      <c r="AE107" s="80">
        <f>SUMIFS('март 2024'!$G$4:$G$1612,'март 2024'!$D$4:$D$1612,$B107,'март 2024'!$J$4:$J$1612,AE$1)</f>
        <v>0</v>
      </c>
      <c r="AF107" s="80">
        <f>SUMIFS('март 2024'!$G$4:$G$1612,'март 2024'!$D$4:$D$1612,$B107,'март 2024'!$J$4:$J$1612,AF$1)</f>
        <v>0</v>
      </c>
      <c r="AG107" s="80">
        <f>SUMIFS('март 2024'!$G$4:$G$1612,'март 2024'!$D$4:$D$1612,$B107,'март 2024'!$J$4:$J$1612,AG$1)</f>
        <v>0</v>
      </c>
      <c r="AH107" s="80">
        <f>SUMIFS('март 2024'!$G$4:$G$1612,'март 2024'!$D$4:$D$1612,$B107,'март 2024'!$J$4:$J$1612,AH$1)</f>
        <v>0</v>
      </c>
      <c r="AI107" s="21">
        <f t="shared" si="1"/>
        <v>0</v>
      </c>
    </row>
    <row r="108" spans="2:35" ht="15" customHeight="1" x14ac:dyDescent="0.25">
      <c r="B108" s="93" t="s">
        <v>330</v>
      </c>
      <c r="C108" s="91">
        <v>180</v>
      </c>
      <c r="D108" s="80">
        <f>SUMIFS('март 2024'!$G$4:$G$1612,'март 2024'!$D$4:$D$1612,$B108,'март 2024'!$J$4:$J$1612,D$1)</f>
        <v>0</v>
      </c>
      <c r="E108" s="80">
        <f>SUMIFS('март 2024'!$G$4:$G$1612,'март 2024'!$D$4:$D$1612,$B108,'март 2024'!$J$4:$J$1612,E$1)</f>
        <v>0</v>
      </c>
      <c r="F108" s="80">
        <f>SUMIFS('март 2024'!$G$4:$G$1612,'март 2024'!$D$4:$D$1612,$B108,'март 2024'!$J$4:$J$1612,F$1)</f>
        <v>0</v>
      </c>
      <c r="G108" s="80">
        <f>SUMIFS('март 2024'!$G$4:$G$1612,'март 2024'!$D$4:$D$1612,$B108,'март 2024'!$J$4:$J$1612,G$1)</f>
        <v>0</v>
      </c>
      <c r="H108" s="80">
        <f>SUMIFS('март 2024'!$G$4:$G$1612,'март 2024'!$D$4:$D$1612,$B108,'март 2024'!$J$4:$J$1612,H$1)</f>
        <v>0</v>
      </c>
      <c r="I108" s="80">
        <f>SUMIFS('март 2024'!$G$4:$G$1612,'март 2024'!$D$4:$D$1612,$B108,'март 2024'!$J$4:$J$1612,I$1)</f>
        <v>0</v>
      </c>
      <c r="J108" s="80">
        <f>SUMIFS('март 2024'!$G$4:$G$1612,'март 2024'!$D$4:$D$1612,$B108,'март 2024'!$J$4:$J$1612,J$1)</f>
        <v>0</v>
      </c>
      <c r="K108" s="80">
        <f>SUMIFS('март 2024'!$G$4:$G$1612,'март 2024'!$D$4:$D$1612,$B108,'март 2024'!$J$4:$J$1612,K$1)</f>
        <v>0</v>
      </c>
      <c r="L108" s="80">
        <f>SUMIFS('март 2024'!$G$4:$G$1612,'март 2024'!$D$4:$D$1612,$B108,'март 2024'!$J$4:$J$1612,L$1)</f>
        <v>0</v>
      </c>
      <c r="M108" s="80">
        <f>SUMIFS('март 2024'!$G$4:$G$1612,'март 2024'!$D$4:$D$1612,$B108,'март 2024'!$J$4:$J$1612,M$1)</f>
        <v>0</v>
      </c>
      <c r="N108" s="80">
        <f>SUMIFS('март 2024'!$G$4:$G$1612,'март 2024'!$D$4:$D$1612,$B108,'март 2024'!$J$4:$J$1612,N$1)</f>
        <v>0</v>
      </c>
      <c r="O108" s="80">
        <f>SUMIFS('март 2024'!$G$4:$G$1612,'март 2024'!$D$4:$D$1612,$B108,'март 2024'!$J$4:$J$1612,O$1)</f>
        <v>0</v>
      </c>
      <c r="P108" s="80">
        <f>SUMIFS('март 2024'!$G$4:$G$1612,'март 2024'!$D$4:$D$1612,$B108,'март 2024'!$J$4:$J$1612,P$1)</f>
        <v>0</v>
      </c>
      <c r="Q108" s="80">
        <f>SUMIFS('март 2024'!$G$4:$G$1612,'март 2024'!$D$4:$D$1612,$B108,'март 2024'!$J$4:$J$1612,Q$1)</f>
        <v>0</v>
      </c>
      <c r="R108" s="80">
        <f>SUMIFS('март 2024'!$G$4:$G$1612,'март 2024'!$D$4:$D$1612,$B108,'март 2024'!$J$4:$J$1612,R$1)</f>
        <v>0</v>
      </c>
      <c r="S108" s="80">
        <f>SUMIFS('март 2024'!$G$4:$G$1612,'март 2024'!$D$4:$D$1612,$B108,'март 2024'!$J$4:$J$1612,S$1)</f>
        <v>0</v>
      </c>
      <c r="T108" s="80">
        <f>SUMIFS('март 2024'!$G$4:$G$1612,'март 2024'!$D$4:$D$1612,$B108,'март 2024'!$J$4:$J$1612,T$1)</f>
        <v>0</v>
      </c>
      <c r="U108" s="80">
        <f>SUMIFS('март 2024'!$G$4:$G$1612,'март 2024'!$D$4:$D$1612,$B108,'март 2024'!$J$4:$J$1612,U$1)</f>
        <v>0</v>
      </c>
      <c r="V108" s="80">
        <f>SUMIFS('март 2024'!$G$4:$G$1612,'март 2024'!$D$4:$D$1612,$B108,'март 2024'!$J$4:$J$1612,V$1)</f>
        <v>0</v>
      </c>
      <c r="W108" s="80">
        <f>SUMIFS('март 2024'!$G$4:$G$1612,'март 2024'!$D$4:$D$1612,$B108,'март 2024'!$J$4:$J$1612,W$1)</f>
        <v>0</v>
      </c>
      <c r="X108" s="80">
        <f>SUMIFS('март 2024'!$G$4:$G$1612,'март 2024'!$D$4:$D$1612,$B108,'март 2024'!$J$4:$J$1612,X$1)</f>
        <v>0</v>
      </c>
      <c r="Y108" s="80">
        <f>SUMIFS('март 2024'!$G$4:$G$1612,'март 2024'!$D$4:$D$1612,$B108,'март 2024'!$J$4:$J$1612,Y$1)</f>
        <v>0</v>
      </c>
      <c r="Z108" s="80">
        <f>SUMIFS('март 2024'!$G$4:$G$1612,'март 2024'!$D$4:$D$1612,$B108,'март 2024'!$J$4:$J$1612,Z$1)</f>
        <v>0</v>
      </c>
      <c r="AA108" s="80">
        <f>SUMIFS('март 2024'!$G$4:$G$1612,'март 2024'!$D$4:$D$1612,$B108,'март 2024'!$J$4:$J$1612,AA$1)</f>
        <v>0</v>
      </c>
      <c r="AB108" s="80">
        <f>SUMIFS('март 2024'!$G$4:$G$1612,'март 2024'!$D$4:$D$1612,$B108,'март 2024'!$J$4:$J$1612,AB$1)</f>
        <v>0</v>
      </c>
      <c r="AC108" s="80">
        <f>SUMIFS('март 2024'!$G$4:$G$1612,'март 2024'!$D$4:$D$1612,$B108,'март 2024'!$J$4:$J$1612,AC$1)</f>
        <v>0</v>
      </c>
      <c r="AD108" s="80">
        <f>SUMIFS('март 2024'!$G$4:$G$1612,'март 2024'!$D$4:$D$1612,$B108,'март 2024'!$J$4:$J$1612,AD$1)</f>
        <v>0</v>
      </c>
      <c r="AE108" s="80">
        <f>SUMIFS('март 2024'!$G$4:$G$1612,'март 2024'!$D$4:$D$1612,$B108,'март 2024'!$J$4:$J$1612,AE$1)</f>
        <v>0</v>
      </c>
      <c r="AF108" s="80">
        <f>SUMIFS('март 2024'!$G$4:$G$1612,'март 2024'!$D$4:$D$1612,$B108,'март 2024'!$J$4:$J$1612,AF$1)</f>
        <v>0</v>
      </c>
      <c r="AG108" s="80">
        <f>SUMIFS('март 2024'!$G$4:$G$1612,'март 2024'!$D$4:$D$1612,$B108,'март 2024'!$J$4:$J$1612,AG$1)</f>
        <v>0</v>
      </c>
      <c r="AH108" s="80">
        <f>SUMIFS('март 2024'!$G$4:$G$1612,'март 2024'!$D$4:$D$1612,$B108,'март 2024'!$J$4:$J$1612,AH$1)</f>
        <v>0</v>
      </c>
      <c r="AI108" s="21">
        <f t="shared" si="1"/>
        <v>0</v>
      </c>
    </row>
    <row r="109" spans="2:35" ht="15" customHeight="1" x14ac:dyDescent="0.25">
      <c r="B109" s="93" t="s">
        <v>331</v>
      </c>
      <c r="C109" s="91">
        <v>200</v>
      </c>
      <c r="D109" s="80">
        <f>SUMIFS('март 2024'!$G$4:$G$1612,'март 2024'!$D$4:$D$1612,$B109,'март 2024'!$J$4:$J$1612,D$1)</f>
        <v>0</v>
      </c>
      <c r="E109" s="80">
        <f>SUMIFS('март 2024'!$G$4:$G$1612,'март 2024'!$D$4:$D$1612,$B109,'март 2024'!$J$4:$J$1612,E$1)</f>
        <v>0</v>
      </c>
      <c r="F109" s="80">
        <f>SUMIFS('март 2024'!$G$4:$G$1612,'март 2024'!$D$4:$D$1612,$B109,'март 2024'!$J$4:$J$1612,F$1)</f>
        <v>0</v>
      </c>
      <c r="G109" s="80">
        <f>SUMIFS('март 2024'!$G$4:$G$1612,'март 2024'!$D$4:$D$1612,$B109,'март 2024'!$J$4:$J$1612,G$1)</f>
        <v>0</v>
      </c>
      <c r="H109" s="80">
        <f>SUMIFS('март 2024'!$G$4:$G$1612,'март 2024'!$D$4:$D$1612,$B109,'март 2024'!$J$4:$J$1612,H$1)</f>
        <v>0</v>
      </c>
      <c r="I109" s="80">
        <f>SUMIFS('март 2024'!$G$4:$G$1612,'март 2024'!$D$4:$D$1612,$B109,'март 2024'!$J$4:$J$1612,I$1)</f>
        <v>0</v>
      </c>
      <c r="J109" s="80">
        <f>SUMIFS('март 2024'!$G$4:$G$1612,'март 2024'!$D$4:$D$1612,$B109,'март 2024'!$J$4:$J$1612,J$1)</f>
        <v>0</v>
      </c>
      <c r="K109" s="80">
        <f>SUMIFS('март 2024'!$G$4:$G$1612,'март 2024'!$D$4:$D$1612,$B109,'март 2024'!$J$4:$J$1612,K$1)</f>
        <v>0</v>
      </c>
      <c r="L109" s="80">
        <f>SUMIFS('март 2024'!$G$4:$G$1612,'март 2024'!$D$4:$D$1612,$B109,'март 2024'!$J$4:$J$1612,L$1)</f>
        <v>0</v>
      </c>
      <c r="M109" s="80">
        <f>SUMIFS('март 2024'!$G$4:$G$1612,'март 2024'!$D$4:$D$1612,$B109,'март 2024'!$J$4:$J$1612,M$1)</f>
        <v>0</v>
      </c>
      <c r="N109" s="80">
        <f>SUMIFS('март 2024'!$G$4:$G$1612,'март 2024'!$D$4:$D$1612,$B109,'март 2024'!$J$4:$J$1612,N$1)</f>
        <v>0</v>
      </c>
      <c r="O109" s="80">
        <f>SUMIFS('март 2024'!$G$4:$G$1612,'март 2024'!$D$4:$D$1612,$B109,'март 2024'!$J$4:$J$1612,O$1)</f>
        <v>0</v>
      </c>
      <c r="P109" s="80">
        <f>SUMIFS('март 2024'!$G$4:$G$1612,'март 2024'!$D$4:$D$1612,$B109,'март 2024'!$J$4:$J$1612,P$1)</f>
        <v>0</v>
      </c>
      <c r="Q109" s="80">
        <f>SUMIFS('март 2024'!$G$4:$G$1612,'март 2024'!$D$4:$D$1612,$B109,'март 2024'!$J$4:$J$1612,Q$1)</f>
        <v>0</v>
      </c>
      <c r="R109" s="80">
        <f>SUMIFS('март 2024'!$G$4:$G$1612,'март 2024'!$D$4:$D$1612,$B109,'март 2024'!$J$4:$J$1612,R$1)</f>
        <v>0</v>
      </c>
      <c r="S109" s="80">
        <f>SUMIFS('март 2024'!$G$4:$G$1612,'март 2024'!$D$4:$D$1612,$B109,'март 2024'!$J$4:$J$1612,S$1)</f>
        <v>0</v>
      </c>
      <c r="T109" s="80">
        <f>SUMIFS('март 2024'!$G$4:$G$1612,'март 2024'!$D$4:$D$1612,$B109,'март 2024'!$J$4:$J$1612,T$1)</f>
        <v>0</v>
      </c>
      <c r="U109" s="80">
        <f>SUMIFS('март 2024'!$G$4:$G$1612,'март 2024'!$D$4:$D$1612,$B109,'март 2024'!$J$4:$J$1612,U$1)</f>
        <v>0</v>
      </c>
      <c r="V109" s="80">
        <f>SUMIFS('март 2024'!$G$4:$G$1612,'март 2024'!$D$4:$D$1612,$B109,'март 2024'!$J$4:$J$1612,V$1)</f>
        <v>0</v>
      </c>
      <c r="W109" s="80">
        <f>SUMIFS('март 2024'!$G$4:$G$1612,'март 2024'!$D$4:$D$1612,$B109,'март 2024'!$J$4:$J$1612,W$1)</f>
        <v>0</v>
      </c>
      <c r="X109" s="80">
        <f>SUMIFS('март 2024'!$G$4:$G$1612,'март 2024'!$D$4:$D$1612,$B109,'март 2024'!$J$4:$J$1612,X$1)</f>
        <v>0</v>
      </c>
      <c r="Y109" s="80">
        <f>SUMIFS('март 2024'!$G$4:$G$1612,'март 2024'!$D$4:$D$1612,$B109,'март 2024'!$J$4:$J$1612,Y$1)</f>
        <v>0</v>
      </c>
      <c r="Z109" s="80">
        <f>SUMIFS('март 2024'!$G$4:$G$1612,'март 2024'!$D$4:$D$1612,$B109,'март 2024'!$J$4:$J$1612,Z$1)</f>
        <v>0</v>
      </c>
      <c r="AA109" s="80">
        <f>SUMIFS('март 2024'!$G$4:$G$1612,'март 2024'!$D$4:$D$1612,$B109,'март 2024'!$J$4:$J$1612,AA$1)</f>
        <v>0</v>
      </c>
      <c r="AB109" s="80">
        <f>SUMIFS('март 2024'!$G$4:$G$1612,'март 2024'!$D$4:$D$1612,$B109,'март 2024'!$J$4:$J$1612,AB$1)</f>
        <v>0</v>
      </c>
      <c r="AC109" s="80">
        <f>SUMIFS('март 2024'!$G$4:$G$1612,'март 2024'!$D$4:$D$1612,$B109,'март 2024'!$J$4:$J$1612,AC$1)</f>
        <v>0</v>
      </c>
      <c r="AD109" s="80">
        <f>SUMIFS('март 2024'!$G$4:$G$1612,'март 2024'!$D$4:$D$1612,$B109,'март 2024'!$J$4:$J$1612,AD$1)</f>
        <v>0</v>
      </c>
      <c r="AE109" s="80">
        <f>SUMIFS('март 2024'!$G$4:$G$1612,'март 2024'!$D$4:$D$1612,$B109,'март 2024'!$J$4:$J$1612,AE$1)</f>
        <v>0</v>
      </c>
      <c r="AF109" s="80">
        <f>SUMIFS('март 2024'!$G$4:$G$1612,'март 2024'!$D$4:$D$1612,$B109,'март 2024'!$J$4:$J$1612,AF$1)</f>
        <v>0</v>
      </c>
      <c r="AG109" s="80">
        <f>SUMIFS('март 2024'!$G$4:$G$1612,'март 2024'!$D$4:$D$1612,$B109,'март 2024'!$J$4:$J$1612,AG$1)</f>
        <v>0</v>
      </c>
      <c r="AH109" s="80">
        <f>SUMIFS('март 2024'!$G$4:$G$1612,'март 2024'!$D$4:$D$1612,$B109,'март 2024'!$J$4:$J$1612,AH$1)</f>
        <v>0</v>
      </c>
      <c r="AI109" s="21">
        <f t="shared" si="1"/>
        <v>0</v>
      </c>
    </row>
    <row r="110" spans="2:35" ht="15" customHeight="1" x14ac:dyDescent="0.25">
      <c r="B110" s="89" t="s">
        <v>164</v>
      </c>
      <c r="C110" s="88">
        <v>950</v>
      </c>
      <c r="D110" s="80">
        <f>SUMIFS('март 2024'!$G$4:$G$1612,'март 2024'!$D$4:$D$1612,$B110,'март 2024'!$J$4:$J$1612,D$1)</f>
        <v>0</v>
      </c>
      <c r="E110" s="80">
        <f>SUMIFS('март 2024'!$G$4:$G$1612,'март 2024'!$D$4:$D$1612,$B110,'март 2024'!$J$4:$J$1612,E$1)</f>
        <v>0</v>
      </c>
      <c r="F110" s="80">
        <f>SUMIFS('март 2024'!$G$4:$G$1612,'март 2024'!$D$4:$D$1612,$B110,'март 2024'!$J$4:$J$1612,F$1)</f>
        <v>0</v>
      </c>
      <c r="G110" s="80">
        <f>SUMIFS('март 2024'!$G$4:$G$1612,'март 2024'!$D$4:$D$1612,$B110,'март 2024'!$J$4:$J$1612,G$1)</f>
        <v>0</v>
      </c>
      <c r="H110" s="80">
        <f>SUMIFS('март 2024'!$G$4:$G$1612,'март 2024'!$D$4:$D$1612,$B110,'март 2024'!$J$4:$J$1612,H$1)</f>
        <v>0</v>
      </c>
      <c r="I110" s="80">
        <f>SUMIFS('март 2024'!$G$4:$G$1612,'март 2024'!$D$4:$D$1612,$B110,'март 2024'!$J$4:$J$1612,I$1)</f>
        <v>0</v>
      </c>
      <c r="J110" s="80">
        <f>SUMIFS('март 2024'!$G$4:$G$1612,'март 2024'!$D$4:$D$1612,$B110,'март 2024'!$J$4:$J$1612,J$1)</f>
        <v>0</v>
      </c>
      <c r="K110" s="80">
        <f>SUMIFS('март 2024'!$G$4:$G$1612,'март 2024'!$D$4:$D$1612,$B110,'март 2024'!$J$4:$J$1612,K$1)</f>
        <v>0</v>
      </c>
      <c r="L110" s="80">
        <f>SUMIFS('март 2024'!$G$4:$G$1612,'март 2024'!$D$4:$D$1612,$B110,'март 2024'!$J$4:$J$1612,L$1)</f>
        <v>0</v>
      </c>
      <c r="M110" s="80">
        <f>SUMIFS('март 2024'!$G$4:$G$1612,'март 2024'!$D$4:$D$1612,$B110,'март 2024'!$J$4:$J$1612,M$1)</f>
        <v>0</v>
      </c>
      <c r="N110" s="80">
        <f>SUMIFS('март 2024'!$G$4:$G$1612,'март 2024'!$D$4:$D$1612,$B110,'март 2024'!$J$4:$J$1612,N$1)</f>
        <v>0</v>
      </c>
      <c r="O110" s="80">
        <f>SUMIFS('март 2024'!$G$4:$G$1612,'март 2024'!$D$4:$D$1612,$B110,'март 2024'!$J$4:$J$1612,O$1)</f>
        <v>0</v>
      </c>
      <c r="P110" s="80">
        <f>SUMIFS('март 2024'!$G$4:$G$1612,'март 2024'!$D$4:$D$1612,$B110,'март 2024'!$J$4:$J$1612,P$1)</f>
        <v>0</v>
      </c>
      <c r="Q110" s="80">
        <f>SUMIFS('март 2024'!$G$4:$G$1612,'март 2024'!$D$4:$D$1612,$B110,'март 2024'!$J$4:$J$1612,Q$1)</f>
        <v>0</v>
      </c>
      <c r="R110" s="80">
        <f>SUMIFS('март 2024'!$G$4:$G$1612,'март 2024'!$D$4:$D$1612,$B110,'март 2024'!$J$4:$J$1612,R$1)</f>
        <v>0</v>
      </c>
      <c r="S110" s="80">
        <f>SUMIFS('март 2024'!$G$4:$G$1612,'март 2024'!$D$4:$D$1612,$B110,'март 2024'!$J$4:$J$1612,S$1)</f>
        <v>0</v>
      </c>
      <c r="T110" s="80">
        <f>SUMIFS('март 2024'!$G$4:$G$1612,'март 2024'!$D$4:$D$1612,$B110,'март 2024'!$J$4:$J$1612,T$1)</f>
        <v>0</v>
      </c>
      <c r="U110" s="80">
        <f>SUMIFS('март 2024'!$G$4:$G$1612,'март 2024'!$D$4:$D$1612,$B110,'март 2024'!$J$4:$J$1612,U$1)</f>
        <v>0</v>
      </c>
      <c r="V110" s="80">
        <f>SUMIFS('март 2024'!$G$4:$G$1612,'март 2024'!$D$4:$D$1612,$B110,'март 2024'!$J$4:$J$1612,V$1)</f>
        <v>0</v>
      </c>
      <c r="W110" s="80">
        <f>SUMIFS('март 2024'!$G$4:$G$1612,'март 2024'!$D$4:$D$1612,$B110,'март 2024'!$J$4:$J$1612,W$1)</f>
        <v>0</v>
      </c>
      <c r="X110" s="80">
        <f>SUMIFS('март 2024'!$G$4:$G$1612,'март 2024'!$D$4:$D$1612,$B110,'март 2024'!$J$4:$J$1612,X$1)</f>
        <v>0</v>
      </c>
      <c r="Y110" s="80">
        <f>SUMIFS('март 2024'!$G$4:$G$1612,'март 2024'!$D$4:$D$1612,$B110,'март 2024'!$J$4:$J$1612,Y$1)</f>
        <v>0</v>
      </c>
      <c r="Z110" s="80">
        <f>SUMIFS('март 2024'!$G$4:$G$1612,'март 2024'!$D$4:$D$1612,$B110,'март 2024'!$J$4:$J$1612,Z$1)</f>
        <v>0</v>
      </c>
      <c r="AA110" s="80">
        <f>SUMIFS('март 2024'!$G$4:$G$1612,'март 2024'!$D$4:$D$1612,$B110,'март 2024'!$J$4:$J$1612,AA$1)</f>
        <v>0</v>
      </c>
      <c r="AB110" s="80">
        <f>SUMIFS('март 2024'!$G$4:$G$1612,'март 2024'!$D$4:$D$1612,$B110,'март 2024'!$J$4:$J$1612,AB$1)</f>
        <v>0</v>
      </c>
      <c r="AC110" s="80">
        <f>SUMIFS('март 2024'!$G$4:$G$1612,'март 2024'!$D$4:$D$1612,$B110,'март 2024'!$J$4:$J$1612,AC$1)</f>
        <v>0</v>
      </c>
      <c r="AD110" s="80">
        <f>SUMIFS('март 2024'!$G$4:$G$1612,'март 2024'!$D$4:$D$1612,$B110,'март 2024'!$J$4:$J$1612,AD$1)</f>
        <v>0</v>
      </c>
      <c r="AE110" s="80">
        <f>SUMIFS('март 2024'!$G$4:$G$1612,'март 2024'!$D$4:$D$1612,$B110,'март 2024'!$J$4:$J$1612,AE$1)</f>
        <v>0</v>
      </c>
      <c r="AF110" s="80">
        <f>SUMIFS('март 2024'!$G$4:$G$1612,'март 2024'!$D$4:$D$1612,$B110,'март 2024'!$J$4:$J$1612,AF$1)</f>
        <v>0</v>
      </c>
      <c r="AG110" s="80">
        <f>SUMIFS('март 2024'!$G$4:$G$1612,'март 2024'!$D$4:$D$1612,$B110,'март 2024'!$J$4:$J$1612,AG$1)</f>
        <v>0</v>
      </c>
      <c r="AH110" s="80">
        <f>SUMIFS('март 2024'!$G$4:$G$1612,'март 2024'!$D$4:$D$1612,$B110,'март 2024'!$J$4:$J$1612,AH$1)</f>
        <v>0</v>
      </c>
      <c r="AI110" s="21">
        <f t="shared" si="1"/>
        <v>0</v>
      </c>
    </row>
    <row r="111" spans="2:35" ht="15" customHeight="1" x14ac:dyDescent="0.25">
      <c r="B111" s="89" t="s">
        <v>193</v>
      </c>
      <c r="C111" s="88">
        <v>180</v>
      </c>
      <c r="D111" s="80">
        <f>SUMIFS('март 2024'!$G$4:$G$1612,'март 2024'!$D$4:$D$1612,$B111,'март 2024'!$J$4:$J$1612,D$1)</f>
        <v>0</v>
      </c>
      <c r="E111" s="80">
        <f>SUMIFS('март 2024'!$G$4:$G$1612,'март 2024'!$D$4:$D$1612,$B111,'март 2024'!$J$4:$J$1612,E$1)</f>
        <v>0</v>
      </c>
      <c r="F111" s="80">
        <f>SUMIFS('март 2024'!$G$4:$G$1612,'март 2024'!$D$4:$D$1612,$B111,'март 2024'!$J$4:$J$1612,F$1)</f>
        <v>0</v>
      </c>
      <c r="G111" s="80">
        <f>SUMIFS('март 2024'!$G$4:$G$1612,'март 2024'!$D$4:$D$1612,$B111,'март 2024'!$J$4:$J$1612,G$1)</f>
        <v>0</v>
      </c>
      <c r="H111" s="80">
        <f>SUMIFS('март 2024'!$G$4:$G$1612,'март 2024'!$D$4:$D$1612,$B111,'март 2024'!$J$4:$J$1612,H$1)</f>
        <v>0</v>
      </c>
      <c r="I111" s="80">
        <f>SUMIFS('март 2024'!$G$4:$G$1612,'март 2024'!$D$4:$D$1612,$B111,'март 2024'!$J$4:$J$1612,I$1)</f>
        <v>0</v>
      </c>
      <c r="J111" s="80">
        <f>SUMIFS('март 2024'!$G$4:$G$1612,'март 2024'!$D$4:$D$1612,$B111,'март 2024'!$J$4:$J$1612,J$1)</f>
        <v>0</v>
      </c>
      <c r="K111" s="80">
        <f>SUMIFS('март 2024'!$G$4:$G$1612,'март 2024'!$D$4:$D$1612,$B111,'март 2024'!$J$4:$J$1612,K$1)</f>
        <v>0</v>
      </c>
      <c r="L111" s="80">
        <f>SUMIFS('март 2024'!$G$4:$G$1612,'март 2024'!$D$4:$D$1612,$B111,'март 2024'!$J$4:$J$1612,L$1)</f>
        <v>0</v>
      </c>
      <c r="M111" s="80">
        <f>SUMIFS('март 2024'!$G$4:$G$1612,'март 2024'!$D$4:$D$1612,$B111,'март 2024'!$J$4:$J$1612,M$1)</f>
        <v>0</v>
      </c>
      <c r="N111" s="80">
        <f>SUMIFS('март 2024'!$G$4:$G$1612,'март 2024'!$D$4:$D$1612,$B111,'март 2024'!$J$4:$J$1612,N$1)</f>
        <v>0</v>
      </c>
      <c r="O111" s="80">
        <f>SUMIFS('март 2024'!$G$4:$G$1612,'март 2024'!$D$4:$D$1612,$B111,'март 2024'!$J$4:$J$1612,O$1)</f>
        <v>0</v>
      </c>
      <c r="P111" s="80">
        <f>SUMIFS('март 2024'!$G$4:$G$1612,'март 2024'!$D$4:$D$1612,$B111,'март 2024'!$J$4:$J$1612,P$1)</f>
        <v>0</v>
      </c>
      <c r="Q111" s="80">
        <f>SUMIFS('март 2024'!$G$4:$G$1612,'март 2024'!$D$4:$D$1612,$B111,'март 2024'!$J$4:$J$1612,Q$1)</f>
        <v>0</v>
      </c>
      <c r="R111" s="80">
        <f>SUMIFS('март 2024'!$G$4:$G$1612,'март 2024'!$D$4:$D$1612,$B111,'март 2024'!$J$4:$J$1612,R$1)</f>
        <v>0</v>
      </c>
      <c r="S111" s="80">
        <f>SUMIFS('март 2024'!$G$4:$G$1612,'март 2024'!$D$4:$D$1612,$B111,'март 2024'!$J$4:$J$1612,S$1)</f>
        <v>0</v>
      </c>
      <c r="T111" s="80">
        <f>SUMIFS('март 2024'!$G$4:$G$1612,'март 2024'!$D$4:$D$1612,$B111,'март 2024'!$J$4:$J$1612,T$1)</f>
        <v>0</v>
      </c>
      <c r="U111" s="80">
        <f>SUMIFS('март 2024'!$G$4:$G$1612,'март 2024'!$D$4:$D$1612,$B111,'март 2024'!$J$4:$J$1612,U$1)</f>
        <v>0</v>
      </c>
      <c r="V111" s="80">
        <f>SUMIFS('март 2024'!$G$4:$G$1612,'март 2024'!$D$4:$D$1612,$B111,'март 2024'!$J$4:$J$1612,V$1)</f>
        <v>0</v>
      </c>
      <c r="W111" s="80">
        <f>SUMIFS('март 2024'!$G$4:$G$1612,'март 2024'!$D$4:$D$1612,$B111,'март 2024'!$J$4:$J$1612,W$1)</f>
        <v>0</v>
      </c>
      <c r="X111" s="80">
        <f>SUMIFS('март 2024'!$G$4:$G$1612,'март 2024'!$D$4:$D$1612,$B111,'март 2024'!$J$4:$J$1612,X$1)</f>
        <v>0</v>
      </c>
      <c r="Y111" s="80">
        <f>SUMIFS('март 2024'!$G$4:$G$1612,'март 2024'!$D$4:$D$1612,$B111,'март 2024'!$J$4:$J$1612,Y$1)</f>
        <v>0</v>
      </c>
      <c r="Z111" s="80">
        <f>SUMIFS('март 2024'!$G$4:$G$1612,'март 2024'!$D$4:$D$1612,$B111,'март 2024'!$J$4:$J$1612,Z$1)</f>
        <v>0</v>
      </c>
      <c r="AA111" s="80">
        <f>SUMIFS('март 2024'!$G$4:$G$1612,'март 2024'!$D$4:$D$1612,$B111,'март 2024'!$J$4:$J$1612,AA$1)</f>
        <v>0</v>
      </c>
      <c r="AB111" s="80">
        <f>SUMIFS('март 2024'!$G$4:$G$1612,'март 2024'!$D$4:$D$1612,$B111,'март 2024'!$J$4:$J$1612,AB$1)</f>
        <v>0</v>
      </c>
      <c r="AC111" s="80">
        <f>SUMIFS('март 2024'!$G$4:$G$1612,'март 2024'!$D$4:$D$1612,$B111,'март 2024'!$J$4:$J$1612,AC$1)</f>
        <v>0</v>
      </c>
      <c r="AD111" s="80">
        <f>SUMIFS('март 2024'!$G$4:$G$1612,'март 2024'!$D$4:$D$1612,$B111,'март 2024'!$J$4:$J$1612,AD$1)</f>
        <v>0</v>
      </c>
      <c r="AE111" s="80">
        <f>SUMIFS('март 2024'!$G$4:$G$1612,'март 2024'!$D$4:$D$1612,$B111,'март 2024'!$J$4:$J$1612,AE$1)</f>
        <v>0</v>
      </c>
      <c r="AF111" s="80">
        <f>SUMIFS('март 2024'!$G$4:$G$1612,'март 2024'!$D$4:$D$1612,$B111,'март 2024'!$J$4:$J$1612,AF$1)</f>
        <v>0</v>
      </c>
      <c r="AG111" s="80">
        <f>SUMIFS('март 2024'!$G$4:$G$1612,'март 2024'!$D$4:$D$1612,$B111,'март 2024'!$J$4:$J$1612,AG$1)</f>
        <v>0</v>
      </c>
      <c r="AH111" s="80">
        <f>SUMIFS('март 2024'!$G$4:$G$1612,'март 2024'!$D$4:$D$1612,$B111,'март 2024'!$J$4:$J$1612,AH$1)</f>
        <v>0</v>
      </c>
      <c r="AI111" s="21">
        <f t="shared" si="1"/>
        <v>0</v>
      </c>
    </row>
    <row r="112" spans="2:35" ht="15" customHeight="1" x14ac:dyDescent="0.25">
      <c r="B112" s="89" t="s">
        <v>177</v>
      </c>
      <c r="C112" s="88">
        <v>200</v>
      </c>
      <c r="D112" s="80">
        <f>SUMIFS('март 2024'!$G$4:$G$1612,'март 2024'!$D$4:$D$1612,$B112,'март 2024'!$J$4:$J$1612,D$1)</f>
        <v>0</v>
      </c>
      <c r="E112" s="80">
        <f>SUMIFS('март 2024'!$G$4:$G$1612,'март 2024'!$D$4:$D$1612,$B112,'март 2024'!$J$4:$J$1612,E$1)</f>
        <v>0</v>
      </c>
      <c r="F112" s="80">
        <f>SUMIFS('март 2024'!$G$4:$G$1612,'март 2024'!$D$4:$D$1612,$B112,'март 2024'!$J$4:$J$1612,F$1)</f>
        <v>0</v>
      </c>
      <c r="G112" s="80">
        <f>SUMIFS('март 2024'!$G$4:$G$1612,'март 2024'!$D$4:$D$1612,$B112,'март 2024'!$J$4:$J$1612,G$1)</f>
        <v>0</v>
      </c>
      <c r="H112" s="80">
        <f>SUMIFS('март 2024'!$G$4:$G$1612,'март 2024'!$D$4:$D$1612,$B112,'март 2024'!$J$4:$J$1612,H$1)</f>
        <v>0</v>
      </c>
      <c r="I112" s="80">
        <f>SUMIFS('март 2024'!$G$4:$G$1612,'март 2024'!$D$4:$D$1612,$B112,'март 2024'!$J$4:$J$1612,I$1)</f>
        <v>0</v>
      </c>
      <c r="J112" s="80">
        <f>SUMIFS('март 2024'!$G$4:$G$1612,'март 2024'!$D$4:$D$1612,$B112,'март 2024'!$J$4:$J$1612,J$1)</f>
        <v>0</v>
      </c>
      <c r="K112" s="80">
        <f>SUMIFS('март 2024'!$G$4:$G$1612,'март 2024'!$D$4:$D$1612,$B112,'март 2024'!$J$4:$J$1612,K$1)</f>
        <v>0</v>
      </c>
      <c r="L112" s="80">
        <f>SUMIFS('март 2024'!$G$4:$G$1612,'март 2024'!$D$4:$D$1612,$B112,'март 2024'!$J$4:$J$1612,L$1)</f>
        <v>0</v>
      </c>
      <c r="M112" s="80">
        <f>SUMIFS('март 2024'!$G$4:$G$1612,'март 2024'!$D$4:$D$1612,$B112,'март 2024'!$J$4:$J$1612,M$1)</f>
        <v>0</v>
      </c>
      <c r="N112" s="80">
        <f>SUMIFS('март 2024'!$G$4:$G$1612,'март 2024'!$D$4:$D$1612,$B112,'март 2024'!$J$4:$J$1612,N$1)</f>
        <v>0</v>
      </c>
      <c r="O112" s="80">
        <f>SUMIFS('март 2024'!$G$4:$G$1612,'март 2024'!$D$4:$D$1612,$B112,'март 2024'!$J$4:$J$1612,O$1)</f>
        <v>0</v>
      </c>
      <c r="P112" s="80">
        <f>SUMIFS('март 2024'!$G$4:$G$1612,'март 2024'!$D$4:$D$1612,$B112,'март 2024'!$J$4:$J$1612,P$1)</f>
        <v>0</v>
      </c>
      <c r="Q112" s="80">
        <f>SUMIFS('март 2024'!$G$4:$G$1612,'март 2024'!$D$4:$D$1612,$B112,'март 2024'!$J$4:$J$1612,Q$1)</f>
        <v>0</v>
      </c>
      <c r="R112" s="80">
        <f>SUMIFS('март 2024'!$G$4:$G$1612,'март 2024'!$D$4:$D$1612,$B112,'март 2024'!$J$4:$J$1612,R$1)</f>
        <v>0</v>
      </c>
      <c r="S112" s="80">
        <f>SUMIFS('март 2024'!$G$4:$G$1612,'март 2024'!$D$4:$D$1612,$B112,'март 2024'!$J$4:$J$1612,S$1)</f>
        <v>0</v>
      </c>
      <c r="T112" s="80">
        <f>SUMIFS('март 2024'!$G$4:$G$1612,'март 2024'!$D$4:$D$1612,$B112,'март 2024'!$J$4:$J$1612,T$1)</f>
        <v>0</v>
      </c>
      <c r="U112" s="80">
        <f>SUMIFS('март 2024'!$G$4:$G$1612,'март 2024'!$D$4:$D$1612,$B112,'март 2024'!$J$4:$J$1612,U$1)</f>
        <v>0</v>
      </c>
      <c r="V112" s="80">
        <f>SUMIFS('март 2024'!$G$4:$G$1612,'март 2024'!$D$4:$D$1612,$B112,'март 2024'!$J$4:$J$1612,V$1)</f>
        <v>0</v>
      </c>
      <c r="W112" s="80">
        <f>SUMIFS('март 2024'!$G$4:$G$1612,'март 2024'!$D$4:$D$1612,$B112,'март 2024'!$J$4:$J$1612,W$1)</f>
        <v>0</v>
      </c>
      <c r="X112" s="80">
        <f>SUMIFS('март 2024'!$G$4:$G$1612,'март 2024'!$D$4:$D$1612,$B112,'март 2024'!$J$4:$J$1612,X$1)</f>
        <v>0</v>
      </c>
      <c r="Y112" s="80">
        <f>SUMIFS('март 2024'!$G$4:$G$1612,'март 2024'!$D$4:$D$1612,$B112,'март 2024'!$J$4:$J$1612,Y$1)</f>
        <v>0</v>
      </c>
      <c r="Z112" s="80">
        <f>SUMIFS('март 2024'!$G$4:$G$1612,'март 2024'!$D$4:$D$1612,$B112,'март 2024'!$J$4:$J$1612,Z$1)</f>
        <v>0</v>
      </c>
      <c r="AA112" s="80">
        <f>SUMIFS('март 2024'!$G$4:$G$1612,'март 2024'!$D$4:$D$1612,$B112,'март 2024'!$J$4:$J$1612,AA$1)</f>
        <v>0</v>
      </c>
      <c r="AB112" s="80">
        <f>SUMIFS('март 2024'!$G$4:$G$1612,'март 2024'!$D$4:$D$1612,$B112,'март 2024'!$J$4:$J$1612,AB$1)</f>
        <v>0</v>
      </c>
      <c r="AC112" s="80">
        <f>SUMIFS('март 2024'!$G$4:$G$1612,'март 2024'!$D$4:$D$1612,$B112,'март 2024'!$J$4:$J$1612,AC$1)</f>
        <v>0</v>
      </c>
      <c r="AD112" s="80">
        <f>SUMIFS('март 2024'!$G$4:$G$1612,'март 2024'!$D$4:$D$1612,$B112,'март 2024'!$J$4:$J$1612,AD$1)</f>
        <v>0</v>
      </c>
      <c r="AE112" s="80">
        <f>SUMIFS('март 2024'!$G$4:$G$1612,'март 2024'!$D$4:$D$1612,$B112,'март 2024'!$J$4:$J$1612,AE$1)</f>
        <v>0</v>
      </c>
      <c r="AF112" s="80">
        <f>SUMIFS('март 2024'!$G$4:$G$1612,'март 2024'!$D$4:$D$1612,$B112,'март 2024'!$J$4:$J$1612,AF$1)</f>
        <v>0</v>
      </c>
      <c r="AG112" s="80">
        <f>SUMIFS('март 2024'!$G$4:$G$1612,'март 2024'!$D$4:$D$1612,$B112,'март 2024'!$J$4:$J$1612,AG$1)</f>
        <v>0</v>
      </c>
      <c r="AH112" s="80">
        <f>SUMIFS('март 2024'!$G$4:$G$1612,'март 2024'!$D$4:$D$1612,$B112,'март 2024'!$J$4:$J$1612,AH$1)</f>
        <v>0</v>
      </c>
      <c r="AI112" s="21">
        <f t="shared" si="1"/>
        <v>0</v>
      </c>
    </row>
    <row r="113" spans="2:35" ht="15" customHeight="1" x14ac:dyDescent="0.25">
      <c r="B113" s="89" t="s">
        <v>178</v>
      </c>
      <c r="C113" s="88">
        <v>200</v>
      </c>
      <c r="D113" s="80">
        <f>SUMIFS('март 2024'!$G$4:$G$1612,'март 2024'!$D$4:$D$1612,$B113,'март 2024'!$J$4:$J$1612,D$1)</f>
        <v>0</v>
      </c>
      <c r="E113" s="80">
        <f>SUMIFS('март 2024'!$G$4:$G$1612,'март 2024'!$D$4:$D$1612,$B113,'март 2024'!$J$4:$J$1612,E$1)</f>
        <v>0</v>
      </c>
      <c r="F113" s="80">
        <f>SUMIFS('март 2024'!$G$4:$G$1612,'март 2024'!$D$4:$D$1612,$B113,'март 2024'!$J$4:$J$1612,F$1)</f>
        <v>0</v>
      </c>
      <c r="G113" s="80">
        <f>SUMIFS('март 2024'!$G$4:$G$1612,'март 2024'!$D$4:$D$1612,$B113,'март 2024'!$J$4:$J$1612,G$1)</f>
        <v>0</v>
      </c>
      <c r="H113" s="80">
        <f>SUMIFS('март 2024'!$G$4:$G$1612,'март 2024'!$D$4:$D$1612,$B113,'март 2024'!$J$4:$J$1612,H$1)</f>
        <v>0</v>
      </c>
      <c r="I113" s="80">
        <f>SUMIFS('март 2024'!$G$4:$G$1612,'март 2024'!$D$4:$D$1612,$B113,'март 2024'!$J$4:$J$1612,I$1)</f>
        <v>0</v>
      </c>
      <c r="J113" s="80">
        <f>SUMIFS('март 2024'!$G$4:$G$1612,'март 2024'!$D$4:$D$1612,$B113,'март 2024'!$J$4:$J$1612,J$1)</f>
        <v>0</v>
      </c>
      <c r="K113" s="80">
        <f>SUMIFS('март 2024'!$G$4:$G$1612,'март 2024'!$D$4:$D$1612,$B113,'март 2024'!$J$4:$J$1612,K$1)</f>
        <v>0</v>
      </c>
      <c r="L113" s="80">
        <f>SUMIFS('март 2024'!$G$4:$G$1612,'март 2024'!$D$4:$D$1612,$B113,'март 2024'!$J$4:$J$1612,L$1)</f>
        <v>0</v>
      </c>
      <c r="M113" s="80">
        <f>SUMIFS('март 2024'!$G$4:$G$1612,'март 2024'!$D$4:$D$1612,$B113,'март 2024'!$J$4:$J$1612,M$1)</f>
        <v>0</v>
      </c>
      <c r="N113" s="80">
        <f>SUMIFS('март 2024'!$G$4:$G$1612,'март 2024'!$D$4:$D$1612,$B113,'март 2024'!$J$4:$J$1612,N$1)</f>
        <v>0</v>
      </c>
      <c r="O113" s="80">
        <f>SUMIFS('март 2024'!$G$4:$G$1612,'март 2024'!$D$4:$D$1612,$B113,'март 2024'!$J$4:$J$1612,O$1)</f>
        <v>0</v>
      </c>
      <c r="P113" s="80">
        <f>SUMIFS('март 2024'!$G$4:$G$1612,'март 2024'!$D$4:$D$1612,$B113,'март 2024'!$J$4:$J$1612,P$1)</f>
        <v>0</v>
      </c>
      <c r="Q113" s="80">
        <f>SUMIFS('март 2024'!$G$4:$G$1612,'март 2024'!$D$4:$D$1612,$B113,'март 2024'!$J$4:$J$1612,Q$1)</f>
        <v>0</v>
      </c>
      <c r="R113" s="80">
        <f>SUMIFS('март 2024'!$G$4:$G$1612,'март 2024'!$D$4:$D$1612,$B113,'март 2024'!$J$4:$J$1612,R$1)</f>
        <v>0</v>
      </c>
      <c r="S113" s="80">
        <f>SUMIFS('март 2024'!$G$4:$G$1612,'март 2024'!$D$4:$D$1612,$B113,'март 2024'!$J$4:$J$1612,S$1)</f>
        <v>0</v>
      </c>
      <c r="T113" s="80">
        <f>SUMIFS('март 2024'!$G$4:$G$1612,'март 2024'!$D$4:$D$1612,$B113,'март 2024'!$J$4:$J$1612,T$1)</f>
        <v>0</v>
      </c>
      <c r="U113" s="80">
        <f>SUMIFS('март 2024'!$G$4:$G$1612,'март 2024'!$D$4:$D$1612,$B113,'март 2024'!$J$4:$J$1612,U$1)</f>
        <v>0</v>
      </c>
      <c r="V113" s="80">
        <f>SUMIFS('март 2024'!$G$4:$G$1612,'март 2024'!$D$4:$D$1612,$B113,'март 2024'!$J$4:$J$1612,V$1)</f>
        <v>0</v>
      </c>
      <c r="W113" s="80">
        <f>SUMIFS('март 2024'!$G$4:$G$1612,'март 2024'!$D$4:$D$1612,$B113,'март 2024'!$J$4:$J$1612,W$1)</f>
        <v>0</v>
      </c>
      <c r="X113" s="80">
        <f>SUMIFS('март 2024'!$G$4:$G$1612,'март 2024'!$D$4:$D$1612,$B113,'март 2024'!$J$4:$J$1612,X$1)</f>
        <v>0</v>
      </c>
      <c r="Y113" s="80">
        <f>SUMIFS('март 2024'!$G$4:$G$1612,'март 2024'!$D$4:$D$1612,$B113,'март 2024'!$J$4:$J$1612,Y$1)</f>
        <v>0</v>
      </c>
      <c r="Z113" s="80">
        <f>SUMIFS('март 2024'!$G$4:$G$1612,'март 2024'!$D$4:$D$1612,$B113,'март 2024'!$J$4:$J$1612,Z$1)</f>
        <v>0</v>
      </c>
      <c r="AA113" s="80">
        <f>SUMIFS('март 2024'!$G$4:$G$1612,'март 2024'!$D$4:$D$1612,$B113,'март 2024'!$J$4:$J$1612,AA$1)</f>
        <v>0</v>
      </c>
      <c r="AB113" s="80">
        <f>SUMIFS('март 2024'!$G$4:$G$1612,'март 2024'!$D$4:$D$1612,$B113,'март 2024'!$J$4:$J$1612,AB$1)</f>
        <v>0</v>
      </c>
      <c r="AC113" s="80">
        <f>SUMIFS('март 2024'!$G$4:$G$1612,'март 2024'!$D$4:$D$1612,$B113,'март 2024'!$J$4:$J$1612,AC$1)</f>
        <v>0</v>
      </c>
      <c r="AD113" s="80">
        <f>SUMIFS('март 2024'!$G$4:$G$1612,'март 2024'!$D$4:$D$1612,$B113,'март 2024'!$J$4:$J$1612,AD$1)</f>
        <v>0</v>
      </c>
      <c r="AE113" s="80">
        <f>SUMIFS('март 2024'!$G$4:$G$1612,'март 2024'!$D$4:$D$1612,$B113,'март 2024'!$J$4:$J$1612,AE$1)</f>
        <v>0</v>
      </c>
      <c r="AF113" s="80">
        <f>SUMIFS('март 2024'!$G$4:$G$1612,'март 2024'!$D$4:$D$1612,$B113,'март 2024'!$J$4:$J$1612,AF$1)</f>
        <v>0</v>
      </c>
      <c r="AG113" s="80">
        <f>SUMIFS('март 2024'!$G$4:$G$1612,'март 2024'!$D$4:$D$1612,$B113,'март 2024'!$J$4:$J$1612,AG$1)</f>
        <v>0</v>
      </c>
      <c r="AH113" s="80">
        <f>SUMIFS('март 2024'!$G$4:$G$1612,'март 2024'!$D$4:$D$1612,$B113,'март 2024'!$J$4:$J$1612,AH$1)</f>
        <v>0</v>
      </c>
      <c r="AI113" s="21">
        <f t="shared" si="1"/>
        <v>0</v>
      </c>
    </row>
    <row r="114" spans="2:35" ht="15" customHeight="1" x14ac:dyDescent="0.25">
      <c r="B114" s="89" t="s">
        <v>180</v>
      </c>
      <c r="C114" s="88">
        <v>200</v>
      </c>
      <c r="D114" s="80">
        <f>SUMIFS('март 2024'!$G$4:$G$1612,'март 2024'!$D$4:$D$1612,$B114,'март 2024'!$J$4:$J$1612,D$1)</f>
        <v>0</v>
      </c>
      <c r="E114" s="80">
        <f>SUMIFS('март 2024'!$G$4:$G$1612,'март 2024'!$D$4:$D$1612,$B114,'март 2024'!$J$4:$J$1612,E$1)</f>
        <v>0</v>
      </c>
      <c r="F114" s="80">
        <f>SUMIFS('март 2024'!$G$4:$G$1612,'март 2024'!$D$4:$D$1612,$B114,'март 2024'!$J$4:$J$1612,F$1)</f>
        <v>0</v>
      </c>
      <c r="G114" s="80">
        <f>SUMIFS('март 2024'!$G$4:$G$1612,'март 2024'!$D$4:$D$1612,$B114,'март 2024'!$J$4:$J$1612,G$1)</f>
        <v>0</v>
      </c>
      <c r="H114" s="80">
        <f>SUMIFS('март 2024'!$G$4:$G$1612,'март 2024'!$D$4:$D$1612,$B114,'март 2024'!$J$4:$J$1612,H$1)</f>
        <v>0</v>
      </c>
      <c r="I114" s="80">
        <f>SUMIFS('март 2024'!$G$4:$G$1612,'март 2024'!$D$4:$D$1612,$B114,'март 2024'!$J$4:$J$1612,I$1)</f>
        <v>0</v>
      </c>
      <c r="J114" s="80">
        <f>SUMIFS('март 2024'!$G$4:$G$1612,'март 2024'!$D$4:$D$1612,$B114,'март 2024'!$J$4:$J$1612,J$1)</f>
        <v>0</v>
      </c>
      <c r="K114" s="80">
        <f>SUMIFS('март 2024'!$G$4:$G$1612,'март 2024'!$D$4:$D$1612,$B114,'март 2024'!$J$4:$J$1612,K$1)</f>
        <v>0</v>
      </c>
      <c r="L114" s="80">
        <f>SUMIFS('март 2024'!$G$4:$G$1612,'март 2024'!$D$4:$D$1612,$B114,'март 2024'!$J$4:$J$1612,L$1)</f>
        <v>0</v>
      </c>
      <c r="M114" s="80">
        <f>SUMIFS('март 2024'!$G$4:$G$1612,'март 2024'!$D$4:$D$1612,$B114,'март 2024'!$J$4:$J$1612,M$1)</f>
        <v>0</v>
      </c>
      <c r="N114" s="80">
        <f>SUMIFS('март 2024'!$G$4:$G$1612,'март 2024'!$D$4:$D$1612,$B114,'март 2024'!$J$4:$J$1612,N$1)</f>
        <v>0</v>
      </c>
      <c r="O114" s="80">
        <f>SUMIFS('март 2024'!$G$4:$G$1612,'март 2024'!$D$4:$D$1612,$B114,'март 2024'!$J$4:$J$1612,O$1)</f>
        <v>0</v>
      </c>
      <c r="P114" s="80">
        <f>SUMIFS('март 2024'!$G$4:$G$1612,'март 2024'!$D$4:$D$1612,$B114,'март 2024'!$J$4:$J$1612,P$1)</f>
        <v>0</v>
      </c>
      <c r="Q114" s="80">
        <f>SUMIFS('март 2024'!$G$4:$G$1612,'март 2024'!$D$4:$D$1612,$B114,'март 2024'!$J$4:$J$1612,Q$1)</f>
        <v>0</v>
      </c>
      <c r="R114" s="80">
        <f>SUMIFS('март 2024'!$G$4:$G$1612,'март 2024'!$D$4:$D$1612,$B114,'март 2024'!$J$4:$J$1612,R$1)</f>
        <v>0</v>
      </c>
      <c r="S114" s="80">
        <f>SUMIFS('март 2024'!$G$4:$G$1612,'март 2024'!$D$4:$D$1612,$B114,'март 2024'!$J$4:$J$1612,S$1)</f>
        <v>0</v>
      </c>
      <c r="T114" s="80">
        <f>SUMIFS('март 2024'!$G$4:$G$1612,'март 2024'!$D$4:$D$1612,$B114,'март 2024'!$J$4:$J$1612,T$1)</f>
        <v>0</v>
      </c>
      <c r="U114" s="80">
        <f>SUMIFS('март 2024'!$G$4:$G$1612,'март 2024'!$D$4:$D$1612,$B114,'март 2024'!$J$4:$J$1612,U$1)</f>
        <v>0</v>
      </c>
      <c r="V114" s="80">
        <f>SUMIFS('март 2024'!$G$4:$G$1612,'март 2024'!$D$4:$D$1612,$B114,'март 2024'!$J$4:$J$1612,V$1)</f>
        <v>0</v>
      </c>
      <c r="W114" s="80">
        <f>SUMIFS('март 2024'!$G$4:$G$1612,'март 2024'!$D$4:$D$1612,$B114,'март 2024'!$J$4:$J$1612,W$1)</f>
        <v>0</v>
      </c>
      <c r="X114" s="80">
        <f>SUMIFS('март 2024'!$G$4:$G$1612,'март 2024'!$D$4:$D$1612,$B114,'март 2024'!$J$4:$J$1612,X$1)</f>
        <v>0</v>
      </c>
      <c r="Y114" s="80">
        <f>SUMIFS('март 2024'!$G$4:$G$1612,'март 2024'!$D$4:$D$1612,$B114,'март 2024'!$J$4:$J$1612,Y$1)</f>
        <v>0</v>
      </c>
      <c r="Z114" s="80">
        <f>SUMIFS('март 2024'!$G$4:$G$1612,'март 2024'!$D$4:$D$1612,$B114,'март 2024'!$J$4:$J$1612,Z$1)</f>
        <v>0</v>
      </c>
      <c r="AA114" s="80">
        <f>SUMIFS('март 2024'!$G$4:$G$1612,'март 2024'!$D$4:$D$1612,$B114,'март 2024'!$J$4:$J$1612,AA$1)</f>
        <v>0</v>
      </c>
      <c r="AB114" s="80">
        <f>SUMIFS('март 2024'!$G$4:$G$1612,'март 2024'!$D$4:$D$1612,$B114,'март 2024'!$J$4:$J$1612,AB$1)</f>
        <v>0</v>
      </c>
      <c r="AC114" s="80">
        <f>SUMIFS('март 2024'!$G$4:$G$1612,'март 2024'!$D$4:$D$1612,$B114,'март 2024'!$J$4:$J$1612,AC$1)</f>
        <v>0</v>
      </c>
      <c r="AD114" s="80">
        <f>SUMIFS('март 2024'!$G$4:$G$1612,'март 2024'!$D$4:$D$1612,$B114,'март 2024'!$J$4:$J$1612,AD$1)</f>
        <v>0</v>
      </c>
      <c r="AE114" s="80">
        <f>SUMIFS('март 2024'!$G$4:$G$1612,'март 2024'!$D$4:$D$1612,$B114,'март 2024'!$J$4:$J$1612,AE$1)</f>
        <v>0</v>
      </c>
      <c r="AF114" s="80">
        <f>SUMIFS('март 2024'!$G$4:$G$1612,'март 2024'!$D$4:$D$1612,$B114,'март 2024'!$J$4:$J$1612,AF$1)</f>
        <v>0</v>
      </c>
      <c r="AG114" s="80">
        <f>SUMIFS('март 2024'!$G$4:$G$1612,'март 2024'!$D$4:$D$1612,$B114,'март 2024'!$J$4:$J$1612,AG$1)</f>
        <v>0</v>
      </c>
      <c r="AH114" s="80">
        <f>SUMIFS('март 2024'!$G$4:$G$1612,'март 2024'!$D$4:$D$1612,$B114,'март 2024'!$J$4:$J$1612,AH$1)</f>
        <v>0</v>
      </c>
      <c r="AI114" s="21">
        <f t="shared" si="1"/>
        <v>0</v>
      </c>
    </row>
    <row r="115" spans="2:35" ht="15" customHeight="1" x14ac:dyDescent="0.25">
      <c r="B115" s="94" t="s">
        <v>194</v>
      </c>
      <c r="C115" s="95">
        <v>180</v>
      </c>
      <c r="D115" s="80">
        <f>SUMIFS('март 2024'!$G$4:$G$1612,'март 2024'!$D$4:$D$1612,$B115,'март 2024'!$J$4:$J$1612,D$1)</f>
        <v>0</v>
      </c>
      <c r="E115" s="80">
        <f>SUMIFS('март 2024'!$G$4:$G$1612,'март 2024'!$D$4:$D$1612,$B115,'март 2024'!$J$4:$J$1612,E$1)</f>
        <v>0</v>
      </c>
      <c r="F115" s="80">
        <f>SUMIFS('март 2024'!$G$4:$G$1612,'март 2024'!$D$4:$D$1612,$B115,'март 2024'!$J$4:$J$1612,F$1)</f>
        <v>0</v>
      </c>
      <c r="G115" s="80">
        <f>SUMIFS('март 2024'!$G$4:$G$1612,'март 2024'!$D$4:$D$1612,$B115,'март 2024'!$J$4:$J$1612,G$1)</f>
        <v>0</v>
      </c>
      <c r="H115" s="80">
        <f>SUMIFS('март 2024'!$G$4:$G$1612,'март 2024'!$D$4:$D$1612,$B115,'март 2024'!$J$4:$J$1612,H$1)</f>
        <v>0</v>
      </c>
      <c r="I115" s="80">
        <f>SUMIFS('март 2024'!$G$4:$G$1612,'март 2024'!$D$4:$D$1612,$B115,'март 2024'!$J$4:$J$1612,I$1)</f>
        <v>0</v>
      </c>
      <c r="J115" s="80">
        <f>SUMIFS('март 2024'!$G$4:$G$1612,'март 2024'!$D$4:$D$1612,$B115,'март 2024'!$J$4:$J$1612,J$1)</f>
        <v>0</v>
      </c>
      <c r="K115" s="80">
        <f>SUMIFS('март 2024'!$G$4:$G$1612,'март 2024'!$D$4:$D$1612,$B115,'март 2024'!$J$4:$J$1612,K$1)</f>
        <v>0</v>
      </c>
      <c r="L115" s="80">
        <f>SUMIFS('март 2024'!$G$4:$G$1612,'март 2024'!$D$4:$D$1612,$B115,'март 2024'!$J$4:$J$1612,L$1)</f>
        <v>0</v>
      </c>
      <c r="M115" s="80">
        <f>SUMIFS('март 2024'!$G$4:$G$1612,'март 2024'!$D$4:$D$1612,$B115,'март 2024'!$J$4:$J$1612,M$1)</f>
        <v>0</v>
      </c>
      <c r="N115" s="80">
        <f>SUMIFS('март 2024'!$G$4:$G$1612,'март 2024'!$D$4:$D$1612,$B115,'март 2024'!$J$4:$J$1612,N$1)</f>
        <v>0</v>
      </c>
      <c r="O115" s="80">
        <f>SUMIFS('март 2024'!$G$4:$G$1612,'март 2024'!$D$4:$D$1612,$B115,'март 2024'!$J$4:$J$1612,O$1)</f>
        <v>0</v>
      </c>
      <c r="P115" s="80">
        <f>SUMIFS('март 2024'!$G$4:$G$1612,'март 2024'!$D$4:$D$1612,$B115,'март 2024'!$J$4:$J$1612,P$1)</f>
        <v>0</v>
      </c>
      <c r="Q115" s="80">
        <f>SUMIFS('март 2024'!$G$4:$G$1612,'март 2024'!$D$4:$D$1612,$B115,'март 2024'!$J$4:$J$1612,Q$1)</f>
        <v>0</v>
      </c>
      <c r="R115" s="80">
        <f>SUMIFS('март 2024'!$G$4:$G$1612,'март 2024'!$D$4:$D$1612,$B115,'март 2024'!$J$4:$J$1612,R$1)</f>
        <v>0</v>
      </c>
      <c r="S115" s="80">
        <f>SUMIFS('март 2024'!$G$4:$G$1612,'март 2024'!$D$4:$D$1612,$B115,'март 2024'!$J$4:$J$1612,S$1)</f>
        <v>0</v>
      </c>
      <c r="T115" s="80">
        <f>SUMIFS('март 2024'!$G$4:$G$1612,'март 2024'!$D$4:$D$1612,$B115,'март 2024'!$J$4:$J$1612,T$1)</f>
        <v>0</v>
      </c>
      <c r="U115" s="80">
        <f>SUMIFS('март 2024'!$G$4:$G$1612,'март 2024'!$D$4:$D$1612,$B115,'март 2024'!$J$4:$J$1612,U$1)</f>
        <v>0</v>
      </c>
      <c r="V115" s="80">
        <f>SUMIFS('март 2024'!$G$4:$G$1612,'март 2024'!$D$4:$D$1612,$B115,'март 2024'!$J$4:$J$1612,V$1)</f>
        <v>0</v>
      </c>
      <c r="W115" s="80">
        <f>SUMIFS('март 2024'!$G$4:$G$1612,'март 2024'!$D$4:$D$1612,$B115,'март 2024'!$J$4:$J$1612,W$1)</f>
        <v>0</v>
      </c>
      <c r="X115" s="80">
        <f>SUMIFS('март 2024'!$G$4:$G$1612,'март 2024'!$D$4:$D$1612,$B115,'март 2024'!$J$4:$J$1612,X$1)</f>
        <v>0</v>
      </c>
      <c r="Y115" s="80">
        <f>SUMIFS('март 2024'!$G$4:$G$1612,'март 2024'!$D$4:$D$1612,$B115,'март 2024'!$J$4:$J$1612,Y$1)</f>
        <v>0</v>
      </c>
      <c r="Z115" s="80">
        <f>SUMIFS('март 2024'!$G$4:$G$1612,'март 2024'!$D$4:$D$1612,$B115,'март 2024'!$J$4:$J$1612,Z$1)</f>
        <v>0</v>
      </c>
      <c r="AA115" s="80">
        <f>SUMIFS('март 2024'!$G$4:$G$1612,'март 2024'!$D$4:$D$1612,$B115,'март 2024'!$J$4:$J$1612,AA$1)</f>
        <v>0</v>
      </c>
      <c r="AB115" s="80">
        <f>SUMIFS('март 2024'!$G$4:$G$1612,'март 2024'!$D$4:$D$1612,$B115,'март 2024'!$J$4:$J$1612,AB$1)</f>
        <v>0</v>
      </c>
      <c r="AC115" s="80">
        <f>SUMIFS('март 2024'!$G$4:$G$1612,'март 2024'!$D$4:$D$1612,$B115,'март 2024'!$J$4:$J$1612,AC$1)</f>
        <v>0</v>
      </c>
      <c r="AD115" s="80">
        <f>SUMIFS('март 2024'!$G$4:$G$1612,'март 2024'!$D$4:$D$1612,$B115,'март 2024'!$J$4:$J$1612,AD$1)</f>
        <v>0</v>
      </c>
      <c r="AE115" s="80">
        <f>SUMIFS('март 2024'!$G$4:$G$1612,'март 2024'!$D$4:$D$1612,$B115,'март 2024'!$J$4:$J$1612,AE$1)</f>
        <v>0</v>
      </c>
      <c r="AF115" s="80">
        <f>SUMIFS('март 2024'!$G$4:$G$1612,'март 2024'!$D$4:$D$1612,$B115,'март 2024'!$J$4:$J$1612,AF$1)</f>
        <v>0</v>
      </c>
      <c r="AG115" s="80">
        <f>SUMIFS('март 2024'!$G$4:$G$1612,'март 2024'!$D$4:$D$1612,$B115,'март 2024'!$J$4:$J$1612,AG$1)</f>
        <v>0</v>
      </c>
      <c r="AH115" s="80">
        <f>SUMIFS('март 2024'!$G$4:$G$1612,'март 2024'!$D$4:$D$1612,$B115,'март 2024'!$J$4:$J$1612,AH$1)</f>
        <v>0</v>
      </c>
      <c r="AI115" s="21">
        <f t="shared" si="1"/>
        <v>0</v>
      </c>
    </row>
    <row r="116" spans="2:35" ht="15" customHeight="1" x14ac:dyDescent="0.25">
      <c r="B116" s="89" t="s">
        <v>332</v>
      </c>
      <c r="C116" s="91">
        <v>180</v>
      </c>
      <c r="D116" s="80">
        <f>SUMIFS('март 2024'!$G$4:$G$1612,'март 2024'!$D$4:$D$1612,$B116,'март 2024'!$J$4:$J$1612,D$1)</f>
        <v>0</v>
      </c>
      <c r="E116" s="80">
        <f>SUMIFS('март 2024'!$G$4:$G$1612,'март 2024'!$D$4:$D$1612,$B116,'март 2024'!$J$4:$J$1612,E$1)</f>
        <v>0</v>
      </c>
      <c r="F116" s="80">
        <f>SUMIFS('март 2024'!$G$4:$G$1612,'март 2024'!$D$4:$D$1612,$B116,'март 2024'!$J$4:$J$1612,F$1)</f>
        <v>0</v>
      </c>
      <c r="G116" s="80">
        <f>SUMIFS('март 2024'!$G$4:$G$1612,'март 2024'!$D$4:$D$1612,$B116,'март 2024'!$J$4:$J$1612,G$1)</f>
        <v>0</v>
      </c>
      <c r="H116" s="80">
        <f>SUMIFS('март 2024'!$G$4:$G$1612,'март 2024'!$D$4:$D$1612,$B116,'март 2024'!$J$4:$J$1612,H$1)</f>
        <v>0</v>
      </c>
      <c r="I116" s="80">
        <f>SUMIFS('март 2024'!$G$4:$G$1612,'март 2024'!$D$4:$D$1612,$B116,'март 2024'!$J$4:$J$1612,I$1)</f>
        <v>0</v>
      </c>
      <c r="J116" s="80">
        <f>SUMIFS('март 2024'!$G$4:$G$1612,'март 2024'!$D$4:$D$1612,$B116,'март 2024'!$J$4:$J$1612,J$1)</f>
        <v>0</v>
      </c>
      <c r="K116" s="80">
        <f>SUMIFS('март 2024'!$G$4:$G$1612,'март 2024'!$D$4:$D$1612,$B116,'март 2024'!$J$4:$J$1612,K$1)</f>
        <v>0</v>
      </c>
      <c r="L116" s="80">
        <f>SUMIFS('март 2024'!$G$4:$G$1612,'март 2024'!$D$4:$D$1612,$B116,'март 2024'!$J$4:$J$1612,L$1)</f>
        <v>0</v>
      </c>
      <c r="M116" s="80">
        <f>SUMIFS('март 2024'!$G$4:$G$1612,'март 2024'!$D$4:$D$1612,$B116,'март 2024'!$J$4:$J$1612,M$1)</f>
        <v>0</v>
      </c>
      <c r="N116" s="80">
        <f>SUMIFS('март 2024'!$G$4:$G$1612,'март 2024'!$D$4:$D$1612,$B116,'март 2024'!$J$4:$J$1612,N$1)</f>
        <v>0</v>
      </c>
      <c r="O116" s="80">
        <f>SUMIFS('март 2024'!$G$4:$G$1612,'март 2024'!$D$4:$D$1612,$B116,'март 2024'!$J$4:$J$1612,O$1)</f>
        <v>0</v>
      </c>
      <c r="P116" s="80">
        <f>SUMIFS('март 2024'!$G$4:$G$1612,'март 2024'!$D$4:$D$1612,$B116,'март 2024'!$J$4:$J$1612,P$1)</f>
        <v>0</v>
      </c>
      <c r="Q116" s="80">
        <f>SUMIFS('март 2024'!$G$4:$G$1612,'март 2024'!$D$4:$D$1612,$B116,'март 2024'!$J$4:$J$1612,Q$1)</f>
        <v>0</v>
      </c>
      <c r="R116" s="80">
        <f>SUMIFS('март 2024'!$G$4:$G$1612,'март 2024'!$D$4:$D$1612,$B116,'март 2024'!$J$4:$J$1612,R$1)</f>
        <v>0</v>
      </c>
      <c r="S116" s="80">
        <f>SUMIFS('март 2024'!$G$4:$G$1612,'март 2024'!$D$4:$D$1612,$B116,'март 2024'!$J$4:$J$1612,S$1)</f>
        <v>0</v>
      </c>
      <c r="T116" s="80">
        <f>SUMIFS('март 2024'!$G$4:$G$1612,'март 2024'!$D$4:$D$1612,$B116,'март 2024'!$J$4:$J$1612,T$1)</f>
        <v>0</v>
      </c>
      <c r="U116" s="80">
        <f>SUMIFS('март 2024'!$G$4:$G$1612,'март 2024'!$D$4:$D$1612,$B116,'март 2024'!$J$4:$J$1612,U$1)</f>
        <v>0</v>
      </c>
      <c r="V116" s="80">
        <f>SUMIFS('март 2024'!$G$4:$G$1612,'март 2024'!$D$4:$D$1612,$B116,'март 2024'!$J$4:$J$1612,V$1)</f>
        <v>0</v>
      </c>
      <c r="W116" s="80">
        <f>SUMIFS('март 2024'!$G$4:$G$1612,'март 2024'!$D$4:$D$1612,$B116,'март 2024'!$J$4:$J$1612,W$1)</f>
        <v>0</v>
      </c>
      <c r="X116" s="80">
        <f>SUMIFS('март 2024'!$G$4:$G$1612,'март 2024'!$D$4:$D$1612,$B116,'март 2024'!$J$4:$J$1612,X$1)</f>
        <v>0</v>
      </c>
      <c r="Y116" s="80">
        <f>SUMIFS('март 2024'!$G$4:$G$1612,'март 2024'!$D$4:$D$1612,$B116,'март 2024'!$J$4:$J$1612,Y$1)</f>
        <v>0</v>
      </c>
      <c r="Z116" s="80">
        <f>SUMIFS('март 2024'!$G$4:$G$1612,'март 2024'!$D$4:$D$1612,$B116,'март 2024'!$J$4:$J$1612,Z$1)</f>
        <v>0</v>
      </c>
      <c r="AA116" s="80">
        <f>SUMIFS('март 2024'!$G$4:$G$1612,'март 2024'!$D$4:$D$1612,$B116,'март 2024'!$J$4:$J$1612,AA$1)</f>
        <v>0</v>
      </c>
      <c r="AB116" s="80">
        <f>SUMIFS('март 2024'!$G$4:$G$1612,'март 2024'!$D$4:$D$1612,$B116,'март 2024'!$J$4:$J$1612,AB$1)</f>
        <v>0</v>
      </c>
      <c r="AC116" s="80">
        <f>SUMIFS('март 2024'!$G$4:$G$1612,'март 2024'!$D$4:$D$1612,$B116,'март 2024'!$J$4:$J$1612,AC$1)</f>
        <v>0</v>
      </c>
      <c r="AD116" s="80">
        <f>SUMIFS('март 2024'!$G$4:$G$1612,'март 2024'!$D$4:$D$1612,$B116,'март 2024'!$J$4:$J$1612,AD$1)</f>
        <v>0</v>
      </c>
      <c r="AE116" s="80">
        <f>SUMIFS('март 2024'!$G$4:$G$1612,'март 2024'!$D$4:$D$1612,$B116,'март 2024'!$J$4:$J$1612,AE$1)</f>
        <v>0</v>
      </c>
      <c r="AF116" s="80">
        <f>SUMIFS('март 2024'!$G$4:$G$1612,'март 2024'!$D$4:$D$1612,$B116,'март 2024'!$J$4:$J$1612,AF$1)</f>
        <v>0</v>
      </c>
      <c r="AG116" s="80">
        <f>SUMIFS('март 2024'!$G$4:$G$1612,'март 2024'!$D$4:$D$1612,$B116,'март 2024'!$J$4:$J$1612,AG$1)</f>
        <v>0</v>
      </c>
      <c r="AH116" s="80">
        <f>SUMIFS('март 2024'!$G$4:$G$1612,'март 2024'!$D$4:$D$1612,$B116,'март 2024'!$J$4:$J$1612,AH$1)</f>
        <v>0</v>
      </c>
      <c r="AI116" s="21">
        <f t="shared" si="1"/>
        <v>0</v>
      </c>
    </row>
    <row r="117" spans="2:35" ht="15" customHeight="1" x14ac:dyDescent="0.25">
      <c r="B117" s="89" t="s">
        <v>342</v>
      </c>
      <c r="C117" s="91">
        <v>180</v>
      </c>
      <c r="D117" s="80">
        <f>SUMIFS('март 2024'!$G$4:$G$1612,'март 2024'!$D$4:$D$1612,$B117,'март 2024'!$J$4:$J$1612,D$1)</f>
        <v>0</v>
      </c>
      <c r="E117" s="80">
        <f>SUMIFS('март 2024'!$G$4:$G$1612,'март 2024'!$D$4:$D$1612,$B117,'март 2024'!$J$4:$J$1612,E$1)</f>
        <v>0</v>
      </c>
      <c r="F117" s="80">
        <f>SUMIFS('март 2024'!$G$4:$G$1612,'март 2024'!$D$4:$D$1612,$B117,'март 2024'!$J$4:$J$1612,F$1)</f>
        <v>0</v>
      </c>
      <c r="G117" s="80">
        <f>SUMIFS('март 2024'!$G$4:$G$1612,'март 2024'!$D$4:$D$1612,$B117,'март 2024'!$J$4:$J$1612,G$1)</f>
        <v>0</v>
      </c>
      <c r="H117" s="80">
        <f>SUMIFS('март 2024'!$G$4:$G$1612,'март 2024'!$D$4:$D$1612,$B117,'март 2024'!$J$4:$J$1612,H$1)</f>
        <v>0</v>
      </c>
      <c r="I117" s="80">
        <f>SUMIFS('март 2024'!$G$4:$G$1612,'март 2024'!$D$4:$D$1612,$B117,'март 2024'!$J$4:$J$1612,I$1)</f>
        <v>0</v>
      </c>
      <c r="J117" s="80">
        <f>SUMIFS('март 2024'!$G$4:$G$1612,'март 2024'!$D$4:$D$1612,$B117,'март 2024'!$J$4:$J$1612,J$1)</f>
        <v>0</v>
      </c>
      <c r="K117" s="80">
        <f>SUMIFS('март 2024'!$G$4:$G$1612,'март 2024'!$D$4:$D$1612,$B117,'март 2024'!$J$4:$J$1612,K$1)</f>
        <v>0</v>
      </c>
      <c r="L117" s="80">
        <f>SUMIFS('март 2024'!$G$4:$G$1612,'март 2024'!$D$4:$D$1612,$B117,'март 2024'!$J$4:$J$1612,L$1)</f>
        <v>0</v>
      </c>
      <c r="M117" s="80">
        <f>SUMIFS('март 2024'!$G$4:$G$1612,'март 2024'!$D$4:$D$1612,$B117,'март 2024'!$J$4:$J$1612,M$1)</f>
        <v>0</v>
      </c>
      <c r="N117" s="80">
        <f>SUMIFS('март 2024'!$G$4:$G$1612,'март 2024'!$D$4:$D$1612,$B117,'март 2024'!$J$4:$J$1612,N$1)</f>
        <v>0</v>
      </c>
      <c r="O117" s="80">
        <f>SUMIFS('март 2024'!$G$4:$G$1612,'март 2024'!$D$4:$D$1612,$B117,'март 2024'!$J$4:$J$1612,O$1)</f>
        <v>0</v>
      </c>
      <c r="P117" s="80">
        <f>SUMIFS('март 2024'!$G$4:$G$1612,'март 2024'!$D$4:$D$1612,$B117,'март 2024'!$J$4:$J$1612,P$1)</f>
        <v>0</v>
      </c>
      <c r="Q117" s="80">
        <f>SUMIFS('март 2024'!$G$4:$G$1612,'март 2024'!$D$4:$D$1612,$B117,'март 2024'!$J$4:$J$1612,Q$1)</f>
        <v>0</v>
      </c>
      <c r="R117" s="80">
        <f>SUMIFS('март 2024'!$G$4:$G$1612,'март 2024'!$D$4:$D$1612,$B117,'март 2024'!$J$4:$J$1612,R$1)</f>
        <v>0</v>
      </c>
      <c r="S117" s="80">
        <f>SUMIFS('март 2024'!$G$4:$G$1612,'март 2024'!$D$4:$D$1612,$B117,'март 2024'!$J$4:$J$1612,S$1)</f>
        <v>0</v>
      </c>
      <c r="T117" s="80">
        <f>SUMIFS('март 2024'!$G$4:$G$1612,'март 2024'!$D$4:$D$1612,$B117,'март 2024'!$J$4:$J$1612,T$1)</f>
        <v>0</v>
      </c>
      <c r="U117" s="80">
        <f>SUMIFS('март 2024'!$G$4:$G$1612,'март 2024'!$D$4:$D$1612,$B117,'март 2024'!$J$4:$J$1612,U$1)</f>
        <v>0</v>
      </c>
      <c r="V117" s="80">
        <f>SUMIFS('март 2024'!$G$4:$G$1612,'март 2024'!$D$4:$D$1612,$B117,'март 2024'!$J$4:$J$1612,V$1)</f>
        <v>0</v>
      </c>
      <c r="W117" s="80">
        <f>SUMIFS('март 2024'!$G$4:$G$1612,'март 2024'!$D$4:$D$1612,$B117,'март 2024'!$J$4:$J$1612,W$1)</f>
        <v>0</v>
      </c>
      <c r="X117" s="80">
        <f>SUMIFS('март 2024'!$G$4:$G$1612,'март 2024'!$D$4:$D$1612,$B117,'март 2024'!$J$4:$J$1612,X$1)</f>
        <v>0</v>
      </c>
      <c r="Y117" s="80">
        <f>SUMIFS('март 2024'!$G$4:$G$1612,'март 2024'!$D$4:$D$1612,$B117,'март 2024'!$J$4:$J$1612,Y$1)</f>
        <v>4</v>
      </c>
      <c r="Z117" s="80">
        <f>SUMIFS('март 2024'!$G$4:$G$1612,'март 2024'!$D$4:$D$1612,$B117,'март 2024'!$J$4:$J$1612,Z$1)</f>
        <v>0</v>
      </c>
      <c r="AA117" s="80">
        <f>SUMIFS('март 2024'!$G$4:$G$1612,'март 2024'!$D$4:$D$1612,$B117,'март 2024'!$J$4:$J$1612,AA$1)</f>
        <v>0</v>
      </c>
      <c r="AB117" s="80">
        <f>SUMIFS('март 2024'!$G$4:$G$1612,'март 2024'!$D$4:$D$1612,$B117,'март 2024'!$J$4:$J$1612,AB$1)</f>
        <v>0</v>
      </c>
      <c r="AC117" s="80">
        <f>SUMIFS('март 2024'!$G$4:$G$1612,'март 2024'!$D$4:$D$1612,$B117,'март 2024'!$J$4:$J$1612,AC$1)</f>
        <v>0</v>
      </c>
      <c r="AD117" s="80">
        <f>SUMIFS('март 2024'!$G$4:$G$1612,'март 2024'!$D$4:$D$1612,$B117,'март 2024'!$J$4:$J$1612,AD$1)</f>
        <v>0</v>
      </c>
      <c r="AE117" s="80">
        <f>SUMIFS('март 2024'!$G$4:$G$1612,'март 2024'!$D$4:$D$1612,$B117,'март 2024'!$J$4:$J$1612,AE$1)</f>
        <v>0</v>
      </c>
      <c r="AF117" s="80">
        <f>SUMIFS('март 2024'!$G$4:$G$1612,'март 2024'!$D$4:$D$1612,$B117,'март 2024'!$J$4:$J$1612,AF$1)</f>
        <v>0</v>
      </c>
      <c r="AG117" s="80">
        <f>SUMIFS('март 2024'!$G$4:$G$1612,'март 2024'!$D$4:$D$1612,$B117,'март 2024'!$J$4:$J$1612,AG$1)</f>
        <v>0</v>
      </c>
      <c r="AH117" s="80">
        <f>SUMIFS('март 2024'!$G$4:$G$1612,'март 2024'!$D$4:$D$1612,$B117,'март 2024'!$J$4:$J$1612,AH$1)</f>
        <v>0</v>
      </c>
      <c r="AI117" s="21">
        <f t="shared" si="1"/>
        <v>4</v>
      </c>
    </row>
    <row r="118" spans="2:35" ht="15" customHeight="1" x14ac:dyDescent="0.25">
      <c r="B118" s="89" t="s">
        <v>760</v>
      </c>
      <c r="C118" s="91">
        <v>190</v>
      </c>
      <c r="D118" s="80">
        <f>SUMIFS('март 2024'!$G$4:$G$1612,'март 2024'!$D$4:$D$1612,$B118,'март 2024'!$J$4:$J$1612,D$1)</f>
        <v>0</v>
      </c>
      <c r="E118" s="80">
        <f>SUMIFS('март 2024'!$G$4:$G$1612,'март 2024'!$D$4:$D$1612,$B118,'март 2024'!$J$4:$J$1612,E$1)</f>
        <v>0</v>
      </c>
      <c r="F118" s="80">
        <f>SUMIFS('март 2024'!$G$4:$G$1612,'март 2024'!$D$4:$D$1612,$B118,'март 2024'!$J$4:$J$1612,F$1)</f>
        <v>0</v>
      </c>
      <c r="G118" s="80">
        <f>SUMIFS('март 2024'!$G$4:$G$1612,'март 2024'!$D$4:$D$1612,$B118,'март 2024'!$J$4:$J$1612,G$1)</f>
        <v>0</v>
      </c>
      <c r="H118" s="80">
        <f>SUMIFS('март 2024'!$G$4:$G$1612,'март 2024'!$D$4:$D$1612,$B118,'март 2024'!$J$4:$J$1612,H$1)</f>
        <v>0</v>
      </c>
      <c r="I118" s="80">
        <f>SUMIFS('март 2024'!$G$4:$G$1612,'март 2024'!$D$4:$D$1612,$B118,'март 2024'!$J$4:$J$1612,I$1)</f>
        <v>0</v>
      </c>
      <c r="J118" s="80">
        <f>SUMIFS('март 2024'!$G$4:$G$1612,'март 2024'!$D$4:$D$1612,$B118,'март 2024'!$J$4:$J$1612,J$1)</f>
        <v>0</v>
      </c>
      <c r="K118" s="80">
        <f>SUMIFS('март 2024'!$G$4:$G$1612,'март 2024'!$D$4:$D$1612,$B118,'март 2024'!$J$4:$J$1612,K$1)</f>
        <v>0</v>
      </c>
      <c r="L118" s="80">
        <f>SUMIFS('март 2024'!$G$4:$G$1612,'март 2024'!$D$4:$D$1612,$B118,'март 2024'!$J$4:$J$1612,L$1)</f>
        <v>0</v>
      </c>
      <c r="M118" s="80">
        <f>SUMIFS('март 2024'!$G$4:$G$1612,'март 2024'!$D$4:$D$1612,$B118,'март 2024'!$J$4:$J$1612,M$1)</f>
        <v>0</v>
      </c>
      <c r="N118" s="80">
        <f>SUMIFS('март 2024'!$G$4:$G$1612,'март 2024'!$D$4:$D$1612,$B118,'март 2024'!$J$4:$J$1612,N$1)</f>
        <v>9</v>
      </c>
      <c r="O118" s="80">
        <f>SUMIFS('март 2024'!$G$4:$G$1612,'март 2024'!$D$4:$D$1612,$B118,'март 2024'!$J$4:$J$1612,O$1)</f>
        <v>0</v>
      </c>
      <c r="P118" s="80">
        <f>SUMIFS('март 2024'!$G$4:$G$1612,'март 2024'!$D$4:$D$1612,$B118,'март 2024'!$J$4:$J$1612,P$1)</f>
        <v>0</v>
      </c>
      <c r="Q118" s="80">
        <f>SUMIFS('март 2024'!$G$4:$G$1612,'март 2024'!$D$4:$D$1612,$B118,'март 2024'!$J$4:$J$1612,Q$1)</f>
        <v>0</v>
      </c>
      <c r="R118" s="80">
        <f>SUMIFS('март 2024'!$G$4:$G$1612,'март 2024'!$D$4:$D$1612,$B118,'март 2024'!$J$4:$J$1612,R$1)</f>
        <v>0</v>
      </c>
      <c r="S118" s="80">
        <f>SUMIFS('март 2024'!$G$4:$G$1612,'март 2024'!$D$4:$D$1612,$B118,'март 2024'!$J$4:$J$1612,S$1)</f>
        <v>0</v>
      </c>
      <c r="T118" s="80">
        <f>SUMIFS('март 2024'!$G$4:$G$1612,'март 2024'!$D$4:$D$1612,$B118,'март 2024'!$J$4:$J$1612,T$1)</f>
        <v>0</v>
      </c>
      <c r="U118" s="80">
        <f>SUMIFS('март 2024'!$G$4:$G$1612,'март 2024'!$D$4:$D$1612,$B118,'март 2024'!$J$4:$J$1612,U$1)</f>
        <v>0</v>
      </c>
      <c r="V118" s="80">
        <f>SUMIFS('март 2024'!$G$4:$G$1612,'март 2024'!$D$4:$D$1612,$B118,'март 2024'!$J$4:$J$1612,V$1)</f>
        <v>0</v>
      </c>
      <c r="W118" s="80">
        <f>SUMIFS('март 2024'!$G$4:$G$1612,'март 2024'!$D$4:$D$1612,$B118,'март 2024'!$J$4:$J$1612,W$1)</f>
        <v>0</v>
      </c>
      <c r="X118" s="80">
        <f>SUMIFS('март 2024'!$G$4:$G$1612,'март 2024'!$D$4:$D$1612,$B118,'март 2024'!$J$4:$J$1612,X$1)</f>
        <v>0</v>
      </c>
      <c r="Y118" s="80">
        <f>SUMIFS('март 2024'!$G$4:$G$1612,'март 2024'!$D$4:$D$1612,$B118,'март 2024'!$J$4:$J$1612,Y$1)</f>
        <v>0</v>
      </c>
      <c r="Z118" s="80">
        <f>SUMIFS('март 2024'!$G$4:$G$1612,'март 2024'!$D$4:$D$1612,$B118,'март 2024'!$J$4:$J$1612,Z$1)</f>
        <v>0</v>
      </c>
      <c r="AA118" s="80">
        <f>SUMIFS('март 2024'!$G$4:$G$1612,'март 2024'!$D$4:$D$1612,$B118,'март 2024'!$J$4:$J$1612,AA$1)</f>
        <v>0</v>
      </c>
      <c r="AB118" s="80">
        <f>SUMIFS('март 2024'!$G$4:$G$1612,'март 2024'!$D$4:$D$1612,$B118,'март 2024'!$J$4:$J$1612,AB$1)</f>
        <v>0</v>
      </c>
      <c r="AC118" s="80">
        <f>SUMIFS('март 2024'!$G$4:$G$1612,'март 2024'!$D$4:$D$1612,$B118,'март 2024'!$J$4:$J$1612,AC$1)</f>
        <v>0</v>
      </c>
      <c r="AD118" s="80">
        <f>SUMIFS('март 2024'!$G$4:$G$1612,'март 2024'!$D$4:$D$1612,$B118,'март 2024'!$J$4:$J$1612,AD$1)</f>
        <v>0</v>
      </c>
      <c r="AE118" s="80">
        <f>SUMIFS('март 2024'!$G$4:$G$1612,'март 2024'!$D$4:$D$1612,$B118,'март 2024'!$J$4:$J$1612,AE$1)</f>
        <v>0</v>
      </c>
      <c r="AF118" s="80">
        <f>SUMIFS('март 2024'!$G$4:$G$1612,'март 2024'!$D$4:$D$1612,$B118,'март 2024'!$J$4:$J$1612,AF$1)</f>
        <v>0</v>
      </c>
      <c r="AG118" s="80">
        <f>SUMIFS('март 2024'!$G$4:$G$1612,'март 2024'!$D$4:$D$1612,$B118,'март 2024'!$J$4:$J$1612,AG$1)</f>
        <v>0</v>
      </c>
      <c r="AH118" s="80">
        <f>SUMIFS('март 2024'!$G$4:$G$1612,'март 2024'!$D$4:$D$1612,$B118,'март 2024'!$J$4:$J$1612,AH$1)</f>
        <v>0</v>
      </c>
      <c r="AI118" s="21">
        <f>SUM(D118:AH118)</f>
        <v>9</v>
      </c>
    </row>
    <row r="119" spans="2:35" ht="15" customHeight="1" x14ac:dyDescent="0.25">
      <c r="B119" s="89" t="s">
        <v>333</v>
      </c>
      <c r="C119" s="91">
        <v>200</v>
      </c>
      <c r="D119" s="80">
        <f>SUMIFS('март 2024'!$G$4:$G$1612,'март 2024'!$D$4:$D$1612,$B119,'март 2024'!$J$4:$J$1612,D$1)</f>
        <v>0</v>
      </c>
      <c r="E119" s="80">
        <f>SUMIFS('март 2024'!$G$4:$G$1612,'март 2024'!$D$4:$D$1612,$B119,'март 2024'!$J$4:$J$1612,E$1)</f>
        <v>0</v>
      </c>
      <c r="F119" s="80">
        <f>SUMIFS('март 2024'!$G$4:$G$1612,'март 2024'!$D$4:$D$1612,$B119,'март 2024'!$J$4:$J$1612,F$1)</f>
        <v>0</v>
      </c>
      <c r="G119" s="80">
        <f>SUMIFS('март 2024'!$G$4:$G$1612,'март 2024'!$D$4:$D$1612,$B119,'март 2024'!$J$4:$J$1612,G$1)</f>
        <v>0</v>
      </c>
      <c r="H119" s="80">
        <f>SUMIFS('март 2024'!$G$4:$G$1612,'март 2024'!$D$4:$D$1612,$B119,'март 2024'!$J$4:$J$1612,H$1)</f>
        <v>0</v>
      </c>
      <c r="I119" s="80">
        <f>SUMIFS('март 2024'!$G$4:$G$1612,'март 2024'!$D$4:$D$1612,$B119,'март 2024'!$J$4:$J$1612,I$1)</f>
        <v>0</v>
      </c>
      <c r="J119" s="80">
        <f>SUMIFS('март 2024'!$G$4:$G$1612,'март 2024'!$D$4:$D$1612,$B119,'март 2024'!$J$4:$J$1612,J$1)</f>
        <v>0</v>
      </c>
      <c r="K119" s="80">
        <f>SUMIFS('март 2024'!$G$4:$G$1612,'март 2024'!$D$4:$D$1612,$B119,'март 2024'!$J$4:$J$1612,K$1)</f>
        <v>0</v>
      </c>
      <c r="L119" s="80">
        <f>SUMIFS('март 2024'!$G$4:$G$1612,'март 2024'!$D$4:$D$1612,$B119,'март 2024'!$J$4:$J$1612,L$1)</f>
        <v>0</v>
      </c>
      <c r="M119" s="80">
        <f>SUMIFS('март 2024'!$G$4:$G$1612,'март 2024'!$D$4:$D$1612,$B119,'март 2024'!$J$4:$J$1612,M$1)</f>
        <v>0</v>
      </c>
      <c r="N119" s="80">
        <f>SUMIFS('март 2024'!$G$4:$G$1612,'март 2024'!$D$4:$D$1612,$B119,'март 2024'!$J$4:$J$1612,N$1)</f>
        <v>0</v>
      </c>
      <c r="O119" s="80">
        <f>SUMIFS('март 2024'!$G$4:$G$1612,'март 2024'!$D$4:$D$1612,$B119,'март 2024'!$J$4:$J$1612,O$1)</f>
        <v>0</v>
      </c>
      <c r="P119" s="80">
        <f>SUMIFS('март 2024'!$G$4:$G$1612,'март 2024'!$D$4:$D$1612,$B119,'март 2024'!$J$4:$J$1612,P$1)</f>
        <v>0</v>
      </c>
      <c r="Q119" s="80">
        <f>SUMIFS('март 2024'!$G$4:$G$1612,'март 2024'!$D$4:$D$1612,$B119,'март 2024'!$J$4:$J$1612,Q$1)</f>
        <v>0</v>
      </c>
      <c r="R119" s="80">
        <f>SUMIFS('март 2024'!$G$4:$G$1612,'март 2024'!$D$4:$D$1612,$B119,'март 2024'!$J$4:$J$1612,R$1)</f>
        <v>0</v>
      </c>
      <c r="S119" s="80">
        <f>SUMIFS('март 2024'!$G$4:$G$1612,'март 2024'!$D$4:$D$1612,$B119,'март 2024'!$J$4:$J$1612,S$1)</f>
        <v>0</v>
      </c>
      <c r="T119" s="80">
        <f>SUMIFS('март 2024'!$G$4:$G$1612,'март 2024'!$D$4:$D$1612,$B119,'март 2024'!$J$4:$J$1612,T$1)</f>
        <v>0</v>
      </c>
      <c r="U119" s="80">
        <f>SUMIFS('март 2024'!$G$4:$G$1612,'март 2024'!$D$4:$D$1612,$B119,'март 2024'!$J$4:$J$1612,U$1)</f>
        <v>0</v>
      </c>
      <c r="V119" s="80">
        <f>SUMIFS('март 2024'!$G$4:$G$1612,'март 2024'!$D$4:$D$1612,$B119,'март 2024'!$J$4:$J$1612,V$1)</f>
        <v>0</v>
      </c>
      <c r="W119" s="80">
        <f>SUMIFS('март 2024'!$G$4:$G$1612,'март 2024'!$D$4:$D$1612,$B119,'март 2024'!$J$4:$J$1612,W$1)</f>
        <v>0</v>
      </c>
      <c r="X119" s="80">
        <f>SUMIFS('март 2024'!$G$4:$G$1612,'март 2024'!$D$4:$D$1612,$B119,'март 2024'!$J$4:$J$1612,X$1)</f>
        <v>0</v>
      </c>
      <c r="Y119" s="80">
        <f>SUMIFS('март 2024'!$G$4:$G$1612,'март 2024'!$D$4:$D$1612,$B119,'март 2024'!$J$4:$J$1612,Y$1)</f>
        <v>0</v>
      </c>
      <c r="Z119" s="80">
        <f>SUMIFS('март 2024'!$G$4:$G$1612,'март 2024'!$D$4:$D$1612,$B119,'март 2024'!$J$4:$J$1612,Z$1)</f>
        <v>0</v>
      </c>
      <c r="AA119" s="80">
        <f>SUMIFS('март 2024'!$G$4:$G$1612,'март 2024'!$D$4:$D$1612,$B119,'март 2024'!$J$4:$J$1612,AA$1)</f>
        <v>0</v>
      </c>
      <c r="AB119" s="80">
        <f>SUMIFS('март 2024'!$G$4:$G$1612,'март 2024'!$D$4:$D$1612,$B119,'март 2024'!$J$4:$J$1612,AB$1)</f>
        <v>0</v>
      </c>
      <c r="AC119" s="80">
        <f>SUMIFS('март 2024'!$G$4:$G$1612,'март 2024'!$D$4:$D$1612,$B119,'март 2024'!$J$4:$J$1612,AC$1)</f>
        <v>0</v>
      </c>
      <c r="AD119" s="80">
        <f>SUMIFS('март 2024'!$G$4:$G$1612,'март 2024'!$D$4:$D$1612,$B119,'март 2024'!$J$4:$J$1612,AD$1)</f>
        <v>0</v>
      </c>
      <c r="AE119" s="80">
        <f>SUMIFS('март 2024'!$G$4:$G$1612,'март 2024'!$D$4:$D$1612,$B119,'март 2024'!$J$4:$J$1612,AE$1)</f>
        <v>0</v>
      </c>
      <c r="AF119" s="80">
        <f>SUMIFS('март 2024'!$G$4:$G$1612,'март 2024'!$D$4:$D$1612,$B119,'март 2024'!$J$4:$J$1612,AF$1)</f>
        <v>0</v>
      </c>
      <c r="AG119" s="80">
        <f>SUMIFS('март 2024'!$G$4:$G$1612,'март 2024'!$D$4:$D$1612,$B119,'март 2024'!$J$4:$J$1612,AG$1)</f>
        <v>0</v>
      </c>
      <c r="AH119" s="80">
        <f>SUMIFS('март 2024'!$G$4:$G$1612,'март 2024'!$D$4:$D$1612,$B119,'март 2024'!$J$4:$J$1612,AH$1)</f>
        <v>0</v>
      </c>
      <c r="AI119" s="21">
        <f t="shared" si="1"/>
        <v>0</v>
      </c>
    </row>
    <row r="120" spans="2:35" ht="15" customHeight="1" x14ac:dyDescent="0.25">
      <c r="B120" s="89" t="s">
        <v>343</v>
      </c>
      <c r="C120" s="91">
        <v>200</v>
      </c>
      <c r="D120" s="80">
        <f>SUMIFS('март 2024'!$G$4:$G$1612,'март 2024'!$D$4:$D$1612,$B120,'март 2024'!$J$4:$J$1612,D$1)</f>
        <v>0</v>
      </c>
      <c r="E120" s="80">
        <f>SUMIFS('март 2024'!$G$4:$G$1612,'март 2024'!$D$4:$D$1612,$B120,'март 2024'!$J$4:$J$1612,E$1)</f>
        <v>0</v>
      </c>
      <c r="F120" s="80">
        <f>SUMIFS('март 2024'!$G$4:$G$1612,'март 2024'!$D$4:$D$1612,$B120,'март 2024'!$J$4:$J$1612,F$1)</f>
        <v>0</v>
      </c>
      <c r="G120" s="80">
        <f>SUMIFS('март 2024'!$G$4:$G$1612,'март 2024'!$D$4:$D$1612,$B120,'март 2024'!$J$4:$J$1612,G$1)</f>
        <v>0</v>
      </c>
      <c r="H120" s="80">
        <f>SUMIFS('март 2024'!$G$4:$G$1612,'март 2024'!$D$4:$D$1612,$B120,'март 2024'!$J$4:$J$1612,H$1)</f>
        <v>0</v>
      </c>
      <c r="I120" s="80">
        <f>SUMIFS('март 2024'!$G$4:$G$1612,'март 2024'!$D$4:$D$1612,$B120,'март 2024'!$J$4:$J$1612,I$1)</f>
        <v>0</v>
      </c>
      <c r="J120" s="80">
        <f>SUMIFS('март 2024'!$G$4:$G$1612,'март 2024'!$D$4:$D$1612,$B120,'март 2024'!$J$4:$J$1612,J$1)</f>
        <v>0</v>
      </c>
      <c r="K120" s="80">
        <f>SUMIFS('март 2024'!$G$4:$G$1612,'март 2024'!$D$4:$D$1612,$B120,'март 2024'!$J$4:$J$1612,K$1)</f>
        <v>0</v>
      </c>
      <c r="L120" s="80">
        <f>SUMIFS('март 2024'!$G$4:$G$1612,'март 2024'!$D$4:$D$1612,$B120,'март 2024'!$J$4:$J$1612,L$1)</f>
        <v>0</v>
      </c>
      <c r="M120" s="80">
        <f>SUMIFS('март 2024'!$G$4:$G$1612,'март 2024'!$D$4:$D$1612,$B120,'март 2024'!$J$4:$J$1612,M$1)</f>
        <v>0</v>
      </c>
      <c r="N120" s="80">
        <f>SUMIFS('март 2024'!$G$4:$G$1612,'март 2024'!$D$4:$D$1612,$B120,'март 2024'!$J$4:$J$1612,N$1)</f>
        <v>0</v>
      </c>
      <c r="O120" s="80">
        <f>SUMIFS('март 2024'!$G$4:$G$1612,'март 2024'!$D$4:$D$1612,$B120,'март 2024'!$J$4:$J$1612,O$1)</f>
        <v>0</v>
      </c>
      <c r="P120" s="80">
        <f>SUMIFS('март 2024'!$G$4:$G$1612,'март 2024'!$D$4:$D$1612,$B120,'март 2024'!$J$4:$J$1612,P$1)</f>
        <v>0</v>
      </c>
      <c r="Q120" s="80">
        <f>SUMIFS('март 2024'!$G$4:$G$1612,'март 2024'!$D$4:$D$1612,$B120,'март 2024'!$J$4:$J$1612,Q$1)</f>
        <v>0</v>
      </c>
      <c r="R120" s="80">
        <f>SUMIFS('март 2024'!$G$4:$G$1612,'март 2024'!$D$4:$D$1612,$B120,'март 2024'!$J$4:$J$1612,R$1)</f>
        <v>0</v>
      </c>
      <c r="S120" s="80">
        <f>SUMIFS('март 2024'!$G$4:$G$1612,'март 2024'!$D$4:$D$1612,$B120,'март 2024'!$J$4:$J$1612,S$1)</f>
        <v>0</v>
      </c>
      <c r="T120" s="80">
        <f>SUMIFS('март 2024'!$G$4:$G$1612,'март 2024'!$D$4:$D$1612,$B120,'март 2024'!$J$4:$J$1612,T$1)</f>
        <v>0</v>
      </c>
      <c r="U120" s="80">
        <f>SUMIFS('март 2024'!$G$4:$G$1612,'март 2024'!$D$4:$D$1612,$B120,'март 2024'!$J$4:$J$1612,U$1)</f>
        <v>0</v>
      </c>
      <c r="V120" s="80">
        <f>SUMIFS('март 2024'!$G$4:$G$1612,'март 2024'!$D$4:$D$1612,$B120,'март 2024'!$J$4:$J$1612,V$1)</f>
        <v>0</v>
      </c>
      <c r="W120" s="80">
        <f>SUMIFS('март 2024'!$G$4:$G$1612,'март 2024'!$D$4:$D$1612,$B120,'март 2024'!$J$4:$J$1612,W$1)</f>
        <v>0</v>
      </c>
      <c r="X120" s="80">
        <f>SUMIFS('март 2024'!$G$4:$G$1612,'март 2024'!$D$4:$D$1612,$B120,'март 2024'!$J$4:$J$1612,X$1)</f>
        <v>0</v>
      </c>
      <c r="Y120" s="80">
        <f>SUMIFS('март 2024'!$G$4:$G$1612,'март 2024'!$D$4:$D$1612,$B120,'март 2024'!$J$4:$J$1612,Y$1)</f>
        <v>0</v>
      </c>
      <c r="Z120" s="80">
        <f>SUMIFS('март 2024'!$G$4:$G$1612,'март 2024'!$D$4:$D$1612,$B120,'март 2024'!$J$4:$J$1612,Z$1)</f>
        <v>0</v>
      </c>
      <c r="AA120" s="80">
        <f>SUMIFS('март 2024'!$G$4:$G$1612,'март 2024'!$D$4:$D$1612,$B120,'март 2024'!$J$4:$J$1612,AA$1)</f>
        <v>0</v>
      </c>
      <c r="AB120" s="80">
        <f>SUMIFS('март 2024'!$G$4:$G$1612,'март 2024'!$D$4:$D$1612,$B120,'март 2024'!$J$4:$J$1612,AB$1)</f>
        <v>0</v>
      </c>
      <c r="AC120" s="80">
        <f>SUMIFS('март 2024'!$G$4:$G$1612,'март 2024'!$D$4:$D$1612,$B120,'март 2024'!$J$4:$J$1612,AC$1)</f>
        <v>0</v>
      </c>
      <c r="AD120" s="80">
        <f>SUMIFS('март 2024'!$G$4:$G$1612,'март 2024'!$D$4:$D$1612,$B120,'март 2024'!$J$4:$J$1612,AD$1)</f>
        <v>0</v>
      </c>
      <c r="AE120" s="80">
        <f>SUMIFS('март 2024'!$G$4:$G$1612,'март 2024'!$D$4:$D$1612,$B120,'март 2024'!$J$4:$J$1612,AE$1)</f>
        <v>0</v>
      </c>
      <c r="AF120" s="80">
        <f>SUMIFS('март 2024'!$G$4:$G$1612,'март 2024'!$D$4:$D$1612,$B120,'март 2024'!$J$4:$J$1612,AF$1)</f>
        <v>0</v>
      </c>
      <c r="AG120" s="80">
        <f>SUMIFS('март 2024'!$G$4:$G$1612,'март 2024'!$D$4:$D$1612,$B120,'март 2024'!$J$4:$J$1612,AG$1)</f>
        <v>0</v>
      </c>
      <c r="AH120" s="80">
        <f>SUMIFS('март 2024'!$G$4:$G$1612,'март 2024'!$D$4:$D$1612,$B120,'март 2024'!$J$4:$J$1612,AH$1)</f>
        <v>0</v>
      </c>
      <c r="AI120" s="21">
        <f t="shared" si="1"/>
        <v>0</v>
      </c>
    </row>
    <row r="121" spans="2:35" ht="15" customHeight="1" x14ac:dyDescent="0.25">
      <c r="B121" s="89" t="s">
        <v>207</v>
      </c>
      <c r="C121" s="91">
        <v>180</v>
      </c>
      <c r="D121" s="80">
        <f>SUMIFS('март 2024'!$G$4:$G$1612,'март 2024'!$D$4:$D$1612,$B121,'март 2024'!$J$4:$J$1612,D$1)</f>
        <v>0</v>
      </c>
      <c r="E121" s="80">
        <f>SUMIFS('март 2024'!$G$4:$G$1612,'март 2024'!$D$4:$D$1612,$B121,'март 2024'!$J$4:$J$1612,E$1)</f>
        <v>0</v>
      </c>
      <c r="F121" s="80">
        <f>SUMIFS('март 2024'!$G$4:$G$1612,'март 2024'!$D$4:$D$1612,$B121,'март 2024'!$J$4:$J$1612,F$1)</f>
        <v>0</v>
      </c>
      <c r="G121" s="80">
        <f>SUMIFS('март 2024'!$G$4:$G$1612,'март 2024'!$D$4:$D$1612,$B121,'март 2024'!$J$4:$J$1612,G$1)</f>
        <v>0</v>
      </c>
      <c r="H121" s="80">
        <f>SUMIFS('март 2024'!$G$4:$G$1612,'март 2024'!$D$4:$D$1612,$B121,'март 2024'!$J$4:$J$1612,H$1)</f>
        <v>0</v>
      </c>
      <c r="I121" s="80">
        <f>SUMIFS('март 2024'!$G$4:$G$1612,'март 2024'!$D$4:$D$1612,$B121,'март 2024'!$J$4:$J$1612,I$1)</f>
        <v>0</v>
      </c>
      <c r="J121" s="80">
        <f>SUMIFS('март 2024'!$G$4:$G$1612,'март 2024'!$D$4:$D$1612,$B121,'март 2024'!$J$4:$J$1612,J$1)</f>
        <v>0</v>
      </c>
      <c r="K121" s="80">
        <f>SUMIFS('март 2024'!$G$4:$G$1612,'март 2024'!$D$4:$D$1612,$B121,'март 2024'!$J$4:$J$1612,K$1)</f>
        <v>0</v>
      </c>
      <c r="L121" s="80">
        <f>SUMIFS('март 2024'!$G$4:$G$1612,'март 2024'!$D$4:$D$1612,$B121,'март 2024'!$J$4:$J$1612,L$1)</f>
        <v>0</v>
      </c>
      <c r="M121" s="80">
        <f>SUMIFS('март 2024'!$G$4:$G$1612,'март 2024'!$D$4:$D$1612,$B121,'март 2024'!$J$4:$J$1612,M$1)</f>
        <v>0</v>
      </c>
      <c r="N121" s="80">
        <f>SUMIFS('март 2024'!$G$4:$G$1612,'март 2024'!$D$4:$D$1612,$B121,'март 2024'!$J$4:$J$1612,N$1)</f>
        <v>0</v>
      </c>
      <c r="O121" s="80">
        <f>SUMIFS('март 2024'!$G$4:$G$1612,'март 2024'!$D$4:$D$1612,$B121,'март 2024'!$J$4:$J$1612,O$1)</f>
        <v>0</v>
      </c>
      <c r="P121" s="80">
        <f>SUMIFS('март 2024'!$G$4:$G$1612,'март 2024'!$D$4:$D$1612,$B121,'март 2024'!$J$4:$J$1612,P$1)</f>
        <v>0</v>
      </c>
      <c r="Q121" s="80">
        <f>SUMIFS('март 2024'!$G$4:$G$1612,'март 2024'!$D$4:$D$1612,$B121,'март 2024'!$J$4:$J$1612,Q$1)</f>
        <v>0</v>
      </c>
      <c r="R121" s="80">
        <f>SUMIFS('март 2024'!$G$4:$G$1612,'март 2024'!$D$4:$D$1612,$B121,'март 2024'!$J$4:$J$1612,R$1)</f>
        <v>0</v>
      </c>
      <c r="S121" s="80">
        <f>SUMIFS('март 2024'!$G$4:$G$1612,'март 2024'!$D$4:$D$1612,$B121,'март 2024'!$J$4:$J$1612,S$1)</f>
        <v>0</v>
      </c>
      <c r="T121" s="80">
        <f>SUMIFS('март 2024'!$G$4:$G$1612,'март 2024'!$D$4:$D$1612,$B121,'март 2024'!$J$4:$J$1612,T$1)</f>
        <v>0</v>
      </c>
      <c r="U121" s="80">
        <f>SUMIFS('март 2024'!$G$4:$G$1612,'март 2024'!$D$4:$D$1612,$B121,'март 2024'!$J$4:$J$1612,U$1)</f>
        <v>0</v>
      </c>
      <c r="V121" s="80">
        <f>SUMIFS('март 2024'!$G$4:$G$1612,'март 2024'!$D$4:$D$1612,$B121,'март 2024'!$J$4:$J$1612,V$1)</f>
        <v>0</v>
      </c>
      <c r="W121" s="80">
        <f>SUMIFS('март 2024'!$G$4:$G$1612,'март 2024'!$D$4:$D$1612,$B121,'март 2024'!$J$4:$J$1612,W$1)</f>
        <v>0</v>
      </c>
      <c r="X121" s="80">
        <f>SUMIFS('март 2024'!$G$4:$G$1612,'март 2024'!$D$4:$D$1612,$B121,'март 2024'!$J$4:$J$1612,X$1)</f>
        <v>0</v>
      </c>
      <c r="Y121" s="80">
        <f>SUMIFS('март 2024'!$G$4:$G$1612,'март 2024'!$D$4:$D$1612,$B121,'март 2024'!$J$4:$J$1612,Y$1)</f>
        <v>0</v>
      </c>
      <c r="Z121" s="80">
        <f>SUMIFS('март 2024'!$G$4:$G$1612,'март 2024'!$D$4:$D$1612,$B121,'март 2024'!$J$4:$J$1612,Z$1)</f>
        <v>0</v>
      </c>
      <c r="AA121" s="80">
        <f>SUMIFS('март 2024'!$G$4:$G$1612,'март 2024'!$D$4:$D$1612,$B121,'март 2024'!$J$4:$J$1612,AA$1)</f>
        <v>0</v>
      </c>
      <c r="AB121" s="80">
        <f>SUMIFS('март 2024'!$G$4:$G$1612,'март 2024'!$D$4:$D$1612,$B121,'март 2024'!$J$4:$J$1612,AB$1)</f>
        <v>0</v>
      </c>
      <c r="AC121" s="80">
        <f>SUMIFS('март 2024'!$G$4:$G$1612,'март 2024'!$D$4:$D$1612,$B121,'март 2024'!$J$4:$J$1612,AC$1)</f>
        <v>0</v>
      </c>
      <c r="AD121" s="80">
        <f>SUMIFS('март 2024'!$G$4:$G$1612,'март 2024'!$D$4:$D$1612,$B121,'март 2024'!$J$4:$J$1612,AD$1)</f>
        <v>0</v>
      </c>
      <c r="AE121" s="80">
        <f>SUMIFS('март 2024'!$G$4:$G$1612,'март 2024'!$D$4:$D$1612,$B121,'март 2024'!$J$4:$J$1612,AE$1)</f>
        <v>0</v>
      </c>
      <c r="AF121" s="80">
        <f>SUMIFS('март 2024'!$G$4:$G$1612,'март 2024'!$D$4:$D$1612,$B121,'март 2024'!$J$4:$J$1612,AF$1)</f>
        <v>0</v>
      </c>
      <c r="AG121" s="80">
        <f>SUMIFS('март 2024'!$G$4:$G$1612,'март 2024'!$D$4:$D$1612,$B121,'март 2024'!$J$4:$J$1612,AG$1)</f>
        <v>0</v>
      </c>
      <c r="AH121" s="80">
        <f>SUMIFS('март 2024'!$G$4:$G$1612,'март 2024'!$D$4:$D$1612,$B121,'март 2024'!$J$4:$J$1612,AH$1)</f>
        <v>0</v>
      </c>
      <c r="AI121" s="21">
        <f t="shared" si="1"/>
        <v>0</v>
      </c>
    </row>
    <row r="122" spans="2:35" ht="15" customHeight="1" x14ac:dyDescent="0.25">
      <c r="B122" s="93" t="s">
        <v>621</v>
      </c>
      <c r="C122" s="91">
        <v>180</v>
      </c>
      <c r="D122" s="80">
        <f>SUMIFS('март 2024'!$G$4:$G$1612,'март 2024'!$D$4:$D$1612,$B122,'март 2024'!$J$4:$J$1612,D$1)</f>
        <v>0</v>
      </c>
      <c r="E122" s="80">
        <f>SUMIFS('март 2024'!$G$4:$G$1612,'март 2024'!$D$4:$D$1612,$B122,'март 2024'!$J$4:$J$1612,E$1)</f>
        <v>0</v>
      </c>
      <c r="F122" s="80">
        <f>SUMIFS('март 2024'!$G$4:$G$1612,'март 2024'!$D$4:$D$1612,$B122,'март 2024'!$J$4:$J$1612,F$1)</f>
        <v>0</v>
      </c>
      <c r="G122" s="80">
        <f>SUMIFS('март 2024'!$G$4:$G$1612,'март 2024'!$D$4:$D$1612,$B122,'март 2024'!$J$4:$J$1612,G$1)</f>
        <v>0</v>
      </c>
      <c r="H122" s="80">
        <f>SUMIFS('март 2024'!$G$4:$G$1612,'март 2024'!$D$4:$D$1612,$B122,'март 2024'!$J$4:$J$1612,H$1)</f>
        <v>0</v>
      </c>
      <c r="I122" s="80">
        <f>SUMIFS('март 2024'!$G$4:$G$1612,'март 2024'!$D$4:$D$1612,$B122,'март 2024'!$J$4:$J$1612,I$1)</f>
        <v>0</v>
      </c>
      <c r="J122" s="80">
        <f>SUMIFS('март 2024'!$G$4:$G$1612,'март 2024'!$D$4:$D$1612,$B122,'март 2024'!$J$4:$J$1612,J$1)</f>
        <v>0</v>
      </c>
      <c r="K122" s="80">
        <f>SUMIFS('март 2024'!$G$4:$G$1612,'март 2024'!$D$4:$D$1612,$B122,'март 2024'!$J$4:$J$1612,K$1)</f>
        <v>0</v>
      </c>
      <c r="L122" s="80">
        <f>SUMIFS('март 2024'!$G$4:$G$1612,'март 2024'!$D$4:$D$1612,$B122,'март 2024'!$J$4:$J$1612,L$1)</f>
        <v>0</v>
      </c>
      <c r="M122" s="80">
        <f>SUMIFS('март 2024'!$G$4:$G$1612,'март 2024'!$D$4:$D$1612,$B122,'март 2024'!$J$4:$J$1612,M$1)</f>
        <v>0</v>
      </c>
      <c r="N122" s="80">
        <f>SUMIFS('март 2024'!$G$4:$G$1612,'март 2024'!$D$4:$D$1612,$B122,'март 2024'!$J$4:$J$1612,N$1)</f>
        <v>0</v>
      </c>
      <c r="O122" s="80">
        <f>SUMIFS('март 2024'!$G$4:$G$1612,'март 2024'!$D$4:$D$1612,$B122,'март 2024'!$J$4:$J$1612,O$1)</f>
        <v>0</v>
      </c>
      <c r="P122" s="80">
        <f>SUMIFS('март 2024'!$G$4:$G$1612,'март 2024'!$D$4:$D$1612,$B122,'март 2024'!$J$4:$J$1612,P$1)</f>
        <v>0</v>
      </c>
      <c r="Q122" s="80">
        <f>SUMIFS('март 2024'!$G$4:$G$1612,'март 2024'!$D$4:$D$1612,$B122,'март 2024'!$J$4:$J$1612,Q$1)</f>
        <v>0</v>
      </c>
      <c r="R122" s="80">
        <f>SUMIFS('март 2024'!$G$4:$G$1612,'март 2024'!$D$4:$D$1612,$B122,'март 2024'!$J$4:$J$1612,R$1)</f>
        <v>0</v>
      </c>
      <c r="S122" s="80">
        <f>SUMIFS('март 2024'!$G$4:$G$1612,'март 2024'!$D$4:$D$1612,$B122,'март 2024'!$J$4:$J$1612,S$1)</f>
        <v>0</v>
      </c>
      <c r="T122" s="80">
        <f>SUMIFS('март 2024'!$G$4:$G$1612,'март 2024'!$D$4:$D$1612,$B122,'март 2024'!$J$4:$J$1612,T$1)</f>
        <v>0</v>
      </c>
      <c r="U122" s="80">
        <f>SUMIFS('март 2024'!$G$4:$G$1612,'март 2024'!$D$4:$D$1612,$B122,'март 2024'!$J$4:$J$1612,U$1)</f>
        <v>0</v>
      </c>
      <c r="V122" s="80">
        <f>SUMIFS('март 2024'!$G$4:$G$1612,'март 2024'!$D$4:$D$1612,$B122,'март 2024'!$J$4:$J$1612,V$1)</f>
        <v>0</v>
      </c>
      <c r="W122" s="80">
        <f>SUMIFS('март 2024'!$G$4:$G$1612,'март 2024'!$D$4:$D$1612,$B122,'март 2024'!$J$4:$J$1612,W$1)</f>
        <v>0</v>
      </c>
      <c r="X122" s="80">
        <f>SUMIFS('март 2024'!$G$4:$G$1612,'март 2024'!$D$4:$D$1612,$B122,'март 2024'!$J$4:$J$1612,X$1)</f>
        <v>0</v>
      </c>
      <c r="Y122" s="80">
        <f>SUMIFS('март 2024'!$G$4:$G$1612,'март 2024'!$D$4:$D$1612,$B122,'март 2024'!$J$4:$J$1612,Y$1)</f>
        <v>0</v>
      </c>
      <c r="Z122" s="80">
        <f>SUMIFS('март 2024'!$G$4:$G$1612,'март 2024'!$D$4:$D$1612,$B122,'март 2024'!$J$4:$J$1612,Z$1)</f>
        <v>0</v>
      </c>
      <c r="AA122" s="80">
        <f>SUMIFS('март 2024'!$G$4:$G$1612,'март 2024'!$D$4:$D$1612,$B122,'март 2024'!$J$4:$J$1612,AA$1)</f>
        <v>0</v>
      </c>
      <c r="AB122" s="80">
        <f>SUMIFS('март 2024'!$G$4:$G$1612,'март 2024'!$D$4:$D$1612,$B122,'март 2024'!$J$4:$J$1612,AB$1)</f>
        <v>0</v>
      </c>
      <c r="AC122" s="80">
        <f>SUMIFS('март 2024'!$G$4:$G$1612,'март 2024'!$D$4:$D$1612,$B122,'март 2024'!$J$4:$J$1612,AC$1)</f>
        <v>0</v>
      </c>
      <c r="AD122" s="80">
        <f>SUMIFS('март 2024'!$G$4:$G$1612,'март 2024'!$D$4:$D$1612,$B122,'март 2024'!$J$4:$J$1612,AD$1)</f>
        <v>0</v>
      </c>
      <c r="AE122" s="80">
        <f>SUMIFS('март 2024'!$G$4:$G$1612,'март 2024'!$D$4:$D$1612,$B122,'март 2024'!$J$4:$J$1612,AE$1)</f>
        <v>88</v>
      </c>
      <c r="AF122" s="80">
        <f>SUMIFS('март 2024'!$G$4:$G$1612,'март 2024'!$D$4:$D$1612,$B122,'март 2024'!$J$4:$J$1612,AF$1)</f>
        <v>0</v>
      </c>
      <c r="AG122" s="80">
        <f>SUMIFS('март 2024'!$G$4:$G$1612,'март 2024'!$D$4:$D$1612,$B122,'март 2024'!$J$4:$J$1612,AG$1)</f>
        <v>0</v>
      </c>
      <c r="AH122" s="80">
        <f>SUMIFS('март 2024'!$G$4:$G$1612,'март 2024'!$D$4:$D$1612,$B122,'март 2024'!$J$4:$J$1612,AH$1)</f>
        <v>0</v>
      </c>
      <c r="AI122" s="21">
        <f t="shared" si="1"/>
        <v>88</v>
      </c>
    </row>
    <row r="123" spans="2:35" ht="15" customHeight="1" x14ac:dyDescent="0.25">
      <c r="B123" s="93" t="s">
        <v>191</v>
      </c>
      <c r="C123" s="91">
        <v>190</v>
      </c>
      <c r="D123" s="80">
        <f>SUMIFS('март 2024'!$G$4:$G$1612,'март 2024'!$D$4:$D$1612,$B123,'март 2024'!$J$4:$J$1612,D$1)</f>
        <v>0</v>
      </c>
      <c r="E123" s="80">
        <f>SUMIFS('март 2024'!$G$4:$G$1612,'март 2024'!$D$4:$D$1612,$B123,'март 2024'!$J$4:$J$1612,E$1)</f>
        <v>0</v>
      </c>
      <c r="F123" s="80">
        <f>SUMIFS('март 2024'!$G$4:$G$1612,'март 2024'!$D$4:$D$1612,$B123,'март 2024'!$J$4:$J$1612,F$1)</f>
        <v>0</v>
      </c>
      <c r="G123" s="80">
        <f>SUMIFS('март 2024'!$G$4:$G$1612,'март 2024'!$D$4:$D$1612,$B123,'март 2024'!$J$4:$J$1612,G$1)</f>
        <v>0</v>
      </c>
      <c r="H123" s="80">
        <f>SUMIFS('март 2024'!$G$4:$G$1612,'март 2024'!$D$4:$D$1612,$B123,'март 2024'!$J$4:$J$1612,H$1)</f>
        <v>0</v>
      </c>
      <c r="I123" s="80">
        <f>SUMIFS('март 2024'!$G$4:$G$1612,'март 2024'!$D$4:$D$1612,$B123,'март 2024'!$J$4:$J$1612,I$1)</f>
        <v>0</v>
      </c>
      <c r="J123" s="80">
        <f>SUMIFS('март 2024'!$G$4:$G$1612,'март 2024'!$D$4:$D$1612,$B123,'март 2024'!$J$4:$J$1612,J$1)</f>
        <v>0</v>
      </c>
      <c r="K123" s="80">
        <f>SUMIFS('март 2024'!$G$4:$G$1612,'март 2024'!$D$4:$D$1612,$B123,'март 2024'!$J$4:$J$1612,K$1)</f>
        <v>0</v>
      </c>
      <c r="L123" s="80">
        <f>SUMIFS('март 2024'!$G$4:$G$1612,'март 2024'!$D$4:$D$1612,$B123,'март 2024'!$J$4:$J$1612,L$1)</f>
        <v>0</v>
      </c>
      <c r="M123" s="80">
        <f>SUMIFS('март 2024'!$G$4:$G$1612,'март 2024'!$D$4:$D$1612,$B123,'март 2024'!$J$4:$J$1612,M$1)</f>
        <v>0</v>
      </c>
      <c r="N123" s="80">
        <f>SUMIFS('март 2024'!$G$4:$G$1612,'март 2024'!$D$4:$D$1612,$B123,'март 2024'!$J$4:$J$1612,N$1)</f>
        <v>0</v>
      </c>
      <c r="O123" s="80">
        <f>SUMIFS('март 2024'!$G$4:$G$1612,'март 2024'!$D$4:$D$1612,$B123,'март 2024'!$J$4:$J$1612,O$1)</f>
        <v>0</v>
      </c>
      <c r="P123" s="80">
        <f>SUMIFS('март 2024'!$G$4:$G$1612,'март 2024'!$D$4:$D$1612,$B123,'март 2024'!$J$4:$J$1612,P$1)</f>
        <v>0</v>
      </c>
      <c r="Q123" s="80">
        <f>SUMIFS('март 2024'!$G$4:$G$1612,'март 2024'!$D$4:$D$1612,$B123,'март 2024'!$J$4:$J$1612,Q$1)</f>
        <v>0</v>
      </c>
      <c r="R123" s="80">
        <f>SUMIFS('март 2024'!$G$4:$G$1612,'март 2024'!$D$4:$D$1612,$B123,'март 2024'!$J$4:$J$1612,R$1)</f>
        <v>0</v>
      </c>
      <c r="S123" s="80">
        <f>SUMIFS('март 2024'!$G$4:$G$1612,'март 2024'!$D$4:$D$1612,$B123,'март 2024'!$J$4:$J$1612,S$1)</f>
        <v>0</v>
      </c>
      <c r="T123" s="80">
        <f>SUMIFS('март 2024'!$G$4:$G$1612,'март 2024'!$D$4:$D$1612,$B123,'март 2024'!$J$4:$J$1612,T$1)</f>
        <v>0</v>
      </c>
      <c r="U123" s="80">
        <f>SUMIFS('март 2024'!$G$4:$G$1612,'март 2024'!$D$4:$D$1612,$B123,'март 2024'!$J$4:$J$1612,U$1)</f>
        <v>0</v>
      </c>
      <c r="V123" s="80">
        <f>SUMIFS('март 2024'!$G$4:$G$1612,'март 2024'!$D$4:$D$1612,$B123,'март 2024'!$J$4:$J$1612,V$1)</f>
        <v>0</v>
      </c>
      <c r="W123" s="80">
        <f>SUMIFS('март 2024'!$G$4:$G$1612,'март 2024'!$D$4:$D$1612,$B123,'март 2024'!$J$4:$J$1612,W$1)</f>
        <v>0</v>
      </c>
      <c r="X123" s="80">
        <f>SUMIFS('март 2024'!$G$4:$G$1612,'март 2024'!$D$4:$D$1612,$B123,'март 2024'!$J$4:$J$1612,X$1)</f>
        <v>0</v>
      </c>
      <c r="Y123" s="80">
        <f>SUMIFS('март 2024'!$G$4:$G$1612,'март 2024'!$D$4:$D$1612,$B123,'март 2024'!$J$4:$J$1612,Y$1)</f>
        <v>0</v>
      </c>
      <c r="Z123" s="80">
        <f>SUMIFS('март 2024'!$G$4:$G$1612,'март 2024'!$D$4:$D$1612,$B123,'март 2024'!$J$4:$J$1612,Z$1)</f>
        <v>0</v>
      </c>
      <c r="AA123" s="80">
        <f>SUMIFS('март 2024'!$G$4:$G$1612,'март 2024'!$D$4:$D$1612,$B123,'март 2024'!$J$4:$J$1612,AA$1)</f>
        <v>0</v>
      </c>
      <c r="AB123" s="80">
        <f>SUMIFS('март 2024'!$G$4:$G$1612,'март 2024'!$D$4:$D$1612,$B123,'март 2024'!$J$4:$J$1612,AB$1)</f>
        <v>0</v>
      </c>
      <c r="AC123" s="80">
        <f>SUMIFS('март 2024'!$G$4:$G$1612,'март 2024'!$D$4:$D$1612,$B123,'март 2024'!$J$4:$J$1612,AC$1)</f>
        <v>0</v>
      </c>
      <c r="AD123" s="80">
        <f>SUMIFS('март 2024'!$G$4:$G$1612,'март 2024'!$D$4:$D$1612,$B123,'март 2024'!$J$4:$J$1612,AD$1)</f>
        <v>0</v>
      </c>
      <c r="AE123" s="80">
        <f>SUMIFS('март 2024'!$G$4:$G$1612,'март 2024'!$D$4:$D$1612,$B123,'март 2024'!$J$4:$J$1612,AE$1)</f>
        <v>0</v>
      </c>
      <c r="AF123" s="80">
        <f>SUMIFS('март 2024'!$G$4:$G$1612,'март 2024'!$D$4:$D$1612,$B123,'март 2024'!$J$4:$J$1612,AF$1)</f>
        <v>0</v>
      </c>
      <c r="AG123" s="80">
        <f>SUMIFS('март 2024'!$G$4:$G$1612,'март 2024'!$D$4:$D$1612,$B123,'март 2024'!$J$4:$J$1612,AG$1)</f>
        <v>0</v>
      </c>
      <c r="AH123" s="80">
        <f>SUMIFS('март 2024'!$G$4:$G$1612,'март 2024'!$D$4:$D$1612,$B123,'март 2024'!$J$4:$J$1612,AH$1)</f>
        <v>0</v>
      </c>
      <c r="AI123" s="21">
        <f t="shared" si="1"/>
        <v>0</v>
      </c>
    </row>
    <row r="124" spans="2:35" ht="15" customHeight="1" x14ac:dyDescent="0.25">
      <c r="B124" s="93" t="s">
        <v>334</v>
      </c>
      <c r="C124" s="91">
        <v>190</v>
      </c>
      <c r="D124" s="80">
        <f>SUMIFS('март 2024'!$G$4:$G$1612,'март 2024'!$D$4:$D$1612,$B124,'март 2024'!$J$4:$J$1612,D$1)</f>
        <v>0</v>
      </c>
      <c r="E124" s="80">
        <f>SUMIFS('март 2024'!$G$4:$G$1612,'март 2024'!$D$4:$D$1612,$B124,'март 2024'!$J$4:$J$1612,E$1)</f>
        <v>0</v>
      </c>
      <c r="F124" s="80">
        <f>SUMIFS('март 2024'!$G$4:$G$1612,'март 2024'!$D$4:$D$1612,$B124,'март 2024'!$J$4:$J$1612,F$1)</f>
        <v>0</v>
      </c>
      <c r="G124" s="80">
        <f>SUMIFS('март 2024'!$G$4:$G$1612,'март 2024'!$D$4:$D$1612,$B124,'март 2024'!$J$4:$J$1612,G$1)</f>
        <v>0</v>
      </c>
      <c r="H124" s="80">
        <f>SUMIFS('март 2024'!$G$4:$G$1612,'март 2024'!$D$4:$D$1612,$B124,'март 2024'!$J$4:$J$1612,H$1)</f>
        <v>0</v>
      </c>
      <c r="I124" s="80">
        <f>SUMIFS('март 2024'!$G$4:$G$1612,'март 2024'!$D$4:$D$1612,$B124,'март 2024'!$J$4:$J$1612,I$1)</f>
        <v>0</v>
      </c>
      <c r="J124" s="80">
        <f>SUMIFS('март 2024'!$G$4:$G$1612,'март 2024'!$D$4:$D$1612,$B124,'март 2024'!$J$4:$J$1612,J$1)</f>
        <v>0</v>
      </c>
      <c r="K124" s="80">
        <f>SUMIFS('март 2024'!$G$4:$G$1612,'март 2024'!$D$4:$D$1612,$B124,'март 2024'!$J$4:$J$1612,K$1)</f>
        <v>0</v>
      </c>
      <c r="L124" s="80">
        <f>SUMIFS('март 2024'!$G$4:$G$1612,'март 2024'!$D$4:$D$1612,$B124,'март 2024'!$J$4:$J$1612,L$1)</f>
        <v>0</v>
      </c>
      <c r="M124" s="80">
        <f>SUMIFS('март 2024'!$G$4:$G$1612,'март 2024'!$D$4:$D$1612,$B124,'март 2024'!$J$4:$J$1612,M$1)</f>
        <v>0</v>
      </c>
      <c r="N124" s="80">
        <f>SUMIFS('март 2024'!$G$4:$G$1612,'март 2024'!$D$4:$D$1612,$B124,'март 2024'!$J$4:$J$1612,N$1)</f>
        <v>0</v>
      </c>
      <c r="O124" s="80">
        <f>SUMIFS('март 2024'!$G$4:$G$1612,'март 2024'!$D$4:$D$1612,$B124,'март 2024'!$J$4:$J$1612,O$1)</f>
        <v>0</v>
      </c>
      <c r="P124" s="80">
        <f>SUMIFS('март 2024'!$G$4:$G$1612,'март 2024'!$D$4:$D$1612,$B124,'март 2024'!$J$4:$J$1612,P$1)</f>
        <v>0</v>
      </c>
      <c r="Q124" s="80">
        <f>SUMIFS('март 2024'!$G$4:$G$1612,'март 2024'!$D$4:$D$1612,$B124,'март 2024'!$J$4:$J$1612,Q$1)</f>
        <v>0</v>
      </c>
      <c r="R124" s="80">
        <f>SUMIFS('март 2024'!$G$4:$G$1612,'март 2024'!$D$4:$D$1612,$B124,'март 2024'!$J$4:$J$1612,R$1)</f>
        <v>0</v>
      </c>
      <c r="S124" s="80">
        <f>SUMIFS('март 2024'!$G$4:$G$1612,'март 2024'!$D$4:$D$1612,$B124,'март 2024'!$J$4:$J$1612,S$1)</f>
        <v>0</v>
      </c>
      <c r="T124" s="80">
        <f>SUMIFS('март 2024'!$G$4:$G$1612,'март 2024'!$D$4:$D$1612,$B124,'март 2024'!$J$4:$J$1612,T$1)</f>
        <v>0</v>
      </c>
      <c r="U124" s="80">
        <f>SUMIFS('март 2024'!$G$4:$G$1612,'март 2024'!$D$4:$D$1612,$B124,'март 2024'!$J$4:$J$1612,U$1)</f>
        <v>0</v>
      </c>
      <c r="V124" s="80">
        <f>SUMIFS('март 2024'!$G$4:$G$1612,'март 2024'!$D$4:$D$1612,$B124,'март 2024'!$J$4:$J$1612,V$1)</f>
        <v>0</v>
      </c>
      <c r="W124" s="80">
        <f>SUMIFS('март 2024'!$G$4:$G$1612,'март 2024'!$D$4:$D$1612,$B124,'март 2024'!$J$4:$J$1612,W$1)</f>
        <v>0</v>
      </c>
      <c r="X124" s="80">
        <f>SUMIFS('март 2024'!$G$4:$G$1612,'март 2024'!$D$4:$D$1612,$B124,'март 2024'!$J$4:$J$1612,X$1)</f>
        <v>0</v>
      </c>
      <c r="Y124" s="80">
        <f>SUMIFS('март 2024'!$G$4:$G$1612,'март 2024'!$D$4:$D$1612,$B124,'март 2024'!$J$4:$J$1612,Y$1)</f>
        <v>0</v>
      </c>
      <c r="Z124" s="80">
        <f>SUMIFS('март 2024'!$G$4:$G$1612,'март 2024'!$D$4:$D$1612,$B124,'март 2024'!$J$4:$J$1612,Z$1)</f>
        <v>0</v>
      </c>
      <c r="AA124" s="80">
        <f>SUMIFS('март 2024'!$G$4:$G$1612,'март 2024'!$D$4:$D$1612,$B124,'март 2024'!$J$4:$J$1612,AA$1)</f>
        <v>0</v>
      </c>
      <c r="AB124" s="80">
        <f>SUMIFS('март 2024'!$G$4:$G$1612,'март 2024'!$D$4:$D$1612,$B124,'март 2024'!$J$4:$J$1612,AB$1)</f>
        <v>0</v>
      </c>
      <c r="AC124" s="80">
        <f>SUMIFS('март 2024'!$G$4:$G$1612,'март 2024'!$D$4:$D$1612,$B124,'март 2024'!$J$4:$J$1612,AC$1)</f>
        <v>0</v>
      </c>
      <c r="AD124" s="80">
        <f>SUMIFS('март 2024'!$G$4:$G$1612,'март 2024'!$D$4:$D$1612,$B124,'март 2024'!$J$4:$J$1612,AD$1)</f>
        <v>0</v>
      </c>
      <c r="AE124" s="80">
        <f>SUMIFS('март 2024'!$G$4:$G$1612,'март 2024'!$D$4:$D$1612,$B124,'март 2024'!$J$4:$J$1612,AE$1)</f>
        <v>0</v>
      </c>
      <c r="AF124" s="80">
        <f>SUMIFS('март 2024'!$G$4:$G$1612,'март 2024'!$D$4:$D$1612,$B124,'март 2024'!$J$4:$J$1612,AF$1)</f>
        <v>0</v>
      </c>
      <c r="AG124" s="80">
        <f>SUMIFS('март 2024'!$G$4:$G$1612,'март 2024'!$D$4:$D$1612,$B124,'март 2024'!$J$4:$J$1612,AG$1)</f>
        <v>0</v>
      </c>
      <c r="AH124" s="80">
        <f>SUMIFS('март 2024'!$G$4:$G$1612,'март 2024'!$D$4:$D$1612,$B124,'март 2024'!$J$4:$J$1612,AH$1)</f>
        <v>0</v>
      </c>
      <c r="AI124" s="21">
        <f t="shared" si="1"/>
        <v>0</v>
      </c>
    </row>
    <row r="125" spans="2:35" ht="16.899999999999999" customHeight="1" x14ac:dyDescent="0.25">
      <c r="B125" s="89" t="s">
        <v>335</v>
      </c>
      <c r="C125" s="88">
        <v>200</v>
      </c>
      <c r="D125" s="80">
        <f>SUMIFS('март 2024'!$G$4:$G$1612,'март 2024'!$D$4:$D$1612,$B125,'март 2024'!$J$4:$J$1612,D$1)</f>
        <v>0</v>
      </c>
      <c r="E125" s="80">
        <f>SUMIFS('март 2024'!$G$4:$G$1612,'март 2024'!$D$4:$D$1612,$B125,'март 2024'!$J$4:$J$1612,E$1)</f>
        <v>0</v>
      </c>
      <c r="F125" s="80">
        <f>SUMIFS('март 2024'!$G$4:$G$1612,'март 2024'!$D$4:$D$1612,$B125,'март 2024'!$J$4:$J$1612,F$1)</f>
        <v>0</v>
      </c>
      <c r="G125" s="80">
        <f>SUMIFS('март 2024'!$G$4:$G$1612,'март 2024'!$D$4:$D$1612,$B125,'март 2024'!$J$4:$J$1612,G$1)</f>
        <v>0</v>
      </c>
      <c r="H125" s="80">
        <f>SUMIFS('март 2024'!$G$4:$G$1612,'март 2024'!$D$4:$D$1612,$B125,'март 2024'!$J$4:$J$1612,H$1)</f>
        <v>0</v>
      </c>
      <c r="I125" s="80">
        <f>SUMIFS('март 2024'!$G$4:$G$1612,'март 2024'!$D$4:$D$1612,$B125,'март 2024'!$J$4:$J$1612,I$1)</f>
        <v>0</v>
      </c>
      <c r="J125" s="80">
        <f>SUMIFS('март 2024'!$G$4:$G$1612,'март 2024'!$D$4:$D$1612,$B125,'март 2024'!$J$4:$J$1612,J$1)</f>
        <v>0</v>
      </c>
      <c r="K125" s="80">
        <f>SUMIFS('март 2024'!$G$4:$G$1612,'март 2024'!$D$4:$D$1612,$B125,'март 2024'!$J$4:$J$1612,K$1)</f>
        <v>0</v>
      </c>
      <c r="L125" s="80">
        <f>SUMIFS('март 2024'!$G$4:$G$1612,'март 2024'!$D$4:$D$1612,$B125,'март 2024'!$J$4:$J$1612,L$1)</f>
        <v>0</v>
      </c>
      <c r="M125" s="80">
        <f>SUMIFS('март 2024'!$G$4:$G$1612,'март 2024'!$D$4:$D$1612,$B125,'март 2024'!$J$4:$J$1612,M$1)</f>
        <v>0</v>
      </c>
      <c r="N125" s="80">
        <f>SUMIFS('март 2024'!$G$4:$G$1612,'март 2024'!$D$4:$D$1612,$B125,'март 2024'!$J$4:$J$1612,N$1)</f>
        <v>0</v>
      </c>
      <c r="O125" s="80">
        <f>SUMIFS('март 2024'!$G$4:$G$1612,'март 2024'!$D$4:$D$1612,$B125,'март 2024'!$J$4:$J$1612,O$1)</f>
        <v>0</v>
      </c>
      <c r="P125" s="80">
        <f>SUMIFS('март 2024'!$G$4:$G$1612,'март 2024'!$D$4:$D$1612,$B125,'март 2024'!$J$4:$J$1612,P$1)</f>
        <v>0</v>
      </c>
      <c r="Q125" s="80">
        <f>SUMIFS('март 2024'!$G$4:$G$1612,'март 2024'!$D$4:$D$1612,$B125,'март 2024'!$J$4:$J$1612,Q$1)</f>
        <v>0</v>
      </c>
      <c r="R125" s="80">
        <f>SUMIFS('март 2024'!$G$4:$G$1612,'март 2024'!$D$4:$D$1612,$B125,'март 2024'!$J$4:$J$1612,R$1)</f>
        <v>0</v>
      </c>
      <c r="S125" s="80">
        <f>SUMIFS('март 2024'!$G$4:$G$1612,'март 2024'!$D$4:$D$1612,$B125,'март 2024'!$J$4:$J$1612,S$1)</f>
        <v>0</v>
      </c>
      <c r="T125" s="80">
        <f>SUMIFS('март 2024'!$G$4:$G$1612,'март 2024'!$D$4:$D$1612,$B125,'март 2024'!$J$4:$J$1612,T$1)</f>
        <v>0</v>
      </c>
      <c r="U125" s="80">
        <f>SUMIFS('март 2024'!$G$4:$G$1612,'март 2024'!$D$4:$D$1612,$B125,'март 2024'!$J$4:$J$1612,U$1)</f>
        <v>0</v>
      </c>
      <c r="V125" s="80">
        <f>SUMIFS('март 2024'!$G$4:$G$1612,'март 2024'!$D$4:$D$1612,$B125,'март 2024'!$J$4:$J$1612,V$1)</f>
        <v>0</v>
      </c>
      <c r="W125" s="80">
        <f>SUMIFS('март 2024'!$G$4:$G$1612,'март 2024'!$D$4:$D$1612,$B125,'март 2024'!$J$4:$J$1612,W$1)</f>
        <v>0</v>
      </c>
      <c r="X125" s="80">
        <f>SUMIFS('март 2024'!$G$4:$G$1612,'март 2024'!$D$4:$D$1612,$B125,'март 2024'!$J$4:$J$1612,X$1)</f>
        <v>0</v>
      </c>
      <c r="Y125" s="80">
        <f>SUMIFS('март 2024'!$G$4:$G$1612,'март 2024'!$D$4:$D$1612,$B125,'март 2024'!$J$4:$J$1612,Y$1)</f>
        <v>0</v>
      </c>
      <c r="Z125" s="80">
        <f>SUMIFS('март 2024'!$G$4:$G$1612,'март 2024'!$D$4:$D$1612,$B125,'март 2024'!$J$4:$J$1612,Z$1)</f>
        <v>0</v>
      </c>
      <c r="AA125" s="80">
        <f>SUMIFS('март 2024'!$G$4:$G$1612,'март 2024'!$D$4:$D$1612,$B125,'март 2024'!$J$4:$J$1612,AA$1)</f>
        <v>0</v>
      </c>
      <c r="AB125" s="80">
        <f>SUMIFS('март 2024'!$G$4:$G$1612,'март 2024'!$D$4:$D$1612,$B125,'март 2024'!$J$4:$J$1612,AB$1)</f>
        <v>0</v>
      </c>
      <c r="AC125" s="80">
        <f>SUMIFS('март 2024'!$G$4:$G$1612,'март 2024'!$D$4:$D$1612,$B125,'март 2024'!$J$4:$J$1612,AC$1)</f>
        <v>0</v>
      </c>
      <c r="AD125" s="80">
        <f>SUMIFS('март 2024'!$G$4:$G$1612,'март 2024'!$D$4:$D$1612,$B125,'март 2024'!$J$4:$J$1612,AD$1)</f>
        <v>0</v>
      </c>
      <c r="AE125" s="80">
        <f>SUMIFS('март 2024'!$G$4:$G$1612,'март 2024'!$D$4:$D$1612,$B125,'март 2024'!$J$4:$J$1612,AE$1)</f>
        <v>0</v>
      </c>
      <c r="AF125" s="80">
        <f>SUMIFS('март 2024'!$G$4:$G$1612,'март 2024'!$D$4:$D$1612,$B125,'март 2024'!$J$4:$J$1612,AF$1)</f>
        <v>0</v>
      </c>
      <c r="AG125" s="80">
        <f>SUMIFS('март 2024'!$G$4:$G$1612,'март 2024'!$D$4:$D$1612,$B125,'март 2024'!$J$4:$J$1612,AG$1)</f>
        <v>0</v>
      </c>
      <c r="AH125" s="80">
        <f>SUMIFS('март 2024'!$G$4:$G$1612,'март 2024'!$D$4:$D$1612,$B125,'март 2024'!$J$4:$J$1612,AH$1)</f>
        <v>0</v>
      </c>
      <c r="AI125" s="21">
        <f t="shared" si="1"/>
        <v>0</v>
      </c>
    </row>
    <row r="126" spans="2:35" ht="16.899999999999999" customHeight="1" x14ac:dyDescent="0.25">
      <c r="B126" s="89" t="s">
        <v>340</v>
      </c>
      <c r="C126" s="88">
        <v>200</v>
      </c>
      <c r="D126" s="80">
        <f>SUMIFS('март 2024'!$G$4:$G$1612,'март 2024'!$D$4:$D$1612,$B126,'март 2024'!$J$4:$J$1612,D$1)</f>
        <v>0</v>
      </c>
      <c r="E126" s="80">
        <f>SUMIFS('март 2024'!$G$4:$G$1612,'март 2024'!$D$4:$D$1612,$B126,'март 2024'!$J$4:$J$1612,E$1)</f>
        <v>0</v>
      </c>
      <c r="F126" s="80">
        <f>SUMIFS('март 2024'!$G$4:$G$1612,'март 2024'!$D$4:$D$1612,$B126,'март 2024'!$J$4:$J$1612,F$1)</f>
        <v>0</v>
      </c>
      <c r="G126" s="80">
        <f>SUMIFS('март 2024'!$G$4:$G$1612,'март 2024'!$D$4:$D$1612,$B126,'март 2024'!$J$4:$J$1612,G$1)</f>
        <v>44</v>
      </c>
      <c r="H126" s="80">
        <f>SUMIFS('март 2024'!$G$4:$G$1612,'март 2024'!$D$4:$D$1612,$B126,'март 2024'!$J$4:$J$1612,H$1)</f>
        <v>0</v>
      </c>
      <c r="I126" s="80">
        <f>SUMIFS('март 2024'!$G$4:$G$1612,'март 2024'!$D$4:$D$1612,$B126,'март 2024'!$J$4:$J$1612,I$1)</f>
        <v>0</v>
      </c>
      <c r="J126" s="80">
        <f>SUMIFS('март 2024'!$G$4:$G$1612,'март 2024'!$D$4:$D$1612,$B126,'март 2024'!$J$4:$J$1612,J$1)</f>
        <v>0</v>
      </c>
      <c r="K126" s="80">
        <f>SUMIFS('март 2024'!$G$4:$G$1612,'март 2024'!$D$4:$D$1612,$B126,'март 2024'!$J$4:$J$1612,K$1)</f>
        <v>0</v>
      </c>
      <c r="L126" s="80">
        <f>SUMIFS('март 2024'!$G$4:$G$1612,'март 2024'!$D$4:$D$1612,$B126,'март 2024'!$J$4:$J$1612,L$1)</f>
        <v>0</v>
      </c>
      <c r="M126" s="80">
        <f>SUMIFS('март 2024'!$G$4:$G$1612,'март 2024'!$D$4:$D$1612,$B126,'март 2024'!$J$4:$J$1612,M$1)</f>
        <v>0</v>
      </c>
      <c r="N126" s="80">
        <f>SUMIFS('март 2024'!$G$4:$G$1612,'март 2024'!$D$4:$D$1612,$B126,'март 2024'!$J$4:$J$1612,N$1)</f>
        <v>0</v>
      </c>
      <c r="O126" s="80">
        <f>SUMIFS('март 2024'!$G$4:$G$1612,'март 2024'!$D$4:$D$1612,$B126,'март 2024'!$J$4:$J$1612,O$1)</f>
        <v>0</v>
      </c>
      <c r="P126" s="80">
        <f>SUMIFS('март 2024'!$G$4:$G$1612,'март 2024'!$D$4:$D$1612,$B126,'март 2024'!$J$4:$J$1612,P$1)</f>
        <v>0</v>
      </c>
      <c r="Q126" s="80">
        <f>SUMIFS('март 2024'!$G$4:$G$1612,'март 2024'!$D$4:$D$1612,$B126,'март 2024'!$J$4:$J$1612,Q$1)</f>
        <v>0</v>
      </c>
      <c r="R126" s="80">
        <f>SUMIFS('март 2024'!$G$4:$G$1612,'март 2024'!$D$4:$D$1612,$B126,'март 2024'!$J$4:$J$1612,R$1)</f>
        <v>0</v>
      </c>
      <c r="S126" s="80">
        <f>SUMIFS('март 2024'!$G$4:$G$1612,'март 2024'!$D$4:$D$1612,$B126,'март 2024'!$J$4:$J$1612,S$1)</f>
        <v>0</v>
      </c>
      <c r="T126" s="80">
        <f>SUMIFS('март 2024'!$G$4:$G$1612,'март 2024'!$D$4:$D$1612,$B126,'март 2024'!$J$4:$J$1612,T$1)</f>
        <v>0</v>
      </c>
      <c r="U126" s="80">
        <f>SUMIFS('март 2024'!$G$4:$G$1612,'март 2024'!$D$4:$D$1612,$B126,'март 2024'!$J$4:$J$1612,U$1)</f>
        <v>0</v>
      </c>
      <c r="V126" s="80">
        <f>SUMIFS('март 2024'!$G$4:$G$1612,'март 2024'!$D$4:$D$1612,$B126,'март 2024'!$J$4:$J$1612,V$1)</f>
        <v>0</v>
      </c>
      <c r="W126" s="80">
        <f>SUMIFS('март 2024'!$G$4:$G$1612,'март 2024'!$D$4:$D$1612,$B126,'март 2024'!$J$4:$J$1612,W$1)</f>
        <v>0</v>
      </c>
      <c r="X126" s="80">
        <f>SUMIFS('март 2024'!$G$4:$G$1612,'март 2024'!$D$4:$D$1612,$B126,'март 2024'!$J$4:$J$1612,X$1)</f>
        <v>0</v>
      </c>
      <c r="Y126" s="80">
        <f>SUMIFS('март 2024'!$G$4:$G$1612,'март 2024'!$D$4:$D$1612,$B126,'март 2024'!$J$4:$J$1612,Y$1)</f>
        <v>0</v>
      </c>
      <c r="Z126" s="80">
        <f>SUMIFS('март 2024'!$G$4:$G$1612,'март 2024'!$D$4:$D$1612,$B126,'март 2024'!$J$4:$J$1612,Z$1)</f>
        <v>0</v>
      </c>
      <c r="AA126" s="80">
        <f>SUMIFS('март 2024'!$G$4:$G$1612,'март 2024'!$D$4:$D$1612,$B126,'март 2024'!$J$4:$J$1612,AA$1)</f>
        <v>0</v>
      </c>
      <c r="AB126" s="80">
        <f>SUMIFS('март 2024'!$G$4:$G$1612,'март 2024'!$D$4:$D$1612,$B126,'март 2024'!$J$4:$J$1612,AB$1)</f>
        <v>65</v>
      </c>
      <c r="AC126" s="80">
        <f>SUMIFS('март 2024'!$G$4:$G$1612,'март 2024'!$D$4:$D$1612,$B126,'март 2024'!$J$4:$J$1612,AC$1)</f>
        <v>0</v>
      </c>
      <c r="AD126" s="80">
        <f>SUMIFS('март 2024'!$G$4:$G$1612,'март 2024'!$D$4:$D$1612,$B126,'март 2024'!$J$4:$J$1612,AD$1)</f>
        <v>0</v>
      </c>
      <c r="AE126" s="80">
        <f>SUMIFS('март 2024'!$G$4:$G$1612,'март 2024'!$D$4:$D$1612,$B126,'март 2024'!$J$4:$J$1612,AE$1)</f>
        <v>0</v>
      </c>
      <c r="AF126" s="80">
        <f>SUMIFS('март 2024'!$G$4:$G$1612,'март 2024'!$D$4:$D$1612,$B126,'март 2024'!$J$4:$J$1612,AF$1)</f>
        <v>0</v>
      </c>
      <c r="AG126" s="80">
        <f>SUMIFS('март 2024'!$G$4:$G$1612,'март 2024'!$D$4:$D$1612,$B126,'март 2024'!$J$4:$J$1612,AG$1)</f>
        <v>0</v>
      </c>
      <c r="AH126" s="80">
        <f>SUMIFS('март 2024'!$G$4:$G$1612,'март 2024'!$D$4:$D$1612,$B126,'март 2024'!$J$4:$J$1612,AH$1)</f>
        <v>0</v>
      </c>
      <c r="AI126" s="21">
        <f t="shared" si="1"/>
        <v>109</v>
      </c>
    </row>
    <row r="127" spans="2:35" ht="16.899999999999999" customHeight="1" x14ac:dyDescent="0.25">
      <c r="B127" s="89" t="s">
        <v>336</v>
      </c>
      <c r="C127" s="88">
        <v>200</v>
      </c>
      <c r="D127" s="80">
        <f>SUMIFS('март 2024'!$G$4:$G$1612,'март 2024'!$D$4:$D$1612,$B127,'март 2024'!$J$4:$J$1612,D$1)</f>
        <v>0</v>
      </c>
      <c r="E127" s="80">
        <f>SUMIFS('март 2024'!$G$4:$G$1612,'март 2024'!$D$4:$D$1612,$B127,'март 2024'!$J$4:$J$1612,E$1)</f>
        <v>0</v>
      </c>
      <c r="F127" s="80">
        <f>SUMIFS('март 2024'!$G$4:$G$1612,'март 2024'!$D$4:$D$1612,$B127,'март 2024'!$J$4:$J$1612,F$1)</f>
        <v>0</v>
      </c>
      <c r="G127" s="80">
        <f>SUMIFS('март 2024'!$G$4:$G$1612,'март 2024'!$D$4:$D$1612,$B127,'март 2024'!$J$4:$J$1612,G$1)</f>
        <v>0</v>
      </c>
      <c r="H127" s="80">
        <f>SUMIFS('март 2024'!$G$4:$G$1612,'март 2024'!$D$4:$D$1612,$B127,'март 2024'!$J$4:$J$1612,H$1)</f>
        <v>0</v>
      </c>
      <c r="I127" s="80">
        <f>SUMIFS('март 2024'!$G$4:$G$1612,'март 2024'!$D$4:$D$1612,$B127,'март 2024'!$J$4:$J$1612,I$1)</f>
        <v>0</v>
      </c>
      <c r="J127" s="80">
        <f>SUMIFS('март 2024'!$G$4:$G$1612,'март 2024'!$D$4:$D$1612,$B127,'март 2024'!$J$4:$J$1612,J$1)</f>
        <v>0</v>
      </c>
      <c r="K127" s="80">
        <f>SUMIFS('март 2024'!$G$4:$G$1612,'март 2024'!$D$4:$D$1612,$B127,'март 2024'!$J$4:$J$1612,K$1)</f>
        <v>0</v>
      </c>
      <c r="L127" s="80">
        <f>SUMIFS('март 2024'!$G$4:$G$1612,'март 2024'!$D$4:$D$1612,$B127,'март 2024'!$J$4:$J$1612,L$1)</f>
        <v>0</v>
      </c>
      <c r="M127" s="80">
        <f>SUMIFS('март 2024'!$G$4:$G$1612,'март 2024'!$D$4:$D$1612,$B127,'март 2024'!$J$4:$J$1612,M$1)</f>
        <v>0</v>
      </c>
      <c r="N127" s="80">
        <f>SUMIFS('март 2024'!$G$4:$G$1612,'март 2024'!$D$4:$D$1612,$B127,'март 2024'!$J$4:$J$1612,N$1)</f>
        <v>0</v>
      </c>
      <c r="O127" s="80">
        <f>SUMIFS('март 2024'!$G$4:$G$1612,'март 2024'!$D$4:$D$1612,$B127,'март 2024'!$J$4:$J$1612,O$1)</f>
        <v>0</v>
      </c>
      <c r="P127" s="80">
        <f>SUMIFS('март 2024'!$G$4:$G$1612,'март 2024'!$D$4:$D$1612,$B127,'март 2024'!$J$4:$J$1612,P$1)</f>
        <v>0</v>
      </c>
      <c r="Q127" s="80">
        <f>SUMIFS('март 2024'!$G$4:$G$1612,'март 2024'!$D$4:$D$1612,$B127,'март 2024'!$J$4:$J$1612,Q$1)</f>
        <v>0</v>
      </c>
      <c r="R127" s="80">
        <f>SUMIFS('март 2024'!$G$4:$G$1612,'март 2024'!$D$4:$D$1612,$B127,'март 2024'!$J$4:$J$1612,R$1)</f>
        <v>0</v>
      </c>
      <c r="S127" s="80">
        <f>SUMIFS('март 2024'!$G$4:$G$1612,'март 2024'!$D$4:$D$1612,$B127,'март 2024'!$J$4:$J$1612,S$1)</f>
        <v>0</v>
      </c>
      <c r="T127" s="80">
        <f>SUMIFS('март 2024'!$G$4:$G$1612,'март 2024'!$D$4:$D$1612,$B127,'март 2024'!$J$4:$J$1612,T$1)</f>
        <v>0</v>
      </c>
      <c r="U127" s="80">
        <f>SUMIFS('март 2024'!$G$4:$G$1612,'март 2024'!$D$4:$D$1612,$B127,'март 2024'!$J$4:$J$1612,U$1)</f>
        <v>0</v>
      </c>
      <c r="V127" s="80">
        <f>SUMIFS('март 2024'!$G$4:$G$1612,'март 2024'!$D$4:$D$1612,$B127,'март 2024'!$J$4:$J$1612,V$1)</f>
        <v>0</v>
      </c>
      <c r="W127" s="80">
        <f>SUMIFS('март 2024'!$G$4:$G$1612,'март 2024'!$D$4:$D$1612,$B127,'март 2024'!$J$4:$J$1612,W$1)</f>
        <v>0</v>
      </c>
      <c r="X127" s="80">
        <f>SUMIFS('март 2024'!$G$4:$G$1612,'март 2024'!$D$4:$D$1612,$B127,'март 2024'!$J$4:$J$1612,X$1)</f>
        <v>0</v>
      </c>
      <c r="Y127" s="80">
        <f>SUMIFS('март 2024'!$G$4:$G$1612,'март 2024'!$D$4:$D$1612,$B127,'март 2024'!$J$4:$J$1612,Y$1)</f>
        <v>0</v>
      </c>
      <c r="Z127" s="80">
        <f>SUMIFS('март 2024'!$G$4:$G$1612,'март 2024'!$D$4:$D$1612,$B127,'март 2024'!$J$4:$J$1612,Z$1)</f>
        <v>0</v>
      </c>
      <c r="AA127" s="80">
        <f>SUMIFS('март 2024'!$G$4:$G$1612,'март 2024'!$D$4:$D$1612,$B127,'март 2024'!$J$4:$J$1612,AA$1)</f>
        <v>0</v>
      </c>
      <c r="AB127" s="80">
        <f>SUMIFS('март 2024'!$G$4:$G$1612,'март 2024'!$D$4:$D$1612,$B127,'март 2024'!$J$4:$J$1612,AB$1)</f>
        <v>0</v>
      </c>
      <c r="AC127" s="80">
        <f>SUMIFS('март 2024'!$G$4:$G$1612,'март 2024'!$D$4:$D$1612,$B127,'март 2024'!$J$4:$J$1612,AC$1)</f>
        <v>0</v>
      </c>
      <c r="AD127" s="80">
        <f>SUMIFS('март 2024'!$G$4:$G$1612,'март 2024'!$D$4:$D$1612,$B127,'март 2024'!$J$4:$J$1612,AD$1)</f>
        <v>0</v>
      </c>
      <c r="AE127" s="80">
        <f>SUMIFS('март 2024'!$G$4:$G$1612,'март 2024'!$D$4:$D$1612,$B127,'март 2024'!$J$4:$J$1612,AE$1)</f>
        <v>0</v>
      </c>
      <c r="AF127" s="80">
        <f>SUMIFS('март 2024'!$G$4:$G$1612,'март 2024'!$D$4:$D$1612,$B127,'март 2024'!$J$4:$J$1612,AF$1)</f>
        <v>0</v>
      </c>
      <c r="AG127" s="80">
        <f>SUMIFS('март 2024'!$G$4:$G$1612,'март 2024'!$D$4:$D$1612,$B127,'март 2024'!$J$4:$J$1612,AG$1)</f>
        <v>0</v>
      </c>
      <c r="AH127" s="80">
        <f>SUMIFS('март 2024'!$G$4:$G$1612,'март 2024'!$D$4:$D$1612,$B127,'март 2024'!$J$4:$J$1612,AH$1)</f>
        <v>0</v>
      </c>
      <c r="AI127" s="21">
        <f t="shared" si="1"/>
        <v>0</v>
      </c>
    </row>
    <row r="128" spans="2:35" ht="15" customHeight="1" x14ac:dyDescent="0.25">
      <c r="B128" s="89" t="s">
        <v>341</v>
      </c>
      <c r="C128" s="88">
        <v>200</v>
      </c>
      <c r="D128" s="80">
        <f>SUMIFS('март 2024'!$G$4:$G$1612,'март 2024'!$D$4:$D$1612,$B128,'март 2024'!$J$4:$J$1612,D$1)</f>
        <v>0</v>
      </c>
      <c r="E128" s="80">
        <f>SUMIFS('март 2024'!$G$4:$G$1612,'март 2024'!$D$4:$D$1612,$B128,'март 2024'!$J$4:$J$1612,E$1)</f>
        <v>0</v>
      </c>
      <c r="F128" s="80">
        <f>SUMIFS('март 2024'!$G$4:$G$1612,'март 2024'!$D$4:$D$1612,$B128,'март 2024'!$J$4:$J$1612,F$1)</f>
        <v>0</v>
      </c>
      <c r="G128" s="80">
        <f>SUMIFS('март 2024'!$G$4:$G$1612,'март 2024'!$D$4:$D$1612,$B128,'март 2024'!$J$4:$J$1612,G$1)</f>
        <v>0</v>
      </c>
      <c r="H128" s="80">
        <f>SUMIFS('март 2024'!$G$4:$G$1612,'март 2024'!$D$4:$D$1612,$B128,'март 2024'!$J$4:$J$1612,H$1)</f>
        <v>0</v>
      </c>
      <c r="I128" s="80">
        <f>SUMIFS('март 2024'!$G$4:$G$1612,'март 2024'!$D$4:$D$1612,$B128,'март 2024'!$J$4:$J$1612,I$1)</f>
        <v>0</v>
      </c>
      <c r="J128" s="80">
        <f>SUMIFS('март 2024'!$G$4:$G$1612,'март 2024'!$D$4:$D$1612,$B128,'март 2024'!$J$4:$J$1612,J$1)</f>
        <v>0</v>
      </c>
      <c r="K128" s="80">
        <f>SUMIFS('март 2024'!$G$4:$G$1612,'март 2024'!$D$4:$D$1612,$B128,'март 2024'!$J$4:$J$1612,K$1)</f>
        <v>0</v>
      </c>
      <c r="L128" s="80">
        <f>SUMIFS('март 2024'!$G$4:$G$1612,'март 2024'!$D$4:$D$1612,$B128,'март 2024'!$J$4:$J$1612,L$1)</f>
        <v>0</v>
      </c>
      <c r="M128" s="80">
        <f>SUMIFS('март 2024'!$G$4:$G$1612,'март 2024'!$D$4:$D$1612,$B128,'март 2024'!$J$4:$J$1612,M$1)</f>
        <v>0</v>
      </c>
      <c r="N128" s="80">
        <f>SUMIFS('март 2024'!$G$4:$G$1612,'март 2024'!$D$4:$D$1612,$B128,'март 2024'!$J$4:$J$1612,N$1)</f>
        <v>0</v>
      </c>
      <c r="O128" s="80">
        <f>SUMIFS('март 2024'!$G$4:$G$1612,'март 2024'!$D$4:$D$1612,$B128,'март 2024'!$J$4:$J$1612,O$1)</f>
        <v>0</v>
      </c>
      <c r="P128" s="80">
        <f>SUMIFS('март 2024'!$G$4:$G$1612,'март 2024'!$D$4:$D$1612,$B128,'март 2024'!$J$4:$J$1612,P$1)</f>
        <v>0</v>
      </c>
      <c r="Q128" s="80">
        <f>SUMIFS('март 2024'!$G$4:$G$1612,'март 2024'!$D$4:$D$1612,$B128,'март 2024'!$J$4:$J$1612,Q$1)</f>
        <v>0</v>
      </c>
      <c r="R128" s="80">
        <f>SUMIFS('март 2024'!$G$4:$G$1612,'март 2024'!$D$4:$D$1612,$B128,'март 2024'!$J$4:$J$1612,R$1)</f>
        <v>0</v>
      </c>
      <c r="S128" s="80">
        <f>SUMIFS('март 2024'!$G$4:$G$1612,'март 2024'!$D$4:$D$1612,$B128,'март 2024'!$J$4:$J$1612,S$1)</f>
        <v>0</v>
      </c>
      <c r="T128" s="80">
        <f>SUMIFS('март 2024'!$G$4:$G$1612,'март 2024'!$D$4:$D$1612,$B128,'март 2024'!$J$4:$J$1612,T$1)</f>
        <v>0</v>
      </c>
      <c r="U128" s="80">
        <f>SUMIFS('март 2024'!$G$4:$G$1612,'март 2024'!$D$4:$D$1612,$B128,'март 2024'!$J$4:$J$1612,U$1)</f>
        <v>0</v>
      </c>
      <c r="V128" s="80">
        <f>SUMIFS('март 2024'!$G$4:$G$1612,'март 2024'!$D$4:$D$1612,$B128,'март 2024'!$J$4:$J$1612,V$1)</f>
        <v>0</v>
      </c>
      <c r="W128" s="80">
        <f>SUMIFS('март 2024'!$G$4:$G$1612,'март 2024'!$D$4:$D$1612,$B128,'март 2024'!$J$4:$J$1612,W$1)</f>
        <v>0</v>
      </c>
      <c r="X128" s="80">
        <f>SUMIFS('март 2024'!$G$4:$G$1612,'март 2024'!$D$4:$D$1612,$B128,'март 2024'!$J$4:$J$1612,X$1)</f>
        <v>0</v>
      </c>
      <c r="Y128" s="80">
        <f>SUMIFS('март 2024'!$G$4:$G$1612,'март 2024'!$D$4:$D$1612,$B128,'март 2024'!$J$4:$J$1612,Y$1)</f>
        <v>0</v>
      </c>
      <c r="Z128" s="80">
        <f>SUMIFS('март 2024'!$G$4:$G$1612,'март 2024'!$D$4:$D$1612,$B128,'март 2024'!$J$4:$J$1612,Z$1)</f>
        <v>0</v>
      </c>
      <c r="AA128" s="80">
        <f>SUMIFS('март 2024'!$G$4:$G$1612,'март 2024'!$D$4:$D$1612,$B128,'март 2024'!$J$4:$J$1612,AA$1)</f>
        <v>0</v>
      </c>
      <c r="AB128" s="80">
        <f>SUMIFS('март 2024'!$G$4:$G$1612,'март 2024'!$D$4:$D$1612,$B128,'март 2024'!$J$4:$J$1612,AB$1)</f>
        <v>0</v>
      </c>
      <c r="AC128" s="80">
        <f>SUMIFS('март 2024'!$G$4:$G$1612,'март 2024'!$D$4:$D$1612,$B128,'март 2024'!$J$4:$J$1612,AC$1)</f>
        <v>0</v>
      </c>
      <c r="AD128" s="80">
        <f>SUMIFS('март 2024'!$G$4:$G$1612,'март 2024'!$D$4:$D$1612,$B128,'март 2024'!$J$4:$J$1612,AD$1)</f>
        <v>0</v>
      </c>
      <c r="AE128" s="80">
        <f>SUMIFS('март 2024'!$G$4:$G$1612,'март 2024'!$D$4:$D$1612,$B128,'март 2024'!$J$4:$J$1612,AE$1)</f>
        <v>0</v>
      </c>
      <c r="AF128" s="80">
        <f>SUMIFS('март 2024'!$G$4:$G$1612,'март 2024'!$D$4:$D$1612,$B128,'март 2024'!$J$4:$J$1612,AF$1)</f>
        <v>0</v>
      </c>
      <c r="AG128" s="80">
        <f>SUMIFS('март 2024'!$G$4:$G$1612,'март 2024'!$D$4:$D$1612,$B128,'март 2024'!$J$4:$J$1612,AG$1)</f>
        <v>0</v>
      </c>
      <c r="AH128" s="80">
        <f>SUMIFS('март 2024'!$G$4:$G$1612,'март 2024'!$D$4:$D$1612,$B128,'март 2024'!$J$4:$J$1612,AH$1)</f>
        <v>0</v>
      </c>
      <c r="AI128" s="21">
        <f t="shared" si="1"/>
        <v>0</v>
      </c>
    </row>
    <row r="129" spans="2:35" ht="15" customHeight="1" x14ac:dyDescent="0.25">
      <c r="B129" s="89" t="s">
        <v>337</v>
      </c>
      <c r="C129" s="88">
        <v>200</v>
      </c>
      <c r="D129" s="80">
        <f>SUMIFS('март 2024'!$G$4:$G$1612,'март 2024'!$D$4:$D$1612,$B129,'март 2024'!$J$4:$J$1612,D$1)</f>
        <v>0</v>
      </c>
      <c r="E129" s="80">
        <f>SUMIFS('март 2024'!$G$4:$G$1612,'март 2024'!$D$4:$D$1612,$B129,'март 2024'!$J$4:$J$1612,E$1)</f>
        <v>0</v>
      </c>
      <c r="F129" s="80">
        <f>SUMIFS('март 2024'!$G$4:$G$1612,'март 2024'!$D$4:$D$1612,$B129,'март 2024'!$J$4:$J$1612,F$1)</f>
        <v>0</v>
      </c>
      <c r="G129" s="80">
        <f>SUMIFS('март 2024'!$G$4:$G$1612,'март 2024'!$D$4:$D$1612,$B129,'март 2024'!$J$4:$J$1612,G$1)</f>
        <v>0</v>
      </c>
      <c r="H129" s="80">
        <f>SUMIFS('март 2024'!$G$4:$G$1612,'март 2024'!$D$4:$D$1612,$B129,'март 2024'!$J$4:$J$1612,H$1)</f>
        <v>0</v>
      </c>
      <c r="I129" s="80">
        <f>SUMIFS('март 2024'!$G$4:$G$1612,'март 2024'!$D$4:$D$1612,$B129,'март 2024'!$J$4:$J$1612,I$1)</f>
        <v>0</v>
      </c>
      <c r="J129" s="80">
        <f>SUMIFS('март 2024'!$G$4:$G$1612,'март 2024'!$D$4:$D$1612,$B129,'март 2024'!$J$4:$J$1612,J$1)</f>
        <v>0</v>
      </c>
      <c r="K129" s="80">
        <f>SUMIFS('март 2024'!$G$4:$G$1612,'март 2024'!$D$4:$D$1612,$B129,'март 2024'!$J$4:$J$1612,K$1)</f>
        <v>0</v>
      </c>
      <c r="L129" s="80">
        <f>SUMIFS('март 2024'!$G$4:$G$1612,'март 2024'!$D$4:$D$1612,$B129,'март 2024'!$J$4:$J$1612,L$1)</f>
        <v>0</v>
      </c>
      <c r="M129" s="80">
        <f>SUMIFS('март 2024'!$G$4:$G$1612,'март 2024'!$D$4:$D$1612,$B129,'март 2024'!$J$4:$J$1612,M$1)</f>
        <v>0</v>
      </c>
      <c r="N129" s="80">
        <f>SUMIFS('март 2024'!$G$4:$G$1612,'март 2024'!$D$4:$D$1612,$B129,'март 2024'!$J$4:$J$1612,N$1)</f>
        <v>0</v>
      </c>
      <c r="O129" s="80">
        <f>SUMIFS('март 2024'!$G$4:$G$1612,'март 2024'!$D$4:$D$1612,$B129,'март 2024'!$J$4:$J$1612,O$1)</f>
        <v>0</v>
      </c>
      <c r="P129" s="80">
        <f>SUMIFS('март 2024'!$G$4:$G$1612,'март 2024'!$D$4:$D$1612,$B129,'март 2024'!$J$4:$J$1612,P$1)</f>
        <v>0</v>
      </c>
      <c r="Q129" s="80">
        <f>SUMIFS('март 2024'!$G$4:$G$1612,'март 2024'!$D$4:$D$1612,$B129,'март 2024'!$J$4:$J$1612,Q$1)</f>
        <v>0</v>
      </c>
      <c r="R129" s="80">
        <f>SUMIFS('март 2024'!$G$4:$G$1612,'март 2024'!$D$4:$D$1612,$B129,'март 2024'!$J$4:$J$1612,R$1)</f>
        <v>0</v>
      </c>
      <c r="S129" s="80">
        <f>SUMIFS('март 2024'!$G$4:$G$1612,'март 2024'!$D$4:$D$1612,$B129,'март 2024'!$J$4:$J$1612,S$1)</f>
        <v>0</v>
      </c>
      <c r="T129" s="80">
        <f>SUMIFS('март 2024'!$G$4:$G$1612,'март 2024'!$D$4:$D$1612,$B129,'март 2024'!$J$4:$J$1612,T$1)</f>
        <v>0</v>
      </c>
      <c r="U129" s="80">
        <f>SUMIFS('март 2024'!$G$4:$G$1612,'март 2024'!$D$4:$D$1612,$B129,'март 2024'!$J$4:$J$1612,U$1)</f>
        <v>0</v>
      </c>
      <c r="V129" s="80">
        <f>SUMIFS('март 2024'!$G$4:$G$1612,'март 2024'!$D$4:$D$1612,$B129,'март 2024'!$J$4:$J$1612,V$1)</f>
        <v>0</v>
      </c>
      <c r="W129" s="80">
        <f>SUMIFS('март 2024'!$G$4:$G$1612,'март 2024'!$D$4:$D$1612,$B129,'март 2024'!$J$4:$J$1612,W$1)</f>
        <v>0</v>
      </c>
      <c r="X129" s="80">
        <f>SUMIFS('март 2024'!$G$4:$G$1612,'март 2024'!$D$4:$D$1612,$B129,'март 2024'!$J$4:$J$1612,X$1)</f>
        <v>0</v>
      </c>
      <c r="Y129" s="80">
        <f>SUMIFS('март 2024'!$G$4:$G$1612,'март 2024'!$D$4:$D$1612,$B129,'март 2024'!$J$4:$J$1612,Y$1)</f>
        <v>0</v>
      </c>
      <c r="Z129" s="80">
        <f>SUMIFS('март 2024'!$G$4:$G$1612,'март 2024'!$D$4:$D$1612,$B129,'март 2024'!$J$4:$J$1612,Z$1)</f>
        <v>0</v>
      </c>
      <c r="AA129" s="80">
        <f>SUMIFS('март 2024'!$G$4:$G$1612,'март 2024'!$D$4:$D$1612,$B129,'март 2024'!$J$4:$J$1612,AA$1)</f>
        <v>0</v>
      </c>
      <c r="AB129" s="80">
        <f>SUMIFS('март 2024'!$G$4:$G$1612,'март 2024'!$D$4:$D$1612,$B129,'март 2024'!$J$4:$J$1612,AB$1)</f>
        <v>0</v>
      </c>
      <c r="AC129" s="80">
        <f>SUMIFS('март 2024'!$G$4:$G$1612,'март 2024'!$D$4:$D$1612,$B129,'март 2024'!$J$4:$J$1612,AC$1)</f>
        <v>0</v>
      </c>
      <c r="AD129" s="80">
        <f>SUMIFS('март 2024'!$G$4:$G$1612,'март 2024'!$D$4:$D$1612,$B129,'март 2024'!$J$4:$J$1612,AD$1)</f>
        <v>0</v>
      </c>
      <c r="AE129" s="80">
        <f>SUMIFS('март 2024'!$G$4:$G$1612,'март 2024'!$D$4:$D$1612,$B129,'март 2024'!$J$4:$J$1612,AE$1)</f>
        <v>0</v>
      </c>
      <c r="AF129" s="80">
        <f>SUMIFS('март 2024'!$G$4:$G$1612,'март 2024'!$D$4:$D$1612,$B129,'март 2024'!$J$4:$J$1612,AF$1)</f>
        <v>0</v>
      </c>
      <c r="AG129" s="80">
        <f>SUMIFS('март 2024'!$G$4:$G$1612,'март 2024'!$D$4:$D$1612,$B129,'март 2024'!$J$4:$J$1612,AG$1)</f>
        <v>0</v>
      </c>
      <c r="AH129" s="80">
        <f>SUMIFS('март 2024'!$G$4:$G$1612,'март 2024'!$D$4:$D$1612,$B129,'март 2024'!$J$4:$J$1612,AH$1)</f>
        <v>0</v>
      </c>
      <c r="AI129" s="21">
        <f t="shared" si="1"/>
        <v>0</v>
      </c>
    </row>
    <row r="130" spans="2:35" ht="15" customHeight="1" x14ac:dyDescent="0.25">
      <c r="B130" s="89" t="s">
        <v>338</v>
      </c>
      <c r="C130" s="88">
        <v>200</v>
      </c>
      <c r="D130" s="80">
        <f>SUMIFS('март 2024'!$G$4:$G$1612,'март 2024'!$D$4:$D$1612,$B130,'март 2024'!$J$4:$J$1612,D$1)</f>
        <v>0</v>
      </c>
      <c r="E130" s="80">
        <f>SUMIFS('март 2024'!$G$4:$G$1612,'март 2024'!$D$4:$D$1612,$B130,'март 2024'!$J$4:$J$1612,E$1)</f>
        <v>0</v>
      </c>
      <c r="F130" s="80">
        <f>SUMIFS('март 2024'!$G$4:$G$1612,'март 2024'!$D$4:$D$1612,$B130,'март 2024'!$J$4:$J$1612,F$1)</f>
        <v>0</v>
      </c>
      <c r="G130" s="80">
        <f>SUMIFS('март 2024'!$G$4:$G$1612,'март 2024'!$D$4:$D$1612,$B130,'март 2024'!$J$4:$J$1612,G$1)</f>
        <v>0</v>
      </c>
      <c r="H130" s="80">
        <f>SUMIFS('март 2024'!$G$4:$G$1612,'март 2024'!$D$4:$D$1612,$B130,'март 2024'!$J$4:$J$1612,H$1)</f>
        <v>0</v>
      </c>
      <c r="I130" s="80">
        <f>SUMIFS('март 2024'!$G$4:$G$1612,'март 2024'!$D$4:$D$1612,$B130,'март 2024'!$J$4:$J$1612,I$1)</f>
        <v>0</v>
      </c>
      <c r="J130" s="80">
        <f>SUMIFS('март 2024'!$G$4:$G$1612,'март 2024'!$D$4:$D$1612,$B130,'март 2024'!$J$4:$J$1612,J$1)</f>
        <v>0</v>
      </c>
      <c r="K130" s="80">
        <f>SUMIFS('март 2024'!$G$4:$G$1612,'март 2024'!$D$4:$D$1612,$B130,'март 2024'!$J$4:$J$1612,K$1)</f>
        <v>0</v>
      </c>
      <c r="L130" s="80">
        <f>SUMIFS('март 2024'!$G$4:$G$1612,'март 2024'!$D$4:$D$1612,$B130,'март 2024'!$J$4:$J$1612,L$1)</f>
        <v>0</v>
      </c>
      <c r="M130" s="80">
        <f>SUMIFS('март 2024'!$G$4:$G$1612,'март 2024'!$D$4:$D$1612,$B130,'март 2024'!$J$4:$J$1612,M$1)</f>
        <v>0</v>
      </c>
      <c r="N130" s="80">
        <f>SUMIFS('март 2024'!$G$4:$G$1612,'март 2024'!$D$4:$D$1612,$B130,'март 2024'!$J$4:$J$1612,N$1)</f>
        <v>0</v>
      </c>
      <c r="O130" s="80">
        <f>SUMIFS('март 2024'!$G$4:$G$1612,'март 2024'!$D$4:$D$1612,$B130,'март 2024'!$J$4:$J$1612,O$1)</f>
        <v>0</v>
      </c>
      <c r="P130" s="80">
        <f>SUMIFS('март 2024'!$G$4:$G$1612,'март 2024'!$D$4:$D$1612,$B130,'март 2024'!$J$4:$J$1612,P$1)</f>
        <v>0</v>
      </c>
      <c r="Q130" s="80">
        <f>SUMIFS('март 2024'!$G$4:$G$1612,'март 2024'!$D$4:$D$1612,$B130,'март 2024'!$J$4:$J$1612,Q$1)</f>
        <v>0</v>
      </c>
      <c r="R130" s="80">
        <f>SUMIFS('март 2024'!$G$4:$G$1612,'март 2024'!$D$4:$D$1612,$B130,'март 2024'!$J$4:$J$1612,R$1)</f>
        <v>0</v>
      </c>
      <c r="S130" s="80">
        <f>SUMIFS('март 2024'!$G$4:$G$1612,'март 2024'!$D$4:$D$1612,$B130,'март 2024'!$J$4:$J$1612,S$1)</f>
        <v>0</v>
      </c>
      <c r="T130" s="80">
        <f>SUMIFS('март 2024'!$G$4:$G$1612,'март 2024'!$D$4:$D$1612,$B130,'март 2024'!$J$4:$J$1612,T$1)</f>
        <v>0</v>
      </c>
      <c r="U130" s="80">
        <f>SUMIFS('март 2024'!$G$4:$G$1612,'март 2024'!$D$4:$D$1612,$B130,'март 2024'!$J$4:$J$1612,U$1)</f>
        <v>0</v>
      </c>
      <c r="V130" s="80">
        <f>SUMIFS('март 2024'!$G$4:$G$1612,'март 2024'!$D$4:$D$1612,$B130,'март 2024'!$J$4:$J$1612,V$1)</f>
        <v>0</v>
      </c>
      <c r="W130" s="80">
        <f>SUMIFS('март 2024'!$G$4:$G$1612,'март 2024'!$D$4:$D$1612,$B130,'март 2024'!$J$4:$J$1612,W$1)</f>
        <v>0</v>
      </c>
      <c r="X130" s="80">
        <f>SUMIFS('март 2024'!$G$4:$G$1612,'март 2024'!$D$4:$D$1612,$B130,'март 2024'!$J$4:$J$1612,X$1)</f>
        <v>0</v>
      </c>
      <c r="Y130" s="80">
        <f>SUMIFS('март 2024'!$G$4:$G$1612,'март 2024'!$D$4:$D$1612,$B130,'март 2024'!$J$4:$J$1612,Y$1)</f>
        <v>0</v>
      </c>
      <c r="Z130" s="80">
        <f>SUMIFS('март 2024'!$G$4:$G$1612,'март 2024'!$D$4:$D$1612,$B130,'март 2024'!$J$4:$J$1612,Z$1)</f>
        <v>0</v>
      </c>
      <c r="AA130" s="80">
        <f>SUMIFS('март 2024'!$G$4:$G$1612,'март 2024'!$D$4:$D$1612,$B130,'март 2024'!$J$4:$J$1612,AA$1)</f>
        <v>0</v>
      </c>
      <c r="AB130" s="80">
        <f>SUMIFS('март 2024'!$G$4:$G$1612,'март 2024'!$D$4:$D$1612,$B130,'март 2024'!$J$4:$J$1612,AB$1)</f>
        <v>0</v>
      </c>
      <c r="AC130" s="80">
        <f>SUMIFS('март 2024'!$G$4:$G$1612,'март 2024'!$D$4:$D$1612,$B130,'март 2024'!$J$4:$J$1612,AC$1)</f>
        <v>0</v>
      </c>
      <c r="AD130" s="80">
        <f>SUMIFS('март 2024'!$G$4:$G$1612,'март 2024'!$D$4:$D$1612,$B130,'март 2024'!$J$4:$J$1612,AD$1)</f>
        <v>0</v>
      </c>
      <c r="AE130" s="80">
        <f>SUMIFS('март 2024'!$G$4:$G$1612,'март 2024'!$D$4:$D$1612,$B130,'март 2024'!$J$4:$J$1612,AE$1)</f>
        <v>0</v>
      </c>
      <c r="AF130" s="80">
        <f>SUMIFS('март 2024'!$G$4:$G$1612,'март 2024'!$D$4:$D$1612,$B130,'март 2024'!$J$4:$J$1612,AF$1)</f>
        <v>0</v>
      </c>
      <c r="AG130" s="80">
        <f>SUMIFS('март 2024'!$G$4:$G$1612,'март 2024'!$D$4:$D$1612,$B130,'март 2024'!$J$4:$J$1612,AG$1)</f>
        <v>0</v>
      </c>
      <c r="AH130" s="80">
        <f>SUMIFS('март 2024'!$G$4:$G$1612,'март 2024'!$D$4:$D$1612,$B130,'март 2024'!$J$4:$J$1612,AH$1)</f>
        <v>0</v>
      </c>
      <c r="AI130" s="21">
        <f t="shared" si="1"/>
        <v>0</v>
      </c>
    </row>
    <row r="131" spans="2:35" ht="15" customHeight="1" x14ac:dyDescent="0.25">
      <c r="B131" s="89" t="s">
        <v>211</v>
      </c>
      <c r="C131" s="88">
        <v>200</v>
      </c>
      <c r="D131" s="80">
        <f>SUMIFS('март 2024'!$G$4:$G$1612,'март 2024'!$D$4:$D$1612,$B131,'март 2024'!$J$4:$J$1612,D$1)</f>
        <v>0</v>
      </c>
      <c r="E131" s="80">
        <f>SUMIFS('март 2024'!$G$4:$G$1612,'март 2024'!$D$4:$D$1612,$B131,'март 2024'!$J$4:$J$1612,E$1)</f>
        <v>0</v>
      </c>
      <c r="F131" s="80">
        <f>SUMIFS('март 2024'!$G$4:$G$1612,'март 2024'!$D$4:$D$1612,$B131,'март 2024'!$J$4:$J$1612,F$1)</f>
        <v>0</v>
      </c>
      <c r="G131" s="80">
        <f>SUMIFS('март 2024'!$G$4:$G$1612,'март 2024'!$D$4:$D$1612,$B131,'март 2024'!$J$4:$J$1612,G$1)</f>
        <v>25</v>
      </c>
      <c r="H131" s="80">
        <f>SUMIFS('март 2024'!$G$4:$G$1612,'март 2024'!$D$4:$D$1612,$B131,'март 2024'!$J$4:$J$1612,H$1)</f>
        <v>0</v>
      </c>
      <c r="I131" s="80">
        <f>SUMIFS('март 2024'!$G$4:$G$1612,'март 2024'!$D$4:$D$1612,$B131,'март 2024'!$J$4:$J$1612,I$1)</f>
        <v>0</v>
      </c>
      <c r="J131" s="80">
        <f>SUMIFS('март 2024'!$G$4:$G$1612,'март 2024'!$D$4:$D$1612,$B131,'март 2024'!$J$4:$J$1612,J$1)</f>
        <v>0</v>
      </c>
      <c r="K131" s="80">
        <f>SUMIFS('март 2024'!$G$4:$G$1612,'март 2024'!$D$4:$D$1612,$B131,'март 2024'!$J$4:$J$1612,K$1)</f>
        <v>0</v>
      </c>
      <c r="L131" s="80">
        <f>SUMIFS('март 2024'!$G$4:$G$1612,'март 2024'!$D$4:$D$1612,$B131,'март 2024'!$J$4:$J$1612,L$1)</f>
        <v>0</v>
      </c>
      <c r="M131" s="80">
        <f>SUMIFS('март 2024'!$G$4:$G$1612,'март 2024'!$D$4:$D$1612,$B131,'март 2024'!$J$4:$J$1612,M$1)</f>
        <v>0</v>
      </c>
      <c r="N131" s="80">
        <f>SUMIFS('март 2024'!$G$4:$G$1612,'март 2024'!$D$4:$D$1612,$B131,'март 2024'!$J$4:$J$1612,N$1)</f>
        <v>0</v>
      </c>
      <c r="O131" s="80">
        <f>SUMIFS('март 2024'!$G$4:$G$1612,'март 2024'!$D$4:$D$1612,$B131,'март 2024'!$J$4:$J$1612,O$1)</f>
        <v>0</v>
      </c>
      <c r="P131" s="80">
        <f>SUMIFS('март 2024'!$G$4:$G$1612,'март 2024'!$D$4:$D$1612,$B131,'март 2024'!$J$4:$J$1612,P$1)</f>
        <v>0</v>
      </c>
      <c r="Q131" s="80">
        <f>SUMIFS('март 2024'!$G$4:$G$1612,'март 2024'!$D$4:$D$1612,$B131,'март 2024'!$J$4:$J$1612,Q$1)</f>
        <v>0</v>
      </c>
      <c r="R131" s="80">
        <f>SUMIFS('март 2024'!$G$4:$G$1612,'март 2024'!$D$4:$D$1612,$B131,'март 2024'!$J$4:$J$1612,R$1)</f>
        <v>0</v>
      </c>
      <c r="S131" s="80">
        <f>SUMIFS('март 2024'!$G$4:$G$1612,'март 2024'!$D$4:$D$1612,$B131,'март 2024'!$J$4:$J$1612,S$1)</f>
        <v>0</v>
      </c>
      <c r="T131" s="80">
        <f>SUMIFS('март 2024'!$G$4:$G$1612,'март 2024'!$D$4:$D$1612,$B131,'март 2024'!$J$4:$J$1612,T$1)</f>
        <v>0</v>
      </c>
      <c r="U131" s="80">
        <f>SUMIFS('март 2024'!$G$4:$G$1612,'март 2024'!$D$4:$D$1612,$B131,'март 2024'!$J$4:$J$1612,U$1)</f>
        <v>0</v>
      </c>
      <c r="V131" s="80">
        <f>SUMIFS('март 2024'!$G$4:$G$1612,'март 2024'!$D$4:$D$1612,$B131,'март 2024'!$J$4:$J$1612,V$1)</f>
        <v>0</v>
      </c>
      <c r="W131" s="80">
        <f>SUMIFS('март 2024'!$G$4:$G$1612,'март 2024'!$D$4:$D$1612,$B131,'март 2024'!$J$4:$J$1612,W$1)</f>
        <v>0</v>
      </c>
      <c r="X131" s="80">
        <f>SUMIFS('март 2024'!$G$4:$G$1612,'март 2024'!$D$4:$D$1612,$B131,'март 2024'!$J$4:$J$1612,X$1)</f>
        <v>0</v>
      </c>
      <c r="Y131" s="80">
        <f>SUMIFS('март 2024'!$G$4:$G$1612,'март 2024'!$D$4:$D$1612,$B131,'март 2024'!$J$4:$J$1612,Y$1)</f>
        <v>0</v>
      </c>
      <c r="Z131" s="80">
        <f>SUMIFS('март 2024'!$G$4:$G$1612,'март 2024'!$D$4:$D$1612,$B131,'март 2024'!$J$4:$J$1612,Z$1)</f>
        <v>0</v>
      </c>
      <c r="AA131" s="80">
        <f>SUMIFS('март 2024'!$G$4:$G$1612,'март 2024'!$D$4:$D$1612,$B131,'март 2024'!$J$4:$J$1612,AA$1)</f>
        <v>0</v>
      </c>
      <c r="AB131" s="80">
        <f>SUMIFS('март 2024'!$G$4:$G$1612,'март 2024'!$D$4:$D$1612,$B131,'март 2024'!$J$4:$J$1612,AB$1)</f>
        <v>34</v>
      </c>
      <c r="AC131" s="80">
        <f>SUMIFS('март 2024'!$G$4:$G$1612,'март 2024'!$D$4:$D$1612,$B131,'март 2024'!$J$4:$J$1612,AC$1)</f>
        <v>0</v>
      </c>
      <c r="AD131" s="80">
        <f>SUMIFS('март 2024'!$G$4:$G$1612,'март 2024'!$D$4:$D$1612,$B131,'март 2024'!$J$4:$J$1612,AD$1)</f>
        <v>0</v>
      </c>
      <c r="AE131" s="80">
        <f>SUMIFS('март 2024'!$G$4:$G$1612,'март 2024'!$D$4:$D$1612,$B131,'март 2024'!$J$4:$J$1612,AE$1)</f>
        <v>0</v>
      </c>
      <c r="AF131" s="80">
        <f>SUMIFS('март 2024'!$G$4:$G$1612,'март 2024'!$D$4:$D$1612,$B131,'март 2024'!$J$4:$J$1612,AF$1)</f>
        <v>0</v>
      </c>
      <c r="AG131" s="80">
        <f>SUMIFS('март 2024'!$G$4:$G$1612,'март 2024'!$D$4:$D$1612,$B131,'март 2024'!$J$4:$J$1612,AG$1)</f>
        <v>0</v>
      </c>
      <c r="AH131" s="80">
        <f>SUMIFS('март 2024'!$G$4:$G$1612,'март 2024'!$D$4:$D$1612,$B131,'март 2024'!$J$4:$J$1612,AH$1)</f>
        <v>0</v>
      </c>
      <c r="AI131" s="21">
        <f t="shared" si="1"/>
        <v>59</v>
      </c>
    </row>
    <row r="132" spans="2:35" ht="15" customHeight="1" x14ac:dyDescent="0.25">
      <c r="B132" s="89" t="s">
        <v>339</v>
      </c>
      <c r="C132" s="88">
        <v>200</v>
      </c>
      <c r="D132" s="80">
        <f>SUMIFS('март 2024'!$G$4:$G$1612,'март 2024'!$D$4:$D$1612,$B132,'март 2024'!$J$4:$J$1612,D$1)</f>
        <v>0</v>
      </c>
      <c r="E132" s="80">
        <f>SUMIFS('март 2024'!$G$4:$G$1612,'март 2024'!$D$4:$D$1612,$B132,'март 2024'!$J$4:$J$1612,E$1)</f>
        <v>0</v>
      </c>
      <c r="F132" s="80">
        <f>SUMIFS('март 2024'!$G$4:$G$1612,'март 2024'!$D$4:$D$1612,$B132,'март 2024'!$J$4:$J$1612,F$1)</f>
        <v>0</v>
      </c>
      <c r="G132" s="80">
        <f>SUMIFS('март 2024'!$G$4:$G$1612,'март 2024'!$D$4:$D$1612,$B132,'март 2024'!$J$4:$J$1612,G$1)</f>
        <v>0</v>
      </c>
      <c r="H132" s="80">
        <f>SUMIFS('март 2024'!$G$4:$G$1612,'март 2024'!$D$4:$D$1612,$B132,'март 2024'!$J$4:$J$1612,H$1)</f>
        <v>0</v>
      </c>
      <c r="I132" s="80">
        <f>SUMIFS('март 2024'!$G$4:$G$1612,'март 2024'!$D$4:$D$1612,$B132,'март 2024'!$J$4:$J$1612,I$1)</f>
        <v>0</v>
      </c>
      <c r="J132" s="80">
        <f>SUMIFS('март 2024'!$G$4:$G$1612,'март 2024'!$D$4:$D$1612,$B132,'март 2024'!$J$4:$J$1612,J$1)</f>
        <v>0</v>
      </c>
      <c r="K132" s="80">
        <f>SUMIFS('март 2024'!$G$4:$G$1612,'март 2024'!$D$4:$D$1612,$B132,'март 2024'!$J$4:$J$1612,K$1)</f>
        <v>0</v>
      </c>
      <c r="L132" s="80">
        <f>SUMIFS('март 2024'!$G$4:$G$1612,'март 2024'!$D$4:$D$1612,$B132,'март 2024'!$J$4:$J$1612,L$1)</f>
        <v>0</v>
      </c>
      <c r="M132" s="80">
        <f>SUMIFS('март 2024'!$G$4:$G$1612,'март 2024'!$D$4:$D$1612,$B132,'март 2024'!$J$4:$J$1612,M$1)</f>
        <v>0</v>
      </c>
      <c r="N132" s="80">
        <f>SUMIFS('март 2024'!$G$4:$G$1612,'март 2024'!$D$4:$D$1612,$B132,'март 2024'!$J$4:$J$1612,N$1)</f>
        <v>0</v>
      </c>
      <c r="O132" s="80">
        <f>SUMIFS('март 2024'!$G$4:$G$1612,'март 2024'!$D$4:$D$1612,$B132,'март 2024'!$J$4:$J$1612,O$1)</f>
        <v>0</v>
      </c>
      <c r="P132" s="80">
        <f>SUMIFS('март 2024'!$G$4:$G$1612,'март 2024'!$D$4:$D$1612,$B132,'март 2024'!$J$4:$J$1612,P$1)</f>
        <v>0</v>
      </c>
      <c r="Q132" s="80">
        <f>SUMIFS('март 2024'!$G$4:$G$1612,'март 2024'!$D$4:$D$1612,$B132,'март 2024'!$J$4:$J$1612,Q$1)</f>
        <v>0</v>
      </c>
      <c r="R132" s="80">
        <f>SUMIFS('март 2024'!$G$4:$G$1612,'март 2024'!$D$4:$D$1612,$B132,'март 2024'!$J$4:$J$1612,R$1)</f>
        <v>0</v>
      </c>
      <c r="S132" s="80">
        <f>SUMIFS('март 2024'!$G$4:$G$1612,'март 2024'!$D$4:$D$1612,$B132,'март 2024'!$J$4:$J$1612,S$1)</f>
        <v>0</v>
      </c>
      <c r="T132" s="80">
        <f>SUMIFS('март 2024'!$G$4:$G$1612,'март 2024'!$D$4:$D$1612,$B132,'март 2024'!$J$4:$J$1612,T$1)</f>
        <v>0</v>
      </c>
      <c r="U132" s="80">
        <f>SUMIFS('март 2024'!$G$4:$G$1612,'март 2024'!$D$4:$D$1612,$B132,'март 2024'!$J$4:$J$1612,U$1)</f>
        <v>0</v>
      </c>
      <c r="V132" s="80">
        <f>SUMIFS('март 2024'!$G$4:$G$1612,'март 2024'!$D$4:$D$1612,$B132,'март 2024'!$J$4:$J$1612,V$1)</f>
        <v>0</v>
      </c>
      <c r="W132" s="80">
        <f>SUMIFS('март 2024'!$G$4:$G$1612,'март 2024'!$D$4:$D$1612,$B132,'март 2024'!$J$4:$J$1612,W$1)</f>
        <v>0</v>
      </c>
      <c r="X132" s="80">
        <f>SUMIFS('март 2024'!$G$4:$G$1612,'март 2024'!$D$4:$D$1612,$B132,'март 2024'!$J$4:$J$1612,X$1)</f>
        <v>0</v>
      </c>
      <c r="Y132" s="80">
        <f>SUMIFS('март 2024'!$G$4:$G$1612,'март 2024'!$D$4:$D$1612,$B132,'март 2024'!$J$4:$J$1612,Y$1)</f>
        <v>0</v>
      </c>
      <c r="Z132" s="80">
        <f>SUMIFS('март 2024'!$G$4:$G$1612,'март 2024'!$D$4:$D$1612,$B132,'март 2024'!$J$4:$J$1612,Z$1)</f>
        <v>0</v>
      </c>
      <c r="AA132" s="80">
        <f>SUMIFS('март 2024'!$G$4:$G$1612,'март 2024'!$D$4:$D$1612,$B132,'март 2024'!$J$4:$J$1612,AA$1)</f>
        <v>0</v>
      </c>
      <c r="AB132" s="80">
        <f>SUMIFS('март 2024'!$G$4:$G$1612,'март 2024'!$D$4:$D$1612,$B132,'март 2024'!$J$4:$J$1612,AB$1)</f>
        <v>0</v>
      </c>
      <c r="AC132" s="80">
        <f>SUMIFS('март 2024'!$G$4:$G$1612,'март 2024'!$D$4:$D$1612,$B132,'март 2024'!$J$4:$J$1612,AC$1)</f>
        <v>0</v>
      </c>
      <c r="AD132" s="80">
        <f>SUMIFS('март 2024'!$G$4:$G$1612,'март 2024'!$D$4:$D$1612,$B132,'март 2024'!$J$4:$J$1612,AD$1)</f>
        <v>0</v>
      </c>
      <c r="AE132" s="80">
        <f>SUMIFS('март 2024'!$G$4:$G$1612,'март 2024'!$D$4:$D$1612,$B132,'март 2024'!$J$4:$J$1612,AE$1)</f>
        <v>0</v>
      </c>
      <c r="AF132" s="80">
        <f>SUMIFS('март 2024'!$G$4:$G$1612,'март 2024'!$D$4:$D$1612,$B132,'март 2024'!$J$4:$J$1612,AF$1)</f>
        <v>0</v>
      </c>
      <c r="AG132" s="80">
        <f>SUMIFS('март 2024'!$G$4:$G$1612,'март 2024'!$D$4:$D$1612,$B132,'март 2024'!$J$4:$J$1612,AG$1)</f>
        <v>0</v>
      </c>
      <c r="AH132" s="80">
        <f>SUMIFS('март 2024'!$G$4:$G$1612,'март 2024'!$D$4:$D$1612,$B132,'март 2024'!$J$4:$J$1612,AH$1)</f>
        <v>0</v>
      </c>
      <c r="AI132" s="21">
        <f t="shared" si="1"/>
        <v>0</v>
      </c>
    </row>
    <row r="133" spans="2:35" ht="15" customHeight="1" x14ac:dyDescent="0.25">
      <c r="B133" s="89" t="s">
        <v>215</v>
      </c>
      <c r="C133" s="91">
        <v>200</v>
      </c>
      <c r="D133" s="80">
        <f>SUMIFS('март 2024'!$G$4:$G$1612,'март 2024'!$D$4:$D$1612,$B133,'март 2024'!$J$4:$J$1612,D$1)</f>
        <v>0</v>
      </c>
      <c r="E133" s="80">
        <f>SUMIFS('март 2024'!$G$4:$G$1612,'март 2024'!$D$4:$D$1612,$B133,'март 2024'!$J$4:$J$1612,E$1)</f>
        <v>0</v>
      </c>
      <c r="F133" s="80">
        <f>SUMIFS('март 2024'!$G$4:$G$1612,'март 2024'!$D$4:$D$1612,$B133,'март 2024'!$J$4:$J$1612,F$1)</f>
        <v>0</v>
      </c>
      <c r="G133" s="80">
        <f>SUMIFS('март 2024'!$G$4:$G$1612,'март 2024'!$D$4:$D$1612,$B133,'март 2024'!$J$4:$J$1612,G$1)</f>
        <v>0</v>
      </c>
      <c r="H133" s="80">
        <f>SUMIFS('март 2024'!$G$4:$G$1612,'март 2024'!$D$4:$D$1612,$B133,'март 2024'!$J$4:$J$1612,H$1)</f>
        <v>0</v>
      </c>
      <c r="I133" s="80">
        <f>SUMIFS('март 2024'!$G$4:$G$1612,'март 2024'!$D$4:$D$1612,$B133,'март 2024'!$J$4:$J$1612,I$1)</f>
        <v>0</v>
      </c>
      <c r="J133" s="80">
        <f>SUMIFS('март 2024'!$G$4:$G$1612,'март 2024'!$D$4:$D$1612,$B133,'март 2024'!$J$4:$J$1612,J$1)</f>
        <v>0</v>
      </c>
      <c r="K133" s="80">
        <f>SUMIFS('март 2024'!$G$4:$G$1612,'март 2024'!$D$4:$D$1612,$B133,'март 2024'!$J$4:$J$1612,K$1)</f>
        <v>0</v>
      </c>
      <c r="L133" s="80">
        <f>SUMIFS('март 2024'!$G$4:$G$1612,'март 2024'!$D$4:$D$1612,$B133,'март 2024'!$J$4:$J$1612,L$1)</f>
        <v>0</v>
      </c>
      <c r="M133" s="80">
        <f>SUMIFS('март 2024'!$G$4:$G$1612,'март 2024'!$D$4:$D$1612,$B133,'март 2024'!$J$4:$J$1612,M$1)</f>
        <v>0</v>
      </c>
      <c r="N133" s="80">
        <f>SUMIFS('март 2024'!$G$4:$G$1612,'март 2024'!$D$4:$D$1612,$B133,'март 2024'!$J$4:$J$1612,N$1)</f>
        <v>0</v>
      </c>
      <c r="O133" s="80">
        <f>SUMIFS('март 2024'!$G$4:$G$1612,'март 2024'!$D$4:$D$1612,$B133,'март 2024'!$J$4:$J$1612,O$1)</f>
        <v>0</v>
      </c>
      <c r="P133" s="80">
        <f>SUMIFS('март 2024'!$G$4:$G$1612,'март 2024'!$D$4:$D$1612,$B133,'март 2024'!$J$4:$J$1612,P$1)</f>
        <v>0</v>
      </c>
      <c r="Q133" s="80">
        <f>SUMIFS('март 2024'!$G$4:$G$1612,'март 2024'!$D$4:$D$1612,$B133,'март 2024'!$J$4:$J$1612,Q$1)</f>
        <v>0</v>
      </c>
      <c r="R133" s="80">
        <f>SUMIFS('март 2024'!$G$4:$G$1612,'март 2024'!$D$4:$D$1612,$B133,'март 2024'!$J$4:$J$1612,R$1)</f>
        <v>0</v>
      </c>
      <c r="S133" s="80">
        <f>SUMIFS('март 2024'!$G$4:$G$1612,'март 2024'!$D$4:$D$1612,$B133,'март 2024'!$J$4:$J$1612,S$1)</f>
        <v>0</v>
      </c>
      <c r="T133" s="80">
        <f>SUMIFS('март 2024'!$G$4:$G$1612,'март 2024'!$D$4:$D$1612,$B133,'март 2024'!$J$4:$J$1612,T$1)</f>
        <v>0</v>
      </c>
      <c r="U133" s="80">
        <f>SUMIFS('март 2024'!$G$4:$G$1612,'март 2024'!$D$4:$D$1612,$B133,'март 2024'!$J$4:$J$1612,U$1)</f>
        <v>0</v>
      </c>
      <c r="V133" s="80">
        <f>SUMIFS('март 2024'!$G$4:$G$1612,'март 2024'!$D$4:$D$1612,$B133,'март 2024'!$J$4:$J$1612,V$1)</f>
        <v>0</v>
      </c>
      <c r="W133" s="80">
        <f>SUMIFS('март 2024'!$G$4:$G$1612,'март 2024'!$D$4:$D$1612,$B133,'март 2024'!$J$4:$J$1612,W$1)</f>
        <v>0</v>
      </c>
      <c r="X133" s="80">
        <f>SUMIFS('март 2024'!$G$4:$G$1612,'март 2024'!$D$4:$D$1612,$B133,'март 2024'!$J$4:$J$1612,X$1)</f>
        <v>0</v>
      </c>
      <c r="Y133" s="80">
        <f>SUMIFS('март 2024'!$G$4:$G$1612,'март 2024'!$D$4:$D$1612,$B133,'март 2024'!$J$4:$J$1612,Y$1)</f>
        <v>0</v>
      </c>
      <c r="Z133" s="80">
        <f>SUMIFS('март 2024'!$G$4:$G$1612,'март 2024'!$D$4:$D$1612,$B133,'март 2024'!$J$4:$J$1612,Z$1)</f>
        <v>0</v>
      </c>
      <c r="AA133" s="80">
        <f>SUMIFS('март 2024'!$G$4:$G$1612,'март 2024'!$D$4:$D$1612,$B133,'март 2024'!$J$4:$J$1612,AA$1)</f>
        <v>0</v>
      </c>
      <c r="AB133" s="80">
        <f>SUMIFS('март 2024'!$G$4:$G$1612,'март 2024'!$D$4:$D$1612,$B133,'март 2024'!$J$4:$J$1612,AB$1)</f>
        <v>0</v>
      </c>
      <c r="AC133" s="80">
        <f>SUMIFS('март 2024'!$G$4:$G$1612,'март 2024'!$D$4:$D$1612,$B133,'март 2024'!$J$4:$J$1612,AC$1)</f>
        <v>0</v>
      </c>
      <c r="AD133" s="80">
        <f>SUMIFS('март 2024'!$G$4:$G$1612,'март 2024'!$D$4:$D$1612,$B133,'март 2024'!$J$4:$J$1612,AD$1)</f>
        <v>0</v>
      </c>
      <c r="AE133" s="80">
        <f>SUMIFS('март 2024'!$G$4:$G$1612,'март 2024'!$D$4:$D$1612,$B133,'март 2024'!$J$4:$J$1612,AE$1)</f>
        <v>0</v>
      </c>
      <c r="AF133" s="80">
        <f>SUMIFS('март 2024'!$G$4:$G$1612,'март 2024'!$D$4:$D$1612,$B133,'март 2024'!$J$4:$J$1612,AF$1)</f>
        <v>0</v>
      </c>
      <c r="AG133" s="80">
        <f>SUMIFS('март 2024'!$G$4:$G$1612,'март 2024'!$D$4:$D$1612,$B133,'март 2024'!$J$4:$J$1612,AG$1)</f>
        <v>0</v>
      </c>
      <c r="AH133" s="80">
        <f>SUMIFS('март 2024'!$G$4:$G$1612,'март 2024'!$D$4:$D$1612,$B133,'март 2024'!$J$4:$J$1612,AH$1)</f>
        <v>0</v>
      </c>
      <c r="AI133" s="21">
        <f t="shared" si="1"/>
        <v>0</v>
      </c>
    </row>
    <row r="134" spans="2:35" ht="15" customHeight="1" x14ac:dyDescent="0.25">
      <c r="B134" s="89" t="s">
        <v>585</v>
      </c>
      <c r="C134" s="91">
        <v>200</v>
      </c>
      <c r="D134" s="80">
        <f>SUMIFS('март 2024'!$G$4:$G$1612,'март 2024'!$D$4:$D$1612,$B134,'март 2024'!$J$4:$J$1612,D$1)</f>
        <v>0</v>
      </c>
      <c r="E134" s="80">
        <f>SUMIFS('март 2024'!$G$4:$G$1612,'март 2024'!$D$4:$D$1612,$B134,'март 2024'!$J$4:$J$1612,E$1)</f>
        <v>0</v>
      </c>
      <c r="F134" s="80">
        <f>SUMIFS('март 2024'!$G$4:$G$1612,'март 2024'!$D$4:$D$1612,$B134,'март 2024'!$J$4:$J$1612,F$1)</f>
        <v>0</v>
      </c>
      <c r="G134" s="80">
        <f>SUMIFS('март 2024'!$G$4:$G$1612,'март 2024'!$D$4:$D$1612,$B134,'март 2024'!$J$4:$J$1612,G$1)</f>
        <v>80</v>
      </c>
      <c r="H134" s="80">
        <f>SUMIFS('март 2024'!$G$4:$G$1612,'март 2024'!$D$4:$D$1612,$B134,'март 2024'!$J$4:$J$1612,H$1)</f>
        <v>0</v>
      </c>
      <c r="I134" s="80">
        <f>SUMIFS('март 2024'!$G$4:$G$1612,'март 2024'!$D$4:$D$1612,$B134,'март 2024'!$J$4:$J$1612,I$1)</f>
        <v>0</v>
      </c>
      <c r="J134" s="80">
        <f>SUMIFS('март 2024'!$G$4:$G$1612,'март 2024'!$D$4:$D$1612,$B134,'март 2024'!$J$4:$J$1612,J$1)</f>
        <v>0</v>
      </c>
      <c r="K134" s="80">
        <f>SUMIFS('март 2024'!$G$4:$G$1612,'март 2024'!$D$4:$D$1612,$B134,'март 2024'!$J$4:$J$1612,K$1)</f>
        <v>0</v>
      </c>
      <c r="L134" s="80">
        <f>SUMIFS('март 2024'!$G$4:$G$1612,'март 2024'!$D$4:$D$1612,$B134,'март 2024'!$J$4:$J$1612,L$1)</f>
        <v>0</v>
      </c>
      <c r="M134" s="80">
        <f>SUMIFS('март 2024'!$G$4:$G$1612,'март 2024'!$D$4:$D$1612,$B134,'март 2024'!$J$4:$J$1612,M$1)</f>
        <v>0</v>
      </c>
      <c r="N134" s="80">
        <f>SUMIFS('март 2024'!$G$4:$G$1612,'март 2024'!$D$4:$D$1612,$B134,'март 2024'!$J$4:$J$1612,N$1)</f>
        <v>0</v>
      </c>
      <c r="O134" s="80">
        <f>SUMIFS('март 2024'!$G$4:$G$1612,'март 2024'!$D$4:$D$1612,$B134,'март 2024'!$J$4:$J$1612,O$1)</f>
        <v>0</v>
      </c>
      <c r="P134" s="80">
        <f>SUMIFS('март 2024'!$G$4:$G$1612,'март 2024'!$D$4:$D$1612,$B134,'март 2024'!$J$4:$J$1612,P$1)</f>
        <v>0</v>
      </c>
      <c r="Q134" s="80">
        <f>SUMIFS('март 2024'!$G$4:$G$1612,'март 2024'!$D$4:$D$1612,$B134,'март 2024'!$J$4:$J$1612,Q$1)</f>
        <v>0</v>
      </c>
      <c r="R134" s="80">
        <f>SUMIFS('март 2024'!$G$4:$G$1612,'март 2024'!$D$4:$D$1612,$B134,'март 2024'!$J$4:$J$1612,R$1)</f>
        <v>0</v>
      </c>
      <c r="S134" s="80">
        <f>SUMIFS('март 2024'!$G$4:$G$1612,'март 2024'!$D$4:$D$1612,$B134,'март 2024'!$J$4:$J$1612,S$1)</f>
        <v>61</v>
      </c>
      <c r="T134" s="80">
        <f>SUMIFS('март 2024'!$G$4:$G$1612,'март 2024'!$D$4:$D$1612,$B134,'март 2024'!$J$4:$J$1612,T$1)</f>
        <v>0</v>
      </c>
      <c r="U134" s="80">
        <f>SUMIFS('март 2024'!$G$4:$G$1612,'март 2024'!$D$4:$D$1612,$B134,'март 2024'!$J$4:$J$1612,U$1)</f>
        <v>0</v>
      </c>
      <c r="V134" s="80">
        <f>SUMIFS('март 2024'!$G$4:$G$1612,'март 2024'!$D$4:$D$1612,$B134,'март 2024'!$J$4:$J$1612,V$1)</f>
        <v>0</v>
      </c>
      <c r="W134" s="80">
        <f>SUMIFS('март 2024'!$G$4:$G$1612,'март 2024'!$D$4:$D$1612,$B134,'март 2024'!$J$4:$J$1612,W$1)</f>
        <v>0</v>
      </c>
      <c r="X134" s="80">
        <f>SUMIFS('март 2024'!$G$4:$G$1612,'март 2024'!$D$4:$D$1612,$B134,'март 2024'!$J$4:$J$1612,X$1)</f>
        <v>0</v>
      </c>
      <c r="Y134" s="80">
        <f>SUMIFS('март 2024'!$G$4:$G$1612,'март 2024'!$D$4:$D$1612,$B134,'март 2024'!$J$4:$J$1612,Y$1)</f>
        <v>0</v>
      </c>
      <c r="Z134" s="80">
        <f>SUMIFS('март 2024'!$G$4:$G$1612,'март 2024'!$D$4:$D$1612,$B134,'март 2024'!$J$4:$J$1612,Z$1)</f>
        <v>0</v>
      </c>
      <c r="AA134" s="80">
        <f>SUMIFS('март 2024'!$G$4:$G$1612,'март 2024'!$D$4:$D$1612,$B134,'март 2024'!$J$4:$J$1612,AA$1)</f>
        <v>0</v>
      </c>
      <c r="AB134" s="80">
        <f>SUMIFS('март 2024'!$G$4:$G$1612,'март 2024'!$D$4:$D$1612,$B134,'март 2024'!$J$4:$J$1612,AB$1)</f>
        <v>0</v>
      </c>
      <c r="AC134" s="80">
        <f>SUMIFS('март 2024'!$G$4:$G$1612,'март 2024'!$D$4:$D$1612,$B134,'март 2024'!$J$4:$J$1612,AC$1)</f>
        <v>0</v>
      </c>
      <c r="AD134" s="80">
        <f>SUMIFS('март 2024'!$G$4:$G$1612,'март 2024'!$D$4:$D$1612,$B134,'март 2024'!$J$4:$J$1612,AD$1)</f>
        <v>0</v>
      </c>
      <c r="AE134" s="80">
        <f>SUMIFS('март 2024'!$G$4:$G$1612,'март 2024'!$D$4:$D$1612,$B134,'март 2024'!$J$4:$J$1612,AE$1)</f>
        <v>0</v>
      </c>
      <c r="AF134" s="80">
        <f>SUMIFS('март 2024'!$G$4:$G$1612,'март 2024'!$D$4:$D$1612,$B134,'март 2024'!$J$4:$J$1612,AF$1)</f>
        <v>0</v>
      </c>
      <c r="AG134" s="80">
        <f>SUMIFS('март 2024'!$G$4:$G$1612,'март 2024'!$D$4:$D$1612,$B134,'март 2024'!$J$4:$J$1612,AG$1)</f>
        <v>0</v>
      </c>
      <c r="AH134" s="80">
        <f>SUMIFS('март 2024'!$G$4:$G$1612,'март 2024'!$D$4:$D$1612,$B134,'март 2024'!$J$4:$J$1612,AH$1)</f>
        <v>0</v>
      </c>
      <c r="AI134" s="21">
        <f t="shared" si="1"/>
        <v>141</v>
      </c>
    </row>
    <row r="135" spans="2:35" ht="15" customHeight="1" x14ac:dyDescent="0.25">
      <c r="B135" s="93" t="s">
        <v>186</v>
      </c>
      <c r="C135" s="91">
        <v>25</v>
      </c>
      <c r="D135" s="80">
        <f>SUMIFS('март 2024'!$G$4:$G$1612,'март 2024'!$D$4:$D$1612,$B135,'март 2024'!$J$4:$J$1612,D$1)</f>
        <v>0</v>
      </c>
      <c r="E135" s="80">
        <f>SUMIFS('март 2024'!$G$4:$G$1612,'март 2024'!$D$4:$D$1612,$B135,'март 2024'!$J$4:$J$1612,E$1)</f>
        <v>0</v>
      </c>
      <c r="F135" s="80">
        <f>SUMIFS('март 2024'!$G$4:$G$1612,'март 2024'!$D$4:$D$1612,$B135,'март 2024'!$J$4:$J$1612,F$1)</f>
        <v>0</v>
      </c>
      <c r="G135" s="80">
        <f>SUMIFS('март 2024'!$G$4:$G$1612,'март 2024'!$D$4:$D$1612,$B135,'март 2024'!$J$4:$J$1612,G$1)</f>
        <v>0</v>
      </c>
      <c r="H135" s="80">
        <f>SUMIFS('март 2024'!$G$4:$G$1612,'март 2024'!$D$4:$D$1612,$B135,'март 2024'!$J$4:$J$1612,H$1)</f>
        <v>0</v>
      </c>
      <c r="I135" s="80">
        <f>SUMIFS('март 2024'!$G$4:$G$1612,'март 2024'!$D$4:$D$1612,$B135,'март 2024'!$J$4:$J$1612,I$1)</f>
        <v>0</v>
      </c>
      <c r="J135" s="80">
        <f>SUMIFS('март 2024'!$G$4:$G$1612,'март 2024'!$D$4:$D$1612,$B135,'март 2024'!$J$4:$J$1612,J$1)</f>
        <v>0</v>
      </c>
      <c r="K135" s="80">
        <f>SUMIFS('март 2024'!$G$4:$G$1612,'март 2024'!$D$4:$D$1612,$B135,'март 2024'!$J$4:$J$1612,K$1)</f>
        <v>0</v>
      </c>
      <c r="L135" s="80">
        <f>SUMIFS('март 2024'!$G$4:$G$1612,'март 2024'!$D$4:$D$1612,$B135,'март 2024'!$J$4:$J$1612,L$1)</f>
        <v>0</v>
      </c>
      <c r="M135" s="80">
        <f>SUMIFS('март 2024'!$G$4:$G$1612,'март 2024'!$D$4:$D$1612,$B135,'март 2024'!$J$4:$J$1612,M$1)</f>
        <v>0</v>
      </c>
      <c r="N135" s="80">
        <f>SUMIFS('март 2024'!$G$4:$G$1612,'март 2024'!$D$4:$D$1612,$B135,'март 2024'!$J$4:$J$1612,N$1)</f>
        <v>0</v>
      </c>
      <c r="O135" s="80">
        <f>SUMIFS('март 2024'!$G$4:$G$1612,'март 2024'!$D$4:$D$1612,$B135,'март 2024'!$J$4:$J$1612,O$1)</f>
        <v>0</v>
      </c>
      <c r="P135" s="80">
        <f>SUMIFS('март 2024'!$G$4:$G$1612,'март 2024'!$D$4:$D$1612,$B135,'март 2024'!$J$4:$J$1612,P$1)</f>
        <v>0</v>
      </c>
      <c r="Q135" s="80">
        <f>SUMIFS('март 2024'!$G$4:$G$1612,'март 2024'!$D$4:$D$1612,$B135,'март 2024'!$J$4:$J$1612,Q$1)</f>
        <v>0</v>
      </c>
      <c r="R135" s="80">
        <f>SUMIFS('март 2024'!$G$4:$G$1612,'март 2024'!$D$4:$D$1612,$B135,'март 2024'!$J$4:$J$1612,R$1)</f>
        <v>0</v>
      </c>
      <c r="S135" s="80">
        <f>SUMIFS('март 2024'!$G$4:$G$1612,'март 2024'!$D$4:$D$1612,$B135,'март 2024'!$J$4:$J$1612,S$1)</f>
        <v>0</v>
      </c>
      <c r="T135" s="80">
        <f>SUMIFS('март 2024'!$G$4:$G$1612,'март 2024'!$D$4:$D$1612,$B135,'март 2024'!$J$4:$J$1612,T$1)</f>
        <v>0</v>
      </c>
      <c r="U135" s="80">
        <f>SUMIFS('март 2024'!$G$4:$G$1612,'март 2024'!$D$4:$D$1612,$B135,'март 2024'!$J$4:$J$1612,U$1)</f>
        <v>0</v>
      </c>
      <c r="V135" s="80">
        <f>SUMIFS('март 2024'!$G$4:$G$1612,'март 2024'!$D$4:$D$1612,$B135,'март 2024'!$J$4:$J$1612,V$1)</f>
        <v>0</v>
      </c>
      <c r="W135" s="80">
        <f>SUMIFS('март 2024'!$G$4:$G$1612,'март 2024'!$D$4:$D$1612,$B135,'март 2024'!$J$4:$J$1612,W$1)</f>
        <v>0</v>
      </c>
      <c r="X135" s="80">
        <f>SUMIFS('март 2024'!$G$4:$G$1612,'март 2024'!$D$4:$D$1612,$B135,'март 2024'!$J$4:$J$1612,X$1)</f>
        <v>0</v>
      </c>
      <c r="Y135" s="80">
        <f>SUMIFS('март 2024'!$G$4:$G$1612,'март 2024'!$D$4:$D$1612,$B135,'март 2024'!$J$4:$J$1612,Y$1)</f>
        <v>0</v>
      </c>
      <c r="Z135" s="80">
        <f>SUMIFS('март 2024'!$G$4:$G$1612,'март 2024'!$D$4:$D$1612,$B135,'март 2024'!$J$4:$J$1612,Z$1)</f>
        <v>0</v>
      </c>
      <c r="AA135" s="80">
        <f>SUMIFS('март 2024'!$G$4:$G$1612,'март 2024'!$D$4:$D$1612,$B135,'март 2024'!$J$4:$J$1612,AA$1)</f>
        <v>0</v>
      </c>
      <c r="AB135" s="80">
        <f>SUMIFS('март 2024'!$G$4:$G$1612,'март 2024'!$D$4:$D$1612,$B135,'март 2024'!$J$4:$J$1612,AB$1)</f>
        <v>0</v>
      </c>
      <c r="AC135" s="80">
        <f>SUMIFS('март 2024'!$G$4:$G$1612,'март 2024'!$D$4:$D$1612,$B135,'март 2024'!$J$4:$J$1612,AC$1)</f>
        <v>0</v>
      </c>
      <c r="AD135" s="80">
        <f>SUMIFS('март 2024'!$G$4:$G$1612,'март 2024'!$D$4:$D$1612,$B135,'март 2024'!$J$4:$J$1612,AD$1)</f>
        <v>0</v>
      </c>
      <c r="AE135" s="80">
        <f>SUMIFS('март 2024'!$G$4:$G$1612,'март 2024'!$D$4:$D$1612,$B135,'март 2024'!$J$4:$J$1612,AE$1)</f>
        <v>0</v>
      </c>
      <c r="AF135" s="80">
        <f>SUMIFS('март 2024'!$G$4:$G$1612,'март 2024'!$D$4:$D$1612,$B135,'март 2024'!$J$4:$J$1612,AF$1)</f>
        <v>0</v>
      </c>
      <c r="AG135" s="80">
        <f>SUMIFS('март 2024'!$G$4:$G$1612,'март 2024'!$D$4:$D$1612,$B135,'март 2024'!$J$4:$J$1612,AG$1)</f>
        <v>0</v>
      </c>
      <c r="AH135" s="80">
        <f>SUMIFS('март 2024'!$G$4:$G$1612,'март 2024'!$D$4:$D$1612,$B135,'март 2024'!$J$4:$J$1612,AH$1)</f>
        <v>0</v>
      </c>
      <c r="AI135" s="21">
        <f t="shared" si="1"/>
        <v>0</v>
      </c>
    </row>
    <row r="136" spans="2:35" ht="15" customHeight="1" x14ac:dyDescent="0.25">
      <c r="B136" s="89" t="s">
        <v>184</v>
      </c>
      <c r="C136" s="88">
        <v>25</v>
      </c>
      <c r="D136" s="80">
        <f>SUMIFS('март 2024'!$G$4:$G$1612,'март 2024'!$D$4:$D$1612,$B136,'март 2024'!$J$4:$J$1612,D$1)</f>
        <v>0</v>
      </c>
      <c r="E136" s="80">
        <f>SUMIFS('март 2024'!$G$4:$G$1612,'март 2024'!$D$4:$D$1612,$B136,'март 2024'!$J$4:$J$1612,E$1)</f>
        <v>0</v>
      </c>
      <c r="F136" s="80">
        <f>SUMIFS('март 2024'!$G$4:$G$1612,'март 2024'!$D$4:$D$1612,$B136,'март 2024'!$J$4:$J$1612,F$1)</f>
        <v>0</v>
      </c>
      <c r="G136" s="80">
        <f>SUMIFS('март 2024'!$G$4:$G$1612,'март 2024'!$D$4:$D$1612,$B136,'март 2024'!$J$4:$J$1612,G$1)</f>
        <v>0</v>
      </c>
      <c r="H136" s="80">
        <f>SUMIFS('март 2024'!$G$4:$G$1612,'март 2024'!$D$4:$D$1612,$B136,'март 2024'!$J$4:$J$1612,H$1)</f>
        <v>0</v>
      </c>
      <c r="I136" s="80">
        <f>SUMIFS('март 2024'!$G$4:$G$1612,'март 2024'!$D$4:$D$1612,$B136,'март 2024'!$J$4:$J$1612,I$1)</f>
        <v>0</v>
      </c>
      <c r="J136" s="80">
        <f>SUMIFS('март 2024'!$G$4:$G$1612,'март 2024'!$D$4:$D$1612,$B136,'март 2024'!$J$4:$J$1612,J$1)</f>
        <v>0</v>
      </c>
      <c r="K136" s="80">
        <f>SUMIFS('март 2024'!$G$4:$G$1612,'март 2024'!$D$4:$D$1612,$B136,'март 2024'!$J$4:$J$1612,K$1)</f>
        <v>0</v>
      </c>
      <c r="L136" s="80">
        <f>SUMIFS('март 2024'!$G$4:$G$1612,'март 2024'!$D$4:$D$1612,$B136,'март 2024'!$J$4:$J$1612,L$1)</f>
        <v>0</v>
      </c>
      <c r="M136" s="80">
        <f>SUMIFS('март 2024'!$G$4:$G$1612,'март 2024'!$D$4:$D$1612,$B136,'март 2024'!$J$4:$J$1612,M$1)</f>
        <v>0</v>
      </c>
      <c r="N136" s="80">
        <f>SUMIFS('март 2024'!$G$4:$G$1612,'март 2024'!$D$4:$D$1612,$B136,'март 2024'!$J$4:$J$1612,N$1)</f>
        <v>0</v>
      </c>
      <c r="O136" s="80">
        <f>SUMIFS('март 2024'!$G$4:$G$1612,'март 2024'!$D$4:$D$1612,$B136,'март 2024'!$J$4:$J$1612,O$1)</f>
        <v>0</v>
      </c>
      <c r="P136" s="80">
        <f>SUMIFS('март 2024'!$G$4:$G$1612,'март 2024'!$D$4:$D$1612,$B136,'март 2024'!$J$4:$J$1612,P$1)</f>
        <v>0</v>
      </c>
      <c r="Q136" s="80">
        <f>SUMIFS('март 2024'!$G$4:$G$1612,'март 2024'!$D$4:$D$1612,$B136,'март 2024'!$J$4:$J$1612,Q$1)</f>
        <v>0</v>
      </c>
      <c r="R136" s="80">
        <f>SUMIFS('март 2024'!$G$4:$G$1612,'март 2024'!$D$4:$D$1612,$B136,'март 2024'!$J$4:$J$1612,R$1)</f>
        <v>0</v>
      </c>
      <c r="S136" s="80">
        <f>SUMIFS('март 2024'!$G$4:$G$1612,'март 2024'!$D$4:$D$1612,$B136,'март 2024'!$J$4:$J$1612,S$1)</f>
        <v>0</v>
      </c>
      <c r="T136" s="80">
        <f>SUMIFS('март 2024'!$G$4:$G$1612,'март 2024'!$D$4:$D$1612,$B136,'март 2024'!$J$4:$J$1612,T$1)</f>
        <v>0</v>
      </c>
      <c r="U136" s="80">
        <f>SUMIFS('март 2024'!$G$4:$G$1612,'март 2024'!$D$4:$D$1612,$B136,'март 2024'!$J$4:$J$1612,U$1)</f>
        <v>0</v>
      </c>
      <c r="V136" s="80">
        <f>SUMIFS('март 2024'!$G$4:$G$1612,'март 2024'!$D$4:$D$1612,$B136,'март 2024'!$J$4:$J$1612,V$1)</f>
        <v>0</v>
      </c>
      <c r="W136" s="80">
        <f>SUMIFS('март 2024'!$G$4:$G$1612,'март 2024'!$D$4:$D$1612,$B136,'март 2024'!$J$4:$J$1612,W$1)</f>
        <v>0</v>
      </c>
      <c r="X136" s="80">
        <f>SUMIFS('март 2024'!$G$4:$G$1612,'март 2024'!$D$4:$D$1612,$B136,'март 2024'!$J$4:$J$1612,X$1)</f>
        <v>0</v>
      </c>
      <c r="Y136" s="80">
        <f>SUMIFS('март 2024'!$G$4:$G$1612,'март 2024'!$D$4:$D$1612,$B136,'март 2024'!$J$4:$J$1612,Y$1)</f>
        <v>0</v>
      </c>
      <c r="Z136" s="80">
        <f>SUMIFS('март 2024'!$G$4:$G$1612,'март 2024'!$D$4:$D$1612,$B136,'март 2024'!$J$4:$J$1612,Z$1)</f>
        <v>0</v>
      </c>
      <c r="AA136" s="80">
        <f>SUMIFS('март 2024'!$G$4:$G$1612,'март 2024'!$D$4:$D$1612,$B136,'март 2024'!$J$4:$J$1612,AA$1)</f>
        <v>0</v>
      </c>
      <c r="AB136" s="80">
        <f>SUMIFS('март 2024'!$G$4:$G$1612,'март 2024'!$D$4:$D$1612,$B136,'март 2024'!$J$4:$J$1612,AB$1)</f>
        <v>0</v>
      </c>
      <c r="AC136" s="80">
        <f>SUMIFS('март 2024'!$G$4:$G$1612,'март 2024'!$D$4:$D$1612,$B136,'март 2024'!$J$4:$J$1612,AC$1)</f>
        <v>0</v>
      </c>
      <c r="AD136" s="80">
        <f>SUMIFS('март 2024'!$G$4:$G$1612,'март 2024'!$D$4:$D$1612,$B136,'март 2024'!$J$4:$J$1612,AD$1)</f>
        <v>0</v>
      </c>
      <c r="AE136" s="80">
        <f>SUMIFS('март 2024'!$G$4:$G$1612,'март 2024'!$D$4:$D$1612,$B136,'март 2024'!$J$4:$J$1612,AE$1)</f>
        <v>0</v>
      </c>
      <c r="AF136" s="80">
        <f>SUMIFS('март 2024'!$G$4:$G$1612,'март 2024'!$D$4:$D$1612,$B136,'март 2024'!$J$4:$J$1612,AF$1)</f>
        <v>0</v>
      </c>
      <c r="AG136" s="80">
        <f>SUMIFS('март 2024'!$G$4:$G$1612,'март 2024'!$D$4:$D$1612,$B136,'март 2024'!$J$4:$J$1612,AG$1)</f>
        <v>0</v>
      </c>
      <c r="AH136" s="80">
        <f>SUMIFS('март 2024'!$G$4:$G$1612,'март 2024'!$D$4:$D$1612,$B136,'март 2024'!$J$4:$J$1612,AH$1)</f>
        <v>0</v>
      </c>
      <c r="AI136" s="21">
        <f t="shared" si="1"/>
        <v>0</v>
      </c>
    </row>
    <row r="137" spans="2:35" ht="15" customHeight="1" x14ac:dyDescent="0.25">
      <c r="B137" s="89" t="s">
        <v>185</v>
      </c>
      <c r="C137" s="88">
        <v>25</v>
      </c>
      <c r="D137" s="80">
        <f>SUMIFS('март 2024'!$G$4:$G$1612,'март 2024'!$D$4:$D$1612,$B137,'март 2024'!$J$4:$J$1612,D$1)</f>
        <v>0</v>
      </c>
      <c r="E137" s="80">
        <f>SUMIFS('март 2024'!$G$4:$G$1612,'март 2024'!$D$4:$D$1612,$B137,'март 2024'!$J$4:$J$1612,E$1)</f>
        <v>0</v>
      </c>
      <c r="F137" s="80">
        <f>SUMIFS('март 2024'!$G$4:$G$1612,'март 2024'!$D$4:$D$1612,$B137,'март 2024'!$J$4:$J$1612,F$1)</f>
        <v>0</v>
      </c>
      <c r="G137" s="80">
        <f>SUMIFS('март 2024'!$G$4:$G$1612,'март 2024'!$D$4:$D$1612,$B137,'март 2024'!$J$4:$J$1612,G$1)</f>
        <v>0</v>
      </c>
      <c r="H137" s="80">
        <f>SUMIFS('март 2024'!$G$4:$G$1612,'март 2024'!$D$4:$D$1612,$B137,'март 2024'!$J$4:$J$1612,H$1)</f>
        <v>0</v>
      </c>
      <c r="I137" s="80">
        <f>SUMIFS('март 2024'!$G$4:$G$1612,'март 2024'!$D$4:$D$1612,$B137,'март 2024'!$J$4:$J$1612,I$1)</f>
        <v>0</v>
      </c>
      <c r="J137" s="80">
        <f>SUMIFS('март 2024'!$G$4:$G$1612,'март 2024'!$D$4:$D$1612,$B137,'март 2024'!$J$4:$J$1612,J$1)</f>
        <v>0</v>
      </c>
      <c r="K137" s="80">
        <f>SUMIFS('март 2024'!$G$4:$G$1612,'март 2024'!$D$4:$D$1612,$B137,'март 2024'!$J$4:$J$1612,K$1)</f>
        <v>0</v>
      </c>
      <c r="L137" s="80">
        <f>SUMIFS('март 2024'!$G$4:$G$1612,'март 2024'!$D$4:$D$1612,$B137,'март 2024'!$J$4:$J$1612,L$1)</f>
        <v>0</v>
      </c>
      <c r="M137" s="80">
        <f>SUMIFS('март 2024'!$G$4:$G$1612,'март 2024'!$D$4:$D$1612,$B137,'март 2024'!$J$4:$J$1612,M$1)</f>
        <v>0</v>
      </c>
      <c r="N137" s="80">
        <f>SUMIFS('март 2024'!$G$4:$G$1612,'март 2024'!$D$4:$D$1612,$B137,'март 2024'!$J$4:$J$1612,N$1)</f>
        <v>0</v>
      </c>
      <c r="O137" s="80">
        <f>SUMIFS('март 2024'!$G$4:$G$1612,'март 2024'!$D$4:$D$1612,$B137,'март 2024'!$J$4:$J$1612,O$1)</f>
        <v>0</v>
      </c>
      <c r="P137" s="80">
        <f>SUMIFS('март 2024'!$G$4:$G$1612,'март 2024'!$D$4:$D$1612,$B137,'март 2024'!$J$4:$J$1612,P$1)</f>
        <v>0</v>
      </c>
      <c r="Q137" s="80">
        <f>SUMIFS('март 2024'!$G$4:$G$1612,'март 2024'!$D$4:$D$1612,$B137,'март 2024'!$J$4:$J$1612,Q$1)</f>
        <v>0</v>
      </c>
      <c r="R137" s="80">
        <f>SUMIFS('март 2024'!$G$4:$G$1612,'март 2024'!$D$4:$D$1612,$B137,'март 2024'!$J$4:$J$1612,R$1)</f>
        <v>0</v>
      </c>
      <c r="S137" s="80">
        <f>SUMIFS('март 2024'!$G$4:$G$1612,'март 2024'!$D$4:$D$1612,$B137,'март 2024'!$J$4:$J$1612,S$1)</f>
        <v>0</v>
      </c>
      <c r="T137" s="80">
        <f>SUMIFS('март 2024'!$G$4:$G$1612,'март 2024'!$D$4:$D$1612,$B137,'март 2024'!$J$4:$J$1612,T$1)</f>
        <v>0</v>
      </c>
      <c r="U137" s="80">
        <f>SUMIFS('март 2024'!$G$4:$G$1612,'март 2024'!$D$4:$D$1612,$B137,'март 2024'!$J$4:$J$1612,U$1)</f>
        <v>0</v>
      </c>
      <c r="V137" s="80">
        <f>SUMIFS('март 2024'!$G$4:$G$1612,'март 2024'!$D$4:$D$1612,$B137,'март 2024'!$J$4:$J$1612,V$1)</f>
        <v>0</v>
      </c>
      <c r="W137" s="80">
        <f>SUMIFS('март 2024'!$G$4:$G$1612,'март 2024'!$D$4:$D$1612,$B137,'март 2024'!$J$4:$J$1612,W$1)</f>
        <v>0</v>
      </c>
      <c r="X137" s="80">
        <f>SUMIFS('март 2024'!$G$4:$G$1612,'март 2024'!$D$4:$D$1612,$B137,'март 2024'!$J$4:$J$1612,X$1)</f>
        <v>0</v>
      </c>
      <c r="Y137" s="80">
        <f>SUMIFS('март 2024'!$G$4:$G$1612,'март 2024'!$D$4:$D$1612,$B137,'март 2024'!$J$4:$J$1612,Y$1)</f>
        <v>0</v>
      </c>
      <c r="Z137" s="80">
        <f>SUMIFS('март 2024'!$G$4:$G$1612,'март 2024'!$D$4:$D$1612,$B137,'март 2024'!$J$4:$J$1612,Z$1)</f>
        <v>0</v>
      </c>
      <c r="AA137" s="80">
        <f>SUMIFS('март 2024'!$G$4:$G$1612,'март 2024'!$D$4:$D$1612,$B137,'март 2024'!$J$4:$J$1612,AA$1)</f>
        <v>0</v>
      </c>
      <c r="AB137" s="80">
        <f>SUMIFS('март 2024'!$G$4:$G$1612,'март 2024'!$D$4:$D$1612,$B137,'март 2024'!$J$4:$J$1612,AB$1)</f>
        <v>0</v>
      </c>
      <c r="AC137" s="80">
        <f>SUMIFS('март 2024'!$G$4:$G$1612,'март 2024'!$D$4:$D$1612,$B137,'март 2024'!$J$4:$J$1612,AC$1)</f>
        <v>0</v>
      </c>
      <c r="AD137" s="80">
        <f>SUMIFS('март 2024'!$G$4:$G$1612,'март 2024'!$D$4:$D$1612,$B137,'март 2024'!$J$4:$J$1612,AD$1)</f>
        <v>0</v>
      </c>
      <c r="AE137" s="80">
        <f>SUMIFS('март 2024'!$G$4:$G$1612,'март 2024'!$D$4:$D$1612,$B137,'март 2024'!$J$4:$J$1612,AE$1)</f>
        <v>0</v>
      </c>
      <c r="AF137" s="80">
        <f>SUMIFS('март 2024'!$G$4:$G$1612,'март 2024'!$D$4:$D$1612,$B137,'март 2024'!$J$4:$J$1612,AF$1)</f>
        <v>0</v>
      </c>
      <c r="AG137" s="80">
        <f>SUMIFS('март 2024'!$G$4:$G$1612,'март 2024'!$D$4:$D$1612,$B137,'март 2024'!$J$4:$J$1612,AG$1)</f>
        <v>0</v>
      </c>
      <c r="AH137" s="80">
        <f>SUMIFS('март 2024'!$G$4:$G$1612,'март 2024'!$D$4:$D$1612,$B137,'март 2024'!$J$4:$J$1612,AH$1)</f>
        <v>0</v>
      </c>
      <c r="AI137" s="21">
        <f t="shared" si="1"/>
        <v>0</v>
      </c>
    </row>
    <row r="138" spans="2:35" ht="15" customHeight="1" x14ac:dyDescent="0.25">
      <c r="B138" s="89" t="s">
        <v>212</v>
      </c>
      <c r="C138" s="88">
        <v>25</v>
      </c>
      <c r="D138" s="80">
        <f>SUMIFS('март 2024'!$G$4:$G$1612,'март 2024'!$D$4:$D$1612,$B138,'март 2024'!$J$4:$J$1612,D$1)</f>
        <v>0</v>
      </c>
      <c r="E138" s="80">
        <f>SUMIFS('март 2024'!$G$4:$G$1612,'март 2024'!$D$4:$D$1612,$B138,'март 2024'!$J$4:$J$1612,E$1)</f>
        <v>0</v>
      </c>
      <c r="F138" s="80">
        <f>SUMIFS('март 2024'!$G$4:$G$1612,'март 2024'!$D$4:$D$1612,$B138,'март 2024'!$J$4:$J$1612,F$1)</f>
        <v>0</v>
      </c>
      <c r="G138" s="80">
        <f>SUMIFS('март 2024'!$G$4:$G$1612,'март 2024'!$D$4:$D$1612,$B138,'март 2024'!$J$4:$J$1612,G$1)</f>
        <v>0</v>
      </c>
      <c r="H138" s="80">
        <f>SUMIFS('март 2024'!$G$4:$G$1612,'март 2024'!$D$4:$D$1612,$B138,'март 2024'!$J$4:$J$1612,H$1)</f>
        <v>0</v>
      </c>
      <c r="I138" s="80">
        <f>SUMIFS('март 2024'!$G$4:$G$1612,'март 2024'!$D$4:$D$1612,$B138,'март 2024'!$J$4:$J$1612,I$1)</f>
        <v>0</v>
      </c>
      <c r="J138" s="80">
        <f>SUMIFS('март 2024'!$G$4:$G$1612,'март 2024'!$D$4:$D$1612,$B138,'март 2024'!$J$4:$J$1612,J$1)</f>
        <v>0</v>
      </c>
      <c r="K138" s="80">
        <f>SUMIFS('март 2024'!$G$4:$G$1612,'март 2024'!$D$4:$D$1612,$B138,'март 2024'!$J$4:$J$1612,K$1)</f>
        <v>0</v>
      </c>
      <c r="L138" s="80">
        <f>SUMIFS('март 2024'!$G$4:$G$1612,'март 2024'!$D$4:$D$1612,$B138,'март 2024'!$J$4:$J$1612,L$1)</f>
        <v>0</v>
      </c>
      <c r="M138" s="80">
        <f>SUMIFS('март 2024'!$G$4:$G$1612,'март 2024'!$D$4:$D$1612,$B138,'март 2024'!$J$4:$J$1612,M$1)</f>
        <v>0</v>
      </c>
      <c r="N138" s="80">
        <f>SUMIFS('март 2024'!$G$4:$G$1612,'март 2024'!$D$4:$D$1612,$B138,'март 2024'!$J$4:$J$1612,N$1)</f>
        <v>0</v>
      </c>
      <c r="O138" s="80">
        <f>SUMIFS('март 2024'!$G$4:$G$1612,'март 2024'!$D$4:$D$1612,$B138,'март 2024'!$J$4:$J$1612,O$1)</f>
        <v>0</v>
      </c>
      <c r="P138" s="80">
        <f>SUMIFS('март 2024'!$G$4:$G$1612,'март 2024'!$D$4:$D$1612,$B138,'март 2024'!$J$4:$J$1612,P$1)</f>
        <v>0</v>
      </c>
      <c r="Q138" s="80">
        <f>SUMIFS('март 2024'!$G$4:$G$1612,'март 2024'!$D$4:$D$1612,$B138,'март 2024'!$J$4:$J$1612,Q$1)</f>
        <v>0</v>
      </c>
      <c r="R138" s="80">
        <f>SUMIFS('март 2024'!$G$4:$G$1612,'март 2024'!$D$4:$D$1612,$B138,'март 2024'!$J$4:$J$1612,R$1)</f>
        <v>0</v>
      </c>
      <c r="S138" s="80">
        <f>SUMIFS('март 2024'!$G$4:$G$1612,'март 2024'!$D$4:$D$1612,$B138,'март 2024'!$J$4:$J$1612,S$1)</f>
        <v>0</v>
      </c>
      <c r="T138" s="80">
        <f>SUMIFS('март 2024'!$G$4:$G$1612,'март 2024'!$D$4:$D$1612,$B138,'март 2024'!$J$4:$J$1612,T$1)</f>
        <v>0</v>
      </c>
      <c r="U138" s="80">
        <f>SUMIFS('март 2024'!$G$4:$G$1612,'март 2024'!$D$4:$D$1612,$B138,'март 2024'!$J$4:$J$1612,U$1)</f>
        <v>0</v>
      </c>
      <c r="V138" s="80">
        <f>SUMIFS('март 2024'!$G$4:$G$1612,'март 2024'!$D$4:$D$1612,$B138,'март 2024'!$J$4:$J$1612,V$1)</f>
        <v>0</v>
      </c>
      <c r="W138" s="80">
        <f>SUMIFS('март 2024'!$G$4:$G$1612,'март 2024'!$D$4:$D$1612,$B138,'март 2024'!$J$4:$J$1612,W$1)</f>
        <v>0</v>
      </c>
      <c r="X138" s="80">
        <f>SUMIFS('март 2024'!$G$4:$G$1612,'март 2024'!$D$4:$D$1612,$B138,'март 2024'!$J$4:$J$1612,X$1)</f>
        <v>0</v>
      </c>
      <c r="Y138" s="80">
        <f>SUMIFS('март 2024'!$G$4:$G$1612,'март 2024'!$D$4:$D$1612,$B138,'март 2024'!$J$4:$J$1612,Y$1)</f>
        <v>0</v>
      </c>
      <c r="Z138" s="80">
        <f>SUMIFS('март 2024'!$G$4:$G$1612,'март 2024'!$D$4:$D$1612,$B138,'март 2024'!$J$4:$J$1612,Z$1)</f>
        <v>0</v>
      </c>
      <c r="AA138" s="80">
        <f>SUMIFS('март 2024'!$G$4:$G$1612,'март 2024'!$D$4:$D$1612,$B138,'март 2024'!$J$4:$J$1612,AA$1)</f>
        <v>0</v>
      </c>
      <c r="AB138" s="80">
        <f>SUMIFS('март 2024'!$G$4:$G$1612,'март 2024'!$D$4:$D$1612,$B138,'март 2024'!$J$4:$J$1612,AB$1)</f>
        <v>0</v>
      </c>
      <c r="AC138" s="80">
        <f>SUMIFS('март 2024'!$G$4:$G$1612,'март 2024'!$D$4:$D$1612,$B138,'март 2024'!$J$4:$J$1612,AC$1)</f>
        <v>0</v>
      </c>
      <c r="AD138" s="80">
        <f>SUMIFS('март 2024'!$G$4:$G$1612,'март 2024'!$D$4:$D$1612,$B138,'март 2024'!$J$4:$J$1612,AD$1)</f>
        <v>0</v>
      </c>
      <c r="AE138" s="80">
        <f>SUMIFS('март 2024'!$G$4:$G$1612,'март 2024'!$D$4:$D$1612,$B138,'март 2024'!$J$4:$J$1612,AE$1)</f>
        <v>0</v>
      </c>
      <c r="AF138" s="80">
        <f>SUMIFS('март 2024'!$G$4:$G$1612,'март 2024'!$D$4:$D$1612,$B138,'март 2024'!$J$4:$J$1612,AF$1)</f>
        <v>0</v>
      </c>
      <c r="AG138" s="80">
        <f>SUMIFS('март 2024'!$G$4:$G$1612,'март 2024'!$D$4:$D$1612,$B138,'март 2024'!$J$4:$J$1612,AG$1)</f>
        <v>0</v>
      </c>
      <c r="AH138" s="80">
        <f>SUMIFS('март 2024'!$G$4:$G$1612,'март 2024'!$D$4:$D$1612,$B138,'март 2024'!$J$4:$J$1612,AH$1)</f>
        <v>0</v>
      </c>
      <c r="AI138" s="21">
        <f t="shared" si="1"/>
        <v>0</v>
      </c>
    </row>
    <row r="139" spans="2:35" ht="15" customHeight="1" x14ac:dyDescent="0.25">
      <c r="B139" s="89"/>
      <c r="C139" s="88"/>
      <c r="D139" s="86">
        <f>SUMIFS('март 2024'!$G$6:$G$1612,'март 2024'!$D$6:$D$1612,$B139,'март 2024'!$J$6:$J$1612,D$1)</f>
        <v>0</v>
      </c>
      <c r="E139" s="86">
        <f>SUMIFS('март 2024'!$G$6:$G$1612,'март 2024'!$D$6:$D$1612,$B139,'март 2024'!$J$6:$J$1612,E$1)</f>
        <v>0</v>
      </c>
      <c r="F139" s="86">
        <f>SUMIFS('март 2024'!$G$6:$G$1612,'март 2024'!$D$6:$D$1612,$B139,'март 2024'!$J$6:$J$1612,F$1)</f>
        <v>0</v>
      </c>
      <c r="G139" s="86">
        <f>SUMIFS('март 2024'!$G$6:$G$1612,'март 2024'!$D$6:$D$1612,$B139,'март 2024'!$J$6:$J$1612,G$1)</f>
        <v>0</v>
      </c>
      <c r="H139" s="86">
        <f>SUMIFS('март 2024'!$G$6:$G$1612,'март 2024'!$D$6:$D$1612,$B139,'март 2024'!$J$6:$J$1612,H$1)</f>
        <v>0</v>
      </c>
      <c r="I139" s="86">
        <f>SUMIFS('март 2024'!$G$6:$G$1612,'март 2024'!$D$6:$D$1612,$B139,'март 2024'!$J$6:$J$1612,I$1)</f>
        <v>0</v>
      </c>
      <c r="J139" s="86">
        <f>SUMIFS('март 2024'!$G$6:$G$1612,'март 2024'!$D$6:$D$1612,$B139,'март 2024'!$J$6:$J$1612,J$1)</f>
        <v>0</v>
      </c>
      <c r="K139" s="86">
        <f>SUMIFS('март 2024'!$G$6:$G$1612,'март 2024'!$D$6:$D$1612,$B139,'март 2024'!$J$6:$J$1612,K$1)</f>
        <v>0</v>
      </c>
      <c r="L139" s="86">
        <f>SUMIFS('март 2024'!$G$6:$G$1612,'март 2024'!$D$6:$D$1612,$B139,'март 2024'!$J$6:$J$1612,L$1)</f>
        <v>0</v>
      </c>
      <c r="M139" s="86">
        <f>SUMIFS('март 2024'!$G$6:$G$1612,'март 2024'!$D$6:$D$1612,$B139,'март 2024'!$J$6:$J$1612,M$1)</f>
        <v>0</v>
      </c>
      <c r="N139" s="86">
        <f>SUMIFS('март 2024'!$G$6:$G$1612,'март 2024'!$D$6:$D$1612,$B139,'март 2024'!$J$6:$J$1612,N$1)</f>
        <v>0</v>
      </c>
      <c r="O139" s="86">
        <f>SUMIFS('март 2024'!$G$6:$G$1612,'март 2024'!$D$6:$D$1612,$B139,'март 2024'!$J$6:$J$1612,O$1)</f>
        <v>0</v>
      </c>
      <c r="P139" s="86">
        <f>SUMIFS('март 2024'!$G$6:$G$1612,'март 2024'!$D$6:$D$1612,$B139,'март 2024'!$J$6:$J$1612,P$1)</f>
        <v>0</v>
      </c>
      <c r="Q139" s="86">
        <f>SUMIFS('март 2024'!$G$6:$G$1612,'март 2024'!$D$6:$D$1612,$B139,'март 2024'!$J$6:$J$1612,Q$1)</f>
        <v>0</v>
      </c>
      <c r="R139" s="86">
        <f>SUMIFS('март 2024'!$G$6:$G$1612,'март 2024'!$D$6:$D$1612,$B139,'март 2024'!$J$6:$J$1612,R$1)</f>
        <v>0</v>
      </c>
      <c r="S139" s="86">
        <f>SUMIFS('март 2024'!$G$6:$G$1612,'март 2024'!$D$6:$D$1612,$B139,'март 2024'!$J$6:$J$1612,S$1)</f>
        <v>0</v>
      </c>
      <c r="T139" s="86">
        <f>SUMIFS('март 2024'!$G$6:$G$1612,'март 2024'!$D$6:$D$1612,$B139,'март 2024'!$J$6:$J$1612,T$1)</f>
        <v>0</v>
      </c>
      <c r="U139" s="86">
        <f>SUMIFS('март 2024'!$G$6:$G$1612,'март 2024'!$D$6:$D$1612,$B139,'март 2024'!$J$6:$J$1612,U$1)</f>
        <v>0</v>
      </c>
      <c r="V139" s="86">
        <f>SUMIFS('март 2024'!$G$6:$G$1612,'март 2024'!$D$6:$D$1612,$B139,'март 2024'!$J$6:$J$1612,V$1)</f>
        <v>0</v>
      </c>
      <c r="W139" s="86">
        <f>SUMIFS('март 2024'!$G$6:$G$1612,'март 2024'!$D$6:$D$1612,$B139,'март 2024'!$J$6:$J$1612,W$1)</f>
        <v>0</v>
      </c>
      <c r="X139" s="86">
        <f>SUMIFS('март 2024'!$G$6:$G$1612,'март 2024'!$D$6:$D$1612,$B139,'март 2024'!$J$6:$J$1612,X$1)</f>
        <v>0</v>
      </c>
      <c r="Y139" s="86">
        <f>SUMIFS('март 2024'!$G$6:$G$1612,'март 2024'!$D$6:$D$1612,$B139,'март 2024'!$J$6:$J$1612,Y$1)</f>
        <v>0</v>
      </c>
      <c r="Z139" s="86">
        <f>SUMIFS('март 2024'!$G$6:$G$1612,'март 2024'!$D$6:$D$1612,$B139,'март 2024'!$J$6:$J$1612,Z$1)</f>
        <v>0</v>
      </c>
      <c r="AA139" s="86">
        <f>SUMIFS('март 2024'!$G$6:$G$1612,'март 2024'!$D$6:$D$1612,$B139,'март 2024'!$J$6:$J$1612,AA$1)</f>
        <v>0</v>
      </c>
      <c r="AB139" s="86">
        <f>SUMIFS('март 2024'!$G$6:$G$1612,'март 2024'!$D$6:$D$1612,$B139,'март 2024'!$J$6:$J$1612,AB$1)</f>
        <v>0</v>
      </c>
      <c r="AC139" s="86">
        <f>SUMIFS('март 2024'!$G$6:$G$1612,'март 2024'!$D$6:$D$1612,$B139,'март 2024'!$J$6:$J$1612,AC$1)</f>
        <v>0</v>
      </c>
      <c r="AD139" s="86">
        <f>SUMIFS('март 2024'!$G$6:$G$1612,'март 2024'!$D$6:$D$1612,$B139,'март 2024'!$J$6:$J$1612,AD$1)</f>
        <v>0</v>
      </c>
      <c r="AE139" s="86">
        <f>SUMIFS('март 2024'!$G$6:$G$1612,'март 2024'!$D$6:$D$1612,$B139,'март 2024'!$J$6:$J$1612,AE$1)</f>
        <v>0</v>
      </c>
      <c r="AF139" s="86">
        <f>SUMIFS('март 2024'!$G$6:$G$1612,'март 2024'!$D$6:$D$1612,$B139,'март 2024'!$J$6:$J$1612,AF$1)</f>
        <v>0</v>
      </c>
      <c r="AG139" s="86">
        <f>SUMIFS('март 2024'!$G$6:$G$1612,'март 2024'!$D$6:$D$1612,$B139,'март 2024'!$J$6:$J$1612,AG$1)</f>
        <v>0</v>
      </c>
      <c r="AH139" s="86">
        <f>SUMIFS('март 2024'!$G$6:$G$1612,'март 2024'!$D$6:$D$1612,$B139,'март 2024'!$J$6:$J$1612,AH$1)</f>
        <v>0</v>
      </c>
      <c r="AI139" s="21">
        <f>SUM(D139:AH139)</f>
        <v>0</v>
      </c>
    </row>
    <row r="140" spans="2:35" ht="15" customHeight="1" x14ac:dyDescent="0.25">
      <c r="B140" s="89"/>
      <c r="C140" s="88"/>
      <c r="D140" s="86">
        <f>SUMIFS('март 2024'!$G$6:$G$1612,'март 2024'!$D$6:$D$1612,$B140,'март 2024'!$J$6:$J$1612,D$1)</f>
        <v>0</v>
      </c>
      <c r="E140" s="86">
        <f>SUMIFS('март 2024'!$G$6:$G$1612,'март 2024'!$D$6:$D$1612,$B140,'март 2024'!$J$6:$J$1612,E$1)</f>
        <v>0</v>
      </c>
      <c r="F140" s="86">
        <f>SUMIFS('март 2024'!$G$6:$G$1612,'март 2024'!$D$6:$D$1612,$B140,'март 2024'!$J$6:$J$1612,F$1)</f>
        <v>0</v>
      </c>
      <c r="G140" s="86">
        <f>SUMIFS('март 2024'!$G$6:$G$1612,'март 2024'!$D$6:$D$1612,$B140,'март 2024'!$J$6:$J$1612,G$1)</f>
        <v>0</v>
      </c>
      <c r="H140" s="86">
        <f>SUMIFS('март 2024'!$G$6:$G$1612,'март 2024'!$D$6:$D$1612,$B140,'март 2024'!$J$6:$J$1612,H$1)</f>
        <v>0</v>
      </c>
      <c r="I140" s="86">
        <f>SUMIFS('март 2024'!$G$6:$G$1612,'март 2024'!$D$6:$D$1612,$B140,'март 2024'!$J$6:$J$1612,I$1)</f>
        <v>0</v>
      </c>
      <c r="J140" s="86">
        <f>SUMIFS('март 2024'!$G$6:$G$1612,'март 2024'!$D$6:$D$1612,$B140,'март 2024'!$J$6:$J$1612,J$1)</f>
        <v>0</v>
      </c>
      <c r="K140" s="86">
        <f>SUMIFS('март 2024'!$G$6:$G$1612,'март 2024'!$D$6:$D$1612,$B140,'март 2024'!$J$6:$J$1612,K$1)</f>
        <v>0</v>
      </c>
      <c r="L140" s="86">
        <f>SUMIFS('март 2024'!$G$6:$G$1612,'март 2024'!$D$6:$D$1612,$B140,'март 2024'!$J$6:$J$1612,L$1)</f>
        <v>0</v>
      </c>
      <c r="M140" s="86">
        <f>SUMIFS('март 2024'!$G$6:$G$1612,'март 2024'!$D$6:$D$1612,$B140,'март 2024'!$J$6:$J$1612,M$1)</f>
        <v>0</v>
      </c>
      <c r="N140" s="86">
        <f>SUMIFS('март 2024'!$G$6:$G$1612,'март 2024'!$D$6:$D$1612,$B140,'март 2024'!$J$6:$J$1612,N$1)</f>
        <v>0</v>
      </c>
      <c r="O140" s="86">
        <f>SUMIFS('март 2024'!$G$6:$G$1612,'март 2024'!$D$6:$D$1612,$B140,'март 2024'!$J$6:$J$1612,O$1)</f>
        <v>0</v>
      </c>
      <c r="P140" s="86">
        <f>SUMIFS('март 2024'!$G$6:$G$1612,'март 2024'!$D$6:$D$1612,$B140,'март 2024'!$J$6:$J$1612,P$1)</f>
        <v>0</v>
      </c>
      <c r="Q140" s="86">
        <f>SUMIFS('март 2024'!$G$6:$G$1612,'март 2024'!$D$6:$D$1612,$B140,'март 2024'!$J$6:$J$1612,Q$1)</f>
        <v>0</v>
      </c>
      <c r="R140" s="86">
        <f>SUMIFS('март 2024'!$G$6:$G$1612,'март 2024'!$D$6:$D$1612,$B140,'март 2024'!$J$6:$J$1612,R$1)</f>
        <v>0</v>
      </c>
      <c r="S140" s="86">
        <f>SUMIFS('март 2024'!$G$6:$G$1612,'март 2024'!$D$6:$D$1612,$B140,'март 2024'!$J$6:$J$1612,S$1)</f>
        <v>0</v>
      </c>
      <c r="T140" s="86">
        <f>SUMIFS('март 2024'!$G$6:$G$1612,'март 2024'!$D$6:$D$1612,$B140,'март 2024'!$J$6:$J$1612,T$1)</f>
        <v>0</v>
      </c>
      <c r="U140" s="86">
        <f>SUMIFS('март 2024'!$G$6:$G$1612,'март 2024'!$D$6:$D$1612,$B140,'март 2024'!$J$6:$J$1612,U$1)</f>
        <v>0</v>
      </c>
      <c r="V140" s="86">
        <f>SUMIFS('март 2024'!$G$6:$G$1612,'март 2024'!$D$6:$D$1612,$B140,'март 2024'!$J$6:$J$1612,V$1)</f>
        <v>0</v>
      </c>
      <c r="W140" s="86">
        <f>SUMIFS('март 2024'!$G$6:$G$1612,'март 2024'!$D$6:$D$1612,$B140,'март 2024'!$J$6:$J$1612,W$1)</f>
        <v>0</v>
      </c>
      <c r="X140" s="86">
        <f>SUMIFS('март 2024'!$G$6:$G$1612,'март 2024'!$D$6:$D$1612,$B140,'март 2024'!$J$6:$J$1612,X$1)</f>
        <v>0</v>
      </c>
      <c r="Y140" s="86">
        <f>SUMIFS('март 2024'!$G$6:$G$1612,'март 2024'!$D$6:$D$1612,$B140,'март 2024'!$J$6:$J$1612,Y$1)</f>
        <v>0</v>
      </c>
      <c r="Z140" s="86">
        <f>SUMIFS('март 2024'!$G$6:$G$1612,'март 2024'!$D$6:$D$1612,$B140,'март 2024'!$J$6:$J$1612,Z$1)</f>
        <v>0</v>
      </c>
      <c r="AA140" s="86">
        <f>SUMIFS('март 2024'!$G$6:$G$1612,'март 2024'!$D$6:$D$1612,$B140,'март 2024'!$J$6:$J$1612,AA$1)</f>
        <v>0</v>
      </c>
      <c r="AB140" s="86">
        <f>SUMIFS('март 2024'!$G$6:$G$1612,'март 2024'!$D$6:$D$1612,$B140,'март 2024'!$J$6:$J$1612,AB$1)</f>
        <v>0</v>
      </c>
      <c r="AC140" s="86">
        <f>SUMIFS('март 2024'!$G$6:$G$1612,'март 2024'!$D$6:$D$1612,$B140,'март 2024'!$J$6:$J$1612,AC$1)</f>
        <v>0</v>
      </c>
      <c r="AD140" s="86">
        <f>SUMIFS('март 2024'!$G$6:$G$1612,'март 2024'!$D$6:$D$1612,$B140,'март 2024'!$J$6:$J$1612,AD$1)</f>
        <v>0</v>
      </c>
      <c r="AE140" s="86">
        <f>SUMIFS('март 2024'!$G$6:$G$1612,'март 2024'!$D$6:$D$1612,$B140,'март 2024'!$J$6:$J$1612,AE$1)</f>
        <v>0</v>
      </c>
      <c r="AF140" s="86">
        <f>SUMIFS('март 2024'!$G$6:$G$1612,'март 2024'!$D$6:$D$1612,$B140,'март 2024'!$J$6:$J$1612,AF$1)</f>
        <v>0</v>
      </c>
      <c r="AG140" s="86">
        <f>SUMIFS('март 2024'!$G$6:$G$1612,'март 2024'!$D$6:$D$1612,$B140,'март 2024'!$J$6:$J$1612,AG$1)</f>
        <v>0</v>
      </c>
      <c r="AH140" s="86">
        <f>SUMIFS('март 2024'!$G$6:$G$1612,'март 2024'!$D$6:$D$1612,$B140,'март 2024'!$J$6:$J$1612,AH$1)</f>
        <v>0</v>
      </c>
      <c r="AI140" s="21">
        <f>SUM(D140:AH140)</f>
        <v>0</v>
      </c>
    </row>
    <row r="141" spans="2:35" ht="15" customHeight="1" x14ac:dyDescent="0.25">
      <c r="B141" s="89"/>
      <c r="C141" s="88"/>
      <c r="D141" s="86">
        <f>SUMIFS('март 2024'!$G$6:$G$1612,'март 2024'!$D$6:$D$1612,$B141,'март 2024'!$J$6:$J$1612,D$1)</f>
        <v>0</v>
      </c>
      <c r="E141" s="86">
        <f>SUMIFS('март 2024'!$G$6:$G$1612,'март 2024'!$D$6:$D$1612,$B141,'март 2024'!$J$6:$J$1612,E$1)</f>
        <v>0</v>
      </c>
      <c r="F141" s="86">
        <f>SUMIFS('март 2024'!$G$6:$G$1612,'март 2024'!$D$6:$D$1612,$B141,'март 2024'!$J$6:$J$1612,F$1)</f>
        <v>0</v>
      </c>
      <c r="G141" s="86">
        <f>SUMIFS('март 2024'!$G$6:$G$1612,'март 2024'!$D$6:$D$1612,$B141,'март 2024'!$J$6:$J$1612,G$1)</f>
        <v>0</v>
      </c>
      <c r="H141" s="86">
        <f>SUMIFS('март 2024'!$G$6:$G$1612,'март 2024'!$D$6:$D$1612,$B141,'март 2024'!$J$6:$J$1612,H$1)</f>
        <v>0</v>
      </c>
      <c r="I141" s="86">
        <f>SUMIFS('март 2024'!$G$6:$G$1612,'март 2024'!$D$6:$D$1612,$B141,'март 2024'!$J$6:$J$1612,I$1)</f>
        <v>0</v>
      </c>
      <c r="J141" s="86">
        <f>SUMIFS('март 2024'!$G$6:$G$1612,'март 2024'!$D$6:$D$1612,$B141,'март 2024'!$J$6:$J$1612,J$1)</f>
        <v>0</v>
      </c>
      <c r="K141" s="86">
        <f>SUMIFS('март 2024'!$G$6:$G$1612,'март 2024'!$D$6:$D$1612,$B141,'март 2024'!$J$6:$J$1612,K$1)</f>
        <v>0</v>
      </c>
      <c r="L141" s="86">
        <f>SUMIFS('март 2024'!$G$6:$G$1612,'март 2024'!$D$6:$D$1612,$B141,'март 2024'!$J$6:$J$1612,L$1)</f>
        <v>0</v>
      </c>
      <c r="M141" s="86">
        <f>SUMIFS('март 2024'!$G$6:$G$1612,'март 2024'!$D$6:$D$1612,$B141,'март 2024'!$J$6:$J$1612,M$1)</f>
        <v>0</v>
      </c>
      <c r="N141" s="86">
        <f>SUMIFS('март 2024'!$G$6:$G$1612,'март 2024'!$D$6:$D$1612,$B141,'март 2024'!$J$6:$J$1612,N$1)</f>
        <v>0</v>
      </c>
      <c r="O141" s="86">
        <f>SUMIFS('март 2024'!$G$6:$G$1612,'март 2024'!$D$6:$D$1612,$B141,'март 2024'!$J$6:$J$1612,O$1)</f>
        <v>0</v>
      </c>
      <c r="P141" s="86">
        <f>SUMIFS('март 2024'!$G$6:$G$1612,'март 2024'!$D$6:$D$1612,$B141,'март 2024'!$J$6:$J$1612,P$1)</f>
        <v>0</v>
      </c>
      <c r="Q141" s="86">
        <f>SUMIFS('март 2024'!$G$6:$G$1612,'март 2024'!$D$6:$D$1612,$B141,'март 2024'!$J$6:$J$1612,Q$1)</f>
        <v>0</v>
      </c>
      <c r="R141" s="86">
        <f>SUMIFS('март 2024'!$G$6:$G$1612,'март 2024'!$D$6:$D$1612,$B141,'март 2024'!$J$6:$J$1612,R$1)</f>
        <v>0</v>
      </c>
      <c r="S141" s="86">
        <f>SUMIFS('март 2024'!$G$6:$G$1612,'март 2024'!$D$6:$D$1612,$B141,'март 2024'!$J$6:$J$1612,S$1)</f>
        <v>0</v>
      </c>
      <c r="T141" s="86">
        <f>SUMIFS('март 2024'!$G$6:$G$1612,'март 2024'!$D$6:$D$1612,$B141,'март 2024'!$J$6:$J$1612,T$1)</f>
        <v>0</v>
      </c>
      <c r="U141" s="86">
        <f>SUMIFS('март 2024'!$G$6:$G$1612,'март 2024'!$D$6:$D$1612,$B141,'март 2024'!$J$6:$J$1612,U$1)</f>
        <v>0</v>
      </c>
      <c r="V141" s="86">
        <f>SUMIFS('март 2024'!$G$6:$G$1612,'март 2024'!$D$6:$D$1612,$B141,'март 2024'!$J$6:$J$1612,V$1)</f>
        <v>0</v>
      </c>
      <c r="W141" s="86">
        <f>SUMIFS('март 2024'!$G$6:$G$1612,'март 2024'!$D$6:$D$1612,$B141,'март 2024'!$J$6:$J$1612,W$1)</f>
        <v>0</v>
      </c>
      <c r="X141" s="86">
        <f>SUMIFS('март 2024'!$G$6:$G$1612,'март 2024'!$D$6:$D$1612,$B141,'март 2024'!$J$6:$J$1612,X$1)</f>
        <v>0</v>
      </c>
      <c r="Y141" s="86">
        <f>SUMIFS('март 2024'!$G$6:$G$1612,'март 2024'!$D$6:$D$1612,$B141,'март 2024'!$J$6:$J$1612,Y$1)</f>
        <v>0</v>
      </c>
      <c r="Z141" s="86">
        <f>SUMIFS('март 2024'!$G$6:$G$1612,'март 2024'!$D$6:$D$1612,$B141,'март 2024'!$J$6:$J$1612,Z$1)</f>
        <v>0</v>
      </c>
      <c r="AA141" s="86">
        <f>SUMIFS('март 2024'!$G$6:$G$1612,'март 2024'!$D$6:$D$1612,$B141,'март 2024'!$J$6:$J$1612,AA$1)</f>
        <v>0</v>
      </c>
      <c r="AB141" s="86">
        <f>SUMIFS('март 2024'!$G$6:$G$1612,'март 2024'!$D$6:$D$1612,$B141,'март 2024'!$J$6:$J$1612,AB$1)</f>
        <v>0</v>
      </c>
      <c r="AC141" s="86">
        <f>SUMIFS('март 2024'!$G$6:$G$1612,'март 2024'!$D$6:$D$1612,$B141,'март 2024'!$J$6:$J$1612,AC$1)</f>
        <v>0</v>
      </c>
      <c r="AD141" s="86">
        <f>SUMIFS('март 2024'!$G$6:$G$1612,'март 2024'!$D$6:$D$1612,$B141,'март 2024'!$J$6:$J$1612,AD$1)</f>
        <v>0</v>
      </c>
      <c r="AE141" s="86">
        <f>SUMIFS('март 2024'!$G$6:$G$1612,'март 2024'!$D$6:$D$1612,$B141,'март 2024'!$J$6:$J$1612,AE$1)</f>
        <v>0</v>
      </c>
      <c r="AF141" s="86">
        <f>SUMIFS('март 2024'!$G$6:$G$1612,'март 2024'!$D$6:$D$1612,$B141,'март 2024'!$J$6:$J$1612,AF$1)</f>
        <v>0</v>
      </c>
      <c r="AG141" s="86">
        <f>SUMIFS('март 2024'!$G$6:$G$1612,'март 2024'!$D$6:$D$1612,$B141,'март 2024'!$J$6:$J$1612,AG$1)</f>
        <v>0</v>
      </c>
      <c r="AH141" s="86">
        <f>SUMIFS('март 2024'!$G$6:$G$1612,'март 2024'!$D$6:$D$1612,$B141,'март 2024'!$J$6:$J$1612,AH$1)</f>
        <v>0</v>
      </c>
      <c r="AI141" s="21">
        <f>SUM(D141:AH141)</f>
        <v>0</v>
      </c>
    </row>
    <row r="142" spans="2:35" ht="15" customHeight="1" x14ac:dyDescent="0.25">
      <c r="B142" s="89"/>
      <c r="C142" s="88"/>
      <c r="D142" s="86">
        <f>SUMIFS('март 2024'!$G$6:$G$1612,'март 2024'!$D$6:$D$1612,$B142,'март 2024'!$J$6:$J$1612,D$1)</f>
        <v>0</v>
      </c>
      <c r="E142" s="86">
        <f>SUMIFS('март 2024'!$G$6:$G$1612,'март 2024'!$D$6:$D$1612,$B142,'март 2024'!$J$6:$J$1612,E$1)</f>
        <v>0</v>
      </c>
      <c r="F142" s="86">
        <f>SUMIFS('март 2024'!$G$6:$G$1612,'март 2024'!$D$6:$D$1612,$B142,'март 2024'!$J$6:$J$1612,F$1)</f>
        <v>0</v>
      </c>
      <c r="G142" s="86">
        <f>SUMIFS('март 2024'!$G$6:$G$1612,'март 2024'!$D$6:$D$1612,$B142,'март 2024'!$J$6:$J$1612,G$1)</f>
        <v>0</v>
      </c>
      <c r="H142" s="86">
        <f>SUMIFS('март 2024'!$G$6:$G$1612,'март 2024'!$D$6:$D$1612,$B142,'март 2024'!$J$6:$J$1612,H$1)</f>
        <v>0</v>
      </c>
      <c r="I142" s="86">
        <f>SUMIFS('март 2024'!$G$6:$G$1612,'март 2024'!$D$6:$D$1612,$B142,'март 2024'!$J$6:$J$1612,I$1)</f>
        <v>0</v>
      </c>
      <c r="J142" s="86">
        <f>SUMIFS('март 2024'!$G$6:$G$1612,'март 2024'!$D$6:$D$1612,$B142,'март 2024'!$J$6:$J$1612,J$1)</f>
        <v>0</v>
      </c>
      <c r="K142" s="86">
        <f>SUMIFS('март 2024'!$G$6:$G$1612,'март 2024'!$D$6:$D$1612,$B142,'март 2024'!$J$6:$J$1612,K$1)</f>
        <v>0</v>
      </c>
      <c r="L142" s="86">
        <f>SUMIFS('март 2024'!$G$6:$G$1612,'март 2024'!$D$6:$D$1612,$B142,'март 2024'!$J$6:$J$1612,L$1)</f>
        <v>0</v>
      </c>
      <c r="M142" s="86">
        <f>SUMIFS('март 2024'!$G$6:$G$1612,'март 2024'!$D$6:$D$1612,$B142,'март 2024'!$J$6:$J$1612,M$1)</f>
        <v>0</v>
      </c>
      <c r="N142" s="86">
        <f>SUMIFS('март 2024'!$G$6:$G$1612,'март 2024'!$D$6:$D$1612,$B142,'март 2024'!$J$6:$J$1612,N$1)</f>
        <v>0</v>
      </c>
      <c r="O142" s="86">
        <f>SUMIFS('март 2024'!$G$6:$G$1612,'март 2024'!$D$6:$D$1612,$B142,'март 2024'!$J$6:$J$1612,O$1)</f>
        <v>0</v>
      </c>
      <c r="P142" s="86">
        <f>SUMIFS('март 2024'!$G$6:$G$1612,'март 2024'!$D$6:$D$1612,$B142,'март 2024'!$J$6:$J$1612,P$1)</f>
        <v>0</v>
      </c>
      <c r="Q142" s="86">
        <f>SUMIFS('март 2024'!$G$6:$G$1612,'март 2024'!$D$6:$D$1612,$B142,'март 2024'!$J$6:$J$1612,Q$1)</f>
        <v>0</v>
      </c>
      <c r="R142" s="86">
        <f>SUMIFS('март 2024'!$G$6:$G$1612,'март 2024'!$D$6:$D$1612,$B142,'март 2024'!$J$6:$J$1612,R$1)</f>
        <v>0</v>
      </c>
      <c r="S142" s="86">
        <f>SUMIFS('март 2024'!$G$6:$G$1612,'март 2024'!$D$6:$D$1612,$B142,'март 2024'!$J$6:$J$1612,S$1)</f>
        <v>0</v>
      </c>
      <c r="T142" s="86">
        <f>SUMIFS('март 2024'!$G$6:$G$1612,'март 2024'!$D$6:$D$1612,$B142,'март 2024'!$J$6:$J$1612,T$1)</f>
        <v>0</v>
      </c>
      <c r="U142" s="86">
        <f>SUMIFS('март 2024'!$G$6:$G$1612,'март 2024'!$D$6:$D$1612,$B142,'март 2024'!$J$6:$J$1612,U$1)</f>
        <v>0</v>
      </c>
      <c r="V142" s="86">
        <f>SUMIFS('март 2024'!$G$6:$G$1612,'март 2024'!$D$6:$D$1612,$B142,'март 2024'!$J$6:$J$1612,V$1)</f>
        <v>0</v>
      </c>
      <c r="W142" s="86">
        <f>SUMIFS('март 2024'!$G$6:$G$1612,'март 2024'!$D$6:$D$1612,$B142,'март 2024'!$J$6:$J$1612,W$1)</f>
        <v>0</v>
      </c>
      <c r="X142" s="86">
        <f>SUMIFS('март 2024'!$G$6:$G$1612,'март 2024'!$D$6:$D$1612,$B142,'март 2024'!$J$6:$J$1612,X$1)</f>
        <v>0</v>
      </c>
      <c r="Y142" s="86">
        <f>SUMIFS('март 2024'!$G$6:$G$1612,'март 2024'!$D$6:$D$1612,$B142,'март 2024'!$J$6:$J$1612,Y$1)</f>
        <v>0</v>
      </c>
      <c r="Z142" s="86">
        <f>SUMIFS('март 2024'!$G$6:$G$1612,'март 2024'!$D$6:$D$1612,$B142,'март 2024'!$J$6:$J$1612,Z$1)</f>
        <v>0</v>
      </c>
      <c r="AA142" s="86">
        <f>SUMIFS('март 2024'!$G$6:$G$1612,'март 2024'!$D$6:$D$1612,$B142,'март 2024'!$J$6:$J$1612,AA$1)</f>
        <v>0</v>
      </c>
      <c r="AB142" s="86">
        <f>SUMIFS('март 2024'!$G$6:$G$1612,'март 2024'!$D$6:$D$1612,$B142,'март 2024'!$J$6:$J$1612,AB$1)</f>
        <v>0</v>
      </c>
      <c r="AC142" s="86">
        <f>SUMIFS('март 2024'!$G$6:$G$1612,'март 2024'!$D$6:$D$1612,$B142,'март 2024'!$J$6:$J$1612,AC$1)</f>
        <v>0</v>
      </c>
      <c r="AD142" s="86">
        <f>SUMIFS('март 2024'!$G$6:$G$1612,'март 2024'!$D$6:$D$1612,$B142,'март 2024'!$J$6:$J$1612,AD$1)</f>
        <v>0</v>
      </c>
      <c r="AE142" s="86">
        <f>SUMIFS('март 2024'!$G$6:$G$1612,'март 2024'!$D$6:$D$1612,$B142,'март 2024'!$J$6:$J$1612,AE$1)</f>
        <v>0</v>
      </c>
      <c r="AF142" s="86">
        <f>SUMIFS('март 2024'!$G$6:$G$1612,'март 2024'!$D$6:$D$1612,$B142,'март 2024'!$J$6:$J$1612,AF$1)</f>
        <v>0</v>
      </c>
      <c r="AG142" s="86">
        <f>SUMIFS('март 2024'!$G$6:$G$1612,'март 2024'!$D$6:$D$1612,$B142,'март 2024'!$J$6:$J$1612,AG$1)</f>
        <v>0</v>
      </c>
      <c r="AH142" s="86">
        <f>SUMIFS('март 2024'!$G$6:$G$1612,'март 2024'!$D$6:$D$1612,$B142,'март 2024'!$J$6:$J$1612,AH$1)</f>
        <v>0</v>
      </c>
      <c r="AI142" s="21">
        <f>SUM(D142:AH142)</f>
        <v>0</v>
      </c>
    </row>
    <row r="143" spans="2:35" ht="15" hidden="1" customHeight="1" x14ac:dyDescent="0.25">
      <c r="B143" s="89"/>
      <c r="C143" s="88"/>
      <c r="D143" s="80">
        <f>SUMIFS('февраль 2024'!$G$6:$G$1413,'февраль 2024'!$D$6:$D$1413,$B143,'февраль 2024'!$J$6:$J$1413,D$1)</f>
        <v>0</v>
      </c>
      <c r="E143" s="80">
        <f>SUMIFS('февраль 2024'!$G$6:$G$1413,'февраль 2024'!$D$6:$D$1413,$B143,'февраль 2024'!$J$6:$J$1413,E$1)</f>
        <v>0</v>
      </c>
      <c r="F143" s="80">
        <f>SUMIFS('февраль 2024'!$G$6:$G$1413,'февраль 2024'!$D$6:$D$1413,$B143,'февраль 2024'!$J$6:$J$1413,F$1)</f>
        <v>0</v>
      </c>
      <c r="G143" s="80">
        <f>SUMIFS('февраль 2024'!$G$6:$G$1413,'февраль 2024'!$D$6:$D$1413,$B143,'февраль 2024'!$J$6:$J$1413,G$1)</f>
        <v>0</v>
      </c>
      <c r="H143" s="80">
        <f>SUMIFS('февраль 2024'!$G$6:$G$1413,'февраль 2024'!$D$6:$D$1413,$B143,'февраль 2024'!$J$6:$J$1413,H$1)</f>
        <v>0</v>
      </c>
      <c r="I143" s="80">
        <f>SUMIFS('февраль 2024'!$G$6:$G$1413,'февраль 2024'!$D$6:$D$1413,$B143,'февраль 2024'!$J$6:$J$1413,I$1)</f>
        <v>0</v>
      </c>
      <c r="J143" s="80">
        <f>SUMIFS('февраль 2024'!$G$6:$G$1413,'февраль 2024'!$D$6:$D$1413,$B143,'февраль 2024'!$J$6:$J$1413,J$1)</f>
        <v>0</v>
      </c>
      <c r="K143" s="80">
        <f>SUMIFS('февраль 2024'!$G$6:$G$1413,'февраль 2024'!$D$6:$D$1413,$B143,'февраль 2024'!$J$6:$J$1413,K$1)</f>
        <v>0</v>
      </c>
      <c r="L143" s="80">
        <f>SUMIFS('февраль 2024'!$G$6:$G$1413,'февраль 2024'!$D$6:$D$1413,$B143,'февраль 2024'!$J$6:$J$1413,L$1)</f>
        <v>0</v>
      </c>
      <c r="M143" s="80">
        <f>SUMIFS('февраль 2024'!$G$6:$G$1413,'февраль 2024'!$D$6:$D$1413,$B143,'февраль 2024'!$J$6:$J$1413,M$1)</f>
        <v>0</v>
      </c>
      <c r="N143" s="80">
        <f>SUMIFS('февраль 2024'!$G$6:$G$1413,'февраль 2024'!$D$6:$D$1413,$B143,'февраль 2024'!$J$6:$J$1413,N$1)</f>
        <v>0</v>
      </c>
      <c r="O143" s="80">
        <f>SUMIFS('февраль 2024'!$G$6:$G$1413,'февраль 2024'!$D$6:$D$1413,$B143,'февраль 2024'!$J$6:$J$1413,O$1)</f>
        <v>0</v>
      </c>
      <c r="P143" s="80">
        <f>SUMIFS('февраль 2024'!$G$6:$G$1413,'февраль 2024'!$D$6:$D$1413,$B143,'февраль 2024'!$J$6:$J$1413,P$1)</f>
        <v>0</v>
      </c>
      <c r="Q143" s="80">
        <f>SUMIFS('февраль 2024'!$G$6:$G$1413,'февраль 2024'!$D$6:$D$1413,$B143,'февраль 2024'!$J$6:$J$1413,Q$1)</f>
        <v>0</v>
      </c>
      <c r="R143" s="80">
        <f>SUMIFS('февраль 2024'!$G$6:$G$1413,'февраль 2024'!$D$6:$D$1413,$B143,'февраль 2024'!$J$6:$J$1413,R$1)</f>
        <v>0</v>
      </c>
      <c r="S143" s="80">
        <f>SUMIFS('февраль 2024'!$G$6:$G$1413,'февраль 2024'!$D$6:$D$1413,$B143,'февраль 2024'!$J$6:$J$1413,S$1)</f>
        <v>0</v>
      </c>
      <c r="T143" s="80">
        <f>SUMIFS('февраль 2024'!$G$6:$G$1413,'февраль 2024'!$D$6:$D$1413,$B143,'февраль 2024'!$J$6:$J$1413,T$1)</f>
        <v>0</v>
      </c>
      <c r="U143" s="80">
        <f>SUMIFS('февраль 2024'!$G$6:$G$1413,'февраль 2024'!$D$6:$D$1413,$B143,'февраль 2024'!$J$6:$J$1413,U$1)</f>
        <v>0</v>
      </c>
      <c r="V143" s="80">
        <f>SUMIFS('февраль 2024'!$G$6:$G$1413,'февраль 2024'!$D$6:$D$1413,$B143,'февраль 2024'!$J$6:$J$1413,V$1)</f>
        <v>0</v>
      </c>
      <c r="W143" s="80">
        <f>SUMIFS('февраль 2024'!$G$6:$G$1413,'февраль 2024'!$D$6:$D$1413,$B143,'февраль 2024'!$J$6:$J$1413,W$1)</f>
        <v>0</v>
      </c>
      <c r="X143" s="80">
        <f>SUMIFS('февраль 2024'!$G$6:$G$1413,'февраль 2024'!$D$6:$D$1413,$B143,'февраль 2024'!$J$6:$J$1413,X$1)</f>
        <v>0</v>
      </c>
      <c r="Y143" s="80">
        <f>SUMIFS('февраль 2024'!$G$6:$G$1413,'февраль 2024'!$D$6:$D$1413,$B143,'февраль 2024'!$J$6:$J$1413,Y$1)</f>
        <v>0</v>
      </c>
      <c r="Z143" s="80">
        <f>SUMIFS('февраль 2024'!$G$6:$G$1413,'февраль 2024'!$D$6:$D$1413,$B143,'февраль 2024'!$J$6:$J$1413,Z$1)</f>
        <v>0</v>
      </c>
      <c r="AA143" s="80">
        <f>SUMIFS('февраль 2024'!$G$6:$G$1413,'февраль 2024'!$D$6:$D$1413,$B143,'февраль 2024'!$J$6:$J$1413,AA$1)</f>
        <v>0</v>
      </c>
      <c r="AB143" s="80">
        <f>SUMIFS('февраль 2024'!$G$6:$G$1413,'февраль 2024'!$D$6:$D$1413,$B143,'февраль 2024'!$J$6:$J$1413,AB$1)</f>
        <v>0</v>
      </c>
      <c r="AC143" s="80">
        <f>SUMIFS('февраль 2024'!$G$6:$G$1413,'февраль 2024'!$D$6:$D$1413,$B143,'февраль 2024'!$J$6:$J$1413,AC$1)</f>
        <v>0</v>
      </c>
      <c r="AD143" s="80">
        <f>SUMIFS('февраль 2024'!$G$6:$G$1413,'февраль 2024'!$D$6:$D$1413,$B143,'февраль 2024'!$J$6:$J$1413,AD$1)</f>
        <v>0</v>
      </c>
      <c r="AE143" s="80">
        <f>SUMIFS('февраль 2024'!$G$6:$G$1413,'февраль 2024'!$D$6:$D$1413,$B143,'февраль 2024'!$J$6:$J$1413,AE$1)</f>
        <v>0</v>
      </c>
      <c r="AF143" s="80">
        <f>SUMIFS('февраль 2024'!$G$6:$G$1413,'февраль 2024'!$D$6:$D$1413,$B143,'февраль 2024'!$J$6:$J$1413,AF$1)</f>
        <v>0</v>
      </c>
      <c r="AG143" s="80">
        <f>SUMIFS('февраль 2024'!$G$6:$G$1413,'февраль 2024'!$D$6:$D$1413,$B143,'февраль 2024'!$J$6:$J$1413,AG$1)</f>
        <v>0</v>
      </c>
      <c r="AH143" s="80">
        <f>SUMIFS('февраль 2024'!$G$6:$G$1413,'февраль 2024'!$D$6:$D$1413,$B143,'февраль 2024'!$J$6:$J$1413,AH$1)</f>
        <v>0</v>
      </c>
      <c r="AI143" s="87"/>
    </row>
    <row r="144" spans="2:35" ht="15" hidden="1" customHeight="1" x14ac:dyDescent="0.25">
      <c r="B144" s="89"/>
      <c r="C144" s="88"/>
      <c r="D144" s="80">
        <f>SUMIFS('февраль 2024'!$G$6:$G$1413,'февраль 2024'!$D$6:$D$1413,$B144,'февраль 2024'!$J$6:$J$1413,D$1)</f>
        <v>0</v>
      </c>
      <c r="E144" s="80">
        <f>SUMIFS('февраль 2024'!$G$6:$G$1413,'февраль 2024'!$D$6:$D$1413,$B144,'февраль 2024'!$J$6:$J$1413,E$1)</f>
        <v>0</v>
      </c>
      <c r="F144" s="80">
        <f>SUMIFS('февраль 2024'!$G$6:$G$1413,'февраль 2024'!$D$6:$D$1413,$B144,'февраль 2024'!$J$6:$J$1413,F$1)</f>
        <v>0</v>
      </c>
      <c r="G144" s="80">
        <f>SUMIFS('февраль 2024'!$G$6:$G$1413,'февраль 2024'!$D$6:$D$1413,$B144,'февраль 2024'!$J$6:$J$1413,G$1)</f>
        <v>0</v>
      </c>
      <c r="H144" s="80">
        <f>SUMIFS('февраль 2024'!$G$6:$G$1413,'февраль 2024'!$D$6:$D$1413,$B144,'февраль 2024'!$J$6:$J$1413,H$1)</f>
        <v>0</v>
      </c>
      <c r="I144" s="80">
        <f>SUMIFS('февраль 2024'!$G$6:$G$1413,'февраль 2024'!$D$6:$D$1413,$B144,'февраль 2024'!$J$6:$J$1413,I$1)</f>
        <v>0</v>
      </c>
      <c r="J144" s="80">
        <f>SUMIFS('февраль 2024'!$G$6:$G$1413,'февраль 2024'!$D$6:$D$1413,$B144,'февраль 2024'!$J$6:$J$1413,J$1)</f>
        <v>0</v>
      </c>
      <c r="K144" s="80">
        <f>SUMIFS('февраль 2024'!$G$6:$G$1413,'февраль 2024'!$D$6:$D$1413,$B144,'февраль 2024'!$J$6:$J$1413,K$1)</f>
        <v>0</v>
      </c>
      <c r="L144" s="80">
        <f>SUMIFS('февраль 2024'!$G$6:$G$1413,'февраль 2024'!$D$6:$D$1413,$B144,'февраль 2024'!$J$6:$J$1413,L$1)</f>
        <v>0</v>
      </c>
      <c r="M144" s="80">
        <f>SUMIFS('февраль 2024'!$G$6:$G$1413,'февраль 2024'!$D$6:$D$1413,$B144,'февраль 2024'!$J$6:$J$1413,M$1)</f>
        <v>0</v>
      </c>
      <c r="N144" s="80">
        <f>SUMIFS('февраль 2024'!$G$6:$G$1413,'февраль 2024'!$D$6:$D$1413,$B144,'февраль 2024'!$J$6:$J$1413,N$1)</f>
        <v>0</v>
      </c>
      <c r="O144" s="80">
        <f>SUMIFS('февраль 2024'!$G$6:$G$1413,'февраль 2024'!$D$6:$D$1413,$B144,'февраль 2024'!$J$6:$J$1413,O$1)</f>
        <v>0</v>
      </c>
      <c r="P144" s="80">
        <f>SUMIFS('февраль 2024'!$G$6:$G$1413,'февраль 2024'!$D$6:$D$1413,$B144,'февраль 2024'!$J$6:$J$1413,P$1)</f>
        <v>0</v>
      </c>
      <c r="Q144" s="80">
        <f>SUMIFS('февраль 2024'!$G$6:$G$1413,'февраль 2024'!$D$6:$D$1413,$B144,'февраль 2024'!$J$6:$J$1413,Q$1)</f>
        <v>0</v>
      </c>
      <c r="R144" s="80">
        <f>SUMIFS('февраль 2024'!$G$6:$G$1413,'февраль 2024'!$D$6:$D$1413,$B144,'февраль 2024'!$J$6:$J$1413,R$1)</f>
        <v>0</v>
      </c>
      <c r="S144" s="80">
        <f>SUMIFS('февраль 2024'!$G$6:$G$1413,'февраль 2024'!$D$6:$D$1413,$B144,'февраль 2024'!$J$6:$J$1413,S$1)</f>
        <v>0</v>
      </c>
      <c r="T144" s="80">
        <f>SUMIFS('февраль 2024'!$G$6:$G$1413,'февраль 2024'!$D$6:$D$1413,$B144,'февраль 2024'!$J$6:$J$1413,T$1)</f>
        <v>0</v>
      </c>
      <c r="U144" s="80">
        <f>SUMIFS('февраль 2024'!$G$6:$G$1413,'февраль 2024'!$D$6:$D$1413,$B144,'февраль 2024'!$J$6:$J$1413,U$1)</f>
        <v>0</v>
      </c>
      <c r="V144" s="80">
        <f>SUMIFS('февраль 2024'!$G$6:$G$1413,'февраль 2024'!$D$6:$D$1413,$B144,'февраль 2024'!$J$6:$J$1413,V$1)</f>
        <v>0</v>
      </c>
      <c r="W144" s="80">
        <f>SUMIFS('февраль 2024'!$G$6:$G$1413,'февраль 2024'!$D$6:$D$1413,$B144,'февраль 2024'!$J$6:$J$1413,W$1)</f>
        <v>0</v>
      </c>
      <c r="X144" s="80">
        <f>SUMIFS('февраль 2024'!$G$6:$G$1413,'февраль 2024'!$D$6:$D$1413,$B144,'февраль 2024'!$J$6:$J$1413,X$1)</f>
        <v>0</v>
      </c>
      <c r="Y144" s="80">
        <f>SUMIFS('февраль 2024'!$G$6:$G$1413,'февраль 2024'!$D$6:$D$1413,$B144,'февраль 2024'!$J$6:$J$1413,Y$1)</f>
        <v>0</v>
      </c>
      <c r="Z144" s="80">
        <f>SUMIFS('февраль 2024'!$G$6:$G$1413,'февраль 2024'!$D$6:$D$1413,$B144,'февраль 2024'!$J$6:$J$1413,Z$1)</f>
        <v>0</v>
      </c>
      <c r="AA144" s="80">
        <f>SUMIFS('февраль 2024'!$G$6:$G$1413,'февраль 2024'!$D$6:$D$1413,$B144,'февраль 2024'!$J$6:$J$1413,AA$1)</f>
        <v>0</v>
      </c>
      <c r="AB144" s="80">
        <f>SUMIFS('февраль 2024'!$G$6:$G$1413,'февраль 2024'!$D$6:$D$1413,$B144,'февраль 2024'!$J$6:$J$1413,AB$1)</f>
        <v>0</v>
      </c>
      <c r="AC144" s="80">
        <f>SUMIFS('февраль 2024'!$G$6:$G$1413,'февраль 2024'!$D$6:$D$1413,$B144,'февраль 2024'!$J$6:$J$1413,AC$1)</f>
        <v>0</v>
      </c>
      <c r="AD144" s="80">
        <f>SUMIFS('февраль 2024'!$G$6:$G$1413,'февраль 2024'!$D$6:$D$1413,$B144,'февраль 2024'!$J$6:$J$1413,AD$1)</f>
        <v>0</v>
      </c>
      <c r="AE144" s="80">
        <f>SUMIFS('февраль 2024'!$G$6:$G$1413,'февраль 2024'!$D$6:$D$1413,$B144,'февраль 2024'!$J$6:$J$1413,AE$1)</f>
        <v>0</v>
      </c>
      <c r="AF144" s="80">
        <f>SUMIFS('февраль 2024'!$G$6:$G$1413,'февраль 2024'!$D$6:$D$1413,$B144,'февраль 2024'!$J$6:$J$1413,AF$1)</f>
        <v>0</v>
      </c>
      <c r="AG144" s="80">
        <f>SUMIFS('февраль 2024'!$G$6:$G$1413,'февраль 2024'!$D$6:$D$1413,$B144,'февраль 2024'!$J$6:$J$1413,AG$1)</f>
        <v>0</v>
      </c>
      <c r="AH144" s="80">
        <f>SUMIFS('февраль 2024'!$G$6:$G$1413,'февраль 2024'!$D$6:$D$1413,$B144,'февраль 2024'!$J$6:$J$1413,AH$1)</f>
        <v>0</v>
      </c>
      <c r="AI144" s="87"/>
    </row>
    <row r="145" spans="2:35" ht="15" hidden="1" customHeight="1" x14ac:dyDescent="0.25">
      <c r="B145" s="93"/>
      <c r="C145" s="88"/>
      <c r="D145" s="80">
        <f>SUMIFS('февраль 2024'!$G$6:$G$1413,'февраль 2024'!$D$6:$D$1413,$B145,'февраль 2024'!$J$6:$J$1413,D$1)</f>
        <v>0</v>
      </c>
      <c r="E145" s="80">
        <f>SUMIFS('февраль 2024'!$G$6:$G$1413,'февраль 2024'!$D$6:$D$1413,$B145,'февраль 2024'!$J$6:$J$1413,E$1)</f>
        <v>0</v>
      </c>
      <c r="F145" s="80">
        <f>SUMIFS('февраль 2024'!$G$6:$G$1413,'февраль 2024'!$D$6:$D$1413,$B145,'февраль 2024'!$J$6:$J$1413,F$1)</f>
        <v>0</v>
      </c>
      <c r="G145" s="80">
        <f>SUMIFS('февраль 2024'!$G$6:$G$1413,'февраль 2024'!$D$6:$D$1413,$B145,'февраль 2024'!$J$6:$J$1413,G$1)</f>
        <v>0</v>
      </c>
      <c r="H145" s="80">
        <f>SUMIFS('февраль 2024'!$G$6:$G$1413,'февраль 2024'!$D$6:$D$1413,$B145,'февраль 2024'!$J$6:$J$1413,H$1)</f>
        <v>0</v>
      </c>
      <c r="I145" s="80">
        <f>SUMIFS('февраль 2024'!$G$6:$G$1413,'февраль 2024'!$D$6:$D$1413,$B145,'февраль 2024'!$J$6:$J$1413,I$1)</f>
        <v>0</v>
      </c>
      <c r="J145" s="80">
        <f>SUMIFS('февраль 2024'!$G$6:$G$1413,'февраль 2024'!$D$6:$D$1413,$B145,'февраль 2024'!$J$6:$J$1413,J$1)</f>
        <v>0</v>
      </c>
      <c r="K145" s="80">
        <f>SUMIFS('февраль 2024'!$G$6:$G$1413,'февраль 2024'!$D$6:$D$1413,$B145,'февраль 2024'!$J$6:$J$1413,K$1)</f>
        <v>0</v>
      </c>
      <c r="L145" s="80">
        <f>SUMIFS('февраль 2024'!$G$6:$G$1413,'февраль 2024'!$D$6:$D$1413,$B145,'февраль 2024'!$J$6:$J$1413,L$1)</f>
        <v>0</v>
      </c>
      <c r="M145" s="80">
        <f>SUMIFS('февраль 2024'!$G$6:$G$1413,'февраль 2024'!$D$6:$D$1413,$B145,'февраль 2024'!$J$6:$J$1413,M$1)</f>
        <v>0</v>
      </c>
      <c r="N145" s="80">
        <f>SUMIFS('февраль 2024'!$G$6:$G$1413,'февраль 2024'!$D$6:$D$1413,$B145,'февраль 2024'!$J$6:$J$1413,N$1)</f>
        <v>0</v>
      </c>
      <c r="O145" s="80">
        <f>SUMIFS('февраль 2024'!$G$6:$G$1413,'февраль 2024'!$D$6:$D$1413,$B145,'февраль 2024'!$J$6:$J$1413,O$1)</f>
        <v>0</v>
      </c>
      <c r="P145" s="80">
        <f>SUMIFS('февраль 2024'!$G$6:$G$1413,'февраль 2024'!$D$6:$D$1413,$B145,'февраль 2024'!$J$6:$J$1413,P$1)</f>
        <v>0</v>
      </c>
      <c r="Q145" s="80">
        <f>SUMIFS('февраль 2024'!$G$6:$G$1413,'февраль 2024'!$D$6:$D$1413,$B145,'февраль 2024'!$J$6:$J$1413,Q$1)</f>
        <v>0</v>
      </c>
      <c r="R145" s="80">
        <f>SUMIFS('февраль 2024'!$G$6:$G$1413,'февраль 2024'!$D$6:$D$1413,$B145,'февраль 2024'!$J$6:$J$1413,R$1)</f>
        <v>0</v>
      </c>
      <c r="S145" s="80">
        <f>SUMIFS('февраль 2024'!$G$6:$G$1413,'февраль 2024'!$D$6:$D$1413,$B145,'февраль 2024'!$J$6:$J$1413,S$1)</f>
        <v>0</v>
      </c>
      <c r="T145" s="80">
        <f>SUMIFS('февраль 2024'!$G$6:$G$1413,'февраль 2024'!$D$6:$D$1413,$B145,'февраль 2024'!$J$6:$J$1413,T$1)</f>
        <v>0</v>
      </c>
      <c r="U145" s="80">
        <f>SUMIFS('февраль 2024'!$G$6:$G$1413,'февраль 2024'!$D$6:$D$1413,$B145,'февраль 2024'!$J$6:$J$1413,U$1)</f>
        <v>0</v>
      </c>
      <c r="V145" s="80">
        <f>SUMIFS('февраль 2024'!$G$6:$G$1413,'февраль 2024'!$D$6:$D$1413,$B145,'февраль 2024'!$J$6:$J$1413,V$1)</f>
        <v>0</v>
      </c>
      <c r="W145" s="80">
        <f>SUMIFS('февраль 2024'!$G$6:$G$1413,'февраль 2024'!$D$6:$D$1413,$B145,'февраль 2024'!$J$6:$J$1413,W$1)</f>
        <v>0</v>
      </c>
      <c r="X145" s="80">
        <f>SUMIFS('февраль 2024'!$G$6:$G$1413,'февраль 2024'!$D$6:$D$1413,$B145,'февраль 2024'!$J$6:$J$1413,X$1)</f>
        <v>0</v>
      </c>
      <c r="Y145" s="80">
        <f>SUMIFS('февраль 2024'!$G$6:$G$1413,'февраль 2024'!$D$6:$D$1413,$B145,'февраль 2024'!$J$6:$J$1413,Y$1)</f>
        <v>0</v>
      </c>
      <c r="Z145" s="80">
        <f>SUMIFS('февраль 2024'!$G$6:$G$1413,'февраль 2024'!$D$6:$D$1413,$B145,'февраль 2024'!$J$6:$J$1413,Z$1)</f>
        <v>0</v>
      </c>
      <c r="AA145" s="80">
        <f>SUMIFS('февраль 2024'!$G$6:$G$1413,'февраль 2024'!$D$6:$D$1413,$B145,'февраль 2024'!$J$6:$J$1413,AA$1)</f>
        <v>0</v>
      </c>
      <c r="AB145" s="80">
        <f>SUMIFS('февраль 2024'!$G$6:$G$1413,'февраль 2024'!$D$6:$D$1413,$B145,'февраль 2024'!$J$6:$J$1413,AB$1)</f>
        <v>0</v>
      </c>
      <c r="AC145" s="80">
        <f>SUMIFS('февраль 2024'!$G$6:$G$1413,'февраль 2024'!$D$6:$D$1413,$B145,'февраль 2024'!$J$6:$J$1413,AC$1)</f>
        <v>0</v>
      </c>
      <c r="AD145" s="80">
        <f>SUMIFS('февраль 2024'!$G$6:$G$1413,'февраль 2024'!$D$6:$D$1413,$B145,'февраль 2024'!$J$6:$J$1413,AD$1)</f>
        <v>0</v>
      </c>
      <c r="AE145" s="80">
        <f>SUMIFS('февраль 2024'!$G$6:$G$1413,'февраль 2024'!$D$6:$D$1413,$B145,'февраль 2024'!$J$6:$J$1413,AE$1)</f>
        <v>0</v>
      </c>
      <c r="AF145" s="80">
        <f>SUMIFS('февраль 2024'!$G$6:$G$1413,'февраль 2024'!$D$6:$D$1413,$B145,'февраль 2024'!$J$6:$J$1413,AF$1)</f>
        <v>0</v>
      </c>
      <c r="AG145" s="80">
        <f>SUMIFS('февраль 2024'!$G$6:$G$1413,'февраль 2024'!$D$6:$D$1413,$B145,'февраль 2024'!$J$6:$J$1413,AG$1)</f>
        <v>0</v>
      </c>
      <c r="AH145" s="80">
        <f>SUMIFS('февраль 2024'!$G$6:$G$1413,'февраль 2024'!$D$6:$D$1413,$B145,'февраль 2024'!$J$6:$J$1413,AH$1)</f>
        <v>0</v>
      </c>
      <c r="AI145" s="87"/>
    </row>
    <row r="146" spans="2:35" ht="15" hidden="1" customHeight="1" x14ac:dyDescent="0.25">
      <c r="B146" s="93"/>
      <c r="C146" s="91"/>
      <c r="D146" s="80">
        <f>SUMIFS('февраль 2024'!$G$6:$G$1413,'февраль 2024'!$D$6:$D$1413,$B146,'февраль 2024'!$J$6:$J$1413,D$1)</f>
        <v>0</v>
      </c>
      <c r="E146" s="80">
        <f>SUMIFS('февраль 2024'!$G$6:$G$1413,'февраль 2024'!$D$6:$D$1413,$B146,'февраль 2024'!$J$6:$J$1413,E$1)</f>
        <v>0</v>
      </c>
      <c r="F146" s="80">
        <f>SUMIFS('февраль 2024'!$G$6:$G$1413,'февраль 2024'!$D$6:$D$1413,$B146,'февраль 2024'!$J$6:$J$1413,F$1)</f>
        <v>0</v>
      </c>
      <c r="G146" s="80">
        <f>SUMIFS('февраль 2024'!$G$6:$G$1413,'февраль 2024'!$D$6:$D$1413,$B146,'февраль 2024'!$J$6:$J$1413,G$1)</f>
        <v>0</v>
      </c>
      <c r="H146" s="80">
        <f>SUMIFS('февраль 2024'!$G$6:$G$1413,'февраль 2024'!$D$6:$D$1413,$B146,'февраль 2024'!$J$6:$J$1413,H$1)</f>
        <v>0</v>
      </c>
      <c r="I146" s="80">
        <f>SUMIFS('февраль 2024'!$G$6:$G$1413,'февраль 2024'!$D$6:$D$1413,$B146,'февраль 2024'!$J$6:$J$1413,I$1)</f>
        <v>0</v>
      </c>
      <c r="J146" s="80">
        <f>SUMIFS('февраль 2024'!$G$6:$G$1413,'февраль 2024'!$D$6:$D$1413,$B146,'февраль 2024'!$J$6:$J$1413,J$1)</f>
        <v>0</v>
      </c>
      <c r="K146" s="80">
        <f>SUMIFS('февраль 2024'!$G$6:$G$1413,'февраль 2024'!$D$6:$D$1413,$B146,'февраль 2024'!$J$6:$J$1413,K$1)</f>
        <v>0</v>
      </c>
      <c r="L146" s="80">
        <f>SUMIFS('февраль 2024'!$G$6:$G$1413,'февраль 2024'!$D$6:$D$1413,$B146,'февраль 2024'!$J$6:$J$1413,L$1)</f>
        <v>0</v>
      </c>
      <c r="M146" s="80">
        <f>SUMIFS('февраль 2024'!$G$6:$G$1413,'февраль 2024'!$D$6:$D$1413,$B146,'февраль 2024'!$J$6:$J$1413,M$1)</f>
        <v>0</v>
      </c>
      <c r="N146" s="80">
        <f>SUMIFS('февраль 2024'!$G$6:$G$1413,'февраль 2024'!$D$6:$D$1413,$B146,'февраль 2024'!$J$6:$J$1413,N$1)</f>
        <v>0</v>
      </c>
      <c r="O146" s="80">
        <f>SUMIFS('февраль 2024'!$G$6:$G$1413,'февраль 2024'!$D$6:$D$1413,$B146,'февраль 2024'!$J$6:$J$1413,O$1)</f>
        <v>0</v>
      </c>
      <c r="P146" s="80">
        <f>SUMIFS('февраль 2024'!$G$6:$G$1413,'февраль 2024'!$D$6:$D$1413,$B146,'февраль 2024'!$J$6:$J$1413,P$1)</f>
        <v>0</v>
      </c>
      <c r="Q146" s="80">
        <f>SUMIFS('февраль 2024'!$G$6:$G$1413,'февраль 2024'!$D$6:$D$1413,$B146,'февраль 2024'!$J$6:$J$1413,Q$1)</f>
        <v>0</v>
      </c>
      <c r="R146" s="80">
        <f>SUMIFS('февраль 2024'!$G$6:$G$1413,'февраль 2024'!$D$6:$D$1413,$B146,'февраль 2024'!$J$6:$J$1413,R$1)</f>
        <v>0</v>
      </c>
      <c r="S146" s="80">
        <f>SUMIFS('февраль 2024'!$G$6:$G$1413,'февраль 2024'!$D$6:$D$1413,$B146,'февраль 2024'!$J$6:$J$1413,S$1)</f>
        <v>0</v>
      </c>
      <c r="T146" s="80">
        <f>SUMIFS('февраль 2024'!$G$6:$G$1413,'февраль 2024'!$D$6:$D$1413,$B146,'февраль 2024'!$J$6:$J$1413,T$1)</f>
        <v>0</v>
      </c>
      <c r="U146" s="80">
        <f>SUMIFS('февраль 2024'!$G$6:$G$1413,'февраль 2024'!$D$6:$D$1413,$B146,'февраль 2024'!$J$6:$J$1413,U$1)</f>
        <v>0</v>
      </c>
      <c r="V146" s="80">
        <f>SUMIFS('февраль 2024'!$G$6:$G$1413,'февраль 2024'!$D$6:$D$1413,$B146,'февраль 2024'!$J$6:$J$1413,V$1)</f>
        <v>0</v>
      </c>
      <c r="W146" s="80">
        <f>SUMIFS('февраль 2024'!$G$6:$G$1413,'февраль 2024'!$D$6:$D$1413,$B146,'февраль 2024'!$J$6:$J$1413,W$1)</f>
        <v>0</v>
      </c>
      <c r="X146" s="80">
        <f>SUMIFS('февраль 2024'!$G$6:$G$1413,'февраль 2024'!$D$6:$D$1413,$B146,'февраль 2024'!$J$6:$J$1413,X$1)</f>
        <v>0</v>
      </c>
      <c r="Y146" s="80">
        <f>SUMIFS('февраль 2024'!$G$6:$G$1413,'февраль 2024'!$D$6:$D$1413,$B146,'февраль 2024'!$J$6:$J$1413,Y$1)</f>
        <v>0</v>
      </c>
      <c r="Z146" s="80">
        <f>SUMIFS('февраль 2024'!$G$6:$G$1413,'февраль 2024'!$D$6:$D$1413,$B146,'февраль 2024'!$J$6:$J$1413,Z$1)</f>
        <v>0</v>
      </c>
      <c r="AA146" s="80">
        <f>SUMIFS('февраль 2024'!$G$6:$G$1413,'февраль 2024'!$D$6:$D$1413,$B146,'февраль 2024'!$J$6:$J$1413,AA$1)</f>
        <v>0</v>
      </c>
      <c r="AB146" s="80">
        <f>SUMIFS('февраль 2024'!$G$6:$G$1413,'февраль 2024'!$D$6:$D$1413,$B146,'февраль 2024'!$J$6:$J$1413,AB$1)</f>
        <v>0</v>
      </c>
      <c r="AC146" s="80">
        <f>SUMIFS('февраль 2024'!$G$6:$G$1413,'февраль 2024'!$D$6:$D$1413,$B146,'февраль 2024'!$J$6:$J$1413,AC$1)</f>
        <v>0</v>
      </c>
      <c r="AD146" s="80">
        <f>SUMIFS('февраль 2024'!$G$6:$G$1413,'февраль 2024'!$D$6:$D$1413,$B146,'февраль 2024'!$J$6:$J$1413,AD$1)</f>
        <v>0</v>
      </c>
      <c r="AE146" s="80">
        <f>SUMIFS('февраль 2024'!$G$6:$G$1413,'февраль 2024'!$D$6:$D$1413,$B146,'февраль 2024'!$J$6:$J$1413,AE$1)</f>
        <v>0</v>
      </c>
      <c r="AF146" s="80">
        <f>SUMIFS('февраль 2024'!$G$6:$G$1413,'февраль 2024'!$D$6:$D$1413,$B146,'февраль 2024'!$J$6:$J$1413,AF$1)</f>
        <v>0</v>
      </c>
      <c r="AG146" s="80">
        <f>SUMIFS('февраль 2024'!$G$6:$G$1413,'февраль 2024'!$D$6:$D$1413,$B146,'февраль 2024'!$J$6:$J$1413,AG$1)</f>
        <v>0</v>
      </c>
      <c r="AH146" s="80">
        <f>SUMIFS('февраль 2024'!$G$6:$G$1413,'февраль 2024'!$D$6:$D$1413,$B146,'февраль 2024'!$J$6:$J$1413,AH$1)</f>
        <v>0</v>
      </c>
      <c r="AI146" s="87"/>
    </row>
    <row r="147" spans="2:35" ht="15" hidden="1" customHeight="1" x14ac:dyDescent="0.25">
      <c r="B147" s="89"/>
      <c r="C147" s="88"/>
      <c r="D147" s="80">
        <f>SUMIFS('февраль 2024'!$G$6:$G$1413,'февраль 2024'!$D$6:$D$1413,$B147,'февраль 2024'!$J$6:$J$1413,D$1)</f>
        <v>0</v>
      </c>
      <c r="E147" s="80">
        <f>SUMIFS('февраль 2024'!$G$6:$G$1413,'февраль 2024'!$D$6:$D$1413,$B147,'февраль 2024'!$J$6:$J$1413,E$1)</f>
        <v>0</v>
      </c>
      <c r="F147" s="80">
        <f>SUMIFS('февраль 2024'!$G$6:$G$1413,'февраль 2024'!$D$6:$D$1413,$B147,'февраль 2024'!$J$6:$J$1413,F$1)</f>
        <v>0</v>
      </c>
      <c r="G147" s="80">
        <f>SUMIFS('февраль 2024'!$G$6:$G$1413,'февраль 2024'!$D$6:$D$1413,$B147,'февраль 2024'!$J$6:$J$1413,G$1)</f>
        <v>0</v>
      </c>
      <c r="H147" s="80">
        <f>SUMIFS('февраль 2024'!$G$6:$G$1413,'февраль 2024'!$D$6:$D$1413,$B147,'февраль 2024'!$J$6:$J$1413,H$1)</f>
        <v>0</v>
      </c>
      <c r="I147" s="80">
        <f>SUMIFS('февраль 2024'!$G$6:$G$1413,'февраль 2024'!$D$6:$D$1413,$B147,'февраль 2024'!$J$6:$J$1413,I$1)</f>
        <v>0</v>
      </c>
      <c r="J147" s="80">
        <f>SUMIFS('февраль 2024'!$G$6:$G$1413,'февраль 2024'!$D$6:$D$1413,$B147,'февраль 2024'!$J$6:$J$1413,J$1)</f>
        <v>0</v>
      </c>
      <c r="K147" s="80">
        <f>SUMIFS('февраль 2024'!$G$6:$G$1413,'февраль 2024'!$D$6:$D$1413,$B147,'февраль 2024'!$J$6:$J$1413,K$1)</f>
        <v>0</v>
      </c>
      <c r="L147" s="80">
        <f>SUMIFS('февраль 2024'!$G$6:$G$1413,'февраль 2024'!$D$6:$D$1413,$B147,'февраль 2024'!$J$6:$J$1413,L$1)</f>
        <v>0</v>
      </c>
      <c r="M147" s="80">
        <f>SUMIFS('февраль 2024'!$G$6:$G$1413,'февраль 2024'!$D$6:$D$1413,$B147,'февраль 2024'!$J$6:$J$1413,M$1)</f>
        <v>0</v>
      </c>
      <c r="N147" s="80">
        <f>SUMIFS('февраль 2024'!$G$6:$G$1413,'февраль 2024'!$D$6:$D$1413,$B147,'февраль 2024'!$J$6:$J$1413,N$1)</f>
        <v>0</v>
      </c>
      <c r="O147" s="80">
        <f>SUMIFS('февраль 2024'!$G$6:$G$1413,'февраль 2024'!$D$6:$D$1413,$B147,'февраль 2024'!$J$6:$J$1413,O$1)</f>
        <v>0</v>
      </c>
      <c r="P147" s="80">
        <f>SUMIFS('февраль 2024'!$G$6:$G$1413,'февраль 2024'!$D$6:$D$1413,$B147,'февраль 2024'!$J$6:$J$1413,P$1)</f>
        <v>0</v>
      </c>
      <c r="Q147" s="80">
        <f>SUMIFS('февраль 2024'!$G$6:$G$1413,'февраль 2024'!$D$6:$D$1413,$B147,'февраль 2024'!$J$6:$J$1413,Q$1)</f>
        <v>0</v>
      </c>
      <c r="R147" s="80">
        <f>SUMIFS('февраль 2024'!$G$6:$G$1413,'февраль 2024'!$D$6:$D$1413,$B147,'февраль 2024'!$J$6:$J$1413,R$1)</f>
        <v>0</v>
      </c>
      <c r="S147" s="80">
        <f>SUMIFS('февраль 2024'!$G$6:$G$1413,'февраль 2024'!$D$6:$D$1413,$B147,'февраль 2024'!$J$6:$J$1413,S$1)</f>
        <v>0</v>
      </c>
      <c r="T147" s="80">
        <f>SUMIFS('февраль 2024'!$G$6:$G$1413,'февраль 2024'!$D$6:$D$1413,$B147,'февраль 2024'!$J$6:$J$1413,T$1)</f>
        <v>0</v>
      </c>
      <c r="U147" s="80">
        <f>SUMIFS('февраль 2024'!$G$6:$G$1413,'февраль 2024'!$D$6:$D$1413,$B147,'февраль 2024'!$J$6:$J$1413,U$1)</f>
        <v>0</v>
      </c>
      <c r="V147" s="80">
        <f>SUMIFS('февраль 2024'!$G$6:$G$1413,'февраль 2024'!$D$6:$D$1413,$B147,'февраль 2024'!$J$6:$J$1413,V$1)</f>
        <v>0</v>
      </c>
      <c r="W147" s="80">
        <f>SUMIFS('февраль 2024'!$G$6:$G$1413,'февраль 2024'!$D$6:$D$1413,$B147,'февраль 2024'!$J$6:$J$1413,W$1)</f>
        <v>0</v>
      </c>
      <c r="X147" s="80">
        <f>SUMIFS('февраль 2024'!$G$6:$G$1413,'февраль 2024'!$D$6:$D$1413,$B147,'февраль 2024'!$J$6:$J$1413,X$1)</f>
        <v>0</v>
      </c>
      <c r="Y147" s="80">
        <f>SUMIFS('февраль 2024'!$G$6:$G$1413,'февраль 2024'!$D$6:$D$1413,$B147,'февраль 2024'!$J$6:$J$1413,Y$1)</f>
        <v>0</v>
      </c>
      <c r="Z147" s="80">
        <f>SUMIFS('февраль 2024'!$G$6:$G$1413,'февраль 2024'!$D$6:$D$1413,$B147,'февраль 2024'!$J$6:$J$1413,Z$1)</f>
        <v>0</v>
      </c>
      <c r="AA147" s="80">
        <f>SUMIFS('февраль 2024'!$G$6:$G$1413,'февраль 2024'!$D$6:$D$1413,$B147,'февраль 2024'!$J$6:$J$1413,AA$1)</f>
        <v>0</v>
      </c>
      <c r="AB147" s="80">
        <f>SUMIFS('февраль 2024'!$G$6:$G$1413,'февраль 2024'!$D$6:$D$1413,$B147,'февраль 2024'!$J$6:$J$1413,AB$1)</f>
        <v>0</v>
      </c>
      <c r="AC147" s="80">
        <f>SUMIFS('февраль 2024'!$G$6:$G$1413,'февраль 2024'!$D$6:$D$1413,$B147,'февраль 2024'!$J$6:$J$1413,AC$1)</f>
        <v>0</v>
      </c>
      <c r="AD147" s="80">
        <f>SUMIFS('февраль 2024'!$G$6:$G$1413,'февраль 2024'!$D$6:$D$1413,$B147,'февраль 2024'!$J$6:$J$1413,AD$1)</f>
        <v>0</v>
      </c>
      <c r="AE147" s="80">
        <f>SUMIFS('февраль 2024'!$G$6:$G$1413,'февраль 2024'!$D$6:$D$1413,$B147,'февраль 2024'!$J$6:$J$1413,AE$1)</f>
        <v>0</v>
      </c>
      <c r="AF147" s="80">
        <f>SUMIFS('февраль 2024'!$G$6:$G$1413,'февраль 2024'!$D$6:$D$1413,$B147,'февраль 2024'!$J$6:$J$1413,AF$1)</f>
        <v>0</v>
      </c>
      <c r="AG147" s="80">
        <f>SUMIFS('февраль 2024'!$G$6:$G$1413,'февраль 2024'!$D$6:$D$1413,$B147,'февраль 2024'!$J$6:$J$1413,AG$1)</f>
        <v>0</v>
      </c>
      <c r="AH147" s="80">
        <f>SUMIFS('февраль 2024'!$G$6:$G$1413,'февраль 2024'!$D$6:$D$1413,$B147,'февраль 2024'!$J$6:$J$1413,AH$1)</f>
        <v>0</v>
      </c>
      <c r="AI147" s="87"/>
    </row>
    <row r="148" spans="2:35" ht="15" hidden="1" customHeight="1" x14ac:dyDescent="0.25">
      <c r="B148" s="92"/>
      <c r="C148" s="91"/>
      <c r="D148" s="80">
        <f>SUMIFS('февраль 2024'!$G$6:$G$1413,'февраль 2024'!$D$6:$D$1413,$B148,'февраль 2024'!$J$6:$J$1413,D$1)</f>
        <v>0</v>
      </c>
      <c r="E148" s="80">
        <f>SUMIFS('февраль 2024'!$G$6:$G$1413,'февраль 2024'!$D$6:$D$1413,$B148,'февраль 2024'!$J$6:$J$1413,E$1)</f>
        <v>0</v>
      </c>
      <c r="F148" s="80">
        <f>SUMIFS('февраль 2024'!$G$6:$G$1413,'февраль 2024'!$D$6:$D$1413,$B148,'февраль 2024'!$J$6:$J$1413,F$1)</f>
        <v>0</v>
      </c>
      <c r="G148" s="80">
        <f>SUMIFS('февраль 2024'!$G$6:$G$1413,'февраль 2024'!$D$6:$D$1413,$B148,'февраль 2024'!$J$6:$J$1413,G$1)</f>
        <v>0</v>
      </c>
      <c r="H148" s="80">
        <f>SUMIFS('февраль 2024'!$G$6:$G$1413,'февраль 2024'!$D$6:$D$1413,$B148,'февраль 2024'!$J$6:$J$1413,H$1)</f>
        <v>0</v>
      </c>
      <c r="I148" s="80">
        <f>SUMIFS('февраль 2024'!$G$6:$G$1413,'февраль 2024'!$D$6:$D$1413,$B148,'февраль 2024'!$J$6:$J$1413,I$1)</f>
        <v>0</v>
      </c>
      <c r="J148" s="80">
        <f>SUMIFS('февраль 2024'!$G$6:$G$1413,'февраль 2024'!$D$6:$D$1413,$B148,'февраль 2024'!$J$6:$J$1413,J$1)</f>
        <v>0</v>
      </c>
      <c r="K148" s="80">
        <f>SUMIFS('февраль 2024'!$G$6:$G$1413,'февраль 2024'!$D$6:$D$1413,$B148,'февраль 2024'!$J$6:$J$1413,K$1)</f>
        <v>0</v>
      </c>
      <c r="L148" s="80">
        <f>SUMIFS('февраль 2024'!$G$6:$G$1413,'февраль 2024'!$D$6:$D$1413,$B148,'февраль 2024'!$J$6:$J$1413,L$1)</f>
        <v>0</v>
      </c>
      <c r="M148" s="80">
        <f>SUMIFS('февраль 2024'!$G$6:$G$1413,'февраль 2024'!$D$6:$D$1413,$B148,'февраль 2024'!$J$6:$J$1413,M$1)</f>
        <v>0</v>
      </c>
      <c r="N148" s="80">
        <f>SUMIFS('февраль 2024'!$G$6:$G$1413,'февраль 2024'!$D$6:$D$1413,$B148,'февраль 2024'!$J$6:$J$1413,N$1)</f>
        <v>0</v>
      </c>
      <c r="O148" s="80">
        <f>SUMIFS('февраль 2024'!$G$6:$G$1413,'февраль 2024'!$D$6:$D$1413,$B148,'февраль 2024'!$J$6:$J$1413,O$1)</f>
        <v>0</v>
      </c>
      <c r="P148" s="80">
        <f>SUMIFS('февраль 2024'!$G$6:$G$1413,'февраль 2024'!$D$6:$D$1413,$B148,'февраль 2024'!$J$6:$J$1413,P$1)</f>
        <v>0</v>
      </c>
      <c r="Q148" s="80">
        <f>SUMIFS('февраль 2024'!$G$6:$G$1413,'февраль 2024'!$D$6:$D$1413,$B148,'февраль 2024'!$J$6:$J$1413,Q$1)</f>
        <v>0</v>
      </c>
      <c r="R148" s="80">
        <f>SUMIFS('февраль 2024'!$G$6:$G$1413,'февраль 2024'!$D$6:$D$1413,$B148,'февраль 2024'!$J$6:$J$1413,R$1)</f>
        <v>0</v>
      </c>
      <c r="S148" s="80">
        <f>SUMIFS('февраль 2024'!$G$6:$G$1413,'февраль 2024'!$D$6:$D$1413,$B148,'февраль 2024'!$J$6:$J$1413,S$1)</f>
        <v>0</v>
      </c>
      <c r="T148" s="80">
        <f>SUMIFS('февраль 2024'!$G$6:$G$1413,'февраль 2024'!$D$6:$D$1413,$B148,'февраль 2024'!$J$6:$J$1413,T$1)</f>
        <v>0</v>
      </c>
      <c r="U148" s="80">
        <f>SUMIFS('февраль 2024'!$G$6:$G$1413,'февраль 2024'!$D$6:$D$1413,$B148,'февраль 2024'!$J$6:$J$1413,U$1)</f>
        <v>0</v>
      </c>
      <c r="V148" s="80">
        <f>SUMIFS('февраль 2024'!$G$6:$G$1413,'февраль 2024'!$D$6:$D$1413,$B148,'февраль 2024'!$J$6:$J$1413,V$1)</f>
        <v>0</v>
      </c>
      <c r="W148" s="80">
        <f>SUMIFS('февраль 2024'!$G$6:$G$1413,'февраль 2024'!$D$6:$D$1413,$B148,'февраль 2024'!$J$6:$J$1413,W$1)</f>
        <v>0</v>
      </c>
      <c r="X148" s="80">
        <f>SUMIFS('февраль 2024'!$G$6:$G$1413,'февраль 2024'!$D$6:$D$1413,$B148,'февраль 2024'!$J$6:$J$1413,X$1)</f>
        <v>0</v>
      </c>
      <c r="Y148" s="80">
        <f>SUMIFS('февраль 2024'!$G$6:$G$1413,'февраль 2024'!$D$6:$D$1413,$B148,'февраль 2024'!$J$6:$J$1413,Y$1)</f>
        <v>0</v>
      </c>
      <c r="Z148" s="80">
        <f>SUMIFS('февраль 2024'!$G$6:$G$1413,'февраль 2024'!$D$6:$D$1413,$B148,'февраль 2024'!$J$6:$J$1413,Z$1)</f>
        <v>0</v>
      </c>
      <c r="AA148" s="80">
        <f>SUMIFS('февраль 2024'!$G$6:$G$1413,'февраль 2024'!$D$6:$D$1413,$B148,'февраль 2024'!$J$6:$J$1413,AA$1)</f>
        <v>0</v>
      </c>
      <c r="AB148" s="80">
        <f>SUMIFS('февраль 2024'!$G$6:$G$1413,'февраль 2024'!$D$6:$D$1413,$B148,'февраль 2024'!$J$6:$J$1413,AB$1)</f>
        <v>0</v>
      </c>
      <c r="AC148" s="80">
        <f>SUMIFS('февраль 2024'!$G$6:$G$1413,'февраль 2024'!$D$6:$D$1413,$B148,'февраль 2024'!$J$6:$J$1413,AC$1)</f>
        <v>0</v>
      </c>
      <c r="AD148" s="80">
        <f>SUMIFS('февраль 2024'!$G$6:$G$1413,'февраль 2024'!$D$6:$D$1413,$B148,'февраль 2024'!$J$6:$J$1413,AD$1)</f>
        <v>0</v>
      </c>
      <c r="AE148" s="80">
        <f>SUMIFS('февраль 2024'!$G$6:$G$1413,'февраль 2024'!$D$6:$D$1413,$B148,'февраль 2024'!$J$6:$J$1413,AE$1)</f>
        <v>0</v>
      </c>
      <c r="AF148" s="80">
        <f>SUMIFS('февраль 2024'!$G$6:$G$1413,'февраль 2024'!$D$6:$D$1413,$B148,'февраль 2024'!$J$6:$J$1413,AF$1)</f>
        <v>0</v>
      </c>
      <c r="AG148" s="80">
        <f>SUMIFS('февраль 2024'!$G$6:$G$1413,'февраль 2024'!$D$6:$D$1413,$B148,'февраль 2024'!$J$6:$J$1413,AG$1)</f>
        <v>0</v>
      </c>
      <c r="AH148" s="80">
        <f>SUMIFS('февраль 2024'!$G$6:$G$1413,'февраль 2024'!$D$6:$D$1413,$B148,'февраль 2024'!$J$6:$J$1413,AH$1)</f>
        <v>0</v>
      </c>
      <c r="AI148" s="87"/>
    </row>
    <row r="149" spans="2:35" ht="15" hidden="1" customHeight="1" x14ac:dyDescent="0.25">
      <c r="B149" s="89"/>
      <c r="C149" s="91"/>
      <c r="D149" s="80">
        <f>SUMIFS('февраль 2024'!$G$6:$G$1413,'февраль 2024'!$D$6:$D$1413,$B149,'февраль 2024'!$J$6:$J$1413,D$1)</f>
        <v>0</v>
      </c>
      <c r="E149" s="80">
        <f>SUMIFS('февраль 2024'!$G$6:$G$1413,'февраль 2024'!$D$6:$D$1413,$B149,'февраль 2024'!$J$6:$J$1413,E$1)</f>
        <v>0</v>
      </c>
      <c r="F149" s="80">
        <f>SUMIFS('февраль 2024'!$G$6:$G$1413,'февраль 2024'!$D$6:$D$1413,$B149,'февраль 2024'!$J$6:$J$1413,F$1)</f>
        <v>0</v>
      </c>
      <c r="G149" s="80">
        <f>SUMIFS('февраль 2024'!$G$6:$G$1413,'февраль 2024'!$D$6:$D$1413,$B149,'февраль 2024'!$J$6:$J$1413,G$1)</f>
        <v>0</v>
      </c>
      <c r="H149" s="80">
        <f>SUMIFS('февраль 2024'!$G$6:$G$1413,'февраль 2024'!$D$6:$D$1413,$B149,'февраль 2024'!$J$6:$J$1413,H$1)</f>
        <v>0</v>
      </c>
      <c r="I149" s="80">
        <f>SUMIFS('февраль 2024'!$G$6:$G$1413,'февраль 2024'!$D$6:$D$1413,$B149,'февраль 2024'!$J$6:$J$1413,I$1)</f>
        <v>0</v>
      </c>
      <c r="J149" s="80">
        <f>SUMIFS('февраль 2024'!$G$6:$G$1413,'февраль 2024'!$D$6:$D$1413,$B149,'февраль 2024'!$J$6:$J$1413,J$1)</f>
        <v>0</v>
      </c>
      <c r="K149" s="80">
        <f>SUMIFS('февраль 2024'!$G$6:$G$1413,'февраль 2024'!$D$6:$D$1413,$B149,'февраль 2024'!$J$6:$J$1413,K$1)</f>
        <v>0</v>
      </c>
      <c r="L149" s="80">
        <f>SUMIFS('февраль 2024'!$G$6:$G$1413,'февраль 2024'!$D$6:$D$1413,$B149,'февраль 2024'!$J$6:$J$1413,L$1)</f>
        <v>0</v>
      </c>
      <c r="M149" s="80">
        <f>SUMIFS('февраль 2024'!$G$6:$G$1413,'февраль 2024'!$D$6:$D$1413,$B149,'февраль 2024'!$J$6:$J$1413,M$1)</f>
        <v>0</v>
      </c>
      <c r="N149" s="80">
        <f>SUMIFS('февраль 2024'!$G$6:$G$1413,'февраль 2024'!$D$6:$D$1413,$B149,'февраль 2024'!$J$6:$J$1413,N$1)</f>
        <v>0</v>
      </c>
      <c r="O149" s="80">
        <f>SUMIFS('февраль 2024'!$G$6:$G$1413,'февраль 2024'!$D$6:$D$1413,$B149,'февраль 2024'!$J$6:$J$1413,O$1)</f>
        <v>0</v>
      </c>
      <c r="P149" s="80">
        <f>SUMIFS('февраль 2024'!$G$6:$G$1413,'февраль 2024'!$D$6:$D$1413,$B149,'февраль 2024'!$J$6:$J$1413,P$1)</f>
        <v>0</v>
      </c>
      <c r="Q149" s="80">
        <f>SUMIFS('февраль 2024'!$G$6:$G$1413,'февраль 2024'!$D$6:$D$1413,$B149,'февраль 2024'!$J$6:$J$1413,Q$1)</f>
        <v>0</v>
      </c>
      <c r="R149" s="80">
        <f>SUMIFS('февраль 2024'!$G$6:$G$1413,'февраль 2024'!$D$6:$D$1413,$B149,'февраль 2024'!$J$6:$J$1413,R$1)</f>
        <v>0</v>
      </c>
      <c r="S149" s="80">
        <f>SUMIFS('февраль 2024'!$G$6:$G$1413,'февраль 2024'!$D$6:$D$1413,$B149,'февраль 2024'!$J$6:$J$1413,S$1)</f>
        <v>0</v>
      </c>
      <c r="T149" s="80">
        <f>SUMIFS('февраль 2024'!$G$6:$G$1413,'февраль 2024'!$D$6:$D$1413,$B149,'февраль 2024'!$J$6:$J$1413,T$1)</f>
        <v>0</v>
      </c>
      <c r="U149" s="80">
        <f>SUMIFS('февраль 2024'!$G$6:$G$1413,'февраль 2024'!$D$6:$D$1413,$B149,'февраль 2024'!$J$6:$J$1413,U$1)</f>
        <v>0</v>
      </c>
      <c r="V149" s="80">
        <f>SUMIFS('февраль 2024'!$G$6:$G$1413,'февраль 2024'!$D$6:$D$1413,$B149,'февраль 2024'!$J$6:$J$1413,V$1)</f>
        <v>0</v>
      </c>
      <c r="W149" s="80">
        <f>SUMIFS('февраль 2024'!$G$6:$G$1413,'февраль 2024'!$D$6:$D$1413,$B149,'февраль 2024'!$J$6:$J$1413,W$1)</f>
        <v>0</v>
      </c>
      <c r="X149" s="80">
        <f>SUMIFS('февраль 2024'!$G$6:$G$1413,'февраль 2024'!$D$6:$D$1413,$B149,'февраль 2024'!$J$6:$J$1413,X$1)</f>
        <v>0</v>
      </c>
      <c r="Y149" s="80">
        <f>SUMIFS('февраль 2024'!$G$6:$G$1413,'февраль 2024'!$D$6:$D$1413,$B149,'февраль 2024'!$J$6:$J$1413,Y$1)</f>
        <v>0</v>
      </c>
      <c r="Z149" s="80">
        <f>SUMIFS('февраль 2024'!$G$6:$G$1413,'февраль 2024'!$D$6:$D$1413,$B149,'февраль 2024'!$J$6:$J$1413,Z$1)</f>
        <v>0</v>
      </c>
      <c r="AA149" s="80">
        <f>SUMIFS('февраль 2024'!$G$6:$G$1413,'февраль 2024'!$D$6:$D$1413,$B149,'февраль 2024'!$J$6:$J$1413,AA$1)</f>
        <v>0</v>
      </c>
      <c r="AB149" s="80">
        <f>SUMIFS('февраль 2024'!$G$6:$G$1413,'февраль 2024'!$D$6:$D$1413,$B149,'февраль 2024'!$J$6:$J$1413,AB$1)</f>
        <v>0</v>
      </c>
      <c r="AC149" s="80">
        <f>SUMIFS('февраль 2024'!$G$6:$G$1413,'февраль 2024'!$D$6:$D$1413,$B149,'февраль 2024'!$J$6:$J$1413,AC$1)</f>
        <v>0</v>
      </c>
      <c r="AD149" s="80">
        <f>SUMIFS('февраль 2024'!$G$6:$G$1413,'февраль 2024'!$D$6:$D$1413,$B149,'февраль 2024'!$J$6:$J$1413,AD$1)</f>
        <v>0</v>
      </c>
      <c r="AE149" s="80">
        <f>SUMIFS('февраль 2024'!$G$6:$G$1413,'февраль 2024'!$D$6:$D$1413,$B149,'февраль 2024'!$J$6:$J$1413,AE$1)</f>
        <v>0</v>
      </c>
      <c r="AF149" s="80">
        <f>SUMIFS('февраль 2024'!$G$6:$G$1413,'февраль 2024'!$D$6:$D$1413,$B149,'февраль 2024'!$J$6:$J$1413,AF$1)</f>
        <v>0</v>
      </c>
      <c r="AG149" s="80">
        <f>SUMIFS('февраль 2024'!$G$6:$G$1413,'февраль 2024'!$D$6:$D$1413,$B149,'февраль 2024'!$J$6:$J$1413,AG$1)</f>
        <v>0</v>
      </c>
      <c r="AH149" s="80">
        <f>SUMIFS('февраль 2024'!$G$6:$G$1413,'февраль 2024'!$D$6:$D$1413,$B149,'февраль 2024'!$J$6:$J$1413,AH$1)</f>
        <v>0</v>
      </c>
      <c r="AI149" s="87"/>
    </row>
    <row r="150" spans="2:35" ht="15" hidden="1" customHeight="1" x14ac:dyDescent="0.25">
      <c r="B150" s="89"/>
      <c r="C150" s="88"/>
      <c r="D150" s="80">
        <f>SUMIFS('февраль 2024'!$G$6:$G$1413,'февраль 2024'!$D$6:$D$1413,$B150,'февраль 2024'!$J$6:$J$1413,D$1)</f>
        <v>0</v>
      </c>
      <c r="E150" s="80">
        <f>SUMIFS('февраль 2024'!$G$6:$G$1413,'февраль 2024'!$D$6:$D$1413,$B150,'февраль 2024'!$J$6:$J$1413,E$1)</f>
        <v>0</v>
      </c>
      <c r="F150" s="80">
        <f>SUMIFS('февраль 2024'!$G$6:$G$1413,'февраль 2024'!$D$6:$D$1413,$B150,'февраль 2024'!$J$6:$J$1413,F$1)</f>
        <v>0</v>
      </c>
      <c r="G150" s="80">
        <f>SUMIFS('февраль 2024'!$G$6:$G$1413,'февраль 2024'!$D$6:$D$1413,$B150,'февраль 2024'!$J$6:$J$1413,G$1)</f>
        <v>0</v>
      </c>
      <c r="H150" s="80">
        <f>SUMIFS('февраль 2024'!$G$6:$G$1413,'февраль 2024'!$D$6:$D$1413,$B150,'февраль 2024'!$J$6:$J$1413,H$1)</f>
        <v>0</v>
      </c>
      <c r="I150" s="80">
        <f>SUMIFS('февраль 2024'!$G$6:$G$1413,'февраль 2024'!$D$6:$D$1413,$B150,'февраль 2024'!$J$6:$J$1413,I$1)</f>
        <v>0</v>
      </c>
      <c r="J150" s="80">
        <f>SUMIFS('февраль 2024'!$G$6:$G$1413,'февраль 2024'!$D$6:$D$1413,$B150,'февраль 2024'!$J$6:$J$1413,J$1)</f>
        <v>0</v>
      </c>
      <c r="K150" s="80">
        <f>SUMIFS('февраль 2024'!$G$6:$G$1413,'февраль 2024'!$D$6:$D$1413,$B150,'февраль 2024'!$J$6:$J$1413,K$1)</f>
        <v>0</v>
      </c>
      <c r="L150" s="80">
        <f>SUMIFS('февраль 2024'!$G$6:$G$1413,'февраль 2024'!$D$6:$D$1413,$B150,'февраль 2024'!$J$6:$J$1413,L$1)</f>
        <v>0</v>
      </c>
      <c r="M150" s="80">
        <f>SUMIFS('февраль 2024'!$G$6:$G$1413,'февраль 2024'!$D$6:$D$1413,$B150,'февраль 2024'!$J$6:$J$1413,M$1)</f>
        <v>0</v>
      </c>
      <c r="N150" s="80">
        <f>SUMIFS('февраль 2024'!$G$6:$G$1413,'февраль 2024'!$D$6:$D$1413,$B150,'февраль 2024'!$J$6:$J$1413,N$1)</f>
        <v>0</v>
      </c>
      <c r="O150" s="80">
        <f>SUMIFS('февраль 2024'!$G$6:$G$1413,'февраль 2024'!$D$6:$D$1413,$B150,'февраль 2024'!$J$6:$J$1413,O$1)</f>
        <v>0</v>
      </c>
      <c r="P150" s="80">
        <f>SUMIFS('февраль 2024'!$G$6:$G$1413,'февраль 2024'!$D$6:$D$1413,$B150,'февраль 2024'!$J$6:$J$1413,P$1)</f>
        <v>0</v>
      </c>
      <c r="Q150" s="80">
        <f>SUMIFS('февраль 2024'!$G$6:$G$1413,'февраль 2024'!$D$6:$D$1413,$B150,'февраль 2024'!$J$6:$J$1413,Q$1)</f>
        <v>0</v>
      </c>
      <c r="R150" s="80">
        <f>SUMIFS('февраль 2024'!$G$6:$G$1413,'февраль 2024'!$D$6:$D$1413,$B150,'февраль 2024'!$J$6:$J$1413,R$1)</f>
        <v>0</v>
      </c>
      <c r="S150" s="80">
        <f>SUMIFS('февраль 2024'!$G$6:$G$1413,'февраль 2024'!$D$6:$D$1413,$B150,'февраль 2024'!$J$6:$J$1413,S$1)</f>
        <v>0</v>
      </c>
      <c r="T150" s="80">
        <f>SUMIFS('февраль 2024'!$G$6:$G$1413,'февраль 2024'!$D$6:$D$1413,$B150,'февраль 2024'!$J$6:$J$1413,T$1)</f>
        <v>0</v>
      </c>
      <c r="U150" s="80">
        <f>SUMIFS('февраль 2024'!$G$6:$G$1413,'февраль 2024'!$D$6:$D$1413,$B150,'февраль 2024'!$J$6:$J$1413,U$1)</f>
        <v>0</v>
      </c>
      <c r="V150" s="80">
        <f>SUMIFS('февраль 2024'!$G$6:$G$1413,'февраль 2024'!$D$6:$D$1413,$B150,'февраль 2024'!$J$6:$J$1413,V$1)</f>
        <v>0</v>
      </c>
      <c r="W150" s="80">
        <f>SUMIFS('февраль 2024'!$G$6:$G$1413,'февраль 2024'!$D$6:$D$1413,$B150,'февраль 2024'!$J$6:$J$1413,W$1)</f>
        <v>0</v>
      </c>
      <c r="X150" s="80">
        <f>SUMIFS('февраль 2024'!$G$6:$G$1413,'февраль 2024'!$D$6:$D$1413,$B150,'февраль 2024'!$J$6:$J$1413,X$1)</f>
        <v>0</v>
      </c>
      <c r="Y150" s="80">
        <f>SUMIFS('февраль 2024'!$G$6:$G$1413,'февраль 2024'!$D$6:$D$1413,$B150,'февраль 2024'!$J$6:$J$1413,Y$1)</f>
        <v>0</v>
      </c>
      <c r="Z150" s="80">
        <f>SUMIFS('февраль 2024'!$G$6:$G$1413,'февраль 2024'!$D$6:$D$1413,$B150,'февраль 2024'!$J$6:$J$1413,Z$1)</f>
        <v>0</v>
      </c>
      <c r="AA150" s="80">
        <f>SUMIFS('февраль 2024'!$G$6:$G$1413,'февраль 2024'!$D$6:$D$1413,$B150,'февраль 2024'!$J$6:$J$1413,AA$1)</f>
        <v>0</v>
      </c>
      <c r="AB150" s="80">
        <f>SUMIFS('февраль 2024'!$G$6:$G$1413,'февраль 2024'!$D$6:$D$1413,$B150,'февраль 2024'!$J$6:$J$1413,AB$1)</f>
        <v>0</v>
      </c>
      <c r="AC150" s="80">
        <f>SUMIFS('февраль 2024'!$G$6:$G$1413,'февраль 2024'!$D$6:$D$1413,$B150,'февраль 2024'!$J$6:$J$1413,AC$1)</f>
        <v>0</v>
      </c>
      <c r="AD150" s="80">
        <f>SUMIFS('февраль 2024'!$G$6:$G$1413,'февраль 2024'!$D$6:$D$1413,$B150,'февраль 2024'!$J$6:$J$1413,AD$1)</f>
        <v>0</v>
      </c>
      <c r="AE150" s="80">
        <f>SUMIFS('февраль 2024'!$G$6:$G$1413,'февраль 2024'!$D$6:$D$1413,$B150,'февраль 2024'!$J$6:$J$1413,AE$1)</f>
        <v>0</v>
      </c>
      <c r="AF150" s="80">
        <f>SUMIFS('февраль 2024'!$G$6:$G$1413,'февраль 2024'!$D$6:$D$1413,$B150,'февраль 2024'!$J$6:$J$1413,AF$1)</f>
        <v>0</v>
      </c>
      <c r="AG150" s="80">
        <f>SUMIFS('февраль 2024'!$G$6:$G$1413,'февраль 2024'!$D$6:$D$1413,$B150,'февраль 2024'!$J$6:$J$1413,AG$1)</f>
        <v>0</v>
      </c>
      <c r="AH150" s="80">
        <f>SUMIFS('февраль 2024'!$G$6:$G$1413,'февраль 2024'!$D$6:$D$1413,$B150,'февраль 2024'!$J$6:$J$1413,AH$1)</f>
        <v>0</v>
      </c>
      <c r="AI150" s="87"/>
    </row>
    <row r="151" spans="2:35" ht="15" hidden="1" customHeight="1" x14ac:dyDescent="0.25">
      <c r="B151" s="89"/>
      <c r="C151" s="88"/>
      <c r="D151" s="80">
        <f>SUMIFS('февраль 2024'!$G$6:$G$1413,'февраль 2024'!$D$6:$D$1413,$B151,'февраль 2024'!$J$6:$J$1413,D$1)</f>
        <v>0</v>
      </c>
      <c r="E151" s="80">
        <f>SUMIFS('февраль 2024'!$G$6:$G$1413,'февраль 2024'!$D$6:$D$1413,$B151,'февраль 2024'!$J$6:$J$1413,E$1)</f>
        <v>0</v>
      </c>
      <c r="F151" s="80">
        <f>SUMIFS('февраль 2024'!$G$6:$G$1413,'февраль 2024'!$D$6:$D$1413,$B151,'февраль 2024'!$J$6:$J$1413,F$1)</f>
        <v>0</v>
      </c>
      <c r="G151" s="80">
        <f>SUMIFS('февраль 2024'!$G$6:$G$1413,'февраль 2024'!$D$6:$D$1413,$B151,'февраль 2024'!$J$6:$J$1413,G$1)</f>
        <v>0</v>
      </c>
      <c r="H151" s="80">
        <f>SUMIFS('февраль 2024'!$G$6:$G$1413,'февраль 2024'!$D$6:$D$1413,$B151,'февраль 2024'!$J$6:$J$1413,H$1)</f>
        <v>0</v>
      </c>
      <c r="I151" s="80">
        <f>SUMIFS('февраль 2024'!$G$6:$G$1413,'февраль 2024'!$D$6:$D$1413,$B151,'февраль 2024'!$J$6:$J$1413,I$1)</f>
        <v>0</v>
      </c>
      <c r="J151" s="80">
        <f>SUMIFS('февраль 2024'!$G$6:$G$1413,'февраль 2024'!$D$6:$D$1413,$B151,'февраль 2024'!$J$6:$J$1413,J$1)</f>
        <v>0</v>
      </c>
      <c r="K151" s="80">
        <f>SUMIFS('февраль 2024'!$G$6:$G$1413,'февраль 2024'!$D$6:$D$1413,$B151,'февраль 2024'!$J$6:$J$1413,K$1)</f>
        <v>0</v>
      </c>
      <c r="L151" s="80">
        <f>SUMIFS('февраль 2024'!$G$6:$G$1413,'февраль 2024'!$D$6:$D$1413,$B151,'февраль 2024'!$J$6:$J$1413,L$1)</f>
        <v>0</v>
      </c>
      <c r="M151" s="80">
        <f>SUMIFS('февраль 2024'!$G$6:$G$1413,'февраль 2024'!$D$6:$D$1413,$B151,'февраль 2024'!$J$6:$J$1413,M$1)</f>
        <v>0</v>
      </c>
      <c r="N151" s="80">
        <f>SUMIFS('февраль 2024'!$G$6:$G$1413,'февраль 2024'!$D$6:$D$1413,$B151,'февраль 2024'!$J$6:$J$1413,N$1)</f>
        <v>0</v>
      </c>
      <c r="O151" s="80">
        <f>SUMIFS('февраль 2024'!$G$6:$G$1413,'февраль 2024'!$D$6:$D$1413,$B151,'февраль 2024'!$J$6:$J$1413,O$1)</f>
        <v>0</v>
      </c>
      <c r="P151" s="80">
        <f>SUMIFS('февраль 2024'!$G$6:$G$1413,'февраль 2024'!$D$6:$D$1413,$B151,'февраль 2024'!$J$6:$J$1413,P$1)</f>
        <v>0</v>
      </c>
      <c r="Q151" s="80">
        <f>SUMIFS('февраль 2024'!$G$6:$G$1413,'февраль 2024'!$D$6:$D$1413,$B151,'февраль 2024'!$J$6:$J$1413,Q$1)</f>
        <v>0</v>
      </c>
      <c r="R151" s="80">
        <f>SUMIFS('февраль 2024'!$G$6:$G$1413,'февраль 2024'!$D$6:$D$1413,$B151,'февраль 2024'!$J$6:$J$1413,R$1)</f>
        <v>0</v>
      </c>
      <c r="S151" s="80">
        <f>SUMIFS('февраль 2024'!$G$6:$G$1413,'февраль 2024'!$D$6:$D$1413,$B151,'февраль 2024'!$J$6:$J$1413,S$1)</f>
        <v>0</v>
      </c>
      <c r="T151" s="80">
        <f>SUMIFS('февраль 2024'!$G$6:$G$1413,'февраль 2024'!$D$6:$D$1413,$B151,'февраль 2024'!$J$6:$J$1413,T$1)</f>
        <v>0</v>
      </c>
      <c r="U151" s="80">
        <f>SUMIFS('февраль 2024'!$G$6:$G$1413,'февраль 2024'!$D$6:$D$1413,$B151,'февраль 2024'!$J$6:$J$1413,U$1)</f>
        <v>0</v>
      </c>
      <c r="V151" s="80">
        <f>SUMIFS('февраль 2024'!$G$6:$G$1413,'февраль 2024'!$D$6:$D$1413,$B151,'февраль 2024'!$J$6:$J$1413,V$1)</f>
        <v>0</v>
      </c>
      <c r="W151" s="80">
        <f>SUMIFS('февраль 2024'!$G$6:$G$1413,'февраль 2024'!$D$6:$D$1413,$B151,'февраль 2024'!$J$6:$J$1413,W$1)</f>
        <v>0</v>
      </c>
      <c r="X151" s="80">
        <f>SUMIFS('февраль 2024'!$G$6:$G$1413,'февраль 2024'!$D$6:$D$1413,$B151,'февраль 2024'!$J$6:$J$1413,X$1)</f>
        <v>0</v>
      </c>
      <c r="Y151" s="80">
        <f>SUMIFS('февраль 2024'!$G$6:$G$1413,'февраль 2024'!$D$6:$D$1413,$B151,'февраль 2024'!$J$6:$J$1413,Y$1)</f>
        <v>0</v>
      </c>
      <c r="Z151" s="80">
        <f>SUMIFS('февраль 2024'!$G$6:$G$1413,'февраль 2024'!$D$6:$D$1413,$B151,'февраль 2024'!$J$6:$J$1413,Z$1)</f>
        <v>0</v>
      </c>
      <c r="AA151" s="80">
        <f>SUMIFS('февраль 2024'!$G$6:$G$1413,'февраль 2024'!$D$6:$D$1413,$B151,'февраль 2024'!$J$6:$J$1413,AA$1)</f>
        <v>0</v>
      </c>
      <c r="AB151" s="80">
        <f>SUMIFS('февраль 2024'!$G$6:$G$1413,'февраль 2024'!$D$6:$D$1413,$B151,'февраль 2024'!$J$6:$J$1413,AB$1)</f>
        <v>0</v>
      </c>
      <c r="AC151" s="80">
        <f>SUMIFS('февраль 2024'!$G$6:$G$1413,'февраль 2024'!$D$6:$D$1413,$B151,'февраль 2024'!$J$6:$J$1413,AC$1)</f>
        <v>0</v>
      </c>
      <c r="AD151" s="80">
        <f>SUMIFS('февраль 2024'!$G$6:$G$1413,'февраль 2024'!$D$6:$D$1413,$B151,'февраль 2024'!$J$6:$J$1413,AD$1)</f>
        <v>0</v>
      </c>
      <c r="AE151" s="80">
        <f>SUMIFS('февраль 2024'!$G$6:$G$1413,'февраль 2024'!$D$6:$D$1413,$B151,'февраль 2024'!$J$6:$J$1413,AE$1)</f>
        <v>0</v>
      </c>
      <c r="AF151" s="80">
        <f>SUMIFS('февраль 2024'!$G$6:$G$1413,'февраль 2024'!$D$6:$D$1413,$B151,'февраль 2024'!$J$6:$J$1413,AF$1)</f>
        <v>0</v>
      </c>
      <c r="AG151" s="80">
        <f>SUMIFS('февраль 2024'!$G$6:$G$1413,'февраль 2024'!$D$6:$D$1413,$B151,'февраль 2024'!$J$6:$J$1413,AG$1)</f>
        <v>0</v>
      </c>
      <c r="AH151" s="80">
        <f>SUMIFS('февраль 2024'!$G$6:$G$1413,'февраль 2024'!$D$6:$D$1413,$B151,'февраль 2024'!$J$6:$J$1413,AH$1)</f>
        <v>0</v>
      </c>
      <c r="AI151" s="87"/>
    </row>
    <row r="152" spans="2:35" ht="15" hidden="1" customHeight="1" x14ac:dyDescent="0.25">
      <c r="B152" s="89"/>
      <c r="C152" s="88"/>
      <c r="D152" s="80">
        <f>SUMIFS('февраль 2024'!$G$6:$G$1413,'февраль 2024'!$D$6:$D$1413,$B152,'февраль 2024'!$J$6:$J$1413,D$1)</f>
        <v>0</v>
      </c>
      <c r="E152" s="80">
        <f>SUMIFS('февраль 2024'!$G$6:$G$1413,'февраль 2024'!$D$6:$D$1413,$B152,'февраль 2024'!$J$6:$J$1413,E$1)</f>
        <v>0</v>
      </c>
      <c r="F152" s="80">
        <f>SUMIFS('февраль 2024'!$G$6:$G$1413,'февраль 2024'!$D$6:$D$1413,$B152,'февраль 2024'!$J$6:$J$1413,F$1)</f>
        <v>0</v>
      </c>
      <c r="G152" s="80">
        <f>SUMIFS('февраль 2024'!$G$6:$G$1413,'февраль 2024'!$D$6:$D$1413,$B152,'февраль 2024'!$J$6:$J$1413,G$1)</f>
        <v>0</v>
      </c>
      <c r="H152" s="80">
        <f>SUMIFS('февраль 2024'!$G$6:$G$1413,'февраль 2024'!$D$6:$D$1413,$B152,'февраль 2024'!$J$6:$J$1413,H$1)</f>
        <v>0</v>
      </c>
      <c r="I152" s="80">
        <f>SUMIFS('февраль 2024'!$G$6:$G$1413,'февраль 2024'!$D$6:$D$1413,$B152,'февраль 2024'!$J$6:$J$1413,I$1)</f>
        <v>0</v>
      </c>
      <c r="J152" s="80">
        <f>SUMIFS('февраль 2024'!$G$6:$G$1413,'февраль 2024'!$D$6:$D$1413,$B152,'февраль 2024'!$J$6:$J$1413,J$1)</f>
        <v>0</v>
      </c>
      <c r="K152" s="80">
        <f>SUMIFS('февраль 2024'!$G$6:$G$1413,'февраль 2024'!$D$6:$D$1413,$B152,'февраль 2024'!$J$6:$J$1413,K$1)</f>
        <v>0</v>
      </c>
      <c r="L152" s="80">
        <f>SUMIFS('февраль 2024'!$G$6:$G$1413,'февраль 2024'!$D$6:$D$1413,$B152,'февраль 2024'!$J$6:$J$1413,L$1)</f>
        <v>0</v>
      </c>
      <c r="M152" s="80">
        <f>SUMIFS('февраль 2024'!$G$6:$G$1413,'февраль 2024'!$D$6:$D$1413,$B152,'февраль 2024'!$J$6:$J$1413,M$1)</f>
        <v>0</v>
      </c>
      <c r="N152" s="80">
        <f>SUMIFS('февраль 2024'!$G$6:$G$1413,'февраль 2024'!$D$6:$D$1413,$B152,'февраль 2024'!$J$6:$J$1413,N$1)</f>
        <v>0</v>
      </c>
      <c r="O152" s="80">
        <f>SUMIFS('февраль 2024'!$G$6:$G$1413,'февраль 2024'!$D$6:$D$1413,$B152,'февраль 2024'!$J$6:$J$1413,O$1)</f>
        <v>0</v>
      </c>
      <c r="P152" s="80">
        <f>SUMIFS('февраль 2024'!$G$6:$G$1413,'февраль 2024'!$D$6:$D$1413,$B152,'февраль 2024'!$J$6:$J$1413,P$1)</f>
        <v>0</v>
      </c>
      <c r="Q152" s="80">
        <f>SUMIFS('февраль 2024'!$G$6:$G$1413,'февраль 2024'!$D$6:$D$1413,$B152,'февраль 2024'!$J$6:$J$1413,Q$1)</f>
        <v>0</v>
      </c>
      <c r="R152" s="80">
        <f>SUMIFS('февраль 2024'!$G$6:$G$1413,'февраль 2024'!$D$6:$D$1413,$B152,'февраль 2024'!$J$6:$J$1413,R$1)</f>
        <v>0</v>
      </c>
      <c r="S152" s="80">
        <f>SUMIFS('февраль 2024'!$G$6:$G$1413,'февраль 2024'!$D$6:$D$1413,$B152,'февраль 2024'!$J$6:$J$1413,S$1)</f>
        <v>0</v>
      </c>
      <c r="T152" s="80">
        <f>SUMIFS('февраль 2024'!$G$6:$G$1413,'февраль 2024'!$D$6:$D$1413,$B152,'февраль 2024'!$J$6:$J$1413,T$1)</f>
        <v>0</v>
      </c>
      <c r="U152" s="80">
        <f>SUMIFS('февраль 2024'!$G$6:$G$1413,'февраль 2024'!$D$6:$D$1413,$B152,'февраль 2024'!$J$6:$J$1413,U$1)</f>
        <v>0</v>
      </c>
      <c r="V152" s="80">
        <f>SUMIFS('февраль 2024'!$G$6:$G$1413,'февраль 2024'!$D$6:$D$1413,$B152,'февраль 2024'!$J$6:$J$1413,V$1)</f>
        <v>0</v>
      </c>
      <c r="W152" s="80">
        <f>SUMIFS('февраль 2024'!$G$6:$G$1413,'февраль 2024'!$D$6:$D$1413,$B152,'февраль 2024'!$J$6:$J$1413,W$1)</f>
        <v>0</v>
      </c>
      <c r="X152" s="80">
        <f>SUMIFS('февраль 2024'!$G$6:$G$1413,'февраль 2024'!$D$6:$D$1413,$B152,'февраль 2024'!$J$6:$J$1413,X$1)</f>
        <v>0</v>
      </c>
      <c r="Y152" s="80">
        <f>SUMIFS('февраль 2024'!$G$6:$G$1413,'февраль 2024'!$D$6:$D$1413,$B152,'февраль 2024'!$J$6:$J$1413,Y$1)</f>
        <v>0</v>
      </c>
      <c r="Z152" s="80">
        <f>SUMIFS('февраль 2024'!$G$6:$G$1413,'февраль 2024'!$D$6:$D$1413,$B152,'февраль 2024'!$J$6:$J$1413,Z$1)</f>
        <v>0</v>
      </c>
      <c r="AA152" s="80">
        <f>SUMIFS('февраль 2024'!$G$6:$G$1413,'февраль 2024'!$D$6:$D$1413,$B152,'февраль 2024'!$J$6:$J$1413,AA$1)</f>
        <v>0</v>
      </c>
      <c r="AB152" s="80">
        <f>SUMIFS('февраль 2024'!$G$6:$G$1413,'февраль 2024'!$D$6:$D$1413,$B152,'февраль 2024'!$J$6:$J$1413,AB$1)</f>
        <v>0</v>
      </c>
      <c r="AC152" s="80">
        <f>SUMIFS('февраль 2024'!$G$6:$G$1413,'февраль 2024'!$D$6:$D$1413,$B152,'февраль 2024'!$J$6:$J$1413,AC$1)</f>
        <v>0</v>
      </c>
      <c r="AD152" s="80">
        <f>SUMIFS('февраль 2024'!$G$6:$G$1413,'февраль 2024'!$D$6:$D$1413,$B152,'февраль 2024'!$J$6:$J$1413,AD$1)</f>
        <v>0</v>
      </c>
      <c r="AE152" s="80">
        <f>SUMIFS('февраль 2024'!$G$6:$G$1413,'февраль 2024'!$D$6:$D$1413,$B152,'февраль 2024'!$J$6:$J$1413,AE$1)</f>
        <v>0</v>
      </c>
      <c r="AF152" s="80">
        <f>SUMIFS('февраль 2024'!$G$6:$G$1413,'февраль 2024'!$D$6:$D$1413,$B152,'февраль 2024'!$J$6:$J$1413,AF$1)</f>
        <v>0</v>
      </c>
      <c r="AG152" s="80">
        <f>SUMIFS('февраль 2024'!$G$6:$G$1413,'февраль 2024'!$D$6:$D$1413,$B152,'февраль 2024'!$J$6:$J$1413,AG$1)</f>
        <v>0</v>
      </c>
      <c r="AH152" s="80">
        <f>SUMIFS('февраль 2024'!$G$6:$G$1413,'февраль 2024'!$D$6:$D$1413,$B152,'февраль 2024'!$J$6:$J$1413,AH$1)</f>
        <v>0</v>
      </c>
      <c r="AI152" s="87"/>
    </row>
    <row r="153" spans="2:35" ht="15" hidden="1" customHeight="1" x14ac:dyDescent="0.25">
      <c r="B153" s="93"/>
      <c r="C153" s="91"/>
      <c r="D153" s="80">
        <f>SUMIFS('февраль 2024'!$G$6:$G$1413,'февраль 2024'!$D$6:$D$1413,$B153,'февраль 2024'!$J$6:$J$1413,D$1)</f>
        <v>0</v>
      </c>
      <c r="E153" s="80">
        <f>SUMIFS('февраль 2024'!$G$6:$G$1413,'февраль 2024'!$D$6:$D$1413,$B153,'февраль 2024'!$J$6:$J$1413,E$1)</f>
        <v>0</v>
      </c>
      <c r="F153" s="80">
        <f>SUMIFS('февраль 2024'!$G$6:$G$1413,'февраль 2024'!$D$6:$D$1413,$B153,'февраль 2024'!$J$6:$J$1413,F$1)</f>
        <v>0</v>
      </c>
      <c r="G153" s="80">
        <f>SUMIFS('февраль 2024'!$G$6:$G$1413,'февраль 2024'!$D$6:$D$1413,$B153,'февраль 2024'!$J$6:$J$1413,G$1)</f>
        <v>0</v>
      </c>
      <c r="H153" s="80">
        <f>SUMIFS('февраль 2024'!$G$6:$G$1413,'февраль 2024'!$D$6:$D$1413,$B153,'февраль 2024'!$J$6:$J$1413,H$1)</f>
        <v>0</v>
      </c>
      <c r="I153" s="80">
        <f>SUMIFS('февраль 2024'!$G$6:$G$1413,'февраль 2024'!$D$6:$D$1413,$B153,'февраль 2024'!$J$6:$J$1413,I$1)</f>
        <v>0</v>
      </c>
      <c r="J153" s="80">
        <f>SUMIFS('февраль 2024'!$G$6:$G$1413,'февраль 2024'!$D$6:$D$1413,$B153,'февраль 2024'!$J$6:$J$1413,J$1)</f>
        <v>0</v>
      </c>
      <c r="K153" s="80">
        <f>SUMIFS('февраль 2024'!$G$6:$G$1413,'февраль 2024'!$D$6:$D$1413,$B153,'февраль 2024'!$J$6:$J$1413,K$1)</f>
        <v>0</v>
      </c>
      <c r="L153" s="80">
        <f>SUMIFS('февраль 2024'!$G$6:$G$1413,'февраль 2024'!$D$6:$D$1413,$B153,'февраль 2024'!$J$6:$J$1413,L$1)</f>
        <v>0</v>
      </c>
      <c r="M153" s="80">
        <f>SUMIFS('февраль 2024'!$G$6:$G$1413,'февраль 2024'!$D$6:$D$1413,$B153,'февраль 2024'!$J$6:$J$1413,M$1)</f>
        <v>0</v>
      </c>
      <c r="N153" s="80">
        <f>SUMIFS('февраль 2024'!$G$6:$G$1413,'февраль 2024'!$D$6:$D$1413,$B153,'февраль 2024'!$J$6:$J$1413,N$1)</f>
        <v>0</v>
      </c>
      <c r="O153" s="80">
        <f>SUMIFS('февраль 2024'!$G$6:$G$1413,'февраль 2024'!$D$6:$D$1413,$B153,'февраль 2024'!$J$6:$J$1413,O$1)</f>
        <v>0</v>
      </c>
      <c r="P153" s="80">
        <f>SUMIFS('февраль 2024'!$G$6:$G$1413,'февраль 2024'!$D$6:$D$1413,$B153,'февраль 2024'!$J$6:$J$1413,P$1)</f>
        <v>0</v>
      </c>
      <c r="Q153" s="80">
        <f>SUMIFS('февраль 2024'!$G$6:$G$1413,'февраль 2024'!$D$6:$D$1413,$B153,'февраль 2024'!$J$6:$J$1413,Q$1)</f>
        <v>0</v>
      </c>
      <c r="R153" s="80">
        <f>SUMIFS('февраль 2024'!$G$6:$G$1413,'февраль 2024'!$D$6:$D$1413,$B153,'февраль 2024'!$J$6:$J$1413,R$1)</f>
        <v>0</v>
      </c>
      <c r="S153" s="80">
        <f>SUMIFS('февраль 2024'!$G$6:$G$1413,'февраль 2024'!$D$6:$D$1413,$B153,'февраль 2024'!$J$6:$J$1413,S$1)</f>
        <v>0</v>
      </c>
      <c r="T153" s="80">
        <f>SUMIFS('февраль 2024'!$G$6:$G$1413,'февраль 2024'!$D$6:$D$1413,$B153,'февраль 2024'!$J$6:$J$1413,T$1)</f>
        <v>0</v>
      </c>
      <c r="U153" s="80">
        <f>SUMIFS('февраль 2024'!$G$6:$G$1413,'февраль 2024'!$D$6:$D$1413,$B153,'февраль 2024'!$J$6:$J$1413,U$1)</f>
        <v>0</v>
      </c>
      <c r="V153" s="80">
        <f>SUMIFS('февраль 2024'!$G$6:$G$1413,'февраль 2024'!$D$6:$D$1413,$B153,'февраль 2024'!$J$6:$J$1413,V$1)</f>
        <v>0</v>
      </c>
      <c r="W153" s="80">
        <f>SUMIFS('февраль 2024'!$G$6:$G$1413,'февраль 2024'!$D$6:$D$1413,$B153,'февраль 2024'!$J$6:$J$1413,W$1)</f>
        <v>0</v>
      </c>
      <c r="X153" s="80">
        <f>SUMIFS('февраль 2024'!$G$6:$G$1413,'февраль 2024'!$D$6:$D$1413,$B153,'февраль 2024'!$J$6:$J$1413,X$1)</f>
        <v>0</v>
      </c>
      <c r="Y153" s="80">
        <f>SUMIFS('февраль 2024'!$G$6:$G$1413,'февраль 2024'!$D$6:$D$1413,$B153,'февраль 2024'!$J$6:$J$1413,Y$1)</f>
        <v>0</v>
      </c>
      <c r="Z153" s="80">
        <f>SUMIFS('февраль 2024'!$G$6:$G$1413,'февраль 2024'!$D$6:$D$1413,$B153,'февраль 2024'!$J$6:$J$1413,Z$1)</f>
        <v>0</v>
      </c>
      <c r="AA153" s="80">
        <f>SUMIFS('февраль 2024'!$G$6:$G$1413,'февраль 2024'!$D$6:$D$1413,$B153,'февраль 2024'!$J$6:$J$1413,AA$1)</f>
        <v>0</v>
      </c>
      <c r="AB153" s="80">
        <f>SUMIFS('февраль 2024'!$G$6:$G$1413,'февраль 2024'!$D$6:$D$1413,$B153,'февраль 2024'!$J$6:$J$1413,AB$1)</f>
        <v>0</v>
      </c>
      <c r="AC153" s="80">
        <f>SUMIFS('февраль 2024'!$G$6:$G$1413,'февраль 2024'!$D$6:$D$1413,$B153,'февраль 2024'!$J$6:$J$1413,AC$1)</f>
        <v>0</v>
      </c>
      <c r="AD153" s="80">
        <f>SUMIFS('февраль 2024'!$G$6:$G$1413,'февраль 2024'!$D$6:$D$1413,$B153,'февраль 2024'!$J$6:$J$1413,AD$1)</f>
        <v>0</v>
      </c>
      <c r="AE153" s="80">
        <f>SUMIFS('февраль 2024'!$G$6:$G$1413,'февраль 2024'!$D$6:$D$1413,$B153,'февраль 2024'!$J$6:$J$1413,AE$1)</f>
        <v>0</v>
      </c>
      <c r="AF153" s="80">
        <f>SUMIFS('февраль 2024'!$G$6:$G$1413,'февраль 2024'!$D$6:$D$1413,$B153,'февраль 2024'!$J$6:$J$1413,AF$1)</f>
        <v>0</v>
      </c>
      <c r="AG153" s="80">
        <f>SUMIFS('февраль 2024'!$G$6:$G$1413,'февраль 2024'!$D$6:$D$1413,$B153,'февраль 2024'!$J$6:$J$1413,AG$1)</f>
        <v>0</v>
      </c>
      <c r="AH153" s="80">
        <f>SUMIFS('февраль 2024'!$G$6:$G$1413,'февраль 2024'!$D$6:$D$1413,$B153,'февраль 2024'!$J$6:$J$1413,AH$1)</f>
        <v>0</v>
      </c>
      <c r="AI153" s="87"/>
    </row>
    <row r="154" spans="2:35" ht="15" hidden="1" customHeight="1" x14ac:dyDescent="0.25">
      <c r="B154" s="93"/>
      <c r="C154" s="91"/>
      <c r="D154" s="80">
        <f>SUMIFS('февраль 2024'!$G$6:$G$1413,'февраль 2024'!$D$6:$D$1413,$B154,'февраль 2024'!$J$6:$J$1413,D$1)</f>
        <v>0</v>
      </c>
      <c r="E154" s="80">
        <f>SUMIFS('февраль 2024'!$G$6:$G$1413,'февраль 2024'!$D$6:$D$1413,$B154,'февраль 2024'!$J$6:$J$1413,E$1)</f>
        <v>0</v>
      </c>
      <c r="F154" s="80">
        <f>SUMIFS('февраль 2024'!$G$6:$G$1413,'февраль 2024'!$D$6:$D$1413,$B154,'февраль 2024'!$J$6:$J$1413,F$1)</f>
        <v>0</v>
      </c>
      <c r="G154" s="80">
        <f>SUMIFS('февраль 2024'!$G$6:$G$1413,'февраль 2024'!$D$6:$D$1413,$B154,'февраль 2024'!$J$6:$J$1413,G$1)</f>
        <v>0</v>
      </c>
      <c r="H154" s="80">
        <f>SUMIFS('февраль 2024'!$G$6:$G$1413,'февраль 2024'!$D$6:$D$1413,$B154,'февраль 2024'!$J$6:$J$1413,H$1)</f>
        <v>0</v>
      </c>
      <c r="I154" s="80">
        <f>SUMIFS('февраль 2024'!$G$6:$G$1413,'февраль 2024'!$D$6:$D$1413,$B154,'февраль 2024'!$J$6:$J$1413,I$1)</f>
        <v>0</v>
      </c>
      <c r="J154" s="80">
        <f>SUMIFS('февраль 2024'!$G$6:$G$1413,'февраль 2024'!$D$6:$D$1413,$B154,'февраль 2024'!$J$6:$J$1413,J$1)</f>
        <v>0</v>
      </c>
      <c r="K154" s="80">
        <f>SUMIFS('февраль 2024'!$G$6:$G$1413,'февраль 2024'!$D$6:$D$1413,$B154,'февраль 2024'!$J$6:$J$1413,K$1)</f>
        <v>0</v>
      </c>
      <c r="L154" s="80">
        <f>SUMIFS('февраль 2024'!$G$6:$G$1413,'февраль 2024'!$D$6:$D$1413,$B154,'февраль 2024'!$J$6:$J$1413,L$1)</f>
        <v>0</v>
      </c>
      <c r="M154" s="80">
        <f>SUMIFS('февраль 2024'!$G$6:$G$1413,'февраль 2024'!$D$6:$D$1413,$B154,'февраль 2024'!$J$6:$J$1413,M$1)</f>
        <v>0</v>
      </c>
      <c r="N154" s="80">
        <f>SUMIFS('февраль 2024'!$G$6:$G$1413,'февраль 2024'!$D$6:$D$1413,$B154,'февраль 2024'!$J$6:$J$1413,N$1)</f>
        <v>0</v>
      </c>
      <c r="O154" s="80">
        <f>SUMIFS('февраль 2024'!$G$6:$G$1413,'февраль 2024'!$D$6:$D$1413,$B154,'февраль 2024'!$J$6:$J$1413,O$1)</f>
        <v>0</v>
      </c>
      <c r="P154" s="80">
        <f>SUMIFS('февраль 2024'!$G$6:$G$1413,'февраль 2024'!$D$6:$D$1413,$B154,'февраль 2024'!$J$6:$J$1413,P$1)</f>
        <v>0</v>
      </c>
      <c r="Q154" s="80">
        <f>SUMIFS('февраль 2024'!$G$6:$G$1413,'февраль 2024'!$D$6:$D$1413,$B154,'февраль 2024'!$J$6:$J$1413,Q$1)</f>
        <v>0</v>
      </c>
      <c r="R154" s="80">
        <f>SUMIFS('февраль 2024'!$G$6:$G$1413,'февраль 2024'!$D$6:$D$1413,$B154,'февраль 2024'!$J$6:$J$1413,R$1)</f>
        <v>0</v>
      </c>
      <c r="S154" s="80">
        <f>SUMIFS('февраль 2024'!$G$6:$G$1413,'февраль 2024'!$D$6:$D$1413,$B154,'февраль 2024'!$J$6:$J$1413,S$1)</f>
        <v>0</v>
      </c>
      <c r="T154" s="80">
        <f>SUMIFS('февраль 2024'!$G$6:$G$1413,'февраль 2024'!$D$6:$D$1413,$B154,'февраль 2024'!$J$6:$J$1413,T$1)</f>
        <v>0</v>
      </c>
      <c r="U154" s="80">
        <f>SUMIFS('февраль 2024'!$G$6:$G$1413,'февраль 2024'!$D$6:$D$1413,$B154,'февраль 2024'!$J$6:$J$1413,U$1)</f>
        <v>0</v>
      </c>
      <c r="V154" s="80">
        <f>SUMIFS('февраль 2024'!$G$6:$G$1413,'февраль 2024'!$D$6:$D$1413,$B154,'февраль 2024'!$J$6:$J$1413,V$1)</f>
        <v>0</v>
      </c>
      <c r="W154" s="80">
        <f>SUMIFS('февраль 2024'!$G$6:$G$1413,'февраль 2024'!$D$6:$D$1413,$B154,'февраль 2024'!$J$6:$J$1413,W$1)</f>
        <v>0</v>
      </c>
      <c r="X154" s="80">
        <f>SUMIFS('февраль 2024'!$G$6:$G$1413,'февраль 2024'!$D$6:$D$1413,$B154,'февраль 2024'!$J$6:$J$1413,X$1)</f>
        <v>0</v>
      </c>
      <c r="Y154" s="80">
        <f>SUMIFS('февраль 2024'!$G$6:$G$1413,'февраль 2024'!$D$6:$D$1413,$B154,'февраль 2024'!$J$6:$J$1413,Y$1)</f>
        <v>0</v>
      </c>
      <c r="Z154" s="80">
        <f>SUMIFS('февраль 2024'!$G$6:$G$1413,'февраль 2024'!$D$6:$D$1413,$B154,'февраль 2024'!$J$6:$J$1413,Z$1)</f>
        <v>0</v>
      </c>
      <c r="AA154" s="80">
        <f>SUMIFS('февраль 2024'!$G$6:$G$1413,'февраль 2024'!$D$6:$D$1413,$B154,'февраль 2024'!$J$6:$J$1413,AA$1)</f>
        <v>0</v>
      </c>
      <c r="AB154" s="80">
        <f>SUMIFS('февраль 2024'!$G$6:$G$1413,'февраль 2024'!$D$6:$D$1413,$B154,'февраль 2024'!$J$6:$J$1413,AB$1)</f>
        <v>0</v>
      </c>
      <c r="AC154" s="80">
        <f>SUMIFS('февраль 2024'!$G$6:$G$1413,'февраль 2024'!$D$6:$D$1413,$B154,'февраль 2024'!$J$6:$J$1413,AC$1)</f>
        <v>0</v>
      </c>
      <c r="AD154" s="80">
        <f>SUMIFS('февраль 2024'!$G$6:$G$1413,'февраль 2024'!$D$6:$D$1413,$B154,'февраль 2024'!$J$6:$J$1413,AD$1)</f>
        <v>0</v>
      </c>
      <c r="AE154" s="80">
        <f>SUMIFS('февраль 2024'!$G$6:$G$1413,'февраль 2024'!$D$6:$D$1413,$B154,'февраль 2024'!$J$6:$J$1413,AE$1)</f>
        <v>0</v>
      </c>
      <c r="AF154" s="80">
        <f>SUMIFS('февраль 2024'!$G$6:$G$1413,'февраль 2024'!$D$6:$D$1413,$B154,'февраль 2024'!$J$6:$J$1413,AF$1)</f>
        <v>0</v>
      </c>
      <c r="AG154" s="80">
        <f>SUMIFS('февраль 2024'!$G$6:$G$1413,'февраль 2024'!$D$6:$D$1413,$B154,'февраль 2024'!$J$6:$J$1413,AG$1)</f>
        <v>0</v>
      </c>
      <c r="AH154" s="80">
        <f>SUMIFS('февраль 2024'!$G$6:$G$1413,'февраль 2024'!$D$6:$D$1413,$B154,'февраль 2024'!$J$6:$J$1413,AH$1)</f>
        <v>0</v>
      </c>
      <c r="AI154" s="87"/>
    </row>
    <row r="155" spans="2:35" ht="15" hidden="1" customHeight="1" x14ac:dyDescent="0.25">
      <c r="B155" s="93"/>
      <c r="C155" s="91"/>
      <c r="D155" s="80">
        <f>SUMIFS('февраль 2024'!$G$6:$G$1413,'февраль 2024'!$D$6:$D$1413,$B155,'февраль 2024'!$J$6:$J$1413,D$1)</f>
        <v>0</v>
      </c>
      <c r="E155" s="80">
        <f>SUMIFS('февраль 2024'!$G$6:$G$1413,'февраль 2024'!$D$6:$D$1413,$B155,'февраль 2024'!$J$6:$J$1413,E$1)</f>
        <v>0</v>
      </c>
      <c r="F155" s="80">
        <f>SUMIFS('февраль 2024'!$G$6:$G$1413,'февраль 2024'!$D$6:$D$1413,$B155,'февраль 2024'!$J$6:$J$1413,F$1)</f>
        <v>0</v>
      </c>
      <c r="G155" s="80">
        <f>SUMIFS('февраль 2024'!$G$6:$G$1413,'февраль 2024'!$D$6:$D$1413,$B155,'февраль 2024'!$J$6:$J$1413,G$1)</f>
        <v>0</v>
      </c>
      <c r="H155" s="80">
        <f>SUMIFS('февраль 2024'!$G$6:$G$1413,'февраль 2024'!$D$6:$D$1413,$B155,'февраль 2024'!$J$6:$J$1413,H$1)</f>
        <v>0</v>
      </c>
      <c r="I155" s="80">
        <f>SUMIFS('февраль 2024'!$G$6:$G$1413,'февраль 2024'!$D$6:$D$1413,$B155,'февраль 2024'!$J$6:$J$1413,I$1)</f>
        <v>0</v>
      </c>
      <c r="J155" s="80">
        <f>SUMIFS('февраль 2024'!$G$6:$G$1413,'февраль 2024'!$D$6:$D$1413,$B155,'февраль 2024'!$J$6:$J$1413,J$1)</f>
        <v>0</v>
      </c>
      <c r="K155" s="80">
        <f>SUMIFS('февраль 2024'!$G$6:$G$1413,'февраль 2024'!$D$6:$D$1413,$B155,'февраль 2024'!$J$6:$J$1413,K$1)</f>
        <v>0</v>
      </c>
      <c r="L155" s="80">
        <f>SUMIFS('февраль 2024'!$G$6:$G$1413,'февраль 2024'!$D$6:$D$1413,$B155,'февраль 2024'!$J$6:$J$1413,L$1)</f>
        <v>0</v>
      </c>
      <c r="M155" s="80">
        <f>SUMIFS('февраль 2024'!$G$6:$G$1413,'февраль 2024'!$D$6:$D$1413,$B155,'февраль 2024'!$J$6:$J$1413,M$1)</f>
        <v>0</v>
      </c>
      <c r="N155" s="80">
        <f>SUMIFS('февраль 2024'!$G$6:$G$1413,'февраль 2024'!$D$6:$D$1413,$B155,'февраль 2024'!$J$6:$J$1413,N$1)</f>
        <v>0</v>
      </c>
      <c r="O155" s="80">
        <f>SUMIFS('февраль 2024'!$G$6:$G$1413,'февраль 2024'!$D$6:$D$1413,$B155,'февраль 2024'!$J$6:$J$1413,O$1)</f>
        <v>0</v>
      </c>
      <c r="P155" s="80">
        <f>SUMIFS('февраль 2024'!$G$6:$G$1413,'февраль 2024'!$D$6:$D$1413,$B155,'февраль 2024'!$J$6:$J$1413,P$1)</f>
        <v>0</v>
      </c>
      <c r="Q155" s="80">
        <f>SUMIFS('февраль 2024'!$G$6:$G$1413,'февраль 2024'!$D$6:$D$1413,$B155,'февраль 2024'!$J$6:$J$1413,Q$1)</f>
        <v>0</v>
      </c>
      <c r="R155" s="80">
        <f>SUMIFS('февраль 2024'!$G$6:$G$1413,'февраль 2024'!$D$6:$D$1413,$B155,'февраль 2024'!$J$6:$J$1413,R$1)</f>
        <v>0</v>
      </c>
      <c r="S155" s="80">
        <f>SUMIFS('февраль 2024'!$G$6:$G$1413,'февраль 2024'!$D$6:$D$1413,$B155,'февраль 2024'!$J$6:$J$1413,S$1)</f>
        <v>0</v>
      </c>
      <c r="T155" s="80">
        <f>SUMIFS('февраль 2024'!$G$6:$G$1413,'февраль 2024'!$D$6:$D$1413,$B155,'февраль 2024'!$J$6:$J$1413,T$1)</f>
        <v>0</v>
      </c>
      <c r="U155" s="80">
        <f>SUMIFS('февраль 2024'!$G$6:$G$1413,'февраль 2024'!$D$6:$D$1413,$B155,'февраль 2024'!$J$6:$J$1413,U$1)</f>
        <v>0</v>
      </c>
      <c r="V155" s="80">
        <f>SUMIFS('февраль 2024'!$G$6:$G$1413,'февраль 2024'!$D$6:$D$1413,$B155,'февраль 2024'!$J$6:$J$1413,V$1)</f>
        <v>0</v>
      </c>
      <c r="W155" s="80">
        <f>SUMIFS('февраль 2024'!$G$6:$G$1413,'февраль 2024'!$D$6:$D$1413,$B155,'февраль 2024'!$J$6:$J$1413,W$1)</f>
        <v>0</v>
      </c>
      <c r="X155" s="80">
        <f>SUMIFS('февраль 2024'!$G$6:$G$1413,'февраль 2024'!$D$6:$D$1413,$B155,'февраль 2024'!$J$6:$J$1413,X$1)</f>
        <v>0</v>
      </c>
      <c r="Y155" s="80">
        <f>SUMIFS('февраль 2024'!$G$6:$G$1413,'февраль 2024'!$D$6:$D$1413,$B155,'февраль 2024'!$J$6:$J$1413,Y$1)</f>
        <v>0</v>
      </c>
      <c r="Z155" s="80">
        <f>SUMIFS('февраль 2024'!$G$6:$G$1413,'февраль 2024'!$D$6:$D$1413,$B155,'февраль 2024'!$J$6:$J$1413,Z$1)</f>
        <v>0</v>
      </c>
      <c r="AA155" s="80">
        <f>SUMIFS('февраль 2024'!$G$6:$G$1413,'февраль 2024'!$D$6:$D$1413,$B155,'февраль 2024'!$J$6:$J$1413,AA$1)</f>
        <v>0</v>
      </c>
      <c r="AB155" s="80">
        <f>SUMIFS('февраль 2024'!$G$6:$G$1413,'февраль 2024'!$D$6:$D$1413,$B155,'февраль 2024'!$J$6:$J$1413,AB$1)</f>
        <v>0</v>
      </c>
      <c r="AC155" s="80">
        <f>SUMIFS('февраль 2024'!$G$6:$G$1413,'февраль 2024'!$D$6:$D$1413,$B155,'февраль 2024'!$J$6:$J$1413,AC$1)</f>
        <v>0</v>
      </c>
      <c r="AD155" s="80">
        <f>SUMIFS('февраль 2024'!$G$6:$G$1413,'февраль 2024'!$D$6:$D$1413,$B155,'февраль 2024'!$J$6:$J$1413,AD$1)</f>
        <v>0</v>
      </c>
      <c r="AE155" s="80">
        <f>SUMIFS('февраль 2024'!$G$6:$G$1413,'февраль 2024'!$D$6:$D$1413,$B155,'февраль 2024'!$J$6:$J$1413,AE$1)</f>
        <v>0</v>
      </c>
      <c r="AF155" s="80">
        <f>SUMIFS('февраль 2024'!$G$6:$G$1413,'февраль 2024'!$D$6:$D$1413,$B155,'февраль 2024'!$J$6:$J$1413,AF$1)</f>
        <v>0</v>
      </c>
      <c r="AG155" s="80">
        <f>SUMIFS('февраль 2024'!$G$6:$G$1413,'февраль 2024'!$D$6:$D$1413,$B155,'февраль 2024'!$J$6:$J$1413,AG$1)</f>
        <v>0</v>
      </c>
      <c r="AH155" s="80">
        <f>SUMIFS('февраль 2024'!$G$6:$G$1413,'февраль 2024'!$D$6:$D$1413,$B155,'февраль 2024'!$J$6:$J$1413,AH$1)</f>
        <v>0</v>
      </c>
      <c r="AI155" s="87"/>
    </row>
    <row r="156" spans="2:35" ht="15" hidden="1" customHeight="1" x14ac:dyDescent="0.25">
      <c r="B156" s="89"/>
      <c r="C156" s="88"/>
      <c r="D156" s="80">
        <f>SUMIFS('февраль 2024'!$G$6:$G$1413,'февраль 2024'!$D$6:$D$1413,$B156,'февраль 2024'!$J$6:$J$1413,D$1)</f>
        <v>0</v>
      </c>
      <c r="E156" s="80">
        <f>SUMIFS('февраль 2024'!$G$6:$G$1413,'февраль 2024'!$D$6:$D$1413,$B156,'февраль 2024'!$J$6:$J$1413,E$1)</f>
        <v>0</v>
      </c>
      <c r="F156" s="80">
        <f>SUMIFS('февраль 2024'!$G$6:$G$1413,'февраль 2024'!$D$6:$D$1413,$B156,'февраль 2024'!$J$6:$J$1413,F$1)</f>
        <v>0</v>
      </c>
      <c r="G156" s="80">
        <f>SUMIFS('февраль 2024'!$G$6:$G$1413,'февраль 2024'!$D$6:$D$1413,$B156,'февраль 2024'!$J$6:$J$1413,G$1)</f>
        <v>0</v>
      </c>
      <c r="H156" s="80">
        <f>SUMIFS('февраль 2024'!$G$6:$G$1413,'февраль 2024'!$D$6:$D$1413,$B156,'февраль 2024'!$J$6:$J$1413,H$1)</f>
        <v>0</v>
      </c>
      <c r="I156" s="80">
        <f>SUMIFS('февраль 2024'!$G$6:$G$1413,'февраль 2024'!$D$6:$D$1413,$B156,'февраль 2024'!$J$6:$J$1413,I$1)</f>
        <v>0</v>
      </c>
      <c r="J156" s="80">
        <f>SUMIFS('февраль 2024'!$G$6:$G$1413,'февраль 2024'!$D$6:$D$1413,$B156,'февраль 2024'!$J$6:$J$1413,J$1)</f>
        <v>0</v>
      </c>
      <c r="K156" s="80">
        <f>SUMIFS('февраль 2024'!$G$6:$G$1413,'февраль 2024'!$D$6:$D$1413,$B156,'февраль 2024'!$J$6:$J$1413,K$1)</f>
        <v>0</v>
      </c>
      <c r="L156" s="80">
        <f>SUMIFS('февраль 2024'!$G$6:$G$1413,'февраль 2024'!$D$6:$D$1413,$B156,'февраль 2024'!$J$6:$J$1413,L$1)</f>
        <v>0</v>
      </c>
      <c r="M156" s="80">
        <f>SUMIFS('февраль 2024'!$G$6:$G$1413,'февраль 2024'!$D$6:$D$1413,$B156,'февраль 2024'!$J$6:$J$1413,M$1)</f>
        <v>0</v>
      </c>
      <c r="N156" s="80">
        <f>SUMIFS('февраль 2024'!$G$6:$G$1413,'февраль 2024'!$D$6:$D$1413,$B156,'февраль 2024'!$J$6:$J$1413,N$1)</f>
        <v>0</v>
      </c>
      <c r="O156" s="80">
        <f>SUMIFS('февраль 2024'!$G$6:$G$1413,'февраль 2024'!$D$6:$D$1413,$B156,'февраль 2024'!$J$6:$J$1413,O$1)</f>
        <v>0</v>
      </c>
      <c r="P156" s="80">
        <f>SUMIFS('февраль 2024'!$G$6:$G$1413,'февраль 2024'!$D$6:$D$1413,$B156,'февраль 2024'!$J$6:$J$1413,P$1)</f>
        <v>0</v>
      </c>
      <c r="Q156" s="80">
        <f>SUMIFS('февраль 2024'!$G$6:$G$1413,'февраль 2024'!$D$6:$D$1413,$B156,'февраль 2024'!$J$6:$J$1413,Q$1)</f>
        <v>0</v>
      </c>
      <c r="R156" s="80">
        <f>SUMIFS('февраль 2024'!$G$6:$G$1413,'февраль 2024'!$D$6:$D$1413,$B156,'февраль 2024'!$J$6:$J$1413,R$1)</f>
        <v>0</v>
      </c>
      <c r="S156" s="80">
        <f>SUMIFS('февраль 2024'!$G$6:$G$1413,'февраль 2024'!$D$6:$D$1413,$B156,'февраль 2024'!$J$6:$J$1413,S$1)</f>
        <v>0</v>
      </c>
      <c r="T156" s="80">
        <f>SUMIFS('февраль 2024'!$G$6:$G$1413,'февраль 2024'!$D$6:$D$1413,$B156,'февраль 2024'!$J$6:$J$1413,T$1)</f>
        <v>0</v>
      </c>
      <c r="U156" s="80">
        <f>SUMIFS('февраль 2024'!$G$6:$G$1413,'февраль 2024'!$D$6:$D$1413,$B156,'февраль 2024'!$J$6:$J$1413,U$1)</f>
        <v>0</v>
      </c>
      <c r="V156" s="80">
        <f>SUMIFS('февраль 2024'!$G$6:$G$1413,'февраль 2024'!$D$6:$D$1413,$B156,'февраль 2024'!$J$6:$J$1413,V$1)</f>
        <v>0</v>
      </c>
      <c r="W156" s="80">
        <f>SUMIFS('февраль 2024'!$G$6:$G$1413,'февраль 2024'!$D$6:$D$1413,$B156,'февраль 2024'!$J$6:$J$1413,W$1)</f>
        <v>0</v>
      </c>
      <c r="X156" s="80">
        <f>SUMIFS('февраль 2024'!$G$6:$G$1413,'февраль 2024'!$D$6:$D$1413,$B156,'февраль 2024'!$J$6:$J$1413,X$1)</f>
        <v>0</v>
      </c>
      <c r="Y156" s="80">
        <f>SUMIFS('февраль 2024'!$G$6:$G$1413,'февраль 2024'!$D$6:$D$1413,$B156,'февраль 2024'!$J$6:$J$1413,Y$1)</f>
        <v>0</v>
      </c>
      <c r="Z156" s="80">
        <f>SUMIFS('февраль 2024'!$G$6:$G$1413,'февраль 2024'!$D$6:$D$1413,$B156,'февраль 2024'!$J$6:$J$1413,Z$1)</f>
        <v>0</v>
      </c>
      <c r="AA156" s="80">
        <f>SUMIFS('февраль 2024'!$G$6:$G$1413,'февраль 2024'!$D$6:$D$1413,$B156,'февраль 2024'!$J$6:$J$1413,AA$1)</f>
        <v>0</v>
      </c>
      <c r="AB156" s="80">
        <f>SUMIFS('февраль 2024'!$G$6:$G$1413,'февраль 2024'!$D$6:$D$1413,$B156,'февраль 2024'!$J$6:$J$1413,AB$1)</f>
        <v>0</v>
      </c>
      <c r="AC156" s="80">
        <f>SUMIFS('февраль 2024'!$G$6:$G$1413,'февраль 2024'!$D$6:$D$1413,$B156,'февраль 2024'!$J$6:$J$1413,AC$1)</f>
        <v>0</v>
      </c>
      <c r="AD156" s="80">
        <f>SUMIFS('февраль 2024'!$G$6:$G$1413,'февраль 2024'!$D$6:$D$1413,$B156,'февраль 2024'!$J$6:$J$1413,AD$1)</f>
        <v>0</v>
      </c>
      <c r="AE156" s="80">
        <f>SUMIFS('февраль 2024'!$G$6:$G$1413,'февраль 2024'!$D$6:$D$1413,$B156,'февраль 2024'!$J$6:$J$1413,AE$1)</f>
        <v>0</v>
      </c>
      <c r="AF156" s="80">
        <f>SUMIFS('февраль 2024'!$G$6:$G$1413,'февраль 2024'!$D$6:$D$1413,$B156,'февраль 2024'!$J$6:$J$1413,AF$1)</f>
        <v>0</v>
      </c>
      <c r="AG156" s="80">
        <f>SUMIFS('февраль 2024'!$G$6:$G$1413,'февраль 2024'!$D$6:$D$1413,$B156,'февраль 2024'!$J$6:$J$1413,AG$1)</f>
        <v>0</v>
      </c>
      <c r="AH156" s="80">
        <f>SUMIFS('февраль 2024'!$G$6:$G$1413,'февраль 2024'!$D$6:$D$1413,$B156,'февраль 2024'!$J$6:$J$1413,AH$1)</f>
        <v>0</v>
      </c>
      <c r="AI156" s="87"/>
    </row>
    <row r="157" spans="2:35" ht="15" hidden="1" customHeight="1" x14ac:dyDescent="0.25">
      <c r="B157" s="89"/>
      <c r="C157" s="88"/>
      <c r="D157" s="80">
        <f>SUMIFS('февраль 2024'!$G$6:$G$1413,'февраль 2024'!$D$6:$D$1413,$B157,'февраль 2024'!$J$6:$J$1413,D$1)</f>
        <v>0</v>
      </c>
      <c r="E157" s="80">
        <f>SUMIFS('февраль 2024'!$G$6:$G$1413,'февраль 2024'!$D$6:$D$1413,$B157,'февраль 2024'!$J$6:$J$1413,E$1)</f>
        <v>0</v>
      </c>
      <c r="F157" s="80">
        <f>SUMIFS('февраль 2024'!$G$6:$G$1413,'февраль 2024'!$D$6:$D$1413,$B157,'февраль 2024'!$J$6:$J$1413,F$1)</f>
        <v>0</v>
      </c>
      <c r="G157" s="80">
        <f>SUMIFS('февраль 2024'!$G$6:$G$1413,'февраль 2024'!$D$6:$D$1413,$B157,'февраль 2024'!$J$6:$J$1413,G$1)</f>
        <v>0</v>
      </c>
      <c r="H157" s="80">
        <f>SUMIFS('февраль 2024'!$G$6:$G$1413,'февраль 2024'!$D$6:$D$1413,$B157,'февраль 2024'!$J$6:$J$1413,H$1)</f>
        <v>0</v>
      </c>
      <c r="I157" s="80">
        <f>SUMIFS('февраль 2024'!$G$6:$G$1413,'февраль 2024'!$D$6:$D$1413,$B157,'февраль 2024'!$J$6:$J$1413,I$1)</f>
        <v>0</v>
      </c>
      <c r="J157" s="80">
        <f>SUMIFS('февраль 2024'!$G$6:$G$1413,'февраль 2024'!$D$6:$D$1413,$B157,'февраль 2024'!$J$6:$J$1413,J$1)</f>
        <v>0</v>
      </c>
      <c r="K157" s="80">
        <f>SUMIFS('февраль 2024'!$G$6:$G$1413,'февраль 2024'!$D$6:$D$1413,$B157,'февраль 2024'!$J$6:$J$1413,K$1)</f>
        <v>0</v>
      </c>
      <c r="L157" s="80">
        <f>SUMIFS('февраль 2024'!$G$6:$G$1413,'февраль 2024'!$D$6:$D$1413,$B157,'февраль 2024'!$J$6:$J$1413,L$1)</f>
        <v>0</v>
      </c>
      <c r="M157" s="80">
        <f>SUMIFS('февраль 2024'!$G$6:$G$1413,'февраль 2024'!$D$6:$D$1413,$B157,'февраль 2024'!$J$6:$J$1413,M$1)</f>
        <v>0</v>
      </c>
      <c r="N157" s="80">
        <f>SUMIFS('февраль 2024'!$G$6:$G$1413,'февраль 2024'!$D$6:$D$1413,$B157,'февраль 2024'!$J$6:$J$1413,N$1)</f>
        <v>0</v>
      </c>
      <c r="O157" s="80">
        <f>SUMIFS('февраль 2024'!$G$6:$G$1413,'февраль 2024'!$D$6:$D$1413,$B157,'февраль 2024'!$J$6:$J$1413,O$1)</f>
        <v>0</v>
      </c>
      <c r="P157" s="80">
        <f>SUMIFS('февраль 2024'!$G$6:$G$1413,'февраль 2024'!$D$6:$D$1413,$B157,'февраль 2024'!$J$6:$J$1413,P$1)</f>
        <v>0</v>
      </c>
      <c r="Q157" s="80">
        <f>SUMIFS('февраль 2024'!$G$6:$G$1413,'февраль 2024'!$D$6:$D$1413,$B157,'февраль 2024'!$J$6:$J$1413,Q$1)</f>
        <v>0</v>
      </c>
      <c r="R157" s="80">
        <f>SUMIFS('февраль 2024'!$G$6:$G$1413,'февраль 2024'!$D$6:$D$1413,$B157,'февраль 2024'!$J$6:$J$1413,R$1)</f>
        <v>0</v>
      </c>
      <c r="S157" s="80">
        <f>SUMIFS('февраль 2024'!$G$6:$G$1413,'февраль 2024'!$D$6:$D$1413,$B157,'февраль 2024'!$J$6:$J$1413,S$1)</f>
        <v>0</v>
      </c>
      <c r="T157" s="80">
        <f>SUMIFS('февраль 2024'!$G$6:$G$1413,'февраль 2024'!$D$6:$D$1413,$B157,'февраль 2024'!$J$6:$J$1413,T$1)</f>
        <v>0</v>
      </c>
      <c r="U157" s="80">
        <f>SUMIFS('февраль 2024'!$G$6:$G$1413,'февраль 2024'!$D$6:$D$1413,$B157,'февраль 2024'!$J$6:$J$1413,U$1)</f>
        <v>0</v>
      </c>
      <c r="V157" s="80">
        <f>SUMIFS('февраль 2024'!$G$6:$G$1413,'февраль 2024'!$D$6:$D$1413,$B157,'февраль 2024'!$J$6:$J$1413,V$1)</f>
        <v>0</v>
      </c>
      <c r="W157" s="80">
        <f>SUMIFS('февраль 2024'!$G$6:$G$1413,'февраль 2024'!$D$6:$D$1413,$B157,'февраль 2024'!$J$6:$J$1413,W$1)</f>
        <v>0</v>
      </c>
      <c r="X157" s="80">
        <f>SUMIFS('февраль 2024'!$G$6:$G$1413,'февраль 2024'!$D$6:$D$1413,$B157,'февраль 2024'!$J$6:$J$1413,X$1)</f>
        <v>0</v>
      </c>
      <c r="Y157" s="80">
        <f>SUMIFS('февраль 2024'!$G$6:$G$1413,'февраль 2024'!$D$6:$D$1413,$B157,'февраль 2024'!$J$6:$J$1413,Y$1)</f>
        <v>0</v>
      </c>
      <c r="Z157" s="80">
        <f>SUMIFS('февраль 2024'!$G$6:$G$1413,'февраль 2024'!$D$6:$D$1413,$B157,'февраль 2024'!$J$6:$J$1413,Z$1)</f>
        <v>0</v>
      </c>
      <c r="AA157" s="80">
        <f>SUMIFS('февраль 2024'!$G$6:$G$1413,'февраль 2024'!$D$6:$D$1413,$B157,'февраль 2024'!$J$6:$J$1413,AA$1)</f>
        <v>0</v>
      </c>
      <c r="AB157" s="80">
        <f>SUMIFS('февраль 2024'!$G$6:$G$1413,'февраль 2024'!$D$6:$D$1413,$B157,'февраль 2024'!$J$6:$J$1413,AB$1)</f>
        <v>0</v>
      </c>
      <c r="AC157" s="80">
        <f>SUMIFS('февраль 2024'!$G$6:$G$1413,'февраль 2024'!$D$6:$D$1413,$B157,'февраль 2024'!$J$6:$J$1413,AC$1)</f>
        <v>0</v>
      </c>
      <c r="AD157" s="80">
        <f>SUMIFS('февраль 2024'!$G$6:$G$1413,'февраль 2024'!$D$6:$D$1413,$B157,'февраль 2024'!$J$6:$J$1413,AD$1)</f>
        <v>0</v>
      </c>
      <c r="AE157" s="80">
        <f>SUMIFS('февраль 2024'!$G$6:$G$1413,'февраль 2024'!$D$6:$D$1413,$B157,'февраль 2024'!$J$6:$J$1413,AE$1)</f>
        <v>0</v>
      </c>
      <c r="AF157" s="80">
        <f>SUMIFS('февраль 2024'!$G$6:$G$1413,'февраль 2024'!$D$6:$D$1413,$B157,'февраль 2024'!$J$6:$J$1413,AF$1)</f>
        <v>0</v>
      </c>
      <c r="AG157" s="80">
        <f>SUMIFS('февраль 2024'!$G$6:$G$1413,'февраль 2024'!$D$6:$D$1413,$B157,'февраль 2024'!$J$6:$J$1413,AG$1)</f>
        <v>0</v>
      </c>
      <c r="AH157" s="80">
        <f>SUMIFS('февраль 2024'!$G$6:$G$1413,'февраль 2024'!$D$6:$D$1413,$B157,'февраль 2024'!$J$6:$J$1413,AH$1)</f>
        <v>0</v>
      </c>
      <c r="AI157" s="87"/>
    </row>
    <row r="158" spans="2:35" ht="15" hidden="1" customHeight="1" x14ac:dyDescent="0.25">
      <c r="B158" s="89"/>
      <c r="C158" s="88"/>
      <c r="D158" s="80">
        <f>SUMIFS('февраль 2024'!$G$6:$G$1413,'февраль 2024'!$D$6:$D$1413,$B158,'февраль 2024'!$J$6:$J$1413,D$1)</f>
        <v>0</v>
      </c>
      <c r="E158" s="80">
        <f>SUMIFS('февраль 2024'!$G$6:$G$1413,'февраль 2024'!$D$6:$D$1413,$B158,'февраль 2024'!$J$6:$J$1413,E$1)</f>
        <v>0</v>
      </c>
      <c r="F158" s="80">
        <f>SUMIFS('февраль 2024'!$G$6:$G$1413,'февраль 2024'!$D$6:$D$1413,$B158,'февраль 2024'!$J$6:$J$1413,F$1)</f>
        <v>0</v>
      </c>
      <c r="G158" s="80">
        <f>SUMIFS('февраль 2024'!$G$6:$G$1413,'февраль 2024'!$D$6:$D$1413,$B158,'февраль 2024'!$J$6:$J$1413,G$1)</f>
        <v>0</v>
      </c>
      <c r="H158" s="80">
        <f>SUMIFS('февраль 2024'!$G$6:$G$1413,'февраль 2024'!$D$6:$D$1413,$B158,'февраль 2024'!$J$6:$J$1413,H$1)</f>
        <v>0</v>
      </c>
      <c r="I158" s="80">
        <f>SUMIFS('февраль 2024'!$G$6:$G$1413,'февраль 2024'!$D$6:$D$1413,$B158,'февраль 2024'!$J$6:$J$1413,I$1)</f>
        <v>0</v>
      </c>
      <c r="J158" s="80">
        <f>SUMIFS('февраль 2024'!$G$6:$G$1413,'февраль 2024'!$D$6:$D$1413,$B158,'февраль 2024'!$J$6:$J$1413,J$1)</f>
        <v>0</v>
      </c>
      <c r="K158" s="80">
        <f>SUMIFS('февраль 2024'!$G$6:$G$1413,'февраль 2024'!$D$6:$D$1413,$B158,'февраль 2024'!$J$6:$J$1413,K$1)</f>
        <v>0</v>
      </c>
      <c r="L158" s="80">
        <f>SUMIFS('февраль 2024'!$G$6:$G$1413,'февраль 2024'!$D$6:$D$1413,$B158,'февраль 2024'!$J$6:$J$1413,L$1)</f>
        <v>0</v>
      </c>
      <c r="M158" s="80">
        <f>SUMIFS('февраль 2024'!$G$6:$G$1413,'февраль 2024'!$D$6:$D$1413,$B158,'февраль 2024'!$J$6:$J$1413,M$1)</f>
        <v>0</v>
      </c>
      <c r="N158" s="80">
        <f>SUMIFS('февраль 2024'!$G$6:$G$1413,'февраль 2024'!$D$6:$D$1413,$B158,'февраль 2024'!$J$6:$J$1413,N$1)</f>
        <v>0</v>
      </c>
      <c r="O158" s="80">
        <f>SUMIFS('февраль 2024'!$G$6:$G$1413,'февраль 2024'!$D$6:$D$1413,$B158,'февраль 2024'!$J$6:$J$1413,O$1)</f>
        <v>0</v>
      </c>
      <c r="P158" s="80">
        <f>SUMIFS('февраль 2024'!$G$6:$G$1413,'февраль 2024'!$D$6:$D$1413,$B158,'февраль 2024'!$J$6:$J$1413,P$1)</f>
        <v>0</v>
      </c>
      <c r="Q158" s="80">
        <f>SUMIFS('февраль 2024'!$G$6:$G$1413,'февраль 2024'!$D$6:$D$1413,$B158,'февраль 2024'!$J$6:$J$1413,Q$1)</f>
        <v>0</v>
      </c>
      <c r="R158" s="80">
        <f>SUMIFS('февраль 2024'!$G$6:$G$1413,'февраль 2024'!$D$6:$D$1413,$B158,'февраль 2024'!$J$6:$J$1413,R$1)</f>
        <v>0</v>
      </c>
      <c r="S158" s="80">
        <f>SUMIFS('февраль 2024'!$G$6:$G$1413,'февраль 2024'!$D$6:$D$1413,$B158,'февраль 2024'!$J$6:$J$1413,S$1)</f>
        <v>0</v>
      </c>
      <c r="T158" s="80">
        <f>SUMIFS('февраль 2024'!$G$6:$G$1413,'февраль 2024'!$D$6:$D$1413,$B158,'февраль 2024'!$J$6:$J$1413,T$1)</f>
        <v>0</v>
      </c>
      <c r="U158" s="80">
        <f>SUMIFS('февраль 2024'!$G$6:$G$1413,'февраль 2024'!$D$6:$D$1413,$B158,'февраль 2024'!$J$6:$J$1413,U$1)</f>
        <v>0</v>
      </c>
      <c r="V158" s="80">
        <f>SUMIFS('февраль 2024'!$G$6:$G$1413,'февраль 2024'!$D$6:$D$1413,$B158,'февраль 2024'!$J$6:$J$1413,V$1)</f>
        <v>0</v>
      </c>
      <c r="W158" s="80">
        <f>SUMIFS('февраль 2024'!$G$6:$G$1413,'февраль 2024'!$D$6:$D$1413,$B158,'февраль 2024'!$J$6:$J$1413,W$1)</f>
        <v>0</v>
      </c>
      <c r="X158" s="80">
        <f>SUMIFS('февраль 2024'!$G$6:$G$1413,'февраль 2024'!$D$6:$D$1413,$B158,'февраль 2024'!$J$6:$J$1413,X$1)</f>
        <v>0</v>
      </c>
      <c r="Y158" s="80">
        <f>SUMIFS('февраль 2024'!$G$6:$G$1413,'февраль 2024'!$D$6:$D$1413,$B158,'февраль 2024'!$J$6:$J$1413,Y$1)</f>
        <v>0</v>
      </c>
      <c r="Z158" s="80">
        <f>SUMIFS('февраль 2024'!$G$6:$G$1413,'февраль 2024'!$D$6:$D$1413,$B158,'февраль 2024'!$J$6:$J$1413,Z$1)</f>
        <v>0</v>
      </c>
      <c r="AA158" s="80">
        <f>SUMIFS('февраль 2024'!$G$6:$G$1413,'февраль 2024'!$D$6:$D$1413,$B158,'февраль 2024'!$J$6:$J$1413,AA$1)</f>
        <v>0</v>
      </c>
      <c r="AB158" s="80">
        <f>SUMIFS('февраль 2024'!$G$6:$G$1413,'февраль 2024'!$D$6:$D$1413,$B158,'февраль 2024'!$J$6:$J$1413,AB$1)</f>
        <v>0</v>
      </c>
      <c r="AC158" s="80">
        <f>SUMIFS('февраль 2024'!$G$6:$G$1413,'февраль 2024'!$D$6:$D$1413,$B158,'февраль 2024'!$J$6:$J$1413,AC$1)</f>
        <v>0</v>
      </c>
      <c r="AD158" s="80">
        <f>SUMIFS('февраль 2024'!$G$6:$G$1413,'февраль 2024'!$D$6:$D$1413,$B158,'февраль 2024'!$J$6:$J$1413,AD$1)</f>
        <v>0</v>
      </c>
      <c r="AE158" s="80">
        <f>SUMIFS('февраль 2024'!$G$6:$G$1413,'февраль 2024'!$D$6:$D$1413,$B158,'февраль 2024'!$J$6:$J$1413,AE$1)</f>
        <v>0</v>
      </c>
      <c r="AF158" s="80">
        <f>SUMIFS('февраль 2024'!$G$6:$G$1413,'февраль 2024'!$D$6:$D$1413,$B158,'февраль 2024'!$J$6:$J$1413,AF$1)</f>
        <v>0</v>
      </c>
      <c r="AG158" s="80">
        <f>SUMIFS('февраль 2024'!$G$6:$G$1413,'февраль 2024'!$D$6:$D$1413,$B158,'февраль 2024'!$J$6:$J$1413,AG$1)</f>
        <v>0</v>
      </c>
      <c r="AH158" s="80">
        <f>SUMIFS('февраль 2024'!$G$6:$G$1413,'февраль 2024'!$D$6:$D$1413,$B158,'февраль 2024'!$J$6:$J$1413,AH$1)</f>
        <v>0</v>
      </c>
      <c r="AI158" s="87"/>
    </row>
    <row r="159" spans="2:35" ht="15" hidden="1" customHeight="1" x14ac:dyDescent="0.25">
      <c r="B159" s="94"/>
      <c r="C159" s="95"/>
      <c r="D159" s="80">
        <f>SUMIFS('февраль 2024'!$G$6:$G$1413,'февраль 2024'!$D$6:$D$1413,$B159,'февраль 2024'!$J$6:$J$1413,D$1)</f>
        <v>0</v>
      </c>
      <c r="E159" s="80">
        <f>SUMIFS('февраль 2024'!$G$6:$G$1413,'февраль 2024'!$D$6:$D$1413,$B159,'февраль 2024'!$J$6:$J$1413,E$1)</f>
        <v>0</v>
      </c>
      <c r="F159" s="80">
        <f>SUMIFS('февраль 2024'!$G$6:$G$1413,'февраль 2024'!$D$6:$D$1413,$B159,'февраль 2024'!$J$6:$J$1413,F$1)</f>
        <v>0</v>
      </c>
      <c r="G159" s="80">
        <f>SUMIFS('февраль 2024'!$G$6:$G$1413,'февраль 2024'!$D$6:$D$1413,$B159,'февраль 2024'!$J$6:$J$1413,G$1)</f>
        <v>0</v>
      </c>
      <c r="H159" s="80">
        <f>SUMIFS('февраль 2024'!$G$6:$G$1413,'февраль 2024'!$D$6:$D$1413,$B159,'февраль 2024'!$J$6:$J$1413,H$1)</f>
        <v>0</v>
      </c>
      <c r="I159" s="80">
        <f>SUMIFS('февраль 2024'!$G$6:$G$1413,'февраль 2024'!$D$6:$D$1413,$B159,'февраль 2024'!$J$6:$J$1413,I$1)</f>
        <v>0</v>
      </c>
      <c r="J159" s="80">
        <f>SUMIFS('февраль 2024'!$G$6:$G$1413,'февраль 2024'!$D$6:$D$1413,$B159,'февраль 2024'!$J$6:$J$1413,J$1)</f>
        <v>0</v>
      </c>
      <c r="K159" s="80">
        <f>SUMIFS('февраль 2024'!$G$6:$G$1413,'февраль 2024'!$D$6:$D$1413,$B159,'февраль 2024'!$J$6:$J$1413,K$1)</f>
        <v>0</v>
      </c>
      <c r="L159" s="80">
        <f>SUMIFS('февраль 2024'!$G$6:$G$1413,'февраль 2024'!$D$6:$D$1413,$B159,'февраль 2024'!$J$6:$J$1413,L$1)</f>
        <v>0</v>
      </c>
      <c r="M159" s="80">
        <f>SUMIFS('февраль 2024'!$G$6:$G$1413,'февраль 2024'!$D$6:$D$1413,$B159,'февраль 2024'!$J$6:$J$1413,M$1)</f>
        <v>0</v>
      </c>
      <c r="N159" s="80">
        <f>SUMIFS('февраль 2024'!$G$6:$G$1413,'февраль 2024'!$D$6:$D$1413,$B159,'февраль 2024'!$J$6:$J$1413,N$1)</f>
        <v>0</v>
      </c>
      <c r="O159" s="80">
        <f>SUMIFS('февраль 2024'!$G$6:$G$1413,'февраль 2024'!$D$6:$D$1413,$B159,'февраль 2024'!$J$6:$J$1413,O$1)</f>
        <v>0</v>
      </c>
      <c r="P159" s="80">
        <f>SUMIFS('февраль 2024'!$G$6:$G$1413,'февраль 2024'!$D$6:$D$1413,$B159,'февраль 2024'!$J$6:$J$1413,P$1)</f>
        <v>0</v>
      </c>
      <c r="Q159" s="80">
        <f>SUMIFS('февраль 2024'!$G$6:$G$1413,'февраль 2024'!$D$6:$D$1413,$B159,'февраль 2024'!$J$6:$J$1413,Q$1)</f>
        <v>0</v>
      </c>
      <c r="R159" s="80">
        <f>SUMIFS('февраль 2024'!$G$6:$G$1413,'февраль 2024'!$D$6:$D$1413,$B159,'февраль 2024'!$J$6:$J$1413,R$1)</f>
        <v>0</v>
      </c>
      <c r="S159" s="80">
        <f>SUMIFS('февраль 2024'!$G$6:$G$1413,'февраль 2024'!$D$6:$D$1413,$B159,'февраль 2024'!$J$6:$J$1413,S$1)</f>
        <v>0</v>
      </c>
      <c r="T159" s="80">
        <f>SUMIFS('февраль 2024'!$G$6:$G$1413,'февраль 2024'!$D$6:$D$1413,$B159,'февраль 2024'!$J$6:$J$1413,T$1)</f>
        <v>0</v>
      </c>
      <c r="U159" s="80">
        <f>SUMIFS('февраль 2024'!$G$6:$G$1413,'февраль 2024'!$D$6:$D$1413,$B159,'февраль 2024'!$J$6:$J$1413,U$1)</f>
        <v>0</v>
      </c>
      <c r="V159" s="80">
        <f>SUMIFS('февраль 2024'!$G$6:$G$1413,'февраль 2024'!$D$6:$D$1413,$B159,'февраль 2024'!$J$6:$J$1413,V$1)</f>
        <v>0</v>
      </c>
      <c r="W159" s="80">
        <f>SUMIFS('февраль 2024'!$G$6:$G$1413,'февраль 2024'!$D$6:$D$1413,$B159,'февраль 2024'!$J$6:$J$1413,W$1)</f>
        <v>0</v>
      </c>
      <c r="X159" s="80">
        <f>SUMIFS('февраль 2024'!$G$6:$G$1413,'февраль 2024'!$D$6:$D$1413,$B159,'февраль 2024'!$J$6:$J$1413,X$1)</f>
        <v>0</v>
      </c>
      <c r="Y159" s="80">
        <f>SUMIFS('февраль 2024'!$G$6:$G$1413,'февраль 2024'!$D$6:$D$1413,$B159,'февраль 2024'!$J$6:$J$1413,Y$1)</f>
        <v>0</v>
      </c>
      <c r="Z159" s="80">
        <f>SUMIFS('февраль 2024'!$G$6:$G$1413,'февраль 2024'!$D$6:$D$1413,$B159,'февраль 2024'!$J$6:$J$1413,Z$1)</f>
        <v>0</v>
      </c>
      <c r="AA159" s="80">
        <f>SUMIFS('февраль 2024'!$G$6:$G$1413,'февраль 2024'!$D$6:$D$1413,$B159,'февраль 2024'!$J$6:$J$1413,AA$1)</f>
        <v>0</v>
      </c>
      <c r="AB159" s="80">
        <f>SUMIFS('февраль 2024'!$G$6:$G$1413,'февраль 2024'!$D$6:$D$1413,$B159,'февраль 2024'!$J$6:$J$1413,AB$1)</f>
        <v>0</v>
      </c>
      <c r="AC159" s="80">
        <f>SUMIFS('февраль 2024'!$G$6:$G$1413,'февраль 2024'!$D$6:$D$1413,$B159,'февраль 2024'!$J$6:$J$1413,AC$1)</f>
        <v>0</v>
      </c>
      <c r="AD159" s="80">
        <f>SUMIFS('февраль 2024'!$G$6:$G$1413,'февраль 2024'!$D$6:$D$1413,$B159,'февраль 2024'!$J$6:$J$1413,AD$1)</f>
        <v>0</v>
      </c>
      <c r="AE159" s="80">
        <f>SUMIFS('февраль 2024'!$G$6:$G$1413,'февраль 2024'!$D$6:$D$1413,$B159,'февраль 2024'!$J$6:$J$1413,AE$1)</f>
        <v>0</v>
      </c>
      <c r="AF159" s="80">
        <f>SUMIFS('февраль 2024'!$G$6:$G$1413,'февраль 2024'!$D$6:$D$1413,$B159,'февраль 2024'!$J$6:$J$1413,AF$1)</f>
        <v>0</v>
      </c>
      <c r="AG159" s="80">
        <f>SUMIFS('февраль 2024'!$G$6:$G$1413,'февраль 2024'!$D$6:$D$1413,$B159,'февраль 2024'!$J$6:$J$1413,AG$1)</f>
        <v>0</v>
      </c>
      <c r="AH159" s="80">
        <f>SUMIFS('февраль 2024'!$G$6:$G$1413,'февраль 2024'!$D$6:$D$1413,$B159,'февраль 2024'!$J$6:$J$1413,AH$1)</f>
        <v>0</v>
      </c>
      <c r="AI159" s="87"/>
    </row>
    <row r="160" spans="2:35" ht="15" hidden="1" customHeight="1" x14ac:dyDescent="0.25">
      <c r="B160" s="89"/>
      <c r="C160" s="91"/>
      <c r="D160" s="80">
        <f>SUMIFS('февраль 2024'!$G$6:$G$1413,'февраль 2024'!$D$6:$D$1413,$B160,'февраль 2024'!$J$6:$J$1413,D$1)</f>
        <v>0</v>
      </c>
      <c r="E160" s="80">
        <f>SUMIFS('февраль 2024'!$G$6:$G$1413,'февраль 2024'!$D$6:$D$1413,$B160,'февраль 2024'!$J$6:$J$1413,E$1)</f>
        <v>0</v>
      </c>
      <c r="F160" s="80">
        <f>SUMIFS('февраль 2024'!$G$6:$G$1413,'февраль 2024'!$D$6:$D$1413,$B160,'февраль 2024'!$J$6:$J$1413,F$1)</f>
        <v>0</v>
      </c>
      <c r="G160" s="80">
        <f>SUMIFS('февраль 2024'!$G$6:$G$1413,'февраль 2024'!$D$6:$D$1413,$B160,'февраль 2024'!$J$6:$J$1413,G$1)</f>
        <v>0</v>
      </c>
      <c r="H160" s="80">
        <f>SUMIFS('февраль 2024'!$G$6:$G$1413,'февраль 2024'!$D$6:$D$1413,$B160,'февраль 2024'!$J$6:$J$1413,H$1)</f>
        <v>0</v>
      </c>
      <c r="I160" s="80">
        <f>SUMIFS('февраль 2024'!$G$6:$G$1413,'февраль 2024'!$D$6:$D$1413,$B160,'февраль 2024'!$J$6:$J$1413,I$1)</f>
        <v>0</v>
      </c>
      <c r="J160" s="80">
        <f>SUMIFS('февраль 2024'!$G$6:$G$1413,'февраль 2024'!$D$6:$D$1413,$B160,'февраль 2024'!$J$6:$J$1413,J$1)</f>
        <v>0</v>
      </c>
      <c r="K160" s="80">
        <f>SUMIFS('февраль 2024'!$G$6:$G$1413,'февраль 2024'!$D$6:$D$1413,$B160,'февраль 2024'!$J$6:$J$1413,K$1)</f>
        <v>0</v>
      </c>
      <c r="L160" s="80">
        <f>SUMIFS('февраль 2024'!$G$6:$G$1413,'февраль 2024'!$D$6:$D$1413,$B160,'февраль 2024'!$J$6:$J$1413,L$1)</f>
        <v>0</v>
      </c>
      <c r="M160" s="80">
        <f>SUMIFS('февраль 2024'!$G$6:$G$1413,'февраль 2024'!$D$6:$D$1413,$B160,'февраль 2024'!$J$6:$J$1413,M$1)</f>
        <v>0</v>
      </c>
      <c r="N160" s="80">
        <f>SUMIFS('февраль 2024'!$G$6:$G$1413,'февраль 2024'!$D$6:$D$1413,$B160,'февраль 2024'!$J$6:$J$1413,N$1)</f>
        <v>0</v>
      </c>
      <c r="O160" s="80">
        <f>SUMIFS('февраль 2024'!$G$6:$G$1413,'февраль 2024'!$D$6:$D$1413,$B160,'февраль 2024'!$J$6:$J$1413,O$1)</f>
        <v>0</v>
      </c>
      <c r="P160" s="80">
        <f>SUMIFS('февраль 2024'!$G$6:$G$1413,'февраль 2024'!$D$6:$D$1413,$B160,'февраль 2024'!$J$6:$J$1413,P$1)</f>
        <v>0</v>
      </c>
      <c r="Q160" s="80">
        <f>SUMIFS('февраль 2024'!$G$6:$G$1413,'февраль 2024'!$D$6:$D$1413,$B160,'февраль 2024'!$J$6:$J$1413,Q$1)</f>
        <v>0</v>
      </c>
      <c r="R160" s="80">
        <f>SUMIFS('февраль 2024'!$G$6:$G$1413,'февраль 2024'!$D$6:$D$1413,$B160,'февраль 2024'!$J$6:$J$1413,R$1)</f>
        <v>0</v>
      </c>
      <c r="S160" s="80">
        <f>SUMIFS('февраль 2024'!$G$6:$G$1413,'февраль 2024'!$D$6:$D$1413,$B160,'февраль 2024'!$J$6:$J$1413,S$1)</f>
        <v>0</v>
      </c>
      <c r="T160" s="80">
        <f>SUMIFS('февраль 2024'!$G$6:$G$1413,'февраль 2024'!$D$6:$D$1413,$B160,'февраль 2024'!$J$6:$J$1413,T$1)</f>
        <v>0</v>
      </c>
      <c r="U160" s="80">
        <f>SUMIFS('февраль 2024'!$G$6:$G$1413,'февраль 2024'!$D$6:$D$1413,$B160,'февраль 2024'!$J$6:$J$1413,U$1)</f>
        <v>0</v>
      </c>
      <c r="V160" s="80">
        <f>SUMIFS('февраль 2024'!$G$6:$G$1413,'февраль 2024'!$D$6:$D$1413,$B160,'февраль 2024'!$J$6:$J$1413,V$1)</f>
        <v>0</v>
      </c>
      <c r="W160" s="80">
        <f>SUMIFS('февраль 2024'!$G$6:$G$1413,'февраль 2024'!$D$6:$D$1413,$B160,'февраль 2024'!$J$6:$J$1413,W$1)</f>
        <v>0</v>
      </c>
      <c r="X160" s="80">
        <f>SUMIFS('февраль 2024'!$G$6:$G$1413,'февраль 2024'!$D$6:$D$1413,$B160,'февраль 2024'!$J$6:$J$1413,X$1)</f>
        <v>0</v>
      </c>
      <c r="Y160" s="80">
        <f>SUMIFS('февраль 2024'!$G$6:$G$1413,'февраль 2024'!$D$6:$D$1413,$B160,'февраль 2024'!$J$6:$J$1413,Y$1)</f>
        <v>0</v>
      </c>
      <c r="Z160" s="80">
        <f>SUMIFS('февраль 2024'!$G$6:$G$1413,'февраль 2024'!$D$6:$D$1413,$B160,'февраль 2024'!$J$6:$J$1413,Z$1)</f>
        <v>0</v>
      </c>
      <c r="AA160" s="80">
        <f>SUMIFS('февраль 2024'!$G$6:$G$1413,'февраль 2024'!$D$6:$D$1413,$B160,'февраль 2024'!$J$6:$J$1413,AA$1)</f>
        <v>0</v>
      </c>
      <c r="AB160" s="80">
        <f>SUMIFS('февраль 2024'!$G$6:$G$1413,'февраль 2024'!$D$6:$D$1413,$B160,'февраль 2024'!$J$6:$J$1413,AB$1)</f>
        <v>0</v>
      </c>
      <c r="AC160" s="80">
        <f>SUMIFS('февраль 2024'!$G$6:$G$1413,'февраль 2024'!$D$6:$D$1413,$B160,'февраль 2024'!$J$6:$J$1413,AC$1)</f>
        <v>0</v>
      </c>
      <c r="AD160" s="80">
        <f>SUMIFS('февраль 2024'!$G$6:$G$1413,'февраль 2024'!$D$6:$D$1413,$B160,'февраль 2024'!$J$6:$J$1413,AD$1)</f>
        <v>0</v>
      </c>
      <c r="AE160" s="80">
        <f>SUMIFS('февраль 2024'!$G$6:$G$1413,'февраль 2024'!$D$6:$D$1413,$B160,'февраль 2024'!$J$6:$J$1413,AE$1)</f>
        <v>0</v>
      </c>
      <c r="AF160" s="80">
        <f>SUMIFS('февраль 2024'!$G$6:$G$1413,'февраль 2024'!$D$6:$D$1413,$B160,'февраль 2024'!$J$6:$J$1413,AF$1)</f>
        <v>0</v>
      </c>
      <c r="AG160" s="80">
        <f>SUMIFS('февраль 2024'!$G$6:$G$1413,'февраль 2024'!$D$6:$D$1413,$B160,'февраль 2024'!$J$6:$J$1413,AG$1)</f>
        <v>0</v>
      </c>
      <c r="AH160" s="80">
        <f>SUMIFS('февраль 2024'!$G$6:$G$1413,'февраль 2024'!$D$6:$D$1413,$B160,'февраль 2024'!$J$6:$J$1413,AH$1)</f>
        <v>0</v>
      </c>
      <c r="AI160" s="87"/>
    </row>
    <row r="161" spans="2:35" ht="15" hidden="1" customHeight="1" x14ac:dyDescent="0.25">
      <c r="B161" s="89"/>
      <c r="C161" s="88"/>
      <c r="D161" s="80">
        <f>SUMIFS('февраль 2024'!$G$6:$G$1413,'февраль 2024'!$D$6:$D$1413,$B161,'февраль 2024'!$J$6:$J$1413,D$1)</f>
        <v>0</v>
      </c>
      <c r="E161" s="80">
        <f>SUMIFS('февраль 2024'!$G$6:$G$1413,'февраль 2024'!$D$6:$D$1413,$B161,'февраль 2024'!$J$6:$J$1413,E$1)</f>
        <v>0</v>
      </c>
      <c r="F161" s="80">
        <f>SUMIFS('февраль 2024'!$G$6:$G$1413,'февраль 2024'!$D$6:$D$1413,$B161,'февраль 2024'!$J$6:$J$1413,F$1)</f>
        <v>0</v>
      </c>
      <c r="G161" s="80">
        <f>SUMIFS('февраль 2024'!$G$6:$G$1413,'февраль 2024'!$D$6:$D$1413,$B161,'февраль 2024'!$J$6:$J$1413,G$1)</f>
        <v>0</v>
      </c>
      <c r="H161" s="80">
        <f>SUMIFS('февраль 2024'!$G$6:$G$1413,'февраль 2024'!$D$6:$D$1413,$B161,'февраль 2024'!$J$6:$J$1413,H$1)</f>
        <v>0</v>
      </c>
      <c r="I161" s="80">
        <f>SUMIFS('февраль 2024'!$G$6:$G$1413,'февраль 2024'!$D$6:$D$1413,$B161,'февраль 2024'!$J$6:$J$1413,I$1)</f>
        <v>0</v>
      </c>
      <c r="J161" s="80">
        <f>SUMIFS('февраль 2024'!$G$6:$G$1413,'февраль 2024'!$D$6:$D$1413,$B161,'февраль 2024'!$J$6:$J$1413,J$1)</f>
        <v>0</v>
      </c>
      <c r="K161" s="80">
        <f>SUMIFS('февраль 2024'!$G$6:$G$1413,'февраль 2024'!$D$6:$D$1413,$B161,'февраль 2024'!$J$6:$J$1413,K$1)</f>
        <v>0</v>
      </c>
      <c r="L161" s="80">
        <f>SUMIFS('февраль 2024'!$G$6:$G$1413,'февраль 2024'!$D$6:$D$1413,$B161,'февраль 2024'!$J$6:$J$1413,L$1)</f>
        <v>0</v>
      </c>
      <c r="M161" s="80">
        <f>SUMIFS('февраль 2024'!$G$6:$G$1413,'февраль 2024'!$D$6:$D$1413,$B161,'февраль 2024'!$J$6:$J$1413,M$1)</f>
        <v>0</v>
      </c>
      <c r="N161" s="80">
        <f>SUMIFS('февраль 2024'!$G$6:$G$1413,'февраль 2024'!$D$6:$D$1413,$B161,'февраль 2024'!$J$6:$J$1413,N$1)</f>
        <v>0</v>
      </c>
      <c r="O161" s="80">
        <f>SUMIFS('февраль 2024'!$G$6:$G$1413,'февраль 2024'!$D$6:$D$1413,$B161,'февраль 2024'!$J$6:$J$1413,O$1)</f>
        <v>0</v>
      </c>
      <c r="P161" s="80">
        <f>SUMIFS('февраль 2024'!$G$6:$G$1413,'февраль 2024'!$D$6:$D$1413,$B161,'февраль 2024'!$J$6:$J$1413,P$1)</f>
        <v>0</v>
      </c>
      <c r="Q161" s="80">
        <f>SUMIFS('февраль 2024'!$G$6:$G$1413,'февраль 2024'!$D$6:$D$1413,$B161,'февраль 2024'!$J$6:$J$1413,Q$1)</f>
        <v>0</v>
      </c>
      <c r="R161" s="80">
        <f>SUMIFS('февраль 2024'!$G$6:$G$1413,'февраль 2024'!$D$6:$D$1413,$B161,'февраль 2024'!$J$6:$J$1413,R$1)</f>
        <v>0</v>
      </c>
      <c r="S161" s="80">
        <f>SUMIFS('февраль 2024'!$G$6:$G$1413,'февраль 2024'!$D$6:$D$1413,$B161,'февраль 2024'!$J$6:$J$1413,S$1)</f>
        <v>0</v>
      </c>
      <c r="T161" s="80">
        <f>SUMIFS('февраль 2024'!$G$6:$G$1413,'февраль 2024'!$D$6:$D$1413,$B161,'февраль 2024'!$J$6:$J$1413,T$1)</f>
        <v>0</v>
      </c>
      <c r="U161" s="80">
        <f>SUMIFS('февраль 2024'!$G$6:$G$1413,'февраль 2024'!$D$6:$D$1413,$B161,'февраль 2024'!$J$6:$J$1413,U$1)</f>
        <v>0</v>
      </c>
      <c r="V161" s="80">
        <f>SUMIFS('февраль 2024'!$G$6:$G$1413,'февраль 2024'!$D$6:$D$1413,$B161,'февраль 2024'!$J$6:$J$1413,V$1)</f>
        <v>0</v>
      </c>
      <c r="W161" s="80">
        <f>SUMIFS('февраль 2024'!$G$6:$G$1413,'февраль 2024'!$D$6:$D$1413,$B161,'февраль 2024'!$J$6:$J$1413,W$1)</f>
        <v>0</v>
      </c>
      <c r="X161" s="80">
        <f>SUMIFS('февраль 2024'!$G$6:$G$1413,'февраль 2024'!$D$6:$D$1413,$B161,'февраль 2024'!$J$6:$J$1413,X$1)</f>
        <v>0</v>
      </c>
      <c r="Y161" s="80">
        <f>SUMIFS('февраль 2024'!$G$6:$G$1413,'февраль 2024'!$D$6:$D$1413,$B161,'февраль 2024'!$J$6:$J$1413,Y$1)</f>
        <v>0</v>
      </c>
      <c r="Z161" s="80">
        <f>SUMIFS('февраль 2024'!$G$6:$G$1413,'февраль 2024'!$D$6:$D$1413,$B161,'февраль 2024'!$J$6:$J$1413,Z$1)</f>
        <v>0</v>
      </c>
      <c r="AA161" s="80">
        <f>SUMIFS('февраль 2024'!$G$6:$G$1413,'февраль 2024'!$D$6:$D$1413,$B161,'февраль 2024'!$J$6:$J$1413,AA$1)</f>
        <v>0</v>
      </c>
      <c r="AB161" s="80">
        <f>SUMIFS('февраль 2024'!$G$6:$G$1413,'февраль 2024'!$D$6:$D$1413,$B161,'февраль 2024'!$J$6:$J$1413,AB$1)</f>
        <v>0</v>
      </c>
      <c r="AC161" s="80">
        <f>SUMIFS('февраль 2024'!$G$6:$G$1413,'февраль 2024'!$D$6:$D$1413,$B161,'февраль 2024'!$J$6:$J$1413,AC$1)</f>
        <v>0</v>
      </c>
      <c r="AD161" s="80">
        <f>SUMIFS('февраль 2024'!$G$6:$G$1413,'февраль 2024'!$D$6:$D$1413,$B161,'февраль 2024'!$J$6:$J$1413,AD$1)</f>
        <v>0</v>
      </c>
      <c r="AE161" s="80">
        <f>SUMIFS('февраль 2024'!$G$6:$G$1413,'февраль 2024'!$D$6:$D$1413,$B161,'февраль 2024'!$J$6:$J$1413,AE$1)</f>
        <v>0</v>
      </c>
      <c r="AF161" s="80">
        <f>SUMIFS('февраль 2024'!$G$6:$G$1413,'февраль 2024'!$D$6:$D$1413,$B161,'февраль 2024'!$J$6:$J$1413,AF$1)</f>
        <v>0</v>
      </c>
      <c r="AG161" s="80">
        <f>SUMIFS('февраль 2024'!$G$6:$G$1413,'февраль 2024'!$D$6:$D$1413,$B161,'февраль 2024'!$J$6:$J$1413,AG$1)</f>
        <v>0</v>
      </c>
      <c r="AH161" s="80">
        <f>SUMIFS('февраль 2024'!$G$6:$G$1413,'февраль 2024'!$D$6:$D$1413,$B161,'февраль 2024'!$J$6:$J$1413,AH$1)</f>
        <v>0</v>
      </c>
      <c r="AI161" s="87"/>
    </row>
    <row r="162" spans="2:35" ht="15" hidden="1" customHeight="1" x14ac:dyDescent="0.25">
      <c r="B162" s="89"/>
      <c r="C162" s="88"/>
      <c r="D162" s="80">
        <f>SUMIFS('февраль 2024'!$G$6:$G$1413,'февраль 2024'!$D$6:$D$1413,$B162,'февраль 2024'!$J$6:$J$1413,D$1)</f>
        <v>0</v>
      </c>
      <c r="E162" s="80">
        <f>SUMIFS('февраль 2024'!$G$6:$G$1413,'февраль 2024'!$D$6:$D$1413,$B162,'февраль 2024'!$J$6:$J$1413,E$1)</f>
        <v>0</v>
      </c>
      <c r="F162" s="80">
        <f>SUMIFS('февраль 2024'!$G$6:$G$1413,'февраль 2024'!$D$6:$D$1413,$B162,'февраль 2024'!$J$6:$J$1413,F$1)</f>
        <v>0</v>
      </c>
      <c r="G162" s="80">
        <f>SUMIFS('февраль 2024'!$G$6:$G$1413,'февраль 2024'!$D$6:$D$1413,$B162,'февраль 2024'!$J$6:$J$1413,G$1)</f>
        <v>0</v>
      </c>
      <c r="H162" s="80">
        <f>SUMIFS('февраль 2024'!$G$6:$G$1413,'февраль 2024'!$D$6:$D$1413,$B162,'февраль 2024'!$J$6:$J$1413,H$1)</f>
        <v>0</v>
      </c>
      <c r="I162" s="80">
        <f>SUMIFS('февраль 2024'!$G$6:$G$1413,'февраль 2024'!$D$6:$D$1413,$B162,'февраль 2024'!$J$6:$J$1413,I$1)</f>
        <v>0</v>
      </c>
      <c r="J162" s="80">
        <f>SUMIFS('февраль 2024'!$G$6:$G$1413,'февраль 2024'!$D$6:$D$1413,$B162,'февраль 2024'!$J$6:$J$1413,J$1)</f>
        <v>0</v>
      </c>
      <c r="K162" s="80">
        <f>SUMIFS('февраль 2024'!$G$6:$G$1413,'февраль 2024'!$D$6:$D$1413,$B162,'февраль 2024'!$J$6:$J$1413,K$1)</f>
        <v>0</v>
      </c>
      <c r="L162" s="80">
        <f>SUMIFS('февраль 2024'!$G$6:$G$1413,'февраль 2024'!$D$6:$D$1413,$B162,'февраль 2024'!$J$6:$J$1413,L$1)</f>
        <v>0</v>
      </c>
      <c r="M162" s="80">
        <f>SUMIFS('февраль 2024'!$G$6:$G$1413,'февраль 2024'!$D$6:$D$1413,$B162,'февраль 2024'!$J$6:$J$1413,M$1)</f>
        <v>0</v>
      </c>
      <c r="N162" s="80">
        <f>SUMIFS('февраль 2024'!$G$6:$G$1413,'февраль 2024'!$D$6:$D$1413,$B162,'февраль 2024'!$J$6:$J$1413,N$1)</f>
        <v>0</v>
      </c>
      <c r="O162" s="80">
        <f>SUMIFS('февраль 2024'!$G$6:$G$1413,'февраль 2024'!$D$6:$D$1413,$B162,'февраль 2024'!$J$6:$J$1413,O$1)</f>
        <v>0</v>
      </c>
      <c r="P162" s="80">
        <f>SUMIFS('февраль 2024'!$G$6:$G$1413,'февраль 2024'!$D$6:$D$1413,$B162,'февраль 2024'!$J$6:$J$1413,P$1)</f>
        <v>0</v>
      </c>
      <c r="Q162" s="80">
        <f>SUMIFS('февраль 2024'!$G$6:$G$1413,'февраль 2024'!$D$6:$D$1413,$B162,'февраль 2024'!$J$6:$J$1413,Q$1)</f>
        <v>0</v>
      </c>
      <c r="R162" s="80">
        <f>SUMIFS('февраль 2024'!$G$6:$G$1413,'февраль 2024'!$D$6:$D$1413,$B162,'февраль 2024'!$J$6:$J$1413,R$1)</f>
        <v>0</v>
      </c>
      <c r="S162" s="80">
        <f>SUMIFS('февраль 2024'!$G$6:$G$1413,'февраль 2024'!$D$6:$D$1413,$B162,'февраль 2024'!$J$6:$J$1413,S$1)</f>
        <v>0</v>
      </c>
      <c r="T162" s="80">
        <f>SUMIFS('февраль 2024'!$G$6:$G$1413,'февраль 2024'!$D$6:$D$1413,$B162,'февраль 2024'!$J$6:$J$1413,T$1)</f>
        <v>0</v>
      </c>
      <c r="U162" s="80">
        <f>SUMIFS('февраль 2024'!$G$6:$G$1413,'февраль 2024'!$D$6:$D$1413,$B162,'февраль 2024'!$J$6:$J$1413,U$1)</f>
        <v>0</v>
      </c>
      <c r="V162" s="80">
        <f>SUMIFS('февраль 2024'!$G$6:$G$1413,'февраль 2024'!$D$6:$D$1413,$B162,'февраль 2024'!$J$6:$J$1413,V$1)</f>
        <v>0</v>
      </c>
      <c r="W162" s="80">
        <f>SUMIFS('февраль 2024'!$G$6:$G$1413,'февраль 2024'!$D$6:$D$1413,$B162,'февраль 2024'!$J$6:$J$1413,W$1)</f>
        <v>0</v>
      </c>
      <c r="X162" s="80">
        <f>SUMIFS('февраль 2024'!$G$6:$G$1413,'февраль 2024'!$D$6:$D$1413,$B162,'февраль 2024'!$J$6:$J$1413,X$1)</f>
        <v>0</v>
      </c>
      <c r="Y162" s="80">
        <f>SUMIFS('февраль 2024'!$G$6:$G$1413,'февраль 2024'!$D$6:$D$1413,$B162,'февраль 2024'!$J$6:$J$1413,Y$1)</f>
        <v>0</v>
      </c>
      <c r="Z162" s="80">
        <f>SUMIFS('февраль 2024'!$G$6:$G$1413,'февраль 2024'!$D$6:$D$1413,$B162,'февраль 2024'!$J$6:$J$1413,Z$1)</f>
        <v>0</v>
      </c>
      <c r="AA162" s="80">
        <f>SUMIFS('февраль 2024'!$G$6:$G$1413,'февраль 2024'!$D$6:$D$1413,$B162,'февраль 2024'!$J$6:$J$1413,AA$1)</f>
        <v>0</v>
      </c>
      <c r="AB162" s="80">
        <f>SUMIFS('февраль 2024'!$G$6:$G$1413,'февраль 2024'!$D$6:$D$1413,$B162,'февраль 2024'!$J$6:$J$1413,AB$1)</f>
        <v>0</v>
      </c>
      <c r="AC162" s="80">
        <f>SUMIFS('февраль 2024'!$G$6:$G$1413,'февраль 2024'!$D$6:$D$1413,$B162,'февраль 2024'!$J$6:$J$1413,AC$1)</f>
        <v>0</v>
      </c>
      <c r="AD162" s="80">
        <f>SUMIFS('февраль 2024'!$G$6:$G$1413,'февраль 2024'!$D$6:$D$1413,$B162,'февраль 2024'!$J$6:$J$1413,AD$1)</f>
        <v>0</v>
      </c>
      <c r="AE162" s="80">
        <f>SUMIFS('февраль 2024'!$G$6:$G$1413,'февраль 2024'!$D$6:$D$1413,$B162,'февраль 2024'!$J$6:$J$1413,AE$1)</f>
        <v>0</v>
      </c>
      <c r="AF162" s="80">
        <f>SUMIFS('февраль 2024'!$G$6:$G$1413,'февраль 2024'!$D$6:$D$1413,$B162,'февраль 2024'!$J$6:$J$1413,AF$1)</f>
        <v>0</v>
      </c>
      <c r="AG162" s="80">
        <f>SUMIFS('февраль 2024'!$G$6:$G$1413,'февраль 2024'!$D$6:$D$1413,$B162,'февраль 2024'!$J$6:$J$1413,AG$1)</f>
        <v>0</v>
      </c>
      <c r="AH162" s="80">
        <f>SUMIFS('февраль 2024'!$G$6:$G$1413,'февраль 2024'!$D$6:$D$1413,$B162,'февраль 2024'!$J$6:$J$1413,AH$1)</f>
        <v>0</v>
      </c>
      <c r="AI162" s="87"/>
    </row>
    <row r="163" spans="2:35" ht="15" hidden="1" customHeight="1" x14ac:dyDescent="0.25">
      <c r="B163" s="89"/>
      <c r="C163" s="90"/>
      <c r="D163" s="80">
        <f>SUMIFS('февраль 2024'!$G$6:$G$1413,'февраль 2024'!$D$6:$D$1413,$B163,'февраль 2024'!$J$6:$J$1413,D$1)</f>
        <v>0</v>
      </c>
      <c r="E163" s="80">
        <f>SUMIFS('февраль 2024'!$G$6:$G$1413,'февраль 2024'!$D$6:$D$1413,$B163,'февраль 2024'!$J$6:$J$1413,E$1)</f>
        <v>0</v>
      </c>
      <c r="F163" s="80">
        <f>SUMIFS('февраль 2024'!$G$6:$G$1413,'февраль 2024'!$D$6:$D$1413,$B163,'февраль 2024'!$J$6:$J$1413,F$1)</f>
        <v>0</v>
      </c>
      <c r="G163" s="80">
        <f>SUMIFS('февраль 2024'!$G$6:$G$1413,'февраль 2024'!$D$6:$D$1413,$B163,'февраль 2024'!$J$6:$J$1413,G$1)</f>
        <v>0</v>
      </c>
      <c r="H163" s="80">
        <f>SUMIFS('февраль 2024'!$G$6:$G$1413,'февраль 2024'!$D$6:$D$1413,$B163,'февраль 2024'!$J$6:$J$1413,H$1)</f>
        <v>0</v>
      </c>
      <c r="I163" s="80">
        <f>SUMIFS('февраль 2024'!$G$6:$G$1413,'февраль 2024'!$D$6:$D$1413,$B163,'февраль 2024'!$J$6:$J$1413,I$1)</f>
        <v>0</v>
      </c>
      <c r="J163" s="80">
        <f>SUMIFS('февраль 2024'!$G$6:$G$1413,'февраль 2024'!$D$6:$D$1413,$B163,'февраль 2024'!$J$6:$J$1413,J$1)</f>
        <v>0</v>
      </c>
      <c r="K163" s="80">
        <f>SUMIFS('февраль 2024'!$G$6:$G$1413,'февраль 2024'!$D$6:$D$1413,$B163,'февраль 2024'!$J$6:$J$1413,K$1)</f>
        <v>0</v>
      </c>
      <c r="L163" s="80">
        <f>SUMIFS('февраль 2024'!$G$6:$G$1413,'февраль 2024'!$D$6:$D$1413,$B163,'февраль 2024'!$J$6:$J$1413,L$1)</f>
        <v>0</v>
      </c>
      <c r="M163" s="80">
        <f>SUMIFS('февраль 2024'!$G$6:$G$1413,'февраль 2024'!$D$6:$D$1413,$B163,'февраль 2024'!$J$6:$J$1413,M$1)</f>
        <v>0</v>
      </c>
      <c r="N163" s="80">
        <f>SUMIFS('февраль 2024'!$G$6:$G$1413,'февраль 2024'!$D$6:$D$1413,$B163,'февраль 2024'!$J$6:$J$1413,N$1)</f>
        <v>0</v>
      </c>
      <c r="O163" s="80">
        <f>SUMIFS('февраль 2024'!$G$6:$G$1413,'февраль 2024'!$D$6:$D$1413,$B163,'февраль 2024'!$J$6:$J$1413,O$1)</f>
        <v>0</v>
      </c>
      <c r="P163" s="80">
        <f>SUMIFS('февраль 2024'!$G$6:$G$1413,'февраль 2024'!$D$6:$D$1413,$B163,'февраль 2024'!$J$6:$J$1413,P$1)</f>
        <v>0</v>
      </c>
      <c r="Q163" s="80">
        <f>SUMIFS('февраль 2024'!$G$6:$G$1413,'февраль 2024'!$D$6:$D$1413,$B163,'февраль 2024'!$J$6:$J$1413,Q$1)</f>
        <v>0</v>
      </c>
      <c r="R163" s="80">
        <f>SUMIFS('февраль 2024'!$G$6:$G$1413,'февраль 2024'!$D$6:$D$1413,$B163,'февраль 2024'!$J$6:$J$1413,R$1)</f>
        <v>0</v>
      </c>
      <c r="S163" s="80">
        <f>SUMIFS('февраль 2024'!$G$6:$G$1413,'февраль 2024'!$D$6:$D$1413,$B163,'февраль 2024'!$J$6:$J$1413,S$1)</f>
        <v>0</v>
      </c>
      <c r="T163" s="80">
        <f>SUMIFS('февраль 2024'!$G$6:$G$1413,'февраль 2024'!$D$6:$D$1413,$B163,'февраль 2024'!$J$6:$J$1413,T$1)</f>
        <v>0</v>
      </c>
      <c r="U163" s="80">
        <f>SUMIFS('февраль 2024'!$G$6:$G$1413,'февраль 2024'!$D$6:$D$1413,$B163,'февраль 2024'!$J$6:$J$1413,U$1)</f>
        <v>0</v>
      </c>
      <c r="V163" s="80">
        <f>SUMIFS('февраль 2024'!$G$6:$G$1413,'февраль 2024'!$D$6:$D$1413,$B163,'февраль 2024'!$J$6:$J$1413,V$1)</f>
        <v>0</v>
      </c>
      <c r="W163" s="80">
        <f>SUMIFS('февраль 2024'!$G$6:$G$1413,'февраль 2024'!$D$6:$D$1413,$B163,'февраль 2024'!$J$6:$J$1413,W$1)</f>
        <v>0</v>
      </c>
      <c r="X163" s="80">
        <f>SUMIFS('февраль 2024'!$G$6:$G$1413,'февраль 2024'!$D$6:$D$1413,$B163,'февраль 2024'!$J$6:$J$1413,X$1)</f>
        <v>0</v>
      </c>
      <c r="Y163" s="80">
        <f>SUMIFS('февраль 2024'!$G$6:$G$1413,'февраль 2024'!$D$6:$D$1413,$B163,'февраль 2024'!$J$6:$J$1413,Y$1)</f>
        <v>0</v>
      </c>
      <c r="Z163" s="80">
        <f>SUMIFS('февраль 2024'!$G$6:$G$1413,'февраль 2024'!$D$6:$D$1413,$B163,'февраль 2024'!$J$6:$J$1413,Z$1)</f>
        <v>0</v>
      </c>
      <c r="AA163" s="80">
        <f>SUMIFS('февраль 2024'!$G$6:$G$1413,'февраль 2024'!$D$6:$D$1413,$B163,'февраль 2024'!$J$6:$J$1413,AA$1)</f>
        <v>0</v>
      </c>
      <c r="AB163" s="80">
        <f>SUMIFS('февраль 2024'!$G$6:$G$1413,'февраль 2024'!$D$6:$D$1413,$B163,'февраль 2024'!$J$6:$J$1413,AB$1)</f>
        <v>0</v>
      </c>
      <c r="AC163" s="80">
        <f>SUMIFS('февраль 2024'!$G$6:$G$1413,'февраль 2024'!$D$6:$D$1413,$B163,'февраль 2024'!$J$6:$J$1413,AC$1)</f>
        <v>0</v>
      </c>
      <c r="AD163" s="80">
        <f>SUMIFS('февраль 2024'!$G$6:$G$1413,'февраль 2024'!$D$6:$D$1413,$B163,'февраль 2024'!$J$6:$J$1413,AD$1)</f>
        <v>0</v>
      </c>
      <c r="AE163" s="80">
        <f>SUMIFS('февраль 2024'!$G$6:$G$1413,'февраль 2024'!$D$6:$D$1413,$B163,'февраль 2024'!$J$6:$J$1413,AE$1)</f>
        <v>0</v>
      </c>
      <c r="AF163" s="80">
        <f>SUMIFS('февраль 2024'!$G$6:$G$1413,'февраль 2024'!$D$6:$D$1413,$B163,'февраль 2024'!$J$6:$J$1413,AF$1)</f>
        <v>0</v>
      </c>
      <c r="AG163" s="80">
        <f>SUMIFS('февраль 2024'!$G$6:$G$1413,'февраль 2024'!$D$6:$D$1413,$B163,'февраль 2024'!$J$6:$J$1413,AG$1)</f>
        <v>0</v>
      </c>
      <c r="AH163" s="80">
        <f>SUMIFS('февраль 2024'!$G$6:$G$1413,'февраль 2024'!$D$6:$D$1413,$B163,'февраль 2024'!$J$6:$J$1413,AH$1)</f>
        <v>0</v>
      </c>
      <c r="AI163" s="87"/>
    </row>
    <row r="164" spans="2:35" ht="15" hidden="1" customHeight="1" x14ac:dyDescent="0.25">
      <c r="B164" s="89"/>
      <c r="C164" s="91"/>
      <c r="D164" s="80">
        <f>SUMIFS('февраль 2024'!$G$6:$G$1413,'февраль 2024'!$D$6:$D$1413,$B164,'февраль 2024'!$J$6:$J$1413,D$1)</f>
        <v>0</v>
      </c>
      <c r="E164" s="80">
        <f>SUMIFS('февраль 2024'!$G$6:$G$1413,'февраль 2024'!$D$6:$D$1413,$B164,'февраль 2024'!$J$6:$J$1413,E$1)</f>
        <v>0</v>
      </c>
      <c r="F164" s="80">
        <f>SUMIFS('февраль 2024'!$G$6:$G$1413,'февраль 2024'!$D$6:$D$1413,$B164,'февраль 2024'!$J$6:$J$1413,F$1)</f>
        <v>0</v>
      </c>
      <c r="G164" s="80">
        <f>SUMIFS('февраль 2024'!$G$6:$G$1413,'февраль 2024'!$D$6:$D$1413,$B164,'февраль 2024'!$J$6:$J$1413,G$1)</f>
        <v>0</v>
      </c>
      <c r="H164" s="80">
        <f>SUMIFS('февраль 2024'!$G$6:$G$1413,'февраль 2024'!$D$6:$D$1413,$B164,'февраль 2024'!$J$6:$J$1413,H$1)</f>
        <v>0</v>
      </c>
      <c r="I164" s="80">
        <f>SUMIFS('февраль 2024'!$G$6:$G$1413,'февраль 2024'!$D$6:$D$1413,$B164,'февраль 2024'!$J$6:$J$1413,I$1)</f>
        <v>0</v>
      </c>
      <c r="J164" s="80">
        <f>SUMIFS('февраль 2024'!$G$6:$G$1413,'февраль 2024'!$D$6:$D$1413,$B164,'февраль 2024'!$J$6:$J$1413,J$1)</f>
        <v>0</v>
      </c>
      <c r="K164" s="80">
        <f>SUMIFS('февраль 2024'!$G$6:$G$1413,'февраль 2024'!$D$6:$D$1413,$B164,'февраль 2024'!$J$6:$J$1413,K$1)</f>
        <v>0</v>
      </c>
      <c r="L164" s="80">
        <f>SUMIFS('февраль 2024'!$G$6:$G$1413,'февраль 2024'!$D$6:$D$1413,$B164,'февраль 2024'!$J$6:$J$1413,L$1)</f>
        <v>0</v>
      </c>
      <c r="M164" s="80">
        <f>SUMIFS('февраль 2024'!$G$6:$G$1413,'февраль 2024'!$D$6:$D$1413,$B164,'февраль 2024'!$J$6:$J$1413,M$1)</f>
        <v>0</v>
      </c>
      <c r="N164" s="80">
        <f>SUMIFS('февраль 2024'!$G$6:$G$1413,'февраль 2024'!$D$6:$D$1413,$B164,'февраль 2024'!$J$6:$J$1413,N$1)</f>
        <v>0</v>
      </c>
      <c r="O164" s="80">
        <f>SUMIFS('февраль 2024'!$G$6:$G$1413,'февраль 2024'!$D$6:$D$1413,$B164,'февраль 2024'!$J$6:$J$1413,O$1)</f>
        <v>0</v>
      </c>
      <c r="P164" s="80">
        <f>SUMIFS('февраль 2024'!$G$6:$G$1413,'февраль 2024'!$D$6:$D$1413,$B164,'февраль 2024'!$J$6:$J$1413,P$1)</f>
        <v>0</v>
      </c>
      <c r="Q164" s="80">
        <f>SUMIFS('февраль 2024'!$G$6:$G$1413,'февраль 2024'!$D$6:$D$1413,$B164,'февраль 2024'!$J$6:$J$1413,Q$1)</f>
        <v>0</v>
      </c>
      <c r="R164" s="80">
        <f>SUMIFS('февраль 2024'!$G$6:$G$1413,'февраль 2024'!$D$6:$D$1413,$B164,'февраль 2024'!$J$6:$J$1413,R$1)</f>
        <v>0</v>
      </c>
      <c r="S164" s="80">
        <f>SUMIFS('февраль 2024'!$G$6:$G$1413,'февраль 2024'!$D$6:$D$1413,$B164,'февраль 2024'!$J$6:$J$1413,S$1)</f>
        <v>0</v>
      </c>
      <c r="T164" s="80">
        <f>SUMIFS('февраль 2024'!$G$6:$G$1413,'февраль 2024'!$D$6:$D$1413,$B164,'февраль 2024'!$J$6:$J$1413,T$1)</f>
        <v>0</v>
      </c>
      <c r="U164" s="80">
        <f>SUMIFS('февраль 2024'!$G$6:$G$1413,'февраль 2024'!$D$6:$D$1413,$B164,'февраль 2024'!$J$6:$J$1413,U$1)</f>
        <v>0</v>
      </c>
      <c r="V164" s="80">
        <f>SUMIFS('февраль 2024'!$G$6:$G$1413,'февраль 2024'!$D$6:$D$1413,$B164,'февраль 2024'!$J$6:$J$1413,V$1)</f>
        <v>0</v>
      </c>
      <c r="W164" s="80">
        <f>SUMIFS('февраль 2024'!$G$6:$G$1413,'февраль 2024'!$D$6:$D$1413,$B164,'февраль 2024'!$J$6:$J$1413,W$1)</f>
        <v>0</v>
      </c>
      <c r="X164" s="80">
        <f>SUMIFS('февраль 2024'!$G$6:$G$1413,'февраль 2024'!$D$6:$D$1413,$B164,'февраль 2024'!$J$6:$J$1413,X$1)</f>
        <v>0</v>
      </c>
      <c r="Y164" s="80">
        <f>SUMIFS('февраль 2024'!$G$6:$G$1413,'февраль 2024'!$D$6:$D$1413,$B164,'февраль 2024'!$J$6:$J$1413,Y$1)</f>
        <v>0</v>
      </c>
      <c r="Z164" s="80">
        <f>SUMIFS('февраль 2024'!$G$6:$G$1413,'февраль 2024'!$D$6:$D$1413,$B164,'февраль 2024'!$J$6:$J$1413,Z$1)</f>
        <v>0</v>
      </c>
      <c r="AA164" s="80">
        <f>SUMIFS('февраль 2024'!$G$6:$G$1413,'февраль 2024'!$D$6:$D$1413,$B164,'февраль 2024'!$J$6:$J$1413,AA$1)</f>
        <v>0</v>
      </c>
      <c r="AB164" s="80">
        <f>SUMIFS('февраль 2024'!$G$6:$G$1413,'февраль 2024'!$D$6:$D$1413,$B164,'февраль 2024'!$J$6:$J$1413,AB$1)</f>
        <v>0</v>
      </c>
      <c r="AC164" s="80">
        <f>SUMIFS('февраль 2024'!$G$6:$G$1413,'февраль 2024'!$D$6:$D$1413,$B164,'февраль 2024'!$J$6:$J$1413,AC$1)</f>
        <v>0</v>
      </c>
      <c r="AD164" s="80">
        <f>SUMIFS('февраль 2024'!$G$6:$G$1413,'февраль 2024'!$D$6:$D$1413,$B164,'февраль 2024'!$J$6:$J$1413,AD$1)</f>
        <v>0</v>
      </c>
      <c r="AE164" s="80">
        <f>SUMIFS('февраль 2024'!$G$6:$G$1413,'февраль 2024'!$D$6:$D$1413,$B164,'февраль 2024'!$J$6:$J$1413,AE$1)</f>
        <v>0</v>
      </c>
      <c r="AF164" s="80">
        <f>SUMIFS('февраль 2024'!$G$6:$G$1413,'февраль 2024'!$D$6:$D$1413,$B164,'февраль 2024'!$J$6:$J$1413,AF$1)</f>
        <v>0</v>
      </c>
      <c r="AG164" s="80">
        <f>SUMIFS('февраль 2024'!$G$6:$G$1413,'февраль 2024'!$D$6:$D$1413,$B164,'февраль 2024'!$J$6:$J$1413,AG$1)</f>
        <v>0</v>
      </c>
      <c r="AH164" s="80">
        <f>SUMIFS('февраль 2024'!$G$6:$G$1413,'февраль 2024'!$D$6:$D$1413,$B164,'февраль 2024'!$J$6:$J$1413,AH$1)</f>
        <v>0</v>
      </c>
      <c r="AI164" s="87"/>
    </row>
    <row r="165" spans="2:35" ht="15" hidden="1" customHeight="1" x14ac:dyDescent="0.25">
      <c r="B165" s="93"/>
      <c r="C165" s="91"/>
      <c r="D165" s="80">
        <f>SUMIFS('февраль 2024'!$G$6:$G$1413,'февраль 2024'!$D$6:$D$1413,$B165,'февраль 2024'!$J$6:$J$1413,D$1)</f>
        <v>0</v>
      </c>
      <c r="E165" s="80">
        <f>SUMIFS('февраль 2024'!$G$6:$G$1413,'февраль 2024'!$D$6:$D$1413,$B165,'февраль 2024'!$J$6:$J$1413,E$1)</f>
        <v>0</v>
      </c>
      <c r="F165" s="80">
        <f>SUMIFS('февраль 2024'!$G$6:$G$1413,'февраль 2024'!$D$6:$D$1413,$B165,'февраль 2024'!$J$6:$J$1413,F$1)</f>
        <v>0</v>
      </c>
      <c r="G165" s="80">
        <f>SUMIFS('февраль 2024'!$G$6:$G$1413,'февраль 2024'!$D$6:$D$1413,$B165,'февраль 2024'!$J$6:$J$1413,G$1)</f>
        <v>0</v>
      </c>
      <c r="H165" s="80">
        <f>SUMIFS('февраль 2024'!$G$6:$G$1413,'февраль 2024'!$D$6:$D$1413,$B165,'февраль 2024'!$J$6:$J$1413,H$1)</f>
        <v>0</v>
      </c>
      <c r="I165" s="80">
        <f>SUMIFS('февраль 2024'!$G$6:$G$1413,'февраль 2024'!$D$6:$D$1413,$B165,'февраль 2024'!$J$6:$J$1413,I$1)</f>
        <v>0</v>
      </c>
      <c r="J165" s="80">
        <f>SUMIFS('февраль 2024'!$G$6:$G$1413,'февраль 2024'!$D$6:$D$1413,$B165,'февраль 2024'!$J$6:$J$1413,J$1)</f>
        <v>0</v>
      </c>
      <c r="K165" s="80">
        <f>SUMIFS('февраль 2024'!$G$6:$G$1413,'февраль 2024'!$D$6:$D$1413,$B165,'февраль 2024'!$J$6:$J$1413,K$1)</f>
        <v>0</v>
      </c>
      <c r="L165" s="80">
        <f>SUMIFS('февраль 2024'!$G$6:$G$1413,'февраль 2024'!$D$6:$D$1413,$B165,'февраль 2024'!$J$6:$J$1413,L$1)</f>
        <v>0</v>
      </c>
      <c r="M165" s="80">
        <f>SUMIFS('февраль 2024'!$G$6:$G$1413,'февраль 2024'!$D$6:$D$1413,$B165,'февраль 2024'!$J$6:$J$1413,M$1)</f>
        <v>0</v>
      </c>
      <c r="N165" s="80">
        <f>SUMIFS('февраль 2024'!$G$6:$G$1413,'февраль 2024'!$D$6:$D$1413,$B165,'февраль 2024'!$J$6:$J$1413,N$1)</f>
        <v>0</v>
      </c>
      <c r="O165" s="80">
        <f>SUMIFS('февраль 2024'!$G$6:$G$1413,'февраль 2024'!$D$6:$D$1413,$B165,'февраль 2024'!$J$6:$J$1413,O$1)</f>
        <v>0</v>
      </c>
      <c r="P165" s="80">
        <f>SUMIFS('февраль 2024'!$G$6:$G$1413,'февраль 2024'!$D$6:$D$1413,$B165,'февраль 2024'!$J$6:$J$1413,P$1)</f>
        <v>0</v>
      </c>
      <c r="Q165" s="80">
        <f>SUMIFS('февраль 2024'!$G$6:$G$1413,'февраль 2024'!$D$6:$D$1413,$B165,'февраль 2024'!$J$6:$J$1413,Q$1)</f>
        <v>0</v>
      </c>
      <c r="R165" s="80">
        <f>SUMIFS('февраль 2024'!$G$6:$G$1413,'февраль 2024'!$D$6:$D$1413,$B165,'февраль 2024'!$J$6:$J$1413,R$1)</f>
        <v>0</v>
      </c>
      <c r="S165" s="80">
        <f>SUMIFS('февраль 2024'!$G$6:$G$1413,'февраль 2024'!$D$6:$D$1413,$B165,'февраль 2024'!$J$6:$J$1413,S$1)</f>
        <v>0</v>
      </c>
      <c r="T165" s="80">
        <f>SUMIFS('февраль 2024'!$G$6:$G$1413,'февраль 2024'!$D$6:$D$1413,$B165,'февраль 2024'!$J$6:$J$1413,T$1)</f>
        <v>0</v>
      </c>
      <c r="U165" s="80">
        <f>SUMIFS('февраль 2024'!$G$6:$G$1413,'февраль 2024'!$D$6:$D$1413,$B165,'февраль 2024'!$J$6:$J$1413,U$1)</f>
        <v>0</v>
      </c>
      <c r="V165" s="80">
        <f>SUMIFS('февраль 2024'!$G$6:$G$1413,'февраль 2024'!$D$6:$D$1413,$B165,'февраль 2024'!$J$6:$J$1413,V$1)</f>
        <v>0</v>
      </c>
      <c r="W165" s="80">
        <f>SUMIFS('февраль 2024'!$G$6:$G$1413,'февраль 2024'!$D$6:$D$1413,$B165,'февраль 2024'!$J$6:$J$1413,W$1)</f>
        <v>0</v>
      </c>
      <c r="X165" s="80">
        <f>SUMIFS('февраль 2024'!$G$6:$G$1413,'февраль 2024'!$D$6:$D$1413,$B165,'февраль 2024'!$J$6:$J$1413,X$1)</f>
        <v>0</v>
      </c>
      <c r="Y165" s="80">
        <f>SUMIFS('февраль 2024'!$G$6:$G$1413,'февраль 2024'!$D$6:$D$1413,$B165,'февраль 2024'!$J$6:$J$1413,Y$1)</f>
        <v>0</v>
      </c>
      <c r="Z165" s="80">
        <f>SUMIFS('февраль 2024'!$G$6:$G$1413,'февраль 2024'!$D$6:$D$1413,$B165,'февраль 2024'!$J$6:$J$1413,Z$1)</f>
        <v>0</v>
      </c>
      <c r="AA165" s="80">
        <f>SUMIFS('февраль 2024'!$G$6:$G$1413,'февраль 2024'!$D$6:$D$1413,$B165,'февраль 2024'!$J$6:$J$1413,AA$1)</f>
        <v>0</v>
      </c>
      <c r="AB165" s="80">
        <f>SUMIFS('февраль 2024'!$G$6:$G$1413,'февраль 2024'!$D$6:$D$1413,$B165,'февраль 2024'!$J$6:$J$1413,AB$1)</f>
        <v>0</v>
      </c>
      <c r="AC165" s="80">
        <f>SUMIFS('февраль 2024'!$G$6:$G$1413,'февраль 2024'!$D$6:$D$1413,$B165,'февраль 2024'!$J$6:$J$1413,AC$1)</f>
        <v>0</v>
      </c>
      <c r="AD165" s="80">
        <f>SUMIFS('февраль 2024'!$G$6:$G$1413,'февраль 2024'!$D$6:$D$1413,$B165,'февраль 2024'!$J$6:$J$1413,AD$1)</f>
        <v>0</v>
      </c>
      <c r="AE165" s="80">
        <f>SUMIFS('февраль 2024'!$G$6:$G$1413,'февраль 2024'!$D$6:$D$1413,$B165,'февраль 2024'!$J$6:$J$1413,AE$1)</f>
        <v>0</v>
      </c>
      <c r="AF165" s="80">
        <f>SUMIFS('февраль 2024'!$G$6:$G$1413,'февраль 2024'!$D$6:$D$1413,$B165,'февраль 2024'!$J$6:$J$1413,AF$1)</f>
        <v>0</v>
      </c>
      <c r="AG165" s="80">
        <f>SUMIFS('февраль 2024'!$G$6:$G$1413,'февраль 2024'!$D$6:$D$1413,$B165,'февраль 2024'!$J$6:$J$1413,AG$1)</f>
        <v>0</v>
      </c>
      <c r="AH165" s="80">
        <f>SUMIFS('февраль 2024'!$G$6:$G$1413,'февраль 2024'!$D$6:$D$1413,$B165,'февраль 2024'!$J$6:$J$1413,AH$1)</f>
        <v>0</v>
      </c>
      <c r="AI165" s="87"/>
    </row>
    <row r="166" spans="2:35" ht="15" hidden="1" customHeight="1" x14ac:dyDescent="0.25">
      <c r="B166" s="89"/>
      <c r="C166" s="88"/>
      <c r="D166" s="80">
        <f>SUMIFS('февраль 2024'!$G$6:$G$1413,'февраль 2024'!$D$6:$D$1413,$B166,'февраль 2024'!$J$6:$J$1413,D$1)</f>
        <v>0</v>
      </c>
      <c r="E166" s="80">
        <f>SUMIFS('февраль 2024'!$G$6:$G$1413,'февраль 2024'!$D$6:$D$1413,$B166,'февраль 2024'!$J$6:$J$1413,E$1)</f>
        <v>0</v>
      </c>
      <c r="F166" s="80">
        <f>SUMIFS('февраль 2024'!$G$6:$G$1413,'февраль 2024'!$D$6:$D$1413,$B166,'февраль 2024'!$J$6:$J$1413,F$1)</f>
        <v>0</v>
      </c>
      <c r="G166" s="80">
        <f>SUMIFS('февраль 2024'!$G$6:$G$1413,'февраль 2024'!$D$6:$D$1413,$B166,'февраль 2024'!$J$6:$J$1413,G$1)</f>
        <v>0</v>
      </c>
      <c r="H166" s="80">
        <f>SUMIFS('февраль 2024'!$G$6:$G$1413,'февраль 2024'!$D$6:$D$1413,$B166,'февраль 2024'!$J$6:$J$1413,H$1)</f>
        <v>0</v>
      </c>
      <c r="I166" s="80">
        <f>SUMIFS('февраль 2024'!$G$6:$G$1413,'февраль 2024'!$D$6:$D$1413,$B166,'февраль 2024'!$J$6:$J$1413,I$1)</f>
        <v>0</v>
      </c>
      <c r="J166" s="80">
        <f>SUMIFS('февраль 2024'!$G$6:$G$1413,'февраль 2024'!$D$6:$D$1413,$B166,'февраль 2024'!$J$6:$J$1413,J$1)</f>
        <v>0</v>
      </c>
      <c r="K166" s="80">
        <f>SUMIFS('февраль 2024'!$G$6:$G$1413,'февраль 2024'!$D$6:$D$1413,$B166,'февраль 2024'!$J$6:$J$1413,K$1)</f>
        <v>0</v>
      </c>
      <c r="L166" s="80">
        <f>SUMIFS('февраль 2024'!$G$6:$G$1413,'февраль 2024'!$D$6:$D$1413,$B166,'февраль 2024'!$J$6:$J$1413,L$1)</f>
        <v>0</v>
      </c>
      <c r="M166" s="80">
        <f>SUMIFS('февраль 2024'!$G$6:$G$1413,'февраль 2024'!$D$6:$D$1413,$B166,'февраль 2024'!$J$6:$J$1413,M$1)</f>
        <v>0</v>
      </c>
      <c r="N166" s="80">
        <f>SUMIFS('февраль 2024'!$G$6:$G$1413,'февраль 2024'!$D$6:$D$1413,$B166,'февраль 2024'!$J$6:$J$1413,N$1)</f>
        <v>0</v>
      </c>
      <c r="O166" s="80">
        <f>SUMIFS('февраль 2024'!$G$6:$G$1413,'февраль 2024'!$D$6:$D$1413,$B166,'февраль 2024'!$J$6:$J$1413,O$1)</f>
        <v>0</v>
      </c>
      <c r="P166" s="80">
        <f>SUMIFS('февраль 2024'!$G$6:$G$1413,'февраль 2024'!$D$6:$D$1413,$B166,'февраль 2024'!$J$6:$J$1413,P$1)</f>
        <v>0</v>
      </c>
      <c r="Q166" s="80">
        <f>SUMIFS('февраль 2024'!$G$6:$G$1413,'февраль 2024'!$D$6:$D$1413,$B166,'февраль 2024'!$J$6:$J$1413,Q$1)</f>
        <v>0</v>
      </c>
      <c r="R166" s="80">
        <f>SUMIFS('февраль 2024'!$G$6:$G$1413,'февраль 2024'!$D$6:$D$1413,$B166,'февраль 2024'!$J$6:$J$1413,R$1)</f>
        <v>0</v>
      </c>
      <c r="S166" s="80">
        <f>SUMIFS('февраль 2024'!$G$6:$G$1413,'февраль 2024'!$D$6:$D$1413,$B166,'февраль 2024'!$J$6:$J$1413,S$1)</f>
        <v>0</v>
      </c>
      <c r="T166" s="80">
        <f>SUMIFS('февраль 2024'!$G$6:$G$1413,'февраль 2024'!$D$6:$D$1413,$B166,'февраль 2024'!$J$6:$J$1413,T$1)</f>
        <v>0</v>
      </c>
      <c r="U166" s="80">
        <f>SUMIFS('февраль 2024'!$G$6:$G$1413,'февраль 2024'!$D$6:$D$1413,$B166,'февраль 2024'!$J$6:$J$1413,U$1)</f>
        <v>0</v>
      </c>
      <c r="V166" s="80">
        <f>SUMIFS('февраль 2024'!$G$6:$G$1413,'февраль 2024'!$D$6:$D$1413,$B166,'февраль 2024'!$J$6:$J$1413,V$1)</f>
        <v>0</v>
      </c>
      <c r="W166" s="80">
        <f>SUMIFS('февраль 2024'!$G$6:$G$1413,'февраль 2024'!$D$6:$D$1413,$B166,'февраль 2024'!$J$6:$J$1413,W$1)</f>
        <v>0</v>
      </c>
      <c r="X166" s="80">
        <f>SUMIFS('февраль 2024'!$G$6:$G$1413,'февраль 2024'!$D$6:$D$1413,$B166,'февраль 2024'!$J$6:$J$1413,X$1)</f>
        <v>0</v>
      </c>
      <c r="Y166" s="80">
        <f>SUMIFS('февраль 2024'!$G$6:$G$1413,'февраль 2024'!$D$6:$D$1413,$B166,'февраль 2024'!$J$6:$J$1413,Y$1)</f>
        <v>0</v>
      </c>
      <c r="Z166" s="80">
        <f>SUMIFS('февраль 2024'!$G$6:$G$1413,'февраль 2024'!$D$6:$D$1413,$B166,'февраль 2024'!$J$6:$J$1413,Z$1)</f>
        <v>0</v>
      </c>
      <c r="AA166" s="80">
        <f>SUMIFS('февраль 2024'!$G$6:$G$1413,'февраль 2024'!$D$6:$D$1413,$B166,'февраль 2024'!$J$6:$J$1413,AA$1)</f>
        <v>0</v>
      </c>
      <c r="AB166" s="80">
        <f>SUMIFS('февраль 2024'!$G$6:$G$1413,'февраль 2024'!$D$6:$D$1413,$B166,'февраль 2024'!$J$6:$J$1413,AB$1)</f>
        <v>0</v>
      </c>
      <c r="AC166" s="80">
        <f>SUMIFS('февраль 2024'!$G$6:$G$1413,'февраль 2024'!$D$6:$D$1413,$B166,'февраль 2024'!$J$6:$J$1413,AC$1)</f>
        <v>0</v>
      </c>
      <c r="AD166" s="80">
        <f>SUMIFS('февраль 2024'!$G$6:$G$1413,'февраль 2024'!$D$6:$D$1413,$B166,'февраль 2024'!$J$6:$J$1413,AD$1)</f>
        <v>0</v>
      </c>
      <c r="AE166" s="80">
        <f>SUMIFS('февраль 2024'!$G$6:$G$1413,'февраль 2024'!$D$6:$D$1413,$B166,'февраль 2024'!$J$6:$J$1413,AE$1)</f>
        <v>0</v>
      </c>
      <c r="AF166" s="80">
        <f>SUMIFS('февраль 2024'!$G$6:$G$1413,'февраль 2024'!$D$6:$D$1413,$B166,'февраль 2024'!$J$6:$J$1413,AF$1)</f>
        <v>0</v>
      </c>
      <c r="AG166" s="80">
        <f>SUMIFS('февраль 2024'!$G$6:$G$1413,'февраль 2024'!$D$6:$D$1413,$B166,'февраль 2024'!$J$6:$J$1413,AG$1)</f>
        <v>0</v>
      </c>
      <c r="AH166" s="80">
        <f>SUMIFS('февраль 2024'!$G$6:$G$1413,'февраль 2024'!$D$6:$D$1413,$B166,'февраль 2024'!$J$6:$J$1413,AH$1)</f>
        <v>0</v>
      </c>
      <c r="AI166" s="87"/>
    </row>
    <row r="167" spans="2:35" ht="15" hidden="1" customHeight="1" x14ac:dyDescent="0.25">
      <c r="B167" s="89"/>
      <c r="C167" s="91"/>
      <c r="D167" s="80">
        <f>SUMIFS('февраль 2024'!$G$6:$G$1413,'февраль 2024'!$D$6:$D$1413,$B167,'февраль 2024'!$J$6:$J$1413,D$1)</f>
        <v>0</v>
      </c>
      <c r="E167" s="80">
        <f>SUMIFS('февраль 2024'!$G$6:$G$1413,'февраль 2024'!$D$6:$D$1413,$B167,'февраль 2024'!$J$6:$J$1413,E$1)</f>
        <v>0</v>
      </c>
      <c r="F167" s="80">
        <f>SUMIFS('февраль 2024'!$G$6:$G$1413,'февраль 2024'!$D$6:$D$1413,$B167,'февраль 2024'!$J$6:$J$1413,F$1)</f>
        <v>0</v>
      </c>
      <c r="G167" s="80">
        <f>SUMIFS('февраль 2024'!$G$6:$G$1413,'февраль 2024'!$D$6:$D$1413,$B167,'февраль 2024'!$J$6:$J$1413,G$1)</f>
        <v>0</v>
      </c>
      <c r="H167" s="80">
        <f>SUMIFS('февраль 2024'!$G$6:$G$1413,'февраль 2024'!$D$6:$D$1413,$B167,'февраль 2024'!$J$6:$J$1413,H$1)</f>
        <v>0</v>
      </c>
      <c r="I167" s="80">
        <f>SUMIFS('февраль 2024'!$G$6:$G$1413,'февраль 2024'!$D$6:$D$1413,$B167,'февраль 2024'!$J$6:$J$1413,I$1)</f>
        <v>0</v>
      </c>
      <c r="J167" s="80">
        <f>SUMIFS('февраль 2024'!$G$6:$G$1413,'февраль 2024'!$D$6:$D$1413,$B167,'февраль 2024'!$J$6:$J$1413,J$1)</f>
        <v>0</v>
      </c>
      <c r="K167" s="80">
        <f>SUMIFS('февраль 2024'!$G$6:$G$1413,'февраль 2024'!$D$6:$D$1413,$B167,'февраль 2024'!$J$6:$J$1413,K$1)</f>
        <v>0</v>
      </c>
      <c r="L167" s="80">
        <f>SUMIFS('февраль 2024'!$G$6:$G$1413,'февраль 2024'!$D$6:$D$1413,$B167,'февраль 2024'!$J$6:$J$1413,L$1)</f>
        <v>0</v>
      </c>
      <c r="M167" s="80">
        <f>SUMIFS('февраль 2024'!$G$6:$G$1413,'февраль 2024'!$D$6:$D$1413,$B167,'февраль 2024'!$J$6:$J$1413,M$1)</f>
        <v>0</v>
      </c>
      <c r="N167" s="80">
        <f>SUMIFS('февраль 2024'!$G$6:$G$1413,'февраль 2024'!$D$6:$D$1413,$B167,'февраль 2024'!$J$6:$J$1413,N$1)</f>
        <v>0</v>
      </c>
      <c r="O167" s="80">
        <f>SUMIFS('февраль 2024'!$G$6:$G$1413,'февраль 2024'!$D$6:$D$1413,$B167,'февраль 2024'!$J$6:$J$1413,O$1)</f>
        <v>0</v>
      </c>
      <c r="P167" s="80">
        <f>SUMIFS('февраль 2024'!$G$6:$G$1413,'февраль 2024'!$D$6:$D$1413,$B167,'февраль 2024'!$J$6:$J$1413,P$1)</f>
        <v>0</v>
      </c>
      <c r="Q167" s="80">
        <f>SUMIFS('февраль 2024'!$G$6:$G$1413,'февраль 2024'!$D$6:$D$1413,$B167,'февраль 2024'!$J$6:$J$1413,Q$1)</f>
        <v>0</v>
      </c>
      <c r="R167" s="80">
        <f>SUMIFS('февраль 2024'!$G$6:$G$1413,'февраль 2024'!$D$6:$D$1413,$B167,'февраль 2024'!$J$6:$J$1413,R$1)</f>
        <v>0</v>
      </c>
      <c r="S167" s="80">
        <f>SUMIFS('февраль 2024'!$G$6:$G$1413,'февраль 2024'!$D$6:$D$1413,$B167,'февраль 2024'!$J$6:$J$1413,S$1)</f>
        <v>0</v>
      </c>
      <c r="T167" s="80">
        <f>SUMIFS('февраль 2024'!$G$6:$G$1413,'февраль 2024'!$D$6:$D$1413,$B167,'февраль 2024'!$J$6:$J$1413,T$1)</f>
        <v>0</v>
      </c>
      <c r="U167" s="80">
        <f>SUMIFS('февраль 2024'!$G$6:$G$1413,'февраль 2024'!$D$6:$D$1413,$B167,'февраль 2024'!$J$6:$J$1413,U$1)</f>
        <v>0</v>
      </c>
      <c r="V167" s="80">
        <f>SUMIFS('февраль 2024'!$G$6:$G$1413,'февраль 2024'!$D$6:$D$1413,$B167,'февраль 2024'!$J$6:$J$1413,V$1)</f>
        <v>0</v>
      </c>
      <c r="W167" s="80">
        <f>SUMIFS('февраль 2024'!$G$6:$G$1413,'февраль 2024'!$D$6:$D$1413,$B167,'февраль 2024'!$J$6:$J$1413,W$1)</f>
        <v>0</v>
      </c>
      <c r="X167" s="80">
        <f>SUMIFS('февраль 2024'!$G$6:$G$1413,'февраль 2024'!$D$6:$D$1413,$B167,'февраль 2024'!$J$6:$J$1413,X$1)</f>
        <v>0</v>
      </c>
      <c r="Y167" s="80">
        <f>SUMIFS('февраль 2024'!$G$6:$G$1413,'февраль 2024'!$D$6:$D$1413,$B167,'февраль 2024'!$J$6:$J$1413,Y$1)</f>
        <v>0</v>
      </c>
      <c r="Z167" s="80">
        <f>SUMIFS('февраль 2024'!$G$6:$G$1413,'февраль 2024'!$D$6:$D$1413,$B167,'февраль 2024'!$J$6:$J$1413,Z$1)</f>
        <v>0</v>
      </c>
      <c r="AA167" s="80">
        <f>SUMIFS('февраль 2024'!$G$6:$G$1413,'февраль 2024'!$D$6:$D$1413,$B167,'февраль 2024'!$J$6:$J$1413,AA$1)</f>
        <v>0</v>
      </c>
      <c r="AB167" s="80">
        <f>SUMIFS('февраль 2024'!$G$6:$G$1413,'февраль 2024'!$D$6:$D$1413,$B167,'февраль 2024'!$J$6:$J$1413,AB$1)</f>
        <v>0</v>
      </c>
      <c r="AC167" s="80">
        <f>SUMIFS('февраль 2024'!$G$6:$G$1413,'февраль 2024'!$D$6:$D$1413,$B167,'февраль 2024'!$J$6:$J$1413,AC$1)</f>
        <v>0</v>
      </c>
      <c r="AD167" s="80">
        <f>SUMIFS('февраль 2024'!$G$6:$G$1413,'февраль 2024'!$D$6:$D$1413,$B167,'февраль 2024'!$J$6:$J$1413,AD$1)</f>
        <v>0</v>
      </c>
      <c r="AE167" s="80">
        <f>SUMIFS('февраль 2024'!$G$6:$G$1413,'февраль 2024'!$D$6:$D$1413,$B167,'февраль 2024'!$J$6:$J$1413,AE$1)</f>
        <v>0</v>
      </c>
      <c r="AF167" s="80">
        <f>SUMIFS('февраль 2024'!$G$6:$G$1413,'февраль 2024'!$D$6:$D$1413,$B167,'февраль 2024'!$J$6:$J$1413,AF$1)</f>
        <v>0</v>
      </c>
      <c r="AG167" s="80">
        <f>SUMIFS('февраль 2024'!$G$6:$G$1413,'февраль 2024'!$D$6:$D$1413,$B167,'февраль 2024'!$J$6:$J$1413,AG$1)</f>
        <v>0</v>
      </c>
      <c r="AH167" s="80">
        <f>SUMIFS('февраль 2024'!$G$6:$G$1413,'февраль 2024'!$D$6:$D$1413,$B167,'февраль 2024'!$J$6:$J$1413,AH$1)</f>
        <v>0</v>
      </c>
      <c r="AI167" s="87"/>
    </row>
    <row r="168" spans="2:35" ht="15" hidden="1" customHeight="1" x14ac:dyDescent="0.25">
      <c r="B168" s="89"/>
      <c r="C168" s="91"/>
      <c r="D168" s="80">
        <f>SUMIFS('февраль 2024'!$G$6:$G$1413,'февраль 2024'!$D$6:$D$1413,$B168,'февраль 2024'!$J$6:$J$1413,D$1)</f>
        <v>0</v>
      </c>
      <c r="E168" s="80">
        <f>SUMIFS('февраль 2024'!$G$6:$G$1413,'февраль 2024'!$D$6:$D$1413,$B168,'февраль 2024'!$J$6:$J$1413,E$1)</f>
        <v>0</v>
      </c>
      <c r="F168" s="80">
        <f>SUMIFS('февраль 2024'!$G$6:$G$1413,'февраль 2024'!$D$6:$D$1413,$B168,'февраль 2024'!$J$6:$J$1413,F$1)</f>
        <v>0</v>
      </c>
      <c r="G168" s="80">
        <f>SUMIFS('февраль 2024'!$G$6:$G$1413,'февраль 2024'!$D$6:$D$1413,$B168,'февраль 2024'!$J$6:$J$1413,G$1)</f>
        <v>0</v>
      </c>
      <c r="H168" s="80">
        <f>SUMIFS('февраль 2024'!$G$6:$G$1413,'февраль 2024'!$D$6:$D$1413,$B168,'февраль 2024'!$J$6:$J$1413,H$1)</f>
        <v>0</v>
      </c>
      <c r="I168" s="80">
        <f>SUMIFS('февраль 2024'!$G$6:$G$1413,'февраль 2024'!$D$6:$D$1413,$B168,'февраль 2024'!$J$6:$J$1413,I$1)</f>
        <v>0</v>
      </c>
      <c r="J168" s="80">
        <f>SUMIFS('февраль 2024'!$G$6:$G$1413,'февраль 2024'!$D$6:$D$1413,$B168,'февраль 2024'!$J$6:$J$1413,J$1)</f>
        <v>0</v>
      </c>
      <c r="K168" s="80">
        <f>SUMIFS('февраль 2024'!$G$6:$G$1413,'февраль 2024'!$D$6:$D$1413,$B168,'февраль 2024'!$J$6:$J$1413,K$1)</f>
        <v>0</v>
      </c>
      <c r="L168" s="80">
        <f>SUMIFS('февраль 2024'!$G$6:$G$1413,'февраль 2024'!$D$6:$D$1413,$B168,'февраль 2024'!$J$6:$J$1413,L$1)</f>
        <v>0</v>
      </c>
      <c r="M168" s="80">
        <f>SUMIFS('февраль 2024'!$G$6:$G$1413,'февраль 2024'!$D$6:$D$1413,$B168,'февраль 2024'!$J$6:$J$1413,M$1)</f>
        <v>0</v>
      </c>
      <c r="N168" s="80">
        <f>SUMIFS('февраль 2024'!$G$6:$G$1413,'февраль 2024'!$D$6:$D$1413,$B168,'февраль 2024'!$J$6:$J$1413,N$1)</f>
        <v>0</v>
      </c>
      <c r="O168" s="80">
        <f>SUMIFS('февраль 2024'!$G$6:$G$1413,'февраль 2024'!$D$6:$D$1413,$B168,'февраль 2024'!$J$6:$J$1413,O$1)</f>
        <v>0</v>
      </c>
      <c r="P168" s="80">
        <f>SUMIFS('февраль 2024'!$G$6:$G$1413,'февраль 2024'!$D$6:$D$1413,$B168,'февраль 2024'!$J$6:$J$1413,P$1)</f>
        <v>0</v>
      </c>
      <c r="Q168" s="80">
        <f>SUMIFS('февраль 2024'!$G$6:$G$1413,'февраль 2024'!$D$6:$D$1413,$B168,'февраль 2024'!$J$6:$J$1413,Q$1)</f>
        <v>0</v>
      </c>
      <c r="R168" s="80">
        <f>SUMIFS('февраль 2024'!$G$6:$G$1413,'февраль 2024'!$D$6:$D$1413,$B168,'февраль 2024'!$J$6:$J$1413,R$1)</f>
        <v>0</v>
      </c>
      <c r="S168" s="80">
        <f>SUMIFS('февраль 2024'!$G$6:$G$1413,'февраль 2024'!$D$6:$D$1413,$B168,'февраль 2024'!$J$6:$J$1413,S$1)</f>
        <v>0</v>
      </c>
      <c r="T168" s="80">
        <f>SUMIFS('февраль 2024'!$G$6:$G$1413,'февраль 2024'!$D$6:$D$1413,$B168,'февраль 2024'!$J$6:$J$1413,T$1)</f>
        <v>0</v>
      </c>
      <c r="U168" s="80">
        <f>SUMIFS('февраль 2024'!$G$6:$G$1413,'февраль 2024'!$D$6:$D$1413,$B168,'февраль 2024'!$J$6:$J$1413,U$1)</f>
        <v>0</v>
      </c>
      <c r="V168" s="80">
        <f>SUMIFS('февраль 2024'!$G$6:$G$1413,'февраль 2024'!$D$6:$D$1413,$B168,'февраль 2024'!$J$6:$J$1413,V$1)</f>
        <v>0</v>
      </c>
      <c r="W168" s="80">
        <f>SUMIFS('февраль 2024'!$G$6:$G$1413,'февраль 2024'!$D$6:$D$1413,$B168,'февраль 2024'!$J$6:$J$1413,W$1)</f>
        <v>0</v>
      </c>
      <c r="X168" s="80">
        <f>SUMIFS('февраль 2024'!$G$6:$G$1413,'февраль 2024'!$D$6:$D$1413,$B168,'февраль 2024'!$J$6:$J$1413,X$1)</f>
        <v>0</v>
      </c>
      <c r="Y168" s="80">
        <f>SUMIFS('февраль 2024'!$G$6:$G$1413,'февраль 2024'!$D$6:$D$1413,$B168,'февраль 2024'!$J$6:$J$1413,Y$1)</f>
        <v>0</v>
      </c>
      <c r="Z168" s="80">
        <f>SUMIFS('февраль 2024'!$G$6:$G$1413,'февраль 2024'!$D$6:$D$1413,$B168,'февраль 2024'!$J$6:$J$1413,Z$1)</f>
        <v>0</v>
      </c>
      <c r="AA168" s="80">
        <f>SUMIFS('февраль 2024'!$G$6:$G$1413,'февраль 2024'!$D$6:$D$1413,$B168,'февраль 2024'!$J$6:$J$1413,AA$1)</f>
        <v>0</v>
      </c>
      <c r="AB168" s="80">
        <f>SUMIFS('февраль 2024'!$G$6:$G$1413,'февраль 2024'!$D$6:$D$1413,$B168,'февраль 2024'!$J$6:$J$1413,AB$1)</f>
        <v>0</v>
      </c>
      <c r="AC168" s="80">
        <f>SUMIFS('февраль 2024'!$G$6:$G$1413,'февраль 2024'!$D$6:$D$1413,$B168,'февраль 2024'!$J$6:$J$1413,AC$1)</f>
        <v>0</v>
      </c>
      <c r="AD168" s="80">
        <f>SUMIFS('февраль 2024'!$G$6:$G$1413,'февраль 2024'!$D$6:$D$1413,$B168,'февраль 2024'!$J$6:$J$1413,AD$1)</f>
        <v>0</v>
      </c>
      <c r="AE168" s="80">
        <f>SUMIFS('февраль 2024'!$G$6:$G$1413,'февраль 2024'!$D$6:$D$1413,$B168,'февраль 2024'!$J$6:$J$1413,AE$1)</f>
        <v>0</v>
      </c>
      <c r="AF168" s="80">
        <f>SUMIFS('февраль 2024'!$G$6:$G$1413,'февраль 2024'!$D$6:$D$1413,$B168,'февраль 2024'!$J$6:$J$1413,AF$1)</f>
        <v>0</v>
      </c>
      <c r="AG168" s="80">
        <f>SUMIFS('февраль 2024'!$G$6:$G$1413,'февраль 2024'!$D$6:$D$1413,$B168,'февраль 2024'!$J$6:$J$1413,AG$1)</f>
        <v>0</v>
      </c>
      <c r="AH168" s="80">
        <f>SUMIFS('февраль 2024'!$G$6:$G$1413,'февраль 2024'!$D$6:$D$1413,$B168,'февраль 2024'!$J$6:$J$1413,AH$1)</f>
        <v>0</v>
      </c>
      <c r="AI168" s="87"/>
    </row>
    <row r="169" spans="2:35" ht="15" hidden="1" customHeight="1" x14ac:dyDescent="0.25">
      <c r="B169" s="89"/>
      <c r="C169" s="91"/>
      <c r="D169" s="80">
        <f>SUMIFS('февраль 2024'!$G$6:$G$1413,'февраль 2024'!$D$6:$D$1413,$B169,'февраль 2024'!$J$6:$J$1413,D$1)</f>
        <v>0</v>
      </c>
      <c r="E169" s="80">
        <f>SUMIFS('февраль 2024'!$G$6:$G$1413,'февраль 2024'!$D$6:$D$1413,$B169,'февраль 2024'!$J$6:$J$1413,E$1)</f>
        <v>0</v>
      </c>
      <c r="F169" s="80">
        <f>SUMIFS('февраль 2024'!$G$6:$G$1413,'февраль 2024'!$D$6:$D$1413,$B169,'февраль 2024'!$J$6:$J$1413,F$1)</f>
        <v>0</v>
      </c>
      <c r="G169" s="80">
        <f>SUMIFS('февраль 2024'!$G$6:$G$1413,'февраль 2024'!$D$6:$D$1413,$B169,'февраль 2024'!$J$6:$J$1413,G$1)</f>
        <v>0</v>
      </c>
      <c r="H169" s="80">
        <f>SUMIFS('февраль 2024'!$G$6:$G$1413,'февраль 2024'!$D$6:$D$1413,$B169,'февраль 2024'!$J$6:$J$1413,H$1)</f>
        <v>0</v>
      </c>
      <c r="I169" s="80">
        <f>SUMIFS('февраль 2024'!$G$6:$G$1413,'февраль 2024'!$D$6:$D$1413,$B169,'февраль 2024'!$J$6:$J$1413,I$1)</f>
        <v>0</v>
      </c>
      <c r="J169" s="80">
        <f>SUMIFS('февраль 2024'!$G$6:$G$1413,'февраль 2024'!$D$6:$D$1413,$B169,'февраль 2024'!$J$6:$J$1413,J$1)</f>
        <v>0</v>
      </c>
      <c r="K169" s="80">
        <f>SUMIFS('февраль 2024'!$G$6:$G$1413,'февраль 2024'!$D$6:$D$1413,$B169,'февраль 2024'!$J$6:$J$1413,K$1)</f>
        <v>0</v>
      </c>
      <c r="L169" s="80">
        <f>SUMIFS('февраль 2024'!$G$6:$G$1413,'февраль 2024'!$D$6:$D$1413,$B169,'февраль 2024'!$J$6:$J$1413,L$1)</f>
        <v>0</v>
      </c>
      <c r="M169" s="80">
        <f>SUMIFS('февраль 2024'!$G$6:$G$1413,'февраль 2024'!$D$6:$D$1413,$B169,'февраль 2024'!$J$6:$J$1413,M$1)</f>
        <v>0</v>
      </c>
      <c r="N169" s="80">
        <f>SUMIFS('февраль 2024'!$G$6:$G$1413,'февраль 2024'!$D$6:$D$1413,$B169,'февраль 2024'!$J$6:$J$1413,N$1)</f>
        <v>0</v>
      </c>
      <c r="O169" s="80">
        <f>SUMIFS('февраль 2024'!$G$6:$G$1413,'февраль 2024'!$D$6:$D$1413,$B169,'февраль 2024'!$J$6:$J$1413,O$1)</f>
        <v>0</v>
      </c>
      <c r="P169" s="80">
        <f>SUMIFS('февраль 2024'!$G$6:$G$1413,'февраль 2024'!$D$6:$D$1413,$B169,'февраль 2024'!$J$6:$J$1413,P$1)</f>
        <v>0</v>
      </c>
      <c r="Q169" s="80">
        <f>SUMIFS('февраль 2024'!$G$6:$G$1413,'февраль 2024'!$D$6:$D$1413,$B169,'февраль 2024'!$J$6:$J$1413,Q$1)</f>
        <v>0</v>
      </c>
      <c r="R169" s="80">
        <f>SUMIFS('февраль 2024'!$G$6:$G$1413,'февраль 2024'!$D$6:$D$1413,$B169,'февраль 2024'!$J$6:$J$1413,R$1)</f>
        <v>0</v>
      </c>
      <c r="S169" s="80">
        <f>SUMIFS('февраль 2024'!$G$6:$G$1413,'февраль 2024'!$D$6:$D$1413,$B169,'февраль 2024'!$J$6:$J$1413,S$1)</f>
        <v>0</v>
      </c>
      <c r="T169" s="80">
        <f>SUMIFS('февраль 2024'!$G$6:$G$1413,'февраль 2024'!$D$6:$D$1413,$B169,'февраль 2024'!$J$6:$J$1413,T$1)</f>
        <v>0</v>
      </c>
      <c r="U169" s="80">
        <f>SUMIFS('февраль 2024'!$G$6:$G$1413,'февраль 2024'!$D$6:$D$1413,$B169,'февраль 2024'!$J$6:$J$1413,U$1)</f>
        <v>0</v>
      </c>
      <c r="V169" s="80">
        <f>SUMIFS('февраль 2024'!$G$6:$G$1413,'февраль 2024'!$D$6:$D$1413,$B169,'февраль 2024'!$J$6:$J$1413,V$1)</f>
        <v>0</v>
      </c>
      <c r="W169" s="80">
        <f>SUMIFS('февраль 2024'!$G$6:$G$1413,'февраль 2024'!$D$6:$D$1413,$B169,'февраль 2024'!$J$6:$J$1413,W$1)</f>
        <v>0</v>
      </c>
      <c r="X169" s="80">
        <f>SUMIFS('февраль 2024'!$G$6:$G$1413,'февраль 2024'!$D$6:$D$1413,$B169,'февраль 2024'!$J$6:$J$1413,X$1)</f>
        <v>0</v>
      </c>
      <c r="Y169" s="80">
        <f>SUMIFS('февраль 2024'!$G$6:$G$1413,'февраль 2024'!$D$6:$D$1413,$B169,'февраль 2024'!$J$6:$J$1413,Y$1)</f>
        <v>0</v>
      </c>
      <c r="Z169" s="80">
        <f>SUMIFS('февраль 2024'!$G$6:$G$1413,'февраль 2024'!$D$6:$D$1413,$B169,'февраль 2024'!$J$6:$J$1413,Z$1)</f>
        <v>0</v>
      </c>
      <c r="AA169" s="80">
        <f>SUMIFS('февраль 2024'!$G$6:$G$1413,'февраль 2024'!$D$6:$D$1413,$B169,'февраль 2024'!$J$6:$J$1413,AA$1)</f>
        <v>0</v>
      </c>
      <c r="AB169" s="80">
        <f>SUMIFS('февраль 2024'!$G$6:$G$1413,'февраль 2024'!$D$6:$D$1413,$B169,'февраль 2024'!$J$6:$J$1413,AB$1)</f>
        <v>0</v>
      </c>
      <c r="AC169" s="80">
        <f>SUMIFS('февраль 2024'!$G$6:$G$1413,'февраль 2024'!$D$6:$D$1413,$B169,'февраль 2024'!$J$6:$J$1413,AC$1)</f>
        <v>0</v>
      </c>
      <c r="AD169" s="80">
        <f>SUMIFS('февраль 2024'!$G$6:$G$1413,'февраль 2024'!$D$6:$D$1413,$B169,'февраль 2024'!$J$6:$J$1413,AD$1)</f>
        <v>0</v>
      </c>
      <c r="AE169" s="80">
        <f>SUMIFS('февраль 2024'!$G$6:$G$1413,'февраль 2024'!$D$6:$D$1413,$B169,'февраль 2024'!$J$6:$J$1413,AE$1)</f>
        <v>0</v>
      </c>
      <c r="AF169" s="80">
        <f>SUMIFS('февраль 2024'!$G$6:$G$1413,'февраль 2024'!$D$6:$D$1413,$B169,'февраль 2024'!$J$6:$J$1413,AF$1)</f>
        <v>0</v>
      </c>
      <c r="AG169" s="80">
        <f>SUMIFS('февраль 2024'!$G$6:$G$1413,'февраль 2024'!$D$6:$D$1413,$B169,'февраль 2024'!$J$6:$J$1413,AG$1)</f>
        <v>0</v>
      </c>
      <c r="AH169" s="80">
        <f>SUMIFS('февраль 2024'!$G$6:$G$1413,'февраль 2024'!$D$6:$D$1413,$B169,'февраль 2024'!$J$6:$J$1413,AH$1)</f>
        <v>0</v>
      </c>
      <c r="AI169" s="87"/>
    </row>
    <row r="170" spans="2:35" ht="15" hidden="1" customHeight="1" x14ac:dyDescent="0.25">
      <c r="B170" s="89"/>
      <c r="C170" s="91"/>
      <c r="D170" s="80">
        <f>SUMIFS('февраль 2024'!$G$6:$G$1413,'февраль 2024'!$D$6:$D$1413,$B170,'февраль 2024'!$J$6:$J$1413,D$1)</f>
        <v>0</v>
      </c>
      <c r="E170" s="80">
        <f>SUMIFS('февраль 2024'!$G$6:$G$1413,'февраль 2024'!$D$6:$D$1413,$B170,'февраль 2024'!$J$6:$J$1413,E$1)</f>
        <v>0</v>
      </c>
      <c r="F170" s="80">
        <f>SUMIFS('февраль 2024'!$G$6:$G$1413,'февраль 2024'!$D$6:$D$1413,$B170,'февраль 2024'!$J$6:$J$1413,F$1)</f>
        <v>0</v>
      </c>
      <c r="G170" s="80">
        <f>SUMIFS('февраль 2024'!$G$6:$G$1413,'февраль 2024'!$D$6:$D$1413,$B170,'февраль 2024'!$J$6:$J$1413,G$1)</f>
        <v>0</v>
      </c>
      <c r="H170" s="80">
        <f>SUMIFS('февраль 2024'!$G$6:$G$1413,'февраль 2024'!$D$6:$D$1413,$B170,'февраль 2024'!$J$6:$J$1413,H$1)</f>
        <v>0</v>
      </c>
      <c r="I170" s="80">
        <f>SUMIFS('февраль 2024'!$G$6:$G$1413,'февраль 2024'!$D$6:$D$1413,$B170,'февраль 2024'!$J$6:$J$1413,I$1)</f>
        <v>0</v>
      </c>
      <c r="J170" s="80">
        <f>SUMIFS('февраль 2024'!$G$6:$G$1413,'февраль 2024'!$D$6:$D$1413,$B170,'февраль 2024'!$J$6:$J$1413,J$1)</f>
        <v>0</v>
      </c>
      <c r="K170" s="80">
        <f>SUMIFS('февраль 2024'!$G$6:$G$1413,'февраль 2024'!$D$6:$D$1413,$B170,'февраль 2024'!$J$6:$J$1413,K$1)</f>
        <v>0</v>
      </c>
      <c r="L170" s="80">
        <f>SUMIFS('февраль 2024'!$G$6:$G$1413,'февраль 2024'!$D$6:$D$1413,$B170,'февраль 2024'!$J$6:$J$1413,L$1)</f>
        <v>0</v>
      </c>
      <c r="M170" s="80">
        <f>SUMIFS('февраль 2024'!$G$6:$G$1413,'февраль 2024'!$D$6:$D$1413,$B170,'февраль 2024'!$J$6:$J$1413,M$1)</f>
        <v>0</v>
      </c>
      <c r="N170" s="80">
        <f>SUMIFS('февраль 2024'!$G$6:$G$1413,'февраль 2024'!$D$6:$D$1413,$B170,'февраль 2024'!$J$6:$J$1413,N$1)</f>
        <v>0</v>
      </c>
      <c r="O170" s="80">
        <f>SUMIFS('февраль 2024'!$G$6:$G$1413,'февраль 2024'!$D$6:$D$1413,$B170,'февраль 2024'!$J$6:$J$1413,O$1)</f>
        <v>0</v>
      </c>
      <c r="P170" s="80">
        <f>SUMIFS('февраль 2024'!$G$6:$G$1413,'февраль 2024'!$D$6:$D$1413,$B170,'февраль 2024'!$J$6:$J$1413,P$1)</f>
        <v>0</v>
      </c>
      <c r="Q170" s="80">
        <f>SUMIFS('февраль 2024'!$G$6:$G$1413,'февраль 2024'!$D$6:$D$1413,$B170,'февраль 2024'!$J$6:$J$1413,Q$1)</f>
        <v>0</v>
      </c>
      <c r="R170" s="80">
        <f>SUMIFS('февраль 2024'!$G$6:$G$1413,'февраль 2024'!$D$6:$D$1413,$B170,'февраль 2024'!$J$6:$J$1413,R$1)</f>
        <v>0</v>
      </c>
      <c r="S170" s="80">
        <f>SUMIFS('февраль 2024'!$G$6:$G$1413,'февраль 2024'!$D$6:$D$1413,$B170,'февраль 2024'!$J$6:$J$1413,S$1)</f>
        <v>0</v>
      </c>
      <c r="T170" s="80">
        <f>SUMIFS('февраль 2024'!$G$6:$G$1413,'февраль 2024'!$D$6:$D$1413,$B170,'февраль 2024'!$J$6:$J$1413,T$1)</f>
        <v>0</v>
      </c>
      <c r="U170" s="80">
        <f>SUMIFS('февраль 2024'!$G$6:$G$1413,'февраль 2024'!$D$6:$D$1413,$B170,'февраль 2024'!$J$6:$J$1413,U$1)</f>
        <v>0</v>
      </c>
      <c r="V170" s="80">
        <f>SUMIFS('февраль 2024'!$G$6:$G$1413,'февраль 2024'!$D$6:$D$1413,$B170,'февраль 2024'!$J$6:$J$1413,V$1)</f>
        <v>0</v>
      </c>
      <c r="W170" s="80">
        <f>SUMIFS('февраль 2024'!$G$6:$G$1413,'февраль 2024'!$D$6:$D$1413,$B170,'февраль 2024'!$J$6:$J$1413,W$1)</f>
        <v>0</v>
      </c>
      <c r="X170" s="80">
        <f>SUMIFS('февраль 2024'!$G$6:$G$1413,'февраль 2024'!$D$6:$D$1413,$B170,'февраль 2024'!$J$6:$J$1413,X$1)</f>
        <v>0</v>
      </c>
      <c r="Y170" s="80">
        <f>SUMIFS('февраль 2024'!$G$6:$G$1413,'февраль 2024'!$D$6:$D$1413,$B170,'февраль 2024'!$J$6:$J$1413,Y$1)</f>
        <v>0</v>
      </c>
      <c r="Z170" s="80">
        <f>SUMIFS('февраль 2024'!$G$6:$G$1413,'февраль 2024'!$D$6:$D$1413,$B170,'февраль 2024'!$J$6:$J$1413,Z$1)</f>
        <v>0</v>
      </c>
      <c r="AA170" s="80">
        <f>SUMIFS('февраль 2024'!$G$6:$G$1413,'февраль 2024'!$D$6:$D$1413,$B170,'февраль 2024'!$J$6:$J$1413,AA$1)</f>
        <v>0</v>
      </c>
      <c r="AB170" s="80">
        <f>SUMIFS('февраль 2024'!$G$6:$G$1413,'февраль 2024'!$D$6:$D$1413,$B170,'февраль 2024'!$J$6:$J$1413,AB$1)</f>
        <v>0</v>
      </c>
      <c r="AC170" s="80">
        <f>SUMIFS('февраль 2024'!$G$6:$G$1413,'февраль 2024'!$D$6:$D$1413,$B170,'февраль 2024'!$J$6:$J$1413,AC$1)</f>
        <v>0</v>
      </c>
      <c r="AD170" s="80">
        <f>SUMIFS('февраль 2024'!$G$6:$G$1413,'февраль 2024'!$D$6:$D$1413,$B170,'февраль 2024'!$J$6:$J$1413,AD$1)</f>
        <v>0</v>
      </c>
      <c r="AE170" s="80">
        <f>SUMIFS('февраль 2024'!$G$6:$G$1413,'февраль 2024'!$D$6:$D$1413,$B170,'февраль 2024'!$J$6:$J$1413,AE$1)</f>
        <v>0</v>
      </c>
      <c r="AF170" s="80">
        <f>SUMIFS('февраль 2024'!$G$6:$G$1413,'февраль 2024'!$D$6:$D$1413,$B170,'февраль 2024'!$J$6:$J$1413,AF$1)</f>
        <v>0</v>
      </c>
      <c r="AG170" s="80">
        <f>SUMIFS('февраль 2024'!$G$6:$G$1413,'февраль 2024'!$D$6:$D$1413,$B170,'февраль 2024'!$J$6:$J$1413,AG$1)</f>
        <v>0</v>
      </c>
      <c r="AH170" s="80">
        <f>SUMIFS('февраль 2024'!$G$6:$G$1413,'февраль 2024'!$D$6:$D$1413,$B170,'февраль 2024'!$J$6:$J$1413,AH$1)</f>
        <v>0</v>
      </c>
      <c r="AI170" s="87"/>
    </row>
    <row r="171" spans="2:35" ht="15" hidden="1" customHeight="1" x14ac:dyDescent="0.25">
      <c r="B171" s="89"/>
      <c r="C171" s="91"/>
      <c r="D171" s="80">
        <f>SUMIFS('февраль 2024'!$G$6:$G$1413,'февраль 2024'!$D$6:$D$1413,$B171,'февраль 2024'!$J$6:$J$1413,D$1)</f>
        <v>0</v>
      </c>
      <c r="E171" s="80">
        <f>SUMIFS('февраль 2024'!$G$6:$G$1413,'февраль 2024'!$D$6:$D$1413,$B171,'февраль 2024'!$J$6:$J$1413,E$1)</f>
        <v>0</v>
      </c>
      <c r="F171" s="80">
        <f>SUMIFS('февраль 2024'!$G$6:$G$1413,'февраль 2024'!$D$6:$D$1413,$B171,'февраль 2024'!$J$6:$J$1413,F$1)</f>
        <v>0</v>
      </c>
      <c r="G171" s="80">
        <f>SUMIFS('февраль 2024'!$G$6:$G$1413,'февраль 2024'!$D$6:$D$1413,$B171,'февраль 2024'!$J$6:$J$1413,G$1)</f>
        <v>0</v>
      </c>
      <c r="H171" s="80">
        <f>SUMIFS('февраль 2024'!$G$6:$G$1413,'февраль 2024'!$D$6:$D$1413,$B171,'февраль 2024'!$J$6:$J$1413,H$1)</f>
        <v>0</v>
      </c>
      <c r="I171" s="80">
        <f>SUMIFS('февраль 2024'!$G$6:$G$1413,'февраль 2024'!$D$6:$D$1413,$B171,'февраль 2024'!$J$6:$J$1413,I$1)</f>
        <v>0</v>
      </c>
      <c r="J171" s="80">
        <f>SUMIFS('февраль 2024'!$G$6:$G$1413,'февраль 2024'!$D$6:$D$1413,$B171,'февраль 2024'!$J$6:$J$1413,J$1)</f>
        <v>0</v>
      </c>
      <c r="K171" s="80">
        <f>SUMIFS('февраль 2024'!$G$6:$G$1413,'февраль 2024'!$D$6:$D$1413,$B171,'февраль 2024'!$J$6:$J$1413,K$1)</f>
        <v>0</v>
      </c>
      <c r="L171" s="80">
        <f>SUMIFS('февраль 2024'!$G$6:$G$1413,'февраль 2024'!$D$6:$D$1413,$B171,'февраль 2024'!$J$6:$J$1413,L$1)</f>
        <v>0</v>
      </c>
      <c r="M171" s="80">
        <f>SUMIFS('февраль 2024'!$G$6:$G$1413,'февраль 2024'!$D$6:$D$1413,$B171,'февраль 2024'!$J$6:$J$1413,M$1)</f>
        <v>0</v>
      </c>
      <c r="N171" s="80">
        <f>SUMIFS('февраль 2024'!$G$6:$G$1413,'февраль 2024'!$D$6:$D$1413,$B171,'февраль 2024'!$J$6:$J$1413,N$1)</f>
        <v>0</v>
      </c>
      <c r="O171" s="80">
        <f>SUMIFS('февраль 2024'!$G$6:$G$1413,'февраль 2024'!$D$6:$D$1413,$B171,'февраль 2024'!$J$6:$J$1413,O$1)</f>
        <v>0</v>
      </c>
      <c r="P171" s="80">
        <f>SUMIFS('февраль 2024'!$G$6:$G$1413,'февраль 2024'!$D$6:$D$1413,$B171,'февраль 2024'!$J$6:$J$1413,P$1)</f>
        <v>0</v>
      </c>
      <c r="Q171" s="80">
        <f>SUMIFS('февраль 2024'!$G$6:$G$1413,'февраль 2024'!$D$6:$D$1413,$B171,'февраль 2024'!$J$6:$J$1413,Q$1)</f>
        <v>0</v>
      </c>
      <c r="R171" s="80">
        <f>SUMIFS('февраль 2024'!$G$6:$G$1413,'февраль 2024'!$D$6:$D$1413,$B171,'февраль 2024'!$J$6:$J$1413,R$1)</f>
        <v>0</v>
      </c>
      <c r="S171" s="80">
        <f>SUMIFS('февраль 2024'!$G$6:$G$1413,'февраль 2024'!$D$6:$D$1413,$B171,'февраль 2024'!$J$6:$J$1413,S$1)</f>
        <v>0</v>
      </c>
      <c r="T171" s="80">
        <f>SUMIFS('февраль 2024'!$G$6:$G$1413,'февраль 2024'!$D$6:$D$1413,$B171,'февраль 2024'!$J$6:$J$1413,T$1)</f>
        <v>0</v>
      </c>
      <c r="U171" s="80">
        <f>SUMIFS('февраль 2024'!$G$6:$G$1413,'февраль 2024'!$D$6:$D$1413,$B171,'февраль 2024'!$J$6:$J$1413,U$1)</f>
        <v>0</v>
      </c>
      <c r="V171" s="80">
        <f>SUMIFS('февраль 2024'!$G$6:$G$1413,'февраль 2024'!$D$6:$D$1413,$B171,'февраль 2024'!$J$6:$J$1413,V$1)</f>
        <v>0</v>
      </c>
      <c r="W171" s="80">
        <f>SUMIFS('февраль 2024'!$G$6:$G$1413,'февраль 2024'!$D$6:$D$1413,$B171,'февраль 2024'!$J$6:$J$1413,W$1)</f>
        <v>0</v>
      </c>
      <c r="X171" s="80">
        <f>SUMIFS('февраль 2024'!$G$6:$G$1413,'февраль 2024'!$D$6:$D$1413,$B171,'февраль 2024'!$J$6:$J$1413,X$1)</f>
        <v>0</v>
      </c>
      <c r="Y171" s="80">
        <f>SUMIFS('февраль 2024'!$G$6:$G$1413,'февраль 2024'!$D$6:$D$1413,$B171,'февраль 2024'!$J$6:$J$1413,Y$1)</f>
        <v>0</v>
      </c>
      <c r="Z171" s="80">
        <f>SUMIFS('февраль 2024'!$G$6:$G$1413,'февраль 2024'!$D$6:$D$1413,$B171,'февраль 2024'!$J$6:$J$1413,Z$1)</f>
        <v>0</v>
      </c>
      <c r="AA171" s="80">
        <f>SUMIFS('февраль 2024'!$G$6:$G$1413,'февраль 2024'!$D$6:$D$1413,$B171,'февраль 2024'!$J$6:$J$1413,AA$1)</f>
        <v>0</v>
      </c>
      <c r="AB171" s="80">
        <f>SUMIFS('февраль 2024'!$G$6:$G$1413,'февраль 2024'!$D$6:$D$1413,$B171,'февраль 2024'!$J$6:$J$1413,AB$1)</f>
        <v>0</v>
      </c>
      <c r="AC171" s="80">
        <f>SUMIFS('февраль 2024'!$G$6:$G$1413,'февраль 2024'!$D$6:$D$1413,$B171,'февраль 2024'!$J$6:$J$1413,AC$1)</f>
        <v>0</v>
      </c>
      <c r="AD171" s="80">
        <f>SUMIFS('февраль 2024'!$G$6:$G$1413,'февраль 2024'!$D$6:$D$1413,$B171,'февраль 2024'!$J$6:$J$1413,AD$1)</f>
        <v>0</v>
      </c>
      <c r="AE171" s="80">
        <f>SUMIFS('февраль 2024'!$G$6:$G$1413,'февраль 2024'!$D$6:$D$1413,$B171,'февраль 2024'!$J$6:$J$1413,AE$1)</f>
        <v>0</v>
      </c>
      <c r="AF171" s="80">
        <f>SUMIFS('февраль 2024'!$G$6:$G$1413,'февраль 2024'!$D$6:$D$1413,$B171,'февраль 2024'!$J$6:$J$1413,AF$1)</f>
        <v>0</v>
      </c>
      <c r="AG171" s="80">
        <f>SUMIFS('февраль 2024'!$G$6:$G$1413,'февраль 2024'!$D$6:$D$1413,$B171,'февраль 2024'!$J$6:$J$1413,AG$1)</f>
        <v>0</v>
      </c>
      <c r="AH171" s="80">
        <f>SUMIFS('февраль 2024'!$G$6:$G$1413,'февраль 2024'!$D$6:$D$1413,$B171,'февраль 2024'!$J$6:$J$1413,AH$1)</f>
        <v>0</v>
      </c>
      <c r="AI171" s="87"/>
    </row>
    <row r="172" spans="2:35" ht="15" hidden="1" customHeight="1" x14ac:dyDescent="0.25">
      <c r="B172" s="89"/>
      <c r="C172" s="88"/>
      <c r="D172" s="80">
        <f>SUMIFS('февраль 2024'!$G$6:$G$1413,'февраль 2024'!$D$6:$D$1413,$B172,'февраль 2024'!$J$6:$J$1413,D$1)</f>
        <v>0</v>
      </c>
      <c r="E172" s="80">
        <f>SUMIFS('февраль 2024'!$G$6:$G$1413,'февраль 2024'!$D$6:$D$1413,$B172,'февраль 2024'!$J$6:$J$1413,E$1)</f>
        <v>0</v>
      </c>
      <c r="F172" s="80">
        <f>SUMIFS('февраль 2024'!$G$6:$G$1413,'февраль 2024'!$D$6:$D$1413,$B172,'февраль 2024'!$J$6:$J$1413,F$1)</f>
        <v>0</v>
      </c>
      <c r="G172" s="80">
        <f>SUMIFS('февраль 2024'!$G$6:$G$1413,'февраль 2024'!$D$6:$D$1413,$B172,'февраль 2024'!$J$6:$J$1413,G$1)</f>
        <v>0</v>
      </c>
      <c r="H172" s="80">
        <f>SUMIFS('февраль 2024'!$G$6:$G$1413,'февраль 2024'!$D$6:$D$1413,$B172,'февраль 2024'!$J$6:$J$1413,H$1)</f>
        <v>0</v>
      </c>
      <c r="I172" s="80">
        <f>SUMIFS('февраль 2024'!$G$6:$G$1413,'февраль 2024'!$D$6:$D$1413,$B172,'февраль 2024'!$J$6:$J$1413,I$1)</f>
        <v>0</v>
      </c>
      <c r="J172" s="80">
        <f>SUMIFS('февраль 2024'!$G$6:$G$1413,'февраль 2024'!$D$6:$D$1413,$B172,'февраль 2024'!$J$6:$J$1413,J$1)</f>
        <v>0</v>
      </c>
      <c r="K172" s="80">
        <f>SUMIFS('февраль 2024'!$G$6:$G$1413,'февраль 2024'!$D$6:$D$1413,$B172,'февраль 2024'!$J$6:$J$1413,K$1)</f>
        <v>0</v>
      </c>
      <c r="L172" s="80">
        <f>SUMIFS('февраль 2024'!$G$6:$G$1413,'февраль 2024'!$D$6:$D$1413,$B172,'февраль 2024'!$J$6:$J$1413,L$1)</f>
        <v>0</v>
      </c>
      <c r="M172" s="80">
        <f>SUMIFS('февраль 2024'!$G$6:$G$1413,'февраль 2024'!$D$6:$D$1413,$B172,'февраль 2024'!$J$6:$J$1413,M$1)</f>
        <v>0</v>
      </c>
      <c r="N172" s="80">
        <f>SUMIFS('февраль 2024'!$G$6:$G$1413,'февраль 2024'!$D$6:$D$1413,$B172,'февраль 2024'!$J$6:$J$1413,N$1)</f>
        <v>0</v>
      </c>
      <c r="O172" s="80">
        <f>SUMIFS('февраль 2024'!$G$6:$G$1413,'февраль 2024'!$D$6:$D$1413,$B172,'февраль 2024'!$J$6:$J$1413,O$1)</f>
        <v>0</v>
      </c>
      <c r="P172" s="80">
        <f>SUMIFS('февраль 2024'!$G$6:$G$1413,'февраль 2024'!$D$6:$D$1413,$B172,'февраль 2024'!$J$6:$J$1413,P$1)</f>
        <v>0</v>
      </c>
      <c r="Q172" s="80">
        <f>SUMIFS('февраль 2024'!$G$6:$G$1413,'февраль 2024'!$D$6:$D$1413,$B172,'февраль 2024'!$J$6:$J$1413,Q$1)</f>
        <v>0</v>
      </c>
      <c r="R172" s="80">
        <f>SUMIFS('февраль 2024'!$G$6:$G$1413,'февраль 2024'!$D$6:$D$1413,$B172,'февраль 2024'!$J$6:$J$1413,R$1)</f>
        <v>0</v>
      </c>
      <c r="S172" s="80">
        <f>SUMIFS('февраль 2024'!$G$6:$G$1413,'февраль 2024'!$D$6:$D$1413,$B172,'февраль 2024'!$J$6:$J$1413,S$1)</f>
        <v>0</v>
      </c>
      <c r="T172" s="80">
        <f>SUMIFS('февраль 2024'!$G$6:$G$1413,'февраль 2024'!$D$6:$D$1413,$B172,'февраль 2024'!$J$6:$J$1413,T$1)</f>
        <v>0</v>
      </c>
      <c r="U172" s="80">
        <f>SUMIFS('февраль 2024'!$G$6:$G$1413,'февраль 2024'!$D$6:$D$1413,$B172,'февраль 2024'!$J$6:$J$1413,U$1)</f>
        <v>0</v>
      </c>
      <c r="V172" s="80">
        <f>SUMIFS('февраль 2024'!$G$6:$G$1413,'февраль 2024'!$D$6:$D$1413,$B172,'февраль 2024'!$J$6:$J$1413,V$1)</f>
        <v>0</v>
      </c>
      <c r="W172" s="80">
        <f>SUMIFS('февраль 2024'!$G$6:$G$1413,'февраль 2024'!$D$6:$D$1413,$B172,'февраль 2024'!$J$6:$J$1413,W$1)</f>
        <v>0</v>
      </c>
      <c r="X172" s="80">
        <f>SUMIFS('февраль 2024'!$G$6:$G$1413,'февраль 2024'!$D$6:$D$1413,$B172,'февраль 2024'!$J$6:$J$1413,X$1)</f>
        <v>0</v>
      </c>
      <c r="Y172" s="80">
        <f>SUMIFS('февраль 2024'!$G$6:$G$1413,'февраль 2024'!$D$6:$D$1413,$B172,'февраль 2024'!$J$6:$J$1413,Y$1)</f>
        <v>0</v>
      </c>
      <c r="Z172" s="80">
        <f>SUMIFS('февраль 2024'!$G$6:$G$1413,'февраль 2024'!$D$6:$D$1413,$B172,'февраль 2024'!$J$6:$J$1413,Z$1)</f>
        <v>0</v>
      </c>
      <c r="AA172" s="80">
        <f>SUMIFS('февраль 2024'!$G$6:$G$1413,'февраль 2024'!$D$6:$D$1413,$B172,'февраль 2024'!$J$6:$J$1413,AA$1)</f>
        <v>0</v>
      </c>
      <c r="AB172" s="80">
        <f>SUMIFS('февраль 2024'!$G$6:$G$1413,'февраль 2024'!$D$6:$D$1413,$B172,'февраль 2024'!$J$6:$J$1413,AB$1)</f>
        <v>0</v>
      </c>
      <c r="AC172" s="80">
        <f>SUMIFS('февраль 2024'!$G$6:$G$1413,'февраль 2024'!$D$6:$D$1413,$B172,'февраль 2024'!$J$6:$J$1413,AC$1)</f>
        <v>0</v>
      </c>
      <c r="AD172" s="80">
        <f>SUMIFS('февраль 2024'!$G$6:$G$1413,'февраль 2024'!$D$6:$D$1413,$B172,'февраль 2024'!$J$6:$J$1413,AD$1)</f>
        <v>0</v>
      </c>
      <c r="AE172" s="80">
        <f>SUMIFS('февраль 2024'!$G$6:$G$1413,'февраль 2024'!$D$6:$D$1413,$B172,'февраль 2024'!$J$6:$J$1413,AE$1)</f>
        <v>0</v>
      </c>
      <c r="AF172" s="80">
        <f>SUMIFS('февраль 2024'!$G$6:$G$1413,'февраль 2024'!$D$6:$D$1413,$B172,'февраль 2024'!$J$6:$J$1413,AF$1)</f>
        <v>0</v>
      </c>
      <c r="AG172" s="80">
        <f>SUMIFS('февраль 2024'!$G$6:$G$1413,'февраль 2024'!$D$6:$D$1413,$B172,'февраль 2024'!$J$6:$J$1413,AG$1)</f>
        <v>0</v>
      </c>
      <c r="AH172" s="80">
        <f>SUMIFS('февраль 2024'!$G$6:$G$1413,'февраль 2024'!$D$6:$D$1413,$B172,'февраль 2024'!$J$6:$J$1413,AH$1)</f>
        <v>0</v>
      </c>
      <c r="AI172" s="87"/>
    </row>
    <row r="173" spans="2:35" ht="15" hidden="1" customHeight="1" x14ac:dyDescent="0.25">
      <c r="B173" s="89"/>
      <c r="C173" s="88"/>
      <c r="D173" s="80">
        <f>SUMIFS('февраль 2024'!$G$6:$G$1413,'февраль 2024'!$D$6:$D$1413,$B173,'февраль 2024'!$J$6:$J$1413,D$1)</f>
        <v>0</v>
      </c>
      <c r="E173" s="80">
        <f>SUMIFS('февраль 2024'!$G$6:$G$1413,'февраль 2024'!$D$6:$D$1413,$B173,'февраль 2024'!$J$6:$J$1413,E$1)</f>
        <v>0</v>
      </c>
      <c r="F173" s="80">
        <f>SUMIFS('февраль 2024'!$G$6:$G$1413,'февраль 2024'!$D$6:$D$1413,$B173,'февраль 2024'!$J$6:$J$1413,F$1)</f>
        <v>0</v>
      </c>
      <c r="G173" s="80">
        <f>SUMIFS('февраль 2024'!$G$6:$G$1413,'февраль 2024'!$D$6:$D$1413,$B173,'февраль 2024'!$J$6:$J$1413,G$1)</f>
        <v>0</v>
      </c>
      <c r="H173" s="80">
        <f>SUMIFS('февраль 2024'!$G$6:$G$1413,'февраль 2024'!$D$6:$D$1413,$B173,'февраль 2024'!$J$6:$J$1413,H$1)</f>
        <v>0</v>
      </c>
      <c r="I173" s="80">
        <f>SUMIFS('февраль 2024'!$G$6:$G$1413,'февраль 2024'!$D$6:$D$1413,$B173,'февраль 2024'!$J$6:$J$1413,I$1)</f>
        <v>0</v>
      </c>
      <c r="J173" s="80">
        <f>SUMIFS('февраль 2024'!$G$6:$G$1413,'февраль 2024'!$D$6:$D$1413,$B173,'февраль 2024'!$J$6:$J$1413,J$1)</f>
        <v>0</v>
      </c>
      <c r="K173" s="80">
        <f>SUMIFS('февраль 2024'!$G$6:$G$1413,'февраль 2024'!$D$6:$D$1413,$B173,'февраль 2024'!$J$6:$J$1413,K$1)</f>
        <v>0</v>
      </c>
      <c r="L173" s="80">
        <f>SUMIFS('февраль 2024'!$G$6:$G$1413,'февраль 2024'!$D$6:$D$1413,$B173,'февраль 2024'!$J$6:$J$1413,L$1)</f>
        <v>0</v>
      </c>
      <c r="M173" s="80">
        <f>SUMIFS('февраль 2024'!$G$6:$G$1413,'февраль 2024'!$D$6:$D$1413,$B173,'февраль 2024'!$J$6:$J$1413,M$1)</f>
        <v>0</v>
      </c>
      <c r="N173" s="80">
        <f>SUMIFS('февраль 2024'!$G$6:$G$1413,'февраль 2024'!$D$6:$D$1413,$B173,'февраль 2024'!$J$6:$J$1413,N$1)</f>
        <v>0</v>
      </c>
      <c r="O173" s="80">
        <f>SUMIFS('февраль 2024'!$G$6:$G$1413,'февраль 2024'!$D$6:$D$1413,$B173,'февраль 2024'!$J$6:$J$1413,O$1)</f>
        <v>0</v>
      </c>
      <c r="P173" s="80">
        <f>SUMIFS('февраль 2024'!$G$6:$G$1413,'февраль 2024'!$D$6:$D$1413,$B173,'февраль 2024'!$J$6:$J$1413,P$1)</f>
        <v>0</v>
      </c>
      <c r="Q173" s="80">
        <f>SUMIFS('февраль 2024'!$G$6:$G$1413,'февраль 2024'!$D$6:$D$1413,$B173,'февраль 2024'!$J$6:$J$1413,Q$1)</f>
        <v>0</v>
      </c>
      <c r="R173" s="80">
        <f>SUMIFS('февраль 2024'!$G$6:$G$1413,'февраль 2024'!$D$6:$D$1413,$B173,'февраль 2024'!$J$6:$J$1413,R$1)</f>
        <v>0</v>
      </c>
      <c r="S173" s="80">
        <f>SUMIFS('февраль 2024'!$G$6:$G$1413,'февраль 2024'!$D$6:$D$1413,$B173,'февраль 2024'!$J$6:$J$1413,S$1)</f>
        <v>0</v>
      </c>
      <c r="T173" s="80">
        <f>SUMIFS('февраль 2024'!$G$6:$G$1413,'февраль 2024'!$D$6:$D$1413,$B173,'февраль 2024'!$J$6:$J$1413,T$1)</f>
        <v>0</v>
      </c>
      <c r="U173" s="80">
        <f>SUMIFS('февраль 2024'!$G$6:$G$1413,'февраль 2024'!$D$6:$D$1413,$B173,'февраль 2024'!$J$6:$J$1413,U$1)</f>
        <v>0</v>
      </c>
      <c r="V173" s="80">
        <f>SUMIFS('февраль 2024'!$G$6:$G$1413,'февраль 2024'!$D$6:$D$1413,$B173,'февраль 2024'!$J$6:$J$1413,V$1)</f>
        <v>0</v>
      </c>
      <c r="W173" s="80">
        <f>SUMIFS('февраль 2024'!$G$6:$G$1413,'февраль 2024'!$D$6:$D$1413,$B173,'февраль 2024'!$J$6:$J$1413,W$1)</f>
        <v>0</v>
      </c>
      <c r="X173" s="80">
        <f>SUMIFS('февраль 2024'!$G$6:$G$1413,'февраль 2024'!$D$6:$D$1413,$B173,'февраль 2024'!$J$6:$J$1413,X$1)</f>
        <v>0</v>
      </c>
      <c r="Y173" s="80">
        <f>SUMIFS('февраль 2024'!$G$6:$G$1413,'февраль 2024'!$D$6:$D$1413,$B173,'февраль 2024'!$J$6:$J$1413,Y$1)</f>
        <v>0</v>
      </c>
      <c r="Z173" s="80">
        <f>SUMIFS('февраль 2024'!$G$6:$G$1413,'февраль 2024'!$D$6:$D$1413,$B173,'февраль 2024'!$J$6:$J$1413,Z$1)</f>
        <v>0</v>
      </c>
      <c r="AA173" s="80">
        <f>SUMIFS('февраль 2024'!$G$6:$G$1413,'февраль 2024'!$D$6:$D$1413,$B173,'февраль 2024'!$J$6:$J$1413,AA$1)</f>
        <v>0</v>
      </c>
      <c r="AB173" s="80">
        <f>SUMIFS('февраль 2024'!$G$6:$G$1413,'февраль 2024'!$D$6:$D$1413,$B173,'февраль 2024'!$J$6:$J$1413,AB$1)</f>
        <v>0</v>
      </c>
      <c r="AC173" s="80">
        <f>SUMIFS('февраль 2024'!$G$6:$G$1413,'февраль 2024'!$D$6:$D$1413,$B173,'февраль 2024'!$J$6:$J$1413,AC$1)</f>
        <v>0</v>
      </c>
      <c r="AD173" s="80">
        <f>SUMIFS('февраль 2024'!$G$6:$G$1413,'февраль 2024'!$D$6:$D$1413,$B173,'февраль 2024'!$J$6:$J$1413,AD$1)</f>
        <v>0</v>
      </c>
      <c r="AE173" s="80">
        <f>SUMIFS('февраль 2024'!$G$6:$G$1413,'февраль 2024'!$D$6:$D$1413,$B173,'февраль 2024'!$J$6:$J$1413,AE$1)</f>
        <v>0</v>
      </c>
      <c r="AF173" s="80">
        <f>SUMIFS('февраль 2024'!$G$6:$G$1413,'февраль 2024'!$D$6:$D$1413,$B173,'февраль 2024'!$J$6:$J$1413,AF$1)</f>
        <v>0</v>
      </c>
      <c r="AG173" s="80">
        <f>SUMIFS('февраль 2024'!$G$6:$G$1413,'февраль 2024'!$D$6:$D$1413,$B173,'февраль 2024'!$J$6:$J$1413,AG$1)</f>
        <v>0</v>
      </c>
      <c r="AH173" s="80">
        <f>SUMIFS('февраль 2024'!$G$6:$G$1413,'февраль 2024'!$D$6:$D$1413,$B173,'февраль 2024'!$J$6:$J$1413,AH$1)</f>
        <v>0</v>
      </c>
      <c r="AI173" s="87"/>
    </row>
    <row r="174" spans="2:35" ht="15" hidden="1" customHeight="1" x14ac:dyDescent="0.25">
      <c r="B174" s="89"/>
      <c r="C174" s="88"/>
      <c r="D174" s="80">
        <f>SUMIFS('февраль 2024'!$G$6:$G$1413,'февраль 2024'!$D$6:$D$1413,$B174,'февраль 2024'!$J$6:$J$1413,D$1)</f>
        <v>0</v>
      </c>
      <c r="E174" s="80">
        <f>SUMIFS('февраль 2024'!$G$6:$G$1413,'февраль 2024'!$D$6:$D$1413,$B174,'февраль 2024'!$J$6:$J$1413,E$1)</f>
        <v>0</v>
      </c>
      <c r="F174" s="80">
        <f>SUMIFS('февраль 2024'!$G$6:$G$1413,'февраль 2024'!$D$6:$D$1413,$B174,'февраль 2024'!$J$6:$J$1413,F$1)</f>
        <v>0</v>
      </c>
      <c r="G174" s="80">
        <f>SUMIFS('февраль 2024'!$G$6:$G$1413,'февраль 2024'!$D$6:$D$1413,$B174,'февраль 2024'!$J$6:$J$1413,G$1)</f>
        <v>0</v>
      </c>
      <c r="H174" s="80">
        <f>SUMIFS('февраль 2024'!$G$6:$G$1413,'февраль 2024'!$D$6:$D$1413,$B174,'февраль 2024'!$J$6:$J$1413,H$1)</f>
        <v>0</v>
      </c>
      <c r="I174" s="80">
        <f>SUMIFS('февраль 2024'!$G$6:$G$1413,'февраль 2024'!$D$6:$D$1413,$B174,'февраль 2024'!$J$6:$J$1413,I$1)</f>
        <v>0</v>
      </c>
      <c r="J174" s="80">
        <f>SUMIFS('февраль 2024'!$G$6:$G$1413,'февраль 2024'!$D$6:$D$1413,$B174,'февраль 2024'!$J$6:$J$1413,J$1)</f>
        <v>0</v>
      </c>
      <c r="K174" s="80">
        <f>SUMIFS('февраль 2024'!$G$6:$G$1413,'февраль 2024'!$D$6:$D$1413,$B174,'февраль 2024'!$J$6:$J$1413,K$1)</f>
        <v>0</v>
      </c>
      <c r="L174" s="80">
        <f>SUMIFS('февраль 2024'!$G$6:$G$1413,'февраль 2024'!$D$6:$D$1413,$B174,'февраль 2024'!$J$6:$J$1413,L$1)</f>
        <v>0</v>
      </c>
      <c r="M174" s="80">
        <f>SUMIFS('февраль 2024'!$G$6:$G$1413,'февраль 2024'!$D$6:$D$1413,$B174,'февраль 2024'!$J$6:$J$1413,M$1)</f>
        <v>0</v>
      </c>
      <c r="N174" s="80">
        <f>SUMIFS('февраль 2024'!$G$6:$G$1413,'февраль 2024'!$D$6:$D$1413,$B174,'февраль 2024'!$J$6:$J$1413,N$1)</f>
        <v>0</v>
      </c>
      <c r="O174" s="80">
        <f>SUMIFS('февраль 2024'!$G$6:$G$1413,'февраль 2024'!$D$6:$D$1413,$B174,'февраль 2024'!$J$6:$J$1413,O$1)</f>
        <v>0</v>
      </c>
      <c r="P174" s="80">
        <f>SUMIFS('февраль 2024'!$G$6:$G$1413,'февраль 2024'!$D$6:$D$1413,$B174,'февраль 2024'!$J$6:$J$1413,P$1)</f>
        <v>0</v>
      </c>
      <c r="Q174" s="80">
        <f>SUMIFS('февраль 2024'!$G$6:$G$1413,'февраль 2024'!$D$6:$D$1413,$B174,'февраль 2024'!$J$6:$J$1413,Q$1)</f>
        <v>0</v>
      </c>
      <c r="R174" s="80">
        <f>SUMIFS('февраль 2024'!$G$6:$G$1413,'февраль 2024'!$D$6:$D$1413,$B174,'февраль 2024'!$J$6:$J$1413,R$1)</f>
        <v>0</v>
      </c>
      <c r="S174" s="80">
        <f>SUMIFS('февраль 2024'!$G$6:$G$1413,'февраль 2024'!$D$6:$D$1413,$B174,'февраль 2024'!$J$6:$J$1413,S$1)</f>
        <v>0</v>
      </c>
      <c r="T174" s="80">
        <f>SUMIFS('февраль 2024'!$G$6:$G$1413,'февраль 2024'!$D$6:$D$1413,$B174,'февраль 2024'!$J$6:$J$1413,T$1)</f>
        <v>0</v>
      </c>
      <c r="U174" s="80">
        <f>SUMIFS('февраль 2024'!$G$6:$G$1413,'февраль 2024'!$D$6:$D$1413,$B174,'февраль 2024'!$J$6:$J$1413,U$1)</f>
        <v>0</v>
      </c>
      <c r="V174" s="80">
        <f>SUMIFS('февраль 2024'!$G$6:$G$1413,'февраль 2024'!$D$6:$D$1413,$B174,'февраль 2024'!$J$6:$J$1413,V$1)</f>
        <v>0</v>
      </c>
      <c r="W174" s="80">
        <f>SUMIFS('февраль 2024'!$G$6:$G$1413,'февраль 2024'!$D$6:$D$1413,$B174,'февраль 2024'!$J$6:$J$1413,W$1)</f>
        <v>0</v>
      </c>
      <c r="X174" s="80">
        <f>SUMIFS('февраль 2024'!$G$6:$G$1413,'февраль 2024'!$D$6:$D$1413,$B174,'февраль 2024'!$J$6:$J$1413,X$1)</f>
        <v>0</v>
      </c>
      <c r="Y174" s="80">
        <f>SUMIFS('февраль 2024'!$G$6:$G$1413,'февраль 2024'!$D$6:$D$1413,$B174,'февраль 2024'!$J$6:$J$1413,Y$1)</f>
        <v>0</v>
      </c>
      <c r="Z174" s="80">
        <f>SUMIFS('февраль 2024'!$G$6:$G$1413,'февраль 2024'!$D$6:$D$1413,$B174,'февраль 2024'!$J$6:$J$1413,Z$1)</f>
        <v>0</v>
      </c>
      <c r="AA174" s="80">
        <f>SUMIFS('февраль 2024'!$G$6:$G$1413,'февраль 2024'!$D$6:$D$1413,$B174,'февраль 2024'!$J$6:$J$1413,AA$1)</f>
        <v>0</v>
      </c>
      <c r="AB174" s="80">
        <f>SUMIFS('февраль 2024'!$G$6:$G$1413,'февраль 2024'!$D$6:$D$1413,$B174,'февраль 2024'!$J$6:$J$1413,AB$1)</f>
        <v>0</v>
      </c>
      <c r="AC174" s="80">
        <f>SUMIFS('февраль 2024'!$G$6:$G$1413,'февраль 2024'!$D$6:$D$1413,$B174,'февраль 2024'!$J$6:$J$1413,AC$1)</f>
        <v>0</v>
      </c>
      <c r="AD174" s="80">
        <f>SUMIFS('февраль 2024'!$G$6:$G$1413,'февраль 2024'!$D$6:$D$1413,$B174,'февраль 2024'!$J$6:$J$1413,AD$1)</f>
        <v>0</v>
      </c>
      <c r="AE174" s="80">
        <f>SUMIFS('февраль 2024'!$G$6:$G$1413,'февраль 2024'!$D$6:$D$1413,$B174,'февраль 2024'!$J$6:$J$1413,AE$1)</f>
        <v>0</v>
      </c>
      <c r="AF174" s="80">
        <f>SUMIFS('февраль 2024'!$G$6:$G$1413,'февраль 2024'!$D$6:$D$1413,$B174,'февраль 2024'!$J$6:$J$1413,AF$1)</f>
        <v>0</v>
      </c>
      <c r="AG174" s="80">
        <f>SUMIFS('февраль 2024'!$G$6:$G$1413,'февраль 2024'!$D$6:$D$1413,$B174,'февраль 2024'!$J$6:$J$1413,AG$1)</f>
        <v>0</v>
      </c>
      <c r="AH174" s="80">
        <f>SUMIFS('февраль 2024'!$G$6:$G$1413,'февраль 2024'!$D$6:$D$1413,$B174,'февраль 2024'!$J$6:$J$1413,AH$1)</f>
        <v>0</v>
      </c>
      <c r="AI174" s="87"/>
    </row>
    <row r="175" spans="2:35" ht="15" hidden="1" customHeight="1" x14ac:dyDescent="0.25">
      <c r="B175" s="89"/>
      <c r="C175" s="88"/>
      <c r="D175" s="80">
        <f>SUMIFS('февраль 2024'!$G$6:$G$1413,'февраль 2024'!$D$6:$D$1413,$B175,'февраль 2024'!$J$6:$J$1413,D$1)</f>
        <v>0</v>
      </c>
      <c r="E175" s="80">
        <f>SUMIFS('февраль 2024'!$G$6:$G$1413,'февраль 2024'!$D$6:$D$1413,$B175,'февраль 2024'!$J$6:$J$1413,E$1)</f>
        <v>0</v>
      </c>
      <c r="F175" s="80">
        <f>SUMIFS('февраль 2024'!$G$6:$G$1413,'февраль 2024'!$D$6:$D$1413,$B175,'февраль 2024'!$J$6:$J$1413,F$1)</f>
        <v>0</v>
      </c>
      <c r="G175" s="80">
        <f>SUMIFS('февраль 2024'!$G$6:$G$1413,'февраль 2024'!$D$6:$D$1413,$B175,'февраль 2024'!$J$6:$J$1413,G$1)</f>
        <v>0</v>
      </c>
      <c r="H175" s="80">
        <f>SUMIFS('февраль 2024'!$G$6:$G$1413,'февраль 2024'!$D$6:$D$1413,$B175,'февраль 2024'!$J$6:$J$1413,H$1)</f>
        <v>0</v>
      </c>
      <c r="I175" s="80">
        <f>SUMIFS('февраль 2024'!$G$6:$G$1413,'февраль 2024'!$D$6:$D$1413,$B175,'февраль 2024'!$J$6:$J$1413,I$1)</f>
        <v>0</v>
      </c>
      <c r="J175" s="80">
        <f>SUMIFS('февраль 2024'!$G$6:$G$1413,'февраль 2024'!$D$6:$D$1413,$B175,'февраль 2024'!$J$6:$J$1413,J$1)</f>
        <v>0</v>
      </c>
      <c r="K175" s="80">
        <f>SUMIFS('февраль 2024'!$G$6:$G$1413,'февраль 2024'!$D$6:$D$1413,$B175,'февраль 2024'!$J$6:$J$1413,K$1)</f>
        <v>0</v>
      </c>
      <c r="L175" s="80">
        <f>SUMIFS('февраль 2024'!$G$6:$G$1413,'февраль 2024'!$D$6:$D$1413,$B175,'февраль 2024'!$J$6:$J$1413,L$1)</f>
        <v>0</v>
      </c>
      <c r="M175" s="80">
        <f>SUMIFS('февраль 2024'!$G$6:$G$1413,'февраль 2024'!$D$6:$D$1413,$B175,'февраль 2024'!$J$6:$J$1413,M$1)</f>
        <v>0</v>
      </c>
      <c r="N175" s="80">
        <f>SUMIFS('февраль 2024'!$G$6:$G$1413,'февраль 2024'!$D$6:$D$1413,$B175,'февраль 2024'!$J$6:$J$1413,N$1)</f>
        <v>0</v>
      </c>
      <c r="O175" s="80">
        <f>SUMIFS('февраль 2024'!$G$6:$G$1413,'февраль 2024'!$D$6:$D$1413,$B175,'февраль 2024'!$J$6:$J$1413,O$1)</f>
        <v>0</v>
      </c>
      <c r="P175" s="80">
        <f>SUMIFS('февраль 2024'!$G$6:$G$1413,'февраль 2024'!$D$6:$D$1413,$B175,'февраль 2024'!$J$6:$J$1413,P$1)</f>
        <v>0</v>
      </c>
      <c r="Q175" s="80">
        <f>SUMIFS('февраль 2024'!$G$6:$G$1413,'февраль 2024'!$D$6:$D$1413,$B175,'февраль 2024'!$J$6:$J$1413,Q$1)</f>
        <v>0</v>
      </c>
      <c r="R175" s="80">
        <f>SUMIFS('февраль 2024'!$G$6:$G$1413,'февраль 2024'!$D$6:$D$1413,$B175,'февраль 2024'!$J$6:$J$1413,R$1)</f>
        <v>0</v>
      </c>
      <c r="S175" s="80">
        <f>SUMIFS('февраль 2024'!$G$6:$G$1413,'февраль 2024'!$D$6:$D$1413,$B175,'февраль 2024'!$J$6:$J$1413,S$1)</f>
        <v>0</v>
      </c>
      <c r="T175" s="80">
        <f>SUMIFS('февраль 2024'!$G$6:$G$1413,'февраль 2024'!$D$6:$D$1413,$B175,'февраль 2024'!$J$6:$J$1413,T$1)</f>
        <v>0</v>
      </c>
      <c r="U175" s="80">
        <f>SUMIFS('февраль 2024'!$G$6:$G$1413,'февраль 2024'!$D$6:$D$1413,$B175,'февраль 2024'!$J$6:$J$1413,U$1)</f>
        <v>0</v>
      </c>
      <c r="V175" s="80">
        <f>SUMIFS('февраль 2024'!$G$6:$G$1413,'февраль 2024'!$D$6:$D$1413,$B175,'февраль 2024'!$J$6:$J$1413,V$1)</f>
        <v>0</v>
      </c>
      <c r="W175" s="80">
        <f>SUMIFS('февраль 2024'!$G$6:$G$1413,'февраль 2024'!$D$6:$D$1413,$B175,'февраль 2024'!$J$6:$J$1413,W$1)</f>
        <v>0</v>
      </c>
      <c r="X175" s="80">
        <f>SUMIFS('февраль 2024'!$G$6:$G$1413,'февраль 2024'!$D$6:$D$1413,$B175,'февраль 2024'!$J$6:$J$1413,X$1)</f>
        <v>0</v>
      </c>
      <c r="Y175" s="80">
        <f>SUMIFS('февраль 2024'!$G$6:$G$1413,'февраль 2024'!$D$6:$D$1413,$B175,'февраль 2024'!$J$6:$J$1413,Y$1)</f>
        <v>0</v>
      </c>
      <c r="Z175" s="80">
        <f>SUMIFS('февраль 2024'!$G$6:$G$1413,'февраль 2024'!$D$6:$D$1413,$B175,'февраль 2024'!$J$6:$J$1413,Z$1)</f>
        <v>0</v>
      </c>
      <c r="AA175" s="80">
        <f>SUMIFS('февраль 2024'!$G$6:$G$1413,'февраль 2024'!$D$6:$D$1413,$B175,'февраль 2024'!$J$6:$J$1413,AA$1)</f>
        <v>0</v>
      </c>
      <c r="AB175" s="80">
        <f>SUMIFS('февраль 2024'!$G$6:$G$1413,'февраль 2024'!$D$6:$D$1413,$B175,'февраль 2024'!$J$6:$J$1413,AB$1)</f>
        <v>0</v>
      </c>
      <c r="AC175" s="80">
        <f>SUMIFS('февраль 2024'!$G$6:$G$1413,'февраль 2024'!$D$6:$D$1413,$B175,'февраль 2024'!$J$6:$J$1413,AC$1)</f>
        <v>0</v>
      </c>
      <c r="AD175" s="80">
        <f>SUMIFS('февраль 2024'!$G$6:$G$1413,'февраль 2024'!$D$6:$D$1413,$B175,'февраль 2024'!$J$6:$J$1413,AD$1)</f>
        <v>0</v>
      </c>
      <c r="AE175" s="80">
        <f>SUMIFS('февраль 2024'!$G$6:$G$1413,'февраль 2024'!$D$6:$D$1413,$B175,'февраль 2024'!$J$6:$J$1413,AE$1)</f>
        <v>0</v>
      </c>
      <c r="AF175" s="80">
        <f>SUMIFS('февраль 2024'!$G$6:$G$1413,'февраль 2024'!$D$6:$D$1413,$B175,'февраль 2024'!$J$6:$J$1413,AF$1)</f>
        <v>0</v>
      </c>
      <c r="AG175" s="80">
        <f>SUMIFS('февраль 2024'!$G$6:$G$1413,'февраль 2024'!$D$6:$D$1413,$B175,'февраль 2024'!$J$6:$J$1413,AG$1)</f>
        <v>0</v>
      </c>
      <c r="AH175" s="80">
        <f>SUMIFS('февраль 2024'!$G$6:$G$1413,'февраль 2024'!$D$6:$D$1413,$B175,'февраль 2024'!$J$6:$J$1413,AH$1)</f>
        <v>0</v>
      </c>
      <c r="AI175" s="87"/>
    </row>
    <row r="176" spans="2:35" ht="15" hidden="1" customHeight="1" x14ac:dyDescent="0.25">
      <c r="B176" s="89"/>
      <c r="C176" s="88"/>
      <c r="D176" s="80">
        <f>SUMIFS('февраль 2024'!$G$6:$G$1413,'февраль 2024'!$D$6:$D$1413,$B176,'февраль 2024'!$J$6:$J$1413,D$1)</f>
        <v>0</v>
      </c>
      <c r="E176" s="80">
        <f>SUMIFS('февраль 2024'!$G$6:$G$1413,'февраль 2024'!$D$6:$D$1413,$B176,'февраль 2024'!$J$6:$J$1413,E$1)</f>
        <v>0</v>
      </c>
      <c r="F176" s="80">
        <f>SUMIFS('февраль 2024'!$G$6:$G$1413,'февраль 2024'!$D$6:$D$1413,$B176,'февраль 2024'!$J$6:$J$1413,F$1)</f>
        <v>0</v>
      </c>
      <c r="G176" s="80">
        <f>SUMIFS('февраль 2024'!$G$6:$G$1413,'февраль 2024'!$D$6:$D$1413,$B176,'февраль 2024'!$J$6:$J$1413,G$1)</f>
        <v>0</v>
      </c>
      <c r="H176" s="80">
        <f>SUMIFS('февраль 2024'!$G$6:$G$1413,'февраль 2024'!$D$6:$D$1413,$B176,'февраль 2024'!$J$6:$J$1413,H$1)</f>
        <v>0</v>
      </c>
      <c r="I176" s="80">
        <f>SUMIFS('февраль 2024'!$G$6:$G$1413,'февраль 2024'!$D$6:$D$1413,$B176,'февраль 2024'!$J$6:$J$1413,I$1)</f>
        <v>0</v>
      </c>
      <c r="J176" s="80">
        <f>SUMIFS('февраль 2024'!$G$6:$G$1413,'февраль 2024'!$D$6:$D$1413,$B176,'февраль 2024'!$J$6:$J$1413,J$1)</f>
        <v>0</v>
      </c>
      <c r="K176" s="80">
        <f>SUMIFS('февраль 2024'!$G$6:$G$1413,'февраль 2024'!$D$6:$D$1413,$B176,'февраль 2024'!$J$6:$J$1413,K$1)</f>
        <v>0</v>
      </c>
      <c r="L176" s="80">
        <f>SUMIFS('февраль 2024'!$G$6:$G$1413,'февраль 2024'!$D$6:$D$1413,$B176,'февраль 2024'!$J$6:$J$1413,L$1)</f>
        <v>0</v>
      </c>
      <c r="M176" s="80">
        <f>SUMIFS('февраль 2024'!$G$6:$G$1413,'февраль 2024'!$D$6:$D$1413,$B176,'февраль 2024'!$J$6:$J$1413,M$1)</f>
        <v>0</v>
      </c>
      <c r="N176" s="80">
        <f>SUMIFS('февраль 2024'!$G$6:$G$1413,'февраль 2024'!$D$6:$D$1413,$B176,'февраль 2024'!$J$6:$J$1413,N$1)</f>
        <v>0</v>
      </c>
      <c r="O176" s="80">
        <f>SUMIFS('февраль 2024'!$G$6:$G$1413,'февраль 2024'!$D$6:$D$1413,$B176,'февраль 2024'!$J$6:$J$1413,O$1)</f>
        <v>0</v>
      </c>
      <c r="P176" s="80">
        <f>SUMIFS('февраль 2024'!$G$6:$G$1413,'февраль 2024'!$D$6:$D$1413,$B176,'февраль 2024'!$J$6:$J$1413,P$1)</f>
        <v>0</v>
      </c>
      <c r="Q176" s="80">
        <f>SUMIFS('февраль 2024'!$G$6:$G$1413,'февраль 2024'!$D$6:$D$1413,$B176,'февраль 2024'!$J$6:$J$1413,Q$1)</f>
        <v>0</v>
      </c>
      <c r="R176" s="80">
        <f>SUMIFS('февраль 2024'!$G$6:$G$1413,'февраль 2024'!$D$6:$D$1413,$B176,'февраль 2024'!$J$6:$J$1413,R$1)</f>
        <v>0</v>
      </c>
      <c r="S176" s="80">
        <f>SUMIFS('февраль 2024'!$G$6:$G$1413,'февраль 2024'!$D$6:$D$1413,$B176,'февраль 2024'!$J$6:$J$1413,S$1)</f>
        <v>0</v>
      </c>
      <c r="T176" s="80">
        <f>SUMIFS('февраль 2024'!$G$6:$G$1413,'февраль 2024'!$D$6:$D$1413,$B176,'февраль 2024'!$J$6:$J$1413,T$1)</f>
        <v>0</v>
      </c>
      <c r="U176" s="80">
        <f>SUMIFS('февраль 2024'!$G$6:$G$1413,'февраль 2024'!$D$6:$D$1413,$B176,'февраль 2024'!$J$6:$J$1413,U$1)</f>
        <v>0</v>
      </c>
      <c r="V176" s="80">
        <f>SUMIFS('февраль 2024'!$G$6:$G$1413,'февраль 2024'!$D$6:$D$1413,$B176,'февраль 2024'!$J$6:$J$1413,V$1)</f>
        <v>0</v>
      </c>
      <c r="W176" s="80">
        <f>SUMIFS('февраль 2024'!$G$6:$G$1413,'февраль 2024'!$D$6:$D$1413,$B176,'февраль 2024'!$J$6:$J$1413,W$1)</f>
        <v>0</v>
      </c>
      <c r="X176" s="80">
        <f>SUMIFS('февраль 2024'!$G$6:$G$1413,'февраль 2024'!$D$6:$D$1413,$B176,'февраль 2024'!$J$6:$J$1413,X$1)</f>
        <v>0</v>
      </c>
      <c r="Y176" s="80">
        <f>SUMIFS('февраль 2024'!$G$6:$G$1413,'февраль 2024'!$D$6:$D$1413,$B176,'февраль 2024'!$J$6:$J$1413,Y$1)</f>
        <v>0</v>
      </c>
      <c r="Z176" s="80">
        <f>SUMIFS('февраль 2024'!$G$6:$G$1413,'февраль 2024'!$D$6:$D$1413,$B176,'февраль 2024'!$J$6:$J$1413,Z$1)</f>
        <v>0</v>
      </c>
      <c r="AA176" s="80">
        <f>SUMIFS('февраль 2024'!$G$6:$G$1413,'февраль 2024'!$D$6:$D$1413,$B176,'февраль 2024'!$J$6:$J$1413,AA$1)</f>
        <v>0</v>
      </c>
      <c r="AB176" s="80">
        <f>SUMIFS('февраль 2024'!$G$6:$G$1413,'февраль 2024'!$D$6:$D$1413,$B176,'февраль 2024'!$J$6:$J$1413,AB$1)</f>
        <v>0</v>
      </c>
      <c r="AC176" s="80">
        <f>SUMIFS('февраль 2024'!$G$6:$G$1413,'февраль 2024'!$D$6:$D$1413,$B176,'февраль 2024'!$J$6:$J$1413,AC$1)</f>
        <v>0</v>
      </c>
      <c r="AD176" s="80">
        <f>SUMIFS('февраль 2024'!$G$6:$G$1413,'февраль 2024'!$D$6:$D$1413,$B176,'февраль 2024'!$J$6:$J$1413,AD$1)</f>
        <v>0</v>
      </c>
      <c r="AE176" s="80">
        <f>SUMIFS('февраль 2024'!$G$6:$G$1413,'февраль 2024'!$D$6:$D$1413,$B176,'февраль 2024'!$J$6:$J$1413,AE$1)</f>
        <v>0</v>
      </c>
      <c r="AF176" s="80">
        <f>SUMIFS('февраль 2024'!$G$6:$G$1413,'февраль 2024'!$D$6:$D$1413,$B176,'февраль 2024'!$J$6:$J$1413,AF$1)</f>
        <v>0</v>
      </c>
      <c r="AG176" s="80">
        <f>SUMIFS('февраль 2024'!$G$6:$G$1413,'февраль 2024'!$D$6:$D$1413,$B176,'февраль 2024'!$J$6:$J$1413,AG$1)</f>
        <v>0</v>
      </c>
      <c r="AH176" s="80">
        <f>SUMIFS('февраль 2024'!$G$6:$G$1413,'февраль 2024'!$D$6:$D$1413,$B176,'февраль 2024'!$J$6:$J$1413,AH$1)</f>
        <v>0</v>
      </c>
      <c r="AI176" s="87"/>
    </row>
    <row r="177" spans="2:35" ht="15" hidden="1" customHeight="1" x14ac:dyDescent="0.25">
      <c r="B177" s="89"/>
      <c r="C177" s="88"/>
      <c r="D177" s="80">
        <f>SUMIFS('февраль 2024'!$G$6:$G$1413,'февраль 2024'!$D$6:$D$1413,$B177,'февраль 2024'!$J$6:$J$1413,D$1)</f>
        <v>0</v>
      </c>
      <c r="E177" s="80">
        <f>SUMIFS('февраль 2024'!$G$6:$G$1413,'февраль 2024'!$D$6:$D$1413,$B177,'февраль 2024'!$J$6:$J$1413,E$1)</f>
        <v>0</v>
      </c>
      <c r="F177" s="80">
        <f>SUMIFS('февраль 2024'!$G$6:$G$1413,'февраль 2024'!$D$6:$D$1413,$B177,'февраль 2024'!$J$6:$J$1413,F$1)</f>
        <v>0</v>
      </c>
      <c r="G177" s="80">
        <f>SUMIFS('февраль 2024'!$G$6:$G$1413,'февраль 2024'!$D$6:$D$1413,$B177,'февраль 2024'!$J$6:$J$1413,G$1)</f>
        <v>0</v>
      </c>
      <c r="H177" s="80">
        <f>SUMIFS('февраль 2024'!$G$6:$G$1413,'февраль 2024'!$D$6:$D$1413,$B177,'февраль 2024'!$J$6:$J$1413,H$1)</f>
        <v>0</v>
      </c>
      <c r="I177" s="80">
        <f>SUMIFS('февраль 2024'!$G$6:$G$1413,'февраль 2024'!$D$6:$D$1413,$B177,'февраль 2024'!$J$6:$J$1413,I$1)</f>
        <v>0</v>
      </c>
      <c r="J177" s="80">
        <f>SUMIFS('февраль 2024'!$G$6:$G$1413,'февраль 2024'!$D$6:$D$1413,$B177,'февраль 2024'!$J$6:$J$1413,J$1)</f>
        <v>0</v>
      </c>
      <c r="K177" s="80">
        <f>SUMIFS('февраль 2024'!$G$6:$G$1413,'февраль 2024'!$D$6:$D$1413,$B177,'февраль 2024'!$J$6:$J$1413,K$1)</f>
        <v>0</v>
      </c>
      <c r="L177" s="80">
        <f>SUMIFS('февраль 2024'!$G$6:$G$1413,'февраль 2024'!$D$6:$D$1413,$B177,'февраль 2024'!$J$6:$J$1413,L$1)</f>
        <v>0</v>
      </c>
      <c r="M177" s="80">
        <f>SUMIFS('февраль 2024'!$G$6:$G$1413,'февраль 2024'!$D$6:$D$1413,$B177,'февраль 2024'!$J$6:$J$1413,M$1)</f>
        <v>0</v>
      </c>
      <c r="N177" s="80">
        <f>SUMIFS('февраль 2024'!$G$6:$G$1413,'февраль 2024'!$D$6:$D$1413,$B177,'февраль 2024'!$J$6:$J$1413,N$1)</f>
        <v>0</v>
      </c>
      <c r="O177" s="80">
        <f>SUMIFS('февраль 2024'!$G$6:$G$1413,'февраль 2024'!$D$6:$D$1413,$B177,'февраль 2024'!$J$6:$J$1413,O$1)</f>
        <v>0</v>
      </c>
      <c r="P177" s="80">
        <f>SUMIFS('февраль 2024'!$G$6:$G$1413,'февраль 2024'!$D$6:$D$1413,$B177,'февраль 2024'!$J$6:$J$1413,P$1)</f>
        <v>0</v>
      </c>
      <c r="Q177" s="80">
        <f>SUMIFS('февраль 2024'!$G$6:$G$1413,'февраль 2024'!$D$6:$D$1413,$B177,'февраль 2024'!$J$6:$J$1413,Q$1)</f>
        <v>0</v>
      </c>
      <c r="R177" s="80">
        <f>SUMIFS('февраль 2024'!$G$6:$G$1413,'февраль 2024'!$D$6:$D$1413,$B177,'февраль 2024'!$J$6:$J$1413,R$1)</f>
        <v>0</v>
      </c>
      <c r="S177" s="80">
        <f>SUMIFS('февраль 2024'!$G$6:$G$1413,'февраль 2024'!$D$6:$D$1413,$B177,'февраль 2024'!$J$6:$J$1413,S$1)</f>
        <v>0</v>
      </c>
      <c r="T177" s="80">
        <f>SUMIFS('февраль 2024'!$G$6:$G$1413,'февраль 2024'!$D$6:$D$1413,$B177,'февраль 2024'!$J$6:$J$1413,T$1)</f>
        <v>0</v>
      </c>
      <c r="U177" s="80">
        <f>SUMIFS('февраль 2024'!$G$6:$G$1413,'февраль 2024'!$D$6:$D$1413,$B177,'февраль 2024'!$J$6:$J$1413,U$1)</f>
        <v>0</v>
      </c>
      <c r="V177" s="80">
        <f>SUMIFS('февраль 2024'!$G$6:$G$1413,'февраль 2024'!$D$6:$D$1413,$B177,'февраль 2024'!$J$6:$J$1413,V$1)</f>
        <v>0</v>
      </c>
      <c r="W177" s="80">
        <f>SUMIFS('февраль 2024'!$G$6:$G$1413,'февраль 2024'!$D$6:$D$1413,$B177,'февраль 2024'!$J$6:$J$1413,W$1)</f>
        <v>0</v>
      </c>
      <c r="X177" s="80">
        <f>SUMIFS('февраль 2024'!$G$6:$G$1413,'февраль 2024'!$D$6:$D$1413,$B177,'февраль 2024'!$J$6:$J$1413,X$1)</f>
        <v>0</v>
      </c>
      <c r="Y177" s="80">
        <f>SUMIFS('февраль 2024'!$G$6:$G$1413,'февраль 2024'!$D$6:$D$1413,$B177,'февраль 2024'!$J$6:$J$1413,Y$1)</f>
        <v>0</v>
      </c>
      <c r="Z177" s="80">
        <f>SUMIFS('февраль 2024'!$G$6:$G$1413,'февраль 2024'!$D$6:$D$1413,$B177,'февраль 2024'!$J$6:$J$1413,Z$1)</f>
        <v>0</v>
      </c>
      <c r="AA177" s="80">
        <f>SUMIFS('февраль 2024'!$G$6:$G$1413,'февраль 2024'!$D$6:$D$1413,$B177,'февраль 2024'!$J$6:$J$1413,AA$1)</f>
        <v>0</v>
      </c>
      <c r="AB177" s="80">
        <f>SUMIFS('февраль 2024'!$G$6:$G$1413,'февраль 2024'!$D$6:$D$1413,$B177,'февраль 2024'!$J$6:$J$1413,AB$1)</f>
        <v>0</v>
      </c>
      <c r="AC177" s="80">
        <f>SUMIFS('февраль 2024'!$G$6:$G$1413,'февраль 2024'!$D$6:$D$1413,$B177,'февраль 2024'!$J$6:$J$1413,AC$1)</f>
        <v>0</v>
      </c>
      <c r="AD177" s="80">
        <f>SUMIFS('февраль 2024'!$G$6:$G$1413,'февраль 2024'!$D$6:$D$1413,$B177,'февраль 2024'!$J$6:$J$1413,AD$1)</f>
        <v>0</v>
      </c>
      <c r="AE177" s="80">
        <f>SUMIFS('февраль 2024'!$G$6:$G$1413,'февраль 2024'!$D$6:$D$1413,$B177,'февраль 2024'!$J$6:$J$1413,AE$1)</f>
        <v>0</v>
      </c>
      <c r="AF177" s="80">
        <f>SUMIFS('февраль 2024'!$G$6:$G$1413,'февраль 2024'!$D$6:$D$1413,$B177,'февраль 2024'!$J$6:$J$1413,AF$1)</f>
        <v>0</v>
      </c>
      <c r="AG177" s="80">
        <f>SUMIFS('февраль 2024'!$G$6:$G$1413,'февраль 2024'!$D$6:$D$1413,$B177,'февраль 2024'!$J$6:$J$1413,AG$1)</f>
        <v>0</v>
      </c>
      <c r="AH177" s="80">
        <f>SUMIFS('февраль 2024'!$G$6:$G$1413,'февраль 2024'!$D$6:$D$1413,$B177,'февраль 2024'!$J$6:$J$1413,AH$1)</f>
        <v>0</v>
      </c>
      <c r="AI177" s="87"/>
    </row>
    <row r="178" spans="2:35" ht="15" hidden="1" customHeight="1" x14ac:dyDescent="0.25">
      <c r="B178" s="89"/>
      <c r="C178" s="88"/>
      <c r="D178" s="80">
        <f>SUMIFS('февраль 2024'!$G$6:$G$1413,'февраль 2024'!$D$6:$D$1413,$B178,'февраль 2024'!$J$6:$J$1413,D$1)</f>
        <v>0</v>
      </c>
      <c r="E178" s="80">
        <f>SUMIFS('февраль 2024'!$G$6:$G$1413,'февраль 2024'!$D$6:$D$1413,$B178,'февраль 2024'!$J$6:$J$1413,E$1)</f>
        <v>0</v>
      </c>
      <c r="F178" s="80">
        <f>SUMIFS('февраль 2024'!$G$6:$G$1413,'февраль 2024'!$D$6:$D$1413,$B178,'февраль 2024'!$J$6:$J$1413,F$1)</f>
        <v>0</v>
      </c>
      <c r="G178" s="80">
        <f>SUMIFS('февраль 2024'!$G$6:$G$1413,'февраль 2024'!$D$6:$D$1413,$B178,'февраль 2024'!$J$6:$J$1413,G$1)</f>
        <v>0</v>
      </c>
      <c r="H178" s="80">
        <f>SUMIFS('февраль 2024'!$G$6:$G$1413,'февраль 2024'!$D$6:$D$1413,$B178,'февраль 2024'!$J$6:$J$1413,H$1)</f>
        <v>0</v>
      </c>
      <c r="I178" s="80">
        <f>SUMIFS('февраль 2024'!$G$6:$G$1413,'февраль 2024'!$D$6:$D$1413,$B178,'февраль 2024'!$J$6:$J$1413,I$1)</f>
        <v>0</v>
      </c>
      <c r="J178" s="80">
        <f>SUMIFS('февраль 2024'!$G$6:$G$1413,'февраль 2024'!$D$6:$D$1413,$B178,'февраль 2024'!$J$6:$J$1413,J$1)</f>
        <v>0</v>
      </c>
      <c r="K178" s="80">
        <f>SUMIFS('февраль 2024'!$G$6:$G$1413,'февраль 2024'!$D$6:$D$1413,$B178,'февраль 2024'!$J$6:$J$1413,K$1)</f>
        <v>0</v>
      </c>
      <c r="L178" s="80">
        <f>SUMIFS('февраль 2024'!$G$6:$G$1413,'февраль 2024'!$D$6:$D$1413,$B178,'февраль 2024'!$J$6:$J$1413,L$1)</f>
        <v>0</v>
      </c>
      <c r="M178" s="80">
        <f>SUMIFS('февраль 2024'!$G$6:$G$1413,'февраль 2024'!$D$6:$D$1413,$B178,'февраль 2024'!$J$6:$J$1413,M$1)</f>
        <v>0</v>
      </c>
      <c r="N178" s="80">
        <f>SUMIFS('февраль 2024'!$G$6:$G$1413,'февраль 2024'!$D$6:$D$1413,$B178,'февраль 2024'!$J$6:$J$1413,N$1)</f>
        <v>0</v>
      </c>
      <c r="O178" s="80">
        <f>SUMIFS('февраль 2024'!$G$6:$G$1413,'февраль 2024'!$D$6:$D$1413,$B178,'февраль 2024'!$J$6:$J$1413,O$1)</f>
        <v>0</v>
      </c>
      <c r="P178" s="80">
        <f>SUMIFS('февраль 2024'!$G$6:$G$1413,'февраль 2024'!$D$6:$D$1413,$B178,'февраль 2024'!$J$6:$J$1413,P$1)</f>
        <v>0</v>
      </c>
      <c r="Q178" s="80">
        <f>SUMIFS('февраль 2024'!$G$6:$G$1413,'февраль 2024'!$D$6:$D$1413,$B178,'февраль 2024'!$J$6:$J$1413,Q$1)</f>
        <v>0</v>
      </c>
      <c r="R178" s="80">
        <f>SUMIFS('февраль 2024'!$G$6:$G$1413,'февраль 2024'!$D$6:$D$1413,$B178,'февраль 2024'!$J$6:$J$1413,R$1)</f>
        <v>0</v>
      </c>
      <c r="S178" s="80">
        <f>SUMIFS('февраль 2024'!$G$6:$G$1413,'февраль 2024'!$D$6:$D$1413,$B178,'февраль 2024'!$J$6:$J$1413,S$1)</f>
        <v>0</v>
      </c>
      <c r="T178" s="80">
        <f>SUMIFS('февраль 2024'!$G$6:$G$1413,'февраль 2024'!$D$6:$D$1413,$B178,'февраль 2024'!$J$6:$J$1413,T$1)</f>
        <v>0</v>
      </c>
      <c r="U178" s="80">
        <f>SUMIFS('февраль 2024'!$G$6:$G$1413,'февраль 2024'!$D$6:$D$1413,$B178,'февраль 2024'!$J$6:$J$1413,U$1)</f>
        <v>0</v>
      </c>
      <c r="V178" s="80">
        <f>SUMIFS('февраль 2024'!$G$6:$G$1413,'февраль 2024'!$D$6:$D$1413,$B178,'февраль 2024'!$J$6:$J$1413,V$1)</f>
        <v>0</v>
      </c>
      <c r="W178" s="80">
        <f>SUMIFS('февраль 2024'!$G$6:$G$1413,'февраль 2024'!$D$6:$D$1413,$B178,'февраль 2024'!$J$6:$J$1413,W$1)</f>
        <v>0</v>
      </c>
      <c r="X178" s="80">
        <f>SUMIFS('февраль 2024'!$G$6:$G$1413,'февраль 2024'!$D$6:$D$1413,$B178,'февраль 2024'!$J$6:$J$1413,X$1)</f>
        <v>0</v>
      </c>
      <c r="Y178" s="80">
        <f>SUMIFS('февраль 2024'!$G$6:$G$1413,'февраль 2024'!$D$6:$D$1413,$B178,'февраль 2024'!$J$6:$J$1413,Y$1)</f>
        <v>0</v>
      </c>
      <c r="Z178" s="80">
        <f>SUMIFS('февраль 2024'!$G$6:$G$1413,'февраль 2024'!$D$6:$D$1413,$B178,'февраль 2024'!$J$6:$J$1413,Z$1)</f>
        <v>0</v>
      </c>
      <c r="AA178" s="80">
        <f>SUMIFS('февраль 2024'!$G$6:$G$1413,'февраль 2024'!$D$6:$D$1413,$B178,'февраль 2024'!$J$6:$J$1413,AA$1)</f>
        <v>0</v>
      </c>
      <c r="AB178" s="80">
        <f>SUMIFS('февраль 2024'!$G$6:$G$1413,'февраль 2024'!$D$6:$D$1413,$B178,'февраль 2024'!$J$6:$J$1413,AB$1)</f>
        <v>0</v>
      </c>
      <c r="AC178" s="80">
        <f>SUMIFS('февраль 2024'!$G$6:$G$1413,'февраль 2024'!$D$6:$D$1413,$B178,'февраль 2024'!$J$6:$J$1413,AC$1)</f>
        <v>0</v>
      </c>
      <c r="AD178" s="80">
        <f>SUMIFS('февраль 2024'!$G$6:$G$1413,'февраль 2024'!$D$6:$D$1413,$B178,'февраль 2024'!$J$6:$J$1413,AD$1)</f>
        <v>0</v>
      </c>
      <c r="AE178" s="80">
        <f>SUMIFS('февраль 2024'!$G$6:$G$1413,'февраль 2024'!$D$6:$D$1413,$B178,'февраль 2024'!$J$6:$J$1413,AE$1)</f>
        <v>0</v>
      </c>
      <c r="AF178" s="80">
        <f>SUMIFS('февраль 2024'!$G$6:$G$1413,'февраль 2024'!$D$6:$D$1413,$B178,'февраль 2024'!$J$6:$J$1413,AF$1)</f>
        <v>0</v>
      </c>
      <c r="AG178" s="80">
        <f>SUMIFS('февраль 2024'!$G$6:$G$1413,'февраль 2024'!$D$6:$D$1413,$B178,'февраль 2024'!$J$6:$J$1413,AG$1)</f>
        <v>0</v>
      </c>
      <c r="AH178" s="80">
        <f>SUMIFS('февраль 2024'!$G$6:$G$1413,'февраль 2024'!$D$6:$D$1413,$B178,'февраль 2024'!$J$6:$J$1413,AH$1)</f>
        <v>0</v>
      </c>
      <c r="AI178" s="87"/>
    </row>
    <row r="179" spans="2:35" ht="15" hidden="1" customHeight="1" x14ac:dyDescent="0.25">
      <c r="B179" s="89"/>
      <c r="C179" s="88"/>
      <c r="D179" s="80">
        <f>SUMIFS('февраль 2024'!$G$6:$G$1413,'февраль 2024'!$D$6:$D$1413,$B179,'февраль 2024'!$J$6:$J$1413,D$1)</f>
        <v>0</v>
      </c>
      <c r="E179" s="80">
        <f>SUMIFS('февраль 2024'!$G$6:$G$1413,'февраль 2024'!$D$6:$D$1413,$B179,'февраль 2024'!$J$6:$J$1413,E$1)</f>
        <v>0</v>
      </c>
      <c r="F179" s="80">
        <f>SUMIFS('февраль 2024'!$G$6:$G$1413,'февраль 2024'!$D$6:$D$1413,$B179,'февраль 2024'!$J$6:$J$1413,F$1)</f>
        <v>0</v>
      </c>
      <c r="G179" s="80">
        <f>SUMIFS('февраль 2024'!$G$6:$G$1413,'февраль 2024'!$D$6:$D$1413,$B179,'февраль 2024'!$J$6:$J$1413,G$1)</f>
        <v>0</v>
      </c>
      <c r="H179" s="80">
        <f>SUMIFS('февраль 2024'!$G$6:$G$1413,'февраль 2024'!$D$6:$D$1413,$B179,'февраль 2024'!$J$6:$J$1413,H$1)</f>
        <v>0</v>
      </c>
      <c r="I179" s="80">
        <f>SUMIFS('февраль 2024'!$G$6:$G$1413,'февраль 2024'!$D$6:$D$1413,$B179,'февраль 2024'!$J$6:$J$1413,I$1)</f>
        <v>0</v>
      </c>
      <c r="J179" s="80">
        <f>SUMIFS('февраль 2024'!$G$6:$G$1413,'февраль 2024'!$D$6:$D$1413,$B179,'февраль 2024'!$J$6:$J$1413,J$1)</f>
        <v>0</v>
      </c>
      <c r="K179" s="80">
        <f>SUMIFS('февраль 2024'!$G$6:$G$1413,'февраль 2024'!$D$6:$D$1413,$B179,'февраль 2024'!$J$6:$J$1413,K$1)</f>
        <v>0</v>
      </c>
      <c r="L179" s="80">
        <f>SUMIFS('февраль 2024'!$G$6:$G$1413,'февраль 2024'!$D$6:$D$1413,$B179,'февраль 2024'!$J$6:$J$1413,L$1)</f>
        <v>0</v>
      </c>
      <c r="M179" s="80">
        <f>SUMIFS('февраль 2024'!$G$6:$G$1413,'февраль 2024'!$D$6:$D$1413,$B179,'февраль 2024'!$J$6:$J$1413,M$1)</f>
        <v>0</v>
      </c>
      <c r="N179" s="80">
        <f>SUMIFS('февраль 2024'!$G$6:$G$1413,'февраль 2024'!$D$6:$D$1413,$B179,'февраль 2024'!$J$6:$J$1413,N$1)</f>
        <v>0</v>
      </c>
      <c r="O179" s="80">
        <f>SUMIFS('февраль 2024'!$G$6:$G$1413,'февраль 2024'!$D$6:$D$1413,$B179,'февраль 2024'!$J$6:$J$1413,O$1)</f>
        <v>0</v>
      </c>
      <c r="P179" s="80">
        <f>SUMIFS('февраль 2024'!$G$6:$G$1413,'февраль 2024'!$D$6:$D$1413,$B179,'февраль 2024'!$J$6:$J$1413,P$1)</f>
        <v>0</v>
      </c>
      <c r="Q179" s="80">
        <f>SUMIFS('февраль 2024'!$G$6:$G$1413,'февраль 2024'!$D$6:$D$1413,$B179,'февраль 2024'!$J$6:$J$1413,Q$1)</f>
        <v>0</v>
      </c>
      <c r="R179" s="80">
        <f>SUMIFS('февраль 2024'!$G$6:$G$1413,'февраль 2024'!$D$6:$D$1413,$B179,'февраль 2024'!$J$6:$J$1413,R$1)</f>
        <v>0</v>
      </c>
      <c r="S179" s="80">
        <f>SUMIFS('февраль 2024'!$G$6:$G$1413,'февраль 2024'!$D$6:$D$1413,$B179,'февраль 2024'!$J$6:$J$1413,S$1)</f>
        <v>0</v>
      </c>
      <c r="T179" s="80">
        <f>SUMIFS('февраль 2024'!$G$6:$G$1413,'февраль 2024'!$D$6:$D$1413,$B179,'февраль 2024'!$J$6:$J$1413,T$1)</f>
        <v>0</v>
      </c>
      <c r="U179" s="80">
        <f>SUMIFS('февраль 2024'!$G$6:$G$1413,'февраль 2024'!$D$6:$D$1413,$B179,'февраль 2024'!$J$6:$J$1413,U$1)</f>
        <v>0</v>
      </c>
      <c r="V179" s="80">
        <f>SUMIFS('февраль 2024'!$G$6:$G$1413,'февраль 2024'!$D$6:$D$1413,$B179,'февраль 2024'!$J$6:$J$1413,V$1)</f>
        <v>0</v>
      </c>
      <c r="W179" s="80">
        <f>SUMIFS('февраль 2024'!$G$6:$G$1413,'февраль 2024'!$D$6:$D$1413,$B179,'февраль 2024'!$J$6:$J$1413,W$1)</f>
        <v>0</v>
      </c>
      <c r="X179" s="80">
        <f>SUMIFS('февраль 2024'!$G$6:$G$1413,'февраль 2024'!$D$6:$D$1413,$B179,'февраль 2024'!$J$6:$J$1413,X$1)</f>
        <v>0</v>
      </c>
      <c r="Y179" s="80">
        <f>SUMIFS('февраль 2024'!$G$6:$G$1413,'февраль 2024'!$D$6:$D$1413,$B179,'февраль 2024'!$J$6:$J$1413,Y$1)</f>
        <v>0</v>
      </c>
      <c r="Z179" s="80">
        <f>SUMIFS('февраль 2024'!$G$6:$G$1413,'февраль 2024'!$D$6:$D$1413,$B179,'февраль 2024'!$J$6:$J$1413,Z$1)</f>
        <v>0</v>
      </c>
      <c r="AA179" s="80">
        <f>SUMIFS('февраль 2024'!$G$6:$G$1413,'февраль 2024'!$D$6:$D$1413,$B179,'февраль 2024'!$J$6:$J$1413,AA$1)</f>
        <v>0</v>
      </c>
      <c r="AB179" s="80">
        <f>SUMIFS('февраль 2024'!$G$6:$G$1413,'февраль 2024'!$D$6:$D$1413,$B179,'февраль 2024'!$J$6:$J$1413,AB$1)</f>
        <v>0</v>
      </c>
      <c r="AC179" s="80">
        <f>SUMIFS('февраль 2024'!$G$6:$G$1413,'февраль 2024'!$D$6:$D$1413,$B179,'февраль 2024'!$J$6:$J$1413,AC$1)</f>
        <v>0</v>
      </c>
      <c r="AD179" s="80">
        <f>SUMIFS('февраль 2024'!$G$6:$G$1413,'февраль 2024'!$D$6:$D$1413,$B179,'февраль 2024'!$J$6:$J$1413,AD$1)</f>
        <v>0</v>
      </c>
      <c r="AE179" s="80">
        <f>SUMIFS('февраль 2024'!$G$6:$G$1413,'февраль 2024'!$D$6:$D$1413,$B179,'февраль 2024'!$J$6:$J$1413,AE$1)</f>
        <v>0</v>
      </c>
      <c r="AF179" s="80">
        <f>SUMIFS('февраль 2024'!$G$6:$G$1413,'февраль 2024'!$D$6:$D$1413,$B179,'февраль 2024'!$J$6:$J$1413,AF$1)</f>
        <v>0</v>
      </c>
      <c r="AG179" s="80">
        <f>SUMIFS('февраль 2024'!$G$6:$G$1413,'февраль 2024'!$D$6:$D$1413,$B179,'февраль 2024'!$J$6:$J$1413,AG$1)</f>
        <v>0</v>
      </c>
      <c r="AH179" s="80">
        <f>SUMIFS('февраль 2024'!$G$6:$G$1413,'февраль 2024'!$D$6:$D$1413,$B179,'февраль 2024'!$J$6:$J$1413,AH$1)</f>
        <v>0</v>
      </c>
      <c r="AI179" s="87"/>
    </row>
    <row r="180" spans="2:35" ht="15" hidden="1" customHeight="1" x14ac:dyDescent="0.25">
      <c r="B180" s="89"/>
      <c r="C180" s="88"/>
      <c r="D180" s="80">
        <f>SUMIFS('февраль 2024'!$G$6:$G$1413,'февраль 2024'!$D$6:$D$1413,$B180,'февраль 2024'!$J$6:$J$1413,D$1)</f>
        <v>0</v>
      </c>
      <c r="E180" s="80">
        <f>SUMIFS('февраль 2024'!$G$6:$G$1413,'февраль 2024'!$D$6:$D$1413,$B180,'февраль 2024'!$J$6:$J$1413,E$1)</f>
        <v>0</v>
      </c>
      <c r="F180" s="80">
        <f>SUMIFS('февраль 2024'!$G$6:$G$1413,'февраль 2024'!$D$6:$D$1413,$B180,'февраль 2024'!$J$6:$J$1413,F$1)</f>
        <v>0</v>
      </c>
      <c r="G180" s="80">
        <f>SUMIFS('февраль 2024'!$G$6:$G$1413,'февраль 2024'!$D$6:$D$1413,$B180,'февраль 2024'!$J$6:$J$1413,G$1)</f>
        <v>0</v>
      </c>
      <c r="H180" s="80">
        <f>SUMIFS('февраль 2024'!$G$6:$G$1413,'февраль 2024'!$D$6:$D$1413,$B180,'февраль 2024'!$J$6:$J$1413,H$1)</f>
        <v>0</v>
      </c>
      <c r="I180" s="80">
        <f>SUMIFS('февраль 2024'!$G$6:$G$1413,'февраль 2024'!$D$6:$D$1413,$B180,'февраль 2024'!$J$6:$J$1413,I$1)</f>
        <v>0</v>
      </c>
      <c r="J180" s="80">
        <f>SUMIFS('февраль 2024'!$G$6:$G$1413,'февраль 2024'!$D$6:$D$1413,$B180,'февраль 2024'!$J$6:$J$1413,J$1)</f>
        <v>0</v>
      </c>
      <c r="K180" s="80">
        <f>SUMIFS('февраль 2024'!$G$6:$G$1413,'февраль 2024'!$D$6:$D$1413,$B180,'февраль 2024'!$J$6:$J$1413,K$1)</f>
        <v>0</v>
      </c>
      <c r="L180" s="80">
        <f>SUMIFS('февраль 2024'!$G$6:$G$1413,'февраль 2024'!$D$6:$D$1413,$B180,'февраль 2024'!$J$6:$J$1413,L$1)</f>
        <v>0</v>
      </c>
      <c r="M180" s="80">
        <f>SUMIFS('февраль 2024'!$G$6:$G$1413,'февраль 2024'!$D$6:$D$1413,$B180,'февраль 2024'!$J$6:$J$1413,M$1)</f>
        <v>0</v>
      </c>
      <c r="N180" s="80">
        <f>SUMIFS('февраль 2024'!$G$6:$G$1413,'февраль 2024'!$D$6:$D$1413,$B180,'февраль 2024'!$J$6:$J$1413,N$1)</f>
        <v>0</v>
      </c>
      <c r="O180" s="80">
        <f>SUMIFS('февраль 2024'!$G$6:$G$1413,'февраль 2024'!$D$6:$D$1413,$B180,'февраль 2024'!$J$6:$J$1413,O$1)</f>
        <v>0</v>
      </c>
      <c r="P180" s="80">
        <f>SUMIFS('февраль 2024'!$G$6:$G$1413,'февраль 2024'!$D$6:$D$1413,$B180,'февраль 2024'!$J$6:$J$1413,P$1)</f>
        <v>0</v>
      </c>
      <c r="Q180" s="80">
        <f>SUMIFS('февраль 2024'!$G$6:$G$1413,'февраль 2024'!$D$6:$D$1413,$B180,'февраль 2024'!$J$6:$J$1413,Q$1)</f>
        <v>0</v>
      </c>
      <c r="R180" s="80">
        <f>SUMIFS('февраль 2024'!$G$6:$G$1413,'февраль 2024'!$D$6:$D$1413,$B180,'февраль 2024'!$J$6:$J$1413,R$1)</f>
        <v>0</v>
      </c>
      <c r="S180" s="80">
        <f>SUMIFS('февраль 2024'!$G$6:$G$1413,'февраль 2024'!$D$6:$D$1413,$B180,'февраль 2024'!$J$6:$J$1413,S$1)</f>
        <v>0</v>
      </c>
      <c r="T180" s="80">
        <f>SUMIFS('февраль 2024'!$G$6:$G$1413,'февраль 2024'!$D$6:$D$1413,$B180,'февраль 2024'!$J$6:$J$1413,T$1)</f>
        <v>0</v>
      </c>
      <c r="U180" s="80">
        <f>SUMIFS('февраль 2024'!$G$6:$G$1413,'февраль 2024'!$D$6:$D$1413,$B180,'февраль 2024'!$J$6:$J$1413,U$1)</f>
        <v>0</v>
      </c>
      <c r="V180" s="80">
        <f>SUMIFS('февраль 2024'!$G$6:$G$1413,'февраль 2024'!$D$6:$D$1413,$B180,'февраль 2024'!$J$6:$J$1413,V$1)</f>
        <v>0</v>
      </c>
      <c r="W180" s="80">
        <f>SUMIFS('февраль 2024'!$G$6:$G$1413,'февраль 2024'!$D$6:$D$1413,$B180,'февраль 2024'!$J$6:$J$1413,W$1)</f>
        <v>0</v>
      </c>
      <c r="X180" s="80">
        <f>SUMIFS('февраль 2024'!$G$6:$G$1413,'февраль 2024'!$D$6:$D$1413,$B180,'февраль 2024'!$J$6:$J$1413,X$1)</f>
        <v>0</v>
      </c>
      <c r="Y180" s="80">
        <f>SUMIFS('февраль 2024'!$G$6:$G$1413,'февраль 2024'!$D$6:$D$1413,$B180,'февраль 2024'!$J$6:$J$1413,Y$1)</f>
        <v>0</v>
      </c>
      <c r="Z180" s="80">
        <f>SUMIFS('февраль 2024'!$G$6:$G$1413,'февраль 2024'!$D$6:$D$1413,$B180,'февраль 2024'!$J$6:$J$1413,Z$1)</f>
        <v>0</v>
      </c>
      <c r="AA180" s="80">
        <f>SUMIFS('февраль 2024'!$G$6:$G$1413,'февраль 2024'!$D$6:$D$1413,$B180,'февраль 2024'!$J$6:$J$1413,AA$1)</f>
        <v>0</v>
      </c>
      <c r="AB180" s="80">
        <f>SUMIFS('февраль 2024'!$G$6:$G$1413,'февраль 2024'!$D$6:$D$1413,$B180,'февраль 2024'!$J$6:$J$1413,AB$1)</f>
        <v>0</v>
      </c>
      <c r="AC180" s="80">
        <f>SUMIFS('февраль 2024'!$G$6:$G$1413,'февраль 2024'!$D$6:$D$1413,$B180,'февраль 2024'!$J$6:$J$1413,AC$1)</f>
        <v>0</v>
      </c>
      <c r="AD180" s="80">
        <f>SUMIFS('февраль 2024'!$G$6:$G$1413,'февраль 2024'!$D$6:$D$1413,$B180,'февраль 2024'!$J$6:$J$1413,AD$1)</f>
        <v>0</v>
      </c>
      <c r="AE180" s="80">
        <f>SUMIFS('февраль 2024'!$G$6:$G$1413,'февраль 2024'!$D$6:$D$1413,$B180,'февраль 2024'!$J$6:$J$1413,AE$1)</f>
        <v>0</v>
      </c>
      <c r="AF180" s="80">
        <f>SUMIFS('февраль 2024'!$G$6:$G$1413,'февраль 2024'!$D$6:$D$1413,$B180,'февраль 2024'!$J$6:$J$1413,AF$1)</f>
        <v>0</v>
      </c>
      <c r="AG180" s="80">
        <f>SUMIFS('февраль 2024'!$G$6:$G$1413,'февраль 2024'!$D$6:$D$1413,$B180,'февраль 2024'!$J$6:$J$1413,AG$1)</f>
        <v>0</v>
      </c>
      <c r="AH180" s="80">
        <f>SUMIFS('февраль 2024'!$G$6:$G$1413,'февраль 2024'!$D$6:$D$1413,$B180,'февраль 2024'!$J$6:$J$1413,AH$1)</f>
        <v>0</v>
      </c>
      <c r="AI180" s="87"/>
    </row>
    <row r="181" spans="2:35" ht="15" hidden="1" customHeight="1" x14ac:dyDescent="0.25">
      <c r="B181" s="89"/>
      <c r="C181" s="88"/>
      <c r="D181" s="80">
        <f>SUMIFS('февраль 2024'!$G$6:$G$1413,'февраль 2024'!$D$6:$D$1413,$B181,'февраль 2024'!$J$6:$J$1413,D$1)</f>
        <v>0</v>
      </c>
      <c r="E181" s="80">
        <f>SUMIFS('февраль 2024'!$G$6:$G$1413,'февраль 2024'!$D$6:$D$1413,$B181,'февраль 2024'!$J$6:$J$1413,E$1)</f>
        <v>0</v>
      </c>
      <c r="F181" s="80">
        <f>SUMIFS('февраль 2024'!$G$6:$G$1413,'февраль 2024'!$D$6:$D$1413,$B181,'февраль 2024'!$J$6:$J$1413,F$1)</f>
        <v>0</v>
      </c>
      <c r="G181" s="80">
        <f>SUMIFS('февраль 2024'!$G$6:$G$1413,'февраль 2024'!$D$6:$D$1413,$B181,'февраль 2024'!$J$6:$J$1413,G$1)</f>
        <v>0</v>
      </c>
      <c r="H181" s="80">
        <f>SUMIFS('февраль 2024'!$G$6:$G$1413,'февраль 2024'!$D$6:$D$1413,$B181,'февраль 2024'!$J$6:$J$1413,H$1)</f>
        <v>0</v>
      </c>
      <c r="I181" s="80">
        <f>SUMIFS('февраль 2024'!$G$6:$G$1413,'февраль 2024'!$D$6:$D$1413,$B181,'февраль 2024'!$J$6:$J$1413,I$1)</f>
        <v>0</v>
      </c>
      <c r="J181" s="80">
        <f>SUMIFS('февраль 2024'!$G$6:$G$1413,'февраль 2024'!$D$6:$D$1413,$B181,'февраль 2024'!$J$6:$J$1413,J$1)</f>
        <v>0</v>
      </c>
      <c r="K181" s="80">
        <f>SUMIFS('февраль 2024'!$G$6:$G$1413,'февраль 2024'!$D$6:$D$1413,$B181,'февраль 2024'!$J$6:$J$1413,K$1)</f>
        <v>0</v>
      </c>
      <c r="L181" s="80">
        <f>SUMIFS('февраль 2024'!$G$6:$G$1413,'февраль 2024'!$D$6:$D$1413,$B181,'февраль 2024'!$J$6:$J$1413,L$1)</f>
        <v>0</v>
      </c>
      <c r="M181" s="80">
        <f>SUMIFS('февраль 2024'!$G$6:$G$1413,'февраль 2024'!$D$6:$D$1413,$B181,'февраль 2024'!$J$6:$J$1413,M$1)</f>
        <v>0</v>
      </c>
      <c r="N181" s="80">
        <f>SUMIFS('февраль 2024'!$G$6:$G$1413,'февраль 2024'!$D$6:$D$1413,$B181,'февраль 2024'!$J$6:$J$1413,N$1)</f>
        <v>0</v>
      </c>
      <c r="O181" s="80">
        <f>SUMIFS('февраль 2024'!$G$6:$G$1413,'февраль 2024'!$D$6:$D$1413,$B181,'февраль 2024'!$J$6:$J$1413,O$1)</f>
        <v>0</v>
      </c>
      <c r="P181" s="80">
        <f>SUMIFS('февраль 2024'!$G$6:$G$1413,'февраль 2024'!$D$6:$D$1413,$B181,'февраль 2024'!$J$6:$J$1413,P$1)</f>
        <v>0</v>
      </c>
      <c r="Q181" s="80">
        <f>SUMIFS('февраль 2024'!$G$6:$G$1413,'февраль 2024'!$D$6:$D$1413,$B181,'февраль 2024'!$J$6:$J$1413,Q$1)</f>
        <v>0</v>
      </c>
      <c r="R181" s="80">
        <f>SUMIFS('февраль 2024'!$G$6:$G$1413,'февраль 2024'!$D$6:$D$1413,$B181,'февраль 2024'!$J$6:$J$1413,R$1)</f>
        <v>0</v>
      </c>
      <c r="S181" s="80">
        <f>SUMIFS('февраль 2024'!$G$6:$G$1413,'февраль 2024'!$D$6:$D$1413,$B181,'февраль 2024'!$J$6:$J$1413,S$1)</f>
        <v>0</v>
      </c>
      <c r="T181" s="80">
        <f>SUMIFS('февраль 2024'!$G$6:$G$1413,'февраль 2024'!$D$6:$D$1413,$B181,'февраль 2024'!$J$6:$J$1413,T$1)</f>
        <v>0</v>
      </c>
      <c r="U181" s="80">
        <f>SUMIFS('февраль 2024'!$G$6:$G$1413,'февраль 2024'!$D$6:$D$1413,$B181,'февраль 2024'!$J$6:$J$1413,U$1)</f>
        <v>0</v>
      </c>
      <c r="V181" s="80">
        <f>SUMIFS('февраль 2024'!$G$6:$G$1413,'февраль 2024'!$D$6:$D$1413,$B181,'февраль 2024'!$J$6:$J$1413,V$1)</f>
        <v>0</v>
      </c>
      <c r="W181" s="80">
        <f>SUMIFS('февраль 2024'!$G$6:$G$1413,'февраль 2024'!$D$6:$D$1413,$B181,'февраль 2024'!$J$6:$J$1413,W$1)</f>
        <v>0</v>
      </c>
      <c r="X181" s="80">
        <f>SUMIFS('февраль 2024'!$G$6:$G$1413,'февраль 2024'!$D$6:$D$1413,$B181,'февраль 2024'!$J$6:$J$1413,X$1)</f>
        <v>0</v>
      </c>
      <c r="Y181" s="80">
        <f>SUMIFS('февраль 2024'!$G$6:$G$1413,'февраль 2024'!$D$6:$D$1413,$B181,'февраль 2024'!$J$6:$J$1413,Y$1)</f>
        <v>0</v>
      </c>
      <c r="Z181" s="80">
        <f>SUMIFS('февраль 2024'!$G$6:$G$1413,'февраль 2024'!$D$6:$D$1413,$B181,'февраль 2024'!$J$6:$J$1413,Z$1)</f>
        <v>0</v>
      </c>
      <c r="AA181" s="80">
        <f>SUMIFS('февраль 2024'!$G$6:$G$1413,'февраль 2024'!$D$6:$D$1413,$B181,'февраль 2024'!$J$6:$J$1413,AA$1)</f>
        <v>0</v>
      </c>
      <c r="AB181" s="80">
        <f>SUMIFS('февраль 2024'!$G$6:$G$1413,'февраль 2024'!$D$6:$D$1413,$B181,'февраль 2024'!$J$6:$J$1413,AB$1)</f>
        <v>0</v>
      </c>
      <c r="AC181" s="80">
        <f>SUMIFS('февраль 2024'!$G$6:$G$1413,'февраль 2024'!$D$6:$D$1413,$B181,'февраль 2024'!$J$6:$J$1413,AC$1)</f>
        <v>0</v>
      </c>
      <c r="AD181" s="80">
        <f>SUMIFS('февраль 2024'!$G$6:$G$1413,'февраль 2024'!$D$6:$D$1413,$B181,'февраль 2024'!$J$6:$J$1413,AD$1)</f>
        <v>0</v>
      </c>
      <c r="AE181" s="80">
        <f>SUMIFS('февраль 2024'!$G$6:$G$1413,'февраль 2024'!$D$6:$D$1413,$B181,'февраль 2024'!$J$6:$J$1413,AE$1)</f>
        <v>0</v>
      </c>
      <c r="AF181" s="80">
        <f>SUMIFS('февраль 2024'!$G$6:$G$1413,'февраль 2024'!$D$6:$D$1413,$B181,'февраль 2024'!$J$6:$J$1413,AF$1)</f>
        <v>0</v>
      </c>
      <c r="AG181" s="80">
        <f>SUMIFS('февраль 2024'!$G$6:$G$1413,'февраль 2024'!$D$6:$D$1413,$B181,'февраль 2024'!$J$6:$J$1413,AG$1)</f>
        <v>0</v>
      </c>
      <c r="AH181" s="80">
        <f>SUMIFS('февраль 2024'!$G$6:$G$1413,'февраль 2024'!$D$6:$D$1413,$B181,'февраль 2024'!$J$6:$J$1413,AH$1)</f>
        <v>0</v>
      </c>
      <c r="AI181" s="87"/>
    </row>
    <row r="182" spans="2:35" ht="15" hidden="1" customHeight="1" x14ac:dyDescent="0.25">
      <c r="B182" s="89"/>
      <c r="C182" s="88"/>
      <c r="D182" s="80">
        <f>SUMIFS('февраль 2024'!$G$6:$G$1413,'февраль 2024'!$D$6:$D$1413,$B182,'февраль 2024'!$J$6:$J$1413,D$1)</f>
        <v>0</v>
      </c>
      <c r="E182" s="80">
        <f>SUMIFS('февраль 2024'!$G$6:$G$1413,'февраль 2024'!$D$6:$D$1413,$B182,'февраль 2024'!$J$6:$J$1413,E$1)</f>
        <v>0</v>
      </c>
      <c r="F182" s="80">
        <f>SUMIFS('февраль 2024'!$G$6:$G$1413,'февраль 2024'!$D$6:$D$1413,$B182,'февраль 2024'!$J$6:$J$1413,F$1)</f>
        <v>0</v>
      </c>
      <c r="G182" s="80">
        <f>SUMIFS('февраль 2024'!$G$6:$G$1413,'февраль 2024'!$D$6:$D$1413,$B182,'февраль 2024'!$J$6:$J$1413,G$1)</f>
        <v>0</v>
      </c>
      <c r="H182" s="80">
        <f>SUMIFS('февраль 2024'!$G$6:$G$1413,'февраль 2024'!$D$6:$D$1413,$B182,'февраль 2024'!$J$6:$J$1413,H$1)</f>
        <v>0</v>
      </c>
      <c r="I182" s="80">
        <f>SUMIFS('февраль 2024'!$G$6:$G$1413,'февраль 2024'!$D$6:$D$1413,$B182,'февраль 2024'!$J$6:$J$1413,I$1)</f>
        <v>0</v>
      </c>
      <c r="J182" s="80">
        <f>SUMIFS('февраль 2024'!$G$6:$G$1413,'февраль 2024'!$D$6:$D$1413,$B182,'февраль 2024'!$J$6:$J$1413,J$1)</f>
        <v>0</v>
      </c>
      <c r="K182" s="80">
        <f>SUMIFS('февраль 2024'!$G$6:$G$1413,'февраль 2024'!$D$6:$D$1413,$B182,'февраль 2024'!$J$6:$J$1413,K$1)</f>
        <v>0</v>
      </c>
      <c r="L182" s="80">
        <f>SUMIFS('февраль 2024'!$G$6:$G$1413,'февраль 2024'!$D$6:$D$1413,$B182,'февраль 2024'!$J$6:$J$1413,L$1)</f>
        <v>0</v>
      </c>
      <c r="M182" s="80">
        <f>SUMIFS('февраль 2024'!$G$6:$G$1413,'февраль 2024'!$D$6:$D$1413,$B182,'февраль 2024'!$J$6:$J$1413,M$1)</f>
        <v>0</v>
      </c>
      <c r="N182" s="80">
        <f>SUMIFS('февраль 2024'!$G$6:$G$1413,'февраль 2024'!$D$6:$D$1413,$B182,'февраль 2024'!$J$6:$J$1413,N$1)</f>
        <v>0</v>
      </c>
      <c r="O182" s="80">
        <f>SUMIFS('февраль 2024'!$G$6:$G$1413,'февраль 2024'!$D$6:$D$1413,$B182,'февраль 2024'!$J$6:$J$1413,O$1)</f>
        <v>0</v>
      </c>
      <c r="P182" s="80">
        <f>SUMIFS('февраль 2024'!$G$6:$G$1413,'февраль 2024'!$D$6:$D$1413,$B182,'февраль 2024'!$J$6:$J$1413,P$1)</f>
        <v>0</v>
      </c>
      <c r="Q182" s="80">
        <f>SUMIFS('февраль 2024'!$G$6:$G$1413,'февраль 2024'!$D$6:$D$1413,$B182,'февраль 2024'!$J$6:$J$1413,Q$1)</f>
        <v>0</v>
      </c>
      <c r="R182" s="80">
        <f>SUMIFS('февраль 2024'!$G$6:$G$1413,'февраль 2024'!$D$6:$D$1413,$B182,'февраль 2024'!$J$6:$J$1413,R$1)</f>
        <v>0</v>
      </c>
      <c r="S182" s="80">
        <f>SUMIFS('февраль 2024'!$G$6:$G$1413,'февраль 2024'!$D$6:$D$1413,$B182,'февраль 2024'!$J$6:$J$1413,S$1)</f>
        <v>0</v>
      </c>
      <c r="T182" s="80">
        <f>SUMIFS('февраль 2024'!$G$6:$G$1413,'февраль 2024'!$D$6:$D$1413,$B182,'февраль 2024'!$J$6:$J$1413,T$1)</f>
        <v>0</v>
      </c>
      <c r="U182" s="80">
        <f>SUMIFS('февраль 2024'!$G$6:$G$1413,'февраль 2024'!$D$6:$D$1413,$B182,'февраль 2024'!$J$6:$J$1413,U$1)</f>
        <v>0</v>
      </c>
      <c r="V182" s="80">
        <f>SUMIFS('февраль 2024'!$G$6:$G$1413,'февраль 2024'!$D$6:$D$1413,$B182,'февраль 2024'!$J$6:$J$1413,V$1)</f>
        <v>0</v>
      </c>
      <c r="W182" s="80">
        <f>SUMIFS('февраль 2024'!$G$6:$G$1413,'февраль 2024'!$D$6:$D$1413,$B182,'февраль 2024'!$J$6:$J$1413,W$1)</f>
        <v>0</v>
      </c>
      <c r="X182" s="80">
        <f>SUMIFS('февраль 2024'!$G$6:$G$1413,'февраль 2024'!$D$6:$D$1413,$B182,'февраль 2024'!$J$6:$J$1413,X$1)</f>
        <v>0</v>
      </c>
      <c r="Y182" s="80">
        <f>SUMIFS('февраль 2024'!$G$6:$G$1413,'февраль 2024'!$D$6:$D$1413,$B182,'февраль 2024'!$J$6:$J$1413,Y$1)</f>
        <v>0</v>
      </c>
      <c r="Z182" s="80">
        <f>SUMIFS('февраль 2024'!$G$6:$G$1413,'февраль 2024'!$D$6:$D$1413,$B182,'февраль 2024'!$J$6:$J$1413,Z$1)</f>
        <v>0</v>
      </c>
      <c r="AA182" s="80">
        <f>SUMIFS('февраль 2024'!$G$6:$G$1413,'февраль 2024'!$D$6:$D$1413,$B182,'февраль 2024'!$J$6:$J$1413,AA$1)</f>
        <v>0</v>
      </c>
      <c r="AB182" s="80">
        <f>SUMIFS('февраль 2024'!$G$6:$G$1413,'февраль 2024'!$D$6:$D$1413,$B182,'февраль 2024'!$J$6:$J$1413,AB$1)</f>
        <v>0</v>
      </c>
      <c r="AC182" s="80">
        <f>SUMIFS('февраль 2024'!$G$6:$G$1413,'февраль 2024'!$D$6:$D$1413,$B182,'февраль 2024'!$J$6:$J$1413,AC$1)</f>
        <v>0</v>
      </c>
      <c r="AD182" s="80">
        <f>SUMIFS('февраль 2024'!$G$6:$G$1413,'февраль 2024'!$D$6:$D$1413,$B182,'февраль 2024'!$J$6:$J$1413,AD$1)</f>
        <v>0</v>
      </c>
      <c r="AE182" s="80">
        <f>SUMIFS('февраль 2024'!$G$6:$G$1413,'февраль 2024'!$D$6:$D$1413,$B182,'февраль 2024'!$J$6:$J$1413,AE$1)</f>
        <v>0</v>
      </c>
      <c r="AF182" s="80">
        <f>SUMIFS('февраль 2024'!$G$6:$G$1413,'февраль 2024'!$D$6:$D$1413,$B182,'февраль 2024'!$J$6:$J$1413,AF$1)</f>
        <v>0</v>
      </c>
      <c r="AG182" s="80">
        <f>SUMIFS('февраль 2024'!$G$6:$G$1413,'февраль 2024'!$D$6:$D$1413,$B182,'февраль 2024'!$J$6:$J$1413,AG$1)</f>
        <v>0</v>
      </c>
      <c r="AH182" s="80">
        <f>SUMIFS('февраль 2024'!$G$6:$G$1413,'февраль 2024'!$D$6:$D$1413,$B182,'февраль 2024'!$J$6:$J$1413,AH$1)</f>
        <v>0</v>
      </c>
      <c r="AI182" s="87"/>
    </row>
    <row r="183" spans="2:35" ht="15" hidden="1" customHeight="1" x14ac:dyDescent="0.25">
      <c r="B183" s="89"/>
      <c r="C183" s="88"/>
      <c r="D183" s="80">
        <f>SUMIFS('февраль 2024'!$G$6:$G$1413,'февраль 2024'!$D$6:$D$1413,$B183,'февраль 2024'!$J$6:$J$1413,D$1)</f>
        <v>0</v>
      </c>
      <c r="E183" s="80">
        <f>SUMIFS('февраль 2024'!$G$6:$G$1413,'февраль 2024'!$D$6:$D$1413,$B183,'февраль 2024'!$J$6:$J$1413,E$1)</f>
        <v>0</v>
      </c>
      <c r="F183" s="80">
        <f>SUMIFS('февраль 2024'!$G$6:$G$1413,'февраль 2024'!$D$6:$D$1413,$B183,'февраль 2024'!$J$6:$J$1413,F$1)</f>
        <v>0</v>
      </c>
      <c r="G183" s="80">
        <f>SUMIFS('февраль 2024'!$G$6:$G$1413,'февраль 2024'!$D$6:$D$1413,$B183,'февраль 2024'!$J$6:$J$1413,G$1)</f>
        <v>0</v>
      </c>
      <c r="H183" s="80">
        <f>SUMIFS('февраль 2024'!$G$6:$G$1413,'февраль 2024'!$D$6:$D$1413,$B183,'февраль 2024'!$J$6:$J$1413,H$1)</f>
        <v>0</v>
      </c>
      <c r="I183" s="80">
        <f>SUMIFS('февраль 2024'!$G$6:$G$1413,'февраль 2024'!$D$6:$D$1413,$B183,'февраль 2024'!$J$6:$J$1413,I$1)</f>
        <v>0</v>
      </c>
      <c r="J183" s="80">
        <f>SUMIFS('февраль 2024'!$G$6:$G$1413,'февраль 2024'!$D$6:$D$1413,$B183,'февраль 2024'!$J$6:$J$1413,J$1)</f>
        <v>0</v>
      </c>
      <c r="K183" s="80">
        <f>SUMIFS('февраль 2024'!$G$6:$G$1413,'февраль 2024'!$D$6:$D$1413,$B183,'февраль 2024'!$J$6:$J$1413,K$1)</f>
        <v>0</v>
      </c>
      <c r="L183" s="80">
        <f>SUMIFS('февраль 2024'!$G$6:$G$1413,'февраль 2024'!$D$6:$D$1413,$B183,'февраль 2024'!$J$6:$J$1413,L$1)</f>
        <v>0</v>
      </c>
      <c r="M183" s="80">
        <f>SUMIFS('февраль 2024'!$G$6:$G$1413,'февраль 2024'!$D$6:$D$1413,$B183,'февраль 2024'!$J$6:$J$1413,M$1)</f>
        <v>0</v>
      </c>
      <c r="N183" s="80">
        <f>SUMIFS('февраль 2024'!$G$6:$G$1413,'февраль 2024'!$D$6:$D$1413,$B183,'февраль 2024'!$J$6:$J$1413,N$1)</f>
        <v>0</v>
      </c>
      <c r="O183" s="80">
        <f>SUMIFS('февраль 2024'!$G$6:$G$1413,'февраль 2024'!$D$6:$D$1413,$B183,'февраль 2024'!$J$6:$J$1413,O$1)</f>
        <v>0</v>
      </c>
      <c r="P183" s="80">
        <f>SUMIFS('февраль 2024'!$G$6:$G$1413,'февраль 2024'!$D$6:$D$1413,$B183,'февраль 2024'!$J$6:$J$1413,P$1)</f>
        <v>0</v>
      </c>
      <c r="Q183" s="80">
        <f>SUMIFS('февраль 2024'!$G$6:$G$1413,'февраль 2024'!$D$6:$D$1413,$B183,'февраль 2024'!$J$6:$J$1413,Q$1)</f>
        <v>0</v>
      </c>
      <c r="R183" s="80">
        <f>SUMIFS('февраль 2024'!$G$6:$G$1413,'февраль 2024'!$D$6:$D$1413,$B183,'февраль 2024'!$J$6:$J$1413,R$1)</f>
        <v>0</v>
      </c>
      <c r="S183" s="80">
        <f>SUMIFS('февраль 2024'!$G$6:$G$1413,'февраль 2024'!$D$6:$D$1413,$B183,'февраль 2024'!$J$6:$J$1413,S$1)</f>
        <v>0</v>
      </c>
      <c r="T183" s="80">
        <f>SUMIFS('февраль 2024'!$G$6:$G$1413,'февраль 2024'!$D$6:$D$1413,$B183,'февраль 2024'!$J$6:$J$1413,T$1)</f>
        <v>0</v>
      </c>
      <c r="U183" s="80">
        <f>SUMIFS('февраль 2024'!$G$6:$G$1413,'февраль 2024'!$D$6:$D$1413,$B183,'февраль 2024'!$J$6:$J$1413,U$1)</f>
        <v>0</v>
      </c>
      <c r="V183" s="80">
        <f>SUMIFS('февраль 2024'!$G$6:$G$1413,'февраль 2024'!$D$6:$D$1413,$B183,'февраль 2024'!$J$6:$J$1413,V$1)</f>
        <v>0</v>
      </c>
      <c r="W183" s="80">
        <f>SUMIFS('февраль 2024'!$G$6:$G$1413,'февраль 2024'!$D$6:$D$1413,$B183,'февраль 2024'!$J$6:$J$1413,W$1)</f>
        <v>0</v>
      </c>
      <c r="X183" s="80">
        <f>SUMIFS('февраль 2024'!$G$6:$G$1413,'февраль 2024'!$D$6:$D$1413,$B183,'февраль 2024'!$J$6:$J$1413,X$1)</f>
        <v>0</v>
      </c>
      <c r="Y183" s="80">
        <f>SUMIFS('февраль 2024'!$G$6:$G$1413,'февраль 2024'!$D$6:$D$1413,$B183,'февраль 2024'!$J$6:$J$1413,Y$1)</f>
        <v>0</v>
      </c>
      <c r="Z183" s="80">
        <f>SUMIFS('февраль 2024'!$G$6:$G$1413,'февраль 2024'!$D$6:$D$1413,$B183,'февраль 2024'!$J$6:$J$1413,Z$1)</f>
        <v>0</v>
      </c>
      <c r="AA183" s="80">
        <f>SUMIFS('февраль 2024'!$G$6:$G$1413,'февраль 2024'!$D$6:$D$1413,$B183,'февраль 2024'!$J$6:$J$1413,AA$1)</f>
        <v>0</v>
      </c>
      <c r="AB183" s="80">
        <f>SUMIFS('февраль 2024'!$G$6:$G$1413,'февраль 2024'!$D$6:$D$1413,$B183,'февраль 2024'!$J$6:$J$1413,AB$1)</f>
        <v>0</v>
      </c>
      <c r="AC183" s="80">
        <f>SUMIFS('февраль 2024'!$G$6:$G$1413,'февраль 2024'!$D$6:$D$1413,$B183,'февраль 2024'!$J$6:$J$1413,AC$1)</f>
        <v>0</v>
      </c>
      <c r="AD183" s="80">
        <f>SUMIFS('февраль 2024'!$G$6:$G$1413,'февраль 2024'!$D$6:$D$1413,$B183,'февраль 2024'!$J$6:$J$1413,AD$1)</f>
        <v>0</v>
      </c>
      <c r="AE183" s="80">
        <f>SUMIFS('февраль 2024'!$G$6:$G$1413,'февраль 2024'!$D$6:$D$1413,$B183,'февраль 2024'!$J$6:$J$1413,AE$1)</f>
        <v>0</v>
      </c>
      <c r="AF183" s="80">
        <f>SUMIFS('февраль 2024'!$G$6:$G$1413,'февраль 2024'!$D$6:$D$1413,$B183,'февраль 2024'!$J$6:$J$1413,AF$1)</f>
        <v>0</v>
      </c>
      <c r="AG183" s="80">
        <f>SUMIFS('февраль 2024'!$G$6:$G$1413,'февраль 2024'!$D$6:$D$1413,$B183,'февраль 2024'!$J$6:$J$1413,AG$1)</f>
        <v>0</v>
      </c>
      <c r="AH183" s="80">
        <f>SUMIFS('февраль 2024'!$G$6:$G$1413,'февраль 2024'!$D$6:$D$1413,$B183,'февраль 2024'!$J$6:$J$1413,AH$1)</f>
        <v>0</v>
      </c>
      <c r="AI183" s="87"/>
    </row>
    <row r="184" spans="2:35" ht="15" hidden="1" customHeight="1" x14ac:dyDescent="0.25">
      <c r="B184" s="89"/>
      <c r="C184" s="88"/>
      <c r="D184" s="80">
        <f>SUMIFS('февраль 2024'!$G$6:$G$1413,'февраль 2024'!$D$6:$D$1413,$B184,'февраль 2024'!$J$6:$J$1413,D$1)</f>
        <v>0</v>
      </c>
      <c r="E184" s="80">
        <f>SUMIFS('февраль 2024'!$G$6:$G$1413,'февраль 2024'!$D$6:$D$1413,$B184,'февраль 2024'!$J$6:$J$1413,E$1)</f>
        <v>0</v>
      </c>
      <c r="F184" s="80">
        <f>SUMIFS('февраль 2024'!$G$6:$G$1413,'февраль 2024'!$D$6:$D$1413,$B184,'февраль 2024'!$J$6:$J$1413,F$1)</f>
        <v>0</v>
      </c>
      <c r="G184" s="80">
        <f>SUMIFS('февраль 2024'!$G$6:$G$1413,'февраль 2024'!$D$6:$D$1413,$B184,'февраль 2024'!$J$6:$J$1413,G$1)</f>
        <v>0</v>
      </c>
      <c r="H184" s="80">
        <f>SUMIFS('февраль 2024'!$G$6:$G$1413,'февраль 2024'!$D$6:$D$1413,$B184,'февраль 2024'!$J$6:$J$1413,H$1)</f>
        <v>0</v>
      </c>
      <c r="I184" s="80">
        <f>SUMIFS('февраль 2024'!$G$6:$G$1413,'февраль 2024'!$D$6:$D$1413,$B184,'февраль 2024'!$J$6:$J$1413,I$1)</f>
        <v>0</v>
      </c>
      <c r="J184" s="80">
        <f>SUMIFS('февраль 2024'!$G$6:$G$1413,'февраль 2024'!$D$6:$D$1413,$B184,'февраль 2024'!$J$6:$J$1413,J$1)</f>
        <v>0</v>
      </c>
      <c r="K184" s="80">
        <f>SUMIFS('февраль 2024'!$G$6:$G$1413,'февраль 2024'!$D$6:$D$1413,$B184,'февраль 2024'!$J$6:$J$1413,K$1)</f>
        <v>0</v>
      </c>
      <c r="L184" s="80">
        <f>SUMIFS('февраль 2024'!$G$6:$G$1413,'февраль 2024'!$D$6:$D$1413,$B184,'февраль 2024'!$J$6:$J$1413,L$1)</f>
        <v>0</v>
      </c>
      <c r="M184" s="80">
        <f>SUMIFS('февраль 2024'!$G$6:$G$1413,'февраль 2024'!$D$6:$D$1413,$B184,'февраль 2024'!$J$6:$J$1413,M$1)</f>
        <v>0</v>
      </c>
      <c r="N184" s="80">
        <f>SUMIFS('февраль 2024'!$G$6:$G$1413,'февраль 2024'!$D$6:$D$1413,$B184,'февраль 2024'!$J$6:$J$1413,N$1)</f>
        <v>0</v>
      </c>
      <c r="O184" s="80">
        <f>SUMIFS('февраль 2024'!$G$6:$G$1413,'февраль 2024'!$D$6:$D$1413,$B184,'февраль 2024'!$J$6:$J$1413,O$1)</f>
        <v>0</v>
      </c>
      <c r="P184" s="80">
        <f>SUMIFS('февраль 2024'!$G$6:$G$1413,'февраль 2024'!$D$6:$D$1413,$B184,'февраль 2024'!$J$6:$J$1413,P$1)</f>
        <v>0</v>
      </c>
      <c r="Q184" s="80">
        <f>SUMIFS('февраль 2024'!$G$6:$G$1413,'февраль 2024'!$D$6:$D$1413,$B184,'февраль 2024'!$J$6:$J$1413,Q$1)</f>
        <v>0</v>
      </c>
      <c r="R184" s="80">
        <f>SUMIFS('февраль 2024'!$G$6:$G$1413,'февраль 2024'!$D$6:$D$1413,$B184,'февраль 2024'!$J$6:$J$1413,R$1)</f>
        <v>0</v>
      </c>
      <c r="S184" s="80">
        <f>SUMIFS('февраль 2024'!$G$6:$G$1413,'февраль 2024'!$D$6:$D$1413,$B184,'февраль 2024'!$J$6:$J$1413,S$1)</f>
        <v>0</v>
      </c>
      <c r="T184" s="80">
        <f>SUMIFS('февраль 2024'!$G$6:$G$1413,'февраль 2024'!$D$6:$D$1413,$B184,'февраль 2024'!$J$6:$J$1413,T$1)</f>
        <v>0</v>
      </c>
      <c r="U184" s="80">
        <f>SUMIFS('февраль 2024'!$G$6:$G$1413,'февраль 2024'!$D$6:$D$1413,$B184,'февраль 2024'!$J$6:$J$1413,U$1)</f>
        <v>0</v>
      </c>
      <c r="V184" s="80">
        <f>SUMIFS('февраль 2024'!$G$6:$G$1413,'февраль 2024'!$D$6:$D$1413,$B184,'февраль 2024'!$J$6:$J$1413,V$1)</f>
        <v>0</v>
      </c>
      <c r="W184" s="80">
        <f>SUMIFS('февраль 2024'!$G$6:$G$1413,'февраль 2024'!$D$6:$D$1413,$B184,'февраль 2024'!$J$6:$J$1413,W$1)</f>
        <v>0</v>
      </c>
      <c r="X184" s="80">
        <f>SUMIFS('февраль 2024'!$G$6:$G$1413,'февраль 2024'!$D$6:$D$1413,$B184,'февраль 2024'!$J$6:$J$1413,X$1)</f>
        <v>0</v>
      </c>
      <c r="Y184" s="80">
        <f>SUMIFS('февраль 2024'!$G$6:$G$1413,'февраль 2024'!$D$6:$D$1413,$B184,'февраль 2024'!$J$6:$J$1413,Y$1)</f>
        <v>0</v>
      </c>
      <c r="Z184" s="80">
        <f>SUMIFS('февраль 2024'!$G$6:$G$1413,'февраль 2024'!$D$6:$D$1413,$B184,'февраль 2024'!$J$6:$J$1413,Z$1)</f>
        <v>0</v>
      </c>
      <c r="AA184" s="80">
        <f>SUMIFS('февраль 2024'!$G$6:$G$1413,'февраль 2024'!$D$6:$D$1413,$B184,'февраль 2024'!$J$6:$J$1413,AA$1)</f>
        <v>0</v>
      </c>
      <c r="AB184" s="80">
        <f>SUMIFS('февраль 2024'!$G$6:$G$1413,'февраль 2024'!$D$6:$D$1413,$B184,'февраль 2024'!$J$6:$J$1413,AB$1)</f>
        <v>0</v>
      </c>
      <c r="AC184" s="80">
        <f>SUMIFS('февраль 2024'!$G$6:$G$1413,'февраль 2024'!$D$6:$D$1413,$B184,'февраль 2024'!$J$6:$J$1413,AC$1)</f>
        <v>0</v>
      </c>
      <c r="AD184" s="80">
        <f>SUMIFS('февраль 2024'!$G$6:$G$1413,'февраль 2024'!$D$6:$D$1413,$B184,'февраль 2024'!$J$6:$J$1413,AD$1)</f>
        <v>0</v>
      </c>
      <c r="AE184" s="80">
        <f>SUMIFS('февраль 2024'!$G$6:$G$1413,'февраль 2024'!$D$6:$D$1413,$B184,'февраль 2024'!$J$6:$J$1413,AE$1)</f>
        <v>0</v>
      </c>
      <c r="AF184" s="80">
        <f>SUMIFS('февраль 2024'!$G$6:$G$1413,'февраль 2024'!$D$6:$D$1413,$B184,'февраль 2024'!$J$6:$J$1413,AF$1)</f>
        <v>0</v>
      </c>
      <c r="AG184" s="80">
        <f>SUMIFS('февраль 2024'!$G$6:$G$1413,'февраль 2024'!$D$6:$D$1413,$B184,'февраль 2024'!$J$6:$J$1413,AG$1)</f>
        <v>0</v>
      </c>
      <c r="AH184" s="80">
        <f>SUMIFS('февраль 2024'!$G$6:$G$1413,'февраль 2024'!$D$6:$D$1413,$B184,'февраль 2024'!$J$6:$J$1413,AH$1)</f>
        <v>0</v>
      </c>
      <c r="AI184" s="87"/>
    </row>
    <row r="185" spans="2:35" ht="15" hidden="1" customHeight="1" x14ac:dyDescent="0.25">
      <c r="B185" s="89"/>
      <c r="C185" s="88"/>
      <c r="D185" s="80">
        <f>SUMIFS('февраль 2024'!$G$6:$G$1413,'февраль 2024'!$D$6:$D$1413,$B185,'февраль 2024'!$J$6:$J$1413,D$1)</f>
        <v>0</v>
      </c>
      <c r="E185" s="80">
        <f>SUMIFS('февраль 2024'!$G$6:$G$1413,'февраль 2024'!$D$6:$D$1413,$B185,'февраль 2024'!$J$6:$J$1413,E$1)</f>
        <v>0</v>
      </c>
      <c r="F185" s="80">
        <f>SUMIFS('февраль 2024'!$G$6:$G$1413,'февраль 2024'!$D$6:$D$1413,$B185,'февраль 2024'!$J$6:$J$1413,F$1)</f>
        <v>0</v>
      </c>
      <c r="G185" s="80">
        <f>SUMIFS('февраль 2024'!$G$6:$G$1413,'февраль 2024'!$D$6:$D$1413,$B185,'февраль 2024'!$J$6:$J$1413,G$1)</f>
        <v>0</v>
      </c>
      <c r="H185" s="80">
        <f>SUMIFS('февраль 2024'!$G$6:$G$1413,'февраль 2024'!$D$6:$D$1413,$B185,'февраль 2024'!$J$6:$J$1413,H$1)</f>
        <v>0</v>
      </c>
      <c r="I185" s="80">
        <f>SUMIFS('февраль 2024'!$G$6:$G$1413,'февраль 2024'!$D$6:$D$1413,$B185,'февраль 2024'!$J$6:$J$1413,I$1)</f>
        <v>0</v>
      </c>
      <c r="J185" s="80">
        <f>SUMIFS('февраль 2024'!$G$6:$G$1413,'февраль 2024'!$D$6:$D$1413,$B185,'февраль 2024'!$J$6:$J$1413,J$1)</f>
        <v>0</v>
      </c>
      <c r="K185" s="80">
        <f>SUMIFS('февраль 2024'!$G$6:$G$1413,'февраль 2024'!$D$6:$D$1413,$B185,'февраль 2024'!$J$6:$J$1413,K$1)</f>
        <v>0</v>
      </c>
      <c r="L185" s="80">
        <f>SUMIFS('февраль 2024'!$G$6:$G$1413,'февраль 2024'!$D$6:$D$1413,$B185,'февраль 2024'!$J$6:$J$1413,L$1)</f>
        <v>0</v>
      </c>
      <c r="M185" s="80">
        <f>SUMIFS('февраль 2024'!$G$6:$G$1413,'февраль 2024'!$D$6:$D$1413,$B185,'февраль 2024'!$J$6:$J$1413,M$1)</f>
        <v>0</v>
      </c>
      <c r="N185" s="80">
        <f>SUMIFS('февраль 2024'!$G$6:$G$1413,'февраль 2024'!$D$6:$D$1413,$B185,'февраль 2024'!$J$6:$J$1413,N$1)</f>
        <v>0</v>
      </c>
      <c r="O185" s="80">
        <f>SUMIFS('февраль 2024'!$G$6:$G$1413,'февраль 2024'!$D$6:$D$1413,$B185,'февраль 2024'!$J$6:$J$1413,O$1)</f>
        <v>0</v>
      </c>
      <c r="P185" s="80">
        <f>SUMIFS('февраль 2024'!$G$6:$G$1413,'февраль 2024'!$D$6:$D$1413,$B185,'февраль 2024'!$J$6:$J$1413,P$1)</f>
        <v>0</v>
      </c>
      <c r="Q185" s="80">
        <f>SUMIFS('февраль 2024'!$G$6:$G$1413,'февраль 2024'!$D$6:$D$1413,$B185,'февраль 2024'!$J$6:$J$1413,Q$1)</f>
        <v>0</v>
      </c>
      <c r="R185" s="80">
        <f>SUMIFS('февраль 2024'!$G$6:$G$1413,'февраль 2024'!$D$6:$D$1413,$B185,'февраль 2024'!$J$6:$J$1413,R$1)</f>
        <v>0</v>
      </c>
      <c r="S185" s="80">
        <f>SUMIFS('февраль 2024'!$G$6:$G$1413,'февраль 2024'!$D$6:$D$1413,$B185,'февраль 2024'!$J$6:$J$1413,S$1)</f>
        <v>0</v>
      </c>
      <c r="T185" s="80">
        <f>SUMIFS('февраль 2024'!$G$6:$G$1413,'февраль 2024'!$D$6:$D$1413,$B185,'февраль 2024'!$J$6:$J$1413,T$1)</f>
        <v>0</v>
      </c>
      <c r="U185" s="80">
        <f>SUMIFS('февраль 2024'!$G$6:$G$1413,'февраль 2024'!$D$6:$D$1413,$B185,'февраль 2024'!$J$6:$J$1413,U$1)</f>
        <v>0</v>
      </c>
      <c r="V185" s="80">
        <f>SUMIFS('февраль 2024'!$G$6:$G$1413,'февраль 2024'!$D$6:$D$1413,$B185,'февраль 2024'!$J$6:$J$1413,V$1)</f>
        <v>0</v>
      </c>
      <c r="W185" s="80">
        <f>SUMIFS('февраль 2024'!$G$6:$G$1413,'февраль 2024'!$D$6:$D$1413,$B185,'февраль 2024'!$J$6:$J$1413,W$1)</f>
        <v>0</v>
      </c>
      <c r="X185" s="80">
        <f>SUMIFS('февраль 2024'!$G$6:$G$1413,'февраль 2024'!$D$6:$D$1413,$B185,'февраль 2024'!$J$6:$J$1413,X$1)</f>
        <v>0</v>
      </c>
      <c r="Y185" s="80">
        <f>SUMIFS('февраль 2024'!$G$6:$G$1413,'февраль 2024'!$D$6:$D$1413,$B185,'февраль 2024'!$J$6:$J$1413,Y$1)</f>
        <v>0</v>
      </c>
      <c r="Z185" s="80">
        <f>SUMIFS('февраль 2024'!$G$6:$G$1413,'февраль 2024'!$D$6:$D$1413,$B185,'февраль 2024'!$J$6:$J$1413,Z$1)</f>
        <v>0</v>
      </c>
      <c r="AA185" s="80">
        <f>SUMIFS('февраль 2024'!$G$6:$G$1413,'февраль 2024'!$D$6:$D$1413,$B185,'февраль 2024'!$J$6:$J$1413,AA$1)</f>
        <v>0</v>
      </c>
      <c r="AB185" s="80">
        <f>SUMIFS('февраль 2024'!$G$6:$G$1413,'февраль 2024'!$D$6:$D$1413,$B185,'февраль 2024'!$J$6:$J$1413,AB$1)</f>
        <v>0</v>
      </c>
      <c r="AC185" s="80">
        <f>SUMIFS('февраль 2024'!$G$6:$G$1413,'февраль 2024'!$D$6:$D$1413,$B185,'февраль 2024'!$J$6:$J$1413,AC$1)</f>
        <v>0</v>
      </c>
      <c r="AD185" s="80">
        <f>SUMIFS('февраль 2024'!$G$6:$G$1413,'февраль 2024'!$D$6:$D$1413,$B185,'февраль 2024'!$J$6:$J$1413,AD$1)</f>
        <v>0</v>
      </c>
      <c r="AE185" s="80">
        <f>SUMIFS('февраль 2024'!$G$6:$G$1413,'февраль 2024'!$D$6:$D$1413,$B185,'февраль 2024'!$J$6:$J$1413,AE$1)</f>
        <v>0</v>
      </c>
      <c r="AF185" s="80">
        <f>SUMIFS('февраль 2024'!$G$6:$G$1413,'февраль 2024'!$D$6:$D$1413,$B185,'февраль 2024'!$J$6:$J$1413,AF$1)</f>
        <v>0</v>
      </c>
      <c r="AG185" s="80">
        <f>SUMIFS('февраль 2024'!$G$6:$G$1413,'февраль 2024'!$D$6:$D$1413,$B185,'февраль 2024'!$J$6:$J$1413,AG$1)</f>
        <v>0</v>
      </c>
      <c r="AH185" s="80">
        <f>SUMIFS('февраль 2024'!$G$6:$G$1413,'февраль 2024'!$D$6:$D$1413,$B185,'февраль 2024'!$J$6:$J$1413,AH$1)</f>
        <v>0</v>
      </c>
      <c r="AI185" s="87"/>
    </row>
    <row r="186" spans="2:35" ht="15" hidden="1" customHeight="1" x14ac:dyDescent="0.25">
      <c r="B186" s="89"/>
      <c r="C186" s="88"/>
      <c r="D186" s="80">
        <f>SUMIFS('февраль 2024'!$G$6:$G$1413,'февраль 2024'!$D$6:$D$1413,$B186,'февраль 2024'!$J$6:$J$1413,D$1)</f>
        <v>0</v>
      </c>
      <c r="E186" s="80">
        <f>SUMIFS('февраль 2024'!$G$6:$G$1413,'февраль 2024'!$D$6:$D$1413,$B186,'февраль 2024'!$J$6:$J$1413,E$1)</f>
        <v>0</v>
      </c>
      <c r="F186" s="80">
        <f>SUMIFS('февраль 2024'!$G$6:$G$1413,'февраль 2024'!$D$6:$D$1413,$B186,'февраль 2024'!$J$6:$J$1413,F$1)</f>
        <v>0</v>
      </c>
      <c r="G186" s="80">
        <f>SUMIFS('февраль 2024'!$G$6:$G$1413,'февраль 2024'!$D$6:$D$1413,$B186,'февраль 2024'!$J$6:$J$1413,G$1)</f>
        <v>0</v>
      </c>
      <c r="H186" s="80">
        <f>SUMIFS('февраль 2024'!$G$6:$G$1413,'февраль 2024'!$D$6:$D$1413,$B186,'февраль 2024'!$J$6:$J$1413,H$1)</f>
        <v>0</v>
      </c>
      <c r="I186" s="80">
        <f>SUMIFS('февраль 2024'!$G$6:$G$1413,'февраль 2024'!$D$6:$D$1413,$B186,'февраль 2024'!$J$6:$J$1413,I$1)</f>
        <v>0</v>
      </c>
      <c r="J186" s="80">
        <f>SUMIFS('февраль 2024'!$G$6:$G$1413,'февраль 2024'!$D$6:$D$1413,$B186,'февраль 2024'!$J$6:$J$1413,J$1)</f>
        <v>0</v>
      </c>
      <c r="K186" s="80">
        <f>SUMIFS('февраль 2024'!$G$6:$G$1413,'февраль 2024'!$D$6:$D$1413,$B186,'февраль 2024'!$J$6:$J$1413,K$1)</f>
        <v>0</v>
      </c>
      <c r="L186" s="80">
        <f>SUMIFS('февраль 2024'!$G$6:$G$1413,'февраль 2024'!$D$6:$D$1413,$B186,'февраль 2024'!$J$6:$J$1413,L$1)</f>
        <v>0</v>
      </c>
      <c r="M186" s="80">
        <f>SUMIFS('февраль 2024'!$G$6:$G$1413,'февраль 2024'!$D$6:$D$1413,$B186,'февраль 2024'!$J$6:$J$1413,M$1)</f>
        <v>0</v>
      </c>
      <c r="N186" s="80">
        <f>SUMIFS('февраль 2024'!$G$6:$G$1413,'февраль 2024'!$D$6:$D$1413,$B186,'февраль 2024'!$J$6:$J$1413,N$1)</f>
        <v>0</v>
      </c>
      <c r="O186" s="80">
        <f>SUMIFS('февраль 2024'!$G$6:$G$1413,'февраль 2024'!$D$6:$D$1413,$B186,'февраль 2024'!$J$6:$J$1413,O$1)</f>
        <v>0</v>
      </c>
      <c r="P186" s="80">
        <f>SUMIFS('февраль 2024'!$G$6:$G$1413,'февраль 2024'!$D$6:$D$1413,$B186,'февраль 2024'!$J$6:$J$1413,P$1)</f>
        <v>0</v>
      </c>
      <c r="Q186" s="80">
        <f>SUMIFS('февраль 2024'!$G$6:$G$1413,'февраль 2024'!$D$6:$D$1413,$B186,'февраль 2024'!$J$6:$J$1413,Q$1)</f>
        <v>0</v>
      </c>
      <c r="R186" s="80">
        <f>SUMIFS('февраль 2024'!$G$6:$G$1413,'февраль 2024'!$D$6:$D$1413,$B186,'февраль 2024'!$J$6:$J$1413,R$1)</f>
        <v>0</v>
      </c>
      <c r="S186" s="80">
        <f>SUMIFS('февраль 2024'!$G$6:$G$1413,'февраль 2024'!$D$6:$D$1413,$B186,'февраль 2024'!$J$6:$J$1413,S$1)</f>
        <v>0</v>
      </c>
      <c r="T186" s="80">
        <f>SUMIFS('февраль 2024'!$G$6:$G$1413,'февраль 2024'!$D$6:$D$1413,$B186,'февраль 2024'!$J$6:$J$1413,T$1)</f>
        <v>0</v>
      </c>
      <c r="U186" s="80">
        <f>SUMIFS('февраль 2024'!$G$6:$G$1413,'февраль 2024'!$D$6:$D$1413,$B186,'февраль 2024'!$J$6:$J$1413,U$1)</f>
        <v>0</v>
      </c>
      <c r="V186" s="80">
        <f>SUMIFS('февраль 2024'!$G$6:$G$1413,'февраль 2024'!$D$6:$D$1413,$B186,'февраль 2024'!$J$6:$J$1413,V$1)</f>
        <v>0</v>
      </c>
      <c r="W186" s="80">
        <f>SUMIFS('февраль 2024'!$G$6:$G$1413,'февраль 2024'!$D$6:$D$1413,$B186,'февраль 2024'!$J$6:$J$1413,W$1)</f>
        <v>0</v>
      </c>
      <c r="X186" s="80">
        <f>SUMIFS('февраль 2024'!$G$6:$G$1413,'февраль 2024'!$D$6:$D$1413,$B186,'февраль 2024'!$J$6:$J$1413,X$1)</f>
        <v>0</v>
      </c>
      <c r="Y186" s="80">
        <f>SUMIFS('февраль 2024'!$G$6:$G$1413,'февраль 2024'!$D$6:$D$1413,$B186,'февраль 2024'!$J$6:$J$1413,Y$1)</f>
        <v>0</v>
      </c>
      <c r="Z186" s="80">
        <f>SUMIFS('февраль 2024'!$G$6:$G$1413,'февраль 2024'!$D$6:$D$1413,$B186,'февраль 2024'!$J$6:$J$1413,Z$1)</f>
        <v>0</v>
      </c>
      <c r="AA186" s="80">
        <f>SUMIFS('февраль 2024'!$G$6:$G$1413,'февраль 2024'!$D$6:$D$1413,$B186,'февраль 2024'!$J$6:$J$1413,AA$1)</f>
        <v>0</v>
      </c>
      <c r="AB186" s="80">
        <f>SUMIFS('февраль 2024'!$G$6:$G$1413,'февраль 2024'!$D$6:$D$1413,$B186,'февраль 2024'!$J$6:$J$1413,AB$1)</f>
        <v>0</v>
      </c>
      <c r="AC186" s="80">
        <f>SUMIFS('февраль 2024'!$G$6:$G$1413,'февраль 2024'!$D$6:$D$1413,$B186,'февраль 2024'!$J$6:$J$1413,AC$1)</f>
        <v>0</v>
      </c>
      <c r="AD186" s="80">
        <f>SUMIFS('февраль 2024'!$G$6:$G$1413,'февраль 2024'!$D$6:$D$1413,$B186,'февраль 2024'!$J$6:$J$1413,AD$1)</f>
        <v>0</v>
      </c>
      <c r="AE186" s="80">
        <f>SUMIFS('февраль 2024'!$G$6:$G$1413,'февраль 2024'!$D$6:$D$1413,$B186,'февраль 2024'!$J$6:$J$1413,AE$1)</f>
        <v>0</v>
      </c>
      <c r="AF186" s="80">
        <f>SUMIFS('февраль 2024'!$G$6:$G$1413,'февраль 2024'!$D$6:$D$1413,$B186,'февраль 2024'!$J$6:$J$1413,AF$1)</f>
        <v>0</v>
      </c>
      <c r="AG186" s="80">
        <f>SUMIFS('февраль 2024'!$G$6:$G$1413,'февраль 2024'!$D$6:$D$1413,$B186,'февраль 2024'!$J$6:$J$1413,AG$1)</f>
        <v>0</v>
      </c>
      <c r="AH186" s="80">
        <f>SUMIFS('февраль 2024'!$G$6:$G$1413,'февраль 2024'!$D$6:$D$1413,$B186,'февраль 2024'!$J$6:$J$1413,AH$1)</f>
        <v>0</v>
      </c>
      <c r="AI186" s="87"/>
    </row>
    <row r="187" spans="2:35" ht="15" hidden="1" customHeight="1" x14ac:dyDescent="0.25">
      <c r="B187" s="89"/>
      <c r="C187" s="88"/>
      <c r="D187" s="80">
        <f>SUMIFS('февраль 2024'!$G$6:$G$1413,'февраль 2024'!$D$6:$D$1413,$B187,'февраль 2024'!$J$6:$J$1413,D$1)</f>
        <v>0</v>
      </c>
      <c r="E187" s="80">
        <f>SUMIFS('февраль 2024'!$G$6:$G$1413,'февраль 2024'!$D$6:$D$1413,$B187,'февраль 2024'!$J$6:$J$1413,E$1)</f>
        <v>0</v>
      </c>
      <c r="F187" s="80">
        <f>SUMIFS('февраль 2024'!$G$6:$G$1413,'февраль 2024'!$D$6:$D$1413,$B187,'февраль 2024'!$J$6:$J$1413,F$1)</f>
        <v>0</v>
      </c>
      <c r="G187" s="80">
        <f>SUMIFS('февраль 2024'!$G$6:$G$1413,'февраль 2024'!$D$6:$D$1413,$B187,'февраль 2024'!$J$6:$J$1413,G$1)</f>
        <v>0</v>
      </c>
      <c r="H187" s="80">
        <f>SUMIFS('февраль 2024'!$G$6:$G$1413,'февраль 2024'!$D$6:$D$1413,$B187,'февраль 2024'!$J$6:$J$1413,H$1)</f>
        <v>0</v>
      </c>
      <c r="I187" s="80">
        <f>SUMIFS('февраль 2024'!$G$6:$G$1413,'февраль 2024'!$D$6:$D$1413,$B187,'февраль 2024'!$J$6:$J$1413,I$1)</f>
        <v>0</v>
      </c>
      <c r="J187" s="80">
        <f>SUMIFS('февраль 2024'!$G$6:$G$1413,'февраль 2024'!$D$6:$D$1413,$B187,'февраль 2024'!$J$6:$J$1413,J$1)</f>
        <v>0</v>
      </c>
      <c r="K187" s="80">
        <f>SUMIFS('февраль 2024'!$G$6:$G$1413,'февраль 2024'!$D$6:$D$1413,$B187,'февраль 2024'!$J$6:$J$1413,K$1)</f>
        <v>0</v>
      </c>
      <c r="L187" s="80">
        <f>SUMIFS('февраль 2024'!$G$6:$G$1413,'февраль 2024'!$D$6:$D$1413,$B187,'февраль 2024'!$J$6:$J$1413,L$1)</f>
        <v>0</v>
      </c>
      <c r="M187" s="80">
        <f>SUMIFS('февраль 2024'!$G$6:$G$1413,'февраль 2024'!$D$6:$D$1413,$B187,'февраль 2024'!$J$6:$J$1413,M$1)</f>
        <v>0</v>
      </c>
      <c r="N187" s="80">
        <f>SUMIFS('февраль 2024'!$G$6:$G$1413,'февраль 2024'!$D$6:$D$1413,$B187,'февраль 2024'!$J$6:$J$1413,N$1)</f>
        <v>0</v>
      </c>
      <c r="O187" s="80">
        <f>SUMIFS('февраль 2024'!$G$6:$G$1413,'февраль 2024'!$D$6:$D$1413,$B187,'февраль 2024'!$J$6:$J$1413,O$1)</f>
        <v>0</v>
      </c>
      <c r="P187" s="80">
        <f>SUMIFS('февраль 2024'!$G$6:$G$1413,'февраль 2024'!$D$6:$D$1413,$B187,'февраль 2024'!$J$6:$J$1413,P$1)</f>
        <v>0</v>
      </c>
      <c r="Q187" s="80">
        <f>SUMIFS('февраль 2024'!$G$6:$G$1413,'февраль 2024'!$D$6:$D$1413,$B187,'февраль 2024'!$J$6:$J$1413,Q$1)</f>
        <v>0</v>
      </c>
      <c r="R187" s="80">
        <f>SUMIFS('февраль 2024'!$G$6:$G$1413,'февраль 2024'!$D$6:$D$1413,$B187,'февраль 2024'!$J$6:$J$1413,R$1)</f>
        <v>0</v>
      </c>
      <c r="S187" s="80">
        <f>SUMIFS('февраль 2024'!$G$6:$G$1413,'февраль 2024'!$D$6:$D$1413,$B187,'февраль 2024'!$J$6:$J$1413,S$1)</f>
        <v>0</v>
      </c>
      <c r="T187" s="80">
        <f>SUMIFS('февраль 2024'!$G$6:$G$1413,'февраль 2024'!$D$6:$D$1413,$B187,'февраль 2024'!$J$6:$J$1413,T$1)</f>
        <v>0</v>
      </c>
      <c r="U187" s="80">
        <f>SUMIFS('февраль 2024'!$G$6:$G$1413,'февраль 2024'!$D$6:$D$1413,$B187,'февраль 2024'!$J$6:$J$1413,U$1)</f>
        <v>0</v>
      </c>
      <c r="V187" s="80">
        <f>SUMIFS('февраль 2024'!$G$6:$G$1413,'февраль 2024'!$D$6:$D$1413,$B187,'февраль 2024'!$J$6:$J$1413,V$1)</f>
        <v>0</v>
      </c>
      <c r="W187" s="80">
        <f>SUMIFS('февраль 2024'!$G$6:$G$1413,'февраль 2024'!$D$6:$D$1413,$B187,'февраль 2024'!$J$6:$J$1413,W$1)</f>
        <v>0</v>
      </c>
      <c r="X187" s="80">
        <f>SUMIFS('февраль 2024'!$G$6:$G$1413,'февраль 2024'!$D$6:$D$1413,$B187,'февраль 2024'!$J$6:$J$1413,X$1)</f>
        <v>0</v>
      </c>
      <c r="Y187" s="80">
        <f>SUMIFS('февраль 2024'!$G$6:$G$1413,'февраль 2024'!$D$6:$D$1413,$B187,'февраль 2024'!$J$6:$J$1413,Y$1)</f>
        <v>0</v>
      </c>
      <c r="Z187" s="80">
        <f>SUMIFS('февраль 2024'!$G$6:$G$1413,'февраль 2024'!$D$6:$D$1413,$B187,'февраль 2024'!$J$6:$J$1413,Z$1)</f>
        <v>0</v>
      </c>
      <c r="AA187" s="80">
        <f>SUMIFS('февраль 2024'!$G$6:$G$1413,'февраль 2024'!$D$6:$D$1413,$B187,'февраль 2024'!$J$6:$J$1413,AA$1)</f>
        <v>0</v>
      </c>
      <c r="AB187" s="80">
        <f>SUMIFS('февраль 2024'!$G$6:$G$1413,'февраль 2024'!$D$6:$D$1413,$B187,'февраль 2024'!$J$6:$J$1413,AB$1)</f>
        <v>0</v>
      </c>
      <c r="AC187" s="80">
        <f>SUMIFS('февраль 2024'!$G$6:$G$1413,'февраль 2024'!$D$6:$D$1413,$B187,'февраль 2024'!$J$6:$J$1413,AC$1)</f>
        <v>0</v>
      </c>
      <c r="AD187" s="80">
        <f>SUMIFS('февраль 2024'!$G$6:$G$1413,'февраль 2024'!$D$6:$D$1413,$B187,'февраль 2024'!$J$6:$J$1413,AD$1)</f>
        <v>0</v>
      </c>
      <c r="AE187" s="80">
        <f>SUMIFS('февраль 2024'!$G$6:$G$1413,'февраль 2024'!$D$6:$D$1413,$B187,'февраль 2024'!$J$6:$J$1413,AE$1)</f>
        <v>0</v>
      </c>
      <c r="AF187" s="80">
        <f>SUMIFS('февраль 2024'!$G$6:$G$1413,'февраль 2024'!$D$6:$D$1413,$B187,'февраль 2024'!$J$6:$J$1413,AF$1)</f>
        <v>0</v>
      </c>
      <c r="AG187" s="80">
        <f>SUMIFS('февраль 2024'!$G$6:$G$1413,'февраль 2024'!$D$6:$D$1413,$B187,'февраль 2024'!$J$6:$J$1413,AG$1)</f>
        <v>0</v>
      </c>
      <c r="AH187" s="80">
        <f>SUMIFS('февраль 2024'!$G$6:$G$1413,'февраль 2024'!$D$6:$D$1413,$B187,'февраль 2024'!$J$6:$J$1413,AH$1)</f>
        <v>0</v>
      </c>
      <c r="AI187" s="87"/>
    </row>
    <row r="188" spans="2:35" ht="15" hidden="1" customHeight="1" x14ac:dyDescent="0.25">
      <c r="B188" s="89"/>
      <c r="C188" s="88"/>
      <c r="D188" s="80">
        <f>SUMIFS('февраль 2024'!$G$6:$G$1413,'февраль 2024'!$D$6:$D$1413,$B188,'февраль 2024'!$J$6:$J$1413,D$1)</f>
        <v>0</v>
      </c>
      <c r="E188" s="80">
        <f>SUMIFS('февраль 2024'!$G$6:$G$1413,'февраль 2024'!$D$6:$D$1413,$B188,'февраль 2024'!$J$6:$J$1413,E$1)</f>
        <v>0</v>
      </c>
      <c r="F188" s="80">
        <f>SUMIFS('февраль 2024'!$G$6:$G$1413,'февраль 2024'!$D$6:$D$1413,$B188,'февраль 2024'!$J$6:$J$1413,F$1)</f>
        <v>0</v>
      </c>
      <c r="G188" s="80">
        <f>SUMIFS('февраль 2024'!$G$6:$G$1413,'февраль 2024'!$D$6:$D$1413,$B188,'февраль 2024'!$J$6:$J$1413,G$1)</f>
        <v>0</v>
      </c>
      <c r="H188" s="80">
        <f>SUMIFS('февраль 2024'!$G$6:$G$1413,'февраль 2024'!$D$6:$D$1413,$B188,'февраль 2024'!$J$6:$J$1413,H$1)</f>
        <v>0</v>
      </c>
      <c r="I188" s="80">
        <f>SUMIFS('февраль 2024'!$G$6:$G$1413,'февраль 2024'!$D$6:$D$1413,$B188,'февраль 2024'!$J$6:$J$1413,I$1)</f>
        <v>0</v>
      </c>
      <c r="J188" s="80">
        <f>SUMIFS('февраль 2024'!$G$6:$G$1413,'февраль 2024'!$D$6:$D$1413,$B188,'февраль 2024'!$J$6:$J$1413,J$1)</f>
        <v>0</v>
      </c>
      <c r="K188" s="80">
        <f>SUMIFS('февраль 2024'!$G$6:$G$1413,'февраль 2024'!$D$6:$D$1413,$B188,'февраль 2024'!$J$6:$J$1413,K$1)</f>
        <v>0</v>
      </c>
      <c r="L188" s="80">
        <f>SUMIFS('февраль 2024'!$G$6:$G$1413,'февраль 2024'!$D$6:$D$1413,$B188,'февраль 2024'!$J$6:$J$1413,L$1)</f>
        <v>0</v>
      </c>
      <c r="M188" s="80">
        <f>SUMIFS('февраль 2024'!$G$6:$G$1413,'февраль 2024'!$D$6:$D$1413,$B188,'февраль 2024'!$J$6:$J$1413,M$1)</f>
        <v>0</v>
      </c>
      <c r="N188" s="80">
        <f>SUMIFS('февраль 2024'!$G$6:$G$1413,'февраль 2024'!$D$6:$D$1413,$B188,'февраль 2024'!$J$6:$J$1413,N$1)</f>
        <v>0</v>
      </c>
      <c r="O188" s="80">
        <f>SUMIFS('февраль 2024'!$G$6:$G$1413,'февраль 2024'!$D$6:$D$1413,$B188,'февраль 2024'!$J$6:$J$1413,O$1)</f>
        <v>0</v>
      </c>
      <c r="P188" s="80">
        <f>SUMIFS('февраль 2024'!$G$6:$G$1413,'февраль 2024'!$D$6:$D$1413,$B188,'февраль 2024'!$J$6:$J$1413,P$1)</f>
        <v>0</v>
      </c>
      <c r="Q188" s="80">
        <f>SUMIFS('февраль 2024'!$G$6:$G$1413,'февраль 2024'!$D$6:$D$1413,$B188,'февраль 2024'!$J$6:$J$1413,Q$1)</f>
        <v>0</v>
      </c>
      <c r="R188" s="80">
        <f>SUMIFS('февраль 2024'!$G$6:$G$1413,'февраль 2024'!$D$6:$D$1413,$B188,'февраль 2024'!$J$6:$J$1413,R$1)</f>
        <v>0</v>
      </c>
      <c r="S188" s="80">
        <f>SUMIFS('февраль 2024'!$G$6:$G$1413,'февраль 2024'!$D$6:$D$1413,$B188,'февраль 2024'!$J$6:$J$1413,S$1)</f>
        <v>0</v>
      </c>
      <c r="T188" s="80">
        <f>SUMIFS('февраль 2024'!$G$6:$G$1413,'февраль 2024'!$D$6:$D$1413,$B188,'февраль 2024'!$J$6:$J$1413,T$1)</f>
        <v>0</v>
      </c>
      <c r="U188" s="80">
        <f>SUMIFS('февраль 2024'!$G$6:$G$1413,'февраль 2024'!$D$6:$D$1413,$B188,'февраль 2024'!$J$6:$J$1413,U$1)</f>
        <v>0</v>
      </c>
      <c r="V188" s="80">
        <f>SUMIFS('февраль 2024'!$G$6:$G$1413,'февраль 2024'!$D$6:$D$1413,$B188,'февраль 2024'!$J$6:$J$1413,V$1)</f>
        <v>0</v>
      </c>
      <c r="W188" s="80">
        <f>SUMIFS('февраль 2024'!$G$6:$G$1413,'февраль 2024'!$D$6:$D$1413,$B188,'февраль 2024'!$J$6:$J$1413,W$1)</f>
        <v>0</v>
      </c>
      <c r="X188" s="80">
        <f>SUMIFS('февраль 2024'!$G$6:$G$1413,'февраль 2024'!$D$6:$D$1413,$B188,'февраль 2024'!$J$6:$J$1413,X$1)</f>
        <v>0</v>
      </c>
      <c r="Y188" s="80">
        <f>SUMIFS('февраль 2024'!$G$6:$G$1413,'февраль 2024'!$D$6:$D$1413,$B188,'февраль 2024'!$J$6:$J$1413,Y$1)</f>
        <v>0</v>
      </c>
      <c r="Z188" s="80">
        <f>SUMIFS('февраль 2024'!$G$6:$G$1413,'февраль 2024'!$D$6:$D$1413,$B188,'февраль 2024'!$J$6:$J$1413,Z$1)</f>
        <v>0</v>
      </c>
      <c r="AA188" s="80">
        <f>SUMIFS('февраль 2024'!$G$6:$G$1413,'февраль 2024'!$D$6:$D$1413,$B188,'февраль 2024'!$J$6:$J$1413,AA$1)</f>
        <v>0</v>
      </c>
      <c r="AB188" s="80">
        <f>SUMIFS('февраль 2024'!$G$6:$G$1413,'февраль 2024'!$D$6:$D$1413,$B188,'февраль 2024'!$J$6:$J$1413,AB$1)</f>
        <v>0</v>
      </c>
      <c r="AC188" s="80">
        <f>SUMIFS('февраль 2024'!$G$6:$G$1413,'февраль 2024'!$D$6:$D$1413,$B188,'февраль 2024'!$J$6:$J$1413,AC$1)</f>
        <v>0</v>
      </c>
      <c r="AD188" s="80">
        <f>SUMIFS('февраль 2024'!$G$6:$G$1413,'февраль 2024'!$D$6:$D$1413,$B188,'февраль 2024'!$J$6:$J$1413,AD$1)</f>
        <v>0</v>
      </c>
      <c r="AE188" s="80">
        <f>SUMIFS('февраль 2024'!$G$6:$G$1413,'февраль 2024'!$D$6:$D$1413,$B188,'февраль 2024'!$J$6:$J$1413,AE$1)</f>
        <v>0</v>
      </c>
      <c r="AF188" s="80">
        <f>SUMIFS('февраль 2024'!$G$6:$G$1413,'февраль 2024'!$D$6:$D$1413,$B188,'февраль 2024'!$J$6:$J$1413,AF$1)</f>
        <v>0</v>
      </c>
      <c r="AG188" s="80">
        <f>SUMIFS('февраль 2024'!$G$6:$G$1413,'февраль 2024'!$D$6:$D$1413,$B188,'февраль 2024'!$J$6:$J$1413,AG$1)</f>
        <v>0</v>
      </c>
      <c r="AH188" s="80">
        <f>SUMIFS('февраль 2024'!$G$6:$G$1413,'февраль 2024'!$D$6:$D$1413,$B188,'февраль 2024'!$J$6:$J$1413,AH$1)</f>
        <v>0</v>
      </c>
      <c r="AI188" s="87"/>
    </row>
    <row r="189" spans="2:35" ht="15" hidden="1" customHeight="1" x14ac:dyDescent="0.25">
      <c r="B189" s="89"/>
      <c r="C189" s="88"/>
      <c r="D189" s="80">
        <f>SUMIFS('февраль 2024'!$G$6:$G$1413,'февраль 2024'!$D$6:$D$1413,$B189,'февраль 2024'!$J$6:$J$1413,D$1)</f>
        <v>0</v>
      </c>
      <c r="E189" s="80">
        <f>SUMIFS('февраль 2024'!$G$6:$G$1413,'февраль 2024'!$D$6:$D$1413,$B189,'февраль 2024'!$J$6:$J$1413,E$1)</f>
        <v>0</v>
      </c>
      <c r="F189" s="80">
        <f>SUMIFS('февраль 2024'!$G$6:$G$1413,'февраль 2024'!$D$6:$D$1413,$B189,'февраль 2024'!$J$6:$J$1413,F$1)</f>
        <v>0</v>
      </c>
      <c r="G189" s="80">
        <f>SUMIFS('февраль 2024'!$G$6:$G$1413,'февраль 2024'!$D$6:$D$1413,$B189,'февраль 2024'!$J$6:$J$1413,G$1)</f>
        <v>0</v>
      </c>
      <c r="H189" s="80">
        <f>SUMIFS('февраль 2024'!$G$6:$G$1413,'февраль 2024'!$D$6:$D$1413,$B189,'февраль 2024'!$J$6:$J$1413,H$1)</f>
        <v>0</v>
      </c>
      <c r="I189" s="80">
        <f>SUMIFS('февраль 2024'!$G$6:$G$1413,'февраль 2024'!$D$6:$D$1413,$B189,'февраль 2024'!$J$6:$J$1413,I$1)</f>
        <v>0</v>
      </c>
      <c r="J189" s="80">
        <f>SUMIFS('февраль 2024'!$G$6:$G$1413,'февраль 2024'!$D$6:$D$1413,$B189,'февраль 2024'!$J$6:$J$1413,J$1)</f>
        <v>0</v>
      </c>
      <c r="K189" s="80">
        <f>SUMIFS('февраль 2024'!$G$6:$G$1413,'февраль 2024'!$D$6:$D$1413,$B189,'февраль 2024'!$J$6:$J$1413,K$1)</f>
        <v>0</v>
      </c>
      <c r="L189" s="80">
        <f>SUMIFS('февраль 2024'!$G$6:$G$1413,'февраль 2024'!$D$6:$D$1413,$B189,'февраль 2024'!$J$6:$J$1413,L$1)</f>
        <v>0</v>
      </c>
      <c r="M189" s="80">
        <f>SUMIFS('февраль 2024'!$G$6:$G$1413,'февраль 2024'!$D$6:$D$1413,$B189,'февраль 2024'!$J$6:$J$1413,M$1)</f>
        <v>0</v>
      </c>
      <c r="N189" s="80">
        <f>SUMIFS('февраль 2024'!$G$6:$G$1413,'февраль 2024'!$D$6:$D$1413,$B189,'февраль 2024'!$J$6:$J$1413,N$1)</f>
        <v>0</v>
      </c>
      <c r="O189" s="80">
        <f>SUMIFS('февраль 2024'!$G$6:$G$1413,'февраль 2024'!$D$6:$D$1413,$B189,'февраль 2024'!$J$6:$J$1413,O$1)</f>
        <v>0</v>
      </c>
      <c r="P189" s="80">
        <f>SUMIFS('февраль 2024'!$G$6:$G$1413,'февраль 2024'!$D$6:$D$1413,$B189,'февраль 2024'!$J$6:$J$1413,P$1)</f>
        <v>0</v>
      </c>
      <c r="Q189" s="80">
        <f>SUMIFS('февраль 2024'!$G$6:$G$1413,'февраль 2024'!$D$6:$D$1413,$B189,'февраль 2024'!$J$6:$J$1413,Q$1)</f>
        <v>0</v>
      </c>
      <c r="R189" s="80">
        <f>SUMIFS('февраль 2024'!$G$6:$G$1413,'февраль 2024'!$D$6:$D$1413,$B189,'февраль 2024'!$J$6:$J$1413,R$1)</f>
        <v>0</v>
      </c>
      <c r="S189" s="80">
        <f>SUMIFS('февраль 2024'!$G$6:$G$1413,'февраль 2024'!$D$6:$D$1413,$B189,'февраль 2024'!$J$6:$J$1413,S$1)</f>
        <v>0</v>
      </c>
      <c r="T189" s="80">
        <f>SUMIFS('февраль 2024'!$G$6:$G$1413,'февраль 2024'!$D$6:$D$1413,$B189,'февраль 2024'!$J$6:$J$1413,T$1)</f>
        <v>0</v>
      </c>
      <c r="U189" s="80">
        <f>SUMIFS('февраль 2024'!$G$6:$G$1413,'февраль 2024'!$D$6:$D$1413,$B189,'февраль 2024'!$J$6:$J$1413,U$1)</f>
        <v>0</v>
      </c>
      <c r="V189" s="80">
        <f>SUMIFS('февраль 2024'!$G$6:$G$1413,'февраль 2024'!$D$6:$D$1413,$B189,'февраль 2024'!$J$6:$J$1413,V$1)</f>
        <v>0</v>
      </c>
      <c r="W189" s="80">
        <f>SUMIFS('февраль 2024'!$G$6:$G$1413,'февраль 2024'!$D$6:$D$1413,$B189,'февраль 2024'!$J$6:$J$1413,W$1)</f>
        <v>0</v>
      </c>
      <c r="X189" s="80">
        <f>SUMIFS('февраль 2024'!$G$6:$G$1413,'февраль 2024'!$D$6:$D$1413,$B189,'февраль 2024'!$J$6:$J$1413,X$1)</f>
        <v>0</v>
      </c>
      <c r="Y189" s="80">
        <f>SUMIFS('февраль 2024'!$G$6:$G$1413,'февраль 2024'!$D$6:$D$1413,$B189,'февраль 2024'!$J$6:$J$1413,Y$1)</f>
        <v>0</v>
      </c>
      <c r="Z189" s="80">
        <f>SUMIFS('февраль 2024'!$G$6:$G$1413,'февраль 2024'!$D$6:$D$1413,$B189,'февраль 2024'!$J$6:$J$1413,Z$1)</f>
        <v>0</v>
      </c>
      <c r="AA189" s="80">
        <f>SUMIFS('февраль 2024'!$G$6:$G$1413,'февраль 2024'!$D$6:$D$1413,$B189,'февраль 2024'!$J$6:$J$1413,AA$1)</f>
        <v>0</v>
      </c>
      <c r="AB189" s="80">
        <f>SUMIFS('февраль 2024'!$G$6:$G$1413,'февраль 2024'!$D$6:$D$1413,$B189,'февраль 2024'!$J$6:$J$1413,AB$1)</f>
        <v>0</v>
      </c>
      <c r="AC189" s="80">
        <f>SUMIFS('февраль 2024'!$G$6:$G$1413,'февраль 2024'!$D$6:$D$1413,$B189,'февраль 2024'!$J$6:$J$1413,AC$1)</f>
        <v>0</v>
      </c>
      <c r="AD189" s="80">
        <f>SUMIFS('февраль 2024'!$G$6:$G$1413,'февраль 2024'!$D$6:$D$1413,$B189,'февраль 2024'!$J$6:$J$1413,AD$1)</f>
        <v>0</v>
      </c>
      <c r="AE189" s="80">
        <f>SUMIFS('февраль 2024'!$G$6:$G$1413,'февраль 2024'!$D$6:$D$1413,$B189,'февраль 2024'!$J$6:$J$1413,AE$1)</f>
        <v>0</v>
      </c>
      <c r="AF189" s="80">
        <f>SUMIFS('февраль 2024'!$G$6:$G$1413,'февраль 2024'!$D$6:$D$1413,$B189,'февраль 2024'!$J$6:$J$1413,AF$1)</f>
        <v>0</v>
      </c>
      <c r="AG189" s="80">
        <f>SUMIFS('февраль 2024'!$G$6:$G$1413,'февраль 2024'!$D$6:$D$1413,$B189,'февраль 2024'!$J$6:$J$1413,AG$1)</f>
        <v>0</v>
      </c>
      <c r="AH189" s="80">
        <f>SUMIFS('февраль 2024'!$G$6:$G$1413,'февраль 2024'!$D$6:$D$1413,$B189,'февраль 2024'!$J$6:$J$1413,AH$1)</f>
        <v>0</v>
      </c>
      <c r="AI189" s="87"/>
    </row>
    <row r="190" spans="2:35" ht="15" hidden="1" customHeight="1" x14ac:dyDescent="0.25">
      <c r="B190" s="89"/>
      <c r="C190" s="88"/>
      <c r="D190" s="80">
        <f>SUMIFS('февраль 2024'!$G$6:$G$1413,'февраль 2024'!$D$6:$D$1413,$B190,'февраль 2024'!$J$6:$J$1413,D$1)</f>
        <v>0</v>
      </c>
      <c r="E190" s="80">
        <f>SUMIFS('февраль 2024'!$G$6:$G$1413,'февраль 2024'!$D$6:$D$1413,$B190,'февраль 2024'!$J$6:$J$1413,E$1)</f>
        <v>0</v>
      </c>
      <c r="F190" s="80">
        <f>SUMIFS('февраль 2024'!$G$6:$G$1413,'февраль 2024'!$D$6:$D$1413,$B190,'февраль 2024'!$J$6:$J$1413,F$1)</f>
        <v>0</v>
      </c>
      <c r="G190" s="80">
        <f>SUMIFS('февраль 2024'!$G$6:$G$1413,'февраль 2024'!$D$6:$D$1413,$B190,'февраль 2024'!$J$6:$J$1413,G$1)</f>
        <v>0</v>
      </c>
      <c r="H190" s="80">
        <f>SUMIFS('февраль 2024'!$G$6:$G$1413,'февраль 2024'!$D$6:$D$1413,$B190,'февраль 2024'!$J$6:$J$1413,H$1)</f>
        <v>0</v>
      </c>
      <c r="I190" s="80">
        <f>SUMIFS('февраль 2024'!$G$6:$G$1413,'февраль 2024'!$D$6:$D$1413,$B190,'февраль 2024'!$J$6:$J$1413,I$1)</f>
        <v>0</v>
      </c>
      <c r="J190" s="80">
        <f>SUMIFS('февраль 2024'!$G$6:$G$1413,'февраль 2024'!$D$6:$D$1413,$B190,'февраль 2024'!$J$6:$J$1413,J$1)</f>
        <v>0</v>
      </c>
      <c r="K190" s="80">
        <f>SUMIFS('февраль 2024'!$G$6:$G$1413,'февраль 2024'!$D$6:$D$1413,$B190,'февраль 2024'!$J$6:$J$1413,K$1)</f>
        <v>0</v>
      </c>
      <c r="L190" s="80">
        <f>SUMIFS('февраль 2024'!$G$6:$G$1413,'февраль 2024'!$D$6:$D$1413,$B190,'февраль 2024'!$J$6:$J$1413,L$1)</f>
        <v>0</v>
      </c>
      <c r="M190" s="80">
        <f>SUMIFS('февраль 2024'!$G$6:$G$1413,'февраль 2024'!$D$6:$D$1413,$B190,'февраль 2024'!$J$6:$J$1413,M$1)</f>
        <v>0</v>
      </c>
      <c r="N190" s="80">
        <f>SUMIFS('февраль 2024'!$G$6:$G$1413,'февраль 2024'!$D$6:$D$1413,$B190,'февраль 2024'!$J$6:$J$1413,N$1)</f>
        <v>0</v>
      </c>
      <c r="O190" s="80">
        <f>SUMIFS('февраль 2024'!$G$6:$G$1413,'февраль 2024'!$D$6:$D$1413,$B190,'февраль 2024'!$J$6:$J$1413,O$1)</f>
        <v>0</v>
      </c>
      <c r="P190" s="80">
        <f>SUMIFS('февраль 2024'!$G$6:$G$1413,'февраль 2024'!$D$6:$D$1413,$B190,'февраль 2024'!$J$6:$J$1413,P$1)</f>
        <v>0</v>
      </c>
      <c r="Q190" s="80">
        <f>SUMIFS('февраль 2024'!$G$6:$G$1413,'февраль 2024'!$D$6:$D$1413,$B190,'февраль 2024'!$J$6:$J$1413,Q$1)</f>
        <v>0</v>
      </c>
      <c r="R190" s="80">
        <f>SUMIFS('февраль 2024'!$G$6:$G$1413,'февраль 2024'!$D$6:$D$1413,$B190,'февраль 2024'!$J$6:$J$1413,R$1)</f>
        <v>0</v>
      </c>
      <c r="S190" s="80">
        <f>SUMIFS('февраль 2024'!$G$6:$G$1413,'февраль 2024'!$D$6:$D$1413,$B190,'февраль 2024'!$J$6:$J$1413,S$1)</f>
        <v>0</v>
      </c>
      <c r="T190" s="80">
        <f>SUMIFS('февраль 2024'!$G$6:$G$1413,'февраль 2024'!$D$6:$D$1413,$B190,'февраль 2024'!$J$6:$J$1413,T$1)</f>
        <v>0</v>
      </c>
      <c r="U190" s="80">
        <f>SUMIFS('февраль 2024'!$G$6:$G$1413,'февраль 2024'!$D$6:$D$1413,$B190,'февраль 2024'!$J$6:$J$1413,U$1)</f>
        <v>0</v>
      </c>
      <c r="V190" s="80">
        <f>SUMIFS('февраль 2024'!$G$6:$G$1413,'февраль 2024'!$D$6:$D$1413,$B190,'февраль 2024'!$J$6:$J$1413,V$1)</f>
        <v>0</v>
      </c>
      <c r="W190" s="80">
        <f>SUMIFS('февраль 2024'!$G$6:$G$1413,'февраль 2024'!$D$6:$D$1413,$B190,'февраль 2024'!$J$6:$J$1413,W$1)</f>
        <v>0</v>
      </c>
      <c r="X190" s="80">
        <f>SUMIFS('февраль 2024'!$G$6:$G$1413,'февраль 2024'!$D$6:$D$1413,$B190,'февраль 2024'!$J$6:$J$1413,X$1)</f>
        <v>0</v>
      </c>
      <c r="Y190" s="80">
        <f>SUMIFS('февраль 2024'!$G$6:$G$1413,'февраль 2024'!$D$6:$D$1413,$B190,'февраль 2024'!$J$6:$J$1413,Y$1)</f>
        <v>0</v>
      </c>
      <c r="Z190" s="80">
        <f>SUMIFS('февраль 2024'!$G$6:$G$1413,'февраль 2024'!$D$6:$D$1413,$B190,'февраль 2024'!$J$6:$J$1413,Z$1)</f>
        <v>0</v>
      </c>
      <c r="AA190" s="80">
        <f>SUMIFS('февраль 2024'!$G$6:$G$1413,'февраль 2024'!$D$6:$D$1413,$B190,'февраль 2024'!$J$6:$J$1413,AA$1)</f>
        <v>0</v>
      </c>
      <c r="AB190" s="80">
        <f>SUMIFS('февраль 2024'!$G$6:$G$1413,'февраль 2024'!$D$6:$D$1413,$B190,'февраль 2024'!$J$6:$J$1413,AB$1)</f>
        <v>0</v>
      </c>
      <c r="AC190" s="80">
        <f>SUMIFS('февраль 2024'!$G$6:$G$1413,'февраль 2024'!$D$6:$D$1413,$B190,'февраль 2024'!$J$6:$J$1413,AC$1)</f>
        <v>0</v>
      </c>
      <c r="AD190" s="80">
        <f>SUMIFS('февраль 2024'!$G$6:$G$1413,'февраль 2024'!$D$6:$D$1413,$B190,'февраль 2024'!$J$6:$J$1413,AD$1)</f>
        <v>0</v>
      </c>
      <c r="AE190" s="80">
        <f>SUMIFS('февраль 2024'!$G$6:$G$1413,'февраль 2024'!$D$6:$D$1413,$B190,'февраль 2024'!$J$6:$J$1413,AE$1)</f>
        <v>0</v>
      </c>
      <c r="AF190" s="80">
        <f>SUMIFS('февраль 2024'!$G$6:$G$1413,'февраль 2024'!$D$6:$D$1413,$B190,'февраль 2024'!$J$6:$J$1413,AF$1)</f>
        <v>0</v>
      </c>
      <c r="AG190" s="80">
        <f>SUMIFS('февраль 2024'!$G$6:$G$1413,'февраль 2024'!$D$6:$D$1413,$B190,'февраль 2024'!$J$6:$J$1413,AG$1)</f>
        <v>0</v>
      </c>
      <c r="AH190" s="80">
        <f>SUMIFS('февраль 2024'!$G$6:$G$1413,'февраль 2024'!$D$6:$D$1413,$B190,'февраль 2024'!$J$6:$J$1413,AH$1)</f>
        <v>0</v>
      </c>
      <c r="AI190" s="87"/>
    </row>
    <row r="191" spans="2:35" ht="15" hidden="1" customHeight="1" x14ac:dyDescent="0.25">
      <c r="B191" s="89"/>
      <c r="C191" s="88"/>
      <c r="D191" s="80">
        <f>SUMIFS('февраль 2024'!$G$6:$G$1413,'февраль 2024'!$D$6:$D$1413,$B191,'февраль 2024'!$J$6:$J$1413,D$1)</f>
        <v>0</v>
      </c>
      <c r="E191" s="80">
        <f>SUMIFS('февраль 2024'!$G$6:$G$1413,'февраль 2024'!$D$6:$D$1413,$B191,'февраль 2024'!$J$6:$J$1413,E$1)</f>
        <v>0</v>
      </c>
      <c r="F191" s="80">
        <f>SUMIFS('февраль 2024'!$G$6:$G$1413,'февраль 2024'!$D$6:$D$1413,$B191,'февраль 2024'!$J$6:$J$1413,F$1)</f>
        <v>0</v>
      </c>
      <c r="G191" s="80">
        <f>SUMIFS('февраль 2024'!$G$6:$G$1413,'февраль 2024'!$D$6:$D$1413,$B191,'февраль 2024'!$J$6:$J$1413,G$1)</f>
        <v>0</v>
      </c>
      <c r="H191" s="80">
        <f>SUMIFS('февраль 2024'!$G$6:$G$1413,'февраль 2024'!$D$6:$D$1413,$B191,'февраль 2024'!$J$6:$J$1413,H$1)</f>
        <v>0</v>
      </c>
      <c r="I191" s="80">
        <f>SUMIFS('февраль 2024'!$G$6:$G$1413,'февраль 2024'!$D$6:$D$1413,$B191,'февраль 2024'!$J$6:$J$1413,I$1)</f>
        <v>0</v>
      </c>
      <c r="J191" s="80">
        <f>SUMIFS('февраль 2024'!$G$6:$G$1413,'февраль 2024'!$D$6:$D$1413,$B191,'февраль 2024'!$J$6:$J$1413,J$1)</f>
        <v>0</v>
      </c>
      <c r="K191" s="80">
        <f>SUMIFS('февраль 2024'!$G$6:$G$1413,'февраль 2024'!$D$6:$D$1413,$B191,'февраль 2024'!$J$6:$J$1413,K$1)</f>
        <v>0</v>
      </c>
      <c r="L191" s="80">
        <f>SUMIFS('февраль 2024'!$G$6:$G$1413,'февраль 2024'!$D$6:$D$1413,$B191,'февраль 2024'!$J$6:$J$1413,L$1)</f>
        <v>0</v>
      </c>
      <c r="M191" s="80">
        <f>SUMIFS('февраль 2024'!$G$6:$G$1413,'февраль 2024'!$D$6:$D$1413,$B191,'февраль 2024'!$J$6:$J$1413,M$1)</f>
        <v>0</v>
      </c>
      <c r="N191" s="80">
        <f>SUMIFS('февраль 2024'!$G$6:$G$1413,'февраль 2024'!$D$6:$D$1413,$B191,'февраль 2024'!$J$6:$J$1413,N$1)</f>
        <v>0</v>
      </c>
      <c r="O191" s="80">
        <f>SUMIFS('февраль 2024'!$G$6:$G$1413,'февраль 2024'!$D$6:$D$1413,$B191,'февраль 2024'!$J$6:$J$1413,O$1)</f>
        <v>0</v>
      </c>
      <c r="P191" s="80">
        <f>SUMIFS('февраль 2024'!$G$6:$G$1413,'февраль 2024'!$D$6:$D$1413,$B191,'февраль 2024'!$J$6:$J$1413,P$1)</f>
        <v>0</v>
      </c>
      <c r="Q191" s="80">
        <f>SUMIFS('февраль 2024'!$G$6:$G$1413,'февраль 2024'!$D$6:$D$1413,$B191,'февраль 2024'!$J$6:$J$1413,Q$1)</f>
        <v>0</v>
      </c>
      <c r="R191" s="80">
        <f>SUMIFS('февраль 2024'!$G$6:$G$1413,'февраль 2024'!$D$6:$D$1413,$B191,'февраль 2024'!$J$6:$J$1413,R$1)</f>
        <v>0</v>
      </c>
      <c r="S191" s="80">
        <f>SUMIFS('февраль 2024'!$G$6:$G$1413,'февраль 2024'!$D$6:$D$1413,$B191,'февраль 2024'!$J$6:$J$1413,S$1)</f>
        <v>0</v>
      </c>
      <c r="T191" s="80">
        <f>SUMIFS('февраль 2024'!$G$6:$G$1413,'февраль 2024'!$D$6:$D$1413,$B191,'февраль 2024'!$J$6:$J$1413,T$1)</f>
        <v>0</v>
      </c>
      <c r="U191" s="80">
        <f>SUMIFS('февраль 2024'!$G$6:$G$1413,'февраль 2024'!$D$6:$D$1413,$B191,'февраль 2024'!$J$6:$J$1413,U$1)</f>
        <v>0</v>
      </c>
      <c r="V191" s="80">
        <f>SUMIFS('февраль 2024'!$G$6:$G$1413,'февраль 2024'!$D$6:$D$1413,$B191,'февраль 2024'!$J$6:$J$1413,V$1)</f>
        <v>0</v>
      </c>
      <c r="W191" s="80">
        <f>SUMIFS('февраль 2024'!$G$6:$G$1413,'февраль 2024'!$D$6:$D$1413,$B191,'февраль 2024'!$J$6:$J$1413,W$1)</f>
        <v>0</v>
      </c>
      <c r="X191" s="80">
        <f>SUMIFS('февраль 2024'!$G$6:$G$1413,'февраль 2024'!$D$6:$D$1413,$B191,'февраль 2024'!$J$6:$J$1413,X$1)</f>
        <v>0</v>
      </c>
      <c r="Y191" s="80">
        <f>SUMIFS('февраль 2024'!$G$6:$G$1413,'февраль 2024'!$D$6:$D$1413,$B191,'февраль 2024'!$J$6:$J$1413,Y$1)</f>
        <v>0</v>
      </c>
      <c r="Z191" s="80">
        <f>SUMIFS('февраль 2024'!$G$6:$G$1413,'февраль 2024'!$D$6:$D$1413,$B191,'февраль 2024'!$J$6:$J$1413,Z$1)</f>
        <v>0</v>
      </c>
      <c r="AA191" s="80">
        <f>SUMIFS('февраль 2024'!$G$6:$G$1413,'февраль 2024'!$D$6:$D$1413,$B191,'февраль 2024'!$J$6:$J$1413,AA$1)</f>
        <v>0</v>
      </c>
      <c r="AB191" s="80">
        <f>SUMIFS('февраль 2024'!$G$6:$G$1413,'февраль 2024'!$D$6:$D$1413,$B191,'февраль 2024'!$J$6:$J$1413,AB$1)</f>
        <v>0</v>
      </c>
      <c r="AC191" s="80">
        <f>SUMIFS('февраль 2024'!$G$6:$G$1413,'февраль 2024'!$D$6:$D$1413,$B191,'февраль 2024'!$J$6:$J$1413,AC$1)</f>
        <v>0</v>
      </c>
      <c r="AD191" s="80">
        <f>SUMIFS('февраль 2024'!$G$6:$G$1413,'февраль 2024'!$D$6:$D$1413,$B191,'февраль 2024'!$J$6:$J$1413,AD$1)</f>
        <v>0</v>
      </c>
      <c r="AE191" s="80">
        <f>SUMIFS('февраль 2024'!$G$6:$G$1413,'февраль 2024'!$D$6:$D$1413,$B191,'февраль 2024'!$J$6:$J$1413,AE$1)</f>
        <v>0</v>
      </c>
      <c r="AF191" s="80">
        <f>SUMIFS('февраль 2024'!$G$6:$G$1413,'февраль 2024'!$D$6:$D$1413,$B191,'февраль 2024'!$J$6:$J$1413,AF$1)</f>
        <v>0</v>
      </c>
      <c r="AG191" s="80">
        <f>SUMIFS('февраль 2024'!$G$6:$G$1413,'февраль 2024'!$D$6:$D$1413,$B191,'февраль 2024'!$J$6:$J$1413,AG$1)</f>
        <v>0</v>
      </c>
      <c r="AH191" s="80">
        <f>SUMIFS('февраль 2024'!$G$6:$G$1413,'февраль 2024'!$D$6:$D$1413,$B191,'февраль 2024'!$J$6:$J$1413,AH$1)</f>
        <v>0</v>
      </c>
      <c r="AI191" s="87"/>
    </row>
    <row r="192" spans="2:35" ht="15" hidden="1" customHeight="1" x14ac:dyDescent="0.25">
      <c r="B192" s="89"/>
      <c r="C192" s="88"/>
      <c r="D192" s="80">
        <f>SUMIFS('февраль 2024'!$G$6:$G$1413,'февраль 2024'!$D$6:$D$1413,$B192,'февраль 2024'!$J$6:$J$1413,D$1)</f>
        <v>0</v>
      </c>
      <c r="E192" s="80">
        <f>SUMIFS('февраль 2024'!$G$6:$G$1413,'февраль 2024'!$D$6:$D$1413,$B192,'февраль 2024'!$J$6:$J$1413,E$1)</f>
        <v>0</v>
      </c>
      <c r="F192" s="80">
        <f>SUMIFS('февраль 2024'!$G$6:$G$1413,'февраль 2024'!$D$6:$D$1413,$B192,'февраль 2024'!$J$6:$J$1413,F$1)</f>
        <v>0</v>
      </c>
      <c r="G192" s="80">
        <f>SUMIFS('февраль 2024'!$G$6:$G$1413,'февраль 2024'!$D$6:$D$1413,$B192,'февраль 2024'!$J$6:$J$1413,G$1)</f>
        <v>0</v>
      </c>
      <c r="H192" s="80">
        <f>SUMIFS('февраль 2024'!$G$6:$G$1413,'февраль 2024'!$D$6:$D$1413,$B192,'февраль 2024'!$J$6:$J$1413,H$1)</f>
        <v>0</v>
      </c>
      <c r="I192" s="80">
        <f>SUMIFS('февраль 2024'!$G$6:$G$1413,'февраль 2024'!$D$6:$D$1413,$B192,'февраль 2024'!$J$6:$J$1413,I$1)</f>
        <v>0</v>
      </c>
      <c r="J192" s="80">
        <f>SUMIFS('февраль 2024'!$G$6:$G$1413,'февраль 2024'!$D$6:$D$1413,$B192,'февраль 2024'!$J$6:$J$1413,J$1)</f>
        <v>0</v>
      </c>
      <c r="K192" s="80">
        <f>SUMIFS('февраль 2024'!$G$6:$G$1413,'февраль 2024'!$D$6:$D$1413,$B192,'февраль 2024'!$J$6:$J$1413,K$1)</f>
        <v>0</v>
      </c>
      <c r="L192" s="80">
        <f>SUMIFS('февраль 2024'!$G$6:$G$1413,'февраль 2024'!$D$6:$D$1413,$B192,'февраль 2024'!$J$6:$J$1413,L$1)</f>
        <v>0</v>
      </c>
      <c r="M192" s="80">
        <f>SUMIFS('февраль 2024'!$G$6:$G$1413,'февраль 2024'!$D$6:$D$1413,$B192,'февраль 2024'!$J$6:$J$1413,M$1)</f>
        <v>0</v>
      </c>
      <c r="N192" s="80">
        <f>SUMIFS('февраль 2024'!$G$6:$G$1413,'февраль 2024'!$D$6:$D$1413,$B192,'февраль 2024'!$J$6:$J$1413,N$1)</f>
        <v>0</v>
      </c>
      <c r="O192" s="80">
        <f>SUMIFS('февраль 2024'!$G$6:$G$1413,'февраль 2024'!$D$6:$D$1413,$B192,'февраль 2024'!$J$6:$J$1413,O$1)</f>
        <v>0</v>
      </c>
      <c r="P192" s="80">
        <f>SUMIFS('февраль 2024'!$G$6:$G$1413,'февраль 2024'!$D$6:$D$1413,$B192,'февраль 2024'!$J$6:$J$1413,P$1)</f>
        <v>0</v>
      </c>
      <c r="Q192" s="80">
        <f>SUMIFS('февраль 2024'!$G$6:$G$1413,'февраль 2024'!$D$6:$D$1413,$B192,'февраль 2024'!$J$6:$J$1413,Q$1)</f>
        <v>0</v>
      </c>
      <c r="R192" s="80">
        <f>SUMIFS('февраль 2024'!$G$6:$G$1413,'февраль 2024'!$D$6:$D$1413,$B192,'февраль 2024'!$J$6:$J$1413,R$1)</f>
        <v>0</v>
      </c>
      <c r="S192" s="80">
        <f>SUMIFS('февраль 2024'!$G$6:$G$1413,'февраль 2024'!$D$6:$D$1413,$B192,'февраль 2024'!$J$6:$J$1413,S$1)</f>
        <v>0</v>
      </c>
      <c r="T192" s="80">
        <f>SUMIFS('февраль 2024'!$G$6:$G$1413,'февраль 2024'!$D$6:$D$1413,$B192,'февраль 2024'!$J$6:$J$1413,T$1)</f>
        <v>0</v>
      </c>
      <c r="U192" s="80">
        <f>SUMIFS('февраль 2024'!$G$6:$G$1413,'февраль 2024'!$D$6:$D$1413,$B192,'февраль 2024'!$J$6:$J$1413,U$1)</f>
        <v>0</v>
      </c>
      <c r="V192" s="80">
        <f>SUMIFS('февраль 2024'!$G$6:$G$1413,'февраль 2024'!$D$6:$D$1413,$B192,'февраль 2024'!$J$6:$J$1413,V$1)</f>
        <v>0</v>
      </c>
      <c r="W192" s="80">
        <f>SUMIFS('февраль 2024'!$G$6:$G$1413,'февраль 2024'!$D$6:$D$1413,$B192,'февраль 2024'!$J$6:$J$1413,W$1)</f>
        <v>0</v>
      </c>
      <c r="X192" s="80">
        <f>SUMIFS('февраль 2024'!$G$6:$G$1413,'февраль 2024'!$D$6:$D$1413,$B192,'февраль 2024'!$J$6:$J$1413,X$1)</f>
        <v>0</v>
      </c>
      <c r="Y192" s="80">
        <f>SUMIFS('февраль 2024'!$G$6:$G$1413,'февраль 2024'!$D$6:$D$1413,$B192,'февраль 2024'!$J$6:$J$1413,Y$1)</f>
        <v>0</v>
      </c>
      <c r="Z192" s="80">
        <f>SUMIFS('февраль 2024'!$G$6:$G$1413,'февраль 2024'!$D$6:$D$1413,$B192,'февраль 2024'!$J$6:$J$1413,Z$1)</f>
        <v>0</v>
      </c>
      <c r="AA192" s="80">
        <f>SUMIFS('февраль 2024'!$G$6:$G$1413,'февраль 2024'!$D$6:$D$1413,$B192,'февраль 2024'!$J$6:$J$1413,AA$1)</f>
        <v>0</v>
      </c>
      <c r="AB192" s="80">
        <f>SUMIFS('февраль 2024'!$G$6:$G$1413,'февраль 2024'!$D$6:$D$1413,$B192,'февраль 2024'!$J$6:$J$1413,AB$1)</f>
        <v>0</v>
      </c>
      <c r="AC192" s="80">
        <f>SUMIFS('февраль 2024'!$G$6:$G$1413,'февраль 2024'!$D$6:$D$1413,$B192,'февраль 2024'!$J$6:$J$1413,AC$1)</f>
        <v>0</v>
      </c>
      <c r="AD192" s="80">
        <f>SUMIFS('февраль 2024'!$G$6:$G$1413,'февраль 2024'!$D$6:$D$1413,$B192,'февраль 2024'!$J$6:$J$1413,AD$1)</f>
        <v>0</v>
      </c>
      <c r="AE192" s="80">
        <f>SUMIFS('февраль 2024'!$G$6:$G$1413,'февраль 2024'!$D$6:$D$1413,$B192,'февраль 2024'!$J$6:$J$1413,AE$1)</f>
        <v>0</v>
      </c>
      <c r="AF192" s="80">
        <f>SUMIFS('февраль 2024'!$G$6:$G$1413,'февраль 2024'!$D$6:$D$1413,$B192,'февраль 2024'!$J$6:$J$1413,AF$1)</f>
        <v>0</v>
      </c>
      <c r="AG192" s="80">
        <f>SUMIFS('февраль 2024'!$G$6:$G$1413,'февраль 2024'!$D$6:$D$1413,$B192,'февраль 2024'!$J$6:$J$1413,AG$1)</f>
        <v>0</v>
      </c>
      <c r="AH192" s="80">
        <f>SUMIFS('февраль 2024'!$G$6:$G$1413,'февраль 2024'!$D$6:$D$1413,$B192,'февраль 2024'!$J$6:$J$1413,AH$1)</f>
        <v>0</v>
      </c>
      <c r="AI192" s="87"/>
    </row>
    <row r="193" spans="2:35" ht="15" hidden="1" customHeight="1" x14ac:dyDescent="0.25">
      <c r="B193" s="89"/>
      <c r="C193" s="88"/>
      <c r="D193" s="80">
        <f>SUMIFS('февраль 2024'!$G$6:$G$1413,'февраль 2024'!$D$6:$D$1413,$B193,'февраль 2024'!$J$6:$J$1413,D$1)</f>
        <v>0</v>
      </c>
      <c r="E193" s="80">
        <f>SUMIFS('февраль 2024'!$G$6:$G$1413,'февраль 2024'!$D$6:$D$1413,$B193,'февраль 2024'!$J$6:$J$1413,E$1)</f>
        <v>0</v>
      </c>
      <c r="F193" s="80">
        <f>SUMIFS('февраль 2024'!$G$6:$G$1413,'февраль 2024'!$D$6:$D$1413,$B193,'февраль 2024'!$J$6:$J$1413,F$1)</f>
        <v>0</v>
      </c>
      <c r="G193" s="80">
        <f>SUMIFS('февраль 2024'!$G$6:$G$1413,'февраль 2024'!$D$6:$D$1413,$B193,'февраль 2024'!$J$6:$J$1413,G$1)</f>
        <v>0</v>
      </c>
      <c r="H193" s="80">
        <f>SUMIFS('февраль 2024'!$G$6:$G$1413,'февраль 2024'!$D$6:$D$1413,$B193,'февраль 2024'!$J$6:$J$1413,H$1)</f>
        <v>0</v>
      </c>
      <c r="I193" s="80">
        <f>SUMIFS('февраль 2024'!$G$6:$G$1413,'февраль 2024'!$D$6:$D$1413,$B193,'февраль 2024'!$J$6:$J$1413,I$1)</f>
        <v>0</v>
      </c>
      <c r="J193" s="80">
        <f>SUMIFS('февраль 2024'!$G$6:$G$1413,'февраль 2024'!$D$6:$D$1413,$B193,'февраль 2024'!$J$6:$J$1413,J$1)</f>
        <v>0</v>
      </c>
      <c r="K193" s="80">
        <f>SUMIFS('февраль 2024'!$G$6:$G$1413,'февраль 2024'!$D$6:$D$1413,$B193,'февраль 2024'!$J$6:$J$1413,K$1)</f>
        <v>0</v>
      </c>
      <c r="L193" s="80">
        <f>SUMIFS('февраль 2024'!$G$6:$G$1413,'февраль 2024'!$D$6:$D$1413,$B193,'февраль 2024'!$J$6:$J$1413,L$1)</f>
        <v>0</v>
      </c>
      <c r="M193" s="80">
        <f>SUMIFS('февраль 2024'!$G$6:$G$1413,'февраль 2024'!$D$6:$D$1413,$B193,'февраль 2024'!$J$6:$J$1413,M$1)</f>
        <v>0</v>
      </c>
      <c r="N193" s="80">
        <f>SUMIFS('февраль 2024'!$G$6:$G$1413,'февраль 2024'!$D$6:$D$1413,$B193,'февраль 2024'!$J$6:$J$1413,N$1)</f>
        <v>0</v>
      </c>
      <c r="O193" s="80">
        <f>SUMIFS('февраль 2024'!$G$6:$G$1413,'февраль 2024'!$D$6:$D$1413,$B193,'февраль 2024'!$J$6:$J$1413,O$1)</f>
        <v>0</v>
      </c>
      <c r="P193" s="80">
        <f>SUMIFS('февраль 2024'!$G$6:$G$1413,'февраль 2024'!$D$6:$D$1413,$B193,'февраль 2024'!$J$6:$J$1413,P$1)</f>
        <v>0</v>
      </c>
      <c r="Q193" s="80">
        <f>SUMIFS('февраль 2024'!$G$6:$G$1413,'февраль 2024'!$D$6:$D$1413,$B193,'февраль 2024'!$J$6:$J$1413,Q$1)</f>
        <v>0</v>
      </c>
      <c r="R193" s="80">
        <f>SUMIFS('февраль 2024'!$G$6:$G$1413,'февраль 2024'!$D$6:$D$1413,$B193,'февраль 2024'!$J$6:$J$1413,R$1)</f>
        <v>0</v>
      </c>
      <c r="S193" s="80">
        <f>SUMIFS('февраль 2024'!$G$6:$G$1413,'февраль 2024'!$D$6:$D$1413,$B193,'февраль 2024'!$J$6:$J$1413,S$1)</f>
        <v>0</v>
      </c>
      <c r="T193" s="80">
        <f>SUMIFS('февраль 2024'!$G$6:$G$1413,'февраль 2024'!$D$6:$D$1413,$B193,'февраль 2024'!$J$6:$J$1413,T$1)</f>
        <v>0</v>
      </c>
      <c r="U193" s="80">
        <f>SUMIFS('февраль 2024'!$G$6:$G$1413,'февраль 2024'!$D$6:$D$1413,$B193,'февраль 2024'!$J$6:$J$1413,U$1)</f>
        <v>0</v>
      </c>
      <c r="V193" s="80">
        <f>SUMIFS('февраль 2024'!$G$6:$G$1413,'февраль 2024'!$D$6:$D$1413,$B193,'февраль 2024'!$J$6:$J$1413,V$1)</f>
        <v>0</v>
      </c>
      <c r="W193" s="80">
        <f>SUMIFS('февраль 2024'!$G$6:$G$1413,'февраль 2024'!$D$6:$D$1413,$B193,'февраль 2024'!$J$6:$J$1413,W$1)</f>
        <v>0</v>
      </c>
      <c r="X193" s="80">
        <f>SUMIFS('февраль 2024'!$G$6:$G$1413,'февраль 2024'!$D$6:$D$1413,$B193,'февраль 2024'!$J$6:$J$1413,X$1)</f>
        <v>0</v>
      </c>
      <c r="Y193" s="80">
        <f>SUMIFS('февраль 2024'!$G$6:$G$1413,'февраль 2024'!$D$6:$D$1413,$B193,'февраль 2024'!$J$6:$J$1413,Y$1)</f>
        <v>0</v>
      </c>
      <c r="Z193" s="80">
        <f>SUMIFS('февраль 2024'!$G$6:$G$1413,'февраль 2024'!$D$6:$D$1413,$B193,'февраль 2024'!$J$6:$J$1413,Z$1)</f>
        <v>0</v>
      </c>
      <c r="AA193" s="80">
        <f>SUMIFS('февраль 2024'!$G$6:$G$1413,'февраль 2024'!$D$6:$D$1413,$B193,'февраль 2024'!$J$6:$J$1413,AA$1)</f>
        <v>0</v>
      </c>
      <c r="AB193" s="80">
        <f>SUMIFS('февраль 2024'!$G$6:$G$1413,'февраль 2024'!$D$6:$D$1413,$B193,'февраль 2024'!$J$6:$J$1413,AB$1)</f>
        <v>0</v>
      </c>
      <c r="AC193" s="80">
        <f>SUMIFS('февраль 2024'!$G$6:$G$1413,'февраль 2024'!$D$6:$D$1413,$B193,'февраль 2024'!$J$6:$J$1413,AC$1)</f>
        <v>0</v>
      </c>
      <c r="AD193" s="80">
        <f>SUMIFS('февраль 2024'!$G$6:$G$1413,'февраль 2024'!$D$6:$D$1413,$B193,'февраль 2024'!$J$6:$J$1413,AD$1)</f>
        <v>0</v>
      </c>
      <c r="AE193" s="80">
        <f>SUMIFS('февраль 2024'!$G$6:$G$1413,'февраль 2024'!$D$6:$D$1413,$B193,'февраль 2024'!$J$6:$J$1413,AE$1)</f>
        <v>0</v>
      </c>
      <c r="AF193" s="80">
        <f>SUMIFS('февраль 2024'!$G$6:$G$1413,'февраль 2024'!$D$6:$D$1413,$B193,'февраль 2024'!$J$6:$J$1413,AF$1)</f>
        <v>0</v>
      </c>
      <c r="AG193" s="80">
        <f>SUMIFS('февраль 2024'!$G$6:$G$1413,'февраль 2024'!$D$6:$D$1413,$B193,'февраль 2024'!$J$6:$J$1413,AG$1)</f>
        <v>0</v>
      </c>
      <c r="AH193" s="80">
        <f>SUMIFS('февраль 2024'!$G$6:$G$1413,'февраль 2024'!$D$6:$D$1413,$B193,'февраль 2024'!$J$6:$J$1413,AH$1)</f>
        <v>0</v>
      </c>
      <c r="AI193" s="87"/>
    </row>
    <row r="194" spans="2:35" ht="15" hidden="1" customHeight="1" x14ac:dyDescent="0.25">
      <c r="B194" s="89"/>
      <c r="C194" s="88"/>
      <c r="D194" s="80">
        <f>SUMIFS('февраль 2024'!$G$6:$G$1413,'февраль 2024'!$D$6:$D$1413,$B194,'февраль 2024'!$J$6:$J$1413,D$1)</f>
        <v>0</v>
      </c>
      <c r="E194" s="80">
        <f>SUMIFS('февраль 2024'!$G$6:$G$1413,'февраль 2024'!$D$6:$D$1413,$B194,'февраль 2024'!$J$6:$J$1413,E$1)</f>
        <v>0</v>
      </c>
      <c r="F194" s="80">
        <f>SUMIFS('февраль 2024'!$G$6:$G$1413,'февраль 2024'!$D$6:$D$1413,$B194,'февраль 2024'!$J$6:$J$1413,F$1)</f>
        <v>0</v>
      </c>
      <c r="G194" s="80">
        <f>SUMIFS('февраль 2024'!$G$6:$G$1413,'февраль 2024'!$D$6:$D$1413,$B194,'февраль 2024'!$J$6:$J$1413,G$1)</f>
        <v>0</v>
      </c>
      <c r="H194" s="80">
        <f>SUMIFS('февраль 2024'!$G$6:$G$1413,'февраль 2024'!$D$6:$D$1413,$B194,'февраль 2024'!$J$6:$J$1413,H$1)</f>
        <v>0</v>
      </c>
      <c r="I194" s="80">
        <f>SUMIFS('февраль 2024'!$G$6:$G$1413,'февраль 2024'!$D$6:$D$1413,$B194,'февраль 2024'!$J$6:$J$1413,I$1)</f>
        <v>0</v>
      </c>
      <c r="J194" s="80">
        <f>SUMIFS('февраль 2024'!$G$6:$G$1413,'февраль 2024'!$D$6:$D$1413,$B194,'февраль 2024'!$J$6:$J$1413,J$1)</f>
        <v>0</v>
      </c>
      <c r="K194" s="80">
        <f>SUMIFS('февраль 2024'!$G$6:$G$1413,'февраль 2024'!$D$6:$D$1413,$B194,'февраль 2024'!$J$6:$J$1413,K$1)</f>
        <v>0</v>
      </c>
      <c r="L194" s="80">
        <f>SUMIFS('февраль 2024'!$G$6:$G$1413,'февраль 2024'!$D$6:$D$1413,$B194,'февраль 2024'!$J$6:$J$1413,L$1)</f>
        <v>0</v>
      </c>
      <c r="M194" s="80">
        <f>SUMIFS('февраль 2024'!$G$6:$G$1413,'февраль 2024'!$D$6:$D$1413,$B194,'февраль 2024'!$J$6:$J$1413,M$1)</f>
        <v>0</v>
      </c>
      <c r="N194" s="80">
        <f>SUMIFS('февраль 2024'!$G$6:$G$1413,'февраль 2024'!$D$6:$D$1413,$B194,'февраль 2024'!$J$6:$J$1413,N$1)</f>
        <v>0</v>
      </c>
      <c r="O194" s="80">
        <f>SUMIFS('февраль 2024'!$G$6:$G$1413,'февраль 2024'!$D$6:$D$1413,$B194,'февраль 2024'!$J$6:$J$1413,O$1)</f>
        <v>0</v>
      </c>
      <c r="P194" s="80">
        <f>SUMIFS('февраль 2024'!$G$6:$G$1413,'февраль 2024'!$D$6:$D$1413,$B194,'февраль 2024'!$J$6:$J$1413,P$1)</f>
        <v>0</v>
      </c>
      <c r="Q194" s="80">
        <f>SUMIFS('февраль 2024'!$G$6:$G$1413,'февраль 2024'!$D$6:$D$1413,$B194,'февраль 2024'!$J$6:$J$1413,Q$1)</f>
        <v>0</v>
      </c>
      <c r="R194" s="80">
        <f>SUMIFS('февраль 2024'!$G$6:$G$1413,'февраль 2024'!$D$6:$D$1413,$B194,'февраль 2024'!$J$6:$J$1413,R$1)</f>
        <v>0</v>
      </c>
      <c r="S194" s="80">
        <f>SUMIFS('февраль 2024'!$G$6:$G$1413,'февраль 2024'!$D$6:$D$1413,$B194,'февраль 2024'!$J$6:$J$1413,S$1)</f>
        <v>0</v>
      </c>
      <c r="T194" s="80">
        <f>SUMIFS('февраль 2024'!$G$6:$G$1413,'февраль 2024'!$D$6:$D$1413,$B194,'февраль 2024'!$J$6:$J$1413,T$1)</f>
        <v>0</v>
      </c>
      <c r="U194" s="80">
        <f>SUMIFS('февраль 2024'!$G$6:$G$1413,'февраль 2024'!$D$6:$D$1413,$B194,'февраль 2024'!$J$6:$J$1413,U$1)</f>
        <v>0</v>
      </c>
      <c r="V194" s="80">
        <f>SUMIFS('февраль 2024'!$G$6:$G$1413,'февраль 2024'!$D$6:$D$1413,$B194,'февраль 2024'!$J$6:$J$1413,V$1)</f>
        <v>0</v>
      </c>
      <c r="W194" s="80">
        <f>SUMIFS('февраль 2024'!$G$6:$G$1413,'февраль 2024'!$D$6:$D$1413,$B194,'февраль 2024'!$J$6:$J$1413,W$1)</f>
        <v>0</v>
      </c>
      <c r="X194" s="80">
        <f>SUMIFS('февраль 2024'!$G$6:$G$1413,'февраль 2024'!$D$6:$D$1413,$B194,'февраль 2024'!$J$6:$J$1413,X$1)</f>
        <v>0</v>
      </c>
      <c r="Y194" s="80">
        <f>SUMIFS('февраль 2024'!$G$6:$G$1413,'февраль 2024'!$D$6:$D$1413,$B194,'февраль 2024'!$J$6:$J$1413,Y$1)</f>
        <v>0</v>
      </c>
      <c r="Z194" s="80">
        <f>SUMIFS('февраль 2024'!$G$6:$G$1413,'февраль 2024'!$D$6:$D$1413,$B194,'февраль 2024'!$J$6:$J$1413,Z$1)</f>
        <v>0</v>
      </c>
      <c r="AA194" s="80">
        <f>SUMIFS('февраль 2024'!$G$6:$G$1413,'февраль 2024'!$D$6:$D$1413,$B194,'февраль 2024'!$J$6:$J$1413,AA$1)</f>
        <v>0</v>
      </c>
      <c r="AB194" s="80">
        <f>SUMIFS('февраль 2024'!$G$6:$G$1413,'февраль 2024'!$D$6:$D$1413,$B194,'февраль 2024'!$J$6:$J$1413,AB$1)</f>
        <v>0</v>
      </c>
      <c r="AC194" s="80">
        <f>SUMIFS('февраль 2024'!$G$6:$G$1413,'февраль 2024'!$D$6:$D$1413,$B194,'февраль 2024'!$J$6:$J$1413,AC$1)</f>
        <v>0</v>
      </c>
      <c r="AD194" s="80">
        <f>SUMIFS('февраль 2024'!$G$6:$G$1413,'февраль 2024'!$D$6:$D$1413,$B194,'февраль 2024'!$J$6:$J$1413,AD$1)</f>
        <v>0</v>
      </c>
      <c r="AE194" s="80">
        <f>SUMIFS('февраль 2024'!$G$6:$G$1413,'февраль 2024'!$D$6:$D$1413,$B194,'февраль 2024'!$J$6:$J$1413,AE$1)</f>
        <v>0</v>
      </c>
      <c r="AF194" s="80">
        <f>SUMIFS('февраль 2024'!$G$6:$G$1413,'февраль 2024'!$D$6:$D$1413,$B194,'февраль 2024'!$J$6:$J$1413,AF$1)</f>
        <v>0</v>
      </c>
      <c r="AG194" s="80">
        <f>SUMIFS('февраль 2024'!$G$6:$G$1413,'февраль 2024'!$D$6:$D$1413,$B194,'февраль 2024'!$J$6:$J$1413,AG$1)</f>
        <v>0</v>
      </c>
      <c r="AH194" s="80">
        <f>SUMIFS('февраль 2024'!$G$6:$G$1413,'февраль 2024'!$D$6:$D$1413,$B194,'февраль 2024'!$J$6:$J$1413,AH$1)</f>
        <v>0</v>
      </c>
      <c r="AI194" s="87"/>
    </row>
    <row r="195" spans="2:35" ht="15" hidden="1" customHeight="1" x14ac:dyDescent="0.25">
      <c r="B195" s="89"/>
      <c r="C195" s="88"/>
      <c r="D195" s="80">
        <f>SUMIFS('февраль 2024'!$G$6:$G$1413,'февраль 2024'!$D$6:$D$1413,$B195,'февраль 2024'!$J$6:$J$1413,D$1)</f>
        <v>0</v>
      </c>
      <c r="E195" s="80">
        <f>SUMIFS('февраль 2024'!$G$6:$G$1413,'февраль 2024'!$D$6:$D$1413,$B195,'февраль 2024'!$J$6:$J$1413,E$1)</f>
        <v>0</v>
      </c>
      <c r="F195" s="80">
        <f>SUMIFS('февраль 2024'!$G$6:$G$1413,'февраль 2024'!$D$6:$D$1413,$B195,'февраль 2024'!$J$6:$J$1413,F$1)</f>
        <v>0</v>
      </c>
      <c r="G195" s="80">
        <f>SUMIFS('февраль 2024'!$G$6:$G$1413,'февраль 2024'!$D$6:$D$1413,$B195,'февраль 2024'!$J$6:$J$1413,G$1)</f>
        <v>0</v>
      </c>
      <c r="H195" s="80">
        <f>SUMIFS('февраль 2024'!$G$6:$G$1413,'февраль 2024'!$D$6:$D$1413,$B195,'февраль 2024'!$J$6:$J$1413,H$1)</f>
        <v>0</v>
      </c>
      <c r="I195" s="80">
        <f>SUMIFS('февраль 2024'!$G$6:$G$1413,'февраль 2024'!$D$6:$D$1413,$B195,'февраль 2024'!$J$6:$J$1413,I$1)</f>
        <v>0</v>
      </c>
      <c r="J195" s="80">
        <f>SUMIFS('февраль 2024'!$G$6:$G$1413,'февраль 2024'!$D$6:$D$1413,$B195,'февраль 2024'!$J$6:$J$1413,J$1)</f>
        <v>0</v>
      </c>
      <c r="K195" s="80">
        <f>SUMIFS('февраль 2024'!$G$6:$G$1413,'февраль 2024'!$D$6:$D$1413,$B195,'февраль 2024'!$J$6:$J$1413,K$1)</f>
        <v>0</v>
      </c>
      <c r="L195" s="80">
        <f>SUMIFS('февраль 2024'!$G$6:$G$1413,'февраль 2024'!$D$6:$D$1413,$B195,'февраль 2024'!$J$6:$J$1413,L$1)</f>
        <v>0</v>
      </c>
      <c r="M195" s="80">
        <f>SUMIFS('февраль 2024'!$G$6:$G$1413,'февраль 2024'!$D$6:$D$1413,$B195,'февраль 2024'!$J$6:$J$1413,M$1)</f>
        <v>0</v>
      </c>
      <c r="N195" s="80">
        <f>SUMIFS('февраль 2024'!$G$6:$G$1413,'февраль 2024'!$D$6:$D$1413,$B195,'февраль 2024'!$J$6:$J$1413,N$1)</f>
        <v>0</v>
      </c>
      <c r="O195" s="80">
        <f>SUMIFS('февраль 2024'!$G$6:$G$1413,'февраль 2024'!$D$6:$D$1413,$B195,'февраль 2024'!$J$6:$J$1413,O$1)</f>
        <v>0</v>
      </c>
      <c r="P195" s="80">
        <f>SUMIFS('февраль 2024'!$G$6:$G$1413,'февраль 2024'!$D$6:$D$1413,$B195,'февраль 2024'!$J$6:$J$1413,P$1)</f>
        <v>0</v>
      </c>
      <c r="Q195" s="80">
        <f>SUMIFS('февраль 2024'!$G$6:$G$1413,'февраль 2024'!$D$6:$D$1413,$B195,'февраль 2024'!$J$6:$J$1413,Q$1)</f>
        <v>0</v>
      </c>
      <c r="R195" s="80">
        <f>SUMIFS('февраль 2024'!$G$6:$G$1413,'февраль 2024'!$D$6:$D$1413,$B195,'февраль 2024'!$J$6:$J$1413,R$1)</f>
        <v>0</v>
      </c>
      <c r="S195" s="80">
        <f>SUMIFS('февраль 2024'!$G$6:$G$1413,'февраль 2024'!$D$6:$D$1413,$B195,'февраль 2024'!$J$6:$J$1413,S$1)</f>
        <v>0</v>
      </c>
      <c r="T195" s="80">
        <f>SUMIFS('февраль 2024'!$G$6:$G$1413,'февраль 2024'!$D$6:$D$1413,$B195,'февраль 2024'!$J$6:$J$1413,T$1)</f>
        <v>0</v>
      </c>
      <c r="U195" s="80">
        <f>SUMIFS('февраль 2024'!$G$6:$G$1413,'февраль 2024'!$D$6:$D$1413,$B195,'февраль 2024'!$J$6:$J$1413,U$1)</f>
        <v>0</v>
      </c>
      <c r="V195" s="80">
        <f>SUMIFS('февраль 2024'!$G$6:$G$1413,'февраль 2024'!$D$6:$D$1413,$B195,'февраль 2024'!$J$6:$J$1413,V$1)</f>
        <v>0</v>
      </c>
      <c r="W195" s="80">
        <f>SUMIFS('февраль 2024'!$G$6:$G$1413,'февраль 2024'!$D$6:$D$1413,$B195,'февраль 2024'!$J$6:$J$1413,W$1)</f>
        <v>0</v>
      </c>
      <c r="X195" s="80">
        <f>SUMIFS('февраль 2024'!$G$6:$G$1413,'февраль 2024'!$D$6:$D$1413,$B195,'февраль 2024'!$J$6:$J$1413,X$1)</f>
        <v>0</v>
      </c>
      <c r="Y195" s="80">
        <f>SUMIFS('февраль 2024'!$G$6:$G$1413,'февраль 2024'!$D$6:$D$1413,$B195,'февраль 2024'!$J$6:$J$1413,Y$1)</f>
        <v>0</v>
      </c>
      <c r="Z195" s="80">
        <f>SUMIFS('февраль 2024'!$G$6:$G$1413,'февраль 2024'!$D$6:$D$1413,$B195,'февраль 2024'!$J$6:$J$1413,Z$1)</f>
        <v>0</v>
      </c>
      <c r="AA195" s="80">
        <f>SUMIFS('февраль 2024'!$G$6:$G$1413,'февраль 2024'!$D$6:$D$1413,$B195,'февраль 2024'!$J$6:$J$1413,AA$1)</f>
        <v>0</v>
      </c>
      <c r="AB195" s="80">
        <f>SUMIFS('февраль 2024'!$G$6:$G$1413,'февраль 2024'!$D$6:$D$1413,$B195,'февраль 2024'!$J$6:$J$1413,AB$1)</f>
        <v>0</v>
      </c>
      <c r="AC195" s="80">
        <f>SUMIFS('февраль 2024'!$G$6:$G$1413,'февраль 2024'!$D$6:$D$1413,$B195,'февраль 2024'!$J$6:$J$1413,AC$1)</f>
        <v>0</v>
      </c>
      <c r="AD195" s="80">
        <f>SUMIFS('февраль 2024'!$G$6:$G$1413,'февраль 2024'!$D$6:$D$1413,$B195,'февраль 2024'!$J$6:$J$1413,AD$1)</f>
        <v>0</v>
      </c>
      <c r="AE195" s="80">
        <f>SUMIFS('февраль 2024'!$G$6:$G$1413,'февраль 2024'!$D$6:$D$1413,$B195,'февраль 2024'!$J$6:$J$1413,AE$1)</f>
        <v>0</v>
      </c>
      <c r="AF195" s="80">
        <f>SUMIFS('февраль 2024'!$G$6:$G$1413,'февраль 2024'!$D$6:$D$1413,$B195,'февраль 2024'!$J$6:$J$1413,AF$1)</f>
        <v>0</v>
      </c>
      <c r="AG195" s="80">
        <f>SUMIFS('февраль 2024'!$G$6:$G$1413,'февраль 2024'!$D$6:$D$1413,$B195,'февраль 2024'!$J$6:$J$1413,AG$1)</f>
        <v>0</v>
      </c>
      <c r="AH195" s="80">
        <f>SUMIFS('февраль 2024'!$G$6:$G$1413,'февраль 2024'!$D$6:$D$1413,$B195,'февраль 2024'!$J$6:$J$1413,AH$1)</f>
        <v>0</v>
      </c>
      <c r="AI195" s="87"/>
    </row>
    <row r="196" spans="2:35" ht="15" hidden="1" customHeight="1" x14ac:dyDescent="0.25">
      <c r="B196" s="89"/>
      <c r="C196" s="88"/>
      <c r="D196" s="80">
        <f>SUMIFS('февраль 2024'!$G$6:$G$1413,'февраль 2024'!$D$6:$D$1413,$B196,'февраль 2024'!$J$6:$J$1413,D$1)</f>
        <v>0</v>
      </c>
      <c r="E196" s="80">
        <f>SUMIFS('февраль 2024'!$G$6:$G$1413,'февраль 2024'!$D$6:$D$1413,$B196,'февраль 2024'!$J$6:$J$1413,E$1)</f>
        <v>0</v>
      </c>
      <c r="F196" s="80">
        <f>SUMIFS('февраль 2024'!$G$6:$G$1413,'февраль 2024'!$D$6:$D$1413,$B196,'февраль 2024'!$J$6:$J$1413,F$1)</f>
        <v>0</v>
      </c>
      <c r="G196" s="80">
        <f>SUMIFS('февраль 2024'!$G$6:$G$1413,'февраль 2024'!$D$6:$D$1413,$B196,'февраль 2024'!$J$6:$J$1413,G$1)</f>
        <v>0</v>
      </c>
      <c r="H196" s="80">
        <f>SUMIFS('февраль 2024'!$G$6:$G$1413,'февраль 2024'!$D$6:$D$1413,$B196,'февраль 2024'!$J$6:$J$1413,H$1)</f>
        <v>0</v>
      </c>
      <c r="I196" s="80">
        <f>SUMIFS('февраль 2024'!$G$6:$G$1413,'февраль 2024'!$D$6:$D$1413,$B196,'февраль 2024'!$J$6:$J$1413,I$1)</f>
        <v>0</v>
      </c>
      <c r="J196" s="80">
        <f>SUMIFS('февраль 2024'!$G$6:$G$1413,'февраль 2024'!$D$6:$D$1413,$B196,'февраль 2024'!$J$6:$J$1413,J$1)</f>
        <v>0</v>
      </c>
      <c r="K196" s="80">
        <f>SUMIFS('февраль 2024'!$G$6:$G$1413,'февраль 2024'!$D$6:$D$1413,$B196,'февраль 2024'!$J$6:$J$1413,K$1)</f>
        <v>0</v>
      </c>
      <c r="L196" s="80">
        <f>SUMIFS('февраль 2024'!$G$6:$G$1413,'февраль 2024'!$D$6:$D$1413,$B196,'февраль 2024'!$J$6:$J$1413,L$1)</f>
        <v>0</v>
      </c>
      <c r="M196" s="80">
        <f>SUMIFS('февраль 2024'!$G$6:$G$1413,'февраль 2024'!$D$6:$D$1413,$B196,'февраль 2024'!$J$6:$J$1413,M$1)</f>
        <v>0</v>
      </c>
      <c r="N196" s="80">
        <f>SUMIFS('февраль 2024'!$G$6:$G$1413,'февраль 2024'!$D$6:$D$1413,$B196,'февраль 2024'!$J$6:$J$1413,N$1)</f>
        <v>0</v>
      </c>
      <c r="O196" s="80">
        <f>SUMIFS('февраль 2024'!$G$6:$G$1413,'февраль 2024'!$D$6:$D$1413,$B196,'февраль 2024'!$J$6:$J$1413,O$1)</f>
        <v>0</v>
      </c>
      <c r="P196" s="80">
        <f>SUMIFS('февраль 2024'!$G$6:$G$1413,'февраль 2024'!$D$6:$D$1413,$B196,'февраль 2024'!$J$6:$J$1413,P$1)</f>
        <v>0</v>
      </c>
      <c r="Q196" s="80">
        <f>SUMIFS('февраль 2024'!$G$6:$G$1413,'февраль 2024'!$D$6:$D$1413,$B196,'февраль 2024'!$J$6:$J$1413,Q$1)</f>
        <v>0</v>
      </c>
      <c r="R196" s="80">
        <f>SUMIFS('февраль 2024'!$G$6:$G$1413,'февраль 2024'!$D$6:$D$1413,$B196,'февраль 2024'!$J$6:$J$1413,R$1)</f>
        <v>0</v>
      </c>
      <c r="S196" s="80">
        <f>SUMIFS('февраль 2024'!$G$6:$G$1413,'февраль 2024'!$D$6:$D$1413,$B196,'февраль 2024'!$J$6:$J$1413,S$1)</f>
        <v>0</v>
      </c>
      <c r="T196" s="80">
        <f>SUMIFS('февраль 2024'!$G$6:$G$1413,'февраль 2024'!$D$6:$D$1413,$B196,'февраль 2024'!$J$6:$J$1413,T$1)</f>
        <v>0</v>
      </c>
      <c r="U196" s="80">
        <f>SUMIFS('февраль 2024'!$G$6:$G$1413,'февраль 2024'!$D$6:$D$1413,$B196,'февраль 2024'!$J$6:$J$1413,U$1)</f>
        <v>0</v>
      </c>
      <c r="V196" s="80">
        <f>SUMIFS('февраль 2024'!$G$6:$G$1413,'февраль 2024'!$D$6:$D$1413,$B196,'февраль 2024'!$J$6:$J$1413,V$1)</f>
        <v>0</v>
      </c>
      <c r="W196" s="80">
        <f>SUMIFS('февраль 2024'!$G$6:$G$1413,'февраль 2024'!$D$6:$D$1413,$B196,'февраль 2024'!$J$6:$J$1413,W$1)</f>
        <v>0</v>
      </c>
      <c r="X196" s="80">
        <f>SUMIFS('февраль 2024'!$G$6:$G$1413,'февраль 2024'!$D$6:$D$1413,$B196,'февраль 2024'!$J$6:$J$1413,X$1)</f>
        <v>0</v>
      </c>
      <c r="Y196" s="80">
        <f>SUMIFS('февраль 2024'!$G$6:$G$1413,'февраль 2024'!$D$6:$D$1413,$B196,'февраль 2024'!$J$6:$J$1413,Y$1)</f>
        <v>0</v>
      </c>
      <c r="Z196" s="80">
        <f>SUMIFS('февраль 2024'!$G$6:$G$1413,'февраль 2024'!$D$6:$D$1413,$B196,'февраль 2024'!$J$6:$J$1413,Z$1)</f>
        <v>0</v>
      </c>
      <c r="AA196" s="80">
        <f>SUMIFS('февраль 2024'!$G$6:$G$1413,'февраль 2024'!$D$6:$D$1413,$B196,'февраль 2024'!$J$6:$J$1413,AA$1)</f>
        <v>0</v>
      </c>
      <c r="AB196" s="80">
        <f>SUMIFS('февраль 2024'!$G$6:$G$1413,'февраль 2024'!$D$6:$D$1413,$B196,'февраль 2024'!$J$6:$J$1413,AB$1)</f>
        <v>0</v>
      </c>
      <c r="AC196" s="80">
        <f>SUMIFS('февраль 2024'!$G$6:$G$1413,'февраль 2024'!$D$6:$D$1413,$B196,'февраль 2024'!$J$6:$J$1413,AC$1)</f>
        <v>0</v>
      </c>
      <c r="AD196" s="80">
        <f>SUMIFS('февраль 2024'!$G$6:$G$1413,'февраль 2024'!$D$6:$D$1413,$B196,'февраль 2024'!$J$6:$J$1413,AD$1)</f>
        <v>0</v>
      </c>
      <c r="AE196" s="80">
        <f>SUMIFS('февраль 2024'!$G$6:$G$1413,'февраль 2024'!$D$6:$D$1413,$B196,'февраль 2024'!$J$6:$J$1413,AE$1)</f>
        <v>0</v>
      </c>
      <c r="AF196" s="80">
        <f>SUMIFS('февраль 2024'!$G$6:$G$1413,'февраль 2024'!$D$6:$D$1413,$B196,'февраль 2024'!$J$6:$J$1413,AF$1)</f>
        <v>0</v>
      </c>
      <c r="AG196" s="80">
        <f>SUMIFS('февраль 2024'!$G$6:$G$1413,'февраль 2024'!$D$6:$D$1413,$B196,'февраль 2024'!$J$6:$J$1413,AG$1)</f>
        <v>0</v>
      </c>
      <c r="AH196" s="80">
        <f>SUMIFS('февраль 2024'!$G$6:$G$1413,'февраль 2024'!$D$6:$D$1413,$B196,'февраль 2024'!$J$6:$J$1413,AH$1)</f>
        <v>0</v>
      </c>
      <c r="AI196" s="87"/>
    </row>
    <row r="197" spans="2:35" ht="15" hidden="1" customHeight="1" x14ac:dyDescent="0.25">
      <c r="B197" s="89"/>
      <c r="C197" s="88"/>
      <c r="D197" s="80">
        <f>SUMIFS('февраль 2024'!$G$6:$G$1413,'февраль 2024'!$D$6:$D$1413,$B197,'февраль 2024'!$J$6:$J$1413,D$1)</f>
        <v>0</v>
      </c>
      <c r="E197" s="80">
        <f>SUMIFS('февраль 2024'!$G$6:$G$1413,'февраль 2024'!$D$6:$D$1413,$B197,'февраль 2024'!$J$6:$J$1413,E$1)</f>
        <v>0</v>
      </c>
      <c r="F197" s="80">
        <f>SUMIFS('февраль 2024'!$G$6:$G$1413,'февраль 2024'!$D$6:$D$1413,$B197,'февраль 2024'!$J$6:$J$1413,F$1)</f>
        <v>0</v>
      </c>
      <c r="G197" s="80">
        <f>SUMIFS('февраль 2024'!$G$6:$G$1413,'февраль 2024'!$D$6:$D$1413,$B197,'февраль 2024'!$J$6:$J$1413,G$1)</f>
        <v>0</v>
      </c>
      <c r="H197" s="80">
        <f>SUMIFS('февраль 2024'!$G$6:$G$1413,'февраль 2024'!$D$6:$D$1413,$B197,'февраль 2024'!$J$6:$J$1413,H$1)</f>
        <v>0</v>
      </c>
      <c r="I197" s="80">
        <f>SUMIFS('февраль 2024'!$G$6:$G$1413,'февраль 2024'!$D$6:$D$1413,$B197,'февраль 2024'!$J$6:$J$1413,I$1)</f>
        <v>0</v>
      </c>
      <c r="J197" s="80">
        <f>SUMIFS('февраль 2024'!$G$6:$G$1413,'февраль 2024'!$D$6:$D$1413,$B197,'февраль 2024'!$J$6:$J$1413,J$1)</f>
        <v>0</v>
      </c>
      <c r="K197" s="80">
        <f>SUMIFS('февраль 2024'!$G$6:$G$1413,'февраль 2024'!$D$6:$D$1413,$B197,'февраль 2024'!$J$6:$J$1413,K$1)</f>
        <v>0</v>
      </c>
      <c r="L197" s="80">
        <f>SUMIFS('февраль 2024'!$G$6:$G$1413,'февраль 2024'!$D$6:$D$1413,$B197,'февраль 2024'!$J$6:$J$1413,L$1)</f>
        <v>0</v>
      </c>
      <c r="M197" s="80">
        <f>SUMIFS('февраль 2024'!$G$6:$G$1413,'февраль 2024'!$D$6:$D$1413,$B197,'февраль 2024'!$J$6:$J$1413,M$1)</f>
        <v>0</v>
      </c>
      <c r="N197" s="80">
        <f>SUMIFS('февраль 2024'!$G$6:$G$1413,'февраль 2024'!$D$6:$D$1413,$B197,'февраль 2024'!$J$6:$J$1413,N$1)</f>
        <v>0</v>
      </c>
      <c r="O197" s="80">
        <f>SUMIFS('февраль 2024'!$G$6:$G$1413,'февраль 2024'!$D$6:$D$1413,$B197,'февраль 2024'!$J$6:$J$1413,O$1)</f>
        <v>0</v>
      </c>
      <c r="P197" s="80">
        <f>SUMIFS('февраль 2024'!$G$6:$G$1413,'февраль 2024'!$D$6:$D$1413,$B197,'февраль 2024'!$J$6:$J$1413,P$1)</f>
        <v>0</v>
      </c>
      <c r="Q197" s="80">
        <f>SUMIFS('февраль 2024'!$G$6:$G$1413,'февраль 2024'!$D$6:$D$1413,$B197,'февраль 2024'!$J$6:$J$1413,Q$1)</f>
        <v>0</v>
      </c>
      <c r="R197" s="80">
        <f>SUMIFS('февраль 2024'!$G$6:$G$1413,'февраль 2024'!$D$6:$D$1413,$B197,'февраль 2024'!$J$6:$J$1413,R$1)</f>
        <v>0</v>
      </c>
      <c r="S197" s="80">
        <f>SUMIFS('февраль 2024'!$G$6:$G$1413,'февраль 2024'!$D$6:$D$1413,$B197,'февраль 2024'!$J$6:$J$1413,S$1)</f>
        <v>0</v>
      </c>
      <c r="T197" s="80">
        <f>SUMIFS('февраль 2024'!$G$6:$G$1413,'февраль 2024'!$D$6:$D$1413,$B197,'февраль 2024'!$J$6:$J$1413,T$1)</f>
        <v>0</v>
      </c>
      <c r="U197" s="80">
        <f>SUMIFS('февраль 2024'!$G$6:$G$1413,'февраль 2024'!$D$6:$D$1413,$B197,'февраль 2024'!$J$6:$J$1413,U$1)</f>
        <v>0</v>
      </c>
      <c r="V197" s="80">
        <f>SUMIFS('февраль 2024'!$G$6:$G$1413,'февраль 2024'!$D$6:$D$1413,$B197,'февраль 2024'!$J$6:$J$1413,V$1)</f>
        <v>0</v>
      </c>
      <c r="W197" s="80">
        <f>SUMIFS('февраль 2024'!$G$6:$G$1413,'февраль 2024'!$D$6:$D$1413,$B197,'февраль 2024'!$J$6:$J$1413,W$1)</f>
        <v>0</v>
      </c>
      <c r="X197" s="80">
        <f>SUMIFS('февраль 2024'!$G$6:$G$1413,'февраль 2024'!$D$6:$D$1413,$B197,'февраль 2024'!$J$6:$J$1413,X$1)</f>
        <v>0</v>
      </c>
      <c r="Y197" s="80">
        <f>SUMIFS('февраль 2024'!$G$6:$G$1413,'февраль 2024'!$D$6:$D$1413,$B197,'февраль 2024'!$J$6:$J$1413,Y$1)</f>
        <v>0</v>
      </c>
      <c r="Z197" s="80">
        <f>SUMIFS('февраль 2024'!$G$6:$G$1413,'февраль 2024'!$D$6:$D$1413,$B197,'февраль 2024'!$J$6:$J$1413,Z$1)</f>
        <v>0</v>
      </c>
      <c r="AA197" s="80">
        <f>SUMIFS('февраль 2024'!$G$6:$G$1413,'февраль 2024'!$D$6:$D$1413,$B197,'февраль 2024'!$J$6:$J$1413,AA$1)</f>
        <v>0</v>
      </c>
      <c r="AB197" s="80">
        <f>SUMIFS('февраль 2024'!$G$6:$G$1413,'февраль 2024'!$D$6:$D$1413,$B197,'февраль 2024'!$J$6:$J$1413,AB$1)</f>
        <v>0</v>
      </c>
      <c r="AC197" s="80">
        <f>SUMIFS('февраль 2024'!$G$6:$G$1413,'февраль 2024'!$D$6:$D$1413,$B197,'февраль 2024'!$J$6:$J$1413,AC$1)</f>
        <v>0</v>
      </c>
      <c r="AD197" s="80">
        <f>SUMIFS('февраль 2024'!$G$6:$G$1413,'февраль 2024'!$D$6:$D$1413,$B197,'февраль 2024'!$J$6:$J$1413,AD$1)</f>
        <v>0</v>
      </c>
      <c r="AE197" s="80">
        <f>SUMIFS('февраль 2024'!$G$6:$G$1413,'февраль 2024'!$D$6:$D$1413,$B197,'февраль 2024'!$J$6:$J$1413,AE$1)</f>
        <v>0</v>
      </c>
      <c r="AF197" s="80">
        <f>SUMIFS('февраль 2024'!$G$6:$G$1413,'февраль 2024'!$D$6:$D$1413,$B197,'февраль 2024'!$J$6:$J$1413,AF$1)</f>
        <v>0</v>
      </c>
      <c r="AG197" s="80">
        <f>SUMIFS('февраль 2024'!$G$6:$G$1413,'февраль 2024'!$D$6:$D$1413,$B197,'февраль 2024'!$J$6:$J$1413,AG$1)</f>
        <v>0</v>
      </c>
      <c r="AH197" s="80">
        <f>SUMIFS('февраль 2024'!$G$6:$G$1413,'февраль 2024'!$D$6:$D$1413,$B197,'февраль 2024'!$J$6:$J$1413,AH$1)</f>
        <v>0</v>
      </c>
      <c r="AI197" s="87"/>
    </row>
    <row r="198" spans="2:35" ht="15" hidden="1" customHeight="1" x14ac:dyDescent="0.25">
      <c r="B198" s="89"/>
      <c r="C198" s="88"/>
      <c r="D198" s="80">
        <f>SUMIFS('февраль 2024'!$G$6:$G$1413,'февраль 2024'!$D$6:$D$1413,$B198,'февраль 2024'!$J$6:$J$1413,D$1)</f>
        <v>0</v>
      </c>
      <c r="E198" s="80">
        <f>SUMIFS('февраль 2024'!$G$6:$G$1413,'февраль 2024'!$D$6:$D$1413,$B198,'февраль 2024'!$J$6:$J$1413,E$1)</f>
        <v>0</v>
      </c>
      <c r="F198" s="80">
        <f>SUMIFS('февраль 2024'!$G$6:$G$1413,'февраль 2024'!$D$6:$D$1413,$B198,'февраль 2024'!$J$6:$J$1413,F$1)</f>
        <v>0</v>
      </c>
      <c r="G198" s="80">
        <f>SUMIFS('февраль 2024'!$G$6:$G$1413,'февраль 2024'!$D$6:$D$1413,$B198,'февраль 2024'!$J$6:$J$1413,G$1)</f>
        <v>0</v>
      </c>
      <c r="H198" s="80">
        <f>SUMIFS('февраль 2024'!$G$6:$G$1413,'февраль 2024'!$D$6:$D$1413,$B198,'февраль 2024'!$J$6:$J$1413,H$1)</f>
        <v>0</v>
      </c>
      <c r="I198" s="80">
        <f>SUMIFS('февраль 2024'!$G$6:$G$1413,'февраль 2024'!$D$6:$D$1413,$B198,'февраль 2024'!$J$6:$J$1413,I$1)</f>
        <v>0</v>
      </c>
      <c r="J198" s="80">
        <f>SUMIFS('февраль 2024'!$G$6:$G$1413,'февраль 2024'!$D$6:$D$1413,$B198,'февраль 2024'!$J$6:$J$1413,J$1)</f>
        <v>0</v>
      </c>
      <c r="K198" s="80">
        <f>SUMIFS('февраль 2024'!$G$6:$G$1413,'февраль 2024'!$D$6:$D$1413,$B198,'февраль 2024'!$J$6:$J$1413,K$1)</f>
        <v>0</v>
      </c>
      <c r="L198" s="80">
        <f>SUMIFS('февраль 2024'!$G$6:$G$1413,'февраль 2024'!$D$6:$D$1413,$B198,'февраль 2024'!$J$6:$J$1413,L$1)</f>
        <v>0</v>
      </c>
      <c r="M198" s="80">
        <f>SUMIFS('февраль 2024'!$G$6:$G$1413,'февраль 2024'!$D$6:$D$1413,$B198,'февраль 2024'!$J$6:$J$1413,M$1)</f>
        <v>0</v>
      </c>
      <c r="N198" s="80">
        <f>SUMIFS('февраль 2024'!$G$6:$G$1413,'февраль 2024'!$D$6:$D$1413,$B198,'февраль 2024'!$J$6:$J$1413,N$1)</f>
        <v>0</v>
      </c>
      <c r="O198" s="80">
        <f>SUMIFS('февраль 2024'!$G$6:$G$1413,'февраль 2024'!$D$6:$D$1413,$B198,'февраль 2024'!$J$6:$J$1413,O$1)</f>
        <v>0</v>
      </c>
      <c r="P198" s="80">
        <f>SUMIFS('февраль 2024'!$G$6:$G$1413,'февраль 2024'!$D$6:$D$1413,$B198,'февраль 2024'!$J$6:$J$1413,P$1)</f>
        <v>0</v>
      </c>
      <c r="Q198" s="80">
        <f>SUMIFS('февраль 2024'!$G$6:$G$1413,'февраль 2024'!$D$6:$D$1413,$B198,'февраль 2024'!$J$6:$J$1413,Q$1)</f>
        <v>0</v>
      </c>
      <c r="R198" s="80">
        <f>SUMIFS('февраль 2024'!$G$6:$G$1413,'февраль 2024'!$D$6:$D$1413,$B198,'февраль 2024'!$J$6:$J$1413,R$1)</f>
        <v>0</v>
      </c>
      <c r="S198" s="80">
        <f>SUMIFS('февраль 2024'!$G$6:$G$1413,'февраль 2024'!$D$6:$D$1413,$B198,'февраль 2024'!$J$6:$J$1413,S$1)</f>
        <v>0</v>
      </c>
      <c r="T198" s="80">
        <f>SUMIFS('февраль 2024'!$G$6:$G$1413,'февраль 2024'!$D$6:$D$1413,$B198,'февраль 2024'!$J$6:$J$1413,T$1)</f>
        <v>0</v>
      </c>
      <c r="U198" s="80">
        <f>SUMIFS('февраль 2024'!$G$6:$G$1413,'февраль 2024'!$D$6:$D$1413,$B198,'февраль 2024'!$J$6:$J$1413,U$1)</f>
        <v>0</v>
      </c>
      <c r="V198" s="80">
        <f>SUMIFS('февраль 2024'!$G$6:$G$1413,'февраль 2024'!$D$6:$D$1413,$B198,'февраль 2024'!$J$6:$J$1413,V$1)</f>
        <v>0</v>
      </c>
      <c r="W198" s="80">
        <f>SUMIFS('февраль 2024'!$G$6:$G$1413,'февраль 2024'!$D$6:$D$1413,$B198,'февраль 2024'!$J$6:$J$1413,W$1)</f>
        <v>0</v>
      </c>
      <c r="X198" s="80">
        <f>SUMIFS('февраль 2024'!$G$6:$G$1413,'февраль 2024'!$D$6:$D$1413,$B198,'февраль 2024'!$J$6:$J$1413,X$1)</f>
        <v>0</v>
      </c>
      <c r="Y198" s="80">
        <f>SUMIFS('февраль 2024'!$G$6:$G$1413,'февраль 2024'!$D$6:$D$1413,$B198,'февраль 2024'!$J$6:$J$1413,Y$1)</f>
        <v>0</v>
      </c>
      <c r="Z198" s="80">
        <f>SUMIFS('февраль 2024'!$G$6:$G$1413,'февраль 2024'!$D$6:$D$1413,$B198,'февраль 2024'!$J$6:$J$1413,Z$1)</f>
        <v>0</v>
      </c>
      <c r="AA198" s="80">
        <f>SUMIFS('февраль 2024'!$G$6:$G$1413,'февраль 2024'!$D$6:$D$1413,$B198,'февраль 2024'!$J$6:$J$1413,AA$1)</f>
        <v>0</v>
      </c>
      <c r="AB198" s="80">
        <f>SUMIFS('февраль 2024'!$G$6:$G$1413,'февраль 2024'!$D$6:$D$1413,$B198,'февраль 2024'!$J$6:$J$1413,AB$1)</f>
        <v>0</v>
      </c>
      <c r="AC198" s="80">
        <f>SUMIFS('февраль 2024'!$G$6:$G$1413,'февраль 2024'!$D$6:$D$1413,$B198,'февраль 2024'!$J$6:$J$1413,AC$1)</f>
        <v>0</v>
      </c>
      <c r="AD198" s="80">
        <f>SUMIFS('февраль 2024'!$G$6:$G$1413,'февраль 2024'!$D$6:$D$1413,$B198,'февраль 2024'!$J$6:$J$1413,AD$1)</f>
        <v>0</v>
      </c>
      <c r="AE198" s="80">
        <f>SUMIFS('февраль 2024'!$G$6:$G$1413,'февраль 2024'!$D$6:$D$1413,$B198,'февраль 2024'!$J$6:$J$1413,AE$1)</f>
        <v>0</v>
      </c>
      <c r="AF198" s="80">
        <f>SUMIFS('февраль 2024'!$G$6:$G$1413,'февраль 2024'!$D$6:$D$1413,$B198,'февраль 2024'!$J$6:$J$1413,AF$1)</f>
        <v>0</v>
      </c>
      <c r="AG198" s="80">
        <f>SUMIFS('февраль 2024'!$G$6:$G$1413,'февраль 2024'!$D$6:$D$1413,$B198,'февраль 2024'!$J$6:$J$1413,AG$1)</f>
        <v>0</v>
      </c>
      <c r="AH198" s="80">
        <f>SUMIFS('февраль 2024'!$G$6:$G$1413,'февраль 2024'!$D$6:$D$1413,$B198,'февраль 2024'!$J$6:$J$1413,AH$1)</f>
        <v>0</v>
      </c>
      <c r="AI198" s="87"/>
    </row>
    <row r="199" spans="2:35" ht="15" hidden="1" customHeight="1" x14ac:dyDescent="0.25">
      <c r="B199" s="89"/>
      <c r="C199" s="88"/>
      <c r="D199" s="80">
        <f>SUMIFS('февраль 2024'!$G$6:$G$1413,'февраль 2024'!$D$6:$D$1413,$B199,'февраль 2024'!$J$6:$J$1413,D$1)</f>
        <v>0</v>
      </c>
      <c r="E199" s="80">
        <f>SUMIFS('февраль 2024'!$G$6:$G$1413,'февраль 2024'!$D$6:$D$1413,$B199,'февраль 2024'!$J$6:$J$1413,E$1)</f>
        <v>0</v>
      </c>
      <c r="F199" s="80">
        <f>SUMIFS('февраль 2024'!$G$6:$G$1413,'февраль 2024'!$D$6:$D$1413,$B199,'февраль 2024'!$J$6:$J$1413,F$1)</f>
        <v>0</v>
      </c>
      <c r="G199" s="80">
        <f>SUMIFS('февраль 2024'!$G$6:$G$1413,'февраль 2024'!$D$6:$D$1413,$B199,'февраль 2024'!$J$6:$J$1413,G$1)</f>
        <v>0</v>
      </c>
      <c r="H199" s="80">
        <f>SUMIFS('февраль 2024'!$G$6:$G$1413,'февраль 2024'!$D$6:$D$1413,$B199,'февраль 2024'!$J$6:$J$1413,H$1)</f>
        <v>0</v>
      </c>
      <c r="I199" s="80">
        <f>SUMIFS('февраль 2024'!$G$6:$G$1413,'февраль 2024'!$D$6:$D$1413,$B199,'февраль 2024'!$J$6:$J$1413,I$1)</f>
        <v>0</v>
      </c>
      <c r="J199" s="80">
        <f>SUMIFS('февраль 2024'!$G$6:$G$1413,'февраль 2024'!$D$6:$D$1413,$B199,'февраль 2024'!$J$6:$J$1413,J$1)</f>
        <v>0</v>
      </c>
      <c r="K199" s="80">
        <f>SUMIFS('февраль 2024'!$G$6:$G$1413,'февраль 2024'!$D$6:$D$1413,$B199,'февраль 2024'!$J$6:$J$1413,K$1)</f>
        <v>0</v>
      </c>
      <c r="L199" s="80">
        <f>SUMIFS('февраль 2024'!$G$6:$G$1413,'февраль 2024'!$D$6:$D$1413,$B199,'февраль 2024'!$J$6:$J$1413,L$1)</f>
        <v>0</v>
      </c>
      <c r="M199" s="80">
        <f>SUMIFS('февраль 2024'!$G$6:$G$1413,'февраль 2024'!$D$6:$D$1413,$B199,'февраль 2024'!$J$6:$J$1413,M$1)</f>
        <v>0</v>
      </c>
      <c r="N199" s="80">
        <f>SUMIFS('февраль 2024'!$G$6:$G$1413,'февраль 2024'!$D$6:$D$1413,$B199,'февраль 2024'!$J$6:$J$1413,N$1)</f>
        <v>0</v>
      </c>
      <c r="O199" s="80">
        <f>SUMIFS('февраль 2024'!$G$6:$G$1413,'февраль 2024'!$D$6:$D$1413,$B199,'февраль 2024'!$J$6:$J$1413,O$1)</f>
        <v>0</v>
      </c>
      <c r="P199" s="80">
        <f>SUMIFS('февраль 2024'!$G$6:$G$1413,'февраль 2024'!$D$6:$D$1413,$B199,'февраль 2024'!$J$6:$J$1413,P$1)</f>
        <v>0</v>
      </c>
      <c r="Q199" s="80">
        <f>SUMIFS('февраль 2024'!$G$6:$G$1413,'февраль 2024'!$D$6:$D$1413,$B199,'февраль 2024'!$J$6:$J$1413,Q$1)</f>
        <v>0</v>
      </c>
      <c r="R199" s="80">
        <f>SUMIFS('февраль 2024'!$G$6:$G$1413,'февраль 2024'!$D$6:$D$1413,$B199,'февраль 2024'!$J$6:$J$1413,R$1)</f>
        <v>0</v>
      </c>
      <c r="S199" s="80">
        <f>SUMIFS('февраль 2024'!$G$6:$G$1413,'февраль 2024'!$D$6:$D$1413,$B199,'февраль 2024'!$J$6:$J$1413,S$1)</f>
        <v>0</v>
      </c>
      <c r="T199" s="80">
        <f>SUMIFS('февраль 2024'!$G$6:$G$1413,'февраль 2024'!$D$6:$D$1413,$B199,'февраль 2024'!$J$6:$J$1413,T$1)</f>
        <v>0</v>
      </c>
      <c r="U199" s="80">
        <f>SUMIFS('февраль 2024'!$G$6:$G$1413,'февраль 2024'!$D$6:$D$1413,$B199,'февраль 2024'!$J$6:$J$1413,U$1)</f>
        <v>0</v>
      </c>
      <c r="V199" s="80">
        <f>SUMIFS('февраль 2024'!$G$6:$G$1413,'февраль 2024'!$D$6:$D$1413,$B199,'февраль 2024'!$J$6:$J$1413,V$1)</f>
        <v>0</v>
      </c>
      <c r="W199" s="80">
        <f>SUMIFS('февраль 2024'!$G$6:$G$1413,'февраль 2024'!$D$6:$D$1413,$B199,'февраль 2024'!$J$6:$J$1413,W$1)</f>
        <v>0</v>
      </c>
      <c r="X199" s="80">
        <f>SUMIFS('февраль 2024'!$G$6:$G$1413,'февраль 2024'!$D$6:$D$1413,$B199,'февраль 2024'!$J$6:$J$1413,X$1)</f>
        <v>0</v>
      </c>
      <c r="Y199" s="80">
        <f>SUMIFS('февраль 2024'!$G$6:$G$1413,'февраль 2024'!$D$6:$D$1413,$B199,'февраль 2024'!$J$6:$J$1413,Y$1)</f>
        <v>0</v>
      </c>
      <c r="Z199" s="80">
        <f>SUMIFS('февраль 2024'!$G$6:$G$1413,'февраль 2024'!$D$6:$D$1413,$B199,'февраль 2024'!$J$6:$J$1413,Z$1)</f>
        <v>0</v>
      </c>
      <c r="AA199" s="80">
        <f>SUMIFS('февраль 2024'!$G$6:$G$1413,'февраль 2024'!$D$6:$D$1413,$B199,'февраль 2024'!$J$6:$J$1413,AA$1)</f>
        <v>0</v>
      </c>
      <c r="AB199" s="80">
        <f>SUMIFS('февраль 2024'!$G$6:$G$1413,'февраль 2024'!$D$6:$D$1413,$B199,'февраль 2024'!$J$6:$J$1413,AB$1)</f>
        <v>0</v>
      </c>
      <c r="AC199" s="80">
        <f>SUMIFS('февраль 2024'!$G$6:$G$1413,'февраль 2024'!$D$6:$D$1413,$B199,'февраль 2024'!$J$6:$J$1413,AC$1)</f>
        <v>0</v>
      </c>
      <c r="AD199" s="80">
        <f>SUMIFS('февраль 2024'!$G$6:$G$1413,'февраль 2024'!$D$6:$D$1413,$B199,'февраль 2024'!$J$6:$J$1413,AD$1)</f>
        <v>0</v>
      </c>
      <c r="AE199" s="80">
        <f>SUMIFS('февраль 2024'!$G$6:$G$1413,'февраль 2024'!$D$6:$D$1413,$B199,'февраль 2024'!$J$6:$J$1413,AE$1)</f>
        <v>0</v>
      </c>
      <c r="AF199" s="80">
        <f>SUMIFS('февраль 2024'!$G$6:$G$1413,'февраль 2024'!$D$6:$D$1413,$B199,'февраль 2024'!$J$6:$J$1413,AF$1)</f>
        <v>0</v>
      </c>
      <c r="AG199" s="80">
        <f>SUMIFS('февраль 2024'!$G$6:$G$1413,'февраль 2024'!$D$6:$D$1413,$B199,'февраль 2024'!$J$6:$J$1413,AG$1)</f>
        <v>0</v>
      </c>
      <c r="AH199" s="80">
        <f>SUMIFS('февраль 2024'!$G$6:$G$1413,'февраль 2024'!$D$6:$D$1413,$B199,'февраль 2024'!$J$6:$J$1413,AH$1)</f>
        <v>0</v>
      </c>
      <c r="AI199" s="87"/>
    </row>
    <row r="200" spans="2:35" ht="15" hidden="1" customHeight="1" x14ac:dyDescent="0.25">
      <c r="B200" s="89"/>
      <c r="C200" s="88"/>
      <c r="D200" s="80">
        <f>SUMIFS('февраль 2024'!$G$6:$G$1413,'февраль 2024'!$D$6:$D$1413,$B200,'февраль 2024'!$J$6:$J$1413,D$1)</f>
        <v>0</v>
      </c>
      <c r="E200" s="80">
        <f>SUMIFS('февраль 2024'!$G$6:$G$1413,'февраль 2024'!$D$6:$D$1413,$B200,'февраль 2024'!$J$6:$J$1413,E$1)</f>
        <v>0</v>
      </c>
      <c r="F200" s="80">
        <f>SUMIFS('февраль 2024'!$G$6:$G$1413,'февраль 2024'!$D$6:$D$1413,$B200,'февраль 2024'!$J$6:$J$1413,F$1)</f>
        <v>0</v>
      </c>
      <c r="G200" s="80">
        <f>SUMIFS('февраль 2024'!$G$6:$G$1413,'февраль 2024'!$D$6:$D$1413,$B200,'февраль 2024'!$J$6:$J$1413,G$1)</f>
        <v>0</v>
      </c>
      <c r="H200" s="80">
        <f>SUMIFS('февраль 2024'!$G$6:$G$1413,'февраль 2024'!$D$6:$D$1413,$B200,'февраль 2024'!$J$6:$J$1413,H$1)</f>
        <v>0</v>
      </c>
      <c r="I200" s="80">
        <f>SUMIFS('февраль 2024'!$G$6:$G$1413,'февраль 2024'!$D$6:$D$1413,$B200,'февраль 2024'!$J$6:$J$1413,I$1)</f>
        <v>0</v>
      </c>
      <c r="J200" s="80">
        <f>SUMIFS('февраль 2024'!$G$6:$G$1413,'февраль 2024'!$D$6:$D$1413,$B200,'февраль 2024'!$J$6:$J$1413,J$1)</f>
        <v>0</v>
      </c>
      <c r="K200" s="80">
        <f>SUMIFS('февраль 2024'!$G$6:$G$1413,'февраль 2024'!$D$6:$D$1413,$B200,'февраль 2024'!$J$6:$J$1413,K$1)</f>
        <v>0</v>
      </c>
      <c r="L200" s="80">
        <f>SUMIFS('февраль 2024'!$G$6:$G$1413,'февраль 2024'!$D$6:$D$1413,$B200,'февраль 2024'!$J$6:$J$1413,L$1)</f>
        <v>0</v>
      </c>
      <c r="M200" s="80">
        <f>SUMIFS('февраль 2024'!$G$6:$G$1413,'февраль 2024'!$D$6:$D$1413,$B200,'февраль 2024'!$J$6:$J$1413,M$1)</f>
        <v>0</v>
      </c>
      <c r="N200" s="80">
        <f>SUMIFS('февраль 2024'!$G$6:$G$1413,'февраль 2024'!$D$6:$D$1413,$B200,'февраль 2024'!$J$6:$J$1413,N$1)</f>
        <v>0</v>
      </c>
      <c r="O200" s="80">
        <f>SUMIFS('февраль 2024'!$G$6:$G$1413,'февраль 2024'!$D$6:$D$1413,$B200,'февраль 2024'!$J$6:$J$1413,O$1)</f>
        <v>0</v>
      </c>
      <c r="P200" s="80">
        <f>SUMIFS('февраль 2024'!$G$6:$G$1413,'февраль 2024'!$D$6:$D$1413,$B200,'февраль 2024'!$J$6:$J$1413,P$1)</f>
        <v>0</v>
      </c>
      <c r="Q200" s="80">
        <f>SUMIFS('февраль 2024'!$G$6:$G$1413,'февраль 2024'!$D$6:$D$1413,$B200,'февраль 2024'!$J$6:$J$1413,Q$1)</f>
        <v>0</v>
      </c>
      <c r="R200" s="80">
        <f>SUMIFS('февраль 2024'!$G$6:$G$1413,'февраль 2024'!$D$6:$D$1413,$B200,'февраль 2024'!$J$6:$J$1413,R$1)</f>
        <v>0</v>
      </c>
      <c r="S200" s="80">
        <f>SUMIFS('февраль 2024'!$G$6:$G$1413,'февраль 2024'!$D$6:$D$1413,$B200,'февраль 2024'!$J$6:$J$1413,S$1)</f>
        <v>0</v>
      </c>
      <c r="T200" s="80">
        <f>SUMIFS('февраль 2024'!$G$6:$G$1413,'февраль 2024'!$D$6:$D$1413,$B200,'февраль 2024'!$J$6:$J$1413,T$1)</f>
        <v>0</v>
      </c>
      <c r="U200" s="80">
        <f>SUMIFS('февраль 2024'!$G$6:$G$1413,'февраль 2024'!$D$6:$D$1413,$B200,'февраль 2024'!$J$6:$J$1413,U$1)</f>
        <v>0</v>
      </c>
      <c r="V200" s="80">
        <f>SUMIFS('февраль 2024'!$G$6:$G$1413,'февраль 2024'!$D$6:$D$1413,$B200,'февраль 2024'!$J$6:$J$1413,V$1)</f>
        <v>0</v>
      </c>
      <c r="W200" s="80">
        <f>SUMIFS('февраль 2024'!$G$6:$G$1413,'февраль 2024'!$D$6:$D$1413,$B200,'февраль 2024'!$J$6:$J$1413,W$1)</f>
        <v>0</v>
      </c>
      <c r="X200" s="80">
        <f>SUMIFS('февраль 2024'!$G$6:$G$1413,'февраль 2024'!$D$6:$D$1413,$B200,'февраль 2024'!$J$6:$J$1413,X$1)</f>
        <v>0</v>
      </c>
      <c r="Y200" s="80">
        <f>SUMIFS('февраль 2024'!$G$6:$G$1413,'февраль 2024'!$D$6:$D$1413,$B200,'февраль 2024'!$J$6:$J$1413,Y$1)</f>
        <v>0</v>
      </c>
      <c r="Z200" s="80">
        <f>SUMIFS('февраль 2024'!$G$6:$G$1413,'февраль 2024'!$D$6:$D$1413,$B200,'февраль 2024'!$J$6:$J$1413,Z$1)</f>
        <v>0</v>
      </c>
      <c r="AA200" s="80">
        <f>SUMIFS('февраль 2024'!$G$6:$G$1413,'февраль 2024'!$D$6:$D$1413,$B200,'февраль 2024'!$J$6:$J$1413,AA$1)</f>
        <v>0</v>
      </c>
      <c r="AB200" s="80">
        <f>SUMIFS('февраль 2024'!$G$6:$G$1413,'февраль 2024'!$D$6:$D$1413,$B200,'февраль 2024'!$J$6:$J$1413,AB$1)</f>
        <v>0</v>
      </c>
      <c r="AC200" s="80">
        <f>SUMIFS('февраль 2024'!$G$6:$G$1413,'февраль 2024'!$D$6:$D$1413,$B200,'февраль 2024'!$J$6:$J$1413,AC$1)</f>
        <v>0</v>
      </c>
      <c r="AD200" s="80">
        <f>SUMIFS('февраль 2024'!$G$6:$G$1413,'февраль 2024'!$D$6:$D$1413,$B200,'февраль 2024'!$J$6:$J$1413,AD$1)</f>
        <v>0</v>
      </c>
      <c r="AE200" s="80">
        <f>SUMIFS('февраль 2024'!$G$6:$G$1413,'февраль 2024'!$D$6:$D$1413,$B200,'февраль 2024'!$J$6:$J$1413,AE$1)</f>
        <v>0</v>
      </c>
      <c r="AF200" s="80">
        <f>SUMIFS('февраль 2024'!$G$6:$G$1413,'февраль 2024'!$D$6:$D$1413,$B200,'февраль 2024'!$J$6:$J$1413,AF$1)</f>
        <v>0</v>
      </c>
      <c r="AG200" s="80">
        <f>SUMIFS('февраль 2024'!$G$6:$G$1413,'февраль 2024'!$D$6:$D$1413,$B200,'февраль 2024'!$J$6:$J$1413,AG$1)</f>
        <v>0</v>
      </c>
      <c r="AH200" s="80">
        <f>SUMIFS('февраль 2024'!$G$6:$G$1413,'февраль 2024'!$D$6:$D$1413,$B200,'февраль 2024'!$J$6:$J$1413,AH$1)</f>
        <v>0</v>
      </c>
      <c r="AI200" s="87"/>
    </row>
    <row r="201" spans="2:35" ht="15" hidden="1" customHeight="1" x14ac:dyDescent="0.25">
      <c r="B201" s="89"/>
      <c r="C201" s="88"/>
      <c r="D201" s="80">
        <f>SUMIFS('февраль 2024'!$G$6:$G$1413,'февраль 2024'!$D$6:$D$1413,$B201,'февраль 2024'!$J$6:$J$1413,D$1)</f>
        <v>0</v>
      </c>
      <c r="E201" s="80">
        <f>SUMIFS('февраль 2024'!$G$6:$G$1413,'февраль 2024'!$D$6:$D$1413,$B201,'февраль 2024'!$J$6:$J$1413,E$1)</f>
        <v>0</v>
      </c>
      <c r="F201" s="80">
        <f>SUMIFS('февраль 2024'!$G$6:$G$1413,'февраль 2024'!$D$6:$D$1413,$B201,'февраль 2024'!$J$6:$J$1413,F$1)</f>
        <v>0</v>
      </c>
      <c r="G201" s="80">
        <f>SUMIFS('февраль 2024'!$G$6:$G$1413,'февраль 2024'!$D$6:$D$1413,$B201,'февраль 2024'!$J$6:$J$1413,G$1)</f>
        <v>0</v>
      </c>
      <c r="H201" s="80">
        <f>SUMIFS('февраль 2024'!$G$6:$G$1413,'февраль 2024'!$D$6:$D$1413,$B201,'февраль 2024'!$J$6:$J$1413,H$1)</f>
        <v>0</v>
      </c>
      <c r="I201" s="80">
        <f>SUMIFS('февраль 2024'!$G$6:$G$1413,'февраль 2024'!$D$6:$D$1413,$B201,'февраль 2024'!$J$6:$J$1413,I$1)</f>
        <v>0</v>
      </c>
      <c r="J201" s="80">
        <f>SUMIFS('февраль 2024'!$G$6:$G$1413,'февраль 2024'!$D$6:$D$1413,$B201,'февраль 2024'!$J$6:$J$1413,J$1)</f>
        <v>0</v>
      </c>
      <c r="K201" s="80">
        <f>SUMIFS('февраль 2024'!$G$6:$G$1413,'февраль 2024'!$D$6:$D$1413,$B201,'февраль 2024'!$J$6:$J$1413,K$1)</f>
        <v>0</v>
      </c>
      <c r="L201" s="80">
        <f>SUMIFS('февраль 2024'!$G$6:$G$1413,'февраль 2024'!$D$6:$D$1413,$B201,'февраль 2024'!$J$6:$J$1413,L$1)</f>
        <v>0</v>
      </c>
      <c r="M201" s="80">
        <f>SUMIFS('февраль 2024'!$G$6:$G$1413,'февраль 2024'!$D$6:$D$1413,$B201,'февраль 2024'!$J$6:$J$1413,M$1)</f>
        <v>0</v>
      </c>
      <c r="N201" s="80">
        <f>SUMIFS('февраль 2024'!$G$6:$G$1413,'февраль 2024'!$D$6:$D$1413,$B201,'февраль 2024'!$J$6:$J$1413,N$1)</f>
        <v>0</v>
      </c>
      <c r="O201" s="80">
        <f>SUMIFS('февраль 2024'!$G$6:$G$1413,'февраль 2024'!$D$6:$D$1413,$B201,'февраль 2024'!$J$6:$J$1413,O$1)</f>
        <v>0</v>
      </c>
      <c r="P201" s="80">
        <f>SUMIFS('февраль 2024'!$G$6:$G$1413,'февраль 2024'!$D$6:$D$1413,$B201,'февраль 2024'!$J$6:$J$1413,P$1)</f>
        <v>0</v>
      </c>
      <c r="Q201" s="80">
        <f>SUMIFS('февраль 2024'!$G$6:$G$1413,'февраль 2024'!$D$6:$D$1413,$B201,'февраль 2024'!$J$6:$J$1413,Q$1)</f>
        <v>0</v>
      </c>
      <c r="R201" s="80">
        <f>SUMIFS('февраль 2024'!$G$6:$G$1413,'февраль 2024'!$D$6:$D$1413,$B201,'февраль 2024'!$J$6:$J$1413,R$1)</f>
        <v>0</v>
      </c>
      <c r="S201" s="80">
        <f>SUMIFS('февраль 2024'!$G$6:$G$1413,'февраль 2024'!$D$6:$D$1413,$B201,'февраль 2024'!$J$6:$J$1413,S$1)</f>
        <v>0</v>
      </c>
      <c r="T201" s="80">
        <f>SUMIFS('февраль 2024'!$G$6:$G$1413,'февраль 2024'!$D$6:$D$1413,$B201,'февраль 2024'!$J$6:$J$1413,T$1)</f>
        <v>0</v>
      </c>
      <c r="U201" s="80">
        <f>SUMIFS('февраль 2024'!$G$6:$G$1413,'февраль 2024'!$D$6:$D$1413,$B201,'февраль 2024'!$J$6:$J$1413,U$1)</f>
        <v>0</v>
      </c>
      <c r="V201" s="80">
        <f>SUMIFS('февраль 2024'!$G$6:$G$1413,'февраль 2024'!$D$6:$D$1413,$B201,'февраль 2024'!$J$6:$J$1413,V$1)</f>
        <v>0</v>
      </c>
      <c r="W201" s="80">
        <f>SUMIFS('февраль 2024'!$G$6:$G$1413,'февраль 2024'!$D$6:$D$1413,$B201,'февраль 2024'!$J$6:$J$1413,W$1)</f>
        <v>0</v>
      </c>
      <c r="X201" s="80">
        <f>SUMIFS('февраль 2024'!$G$6:$G$1413,'февраль 2024'!$D$6:$D$1413,$B201,'февраль 2024'!$J$6:$J$1413,X$1)</f>
        <v>0</v>
      </c>
      <c r="Y201" s="80">
        <f>SUMIFS('февраль 2024'!$G$6:$G$1413,'февраль 2024'!$D$6:$D$1413,$B201,'февраль 2024'!$J$6:$J$1413,Y$1)</f>
        <v>0</v>
      </c>
      <c r="Z201" s="80">
        <f>SUMIFS('февраль 2024'!$G$6:$G$1413,'февраль 2024'!$D$6:$D$1413,$B201,'февраль 2024'!$J$6:$J$1413,Z$1)</f>
        <v>0</v>
      </c>
      <c r="AA201" s="80">
        <f>SUMIFS('февраль 2024'!$G$6:$G$1413,'февраль 2024'!$D$6:$D$1413,$B201,'февраль 2024'!$J$6:$J$1413,AA$1)</f>
        <v>0</v>
      </c>
      <c r="AB201" s="80">
        <f>SUMIFS('февраль 2024'!$G$6:$G$1413,'февраль 2024'!$D$6:$D$1413,$B201,'февраль 2024'!$J$6:$J$1413,AB$1)</f>
        <v>0</v>
      </c>
      <c r="AC201" s="80">
        <f>SUMIFS('февраль 2024'!$G$6:$G$1413,'февраль 2024'!$D$6:$D$1413,$B201,'февраль 2024'!$J$6:$J$1413,AC$1)</f>
        <v>0</v>
      </c>
      <c r="AD201" s="80">
        <f>SUMIFS('февраль 2024'!$G$6:$G$1413,'февраль 2024'!$D$6:$D$1413,$B201,'февраль 2024'!$J$6:$J$1413,AD$1)</f>
        <v>0</v>
      </c>
      <c r="AE201" s="80">
        <f>SUMIFS('февраль 2024'!$G$6:$G$1413,'февраль 2024'!$D$6:$D$1413,$B201,'февраль 2024'!$J$6:$J$1413,AE$1)</f>
        <v>0</v>
      </c>
      <c r="AF201" s="80">
        <f>SUMIFS('февраль 2024'!$G$6:$G$1413,'февраль 2024'!$D$6:$D$1413,$B201,'февраль 2024'!$J$6:$J$1413,AF$1)</f>
        <v>0</v>
      </c>
      <c r="AG201" s="80">
        <f>SUMIFS('февраль 2024'!$G$6:$G$1413,'февраль 2024'!$D$6:$D$1413,$B201,'февраль 2024'!$J$6:$J$1413,AG$1)</f>
        <v>0</v>
      </c>
      <c r="AH201" s="80">
        <f>SUMIFS('февраль 2024'!$G$6:$G$1413,'февраль 2024'!$D$6:$D$1413,$B201,'февраль 2024'!$J$6:$J$1413,AH$1)</f>
        <v>0</v>
      </c>
      <c r="AI201" s="87"/>
    </row>
    <row r="202" spans="2:35" ht="15" hidden="1" customHeight="1" x14ac:dyDescent="0.25">
      <c r="B202" s="89"/>
      <c r="C202" s="88"/>
      <c r="D202" s="80">
        <f>SUMIFS('февраль 2024'!$G$6:$G$1413,'февраль 2024'!$D$6:$D$1413,$B202,'февраль 2024'!$J$6:$J$1413,D$1)</f>
        <v>0</v>
      </c>
      <c r="E202" s="80">
        <f>SUMIFS('февраль 2024'!$G$6:$G$1413,'февраль 2024'!$D$6:$D$1413,$B202,'февраль 2024'!$J$6:$J$1413,E$1)</f>
        <v>0</v>
      </c>
      <c r="F202" s="80">
        <f>SUMIFS('февраль 2024'!$G$6:$G$1413,'февраль 2024'!$D$6:$D$1413,$B202,'февраль 2024'!$J$6:$J$1413,F$1)</f>
        <v>0</v>
      </c>
      <c r="G202" s="80">
        <f>SUMIFS('февраль 2024'!$G$6:$G$1413,'февраль 2024'!$D$6:$D$1413,$B202,'февраль 2024'!$J$6:$J$1413,G$1)</f>
        <v>0</v>
      </c>
      <c r="H202" s="80">
        <f>SUMIFS('февраль 2024'!$G$6:$G$1413,'февраль 2024'!$D$6:$D$1413,$B202,'февраль 2024'!$J$6:$J$1413,H$1)</f>
        <v>0</v>
      </c>
      <c r="I202" s="80">
        <f>SUMIFS('февраль 2024'!$G$6:$G$1413,'февраль 2024'!$D$6:$D$1413,$B202,'февраль 2024'!$J$6:$J$1413,I$1)</f>
        <v>0</v>
      </c>
      <c r="J202" s="80">
        <f>SUMIFS('февраль 2024'!$G$6:$G$1413,'февраль 2024'!$D$6:$D$1413,$B202,'февраль 2024'!$J$6:$J$1413,J$1)</f>
        <v>0</v>
      </c>
      <c r="K202" s="80">
        <f>SUMIFS('февраль 2024'!$G$6:$G$1413,'февраль 2024'!$D$6:$D$1413,$B202,'февраль 2024'!$J$6:$J$1413,K$1)</f>
        <v>0</v>
      </c>
      <c r="L202" s="80">
        <f>SUMIFS('февраль 2024'!$G$6:$G$1413,'февраль 2024'!$D$6:$D$1413,$B202,'февраль 2024'!$J$6:$J$1413,L$1)</f>
        <v>0</v>
      </c>
      <c r="M202" s="80">
        <f>SUMIFS('февраль 2024'!$G$6:$G$1413,'февраль 2024'!$D$6:$D$1413,$B202,'февраль 2024'!$J$6:$J$1413,M$1)</f>
        <v>0</v>
      </c>
      <c r="N202" s="80">
        <f>SUMIFS('февраль 2024'!$G$6:$G$1413,'февраль 2024'!$D$6:$D$1413,$B202,'февраль 2024'!$J$6:$J$1413,N$1)</f>
        <v>0</v>
      </c>
      <c r="O202" s="80">
        <f>SUMIFS('февраль 2024'!$G$6:$G$1413,'февраль 2024'!$D$6:$D$1413,$B202,'февраль 2024'!$J$6:$J$1413,O$1)</f>
        <v>0</v>
      </c>
      <c r="P202" s="80">
        <f>SUMIFS('февраль 2024'!$G$6:$G$1413,'февраль 2024'!$D$6:$D$1413,$B202,'февраль 2024'!$J$6:$J$1413,P$1)</f>
        <v>0</v>
      </c>
      <c r="Q202" s="80">
        <f>SUMIFS('февраль 2024'!$G$6:$G$1413,'февраль 2024'!$D$6:$D$1413,$B202,'февраль 2024'!$J$6:$J$1413,Q$1)</f>
        <v>0</v>
      </c>
      <c r="R202" s="80">
        <f>SUMIFS('февраль 2024'!$G$6:$G$1413,'февраль 2024'!$D$6:$D$1413,$B202,'февраль 2024'!$J$6:$J$1413,R$1)</f>
        <v>0</v>
      </c>
      <c r="S202" s="80">
        <f>SUMIFS('февраль 2024'!$G$6:$G$1413,'февраль 2024'!$D$6:$D$1413,$B202,'февраль 2024'!$J$6:$J$1413,S$1)</f>
        <v>0</v>
      </c>
      <c r="T202" s="80">
        <f>SUMIFS('февраль 2024'!$G$6:$G$1413,'февраль 2024'!$D$6:$D$1413,$B202,'февраль 2024'!$J$6:$J$1413,T$1)</f>
        <v>0</v>
      </c>
      <c r="U202" s="80">
        <f>SUMIFS('февраль 2024'!$G$6:$G$1413,'февраль 2024'!$D$6:$D$1413,$B202,'февраль 2024'!$J$6:$J$1413,U$1)</f>
        <v>0</v>
      </c>
      <c r="V202" s="80">
        <f>SUMIFS('февраль 2024'!$G$6:$G$1413,'февраль 2024'!$D$6:$D$1413,$B202,'февраль 2024'!$J$6:$J$1413,V$1)</f>
        <v>0</v>
      </c>
      <c r="W202" s="80">
        <f>SUMIFS('февраль 2024'!$G$6:$G$1413,'февраль 2024'!$D$6:$D$1413,$B202,'февраль 2024'!$J$6:$J$1413,W$1)</f>
        <v>0</v>
      </c>
      <c r="X202" s="80">
        <f>SUMIFS('февраль 2024'!$G$6:$G$1413,'февраль 2024'!$D$6:$D$1413,$B202,'февраль 2024'!$J$6:$J$1413,X$1)</f>
        <v>0</v>
      </c>
      <c r="Y202" s="80">
        <f>SUMIFS('февраль 2024'!$G$6:$G$1413,'февраль 2024'!$D$6:$D$1413,$B202,'февраль 2024'!$J$6:$J$1413,Y$1)</f>
        <v>0</v>
      </c>
      <c r="Z202" s="80">
        <f>SUMIFS('февраль 2024'!$G$6:$G$1413,'февраль 2024'!$D$6:$D$1413,$B202,'февраль 2024'!$J$6:$J$1413,Z$1)</f>
        <v>0</v>
      </c>
      <c r="AA202" s="80">
        <f>SUMIFS('февраль 2024'!$G$6:$G$1413,'февраль 2024'!$D$6:$D$1413,$B202,'февраль 2024'!$J$6:$J$1413,AA$1)</f>
        <v>0</v>
      </c>
      <c r="AB202" s="80">
        <f>SUMIFS('февраль 2024'!$G$6:$G$1413,'февраль 2024'!$D$6:$D$1413,$B202,'февраль 2024'!$J$6:$J$1413,AB$1)</f>
        <v>0</v>
      </c>
      <c r="AC202" s="80">
        <f>SUMIFS('февраль 2024'!$G$6:$G$1413,'февраль 2024'!$D$6:$D$1413,$B202,'февраль 2024'!$J$6:$J$1413,AC$1)</f>
        <v>0</v>
      </c>
      <c r="AD202" s="80">
        <f>SUMIFS('февраль 2024'!$G$6:$G$1413,'февраль 2024'!$D$6:$D$1413,$B202,'февраль 2024'!$J$6:$J$1413,AD$1)</f>
        <v>0</v>
      </c>
      <c r="AE202" s="80">
        <f>SUMIFS('февраль 2024'!$G$6:$G$1413,'февраль 2024'!$D$6:$D$1413,$B202,'февраль 2024'!$J$6:$J$1413,AE$1)</f>
        <v>0</v>
      </c>
      <c r="AF202" s="80">
        <f>SUMIFS('февраль 2024'!$G$6:$G$1413,'февраль 2024'!$D$6:$D$1413,$B202,'февраль 2024'!$J$6:$J$1413,AF$1)</f>
        <v>0</v>
      </c>
      <c r="AG202" s="80">
        <f>SUMIFS('февраль 2024'!$G$6:$G$1413,'февраль 2024'!$D$6:$D$1413,$B202,'февраль 2024'!$J$6:$J$1413,AG$1)</f>
        <v>0</v>
      </c>
      <c r="AH202" s="80">
        <f>SUMIFS('февраль 2024'!$G$6:$G$1413,'февраль 2024'!$D$6:$D$1413,$B202,'февраль 2024'!$J$6:$J$1413,AH$1)</f>
        <v>0</v>
      </c>
      <c r="AI202" s="87"/>
    </row>
    <row r="203" spans="2:35" ht="15" hidden="1" customHeight="1" x14ac:dyDescent="0.25">
      <c r="B203" s="89"/>
      <c r="C203" s="88"/>
      <c r="D203" s="80">
        <f>SUMIFS('февраль 2024'!$G$6:$G$1413,'февраль 2024'!$D$6:$D$1413,$B203,'февраль 2024'!$J$6:$J$1413,D$1)</f>
        <v>0</v>
      </c>
      <c r="E203" s="80">
        <f>SUMIFS('февраль 2024'!$G$6:$G$1413,'февраль 2024'!$D$6:$D$1413,$B203,'февраль 2024'!$J$6:$J$1413,E$1)</f>
        <v>0</v>
      </c>
      <c r="F203" s="80">
        <f>SUMIFS('февраль 2024'!$G$6:$G$1413,'февраль 2024'!$D$6:$D$1413,$B203,'февраль 2024'!$J$6:$J$1413,F$1)</f>
        <v>0</v>
      </c>
      <c r="G203" s="80">
        <f>SUMIFS('февраль 2024'!$G$6:$G$1413,'февраль 2024'!$D$6:$D$1413,$B203,'февраль 2024'!$J$6:$J$1413,G$1)</f>
        <v>0</v>
      </c>
      <c r="H203" s="80">
        <f>SUMIFS('февраль 2024'!$G$6:$G$1413,'февраль 2024'!$D$6:$D$1413,$B203,'февраль 2024'!$J$6:$J$1413,H$1)</f>
        <v>0</v>
      </c>
      <c r="I203" s="80">
        <f>SUMIFS('февраль 2024'!$G$6:$G$1413,'февраль 2024'!$D$6:$D$1413,$B203,'февраль 2024'!$J$6:$J$1413,I$1)</f>
        <v>0</v>
      </c>
      <c r="J203" s="80">
        <f>SUMIFS('февраль 2024'!$G$6:$G$1413,'февраль 2024'!$D$6:$D$1413,$B203,'февраль 2024'!$J$6:$J$1413,J$1)</f>
        <v>0</v>
      </c>
      <c r="K203" s="80">
        <f>SUMIFS('февраль 2024'!$G$6:$G$1413,'февраль 2024'!$D$6:$D$1413,$B203,'февраль 2024'!$J$6:$J$1413,K$1)</f>
        <v>0</v>
      </c>
      <c r="L203" s="80">
        <f>SUMIFS('февраль 2024'!$G$6:$G$1413,'февраль 2024'!$D$6:$D$1413,$B203,'февраль 2024'!$J$6:$J$1413,L$1)</f>
        <v>0</v>
      </c>
      <c r="M203" s="80">
        <f>SUMIFS('февраль 2024'!$G$6:$G$1413,'февраль 2024'!$D$6:$D$1413,$B203,'февраль 2024'!$J$6:$J$1413,M$1)</f>
        <v>0</v>
      </c>
      <c r="N203" s="80">
        <f>SUMIFS('февраль 2024'!$G$6:$G$1413,'февраль 2024'!$D$6:$D$1413,$B203,'февраль 2024'!$J$6:$J$1413,N$1)</f>
        <v>0</v>
      </c>
      <c r="O203" s="80">
        <f>SUMIFS('февраль 2024'!$G$6:$G$1413,'февраль 2024'!$D$6:$D$1413,$B203,'февраль 2024'!$J$6:$J$1413,O$1)</f>
        <v>0</v>
      </c>
      <c r="P203" s="80">
        <f>SUMIFS('февраль 2024'!$G$6:$G$1413,'февраль 2024'!$D$6:$D$1413,$B203,'февраль 2024'!$J$6:$J$1413,P$1)</f>
        <v>0</v>
      </c>
      <c r="Q203" s="80">
        <f>SUMIFS('февраль 2024'!$G$6:$G$1413,'февраль 2024'!$D$6:$D$1413,$B203,'февраль 2024'!$J$6:$J$1413,Q$1)</f>
        <v>0</v>
      </c>
      <c r="R203" s="80">
        <f>SUMIFS('февраль 2024'!$G$6:$G$1413,'февраль 2024'!$D$6:$D$1413,$B203,'февраль 2024'!$J$6:$J$1413,R$1)</f>
        <v>0</v>
      </c>
      <c r="S203" s="80">
        <f>SUMIFS('февраль 2024'!$G$6:$G$1413,'февраль 2024'!$D$6:$D$1413,$B203,'февраль 2024'!$J$6:$J$1413,S$1)</f>
        <v>0</v>
      </c>
      <c r="T203" s="80">
        <f>SUMIFS('февраль 2024'!$G$6:$G$1413,'февраль 2024'!$D$6:$D$1413,$B203,'февраль 2024'!$J$6:$J$1413,T$1)</f>
        <v>0</v>
      </c>
      <c r="U203" s="80">
        <f>SUMIFS('февраль 2024'!$G$6:$G$1413,'февраль 2024'!$D$6:$D$1413,$B203,'февраль 2024'!$J$6:$J$1413,U$1)</f>
        <v>0</v>
      </c>
      <c r="V203" s="80">
        <f>SUMIFS('февраль 2024'!$G$6:$G$1413,'февраль 2024'!$D$6:$D$1413,$B203,'февраль 2024'!$J$6:$J$1413,V$1)</f>
        <v>0</v>
      </c>
      <c r="W203" s="80">
        <f>SUMIFS('февраль 2024'!$G$6:$G$1413,'февраль 2024'!$D$6:$D$1413,$B203,'февраль 2024'!$J$6:$J$1413,W$1)</f>
        <v>0</v>
      </c>
      <c r="X203" s="80">
        <f>SUMIFS('февраль 2024'!$G$6:$G$1413,'февраль 2024'!$D$6:$D$1413,$B203,'февраль 2024'!$J$6:$J$1413,X$1)</f>
        <v>0</v>
      </c>
      <c r="Y203" s="80">
        <f>SUMIFS('февраль 2024'!$G$6:$G$1413,'февраль 2024'!$D$6:$D$1413,$B203,'февраль 2024'!$J$6:$J$1413,Y$1)</f>
        <v>0</v>
      </c>
      <c r="Z203" s="80">
        <f>SUMIFS('февраль 2024'!$G$6:$G$1413,'февраль 2024'!$D$6:$D$1413,$B203,'февраль 2024'!$J$6:$J$1413,Z$1)</f>
        <v>0</v>
      </c>
      <c r="AA203" s="80">
        <f>SUMIFS('февраль 2024'!$G$6:$G$1413,'февраль 2024'!$D$6:$D$1413,$B203,'февраль 2024'!$J$6:$J$1413,AA$1)</f>
        <v>0</v>
      </c>
      <c r="AB203" s="80">
        <f>SUMIFS('февраль 2024'!$G$6:$G$1413,'февраль 2024'!$D$6:$D$1413,$B203,'февраль 2024'!$J$6:$J$1413,AB$1)</f>
        <v>0</v>
      </c>
      <c r="AC203" s="80">
        <f>SUMIFS('февраль 2024'!$G$6:$G$1413,'февраль 2024'!$D$6:$D$1413,$B203,'февраль 2024'!$J$6:$J$1413,AC$1)</f>
        <v>0</v>
      </c>
      <c r="AD203" s="80">
        <f>SUMIFS('февраль 2024'!$G$6:$G$1413,'февраль 2024'!$D$6:$D$1413,$B203,'февраль 2024'!$J$6:$J$1413,AD$1)</f>
        <v>0</v>
      </c>
      <c r="AE203" s="80">
        <f>SUMIFS('февраль 2024'!$G$6:$G$1413,'февраль 2024'!$D$6:$D$1413,$B203,'февраль 2024'!$J$6:$J$1413,AE$1)</f>
        <v>0</v>
      </c>
      <c r="AF203" s="80">
        <f>SUMIFS('февраль 2024'!$G$6:$G$1413,'февраль 2024'!$D$6:$D$1413,$B203,'февраль 2024'!$J$6:$J$1413,AF$1)</f>
        <v>0</v>
      </c>
      <c r="AG203" s="80">
        <f>SUMIFS('февраль 2024'!$G$6:$G$1413,'февраль 2024'!$D$6:$D$1413,$B203,'февраль 2024'!$J$6:$J$1413,AG$1)</f>
        <v>0</v>
      </c>
      <c r="AH203" s="80">
        <f>SUMIFS('февраль 2024'!$G$6:$G$1413,'февраль 2024'!$D$6:$D$1413,$B203,'февраль 2024'!$J$6:$J$1413,AH$1)</f>
        <v>0</v>
      </c>
      <c r="AI203" s="87"/>
    </row>
    <row r="204" spans="2:35" ht="15" hidden="1" customHeight="1" x14ac:dyDescent="0.25">
      <c r="B204" s="89"/>
      <c r="C204" s="88"/>
      <c r="D204" s="80">
        <f>SUMIFS('февраль 2024'!$G$6:$G$1413,'февраль 2024'!$D$6:$D$1413,$B204,'февраль 2024'!$J$6:$J$1413,D$1)</f>
        <v>0</v>
      </c>
      <c r="E204" s="80">
        <f>SUMIFS('февраль 2024'!$G$6:$G$1413,'февраль 2024'!$D$6:$D$1413,$B204,'февраль 2024'!$J$6:$J$1413,E$1)</f>
        <v>0</v>
      </c>
      <c r="F204" s="80">
        <f>SUMIFS('февраль 2024'!$G$6:$G$1413,'февраль 2024'!$D$6:$D$1413,$B204,'февраль 2024'!$J$6:$J$1413,F$1)</f>
        <v>0</v>
      </c>
      <c r="G204" s="80">
        <f>SUMIFS('февраль 2024'!$G$6:$G$1413,'февраль 2024'!$D$6:$D$1413,$B204,'февраль 2024'!$J$6:$J$1413,G$1)</f>
        <v>0</v>
      </c>
      <c r="H204" s="80">
        <f>SUMIFS('февраль 2024'!$G$6:$G$1413,'февраль 2024'!$D$6:$D$1413,$B204,'февраль 2024'!$J$6:$J$1413,H$1)</f>
        <v>0</v>
      </c>
      <c r="I204" s="80">
        <f>SUMIFS('февраль 2024'!$G$6:$G$1413,'февраль 2024'!$D$6:$D$1413,$B204,'февраль 2024'!$J$6:$J$1413,I$1)</f>
        <v>0</v>
      </c>
      <c r="J204" s="80">
        <f>SUMIFS('февраль 2024'!$G$6:$G$1413,'февраль 2024'!$D$6:$D$1413,$B204,'февраль 2024'!$J$6:$J$1413,J$1)</f>
        <v>0</v>
      </c>
      <c r="K204" s="80">
        <f>SUMIFS('февраль 2024'!$G$6:$G$1413,'февраль 2024'!$D$6:$D$1413,$B204,'февраль 2024'!$J$6:$J$1413,K$1)</f>
        <v>0</v>
      </c>
      <c r="L204" s="80">
        <f>SUMIFS('февраль 2024'!$G$6:$G$1413,'февраль 2024'!$D$6:$D$1413,$B204,'февраль 2024'!$J$6:$J$1413,L$1)</f>
        <v>0</v>
      </c>
      <c r="M204" s="80">
        <f>SUMIFS('февраль 2024'!$G$6:$G$1413,'февраль 2024'!$D$6:$D$1413,$B204,'февраль 2024'!$J$6:$J$1413,M$1)</f>
        <v>0</v>
      </c>
      <c r="N204" s="80">
        <f>SUMIFS('февраль 2024'!$G$6:$G$1413,'февраль 2024'!$D$6:$D$1413,$B204,'февраль 2024'!$J$6:$J$1413,N$1)</f>
        <v>0</v>
      </c>
      <c r="O204" s="80">
        <f>SUMIFS('февраль 2024'!$G$6:$G$1413,'февраль 2024'!$D$6:$D$1413,$B204,'февраль 2024'!$J$6:$J$1413,O$1)</f>
        <v>0</v>
      </c>
      <c r="P204" s="80">
        <f>SUMIFS('февраль 2024'!$G$6:$G$1413,'февраль 2024'!$D$6:$D$1413,$B204,'февраль 2024'!$J$6:$J$1413,P$1)</f>
        <v>0</v>
      </c>
      <c r="Q204" s="80">
        <f>SUMIFS('февраль 2024'!$G$6:$G$1413,'февраль 2024'!$D$6:$D$1413,$B204,'февраль 2024'!$J$6:$J$1413,Q$1)</f>
        <v>0</v>
      </c>
      <c r="R204" s="80">
        <f>SUMIFS('февраль 2024'!$G$6:$G$1413,'февраль 2024'!$D$6:$D$1413,$B204,'февраль 2024'!$J$6:$J$1413,R$1)</f>
        <v>0</v>
      </c>
      <c r="S204" s="80">
        <f>SUMIFS('февраль 2024'!$G$6:$G$1413,'февраль 2024'!$D$6:$D$1413,$B204,'февраль 2024'!$J$6:$J$1413,S$1)</f>
        <v>0</v>
      </c>
      <c r="T204" s="80">
        <f>SUMIFS('февраль 2024'!$G$6:$G$1413,'февраль 2024'!$D$6:$D$1413,$B204,'февраль 2024'!$J$6:$J$1413,T$1)</f>
        <v>0</v>
      </c>
      <c r="U204" s="80">
        <f>SUMIFS('февраль 2024'!$G$6:$G$1413,'февраль 2024'!$D$6:$D$1413,$B204,'февраль 2024'!$J$6:$J$1413,U$1)</f>
        <v>0</v>
      </c>
      <c r="V204" s="80">
        <f>SUMIFS('февраль 2024'!$G$6:$G$1413,'февраль 2024'!$D$6:$D$1413,$B204,'февраль 2024'!$J$6:$J$1413,V$1)</f>
        <v>0</v>
      </c>
      <c r="W204" s="80">
        <f>SUMIFS('февраль 2024'!$G$6:$G$1413,'февраль 2024'!$D$6:$D$1413,$B204,'февраль 2024'!$J$6:$J$1413,W$1)</f>
        <v>0</v>
      </c>
      <c r="X204" s="80">
        <f>SUMIFS('февраль 2024'!$G$6:$G$1413,'февраль 2024'!$D$6:$D$1413,$B204,'февраль 2024'!$J$6:$J$1413,X$1)</f>
        <v>0</v>
      </c>
      <c r="Y204" s="80">
        <f>SUMIFS('февраль 2024'!$G$6:$G$1413,'февраль 2024'!$D$6:$D$1413,$B204,'февраль 2024'!$J$6:$J$1413,Y$1)</f>
        <v>0</v>
      </c>
      <c r="Z204" s="80">
        <f>SUMIFS('февраль 2024'!$G$6:$G$1413,'февраль 2024'!$D$6:$D$1413,$B204,'февраль 2024'!$J$6:$J$1413,Z$1)</f>
        <v>0</v>
      </c>
      <c r="AA204" s="80">
        <f>SUMIFS('февраль 2024'!$G$6:$G$1413,'февраль 2024'!$D$6:$D$1413,$B204,'февраль 2024'!$J$6:$J$1413,AA$1)</f>
        <v>0</v>
      </c>
      <c r="AB204" s="80">
        <f>SUMIFS('февраль 2024'!$G$6:$G$1413,'февраль 2024'!$D$6:$D$1413,$B204,'февраль 2024'!$J$6:$J$1413,AB$1)</f>
        <v>0</v>
      </c>
      <c r="AC204" s="80">
        <f>SUMIFS('февраль 2024'!$G$6:$G$1413,'февраль 2024'!$D$6:$D$1413,$B204,'февраль 2024'!$J$6:$J$1413,AC$1)</f>
        <v>0</v>
      </c>
      <c r="AD204" s="80">
        <f>SUMIFS('февраль 2024'!$G$6:$G$1413,'февраль 2024'!$D$6:$D$1413,$B204,'февраль 2024'!$J$6:$J$1413,AD$1)</f>
        <v>0</v>
      </c>
      <c r="AE204" s="80">
        <f>SUMIFS('февраль 2024'!$G$6:$G$1413,'февраль 2024'!$D$6:$D$1413,$B204,'февраль 2024'!$J$6:$J$1413,AE$1)</f>
        <v>0</v>
      </c>
      <c r="AF204" s="80">
        <f>SUMIFS('февраль 2024'!$G$6:$G$1413,'февраль 2024'!$D$6:$D$1413,$B204,'февраль 2024'!$J$6:$J$1413,AF$1)</f>
        <v>0</v>
      </c>
      <c r="AG204" s="80">
        <f>SUMIFS('февраль 2024'!$G$6:$G$1413,'февраль 2024'!$D$6:$D$1413,$B204,'февраль 2024'!$J$6:$J$1413,AG$1)</f>
        <v>0</v>
      </c>
      <c r="AH204" s="80">
        <f>SUMIFS('февраль 2024'!$G$6:$G$1413,'февраль 2024'!$D$6:$D$1413,$B204,'февраль 2024'!$J$6:$J$1413,AH$1)</f>
        <v>0</v>
      </c>
      <c r="AI204" s="87"/>
    </row>
    <row r="205" spans="2:35" ht="15" hidden="1" customHeight="1" x14ac:dyDescent="0.25">
      <c r="B205" s="89"/>
      <c r="C205" s="88"/>
      <c r="D205" s="80">
        <f>SUMIFS('февраль 2024'!$G$6:$G$1413,'февраль 2024'!$D$6:$D$1413,$B205,'февраль 2024'!$J$6:$J$1413,D$1)</f>
        <v>0</v>
      </c>
      <c r="E205" s="80">
        <f>SUMIFS('февраль 2024'!$G$6:$G$1413,'февраль 2024'!$D$6:$D$1413,$B205,'февраль 2024'!$J$6:$J$1413,E$1)</f>
        <v>0</v>
      </c>
      <c r="F205" s="80">
        <f>SUMIFS('февраль 2024'!$G$6:$G$1413,'февраль 2024'!$D$6:$D$1413,$B205,'февраль 2024'!$J$6:$J$1413,F$1)</f>
        <v>0</v>
      </c>
      <c r="G205" s="80">
        <f>SUMIFS('февраль 2024'!$G$6:$G$1413,'февраль 2024'!$D$6:$D$1413,$B205,'февраль 2024'!$J$6:$J$1413,G$1)</f>
        <v>0</v>
      </c>
      <c r="H205" s="80">
        <f>SUMIFS('февраль 2024'!$G$6:$G$1413,'февраль 2024'!$D$6:$D$1413,$B205,'февраль 2024'!$J$6:$J$1413,H$1)</f>
        <v>0</v>
      </c>
      <c r="I205" s="80">
        <f>SUMIFS('февраль 2024'!$G$6:$G$1413,'февраль 2024'!$D$6:$D$1413,$B205,'февраль 2024'!$J$6:$J$1413,I$1)</f>
        <v>0</v>
      </c>
      <c r="J205" s="80">
        <f>SUMIFS('февраль 2024'!$G$6:$G$1413,'февраль 2024'!$D$6:$D$1413,$B205,'февраль 2024'!$J$6:$J$1413,J$1)</f>
        <v>0</v>
      </c>
      <c r="K205" s="80">
        <f>SUMIFS('февраль 2024'!$G$6:$G$1413,'февраль 2024'!$D$6:$D$1413,$B205,'февраль 2024'!$J$6:$J$1413,K$1)</f>
        <v>0</v>
      </c>
      <c r="L205" s="80">
        <f>SUMIFS('февраль 2024'!$G$6:$G$1413,'февраль 2024'!$D$6:$D$1413,$B205,'февраль 2024'!$J$6:$J$1413,L$1)</f>
        <v>0</v>
      </c>
      <c r="M205" s="80">
        <f>SUMIFS('февраль 2024'!$G$6:$G$1413,'февраль 2024'!$D$6:$D$1413,$B205,'февраль 2024'!$J$6:$J$1413,M$1)</f>
        <v>0</v>
      </c>
      <c r="N205" s="80">
        <f>SUMIFS('февраль 2024'!$G$6:$G$1413,'февраль 2024'!$D$6:$D$1413,$B205,'февраль 2024'!$J$6:$J$1413,N$1)</f>
        <v>0</v>
      </c>
      <c r="O205" s="80">
        <f>SUMIFS('февраль 2024'!$G$6:$G$1413,'февраль 2024'!$D$6:$D$1413,$B205,'февраль 2024'!$J$6:$J$1413,O$1)</f>
        <v>0</v>
      </c>
      <c r="P205" s="80">
        <f>SUMIFS('февраль 2024'!$G$6:$G$1413,'февраль 2024'!$D$6:$D$1413,$B205,'февраль 2024'!$J$6:$J$1413,P$1)</f>
        <v>0</v>
      </c>
      <c r="Q205" s="80">
        <f>SUMIFS('февраль 2024'!$G$6:$G$1413,'февраль 2024'!$D$6:$D$1413,$B205,'февраль 2024'!$J$6:$J$1413,Q$1)</f>
        <v>0</v>
      </c>
      <c r="R205" s="80">
        <f>SUMIFS('февраль 2024'!$G$6:$G$1413,'февраль 2024'!$D$6:$D$1413,$B205,'февраль 2024'!$J$6:$J$1413,R$1)</f>
        <v>0</v>
      </c>
      <c r="S205" s="80">
        <f>SUMIFS('февраль 2024'!$G$6:$G$1413,'февраль 2024'!$D$6:$D$1413,$B205,'февраль 2024'!$J$6:$J$1413,S$1)</f>
        <v>0</v>
      </c>
      <c r="T205" s="80">
        <f>SUMIFS('февраль 2024'!$G$6:$G$1413,'февраль 2024'!$D$6:$D$1413,$B205,'февраль 2024'!$J$6:$J$1413,T$1)</f>
        <v>0</v>
      </c>
      <c r="U205" s="80">
        <f>SUMIFS('февраль 2024'!$G$6:$G$1413,'февраль 2024'!$D$6:$D$1413,$B205,'февраль 2024'!$J$6:$J$1413,U$1)</f>
        <v>0</v>
      </c>
      <c r="V205" s="80">
        <f>SUMIFS('февраль 2024'!$G$6:$G$1413,'февраль 2024'!$D$6:$D$1413,$B205,'февраль 2024'!$J$6:$J$1413,V$1)</f>
        <v>0</v>
      </c>
      <c r="W205" s="80">
        <f>SUMIFS('февраль 2024'!$G$6:$G$1413,'февраль 2024'!$D$6:$D$1413,$B205,'февраль 2024'!$J$6:$J$1413,W$1)</f>
        <v>0</v>
      </c>
      <c r="X205" s="80">
        <f>SUMIFS('февраль 2024'!$G$6:$G$1413,'февраль 2024'!$D$6:$D$1413,$B205,'февраль 2024'!$J$6:$J$1413,X$1)</f>
        <v>0</v>
      </c>
      <c r="Y205" s="80">
        <f>SUMIFS('февраль 2024'!$G$6:$G$1413,'февраль 2024'!$D$6:$D$1413,$B205,'февраль 2024'!$J$6:$J$1413,Y$1)</f>
        <v>0</v>
      </c>
      <c r="Z205" s="80">
        <f>SUMIFS('февраль 2024'!$G$6:$G$1413,'февраль 2024'!$D$6:$D$1413,$B205,'февраль 2024'!$J$6:$J$1413,Z$1)</f>
        <v>0</v>
      </c>
      <c r="AA205" s="80">
        <f>SUMIFS('февраль 2024'!$G$6:$G$1413,'февраль 2024'!$D$6:$D$1413,$B205,'февраль 2024'!$J$6:$J$1413,AA$1)</f>
        <v>0</v>
      </c>
      <c r="AB205" s="80">
        <f>SUMIFS('февраль 2024'!$G$6:$G$1413,'февраль 2024'!$D$6:$D$1413,$B205,'февраль 2024'!$J$6:$J$1413,AB$1)</f>
        <v>0</v>
      </c>
      <c r="AC205" s="80">
        <f>SUMIFS('февраль 2024'!$G$6:$G$1413,'февраль 2024'!$D$6:$D$1413,$B205,'февраль 2024'!$J$6:$J$1413,AC$1)</f>
        <v>0</v>
      </c>
      <c r="AD205" s="80">
        <f>SUMIFS('февраль 2024'!$G$6:$G$1413,'февраль 2024'!$D$6:$D$1413,$B205,'февраль 2024'!$J$6:$J$1413,AD$1)</f>
        <v>0</v>
      </c>
      <c r="AE205" s="80">
        <f>SUMIFS('февраль 2024'!$G$6:$G$1413,'февраль 2024'!$D$6:$D$1413,$B205,'февраль 2024'!$J$6:$J$1413,AE$1)</f>
        <v>0</v>
      </c>
      <c r="AF205" s="80">
        <f>SUMIFS('февраль 2024'!$G$6:$G$1413,'февраль 2024'!$D$6:$D$1413,$B205,'февраль 2024'!$J$6:$J$1413,AF$1)</f>
        <v>0</v>
      </c>
      <c r="AG205" s="80">
        <f>SUMIFS('февраль 2024'!$G$6:$G$1413,'февраль 2024'!$D$6:$D$1413,$B205,'февраль 2024'!$J$6:$J$1413,AG$1)</f>
        <v>0</v>
      </c>
      <c r="AH205" s="80">
        <f>SUMIFS('февраль 2024'!$G$6:$G$1413,'февраль 2024'!$D$6:$D$1413,$B205,'февраль 2024'!$J$6:$J$1413,AH$1)</f>
        <v>0</v>
      </c>
      <c r="AI205" s="87"/>
    </row>
    <row r="206" spans="2:35" ht="15" hidden="1" customHeight="1" thickBot="1" x14ac:dyDescent="0.3">
      <c r="B206" s="89"/>
      <c r="C206" s="96"/>
      <c r="D206" s="80">
        <f>SUMIFS('февраль 2024'!$G$6:$G$1413,'февраль 2024'!$D$6:$D$1413,$B206,'февраль 2024'!$J$6:$J$1413,D$1)</f>
        <v>0</v>
      </c>
      <c r="E206" s="80">
        <f>SUMIFS('февраль 2024'!$G$6:$G$1413,'февраль 2024'!$D$6:$D$1413,$B206,'февраль 2024'!$J$6:$J$1413,E$1)</f>
        <v>0</v>
      </c>
      <c r="F206" s="80">
        <f>SUMIFS('февраль 2024'!$G$6:$G$1413,'февраль 2024'!$D$6:$D$1413,$B206,'февраль 2024'!$J$6:$J$1413,F$1)</f>
        <v>0</v>
      </c>
      <c r="G206" s="80">
        <f>SUMIFS('февраль 2024'!$G$6:$G$1413,'февраль 2024'!$D$6:$D$1413,$B206,'февраль 2024'!$J$6:$J$1413,G$1)</f>
        <v>0</v>
      </c>
      <c r="H206" s="80">
        <f>SUMIFS('февраль 2024'!$G$6:$G$1413,'февраль 2024'!$D$6:$D$1413,$B206,'февраль 2024'!$J$6:$J$1413,H$1)</f>
        <v>0</v>
      </c>
      <c r="I206" s="80">
        <f>SUMIFS('февраль 2024'!$G$6:$G$1413,'февраль 2024'!$D$6:$D$1413,$B206,'февраль 2024'!$J$6:$J$1413,I$1)</f>
        <v>0</v>
      </c>
      <c r="J206" s="80">
        <f>SUMIFS('февраль 2024'!$G$6:$G$1413,'февраль 2024'!$D$6:$D$1413,$B206,'февраль 2024'!$J$6:$J$1413,J$1)</f>
        <v>0</v>
      </c>
      <c r="K206" s="80">
        <f>SUMIFS('февраль 2024'!$G$6:$G$1413,'февраль 2024'!$D$6:$D$1413,$B206,'февраль 2024'!$J$6:$J$1413,K$1)</f>
        <v>0</v>
      </c>
      <c r="L206" s="80">
        <f>SUMIFS('февраль 2024'!$G$6:$G$1413,'февраль 2024'!$D$6:$D$1413,$B206,'февраль 2024'!$J$6:$J$1413,L$1)</f>
        <v>0</v>
      </c>
      <c r="M206" s="80">
        <f>SUMIFS('февраль 2024'!$G$6:$G$1413,'февраль 2024'!$D$6:$D$1413,$B206,'февраль 2024'!$J$6:$J$1413,M$1)</f>
        <v>0</v>
      </c>
      <c r="N206" s="80">
        <f>SUMIFS('февраль 2024'!$G$6:$G$1413,'февраль 2024'!$D$6:$D$1413,$B206,'февраль 2024'!$J$6:$J$1413,N$1)</f>
        <v>0</v>
      </c>
      <c r="O206" s="80">
        <f>SUMIFS('февраль 2024'!$G$6:$G$1413,'февраль 2024'!$D$6:$D$1413,$B206,'февраль 2024'!$J$6:$J$1413,O$1)</f>
        <v>0</v>
      </c>
      <c r="P206" s="80">
        <f>SUMIFS('февраль 2024'!$G$6:$G$1413,'февраль 2024'!$D$6:$D$1413,$B206,'февраль 2024'!$J$6:$J$1413,P$1)</f>
        <v>0</v>
      </c>
      <c r="Q206" s="80">
        <f>SUMIFS('февраль 2024'!$G$6:$G$1413,'февраль 2024'!$D$6:$D$1413,$B206,'февраль 2024'!$J$6:$J$1413,Q$1)</f>
        <v>0</v>
      </c>
      <c r="R206" s="80">
        <f>SUMIFS('февраль 2024'!$G$6:$G$1413,'февраль 2024'!$D$6:$D$1413,$B206,'февраль 2024'!$J$6:$J$1413,R$1)</f>
        <v>0</v>
      </c>
      <c r="S206" s="80">
        <f>SUMIFS('февраль 2024'!$G$6:$G$1413,'февраль 2024'!$D$6:$D$1413,$B206,'февраль 2024'!$J$6:$J$1413,S$1)</f>
        <v>0</v>
      </c>
      <c r="T206" s="80">
        <f>SUMIFS('февраль 2024'!$G$6:$G$1413,'февраль 2024'!$D$6:$D$1413,$B206,'февраль 2024'!$J$6:$J$1413,T$1)</f>
        <v>0</v>
      </c>
      <c r="U206" s="80">
        <f>SUMIFS('февраль 2024'!$G$6:$G$1413,'февраль 2024'!$D$6:$D$1413,$B206,'февраль 2024'!$J$6:$J$1413,U$1)</f>
        <v>0</v>
      </c>
      <c r="V206" s="80">
        <f>SUMIFS('февраль 2024'!$G$6:$G$1413,'февраль 2024'!$D$6:$D$1413,$B206,'февраль 2024'!$J$6:$J$1413,V$1)</f>
        <v>0</v>
      </c>
      <c r="W206" s="80">
        <f>SUMIFS('февраль 2024'!$G$6:$G$1413,'февраль 2024'!$D$6:$D$1413,$B206,'февраль 2024'!$J$6:$J$1413,W$1)</f>
        <v>0</v>
      </c>
      <c r="X206" s="80">
        <f>SUMIFS('февраль 2024'!$G$6:$G$1413,'февраль 2024'!$D$6:$D$1413,$B206,'февраль 2024'!$J$6:$J$1413,X$1)</f>
        <v>0</v>
      </c>
      <c r="Y206" s="80">
        <f>SUMIFS('февраль 2024'!$G$6:$G$1413,'февраль 2024'!$D$6:$D$1413,$B206,'февраль 2024'!$J$6:$J$1413,Y$1)</f>
        <v>0</v>
      </c>
      <c r="Z206" s="80">
        <f>SUMIFS('февраль 2024'!$G$6:$G$1413,'февраль 2024'!$D$6:$D$1413,$B206,'февраль 2024'!$J$6:$J$1413,Z$1)</f>
        <v>0</v>
      </c>
      <c r="AA206" s="80">
        <f>SUMIFS('февраль 2024'!$G$6:$G$1413,'февраль 2024'!$D$6:$D$1413,$B206,'февраль 2024'!$J$6:$J$1413,AA$1)</f>
        <v>0</v>
      </c>
      <c r="AB206" s="80">
        <f>SUMIFS('февраль 2024'!$G$6:$G$1413,'февраль 2024'!$D$6:$D$1413,$B206,'февраль 2024'!$J$6:$J$1413,AB$1)</f>
        <v>0</v>
      </c>
      <c r="AC206" s="80">
        <f>SUMIFS('февраль 2024'!$G$6:$G$1413,'февраль 2024'!$D$6:$D$1413,$B206,'февраль 2024'!$J$6:$J$1413,AC$1)</f>
        <v>0</v>
      </c>
      <c r="AD206" s="80">
        <f>SUMIFS('февраль 2024'!$G$6:$G$1413,'февраль 2024'!$D$6:$D$1413,$B206,'февраль 2024'!$J$6:$J$1413,AD$1)</f>
        <v>0</v>
      </c>
      <c r="AE206" s="80">
        <f>SUMIFS('февраль 2024'!$G$6:$G$1413,'февраль 2024'!$D$6:$D$1413,$B206,'февраль 2024'!$J$6:$J$1413,AE$1)</f>
        <v>0</v>
      </c>
      <c r="AF206" s="80">
        <f>SUMIFS('февраль 2024'!$G$6:$G$1413,'февраль 2024'!$D$6:$D$1413,$B206,'февраль 2024'!$J$6:$J$1413,AF$1)</f>
        <v>0</v>
      </c>
      <c r="AG206" s="80">
        <f>SUMIFS('февраль 2024'!$G$6:$G$1413,'февраль 2024'!$D$6:$D$1413,$B206,'февраль 2024'!$J$6:$J$1413,AG$1)</f>
        <v>0</v>
      </c>
      <c r="AH206" s="80">
        <f>SUMIFS('февраль 2024'!$G$6:$G$1413,'февраль 2024'!$D$6:$D$1413,$B206,'февраль 2024'!$J$6:$J$1413,AH$1)</f>
        <v>0</v>
      </c>
      <c r="AI206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800-000000000000}">
          <x14:formula1>
            <xm:f>справочник!$E$1:$E$2+справочник!$E$2:$E$37</xm:f>
          </x14:formula1>
          <xm:sqref>B187:B206</xm:sqref>
        </x14:dataValidation>
        <x14:dataValidation type="list" allowBlank="1" showInputMessage="1" showErrorMessage="1" xr:uid="{00000000-0002-0000-1800-000001000000}">
          <x14:formula1>
            <xm:f>справочник!$E$2:$E$155</xm:f>
          </x14:formula1>
          <xm:sqref>B3:B186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AI204"/>
  <sheetViews>
    <sheetView showZeros="0" topLeftCell="A48" zoomScale="70" zoomScaleNormal="70" workbookViewId="0">
      <selection activeCell="D50" sqref="D3:AH136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45323</v>
      </c>
      <c r="C1" s="72"/>
      <c r="D1" s="73">
        <f>B1</f>
        <v>45323</v>
      </c>
      <c r="E1" s="73">
        <f>D1+1</f>
        <v>45324</v>
      </c>
      <c r="F1" s="73">
        <f t="shared" ref="F1:AH1" si="0">E1+1</f>
        <v>45325</v>
      </c>
      <c r="G1" s="73">
        <f t="shared" si="0"/>
        <v>45326</v>
      </c>
      <c r="H1" s="73">
        <f t="shared" si="0"/>
        <v>45327</v>
      </c>
      <c r="I1" s="73">
        <f t="shared" si="0"/>
        <v>45328</v>
      </c>
      <c r="J1" s="73">
        <f t="shared" si="0"/>
        <v>45329</v>
      </c>
      <c r="K1" s="73">
        <f t="shared" si="0"/>
        <v>45330</v>
      </c>
      <c r="L1" s="73">
        <f t="shared" si="0"/>
        <v>45331</v>
      </c>
      <c r="M1" s="73">
        <f t="shared" si="0"/>
        <v>45332</v>
      </c>
      <c r="N1" s="73">
        <f t="shared" si="0"/>
        <v>45333</v>
      </c>
      <c r="O1" s="73">
        <f t="shared" si="0"/>
        <v>45334</v>
      </c>
      <c r="P1" s="73">
        <f t="shared" si="0"/>
        <v>45335</v>
      </c>
      <c r="Q1" s="73">
        <f t="shared" si="0"/>
        <v>45336</v>
      </c>
      <c r="R1" s="73">
        <f t="shared" si="0"/>
        <v>45337</v>
      </c>
      <c r="S1" s="73">
        <f t="shared" si="0"/>
        <v>45338</v>
      </c>
      <c r="T1" s="73">
        <f t="shared" si="0"/>
        <v>45339</v>
      </c>
      <c r="U1" s="73">
        <f t="shared" si="0"/>
        <v>45340</v>
      </c>
      <c r="V1" s="73">
        <f t="shared" si="0"/>
        <v>45341</v>
      </c>
      <c r="W1" s="73">
        <f t="shared" si="0"/>
        <v>45342</v>
      </c>
      <c r="X1" s="73">
        <f t="shared" si="0"/>
        <v>45343</v>
      </c>
      <c r="Y1" s="73">
        <f t="shared" si="0"/>
        <v>45344</v>
      </c>
      <c r="Z1" s="73">
        <f t="shared" si="0"/>
        <v>45345</v>
      </c>
      <c r="AA1" s="73">
        <f t="shared" si="0"/>
        <v>45346</v>
      </c>
      <c r="AB1" s="73">
        <f t="shared" si="0"/>
        <v>45347</v>
      </c>
      <c r="AC1" s="73">
        <f t="shared" si="0"/>
        <v>45348</v>
      </c>
      <c r="AD1" s="73">
        <f t="shared" si="0"/>
        <v>45349</v>
      </c>
      <c r="AE1" s="73">
        <f t="shared" si="0"/>
        <v>45350</v>
      </c>
      <c r="AF1" s="73">
        <f t="shared" si="0"/>
        <v>45351</v>
      </c>
      <c r="AG1" s="73">
        <f t="shared" si="0"/>
        <v>45352</v>
      </c>
      <c r="AH1" s="73">
        <f t="shared" si="0"/>
        <v>45353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144">
        <f>SUMIFS('февраль 2024'!$G$4:$G$1413,'февраль 2024'!$D$4:$D$1413,$B3,'февраль 2024'!$J$4:$J$1413,D$1)</f>
        <v>0</v>
      </c>
      <c r="E3" s="144">
        <f>SUMIFS('февраль 2024'!$G$4:$G$1413,'февраль 2024'!$D$4:$D$1413,$B3,'февраль 2024'!$J$4:$J$1413,E$1)</f>
        <v>0</v>
      </c>
      <c r="F3" s="144">
        <f>SUMIFS('февраль 2024'!$G$4:$G$1413,'февраль 2024'!$D$4:$D$1413,$B3,'февраль 2024'!$J$4:$J$1413,F$1)</f>
        <v>0</v>
      </c>
      <c r="G3" s="144">
        <f>SUMIFS('февраль 2024'!$G$4:$G$1413,'февраль 2024'!$D$4:$D$1413,$B3,'февраль 2024'!$J$4:$J$1413,G$1)</f>
        <v>0</v>
      </c>
      <c r="H3" s="144">
        <f>SUMIFS('февраль 2024'!$G$4:$G$1413,'февраль 2024'!$D$4:$D$1413,$B3,'февраль 2024'!$J$4:$J$1413,H$1)</f>
        <v>0</v>
      </c>
      <c r="I3" s="144">
        <f>SUMIFS('февраль 2024'!$G$4:$G$1413,'февраль 2024'!$D$4:$D$1413,$B3,'февраль 2024'!$J$4:$J$1413,I$1)</f>
        <v>0</v>
      </c>
      <c r="J3" s="144">
        <f>SUMIFS('февраль 2024'!$G$4:$G$1413,'февраль 2024'!$D$4:$D$1413,$B3,'февраль 2024'!$J$4:$J$1413,J$1)</f>
        <v>0</v>
      </c>
      <c r="K3" s="144">
        <f>SUMIFS('февраль 2024'!$G$4:$G$1413,'февраль 2024'!$D$4:$D$1413,$B3,'февраль 2024'!$J$4:$J$1413,K$1)</f>
        <v>0</v>
      </c>
      <c r="L3" s="144">
        <f>SUMIFS('февраль 2024'!$G$4:$G$1413,'февраль 2024'!$D$4:$D$1413,$B3,'февраль 2024'!$J$4:$J$1413,L$1)</f>
        <v>0</v>
      </c>
      <c r="M3" s="144">
        <f>SUMIFS('февраль 2024'!$G$4:$G$1413,'февраль 2024'!$D$4:$D$1413,$B3,'февраль 2024'!$J$4:$J$1413,M$1)</f>
        <v>0</v>
      </c>
      <c r="N3" s="144">
        <f>SUMIFS('февраль 2024'!$G$4:$G$1413,'февраль 2024'!$D$4:$D$1413,$B3,'февраль 2024'!$J$4:$J$1413,N$1)</f>
        <v>0</v>
      </c>
      <c r="O3" s="144">
        <f>SUMIFS('февраль 2024'!$G$4:$G$1413,'февраль 2024'!$D$4:$D$1413,$B3,'февраль 2024'!$J$4:$J$1413,O$1)</f>
        <v>0</v>
      </c>
      <c r="P3" s="144">
        <f>SUMIFS('февраль 2024'!$G$4:$G$1413,'февраль 2024'!$D$4:$D$1413,$B3,'февраль 2024'!$J$4:$J$1413,P$1)</f>
        <v>0</v>
      </c>
      <c r="Q3" s="144">
        <f>SUMIFS('февраль 2024'!$G$4:$G$1413,'февраль 2024'!$D$4:$D$1413,$B3,'февраль 2024'!$J$4:$J$1413,Q$1)</f>
        <v>0</v>
      </c>
      <c r="R3" s="144">
        <f>SUMIFS('февраль 2024'!$G$4:$G$1413,'февраль 2024'!$D$4:$D$1413,$B3,'февраль 2024'!$J$4:$J$1413,R$1)</f>
        <v>0</v>
      </c>
      <c r="S3" s="144">
        <f>SUMIFS('февраль 2024'!$G$4:$G$1413,'февраль 2024'!$D$4:$D$1413,$B3,'февраль 2024'!$J$4:$J$1413,S$1)</f>
        <v>0</v>
      </c>
      <c r="T3" s="144">
        <f>SUMIFS('февраль 2024'!$G$4:$G$1413,'февраль 2024'!$D$4:$D$1413,$B3,'февраль 2024'!$J$4:$J$1413,T$1)</f>
        <v>0</v>
      </c>
      <c r="U3" s="144">
        <f>SUMIFS('февраль 2024'!$G$4:$G$1413,'февраль 2024'!$D$4:$D$1413,$B3,'февраль 2024'!$J$4:$J$1413,U$1)</f>
        <v>0</v>
      </c>
      <c r="V3" s="144">
        <f>SUMIFS('февраль 2024'!$G$4:$G$1413,'февраль 2024'!$D$4:$D$1413,$B3,'февраль 2024'!$J$4:$J$1413,V$1)</f>
        <v>0</v>
      </c>
      <c r="W3" s="144">
        <f>SUMIFS('февраль 2024'!$G$4:$G$1413,'февраль 2024'!$D$4:$D$1413,$B3,'февраль 2024'!$J$4:$J$1413,W$1)</f>
        <v>0</v>
      </c>
      <c r="X3" s="144">
        <f>SUMIFS('февраль 2024'!$G$4:$G$1413,'февраль 2024'!$D$4:$D$1413,$B3,'февраль 2024'!$J$4:$J$1413,X$1)</f>
        <v>0</v>
      </c>
      <c r="Y3" s="144">
        <f>SUMIFS('февраль 2024'!$G$4:$G$1413,'февраль 2024'!$D$4:$D$1413,$B3,'февраль 2024'!$J$4:$J$1413,Y$1)</f>
        <v>0</v>
      </c>
      <c r="Z3" s="144">
        <f>SUMIFS('февраль 2024'!$G$4:$G$1413,'февраль 2024'!$D$4:$D$1413,$B3,'февраль 2024'!$J$4:$J$1413,Z$1)</f>
        <v>0</v>
      </c>
      <c r="AA3" s="144">
        <f>SUMIFS('февраль 2024'!$G$4:$G$1413,'февраль 2024'!$D$4:$D$1413,$B3,'февраль 2024'!$J$4:$J$1413,AA$1)</f>
        <v>0</v>
      </c>
      <c r="AB3" s="144">
        <f>SUMIFS('февраль 2024'!$G$4:$G$1413,'февраль 2024'!$D$4:$D$1413,$B3,'февраль 2024'!$J$4:$J$1413,AB$1)</f>
        <v>0</v>
      </c>
      <c r="AC3" s="144">
        <f>SUMIFS('февраль 2024'!$G$4:$G$1413,'февраль 2024'!$D$4:$D$1413,$B3,'февраль 2024'!$J$4:$J$1413,AC$1)</f>
        <v>0</v>
      </c>
      <c r="AD3" s="144">
        <f>SUMIFS('февраль 2024'!$G$4:$G$1413,'февраль 2024'!$D$4:$D$1413,$B3,'февраль 2024'!$J$4:$J$1413,AD$1)</f>
        <v>0</v>
      </c>
      <c r="AE3" s="144">
        <f>SUMIFS('февраль 2024'!$G$4:$G$1413,'февраль 2024'!$D$4:$D$1413,$B3,'февраль 2024'!$J$4:$J$1413,AE$1)</f>
        <v>0</v>
      </c>
      <c r="AF3" s="144">
        <f>SUMIFS('февраль 2024'!$G$4:$G$1413,'февраль 2024'!$D$4:$D$1413,$B3,'февраль 2024'!$J$4:$J$1413,AF$1)</f>
        <v>0</v>
      </c>
      <c r="AG3" s="144">
        <f>SUMIFS('февраль 2024'!$G$4:$G$1413,'февраль 2024'!$D$4:$D$1413,$B3,'февраль 2024'!$J$4:$J$1413,AG$1)</f>
        <v>0</v>
      </c>
      <c r="AH3" s="144">
        <f>SUMIFS('февраль 2024'!$G$4:$G$1413,'февраль 2024'!$D$4:$D$1413,$B3,'февраль 2024'!$J$4:$J$1413,AH$1)</f>
        <v>0</v>
      </c>
      <c r="AI3" s="49">
        <f t="shared" ref="AI3:AI136" si="1">SUM(D3:AH3)</f>
        <v>0</v>
      </c>
    </row>
    <row r="4" spans="2:35" ht="15" customHeight="1" x14ac:dyDescent="0.25">
      <c r="B4" s="81" t="s">
        <v>277</v>
      </c>
      <c r="C4" s="82">
        <v>25</v>
      </c>
      <c r="D4" s="144">
        <f>SUMIFS('февраль 2024'!$G$4:$G$1413,'февраль 2024'!$D$4:$D$1413,$B4,'февраль 2024'!$J$4:$J$1413,D$1)</f>
        <v>0</v>
      </c>
      <c r="E4" s="144">
        <f>SUMIFS('февраль 2024'!$G$4:$G$1413,'февраль 2024'!$D$4:$D$1413,$B4,'февраль 2024'!$J$4:$J$1413,E$1)</f>
        <v>0</v>
      </c>
      <c r="F4" s="144">
        <f>SUMIFS('февраль 2024'!$G$4:$G$1413,'февраль 2024'!$D$4:$D$1413,$B4,'февраль 2024'!$J$4:$J$1413,F$1)</f>
        <v>0</v>
      </c>
      <c r="G4" s="144">
        <f>SUMIFS('февраль 2024'!$G$4:$G$1413,'февраль 2024'!$D$4:$D$1413,$B4,'февраль 2024'!$J$4:$J$1413,G$1)</f>
        <v>0</v>
      </c>
      <c r="H4" s="144">
        <f>SUMIFS('февраль 2024'!$G$4:$G$1413,'февраль 2024'!$D$4:$D$1413,$B4,'февраль 2024'!$J$4:$J$1413,H$1)</f>
        <v>0</v>
      </c>
      <c r="I4" s="144">
        <f>SUMIFS('февраль 2024'!$G$4:$G$1413,'февраль 2024'!$D$4:$D$1413,$B4,'февраль 2024'!$J$4:$J$1413,I$1)</f>
        <v>0</v>
      </c>
      <c r="J4" s="144">
        <f>SUMIFS('февраль 2024'!$G$4:$G$1413,'февраль 2024'!$D$4:$D$1413,$B4,'февраль 2024'!$J$4:$J$1413,J$1)</f>
        <v>0</v>
      </c>
      <c r="K4" s="144">
        <f>SUMIFS('февраль 2024'!$G$4:$G$1413,'февраль 2024'!$D$4:$D$1413,$B4,'февраль 2024'!$J$4:$J$1413,K$1)</f>
        <v>0</v>
      </c>
      <c r="L4" s="144">
        <f>SUMIFS('февраль 2024'!$G$4:$G$1413,'февраль 2024'!$D$4:$D$1413,$B4,'февраль 2024'!$J$4:$J$1413,L$1)</f>
        <v>0</v>
      </c>
      <c r="M4" s="144">
        <f>SUMIFS('февраль 2024'!$G$4:$G$1413,'февраль 2024'!$D$4:$D$1413,$B4,'февраль 2024'!$J$4:$J$1413,M$1)</f>
        <v>0</v>
      </c>
      <c r="N4" s="144">
        <f>SUMIFS('февраль 2024'!$G$4:$G$1413,'февраль 2024'!$D$4:$D$1413,$B4,'февраль 2024'!$J$4:$J$1413,N$1)</f>
        <v>0</v>
      </c>
      <c r="O4" s="144">
        <f>SUMIFS('февраль 2024'!$G$4:$G$1413,'февраль 2024'!$D$4:$D$1413,$B4,'февраль 2024'!$J$4:$J$1413,O$1)</f>
        <v>0</v>
      </c>
      <c r="P4" s="144">
        <f>SUMIFS('февраль 2024'!$G$4:$G$1413,'февраль 2024'!$D$4:$D$1413,$B4,'февраль 2024'!$J$4:$J$1413,P$1)</f>
        <v>0</v>
      </c>
      <c r="Q4" s="144">
        <f>SUMIFS('февраль 2024'!$G$4:$G$1413,'февраль 2024'!$D$4:$D$1413,$B4,'февраль 2024'!$J$4:$J$1413,Q$1)</f>
        <v>0</v>
      </c>
      <c r="R4" s="144">
        <f>SUMIFS('февраль 2024'!$G$4:$G$1413,'февраль 2024'!$D$4:$D$1413,$B4,'февраль 2024'!$J$4:$J$1413,R$1)</f>
        <v>0</v>
      </c>
      <c r="S4" s="144">
        <f>SUMIFS('февраль 2024'!$G$4:$G$1413,'февраль 2024'!$D$4:$D$1413,$B4,'февраль 2024'!$J$4:$J$1413,S$1)</f>
        <v>0</v>
      </c>
      <c r="T4" s="144">
        <f>SUMIFS('февраль 2024'!$G$4:$G$1413,'февраль 2024'!$D$4:$D$1413,$B4,'февраль 2024'!$J$4:$J$1413,T$1)</f>
        <v>0</v>
      </c>
      <c r="U4" s="144">
        <f>SUMIFS('февраль 2024'!$G$4:$G$1413,'февраль 2024'!$D$4:$D$1413,$B4,'февраль 2024'!$J$4:$J$1413,U$1)</f>
        <v>0</v>
      </c>
      <c r="V4" s="144">
        <f>SUMIFS('февраль 2024'!$G$4:$G$1413,'февраль 2024'!$D$4:$D$1413,$B4,'февраль 2024'!$J$4:$J$1413,V$1)</f>
        <v>0</v>
      </c>
      <c r="W4" s="144">
        <f>SUMIFS('февраль 2024'!$G$4:$G$1413,'февраль 2024'!$D$4:$D$1413,$B4,'февраль 2024'!$J$4:$J$1413,W$1)</f>
        <v>0</v>
      </c>
      <c r="X4" s="144">
        <f>SUMIFS('февраль 2024'!$G$4:$G$1413,'февраль 2024'!$D$4:$D$1413,$B4,'февраль 2024'!$J$4:$J$1413,X$1)</f>
        <v>0</v>
      </c>
      <c r="Y4" s="144">
        <f>SUMIFS('февраль 2024'!$G$4:$G$1413,'февраль 2024'!$D$4:$D$1413,$B4,'февраль 2024'!$J$4:$J$1413,Y$1)</f>
        <v>0</v>
      </c>
      <c r="Z4" s="144">
        <f>SUMIFS('февраль 2024'!$G$4:$G$1413,'февраль 2024'!$D$4:$D$1413,$B4,'февраль 2024'!$J$4:$J$1413,Z$1)</f>
        <v>0</v>
      </c>
      <c r="AA4" s="144">
        <f>SUMIFS('февраль 2024'!$G$4:$G$1413,'февраль 2024'!$D$4:$D$1413,$B4,'февраль 2024'!$J$4:$J$1413,AA$1)</f>
        <v>0</v>
      </c>
      <c r="AB4" s="144">
        <f>SUMIFS('февраль 2024'!$G$4:$G$1413,'февраль 2024'!$D$4:$D$1413,$B4,'февраль 2024'!$J$4:$J$1413,AB$1)</f>
        <v>0</v>
      </c>
      <c r="AC4" s="144">
        <f>SUMIFS('февраль 2024'!$G$4:$G$1413,'февраль 2024'!$D$4:$D$1413,$B4,'февраль 2024'!$J$4:$J$1413,AC$1)</f>
        <v>0</v>
      </c>
      <c r="AD4" s="144">
        <f>SUMIFS('февраль 2024'!$G$4:$G$1413,'февраль 2024'!$D$4:$D$1413,$B4,'февраль 2024'!$J$4:$J$1413,AD$1)</f>
        <v>0</v>
      </c>
      <c r="AE4" s="144">
        <f>SUMIFS('февраль 2024'!$G$4:$G$1413,'февраль 2024'!$D$4:$D$1413,$B4,'февраль 2024'!$J$4:$J$1413,AE$1)</f>
        <v>0</v>
      </c>
      <c r="AF4" s="144">
        <f>SUMIFS('февраль 2024'!$G$4:$G$1413,'февраль 2024'!$D$4:$D$1413,$B4,'февраль 2024'!$J$4:$J$1413,AF$1)</f>
        <v>0</v>
      </c>
      <c r="AG4" s="144">
        <f>SUMIFS('февраль 2024'!$G$4:$G$1413,'февраль 2024'!$D$4:$D$1413,$B4,'февраль 2024'!$J$4:$J$1413,AG$1)</f>
        <v>0</v>
      </c>
      <c r="AH4" s="144">
        <f>SUMIFS('февраль 2024'!$G$4:$G$1413,'февраль 2024'!$D$4:$D$1413,$B4,'февраль 2024'!$J$4:$J$1413,AH$1)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144">
        <f>SUMIFS('февраль 2024'!$G$4:$G$1413,'февраль 2024'!$D$4:$D$1413,$B5,'февраль 2024'!$J$4:$J$1413,D$1)</f>
        <v>0</v>
      </c>
      <c r="E5" s="144">
        <f>SUMIFS('февраль 2024'!$G$4:$G$1413,'февраль 2024'!$D$4:$D$1413,$B5,'февраль 2024'!$J$4:$J$1413,E$1)</f>
        <v>0</v>
      </c>
      <c r="F5" s="144">
        <f>SUMIFS('февраль 2024'!$G$4:$G$1413,'февраль 2024'!$D$4:$D$1413,$B5,'февраль 2024'!$J$4:$J$1413,F$1)</f>
        <v>0</v>
      </c>
      <c r="G5" s="144">
        <f>SUMIFS('февраль 2024'!$G$4:$G$1413,'февраль 2024'!$D$4:$D$1413,$B5,'февраль 2024'!$J$4:$J$1413,G$1)</f>
        <v>0</v>
      </c>
      <c r="H5" s="144">
        <f>SUMIFS('февраль 2024'!$G$4:$G$1413,'февраль 2024'!$D$4:$D$1413,$B5,'февраль 2024'!$J$4:$J$1413,H$1)</f>
        <v>0</v>
      </c>
      <c r="I5" s="144">
        <f>SUMIFS('февраль 2024'!$G$4:$G$1413,'февраль 2024'!$D$4:$D$1413,$B5,'февраль 2024'!$J$4:$J$1413,I$1)</f>
        <v>0</v>
      </c>
      <c r="J5" s="144">
        <f>SUMIFS('февраль 2024'!$G$4:$G$1413,'февраль 2024'!$D$4:$D$1413,$B5,'февраль 2024'!$J$4:$J$1413,J$1)</f>
        <v>0</v>
      </c>
      <c r="K5" s="144">
        <f>SUMIFS('февраль 2024'!$G$4:$G$1413,'февраль 2024'!$D$4:$D$1413,$B5,'февраль 2024'!$J$4:$J$1413,K$1)</f>
        <v>0</v>
      </c>
      <c r="L5" s="144">
        <f>SUMIFS('февраль 2024'!$G$4:$G$1413,'февраль 2024'!$D$4:$D$1413,$B5,'февраль 2024'!$J$4:$J$1413,L$1)</f>
        <v>0</v>
      </c>
      <c r="M5" s="144">
        <f>SUMIFS('февраль 2024'!$G$4:$G$1413,'февраль 2024'!$D$4:$D$1413,$B5,'февраль 2024'!$J$4:$J$1413,M$1)</f>
        <v>0</v>
      </c>
      <c r="N5" s="144">
        <f>SUMIFS('февраль 2024'!$G$4:$G$1413,'февраль 2024'!$D$4:$D$1413,$B5,'февраль 2024'!$J$4:$J$1413,N$1)</f>
        <v>0</v>
      </c>
      <c r="O5" s="144">
        <f>SUMIFS('февраль 2024'!$G$4:$G$1413,'февраль 2024'!$D$4:$D$1413,$B5,'февраль 2024'!$J$4:$J$1413,O$1)</f>
        <v>800</v>
      </c>
      <c r="P5" s="144">
        <f>SUMIFS('февраль 2024'!$G$4:$G$1413,'февраль 2024'!$D$4:$D$1413,$B5,'февраль 2024'!$J$4:$J$1413,P$1)</f>
        <v>0</v>
      </c>
      <c r="Q5" s="144">
        <f>SUMIFS('февраль 2024'!$G$4:$G$1413,'февраль 2024'!$D$4:$D$1413,$B5,'февраль 2024'!$J$4:$J$1413,Q$1)</f>
        <v>0</v>
      </c>
      <c r="R5" s="144">
        <f>SUMIFS('февраль 2024'!$G$4:$G$1413,'февраль 2024'!$D$4:$D$1413,$B5,'февраль 2024'!$J$4:$J$1413,R$1)</f>
        <v>0</v>
      </c>
      <c r="S5" s="144">
        <f>SUMIFS('февраль 2024'!$G$4:$G$1413,'февраль 2024'!$D$4:$D$1413,$B5,'февраль 2024'!$J$4:$J$1413,S$1)</f>
        <v>1</v>
      </c>
      <c r="T5" s="144">
        <f>SUMIFS('февраль 2024'!$G$4:$G$1413,'февраль 2024'!$D$4:$D$1413,$B5,'февраль 2024'!$J$4:$J$1413,T$1)</f>
        <v>0</v>
      </c>
      <c r="U5" s="144">
        <f>SUMIFS('февраль 2024'!$G$4:$G$1413,'февраль 2024'!$D$4:$D$1413,$B5,'февраль 2024'!$J$4:$J$1413,U$1)</f>
        <v>0</v>
      </c>
      <c r="V5" s="144">
        <f>SUMIFS('февраль 2024'!$G$4:$G$1413,'февраль 2024'!$D$4:$D$1413,$B5,'февраль 2024'!$J$4:$J$1413,V$1)</f>
        <v>0</v>
      </c>
      <c r="W5" s="144">
        <f>SUMIFS('февраль 2024'!$G$4:$G$1413,'февраль 2024'!$D$4:$D$1413,$B5,'февраль 2024'!$J$4:$J$1413,W$1)</f>
        <v>740</v>
      </c>
      <c r="X5" s="144">
        <f>SUMIFS('февраль 2024'!$G$4:$G$1413,'февраль 2024'!$D$4:$D$1413,$B5,'февраль 2024'!$J$4:$J$1413,X$1)</f>
        <v>0</v>
      </c>
      <c r="Y5" s="144">
        <f>SUMIFS('февраль 2024'!$G$4:$G$1413,'февраль 2024'!$D$4:$D$1413,$B5,'февраль 2024'!$J$4:$J$1413,Y$1)</f>
        <v>0</v>
      </c>
      <c r="Z5" s="144">
        <f>SUMIFS('февраль 2024'!$G$4:$G$1413,'февраль 2024'!$D$4:$D$1413,$B5,'февраль 2024'!$J$4:$J$1413,Z$1)</f>
        <v>0</v>
      </c>
      <c r="AA5" s="144">
        <f>SUMIFS('февраль 2024'!$G$4:$G$1413,'февраль 2024'!$D$4:$D$1413,$B5,'февраль 2024'!$J$4:$J$1413,AA$1)</f>
        <v>0</v>
      </c>
      <c r="AB5" s="144">
        <f>SUMIFS('февраль 2024'!$G$4:$G$1413,'февраль 2024'!$D$4:$D$1413,$B5,'февраль 2024'!$J$4:$J$1413,AB$1)</f>
        <v>60</v>
      </c>
      <c r="AC5" s="144">
        <f>SUMIFS('февраль 2024'!$G$4:$G$1413,'февраль 2024'!$D$4:$D$1413,$B5,'февраль 2024'!$J$4:$J$1413,AC$1)</f>
        <v>510</v>
      </c>
      <c r="AD5" s="144">
        <f>SUMIFS('февраль 2024'!$G$4:$G$1413,'февраль 2024'!$D$4:$D$1413,$B5,'февраль 2024'!$J$4:$J$1413,AD$1)</f>
        <v>0</v>
      </c>
      <c r="AE5" s="144">
        <f>SUMIFS('февраль 2024'!$G$4:$G$1413,'февраль 2024'!$D$4:$D$1413,$B5,'февраль 2024'!$J$4:$J$1413,AE$1)</f>
        <v>0</v>
      </c>
      <c r="AF5" s="144">
        <f>SUMIFS('февраль 2024'!$G$4:$G$1413,'февраль 2024'!$D$4:$D$1413,$B5,'февраль 2024'!$J$4:$J$1413,AF$1)</f>
        <v>0</v>
      </c>
      <c r="AG5" s="144">
        <f>SUMIFS('февраль 2024'!$G$4:$G$1413,'февраль 2024'!$D$4:$D$1413,$B5,'февраль 2024'!$J$4:$J$1413,AG$1)</f>
        <v>0</v>
      </c>
      <c r="AH5" s="144">
        <f>SUMIFS('февраль 2024'!$G$4:$G$1413,'февраль 2024'!$D$4:$D$1413,$B5,'февраль 2024'!$J$4:$J$1413,AH$1)</f>
        <v>0</v>
      </c>
      <c r="AI5" s="21">
        <f t="shared" si="1"/>
        <v>2111</v>
      </c>
    </row>
    <row r="6" spans="2:35" ht="15" customHeight="1" x14ac:dyDescent="0.25">
      <c r="B6" s="81" t="s">
        <v>281</v>
      </c>
      <c r="C6" s="82">
        <v>22.7</v>
      </c>
      <c r="D6" s="144">
        <f>SUMIFS('февраль 2024'!$G$4:$G$1413,'февраль 2024'!$D$4:$D$1413,$B6,'февраль 2024'!$J$4:$J$1413,D$1)</f>
        <v>0</v>
      </c>
      <c r="E6" s="144">
        <f>SUMIFS('февраль 2024'!$G$4:$G$1413,'февраль 2024'!$D$4:$D$1413,$B6,'февраль 2024'!$J$4:$J$1413,E$1)</f>
        <v>0</v>
      </c>
      <c r="F6" s="144">
        <f>SUMIFS('февраль 2024'!$G$4:$G$1413,'февраль 2024'!$D$4:$D$1413,$B6,'февраль 2024'!$J$4:$J$1413,F$1)</f>
        <v>0</v>
      </c>
      <c r="G6" s="144">
        <f>SUMIFS('февраль 2024'!$G$4:$G$1413,'февраль 2024'!$D$4:$D$1413,$B6,'февраль 2024'!$J$4:$J$1413,G$1)</f>
        <v>0</v>
      </c>
      <c r="H6" s="144">
        <f>SUMIFS('февраль 2024'!$G$4:$G$1413,'февраль 2024'!$D$4:$D$1413,$B6,'февраль 2024'!$J$4:$J$1413,H$1)</f>
        <v>0</v>
      </c>
      <c r="I6" s="144">
        <f>SUMIFS('февраль 2024'!$G$4:$G$1413,'февраль 2024'!$D$4:$D$1413,$B6,'февраль 2024'!$J$4:$J$1413,I$1)</f>
        <v>0</v>
      </c>
      <c r="J6" s="144">
        <f>SUMIFS('февраль 2024'!$G$4:$G$1413,'февраль 2024'!$D$4:$D$1413,$B6,'февраль 2024'!$J$4:$J$1413,J$1)</f>
        <v>0</v>
      </c>
      <c r="K6" s="144">
        <f>SUMIFS('февраль 2024'!$G$4:$G$1413,'февраль 2024'!$D$4:$D$1413,$B6,'февраль 2024'!$J$4:$J$1413,K$1)</f>
        <v>0</v>
      </c>
      <c r="L6" s="144">
        <f>SUMIFS('февраль 2024'!$G$4:$G$1413,'февраль 2024'!$D$4:$D$1413,$B6,'февраль 2024'!$J$4:$J$1413,L$1)</f>
        <v>0</v>
      </c>
      <c r="M6" s="144">
        <f>SUMIFS('февраль 2024'!$G$4:$G$1413,'февраль 2024'!$D$4:$D$1413,$B6,'февраль 2024'!$J$4:$J$1413,M$1)</f>
        <v>0</v>
      </c>
      <c r="N6" s="144">
        <f>SUMIFS('февраль 2024'!$G$4:$G$1413,'февраль 2024'!$D$4:$D$1413,$B6,'февраль 2024'!$J$4:$J$1413,N$1)</f>
        <v>0</v>
      </c>
      <c r="O6" s="144">
        <f>SUMIFS('февраль 2024'!$G$4:$G$1413,'февраль 2024'!$D$4:$D$1413,$B6,'февраль 2024'!$J$4:$J$1413,O$1)</f>
        <v>0</v>
      </c>
      <c r="P6" s="144">
        <f>SUMIFS('февраль 2024'!$G$4:$G$1413,'февраль 2024'!$D$4:$D$1413,$B6,'февраль 2024'!$J$4:$J$1413,P$1)</f>
        <v>0</v>
      </c>
      <c r="Q6" s="144">
        <f>SUMIFS('февраль 2024'!$G$4:$G$1413,'февраль 2024'!$D$4:$D$1413,$B6,'февраль 2024'!$J$4:$J$1413,Q$1)</f>
        <v>0</v>
      </c>
      <c r="R6" s="144">
        <f>SUMIFS('февраль 2024'!$G$4:$G$1413,'февраль 2024'!$D$4:$D$1413,$B6,'февраль 2024'!$J$4:$J$1413,R$1)</f>
        <v>0</v>
      </c>
      <c r="S6" s="144">
        <f>SUMIFS('февраль 2024'!$G$4:$G$1413,'февраль 2024'!$D$4:$D$1413,$B6,'февраль 2024'!$J$4:$J$1413,S$1)</f>
        <v>0</v>
      </c>
      <c r="T6" s="144">
        <f>SUMIFS('февраль 2024'!$G$4:$G$1413,'февраль 2024'!$D$4:$D$1413,$B6,'февраль 2024'!$J$4:$J$1413,T$1)</f>
        <v>0</v>
      </c>
      <c r="U6" s="144">
        <f>SUMIFS('февраль 2024'!$G$4:$G$1413,'февраль 2024'!$D$4:$D$1413,$B6,'февраль 2024'!$J$4:$J$1413,U$1)</f>
        <v>0</v>
      </c>
      <c r="V6" s="144">
        <f>SUMIFS('февраль 2024'!$G$4:$G$1413,'февраль 2024'!$D$4:$D$1413,$B6,'февраль 2024'!$J$4:$J$1413,V$1)</f>
        <v>0</v>
      </c>
      <c r="W6" s="144">
        <f>SUMIFS('февраль 2024'!$G$4:$G$1413,'февраль 2024'!$D$4:$D$1413,$B6,'февраль 2024'!$J$4:$J$1413,W$1)</f>
        <v>0</v>
      </c>
      <c r="X6" s="144">
        <f>SUMIFS('февраль 2024'!$G$4:$G$1413,'февраль 2024'!$D$4:$D$1413,$B6,'февраль 2024'!$J$4:$J$1413,X$1)</f>
        <v>0</v>
      </c>
      <c r="Y6" s="144">
        <f>SUMIFS('февраль 2024'!$G$4:$G$1413,'февраль 2024'!$D$4:$D$1413,$B6,'февраль 2024'!$J$4:$J$1413,Y$1)</f>
        <v>0</v>
      </c>
      <c r="Z6" s="144">
        <f>SUMIFS('февраль 2024'!$G$4:$G$1413,'февраль 2024'!$D$4:$D$1413,$B6,'февраль 2024'!$J$4:$J$1413,Z$1)</f>
        <v>0</v>
      </c>
      <c r="AA6" s="144">
        <f>SUMIFS('февраль 2024'!$G$4:$G$1413,'февраль 2024'!$D$4:$D$1413,$B6,'февраль 2024'!$J$4:$J$1413,AA$1)</f>
        <v>0</v>
      </c>
      <c r="AB6" s="144">
        <f>SUMIFS('февраль 2024'!$G$4:$G$1413,'февраль 2024'!$D$4:$D$1413,$B6,'февраль 2024'!$J$4:$J$1413,AB$1)</f>
        <v>0</v>
      </c>
      <c r="AC6" s="144">
        <f>SUMIFS('февраль 2024'!$G$4:$G$1413,'февраль 2024'!$D$4:$D$1413,$B6,'февраль 2024'!$J$4:$J$1413,AC$1)</f>
        <v>0</v>
      </c>
      <c r="AD6" s="144">
        <f>SUMIFS('февраль 2024'!$G$4:$G$1413,'февраль 2024'!$D$4:$D$1413,$B6,'февраль 2024'!$J$4:$J$1413,AD$1)</f>
        <v>0</v>
      </c>
      <c r="AE6" s="144">
        <f>SUMIFS('февраль 2024'!$G$4:$G$1413,'февраль 2024'!$D$4:$D$1413,$B6,'февраль 2024'!$J$4:$J$1413,AE$1)</f>
        <v>0</v>
      </c>
      <c r="AF6" s="144">
        <f>SUMIFS('февраль 2024'!$G$4:$G$1413,'февраль 2024'!$D$4:$D$1413,$B6,'февраль 2024'!$J$4:$J$1413,AF$1)</f>
        <v>0</v>
      </c>
      <c r="AG6" s="144">
        <f>SUMIFS('февраль 2024'!$G$4:$G$1413,'февраль 2024'!$D$4:$D$1413,$B6,'февраль 2024'!$J$4:$J$1413,AG$1)</f>
        <v>0</v>
      </c>
      <c r="AH6" s="144">
        <f>SUMIFS('февраль 2024'!$G$4:$G$1413,'февраль 2024'!$D$4:$D$1413,$B6,'февраль 2024'!$J$4:$J$1413,AH$1)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144">
        <f>SUMIFS('февраль 2024'!$G$4:$G$1413,'февраль 2024'!$D$4:$D$1413,$B7,'февраль 2024'!$J$4:$J$1413,D$1)</f>
        <v>0</v>
      </c>
      <c r="E7" s="144">
        <f>SUMIFS('февраль 2024'!$G$4:$G$1413,'февраль 2024'!$D$4:$D$1413,$B7,'февраль 2024'!$J$4:$J$1413,E$1)</f>
        <v>0</v>
      </c>
      <c r="F7" s="144">
        <f>SUMIFS('февраль 2024'!$G$4:$G$1413,'февраль 2024'!$D$4:$D$1413,$B7,'февраль 2024'!$J$4:$J$1413,F$1)</f>
        <v>0</v>
      </c>
      <c r="G7" s="144">
        <f>SUMIFS('февраль 2024'!$G$4:$G$1413,'февраль 2024'!$D$4:$D$1413,$B7,'февраль 2024'!$J$4:$J$1413,G$1)</f>
        <v>0</v>
      </c>
      <c r="H7" s="144">
        <f>SUMIFS('февраль 2024'!$G$4:$G$1413,'февраль 2024'!$D$4:$D$1413,$B7,'февраль 2024'!$J$4:$J$1413,H$1)</f>
        <v>0</v>
      </c>
      <c r="I7" s="144">
        <f>SUMIFS('февраль 2024'!$G$4:$G$1413,'февраль 2024'!$D$4:$D$1413,$B7,'февраль 2024'!$J$4:$J$1413,I$1)</f>
        <v>0</v>
      </c>
      <c r="J7" s="144">
        <f>SUMIFS('февраль 2024'!$G$4:$G$1413,'февраль 2024'!$D$4:$D$1413,$B7,'февраль 2024'!$J$4:$J$1413,J$1)</f>
        <v>0</v>
      </c>
      <c r="K7" s="144">
        <f>SUMIFS('февраль 2024'!$G$4:$G$1413,'февраль 2024'!$D$4:$D$1413,$B7,'февраль 2024'!$J$4:$J$1413,K$1)</f>
        <v>0</v>
      </c>
      <c r="L7" s="144">
        <f>SUMIFS('февраль 2024'!$G$4:$G$1413,'февраль 2024'!$D$4:$D$1413,$B7,'февраль 2024'!$J$4:$J$1413,L$1)</f>
        <v>0</v>
      </c>
      <c r="M7" s="144">
        <f>SUMIFS('февраль 2024'!$G$4:$G$1413,'февраль 2024'!$D$4:$D$1413,$B7,'февраль 2024'!$J$4:$J$1413,M$1)</f>
        <v>0</v>
      </c>
      <c r="N7" s="144">
        <f>SUMIFS('февраль 2024'!$G$4:$G$1413,'февраль 2024'!$D$4:$D$1413,$B7,'февраль 2024'!$J$4:$J$1413,N$1)</f>
        <v>0</v>
      </c>
      <c r="O7" s="144">
        <f>SUMIFS('февраль 2024'!$G$4:$G$1413,'февраль 2024'!$D$4:$D$1413,$B7,'февраль 2024'!$J$4:$J$1413,O$1)</f>
        <v>0</v>
      </c>
      <c r="P7" s="144">
        <f>SUMIFS('февраль 2024'!$G$4:$G$1413,'февраль 2024'!$D$4:$D$1413,$B7,'февраль 2024'!$J$4:$J$1413,P$1)</f>
        <v>0</v>
      </c>
      <c r="Q7" s="144">
        <f>SUMIFS('февраль 2024'!$G$4:$G$1413,'февраль 2024'!$D$4:$D$1413,$B7,'февраль 2024'!$J$4:$J$1413,Q$1)</f>
        <v>0</v>
      </c>
      <c r="R7" s="144">
        <f>SUMIFS('февраль 2024'!$G$4:$G$1413,'февраль 2024'!$D$4:$D$1413,$B7,'февраль 2024'!$J$4:$J$1413,R$1)</f>
        <v>0</v>
      </c>
      <c r="S7" s="144">
        <f>SUMIFS('февраль 2024'!$G$4:$G$1413,'февраль 2024'!$D$4:$D$1413,$B7,'февраль 2024'!$J$4:$J$1413,S$1)</f>
        <v>0</v>
      </c>
      <c r="T7" s="144">
        <f>SUMIFS('февраль 2024'!$G$4:$G$1413,'февраль 2024'!$D$4:$D$1413,$B7,'февраль 2024'!$J$4:$J$1413,T$1)</f>
        <v>0</v>
      </c>
      <c r="U7" s="144">
        <f>SUMIFS('февраль 2024'!$G$4:$G$1413,'февраль 2024'!$D$4:$D$1413,$B7,'февраль 2024'!$J$4:$J$1413,U$1)</f>
        <v>0</v>
      </c>
      <c r="V7" s="144">
        <f>SUMIFS('февраль 2024'!$G$4:$G$1413,'февраль 2024'!$D$4:$D$1413,$B7,'февраль 2024'!$J$4:$J$1413,V$1)</f>
        <v>0</v>
      </c>
      <c r="W7" s="144">
        <f>SUMIFS('февраль 2024'!$G$4:$G$1413,'февраль 2024'!$D$4:$D$1413,$B7,'февраль 2024'!$J$4:$J$1413,W$1)</f>
        <v>0</v>
      </c>
      <c r="X7" s="144">
        <f>SUMIFS('февраль 2024'!$G$4:$G$1413,'февраль 2024'!$D$4:$D$1413,$B7,'февраль 2024'!$J$4:$J$1413,X$1)</f>
        <v>0</v>
      </c>
      <c r="Y7" s="144">
        <f>SUMIFS('февраль 2024'!$G$4:$G$1413,'февраль 2024'!$D$4:$D$1413,$B7,'февраль 2024'!$J$4:$J$1413,Y$1)</f>
        <v>0</v>
      </c>
      <c r="Z7" s="144">
        <f>SUMIFS('февраль 2024'!$G$4:$G$1413,'февраль 2024'!$D$4:$D$1413,$B7,'февраль 2024'!$J$4:$J$1413,Z$1)</f>
        <v>0</v>
      </c>
      <c r="AA7" s="144">
        <f>SUMIFS('февраль 2024'!$G$4:$G$1413,'февраль 2024'!$D$4:$D$1413,$B7,'февраль 2024'!$J$4:$J$1413,AA$1)</f>
        <v>0</v>
      </c>
      <c r="AB7" s="144">
        <f>SUMIFS('февраль 2024'!$G$4:$G$1413,'февраль 2024'!$D$4:$D$1413,$B7,'февраль 2024'!$J$4:$J$1413,AB$1)</f>
        <v>0</v>
      </c>
      <c r="AC7" s="144">
        <f>SUMIFS('февраль 2024'!$G$4:$G$1413,'февраль 2024'!$D$4:$D$1413,$B7,'февраль 2024'!$J$4:$J$1413,AC$1)</f>
        <v>0</v>
      </c>
      <c r="AD7" s="144">
        <f>SUMIFS('февраль 2024'!$G$4:$G$1413,'февраль 2024'!$D$4:$D$1413,$B7,'февраль 2024'!$J$4:$J$1413,AD$1)</f>
        <v>0</v>
      </c>
      <c r="AE7" s="144">
        <f>SUMIFS('февраль 2024'!$G$4:$G$1413,'февраль 2024'!$D$4:$D$1413,$B7,'февраль 2024'!$J$4:$J$1413,AE$1)</f>
        <v>0</v>
      </c>
      <c r="AF7" s="144">
        <f>SUMIFS('февраль 2024'!$G$4:$G$1413,'февраль 2024'!$D$4:$D$1413,$B7,'февраль 2024'!$J$4:$J$1413,AF$1)</f>
        <v>0</v>
      </c>
      <c r="AG7" s="144">
        <f>SUMIFS('февраль 2024'!$G$4:$G$1413,'февраль 2024'!$D$4:$D$1413,$B7,'февраль 2024'!$J$4:$J$1413,AG$1)</f>
        <v>0</v>
      </c>
      <c r="AH7" s="144">
        <f>SUMIFS('февраль 2024'!$G$4:$G$1413,'февраль 2024'!$D$4:$D$1413,$B7,'февраль 2024'!$J$4:$J$1413,AH$1)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144">
        <f>SUMIFS('февраль 2024'!$G$4:$G$1413,'февраль 2024'!$D$4:$D$1413,$B8,'февраль 2024'!$J$4:$J$1413,D$1)</f>
        <v>0</v>
      </c>
      <c r="E8" s="144">
        <f>SUMIFS('февраль 2024'!$G$4:$G$1413,'февраль 2024'!$D$4:$D$1413,$B8,'февраль 2024'!$J$4:$J$1413,E$1)</f>
        <v>0</v>
      </c>
      <c r="F8" s="144">
        <f>SUMIFS('февраль 2024'!$G$4:$G$1413,'февраль 2024'!$D$4:$D$1413,$B8,'февраль 2024'!$J$4:$J$1413,F$1)</f>
        <v>0</v>
      </c>
      <c r="G8" s="144">
        <f>SUMIFS('февраль 2024'!$G$4:$G$1413,'февраль 2024'!$D$4:$D$1413,$B8,'февраль 2024'!$J$4:$J$1413,G$1)</f>
        <v>0</v>
      </c>
      <c r="H8" s="144">
        <f>SUMIFS('февраль 2024'!$G$4:$G$1413,'февраль 2024'!$D$4:$D$1413,$B8,'февраль 2024'!$J$4:$J$1413,H$1)</f>
        <v>0</v>
      </c>
      <c r="I8" s="144">
        <f>SUMIFS('февраль 2024'!$G$4:$G$1413,'февраль 2024'!$D$4:$D$1413,$B8,'февраль 2024'!$J$4:$J$1413,I$1)</f>
        <v>0</v>
      </c>
      <c r="J8" s="144">
        <f>SUMIFS('февраль 2024'!$G$4:$G$1413,'февраль 2024'!$D$4:$D$1413,$B8,'февраль 2024'!$J$4:$J$1413,J$1)</f>
        <v>0</v>
      </c>
      <c r="K8" s="144">
        <f>SUMIFS('февраль 2024'!$G$4:$G$1413,'февраль 2024'!$D$4:$D$1413,$B8,'февраль 2024'!$J$4:$J$1413,K$1)</f>
        <v>0</v>
      </c>
      <c r="L8" s="144">
        <f>SUMIFS('февраль 2024'!$G$4:$G$1413,'февраль 2024'!$D$4:$D$1413,$B8,'февраль 2024'!$J$4:$J$1413,L$1)</f>
        <v>0</v>
      </c>
      <c r="M8" s="144">
        <f>SUMIFS('февраль 2024'!$G$4:$G$1413,'февраль 2024'!$D$4:$D$1413,$B8,'февраль 2024'!$J$4:$J$1413,M$1)</f>
        <v>0</v>
      </c>
      <c r="N8" s="144">
        <f>SUMIFS('февраль 2024'!$G$4:$G$1413,'февраль 2024'!$D$4:$D$1413,$B8,'февраль 2024'!$J$4:$J$1413,N$1)</f>
        <v>0</v>
      </c>
      <c r="O8" s="144">
        <f>SUMIFS('февраль 2024'!$G$4:$G$1413,'февраль 2024'!$D$4:$D$1413,$B8,'февраль 2024'!$J$4:$J$1413,O$1)</f>
        <v>0</v>
      </c>
      <c r="P8" s="144">
        <f>SUMIFS('февраль 2024'!$G$4:$G$1413,'февраль 2024'!$D$4:$D$1413,$B8,'февраль 2024'!$J$4:$J$1413,P$1)</f>
        <v>0</v>
      </c>
      <c r="Q8" s="144">
        <f>SUMIFS('февраль 2024'!$G$4:$G$1413,'февраль 2024'!$D$4:$D$1413,$B8,'февраль 2024'!$J$4:$J$1413,Q$1)</f>
        <v>0</v>
      </c>
      <c r="R8" s="144">
        <f>SUMIFS('февраль 2024'!$G$4:$G$1413,'февраль 2024'!$D$4:$D$1413,$B8,'февраль 2024'!$J$4:$J$1413,R$1)</f>
        <v>0</v>
      </c>
      <c r="S8" s="144">
        <f>SUMIFS('февраль 2024'!$G$4:$G$1413,'февраль 2024'!$D$4:$D$1413,$B8,'февраль 2024'!$J$4:$J$1413,S$1)</f>
        <v>0</v>
      </c>
      <c r="T8" s="144">
        <f>SUMIFS('февраль 2024'!$G$4:$G$1413,'февраль 2024'!$D$4:$D$1413,$B8,'февраль 2024'!$J$4:$J$1413,T$1)</f>
        <v>0</v>
      </c>
      <c r="U8" s="144">
        <f>SUMIFS('февраль 2024'!$G$4:$G$1413,'февраль 2024'!$D$4:$D$1413,$B8,'февраль 2024'!$J$4:$J$1413,U$1)</f>
        <v>0</v>
      </c>
      <c r="V8" s="144">
        <f>SUMIFS('февраль 2024'!$G$4:$G$1413,'февраль 2024'!$D$4:$D$1413,$B8,'февраль 2024'!$J$4:$J$1413,V$1)</f>
        <v>0</v>
      </c>
      <c r="W8" s="144">
        <f>SUMIFS('февраль 2024'!$G$4:$G$1413,'февраль 2024'!$D$4:$D$1413,$B8,'февраль 2024'!$J$4:$J$1413,W$1)</f>
        <v>0</v>
      </c>
      <c r="X8" s="144">
        <f>SUMIFS('февраль 2024'!$G$4:$G$1413,'февраль 2024'!$D$4:$D$1413,$B8,'февраль 2024'!$J$4:$J$1413,X$1)</f>
        <v>0</v>
      </c>
      <c r="Y8" s="144">
        <f>SUMIFS('февраль 2024'!$G$4:$G$1413,'февраль 2024'!$D$4:$D$1413,$B8,'февраль 2024'!$J$4:$J$1413,Y$1)</f>
        <v>0</v>
      </c>
      <c r="Z8" s="144">
        <f>SUMIFS('февраль 2024'!$G$4:$G$1413,'февраль 2024'!$D$4:$D$1413,$B8,'февраль 2024'!$J$4:$J$1413,Z$1)</f>
        <v>0</v>
      </c>
      <c r="AA8" s="144">
        <f>SUMIFS('февраль 2024'!$G$4:$G$1413,'февраль 2024'!$D$4:$D$1413,$B8,'февраль 2024'!$J$4:$J$1413,AA$1)</f>
        <v>0</v>
      </c>
      <c r="AB8" s="144">
        <f>SUMIFS('февраль 2024'!$G$4:$G$1413,'февраль 2024'!$D$4:$D$1413,$B8,'февраль 2024'!$J$4:$J$1413,AB$1)</f>
        <v>0</v>
      </c>
      <c r="AC8" s="144">
        <f>SUMIFS('февраль 2024'!$G$4:$G$1413,'февраль 2024'!$D$4:$D$1413,$B8,'февраль 2024'!$J$4:$J$1413,AC$1)</f>
        <v>0</v>
      </c>
      <c r="AD8" s="144">
        <f>SUMIFS('февраль 2024'!$G$4:$G$1413,'февраль 2024'!$D$4:$D$1413,$B8,'февраль 2024'!$J$4:$J$1413,AD$1)</f>
        <v>0</v>
      </c>
      <c r="AE8" s="144">
        <f>SUMIFS('февраль 2024'!$G$4:$G$1413,'февраль 2024'!$D$4:$D$1413,$B8,'февраль 2024'!$J$4:$J$1413,AE$1)</f>
        <v>0</v>
      </c>
      <c r="AF8" s="144">
        <f>SUMIFS('февраль 2024'!$G$4:$G$1413,'февраль 2024'!$D$4:$D$1413,$B8,'февраль 2024'!$J$4:$J$1413,AF$1)</f>
        <v>0</v>
      </c>
      <c r="AG8" s="144">
        <f>SUMIFS('февраль 2024'!$G$4:$G$1413,'февраль 2024'!$D$4:$D$1413,$B8,'февраль 2024'!$J$4:$J$1413,AG$1)</f>
        <v>0</v>
      </c>
      <c r="AH8" s="144">
        <f>SUMIFS('февраль 2024'!$G$4:$G$1413,'февраль 2024'!$D$4:$D$1413,$B8,'февраль 2024'!$J$4:$J$1413,AH$1)</f>
        <v>0</v>
      </c>
      <c r="AI8" s="21">
        <f t="shared" si="1"/>
        <v>0</v>
      </c>
    </row>
    <row r="9" spans="2:35" ht="15" customHeight="1" x14ac:dyDescent="0.25">
      <c r="B9" s="81" t="s">
        <v>287</v>
      </c>
      <c r="C9" s="82">
        <v>25</v>
      </c>
      <c r="D9" s="144">
        <f>SUMIFS('февраль 2024'!$G$4:$G$1413,'февраль 2024'!$D$4:$D$1413,$B9,'февраль 2024'!$J$4:$J$1413,D$1)</f>
        <v>0</v>
      </c>
      <c r="E9" s="144">
        <f>SUMIFS('февраль 2024'!$G$4:$G$1413,'февраль 2024'!$D$4:$D$1413,$B9,'февраль 2024'!$J$4:$J$1413,E$1)</f>
        <v>0</v>
      </c>
      <c r="F9" s="144">
        <f>SUMIFS('февраль 2024'!$G$4:$G$1413,'февраль 2024'!$D$4:$D$1413,$B9,'февраль 2024'!$J$4:$J$1413,F$1)</f>
        <v>0</v>
      </c>
      <c r="G9" s="144">
        <f>SUMIFS('февраль 2024'!$G$4:$G$1413,'февраль 2024'!$D$4:$D$1413,$B9,'февраль 2024'!$J$4:$J$1413,G$1)</f>
        <v>0</v>
      </c>
      <c r="H9" s="144">
        <f>SUMIFS('февраль 2024'!$G$4:$G$1413,'февраль 2024'!$D$4:$D$1413,$B9,'февраль 2024'!$J$4:$J$1413,H$1)</f>
        <v>0</v>
      </c>
      <c r="I9" s="144">
        <f>SUMIFS('февраль 2024'!$G$4:$G$1413,'февраль 2024'!$D$4:$D$1413,$B9,'февраль 2024'!$J$4:$J$1413,I$1)</f>
        <v>0</v>
      </c>
      <c r="J9" s="144">
        <f>SUMIFS('февраль 2024'!$G$4:$G$1413,'февраль 2024'!$D$4:$D$1413,$B9,'февраль 2024'!$J$4:$J$1413,J$1)</f>
        <v>0</v>
      </c>
      <c r="K9" s="144">
        <f>SUMIFS('февраль 2024'!$G$4:$G$1413,'февраль 2024'!$D$4:$D$1413,$B9,'февраль 2024'!$J$4:$J$1413,K$1)</f>
        <v>0</v>
      </c>
      <c r="L9" s="144">
        <f>SUMIFS('февраль 2024'!$G$4:$G$1413,'февраль 2024'!$D$4:$D$1413,$B9,'февраль 2024'!$J$4:$J$1413,L$1)</f>
        <v>0</v>
      </c>
      <c r="M9" s="144">
        <f>SUMIFS('февраль 2024'!$G$4:$G$1413,'февраль 2024'!$D$4:$D$1413,$B9,'февраль 2024'!$J$4:$J$1413,M$1)</f>
        <v>0</v>
      </c>
      <c r="N9" s="144">
        <f>SUMIFS('февраль 2024'!$G$4:$G$1413,'февраль 2024'!$D$4:$D$1413,$B9,'февраль 2024'!$J$4:$J$1413,N$1)</f>
        <v>0</v>
      </c>
      <c r="O9" s="144">
        <f>SUMIFS('февраль 2024'!$G$4:$G$1413,'февраль 2024'!$D$4:$D$1413,$B9,'февраль 2024'!$J$4:$J$1413,O$1)</f>
        <v>0</v>
      </c>
      <c r="P9" s="144">
        <f>SUMIFS('февраль 2024'!$G$4:$G$1413,'февраль 2024'!$D$4:$D$1413,$B9,'февраль 2024'!$J$4:$J$1413,P$1)</f>
        <v>0</v>
      </c>
      <c r="Q9" s="144">
        <f>SUMIFS('февраль 2024'!$G$4:$G$1413,'февраль 2024'!$D$4:$D$1413,$B9,'февраль 2024'!$J$4:$J$1413,Q$1)</f>
        <v>0</v>
      </c>
      <c r="R9" s="144">
        <f>SUMIFS('февраль 2024'!$G$4:$G$1413,'февраль 2024'!$D$4:$D$1413,$B9,'февраль 2024'!$J$4:$J$1413,R$1)</f>
        <v>0</v>
      </c>
      <c r="S9" s="144">
        <f>SUMIFS('февраль 2024'!$G$4:$G$1413,'февраль 2024'!$D$4:$D$1413,$B9,'февраль 2024'!$J$4:$J$1413,S$1)</f>
        <v>1200</v>
      </c>
      <c r="T9" s="144">
        <f>SUMIFS('февраль 2024'!$G$4:$G$1413,'февраль 2024'!$D$4:$D$1413,$B9,'февраль 2024'!$J$4:$J$1413,T$1)</f>
        <v>0</v>
      </c>
      <c r="U9" s="144">
        <f>SUMIFS('февраль 2024'!$G$4:$G$1413,'февраль 2024'!$D$4:$D$1413,$B9,'февраль 2024'!$J$4:$J$1413,U$1)</f>
        <v>0</v>
      </c>
      <c r="V9" s="144">
        <f>SUMIFS('февраль 2024'!$G$4:$G$1413,'февраль 2024'!$D$4:$D$1413,$B9,'февраль 2024'!$J$4:$J$1413,V$1)</f>
        <v>0</v>
      </c>
      <c r="W9" s="144">
        <f>SUMIFS('февраль 2024'!$G$4:$G$1413,'февраль 2024'!$D$4:$D$1413,$B9,'февраль 2024'!$J$4:$J$1413,W$1)</f>
        <v>0</v>
      </c>
      <c r="X9" s="144">
        <f>SUMIFS('февраль 2024'!$G$4:$G$1413,'февраль 2024'!$D$4:$D$1413,$B9,'февраль 2024'!$J$4:$J$1413,X$1)</f>
        <v>0</v>
      </c>
      <c r="Y9" s="144">
        <f>SUMIFS('февраль 2024'!$G$4:$G$1413,'февраль 2024'!$D$4:$D$1413,$B9,'февраль 2024'!$J$4:$J$1413,Y$1)</f>
        <v>0</v>
      </c>
      <c r="Z9" s="144">
        <f>SUMIFS('февраль 2024'!$G$4:$G$1413,'февраль 2024'!$D$4:$D$1413,$B9,'февраль 2024'!$J$4:$J$1413,Z$1)</f>
        <v>0</v>
      </c>
      <c r="AA9" s="144">
        <f>SUMIFS('февраль 2024'!$G$4:$G$1413,'февраль 2024'!$D$4:$D$1413,$B9,'февраль 2024'!$J$4:$J$1413,AA$1)</f>
        <v>0</v>
      </c>
      <c r="AB9" s="144">
        <f>SUMIFS('февраль 2024'!$G$4:$G$1413,'февраль 2024'!$D$4:$D$1413,$B9,'февраль 2024'!$J$4:$J$1413,AB$1)</f>
        <v>0</v>
      </c>
      <c r="AC9" s="144">
        <f>SUMIFS('февраль 2024'!$G$4:$G$1413,'февраль 2024'!$D$4:$D$1413,$B9,'февраль 2024'!$J$4:$J$1413,AC$1)</f>
        <v>0</v>
      </c>
      <c r="AD9" s="144">
        <f>SUMIFS('февраль 2024'!$G$4:$G$1413,'февраль 2024'!$D$4:$D$1413,$B9,'февраль 2024'!$J$4:$J$1413,AD$1)</f>
        <v>0</v>
      </c>
      <c r="AE9" s="144">
        <f>SUMIFS('февраль 2024'!$G$4:$G$1413,'февраль 2024'!$D$4:$D$1413,$B9,'февраль 2024'!$J$4:$J$1413,AE$1)</f>
        <v>0</v>
      </c>
      <c r="AF9" s="144">
        <f>SUMIFS('февраль 2024'!$G$4:$G$1413,'февраль 2024'!$D$4:$D$1413,$B9,'февраль 2024'!$J$4:$J$1413,AF$1)</f>
        <v>0</v>
      </c>
      <c r="AG9" s="144">
        <f>SUMIFS('февраль 2024'!$G$4:$G$1413,'февраль 2024'!$D$4:$D$1413,$B9,'февраль 2024'!$J$4:$J$1413,AG$1)</f>
        <v>0</v>
      </c>
      <c r="AH9" s="144">
        <f>SUMIFS('февраль 2024'!$G$4:$G$1413,'февраль 2024'!$D$4:$D$1413,$B9,'февраль 2024'!$J$4:$J$1413,AH$1)</f>
        <v>0</v>
      </c>
      <c r="AI9" s="21">
        <f t="shared" si="1"/>
        <v>1200</v>
      </c>
    </row>
    <row r="10" spans="2:35" ht="15" customHeight="1" x14ac:dyDescent="0.25">
      <c r="B10" s="81" t="s">
        <v>289</v>
      </c>
      <c r="C10" s="82">
        <v>25</v>
      </c>
      <c r="D10" s="144">
        <f>SUMIFS('февраль 2024'!$G$4:$G$1413,'февраль 2024'!$D$4:$D$1413,$B10,'февраль 2024'!$J$4:$J$1413,D$1)</f>
        <v>0</v>
      </c>
      <c r="E10" s="144">
        <f>SUMIFS('февраль 2024'!$G$4:$G$1413,'февраль 2024'!$D$4:$D$1413,$B10,'февраль 2024'!$J$4:$J$1413,E$1)</f>
        <v>0</v>
      </c>
      <c r="F10" s="144">
        <f>SUMIFS('февраль 2024'!$G$4:$G$1413,'февраль 2024'!$D$4:$D$1413,$B10,'февраль 2024'!$J$4:$J$1413,F$1)</f>
        <v>0</v>
      </c>
      <c r="G10" s="144">
        <f>SUMIFS('февраль 2024'!$G$4:$G$1413,'февраль 2024'!$D$4:$D$1413,$B10,'февраль 2024'!$J$4:$J$1413,G$1)</f>
        <v>0</v>
      </c>
      <c r="H10" s="144">
        <f>SUMIFS('февраль 2024'!$G$4:$G$1413,'февраль 2024'!$D$4:$D$1413,$B10,'февраль 2024'!$J$4:$J$1413,H$1)</f>
        <v>0</v>
      </c>
      <c r="I10" s="144">
        <f>SUMIFS('февраль 2024'!$G$4:$G$1413,'февраль 2024'!$D$4:$D$1413,$B10,'февраль 2024'!$J$4:$J$1413,I$1)</f>
        <v>0</v>
      </c>
      <c r="J10" s="144">
        <f>SUMIFS('февраль 2024'!$G$4:$G$1413,'февраль 2024'!$D$4:$D$1413,$B10,'февраль 2024'!$J$4:$J$1413,J$1)</f>
        <v>0</v>
      </c>
      <c r="K10" s="144">
        <f>SUMIFS('февраль 2024'!$G$4:$G$1413,'февраль 2024'!$D$4:$D$1413,$B10,'февраль 2024'!$J$4:$J$1413,K$1)</f>
        <v>0</v>
      </c>
      <c r="L10" s="144">
        <f>SUMIFS('февраль 2024'!$G$4:$G$1413,'февраль 2024'!$D$4:$D$1413,$B10,'февраль 2024'!$J$4:$J$1413,L$1)</f>
        <v>800</v>
      </c>
      <c r="M10" s="144">
        <f>SUMIFS('февраль 2024'!$G$4:$G$1413,'февраль 2024'!$D$4:$D$1413,$B10,'февраль 2024'!$J$4:$J$1413,M$1)</f>
        <v>0</v>
      </c>
      <c r="N10" s="144">
        <f>SUMIFS('февраль 2024'!$G$4:$G$1413,'февраль 2024'!$D$4:$D$1413,$B10,'февраль 2024'!$J$4:$J$1413,N$1)</f>
        <v>0</v>
      </c>
      <c r="O10" s="144">
        <f>SUMIFS('февраль 2024'!$G$4:$G$1413,'февраль 2024'!$D$4:$D$1413,$B10,'февраль 2024'!$J$4:$J$1413,O$1)</f>
        <v>0</v>
      </c>
      <c r="P10" s="144">
        <f>SUMIFS('февраль 2024'!$G$4:$G$1413,'февраль 2024'!$D$4:$D$1413,$B10,'февраль 2024'!$J$4:$J$1413,P$1)</f>
        <v>0</v>
      </c>
      <c r="Q10" s="144">
        <f>SUMIFS('февраль 2024'!$G$4:$G$1413,'февраль 2024'!$D$4:$D$1413,$B10,'февраль 2024'!$J$4:$J$1413,Q$1)</f>
        <v>0</v>
      </c>
      <c r="R10" s="144">
        <f>SUMIFS('февраль 2024'!$G$4:$G$1413,'февраль 2024'!$D$4:$D$1413,$B10,'февраль 2024'!$J$4:$J$1413,R$1)</f>
        <v>0</v>
      </c>
      <c r="S10" s="144">
        <f>SUMIFS('февраль 2024'!$G$4:$G$1413,'февраль 2024'!$D$4:$D$1413,$B10,'февраль 2024'!$J$4:$J$1413,S$1)</f>
        <v>0</v>
      </c>
      <c r="T10" s="144">
        <f>SUMIFS('февраль 2024'!$G$4:$G$1413,'февраль 2024'!$D$4:$D$1413,$B10,'февраль 2024'!$J$4:$J$1413,T$1)</f>
        <v>0</v>
      </c>
      <c r="U10" s="144">
        <f>SUMIFS('февраль 2024'!$G$4:$G$1413,'февраль 2024'!$D$4:$D$1413,$B10,'февраль 2024'!$J$4:$J$1413,U$1)</f>
        <v>0</v>
      </c>
      <c r="V10" s="144">
        <f>SUMIFS('февраль 2024'!$G$4:$G$1413,'февраль 2024'!$D$4:$D$1413,$B10,'февраль 2024'!$J$4:$J$1413,V$1)</f>
        <v>0</v>
      </c>
      <c r="W10" s="144">
        <f>SUMIFS('февраль 2024'!$G$4:$G$1413,'февраль 2024'!$D$4:$D$1413,$B10,'февраль 2024'!$J$4:$J$1413,W$1)</f>
        <v>0</v>
      </c>
      <c r="X10" s="144">
        <f>SUMIFS('февраль 2024'!$G$4:$G$1413,'февраль 2024'!$D$4:$D$1413,$B10,'февраль 2024'!$J$4:$J$1413,X$1)</f>
        <v>0</v>
      </c>
      <c r="Y10" s="144">
        <f>SUMIFS('февраль 2024'!$G$4:$G$1413,'февраль 2024'!$D$4:$D$1413,$B10,'февраль 2024'!$J$4:$J$1413,Y$1)</f>
        <v>800</v>
      </c>
      <c r="Z10" s="144">
        <f>SUMIFS('февраль 2024'!$G$4:$G$1413,'февраль 2024'!$D$4:$D$1413,$B10,'февраль 2024'!$J$4:$J$1413,Z$1)</f>
        <v>0</v>
      </c>
      <c r="AA10" s="144">
        <f>SUMIFS('февраль 2024'!$G$4:$G$1413,'февраль 2024'!$D$4:$D$1413,$B10,'февраль 2024'!$J$4:$J$1413,AA$1)</f>
        <v>0</v>
      </c>
      <c r="AB10" s="144">
        <f>SUMIFS('февраль 2024'!$G$4:$G$1413,'февраль 2024'!$D$4:$D$1413,$B10,'февраль 2024'!$J$4:$J$1413,AB$1)</f>
        <v>0</v>
      </c>
      <c r="AC10" s="144">
        <f>SUMIFS('февраль 2024'!$G$4:$G$1413,'февраль 2024'!$D$4:$D$1413,$B10,'февраль 2024'!$J$4:$J$1413,AC$1)</f>
        <v>0</v>
      </c>
      <c r="AD10" s="144">
        <f>SUMIFS('февраль 2024'!$G$4:$G$1413,'февраль 2024'!$D$4:$D$1413,$B10,'февраль 2024'!$J$4:$J$1413,AD$1)</f>
        <v>0</v>
      </c>
      <c r="AE10" s="144">
        <f>SUMIFS('февраль 2024'!$G$4:$G$1413,'февраль 2024'!$D$4:$D$1413,$B10,'февраль 2024'!$J$4:$J$1413,AE$1)</f>
        <v>800</v>
      </c>
      <c r="AF10" s="144">
        <f>SUMIFS('февраль 2024'!$G$4:$G$1413,'февраль 2024'!$D$4:$D$1413,$B10,'февраль 2024'!$J$4:$J$1413,AF$1)</f>
        <v>0</v>
      </c>
      <c r="AG10" s="144">
        <f>SUMIFS('февраль 2024'!$G$4:$G$1413,'февраль 2024'!$D$4:$D$1413,$B10,'февраль 2024'!$J$4:$J$1413,AG$1)</f>
        <v>0</v>
      </c>
      <c r="AH10" s="144">
        <f>SUMIFS('февраль 2024'!$G$4:$G$1413,'февраль 2024'!$D$4:$D$1413,$B10,'февраль 2024'!$J$4:$J$1413,AH$1)</f>
        <v>0</v>
      </c>
      <c r="AI10" s="21">
        <f t="shared" si="1"/>
        <v>2400</v>
      </c>
    </row>
    <row r="11" spans="2:35" ht="15" customHeight="1" x14ac:dyDescent="0.25">
      <c r="B11" s="84" t="s">
        <v>291</v>
      </c>
      <c r="C11" s="85">
        <v>22.68</v>
      </c>
      <c r="D11" s="144">
        <f>SUMIFS('февраль 2024'!$G$4:$G$1413,'февраль 2024'!$D$4:$D$1413,$B11,'февраль 2024'!$J$4:$J$1413,D$1)</f>
        <v>0</v>
      </c>
      <c r="E11" s="144">
        <f>SUMIFS('февраль 2024'!$G$4:$G$1413,'февраль 2024'!$D$4:$D$1413,$B11,'февраль 2024'!$J$4:$J$1413,E$1)</f>
        <v>2100</v>
      </c>
      <c r="F11" s="144">
        <f>SUMIFS('февраль 2024'!$G$4:$G$1413,'февраль 2024'!$D$4:$D$1413,$B11,'февраль 2024'!$J$4:$J$1413,F$1)</f>
        <v>0</v>
      </c>
      <c r="G11" s="144">
        <f>SUMIFS('февраль 2024'!$G$4:$G$1413,'февраль 2024'!$D$4:$D$1413,$B11,'февраль 2024'!$J$4:$J$1413,G$1)</f>
        <v>0</v>
      </c>
      <c r="H11" s="144">
        <f>SUMIFS('февраль 2024'!$G$4:$G$1413,'февраль 2024'!$D$4:$D$1413,$B11,'февраль 2024'!$J$4:$J$1413,H$1)</f>
        <v>0</v>
      </c>
      <c r="I11" s="144">
        <f>SUMIFS('февраль 2024'!$G$4:$G$1413,'февраль 2024'!$D$4:$D$1413,$B11,'февраль 2024'!$J$4:$J$1413,I$1)</f>
        <v>0</v>
      </c>
      <c r="J11" s="144">
        <f>SUMIFS('февраль 2024'!$G$4:$G$1413,'февраль 2024'!$D$4:$D$1413,$B11,'февраль 2024'!$J$4:$J$1413,J$1)</f>
        <v>1400</v>
      </c>
      <c r="K11" s="144">
        <f>SUMIFS('февраль 2024'!$G$4:$G$1413,'февраль 2024'!$D$4:$D$1413,$B11,'февраль 2024'!$J$4:$J$1413,K$1)</f>
        <v>0</v>
      </c>
      <c r="L11" s="144">
        <f>SUMIFS('февраль 2024'!$G$4:$G$1413,'февраль 2024'!$D$4:$D$1413,$B11,'февраль 2024'!$J$4:$J$1413,L$1)</f>
        <v>0</v>
      </c>
      <c r="M11" s="144">
        <f>SUMIFS('февраль 2024'!$G$4:$G$1413,'февраль 2024'!$D$4:$D$1413,$B11,'февраль 2024'!$J$4:$J$1413,M$1)</f>
        <v>0</v>
      </c>
      <c r="N11" s="144">
        <f>SUMIFS('февраль 2024'!$G$4:$G$1413,'февраль 2024'!$D$4:$D$1413,$B11,'февраль 2024'!$J$4:$J$1413,N$1)</f>
        <v>0</v>
      </c>
      <c r="O11" s="144">
        <f>SUMIFS('февраль 2024'!$G$4:$G$1413,'февраль 2024'!$D$4:$D$1413,$B11,'февраль 2024'!$J$4:$J$1413,O$1)</f>
        <v>0</v>
      </c>
      <c r="P11" s="144">
        <f>SUMIFS('февраль 2024'!$G$4:$G$1413,'февраль 2024'!$D$4:$D$1413,$B11,'февраль 2024'!$J$4:$J$1413,P$1)</f>
        <v>0</v>
      </c>
      <c r="Q11" s="144">
        <f>SUMIFS('февраль 2024'!$G$4:$G$1413,'февраль 2024'!$D$4:$D$1413,$B11,'февраль 2024'!$J$4:$J$1413,Q$1)</f>
        <v>0</v>
      </c>
      <c r="R11" s="144">
        <f>SUMIFS('февраль 2024'!$G$4:$G$1413,'февраль 2024'!$D$4:$D$1413,$B11,'февраль 2024'!$J$4:$J$1413,R$1)</f>
        <v>0</v>
      </c>
      <c r="S11" s="144">
        <f>SUMIFS('февраль 2024'!$G$4:$G$1413,'февраль 2024'!$D$4:$D$1413,$B11,'февраль 2024'!$J$4:$J$1413,S$1)</f>
        <v>0</v>
      </c>
      <c r="T11" s="144">
        <f>SUMIFS('февраль 2024'!$G$4:$G$1413,'февраль 2024'!$D$4:$D$1413,$B11,'февраль 2024'!$J$4:$J$1413,T$1)</f>
        <v>0</v>
      </c>
      <c r="U11" s="144">
        <f>SUMIFS('февраль 2024'!$G$4:$G$1413,'февраль 2024'!$D$4:$D$1413,$B11,'февраль 2024'!$J$4:$J$1413,U$1)</f>
        <v>0</v>
      </c>
      <c r="V11" s="144">
        <f>SUMIFS('февраль 2024'!$G$4:$G$1413,'февраль 2024'!$D$4:$D$1413,$B11,'февраль 2024'!$J$4:$J$1413,V$1)</f>
        <v>0</v>
      </c>
      <c r="W11" s="144">
        <f>SUMIFS('февраль 2024'!$G$4:$G$1413,'февраль 2024'!$D$4:$D$1413,$B11,'февраль 2024'!$J$4:$J$1413,W$1)</f>
        <v>0</v>
      </c>
      <c r="X11" s="144">
        <f>SUMIFS('февраль 2024'!$G$4:$G$1413,'февраль 2024'!$D$4:$D$1413,$B11,'февраль 2024'!$J$4:$J$1413,X$1)</f>
        <v>0</v>
      </c>
      <c r="Y11" s="144">
        <f>SUMIFS('февраль 2024'!$G$4:$G$1413,'февраль 2024'!$D$4:$D$1413,$B11,'февраль 2024'!$J$4:$J$1413,Y$1)</f>
        <v>0</v>
      </c>
      <c r="Z11" s="144">
        <f>SUMIFS('февраль 2024'!$G$4:$G$1413,'февраль 2024'!$D$4:$D$1413,$B11,'февраль 2024'!$J$4:$J$1413,Z$1)</f>
        <v>0</v>
      </c>
      <c r="AA11" s="144">
        <f>SUMIFS('февраль 2024'!$G$4:$G$1413,'февраль 2024'!$D$4:$D$1413,$B11,'февраль 2024'!$J$4:$J$1413,AA$1)</f>
        <v>0</v>
      </c>
      <c r="AB11" s="144">
        <f>SUMIFS('февраль 2024'!$G$4:$G$1413,'февраль 2024'!$D$4:$D$1413,$B11,'февраль 2024'!$J$4:$J$1413,AB$1)</f>
        <v>0</v>
      </c>
      <c r="AC11" s="144">
        <f>SUMIFS('февраль 2024'!$G$4:$G$1413,'февраль 2024'!$D$4:$D$1413,$B11,'февраль 2024'!$J$4:$J$1413,AC$1)</f>
        <v>0</v>
      </c>
      <c r="AD11" s="144">
        <f>SUMIFS('февраль 2024'!$G$4:$G$1413,'февраль 2024'!$D$4:$D$1413,$B11,'февраль 2024'!$J$4:$J$1413,AD$1)</f>
        <v>0</v>
      </c>
      <c r="AE11" s="144">
        <f>SUMIFS('февраль 2024'!$G$4:$G$1413,'февраль 2024'!$D$4:$D$1413,$B11,'февраль 2024'!$J$4:$J$1413,AE$1)</f>
        <v>0</v>
      </c>
      <c r="AF11" s="144">
        <f>SUMIFS('февраль 2024'!$G$4:$G$1413,'февраль 2024'!$D$4:$D$1413,$B11,'февраль 2024'!$J$4:$J$1413,AF$1)</f>
        <v>2800</v>
      </c>
      <c r="AG11" s="144">
        <f>SUMIFS('февраль 2024'!$G$4:$G$1413,'февраль 2024'!$D$4:$D$1413,$B11,'февраль 2024'!$J$4:$J$1413,AG$1)</f>
        <v>0</v>
      </c>
      <c r="AH11" s="144">
        <f>SUMIFS('февраль 2024'!$G$4:$G$1413,'февраль 2024'!$D$4:$D$1413,$B11,'февраль 2024'!$J$4:$J$1413,AH$1)</f>
        <v>0</v>
      </c>
      <c r="AI11" s="21">
        <f t="shared" si="1"/>
        <v>6300</v>
      </c>
    </row>
    <row r="12" spans="2:35" ht="15" customHeight="1" x14ac:dyDescent="0.25">
      <c r="B12" s="84" t="s">
        <v>293</v>
      </c>
      <c r="C12" s="85">
        <v>22.68</v>
      </c>
      <c r="D12" s="144">
        <f>SUMIFS('февраль 2024'!$G$4:$G$1413,'февраль 2024'!$D$4:$D$1413,$B12,'февраль 2024'!$J$4:$J$1413,D$1)</f>
        <v>0</v>
      </c>
      <c r="E12" s="144">
        <f>SUMIFS('февраль 2024'!$G$4:$G$1413,'февраль 2024'!$D$4:$D$1413,$B12,'февраль 2024'!$J$4:$J$1413,E$1)</f>
        <v>0</v>
      </c>
      <c r="F12" s="144">
        <f>SUMIFS('февраль 2024'!$G$4:$G$1413,'февраль 2024'!$D$4:$D$1413,$B12,'февраль 2024'!$J$4:$J$1413,F$1)</f>
        <v>0</v>
      </c>
      <c r="G12" s="144">
        <f>SUMIFS('февраль 2024'!$G$4:$G$1413,'февраль 2024'!$D$4:$D$1413,$B12,'февраль 2024'!$J$4:$J$1413,G$1)</f>
        <v>0</v>
      </c>
      <c r="H12" s="144">
        <f>SUMIFS('февраль 2024'!$G$4:$G$1413,'февраль 2024'!$D$4:$D$1413,$B12,'февраль 2024'!$J$4:$J$1413,H$1)</f>
        <v>0</v>
      </c>
      <c r="I12" s="144">
        <f>SUMIFS('февраль 2024'!$G$4:$G$1413,'февраль 2024'!$D$4:$D$1413,$B12,'февраль 2024'!$J$4:$J$1413,I$1)</f>
        <v>0</v>
      </c>
      <c r="J12" s="144">
        <f>SUMIFS('февраль 2024'!$G$4:$G$1413,'февраль 2024'!$D$4:$D$1413,$B12,'февраль 2024'!$J$4:$J$1413,J$1)</f>
        <v>0</v>
      </c>
      <c r="K12" s="144">
        <f>SUMIFS('февраль 2024'!$G$4:$G$1413,'февраль 2024'!$D$4:$D$1413,$B12,'февраль 2024'!$J$4:$J$1413,K$1)</f>
        <v>0</v>
      </c>
      <c r="L12" s="144">
        <f>SUMIFS('февраль 2024'!$G$4:$G$1413,'февраль 2024'!$D$4:$D$1413,$B12,'февраль 2024'!$J$4:$J$1413,L$1)</f>
        <v>0</v>
      </c>
      <c r="M12" s="144">
        <f>SUMIFS('февраль 2024'!$G$4:$G$1413,'февраль 2024'!$D$4:$D$1413,$B12,'февраль 2024'!$J$4:$J$1413,M$1)</f>
        <v>0</v>
      </c>
      <c r="N12" s="144">
        <f>SUMIFS('февраль 2024'!$G$4:$G$1413,'февраль 2024'!$D$4:$D$1413,$B12,'февраль 2024'!$J$4:$J$1413,N$1)</f>
        <v>0</v>
      </c>
      <c r="O12" s="144">
        <f>SUMIFS('февраль 2024'!$G$4:$G$1413,'февраль 2024'!$D$4:$D$1413,$B12,'февраль 2024'!$J$4:$J$1413,O$1)</f>
        <v>0</v>
      </c>
      <c r="P12" s="144">
        <f>SUMIFS('февраль 2024'!$G$4:$G$1413,'февраль 2024'!$D$4:$D$1413,$B12,'февраль 2024'!$J$4:$J$1413,P$1)</f>
        <v>0</v>
      </c>
      <c r="Q12" s="144">
        <f>SUMIFS('февраль 2024'!$G$4:$G$1413,'февраль 2024'!$D$4:$D$1413,$B12,'февраль 2024'!$J$4:$J$1413,Q$1)</f>
        <v>0</v>
      </c>
      <c r="R12" s="144">
        <f>SUMIFS('февраль 2024'!$G$4:$G$1413,'февраль 2024'!$D$4:$D$1413,$B12,'февраль 2024'!$J$4:$J$1413,R$1)</f>
        <v>0</v>
      </c>
      <c r="S12" s="144">
        <f>SUMIFS('февраль 2024'!$G$4:$G$1413,'февраль 2024'!$D$4:$D$1413,$B12,'февраль 2024'!$J$4:$J$1413,S$1)</f>
        <v>0</v>
      </c>
      <c r="T12" s="144">
        <f>SUMIFS('февраль 2024'!$G$4:$G$1413,'февраль 2024'!$D$4:$D$1413,$B12,'февраль 2024'!$J$4:$J$1413,T$1)</f>
        <v>0</v>
      </c>
      <c r="U12" s="144">
        <f>SUMIFS('февраль 2024'!$G$4:$G$1413,'февраль 2024'!$D$4:$D$1413,$B12,'февраль 2024'!$J$4:$J$1413,U$1)</f>
        <v>0</v>
      </c>
      <c r="V12" s="144">
        <f>SUMIFS('февраль 2024'!$G$4:$G$1413,'февраль 2024'!$D$4:$D$1413,$B12,'февраль 2024'!$J$4:$J$1413,V$1)</f>
        <v>0</v>
      </c>
      <c r="W12" s="144">
        <f>SUMIFS('февраль 2024'!$G$4:$G$1413,'февраль 2024'!$D$4:$D$1413,$B12,'февраль 2024'!$J$4:$J$1413,W$1)</f>
        <v>0</v>
      </c>
      <c r="X12" s="144">
        <f>SUMIFS('февраль 2024'!$G$4:$G$1413,'февраль 2024'!$D$4:$D$1413,$B12,'февраль 2024'!$J$4:$J$1413,X$1)</f>
        <v>0</v>
      </c>
      <c r="Y12" s="144">
        <f>SUMIFS('февраль 2024'!$G$4:$G$1413,'февраль 2024'!$D$4:$D$1413,$B12,'февраль 2024'!$J$4:$J$1413,Y$1)</f>
        <v>0</v>
      </c>
      <c r="Z12" s="144">
        <f>SUMIFS('февраль 2024'!$G$4:$G$1413,'февраль 2024'!$D$4:$D$1413,$B12,'февраль 2024'!$J$4:$J$1413,Z$1)</f>
        <v>0</v>
      </c>
      <c r="AA12" s="144">
        <f>SUMIFS('февраль 2024'!$G$4:$G$1413,'февраль 2024'!$D$4:$D$1413,$B12,'февраль 2024'!$J$4:$J$1413,AA$1)</f>
        <v>0</v>
      </c>
      <c r="AB12" s="144">
        <f>SUMIFS('февраль 2024'!$G$4:$G$1413,'февраль 2024'!$D$4:$D$1413,$B12,'февраль 2024'!$J$4:$J$1413,AB$1)</f>
        <v>0</v>
      </c>
      <c r="AC12" s="144">
        <f>SUMIFS('февраль 2024'!$G$4:$G$1413,'февраль 2024'!$D$4:$D$1413,$B12,'февраль 2024'!$J$4:$J$1413,AC$1)</f>
        <v>0</v>
      </c>
      <c r="AD12" s="144">
        <f>SUMIFS('февраль 2024'!$G$4:$G$1413,'февраль 2024'!$D$4:$D$1413,$B12,'февраль 2024'!$J$4:$J$1413,AD$1)</f>
        <v>0</v>
      </c>
      <c r="AE12" s="144">
        <f>SUMIFS('февраль 2024'!$G$4:$G$1413,'февраль 2024'!$D$4:$D$1413,$B12,'февраль 2024'!$J$4:$J$1413,AE$1)</f>
        <v>0</v>
      </c>
      <c r="AF12" s="144">
        <f>SUMIFS('февраль 2024'!$G$4:$G$1413,'февраль 2024'!$D$4:$D$1413,$B12,'февраль 2024'!$J$4:$J$1413,AF$1)</f>
        <v>0</v>
      </c>
      <c r="AG12" s="144">
        <f>SUMIFS('февраль 2024'!$G$4:$G$1413,'февраль 2024'!$D$4:$D$1413,$B12,'февраль 2024'!$J$4:$J$1413,AG$1)</f>
        <v>0</v>
      </c>
      <c r="AH12" s="144">
        <f>SUMIFS('февраль 2024'!$G$4:$G$1413,'февраль 2024'!$D$4:$D$1413,$B12,'февраль 2024'!$J$4:$J$1413,AH$1)</f>
        <v>0</v>
      </c>
      <c r="AI12" s="21">
        <f t="shared" si="1"/>
        <v>0</v>
      </c>
    </row>
    <row r="13" spans="2:35" ht="15" customHeight="1" x14ac:dyDescent="0.25">
      <c r="B13" s="84" t="s">
        <v>295</v>
      </c>
      <c r="C13" s="85">
        <v>22.7</v>
      </c>
      <c r="D13" s="144">
        <f>SUMIFS('февраль 2024'!$G$4:$G$1413,'февраль 2024'!$D$4:$D$1413,$B13,'февраль 2024'!$J$4:$J$1413,D$1)</f>
        <v>0</v>
      </c>
      <c r="E13" s="144">
        <f>SUMIFS('февраль 2024'!$G$4:$G$1413,'февраль 2024'!$D$4:$D$1413,$B13,'февраль 2024'!$J$4:$J$1413,E$1)</f>
        <v>0</v>
      </c>
      <c r="F13" s="144">
        <f>SUMIFS('февраль 2024'!$G$4:$G$1413,'февраль 2024'!$D$4:$D$1413,$B13,'февраль 2024'!$J$4:$J$1413,F$1)</f>
        <v>0</v>
      </c>
      <c r="G13" s="144">
        <f>SUMIFS('февраль 2024'!$G$4:$G$1413,'февраль 2024'!$D$4:$D$1413,$B13,'февраль 2024'!$J$4:$J$1413,G$1)</f>
        <v>0</v>
      </c>
      <c r="H13" s="144">
        <f>SUMIFS('февраль 2024'!$G$4:$G$1413,'февраль 2024'!$D$4:$D$1413,$B13,'февраль 2024'!$J$4:$J$1413,H$1)</f>
        <v>0</v>
      </c>
      <c r="I13" s="144">
        <f>SUMIFS('февраль 2024'!$G$4:$G$1413,'февраль 2024'!$D$4:$D$1413,$B13,'февраль 2024'!$J$4:$J$1413,I$1)</f>
        <v>0</v>
      </c>
      <c r="J13" s="144">
        <f>SUMIFS('февраль 2024'!$G$4:$G$1413,'февраль 2024'!$D$4:$D$1413,$B13,'февраль 2024'!$J$4:$J$1413,J$1)</f>
        <v>0</v>
      </c>
      <c r="K13" s="144">
        <f>SUMIFS('февраль 2024'!$G$4:$G$1413,'февраль 2024'!$D$4:$D$1413,$B13,'февраль 2024'!$J$4:$J$1413,K$1)</f>
        <v>0</v>
      </c>
      <c r="L13" s="144">
        <f>SUMIFS('февраль 2024'!$G$4:$G$1413,'февраль 2024'!$D$4:$D$1413,$B13,'февраль 2024'!$J$4:$J$1413,L$1)</f>
        <v>0</v>
      </c>
      <c r="M13" s="144">
        <f>SUMIFS('февраль 2024'!$G$4:$G$1413,'февраль 2024'!$D$4:$D$1413,$B13,'февраль 2024'!$J$4:$J$1413,M$1)</f>
        <v>0</v>
      </c>
      <c r="N13" s="144">
        <f>SUMIFS('февраль 2024'!$G$4:$G$1413,'февраль 2024'!$D$4:$D$1413,$B13,'февраль 2024'!$J$4:$J$1413,N$1)</f>
        <v>0</v>
      </c>
      <c r="O13" s="144">
        <f>SUMIFS('февраль 2024'!$G$4:$G$1413,'февраль 2024'!$D$4:$D$1413,$B13,'февраль 2024'!$J$4:$J$1413,O$1)</f>
        <v>0</v>
      </c>
      <c r="P13" s="144">
        <f>SUMIFS('февраль 2024'!$G$4:$G$1413,'февраль 2024'!$D$4:$D$1413,$B13,'февраль 2024'!$J$4:$J$1413,P$1)</f>
        <v>0</v>
      </c>
      <c r="Q13" s="144">
        <f>SUMIFS('февраль 2024'!$G$4:$G$1413,'февраль 2024'!$D$4:$D$1413,$B13,'февраль 2024'!$J$4:$J$1413,Q$1)</f>
        <v>0</v>
      </c>
      <c r="R13" s="144">
        <f>SUMIFS('февраль 2024'!$G$4:$G$1413,'февраль 2024'!$D$4:$D$1413,$B13,'февраль 2024'!$J$4:$J$1413,R$1)</f>
        <v>0</v>
      </c>
      <c r="S13" s="144">
        <f>SUMIFS('февраль 2024'!$G$4:$G$1413,'февраль 2024'!$D$4:$D$1413,$B13,'февраль 2024'!$J$4:$J$1413,S$1)</f>
        <v>0</v>
      </c>
      <c r="T13" s="144">
        <f>SUMIFS('февраль 2024'!$G$4:$G$1413,'февраль 2024'!$D$4:$D$1413,$B13,'февраль 2024'!$J$4:$J$1413,T$1)</f>
        <v>0</v>
      </c>
      <c r="U13" s="144">
        <f>SUMIFS('февраль 2024'!$G$4:$G$1413,'февраль 2024'!$D$4:$D$1413,$B13,'февраль 2024'!$J$4:$J$1413,U$1)</f>
        <v>0</v>
      </c>
      <c r="V13" s="144">
        <f>SUMIFS('февраль 2024'!$G$4:$G$1413,'февраль 2024'!$D$4:$D$1413,$B13,'февраль 2024'!$J$4:$J$1413,V$1)</f>
        <v>0</v>
      </c>
      <c r="W13" s="144">
        <f>SUMIFS('февраль 2024'!$G$4:$G$1413,'февраль 2024'!$D$4:$D$1413,$B13,'февраль 2024'!$J$4:$J$1413,W$1)</f>
        <v>0</v>
      </c>
      <c r="X13" s="144">
        <f>SUMIFS('февраль 2024'!$G$4:$G$1413,'февраль 2024'!$D$4:$D$1413,$B13,'февраль 2024'!$J$4:$J$1413,X$1)</f>
        <v>0</v>
      </c>
      <c r="Y13" s="144">
        <f>SUMIFS('февраль 2024'!$G$4:$G$1413,'февраль 2024'!$D$4:$D$1413,$B13,'февраль 2024'!$J$4:$J$1413,Y$1)</f>
        <v>0</v>
      </c>
      <c r="Z13" s="144">
        <f>SUMIFS('февраль 2024'!$G$4:$G$1413,'февраль 2024'!$D$4:$D$1413,$B13,'февраль 2024'!$J$4:$J$1413,Z$1)</f>
        <v>0</v>
      </c>
      <c r="AA13" s="144">
        <f>SUMIFS('февраль 2024'!$G$4:$G$1413,'февраль 2024'!$D$4:$D$1413,$B13,'февраль 2024'!$J$4:$J$1413,AA$1)</f>
        <v>0</v>
      </c>
      <c r="AB13" s="144">
        <f>SUMIFS('февраль 2024'!$G$4:$G$1413,'февраль 2024'!$D$4:$D$1413,$B13,'февраль 2024'!$J$4:$J$1413,AB$1)</f>
        <v>0</v>
      </c>
      <c r="AC13" s="144">
        <f>SUMIFS('февраль 2024'!$G$4:$G$1413,'февраль 2024'!$D$4:$D$1413,$B13,'февраль 2024'!$J$4:$J$1413,AC$1)</f>
        <v>0</v>
      </c>
      <c r="AD13" s="144">
        <f>SUMIFS('февраль 2024'!$G$4:$G$1413,'февраль 2024'!$D$4:$D$1413,$B13,'февраль 2024'!$J$4:$J$1413,AD$1)</f>
        <v>0</v>
      </c>
      <c r="AE13" s="144">
        <f>SUMIFS('февраль 2024'!$G$4:$G$1413,'февраль 2024'!$D$4:$D$1413,$B13,'февраль 2024'!$J$4:$J$1413,AE$1)</f>
        <v>0</v>
      </c>
      <c r="AF13" s="144">
        <f>SUMIFS('февраль 2024'!$G$4:$G$1413,'февраль 2024'!$D$4:$D$1413,$B13,'февраль 2024'!$J$4:$J$1413,AF$1)</f>
        <v>1750</v>
      </c>
      <c r="AG13" s="144">
        <f>SUMIFS('февраль 2024'!$G$4:$G$1413,'февраль 2024'!$D$4:$D$1413,$B13,'февраль 2024'!$J$4:$J$1413,AG$1)</f>
        <v>0</v>
      </c>
      <c r="AH13" s="144">
        <f>SUMIFS('февраль 2024'!$G$4:$G$1413,'февраль 2024'!$D$4:$D$1413,$B13,'февраль 2024'!$J$4:$J$1413,AH$1)</f>
        <v>0</v>
      </c>
      <c r="AI13" s="21">
        <f t="shared" si="1"/>
        <v>1750</v>
      </c>
    </row>
    <row r="14" spans="2:35" ht="15" customHeight="1" x14ac:dyDescent="0.25">
      <c r="B14" s="81" t="s">
        <v>297</v>
      </c>
      <c r="C14" s="82">
        <v>22.7</v>
      </c>
      <c r="D14" s="144">
        <f>SUMIFS('февраль 2024'!$G$4:$G$1413,'февраль 2024'!$D$4:$D$1413,$B14,'февраль 2024'!$J$4:$J$1413,D$1)</f>
        <v>0</v>
      </c>
      <c r="E14" s="144">
        <f>SUMIFS('февраль 2024'!$G$4:$G$1413,'февраль 2024'!$D$4:$D$1413,$B14,'февраль 2024'!$J$4:$J$1413,E$1)</f>
        <v>0</v>
      </c>
      <c r="F14" s="144">
        <f>SUMIFS('февраль 2024'!$G$4:$G$1413,'февраль 2024'!$D$4:$D$1413,$B14,'февраль 2024'!$J$4:$J$1413,F$1)</f>
        <v>0</v>
      </c>
      <c r="G14" s="144">
        <f>SUMIFS('февраль 2024'!$G$4:$G$1413,'февраль 2024'!$D$4:$D$1413,$B14,'февраль 2024'!$J$4:$J$1413,G$1)</f>
        <v>0</v>
      </c>
      <c r="H14" s="144">
        <f>SUMIFS('февраль 2024'!$G$4:$G$1413,'февраль 2024'!$D$4:$D$1413,$B14,'февраль 2024'!$J$4:$J$1413,H$1)</f>
        <v>0</v>
      </c>
      <c r="I14" s="144">
        <f>SUMIFS('февраль 2024'!$G$4:$G$1413,'февраль 2024'!$D$4:$D$1413,$B14,'февраль 2024'!$J$4:$J$1413,I$1)</f>
        <v>0</v>
      </c>
      <c r="J14" s="144">
        <f>SUMIFS('февраль 2024'!$G$4:$G$1413,'февраль 2024'!$D$4:$D$1413,$B14,'февраль 2024'!$J$4:$J$1413,J$1)</f>
        <v>0</v>
      </c>
      <c r="K14" s="144">
        <f>SUMIFS('февраль 2024'!$G$4:$G$1413,'февраль 2024'!$D$4:$D$1413,$B14,'февраль 2024'!$J$4:$J$1413,K$1)</f>
        <v>0</v>
      </c>
      <c r="L14" s="144">
        <f>SUMIFS('февраль 2024'!$G$4:$G$1413,'февраль 2024'!$D$4:$D$1413,$B14,'февраль 2024'!$J$4:$J$1413,L$1)</f>
        <v>0</v>
      </c>
      <c r="M14" s="144">
        <f>SUMIFS('февраль 2024'!$G$4:$G$1413,'февраль 2024'!$D$4:$D$1413,$B14,'февраль 2024'!$J$4:$J$1413,M$1)</f>
        <v>0</v>
      </c>
      <c r="N14" s="144">
        <f>SUMIFS('февраль 2024'!$G$4:$G$1413,'февраль 2024'!$D$4:$D$1413,$B14,'февраль 2024'!$J$4:$J$1413,N$1)</f>
        <v>0</v>
      </c>
      <c r="O14" s="144">
        <f>SUMIFS('февраль 2024'!$G$4:$G$1413,'февраль 2024'!$D$4:$D$1413,$B14,'февраль 2024'!$J$4:$J$1413,O$1)</f>
        <v>0</v>
      </c>
      <c r="P14" s="144">
        <f>SUMIFS('февраль 2024'!$G$4:$G$1413,'февраль 2024'!$D$4:$D$1413,$B14,'февраль 2024'!$J$4:$J$1413,P$1)</f>
        <v>0</v>
      </c>
      <c r="Q14" s="144">
        <f>SUMIFS('февраль 2024'!$G$4:$G$1413,'февраль 2024'!$D$4:$D$1413,$B14,'февраль 2024'!$J$4:$J$1413,Q$1)</f>
        <v>0</v>
      </c>
      <c r="R14" s="144">
        <f>SUMIFS('февраль 2024'!$G$4:$G$1413,'февраль 2024'!$D$4:$D$1413,$B14,'февраль 2024'!$J$4:$J$1413,R$1)</f>
        <v>0</v>
      </c>
      <c r="S14" s="144">
        <f>SUMIFS('февраль 2024'!$G$4:$G$1413,'февраль 2024'!$D$4:$D$1413,$B14,'февраль 2024'!$J$4:$J$1413,S$1)</f>
        <v>0</v>
      </c>
      <c r="T14" s="144">
        <f>SUMIFS('февраль 2024'!$G$4:$G$1413,'февраль 2024'!$D$4:$D$1413,$B14,'февраль 2024'!$J$4:$J$1413,T$1)</f>
        <v>0</v>
      </c>
      <c r="U14" s="144">
        <f>SUMIFS('февраль 2024'!$G$4:$G$1413,'февраль 2024'!$D$4:$D$1413,$B14,'февраль 2024'!$J$4:$J$1413,U$1)</f>
        <v>0</v>
      </c>
      <c r="V14" s="144">
        <f>SUMIFS('февраль 2024'!$G$4:$G$1413,'февраль 2024'!$D$4:$D$1413,$B14,'февраль 2024'!$J$4:$J$1413,V$1)</f>
        <v>0</v>
      </c>
      <c r="W14" s="144">
        <f>SUMIFS('февраль 2024'!$G$4:$G$1413,'февраль 2024'!$D$4:$D$1413,$B14,'февраль 2024'!$J$4:$J$1413,W$1)</f>
        <v>0</v>
      </c>
      <c r="X14" s="144">
        <f>SUMIFS('февраль 2024'!$G$4:$G$1413,'февраль 2024'!$D$4:$D$1413,$B14,'февраль 2024'!$J$4:$J$1413,X$1)</f>
        <v>0</v>
      </c>
      <c r="Y14" s="144">
        <f>SUMIFS('февраль 2024'!$G$4:$G$1413,'февраль 2024'!$D$4:$D$1413,$B14,'февраль 2024'!$J$4:$J$1413,Y$1)</f>
        <v>0</v>
      </c>
      <c r="Z14" s="144">
        <f>SUMIFS('февраль 2024'!$G$4:$G$1413,'февраль 2024'!$D$4:$D$1413,$B14,'февраль 2024'!$J$4:$J$1413,Z$1)</f>
        <v>0</v>
      </c>
      <c r="AA14" s="144">
        <f>SUMIFS('февраль 2024'!$G$4:$G$1413,'февраль 2024'!$D$4:$D$1413,$B14,'февраль 2024'!$J$4:$J$1413,AA$1)</f>
        <v>0</v>
      </c>
      <c r="AB14" s="144">
        <f>SUMIFS('февраль 2024'!$G$4:$G$1413,'февраль 2024'!$D$4:$D$1413,$B14,'февраль 2024'!$J$4:$J$1413,AB$1)</f>
        <v>0</v>
      </c>
      <c r="AC14" s="144">
        <f>SUMIFS('февраль 2024'!$G$4:$G$1413,'февраль 2024'!$D$4:$D$1413,$B14,'февраль 2024'!$J$4:$J$1413,AC$1)</f>
        <v>0</v>
      </c>
      <c r="AD14" s="144">
        <f>SUMIFS('февраль 2024'!$G$4:$G$1413,'февраль 2024'!$D$4:$D$1413,$B14,'февраль 2024'!$J$4:$J$1413,AD$1)</f>
        <v>0</v>
      </c>
      <c r="AE14" s="144">
        <f>SUMIFS('февраль 2024'!$G$4:$G$1413,'февраль 2024'!$D$4:$D$1413,$B14,'февраль 2024'!$J$4:$J$1413,AE$1)</f>
        <v>0</v>
      </c>
      <c r="AF14" s="144">
        <f>SUMIFS('февраль 2024'!$G$4:$G$1413,'февраль 2024'!$D$4:$D$1413,$B14,'февраль 2024'!$J$4:$J$1413,AF$1)</f>
        <v>0</v>
      </c>
      <c r="AG14" s="144">
        <f>SUMIFS('февраль 2024'!$G$4:$G$1413,'февраль 2024'!$D$4:$D$1413,$B14,'февраль 2024'!$J$4:$J$1413,AG$1)</f>
        <v>0</v>
      </c>
      <c r="AH14" s="144">
        <f>SUMIFS('февраль 2024'!$G$4:$G$1413,'февраль 2024'!$D$4:$D$1413,$B14,'февраль 2024'!$J$4:$J$1413,AH$1)</f>
        <v>0</v>
      </c>
      <c r="AI14" s="21">
        <f t="shared" si="1"/>
        <v>0</v>
      </c>
    </row>
    <row r="15" spans="2:35" ht="15" customHeight="1" x14ac:dyDescent="0.25">
      <c r="B15" s="84" t="s">
        <v>299</v>
      </c>
      <c r="C15" s="85">
        <v>22.7</v>
      </c>
      <c r="D15" s="144">
        <f>SUMIFS('февраль 2024'!$G$4:$G$1413,'февраль 2024'!$D$4:$D$1413,$B15,'февраль 2024'!$J$4:$J$1413,D$1)</f>
        <v>0</v>
      </c>
      <c r="E15" s="144">
        <f>SUMIFS('февраль 2024'!$G$4:$G$1413,'февраль 2024'!$D$4:$D$1413,$B15,'февраль 2024'!$J$4:$J$1413,E$1)</f>
        <v>0</v>
      </c>
      <c r="F15" s="144">
        <f>SUMIFS('февраль 2024'!$G$4:$G$1413,'февраль 2024'!$D$4:$D$1413,$B15,'февраль 2024'!$J$4:$J$1413,F$1)</f>
        <v>0</v>
      </c>
      <c r="G15" s="144">
        <f>SUMIFS('февраль 2024'!$G$4:$G$1413,'февраль 2024'!$D$4:$D$1413,$B15,'февраль 2024'!$J$4:$J$1413,G$1)</f>
        <v>0</v>
      </c>
      <c r="H15" s="144">
        <f>SUMIFS('февраль 2024'!$G$4:$G$1413,'февраль 2024'!$D$4:$D$1413,$B15,'февраль 2024'!$J$4:$J$1413,H$1)</f>
        <v>0</v>
      </c>
      <c r="I15" s="144">
        <f>SUMIFS('февраль 2024'!$G$4:$G$1413,'февраль 2024'!$D$4:$D$1413,$B15,'февраль 2024'!$J$4:$J$1413,I$1)</f>
        <v>0</v>
      </c>
      <c r="J15" s="144">
        <f>SUMIFS('февраль 2024'!$G$4:$G$1413,'февраль 2024'!$D$4:$D$1413,$B15,'февраль 2024'!$J$4:$J$1413,J$1)</f>
        <v>0</v>
      </c>
      <c r="K15" s="144">
        <f>SUMIFS('февраль 2024'!$G$4:$G$1413,'февраль 2024'!$D$4:$D$1413,$B15,'февраль 2024'!$J$4:$J$1413,K$1)</f>
        <v>0</v>
      </c>
      <c r="L15" s="144">
        <f>SUMIFS('февраль 2024'!$G$4:$G$1413,'февраль 2024'!$D$4:$D$1413,$B15,'февраль 2024'!$J$4:$J$1413,L$1)</f>
        <v>0</v>
      </c>
      <c r="M15" s="144">
        <f>SUMIFS('февраль 2024'!$G$4:$G$1413,'февраль 2024'!$D$4:$D$1413,$B15,'февраль 2024'!$J$4:$J$1413,M$1)</f>
        <v>0</v>
      </c>
      <c r="N15" s="144">
        <f>SUMIFS('февраль 2024'!$G$4:$G$1413,'февраль 2024'!$D$4:$D$1413,$B15,'февраль 2024'!$J$4:$J$1413,N$1)</f>
        <v>0</v>
      </c>
      <c r="O15" s="144">
        <f>SUMIFS('февраль 2024'!$G$4:$G$1413,'февраль 2024'!$D$4:$D$1413,$B15,'февраль 2024'!$J$4:$J$1413,O$1)</f>
        <v>0</v>
      </c>
      <c r="P15" s="144">
        <f>SUMIFS('февраль 2024'!$G$4:$G$1413,'февраль 2024'!$D$4:$D$1413,$B15,'февраль 2024'!$J$4:$J$1413,P$1)</f>
        <v>0</v>
      </c>
      <c r="Q15" s="144">
        <f>SUMIFS('февраль 2024'!$G$4:$G$1413,'февраль 2024'!$D$4:$D$1413,$B15,'февраль 2024'!$J$4:$J$1413,Q$1)</f>
        <v>0</v>
      </c>
      <c r="R15" s="144">
        <f>SUMIFS('февраль 2024'!$G$4:$G$1413,'февраль 2024'!$D$4:$D$1413,$B15,'февраль 2024'!$J$4:$J$1413,R$1)</f>
        <v>0</v>
      </c>
      <c r="S15" s="144">
        <f>SUMIFS('февраль 2024'!$G$4:$G$1413,'февраль 2024'!$D$4:$D$1413,$B15,'февраль 2024'!$J$4:$J$1413,S$1)</f>
        <v>0</v>
      </c>
      <c r="T15" s="144">
        <f>SUMIFS('февраль 2024'!$G$4:$G$1413,'февраль 2024'!$D$4:$D$1413,$B15,'февраль 2024'!$J$4:$J$1413,T$1)</f>
        <v>0</v>
      </c>
      <c r="U15" s="144">
        <f>SUMIFS('февраль 2024'!$G$4:$G$1413,'февраль 2024'!$D$4:$D$1413,$B15,'февраль 2024'!$J$4:$J$1413,U$1)</f>
        <v>0</v>
      </c>
      <c r="V15" s="144">
        <f>SUMIFS('февраль 2024'!$G$4:$G$1413,'февраль 2024'!$D$4:$D$1413,$B15,'февраль 2024'!$J$4:$J$1413,V$1)</f>
        <v>0</v>
      </c>
      <c r="W15" s="144">
        <f>SUMIFS('февраль 2024'!$G$4:$G$1413,'февраль 2024'!$D$4:$D$1413,$B15,'февраль 2024'!$J$4:$J$1413,W$1)</f>
        <v>0</v>
      </c>
      <c r="X15" s="144">
        <f>SUMIFS('февраль 2024'!$G$4:$G$1413,'февраль 2024'!$D$4:$D$1413,$B15,'февраль 2024'!$J$4:$J$1413,X$1)</f>
        <v>0</v>
      </c>
      <c r="Y15" s="144">
        <f>SUMIFS('февраль 2024'!$G$4:$G$1413,'февраль 2024'!$D$4:$D$1413,$B15,'февраль 2024'!$J$4:$J$1413,Y$1)</f>
        <v>0</v>
      </c>
      <c r="Z15" s="144">
        <f>SUMIFS('февраль 2024'!$G$4:$G$1413,'февраль 2024'!$D$4:$D$1413,$B15,'февраль 2024'!$J$4:$J$1413,Z$1)</f>
        <v>0</v>
      </c>
      <c r="AA15" s="144">
        <f>SUMIFS('февраль 2024'!$G$4:$G$1413,'февраль 2024'!$D$4:$D$1413,$B15,'февраль 2024'!$J$4:$J$1413,AA$1)</f>
        <v>0</v>
      </c>
      <c r="AB15" s="144">
        <f>SUMIFS('февраль 2024'!$G$4:$G$1413,'февраль 2024'!$D$4:$D$1413,$B15,'февраль 2024'!$J$4:$J$1413,AB$1)</f>
        <v>0</v>
      </c>
      <c r="AC15" s="144">
        <f>SUMIFS('февраль 2024'!$G$4:$G$1413,'февраль 2024'!$D$4:$D$1413,$B15,'февраль 2024'!$J$4:$J$1413,AC$1)</f>
        <v>0</v>
      </c>
      <c r="AD15" s="144">
        <f>SUMIFS('февраль 2024'!$G$4:$G$1413,'февраль 2024'!$D$4:$D$1413,$B15,'февраль 2024'!$J$4:$J$1413,AD$1)</f>
        <v>0</v>
      </c>
      <c r="AE15" s="144">
        <f>SUMIFS('февраль 2024'!$G$4:$G$1413,'февраль 2024'!$D$4:$D$1413,$B15,'февраль 2024'!$J$4:$J$1413,AE$1)</f>
        <v>0</v>
      </c>
      <c r="AF15" s="144">
        <f>SUMIFS('февраль 2024'!$G$4:$G$1413,'февраль 2024'!$D$4:$D$1413,$B15,'февраль 2024'!$J$4:$J$1413,AF$1)</f>
        <v>0</v>
      </c>
      <c r="AG15" s="144">
        <f>SUMIFS('февраль 2024'!$G$4:$G$1413,'февраль 2024'!$D$4:$D$1413,$B15,'февраль 2024'!$J$4:$J$1413,AG$1)</f>
        <v>0</v>
      </c>
      <c r="AH15" s="144">
        <f>SUMIFS('февраль 2024'!$G$4:$G$1413,'февраль 2024'!$D$4:$D$1413,$B15,'февраль 2024'!$J$4:$J$1413,AH$1)</f>
        <v>0</v>
      </c>
      <c r="AI15" s="21">
        <f t="shared" si="1"/>
        <v>0</v>
      </c>
    </row>
    <row r="16" spans="2:35" ht="15" customHeight="1" x14ac:dyDescent="0.25">
      <c r="B16" s="84" t="s">
        <v>301</v>
      </c>
      <c r="C16" s="85">
        <v>25</v>
      </c>
      <c r="D16" s="144">
        <f>SUMIFS('февраль 2024'!$G$4:$G$1413,'февраль 2024'!$D$4:$D$1413,$B16,'февраль 2024'!$J$4:$J$1413,D$1)</f>
        <v>0</v>
      </c>
      <c r="E16" s="144">
        <f>SUMIFS('февраль 2024'!$G$4:$G$1413,'февраль 2024'!$D$4:$D$1413,$B16,'февраль 2024'!$J$4:$J$1413,E$1)</f>
        <v>0</v>
      </c>
      <c r="F16" s="144">
        <f>SUMIFS('февраль 2024'!$G$4:$G$1413,'февраль 2024'!$D$4:$D$1413,$B16,'февраль 2024'!$J$4:$J$1413,F$1)</f>
        <v>0</v>
      </c>
      <c r="G16" s="144">
        <f>SUMIFS('февраль 2024'!$G$4:$G$1413,'февраль 2024'!$D$4:$D$1413,$B16,'февраль 2024'!$J$4:$J$1413,G$1)</f>
        <v>0</v>
      </c>
      <c r="H16" s="144">
        <f>SUMIFS('февраль 2024'!$G$4:$G$1413,'февраль 2024'!$D$4:$D$1413,$B16,'февраль 2024'!$J$4:$J$1413,H$1)</f>
        <v>0</v>
      </c>
      <c r="I16" s="144">
        <f>SUMIFS('февраль 2024'!$G$4:$G$1413,'февраль 2024'!$D$4:$D$1413,$B16,'февраль 2024'!$J$4:$J$1413,I$1)</f>
        <v>0</v>
      </c>
      <c r="J16" s="144">
        <f>SUMIFS('февраль 2024'!$G$4:$G$1413,'февраль 2024'!$D$4:$D$1413,$B16,'февраль 2024'!$J$4:$J$1413,J$1)</f>
        <v>0</v>
      </c>
      <c r="K16" s="144">
        <f>SUMIFS('февраль 2024'!$G$4:$G$1413,'февраль 2024'!$D$4:$D$1413,$B16,'февраль 2024'!$J$4:$J$1413,K$1)</f>
        <v>0</v>
      </c>
      <c r="L16" s="144">
        <f>SUMIFS('февраль 2024'!$G$4:$G$1413,'февраль 2024'!$D$4:$D$1413,$B16,'февраль 2024'!$J$4:$J$1413,L$1)</f>
        <v>1400</v>
      </c>
      <c r="M16" s="144">
        <f>SUMIFS('февраль 2024'!$G$4:$G$1413,'февраль 2024'!$D$4:$D$1413,$B16,'февраль 2024'!$J$4:$J$1413,M$1)</f>
        <v>0</v>
      </c>
      <c r="N16" s="144">
        <f>SUMIFS('февраль 2024'!$G$4:$G$1413,'февраль 2024'!$D$4:$D$1413,$B16,'февраль 2024'!$J$4:$J$1413,N$1)</f>
        <v>0</v>
      </c>
      <c r="O16" s="144">
        <f>SUMIFS('февраль 2024'!$G$4:$G$1413,'февраль 2024'!$D$4:$D$1413,$B16,'февраль 2024'!$J$4:$J$1413,O$1)</f>
        <v>0</v>
      </c>
      <c r="P16" s="144">
        <f>SUMIFS('февраль 2024'!$G$4:$G$1413,'февраль 2024'!$D$4:$D$1413,$B16,'февраль 2024'!$J$4:$J$1413,P$1)</f>
        <v>0</v>
      </c>
      <c r="Q16" s="144">
        <f>SUMIFS('февраль 2024'!$G$4:$G$1413,'февраль 2024'!$D$4:$D$1413,$B16,'февраль 2024'!$J$4:$J$1413,Q$1)</f>
        <v>1400</v>
      </c>
      <c r="R16" s="144">
        <f>SUMIFS('февраль 2024'!$G$4:$G$1413,'февраль 2024'!$D$4:$D$1413,$B16,'февраль 2024'!$J$4:$J$1413,R$1)</f>
        <v>0</v>
      </c>
      <c r="S16" s="144">
        <f>SUMIFS('февраль 2024'!$G$4:$G$1413,'февраль 2024'!$D$4:$D$1413,$B16,'февраль 2024'!$J$4:$J$1413,S$1)</f>
        <v>0</v>
      </c>
      <c r="T16" s="144">
        <f>SUMIFS('февраль 2024'!$G$4:$G$1413,'февраль 2024'!$D$4:$D$1413,$B16,'февраль 2024'!$J$4:$J$1413,T$1)</f>
        <v>0</v>
      </c>
      <c r="U16" s="144">
        <f>SUMIFS('февраль 2024'!$G$4:$G$1413,'февраль 2024'!$D$4:$D$1413,$B16,'февраль 2024'!$J$4:$J$1413,U$1)</f>
        <v>0</v>
      </c>
      <c r="V16" s="144">
        <f>SUMIFS('февраль 2024'!$G$4:$G$1413,'февраль 2024'!$D$4:$D$1413,$B16,'февраль 2024'!$J$4:$J$1413,V$1)</f>
        <v>0</v>
      </c>
      <c r="W16" s="144">
        <f>SUMIFS('февраль 2024'!$G$4:$G$1413,'февраль 2024'!$D$4:$D$1413,$B16,'февраль 2024'!$J$4:$J$1413,W$1)</f>
        <v>0</v>
      </c>
      <c r="X16" s="144">
        <f>SUMIFS('февраль 2024'!$G$4:$G$1413,'февраль 2024'!$D$4:$D$1413,$B16,'февраль 2024'!$J$4:$J$1413,X$1)</f>
        <v>0</v>
      </c>
      <c r="Y16" s="144">
        <f>SUMIFS('февраль 2024'!$G$4:$G$1413,'февраль 2024'!$D$4:$D$1413,$B16,'февраль 2024'!$J$4:$J$1413,Y$1)</f>
        <v>0</v>
      </c>
      <c r="Z16" s="144">
        <f>SUMIFS('февраль 2024'!$G$4:$G$1413,'февраль 2024'!$D$4:$D$1413,$B16,'февраль 2024'!$J$4:$J$1413,Z$1)</f>
        <v>0</v>
      </c>
      <c r="AA16" s="144">
        <f>SUMIFS('февраль 2024'!$G$4:$G$1413,'февраль 2024'!$D$4:$D$1413,$B16,'февраль 2024'!$J$4:$J$1413,AA$1)</f>
        <v>0</v>
      </c>
      <c r="AB16" s="144">
        <f>SUMIFS('февраль 2024'!$G$4:$G$1413,'февраль 2024'!$D$4:$D$1413,$B16,'февраль 2024'!$J$4:$J$1413,AB$1)</f>
        <v>0</v>
      </c>
      <c r="AC16" s="144">
        <f>SUMIFS('февраль 2024'!$G$4:$G$1413,'февраль 2024'!$D$4:$D$1413,$B16,'февраль 2024'!$J$4:$J$1413,AC$1)</f>
        <v>0</v>
      </c>
      <c r="AD16" s="144">
        <f>SUMIFS('февраль 2024'!$G$4:$G$1413,'февраль 2024'!$D$4:$D$1413,$B16,'февраль 2024'!$J$4:$J$1413,AD$1)</f>
        <v>0</v>
      </c>
      <c r="AE16" s="144">
        <f>SUMIFS('февраль 2024'!$G$4:$G$1413,'февраль 2024'!$D$4:$D$1413,$B16,'февраль 2024'!$J$4:$J$1413,AE$1)</f>
        <v>0</v>
      </c>
      <c r="AF16" s="144">
        <f>SUMIFS('февраль 2024'!$G$4:$G$1413,'февраль 2024'!$D$4:$D$1413,$B16,'февраль 2024'!$J$4:$J$1413,AF$1)</f>
        <v>0</v>
      </c>
      <c r="AG16" s="144">
        <f>SUMIFS('февраль 2024'!$G$4:$G$1413,'февраль 2024'!$D$4:$D$1413,$B16,'февраль 2024'!$J$4:$J$1413,AG$1)</f>
        <v>0</v>
      </c>
      <c r="AH16" s="144">
        <f>SUMIFS('февраль 2024'!$G$4:$G$1413,'февраль 2024'!$D$4:$D$1413,$B16,'февраль 2024'!$J$4:$J$1413,AH$1)</f>
        <v>0</v>
      </c>
      <c r="AI16" s="21">
        <f t="shared" si="1"/>
        <v>2800</v>
      </c>
    </row>
    <row r="17" spans="2:35" ht="15" customHeight="1" x14ac:dyDescent="0.25">
      <c r="B17" s="81" t="s">
        <v>303</v>
      </c>
      <c r="C17" s="82">
        <v>25</v>
      </c>
      <c r="D17" s="144">
        <f>SUMIFS('февраль 2024'!$G$4:$G$1413,'февраль 2024'!$D$4:$D$1413,$B17,'февраль 2024'!$J$4:$J$1413,D$1)</f>
        <v>0</v>
      </c>
      <c r="E17" s="144">
        <f>SUMIFS('февраль 2024'!$G$4:$G$1413,'февраль 2024'!$D$4:$D$1413,$B17,'февраль 2024'!$J$4:$J$1413,E$1)</f>
        <v>0</v>
      </c>
      <c r="F17" s="144">
        <f>SUMIFS('февраль 2024'!$G$4:$G$1413,'февраль 2024'!$D$4:$D$1413,$B17,'февраль 2024'!$J$4:$J$1413,F$1)</f>
        <v>0</v>
      </c>
      <c r="G17" s="144">
        <f>SUMIFS('февраль 2024'!$G$4:$G$1413,'февраль 2024'!$D$4:$D$1413,$B17,'февраль 2024'!$J$4:$J$1413,G$1)</f>
        <v>0</v>
      </c>
      <c r="H17" s="144">
        <f>SUMIFS('февраль 2024'!$G$4:$G$1413,'февраль 2024'!$D$4:$D$1413,$B17,'февраль 2024'!$J$4:$J$1413,H$1)</f>
        <v>0</v>
      </c>
      <c r="I17" s="144">
        <f>SUMIFS('февраль 2024'!$G$4:$G$1413,'февраль 2024'!$D$4:$D$1413,$B17,'февраль 2024'!$J$4:$J$1413,I$1)</f>
        <v>0</v>
      </c>
      <c r="J17" s="144">
        <f>SUMIFS('февраль 2024'!$G$4:$G$1413,'февраль 2024'!$D$4:$D$1413,$B17,'февраль 2024'!$J$4:$J$1413,J$1)</f>
        <v>0</v>
      </c>
      <c r="K17" s="144">
        <f>SUMIFS('февраль 2024'!$G$4:$G$1413,'февраль 2024'!$D$4:$D$1413,$B17,'февраль 2024'!$J$4:$J$1413,K$1)</f>
        <v>0</v>
      </c>
      <c r="L17" s="144">
        <f>SUMIFS('февраль 2024'!$G$4:$G$1413,'февраль 2024'!$D$4:$D$1413,$B17,'февраль 2024'!$J$4:$J$1413,L$1)</f>
        <v>0</v>
      </c>
      <c r="M17" s="144">
        <f>SUMIFS('февраль 2024'!$G$4:$G$1413,'февраль 2024'!$D$4:$D$1413,$B17,'февраль 2024'!$J$4:$J$1413,M$1)</f>
        <v>0</v>
      </c>
      <c r="N17" s="144">
        <f>SUMIFS('февраль 2024'!$G$4:$G$1413,'февраль 2024'!$D$4:$D$1413,$B17,'февраль 2024'!$J$4:$J$1413,N$1)</f>
        <v>0</v>
      </c>
      <c r="O17" s="144">
        <f>SUMIFS('февраль 2024'!$G$4:$G$1413,'февраль 2024'!$D$4:$D$1413,$B17,'февраль 2024'!$J$4:$J$1413,O$1)</f>
        <v>0</v>
      </c>
      <c r="P17" s="144">
        <f>SUMIFS('февраль 2024'!$G$4:$G$1413,'февраль 2024'!$D$4:$D$1413,$B17,'февраль 2024'!$J$4:$J$1413,P$1)</f>
        <v>0</v>
      </c>
      <c r="Q17" s="144">
        <f>SUMIFS('февраль 2024'!$G$4:$G$1413,'февраль 2024'!$D$4:$D$1413,$B17,'февраль 2024'!$J$4:$J$1413,Q$1)</f>
        <v>0</v>
      </c>
      <c r="R17" s="144">
        <f>SUMIFS('февраль 2024'!$G$4:$G$1413,'февраль 2024'!$D$4:$D$1413,$B17,'февраль 2024'!$J$4:$J$1413,R$1)</f>
        <v>0</v>
      </c>
      <c r="S17" s="144">
        <f>SUMIFS('февраль 2024'!$G$4:$G$1413,'февраль 2024'!$D$4:$D$1413,$B17,'февраль 2024'!$J$4:$J$1413,S$1)</f>
        <v>0</v>
      </c>
      <c r="T17" s="144">
        <f>SUMIFS('февраль 2024'!$G$4:$G$1413,'февраль 2024'!$D$4:$D$1413,$B17,'февраль 2024'!$J$4:$J$1413,T$1)</f>
        <v>0</v>
      </c>
      <c r="U17" s="144">
        <f>SUMIFS('февраль 2024'!$G$4:$G$1413,'февраль 2024'!$D$4:$D$1413,$B17,'февраль 2024'!$J$4:$J$1413,U$1)</f>
        <v>0</v>
      </c>
      <c r="V17" s="144">
        <f>SUMIFS('февраль 2024'!$G$4:$G$1413,'февраль 2024'!$D$4:$D$1413,$B17,'февраль 2024'!$J$4:$J$1413,V$1)</f>
        <v>0</v>
      </c>
      <c r="W17" s="144">
        <f>SUMIFS('февраль 2024'!$G$4:$G$1413,'февраль 2024'!$D$4:$D$1413,$B17,'февраль 2024'!$J$4:$J$1413,W$1)</f>
        <v>0</v>
      </c>
      <c r="X17" s="144">
        <f>SUMIFS('февраль 2024'!$G$4:$G$1413,'февраль 2024'!$D$4:$D$1413,$B17,'февраль 2024'!$J$4:$J$1413,X$1)</f>
        <v>0</v>
      </c>
      <c r="Y17" s="144">
        <f>SUMIFS('февраль 2024'!$G$4:$G$1413,'февраль 2024'!$D$4:$D$1413,$B17,'февраль 2024'!$J$4:$J$1413,Y$1)</f>
        <v>0</v>
      </c>
      <c r="Z17" s="144">
        <f>SUMIFS('февраль 2024'!$G$4:$G$1413,'февраль 2024'!$D$4:$D$1413,$B17,'февраль 2024'!$J$4:$J$1413,Z$1)</f>
        <v>0</v>
      </c>
      <c r="AA17" s="144">
        <f>SUMIFS('февраль 2024'!$G$4:$G$1413,'февраль 2024'!$D$4:$D$1413,$B17,'февраль 2024'!$J$4:$J$1413,AA$1)</f>
        <v>0</v>
      </c>
      <c r="AB17" s="144">
        <f>SUMIFS('февраль 2024'!$G$4:$G$1413,'февраль 2024'!$D$4:$D$1413,$B17,'февраль 2024'!$J$4:$J$1413,AB$1)</f>
        <v>0</v>
      </c>
      <c r="AC17" s="144">
        <f>SUMIFS('февраль 2024'!$G$4:$G$1413,'февраль 2024'!$D$4:$D$1413,$B17,'февраль 2024'!$J$4:$J$1413,AC$1)</f>
        <v>0</v>
      </c>
      <c r="AD17" s="144">
        <f>SUMIFS('февраль 2024'!$G$4:$G$1413,'февраль 2024'!$D$4:$D$1413,$B17,'февраль 2024'!$J$4:$J$1413,AD$1)</f>
        <v>0</v>
      </c>
      <c r="AE17" s="144">
        <f>SUMIFS('февраль 2024'!$G$4:$G$1413,'февраль 2024'!$D$4:$D$1413,$B17,'февраль 2024'!$J$4:$J$1413,AE$1)</f>
        <v>0</v>
      </c>
      <c r="AF17" s="144">
        <f>SUMIFS('февраль 2024'!$G$4:$G$1413,'февраль 2024'!$D$4:$D$1413,$B17,'февраль 2024'!$J$4:$J$1413,AF$1)</f>
        <v>0</v>
      </c>
      <c r="AG17" s="144">
        <f>SUMIFS('февраль 2024'!$G$4:$G$1413,'февраль 2024'!$D$4:$D$1413,$B17,'февраль 2024'!$J$4:$J$1413,AG$1)</f>
        <v>0</v>
      </c>
      <c r="AH17" s="144">
        <f>SUMIFS('февраль 2024'!$G$4:$G$1413,'февраль 2024'!$D$4:$D$1413,$B17,'февраль 2024'!$J$4:$J$1413,AH$1)</f>
        <v>0</v>
      </c>
      <c r="AI17" s="21">
        <f t="shared" si="1"/>
        <v>0</v>
      </c>
    </row>
    <row r="18" spans="2:35" ht="15" customHeight="1" x14ac:dyDescent="0.25">
      <c r="B18" s="81" t="s">
        <v>305</v>
      </c>
      <c r="C18" s="82">
        <v>25</v>
      </c>
      <c r="D18" s="144">
        <f>SUMIFS('февраль 2024'!$G$4:$G$1413,'февраль 2024'!$D$4:$D$1413,$B18,'февраль 2024'!$J$4:$J$1413,D$1)</f>
        <v>0</v>
      </c>
      <c r="E18" s="144">
        <f>SUMIFS('февраль 2024'!$G$4:$G$1413,'февраль 2024'!$D$4:$D$1413,$B18,'февраль 2024'!$J$4:$J$1413,E$1)</f>
        <v>0</v>
      </c>
      <c r="F18" s="144">
        <f>SUMIFS('февраль 2024'!$G$4:$G$1413,'февраль 2024'!$D$4:$D$1413,$B18,'февраль 2024'!$J$4:$J$1413,F$1)</f>
        <v>0</v>
      </c>
      <c r="G18" s="144">
        <f>SUMIFS('февраль 2024'!$G$4:$G$1413,'февраль 2024'!$D$4:$D$1413,$B18,'февраль 2024'!$J$4:$J$1413,G$1)</f>
        <v>0</v>
      </c>
      <c r="H18" s="144">
        <f>SUMIFS('февраль 2024'!$G$4:$G$1413,'февраль 2024'!$D$4:$D$1413,$B18,'февраль 2024'!$J$4:$J$1413,H$1)</f>
        <v>0</v>
      </c>
      <c r="I18" s="144">
        <f>SUMIFS('февраль 2024'!$G$4:$G$1413,'февраль 2024'!$D$4:$D$1413,$B18,'февраль 2024'!$J$4:$J$1413,I$1)</f>
        <v>0</v>
      </c>
      <c r="J18" s="144">
        <f>SUMIFS('февраль 2024'!$G$4:$G$1413,'февраль 2024'!$D$4:$D$1413,$B18,'февраль 2024'!$J$4:$J$1413,J$1)</f>
        <v>0</v>
      </c>
      <c r="K18" s="144">
        <f>SUMIFS('февраль 2024'!$G$4:$G$1413,'февраль 2024'!$D$4:$D$1413,$B18,'февраль 2024'!$J$4:$J$1413,K$1)</f>
        <v>0</v>
      </c>
      <c r="L18" s="144">
        <f>SUMIFS('февраль 2024'!$G$4:$G$1413,'февраль 2024'!$D$4:$D$1413,$B18,'февраль 2024'!$J$4:$J$1413,L$1)</f>
        <v>0</v>
      </c>
      <c r="M18" s="144">
        <f>SUMIFS('февраль 2024'!$G$4:$G$1413,'февраль 2024'!$D$4:$D$1413,$B18,'февраль 2024'!$J$4:$J$1413,M$1)</f>
        <v>0</v>
      </c>
      <c r="N18" s="144">
        <f>SUMIFS('февраль 2024'!$G$4:$G$1413,'февраль 2024'!$D$4:$D$1413,$B18,'февраль 2024'!$J$4:$J$1413,N$1)</f>
        <v>0</v>
      </c>
      <c r="O18" s="144">
        <f>SUMIFS('февраль 2024'!$G$4:$G$1413,'февраль 2024'!$D$4:$D$1413,$B18,'февраль 2024'!$J$4:$J$1413,O$1)</f>
        <v>0</v>
      </c>
      <c r="P18" s="144">
        <f>SUMIFS('февраль 2024'!$G$4:$G$1413,'февраль 2024'!$D$4:$D$1413,$B18,'февраль 2024'!$J$4:$J$1413,P$1)</f>
        <v>0</v>
      </c>
      <c r="Q18" s="144">
        <f>SUMIFS('февраль 2024'!$G$4:$G$1413,'февраль 2024'!$D$4:$D$1413,$B18,'февраль 2024'!$J$4:$J$1413,Q$1)</f>
        <v>0</v>
      </c>
      <c r="R18" s="144">
        <f>SUMIFS('февраль 2024'!$G$4:$G$1413,'февраль 2024'!$D$4:$D$1413,$B18,'февраль 2024'!$J$4:$J$1413,R$1)</f>
        <v>0</v>
      </c>
      <c r="S18" s="144">
        <f>SUMIFS('февраль 2024'!$G$4:$G$1413,'февраль 2024'!$D$4:$D$1413,$B18,'февраль 2024'!$J$4:$J$1413,S$1)</f>
        <v>0</v>
      </c>
      <c r="T18" s="144">
        <f>SUMIFS('февраль 2024'!$G$4:$G$1413,'февраль 2024'!$D$4:$D$1413,$B18,'февраль 2024'!$J$4:$J$1413,T$1)</f>
        <v>0</v>
      </c>
      <c r="U18" s="144">
        <f>SUMIFS('февраль 2024'!$G$4:$G$1413,'февраль 2024'!$D$4:$D$1413,$B18,'февраль 2024'!$J$4:$J$1413,U$1)</f>
        <v>0</v>
      </c>
      <c r="V18" s="144">
        <f>SUMIFS('февраль 2024'!$G$4:$G$1413,'февраль 2024'!$D$4:$D$1413,$B18,'февраль 2024'!$J$4:$J$1413,V$1)</f>
        <v>0</v>
      </c>
      <c r="W18" s="144">
        <f>SUMIFS('февраль 2024'!$G$4:$G$1413,'февраль 2024'!$D$4:$D$1413,$B18,'февраль 2024'!$J$4:$J$1413,W$1)</f>
        <v>0</v>
      </c>
      <c r="X18" s="144">
        <f>SUMIFS('февраль 2024'!$G$4:$G$1413,'февраль 2024'!$D$4:$D$1413,$B18,'февраль 2024'!$J$4:$J$1413,X$1)</f>
        <v>0</v>
      </c>
      <c r="Y18" s="144">
        <f>SUMIFS('февраль 2024'!$G$4:$G$1413,'февраль 2024'!$D$4:$D$1413,$B18,'февраль 2024'!$J$4:$J$1413,Y$1)</f>
        <v>0</v>
      </c>
      <c r="Z18" s="144">
        <f>SUMIFS('февраль 2024'!$G$4:$G$1413,'февраль 2024'!$D$4:$D$1413,$B18,'февраль 2024'!$J$4:$J$1413,Z$1)</f>
        <v>0</v>
      </c>
      <c r="AA18" s="144">
        <f>SUMIFS('февраль 2024'!$G$4:$G$1413,'февраль 2024'!$D$4:$D$1413,$B18,'февраль 2024'!$J$4:$J$1413,AA$1)</f>
        <v>0</v>
      </c>
      <c r="AB18" s="144">
        <f>SUMIFS('февраль 2024'!$G$4:$G$1413,'февраль 2024'!$D$4:$D$1413,$B18,'февраль 2024'!$J$4:$J$1413,AB$1)</f>
        <v>0</v>
      </c>
      <c r="AC18" s="144">
        <f>SUMIFS('февраль 2024'!$G$4:$G$1413,'февраль 2024'!$D$4:$D$1413,$B18,'февраль 2024'!$J$4:$J$1413,AC$1)</f>
        <v>0</v>
      </c>
      <c r="AD18" s="144">
        <f>SUMIFS('февраль 2024'!$G$4:$G$1413,'февраль 2024'!$D$4:$D$1413,$B18,'февраль 2024'!$J$4:$J$1413,AD$1)</f>
        <v>0</v>
      </c>
      <c r="AE18" s="144">
        <f>SUMIFS('февраль 2024'!$G$4:$G$1413,'февраль 2024'!$D$4:$D$1413,$B18,'февраль 2024'!$J$4:$J$1413,AE$1)</f>
        <v>0</v>
      </c>
      <c r="AF18" s="144">
        <f>SUMIFS('февраль 2024'!$G$4:$G$1413,'февраль 2024'!$D$4:$D$1413,$B18,'февраль 2024'!$J$4:$J$1413,AF$1)</f>
        <v>0</v>
      </c>
      <c r="AG18" s="144">
        <f>SUMIFS('февраль 2024'!$G$4:$G$1413,'февраль 2024'!$D$4:$D$1413,$B18,'февраль 2024'!$J$4:$J$1413,AG$1)</f>
        <v>0</v>
      </c>
      <c r="AH18" s="144">
        <f>SUMIFS('февраль 2024'!$G$4:$G$1413,'февраль 2024'!$D$4:$D$1413,$B18,'февраль 2024'!$J$4:$J$1413,AH$1)</f>
        <v>0</v>
      </c>
      <c r="AI18" s="21">
        <f t="shared" si="1"/>
        <v>0</v>
      </c>
    </row>
    <row r="19" spans="2:35" ht="15" customHeight="1" x14ac:dyDescent="0.25">
      <c r="B19" s="81" t="s">
        <v>307</v>
      </c>
      <c r="C19" s="82">
        <v>25</v>
      </c>
      <c r="D19" s="144">
        <f>SUMIFS('февраль 2024'!$G$4:$G$1413,'февраль 2024'!$D$4:$D$1413,$B19,'февраль 2024'!$J$4:$J$1413,D$1)</f>
        <v>0</v>
      </c>
      <c r="E19" s="144">
        <f>SUMIFS('февраль 2024'!$G$4:$G$1413,'февраль 2024'!$D$4:$D$1413,$B19,'февраль 2024'!$J$4:$J$1413,E$1)</f>
        <v>0</v>
      </c>
      <c r="F19" s="144">
        <f>SUMIFS('февраль 2024'!$G$4:$G$1413,'февраль 2024'!$D$4:$D$1413,$B19,'февраль 2024'!$J$4:$J$1413,F$1)</f>
        <v>0</v>
      </c>
      <c r="G19" s="144">
        <f>SUMIFS('февраль 2024'!$G$4:$G$1413,'февраль 2024'!$D$4:$D$1413,$B19,'февраль 2024'!$J$4:$J$1413,G$1)</f>
        <v>0</v>
      </c>
      <c r="H19" s="144">
        <f>SUMIFS('февраль 2024'!$G$4:$G$1413,'февраль 2024'!$D$4:$D$1413,$B19,'февраль 2024'!$J$4:$J$1413,H$1)</f>
        <v>0</v>
      </c>
      <c r="I19" s="144">
        <f>SUMIFS('февраль 2024'!$G$4:$G$1413,'февраль 2024'!$D$4:$D$1413,$B19,'февраль 2024'!$J$4:$J$1413,I$1)</f>
        <v>0</v>
      </c>
      <c r="J19" s="144">
        <f>SUMIFS('февраль 2024'!$G$4:$G$1413,'февраль 2024'!$D$4:$D$1413,$B19,'февраль 2024'!$J$4:$J$1413,J$1)</f>
        <v>0</v>
      </c>
      <c r="K19" s="144">
        <f>SUMIFS('февраль 2024'!$G$4:$G$1413,'февраль 2024'!$D$4:$D$1413,$B19,'февраль 2024'!$J$4:$J$1413,K$1)</f>
        <v>0</v>
      </c>
      <c r="L19" s="144">
        <f>SUMIFS('февраль 2024'!$G$4:$G$1413,'февраль 2024'!$D$4:$D$1413,$B19,'февраль 2024'!$J$4:$J$1413,L$1)</f>
        <v>0</v>
      </c>
      <c r="M19" s="144">
        <f>SUMIFS('февраль 2024'!$G$4:$G$1413,'февраль 2024'!$D$4:$D$1413,$B19,'февраль 2024'!$J$4:$J$1413,M$1)</f>
        <v>0</v>
      </c>
      <c r="N19" s="144">
        <f>SUMIFS('февраль 2024'!$G$4:$G$1413,'февраль 2024'!$D$4:$D$1413,$B19,'февраль 2024'!$J$4:$J$1413,N$1)</f>
        <v>0</v>
      </c>
      <c r="O19" s="144">
        <f>SUMIFS('февраль 2024'!$G$4:$G$1413,'февраль 2024'!$D$4:$D$1413,$B19,'февраль 2024'!$J$4:$J$1413,O$1)</f>
        <v>0</v>
      </c>
      <c r="P19" s="144">
        <f>SUMIFS('февраль 2024'!$G$4:$G$1413,'февраль 2024'!$D$4:$D$1413,$B19,'февраль 2024'!$J$4:$J$1413,P$1)</f>
        <v>0</v>
      </c>
      <c r="Q19" s="144">
        <f>SUMIFS('февраль 2024'!$G$4:$G$1413,'февраль 2024'!$D$4:$D$1413,$B19,'февраль 2024'!$J$4:$J$1413,Q$1)</f>
        <v>0</v>
      </c>
      <c r="R19" s="144">
        <f>SUMIFS('февраль 2024'!$G$4:$G$1413,'февраль 2024'!$D$4:$D$1413,$B19,'февраль 2024'!$J$4:$J$1413,R$1)</f>
        <v>0</v>
      </c>
      <c r="S19" s="144">
        <f>SUMIFS('февраль 2024'!$G$4:$G$1413,'февраль 2024'!$D$4:$D$1413,$B19,'февраль 2024'!$J$4:$J$1413,S$1)</f>
        <v>0</v>
      </c>
      <c r="T19" s="144">
        <f>SUMIFS('февраль 2024'!$G$4:$G$1413,'февраль 2024'!$D$4:$D$1413,$B19,'февраль 2024'!$J$4:$J$1413,T$1)</f>
        <v>0</v>
      </c>
      <c r="U19" s="144">
        <f>SUMIFS('февраль 2024'!$G$4:$G$1413,'февраль 2024'!$D$4:$D$1413,$B19,'февраль 2024'!$J$4:$J$1413,U$1)</f>
        <v>0</v>
      </c>
      <c r="V19" s="144">
        <f>SUMIFS('февраль 2024'!$G$4:$G$1413,'февраль 2024'!$D$4:$D$1413,$B19,'февраль 2024'!$J$4:$J$1413,V$1)</f>
        <v>0</v>
      </c>
      <c r="W19" s="144">
        <f>SUMIFS('февраль 2024'!$G$4:$G$1413,'февраль 2024'!$D$4:$D$1413,$B19,'февраль 2024'!$J$4:$J$1413,W$1)</f>
        <v>0</v>
      </c>
      <c r="X19" s="144">
        <f>SUMIFS('февраль 2024'!$G$4:$G$1413,'февраль 2024'!$D$4:$D$1413,$B19,'февраль 2024'!$J$4:$J$1413,X$1)</f>
        <v>0</v>
      </c>
      <c r="Y19" s="144">
        <f>SUMIFS('февраль 2024'!$G$4:$G$1413,'февраль 2024'!$D$4:$D$1413,$B19,'февраль 2024'!$J$4:$J$1413,Y$1)</f>
        <v>0</v>
      </c>
      <c r="Z19" s="144">
        <f>SUMIFS('февраль 2024'!$G$4:$G$1413,'февраль 2024'!$D$4:$D$1413,$B19,'февраль 2024'!$J$4:$J$1413,Z$1)</f>
        <v>0</v>
      </c>
      <c r="AA19" s="144">
        <f>SUMIFS('февраль 2024'!$G$4:$G$1413,'февраль 2024'!$D$4:$D$1413,$B19,'февраль 2024'!$J$4:$J$1413,AA$1)</f>
        <v>0</v>
      </c>
      <c r="AB19" s="144">
        <f>SUMIFS('февраль 2024'!$G$4:$G$1413,'февраль 2024'!$D$4:$D$1413,$B19,'февраль 2024'!$J$4:$J$1413,AB$1)</f>
        <v>0</v>
      </c>
      <c r="AC19" s="144">
        <f>SUMIFS('февраль 2024'!$G$4:$G$1413,'февраль 2024'!$D$4:$D$1413,$B19,'февраль 2024'!$J$4:$J$1413,AC$1)</f>
        <v>0</v>
      </c>
      <c r="AD19" s="144">
        <f>SUMIFS('февраль 2024'!$G$4:$G$1413,'февраль 2024'!$D$4:$D$1413,$B19,'февраль 2024'!$J$4:$J$1413,AD$1)</f>
        <v>0</v>
      </c>
      <c r="AE19" s="144">
        <f>SUMIFS('февраль 2024'!$G$4:$G$1413,'февраль 2024'!$D$4:$D$1413,$B19,'февраль 2024'!$J$4:$J$1413,AE$1)</f>
        <v>0</v>
      </c>
      <c r="AF19" s="144">
        <f>SUMIFS('февраль 2024'!$G$4:$G$1413,'февраль 2024'!$D$4:$D$1413,$B19,'февраль 2024'!$J$4:$J$1413,AF$1)</f>
        <v>0</v>
      </c>
      <c r="AG19" s="144">
        <f>SUMIFS('февраль 2024'!$G$4:$G$1413,'февраль 2024'!$D$4:$D$1413,$B19,'февраль 2024'!$J$4:$J$1413,AG$1)</f>
        <v>0</v>
      </c>
      <c r="AH19" s="144">
        <f>SUMIFS('февраль 2024'!$G$4:$G$1413,'февраль 2024'!$D$4:$D$1413,$B19,'февраль 2024'!$J$4:$J$1413,AH$1)</f>
        <v>0</v>
      </c>
      <c r="AI19" s="21">
        <f t="shared" si="1"/>
        <v>0</v>
      </c>
    </row>
    <row r="20" spans="2:35" ht="15" customHeight="1" x14ac:dyDescent="0.25">
      <c r="B20" s="81" t="s">
        <v>309</v>
      </c>
      <c r="C20" s="82">
        <v>25</v>
      </c>
      <c r="D20" s="144">
        <f>SUMIFS('февраль 2024'!$G$4:$G$1413,'февраль 2024'!$D$4:$D$1413,$B20,'февраль 2024'!$J$4:$J$1413,D$1)</f>
        <v>0</v>
      </c>
      <c r="E20" s="144">
        <f>SUMIFS('февраль 2024'!$G$4:$G$1413,'февраль 2024'!$D$4:$D$1413,$B20,'февраль 2024'!$J$4:$J$1413,E$1)</f>
        <v>0</v>
      </c>
      <c r="F20" s="144">
        <f>SUMIFS('февраль 2024'!$G$4:$G$1413,'февраль 2024'!$D$4:$D$1413,$B20,'февраль 2024'!$J$4:$J$1413,F$1)</f>
        <v>0</v>
      </c>
      <c r="G20" s="144">
        <f>SUMIFS('февраль 2024'!$G$4:$G$1413,'февраль 2024'!$D$4:$D$1413,$B20,'февраль 2024'!$J$4:$J$1413,G$1)</f>
        <v>0</v>
      </c>
      <c r="H20" s="144">
        <f>SUMIFS('февраль 2024'!$G$4:$G$1413,'февраль 2024'!$D$4:$D$1413,$B20,'февраль 2024'!$J$4:$J$1413,H$1)</f>
        <v>0</v>
      </c>
      <c r="I20" s="144">
        <f>SUMIFS('февраль 2024'!$G$4:$G$1413,'февраль 2024'!$D$4:$D$1413,$B20,'февраль 2024'!$J$4:$J$1413,I$1)</f>
        <v>0</v>
      </c>
      <c r="J20" s="144">
        <f>SUMIFS('февраль 2024'!$G$4:$G$1413,'февраль 2024'!$D$4:$D$1413,$B20,'февраль 2024'!$J$4:$J$1413,J$1)</f>
        <v>0</v>
      </c>
      <c r="K20" s="144">
        <f>SUMIFS('февраль 2024'!$G$4:$G$1413,'февраль 2024'!$D$4:$D$1413,$B20,'февраль 2024'!$J$4:$J$1413,K$1)</f>
        <v>0</v>
      </c>
      <c r="L20" s="144">
        <f>SUMIFS('февраль 2024'!$G$4:$G$1413,'февраль 2024'!$D$4:$D$1413,$B20,'февраль 2024'!$J$4:$J$1413,L$1)</f>
        <v>0</v>
      </c>
      <c r="M20" s="144">
        <f>SUMIFS('февраль 2024'!$G$4:$G$1413,'февраль 2024'!$D$4:$D$1413,$B20,'февраль 2024'!$J$4:$J$1413,M$1)</f>
        <v>0</v>
      </c>
      <c r="N20" s="144">
        <f>SUMIFS('февраль 2024'!$G$4:$G$1413,'февраль 2024'!$D$4:$D$1413,$B20,'февраль 2024'!$J$4:$J$1413,N$1)</f>
        <v>0</v>
      </c>
      <c r="O20" s="144">
        <f>SUMIFS('февраль 2024'!$G$4:$G$1413,'февраль 2024'!$D$4:$D$1413,$B20,'февраль 2024'!$J$4:$J$1413,O$1)</f>
        <v>0</v>
      </c>
      <c r="P20" s="144">
        <f>SUMIFS('февраль 2024'!$G$4:$G$1413,'февраль 2024'!$D$4:$D$1413,$B20,'февраль 2024'!$J$4:$J$1413,P$1)</f>
        <v>0</v>
      </c>
      <c r="Q20" s="144">
        <f>SUMIFS('февраль 2024'!$G$4:$G$1413,'февраль 2024'!$D$4:$D$1413,$B20,'февраль 2024'!$J$4:$J$1413,Q$1)</f>
        <v>0</v>
      </c>
      <c r="R20" s="144">
        <f>SUMIFS('февраль 2024'!$G$4:$G$1413,'февраль 2024'!$D$4:$D$1413,$B20,'февраль 2024'!$J$4:$J$1413,R$1)</f>
        <v>0</v>
      </c>
      <c r="S20" s="144">
        <f>SUMIFS('февраль 2024'!$G$4:$G$1413,'февраль 2024'!$D$4:$D$1413,$B20,'февраль 2024'!$J$4:$J$1413,S$1)</f>
        <v>0</v>
      </c>
      <c r="T20" s="144">
        <f>SUMIFS('февраль 2024'!$G$4:$G$1413,'февраль 2024'!$D$4:$D$1413,$B20,'февраль 2024'!$J$4:$J$1413,T$1)</f>
        <v>0</v>
      </c>
      <c r="U20" s="144">
        <f>SUMIFS('февраль 2024'!$G$4:$G$1413,'февраль 2024'!$D$4:$D$1413,$B20,'февраль 2024'!$J$4:$J$1413,U$1)</f>
        <v>0</v>
      </c>
      <c r="V20" s="144">
        <f>SUMIFS('февраль 2024'!$G$4:$G$1413,'февраль 2024'!$D$4:$D$1413,$B20,'февраль 2024'!$J$4:$J$1413,V$1)</f>
        <v>0</v>
      </c>
      <c r="W20" s="144">
        <f>SUMIFS('февраль 2024'!$G$4:$G$1413,'февраль 2024'!$D$4:$D$1413,$B20,'февраль 2024'!$J$4:$J$1413,W$1)</f>
        <v>0</v>
      </c>
      <c r="X20" s="144">
        <f>SUMIFS('февраль 2024'!$G$4:$G$1413,'февраль 2024'!$D$4:$D$1413,$B20,'февраль 2024'!$J$4:$J$1413,X$1)</f>
        <v>0</v>
      </c>
      <c r="Y20" s="144">
        <f>SUMIFS('февраль 2024'!$G$4:$G$1413,'февраль 2024'!$D$4:$D$1413,$B20,'февраль 2024'!$J$4:$J$1413,Y$1)</f>
        <v>0</v>
      </c>
      <c r="Z20" s="144">
        <f>SUMIFS('февраль 2024'!$G$4:$G$1413,'февраль 2024'!$D$4:$D$1413,$B20,'февраль 2024'!$J$4:$J$1413,Z$1)</f>
        <v>0</v>
      </c>
      <c r="AA20" s="144">
        <f>SUMIFS('февраль 2024'!$G$4:$G$1413,'февраль 2024'!$D$4:$D$1413,$B20,'февраль 2024'!$J$4:$J$1413,AA$1)</f>
        <v>0</v>
      </c>
      <c r="AB20" s="144">
        <f>SUMIFS('февраль 2024'!$G$4:$G$1413,'февраль 2024'!$D$4:$D$1413,$B20,'февраль 2024'!$J$4:$J$1413,AB$1)</f>
        <v>0</v>
      </c>
      <c r="AC20" s="144">
        <f>SUMIFS('февраль 2024'!$G$4:$G$1413,'февраль 2024'!$D$4:$D$1413,$B20,'февраль 2024'!$J$4:$J$1413,AC$1)</f>
        <v>0</v>
      </c>
      <c r="AD20" s="144">
        <f>SUMIFS('февраль 2024'!$G$4:$G$1413,'февраль 2024'!$D$4:$D$1413,$B20,'февраль 2024'!$J$4:$J$1413,AD$1)</f>
        <v>0</v>
      </c>
      <c r="AE20" s="144">
        <f>SUMIFS('февраль 2024'!$G$4:$G$1413,'февраль 2024'!$D$4:$D$1413,$B20,'февраль 2024'!$J$4:$J$1413,AE$1)</f>
        <v>0</v>
      </c>
      <c r="AF20" s="144">
        <f>SUMIFS('февраль 2024'!$G$4:$G$1413,'февраль 2024'!$D$4:$D$1413,$B20,'февраль 2024'!$J$4:$J$1413,AF$1)</f>
        <v>0</v>
      </c>
      <c r="AG20" s="144">
        <f>SUMIFS('февраль 2024'!$G$4:$G$1413,'февраль 2024'!$D$4:$D$1413,$B20,'февраль 2024'!$J$4:$J$1413,AG$1)</f>
        <v>0</v>
      </c>
      <c r="AH20" s="144">
        <f>SUMIFS('февраль 2024'!$G$4:$G$1413,'февраль 2024'!$D$4:$D$1413,$B20,'февраль 2024'!$J$4:$J$1413,AH$1)</f>
        <v>0</v>
      </c>
      <c r="AI20" s="21">
        <f t="shared" si="1"/>
        <v>0</v>
      </c>
    </row>
    <row r="21" spans="2:35" ht="15" customHeight="1" x14ac:dyDescent="0.25">
      <c r="B21" s="84" t="s">
        <v>311</v>
      </c>
      <c r="C21" s="103">
        <v>25</v>
      </c>
      <c r="D21" s="144">
        <f>SUMIFS('февраль 2024'!$G$4:$G$1413,'февраль 2024'!$D$4:$D$1413,$B21,'февраль 2024'!$J$4:$J$1413,D$1)</f>
        <v>0</v>
      </c>
      <c r="E21" s="144">
        <f>SUMIFS('февраль 2024'!$G$4:$G$1413,'февраль 2024'!$D$4:$D$1413,$B21,'февраль 2024'!$J$4:$J$1413,E$1)</f>
        <v>0</v>
      </c>
      <c r="F21" s="144">
        <f>SUMIFS('февраль 2024'!$G$4:$G$1413,'февраль 2024'!$D$4:$D$1413,$B21,'февраль 2024'!$J$4:$J$1413,F$1)</f>
        <v>0</v>
      </c>
      <c r="G21" s="144">
        <f>SUMIFS('февраль 2024'!$G$4:$G$1413,'февраль 2024'!$D$4:$D$1413,$B21,'февраль 2024'!$J$4:$J$1413,G$1)</f>
        <v>0</v>
      </c>
      <c r="H21" s="144">
        <f>SUMIFS('февраль 2024'!$G$4:$G$1413,'февраль 2024'!$D$4:$D$1413,$B21,'февраль 2024'!$J$4:$J$1413,H$1)</f>
        <v>0</v>
      </c>
      <c r="I21" s="144">
        <f>SUMIFS('февраль 2024'!$G$4:$G$1413,'февраль 2024'!$D$4:$D$1413,$B21,'февраль 2024'!$J$4:$J$1413,I$1)</f>
        <v>0</v>
      </c>
      <c r="J21" s="144">
        <f>SUMIFS('февраль 2024'!$G$4:$G$1413,'февраль 2024'!$D$4:$D$1413,$B21,'февраль 2024'!$J$4:$J$1413,J$1)</f>
        <v>0</v>
      </c>
      <c r="K21" s="144">
        <f>SUMIFS('февраль 2024'!$G$4:$G$1413,'февраль 2024'!$D$4:$D$1413,$B21,'февраль 2024'!$J$4:$J$1413,K$1)</f>
        <v>0</v>
      </c>
      <c r="L21" s="144">
        <f>SUMIFS('февраль 2024'!$G$4:$G$1413,'февраль 2024'!$D$4:$D$1413,$B21,'февраль 2024'!$J$4:$J$1413,L$1)</f>
        <v>0</v>
      </c>
      <c r="M21" s="144">
        <f>SUMIFS('февраль 2024'!$G$4:$G$1413,'февраль 2024'!$D$4:$D$1413,$B21,'февраль 2024'!$J$4:$J$1413,M$1)</f>
        <v>0</v>
      </c>
      <c r="N21" s="144">
        <f>SUMIFS('февраль 2024'!$G$4:$G$1413,'февраль 2024'!$D$4:$D$1413,$B21,'февраль 2024'!$J$4:$J$1413,N$1)</f>
        <v>0</v>
      </c>
      <c r="O21" s="144">
        <f>SUMIFS('февраль 2024'!$G$4:$G$1413,'февраль 2024'!$D$4:$D$1413,$B21,'февраль 2024'!$J$4:$J$1413,O$1)</f>
        <v>0</v>
      </c>
      <c r="P21" s="144">
        <f>SUMIFS('февраль 2024'!$G$4:$G$1413,'февраль 2024'!$D$4:$D$1413,$B21,'февраль 2024'!$J$4:$J$1413,P$1)</f>
        <v>0</v>
      </c>
      <c r="Q21" s="144">
        <f>SUMIFS('февраль 2024'!$G$4:$G$1413,'февраль 2024'!$D$4:$D$1413,$B21,'февраль 2024'!$J$4:$J$1413,Q$1)</f>
        <v>0</v>
      </c>
      <c r="R21" s="144">
        <f>SUMIFS('февраль 2024'!$G$4:$G$1413,'февраль 2024'!$D$4:$D$1413,$B21,'февраль 2024'!$J$4:$J$1413,R$1)</f>
        <v>0</v>
      </c>
      <c r="S21" s="144">
        <f>SUMIFS('февраль 2024'!$G$4:$G$1413,'февраль 2024'!$D$4:$D$1413,$B21,'февраль 2024'!$J$4:$J$1413,S$1)</f>
        <v>0</v>
      </c>
      <c r="T21" s="144">
        <f>SUMIFS('февраль 2024'!$G$4:$G$1413,'февраль 2024'!$D$4:$D$1413,$B21,'февраль 2024'!$J$4:$J$1413,T$1)</f>
        <v>0</v>
      </c>
      <c r="U21" s="144">
        <f>SUMIFS('февраль 2024'!$G$4:$G$1413,'февраль 2024'!$D$4:$D$1413,$B21,'февраль 2024'!$J$4:$J$1413,U$1)</f>
        <v>0</v>
      </c>
      <c r="V21" s="144">
        <f>SUMIFS('февраль 2024'!$G$4:$G$1413,'февраль 2024'!$D$4:$D$1413,$B21,'февраль 2024'!$J$4:$J$1413,V$1)</f>
        <v>0</v>
      </c>
      <c r="W21" s="144">
        <f>SUMIFS('февраль 2024'!$G$4:$G$1413,'февраль 2024'!$D$4:$D$1413,$B21,'февраль 2024'!$J$4:$J$1413,W$1)</f>
        <v>0</v>
      </c>
      <c r="X21" s="144">
        <f>SUMIFS('февраль 2024'!$G$4:$G$1413,'февраль 2024'!$D$4:$D$1413,$B21,'февраль 2024'!$J$4:$J$1413,X$1)</f>
        <v>0</v>
      </c>
      <c r="Y21" s="144">
        <f>SUMIFS('февраль 2024'!$G$4:$G$1413,'февраль 2024'!$D$4:$D$1413,$B21,'февраль 2024'!$J$4:$J$1413,Y$1)</f>
        <v>0</v>
      </c>
      <c r="Z21" s="144">
        <f>SUMIFS('февраль 2024'!$G$4:$G$1413,'февраль 2024'!$D$4:$D$1413,$B21,'февраль 2024'!$J$4:$J$1413,Z$1)</f>
        <v>0</v>
      </c>
      <c r="AA21" s="144">
        <f>SUMIFS('февраль 2024'!$G$4:$G$1413,'февраль 2024'!$D$4:$D$1413,$B21,'февраль 2024'!$J$4:$J$1413,AA$1)</f>
        <v>0</v>
      </c>
      <c r="AB21" s="144">
        <f>SUMIFS('февраль 2024'!$G$4:$G$1413,'февраль 2024'!$D$4:$D$1413,$B21,'февраль 2024'!$J$4:$J$1413,AB$1)</f>
        <v>0</v>
      </c>
      <c r="AC21" s="144">
        <f>SUMIFS('февраль 2024'!$G$4:$G$1413,'февраль 2024'!$D$4:$D$1413,$B21,'февраль 2024'!$J$4:$J$1413,AC$1)</f>
        <v>0</v>
      </c>
      <c r="AD21" s="144">
        <f>SUMIFS('февраль 2024'!$G$4:$G$1413,'февраль 2024'!$D$4:$D$1413,$B21,'февраль 2024'!$J$4:$J$1413,AD$1)</f>
        <v>0</v>
      </c>
      <c r="AE21" s="144">
        <f>SUMIFS('февраль 2024'!$G$4:$G$1413,'февраль 2024'!$D$4:$D$1413,$B21,'февраль 2024'!$J$4:$J$1413,AE$1)</f>
        <v>0</v>
      </c>
      <c r="AF21" s="144">
        <f>SUMIFS('февраль 2024'!$G$4:$G$1413,'февраль 2024'!$D$4:$D$1413,$B21,'февраль 2024'!$J$4:$J$1413,AF$1)</f>
        <v>0</v>
      </c>
      <c r="AG21" s="144">
        <f>SUMIFS('февраль 2024'!$G$4:$G$1413,'февраль 2024'!$D$4:$D$1413,$B21,'февраль 2024'!$J$4:$J$1413,AG$1)</f>
        <v>0</v>
      </c>
      <c r="AH21" s="144">
        <f>SUMIFS('февраль 2024'!$G$4:$G$1413,'февраль 2024'!$D$4:$D$1413,$B21,'февраль 2024'!$J$4:$J$1413,AH$1)</f>
        <v>0</v>
      </c>
      <c r="AI21" s="21">
        <f t="shared" si="1"/>
        <v>0</v>
      </c>
    </row>
    <row r="22" spans="2:35" ht="15" customHeight="1" x14ac:dyDescent="0.25">
      <c r="B22" s="84" t="s">
        <v>312</v>
      </c>
      <c r="C22" s="82">
        <v>25</v>
      </c>
      <c r="D22" s="144">
        <f>SUMIFS('февраль 2024'!$G$4:$G$1413,'февраль 2024'!$D$4:$D$1413,$B22,'февраль 2024'!$J$4:$J$1413,D$1)</f>
        <v>0</v>
      </c>
      <c r="E22" s="144">
        <f>SUMIFS('февраль 2024'!$G$4:$G$1413,'февраль 2024'!$D$4:$D$1413,$B22,'февраль 2024'!$J$4:$J$1413,E$1)</f>
        <v>0</v>
      </c>
      <c r="F22" s="144">
        <f>SUMIFS('февраль 2024'!$G$4:$G$1413,'февраль 2024'!$D$4:$D$1413,$B22,'февраль 2024'!$J$4:$J$1413,F$1)</f>
        <v>0</v>
      </c>
      <c r="G22" s="144">
        <f>SUMIFS('февраль 2024'!$G$4:$G$1413,'февраль 2024'!$D$4:$D$1413,$B22,'февраль 2024'!$J$4:$J$1413,G$1)</f>
        <v>0</v>
      </c>
      <c r="H22" s="144">
        <f>SUMIFS('февраль 2024'!$G$4:$G$1413,'февраль 2024'!$D$4:$D$1413,$B22,'февраль 2024'!$J$4:$J$1413,H$1)</f>
        <v>0</v>
      </c>
      <c r="I22" s="144">
        <f>SUMIFS('февраль 2024'!$G$4:$G$1413,'февраль 2024'!$D$4:$D$1413,$B22,'февраль 2024'!$J$4:$J$1413,I$1)</f>
        <v>0</v>
      </c>
      <c r="J22" s="144">
        <f>SUMIFS('февраль 2024'!$G$4:$G$1413,'февраль 2024'!$D$4:$D$1413,$B22,'февраль 2024'!$J$4:$J$1413,J$1)</f>
        <v>0</v>
      </c>
      <c r="K22" s="144">
        <f>SUMIFS('февраль 2024'!$G$4:$G$1413,'февраль 2024'!$D$4:$D$1413,$B22,'февраль 2024'!$J$4:$J$1413,K$1)</f>
        <v>0</v>
      </c>
      <c r="L22" s="144">
        <f>SUMIFS('февраль 2024'!$G$4:$G$1413,'февраль 2024'!$D$4:$D$1413,$B22,'февраль 2024'!$J$4:$J$1413,L$1)</f>
        <v>0</v>
      </c>
      <c r="M22" s="144">
        <f>SUMIFS('февраль 2024'!$G$4:$G$1413,'февраль 2024'!$D$4:$D$1413,$B22,'февраль 2024'!$J$4:$J$1413,M$1)</f>
        <v>0</v>
      </c>
      <c r="N22" s="144">
        <f>SUMIFS('февраль 2024'!$G$4:$G$1413,'февраль 2024'!$D$4:$D$1413,$B22,'февраль 2024'!$J$4:$J$1413,N$1)</f>
        <v>0</v>
      </c>
      <c r="O22" s="144">
        <f>SUMIFS('февраль 2024'!$G$4:$G$1413,'февраль 2024'!$D$4:$D$1413,$B22,'февраль 2024'!$J$4:$J$1413,O$1)</f>
        <v>0</v>
      </c>
      <c r="P22" s="144">
        <f>SUMIFS('февраль 2024'!$G$4:$G$1413,'февраль 2024'!$D$4:$D$1413,$B22,'февраль 2024'!$J$4:$J$1413,P$1)</f>
        <v>0</v>
      </c>
      <c r="Q22" s="144">
        <f>SUMIFS('февраль 2024'!$G$4:$G$1413,'февраль 2024'!$D$4:$D$1413,$B22,'февраль 2024'!$J$4:$J$1413,Q$1)</f>
        <v>0</v>
      </c>
      <c r="R22" s="144">
        <f>SUMIFS('февраль 2024'!$G$4:$G$1413,'февраль 2024'!$D$4:$D$1413,$B22,'февраль 2024'!$J$4:$J$1413,R$1)</f>
        <v>0</v>
      </c>
      <c r="S22" s="144">
        <f>SUMIFS('февраль 2024'!$G$4:$G$1413,'февраль 2024'!$D$4:$D$1413,$B22,'февраль 2024'!$J$4:$J$1413,S$1)</f>
        <v>0</v>
      </c>
      <c r="T22" s="144">
        <f>SUMIFS('февраль 2024'!$G$4:$G$1413,'февраль 2024'!$D$4:$D$1413,$B22,'февраль 2024'!$J$4:$J$1413,T$1)</f>
        <v>0</v>
      </c>
      <c r="U22" s="144">
        <f>SUMIFS('февраль 2024'!$G$4:$G$1413,'февраль 2024'!$D$4:$D$1413,$B22,'февраль 2024'!$J$4:$J$1413,U$1)</f>
        <v>0</v>
      </c>
      <c r="V22" s="144">
        <f>SUMIFS('февраль 2024'!$G$4:$G$1413,'февраль 2024'!$D$4:$D$1413,$B22,'февраль 2024'!$J$4:$J$1413,V$1)</f>
        <v>0</v>
      </c>
      <c r="W22" s="144">
        <f>SUMIFS('февраль 2024'!$G$4:$G$1413,'февраль 2024'!$D$4:$D$1413,$B22,'февраль 2024'!$J$4:$J$1413,W$1)</f>
        <v>0</v>
      </c>
      <c r="X22" s="144">
        <f>SUMIFS('февраль 2024'!$G$4:$G$1413,'февраль 2024'!$D$4:$D$1413,$B22,'февраль 2024'!$J$4:$J$1413,X$1)</f>
        <v>0</v>
      </c>
      <c r="Y22" s="144">
        <f>SUMIFS('февраль 2024'!$G$4:$G$1413,'февраль 2024'!$D$4:$D$1413,$B22,'февраль 2024'!$J$4:$J$1413,Y$1)</f>
        <v>0</v>
      </c>
      <c r="Z22" s="144">
        <f>SUMIFS('февраль 2024'!$G$4:$G$1413,'февраль 2024'!$D$4:$D$1413,$B22,'февраль 2024'!$J$4:$J$1413,Z$1)</f>
        <v>0</v>
      </c>
      <c r="AA22" s="144">
        <f>SUMIFS('февраль 2024'!$G$4:$G$1413,'февраль 2024'!$D$4:$D$1413,$B22,'февраль 2024'!$J$4:$J$1413,AA$1)</f>
        <v>0</v>
      </c>
      <c r="AB22" s="144">
        <f>SUMIFS('февраль 2024'!$G$4:$G$1413,'февраль 2024'!$D$4:$D$1413,$B22,'февраль 2024'!$J$4:$J$1413,AB$1)</f>
        <v>0</v>
      </c>
      <c r="AC22" s="144">
        <f>SUMIFS('февраль 2024'!$G$4:$G$1413,'февраль 2024'!$D$4:$D$1413,$B22,'февраль 2024'!$J$4:$J$1413,AC$1)</f>
        <v>0</v>
      </c>
      <c r="AD22" s="144">
        <f>SUMIFS('февраль 2024'!$G$4:$G$1413,'февраль 2024'!$D$4:$D$1413,$B22,'февраль 2024'!$J$4:$J$1413,AD$1)</f>
        <v>0</v>
      </c>
      <c r="AE22" s="144">
        <f>SUMIFS('февраль 2024'!$G$4:$G$1413,'февраль 2024'!$D$4:$D$1413,$B22,'февраль 2024'!$J$4:$J$1413,AE$1)</f>
        <v>0</v>
      </c>
      <c r="AF22" s="144">
        <f>SUMIFS('февраль 2024'!$G$4:$G$1413,'февраль 2024'!$D$4:$D$1413,$B22,'февраль 2024'!$J$4:$J$1413,AF$1)</f>
        <v>0</v>
      </c>
      <c r="AG22" s="144">
        <f>SUMIFS('февраль 2024'!$G$4:$G$1413,'февраль 2024'!$D$4:$D$1413,$B22,'февраль 2024'!$J$4:$J$1413,AG$1)</f>
        <v>0</v>
      </c>
      <c r="AH22" s="144">
        <f>SUMIFS('февраль 2024'!$G$4:$G$1413,'февраль 2024'!$D$4:$D$1413,$B22,'февраль 2024'!$J$4:$J$1413,AH$1)</f>
        <v>0</v>
      </c>
      <c r="AI22" s="21">
        <f t="shared" si="1"/>
        <v>0</v>
      </c>
    </row>
    <row r="23" spans="2:35" ht="15" customHeight="1" x14ac:dyDescent="0.25">
      <c r="B23" s="84" t="s">
        <v>313</v>
      </c>
      <c r="C23" s="82">
        <v>25</v>
      </c>
      <c r="D23" s="144">
        <f>SUMIFS('февраль 2024'!$G$4:$G$1413,'февраль 2024'!$D$4:$D$1413,$B23,'февраль 2024'!$J$4:$J$1413,D$1)</f>
        <v>0</v>
      </c>
      <c r="E23" s="144">
        <f>SUMIFS('февраль 2024'!$G$4:$G$1413,'февраль 2024'!$D$4:$D$1413,$B23,'февраль 2024'!$J$4:$J$1413,E$1)</f>
        <v>0</v>
      </c>
      <c r="F23" s="144">
        <f>SUMIFS('февраль 2024'!$G$4:$G$1413,'февраль 2024'!$D$4:$D$1413,$B23,'февраль 2024'!$J$4:$J$1413,F$1)</f>
        <v>0</v>
      </c>
      <c r="G23" s="144">
        <f>SUMIFS('февраль 2024'!$G$4:$G$1413,'февраль 2024'!$D$4:$D$1413,$B23,'февраль 2024'!$J$4:$J$1413,G$1)</f>
        <v>0</v>
      </c>
      <c r="H23" s="144">
        <f>SUMIFS('февраль 2024'!$G$4:$G$1413,'февраль 2024'!$D$4:$D$1413,$B23,'февраль 2024'!$J$4:$J$1413,H$1)</f>
        <v>0</v>
      </c>
      <c r="I23" s="144">
        <f>SUMIFS('февраль 2024'!$G$4:$G$1413,'февраль 2024'!$D$4:$D$1413,$B23,'февраль 2024'!$J$4:$J$1413,I$1)</f>
        <v>0</v>
      </c>
      <c r="J23" s="144">
        <f>SUMIFS('февраль 2024'!$G$4:$G$1413,'февраль 2024'!$D$4:$D$1413,$B23,'февраль 2024'!$J$4:$J$1413,J$1)</f>
        <v>0</v>
      </c>
      <c r="K23" s="144">
        <f>SUMIFS('февраль 2024'!$G$4:$G$1413,'февраль 2024'!$D$4:$D$1413,$B23,'февраль 2024'!$J$4:$J$1413,K$1)</f>
        <v>0</v>
      </c>
      <c r="L23" s="144">
        <f>SUMIFS('февраль 2024'!$G$4:$G$1413,'февраль 2024'!$D$4:$D$1413,$B23,'февраль 2024'!$J$4:$J$1413,L$1)</f>
        <v>0</v>
      </c>
      <c r="M23" s="144">
        <f>SUMIFS('февраль 2024'!$G$4:$G$1413,'февраль 2024'!$D$4:$D$1413,$B23,'февраль 2024'!$J$4:$J$1413,M$1)</f>
        <v>0</v>
      </c>
      <c r="N23" s="144">
        <f>SUMIFS('февраль 2024'!$G$4:$G$1413,'февраль 2024'!$D$4:$D$1413,$B23,'февраль 2024'!$J$4:$J$1413,N$1)</f>
        <v>0</v>
      </c>
      <c r="O23" s="144">
        <f>SUMIFS('февраль 2024'!$G$4:$G$1413,'февраль 2024'!$D$4:$D$1413,$B23,'февраль 2024'!$J$4:$J$1413,O$1)</f>
        <v>0</v>
      </c>
      <c r="P23" s="144">
        <f>SUMIFS('февраль 2024'!$G$4:$G$1413,'февраль 2024'!$D$4:$D$1413,$B23,'февраль 2024'!$J$4:$J$1413,P$1)</f>
        <v>0</v>
      </c>
      <c r="Q23" s="144">
        <f>SUMIFS('февраль 2024'!$G$4:$G$1413,'февраль 2024'!$D$4:$D$1413,$B23,'февраль 2024'!$J$4:$J$1413,Q$1)</f>
        <v>0</v>
      </c>
      <c r="R23" s="144">
        <f>SUMIFS('февраль 2024'!$G$4:$G$1413,'февраль 2024'!$D$4:$D$1413,$B23,'февраль 2024'!$J$4:$J$1413,R$1)</f>
        <v>0</v>
      </c>
      <c r="S23" s="144">
        <f>SUMIFS('февраль 2024'!$G$4:$G$1413,'февраль 2024'!$D$4:$D$1413,$B23,'февраль 2024'!$J$4:$J$1413,S$1)</f>
        <v>0</v>
      </c>
      <c r="T23" s="144">
        <f>SUMIFS('февраль 2024'!$G$4:$G$1413,'февраль 2024'!$D$4:$D$1413,$B23,'февраль 2024'!$J$4:$J$1413,T$1)</f>
        <v>0</v>
      </c>
      <c r="U23" s="144">
        <f>SUMIFS('февраль 2024'!$G$4:$G$1413,'февраль 2024'!$D$4:$D$1413,$B23,'февраль 2024'!$J$4:$J$1413,U$1)</f>
        <v>0</v>
      </c>
      <c r="V23" s="144">
        <f>SUMIFS('февраль 2024'!$G$4:$G$1413,'февраль 2024'!$D$4:$D$1413,$B23,'февраль 2024'!$J$4:$J$1413,V$1)</f>
        <v>0</v>
      </c>
      <c r="W23" s="144">
        <f>SUMIFS('февраль 2024'!$G$4:$G$1413,'февраль 2024'!$D$4:$D$1413,$B23,'февраль 2024'!$J$4:$J$1413,W$1)</f>
        <v>0</v>
      </c>
      <c r="X23" s="144">
        <f>SUMIFS('февраль 2024'!$G$4:$G$1413,'февраль 2024'!$D$4:$D$1413,$B23,'февраль 2024'!$J$4:$J$1413,X$1)</f>
        <v>0</v>
      </c>
      <c r="Y23" s="144">
        <f>SUMIFS('февраль 2024'!$G$4:$G$1413,'февраль 2024'!$D$4:$D$1413,$B23,'февраль 2024'!$J$4:$J$1413,Y$1)</f>
        <v>0</v>
      </c>
      <c r="Z23" s="144">
        <f>SUMIFS('февраль 2024'!$G$4:$G$1413,'февраль 2024'!$D$4:$D$1413,$B23,'февраль 2024'!$J$4:$J$1413,Z$1)</f>
        <v>0</v>
      </c>
      <c r="AA23" s="144">
        <f>SUMIFS('февраль 2024'!$G$4:$G$1413,'февраль 2024'!$D$4:$D$1413,$B23,'февраль 2024'!$J$4:$J$1413,AA$1)</f>
        <v>0</v>
      </c>
      <c r="AB23" s="144">
        <f>SUMIFS('февраль 2024'!$G$4:$G$1413,'февраль 2024'!$D$4:$D$1413,$B23,'февраль 2024'!$J$4:$J$1413,AB$1)</f>
        <v>0</v>
      </c>
      <c r="AC23" s="144">
        <f>SUMIFS('февраль 2024'!$G$4:$G$1413,'февраль 2024'!$D$4:$D$1413,$B23,'февраль 2024'!$J$4:$J$1413,AC$1)</f>
        <v>0</v>
      </c>
      <c r="AD23" s="144">
        <f>SUMIFS('февраль 2024'!$G$4:$G$1413,'февраль 2024'!$D$4:$D$1413,$B23,'февраль 2024'!$J$4:$J$1413,AD$1)</f>
        <v>0</v>
      </c>
      <c r="AE23" s="144">
        <f>SUMIFS('февраль 2024'!$G$4:$G$1413,'февраль 2024'!$D$4:$D$1413,$B23,'февраль 2024'!$J$4:$J$1413,AE$1)</f>
        <v>0</v>
      </c>
      <c r="AF23" s="144">
        <f>SUMIFS('февраль 2024'!$G$4:$G$1413,'февраль 2024'!$D$4:$D$1413,$B23,'февраль 2024'!$J$4:$J$1413,AF$1)</f>
        <v>0</v>
      </c>
      <c r="AG23" s="144">
        <f>SUMIFS('февраль 2024'!$G$4:$G$1413,'февраль 2024'!$D$4:$D$1413,$B23,'февраль 2024'!$J$4:$J$1413,AG$1)</f>
        <v>0</v>
      </c>
      <c r="AH23" s="144">
        <f>SUMIFS('февраль 2024'!$G$4:$G$1413,'февраль 2024'!$D$4:$D$1413,$B23,'февраль 2024'!$J$4:$J$1413,AH$1)</f>
        <v>0</v>
      </c>
      <c r="AI23" s="21">
        <f t="shared" si="1"/>
        <v>0</v>
      </c>
    </row>
    <row r="24" spans="2:35" ht="15" customHeight="1" x14ac:dyDescent="0.25">
      <c r="B24" s="84" t="s">
        <v>314</v>
      </c>
      <c r="C24" s="82">
        <v>25</v>
      </c>
      <c r="D24" s="144">
        <f>SUMIFS('февраль 2024'!$G$4:$G$1413,'февраль 2024'!$D$4:$D$1413,$B24,'февраль 2024'!$J$4:$J$1413,D$1)</f>
        <v>0</v>
      </c>
      <c r="E24" s="144">
        <f>SUMIFS('февраль 2024'!$G$4:$G$1413,'февраль 2024'!$D$4:$D$1413,$B24,'февраль 2024'!$J$4:$J$1413,E$1)</f>
        <v>0</v>
      </c>
      <c r="F24" s="144">
        <f>SUMIFS('февраль 2024'!$G$4:$G$1413,'февраль 2024'!$D$4:$D$1413,$B24,'февраль 2024'!$J$4:$J$1413,F$1)</f>
        <v>0</v>
      </c>
      <c r="G24" s="144">
        <f>SUMIFS('февраль 2024'!$G$4:$G$1413,'февраль 2024'!$D$4:$D$1413,$B24,'февраль 2024'!$J$4:$J$1413,G$1)</f>
        <v>0</v>
      </c>
      <c r="H24" s="144">
        <f>SUMIFS('февраль 2024'!$G$4:$G$1413,'февраль 2024'!$D$4:$D$1413,$B24,'февраль 2024'!$J$4:$J$1413,H$1)</f>
        <v>0</v>
      </c>
      <c r="I24" s="144">
        <f>SUMIFS('февраль 2024'!$G$4:$G$1413,'февраль 2024'!$D$4:$D$1413,$B24,'февраль 2024'!$J$4:$J$1413,I$1)</f>
        <v>0</v>
      </c>
      <c r="J24" s="144">
        <f>SUMIFS('февраль 2024'!$G$4:$G$1413,'февраль 2024'!$D$4:$D$1413,$B24,'февраль 2024'!$J$4:$J$1413,J$1)</f>
        <v>0</v>
      </c>
      <c r="K24" s="144">
        <f>SUMIFS('февраль 2024'!$G$4:$G$1413,'февраль 2024'!$D$4:$D$1413,$B24,'февраль 2024'!$J$4:$J$1413,K$1)</f>
        <v>0</v>
      </c>
      <c r="L24" s="144">
        <f>SUMIFS('февраль 2024'!$G$4:$G$1413,'февраль 2024'!$D$4:$D$1413,$B24,'февраль 2024'!$J$4:$J$1413,L$1)</f>
        <v>0</v>
      </c>
      <c r="M24" s="144">
        <f>SUMIFS('февраль 2024'!$G$4:$G$1413,'февраль 2024'!$D$4:$D$1413,$B24,'февраль 2024'!$J$4:$J$1413,M$1)</f>
        <v>0</v>
      </c>
      <c r="N24" s="144">
        <f>SUMIFS('февраль 2024'!$G$4:$G$1413,'февраль 2024'!$D$4:$D$1413,$B24,'февраль 2024'!$J$4:$J$1413,N$1)</f>
        <v>0</v>
      </c>
      <c r="O24" s="144">
        <f>SUMIFS('февраль 2024'!$G$4:$G$1413,'февраль 2024'!$D$4:$D$1413,$B24,'февраль 2024'!$J$4:$J$1413,O$1)</f>
        <v>0</v>
      </c>
      <c r="P24" s="144">
        <f>SUMIFS('февраль 2024'!$G$4:$G$1413,'февраль 2024'!$D$4:$D$1413,$B24,'февраль 2024'!$J$4:$J$1413,P$1)</f>
        <v>0</v>
      </c>
      <c r="Q24" s="144">
        <f>SUMIFS('февраль 2024'!$G$4:$G$1413,'февраль 2024'!$D$4:$D$1413,$B24,'февраль 2024'!$J$4:$J$1413,Q$1)</f>
        <v>0</v>
      </c>
      <c r="R24" s="144">
        <f>SUMIFS('февраль 2024'!$G$4:$G$1413,'февраль 2024'!$D$4:$D$1413,$B24,'февраль 2024'!$J$4:$J$1413,R$1)</f>
        <v>0</v>
      </c>
      <c r="S24" s="144">
        <f>SUMIFS('февраль 2024'!$G$4:$G$1413,'февраль 2024'!$D$4:$D$1413,$B24,'февраль 2024'!$J$4:$J$1413,S$1)</f>
        <v>0</v>
      </c>
      <c r="T24" s="144">
        <f>SUMIFS('февраль 2024'!$G$4:$G$1413,'февраль 2024'!$D$4:$D$1413,$B24,'февраль 2024'!$J$4:$J$1413,T$1)</f>
        <v>0</v>
      </c>
      <c r="U24" s="144">
        <f>SUMIFS('февраль 2024'!$G$4:$G$1413,'февраль 2024'!$D$4:$D$1413,$B24,'февраль 2024'!$J$4:$J$1413,U$1)</f>
        <v>0</v>
      </c>
      <c r="V24" s="144">
        <f>SUMIFS('февраль 2024'!$G$4:$G$1413,'февраль 2024'!$D$4:$D$1413,$B24,'февраль 2024'!$J$4:$J$1413,V$1)</f>
        <v>0</v>
      </c>
      <c r="W24" s="144">
        <f>SUMIFS('февраль 2024'!$G$4:$G$1413,'февраль 2024'!$D$4:$D$1413,$B24,'февраль 2024'!$J$4:$J$1413,W$1)</f>
        <v>0</v>
      </c>
      <c r="X24" s="144">
        <f>SUMIFS('февраль 2024'!$G$4:$G$1413,'февраль 2024'!$D$4:$D$1413,$B24,'февраль 2024'!$J$4:$J$1413,X$1)</f>
        <v>0</v>
      </c>
      <c r="Y24" s="144">
        <f>SUMIFS('февраль 2024'!$G$4:$G$1413,'февраль 2024'!$D$4:$D$1413,$B24,'февраль 2024'!$J$4:$J$1413,Y$1)</f>
        <v>0</v>
      </c>
      <c r="Z24" s="144">
        <f>SUMIFS('февраль 2024'!$G$4:$G$1413,'февраль 2024'!$D$4:$D$1413,$B24,'февраль 2024'!$J$4:$J$1413,Z$1)</f>
        <v>0</v>
      </c>
      <c r="AA24" s="144">
        <f>SUMIFS('февраль 2024'!$G$4:$G$1413,'февраль 2024'!$D$4:$D$1413,$B24,'февраль 2024'!$J$4:$J$1413,AA$1)</f>
        <v>0</v>
      </c>
      <c r="AB24" s="144">
        <f>SUMIFS('февраль 2024'!$G$4:$G$1413,'февраль 2024'!$D$4:$D$1413,$B24,'февраль 2024'!$J$4:$J$1413,AB$1)</f>
        <v>0</v>
      </c>
      <c r="AC24" s="144">
        <f>SUMIFS('февраль 2024'!$G$4:$G$1413,'февраль 2024'!$D$4:$D$1413,$B24,'февраль 2024'!$J$4:$J$1413,AC$1)</f>
        <v>0</v>
      </c>
      <c r="AD24" s="144">
        <f>SUMIFS('февраль 2024'!$G$4:$G$1413,'февраль 2024'!$D$4:$D$1413,$B24,'февраль 2024'!$J$4:$J$1413,AD$1)</f>
        <v>0</v>
      </c>
      <c r="AE24" s="144">
        <f>SUMIFS('февраль 2024'!$G$4:$G$1413,'февраль 2024'!$D$4:$D$1413,$B24,'февраль 2024'!$J$4:$J$1413,AE$1)</f>
        <v>0</v>
      </c>
      <c r="AF24" s="144">
        <f>SUMIFS('февраль 2024'!$G$4:$G$1413,'февраль 2024'!$D$4:$D$1413,$B24,'февраль 2024'!$J$4:$J$1413,AF$1)</f>
        <v>0</v>
      </c>
      <c r="AG24" s="144">
        <f>SUMIFS('февраль 2024'!$G$4:$G$1413,'февраль 2024'!$D$4:$D$1413,$B24,'февраль 2024'!$J$4:$J$1413,AG$1)</f>
        <v>0</v>
      </c>
      <c r="AH24" s="144">
        <f>SUMIFS('февраль 2024'!$G$4:$G$1413,'февраль 2024'!$D$4:$D$1413,$B24,'февраль 2024'!$J$4:$J$1413,AH$1)</f>
        <v>0</v>
      </c>
      <c r="AI24" s="21">
        <f t="shared" si="1"/>
        <v>0</v>
      </c>
    </row>
    <row r="25" spans="2:35" ht="15" customHeight="1" x14ac:dyDescent="0.25">
      <c r="B25" s="84" t="s">
        <v>315</v>
      </c>
      <c r="C25" s="82">
        <v>25</v>
      </c>
      <c r="D25" s="144">
        <f>SUMIFS('февраль 2024'!$G$4:$G$1413,'февраль 2024'!$D$4:$D$1413,$B25,'февраль 2024'!$J$4:$J$1413,D$1)</f>
        <v>0</v>
      </c>
      <c r="E25" s="144">
        <f>SUMIFS('февраль 2024'!$G$4:$G$1413,'февраль 2024'!$D$4:$D$1413,$B25,'февраль 2024'!$J$4:$J$1413,E$1)</f>
        <v>0</v>
      </c>
      <c r="F25" s="144">
        <f>SUMIFS('февраль 2024'!$G$4:$G$1413,'февраль 2024'!$D$4:$D$1413,$B25,'февраль 2024'!$J$4:$J$1413,F$1)</f>
        <v>0</v>
      </c>
      <c r="G25" s="144">
        <f>SUMIFS('февраль 2024'!$G$4:$G$1413,'февраль 2024'!$D$4:$D$1413,$B25,'февраль 2024'!$J$4:$J$1413,G$1)</f>
        <v>0</v>
      </c>
      <c r="H25" s="144">
        <f>SUMIFS('февраль 2024'!$G$4:$G$1413,'февраль 2024'!$D$4:$D$1413,$B25,'февраль 2024'!$J$4:$J$1413,H$1)</f>
        <v>0</v>
      </c>
      <c r="I25" s="144">
        <f>SUMIFS('февраль 2024'!$G$4:$G$1413,'февраль 2024'!$D$4:$D$1413,$B25,'февраль 2024'!$J$4:$J$1413,I$1)</f>
        <v>0</v>
      </c>
      <c r="J25" s="144">
        <f>SUMIFS('февраль 2024'!$G$4:$G$1413,'февраль 2024'!$D$4:$D$1413,$B25,'февраль 2024'!$J$4:$J$1413,J$1)</f>
        <v>0</v>
      </c>
      <c r="K25" s="144">
        <f>SUMIFS('февраль 2024'!$G$4:$G$1413,'февраль 2024'!$D$4:$D$1413,$B25,'февраль 2024'!$J$4:$J$1413,K$1)</f>
        <v>0</v>
      </c>
      <c r="L25" s="144">
        <f>SUMIFS('февраль 2024'!$G$4:$G$1413,'февраль 2024'!$D$4:$D$1413,$B25,'февраль 2024'!$J$4:$J$1413,L$1)</f>
        <v>0</v>
      </c>
      <c r="M25" s="144">
        <f>SUMIFS('февраль 2024'!$G$4:$G$1413,'февраль 2024'!$D$4:$D$1413,$B25,'февраль 2024'!$J$4:$J$1413,M$1)</f>
        <v>0</v>
      </c>
      <c r="N25" s="144">
        <f>SUMIFS('февраль 2024'!$G$4:$G$1413,'февраль 2024'!$D$4:$D$1413,$B25,'февраль 2024'!$J$4:$J$1413,N$1)</f>
        <v>0</v>
      </c>
      <c r="O25" s="144">
        <f>SUMIFS('февраль 2024'!$G$4:$G$1413,'февраль 2024'!$D$4:$D$1413,$B25,'февраль 2024'!$J$4:$J$1413,O$1)</f>
        <v>0</v>
      </c>
      <c r="P25" s="144">
        <f>SUMIFS('февраль 2024'!$G$4:$G$1413,'февраль 2024'!$D$4:$D$1413,$B25,'февраль 2024'!$J$4:$J$1413,P$1)</f>
        <v>0</v>
      </c>
      <c r="Q25" s="144">
        <f>SUMIFS('февраль 2024'!$G$4:$G$1413,'февраль 2024'!$D$4:$D$1413,$B25,'февраль 2024'!$J$4:$J$1413,Q$1)</f>
        <v>0</v>
      </c>
      <c r="R25" s="144">
        <f>SUMIFS('февраль 2024'!$G$4:$G$1413,'февраль 2024'!$D$4:$D$1413,$B25,'февраль 2024'!$J$4:$J$1413,R$1)</f>
        <v>0</v>
      </c>
      <c r="S25" s="144">
        <f>SUMIFS('февраль 2024'!$G$4:$G$1413,'февраль 2024'!$D$4:$D$1413,$B25,'февраль 2024'!$J$4:$J$1413,S$1)</f>
        <v>0</v>
      </c>
      <c r="T25" s="144">
        <f>SUMIFS('февраль 2024'!$G$4:$G$1413,'февраль 2024'!$D$4:$D$1413,$B25,'февраль 2024'!$J$4:$J$1413,T$1)</f>
        <v>0</v>
      </c>
      <c r="U25" s="144">
        <f>SUMIFS('февраль 2024'!$G$4:$G$1413,'февраль 2024'!$D$4:$D$1413,$B25,'февраль 2024'!$J$4:$J$1413,U$1)</f>
        <v>0</v>
      </c>
      <c r="V25" s="144">
        <f>SUMIFS('февраль 2024'!$G$4:$G$1413,'февраль 2024'!$D$4:$D$1413,$B25,'февраль 2024'!$J$4:$J$1413,V$1)</f>
        <v>0</v>
      </c>
      <c r="W25" s="144">
        <f>SUMIFS('февраль 2024'!$G$4:$G$1413,'февраль 2024'!$D$4:$D$1413,$B25,'февраль 2024'!$J$4:$J$1413,W$1)</f>
        <v>0</v>
      </c>
      <c r="X25" s="144">
        <f>SUMIFS('февраль 2024'!$G$4:$G$1413,'февраль 2024'!$D$4:$D$1413,$B25,'февраль 2024'!$J$4:$J$1413,X$1)</f>
        <v>0</v>
      </c>
      <c r="Y25" s="144">
        <f>SUMIFS('февраль 2024'!$G$4:$G$1413,'февраль 2024'!$D$4:$D$1413,$B25,'февраль 2024'!$J$4:$J$1413,Y$1)</f>
        <v>0</v>
      </c>
      <c r="Z25" s="144">
        <f>SUMIFS('февраль 2024'!$G$4:$G$1413,'февраль 2024'!$D$4:$D$1413,$B25,'февраль 2024'!$J$4:$J$1413,Z$1)</f>
        <v>0</v>
      </c>
      <c r="AA25" s="144">
        <f>SUMIFS('февраль 2024'!$G$4:$G$1413,'февраль 2024'!$D$4:$D$1413,$B25,'февраль 2024'!$J$4:$J$1413,AA$1)</f>
        <v>0</v>
      </c>
      <c r="AB25" s="144">
        <f>SUMIFS('февраль 2024'!$G$4:$G$1413,'февраль 2024'!$D$4:$D$1413,$B25,'февраль 2024'!$J$4:$J$1413,AB$1)</f>
        <v>0</v>
      </c>
      <c r="AC25" s="144">
        <f>SUMIFS('февраль 2024'!$G$4:$G$1413,'февраль 2024'!$D$4:$D$1413,$B25,'февраль 2024'!$J$4:$J$1413,AC$1)</f>
        <v>0</v>
      </c>
      <c r="AD25" s="144">
        <f>SUMIFS('февраль 2024'!$G$4:$G$1413,'февраль 2024'!$D$4:$D$1413,$B25,'февраль 2024'!$J$4:$J$1413,AD$1)</f>
        <v>0</v>
      </c>
      <c r="AE25" s="144">
        <f>SUMIFS('февраль 2024'!$G$4:$G$1413,'февраль 2024'!$D$4:$D$1413,$B25,'февраль 2024'!$J$4:$J$1413,AE$1)</f>
        <v>0</v>
      </c>
      <c r="AF25" s="144">
        <f>SUMIFS('февраль 2024'!$G$4:$G$1413,'февраль 2024'!$D$4:$D$1413,$B25,'февраль 2024'!$J$4:$J$1413,AF$1)</f>
        <v>0</v>
      </c>
      <c r="AG25" s="144">
        <f>SUMIFS('февраль 2024'!$G$4:$G$1413,'февраль 2024'!$D$4:$D$1413,$B25,'февраль 2024'!$J$4:$J$1413,AG$1)</f>
        <v>0</v>
      </c>
      <c r="AH25" s="144">
        <f>SUMIFS('февраль 2024'!$G$4:$G$1413,'февраль 2024'!$D$4:$D$1413,$B25,'февраль 2024'!$J$4:$J$1413,AH$1)</f>
        <v>0</v>
      </c>
      <c r="AI25" s="21">
        <f t="shared" si="1"/>
        <v>0</v>
      </c>
    </row>
    <row r="26" spans="2:35" ht="15" customHeight="1" x14ac:dyDescent="0.25">
      <c r="B26" s="84"/>
      <c r="C26" s="82"/>
      <c r="D26" s="144">
        <f>SUMIFS('февраль 2024'!$G$4:$G$1413,'февраль 2024'!$D$4:$D$1413,$B26,'февраль 2024'!$J$4:$J$1413,D$1)</f>
        <v>0</v>
      </c>
      <c r="E26" s="144">
        <f>SUMIFS('февраль 2024'!$G$4:$G$1413,'февраль 2024'!$D$4:$D$1413,$B26,'февраль 2024'!$J$4:$J$1413,E$1)</f>
        <v>0</v>
      </c>
      <c r="F26" s="144">
        <f>SUMIFS('февраль 2024'!$G$4:$G$1413,'февраль 2024'!$D$4:$D$1413,$B26,'февраль 2024'!$J$4:$J$1413,F$1)</f>
        <v>0</v>
      </c>
      <c r="G26" s="144">
        <f>SUMIFS('февраль 2024'!$G$4:$G$1413,'февраль 2024'!$D$4:$D$1413,$B26,'февраль 2024'!$J$4:$J$1413,G$1)</f>
        <v>0</v>
      </c>
      <c r="H26" s="144">
        <f>SUMIFS('февраль 2024'!$G$4:$G$1413,'февраль 2024'!$D$4:$D$1413,$B26,'февраль 2024'!$J$4:$J$1413,H$1)</f>
        <v>0</v>
      </c>
      <c r="I26" s="144">
        <f>SUMIFS('февраль 2024'!$G$4:$G$1413,'февраль 2024'!$D$4:$D$1413,$B26,'февраль 2024'!$J$4:$J$1413,I$1)</f>
        <v>0</v>
      </c>
      <c r="J26" s="144">
        <f>SUMIFS('февраль 2024'!$G$4:$G$1413,'февраль 2024'!$D$4:$D$1413,$B26,'февраль 2024'!$J$4:$J$1413,J$1)</f>
        <v>0</v>
      </c>
      <c r="K26" s="144">
        <f>SUMIFS('февраль 2024'!$G$4:$G$1413,'февраль 2024'!$D$4:$D$1413,$B26,'февраль 2024'!$J$4:$J$1413,K$1)</f>
        <v>0</v>
      </c>
      <c r="L26" s="144">
        <f>SUMIFS('февраль 2024'!$G$4:$G$1413,'февраль 2024'!$D$4:$D$1413,$B26,'февраль 2024'!$J$4:$J$1413,L$1)</f>
        <v>0</v>
      </c>
      <c r="M26" s="144">
        <f>SUMIFS('февраль 2024'!$G$4:$G$1413,'февраль 2024'!$D$4:$D$1413,$B26,'февраль 2024'!$J$4:$J$1413,M$1)</f>
        <v>0</v>
      </c>
      <c r="N26" s="144">
        <f>SUMIFS('февраль 2024'!$G$4:$G$1413,'февраль 2024'!$D$4:$D$1413,$B26,'февраль 2024'!$J$4:$J$1413,N$1)</f>
        <v>0</v>
      </c>
      <c r="O26" s="144">
        <f>SUMIFS('февраль 2024'!$G$4:$G$1413,'февраль 2024'!$D$4:$D$1413,$B26,'февраль 2024'!$J$4:$J$1413,O$1)</f>
        <v>0</v>
      </c>
      <c r="P26" s="144">
        <f>SUMIFS('февраль 2024'!$G$4:$G$1413,'февраль 2024'!$D$4:$D$1413,$B26,'февраль 2024'!$J$4:$J$1413,P$1)</f>
        <v>0</v>
      </c>
      <c r="Q26" s="144">
        <f>SUMIFS('февраль 2024'!$G$4:$G$1413,'февраль 2024'!$D$4:$D$1413,$B26,'февраль 2024'!$J$4:$J$1413,Q$1)</f>
        <v>0</v>
      </c>
      <c r="R26" s="144">
        <f>SUMIFS('февраль 2024'!$G$4:$G$1413,'февраль 2024'!$D$4:$D$1413,$B26,'февраль 2024'!$J$4:$J$1413,R$1)</f>
        <v>0</v>
      </c>
      <c r="S26" s="144">
        <f>SUMIFS('февраль 2024'!$G$4:$G$1413,'февраль 2024'!$D$4:$D$1413,$B26,'февраль 2024'!$J$4:$J$1413,S$1)</f>
        <v>0</v>
      </c>
      <c r="T26" s="144">
        <f>SUMIFS('февраль 2024'!$G$4:$G$1413,'февраль 2024'!$D$4:$D$1413,$B26,'февраль 2024'!$J$4:$J$1413,T$1)</f>
        <v>0</v>
      </c>
      <c r="U26" s="144">
        <f>SUMIFS('февраль 2024'!$G$4:$G$1413,'февраль 2024'!$D$4:$D$1413,$B26,'февраль 2024'!$J$4:$J$1413,U$1)</f>
        <v>0</v>
      </c>
      <c r="V26" s="144">
        <f>SUMIFS('февраль 2024'!$G$4:$G$1413,'февраль 2024'!$D$4:$D$1413,$B26,'февраль 2024'!$J$4:$J$1413,V$1)</f>
        <v>0</v>
      </c>
      <c r="W26" s="144">
        <f>SUMIFS('февраль 2024'!$G$4:$G$1413,'февраль 2024'!$D$4:$D$1413,$B26,'февраль 2024'!$J$4:$J$1413,W$1)</f>
        <v>0</v>
      </c>
      <c r="X26" s="144">
        <f>SUMIFS('февраль 2024'!$G$4:$G$1413,'февраль 2024'!$D$4:$D$1413,$B26,'февраль 2024'!$J$4:$J$1413,X$1)</f>
        <v>0</v>
      </c>
      <c r="Y26" s="144">
        <f>SUMIFS('февраль 2024'!$G$4:$G$1413,'февраль 2024'!$D$4:$D$1413,$B26,'февраль 2024'!$J$4:$J$1413,Y$1)</f>
        <v>0</v>
      </c>
      <c r="Z26" s="144">
        <f>SUMIFS('февраль 2024'!$G$4:$G$1413,'февраль 2024'!$D$4:$D$1413,$B26,'февраль 2024'!$J$4:$J$1413,Z$1)</f>
        <v>0</v>
      </c>
      <c r="AA26" s="144">
        <f>SUMIFS('февраль 2024'!$G$4:$G$1413,'февраль 2024'!$D$4:$D$1413,$B26,'февраль 2024'!$J$4:$J$1413,AA$1)</f>
        <v>0</v>
      </c>
      <c r="AB26" s="144">
        <f>SUMIFS('февраль 2024'!$G$4:$G$1413,'февраль 2024'!$D$4:$D$1413,$B26,'февраль 2024'!$J$4:$J$1413,AB$1)</f>
        <v>0</v>
      </c>
      <c r="AC26" s="144">
        <f>SUMIFS('февраль 2024'!$G$4:$G$1413,'февраль 2024'!$D$4:$D$1413,$B26,'февраль 2024'!$J$4:$J$1413,AC$1)</f>
        <v>0</v>
      </c>
      <c r="AD26" s="144">
        <f>SUMIFS('февраль 2024'!$G$4:$G$1413,'февраль 2024'!$D$4:$D$1413,$B26,'февраль 2024'!$J$4:$J$1413,AD$1)</f>
        <v>0</v>
      </c>
      <c r="AE26" s="144">
        <f>SUMIFS('февраль 2024'!$G$4:$G$1413,'февраль 2024'!$D$4:$D$1413,$B26,'февраль 2024'!$J$4:$J$1413,AE$1)</f>
        <v>0</v>
      </c>
      <c r="AF26" s="144">
        <f>SUMIFS('февраль 2024'!$G$4:$G$1413,'февраль 2024'!$D$4:$D$1413,$B26,'февраль 2024'!$J$4:$J$1413,AF$1)</f>
        <v>0</v>
      </c>
      <c r="AG26" s="144">
        <f>SUMIFS('февраль 2024'!$G$4:$G$1413,'февраль 2024'!$D$4:$D$1413,$B26,'февраль 2024'!$J$4:$J$1413,AG$1)</f>
        <v>0</v>
      </c>
      <c r="AH26" s="144">
        <f>SUMIFS('февраль 2024'!$G$4:$G$1413,'февраль 2024'!$D$4:$D$1413,$B26,'февраль 2024'!$J$4:$J$1413,AH$1)</f>
        <v>0</v>
      </c>
      <c r="AI26" s="21">
        <f t="shared" si="1"/>
        <v>0</v>
      </c>
    </row>
    <row r="27" spans="2:35" ht="15" customHeight="1" x14ac:dyDescent="0.25">
      <c r="B27" s="84"/>
      <c r="C27" s="82"/>
      <c r="D27" s="144">
        <f>SUMIFS('февраль 2024'!$G$4:$G$1413,'февраль 2024'!$D$4:$D$1413,$B27,'февраль 2024'!$J$4:$J$1413,D$1)</f>
        <v>0</v>
      </c>
      <c r="E27" s="144">
        <f>SUMIFS('февраль 2024'!$G$4:$G$1413,'февраль 2024'!$D$4:$D$1413,$B27,'февраль 2024'!$J$4:$J$1413,E$1)</f>
        <v>0</v>
      </c>
      <c r="F27" s="144">
        <f>SUMIFS('февраль 2024'!$G$4:$G$1413,'февраль 2024'!$D$4:$D$1413,$B27,'февраль 2024'!$J$4:$J$1413,F$1)</f>
        <v>0</v>
      </c>
      <c r="G27" s="144">
        <f>SUMIFS('февраль 2024'!$G$4:$G$1413,'февраль 2024'!$D$4:$D$1413,$B27,'февраль 2024'!$J$4:$J$1413,G$1)</f>
        <v>0</v>
      </c>
      <c r="H27" s="144">
        <f>SUMIFS('февраль 2024'!$G$4:$G$1413,'февраль 2024'!$D$4:$D$1413,$B27,'февраль 2024'!$J$4:$J$1413,H$1)</f>
        <v>0</v>
      </c>
      <c r="I27" s="144">
        <f>SUMIFS('февраль 2024'!$G$4:$G$1413,'февраль 2024'!$D$4:$D$1413,$B27,'февраль 2024'!$J$4:$J$1413,I$1)</f>
        <v>0</v>
      </c>
      <c r="J27" s="144">
        <f>SUMIFS('февраль 2024'!$G$4:$G$1413,'февраль 2024'!$D$4:$D$1413,$B27,'февраль 2024'!$J$4:$J$1413,J$1)</f>
        <v>0</v>
      </c>
      <c r="K27" s="144">
        <f>SUMIFS('февраль 2024'!$G$4:$G$1413,'февраль 2024'!$D$4:$D$1413,$B27,'февраль 2024'!$J$4:$J$1413,K$1)</f>
        <v>0</v>
      </c>
      <c r="L27" s="144">
        <f>SUMIFS('февраль 2024'!$G$4:$G$1413,'февраль 2024'!$D$4:$D$1413,$B27,'февраль 2024'!$J$4:$J$1413,L$1)</f>
        <v>0</v>
      </c>
      <c r="M27" s="144">
        <f>SUMIFS('февраль 2024'!$G$4:$G$1413,'февраль 2024'!$D$4:$D$1413,$B27,'февраль 2024'!$J$4:$J$1413,M$1)</f>
        <v>0</v>
      </c>
      <c r="N27" s="144">
        <f>SUMIFS('февраль 2024'!$G$4:$G$1413,'февраль 2024'!$D$4:$D$1413,$B27,'февраль 2024'!$J$4:$J$1413,N$1)</f>
        <v>0</v>
      </c>
      <c r="O27" s="144">
        <f>SUMIFS('февраль 2024'!$G$4:$G$1413,'февраль 2024'!$D$4:$D$1413,$B27,'февраль 2024'!$J$4:$J$1413,O$1)</f>
        <v>0</v>
      </c>
      <c r="P27" s="144">
        <f>SUMIFS('февраль 2024'!$G$4:$G$1413,'февраль 2024'!$D$4:$D$1413,$B27,'февраль 2024'!$J$4:$J$1413,P$1)</f>
        <v>0</v>
      </c>
      <c r="Q27" s="144">
        <f>SUMIFS('февраль 2024'!$G$4:$G$1413,'февраль 2024'!$D$4:$D$1413,$B27,'февраль 2024'!$J$4:$J$1413,Q$1)</f>
        <v>0</v>
      </c>
      <c r="R27" s="144">
        <f>SUMIFS('февраль 2024'!$G$4:$G$1413,'февраль 2024'!$D$4:$D$1413,$B27,'февраль 2024'!$J$4:$J$1413,R$1)</f>
        <v>0</v>
      </c>
      <c r="S27" s="144">
        <f>SUMIFS('февраль 2024'!$G$4:$G$1413,'февраль 2024'!$D$4:$D$1413,$B27,'февраль 2024'!$J$4:$J$1413,S$1)</f>
        <v>0</v>
      </c>
      <c r="T27" s="144">
        <f>SUMIFS('февраль 2024'!$G$4:$G$1413,'февраль 2024'!$D$4:$D$1413,$B27,'февраль 2024'!$J$4:$J$1413,T$1)</f>
        <v>0</v>
      </c>
      <c r="U27" s="144">
        <f>SUMIFS('февраль 2024'!$G$4:$G$1413,'февраль 2024'!$D$4:$D$1413,$B27,'февраль 2024'!$J$4:$J$1413,U$1)</f>
        <v>0</v>
      </c>
      <c r="V27" s="144">
        <f>SUMIFS('февраль 2024'!$G$4:$G$1413,'февраль 2024'!$D$4:$D$1413,$B27,'февраль 2024'!$J$4:$J$1413,V$1)</f>
        <v>0</v>
      </c>
      <c r="W27" s="144">
        <f>SUMIFS('февраль 2024'!$G$4:$G$1413,'февраль 2024'!$D$4:$D$1413,$B27,'февраль 2024'!$J$4:$J$1413,W$1)</f>
        <v>0</v>
      </c>
      <c r="X27" s="144">
        <f>SUMIFS('февраль 2024'!$G$4:$G$1413,'февраль 2024'!$D$4:$D$1413,$B27,'февраль 2024'!$J$4:$J$1413,X$1)</f>
        <v>0</v>
      </c>
      <c r="Y27" s="144">
        <f>SUMIFS('февраль 2024'!$G$4:$G$1413,'февраль 2024'!$D$4:$D$1413,$B27,'февраль 2024'!$J$4:$J$1413,Y$1)</f>
        <v>0</v>
      </c>
      <c r="Z27" s="144">
        <f>SUMIFS('февраль 2024'!$G$4:$G$1413,'февраль 2024'!$D$4:$D$1413,$B27,'февраль 2024'!$J$4:$J$1413,Z$1)</f>
        <v>0</v>
      </c>
      <c r="AA27" s="144">
        <f>SUMIFS('февраль 2024'!$G$4:$G$1413,'февраль 2024'!$D$4:$D$1413,$B27,'февраль 2024'!$J$4:$J$1413,AA$1)</f>
        <v>0</v>
      </c>
      <c r="AB27" s="144">
        <f>SUMIFS('февраль 2024'!$G$4:$G$1413,'февраль 2024'!$D$4:$D$1413,$B27,'февраль 2024'!$J$4:$J$1413,AB$1)</f>
        <v>0</v>
      </c>
      <c r="AC27" s="144">
        <f>SUMIFS('февраль 2024'!$G$4:$G$1413,'февраль 2024'!$D$4:$D$1413,$B27,'февраль 2024'!$J$4:$J$1413,AC$1)</f>
        <v>0</v>
      </c>
      <c r="AD27" s="144">
        <f>SUMIFS('февраль 2024'!$G$4:$G$1413,'февраль 2024'!$D$4:$D$1413,$B27,'февраль 2024'!$J$4:$J$1413,AD$1)</f>
        <v>0</v>
      </c>
      <c r="AE27" s="144">
        <f>SUMIFS('февраль 2024'!$G$4:$G$1413,'февраль 2024'!$D$4:$D$1413,$B27,'февраль 2024'!$J$4:$J$1413,AE$1)</f>
        <v>0</v>
      </c>
      <c r="AF27" s="144">
        <f>SUMIFS('февраль 2024'!$G$4:$G$1413,'февраль 2024'!$D$4:$D$1413,$B27,'февраль 2024'!$J$4:$J$1413,AF$1)</f>
        <v>0</v>
      </c>
      <c r="AG27" s="144">
        <f>SUMIFS('февраль 2024'!$G$4:$G$1413,'февраль 2024'!$D$4:$D$1413,$B27,'февраль 2024'!$J$4:$J$1413,AG$1)</f>
        <v>0</v>
      </c>
      <c r="AH27" s="144">
        <f>SUMIFS('февраль 2024'!$G$4:$G$1413,'февраль 2024'!$D$4:$D$1413,$B27,'февраль 2024'!$J$4:$J$1413,AH$1)</f>
        <v>0</v>
      </c>
      <c r="AI27" s="21">
        <f t="shared" si="1"/>
        <v>0</v>
      </c>
    </row>
    <row r="28" spans="2:35" ht="15" customHeight="1" x14ac:dyDescent="0.25">
      <c r="B28" s="84"/>
      <c r="C28" s="82"/>
      <c r="D28" s="144">
        <f>SUMIFS('февраль 2024'!$G$4:$G$1413,'февраль 2024'!$D$4:$D$1413,$B28,'февраль 2024'!$J$4:$J$1413,D$1)</f>
        <v>0</v>
      </c>
      <c r="E28" s="144">
        <f>SUMIFS('февраль 2024'!$G$4:$G$1413,'февраль 2024'!$D$4:$D$1413,$B28,'февраль 2024'!$J$4:$J$1413,E$1)</f>
        <v>0</v>
      </c>
      <c r="F28" s="144">
        <f>SUMIFS('февраль 2024'!$G$4:$G$1413,'февраль 2024'!$D$4:$D$1413,$B28,'февраль 2024'!$J$4:$J$1413,F$1)</f>
        <v>0</v>
      </c>
      <c r="G28" s="144">
        <f>SUMIFS('февраль 2024'!$G$4:$G$1413,'февраль 2024'!$D$4:$D$1413,$B28,'февраль 2024'!$J$4:$J$1413,G$1)</f>
        <v>0</v>
      </c>
      <c r="H28" s="144">
        <f>SUMIFS('февраль 2024'!$G$4:$G$1413,'февраль 2024'!$D$4:$D$1413,$B28,'февраль 2024'!$J$4:$J$1413,H$1)</f>
        <v>0</v>
      </c>
      <c r="I28" s="144">
        <f>SUMIFS('февраль 2024'!$G$4:$G$1413,'февраль 2024'!$D$4:$D$1413,$B28,'февраль 2024'!$J$4:$J$1413,I$1)</f>
        <v>0</v>
      </c>
      <c r="J28" s="144">
        <f>SUMIFS('февраль 2024'!$G$4:$G$1413,'февраль 2024'!$D$4:$D$1413,$B28,'февраль 2024'!$J$4:$J$1413,J$1)</f>
        <v>0</v>
      </c>
      <c r="K28" s="144">
        <f>SUMIFS('февраль 2024'!$G$4:$G$1413,'февраль 2024'!$D$4:$D$1413,$B28,'февраль 2024'!$J$4:$J$1413,K$1)</f>
        <v>0</v>
      </c>
      <c r="L28" s="144">
        <f>SUMIFS('февраль 2024'!$G$4:$G$1413,'февраль 2024'!$D$4:$D$1413,$B28,'февраль 2024'!$J$4:$J$1413,L$1)</f>
        <v>0</v>
      </c>
      <c r="M28" s="144">
        <f>SUMIFS('февраль 2024'!$G$4:$G$1413,'февраль 2024'!$D$4:$D$1413,$B28,'февраль 2024'!$J$4:$J$1413,M$1)</f>
        <v>0</v>
      </c>
      <c r="N28" s="144">
        <f>SUMIFS('февраль 2024'!$G$4:$G$1413,'февраль 2024'!$D$4:$D$1413,$B28,'февраль 2024'!$J$4:$J$1413,N$1)</f>
        <v>0</v>
      </c>
      <c r="O28" s="144">
        <f>SUMIFS('февраль 2024'!$G$4:$G$1413,'февраль 2024'!$D$4:$D$1413,$B28,'февраль 2024'!$J$4:$J$1413,O$1)</f>
        <v>0</v>
      </c>
      <c r="P28" s="144">
        <f>SUMIFS('февраль 2024'!$G$4:$G$1413,'февраль 2024'!$D$4:$D$1413,$B28,'февраль 2024'!$J$4:$J$1413,P$1)</f>
        <v>0</v>
      </c>
      <c r="Q28" s="144">
        <f>SUMIFS('февраль 2024'!$G$4:$G$1413,'февраль 2024'!$D$4:$D$1413,$B28,'февраль 2024'!$J$4:$J$1413,Q$1)</f>
        <v>0</v>
      </c>
      <c r="R28" s="144">
        <f>SUMIFS('февраль 2024'!$G$4:$G$1413,'февраль 2024'!$D$4:$D$1413,$B28,'февраль 2024'!$J$4:$J$1413,R$1)</f>
        <v>0</v>
      </c>
      <c r="S28" s="144">
        <f>SUMIFS('февраль 2024'!$G$4:$G$1413,'февраль 2024'!$D$4:$D$1413,$B28,'февраль 2024'!$J$4:$J$1413,S$1)</f>
        <v>0</v>
      </c>
      <c r="T28" s="144">
        <f>SUMIFS('февраль 2024'!$G$4:$G$1413,'февраль 2024'!$D$4:$D$1413,$B28,'февраль 2024'!$J$4:$J$1413,T$1)</f>
        <v>0</v>
      </c>
      <c r="U28" s="144">
        <f>SUMIFS('февраль 2024'!$G$4:$G$1413,'февраль 2024'!$D$4:$D$1413,$B28,'февраль 2024'!$J$4:$J$1413,U$1)</f>
        <v>0</v>
      </c>
      <c r="V28" s="144">
        <f>SUMIFS('февраль 2024'!$G$4:$G$1413,'февраль 2024'!$D$4:$D$1413,$B28,'февраль 2024'!$J$4:$J$1413,V$1)</f>
        <v>0</v>
      </c>
      <c r="W28" s="144">
        <f>SUMIFS('февраль 2024'!$G$4:$G$1413,'февраль 2024'!$D$4:$D$1413,$B28,'февраль 2024'!$J$4:$J$1413,W$1)</f>
        <v>0</v>
      </c>
      <c r="X28" s="144">
        <f>SUMIFS('февраль 2024'!$G$4:$G$1413,'февраль 2024'!$D$4:$D$1413,$B28,'февраль 2024'!$J$4:$J$1413,X$1)</f>
        <v>0</v>
      </c>
      <c r="Y28" s="144">
        <f>SUMIFS('февраль 2024'!$G$4:$G$1413,'февраль 2024'!$D$4:$D$1413,$B28,'февраль 2024'!$J$4:$J$1413,Y$1)</f>
        <v>0</v>
      </c>
      <c r="Z28" s="144">
        <f>SUMIFS('февраль 2024'!$G$4:$G$1413,'февраль 2024'!$D$4:$D$1413,$B28,'февраль 2024'!$J$4:$J$1413,Z$1)</f>
        <v>0</v>
      </c>
      <c r="AA28" s="144">
        <f>SUMIFS('февраль 2024'!$G$4:$G$1413,'февраль 2024'!$D$4:$D$1413,$B28,'февраль 2024'!$J$4:$J$1413,AA$1)</f>
        <v>0</v>
      </c>
      <c r="AB28" s="144">
        <f>SUMIFS('февраль 2024'!$G$4:$G$1413,'февраль 2024'!$D$4:$D$1413,$B28,'февраль 2024'!$J$4:$J$1413,AB$1)</f>
        <v>0</v>
      </c>
      <c r="AC28" s="144">
        <f>SUMIFS('февраль 2024'!$G$4:$G$1413,'февраль 2024'!$D$4:$D$1413,$B28,'февраль 2024'!$J$4:$J$1413,AC$1)</f>
        <v>0</v>
      </c>
      <c r="AD28" s="144">
        <f>SUMIFS('февраль 2024'!$G$4:$G$1413,'февраль 2024'!$D$4:$D$1413,$B28,'февраль 2024'!$J$4:$J$1413,AD$1)</f>
        <v>0</v>
      </c>
      <c r="AE28" s="144">
        <f>SUMIFS('февраль 2024'!$G$4:$G$1413,'февраль 2024'!$D$4:$D$1413,$B28,'февраль 2024'!$J$4:$J$1413,AE$1)</f>
        <v>0</v>
      </c>
      <c r="AF28" s="144">
        <f>SUMIFS('февраль 2024'!$G$4:$G$1413,'февраль 2024'!$D$4:$D$1413,$B28,'февраль 2024'!$J$4:$J$1413,AF$1)</f>
        <v>0</v>
      </c>
      <c r="AG28" s="144">
        <f>SUMIFS('февраль 2024'!$G$4:$G$1413,'февраль 2024'!$D$4:$D$1413,$B28,'февраль 2024'!$J$4:$J$1413,AG$1)</f>
        <v>0</v>
      </c>
      <c r="AH28" s="144">
        <f>SUMIFS('февраль 2024'!$G$4:$G$1413,'февраль 2024'!$D$4:$D$1413,$B28,'февраль 2024'!$J$4:$J$1413,AH$1)</f>
        <v>0</v>
      </c>
      <c r="AI28" s="21">
        <f t="shared" si="1"/>
        <v>0</v>
      </c>
    </row>
    <row r="29" spans="2:35" ht="15" customHeight="1" x14ac:dyDescent="0.25">
      <c r="B29" s="84"/>
      <c r="C29" s="82"/>
      <c r="D29" s="144">
        <f>SUMIFS('февраль 2024'!$G$4:$G$1413,'февраль 2024'!$D$4:$D$1413,$B29,'февраль 2024'!$J$4:$J$1413,D$1)</f>
        <v>0</v>
      </c>
      <c r="E29" s="144">
        <f>SUMIFS('февраль 2024'!$G$4:$G$1413,'февраль 2024'!$D$4:$D$1413,$B29,'февраль 2024'!$J$4:$J$1413,E$1)</f>
        <v>0</v>
      </c>
      <c r="F29" s="144">
        <f>SUMIFS('февраль 2024'!$G$4:$G$1413,'февраль 2024'!$D$4:$D$1413,$B29,'февраль 2024'!$J$4:$J$1413,F$1)</f>
        <v>0</v>
      </c>
      <c r="G29" s="144">
        <f>SUMIFS('февраль 2024'!$G$4:$G$1413,'февраль 2024'!$D$4:$D$1413,$B29,'февраль 2024'!$J$4:$J$1413,G$1)</f>
        <v>0</v>
      </c>
      <c r="H29" s="144">
        <f>SUMIFS('февраль 2024'!$G$4:$G$1413,'февраль 2024'!$D$4:$D$1413,$B29,'февраль 2024'!$J$4:$J$1413,H$1)</f>
        <v>0</v>
      </c>
      <c r="I29" s="144">
        <f>SUMIFS('февраль 2024'!$G$4:$G$1413,'февраль 2024'!$D$4:$D$1413,$B29,'февраль 2024'!$J$4:$J$1413,I$1)</f>
        <v>0</v>
      </c>
      <c r="J29" s="144">
        <f>SUMIFS('февраль 2024'!$G$4:$G$1413,'февраль 2024'!$D$4:$D$1413,$B29,'февраль 2024'!$J$4:$J$1413,J$1)</f>
        <v>0</v>
      </c>
      <c r="K29" s="144">
        <f>SUMIFS('февраль 2024'!$G$4:$G$1413,'февраль 2024'!$D$4:$D$1413,$B29,'февраль 2024'!$J$4:$J$1413,K$1)</f>
        <v>0</v>
      </c>
      <c r="L29" s="144">
        <f>SUMIFS('февраль 2024'!$G$4:$G$1413,'февраль 2024'!$D$4:$D$1413,$B29,'февраль 2024'!$J$4:$J$1413,L$1)</f>
        <v>0</v>
      </c>
      <c r="M29" s="144">
        <f>SUMIFS('февраль 2024'!$G$4:$G$1413,'февраль 2024'!$D$4:$D$1413,$B29,'февраль 2024'!$J$4:$J$1413,M$1)</f>
        <v>0</v>
      </c>
      <c r="N29" s="144">
        <f>SUMIFS('февраль 2024'!$G$4:$G$1413,'февраль 2024'!$D$4:$D$1413,$B29,'февраль 2024'!$J$4:$J$1413,N$1)</f>
        <v>0</v>
      </c>
      <c r="O29" s="144">
        <f>SUMIFS('февраль 2024'!$G$4:$G$1413,'февраль 2024'!$D$4:$D$1413,$B29,'февраль 2024'!$J$4:$J$1413,O$1)</f>
        <v>0</v>
      </c>
      <c r="P29" s="144">
        <f>SUMIFS('февраль 2024'!$G$4:$G$1413,'февраль 2024'!$D$4:$D$1413,$B29,'февраль 2024'!$J$4:$J$1413,P$1)</f>
        <v>0</v>
      </c>
      <c r="Q29" s="144">
        <f>SUMIFS('февраль 2024'!$G$4:$G$1413,'февраль 2024'!$D$4:$D$1413,$B29,'февраль 2024'!$J$4:$J$1413,Q$1)</f>
        <v>0</v>
      </c>
      <c r="R29" s="144">
        <f>SUMIFS('февраль 2024'!$G$4:$G$1413,'февраль 2024'!$D$4:$D$1413,$B29,'февраль 2024'!$J$4:$J$1413,R$1)</f>
        <v>0</v>
      </c>
      <c r="S29" s="144">
        <f>SUMIFS('февраль 2024'!$G$4:$G$1413,'февраль 2024'!$D$4:$D$1413,$B29,'февраль 2024'!$J$4:$J$1413,S$1)</f>
        <v>0</v>
      </c>
      <c r="T29" s="144">
        <f>SUMIFS('февраль 2024'!$G$4:$G$1413,'февраль 2024'!$D$4:$D$1413,$B29,'февраль 2024'!$J$4:$J$1413,T$1)</f>
        <v>0</v>
      </c>
      <c r="U29" s="144">
        <f>SUMIFS('февраль 2024'!$G$4:$G$1413,'февраль 2024'!$D$4:$D$1413,$B29,'февраль 2024'!$J$4:$J$1413,U$1)</f>
        <v>0</v>
      </c>
      <c r="V29" s="144">
        <f>SUMIFS('февраль 2024'!$G$4:$G$1413,'февраль 2024'!$D$4:$D$1413,$B29,'февраль 2024'!$J$4:$J$1413,V$1)</f>
        <v>0</v>
      </c>
      <c r="W29" s="144">
        <f>SUMIFS('февраль 2024'!$G$4:$G$1413,'февраль 2024'!$D$4:$D$1413,$B29,'февраль 2024'!$J$4:$J$1413,W$1)</f>
        <v>0</v>
      </c>
      <c r="X29" s="144">
        <f>SUMIFS('февраль 2024'!$G$4:$G$1413,'февраль 2024'!$D$4:$D$1413,$B29,'февраль 2024'!$J$4:$J$1413,X$1)</f>
        <v>0</v>
      </c>
      <c r="Y29" s="144">
        <f>SUMIFS('февраль 2024'!$G$4:$G$1413,'февраль 2024'!$D$4:$D$1413,$B29,'февраль 2024'!$J$4:$J$1413,Y$1)</f>
        <v>0</v>
      </c>
      <c r="Z29" s="144">
        <f>SUMIFS('февраль 2024'!$G$4:$G$1413,'февраль 2024'!$D$4:$D$1413,$B29,'февраль 2024'!$J$4:$J$1413,Z$1)</f>
        <v>0</v>
      </c>
      <c r="AA29" s="144">
        <f>SUMIFS('февраль 2024'!$G$4:$G$1413,'февраль 2024'!$D$4:$D$1413,$B29,'февраль 2024'!$J$4:$J$1413,AA$1)</f>
        <v>0</v>
      </c>
      <c r="AB29" s="144">
        <f>SUMIFS('февраль 2024'!$G$4:$G$1413,'февраль 2024'!$D$4:$D$1413,$B29,'февраль 2024'!$J$4:$J$1413,AB$1)</f>
        <v>0</v>
      </c>
      <c r="AC29" s="144">
        <f>SUMIFS('февраль 2024'!$G$4:$G$1413,'февраль 2024'!$D$4:$D$1413,$B29,'февраль 2024'!$J$4:$J$1413,AC$1)</f>
        <v>0</v>
      </c>
      <c r="AD29" s="144">
        <f>SUMIFS('февраль 2024'!$G$4:$G$1413,'февраль 2024'!$D$4:$D$1413,$B29,'февраль 2024'!$J$4:$J$1413,AD$1)</f>
        <v>0</v>
      </c>
      <c r="AE29" s="144">
        <f>SUMIFS('февраль 2024'!$G$4:$G$1413,'февраль 2024'!$D$4:$D$1413,$B29,'февраль 2024'!$J$4:$J$1413,AE$1)</f>
        <v>0</v>
      </c>
      <c r="AF29" s="144">
        <f>SUMIFS('февраль 2024'!$G$4:$G$1413,'февраль 2024'!$D$4:$D$1413,$B29,'февраль 2024'!$J$4:$J$1413,AF$1)</f>
        <v>0</v>
      </c>
      <c r="AG29" s="144">
        <f>SUMIFS('февраль 2024'!$G$4:$G$1413,'февраль 2024'!$D$4:$D$1413,$B29,'февраль 2024'!$J$4:$J$1413,AG$1)</f>
        <v>0</v>
      </c>
      <c r="AH29" s="144">
        <f>SUMIFS('февраль 2024'!$G$4:$G$1413,'февраль 2024'!$D$4:$D$1413,$B29,'февраль 2024'!$J$4:$J$1413,AH$1)</f>
        <v>0</v>
      </c>
      <c r="AI29" s="21">
        <f t="shared" si="1"/>
        <v>0</v>
      </c>
    </row>
    <row r="30" spans="2:35" ht="15" customHeight="1" x14ac:dyDescent="0.25">
      <c r="B30" s="84"/>
      <c r="C30" s="82"/>
      <c r="D30" s="144">
        <f>SUMIFS('февраль 2024'!$G$4:$G$1413,'февраль 2024'!$D$4:$D$1413,$B30,'февраль 2024'!$J$4:$J$1413,D$1)</f>
        <v>0</v>
      </c>
      <c r="E30" s="144">
        <f>SUMIFS('февраль 2024'!$G$4:$G$1413,'февраль 2024'!$D$4:$D$1413,$B30,'февраль 2024'!$J$4:$J$1413,E$1)</f>
        <v>0</v>
      </c>
      <c r="F30" s="144">
        <f>SUMIFS('февраль 2024'!$G$4:$G$1413,'февраль 2024'!$D$4:$D$1413,$B30,'февраль 2024'!$J$4:$J$1413,F$1)</f>
        <v>0</v>
      </c>
      <c r="G30" s="144">
        <f>SUMIFS('февраль 2024'!$G$4:$G$1413,'февраль 2024'!$D$4:$D$1413,$B30,'февраль 2024'!$J$4:$J$1413,G$1)</f>
        <v>0</v>
      </c>
      <c r="H30" s="144">
        <f>SUMIFS('февраль 2024'!$G$4:$G$1413,'февраль 2024'!$D$4:$D$1413,$B30,'февраль 2024'!$J$4:$J$1413,H$1)</f>
        <v>0</v>
      </c>
      <c r="I30" s="144">
        <f>SUMIFS('февраль 2024'!$G$4:$G$1413,'февраль 2024'!$D$4:$D$1413,$B30,'февраль 2024'!$J$4:$J$1413,I$1)</f>
        <v>0</v>
      </c>
      <c r="J30" s="144">
        <f>SUMIFS('февраль 2024'!$G$4:$G$1413,'февраль 2024'!$D$4:$D$1413,$B30,'февраль 2024'!$J$4:$J$1413,J$1)</f>
        <v>0</v>
      </c>
      <c r="K30" s="144">
        <f>SUMIFS('февраль 2024'!$G$4:$G$1413,'февраль 2024'!$D$4:$D$1413,$B30,'февраль 2024'!$J$4:$J$1413,K$1)</f>
        <v>0</v>
      </c>
      <c r="L30" s="144">
        <f>SUMIFS('февраль 2024'!$G$4:$G$1413,'февраль 2024'!$D$4:$D$1413,$B30,'февраль 2024'!$J$4:$J$1413,L$1)</f>
        <v>0</v>
      </c>
      <c r="M30" s="144">
        <f>SUMIFS('февраль 2024'!$G$4:$G$1413,'февраль 2024'!$D$4:$D$1413,$B30,'февраль 2024'!$J$4:$J$1413,M$1)</f>
        <v>0</v>
      </c>
      <c r="N30" s="144">
        <f>SUMIFS('февраль 2024'!$G$4:$G$1413,'февраль 2024'!$D$4:$D$1413,$B30,'февраль 2024'!$J$4:$J$1413,N$1)</f>
        <v>0</v>
      </c>
      <c r="O30" s="144">
        <f>SUMIFS('февраль 2024'!$G$4:$G$1413,'февраль 2024'!$D$4:$D$1413,$B30,'февраль 2024'!$J$4:$J$1413,O$1)</f>
        <v>0</v>
      </c>
      <c r="P30" s="144">
        <f>SUMIFS('февраль 2024'!$G$4:$G$1413,'февраль 2024'!$D$4:$D$1413,$B30,'февраль 2024'!$J$4:$J$1413,P$1)</f>
        <v>0</v>
      </c>
      <c r="Q30" s="144">
        <f>SUMIFS('февраль 2024'!$G$4:$G$1413,'февраль 2024'!$D$4:$D$1413,$B30,'февраль 2024'!$J$4:$J$1413,Q$1)</f>
        <v>0</v>
      </c>
      <c r="R30" s="144">
        <f>SUMIFS('февраль 2024'!$G$4:$G$1413,'февраль 2024'!$D$4:$D$1413,$B30,'февраль 2024'!$J$4:$J$1413,R$1)</f>
        <v>0</v>
      </c>
      <c r="S30" s="144">
        <f>SUMIFS('февраль 2024'!$G$4:$G$1413,'февраль 2024'!$D$4:$D$1413,$B30,'февраль 2024'!$J$4:$J$1413,S$1)</f>
        <v>0</v>
      </c>
      <c r="T30" s="144">
        <f>SUMIFS('февраль 2024'!$G$4:$G$1413,'февраль 2024'!$D$4:$D$1413,$B30,'февраль 2024'!$J$4:$J$1413,T$1)</f>
        <v>0</v>
      </c>
      <c r="U30" s="144">
        <f>SUMIFS('февраль 2024'!$G$4:$G$1413,'февраль 2024'!$D$4:$D$1413,$B30,'февраль 2024'!$J$4:$J$1413,U$1)</f>
        <v>0</v>
      </c>
      <c r="V30" s="144">
        <f>SUMIFS('февраль 2024'!$G$4:$G$1413,'февраль 2024'!$D$4:$D$1413,$B30,'февраль 2024'!$J$4:$J$1413,V$1)</f>
        <v>0</v>
      </c>
      <c r="W30" s="144">
        <f>SUMIFS('февраль 2024'!$G$4:$G$1413,'февраль 2024'!$D$4:$D$1413,$B30,'февраль 2024'!$J$4:$J$1413,W$1)</f>
        <v>0</v>
      </c>
      <c r="X30" s="144">
        <f>SUMIFS('февраль 2024'!$G$4:$G$1413,'февраль 2024'!$D$4:$D$1413,$B30,'февраль 2024'!$J$4:$J$1413,X$1)</f>
        <v>0</v>
      </c>
      <c r="Y30" s="144">
        <f>SUMIFS('февраль 2024'!$G$4:$G$1413,'февраль 2024'!$D$4:$D$1413,$B30,'февраль 2024'!$J$4:$J$1413,Y$1)</f>
        <v>0</v>
      </c>
      <c r="Z30" s="144">
        <f>SUMIFS('февраль 2024'!$G$4:$G$1413,'февраль 2024'!$D$4:$D$1413,$B30,'февраль 2024'!$J$4:$J$1413,Z$1)</f>
        <v>0</v>
      </c>
      <c r="AA30" s="144">
        <f>SUMIFS('февраль 2024'!$G$4:$G$1413,'февраль 2024'!$D$4:$D$1413,$B30,'февраль 2024'!$J$4:$J$1413,AA$1)</f>
        <v>0</v>
      </c>
      <c r="AB30" s="144">
        <f>SUMIFS('февраль 2024'!$G$4:$G$1413,'февраль 2024'!$D$4:$D$1413,$B30,'февраль 2024'!$J$4:$J$1413,AB$1)</f>
        <v>0</v>
      </c>
      <c r="AC30" s="144">
        <f>SUMIFS('февраль 2024'!$G$4:$G$1413,'февраль 2024'!$D$4:$D$1413,$B30,'февраль 2024'!$J$4:$J$1413,AC$1)</f>
        <v>0</v>
      </c>
      <c r="AD30" s="144">
        <f>SUMIFS('февраль 2024'!$G$4:$G$1413,'февраль 2024'!$D$4:$D$1413,$B30,'февраль 2024'!$J$4:$J$1413,AD$1)</f>
        <v>0</v>
      </c>
      <c r="AE30" s="144">
        <f>SUMIFS('февраль 2024'!$G$4:$G$1413,'февраль 2024'!$D$4:$D$1413,$B30,'февраль 2024'!$J$4:$J$1413,AE$1)</f>
        <v>0</v>
      </c>
      <c r="AF30" s="144">
        <f>SUMIFS('февраль 2024'!$G$4:$G$1413,'февраль 2024'!$D$4:$D$1413,$B30,'февраль 2024'!$J$4:$J$1413,AF$1)</f>
        <v>0</v>
      </c>
      <c r="AG30" s="144">
        <f>SUMIFS('февраль 2024'!$G$4:$G$1413,'февраль 2024'!$D$4:$D$1413,$B30,'февраль 2024'!$J$4:$J$1413,AG$1)</f>
        <v>0</v>
      </c>
      <c r="AH30" s="144">
        <f>SUMIFS('февраль 2024'!$G$4:$G$1413,'февраль 2024'!$D$4:$D$1413,$B30,'февраль 2024'!$J$4:$J$1413,AH$1)</f>
        <v>0</v>
      </c>
      <c r="AI30" s="21">
        <f t="shared" si="1"/>
        <v>0</v>
      </c>
    </row>
    <row r="31" spans="2:35" ht="15" customHeight="1" x14ac:dyDescent="0.25">
      <c r="B31" s="142" t="s">
        <v>276</v>
      </c>
      <c r="C31" s="143">
        <v>25</v>
      </c>
      <c r="D31" s="144">
        <f>SUMIFS('февраль 2024'!$G$4:$G$1413,'февраль 2024'!$D$4:$D$1413,$B31,'февраль 2024'!$J$4:$J$1413,D$1)</f>
        <v>0</v>
      </c>
      <c r="E31" s="144">
        <f>SUMIFS('февраль 2024'!$G$4:$G$1413,'февраль 2024'!$D$4:$D$1413,$B31,'февраль 2024'!$J$4:$J$1413,E$1)</f>
        <v>0</v>
      </c>
      <c r="F31" s="144">
        <f>SUMIFS('февраль 2024'!$G$4:$G$1413,'февраль 2024'!$D$4:$D$1413,$B31,'февраль 2024'!$J$4:$J$1413,F$1)</f>
        <v>0</v>
      </c>
      <c r="G31" s="144">
        <f>SUMIFS('февраль 2024'!$G$4:$G$1413,'февраль 2024'!$D$4:$D$1413,$B31,'февраль 2024'!$J$4:$J$1413,G$1)</f>
        <v>0</v>
      </c>
      <c r="H31" s="144">
        <f>SUMIFS('февраль 2024'!$G$4:$G$1413,'февраль 2024'!$D$4:$D$1413,$B31,'февраль 2024'!$J$4:$J$1413,H$1)</f>
        <v>0</v>
      </c>
      <c r="I31" s="144">
        <f>SUMIFS('февраль 2024'!$G$4:$G$1413,'февраль 2024'!$D$4:$D$1413,$B31,'февраль 2024'!$J$4:$J$1413,I$1)</f>
        <v>0</v>
      </c>
      <c r="J31" s="144">
        <f>SUMIFS('февраль 2024'!$G$4:$G$1413,'февраль 2024'!$D$4:$D$1413,$B31,'февраль 2024'!$J$4:$J$1413,J$1)</f>
        <v>0</v>
      </c>
      <c r="K31" s="144">
        <f>SUMIFS('февраль 2024'!$G$4:$G$1413,'февраль 2024'!$D$4:$D$1413,$B31,'февраль 2024'!$J$4:$J$1413,K$1)</f>
        <v>0</v>
      </c>
      <c r="L31" s="144">
        <f>SUMIFS('февраль 2024'!$G$4:$G$1413,'февраль 2024'!$D$4:$D$1413,$B31,'февраль 2024'!$J$4:$J$1413,L$1)</f>
        <v>0</v>
      </c>
      <c r="M31" s="144">
        <f>SUMIFS('февраль 2024'!$G$4:$G$1413,'февраль 2024'!$D$4:$D$1413,$B31,'февраль 2024'!$J$4:$J$1413,M$1)</f>
        <v>0</v>
      </c>
      <c r="N31" s="144">
        <f>SUMIFS('февраль 2024'!$G$4:$G$1413,'февраль 2024'!$D$4:$D$1413,$B31,'февраль 2024'!$J$4:$J$1413,N$1)</f>
        <v>0</v>
      </c>
      <c r="O31" s="144">
        <f>SUMIFS('февраль 2024'!$G$4:$G$1413,'февраль 2024'!$D$4:$D$1413,$B31,'февраль 2024'!$J$4:$J$1413,O$1)</f>
        <v>0</v>
      </c>
      <c r="P31" s="144">
        <f>SUMIFS('февраль 2024'!$G$4:$G$1413,'февраль 2024'!$D$4:$D$1413,$B31,'февраль 2024'!$J$4:$J$1413,P$1)</f>
        <v>0</v>
      </c>
      <c r="Q31" s="144">
        <f>SUMIFS('февраль 2024'!$G$4:$G$1413,'февраль 2024'!$D$4:$D$1413,$B31,'февраль 2024'!$J$4:$J$1413,Q$1)</f>
        <v>0</v>
      </c>
      <c r="R31" s="144">
        <f>SUMIFS('февраль 2024'!$G$4:$G$1413,'февраль 2024'!$D$4:$D$1413,$B31,'февраль 2024'!$J$4:$J$1413,R$1)</f>
        <v>0</v>
      </c>
      <c r="S31" s="144">
        <f>SUMIFS('февраль 2024'!$G$4:$G$1413,'февраль 2024'!$D$4:$D$1413,$B31,'февраль 2024'!$J$4:$J$1413,S$1)</f>
        <v>0</v>
      </c>
      <c r="T31" s="144">
        <f>SUMIFS('февраль 2024'!$G$4:$G$1413,'февраль 2024'!$D$4:$D$1413,$B31,'февраль 2024'!$J$4:$J$1413,T$1)</f>
        <v>0</v>
      </c>
      <c r="U31" s="144">
        <f>SUMIFS('февраль 2024'!$G$4:$G$1413,'февраль 2024'!$D$4:$D$1413,$B31,'февраль 2024'!$J$4:$J$1413,U$1)</f>
        <v>0</v>
      </c>
      <c r="V31" s="144">
        <f>SUMIFS('февраль 2024'!$G$4:$G$1413,'февраль 2024'!$D$4:$D$1413,$B31,'февраль 2024'!$J$4:$J$1413,V$1)</f>
        <v>0</v>
      </c>
      <c r="W31" s="144">
        <f>SUMIFS('февраль 2024'!$G$4:$G$1413,'февраль 2024'!$D$4:$D$1413,$B31,'февраль 2024'!$J$4:$J$1413,W$1)</f>
        <v>0</v>
      </c>
      <c r="X31" s="144">
        <f>SUMIFS('февраль 2024'!$G$4:$G$1413,'февраль 2024'!$D$4:$D$1413,$B31,'февраль 2024'!$J$4:$J$1413,X$1)</f>
        <v>0</v>
      </c>
      <c r="Y31" s="144">
        <f>SUMIFS('февраль 2024'!$G$4:$G$1413,'февраль 2024'!$D$4:$D$1413,$B31,'февраль 2024'!$J$4:$J$1413,Y$1)</f>
        <v>0</v>
      </c>
      <c r="Z31" s="144">
        <f>SUMIFS('февраль 2024'!$G$4:$G$1413,'февраль 2024'!$D$4:$D$1413,$B31,'февраль 2024'!$J$4:$J$1413,Z$1)</f>
        <v>0</v>
      </c>
      <c r="AA31" s="144">
        <f>SUMIFS('февраль 2024'!$G$4:$G$1413,'февраль 2024'!$D$4:$D$1413,$B31,'февраль 2024'!$J$4:$J$1413,AA$1)</f>
        <v>0</v>
      </c>
      <c r="AB31" s="144">
        <f>SUMIFS('февраль 2024'!$G$4:$G$1413,'февраль 2024'!$D$4:$D$1413,$B31,'февраль 2024'!$J$4:$J$1413,AB$1)</f>
        <v>0</v>
      </c>
      <c r="AC31" s="144">
        <f>SUMIFS('февраль 2024'!$G$4:$G$1413,'февраль 2024'!$D$4:$D$1413,$B31,'февраль 2024'!$J$4:$J$1413,AC$1)</f>
        <v>0</v>
      </c>
      <c r="AD31" s="144">
        <f>SUMIFS('февраль 2024'!$G$4:$G$1413,'февраль 2024'!$D$4:$D$1413,$B31,'февраль 2024'!$J$4:$J$1413,AD$1)</f>
        <v>0</v>
      </c>
      <c r="AE31" s="144">
        <f>SUMIFS('февраль 2024'!$G$4:$G$1413,'февраль 2024'!$D$4:$D$1413,$B31,'февраль 2024'!$J$4:$J$1413,AE$1)</f>
        <v>0</v>
      </c>
      <c r="AF31" s="144">
        <f>SUMIFS('февраль 2024'!$G$4:$G$1413,'февраль 2024'!$D$4:$D$1413,$B31,'февраль 2024'!$J$4:$J$1413,AF$1)</f>
        <v>0</v>
      </c>
      <c r="AG31" s="144">
        <f>SUMIFS('февраль 2024'!$G$4:$G$1413,'февраль 2024'!$D$4:$D$1413,$B31,'февраль 2024'!$J$4:$J$1413,AG$1)</f>
        <v>0</v>
      </c>
      <c r="AH31" s="144">
        <f>SUMIFS('февраль 2024'!$G$4:$G$1413,'февраль 2024'!$D$4:$D$1413,$B31,'февраль 2024'!$J$4:$J$1413,AH$1)</f>
        <v>0</v>
      </c>
      <c r="AI31" s="21">
        <f t="shared" si="1"/>
        <v>0</v>
      </c>
    </row>
    <row r="32" spans="2:35" ht="15" customHeight="1" x14ac:dyDescent="0.25">
      <c r="B32" s="146" t="s">
        <v>278</v>
      </c>
      <c r="C32" s="143">
        <v>25</v>
      </c>
      <c r="D32" s="144">
        <f>SUMIFS('февраль 2024'!$G$4:$G$1413,'февраль 2024'!$D$4:$D$1413,$B32,'февраль 2024'!$J$4:$J$1413,D$1)</f>
        <v>0</v>
      </c>
      <c r="E32" s="144">
        <f>SUMIFS('февраль 2024'!$G$4:$G$1413,'февраль 2024'!$D$4:$D$1413,$B32,'февраль 2024'!$J$4:$J$1413,E$1)</f>
        <v>0</v>
      </c>
      <c r="F32" s="144">
        <f>SUMIFS('февраль 2024'!$G$4:$G$1413,'февраль 2024'!$D$4:$D$1413,$B32,'февраль 2024'!$J$4:$J$1413,F$1)</f>
        <v>0</v>
      </c>
      <c r="G32" s="144">
        <f>SUMIFS('февраль 2024'!$G$4:$G$1413,'февраль 2024'!$D$4:$D$1413,$B32,'февраль 2024'!$J$4:$J$1413,G$1)</f>
        <v>0</v>
      </c>
      <c r="H32" s="144">
        <f>SUMIFS('февраль 2024'!$G$4:$G$1413,'февраль 2024'!$D$4:$D$1413,$B32,'февраль 2024'!$J$4:$J$1413,H$1)</f>
        <v>0</v>
      </c>
      <c r="I32" s="144">
        <f>SUMIFS('февраль 2024'!$G$4:$G$1413,'февраль 2024'!$D$4:$D$1413,$B32,'февраль 2024'!$J$4:$J$1413,I$1)</f>
        <v>0</v>
      </c>
      <c r="J32" s="144">
        <f>SUMIFS('февраль 2024'!$G$4:$G$1413,'февраль 2024'!$D$4:$D$1413,$B32,'февраль 2024'!$J$4:$J$1413,J$1)</f>
        <v>0</v>
      </c>
      <c r="K32" s="144">
        <f>SUMIFS('февраль 2024'!$G$4:$G$1413,'февраль 2024'!$D$4:$D$1413,$B32,'февраль 2024'!$J$4:$J$1413,K$1)</f>
        <v>0</v>
      </c>
      <c r="L32" s="144">
        <f>SUMIFS('февраль 2024'!$G$4:$G$1413,'февраль 2024'!$D$4:$D$1413,$B32,'февраль 2024'!$J$4:$J$1413,L$1)</f>
        <v>0</v>
      </c>
      <c r="M32" s="144">
        <f>SUMIFS('февраль 2024'!$G$4:$G$1413,'февраль 2024'!$D$4:$D$1413,$B32,'февраль 2024'!$J$4:$J$1413,M$1)</f>
        <v>0</v>
      </c>
      <c r="N32" s="144">
        <f>SUMIFS('февраль 2024'!$G$4:$G$1413,'февраль 2024'!$D$4:$D$1413,$B32,'февраль 2024'!$J$4:$J$1413,N$1)</f>
        <v>0</v>
      </c>
      <c r="O32" s="144">
        <f>SUMIFS('февраль 2024'!$G$4:$G$1413,'февраль 2024'!$D$4:$D$1413,$B32,'февраль 2024'!$J$4:$J$1413,O$1)</f>
        <v>0</v>
      </c>
      <c r="P32" s="144">
        <f>SUMIFS('февраль 2024'!$G$4:$G$1413,'февраль 2024'!$D$4:$D$1413,$B32,'февраль 2024'!$J$4:$J$1413,P$1)</f>
        <v>0</v>
      </c>
      <c r="Q32" s="144">
        <f>SUMIFS('февраль 2024'!$G$4:$G$1413,'февраль 2024'!$D$4:$D$1413,$B32,'февраль 2024'!$J$4:$J$1413,Q$1)</f>
        <v>0</v>
      </c>
      <c r="R32" s="144">
        <f>SUMIFS('февраль 2024'!$G$4:$G$1413,'февраль 2024'!$D$4:$D$1413,$B32,'февраль 2024'!$J$4:$J$1413,R$1)</f>
        <v>0</v>
      </c>
      <c r="S32" s="144">
        <f>SUMIFS('февраль 2024'!$G$4:$G$1413,'февраль 2024'!$D$4:$D$1413,$B32,'февраль 2024'!$J$4:$J$1413,S$1)</f>
        <v>0</v>
      </c>
      <c r="T32" s="144">
        <f>SUMIFS('февраль 2024'!$G$4:$G$1413,'февраль 2024'!$D$4:$D$1413,$B32,'февраль 2024'!$J$4:$J$1413,T$1)</f>
        <v>0</v>
      </c>
      <c r="U32" s="144">
        <f>SUMIFS('февраль 2024'!$G$4:$G$1413,'февраль 2024'!$D$4:$D$1413,$B32,'февраль 2024'!$J$4:$J$1413,U$1)</f>
        <v>0</v>
      </c>
      <c r="V32" s="144">
        <f>SUMIFS('февраль 2024'!$G$4:$G$1413,'февраль 2024'!$D$4:$D$1413,$B32,'февраль 2024'!$J$4:$J$1413,V$1)</f>
        <v>0</v>
      </c>
      <c r="W32" s="144">
        <f>SUMIFS('февраль 2024'!$G$4:$G$1413,'февраль 2024'!$D$4:$D$1413,$B32,'февраль 2024'!$J$4:$J$1413,W$1)</f>
        <v>0</v>
      </c>
      <c r="X32" s="144">
        <f>SUMIFS('февраль 2024'!$G$4:$G$1413,'февраль 2024'!$D$4:$D$1413,$B32,'февраль 2024'!$J$4:$J$1413,X$1)</f>
        <v>0</v>
      </c>
      <c r="Y32" s="144">
        <f>SUMIFS('февраль 2024'!$G$4:$G$1413,'февраль 2024'!$D$4:$D$1413,$B32,'февраль 2024'!$J$4:$J$1413,Y$1)</f>
        <v>0</v>
      </c>
      <c r="Z32" s="144">
        <f>SUMIFS('февраль 2024'!$G$4:$G$1413,'февраль 2024'!$D$4:$D$1413,$B32,'февраль 2024'!$J$4:$J$1413,Z$1)</f>
        <v>0</v>
      </c>
      <c r="AA32" s="144">
        <f>SUMIFS('февраль 2024'!$G$4:$G$1413,'февраль 2024'!$D$4:$D$1413,$B32,'февраль 2024'!$J$4:$J$1413,AA$1)</f>
        <v>0</v>
      </c>
      <c r="AB32" s="144">
        <f>SUMIFS('февраль 2024'!$G$4:$G$1413,'февраль 2024'!$D$4:$D$1413,$B32,'февраль 2024'!$J$4:$J$1413,AB$1)</f>
        <v>0</v>
      </c>
      <c r="AC32" s="144">
        <f>SUMIFS('февраль 2024'!$G$4:$G$1413,'февраль 2024'!$D$4:$D$1413,$B32,'февраль 2024'!$J$4:$J$1413,AC$1)</f>
        <v>0</v>
      </c>
      <c r="AD32" s="144">
        <f>SUMIFS('февраль 2024'!$G$4:$G$1413,'февраль 2024'!$D$4:$D$1413,$B32,'февраль 2024'!$J$4:$J$1413,AD$1)</f>
        <v>0</v>
      </c>
      <c r="AE32" s="144">
        <f>SUMIFS('февраль 2024'!$G$4:$G$1413,'февраль 2024'!$D$4:$D$1413,$B32,'февраль 2024'!$J$4:$J$1413,AE$1)</f>
        <v>0</v>
      </c>
      <c r="AF32" s="144">
        <f>SUMIFS('февраль 2024'!$G$4:$G$1413,'февраль 2024'!$D$4:$D$1413,$B32,'февраль 2024'!$J$4:$J$1413,AF$1)</f>
        <v>0</v>
      </c>
      <c r="AG32" s="144">
        <f>SUMIFS('февраль 2024'!$G$4:$G$1413,'февраль 2024'!$D$4:$D$1413,$B32,'февраль 2024'!$J$4:$J$1413,AG$1)</f>
        <v>0</v>
      </c>
      <c r="AH32" s="144">
        <f>SUMIFS('февраль 2024'!$G$4:$G$1413,'февраль 2024'!$D$4:$D$1413,$B32,'февраль 2024'!$J$4:$J$1413,AH$1)</f>
        <v>0</v>
      </c>
      <c r="AI32" s="21">
        <f t="shared" si="1"/>
        <v>0</v>
      </c>
    </row>
    <row r="33" spans="2:35" ht="15" customHeight="1" x14ac:dyDescent="0.25">
      <c r="B33" s="147" t="s">
        <v>280</v>
      </c>
      <c r="C33" s="143">
        <v>25</v>
      </c>
      <c r="D33" s="144">
        <f>SUMIFS('февраль 2024'!$G$4:$G$1413,'февраль 2024'!$D$4:$D$1413,$B33,'февраль 2024'!$J$4:$J$1413,D$1)</f>
        <v>0</v>
      </c>
      <c r="E33" s="144">
        <f>SUMIFS('февраль 2024'!$G$4:$G$1413,'февраль 2024'!$D$4:$D$1413,$B33,'февраль 2024'!$J$4:$J$1413,E$1)</f>
        <v>0</v>
      </c>
      <c r="F33" s="144">
        <f>SUMIFS('февраль 2024'!$G$4:$G$1413,'февраль 2024'!$D$4:$D$1413,$B33,'февраль 2024'!$J$4:$J$1413,F$1)</f>
        <v>0</v>
      </c>
      <c r="G33" s="144">
        <f>SUMIFS('февраль 2024'!$G$4:$G$1413,'февраль 2024'!$D$4:$D$1413,$B33,'февраль 2024'!$J$4:$J$1413,G$1)</f>
        <v>0</v>
      </c>
      <c r="H33" s="144">
        <f>SUMIFS('февраль 2024'!$G$4:$G$1413,'февраль 2024'!$D$4:$D$1413,$B33,'февраль 2024'!$J$4:$J$1413,H$1)</f>
        <v>0</v>
      </c>
      <c r="I33" s="144">
        <f>SUMIFS('февраль 2024'!$G$4:$G$1413,'февраль 2024'!$D$4:$D$1413,$B33,'февраль 2024'!$J$4:$J$1413,I$1)</f>
        <v>0</v>
      </c>
      <c r="J33" s="144">
        <f>SUMIFS('февраль 2024'!$G$4:$G$1413,'февраль 2024'!$D$4:$D$1413,$B33,'февраль 2024'!$J$4:$J$1413,J$1)</f>
        <v>0</v>
      </c>
      <c r="K33" s="144">
        <f>SUMIFS('февраль 2024'!$G$4:$G$1413,'февраль 2024'!$D$4:$D$1413,$B33,'февраль 2024'!$J$4:$J$1413,K$1)</f>
        <v>0</v>
      </c>
      <c r="L33" s="144">
        <f>SUMIFS('февраль 2024'!$G$4:$G$1413,'февраль 2024'!$D$4:$D$1413,$B33,'февраль 2024'!$J$4:$J$1413,L$1)</f>
        <v>0</v>
      </c>
      <c r="M33" s="144">
        <f>SUMIFS('февраль 2024'!$G$4:$G$1413,'февраль 2024'!$D$4:$D$1413,$B33,'февраль 2024'!$J$4:$J$1413,M$1)</f>
        <v>0</v>
      </c>
      <c r="N33" s="144">
        <f>SUMIFS('февраль 2024'!$G$4:$G$1413,'февраль 2024'!$D$4:$D$1413,$B33,'февраль 2024'!$J$4:$J$1413,N$1)</f>
        <v>0</v>
      </c>
      <c r="O33" s="144">
        <f>SUMIFS('февраль 2024'!$G$4:$G$1413,'февраль 2024'!$D$4:$D$1413,$B33,'февраль 2024'!$J$4:$J$1413,O$1)</f>
        <v>0</v>
      </c>
      <c r="P33" s="144">
        <f>SUMIFS('февраль 2024'!$G$4:$G$1413,'февраль 2024'!$D$4:$D$1413,$B33,'февраль 2024'!$J$4:$J$1413,P$1)</f>
        <v>0</v>
      </c>
      <c r="Q33" s="144">
        <f>SUMIFS('февраль 2024'!$G$4:$G$1413,'февраль 2024'!$D$4:$D$1413,$B33,'февраль 2024'!$J$4:$J$1413,Q$1)</f>
        <v>0</v>
      </c>
      <c r="R33" s="144">
        <f>SUMIFS('февраль 2024'!$G$4:$G$1413,'февраль 2024'!$D$4:$D$1413,$B33,'февраль 2024'!$J$4:$J$1413,R$1)</f>
        <v>0</v>
      </c>
      <c r="S33" s="144">
        <f>SUMIFS('февраль 2024'!$G$4:$G$1413,'февраль 2024'!$D$4:$D$1413,$B33,'февраль 2024'!$J$4:$J$1413,S$1)</f>
        <v>0</v>
      </c>
      <c r="T33" s="144">
        <f>SUMIFS('февраль 2024'!$G$4:$G$1413,'февраль 2024'!$D$4:$D$1413,$B33,'февраль 2024'!$J$4:$J$1413,T$1)</f>
        <v>0</v>
      </c>
      <c r="U33" s="144">
        <f>SUMIFS('февраль 2024'!$G$4:$G$1413,'февраль 2024'!$D$4:$D$1413,$B33,'февраль 2024'!$J$4:$J$1413,U$1)</f>
        <v>0</v>
      </c>
      <c r="V33" s="144">
        <f>SUMIFS('февраль 2024'!$G$4:$G$1413,'февраль 2024'!$D$4:$D$1413,$B33,'февраль 2024'!$J$4:$J$1413,V$1)</f>
        <v>0</v>
      </c>
      <c r="W33" s="144">
        <f>SUMIFS('февраль 2024'!$G$4:$G$1413,'февраль 2024'!$D$4:$D$1413,$B33,'февраль 2024'!$J$4:$J$1413,W$1)</f>
        <v>0</v>
      </c>
      <c r="X33" s="144">
        <f>SUMIFS('февраль 2024'!$G$4:$G$1413,'февраль 2024'!$D$4:$D$1413,$B33,'февраль 2024'!$J$4:$J$1413,X$1)</f>
        <v>0</v>
      </c>
      <c r="Y33" s="144">
        <f>SUMIFS('февраль 2024'!$G$4:$G$1413,'февраль 2024'!$D$4:$D$1413,$B33,'февраль 2024'!$J$4:$J$1413,Y$1)</f>
        <v>0</v>
      </c>
      <c r="Z33" s="144">
        <f>SUMIFS('февраль 2024'!$G$4:$G$1413,'февраль 2024'!$D$4:$D$1413,$B33,'февраль 2024'!$J$4:$J$1413,Z$1)</f>
        <v>0</v>
      </c>
      <c r="AA33" s="144">
        <f>SUMIFS('февраль 2024'!$G$4:$G$1413,'февраль 2024'!$D$4:$D$1413,$B33,'февраль 2024'!$J$4:$J$1413,AA$1)</f>
        <v>0</v>
      </c>
      <c r="AB33" s="144">
        <f>SUMIFS('февраль 2024'!$G$4:$G$1413,'февраль 2024'!$D$4:$D$1413,$B33,'февраль 2024'!$J$4:$J$1413,AB$1)</f>
        <v>0</v>
      </c>
      <c r="AC33" s="144">
        <f>SUMIFS('февраль 2024'!$G$4:$G$1413,'февраль 2024'!$D$4:$D$1413,$B33,'февраль 2024'!$J$4:$J$1413,AC$1)</f>
        <v>0</v>
      </c>
      <c r="AD33" s="144">
        <f>SUMIFS('февраль 2024'!$G$4:$G$1413,'февраль 2024'!$D$4:$D$1413,$B33,'февраль 2024'!$J$4:$J$1413,AD$1)</f>
        <v>0</v>
      </c>
      <c r="AE33" s="144">
        <f>SUMIFS('февраль 2024'!$G$4:$G$1413,'февраль 2024'!$D$4:$D$1413,$B33,'февраль 2024'!$J$4:$J$1413,AE$1)</f>
        <v>0</v>
      </c>
      <c r="AF33" s="144">
        <f>SUMIFS('февраль 2024'!$G$4:$G$1413,'февраль 2024'!$D$4:$D$1413,$B33,'февраль 2024'!$J$4:$J$1413,AF$1)</f>
        <v>0</v>
      </c>
      <c r="AG33" s="144">
        <f>SUMIFS('февраль 2024'!$G$4:$G$1413,'февраль 2024'!$D$4:$D$1413,$B33,'февраль 2024'!$J$4:$J$1413,AG$1)</f>
        <v>0</v>
      </c>
      <c r="AH33" s="144">
        <f>SUMIFS('февраль 2024'!$G$4:$G$1413,'февраль 2024'!$D$4:$D$1413,$B33,'февраль 2024'!$J$4:$J$1413,AH$1)</f>
        <v>0</v>
      </c>
      <c r="AI33" s="21">
        <f t="shared" si="1"/>
        <v>0</v>
      </c>
    </row>
    <row r="34" spans="2:35" ht="15" customHeight="1" x14ac:dyDescent="0.25">
      <c r="B34" s="148" t="s">
        <v>282</v>
      </c>
      <c r="C34" s="149">
        <v>25</v>
      </c>
      <c r="D34" s="144">
        <f>SUMIFS('февраль 2024'!$G$4:$G$1413,'февраль 2024'!$D$4:$D$1413,$B34,'февраль 2024'!$J$4:$J$1413,D$1)</f>
        <v>0</v>
      </c>
      <c r="E34" s="144">
        <f>SUMIFS('февраль 2024'!$G$4:$G$1413,'февраль 2024'!$D$4:$D$1413,$B34,'февраль 2024'!$J$4:$J$1413,E$1)</f>
        <v>0</v>
      </c>
      <c r="F34" s="144">
        <f>SUMIFS('февраль 2024'!$G$4:$G$1413,'февраль 2024'!$D$4:$D$1413,$B34,'февраль 2024'!$J$4:$J$1413,F$1)</f>
        <v>0</v>
      </c>
      <c r="G34" s="144">
        <f>SUMIFS('февраль 2024'!$G$4:$G$1413,'февраль 2024'!$D$4:$D$1413,$B34,'февраль 2024'!$J$4:$J$1413,G$1)</f>
        <v>0</v>
      </c>
      <c r="H34" s="144">
        <f>SUMIFS('февраль 2024'!$G$4:$G$1413,'февраль 2024'!$D$4:$D$1413,$B34,'февраль 2024'!$J$4:$J$1413,H$1)</f>
        <v>0</v>
      </c>
      <c r="I34" s="144">
        <f>SUMIFS('февраль 2024'!$G$4:$G$1413,'февраль 2024'!$D$4:$D$1413,$B34,'февраль 2024'!$J$4:$J$1413,I$1)</f>
        <v>0</v>
      </c>
      <c r="J34" s="144">
        <f>SUMIFS('февраль 2024'!$G$4:$G$1413,'февраль 2024'!$D$4:$D$1413,$B34,'февраль 2024'!$J$4:$J$1413,J$1)</f>
        <v>0</v>
      </c>
      <c r="K34" s="144">
        <f>SUMIFS('февраль 2024'!$G$4:$G$1413,'февраль 2024'!$D$4:$D$1413,$B34,'февраль 2024'!$J$4:$J$1413,K$1)</f>
        <v>0</v>
      </c>
      <c r="L34" s="144">
        <f>SUMIFS('февраль 2024'!$G$4:$G$1413,'февраль 2024'!$D$4:$D$1413,$B34,'февраль 2024'!$J$4:$J$1413,L$1)</f>
        <v>0</v>
      </c>
      <c r="M34" s="144">
        <f>SUMIFS('февраль 2024'!$G$4:$G$1413,'февраль 2024'!$D$4:$D$1413,$B34,'февраль 2024'!$J$4:$J$1413,M$1)</f>
        <v>0</v>
      </c>
      <c r="N34" s="144">
        <f>SUMIFS('февраль 2024'!$G$4:$G$1413,'февраль 2024'!$D$4:$D$1413,$B34,'февраль 2024'!$J$4:$J$1413,N$1)</f>
        <v>0</v>
      </c>
      <c r="O34" s="144">
        <f>SUMIFS('февраль 2024'!$G$4:$G$1413,'февраль 2024'!$D$4:$D$1413,$B34,'февраль 2024'!$J$4:$J$1413,O$1)</f>
        <v>0</v>
      </c>
      <c r="P34" s="144">
        <f>SUMIFS('февраль 2024'!$G$4:$G$1413,'февраль 2024'!$D$4:$D$1413,$B34,'февраль 2024'!$J$4:$J$1413,P$1)</f>
        <v>0</v>
      </c>
      <c r="Q34" s="144">
        <f>SUMIFS('февраль 2024'!$G$4:$G$1413,'февраль 2024'!$D$4:$D$1413,$B34,'февраль 2024'!$J$4:$J$1413,Q$1)</f>
        <v>0</v>
      </c>
      <c r="R34" s="144">
        <f>SUMIFS('февраль 2024'!$G$4:$G$1413,'февраль 2024'!$D$4:$D$1413,$B34,'февраль 2024'!$J$4:$J$1413,R$1)</f>
        <v>0</v>
      </c>
      <c r="S34" s="144">
        <f>SUMIFS('февраль 2024'!$G$4:$G$1413,'февраль 2024'!$D$4:$D$1413,$B34,'февраль 2024'!$J$4:$J$1413,S$1)</f>
        <v>0</v>
      </c>
      <c r="T34" s="144">
        <f>SUMIFS('февраль 2024'!$G$4:$G$1413,'февраль 2024'!$D$4:$D$1413,$B34,'февраль 2024'!$J$4:$J$1413,T$1)</f>
        <v>0</v>
      </c>
      <c r="U34" s="144">
        <f>SUMIFS('февраль 2024'!$G$4:$G$1413,'февраль 2024'!$D$4:$D$1413,$B34,'февраль 2024'!$J$4:$J$1413,U$1)</f>
        <v>0</v>
      </c>
      <c r="V34" s="144">
        <f>SUMIFS('февраль 2024'!$G$4:$G$1413,'февраль 2024'!$D$4:$D$1413,$B34,'февраль 2024'!$J$4:$J$1413,V$1)</f>
        <v>0</v>
      </c>
      <c r="W34" s="144">
        <f>SUMIFS('февраль 2024'!$G$4:$G$1413,'февраль 2024'!$D$4:$D$1413,$B34,'февраль 2024'!$J$4:$J$1413,W$1)</f>
        <v>0</v>
      </c>
      <c r="X34" s="144">
        <f>SUMIFS('февраль 2024'!$G$4:$G$1413,'февраль 2024'!$D$4:$D$1413,$B34,'февраль 2024'!$J$4:$J$1413,X$1)</f>
        <v>0</v>
      </c>
      <c r="Y34" s="144">
        <f>SUMIFS('февраль 2024'!$G$4:$G$1413,'февраль 2024'!$D$4:$D$1413,$B34,'февраль 2024'!$J$4:$J$1413,Y$1)</f>
        <v>0</v>
      </c>
      <c r="Z34" s="144">
        <f>SUMIFS('февраль 2024'!$G$4:$G$1413,'февраль 2024'!$D$4:$D$1413,$B34,'февраль 2024'!$J$4:$J$1413,Z$1)</f>
        <v>0</v>
      </c>
      <c r="AA34" s="144">
        <f>SUMIFS('февраль 2024'!$G$4:$G$1413,'февраль 2024'!$D$4:$D$1413,$B34,'февраль 2024'!$J$4:$J$1413,AA$1)</f>
        <v>0</v>
      </c>
      <c r="AB34" s="144">
        <f>SUMIFS('февраль 2024'!$G$4:$G$1413,'февраль 2024'!$D$4:$D$1413,$B34,'февраль 2024'!$J$4:$J$1413,AB$1)</f>
        <v>0</v>
      </c>
      <c r="AC34" s="144">
        <f>SUMIFS('февраль 2024'!$G$4:$G$1413,'февраль 2024'!$D$4:$D$1413,$B34,'февраль 2024'!$J$4:$J$1413,AC$1)</f>
        <v>0</v>
      </c>
      <c r="AD34" s="144">
        <f>SUMIFS('февраль 2024'!$G$4:$G$1413,'февраль 2024'!$D$4:$D$1413,$B34,'февраль 2024'!$J$4:$J$1413,AD$1)</f>
        <v>0</v>
      </c>
      <c r="AE34" s="144">
        <f>SUMIFS('февраль 2024'!$G$4:$G$1413,'февраль 2024'!$D$4:$D$1413,$B34,'февраль 2024'!$J$4:$J$1413,AE$1)</f>
        <v>0</v>
      </c>
      <c r="AF34" s="144">
        <f>SUMIFS('февраль 2024'!$G$4:$G$1413,'февраль 2024'!$D$4:$D$1413,$B34,'февраль 2024'!$J$4:$J$1413,AF$1)</f>
        <v>0</v>
      </c>
      <c r="AG34" s="144">
        <f>SUMIFS('февраль 2024'!$G$4:$G$1413,'февраль 2024'!$D$4:$D$1413,$B34,'февраль 2024'!$J$4:$J$1413,AG$1)</f>
        <v>0</v>
      </c>
      <c r="AH34" s="144">
        <f>SUMIFS('февраль 2024'!$G$4:$G$1413,'февраль 2024'!$D$4:$D$1413,$B34,'февраль 2024'!$J$4:$J$1413,AH$1)</f>
        <v>0</v>
      </c>
      <c r="AI34" s="21">
        <f t="shared" si="1"/>
        <v>0</v>
      </c>
    </row>
    <row r="35" spans="2:35" ht="15" customHeight="1" x14ac:dyDescent="0.25">
      <c r="B35" s="150" t="s">
        <v>284</v>
      </c>
      <c r="C35" s="151">
        <v>22.68</v>
      </c>
      <c r="D35" s="144">
        <f>SUMIFS('февраль 2024'!$G$4:$G$1413,'февраль 2024'!$D$4:$D$1413,$B35,'февраль 2024'!$J$4:$J$1413,D$1)</f>
        <v>0</v>
      </c>
      <c r="E35" s="144">
        <f>SUMIFS('февраль 2024'!$G$4:$G$1413,'февраль 2024'!$D$4:$D$1413,$B35,'февраль 2024'!$J$4:$J$1413,E$1)</f>
        <v>0</v>
      </c>
      <c r="F35" s="144">
        <f>SUMIFS('февраль 2024'!$G$4:$G$1413,'февраль 2024'!$D$4:$D$1413,$B35,'февраль 2024'!$J$4:$J$1413,F$1)</f>
        <v>0</v>
      </c>
      <c r="G35" s="144">
        <f>SUMIFS('февраль 2024'!$G$4:$G$1413,'февраль 2024'!$D$4:$D$1413,$B35,'февраль 2024'!$J$4:$J$1413,G$1)</f>
        <v>0</v>
      </c>
      <c r="H35" s="144">
        <f>SUMIFS('февраль 2024'!$G$4:$G$1413,'февраль 2024'!$D$4:$D$1413,$B35,'февраль 2024'!$J$4:$J$1413,H$1)</f>
        <v>0</v>
      </c>
      <c r="I35" s="144">
        <f>SUMIFS('февраль 2024'!$G$4:$G$1413,'февраль 2024'!$D$4:$D$1413,$B35,'февраль 2024'!$J$4:$J$1413,I$1)</f>
        <v>0</v>
      </c>
      <c r="J35" s="144">
        <f>SUMIFS('февраль 2024'!$G$4:$G$1413,'февраль 2024'!$D$4:$D$1413,$B35,'февраль 2024'!$J$4:$J$1413,J$1)</f>
        <v>0</v>
      </c>
      <c r="K35" s="144">
        <f>SUMIFS('февраль 2024'!$G$4:$G$1413,'февраль 2024'!$D$4:$D$1413,$B35,'февраль 2024'!$J$4:$J$1413,K$1)</f>
        <v>0</v>
      </c>
      <c r="L35" s="144">
        <f>SUMIFS('февраль 2024'!$G$4:$G$1413,'февраль 2024'!$D$4:$D$1413,$B35,'февраль 2024'!$J$4:$J$1413,L$1)</f>
        <v>0</v>
      </c>
      <c r="M35" s="144">
        <f>SUMIFS('февраль 2024'!$G$4:$G$1413,'февраль 2024'!$D$4:$D$1413,$B35,'февраль 2024'!$J$4:$J$1413,M$1)</f>
        <v>0</v>
      </c>
      <c r="N35" s="144">
        <f>SUMIFS('февраль 2024'!$G$4:$G$1413,'февраль 2024'!$D$4:$D$1413,$B35,'февраль 2024'!$J$4:$J$1413,N$1)</f>
        <v>0</v>
      </c>
      <c r="O35" s="144">
        <f>SUMIFS('февраль 2024'!$G$4:$G$1413,'февраль 2024'!$D$4:$D$1413,$B35,'февраль 2024'!$J$4:$J$1413,O$1)</f>
        <v>0</v>
      </c>
      <c r="P35" s="144">
        <f>SUMIFS('февраль 2024'!$G$4:$G$1413,'февраль 2024'!$D$4:$D$1413,$B35,'февраль 2024'!$J$4:$J$1413,P$1)</f>
        <v>0</v>
      </c>
      <c r="Q35" s="144">
        <f>SUMIFS('февраль 2024'!$G$4:$G$1413,'февраль 2024'!$D$4:$D$1413,$B35,'февраль 2024'!$J$4:$J$1413,Q$1)</f>
        <v>0</v>
      </c>
      <c r="R35" s="144">
        <f>SUMIFS('февраль 2024'!$G$4:$G$1413,'февраль 2024'!$D$4:$D$1413,$B35,'февраль 2024'!$J$4:$J$1413,R$1)</f>
        <v>0</v>
      </c>
      <c r="S35" s="144">
        <f>SUMIFS('февраль 2024'!$G$4:$G$1413,'февраль 2024'!$D$4:$D$1413,$B35,'февраль 2024'!$J$4:$J$1413,S$1)</f>
        <v>0</v>
      </c>
      <c r="T35" s="144">
        <f>SUMIFS('февраль 2024'!$G$4:$G$1413,'февраль 2024'!$D$4:$D$1413,$B35,'февраль 2024'!$J$4:$J$1413,T$1)</f>
        <v>0</v>
      </c>
      <c r="U35" s="144">
        <f>SUMIFS('февраль 2024'!$G$4:$G$1413,'февраль 2024'!$D$4:$D$1413,$B35,'февраль 2024'!$J$4:$J$1413,U$1)</f>
        <v>0</v>
      </c>
      <c r="V35" s="144">
        <f>SUMIFS('февраль 2024'!$G$4:$G$1413,'февраль 2024'!$D$4:$D$1413,$B35,'февраль 2024'!$J$4:$J$1413,V$1)</f>
        <v>0</v>
      </c>
      <c r="W35" s="144">
        <f>SUMIFS('февраль 2024'!$G$4:$G$1413,'февраль 2024'!$D$4:$D$1413,$B35,'февраль 2024'!$J$4:$J$1413,W$1)</f>
        <v>0</v>
      </c>
      <c r="X35" s="144">
        <f>SUMIFS('февраль 2024'!$G$4:$G$1413,'февраль 2024'!$D$4:$D$1413,$B35,'февраль 2024'!$J$4:$J$1413,X$1)</f>
        <v>0</v>
      </c>
      <c r="Y35" s="144">
        <f>SUMIFS('февраль 2024'!$G$4:$G$1413,'февраль 2024'!$D$4:$D$1413,$B35,'февраль 2024'!$J$4:$J$1413,Y$1)</f>
        <v>0</v>
      </c>
      <c r="Z35" s="144">
        <f>SUMIFS('февраль 2024'!$G$4:$G$1413,'февраль 2024'!$D$4:$D$1413,$B35,'февраль 2024'!$J$4:$J$1413,Z$1)</f>
        <v>0</v>
      </c>
      <c r="AA35" s="144">
        <f>SUMIFS('февраль 2024'!$G$4:$G$1413,'февраль 2024'!$D$4:$D$1413,$B35,'февраль 2024'!$J$4:$J$1413,AA$1)</f>
        <v>0</v>
      </c>
      <c r="AB35" s="144">
        <f>SUMIFS('февраль 2024'!$G$4:$G$1413,'февраль 2024'!$D$4:$D$1413,$B35,'февраль 2024'!$J$4:$J$1413,AB$1)</f>
        <v>0</v>
      </c>
      <c r="AC35" s="144">
        <f>SUMIFS('февраль 2024'!$G$4:$G$1413,'февраль 2024'!$D$4:$D$1413,$B35,'февраль 2024'!$J$4:$J$1413,AC$1)</f>
        <v>0</v>
      </c>
      <c r="AD35" s="144">
        <f>SUMIFS('февраль 2024'!$G$4:$G$1413,'февраль 2024'!$D$4:$D$1413,$B35,'февраль 2024'!$J$4:$J$1413,AD$1)</f>
        <v>0</v>
      </c>
      <c r="AE35" s="144">
        <f>SUMIFS('февраль 2024'!$G$4:$G$1413,'февраль 2024'!$D$4:$D$1413,$B35,'февраль 2024'!$J$4:$J$1413,AE$1)</f>
        <v>0</v>
      </c>
      <c r="AF35" s="144">
        <f>SUMIFS('февраль 2024'!$G$4:$G$1413,'февраль 2024'!$D$4:$D$1413,$B35,'февраль 2024'!$J$4:$J$1413,AF$1)</f>
        <v>0</v>
      </c>
      <c r="AG35" s="144">
        <f>SUMIFS('февраль 2024'!$G$4:$G$1413,'февраль 2024'!$D$4:$D$1413,$B35,'февраль 2024'!$J$4:$J$1413,AG$1)</f>
        <v>0</v>
      </c>
      <c r="AH35" s="144">
        <f>SUMIFS('февраль 2024'!$G$4:$G$1413,'февраль 2024'!$D$4:$D$1413,$B35,'февраль 2024'!$J$4:$J$1413,AH$1)</f>
        <v>0</v>
      </c>
      <c r="AI35" s="21">
        <f t="shared" si="1"/>
        <v>0</v>
      </c>
    </row>
    <row r="36" spans="2:35" ht="15" customHeight="1" x14ac:dyDescent="0.25">
      <c r="B36" s="150" t="s">
        <v>286</v>
      </c>
      <c r="C36" s="152">
        <v>25</v>
      </c>
      <c r="D36" s="144">
        <f>SUMIFS('февраль 2024'!$G$4:$G$1413,'февраль 2024'!$D$4:$D$1413,$B36,'февраль 2024'!$J$4:$J$1413,D$1)</f>
        <v>0</v>
      </c>
      <c r="E36" s="144">
        <f>SUMIFS('февраль 2024'!$G$4:$G$1413,'февраль 2024'!$D$4:$D$1413,$B36,'февраль 2024'!$J$4:$J$1413,E$1)</f>
        <v>0</v>
      </c>
      <c r="F36" s="144">
        <f>SUMIFS('февраль 2024'!$G$4:$G$1413,'февраль 2024'!$D$4:$D$1413,$B36,'февраль 2024'!$J$4:$J$1413,F$1)</f>
        <v>0</v>
      </c>
      <c r="G36" s="144">
        <f>SUMIFS('февраль 2024'!$G$4:$G$1413,'февраль 2024'!$D$4:$D$1413,$B36,'февраль 2024'!$J$4:$J$1413,G$1)</f>
        <v>0</v>
      </c>
      <c r="H36" s="144">
        <f>SUMIFS('февраль 2024'!$G$4:$G$1413,'февраль 2024'!$D$4:$D$1413,$B36,'февраль 2024'!$J$4:$J$1413,H$1)</f>
        <v>800</v>
      </c>
      <c r="I36" s="144">
        <f>SUMIFS('февраль 2024'!$G$4:$G$1413,'февраль 2024'!$D$4:$D$1413,$B36,'февраль 2024'!$J$4:$J$1413,I$1)</f>
        <v>0</v>
      </c>
      <c r="J36" s="144">
        <f>SUMIFS('февраль 2024'!$G$4:$G$1413,'февраль 2024'!$D$4:$D$1413,$B36,'февраль 2024'!$J$4:$J$1413,J$1)</f>
        <v>0</v>
      </c>
      <c r="K36" s="144">
        <f>SUMIFS('февраль 2024'!$G$4:$G$1413,'февраль 2024'!$D$4:$D$1413,$B36,'февраль 2024'!$J$4:$J$1413,K$1)</f>
        <v>0</v>
      </c>
      <c r="L36" s="144">
        <f>SUMIFS('февраль 2024'!$G$4:$G$1413,'февраль 2024'!$D$4:$D$1413,$B36,'февраль 2024'!$J$4:$J$1413,L$1)</f>
        <v>0</v>
      </c>
      <c r="M36" s="144">
        <f>SUMIFS('февраль 2024'!$G$4:$G$1413,'февраль 2024'!$D$4:$D$1413,$B36,'февраль 2024'!$J$4:$J$1413,M$1)</f>
        <v>0</v>
      </c>
      <c r="N36" s="144">
        <f>SUMIFS('февраль 2024'!$G$4:$G$1413,'февраль 2024'!$D$4:$D$1413,$B36,'февраль 2024'!$J$4:$J$1413,N$1)</f>
        <v>0</v>
      </c>
      <c r="O36" s="144">
        <f>SUMIFS('февраль 2024'!$G$4:$G$1413,'февраль 2024'!$D$4:$D$1413,$B36,'февраль 2024'!$J$4:$J$1413,O$1)</f>
        <v>0</v>
      </c>
      <c r="P36" s="144">
        <f>SUMIFS('февраль 2024'!$G$4:$G$1413,'февраль 2024'!$D$4:$D$1413,$B36,'февраль 2024'!$J$4:$J$1413,P$1)</f>
        <v>0</v>
      </c>
      <c r="Q36" s="144">
        <f>SUMIFS('февраль 2024'!$G$4:$G$1413,'февраль 2024'!$D$4:$D$1413,$B36,'февраль 2024'!$J$4:$J$1413,Q$1)</f>
        <v>0</v>
      </c>
      <c r="R36" s="144">
        <f>SUMIFS('февраль 2024'!$G$4:$G$1413,'февраль 2024'!$D$4:$D$1413,$B36,'февраль 2024'!$J$4:$J$1413,R$1)</f>
        <v>0</v>
      </c>
      <c r="S36" s="144">
        <f>SUMIFS('февраль 2024'!$G$4:$G$1413,'февраль 2024'!$D$4:$D$1413,$B36,'февраль 2024'!$J$4:$J$1413,S$1)</f>
        <v>0</v>
      </c>
      <c r="T36" s="144">
        <f>SUMIFS('февраль 2024'!$G$4:$G$1413,'февраль 2024'!$D$4:$D$1413,$B36,'февраль 2024'!$J$4:$J$1413,T$1)</f>
        <v>0</v>
      </c>
      <c r="U36" s="144">
        <f>SUMIFS('февраль 2024'!$G$4:$G$1413,'февраль 2024'!$D$4:$D$1413,$B36,'февраль 2024'!$J$4:$J$1413,U$1)</f>
        <v>0</v>
      </c>
      <c r="V36" s="144">
        <f>SUMIFS('февраль 2024'!$G$4:$G$1413,'февраль 2024'!$D$4:$D$1413,$B36,'февраль 2024'!$J$4:$J$1413,V$1)</f>
        <v>0</v>
      </c>
      <c r="W36" s="144">
        <f>SUMIFS('февраль 2024'!$G$4:$G$1413,'февраль 2024'!$D$4:$D$1413,$B36,'февраль 2024'!$J$4:$J$1413,W$1)</f>
        <v>320</v>
      </c>
      <c r="X36" s="144">
        <f>SUMIFS('февраль 2024'!$G$4:$G$1413,'февраль 2024'!$D$4:$D$1413,$B36,'февраль 2024'!$J$4:$J$1413,X$1)</f>
        <v>0</v>
      </c>
      <c r="Y36" s="144">
        <f>SUMIFS('февраль 2024'!$G$4:$G$1413,'февраль 2024'!$D$4:$D$1413,$B36,'февраль 2024'!$J$4:$J$1413,Y$1)</f>
        <v>800</v>
      </c>
      <c r="Z36" s="144">
        <f>SUMIFS('февраль 2024'!$G$4:$G$1413,'февраль 2024'!$D$4:$D$1413,$B36,'февраль 2024'!$J$4:$J$1413,Z$1)</f>
        <v>0</v>
      </c>
      <c r="AA36" s="144">
        <f>SUMIFS('февраль 2024'!$G$4:$G$1413,'февраль 2024'!$D$4:$D$1413,$B36,'февраль 2024'!$J$4:$J$1413,AA$1)</f>
        <v>0</v>
      </c>
      <c r="AB36" s="144">
        <f>SUMIFS('февраль 2024'!$G$4:$G$1413,'февраль 2024'!$D$4:$D$1413,$B36,'февраль 2024'!$J$4:$J$1413,AB$1)</f>
        <v>0</v>
      </c>
      <c r="AC36" s="144">
        <f>SUMIFS('февраль 2024'!$G$4:$G$1413,'февраль 2024'!$D$4:$D$1413,$B36,'февраль 2024'!$J$4:$J$1413,AC$1)</f>
        <v>731</v>
      </c>
      <c r="AD36" s="144">
        <f>SUMIFS('февраль 2024'!$G$4:$G$1413,'февраль 2024'!$D$4:$D$1413,$B36,'февраль 2024'!$J$4:$J$1413,AD$1)</f>
        <v>0</v>
      </c>
      <c r="AE36" s="144">
        <f>SUMIFS('февраль 2024'!$G$4:$G$1413,'февраль 2024'!$D$4:$D$1413,$B36,'февраль 2024'!$J$4:$J$1413,AE$1)</f>
        <v>0</v>
      </c>
      <c r="AF36" s="144">
        <f>SUMIFS('февраль 2024'!$G$4:$G$1413,'февраль 2024'!$D$4:$D$1413,$B36,'февраль 2024'!$J$4:$J$1413,AF$1)</f>
        <v>0</v>
      </c>
      <c r="AG36" s="144">
        <f>SUMIFS('февраль 2024'!$G$4:$G$1413,'февраль 2024'!$D$4:$D$1413,$B36,'февраль 2024'!$J$4:$J$1413,AG$1)</f>
        <v>0</v>
      </c>
      <c r="AH36" s="144">
        <f>SUMIFS('февраль 2024'!$G$4:$G$1413,'февраль 2024'!$D$4:$D$1413,$B36,'февраль 2024'!$J$4:$J$1413,AH$1)</f>
        <v>0</v>
      </c>
      <c r="AI36" s="21">
        <f t="shared" si="1"/>
        <v>2651</v>
      </c>
    </row>
    <row r="37" spans="2:35" ht="15" customHeight="1" x14ac:dyDescent="0.25">
      <c r="B37" s="150" t="s">
        <v>288</v>
      </c>
      <c r="C37" s="153">
        <v>25</v>
      </c>
      <c r="D37" s="144">
        <f>SUMIFS('февраль 2024'!$G$4:$G$1413,'февраль 2024'!$D$4:$D$1413,$B37,'февраль 2024'!$J$4:$J$1413,D$1)</f>
        <v>0</v>
      </c>
      <c r="E37" s="144">
        <f>SUMIFS('февраль 2024'!$G$4:$G$1413,'февраль 2024'!$D$4:$D$1413,$B37,'февраль 2024'!$J$4:$J$1413,E$1)</f>
        <v>0</v>
      </c>
      <c r="F37" s="144">
        <f>SUMIFS('февраль 2024'!$G$4:$G$1413,'февраль 2024'!$D$4:$D$1413,$B37,'февраль 2024'!$J$4:$J$1413,F$1)</f>
        <v>0</v>
      </c>
      <c r="G37" s="144">
        <f>SUMIFS('февраль 2024'!$G$4:$G$1413,'февраль 2024'!$D$4:$D$1413,$B37,'февраль 2024'!$J$4:$J$1413,G$1)</f>
        <v>0</v>
      </c>
      <c r="H37" s="144">
        <f>SUMIFS('февраль 2024'!$G$4:$G$1413,'февраль 2024'!$D$4:$D$1413,$B37,'февраль 2024'!$J$4:$J$1413,H$1)</f>
        <v>0</v>
      </c>
      <c r="I37" s="144">
        <f>SUMIFS('февраль 2024'!$G$4:$G$1413,'февраль 2024'!$D$4:$D$1413,$B37,'февраль 2024'!$J$4:$J$1413,I$1)</f>
        <v>0</v>
      </c>
      <c r="J37" s="144">
        <f>SUMIFS('февраль 2024'!$G$4:$G$1413,'февраль 2024'!$D$4:$D$1413,$B37,'февраль 2024'!$J$4:$J$1413,J$1)</f>
        <v>0</v>
      </c>
      <c r="K37" s="144">
        <f>SUMIFS('февраль 2024'!$G$4:$G$1413,'февраль 2024'!$D$4:$D$1413,$B37,'февраль 2024'!$J$4:$J$1413,K$1)</f>
        <v>0</v>
      </c>
      <c r="L37" s="144">
        <f>SUMIFS('февраль 2024'!$G$4:$G$1413,'февраль 2024'!$D$4:$D$1413,$B37,'февраль 2024'!$J$4:$J$1413,L$1)</f>
        <v>0</v>
      </c>
      <c r="M37" s="144">
        <f>SUMIFS('февраль 2024'!$G$4:$G$1413,'февраль 2024'!$D$4:$D$1413,$B37,'февраль 2024'!$J$4:$J$1413,M$1)</f>
        <v>0</v>
      </c>
      <c r="N37" s="144">
        <f>SUMIFS('февраль 2024'!$G$4:$G$1413,'февраль 2024'!$D$4:$D$1413,$B37,'февраль 2024'!$J$4:$J$1413,N$1)</f>
        <v>0</v>
      </c>
      <c r="O37" s="144">
        <f>SUMIFS('февраль 2024'!$G$4:$G$1413,'февраль 2024'!$D$4:$D$1413,$B37,'февраль 2024'!$J$4:$J$1413,O$1)</f>
        <v>0</v>
      </c>
      <c r="P37" s="144">
        <f>SUMIFS('февраль 2024'!$G$4:$G$1413,'февраль 2024'!$D$4:$D$1413,$B37,'февраль 2024'!$J$4:$J$1413,P$1)</f>
        <v>0</v>
      </c>
      <c r="Q37" s="144">
        <f>SUMIFS('февраль 2024'!$G$4:$G$1413,'февраль 2024'!$D$4:$D$1413,$B37,'февраль 2024'!$J$4:$J$1413,Q$1)</f>
        <v>0</v>
      </c>
      <c r="R37" s="144">
        <f>SUMIFS('февраль 2024'!$G$4:$G$1413,'февраль 2024'!$D$4:$D$1413,$B37,'февраль 2024'!$J$4:$J$1413,R$1)</f>
        <v>0</v>
      </c>
      <c r="S37" s="144">
        <f>SUMIFS('февраль 2024'!$G$4:$G$1413,'февраль 2024'!$D$4:$D$1413,$B37,'февраль 2024'!$J$4:$J$1413,S$1)</f>
        <v>0</v>
      </c>
      <c r="T37" s="144">
        <f>SUMIFS('февраль 2024'!$G$4:$G$1413,'февраль 2024'!$D$4:$D$1413,$B37,'февраль 2024'!$J$4:$J$1413,T$1)</f>
        <v>0</v>
      </c>
      <c r="U37" s="144">
        <f>SUMIFS('февраль 2024'!$G$4:$G$1413,'февраль 2024'!$D$4:$D$1413,$B37,'февраль 2024'!$J$4:$J$1413,U$1)</f>
        <v>0</v>
      </c>
      <c r="V37" s="144">
        <f>SUMIFS('февраль 2024'!$G$4:$G$1413,'февраль 2024'!$D$4:$D$1413,$B37,'февраль 2024'!$J$4:$J$1413,V$1)</f>
        <v>0</v>
      </c>
      <c r="W37" s="144">
        <f>SUMIFS('февраль 2024'!$G$4:$G$1413,'февраль 2024'!$D$4:$D$1413,$B37,'февраль 2024'!$J$4:$J$1413,W$1)</f>
        <v>0</v>
      </c>
      <c r="X37" s="144">
        <f>SUMIFS('февраль 2024'!$G$4:$G$1413,'февраль 2024'!$D$4:$D$1413,$B37,'февраль 2024'!$J$4:$J$1413,X$1)</f>
        <v>0</v>
      </c>
      <c r="Y37" s="144">
        <f>SUMIFS('февраль 2024'!$G$4:$G$1413,'февраль 2024'!$D$4:$D$1413,$B37,'февраль 2024'!$J$4:$J$1413,Y$1)</f>
        <v>0</v>
      </c>
      <c r="Z37" s="144">
        <f>SUMIFS('февраль 2024'!$G$4:$G$1413,'февраль 2024'!$D$4:$D$1413,$B37,'февраль 2024'!$J$4:$J$1413,Z$1)</f>
        <v>0</v>
      </c>
      <c r="AA37" s="144">
        <f>SUMIFS('февраль 2024'!$G$4:$G$1413,'февраль 2024'!$D$4:$D$1413,$B37,'февраль 2024'!$J$4:$J$1413,AA$1)</f>
        <v>0</v>
      </c>
      <c r="AB37" s="144">
        <f>SUMIFS('февраль 2024'!$G$4:$G$1413,'февраль 2024'!$D$4:$D$1413,$B37,'февраль 2024'!$J$4:$J$1413,AB$1)</f>
        <v>0</v>
      </c>
      <c r="AC37" s="144">
        <f>SUMIFS('февраль 2024'!$G$4:$G$1413,'февраль 2024'!$D$4:$D$1413,$B37,'февраль 2024'!$J$4:$J$1413,AC$1)</f>
        <v>0</v>
      </c>
      <c r="AD37" s="144">
        <f>SUMIFS('февраль 2024'!$G$4:$G$1413,'февраль 2024'!$D$4:$D$1413,$B37,'февраль 2024'!$J$4:$J$1413,AD$1)</f>
        <v>0</v>
      </c>
      <c r="AE37" s="144">
        <f>SUMIFS('февраль 2024'!$G$4:$G$1413,'февраль 2024'!$D$4:$D$1413,$B37,'февраль 2024'!$J$4:$J$1413,AE$1)</f>
        <v>0</v>
      </c>
      <c r="AF37" s="144">
        <f>SUMIFS('февраль 2024'!$G$4:$G$1413,'февраль 2024'!$D$4:$D$1413,$B37,'февраль 2024'!$J$4:$J$1413,AF$1)</f>
        <v>0</v>
      </c>
      <c r="AG37" s="144">
        <f>SUMIFS('февраль 2024'!$G$4:$G$1413,'февраль 2024'!$D$4:$D$1413,$B37,'февраль 2024'!$J$4:$J$1413,AG$1)</f>
        <v>0</v>
      </c>
      <c r="AH37" s="144">
        <f>SUMIFS('февраль 2024'!$G$4:$G$1413,'февраль 2024'!$D$4:$D$1413,$B37,'февраль 2024'!$J$4:$J$1413,AH$1)</f>
        <v>0</v>
      </c>
      <c r="AI37" s="21">
        <f t="shared" si="1"/>
        <v>0</v>
      </c>
    </row>
    <row r="38" spans="2:35" ht="15" customHeight="1" x14ac:dyDescent="0.25">
      <c r="B38" s="150" t="s">
        <v>290</v>
      </c>
      <c r="C38" s="149">
        <v>22.68</v>
      </c>
      <c r="D38" s="144">
        <f>SUMIFS('февраль 2024'!$G$4:$G$1413,'февраль 2024'!$D$4:$D$1413,$B38,'февраль 2024'!$J$4:$J$1413,D$1)</f>
        <v>0</v>
      </c>
      <c r="E38" s="144">
        <f>SUMIFS('февраль 2024'!$G$4:$G$1413,'февраль 2024'!$D$4:$D$1413,$B38,'февраль 2024'!$J$4:$J$1413,E$1)</f>
        <v>0</v>
      </c>
      <c r="F38" s="144">
        <f>SUMIFS('февраль 2024'!$G$4:$G$1413,'февраль 2024'!$D$4:$D$1413,$B38,'февраль 2024'!$J$4:$J$1413,F$1)</f>
        <v>0</v>
      </c>
      <c r="G38" s="144">
        <f>SUMIFS('февраль 2024'!$G$4:$G$1413,'февраль 2024'!$D$4:$D$1413,$B38,'февраль 2024'!$J$4:$J$1413,G$1)</f>
        <v>0</v>
      </c>
      <c r="H38" s="144">
        <f>SUMIFS('февраль 2024'!$G$4:$G$1413,'февраль 2024'!$D$4:$D$1413,$B38,'февраль 2024'!$J$4:$J$1413,H$1)</f>
        <v>0</v>
      </c>
      <c r="I38" s="144">
        <f>SUMIFS('февраль 2024'!$G$4:$G$1413,'февраль 2024'!$D$4:$D$1413,$B38,'февраль 2024'!$J$4:$J$1413,I$1)</f>
        <v>0</v>
      </c>
      <c r="J38" s="144">
        <f>SUMIFS('февраль 2024'!$G$4:$G$1413,'февраль 2024'!$D$4:$D$1413,$B38,'февраль 2024'!$J$4:$J$1413,J$1)</f>
        <v>0</v>
      </c>
      <c r="K38" s="144">
        <f>SUMIFS('февраль 2024'!$G$4:$G$1413,'февраль 2024'!$D$4:$D$1413,$B38,'февраль 2024'!$J$4:$J$1413,K$1)</f>
        <v>0</v>
      </c>
      <c r="L38" s="144">
        <f>SUMIFS('февраль 2024'!$G$4:$G$1413,'февраль 2024'!$D$4:$D$1413,$B38,'февраль 2024'!$J$4:$J$1413,L$1)</f>
        <v>0</v>
      </c>
      <c r="M38" s="144">
        <f>SUMIFS('февраль 2024'!$G$4:$G$1413,'февраль 2024'!$D$4:$D$1413,$B38,'февраль 2024'!$J$4:$J$1413,M$1)</f>
        <v>0</v>
      </c>
      <c r="N38" s="144">
        <f>SUMIFS('февраль 2024'!$G$4:$G$1413,'февраль 2024'!$D$4:$D$1413,$B38,'февраль 2024'!$J$4:$J$1413,N$1)</f>
        <v>0</v>
      </c>
      <c r="O38" s="144">
        <f>SUMIFS('февраль 2024'!$G$4:$G$1413,'февраль 2024'!$D$4:$D$1413,$B38,'февраль 2024'!$J$4:$J$1413,O$1)</f>
        <v>0</v>
      </c>
      <c r="P38" s="144">
        <f>SUMIFS('февраль 2024'!$G$4:$G$1413,'февраль 2024'!$D$4:$D$1413,$B38,'февраль 2024'!$J$4:$J$1413,P$1)</f>
        <v>0</v>
      </c>
      <c r="Q38" s="144">
        <f>SUMIFS('февраль 2024'!$G$4:$G$1413,'февраль 2024'!$D$4:$D$1413,$B38,'февраль 2024'!$J$4:$J$1413,Q$1)</f>
        <v>0</v>
      </c>
      <c r="R38" s="144">
        <f>SUMIFS('февраль 2024'!$G$4:$G$1413,'февраль 2024'!$D$4:$D$1413,$B38,'февраль 2024'!$J$4:$J$1413,R$1)</f>
        <v>0</v>
      </c>
      <c r="S38" s="144">
        <f>SUMIFS('февраль 2024'!$G$4:$G$1413,'февраль 2024'!$D$4:$D$1413,$B38,'февраль 2024'!$J$4:$J$1413,S$1)</f>
        <v>0</v>
      </c>
      <c r="T38" s="144">
        <f>SUMIFS('февраль 2024'!$G$4:$G$1413,'февраль 2024'!$D$4:$D$1413,$B38,'февраль 2024'!$J$4:$J$1413,T$1)</f>
        <v>0</v>
      </c>
      <c r="U38" s="144">
        <f>SUMIFS('февраль 2024'!$G$4:$G$1413,'февраль 2024'!$D$4:$D$1413,$B38,'февраль 2024'!$J$4:$J$1413,U$1)</f>
        <v>0</v>
      </c>
      <c r="V38" s="144">
        <f>SUMIFS('февраль 2024'!$G$4:$G$1413,'февраль 2024'!$D$4:$D$1413,$B38,'февраль 2024'!$J$4:$J$1413,V$1)</f>
        <v>0</v>
      </c>
      <c r="W38" s="144">
        <f>SUMIFS('февраль 2024'!$G$4:$G$1413,'февраль 2024'!$D$4:$D$1413,$B38,'февраль 2024'!$J$4:$J$1413,W$1)</f>
        <v>0</v>
      </c>
      <c r="X38" s="144">
        <f>SUMIFS('февраль 2024'!$G$4:$G$1413,'февраль 2024'!$D$4:$D$1413,$B38,'февраль 2024'!$J$4:$J$1413,X$1)</f>
        <v>0</v>
      </c>
      <c r="Y38" s="144">
        <f>SUMIFS('февраль 2024'!$G$4:$G$1413,'февраль 2024'!$D$4:$D$1413,$B38,'февраль 2024'!$J$4:$J$1413,Y$1)</f>
        <v>0</v>
      </c>
      <c r="Z38" s="144">
        <f>SUMIFS('февраль 2024'!$G$4:$G$1413,'февраль 2024'!$D$4:$D$1413,$B38,'февраль 2024'!$J$4:$J$1413,Z$1)</f>
        <v>0</v>
      </c>
      <c r="AA38" s="144">
        <f>SUMIFS('февраль 2024'!$G$4:$G$1413,'февраль 2024'!$D$4:$D$1413,$B38,'февраль 2024'!$J$4:$J$1413,AA$1)</f>
        <v>0</v>
      </c>
      <c r="AB38" s="144">
        <f>SUMIFS('февраль 2024'!$G$4:$G$1413,'февраль 2024'!$D$4:$D$1413,$B38,'февраль 2024'!$J$4:$J$1413,AB$1)</f>
        <v>0</v>
      </c>
      <c r="AC38" s="144">
        <f>SUMIFS('февраль 2024'!$G$4:$G$1413,'февраль 2024'!$D$4:$D$1413,$B38,'февраль 2024'!$J$4:$J$1413,AC$1)</f>
        <v>0</v>
      </c>
      <c r="AD38" s="144">
        <f>SUMIFS('февраль 2024'!$G$4:$G$1413,'февраль 2024'!$D$4:$D$1413,$B38,'февраль 2024'!$J$4:$J$1413,AD$1)</f>
        <v>0</v>
      </c>
      <c r="AE38" s="144">
        <f>SUMIFS('февраль 2024'!$G$4:$G$1413,'февраль 2024'!$D$4:$D$1413,$B38,'февраль 2024'!$J$4:$J$1413,AE$1)</f>
        <v>0</v>
      </c>
      <c r="AF38" s="144">
        <f>SUMIFS('февраль 2024'!$G$4:$G$1413,'февраль 2024'!$D$4:$D$1413,$B38,'февраль 2024'!$J$4:$J$1413,AF$1)</f>
        <v>0</v>
      </c>
      <c r="AG38" s="144">
        <f>SUMIFS('февраль 2024'!$G$4:$G$1413,'февраль 2024'!$D$4:$D$1413,$B38,'февраль 2024'!$J$4:$J$1413,AG$1)</f>
        <v>0</v>
      </c>
      <c r="AH38" s="144">
        <f>SUMIFS('февраль 2024'!$G$4:$G$1413,'февраль 2024'!$D$4:$D$1413,$B38,'февраль 2024'!$J$4:$J$1413,AH$1)</f>
        <v>0</v>
      </c>
      <c r="AI38" s="21">
        <f t="shared" si="1"/>
        <v>0</v>
      </c>
    </row>
    <row r="39" spans="2:35" ht="15" customHeight="1" x14ac:dyDescent="0.25">
      <c r="B39" s="154" t="s">
        <v>292</v>
      </c>
      <c r="C39" s="151">
        <v>25</v>
      </c>
      <c r="D39" s="144">
        <f>SUMIFS('февраль 2024'!$G$4:$G$1413,'февраль 2024'!$D$4:$D$1413,$B39,'февраль 2024'!$J$4:$J$1413,D$1)</f>
        <v>0</v>
      </c>
      <c r="E39" s="144">
        <f>SUMIFS('февраль 2024'!$G$4:$G$1413,'февраль 2024'!$D$4:$D$1413,$B39,'февраль 2024'!$J$4:$J$1413,E$1)</f>
        <v>0</v>
      </c>
      <c r="F39" s="144">
        <f>SUMIFS('февраль 2024'!$G$4:$G$1413,'февраль 2024'!$D$4:$D$1413,$B39,'февраль 2024'!$J$4:$J$1413,F$1)</f>
        <v>0</v>
      </c>
      <c r="G39" s="144">
        <f>SUMIFS('февраль 2024'!$G$4:$G$1413,'февраль 2024'!$D$4:$D$1413,$B39,'февраль 2024'!$J$4:$J$1413,G$1)</f>
        <v>0</v>
      </c>
      <c r="H39" s="144">
        <f>SUMIFS('февраль 2024'!$G$4:$G$1413,'февраль 2024'!$D$4:$D$1413,$B39,'февраль 2024'!$J$4:$J$1413,H$1)</f>
        <v>0</v>
      </c>
      <c r="I39" s="144">
        <f>SUMIFS('февраль 2024'!$G$4:$G$1413,'февраль 2024'!$D$4:$D$1413,$B39,'февраль 2024'!$J$4:$J$1413,I$1)</f>
        <v>0</v>
      </c>
      <c r="J39" s="144">
        <f>SUMIFS('февраль 2024'!$G$4:$G$1413,'февраль 2024'!$D$4:$D$1413,$B39,'февраль 2024'!$J$4:$J$1413,J$1)</f>
        <v>0</v>
      </c>
      <c r="K39" s="144">
        <f>SUMIFS('февраль 2024'!$G$4:$G$1413,'февраль 2024'!$D$4:$D$1413,$B39,'февраль 2024'!$J$4:$J$1413,K$1)</f>
        <v>0</v>
      </c>
      <c r="L39" s="144">
        <f>SUMIFS('февраль 2024'!$G$4:$G$1413,'февраль 2024'!$D$4:$D$1413,$B39,'февраль 2024'!$J$4:$J$1413,L$1)</f>
        <v>0</v>
      </c>
      <c r="M39" s="144">
        <f>SUMIFS('февраль 2024'!$G$4:$G$1413,'февраль 2024'!$D$4:$D$1413,$B39,'февраль 2024'!$J$4:$J$1413,M$1)</f>
        <v>0</v>
      </c>
      <c r="N39" s="144">
        <f>SUMIFS('февраль 2024'!$G$4:$G$1413,'февраль 2024'!$D$4:$D$1413,$B39,'февраль 2024'!$J$4:$J$1413,N$1)</f>
        <v>0</v>
      </c>
      <c r="O39" s="144">
        <f>SUMIFS('февраль 2024'!$G$4:$G$1413,'февраль 2024'!$D$4:$D$1413,$B39,'февраль 2024'!$J$4:$J$1413,O$1)</f>
        <v>0</v>
      </c>
      <c r="P39" s="144">
        <f>SUMIFS('февраль 2024'!$G$4:$G$1413,'февраль 2024'!$D$4:$D$1413,$B39,'февраль 2024'!$J$4:$J$1413,P$1)</f>
        <v>0</v>
      </c>
      <c r="Q39" s="144">
        <f>SUMIFS('февраль 2024'!$G$4:$G$1413,'февраль 2024'!$D$4:$D$1413,$B39,'февраль 2024'!$J$4:$J$1413,Q$1)</f>
        <v>0</v>
      </c>
      <c r="R39" s="144">
        <f>SUMIFS('февраль 2024'!$G$4:$G$1413,'февраль 2024'!$D$4:$D$1413,$B39,'февраль 2024'!$J$4:$J$1413,R$1)</f>
        <v>0</v>
      </c>
      <c r="S39" s="144">
        <f>SUMIFS('февраль 2024'!$G$4:$G$1413,'февраль 2024'!$D$4:$D$1413,$B39,'февраль 2024'!$J$4:$J$1413,S$1)</f>
        <v>0</v>
      </c>
      <c r="T39" s="144">
        <f>SUMIFS('февраль 2024'!$G$4:$G$1413,'февраль 2024'!$D$4:$D$1413,$B39,'февраль 2024'!$J$4:$J$1413,T$1)</f>
        <v>0</v>
      </c>
      <c r="U39" s="144">
        <f>SUMIFS('февраль 2024'!$G$4:$G$1413,'февраль 2024'!$D$4:$D$1413,$B39,'февраль 2024'!$J$4:$J$1413,U$1)</f>
        <v>0</v>
      </c>
      <c r="V39" s="144">
        <f>SUMIFS('февраль 2024'!$G$4:$G$1413,'февраль 2024'!$D$4:$D$1413,$B39,'февраль 2024'!$J$4:$J$1413,V$1)</f>
        <v>0</v>
      </c>
      <c r="W39" s="144">
        <f>SUMIFS('февраль 2024'!$G$4:$G$1413,'февраль 2024'!$D$4:$D$1413,$B39,'февраль 2024'!$J$4:$J$1413,W$1)</f>
        <v>0</v>
      </c>
      <c r="X39" s="144">
        <f>SUMIFS('февраль 2024'!$G$4:$G$1413,'февраль 2024'!$D$4:$D$1413,$B39,'февраль 2024'!$J$4:$J$1413,X$1)</f>
        <v>0</v>
      </c>
      <c r="Y39" s="144">
        <f>SUMIFS('февраль 2024'!$G$4:$G$1413,'февраль 2024'!$D$4:$D$1413,$B39,'февраль 2024'!$J$4:$J$1413,Y$1)</f>
        <v>0</v>
      </c>
      <c r="Z39" s="144">
        <f>SUMIFS('февраль 2024'!$G$4:$G$1413,'февраль 2024'!$D$4:$D$1413,$B39,'февраль 2024'!$J$4:$J$1413,Z$1)</f>
        <v>0</v>
      </c>
      <c r="AA39" s="144">
        <f>SUMIFS('февраль 2024'!$G$4:$G$1413,'февраль 2024'!$D$4:$D$1413,$B39,'февраль 2024'!$J$4:$J$1413,AA$1)</f>
        <v>0</v>
      </c>
      <c r="AB39" s="144">
        <f>SUMIFS('февраль 2024'!$G$4:$G$1413,'февраль 2024'!$D$4:$D$1413,$B39,'февраль 2024'!$J$4:$J$1413,AB$1)</f>
        <v>0</v>
      </c>
      <c r="AC39" s="144">
        <f>SUMIFS('февраль 2024'!$G$4:$G$1413,'февраль 2024'!$D$4:$D$1413,$B39,'февраль 2024'!$J$4:$J$1413,AC$1)</f>
        <v>0</v>
      </c>
      <c r="AD39" s="144">
        <f>SUMIFS('февраль 2024'!$G$4:$G$1413,'февраль 2024'!$D$4:$D$1413,$B39,'февраль 2024'!$J$4:$J$1413,AD$1)</f>
        <v>0</v>
      </c>
      <c r="AE39" s="144">
        <f>SUMIFS('февраль 2024'!$G$4:$G$1413,'февраль 2024'!$D$4:$D$1413,$B39,'февраль 2024'!$J$4:$J$1413,AE$1)</f>
        <v>0</v>
      </c>
      <c r="AF39" s="144">
        <f>SUMIFS('февраль 2024'!$G$4:$G$1413,'февраль 2024'!$D$4:$D$1413,$B39,'февраль 2024'!$J$4:$J$1413,AF$1)</f>
        <v>0</v>
      </c>
      <c r="AG39" s="144">
        <f>SUMIFS('февраль 2024'!$G$4:$G$1413,'февраль 2024'!$D$4:$D$1413,$B39,'февраль 2024'!$J$4:$J$1413,AG$1)</f>
        <v>0</v>
      </c>
      <c r="AH39" s="144">
        <f>SUMIFS('февраль 2024'!$G$4:$G$1413,'февраль 2024'!$D$4:$D$1413,$B39,'февраль 2024'!$J$4:$J$1413,AH$1)</f>
        <v>0</v>
      </c>
      <c r="AI39" s="21">
        <f t="shared" si="1"/>
        <v>0</v>
      </c>
    </row>
    <row r="40" spans="2:35" ht="15" customHeight="1" x14ac:dyDescent="0.25">
      <c r="B40" s="150" t="s">
        <v>294</v>
      </c>
      <c r="C40" s="153">
        <v>25</v>
      </c>
      <c r="D40" s="144">
        <f>SUMIFS('февраль 2024'!$G$4:$G$1413,'февраль 2024'!$D$4:$D$1413,$B40,'февраль 2024'!$J$4:$J$1413,D$1)</f>
        <v>0</v>
      </c>
      <c r="E40" s="144">
        <f>SUMIFS('февраль 2024'!$G$4:$G$1413,'февраль 2024'!$D$4:$D$1413,$B40,'февраль 2024'!$J$4:$J$1413,E$1)</f>
        <v>0</v>
      </c>
      <c r="F40" s="144">
        <f>SUMIFS('февраль 2024'!$G$4:$G$1413,'февраль 2024'!$D$4:$D$1413,$B40,'февраль 2024'!$J$4:$J$1413,F$1)</f>
        <v>0</v>
      </c>
      <c r="G40" s="144">
        <f>SUMIFS('февраль 2024'!$G$4:$G$1413,'февраль 2024'!$D$4:$D$1413,$B40,'февраль 2024'!$J$4:$J$1413,G$1)</f>
        <v>0</v>
      </c>
      <c r="H40" s="144">
        <f>SUMIFS('февраль 2024'!$G$4:$G$1413,'февраль 2024'!$D$4:$D$1413,$B40,'февраль 2024'!$J$4:$J$1413,H$1)</f>
        <v>0</v>
      </c>
      <c r="I40" s="144">
        <f>SUMIFS('февраль 2024'!$G$4:$G$1413,'февраль 2024'!$D$4:$D$1413,$B40,'февраль 2024'!$J$4:$J$1413,I$1)</f>
        <v>0</v>
      </c>
      <c r="J40" s="144">
        <f>SUMIFS('февраль 2024'!$G$4:$G$1413,'февраль 2024'!$D$4:$D$1413,$B40,'февраль 2024'!$J$4:$J$1413,J$1)</f>
        <v>0</v>
      </c>
      <c r="K40" s="144">
        <f>SUMIFS('февраль 2024'!$G$4:$G$1413,'февраль 2024'!$D$4:$D$1413,$B40,'февраль 2024'!$J$4:$J$1413,K$1)</f>
        <v>0</v>
      </c>
      <c r="L40" s="144">
        <f>SUMIFS('февраль 2024'!$G$4:$G$1413,'февраль 2024'!$D$4:$D$1413,$B40,'февраль 2024'!$J$4:$J$1413,L$1)</f>
        <v>0</v>
      </c>
      <c r="M40" s="144">
        <f>SUMIFS('февраль 2024'!$G$4:$G$1413,'февраль 2024'!$D$4:$D$1413,$B40,'февраль 2024'!$J$4:$J$1413,M$1)</f>
        <v>0</v>
      </c>
      <c r="N40" s="144">
        <f>SUMIFS('февраль 2024'!$G$4:$G$1413,'февраль 2024'!$D$4:$D$1413,$B40,'февраль 2024'!$J$4:$J$1413,N$1)</f>
        <v>0</v>
      </c>
      <c r="O40" s="144">
        <f>SUMIFS('февраль 2024'!$G$4:$G$1413,'февраль 2024'!$D$4:$D$1413,$B40,'февраль 2024'!$J$4:$J$1413,O$1)</f>
        <v>0</v>
      </c>
      <c r="P40" s="144">
        <f>SUMIFS('февраль 2024'!$G$4:$G$1413,'февраль 2024'!$D$4:$D$1413,$B40,'февраль 2024'!$J$4:$J$1413,P$1)</f>
        <v>0</v>
      </c>
      <c r="Q40" s="144">
        <f>SUMIFS('февраль 2024'!$G$4:$G$1413,'февраль 2024'!$D$4:$D$1413,$B40,'февраль 2024'!$J$4:$J$1413,Q$1)</f>
        <v>0</v>
      </c>
      <c r="R40" s="144">
        <f>SUMIFS('февраль 2024'!$G$4:$G$1413,'февраль 2024'!$D$4:$D$1413,$B40,'февраль 2024'!$J$4:$J$1413,R$1)</f>
        <v>0</v>
      </c>
      <c r="S40" s="144">
        <f>SUMIFS('февраль 2024'!$G$4:$G$1413,'февраль 2024'!$D$4:$D$1413,$B40,'февраль 2024'!$J$4:$J$1413,S$1)</f>
        <v>0</v>
      </c>
      <c r="T40" s="144">
        <f>SUMIFS('февраль 2024'!$G$4:$G$1413,'февраль 2024'!$D$4:$D$1413,$B40,'февраль 2024'!$J$4:$J$1413,T$1)</f>
        <v>0</v>
      </c>
      <c r="U40" s="144">
        <f>SUMIFS('февраль 2024'!$G$4:$G$1413,'февраль 2024'!$D$4:$D$1413,$B40,'февраль 2024'!$J$4:$J$1413,U$1)</f>
        <v>0</v>
      </c>
      <c r="V40" s="144">
        <f>SUMIFS('февраль 2024'!$G$4:$G$1413,'февраль 2024'!$D$4:$D$1413,$B40,'февраль 2024'!$J$4:$J$1413,V$1)</f>
        <v>0</v>
      </c>
      <c r="W40" s="144">
        <f>SUMIFS('февраль 2024'!$G$4:$G$1413,'февраль 2024'!$D$4:$D$1413,$B40,'февраль 2024'!$J$4:$J$1413,W$1)</f>
        <v>40</v>
      </c>
      <c r="X40" s="144">
        <f>SUMIFS('февраль 2024'!$G$4:$G$1413,'февраль 2024'!$D$4:$D$1413,$B40,'февраль 2024'!$J$4:$J$1413,X$1)</f>
        <v>0</v>
      </c>
      <c r="Y40" s="144">
        <f>SUMIFS('февраль 2024'!$G$4:$G$1413,'февраль 2024'!$D$4:$D$1413,$B40,'февраль 2024'!$J$4:$J$1413,Y$1)</f>
        <v>0</v>
      </c>
      <c r="Z40" s="144">
        <f>SUMIFS('февраль 2024'!$G$4:$G$1413,'февраль 2024'!$D$4:$D$1413,$B40,'февраль 2024'!$J$4:$J$1413,Z$1)</f>
        <v>0</v>
      </c>
      <c r="AA40" s="144">
        <f>SUMIFS('февраль 2024'!$G$4:$G$1413,'февраль 2024'!$D$4:$D$1413,$B40,'февраль 2024'!$J$4:$J$1413,AA$1)</f>
        <v>0</v>
      </c>
      <c r="AB40" s="144">
        <f>SUMIFS('февраль 2024'!$G$4:$G$1413,'февраль 2024'!$D$4:$D$1413,$B40,'февраль 2024'!$J$4:$J$1413,AB$1)</f>
        <v>110</v>
      </c>
      <c r="AC40" s="144">
        <f>SUMIFS('февраль 2024'!$G$4:$G$1413,'февраль 2024'!$D$4:$D$1413,$B40,'февраль 2024'!$J$4:$J$1413,AC$1)</f>
        <v>225</v>
      </c>
      <c r="AD40" s="144">
        <f>SUMIFS('февраль 2024'!$G$4:$G$1413,'февраль 2024'!$D$4:$D$1413,$B40,'февраль 2024'!$J$4:$J$1413,AD$1)</f>
        <v>0</v>
      </c>
      <c r="AE40" s="144">
        <f>SUMIFS('февраль 2024'!$G$4:$G$1413,'февраль 2024'!$D$4:$D$1413,$B40,'февраль 2024'!$J$4:$J$1413,AE$1)</f>
        <v>0</v>
      </c>
      <c r="AF40" s="144">
        <f>SUMIFS('февраль 2024'!$G$4:$G$1413,'февраль 2024'!$D$4:$D$1413,$B40,'февраль 2024'!$J$4:$J$1413,AF$1)</f>
        <v>0</v>
      </c>
      <c r="AG40" s="144">
        <f>SUMIFS('февраль 2024'!$G$4:$G$1413,'февраль 2024'!$D$4:$D$1413,$B40,'февраль 2024'!$J$4:$J$1413,AG$1)</f>
        <v>0</v>
      </c>
      <c r="AH40" s="144">
        <f>SUMIFS('февраль 2024'!$G$4:$G$1413,'февраль 2024'!$D$4:$D$1413,$B40,'февраль 2024'!$J$4:$J$1413,AH$1)</f>
        <v>0</v>
      </c>
      <c r="AI40" s="21">
        <f t="shared" si="1"/>
        <v>375</v>
      </c>
    </row>
    <row r="41" spans="2:35" ht="15" customHeight="1" x14ac:dyDescent="0.25">
      <c r="B41" s="154" t="s">
        <v>468</v>
      </c>
      <c r="C41" s="170">
        <v>25</v>
      </c>
      <c r="D41" s="144">
        <f>SUMIFS('февраль 2024'!$G$4:$G$1413,'февраль 2024'!$D$4:$D$1413,$B41,'февраль 2024'!$J$4:$J$1413,D$1)</f>
        <v>0</v>
      </c>
      <c r="E41" s="144">
        <f>SUMIFS('февраль 2024'!$G$4:$G$1413,'февраль 2024'!$D$4:$D$1413,$B41,'февраль 2024'!$J$4:$J$1413,E$1)</f>
        <v>360</v>
      </c>
      <c r="F41" s="144">
        <f>SUMIFS('февраль 2024'!$G$4:$G$1413,'февраль 2024'!$D$4:$D$1413,$B41,'февраль 2024'!$J$4:$J$1413,F$1)</f>
        <v>0</v>
      </c>
      <c r="G41" s="144">
        <f>SUMIFS('февраль 2024'!$G$4:$G$1413,'февраль 2024'!$D$4:$D$1413,$B41,'февраль 2024'!$J$4:$J$1413,G$1)</f>
        <v>0</v>
      </c>
      <c r="H41" s="144">
        <f>SUMIFS('февраль 2024'!$G$4:$G$1413,'февраль 2024'!$D$4:$D$1413,$B41,'февраль 2024'!$J$4:$J$1413,H$1)</f>
        <v>0</v>
      </c>
      <c r="I41" s="144">
        <f>SUMIFS('февраль 2024'!$G$4:$G$1413,'февраль 2024'!$D$4:$D$1413,$B41,'февраль 2024'!$J$4:$J$1413,I$1)</f>
        <v>0</v>
      </c>
      <c r="J41" s="144">
        <f>SUMIFS('февраль 2024'!$G$4:$G$1413,'февраль 2024'!$D$4:$D$1413,$B41,'февраль 2024'!$J$4:$J$1413,J$1)</f>
        <v>0</v>
      </c>
      <c r="K41" s="144">
        <f>SUMIFS('февраль 2024'!$G$4:$G$1413,'февраль 2024'!$D$4:$D$1413,$B41,'февраль 2024'!$J$4:$J$1413,K$1)</f>
        <v>0</v>
      </c>
      <c r="L41" s="144">
        <f>SUMIFS('февраль 2024'!$G$4:$G$1413,'февраль 2024'!$D$4:$D$1413,$B41,'февраль 2024'!$J$4:$J$1413,L$1)</f>
        <v>0</v>
      </c>
      <c r="M41" s="144">
        <f>SUMIFS('февраль 2024'!$G$4:$G$1413,'февраль 2024'!$D$4:$D$1413,$B41,'февраль 2024'!$J$4:$J$1413,M$1)</f>
        <v>0</v>
      </c>
      <c r="N41" s="144">
        <f>SUMIFS('февраль 2024'!$G$4:$G$1413,'февраль 2024'!$D$4:$D$1413,$B41,'февраль 2024'!$J$4:$J$1413,N$1)</f>
        <v>0</v>
      </c>
      <c r="O41" s="144">
        <f>SUMIFS('февраль 2024'!$G$4:$G$1413,'февраль 2024'!$D$4:$D$1413,$B41,'февраль 2024'!$J$4:$J$1413,O$1)</f>
        <v>0</v>
      </c>
      <c r="P41" s="144">
        <f>SUMIFS('февраль 2024'!$G$4:$G$1413,'февраль 2024'!$D$4:$D$1413,$B41,'февраль 2024'!$J$4:$J$1413,P$1)</f>
        <v>0</v>
      </c>
      <c r="Q41" s="144">
        <f>SUMIFS('февраль 2024'!$G$4:$G$1413,'февраль 2024'!$D$4:$D$1413,$B41,'февраль 2024'!$J$4:$J$1413,Q$1)</f>
        <v>0</v>
      </c>
      <c r="R41" s="144">
        <f>SUMIFS('февраль 2024'!$G$4:$G$1413,'февраль 2024'!$D$4:$D$1413,$B41,'февраль 2024'!$J$4:$J$1413,R$1)</f>
        <v>0</v>
      </c>
      <c r="S41" s="144">
        <f>SUMIFS('февраль 2024'!$G$4:$G$1413,'февраль 2024'!$D$4:$D$1413,$B41,'февраль 2024'!$J$4:$J$1413,S$1)</f>
        <v>0</v>
      </c>
      <c r="T41" s="144">
        <f>SUMIFS('февраль 2024'!$G$4:$G$1413,'февраль 2024'!$D$4:$D$1413,$B41,'февраль 2024'!$J$4:$J$1413,T$1)</f>
        <v>0</v>
      </c>
      <c r="U41" s="144">
        <f>SUMIFS('февраль 2024'!$G$4:$G$1413,'февраль 2024'!$D$4:$D$1413,$B41,'февраль 2024'!$J$4:$J$1413,U$1)</f>
        <v>0</v>
      </c>
      <c r="V41" s="144">
        <f>SUMIFS('февраль 2024'!$G$4:$G$1413,'февраль 2024'!$D$4:$D$1413,$B41,'февраль 2024'!$J$4:$J$1413,V$1)</f>
        <v>0</v>
      </c>
      <c r="W41" s="144">
        <f>SUMIFS('февраль 2024'!$G$4:$G$1413,'февраль 2024'!$D$4:$D$1413,$B41,'февраль 2024'!$J$4:$J$1413,W$1)</f>
        <v>0</v>
      </c>
      <c r="X41" s="144">
        <f>SUMIFS('февраль 2024'!$G$4:$G$1413,'февраль 2024'!$D$4:$D$1413,$B41,'февраль 2024'!$J$4:$J$1413,X$1)</f>
        <v>0</v>
      </c>
      <c r="Y41" s="144">
        <f>SUMIFS('февраль 2024'!$G$4:$G$1413,'февраль 2024'!$D$4:$D$1413,$B41,'февраль 2024'!$J$4:$J$1413,Y$1)</f>
        <v>0</v>
      </c>
      <c r="Z41" s="144">
        <f>SUMIFS('февраль 2024'!$G$4:$G$1413,'февраль 2024'!$D$4:$D$1413,$B41,'февраль 2024'!$J$4:$J$1413,Z$1)</f>
        <v>0</v>
      </c>
      <c r="AA41" s="144">
        <f>SUMIFS('февраль 2024'!$G$4:$G$1413,'февраль 2024'!$D$4:$D$1413,$B41,'февраль 2024'!$J$4:$J$1413,AA$1)</f>
        <v>0</v>
      </c>
      <c r="AB41" s="144">
        <f>SUMIFS('февраль 2024'!$G$4:$G$1413,'февраль 2024'!$D$4:$D$1413,$B41,'февраль 2024'!$J$4:$J$1413,AB$1)</f>
        <v>0</v>
      </c>
      <c r="AC41" s="144">
        <f>SUMIFS('февраль 2024'!$G$4:$G$1413,'февраль 2024'!$D$4:$D$1413,$B41,'февраль 2024'!$J$4:$J$1413,AC$1)</f>
        <v>0</v>
      </c>
      <c r="AD41" s="144">
        <f>SUMIFS('февраль 2024'!$G$4:$G$1413,'февраль 2024'!$D$4:$D$1413,$B41,'февраль 2024'!$J$4:$J$1413,AD$1)</f>
        <v>0</v>
      </c>
      <c r="AE41" s="144">
        <f>SUMIFS('февраль 2024'!$G$4:$G$1413,'февраль 2024'!$D$4:$D$1413,$B41,'февраль 2024'!$J$4:$J$1413,AE$1)</f>
        <v>0</v>
      </c>
      <c r="AF41" s="144">
        <f>SUMIFS('февраль 2024'!$G$4:$G$1413,'февраль 2024'!$D$4:$D$1413,$B41,'февраль 2024'!$J$4:$J$1413,AF$1)</f>
        <v>0</v>
      </c>
      <c r="AG41" s="144">
        <f>SUMIFS('февраль 2024'!$G$4:$G$1413,'февраль 2024'!$D$4:$D$1413,$B41,'февраль 2024'!$J$4:$J$1413,AG$1)</f>
        <v>0</v>
      </c>
      <c r="AH41" s="144">
        <f>SUMIFS('февраль 2024'!$G$4:$G$1413,'февраль 2024'!$D$4:$D$1413,$B41,'февраль 2024'!$J$4:$J$1413,AH$1)</f>
        <v>0</v>
      </c>
      <c r="AI41" s="21">
        <f t="shared" si="1"/>
        <v>360</v>
      </c>
    </row>
    <row r="42" spans="2:35" ht="15" customHeight="1" x14ac:dyDescent="0.25">
      <c r="B42" s="154" t="s">
        <v>296</v>
      </c>
      <c r="C42" s="151">
        <v>25</v>
      </c>
      <c r="D42" s="144">
        <f>SUMIFS('февраль 2024'!$G$4:$G$1413,'февраль 2024'!$D$4:$D$1413,$B42,'февраль 2024'!$J$4:$J$1413,D$1)</f>
        <v>0</v>
      </c>
      <c r="E42" s="144">
        <f>SUMIFS('февраль 2024'!$G$4:$G$1413,'февраль 2024'!$D$4:$D$1413,$B42,'февраль 2024'!$J$4:$J$1413,E$1)</f>
        <v>0</v>
      </c>
      <c r="F42" s="144">
        <f>SUMIFS('февраль 2024'!$G$4:$G$1413,'февраль 2024'!$D$4:$D$1413,$B42,'февраль 2024'!$J$4:$J$1413,F$1)</f>
        <v>0</v>
      </c>
      <c r="G42" s="144">
        <f>SUMIFS('февраль 2024'!$G$4:$G$1413,'февраль 2024'!$D$4:$D$1413,$B42,'февраль 2024'!$J$4:$J$1413,G$1)</f>
        <v>0</v>
      </c>
      <c r="H42" s="144">
        <f>SUMIFS('февраль 2024'!$G$4:$G$1413,'февраль 2024'!$D$4:$D$1413,$B42,'февраль 2024'!$J$4:$J$1413,H$1)</f>
        <v>0</v>
      </c>
      <c r="I42" s="144">
        <f>SUMIFS('февраль 2024'!$G$4:$G$1413,'февраль 2024'!$D$4:$D$1413,$B42,'февраль 2024'!$J$4:$J$1413,I$1)</f>
        <v>0</v>
      </c>
      <c r="J42" s="144">
        <f>SUMIFS('февраль 2024'!$G$4:$G$1413,'февраль 2024'!$D$4:$D$1413,$B42,'февраль 2024'!$J$4:$J$1413,J$1)</f>
        <v>0</v>
      </c>
      <c r="K42" s="144">
        <f>SUMIFS('февраль 2024'!$G$4:$G$1413,'февраль 2024'!$D$4:$D$1413,$B42,'февраль 2024'!$J$4:$J$1413,K$1)</f>
        <v>0</v>
      </c>
      <c r="L42" s="144">
        <f>SUMIFS('февраль 2024'!$G$4:$G$1413,'февраль 2024'!$D$4:$D$1413,$B42,'февраль 2024'!$J$4:$J$1413,L$1)</f>
        <v>0</v>
      </c>
      <c r="M42" s="144">
        <f>SUMIFS('февраль 2024'!$G$4:$G$1413,'февраль 2024'!$D$4:$D$1413,$B42,'февраль 2024'!$J$4:$J$1413,M$1)</f>
        <v>0</v>
      </c>
      <c r="N42" s="144">
        <f>SUMIFS('февраль 2024'!$G$4:$G$1413,'февраль 2024'!$D$4:$D$1413,$B42,'февраль 2024'!$J$4:$J$1413,N$1)</f>
        <v>0</v>
      </c>
      <c r="O42" s="144">
        <f>SUMIFS('февраль 2024'!$G$4:$G$1413,'февраль 2024'!$D$4:$D$1413,$B42,'февраль 2024'!$J$4:$J$1413,O$1)</f>
        <v>0</v>
      </c>
      <c r="P42" s="144">
        <f>SUMIFS('февраль 2024'!$G$4:$G$1413,'февраль 2024'!$D$4:$D$1413,$B42,'февраль 2024'!$J$4:$J$1413,P$1)</f>
        <v>0</v>
      </c>
      <c r="Q42" s="144">
        <f>SUMIFS('февраль 2024'!$G$4:$G$1413,'февраль 2024'!$D$4:$D$1413,$B42,'февраль 2024'!$J$4:$J$1413,Q$1)</f>
        <v>0</v>
      </c>
      <c r="R42" s="144">
        <f>SUMIFS('февраль 2024'!$G$4:$G$1413,'февраль 2024'!$D$4:$D$1413,$B42,'февраль 2024'!$J$4:$J$1413,R$1)</f>
        <v>0</v>
      </c>
      <c r="S42" s="144">
        <f>SUMIFS('февраль 2024'!$G$4:$G$1413,'февраль 2024'!$D$4:$D$1413,$B42,'февраль 2024'!$J$4:$J$1413,S$1)</f>
        <v>0</v>
      </c>
      <c r="T42" s="144">
        <f>SUMIFS('февраль 2024'!$G$4:$G$1413,'февраль 2024'!$D$4:$D$1413,$B42,'февраль 2024'!$J$4:$J$1413,T$1)</f>
        <v>0</v>
      </c>
      <c r="U42" s="144">
        <f>SUMIFS('февраль 2024'!$G$4:$G$1413,'февраль 2024'!$D$4:$D$1413,$B42,'февраль 2024'!$J$4:$J$1413,U$1)</f>
        <v>0</v>
      </c>
      <c r="V42" s="144">
        <f>SUMIFS('февраль 2024'!$G$4:$G$1413,'февраль 2024'!$D$4:$D$1413,$B42,'февраль 2024'!$J$4:$J$1413,V$1)</f>
        <v>0</v>
      </c>
      <c r="W42" s="144">
        <f>SUMIFS('февраль 2024'!$G$4:$G$1413,'февраль 2024'!$D$4:$D$1413,$B42,'февраль 2024'!$J$4:$J$1413,W$1)</f>
        <v>0</v>
      </c>
      <c r="X42" s="144">
        <f>SUMIFS('февраль 2024'!$G$4:$G$1413,'февраль 2024'!$D$4:$D$1413,$B42,'февраль 2024'!$J$4:$J$1413,X$1)</f>
        <v>0</v>
      </c>
      <c r="Y42" s="144">
        <f>SUMIFS('февраль 2024'!$G$4:$G$1413,'февраль 2024'!$D$4:$D$1413,$B42,'февраль 2024'!$J$4:$J$1413,Y$1)</f>
        <v>0</v>
      </c>
      <c r="Z42" s="144">
        <f>SUMIFS('февраль 2024'!$G$4:$G$1413,'февраль 2024'!$D$4:$D$1413,$B42,'февраль 2024'!$J$4:$J$1413,Z$1)</f>
        <v>0</v>
      </c>
      <c r="AA42" s="144">
        <f>SUMIFS('февраль 2024'!$G$4:$G$1413,'февраль 2024'!$D$4:$D$1413,$B42,'февраль 2024'!$J$4:$J$1413,AA$1)</f>
        <v>0</v>
      </c>
      <c r="AB42" s="144">
        <f>SUMIFS('февраль 2024'!$G$4:$G$1413,'февраль 2024'!$D$4:$D$1413,$B42,'февраль 2024'!$J$4:$J$1413,AB$1)</f>
        <v>0</v>
      </c>
      <c r="AC42" s="144">
        <f>SUMIFS('февраль 2024'!$G$4:$G$1413,'февраль 2024'!$D$4:$D$1413,$B42,'февраль 2024'!$J$4:$J$1413,AC$1)</f>
        <v>0</v>
      </c>
      <c r="AD42" s="144">
        <f>SUMIFS('февраль 2024'!$G$4:$G$1413,'февраль 2024'!$D$4:$D$1413,$B42,'февраль 2024'!$J$4:$J$1413,AD$1)</f>
        <v>0</v>
      </c>
      <c r="AE42" s="144">
        <f>SUMIFS('февраль 2024'!$G$4:$G$1413,'февраль 2024'!$D$4:$D$1413,$B42,'февраль 2024'!$J$4:$J$1413,AE$1)</f>
        <v>100</v>
      </c>
      <c r="AF42" s="144">
        <f>SUMIFS('февраль 2024'!$G$4:$G$1413,'февраль 2024'!$D$4:$D$1413,$B42,'февраль 2024'!$J$4:$J$1413,AF$1)</f>
        <v>0</v>
      </c>
      <c r="AG42" s="144">
        <f>SUMIFS('февраль 2024'!$G$4:$G$1413,'февраль 2024'!$D$4:$D$1413,$B42,'февраль 2024'!$J$4:$J$1413,AG$1)</f>
        <v>0</v>
      </c>
      <c r="AH42" s="144">
        <f>SUMIFS('февраль 2024'!$G$4:$G$1413,'февраль 2024'!$D$4:$D$1413,$B42,'февраль 2024'!$J$4:$J$1413,AH$1)</f>
        <v>0</v>
      </c>
      <c r="AI42" s="21">
        <f t="shared" si="1"/>
        <v>100</v>
      </c>
    </row>
    <row r="43" spans="2:35" ht="15" customHeight="1" x14ac:dyDescent="0.25">
      <c r="B43" s="154" t="s">
        <v>298</v>
      </c>
      <c r="C43" s="151">
        <v>18</v>
      </c>
      <c r="D43" s="144">
        <f>SUMIFS('февраль 2024'!$G$4:$G$1413,'февраль 2024'!$D$4:$D$1413,$B43,'февраль 2024'!$J$4:$J$1413,D$1)</f>
        <v>0</v>
      </c>
      <c r="E43" s="144">
        <f>SUMIFS('февраль 2024'!$G$4:$G$1413,'февраль 2024'!$D$4:$D$1413,$B43,'февраль 2024'!$J$4:$J$1413,E$1)</f>
        <v>0</v>
      </c>
      <c r="F43" s="144">
        <f>SUMIFS('февраль 2024'!$G$4:$G$1413,'февраль 2024'!$D$4:$D$1413,$B43,'февраль 2024'!$J$4:$J$1413,F$1)</f>
        <v>0</v>
      </c>
      <c r="G43" s="144">
        <f>SUMIFS('февраль 2024'!$G$4:$G$1413,'февраль 2024'!$D$4:$D$1413,$B43,'февраль 2024'!$J$4:$J$1413,G$1)</f>
        <v>0</v>
      </c>
      <c r="H43" s="144">
        <f>SUMIFS('февраль 2024'!$G$4:$G$1413,'февраль 2024'!$D$4:$D$1413,$B43,'февраль 2024'!$J$4:$J$1413,H$1)</f>
        <v>0</v>
      </c>
      <c r="I43" s="144">
        <f>SUMIFS('февраль 2024'!$G$4:$G$1413,'февраль 2024'!$D$4:$D$1413,$B43,'февраль 2024'!$J$4:$J$1413,I$1)</f>
        <v>0</v>
      </c>
      <c r="J43" s="144">
        <f>SUMIFS('февраль 2024'!$G$4:$G$1413,'февраль 2024'!$D$4:$D$1413,$B43,'февраль 2024'!$J$4:$J$1413,J$1)</f>
        <v>0</v>
      </c>
      <c r="K43" s="144">
        <f>SUMIFS('февраль 2024'!$G$4:$G$1413,'февраль 2024'!$D$4:$D$1413,$B43,'февраль 2024'!$J$4:$J$1413,K$1)</f>
        <v>0</v>
      </c>
      <c r="L43" s="144">
        <f>SUMIFS('февраль 2024'!$G$4:$G$1413,'февраль 2024'!$D$4:$D$1413,$B43,'февраль 2024'!$J$4:$J$1413,L$1)</f>
        <v>0</v>
      </c>
      <c r="M43" s="144">
        <f>SUMIFS('февраль 2024'!$G$4:$G$1413,'февраль 2024'!$D$4:$D$1413,$B43,'февраль 2024'!$J$4:$J$1413,M$1)</f>
        <v>0</v>
      </c>
      <c r="N43" s="144">
        <f>SUMIFS('февраль 2024'!$G$4:$G$1413,'февраль 2024'!$D$4:$D$1413,$B43,'февраль 2024'!$J$4:$J$1413,N$1)</f>
        <v>0</v>
      </c>
      <c r="O43" s="144">
        <f>SUMIFS('февраль 2024'!$G$4:$G$1413,'февраль 2024'!$D$4:$D$1413,$B43,'февраль 2024'!$J$4:$J$1413,O$1)</f>
        <v>0</v>
      </c>
      <c r="P43" s="144">
        <f>SUMIFS('февраль 2024'!$G$4:$G$1413,'февраль 2024'!$D$4:$D$1413,$B43,'февраль 2024'!$J$4:$J$1413,P$1)</f>
        <v>0</v>
      </c>
      <c r="Q43" s="144">
        <f>SUMIFS('февраль 2024'!$G$4:$G$1413,'февраль 2024'!$D$4:$D$1413,$B43,'февраль 2024'!$J$4:$J$1413,Q$1)</f>
        <v>0</v>
      </c>
      <c r="R43" s="144">
        <f>SUMIFS('февраль 2024'!$G$4:$G$1413,'февраль 2024'!$D$4:$D$1413,$B43,'февраль 2024'!$J$4:$J$1413,R$1)</f>
        <v>0</v>
      </c>
      <c r="S43" s="144">
        <f>SUMIFS('февраль 2024'!$G$4:$G$1413,'февраль 2024'!$D$4:$D$1413,$B43,'февраль 2024'!$J$4:$J$1413,S$1)</f>
        <v>0</v>
      </c>
      <c r="T43" s="144">
        <f>SUMIFS('февраль 2024'!$G$4:$G$1413,'февраль 2024'!$D$4:$D$1413,$B43,'февраль 2024'!$J$4:$J$1413,T$1)</f>
        <v>0</v>
      </c>
      <c r="U43" s="144">
        <f>SUMIFS('февраль 2024'!$G$4:$G$1413,'февраль 2024'!$D$4:$D$1413,$B43,'февраль 2024'!$J$4:$J$1413,U$1)</f>
        <v>0</v>
      </c>
      <c r="V43" s="144">
        <f>SUMIFS('февраль 2024'!$G$4:$G$1413,'февраль 2024'!$D$4:$D$1413,$B43,'февраль 2024'!$J$4:$J$1413,V$1)</f>
        <v>0</v>
      </c>
      <c r="W43" s="144">
        <f>SUMIFS('февраль 2024'!$G$4:$G$1413,'февраль 2024'!$D$4:$D$1413,$B43,'февраль 2024'!$J$4:$J$1413,W$1)</f>
        <v>0</v>
      </c>
      <c r="X43" s="144">
        <f>SUMIFS('февраль 2024'!$G$4:$G$1413,'февраль 2024'!$D$4:$D$1413,$B43,'февраль 2024'!$J$4:$J$1413,X$1)</f>
        <v>0</v>
      </c>
      <c r="Y43" s="144">
        <f>SUMIFS('февраль 2024'!$G$4:$G$1413,'февраль 2024'!$D$4:$D$1413,$B43,'февраль 2024'!$J$4:$J$1413,Y$1)</f>
        <v>0</v>
      </c>
      <c r="Z43" s="144">
        <f>SUMIFS('февраль 2024'!$G$4:$G$1413,'февраль 2024'!$D$4:$D$1413,$B43,'февраль 2024'!$J$4:$J$1413,Z$1)</f>
        <v>0</v>
      </c>
      <c r="AA43" s="144">
        <f>SUMIFS('февраль 2024'!$G$4:$G$1413,'февраль 2024'!$D$4:$D$1413,$B43,'февраль 2024'!$J$4:$J$1413,AA$1)</f>
        <v>0</v>
      </c>
      <c r="AB43" s="144">
        <f>SUMIFS('февраль 2024'!$G$4:$G$1413,'февраль 2024'!$D$4:$D$1413,$B43,'февраль 2024'!$J$4:$J$1413,AB$1)</f>
        <v>0</v>
      </c>
      <c r="AC43" s="144">
        <f>SUMIFS('февраль 2024'!$G$4:$G$1413,'февраль 2024'!$D$4:$D$1413,$B43,'февраль 2024'!$J$4:$J$1413,AC$1)</f>
        <v>0</v>
      </c>
      <c r="AD43" s="144">
        <f>SUMIFS('февраль 2024'!$G$4:$G$1413,'февраль 2024'!$D$4:$D$1413,$B43,'февраль 2024'!$J$4:$J$1413,AD$1)</f>
        <v>0</v>
      </c>
      <c r="AE43" s="144">
        <f>SUMIFS('февраль 2024'!$G$4:$G$1413,'февраль 2024'!$D$4:$D$1413,$B43,'февраль 2024'!$J$4:$J$1413,AE$1)</f>
        <v>0</v>
      </c>
      <c r="AF43" s="144">
        <f>SUMIFS('февраль 2024'!$G$4:$G$1413,'февраль 2024'!$D$4:$D$1413,$B43,'февраль 2024'!$J$4:$J$1413,AF$1)</f>
        <v>0</v>
      </c>
      <c r="AG43" s="144">
        <f>SUMIFS('февраль 2024'!$G$4:$G$1413,'февраль 2024'!$D$4:$D$1413,$B43,'февраль 2024'!$J$4:$J$1413,AG$1)</f>
        <v>0</v>
      </c>
      <c r="AH43" s="144">
        <f>SUMIFS('февраль 2024'!$G$4:$G$1413,'февраль 2024'!$D$4:$D$1413,$B43,'февраль 2024'!$J$4:$J$1413,AH$1)</f>
        <v>0</v>
      </c>
      <c r="AI43" s="21">
        <f t="shared" si="1"/>
        <v>0</v>
      </c>
    </row>
    <row r="44" spans="2:35" ht="15" customHeight="1" x14ac:dyDescent="0.25">
      <c r="B44" s="154" t="s">
        <v>300</v>
      </c>
      <c r="C44" s="151">
        <v>20</v>
      </c>
      <c r="D44" s="144">
        <f>SUMIFS('февраль 2024'!$G$4:$G$1413,'февраль 2024'!$D$4:$D$1413,$B44,'февраль 2024'!$J$4:$J$1413,D$1)</f>
        <v>0</v>
      </c>
      <c r="E44" s="144">
        <f>SUMIFS('февраль 2024'!$G$4:$G$1413,'февраль 2024'!$D$4:$D$1413,$B44,'февраль 2024'!$J$4:$J$1413,E$1)</f>
        <v>0</v>
      </c>
      <c r="F44" s="144">
        <f>SUMIFS('февраль 2024'!$G$4:$G$1413,'февраль 2024'!$D$4:$D$1413,$B44,'февраль 2024'!$J$4:$J$1413,F$1)</f>
        <v>0</v>
      </c>
      <c r="G44" s="144">
        <f>SUMIFS('февраль 2024'!$G$4:$G$1413,'февраль 2024'!$D$4:$D$1413,$B44,'февраль 2024'!$J$4:$J$1413,G$1)</f>
        <v>0</v>
      </c>
      <c r="H44" s="144">
        <f>SUMIFS('февраль 2024'!$G$4:$G$1413,'февраль 2024'!$D$4:$D$1413,$B44,'февраль 2024'!$J$4:$J$1413,H$1)</f>
        <v>0</v>
      </c>
      <c r="I44" s="144">
        <f>SUMIFS('февраль 2024'!$G$4:$G$1413,'февраль 2024'!$D$4:$D$1413,$B44,'февраль 2024'!$J$4:$J$1413,I$1)</f>
        <v>0</v>
      </c>
      <c r="J44" s="144">
        <f>SUMIFS('февраль 2024'!$G$4:$G$1413,'февраль 2024'!$D$4:$D$1413,$B44,'февраль 2024'!$J$4:$J$1413,J$1)</f>
        <v>0</v>
      </c>
      <c r="K44" s="144">
        <f>SUMIFS('февраль 2024'!$G$4:$G$1413,'февраль 2024'!$D$4:$D$1413,$B44,'февраль 2024'!$J$4:$J$1413,K$1)</f>
        <v>0</v>
      </c>
      <c r="L44" s="144">
        <f>SUMIFS('февраль 2024'!$G$4:$G$1413,'февраль 2024'!$D$4:$D$1413,$B44,'февраль 2024'!$J$4:$J$1413,L$1)</f>
        <v>0</v>
      </c>
      <c r="M44" s="144">
        <f>SUMIFS('февраль 2024'!$G$4:$G$1413,'февраль 2024'!$D$4:$D$1413,$B44,'февраль 2024'!$J$4:$J$1413,M$1)</f>
        <v>0</v>
      </c>
      <c r="N44" s="144">
        <f>SUMIFS('февраль 2024'!$G$4:$G$1413,'февраль 2024'!$D$4:$D$1413,$B44,'февраль 2024'!$J$4:$J$1413,N$1)</f>
        <v>0</v>
      </c>
      <c r="O44" s="144">
        <f>SUMIFS('февраль 2024'!$G$4:$G$1413,'февраль 2024'!$D$4:$D$1413,$B44,'февраль 2024'!$J$4:$J$1413,O$1)</f>
        <v>0</v>
      </c>
      <c r="P44" s="144">
        <f>SUMIFS('февраль 2024'!$G$4:$G$1413,'февраль 2024'!$D$4:$D$1413,$B44,'февраль 2024'!$J$4:$J$1413,P$1)</f>
        <v>0</v>
      </c>
      <c r="Q44" s="144">
        <f>SUMIFS('февраль 2024'!$G$4:$G$1413,'февраль 2024'!$D$4:$D$1413,$B44,'февраль 2024'!$J$4:$J$1413,Q$1)</f>
        <v>0</v>
      </c>
      <c r="R44" s="144">
        <f>SUMIFS('февраль 2024'!$G$4:$G$1413,'февраль 2024'!$D$4:$D$1413,$B44,'февраль 2024'!$J$4:$J$1413,R$1)</f>
        <v>0</v>
      </c>
      <c r="S44" s="144">
        <f>SUMIFS('февраль 2024'!$G$4:$G$1413,'февраль 2024'!$D$4:$D$1413,$B44,'февраль 2024'!$J$4:$J$1413,S$1)</f>
        <v>0</v>
      </c>
      <c r="T44" s="144">
        <f>SUMIFS('февраль 2024'!$G$4:$G$1413,'февраль 2024'!$D$4:$D$1413,$B44,'февраль 2024'!$J$4:$J$1413,T$1)</f>
        <v>0</v>
      </c>
      <c r="U44" s="144">
        <f>SUMIFS('февраль 2024'!$G$4:$G$1413,'февраль 2024'!$D$4:$D$1413,$B44,'февраль 2024'!$J$4:$J$1413,U$1)</f>
        <v>0</v>
      </c>
      <c r="V44" s="144">
        <f>SUMIFS('февраль 2024'!$G$4:$G$1413,'февраль 2024'!$D$4:$D$1413,$B44,'февраль 2024'!$J$4:$J$1413,V$1)</f>
        <v>0</v>
      </c>
      <c r="W44" s="144">
        <f>SUMIFS('февраль 2024'!$G$4:$G$1413,'февраль 2024'!$D$4:$D$1413,$B44,'февраль 2024'!$J$4:$J$1413,W$1)</f>
        <v>0</v>
      </c>
      <c r="X44" s="144">
        <f>SUMIFS('февраль 2024'!$G$4:$G$1413,'февраль 2024'!$D$4:$D$1413,$B44,'февраль 2024'!$J$4:$J$1413,X$1)</f>
        <v>0</v>
      </c>
      <c r="Y44" s="144">
        <f>SUMIFS('февраль 2024'!$G$4:$G$1413,'февраль 2024'!$D$4:$D$1413,$B44,'февраль 2024'!$J$4:$J$1413,Y$1)</f>
        <v>0</v>
      </c>
      <c r="Z44" s="144">
        <f>SUMIFS('февраль 2024'!$G$4:$G$1413,'февраль 2024'!$D$4:$D$1413,$B44,'февраль 2024'!$J$4:$J$1413,Z$1)</f>
        <v>0</v>
      </c>
      <c r="AA44" s="144">
        <f>SUMIFS('февраль 2024'!$G$4:$G$1413,'февраль 2024'!$D$4:$D$1413,$B44,'февраль 2024'!$J$4:$J$1413,AA$1)</f>
        <v>0</v>
      </c>
      <c r="AB44" s="144">
        <f>SUMIFS('февраль 2024'!$G$4:$G$1413,'февраль 2024'!$D$4:$D$1413,$B44,'февраль 2024'!$J$4:$J$1413,AB$1)</f>
        <v>0</v>
      </c>
      <c r="AC44" s="144">
        <f>SUMIFS('февраль 2024'!$G$4:$G$1413,'февраль 2024'!$D$4:$D$1413,$B44,'февраль 2024'!$J$4:$J$1413,AC$1)</f>
        <v>0</v>
      </c>
      <c r="AD44" s="144">
        <f>SUMIFS('февраль 2024'!$G$4:$G$1413,'февраль 2024'!$D$4:$D$1413,$B44,'февраль 2024'!$J$4:$J$1413,AD$1)</f>
        <v>0</v>
      </c>
      <c r="AE44" s="144">
        <f>SUMIFS('февраль 2024'!$G$4:$G$1413,'февраль 2024'!$D$4:$D$1413,$B44,'февраль 2024'!$J$4:$J$1413,AE$1)</f>
        <v>0</v>
      </c>
      <c r="AF44" s="144">
        <f>SUMIFS('февраль 2024'!$G$4:$G$1413,'февраль 2024'!$D$4:$D$1413,$B44,'февраль 2024'!$J$4:$J$1413,AF$1)</f>
        <v>0</v>
      </c>
      <c r="AG44" s="144">
        <f>SUMIFS('февраль 2024'!$G$4:$G$1413,'февраль 2024'!$D$4:$D$1413,$B44,'февраль 2024'!$J$4:$J$1413,AG$1)</f>
        <v>0</v>
      </c>
      <c r="AH44" s="144">
        <f>SUMIFS('февраль 2024'!$G$4:$G$1413,'февраль 2024'!$D$4:$D$1413,$B44,'февраль 2024'!$J$4:$J$1413,AH$1)</f>
        <v>0</v>
      </c>
      <c r="AI44" s="21">
        <f t="shared" si="1"/>
        <v>0</v>
      </c>
    </row>
    <row r="45" spans="2:35" ht="15" customHeight="1" x14ac:dyDescent="0.25">
      <c r="B45" s="150" t="s">
        <v>302</v>
      </c>
      <c r="C45" s="153">
        <v>20</v>
      </c>
      <c r="D45" s="144">
        <f>SUMIFS('февраль 2024'!$G$4:$G$1413,'февраль 2024'!$D$4:$D$1413,$B45,'февраль 2024'!$J$4:$J$1413,D$1)</f>
        <v>0</v>
      </c>
      <c r="E45" s="144">
        <f>SUMIFS('февраль 2024'!$G$4:$G$1413,'февраль 2024'!$D$4:$D$1413,$B45,'февраль 2024'!$J$4:$J$1413,E$1)</f>
        <v>0</v>
      </c>
      <c r="F45" s="144">
        <f>SUMIFS('февраль 2024'!$G$4:$G$1413,'февраль 2024'!$D$4:$D$1413,$B45,'февраль 2024'!$J$4:$J$1413,F$1)</f>
        <v>0</v>
      </c>
      <c r="G45" s="144">
        <f>SUMIFS('февраль 2024'!$G$4:$G$1413,'февраль 2024'!$D$4:$D$1413,$B45,'февраль 2024'!$J$4:$J$1413,G$1)</f>
        <v>0</v>
      </c>
      <c r="H45" s="144">
        <f>SUMIFS('февраль 2024'!$G$4:$G$1413,'февраль 2024'!$D$4:$D$1413,$B45,'февраль 2024'!$J$4:$J$1413,H$1)</f>
        <v>0</v>
      </c>
      <c r="I45" s="144">
        <f>SUMIFS('февраль 2024'!$G$4:$G$1413,'февраль 2024'!$D$4:$D$1413,$B45,'февраль 2024'!$J$4:$J$1413,I$1)</f>
        <v>0</v>
      </c>
      <c r="J45" s="144">
        <f>SUMIFS('февраль 2024'!$G$4:$G$1413,'февраль 2024'!$D$4:$D$1413,$B45,'февраль 2024'!$J$4:$J$1413,J$1)</f>
        <v>0</v>
      </c>
      <c r="K45" s="144">
        <f>SUMIFS('февраль 2024'!$G$4:$G$1413,'февраль 2024'!$D$4:$D$1413,$B45,'февраль 2024'!$J$4:$J$1413,K$1)</f>
        <v>0</v>
      </c>
      <c r="L45" s="144">
        <f>SUMIFS('февраль 2024'!$G$4:$G$1413,'февраль 2024'!$D$4:$D$1413,$B45,'февраль 2024'!$J$4:$J$1413,L$1)</f>
        <v>0</v>
      </c>
      <c r="M45" s="144">
        <f>SUMIFS('февраль 2024'!$G$4:$G$1413,'февраль 2024'!$D$4:$D$1413,$B45,'февраль 2024'!$J$4:$J$1413,M$1)</f>
        <v>0</v>
      </c>
      <c r="N45" s="144">
        <f>SUMIFS('февраль 2024'!$G$4:$G$1413,'февраль 2024'!$D$4:$D$1413,$B45,'февраль 2024'!$J$4:$J$1413,N$1)</f>
        <v>0</v>
      </c>
      <c r="O45" s="144">
        <f>SUMIFS('февраль 2024'!$G$4:$G$1413,'февраль 2024'!$D$4:$D$1413,$B45,'февраль 2024'!$J$4:$J$1413,O$1)</f>
        <v>0</v>
      </c>
      <c r="P45" s="144">
        <f>SUMIFS('февраль 2024'!$G$4:$G$1413,'февраль 2024'!$D$4:$D$1413,$B45,'февраль 2024'!$J$4:$J$1413,P$1)</f>
        <v>0</v>
      </c>
      <c r="Q45" s="144">
        <f>SUMIFS('февраль 2024'!$G$4:$G$1413,'февраль 2024'!$D$4:$D$1413,$B45,'февраль 2024'!$J$4:$J$1413,Q$1)</f>
        <v>0</v>
      </c>
      <c r="R45" s="144">
        <f>SUMIFS('февраль 2024'!$G$4:$G$1413,'февраль 2024'!$D$4:$D$1413,$B45,'февраль 2024'!$J$4:$J$1413,R$1)</f>
        <v>0</v>
      </c>
      <c r="S45" s="144">
        <f>SUMIFS('февраль 2024'!$G$4:$G$1413,'февраль 2024'!$D$4:$D$1413,$B45,'февраль 2024'!$J$4:$J$1413,S$1)</f>
        <v>0</v>
      </c>
      <c r="T45" s="144">
        <f>SUMIFS('февраль 2024'!$G$4:$G$1413,'февраль 2024'!$D$4:$D$1413,$B45,'февраль 2024'!$J$4:$J$1413,T$1)</f>
        <v>0</v>
      </c>
      <c r="U45" s="144">
        <f>SUMIFS('февраль 2024'!$G$4:$G$1413,'февраль 2024'!$D$4:$D$1413,$B45,'февраль 2024'!$J$4:$J$1413,U$1)</f>
        <v>0</v>
      </c>
      <c r="V45" s="144">
        <f>SUMIFS('февраль 2024'!$G$4:$G$1413,'февраль 2024'!$D$4:$D$1413,$B45,'февраль 2024'!$J$4:$J$1413,V$1)</f>
        <v>0</v>
      </c>
      <c r="W45" s="144">
        <f>SUMIFS('февраль 2024'!$G$4:$G$1413,'февраль 2024'!$D$4:$D$1413,$B45,'февраль 2024'!$J$4:$J$1413,W$1)</f>
        <v>0</v>
      </c>
      <c r="X45" s="144">
        <f>SUMIFS('февраль 2024'!$G$4:$G$1413,'февраль 2024'!$D$4:$D$1413,$B45,'февраль 2024'!$J$4:$J$1413,X$1)</f>
        <v>0</v>
      </c>
      <c r="Y45" s="144">
        <f>SUMIFS('февраль 2024'!$G$4:$G$1413,'февраль 2024'!$D$4:$D$1413,$B45,'февраль 2024'!$J$4:$J$1413,Y$1)</f>
        <v>0</v>
      </c>
      <c r="Z45" s="144">
        <f>SUMIFS('февраль 2024'!$G$4:$G$1413,'февраль 2024'!$D$4:$D$1413,$B45,'февраль 2024'!$J$4:$J$1413,Z$1)</f>
        <v>0</v>
      </c>
      <c r="AA45" s="144">
        <f>SUMIFS('февраль 2024'!$G$4:$G$1413,'февраль 2024'!$D$4:$D$1413,$B45,'февраль 2024'!$J$4:$J$1413,AA$1)</f>
        <v>0</v>
      </c>
      <c r="AB45" s="144">
        <f>SUMIFS('февраль 2024'!$G$4:$G$1413,'февраль 2024'!$D$4:$D$1413,$B45,'февраль 2024'!$J$4:$J$1413,AB$1)</f>
        <v>0</v>
      </c>
      <c r="AC45" s="144">
        <f>SUMIFS('февраль 2024'!$G$4:$G$1413,'февраль 2024'!$D$4:$D$1413,$B45,'февраль 2024'!$J$4:$J$1413,AC$1)</f>
        <v>0</v>
      </c>
      <c r="AD45" s="144">
        <f>SUMIFS('февраль 2024'!$G$4:$G$1413,'февраль 2024'!$D$4:$D$1413,$B45,'февраль 2024'!$J$4:$J$1413,AD$1)</f>
        <v>0</v>
      </c>
      <c r="AE45" s="144">
        <f>SUMIFS('февраль 2024'!$G$4:$G$1413,'февраль 2024'!$D$4:$D$1413,$B45,'февраль 2024'!$J$4:$J$1413,AE$1)</f>
        <v>0</v>
      </c>
      <c r="AF45" s="144">
        <f>SUMIFS('февраль 2024'!$G$4:$G$1413,'февраль 2024'!$D$4:$D$1413,$B45,'февраль 2024'!$J$4:$J$1413,AF$1)</f>
        <v>0</v>
      </c>
      <c r="AG45" s="144">
        <f>SUMIFS('февраль 2024'!$G$4:$G$1413,'февраль 2024'!$D$4:$D$1413,$B45,'февраль 2024'!$J$4:$J$1413,AG$1)</f>
        <v>0</v>
      </c>
      <c r="AH45" s="144">
        <f>SUMIFS('февраль 2024'!$G$4:$G$1413,'февраль 2024'!$D$4:$D$1413,$B45,'февраль 2024'!$J$4:$J$1413,AH$1)</f>
        <v>0</v>
      </c>
      <c r="AI45" s="21">
        <f t="shared" si="1"/>
        <v>0</v>
      </c>
    </row>
    <row r="46" spans="2:35" ht="15" customHeight="1" x14ac:dyDescent="0.25">
      <c r="B46" s="150" t="s">
        <v>304</v>
      </c>
      <c r="C46" s="149">
        <v>20</v>
      </c>
      <c r="D46" s="144">
        <f>SUMIFS('февраль 2024'!$G$4:$G$1413,'февраль 2024'!$D$4:$D$1413,$B46,'февраль 2024'!$J$4:$J$1413,D$1)</f>
        <v>0</v>
      </c>
      <c r="E46" s="144">
        <f>SUMIFS('февраль 2024'!$G$4:$G$1413,'февраль 2024'!$D$4:$D$1413,$B46,'февраль 2024'!$J$4:$J$1413,E$1)</f>
        <v>0</v>
      </c>
      <c r="F46" s="144">
        <f>SUMIFS('февраль 2024'!$G$4:$G$1413,'февраль 2024'!$D$4:$D$1413,$B46,'февраль 2024'!$J$4:$J$1413,F$1)</f>
        <v>0</v>
      </c>
      <c r="G46" s="144">
        <f>SUMIFS('февраль 2024'!$G$4:$G$1413,'февраль 2024'!$D$4:$D$1413,$B46,'февраль 2024'!$J$4:$J$1413,G$1)</f>
        <v>0</v>
      </c>
      <c r="H46" s="144">
        <f>SUMIFS('февраль 2024'!$G$4:$G$1413,'февраль 2024'!$D$4:$D$1413,$B46,'февраль 2024'!$J$4:$J$1413,H$1)</f>
        <v>0</v>
      </c>
      <c r="I46" s="144">
        <f>SUMIFS('февраль 2024'!$G$4:$G$1413,'февраль 2024'!$D$4:$D$1413,$B46,'февраль 2024'!$J$4:$J$1413,I$1)</f>
        <v>0</v>
      </c>
      <c r="J46" s="144">
        <f>SUMIFS('февраль 2024'!$G$4:$G$1413,'февраль 2024'!$D$4:$D$1413,$B46,'февраль 2024'!$J$4:$J$1413,J$1)</f>
        <v>0</v>
      </c>
      <c r="K46" s="144">
        <f>SUMIFS('февраль 2024'!$G$4:$G$1413,'февраль 2024'!$D$4:$D$1413,$B46,'февраль 2024'!$J$4:$J$1413,K$1)</f>
        <v>0</v>
      </c>
      <c r="L46" s="144">
        <f>SUMIFS('февраль 2024'!$G$4:$G$1413,'февраль 2024'!$D$4:$D$1413,$B46,'февраль 2024'!$J$4:$J$1413,L$1)</f>
        <v>0</v>
      </c>
      <c r="M46" s="144">
        <f>SUMIFS('февраль 2024'!$G$4:$G$1413,'февраль 2024'!$D$4:$D$1413,$B46,'февраль 2024'!$J$4:$J$1413,M$1)</f>
        <v>0</v>
      </c>
      <c r="N46" s="144">
        <f>SUMIFS('февраль 2024'!$G$4:$G$1413,'февраль 2024'!$D$4:$D$1413,$B46,'февраль 2024'!$J$4:$J$1413,N$1)</f>
        <v>0</v>
      </c>
      <c r="O46" s="144">
        <f>SUMIFS('февраль 2024'!$G$4:$G$1413,'февраль 2024'!$D$4:$D$1413,$B46,'февраль 2024'!$J$4:$J$1413,O$1)</f>
        <v>0</v>
      </c>
      <c r="P46" s="144">
        <f>SUMIFS('февраль 2024'!$G$4:$G$1413,'февраль 2024'!$D$4:$D$1413,$B46,'февраль 2024'!$J$4:$J$1413,P$1)</f>
        <v>0</v>
      </c>
      <c r="Q46" s="144">
        <f>SUMIFS('февраль 2024'!$G$4:$G$1413,'февраль 2024'!$D$4:$D$1413,$B46,'февраль 2024'!$J$4:$J$1413,Q$1)</f>
        <v>0</v>
      </c>
      <c r="R46" s="144">
        <f>SUMIFS('февраль 2024'!$G$4:$G$1413,'февраль 2024'!$D$4:$D$1413,$B46,'февраль 2024'!$J$4:$J$1413,R$1)</f>
        <v>0</v>
      </c>
      <c r="S46" s="144">
        <f>SUMIFS('февраль 2024'!$G$4:$G$1413,'февраль 2024'!$D$4:$D$1413,$B46,'февраль 2024'!$J$4:$J$1413,S$1)</f>
        <v>0</v>
      </c>
      <c r="T46" s="144">
        <f>SUMIFS('февраль 2024'!$G$4:$G$1413,'февраль 2024'!$D$4:$D$1413,$B46,'февраль 2024'!$J$4:$J$1413,T$1)</f>
        <v>0</v>
      </c>
      <c r="U46" s="144">
        <f>SUMIFS('февраль 2024'!$G$4:$G$1413,'февраль 2024'!$D$4:$D$1413,$B46,'февраль 2024'!$J$4:$J$1413,U$1)</f>
        <v>0</v>
      </c>
      <c r="V46" s="144">
        <f>SUMIFS('февраль 2024'!$G$4:$G$1413,'февраль 2024'!$D$4:$D$1413,$B46,'февраль 2024'!$J$4:$J$1413,V$1)</f>
        <v>0</v>
      </c>
      <c r="W46" s="144">
        <f>SUMIFS('февраль 2024'!$G$4:$G$1413,'февраль 2024'!$D$4:$D$1413,$B46,'февраль 2024'!$J$4:$J$1413,W$1)</f>
        <v>0</v>
      </c>
      <c r="X46" s="144">
        <f>SUMIFS('февраль 2024'!$G$4:$G$1413,'февраль 2024'!$D$4:$D$1413,$B46,'февраль 2024'!$J$4:$J$1413,X$1)</f>
        <v>0</v>
      </c>
      <c r="Y46" s="144">
        <f>SUMIFS('февраль 2024'!$G$4:$G$1413,'февраль 2024'!$D$4:$D$1413,$B46,'февраль 2024'!$J$4:$J$1413,Y$1)</f>
        <v>0</v>
      </c>
      <c r="Z46" s="144">
        <f>SUMIFS('февраль 2024'!$G$4:$G$1413,'февраль 2024'!$D$4:$D$1413,$B46,'февраль 2024'!$J$4:$J$1413,Z$1)</f>
        <v>0</v>
      </c>
      <c r="AA46" s="144">
        <f>SUMIFS('февраль 2024'!$G$4:$G$1413,'февраль 2024'!$D$4:$D$1413,$B46,'февраль 2024'!$J$4:$J$1413,AA$1)</f>
        <v>0</v>
      </c>
      <c r="AB46" s="144">
        <f>SUMIFS('февраль 2024'!$G$4:$G$1413,'февраль 2024'!$D$4:$D$1413,$B46,'февраль 2024'!$J$4:$J$1413,AB$1)</f>
        <v>0</v>
      </c>
      <c r="AC46" s="144">
        <f>SUMIFS('февраль 2024'!$G$4:$G$1413,'февраль 2024'!$D$4:$D$1413,$B46,'февраль 2024'!$J$4:$J$1413,AC$1)</f>
        <v>0</v>
      </c>
      <c r="AD46" s="144">
        <f>SUMIFS('февраль 2024'!$G$4:$G$1413,'февраль 2024'!$D$4:$D$1413,$B46,'февраль 2024'!$J$4:$J$1413,AD$1)</f>
        <v>0</v>
      </c>
      <c r="AE46" s="144">
        <f>SUMIFS('февраль 2024'!$G$4:$G$1413,'февраль 2024'!$D$4:$D$1413,$B46,'февраль 2024'!$J$4:$J$1413,AE$1)</f>
        <v>0</v>
      </c>
      <c r="AF46" s="144">
        <f>SUMIFS('февраль 2024'!$G$4:$G$1413,'февраль 2024'!$D$4:$D$1413,$B46,'февраль 2024'!$J$4:$J$1413,AF$1)</f>
        <v>0</v>
      </c>
      <c r="AG46" s="144">
        <f>SUMIFS('февраль 2024'!$G$4:$G$1413,'февраль 2024'!$D$4:$D$1413,$B46,'февраль 2024'!$J$4:$J$1413,AG$1)</f>
        <v>0</v>
      </c>
      <c r="AH46" s="144">
        <f>SUMIFS('февраль 2024'!$G$4:$G$1413,'февраль 2024'!$D$4:$D$1413,$B46,'февраль 2024'!$J$4:$J$1413,AH$1)</f>
        <v>0</v>
      </c>
      <c r="AI46" s="21">
        <f t="shared" si="1"/>
        <v>0</v>
      </c>
    </row>
    <row r="47" spans="2:35" ht="15" customHeight="1" x14ac:dyDescent="0.25">
      <c r="B47" s="150" t="s">
        <v>306</v>
      </c>
      <c r="C47" s="151">
        <v>20</v>
      </c>
      <c r="D47" s="144">
        <f>SUMIFS('февраль 2024'!$G$4:$G$1413,'февраль 2024'!$D$4:$D$1413,$B47,'февраль 2024'!$J$4:$J$1413,D$1)</f>
        <v>0</v>
      </c>
      <c r="E47" s="144">
        <f>SUMIFS('февраль 2024'!$G$4:$G$1413,'февраль 2024'!$D$4:$D$1413,$B47,'февраль 2024'!$J$4:$J$1413,E$1)</f>
        <v>0</v>
      </c>
      <c r="F47" s="144">
        <f>SUMIFS('февраль 2024'!$G$4:$G$1413,'февраль 2024'!$D$4:$D$1413,$B47,'февраль 2024'!$J$4:$J$1413,F$1)</f>
        <v>0</v>
      </c>
      <c r="G47" s="144">
        <f>SUMIFS('февраль 2024'!$G$4:$G$1413,'февраль 2024'!$D$4:$D$1413,$B47,'февраль 2024'!$J$4:$J$1413,G$1)</f>
        <v>0</v>
      </c>
      <c r="H47" s="144">
        <f>SUMIFS('февраль 2024'!$G$4:$G$1413,'февраль 2024'!$D$4:$D$1413,$B47,'февраль 2024'!$J$4:$J$1413,H$1)</f>
        <v>0</v>
      </c>
      <c r="I47" s="144">
        <f>SUMIFS('февраль 2024'!$G$4:$G$1413,'февраль 2024'!$D$4:$D$1413,$B47,'февраль 2024'!$J$4:$J$1413,I$1)</f>
        <v>0</v>
      </c>
      <c r="J47" s="144">
        <f>SUMIFS('февраль 2024'!$G$4:$G$1413,'февраль 2024'!$D$4:$D$1413,$B47,'февраль 2024'!$J$4:$J$1413,J$1)</f>
        <v>0</v>
      </c>
      <c r="K47" s="144">
        <f>SUMIFS('февраль 2024'!$G$4:$G$1413,'февраль 2024'!$D$4:$D$1413,$B47,'февраль 2024'!$J$4:$J$1413,K$1)</f>
        <v>0</v>
      </c>
      <c r="L47" s="144">
        <f>SUMIFS('февраль 2024'!$G$4:$G$1413,'февраль 2024'!$D$4:$D$1413,$B47,'февраль 2024'!$J$4:$J$1413,L$1)</f>
        <v>0</v>
      </c>
      <c r="M47" s="144">
        <f>SUMIFS('февраль 2024'!$G$4:$G$1413,'февраль 2024'!$D$4:$D$1413,$B47,'февраль 2024'!$J$4:$J$1413,M$1)</f>
        <v>0</v>
      </c>
      <c r="N47" s="144">
        <f>SUMIFS('февраль 2024'!$G$4:$G$1413,'февраль 2024'!$D$4:$D$1413,$B47,'февраль 2024'!$J$4:$J$1413,N$1)</f>
        <v>0</v>
      </c>
      <c r="O47" s="144">
        <f>SUMIFS('февраль 2024'!$G$4:$G$1413,'февраль 2024'!$D$4:$D$1413,$B47,'февраль 2024'!$J$4:$J$1413,O$1)</f>
        <v>0</v>
      </c>
      <c r="P47" s="144">
        <f>SUMIFS('февраль 2024'!$G$4:$G$1413,'февраль 2024'!$D$4:$D$1413,$B47,'февраль 2024'!$J$4:$J$1413,P$1)</f>
        <v>0</v>
      </c>
      <c r="Q47" s="144">
        <f>SUMIFS('февраль 2024'!$G$4:$G$1413,'февраль 2024'!$D$4:$D$1413,$B47,'февраль 2024'!$J$4:$J$1413,Q$1)</f>
        <v>0</v>
      </c>
      <c r="R47" s="144">
        <f>SUMIFS('февраль 2024'!$G$4:$G$1413,'февраль 2024'!$D$4:$D$1413,$B47,'февраль 2024'!$J$4:$J$1413,R$1)</f>
        <v>0</v>
      </c>
      <c r="S47" s="144">
        <f>SUMIFS('февраль 2024'!$G$4:$G$1413,'февраль 2024'!$D$4:$D$1413,$B47,'февраль 2024'!$J$4:$J$1413,S$1)</f>
        <v>0</v>
      </c>
      <c r="T47" s="144">
        <f>SUMIFS('февраль 2024'!$G$4:$G$1413,'февраль 2024'!$D$4:$D$1413,$B47,'февраль 2024'!$J$4:$J$1413,T$1)</f>
        <v>0</v>
      </c>
      <c r="U47" s="144">
        <f>SUMIFS('февраль 2024'!$G$4:$G$1413,'февраль 2024'!$D$4:$D$1413,$B47,'февраль 2024'!$J$4:$J$1413,U$1)</f>
        <v>0</v>
      </c>
      <c r="V47" s="144">
        <f>SUMIFS('февраль 2024'!$G$4:$G$1413,'февраль 2024'!$D$4:$D$1413,$B47,'февраль 2024'!$J$4:$J$1413,V$1)</f>
        <v>0</v>
      </c>
      <c r="W47" s="144">
        <f>SUMIFS('февраль 2024'!$G$4:$G$1413,'февраль 2024'!$D$4:$D$1413,$B47,'февраль 2024'!$J$4:$J$1413,W$1)</f>
        <v>0</v>
      </c>
      <c r="X47" s="144">
        <f>SUMIFS('февраль 2024'!$G$4:$G$1413,'февраль 2024'!$D$4:$D$1413,$B47,'февраль 2024'!$J$4:$J$1413,X$1)</f>
        <v>0</v>
      </c>
      <c r="Y47" s="144">
        <f>SUMIFS('февраль 2024'!$G$4:$G$1413,'февраль 2024'!$D$4:$D$1413,$B47,'февраль 2024'!$J$4:$J$1413,Y$1)</f>
        <v>0</v>
      </c>
      <c r="Z47" s="144">
        <f>SUMIFS('февраль 2024'!$G$4:$G$1413,'февраль 2024'!$D$4:$D$1413,$B47,'февраль 2024'!$J$4:$J$1413,Z$1)</f>
        <v>0</v>
      </c>
      <c r="AA47" s="144">
        <f>SUMIFS('февраль 2024'!$G$4:$G$1413,'февраль 2024'!$D$4:$D$1413,$B47,'февраль 2024'!$J$4:$J$1413,AA$1)</f>
        <v>0</v>
      </c>
      <c r="AB47" s="144">
        <f>SUMIFS('февраль 2024'!$G$4:$G$1413,'февраль 2024'!$D$4:$D$1413,$B47,'февраль 2024'!$J$4:$J$1413,AB$1)</f>
        <v>0</v>
      </c>
      <c r="AC47" s="144">
        <f>SUMIFS('февраль 2024'!$G$4:$G$1413,'февраль 2024'!$D$4:$D$1413,$B47,'февраль 2024'!$J$4:$J$1413,AC$1)</f>
        <v>0</v>
      </c>
      <c r="AD47" s="144">
        <f>SUMIFS('февраль 2024'!$G$4:$G$1413,'февраль 2024'!$D$4:$D$1413,$B47,'февраль 2024'!$J$4:$J$1413,AD$1)</f>
        <v>0</v>
      </c>
      <c r="AE47" s="144">
        <f>SUMIFS('февраль 2024'!$G$4:$G$1413,'февраль 2024'!$D$4:$D$1413,$B47,'февраль 2024'!$J$4:$J$1413,AE$1)</f>
        <v>0</v>
      </c>
      <c r="AF47" s="144">
        <f>SUMIFS('февраль 2024'!$G$4:$G$1413,'февраль 2024'!$D$4:$D$1413,$B47,'февраль 2024'!$J$4:$J$1413,AF$1)</f>
        <v>0</v>
      </c>
      <c r="AG47" s="144">
        <f>SUMIFS('февраль 2024'!$G$4:$G$1413,'февраль 2024'!$D$4:$D$1413,$B47,'февраль 2024'!$J$4:$J$1413,AG$1)</f>
        <v>0</v>
      </c>
      <c r="AH47" s="144">
        <f>SUMIFS('февраль 2024'!$G$4:$G$1413,'февраль 2024'!$D$4:$D$1413,$B47,'февраль 2024'!$J$4:$J$1413,AH$1)</f>
        <v>0</v>
      </c>
      <c r="AI47" s="21">
        <f t="shared" si="1"/>
        <v>0</v>
      </c>
    </row>
    <row r="48" spans="2:35" ht="15" customHeight="1" x14ac:dyDescent="0.25">
      <c r="B48" s="150" t="s">
        <v>308</v>
      </c>
      <c r="C48" s="151">
        <v>14</v>
      </c>
      <c r="D48" s="144">
        <f>SUMIFS('февраль 2024'!$G$4:$G$1413,'февраль 2024'!$D$4:$D$1413,$B48,'февраль 2024'!$J$4:$J$1413,D$1)</f>
        <v>0</v>
      </c>
      <c r="E48" s="144">
        <f>SUMIFS('февраль 2024'!$G$4:$G$1413,'февраль 2024'!$D$4:$D$1413,$B48,'февраль 2024'!$J$4:$J$1413,E$1)</f>
        <v>0</v>
      </c>
      <c r="F48" s="144">
        <f>SUMIFS('февраль 2024'!$G$4:$G$1413,'февраль 2024'!$D$4:$D$1413,$B48,'февраль 2024'!$J$4:$J$1413,F$1)</f>
        <v>0</v>
      </c>
      <c r="G48" s="144">
        <f>SUMIFS('февраль 2024'!$G$4:$G$1413,'февраль 2024'!$D$4:$D$1413,$B48,'февраль 2024'!$J$4:$J$1413,G$1)</f>
        <v>0</v>
      </c>
      <c r="H48" s="144">
        <f>SUMIFS('февраль 2024'!$G$4:$G$1413,'февраль 2024'!$D$4:$D$1413,$B48,'февраль 2024'!$J$4:$J$1413,H$1)</f>
        <v>0</v>
      </c>
      <c r="I48" s="144">
        <f>SUMIFS('февраль 2024'!$G$4:$G$1413,'февраль 2024'!$D$4:$D$1413,$B48,'февраль 2024'!$J$4:$J$1413,I$1)</f>
        <v>0</v>
      </c>
      <c r="J48" s="144">
        <f>SUMIFS('февраль 2024'!$G$4:$G$1413,'февраль 2024'!$D$4:$D$1413,$B48,'февраль 2024'!$J$4:$J$1413,J$1)</f>
        <v>0</v>
      </c>
      <c r="K48" s="144">
        <f>SUMIFS('февраль 2024'!$G$4:$G$1413,'февраль 2024'!$D$4:$D$1413,$B48,'февраль 2024'!$J$4:$J$1413,K$1)</f>
        <v>0</v>
      </c>
      <c r="L48" s="144">
        <f>SUMIFS('февраль 2024'!$G$4:$G$1413,'февраль 2024'!$D$4:$D$1413,$B48,'февраль 2024'!$J$4:$J$1413,L$1)</f>
        <v>0</v>
      </c>
      <c r="M48" s="144">
        <f>SUMIFS('февраль 2024'!$G$4:$G$1413,'февраль 2024'!$D$4:$D$1413,$B48,'февраль 2024'!$J$4:$J$1413,M$1)</f>
        <v>0</v>
      </c>
      <c r="N48" s="144">
        <f>SUMIFS('февраль 2024'!$G$4:$G$1413,'февраль 2024'!$D$4:$D$1413,$B48,'февраль 2024'!$J$4:$J$1413,N$1)</f>
        <v>0</v>
      </c>
      <c r="O48" s="144">
        <f>SUMIFS('февраль 2024'!$G$4:$G$1413,'февраль 2024'!$D$4:$D$1413,$B48,'февраль 2024'!$J$4:$J$1413,O$1)</f>
        <v>0</v>
      </c>
      <c r="P48" s="144">
        <f>SUMIFS('февраль 2024'!$G$4:$G$1413,'февраль 2024'!$D$4:$D$1413,$B48,'февраль 2024'!$J$4:$J$1413,P$1)</f>
        <v>0</v>
      </c>
      <c r="Q48" s="144">
        <f>SUMIFS('февраль 2024'!$G$4:$G$1413,'февраль 2024'!$D$4:$D$1413,$B48,'февраль 2024'!$J$4:$J$1413,Q$1)</f>
        <v>0</v>
      </c>
      <c r="R48" s="144">
        <f>SUMIFS('февраль 2024'!$G$4:$G$1413,'февраль 2024'!$D$4:$D$1413,$B48,'февраль 2024'!$J$4:$J$1413,R$1)</f>
        <v>0</v>
      </c>
      <c r="S48" s="144">
        <f>SUMIFS('февраль 2024'!$G$4:$G$1413,'февраль 2024'!$D$4:$D$1413,$B48,'февраль 2024'!$J$4:$J$1413,S$1)</f>
        <v>0</v>
      </c>
      <c r="T48" s="144">
        <f>SUMIFS('февраль 2024'!$G$4:$G$1413,'февраль 2024'!$D$4:$D$1413,$B48,'февраль 2024'!$J$4:$J$1413,T$1)</f>
        <v>0</v>
      </c>
      <c r="U48" s="144">
        <f>SUMIFS('февраль 2024'!$G$4:$G$1413,'февраль 2024'!$D$4:$D$1413,$B48,'февраль 2024'!$J$4:$J$1413,U$1)</f>
        <v>0</v>
      </c>
      <c r="V48" s="144">
        <f>SUMIFS('февраль 2024'!$G$4:$G$1413,'февраль 2024'!$D$4:$D$1413,$B48,'февраль 2024'!$J$4:$J$1413,V$1)</f>
        <v>0</v>
      </c>
      <c r="W48" s="144">
        <f>SUMIFS('февраль 2024'!$G$4:$G$1413,'февраль 2024'!$D$4:$D$1413,$B48,'февраль 2024'!$J$4:$J$1413,W$1)</f>
        <v>0</v>
      </c>
      <c r="X48" s="144">
        <f>SUMIFS('февраль 2024'!$G$4:$G$1413,'февраль 2024'!$D$4:$D$1413,$B48,'февраль 2024'!$J$4:$J$1413,X$1)</f>
        <v>0</v>
      </c>
      <c r="Y48" s="144">
        <f>SUMIFS('февраль 2024'!$G$4:$G$1413,'февраль 2024'!$D$4:$D$1413,$B48,'февраль 2024'!$J$4:$J$1413,Y$1)</f>
        <v>0</v>
      </c>
      <c r="Z48" s="144">
        <f>SUMIFS('февраль 2024'!$G$4:$G$1413,'февраль 2024'!$D$4:$D$1413,$B48,'февраль 2024'!$J$4:$J$1413,Z$1)</f>
        <v>0</v>
      </c>
      <c r="AA48" s="144">
        <f>SUMIFS('февраль 2024'!$G$4:$G$1413,'февраль 2024'!$D$4:$D$1413,$B48,'февраль 2024'!$J$4:$J$1413,AA$1)</f>
        <v>0</v>
      </c>
      <c r="AB48" s="144">
        <f>SUMIFS('февраль 2024'!$G$4:$G$1413,'февраль 2024'!$D$4:$D$1413,$B48,'февраль 2024'!$J$4:$J$1413,AB$1)</f>
        <v>0</v>
      </c>
      <c r="AC48" s="144">
        <f>SUMIFS('февраль 2024'!$G$4:$G$1413,'февраль 2024'!$D$4:$D$1413,$B48,'февраль 2024'!$J$4:$J$1413,AC$1)</f>
        <v>0</v>
      </c>
      <c r="AD48" s="144">
        <f>SUMIFS('февраль 2024'!$G$4:$G$1413,'февраль 2024'!$D$4:$D$1413,$B48,'февраль 2024'!$J$4:$J$1413,AD$1)</f>
        <v>0</v>
      </c>
      <c r="AE48" s="144">
        <f>SUMIFS('февраль 2024'!$G$4:$G$1413,'февраль 2024'!$D$4:$D$1413,$B48,'февраль 2024'!$J$4:$J$1413,AE$1)</f>
        <v>0</v>
      </c>
      <c r="AF48" s="144">
        <f>SUMIFS('февраль 2024'!$G$4:$G$1413,'февраль 2024'!$D$4:$D$1413,$B48,'февраль 2024'!$J$4:$J$1413,AF$1)</f>
        <v>0</v>
      </c>
      <c r="AG48" s="144">
        <f>SUMIFS('февраль 2024'!$G$4:$G$1413,'февраль 2024'!$D$4:$D$1413,$B48,'февраль 2024'!$J$4:$J$1413,AG$1)</f>
        <v>0</v>
      </c>
      <c r="AH48" s="144">
        <f>SUMIFS('февраль 2024'!$G$4:$G$1413,'февраль 2024'!$D$4:$D$1413,$B48,'февраль 2024'!$J$4:$J$1413,AH$1)</f>
        <v>0</v>
      </c>
      <c r="AI48" s="21">
        <f t="shared" si="1"/>
        <v>0</v>
      </c>
    </row>
    <row r="49" spans="2:35" ht="15" customHeight="1" x14ac:dyDescent="0.25">
      <c r="B49" s="150" t="s">
        <v>310</v>
      </c>
      <c r="C49" s="151">
        <v>25</v>
      </c>
      <c r="D49" s="144">
        <f>SUMIFS('февраль 2024'!$G$4:$G$1413,'февраль 2024'!$D$4:$D$1413,$B49,'февраль 2024'!$J$4:$J$1413,D$1)</f>
        <v>0</v>
      </c>
      <c r="E49" s="144">
        <f>SUMIFS('февраль 2024'!$G$4:$G$1413,'февраль 2024'!$D$4:$D$1413,$B49,'февраль 2024'!$J$4:$J$1413,E$1)</f>
        <v>0</v>
      </c>
      <c r="F49" s="144">
        <f>SUMIFS('февраль 2024'!$G$4:$G$1413,'февраль 2024'!$D$4:$D$1413,$B49,'февраль 2024'!$J$4:$J$1413,F$1)</f>
        <v>0</v>
      </c>
      <c r="G49" s="144">
        <f>SUMIFS('февраль 2024'!$G$4:$G$1413,'февраль 2024'!$D$4:$D$1413,$B49,'февраль 2024'!$J$4:$J$1413,G$1)</f>
        <v>0</v>
      </c>
      <c r="H49" s="144">
        <f>SUMIFS('февраль 2024'!$G$4:$G$1413,'февраль 2024'!$D$4:$D$1413,$B49,'февраль 2024'!$J$4:$J$1413,H$1)</f>
        <v>0</v>
      </c>
      <c r="I49" s="144">
        <f>SUMIFS('февраль 2024'!$G$4:$G$1413,'февраль 2024'!$D$4:$D$1413,$B49,'февраль 2024'!$J$4:$J$1413,I$1)</f>
        <v>0</v>
      </c>
      <c r="J49" s="144">
        <f>SUMIFS('февраль 2024'!$G$4:$G$1413,'февраль 2024'!$D$4:$D$1413,$B49,'февраль 2024'!$J$4:$J$1413,J$1)</f>
        <v>0</v>
      </c>
      <c r="K49" s="144">
        <f>SUMIFS('февраль 2024'!$G$4:$G$1413,'февраль 2024'!$D$4:$D$1413,$B49,'февраль 2024'!$J$4:$J$1413,K$1)</f>
        <v>0</v>
      </c>
      <c r="L49" s="144">
        <f>SUMIFS('февраль 2024'!$G$4:$G$1413,'февраль 2024'!$D$4:$D$1413,$B49,'февраль 2024'!$J$4:$J$1413,L$1)</f>
        <v>0</v>
      </c>
      <c r="M49" s="144">
        <f>SUMIFS('февраль 2024'!$G$4:$G$1413,'февраль 2024'!$D$4:$D$1413,$B49,'февраль 2024'!$J$4:$J$1413,M$1)</f>
        <v>0</v>
      </c>
      <c r="N49" s="144">
        <f>SUMIFS('февраль 2024'!$G$4:$G$1413,'февраль 2024'!$D$4:$D$1413,$B49,'февраль 2024'!$J$4:$J$1413,N$1)</f>
        <v>0</v>
      </c>
      <c r="O49" s="144">
        <f>SUMIFS('февраль 2024'!$G$4:$G$1413,'февраль 2024'!$D$4:$D$1413,$B49,'февраль 2024'!$J$4:$J$1413,O$1)</f>
        <v>0</v>
      </c>
      <c r="P49" s="144">
        <f>SUMIFS('февраль 2024'!$G$4:$G$1413,'февраль 2024'!$D$4:$D$1413,$B49,'февраль 2024'!$J$4:$J$1413,P$1)</f>
        <v>0</v>
      </c>
      <c r="Q49" s="144">
        <f>SUMIFS('февраль 2024'!$G$4:$G$1413,'февраль 2024'!$D$4:$D$1413,$B49,'февраль 2024'!$J$4:$J$1413,Q$1)</f>
        <v>0</v>
      </c>
      <c r="R49" s="144">
        <f>SUMIFS('февраль 2024'!$G$4:$G$1413,'февраль 2024'!$D$4:$D$1413,$B49,'февраль 2024'!$J$4:$J$1413,R$1)</f>
        <v>80</v>
      </c>
      <c r="S49" s="144">
        <f>SUMIFS('февраль 2024'!$G$4:$G$1413,'февраль 2024'!$D$4:$D$1413,$B49,'февраль 2024'!$J$4:$J$1413,S$1)</f>
        <v>0</v>
      </c>
      <c r="T49" s="144">
        <f>SUMIFS('февраль 2024'!$G$4:$G$1413,'февраль 2024'!$D$4:$D$1413,$B49,'февраль 2024'!$J$4:$J$1413,T$1)</f>
        <v>0</v>
      </c>
      <c r="U49" s="144">
        <f>SUMIFS('февраль 2024'!$G$4:$G$1413,'февраль 2024'!$D$4:$D$1413,$B49,'февраль 2024'!$J$4:$J$1413,U$1)</f>
        <v>0</v>
      </c>
      <c r="V49" s="144">
        <f>SUMIFS('февраль 2024'!$G$4:$G$1413,'февраль 2024'!$D$4:$D$1413,$B49,'февраль 2024'!$J$4:$J$1413,V$1)</f>
        <v>0</v>
      </c>
      <c r="W49" s="144">
        <f>SUMIFS('февраль 2024'!$G$4:$G$1413,'февраль 2024'!$D$4:$D$1413,$B49,'февраль 2024'!$J$4:$J$1413,W$1)</f>
        <v>315</v>
      </c>
      <c r="X49" s="144">
        <f>SUMIFS('февраль 2024'!$G$4:$G$1413,'февраль 2024'!$D$4:$D$1413,$B49,'февраль 2024'!$J$4:$J$1413,X$1)</f>
        <v>0</v>
      </c>
      <c r="Y49" s="144">
        <f>SUMIFS('февраль 2024'!$G$4:$G$1413,'февраль 2024'!$D$4:$D$1413,$B49,'февраль 2024'!$J$4:$J$1413,Y$1)</f>
        <v>0</v>
      </c>
      <c r="Z49" s="144">
        <f>SUMIFS('февраль 2024'!$G$4:$G$1413,'февраль 2024'!$D$4:$D$1413,$B49,'февраль 2024'!$J$4:$J$1413,Z$1)</f>
        <v>0</v>
      </c>
      <c r="AA49" s="144">
        <f>SUMIFS('февраль 2024'!$G$4:$G$1413,'февраль 2024'!$D$4:$D$1413,$B49,'февраль 2024'!$J$4:$J$1413,AA$1)</f>
        <v>0</v>
      </c>
      <c r="AB49" s="144">
        <f>SUMIFS('февраль 2024'!$G$4:$G$1413,'февраль 2024'!$D$4:$D$1413,$B49,'февраль 2024'!$J$4:$J$1413,AB$1)</f>
        <v>0</v>
      </c>
      <c r="AC49" s="144">
        <f>SUMIFS('февраль 2024'!$G$4:$G$1413,'февраль 2024'!$D$4:$D$1413,$B49,'февраль 2024'!$J$4:$J$1413,AC$1)</f>
        <v>694</v>
      </c>
      <c r="AD49" s="144">
        <f>SUMIFS('февраль 2024'!$G$4:$G$1413,'февраль 2024'!$D$4:$D$1413,$B49,'февраль 2024'!$J$4:$J$1413,AD$1)</f>
        <v>0</v>
      </c>
      <c r="AE49" s="144">
        <f>SUMIFS('февраль 2024'!$G$4:$G$1413,'февраль 2024'!$D$4:$D$1413,$B49,'февраль 2024'!$J$4:$J$1413,AE$1)</f>
        <v>0</v>
      </c>
      <c r="AF49" s="144">
        <f>SUMIFS('февраль 2024'!$G$4:$G$1413,'февраль 2024'!$D$4:$D$1413,$B49,'февраль 2024'!$J$4:$J$1413,AF$1)</f>
        <v>0</v>
      </c>
      <c r="AG49" s="144">
        <f>SUMIFS('февраль 2024'!$G$4:$G$1413,'февраль 2024'!$D$4:$D$1413,$B49,'февраль 2024'!$J$4:$J$1413,AG$1)</f>
        <v>0</v>
      </c>
      <c r="AH49" s="144">
        <f>SUMIFS('февраль 2024'!$G$4:$G$1413,'февраль 2024'!$D$4:$D$1413,$B49,'февраль 2024'!$J$4:$J$1413,AH$1)</f>
        <v>0</v>
      </c>
      <c r="AI49" s="21">
        <f t="shared" si="1"/>
        <v>1089</v>
      </c>
    </row>
    <row r="50" spans="2:35" ht="15" customHeight="1" x14ac:dyDescent="0.25">
      <c r="B50" s="150" t="s">
        <v>316</v>
      </c>
      <c r="C50" s="151">
        <v>20</v>
      </c>
      <c r="D50" s="144">
        <f>SUMIFS('февраль 2024'!$G$4:$G$1413,'февраль 2024'!$D$4:$D$1413,$B50,'февраль 2024'!$J$4:$J$1413,D$1)</f>
        <v>1000</v>
      </c>
      <c r="E50" s="144">
        <f>SUMIFS('февраль 2024'!$G$4:$G$1413,'февраль 2024'!$D$4:$D$1413,$B50,'февраль 2024'!$J$4:$J$1413,E$1)</f>
        <v>0</v>
      </c>
      <c r="F50" s="144">
        <f>SUMIFS('февраль 2024'!$G$4:$G$1413,'февраль 2024'!$D$4:$D$1413,$B50,'февраль 2024'!$J$4:$J$1413,F$1)</f>
        <v>0</v>
      </c>
      <c r="G50" s="144">
        <f>SUMIFS('февраль 2024'!$G$4:$G$1413,'февраль 2024'!$D$4:$D$1413,$B50,'февраль 2024'!$J$4:$J$1413,G$1)</f>
        <v>0</v>
      </c>
      <c r="H50" s="144">
        <f>SUMIFS('февраль 2024'!$G$4:$G$1413,'февраль 2024'!$D$4:$D$1413,$B50,'февраль 2024'!$J$4:$J$1413,H$1)</f>
        <v>0</v>
      </c>
      <c r="I50" s="144">
        <f>SUMIFS('февраль 2024'!$G$4:$G$1413,'февраль 2024'!$D$4:$D$1413,$B50,'февраль 2024'!$J$4:$J$1413,I$1)</f>
        <v>1000</v>
      </c>
      <c r="J50" s="144">
        <f>SUMIFS('февраль 2024'!$G$4:$G$1413,'февраль 2024'!$D$4:$D$1413,$B50,'февраль 2024'!$J$4:$J$1413,J$1)</f>
        <v>0</v>
      </c>
      <c r="K50" s="144">
        <f>SUMIFS('февраль 2024'!$G$4:$G$1413,'февраль 2024'!$D$4:$D$1413,$B50,'февраль 2024'!$J$4:$J$1413,K$1)</f>
        <v>1000</v>
      </c>
      <c r="L50" s="144">
        <f>SUMIFS('февраль 2024'!$G$4:$G$1413,'февраль 2024'!$D$4:$D$1413,$B50,'февраль 2024'!$J$4:$J$1413,L$1)</f>
        <v>0</v>
      </c>
      <c r="M50" s="144">
        <f>SUMIFS('февраль 2024'!$G$4:$G$1413,'февраль 2024'!$D$4:$D$1413,$B50,'февраль 2024'!$J$4:$J$1413,M$1)</f>
        <v>0</v>
      </c>
      <c r="N50" s="144">
        <f>SUMIFS('февраль 2024'!$G$4:$G$1413,'февраль 2024'!$D$4:$D$1413,$B50,'февраль 2024'!$J$4:$J$1413,N$1)</f>
        <v>0</v>
      </c>
      <c r="O50" s="144">
        <f>SUMIFS('февраль 2024'!$G$4:$G$1413,'февраль 2024'!$D$4:$D$1413,$B50,'февраль 2024'!$J$4:$J$1413,O$1)</f>
        <v>0</v>
      </c>
      <c r="P50" s="144">
        <f>SUMIFS('февраль 2024'!$G$4:$G$1413,'февраль 2024'!$D$4:$D$1413,$B50,'февраль 2024'!$J$4:$J$1413,P$1)</f>
        <v>0</v>
      </c>
      <c r="Q50" s="144">
        <f>SUMIFS('февраль 2024'!$G$4:$G$1413,'февраль 2024'!$D$4:$D$1413,$B50,'февраль 2024'!$J$4:$J$1413,Q$1)</f>
        <v>0</v>
      </c>
      <c r="R50" s="144">
        <f>SUMIFS('февраль 2024'!$G$4:$G$1413,'февраль 2024'!$D$4:$D$1413,$B50,'февраль 2024'!$J$4:$J$1413,R$1)</f>
        <v>1000</v>
      </c>
      <c r="S50" s="144">
        <f>SUMIFS('февраль 2024'!$G$4:$G$1413,'февраль 2024'!$D$4:$D$1413,$B50,'февраль 2024'!$J$4:$J$1413,S$1)</f>
        <v>500</v>
      </c>
      <c r="T50" s="144">
        <f>SUMIFS('февраль 2024'!$G$4:$G$1413,'февраль 2024'!$D$4:$D$1413,$B50,'февраль 2024'!$J$4:$J$1413,T$1)</f>
        <v>0</v>
      </c>
      <c r="U50" s="144">
        <f>SUMIFS('февраль 2024'!$G$4:$G$1413,'февраль 2024'!$D$4:$D$1413,$B50,'февраль 2024'!$J$4:$J$1413,U$1)</f>
        <v>0</v>
      </c>
      <c r="V50" s="144">
        <f>SUMIFS('февраль 2024'!$G$4:$G$1413,'февраль 2024'!$D$4:$D$1413,$B50,'февраль 2024'!$J$4:$J$1413,V$1)</f>
        <v>0</v>
      </c>
      <c r="W50" s="144">
        <f>SUMIFS('февраль 2024'!$G$4:$G$1413,'февраль 2024'!$D$4:$D$1413,$B50,'февраль 2024'!$J$4:$J$1413,W$1)</f>
        <v>0</v>
      </c>
      <c r="X50" s="144">
        <f>SUMIFS('февраль 2024'!$G$4:$G$1413,'февраль 2024'!$D$4:$D$1413,$B50,'февраль 2024'!$J$4:$J$1413,X$1)</f>
        <v>0</v>
      </c>
      <c r="Y50" s="144">
        <f>SUMIFS('февраль 2024'!$G$4:$G$1413,'февраль 2024'!$D$4:$D$1413,$B50,'февраль 2024'!$J$4:$J$1413,Y$1)</f>
        <v>700</v>
      </c>
      <c r="Z50" s="144">
        <f>SUMIFS('февраль 2024'!$G$4:$G$1413,'февраль 2024'!$D$4:$D$1413,$B50,'февраль 2024'!$J$4:$J$1413,Z$1)</f>
        <v>0</v>
      </c>
      <c r="AA50" s="144">
        <f>SUMIFS('февраль 2024'!$G$4:$G$1413,'февраль 2024'!$D$4:$D$1413,$B50,'февраль 2024'!$J$4:$J$1413,AA$1)</f>
        <v>0</v>
      </c>
      <c r="AB50" s="144">
        <f>SUMIFS('февраль 2024'!$G$4:$G$1413,'февраль 2024'!$D$4:$D$1413,$B50,'февраль 2024'!$J$4:$J$1413,AB$1)</f>
        <v>0</v>
      </c>
      <c r="AC50" s="144">
        <f>SUMIFS('февраль 2024'!$G$4:$G$1413,'февраль 2024'!$D$4:$D$1413,$B50,'февраль 2024'!$J$4:$J$1413,AC$1)</f>
        <v>1000</v>
      </c>
      <c r="AD50" s="144">
        <f>SUMIFS('февраль 2024'!$G$4:$G$1413,'февраль 2024'!$D$4:$D$1413,$B50,'февраль 2024'!$J$4:$J$1413,AD$1)</f>
        <v>0</v>
      </c>
      <c r="AE50" s="144">
        <f>SUMIFS('февраль 2024'!$G$4:$G$1413,'февраль 2024'!$D$4:$D$1413,$B50,'февраль 2024'!$J$4:$J$1413,AE$1)</f>
        <v>0</v>
      </c>
      <c r="AF50" s="144">
        <f>SUMIFS('февраль 2024'!$G$4:$G$1413,'февраль 2024'!$D$4:$D$1413,$B50,'февраль 2024'!$J$4:$J$1413,AF$1)</f>
        <v>0</v>
      </c>
      <c r="AG50" s="144">
        <f>SUMIFS('февраль 2024'!$G$4:$G$1413,'февраль 2024'!$D$4:$D$1413,$B50,'февраль 2024'!$J$4:$J$1413,AG$1)</f>
        <v>0</v>
      </c>
      <c r="AH50" s="144">
        <f>SUMIFS('февраль 2024'!$G$4:$G$1413,'февраль 2024'!$D$4:$D$1413,$B50,'февраль 2024'!$J$4:$J$1413,AH$1)</f>
        <v>0</v>
      </c>
      <c r="AI50" s="21">
        <f t="shared" si="1"/>
        <v>6200</v>
      </c>
    </row>
    <row r="51" spans="2:35" ht="15" customHeight="1" x14ac:dyDescent="0.25">
      <c r="B51" s="146" t="s">
        <v>317</v>
      </c>
      <c r="C51" s="151">
        <v>20</v>
      </c>
      <c r="D51" s="144">
        <f>SUMIFS('февраль 2024'!$G$4:$G$1413,'февраль 2024'!$D$4:$D$1413,$B51,'февраль 2024'!$J$4:$J$1413,D$1)</f>
        <v>0</v>
      </c>
      <c r="E51" s="144">
        <f>SUMIFS('февраль 2024'!$G$4:$G$1413,'февраль 2024'!$D$4:$D$1413,$B51,'февраль 2024'!$J$4:$J$1413,E$1)</f>
        <v>0</v>
      </c>
      <c r="F51" s="144">
        <f>SUMIFS('февраль 2024'!$G$4:$G$1413,'февраль 2024'!$D$4:$D$1413,$B51,'февраль 2024'!$J$4:$J$1413,F$1)</f>
        <v>0</v>
      </c>
      <c r="G51" s="144">
        <f>SUMIFS('февраль 2024'!$G$4:$G$1413,'февраль 2024'!$D$4:$D$1413,$B51,'февраль 2024'!$J$4:$J$1413,G$1)</f>
        <v>0</v>
      </c>
      <c r="H51" s="144">
        <f>SUMIFS('февраль 2024'!$G$4:$G$1413,'февраль 2024'!$D$4:$D$1413,$B51,'февраль 2024'!$J$4:$J$1413,H$1)</f>
        <v>0</v>
      </c>
      <c r="I51" s="144">
        <f>SUMIFS('февраль 2024'!$G$4:$G$1413,'февраль 2024'!$D$4:$D$1413,$B51,'февраль 2024'!$J$4:$J$1413,I$1)</f>
        <v>0</v>
      </c>
      <c r="J51" s="144">
        <f>SUMIFS('февраль 2024'!$G$4:$G$1413,'февраль 2024'!$D$4:$D$1413,$B51,'февраль 2024'!$J$4:$J$1413,J$1)</f>
        <v>0</v>
      </c>
      <c r="K51" s="144">
        <f>SUMIFS('февраль 2024'!$G$4:$G$1413,'февраль 2024'!$D$4:$D$1413,$B51,'февраль 2024'!$J$4:$J$1413,K$1)</f>
        <v>0</v>
      </c>
      <c r="L51" s="144">
        <f>SUMIFS('февраль 2024'!$G$4:$G$1413,'февраль 2024'!$D$4:$D$1413,$B51,'февраль 2024'!$J$4:$J$1413,L$1)</f>
        <v>0</v>
      </c>
      <c r="M51" s="144">
        <f>SUMIFS('февраль 2024'!$G$4:$G$1413,'февраль 2024'!$D$4:$D$1413,$B51,'февраль 2024'!$J$4:$J$1413,M$1)</f>
        <v>0</v>
      </c>
      <c r="N51" s="144">
        <f>SUMIFS('февраль 2024'!$G$4:$G$1413,'февраль 2024'!$D$4:$D$1413,$B51,'февраль 2024'!$J$4:$J$1413,N$1)</f>
        <v>0</v>
      </c>
      <c r="O51" s="144">
        <f>SUMIFS('февраль 2024'!$G$4:$G$1413,'февраль 2024'!$D$4:$D$1413,$B51,'февраль 2024'!$J$4:$J$1413,O$1)</f>
        <v>0</v>
      </c>
      <c r="P51" s="144">
        <f>SUMIFS('февраль 2024'!$G$4:$G$1413,'февраль 2024'!$D$4:$D$1413,$B51,'февраль 2024'!$J$4:$J$1413,P$1)</f>
        <v>0</v>
      </c>
      <c r="Q51" s="144">
        <f>SUMIFS('февраль 2024'!$G$4:$G$1413,'февраль 2024'!$D$4:$D$1413,$B51,'февраль 2024'!$J$4:$J$1413,Q$1)</f>
        <v>0</v>
      </c>
      <c r="R51" s="144">
        <f>SUMIFS('февраль 2024'!$G$4:$G$1413,'февраль 2024'!$D$4:$D$1413,$B51,'февраль 2024'!$J$4:$J$1413,R$1)</f>
        <v>0</v>
      </c>
      <c r="S51" s="144">
        <f>SUMIFS('февраль 2024'!$G$4:$G$1413,'февраль 2024'!$D$4:$D$1413,$B51,'февраль 2024'!$J$4:$J$1413,S$1)</f>
        <v>0</v>
      </c>
      <c r="T51" s="144">
        <f>SUMIFS('февраль 2024'!$G$4:$G$1413,'февраль 2024'!$D$4:$D$1413,$B51,'февраль 2024'!$J$4:$J$1413,T$1)</f>
        <v>0</v>
      </c>
      <c r="U51" s="144">
        <f>SUMIFS('февраль 2024'!$G$4:$G$1413,'февраль 2024'!$D$4:$D$1413,$B51,'февраль 2024'!$J$4:$J$1413,U$1)</f>
        <v>0</v>
      </c>
      <c r="V51" s="144">
        <f>SUMIFS('февраль 2024'!$G$4:$G$1413,'февраль 2024'!$D$4:$D$1413,$B51,'февраль 2024'!$J$4:$J$1413,V$1)</f>
        <v>0</v>
      </c>
      <c r="W51" s="144">
        <f>SUMIFS('февраль 2024'!$G$4:$G$1413,'февраль 2024'!$D$4:$D$1413,$B51,'февраль 2024'!$J$4:$J$1413,W$1)</f>
        <v>0</v>
      </c>
      <c r="X51" s="144">
        <f>SUMIFS('февраль 2024'!$G$4:$G$1413,'февраль 2024'!$D$4:$D$1413,$B51,'февраль 2024'!$J$4:$J$1413,X$1)</f>
        <v>0</v>
      </c>
      <c r="Y51" s="144">
        <f>SUMIFS('февраль 2024'!$G$4:$G$1413,'февраль 2024'!$D$4:$D$1413,$B51,'февраль 2024'!$J$4:$J$1413,Y$1)</f>
        <v>0</v>
      </c>
      <c r="Z51" s="144">
        <f>SUMIFS('февраль 2024'!$G$4:$G$1413,'февраль 2024'!$D$4:$D$1413,$B51,'февраль 2024'!$J$4:$J$1413,Z$1)</f>
        <v>0</v>
      </c>
      <c r="AA51" s="144">
        <f>SUMIFS('февраль 2024'!$G$4:$G$1413,'февраль 2024'!$D$4:$D$1413,$B51,'февраль 2024'!$J$4:$J$1413,AA$1)</f>
        <v>0</v>
      </c>
      <c r="AB51" s="144">
        <f>SUMIFS('февраль 2024'!$G$4:$G$1413,'февраль 2024'!$D$4:$D$1413,$B51,'февраль 2024'!$J$4:$J$1413,AB$1)</f>
        <v>0</v>
      </c>
      <c r="AC51" s="144">
        <f>SUMIFS('февраль 2024'!$G$4:$G$1413,'февраль 2024'!$D$4:$D$1413,$B51,'февраль 2024'!$J$4:$J$1413,AC$1)</f>
        <v>0</v>
      </c>
      <c r="AD51" s="144">
        <f>SUMIFS('февраль 2024'!$G$4:$G$1413,'февраль 2024'!$D$4:$D$1413,$B51,'февраль 2024'!$J$4:$J$1413,AD$1)</f>
        <v>0</v>
      </c>
      <c r="AE51" s="144">
        <f>SUMIFS('февраль 2024'!$G$4:$G$1413,'февраль 2024'!$D$4:$D$1413,$B51,'февраль 2024'!$J$4:$J$1413,AE$1)</f>
        <v>0</v>
      </c>
      <c r="AF51" s="144">
        <f>SUMIFS('февраль 2024'!$G$4:$G$1413,'февраль 2024'!$D$4:$D$1413,$B51,'февраль 2024'!$J$4:$J$1413,AF$1)</f>
        <v>0</v>
      </c>
      <c r="AG51" s="144">
        <f>SUMIFS('февраль 2024'!$G$4:$G$1413,'февраль 2024'!$D$4:$D$1413,$B51,'февраль 2024'!$J$4:$J$1413,AG$1)</f>
        <v>0</v>
      </c>
      <c r="AH51" s="144">
        <f>SUMIFS('февраль 2024'!$G$4:$G$1413,'февраль 2024'!$D$4:$D$1413,$B51,'февраль 2024'!$J$4:$J$1413,AH$1)</f>
        <v>0</v>
      </c>
      <c r="AI51" s="21">
        <f t="shared" si="1"/>
        <v>0</v>
      </c>
    </row>
    <row r="52" spans="2:35" ht="15" customHeight="1" x14ac:dyDescent="0.25">
      <c r="B52" s="150" t="s">
        <v>318</v>
      </c>
      <c r="C52" s="151">
        <v>20</v>
      </c>
      <c r="D52" s="144">
        <f>SUMIFS('февраль 2024'!$G$4:$G$1413,'февраль 2024'!$D$4:$D$1413,$B52,'февраль 2024'!$J$4:$J$1413,D$1)</f>
        <v>0</v>
      </c>
      <c r="E52" s="144">
        <f>SUMIFS('февраль 2024'!$G$4:$G$1413,'февраль 2024'!$D$4:$D$1413,$B52,'февраль 2024'!$J$4:$J$1413,E$1)</f>
        <v>0</v>
      </c>
      <c r="F52" s="144">
        <f>SUMIFS('февраль 2024'!$G$4:$G$1413,'февраль 2024'!$D$4:$D$1413,$B52,'февраль 2024'!$J$4:$J$1413,F$1)</f>
        <v>0</v>
      </c>
      <c r="G52" s="144">
        <f>SUMIFS('февраль 2024'!$G$4:$G$1413,'февраль 2024'!$D$4:$D$1413,$B52,'февраль 2024'!$J$4:$J$1413,G$1)</f>
        <v>0</v>
      </c>
      <c r="H52" s="144">
        <f>SUMIFS('февраль 2024'!$G$4:$G$1413,'февраль 2024'!$D$4:$D$1413,$B52,'февраль 2024'!$J$4:$J$1413,H$1)</f>
        <v>0</v>
      </c>
      <c r="I52" s="144">
        <f>SUMIFS('февраль 2024'!$G$4:$G$1413,'февраль 2024'!$D$4:$D$1413,$B52,'февраль 2024'!$J$4:$J$1413,I$1)</f>
        <v>0</v>
      </c>
      <c r="J52" s="144">
        <f>SUMIFS('февраль 2024'!$G$4:$G$1413,'февраль 2024'!$D$4:$D$1413,$B52,'февраль 2024'!$J$4:$J$1413,J$1)</f>
        <v>0</v>
      </c>
      <c r="K52" s="144">
        <f>SUMIFS('февраль 2024'!$G$4:$G$1413,'февраль 2024'!$D$4:$D$1413,$B52,'февраль 2024'!$J$4:$J$1413,K$1)</f>
        <v>0</v>
      </c>
      <c r="L52" s="144">
        <f>SUMIFS('февраль 2024'!$G$4:$G$1413,'февраль 2024'!$D$4:$D$1413,$B52,'февраль 2024'!$J$4:$J$1413,L$1)</f>
        <v>0</v>
      </c>
      <c r="M52" s="144">
        <f>SUMIFS('февраль 2024'!$G$4:$G$1413,'февраль 2024'!$D$4:$D$1413,$B52,'февраль 2024'!$J$4:$J$1413,M$1)</f>
        <v>0</v>
      </c>
      <c r="N52" s="144">
        <f>SUMIFS('февраль 2024'!$G$4:$G$1413,'февраль 2024'!$D$4:$D$1413,$B52,'февраль 2024'!$J$4:$J$1413,N$1)</f>
        <v>0</v>
      </c>
      <c r="O52" s="144">
        <f>SUMIFS('февраль 2024'!$G$4:$G$1413,'февраль 2024'!$D$4:$D$1413,$B52,'февраль 2024'!$J$4:$J$1413,O$1)</f>
        <v>0</v>
      </c>
      <c r="P52" s="144">
        <f>SUMIFS('февраль 2024'!$G$4:$G$1413,'февраль 2024'!$D$4:$D$1413,$B52,'февраль 2024'!$J$4:$J$1413,P$1)</f>
        <v>0</v>
      </c>
      <c r="Q52" s="144">
        <f>SUMIFS('февраль 2024'!$G$4:$G$1413,'февраль 2024'!$D$4:$D$1413,$B52,'февраль 2024'!$J$4:$J$1413,Q$1)</f>
        <v>0</v>
      </c>
      <c r="R52" s="144">
        <f>SUMIFS('февраль 2024'!$G$4:$G$1413,'февраль 2024'!$D$4:$D$1413,$B52,'февраль 2024'!$J$4:$J$1413,R$1)</f>
        <v>0</v>
      </c>
      <c r="S52" s="144">
        <f>SUMIFS('февраль 2024'!$G$4:$G$1413,'февраль 2024'!$D$4:$D$1413,$B52,'февраль 2024'!$J$4:$J$1413,S$1)</f>
        <v>0</v>
      </c>
      <c r="T52" s="144">
        <f>SUMIFS('февраль 2024'!$G$4:$G$1413,'февраль 2024'!$D$4:$D$1413,$B52,'февраль 2024'!$J$4:$J$1413,T$1)</f>
        <v>0</v>
      </c>
      <c r="U52" s="144">
        <f>SUMIFS('февраль 2024'!$G$4:$G$1413,'февраль 2024'!$D$4:$D$1413,$B52,'февраль 2024'!$J$4:$J$1413,U$1)</f>
        <v>0</v>
      </c>
      <c r="V52" s="144">
        <f>SUMIFS('февраль 2024'!$G$4:$G$1413,'февраль 2024'!$D$4:$D$1413,$B52,'февраль 2024'!$J$4:$J$1413,V$1)</f>
        <v>0</v>
      </c>
      <c r="W52" s="144">
        <f>SUMIFS('февраль 2024'!$G$4:$G$1413,'февраль 2024'!$D$4:$D$1413,$B52,'февраль 2024'!$J$4:$J$1413,W$1)</f>
        <v>0</v>
      </c>
      <c r="X52" s="144">
        <f>SUMIFS('февраль 2024'!$G$4:$G$1413,'февраль 2024'!$D$4:$D$1413,$B52,'февраль 2024'!$J$4:$J$1413,X$1)</f>
        <v>0</v>
      </c>
      <c r="Y52" s="144">
        <f>SUMIFS('февраль 2024'!$G$4:$G$1413,'февраль 2024'!$D$4:$D$1413,$B52,'февраль 2024'!$J$4:$J$1413,Y$1)</f>
        <v>0</v>
      </c>
      <c r="Z52" s="144">
        <f>SUMIFS('февраль 2024'!$G$4:$G$1413,'февраль 2024'!$D$4:$D$1413,$B52,'февраль 2024'!$J$4:$J$1413,Z$1)</f>
        <v>0</v>
      </c>
      <c r="AA52" s="144">
        <f>SUMIFS('февраль 2024'!$G$4:$G$1413,'февраль 2024'!$D$4:$D$1413,$B52,'февраль 2024'!$J$4:$J$1413,AA$1)</f>
        <v>0</v>
      </c>
      <c r="AB52" s="144">
        <f>SUMIFS('февраль 2024'!$G$4:$G$1413,'февраль 2024'!$D$4:$D$1413,$B52,'февраль 2024'!$J$4:$J$1413,AB$1)</f>
        <v>0</v>
      </c>
      <c r="AC52" s="144">
        <f>SUMIFS('февраль 2024'!$G$4:$G$1413,'февраль 2024'!$D$4:$D$1413,$B52,'февраль 2024'!$J$4:$J$1413,AC$1)</f>
        <v>0</v>
      </c>
      <c r="AD52" s="144">
        <f>SUMIFS('февраль 2024'!$G$4:$G$1413,'февраль 2024'!$D$4:$D$1413,$B52,'февраль 2024'!$J$4:$J$1413,AD$1)</f>
        <v>0</v>
      </c>
      <c r="AE52" s="144">
        <f>SUMIFS('февраль 2024'!$G$4:$G$1413,'февраль 2024'!$D$4:$D$1413,$B52,'февраль 2024'!$J$4:$J$1413,AE$1)</f>
        <v>0</v>
      </c>
      <c r="AF52" s="144">
        <f>SUMIFS('февраль 2024'!$G$4:$G$1413,'февраль 2024'!$D$4:$D$1413,$B52,'февраль 2024'!$J$4:$J$1413,AF$1)</f>
        <v>0</v>
      </c>
      <c r="AG52" s="144">
        <f>SUMIFS('февраль 2024'!$G$4:$G$1413,'февраль 2024'!$D$4:$D$1413,$B52,'февраль 2024'!$J$4:$J$1413,AG$1)</f>
        <v>0</v>
      </c>
      <c r="AH52" s="144">
        <f>SUMIFS('февраль 2024'!$G$4:$G$1413,'февраль 2024'!$D$4:$D$1413,$B52,'февраль 2024'!$J$4:$J$1413,AH$1)</f>
        <v>0</v>
      </c>
      <c r="AI52" s="21">
        <f t="shared" si="1"/>
        <v>0</v>
      </c>
    </row>
    <row r="53" spans="2:35" ht="15" customHeight="1" x14ac:dyDescent="0.25">
      <c r="B53" s="150" t="s">
        <v>319</v>
      </c>
      <c r="C53" s="151">
        <v>20</v>
      </c>
      <c r="D53" s="144">
        <f>SUMIFS('февраль 2024'!$G$4:$G$1413,'февраль 2024'!$D$4:$D$1413,$B53,'февраль 2024'!$J$4:$J$1413,D$1)</f>
        <v>0</v>
      </c>
      <c r="E53" s="144">
        <f>SUMIFS('февраль 2024'!$G$4:$G$1413,'февраль 2024'!$D$4:$D$1413,$B53,'февраль 2024'!$J$4:$J$1413,E$1)</f>
        <v>0</v>
      </c>
      <c r="F53" s="144">
        <f>SUMIFS('февраль 2024'!$G$4:$G$1413,'февраль 2024'!$D$4:$D$1413,$B53,'февраль 2024'!$J$4:$J$1413,F$1)</f>
        <v>0</v>
      </c>
      <c r="G53" s="144">
        <f>SUMIFS('февраль 2024'!$G$4:$G$1413,'февраль 2024'!$D$4:$D$1413,$B53,'февраль 2024'!$J$4:$J$1413,G$1)</f>
        <v>0</v>
      </c>
      <c r="H53" s="144">
        <f>SUMIFS('февраль 2024'!$G$4:$G$1413,'февраль 2024'!$D$4:$D$1413,$B53,'февраль 2024'!$J$4:$J$1413,H$1)</f>
        <v>0</v>
      </c>
      <c r="I53" s="144">
        <f>SUMIFS('февраль 2024'!$G$4:$G$1413,'февраль 2024'!$D$4:$D$1413,$B53,'февраль 2024'!$J$4:$J$1413,I$1)</f>
        <v>0</v>
      </c>
      <c r="J53" s="144">
        <f>SUMIFS('февраль 2024'!$G$4:$G$1413,'февраль 2024'!$D$4:$D$1413,$B53,'февраль 2024'!$J$4:$J$1413,J$1)</f>
        <v>0</v>
      </c>
      <c r="K53" s="144">
        <f>SUMIFS('февраль 2024'!$G$4:$G$1413,'февраль 2024'!$D$4:$D$1413,$B53,'февраль 2024'!$J$4:$J$1413,K$1)</f>
        <v>0</v>
      </c>
      <c r="L53" s="144">
        <f>SUMIFS('февраль 2024'!$G$4:$G$1413,'февраль 2024'!$D$4:$D$1413,$B53,'февраль 2024'!$J$4:$J$1413,L$1)</f>
        <v>0</v>
      </c>
      <c r="M53" s="144">
        <f>SUMIFS('февраль 2024'!$G$4:$G$1413,'февраль 2024'!$D$4:$D$1413,$B53,'февраль 2024'!$J$4:$J$1413,M$1)</f>
        <v>0</v>
      </c>
      <c r="N53" s="144">
        <f>SUMIFS('февраль 2024'!$G$4:$G$1413,'февраль 2024'!$D$4:$D$1413,$B53,'февраль 2024'!$J$4:$J$1413,N$1)</f>
        <v>0</v>
      </c>
      <c r="O53" s="144">
        <f>SUMIFS('февраль 2024'!$G$4:$G$1413,'февраль 2024'!$D$4:$D$1413,$B53,'февраль 2024'!$J$4:$J$1413,O$1)</f>
        <v>0</v>
      </c>
      <c r="P53" s="144">
        <f>SUMIFS('февраль 2024'!$G$4:$G$1413,'февраль 2024'!$D$4:$D$1413,$B53,'февраль 2024'!$J$4:$J$1413,P$1)</f>
        <v>0</v>
      </c>
      <c r="Q53" s="144">
        <f>SUMIFS('февраль 2024'!$G$4:$G$1413,'февраль 2024'!$D$4:$D$1413,$B53,'февраль 2024'!$J$4:$J$1413,Q$1)</f>
        <v>0</v>
      </c>
      <c r="R53" s="144">
        <f>SUMIFS('февраль 2024'!$G$4:$G$1413,'февраль 2024'!$D$4:$D$1413,$B53,'февраль 2024'!$J$4:$J$1413,R$1)</f>
        <v>0</v>
      </c>
      <c r="S53" s="144">
        <f>SUMIFS('февраль 2024'!$G$4:$G$1413,'февраль 2024'!$D$4:$D$1413,$B53,'февраль 2024'!$J$4:$J$1413,S$1)</f>
        <v>0</v>
      </c>
      <c r="T53" s="144">
        <f>SUMIFS('февраль 2024'!$G$4:$G$1413,'февраль 2024'!$D$4:$D$1413,$B53,'февраль 2024'!$J$4:$J$1413,T$1)</f>
        <v>0</v>
      </c>
      <c r="U53" s="144">
        <f>SUMIFS('февраль 2024'!$G$4:$G$1413,'февраль 2024'!$D$4:$D$1413,$B53,'февраль 2024'!$J$4:$J$1413,U$1)</f>
        <v>0</v>
      </c>
      <c r="V53" s="144">
        <f>SUMIFS('февраль 2024'!$G$4:$G$1413,'февраль 2024'!$D$4:$D$1413,$B53,'февраль 2024'!$J$4:$J$1413,V$1)</f>
        <v>0</v>
      </c>
      <c r="W53" s="144">
        <f>SUMIFS('февраль 2024'!$G$4:$G$1413,'февраль 2024'!$D$4:$D$1413,$B53,'февраль 2024'!$J$4:$J$1413,W$1)</f>
        <v>0</v>
      </c>
      <c r="X53" s="144">
        <f>SUMIFS('февраль 2024'!$G$4:$G$1413,'февраль 2024'!$D$4:$D$1413,$B53,'февраль 2024'!$J$4:$J$1413,X$1)</f>
        <v>0</v>
      </c>
      <c r="Y53" s="144">
        <f>SUMIFS('февраль 2024'!$G$4:$G$1413,'февраль 2024'!$D$4:$D$1413,$B53,'февраль 2024'!$J$4:$J$1413,Y$1)</f>
        <v>0</v>
      </c>
      <c r="Z53" s="144">
        <f>SUMIFS('февраль 2024'!$G$4:$G$1413,'февраль 2024'!$D$4:$D$1413,$B53,'февраль 2024'!$J$4:$J$1413,Z$1)</f>
        <v>0</v>
      </c>
      <c r="AA53" s="144">
        <f>SUMIFS('февраль 2024'!$G$4:$G$1413,'февраль 2024'!$D$4:$D$1413,$B53,'февраль 2024'!$J$4:$J$1413,AA$1)</f>
        <v>0</v>
      </c>
      <c r="AB53" s="144">
        <f>SUMIFS('февраль 2024'!$G$4:$G$1413,'февраль 2024'!$D$4:$D$1413,$B53,'февраль 2024'!$J$4:$J$1413,AB$1)</f>
        <v>0</v>
      </c>
      <c r="AC53" s="144">
        <f>SUMIFS('февраль 2024'!$G$4:$G$1413,'февраль 2024'!$D$4:$D$1413,$B53,'февраль 2024'!$J$4:$J$1413,AC$1)</f>
        <v>0</v>
      </c>
      <c r="AD53" s="144">
        <f>SUMIFS('февраль 2024'!$G$4:$G$1413,'февраль 2024'!$D$4:$D$1413,$B53,'февраль 2024'!$J$4:$J$1413,AD$1)</f>
        <v>0</v>
      </c>
      <c r="AE53" s="144">
        <f>SUMIFS('февраль 2024'!$G$4:$G$1413,'февраль 2024'!$D$4:$D$1413,$B53,'февраль 2024'!$J$4:$J$1413,AE$1)</f>
        <v>0</v>
      </c>
      <c r="AF53" s="144">
        <f>SUMIFS('февраль 2024'!$G$4:$G$1413,'февраль 2024'!$D$4:$D$1413,$B53,'февраль 2024'!$J$4:$J$1413,AF$1)</f>
        <v>0</v>
      </c>
      <c r="AG53" s="144">
        <f>SUMIFS('февраль 2024'!$G$4:$G$1413,'февраль 2024'!$D$4:$D$1413,$B53,'февраль 2024'!$J$4:$J$1413,AG$1)</f>
        <v>0</v>
      </c>
      <c r="AH53" s="144">
        <f>SUMIFS('февраль 2024'!$G$4:$G$1413,'февраль 2024'!$D$4:$D$1413,$B53,'февраль 2024'!$J$4:$J$1413,AH$1)</f>
        <v>0</v>
      </c>
      <c r="AI53" s="21">
        <f t="shared" si="1"/>
        <v>0</v>
      </c>
    </row>
    <row r="54" spans="2:35" ht="15" customHeight="1" x14ac:dyDescent="0.25">
      <c r="B54" s="150"/>
      <c r="C54" s="151"/>
      <c r="D54" s="144">
        <f>SUMIFS('февраль 2024'!$G$4:$G$1413,'февраль 2024'!$D$4:$D$1413,$B54,'февраль 2024'!$J$4:$J$1413,D$1)</f>
        <v>0</v>
      </c>
      <c r="E54" s="144">
        <f>SUMIFS('февраль 2024'!$G$4:$G$1413,'февраль 2024'!$D$4:$D$1413,$B54,'февраль 2024'!$J$4:$J$1413,E$1)</f>
        <v>0</v>
      </c>
      <c r="F54" s="144">
        <f>SUMIFS('февраль 2024'!$G$4:$G$1413,'февраль 2024'!$D$4:$D$1413,$B54,'февраль 2024'!$J$4:$J$1413,F$1)</f>
        <v>0</v>
      </c>
      <c r="G54" s="144">
        <f>SUMIFS('февраль 2024'!$G$4:$G$1413,'февраль 2024'!$D$4:$D$1413,$B54,'февраль 2024'!$J$4:$J$1413,G$1)</f>
        <v>0</v>
      </c>
      <c r="H54" s="144">
        <f>SUMIFS('февраль 2024'!$G$4:$G$1413,'февраль 2024'!$D$4:$D$1413,$B54,'февраль 2024'!$J$4:$J$1413,H$1)</f>
        <v>0</v>
      </c>
      <c r="I54" s="144">
        <f>SUMIFS('февраль 2024'!$G$4:$G$1413,'февраль 2024'!$D$4:$D$1413,$B54,'февраль 2024'!$J$4:$J$1413,I$1)</f>
        <v>0</v>
      </c>
      <c r="J54" s="144">
        <f>SUMIFS('февраль 2024'!$G$4:$G$1413,'февраль 2024'!$D$4:$D$1413,$B54,'февраль 2024'!$J$4:$J$1413,J$1)</f>
        <v>0</v>
      </c>
      <c r="K54" s="144">
        <f>SUMIFS('февраль 2024'!$G$4:$G$1413,'февраль 2024'!$D$4:$D$1413,$B54,'февраль 2024'!$J$4:$J$1413,K$1)</f>
        <v>0</v>
      </c>
      <c r="L54" s="144">
        <f>SUMIFS('февраль 2024'!$G$4:$G$1413,'февраль 2024'!$D$4:$D$1413,$B54,'февраль 2024'!$J$4:$J$1413,L$1)</f>
        <v>0</v>
      </c>
      <c r="M54" s="144">
        <f>SUMIFS('февраль 2024'!$G$4:$G$1413,'февраль 2024'!$D$4:$D$1413,$B54,'февраль 2024'!$J$4:$J$1413,M$1)</f>
        <v>0</v>
      </c>
      <c r="N54" s="144">
        <f>SUMIFS('февраль 2024'!$G$4:$G$1413,'февраль 2024'!$D$4:$D$1413,$B54,'февраль 2024'!$J$4:$J$1413,N$1)</f>
        <v>0</v>
      </c>
      <c r="O54" s="144">
        <f>SUMIFS('февраль 2024'!$G$4:$G$1413,'февраль 2024'!$D$4:$D$1413,$B54,'февраль 2024'!$J$4:$J$1413,O$1)</f>
        <v>0</v>
      </c>
      <c r="P54" s="144">
        <f>SUMIFS('февраль 2024'!$G$4:$G$1413,'февраль 2024'!$D$4:$D$1413,$B54,'февраль 2024'!$J$4:$J$1413,P$1)</f>
        <v>0</v>
      </c>
      <c r="Q54" s="144">
        <f>SUMIFS('февраль 2024'!$G$4:$G$1413,'февраль 2024'!$D$4:$D$1413,$B54,'февраль 2024'!$J$4:$J$1413,Q$1)</f>
        <v>0</v>
      </c>
      <c r="R54" s="144">
        <f>SUMIFS('февраль 2024'!$G$4:$G$1413,'февраль 2024'!$D$4:$D$1413,$B54,'февраль 2024'!$J$4:$J$1413,R$1)</f>
        <v>0</v>
      </c>
      <c r="S54" s="144">
        <f>SUMIFS('февраль 2024'!$G$4:$G$1413,'февраль 2024'!$D$4:$D$1413,$B54,'февраль 2024'!$J$4:$J$1413,S$1)</f>
        <v>0</v>
      </c>
      <c r="T54" s="144">
        <f>SUMIFS('февраль 2024'!$G$4:$G$1413,'февраль 2024'!$D$4:$D$1413,$B54,'февраль 2024'!$J$4:$J$1413,T$1)</f>
        <v>0</v>
      </c>
      <c r="U54" s="144">
        <f>SUMIFS('февраль 2024'!$G$4:$G$1413,'февраль 2024'!$D$4:$D$1413,$B54,'февраль 2024'!$J$4:$J$1413,U$1)</f>
        <v>0</v>
      </c>
      <c r="V54" s="144">
        <f>SUMIFS('февраль 2024'!$G$4:$G$1413,'февраль 2024'!$D$4:$D$1413,$B54,'февраль 2024'!$J$4:$J$1413,V$1)</f>
        <v>0</v>
      </c>
      <c r="W54" s="144">
        <f>SUMIFS('февраль 2024'!$G$4:$G$1413,'февраль 2024'!$D$4:$D$1413,$B54,'февраль 2024'!$J$4:$J$1413,W$1)</f>
        <v>0</v>
      </c>
      <c r="X54" s="144">
        <f>SUMIFS('февраль 2024'!$G$4:$G$1413,'февраль 2024'!$D$4:$D$1413,$B54,'февраль 2024'!$J$4:$J$1413,X$1)</f>
        <v>0</v>
      </c>
      <c r="Y54" s="144">
        <f>SUMIFS('февраль 2024'!$G$4:$G$1413,'февраль 2024'!$D$4:$D$1413,$B54,'февраль 2024'!$J$4:$J$1413,Y$1)</f>
        <v>0</v>
      </c>
      <c r="Z54" s="144">
        <f>SUMIFS('февраль 2024'!$G$4:$G$1413,'февраль 2024'!$D$4:$D$1413,$B54,'февраль 2024'!$J$4:$J$1413,Z$1)</f>
        <v>0</v>
      </c>
      <c r="AA54" s="144">
        <f>SUMIFS('февраль 2024'!$G$4:$G$1413,'февраль 2024'!$D$4:$D$1413,$B54,'февраль 2024'!$J$4:$J$1413,AA$1)</f>
        <v>0</v>
      </c>
      <c r="AB54" s="144">
        <f>SUMIFS('февраль 2024'!$G$4:$G$1413,'февраль 2024'!$D$4:$D$1413,$B54,'февраль 2024'!$J$4:$J$1413,AB$1)</f>
        <v>0</v>
      </c>
      <c r="AC54" s="144">
        <f>SUMIFS('февраль 2024'!$G$4:$G$1413,'февраль 2024'!$D$4:$D$1413,$B54,'февраль 2024'!$J$4:$J$1413,AC$1)</f>
        <v>0</v>
      </c>
      <c r="AD54" s="144">
        <f>SUMIFS('февраль 2024'!$G$4:$G$1413,'февраль 2024'!$D$4:$D$1413,$B54,'февраль 2024'!$J$4:$J$1413,AD$1)</f>
        <v>0</v>
      </c>
      <c r="AE54" s="144">
        <f>SUMIFS('февраль 2024'!$G$4:$G$1413,'февраль 2024'!$D$4:$D$1413,$B54,'февраль 2024'!$J$4:$J$1413,AE$1)</f>
        <v>0</v>
      </c>
      <c r="AF54" s="144">
        <f>SUMIFS('февраль 2024'!$G$4:$G$1413,'февраль 2024'!$D$4:$D$1413,$B54,'февраль 2024'!$J$4:$J$1413,AF$1)</f>
        <v>0</v>
      </c>
      <c r="AG54" s="144">
        <f>SUMIFS('февраль 2024'!$G$4:$G$1413,'февраль 2024'!$D$4:$D$1413,$B54,'февраль 2024'!$J$4:$J$1413,AG$1)</f>
        <v>0</v>
      </c>
      <c r="AH54" s="144">
        <f>SUMIFS('февраль 2024'!$G$4:$G$1413,'февраль 2024'!$D$4:$D$1413,$B54,'февраль 2024'!$J$4:$J$1413,AH$1)</f>
        <v>0</v>
      </c>
      <c r="AI54" s="21">
        <f t="shared" si="1"/>
        <v>0</v>
      </c>
    </row>
    <row r="55" spans="2:35" ht="15" customHeight="1" x14ac:dyDescent="0.25">
      <c r="B55" s="150"/>
      <c r="C55" s="151"/>
      <c r="D55" s="144">
        <f>SUMIFS('февраль 2024'!$G$4:$G$1413,'февраль 2024'!$D$4:$D$1413,$B55,'февраль 2024'!$J$4:$J$1413,D$1)</f>
        <v>0</v>
      </c>
      <c r="E55" s="144">
        <f>SUMIFS('февраль 2024'!$G$4:$G$1413,'февраль 2024'!$D$4:$D$1413,$B55,'февраль 2024'!$J$4:$J$1413,E$1)</f>
        <v>0</v>
      </c>
      <c r="F55" s="144">
        <f>SUMIFS('февраль 2024'!$G$4:$G$1413,'февраль 2024'!$D$4:$D$1413,$B55,'февраль 2024'!$J$4:$J$1413,F$1)</f>
        <v>0</v>
      </c>
      <c r="G55" s="144">
        <f>SUMIFS('февраль 2024'!$G$4:$G$1413,'февраль 2024'!$D$4:$D$1413,$B55,'февраль 2024'!$J$4:$J$1413,G$1)</f>
        <v>0</v>
      </c>
      <c r="H55" s="144">
        <f>SUMIFS('февраль 2024'!$G$4:$G$1413,'февраль 2024'!$D$4:$D$1413,$B55,'февраль 2024'!$J$4:$J$1413,H$1)</f>
        <v>0</v>
      </c>
      <c r="I55" s="144">
        <f>SUMIFS('февраль 2024'!$G$4:$G$1413,'февраль 2024'!$D$4:$D$1413,$B55,'февраль 2024'!$J$4:$J$1413,I$1)</f>
        <v>0</v>
      </c>
      <c r="J55" s="144">
        <f>SUMIFS('февраль 2024'!$G$4:$G$1413,'февраль 2024'!$D$4:$D$1413,$B55,'февраль 2024'!$J$4:$J$1413,J$1)</f>
        <v>0</v>
      </c>
      <c r="K55" s="144">
        <f>SUMIFS('февраль 2024'!$G$4:$G$1413,'февраль 2024'!$D$4:$D$1413,$B55,'февраль 2024'!$J$4:$J$1413,K$1)</f>
        <v>0</v>
      </c>
      <c r="L55" s="144">
        <f>SUMIFS('февраль 2024'!$G$4:$G$1413,'февраль 2024'!$D$4:$D$1413,$B55,'февраль 2024'!$J$4:$J$1413,L$1)</f>
        <v>0</v>
      </c>
      <c r="M55" s="144">
        <f>SUMIFS('февраль 2024'!$G$4:$G$1413,'февраль 2024'!$D$4:$D$1413,$B55,'февраль 2024'!$J$4:$J$1413,M$1)</f>
        <v>0</v>
      </c>
      <c r="N55" s="144">
        <f>SUMIFS('февраль 2024'!$G$4:$G$1413,'февраль 2024'!$D$4:$D$1413,$B55,'февраль 2024'!$J$4:$J$1413,N$1)</f>
        <v>0</v>
      </c>
      <c r="O55" s="144">
        <f>SUMIFS('февраль 2024'!$G$4:$G$1413,'февраль 2024'!$D$4:$D$1413,$B55,'февраль 2024'!$J$4:$J$1413,O$1)</f>
        <v>0</v>
      </c>
      <c r="P55" s="144">
        <f>SUMIFS('февраль 2024'!$G$4:$G$1413,'февраль 2024'!$D$4:$D$1413,$B55,'февраль 2024'!$J$4:$J$1413,P$1)</f>
        <v>0</v>
      </c>
      <c r="Q55" s="144">
        <f>SUMIFS('февраль 2024'!$G$4:$G$1413,'февраль 2024'!$D$4:$D$1413,$B55,'февраль 2024'!$J$4:$J$1413,Q$1)</f>
        <v>0</v>
      </c>
      <c r="R55" s="144">
        <f>SUMIFS('февраль 2024'!$G$4:$G$1413,'февраль 2024'!$D$4:$D$1413,$B55,'февраль 2024'!$J$4:$J$1413,R$1)</f>
        <v>0</v>
      </c>
      <c r="S55" s="144">
        <f>SUMIFS('февраль 2024'!$G$4:$G$1413,'февраль 2024'!$D$4:$D$1413,$B55,'февраль 2024'!$J$4:$J$1413,S$1)</f>
        <v>0</v>
      </c>
      <c r="T55" s="144">
        <f>SUMIFS('февраль 2024'!$G$4:$G$1413,'февраль 2024'!$D$4:$D$1413,$B55,'февраль 2024'!$J$4:$J$1413,T$1)</f>
        <v>0</v>
      </c>
      <c r="U55" s="144">
        <f>SUMIFS('февраль 2024'!$G$4:$G$1413,'февраль 2024'!$D$4:$D$1413,$B55,'февраль 2024'!$J$4:$J$1413,U$1)</f>
        <v>0</v>
      </c>
      <c r="V55" s="144">
        <f>SUMIFS('февраль 2024'!$G$4:$G$1413,'февраль 2024'!$D$4:$D$1413,$B55,'февраль 2024'!$J$4:$J$1413,V$1)</f>
        <v>0</v>
      </c>
      <c r="W55" s="144">
        <f>SUMIFS('февраль 2024'!$G$4:$G$1413,'февраль 2024'!$D$4:$D$1413,$B55,'февраль 2024'!$J$4:$J$1413,W$1)</f>
        <v>0</v>
      </c>
      <c r="X55" s="144">
        <f>SUMIFS('февраль 2024'!$G$4:$G$1413,'февраль 2024'!$D$4:$D$1413,$B55,'февраль 2024'!$J$4:$J$1413,X$1)</f>
        <v>0</v>
      </c>
      <c r="Y55" s="144">
        <f>SUMIFS('февраль 2024'!$G$4:$G$1413,'февраль 2024'!$D$4:$D$1413,$B55,'февраль 2024'!$J$4:$J$1413,Y$1)</f>
        <v>0</v>
      </c>
      <c r="Z55" s="144">
        <f>SUMIFS('февраль 2024'!$G$4:$G$1413,'февраль 2024'!$D$4:$D$1413,$B55,'февраль 2024'!$J$4:$J$1413,Z$1)</f>
        <v>0</v>
      </c>
      <c r="AA55" s="144">
        <f>SUMIFS('февраль 2024'!$G$4:$G$1413,'февраль 2024'!$D$4:$D$1413,$B55,'февраль 2024'!$J$4:$J$1413,AA$1)</f>
        <v>0</v>
      </c>
      <c r="AB55" s="144">
        <f>SUMIFS('февраль 2024'!$G$4:$G$1413,'февраль 2024'!$D$4:$D$1413,$B55,'февраль 2024'!$J$4:$J$1413,AB$1)</f>
        <v>0</v>
      </c>
      <c r="AC55" s="144">
        <f>SUMIFS('февраль 2024'!$G$4:$G$1413,'февраль 2024'!$D$4:$D$1413,$B55,'февраль 2024'!$J$4:$J$1413,AC$1)</f>
        <v>0</v>
      </c>
      <c r="AD55" s="144">
        <f>SUMIFS('февраль 2024'!$G$4:$G$1413,'февраль 2024'!$D$4:$D$1413,$B55,'февраль 2024'!$J$4:$J$1413,AD$1)</f>
        <v>0</v>
      </c>
      <c r="AE55" s="144">
        <f>SUMIFS('февраль 2024'!$G$4:$G$1413,'февраль 2024'!$D$4:$D$1413,$B55,'февраль 2024'!$J$4:$J$1413,AE$1)</f>
        <v>0</v>
      </c>
      <c r="AF55" s="144">
        <f>SUMIFS('февраль 2024'!$G$4:$G$1413,'февраль 2024'!$D$4:$D$1413,$B55,'февраль 2024'!$J$4:$J$1413,AF$1)</f>
        <v>0</v>
      </c>
      <c r="AG55" s="144">
        <f>SUMIFS('февраль 2024'!$G$4:$G$1413,'февраль 2024'!$D$4:$D$1413,$B55,'февраль 2024'!$J$4:$J$1413,AG$1)</f>
        <v>0</v>
      </c>
      <c r="AH55" s="144">
        <f>SUMIFS('февраль 2024'!$G$4:$G$1413,'февраль 2024'!$D$4:$D$1413,$B55,'февраль 2024'!$J$4:$J$1413,AH$1)</f>
        <v>0</v>
      </c>
      <c r="AI55" s="21">
        <f t="shared" si="1"/>
        <v>0</v>
      </c>
    </row>
    <row r="56" spans="2:35" ht="15" customHeight="1" x14ac:dyDescent="0.25">
      <c r="B56" s="155"/>
      <c r="C56" s="151"/>
      <c r="D56" s="144">
        <f>SUMIFS('февраль 2024'!$G$4:$G$1413,'февраль 2024'!$D$4:$D$1413,$B56,'февраль 2024'!$J$4:$J$1413,D$1)</f>
        <v>0</v>
      </c>
      <c r="E56" s="144">
        <f>SUMIFS('февраль 2024'!$G$4:$G$1413,'февраль 2024'!$D$4:$D$1413,$B56,'февраль 2024'!$J$4:$J$1413,E$1)</f>
        <v>0</v>
      </c>
      <c r="F56" s="144">
        <f>SUMIFS('февраль 2024'!$G$4:$G$1413,'февраль 2024'!$D$4:$D$1413,$B56,'февраль 2024'!$J$4:$J$1413,F$1)</f>
        <v>0</v>
      </c>
      <c r="G56" s="144">
        <f>SUMIFS('февраль 2024'!$G$4:$G$1413,'февраль 2024'!$D$4:$D$1413,$B56,'февраль 2024'!$J$4:$J$1413,G$1)</f>
        <v>0</v>
      </c>
      <c r="H56" s="144">
        <f>SUMIFS('февраль 2024'!$G$4:$G$1413,'февраль 2024'!$D$4:$D$1413,$B56,'февраль 2024'!$J$4:$J$1413,H$1)</f>
        <v>0</v>
      </c>
      <c r="I56" s="144">
        <f>SUMIFS('февраль 2024'!$G$4:$G$1413,'февраль 2024'!$D$4:$D$1413,$B56,'февраль 2024'!$J$4:$J$1413,I$1)</f>
        <v>0</v>
      </c>
      <c r="J56" s="144">
        <f>SUMIFS('февраль 2024'!$G$4:$G$1413,'февраль 2024'!$D$4:$D$1413,$B56,'февраль 2024'!$J$4:$J$1413,J$1)</f>
        <v>0</v>
      </c>
      <c r="K56" s="144">
        <f>SUMIFS('февраль 2024'!$G$4:$G$1413,'февраль 2024'!$D$4:$D$1413,$B56,'февраль 2024'!$J$4:$J$1413,K$1)</f>
        <v>0</v>
      </c>
      <c r="L56" s="144">
        <f>SUMIFS('февраль 2024'!$G$4:$G$1413,'февраль 2024'!$D$4:$D$1413,$B56,'февраль 2024'!$J$4:$J$1413,L$1)</f>
        <v>0</v>
      </c>
      <c r="M56" s="144">
        <f>SUMIFS('февраль 2024'!$G$4:$G$1413,'февраль 2024'!$D$4:$D$1413,$B56,'февраль 2024'!$J$4:$J$1413,M$1)</f>
        <v>0</v>
      </c>
      <c r="N56" s="144">
        <f>SUMIFS('февраль 2024'!$G$4:$G$1413,'февраль 2024'!$D$4:$D$1413,$B56,'февраль 2024'!$J$4:$J$1413,N$1)</f>
        <v>0</v>
      </c>
      <c r="O56" s="144">
        <f>SUMIFS('февраль 2024'!$G$4:$G$1413,'февраль 2024'!$D$4:$D$1413,$B56,'февраль 2024'!$J$4:$J$1413,O$1)</f>
        <v>0</v>
      </c>
      <c r="P56" s="144">
        <f>SUMIFS('февраль 2024'!$G$4:$G$1413,'февраль 2024'!$D$4:$D$1413,$B56,'февраль 2024'!$J$4:$J$1413,P$1)</f>
        <v>0</v>
      </c>
      <c r="Q56" s="144">
        <f>SUMIFS('февраль 2024'!$G$4:$G$1413,'февраль 2024'!$D$4:$D$1413,$B56,'февраль 2024'!$J$4:$J$1413,Q$1)</f>
        <v>0</v>
      </c>
      <c r="R56" s="144">
        <f>SUMIFS('февраль 2024'!$G$4:$G$1413,'февраль 2024'!$D$4:$D$1413,$B56,'февраль 2024'!$J$4:$J$1413,R$1)</f>
        <v>0</v>
      </c>
      <c r="S56" s="144">
        <f>SUMIFS('февраль 2024'!$G$4:$G$1413,'февраль 2024'!$D$4:$D$1413,$B56,'февраль 2024'!$J$4:$J$1413,S$1)</f>
        <v>0</v>
      </c>
      <c r="T56" s="144">
        <f>SUMIFS('февраль 2024'!$G$4:$G$1413,'февраль 2024'!$D$4:$D$1413,$B56,'февраль 2024'!$J$4:$J$1413,T$1)</f>
        <v>0</v>
      </c>
      <c r="U56" s="144">
        <f>SUMIFS('февраль 2024'!$G$4:$G$1413,'февраль 2024'!$D$4:$D$1413,$B56,'февраль 2024'!$J$4:$J$1413,U$1)</f>
        <v>0</v>
      </c>
      <c r="V56" s="144">
        <f>SUMIFS('февраль 2024'!$G$4:$G$1413,'февраль 2024'!$D$4:$D$1413,$B56,'февраль 2024'!$J$4:$J$1413,V$1)</f>
        <v>0</v>
      </c>
      <c r="W56" s="144">
        <f>SUMIFS('февраль 2024'!$G$4:$G$1413,'февраль 2024'!$D$4:$D$1413,$B56,'февраль 2024'!$J$4:$J$1413,W$1)</f>
        <v>0</v>
      </c>
      <c r="X56" s="144">
        <f>SUMIFS('февраль 2024'!$G$4:$G$1413,'февраль 2024'!$D$4:$D$1413,$B56,'февраль 2024'!$J$4:$J$1413,X$1)</f>
        <v>0</v>
      </c>
      <c r="Y56" s="144">
        <f>SUMIFS('февраль 2024'!$G$4:$G$1413,'февраль 2024'!$D$4:$D$1413,$B56,'февраль 2024'!$J$4:$J$1413,Y$1)</f>
        <v>0</v>
      </c>
      <c r="Z56" s="144">
        <f>SUMIFS('февраль 2024'!$G$4:$G$1413,'февраль 2024'!$D$4:$D$1413,$B56,'февраль 2024'!$J$4:$J$1413,Z$1)</f>
        <v>0</v>
      </c>
      <c r="AA56" s="144">
        <f>SUMIFS('февраль 2024'!$G$4:$G$1413,'февраль 2024'!$D$4:$D$1413,$B56,'февраль 2024'!$J$4:$J$1413,AA$1)</f>
        <v>0</v>
      </c>
      <c r="AB56" s="144">
        <f>SUMIFS('февраль 2024'!$G$4:$G$1413,'февраль 2024'!$D$4:$D$1413,$B56,'февраль 2024'!$J$4:$J$1413,AB$1)</f>
        <v>0</v>
      </c>
      <c r="AC56" s="144">
        <f>SUMIFS('февраль 2024'!$G$4:$G$1413,'февраль 2024'!$D$4:$D$1413,$B56,'февраль 2024'!$J$4:$J$1413,AC$1)</f>
        <v>0</v>
      </c>
      <c r="AD56" s="144">
        <f>SUMIFS('февраль 2024'!$G$4:$G$1413,'февраль 2024'!$D$4:$D$1413,$B56,'февраль 2024'!$J$4:$J$1413,AD$1)</f>
        <v>0</v>
      </c>
      <c r="AE56" s="144">
        <f>SUMIFS('февраль 2024'!$G$4:$G$1413,'февраль 2024'!$D$4:$D$1413,$B56,'февраль 2024'!$J$4:$J$1413,AE$1)</f>
        <v>0</v>
      </c>
      <c r="AF56" s="144">
        <f>SUMIFS('февраль 2024'!$G$4:$G$1413,'февраль 2024'!$D$4:$D$1413,$B56,'февраль 2024'!$J$4:$J$1413,AF$1)</f>
        <v>0</v>
      </c>
      <c r="AG56" s="144">
        <f>SUMIFS('февраль 2024'!$G$4:$G$1413,'февраль 2024'!$D$4:$D$1413,$B56,'февраль 2024'!$J$4:$J$1413,AG$1)</f>
        <v>0</v>
      </c>
      <c r="AH56" s="144">
        <f>SUMIFS('февраль 2024'!$G$4:$G$1413,'февраль 2024'!$D$4:$D$1413,$B56,'февраль 2024'!$J$4:$J$1413,AH$1)</f>
        <v>0</v>
      </c>
      <c r="AI56" s="21">
        <f t="shared" si="1"/>
        <v>0</v>
      </c>
    </row>
    <row r="57" spans="2:35" ht="15" customHeight="1" x14ac:dyDescent="0.25">
      <c r="B57" s="155"/>
      <c r="C57" s="151"/>
      <c r="D57" s="144">
        <f>SUMIFS('февраль 2024'!$G$4:$G$1413,'февраль 2024'!$D$4:$D$1413,$B57,'февраль 2024'!$J$4:$J$1413,D$1)</f>
        <v>0</v>
      </c>
      <c r="E57" s="144">
        <f>SUMIFS('февраль 2024'!$G$4:$G$1413,'февраль 2024'!$D$4:$D$1413,$B57,'февраль 2024'!$J$4:$J$1413,E$1)</f>
        <v>0</v>
      </c>
      <c r="F57" s="144">
        <f>SUMIFS('февраль 2024'!$G$4:$G$1413,'февраль 2024'!$D$4:$D$1413,$B57,'февраль 2024'!$J$4:$J$1413,F$1)</f>
        <v>0</v>
      </c>
      <c r="G57" s="144">
        <f>SUMIFS('февраль 2024'!$G$4:$G$1413,'февраль 2024'!$D$4:$D$1413,$B57,'февраль 2024'!$J$4:$J$1413,G$1)</f>
        <v>0</v>
      </c>
      <c r="H57" s="144">
        <f>SUMIFS('февраль 2024'!$G$4:$G$1413,'февраль 2024'!$D$4:$D$1413,$B57,'февраль 2024'!$J$4:$J$1413,H$1)</f>
        <v>0</v>
      </c>
      <c r="I57" s="144">
        <f>SUMIFS('февраль 2024'!$G$4:$G$1413,'февраль 2024'!$D$4:$D$1413,$B57,'февраль 2024'!$J$4:$J$1413,I$1)</f>
        <v>0</v>
      </c>
      <c r="J57" s="144">
        <f>SUMIFS('февраль 2024'!$G$4:$G$1413,'февраль 2024'!$D$4:$D$1413,$B57,'февраль 2024'!$J$4:$J$1413,J$1)</f>
        <v>0</v>
      </c>
      <c r="K57" s="144">
        <f>SUMIFS('февраль 2024'!$G$4:$G$1413,'февраль 2024'!$D$4:$D$1413,$B57,'февраль 2024'!$J$4:$J$1413,K$1)</f>
        <v>0</v>
      </c>
      <c r="L57" s="144">
        <f>SUMIFS('февраль 2024'!$G$4:$G$1413,'февраль 2024'!$D$4:$D$1413,$B57,'февраль 2024'!$J$4:$J$1413,L$1)</f>
        <v>0</v>
      </c>
      <c r="M57" s="144">
        <f>SUMIFS('февраль 2024'!$G$4:$G$1413,'февраль 2024'!$D$4:$D$1413,$B57,'февраль 2024'!$J$4:$J$1413,M$1)</f>
        <v>0</v>
      </c>
      <c r="N57" s="144">
        <f>SUMIFS('февраль 2024'!$G$4:$G$1413,'февраль 2024'!$D$4:$D$1413,$B57,'февраль 2024'!$J$4:$J$1413,N$1)</f>
        <v>0</v>
      </c>
      <c r="O57" s="144">
        <f>SUMIFS('февраль 2024'!$G$4:$G$1413,'февраль 2024'!$D$4:$D$1413,$B57,'февраль 2024'!$J$4:$J$1413,O$1)</f>
        <v>0</v>
      </c>
      <c r="P57" s="144">
        <f>SUMIFS('февраль 2024'!$G$4:$G$1413,'февраль 2024'!$D$4:$D$1413,$B57,'февраль 2024'!$J$4:$J$1413,P$1)</f>
        <v>0</v>
      </c>
      <c r="Q57" s="144">
        <f>SUMIFS('февраль 2024'!$G$4:$G$1413,'февраль 2024'!$D$4:$D$1413,$B57,'февраль 2024'!$J$4:$J$1413,Q$1)</f>
        <v>0</v>
      </c>
      <c r="R57" s="144">
        <f>SUMIFS('февраль 2024'!$G$4:$G$1413,'февраль 2024'!$D$4:$D$1413,$B57,'февраль 2024'!$J$4:$J$1413,R$1)</f>
        <v>0</v>
      </c>
      <c r="S57" s="144">
        <f>SUMIFS('февраль 2024'!$G$4:$G$1413,'февраль 2024'!$D$4:$D$1413,$B57,'февраль 2024'!$J$4:$J$1413,S$1)</f>
        <v>0</v>
      </c>
      <c r="T57" s="144">
        <f>SUMIFS('февраль 2024'!$G$4:$G$1413,'февраль 2024'!$D$4:$D$1413,$B57,'февраль 2024'!$J$4:$J$1413,T$1)</f>
        <v>0</v>
      </c>
      <c r="U57" s="144">
        <f>SUMIFS('февраль 2024'!$G$4:$G$1413,'февраль 2024'!$D$4:$D$1413,$B57,'февраль 2024'!$J$4:$J$1413,U$1)</f>
        <v>0</v>
      </c>
      <c r="V57" s="144">
        <f>SUMIFS('февраль 2024'!$G$4:$G$1413,'февраль 2024'!$D$4:$D$1413,$B57,'февраль 2024'!$J$4:$J$1413,V$1)</f>
        <v>0</v>
      </c>
      <c r="W57" s="144">
        <f>SUMIFS('февраль 2024'!$G$4:$G$1413,'февраль 2024'!$D$4:$D$1413,$B57,'февраль 2024'!$J$4:$J$1413,W$1)</f>
        <v>0</v>
      </c>
      <c r="X57" s="144">
        <f>SUMIFS('февраль 2024'!$G$4:$G$1413,'февраль 2024'!$D$4:$D$1413,$B57,'февраль 2024'!$J$4:$J$1413,X$1)</f>
        <v>0</v>
      </c>
      <c r="Y57" s="144">
        <f>SUMIFS('февраль 2024'!$G$4:$G$1413,'февраль 2024'!$D$4:$D$1413,$B57,'февраль 2024'!$J$4:$J$1413,Y$1)</f>
        <v>0</v>
      </c>
      <c r="Z57" s="144">
        <f>SUMIFS('февраль 2024'!$G$4:$G$1413,'февраль 2024'!$D$4:$D$1413,$B57,'февраль 2024'!$J$4:$J$1413,Z$1)</f>
        <v>0</v>
      </c>
      <c r="AA57" s="144">
        <f>SUMIFS('февраль 2024'!$G$4:$G$1413,'февраль 2024'!$D$4:$D$1413,$B57,'февраль 2024'!$J$4:$J$1413,AA$1)</f>
        <v>0</v>
      </c>
      <c r="AB57" s="144">
        <f>SUMIFS('февраль 2024'!$G$4:$G$1413,'февраль 2024'!$D$4:$D$1413,$B57,'февраль 2024'!$J$4:$J$1413,AB$1)</f>
        <v>0</v>
      </c>
      <c r="AC57" s="144">
        <f>SUMIFS('февраль 2024'!$G$4:$G$1413,'февраль 2024'!$D$4:$D$1413,$B57,'февраль 2024'!$J$4:$J$1413,AC$1)</f>
        <v>0</v>
      </c>
      <c r="AD57" s="144">
        <f>SUMIFS('февраль 2024'!$G$4:$G$1413,'февраль 2024'!$D$4:$D$1413,$B57,'февраль 2024'!$J$4:$J$1413,AD$1)</f>
        <v>0</v>
      </c>
      <c r="AE57" s="144">
        <f>SUMIFS('февраль 2024'!$G$4:$G$1413,'февраль 2024'!$D$4:$D$1413,$B57,'февраль 2024'!$J$4:$J$1413,AE$1)</f>
        <v>0</v>
      </c>
      <c r="AF57" s="144">
        <f>SUMIFS('февраль 2024'!$G$4:$G$1413,'февраль 2024'!$D$4:$D$1413,$B57,'февраль 2024'!$J$4:$J$1413,AF$1)</f>
        <v>0</v>
      </c>
      <c r="AG57" s="144">
        <f>SUMIFS('февраль 2024'!$G$4:$G$1413,'февраль 2024'!$D$4:$D$1413,$B57,'февраль 2024'!$J$4:$J$1413,AG$1)</f>
        <v>0</v>
      </c>
      <c r="AH57" s="144">
        <f>SUMIFS('февраль 2024'!$G$4:$G$1413,'февраль 2024'!$D$4:$D$1413,$B57,'февраль 2024'!$J$4:$J$1413,AH$1)</f>
        <v>0</v>
      </c>
      <c r="AI57" s="21">
        <f t="shared" si="1"/>
        <v>0</v>
      </c>
    </row>
    <row r="58" spans="2:35" ht="15" customHeight="1" x14ac:dyDescent="0.25">
      <c r="B58" s="155"/>
      <c r="C58" s="151"/>
      <c r="D58" s="144">
        <f>SUMIFS('февраль 2024'!$G$4:$G$1413,'февраль 2024'!$D$4:$D$1413,$B58,'февраль 2024'!$J$4:$J$1413,D$1)</f>
        <v>0</v>
      </c>
      <c r="E58" s="144">
        <f>SUMIFS('февраль 2024'!$G$4:$G$1413,'февраль 2024'!$D$4:$D$1413,$B58,'февраль 2024'!$J$4:$J$1413,E$1)</f>
        <v>0</v>
      </c>
      <c r="F58" s="144">
        <f>SUMIFS('февраль 2024'!$G$4:$G$1413,'февраль 2024'!$D$4:$D$1413,$B58,'февраль 2024'!$J$4:$J$1413,F$1)</f>
        <v>0</v>
      </c>
      <c r="G58" s="144">
        <f>SUMIFS('февраль 2024'!$G$4:$G$1413,'февраль 2024'!$D$4:$D$1413,$B58,'февраль 2024'!$J$4:$J$1413,G$1)</f>
        <v>0</v>
      </c>
      <c r="H58" s="144">
        <f>SUMIFS('февраль 2024'!$G$4:$G$1413,'февраль 2024'!$D$4:$D$1413,$B58,'февраль 2024'!$J$4:$J$1413,H$1)</f>
        <v>0</v>
      </c>
      <c r="I58" s="144">
        <f>SUMIFS('февраль 2024'!$G$4:$G$1413,'февраль 2024'!$D$4:$D$1413,$B58,'февраль 2024'!$J$4:$J$1413,I$1)</f>
        <v>0</v>
      </c>
      <c r="J58" s="144">
        <f>SUMIFS('февраль 2024'!$G$4:$G$1413,'февраль 2024'!$D$4:$D$1413,$B58,'февраль 2024'!$J$4:$J$1413,J$1)</f>
        <v>0</v>
      </c>
      <c r="K58" s="144">
        <f>SUMIFS('февраль 2024'!$G$4:$G$1413,'февраль 2024'!$D$4:$D$1413,$B58,'февраль 2024'!$J$4:$J$1413,K$1)</f>
        <v>0</v>
      </c>
      <c r="L58" s="144">
        <f>SUMIFS('февраль 2024'!$G$4:$G$1413,'февраль 2024'!$D$4:$D$1413,$B58,'февраль 2024'!$J$4:$J$1413,L$1)</f>
        <v>0</v>
      </c>
      <c r="M58" s="144">
        <f>SUMIFS('февраль 2024'!$G$4:$G$1413,'февраль 2024'!$D$4:$D$1413,$B58,'февраль 2024'!$J$4:$J$1413,M$1)</f>
        <v>0</v>
      </c>
      <c r="N58" s="144">
        <f>SUMIFS('февраль 2024'!$G$4:$G$1413,'февраль 2024'!$D$4:$D$1413,$B58,'февраль 2024'!$J$4:$J$1413,N$1)</f>
        <v>0</v>
      </c>
      <c r="O58" s="144">
        <f>SUMIFS('февраль 2024'!$G$4:$G$1413,'февраль 2024'!$D$4:$D$1413,$B58,'февраль 2024'!$J$4:$J$1413,O$1)</f>
        <v>0</v>
      </c>
      <c r="P58" s="144">
        <f>SUMIFS('февраль 2024'!$G$4:$G$1413,'февраль 2024'!$D$4:$D$1413,$B58,'февраль 2024'!$J$4:$J$1413,P$1)</f>
        <v>0</v>
      </c>
      <c r="Q58" s="144">
        <f>SUMIFS('февраль 2024'!$G$4:$G$1413,'февраль 2024'!$D$4:$D$1413,$B58,'февраль 2024'!$J$4:$J$1413,Q$1)</f>
        <v>0</v>
      </c>
      <c r="R58" s="144">
        <f>SUMIFS('февраль 2024'!$G$4:$G$1413,'февраль 2024'!$D$4:$D$1413,$B58,'февраль 2024'!$J$4:$J$1413,R$1)</f>
        <v>0</v>
      </c>
      <c r="S58" s="144">
        <f>SUMIFS('февраль 2024'!$G$4:$G$1413,'февраль 2024'!$D$4:$D$1413,$B58,'февраль 2024'!$J$4:$J$1413,S$1)</f>
        <v>0</v>
      </c>
      <c r="T58" s="144">
        <f>SUMIFS('февраль 2024'!$G$4:$G$1413,'февраль 2024'!$D$4:$D$1413,$B58,'февраль 2024'!$J$4:$J$1413,T$1)</f>
        <v>0</v>
      </c>
      <c r="U58" s="144">
        <f>SUMIFS('февраль 2024'!$G$4:$G$1413,'февраль 2024'!$D$4:$D$1413,$B58,'февраль 2024'!$J$4:$J$1413,U$1)</f>
        <v>0</v>
      </c>
      <c r="V58" s="144">
        <f>SUMIFS('февраль 2024'!$G$4:$G$1413,'февраль 2024'!$D$4:$D$1413,$B58,'февраль 2024'!$J$4:$J$1413,V$1)</f>
        <v>0</v>
      </c>
      <c r="W58" s="144">
        <f>SUMIFS('февраль 2024'!$G$4:$G$1413,'февраль 2024'!$D$4:$D$1413,$B58,'февраль 2024'!$J$4:$J$1413,W$1)</f>
        <v>0</v>
      </c>
      <c r="X58" s="144">
        <f>SUMIFS('февраль 2024'!$G$4:$G$1413,'февраль 2024'!$D$4:$D$1413,$B58,'февраль 2024'!$J$4:$J$1413,X$1)</f>
        <v>0</v>
      </c>
      <c r="Y58" s="144">
        <f>SUMIFS('февраль 2024'!$G$4:$G$1413,'февраль 2024'!$D$4:$D$1413,$B58,'февраль 2024'!$J$4:$J$1413,Y$1)</f>
        <v>0</v>
      </c>
      <c r="Z58" s="144">
        <f>SUMIFS('февраль 2024'!$G$4:$G$1413,'февраль 2024'!$D$4:$D$1413,$B58,'февраль 2024'!$J$4:$J$1413,Z$1)</f>
        <v>0</v>
      </c>
      <c r="AA58" s="144">
        <f>SUMIFS('февраль 2024'!$G$4:$G$1413,'февраль 2024'!$D$4:$D$1413,$B58,'февраль 2024'!$J$4:$J$1413,AA$1)</f>
        <v>0</v>
      </c>
      <c r="AB58" s="144">
        <f>SUMIFS('февраль 2024'!$G$4:$G$1413,'февраль 2024'!$D$4:$D$1413,$B58,'февраль 2024'!$J$4:$J$1413,AB$1)</f>
        <v>0</v>
      </c>
      <c r="AC58" s="144">
        <f>SUMIFS('февраль 2024'!$G$4:$G$1413,'февраль 2024'!$D$4:$D$1413,$B58,'февраль 2024'!$J$4:$J$1413,AC$1)</f>
        <v>0</v>
      </c>
      <c r="AD58" s="144">
        <f>SUMIFS('февраль 2024'!$G$4:$G$1413,'февраль 2024'!$D$4:$D$1413,$B58,'февраль 2024'!$J$4:$J$1413,AD$1)</f>
        <v>0</v>
      </c>
      <c r="AE58" s="144">
        <f>SUMIFS('февраль 2024'!$G$4:$G$1413,'февраль 2024'!$D$4:$D$1413,$B58,'февраль 2024'!$J$4:$J$1413,AE$1)</f>
        <v>0</v>
      </c>
      <c r="AF58" s="144">
        <f>SUMIFS('февраль 2024'!$G$4:$G$1413,'февраль 2024'!$D$4:$D$1413,$B58,'февраль 2024'!$J$4:$J$1413,AF$1)</f>
        <v>0</v>
      </c>
      <c r="AG58" s="144">
        <f>SUMIFS('февраль 2024'!$G$4:$G$1413,'февраль 2024'!$D$4:$D$1413,$B58,'февраль 2024'!$J$4:$J$1413,AG$1)</f>
        <v>0</v>
      </c>
      <c r="AH58" s="144">
        <f>SUMIFS('февраль 2024'!$G$4:$G$1413,'февраль 2024'!$D$4:$D$1413,$B58,'февраль 2024'!$J$4:$J$1413,AH$1)</f>
        <v>0</v>
      </c>
      <c r="AI58" s="21">
        <f t="shared" si="1"/>
        <v>0</v>
      </c>
    </row>
    <row r="59" spans="2:35" ht="15" customHeight="1" x14ac:dyDescent="0.25">
      <c r="B59" s="92" t="s">
        <v>161</v>
      </c>
      <c r="C59" s="91">
        <v>200</v>
      </c>
      <c r="D59" s="144">
        <f>SUMIFS('февраль 2024'!$G$4:$G$1413,'февраль 2024'!$D$4:$D$1413,$B59,'февраль 2024'!$J$4:$J$1413,D$1)</f>
        <v>0</v>
      </c>
      <c r="E59" s="144">
        <f>SUMIFS('февраль 2024'!$G$4:$G$1413,'февраль 2024'!$D$4:$D$1413,$B59,'февраль 2024'!$J$4:$J$1413,E$1)</f>
        <v>0</v>
      </c>
      <c r="F59" s="144">
        <f>SUMIFS('февраль 2024'!$G$4:$G$1413,'февраль 2024'!$D$4:$D$1413,$B59,'февраль 2024'!$J$4:$J$1413,F$1)</f>
        <v>0</v>
      </c>
      <c r="G59" s="144">
        <f>SUMIFS('февраль 2024'!$G$4:$G$1413,'февраль 2024'!$D$4:$D$1413,$B59,'февраль 2024'!$J$4:$J$1413,G$1)</f>
        <v>0</v>
      </c>
      <c r="H59" s="144">
        <f>SUMIFS('февраль 2024'!$G$4:$G$1413,'февраль 2024'!$D$4:$D$1413,$B59,'февраль 2024'!$J$4:$J$1413,H$1)</f>
        <v>0</v>
      </c>
      <c r="I59" s="144">
        <f>SUMIFS('февраль 2024'!$G$4:$G$1413,'февраль 2024'!$D$4:$D$1413,$B59,'февраль 2024'!$J$4:$J$1413,I$1)</f>
        <v>0</v>
      </c>
      <c r="J59" s="144">
        <f>SUMIFS('февраль 2024'!$G$4:$G$1413,'февраль 2024'!$D$4:$D$1413,$B59,'февраль 2024'!$J$4:$J$1413,J$1)</f>
        <v>0</v>
      </c>
      <c r="K59" s="144">
        <f>SUMIFS('февраль 2024'!$G$4:$G$1413,'февраль 2024'!$D$4:$D$1413,$B59,'февраль 2024'!$J$4:$J$1413,K$1)</f>
        <v>0</v>
      </c>
      <c r="L59" s="144">
        <f>SUMIFS('февраль 2024'!$G$4:$G$1413,'февраль 2024'!$D$4:$D$1413,$B59,'февраль 2024'!$J$4:$J$1413,L$1)</f>
        <v>0</v>
      </c>
      <c r="M59" s="144">
        <f>SUMIFS('февраль 2024'!$G$4:$G$1413,'февраль 2024'!$D$4:$D$1413,$B59,'февраль 2024'!$J$4:$J$1413,M$1)</f>
        <v>0</v>
      </c>
      <c r="N59" s="144">
        <f>SUMIFS('февраль 2024'!$G$4:$G$1413,'февраль 2024'!$D$4:$D$1413,$B59,'февраль 2024'!$J$4:$J$1413,N$1)</f>
        <v>0</v>
      </c>
      <c r="O59" s="144">
        <f>SUMIFS('февраль 2024'!$G$4:$G$1413,'февраль 2024'!$D$4:$D$1413,$B59,'февраль 2024'!$J$4:$J$1413,O$1)</f>
        <v>0</v>
      </c>
      <c r="P59" s="144">
        <f>SUMIFS('февраль 2024'!$G$4:$G$1413,'февраль 2024'!$D$4:$D$1413,$B59,'февраль 2024'!$J$4:$J$1413,P$1)</f>
        <v>0</v>
      </c>
      <c r="Q59" s="144">
        <f>SUMIFS('февраль 2024'!$G$4:$G$1413,'февраль 2024'!$D$4:$D$1413,$B59,'февраль 2024'!$J$4:$J$1413,Q$1)</f>
        <v>0</v>
      </c>
      <c r="R59" s="144">
        <f>SUMIFS('февраль 2024'!$G$4:$G$1413,'февраль 2024'!$D$4:$D$1413,$B59,'февраль 2024'!$J$4:$J$1413,R$1)</f>
        <v>0</v>
      </c>
      <c r="S59" s="144">
        <f>SUMIFS('февраль 2024'!$G$4:$G$1413,'февраль 2024'!$D$4:$D$1413,$B59,'февраль 2024'!$J$4:$J$1413,S$1)</f>
        <v>0</v>
      </c>
      <c r="T59" s="144">
        <f>SUMIFS('февраль 2024'!$G$4:$G$1413,'февраль 2024'!$D$4:$D$1413,$B59,'февраль 2024'!$J$4:$J$1413,T$1)</f>
        <v>0</v>
      </c>
      <c r="U59" s="144">
        <f>SUMIFS('февраль 2024'!$G$4:$G$1413,'февраль 2024'!$D$4:$D$1413,$B59,'февраль 2024'!$J$4:$J$1413,U$1)</f>
        <v>0</v>
      </c>
      <c r="V59" s="144">
        <f>SUMIFS('февраль 2024'!$G$4:$G$1413,'февраль 2024'!$D$4:$D$1413,$B59,'февраль 2024'!$J$4:$J$1413,V$1)</f>
        <v>0</v>
      </c>
      <c r="W59" s="144">
        <f>SUMIFS('февраль 2024'!$G$4:$G$1413,'февраль 2024'!$D$4:$D$1413,$B59,'февраль 2024'!$J$4:$J$1413,W$1)</f>
        <v>0</v>
      </c>
      <c r="X59" s="144">
        <f>SUMIFS('февраль 2024'!$G$4:$G$1413,'февраль 2024'!$D$4:$D$1413,$B59,'февраль 2024'!$J$4:$J$1413,X$1)</f>
        <v>0</v>
      </c>
      <c r="Y59" s="144">
        <f>SUMIFS('февраль 2024'!$G$4:$G$1413,'февраль 2024'!$D$4:$D$1413,$B59,'февраль 2024'!$J$4:$J$1413,Y$1)</f>
        <v>0</v>
      </c>
      <c r="Z59" s="144">
        <f>SUMIFS('февраль 2024'!$G$4:$G$1413,'февраль 2024'!$D$4:$D$1413,$B59,'февраль 2024'!$J$4:$J$1413,Z$1)</f>
        <v>0</v>
      </c>
      <c r="AA59" s="144">
        <f>SUMIFS('февраль 2024'!$G$4:$G$1413,'февраль 2024'!$D$4:$D$1413,$B59,'февраль 2024'!$J$4:$J$1413,AA$1)</f>
        <v>0</v>
      </c>
      <c r="AB59" s="144">
        <f>SUMIFS('февраль 2024'!$G$4:$G$1413,'февраль 2024'!$D$4:$D$1413,$B59,'февраль 2024'!$J$4:$J$1413,AB$1)</f>
        <v>0</v>
      </c>
      <c r="AC59" s="144">
        <f>SUMIFS('февраль 2024'!$G$4:$G$1413,'февраль 2024'!$D$4:$D$1413,$B59,'февраль 2024'!$J$4:$J$1413,AC$1)</f>
        <v>0</v>
      </c>
      <c r="AD59" s="144">
        <f>SUMIFS('февраль 2024'!$G$4:$G$1413,'февраль 2024'!$D$4:$D$1413,$B59,'февраль 2024'!$J$4:$J$1413,AD$1)</f>
        <v>0</v>
      </c>
      <c r="AE59" s="144">
        <f>SUMIFS('февраль 2024'!$G$4:$G$1413,'февраль 2024'!$D$4:$D$1413,$B59,'февраль 2024'!$J$4:$J$1413,AE$1)</f>
        <v>0</v>
      </c>
      <c r="AF59" s="144">
        <f>SUMIFS('февраль 2024'!$G$4:$G$1413,'февраль 2024'!$D$4:$D$1413,$B59,'февраль 2024'!$J$4:$J$1413,AF$1)</f>
        <v>0</v>
      </c>
      <c r="AG59" s="144">
        <f>SUMIFS('февраль 2024'!$G$4:$G$1413,'февраль 2024'!$D$4:$D$1413,$B59,'февраль 2024'!$J$4:$J$1413,AG$1)</f>
        <v>0</v>
      </c>
      <c r="AH59" s="144">
        <f>SUMIFS('февраль 2024'!$G$4:$G$1413,'февраль 2024'!$D$4:$D$1413,$B59,'февраль 2024'!$J$4:$J$1413,AH$1)</f>
        <v>0</v>
      </c>
      <c r="AI59" s="21">
        <f t="shared" si="1"/>
        <v>0</v>
      </c>
    </row>
    <row r="60" spans="2:35" ht="15" customHeight="1" x14ac:dyDescent="0.25">
      <c r="B60" s="92" t="s">
        <v>208</v>
      </c>
      <c r="C60" s="91">
        <v>50</v>
      </c>
      <c r="D60" s="144">
        <f>SUMIFS('февраль 2024'!$G$4:$G$1413,'февраль 2024'!$D$4:$D$1413,$B60,'февраль 2024'!$J$4:$J$1413,D$1)</f>
        <v>0</v>
      </c>
      <c r="E60" s="144">
        <f>SUMIFS('февраль 2024'!$G$4:$G$1413,'февраль 2024'!$D$4:$D$1413,$B60,'февраль 2024'!$J$4:$J$1413,E$1)</f>
        <v>0</v>
      </c>
      <c r="F60" s="144">
        <f>SUMIFS('февраль 2024'!$G$4:$G$1413,'февраль 2024'!$D$4:$D$1413,$B60,'февраль 2024'!$J$4:$J$1413,F$1)</f>
        <v>0</v>
      </c>
      <c r="G60" s="144">
        <f>SUMIFS('февраль 2024'!$G$4:$G$1413,'февраль 2024'!$D$4:$D$1413,$B60,'февраль 2024'!$J$4:$J$1413,G$1)</f>
        <v>0</v>
      </c>
      <c r="H60" s="144">
        <f>SUMIFS('февраль 2024'!$G$4:$G$1413,'февраль 2024'!$D$4:$D$1413,$B60,'февраль 2024'!$J$4:$J$1413,H$1)</f>
        <v>0</v>
      </c>
      <c r="I60" s="144">
        <f>SUMIFS('февраль 2024'!$G$4:$G$1413,'февраль 2024'!$D$4:$D$1413,$B60,'февраль 2024'!$J$4:$J$1413,I$1)</f>
        <v>0</v>
      </c>
      <c r="J60" s="144">
        <f>SUMIFS('февраль 2024'!$G$4:$G$1413,'февраль 2024'!$D$4:$D$1413,$B60,'февраль 2024'!$J$4:$J$1413,J$1)</f>
        <v>0</v>
      </c>
      <c r="K60" s="144">
        <f>SUMIFS('февраль 2024'!$G$4:$G$1413,'февраль 2024'!$D$4:$D$1413,$B60,'февраль 2024'!$J$4:$J$1413,K$1)</f>
        <v>0</v>
      </c>
      <c r="L60" s="144">
        <f>SUMIFS('февраль 2024'!$G$4:$G$1413,'февраль 2024'!$D$4:$D$1413,$B60,'февраль 2024'!$J$4:$J$1413,L$1)</f>
        <v>0</v>
      </c>
      <c r="M60" s="144">
        <f>SUMIFS('февраль 2024'!$G$4:$G$1413,'февраль 2024'!$D$4:$D$1413,$B60,'февраль 2024'!$J$4:$J$1413,M$1)</f>
        <v>0</v>
      </c>
      <c r="N60" s="144">
        <f>SUMIFS('февраль 2024'!$G$4:$G$1413,'февраль 2024'!$D$4:$D$1413,$B60,'февраль 2024'!$J$4:$J$1413,N$1)</f>
        <v>0</v>
      </c>
      <c r="O60" s="144">
        <f>SUMIFS('февраль 2024'!$G$4:$G$1413,'февраль 2024'!$D$4:$D$1413,$B60,'февраль 2024'!$J$4:$J$1413,O$1)</f>
        <v>0</v>
      </c>
      <c r="P60" s="144">
        <f>SUMIFS('февраль 2024'!$G$4:$G$1413,'февраль 2024'!$D$4:$D$1413,$B60,'февраль 2024'!$J$4:$J$1413,P$1)</f>
        <v>0</v>
      </c>
      <c r="Q60" s="144">
        <f>SUMIFS('февраль 2024'!$G$4:$G$1413,'февраль 2024'!$D$4:$D$1413,$B60,'февраль 2024'!$J$4:$J$1413,Q$1)</f>
        <v>0</v>
      </c>
      <c r="R60" s="144">
        <f>SUMIFS('февраль 2024'!$G$4:$G$1413,'февраль 2024'!$D$4:$D$1413,$B60,'февраль 2024'!$J$4:$J$1413,R$1)</f>
        <v>0</v>
      </c>
      <c r="S60" s="144">
        <f>SUMIFS('февраль 2024'!$G$4:$G$1413,'февраль 2024'!$D$4:$D$1413,$B60,'февраль 2024'!$J$4:$J$1413,S$1)</f>
        <v>0</v>
      </c>
      <c r="T60" s="144">
        <f>SUMIFS('февраль 2024'!$G$4:$G$1413,'февраль 2024'!$D$4:$D$1413,$B60,'февраль 2024'!$J$4:$J$1413,T$1)</f>
        <v>0</v>
      </c>
      <c r="U60" s="144">
        <f>SUMIFS('февраль 2024'!$G$4:$G$1413,'февраль 2024'!$D$4:$D$1413,$B60,'февраль 2024'!$J$4:$J$1413,U$1)</f>
        <v>0</v>
      </c>
      <c r="V60" s="144">
        <f>SUMIFS('февраль 2024'!$G$4:$G$1413,'февраль 2024'!$D$4:$D$1413,$B60,'февраль 2024'!$J$4:$J$1413,V$1)</f>
        <v>0</v>
      </c>
      <c r="W60" s="144">
        <f>SUMIFS('февраль 2024'!$G$4:$G$1413,'февраль 2024'!$D$4:$D$1413,$B60,'февраль 2024'!$J$4:$J$1413,W$1)</f>
        <v>0</v>
      </c>
      <c r="X60" s="144">
        <f>SUMIFS('февраль 2024'!$G$4:$G$1413,'февраль 2024'!$D$4:$D$1413,$B60,'февраль 2024'!$J$4:$J$1413,X$1)</f>
        <v>0</v>
      </c>
      <c r="Y60" s="144">
        <f>SUMIFS('февраль 2024'!$G$4:$G$1413,'февраль 2024'!$D$4:$D$1413,$B60,'февраль 2024'!$J$4:$J$1413,Y$1)</f>
        <v>0</v>
      </c>
      <c r="Z60" s="144">
        <f>SUMIFS('февраль 2024'!$G$4:$G$1413,'февраль 2024'!$D$4:$D$1413,$B60,'февраль 2024'!$J$4:$J$1413,Z$1)</f>
        <v>0</v>
      </c>
      <c r="AA60" s="144">
        <f>SUMIFS('февраль 2024'!$G$4:$G$1413,'февраль 2024'!$D$4:$D$1413,$B60,'февраль 2024'!$J$4:$J$1413,AA$1)</f>
        <v>0</v>
      </c>
      <c r="AB60" s="144">
        <f>SUMIFS('февраль 2024'!$G$4:$G$1413,'февраль 2024'!$D$4:$D$1413,$B60,'февраль 2024'!$J$4:$J$1413,AB$1)</f>
        <v>0</v>
      </c>
      <c r="AC60" s="144">
        <f>SUMIFS('февраль 2024'!$G$4:$G$1413,'февраль 2024'!$D$4:$D$1413,$B60,'февраль 2024'!$J$4:$J$1413,AC$1)</f>
        <v>0</v>
      </c>
      <c r="AD60" s="144">
        <f>SUMIFS('февраль 2024'!$G$4:$G$1413,'февраль 2024'!$D$4:$D$1413,$B60,'февраль 2024'!$J$4:$J$1413,AD$1)</f>
        <v>0</v>
      </c>
      <c r="AE60" s="144">
        <f>SUMIFS('февраль 2024'!$G$4:$G$1413,'февраль 2024'!$D$4:$D$1413,$B60,'февраль 2024'!$J$4:$J$1413,AE$1)</f>
        <v>0</v>
      </c>
      <c r="AF60" s="144">
        <f>SUMIFS('февраль 2024'!$G$4:$G$1413,'февраль 2024'!$D$4:$D$1413,$B60,'февраль 2024'!$J$4:$J$1413,AF$1)</f>
        <v>0</v>
      </c>
      <c r="AG60" s="144">
        <f>SUMIFS('февраль 2024'!$G$4:$G$1413,'февраль 2024'!$D$4:$D$1413,$B60,'февраль 2024'!$J$4:$J$1413,AG$1)</f>
        <v>0</v>
      </c>
      <c r="AH60" s="144">
        <f>SUMIFS('февраль 2024'!$G$4:$G$1413,'февраль 2024'!$D$4:$D$1413,$B60,'февраль 2024'!$J$4:$J$1413,AH$1)</f>
        <v>0</v>
      </c>
      <c r="AI60" s="21">
        <f t="shared" si="1"/>
        <v>0</v>
      </c>
    </row>
    <row r="61" spans="2:35" ht="15" customHeight="1" x14ac:dyDescent="0.25">
      <c r="B61" s="93" t="s">
        <v>209</v>
      </c>
      <c r="C61" s="91">
        <v>200</v>
      </c>
      <c r="D61" s="144">
        <f>SUMIFS('февраль 2024'!$G$4:$G$1413,'февраль 2024'!$D$4:$D$1413,$B61,'февраль 2024'!$J$4:$J$1413,D$1)</f>
        <v>0</v>
      </c>
      <c r="E61" s="144">
        <f>SUMIFS('февраль 2024'!$G$4:$G$1413,'февраль 2024'!$D$4:$D$1413,$B61,'февраль 2024'!$J$4:$J$1413,E$1)</f>
        <v>0</v>
      </c>
      <c r="F61" s="144">
        <f>SUMIFS('февраль 2024'!$G$4:$G$1413,'февраль 2024'!$D$4:$D$1413,$B61,'февраль 2024'!$J$4:$J$1413,F$1)</f>
        <v>0</v>
      </c>
      <c r="G61" s="144">
        <f>SUMIFS('февраль 2024'!$G$4:$G$1413,'февраль 2024'!$D$4:$D$1413,$B61,'февраль 2024'!$J$4:$J$1413,G$1)</f>
        <v>0</v>
      </c>
      <c r="H61" s="144">
        <f>SUMIFS('февраль 2024'!$G$4:$G$1413,'февраль 2024'!$D$4:$D$1413,$B61,'февраль 2024'!$J$4:$J$1413,H$1)</f>
        <v>0</v>
      </c>
      <c r="I61" s="144">
        <f>SUMIFS('февраль 2024'!$G$4:$G$1413,'февраль 2024'!$D$4:$D$1413,$B61,'февраль 2024'!$J$4:$J$1413,I$1)</f>
        <v>0</v>
      </c>
      <c r="J61" s="144">
        <f>SUMIFS('февраль 2024'!$G$4:$G$1413,'февраль 2024'!$D$4:$D$1413,$B61,'февраль 2024'!$J$4:$J$1413,J$1)</f>
        <v>0</v>
      </c>
      <c r="K61" s="144">
        <f>SUMIFS('февраль 2024'!$G$4:$G$1413,'февраль 2024'!$D$4:$D$1413,$B61,'февраль 2024'!$J$4:$J$1413,K$1)</f>
        <v>0</v>
      </c>
      <c r="L61" s="144">
        <f>SUMIFS('февраль 2024'!$G$4:$G$1413,'февраль 2024'!$D$4:$D$1413,$B61,'февраль 2024'!$J$4:$J$1413,L$1)</f>
        <v>0</v>
      </c>
      <c r="M61" s="144">
        <f>SUMIFS('февраль 2024'!$G$4:$G$1413,'февраль 2024'!$D$4:$D$1413,$B61,'февраль 2024'!$J$4:$J$1413,M$1)</f>
        <v>0</v>
      </c>
      <c r="N61" s="144">
        <f>SUMIFS('февраль 2024'!$G$4:$G$1413,'февраль 2024'!$D$4:$D$1413,$B61,'февраль 2024'!$J$4:$J$1413,N$1)</f>
        <v>0</v>
      </c>
      <c r="O61" s="144">
        <f>SUMIFS('февраль 2024'!$G$4:$G$1413,'февраль 2024'!$D$4:$D$1413,$B61,'февраль 2024'!$J$4:$J$1413,O$1)</f>
        <v>0</v>
      </c>
      <c r="P61" s="144">
        <f>SUMIFS('февраль 2024'!$G$4:$G$1413,'февраль 2024'!$D$4:$D$1413,$B61,'февраль 2024'!$J$4:$J$1413,P$1)</f>
        <v>0</v>
      </c>
      <c r="Q61" s="144">
        <f>SUMIFS('февраль 2024'!$G$4:$G$1413,'февраль 2024'!$D$4:$D$1413,$B61,'февраль 2024'!$J$4:$J$1413,Q$1)</f>
        <v>0</v>
      </c>
      <c r="R61" s="144">
        <f>SUMIFS('февраль 2024'!$G$4:$G$1413,'февраль 2024'!$D$4:$D$1413,$B61,'февраль 2024'!$J$4:$J$1413,R$1)</f>
        <v>0</v>
      </c>
      <c r="S61" s="144">
        <f>SUMIFS('февраль 2024'!$G$4:$G$1413,'февраль 2024'!$D$4:$D$1413,$B61,'февраль 2024'!$J$4:$J$1413,S$1)</f>
        <v>0</v>
      </c>
      <c r="T61" s="144">
        <f>SUMIFS('февраль 2024'!$G$4:$G$1413,'февраль 2024'!$D$4:$D$1413,$B61,'февраль 2024'!$J$4:$J$1413,T$1)</f>
        <v>0</v>
      </c>
      <c r="U61" s="144">
        <f>SUMIFS('февраль 2024'!$G$4:$G$1413,'февраль 2024'!$D$4:$D$1413,$B61,'февраль 2024'!$J$4:$J$1413,U$1)</f>
        <v>0</v>
      </c>
      <c r="V61" s="144">
        <f>SUMIFS('февраль 2024'!$G$4:$G$1413,'февраль 2024'!$D$4:$D$1413,$B61,'февраль 2024'!$J$4:$J$1413,V$1)</f>
        <v>0</v>
      </c>
      <c r="W61" s="144">
        <f>SUMIFS('февраль 2024'!$G$4:$G$1413,'февраль 2024'!$D$4:$D$1413,$B61,'февраль 2024'!$J$4:$J$1413,W$1)</f>
        <v>0</v>
      </c>
      <c r="X61" s="144">
        <f>SUMIFS('февраль 2024'!$G$4:$G$1413,'февраль 2024'!$D$4:$D$1413,$B61,'февраль 2024'!$J$4:$J$1413,X$1)</f>
        <v>0</v>
      </c>
      <c r="Y61" s="144">
        <f>SUMIFS('февраль 2024'!$G$4:$G$1413,'февраль 2024'!$D$4:$D$1413,$B61,'февраль 2024'!$J$4:$J$1413,Y$1)</f>
        <v>0</v>
      </c>
      <c r="Z61" s="144">
        <f>SUMIFS('февраль 2024'!$G$4:$G$1413,'февраль 2024'!$D$4:$D$1413,$B61,'февраль 2024'!$J$4:$J$1413,Z$1)</f>
        <v>0</v>
      </c>
      <c r="AA61" s="144">
        <f>SUMIFS('февраль 2024'!$G$4:$G$1413,'февраль 2024'!$D$4:$D$1413,$B61,'февраль 2024'!$J$4:$J$1413,AA$1)</f>
        <v>0</v>
      </c>
      <c r="AB61" s="144">
        <f>SUMIFS('февраль 2024'!$G$4:$G$1413,'февраль 2024'!$D$4:$D$1413,$B61,'февраль 2024'!$J$4:$J$1413,AB$1)</f>
        <v>0</v>
      </c>
      <c r="AC61" s="144">
        <f>SUMIFS('февраль 2024'!$G$4:$G$1413,'февраль 2024'!$D$4:$D$1413,$B61,'февраль 2024'!$J$4:$J$1413,AC$1)</f>
        <v>0</v>
      </c>
      <c r="AD61" s="144">
        <f>SUMIFS('февраль 2024'!$G$4:$G$1413,'февраль 2024'!$D$4:$D$1413,$B61,'февраль 2024'!$J$4:$J$1413,AD$1)</f>
        <v>0</v>
      </c>
      <c r="AE61" s="144">
        <f>SUMIFS('февраль 2024'!$G$4:$G$1413,'февраль 2024'!$D$4:$D$1413,$B61,'февраль 2024'!$J$4:$J$1413,AE$1)</f>
        <v>0</v>
      </c>
      <c r="AF61" s="144">
        <f>SUMIFS('февраль 2024'!$G$4:$G$1413,'февраль 2024'!$D$4:$D$1413,$B61,'февраль 2024'!$J$4:$J$1413,AF$1)</f>
        <v>0</v>
      </c>
      <c r="AG61" s="144">
        <f>SUMIFS('февраль 2024'!$G$4:$G$1413,'февраль 2024'!$D$4:$D$1413,$B61,'февраль 2024'!$J$4:$J$1413,AG$1)</f>
        <v>0</v>
      </c>
      <c r="AH61" s="144">
        <f>SUMIFS('февраль 2024'!$G$4:$G$1413,'февраль 2024'!$D$4:$D$1413,$B61,'февраль 2024'!$J$4:$J$1413,AH$1)</f>
        <v>0</v>
      </c>
      <c r="AI61" s="21">
        <f t="shared" si="1"/>
        <v>0</v>
      </c>
    </row>
    <row r="62" spans="2:35" ht="15" customHeight="1" x14ac:dyDescent="0.25">
      <c r="B62" s="93" t="s">
        <v>222</v>
      </c>
      <c r="C62" s="91">
        <v>25</v>
      </c>
      <c r="D62" s="144">
        <f>SUMIFS('февраль 2024'!$G$4:$G$1413,'февраль 2024'!$D$4:$D$1413,$B62,'февраль 2024'!$J$4:$J$1413,D$1)</f>
        <v>0</v>
      </c>
      <c r="E62" s="144">
        <f>SUMIFS('февраль 2024'!$G$4:$G$1413,'февраль 2024'!$D$4:$D$1413,$B62,'февраль 2024'!$J$4:$J$1413,E$1)</f>
        <v>0</v>
      </c>
      <c r="F62" s="144">
        <f>SUMIFS('февраль 2024'!$G$4:$G$1413,'февраль 2024'!$D$4:$D$1413,$B62,'февраль 2024'!$J$4:$J$1413,F$1)</f>
        <v>0</v>
      </c>
      <c r="G62" s="144">
        <f>SUMIFS('февраль 2024'!$G$4:$G$1413,'февраль 2024'!$D$4:$D$1413,$B62,'февраль 2024'!$J$4:$J$1413,G$1)</f>
        <v>0</v>
      </c>
      <c r="H62" s="144">
        <f>SUMIFS('февраль 2024'!$G$4:$G$1413,'февраль 2024'!$D$4:$D$1413,$B62,'февраль 2024'!$J$4:$J$1413,H$1)</f>
        <v>0</v>
      </c>
      <c r="I62" s="144">
        <f>SUMIFS('февраль 2024'!$G$4:$G$1413,'февраль 2024'!$D$4:$D$1413,$B62,'февраль 2024'!$J$4:$J$1413,I$1)</f>
        <v>0</v>
      </c>
      <c r="J62" s="144">
        <f>SUMIFS('февраль 2024'!$G$4:$G$1413,'февраль 2024'!$D$4:$D$1413,$B62,'февраль 2024'!$J$4:$J$1413,J$1)</f>
        <v>0</v>
      </c>
      <c r="K62" s="144">
        <f>SUMIFS('февраль 2024'!$G$4:$G$1413,'февраль 2024'!$D$4:$D$1413,$B62,'февраль 2024'!$J$4:$J$1413,K$1)</f>
        <v>0</v>
      </c>
      <c r="L62" s="144">
        <f>SUMIFS('февраль 2024'!$G$4:$G$1413,'февраль 2024'!$D$4:$D$1413,$B62,'февраль 2024'!$J$4:$J$1413,L$1)</f>
        <v>0</v>
      </c>
      <c r="M62" s="144">
        <f>SUMIFS('февраль 2024'!$G$4:$G$1413,'февраль 2024'!$D$4:$D$1413,$B62,'февраль 2024'!$J$4:$J$1413,M$1)</f>
        <v>0</v>
      </c>
      <c r="N62" s="144">
        <f>SUMIFS('февраль 2024'!$G$4:$G$1413,'февраль 2024'!$D$4:$D$1413,$B62,'февраль 2024'!$J$4:$J$1413,N$1)</f>
        <v>0</v>
      </c>
      <c r="O62" s="144">
        <f>SUMIFS('февраль 2024'!$G$4:$G$1413,'февраль 2024'!$D$4:$D$1413,$B62,'февраль 2024'!$J$4:$J$1413,O$1)</f>
        <v>0</v>
      </c>
      <c r="P62" s="144">
        <f>SUMIFS('февраль 2024'!$G$4:$G$1413,'февраль 2024'!$D$4:$D$1413,$B62,'февраль 2024'!$J$4:$J$1413,P$1)</f>
        <v>0</v>
      </c>
      <c r="Q62" s="144">
        <f>SUMIFS('февраль 2024'!$G$4:$G$1413,'февраль 2024'!$D$4:$D$1413,$B62,'февраль 2024'!$J$4:$J$1413,Q$1)</f>
        <v>0</v>
      </c>
      <c r="R62" s="144">
        <f>SUMIFS('февраль 2024'!$G$4:$G$1413,'февраль 2024'!$D$4:$D$1413,$B62,'февраль 2024'!$J$4:$J$1413,R$1)</f>
        <v>0</v>
      </c>
      <c r="S62" s="144">
        <f>SUMIFS('февраль 2024'!$G$4:$G$1413,'февраль 2024'!$D$4:$D$1413,$B62,'февраль 2024'!$J$4:$J$1413,S$1)</f>
        <v>0</v>
      </c>
      <c r="T62" s="144">
        <f>SUMIFS('февраль 2024'!$G$4:$G$1413,'февраль 2024'!$D$4:$D$1413,$B62,'февраль 2024'!$J$4:$J$1413,T$1)</f>
        <v>0</v>
      </c>
      <c r="U62" s="144">
        <f>SUMIFS('февраль 2024'!$G$4:$G$1413,'февраль 2024'!$D$4:$D$1413,$B62,'февраль 2024'!$J$4:$J$1413,U$1)</f>
        <v>0</v>
      </c>
      <c r="V62" s="144">
        <f>SUMIFS('февраль 2024'!$G$4:$G$1413,'февраль 2024'!$D$4:$D$1413,$B62,'февраль 2024'!$J$4:$J$1413,V$1)</f>
        <v>0</v>
      </c>
      <c r="W62" s="144">
        <f>SUMIFS('февраль 2024'!$G$4:$G$1413,'февраль 2024'!$D$4:$D$1413,$B62,'февраль 2024'!$J$4:$J$1413,W$1)</f>
        <v>0</v>
      </c>
      <c r="X62" s="144">
        <f>SUMIFS('февраль 2024'!$G$4:$G$1413,'февраль 2024'!$D$4:$D$1413,$B62,'февраль 2024'!$J$4:$J$1413,X$1)</f>
        <v>0</v>
      </c>
      <c r="Y62" s="144">
        <f>SUMIFS('февраль 2024'!$G$4:$G$1413,'февраль 2024'!$D$4:$D$1413,$B62,'февраль 2024'!$J$4:$J$1413,Y$1)</f>
        <v>0</v>
      </c>
      <c r="Z62" s="144">
        <f>SUMIFS('февраль 2024'!$G$4:$G$1413,'февраль 2024'!$D$4:$D$1413,$B62,'февраль 2024'!$J$4:$J$1413,Z$1)</f>
        <v>0</v>
      </c>
      <c r="AA62" s="144">
        <f>SUMIFS('февраль 2024'!$G$4:$G$1413,'февраль 2024'!$D$4:$D$1413,$B62,'февраль 2024'!$J$4:$J$1413,AA$1)</f>
        <v>0</v>
      </c>
      <c r="AB62" s="144">
        <f>SUMIFS('февраль 2024'!$G$4:$G$1413,'февраль 2024'!$D$4:$D$1413,$B62,'февраль 2024'!$J$4:$J$1413,AB$1)</f>
        <v>0</v>
      </c>
      <c r="AC62" s="144">
        <f>SUMIFS('февраль 2024'!$G$4:$G$1413,'февраль 2024'!$D$4:$D$1413,$B62,'февраль 2024'!$J$4:$J$1413,AC$1)</f>
        <v>0</v>
      </c>
      <c r="AD62" s="144">
        <f>SUMIFS('февраль 2024'!$G$4:$G$1413,'февраль 2024'!$D$4:$D$1413,$B62,'февраль 2024'!$J$4:$J$1413,AD$1)</f>
        <v>0</v>
      </c>
      <c r="AE62" s="144">
        <f>SUMIFS('февраль 2024'!$G$4:$G$1413,'февраль 2024'!$D$4:$D$1413,$B62,'февраль 2024'!$J$4:$J$1413,AE$1)</f>
        <v>0</v>
      </c>
      <c r="AF62" s="144">
        <f>SUMIFS('февраль 2024'!$G$4:$G$1413,'февраль 2024'!$D$4:$D$1413,$B62,'февраль 2024'!$J$4:$J$1413,AF$1)</f>
        <v>0</v>
      </c>
      <c r="AG62" s="144">
        <f>SUMIFS('февраль 2024'!$G$4:$G$1413,'февраль 2024'!$D$4:$D$1413,$B62,'февраль 2024'!$J$4:$J$1413,AG$1)</f>
        <v>0</v>
      </c>
      <c r="AH62" s="144">
        <f>SUMIFS('февраль 2024'!$G$4:$G$1413,'февраль 2024'!$D$4:$D$1413,$B62,'февраль 2024'!$J$4:$J$1413,AH$1)</f>
        <v>0</v>
      </c>
      <c r="AI62" s="21">
        <f t="shared" si="1"/>
        <v>0</v>
      </c>
    </row>
    <row r="63" spans="2:35" ht="15" customHeight="1" x14ac:dyDescent="0.25">
      <c r="B63" s="93" t="s">
        <v>189</v>
      </c>
      <c r="C63" s="91">
        <v>50</v>
      </c>
      <c r="D63" s="144">
        <f>SUMIFS('февраль 2024'!$G$4:$G$1413,'февраль 2024'!$D$4:$D$1413,$B63,'февраль 2024'!$J$4:$J$1413,D$1)</f>
        <v>0</v>
      </c>
      <c r="E63" s="144">
        <f>SUMIFS('февраль 2024'!$G$4:$G$1413,'февраль 2024'!$D$4:$D$1413,$B63,'февраль 2024'!$J$4:$J$1413,E$1)</f>
        <v>0</v>
      </c>
      <c r="F63" s="144">
        <f>SUMIFS('февраль 2024'!$G$4:$G$1413,'февраль 2024'!$D$4:$D$1413,$B63,'февраль 2024'!$J$4:$J$1413,F$1)</f>
        <v>0</v>
      </c>
      <c r="G63" s="144">
        <f>SUMIFS('февраль 2024'!$G$4:$G$1413,'февраль 2024'!$D$4:$D$1413,$B63,'февраль 2024'!$J$4:$J$1413,G$1)</f>
        <v>0</v>
      </c>
      <c r="H63" s="144">
        <f>SUMIFS('февраль 2024'!$G$4:$G$1413,'февраль 2024'!$D$4:$D$1413,$B63,'февраль 2024'!$J$4:$J$1413,H$1)</f>
        <v>0</v>
      </c>
      <c r="I63" s="144">
        <f>SUMIFS('февраль 2024'!$G$4:$G$1413,'февраль 2024'!$D$4:$D$1413,$B63,'февраль 2024'!$J$4:$J$1413,I$1)</f>
        <v>0</v>
      </c>
      <c r="J63" s="144">
        <f>SUMIFS('февраль 2024'!$G$4:$G$1413,'февраль 2024'!$D$4:$D$1413,$B63,'февраль 2024'!$J$4:$J$1413,J$1)</f>
        <v>0</v>
      </c>
      <c r="K63" s="144">
        <f>SUMIFS('февраль 2024'!$G$4:$G$1413,'февраль 2024'!$D$4:$D$1413,$B63,'февраль 2024'!$J$4:$J$1413,K$1)</f>
        <v>0</v>
      </c>
      <c r="L63" s="144">
        <f>SUMIFS('февраль 2024'!$G$4:$G$1413,'февраль 2024'!$D$4:$D$1413,$B63,'февраль 2024'!$J$4:$J$1413,L$1)</f>
        <v>0</v>
      </c>
      <c r="M63" s="144">
        <f>SUMIFS('февраль 2024'!$G$4:$G$1413,'февраль 2024'!$D$4:$D$1413,$B63,'февраль 2024'!$J$4:$J$1413,M$1)</f>
        <v>0</v>
      </c>
      <c r="N63" s="144">
        <f>SUMIFS('февраль 2024'!$G$4:$G$1413,'февраль 2024'!$D$4:$D$1413,$B63,'февраль 2024'!$J$4:$J$1413,N$1)</f>
        <v>0</v>
      </c>
      <c r="O63" s="144">
        <f>SUMIFS('февраль 2024'!$G$4:$G$1413,'февраль 2024'!$D$4:$D$1413,$B63,'февраль 2024'!$J$4:$J$1413,O$1)</f>
        <v>0</v>
      </c>
      <c r="P63" s="144">
        <f>SUMIFS('февраль 2024'!$G$4:$G$1413,'февраль 2024'!$D$4:$D$1413,$B63,'февраль 2024'!$J$4:$J$1413,P$1)</f>
        <v>0</v>
      </c>
      <c r="Q63" s="144">
        <f>SUMIFS('февраль 2024'!$G$4:$G$1413,'февраль 2024'!$D$4:$D$1413,$B63,'февраль 2024'!$J$4:$J$1413,Q$1)</f>
        <v>0</v>
      </c>
      <c r="R63" s="144">
        <f>SUMIFS('февраль 2024'!$G$4:$G$1413,'февраль 2024'!$D$4:$D$1413,$B63,'февраль 2024'!$J$4:$J$1413,R$1)</f>
        <v>0</v>
      </c>
      <c r="S63" s="144">
        <f>SUMIFS('февраль 2024'!$G$4:$G$1413,'февраль 2024'!$D$4:$D$1413,$B63,'февраль 2024'!$J$4:$J$1413,S$1)</f>
        <v>0</v>
      </c>
      <c r="T63" s="144">
        <f>SUMIFS('февраль 2024'!$G$4:$G$1413,'февраль 2024'!$D$4:$D$1413,$B63,'февраль 2024'!$J$4:$J$1413,T$1)</f>
        <v>0</v>
      </c>
      <c r="U63" s="144">
        <f>SUMIFS('февраль 2024'!$G$4:$G$1413,'февраль 2024'!$D$4:$D$1413,$B63,'февраль 2024'!$J$4:$J$1413,U$1)</f>
        <v>0</v>
      </c>
      <c r="V63" s="144">
        <f>SUMIFS('февраль 2024'!$G$4:$G$1413,'февраль 2024'!$D$4:$D$1413,$B63,'февраль 2024'!$J$4:$J$1413,V$1)</f>
        <v>0</v>
      </c>
      <c r="W63" s="144">
        <f>SUMIFS('февраль 2024'!$G$4:$G$1413,'февраль 2024'!$D$4:$D$1413,$B63,'февраль 2024'!$J$4:$J$1413,W$1)</f>
        <v>0</v>
      </c>
      <c r="X63" s="144">
        <f>SUMIFS('февраль 2024'!$G$4:$G$1413,'февраль 2024'!$D$4:$D$1413,$B63,'февраль 2024'!$J$4:$J$1413,X$1)</f>
        <v>0</v>
      </c>
      <c r="Y63" s="144">
        <f>SUMIFS('февраль 2024'!$G$4:$G$1413,'февраль 2024'!$D$4:$D$1413,$B63,'февраль 2024'!$J$4:$J$1413,Y$1)</f>
        <v>0</v>
      </c>
      <c r="Z63" s="144">
        <f>SUMIFS('февраль 2024'!$G$4:$G$1413,'февраль 2024'!$D$4:$D$1413,$B63,'февраль 2024'!$J$4:$J$1413,Z$1)</f>
        <v>0</v>
      </c>
      <c r="AA63" s="144">
        <f>SUMIFS('февраль 2024'!$G$4:$G$1413,'февраль 2024'!$D$4:$D$1413,$B63,'февраль 2024'!$J$4:$J$1413,AA$1)</f>
        <v>0</v>
      </c>
      <c r="AB63" s="144">
        <f>SUMIFS('февраль 2024'!$G$4:$G$1413,'февраль 2024'!$D$4:$D$1413,$B63,'февраль 2024'!$J$4:$J$1413,AB$1)</f>
        <v>0</v>
      </c>
      <c r="AC63" s="144">
        <f>SUMIFS('февраль 2024'!$G$4:$G$1413,'февраль 2024'!$D$4:$D$1413,$B63,'февраль 2024'!$J$4:$J$1413,AC$1)</f>
        <v>0</v>
      </c>
      <c r="AD63" s="144">
        <f>SUMIFS('февраль 2024'!$G$4:$G$1413,'февраль 2024'!$D$4:$D$1413,$B63,'февраль 2024'!$J$4:$J$1413,AD$1)</f>
        <v>0</v>
      </c>
      <c r="AE63" s="144">
        <f>SUMIFS('февраль 2024'!$G$4:$G$1413,'февраль 2024'!$D$4:$D$1413,$B63,'февраль 2024'!$J$4:$J$1413,AE$1)</f>
        <v>0</v>
      </c>
      <c r="AF63" s="144">
        <f>SUMIFS('февраль 2024'!$G$4:$G$1413,'февраль 2024'!$D$4:$D$1413,$B63,'февраль 2024'!$J$4:$J$1413,AF$1)</f>
        <v>0</v>
      </c>
      <c r="AG63" s="144">
        <f>SUMIFS('февраль 2024'!$G$4:$G$1413,'февраль 2024'!$D$4:$D$1413,$B63,'февраль 2024'!$J$4:$J$1413,AG$1)</f>
        <v>0</v>
      </c>
      <c r="AH63" s="144">
        <f>SUMIFS('февраль 2024'!$G$4:$G$1413,'февраль 2024'!$D$4:$D$1413,$B63,'февраль 2024'!$J$4:$J$1413,AH$1)</f>
        <v>0</v>
      </c>
      <c r="AI63" s="21">
        <f t="shared" si="1"/>
        <v>0</v>
      </c>
    </row>
    <row r="64" spans="2:35" ht="15.75" x14ac:dyDescent="0.25">
      <c r="B64" s="89" t="s">
        <v>159</v>
      </c>
      <c r="C64" s="88">
        <v>200</v>
      </c>
      <c r="D64" s="144">
        <f>SUMIFS('февраль 2024'!$G$4:$G$1413,'февраль 2024'!$D$4:$D$1413,$B64,'февраль 2024'!$J$4:$J$1413,D$1)</f>
        <v>0</v>
      </c>
      <c r="E64" s="144">
        <f>SUMIFS('февраль 2024'!$G$4:$G$1413,'февраль 2024'!$D$4:$D$1413,$B64,'февраль 2024'!$J$4:$J$1413,E$1)</f>
        <v>0</v>
      </c>
      <c r="F64" s="144">
        <f>SUMIFS('февраль 2024'!$G$4:$G$1413,'февраль 2024'!$D$4:$D$1413,$B64,'февраль 2024'!$J$4:$J$1413,F$1)</f>
        <v>0</v>
      </c>
      <c r="G64" s="144">
        <f>SUMIFS('февраль 2024'!$G$4:$G$1413,'февраль 2024'!$D$4:$D$1413,$B64,'февраль 2024'!$J$4:$J$1413,G$1)</f>
        <v>0</v>
      </c>
      <c r="H64" s="144">
        <f>SUMIFS('февраль 2024'!$G$4:$G$1413,'февраль 2024'!$D$4:$D$1413,$B64,'февраль 2024'!$J$4:$J$1413,H$1)</f>
        <v>0</v>
      </c>
      <c r="I64" s="144">
        <f>SUMIFS('февраль 2024'!$G$4:$G$1413,'февраль 2024'!$D$4:$D$1413,$B64,'февраль 2024'!$J$4:$J$1413,I$1)</f>
        <v>0</v>
      </c>
      <c r="J64" s="144">
        <f>SUMIFS('февраль 2024'!$G$4:$G$1413,'февраль 2024'!$D$4:$D$1413,$B64,'февраль 2024'!$J$4:$J$1413,J$1)</f>
        <v>0</v>
      </c>
      <c r="K64" s="144">
        <f>SUMIFS('февраль 2024'!$G$4:$G$1413,'февраль 2024'!$D$4:$D$1413,$B64,'февраль 2024'!$J$4:$J$1413,K$1)</f>
        <v>0</v>
      </c>
      <c r="L64" s="144">
        <f>SUMIFS('февраль 2024'!$G$4:$G$1413,'февраль 2024'!$D$4:$D$1413,$B64,'февраль 2024'!$J$4:$J$1413,L$1)</f>
        <v>0</v>
      </c>
      <c r="M64" s="144">
        <f>SUMIFS('февраль 2024'!$G$4:$G$1413,'февраль 2024'!$D$4:$D$1413,$B64,'февраль 2024'!$J$4:$J$1413,M$1)</f>
        <v>0</v>
      </c>
      <c r="N64" s="144">
        <f>SUMIFS('февраль 2024'!$G$4:$G$1413,'февраль 2024'!$D$4:$D$1413,$B64,'февраль 2024'!$J$4:$J$1413,N$1)</f>
        <v>0</v>
      </c>
      <c r="O64" s="144">
        <f>SUMIFS('февраль 2024'!$G$4:$G$1413,'февраль 2024'!$D$4:$D$1413,$B64,'февраль 2024'!$J$4:$J$1413,O$1)</f>
        <v>0</v>
      </c>
      <c r="P64" s="144">
        <f>SUMIFS('февраль 2024'!$G$4:$G$1413,'февраль 2024'!$D$4:$D$1413,$B64,'февраль 2024'!$J$4:$J$1413,P$1)</f>
        <v>0</v>
      </c>
      <c r="Q64" s="144">
        <f>SUMIFS('февраль 2024'!$G$4:$G$1413,'февраль 2024'!$D$4:$D$1413,$B64,'февраль 2024'!$J$4:$J$1413,Q$1)</f>
        <v>0</v>
      </c>
      <c r="R64" s="144">
        <f>SUMIFS('февраль 2024'!$G$4:$G$1413,'февраль 2024'!$D$4:$D$1413,$B64,'февраль 2024'!$J$4:$J$1413,R$1)</f>
        <v>0</v>
      </c>
      <c r="S64" s="144">
        <f>SUMIFS('февраль 2024'!$G$4:$G$1413,'февраль 2024'!$D$4:$D$1413,$B64,'февраль 2024'!$J$4:$J$1413,S$1)</f>
        <v>0</v>
      </c>
      <c r="T64" s="144">
        <f>SUMIFS('февраль 2024'!$G$4:$G$1413,'февраль 2024'!$D$4:$D$1413,$B64,'февраль 2024'!$J$4:$J$1413,T$1)</f>
        <v>0</v>
      </c>
      <c r="U64" s="144">
        <f>SUMIFS('февраль 2024'!$G$4:$G$1413,'февраль 2024'!$D$4:$D$1413,$B64,'февраль 2024'!$J$4:$J$1413,U$1)</f>
        <v>0</v>
      </c>
      <c r="V64" s="144">
        <f>SUMIFS('февраль 2024'!$G$4:$G$1413,'февраль 2024'!$D$4:$D$1413,$B64,'февраль 2024'!$J$4:$J$1413,V$1)</f>
        <v>0</v>
      </c>
      <c r="W64" s="144">
        <f>SUMIFS('февраль 2024'!$G$4:$G$1413,'февраль 2024'!$D$4:$D$1413,$B64,'февраль 2024'!$J$4:$J$1413,W$1)</f>
        <v>0</v>
      </c>
      <c r="X64" s="144">
        <f>SUMIFS('февраль 2024'!$G$4:$G$1413,'февраль 2024'!$D$4:$D$1413,$B64,'февраль 2024'!$J$4:$J$1413,X$1)</f>
        <v>0</v>
      </c>
      <c r="Y64" s="144">
        <f>SUMIFS('февраль 2024'!$G$4:$G$1413,'февраль 2024'!$D$4:$D$1413,$B64,'февраль 2024'!$J$4:$J$1413,Y$1)</f>
        <v>0</v>
      </c>
      <c r="Z64" s="144">
        <f>SUMIFS('февраль 2024'!$G$4:$G$1413,'февраль 2024'!$D$4:$D$1413,$B64,'февраль 2024'!$J$4:$J$1413,Z$1)</f>
        <v>0</v>
      </c>
      <c r="AA64" s="144">
        <f>SUMIFS('февраль 2024'!$G$4:$G$1413,'февраль 2024'!$D$4:$D$1413,$B64,'февраль 2024'!$J$4:$J$1413,AA$1)</f>
        <v>0</v>
      </c>
      <c r="AB64" s="144">
        <f>SUMIFS('февраль 2024'!$G$4:$G$1413,'февраль 2024'!$D$4:$D$1413,$B64,'февраль 2024'!$J$4:$J$1413,AB$1)</f>
        <v>0</v>
      </c>
      <c r="AC64" s="144">
        <f>SUMIFS('февраль 2024'!$G$4:$G$1413,'февраль 2024'!$D$4:$D$1413,$B64,'февраль 2024'!$J$4:$J$1413,AC$1)</f>
        <v>0</v>
      </c>
      <c r="AD64" s="144">
        <f>SUMIFS('февраль 2024'!$G$4:$G$1413,'февраль 2024'!$D$4:$D$1413,$B64,'февраль 2024'!$J$4:$J$1413,AD$1)</f>
        <v>0</v>
      </c>
      <c r="AE64" s="144">
        <f>SUMIFS('февраль 2024'!$G$4:$G$1413,'февраль 2024'!$D$4:$D$1413,$B64,'февраль 2024'!$J$4:$J$1413,AE$1)</f>
        <v>0</v>
      </c>
      <c r="AF64" s="144">
        <f>SUMIFS('февраль 2024'!$G$4:$G$1413,'февраль 2024'!$D$4:$D$1413,$B64,'февраль 2024'!$J$4:$J$1413,AF$1)</f>
        <v>0</v>
      </c>
      <c r="AG64" s="144">
        <f>SUMIFS('февраль 2024'!$G$4:$G$1413,'февраль 2024'!$D$4:$D$1413,$B64,'февраль 2024'!$J$4:$J$1413,AG$1)</f>
        <v>0</v>
      </c>
      <c r="AH64" s="144">
        <f>SUMIFS('февраль 2024'!$G$4:$G$1413,'февраль 2024'!$D$4:$D$1413,$B64,'февраль 2024'!$J$4:$J$1413,AH$1)</f>
        <v>0</v>
      </c>
      <c r="AI64" s="21">
        <f t="shared" si="1"/>
        <v>0</v>
      </c>
    </row>
    <row r="65" spans="2:35" ht="15.75" x14ac:dyDescent="0.25">
      <c r="B65" s="93" t="s">
        <v>158</v>
      </c>
      <c r="C65" s="91">
        <v>200</v>
      </c>
      <c r="D65" s="144">
        <f>SUMIFS('февраль 2024'!$G$4:$G$1413,'февраль 2024'!$D$4:$D$1413,$B65,'февраль 2024'!$J$4:$J$1413,D$1)</f>
        <v>0</v>
      </c>
      <c r="E65" s="144">
        <f>SUMIFS('февраль 2024'!$G$4:$G$1413,'февраль 2024'!$D$4:$D$1413,$B65,'февраль 2024'!$J$4:$J$1413,E$1)</f>
        <v>0</v>
      </c>
      <c r="F65" s="144">
        <f>SUMIFS('февраль 2024'!$G$4:$G$1413,'февраль 2024'!$D$4:$D$1413,$B65,'февраль 2024'!$J$4:$J$1413,F$1)</f>
        <v>0</v>
      </c>
      <c r="G65" s="144">
        <f>SUMIFS('февраль 2024'!$G$4:$G$1413,'февраль 2024'!$D$4:$D$1413,$B65,'февраль 2024'!$J$4:$J$1413,G$1)</f>
        <v>0</v>
      </c>
      <c r="H65" s="144">
        <f>SUMIFS('февраль 2024'!$G$4:$G$1413,'февраль 2024'!$D$4:$D$1413,$B65,'февраль 2024'!$J$4:$J$1413,H$1)</f>
        <v>0</v>
      </c>
      <c r="I65" s="144">
        <f>SUMIFS('февраль 2024'!$G$4:$G$1413,'февраль 2024'!$D$4:$D$1413,$B65,'февраль 2024'!$J$4:$J$1413,I$1)</f>
        <v>0</v>
      </c>
      <c r="J65" s="144">
        <f>SUMIFS('февраль 2024'!$G$4:$G$1413,'февраль 2024'!$D$4:$D$1413,$B65,'февраль 2024'!$J$4:$J$1413,J$1)</f>
        <v>0</v>
      </c>
      <c r="K65" s="144">
        <f>SUMIFS('февраль 2024'!$G$4:$G$1413,'февраль 2024'!$D$4:$D$1413,$B65,'февраль 2024'!$J$4:$J$1413,K$1)</f>
        <v>0</v>
      </c>
      <c r="L65" s="144">
        <f>SUMIFS('февраль 2024'!$G$4:$G$1413,'февраль 2024'!$D$4:$D$1413,$B65,'февраль 2024'!$J$4:$J$1413,L$1)</f>
        <v>0</v>
      </c>
      <c r="M65" s="144">
        <f>SUMIFS('февраль 2024'!$G$4:$G$1413,'февраль 2024'!$D$4:$D$1413,$B65,'февраль 2024'!$J$4:$J$1413,M$1)</f>
        <v>0</v>
      </c>
      <c r="N65" s="144">
        <f>SUMIFS('февраль 2024'!$G$4:$G$1413,'февраль 2024'!$D$4:$D$1413,$B65,'февраль 2024'!$J$4:$J$1413,N$1)</f>
        <v>0</v>
      </c>
      <c r="O65" s="144">
        <f>SUMIFS('февраль 2024'!$G$4:$G$1413,'февраль 2024'!$D$4:$D$1413,$B65,'февраль 2024'!$J$4:$J$1413,O$1)</f>
        <v>0</v>
      </c>
      <c r="P65" s="144">
        <f>SUMIFS('февраль 2024'!$G$4:$G$1413,'февраль 2024'!$D$4:$D$1413,$B65,'февраль 2024'!$J$4:$J$1413,P$1)</f>
        <v>0</v>
      </c>
      <c r="Q65" s="144">
        <f>SUMIFS('февраль 2024'!$G$4:$G$1413,'февраль 2024'!$D$4:$D$1413,$B65,'февраль 2024'!$J$4:$J$1413,Q$1)</f>
        <v>0</v>
      </c>
      <c r="R65" s="144">
        <f>SUMIFS('февраль 2024'!$G$4:$G$1413,'февраль 2024'!$D$4:$D$1413,$B65,'февраль 2024'!$J$4:$J$1413,R$1)</f>
        <v>48</v>
      </c>
      <c r="S65" s="144">
        <f>SUMIFS('февраль 2024'!$G$4:$G$1413,'февраль 2024'!$D$4:$D$1413,$B65,'февраль 2024'!$J$4:$J$1413,S$1)</f>
        <v>0</v>
      </c>
      <c r="T65" s="144">
        <f>SUMIFS('февраль 2024'!$G$4:$G$1413,'февраль 2024'!$D$4:$D$1413,$B65,'февраль 2024'!$J$4:$J$1413,T$1)</f>
        <v>0</v>
      </c>
      <c r="U65" s="144">
        <f>SUMIFS('февраль 2024'!$G$4:$G$1413,'февраль 2024'!$D$4:$D$1413,$B65,'февраль 2024'!$J$4:$J$1413,U$1)</f>
        <v>0</v>
      </c>
      <c r="V65" s="144">
        <f>SUMIFS('февраль 2024'!$G$4:$G$1413,'февраль 2024'!$D$4:$D$1413,$B65,'февраль 2024'!$J$4:$J$1413,V$1)</f>
        <v>0</v>
      </c>
      <c r="W65" s="144">
        <f>SUMIFS('февраль 2024'!$G$4:$G$1413,'февраль 2024'!$D$4:$D$1413,$B65,'февраль 2024'!$J$4:$J$1413,W$1)</f>
        <v>256</v>
      </c>
      <c r="X65" s="144">
        <f>SUMIFS('февраль 2024'!$G$4:$G$1413,'февраль 2024'!$D$4:$D$1413,$B65,'февраль 2024'!$J$4:$J$1413,X$1)</f>
        <v>0</v>
      </c>
      <c r="Y65" s="144">
        <f>SUMIFS('февраль 2024'!$G$4:$G$1413,'февраль 2024'!$D$4:$D$1413,$B65,'февраль 2024'!$J$4:$J$1413,Y$1)</f>
        <v>0</v>
      </c>
      <c r="Z65" s="144">
        <f>SUMIFS('февраль 2024'!$G$4:$G$1413,'февраль 2024'!$D$4:$D$1413,$B65,'февраль 2024'!$J$4:$J$1413,Z$1)</f>
        <v>0</v>
      </c>
      <c r="AA65" s="144">
        <f>SUMIFS('февраль 2024'!$G$4:$G$1413,'февраль 2024'!$D$4:$D$1413,$B65,'февраль 2024'!$J$4:$J$1413,AA$1)</f>
        <v>0</v>
      </c>
      <c r="AB65" s="144">
        <f>SUMIFS('февраль 2024'!$G$4:$G$1413,'февраль 2024'!$D$4:$D$1413,$B65,'февраль 2024'!$J$4:$J$1413,AB$1)</f>
        <v>0</v>
      </c>
      <c r="AC65" s="144">
        <f>SUMIFS('февраль 2024'!$G$4:$G$1413,'февраль 2024'!$D$4:$D$1413,$B65,'февраль 2024'!$J$4:$J$1413,AC$1)</f>
        <v>160</v>
      </c>
      <c r="AD65" s="144">
        <f>SUMIFS('февраль 2024'!$G$4:$G$1413,'февраль 2024'!$D$4:$D$1413,$B65,'февраль 2024'!$J$4:$J$1413,AD$1)</f>
        <v>0</v>
      </c>
      <c r="AE65" s="144">
        <f>SUMIFS('февраль 2024'!$G$4:$G$1413,'февраль 2024'!$D$4:$D$1413,$B65,'февраль 2024'!$J$4:$J$1413,AE$1)</f>
        <v>0</v>
      </c>
      <c r="AF65" s="144">
        <f>SUMIFS('февраль 2024'!$G$4:$G$1413,'февраль 2024'!$D$4:$D$1413,$B65,'февраль 2024'!$J$4:$J$1413,AF$1)</f>
        <v>0</v>
      </c>
      <c r="AG65" s="144">
        <f>SUMIFS('февраль 2024'!$G$4:$G$1413,'февраль 2024'!$D$4:$D$1413,$B65,'февраль 2024'!$J$4:$J$1413,AG$1)</f>
        <v>0</v>
      </c>
      <c r="AH65" s="144">
        <f>SUMIFS('февраль 2024'!$G$4:$G$1413,'февраль 2024'!$D$4:$D$1413,$B65,'февраль 2024'!$J$4:$J$1413,AH$1)</f>
        <v>0</v>
      </c>
      <c r="AI65" s="21">
        <f t="shared" si="1"/>
        <v>464</v>
      </c>
    </row>
    <row r="66" spans="2:35" ht="15" customHeight="1" x14ac:dyDescent="0.25">
      <c r="B66" s="93" t="s">
        <v>213</v>
      </c>
      <c r="C66" s="91">
        <v>200</v>
      </c>
      <c r="D66" s="144">
        <f>SUMIFS('февраль 2024'!$G$4:$G$1413,'февраль 2024'!$D$4:$D$1413,$B66,'февраль 2024'!$J$4:$J$1413,D$1)</f>
        <v>0</v>
      </c>
      <c r="E66" s="144">
        <f>SUMIFS('февраль 2024'!$G$4:$G$1413,'февраль 2024'!$D$4:$D$1413,$B66,'февраль 2024'!$J$4:$J$1413,E$1)</f>
        <v>0</v>
      </c>
      <c r="F66" s="144">
        <f>SUMIFS('февраль 2024'!$G$4:$G$1413,'февраль 2024'!$D$4:$D$1413,$B66,'февраль 2024'!$J$4:$J$1413,F$1)</f>
        <v>0</v>
      </c>
      <c r="G66" s="144">
        <f>SUMIFS('февраль 2024'!$G$4:$G$1413,'февраль 2024'!$D$4:$D$1413,$B66,'февраль 2024'!$J$4:$J$1413,G$1)</f>
        <v>0</v>
      </c>
      <c r="H66" s="144">
        <f>SUMIFS('февраль 2024'!$G$4:$G$1413,'февраль 2024'!$D$4:$D$1413,$B66,'февраль 2024'!$J$4:$J$1413,H$1)</f>
        <v>0</v>
      </c>
      <c r="I66" s="144">
        <f>SUMIFS('февраль 2024'!$G$4:$G$1413,'февраль 2024'!$D$4:$D$1413,$B66,'февраль 2024'!$J$4:$J$1413,I$1)</f>
        <v>0</v>
      </c>
      <c r="J66" s="144">
        <f>SUMIFS('февраль 2024'!$G$4:$G$1413,'февраль 2024'!$D$4:$D$1413,$B66,'февраль 2024'!$J$4:$J$1413,J$1)</f>
        <v>0</v>
      </c>
      <c r="K66" s="144">
        <f>SUMIFS('февраль 2024'!$G$4:$G$1413,'февраль 2024'!$D$4:$D$1413,$B66,'февраль 2024'!$J$4:$J$1413,K$1)</f>
        <v>0</v>
      </c>
      <c r="L66" s="144">
        <f>SUMIFS('февраль 2024'!$G$4:$G$1413,'февраль 2024'!$D$4:$D$1413,$B66,'февраль 2024'!$J$4:$J$1413,L$1)</f>
        <v>0</v>
      </c>
      <c r="M66" s="144">
        <f>SUMIFS('февраль 2024'!$G$4:$G$1413,'февраль 2024'!$D$4:$D$1413,$B66,'февраль 2024'!$J$4:$J$1413,M$1)</f>
        <v>0</v>
      </c>
      <c r="N66" s="144">
        <f>SUMIFS('февраль 2024'!$G$4:$G$1413,'февраль 2024'!$D$4:$D$1413,$B66,'февраль 2024'!$J$4:$J$1413,N$1)</f>
        <v>0</v>
      </c>
      <c r="O66" s="144">
        <f>SUMIFS('февраль 2024'!$G$4:$G$1413,'февраль 2024'!$D$4:$D$1413,$B66,'февраль 2024'!$J$4:$J$1413,O$1)</f>
        <v>0</v>
      </c>
      <c r="P66" s="144">
        <f>SUMIFS('февраль 2024'!$G$4:$G$1413,'февраль 2024'!$D$4:$D$1413,$B66,'февраль 2024'!$J$4:$J$1413,P$1)</f>
        <v>0</v>
      </c>
      <c r="Q66" s="144">
        <f>SUMIFS('февраль 2024'!$G$4:$G$1413,'февраль 2024'!$D$4:$D$1413,$B66,'февраль 2024'!$J$4:$J$1413,Q$1)</f>
        <v>0</v>
      </c>
      <c r="R66" s="144">
        <f>SUMIFS('февраль 2024'!$G$4:$G$1413,'февраль 2024'!$D$4:$D$1413,$B66,'февраль 2024'!$J$4:$J$1413,R$1)</f>
        <v>0</v>
      </c>
      <c r="S66" s="144">
        <f>SUMIFS('февраль 2024'!$G$4:$G$1413,'февраль 2024'!$D$4:$D$1413,$B66,'февраль 2024'!$J$4:$J$1413,S$1)</f>
        <v>0</v>
      </c>
      <c r="T66" s="144">
        <f>SUMIFS('февраль 2024'!$G$4:$G$1413,'февраль 2024'!$D$4:$D$1413,$B66,'февраль 2024'!$J$4:$J$1413,T$1)</f>
        <v>0</v>
      </c>
      <c r="U66" s="144">
        <f>SUMIFS('февраль 2024'!$G$4:$G$1413,'февраль 2024'!$D$4:$D$1413,$B66,'февраль 2024'!$J$4:$J$1413,U$1)</f>
        <v>0</v>
      </c>
      <c r="V66" s="144">
        <f>SUMIFS('февраль 2024'!$G$4:$G$1413,'февраль 2024'!$D$4:$D$1413,$B66,'февраль 2024'!$J$4:$J$1413,V$1)</f>
        <v>0</v>
      </c>
      <c r="W66" s="144">
        <f>SUMIFS('февраль 2024'!$G$4:$G$1413,'февраль 2024'!$D$4:$D$1413,$B66,'февраль 2024'!$J$4:$J$1413,W$1)</f>
        <v>0</v>
      </c>
      <c r="X66" s="144">
        <f>SUMIFS('февраль 2024'!$G$4:$G$1413,'февраль 2024'!$D$4:$D$1413,$B66,'февраль 2024'!$J$4:$J$1413,X$1)</f>
        <v>0</v>
      </c>
      <c r="Y66" s="144">
        <f>SUMIFS('февраль 2024'!$G$4:$G$1413,'февраль 2024'!$D$4:$D$1413,$B66,'февраль 2024'!$J$4:$J$1413,Y$1)</f>
        <v>0</v>
      </c>
      <c r="Z66" s="144">
        <f>SUMIFS('февраль 2024'!$G$4:$G$1413,'февраль 2024'!$D$4:$D$1413,$B66,'февраль 2024'!$J$4:$J$1413,Z$1)</f>
        <v>0</v>
      </c>
      <c r="AA66" s="144">
        <f>SUMIFS('февраль 2024'!$G$4:$G$1413,'февраль 2024'!$D$4:$D$1413,$B66,'февраль 2024'!$J$4:$J$1413,AA$1)</f>
        <v>0</v>
      </c>
      <c r="AB66" s="144">
        <f>SUMIFS('февраль 2024'!$G$4:$G$1413,'февраль 2024'!$D$4:$D$1413,$B66,'февраль 2024'!$J$4:$J$1413,AB$1)</f>
        <v>0</v>
      </c>
      <c r="AC66" s="144">
        <f>SUMIFS('февраль 2024'!$G$4:$G$1413,'февраль 2024'!$D$4:$D$1413,$B66,'февраль 2024'!$J$4:$J$1413,AC$1)</f>
        <v>0</v>
      </c>
      <c r="AD66" s="144">
        <f>SUMIFS('февраль 2024'!$G$4:$G$1413,'февраль 2024'!$D$4:$D$1413,$B66,'февраль 2024'!$J$4:$J$1413,AD$1)</f>
        <v>0</v>
      </c>
      <c r="AE66" s="144">
        <f>SUMIFS('февраль 2024'!$G$4:$G$1413,'февраль 2024'!$D$4:$D$1413,$B66,'февраль 2024'!$J$4:$J$1413,AE$1)</f>
        <v>0</v>
      </c>
      <c r="AF66" s="144">
        <f>SUMIFS('февраль 2024'!$G$4:$G$1413,'февраль 2024'!$D$4:$D$1413,$B66,'февраль 2024'!$J$4:$J$1413,AF$1)</f>
        <v>0</v>
      </c>
      <c r="AG66" s="144">
        <f>SUMIFS('февраль 2024'!$G$4:$G$1413,'февраль 2024'!$D$4:$D$1413,$B66,'февраль 2024'!$J$4:$J$1413,AG$1)</f>
        <v>0</v>
      </c>
      <c r="AH66" s="144">
        <f>SUMIFS('февраль 2024'!$G$4:$G$1413,'февраль 2024'!$D$4:$D$1413,$B66,'февраль 2024'!$J$4:$J$1413,AH$1)</f>
        <v>0</v>
      </c>
      <c r="AI66" s="21">
        <f t="shared" si="1"/>
        <v>0</v>
      </c>
    </row>
    <row r="67" spans="2:35" ht="15" customHeight="1" x14ac:dyDescent="0.25">
      <c r="B67" s="93" t="s">
        <v>197</v>
      </c>
      <c r="C67" s="91">
        <v>200</v>
      </c>
      <c r="D67" s="144">
        <f>SUMIFS('февраль 2024'!$G$4:$G$1413,'февраль 2024'!$D$4:$D$1413,$B67,'февраль 2024'!$J$4:$J$1413,D$1)</f>
        <v>0</v>
      </c>
      <c r="E67" s="144">
        <f>SUMIFS('февраль 2024'!$G$4:$G$1413,'февраль 2024'!$D$4:$D$1413,$B67,'февраль 2024'!$J$4:$J$1413,E$1)</f>
        <v>0</v>
      </c>
      <c r="F67" s="144">
        <f>SUMIFS('февраль 2024'!$G$4:$G$1413,'февраль 2024'!$D$4:$D$1413,$B67,'февраль 2024'!$J$4:$J$1413,F$1)</f>
        <v>0</v>
      </c>
      <c r="G67" s="144">
        <f>SUMIFS('февраль 2024'!$G$4:$G$1413,'февраль 2024'!$D$4:$D$1413,$B67,'февраль 2024'!$J$4:$J$1413,G$1)</f>
        <v>0</v>
      </c>
      <c r="H67" s="144">
        <f>SUMIFS('февраль 2024'!$G$4:$G$1413,'февраль 2024'!$D$4:$D$1413,$B67,'февраль 2024'!$J$4:$J$1413,H$1)</f>
        <v>0</v>
      </c>
      <c r="I67" s="144">
        <f>SUMIFS('февраль 2024'!$G$4:$G$1413,'февраль 2024'!$D$4:$D$1413,$B67,'февраль 2024'!$J$4:$J$1413,I$1)</f>
        <v>0</v>
      </c>
      <c r="J67" s="144">
        <f>SUMIFS('февраль 2024'!$G$4:$G$1413,'февраль 2024'!$D$4:$D$1413,$B67,'февраль 2024'!$J$4:$J$1413,J$1)</f>
        <v>0</v>
      </c>
      <c r="K67" s="144">
        <f>SUMIFS('февраль 2024'!$G$4:$G$1413,'февраль 2024'!$D$4:$D$1413,$B67,'февраль 2024'!$J$4:$J$1413,K$1)</f>
        <v>0</v>
      </c>
      <c r="L67" s="144">
        <f>SUMIFS('февраль 2024'!$G$4:$G$1413,'февраль 2024'!$D$4:$D$1413,$B67,'февраль 2024'!$J$4:$J$1413,L$1)</f>
        <v>0</v>
      </c>
      <c r="M67" s="144">
        <f>SUMIFS('февраль 2024'!$G$4:$G$1413,'февраль 2024'!$D$4:$D$1413,$B67,'февраль 2024'!$J$4:$J$1413,M$1)</f>
        <v>0</v>
      </c>
      <c r="N67" s="144">
        <f>SUMIFS('февраль 2024'!$G$4:$G$1413,'февраль 2024'!$D$4:$D$1413,$B67,'февраль 2024'!$J$4:$J$1413,N$1)</f>
        <v>0</v>
      </c>
      <c r="O67" s="144">
        <f>SUMIFS('февраль 2024'!$G$4:$G$1413,'февраль 2024'!$D$4:$D$1413,$B67,'февраль 2024'!$J$4:$J$1413,O$1)</f>
        <v>0</v>
      </c>
      <c r="P67" s="144">
        <f>SUMIFS('февраль 2024'!$G$4:$G$1413,'февраль 2024'!$D$4:$D$1413,$B67,'февраль 2024'!$J$4:$J$1413,P$1)</f>
        <v>0</v>
      </c>
      <c r="Q67" s="144">
        <f>SUMIFS('февраль 2024'!$G$4:$G$1413,'февраль 2024'!$D$4:$D$1413,$B67,'февраль 2024'!$J$4:$J$1413,Q$1)</f>
        <v>0</v>
      </c>
      <c r="R67" s="144">
        <f>SUMIFS('февраль 2024'!$G$4:$G$1413,'февраль 2024'!$D$4:$D$1413,$B67,'февраль 2024'!$J$4:$J$1413,R$1)</f>
        <v>0</v>
      </c>
      <c r="S67" s="144">
        <f>SUMIFS('февраль 2024'!$G$4:$G$1413,'февраль 2024'!$D$4:$D$1413,$B67,'февраль 2024'!$J$4:$J$1413,S$1)</f>
        <v>0</v>
      </c>
      <c r="T67" s="144">
        <f>SUMIFS('февраль 2024'!$G$4:$G$1413,'февраль 2024'!$D$4:$D$1413,$B67,'февраль 2024'!$J$4:$J$1413,T$1)</f>
        <v>0</v>
      </c>
      <c r="U67" s="144">
        <f>SUMIFS('февраль 2024'!$G$4:$G$1413,'февраль 2024'!$D$4:$D$1413,$B67,'февраль 2024'!$J$4:$J$1413,U$1)</f>
        <v>0</v>
      </c>
      <c r="V67" s="144">
        <f>SUMIFS('февраль 2024'!$G$4:$G$1413,'февраль 2024'!$D$4:$D$1413,$B67,'февраль 2024'!$J$4:$J$1413,V$1)</f>
        <v>0</v>
      </c>
      <c r="W67" s="144">
        <f>SUMIFS('февраль 2024'!$G$4:$G$1413,'февраль 2024'!$D$4:$D$1413,$B67,'февраль 2024'!$J$4:$J$1413,W$1)</f>
        <v>0</v>
      </c>
      <c r="X67" s="144">
        <f>SUMIFS('февраль 2024'!$G$4:$G$1413,'февраль 2024'!$D$4:$D$1413,$B67,'февраль 2024'!$J$4:$J$1413,X$1)</f>
        <v>0</v>
      </c>
      <c r="Y67" s="144">
        <f>SUMIFS('февраль 2024'!$G$4:$G$1413,'февраль 2024'!$D$4:$D$1413,$B67,'февраль 2024'!$J$4:$J$1413,Y$1)</f>
        <v>0</v>
      </c>
      <c r="Z67" s="144">
        <f>SUMIFS('февраль 2024'!$G$4:$G$1413,'февраль 2024'!$D$4:$D$1413,$B67,'февраль 2024'!$J$4:$J$1413,Z$1)</f>
        <v>0</v>
      </c>
      <c r="AA67" s="144">
        <f>SUMIFS('февраль 2024'!$G$4:$G$1413,'февраль 2024'!$D$4:$D$1413,$B67,'февраль 2024'!$J$4:$J$1413,AA$1)</f>
        <v>0</v>
      </c>
      <c r="AB67" s="144">
        <f>SUMIFS('февраль 2024'!$G$4:$G$1413,'февраль 2024'!$D$4:$D$1413,$B67,'февраль 2024'!$J$4:$J$1413,AB$1)</f>
        <v>0</v>
      </c>
      <c r="AC67" s="144">
        <f>SUMIFS('февраль 2024'!$G$4:$G$1413,'февраль 2024'!$D$4:$D$1413,$B67,'февраль 2024'!$J$4:$J$1413,AC$1)</f>
        <v>0</v>
      </c>
      <c r="AD67" s="144">
        <f>SUMIFS('февраль 2024'!$G$4:$G$1413,'февраль 2024'!$D$4:$D$1413,$B67,'февраль 2024'!$J$4:$J$1413,AD$1)</f>
        <v>0</v>
      </c>
      <c r="AE67" s="144">
        <f>SUMIFS('февраль 2024'!$G$4:$G$1413,'февраль 2024'!$D$4:$D$1413,$B67,'февраль 2024'!$J$4:$J$1413,AE$1)</f>
        <v>0</v>
      </c>
      <c r="AF67" s="144">
        <f>SUMIFS('февраль 2024'!$G$4:$G$1413,'февраль 2024'!$D$4:$D$1413,$B67,'февраль 2024'!$J$4:$J$1413,AF$1)</f>
        <v>0</v>
      </c>
      <c r="AG67" s="144">
        <f>SUMIFS('февраль 2024'!$G$4:$G$1413,'февраль 2024'!$D$4:$D$1413,$B67,'февраль 2024'!$J$4:$J$1413,AG$1)</f>
        <v>0</v>
      </c>
      <c r="AH67" s="144">
        <f>SUMIFS('февраль 2024'!$G$4:$G$1413,'февраль 2024'!$D$4:$D$1413,$B67,'февраль 2024'!$J$4:$J$1413,AH$1)</f>
        <v>0</v>
      </c>
      <c r="AI67" s="21">
        <f t="shared" si="1"/>
        <v>0</v>
      </c>
    </row>
    <row r="68" spans="2:35" ht="15" customHeight="1" x14ac:dyDescent="0.25">
      <c r="B68" s="93" t="s">
        <v>198</v>
      </c>
      <c r="C68" s="91">
        <v>200</v>
      </c>
      <c r="D68" s="144">
        <f>SUMIFS('февраль 2024'!$G$4:$G$1413,'февраль 2024'!$D$4:$D$1413,$B68,'февраль 2024'!$J$4:$J$1413,D$1)</f>
        <v>0</v>
      </c>
      <c r="E68" s="144">
        <f>SUMIFS('февраль 2024'!$G$4:$G$1413,'февраль 2024'!$D$4:$D$1413,$B68,'февраль 2024'!$J$4:$J$1413,E$1)</f>
        <v>0</v>
      </c>
      <c r="F68" s="144">
        <f>SUMIFS('февраль 2024'!$G$4:$G$1413,'февраль 2024'!$D$4:$D$1413,$B68,'февраль 2024'!$J$4:$J$1413,F$1)</f>
        <v>0</v>
      </c>
      <c r="G68" s="144">
        <f>SUMIFS('февраль 2024'!$G$4:$G$1413,'февраль 2024'!$D$4:$D$1413,$B68,'февраль 2024'!$J$4:$J$1413,G$1)</f>
        <v>0</v>
      </c>
      <c r="H68" s="144">
        <f>SUMIFS('февраль 2024'!$G$4:$G$1413,'февраль 2024'!$D$4:$D$1413,$B68,'февраль 2024'!$J$4:$J$1413,H$1)</f>
        <v>0</v>
      </c>
      <c r="I68" s="144">
        <f>SUMIFS('февраль 2024'!$G$4:$G$1413,'февраль 2024'!$D$4:$D$1413,$B68,'февраль 2024'!$J$4:$J$1413,I$1)</f>
        <v>0</v>
      </c>
      <c r="J68" s="144">
        <f>SUMIFS('февраль 2024'!$G$4:$G$1413,'февраль 2024'!$D$4:$D$1413,$B68,'февраль 2024'!$J$4:$J$1413,J$1)</f>
        <v>0</v>
      </c>
      <c r="K68" s="144">
        <f>SUMIFS('февраль 2024'!$G$4:$G$1413,'февраль 2024'!$D$4:$D$1413,$B68,'февраль 2024'!$J$4:$J$1413,K$1)</f>
        <v>0</v>
      </c>
      <c r="L68" s="144">
        <f>SUMIFS('февраль 2024'!$G$4:$G$1413,'февраль 2024'!$D$4:$D$1413,$B68,'февраль 2024'!$J$4:$J$1413,L$1)</f>
        <v>0</v>
      </c>
      <c r="M68" s="144">
        <f>SUMIFS('февраль 2024'!$G$4:$G$1413,'февраль 2024'!$D$4:$D$1413,$B68,'февраль 2024'!$J$4:$J$1413,M$1)</f>
        <v>0</v>
      </c>
      <c r="N68" s="144">
        <f>SUMIFS('февраль 2024'!$G$4:$G$1413,'февраль 2024'!$D$4:$D$1413,$B68,'февраль 2024'!$J$4:$J$1413,N$1)</f>
        <v>0</v>
      </c>
      <c r="O68" s="144">
        <f>SUMIFS('февраль 2024'!$G$4:$G$1413,'февраль 2024'!$D$4:$D$1413,$B68,'февраль 2024'!$J$4:$J$1413,O$1)</f>
        <v>0</v>
      </c>
      <c r="P68" s="144">
        <f>SUMIFS('февраль 2024'!$G$4:$G$1413,'февраль 2024'!$D$4:$D$1413,$B68,'февраль 2024'!$J$4:$J$1413,P$1)</f>
        <v>0</v>
      </c>
      <c r="Q68" s="144">
        <f>SUMIFS('февраль 2024'!$G$4:$G$1413,'февраль 2024'!$D$4:$D$1413,$B68,'февраль 2024'!$J$4:$J$1413,Q$1)</f>
        <v>0</v>
      </c>
      <c r="R68" s="144">
        <f>SUMIFS('февраль 2024'!$G$4:$G$1413,'февраль 2024'!$D$4:$D$1413,$B68,'февраль 2024'!$J$4:$J$1413,R$1)</f>
        <v>0</v>
      </c>
      <c r="S68" s="144">
        <f>SUMIFS('февраль 2024'!$G$4:$G$1413,'февраль 2024'!$D$4:$D$1413,$B68,'февраль 2024'!$J$4:$J$1413,S$1)</f>
        <v>0</v>
      </c>
      <c r="T68" s="144">
        <f>SUMIFS('февраль 2024'!$G$4:$G$1413,'февраль 2024'!$D$4:$D$1413,$B68,'февраль 2024'!$J$4:$J$1413,T$1)</f>
        <v>0</v>
      </c>
      <c r="U68" s="144">
        <f>SUMIFS('февраль 2024'!$G$4:$G$1413,'февраль 2024'!$D$4:$D$1413,$B68,'февраль 2024'!$J$4:$J$1413,U$1)</f>
        <v>0</v>
      </c>
      <c r="V68" s="144">
        <f>SUMIFS('февраль 2024'!$G$4:$G$1413,'февраль 2024'!$D$4:$D$1413,$B68,'февраль 2024'!$J$4:$J$1413,V$1)</f>
        <v>0</v>
      </c>
      <c r="W68" s="144">
        <f>SUMIFS('февраль 2024'!$G$4:$G$1413,'февраль 2024'!$D$4:$D$1413,$B68,'февраль 2024'!$J$4:$J$1413,W$1)</f>
        <v>0</v>
      </c>
      <c r="X68" s="144">
        <f>SUMIFS('февраль 2024'!$G$4:$G$1413,'февраль 2024'!$D$4:$D$1413,$B68,'февраль 2024'!$J$4:$J$1413,X$1)</f>
        <v>0</v>
      </c>
      <c r="Y68" s="144">
        <f>SUMIFS('февраль 2024'!$G$4:$G$1413,'февраль 2024'!$D$4:$D$1413,$B68,'февраль 2024'!$J$4:$J$1413,Y$1)</f>
        <v>0</v>
      </c>
      <c r="Z68" s="144">
        <f>SUMIFS('февраль 2024'!$G$4:$G$1413,'февраль 2024'!$D$4:$D$1413,$B68,'февраль 2024'!$J$4:$J$1413,Z$1)</f>
        <v>0</v>
      </c>
      <c r="AA68" s="144">
        <f>SUMIFS('февраль 2024'!$G$4:$G$1413,'февраль 2024'!$D$4:$D$1413,$B68,'февраль 2024'!$J$4:$J$1413,AA$1)</f>
        <v>0</v>
      </c>
      <c r="AB68" s="144">
        <f>SUMIFS('февраль 2024'!$G$4:$G$1413,'февраль 2024'!$D$4:$D$1413,$B68,'февраль 2024'!$J$4:$J$1413,AB$1)</f>
        <v>0</v>
      </c>
      <c r="AC68" s="144">
        <f>SUMIFS('февраль 2024'!$G$4:$G$1413,'февраль 2024'!$D$4:$D$1413,$B68,'февраль 2024'!$J$4:$J$1413,AC$1)</f>
        <v>0</v>
      </c>
      <c r="AD68" s="144">
        <f>SUMIFS('февраль 2024'!$G$4:$G$1413,'февраль 2024'!$D$4:$D$1413,$B68,'февраль 2024'!$J$4:$J$1413,AD$1)</f>
        <v>0</v>
      </c>
      <c r="AE68" s="144">
        <f>SUMIFS('февраль 2024'!$G$4:$G$1413,'февраль 2024'!$D$4:$D$1413,$B68,'февраль 2024'!$J$4:$J$1413,AE$1)</f>
        <v>0</v>
      </c>
      <c r="AF68" s="144">
        <f>SUMIFS('февраль 2024'!$G$4:$G$1413,'февраль 2024'!$D$4:$D$1413,$B68,'февраль 2024'!$J$4:$J$1413,AF$1)</f>
        <v>0</v>
      </c>
      <c r="AG68" s="144">
        <f>SUMIFS('февраль 2024'!$G$4:$G$1413,'февраль 2024'!$D$4:$D$1413,$B68,'февраль 2024'!$J$4:$J$1413,AG$1)</f>
        <v>0</v>
      </c>
      <c r="AH68" s="144">
        <f>SUMIFS('февраль 2024'!$G$4:$G$1413,'февраль 2024'!$D$4:$D$1413,$B68,'февраль 2024'!$J$4:$J$1413,AH$1)</f>
        <v>0</v>
      </c>
      <c r="AI68" s="21">
        <f t="shared" si="1"/>
        <v>0</v>
      </c>
    </row>
    <row r="69" spans="2:35" ht="15" customHeight="1" x14ac:dyDescent="0.25">
      <c r="B69" s="93" t="s">
        <v>320</v>
      </c>
      <c r="C69" s="91">
        <v>190</v>
      </c>
      <c r="D69" s="144">
        <f>SUMIFS('февраль 2024'!$G$4:$G$1413,'февраль 2024'!$D$4:$D$1413,$B69,'февраль 2024'!$J$4:$J$1413,D$1)</f>
        <v>0</v>
      </c>
      <c r="E69" s="144">
        <f>SUMIFS('февраль 2024'!$G$4:$G$1413,'февраль 2024'!$D$4:$D$1413,$B69,'февраль 2024'!$J$4:$J$1413,E$1)</f>
        <v>0</v>
      </c>
      <c r="F69" s="144">
        <f>SUMIFS('февраль 2024'!$G$4:$G$1413,'февраль 2024'!$D$4:$D$1413,$B69,'февраль 2024'!$J$4:$J$1413,F$1)</f>
        <v>0</v>
      </c>
      <c r="G69" s="144">
        <f>SUMIFS('февраль 2024'!$G$4:$G$1413,'февраль 2024'!$D$4:$D$1413,$B69,'февраль 2024'!$J$4:$J$1413,G$1)</f>
        <v>0</v>
      </c>
      <c r="H69" s="144">
        <f>SUMIFS('февраль 2024'!$G$4:$G$1413,'февраль 2024'!$D$4:$D$1413,$B69,'февраль 2024'!$J$4:$J$1413,H$1)</f>
        <v>0</v>
      </c>
      <c r="I69" s="144">
        <f>SUMIFS('февраль 2024'!$G$4:$G$1413,'февраль 2024'!$D$4:$D$1413,$B69,'февраль 2024'!$J$4:$J$1413,I$1)</f>
        <v>0</v>
      </c>
      <c r="J69" s="144">
        <f>SUMIFS('февраль 2024'!$G$4:$G$1413,'февраль 2024'!$D$4:$D$1413,$B69,'февраль 2024'!$J$4:$J$1413,J$1)</f>
        <v>0</v>
      </c>
      <c r="K69" s="144">
        <f>SUMIFS('февраль 2024'!$G$4:$G$1413,'февраль 2024'!$D$4:$D$1413,$B69,'февраль 2024'!$J$4:$J$1413,K$1)</f>
        <v>0</v>
      </c>
      <c r="L69" s="144">
        <f>SUMIFS('февраль 2024'!$G$4:$G$1413,'февраль 2024'!$D$4:$D$1413,$B69,'февраль 2024'!$J$4:$J$1413,L$1)</f>
        <v>0</v>
      </c>
      <c r="M69" s="144">
        <f>SUMIFS('февраль 2024'!$G$4:$G$1413,'февраль 2024'!$D$4:$D$1413,$B69,'февраль 2024'!$J$4:$J$1413,M$1)</f>
        <v>0</v>
      </c>
      <c r="N69" s="144">
        <f>SUMIFS('февраль 2024'!$G$4:$G$1413,'февраль 2024'!$D$4:$D$1413,$B69,'февраль 2024'!$J$4:$J$1413,N$1)</f>
        <v>0</v>
      </c>
      <c r="O69" s="144">
        <f>SUMIFS('февраль 2024'!$G$4:$G$1413,'февраль 2024'!$D$4:$D$1413,$B69,'февраль 2024'!$J$4:$J$1413,O$1)</f>
        <v>0</v>
      </c>
      <c r="P69" s="144">
        <f>SUMIFS('февраль 2024'!$G$4:$G$1413,'февраль 2024'!$D$4:$D$1413,$B69,'февраль 2024'!$J$4:$J$1413,P$1)</f>
        <v>0</v>
      </c>
      <c r="Q69" s="144">
        <f>SUMIFS('февраль 2024'!$G$4:$G$1413,'февраль 2024'!$D$4:$D$1413,$B69,'февраль 2024'!$J$4:$J$1413,Q$1)</f>
        <v>0</v>
      </c>
      <c r="R69" s="144">
        <f>SUMIFS('февраль 2024'!$G$4:$G$1413,'февраль 2024'!$D$4:$D$1413,$B69,'февраль 2024'!$J$4:$J$1413,R$1)</f>
        <v>0</v>
      </c>
      <c r="S69" s="144">
        <f>SUMIFS('февраль 2024'!$G$4:$G$1413,'февраль 2024'!$D$4:$D$1413,$B69,'февраль 2024'!$J$4:$J$1413,S$1)</f>
        <v>0</v>
      </c>
      <c r="T69" s="144">
        <f>SUMIFS('февраль 2024'!$G$4:$G$1413,'февраль 2024'!$D$4:$D$1413,$B69,'февраль 2024'!$J$4:$J$1413,T$1)</f>
        <v>0</v>
      </c>
      <c r="U69" s="144">
        <f>SUMIFS('февраль 2024'!$G$4:$G$1413,'февраль 2024'!$D$4:$D$1413,$B69,'февраль 2024'!$J$4:$J$1413,U$1)</f>
        <v>0</v>
      </c>
      <c r="V69" s="144">
        <f>SUMIFS('февраль 2024'!$G$4:$G$1413,'февраль 2024'!$D$4:$D$1413,$B69,'февраль 2024'!$J$4:$J$1413,V$1)</f>
        <v>0</v>
      </c>
      <c r="W69" s="144">
        <f>SUMIFS('февраль 2024'!$G$4:$G$1413,'февраль 2024'!$D$4:$D$1413,$B69,'февраль 2024'!$J$4:$J$1413,W$1)</f>
        <v>0</v>
      </c>
      <c r="X69" s="144">
        <f>SUMIFS('февраль 2024'!$G$4:$G$1413,'февраль 2024'!$D$4:$D$1413,$B69,'февраль 2024'!$J$4:$J$1413,X$1)</f>
        <v>0</v>
      </c>
      <c r="Y69" s="144">
        <f>SUMIFS('февраль 2024'!$G$4:$G$1413,'февраль 2024'!$D$4:$D$1413,$B69,'февраль 2024'!$J$4:$J$1413,Y$1)</f>
        <v>0</v>
      </c>
      <c r="Z69" s="144">
        <f>SUMIFS('февраль 2024'!$G$4:$G$1413,'февраль 2024'!$D$4:$D$1413,$B69,'февраль 2024'!$J$4:$J$1413,Z$1)</f>
        <v>0</v>
      </c>
      <c r="AA69" s="144">
        <f>SUMIFS('февраль 2024'!$G$4:$G$1413,'февраль 2024'!$D$4:$D$1413,$B69,'февраль 2024'!$J$4:$J$1413,AA$1)</f>
        <v>0</v>
      </c>
      <c r="AB69" s="144">
        <f>SUMIFS('февраль 2024'!$G$4:$G$1413,'февраль 2024'!$D$4:$D$1413,$B69,'февраль 2024'!$J$4:$J$1413,AB$1)</f>
        <v>0</v>
      </c>
      <c r="AC69" s="144">
        <f>SUMIFS('февраль 2024'!$G$4:$G$1413,'февраль 2024'!$D$4:$D$1413,$B69,'февраль 2024'!$J$4:$J$1413,AC$1)</f>
        <v>0</v>
      </c>
      <c r="AD69" s="144">
        <f>SUMIFS('февраль 2024'!$G$4:$G$1413,'февраль 2024'!$D$4:$D$1413,$B69,'февраль 2024'!$J$4:$J$1413,AD$1)</f>
        <v>0</v>
      </c>
      <c r="AE69" s="144">
        <f>SUMIFS('февраль 2024'!$G$4:$G$1413,'февраль 2024'!$D$4:$D$1413,$B69,'февраль 2024'!$J$4:$J$1413,AE$1)</f>
        <v>0</v>
      </c>
      <c r="AF69" s="144">
        <f>SUMIFS('февраль 2024'!$G$4:$G$1413,'февраль 2024'!$D$4:$D$1413,$B69,'февраль 2024'!$J$4:$J$1413,AF$1)</f>
        <v>0</v>
      </c>
      <c r="AG69" s="144">
        <f>SUMIFS('февраль 2024'!$G$4:$G$1413,'февраль 2024'!$D$4:$D$1413,$B69,'февраль 2024'!$J$4:$J$1413,AG$1)</f>
        <v>0</v>
      </c>
      <c r="AH69" s="144">
        <f>SUMIFS('февраль 2024'!$G$4:$G$1413,'февраль 2024'!$D$4:$D$1413,$B69,'февраль 2024'!$J$4:$J$1413,AH$1)</f>
        <v>0</v>
      </c>
      <c r="AI69" s="21">
        <f t="shared" si="1"/>
        <v>0</v>
      </c>
    </row>
    <row r="70" spans="2:35" ht="15" customHeight="1" x14ac:dyDescent="0.25">
      <c r="B70" s="93" t="s">
        <v>210</v>
      </c>
      <c r="C70" s="91">
        <v>200</v>
      </c>
      <c r="D70" s="144">
        <f>SUMIFS('февраль 2024'!$G$4:$G$1413,'февраль 2024'!$D$4:$D$1413,$B70,'февраль 2024'!$J$4:$J$1413,D$1)</f>
        <v>0</v>
      </c>
      <c r="E70" s="144">
        <f>SUMIFS('февраль 2024'!$G$4:$G$1413,'февраль 2024'!$D$4:$D$1413,$B70,'февраль 2024'!$J$4:$J$1413,E$1)</f>
        <v>0</v>
      </c>
      <c r="F70" s="144">
        <f>SUMIFS('февраль 2024'!$G$4:$G$1413,'февраль 2024'!$D$4:$D$1413,$B70,'февраль 2024'!$J$4:$J$1413,F$1)</f>
        <v>0</v>
      </c>
      <c r="G70" s="144">
        <f>SUMIFS('февраль 2024'!$G$4:$G$1413,'февраль 2024'!$D$4:$D$1413,$B70,'февраль 2024'!$J$4:$J$1413,G$1)</f>
        <v>0</v>
      </c>
      <c r="H70" s="144">
        <f>SUMIFS('февраль 2024'!$G$4:$G$1413,'февраль 2024'!$D$4:$D$1413,$B70,'февраль 2024'!$J$4:$J$1413,H$1)</f>
        <v>0</v>
      </c>
      <c r="I70" s="144">
        <f>SUMIFS('февраль 2024'!$G$4:$G$1413,'февраль 2024'!$D$4:$D$1413,$B70,'февраль 2024'!$J$4:$J$1413,I$1)</f>
        <v>0</v>
      </c>
      <c r="J70" s="144">
        <f>SUMIFS('февраль 2024'!$G$4:$G$1413,'февраль 2024'!$D$4:$D$1413,$B70,'февраль 2024'!$J$4:$J$1413,J$1)</f>
        <v>0</v>
      </c>
      <c r="K70" s="144">
        <f>SUMIFS('февраль 2024'!$G$4:$G$1413,'февраль 2024'!$D$4:$D$1413,$B70,'февраль 2024'!$J$4:$J$1413,K$1)</f>
        <v>0</v>
      </c>
      <c r="L70" s="144">
        <f>SUMIFS('февраль 2024'!$G$4:$G$1413,'февраль 2024'!$D$4:$D$1413,$B70,'февраль 2024'!$J$4:$J$1413,L$1)</f>
        <v>0</v>
      </c>
      <c r="M70" s="144">
        <f>SUMIFS('февраль 2024'!$G$4:$G$1413,'февраль 2024'!$D$4:$D$1413,$B70,'февраль 2024'!$J$4:$J$1413,M$1)</f>
        <v>0</v>
      </c>
      <c r="N70" s="144">
        <f>SUMIFS('февраль 2024'!$G$4:$G$1413,'февраль 2024'!$D$4:$D$1413,$B70,'февраль 2024'!$J$4:$J$1413,N$1)</f>
        <v>0</v>
      </c>
      <c r="O70" s="144">
        <f>SUMIFS('февраль 2024'!$G$4:$G$1413,'февраль 2024'!$D$4:$D$1413,$B70,'февраль 2024'!$J$4:$J$1413,O$1)</f>
        <v>0</v>
      </c>
      <c r="P70" s="144">
        <f>SUMIFS('февраль 2024'!$G$4:$G$1413,'февраль 2024'!$D$4:$D$1413,$B70,'февраль 2024'!$J$4:$J$1413,P$1)</f>
        <v>0</v>
      </c>
      <c r="Q70" s="144">
        <f>SUMIFS('февраль 2024'!$G$4:$G$1413,'февраль 2024'!$D$4:$D$1413,$B70,'февраль 2024'!$J$4:$J$1413,Q$1)</f>
        <v>0</v>
      </c>
      <c r="R70" s="144">
        <f>SUMIFS('февраль 2024'!$G$4:$G$1413,'февраль 2024'!$D$4:$D$1413,$B70,'февраль 2024'!$J$4:$J$1413,R$1)</f>
        <v>0</v>
      </c>
      <c r="S70" s="144">
        <f>SUMIFS('февраль 2024'!$G$4:$G$1413,'февраль 2024'!$D$4:$D$1413,$B70,'февраль 2024'!$J$4:$J$1413,S$1)</f>
        <v>0</v>
      </c>
      <c r="T70" s="144">
        <f>SUMIFS('февраль 2024'!$G$4:$G$1413,'февраль 2024'!$D$4:$D$1413,$B70,'февраль 2024'!$J$4:$J$1413,T$1)</f>
        <v>0</v>
      </c>
      <c r="U70" s="144">
        <f>SUMIFS('февраль 2024'!$G$4:$G$1413,'февраль 2024'!$D$4:$D$1413,$B70,'февраль 2024'!$J$4:$J$1413,U$1)</f>
        <v>0</v>
      </c>
      <c r="V70" s="144">
        <f>SUMIFS('февраль 2024'!$G$4:$G$1413,'февраль 2024'!$D$4:$D$1413,$B70,'февраль 2024'!$J$4:$J$1413,V$1)</f>
        <v>0</v>
      </c>
      <c r="W70" s="144">
        <f>SUMIFS('февраль 2024'!$G$4:$G$1413,'февраль 2024'!$D$4:$D$1413,$B70,'февраль 2024'!$J$4:$J$1413,W$1)</f>
        <v>0</v>
      </c>
      <c r="X70" s="144">
        <f>SUMIFS('февраль 2024'!$G$4:$G$1413,'февраль 2024'!$D$4:$D$1413,$B70,'февраль 2024'!$J$4:$J$1413,X$1)</f>
        <v>0</v>
      </c>
      <c r="Y70" s="144">
        <f>SUMIFS('февраль 2024'!$G$4:$G$1413,'февраль 2024'!$D$4:$D$1413,$B70,'февраль 2024'!$J$4:$J$1413,Y$1)</f>
        <v>0</v>
      </c>
      <c r="Z70" s="144">
        <f>SUMIFS('февраль 2024'!$G$4:$G$1413,'февраль 2024'!$D$4:$D$1413,$B70,'февраль 2024'!$J$4:$J$1413,Z$1)</f>
        <v>0</v>
      </c>
      <c r="AA70" s="144">
        <f>SUMIFS('февраль 2024'!$G$4:$G$1413,'февраль 2024'!$D$4:$D$1413,$B70,'февраль 2024'!$J$4:$J$1413,AA$1)</f>
        <v>0</v>
      </c>
      <c r="AB70" s="144">
        <f>SUMIFS('февраль 2024'!$G$4:$G$1413,'февраль 2024'!$D$4:$D$1413,$B70,'февраль 2024'!$J$4:$J$1413,AB$1)</f>
        <v>0</v>
      </c>
      <c r="AC70" s="144">
        <f>SUMIFS('февраль 2024'!$G$4:$G$1413,'февраль 2024'!$D$4:$D$1413,$B70,'февраль 2024'!$J$4:$J$1413,AC$1)</f>
        <v>0</v>
      </c>
      <c r="AD70" s="144">
        <f>SUMIFS('февраль 2024'!$G$4:$G$1413,'февраль 2024'!$D$4:$D$1413,$B70,'февраль 2024'!$J$4:$J$1413,AD$1)</f>
        <v>0</v>
      </c>
      <c r="AE70" s="144">
        <f>SUMIFS('февраль 2024'!$G$4:$G$1413,'февраль 2024'!$D$4:$D$1413,$B70,'февраль 2024'!$J$4:$J$1413,AE$1)</f>
        <v>0</v>
      </c>
      <c r="AF70" s="144">
        <f>SUMIFS('февраль 2024'!$G$4:$G$1413,'февраль 2024'!$D$4:$D$1413,$B70,'февраль 2024'!$J$4:$J$1413,AF$1)</f>
        <v>0</v>
      </c>
      <c r="AG70" s="144">
        <f>SUMIFS('февраль 2024'!$G$4:$G$1413,'февраль 2024'!$D$4:$D$1413,$B70,'февраль 2024'!$J$4:$J$1413,AG$1)</f>
        <v>0</v>
      </c>
      <c r="AH70" s="144">
        <f>SUMIFS('февраль 2024'!$G$4:$G$1413,'февраль 2024'!$D$4:$D$1413,$B70,'февраль 2024'!$J$4:$J$1413,AH$1)</f>
        <v>0</v>
      </c>
      <c r="AI70" s="21">
        <f t="shared" si="1"/>
        <v>0</v>
      </c>
    </row>
    <row r="71" spans="2:35" ht="15" customHeight="1" x14ac:dyDescent="0.25">
      <c r="B71" s="93" t="s">
        <v>221</v>
      </c>
      <c r="C71" s="91">
        <v>25</v>
      </c>
      <c r="D71" s="144">
        <f>SUMIFS('февраль 2024'!$G$4:$G$1413,'февраль 2024'!$D$4:$D$1413,$B71,'февраль 2024'!$J$4:$J$1413,D$1)</f>
        <v>0</v>
      </c>
      <c r="E71" s="144">
        <f>SUMIFS('февраль 2024'!$G$4:$G$1413,'февраль 2024'!$D$4:$D$1413,$B71,'февраль 2024'!$J$4:$J$1413,E$1)</f>
        <v>0</v>
      </c>
      <c r="F71" s="144">
        <f>SUMIFS('февраль 2024'!$G$4:$G$1413,'февраль 2024'!$D$4:$D$1413,$B71,'февраль 2024'!$J$4:$J$1413,F$1)</f>
        <v>0</v>
      </c>
      <c r="G71" s="144">
        <f>SUMIFS('февраль 2024'!$G$4:$G$1413,'февраль 2024'!$D$4:$D$1413,$B71,'февраль 2024'!$J$4:$J$1413,G$1)</f>
        <v>0</v>
      </c>
      <c r="H71" s="144">
        <f>SUMIFS('февраль 2024'!$G$4:$G$1413,'февраль 2024'!$D$4:$D$1413,$B71,'февраль 2024'!$J$4:$J$1413,H$1)</f>
        <v>0</v>
      </c>
      <c r="I71" s="144">
        <f>SUMIFS('февраль 2024'!$G$4:$G$1413,'февраль 2024'!$D$4:$D$1413,$B71,'февраль 2024'!$J$4:$J$1413,I$1)</f>
        <v>0</v>
      </c>
      <c r="J71" s="144">
        <f>SUMIFS('февраль 2024'!$G$4:$G$1413,'февраль 2024'!$D$4:$D$1413,$B71,'февраль 2024'!$J$4:$J$1413,J$1)</f>
        <v>0</v>
      </c>
      <c r="K71" s="144">
        <f>SUMIFS('февраль 2024'!$G$4:$G$1413,'февраль 2024'!$D$4:$D$1413,$B71,'февраль 2024'!$J$4:$J$1413,K$1)</f>
        <v>0</v>
      </c>
      <c r="L71" s="144">
        <f>SUMIFS('февраль 2024'!$G$4:$G$1413,'февраль 2024'!$D$4:$D$1413,$B71,'февраль 2024'!$J$4:$J$1413,L$1)</f>
        <v>0</v>
      </c>
      <c r="M71" s="144">
        <f>SUMIFS('февраль 2024'!$G$4:$G$1413,'февраль 2024'!$D$4:$D$1413,$B71,'февраль 2024'!$J$4:$J$1413,M$1)</f>
        <v>0</v>
      </c>
      <c r="N71" s="144">
        <f>SUMIFS('февраль 2024'!$G$4:$G$1413,'февраль 2024'!$D$4:$D$1413,$B71,'февраль 2024'!$J$4:$J$1413,N$1)</f>
        <v>0</v>
      </c>
      <c r="O71" s="144">
        <f>SUMIFS('февраль 2024'!$G$4:$G$1413,'февраль 2024'!$D$4:$D$1413,$B71,'февраль 2024'!$J$4:$J$1413,O$1)</f>
        <v>0</v>
      </c>
      <c r="P71" s="144">
        <f>SUMIFS('февраль 2024'!$G$4:$G$1413,'февраль 2024'!$D$4:$D$1413,$B71,'февраль 2024'!$J$4:$J$1413,P$1)</f>
        <v>0</v>
      </c>
      <c r="Q71" s="144">
        <f>SUMIFS('февраль 2024'!$G$4:$G$1413,'февраль 2024'!$D$4:$D$1413,$B71,'февраль 2024'!$J$4:$J$1413,Q$1)</f>
        <v>0</v>
      </c>
      <c r="R71" s="144">
        <f>SUMIFS('февраль 2024'!$G$4:$G$1413,'февраль 2024'!$D$4:$D$1413,$B71,'февраль 2024'!$J$4:$J$1413,R$1)</f>
        <v>0</v>
      </c>
      <c r="S71" s="144">
        <f>SUMIFS('февраль 2024'!$G$4:$G$1413,'февраль 2024'!$D$4:$D$1413,$B71,'февраль 2024'!$J$4:$J$1413,S$1)</f>
        <v>0</v>
      </c>
      <c r="T71" s="144">
        <f>SUMIFS('февраль 2024'!$G$4:$G$1413,'февраль 2024'!$D$4:$D$1413,$B71,'февраль 2024'!$J$4:$J$1413,T$1)</f>
        <v>0</v>
      </c>
      <c r="U71" s="144">
        <f>SUMIFS('февраль 2024'!$G$4:$G$1413,'февраль 2024'!$D$4:$D$1413,$B71,'февраль 2024'!$J$4:$J$1413,U$1)</f>
        <v>0</v>
      </c>
      <c r="V71" s="144">
        <f>SUMIFS('февраль 2024'!$G$4:$G$1413,'февраль 2024'!$D$4:$D$1413,$B71,'февраль 2024'!$J$4:$J$1413,V$1)</f>
        <v>0</v>
      </c>
      <c r="W71" s="144">
        <f>SUMIFS('февраль 2024'!$G$4:$G$1413,'февраль 2024'!$D$4:$D$1413,$B71,'февраль 2024'!$J$4:$J$1413,W$1)</f>
        <v>0</v>
      </c>
      <c r="X71" s="144">
        <f>SUMIFS('февраль 2024'!$G$4:$G$1413,'февраль 2024'!$D$4:$D$1413,$B71,'февраль 2024'!$J$4:$J$1413,X$1)</f>
        <v>0</v>
      </c>
      <c r="Y71" s="144">
        <f>SUMIFS('февраль 2024'!$G$4:$G$1413,'февраль 2024'!$D$4:$D$1413,$B71,'февраль 2024'!$J$4:$J$1413,Y$1)</f>
        <v>0</v>
      </c>
      <c r="Z71" s="144">
        <f>SUMIFS('февраль 2024'!$G$4:$G$1413,'февраль 2024'!$D$4:$D$1413,$B71,'февраль 2024'!$J$4:$J$1413,Z$1)</f>
        <v>0</v>
      </c>
      <c r="AA71" s="144">
        <f>SUMIFS('февраль 2024'!$G$4:$G$1413,'февраль 2024'!$D$4:$D$1413,$B71,'февраль 2024'!$J$4:$J$1413,AA$1)</f>
        <v>0</v>
      </c>
      <c r="AB71" s="144">
        <f>SUMIFS('февраль 2024'!$G$4:$G$1413,'февраль 2024'!$D$4:$D$1413,$B71,'февраль 2024'!$J$4:$J$1413,AB$1)</f>
        <v>0</v>
      </c>
      <c r="AC71" s="144">
        <f>SUMIFS('февраль 2024'!$G$4:$G$1413,'февраль 2024'!$D$4:$D$1413,$B71,'февраль 2024'!$J$4:$J$1413,AC$1)</f>
        <v>0</v>
      </c>
      <c r="AD71" s="144">
        <f>SUMIFS('февраль 2024'!$G$4:$G$1413,'февраль 2024'!$D$4:$D$1413,$B71,'февраль 2024'!$J$4:$J$1413,AD$1)</f>
        <v>0</v>
      </c>
      <c r="AE71" s="144">
        <f>SUMIFS('февраль 2024'!$G$4:$G$1413,'февраль 2024'!$D$4:$D$1413,$B71,'февраль 2024'!$J$4:$J$1413,AE$1)</f>
        <v>0</v>
      </c>
      <c r="AF71" s="144">
        <f>SUMIFS('февраль 2024'!$G$4:$G$1413,'февраль 2024'!$D$4:$D$1413,$B71,'февраль 2024'!$J$4:$J$1413,AF$1)</f>
        <v>0</v>
      </c>
      <c r="AG71" s="144">
        <f>SUMIFS('февраль 2024'!$G$4:$G$1413,'февраль 2024'!$D$4:$D$1413,$B71,'февраль 2024'!$J$4:$J$1413,AG$1)</f>
        <v>0</v>
      </c>
      <c r="AH71" s="144">
        <f>SUMIFS('февраль 2024'!$G$4:$G$1413,'февраль 2024'!$D$4:$D$1413,$B71,'февраль 2024'!$J$4:$J$1413,AH$1)</f>
        <v>0</v>
      </c>
      <c r="AI71" s="21">
        <f t="shared" si="1"/>
        <v>0</v>
      </c>
    </row>
    <row r="72" spans="2:35" ht="15" customHeight="1" x14ac:dyDescent="0.25">
      <c r="B72" s="93" t="s">
        <v>188</v>
      </c>
      <c r="C72" s="91">
        <v>50</v>
      </c>
      <c r="D72" s="144">
        <f>SUMIFS('февраль 2024'!$G$4:$G$1413,'февраль 2024'!$D$4:$D$1413,$B72,'февраль 2024'!$J$4:$J$1413,D$1)</f>
        <v>0</v>
      </c>
      <c r="E72" s="144">
        <f>SUMIFS('февраль 2024'!$G$4:$G$1413,'февраль 2024'!$D$4:$D$1413,$B72,'февраль 2024'!$J$4:$J$1413,E$1)</f>
        <v>0</v>
      </c>
      <c r="F72" s="144">
        <f>SUMIFS('февраль 2024'!$G$4:$G$1413,'февраль 2024'!$D$4:$D$1413,$B72,'февраль 2024'!$J$4:$J$1413,F$1)</f>
        <v>0</v>
      </c>
      <c r="G72" s="144">
        <f>SUMIFS('февраль 2024'!$G$4:$G$1413,'февраль 2024'!$D$4:$D$1413,$B72,'февраль 2024'!$J$4:$J$1413,G$1)</f>
        <v>0</v>
      </c>
      <c r="H72" s="144">
        <f>SUMIFS('февраль 2024'!$G$4:$G$1413,'февраль 2024'!$D$4:$D$1413,$B72,'февраль 2024'!$J$4:$J$1413,H$1)</f>
        <v>0</v>
      </c>
      <c r="I72" s="144">
        <f>SUMIFS('февраль 2024'!$G$4:$G$1413,'февраль 2024'!$D$4:$D$1413,$B72,'февраль 2024'!$J$4:$J$1413,I$1)</f>
        <v>0</v>
      </c>
      <c r="J72" s="144">
        <f>SUMIFS('февраль 2024'!$G$4:$G$1413,'февраль 2024'!$D$4:$D$1413,$B72,'февраль 2024'!$J$4:$J$1413,J$1)</f>
        <v>0</v>
      </c>
      <c r="K72" s="144">
        <f>SUMIFS('февраль 2024'!$G$4:$G$1413,'февраль 2024'!$D$4:$D$1413,$B72,'февраль 2024'!$J$4:$J$1413,K$1)</f>
        <v>0</v>
      </c>
      <c r="L72" s="144">
        <f>SUMIFS('февраль 2024'!$G$4:$G$1413,'февраль 2024'!$D$4:$D$1413,$B72,'февраль 2024'!$J$4:$J$1413,L$1)</f>
        <v>0</v>
      </c>
      <c r="M72" s="144">
        <f>SUMIFS('февраль 2024'!$G$4:$G$1413,'февраль 2024'!$D$4:$D$1413,$B72,'февраль 2024'!$J$4:$J$1413,M$1)</f>
        <v>0</v>
      </c>
      <c r="N72" s="144">
        <f>SUMIFS('февраль 2024'!$G$4:$G$1413,'февраль 2024'!$D$4:$D$1413,$B72,'февраль 2024'!$J$4:$J$1413,N$1)</f>
        <v>0</v>
      </c>
      <c r="O72" s="144">
        <f>SUMIFS('февраль 2024'!$G$4:$G$1413,'февраль 2024'!$D$4:$D$1413,$B72,'февраль 2024'!$J$4:$J$1413,O$1)</f>
        <v>0</v>
      </c>
      <c r="P72" s="144">
        <f>SUMIFS('февраль 2024'!$G$4:$G$1413,'февраль 2024'!$D$4:$D$1413,$B72,'февраль 2024'!$J$4:$J$1413,P$1)</f>
        <v>0</v>
      </c>
      <c r="Q72" s="144">
        <f>SUMIFS('февраль 2024'!$G$4:$G$1413,'февраль 2024'!$D$4:$D$1413,$B72,'февраль 2024'!$J$4:$J$1413,Q$1)</f>
        <v>0</v>
      </c>
      <c r="R72" s="144">
        <f>SUMIFS('февраль 2024'!$G$4:$G$1413,'февраль 2024'!$D$4:$D$1413,$B72,'февраль 2024'!$J$4:$J$1413,R$1)</f>
        <v>0</v>
      </c>
      <c r="S72" s="144">
        <f>SUMIFS('февраль 2024'!$G$4:$G$1413,'февраль 2024'!$D$4:$D$1413,$B72,'февраль 2024'!$J$4:$J$1413,S$1)</f>
        <v>0</v>
      </c>
      <c r="T72" s="144">
        <f>SUMIFS('февраль 2024'!$G$4:$G$1413,'февраль 2024'!$D$4:$D$1413,$B72,'февраль 2024'!$J$4:$J$1413,T$1)</f>
        <v>0</v>
      </c>
      <c r="U72" s="144">
        <f>SUMIFS('февраль 2024'!$G$4:$G$1413,'февраль 2024'!$D$4:$D$1413,$B72,'февраль 2024'!$J$4:$J$1413,U$1)</f>
        <v>0</v>
      </c>
      <c r="V72" s="144">
        <f>SUMIFS('февраль 2024'!$G$4:$G$1413,'февраль 2024'!$D$4:$D$1413,$B72,'февраль 2024'!$J$4:$J$1413,V$1)</f>
        <v>0</v>
      </c>
      <c r="W72" s="144">
        <f>SUMIFS('февраль 2024'!$G$4:$G$1413,'февраль 2024'!$D$4:$D$1413,$B72,'февраль 2024'!$J$4:$J$1413,W$1)</f>
        <v>0</v>
      </c>
      <c r="X72" s="144">
        <f>SUMIFS('февраль 2024'!$G$4:$G$1413,'февраль 2024'!$D$4:$D$1413,$B72,'февраль 2024'!$J$4:$J$1413,X$1)</f>
        <v>0</v>
      </c>
      <c r="Y72" s="144">
        <f>SUMIFS('февраль 2024'!$G$4:$G$1413,'февраль 2024'!$D$4:$D$1413,$B72,'февраль 2024'!$J$4:$J$1413,Y$1)</f>
        <v>0</v>
      </c>
      <c r="Z72" s="144">
        <f>SUMIFS('февраль 2024'!$G$4:$G$1413,'февраль 2024'!$D$4:$D$1413,$B72,'февраль 2024'!$J$4:$J$1413,Z$1)</f>
        <v>0</v>
      </c>
      <c r="AA72" s="144">
        <f>SUMIFS('февраль 2024'!$G$4:$G$1413,'февраль 2024'!$D$4:$D$1413,$B72,'февраль 2024'!$J$4:$J$1413,AA$1)</f>
        <v>0</v>
      </c>
      <c r="AB72" s="144">
        <f>SUMIFS('февраль 2024'!$G$4:$G$1413,'февраль 2024'!$D$4:$D$1413,$B72,'февраль 2024'!$J$4:$J$1413,AB$1)</f>
        <v>0</v>
      </c>
      <c r="AC72" s="144">
        <f>SUMIFS('февраль 2024'!$G$4:$G$1413,'февраль 2024'!$D$4:$D$1413,$B72,'февраль 2024'!$J$4:$J$1413,AC$1)</f>
        <v>0</v>
      </c>
      <c r="AD72" s="144">
        <f>SUMIFS('февраль 2024'!$G$4:$G$1413,'февраль 2024'!$D$4:$D$1413,$B72,'февраль 2024'!$J$4:$J$1413,AD$1)</f>
        <v>0</v>
      </c>
      <c r="AE72" s="144">
        <f>SUMIFS('февраль 2024'!$G$4:$G$1413,'февраль 2024'!$D$4:$D$1413,$B72,'февраль 2024'!$J$4:$J$1413,AE$1)</f>
        <v>0</v>
      </c>
      <c r="AF72" s="144">
        <f>SUMIFS('февраль 2024'!$G$4:$G$1413,'февраль 2024'!$D$4:$D$1413,$B72,'февраль 2024'!$J$4:$J$1413,AF$1)</f>
        <v>0</v>
      </c>
      <c r="AG72" s="144">
        <f>SUMIFS('февраль 2024'!$G$4:$G$1413,'февраль 2024'!$D$4:$D$1413,$B72,'февраль 2024'!$J$4:$J$1413,AG$1)</f>
        <v>0</v>
      </c>
      <c r="AH72" s="144">
        <f>SUMIFS('февраль 2024'!$G$4:$G$1413,'февраль 2024'!$D$4:$D$1413,$B72,'февраль 2024'!$J$4:$J$1413,AH$1)</f>
        <v>0</v>
      </c>
      <c r="AI72" s="21">
        <f t="shared" si="1"/>
        <v>0</v>
      </c>
    </row>
    <row r="73" spans="2:35" ht="15" customHeight="1" x14ac:dyDescent="0.25">
      <c r="B73" s="93" t="s">
        <v>173</v>
      </c>
      <c r="C73" s="91">
        <v>200</v>
      </c>
      <c r="D73" s="144">
        <f>SUMIFS('февраль 2024'!$G$4:$G$1413,'февраль 2024'!$D$4:$D$1413,$B73,'февраль 2024'!$J$4:$J$1413,D$1)</f>
        <v>0</v>
      </c>
      <c r="E73" s="144">
        <f>SUMIFS('февраль 2024'!$G$4:$G$1413,'февраль 2024'!$D$4:$D$1413,$B73,'февраль 2024'!$J$4:$J$1413,E$1)</f>
        <v>0</v>
      </c>
      <c r="F73" s="144">
        <f>SUMIFS('февраль 2024'!$G$4:$G$1413,'февраль 2024'!$D$4:$D$1413,$B73,'февраль 2024'!$J$4:$J$1413,F$1)</f>
        <v>0</v>
      </c>
      <c r="G73" s="144">
        <f>SUMIFS('февраль 2024'!$G$4:$G$1413,'февраль 2024'!$D$4:$D$1413,$B73,'февраль 2024'!$J$4:$J$1413,G$1)</f>
        <v>0</v>
      </c>
      <c r="H73" s="144">
        <f>SUMIFS('февраль 2024'!$G$4:$G$1413,'февраль 2024'!$D$4:$D$1413,$B73,'февраль 2024'!$J$4:$J$1413,H$1)</f>
        <v>0</v>
      </c>
      <c r="I73" s="144">
        <f>SUMIFS('февраль 2024'!$G$4:$G$1413,'февраль 2024'!$D$4:$D$1413,$B73,'февраль 2024'!$J$4:$J$1413,I$1)</f>
        <v>0</v>
      </c>
      <c r="J73" s="144">
        <f>SUMIFS('февраль 2024'!$G$4:$G$1413,'февраль 2024'!$D$4:$D$1413,$B73,'февраль 2024'!$J$4:$J$1413,J$1)</f>
        <v>0</v>
      </c>
      <c r="K73" s="144">
        <f>SUMIFS('февраль 2024'!$G$4:$G$1413,'февраль 2024'!$D$4:$D$1413,$B73,'февраль 2024'!$J$4:$J$1413,K$1)</f>
        <v>0</v>
      </c>
      <c r="L73" s="144">
        <f>SUMIFS('февраль 2024'!$G$4:$G$1413,'февраль 2024'!$D$4:$D$1413,$B73,'февраль 2024'!$J$4:$J$1413,L$1)</f>
        <v>0</v>
      </c>
      <c r="M73" s="144">
        <f>SUMIFS('февраль 2024'!$G$4:$G$1413,'февраль 2024'!$D$4:$D$1413,$B73,'февраль 2024'!$J$4:$J$1413,M$1)</f>
        <v>0</v>
      </c>
      <c r="N73" s="144">
        <f>SUMIFS('февраль 2024'!$G$4:$G$1413,'февраль 2024'!$D$4:$D$1413,$B73,'февраль 2024'!$J$4:$J$1413,N$1)</f>
        <v>0</v>
      </c>
      <c r="O73" s="144">
        <f>SUMIFS('февраль 2024'!$G$4:$G$1413,'февраль 2024'!$D$4:$D$1413,$B73,'февраль 2024'!$J$4:$J$1413,O$1)</f>
        <v>0</v>
      </c>
      <c r="P73" s="144">
        <f>SUMIFS('февраль 2024'!$G$4:$G$1413,'февраль 2024'!$D$4:$D$1413,$B73,'февраль 2024'!$J$4:$J$1413,P$1)</f>
        <v>0</v>
      </c>
      <c r="Q73" s="144">
        <f>SUMIFS('февраль 2024'!$G$4:$G$1413,'февраль 2024'!$D$4:$D$1413,$B73,'февраль 2024'!$J$4:$J$1413,Q$1)</f>
        <v>0</v>
      </c>
      <c r="R73" s="144">
        <f>SUMIFS('февраль 2024'!$G$4:$G$1413,'февраль 2024'!$D$4:$D$1413,$B73,'февраль 2024'!$J$4:$J$1413,R$1)</f>
        <v>4</v>
      </c>
      <c r="S73" s="144">
        <f>SUMIFS('февраль 2024'!$G$4:$G$1413,'февраль 2024'!$D$4:$D$1413,$B73,'февраль 2024'!$J$4:$J$1413,S$1)</f>
        <v>0</v>
      </c>
      <c r="T73" s="144">
        <f>SUMIFS('февраль 2024'!$G$4:$G$1413,'февраль 2024'!$D$4:$D$1413,$B73,'февраль 2024'!$J$4:$J$1413,T$1)</f>
        <v>0</v>
      </c>
      <c r="U73" s="144">
        <f>SUMIFS('февраль 2024'!$G$4:$G$1413,'февраль 2024'!$D$4:$D$1413,$B73,'февраль 2024'!$J$4:$J$1413,U$1)</f>
        <v>0</v>
      </c>
      <c r="V73" s="144">
        <f>SUMIFS('февраль 2024'!$G$4:$G$1413,'февраль 2024'!$D$4:$D$1413,$B73,'февраль 2024'!$J$4:$J$1413,V$1)</f>
        <v>0</v>
      </c>
      <c r="W73" s="144">
        <f>SUMIFS('февраль 2024'!$G$4:$G$1413,'февраль 2024'!$D$4:$D$1413,$B73,'февраль 2024'!$J$4:$J$1413,W$1)</f>
        <v>0</v>
      </c>
      <c r="X73" s="144">
        <f>SUMIFS('февраль 2024'!$G$4:$G$1413,'февраль 2024'!$D$4:$D$1413,$B73,'февраль 2024'!$J$4:$J$1413,X$1)</f>
        <v>0</v>
      </c>
      <c r="Y73" s="144">
        <f>SUMIFS('февраль 2024'!$G$4:$G$1413,'февраль 2024'!$D$4:$D$1413,$B73,'февраль 2024'!$J$4:$J$1413,Y$1)</f>
        <v>0</v>
      </c>
      <c r="Z73" s="144">
        <f>SUMIFS('февраль 2024'!$G$4:$G$1413,'февраль 2024'!$D$4:$D$1413,$B73,'февраль 2024'!$J$4:$J$1413,Z$1)</f>
        <v>0</v>
      </c>
      <c r="AA73" s="144">
        <f>SUMIFS('февраль 2024'!$G$4:$G$1413,'февраль 2024'!$D$4:$D$1413,$B73,'февраль 2024'!$J$4:$J$1413,AA$1)</f>
        <v>0</v>
      </c>
      <c r="AB73" s="144">
        <f>SUMIFS('февраль 2024'!$G$4:$G$1413,'февраль 2024'!$D$4:$D$1413,$B73,'февраль 2024'!$J$4:$J$1413,AB$1)</f>
        <v>0</v>
      </c>
      <c r="AC73" s="144">
        <f>SUMIFS('февраль 2024'!$G$4:$G$1413,'февраль 2024'!$D$4:$D$1413,$B73,'февраль 2024'!$J$4:$J$1413,AC$1)</f>
        <v>0</v>
      </c>
      <c r="AD73" s="144">
        <f>SUMIFS('февраль 2024'!$G$4:$G$1413,'февраль 2024'!$D$4:$D$1413,$B73,'февраль 2024'!$J$4:$J$1413,AD$1)</f>
        <v>0</v>
      </c>
      <c r="AE73" s="144">
        <f>SUMIFS('февраль 2024'!$G$4:$G$1413,'февраль 2024'!$D$4:$D$1413,$B73,'февраль 2024'!$J$4:$J$1413,AE$1)</f>
        <v>0</v>
      </c>
      <c r="AF73" s="144">
        <f>SUMIFS('февраль 2024'!$G$4:$G$1413,'февраль 2024'!$D$4:$D$1413,$B73,'февраль 2024'!$J$4:$J$1413,AF$1)</f>
        <v>0</v>
      </c>
      <c r="AG73" s="144">
        <f>SUMIFS('февраль 2024'!$G$4:$G$1413,'февраль 2024'!$D$4:$D$1413,$B73,'февраль 2024'!$J$4:$J$1413,AG$1)</f>
        <v>0</v>
      </c>
      <c r="AH73" s="144">
        <f>SUMIFS('февраль 2024'!$G$4:$G$1413,'февраль 2024'!$D$4:$D$1413,$B73,'февраль 2024'!$J$4:$J$1413,AH$1)</f>
        <v>0</v>
      </c>
      <c r="AI73" s="21">
        <f t="shared" si="1"/>
        <v>4</v>
      </c>
    </row>
    <row r="74" spans="2:35" ht="15" customHeight="1" x14ac:dyDescent="0.25">
      <c r="B74" s="93" t="s">
        <v>174</v>
      </c>
      <c r="C74" s="91">
        <v>200</v>
      </c>
      <c r="D74" s="144">
        <f>SUMIFS('февраль 2024'!$G$4:$G$1413,'февраль 2024'!$D$4:$D$1413,$B74,'февраль 2024'!$J$4:$J$1413,D$1)</f>
        <v>0</v>
      </c>
      <c r="E74" s="144">
        <f>SUMIFS('февраль 2024'!$G$4:$G$1413,'февраль 2024'!$D$4:$D$1413,$B74,'февраль 2024'!$J$4:$J$1413,E$1)</f>
        <v>0</v>
      </c>
      <c r="F74" s="144">
        <f>SUMIFS('февраль 2024'!$G$4:$G$1413,'февраль 2024'!$D$4:$D$1413,$B74,'февраль 2024'!$J$4:$J$1413,F$1)</f>
        <v>0</v>
      </c>
      <c r="G74" s="144">
        <f>SUMIFS('февраль 2024'!$G$4:$G$1413,'февраль 2024'!$D$4:$D$1413,$B74,'февраль 2024'!$J$4:$J$1413,G$1)</f>
        <v>0</v>
      </c>
      <c r="H74" s="144">
        <f>SUMIFS('февраль 2024'!$G$4:$G$1413,'февраль 2024'!$D$4:$D$1413,$B74,'февраль 2024'!$J$4:$J$1413,H$1)</f>
        <v>0</v>
      </c>
      <c r="I74" s="144">
        <f>SUMIFS('февраль 2024'!$G$4:$G$1413,'февраль 2024'!$D$4:$D$1413,$B74,'февраль 2024'!$J$4:$J$1413,I$1)</f>
        <v>0</v>
      </c>
      <c r="J74" s="144">
        <f>SUMIFS('февраль 2024'!$G$4:$G$1413,'февраль 2024'!$D$4:$D$1413,$B74,'февраль 2024'!$J$4:$J$1413,J$1)</f>
        <v>0</v>
      </c>
      <c r="K74" s="144">
        <f>SUMIFS('февраль 2024'!$G$4:$G$1413,'февраль 2024'!$D$4:$D$1413,$B74,'февраль 2024'!$J$4:$J$1413,K$1)</f>
        <v>0</v>
      </c>
      <c r="L74" s="144">
        <f>SUMIFS('февраль 2024'!$G$4:$G$1413,'февраль 2024'!$D$4:$D$1413,$B74,'февраль 2024'!$J$4:$J$1413,L$1)</f>
        <v>0</v>
      </c>
      <c r="M74" s="144">
        <f>SUMIFS('февраль 2024'!$G$4:$G$1413,'февраль 2024'!$D$4:$D$1413,$B74,'февраль 2024'!$J$4:$J$1413,M$1)</f>
        <v>0</v>
      </c>
      <c r="N74" s="144">
        <f>SUMIFS('февраль 2024'!$G$4:$G$1413,'февраль 2024'!$D$4:$D$1413,$B74,'февраль 2024'!$J$4:$J$1413,N$1)</f>
        <v>0</v>
      </c>
      <c r="O74" s="144">
        <f>SUMIFS('февраль 2024'!$G$4:$G$1413,'февраль 2024'!$D$4:$D$1413,$B74,'февраль 2024'!$J$4:$J$1413,O$1)</f>
        <v>0</v>
      </c>
      <c r="P74" s="144">
        <f>SUMIFS('февраль 2024'!$G$4:$G$1413,'февраль 2024'!$D$4:$D$1413,$B74,'февраль 2024'!$J$4:$J$1413,P$1)</f>
        <v>88</v>
      </c>
      <c r="Q74" s="144">
        <f>SUMIFS('февраль 2024'!$G$4:$G$1413,'февраль 2024'!$D$4:$D$1413,$B74,'февраль 2024'!$J$4:$J$1413,Q$1)</f>
        <v>0</v>
      </c>
      <c r="R74" s="144">
        <f>SUMIFS('февраль 2024'!$G$4:$G$1413,'февраль 2024'!$D$4:$D$1413,$B74,'февраль 2024'!$J$4:$J$1413,R$1)</f>
        <v>0</v>
      </c>
      <c r="S74" s="144">
        <f>SUMIFS('февраль 2024'!$G$4:$G$1413,'февраль 2024'!$D$4:$D$1413,$B74,'февраль 2024'!$J$4:$J$1413,S$1)</f>
        <v>0</v>
      </c>
      <c r="T74" s="144">
        <f>SUMIFS('февраль 2024'!$G$4:$G$1413,'февраль 2024'!$D$4:$D$1413,$B74,'февраль 2024'!$J$4:$J$1413,T$1)</f>
        <v>0</v>
      </c>
      <c r="U74" s="144">
        <f>SUMIFS('февраль 2024'!$G$4:$G$1413,'февраль 2024'!$D$4:$D$1413,$B74,'февраль 2024'!$J$4:$J$1413,U$1)</f>
        <v>0</v>
      </c>
      <c r="V74" s="144">
        <f>SUMIFS('февраль 2024'!$G$4:$G$1413,'февраль 2024'!$D$4:$D$1413,$B74,'февраль 2024'!$J$4:$J$1413,V$1)</f>
        <v>0</v>
      </c>
      <c r="W74" s="144">
        <f>SUMIFS('февраль 2024'!$G$4:$G$1413,'февраль 2024'!$D$4:$D$1413,$B74,'февраль 2024'!$J$4:$J$1413,W$1)</f>
        <v>0</v>
      </c>
      <c r="X74" s="144">
        <f>SUMIFS('февраль 2024'!$G$4:$G$1413,'февраль 2024'!$D$4:$D$1413,$B74,'февраль 2024'!$J$4:$J$1413,X$1)</f>
        <v>0</v>
      </c>
      <c r="Y74" s="144">
        <f>SUMIFS('февраль 2024'!$G$4:$G$1413,'февраль 2024'!$D$4:$D$1413,$B74,'февраль 2024'!$J$4:$J$1413,Y$1)</f>
        <v>0</v>
      </c>
      <c r="Z74" s="144">
        <f>SUMIFS('февраль 2024'!$G$4:$G$1413,'февраль 2024'!$D$4:$D$1413,$B74,'февраль 2024'!$J$4:$J$1413,Z$1)</f>
        <v>0</v>
      </c>
      <c r="AA74" s="144">
        <f>SUMIFS('февраль 2024'!$G$4:$G$1413,'февраль 2024'!$D$4:$D$1413,$B74,'февраль 2024'!$J$4:$J$1413,AA$1)</f>
        <v>0</v>
      </c>
      <c r="AB74" s="144">
        <f>SUMIFS('февраль 2024'!$G$4:$G$1413,'февраль 2024'!$D$4:$D$1413,$B74,'февраль 2024'!$J$4:$J$1413,AB$1)</f>
        <v>0</v>
      </c>
      <c r="AC74" s="144">
        <f>SUMIFS('февраль 2024'!$G$4:$G$1413,'февраль 2024'!$D$4:$D$1413,$B74,'февраль 2024'!$J$4:$J$1413,AC$1)</f>
        <v>0</v>
      </c>
      <c r="AD74" s="144">
        <f>SUMIFS('февраль 2024'!$G$4:$G$1413,'февраль 2024'!$D$4:$D$1413,$B74,'февраль 2024'!$J$4:$J$1413,AD$1)</f>
        <v>0</v>
      </c>
      <c r="AE74" s="144">
        <f>SUMIFS('февраль 2024'!$G$4:$G$1413,'февраль 2024'!$D$4:$D$1413,$B74,'февраль 2024'!$J$4:$J$1413,AE$1)</f>
        <v>0</v>
      </c>
      <c r="AF74" s="144">
        <f>SUMIFS('февраль 2024'!$G$4:$G$1413,'февраль 2024'!$D$4:$D$1413,$B74,'февраль 2024'!$J$4:$J$1413,AF$1)</f>
        <v>0</v>
      </c>
      <c r="AG74" s="144">
        <f>SUMIFS('февраль 2024'!$G$4:$G$1413,'февраль 2024'!$D$4:$D$1413,$B74,'февраль 2024'!$J$4:$J$1413,AG$1)</f>
        <v>0</v>
      </c>
      <c r="AH74" s="144">
        <f>SUMIFS('февраль 2024'!$G$4:$G$1413,'февраль 2024'!$D$4:$D$1413,$B74,'февраль 2024'!$J$4:$J$1413,AH$1)</f>
        <v>0</v>
      </c>
      <c r="AI74" s="21">
        <f t="shared" si="1"/>
        <v>88</v>
      </c>
    </row>
    <row r="75" spans="2:35" ht="15" customHeight="1" x14ac:dyDescent="0.25">
      <c r="B75" s="93" t="s">
        <v>321</v>
      </c>
      <c r="C75" s="91">
        <v>190</v>
      </c>
      <c r="D75" s="144">
        <f>SUMIFS('февраль 2024'!$G$4:$G$1413,'февраль 2024'!$D$4:$D$1413,$B75,'февраль 2024'!$J$4:$J$1413,D$1)</f>
        <v>0</v>
      </c>
      <c r="E75" s="144">
        <f>SUMIFS('февраль 2024'!$G$4:$G$1413,'февраль 2024'!$D$4:$D$1413,$B75,'февраль 2024'!$J$4:$J$1413,E$1)</f>
        <v>0</v>
      </c>
      <c r="F75" s="144">
        <f>SUMIFS('февраль 2024'!$G$4:$G$1413,'февраль 2024'!$D$4:$D$1413,$B75,'февраль 2024'!$J$4:$J$1413,F$1)</f>
        <v>0</v>
      </c>
      <c r="G75" s="144">
        <f>SUMIFS('февраль 2024'!$G$4:$G$1413,'февраль 2024'!$D$4:$D$1413,$B75,'февраль 2024'!$J$4:$J$1413,G$1)</f>
        <v>0</v>
      </c>
      <c r="H75" s="144">
        <f>SUMIFS('февраль 2024'!$G$4:$G$1413,'февраль 2024'!$D$4:$D$1413,$B75,'февраль 2024'!$J$4:$J$1413,H$1)</f>
        <v>0</v>
      </c>
      <c r="I75" s="144">
        <f>SUMIFS('февраль 2024'!$G$4:$G$1413,'февраль 2024'!$D$4:$D$1413,$B75,'февраль 2024'!$J$4:$J$1413,I$1)</f>
        <v>0</v>
      </c>
      <c r="J75" s="144">
        <f>SUMIFS('февраль 2024'!$G$4:$G$1413,'февраль 2024'!$D$4:$D$1413,$B75,'февраль 2024'!$J$4:$J$1413,J$1)</f>
        <v>0</v>
      </c>
      <c r="K75" s="144">
        <f>SUMIFS('февраль 2024'!$G$4:$G$1413,'февраль 2024'!$D$4:$D$1413,$B75,'февраль 2024'!$J$4:$J$1413,K$1)</f>
        <v>0</v>
      </c>
      <c r="L75" s="144">
        <f>SUMIFS('февраль 2024'!$G$4:$G$1413,'февраль 2024'!$D$4:$D$1413,$B75,'февраль 2024'!$J$4:$J$1413,L$1)</f>
        <v>0</v>
      </c>
      <c r="M75" s="144">
        <f>SUMIFS('февраль 2024'!$G$4:$G$1413,'февраль 2024'!$D$4:$D$1413,$B75,'февраль 2024'!$J$4:$J$1413,M$1)</f>
        <v>0</v>
      </c>
      <c r="N75" s="144">
        <f>SUMIFS('февраль 2024'!$G$4:$G$1413,'февраль 2024'!$D$4:$D$1413,$B75,'февраль 2024'!$J$4:$J$1413,N$1)</f>
        <v>0</v>
      </c>
      <c r="O75" s="144">
        <f>SUMIFS('февраль 2024'!$G$4:$G$1413,'февраль 2024'!$D$4:$D$1413,$B75,'февраль 2024'!$J$4:$J$1413,O$1)</f>
        <v>0</v>
      </c>
      <c r="P75" s="144">
        <f>SUMIFS('февраль 2024'!$G$4:$G$1413,'февраль 2024'!$D$4:$D$1413,$B75,'февраль 2024'!$J$4:$J$1413,P$1)</f>
        <v>0</v>
      </c>
      <c r="Q75" s="144">
        <f>SUMIFS('февраль 2024'!$G$4:$G$1413,'февраль 2024'!$D$4:$D$1413,$B75,'февраль 2024'!$J$4:$J$1413,Q$1)</f>
        <v>0</v>
      </c>
      <c r="R75" s="144">
        <f>SUMIFS('февраль 2024'!$G$4:$G$1413,'февраль 2024'!$D$4:$D$1413,$B75,'февраль 2024'!$J$4:$J$1413,R$1)</f>
        <v>0</v>
      </c>
      <c r="S75" s="144">
        <f>SUMIFS('февраль 2024'!$G$4:$G$1413,'февраль 2024'!$D$4:$D$1413,$B75,'февраль 2024'!$J$4:$J$1413,S$1)</f>
        <v>0</v>
      </c>
      <c r="T75" s="144">
        <f>SUMIFS('февраль 2024'!$G$4:$G$1413,'февраль 2024'!$D$4:$D$1413,$B75,'февраль 2024'!$J$4:$J$1413,T$1)</f>
        <v>0</v>
      </c>
      <c r="U75" s="144">
        <f>SUMIFS('февраль 2024'!$G$4:$G$1413,'февраль 2024'!$D$4:$D$1413,$B75,'февраль 2024'!$J$4:$J$1413,U$1)</f>
        <v>0</v>
      </c>
      <c r="V75" s="144">
        <f>SUMIFS('февраль 2024'!$G$4:$G$1413,'февраль 2024'!$D$4:$D$1413,$B75,'февраль 2024'!$J$4:$J$1413,V$1)</f>
        <v>0</v>
      </c>
      <c r="W75" s="144">
        <f>SUMIFS('февраль 2024'!$G$4:$G$1413,'февраль 2024'!$D$4:$D$1413,$B75,'февраль 2024'!$J$4:$J$1413,W$1)</f>
        <v>0</v>
      </c>
      <c r="X75" s="144">
        <f>SUMIFS('февраль 2024'!$G$4:$G$1413,'февраль 2024'!$D$4:$D$1413,$B75,'февраль 2024'!$J$4:$J$1413,X$1)</f>
        <v>0</v>
      </c>
      <c r="Y75" s="144">
        <f>SUMIFS('февраль 2024'!$G$4:$G$1413,'февраль 2024'!$D$4:$D$1413,$B75,'февраль 2024'!$J$4:$J$1413,Y$1)</f>
        <v>0</v>
      </c>
      <c r="Z75" s="144">
        <f>SUMIFS('февраль 2024'!$G$4:$G$1413,'февраль 2024'!$D$4:$D$1413,$B75,'февраль 2024'!$J$4:$J$1413,Z$1)</f>
        <v>0</v>
      </c>
      <c r="AA75" s="144">
        <f>SUMIFS('февраль 2024'!$G$4:$G$1413,'февраль 2024'!$D$4:$D$1413,$B75,'февраль 2024'!$J$4:$J$1413,AA$1)</f>
        <v>0</v>
      </c>
      <c r="AB75" s="144">
        <f>SUMIFS('февраль 2024'!$G$4:$G$1413,'февраль 2024'!$D$4:$D$1413,$B75,'февраль 2024'!$J$4:$J$1413,AB$1)</f>
        <v>0</v>
      </c>
      <c r="AC75" s="144">
        <f>SUMIFS('февраль 2024'!$G$4:$G$1413,'февраль 2024'!$D$4:$D$1413,$B75,'февраль 2024'!$J$4:$J$1413,AC$1)</f>
        <v>0</v>
      </c>
      <c r="AD75" s="144">
        <f>SUMIFS('февраль 2024'!$G$4:$G$1413,'февраль 2024'!$D$4:$D$1413,$B75,'февраль 2024'!$J$4:$J$1413,AD$1)</f>
        <v>0</v>
      </c>
      <c r="AE75" s="144">
        <f>SUMIFS('февраль 2024'!$G$4:$G$1413,'февраль 2024'!$D$4:$D$1413,$B75,'февраль 2024'!$J$4:$J$1413,AE$1)</f>
        <v>0</v>
      </c>
      <c r="AF75" s="144">
        <f>SUMIFS('февраль 2024'!$G$4:$G$1413,'февраль 2024'!$D$4:$D$1413,$B75,'февраль 2024'!$J$4:$J$1413,AF$1)</f>
        <v>0</v>
      </c>
      <c r="AG75" s="144">
        <f>SUMIFS('февраль 2024'!$G$4:$G$1413,'февраль 2024'!$D$4:$D$1413,$B75,'февраль 2024'!$J$4:$J$1413,AG$1)</f>
        <v>0</v>
      </c>
      <c r="AH75" s="144">
        <f>SUMIFS('февраль 2024'!$G$4:$G$1413,'февраль 2024'!$D$4:$D$1413,$B75,'февраль 2024'!$J$4:$J$1413,AH$1)</f>
        <v>0</v>
      </c>
      <c r="AI75" s="21">
        <f t="shared" si="1"/>
        <v>0</v>
      </c>
    </row>
    <row r="76" spans="2:35" ht="15" customHeight="1" x14ac:dyDescent="0.25">
      <c r="B76" s="89" t="s">
        <v>199</v>
      </c>
      <c r="C76" s="88">
        <v>180</v>
      </c>
      <c r="D76" s="144">
        <f>SUMIFS('февраль 2024'!$G$4:$G$1413,'февраль 2024'!$D$4:$D$1413,$B76,'февраль 2024'!$J$4:$J$1413,D$1)</f>
        <v>0</v>
      </c>
      <c r="E76" s="144">
        <f>SUMIFS('февраль 2024'!$G$4:$G$1413,'февраль 2024'!$D$4:$D$1413,$B76,'февраль 2024'!$J$4:$J$1413,E$1)</f>
        <v>0</v>
      </c>
      <c r="F76" s="144">
        <f>SUMIFS('февраль 2024'!$G$4:$G$1413,'февраль 2024'!$D$4:$D$1413,$B76,'февраль 2024'!$J$4:$J$1413,F$1)</f>
        <v>0</v>
      </c>
      <c r="G76" s="144">
        <f>SUMIFS('февраль 2024'!$G$4:$G$1413,'февраль 2024'!$D$4:$D$1413,$B76,'февраль 2024'!$J$4:$J$1413,G$1)</f>
        <v>0</v>
      </c>
      <c r="H76" s="144">
        <f>SUMIFS('февраль 2024'!$G$4:$G$1413,'февраль 2024'!$D$4:$D$1413,$B76,'февраль 2024'!$J$4:$J$1413,H$1)</f>
        <v>0</v>
      </c>
      <c r="I76" s="144">
        <f>SUMIFS('февраль 2024'!$G$4:$G$1413,'февраль 2024'!$D$4:$D$1413,$B76,'февраль 2024'!$J$4:$J$1413,I$1)</f>
        <v>0</v>
      </c>
      <c r="J76" s="144">
        <f>SUMIFS('февраль 2024'!$G$4:$G$1413,'февраль 2024'!$D$4:$D$1413,$B76,'февраль 2024'!$J$4:$J$1413,J$1)</f>
        <v>0</v>
      </c>
      <c r="K76" s="144">
        <f>SUMIFS('февраль 2024'!$G$4:$G$1413,'февраль 2024'!$D$4:$D$1413,$B76,'февраль 2024'!$J$4:$J$1413,K$1)</f>
        <v>0</v>
      </c>
      <c r="L76" s="144">
        <f>SUMIFS('февраль 2024'!$G$4:$G$1413,'февраль 2024'!$D$4:$D$1413,$B76,'февраль 2024'!$J$4:$J$1413,L$1)</f>
        <v>0</v>
      </c>
      <c r="M76" s="144">
        <f>SUMIFS('февраль 2024'!$G$4:$G$1413,'февраль 2024'!$D$4:$D$1413,$B76,'февраль 2024'!$J$4:$J$1413,M$1)</f>
        <v>0</v>
      </c>
      <c r="N76" s="144">
        <f>SUMIFS('февраль 2024'!$G$4:$G$1413,'февраль 2024'!$D$4:$D$1413,$B76,'февраль 2024'!$J$4:$J$1413,N$1)</f>
        <v>0</v>
      </c>
      <c r="O76" s="144">
        <f>SUMIFS('февраль 2024'!$G$4:$G$1413,'февраль 2024'!$D$4:$D$1413,$B76,'февраль 2024'!$J$4:$J$1413,O$1)</f>
        <v>0</v>
      </c>
      <c r="P76" s="144">
        <f>SUMIFS('февраль 2024'!$G$4:$G$1413,'февраль 2024'!$D$4:$D$1413,$B76,'февраль 2024'!$J$4:$J$1413,P$1)</f>
        <v>0</v>
      </c>
      <c r="Q76" s="144">
        <f>SUMIFS('февраль 2024'!$G$4:$G$1413,'февраль 2024'!$D$4:$D$1413,$B76,'февраль 2024'!$J$4:$J$1413,Q$1)</f>
        <v>0</v>
      </c>
      <c r="R76" s="144">
        <f>SUMIFS('февраль 2024'!$G$4:$G$1413,'февраль 2024'!$D$4:$D$1413,$B76,'февраль 2024'!$J$4:$J$1413,R$1)</f>
        <v>0</v>
      </c>
      <c r="S76" s="144">
        <f>SUMIFS('февраль 2024'!$G$4:$G$1413,'февраль 2024'!$D$4:$D$1413,$B76,'февраль 2024'!$J$4:$J$1413,S$1)</f>
        <v>0</v>
      </c>
      <c r="T76" s="144">
        <f>SUMIFS('февраль 2024'!$G$4:$G$1413,'февраль 2024'!$D$4:$D$1413,$B76,'февраль 2024'!$J$4:$J$1413,T$1)</f>
        <v>0</v>
      </c>
      <c r="U76" s="144">
        <f>SUMIFS('февраль 2024'!$G$4:$G$1413,'февраль 2024'!$D$4:$D$1413,$B76,'февраль 2024'!$J$4:$J$1413,U$1)</f>
        <v>0</v>
      </c>
      <c r="V76" s="144">
        <f>SUMIFS('февраль 2024'!$G$4:$G$1413,'февраль 2024'!$D$4:$D$1413,$B76,'февраль 2024'!$J$4:$J$1413,V$1)</f>
        <v>0</v>
      </c>
      <c r="W76" s="144">
        <f>SUMIFS('февраль 2024'!$G$4:$G$1413,'февраль 2024'!$D$4:$D$1413,$B76,'февраль 2024'!$J$4:$J$1413,W$1)</f>
        <v>0</v>
      </c>
      <c r="X76" s="144">
        <f>SUMIFS('февраль 2024'!$G$4:$G$1413,'февраль 2024'!$D$4:$D$1413,$B76,'февраль 2024'!$J$4:$J$1413,X$1)</f>
        <v>0</v>
      </c>
      <c r="Y76" s="144">
        <f>SUMIFS('февраль 2024'!$G$4:$G$1413,'февраль 2024'!$D$4:$D$1413,$B76,'февраль 2024'!$J$4:$J$1413,Y$1)</f>
        <v>0</v>
      </c>
      <c r="Z76" s="144">
        <f>SUMIFS('февраль 2024'!$G$4:$G$1413,'февраль 2024'!$D$4:$D$1413,$B76,'февраль 2024'!$J$4:$J$1413,Z$1)</f>
        <v>0</v>
      </c>
      <c r="AA76" s="144">
        <f>SUMIFS('февраль 2024'!$G$4:$G$1413,'февраль 2024'!$D$4:$D$1413,$B76,'февраль 2024'!$J$4:$J$1413,AA$1)</f>
        <v>0</v>
      </c>
      <c r="AB76" s="144">
        <f>SUMIFS('февраль 2024'!$G$4:$G$1413,'февраль 2024'!$D$4:$D$1413,$B76,'февраль 2024'!$J$4:$J$1413,AB$1)</f>
        <v>0</v>
      </c>
      <c r="AC76" s="144">
        <f>SUMIFS('февраль 2024'!$G$4:$G$1413,'февраль 2024'!$D$4:$D$1413,$B76,'февраль 2024'!$J$4:$J$1413,AC$1)</f>
        <v>0</v>
      </c>
      <c r="AD76" s="144">
        <f>SUMIFS('февраль 2024'!$G$4:$G$1413,'февраль 2024'!$D$4:$D$1413,$B76,'февраль 2024'!$J$4:$J$1413,AD$1)</f>
        <v>0</v>
      </c>
      <c r="AE76" s="144">
        <f>SUMIFS('февраль 2024'!$G$4:$G$1413,'февраль 2024'!$D$4:$D$1413,$B76,'февраль 2024'!$J$4:$J$1413,AE$1)</f>
        <v>0</v>
      </c>
      <c r="AF76" s="144">
        <f>SUMIFS('февраль 2024'!$G$4:$G$1413,'февраль 2024'!$D$4:$D$1413,$B76,'февраль 2024'!$J$4:$J$1413,AF$1)</f>
        <v>0</v>
      </c>
      <c r="AG76" s="144">
        <f>SUMIFS('февраль 2024'!$G$4:$G$1413,'февраль 2024'!$D$4:$D$1413,$B76,'февраль 2024'!$J$4:$J$1413,AG$1)</f>
        <v>0</v>
      </c>
      <c r="AH76" s="144">
        <f>SUMIFS('февраль 2024'!$G$4:$G$1413,'февраль 2024'!$D$4:$D$1413,$B76,'февраль 2024'!$J$4:$J$1413,AH$1)</f>
        <v>0</v>
      </c>
      <c r="AI76" s="21">
        <f t="shared" si="1"/>
        <v>0</v>
      </c>
    </row>
    <row r="77" spans="2:35" ht="15" customHeight="1" x14ac:dyDescent="0.25">
      <c r="B77" s="93" t="s">
        <v>200</v>
      </c>
      <c r="C77" s="91">
        <v>190</v>
      </c>
      <c r="D77" s="144">
        <f>SUMIFS('февраль 2024'!$G$4:$G$1413,'февраль 2024'!$D$4:$D$1413,$B77,'февраль 2024'!$J$4:$J$1413,D$1)</f>
        <v>0</v>
      </c>
      <c r="E77" s="144">
        <f>SUMIFS('февраль 2024'!$G$4:$G$1413,'февраль 2024'!$D$4:$D$1413,$B77,'февраль 2024'!$J$4:$J$1413,E$1)</f>
        <v>0</v>
      </c>
      <c r="F77" s="144">
        <f>SUMIFS('февраль 2024'!$G$4:$G$1413,'февраль 2024'!$D$4:$D$1413,$B77,'февраль 2024'!$J$4:$J$1413,F$1)</f>
        <v>0</v>
      </c>
      <c r="G77" s="144">
        <f>SUMIFS('февраль 2024'!$G$4:$G$1413,'февраль 2024'!$D$4:$D$1413,$B77,'февраль 2024'!$J$4:$J$1413,G$1)</f>
        <v>0</v>
      </c>
      <c r="H77" s="144">
        <f>SUMIFS('февраль 2024'!$G$4:$G$1413,'февраль 2024'!$D$4:$D$1413,$B77,'февраль 2024'!$J$4:$J$1413,H$1)</f>
        <v>0</v>
      </c>
      <c r="I77" s="144">
        <f>SUMIFS('февраль 2024'!$G$4:$G$1413,'февраль 2024'!$D$4:$D$1413,$B77,'февраль 2024'!$J$4:$J$1413,I$1)</f>
        <v>0</v>
      </c>
      <c r="J77" s="144">
        <f>SUMIFS('февраль 2024'!$G$4:$G$1413,'февраль 2024'!$D$4:$D$1413,$B77,'февраль 2024'!$J$4:$J$1413,J$1)</f>
        <v>0</v>
      </c>
      <c r="K77" s="144">
        <f>SUMIFS('февраль 2024'!$G$4:$G$1413,'февраль 2024'!$D$4:$D$1413,$B77,'февраль 2024'!$J$4:$J$1413,K$1)</f>
        <v>0</v>
      </c>
      <c r="L77" s="144">
        <f>SUMIFS('февраль 2024'!$G$4:$G$1413,'февраль 2024'!$D$4:$D$1413,$B77,'февраль 2024'!$J$4:$J$1413,L$1)</f>
        <v>0</v>
      </c>
      <c r="M77" s="144">
        <f>SUMIFS('февраль 2024'!$G$4:$G$1413,'февраль 2024'!$D$4:$D$1413,$B77,'февраль 2024'!$J$4:$J$1413,M$1)</f>
        <v>0</v>
      </c>
      <c r="N77" s="144">
        <f>SUMIFS('февраль 2024'!$G$4:$G$1413,'февраль 2024'!$D$4:$D$1413,$B77,'февраль 2024'!$J$4:$J$1413,N$1)</f>
        <v>0</v>
      </c>
      <c r="O77" s="144">
        <f>SUMIFS('февраль 2024'!$G$4:$G$1413,'февраль 2024'!$D$4:$D$1413,$B77,'февраль 2024'!$J$4:$J$1413,O$1)</f>
        <v>0</v>
      </c>
      <c r="P77" s="144">
        <f>SUMIFS('февраль 2024'!$G$4:$G$1413,'февраль 2024'!$D$4:$D$1413,$B77,'февраль 2024'!$J$4:$J$1413,P$1)</f>
        <v>0</v>
      </c>
      <c r="Q77" s="144">
        <f>SUMIFS('февраль 2024'!$G$4:$G$1413,'февраль 2024'!$D$4:$D$1413,$B77,'февраль 2024'!$J$4:$J$1413,Q$1)</f>
        <v>0</v>
      </c>
      <c r="R77" s="144">
        <f>SUMIFS('февраль 2024'!$G$4:$G$1413,'февраль 2024'!$D$4:$D$1413,$B77,'февраль 2024'!$J$4:$J$1413,R$1)</f>
        <v>0</v>
      </c>
      <c r="S77" s="144">
        <f>SUMIFS('февраль 2024'!$G$4:$G$1413,'февраль 2024'!$D$4:$D$1413,$B77,'февраль 2024'!$J$4:$J$1413,S$1)</f>
        <v>0</v>
      </c>
      <c r="T77" s="144">
        <f>SUMIFS('февраль 2024'!$G$4:$G$1413,'февраль 2024'!$D$4:$D$1413,$B77,'февраль 2024'!$J$4:$J$1413,T$1)</f>
        <v>0</v>
      </c>
      <c r="U77" s="144">
        <f>SUMIFS('февраль 2024'!$G$4:$G$1413,'февраль 2024'!$D$4:$D$1413,$B77,'февраль 2024'!$J$4:$J$1413,U$1)</f>
        <v>0</v>
      </c>
      <c r="V77" s="144">
        <f>SUMIFS('февраль 2024'!$G$4:$G$1413,'февраль 2024'!$D$4:$D$1413,$B77,'февраль 2024'!$J$4:$J$1413,V$1)</f>
        <v>0</v>
      </c>
      <c r="W77" s="144">
        <f>SUMIFS('февраль 2024'!$G$4:$G$1413,'февраль 2024'!$D$4:$D$1413,$B77,'февраль 2024'!$J$4:$J$1413,W$1)</f>
        <v>0</v>
      </c>
      <c r="X77" s="144">
        <f>SUMIFS('февраль 2024'!$G$4:$G$1413,'февраль 2024'!$D$4:$D$1413,$B77,'февраль 2024'!$J$4:$J$1413,X$1)</f>
        <v>0</v>
      </c>
      <c r="Y77" s="144">
        <f>SUMIFS('февраль 2024'!$G$4:$G$1413,'февраль 2024'!$D$4:$D$1413,$B77,'февраль 2024'!$J$4:$J$1413,Y$1)</f>
        <v>0</v>
      </c>
      <c r="Z77" s="144">
        <f>SUMIFS('февраль 2024'!$G$4:$G$1413,'февраль 2024'!$D$4:$D$1413,$B77,'февраль 2024'!$J$4:$J$1413,Z$1)</f>
        <v>0</v>
      </c>
      <c r="AA77" s="144">
        <f>SUMIFS('февраль 2024'!$G$4:$G$1413,'февраль 2024'!$D$4:$D$1413,$B77,'февраль 2024'!$J$4:$J$1413,AA$1)</f>
        <v>0</v>
      </c>
      <c r="AB77" s="144">
        <f>SUMIFS('февраль 2024'!$G$4:$G$1413,'февраль 2024'!$D$4:$D$1413,$B77,'февраль 2024'!$J$4:$J$1413,AB$1)</f>
        <v>0</v>
      </c>
      <c r="AC77" s="144">
        <f>SUMIFS('февраль 2024'!$G$4:$G$1413,'февраль 2024'!$D$4:$D$1413,$B77,'февраль 2024'!$J$4:$J$1413,AC$1)</f>
        <v>0</v>
      </c>
      <c r="AD77" s="144">
        <f>SUMIFS('февраль 2024'!$G$4:$G$1413,'февраль 2024'!$D$4:$D$1413,$B77,'февраль 2024'!$J$4:$J$1413,AD$1)</f>
        <v>0</v>
      </c>
      <c r="AE77" s="144">
        <f>SUMIFS('февраль 2024'!$G$4:$G$1413,'февраль 2024'!$D$4:$D$1413,$B77,'февраль 2024'!$J$4:$J$1413,AE$1)</f>
        <v>0</v>
      </c>
      <c r="AF77" s="144">
        <f>SUMIFS('февраль 2024'!$G$4:$G$1413,'февраль 2024'!$D$4:$D$1413,$B77,'февраль 2024'!$J$4:$J$1413,AF$1)</f>
        <v>0</v>
      </c>
      <c r="AG77" s="144">
        <f>SUMIFS('февраль 2024'!$G$4:$G$1413,'февраль 2024'!$D$4:$D$1413,$B77,'февраль 2024'!$J$4:$J$1413,AG$1)</f>
        <v>0</v>
      </c>
      <c r="AH77" s="144">
        <f>SUMIFS('февраль 2024'!$G$4:$G$1413,'февраль 2024'!$D$4:$D$1413,$B77,'февраль 2024'!$J$4:$J$1413,AH$1)</f>
        <v>0</v>
      </c>
      <c r="AI77" s="21">
        <f t="shared" si="1"/>
        <v>0</v>
      </c>
    </row>
    <row r="78" spans="2:35" ht="15" customHeight="1" x14ac:dyDescent="0.25">
      <c r="B78" s="93" t="s">
        <v>201</v>
      </c>
      <c r="C78" s="91">
        <v>190</v>
      </c>
      <c r="D78" s="144">
        <f>SUMIFS('февраль 2024'!$G$4:$G$1413,'февраль 2024'!$D$4:$D$1413,$B78,'февраль 2024'!$J$4:$J$1413,D$1)</f>
        <v>0</v>
      </c>
      <c r="E78" s="144">
        <f>SUMIFS('февраль 2024'!$G$4:$G$1413,'февраль 2024'!$D$4:$D$1413,$B78,'февраль 2024'!$J$4:$J$1413,E$1)</f>
        <v>0</v>
      </c>
      <c r="F78" s="144">
        <f>SUMIFS('февраль 2024'!$G$4:$G$1413,'февраль 2024'!$D$4:$D$1413,$B78,'февраль 2024'!$J$4:$J$1413,F$1)</f>
        <v>0</v>
      </c>
      <c r="G78" s="144">
        <f>SUMIFS('февраль 2024'!$G$4:$G$1413,'февраль 2024'!$D$4:$D$1413,$B78,'февраль 2024'!$J$4:$J$1413,G$1)</f>
        <v>0</v>
      </c>
      <c r="H78" s="144">
        <f>SUMIFS('февраль 2024'!$G$4:$G$1413,'февраль 2024'!$D$4:$D$1413,$B78,'февраль 2024'!$J$4:$J$1413,H$1)</f>
        <v>0</v>
      </c>
      <c r="I78" s="144">
        <f>SUMIFS('февраль 2024'!$G$4:$G$1413,'февраль 2024'!$D$4:$D$1413,$B78,'февраль 2024'!$J$4:$J$1413,I$1)</f>
        <v>0</v>
      </c>
      <c r="J78" s="144">
        <f>SUMIFS('февраль 2024'!$G$4:$G$1413,'февраль 2024'!$D$4:$D$1413,$B78,'февраль 2024'!$J$4:$J$1413,J$1)</f>
        <v>0</v>
      </c>
      <c r="K78" s="144">
        <f>SUMIFS('февраль 2024'!$G$4:$G$1413,'февраль 2024'!$D$4:$D$1413,$B78,'февраль 2024'!$J$4:$J$1413,K$1)</f>
        <v>0</v>
      </c>
      <c r="L78" s="144">
        <f>SUMIFS('февраль 2024'!$G$4:$G$1413,'февраль 2024'!$D$4:$D$1413,$B78,'февраль 2024'!$J$4:$J$1413,L$1)</f>
        <v>0</v>
      </c>
      <c r="M78" s="144">
        <f>SUMIFS('февраль 2024'!$G$4:$G$1413,'февраль 2024'!$D$4:$D$1413,$B78,'февраль 2024'!$J$4:$J$1413,M$1)</f>
        <v>0</v>
      </c>
      <c r="N78" s="144">
        <f>SUMIFS('февраль 2024'!$G$4:$G$1413,'февраль 2024'!$D$4:$D$1413,$B78,'февраль 2024'!$J$4:$J$1413,N$1)</f>
        <v>0</v>
      </c>
      <c r="O78" s="144">
        <f>SUMIFS('февраль 2024'!$G$4:$G$1413,'февраль 2024'!$D$4:$D$1413,$B78,'февраль 2024'!$J$4:$J$1413,O$1)</f>
        <v>0</v>
      </c>
      <c r="P78" s="144">
        <f>SUMIFS('февраль 2024'!$G$4:$G$1413,'февраль 2024'!$D$4:$D$1413,$B78,'февраль 2024'!$J$4:$J$1413,P$1)</f>
        <v>0</v>
      </c>
      <c r="Q78" s="144">
        <f>SUMIFS('февраль 2024'!$G$4:$G$1413,'февраль 2024'!$D$4:$D$1413,$B78,'февраль 2024'!$J$4:$J$1413,Q$1)</f>
        <v>0</v>
      </c>
      <c r="R78" s="144">
        <f>SUMIFS('февраль 2024'!$G$4:$G$1413,'февраль 2024'!$D$4:$D$1413,$B78,'февраль 2024'!$J$4:$J$1413,R$1)</f>
        <v>0</v>
      </c>
      <c r="S78" s="144">
        <f>SUMIFS('февраль 2024'!$G$4:$G$1413,'февраль 2024'!$D$4:$D$1413,$B78,'февраль 2024'!$J$4:$J$1413,S$1)</f>
        <v>0</v>
      </c>
      <c r="T78" s="144">
        <f>SUMIFS('февраль 2024'!$G$4:$G$1413,'февраль 2024'!$D$4:$D$1413,$B78,'февраль 2024'!$J$4:$J$1413,T$1)</f>
        <v>0</v>
      </c>
      <c r="U78" s="144">
        <f>SUMIFS('февраль 2024'!$G$4:$G$1413,'февраль 2024'!$D$4:$D$1413,$B78,'февраль 2024'!$J$4:$J$1413,U$1)</f>
        <v>0</v>
      </c>
      <c r="V78" s="144">
        <f>SUMIFS('февраль 2024'!$G$4:$G$1413,'февраль 2024'!$D$4:$D$1413,$B78,'февраль 2024'!$J$4:$J$1413,V$1)</f>
        <v>0</v>
      </c>
      <c r="W78" s="144">
        <f>SUMIFS('февраль 2024'!$G$4:$G$1413,'февраль 2024'!$D$4:$D$1413,$B78,'февраль 2024'!$J$4:$J$1413,W$1)</f>
        <v>0</v>
      </c>
      <c r="X78" s="144">
        <f>SUMIFS('февраль 2024'!$G$4:$G$1413,'февраль 2024'!$D$4:$D$1413,$B78,'февраль 2024'!$J$4:$J$1413,X$1)</f>
        <v>0</v>
      </c>
      <c r="Y78" s="144">
        <f>SUMIFS('февраль 2024'!$G$4:$G$1413,'февраль 2024'!$D$4:$D$1413,$B78,'февраль 2024'!$J$4:$J$1413,Y$1)</f>
        <v>0</v>
      </c>
      <c r="Z78" s="144">
        <f>SUMIFS('февраль 2024'!$G$4:$G$1413,'февраль 2024'!$D$4:$D$1413,$B78,'февраль 2024'!$J$4:$J$1413,Z$1)</f>
        <v>0</v>
      </c>
      <c r="AA78" s="144">
        <f>SUMIFS('февраль 2024'!$G$4:$G$1413,'февраль 2024'!$D$4:$D$1413,$B78,'февраль 2024'!$J$4:$J$1413,AA$1)</f>
        <v>0</v>
      </c>
      <c r="AB78" s="144">
        <f>SUMIFS('февраль 2024'!$G$4:$G$1413,'февраль 2024'!$D$4:$D$1413,$B78,'февраль 2024'!$J$4:$J$1413,AB$1)</f>
        <v>0</v>
      </c>
      <c r="AC78" s="144">
        <f>SUMIFS('февраль 2024'!$G$4:$G$1413,'февраль 2024'!$D$4:$D$1413,$B78,'февраль 2024'!$J$4:$J$1413,AC$1)</f>
        <v>0</v>
      </c>
      <c r="AD78" s="144">
        <f>SUMIFS('февраль 2024'!$G$4:$G$1413,'февраль 2024'!$D$4:$D$1413,$B78,'февраль 2024'!$J$4:$J$1413,AD$1)</f>
        <v>0</v>
      </c>
      <c r="AE78" s="144">
        <f>SUMIFS('февраль 2024'!$G$4:$G$1413,'февраль 2024'!$D$4:$D$1413,$B78,'февраль 2024'!$J$4:$J$1413,AE$1)</f>
        <v>0</v>
      </c>
      <c r="AF78" s="144">
        <f>SUMIFS('февраль 2024'!$G$4:$G$1413,'февраль 2024'!$D$4:$D$1413,$B78,'февраль 2024'!$J$4:$J$1413,AF$1)</f>
        <v>0</v>
      </c>
      <c r="AG78" s="144">
        <f>SUMIFS('февраль 2024'!$G$4:$G$1413,'февраль 2024'!$D$4:$D$1413,$B78,'февраль 2024'!$J$4:$J$1413,AG$1)</f>
        <v>0</v>
      </c>
      <c r="AH78" s="144">
        <f>SUMIFS('февраль 2024'!$G$4:$G$1413,'февраль 2024'!$D$4:$D$1413,$B78,'февраль 2024'!$J$4:$J$1413,AH$1)</f>
        <v>0</v>
      </c>
      <c r="AI78" s="21">
        <f t="shared" si="1"/>
        <v>0</v>
      </c>
    </row>
    <row r="79" spans="2:35" ht="15" customHeight="1" x14ac:dyDescent="0.25">
      <c r="B79" s="93" t="s">
        <v>202</v>
      </c>
      <c r="C79" s="91">
        <v>900</v>
      </c>
      <c r="D79" s="144">
        <f>SUMIFS('февраль 2024'!$G$4:$G$1413,'февраль 2024'!$D$4:$D$1413,$B79,'февраль 2024'!$J$4:$J$1413,D$1)</f>
        <v>0</v>
      </c>
      <c r="E79" s="144">
        <f>SUMIFS('февраль 2024'!$G$4:$G$1413,'февраль 2024'!$D$4:$D$1413,$B79,'февраль 2024'!$J$4:$J$1413,E$1)</f>
        <v>0</v>
      </c>
      <c r="F79" s="144">
        <f>SUMIFS('февраль 2024'!$G$4:$G$1413,'февраль 2024'!$D$4:$D$1413,$B79,'февраль 2024'!$J$4:$J$1413,F$1)</f>
        <v>0</v>
      </c>
      <c r="G79" s="144">
        <f>SUMIFS('февраль 2024'!$G$4:$G$1413,'февраль 2024'!$D$4:$D$1413,$B79,'февраль 2024'!$J$4:$J$1413,G$1)</f>
        <v>0</v>
      </c>
      <c r="H79" s="144">
        <f>SUMIFS('февраль 2024'!$G$4:$G$1413,'февраль 2024'!$D$4:$D$1413,$B79,'февраль 2024'!$J$4:$J$1413,H$1)</f>
        <v>0</v>
      </c>
      <c r="I79" s="144">
        <f>SUMIFS('февраль 2024'!$G$4:$G$1413,'февраль 2024'!$D$4:$D$1413,$B79,'февраль 2024'!$J$4:$J$1413,I$1)</f>
        <v>0</v>
      </c>
      <c r="J79" s="144">
        <f>SUMIFS('февраль 2024'!$G$4:$G$1413,'февраль 2024'!$D$4:$D$1413,$B79,'февраль 2024'!$J$4:$J$1413,J$1)</f>
        <v>0</v>
      </c>
      <c r="K79" s="144">
        <f>SUMIFS('февраль 2024'!$G$4:$G$1413,'февраль 2024'!$D$4:$D$1413,$B79,'февраль 2024'!$J$4:$J$1413,K$1)</f>
        <v>0</v>
      </c>
      <c r="L79" s="144">
        <f>SUMIFS('февраль 2024'!$G$4:$G$1413,'февраль 2024'!$D$4:$D$1413,$B79,'февраль 2024'!$J$4:$J$1413,L$1)</f>
        <v>0</v>
      </c>
      <c r="M79" s="144">
        <f>SUMIFS('февраль 2024'!$G$4:$G$1413,'февраль 2024'!$D$4:$D$1413,$B79,'февраль 2024'!$J$4:$J$1413,M$1)</f>
        <v>0</v>
      </c>
      <c r="N79" s="144">
        <f>SUMIFS('февраль 2024'!$G$4:$G$1413,'февраль 2024'!$D$4:$D$1413,$B79,'февраль 2024'!$J$4:$J$1413,N$1)</f>
        <v>0</v>
      </c>
      <c r="O79" s="144">
        <f>SUMIFS('февраль 2024'!$G$4:$G$1413,'февраль 2024'!$D$4:$D$1413,$B79,'февраль 2024'!$J$4:$J$1413,O$1)</f>
        <v>0</v>
      </c>
      <c r="P79" s="144">
        <f>SUMIFS('февраль 2024'!$G$4:$G$1413,'февраль 2024'!$D$4:$D$1413,$B79,'февраль 2024'!$J$4:$J$1413,P$1)</f>
        <v>0</v>
      </c>
      <c r="Q79" s="144">
        <f>SUMIFS('февраль 2024'!$G$4:$G$1413,'февраль 2024'!$D$4:$D$1413,$B79,'февраль 2024'!$J$4:$J$1413,Q$1)</f>
        <v>0</v>
      </c>
      <c r="R79" s="144">
        <f>SUMIFS('февраль 2024'!$G$4:$G$1413,'февраль 2024'!$D$4:$D$1413,$B79,'февраль 2024'!$J$4:$J$1413,R$1)</f>
        <v>0</v>
      </c>
      <c r="S79" s="144">
        <f>SUMIFS('февраль 2024'!$G$4:$G$1413,'февраль 2024'!$D$4:$D$1413,$B79,'февраль 2024'!$J$4:$J$1413,S$1)</f>
        <v>0</v>
      </c>
      <c r="T79" s="144">
        <f>SUMIFS('февраль 2024'!$G$4:$G$1413,'февраль 2024'!$D$4:$D$1413,$B79,'февраль 2024'!$J$4:$J$1413,T$1)</f>
        <v>0</v>
      </c>
      <c r="U79" s="144">
        <f>SUMIFS('февраль 2024'!$G$4:$G$1413,'февраль 2024'!$D$4:$D$1413,$B79,'февраль 2024'!$J$4:$J$1413,U$1)</f>
        <v>0</v>
      </c>
      <c r="V79" s="144">
        <f>SUMIFS('февраль 2024'!$G$4:$G$1413,'февраль 2024'!$D$4:$D$1413,$B79,'февраль 2024'!$J$4:$J$1413,V$1)</f>
        <v>0</v>
      </c>
      <c r="W79" s="144">
        <f>SUMIFS('февраль 2024'!$G$4:$G$1413,'февраль 2024'!$D$4:$D$1413,$B79,'февраль 2024'!$J$4:$J$1413,W$1)</f>
        <v>0</v>
      </c>
      <c r="X79" s="144">
        <f>SUMIFS('февраль 2024'!$G$4:$G$1413,'февраль 2024'!$D$4:$D$1413,$B79,'февраль 2024'!$J$4:$J$1413,X$1)</f>
        <v>0</v>
      </c>
      <c r="Y79" s="144">
        <f>SUMIFS('февраль 2024'!$G$4:$G$1413,'февраль 2024'!$D$4:$D$1413,$B79,'февраль 2024'!$J$4:$J$1413,Y$1)</f>
        <v>0</v>
      </c>
      <c r="Z79" s="144">
        <f>SUMIFS('февраль 2024'!$G$4:$G$1413,'февраль 2024'!$D$4:$D$1413,$B79,'февраль 2024'!$J$4:$J$1413,Z$1)</f>
        <v>0</v>
      </c>
      <c r="AA79" s="144">
        <f>SUMIFS('февраль 2024'!$G$4:$G$1413,'февраль 2024'!$D$4:$D$1413,$B79,'февраль 2024'!$J$4:$J$1413,AA$1)</f>
        <v>0</v>
      </c>
      <c r="AB79" s="144">
        <f>SUMIFS('февраль 2024'!$G$4:$G$1413,'февраль 2024'!$D$4:$D$1413,$B79,'февраль 2024'!$J$4:$J$1413,AB$1)</f>
        <v>0</v>
      </c>
      <c r="AC79" s="144">
        <f>SUMIFS('февраль 2024'!$G$4:$G$1413,'февраль 2024'!$D$4:$D$1413,$B79,'февраль 2024'!$J$4:$J$1413,AC$1)</f>
        <v>0</v>
      </c>
      <c r="AD79" s="144">
        <f>SUMIFS('февраль 2024'!$G$4:$G$1413,'февраль 2024'!$D$4:$D$1413,$B79,'февраль 2024'!$J$4:$J$1413,AD$1)</f>
        <v>0</v>
      </c>
      <c r="AE79" s="144">
        <f>SUMIFS('февраль 2024'!$G$4:$G$1413,'февраль 2024'!$D$4:$D$1413,$B79,'февраль 2024'!$J$4:$J$1413,AE$1)</f>
        <v>0</v>
      </c>
      <c r="AF79" s="144">
        <f>SUMIFS('февраль 2024'!$G$4:$G$1413,'февраль 2024'!$D$4:$D$1413,$B79,'февраль 2024'!$J$4:$J$1413,AF$1)</f>
        <v>0</v>
      </c>
      <c r="AG79" s="144">
        <f>SUMIFS('февраль 2024'!$G$4:$G$1413,'февраль 2024'!$D$4:$D$1413,$B79,'февраль 2024'!$J$4:$J$1413,AG$1)</f>
        <v>0</v>
      </c>
      <c r="AH79" s="144">
        <f>SUMIFS('февраль 2024'!$G$4:$G$1413,'февраль 2024'!$D$4:$D$1413,$B79,'февраль 2024'!$J$4:$J$1413,AH$1)</f>
        <v>0</v>
      </c>
      <c r="AI79" s="21">
        <f t="shared" si="1"/>
        <v>0</v>
      </c>
    </row>
    <row r="80" spans="2:35" ht="15" customHeight="1" x14ac:dyDescent="0.25">
      <c r="B80" s="89" t="s">
        <v>196</v>
      </c>
      <c r="C80" s="88">
        <v>190</v>
      </c>
      <c r="D80" s="144">
        <f>SUMIFS('февраль 2024'!$G$4:$G$1413,'февраль 2024'!$D$4:$D$1413,$B80,'февраль 2024'!$J$4:$J$1413,D$1)</f>
        <v>0</v>
      </c>
      <c r="E80" s="144">
        <f>SUMIFS('февраль 2024'!$G$4:$G$1413,'февраль 2024'!$D$4:$D$1413,$B80,'февраль 2024'!$J$4:$J$1413,E$1)</f>
        <v>0</v>
      </c>
      <c r="F80" s="144">
        <f>SUMIFS('февраль 2024'!$G$4:$G$1413,'февраль 2024'!$D$4:$D$1413,$B80,'февраль 2024'!$J$4:$J$1413,F$1)</f>
        <v>0</v>
      </c>
      <c r="G80" s="144">
        <f>SUMIFS('февраль 2024'!$G$4:$G$1413,'февраль 2024'!$D$4:$D$1413,$B80,'февраль 2024'!$J$4:$J$1413,G$1)</f>
        <v>0</v>
      </c>
      <c r="H80" s="144">
        <f>SUMIFS('февраль 2024'!$G$4:$G$1413,'февраль 2024'!$D$4:$D$1413,$B80,'февраль 2024'!$J$4:$J$1413,H$1)</f>
        <v>0</v>
      </c>
      <c r="I80" s="144">
        <f>SUMIFS('февраль 2024'!$G$4:$G$1413,'февраль 2024'!$D$4:$D$1413,$B80,'февраль 2024'!$J$4:$J$1413,I$1)</f>
        <v>0</v>
      </c>
      <c r="J80" s="144">
        <f>SUMIFS('февраль 2024'!$G$4:$G$1413,'февраль 2024'!$D$4:$D$1413,$B80,'февраль 2024'!$J$4:$J$1413,J$1)</f>
        <v>0</v>
      </c>
      <c r="K80" s="144">
        <f>SUMIFS('февраль 2024'!$G$4:$G$1413,'февраль 2024'!$D$4:$D$1413,$B80,'февраль 2024'!$J$4:$J$1413,K$1)</f>
        <v>0</v>
      </c>
      <c r="L80" s="144">
        <f>SUMIFS('февраль 2024'!$G$4:$G$1413,'февраль 2024'!$D$4:$D$1413,$B80,'февраль 2024'!$J$4:$J$1413,L$1)</f>
        <v>0</v>
      </c>
      <c r="M80" s="144">
        <f>SUMIFS('февраль 2024'!$G$4:$G$1413,'февраль 2024'!$D$4:$D$1413,$B80,'февраль 2024'!$J$4:$J$1413,M$1)</f>
        <v>0</v>
      </c>
      <c r="N80" s="144">
        <f>SUMIFS('февраль 2024'!$G$4:$G$1413,'февраль 2024'!$D$4:$D$1413,$B80,'февраль 2024'!$J$4:$J$1413,N$1)</f>
        <v>0</v>
      </c>
      <c r="O80" s="144">
        <f>SUMIFS('февраль 2024'!$G$4:$G$1413,'февраль 2024'!$D$4:$D$1413,$B80,'февраль 2024'!$J$4:$J$1413,O$1)</f>
        <v>0</v>
      </c>
      <c r="P80" s="144">
        <f>SUMIFS('февраль 2024'!$G$4:$G$1413,'февраль 2024'!$D$4:$D$1413,$B80,'февраль 2024'!$J$4:$J$1413,P$1)</f>
        <v>0</v>
      </c>
      <c r="Q80" s="144">
        <f>SUMIFS('февраль 2024'!$G$4:$G$1413,'февраль 2024'!$D$4:$D$1413,$B80,'февраль 2024'!$J$4:$J$1413,Q$1)</f>
        <v>0</v>
      </c>
      <c r="R80" s="144">
        <f>SUMIFS('февраль 2024'!$G$4:$G$1413,'февраль 2024'!$D$4:$D$1413,$B80,'февраль 2024'!$J$4:$J$1413,R$1)</f>
        <v>0</v>
      </c>
      <c r="S80" s="144">
        <f>SUMIFS('февраль 2024'!$G$4:$G$1413,'февраль 2024'!$D$4:$D$1413,$B80,'февраль 2024'!$J$4:$J$1413,S$1)</f>
        <v>0</v>
      </c>
      <c r="T80" s="144">
        <f>SUMIFS('февраль 2024'!$G$4:$G$1413,'февраль 2024'!$D$4:$D$1413,$B80,'февраль 2024'!$J$4:$J$1413,T$1)</f>
        <v>0</v>
      </c>
      <c r="U80" s="144">
        <f>SUMIFS('февраль 2024'!$G$4:$G$1413,'февраль 2024'!$D$4:$D$1413,$B80,'февраль 2024'!$J$4:$J$1413,U$1)</f>
        <v>0</v>
      </c>
      <c r="V80" s="144">
        <f>SUMIFS('февраль 2024'!$G$4:$G$1413,'февраль 2024'!$D$4:$D$1413,$B80,'февраль 2024'!$J$4:$J$1413,V$1)</f>
        <v>0</v>
      </c>
      <c r="W80" s="144">
        <f>SUMIFS('февраль 2024'!$G$4:$G$1413,'февраль 2024'!$D$4:$D$1413,$B80,'февраль 2024'!$J$4:$J$1413,W$1)</f>
        <v>0</v>
      </c>
      <c r="X80" s="144">
        <f>SUMIFS('февраль 2024'!$G$4:$G$1413,'февраль 2024'!$D$4:$D$1413,$B80,'февраль 2024'!$J$4:$J$1413,X$1)</f>
        <v>0</v>
      </c>
      <c r="Y80" s="144">
        <f>SUMIFS('февраль 2024'!$G$4:$G$1413,'февраль 2024'!$D$4:$D$1413,$B80,'февраль 2024'!$J$4:$J$1413,Y$1)</f>
        <v>0</v>
      </c>
      <c r="Z80" s="144">
        <f>SUMIFS('февраль 2024'!$G$4:$G$1413,'февраль 2024'!$D$4:$D$1413,$B80,'февраль 2024'!$J$4:$J$1413,Z$1)</f>
        <v>0</v>
      </c>
      <c r="AA80" s="144">
        <f>SUMIFS('февраль 2024'!$G$4:$G$1413,'февраль 2024'!$D$4:$D$1413,$B80,'февраль 2024'!$J$4:$J$1413,AA$1)</f>
        <v>0</v>
      </c>
      <c r="AB80" s="144">
        <f>SUMIFS('февраль 2024'!$G$4:$G$1413,'февраль 2024'!$D$4:$D$1413,$B80,'февраль 2024'!$J$4:$J$1413,AB$1)</f>
        <v>0</v>
      </c>
      <c r="AC80" s="144">
        <f>SUMIFS('февраль 2024'!$G$4:$G$1413,'февраль 2024'!$D$4:$D$1413,$B80,'февраль 2024'!$J$4:$J$1413,AC$1)</f>
        <v>0</v>
      </c>
      <c r="AD80" s="144">
        <f>SUMIFS('февраль 2024'!$G$4:$G$1413,'февраль 2024'!$D$4:$D$1413,$B80,'февраль 2024'!$J$4:$J$1413,AD$1)</f>
        <v>0</v>
      </c>
      <c r="AE80" s="144">
        <f>SUMIFS('февраль 2024'!$G$4:$G$1413,'февраль 2024'!$D$4:$D$1413,$B80,'февраль 2024'!$J$4:$J$1413,AE$1)</f>
        <v>68</v>
      </c>
      <c r="AF80" s="144">
        <f>SUMIFS('февраль 2024'!$G$4:$G$1413,'февраль 2024'!$D$4:$D$1413,$B80,'февраль 2024'!$J$4:$J$1413,AF$1)</f>
        <v>0</v>
      </c>
      <c r="AG80" s="144">
        <f>SUMIFS('февраль 2024'!$G$4:$G$1413,'февраль 2024'!$D$4:$D$1413,$B80,'февраль 2024'!$J$4:$J$1413,AG$1)</f>
        <v>0</v>
      </c>
      <c r="AH80" s="144">
        <f>SUMIFS('февраль 2024'!$G$4:$G$1413,'февраль 2024'!$D$4:$D$1413,$B80,'февраль 2024'!$J$4:$J$1413,AH$1)</f>
        <v>0</v>
      </c>
      <c r="AI80" s="21">
        <f t="shared" si="1"/>
        <v>68</v>
      </c>
    </row>
    <row r="81" spans="2:35" ht="15" customHeight="1" x14ac:dyDescent="0.25">
      <c r="B81" s="89" t="s">
        <v>217</v>
      </c>
      <c r="C81" s="88">
        <v>190</v>
      </c>
      <c r="D81" s="144">
        <f>SUMIFS('февраль 2024'!$G$4:$G$1413,'февраль 2024'!$D$4:$D$1413,$B81,'февраль 2024'!$J$4:$J$1413,D$1)</f>
        <v>0</v>
      </c>
      <c r="E81" s="144">
        <f>SUMIFS('февраль 2024'!$G$4:$G$1413,'февраль 2024'!$D$4:$D$1413,$B81,'февраль 2024'!$J$4:$J$1413,E$1)</f>
        <v>0</v>
      </c>
      <c r="F81" s="144">
        <f>SUMIFS('февраль 2024'!$G$4:$G$1413,'февраль 2024'!$D$4:$D$1413,$B81,'февраль 2024'!$J$4:$J$1413,F$1)</f>
        <v>0</v>
      </c>
      <c r="G81" s="144">
        <f>SUMIFS('февраль 2024'!$G$4:$G$1413,'февраль 2024'!$D$4:$D$1413,$B81,'февраль 2024'!$J$4:$J$1413,G$1)</f>
        <v>0</v>
      </c>
      <c r="H81" s="144">
        <f>SUMIFS('февраль 2024'!$G$4:$G$1413,'февраль 2024'!$D$4:$D$1413,$B81,'февраль 2024'!$J$4:$J$1413,H$1)</f>
        <v>0</v>
      </c>
      <c r="I81" s="144">
        <f>SUMIFS('февраль 2024'!$G$4:$G$1413,'февраль 2024'!$D$4:$D$1413,$B81,'февраль 2024'!$J$4:$J$1413,I$1)</f>
        <v>0</v>
      </c>
      <c r="J81" s="144">
        <f>SUMIFS('февраль 2024'!$G$4:$G$1413,'февраль 2024'!$D$4:$D$1413,$B81,'февраль 2024'!$J$4:$J$1413,J$1)</f>
        <v>0</v>
      </c>
      <c r="K81" s="144">
        <f>SUMIFS('февраль 2024'!$G$4:$G$1413,'февраль 2024'!$D$4:$D$1413,$B81,'февраль 2024'!$J$4:$J$1413,K$1)</f>
        <v>0</v>
      </c>
      <c r="L81" s="144">
        <f>SUMIFS('февраль 2024'!$G$4:$G$1413,'февраль 2024'!$D$4:$D$1413,$B81,'февраль 2024'!$J$4:$J$1413,L$1)</f>
        <v>0</v>
      </c>
      <c r="M81" s="144">
        <f>SUMIFS('февраль 2024'!$G$4:$G$1413,'февраль 2024'!$D$4:$D$1413,$B81,'февраль 2024'!$J$4:$J$1413,M$1)</f>
        <v>0</v>
      </c>
      <c r="N81" s="144">
        <f>SUMIFS('февраль 2024'!$G$4:$G$1413,'февраль 2024'!$D$4:$D$1413,$B81,'февраль 2024'!$J$4:$J$1413,N$1)</f>
        <v>0</v>
      </c>
      <c r="O81" s="144">
        <f>SUMIFS('февраль 2024'!$G$4:$G$1413,'февраль 2024'!$D$4:$D$1413,$B81,'февраль 2024'!$J$4:$J$1413,O$1)</f>
        <v>0</v>
      </c>
      <c r="P81" s="144">
        <f>SUMIFS('февраль 2024'!$G$4:$G$1413,'февраль 2024'!$D$4:$D$1413,$B81,'февраль 2024'!$J$4:$J$1413,P$1)</f>
        <v>0</v>
      </c>
      <c r="Q81" s="144">
        <f>SUMIFS('февраль 2024'!$G$4:$G$1413,'февраль 2024'!$D$4:$D$1413,$B81,'февраль 2024'!$J$4:$J$1413,Q$1)</f>
        <v>0</v>
      </c>
      <c r="R81" s="144">
        <f>SUMIFS('февраль 2024'!$G$4:$G$1413,'февраль 2024'!$D$4:$D$1413,$B81,'февраль 2024'!$J$4:$J$1413,R$1)</f>
        <v>0</v>
      </c>
      <c r="S81" s="144">
        <f>SUMIFS('февраль 2024'!$G$4:$G$1413,'февраль 2024'!$D$4:$D$1413,$B81,'февраль 2024'!$J$4:$J$1413,S$1)</f>
        <v>0</v>
      </c>
      <c r="T81" s="144">
        <f>SUMIFS('февраль 2024'!$G$4:$G$1413,'февраль 2024'!$D$4:$D$1413,$B81,'февраль 2024'!$J$4:$J$1413,T$1)</f>
        <v>0</v>
      </c>
      <c r="U81" s="144">
        <f>SUMIFS('февраль 2024'!$G$4:$G$1413,'февраль 2024'!$D$4:$D$1413,$B81,'февраль 2024'!$J$4:$J$1413,U$1)</f>
        <v>0</v>
      </c>
      <c r="V81" s="144">
        <f>SUMIFS('февраль 2024'!$G$4:$G$1413,'февраль 2024'!$D$4:$D$1413,$B81,'февраль 2024'!$J$4:$J$1413,V$1)</f>
        <v>0</v>
      </c>
      <c r="W81" s="144">
        <f>SUMIFS('февраль 2024'!$G$4:$G$1413,'февраль 2024'!$D$4:$D$1413,$B81,'февраль 2024'!$J$4:$J$1413,W$1)</f>
        <v>0</v>
      </c>
      <c r="X81" s="144">
        <f>SUMIFS('февраль 2024'!$G$4:$G$1413,'февраль 2024'!$D$4:$D$1413,$B81,'февраль 2024'!$J$4:$J$1413,X$1)</f>
        <v>0</v>
      </c>
      <c r="Y81" s="144">
        <f>SUMIFS('февраль 2024'!$G$4:$G$1413,'февраль 2024'!$D$4:$D$1413,$B81,'февраль 2024'!$J$4:$J$1413,Y$1)</f>
        <v>0</v>
      </c>
      <c r="Z81" s="144">
        <f>SUMIFS('февраль 2024'!$G$4:$G$1413,'февраль 2024'!$D$4:$D$1413,$B81,'февраль 2024'!$J$4:$J$1413,Z$1)</f>
        <v>0</v>
      </c>
      <c r="AA81" s="144">
        <f>SUMIFS('февраль 2024'!$G$4:$G$1413,'февраль 2024'!$D$4:$D$1413,$B81,'февраль 2024'!$J$4:$J$1413,AA$1)</f>
        <v>0</v>
      </c>
      <c r="AB81" s="144">
        <f>SUMIFS('февраль 2024'!$G$4:$G$1413,'февраль 2024'!$D$4:$D$1413,$B81,'февраль 2024'!$J$4:$J$1413,AB$1)</f>
        <v>0</v>
      </c>
      <c r="AC81" s="144">
        <f>SUMIFS('февраль 2024'!$G$4:$G$1413,'февраль 2024'!$D$4:$D$1413,$B81,'февраль 2024'!$J$4:$J$1413,AC$1)</f>
        <v>0</v>
      </c>
      <c r="AD81" s="144">
        <f>SUMIFS('февраль 2024'!$G$4:$G$1413,'февраль 2024'!$D$4:$D$1413,$B81,'февраль 2024'!$J$4:$J$1413,AD$1)</f>
        <v>0</v>
      </c>
      <c r="AE81" s="144">
        <f>SUMIFS('февраль 2024'!$G$4:$G$1413,'февраль 2024'!$D$4:$D$1413,$B81,'февраль 2024'!$J$4:$J$1413,AE$1)</f>
        <v>0</v>
      </c>
      <c r="AF81" s="144">
        <f>SUMIFS('февраль 2024'!$G$4:$G$1413,'февраль 2024'!$D$4:$D$1413,$B81,'февраль 2024'!$J$4:$J$1413,AF$1)</f>
        <v>0</v>
      </c>
      <c r="AG81" s="144">
        <f>SUMIFS('февраль 2024'!$G$4:$G$1413,'февраль 2024'!$D$4:$D$1413,$B81,'февраль 2024'!$J$4:$J$1413,AG$1)</f>
        <v>0</v>
      </c>
      <c r="AH81" s="144">
        <f>SUMIFS('февраль 2024'!$G$4:$G$1413,'февраль 2024'!$D$4:$D$1413,$B81,'февраль 2024'!$J$4:$J$1413,AH$1)</f>
        <v>0</v>
      </c>
      <c r="AI81" s="21">
        <f t="shared" si="1"/>
        <v>0</v>
      </c>
    </row>
    <row r="82" spans="2:35" ht="15" customHeight="1" x14ac:dyDescent="0.25">
      <c r="B82" s="93" t="s">
        <v>179</v>
      </c>
      <c r="C82" s="88">
        <v>190</v>
      </c>
      <c r="D82" s="144">
        <f>SUMIFS('февраль 2024'!$G$4:$G$1413,'февраль 2024'!$D$4:$D$1413,$B82,'февраль 2024'!$J$4:$J$1413,D$1)</f>
        <v>0</v>
      </c>
      <c r="E82" s="144">
        <f>SUMIFS('февраль 2024'!$G$4:$G$1413,'февраль 2024'!$D$4:$D$1413,$B82,'февраль 2024'!$J$4:$J$1413,E$1)</f>
        <v>0</v>
      </c>
      <c r="F82" s="144">
        <f>SUMIFS('февраль 2024'!$G$4:$G$1413,'февраль 2024'!$D$4:$D$1413,$B82,'февраль 2024'!$J$4:$J$1413,F$1)</f>
        <v>0</v>
      </c>
      <c r="G82" s="144">
        <f>SUMIFS('февраль 2024'!$G$4:$G$1413,'февраль 2024'!$D$4:$D$1413,$B82,'февраль 2024'!$J$4:$J$1413,G$1)</f>
        <v>0</v>
      </c>
      <c r="H82" s="144">
        <f>SUMIFS('февраль 2024'!$G$4:$G$1413,'февраль 2024'!$D$4:$D$1413,$B82,'февраль 2024'!$J$4:$J$1413,H$1)</f>
        <v>0</v>
      </c>
      <c r="I82" s="144">
        <f>SUMIFS('февраль 2024'!$G$4:$G$1413,'февраль 2024'!$D$4:$D$1413,$B82,'февраль 2024'!$J$4:$J$1413,I$1)</f>
        <v>0</v>
      </c>
      <c r="J82" s="144">
        <f>SUMIFS('февраль 2024'!$G$4:$G$1413,'февраль 2024'!$D$4:$D$1413,$B82,'февраль 2024'!$J$4:$J$1413,J$1)</f>
        <v>0</v>
      </c>
      <c r="K82" s="144">
        <f>SUMIFS('февраль 2024'!$G$4:$G$1413,'февраль 2024'!$D$4:$D$1413,$B82,'февраль 2024'!$J$4:$J$1413,K$1)</f>
        <v>0</v>
      </c>
      <c r="L82" s="144">
        <f>SUMIFS('февраль 2024'!$G$4:$G$1413,'февраль 2024'!$D$4:$D$1413,$B82,'февраль 2024'!$J$4:$J$1413,L$1)</f>
        <v>0</v>
      </c>
      <c r="M82" s="144">
        <f>SUMIFS('февраль 2024'!$G$4:$G$1413,'февраль 2024'!$D$4:$D$1413,$B82,'февраль 2024'!$J$4:$J$1413,M$1)</f>
        <v>0</v>
      </c>
      <c r="N82" s="144">
        <f>SUMIFS('февраль 2024'!$G$4:$G$1413,'февраль 2024'!$D$4:$D$1413,$B82,'февраль 2024'!$J$4:$J$1413,N$1)</f>
        <v>0</v>
      </c>
      <c r="O82" s="144">
        <f>SUMIFS('февраль 2024'!$G$4:$G$1413,'февраль 2024'!$D$4:$D$1413,$B82,'февраль 2024'!$J$4:$J$1413,O$1)</f>
        <v>0</v>
      </c>
      <c r="P82" s="144">
        <f>SUMIFS('февраль 2024'!$G$4:$G$1413,'февраль 2024'!$D$4:$D$1413,$B82,'февраль 2024'!$J$4:$J$1413,P$1)</f>
        <v>0</v>
      </c>
      <c r="Q82" s="144">
        <f>SUMIFS('февраль 2024'!$G$4:$G$1413,'февраль 2024'!$D$4:$D$1413,$B82,'февраль 2024'!$J$4:$J$1413,Q$1)</f>
        <v>0</v>
      </c>
      <c r="R82" s="144">
        <f>SUMIFS('февраль 2024'!$G$4:$G$1413,'февраль 2024'!$D$4:$D$1413,$B82,'февраль 2024'!$J$4:$J$1413,R$1)</f>
        <v>0</v>
      </c>
      <c r="S82" s="144">
        <f>SUMIFS('февраль 2024'!$G$4:$G$1413,'февраль 2024'!$D$4:$D$1413,$B82,'февраль 2024'!$J$4:$J$1413,S$1)</f>
        <v>0</v>
      </c>
      <c r="T82" s="144">
        <f>SUMIFS('февраль 2024'!$G$4:$G$1413,'февраль 2024'!$D$4:$D$1413,$B82,'февраль 2024'!$J$4:$J$1413,T$1)</f>
        <v>0</v>
      </c>
      <c r="U82" s="144">
        <f>SUMIFS('февраль 2024'!$G$4:$G$1413,'февраль 2024'!$D$4:$D$1413,$B82,'февраль 2024'!$J$4:$J$1413,U$1)</f>
        <v>0</v>
      </c>
      <c r="V82" s="144">
        <f>SUMIFS('февраль 2024'!$G$4:$G$1413,'февраль 2024'!$D$4:$D$1413,$B82,'февраль 2024'!$J$4:$J$1413,V$1)</f>
        <v>0</v>
      </c>
      <c r="W82" s="144">
        <f>SUMIFS('февраль 2024'!$G$4:$G$1413,'февраль 2024'!$D$4:$D$1413,$B82,'февраль 2024'!$J$4:$J$1413,W$1)</f>
        <v>0</v>
      </c>
      <c r="X82" s="144">
        <f>SUMIFS('февраль 2024'!$G$4:$G$1413,'февраль 2024'!$D$4:$D$1413,$B82,'февраль 2024'!$J$4:$J$1413,X$1)</f>
        <v>0</v>
      </c>
      <c r="Y82" s="144">
        <f>SUMIFS('февраль 2024'!$G$4:$G$1413,'февраль 2024'!$D$4:$D$1413,$B82,'февраль 2024'!$J$4:$J$1413,Y$1)</f>
        <v>0</v>
      </c>
      <c r="Z82" s="144">
        <f>SUMIFS('февраль 2024'!$G$4:$G$1413,'февраль 2024'!$D$4:$D$1413,$B82,'февраль 2024'!$J$4:$J$1413,Z$1)</f>
        <v>0</v>
      </c>
      <c r="AA82" s="144">
        <f>SUMIFS('февраль 2024'!$G$4:$G$1413,'февраль 2024'!$D$4:$D$1413,$B82,'февраль 2024'!$J$4:$J$1413,AA$1)</f>
        <v>0</v>
      </c>
      <c r="AB82" s="144">
        <f>SUMIFS('февраль 2024'!$G$4:$G$1413,'февраль 2024'!$D$4:$D$1413,$B82,'февраль 2024'!$J$4:$J$1413,AB$1)</f>
        <v>0</v>
      </c>
      <c r="AC82" s="144">
        <f>SUMIFS('февраль 2024'!$G$4:$G$1413,'февраль 2024'!$D$4:$D$1413,$B82,'февраль 2024'!$J$4:$J$1413,AC$1)</f>
        <v>0</v>
      </c>
      <c r="AD82" s="144">
        <f>SUMIFS('февраль 2024'!$G$4:$G$1413,'февраль 2024'!$D$4:$D$1413,$B82,'февраль 2024'!$J$4:$J$1413,AD$1)</f>
        <v>0</v>
      </c>
      <c r="AE82" s="144">
        <f>SUMIFS('февраль 2024'!$G$4:$G$1413,'февраль 2024'!$D$4:$D$1413,$B82,'февраль 2024'!$J$4:$J$1413,AE$1)</f>
        <v>0</v>
      </c>
      <c r="AF82" s="144">
        <f>SUMIFS('февраль 2024'!$G$4:$G$1413,'февраль 2024'!$D$4:$D$1413,$B82,'февраль 2024'!$J$4:$J$1413,AF$1)</f>
        <v>0</v>
      </c>
      <c r="AG82" s="144">
        <f>SUMIFS('февраль 2024'!$G$4:$G$1413,'февраль 2024'!$D$4:$D$1413,$B82,'февраль 2024'!$J$4:$J$1413,AG$1)</f>
        <v>0</v>
      </c>
      <c r="AH82" s="144">
        <f>SUMIFS('февраль 2024'!$G$4:$G$1413,'февраль 2024'!$D$4:$D$1413,$B82,'февраль 2024'!$J$4:$J$1413,AH$1)</f>
        <v>0</v>
      </c>
      <c r="AI82" s="21">
        <f t="shared" si="1"/>
        <v>0</v>
      </c>
    </row>
    <row r="83" spans="2:35" ht="15" customHeight="1" x14ac:dyDescent="0.25">
      <c r="B83" s="93" t="s">
        <v>192</v>
      </c>
      <c r="C83" s="91">
        <v>180</v>
      </c>
      <c r="D83" s="144">
        <f>SUMIFS('февраль 2024'!$G$4:$G$1413,'февраль 2024'!$D$4:$D$1413,$B83,'февраль 2024'!$J$4:$J$1413,D$1)</f>
        <v>0</v>
      </c>
      <c r="E83" s="144">
        <f>SUMIFS('февраль 2024'!$G$4:$G$1413,'февраль 2024'!$D$4:$D$1413,$B83,'февраль 2024'!$J$4:$J$1413,E$1)</f>
        <v>0</v>
      </c>
      <c r="F83" s="144">
        <f>SUMIFS('февраль 2024'!$G$4:$G$1413,'февраль 2024'!$D$4:$D$1413,$B83,'февраль 2024'!$J$4:$J$1413,F$1)</f>
        <v>0</v>
      </c>
      <c r="G83" s="144">
        <f>SUMIFS('февраль 2024'!$G$4:$G$1413,'февраль 2024'!$D$4:$D$1413,$B83,'февраль 2024'!$J$4:$J$1413,G$1)</f>
        <v>0</v>
      </c>
      <c r="H83" s="144">
        <f>SUMIFS('февраль 2024'!$G$4:$G$1413,'февраль 2024'!$D$4:$D$1413,$B83,'февраль 2024'!$J$4:$J$1413,H$1)</f>
        <v>0</v>
      </c>
      <c r="I83" s="144">
        <f>SUMIFS('февраль 2024'!$G$4:$G$1413,'февраль 2024'!$D$4:$D$1413,$B83,'февраль 2024'!$J$4:$J$1413,I$1)</f>
        <v>0</v>
      </c>
      <c r="J83" s="144">
        <f>SUMIFS('февраль 2024'!$G$4:$G$1413,'февраль 2024'!$D$4:$D$1413,$B83,'февраль 2024'!$J$4:$J$1413,J$1)</f>
        <v>0</v>
      </c>
      <c r="K83" s="144">
        <f>SUMIFS('февраль 2024'!$G$4:$G$1413,'февраль 2024'!$D$4:$D$1413,$B83,'февраль 2024'!$J$4:$J$1413,K$1)</f>
        <v>0</v>
      </c>
      <c r="L83" s="144">
        <f>SUMIFS('февраль 2024'!$G$4:$G$1413,'февраль 2024'!$D$4:$D$1413,$B83,'февраль 2024'!$J$4:$J$1413,L$1)</f>
        <v>0</v>
      </c>
      <c r="M83" s="144">
        <f>SUMIFS('февраль 2024'!$G$4:$G$1413,'февраль 2024'!$D$4:$D$1413,$B83,'февраль 2024'!$J$4:$J$1413,M$1)</f>
        <v>0</v>
      </c>
      <c r="N83" s="144">
        <f>SUMIFS('февраль 2024'!$G$4:$G$1413,'февраль 2024'!$D$4:$D$1413,$B83,'февраль 2024'!$J$4:$J$1413,N$1)</f>
        <v>0</v>
      </c>
      <c r="O83" s="144">
        <f>SUMIFS('февраль 2024'!$G$4:$G$1413,'февраль 2024'!$D$4:$D$1413,$B83,'февраль 2024'!$J$4:$J$1413,O$1)</f>
        <v>0</v>
      </c>
      <c r="P83" s="144">
        <f>SUMIFS('февраль 2024'!$G$4:$G$1413,'февраль 2024'!$D$4:$D$1413,$B83,'февраль 2024'!$J$4:$J$1413,P$1)</f>
        <v>0</v>
      </c>
      <c r="Q83" s="144">
        <f>SUMIFS('февраль 2024'!$G$4:$G$1413,'февраль 2024'!$D$4:$D$1413,$B83,'февраль 2024'!$J$4:$J$1413,Q$1)</f>
        <v>0</v>
      </c>
      <c r="R83" s="144">
        <f>SUMIFS('февраль 2024'!$G$4:$G$1413,'февраль 2024'!$D$4:$D$1413,$B83,'февраль 2024'!$J$4:$J$1413,R$1)</f>
        <v>0</v>
      </c>
      <c r="S83" s="144">
        <f>SUMIFS('февраль 2024'!$G$4:$G$1413,'февраль 2024'!$D$4:$D$1413,$B83,'февраль 2024'!$J$4:$J$1413,S$1)</f>
        <v>0</v>
      </c>
      <c r="T83" s="144">
        <f>SUMIFS('февраль 2024'!$G$4:$G$1413,'февраль 2024'!$D$4:$D$1413,$B83,'февраль 2024'!$J$4:$J$1413,T$1)</f>
        <v>0</v>
      </c>
      <c r="U83" s="144">
        <f>SUMIFS('февраль 2024'!$G$4:$G$1413,'февраль 2024'!$D$4:$D$1413,$B83,'февраль 2024'!$J$4:$J$1413,U$1)</f>
        <v>0</v>
      </c>
      <c r="V83" s="144">
        <f>SUMIFS('февраль 2024'!$G$4:$G$1413,'февраль 2024'!$D$4:$D$1413,$B83,'февраль 2024'!$J$4:$J$1413,V$1)</f>
        <v>0</v>
      </c>
      <c r="W83" s="144">
        <f>SUMIFS('февраль 2024'!$G$4:$G$1413,'февраль 2024'!$D$4:$D$1413,$B83,'февраль 2024'!$J$4:$J$1413,W$1)</f>
        <v>0</v>
      </c>
      <c r="X83" s="144">
        <f>SUMIFS('февраль 2024'!$G$4:$G$1413,'февраль 2024'!$D$4:$D$1413,$B83,'февраль 2024'!$J$4:$J$1413,X$1)</f>
        <v>0</v>
      </c>
      <c r="Y83" s="144">
        <f>SUMIFS('февраль 2024'!$G$4:$G$1413,'февраль 2024'!$D$4:$D$1413,$B83,'февраль 2024'!$J$4:$J$1413,Y$1)</f>
        <v>0</v>
      </c>
      <c r="Z83" s="144">
        <f>SUMIFS('февраль 2024'!$G$4:$G$1413,'февраль 2024'!$D$4:$D$1413,$B83,'февраль 2024'!$J$4:$J$1413,Z$1)</f>
        <v>0</v>
      </c>
      <c r="AA83" s="144">
        <f>SUMIFS('февраль 2024'!$G$4:$G$1413,'февраль 2024'!$D$4:$D$1413,$B83,'февраль 2024'!$J$4:$J$1413,AA$1)</f>
        <v>0</v>
      </c>
      <c r="AB83" s="144">
        <f>SUMIFS('февраль 2024'!$G$4:$G$1413,'февраль 2024'!$D$4:$D$1413,$B83,'февраль 2024'!$J$4:$J$1413,AB$1)</f>
        <v>0</v>
      </c>
      <c r="AC83" s="144">
        <f>SUMIFS('февраль 2024'!$G$4:$G$1413,'февраль 2024'!$D$4:$D$1413,$B83,'февраль 2024'!$J$4:$J$1413,AC$1)</f>
        <v>0</v>
      </c>
      <c r="AD83" s="144">
        <f>SUMIFS('февраль 2024'!$G$4:$G$1413,'февраль 2024'!$D$4:$D$1413,$B83,'февраль 2024'!$J$4:$J$1413,AD$1)</f>
        <v>0</v>
      </c>
      <c r="AE83" s="144">
        <f>SUMIFS('февраль 2024'!$G$4:$G$1413,'февраль 2024'!$D$4:$D$1413,$B83,'февраль 2024'!$J$4:$J$1413,AE$1)</f>
        <v>0</v>
      </c>
      <c r="AF83" s="144">
        <f>SUMIFS('февраль 2024'!$G$4:$G$1413,'февраль 2024'!$D$4:$D$1413,$B83,'февраль 2024'!$J$4:$J$1413,AF$1)</f>
        <v>0</v>
      </c>
      <c r="AG83" s="144">
        <f>SUMIFS('февраль 2024'!$G$4:$G$1413,'февраль 2024'!$D$4:$D$1413,$B83,'февраль 2024'!$J$4:$J$1413,AG$1)</f>
        <v>0</v>
      </c>
      <c r="AH83" s="144">
        <f>SUMIFS('февраль 2024'!$G$4:$G$1413,'февраль 2024'!$D$4:$D$1413,$B83,'февраль 2024'!$J$4:$J$1413,AH$1)</f>
        <v>0</v>
      </c>
      <c r="AI83" s="21">
        <f t="shared" si="1"/>
        <v>0</v>
      </c>
    </row>
    <row r="84" spans="2:35" ht="15" customHeight="1" x14ac:dyDescent="0.25">
      <c r="B84" s="93" t="s">
        <v>650</v>
      </c>
      <c r="C84" s="91">
        <v>180</v>
      </c>
      <c r="D84" s="144">
        <f>SUMIFS('февраль 2024'!$G$4:$G$1413,'февраль 2024'!$D$4:$D$1413,$B84,'февраль 2024'!$J$4:$J$1413,D$1)</f>
        <v>0</v>
      </c>
      <c r="E84" s="144">
        <f>SUMIFS('февраль 2024'!$G$4:$G$1413,'февраль 2024'!$D$4:$D$1413,$B84,'февраль 2024'!$J$4:$J$1413,E$1)</f>
        <v>0</v>
      </c>
      <c r="F84" s="144">
        <f>SUMIFS('февраль 2024'!$G$4:$G$1413,'февраль 2024'!$D$4:$D$1413,$B84,'февраль 2024'!$J$4:$J$1413,F$1)</f>
        <v>0</v>
      </c>
      <c r="G84" s="144">
        <f>SUMIFS('февраль 2024'!$G$4:$G$1413,'февраль 2024'!$D$4:$D$1413,$B84,'февраль 2024'!$J$4:$J$1413,G$1)</f>
        <v>0</v>
      </c>
      <c r="H84" s="144">
        <f>SUMIFS('февраль 2024'!$G$4:$G$1413,'февраль 2024'!$D$4:$D$1413,$B84,'февраль 2024'!$J$4:$J$1413,H$1)</f>
        <v>0</v>
      </c>
      <c r="I84" s="144">
        <f>SUMIFS('февраль 2024'!$G$4:$G$1413,'февраль 2024'!$D$4:$D$1413,$B84,'февраль 2024'!$J$4:$J$1413,I$1)</f>
        <v>0</v>
      </c>
      <c r="J84" s="144">
        <f>SUMIFS('февраль 2024'!$G$4:$G$1413,'февраль 2024'!$D$4:$D$1413,$B84,'февраль 2024'!$J$4:$J$1413,J$1)</f>
        <v>0</v>
      </c>
      <c r="K84" s="144">
        <f>SUMIFS('февраль 2024'!$G$4:$G$1413,'февраль 2024'!$D$4:$D$1413,$B84,'февраль 2024'!$J$4:$J$1413,K$1)</f>
        <v>0</v>
      </c>
      <c r="L84" s="144">
        <f>SUMIFS('февраль 2024'!$G$4:$G$1413,'февраль 2024'!$D$4:$D$1413,$B84,'февраль 2024'!$J$4:$J$1413,L$1)</f>
        <v>0</v>
      </c>
      <c r="M84" s="144">
        <f>SUMIFS('февраль 2024'!$G$4:$G$1413,'февраль 2024'!$D$4:$D$1413,$B84,'февраль 2024'!$J$4:$J$1413,M$1)</f>
        <v>0</v>
      </c>
      <c r="N84" s="144">
        <f>SUMIFS('февраль 2024'!$G$4:$G$1413,'февраль 2024'!$D$4:$D$1413,$B84,'февраль 2024'!$J$4:$J$1413,N$1)</f>
        <v>0</v>
      </c>
      <c r="O84" s="144">
        <f>SUMIFS('февраль 2024'!$G$4:$G$1413,'февраль 2024'!$D$4:$D$1413,$B84,'февраль 2024'!$J$4:$J$1413,O$1)</f>
        <v>0</v>
      </c>
      <c r="P84" s="144">
        <f>SUMIFS('февраль 2024'!$G$4:$G$1413,'февраль 2024'!$D$4:$D$1413,$B84,'февраль 2024'!$J$4:$J$1413,P$1)</f>
        <v>0</v>
      </c>
      <c r="Q84" s="144">
        <f>SUMIFS('февраль 2024'!$G$4:$G$1413,'февраль 2024'!$D$4:$D$1413,$B84,'февраль 2024'!$J$4:$J$1413,Q$1)</f>
        <v>0</v>
      </c>
      <c r="R84" s="144">
        <f>SUMIFS('февраль 2024'!$G$4:$G$1413,'февраль 2024'!$D$4:$D$1413,$B84,'февраль 2024'!$J$4:$J$1413,R$1)</f>
        <v>0</v>
      </c>
      <c r="S84" s="144">
        <f>SUMIFS('февраль 2024'!$G$4:$G$1413,'февраль 2024'!$D$4:$D$1413,$B84,'февраль 2024'!$J$4:$J$1413,S$1)</f>
        <v>0</v>
      </c>
      <c r="T84" s="144">
        <f>SUMIFS('февраль 2024'!$G$4:$G$1413,'февраль 2024'!$D$4:$D$1413,$B84,'февраль 2024'!$J$4:$J$1413,T$1)</f>
        <v>0</v>
      </c>
      <c r="U84" s="144">
        <f>SUMIFS('февраль 2024'!$G$4:$G$1413,'февраль 2024'!$D$4:$D$1413,$B84,'февраль 2024'!$J$4:$J$1413,U$1)</f>
        <v>0</v>
      </c>
      <c r="V84" s="144">
        <f>SUMIFS('февраль 2024'!$G$4:$G$1413,'февраль 2024'!$D$4:$D$1413,$B84,'февраль 2024'!$J$4:$J$1413,V$1)</f>
        <v>0</v>
      </c>
      <c r="W84" s="144">
        <f>SUMIFS('февраль 2024'!$G$4:$G$1413,'февраль 2024'!$D$4:$D$1413,$B84,'февраль 2024'!$J$4:$J$1413,W$1)</f>
        <v>0</v>
      </c>
      <c r="X84" s="144">
        <f>SUMIFS('февраль 2024'!$G$4:$G$1413,'февраль 2024'!$D$4:$D$1413,$B84,'февраль 2024'!$J$4:$J$1413,X$1)</f>
        <v>0</v>
      </c>
      <c r="Y84" s="144">
        <f>SUMIFS('февраль 2024'!$G$4:$G$1413,'февраль 2024'!$D$4:$D$1413,$B84,'февраль 2024'!$J$4:$J$1413,Y$1)</f>
        <v>0</v>
      </c>
      <c r="Z84" s="144">
        <f>SUMIFS('февраль 2024'!$G$4:$G$1413,'февраль 2024'!$D$4:$D$1413,$B84,'февраль 2024'!$J$4:$J$1413,Z$1)</f>
        <v>0</v>
      </c>
      <c r="AA84" s="144">
        <f>SUMIFS('февраль 2024'!$G$4:$G$1413,'февраль 2024'!$D$4:$D$1413,$B84,'февраль 2024'!$J$4:$J$1413,AA$1)</f>
        <v>0</v>
      </c>
      <c r="AB84" s="144">
        <f>SUMIFS('февраль 2024'!$G$4:$G$1413,'февраль 2024'!$D$4:$D$1413,$B84,'февраль 2024'!$J$4:$J$1413,AB$1)</f>
        <v>0</v>
      </c>
      <c r="AC84" s="144">
        <f>SUMIFS('февраль 2024'!$G$4:$G$1413,'февраль 2024'!$D$4:$D$1413,$B84,'февраль 2024'!$J$4:$J$1413,AC$1)</f>
        <v>0</v>
      </c>
      <c r="AD84" s="144">
        <f>SUMIFS('февраль 2024'!$G$4:$G$1413,'февраль 2024'!$D$4:$D$1413,$B84,'февраль 2024'!$J$4:$J$1413,AD$1)</f>
        <v>0</v>
      </c>
      <c r="AE84" s="144">
        <f>SUMIFS('февраль 2024'!$G$4:$G$1413,'февраль 2024'!$D$4:$D$1413,$B84,'февраль 2024'!$J$4:$J$1413,AE$1)</f>
        <v>0</v>
      </c>
      <c r="AF84" s="144">
        <f>SUMIFS('февраль 2024'!$G$4:$G$1413,'февраль 2024'!$D$4:$D$1413,$B84,'февраль 2024'!$J$4:$J$1413,AF$1)</f>
        <v>0</v>
      </c>
      <c r="AG84" s="144">
        <f>SUMIFS('февраль 2024'!$G$4:$G$1413,'февраль 2024'!$D$4:$D$1413,$B84,'февраль 2024'!$J$4:$J$1413,AG$1)</f>
        <v>0</v>
      </c>
      <c r="AH84" s="144">
        <f>SUMIFS('февраль 2024'!$G$4:$G$1413,'февраль 2024'!$D$4:$D$1413,$B84,'февраль 2024'!$J$4:$J$1413,AH$1)</f>
        <v>0</v>
      </c>
      <c r="AI84" s="21">
        <f>SUM(D84:AH84)</f>
        <v>0</v>
      </c>
    </row>
    <row r="85" spans="2:35" ht="15" customHeight="1" x14ac:dyDescent="0.25">
      <c r="B85" s="93" t="s">
        <v>399</v>
      </c>
      <c r="C85" s="91">
        <v>190</v>
      </c>
      <c r="D85" s="144">
        <f>SUMIFS('февраль 2024'!$G$4:$G$1413,'февраль 2024'!$D$4:$D$1413,$B85,'февраль 2024'!$J$4:$J$1413,D$1)</f>
        <v>0</v>
      </c>
      <c r="E85" s="144">
        <f>SUMIFS('февраль 2024'!$G$4:$G$1413,'февраль 2024'!$D$4:$D$1413,$B85,'февраль 2024'!$J$4:$J$1413,E$1)</f>
        <v>0</v>
      </c>
      <c r="F85" s="144">
        <f>SUMIFS('февраль 2024'!$G$4:$G$1413,'февраль 2024'!$D$4:$D$1413,$B85,'февраль 2024'!$J$4:$J$1413,F$1)</f>
        <v>0</v>
      </c>
      <c r="G85" s="144">
        <f>SUMIFS('февраль 2024'!$G$4:$G$1413,'февраль 2024'!$D$4:$D$1413,$B85,'февраль 2024'!$J$4:$J$1413,G$1)</f>
        <v>0</v>
      </c>
      <c r="H85" s="144">
        <f>SUMIFS('февраль 2024'!$G$4:$G$1413,'февраль 2024'!$D$4:$D$1413,$B85,'февраль 2024'!$J$4:$J$1413,H$1)</f>
        <v>0</v>
      </c>
      <c r="I85" s="144">
        <f>SUMIFS('февраль 2024'!$G$4:$G$1413,'февраль 2024'!$D$4:$D$1413,$B85,'февраль 2024'!$J$4:$J$1413,I$1)</f>
        <v>0</v>
      </c>
      <c r="J85" s="144">
        <f>SUMIFS('февраль 2024'!$G$4:$G$1413,'февраль 2024'!$D$4:$D$1413,$B85,'февраль 2024'!$J$4:$J$1413,J$1)</f>
        <v>0</v>
      </c>
      <c r="K85" s="144">
        <f>SUMIFS('февраль 2024'!$G$4:$G$1413,'февраль 2024'!$D$4:$D$1413,$B85,'февраль 2024'!$J$4:$J$1413,K$1)</f>
        <v>0</v>
      </c>
      <c r="L85" s="144">
        <f>SUMIFS('февраль 2024'!$G$4:$G$1413,'февраль 2024'!$D$4:$D$1413,$B85,'февраль 2024'!$J$4:$J$1413,L$1)</f>
        <v>0</v>
      </c>
      <c r="M85" s="144">
        <f>SUMIFS('февраль 2024'!$G$4:$G$1413,'февраль 2024'!$D$4:$D$1413,$B85,'февраль 2024'!$J$4:$J$1413,M$1)</f>
        <v>0</v>
      </c>
      <c r="N85" s="144">
        <f>SUMIFS('февраль 2024'!$G$4:$G$1413,'февраль 2024'!$D$4:$D$1413,$B85,'февраль 2024'!$J$4:$J$1413,N$1)</f>
        <v>0</v>
      </c>
      <c r="O85" s="144">
        <f>SUMIFS('февраль 2024'!$G$4:$G$1413,'февраль 2024'!$D$4:$D$1413,$B85,'февраль 2024'!$J$4:$J$1413,O$1)</f>
        <v>0</v>
      </c>
      <c r="P85" s="144">
        <f>SUMIFS('февраль 2024'!$G$4:$G$1413,'февраль 2024'!$D$4:$D$1413,$B85,'февраль 2024'!$J$4:$J$1413,P$1)</f>
        <v>0</v>
      </c>
      <c r="Q85" s="144">
        <f>SUMIFS('февраль 2024'!$G$4:$G$1413,'февраль 2024'!$D$4:$D$1413,$B85,'февраль 2024'!$J$4:$J$1413,Q$1)</f>
        <v>0</v>
      </c>
      <c r="R85" s="144">
        <f>SUMIFS('февраль 2024'!$G$4:$G$1413,'февраль 2024'!$D$4:$D$1413,$B85,'февраль 2024'!$J$4:$J$1413,R$1)</f>
        <v>0</v>
      </c>
      <c r="S85" s="144">
        <f>SUMIFS('февраль 2024'!$G$4:$G$1413,'февраль 2024'!$D$4:$D$1413,$B85,'февраль 2024'!$J$4:$J$1413,S$1)</f>
        <v>0</v>
      </c>
      <c r="T85" s="144">
        <f>SUMIFS('февраль 2024'!$G$4:$G$1413,'февраль 2024'!$D$4:$D$1413,$B85,'февраль 2024'!$J$4:$J$1413,T$1)</f>
        <v>0</v>
      </c>
      <c r="U85" s="144">
        <f>SUMIFS('февраль 2024'!$G$4:$G$1413,'февраль 2024'!$D$4:$D$1413,$B85,'февраль 2024'!$J$4:$J$1413,U$1)</f>
        <v>0</v>
      </c>
      <c r="V85" s="144">
        <f>SUMIFS('февраль 2024'!$G$4:$G$1413,'февраль 2024'!$D$4:$D$1413,$B85,'февраль 2024'!$J$4:$J$1413,V$1)</f>
        <v>0</v>
      </c>
      <c r="W85" s="144">
        <f>SUMIFS('февраль 2024'!$G$4:$G$1413,'февраль 2024'!$D$4:$D$1413,$B85,'февраль 2024'!$J$4:$J$1413,W$1)</f>
        <v>0</v>
      </c>
      <c r="X85" s="144">
        <f>SUMIFS('февраль 2024'!$G$4:$G$1413,'февраль 2024'!$D$4:$D$1413,$B85,'февраль 2024'!$J$4:$J$1413,X$1)</f>
        <v>0</v>
      </c>
      <c r="Y85" s="144">
        <f>SUMIFS('февраль 2024'!$G$4:$G$1413,'февраль 2024'!$D$4:$D$1413,$B85,'февраль 2024'!$J$4:$J$1413,Y$1)</f>
        <v>0</v>
      </c>
      <c r="Z85" s="144">
        <f>SUMIFS('февраль 2024'!$G$4:$G$1413,'февраль 2024'!$D$4:$D$1413,$B85,'февраль 2024'!$J$4:$J$1413,Z$1)</f>
        <v>0</v>
      </c>
      <c r="AA85" s="144">
        <f>SUMIFS('февраль 2024'!$G$4:$G$1413,'февраль 2024'!$D$4:$D$1413,$B85,'февраль 2024'!$J$4:$J$1413,AA$1)</f>
        <v>0</v>
      </c>
      <c r="AB85" s="144">
        <f>SUMIFS('февраль 2024'!$G$4:$G$1413,'февраль 2024'!$D$4:$D$1413,$B85,'февраль 2024'!$J$4:$J$1413,AB$1)</f>
        <v>0</v>
      </c>
      <c r="AC85" s="144">
        <f>SUMIFS('февраль 2024'!$G$4:$G$1413,'февраль 2024'!$D$4:$D$1413,$B85,'февраль 2024'!$J$4:$J$1413,AC$1)</f>
        <v>0</v>
      </c>
      <c r="AD85" s="144">
        <f>SUMIFS('февраль 2024'!$G$4:$G$1413,'февраль 2024'!$D$4:$D$1413,$B85,'февраль 2024'!$J$4:$J$1413,AD$1)</f>
        <v>0</v>
      </c>
      <c r="AE85" s="144">
        <f>SUMIFS('февраль 2024'!$G$4:$G$1413,'февраль 2024'!$D$4:$D$1413,$B85,'февраль 2024'!$J$4:$J$1413,AE$1)</f>
        <v>0</v>
      </c>
      <c r="AF85" s="144">
        <f>SUMIFS('февраль 2024'!$G$4:$G$1413,'февраль 2024'!$D$4:$D$1413,$B85,'февраль 2024'!$J$4:$J$1413,AF$1)</f>
        <v>0</v>
      </c>
      <c r="AG85" s="144">
        <f>SUMIFS('февраль 2024'!$G$4:$G$1413,'февраль 2024'!$D$4:$D$1413,$B85,'февраль 2024'!$J$4:$J$1413,AG$1)</f>
        <v>0</v>
      </c>
      <c r="AH85" s="144">
        <f>SUMIFS('февраль 2024'!$G$4:$G$1413,'февраль 2024'!$D$4:$D$1413,$B85,'февраль 2024'!$J$4:$J$1413,AH$1)</f>
        <v>0</v>
      </c>
      <c r="AI85" s="21">
        <f t="shared" si="1"/>
        <v>0</v>
      </c>
    </row>
    <row r="86" spans="2:35" ht="15" customHeight="1" x14ac:dyDescent="0.25">
      <c r="B86" s="93" t="s">
        <v>322</v>
      </c>
      <c r="C86" s="91">
        <v>180</v>
      </c>
      <c r="D86" s="144">
        <f>SUMIFS('февраль 2024'!$G$4:$G$1413,'февраль 2024'!$D$4:$D$1413,$B86,'февраль 2024'!$J$4:$J$1413,D$1)</f>
        <v>0</v>
      </c>
      <c r="E86" s="144">
        <f>SUMIFS('февраль 2024'!$G$4:$G$1413,'февраль 2024'!$D$4:$D$1413,$B86,'февраль 2024'!$J$4:$J$1413,E$1)</f>
        <v>0</v>
      </c>
      <c r="F86" s="144">
        <f>SUMIFS('февраль 2024'!$G$4:$G$1413,'февраль 2024'!$D$4:$D$1413,$B86,'февраль 2024'!$J$4:$J$1413,F$1)</f>
        <v>0</v>
      </c>
      <c r="G86" s="144">
        <f>SUMIFS('февраль 2024'!$G$4:$G$1413,'февраль 2024'!$D$4:$D$1413,$B86,'февраль 2024'!$J$4:$J$1413,G$1)</f>
        <v>0</v>
      </c>
      <c r="H86" s="144">
        <f>SUMIFS('февраль 2024'!$G$4:$G$1413,'февраль 2024'!$D$4:$D$1413,$B86,'февраль 2024'!$J$4:$J$1413,H$1)</f>
        <v>0</v>
      </c>
      <c r="I86" s="144">
        <f>SUMIFS('февраль 2024'!$G$4:$G$1413,'февраль 2024'!$D$4:$D$1413,$B86,'февраль 2024'!$J$4:$J$1413,I$1)</f>
        <v>0</v>
      </c>
      <c r="J86" s="144">
        <f>SUMIFS('февраль 2024'!$G$4:$G$1413,'февраль 2024'!$D$4:$D$1413,$B86,'февраль 2024'!$J$4:$J$1413,J$1)</f>
        <v>0</v>
      </c>
      <c r="K86" s="144">
        <f>SUMIFS('февраль 2024'!$G$4:$G$1413,'февраль 2024'!$D$4:$D$1413,$B86,'февраль 2024'!$J$4:$J$1413,K$1)</f>
        <v>0</v>
      </c>
      <c r="L86" s="144">
        <f>SUMIFS('февраль 2024'!$G$4:$G$1413,'февраль 2024'!$D$4:$D$1413,$B86,'февраль 2024'!$J$4:$J$1413,L$1)</f>
        <v>0</v>
      </c>
      <c r="M86" s="144">
        <f>SUMIFS('февраль 2024'!$G$4:$G$1413,'февраль 2024'!$D$4:$D$1413,$B86,'февраль 2024'!$J$4:$J$1413,M$1)</f>
        <v>0</v>
      </c>
      <c r="N86" s="144">
        <f>SUMIFS('февраль 2024'!$G$4:$G$1413,'февраль 2024'!$D$4:$D$1413,$B86,'февраль 2024'!$J$4:$J$1413,N$1)</f>
        <v>0</v>
      </c>
      <c r="O86" s="144">
        <f>SUMIFS('февраль 2024'!$G$4:$G$1413,'февраль 2024'!$D$4:$D$1413,$B86,'февраль 2024'!$J$4:$J$1413,O$1)</f>
        <v>0</v>
      </c>
      <c r="P86" s="144">
        <f>SUMIFS('февраль 2024'!$G$4:$G$1413,'февраль 2024'!$D$4:$D$1413,$B86,'февраль 2024'!$J$4:$J$1413,P$1)</f>
        <v>0</v>
      </c>
      <c r="Q86" s="144">
        <f>SUMIFS('февраль 2024'!$G$4:$G$1413,'февраль 2024'!$D$4:$D$1413,$B86,'февраль 2024'!$J$4:$J$1413,Q$1)</f>
        <v>0</v>
      </c>
      <c r="R86" s="144">
        <f>SUMIFS('февраль 2024'!$G$4:$G$1413,'февраль 2024'!$D$4:$D$1413,$B86,'февраль 2024'!$J$4:$J$1413,R$1)</f>
        <v>0</v>
      </c>
      <c r="S86" s="144">
        <f>SUMIFS('февраль 2024'!$G$4:$G$1413,'февраль 2024'!$D$4:$D$1413,$B86,'февраль 2024'!$J$4:$J$1413,S$1)</f>
        <v>0</v>
      </c>
      <c r="T86" s="144">
        <f>SUMIFS('февраль 2024'!$G$4:$G$1413,'февраль 2024'!$D$4:$D$1413,$B86,'февраль 2024'!$J$4:$J$1413,T$1)</f>
        <v>0</v>
      </c>
      <c r="U86" s="144">
        <f>SUMIFS('февраль 2024'!$G$4:$G$1413,'февраль 2024'!$D$4:$D$1413,$B86,'февраль 2024'!$J$4:$J$1413,U$1)</f>
        <v>0</v>
      </c>
      <c r="V86" s="144">
        <f>SUMIFS('февраль 2024'!$G$4:$G$1413,'февраль 2024'!$D$4:$D$1413,$B86,'февраль 2024'!$J$4:$J$1413,V$1)</f>
        <v>0</v>
      </c>
      <c r="W86" s="144">
        <f>SUMIFS('февраль 2024'!$G$4:$G$1413,'февраль 2024'!$D$4:$D$1413,$B86,'февраль 2024'!$J$4:$J$1413,W$1)</f>
        <v>0</v>
      </c>
      <c r="X86" s="144">
        <f>SUMIFS('февраль 2024'!$G$4:$G$1413,'февраль 2024'!$D$4:$D$1413,$B86,'февраль 2024'!$J$4:$J$1413,X$1)</f>
        <v>0</v>
      </c>
      <c r="Y86" s="144">
        <f>SUMIFS('февраль 2024'!$G$4:$G$1413,'февраль 2024'!$D$4:$D$1413,$B86,'февраль 2024'!$J$4:$J$1413,Y$1)</f>
        <v>0</v>
      </c>
      <c r="Z86" s="144">
        <f>SUMIFS('февраль 2024'!$G$4:$G$1413,'февраль 2024'!$D$4:$D$1413,$B86,'февраль 2024'!$J$4:$J$1413,Z$1)</f>
        <v>0</v>
      </c>
      <c r="AA86" s="144">
        <f>SUMIFS('февраль 2024'!$G$4:$G$1413,'февраль 2024'!$D$4:$D$1413,$B86,'февраль 2024'!$J$4:$J$1413,AA$1)</f>
        <v>0</v>
      </c>
      <c r="AB86" s="144">
        <f>SUMIFS('февраль 2024'!$G$4:$G$1413,'февраль 2024'!$D$4:$D$1413,$B86,'февраль 2024'!$J$4:$J$1413,AB$1)</f>
        <v>0</v>
      </c>
      <c r="AC86" s="144">
        <f>SUMIFS('февраль 2024'!$G$4:$G$1413,'февраль 2024'!$D$4:$D$1413,$B86,'февраль 2024'!$J$4:$J$1413,AC$1)</f>
        <v>0</v>
      </c>
      <c r="AD86" s="144">
        <f>SUMIFS('февраль 2024'!$G$4:$G$1413,'февраль 2024'!$D$4:$D$1413,$B86,'февраль 2024'!$J$4:$J$1413,AD$1)</f>
        <v>0</v>
      </c>
      <c r="AE86" s="144">
        <f>SUMIFS('февраль 2024'!$G$4:$G$1413,'февраль 2024'!$D$4:$D$1413,$B86,'февраль 2024'!$J$4:$J$1413,AE$1)</f>
        <v>0</v>
      </c>
      <c r="AF86" s="144">
        <f>SUMIFS('февраль 2024'!$G$4:$G$1413,'февраль 2024'!$D$4:$D$1413,$B86,'февраль 2024'!$J$4:$J$1413,AF$1)</f>
        <v>0</v>
      </c>
      <c r="AG86" s="144">
        <f>SUMIFS('февраль 2024'!$G$4:$G$1413,'февраль 2024'!$D$4:$D$1413,$B86,'февраль 2024'!$J$4:$J$1413,AG$1)</f>
        <v>0</v>
      </c>
      <c r="AH86" s="144">
        <f>SUMIFS('февраль 2024'!$G$4:$G$1413,'февраль 2024'!$D$4:$D$1413,$B86,'февраль 2024'!$J$4:$J$1413,AH$1)</f>
        <v>0</v>
      </c>
      <c r="AI86" s="21">
        <f t="shared" si="1"/>
        <v>0</v>
      </c>
    </row>
    <row r="87" spans="2:35" ht="15" customHeight="1" x14ac:dyDescent="0.25">
      <c r="B87" s="93" t="s">
        <v>323</v>
      </c>
      <c r="C87" s="91">
        <v>180</v>
      </c>
      <c r="D87" s="144">
        <f>SUMIFS('февраль 2024'!$G$4:$G$1413,'февраль 2024'!$D$4:$D$1413,$B87,'февраль 2024'!$J$4:$J$1413,D$1)</f>
        <v>0</v>
      </c>
      <c r="E87" s="144">
        <f>SUMIFS('февраль 2024'!$G$4:$G$1413,'февраль 2024'!$D$4:$D$1413,$B87,'февраль 2024'!$J$4:$J$1413,E$1)</f>
        <v>0</v>
      </c>
      <c r="F87" s="144">
        <f>SUMIFS('февраль 2024'!$G$4:$G$1413,'февраль 2024'!$D$4:$D$1413,$B87,'февраль 2024'!$J$4:$J$1413,F$1)</f>
        <v>0</v>
      </c>
      <c r="G87" s="144">
        <f>SUMIFS('февраль 2024'!$G$4:$G$1413,'февраль 2024'!$D$4:$D$1413,$B87,'февраль 2024'!$J$4:$J$1413,G$1)</f>
        <v>0</v>
      </c>
      <c r="H87" s="144">
        <f>SUMIFS('февраль 2024'!$G$4:$G$1413,'февраль 2024'!$D$4:$D$1413,$B87,'февраль 2024'!$J$4:$J$1413,H$1)</f>
        <v>0</v>
      </c>
      <c r="I87" s="144">
        <f>SUMIFS('февраль 2024'!$G$4:$G$1413,'февраль 2024'!$D$4:$D$1413,$B87,'февраль 2024'!$J$4:$J$1413,I$1)</f>
        <v>0</v>
      </c>
      <c r="J87" s="144">
        <f>SUMIFS('февраль 2024'!$G$4:$G$1413,'февраль 2024'!$D$4:$D$1413,$B87,'февраль 2024'!$J$4:$J$1413,J$1)</f>
        <v>0</v>
      </c>
      <c r="K87" s="144">
        <f>SUMIFS('февраль 2024'!$G$4:$G$1413,'февраль 2024'!$D$4:$D$1413,$B87,'февраль 2024'!$J$4:$J$1413,K$1)</f>
        <v>0</v>
      </c>
      <c r="L87" s="144">
        <f>SUMIFS('февраль 2024'!$G$4:$G$1413,'февраль 2024'!$D$4:$D$1413,$B87,'февраль 2024'!$J$4:$J$1413,L$1)</f>
        <v>0</v>
      </c>
      <c r="M87" s="144">
        <f>SUMIFS('февраль 2024'!$G$4:$G$1413,'февраль 2024'!$D$4:$D$1413,$B87,'февраль 2024'!$J$4:$J$1413,M$1)</f>
        <v>0</v>
      </c>
      <c r="N87" s="144">
        <f>SUMIFS('февраль 2024'!$G$4:$G$1413,'февраль 2024'!$D$4:$D$1413,$B87,'февраль 2024'!$J$4:$J$1413,N$1)</f>
        <v>0</v>
      </c>
      <c r="O87" s="144">
        <f>SUMIFS('февраль 2024'!$G$4:$G$1413,'февраль 2024'!$D$4:$D$1413,$B87,'февраль 2024'!$J$4:$J$1413,O$1)</f>
        <v>0</v>
      </c>
      <c r="P87" s="144">
        <f>SUMIFS('февраль 2024'!$G$4:$G$1413,'февраль 2024'!$D$4:$D$1413,$B87,'февраль 2024'!$J$4:$J$1413,P$1)</f>
        <v>0</v>
      </c>
      <c r="Q87" s="144">
        <f>SUMIFS('февраль 2024'!$G$4:$G$1413,'февраль 2024'!$D$4:$D$1413,$B87,'февраль 2024'!$J$4:$J$1413,Q$1)</f>
        <v>0</v>
      </c>
      <c r="R87" s="144">
        <f>SUMIFS('февраль 2024'!$G$4:$G$1413,'февраль 2024'!$D$4:$D$1413,$B87,'февраль 2024'!$J$4:$J$1413,R$1)</f>
        <v>0</v>
      </c>
      <c r="S87" s="144">
        <f>SUMIFS('февраль 2024'!$G$4:$G$1413,'февраль 2024'!$D$4:$D$1413,$B87,'февраль 2024'!$J$4:$J$1413,S$1)</f>
        <v>0</v>
      </c>
      <c r="T87" s="144">
        <f>SUMIFS('февраль 2024'!$G$4:$G$1413,'февраль 2024'!$D$4:$D$1413,$B87,'февраль 2024'!$J$4:$J$1413,T$1)</f>
        <v>0</v>
      </c>
      <c r="U87" s="144">
        <f>SUMIFS('февраль 2024'!$G$4:$G$1413,'февраль 2024'!$D$4:$D$1413,$B87,'февраль 2024'!$J$4:$J$1413,U$1)</f>
        <v>0</v>
      </c>
      <c r="V87" s="144">
        <f>SUMIFS('февраль 2024'!$G$4:$G$1413,'февраль 2024'!$D$4:$D$1413,$B87,'февраль 2024'!$J$4:$J$1413,V$1)</f>
        <v>0</v>
      </c>
      <c r="W87" s="144">
        <f>SUMIFS('февраль 2024'!$G$4:$G$1413,'февраль 2024'!$D$4:$D$1413,$B87,'февраль 2024'!$J$4:$J$1413,W$1)</f>
        <v>0</v>
      </c>
      <c r="X87" s="144">
        <f>SUMIFS('февраль 2024'!$G$4:$G$1413,'февраль 2024'!$D$4:$D$1413,$B87,'февраль 2024'!$J$4:$J$1413,X$1)</f>
        <v>0</v>
      </c>
      <c r="Y87" s="144">
        <f>SUMIFS('февраль 2024'!$G$4:$G$1413,'февраль 2024'!$D$4:$D$1413,$B87,'февраль 2024'!$J$4:$J$1413,Y$1)</f>
        <v>0</v>
      </c>
      <c r="Z87" s="144">
        <f>SUMIFS('февраль 2024'!$G$4:$G$1413,'февраль 2024'!$D$4:$D$1413,$B87,'февраль 2024'!$J$4:$J$1413,Z$1)</f>
        <v>0</v>
      </c>
      <c r="AA87" s="144">
        <f>SUMIFS('февраль 2024'!$G$4:$G$1413,'февраль 2024'!$D$4:$D$1413,$B87,'февраль 2024'!$J$4:$J$1413,AA$1)</f>
        <v>0</v>
      </c>
      <c r="AB87" s="144">
        <f>SUMIFS('февраль 2024'!$G$4:$G$1413,'февраль 2024'!$D$4:$D$1413,$B87,'февраль 2024'!$J$4:$J$1413,AB$1)</f>
        <v>0</v>
      </c>
      <c r="AC87" s="144">
        <f>SUMIFS('февраль 2024'!$G$4:$G$1413,'февраль 2024'!$D$4:$D$1413,$B87,'февраль 2024'!$J$4:$J$1413,AC$1)</f>
        <v>0</v>
      </c>
      <c r="AD87" s="144">
        <f>SUMIFS('февраль 2024'!$G$4:$G$1413,'февраль 2024'!$D$4:$D$1413,$B87,'февраль 2024'!$J$4:$J$1413,AD$1)</f>
        <v>0</v>
      </c>
      <c r="AE87" s="144">
        <f>SUMIFS('февраль 2024'!$G$4:$G$1413,'февраль 2024'!$D$4:$D$1413,$B87,'февраль 2024'!$J$4:$J$1413,AE$1)</f>
        <v>0</v>
      </c>
      <c r="AF87" s="144">
        <f>SUMIFS('февраль 2024'!$G$4:$G$1413,'февраль 2024'!$D$4:$D$1413,$B87,'февраль 2024'!$J$4:$J$1413,AF$1)</f>
        <v>0</v>
      </c>
      <c r="AG87" s="144">
        <f>SUMIFS('февраль 2024'!$G$4:$G$1413,'февраль 2024'!$D$4:$D$1413,$B87,'февраль 2024'!$J$4:$J$1413,AG$1)</f>
        <v>0</v>
      </c>
      <c r="AH87" s="144">
        <f>SUMIFS('февраль 2024'!$G$4:$G$1413,'февраль 2024'!$D$4:$D$1413,$B87,'февраль 2024'!$J$4:$J$1413,AH$1)</f>
        <v>0</v>
      </c>
      <c r="AI87" s="21">
        <f t="shared" si="1"/>
        <v>0</v>
      </c>
    </row>
    <row r="88" spans="2:35" ht="15" customHeight="1" x14ac:dyDescent="0.25">
      <c r="B88" s="93" t="s">
        <v>513</v>
      </c>
      <c r="C88" s="91">
        <v>20</v>
      </c>
      <c r="D88" s="144">
        <f>SUMIFS('февраль 2024'!$G$4:$G$1413,'февраль 2024'!$D$4:$D$1413,$B88,'февраль 2024'!$J$4:$J$1413,D$1)</f>
        <v>0</v>
      </c>
      <c r="E88" s="144">
        <f>SUMIFS('февраль 2024'!$G$4:$G$1413,'февраль 2024'!$D$4:$D$1413,$B88,'февраль 2024'!$J$4:$J$1413,E$1)</f>
        <v>0</v>
      </c>
      <c r="F88" s="144">
        <f>SUMIFS('февраль 2024'!$G$4:$G$1413,'февраль 2024'!$D$4:$D$1413,$B88,'февраль 2024'!$J$4:$J$1413,F$1)</f>
        <v>0</v>
      </c>
      <c r="G88" s="144">
        <f>SUMIFS('февраль 2024'!$G$4:$G$1413,'февраль 2024'!$D$4:$D$1413,$B88,'февраль 2024'!$J$4:$J$1413,G$1)</f>
        <v>0</v>
      </c>
      <c r="H88" s="144">
        <f>SUMIFS('февраль 2024'!$G$4:$G$1413,'февраль 2024'!$D$4:$D$1413,$B88,'февраль 2024'!$J$4:$J$1413,H$1)</f>
        <v>0</v>
      </c>
      <c r="I88" s="144">
        <f>SUMIFS('февраль 2024'!$G$4:$G$1413,'февраль 2024'!$D$4:$D$1413,$B88,'февраль 2024'!$J$4:$J$1413,I$1)</f>
        <v>0</v>
      </c>
      <c r="J88" s="144">
        <f>SUMIFS('февраль 2024'!$G$4:$G$1413,'февраль 2024'!$D$4:$D$1413,$B88,'февраль 2024'!$J$4:$J$1413,J$1)</f>
        <v>0</v>
      </c>
      <c r="K88" s="144">
        <f>SUMIFS('февраль 2024'!$G$4:$G$1413,'февраль 2024'!$D$4:$D$1413,$B88,'февраль 2024'!$J$4:$J$1413,K$1)</f>
        <v>0</v>
      </c>
      <c r="L88" s="144">
        <f>SUMIFS('февраль 2024'!$G$4:$G$1413,'февраль 2024'!$D$4:$D$1413,$B88,'февраль 2024'!$J$4:$J$1413,L$1)</f>
        <v>0</v>
      </c>
      <c r="M88" s="144">
        <f>SUMIFS('февраль 2024'!$G$4:$G$1413,'февраль 2024'!$D$4:$D$1413,$B88,'февраль 2024'!$J$4:$J$1413,M$1)</f>
        <v>0</v>
      </c>
      <c r="N88" s="144">
        <f>SUMIFS('февраль 2024'!$G$4:$G$1413,'февраль 2024'!$D$4:$D$1413,$B88,'февраль 2024'!$J$4:$J$1413,N$1)</f>
        <v>0</v>
      </c>
      <c r="O88" s="144">
        <f>SUMIFS('февраль 2024'!$G$4:$G$1413,'февраль 2024'!$D$4:$D$1413,$B88,'февраль 2024'!$J$4:$J$1413,O$1)</f>
        <v>0</v>
      </c>
      <c r="P88" s="144">
        <f>SUMIFS('февраль 2024'!$G$4:$G$1413,'февраль 2024'!$D$4:$D$1413,$B88,'февраль 2024'!$J$4:$J$1413,P$1)</f>
        <v>0</v>
      </c>
      <c r="Q88" s="144">
        <f>SUMIFS('февраль 2024'!$G$4:$G$1413,'февраль 2024'!$D$4:$D$1413,$B88,'февраль 2024'!$J$4:$J$1413,Q$1)</f>
        <v>0</v>
      </c>
      <c r="R88" s="144">
        <f>SUMIFS('февраль 2024'!$G$4:$G$1413,'февраль 2024'!$D$4:$D$1413,$B88,'февраль 2024'!$J$4:$J$1413,R$1)</f>
        <v>0</v>
      </c>
      <c r="S88" s="144">
        <f>SUMIFS('февраль 2024'!$G$4:$G$1413,'февраль 2024'!$D$4:$D$1413,$B88,'февраль 2024'!$J$4:$J$1413,S$1)</f>
        <v>0</v>
      </c>
      <c r="T88" s="144">
        <f>SUMIFS('февраль 2024'!$G$4:$G$1413,'февраль 2024'!$D$4:$D$1413,$B88,'февраль 2024'!$J$4:$J$1413,T$1)</f>
        <v>0</v>
      </c>
      <c r="U88" s="144">
        <f>SUMIFS('февраль 2024'!$G$4:$G$1413,'февраль 2024'!$D$4:$D$1413,$B88,'февраль 2024'!$J$4:$J$1413,U$1)</f>
        <v>0</v>
      </c>
      <c r="V88" s="144">
        <f>SUMIFS('февраль 2024'!$G$4:$G$1413,'февраль 2024'!$D$4:$D$1413,$B88,'февраль 2024'!$J$4:$J$1413,V$1)</f>
        <v>0</v>
      </c>
      <c r="W88" s="144">
        <f>SUMIFS('февраль 2024'!$G$4:$G$1413,'февраль 2024'!$D$4:$D$1413,$B88,'февраль 2024'!$J$4:$J$1413,W$1)</f>
        <v>0</v>
      </c>
      <c r="X88" s="144">
        <f>SUMIFS('февраль 2024'!$G$4:$G$1413,'февраль 2024'!$D$4:$D$1413,$B88,'февраль 2024'!$J$4:$J$1413,X$1)</f>
        <v>0</v>
      </c>
      <c r="Y88" s="144">
        <f>SUMIFS('февраль 2024'!$G$4:$G$1413,'февраль 2024'!$D$4:$D$1413,$B88,'февраль 2024'!$J$4:$J$1413,Y$1)</f>
        <v>0</v>
      </c>
      <c r="Z88" s="144">
        <f>SUMIFS('февраль 2024'!$G$4:$G$1413,'февраль 2024'!$D$4:$D$1413,$B88,'февраль 2024'!$J$4:$J$1413,Z$1)</f>
        <v>0</v>
      </c>
      <c r="AA88" s="144">
        <f>SUMIFS('февраль 2024'!$G$4:$G$1413,'февраль 2024'!$D$4:$D$1413,$B88,'февраль 2024'!$J$4:$J$1413,AA$1)</f>
        <v>0</v>
      </c>
      <c r="AB88" s="144">
        <f>SUMIFS('февраль 2024'!$G$4:$G$1413,'февраль 2024'!$D$4:$D$1413,$B88,'февраль 2024'!$J$4:$J$1413,AB$1)</f>
        <v>0</v>
      </c>
      <c r="AC88" s="144">
        <f>SUMIFS('февраль 2024'!$G$4:$G$1413,'февраль 2024'!$D$4:$D$1413,$B88,'февраль 2024'!$J$4:$J$1413,AC$1)</f>
        <v>0</v>
      </c>
      <c r="AD88" s="144">
        <f>SUMIFS('февраль 2024'!$G$4:$G$1413,'февраль 2024'!$D$4:$D$1413,$B88,'февраль 2024'!$J$4:$J$1413,AD$1)</f>
        <v>0</v>
      </c>
      <c r="AE88" s="144">
        <f>SUMIFS('февраль 2024'!$G$4:$G$1413,'февраль 2024'!$D$4:$D$1413,$B88,'февраль 2024'!$J$4:$J$1413,AE$1)</f>
        <v>0</v>
      </c>
      <c r="AF88" s="144">
        <f>SUMIFS('февраль 2024'!$G$4:$G$1413,'февраль 2024'!$D$4:$D$1413,$B88,'февраль 2024'!$J$4:$J$1413,AF$1)</f>
        <v>0</v>
      </c>
      <c r="AG88" s="144">
        <f>SUMIFS('февраль 2024'!$G$4:$G$1413,'февраль 2024'!$D$4:$D$1413,$B88,'февраль 2024'!$J$4:$J$1413,AG$1)</f>
        <v>0</v>
      </c>
      <c r="AH88" s="144">
        <f>SUMIFS('февраль 2024'!$G$4:$G$1413,'февраль 2024'!$D$4:$D$1413,$B88,'февраль 2024'!$J$4:$J$1413,AH$1)</f>
        <v>0</v>
      </c>
      <c r="AI88" s="21">
        <f>SUM(D88:AH88)</f>
        <v>0</v>
      </c>
    </row>
    <row r="89" spans="2:35" ht="15" customHeight="1" x14ac:dyDescent="0.25">
      <c r="B89" s="93" t="s">
        <v>203</v>
      </c>
      <c r="C89" s="91">
        <v>180</v>
      </c>
      <c r="D89" s="144">
        <f>SUMIFS('февраль 2024'!$G$4:$G$1413,'февраль 2024'!$D$4:$D$1413,$B89,'февраль 2024'!$J$4:$J$1413,D$1)</f>
        <v>0</v>
      </c>
      <c r="E89" s="144">
        <f>SUMIFS('февраль 2024'!$G$4:$G$1413,'февраль 2024'!$D$4:$D$1413,$B89,'февраль 2024'!$J$4:$J$1413,E$1)</f>
        <v>0</v>
      </c>
      <c r="F89" s="144">
        <f>SUMIFS('февраль 2024'!$G$4:$G$1413,'февраль 2024'!$D$4:$D$1413,$B89,'февраль 2024'!$J$4:$J$1413,F$1)</f>
        <v>0</v>
      </c>
      <c r="G89" s="144">
        <f>SUMIFS('февраль 2024'!$G$4:$G$1413,'февраль 2024'!$D$4:$D$1413,$B89,'февраль 2024'!$J$4:$J$1413,G$1)</f>
        <v>0</v>
      </c>
      <c r="H89" s="144">
        <f>SUMIFS('февраль 2024'!$G$4:$G$1413,'февраль 2024'!$D$4:$D$1413,$B89,'февраль 2024'!$J$4:$J$1413,H$1)</f>
        <v>0</v>
      </c>
      <c r="I89" s="144">
        <f>SUMIFS('февраль 2024'!$G$4:$G$1413,'февраль 2024'!$D$4:$D$1413,$B89,'февраль 2024'!$J$4:$J$1413,I$1)</f>
        <v>0</v>
      </c>
      <c r="J89" s="144">
        <f>SUMIFS('февраль 2024'!$G$4:$G$1413,'февраль 2024'!$D$4:$D$1413,$B89,'февраль 2024'!$J$4:$J$1413,J$1)</f>
        <v>0</v>
      </c>
      <c r="K89" s="144">
        <f>SUMIFS('февраль 2024'!$G$4:$G$1413,'февраль 2024'!$D$4:$D$1413,$B89,'февраль 2024'!$J$4:$J$1413,K$1)</f>
        <v>0</v>
      </c>
      <c r="L89" s="144">
        <f>SUMIFS('февраль 2024'!$G$4:$G$1413,'февраль 2024'!$D$4:$D$1413,$B89,'февраль 2024'!$J$4:$J$1413,L$1)</f>
        <v>0</v>
      </c>
      <c r="M89" s="144">
        <f>SUMIFS('февраль 2024'!$G$4:$G$1413,'февраль 2024'!$D$4:$D$1413,$B89,'февраль 2024'!$J$4:$J$1413,M$1)</f>
        <v>0</v>
      </c>
      <c r="N89" s="144">
        <f>SUMIFS('февраль 2024'!$G$4:$G$1413,'февраль 2024'!$D$4:$D$1413,$B89,'февраль 2024'!$J$4:$J$1413,N$1)</f>
        <v>0</v>
      </c>
      <c r="O89" s="144">
        <f>SUMIFS('февраль 2024'!$G$4:$G$1413,'февраль 2024'!$D$4:$D$1413,$B89,'февраль 2024'!$J$4:$J$1413,O$1)</f>
        <v>20</v>
      </c>
      <c r="P89" s="144">
        <f>SUMIFS('февраль 2024'!$G$4:$G$1413,'февраль 2024'!$D$4:$D$1413,$B89,'февраль 2024'!$J$4:$J$1413,P$1)</f>
        <v>0</v>
      </c>
      <c r="Q89" s="144">
        <f>SUMIFS('февраль 2024'!$G$4:$G$1413,'февраль 2024'!$D$4:$D$1413,$B89,'февраль 2024'!$J$4:$J$1413,Q$1)</f>
        <v>0</v>
      </c>
      <c r="R89" s="144">
        <f>SUMIFS('февраль 2024'!$G$4:$G$1413,'февраль 2024'!$D$4:$D$1413,$B89,'февраль 2024'!$J$4:$J$1413,R$1)</f>
        <v>0</v>
      </c>
      <c r="S89" s="144">
        <f>SUMIFS('февраль 2024'!$G$4:$G$1413,'февраль 2024'!$D$4:$D$1413,$B89,'февраль 2024'!$J$4:$J$1413,S$1)</f>
        <v>0</v>
      </c>
      <c r="T89" s="144">
        <f>SUMIFS('февраль 2024'!$G$4:$G$1413,'февраль 2024'!$D$4:$D$1413,$B89,'февраль 2024'!$J$4:$J$1413,T$1)</f>
        <v>0</v>
      </c>
      <c r="U89" s="144">
        <f>SUMIFS('февраль 2024'!$G$4:$G$1413,'февраль 2024'!$D$4:$D$1413,$B89,'февраль 2024'!$J$4:$J$1413,U$1)</f>
        <v>0</v>
      </c>
      <c r="V89" s="144">
        <f>SUMIFS('февраль 2024'!$G$4:$G$1413,'февраль 2024'!$D$4:$D$1413,$B89,'февраль 2024'!$J$4:$J$1413,V$1)</f>
        <v>0</v>
      </c>
      <c r="W89" s="144">
        <f>SUMIFS('февраль 2024'!$G$4:$G$1413,'февраль 2024'!$D$4:$D$1413,$B89,'февраль 2024'!$J$4:$J$1413,W$1)</f>
        <v>0</v>
      </c>
      <c r="X89" s="144">
        <f>SUMIFS('февраль 2024'!$G$4:$G$1413,'февраль 2024'!$D$4:$D$1413,$B89,'февраль 2024'!$J$4:$J$1413,X$1)</f>
        <v>0</v>
      </c>
      <c r="Y89" s="144">
        <f>SUMIFS('февраль 2024'!$G$4:$G$1413,'февраль 2024'!$D$4:$D$1413,$B89,'февраль 2024'!$J$4:$J$1413,Y$1)</f>
        <v>0</v>
      </c>
      <c r="Z89" s="144">
        <f>SUMIFS('февраль 2024'!$G$4:$G$1413,'февраль 2024'!$D$4:$D$1413,$B89,'февраль 2024'!$J$4:$J$1413,Z$1)</f>
        <v>0</v>
      </c>
      <c r="AA89" s="144">
        <f>SUMIFS('февраль 2024'!$G$4:$G$1413,'февраль 2024'!$D$4:$D$1413,$B89,'февраль 2024'!$J$4:$J$1413,AA$1)</f>
        <v>0</v>
      </c>
      <c r="AB89" s="144">
        <f>SUMIFS('февраль 2024'!$G$4:$G$1413,'февраль 2024'!$D$4:$D$1413,$B89,'февраль 2024'!$J$4:$J$1413,AB$1)</f>
        <v>0</v>
      </c>
      <c r="AC89" s="144">
        <f>SUMIFS('февраль 2024'!$G$4:$G$1413,'февраль 2024'!$D$4:$D$1413,$B89,'февраль 2024'!$J$4:$J$1413,AC$1)</f>
        <v>0</v>
      </c>
      <c r="AD89" s="144">
        <f>SUMIFS('февраль 2024'!$G$4:$G$1413,'февраль 2024'!$D$4:$D$1413,$B89,'февраль 2024'!$J$4:$J$1413,AD$1)</f>
        <v>0</v>
      </c>
      <c r="AE89" s="144">
        <f>SUMIFS('февраль 2024'!$G$4:$G$1413,'февраль 2024'!$D$4:$D$1413,$B89,'февраль 2024'!$J$4:$J$1413,AE$1)</f>
        <v>0</v>
      </c>
      <c r="AF89" s="144">
        <f>SUMIFS('февраль 2024'!$G$4:$G$1413,'февраль 2024'!$D$4:$D$1413,$B89,'февраль 2024'!$J$4:$J$1413,AF$1)</f>
        <v>0</v>
      </c>
      <c r="AG89" s="144">
        <f>SUMIFS('февраль 2024'!$G$4:$G$1413,'февраль 2024'!$D$4:$D$1413,$B89,'февраль 2024'!$J$4:$J$1413,AG$1)</f>
        <v>0</v>
      </c>
      <c r="AH89" s="144">
        <f>SUMIFS('февраль 2024'!$G$4:$G$1413,'февраль 2024'!$D$4:$D$1413,$B89,'февраль 2024'!$J$4:$J$1413,AH$1)</f>
        <v>0</v>
      </c>
      <c r="AI89" s="21">
        <f t="shared" si="1"/>
        <v>20</v>
      </c>
    </row>
    <row r="90" spans="2:35" ht="15" customHeight="1" x14ac:dyDescent="0.25">
      <c r="B90" s="89" t="s">
        <v>204</v>
      </c>
      <c r="C90" s="88">
        <v>200</v>
      </c>
      <c r="D90" s="144">
        <f>SUMIFS('февраль 2024'!$G$4:$G$1413,'февраль 2024'!$D$4:$D$1413,$B90,'февраль 2024'!$J$4:$J$1413,D$1)</f>
        <v>0</v>
      </c>
      <c r="E90" s="144">
        <f>SUMIFS('февраль 2024'!$G$4:$G$1413,'февраль 2024'!$D$4:$D$1413,$B90,'февраль 2024'!$J$4:$J$1413,E$1)</f>
        <v>0</v>
      </c>
      <c r="F90" s="144">
        <f>SUMIFS('февраль 2024'!$G$4:$G$1413,'февраль 2024'!$D$4:$D$1413,$B90,'февраль 2024'!$J$4:$J$1413,F$1)</f>
        <v>0</v>
      </c>
      <c r="G90" s="144">
        <f>SUMIFS('февраль 2024'!$G$4:$G$1413,'февраль 2024'!$D$4:$D$1413,$B90,'февраль 2024'!$J$4:$J$1413,G$1)</f>
        <v>0</v>
      </c>
      <c r="H90" s="144">
        <f>SUMIFS('февраль 2024'!$G$4:$G$1413,'февраль 2024'!$D$4:$D$1413,$B90,'февраль 2024'!$J$4:$J$1413,H$1)</f>
        <v>0</v>
      </c>
      <c r="I90" s="144">
        <f>SUMIFS('февраль 2024'!$G$4:$G$1413,'февраль 2024'!$D$4:$D$1413,$B90,'февраль 2024'!$J$4:$J$1413,I$1)</f>
        <v>0</v>
      </c>
      <c r="J90" s="144">
        <f>SUMIFS('февраль 2024'!$G$4:$G$1413,'февраль 2024'!$D$4:$D$1413,$B90,'февраль 2024'!$J$4:$J$1413,J$1)</f>
        <v>0</v>
      </c>
      <c r="K90" s="144">
        <f>SUMIFS('февраль 2024'!$G$4:$G$1413,'февраль 2024'!$D$4:$D$1413,$B90,'февраль 2024'!$J$4:$J$1413,K$1)</f>
        <v>0</v>
      </c>
      <c r="L90" s="144">
        <f>SUMIFS('февраль 2024'!$G$4:$G$1413,'февраль 2024'!$D$4:$D$1413,$B90,'февраль 2024'!$J$4:$J$1413,L$1)</f>
        <v>0</v>
      </c>
      <c r="M90" s="144">
        <f>SUMIFS('февраль 2024'!$G$4:$G$1413,'февраль 2024'!$D$4:$D$1413,$B90,'февраль 2024'!$J$4:$J$1413,M$1)</f>
        <v>0</v>
      </c>
      <c r="N90" s="144">
        <f>SUMIFS('февраль 2024'!$G$4:$G$1413,'февраль 2024'!$D$4:$D$1413,$B90,'февраль 2024'!$J$4:$J$1413,N$1)</f>
        <v>0</v>
      </c>
      <c r="O90" s="144">
        <f>SUMIFS('февраль 2024'!$G$4:$G$1413,'февраль 2024'!$D$4:$D$1413,$B90,'февраль 2024'!$J$4:$J$1413,O$1)</f>
        <v>0</v>
      </c>
      <c r="P90" s="144">
        <f>SUMIFS('февраль 2024'!$G$4:$G$1413,'февраль 2024'!$D$4:$D$1413,$B90,'февраль 2024'!$J$4:$J$1413,P$1)</f>
        <v>88</v>
      </c>
      <c r="Q90" s="144">
        <f>SUMIFS('февраль 2024'!$G$4:$G$1413,'февраль 2024'!$D$4:$D$1413,$B90,'февраль 2024'!$J$4:$J$1413,Q$1)</f>
        <v>0</v>
      </c>
      <c r="R90" s="144">
        <f>SUMIFS('февраль 2024'!$G$4:$G$1413,'февраль 2024'!$D$4:$D$1413,$B90,'февраль 2024'!$J$4:$J$1413,R$1)</f>
        <v>0</v>
      </c>
      <c r="S90" s="144">
        <f>SUMIFS('февраль 2024'!$G$4:$G$1413,'февраль 2024'!$D$4:$D$1413,$B90,'февраль 2024'!$J$4:$J$1413,S$1)</f>
        <v>88</v>
      </c>
      <c r="T90" s="144">
        <f>SUMIFS('февраль 2024'!$G$4:$G$1413,'февраль 2024'!$D$4:$D$1413,$B90,'февраль 2024'!$J$4:$J$1413,T$1)</f>
        <v>0</v>
      </c>
      <c r="U90" s="144">
        <f>SUMIFS('февраль 2024'!$G$4:$G$1413,'февраль 2024'!$D$4:$D$1413,$B90,'февраль 2024'!$J$4:$J$1413,U$1)</f>
        <v>0</v>
      </c>
      <c r="V90" s="144">
        <f>SUMIFS('февраль 2024'!$G$4:$G$1413,'февраль 2024'!$D$4:$D$1413,$B90,'февраль 2024'!$J$4:$J$1413,V$1)</f>
        <v>0</v>
      </c>
      <c r="W90" s="144">
        <f>SUMIFS('февраль 2024'!$G$4:$G$1413,'февраль 2024'!$D$4:$D$1413,$B90,'февраль 2024'!$J$4:$J$1413,W$1)</f>
        <v>8</v>
      </c>
      <c r="X90" s="144">
        <f>SUMIFS('февраль 2024'!$G$4:$G$1413,'февраль 2024'!$D$4:$D$1413,$B90,'февраль 2024'!$J$4:$J$1413,X$1)</f>
        <v>0</v>
      </c>
      <c r="Y90" s="144">
        <f>SUMIFS('февраль 2024'!$G$4:$G$1413,'февраль 2024'!$D$4:$D$1413,$B90,'февраль 2024'!$J$4:$J$1413,Y$1)</f>
        <v>0</v>
      </c>
      <c r="Z90" s="144">
        <f>SUMIFS('февраль 2024'!$G$4:$G$1413,'февраль 2024'!$D$4:$D$1413,$B90,'февраль 2024'!$J$4:$J$1413,Z$1)</f>
        <v>0</v>
      </c>
      <c r="AA90" s="144">
        <f>SUMIFS('февраль 2024'!$G$4:$G$1413,'февраль 2024'!$D$4:$D$1413,$B90,'февраль 2024'!$J$4:$J$1413,AA$1)</f>
        <v>0</v>
      </c>
      <c r="AB90" s="144">
        <f>SUMIFS('февраль 2024'!$G$4:$G$1413,'февраль 2024'!$D$4:$D$1413,$B90,'февраль 2024'!$J$4:$J$1413,AB$1)</f>
        <v>13</v>
      </c>
      <c r="AC90" s="144">
        <f>SUMIFS('февраль 2024'!$G$4:$G$1413,'февраль 2024'!$D$4:$D$1413,$B90,'февраль 2024'!$J$4:$J$1413,AC$1)</f>
        <v>0</v>
      </c>
      <c r="AD90" s="144">
        <f>SUMIFS('февраль 2024'!$G$4:$G$1413,'февраль 2024'!$D$4:$D$1413,$B90,'февраль 2024'!$J$4:$J$1413,AD$1)</f>
        <v>0</v>
      </c>
      <c r="AE90" s="144">
        <f>SUMIFS('февраль 2024'!$G$4:$G$1413,'февраль 2024'!$D$4:$D$1413,$B90,'февраль 2024'!$J$4:$J$1413,AE$1)</f>
        <v>0</v>
      </c>
      <c r="AF90" s="144">
        <f>SUMIFS('февраль 2024'!$G$4:$G$1413,'февраль 2024'!$D$4:$D$1413,$B90,'февраль 2024'!$J$4:$J$1413,AF$1)</f>
        <v>0</v>
      </c>
      <c r="AG90" s="144">
        <f>SUMIFS('февраль 2024'!$G$4:$G$1413,'февраль 2024'!$D$4:$D$1413,$B90,'февраль 2024'!$J$4:$J$1413,AG$1)</f>
        <v>0</v>
      </c>
      <c r="AH90" s="144">
        <f>SUMIFS('февраль 2024'!$G$4:$G$1413,'февраль 2024'!$D$4:$D$1413,$B90,'февраль 2024'!$J$4:$J$1413,AH$1)</f>
        <v>0</v>
      </c>
      <c r="AI90" s="21">
        <f t="shared" si="1"/>
        <v>197</v>
      </c>
    </row>
    <row r="91" spans="2:35" ht="15" customHeight="1" x14ac:dyDescent="0.25">
      <c r="B91" s="92" t="s">
        <v>175</v>
      </c>
      <c r="C91" s="91">
        <v>180</v>
      </c>
      <c r="D91" s="144">
        <f>SUMIFS('февраль 2024'!$G$4:$G$1413,'февраль 2024'!$D$4:$D$1413,$B91,'февраль 2024'!$J$4:$J$1413,D$1)</f>
        <v>0</v>
      </c>
      <c r="E91" s="144">
        <f>SUMIFS('февраль 2024'!$G$4:$G$1413,'февраль 2024'!$D$4:$D$1413,$B91,'февраль 2024'!$J$4:$J$1413,E$1)</f>
        <v>0</v>
      </c>
      <c r="F91" s="144">
        <f>SUMIFS('февраль 2024'!$G$4:$G$1413,'февраль 2024'!$D$4:$D$1413,$B91,'февраль 2024'!$J$4:$J$1413,F$1)</f>
        <v>0</v>
      </c>
      <c r="G91" s="144">
        <f>SUMIFS('февраль 2024'!$G$4:$G$1413,'февраль 2024'!$D$4:$D$1413,$B91,'февраль 2024'!$J$4:$J$1413,G$1)</f>
        <v>0</v>
      </c>
      <c r="H91" s="144">
        <f>SUMIFS('февраль 2024'!$G$4:$G$1413,'февраль 2024'!$D$4:$D$1413,$B91,'февраль 2024'!$J$4:$J$1413,H$1)</f>
        <v>0</v>
      </c>
      <c r="I91" s="144">
        <f>SUMIFS('февраль 2024'!$G$4:$G$1413,'февраль 2024'!$D$4:$D$1413,$B91,'февраль 2024'!$J$4:$J$1413,I$1)</f>
        <v>0</v>
      </c>
      <c r="J91" s="144">
        <f>SUMIFS('февраль 2024'!$G$4:$G$1413,'февраль 2024'!$D$4:$D$1413,$B91,'февраль 2024'!$J$4:$J$1413,J$1)</f>
        <v>0</v>
      </c>
      <c r="K91" s="144">
        <f>SUMIFS('февраль 2024'!$G$4:$G$1413,'февраль 2024'!$D$4:$D$1413,$B91,'февраль 2024'!$J$4:$J$1413,K$1)</f>
        <v>0</v>
      </c>
      <c r="L91" s="144">
        <f>SUMIFS('февраль 2024'!$G$4:$G$1413,'февраль 2024'!$D$4:$D$1413,$B91,'февраль 2024'!$J$4:$J$1413,L$1)</f>
        <v>0</v>
      </c>
      <c r="M91" s="144">
        <f>SUMIFS('февраль 2024'!$G$4:$G$1413,'февраль 2024'!$D$4:$D$1413,$B91,'февраль 2024'!$J$4:$J$1413,M$1)</f>
        <v>0</v>
      </c>
      <c r="N91" s="144">
        <f>SUMIFS('февраль 2024'!$G$4:$G$1413,'февраль 2024'!$D$4:$D$1413,$B91,'февраль 2024'!$J$4:$J$1413,N$1)</f>
        <v>0</v>
      </c>
      <c r="O91" s="144">
        <f>SUMIFS('февраль 2024'!$G$4:$G$1413,'февраль 2024'!$D$4:$D$1413,$B91,'февраль 2024'!$J$4:$J$1413,O$1)</f>
        <v>0</v>
      </c>
      <c r="P91" s="144">
        <f>SUMIFS('февраль 2024'!$G$4:$G$1413,'февраль 2024'!$D$4:$D$1413,$B91,'февраль 2024'!$J$4:$J$1413,P$1)</f>
        <v>0</v>
      </c>
      <c r="Q91" s="144">
        <f>SUMIFS('февраль 2024'!$G$4:$G$1413,'февраль 2024'!$D$4:$D$1413,$B91,'февраль 2024'!$J$4:$J$1413,Q$1)</f>
        <v>0</v>
      </c>
      <c r="R91" s="144">
        <f>SUMIFS('февраль 2024'!$G$4:$G$1413,'февраль 2024'!$D$4:$D$1413,$B91,'февраль 2024'!$J$4:$J$1413,R$1)</f>
        <v>0</v>
      </c>
      <c r="S91" s="144">
        <f>SUMIFS('февраль 2024'!$G$4:$G$1413,'февраль 2024'!$D$4:$D$1413,$B91,'февраль 2024'!$J$4:$J$1413,S$1)</f>
        <v>0</v>
      </c>
      <c r="T91" s="144">
        <f>SUMIFS('февраль 2024'!$G$4:$G$1413,'февраль 2024'!$D$4:$D$1413,$B91,'февраль 2024'!$J$4:$J$1413,T$1)</f>
        <v>0</v>
      </c>
      <c r="U91" s="144">
        <f>SUMIFS('февраль 2024'!$G$4:$G$1413,'февраль 2024'!$D$4:$D$1413,$B91,'февраль 2024'!$J$4:$J$1413,U$1)</f>
        <v>0</v>
      </c>
      <c r="V91" s="144">
        <f>SUMIFS('февраль 2024'!$G$4:$G$1413,'февраль 2024'!$D$4:$D$1413,$B91,'февраль 2024'!$J$4:$J$1413,V$1)</f>
        <v>0</v>
      </c>
      <c r="W91" s="144">
        <f>SUMIFS('февраль 2024'!$G$4:$G$1413,'февраль 2024'!$D$4:$D$1413,$B91,'февраль 2024'!$J$4:$J$1413,W$1)</f>
        <v>0</v>
      </c>
      <c r="X91" s="144">
        <f>SUMIFS('февраль 2024'!$G$4:$G$1413,'февраль 2024'!$D$4:$D$1413,$B91,'февраль 2024'!$J$4:$J$1413,X$1)</f>
        <v>0</v>
      </c>
      <c r="Y91" s="144">
        <f>SUMIFS('февраль 2024'!$G$4:$G$1413,'февраль 2024'!$D$4:$D$1413,$B91,'февраль 2024'!$J$4:$J$1413,Y$1)</f>
        <v>0</v>
      </c>
      <c r="Z91" s="144">
        <f>SUMIFS('февраль 2024'!$G$4:$G$1413,'февраль 2024'!$D$4:$D$1413,$B91,'февраль 2024'!$J$4:$J$1413,Z$1)</f>
        <v>0</v>
      </c>
      <c r="AA91" s="144">
        <f>SUMIFS('февраль 2024'!$G$4:$G$1413,'февраль 2024'!$D$4:$D$1413,$B91,'февраль 2024'!$J$4:$J$1413,AA$1)</f>
        <v>0</v>
      </c>
      <c r="AB91" s="144">
        <f>SUMIFS('февраль 2024'!$G$4:$G$1413,'февраль 2024'!$D$4:$D$1413,$B91,'февраль 2024'!$J$4:$J$1413,AB$1)</f>
        <v>0</v>
      </c>
      <c r="AC91" s="144">
        <f>SUMIFS('февраль 2024'!$G$4:$G$1413,'февраль 2024'!$D$4:$D$1413,$B91,'февраль 2024'!$J$4:$J$1413,AC$1)</f>
        <v>0</v>
      </c>
      <c r="AD91" s="144">
        <f>SUMIFS('февраль 2024'!$G$4:$G$1413,'февраль 2024'!$D$4:$D$1413,$B91,'февраль 2024'!$J$4:$J$1413,AD$1)</f>
        <v>0</v>
      </c>
      <c r="AE91" s="144">
        <f>SUMIFS('февраль 2024'!$G$4:$G$1413,'февраль 2024'!$D$4:$D$1413,$B91,'февраль 2024'!$J$4:$J$1413,AE$1)</f>
        <v>0</v>
      </c>
      <c r="AF91" s="144">
        <f>SUMIFS('февраль 2024'!$G$4:$G$1413,'февраль 2024'!$D$4:$D$1413,$B91,'февраль 2024'!$J$4:$J$1413,AF$1)</f>
        <v>0</v>
      </c>
      <c r="AG91" s="144">
        <f>SUMIFS('февраль 2024'!$G$4:$G$1413,'февраль 2024'!$D$4:$D$1413,$B91,'февраль 2024'!$J$4:$J$1413,AG$1)</f>
        <v>0</v>
      </c>
      <c r="AH91" s="144">
        <f>SUMIFS('февраль 2024'!$G$4:$G$1413,'февраль 2024'!$D$4:$D$1413,$B91,'февраль 2024'!$J$4:$J$1413,AH$1)</f>
        <v>0</v>
      </c>
      <c r="AI91" s="21">
        <f t="shared" si="1"/>
        <v>0</v>
      </c>
    </row>
    <row r="92" spans="2:35" ht="15" customHeight="1" x14ac:dyDescent="0.25">
      <c r="B92" s="89" t="s">
        <v>176</v>
      </c>
      <c r="C92" s="91">
        <v>200</v>
      </c>
      <c r="D92" s="144">
        <f>SUMIFS('февраль 2024'!$G$4:$G$1413,'февраль 2024'!$D$4:$D$1413,$B92,'февраль 2024'!$J$4:$J$1413,D$1)</f>
        <v>0</v>
      </c>
      <c r="E92" s="144">
        <f>SUMIFS('февраль 2024'!$G$4:$G$1413,'февраль 2024'!$D$4:$D$1413,$B92,'февраль 2024'!$J$4:$J$1413,E$1)</f>
        <v>0</v>
      </c>
      <c r="F92" s="144">
        <f>SUMIFS('февраль 2024'!$G$4:$G$1413,'февраль 2024'!$D$4:$D$1413,$B92,'февраль 2024'!$J$4:$J$1413,F$1)</f>
        <v>0</v>
      </c>
      <c r="G92" s="144">
        <f>SUMIFS('февраль 2024'!$G$4:$G$1413,'февраль 2024'!$D$4:$D$1413,$B92,'февраль 2024'!$J$4:$J$1413,G$1)</f>
        <v>0</v>
      </c>
      <c r="H92" s="144">
        <f>SUMIFS('февраль 2024'!$G$4:$G$1413,'февраль 2024'!$D$4:$D$1413,$B92,'февраль 2024'!$J$4:$J$1413,H$1)</f>
        <v>0</v>
      </c>
      <c r="I92" s="144">
        <f>SUMIFS('февраль 2024'!$G$4:$G$1413,'февраль 2024'!$D$4:$D$1413,$B92,'февраль 2024'!$J$4:$J$1413,I$1)</f>
        <v>0</v>
      </c>
      <c r="J92" s="144">
        <f>SUMIFS('февраль 2024'!$G$4:$G$1413,'февраль 2024'!$D$4:$D$1413,$B92,'февраль 2024'!$J$4:$J$1413,J$1)</f>
        <v>0</v>
      </c>
      <c r="K92" s="144">
        <f>SUMIFS('февраль 2024'!$G$4:$G$1413,'февраль 2024'!$D$4:$D$1413,$B92,'февраль 2024'!$J$4:$J$1413,K$1)</f>
        <v>0</v>
      </c>
      <c r="L92" s="144">
        <f>SUMIFS('февраль 2024'!$G$4:$G$1413,'февраль 2024'!$D$4:$D$1413,$B92,'февраль 2024'!$J$4:$J$1413,L$1)</f>
        <v>0</v>
      </c>
      <c r="M92" s="144">
        <f>SUMIFS('февраль 2024'!$G$4:$G$1413,'февраль 2024'!$D$4:$D$1413,$B92,'февраль 2024'!$J$4:$J$1413,M$1)</f>
        <v>0</v>
      </c>
      <c r="N92" s="144">
        <f>SUMIFS('февраль 2024'!$G$4:$G$1413,'февраль 2024'!$D$4:$D$1413,$B92,'февраль 2024'!$J$4:$J$1413,N$1)</f>
        <v>0</v>
      </c>
      <c r="O92" s="144">
        <f>SUMIFS('февраль 2024'!$G$4:$G$1413,'февраль 2024'!$D$4:$D$1413,$B92,'февраль 2024'!$J$4:$J$1413,O$1)</f>
        <v>0</v>
      </c>
      <c r="P92" s="144">
        <f>SUMIFS('февраль 2024'!$G$4:$G$1413,'февраль 2024'!$D$4:$D$1413,$B92,'февраль 2024'!$J$4:$J$1413,P$1)</f>
        <v>0</v>
      </c>
      <c r="Q92" s="144">
        <f>SUMIFS('февраль 2024'!$G$4:$G$1413,'февраль 2024'!$D$4:$D$1413,$B92,'февраль 2024'!$J$4:$J$1413,Q$1)</f>
        <v>0</v>
      </c>
      <c r="R92" s="144">
        <f>SUMIFS('февраль 2024'!$G$4:$G$1413,'февраль 2024'!$D$4:$D$1413,$B92,'февраль 2024'!$J$4:$J$1413,R$1)</f>
        <v>0</v>
      </c>
      <c r="S92" s="144">
        <f>SUMIFS('февраль 2024'!$G$4:$G$1413,'февраль 2024'!$D$4:$D$1413,$B92,'февраль 2024'!$J$4:$J$1413,S$1)</f>
        <v>0</v>
      </c>
      <c r="T92" s="144">
        <f>SUMIFS('февраль 2024'!$G$4:$G$1413,'февраль 2024'!$D$4:$D$1413,$B92,'февраль 2024'!$J$4:$J$1413,T$1)</f>
        <v>0</v>
      </c>
      <c r="U92" s="144">
        <f>SUMIFS('февраль 2024'!$G$4:$G$1413,'февраль 2024'!$D$4:$D$1413,$B92,'февраль 2024'!$J$4:$J$1413,U$1)</f>
        <v>0</v>
      </c>
      <c r="V92" s="144">
        <f>SUMIFS('февраль 2024'!$G$4:$G$1413,'февраль 2024'!$D$4:$D$1413,$B92,'февраль 2024'!$J$4:$J$1413,V$1)</f>
        <v>0</v>
      </c>
      <c r="W92" s="144">
        <f>SUMIFS('февраль 2024'!$G$4:$G$1413,'февраль 2024'!$D$4:$D$1413,$B92,'февраль 2024'!$J$4:$J$1413,W$1)</f>
        <v>0</v>
      </c>
      <c r="X92" s="144">
        <f>SUMIFS('февраль 2024'!$G$4:$G$1413,'февраль 2024'!$D$4:$D$1413,$B92,'февраль 2024'!$J$4:$J$1413,X$1)</f>
        <v>0</v>
      </c>
      <c r="Y92" s="144">
        <f>SUMIFS('февраль 2024'!$G$4:$G$1413,'февраль 2024'!$D$4:$D$1413,$B92,'февраль 2024'!$J$4:$J$1413,Y$1)</f>
        <v>0</v>
      </c>
      <c r="Z92" s="144">
        <f>SUMIFS('февраль 2024'!$G$4:$G$1413,'февраль 2024'!$D$4:$D$1413,$B92,'февраль 2024'!$J$4:$J$1413,Z$1)</f>
        <v>0</v>
      </c>
      <c r="AA92" s="144">
        <f>SUMIFS('февраль 2024'!$G$4:$G$1413,'февраль 2024'!$D$4:$D$1413,$B92,'февраль 2024'!$J$4:$J$1413,AA$1)</f>
        <v>0</v>
      </c>
      <c r="AB92" s="144">
        <f>SUMIFS('февраль 2024'!$G$4:$G$1413,'февраль 2024'!$D$4:$D$1413,$B92,'февраль 2024'!$J$4:$J$1413,AB$1)</f>
        <v>0</v>
      </c>
      <c r="AC92" s="144">
        <f>SUMIFS('февраль 2024'!$G$4:$G$1413,'февраль 2024'!$D$4:$D$1413,$B92,'февраль 2024'!$J$4:$J$1413,AC$1)</f>
        <v>0</v>
      </c>
      <c r="AD92" s="144">
        <f>SUMIFS('февраль 2024'!$G$4:$G$1413,'февраль 2024'!$D$4:$D$1413,$B92,'февраль 2024'!$J$4:$J$1413,AD$1)</f>
        <v>0</v>
      </c>
      <c r="AE92" s="144">
        <f>SUMIFS('февраль 2024'!$G$4:$G$1413,'февраль 2024'!$D$4:$D$1413,$B92,'февраль 2024'!$J$4:$J$1413,AE$1)</f>
        <v>0</v>
      </c>
      <c r="AF92" s="144">
        <f>SUMIFS('февраль 2024'!$G$4:$G$1413,'февраль 2024'!$D$4:$D$1413,$B92,'февраль 2024'!$J$4:$J$1413,AF$1)</f>
        <v>0</v>
      </c>
      <c r="AG92" s="144">
        <f>SUMIFS('февраль 2024'!$G$4:$G$1413,'февраль 2024'!$D$4:$D$1413,$B92,'февраль 2024'!$J$4:$J$1413,AG$1)</f>
        <v>0</v>
      </c>
      <c r="AH92" s="144">
        <f>SUMIFS('февраль 2024'!$G$4:$G$1413,'февраль 2024'!$D$4:$D$1413,$B92,'февраль 2024'!$J$4:$J$1413,AH$1)</f>
        <v>0</v>
      </c>
      <c r="AI92" s="21">
        <f t="shared" si="1"/>
        <v>0</v>
      </c>
    </row>
    <row r="93" spans="2:35" ht="15" customHeight="1" x14ac:dyDescent="0.25">
      <c r="B93" s="89" t="s">
        <v>205</v>
      </c>
      <c r="C93" s="88">
        <v>185</v>
      </c>
      <c r="D93" s="144">
        <f>SUMIFS('февраль 2024'!$G$4:$G$1413,'февраль 2024'!$D$4:$D$1413,$B93,'февраль 2024'!$J$4:$J$1413,D$1)</f>
        <v>0</v>
      </c>
      <c r="E93" s="144">
        <f>SUMIFS('февраль 2024'!$G$4:$G$1413,'февраль 2024'!$D$4:$D$1413,$B93,'февраль 2024'!$J$4:$J$1413,E$1)</f>
        <v>0</v>
      </c>
      <c r="F93" s="144">
        <f>SUMIFS('февраль 2024'!$G$4:$G$1413,'февраль 2024'!$D$4:$D$1413,$B93,'февраль 2024'!$J$4:$J$1413,F$1)</f>
        <v>0</v>
      </c>
      <c r="G93" s="144">
        <f>SUMIFS('февраль 2024'!$G$4:$G$1413,'февраль 2024'!$D$4:$D$1413,$B93,'февраль 2024'!$J$4:$J$1413,G$1)</f>
        <v>0</v>
      </c>
      <c r="H93" s="144">
        <f>SUMIFS('февраль 2024'!$G$4:$G$1413,'февраль 2024'!$D$4:$D$1413,$B93,'февраль 2024'!$J$4:$J$1413,H$1)</f>
        <v>0</v>
      </c>
      <c r="I93" s="144">
        <f>SUMIFS('февраль 2024'!$G$4:$G$1413,'февраль 2024'!$D$4:$D$1413,$B93,'февраль 2024'!$J$4:$J$1413,I$1)</f>
        <v>0</v>
      </c>
      <c r="J93" s="144">
        <f>SUMIFS('февраль 2024'!$G$4:$G$1413,'февраль 2024'!$D$4:$D$1413,$B93,'февраль 2024'!$J$4:$J$1413,J$1)</f>
        <v>0</v>
      </c>
      <c r="K93" s="144">
        <f>SUMIFS('февраль 2024'!$G$4:$G$1413,'февраль 2024'!$D$4:$D$1413,$B93,'февраль 2024'!$J$4:$J$1413,K$1)</f>
        <v>0</v>
      </c>
      <c r="L93" s="144">
        <f>SUMIFS('февраль 2024'!$G$4:$G$1413,'февраль 2024'!$D$4:$D$1413,$B93,'февраль 2024'!$J$4:$J$1413,L$1)</f>
        <v>0</v>
      </c>
      <c r="M93" s="144">
        <f>SUMIFS('февраль 2024'!$G$4:$G$1413,'февраль 2024'!$D$4:$D$1413,$B93,'февраль 2024'!$J$4:$J$1413,M$1)</f>
        <v>0</v>
      </c>
      <c r="N93" s="144">
        <f>SUMIFS('февраль 2024'!$G$4:$G$1413,'февраль 2024'!$D$4:$D$1413,$B93,'февраль 2024'!$J$4:$J$1413,N$1)</f>
        <v>0</v>
      </c>
      <c r="O93" s="144">
        <f>SUMIFS('февраль 2024'!$G$4:$G$1413,'февраль 2024'!$D$4:$D$1413,$B93,'февраль 2024'!$J$4:$J$1413,O$1)</f>
        <v>0</v>
      </c>
      <c r="P93" s="144">
        <f>SUMIFS('февраль 2024'!$G$4:$G$1413,'февраль 2024'!$D$4:$D$1413,$B93,'февраль 2024'!$J$4:$J$1413,P$1)</f>
        <v>0</v>
      </c>
      <c r="Q93" s="144">
        <f>SUMIFS('февраль 2024'!$G$4:$G$1413,'февраль 2024'!$D$4:$D$1413,$B93,'февраль 2024'!$J$4:$J$1413,Q$1)</f>
        <v>0</v>
      </c>
      <c r="R93" s="144">
        <f>SUMIFS('февраль 2024'!$G$4:$G$1413,'февраль 2024'!$D$4:$D$1413,$B93,'февраль 2024'!$J$4:$J$1413,R$1)</f>
        <v>0</v>
      </c>
      <c r="S93" s="144">
        <f>SUMIFS('февраль 2024'!$G$4:$G$1413,'февраль 2024'!$D$4:$D$1413,$B93,'февраль 2024'!$J$4:$J$1413,S$1)</f>
        <v>0</v>
      </c>
      <c r="T93" s="144">
        <f>SUMIFS('февраль 2024'!$G$4:$G$1413,'февраль 2024'!$D$4:$D$1413,$B93,'февраль 2024'!$J$4:$J$1413,T$1)</f>
        <v>0</v>
      </c>
      <c r="U93" s="144">
        <f>SUMIFS('февраль 2024'!$G$4:$G$1413,'февраль 2024'!$D$4:$D$1413,$B93,'февраль 2024'!$J$4:$J$1413,U$1)</f>
        <v>0</v>
      </c>
      <c r="V93" s="144">
        <f>SUMIFS('февраль 2024'!$G$4:$G$1413,'февраль 2024'!$D$4:$D$1413,$B93,'февраль 2024'!$J$4:$J$1413,V$1)</f>
        <v>0</v>
      </c>
      <c r="W93" s="144">
        <f>SUMIFS('февраль 2024'!$G$4:$G$1413,'февраль 2024'!$D$4:$D$1413,$B93,'февраль 2024'!$J$4:$J$1413,W$1)</f>
        <v>0</v>
      </c>
      <c r="X93" s="144">
        <f>SUMIFS('февраль 2024'!$G$4:$G$1413,'февраль 2024'!$D$4:$D$1413,$B93,'февраль 2024'!$J$4:$J$1413,X$1)</f>
        <v>0</v>
      </c>
      <c r="Y93" s="144">
        <f>SUMIFS('февраль 2024'!$G$4:$G$1413,'февраль 2024'!$D$4:$D$1413,$B93,'февраль 2024'!$J$4:$J$1413,Y$1)</f>
        <v>0</v>
      </c>
      <c r="Z93" s="144">
        <f>SUMIFS('февраль 2024'!$G$4:$G$1413,'февраль 2024'!$D$4:$D$1413,$B93,'февраль 2024'!$J$4:$J$1413,Z$1)</f>
        <v>0</v>
      </c>
      <c r="AA93" s="144">
        <f>SUMIFS('февраль 2024'!$G$4:$G$1413,'февраль 2024'!$D$4:$D$1413,$B93,'февраль 2024'!$J$4:$J$1413,AA$1)</f>
        <v>0</v>
      </c>
      <c r="AB93" s="144">
        <f>SUMIFS('февраль 2024'!$G$4:$G$1413,'февраль 2024'!$D$4:$D$1413,$B93,'февраль 2024'!$J$4:$J$1413,AB$1)</f>
        <v>0</v>
      </c>
      <c r="AC93" s="144">
        <f>SUMIFS('февраль 2024'!$G$4:$G$1413,'февраль 2024'!$D$4:$D$1413,$B93,'февраль 2024'!$J$4:$J$1413,AC$1)</f>
        <v>0</v>
      </c>
      <c r="AD93" s="144">
        <f>SUMIFS('февраль 2024'!$G$4:$G$1413,'февраль 2024'!$D$4:$D$1413,$B93,'февраль 2024'!$J$4:$J$1413,AD$1)</f>
        <v>0</v>
      </c>
      <c r="AE93" s="144">
        <f>SUMIFS('февраль 2024'!$G$4:$G$1413,'февраль 2024'!$D$4:$D$1413,$B93,'февраль 2024'!$J$4:$J$1413,AE$1)</f>
        <v>0</v>
      </c>
      <c r="AF93" s="144">
        <f>SUMIFS('февраль 2024'!$G$4:$G$1413,'февраль 2024'!$D$4:$D$1413,$B93,'февраль 2024'!$J$4:$J$1413,AF$1)</f>
        <v>0</v>
      </c>
      <c r="AG93" s="144">
        <f>SUMIFS('февраль 2024'!$G$4:$G$1413,'февраль 2024'!$D$4:$D$1413,$B93,'февраль 2024'!$J$4:$J$1413,AG$1)</f>
        <v>0</v>
      </c>
      <c r="AH93" s="144">
        <f>SUMIFS('февраль 2024'!$G$4:$G$1413,'февраль 2024'!$D$4:$D$1413,$B93,'февраль 2024'!$J$4:$J$1413,AH$1)</f>
        <v>0</v>
      </c>
      <c r="AI93" s="21">
        <f t="shared" si="1"/>
        <v>0</v>
      </c>
    </row>
    <row r="94" spans="2:35" ht="15" customHeight="1" x14ac:dyDescent="0.25">
      <c r="B94" s="89" t="s">
        <v>206</v>
      </c>
      <c r="C94" s="88">
        <v>185</v>
      </c>
      <c r="D94" s="144">
        <f>SUMIFS('февраль 2024'!$G$4:$G$1413,'февраль 2024'!$D$4:$D$1413,$B94,'февраль 2024'!$J$4:$J$1413,D$1)</f>
        <v>0</v>
      </c>
      <c r="E94" s="144">
        <f>SUMIFS('февраль 2024'!$G$4:$G$1413,'февраль 2024'!$D$4:$D$1413,$B94,'февраль 2024'!$J$4:$J$1413,E$1)</f>
        <v>0</v>
      </c>
      <c r="F94" s="144">
        <f>SUMIFS('февраль 2024'!$G$4:$G$1413,'февраль 2024'!$D$4:$D$1413,$B94,'февраль 2024'!$J$4:$J$1413,F$1)</f>
        <v>0</v>
      </c>
      <c r="G94" s="144">
        <f>SUMIFS('февраль 2024'!$G$4:$G$1413,'февраль 2024'!$D$4:$D$1413,$B94,'февраль 2024'!$J$4:$J$1413,G$1)</f>
        <v>0</v>
      </c>
      <c r="H94" s="144">
        <f>SUMIFS('февраль 2024'!$G$4:$G$1413,'февраль 2024'!$D$4:$D$1413,$B94,'февраль 2024'!$J$4:$J$1413,H$1)</f>
        <v>0</v>
      </c>
      <c r="I94" s="144">
        <f>SUMIFS('февраль 2024'!$G$4:$G$1413,'февраль 2024'!$D$4:$D$1413,$B94,'февраль 2024'!$J$4:$J$1413,I$1)</f>
        <v>0</v>
      </c>
      <c r="J94" s="144">
        <f>SUMIFS('февраль 2024'!$G$4:$G$1413,'февраль 2024'!$D$4:$D$1413,$B94,'февраль 2024'!$J$4:$J$1413,J$1)</f>
        <v>0</v>
      </c>
      <c r="K94" s="144">
        <f>SUMIFS('февраль 2024'!$G$4:$G$1413,'февраль 2024'!$D$4:$D$1413,$B94,'февраль 2024'!$J$4:$J$1413,K$1)</f>
        <v>0</v>
      </c>
      <c r="L94" s="144">
        <f>SUMIFS('февраль 2024'!$G$4:$G$1413,'февраль 2024'!$D$4:$D$1413,$B94,'февраль 2024'!$J$4:$J$1413,L$1)</f>
        <v>0</v>
      </c>
      <c r="M94" s="144">
        <f>SUMIFS('февраль 2024'!$G$4:$G$1413,'февраль 2024'!$D$4:$D$1413,$B94,'февраль 2024'!$J$4:$J$1413,M$1)</f>
        <v>0</v>
      </c>
      <c r="N94" s="144">
        <f>SUMIFS('февраль 2024'!$G$4:$G$1413,'февраль 2024'!$D$4:$D$1413,$B94,'февраль 2024'!$J$4:$J$1413,N$1)</f>
        <v>0</v>
      </c>
      <c r="O94" s="144">
        <f>SUMIFS('февраль 2024'!$G$4:$G$1413,'февраль 2024'!$D$4:$D$1413,$B94,'февраль 2024'!$J$4:$J$1413,O$1)</f>
        <v>0</v>
      </c>
      <c r="P94" s="144">
        <f>SUMIFS('февраль 2024'!$G$4:$G$1413,'февраль 2024'!$D$4:$D$1413,$B94,'февраль 2024'!$J$4:$J$1413,P$1)</f>
        <v>0</v>
      </c>
      <c r="Q94" s="144">
        <f>SUMIFS('февраль 2024'!$G$4:$G$1413,'февраль 2024'!$D$4:$D$1413,$B94,'февраль 2024'!$J$4:$J$1413,Q$1)</f>
        <v>0</v>
      </c>
      <c r="R94" s="144">
        <f>SUMIFS('февраль 2024'!$G$4:$G$1413,'февраль 2024'!$D$4:$D$1413,$B94,'февраль 2024'!$J$4:$J$1413,R$1)</f>
        <v>0</v>
      </c>
      <c r="S94" s="144">
        <f>SUMIFS('февраль 2024'!$G$4:$G$1413,'февраль 2024'!$D$4:$D$1413,$B94,'февраль 2024'!$J$4:$J$1413,S$1)</f>
        <v>0</v>
      </c>
      <c r="T94" s="144">
        <f>SUMIFS('февраль 2024'!$G$4:$G$1413,'февраль 2024'!$D$4:$D$1413,$B94,'февраль 2024'!$J$4:$J$1413,T$1)</f>
        <v>0</v>
      </c>
      <c r="U94" s="144">
        <f>SUMIFS('февраль 2024'!$G$4:$G$1413,'февраль 2024'!$D$4:$D$1413,$B94,'февраль 2024'!$J$4:$J$1413,U$1)</f>
        <v>0</v>
      </c>
      <c r="V94" s="144">
        <f>SUMIFS('февраль 2024'!$G$4:$G$1413,'февраль 2024'!$D$4:$D$1413,$B94,'февраль 2024'!$J$4:$J$1413,V$1)</f>
        <v>0</v>
      </c>
      <c r="W94" s="144">
        <f>SUMIFS('февраль 2024'!$G$4:$G$1413,'февраль 2024'!$D$4:$D$1413,$B94,'февраль 2024'!$J$4:$J$1413,W$1)</f>
        <v>0</v>
      </c>
      <c r="X94" s="144">
        <f>SUMIFS('февраль 2024'!$G$4:$G$1413,'февраль 2024'!$D$4:$D$1413,$B94,'февраль 2024'!$J$4:$J$1413,X$1)</f>
        <v>0</v>
      </c>
      <c r="Y94" s="144">
        <f>SUMIFS('февраль 2024'!$G$4:$G$1413,'февраль 2024'!$D$4:$D$1413,$B94,'февраль 2024'!$J$4:$J$1413,Y$1)</f>
        <v>0</v>
      </c>
      <c r="Z94" s="144">
        <f>SUMIFS('февраль 2024'!$G$4:$G$1413,'февраль 2024'!$D$4:$D$1413,$B94,'февраль 2024'!$J$4:$J$1413,Z$1)</f>
        <v>0</v>
      </c>
      <c r="AA94" s="144">
        <f>SUMIFS('февраль 2024'!$G$4:$G$1413,'февраль 2024'!$D$4:$D$1413,$B94,'февраль 2024'!$J$4:$J$1413,AA$1)</f>
        <v>0</v>
      </c>
      <c r="AB94" s="144">
        <f>SUMIFS('февраль 2024'!$G$4:$G$1413,'февраль 2024'!$D$4:$D$1413,$B94,'февраль 2024'!$J$4:$J$1413,AB$1)</f>
        <v>0</v>
      </c>
      <c r="AC94" s="144">
        <f>SUMIFS('февраль 2024'!$G$4:$G$1413,'февраль 2024'!$D$4:$D$1413,$B94,'февраль 2024'!$J$4:$J$1413,AC$1)</f>
        <v>0</v>
      </c>
      <c r="AD94" s="144">
        <f>SUMIFS('февраль 2024'!$G$4:$G$1413,'февраль 2024'!$D$4:$D$1413,$B94,'февраль 2024'!$J$4:$J$1413,AD$1)</f>
        <v>0</v>
      </c>
      <c r="AE94" s="144">
        <f>SUMIFS('февраль 2024'!$G$4:$G$1413,'февраль 2024'!$D$4:$D$1413,$B94,'февраль 2024'!$J$4:$J$1413,AE$1)</f>
        <v>0</v>
      </c>
      <c r="AF94" s="144">
        <f>SUMIFS('февраль 2024'!$G$4:$G$1413,'февраль 2024'!$D$4:$D$1413,$B94,'февраль 2024'!$J$4:$J$1413,AF$1)</f>
        <v>0</v>
      </c>
      <c r="AG94" s="144">
        <f>SUMIFS('февраль 2024'!$G$4:$G$1413,'февраль 2024'!$D$4:$D$1413,$B94,'февраль 2024'!$J$4:$J$1413,AG$1)</f>
        <v>0</v>
      </c>
      <c r="AH94" s="144">
        <f>SUMIFS('февраль 2024'!$G$4:$G$1413,'февраль 2024'!$D$4:$D$1413,$B94,'февраль 2024'!$J$4:$J$1413,AH$1)</f>
        <v>0</v>
      </c>
      <c r="AI94" s="21">
        <f t="shared" si="1"/>
        <v>0</v>
      </c>
    </row>
    <row r="95" spans="2:35" ht="15" customHeight="1" x14ac:dyDescent="0.25">
      <c r="B95" s="89" t="s">
        <v>324</v>
      </c>
      <c r="C95" s="88">
        <v>180</v>
      </c>
      <c r="D95" s="144">
        <f>SUMIFS('февраль 2024'!$G$4:$G$1413,'февраль 2024'!$D$4:$D$1413,$B95,'февраль 2024'!$J$4:$J$1413,D$1)</f>
        <v>0</v>
      </c>
      <c r="E95" s="144">
        <f>SUMIFS('февраль 2024'!$G$4:$G$1413,'февраль 2024'!$D$4:$D$1413,$B95,'февраль 2024'!$J$4:$J$1413,E$1)</f>
        <v>0</v>
      </c>
      <c r="F95" s="144">
        <f>SUMIFS('февраль 2024'!$G$4:$G$1413,'февраль 2024'!$D$4:$D$1413,$B95,'февраль 2024'!$J$4:$J$1413,F$1)</f>
        <v>0</v>
      </c>
      <c r="G95" s="144">
        <f>SUMIFS('февраль 2024'!$G$4:$G$1413,'февраль 2024'!$D$4:$D$1413,$B95,'февраль 2024'!$J$4:$J$1413,G$1)</f>
        <v>0</v>
      </c>
      <c r="H95" s="144">
        <f>SUMIFS('февраль 2024'!$G$4:$G$1413,'февраль 2024'!$D$4:$D$1413,$B95,'февраль 2024'!$J$4:$J$1413,H$1)</f>
        <v>0</v>
      </c>
      <c r="I95" s="144">
        <f>SUMIFS('февраль 2024'!$G$4:$G$1413,'февраль 2024'!$D$4:$D$1413,$B95,'февраль 2024'!$J$4:$J$1413,I$1)</f>
        <v>0</v>
      </c>
      <c r="J95" s="144">
        <f>SUMIFS('февраль 2024'!$G$4:$G$1413,'февраль 2024'!$D$4:$D$1413,$B95,'февраль 2024'!$J$4:$J$1413,J$1)</f>
        <v>0</v>
      </c>
      <c r="K95" s="144">
        <f>SUMIFS('февраль 2024'!$G$4:$G$1413,'февраль 2024'!$D$4:$D$1413,$B95,'февраль 2024'!$J$4:$J$1413,K$1)</f>
        <v>0</v>
      </c>
      <c r="L95" s="144">
        <f>SUMIFS('февраль 2024'!$G$4:$G$1413,'февраль 2024'!$D$4:$D$1413,$B95,'февраль 2024'!$J$4:$J$1413,L$1)</f>
        <v>0</v>
      </c>
      <c r="M95" s="144">
        <f>SUMIFS('февраль 2024'!$G$4:$G$1413,'февраль 2024'!$D$4:$D$1413,$B95,'февраль 2024'!$J$4:$J$1413,M$1)</f>
        <v>0</v>
      </c>
      <c r="N95" s="144">
        <f>SUMIFS('февраль 2024'!$G$4:$G$1413,'февраль 2024'!$D$4:$D$1413,$B95,'февраль 2024'!$J$4:$J$1413,N$1)</f>
        <v>0</v>
      </c>
      <c r="O95" s="144">
        <f>SUMIFS('февраль 2024'!$G$4:$G$1413,'февраль 2024'!$D$4:$D$1413,$B95,'февраль 2024'!$J$4:$J$1413,O$1)</f>
        <v>0</v>
      </c>
      <c r="P95" s="144">
        <f>SUMIFS('февраль 2024'!$G$4:$G$1413,'февраль 2024'!$D$4:$D$1413,$B95,'февраль 2024'!$J$4:$J$1413,P$1)</f>
        <v>0</v>
      </c>
      <c r="Q95" s="144">
        <f>SUMIFS('февраль 2024'!$G$4:$G$1413,'февраль 2024'!$D$4:$D$1413,$B95,'февраль 2024'!$J$4:$J$1413,Q$1)</f>
        <v>0</v>
      </c>
      <c r="R95" s="144">
        <f>SUMIFS('февраль 2024'!$G$4:$G$1413,'февраль 2024'!$D$4:$D$1413,$B95,'февраль 2024'!$J$4:$J$1413,R$1)</f>
        <v>0</v>
      </c>
      <c r="S95" s="144">
        <f>SUMIFS('февраль 2024'!$G$4:$G$1413,'февраль 2024'!$D$4:$D$1413,$B95,'февраль 2024'!$J$4:$J$1413,S$1)</f>
        <v>0</v>
      </c>
      <c r="T95" s="144">
        <f>SUMIFS('февраль 2024'!$G$4:$G$1413,'февраль 2024'!$D$4:$D$1413,$B95,'февраль 2024'!$J$4:$J$1413,T$1)</f>
        <v>0</v>
      </c>
      <c r="U95" s="144">
        <f>SUMIFS('февраль 2024'!$G$4:$G$1413,'февраль 2024'!$D$4:$D$1413,$B95,'февраль 2024'!$J$4:$J$1413,U$1)</f>
        <v>0</v>
      </c>
      <c r="V95" s="144">
        <f>SUMIFS('февраль 2024'!$G$4:$G$1413,'февраль 2024'!$D$4:$D$1413,$B95,'февраль 2024'!$J$4:$J$1413,V$1)</f>
        <v>0</v>
      </c>
      <c r="W95" s="144">
        <f>SUMIFS('февраль 2024'!$G$4:$G$1413,'февраль 2024'!$D$4:$D$1413,$B95,'февраль 2024'!$J$4:$J$1413,W$1)</f>
        <v>0</v>
      </c>
      <c r="X95" s="144">
        <f>SUMIFS('февраль 2024'!$G$4:$G$1413,'февраль 2024'!$D$4:$D$1413,$B95,'февраль 2024'!$J$4:$J$1413,X$1)</f>
        <v>0</v>
      </c>
      <c r="Y95" s="144">
        <f>SUMIFS('февраль 2024'!$G$4:$G$1413,'февраль 2024'!$D$4:$D$1413,$B95,'февраль 2024'!$J$4:$J$1413,Y$1)</f>
        <v>0</v>
      </c>
      <c r="Z95" s="144">
        <f>SUMIFS('февраль 2024'!$G$4:$G$1413,'февраль 2024'!$D$4:$D$1413,$B95,'февраль 2024'!$J$4:$J$1413,Z$1)</f>
        <v>0</v>
      </c>
      <c r="AA95" s="144">
        <f>SUMIFS('февраль 2024'!$G$4:$G$1413,'февраль 2024'!$D$4:$D$1413,$B95,'февраль 2024'!$J$4:$J$1413,AA$1)</f>
        <v>0</v>
      </c>
      <c r="AB95" s="144">
        <f>SUMIFS('февраль 2024'!$G$4:$G$1413,'февраль 2024'!$D$4:$D$1413,$B95,'февраль 2024'!$J$4:$J$1413,AB$1)</f>
        <v>0</v>
      </c>
      <c r="AC95" s="144">
        <f>SUMIFS('февраль 2024'!$G$4:$G$1413,'февраль 2024'!$D$4:$D$1413,$B95,'февраль 2024'!$J$4:$J$1413,AC$1)</f>
        <v>0</v>
      </c>
      <c r="AD95" s="144">
        <f>SUMIFS('февраль 2024'!$G$4:$G$1413,'февраль 2024'!$D$4:$D$1413,$B95,'февраль 2024'!$J$4:$J$1413,AD$1)</f>
        <v>0</v>
      </c>
      <c r="AE95" s="144">
        <f>SUMIFS('февраль 2024'!$G$4:$G$1413,'февраль 2024'!$D$4:$D$1413,$B95,'февраль 2024'!$J$4:$J$1413,AE$1)</f>
        <v>0</v>
      </c>
      <c r="AF95" s="144">
        <f>SUMIFS('февраль 2024'!$G$4:$G$1413,'февраль 2024'!$D$4:$D$1413,$B95,'февраль 2024'!$J$4:$J$1413,AF$1)</f>
        <v>0</v>
      </c>
      <c r="AG95" s="144">
        <f>SUMIFS('февраль 2024'!$G$4:$G$1413,'февраль 2024'!$D$4:$D$1413,$B95,'февраль 2024'!$J$4:$J$1413,AG$1)</f>
        <v>0</v>
      </c>
      <c r="AH95" s="144">
        <f>SUMIFS('февраль 2024'!$G$4:$G$1413,'февраль 2024'!$D$4:$D$1413,$B95,'февраль 2024'!$J$4:$J$1413,AH$1)</f>
        <v>0</v>
      </c>
      <c r="AI95" s="21">
        <f t="shared" si="1"/>
        <v>0</v>
      </c>
    </row>
    <row r="96" spans="2:35" ht="15" customHeight="1" x14ac:dyDescent="0.25">
      <c r="B96" s="93" t="s">
        <v>325</v>
      </c>
      <c r="C96" s="91">
        <v>200</v>
      </c>
      <c r="D96" s="144">
        <f>SUMIFS('февраль 2024'!$G$4:$G$1413,'февраль 2024'!$D$4:$D$1413,$B96,'февраль 2024'!$J$4:$J$1413,D$1)</f>
        <v>0</v>
      </c>
      <c r="E96" s="144">
        <f>SUMIFS('февраль 2024'!$G$4:$G$1413,'февраль 2024'!$D$4:$D$1413,$B96,'февраль 2024'!$J$4:$J$1413,E$1)</f>
        <v>0</v>
      </c>
      <c r="F96" s="144">
        <f>SUMIFS('февраль 2024'!$G$4:$G$1413,'февраль 2024'!$D$4:$D$1413,$B96,'февраль 2024'!$J$4:$J$1413,F$1)</f>
        <v>0</v>
      </c>
      <c r="G96" s="144">
        <f>SUMIFS('февраль 2024'!$G$4:$G$1413,'февраль 2024'!$D$4:$D$1413,$B96,'февраль 2024'!$J$4:$J$1413,G$1)</f>
        <v>0</v>
      </c>
      <c r="H96" s="144">
        <f>SUMIFS('февраль 2024'!$G$4:$G$1413,'февраль 2024'!$D$4:$D$1413,$B96,'февраль 2024'!$J$4:$J$1413,H$1)</f>
        <v>0</v>
      </c>
      <c r="I96" s="144">
        <f>SUMIFS('февраль 2024'!$G$4:$G$1413,'февраль 2024'!$D$4:$D$1413,$B96,'февраль 2024'!$J$4:$J$1413,I$1)</f>
        <v>0</v>
      </c>
      <c r="J96" s="144">
        <f>SUMIFS('февраль 2024'!$G$4:$G$1413,'февраль 2024'!$D$4:$D$1413,$B96,'февраль 2024'!$J$4:$J$1413,J$1)</f>
        <v>0</v>
      </c>
      <c r="K96" s="144">
        <f>SUMIFS('февраль 2024'!$G$4:$G$1413,'февраль 2024'!$D$4:$D$1413,$B96,'февраль 2024'!$J$4:$J$1413,K$1)</f>
        <v>0</v>
      </c>
      <c r="L96" s="144">
        <f>SUMIFS('февраль 2024'!$G$4:$G$1413,'февраль 2024'!$D$4:$D$1413,$B96,'февраль 2024'!$J$4:$J$1413,L$1)</f>
        <v>0</v>
      </c>
      <c r="M96" s="144">
        <f>SUMIFS('февраль 2024'!$G$4:$G$1413,'февраль 2024'!$D$4:$D$1413,$B96,'февраль 2024'!$J$4:$J$1413,M$1)</f>
        <v>0</v>
      </c>
      <c r="N96" s="144">
        <f>SUMIFS('февраль 2024'!$G$4:$G$1413,'февраль 2024'!$D$4:$D$1413,$B96,'февраль 2024'!$J$4:$J$1413,N$1)</f>
        <v>0</v>
      </c>
      <c r="O96" s="144">
        <f>SUMIFS('февраль 2024'!$G$4:$G$1413,'февраль 2024'!$D$4:$D$1413,$B96,'февраль 2024'!$J$4:$J$1413,O$1)</f>
        <v>0</v>
      </c>
      <c r="P96" s="144">
        <f>SUMIFS('февраль 2024'!$G$4:$G$1413,'февраль 2024'!$D$4:$D$1413,$B96,'февраль 2024'!$J$4:$J$1413,P$1)</f>
        <v>0</v>
      </c>
      <c r="Q96" s="144">
        <f>SUMIFS('февраль 2024'!$G$4:$G$1413,'февраль 2024'!$D$4:$D$1413,$B96,'февраль 2024'!$J$4:$J$1413,Q$1)</f>
        <v>0</v>
      </c>
      <c r="R96" s="144">
        <f>SUMIFS('февраль 2024'!$G$4:$G$1413,'февраль 2024'!$D$4:$D$1413,$B96,'февраль 2024'!$J$4:$J$1413,R$1)</f>
        <v>0</v>
      </c>
      <c r="S96" s="144">
        <f>SUMIFS('февраль 2024'!$G$4:$G$1413,'февраль 2024'!$D$4:$D$1413,$B96,'февраль 2024'!$J$4:$J$1413,S$1)</f>
        <v>0</v>
      </c>
      <c r="T96" s="144">
        <f>SUMIFS('февраль 2024'!$G$4:$G$1413,'февраль 2024'!$D$4:$D$1413,$B96,'февраль 2024'!$J$4:$J$1413,T$1)</f>
        <v>0</v>
      </c>
      <c r="U96" s="144">
        <f>SUMIFS('февраль 2024'!$G$4:$G$1413,'февраль 2024'!$D$4:$D$1413,$B96,'февраль 2024'!$J$4:$J$1413,U$1)</f>
        <v>0</v>
      </c>
      <c r="V96" s="144">
        <f>SUMIFS('февраль 2024'!$G$4:$G$1413,'февраль 2024'!$D$4:$D$1413,$B96,'февраль 2024'!$J$4:$J$1413,V$1)</f>
        <v>0</v>
      </c>
      <c r="W96" s="144">
        <f>SUMIFS('февраль 2024'!$G$4:$G$1413,'февраль 2024'!$D$4:$D$1413,$B96,'февраль 2024'!$J$4:$J$1413,W$1)</f>
        <v>0</v>
      </c>
      <c r="X96" s="144">
        <f>SUMIFS('февраль 2024'!$G$4:$G$1413,'февраль 2024'!$D$4:$D$1413,$B96,'февраль 2024'!$J$4:$J$1413,X$1)</f>
        <v>0</v>
      </c>
      <c r="Y96" s="144">
        <f>SUMIFS('февраль 2024'!$G$4:$G$1413,'февраль 2024'!$D$4:$D$1413,$B96,'февраль 2024'!$J$4:$J$1413,Y$1)</f>
        <v>0</v>
      </c>
      <c r="Z96" s="144">
        <f>SUMIFS('февраль 2024'!$G$4:$G$1413,'февраль 2024'!$D$4:$D$1413,$B96,'февраль 2024'!$J$4:$J$1413,Z$1)</f>
        <v>0</v>
      </c>
      <c r="AA96" s="144">
        <f>SUMIFS('февраль 2024'!$G$4:$G$1413,'февраль 2024'!$D$4:$D$1413,$B96,'февраль 2024'!$J$4:$J$1413,AA$1)</f>
        <v>0</v>
      </c>
      <c r="AB96" s="144">
        <f>SUMIFS('февраль 2024'!$G$4:$G$1413,'февраль 2024'!$D$4:$D$1413,$B96,'февраль 2024'!$J$4:$J$1413,AB$1)</f>
        <v>0</v>
      </c>
      <c r="AC96" s="144">
        <f>SUMIFS('февраль 2024'!$G$4:$G$1413,'февраль 2024'!$D$4:$D$1413,$B96,'февраль 2024'!$J$4:$J$1413,AC$1)</f>
        <v>0</v>
      </c>
      <c r="AD96" s="144">
        <f>SUMIFS('февраль 2024'!$G$4:$G$1413,'февраль 2024'!$D$4:$D$1413,$B96,'февраль 2024'!$J$4:$J$1413,AD$1)</f>
        <v>0</v>
      </c>
      <c r="AE96" s="144">
        <f>SUMIFS('февраль 2024'!$G$4:$G$1413,'февраль 2024'!$D$4:$D$1413,$B96,'февраль 2024'!$J$4:$J$1413,AE$1)</f>
        <v>0</v>
      </c>
      <c r="AF96" s="144">
        <f>SUMIFS('февраль 2024'!$G$4:$G$1413,'февраль 2024'!$D$4:$D$1413,$B96,'февраль 2024'!$J$4:$J$1413,AF$1)</f>
        <v>0</v>
      </c>
      <c r="AG96" s="144">
        <f>SUMIFS('февраль 2024'!$G$4:$G$1413,'февраль 2024'!$D$4:$D$1413,$B96,'февраль 2024'!$J$4:$J$1413,AG$1)</f>
        <v>0</v>
      </c>
      <c r="AH96" s="144">
        <f>SUMIFS('февраль 2024'!$G$4:$G$1413,'февраль 2024'!$D$4:$D$1413,$B96,'февраль 2024'!$J$4:$J$1413,AH$1)</f>
        <v>0</v>
      </c>
      <c r="AI96" s="21">
        <f t="shared" si="1"/>
        <v>0</v>
      </c>
    </row>
    <row r="97" spans="2:35" ht="15" customHeight="1" x14ac:dyDescent="0.25">
      <c r="B97" s="93" t="s">
        <v>190</v>
      </c>
      <c r="C97" s="91">
        <v>200</v>
      </c>
      <c r="D97" s="144">
        <f>SUMIFS('февраль 2024'!$G$4:$G$1413,'февраль 2024'!$D$4:$D$1413,$B97,'февраль 2024'!$J$4:$J$1413,D$1)</f>
        <v>0</v>
      </c>
      <c r="E97" s="144">
        <f>SUMIFS('февраль 2024'!$G$4:$G$1413,'февраль 2024'!$D$4:$D$1413,$B97,'февраль 2024'!$J$4:$J$1413,E$1)</f>
        <v>0</v>
      </c>
      <c r="F97" s="144">
        <f>SUMIFS('февраль 2024'!$G$4:$G$1413,'февраль 2024'!$D$4:$D$1413,$B97,'февраль 2024'!$J$4:$J$1413,F$1)</f>
        <v>0</v>
      </c>
      <c r="G97" s="144">
        <f>SUMIFS('февраль 2024'!$G$4:$G$1413,'февраль 2024'!$D$4:$D$1413,$B97,'февраль 2024'!$J$4:$J$1413,G$1)</f>
        <v>0</v>
      </c>
      <c r="H97" s="144">
        <f>SUMIFS('февраль 2024'!$G$4:$G$1413,'февраль 2024'!$D$4:$D$1413,$B97,'февраль 2024'!$J$4:$J$1413,H$1)</f>
        <v>0</v>
      </c>
      <c r="I97" s="144">
        <f>SUMIFS('февраль 2024'!$G$4:$G$1413,'февраль 2024'!$D$4:$D$1413,$B97,'февраль 2024'!$J$4:$J$1413,I$1)</f>
        <v>0</v>
      </c>
      <c r="J97" s="144">
        <f>SUMIFS('февраль 2024'!$G$4:$G$1413,'февраль 2024'!$D$4:$D$1413,$B97,'февраль 2024'!$J$4:$J$1413,J$1)</f>
        <v>0</v>
      </c>
      <c r="K97" s="144">
        <f>SUMIFS('февраль 2024'!$G$4:$G$1413,'февраль 2024'!$D$4:$D$1413,$B97,'февраль 2024'!$J$4:$J$1413,K$1)</f>
        <v>0</v>
      </c>
      <c r="L97" s="144">
        <f>SUMIFS('февраль 2024'!$G$4:$G$1413,'февраль 2024'!$D$4:$D$1413,$B97,'февраль 2024'!$J$4:$J$1413,L$1)</f>
        <v>0</v>
      </c>
      <c r="M97" s="144">
        <f>SUMIFS('февраль 2024'!$G$4:$G$1413,'февраль 2024'!$D$4:$D$1413,$B97,'февраль 2024'!$J$4:$J$1413,M$1)</f>
        <v>0</v>
      </c>
      <c r="N97" s="144">
        <f>SUMIFS('февраль 2024'!$G$4:$G$1413,'февраль 2024'!$D$4:$D$1413,$B97,'февраль 2024'!$J$4:$J$1413,N$1)</f>
        <v>0</v>
      </c>
      <c r="O97" s="144">
        <f>SUMIFS('февраль 2024'!$G$4:$G$1413,'февраль 2024'!$D$4:$D$1413,$B97,'февраль 2024'!$J$4:$J$1413,O$1)</f>
        <v>0</v>
      </c>
      <c r="P97" s="144">
        <f>SUMIFS('февраль 2024'!$G$4:$G$1413,'февраль 2024'!$D$4:$D$1413,$B97,'февраль 2024'!$J$4:$J$1413,P$1)</f>
        <v>0</v>
      </c>
      <c r="Q97" s="144">
        <f>SUMIFS('февраль 2024'!$G$4:$G$1413,'февраль 2024'!$D$4:$D$1413,$B97,'февраль 2024'!$J$4:$J$1413,Q$1)</f>
        <v>0</v>
      </c>
      <c r="R97" s="144">
        <f>SUMIFS('февраль 2024'!$G$4:$G$1413,'февраль 2024'!$D$4:$D$1413,$B97,'февраль 2024'!$J$4:$J$1413,R$1)</f>
        <v>0</v>
      </c>
      <c r="S97" s="144">
        <f>SUMIFS('февраль 2024'!$G$4:$G$1413,'февраль 2024'!$D$4:$D$1413,$B97,'февраль 2024'!$J$4:$J$1413,S$1)</f>
        <v>0</v>
      </c>
      <c r="T97" s="144">
        <f>SUMIFS('февраль 2024'!$G$4:$G$1413,'февраль 2024'!$D$4:$D$1413,$B97,'февраль 2024'!$J$4:$J$1413,T$1)</f>
        <v>0</v>
      </c>
      <c r="U97" s="144">
        <f>SUMIFS('февраль 2024'!$G$4:$G$1413,'февраль 2024'!$D$4:$D$1413,$B97,'февраль 2024'!$J$4:$J$1413,U$1)</f>
        <v>0</v>
      </c>
      <c r="V97" s="144">
        <f>SUMIFS('февраль 2024'!$G$4:$G$1413,'февраль 2024'!$D$4:$D$1413,$B97,'февраль 2024'!$J$4:$J$1413,V$1)</f>
        <v>0</v>
      </c>
      <c r="W97" s="144">
        <f>SUMIFS('февраль 2024'!$G$4:$G$1413,'февраль 2024'!$D$4:$D$1413,$B97,'февраль 2024'!$J$4:$J$1413,W$1)</f>
        <v>80</v>
      </c>
      <c r="X97" s="144">
        <f>SUMIFS('февраль 2024'!$G$4:$G$1413,'февраль 2024'!$D$4:$D$1413,$B97,'февраль 2024'!$J$4:$J$1413,X$1)</f>
        <v>0</v>
      </c>
      <c r="Y97" s="144">
        <f>SUMIFS('февраль 2024'!$G$4:$G$1413,'февраль 2024'!$D$4:$D$1413,$B97,'февраль 2024'!$J$4:$J$1413,Y$1)</f>
        <v>0</v>
      </c>
      <c r="Z97" s="144">
        <f>SUMIFS('февраль 2024'!$G$4:$G$1413,'февраль 2024'!$D$4:$D$1413,$B97,'февраль 2024'!$J$4:$J$1413,Z$1)</f>
        <v>0</v>
      </c>
      <c r="AA97" s="144">
        <f>SUMIFS('февраль 2024'!$G$4:$G$1413,'февраль 2024'!$D$4:$D$1413,$B97,'февраль 2024'!$J$4:$J$1413,AA$1)</f>
        <v>0</v>
      </c>
      <c r="AB97" s="144">
        <f>SUMIFS('февраль 2024'!$G$4:$G$1413,'февраль 2024'!$D$4:$D$1413,$B97,'февраль 2024'!$J$4:$J$1413,AB$1)</f>
        <v>67</v>
      </c>
      <c r="AC97" s="144">
        <f>SUMIFS('февраль 2024'!$G$4:$G$1413,'февраль 2024'!$D$4:$D$1413,$B97,'февраль 2024'!$J$4:$J$1413,AC$1)</f>
        <v>204</v>
      </c>
      <c r="AD97" s="144">
        <f>SUMIFS('февраль 2024'!$G$4:$G$1413,'февраль 2024'!$D$4:$D$1413,$B97,'февраль 2024'!$J$4:$J$1413,AD$1)</f>
        <v>0</v>
      </c>
      <c r="AE97" s="144">
        <f>SUMIFS('февраль 2024'!$G$4:$G$1413,'февраль 2024'!$D$4:$D$1413,$B97,'февраль 2024'!$J$4:$J$1413,AE$1)</f>
        <v>0</v>
      </c>
      <c r="AF97" s="144">
        <f>SUMIFS('февраль 2024'!$G$4:$G$1413,'февраль 2024'!$D$4:$D$1413,$B97,'февраль 2024'!$J$4:$J$1413,AF$1)</f>
        <v>0</v>
      </c>
      <c r="AG97" s="144">
        <f>SUMIFS('февраль 2024'!$G$4:$G$1413,'февраль 2024'!$D$4:$D$1413,$B97,'февраль 2024'!$J$4:$J$1413,AG$1)</f>
        <v>0</v>
      </c>
      <c r="AH97" s="144">
        <f>SUMIFS('февраль 2024'!$G$4:$G$1413,'февраль 2024'!$D$4:$D$1413,$B97,'февраль 2024'!$J$4:$J$1413,AH$1)</f>
        <v>0</v>
      </c>
      <c r="AI97" s="21">
        <f t="shared" si="1"/>
        <v>351</v>
      </c>
    </row>
    <row r="98" spans="2:35" ht="15" customHeight="1" x14ac:dyDescent="0.25">
      <c r="B98" s="93" t="s">
        <v>326</v>
      </c>
      <c r="C98" s="91">
        <v>200</v>
      </c>
      <c r="D98" s="144">
        <f>SUMIFS('февраль 2024'!$G$4:$G$1413,'февраль 2024'!$D$4:$D$1413,$B98,'февраль 2024'!$J$4:$J$1413,D$1)</f>
        <v>0</v>
      </c>
      <c r="E98" s="144">
        <f>SUMIFS('февраль 2024'!$G$4:$G$1413,'февраль 2024'!$D$4:$D$1413,$B98,'февраль 2024'!$J$4:$J$1413,E$1)</f>
        <v>0</v>
      </c>
      <c r="F98" s="144">
        <f>SUMIFS('февраль 2024'!$G$4:$G$1413,'февраль 2024'!$D$4:$D$1413,$B98,'февраль 2024'!$J$4:$J$1413,F$1)</f>
        <v>0</v>
      </c>
      <c r="G98" s="144">
        <f>SUMIFS('февраль 2024'!$G$4:$G$1413,'февраль 2024'!$D$4:$D$1413,$B98,'февраль 2024'!$J$4:$J$1413,G$1)</f>
        <v>0</v>
      </c>
      <c r="H98" s="144">
        <f>SUMIFS('февраль 2024'!$G$4:$G$1413,'февраль 2024'!$D$4:$D$1413,$B98,'февраль 2024'!$J$4:$J$1413,H$1)</f>
        <v>0</v>
      </c>
      <c r="I98" s="144">
        <f>SUMIFS('февраль 2024'!$G$4:$G$1413,'февраль 2024'!$D$4:$D$1413,$B98,'февраль 2024'!$J$4:$J$1413,I$1)</f>
        <v>0</v>
      </c>
      <c r="J98" s="144">
        <f>SUMIFS('февраль 2024'!$G$4:$G$1413,'февраль 2024'!$D$4:$D$1413,$B98,'февраль 2024'!$J$4:$J$1413,J$1)</f>
        <v>0</v>
      </c>
      <c r="K98" s="144">
        <f>SUMIFS('февраль 2024'!$G$4:$G$1413,'февраль 2024'!$D$4:$D$1413,$B98,'февраль 2024'!$J$4:$J$1413,K$1)</f>
        <v>0</v>
      </c>
      <c r="L98" s="144">
        <f>SUMIFS('февраль 2024'!$G$4:$G$1413,'февраль 2024'!$D$4:$D$1413,$B98,'февраль 2024'!$J$4:$J$1413,L$1)</f>
        <v>0</v>
      </c>
      <c r="M98" s="144">
        <f>SUMIFS('февраль 2024'!$G$4:$G$1413,'февраль 2024'!$D$4:$D$1413,$B98,'февраль 2024'!$J$4:$J$1413,M$1)</f>
        <v>0</v>
      </c>
      <c r="N98" s="144">
        <f>SUMIFS('февраль 2024'!$G$4:$G$1413,'февраль 2024'!$D$4:$D$1413,$B98,'февраль 2024'!$J$4:$J$1413,N$1)</f>
        <v>0</v>
      </c>
      <c r="O98" s="144">
        <f>SUMIFS('февраль 2024'!$G$4:$G$1413,'февраль 2024'!$D$4:$D$1413,$B98,'февраль 2024'!$J$4:$J$1413,O$1)</f>
        <v>0</v>
      </c>
      <c r="P98" s="144">
        <f>SUMIFS('февраль 2024'!$G$4:$G$1413,'февраль 2024'!$D$4:$D$1413,$B98,'февраль 2024'!$J$4:$J$1413,P$1)</f>
        <v>0</v>
      </c>
      <c r="Q98" s="144">
        <f>SUMIFS('февраль 2024'!$G$4:$G$1413,'февраль 2024'!$D$4:$D$1413,$B98,'февраль 2024'!$J$4:$J$1413,Q$1)</f>
        <v>0</v>
      </c>
      <c r="R98" s="144">
        <f>SUMIFS('февраль 2024'!$G$4:$G$1413,'февраль 2024'!$D$4:$D$1413,$B98,'февраль 2024'!$J$4:$J$1413,R$1)</f>
        <v>0</v>
      </c>
      <c r="S98" s="144">
        <f>SUMIFS('февраль 2024'!$G$4:$G$1413,'февраль 2024'!$D$4:$D$1413,$B98,'февраль 2024'!$J$4:$J$1413,S$1)</f>
        <v>0</v>
      </c>
      <c r="T98" s="144">
        <f>SUMIFS('февраль 2024'!$G$4:$G$1413,'февраль 2024'!$D$4:$D$1413,$B98,'февраль 2024'!$J$4:$J$1413,T$1)</f>
        <v>0</v>
      </c>
      <c r="U98" s="144">
        <f>SUMIFS('февраль 2024'!$G$4:$G$1413,'февраль 2024'!$D$4:$D$1413,$B98,'февраль 2024'!$J$4:$J$1413,U$1)</f>
        <v>0</v>
      </c>
      <c r="V98" s="144">
        <f>SUMIFS('февраль 2024'!$G$4:$G$1413,'февраль 2024'!$D$4:$D$1413,$B98,'февраль 2024'!$J$4:$J$1413,V$1)</f>
        <v>0</v>
      </c>
      <c r="W98" s="144">
        <f>SUMIFS('февраль 2024'!$G$4:$G$1413,'февраль 2024'!$D$4:$D$1413,$B98,'февраль 2024'!$J$4:$J$1413,W$1)</f>
        <v>0</v>
      </c>
      <c r="X98" s="144">
        <f>SUMIFS('февраль 2024'!$G$4:$G$1413,'февраль 2024'!$D$4:$D$1413,$B98,'февраль 2024'!$J$4:$J$1413,X$1)</f>
        <v>0</v>
      </c>
      <c r="Y98" s="144">
        <f>SUMIFS('февраль 2024'!$G$4:$G$1413,'февраль 2024'!$D$4:$D$1413,$B98,'февраль 2024'!$J$4:$J$1413,Y$1)</f>
        <v>0</v>
      </c>
      <c r="Z98" s="144">
        <f>SUMIFS('февраль 2024'!$G$4:$G$1413,'февраль 2024'!$D$4:$D$1413,$B98,'февраль 2024'!$J$4:$J$1413,Z$1)</f>
        <v>0</v>
      </c>
      <c r="AA98" s="144">
        <f>SUMIFS('февраль 2024'!$G$4:$G$1413,'февраль 2024'!$D$4:$D$1413,$B98,'февраль 2024'!$J$4:$J$1413,AA$1)</f>
        <v>0</v>
      </c>
      <c r="AB98" s="144">
        <f>SUMIFS('февраль 2024'!$G$4:$G$1413,'февраль 2024'!$D$4:$D$1413,$B98,'февраль 2024'!$J$4:$J$1413,AB$1)</f>
        <v>0</v>
      </c>
      <c r="AC98" s="144">
        <f>SUMIFS('февраль 2024'!$G$4:$G$1413,'февраль 2024'!$D$4:$D$1413,$B98,'февраль 2024'!$J$4:$J$1413,AC$1)</f>
        <v>0</v>
      </c>
      <c r="AD98" s="144">
        <f>SUMIFS('февраль 2024'!$G$4:$G$1413,'февраль 2024'!$D$4:$D$1413,$B98,'февраль 2024'!$J$4:$J$1413,AD$1)</f>
        <v>0</v>
      </c>
      <c r="AE98" s="144">
        <f>SUMIFS('февраль 2024'!$G$4:$G$1413,'февраль 2024'!$D$4:$D$1413,$B98,'февраль 2024'!$J$4:$J$1413,AE$1)</f>
        <v>0</v>
      </c>
      <c r="AF98" s="144">
        <f>SUMIFS('февраль 2024'!$G$4:$G$1413,'февраль 2024'!$D$4:$D$1413,$B98,'февраль 2024'!$J$4:$J$1413,AF$1)</f>
        <v>0</v>
      </c>
      <c r="AG98" s="144">
        <f>SUMIFS('февраль 2024'!$G$4:$G$1413,'февраль 2024'!$D$4:$D$1413,$B98,'февраль 2024'!$J$4:$J$1413,AG$1)</f>
        <v>0</v>
      </c>
      <c r="AH98" s="144">
        <f>SUMIFS('февраль 2024'!$G$4:$G$1413,'февраль 2024'!$D$4:$D$1413,$B98,'февраль 2024'!$J$4:$J$1413,AH$1)</f>
        <v>0</v>
      </c>
      <c r="AI98" s="21">
        <f t="shared" si="1"/>
        <v>0</v>
      </c>
    </row>
    <row r="99" spans="2:35" ht="15" customHeight="1" x14ac:dyDescent="0.25">
      <c r="B99" s="93" t="s">
        <v>327</v>
      </c>
      <c r="C99" s="91">
        <v>200</v>
      </c>
      <c r="D99" s="144">
        <f>SUMIFS('февраль 2024'!$G$4:$G$1413,'февраль 2024'!$D$4:$D$1413,$B99,'февраль 2024'!$J$4:$J$1413,D$1)</f>
        <v>0</v>
      </c>
      <c r="E99" s="144">
        <f>SUMIFS('февраль 2024'!$G$4:$G$1413,'февраль 2024'!$D$4:$D$1413,$B99,'февраль 2024'!$J$4:$J$1413,E$1)</f>
        <v>0</v>
      </c>
      <c r="F99" s="144">
        <f>SUMIFS('февраль 2024'!$G$4:$G$1413,'февраль 2024'!$D$4:$D$1413,$B99,'февраль 2024'!$J$4:$J$1413,F$1)</f>
        <v>0</v>
      </c>
      <c r="G99" s="144">
        <f>SUMIFS('февраль 2024'!$G$4:$G$1413,'февраль 2024'!$D$4:$D$1413,$B99,'февраль 2024'!$J$4:$J$1413,G$1)</f>
        <v>0</v>
      </c>
      <c r="H99" s="144">
        <f>SUMIFS('февраль 2024'!$G$4:$G$1413,'февраль 2024'!$D$4:$D$1413,$B99,'февраль 2024'!$J$4:$J$1413,H$1)</f>
        <v>0</v>
      </c>
      <c r="I99" s="144">
        <f>SUMIFS('февраль 2024'!$G$4:$G$1413,'февраль 2024'!$D$4:$D$1413,$B99,'февраль 2024'!$J$4:$J$1413,I$1)</f>
        <v>0</v>
      </c>
      <c r="J99" s="144">
        <f>SUMIFS('февраль 2024'!$G$4:$G$1413,'февраль 2024'!$D$4:$D$1413,$B99,'февраль 2024'!$J$4:$J$1413,J$1)</f>
        <v>0</v>
      </c>
      <c r="K99" s="144">
        <f>SUMIFS('февраль 2024'!$G$4:$G$1413,'февраль 2024'!$D$4:$D$1413,$B99,'февраль 2024'!$J$4:$J$1413,K$1)</f>
        <v>0</v>
      </c>
      <c r="L99" s="144">
        <f>SUMIFS('февраль 2024'!$G$4:$G$1413,'февраль 2024'!$D$4:$D$1413,$B99,'февраль 2024'!$J$4:$J$1413,L$1)</f>
        <v>0</v>
      </c>
      <c r="M99" s="144">
        <f>SUMIFS('февраль 2024'!$G$4:$G$1413,'февраль 2024'!$D$4:$D$1413,$B99,'февраль 2024'!$J$4:$J$1413,M$1)</f>
        <v>0</v>
      </c>
      <c r="N99" s="144">
        <f>SUMIFS('февраль 2024'!$G$4:$G$1413,'февраль 2024'!$D$4:$D$1413,$B99,'февраль 2024'!$J$4:$J$1413,N$1)</f>
        <v>0</v>
      </c>
      <c r="O99" s="144">
        <f>SUMIFS('февраль 2024'!$G$4:$G$1413,'февраль 2024'!$D$4:$D$1413,$B99,'февраль 2024'!$J$4:$J$1413,O$1)</f>
        <v>0</v>
      </c>
      <c r="P99" s="144">
        <f>SUMIFS('февраль 2024'!$G$4:$G$1413,'февраль 2024'!$D$4:$D$1413,$B99,'февраль 2024'!$J$4:$J$1413,P$1)</f>
        <v>0</v>
      </c>
      <c r="Q99" s="144">
        <f>SUMIFS('февраль 2024'!$G$4:$G$1413,'февраль 2024'!$D$4:$D$1413,$B99,'февраль 2024'!$J$4:$J$1413,Q$1)</f>
        <v>0</v>
      </c>
      <c r="R99" s="144">
        <f>SUMIFS('февраль 2024'!$G$4:$G$1413,'февраль 2024'!$D$4:$D$1413,$B99,'февраль 2024'!$J$4:$J$1413,R$1)</f>
        <v>0</v>
      </c>
      <c r="S99" s="144">
        <f>SUMIFS('февраль 2024'!$G$4:$G$1413,'февраль 2024'!$D$4:$D$1413,$B99,'февраль 2024'!$J$4:$J$1413,S$1)</f>
        <v>0</v>
      </c>
      <c r="T99" s="144">
        <f>SUMIFS('февраль 2024'!$G$4:$G$1413,'февраль 2024'!$D$4:$D$1413,$B99,'февраль 2024'!$J$4:$J$1413,T$1)</f>
        <v>0</v>
      </c>
      <c r="U99" s="144">
        <f>SUMIFS('февраль 2024'!$G$4:$G$1413,'февраль 2024'!$D$4:$D$1413,$B99,'февраль 2024'!$J$4:$J$1413,U$1)</f>
        <v>0</v>
      </c>
      <c r="V99" s="144">
        <f>SUMIFS('февраль 2024'!$G$4:$G$1413,'февраль 2024'!$D$4:$D$1413,$B99,'февраль 2024'!$J$4:$J$1413,V$1)</f>
        <v>0</v>
      </c>
      <c r="W99" s="144">
        <f>SUMIFS('февраль 2024'!$G$4:$G$1413,'февраль 2024'!$D$4:$D$1413,$B99,'февраль 2024'!$J$4:$J$1413,W$1)</f>
        <v>0</v>
      </c>
      <c r="X99" s="144">
        <f>SUMIFS('февраль 2024'!$G$4:$G$1413,'февраль 2024'!$D$4:$D$1413,$B99,'февраль 2024'!$J$4:$J$1413,X$1)</f>
        <v>0</v>
      </c>
      <c r="Y99" s="144">
        <f>SUMIFS('февраль 2024'!$G$4:$G$1413,'февраль 2024'!$D$4:$D$1413,$B99,'февраль 2024'!$J$4:$J$1413,Y$1)</f>
        <v>0</v>
      </c>
      <c r="Z99" s="144">
        <f>SUMIFS('февраль 2024'!$G$4:$G$1413,'февраль 2024'!$D$4:$D$1413,$B99,'февраль 2024'!$J$4:$J$1413,Z$1)</f>
        <v>0</v>
      </c>
      <c r="AA99" s="144">
        <f>SUMIFS('февраль 2024'!$G$4:$G$1413,'февраль 2024'!$D$4:$D$1413,$B99,'февраль 2024'!$J$4:$J$1413,AA$1)</f>
        <v>0</v>
      </c>
      <c r="AB99" s="144">
        <f>SUMIFS('февраль 2024'!$G$4:$G$1413,'февраль 2024'!$D$4:$D$1413,$B99,'февраль 2024'!$J$4:$J$1413,AB$1)</f>
        <v>0</v>
      </c>
      <c r="AC99" s="144">
        <f>SUMIFS('февраль 2024'!$G$4:$G$1413,'февраль 2024'!$D$4:$D$1413,$B99,'февраль 2024'!$J$4:$J$1413,AC$1)</f>
        <v>0</v>
      </c>
      <c r="AD99" s="144">
        <f>SUMIFS('февраль 2024'!$G$4:$G$1413,'февраль 2024'!$D$4:$D$1413,$B99,'февраль 2024'!$J$4:$J$1413,AD$1)</f>
        <v>0</v>
      </c>
      <c r="AE99" s="144">
        <f>SUMIFS('февраль 2024'!$G$4:$G$1413,'февраль 2024'!$D$4:$D$1413,$B99,'февраль 2024'!$J$4:$J$1413,AE$1)</f>
        <v>0</v>
      </c>
      <c r="AF99" s="144">
        <f>SUMIFS('февраль 2024'!$G$4:$G$1413,'февраль 2024'!$D$4:$D$1413,$B99,'февраль 2024'!$J$4:$J$1413,AF$1)</f>
        <v>0</v>
      </c>
      <c r="AG99" s="144">
        <f>SUMIFS('февраль 2024'!$G$4:$G$1413,'февраль 2024'!$D$4:$D$1413,$B99,'февраль 2024'!$J$4:$J$1413,AG$1)</f>
        <v>0</v>
      </c>
      <c r="AH99" s="144">
        <f>SUMIFS('февраль 2024'!$G$4:$G$1413,'февраль 2024'!$D$4:$D$1413,$B99,'февраль 2024'!$J$4:$J$1413,AH$1)</f>
        <v>0</v>
      </c>
      <c r="AI99" s="21">
        <f t="shared" si="1"/>
        <v>0</v>
      </c>
    </row>
    <row r="100" spans="2:35" ht="15" customHeight="1" x14ac:dyDescent="0.25">
      <c r="B100" s="89" t="s">
        <v>223</v>
      </c>
      <c r="C100" s="88">
        <v>25</v>
      </c>
      <c r="D100" s="144">
        <f>SUMIFS('февраль 2024'!$G$4:$G$1413,'февраль 2024'!$D$4:$D$1413,$B100,'февраль 2024'!$J$4:$J$1413,D$1)</f>
        <v>0</v>
      </c>
      <c r="E100" s="144">
        <f>SUMIFS('февраль 2024'!$G$4:$G$1413,'февраль 2024'!$D$4:$D$1413,$B100,'февраль 2024'!$J$4:$J$1413,E$1)</f>
        <v>0</v>
      </c>
      <c r="F100" s="144">
        <f>SUMIFS('февраль 2024'!$G$4:$G$1413,'февраль 2024'!$D$4:$D$1413,$B100,'февраль 2024'!$J$4:$J$1413,F$1)</f>
        <v>0</v>
      </c>
      <c r="G100" s="144">
        <f>SUMIFS('февраль 2024'!$G$4:$G$1413,'февраль 2024'!$D$4:$D$1413,$B100,'февраль 2024'!$J$4:$J$1413,G$1)</f>
        <v>0</v>
      </c>
      <c r="H100" s="144">
        <f>SUMIFS('февраль 2024'!$G$4:$G$1413,'февраль 2024'!$D$4:$D$1413,$B100,'февраль 2024'!$J$4:$J$1413,H$1)</f>
        <v>0</v>
      </c>
      <c r="I100" s="144">
        <f>SUMIFS('февраль 2024'!$G$4:$G$1413,'февраль 2024'!$D$4:$D$1413,$B100,'февраль 2024'!$J$4:$J$1413,I$1)</f>
        <v>0</v>
      </c>
      <c r="J100" s="144">
        <f>SUMIFS('февраль 2024'!$G$4:$G$1413,'февраль 2024'!$D$4:$D$1413,$B100,'февраль 2024'!$J$4:$J$1413,J$1)</f>
        <v>0</v>
      </c>
      <c r="K100" s="144">
        <f>SUMIFS('февраль 2024'!$G$4:$G$1413,'февраль 2024'!$D$4:$D$1413,$B100,'февраль 2024'!$J$4:$J$1413,K$1)</f>
        <v>0</v>
      </c>
      <c r="L100" s="144">
        <f>SUMIFS('февраль 2024'!$G$4:$G$1413,'февраль 2024'!$D$4:$D$1413,$B100,'февраль 2024'!$J$4:$J$1413,L$1)</f>
        <v>0</v>
      </c>
      <c r="M100" s="144">
        <f>SUMIFS('февраль 2024'!$G$4:$G$1413,'февраль 2024'!$D$4:$D$1413,$B100,'февраль 2024'!$J$4:$J$1413,M$1)</f>
        <v>0</v>
      </c>
      <c r="N100" s="144">
        <f>SUMIFS('февраль 2024'!$G$4:$G$1413,'февраль 2024'!$D$4:$D$1413,$B100,'февраль 2024'!$J$4:$J$1413,N$1)</f>
        <v>0</v>
      </c>
      <c r="O100" s="144">
        <f>SUMIFS('февраль 2024'!$G$4:$G$1413,'февраль 2024'!$D$4:$D$1413,$B100,'февраль 2024'!$J$4:$J$1413,O$1)</f>
        <v>0</v>
      </c>
      <c r="P100" s="144">
        <f>SUMIFS('февраль 2024'!$G$4:$G$1413,'февраль 2024'!$D$4:$D$1413,$B100,'февраль 2024'!$J$4:$J$1413,P$1)</f>
        <v>0</v>
      </c>
      <c r="Q100" s="144">
        <f>SUMIFS('февраль 2024'!$G$4:$G$1413,'февраль 2024'!$D$4:$D$1413,$B100,'февраль 2024'!$J$4:$J$1413,Q$1)</f>
        <v>0</v>
      </c>
      <c r="R100" s="144">
        <f>SUMIFS('февраль 2024'!$G$4:$G$1413,'февраль 2024'!$D$4:$D$1413,$B100,'февраль 2024'!$J$4:$J$1413,R$1)</f>
        <v>0</v>
      </c>
      <c r="S100" s="144">
        <f>SUMIFS('февраль 2024'!$G$4:$G$1413,'февраль 2024'!$D$4:$D$1413,$B100,'февраль 2024'!$J$4:$J$1413,S$1)</f>
        <v>0</v>
      </c>
      <c r="T100" s="144">
        <f>SUMIFS('февраль 2024'!$G$4:$G$1413,'февраль 2024'!$D$4:$D$1413,$B100,'февраль 2024'!$J$4:$J$1413,T$1)</f>
        <v>0</v>
      </c>
      <c r="U100" s="144">
        <f>SUMIFS('февраль 2024'!$G$4:$G$1413,'февраль 2024'!$D$4:$D$1413,$B100,'февраль 2024'!$J$4:$J$1413,U$1)</f>
        <v>0</v>
      </c>
      <c r="V100" s="144">
        <f>SUMIFS('февраль 2024'!$G$4:$G$1413,'февраль 2024'!$D$4:$D$1413,$B100,'февраль 2024'!$J$4:$J$1413,V$1)</f>
        <v>0</v>
      </c>
      <c r="W100" s="144">
        <f>SUMIFS('февраль 2024'!$G$4:$G$1413,'февраль 2024'!$D$4:$D$1413,$B100,'февраль 2024'!$J$4:$J$1413,W$1)</f>
        <v>0</v>
      </c>
      <c r="X100" s="144">
        <f>SUMIFS('февраль 2024'!$G$4:$G$1413,'февраль 2024'!$D$4:$D$1413,$B100,'февраль 2024'!$J$4:$J$1413,X$1)</f>
        <v>0</v>
      </c>
      <c r="Y100" s="144">
        <f>SUMIFS('февраль 2024'!$G$4:$G$1413,'февраль 2024'!$D$4:$D$1413,$B100,'февраль 2024'!$J$4:$J$1413,Y$1)</f>
        <v>0</v>
      </c>
      <c r="Z100" s="144">
        <f>SUMIFS('февраль 2024'!$G$4:$G$1413,'февраль 2024'!$D$4:$D$1413,$B100,'февраль 2024'!$J$4:$J$1413,Z$1)</f>
        <v>0</v>
      </c>
      <c r="AA100" s="144">
        <f>SUMIFS('февраль 2024'!$G$4:$G$1413,'февраль 2024'!$D$4:$D$1413,$B100,'февраль 2024'!$J$4:$J$1413,AA$1)</f>
        <v>0</v>
      </c>
      <c r="AB100" s="144">
        <f>SUMIFS('февраль 2024'!$G$4:$G$1413,'февраль 2024'!$D$4:$D$1413,$B100,'февраль 2024'!$J$4:$J$1413,AB$1)</f>
        <v>0</v>
      </c>
      <c r="AC100" s="144">
        <f>SUMIFS('февраль 2024'!$G$4:$G$1413,'февраль 2024'!$D$4:$D$1413,$B100,'февраль 2024'!$J$4:$J$1413,AC$1)</f>
        <v>0</v>
      </c>
      <c r="AD100" s="144">
        <f>SUMIFS('февраль 2024'!$G$4:$G$1413,'февраль 2024'!$D$4:$D$1413,$B100,'февраль 2024'!$J$4:$J$1413,AD$1)</f>
        <v>0</v>
      </c>
      <c r="AE100" s="144">
        <f>SUMIFS('февраль 2024'!$G$4:$G$1413,'февраль 2024'!$D$4:$D$1413,$B100,'февраль 2024'!$J$4:$J$1413,AE$1)</f>
        <v>0</v>
      </c>
      <c r="AF100" s="144">
        <f>SUMIFS('февраль 2024'!$G$4:$G$1413,'февраль 2024'!$D$4:$D$1413,$B100,'февраль 2024'!$J$4:$J$1413,AF$1)</f>
        <v>0</v>
      </c>
      <c r="AG100" s="144">
        <f>SUMIFS('февраль 2024'!$G$4:$G$1413,'февраль 2024'!$D$4:$D$1413,$B100,'февраль 2024'!$J$4:$J$1413,AG$1)</f>
        <v>0</v>
      </c>
      <c r="AH100" s="144">
        <f>SUMIFS('февраль 2024'!$G$4:$G$1413,'февраль 2024'!$D$4:$D$1413,$B100,'февраль 2024'!$J$4:$J$1413,AH$1)</f>
        <v>0</v>
      </c>
      <c r="AI100" s="21">
        <f t="shared" si="1"/>
        <v>0</v>
      </c>
    </row>
    <row r="101" spans="2:35" ht="15" customHeight="1" x14ac:dyDescent="0.25">
      <c r="B101" s="93" t="s">
        <v>328</v>
      </c>
      <c r="C101" s="91">
        <v>50</v>
      </c>
      <c r="D101" s="144">
        <f>SUMIFS('февраль 2024'!$G$4:$G$1413,'февраль 2024'!$D$4:$D$1413,$B101,'февраль 2024'!$J$4:$J$1413,D$1)</f>
        <v>0</v>
      </c>
      <c r="E101" s="144">
        <f>SUMIFS('февраль 2024'!$G$4:$G$1413,'февраль 2024'!$D$4:$D$1413,$B101,'февраль 2024'!$J$4:$J$1413,E$1)</f>
        <v>0</v>
      </c>
      <c r="F101" s="144">
        <f>SUMIFS('февраль 2024'!$G$4:$G$1413,'февраль 2024'!$D$4:$D$1413,$B101,'февраль 2024'!$J$4:$J$1413,F$1)</f>
        <v>0</v>
      </c>
      <c r="G101" s="144">
        <f>SUMIFS('февраль 2024'!$G$4:$G$1413,'февраль 2024'!$D$4:$D$1413,$B101,'февраль 2024'!$J$4:$J$1413,G$1)</f>
        <v>0</v>
      </c>
      <c r="H101" s="144">
        <f>SUMIFS('февраль 2024'!$G$4:$G$1413,'февраль 2024'!$D$4:$D$1413,$B101,'февраль 2024'!$J$4:$J$1413,H$1)</f>
        <v>0</v>
      </c>
      <c r="I101" s="144">
        <f>SUMIFS('февраль 2024'!$G$4:$G$1413,'февраль 2024'!$D$4:$D$1413,$B101,'февраль 2024'!$J$4:$J$1413,I$1)</f>
        <v>0</v>
      </c>
      <c r="J101" s="144">
        <f>SUMIFS('февраль 2024'!$G$4:$G$1413,'февраль 2024'!$D$4:$D$1413,$B101,'февраль 2024'!$J$4:$J$1413,J$1)</f>
        <v>0</v>
      </c>
      <c r="K101" s="144">
        <f>SUMIFS('февраль 2024'!$G$4:$G$1413,'февраль 2024'!$D$4:$D$1413,$B101,'февраль 2024'!$J$4:$J$1413,K$1)</f>
        <v>0</v>
      </c>
      <c r="L101" s="144">
        <f>SUMIFS('февраль 2024'!$G$4:$G$1413,'февраль 2024'!$D$4:$D$1413,$B101,'февраль 2024'!$J$4:$J$1413,L$1)</f>
        <v>0</v>
      </c>
      <c r="M101" s="144">
        <f>SUMIFS('февраль 2024'!$G$4:$G$1413,'февраль 2024'!$D$4:$D$1413,$B101,'февраль 2024'!$J$4:$J$1413,M$1)</f>
        <v>0</v>
      </c>
      <c r="N101" s="144">
        <f>SUMIFS('февраль 2024'!$G$4:$G$1413,'февраль 2024'!$D$4:$D$1413,$B101,'февраль 2024'!$J$4:$J$1413,N$1)</f>
        <v>0</v>
      </c>
      <c r="O101" s="144">
        <f>SUMIFS('февраль 2024'!$G$4:$G$1413,'февраль 2024'!$D$4:$D$1413,$B101,'февраль 2024'!$J$4:$J$1413,O$1)</f>
        <v>0</v>
      </c>
      <c r="P101" s="144">
        <f>SUMIFS('февраль 2024'!$G$4:$G$1413,'февраль 2024'!$D$4:$D$1413,$B101,'февраль 2024'!$J$4:$J$1413,P$1)</f>
        <v>0</v>
      </c>
      <c r="Q101" s="144">
        <f>SUMIFS('февраль 2024'!$G$4:$G$1413,'февраль 2024'!$D$4:$D$1413,$B101,'февраль 2024'!$J$4:$J$1413,Q$1)</f>
        <v>0</v>
      </c>
      <c r="R101" s="144">
        <f>SUMIFS('февраль 2024'!$G$4:$G$1413,'февраль 2024'!$D$4:$D$1413,$B101,'февраль 2024'!$J$4:$J$1413,R$1)</f>
        <v>0</v>
      </c>
      <c r="S101" s="144">
        <f>SUMIFS('февраль 2024'!$G$4:$G$1413,'февраль 2024'!$D$4:$D$1413,$B101,'февраль 2024'!$J$4:$J$1413,S$1)</f>
        <v>0</v>
      </c>
      <c r="T101" s="144">
        <f>SUMIFS('февраль 2024'!$G$4:$G$1413,'февраль 2024'!$D$4:$D$1413,$B101,'февраль 2024'!$J$4:$J$1413,T$1)</f>
        <v>0</v>
      </c>
      <c r="U101" s="144">
        <f>SUMIFS('февраль 2024'!$G$4:$G$1413,'февраль 2024'!$D$4:$D$1413,$B101,'февраль 2024'!$J$4:$J$1413,U$1)</f>
        <v>0</v>
      </c>
      <c r="V101" s="144">
        <f>SUMIFS('февраль 2024'!$G$4:$G$1413,'февраль 2024'!$D$4:$D$1413,$B101,'февраль 2024'!$J$4:$J$1413,V$1)</f>
        <v>0</v>
      </c>
      <c r="W101" s="144">
        <f>SUMIFS('февраль 2024'!$G$4:$G$1413,'февраль 2024'!$D$4:$D$1413,$B101,'февраль 2024'!$J$4:$J$1413,W$1)</f>
        <v>0</v>
      </c>
      <c r="X101" s="144">
        <f>SUMIFS('февраль 2024'!$G$4:$G$1413,'февраль 2024'!$D$4:$D$1413,$B101,'февраль 2024'!$J$4:$J$1413,X$1)</f>
        <v>0</v>
      </c>
      <c r="Y101" s="144">
        <f>SUMIFS('февраль 2024'!$G$4:$G$1413,'февраль 2024'!$D$4:$D$1413,$B101,'февраль 2024'!$J$4:$J$1413,Y$1)</f>
        <v>0</v>
      </c>
      <c r="Z101" s="144">
        <f>SUMIFS('февраль 2024'!$G$4:$G$1413,'февраль 2024'!$D$4:$D$1413,$B101,'февраль 2024'!$J$4:$J$1413,Z$1)</f>
        <v>0</v>
      </c>
      <c r="AA101" s="144">
        <f>SUMIFS('февраль 2024'!$G$4:$G$1413,'февраль 2024'!$D$4:$D$1413,$B101,'февраль 2024'!$J$4:$J$1413,AA$1)</f>
        <v>0</v>
      </c>
      <c r="AB101" s="144">
        <f>SUMIFS('февраль 2024'!$G$4:$G$1413,'февраль 2024'!$D$4:$D$1413,$B101,'февраль 2024'!$J$4:$J$1413,AB$1)</f>
        <v>0</v>
      </c>
      <c r="AC101" s="144">
        <f>SUMIFS('февраль 2024'!$G$4:$G$1413,'февраль 2024'!$D$4:$D$1413,$B101,'февраль 2024'!$J$4:$J$1413,AC$1)</f>
        <v>0</v>
      </c>
      <c r="AD101" s="144">
        <f>SUMIFS('февраль 2024'!$G$4:$G$1413,'февраль 2024'!$D$4:$D$1413,$B101,'февраль 2024'!$J$4:$J$1413,AD$1)</f>
        <v>0</v>
      </c>
      <c r="AE101" s="144">
        <f>SUMIFS('февраль 2024'!$G$4:$G$1413,'февраль 2024'!$D$4:$D$1413,$B101,'февраль 2024'!$J$4:$J$1413,AE$1)</f>
        <v>0</v>
      </c>
      <c r="AF101" s="144">
        <f>SUMIFS('февраль 2024'!$G$4:$G$1413,'февраль 2024'!$D$4:$D$1413,$B101,'февраль 2024'!$J$4:$J$1413,AF$1)</f>
        <v>0</v>
      </c>
      <c r="AG101" s="144">
        <f>SUMIFS('февраль 2024'!$G$4:$G$1413,'февраль 2024'!$D$4:$D$1413,$B101,'февраль 2024'!$J$4:$J$1413,AG$1)</f>
        <v>0</v>
      </c>
      <c r="AH101" s="144">
        <f>SUMIFS('февраль 2024'!$G$4:$G$1413,'февраль 2024'!$D$4:$D$1413,$B101,'февраль 2024'!$J$4:$J$1413,AH$1)</f>
        <v>0</v>
      </c>
      <c r="AI101" s="21">
        <f t="shared" si="1"/>
        <v>0</v>
      </c>
    </row>
    <row r="102" spans="2:35" ht="15" customHeight="1" x14ac:dyDescent="0.25">
      <c r="B102" s="93" t="s">
        <v>195</v>
      </c>
      <c r="C102" s="91">
        <v>180</v>
      </c>
      <c r="D102" s="144">
        <f>SUMIFS('февраль 2024'!$G$4:$G$1413,'февраль 2024'!$D$4:$D$1413,$B102,'февраль 2024'!$J$4:$J$1413,D$1)</f>
        <v>0</v>
      </c>
      <c r="E102" s="144">
        <f>SUMIFS('февраль 2024'!$G$4:$G$1413,'февраль 2024'!$D$4:$D$1413,$B102,'февраль 2024'!$J$4:$J$1413,E$1)</f>
        <v>0</v>
      </c>
      <c r="F102" s="144">
        <f>SUMIFS('февраль 2024'!$G$4:$G$1413,'февраль 2024'!$D$4:$D$1413,$B102,'февраль 2024'!$J$4:$J$1413,F$1)</f>
        <v>0</v>
      </c>
      <c r="G102" s="144">
        <f>SUMIFS('февраль 2024'!$G$4:$G$1413,'февраль 2024'!$D$4:$D$1413,$B102,'февраль 2024'!$J$4:$J$1413,G$1)</f>
        <v>0</v>
      </c>
      <c r="H102" s="144">
        <f>SUMIFS('февраль 2024'!$G$4:$G$1413,'февраль 2024'!$D$4:$D$1413,$B102,'февраль 2024'!$J$4:$J$1413,H$1)</f>
        <v>0</v>
      </c>
      <c r="I102" s="144">
        <f>SUMIFS('февраль 2024'!$G$4:$G$1413,'февраль 2024'!$D$4:$D$1413,$B102,'февраль 2024'!$J$4:$J$1413,I$1)</f>
        <v>0</v>
      </c>
      <c r="J102" s="144">
        <f>SUMIFS('февраль 2024'!$G$4:$G$1413,'февраль 2024'!$D$4:$D$1413,$B102,'февраль 2024'!$J$4:$J$1413,J$1)</f>
        <v>0</v>
      </c>
      <c r="K102" s="144">
        <f>SUMIFS('февраль 2024'!$G$4:$G$1413,'февраль 2024'!$D$4:$D$1413,$B102,'февраль 2024'!$J$4:$J$1413,K$1)</f>
        <v>0</v>
      </c>
      <c r="L102" s="144">
        <f>SUMIFS('февраль 2024'!$G$4:$G$1413,'февраль 2024'!$D$4:$D$1413,$B102,'февраль 2024'!$J$4:$J$1413,L$1)</f>
        <v>0</v>
      </c>
      <c r="M102" s="144">
        <f>SUMIFS('февраль 2024'!$G$4:$G$1413,'февраль 2024'!$D$4:$D$1413,$B102,'февраль 2024'!$J$4:$J$1413,M$1)</f>
        <v>0</v>
      </c>
      <c r="N102" s="144">
        <f>SUMIFS('февраль 2024'!$G$4:$G$1413,'февраль 2024'!$D$4:$D$1413,$B102,'февраль 2024'!$J$4:$J$1413,N$1)</f>
        <v>0</v>
      </c>
      <c r="O102" s="144">
        <f>SUMIFS('февраль 2024'!$G$4:$G$1413,'февраль 2024'!$D$4:$D$1413,$B102,'февраль 2024'!$J$4:$J$1413,O$1)</f>
        <v>0</v>
      </c>
      <c r="P102" s="144">
        <f>SUMIFS('февраль 2024'!$G$4:$G$1413,'февраль 2024'!$D$4:$D$1413,$B102,'февраль 2024'!$J$4:$J$1413,P$1)</f>
        <v>0</v>
      </c>
      <c r="Q102" s="144">
        <f>SUMIFS('февраль 2024'!$G$4:$G$1413,'февраль 2024'!$D$4:$D$1413,$B102,'февраль 2024'!$J$4:$J$1413,Q$1)</f>
        <v>0</v>
      </c>
      <c r="R102" s="144">
        <f>SUMIFS('февраль 2024'!$G$4:$G$1413,'февраль 2024'!$D$4:$D$1413,$B102,'февраль 2024'!$J$4:$J$1413,R$1)</f>
        <v>0</v>
      </c>
      <c r="S102" s="144">
        <f>SUMIFS('февраль 2024'!$G$4:$G$1413,'февраль 2024'!$D$4:$D$1413,$B102,'февраль 2024'!$J$4:$J$1413,S$1)</f>
        <v>0</v>
      </c>
      <c r="T102" s="144">
        <f>SUMIFS('февраль 2024'!$G$4:$G$1413,'февраль 2024'!$D$4:$D$1413,$B102,'февраль 2024'!$J$4:$J$1413,T$1)</f>
        <v>0</v>
      </c>
      <c r="U102" s="144">
        <f>SUMIFS('февраль 2024'!$G$4:$G$1413,'февраль 2024'!$D$4:$D$1413,$B102,'февраль 2024'!$J$4:$J$1413,U$1)</f>
        <v>0</v>
      </c>
      <c r="V102" s="144">
        <f>SUMIFS('февраль 2024'!$G$4:$G$1413,'февраль 2024'!$D$4:$D$1413,$B102,'февраль 2024'!$J$4:$J$1413,V$1)</f>
        <v>0</v>
      </c>
      <c r="W102" s="144">
        <f>SUMIFS('февраль 2024'!$G$4:$G$1413,'февраль 2024'!$D$4:$D$1413,$B102,'февраль 2024'!$J$4:$J$1413,W$1)</f>
        <v>0</v>
      </c>
      <c r="X102" s="144">
        <f>SUMIFS('февраль 2024'!$G$4:$G$1413,'февраль 2024'!$D$4:$D$1413,$B102,'февраль 2024'!$J$4:$J$1413,X$1)</f>
        <v>0</v>
      </c>
      <c r="Y102" s="144">
        <f>SUMIFS('февраль 2024'!$G$4:$G$1413,'февраль 2024'!$D$4:$D$1413,$B102,'февраль 2024'!$J$4:$J$1413,Y$1)</f>
        <v>0</v>
      </c>
      <c r="Z102" s="144">
        <f>SUMIFS('февраль 2024'!$G$4:$G$1413,'февраль 2024'!$D$4:$D$1413,$B102,'февраль 2024'!$J$4:$J$1413,Z$1)</f>
        <v>0</v>
      </c>
      <c r="AA102" s="144">
        <f>SUMIFS('февраль 2024'!$G$4:$G$1413,'февраль 2024'!$D$4:$D$1413,$B102,'февраль 2024'!$J$4:$J$1413,AA$1)</f>
        <v>0</v>
      </c>
      <c r="AB102" s="144">
        <f>SUMIFS('февраль 2024'!$G$4:$G$1413,'февраль 2024'!$D$4:$D$1413,$B102,'февраль 2024'!$J$4:$J$1413,AB$1)</f>
        <v>0</v>
      </c>
      <c r="AC102" s="144">
        <f>SUMIFS('февраль 2024'!$G$4:$G$1413,'февраль 2024'!$D$4:$D$1413,$B102,'февраль 2024'!$J$4:$J$1413,AC$1)</f>
        <v>0</v>
      </c>
      <c r="AD102" s="144">
        <f>SUMIFS('февраль 2024'!$G$4:$G$1413,'февраль 2024'!$D$4:$D$1413,$B102,'февраль 2024'!$J$4:$J$1413,AD$1)</f>
        <v>0</v>
      </c>
      <c r="AE102" s="144">
        <f>SUMIFS('февраль 2024'!$G$4:$G$1413,'февраль 2024'!$D$4:$D$1413,$B102,'февраль 2024'!$J$4:$J$1413,AE$1)</f>
        <v>0</v>
      </c>
      <c r="AF102" s="144">
        <f>SUMIFS('февраль 2024'!$G$4:$G$1413,'февраль 2024'!$D$4:$D$1413,$B102,'февраль 2024'!$J$4:$J$1413,AF$1)</f>
        <v>0</v>
      </c>
      <c r="AG102" s="144">
        <f>SUMIFS('февраль 2024'!$G$4:$G$1413,'февраль 2024'!$D$4:$D$1413,$B102,'февраль 2024'!$J$4:$J$1413,AG$1)</f>
        <v>0</v>
      </c>
      <c r="AH102" s="144">
        <f>SUMIFS('февраль 2024'!$G$4:$G$1413,'февраль 2024'!$D$4:$D$1413,$B102,'февраль 2024'!$J$4:$J$1413,AH$1)</f>
        <v>0</v>
      </c>
      <c r="AI102" s="21">
        <f t="shared" si="1"/>
        <v>0</v>
      </c>
    </row>
    <row r="103" spans="2:35" ht="15" customHeight="1" x14ac:dyDescent="0.25">
      <c r="B103" s="93" t="s">
        <v>214</v>
      </c>
      <c r="C103" s="91">
        <v>185</v>
      </c>
      <c r="D103" s="144">
        <f>SUMIFS('февраль 2024'!$G$4:$G$1413,'февраль 2024'!$D$4:$D$1413,$B103,'февраль 2024'!$J$4:$J$1413,D$1)</f>
        <v>0</v>
      </c>
      <c r="E103" s="144">
        <f>SUMIFS('февраль 2024'!$G$4:$G$1413,'февраль 2024'!$D$4:$D$1413,$B103,'февраль 2024'!$J$4:$J$1413,E$1)</f>
        <v>0</v>
      </c>
      <c r="F103" s="144">
        <f>SUMIFS('февраль 2024'!$G$4:$G$1413,'февраль 2024'!$D$4:$D$1413,$B103,'февраль 2024'!$J$4:$J$1413,F$1)</f>
        <v>0</v>
      </c>
      <c r="G103" s="144">
        <f>SUMIFS('февраль 2024'!$G$4:$G$1413,'февраль 2024'!$D$4:$D$1413,$B103,'февраль 2024'!$J$4:$J$1413,G$1)</f>
        <v>0</v>
      </c>
      <c r="H103" s="144">
        <f>SUMIFS('февраль 2024'!$G$4:$G$1413,'февраль 2024'!$D$4:$D$1413,$B103,'февраль 2024'!$J$4:$J$1413,H$1)</f>
        <v>0</v>
      </c>
      <c r="I103" s="144">
        <f>SUMIFS('февраль 2024'!$G$4:$G$1413,'февраль 2024'!$D$4:$D$1413,$B103,'февраль 2024'!$J$4:$J$1413,I$1)</f>
        <v>0</v>
      </c>
      <c r="J103" s="144">
        <f>SUMIFS('февраль 2024'!$G$4:$G$1413,'февраль 2024'!$D$4:$D$1413,$B103,'февраль 2024'!$J$4:$J$1413,J$1)</f>
        <v>0</v>
      </c>
      <c r="K103" s="144">
        <f>SUMIFS('февраль 2024'!$G$4:$G$1413,'февраль 2024'!$D$4:$D$1413,$B103,'февраль 2024'!$J$4:$J$1413,K$1)</f>
        <v>0</v>
      </c>
      <c r="L103" s="144">
        <f>SUMIFS('февраль 2024'!$G$4:$G$1413,'февраль 2024'!$D$4:$D$1413,$B103,'февраль 2024'!$J$4:$J$1413,L$1)</f>
        <v>0</v>
      </c>
      <c r="M103" s="144">
        <f>SUMIFS('февраль 2024'!$G$4:$G$1413,'февраль 2024'!$D$4:$D$1413,$B103,'февраль 2024'!$J$4:$J$1413,M$1)</f>
        <v>0</v>
      </c>
      <c r="N103" s="144">
        <f>SUMIFS('февраль 2024'!$G$4:$G$1413,'февраль 2024'!$D$4:$D$1413,$B103,'февраль 2024'!$J$4:$J$1413,N$1)</f>
        <v>0</v>
      </c>
      <c r="O103" s="144">
        <f>SUMIFS('февраль 2024'!$G$4:$G$1413,'февраль 2024'!$D$4:$D$1413,$B103,'февраль 2024'!$J$4:$J$1413,O$1)</f>
        <v>0</v>
      </c>
      <c r="P103" s="144">
        <f>SUMIFS('февраль 2024'!$G$4:$G$1413,'февраль 2024'!$D$4:$D$1413,$B103,'февраль 2024'!$J$4:$J$1413,P$1)</f>
        <v>0</v>
      </c>
      <c r="Q103" s="144">
        <f>SUMIFS('февраль 2024'!$G$4:$G$1413,'февраль 2024'!$D$4:$D$1413,$B103,'февраль 2024'!$J$4:$J$1413,Q$1)</f>
        <v>0</v>
      </c>
      <c r="R103" s="144">
        <f>SUMIFS('февраль 2024'!$G$4:$G$1413,'февраль 2024'!$D$4:$D$1413,$B103,'февраль 2024'!$J$4:$J$1413,R$1)</f>
        <v>0</v>
      </c>
      <c r="S103" s="144">
        <f>SUMIFS('февраль 2024'!$G$4:$G$1413,'февраль 2024'!$D$4:$D$1413,$B103,'февраль 2024'!$J$4:$J$1413,S$1)</f>
        <v>0</v>
      </c>
      <c r="T103" s="144">
        <f>SUMIFS('февраль 2024'!$G$4:$G$1413,'февраль 2024'!$D$4:$D$1413,$B103,'февраль 2024'!$J$4:$J$1413,T$1)</f>
        <v>0</v>
      </c>
      <c r="U103" s="144">
        <f>SUMIFS('февраль 2024'!$G$4:$G$1413,'февраль 2024'!$D$4:$D$1413,$B103,'февраль 2024'!$J$4:$J$1413,U$1)</f>
        <v>0</v>
      </c>
      <c r="V103" s="144">
        <f>SUMIFS('февраль 2024'!$G$4:$G$1413,'февраль 2024'!$D$4:$D$1413,$B103,'февраль 2024'!$J$4:$J$1413,V$1)</f>
        <v>0</v>
      </c>
      <c r="W103" s="144">
        <f>SUMIFS('февраль 2024'!$G$4:$G$1413,'февраль 2024'!$D$4:$D$1413,$B103,'февраль 2024'!$J$4:$J$1413,W$1)</f>
        <v>0</v>
      </c>
      <c r="X103" s="144">
        <f>SUMIFS('февраль 2024'!$G$4:$G$1413,'февраль 2024'!$D$4:$D$1413,$B103,'февраль 2024'!$J$4:$J$1413,X$1)</f>
        <v>0</v>
      </c>
      <c r="Y103" s="144">
        <f>SUMIFS('февраль 2024'!$G$4:$G$1413,'февраль 2024'!$D$4:$D$1413,$B103,'февраль 2024'!$J$4:$J$1413,Y$1)</f>
        <v>0</v>
      </c>
      <c r="Z103" s="144">
        <f>SUMIFS('февраль 2024'!$G$4:$G$1413,'февраль 2024'!$D$4:$D$1413,$B103,'февраль 2024'!$J$4:$J$1413,Z$1)</f>
        <v>0</v>
      </c>
      <c r="AA103" s="144">
        <f>SUMIFS('февраль 2024'!$G$4:$G$1413,'февраль 2024'!$D$4:$D$1413,$B103,'февраль 2024'!$J$4:$J$1413,AA$1)</f>
        <v>0</v>
      </c>
      <c r="AB103" s="144">
        <f>SUMIFS('февраль 2024'!$G$4:$G$1413,'февраль 2024'!$D$4:$D$1413,$B103,'февраль 2024'!$J$4:$J$1413,AB$1)</f>
        <v>0</v>
      </c>
      <c r="AC103" s="144">
        <f>SUMIFS('февраль 2024'!$G$4:$G$1413,'февраль 2024'!$D$4:$D$1413,$B103,'февраль 2024'!$J$4:$J$1413,AC$1)</f>
        <v>0</v>
      </c>
      <c r="AD103" s="144">
        <f>SUMIFS('февраль 2024'!$G$4:$G$1413,'февраль 2024'!$D$4:$D$1413,$B103,'февраль 2024'!$J$4:$J$1413,AD$1)</f>
        <v>0</v>
      </c>
      <c r="AE103" s="144">
        <f>SUMIFS('февраль 2024'!$G$4:$G$1413,'февраль 2024'!$D$4:$D$1413,$B103,'февраль 2024'!$J$4:$J$1413,AE$1)</f>
        <v>0</v>
      </c>
      <c r="AF103" s="144">
        <f>SUMIFS('февраль 2024'!$G$4:$G$1413,'февраль 2024'!$D$4:$D$1413,$B103,'февраль 2024'!$J$4:$J$1413,AF$1)</f>
        <v>0</v>
      </c>
      <c r="AG103" s="144">
        <f>SUMIFS('февраль 2024'!$G$4:$G$1413,'февраль 2024'!$D$4:$D$1413,$B103,'февраль 2024'!$J$4:$J$1413,AG$1)</f>
        <v>0</v>
      </c>
      <c r="AH103" s="144">
        <f>SUMIFS('февраль 2024'!$G$4:$G$1413,'февраль 2024'!$D$4:$D$1413,$B103,'февраль 2024'!$J$4:$J$1413,AH$1)</f>
        <v>0</v>
      </c>
      <c r="AI103" s="21">
        <f t="shared" si="1"/>
        <v>0</v>
      </c>
    </row>
    <row r="104" spans="2:35" ht="15" customHeight="1" x14ac:dyDescent="0.25">
      <c r="B104" s="93" t="s">
        <v>329</v>
      </c>
      <c r="C104" s="91">
        <v>180</v>
      </c>
      <c r="D104" s="144">
        <f>SUMIFS('февраль 2024'!$G$4:$G$1413,'февраль 2024'!$D$4:$D$1413,$B104,'февраль 2024'!$J$4:$J$1413,D$1)</f>
        <v>0</v>
      </c>
      <c r="E104" s="144">
        <f>SUMIFS('февраль 2024'!$G$4:$G$1413,'февраль 2024'!$D$4:$D$1413,$B104,'февраль 2024'!$J$4:$J$1413,E$1)</f>
        <v>0</v>
      </c>
      <c r="F104" s="144">
        <f>SUMIFS('февраль 2024'!$G$4:$G$1413,'февраль 2024'!$D$4:$D$1413,$B104,'февраль 2024'!$J$4:$J$1413,F$1)</f>
        <v>0</v>
      </c>
      <c r="G104" s="144">
        <f>SUMIFS('февраль 2024'!$G$4:$G$1413,'февраль 2024'!$D$4:$D$1413,$B104,'февраль 2024'!$J$4:$J$1413,G$1)</f>
        <v>0</v>
      </c>
      <c r="H104" s="144">
        <f>SUMIFS('февраль 2024'!$G$4:$G$1413,'февраль 2024'!$D$4:$D$1413,$B104,'февраль 2024'!$J$4:$J$1413,H$1)</f>
        <v>0</v>
      </c>
      <c r="I104" s="144">
        <f>SUMIFS('февраль 2024'!$G$4:$G$1413,'февраль 2024'!$D$4:$D$1413,$B104,'февраль 2024'!$J$4:$J$1413,I$1)</f>
        <v>0</v>
      </c>
      <c r="J104" s="144">
        <f>SUMIFS('февраль 2024'!$G$4:$G$1413,'февраль 2024'!$D$4:$D$1413,$B104,'февраль 2024'!$J$4:$J$1413,J$1)</f>
        <v>0</v>
      </c>
      <c r="K104" s="144">
        <f>SUMIFS('февраль 2024'!$G$4:$G$1413,'февраль 2024'!$D$4:$D$1413,$B104,'февраль 2024'!$J$4:$J$1413,K$1)</f>
        <v>0</v>
      </c>
      <c r="L104" s="144">
        <f>SUMIFS('февраль 2024'!$G$4:$G$1413,'февраль 2024'!$D$4:$D$1413,$B104,'февраль 2024'!$J$4:$J$1413,L$1)</f>
        <v>0</v>
      </c>
      <c r="M104" s="144">
        <f>SUMIFS('февраль 2024'!$G$4:$G$1413,'февраль 2024'!$D$4:$D$1413,$B104,'февраль 2024'!$J$4:$J$1413,M$1)</f>
        <v>0</v>
      </c>
      <c r="N104" s="144">
        <f>SUMIFS('февраль 2024'!$G$4:$G$1413,'февраль 2024'!$D$4:$D$1413,$B104,'февраль 2024'!$J$4:$J$1413,N$1)</f>
        <v>0</v>
      </c>
      <c r="O104" s="144">
        <f>SUMIFS('февраль 2024'!$G$4:$G$1413,'февраль 2024'!$D$4:$D$1413,$B104,'февраль 2024'!$J$4:$J$1413,O$1)</f>
        <v>0</v>
      </c>
      <c r="P104" s="144">
        <f>SUMIFS('февраль 2024'!$G$4:$G$1413,'февраль 2024'!$D$4:$D$1413,$B104,'февраль 2024'!$J$4:$J$1413,P$1)</f>
        <v>0</v>
      </c>
      <c r="Q104" s="144">
        <f>SUMIFS('февраль 2024'!$G$4:$G$1413,'февраль 2024'!$D$4:$D$1413,$B104,'февраль 2024'!$J$4:$J$1413,Q$1)</f>
        <v>0</v>
      </c>
      <c r="R104" s="144">
        <f>SUMIFS('февраль 2024'!$G$4:$G$1413,'февраль 2024'!$D$4:$D$1413,$B104,'февраль 2024'!$J$4:$J$1413,R$1)</f>
        <v>0</v>
      </c>
      <c r="S104" s="144">
        <f>SUMIFS('февраль 2024'!$G$4:$G$1413,'февраль 2024'!$D$4:$D$1413,$B104,'февраль 2024'!$J$4:$J$1413,S$1)</f>
        <v>0</v>
      </c>
      <c r="T104" s="144">
        <f>SUMIFS('февраль 2024'!$G$4:$G$1413,'февраль 2024'!$D$4:$D$1413,$B104,'февраль 2024'!$J$4:$J$1413,T$1)</f>
        <v>0</v>
      </c>
      <c r="U104" s="144">
        <f>SUMIFS('февраль 2024'!$G$4:$G$1413,'февраль 2024'!$D$4:$D$1413,$B104,'февраль 2024'!$J$4:$J$1413,U$1)</f>
        <v>0</v>
      </c>
      <c r="V104" s="144">
        <f>SUMIFS('февраль 2024'!$G$4:$G$1413,'февраль 2024'!$D$4:$D$1413,$B104,'февраль 2024'!$J$4:$J$1413,V$1)</f>
        <v>0</v>
      </c>
      <c r="W104" s="144">
        <f>SUMIFS('февраль 2024'!$G$4:$G$1413,'февраль 2024'!$D$4:$D$1413,$B104,'февраль 2024'!$J$4:$J$1413,W$1)</f>
        <v>0</v>
      </c>
      <c r="X104" s="144">
        <f>SUMIFS('февраль 2024'!$G$4:$G$1413,'февраль 2024'!$D$4:$D$1413,$B104,'февраль 2024'!$J$4:$J$1413,X$1)</f>
        <v>0</v>
      </c>
      <c r="Y104" s="144">
        <f>SUMIFS('февраль 2024'!$G$4:$G$1413,'февраль 2024'!$D$4:$D$1413,$B104,'февраль 2024'!$J$4:$J$1413,Y$1)</f>
        <v>0</v>
      </c>
      <c r="Z104" s="144">
        <f>SUMIFS('февраль 2024'!$G$4:$G$1413,'февраль 2024'!$D$4:$D$1413,$B104,'февраль 2024'!$J$4:$J$1413,Z$1)</f>
        <v>0</v>
      </c>
      <c r="AA104" s="144">
        <f>SUMIFS('февраль 2024'!$G$4:$G$1413,'февраль 2024'!$D$4:$D$1413,$B104,'февраль 2024'!$J$4:$J$1413,AA$1)</f>
        <v>0</v>
      </c>
      <c r="AB104" s="144">
        <f>SUMIFS('февраль 2024'!$G$4:$G$1413,'февраль 2024'!$D$4:$D$1413,$B104,'февраль 2024'!$J$4:$J$1413,AB$1)</f>
        <v>0</v>
      </c>
      <c r="AC104" s="144">
        <f>SUMIFS('февраль 2024'!$G$4:$G$1413,'февраль 2024'!$D$4:$D$1413,$B104,'февраль 2024'!$J$4:$J$1413,AC$1)</f>
        <v>0</v>
      </c>
      <c r="AD104" s="144">
        <f>SUMIFS('февраль 2024'!$G$4:$G$1413,'февраль 2024'!$D$4:$D$1413,$B104,'февраль 2024'!$J$4:$J$1413,AD$1)</f>
        <v>0</v>
      </c>
      <c r="AE104" s="144">
        <f>SUMIFS('февраль 2024'!$G$4:$G$1413,'февраль 2024'!$D$4:$D$1413,$B104,'февраль 2024'!$J$4:$J$1413,AE$1)</f>
        <v>0</v>
      </c>
      <c r="AF104" s="144">
        <f>SUMIFS('февраль 2024'!$G$4:$G$1413,'февраль 2024'!$D$4:$D$1413,$B104,'февраль 2024'!$J$4:$J$1413,AF$1)</f>
        <v>0</v>
      </c>
      <c r="AG104" s="144">
        <f>SUMIFS('февраль 2024'!$G$4:$G$1413,'февраль 2024'!$D$4:$D$1413,$B104,'февраль 2024'!$J$4:$J$1413,AG$1)</f>
        <v>0</v>
      </c>
      <c r="AH104" s="144">
        <f>SUMIFS('февраль 2024'!$G$4:$G$1413,'февраль 2024'!$D$4:$D$1413,$B104,'февраль 2024'!$J$4:$J$1413,AH$1)</f>
        <v>0</v>
      </c>
      <c r="AI104" s="21">
        <f t="shared" si="1"/>
        <v>0</v>
      </c>
    </row>
    <row r="105" spans="2:35" ht="15" customHeight="1" x14ac:dyDescent="0.25">
      <c r="B105" s="93" t="s">
        <v>344</v>
      </c>
      <c r="C105" s="91">
        <v>185</v>
      </c>
      <c r="D105" s="144">
        <f>SUMIFS('февраль 2024'!$G$4:$G$1413,'февраль 2024'!$D$4:$D$1413,$B105,'февраль 2024'!$J$4:$J$1413,D$1)</f>
        <v>0</v>
      </c>
      <c r="E105" s="144">
        <f>SUMIFS('февраль 2024'!$G$4:$G$1413,'февраль 2024'!$D$4:$D$1413,$B105,'февраль 2024'!$J$4:$J$1413,E$1)</f>
        <v>0</v>
      </c>
      <c r="F105" s="144">
        <f>SUMIFS('февраль 2024'!$G$4:$G$1413,'февраль 2024'!$D$4:$D$1413,$B105,'февраль 2024'!$J$4:$J$1413,F$1)</f>
        <v>0</v>
      </c>
      <c r="G105" s="144">
        <f>SUMIFS('февраль 2024'!$G$4:$G$1413,'февраль 2024'!$D$4:$D$1413,$B105,'февраль 2024'!$J$4:$J$1413,G$1)</f>
        <v>0</v>
      </c>
      <c r="H105" s="144">
        <f>SUMIFS('февраль 2024'!$G$4:$G$1413,'февраль 2024'!$D$4:$D$1413,$B105,'февраль 2024'!$J$4:$J$1413,H$1)</f>
        <v>0</v>
      </c>
      <c r="I105" s="144">
        <f>SUMIFS('февраль 2024'!$G$4:$G$1413,'февраль 2024'!$D$4:$D$1413,$B105,'февраль 2024'!$J$4:$J$1413,I$1)</f>
        <v>0</v>
      </c>
      <c r="J105" s="144">
        <f>SUMIFS('февраль 2024'!$G$4:$G$1413,'февраль 2024'!$D$4:$D$1413,$B105,'февраль 2024'!$J$4:$J$1413,J$1)</f>
        <v>0</v>
      </c>
      <c r="K105" s="144">
        <f>SUMIFS('февраль 2024'!$G$4:$G$1413,'февраль 2024'!$D$4:$D$1413,$B105,'февраль 2024'!$J$4:$J$1413,K$1)</f>
        <v>0</v>
      </c>
      <c r="L105" s="144">
        <f>SUMIFS('февраль 2024'!$G$4:$G$1413,'февраль 2024'!$D$4:$D$1413,$B105,'февраль 2024'!$J$4:$J$1413,L$1)</f>
        <v>0</v>
      </c>
      <c r="M105" s="144">
        <f>SUMIFS('февраль 2024'!$G$4:$G$1413,'февраль 2024'!$D$4:$D$1413,$B105,'февраль 2024'!$J$4:$J$1413,M$1)</f>
        <v>0</v>
      </c>
      <c r="N105" s="144">
        <f>SUMIFS('февраль 2024'!$G$4:$G$1413,'февраль 2024'!$D$4:$D$1413,$B105,'февраль 2024'!$J$4:$J$1413,N$1)</f>
        <v>0</v>
      </c>
      <c r="O105" s="144">
        <f>SUMIFS('февраль 2024'!$G$4:$G$1413,'февраль 2024'!$D$4:$D$1413,$B105,'февраль 2024'!$J$4:$J$1413,O$1)</f>
        <v>0</v>
      </c>
      <c r="P105" s="144">
        <f>SUMIFS('февраль 2024'!$G$4:$G$1413,'февраль 2024'!$D$4:$D$1413,$B105,'февраль 2024'!$J$4:$J$1413,P$1)</f>
        <v>0</v>
      </c>
      <c r="Q105" s="144">
        <f>SUMIFS('февраль 2024'!$G$4:$G$1413,'февраль 2024'!$D$4:$D$1413,$B105,'февраль 2024'!$J$4:$J$1413,Q$1)</f>
        <v>0</v>
      </c>
      <c r="R105" s="144">
        <f>SUMIFS('февраль 2024'!$G$4:$G$1413,'февраль 2024'!$D$4:$D$1413,$B105,'февраль 2024'!$J$4:$J$1413,R$1)</f>
        <v>0</v>
      </c>
      <c r="S105" s="144">
        <f>SUMIFS('февраль 2024'!$G$4:$G$1413,'февраль 2024'!$D$4:$D$1413,$B105,'февраль 2024'!$J$4:$J$1413,S$1)</f>
        <v>0</v>
      </c>
      <c r="T105" s="144">
        <f>SUMIFS('февраль 2024'!$G$4:$G$1413,'февраль 2024'!$D$4:$D$1413,$B105,'февраль 2024'!$J$4:$J$1413,T$1)</f>
        <v>0</v>
      </c>
      <c r="U105" s="144">
        <f>SUMIFS('февраль 2024'!$G$4:$G$1413,'февраль 2024'!$D$4:$D$1413,$B105,'февраль 2024'!$J$4:$J$1413,U$1)</f>
        <v>0</v>
      </c>
      <c r="V105" s="144">
        <f>SUMIFS('февраль 2024'!$G$4:$G$1413,'февраль 2024'!$D$4:$D$1413,$B105,'февраль 2024'!$J$4:$J$1413,V$1)</f>
        <v>0</v>
      </c>
      <c r="W105" s="144">
        <f>SUMIFS('февраль 2024'!$G$4:$G$1413,'февраль 2024'!$D$4:$D$1413,$B105,'февраль 2024'!$J$4:$J$1413,W$1)</f>
        <v>0</v>
      </c>
      <c r="X105" s="144">
        <f>SUMIFS('февраль 2024'!$G$4:$G$1413,'февраль 2024'!$D$4:$D$1413,$B105,'февраль 2024'!$J$4:$J$1413,X$1)</f>
        <v>0</v>
      </c>
      <c r="Y105" s="144">
        <f>SUMIFS('февраль 2024'!$G$4:$G$1413,'февраль 2024'!$D$4:$D$1413,$B105,'февраль 2024'!$J$4:$J$1413,Y$1)</f>
        <v>0</v>
      </c>
      <c r="Z105" s="144">
        <f>SUMIFS('февраль 2024'!$G$4:$G$1413,'февраль 2024'!$D$4:$D$1413,$B105,'февраль 2024'!$J$4:$J$1413,Z$1)</f>
        <v>0</v>
      </c>
      <c r="AA105" s="144">
        <f>SUMIFS('февраль 2024'!$G$4:$G$1413,'февраль 2024'!$D$4:$D$1413,$B105,'февраль 2024'!$J$4:$J$1413,AA$1)</f>
        <v>0</v>
      </c>
      <c r="AB105" s="144">
        <f>SUMIFS('февраль 2024'!$G$4:$G$1413,'февраль 2024'!$D$4:$D$1413,$B105,'февраль 2024'!$J$4:$J$1413,AB$1)</f>
        <v>0</v>
      </c>
      <c r="AC105" s="144">
        <f>SUMIFS('февраль 2024'!$G$4:$G$1413,'февраль 2024'!$D$4:$D$1413,$B105,'февраль 2024'!$J$4:$J$1413,AC$1)</f>
        <v>0</v>
      </c>
      <c r="AD105" s="144">
        <f>SUMIFS('февраль 2024'!$G$4:$G$1413,'февраль 2024'!$D$4:$D$1413,$B105,'февраль 2024'!$J$4:$J$1413,AD$1)</f>
        <v>0</v>
      </c>
      <c r="AE105" s="144">
        <f>SUMIFS('февраль 2024'!$G$4:$G$1413,'февраль 2024'!$D$4:$D$1413,$B105,'февраль 2024'!$J$4:$J$1413,AE$1)</f>
        <v>0</v>
      </c>
      <c r="AF105" s="144">
        <f>SUMIFS('февраль 2024'!$G$4:$G$1413,'февраль 2024'!$D$4:$D$1413,$B105,'февраль 2024'!$J$4:$J$1413,AF$1)</f>
        <v>0</v>
      </c>
      <c r="AG105" s="144">
        <f>SUMIFS('февраль 2024'!$G$4:$G$1413,'февраль 2024'!$D$4:$D$1413,$B105,'февраль 2024'!$J$4:$J$1413,AG$1)</f>
        <v>0</v>
      </c>
      <c r="AH105" s="144">
        <f>SUMIFS('февраль 2024'!$G$4:$G$1413,'февраль 2024'!$D$4:$D$1413,$B105,'февраль 2024'!$J$4:$J$1413,AH$1)</f>
        <v>0</v>
      </c>
      <c r="AI105" s="21">
        <f t="shared" si="1"/>
        <v>0</v>
      </c>
    </row>
    <row r="106" spans="2:35" ht="15" customHeight="1" x14ac:dyDescent="0.25">
      <c r="B106" s="93" t="s">
        <v>400</v>
      </c>
      <c r="C106" s="91">
        <v>185</v>
      </c>
      <c r="D106" s="144">
        <f>SUMIFS('февраль 2024'!$G$4:$G$1413,'февраль 2024'!$D$4:$D$1413,$B106,'февраль 2024'!$J$4:$J$1413,D$1)</f>
        <v>0</v>
      </c>
      <c r="E106" s="144">
        <f>SUMIFS('февраль 2024'!$G$4:$G$1413,'февраль 2024'!$D$4:$D$1413,$B106,'февраль 2024'!$J$4:$J$1413,E$1)</f>
        <v>0</v>
      </c>
      <c r="F106" s="144">
        <f>SUMIFS('февраль 2024'!$G$4:$G$1413,'февраль 2024'!$D$4:$D$1413,$B106,'февраль 2024'!$J$4:$J$1413,F$1)</f>
        <v>0</v>
      </c>
      <c r="G106" s="144">
        <f>SUMIFS('февраль 2024'!$G$4:$G$1413,'февраль 2024'!$D$4:$D$1413,$B106,'февраль 2024'!$J$4:$J$1413,G$1)</f>
        <v>0</v>
      </c>
      <c r="H106" s="144">
        <f>SUMIFS('февраль 2024'!$G$4:$G$1413,'февраль 2024'!$D$4:$D$1413,$B106,'февраль 2024'!$J$4:$J$1413,H$1)</f>
        <v>0</v>
      </c>
      <c r="I106" s="144">
        <f>SUMIFS('февраль 2024'!$G$4:$G$1413,'февраль 2024'!$D$4:$D$1413,$B106,'февраль 2024'!$J$4:$J$1413,I$1)</f>
        <v>0</v>
      </c>
      <c r="J106" s="144">
        <f>SUMIFS('февраль 2024'!$G$4:$G$1413,'февраль 2024'!$D$4:$D$1413,$B106,'февраль 2024'!$J$4:$J$1413,J$1)</f>
        <v>0</v>
      </c>
      <c r="K106" s="144">
        <f>SUMIFS('февраль 2024'!$G$4:$G$1413,'февраль 2024'!$D$4:$D$1413,$B106,'февраль 2024'!$J$4:$J$1413,K$1)</f>
        <v>0</v>
      </c>
      <c r="L106" s="144">
        <f>SUMIFS('февраль 2024'!$G$4:$G$1413,'февраль 2024'!$D$4:$D$1413,$B106,'февраль 2024'!$J$4:$J$1413,L$1)</f>
        <v>0</v>
      </c>
      <c r="M106" s="144">
        <f>SUMIFS('февраль 2024'!$G$4:$G$1413,'февраль 2024'!$D$4:$D$1413,$B106,'февраль 2024'!$J$4:$J$1413,M$1)</f>
        <v>0</v>
      </c>
      <c r="N106" s="144">
        <f>SUMIFS('февраль 2024'!$G$4:$G$1413,'февраль 2024'!$D$4:$D$1413,$B106,'февраль 2024'!$J$4:$J$1413,N$1)</f>
        <v>0</v>
      </c>
      <c r="O106" s="144">
        <f>SUMIFS('февраль 2024'!$G$4:$G$1413,'февраль 2024'!$D$4:$D$1413,$B106,'февраль 2024'!$J$4:$J$1413,O$1)</f>
        <v>0</v>
      </c>
      <c r="P106" s="144">
        <f>SUMIFS('февраль 2024'!$G$4:$G$1413,'февраль 2024'!$D$4:$D$1413,$B106,'февраль 2024'!$J$4:$J$1413,P$1)</f>
        <v>0</v>
      </c>
      <c r="Q106" s="144">
        <f>SUMIFS('февраль 2024'!$G$4:$G$1413,'февраль 2024'!$D$4:$D$1413,$B106,'февраль 2024'!$J$4:$J$1413,Q$1)</f>
        <v>0</v>
      </c>
      <c r="R106" s="144">
        <f>SUMIFS('февраль 2024'!$G$4:$G$1413,'февраль 2024'!$D$4:$D$1413,$B106,'февраль 2024'!$J$4:$J$1413,R$1)</f>
        <v>0</v>
      </c>
      <c r="S106" s="144">
        <f>SUMIFS('февраль 2024'!$G$4:$G$1413,'февраль 2024'!$D$4:$D$1413,$B106,'февраль 2024'!$J$4:$J$1413,S$1)</f>
        <v>0</v>
      </c>
      <c r="T106" s="144">
        <f>SUMIFS('февраль 2024'!$G$4:$G$1413,'февраль 2024'!$D$4:$D$1413,$B106,'февраль 2024'!$J$4:$J$1413,T$1)</f>
        <v>0</v>
      </c>
      <c r="U106" s="144">
        <f>SUMIFS('февраль 2024'!$G$4:$G$1413,'февраль 2024'!$D$4:$D$1413,$B106,'февраль 2024'!$J$4:$J$1413,U$1)</f>
        <v>0</v>
      </c>
      <c r="V106" s="144">
        <f>SUMIFS('февраль 2024'!$G$4:$G$1413,'февраль 2024'!$D$4:$D$1413,$B106,'февраль 2024'!$J$4:$J$1413,V$1)</f>
        <v>0</v>
      </c>
      <c r="W106" s="144">
        <f>SUMIFS('февраль 2024'!$G$4:$G$1413,'февраль 2024'!$D$4:$D$1413,$B106,'февраль 2024'!$J$4:$J$1413,W$1)</f>
        <v>0</v>
      </c>
      <c r="X106" s="144">
        <f>SUMIFS('февраль 2024'!$G$4:$G$1413,'февраль 2024'!$D$4:$D$1413,$B106,'февраль 2024'!$J$4:$J$1413,X$1)</f>
        <v>0</v>
      </c>
      <c r="Y106" s="144">
        <f>SUMIFS('февраль 2024'!$G$4:$G$1413,'февраль 2024'!$D$4:$D$1413,$B106,'февраль 2024'!$J$4:$J$1413,Y$1)</f>
        <v>0</v>
      </c>
      <c r="Z106" s="144">
        <f>SUMIFS('февраль 2024'!$G$4:$G$1413,'февраль 2024'!$D$4:$D$1413,$B106,'февраль 2024'!$J$4:$J$1413,Z$1)</f>
        <v>0</v>
      </c>
      <c r="AA106" s="144">
        <f>SUMIFS('февраль 2024'!$G$4:$G$1413,'февраль 2024'!$D$4:$D$1413,$B106,'февраль 2024'!$J$4:$J$1413,AA$1)</f>
        <v>0</v>
      </c>
      <c r="AB106" s="144">
        <f>SUMIFS('февраль 2024'!$G$4:$G$1413,'февраль 2024'!$D$4:$D$1413,$B106,'февраль 2024'!$J$4:$J$1413,AB$1)</f>
        <v>0</v>
      </c>
      <c r="AC106" s="144">
        <f>SUMIFS('февраль 2024'!$G$4:$G$1413,'февраль 2024'!$D$4:$D$1413,$B106,'февраль 2024'!$J$4:$J$1413,AC$1)</f>
        <v>40</v>
      </c>
      <c r="AD106" s="144">
        <f>SUMIFS('февраль 2024'!$G$4:$G$1413,'февраль 2024'!$D$4:$D$1413,$B106,'февраль 2024'!$J$4:$J$1413,AD$1)</f>
        <v>0</v>
      </c>
      <c r="AE106" s="144">
        <f>SUMIFS('февраль 2024'!$G$4:$G$1413,'февраль 2024'!$D$4:$D$1413,$B106,'февраль 2024'!$J$4:$J$1413,AE$1)</f>
        <v>0</v>
      </c>
      <c r="AF106" s="144">
        <f>SUMIFS('февраль 2024'!$G$4:$G$1413,'февраль 2024'!$D$4:$D$1413,$B106,'февраль 2024'!$J$4:$J$1413,AF$1)</f>
        <v>0</v>
      </c>
      <c r="AG106" s="144">
        <f>SUMIFS('февраль 2024'!$G$4:$G$1413,'февраль 2024'!$D$4:$D$1413,$B106,'февраль 2024'!$J$4:$J$1413,AG$1)</f>
        <v>0</v>
      </c>
      <c r="AH106" s="144">
        <f>SUMIFS('февраль 2024'!$G$4:$G$1413,'февраль 2024'!$D$4:$D$1413,$B106,'февраль 2024'!$J$4:$J$1413,AH$1)</f>
        <v>0</v>
      </c>
      <c r="AI106" s="21">
        <f t="shared" si="1"/>
        <v>40</v>
      </c>
    </row>
    <row r="107" spans="2:35" ht="15" customHeight="1" x14ac:dyDescent="0.25">
      <c r="B107" s="93" t="s">
        <v>330</v>
      </c>
      <c r="C107" s="91">
        <v>180</v>
      </c>
      <c r="D107" s="144">
        <f>SUMIFS('февраль 2024'!$G$4:$G$1413,'февраль 2024'!$D$4:$D$1413,$B107,'февраль 2024'!$J$4:$J$1413,D$1)</f>
        <v>0</v>
      </c>
      <c r="E107" s="144">
        <f>SUMIFS('февраль 2024'!$G$4:$G$1413,'февраль 2024'!$D$4:$D$1413,$B107,'февраль 2024'!$J$4:$J$1413,E$1)</f>
        <v>0</v>
      </c>
      <c r="F107" s="144">
        <f>SUMIFS('февраль 2024'!$G$4:$G$1413,'февраль 2024'!$D$4:$D$1413,$B107,'февраль 2024'!$J$4:$J$1413,F$1)</f>
        <v>0</v>
      </c>
      <c r="G107" s="144">
        <f>SUMIFS('февраль 2024'!$G$4:$G$1413,'февраль 2024'!$D$4:$D$1413,$B107,'февраль 2024'!$J$4:$J$1413,G$1)</f>
        <v>0</v>
      </c>
      <c r="H107" s="144">
        <f>SUMIFS('февраль 2024'!$G$4:$G$1413,'февраль 2024'!$D$4:$D$1413,$B107,'февраль 2024'!$J$4:$J$1413,H$1)</f>
        <v>0</v>
      </c>
      <c r="I107" s="144">
        <f>SUMIFS('февраль 2024'!$G$4:$G$1413,'февраль 2024'!$D$4:$D$1413,$B107,'февраль 2024'!$J$4:$J$1413,I$1)</f>
        <v>0</v>
      </c>
      <c r="J107" s="144">
        <f>SUMIFS('февраль 2024'!$G$4:$G$1413,'февраль 2024'!$D$4:$D$1413,$B107,'февраль 2024'!$J$4:$J$1413,J$1)</f>
        <v>0</v>
      </c>
      <c r="K107" s="144">
        <f>SUMIFS('февраль 2024'!$G$4:$G$1413,'февраль 2024'!$D$4:$D$1413,$B107,'февраль 2024'!$J$4:$J$1413,K$1)</f>
        <v>0</v>
      </c>
      <c r="L107" s="144">
        <f>SUMIFS('февраль 2024'!$G$4:$G$1413,'февраль 2024'!$D$4:$D$1413,$B107,'февраль 2024'!$J$4:$J$1413,L$1)</f>
        <v>0</v>
      </c>
      <c r="M107" s="144">
        <f>SUMIFS('февраль 2024'!$G$4:$G$1413,'февраль 2024'!$D$4:$D$1413,$B107,'февраль 2024'!$J$4:$J$1413,M$1)</f>
        <v>0</v>
      </c>
      <c r="N107" s="144">
        <f>SUMIFS('февраль 2024'!$G$4:$G$1413,'февраль 2024'!$D$4:$D$1413,$B107,'февраль 2024'!$J$4:$J$1413,N$1)</f>
        <v>0</v>
      </c>
      <c r="O107" s="144">
        <f>SUMIFS('февраль 2024'!$G$4:$G$1413,'февраль 2024'!$D$4:$D$1413,$B107,'февраль 2024'!$J$4:$J$1413,O$1)</f>
        <v>0</v>
      </c>
      <c r="P107" s="144">
        <f>SUMIFS('февраль 2024'!$G$4:$G$1413,'февраль 2024'!$D$4:$D$1413,$B107,'февраль 2024'!$J$4:$J$1413,P$1)</f>
        <v>0</v>
      </c>
      <c r="Q107" s="144">
        <f>SUMIFS('февраль 2024'!$G$4:$G$1413,'февраль 2024'!$D$4:$D$1413,$B107,'февраль 2024'!$J$4:$J$1413,Q$1)</f>
        <v>0</v>
      </c>
      <c r="R107" s="144">
        <f>SUMIFS('февраль 2024'!$G$4:$G$1413,'февраль 2024'!$D$4:$D$1413,$B107,'февраль 2024'!$J$4:$J$1413,R$1)</f>
        <v>0</v>
      </c>
      <c r="S107" s="144">
        <f>SUMIFS('февраль 2024'!$G$4:$G$1413,'февраль 2024'!$D$4:$D$1413,$B107,'февраль 2024'!$J$4:$J$1413,S$1)</f>
        <v>0</v>
      </c>
      <c r="T107" s="144">
        <f>SUMIFS('февраль 2024'!$G$4:$G$1413,'февраль 2024'!$D$4:$D$1413,$B107,'февраль 2024'!$J$4:$J$1413,T$1)</f>
        <v>0</v>
      </c>
      <c r="U107" s="144">
        <f>SUMIFS('февраль 2024'!$G$4:$G$1413,'февраль 2024'!$D$4:$D$1413,$B107,'февраль 2024'!$J$4:$J$1413,U$1)</f>
        <v>0</v>
      </c>
      <c r="V107" s="144">
        <f>SUMIFS('февраль 2024'!$G$4:$G$1413,'февраль 2024'!$D$4:$D$1413,$B107,'февраль 2024'!$J$4:$J$1413,V$1)</f>
        <v>0</v>
      </c>
      <c r="W107" s="144">
        <f>SUMIFS('февраль 2024'!$G$4:$G$1413,'февраль 2024'!$D$4:$D$1413,$B107,'февраль 2024'!$J$4:$J$1413,W$1)</f>
        <v>0</v>
      </c>
      <c r="X107" s="144">
        <f>SUMIFS('февраль 2024'!$G$4:$G$1413,'февраль 2024'!$D$4:$D$1413,$B107,'февраль 2024'!$J$4:$J$1413,X$1)</f>
        <v>0</v>
      </c>
      <c r="Y107" s="144">
        <f>SUMIFS('февраль 2024'!$G$4:$G$1413,'февраль 2024'!$D$4:$D$1413,$B107,'февраль 2024'!$J$4:$J$1413,Y$1)</f>
        <v>0</v>
      </c>
      <c r="Z107" s="144">
        <f>SUMIFS('февраль 2024'!$G$4:$G$1413,'февраль 2024'!$D$4:$D$1413,$B107,'февраль 2024'!$J$4:$J$1413,Z$1)</f>
        <v>0</v>
      </c>
      <c r="AA107" s="144">
        <f>SUMIFS('февраль 2024'!$G$4:$G$1413,'февраль 2024'!$D$4:$D$1413,$B107,'февраль 2024'!$J$4:$J$1413,AA$1)</f>
        <v>0</v>
      </c>
      <c r="AB107" s="144">
        <f>SUMIFS('февраль 2024'!$G$4:$G$1413,'февраль 2024'!$D$4:$D$1413,$B107,'февраль 2024'!$J$4:$J$1413,AB$1)</f>
        <v>0</v>
      </c>
      <c r="AC107" s="144">
        <f>SUMIFS('февраль 2024'!$G$4:$G$1413,'февраль 2024'!$D$4:$D$1413,$B107,'февраль 2024'!$J$4:$J$1413,AC$1)</f>
        <v>0</v>
      </c>
      <c r="AD107" s="144">
        <f>SUMIFS('февраль 2024'!$G$4:$G$1413,'февраль 2024'!$D$4:$D$1413,$B107,'февраль 2024'!$J$4:$J$1413,AD$1)</f>
        <v>0</v>
      </c>
      <c r="AE107" s="144">
        <f>SUMIFS('февраль 2024'!$G$4:$G$1413,'февраль 2024'!$D$4:$D$1413,$B107,'февраль 2024'!$J$4:$J$1413,AE$1)</f>
        <v>0</v>
      </c>
      <c r="AF107" s="144">
        <f>SUMIFS('февраль 2024'!$G$4:$G$1413,'февраль 2024'!$D$4:$D$1413,$B107,'февраль 2024'!$J$4:$J$1413,AF$1)</f>
        <v>0</v>
      </c>
      <c r="AG107" s="144">
        <f>SUMIFS('февраль 2024'!$G$4:$G$1413,'февраль 2024'!$D$4:$D$1413,$B107,'февраль 2024'!$J$4:$J$1413,AG$1)</f>
        <v>0</v>
      </c>
      <c r="AH107" s="144">
        <f>SUMIFS('февраль 2024'!$G$4:$G$1413,'февраль 2024'!$D$4:$D$1413,$B107,'февраль 2024'!$J$4:$J$1413,AH$1)</f>
        <v>0</v>
      </c>
      <c r="AI107" s="21">
        <f t="shared" si="1"/>
        <v>0</v>
      </c>
    </row>
    <row r="108" spans="2:35" ht="15" customHeight="1" x14ac:dyDescent="0.25">
      <c r="B108" s="93" t="s">
        <v>331</v>
      </c>
      <c r="C108" s="91">
        <v>200</v>
      </c>
      <c r="D108" s="144">
        <f>SUMIFS('февраль 2024'!$G$4:$G$1413,'февраль 2024'!$D$4:$D$1413,$B108,'февраль 2024'!$J$4:$J$1413,D$1)</f>
        <v>0</v>
      </c>
      <c r="E108" s="144">
        <f>SUMIFS('февраль 2024'!$G$4:$G$1413,'февраль 2024'!$D$4:$D$1413,$B108,'февраль 2024'!$J$4:$J$1413,E$1)</f>
        <v>0</v>
      </c>
      <c r="F108" s="144">
        <f>SUMIFS('февраль 2024'!$G$4:$G$1413,'февраль 2024'!$D$4:$D$1413,$B108,'февраль 2024'!$J$4:$J$1413,F$1)</f>
        <v>0</v>
      </c>
      <c r="G108" s="144">
        <f>SUMIFS('февраль 2024'!$G$4:$G$1413,'февраль 2024'!$D$4:$D$1413,$B108,'февраль 2024'!$J$4:$J$1413,G$1)</f>
        <v>0</v>
      </c>
      <c r="H108" s="144">
        <f>SUMIFS('февраль 2024'!$G$4:$G$1413,'февраль 2024'!$D$4:$D$1413,$B108,'февраль 2024'!$J$4:$J$1413,H$1)</f>
        <v>0</v>
      </c>
      <c r="I108" s="144">
        <f>SUMIFS('февраль 2024'!$G$4:$G$1413,'февраль 2024'!$D$4:$D$1413,$B108,'февраль 2024'!$J$4:$J$1413,I$1)</f>
        <v>0</v>
      </c>
      <c r="J108" s="144">
        <f>SUMIFS('февраль 2024'!$G$4:$G$1413,'февраль 2024'!$D$4:$D$1413,$B108,'февраль 2024'!$J$4:$J$1413,J$1)</f>
        <v>0</v>
      </c>
      <c r="K108" s="144">
        <f>SUMIFS('февраль 2024'!$G$4:$G$1413,'февраль 2024'!$D$4:$D$1413,$B108,'февраль 2024'!$J$4:$J$1413,K$1)</f>
        <v>0</v>
      </c>
      <c r="L108" s="144">
        <f>SUMIFS('февраль 2024'!$G$4:$G$1413,'февраль 2024'!$D$4:$D$1413,$B108,'февраль 2024'!$J$4:$J$1413,L$1)</f>
        <v>0</v>
      </c>
      <c r="M108" s="144">
        <f>SUMIFS('февраль 2024'!$G$4:$G$1413,'февраль 2024'!$D$4:$D$1413,$B108,'февраль 2024'!$J$4:$J$1413,M$1)</f>
        <v>0</v>
      </c>
      <c r="N108" s="144">
        <f>SUMIFS('февраль 2024'!$G$4:$G$1413,'февраль 2024'!$D$4:$D$1413,$B108,'февраль 2024'!$J$4:$J$1413,N$1)</f>
        <v>0</v>
      </c>
      <c r="O108" s="144">
        <f>SUMIFS('февраль 2024'!$G$4:$G$1413,'февраль 2024'!$D$4:$D$1413,$B108,'февраль 2024'!$J$4:$J$1413,O$1)</f>
        <v>0</v>
      </c>
      <c r="P108" s="144">
        <f>SUMIFS('февраль 2024'!$G$4:$G$1413,'февраль 2024'!$D$4:$D$1413,$B108,'февраль 2024'!$J$4:$J$1413,P$1)</f>
        <v>0</v>
      </c>
      <c r="Q108" s="144">
        <f>SUMIFS('февраль 2024'!$G$4:$G$1413,'февраль 2024'!$D$4:$D$1413,$B108,'февраль 2024'!$J$4:$J$1413,Q$1)</f>
        <v>0</v>
      </c>
      <c r="R108" s="144">
        <f>SUMIFS('февраль 2024'!$G$4:$G$1413,'февраль 2024'!$D$4:$D$1413,$B108,'февраль 2024'!$J$4:$J$1413,R$1)</f>
        <v>0</v>
      </c>
      <c r="S108" s="144">
        <f>SUMIFS('февраль 2024'!$G$4:$G$1413,'февраль 2024'!$D$4:$D$1413,$B108,'февраль 2024'!$J$4:$J$1413,S$1)</f>
        <v>0</v>
      </c>
      <c r="T108" s="144">
        <f>SUMIFS('февраль 2024'!$G$4:$G$1413,'февраль 2024'!$D$4:$D$1413,$B108,'февраль 2024'!$J$4:$J$1413,T$1)</f>
        <v>0</v>
      </c>
      <c r="U108" s="144">
        <f>SUMIFS('февраль 2024'!$G$4:$G$1413,'февраль 2024'!$D$4:$D$1413,$B108,'февраль 2024'!$J$4:$J$1413,U$1)</f>
        <v>0</v>
      </c>
      <c r="V108" s="144">
        <f>SUMIFS('февраль 2024'!$G$4:$G$1413,'февраль 2024'!$D$4:$D$1413,$B108,'февраль 2024'!$J$4:$J$1413,V$1)</f>
        <v>0</v>
      </c>
      <c r="W108" s="144">
        <f>SUMIFS('февраль 2024'!$G$4:$G$1413,'февраль 2024'!$D$4:$D$1413,$B108,'февраль 2024'!$J$4:$J$1413,W$1)</f>
        <v>88</v>
      </c>
      <c r="X108" s="144">
        <f>SUMIFS('февраль 2024'!$G$4:$G$1413,'февраль 2024'!$D$4:$D$1413,$B108,'февраль 2024'!$J$4:$J$1413,X$1)</f>
        <v>0</v>
      </c>
      <c r="Y108" s="144">
        <f>SUMIFS('февраль 2024'!$G$4:$G$1413,'февраль 2024'!$D$4:$D$1413,$B108,'февраль 2024'!$J$4:$J$1413,Y$1)</f>
        <v>88</v>
      </c>
      <c r="Z108" s="144">
        <f>SUMIFS('февраль 2024'!$G$4:$G$1413,'февраль 2024'!$D$4:$D$1413,$B108,'февраль 2024'!$J$4:$J$1413,Z$1)</f>
        <v>0</v>
      </c>
      <c r="AA108" s="144">
        <f>SUMIFS('февраль 2024'!$G$4:$G$1413,'февраль 2024'!$D$4:$D$1413,$B108,'февраль 2024'!$J$4:$J$1413,AA$1)</f>
        <v>0</v>
      </c>
      <c r="AB108" s="144">
        <f>SUMIFS('февраль 2024'!$G$4:$G$1413,'февраль 2024'!$D$4:$D$1413,$B108,'февраль 2024'!$J$4:$J$1413,AB$1)</f>
        <v>0</v>
      </c>
      <c r="AC108" s="144">
        <f>SUMIFS('февраль 2024'!$G$4:$G$1413,'февраль 2024'!$D$4:$D$1413,$B108,'февраль 2024'!$J$4:$J$1413,AC$1)</f>
        <v>88</v>
      </c>
      <c r="AD108" s="144">
        <f>SUMIFS('февраль 2024'!$G$4:$G$1413,'февраль 2024'!$D$4:$D$1413,$B108,'февраль 2024'!$J$4:$J$1413,AD$1)</f>
        <v>0</v>
      </c>
      <c r="AE108" s="144">
        <f>SUMIFS('февраль 2024'!$G$4:$G$1413,'февраль 2024'!$D$4:$D$1413,$B108,'февраль 2024'!$J$4:$J$1413,AE$1)</f>
        <v>0</v>
      </c>
      <c r="AF108" s="144">
        <f>SUMIFS('февраль 2024'!$G$4:$G$1413,'февраль 2024'!$D$4:$D$1413,$B108,'февраль 2024'!$J$4:$J$1413,AF$1)</f>
        <v>0</v>
      </c>
      <c r="AG108" s="144">
        <f>SUMIFS('февраль 2024'!$G$4:$G$1413,'февраль 2024'!$D$4:$D$1413,$B108,'февраль 2024'!$J$4:$J$1413,AG$1)</f>
        <v>0</v>
      </c>
      <c r="AH108" s="144">
        <f>SUMIFS('февраль 2024'!$G$4:$G$1413,'февраль 2024'!$D$4:$D$1413,$B108,'февраль 2024'!$J$4:$J$1413,AH$1)</f>
        <v>0</v>
      </c>
      <c r="AI108" s="21">
        <f t="shared" si="1"/>
        <v>264</v>
      </c>
    </row>
    <row r="109" spans="2:35" ht="15" customHeight="1" x14ac:dyDescent="0.25">
      <c r="B109" s="89" t="s">
        <v>164</v>
      </c>
      <c r="C109" s="88">
        <v>950</v>
      </c>
      <c r="D109" s="144">
        <f>SUMIFS('февраль 2024'!$G$4:$G$1413,'февраль 2024'!$D$4:$D$1413,$B109,'февраль 2024'!$J$4:$J$1413,D$1)</f>
        <v>0</v>
      </c>
      <c r="E109" s="144">
        <f>SUMIFS('февраль 2024'!$G$4:$G$1413,'февраль 2024'!$D$4:$D$1413,$B109,'февраль 2024'!$J$4:$J$1413,E$1)</f>
        <v>0</v>
      </c>
      <c r="F109" s="144">
        <f>SUMIFS('февраль 2024'!$G$4:$G$1413,'февраль 2024'!$D$4:$D$1413,$B109,'февраль 2024'!$J$4:$J$1413,F$1)</f>
        <v>0</v>
      </c>
      <c r="G109" s="144">
        <f>SUMIFS('февраль 2024'!$G$4:$G$1413,'февраль 2024'!$D$4:$D$1413,$B109,'февраль 2024'!$J$4:$J$1413,G$1)</f>
        <v>0</v>
      </c>
      <c r="H109" s="144">
        <f>SUMIFS('февраль 2024'!$G$4:$G$1413,'февраль 2024'!$D$4:$D$1413,$B109,'февраль 2024'!$J$4:$J$1413,H$1)</f>
        <v>0</v>
      </c>
      <c r="I109" s="144">
        <f>SUMIFS('февраль 2024'!$G$4:$G$1413,'февраль 2024'!$D$4:$D$1413,$B109,'февраль 2024'!$J$4:$J$1413,I$1)</f>
        <v>0</v>
      </c>
      <c r="J109" s="144">
        <f>SUMIFS('февраль 2024'!$G$4:$G$1413,'февраль 2024'!$D$4:$D$1413,$B109,'февраль 2024'!$J$4:$J$1413,J$1)</f>
        <v>0</v>
      </c>
      <c r="K109" s="144">
        <f>SUMIFS('февраль 2024'!$G$4:$G$1413,'февраль 2024'!$D$4:$D$1413,$B109,'февраль 2024'!$J$4:$J$1413,K$1)</f>
        <v>0</v>
      </c>
      <c r="L109" s="144">
        <f>SUMIFS('февраль 2024'!$G$4:$G$1413,'февраль 2024'!$D$4:$D$1413,$B109,'февраль 2024'!$J$4:$J$1413,L$1)</f>
        <v>0</v>
      </c>
      <c r="M109" s="144">
        <f>SUMIFS('февраль 2024'!$G$4:$G$1413,'февраль 2024'!$D$4:$D$1413,$B109,'февраль 2024'!$J$4:$J$1413,M$1)</f>
        <v>0</v>
      </c>
      <c r="N109" s="144">
        <f>SUMIFS('февраль 2024'!$G$4:$G$1413,'февраль 2024'!$D$4:$D$1413,$B109,'февраль 2024'!$J$4:$J$1413,N$1)</f>
        <v>0</v>
      </c>
      <c r="O109" s="144">
        <f>SUMIFS('февраль 2024'!$G$4:$G$1413,'февраль 2024'!$D$4:$D$1413,$B109,'февраль 2024'!$J$4:$J$1413,O$1)</f>
        <v>0</v>
      </c>
      <c r="P109" s="144">
        <f>SUMIFS('февраль 2024'!$G$4:$G$1413,'февраль 2024'!$D$4:$D$1413,$B109,'февраль 2024'!$J$4:$J$1413,P$1)</f>
        <v>0</v>
      </c>
      <c r="Q109" s="144">
        <f>SUMIFS('февраль 2024'!$G$4:$G$1413,'февраль 2024'!$D$4:$D$1413,$B109,'февраль 2024'!$J$4:$J$1413,Q$1)</f>
        <v>0</v>
      </c>
      <c r="R109" s="144">
        <f>SUMIFS('февраль 2024'!$G$4:$G$1413,'февраль 2024'!$D$4:$D$1413,$B109,'февраль 2024'!$J$4:$J$1413,R$1)</f>
        <v>0</v>
      </c>
      <c r="S109" s="144">
        <f>SUMIFS('февраль 2024'!$G$4:$G$1413,'февраль 2024'!$D$4:$D$1413,$B109,'февраль 2024'!$J$4:$J$1413,S$1)</f>
        <v>0</v>
      </c>
      <c r="T109" s="144">
        <f>SUMIFS('февраль 2024'!$G$4:$G$1413,'февраль 2024'!$D$4:$D$1413,$B109,'февраль 2024'!$J$4:$J$1413,T$1)</f>
        <v>0</v>
      </c>
      <c r="U109" s="144">
        <f>SUMIFS('февраль 2024'!$G$4:$G$1413,'февраль 2024'!$D$4:$D$1413,$B109,'февраль 2024'!$J$4:$J$1413,U$1)</f>
        <v>0</v>
      </c>
      <c r="V109" s="144">
        <f>SUMIFS('февраль 2024'!$G$4:$G$1413,'февраль 2024'!$D$4:$D$1413,$B109,'февраль 2024'!$J$4:$J$1413,V$1)</f>
        <v>0</v>
      </c>
      <c r="W109" s="144">
        <f>SUMIFS('февраль 2024'!$G$4:$G$1413,'февраль 2024'!$D$4:$D$1413,$B109,'февраль 2024'!$J$4:$J$1413,W$1)</f>
        <v>0</v>
      </c>
      <c r="X109" s="144">
        <f>SUMIFS('февраль 2024'!$G$4:$G$1413,'февраль 2024'!$D$4:$D$1413,$B109,'февраль 2024'!$J$4:$J$1413,X$1)</f>
        <v>0</v>
      </c>
      <c r="Y109" s="144">
        <f>SUMIFS('февраль 2024'!$G$4:$G$1413,'февраль 2024'!$D$4:$D$1413,$B109,'февраль 2024'!$J$4:$J$1413,Y$1)</f>
        <v>0</v>
      </c>
      <c r="Z109" s="144">
        <f>SUMIFS('февраль 2024'!$G$4:$G$1413,'февраль 2024'!$D$4:$D$1413,$B109,'февраль 2024'!$J$4:$J$1413,Z$1)</f>
        <v>0</v>
      </c>
      <c r="AA109" s="144">
        <f>SUMIFS('февраль 2024'!$G$4:$G$1413,'февраль 2024'!$D$4:$D$1413,$B109,'февраль 2024'!$J$4:$J$1413,AA$1)</f>
        <v>0</v>
      </c>
      <c r="AB109" s="144">
        <f>SUMIFS('февраль 2024'!$G$4:$G$1413,'февраль 2024'!$D$4:$D$1413,$B109,'февраль 2024'!$J$4:$J$1413,AB$1)</f>
        <v>0</v>
      </c>
      <c r="AC109" s="144">
        <f>SUMIFS('февраль 2024'!$G$4:$G$1413,'февраль 2024'!$D$4:$D$1413,$B109,'февраль 2024'!$J$4:$J$1413,AC$1)</f>
        <v>0</v>
      </c>
      <c r="AD109" s="144">
        <f>SUMIFS('февраль 2024'!$G$4:$G$1413,'февраль 2024'!$D$4:$D$1413,$B109,'февраль 2024'!$J$4:$J$1413,AD$1)</f>
        <v>0</v>
      </c>
      <c r="AE109" s="144">
        <f>SUMIFS('февраль 2024'!$G$4:$G$1413,'февраль 2024'!$D$4:$D$1413,$B109,'февраль 2024'!$J$4:$J$1413,AE$1)</f>
        <v>0</v>
      </c>
      <c r="AF109" s="144">
        <f>SUMIFS('февраль 2024'!$G$4:$G$1413,'февраль 2024'!$D$4:$D$1413,$B109,'февраль 2024'!$J$4:$J$1413,AF$1)</f>
        <v>0</v>
      </c>
      <c r="AG109" s="144">
        <f>SUMIFS('февраль 2024'!$G$4:$G$1413,'февраль 2024'!$D$4:$D$1413,$B109,'февраль 2024'!$J$4:$J$1413,AG$1)</f>
        <v>0</v>
      </c>
      <c r="AH109" s="144">
        <f>SUMIFS('февраль 2024'!$G$4:$G$1413,'февраль 2024'!$D$4:$D$1413,$B109,'февраль 2024'!$J$4:$J$1413,AH$1)</f>
        <v>0</v>
      </c>
      <c r="AI109" s="21">
        <f t="shared" si="1"/>
        <v>0</v>
      </c>
    </row>
    <row r="110" spans="2:35" ht="15" customHeight="1" x14ac:dyDescent="0.25">
      <c r="B110" s="89" t="s">
        <v>193</v>
      </c>
      <c r="C110" s="88">
        <v>180</v>
      </c>
      <c r="D110" s="144">
        <f>SUMIFS('февраль 2024'!$G$4:$G$1413,'февраль 2024'!$D$4:$D$1413,$B110,'февраль 2024'!$J$4:$J$1413,D$1)</f>
        <v>0</v>
      </c>
      <c r="E110" s="144">
        <f>SUMIFS('февраль 2024'!$G$4:$G$1413,'февраль 2024'!$D$4:$D$1413,$B110,'февраль 2024'!$J$4:$J$1413,E$1)</f>
        <v>0</v>
      </c>
      <c r="F110" s="144">
        <f>SUMIFS('февраль 2024'!$G$4:$G$1413,'февраль 2024'!$D$4:$D$1413,$B110,'февраль 2024'!$J$4:$J$1413,F$1)</f>
        <v>0</v>
      </c>
      <c r="G110" s="144">
        <f>SUMIFS('февраль 2024'!$G$4:$G$1413,'февраль 2024'!$D$4:$D$1413,$B110,'февраль 2024'!$J$4:$J$1413,G$1)</f>
        <v>0</v>
      </c>
      <c r="H110" s="144">
        <f>SUMIFS('февраль 2024'!$G$4:$G$1413,'февраль 2024'!$D$4:$D$1413,$B110,'февраль 2024'!$J$4:$J$1413,H$1)</f>
        <v>0</v>
      </c>
      <c r="I110" s="144">
        <f>SUMIFS('февраль 2024'!$G$4:$G$1413,'февраль 2024'!$D$4:$D$1413,$B110,'февраль 2024'!$J$4:$J$1413,I$1)</f>
        <v>0</v>
      </c>
      <c r="J110" s="144">
        <f>SUMIFS('февраль 2024'!$G$4:$G$1413,'февраль 2024'!$D$4:$D$1413,$B110,'февраль 2024'!$J$4:$J$1413,J$1)</f>
        <v>0</v>
      </c>
      <c r="K110" s="144">
        <f>SUMIFS('февраль 2024'!$G$4:$G$1413,'февраль 2024'!$D$4:$D$1413,$B110,'февраль 2024'!$J$4:$J$1413,K$1)</f>
        <v>0</v>
      </c>
      <c r="L110" s="144">
        <f>SUMIFS('февраль 2024'!$G$4:$G$1413,'февраль 2024'!$D$4:$D$1413,$B110,'февраль 2024'!$J$4:$J$1413,L$1)</f>
        <v>0</v>
      </c>
      <c r="M110" s="144">
        <f>SUMIFS('февраль 2024'!$G$4:$G$1413,'февраль 2024'!$D$4:$D$1413,$B110,'февраль 2024'!$J$4:$J$1413,M$1)</f>
        <v>0</v>
      </c>
      <c r="N110" s="144">
        <f>SUMIFS('февраль 2024'!$G$4:$G$1413,'февраль 2024'!$D$4:$D$1413,$B110,'февраль 2024'!$J$4:$J$1413,N$1)</f>
        <v>0</v>
      </c>
      <c r="O110" s="144">
        <f>SUMIFS('февраль 2024'!$G$4:$G$1413,'февраль 2024'!$D$4:$D$1413,$B110,'февраль 2024'!$J$4:$J$1413,O$1)</f>
        <v>0</v>
      </c>
      <c r="P110" s="144">
        <f>SUMIFS('февраль 2024'!$G$4:$G$1413,'февраль 2024'!$D$4:$D$1413,$B110,'февраль 2024'!$J$4:$J$1413,P$1)</f>
        <v>0</v>
      </c>
      <c r="Q110" s="144">
        <f>SUMIFS('февраль 2024'!$G$4:$G$1413,'февраль 2024'!$D$4:$D$1413,$B110,'февраль 2024'!$J$4:$J$1413,Q$1)</f>
        <v>0</v>
      </c>
      <c r="R110" s="144">
        <f>SUMIFS('февраль 2024'!$G$4:$G$1413,'февраль 2024'!$D$4:$D$1413,$B110,'февраль 2024'!$J$4:$J$1413,R$1)</f>
        <v>0</v>
      </c>
      <c r="S110" s="144">
        <f>SUMIFS('февраль 2024'!$G$4:$G$1413,'февраль 2024'!$D$4:$D$1413,$B110,'февраль 2024'!$J$4:$J$1413,S$1)</f>
        <v>0</v>
      </c>
      <c r="T110" s="144">
        <f>SUMIFS('февраль 2024'!$G$4:$G$1413,'февраль 2024'!$D$4:$D$1413,$B110,'февраль 2024'!$J$4:$J$1413,T$1)</f>
        <v>0</v>
      </c>
      <c r="U110" s="144">
        <f>SUMIFS('февраль 2024'!$G$4:$G$1413,'февраль 2024'!$D$4:$D$1413,$B110,'февраль 2024'!$J$4:$J$1413,U$1)</f>
        <v>0</v>
      </c>
      <c r="V110" s="144">
        <f>SUMIFS('февраль 2024'!$G$4:$G$1413,'февраль 2024'!$D$4:$D$1413,$B110,'февраль 2024'!$J$4:$J$1413,V$1)</f>
        <v>0</v>
      </c>
      <c r="W110" s="144">
        <f>SUMIFS('февраль 2024'!$G$4:$G$1413,'февраль 2024'!$D$4:$D$1413,$B110,'февраль 2024'!$J$4:$J$1413,W$1)</f>
        <v>0</v>
      </c>
      <c r="X110" s="144">
        <f>SUMIFS('февраль 2024'!$G$4:$G$1413,'февраль 2024'!$D$4:$D$1413,$B110,'февраль 2024'!$J$4:$J$1413,X$1)</f>
        <v>0</v>
      </c>
      <c r="Y110" s="144">
        <f>SUMIFS('февраль 2024'!$G$4:$G$1413,'февраль 2024'!$D$4:$D$1413,$B110,'февраль 2024'!$J$4:$J$1413,Y$1)</f>
        <v>0</v>
      </c>
      <c r="Z110" s="144">
        <f>SUMIFS('февраль 2024'!$G$4:$G$1413,'февраль 2024'!$D$4:$D$1413,$B110,'февраль 2024'!$J$4:$J$1413,Z$1)</f>
        <v>0</v>
      </c>
      <c r="AA110" s="144">
        <f>SUMIFS('февраль 2024'!$G$4:$G$1413,'февраль 2024'!$D$4:$D$1413,$B110,'февраль 2024'!$J$4:$J$1413,AA$1)</f>
        <v>0</v>
      </c>
      <c r="AB110" s="144">
        <f>SUMIFS('февраль 2024'!$G$4:$G$1413,'февраль 2024'!$D$4:$D$1413,$B110,'февраль 2024'!$J$4:$J$1413,AB$1)</f>
        <v>0</v>
      </c>
      <c r="AC110" s="144">
        <f>SUMIFS('февраль 2024'!$G$4:$G$1413,'февраль 2024'!$D$4:$D$1413,$B110,'февраль 2024'!$J$4:$J$1413,AC$1)</f>
        <v>0</v>
      </c>
      <c r="AD110" s="144">
        <f>SUMIFS('февраль 2024'!$G$4:$G$1413,'февраль 2024'!$D$4:$D$1413,$B110,'февраль 2024'!$J$4:$J$1413,AD$1)</f>
        <v>0</v>
      </c>
      <c r="AE110" s="144">
        <f>SUMIFS('февраль 2024'!$G$4:$G$1413,'февраль 2024'!$D$4:$D$1413,$B110,'февраль 2024'!$J$4:$J$1413,AE$1)</f>
        <v>0</v>
      </c>
      <c r="AF110" s="144">
        <f>SUMIFS('февраль 2024'!$G$4:$G$1413,'февраль 2024'!$D$4:$D$1413,$B110,'февраль 2024'!$J$4:$J$1413,AF$1)</f>
        <v>0</v>
      </c>
      <c r="AG110" s="144">
        <f>SUMIFS('февраль 2024'!$G$4:$G$1413,'февраль 2024'!$D$4:$D$1413,$B110,'февраль 2024'!$J$4:$J$1413,AG$1)</f>
        <v>0</v>
      </c>
      <c r="AH110" s="144">
        <f>SUMIFS('февраль 2024'!$G$4:$G$1413,'февраль 2024'!$D$4:$D$1413,$B110,'февраль 2024'!$J$4:$J$1413,AH$1)</f>
        <v>0</v>
      </c>
      <c r="AI110" s="21">
        <f t="shared" si="1"/>
        <v>0</v>
      </c>
    </row>
    <row r="111" spans="2:35" ht="15" customHeight="1" x14ac:dyDescent="0.25">
      <c r="B111" s="89" t="s">
        <v>177</v>
      </c>
      <c r="C111" s="88">
        <v>200</v>
      </c>
      <c r="D111" s="144">
        <f>SUMIFS('февраль 2024'!$G$4:$G$1413,'февраль 2024'!$D$4:$D$1413,$B111,'февраль 2024'!$J$4:$J$1413,D$1)</f>
        <v>0</v>
      </c>
      <c r="E111" s="144">
        <f>SUMIFS('февраль 2024'!$G$4:$G$1413,'февраль 2024'!$D$4:$D$1413,$B111,'февраль 2024'!$J$4:$J$1413,E$1)</f>
        <v>0</v>
      </c>
      <c r="F111" s="144">
        <f>SUMIFS('февраль 2024'!$G$4:$G$1413,'февраль 2024'!$D$4:$D$1413,$B111,'февраль 2024'!$J$4:$J$1413,F$1)</f>
        <v>0</v>
      </c>
      <c r="G111" s="144">
        <f>SUMIFS('февраль 2024'!$G$4:$G$1413,'февраль 2024'!$D$4:$D$1413,$B111,'февраль 2024'!$J$4:$J$1413,G$1)</f>
        <v>0</v>
      </c>
      <c r="H111" s="144">
        <f>SUMIFS('февраль 2024'!$G$4:$G$1413,'февраль 2024'!$D$4:$D$1413,$B111,'февраль 2024'!$J$4:$J$1413,H$1)</f>
        <v>0</v>
      </c>
      <c r="I111" s="144">
        <f>SUMIFS('февраль 2024'!$G$4:$G$1413,'февраль 2024'!$D$4:$D$1413,$B111,'февраль 2024'!$J$4:$J$1413,I$1)</f>
        <v>0</v>
      </c>
      <c r="J111" s="144">
        <f>SUMIFS('февраль 2024'!$G$4:$G$1413,'февраль 2024'!$D$4:$D$1413,$B111,'февраль 2024'!$J$4:$J$1413,J$1)</f>
        <v>0</v>
      </c>
      <c r="K111" s="144">
        <f>SUMIFS('февраль 2024'!$G$4:$G$1413,'февраль 2024'!$D$4:$D$1413,$B111,'февраль 2024'!$J$4:$J$1413,K$1)</f>
        <v>0</v>
      </c>
      <c r="L111" s="144">
        <f>SUMIFS('февраль 2024'!$G$4:$G$1413,'февраль 2024'!$D$4:$D$1413,$B111,'февраль 2024'!$J$4:$J$1413,L$1)</f>
        <v>0</v>
      </c>
      <c r="M111" s="144">
        <f>SUMIFS('февраль 2024'!$G$4:$G$1413,'февраль 2024'!$D$4:$D$1413,$B111,'февраль 2024'!$J$4:$J$1413,M$1)</f>
        <v>0</v>
      </c>
      <c r="N111" s="144">
        <f>SUMIFS('февраль 2024'!$G$4:$G$1413,'февраль 2024'!$D$4:$D$1413,$B111,'февраль 2024'!$J$4:$J$1413,N$1)</f>
        <v>0</v>
      </c>
      <c r="O111" s="144">
        <f>SUMIFS('февраль 2024'!$G$4:$G$1413,'февраль 2024'!$D$4:$D$1413,$B111,'февраль 2024'!$J$4:$J$1413,O$1)</f>
        <v>0</v>
      </c>
      <c r="P111" s="144">
        <f>SUMIFS('февраль 2024'!$G$4:$G$1413,'февраль 2024'!$D$4:$D$1413,$B111,'февраль 2024'!$J$4:$J$1413,P$1)</f>
        <v>0</v>
      </c>
      <c r="Q111" s="144">
        <f>SUMIFS('февраль 2024'!$G$4:$G$1413,'февраль 2024'!$D$4:$D$1413,$B111,'февраль 2024'!$J$4:$J$1413,Q$1)</f>
        <v>0</v>
      </c>
      <c r="R111" s="144">
        <f>SUMIFS('февраль 2024'!$G$4:$G$1413,'февраль 2024'!$D$4:$D$1413,$B111,'февраль 2024'!$J$4:$J$1413,R$1)</f>
        <v>0</v>
      </c>
      <c r="S111" s="144">
        <f>SUMIFS('февраль 2024'!$G$4:$G$1413,'февраль 2024'!$D$4:$D$1413,$B111,'февраль 2024'!$J$4:$J$1413,S$1)</f>
        <v>0</v>
      </c>
      <c r="T111" s="144">
        <f>SUMIFS('февраль 2024'!$G$4:$G$1413,'февраль 2024'!$D$4:$D$1413,$B111,'февраль 2024'!$J$4:$J$1413,T$1)</f>
        <v>0</v>
      </c>
      <c r="U111" s="144">
        <f>SUMIFS('февраль 2024'!$G$4:$G$1413,'февраль 2024'!$D$4:$D$1413,$B111,'февраль 2024'!$J$4:$J$1413,U$1)</f>
        <v>0</v>
      </c>
      <c r="V111" s="144">
        <f>SUMIFS('февраль 2024'!$G$4:$G$1413,'февраль 2024'!$D$4:$D$1413,$B111,'февраль 2024'!$J$4:$J$1413,V$1)</f>
        <v>0</v>
      </c>
      <c r="W111" s="144">
        <f>SUMIFS('февраль 2024'!$G$4:$G$1413,'февраль 2024'!$D$4:$D$1413,$B111,'февраль 2024'!$J$4:$J$1413,W$1)</f>
        <v>0</v>
      </c>
      <c r="X111" s="144">
        <f>SUMIFS('февраль 2024'!$G$4:$G$1413,'февраль 2024'!$D$4:$D$1413,$B111,'февраль 2024'!$J$4:$J$1413,X$1)</f>
        <v>0</v>
      </c>
      <c r="Y111" s="144">
        <f>SUMIFS('февраль 2024'!$G$4:$G$1413,'февраль 2024'!$D$4:$D$1413,$B111,'февраль 2024'!$J$4:$J$1413,Y$1)</f>
        <v>0</v>
      </c>
      <c r="Z111" s="144">
        <f>SUMIFS('февраль 2024'!$G$4:$G$1413,'февраль 2024'!$D$4:$D$1413,$B111,'февраль 2024'!$J$4:$J$1413,Z$1)</f>
        <v>0</v>
      </c>
      <c r="AA111" s="144">
        <f>SUMIFS('февраль 2024'!$G$4:$G$1413,'февраль 2024'!$D$4:$D$1413,$B111,'февраль 2024'!$J$4:$J$1413,AA$1)</f>
        <v>0</v>
      </c>
      <c r="AB111" s="144">
        <f>SUMIFS('февраль 2024'!$G$4:$G$1413,'февраль 2024'!$D$4:$D$1413,$B111,'февраль 2024'!$J$4:$J$1413,AB$1)</f>
        <v>0</v>
      </c>
      <c r="AC111" s="144">
        <f>SUMIFS('февраль 2024'!$G$4:$G$1413,'февраль 2024'!$D$4:$D$1413,$B111,'февраль 2024'!$J$4:$J$1413,AC$1)</f>
        <v>0</v>
      </c>
      <c r="AD111" s="144">
        <f>SUMIFS('февраль 2024'!$G$4:$G$1413,'февраль 2024'!$D$4:$D$1413,$B111,'февраль 2024'!$J$4:$J$1413,AD$1)</f>
        <v>0</v>
      </c>
      <c r="AE111" s="144">
        <f>SUMIFS('февраль 2024'!$G$4:$G$1413,'февраль 2024'!$D$4:$D$1413,$B111,'февраль 2024'!$J$4:$J$1413,AE$1)</f>
        <v>0</v>
      </c>
      <c r="AF111" s="144">
        <f>SUMIFS('февраль 2024'!$G$4:$G$1413,'февраль 2024'!$D$4:$D$1413,$B111,'февраль 2024'!$J$4:$J$1413,AF$1)</f>
        <v>0</v>
      </c>
      <c r="AG111" s="144">
        <f>SUMIFS('февраль 2024'!$G$4:$G$1413,'февраль 2024'!$D$4:$D$1413,$B111,'февраль 2024'!$J$4:$J$1413,AG$1)</f>
        <v>0</v>
      </c>
      <c r="AH111" s="144">
        <f>SUMIFS('февраль 2024'!$G$4:$G$1413,'февраль 2024'!$D$4:$D$1413,$B111,'февраль 2024'!$J$4:$J$1413,AH$1)</f>
        <v>0</v>
      </c>
      <c r="AI111" s="21">
        <f t="shared" si="1"/>
        <v>0</v>
      </c>
    </row>
    <row r="112" spans="2:35" ht="15" customHeight="1" x14ac:dyDescent="0.25">
      <c r="B112" s="89" t="s">
        <v>178</v>
      </c>
      <c r="C112" s="88">
        <v>200</v>
      </c>
      <c r="D112" s="144">
        <f>SUMIFS('февраль 2024'!$G$4:$G$1413,'февраль 2024'!$D$4:$D$1413,$B112,'февраль 2024'!$J$4:$J$1413,D$1)</f>
        <v>0</v>
      </c>
      <c r="E112" s="144">
        <f>SUMIFS('февраль 2024'!$G$4:$G$1413,'февраль 2024'!$D$4:$D$1413,$B112,'февраль 2024'!$J$4:$J$1413,E$1)</f>
        <v>0</v>
      </c>
      <c r="F112" s="144">
        <f>SUMIFS('февраль 2024'!$G$4:$G$1413,'февраль 2024'!$D$4:$D$1413,$B112,'февраль 2024'!$J$4:$J$1413,F$1)</f>
        <v>0</v>
      </c>
      <c r="G112" s="144">
        <f>SUMIFS('февраль 2024'!$G$4:$G$1413,'февраль 2024'!$D$4:$D$1413,$B112,'февраль 2024'!$J$4:$J$1413,G$1)</f>
        <v>0</v>
      </c>
      <c r="H112" s="144">
        <f>SUMIFS('февраль 2024'!$G$4:$G$1413,'февраль 2024'!$D$4:$D$1413,$B112,'февраль 2024'!$J$4:$J$1413,H$1)</f>
        <v>0</v>
      </c>
      <c r="I112" s="144">
        <f>SUMIFS('февраль 2024'!$G$4:$G$1413,'февраль 2024'!$D$4:$D$1413,$B112,'февраль 2024'!$J$4:$J$1413,I$1)</f>
        <v>0</v>
      </c>
      <c r="J112" s="144">
        <f>SUMIFS('февраль 2024'!$G$4:$G$1413,'февраль 2024'!$D$4:$D$1413,$B112,'февраль 2024'!$J$4:$J$1413,J$1)</f>
        <v>0</v>
      </c>
      <c r="K112" s="144">
        <f>SUMIFS('февраль 2024'!$G$4:$G$1413,'февраль 2024'!$D$4:$D$1413,$B112,'февраль 2024'!$J$4:$J$1413,K$1)</f>
        <v>0</v>
      </c>
      <c r="L112" s="144">
        <f>SUMIFS('февраль 2024'!$G$4:$G$1413,'февраль 2024'!$D$4:$D$1413,$B112,'февраль 2024'!$J$4:$J$1413,L$1)</f>
        <v>0</v>
      </c>
      <c r="M112" s="144">
        <f>SUMIFS('февраль 2024'!$G$4:$G$1413,'февраль 2024'!$D$4:$D$1413,$B112,'февраль 2024'!$J$4:$J$1413,M$1)</f>
        <v>0</v>
      </c>
      <c r="N112" s="144">
        <f>SUMIFS('февраль 2024'!$G$4:$G$1413,'февраль 2024'!$D$4:$D$1413,$B112,'февраль 2024'!$J$4:$J$1413,N$1)</f>
        <v>0</v>
      </c>
      <c r="O112" s="144">
        <f>SUMIFS('февраль 2024'!$G$4:$G$1413,'февраль 2024'!$D$4:$D$1413,$B112,'февраль 2024'!$J$4:$J$1413,O$1)</f>
        <v>0</v>
      </c>
      <c r="P112" s="144">
        <f>SUMIFS('февраль 2024'!$G$4:$G$1413,'февраль 2024'!$D$4:$D$1413,$B112,'февраль 2024'!$J$4:$J$1413,P$1)</f>
        <v>0</v>
      </c>
      <c r="Q112" s="144">
        <f>SUMIFS('февраль 2024'!$G$4:$G$1413,'февраль 2024'!$D$4:$D$1413,$B112,'февраль 2024'!$J$4:$J$1413,Q$1)</f>
        <v>0</v>
      </c>
      <c r="R112" s="144">
        <f>SUMIFS('февраль 2024'!$G$4:$G$1413,'февраль 2024'!$D$4:$D$1413,$B112,'февраль 2024'!$J$4:$J$1413,R$1)</f>
        <v>0</v>
      </c>
      <c r="S112" s="144">
        <f>SUMIFS('февраль 2024'!$G$4:$G$1413,'февраль 2024'!$D$4:$D$1413,$B112,'февраль 2024'!$J$4:$J$1413,S$1)</f>
        <v>0</v>
      </c>
      <c r="T112" s="144">
        <f>SUMIFS('февраль 2024'!$G$4:$G$1413,'февраль 2024'!$D$4:$D$1413,$B112,'февраль 2024'!$J$4:$J$1413,T$1)</f>
        <v>0</v>
      </c>
      <c r="U112" s="144">
        <f>SUMIFS('февраль 2024'!$G$4:$G$1413,'февраль 2024'!$D$4:$D$1413,$B112,'февраль 2024'!$J$4:$J$1413,U$1)</f>
        <v>0</v>
      </c>
      <c r="V112" s="144">
        <f>SUMIFS('февраль 2024'!$G$4:$G$1413,'февраль 2024'!$D$4:$D$1413,$B112,'февраль 2024'!$J$4:$J$1413,V$1)</f>
        <v>0</v>
      </c>
      <c r="W112" s="144">
        <f>SUMIFS('февраль 2024'!$G$4:$G$1413,'февраль 2024'!$D$4:$D$1413,$B112,'февраль 2024'!$J$4:$J$1413,W$1)</f>
        <v>0</v>
      </c>
      <c r="X112" s="144">
        <f>SUMIFS('февраль 2024'!$G$4:$G$1413,'февраль 2024'!$D$4:$D$1413,$B112,'февраль 2024'!$J$4:$J$1413,X$1)</f>
        <v>0</v>
      </c>
      <c r="Y112" s="144">
        <f>SUMIFS('февраль 2024'!$G$4:$G$1413,'февраль 2024'!$D$4:$D$1413,$B112,'февраль 2024'!$J$4:$J$1413,Y$1)</f>
        <v>0</v>
      </c>
      <c r="Z112" s="144">
        <f>SUMIFS('февраль 2024'!$G$4:$G$1413,'февраль 2024'!$D$4:$D$1413,$B112,'февраль 2024'!$J$4:$J$1413,Z$1)</f>
        <v>0</v>
      </c>
      <c r="AA112" s="144">
        <f>SUMIFS('февраль 2024'!$G$4:$G$1413,'февраль 2024'!$D$4:$D$1413,$B112,'февраль 2024'!$J$4:$J$1413,AA$1)</f>
        <v>0</v>
      </c>
      <c r="AB112" s="144">
        <f>SUMIFS('февраль 2024'!$G$4:$G$1413,'февраль 2024'!$D$4:$D$1413,$B112,'февраль 2024'!$J$4:$J$1413,AB$1)</f>
        <v>0</v>
      </c>
      <c r="AC112" s="144">
        <f>SUMIFS('февраль 2024'!$G$4:$G$1413,'февраль 2024'!$D$4:$D$1413,$B112,'февраль 2024'!$J$4:$J$1413,AC$1)</f>
        <v>0</v>
      </c>
      <c r="AD112" s="144">
        <f>SUMIFS('февраль 2024'!$G$4:$G$1413,'февраль 2024'!$D$4:$D$1413,$B112,'февраль 2024'!$J$4:$J$1413,AD$1)</f>
        <v>0</v>
      </c>
      <c r="AE112" s="144">
        <f>SUMIFS('февраль 2024'!$G$4:$G$1413,'февраль 2024'!$D$4:$D$1413,$B112,'февраль 2024'!$J$4:$J$1413,AE$1)</f>
        <v>0</v>
      </c>
      <c r="AF112" s="144">
        <f>SUMIFS('февраль 2024'!$G$4:$G$1413,'февраль 2024'!$D$4:$D$1413,$B112,'февраль 2024'!$J$4:$J$1413,AF$1)</f>
        <v>0</v>
      </c>
      <c r="AG112" s="144">
        <f>SUMIFS('февраль 2024'!$G$4:$G$1413,'февраль 2024'!$D$4:$D$1413,$B112,'февраль 2024'!$J$4:$J$1413,AG$1)</f>
        <v>0</v>
      </c>
      <c r="AH112" s="144">
        <f>SUMIFS('февраль 2024'!$G$4:$G$1413,'февраль 2024'!$D$4:$D$1413,$B112,'февраль 2024'!$J$4:$J$1413,AH$1)</f>
        <v>0</v>
      </c>
      <c r="AI112" s="21">
        <f t="shared" si="1"/>
        <v>0</v>
      </c>
    </row>
    <row r="113" spans="2:35" ht="15" customHeight="1" x14ac:dyDescent="0.25">
      <c r="B113" s="89" t="s">
        <v>180</v>
      </c>
      <c r="C113" s="88">
        <v>200</v>
      </c>
      <c r="D113" s="144">
        <f>SUMIFS('февраль 2024'!$G$4:$G$1413,'февраль 2024'!$D$4:$D$1413,$B113,'февраль 2024'!$J$4:$J$1413,D$1)</f>
        <v>0</v>
      </c>
      <c r="E113" s="144">
        <f>SUMIFS('февраль 2024'!$G$4:$G$1413,'февраль 2024'!$D$4:$D$1413,$B113,'февраль 2024'!$J$4:$J$1413,E$1)</f>
        <v>0</v>
      </c>
      <c r="F113" s="144">
        <f>SUMIFS('февраль 2024'!$G$4:$G$1413,'февраль 2024'!$D$4:$D$1413,$B113,'февраль 2024'!$J$4:$J$1413,F$1)</f>
        <v>0</v>
      </c>
      <c r="G113" s="144">
        <f>SUMIFS('февраль 2024'!$G$4:$G$1413,'февраль 2024'!$D$4:$D$1413,$B113,'февраль 2024'!$J$4:$J$1413,G$1)</f>
        <v>0</v>
      </c>
      <c r="H113" s="144">
        <f>SUMIFS('февраль 2024'!$G$4:$G$1413,'февраль 2024'!$D$4:$D$1413,$B113,'февраль 2024'!$J$4:$J$1413,H$1)</f>
        <v>0</v>
      </c>
      <c r="I113" s="144">
        <f>SUMIFS('февраль 2024'!$G$4:$G$1413,'февраль 2024'!$D$4:$D$1413,$B113,'февраль 2024'!$J$4:$J$1413,I$1)</f>
        <v>0</v>
      </c>
      <c r="J113" s="144">
        <f>SUMIFS('февраль 2024'!$G$4:$G$1413,'февраль 2024'!$D$4:$D$1413,$B113,'февраль 2024'!$J$4:$J$1413,J$1)</f>
        <v>0</v>
      </c>
      <c r="K113" s="144">
        <f>SUMIFS('февраль 2024'!$G$4:$G$1413,'февраль 2024'!$D$4:$D$1413,$B113,'февраль 2024'!$J$4:$J$1413,K$1)</f>
        <v>0</v>
      </c>
      <c r="L113" s="144">
        <f>SUMIFS('февраль 2024'!$G$4:$G$1413,'февраль 2024'!$D$4:$D$1413,$B113,'февраль 2024'!$J$4:$J$1413,L$1)</f>
        <v>0</v>
      </c>
      <c r="M113" s="144">
        <f>SUMIFS('февраль 2024'!$G$4:$G$1413,'февраль 2024'!$D$4:$D$1413,$B113,'февраль 2024'!$J$4:$J$1413,M$1)</f>
        <v>0</v>
      </c>
      <c r="N113" s="144">
        <f>SUMIFS('февраль 2024'!$G$4:$G$1413,'февраль 2024'!$D$4:$D$1413,$B113,'февраль 2024'!$J$4:$J$1413,N$1)</f>
        <v>0</v>
      </c>
      <c r="O113" s="144">
        <f>SUMIFS('февраль 2024'!$G$4:$G$1413,'февраль 2024'!$D$4:$D$1413,$B113,'февраль 2024'!$J$4:$J$1413,O$1)</f>
        <v>0</v>
      </c>
      <c r="P113" s="144">
        <f>SUMIFS('февраль 2024'!$G$4:$G$1413,'февраль 2024'!$D$4:$D$1413,$B113,'февраль 2024'!$J$4:$J$1413,P$1)</f>
        <v>0</v>
      </c>
      <c r="Q113" s="144">
        <f>SUMIFS('февраль 2024'!$G$4:$G$1413,'февраль 2024'!$D$4:$D$1413,$B113,'февраль 2024'!$J$4:$J$1413,Q$1)</f>
        <v>0</v>
      </c>
      <c r="R113" s="144">
        <f>SUMIFS('февраль 2024'!$G$4:$G$1413,'февраль 2024'!$D$4:$D$1413,$B113,'февраль 2024'!$J$4:$J$1413,R$1)</f>
        <v>0</v>
      </c>
      <c r="S113" s="144">
        <f>SUMIFS('февраль 2024'!$G$4:$G$1413,'февраль 2024'!$D$4:$D$1413,$B113,'февраль 2024'!$J$4:$J$1413,S$1)</f>
        <v>0</v>
      </c>
      <c r="T113" s="144">
        <f>SUMIFS('февраль 2024'!$G$4:$G$1413,'февраль 2024'!$D$4:$D$1413,$B113,'февраль 2024'!$J$4:$J$1413,T$1)</f>
        <v>0</v>
      </c>
      <c r="U113" s="144">
        <f>SUMIFS('февраль 2024'!$G$4:$G$1413,'февраль 2024'!$D$4:$D$1413,$B113,'февраль 2024'!$J$4:$J$1413,U$1)</f>
        <v>0</v>
      </c>
      <c r="V113" s="144">
        <f>SUMIFS('февраль 2024'!$G$4:$G$1413,'февраль 2024'!$D$4:$D$1413,$B113,'февраль 2024'!$J$4:$J$1413,V$1)</f>
        <v>0</v>
      </c>
      <c r="W113" s="144">
        <f>SUMIFS('февраль 2024'!$G$4:$G$1413,'февраль 2024'!$D$4:$D$1413,$B113,'февраль 2024'!$J$4:$J$1413,W$1)</f>
        <v>0</v>
      </c>
      <c r="X113" s="144">
        <f>SUMIFS('февраль 2024'!$G$4:$G$1413,'февраль 2024'!$D$4:$D$1413,$B113,'февраль 2024'!$J$4:$J$1413,X$1)</f>
        <v>0</v>
      </c>
      <c r="Y113" s="144">
        <f>SUMIFS('февраль 2024'!$G$4:$G$1413,'февраль 2024'!$D$4:$D$1413,$B113,'февраль 2024'!$J$4:$J$1413,Y$1)</f>
        <v>0</v>
      </c>
      <c r="Z113" s="144">
        <f>SUMIFS('февраль 2024'!$G$4:$G$1413,'февраль 2024'!$D$4:$D$1413,$B113,'февраль 2024'!$J$4:$J$1413,Z$1)</f>
        <v>0</v>
      </c>
      <c r="AA113" s="144">
        <f>SUMIFS('февраль 2024'!$G$4:$G$1413,'февраль 2024'!$D$4:$D$1413,$B113,'февраль 2024'!$J$4:$J$1413,AA$1)</f>
        <v>0</v>
      </c>
      <c r="AB113" s="144">
        <f>SUMIFS('февраль 2024'!$G$4:$G$1413,'февраль 2024'!$D$4:$D$1413,$B113,'февраль 2024'!$J$4:$J$1413,AB$1)</f>
        <v>0</v>
      </c>
      <c r="AC113" s="144">
        <f>SUMIFS('февраль 2024'!$G$4:$G$1413,'февраль 2024'!$D$4:$D$1413,$B113,'февраль 2024'!$J$4:$J$1413,AC$1)</f>
        <v>0</v>
      </c>
      <c r="AD113" s="144">
        <f>SUMIFS('февраль 2024'!$G$4:$G$1413,'февраль 2024'!$D$4:$D$1413,$B113,'февраль 2024'!$J$4:$J$1413,AD$1)</f>
        <v>0</v>
      </c>
      <c r="AE113" s="144">
        <f>SUMIFS('февраль 2024'!$G$4:$G$1413,'февраль 2024'!$D$4:$D$1413,$B113,'февраль 2024'!$J$4:$J$1413,AE$1)</f>
        <v>0</v>
      </c>
      <c r="AF113" s="144">
        <f>SUMIFS('февраль 2024'!$G$4:$G$1413,'февраль 2024'!$D$4:$D$1413,$B113,'февраль 2024'!$J$4:$J$1413,AF$1)</f>
        <v>0</v>
      </c>
      <c r="AG113" s="144">
        <f>SUMIFS('февраль 2024'!$G$4:$G$1413,'февраль 2024'!$D$4:$D$1413,$B113,'февраль 2024'!$J$4:$J$1413,AG$1)</f>
        <v>0</v>
      </c>
      <c r="AH113" s="144">
        <f>SUMIFS('февраль 2024'!$G$4:$G$1413,'февраль 2024'!$D$4:$D$1413,$B113,'февраль 2024'!$J$4:$J$1413,AH$1)</f>
        <v>0</v>
      </c>
      <c r="AI113" s="21">
        <f t="shared" si="1"/>
        <v>0</v>
      </c>
    </row>
    <row r="114" spans="2:35" ht="15" customHeight="1" x14ac:dyDescent="0.25">
      <c r="B114" s="94" t="s">
        <v>194</v>
      </c>
      <c r="C114" s="95">
        <v>180</v>
      </c>
      <c r="D114" s="144">
        <f>SUMIFS('февраль 2024'!$G$4:$G$1413,'февраль 2024'!$D$4:$D$1413,$B114,'февраль 2024'!$J$4:$J$1413,D$1)</f>
        <v>0</v>
      </c>
      <c r="E114" s="144">
        <f>SUMIFS('февраль 2024'!$G$4:$G$1413,'февраль 2024'!$D$4:$D$1413,$B114,'февраль 2024'!$J$4:$J$1413,E$1)</f>
        <v>0</v>
      </c>
      <c r="F114" s="144">
        <f>SUMIFS('февраль 2024'!$G$4:$G$1413,'февраль 2024'!$D$4:$D$1413,$B114,'февраль 2024'!$J$4:$J$1413,F$1)</f>
        <v>0</v>
      </c>
      <c r="G114" s="144">
        <f>SUMIFS('февраль 2024'!$G$4:$G$1413,'февраль 2024'!$D$4:$D$1413,$B114,'февраль 2024'!$J$4:$J$1413,G$1)</f>
        <v>0</v>
      </c>
      <c r="H114" s="144">
        <f>SUMIFS('февраль 2024'!$G$4:$G$1413,'февраль 2024'!$D$4:$D$1413,$B114,'февраль 2024'!$J$4:$J$1413,H$1)</f>
        <v>0</v>
      </c>
      <c r="I114" s="144">
        <f>SUMIFS('февраль 2024'!$G$4:$G$1413,'февраль 2024'!$D$4:$D$1413,$B114,'февраль 2024'!$J$4:$J$1413,I$1)</f>
        <v>0</v>
      </c>
      <c r="J114" s="144">
        <f>SUMIFS('февраль 2024'!$G$4:$G$1413,'февраль 2024'!$D$4:$D$1413,$B114,'февраль 2024'!$J$4:$J$1413,J$1)</f>
        <v>0</v>
      </c>
      <c r="K114" s="144">
        <f>SUMIFS('февраль 2024'!$G$4:$G$1413,'февраль 2024'!$D$4:$D$1413,$B114,'февраль 2024'!$J$4:$J$1413,K$1)</f>
        <v>0</v>
      </c>
      <c r="L114" s="144">
        <f>SUMIFS('февраль 2024'!$G$4:$G$1413,'февраль 2024'!$D$4:$D$1413,$B114,'февраль 2024'!$J$4:$J$1413,L$1)</f>
        <v>0</v>
      </c>
      <c r="M114" s="144">
        <f>SUMIFS('февраль 2024'!$G$4:$G$1413,'февраль 2024'!$D$4:$D$1413,$B114,'февраль 2024'!$J$4:$J$1413,M$1)</f>
        <v>0</v>
      </c>
      <c r="N114" s="144">
        <f>SUMIFS('февраль 2024'!$G$4:$G$1413,'февраль 2024'!$D$4:$D$1413,$B114,'февраль 2024'!$J$4:$J$1413,N$1)</f>
        <v>0</v>
      </c>
      <c r="O114" s="144">
        <f>SUMIFS('февраль 2024'!$G$4:$G$1413,'февраль 2024'!$D$4:$D$1413,$B114,'февраль 2024'!$J$4:$J$1413,O$1)</f>
        <v>0</v>
      </c>
      <c r="P114" s="144">
        <f>SUMIFS('февраль 2024'!$G$4:$G$1413,'февраль 2024'!$D$4:$D$1413,$B114,'февраль 2024'!$J$4:$J$1413,P$1)</f>
        <v>0</v>
      </c>
      <c r="Q114" s="144">
        <f>SUMIFS('февраль 2024'!$G$4:$G$1413,'февраль 2024'!$D$4:$D$1413,$B114,'февраль 2024'!$J$4:$J$1413,Q$1)</f>
        <v>0</v>
      </c>
      <c r="R114" s="144">
        <f>SUMIFS('февраль 2024'!$G$4:$G$1413,'февраль 2024'!$D$4:$D$1413,$B114,'февраль 2024'!$J$4:$J$1413,R$1)</f>
        <v>0</v>
      </c>
      <c r="S114" s="144">
        <f>SUMIFS('февраль 2024'!$G$4:$G$1413,'февраль 2024'!$D$4:$D$1413,$B114,'февраль 2024'!$J$4:$J$1413,S$1)</f>
        <v>0</v>
      </c>
      <c r="T114" s="144">
        <f>SUMIFS('февраль 2024'!$G$4:$G$1413,'февраль 2024'!$D$4:$D$1413,$B114,'февраль 2024'!$J$4:$J$1413,T$1)</f>
        <v>0</v>
      </c>
      <c r="U114" s="144">
        <f>SUMIFS('февраль 2024'!$G$4:$G$1413,'февраль 2024'!$D$4:$D$1413,$B114,'февраль 2024'!$J$4:$J$1413,U$1)</f>
        <v>0</v>
      </c>
      <c r="V114" s="144">
        <f>SUMIFS('февраль 2024'!$G$4:$G$1413,'февраль 2024'!$D$4:$D$1413,$B114,'февраль 2024'!$J$4:$J$1413,V$1)</f>
        <v>0</v>
      </c>
      <c r="W114" s="144">
        <f>SUMIFS('февраль 2024'!$G$4:$G$1413,'февраль 2024'!$D$4:$D$1413,$B114,'февраль 2024'!$J$4:$J$1413,W$1)</f>
        <v>0</v>
      </c>
      <c r="X114" s="144">
        <f>SUMIFS('февраль 2024'!$G$4:$G$1413,'февраль 2024'!$D$4:$D$1413,$B114,'февраль 2024'!$J$4:$J$1413,X$1)</f>
        <v>0</v>
      </c>
      <c r="Y114" s="144">
        <f>SUMIFS('февраль 2024'!$G$4:$G$1413,'февраль 2024'!$D$4:$D$1413,$B114,'февраль 2024'!$J$4:$J$1413,Y$1)</f>
        <v>0</v>
      </c>
      <c r="Z114" s="144">
        <f>SUMIFS('февраль 2024'!$G$4:$G$1413,'февраль 2024'!$D$4:$D$1413,$B114,'февраль 2024'!$J$4:$J$1413,Z$1)</f>
        <v>0</v>
      </c>
      <c r="AA114" s="144">
        <f>SUMIFS('февраль 2024'!$G$4:$G$1413,'февраль 2024'!$D$4:$D$1413,$B114,'февраль 2024'!$J$4:$J$1413,AA$1)</f>
        <v>0</v>
      </c>
      <c r="AB114" s="144">
        <f>SUMIFS('февраль 2024'!$G$4:$G$1413,'февраль 2024'!$D$4:$D$1413,$B114,'февраль 2024'!$J$4:$J$1413,AB$1)</f>
        <v>0</v>
      </c>
      <c r="AC114" s="144">
        <f>SUMIFS('февраль 2024'!$G$4:$G$1413,'февраль 2024'!$D$4:$D$1413,$B114,'февраль 2024'!$J$4:$J$1413,AC$1)</f>
        <v>0</v>
      </c>
      <c r="AD114" s="144">
        <f>SUMIFS('февраль 2024'!$G$4:$G$1413,'февраль 2024'!$D$4:$D$1413,$B114,'февраль 2024'!$J$4:$J$1413,AD$1)</f>
        <v>0</v>
      </c>
      <c r="AE114" s="144">
        <f>SUMIFS('февраль 2024'!$G$4:$G$1413,'февраль 2024'!$D$4:$D$1413,$B114,'февраль 2024'!$J$4:$J$1413,AE$1)</f>
        <v>0</v>
      </c>
      <c r="AF114" s="144">
        <f>SUMIFS('февраль 2024'!$G$4:$G$1413,'февраль 2024'!$D$4:$D$1413,$B114,'февраль 2024'!$J$4:$J$1413,AF$1)</f>
        <v>0</v>
      </c>
      <c r="AG114" s="144">
        <f>SUMIFS('февраль 2024'!$G$4:$G$1413,'февраль 2024'!$D$4:$D$1413,$B114,'февраль 2024'!$J$4:$J$1413,AG$1)</f>
        <v>0</v>
      </c>
      <c r="AH114" s="144">
        <f>SUMIFS('февраль 2024'!$G$4:$G$1413,'февраль 2024'!$D$4:$D$1413,$B114,'февраль 2024'!$J$4:$J$1413,AH$1)</f>
        <v>0</v>
      </c>
      <c r="AI114" s="21">
        <f t="shared" si="1"/>
        <v>0</v>
      </c>
    </row>
    <row r="115" spans="2:35" ht="15" customHeight="1" x14ac:dyDescent="0.25">
      <c r="B115" s="89" t="s">
        <v>332</v>
      </c>
      <c r="C115" s="91">
        <v>180</v>
      </c>
      <c r="D115" s="144">
        <f>SUMIFS('февраль 2024'!$G$4:$G$1413,'февраль 2024'!$D$4:$D$1413,$B115,'февраль 2024'!$J$4:$J$1413,D$1)</f>
        <v>0</v>
      </c>
      <c r="E115" s="144">
        <f>SUMIFS('февраль 2024'!$G$4:$G$1413,'февраль 2024'!$D$4:$D$1413,$B115,'февраль 2024'!$J$4:$J$1413,E$1)</f>
        <v>0</v>
      </c>
      <c r="F115" s="144">
        <f>SUMIFS('февраль 2024'!$G$4:$G$1413,'февраль 2024'!$D$4:$D$1413,$B115,'февраль 2024'!$J$4:$J$1413,F$1)</f>
        <v>0</v>
      </c>
      <c r="G115" s="144">
        <f>SUMIFS('февраль 2024'!$G$4:$G$1413,'февраль 2024'!$D$4:$D$1413,$B115,'февраль 2024'!$J$4:$J$1413,G$1)</f>
        <v>0</v>
      </c>
      <c r="H115" s="144">
        <f>SUMIFS('февраль 2024'!$G$4:$G$1413,'февраль 2024'!$D$4:$D$1413,$B115,'февраль 2024'!$J$4:$J$1413,H$1)</f>
        <v>0</v>
      </c>
      <c r="I115" s="144">
        <f>SUMIFS('февраль 2024'!$G$4:$G$1413,'февраль 2024'!$D$4:$D$1413,$B115,'февраль 2024'!$J$4:$J$1413,I$1)</f>
        <v>0</v>
      </c>
      <c r="J115" s="144">
        <f>SUMIFS('февраль 2024'!$G$4:$G$1413,'февраль 2024'!$D$4:$D$1413,$B115,'февраль 2024'!$J$4:$J$1413,J$1)</f>
        <v>0</v>
      </c>
      <c r="K115" s="144">
        <f>SUMIFS('февраль 2024'!$G$4:$G$1413,'февраль 2024'!$D$4:$D$1413,$B115,'февраль 2024'!$J$4:$J$1413,K$1)</f>
        <v>0</v>
      </c>
      <c r="L115" s="144">
        <f>SUMIFS('февраль 2024'!$G$4:$G$1413,'февраль 2024'!$D$4:$D$1413,$B115,'февраль 2024'!$J$4:$J$1413,L$1)</f>
        <v>0</v>
      </c>
      <c r="M115" s="144">
        <f>SUMIFS('февраль 2024'!$G$4:$G$1413,'февраль 2024'!$D$4:$D$1413,$B115,'февраль 2024'!$J$4:$J$1413,M$1)</f>
        <v>0</v>
      </c>
      <c r="N115" s="144">
        <f>SUMIFS('февраль 2024'!$G$4:$G$1413,'февраль 2024'!$D$4:$D$1413,$B115,'февраль 2024'!$J$4:$J$1413,N$1)</f>
        <v>0</v>
      </c>
      <c r="O115" s="144">
        <f>SUMIFS('февраль 2024'!$G$4:$G$1413,'февраль 2024'!$D$4:$D$1413,$B115,'февраль 2024'!$J$4:$J$1413,O$1)</f>
        <v>0</v>
      </c>
      <c r="P115" s="144">
        <f>SUMIFS('февраль 2024'!$G$4:$G$1413,'февраль 2024'!$D$4:$D$1413,$B115,'февраль 2024'!$J$4:$J$1413,P$1)</f>
        <v>0</v>
      </c>
      <c r="Q115" s="144">
        <f>SUMIFS('февраль 2024'!$G$4:$G$1413,'февраль 2024'!$D$4:$D$1413,$B115,'февраль 2024'!$J$4:$J$1413,Q$1)</f>
        <v>0</v>
      </c>
      <c r="R115" s="144">
        <f>SUMIFS('февраль 2024'!$G$4:$G$1413,'февраль 2024'!$D$4:$D$1413,$B115,'февраль 2024'!$J$4:$J$1413,R$1)</f>
        <v>0</v>
      </c>
      <c r="S115" s="144">
        <f>SUMIFS('февраль 2024'!$G$4:$G$1413,'февраль 2024'!$D$4:$D$1413,$B115,'февраль 2024'!$J$4:$J$1413,S$1)</f>
        <v>0</v>
      </c>
      <c r="T115" s="144">
        <f>SUMIFS('февраль 2024'!$G$4:$G$1413,'февраль 2024'!$D$4:$D$1413,$B115,'февраль 2024'!$J$4:$J$1413,T$1)</f>
        <v>0</v>
      </c>
      <c r="U115" s="144">
        <f>SUMIFS('февраль 2024'!$G$4:$G$1413,'февраль 2024'!$D$4:$D$1413,$B115,'февраль 2024'!$J$4:$J$1413,U$1)</f>
        <v>0</v>
      </c>
      <c r="V115" s="144">
        <f>SUMIFS('февраль 2024'!$G$4:$G$1413,'февраль 2024'!$D$4:$D$1413,$B115,'февраль 2024'!$J$4:$J$1413,V$1)</f>
        <v>0</v>
      </c>
      <c r="W115" s="144">
        <f>SUMIFS('февраль 2024'!$G$4:$G$1413,'февраль 2024'!$D$4:$D$1413,$B115,'февраль 2024'!$J$4:$J$1413,W$1)</f>
        <v>0</v>
      </c>
      <c r="X115" s="144">
        <f>SUMIFS('февраль 2024'!$G$4:$G$1413,'февраль 2024'!$D$4:$D$1413,$B115,'февраль 2024'!$J$4:$J$1413,X$1)</f>
        <v>0</v>
      </c>
      <c r="Y115" s="144">
        <f>SUMIFS('февраль 2024'!$G$4:$G$1413,'февраль 2024'!$D$4:$D$1413,$B115,'февраль 2024'!$J$4:$J$1413,Y$1)</f>
        <v>0</v>
      </c>
      <c r="Z115" s="144">
        <f>SUMIFS('февраль 2024'!$G$4:$G$1413,'февраль 2024'!$D$4:$D$1413,$B115,'февраль 2024'!$J$4:$J$1413,Z$1)</f>
        <v>0</v>
      </c>
      <c r="AA115" s="144">
        <f>SUMIFS('февраль 2024'!$G$4:$G$1413,'февраль 2024'!$D$4:$D$1413,$B115,'февраль 2024'!$J$4:$J$1413,AA$1)</f>
        <v>0</v>
      </c>
      <c r="AB115" s="144">
        <f>SUMIFS('февраль 2024'!$G$4:$G$1413,'февраль 2024'!$D$4:$D$1413,$B115,'февраль 2024'!$J$4:$J$1413,AB$1)</f>
        <v>0</v>
      </c>
      <c r="AC115" s="144">
        <f>SUMIFS('февраль 2024'!$G$4:$G$1413,'февраль 2024'!$D$4:$D$1413,$B115,'февраль 2024'!$J$4:$J$1413,AC$1)</f>
        <v>0</v>
      </c>
      <c r="AD115" s="144">
        <f>SUMIFS('февраль 2024'!$G$4:$G$1413,'февраль 2024'!$D$4:$D$1413,$B115,'февраль 2024'!$J$4:$J$1413,AD$1)</f>
        <v>0</v>
      </c>
      <c r="AE115" s="144">
        <f>SUMIFS('февраль 2024'!$G$4:$G$1413,'февраль 2024'!$D$4:$D$1413,$B115,'февраль 2024'!$J$4:$J$1413,AE$1)</f>
        <v>0</v>
      </c>
      <c r="AF115" s="144">
        <f>SUMIFS('февраль 2024'!$G$4:$G$1413,'февраль 2024'!$D$4:$D$1413,$B115,'февраль 2024'!$J$4:$J$1413,AF$1)</f>
        <v>0</v>
      </c>
      <c r="AG115" s="144">
        <f>SUMIFS('февраль 2024'!$G$4:$G$1413,'февраль 2024'!$D$4:$D$1413,$B115,'февраль 2024'!$J$4:$J$1413,AG$1)</f>
        <v>0</v>
      </c>
      <c r="AH115" s="144">
        <f>SUMIFS('февраль 2024'!$G$4:$G$1413,'февраль 2024'!$D$4:$D$1413,$B115,'февраль 2024'!$J$4:$J$1413,AH$1)</f>
        <v>0</v>
      </c>
      <c r="AI115" s="21">
        <f t="shared" si="1"/>
        <v>0</v>
      </c>
    </row>
    <row r="116" spans="2:35" ht="15" customHeight="1" x14ac:dyDescent="0.25">
      <c r="B116" s="89" t="s">
        <v>342</v>
      </c>
      <c r="C116" s="91">
        <v>180</v>
      </c>
      <c r="D116" s="144">
        <f>SUMIFS('февраль 2024'!$G$4:$G$1413,'февраль 2024'!$D$4:$D$1413,$B116,'февраль 2024'!$J$4:$J$1413,D$1)</f>
        <v>0</v>
      </c>
      <c r="E116" s="144">
        <f>SUMIFS('февраль 2024'!$G$4:$G$1413,'февраль 2024'!$D$4:$D$1413,$B116,'февраль 2024'!$J$4:$J$1413,E$1)</f>
        <v>0</v>
      </c>
      <c r="F116" s="144">
        <f>SUMIFS('февраль 2024'!$G$4:$G$1413,'февраль 2024'!$D$4:$D$1413,$B116,'февраль 2024'!$J$4:$J$1413,F$1)</f>
        <v>0</v>
      </c>
      <c r="G116" s="144">
        <f>SUMIFS('февраль 2024'!$G$4:$G$1413,'февраль 2024'!$D$4:$D$1413,$B116,'февраль 2024'!$J$4:$J$1413,G$1)</f>
        <v>0</v>
      </c>
      <c r="H116" s="144">
        <f>SUMIFS('февраль 2024'!$G$4:$G$1413,'февраль 2024'!$D$4:$D$1413,$B116,'февраль 2024'!$J$4:$J$1413,H$1)</f>
        <v>0</v>
      </c>
      <c r="I116" s="144">
        <f>SUMIFS('февраль 2024'!$G$4:$G$1413,'февраль 2024'!$D$4:$D$1413,$B116,'февраль 2024'!$J$4:$J$1413,I$1)</f>
        <v>0</v>
      </c>
      <c r="J116" s="144">
        <f>SUMIFS('февраль 2024'!$G$4:$G$1413,'февраль 2024'!$D$4:$D$1413,$B116,'февраль 2024'!$J$4:$J$1413,J$1)</f>
        <v>0</v>
      </c>
      <c r="K116" s="144">
        <f>SUMIFS('февраль 2024'!$G$4:$G$1413,'февраль 2024'!$D$4:$D$1413,$B116,'февраль 2024'!$J$4:$J$1413,K$1)</f>
        <v>0</v>
      </c>
      <c r="L116" s="144">
        <f>SUMIFS('февраль 2024'!$G$4:$G$1413,'февраль 2024'!$D$4:$D$1413,$B116,'февраль 2024'!$J$4:$J$1413,L$1)</f>
        <v>0</v>
      </c>
      <c r="M116" s="144">
        <f>SUMIFS('февраль 2024'!$G$4:$G$1413,'февраль 2024'!$D$4:$D$1413,$B116,'февраль 2024'!$J$4:$J$1413,M$1)</f>
        <v>0</v>
      </c>
      <c r="N116" s="144">
        <f>SUMIFS('февраль 2024'!$G$4:$G$1413,'февраль 2024'!$D$4:$D$1413,$B116,'февраль 2024'!$J$4:$J$1413,N$1)</f>
        <v>0</v>
      </c>
      <c r="O116" s="144">
        <f>SUMIFS('февраль 2024'!$G$4:$G$1413,'февраль 2024'!$D$4:$D$1413,$B116,'февраль 2024'!$J$4:$J$1413,O$1)</f>
        <v>0</v>
      </c>
      <c r="P116" s="144">
        <f>SUMIFS('февраль 2024'!$G$4:$G$1413,'февраль 2024'!$D$4:$D$1413,$B116,'февраль 2024'!$J$4:$J$1413,P$1)</f>
        <v>0</v>
      </c>
      <c r="Q116" s="144">
        <f>SUMIFS('февраль 2024'!$G$4:$G$1413,'февраль 2024'!$D$4:$D$1413,$B116,'февраль 2024'!$J$4:$J$1413,Q$1)</f>
        <v>0</v>
      </c>
      <c r="R116" s="144">
        <f>SUMIFS('февраль 2024'!$G$4:$G$1413,'февраль 2024'!$D$4:$D$1413,$B116,'февраль 2024'!$J$4:$J$1413,R$1)</f>
        <v>0</v>
      </c>
      <c r="S116" s="144">
        <f>SUMIFS('февраль 2024'!$G$4:$G$1413,'февраль 2024'!$D$4:$D$1413,$B116,'февраль 2024'!$J$4:$J$1413,S$1)</f>
        <v>0</v>
      </c>
      <c r="T116" s="144">
        <f>SUMIFS('февраль 2024'!$G$4:$G$1413,'февраль 2024'!$D$4:$D$1413,$B116,'февраль 2024'!$J$4:$J$1413,T$1)</f>
        <v>0</v>
      </c>
      <c r="U116" s="144">
        <f>SUMIFS('февраль 2024'!$G$4:$G$1413,'февраль 2024'!$D$4:$D$1413,$B116,'февраль 2024'!$J$4:$J$1413,U$1)</f>
        <v>0</v>
      </c>
      <c r="V116" s="144">
        <f>SUMIFS('февраль 2024'!$G$4:$G$1413,'февраль 2024'!$D$4:$D$1413,$B116,'февраль 2024'!$J$4:$J$1413,V$1)</f>
        <v>0</v>
      </c>
      <c r="W116" s="144">
        <f>SUMIFS('февраль 2024'!$G$4:$G$1413,'февраль 2024'!$D$4:$D$1413,$B116,'февраль 2024'!$J$4:$J$1413,W$1)</f>
        <v>0</v>
      </c>
      <c r="X116" s="144">
        <f>SUMIFS('февраль 2024'!$G$4:$G$1413,'февраль 2024'!$D$4:$D$1413,$B116,'февраль 2024'!$J$4:$J$1413,X$1)</f>
        <v>0</v>
      </c>
      <c r="Y116" s="144">
        <f>SUMIFS('февраль 2024'!$G$4:$G$1413,'февраль 2024'!$D$4:$D$1413,$B116,'февраль 2024'!$J$4:$J$1413,Y$1)</f>
        <v>0</v>
      </c>
      <c r="Z116" s="144">
        <f>SUMIFS('февраль 2024'!$G$4:$G$1413,'февраль 2024'!$D$4:$D$1413,$B116,'февраль 2024'!$J$4:$J$1413,Z$1)</f>
        <v>0</v>
      </c>
      <c r="AA116" s="144">
        <f>SUMIFS('февраль 2024'!$G$4:$G$1413,'февраль 2024'!$D$4:$D$1413,$B116,'февраль 2024'!$J$4:$J$1413,AA$1)</f>
        <v>0</v>
      </c>
      <c r="AB116" s="144">
        <f>SUMIFS('февраль 2024'!$G$4:$G$1413,'февраль 2024'!$D$4:$D$1413,$B116,'февраль 2024'!$J$4:$J$1413,AB$1)</f>
        <v>0</v>
      </c>
      <c r="AC116" s="144">
        <f>SUMIFS('февраль 2024'!$G$4:$G$1413,'февраль 2024'!$D$4:$D$1413,$B116,'февраль 2024'!$J$4:$J$1413,AC$1)</f>
        <v>0</v>
      </c>
      <c r="AD116" s="144">
        <f>SUMIFS('февраль 2024'!$G$4:$G$1413,'февраль 2024'!$D$4:$D$1413,$B116,'февраль 2024'!$J$4:$J$1413,AD$1)</f>
        <v>0</v>
      </c>
      <c r="AE116" s="144">
        <f>SUMIFS('февраль 2024'!$G$4:$G$1413,'февраль 2024'!$D$4:$D$1413,$B116,'февраль 2024'!$J$4:$J$1413,AE$1)</f>
        <v>0</v>
      </c>
      <c r="AF116" s="144">
        <f>SUMIFS('февраль 2024'!$G$4:$G$1413,'февраль 2024'!$D$4:$D$1413,$B116,'февраль 2024'!$J$4:$J$1413,AF$1)</f>
        <v>0</v>
      </c>
      <c r="AG116" s="144">
        <f>SUMIFS('февраль 2024'!$G$4:$G$1413,'февраль 2024'!$D$4:$D$1413,$B116,'февраль 2024'!$J$4:$J$1413,AG$1)</f>
        <v>0</v>
      </c>
      <c r="AH116" s="144">
        <f>SUMIFS('февраль 2024'!$G$4:$G$1413,'февраль 2024'!$D$4:$D$1413,$B116,'февраль 2024'!$J$4:$J$1413,AH$1)</f>
        <v>0</v>
      </c>
      <c r="AI116" s="21">
        <f t="shared" si="1"/>
        <v>0</v>
      </c>
    </row>
    <row r="117" spans="2:35" ht="15" customHeight="1" x14ac:dyDescent="0.25">
      <c r="B117" s="89" t="s">
        <v>333</v>
      </c>
      <c r="C117" s="91">
        <v>200</v>
      </c>
      <c r="D117" s="144">
        <f>SUMIFS('февраль 2024'!$G$4:$G$1413,'февраль 2024'!$D$4:$D$1413,$B117,'февраль 2024'!$J$4:$J$1413,D$1)</f>
        <v>0</v>
      </c>
      <c r="E117" s="144">
        <f>SUMIFS('февраль 2024'!$G$4:$G$1413,'февраль 2024'!$D$4:$D$1413,$B117,'февраль 2024'!$J$4:$J$1413,E$1)</f>
        <v>0</v>
      </c>
      <c r="F117" s="144">
        <f>SUMIFS('февраль 2024'!$G$4:$G$1413,'февраль 2024'!$D$4:$D$1413,$B117,'февраль 2024'!$J$4:$J$1413,F$1)</f>
        <v>0</v>
      </c>
      <c r="G117" s="144">
        <f>SUMIFS('февраль 2024'!$G$4:$G$1413,'февраль 2024'!$D$4:$D$1413,$B117,'февраль 2024'!$J$4:$J$1413,G$1)</f>
        <v>0</v>
      </c>
      <c r="H117" s="144">
        <f>SUMIFS('февраль 2024'!$G$4:$G$1413,'февраль 2024'!$D$4:$D$1413,$B117,'февраль 2024'!$J$4:$J$1413,H$1)</f>
        <v>0</v>
      </c>
      <c r="I117" s="144">
        <f>SUMIFS('февраль 2024'!$G$4:$G$1413,'февраль 2024'!$D$4:$D$1413,$B117,'февраль 2024'!$J$4:$J$1413,I$1)</f>
        <v>0</v>
      </c>
      <c r="J117" s="144">
        <f>SUMIFS('февраль 2024'!$G$4:$G$1413,'февраль 2024'!$D$4:$D$1413,$B117,'февраль 2024'!$J$4:$J$1413,J$1)</f>
        <v>0</v>
      </c>
      <c r="K117" s="144">
        <f>SUMIFS('февраль 2024'!$G$4:$G$1413,'февраль 2024'!$D$4:$D$1413,$B117,'февраль 2024'!$J$4:$J$1413,K$1)</f>
        <v>0</v>
      </c>
      <c r="L117" s="144">
        <f>SUMIFS('февраль 2024'!$G$4:$G$1413,'февраль 2024'!$D$4:$D$1413,$B117,'февраль 2024'!$J$4:$J$1413,L$1)</f>
        <v>0</v>
      </c>
      <c r="M117" s="144">
        <f>SUMIFS('февраль 2024'!$G$4:$G$1413,'февраль 2024'!$D$4:$D$1413,$B117,'февраль 2024'!$J$4:$J$1413,M$1)</f>
        <v>0</v>
      </c>
      <c r="N117" s="144">
        <f>SUMIFS('февраль 2024'!$G$4:$G$1413,'февраль 2024'!$D$4:$D$1413,$B117,'февраль 2024'!$J$4:$J$1413,N$1)</f>
        <v>0</v>
      </c>
      <c r="O117" s="144">
        <f>SUMIFS('февраль 2024'!$G$4:$G$1413,'февраль 2024'!$D$4:$D$1413,$B117,'февраль 2024'!$J$4:$J$1413,O$1)</f>
        <v>0</v>
      </c>
      <c r="P117" s="144">
        <f>SUMIFS('февраль 2024'!$G$4:$G$1413,'февраль 2024'!$D$4:$D$1413,$B117,'февраль 2024'!$J$4:$J$1413,P$1)</f>
        <v>0</v>
      </c>
      <c r="Q117" s="144">
        <f>SUMIFS('февраль 2024'!$G$4:$G$1413,'февраль 2024'!$D$4:$D$1413,$B117,'февраль 2024'!$J$4:$J$1413,Q$1)</f>
        <v>0</v>
      </c>
      <c r="R117" s="144">
        <f>SUMIFS('февраль 2024'!$G$4:$G$1413,'февраль 2024'!$D$4:$D$1413,$B117,'февраль 2024'!$J$4:$J$1413,R$1)</f>
        <v>0</v>
      </c>
      <c r="S117" s="144">
        <f>SUMIFS('февраль 2024'!$G$4:$G$1413,'февраль 2024'!$D$4:$D$1413,$B117,'февраль 2024'!$J$4:$J$1413,S$1)</f>
        <v>0</v>
      </c>
      <c r="T117" s="144">
        <f>SUMIFS('февраль 2024'!$G$4:$G$1413,'февраль 2024'!$D$4:$D$1413,$B117,'февраль 2024'!$J$4:$J$1413,T$1)</f>
        <v>0</v>
      </c>
      <c r="U117" s="144">
        <f>SUMIFS('февраль 2024'!$G$4:$G$1413,'февраль 2024'!$D$4:$D$1413,$B117,'февраль 2024'!$J$4:$J$1413,U$1)</f>
        <v>0</v>
      </c>
      <c r="V117" s="144">
        <f>SUMIFS('февраль 2024'!$G$4:$G$1413,'февраль 2024'!$D$4:$D$1413,$B117,'февраль 2024'!$J$4:$J$1413,V$1)</f>
        <v>0</v>
      </c>
      <c r="W117" s="144">
        <f>SUMIFS('февраль 2024'!$G$4:$G$1413,'февраль 2024'!$D$4:$D$1413,$B117,'февраль 2024'!$J$4:$J$1413,W$1)</f>
        <v>0</v>
      </c>
      <c r="X117" s="144">
        <f>SUMIFS('февраль 2024'!$G$4:$G$1413,'февраль 2024'!$D$4:$D$1413,$B117,'февраль 2024'!$J$4:$J$1413,X$1)</f>
        <v>0</v>
      </c>
      <c r="Y117" s="144">
        <f>SUMIFS('февраль 2024'!$G$4:$G$1413,'февраль 2024'!$D$4:$D$1413,$B117,'февраль 2024'!$J$4:$J$1413,Y$1)</f>
        <v>0</v>
      </c>
      <c r="Z117" s="144">
        <f>SUMIFS('февраль 2024'!$G$4:$G$1413,'февраль 2024'!$D$4:$D$1413,$B117,'февраль 2024'!$J$4:$J$1413,Z$1)</f>
        <v>0</v>
      </c>
      <c r="AA117" s="144">
        <f>SUMIFS('февраль 2024'!$G$4:$G$1413,'февраль 2024'!$D$4:$D$1413,$B117,'февраль 2024'!$J$4:$J$1413,AA$1)</f>
        <v>0</v>
      </c>
      <c r="AB117" s="144">
        <f>SUMIFS('февраль 2024'!$G$4:$G$1413,'февраль 2024'!$D$4:$D$1413,$B117,'февраль 2024'!$J$4:$J$1413,AB$1)</f>
        <v>0</v>
      </c>
      <c r="AC117" s="144">
        <f>SUMIFS('февраль 2024'!$G$4:$G$1413,'февраль 2024'!$D$4:$D$1413,$B117,'февраль 2024'!$J$4:$J$1413,AC$1)</f>
        <v>0</v>
      </c>
      <c r="AD117" s="144">
        <f>SUMIFS('февраль 2024'!$G$4:$G$1413,'февраль 2024'!$D$4:$D$1413,$B117,'февраль 2024'!$J$4:$J$1413,AD$1)</f>
        <v>0</v>
      </c>
      <c r="AE117" s="144">
        <f>SUMIFS('февраль 2024'!$G$4:$G$1413,'февраль 2024'!$D$4:$D$1413,$B117,'февраль 2024'!$J$4:$J$1413,AE$1)</f>
        <v>0</v>
      </c>
      <c r="AF117" s="144">
        <f>SUMIFS('февраль 2024'!$G$4:$G$1413,'февраль 2024'!$D$4:$D$1413,$B117,'февраль 2024'!$J$4:$J$1413,AF$1)</f>
        <v>0</v>
      </c>
      <c r="AG117" s="144">
        <f>SUMIFS('февраль 2024'!$G$4:$G$1413,'февраль 2024'!$D$4:$D$1413,$B117,'февраль 2024'!$J$4:$J$1413,AG$1)</f>
        <v>0</v>
      </c>
      <c r="AH117" s="144">
        <f>SUMIFS('февраль 2024'!$G$4:$G$1413,'февраль 2024'!$D$4:$D$1413,$B117,'февраль 2024'!$J$4:$J$1413,AH$1)</f>
        <v>0</v>
      </c>
      <c r="AI117" s="21">
        <f t="shared" si="1"/>
        <v>0</v>
      </c>
    </row>
    <row r="118" spans="2:35" ht="15" customHeight="1" x14ac:dyDescent="0.25">
      <c r="B118" s="89" t="s">
        <v>343</v>
      </c>
      <c r="C118" s="91">
        <v>200</v>
      </c>
      <c r="D118" s="144">
        <f>SUMIFS('февраль 2024'!$G$4:$G$1413,'февраль 2024'!$D$4:$D$1413,$B118,'февраль 2024'!$J$4:$J$1413,D$1)</f>
        <v>0</v>
      </c>
      <c r="E118" s="144">
        <f>SUMIFS('февраль 2024'!$G$4:$G$1413,'февраль 2024'!$D$4:$D$1413,$B118,'февраль 2024'!$J$4:$J$1413,E$1)</f>
        <v>0</v>
      </c>
      <c r="F118" s="144">
        <f>SUMIFS('февраль 2024'!$G$4:$G$1413,'февраль 2024'!$D$4:$D$1413,$B118,'февраль 2024'!$J$4:$J$1413,F$1)</f>
        <v>0</v>
      </c>
      <c r="G118" s="144">
        <f>SUMIFS('февраль 2024'!$G$4:$G$1413,'февраль 2024'!$D$4:$D$1413,$B118,'февраль 2024'!$J$4:$J$1413,G$1)</f>
        <v>0</v>
      </c>
      <c r="H118" s="144">
        <f>SUMIFS('февраль 2024'!$G$4:$G$1413,'февраль 2024'!$D$4:$D$1413,$B118,'февраль 2024'!$J$4:$J$1413,H$1)</f>
        <v>0</v>
      </c>
      <c r="I118" s="144">
        <f>SUMIFS('февраль 2024'!$G$4:$G$1413,'февраль 2024'!$D$4:$D$1413,$B118,'февраль 2024'!$J$4:$J$1413,I$1)</f>
        <v>0</v>
      </c>
      <c r="J118" s="144">
        <f>SUMIFS('февраль 2024'!$G$4:$G$1413,'февраль 2024'!$D$4:$D$1413,$B118,'февраль 2024'!$J$4:$J$1413,J$1)</f>
        <v>0</v>
      </c>
      <c r="K118" s="144">
        <f>SUMIFS('февраль 2024'!$G$4:$G$1413,'февраль 2024'!$D$4:$D$1413,$B118,'февраль 2024'!$J$4:$J$1413,K$1)</f>
        <v>0</v>
      </c>
      <c r="L118" s="144">
        <f>SUMIFS('февраль 2024'!$G$4:$G$1413,'февраль 2024'!$D$4:$D$1413,$B118,'февраль 2024'!$J$4:$J$1413,L$1)</f>
        <v>0</v>
      </c>
      <c r="M118" s="144">
        <f>SUMIFS('февраль 2024'!$G$4:$G$1413,'февраль 2024'!$D$4:$D$1413,$B118,'февраль 2024'!$J$4:$J$1413,M$1)</f>
        <v>0</v>
      </c>
      <c r="N118" s="144">
        <f>SUMIFS('февраль 2024'!$G$4:$G$1413,'февраль 2024'!$D$4:$D$1413,$B118,'февраль 2024'!$J$4:$J$1413,N$1)</f>
        <v>0</v>
      </c>
      <c r="O118" s="144">
        <f>SUMIFS('февраль 2024'!$G$4:$G$1413,'февраль 2024'!$D$4:$D$1413,$B118,'февраль 2024'!$J$4:$J$1413,O$1)</f>
        <v>0</v>
      </c>
      <c r="P118" s="144">
        <f>SUMIFS('февраль 2024'!$G$4:$G$1413,'февраль 2024'!$D$4:$D$1413,$B118,'февраль 2024'!$J$4:$J$1413,P$1)</f>
        <v>0</v>
      </c>
      <c r="Q118" s="144">
        <f>SUMIFS('февраль 2024'!$G$4:$G$1413,'февраль 2024'!$D$4:$D$1413,$B118,'февраль 2024'!$J$4:$J$1413,Q$1)</f>
        <v>0</v>
      </c>
      <c r="R118" s="144">
        <f>SUMIFS('февраль 2024'!$G$4:$G$1413,'февраль 2024'!$D$4:$D$1413,$B118,'февраль 2024'!$J$4:$J$1413,R$1)</f>
        <v>0</v>
      </c>
      <c r="S118" s="144">
        <f>SUMIFS('февраль 2024'!$G$4:$G$1413,'февраль 2024'!$D$4:$D$1413,$B118,'февраль 2024'!$J$4:$J$1413,S$1)</f>
        <v>0</v>
      </c>
      <c r="T118" s="144">
        <f>SUMIFS('февраль 2024'!$G$4:$G$1413,'февраль 2024'!$D$4:$D$1413,$B118,'февраль 2024'!$J$4:$J$1413,T$1)</f>
        <v>0</v>
      </c>
      <c r="U118" s="144">
        <f>SUMIFS('февраль 2024'!$G$4:$G$1413,'февраль 2024'!$D$4:$D$1413,$B118,'февраль 2024'!$J$4:$J$1413,U$1)</f>
        <v>0</v>
      </c>
      <c r="V118" s="144">
        <f>SUMIFS('февраль 2024'!$G$4:$G$1413,'февраль 2024'!$D$4:$D$1413,$B118,'февраль 2024'!$J$4:$J$1413,V$1)</f>
        <v>0</v>
      </c>
      <c r="W118" s="144">
        <f>SUMIFS('февраль 2024'!$G$4:$G$1413,'февраль 2024'!$D$4:$D$1413,$B118,'февраль 2024'!$J$4:$J$1413,W$1)</f>
        <v>0</v>
      </c>
      <c r="X118" s="144">
        <f>SUMIFS('февраль 2024'!$G$4:$G$1413,'февраль 2024'!$D$4:$D$1413,$B118,'февраль 2024'!$J$4:$J$1413,X$1)</f>
        <v>0</v>
      </c>
      <c r="Y118" s="144">
        <f>SUMIFS('февраль 2024'!$G$4:$G$1413,'февраль 2024'!$D$4:$D$1413,$B118,'февраль 2024'!$J$4:$J$1413,Y$1)</f>
        <v>0</v>
      </c>
      <c r="Z118" s="144">
        <f>SUMIFS('февраль 2024'!$G$4:$G$1413,'февраль 2024'!$D$4:$D$1413,$B118,'февраль 2024'!$J$4:$J$1413,Z$1)</f>
        <v>0</v>
      </c>
      <c r="AA118" s="144">
        <f>SUMIFS('февраль 2024'!$G$4:$G$1413,'февраль 2024'!$D$4:$D$1413,$B118,'февраль 2024'!$J$4:$J$1413,AA$1)</f>
        <v>0</v>
      </c>
      <c r="AB118" s="144">
        <f>SUMIFS('февраль 2024'!$G$4:$G$1413,'февраль 2024'!$D$4:$D$1413,$B118,'февраль 2024'!$J$4:$J$1413,AB$1)</f>
        <v>0</v>
      </c>
      <c r="AC118" s="144">
        <f>SUMIFS('февраль 2024'!$G$4:$G$1413,'февраль 2024'!$D$4:$D$1413,$B118,'февраль 2024'!$J$4:$J$1413,AC$1)</f>
        <v>0</v>
      </c>
      <c r="AD118" s="144">
        <f>SUMIFS('февраль 2024'!$G$4:$G$1413,'февраль 2024'!$D$4:$D$1413,$B118,'февраль 2024'!$J$4:$J$1413,AD$1)</f>
        <v>0</v>
      </c>
      <c r="AE118" s="144">
        <f>SUMIFS('февраль 2024'!$G$4:$G$1413,'февраль 2024'!$D$4:$D$1413,$B118,'февраль 2024'!$J$4:$J$1413,AE$1)</f>
        <v>0</v>
      </c>
      <c r="AF118" s="144">
        <f>SUMIFS('февраль 2024'!$G$4:$G$1413,'февраль 2024'!$D$4:$D$1413,$B118,'февраль 2024'!$J$4:$J$1413,AF$1)</f>
        <v>0</v>
      </c>
      <c r="AG118" s="144">
        <f>SUMIFS('февраль 2024'!$G$4:$G$1413,'февраль 2024'!$D$4:$D$1413,$B118,'февраль 2024'!$J$4:$J$1413,AG$1)</f>
        <v>0</v>
      </c>
      <c r="AH118" s="144">
        <f>SUMIFS('февраль 2024'!$G$4:$G$1413,'февраль 2024'!$D$4:$D$1413,$B118,'февраль 2024'!$J$4:$J$1413,AH$1)</f>
        <v>0</v>
      </c>
      <c r="AI118" s="21">
        <f t="shared" si="1"/>
        <v>0</v>
      </c>
    </row>
    <row r="119" spans="2:35" ht="15" customHeight="1" x14ac:dyDescent="0.25">
      <c r="B119" s="89" t="s">
        <v>207</v>
      </c>
      <c r="C119" s="91">
        <v>180</v>
      </c>
      <c r="D119" s="144">
        <f>SUMIFS('февраль 2024'!$G$4:$G$1413,'февраль 2024'!$D$4:$D$1413,$B119,'февраль 2024'!$J$4:$J$1413,D$1)</f>
        <v>0</v>
      </c>
      <c r="E119" s="144">
        <f>SUMIFS('февраль 2024'!$G$4:$G$1413,'февраль 2024'!$D$4:$D$1413,$B119,'февраль 2024'!$J$4:$J$1413,E$1)</f>
        <v>88</v>
      </c>
      <c r="F119" s="144">
        <f>SUMIFS('февраль 2024'!$G$4:$G$1413,'февраль 2024'!$D$4:$D$1413,$B119,'февраль 2024'!$J$4:$J$1413,F$1)</f>
        <v>0</v>
      </c>
      <c r="G119" s="144">
        <f>SUMIFS('февраль 2024'!$G$4:$G$1413,'февраль 2024'!$D$4:$D$1413,$B119,'февраль 2024'!$J$4:$J$1413,G$1)</f>
        <v>0</v>
      </c>
      <c r="H119" s="144">
        <f>SUMIFS('февраль 2024'!$G$4:$G$1413,'февраль 2024'!$D$4:$D$1413,$B119,'февраль 2024'!$J$4:$J$1413,H$1)</f>
        <v>0</v>
      </c>
      <c r="I119" s="144">
        <f>SUMIFS('февраль 2024'!$G$4:$G$1413,'февраль 2024'!$D$4:$D$1413,$B119,'февраль 2024'!$J$4:$J$1413,I$1)</f>
        <v>0</v>
      </c>
      <c r="J119" s="144">
        <f>SUMIFS('февраль 2024'!$G$4:$G$1413,'февраль 2024'!$D$4:$D$1413,$B119,'февраль 2024'!$J$4:$J$1413,J$1)</f>
        <v>0</v>
      </c>
      <c r="K119" s="144">
        <f>SUMIFS('февраль 2024'!$G$4:$G$1413,'февраль 2024'!$D$4:$D$1413,$B119,'февраль 2024'!$J$4:$J$1413,K$1)</f>
        <v>0</v>
      </c>
      <c r="L119" s="144">
        <f>SUMIFS('февраль 2024'!$G$4:$G$1413,'февраль 2024'!$D$4:$D$1413,$B119,'февраль 2024'!$J$4:$J$1413,L$1)</f>
        <v>0</v>
      </c>
      <c r="M119" s="144">
        <f>SUMIFS('февраль 2024'!$G$4:$G$1413,'февраль 2024'!$D$4:$D$1413,$B119,'февраль 2024'!$J$4:$J$1413,M$1)</f>
        <v>0</v>
      </c>
      <c r="N119" s="144">
        <f>SUMIFS('февраль 2024'!$G$4:$G$1413,'февраль 2024'!$D$4:$D$1413,$B119,'февраль 2024'!$J$4:$J$1413,N$1)</f>
        <v>0</v>
      </c>
      <c r="O119" s="144">
        <f>SUMIFS('февраль 2024'!$G$4:$G$1413,'февраль 2024'!$D$4:$D$1413,$B119,'февраль 2024'!$J$4:$J$1413,O$1)</f>
        <v>0</v>
      </c>
      <c r="P119" s="144">
        <f>SUMIFS('февраль 2024'!$G$4:$G$1413,'февраль 2024'!$D$4:$D$1413,$B119,'февраль 2024'!$J$4:$J$1413,P$1)</f>
        <v>0</v>
      </c>
      <c r="Q119" s="144">
        <f>SUMIFS('февраль 2024'!$G$4:$G$1413,'февраль 2024'!$D$4:$D$1413,$B119,'февраль 2024'!$J$4:$J$1413,Q$1)</f>
        <v>0</v>
      </c>
      <c r="R119" s="144">
        <f>SUMIFS('февраль 2024'!$G$4:$G$1413,'февраль 2024'!$D$4:$D$1413,$B119,'февраль 2024'!$J$4:$J$1413,R$1)</f>
        <v>0</v>
      </c>
      <c r="S119" s="144">
        <f>SUMIFS('февраль 2024'!$G$4:$G$1413,'февраль 2024'!$D$4:$D$1413,$B119,'февраль 2024'!$J$4:$J$1413,S$1)</f>
        <v>0</v>
      </c>
      <c r="T119" s="144">
        <f>SUMIFS('февраль 2024'!$G$4:$G$1413,'февраль 2024'!$D$4:$D$1413,$B119,'февраль 2024'!$J$4:$J$1413,T$1)</f>
        <v>0</v>
      </c>
      <c r="U119" s="144">
        <f>SUMIFS('февраль 2024'!$G$4:$G$1413,'февраль 2024'!$D$4:$D$1413,$B119,'февраль 2024'!$J$4:$J$1413,U$1)</f>
        <v>0</v>
      </c>
      <c r="V119" s="144">
        <f>SUMIFS('февраль 2024'!$G$4:$G$1413,'февраль 2024'!$D$4:$D$1413,$B119,'февраль 2024'!$J$4:$J$1413,V$1)</f>
        <v>0</v>
      </c>
      <c r="W119" s="144">
        <f>SUMIFS('февраль 2024'!$G$4:$G$1413,'февраль 2024'!$D$4:$D$1413,$B119,'февраль 2024'!$J$4:$J$1413,W$1)</f>
        <v>0</v>
      </c>
      <c r="X119" s="144">
        <f>SUMIFS('февраль 2024'!$G$4:$G$1413,'февраль 2024'!$D$4:$D$1413,$B119,'февраль 2024'!$J$4:$J$1413,X$1)</f>
        <v>0</v>
      </c>
      <c r="Y119" s="144">
        <f>SUMIFS('февраль 2024'!$G$4:$G$1413,'февраль 2024'!$D$4:$D$1413,$B119,'февраль 2024'!$J$4:$J$1413,Y$1)</f>
        <v>0</v>
      </c>
      <c r="Z119" s="144">
        <f>SUMIFS('февраль 2024'!$G$4:$G$1413,'февраль 2024'!$D$4:$D$1413,$B119,'февраль 2024'!$J$4:$J$1413,Z$1)</f>
        <v>0</v>
      </c>
      <c r="AA119" s="144">
        <f>SUMIFS('февраль 2024'!$G$4:$G$1413,'февраль 2024'!$D$4:$D$1413,$B119,'февраль 2024'!$J$4:$J$1413,AA$1)</f>
        <v>0</v>
      </c>
      <c r="AB119" s="144">
        <f>SUMIFS('февраль 2024'!$G$4:$G$1413,'февраль 2024'!$D$4:$D$1413,$B119,'февраль 2024'!$J$4:$J$1413,AB$1)</f>
        <v>0</v>
      </c>
      <c r="AC119" s="144">
        <f>SUMIFS('февраль 2024'!$G$4:$G$1413,'февраль 2024'!$D$4:$D$1413,$B119,'февраль 2024'!$J$4:$J$1413,AC$1)</f>
        <v>0</v>
      </c>
      <c r="AD119" s="144">
        <f>SUMIFS('февраль 2024'!$G$4:$G$1413,'февраль 2024'!$D$4:$D$1413,$B119,'февраль 2024'!$J$4:$J$1413,AD$1)</f>
        <v>0</v>
      </c>
      <c r="AE119" s="144">
        <f>SUMIFS('февраль 2024'!$G$4:$G$1413,'февраль 2024'!$D$4:$D$1413,$B119,'февраль 2024'!$J$4:$J$1413,AE$1)</f>
        <v>0</v>
      </c>
      <c r="AF119" s="144">
        <f>SUMIFS('февраль 2024'!$G$4:$G$1413,'февраль 2024'!$D$4:$D$1413,$B119,'февраль 2024'!$J$4:$J$1413,AF$1)</f>
        <v>0</v>
      </c>
      <c r="AG119" s="144">
        <f>SUMIFS('февраль 2024'!$G$4:$G$1413,'февраль 2024'!$D$4:$D$1413,$B119,'февраль 2024'!$J$4:$J$1413,AG$1)</f>
        <v>0</v>
      </c>
      <c r="AH119" s="144">
        <f>SUMIFS('февраль 2024'!$G$4:$G$1413,'февраль 2024'!$D$4:$D$1413,$B119,'февраль 2024'!$J$4:$J$1413,AH$1)</f>
        <v>0</v>
      </c>
      <c r="AI119" s="21">
        <f t="shared" si="1"/>
        <v>88</v>
      </c>
    </row>
    <row r="120" spans="2:35" ht="15" customHeight="1" x14ac:dyDescent="0.25">
      <c r="B120" s="93" t="s">
        <v>621</v>
      </c>
      <c r="C120" s="91">
        <v>180</v>
      </c>
      <c r="D120" s="144">
        <f>SUMIFS('февраль 2024'!$G$4:$G$1413,'февраль 2024'!$D$4:$D$1413,$B120,'февраль 2024'!$J$4:$J$1413,D$1)</f>
        <v>0</v>
      </c>
      <c r="E120" s="144">
        <f>SUMIFS('февраль 2024'!$G$4:$G$1413,'февраль 2024'!$D$4:$D$1413,$B120,'февраль 2024'!$J$4:$J$1413,E$1)</f>
        <v>0</v>
      </c>
      <c r="F120" s="144">
        <f>SUMIFS('февраль 2024'!$G$4:$G$1413,'февраль 2024'!$D$4:$D$1413,$B120,'февраль 2024'!$J$4:$J$1413,F$1)</f>
        <v>0</v>
      </c>
      <c r="G120" s="144">
        <f>SUMIFS('февраль 2024'!$G$4:$G$1413,'февраль 2024'!$D$4:$D$1413,$B120,'февраль 2024'!$J$4:$J$1413,G$1)</f>
        <v>0</v>
      </c>
      <c r="H120" s="144">
        <f>SUMIFS('февраль 2024'!$G$4:$G$1413,'февраль 2024'!$D$4:$D$1413,$B120,'февраль 2024'!$J$4:$J$1413,H$1)</f>
        <v>0</v>
      </c>
      <c r="I120" s="144">
        <f>SUMIFS('февраль 2024'!$G$4:$G$1413,'февраль 2024'!$D$4:$D$1413,$B120,'февраль 2024'!$J$4:$J$1413,I$1)</f>
        <v>0</v>
      </c>
      <c r="J120" s="144">
        <f>SUMIFS('февраль 2024'!$G$4:$G$1413,'февраль 2024'!$D$4:$D$1413,$B120,'февраль 2024'!$J$4:$J$1413,J$1)</f>
        <v>0</v>
      </c>
      <c r="K120" s="144">
        <f>SUMIFS('февраль 2024'!$G$4:$G$1413,'февраль 2024'!$D$4:$D$1413,$B120,'февраль 2024'!$J$4:$J$1413,K$1)</f>
        <v>0</v>
      </c>
      <c r="L120" s="144">
        <f>SUMIFS('февраль 2024'!$G$4:$G$1413,'февраль 2024'!$D$4:$D$1413,$B120,'февраль 2024'!$J$4:$J$1413,L$1)</f>
        <v>0</v>
      </c>
      <c r="M120" s="144">
        <f>SUMIFS('февраль 2024'!$G$4:$G$1413,'февраль 2024'!$D$4:$D$1413,$B120,'февраль 2024'!$J$4:$J$1413,M$1)</f>
        <v>0</v>
      </c>
      <c r="N120" s="144">
        <f>SUMIFS('февраль 2024'!$G$4:$G$1413,'февраль 2024'!$D$4:$D$1413,$B120,'февраль 2024'!$J$4:$J$1413,N$1)</f>
        <v>0</v>
      </c>
      <c r="O120" s="144">
        <f>SUMIFS('февраль 2024'!$G$4:$G$1413,'февраль 2024'!$D$4:$D$1413,$B120,'февраль 2024'!$J$4:$J$1413,O$1)</f>
        <v>0</v>
      </c>
      <c r="P120" s="144">
        <f>SUMIFS('февраль 2024'!$G$4:$G$1413,'февраль 2024'!$D$4:$D$1413,$B120,'февраль 2024'!$J$4:$J$1413,P$1)</f>
        <v>0</v>
      </c>
      <c r="Q120" s="144">
        <f>SUMIFS('февраль 2024'!$G$4:$G$1413,'февраль 2024'!$D$4:$D$1413,$B120,'февраль 2024'!$J$4:$J$1413,Q$1)</f>
        <v>0</v>
      </c>
      <c r="R120" s="144">
        <f>SUMIFS('февраль 2024'!$G$4:$G$1413,'февраль 2024'!$D$4:$D$1413,$B120,'февраль 2024'!$J$4:$J$1413,R$1)</f>
        <v>0</v>
      </c>
      <c r="S120" s="144">
        <f>SUMIFS('февраль 2024'!$G$4:$G$1413,'февраль 2024'!$D$4:$D$1413,$B120,'февраль 2024'!$J$4:$J$1413,S$1)</f>
        <v>0</v>
      </c>
      <c r="T120" s="144">
        <f>SUMIFS('февраль 2024'!$G$4:$G$1413,'февраль 2024'!$D$4:$D$1413,$B120,'февраль 2024'!$J$4:$J$1413,T$1)</f>
        <v>0</v>
      </c>
      <c r="U120" s="144">
        <f>SUMIFS('февраль 2024'!$G$4:$G$1413,'февраль 2024'!$D$4:$D$1413,$B120,'февраль 2024'!$J$4:$J$1413,U$1)</f>
        <v>0</v>
      </c>
      <c r="V120" s="144">
        <f>SUMIFS('февраль 2024'!$G$4:$G$1413,'февраль 2024'!$D$4:$D$1413,$B120,'февраль 2024'!$J$4:$J$1413,V$1)</f>
        <v>0</v>
      </c>
      <c r="W120" s="144">
        <f>SUMIFS('февраль 2024'!$G$4:$G$1413,'февраль 2024'!$D$4:$D$1413,$B120,'февраль 2024'!$J$4:$J$1413,W$1)</f>
        <v>0</v>
      </c>
      <c r="X120" s="144">
        <f>SUMIFS('февраль 2024'!$G$4:$G$1413,'февраль 2024'!$D$4:$D$1413,$B120,'февраль 2024'!$J$4:$J$1413,X$1)</f>
        <v>0</v>
      </c>
      <c r="Y120" s="144">
        <f>SUMIFS('февраль 2024'!$G$4:$G$1413,'февраль 2024'!$D$4:$D$1413,$B120,'февраль 2024'!$J$4:$J$1413,Y$1)</f>
        <v>32</v>
      </c>
      <c r="Z120" s="144">
        <f>SUMIFS('февраль 2024'!$G$4:$G$1413,'февраль 2024'!$D$4:$D$1413,$B120,'февраль 2024'!$J$4:$J$1413,Z$1)</f>
        <v>0</v>
      </c>
      <c r="AA120" s="144">
        <f>SUMIFS('февраль 2024'!$G$4:$G$1413,'февраль 2024'!$D$4:$D$1413,$B120,'февраль 2024'!$J$4:$J$1413,AA$1)</f>
        <v>0</v>
      </c>
      <c r="AB120" s="144">
        <f>SUMIFS('февраль 2024'!$G$4:$G$1413,'февраль 2024'!$D$4:$D$1413,$B120,'февраль 2024'!$J$4:$J$1413,AB$1)</f>
        <v>0</v>
      </c>
      <c r="AC120" s="144">
        <f>SUMIFS('февраль 2024'!$G$4:$G$1413,'февраль 2024'!$D$4:$D$1413,$B120,'февраль 2024'!$J$4:$J$1413,AC$1)</f>
        <v>0</v>
      </c>
      <c r="AD120" s="144">
        <f>SUMIFS('февраль 2024'!$G$4:$G$1413,'февраль 2024'!$D$4:$D$1413,$B120,'февраль 2024'!$J$4:$J$1413,AD$1)</f>
        <v>88</v>
      </c>
      <c r="AE120" s="144">
        <f>SUMIFS('февраль 2024'!$G$4:$G$1413,'февраль 2024'!$D$4:$D$1413,$B120,'февраль 2024'!$J$4:$J$1413,AE$1)</f>
        <v>0</v>
      </c>
      <c r="AF120" s="144">
        <f>SUMIFS('февраль 2024'!$G$4:$G$1413,'февраль 2024'!$D$4:$D$1413,$B120,'февраль 2024'!$J$4:$J$1413,AF$1)</f>
        <v>0</v>
      </c>
      <c r="AG120" s="144">
        <f>SUMIFS('февраль 2024'!$G$4:$G$1413,'февраль 2024'!$D$4:$D$1413,$B120,'февраль 2024'!$J$4:$J$1413,AG$1)</f>
        <v>0</v>
      </c>
      <c r="AH120" s="144">
        <f>SUMIFS('февраль 2024'!$G$4:$G$1413,'февраль 2024'!$D$4:$D$1413,$B120,'февраль 2024'!$J$4:$J$1413,AH$1)</f>
        <v>0</v>
      </c>
      <c r="AI120" s="21">
        <f>SUM(D120:AH120)</f>
        <v>120</v>
      </c>
    </row>
    <row r="121" spans="2:35" ht="15" customHeight="1" x14ac:dyDescent="0.25">
      <c r="B121" s="93" t="s">
        <v>191</v>
      </c>
      <c r="C121" s="91">
        <v>190</v>
      </c>
      <c r="D121" s="144">
        <f>SUMIFS('февраль 2024'!$G$4:$G$1413,'февраль 2024'!$D$4:$D$1413,$B121,'февраль 2024'!$J$4:$J$1413,D$1)</f>
        <v>0</v>
      </c>
      <c r="E121" s="144">
        <f>SUMIFS('февраль 2024'!$G$4:$G$1413,'февраль 2024'!$D$4:$D$1413,$B121,'февраль 2024'!$J$4:$J$1413,E$1)</f>
        <v>0</v>
      </c>
      <c r="F121" s="144">
        <f>SUMIFS('февраль 2024'!$G$4:$G$1413,'февраль 2024'!$D$4:$D$1413,$B121,'февраль 2024'!$J$4:$J$1413,F$1)</f>
        <v>0</v>
      </c>
      <c r="G121" s="144">
        <f>SUMIFS('февраль 2024'!$G$4:$G$1413,'февраль 2024'!$D$4:$D$1413,$B121,'февраль 2024'!$J$4:$J$1413,G$1)</f>
        <v>0</v>
      </c>
      <c r="H121" s="144">
        <f>SUMIFS('февраль 2024'!$G$4:$G$1413,'февраль 2024'!$D$4:$D$1413,$B121,'февраль 2024'!$J$4:$J$1413,H$1)</f>
        <v>0</v>
      </c>
      <c r="I121" s="144">
        <f>SUMIFS('февраль 2024'!$G$4:$G$1413,'февраль 2024'!$D$4:$D$1413,$B121,'февраль 2024'!$J$4:$J$1413,I$1)</f>
        <v>0</v>
      </c>
      <c r="J121" s="144">
        <f>SUMIFS('февраль 2024'!$G$4:$G$1413,'февраль 2024'!$D$4:$D$1413,$B121,'февраль 2024'!$J$4:$J$1413,J$1)</f>
        <v>0</v>
      </c>
      <c r="K121" s="144">
        <f>SUMIFS('февраль 2024'!$G$4:$G$1413,'февраль 2024'!$D$4:$D$1413,$B121,'февраль 2024'!$J$4:$J$1413,K$1)</f>
        <v>0</v>
      </c>
      <c r="L121" s="144">
        <f>SUMIFS('февраль 2024'!$G$4:$G$1413,'февраль 2024'!$D$4:$D$1413,$B121,'февраль 2024'!$J$4:$J$1413,L$1)</f>
        <v>0</v>
      </c>
      <c r="M121" s="144">
        <f>SUMIFS('февраль 2024'!$G$4:$G$1413,'февраль 2024'!$D$4:$D$1413,$B121,'февраль 2024'!$J$4:$J$1413,M$1)</f>
        <v>0</v>
      </c>
      <c r="N121" s="144">
        <f>SUMIFS('февраль 2024'!$G$4:$G$1413,'февраль 2024'!$D$4:$D$1413,$B121,'февраль 2024'!$J$4:$J$1413,N$1)</f>
        <v>0</v>
      </c>
      <c r="O121" s="144">
        <f>SUMIFS('февраль 2024'!$G$4:$G$1413,'февраль 2024'!$D$4:$D$1413,$B121,'февраль 2024'!$J$4:$J$1413,O$1)</f>
        <v>0</v>
      </c>
      <c r="P121" s="144">
        <f>SUMIFS('февраль 2024'!$G$4:$G$1413,'февраль 2024'!$D$4:$D$1413,$B121,'февраль 2024'!$J$4:$J$1413,P$1)</f>
        <v>0</v>
      </c>
      <c r="Q121" s="144">
        <f>SUMIFS('февраль 2024'!$G$4:$G$1413,'февраль 2024'!$D$4:$D$1413,$B121,'февраль 2024'!$J$4:$J$1413,Q$1)</f>
        <v>0</v>
      </c>
      <c r="R121" s="144">
        <f>SUMIFS('февраль 2024'!$G$4:$G$1413,'февраль 2024'!$D$4:$D$1413,$B121,'февраль 2024'!$J$4:$J$1413,R$1)</f>
        <v>0</v>
      </c>
      <c r="S121" s="144">
        <f>SUMIFS('февраль 2024'!$G$4:$G$1413,'февраль 2024'!$D$4:$D$1413,$B121,'февраль 2024'!$J$4:$J$1413,S$1)</f>
        <v>0</v>
      </c>
      <c r="T121" s="144">
        <f>SUMIFS('февраль 2024'!$G$4:$G$1413,'февраль 2024'!$D$4:$D$1413,$B121,'февраль 2024'!$J$4:$J$1413,T$1)</f>
        <v>0</v>
      </c>
      <c r="U121" s="144">
        <f>SUMIFS('февраль 2024'!$G$4:$G$1413,'февраль 2024'!$D$4:$D$1413,$B121,'февраль 2024'!$J$4:$J$1413,U$1)</f>
        <v>0</v>
      </c>
      <c r="V121" s="144">
        <f>SUMIFS('февраль 2024'!$G$4:$G$1413,'февраль 2024'!$D$4:$D$1413,$B121,'февраль 2024'!$J$4:$J$1413,V$1)</f>
        <v>0</v>
      </c>
      <c r="W121" s="144">
        <f>SUMIFS('февраль 2024'!$G$4:$G$1413,'февраль 2024'!$D$4:$D$1413,$B121,'февраль 2024'!$J$4:$J$1413,W$1)</f>
        <v>0</v>
      </c>
      <c r="X121" s="144">
        <f>SUMIFS('февраль 2024'!$G$4:$G$1413,'февраль 2024'!$D$4:$D$1413,$B121,'февраль 2024'!$J$4:$J$1413,X$1)</f>
        <v>0</v>
      </c>
      <c r="Y121" s="144">
        <f>SUMIFS('февраль 2024'!$G$4:$G$1413,'февраль 2024'!$D$4:$D$1413,$B121,'февраль 2024'!$J$4:$J$1413,Y$1)</f>
        <v>0</v>
      </c>
      <c r="Z121" s="144">
        <f>SUMIFS('февраль 2024'!$G$4:$G$1413,'февраль 2024'!$D$4:$D$1413,$B121,'февраль 2024'!$J$4:$J$1413,Z$1)</f>
        <v>0</v>
      </c>
      <c r="AA121" s="144">
        <f>SUMIFS('февраль 2024'!$G$4:$G$1413,'февраль 2024'!$D$4:$D$1413,$B121,'февраль 2024'!$J$4:$J$1413,AA$1)</f>
        <v>0</v>
      </c>
      <c r="AB121" s="144">
        <f>SUMIFS('февраль 2024'!$G$4:$G$1413,'февраль 2024'!$D$4:$D$1413,$B121,'февраль 2024'!$J$4:$J$1413,AB$1)</f>
        <v>0</v>
      </c>
      <c r="AC121" s="144">
        <f>SUMIFS('февраль 2024'!$G$4:$G$1413,'февраль 2024'!$D$4:$D$1413,$B121,'февраль 2024'!$J$4:$J$1413,AC$1)</f>
        <v>0</v>
      </c>
      <c r="AD121" s="144">
        <f>SUMIFS('февраль 2024'!$G$4:$G$1413,'февраль 2024'!$D$4:$D$1413,$B121,'февраль 2024'!$J$4:$J$1413,AD$1)</f>
        <v>0</v>
      </c>
      <c r="AE121" s="144">
        <f>SUMIFS('февраль 2024'!$G$4:$G$1413,'февраль 2024'!$D$4:$D$1413,$B121,'февраль 2024'!$J$4:$J$1413,AE$1)</f>
        <v>0</v>
      </c>
      <c r="AF121" s="144">
        <f>SUMIFS('февраль 2024'!$G$4:$G$1413,'февраль 2024'!$D$4:$D$1413,$B121,'февраль 2024'!$J$4:$J$1413,AF$1)</f>
        <v>0</v>
      </c>
      <c r="AG121" s="144">
        <f>SUMIFS('февраль 2024'!$G$4:$G$1413,'февраль 2024'!$D$4:$D$1413,$B121,'февраль 2024'!$J$4:$J$1413,AG$1)</f>
        <v>0</v>
      </c>
      <c r="AH121" s="144">
        <f>SUMIFS('февраль 2024'!$G$4:$G$1413,'февраль 2024'!$D$4:$D$1413,$B121,'февраль 2024'!$J$4:$J$1413,AH$1)</f>
        <v>0</v>
      </c>
      <c r="AI121" s="21">
        <f t="shared" si="1"/>
        <v>0</v>
      </c>
    </row>
    <row r="122" spans="2:35" ht="15" customHeight="1" x14ac:dyDescent="0.25">
      <c r="B122" s="93" t="s">
        <v>334</v>
      </c>
      <c r="C122" s="91">
        <v>190</v>
      </c>
      <c r="D122" s="144">
        <f>SUMIFS('февраль 2024'!$G$4:$G$1413,'февраль 2024'!$D$4:$D$1413,$B122,'февраль 2024'!$J$4:$J$1413,D$1)</f>
        <v>0</v>
      </c>
      <c r="E122" s="144">
        <f>SUMIFS('февраль 2024'!$G$4:$G$1413,'февраль 2024'!$D$4:$D$1413,$B122,'февраль 2024'!$J$4:$J$1413,E$1)</f>
        <v>0</v>
      </c>
      <c r="F122" s="144">
        <f>SUMIFS('февраль 2024'!$G$4:$G$1413,'февраль 2024'!$D$4:$D$1413,$B122,'февраль 2024'!$J$4:$J$1413,F$1)</f>
        <v>0</v>
      </c>
      <c r="G122" s="144">
        <f>SUMIFS('февраль 2024'!$G$4:$G$1413,'февраль 2024'!$D$4:$D$1413,$B122,'февраль 2024'!$J$4:$J$1413,G$1)</f>
        <v>0</v>
      </c>
      <c r="H122" s="144">
        <f>SUMIFS('февраль 2024'!$G$4:$G$1413,'февраль 2024'!$D$4:$D$1413,$B122,'февраль 2024'!$J$4:$J$1413,H$1)</f>
        <v>0</v>
      </c>
      <c r="I122" s="144">
        <f>SUMIFS('февраль 2024'!$G$4:$G$1413,'февраль 2024'!$D$4:$D$1413,$B122,'февраль 2024'!$J$4:$J$1413,I$1)</f>
        <v>0</v>
      </c>
      <c r="J122" s="144">
        <f>SUMIFS('февраль 2024'!$G$4:$G$1413,'февраль 2024'!$D$4:$D$1413,$B122,'февраль 2024'!$J$4:$J$1413,J$1)</f>
        <v>0</v>
      </c>
      <c r="K122" s="144">
        <f>SUMIFS('февраль 2024'!$G$4:$G$1413,'февраль 2024'!$D$4:$D$1413,$B122,'февраль 2024'!$J$4:$J$1413,K$1)</f>
        <v>0</v>
      </c>
      <c r="L122" s="144">
        <f>SUMIFS('февраль 2024'!$G$4:$G$1413,'февраль 2024'!$D$4:$D$1413,$B122,'февраль 2024'!$J$4:$J$1413,L$1)</f>
        <v>0</v>
      </c>
      <c r="M122" s="144">
        <f>SUMIFS('февраль 2024'!$G$4:$G$1413,'февраль 2024'!$D$4:$D$1413,$B122,'февраль 2024'!$J$4:$J$1413,M$1)</f>
        <v>0</v>
      </c>
      <c r="N122" s="144">
        <f>SUMIFS('февраль 2024'!$G$4:$G$1413,'февраль 2024'!$D$4:$D$1413,$B122,'февраль 2024'!$J$4:$J$1413,N$1)</f>
        <v>0</v>
      </c>
      <c r="O122" s="144">
        <f>SUMIFS('февраль 2024'!$G$4:$G$1413,'февраль 2024'!$D$4:$D$1413,$B122,'февраль 2024'!$J$4:$J$1413,O$1)</f>
        <v>0</v>
      </c>
      <c r="P122" s="144">
        <f>SUMIFS('февраль 2024'!$G$4:$G$1413,'февраль 2024'!$D$4:$D$1413,$B122,'февраль 2024'!$J$4:$J$1413,P$1)</f>
        <v>0</v>
      </c>
      <c r="Q122" s="144">
        <f>SUMIFS('февраль 2024'!$G$4:$G$1413,'февраль 2024'!$D$4:$D$1413,$B122,'февраль 2024'!$J$4:$J$1413,Q$1)</f>
        <v>0</v>
      </c>
      <c r="R122" s="144">
        <f>SUMIFS('февраль 2024'!$G$4:$G$1413,'февраль 2024'!$D$4:$D$1413,$B122,'февраль 2024'!$J$4:$J$1413,R$1)</f>
        <v>0</v>
      </c>
      <c r="S122" s="144">
        <f>SUMIFS('февраль 2024'!$G$4:$G$1413,'февраль 2024'!$D$4:$D$1413,$B122,'февраль 2024'!$J$4:$J$1413,S$1)</f>
        <v>0</v>
      </c>
      <c r="T122" s="144">
        <f>SUMIFS('февраль 2024'!$G$4:$G$1413,'февраль 2024'!$D$4:$D$1413,$B122,'февраль 2024'!$J$4:$J$1413,T$1)</f>
        <v>0</v>
      </c>
      <c r="U122" s="144">
        <f>SUMIFS('февраль 2024'!$G$4:$G$1413,'февраль 2024'!$D$4:$D$1413,$B122,'февраль 2024'!$J$4:$J$1413,U$1)</f>
        <v>0</v>
      </c>
      <c r="V122" s="144">
        <f>SUMIFS('февраль 2024'!$G$4:$G$1413,'февраль 2024'!$D$4:$D$1413,$B122,'февраль 2024'!$J$4:$J$1413,V$1)</f>
        <v>0</v>
      </c>
      <c r="W122" s="144">
        <f>SUMIFS('февраль 2024'!$G$4:$G$1413,'февраль 2024'!$D$4:$D$1413,$B122,'февраль 2024'!$J$4:$J$1413,W$1)</f>
        <v>0</v>
      </c>
      <c r="X122" s="144">
        <f>SUMIFS('февраль 2024'!$G$4:$G$1413,'февраль 2024'!$D$4:$D$1413,$B122,'февраль 2024'!$J$4:$J$1413,X$1)</f>
        <v>0</v>
      </c>
      <c r="Y122" s="144">
        <f>SUMIFS('февраль 2024'!$G$4:$G$1413,'февраль 2024'!$D$4:$D$1413,$B122,'февраль 2024'!$J$4:$J$1413,Y$1)</f>
        <v>0</v>
      </c>
      <c r="Z122" s="144">
        <f>SUMIFS('февраль 2024'!$G$4:$G$1413,'февраль 2024'!$D$4:$D$1413,$B122,'февраль 2024'!$J$4:$J$1413,Z$1)</f>
        <v>0</v>
      </c>
      <c r="AA122" s="144">
        <f>SUMIFS('февраль 2024'!$G$4:$G$1413,'февраль 2024'!$D$4:$D$1413,$B122,'февраль 2024'!$J$4:$J$1413,AA$1)</f>
        <v>0</v>
      </c>
      <c r="AB122" s="144">
        <f>SUMIFS('февраль 2024'!$G$4:$G$1413,'февраль 2024'!$D$4:$D$1413,$B122,'февраль 2024'!$J$4:$J$1413,AB$1)</f>
        <v>0</v>
      </c>
      <c r="AC122" s="144">
        <f>SUMIFS('февраль 2024'!$G$4:$G$1413,'февраль 2024'!$D$4:$D$1413,$B122,'февраль 2024'!$J$4:$J$1413,AC$1)</f>
        <v>0</v>
      </c>
      <c r="AD122" s="144">
        <f>SUMIFS('февраль 2024'!$G$4:$G$1413,'февраль 2024'!$D$4:$D$1413,$B122,'февраль 2024'!$J$4:$J$1413,AD$1)</f>
        <v>0</v>
      </c>
      <c r="AE122" s="144">
        <f>SUMIFS('февраль 2024'!$G$4:$G$1413,'февраль 2024'!$D$4:$D$1413,$B122,'февраль 2024'!$J$4:$J$1413,AE$1)</f>
        <v>0</v>
      </c>
      <c r="AF122" s="144">
        <f>SUMIFS('февраль 2024'!$G$4:$G$1413,'февраль 2024'!$D$4:$D$1413,$B122,'февраль 2024'!$J$4:$J$1413,AF$1)</f>
        <v>0</v>
      </c>
      <c r="AG122" s="144">
        <f>SUMIFS('февраль 2024'!$G$4:$G$1413,'февраль 2024'!$D$4:$D$1413,$B122,'февраль 2024'!$J$4:$J$1413,AG$1)</f>
        <v>0</v>
      </c>
      <c r="AH122" s="144">
        <f>SUMIFS('февраль 2024'!$G$4:$G$1413,'февраль 2024'!$D$4:$D$1413,$B122,'февраль 2024'!$J$4:$J$1413,AH$1)</f>
        <v>0</v>
      </c>
      <c r="AI122" s="21">
        <f t="shared" si="1"/>
        <v>0</v>
      </c>
    </row>
    <row r="123" spans="2:35" ht="16.899999999999999" customHeight="1" x14ac:dyDescent="0.25">
      <c r="B123" s="89" t="s">
        <v>335</v>
      </c>
      <c r="C123" s="88">
        <v>200</v>
      </c>
      <c r="D123" s="144">
        <f>SUMIFS('февраль 2024'!$G$4:$G$1413,'февраль 2024'!$D$4:$D$1413,$B123,'февраль 2024'!$J$4:$J$1413,D$1)</f>
        <v>0</v>
      </c>
      <c r="E123" s="144">
        <f>SUMIFS('февраль 2024'!$G$4:$G$1413,'февраль 2024'!$D$4:$D$1413,$B123,'февраль 2024'!$J$4:$J$1413,E$1)</f>
        <v>0</v>
      </c>
      <c r="F123" s="144">
        <f>SUMIFS('февраль 2024'!$G$4:$G$1413,'февраль 2024'!$D$4:$D$1413,$B123,'февраль 2024'!$J$4:$J$1413,F$1)</f>
        <v>0</v>
      </c>
      <c r="G123" s="144">
        <f>SUMIFS('февраль 2024'!$G$4:$G$1413,'февраль 2024'!$D$4:$D$1413,$B123,'февраль 2024'!$J$4:$J$1413,G$1)</f>
        <v>0</v>
      </c>
      <c r="H123" s="144">
        <f>SUMIFS('февраль 2024'!$G$4:$G$1413,'февраль 2024'!$D$4:$D$1413,$B123,'февраль 2024'!$J$4:$J$1413,H$1)</f>
        <v>0</v>
      </c>
      <c r="I123" s="144">
        <f>SUMIFS('февраль 2024'!$G$4:$G$1413,'февраль 2024'!$D$4:$D$1413,$B123,'февраль 2024'!$J$4:$J$1413,I$1)</f>
        <v>0</v>
      </c>
      <c r="J123" s="144">
        <f>SUMIFS('февраль 2024'!$G$4:$G$1413,'февраль 2024'!$D$4:$D$1413,$B123,'февраль 2024'!$J$4:$J$1413,J$1)</f>
        <v>0</v>
      </c>
      <c r="K123" s="144">
        <f>SUMIFS('февраль 2024'!$G$4:$G$1413,'февраль 2024'!$D$4:$D$1413,$B123,'февраль 2024'!$J$4:$J$1413,K$1)</f>
        <v>0</v>
      </c>
      <c r="L123" s="144">
        <f>SUMIFS('февраль 2024'!$G$4:$G$1413,'февраль 2024'!$D$4:$D$1413,$B123,'февраль 2024'!$J$4:$J$1413,L$1)</f>
        <v>0</v>
      </c>
      <c r="M123" s="144">
        <f>SUMIFS('февраль 2024'!$G$4:$G$1413,'февраль 2024'!$D$4:$D$1413,$B123,'февраль 2024'!$J$4:$J$1413,M$1)</f>
        <v>0</v>
      </c>
      <c r="N123" s="144">
        <f>SUMIFS('февраль 2024'!$G$4:$G$1413,'февраль 2024'!$D$4:$D$1413,$B123,'февраль 2024'!$J$4:$J$1413,N$1)</f>
        <v>0</v>
      </c>
      <c r="O123" s="144">
        <f>SUMIFS('февраль 2024'!$G$4:$G$1413,'февраль 2024'!$D$4:$D$1413,$B123,'февраль 2024'!$J$4:$J$1413,O$1)</f>
        <v>0</v>
      </c>
      <c r="P123" s="144">
        <f>SUMIFS('февраль 2024'!$G$4:$G$1413,'февраль 2024'!$D$4:$D$1413,$B123,'февраль 2024'!$J$4:$J$1413,P$1)</f>
        <v>0</v>
      </c>
      <c r="Q123" s="144">
        <f>SUMIFS('февраль 2024'!$G$4:$G$1413,'февраль 2024'!$D$4:$D$1413,$B123,'февраль 2024'!$J$4:$J$1413,Q$1)</f>
        <v>0</v>
      </c>
      <c r="R123" s="144">
        <f>SUMIFS('февраль 2024'!$G$4:$G$1413,'февраль 2024'!$D$4:$D$1413,$B123,'февраль 2024'!$J$4:$J$1413,R$1)</f>
        <v>0</v>
      </c>
      <c r="S123" s="144">
        <f>SUMIFS('февраль 2024'!$G$4:$G$1413,'февраль 2024'!$D$4:$D$1413,$B123,'февраль 2024'!$J$4:$J$1413,S$1)</f>
        <v>0</v>
      </c>
      <c r="T123" s="144">
        <f>SUMIFS('февраль 2024'!$G$4:$G$1413,'февраль 2024'!$D$4:$D$1413,$B123,'февраль 2024'!$J$4:$J$1413,T$1)</f>
        <v>0</v>
      </c>
      <c r="U123" s="144">
        <f>SUMIFS('февраль 2024'!$G$4:$G$1413,'февраль 2024'!$D$4:$D$1413,$B123,'февраль 2024'!$J$4:$J$1413,U$1)</f>
        <v>0</v>
      </c>
      <c r="V123" s="144">
        <f>SUMIFS('февраль 2024'!$G$4:$G$1413,'февраль 2024'!$D$4:$D$1413,$B123,'февраль 2024'!$J$4:$J$1413,V$1)</f>
        <v>0</v>
      </c>
      <c r="W123" s="144">
        <f>SUMIFS('февраль 2024'!$G$4:$G$1413,'февраль 2024'!$D$4:$D$1413,$B123,'февраль 2024'!$J$4:$J$1413,W$1)</f>
        <v>0</v>
      </c>
      <c r="X123" s="144">
        <f>SUMIFS('февраль 2024'!$G$4:$G$1413,'февраль 2024'!$D$4:$D$1413,$B123,'февраль 2024'!$J$4:$J$1413,X$1)</f>
        <v>0</v>
      </c>
      <c r="Y123" s="144">
        <f>SUMIFS('февраль 2024'!$G$4:$G$1413,'февраль 2024'!$D$4:$D$1413,$B123,'февраль 2024'!$J$4:$J$1413,Y$1)</f>
        <v>0</v>
      </c>
      <c r="Z123" s="144">
        <f>SUMIFS('февраль 2024'!$G$4:$G$1413,'февраль 2024'!$D$4:$D$1413,$B123,'февраль 2024'!$J$4:$J$1413,Z$1)</f>
        <v>0</v>
      </c>
      <c r="AA123" s="144">
        <f>SUMIFS('февраль 2024'!$G$4:$G$1413,'февраль 2024'!$D$4:$D$1413,$B123,'февраль 2024'!$J$4:$J$1413,AA$1)</f>
        <v>0</v>
      </c>
      <c r="AB123" s="144">
        <f>SUMIFS('февраль 2024'!$G$4:$G$1413,'февраль 2024'!$D$4:$D$1413,$B123,'февраль 2024'!$J$4:$J$1413,AB$1)</f>
        <v>0</v>
      </c>
      <c r="AC123" s="144">
        <f>SUMIFS('февраль 2024'!$G$4:$G$1413,'февраль 2024'!$D$4:$D$1413,$B123,'февраль 2024'!$J$4:$J$1413,AC$1)</f>
        <v>0</v>
      </c>
      <c r="AD123" s="144">
        <f>SUMIFS('февраль 2024'!$G$4:$G$1413,'февраль 2024'!$D$4:$D$1413,$B123,'февраль 2024'!$J$4:$J$1413,AD$1)</f>
        <v>0</v>
      </c>
      <c r="AE123" s="144">
        <f>SUMIFS('февраль 2024'!$G$4:$G$1413,'февраль 2024'!$D$4:$D$1413,$B123,'февраль 2024'!$J$4:$J$1413,AE$1)</f>
        <v>0</v>
      </c>
      <c r="AF123" s="144">
        <f>SUMIFS('февраль 2024'!$G$4:$G$1413,'февраль 2024'!$D$4:$D$1413,$B123,'февраль 2024'!$J$4:$J$1413,AF$1)</f>
        <v>0</v>
      </c>
      <c r="AG123" s="144">
        <f>SUMIFS('февраль 2024'!$G$4:$G$1413,'февраль 2024'!$D$4:$D$1413,$B123,'февраль 2024'!$J$4:$J$1413,AG$1)</f>
        <v>0</v>
      </c>
      <c r="AH123" s="144">
        <f>SUMIFS('февраль 2024'!$G$4:$G$1413,'февраль 2024'!$D$4:$D$1413,$B123,'февраль 2024'!$J$4:$J$1413,AH$1)</f>
        <v>0</v>
      </c>
      <c r="AI123" s="21">
        <f t="shared" si="1"/>
        <v>0</v>
      </c>
    </row>
    <row r="124" spans="2:35" ht="16.899999999999999" customHeight="1" x14ac:dyDescent="0.25">
      <c r="B124" s="89" t="s">
        <v>340</v>
      </c>
      <c r="C124" s="88">
        <v>200</v>
      </c>
      <c r="D124" s="144">
        <f>SUMIFS('февраль 2024'!$G$4:$G$1413,'февраль 2024'!$D$4:$D$1413,$B124,'февраль 2024'!$J$4:$J$1413,D$1)</f>
        <v>0</v>
      </c>
      <c r="E124" s="144">
        <f>SUMIFS('февраль 2024'!$G$4:$G$1413,'февраль 2024'!$D$4:$D$1413,$B124,'февраль 2024'!$J$4:$J$1413,E$1)</f>
        <v>0</v>
      </c>
      <c r="F124" s="144">
        <f>SUMIFS('февраль 2024'!$G$4:$G$1413,'февраль 2024'!$D$4:$D$1413,$B124,'февраль 2024'!$J$4:$J$1413,F$1)</f>
        <v>0</v>
      </c>
      <c r="G124" s="144">
        <f>SUMIFS('февраль 2024'!$G$4:$G$1413,'февраль 2024'!$D$4:$D$1413,$B124,'февраль 2024'!$J$4:$J$1413,G$1)</f>
        <v>0</v>
      </c>
      <c r="H124" s="144">
        <f>SUMIFS('февраль 2024'!$G$4:$G$1413,'февраль 2024'!$D$4:$D$1413,$B124,'февраль 2024'!$J$4:$J$1413,H$1)</f>
        <v>0</v>
      </c>
      <c r="I124" s="144">
        <f>SUMIFS('февраль 2024'!$G$4:$G$1413,'февраль 2024'!$D$4:$D$1413,$B124,'февраль 2024'!$J$4:$J$1413,I$1)</f>
        <v>0</v>
      </c>
      <c r="J124" s="144">
        <f>SUMIFS('февраль 2024'!$G$4:$G$1413,'февраль 2024'!$D$4:$D$1413,$B124,'февраль 2024'!$J$4:$J$1413,J$1)</f>
        <v>0</v>
      </c>
      <c r="K124" s="144">
        <f>SUMIFS('февраль 2024'!$G$4:$G$1413,'февраль 2024'!$D$4:$D$1413,$B124,'февраль 2024'!$J$4:$J$1413,K$1)</f>
        <v>0</v>
      </c>
      <c r="L124" s="144">
        <f>SUMIFS('февраль 2024'!$G$4:$G$1413,'февраль 2024'!$D$4:$D$1413,$B124,'февраль 2024'!$J$4:$J$1413,L$1)</f>
        <v>0</v>
      </c>
      <c r="M124" s="144">
        <f>SUMIFS('февраль 2024'!$G$4:$G$1413,'февраль 2024'!$D$4:$D$1413,$B124,'февраль 2024'!$J$4:$J$1413,M$1)</f>
        <v>0</v>
      </c>
      <c r="N124" s="144">
        <f>SUMIFS('февраль 2024'!$G$4:$G$1413,'февраль 2024'!$D$4:$D$1413,$B124,'февраль 2024'!$J$4:$J$1413,N$1)</f>
        <v>0</v>
      </c>
      <c r="O124" s="144">
        <f>SUMIFS('февраль 2024'!$G$4:$G$1413,'февраль 2024'!$D$4:$D$1413,$B124,'февраль 2024'!$J$4:$J$1413,O$1)</f>
        <v>0</v>
      </c>
      <c r="P124" s="144">
        <f>SUMIFS('февраль 2024'!$G$4:$G$1413,'февраль 2024'!$D$4:$D$1413,$B124,'февраль 2024'!$J$4:$J$1413,P$1)</f>
        <v>0</v>
      </c>
      <c r="Q124" s="144">
        <f>SUMIFS('февраль 2024'!$G$4:$G$1413,'февраль 2024'!$D$4:$D$1413,$B124,'февраль 2024'!$J$4:$J$1413,Q$1)</f>
        <v>0</v>
      </c>
      <c r="R124" s="144">
        <f>SUMIFS('февраль 2024'!$G$4:$G$1413,'февраль 2024'!$D$4:$D$1413,$B124,'февраль 2024'!$J$4:$J$1413,R$1)</f>
        <v>0</v>
      </c>
      <c r="S124" s="144">
        <f>SUMIFS('февраль 2024'!$G$4:$G$1413,'февраль 2024'!$D$4:$D$1413,$B124,'февраль 2024'!$J$4:$J$1413,S$1)</f>
        <v>0</v>
      </c>
      <c r="T124" s="144">
        <f>SUMIFS('февраль 2024'!$G$4:$G$1413,'февраль 2024'!$D$4:$D$1413,$B124,'февраль 2024'!$J$4:$J$1413,T$1)</f>
        <v>0</v>
      </c>
      <c r="U124" s="144">
        <f>SUMIFS('февраль 2024'!$G$4:$G$1413,'февраль 2024'!$D$4:$D$1413,$B124,'февраль 2024'!$J$4:$J$1413,U$1)</f>
        <v>0</v>
      </c>
      <c r="V124" s="144">
        <f>SUMIFS('февраль 2024'!$G$4:$G$1413,'февраль 2024'!$D$4:$D$1413,$B124,'февраль 2024'!$J$4:$J$1413,V$1)</f>
        <v>0</v>
      </c>
      <c r="W124" s="144">
        <f>SUMIFS('февраль 2024'!$G$4:$G$1413,'февраль 2024'!$D$4:$D$1413,$B124,'февраль 2024'!$J$4:$J$1413,W$1)</f>
        <v>0</v>
      </c>
      <c r="X124" s="144">
        <f>SUMIFS('февраль 2024'!$G$4:$G$1413,'февраль 2024'!$D$4:$D$1413,$B124,'февраль 2024'!$J$4:$J$1413,X$1)</f>
        <v>0</v>
      </c>
      <c r="Y124" s="144">
        <f>SUMIFS('февраль 2024'!$G$4:$G$1413,'февраль 2024'!$D$4:$D$1413,$B124,'февраль 2024'!$J$4:$J$1413,Y$1)</f>
        <v>0</v>
      </c>
      <c r="Z124" s="144">
        <f>SUMIFS('февраль 2024'!$G$4:$G$1413,'февраль 2024'!$D$4:$D$1413,$B124,'февраль 2024'!$J$4:$J$1413,Z$1)</f>
        <v>0</v>
      </c>
      <c r="AA124" s="144">
        <f>SUMIFS('февраль 2024'!$G$4:$G$1413,'февраль 2024'!$D$4:$D$1413,$B124,'февраль 2024'!$J$4:$J$1413,AA$1)</f>
        <v>0</v>
      </c>
      <c r="AB124" s="144">
        <f>SUMIFS('февраль 2024'!$G$4:$G$1413,'февраль 2024'!$D$4:$D$1413,$B124,'февраль 2024'!$J$4:$J$1413,AB$1)</f>
        <v>0</v>
      </c>
      <c r="AC124" s="144">
        <f>SUMIFS('февраль 2024'!$G$4:$G$1413,'февраль 2024'!$D$4:$D$1413,$B124,'февраль 2024'!$J$4:$J$1413,AC$1)</f>
        <v>0</v>
      </c>
      <c r="AD124" s="144">
        <f>SUMIFS('февраль 2024'!$G$4:$G$1413,'февраль 2024'!$D$4:$D$1413,$B124,'февраль 2024'!$J$4:$J$1413,AD$1)</f>
        <v>0</v>
      </c>
      <c r="AE124" s="144">
        <f>SUMIFS('февраль 2024'!$G$4:$G$1413,'февраль 2024'!$D$4:$D$1413,$B124,'февраль 2024'!$J$4:$J$1413,AE$1)</f>
        <v>0</v>
      </c>
      <c r="AF124" s="144">
        <f>SUMIFS('февраль 2024'!$G$4:$G$1413,'февраль 2024'!$D$4:$D$1413,$B124,'февраль 2024'!$J$4:$J$1413,AF$1)</f>
        <v>0</v>
      </c>
      <c r="AG124" s="144">
        <f>SUMIFS('февраль 2024'!$G$4:$G$1413,'февраль 2024'!$D$4:$D$1413,$B124,'февраль 2024'!$J$4:$J$1413,AG$1)</f>
        <v>0</v>
      </c>
      <c r="AH124" s="144">
        <f>SUMIFS('февраль 2024'!$G$4:$G$1413,'февраль 2024'!$D$4:$D$1413,$B124,'февраль 2024'!$J$4:$J$1413,AH$1)</f>
        <v>0</v>
      </c>
      <c r="AI124" s="21">
        <f t="shared" si="1"/>
        <v>0</v>
      </c>
    </row>
    <row r="125" spans="2:35" ht="16.899999999999999" customHeight="1" x14ac:dyDescent="0.25">
      <c r="B125" s="89" t="s">
        <v>336</v>
      </c>
      <c r="C125" s="88">
        <v>200</v>
      </c>
      <c r="D125" s="144">
        <f>SUMIFS('февраль 2024'!$G$4:$G$1413,'февраль 2024'!$D$4:$D$1413,$B125,'февраль 2024'!$J$4:$J$1413,D$1)</f>
        <v>0</v>
      </c>
      <c r="E125" s="144">
        <f>SUMIFS('февраль 2024'!$G$4:$G$1413,'февраль 2024'!$D$4:$D$1413,$B125,'февраль 2024'!$J$4:$J$1413,E$1)</f>
        <v>0</v>
      </c>
      <c r="F125" s="144">
        <f>SUMIFS('февраль 2024'!$G$4:$G$1413,'февраль 2024'!$D$4:$D$1413,$B125,'февраль 2024'!$J$4:$J$1413,F$1)</f>
        <v>0</v>
      </c>
      <c r="G125" s="144">
        <f>SUMIFS('февраль 2024'!$G$4:$G$1413,'февраль 2024'!$D$4:$D$1413,$B125,'февраль 2024'!$J$4:$J$1413,G$1)</f>
        <v>0</v>
      </c>
      <c r="H125" s="144">
        <f>SUMIFS('февраль 2024'!$G$4:$G$1413,'февраль 2024'!$D$4:$D$1413,$B125,'февраль 2024'!$J$4:$J$1413,H$1)</f>
        <v>0</v>
      </c>
      <c r="I125" s="144">
        <f>SUMIFS('февраль 2024'!$G$4:$G$1413,'февраль 2024'!$D$4:$D$1413,$B125,'февраль 2024'!$J$4:$J$1413,I$1)</f>
        <v>0</v>
      </c>
      <c r="J125" s="144">
        <f>SUMIFS('февраль 2024'!$G$4:$G$1413,'февраль 2024'!$D$4:$D$1413,$B125,'февраль 2024'!$J$4:$J$1413,J$1)</f>
        <v>0</v>
      </c>
      <c r="K125" s="144">
        <f>SUMIFS('февраль 2024'!$G$4:$G$1413,'февраль 2024'!$D$4:$D$1413,$B125,'февраль 2024'!$J$4:$J$1413,K$1)</f>
        <v>0</v>
      </c>
      <c r="L125" s="144">
        <f>SUMIFS('февраль 2024'!$G$4:$G$1413,'февраль 2024'!$D$4:$D$1413,$B125,'февраль 2024'!$J$4:$J$1413,L$1)</f>
        <v>0</v>
      </c>
      <c r="M125" s="144">
        <f>SUMIFS('февраль 2024'!$G$4:$G$1413,'февраль 2024'!$D$4:$D$1413,$B125,'февраль 2024'!$J$4:$J$1413,M$1)</f>
        <v>0</v>
      </c>
      <c r="N125" s="144">
        <f>SUMIFS('февраль 2024'!$G$4:$G$1413,'февраль 2024'!$D$4:$D$1413,$B125,'февраль 2024'!$J$4:$J$1413,N$1)</f>
        <v>0</v>
      </c>
      <c r="O125" s="144">
        <f>SUMIFS('февраль 2024'!$G$4:$G$1413,'февраль 2024'!$D$4:$D$1413,$B125,'февраль 2024'!$J$4:$J$1413,O$1)</f>
        <v>0</v>
      </c>
      <c r="P125" s="144">
        <f>SUMIFS('февраль 2024'!$G$4:$G$1413,'февраль 2024'!$D$4:$D$1413,$B125,'февраль 2024'!$J$4:$J$1413,P$1)</f>
        <v>0</v>
      </c>
      <c r="Q125" s="144">
        <f>SUMIFS('февраль 2024'!$G$4:$G$1413,'февраль 2024'!$D$4:$D$1413,$B125,'февраль 2024'!$J$4:$J$1413,Q$1)</f>
        <v>0</v>
      </c>
      <c r="R125" s="144">
        <f>SUMIFS('февраль 2024'!$G$4:$G$1413,'февраль 2024'!$D$4:$D$1413,$B125,'февраль 2024'!$J$4:$J$1413,R$1)</f>
        <v>0</v>
      </c>
      <c r="S125" s="144">
        <f>SUMIFS('февраль 2024'!$G$4:$G$1413,'февраль 2024'!$D$4:$D$1413,$B125,'февраль 2024'!$J$4:$J$1413,S$1)</f>
        <v>0</v>
      </c>
      <c r="T125" s="144">
        <f>SUMIFS('февраль 2024'!$G$4:$G$1413,'февраль 2024'!$D$4:$D$1413,$B125,'февраль 2024'!$J$4:$J$1413,T$1)</f>
        <v>0</v>
      </c>
      <c r="U125" s="144">
        <f>SUMIFS('февраль 2024'!$G$4:$G$1413,'февраль 2024'!$D$4:$D$1413,$B125,'февраль 2024'!$J$4:$J$1413,U$1)</f>
        <v>0</v>
      </c>
      <c r="V125" s="144">
        <f>SUMIFS('февраль 2024'!$G$4:$G$1413,'февраль 2024'!$D$4:$D$1413,$B125,'февраль 2024'!$J$4:$J$1413,V$1)</f>
        <v>0</v>
      </c>
      <c r="W125" s="144">
        <f>SUMIFS('февраль 2024'!$G$4:$G$1413,'февраль 2024'!$D$4:$D$1413,$B125,'февраль 2024'!$J$4:$J$1413,W$1)</f>
        <v>0</v>
      </c>
      <c r="X125" s="144">
        <f>SUMIFS('февраль 2024'!$G$4:$G$1413,'февраль 2024'!$D$4:$D$1413,$B125,'февраль 2024'!$J$4:$J$1413,X$1)</f>
        <v>0</v>
      </c>
      <c r="Y125" s="144">
        <f>SUMIFS('февраль 2024'!$G$4:$G$1413,'февраль 2024'!$D$4:$D$1413,$B125,'февраль 2024'!$J$4:$J$1413,Y$1)</f>
        <v>0</v>
      </c>
      <c r="Z125" s="144">
        <f>SUMIFS('февраль 2024'!$G$4:$G$1413,'февраль 2024'!$D$4:$D$1413,$B125,'февраль 2024'!$J$4:$J$1413,Z$1)</f>
        <v>0</v>
      </c>
      <c r="AA125" s="144">
        <f>SUMIFS('февраль 2024'!$G$4:$G$1413,'февраль 2024'!$D$4:$D$1413,$B125,'февраль 2024'!$J$4:$J$1413,AA$1)</f>
        <v>0</v>
      </c>
      <c r="AB125" s="144">
        <f>SUMIFS('февраль 2024'!$G$4:$G$1413,'февраль 2024'!$D$4:$D$1413,$B125,'февраль 2024'!$J$4:$J$1413,AB$1)</f>
        <v>0</v>
      </c>
      <c r="AC125" s="144">
        <f>SUMIFS('февраль 2024'!$G$4:$G$1413,'февраль 2024'!$D$4:$D$1413,$B125,'февраль 2024'!$J$4:$J$1413,AC$1)</f>
        <v>0</v>
      </c>
      <c r="AD125" s="144">
        <f>SUMIFS('февраль 2024'!$G$4:$G$1413,'февраль 2024'!$D$4:$D$1413,$B125,'февраль 2024'!$J$4:$J$1413,AD$1)</f>
        <v>0</v>
      </c>
      <c r="AE125" s="144">
        <f>SUMIFS('февраль 2024'!$G$4:$G$1413,'февраль 2024'!$D$4:$D$1413,$B125,'февраль 2024'!$J$4:$J$1413,AE$1)</f>
        <v>0</v>
      </c>
      <c r="AF125" s="144">
        <f>SUMIFS('февраль 2024'!$G$4:$G$1413,'февраль 2024'!$D$4:$D$1413,$B125,'февраль 2024'!$J$4:$J$1413,AF$1)</f>
        <v>0</v>
      </c>
      <c r="AG125" s="144">
        <f>SUMIFS('февраль 2024'!$G$4:$G$1413,'февраль 2024'!$D$4:$D$1413,$B125,'февраль 2024'!$J$4:$J$1413,AG$1)</f>
        <v>0</v>
      </c>
      <c r="AH125" s="144">
        <f>SUMIFS('февраль 2024'!$G$4:$G$1413,'февраль 2024'!$D$4:$D$1413,$B125,'февраль 2024'!$J$4:$J$1413,AH$1)</f>
        <v>0</v>
      </c>
      <c r="AI125" s="21">
        <f t="shared" si="1"/>
        <v>0</v>
      </c>
    </row>
    <row r="126" spans="2:35" ht="15" customHeight="1" x14ac:dyDescent="0.25">
      <c r="B126" s="89" t="s">
        <v>341</v>
      </c>
      <c r="C126" s="88">
        <v>200</v>
      </c>
      <c r="D126" s="144">
        <f>SUMIFS('февраль 2024'!$G$4:$G$1413,'февраль 2024'!$D$4:$D$1413,$B126,'февраль 2024'!$J$4:$J$1413,D$1)</f>
        <v>0</v>
      </c>
      <c r="E126" s="144">
        <f>SUMIFS('февраль 2024'!$G$4:$G$1413,'февраль 2024'!$D$4:$D$1413,$B126,'февраль 2024'!$J$4:$J$1413,E$1)</f>
        <v>0</v>
      </c>
      <c r="F126" s="144">
        <f>SUMIFS('февраль 2024'!$G$4:$G$1413,'февраль 2024'!$D$4:$D$1413,$B126,'февраль 2024'!$J$4:$J$1413,F$1)</f>
        <v>0</v>
      </c>
      <c r="G126" s="144">
        <f>SUMIFS('февраль 2024'!$G$4:$G$1413,'февраль 2024'!$D$4:$D$1413,$B126,'февраль 2024'!$J$4:$J$1413,G$1)</f>
        <v>0</v>
      </c>
      <c r="H126" s="144">
        <f>SUMIFS('февраль 2024'!$G$4:$G$1413,'февраль 2024'!$D$4:$D$1413,$B126,'февраль 2024'!$J$4:$J$1413,H$1)</f>
        <v>0</v>
      </c>
      <c r="I126" s="144">
        <f>SUMIFS('февраль 2024'!$G$4:$G$1413,'февраль 2024'!$D$4:$D$1413,$B126,'февраль 2024'!$J$4:$J$1413,I$1)</f>
        <v>0</v>
      </c>
      <c r="J126" s="144">
        <f>SUMIFS('февраль 2024'!$G$4:$G$1413,'февраль 2024'!$D$4:$D$1413,$B126,'февраль 2024'!$J$4:$J$1413,J$1)</f>
        <v>0</v>
      </c>
      <c r="K126" s="144">
        <f>SUMIFS('февраль 2024'!$G$4:$G$1413,'февраль 2024'!$D$4:$D$1413,$B126,'февраль 2024'!$J$4:$J$1413,K$1)</f>
        <v>0</v>
      </c>
      <c r="L126" s="144">
        <f>SUMIFS('февраль 2024'!$G$4:$G$1413,'февраль 2024'!$D$4:$D$1413,$B126,'февраль 2024'!$J$4:$J$1413,L$1)</f>
        <v>0</v>
      </c>
      <c r="M126" s="144">
        <f>SUMIFS('февраль 2024'!$G$4:$G$1413,'февраль 2024'!$D$4:$D$1413,$B126,'февраль 2024'!$J$4:$J$1413,M$1)</f>
        <v>0</v>
      </c>
      <c r="N126" s="144">
        <f>SUMIFS('февраль 2024'!$G$4:$G$1413,'февраль 2024'!$D$4:$D$1413,$B126,'февраль 2024'!$J$4:$J$1413,N$1)</f>
        <v>0</v>
      </c>
      <c r="O126" s="144">
        <f>SUMIFS('февраль 2024'!$G$4:$G$1413,'февраль 2024'!$D$4:$D$1413,$B126,'февраль 2024'!$J$4:$J$1413,O$1)</f>
        <v>0</v>
      </c>
      <c r="P126" s="144">
        <f>SUMIFS('февраль 2024'!$G$4:$G$1413,'февраль 2024'!$D$4:$D$1413,$B126,'февраль 2024'!$J$4:$J$1413,P$1)</f>
        <v>0</v>
      </c>
      <c r="Q126" s="144">
        <f>SUMIFS('февраль 2024'!$G$4:$G$1413,'февраль 2024'!$D$4:$D$1413,$B126,'февраль 2024'!$J$4:$J$1413,Q$1)</f>
        <v>0</v>
      </c>
      <c r="R126" s="144">
        <f>SUMIFS('февраль 2024'!$G$4:$G$1413,'февраль 2024'!$D$4:$D$1413,$B126,'февраль 2024'!$J$4:$J$1413,R$1)</f>
        <v>0</v>
      </c>
      <c r="S126" s="144">
        <f>SUMIFS('февраль 2024'!$G$4:$G$1413,'февраль 2024'!$D$4:$D$1413,$B126,'февраль 2024'!$J$4:$J$1413,S$1)</f>
        <v>0</v>
      </c>
      <c r="T126" s="144">
        <f>SUMIFS('февраль 2024'!$G$4:$G$1413,'февраль 2024'!$D$4:$D$1413,$B126,'февраль 2024'!$J$4:$J$1413,T$1)</f>
        <v>0</v>
      </c>
      <c r="U126" s="144">
        <f>SUMIFS('февраль 2024'!$G$4:$G$1413,'февраль 2024'!$D$4:$D$1413,$B126,'февраль 2024'!$J$4:$J$1413,U$1)</f>
        <v>0</v>
      </c>
      <c r="V126" s="144">
        <f>SUMIFS('февраль 2024'!$G$4:$G$1413,'февраль 2024'!$D$4:$D$1413,$B126,'февраль 2024'!$J$4:$J$1413,V$1)</f>
        <v>0</v>
      </c>
      <c r="W126" s="144">
        <f>SUMIFS('февраль 2024'!$G$4:$G$1413,'февраль 2024'!$D$4:$D$1413,$B126,'февраль 2024'!$J$4:$J$1413,W$1)</f>
        <v>0</v>
      </c>
      <c r="X126" s="144">
        <f>SUMIFS('февраль 2024'!$G$4:$G$1413,'февраль 2024'!$D$4:$D$1413,$B126,'февраль 2024'!$J$4:$J$1413,X$1)</f>
        <v>0</v>
      </c>
      <c r="Y126" s="144">
        <f>SUMIFS('февраль 2024'!$G$4:$G$1413,'февраль 2024'!$D$4:$D$1413,$B126,'февраль 2024'!$J$4:$J$1413,Y$1)</f>
        <v>0</v>
      </c>
      <c r="Z126" s="144">
        <f>SUMIFS('февраль 2024'!$G$4:$G$1413,'февраль 2024'!$D$4:$D$1413,$B126,'февраль 2024'!$J$4:$J$1413,Z$1)</f>
        <v>0</v>
      </c>
      <c r="AA126" s="144">
        <f>SUMIFS('февраль 2024'!$G$4:$G$1413,'февраль 2024'!$D$4:$D$1413,$B126,'февраль 2024'!$J$4:$J$1413,AA$1)</f>
        <v>0</v>
      </c>
      <c r="AB126" s="144">
        <f>SUMIFS('февраль 2024'!$G$4:$G$1413,'февраль 2024'!$D$4:$D$1413,$B126,'февраль 2024'!$J$4:$J$1413,AB$1)</f>
        <v>0</v>
      </c>
      <c r="AC126" s="144">
        <f>SUMIFS('февраль 2024'!$G$4:$G$1413,'февраль 2024'!$D$4:$D$1413,$B126,'февраль 2024'!$J$4:$J$1413,AC$1)</f>
        <v>0</v>
      </c>
      <c r="AD126" s="144">
        <f>SUMIFS('февраль 2024'!$G$4:$G$1413,'февраль 2024'!$D$4:$D$1413,$B126,'февраль 2024'!$J$4:$J$1413,AD$1)</f>
        <v>0</v>
      </c>
      <c r="AE126" s="144">
        <f>SUMIFS('февраль 2024'!$G$4:$G$1413,'февраль 2024'!$D$4:$D$1413,$B126,'февраль 2024'!$J$4:$J$1413,AE$1)</f>
        <v>0</v>
      </c>
      <c r="AF126" s="144">
        <f>SUMIFS('февраль 2024'!$G$4:$G$1413,'февраль 2024'!$D$4:$D$1413,$B126,'февраль 2024'!$J$4:$J$1413,AF$1)</f>
        <v>0</v>
      </c>
      <c r="AG126" s="144">
        <f>SUMIFS('февраль 2024'!$G$4:$G$1413,'февраль 2024'!$D$4:$D$1413,$B126,'февраль 2024'!$J$4:$J$1413,AG$1)</f>
        <v>0</v>
      </c>
      <c r="AH126" s="144">
        <f>SUMIFS('февраль 2024'!$G$4:$G$1413,'февраль 2024'!$D$4:$D$1413,$B126,'февраль 2024'!$J$4:$J$1413,AH$1)</f>
        <v>0</v>
      </c>
      <c r="AI126" s="21">
        <f t="shared" si="1"/>
        <v>0</v>
      </c>
    </row>
    <row r="127" spans="2:35" ht="15" customHeight="1" x14ac:dyDescent="0.25">
      <c r="B127" s="89" t="s">
        <v>337</v>
      </c>
      <c r="C127" s="88">
        <v>200</v>
      </c>
      <c r="D127" s="144">
        <f>SUMIFS('февраль 2024'!$G$4:$G$1413,'февраль 2024'!$D$4:$D$1413,$B127,'февраль 2024'!$J$4:$J$1413,D$1)</f>
        <v>0</v>
      </c>
      <c r="E127" s="144">
        <f>SUMIFS('февраль 2024'!$G$4:$G$1413,'февраль 2024'!$D$4:$D$1413,$B127,'февраль 2024'!$J$4:$J$1413,E$1)</f>
        <v>0</v>
      </c>
      <c r="F127" s="144">
        <f>SUMIFS('февраль 2024'!$G$4:$G$1413,'февраль 2024'!$D$4:$D$1413,$B127,'февраль 2024'!$J$4:$J$1413,F$1)</f>
        <v>0</v>
      </c>
      <c r="G127" s="144">
        <f>SUMIFS('февраль 2024'!$G$4:$G$1413,'февраль 2024'!$D$4:$D$1413,$B127,'февраль 2024'!$J$4:$J$1413,G$1)</f>
        <v>0</v>
      </c>
      <c r="H127" s="144">
        <f>SUMIFS('февраль 2024'!$G$4:$G$1413,'февраль 2024'!$D$4:$D$1413,$B127,'февраль 2024'!$J$4:$J$1413,H$1)</f>
        <v>0</v>
      </c>
      <c r="I127" s="144">
        <f>SUMIFS('февраль 2024'!$G$4:$G$1413,'февраль 2024'!$D$4:$D$1413,$B127,'февраль 2024'!$J$4:$J$1413,I$1)</f>
        <v>0</v>
      </c>
      <c r="J127" s="144">
        <f>SUMIFS('февраль 2024'!$G$4:$G$1413,'февраль 2024'!$D$4:$D$1413,$B127,'февраль 2024'!$J$4:$J$1413,J$1)</f>
        <v>0</v>
      </c>
      <c r="K127" s="144">
        <f>SUMIFS('февраль 2024'!$G$4:$G$1413,'февраль 2024'!$D$4:$D$1413,$B127,'февраль 2024'!$J$4:$J$1413,K$1)</f>
        <v>0</v>
      </c>
      <c r="L127" s="144">
        <f>SUMIFS('февраль 2024'!$G$4:$G$1413,'февраль 2024'!$D$4:$D$1413,$B127,'февраль 2024'!$J$4:$J$1413,L$1)</f>
        <v>0</v>
      </c>
      <c r="M127" s="144">
        <f>SUMIFS('февраль 2024'!$G$4:$G$1413,'февраль 2024'!$D$4:$D$1413,$B127,'февраль 2024'!$J$4:$J$1413,M$1)</f>
        <v>0</v>
      </c>
      <c r="N127" s="144">
        <f>SUMIFS('февраль 2024'!$G$4:$G$1413,'февраль 2024'!$D$4:$D$1413,$B127,'февраль 2024'!$J$4:$J$1413,N$1)</f>
        <v>0</v>
      </c>
      <c r="O127" s="144">
        <f>SUMIFS('февраль 2024'!$G$4:$G$1413,'февраль 2024'!$D$4:$D$1413,$B127,'февраль 2024'!$J$4:$J$1413,O$1)</f>
        <v>0</v>
      </c>
      <c r="P127" s="144">
        <f>SUMIFS('февраль 2024'!$G$4:$G$1413,'февраль 2024'!$D$4:$D$1413,$B127,'февраль 2024'!$J$4:$J$1413,P$1)</f>
        <v>0</v>
      </c>
      <c r="Q127" s="144">
        <f>SUMIFS('февраль 2024'!$G$4:$G$1413,'февраль 2024'!$D$4:$D$1413,$B127,'февраль 2024'!$J$4:$J$1413,Q$1)</f>
        <v>0</v>
      </c>
      <c r="R127" s="144">
        <f>SUMIFS('февраль 2024'!$G$4:$G$1413,'февраль 2024'!$D$4:$D$1413,$B127,'февраль 2024'!$J$4:$J$1413,R$1)</f>
        <v>0</v>
      </c>
      <c r="S127" s="144">
        <f>SUMIFS('февраль 2024'!$G$4:$G$1413,'февраль 2024'!$D$4:$D$1413,$B127,'февраль 2024'!$J$4:$J$1413,S$1)</f>
        <v>0</v>
      </c>
      <c r="T127" s="144">
        <f>SUMIFS('февраль 2024'!$G$4:$G$1413,'февраль 2024'!$D$4:$D$1413,$B127,'февраль 2024'!$J$4:$J$1413,T$1)</f>
        <v>0</v>
      </c>
      <c r="U127" s="144">
        <f>SUMIFS('февраль 2024'!$G$4:$G$1413,'февраль 2024'!$D$4:$D$1413,$B127,'февраль 2024'!$J$4:$J$1413,U$1)</f>
        <v>0</v>
      </c>
      <c r="V127" s="144">
        <f>SUMIFS('февраль 2024'!$G$4:$G$1413,'февраль 2024'!$D$4:$D$1413,$B127,'февраль 2024'!$J$4:$J$1413,V$1)</f>
        <v>0</v>
      </c>
      <c r="W127" s="144">
        <f>SUMIFS('февраль 2024'!$G$4:$G$1413,'февраль 2024'!$D$4:$D$1413,$B127,'февраль 2024'!$J$4:$J$1413,W$1)</f>
        <v>0</v>
      </c>
      <c r="X127" s="144">
        <f>SUMIFS('февраль 2024'!$G$4:$G$1413,'февраль 2024'!$D$4:$D$1413,$B127,'февраль 2024'!$J$4:$J$1413,X$1)</f>
        <v>0</v>
      </c>
      <c r="Y127" s="144">
        <f>SUMIFS('февраль 2024'!$G$4:$G$1413,'февраль 2024'!$D$4:$D$1413,$B127,'февраль 2024'!$J$4:$J$1413,Y$1)</f>
        <v>0</v>
      </c>
      <c r="Z127" s="144">
        <f>SUMIFS('февраль 2024'!$G$4:$G$1413,'февраль 2024'!$D$4:$D$1413,$B127,'февраль 2024'!$J$4:$J$1413,Z$1)</f>
        <v>0</v>
      </c>
      <c r="AA127" s="144">
        <f>SUMIFS('февраль 2024'!$G$4:$G$1413,'февраль 2024'!$D$4:$D$1413,$B127,'февраль 2024'!$J$4:$J$1413,AA$1)</f>
        <v>0</v>
      </c>
      <c r="AB127" s="144">
        <f>SUMIFS('февраль 2024'!$G$4:$G$1413,'февраль 2024'!$D$4:$D$1413,$B127,'февраль 2024'!$J$4:$J$1413,AB$1)</f>
        <v>0</v>
      </c>
      <c r="AC127" s="144">
        <f>SUMIFS('февраль 2024'!$G$4:$G$1413,'февраль 2024'!$D$4:$D$1413,$B127,'февраль 2024'!$J$4:$J$1413,AC$1)</f>
        <v>0</v>
      </c>
      <c r="AD127" s="144">
        <f>SUMIFS('февраль 2024'!$G$4:$G$1413,'февраль 2024'!$D$4:$D$1413,$B127,'февраль 2024'!$J$4:$J$1413,AD$1)</f>
        <v>0</v>
      </c>
      <c r="AE127" s="144">
        <f>SUMIFS('февраль 2024'!$G$4:$G$1413,'февраль 2024'!$D$4:$D$1413,$B127,'февраль 2024'!$J$4:$J$1413,AE$1)</f>
        <v>0</v>
      </c>
      <c r="AF127" s="144">
        <f>SUMIFS('февраль 2024'!$G$4:$G$1413,'февраль 2024'!$D$4:$D$1413,$B127,'февраль 2024'!$J$4:$J$1413,AF$1)</f>
        <v>0</v>
      </c>
      <c r="AG127" s="144">
        <f>SUMIFS('февраль 2024'!$G$4:$G$1413,'февраль 2024'!$D$4:$D$1413,$B127,'февраль 2024'!$J$4:$J$1413,AG$1)</f>
        <v>0</v>
      </c>
      <c r="AH127" s="144">
        <f>SUMIFS('февраль 2024'!$G$4:$G$1413,'февраль 2024'!$D$4:$D$1413,$B127,'февраль 2024'!$J$4:$J$1413,AH$1)</f>
        <v>0</v>
      </c>
      <c r="AI127" s="21">
        <f t="shared" si="1"/>
        <v>0</v>
      </c>
    </row>
    <row r="128" spans="2:35" ht="15" customHeight="1" x14ac:dyDescent="0.25">
      <c r="B128" s="89" t="s">
        <v>338</v>
      </c>
      <c r="C128" s="88">
        <v>200</v>
      </c>
      <c r="D128" s="144">
        <f>SUMIFS('февраль 2024'!$G$4:$G$1413,'февраль 2024'!$D$4:$D$1413,$B128,'февраль 2024'!$J$4:$J$1413,D$1)</f>
        <v>0</v>
      </c>
      <c r="E128" s="144">
        <f>SUMIFS('февраль 2024'!$G$4:$G$1413,'февраль 2024'!$D$4:$D$1413,$B128,'февраль 2024'!$J$4:$J$1413,E$1)</f>
        <v>0</v>
      </c>
      <c r="F128" s="144">
        <f>SUMIFS('февраль 2024'!$G$4:$G$1413,'февраль 2024'!$D$4:$D$1413,$B128,'февраль 2024'!$J$4:$J$1413,F$1)</f>
        <v>0</v>
      </c>
      <c r="G128" s="144">
        <f>SUMIFS('февраль 2024'!$G$4:$G$1413,'февраль 2024'!$D$4:$D$1413,$B128,'февраль 2024'!$J$4:$J$1413,G$1)</f>
        <v>0</v>
      </c>
      <c r="H128" s="144">
        <f>SUMIFS('февраль 2024'!$G$4:$G$1413,'февраль 2024'!$D$4:$D$1413,$B128,'февраль 2024'!$J$4:$J$1413,H$1)</f>
        <v>0</v>
      </c>
      <c r="I128" s="144">
        <f>SUMIFS('февраль 2024'!$G$4:$G$1413,'февраль 2024'!$D$4:$D$1413,$B128,'февраль 2024'!$J$4:$J$1413,I$1)</f>
        <v>0</v>
      </c>
      <c r="J128" s="144">
        <f>SUMIFS('февраль 2024'!$G$4:$G$1413,'февраль 2024'!$D$4:$D$1413,$B128,'февраль 2024'!$J$4:$J$1413,J$1)</f>
        <v>0</v>
      </c>
      <c r="K128" s="144">
        <f>SUMIFS('февраль 2024'!$G$4:$G$1413,'февраль 2024'!$D$4:$D$1413,$B128,'февраль 2024'!$J$4:$J$1413,K$1)</f>
        <v>15</v>
      </c>
      <c r="L128" s="144">
        <f>SUMIFS('февраль 2024'!$G$4:$G$1413,'февраль 2024'!$D$4:$D$1413,$B128,'февраль 2024'!$J$4:$J$1413,L$1)</f>
        <v>0</v>
      </c>
      <c r="M128" s="144">
        <f>SUMIFS('февраль 2024'!$G$4:$G$1413,'февраль 2024'!$D$4:$D$1413,$B128,'февраль 2024'!$J$4:$J$1413,M$1)</f>
        <v>0</v>
      </c>
      <c r="N128" s="144">
        <f>SUMIFS('февраль 2024'!$G$4:$G$1413,'февраль 2024'!$D$4:$D$1413,$B128,'февраль 2024'!$J$4:$J$1413,N$1)</f>
        <v>0</v>
      </c>
      <c r="O128" s="144">
        <f>SUMIFS('февраль 2024'!$G$4:$G$1413,'февраль 2024'!$D$4:$D$1413,$B128,'февраль 2024'!$J$4:$J$1413,O$1)</f>
        <v>0</v>
      </c>
      <c r="P128" s="144">
        <f>SUMIFS('февраль 2024'!$G$4:$G$1413,'февраль 2024'!$D$4:$D$1413,$B128,'февраль 2024'!$J$4:$J$1413,P$1)</f>
        <v>0</v>
      </c>
      <c r="Q128" s="144">
        <f>SUMIFS('февраль 2024'!$G$4:$G$1413,'февраль 2024'!$D$4:$D$1413,$B128,'февраль 2024'!$J$4:$J$1413,Q$1)</f>
        <v>0</v>
      </c>
      <c r="R128" s="144">
        <f>SUMIFS('февраль 2024'!$G$4:$G$1413,'февраль 2024'!$D$4:$D$1413,$B128,'февраль 2024'!$J$4:$J$1413,R$1)</f>
        <v>0</v>
      </c>
      <c r="S128" s="144">
        <f>SUMIFS('февраль 2024'!$G$4:$G$1413,'февраль 2024'!$D$4:$D$1413,$B128,'февраль 2024'!$J$4:$J$1413,S$1)</f>
        <v>0</v>
      </c>
      <c r="T128" s="144">
        <f>SUMIFS('февраль 2024'!$G$4:$G$1413,'февраль 2024'!$D$4:$D$1413,$B128,'февраль 2024'!$J$4:$J$1413,T$1)</f>
        <v>0</v>
      </c>
      <c r="U128" s="144">
        <f>SUMIFS('февраль 2024'!$G$4:$G$1413,'февраль 2024'!$D$4:$D$1413,$B128,'февраль 2024'!$J$4:$J$1413,U$1)</f>
        <v>0</v>
      </c>
      <c r="V128" s="144">
        <f>SUMIFS('февраль 2024'!$G$4:$G$1413,'февраль 2024'!$D$4:$D$1413,$B128,'февраль 2024'!$J$4:$J$1413,V$1)</f>
        <v>0</v>
      </c>
      <c r="W128" s="144">
        <f>SUMIFS('февраль 2024'!$G$4:$G$1413,'февраль 2024'!$D$4:$D$1413,$B128,'февраль 2024'!$J$4:$J$1413,W$1)</f>
        <v>0</v>
      </c>
      <c r="X128" s="144">
        <f>SUMIFS('февраль 2024'!$G$4:$G$1413,'февраль 2024'!$D$4:$D$1413,$B128,'февраль 2024'!$J$4:$J$1413,X$1)</f>
        <v>0</v>
      </c>
      <c r="Y128" s="144">
        <f>SUMIFS('февраль 2024'!$G$4:$G$1413,'февраль 2024'!$D$4:$D$1413,$B128,'февраль 2024'!$J$4:$J$1413,Y$1)</f>
        <v>0</v>
      </c>
      <c r="Z128" s="144">
        <f>SUMIFS('февраль 2024'!$G$4:$G$1413,'февраль 2024'!$D$4:$D$1413,$B128,'февраль 2024'!$J$4:$J$1413,Z$1)</f>
        <v>0</v>
      </c>
      <c r="AA128" s="144">
        <f>SUMIFS('февраль 2024'!$G$4:$G$1413,'февраль 2024'!$D$4:$D$1413,$B128,'февраль 2024'!$J$4:$J$1413,AA$1)</f>
        <v>0</v>
      </c>
      <c r="AB128" s="144">
        <f>SUMIFS('февраль 2024'!$G$4:$G$1413,'февраль 2024'!$D$4:$D$1413,$B128,'февраль 2024'!$J$4:$J$1413,AB$1)</f>
        <v>0</v>
      </c>
      <c r="AC128" s="144">
        <f>SUMIFS('февраль 2024'!$G$4:$G$1413,'февраль 2024'!$D$4:$D$1413,$B128,'февраль 2024'!$J$4:$J$1413,AC$1)</f>
        <v>0</v>
      </c>
      <c r="AD128" s="144">
        <f>SUMIFS('февраль 2024'!$G$4:$G$1413,'февраль 2024'!$D$4:$D$1413,$B128,'февраль 2024'!$J$4:$J$1413,AD$1)</f>
        <v>0</v>
      </c>
      <c r="AE128" s="144">
        <f>SUMIFS('февраль 2024'!$G$4:$G$1413,'февраль 2024'!$D$4:$D$1413,$B128,'февраль 2024'!$J$4:$J$1413,AE$1)</f>
        <v>0</v>
      </c>
      <c r="AF128" s="144">
        <f>SUMIFS('февраль 2024'!$G$4:$G$1413,'февраль 2024'!$D$4:$D$1413,$B128,'февраль 2024'!$J$4:$J$1413,AF$1)</f>
        <v>0</v>
      </c>
      <c r="AG128" s="144">
        <f>SUMIFS('февраль 2024'!$G$4:$G$1413,'февраль 2024'!$D$4:$D$1413,$B128,'февраль 2024'!$J$4:$J$1413,AG$1)</f>
        <v>0</v>
      </c>
      <c r="AH128" s="144">
        <f>SUMIFS('февраль 2024'!$G$4:$G$1413,'февраль 2024'!$D$4:$D$1413,$B128,'февраль 2024'!$J$4:$J$1413,AH$1)</f>
        <v>0</v>
      </c>
      <c r="AI128" s="21">
        <f t="shared" si="1"/>
        <v>15</v>
      </c>
    </row>
    <row r="129" spans="2:35" ht="15" customHeight="1" x14ac:dyDescent="0.25">
      <c r="B129" s="89" t="s">
        <v>211</v>
      </c>
      <c r="C129" s="88">
        <v>200</v>
      </c>
      <c r="D129" s="144">
        <f>SUMIFS('февраль 2024'!$G$4:$G$1413,'февраль 2024'!$D$4:$D$1413,$B129,'февраль 2024'!$J$4:$J$1413,D$1)</f>
        <v>0</v>
      </c>
      <c r="E129" s="144">
        <f>SUMIFS('февраль 2024'!$G$4:$G$1413,'февраль 2024'!$D$4:$D$1413,$B129,'февраль 2024'!$J$4:$J$1413,E$1)</f>
        <v>0</v>
      </c>
      <c r="F129" s="144">
        <f>SUMIFS('февраль 2024'!$G$4:$G$1413,'февраль 2024'!$D$4:$D$1413,$B129,'февраль 2024'!$J$4:$J$1413,F$1)</f>
        <v>0</v>
      </c>
      <c r="G129" s="144">
        <f>SUMIFS('февраль 2024'!$G$4:$G$1413,'февраль 2024'!$D$4:$D$1413,$B129,'февраль 2024'!$J$4:$J$1413,G$1)</f>
        <v>0</v>
      </c>
      <c r="H129" s="144">
        <f>SUMIFS('февраль 2024'!$G$4:$G$1413,'февраль 2024'!$D$4:$D$1413,$B129,'февраль 2024'!$J$4:$J$1413,H$1)</f>
        <v>0</v>
      </c>
      <c r="I129" s="144">
        <f>SUMIFS('февраль 2024'!$G$4:$G$1413,'февраль 2024'!$D$4:$D$1413,$B129,'февраль 2024'!$J$4:$J$1413,I$1)</f>
        <v>0</v>
      </c>
      <c r="J129" s="144">
        <f>SUMIFS('февраль 2024'!$G$4:$G$1413,'февраль 2024'!$D$4:$D$1413,$B129,'февраль 2024'!$J$4:$J$1413,J$1)</f>
        <v>0</v>
      </c>
      <c r="K129" s="144">
        <f>SUMIFS('февраль 2024'!$G$4:$G$1413,'февраль 2024'!$D$4:$D$1413,$B129,'февраль 2024'!$J$4:$J$1413,K$1)</f>
        <v>0</v>
      </c>
      <c r="L129" s="144">
        <f>SUMIFS('февраль 2024'!$G$4:$G$1413,'февраль 2024'!$D$4:$D$1413,$B129,'февраль 2024'!$J$4:$J$1413,L$1)</f>
        <v>0</v>
      </c>
      <c r="M129" s="144">
        <f>SUMIFS('февраль 2024'!$G$4:$G$1413,'февраль 2024'!$D$4:$D$1413,$B129,'февраль 2024'!$J$4:$J$1413,M$1)</f>
        <v>0</v>
      </c>
      <c r="N129" s="144">
        <f>SUMIFS('февраль 2024'!$G$4:$G$1413,'февраль 2024'!$D$4:$D$1413,$B129,'февраль 2024'!$J$4:$J$1413,N$1)</f>
        <v>0</v>
      </c>
      <c r="O129" s="144">
        <f>SUMIFS('февраль 2024'!$G$4:$G$1413,'февраль 2024'!$D$4:$D$1413,$B129,'февраль 2024'!$J$4:$J$1413,O$1)</f>
        <v>0</v>
      </c>
      <c r="P129" s="144">
        <f>SUMIFS('февраль 2024'!$G$4:$G$1413,'февраль 2024'!$D$4:$D$1413,$B129,'февраль 2024'!$J$4:$J$1413,P$1)</f>
        <v>0</v>
      </c>
      <c r="Q129" s="144">
        <f>SUMIFS('февраль 2024'!$G$4:$G$1413,'февраль 2024'!$D$4:$D$1413,$B129,'февраль 2024'!$J$4:$J$1413,Q$1)</f>
        <v>0</v>
      </c>
      <c r="R129" s="144">
        <f>SUMIFS('февраль 2024'!$G$4:$G$1413,'февраль 2024'!$D$4:$D$1413,$B129,'февраль 2024'!$J$4:$J$1413,R$1)</f>
        <v>0</v>
      </c>
      <c r="S129" s="144">
        <f>SUMIFS('февраль 2024'!$G$4:$G$1413,'февраль 2024'!$D$4:$D$1413,$B129,'февраль 2024'!$J$4:$J$1413,S$1)</f>
        <v>0</v>
      </c>
      <c r="T129" s="144">
        <f>SUMIFS('февраль 2024'!$G$4:$G$1413,'февраль 2024'!$D$4:$D$1413,$B129,'февраль 2024'!$J$4:$J$1413,T$1)</f>
        <v>0</v>
      </c>
      <c r="U129" s="144">
        <f>SUMIFS('февраль 2024'!$G$4:$G$1413,'февраль 2024'!$D$4:$D$1413,$B129,'февраль 2024'!$J$4:$J$1413,U$1)</f>
        <v>0</v>
      </c>
      <c r="V129" s="144">
        <f>SUMIFS('февраль 2024'!$G$4:$G$1413,'февраль 2024'!$D$4:$D$1413,$B129,'февраль 2024'!$J$4:$J$1413,V$1)</f>
        <v>0</v>
      </c>
      <c r="W129" s="144">
        <f>SUMIFS('февраль 2024'!$G$4:$G$1413,'февраль 2024'!$D$4:$D$1413,$B129,'февраль 2024'!$J$4:$J$1413,W$1)</f>
        <v>80</v>
      </c>
      <c r="X129" s="144">
        <f>SUMIFS('февраль 2024'!$G$4:$G$1413,'февраль 2024'!$D$4:$D$1413,$B129,'февраль 2024'!$J$4:$J$1413,X$1)</f>
        <v>0</v>
      </c>
      <c r="Y129" s="144">
        <f>SUMIFS('февраль 2024'!$G$4:$G$1413,'февраль 2024'!$D$4:$D$1413,$B129,'февраль 2024'!$J$4:$J$1413,Y$1)</f>
        <v>0</v>
      </c>
      <c r="Z129" s="144">
        <f>SUMIFS('февраль 2024'!$G$4:$G$1413,'февраль 2024'!$D$4:$D$1413,$B129,'февраль 2024'!$J$4:$J$1413,Z$1)</f>
        <v>0</v>
      </c>
      <c r="AA129" s="144">
        <f>SUMIFS('февраль 2024'!$G$4:$G$1413,'февраль 2024'!$D$4:$D$1413,$B129,'февраль 2024'!$J$4:$J$1413,AA$1)</f>
        <v>0</v>
      </c>
      <c r="AB129" s="144">
        <f>SUMIFS('февраль 2024'!$G$4:$G$1413,'февраль 2024'!$D$4:$D$1413,$B129,'февраль 2024'!$J$4:$J$1413,AB$1)</f>
        <v>0</v>
      </c>
      <c r="AC129" s="144">
        <f>SUMIFS('февраль 2024'!$G$4:$G$1413,'февраль 2024'!$D$4:$D$1413,$B129,'февраль 2024'!$J$4:$J$1413,AC$1)</f>
        <v>0</v>
      </c>
      <c r="AD129" s="144">
        <f>SUMIFS('февраль 2024'!$G$4:$G$1413,'февраль 2024'!$D$4:$D$1413,$B129,'февраль 2024'!$J$4:$J$1413,AD$1)</f>
        <v>0</v>
      </c>
      <c r="AE129" s="144">
        <f>SUMIFS('февраль 2024'!$G$4:$G$1413,'февраль 2024'!$D$4:$D$1413,$B129,'февраль 2024'!$J$4:$J$1413,AE$1)</f>
        <v>0</v>
      </c>
      <c r="AF129" s="144">
        <f>SUMIFS('февраль 2024'!$G$4:$G$1413,'февраль 2024'!$D$4:$D$1413,$B129,'февраль 2024'!$J$4:$J$1413,AF$1)</f>
        <v>0</v>
      </c>
      <c r="AG129" s="144">
        <f>SUMIFS('февраль 2024'!$G$4:$G$1413,'февраль 2024'!$D$4:$D$1413,$B129,'февраль 2024'!$J$4:$J$1413,AG$1)</f>
        <v>0</v>
      </c>
      <c r="AH129" s="144">
        <f>SUMIFS('февраль 2024'!$G$4:$G$1413,'февраль 2024'!$D$4:$D$1413,$B129,'февраль 2024'!$J$4:$J$1413,AH$1)</f>
        <v>0</v>
      </c>
      <c r="AI129" s="21">
        <f t="shared" si="1"/>
        <v>80</v>
      </c>
    </row>
    <row r="130" spans="2:35" ht="15" customHeight="1" x14ac:dyDescent="0.25">
      <c r="B130" s="89" t="s">
        <v>339</v>
      </c>
      <c r="C130" s="88">
        <v>200</v>
      </c>
      <c r="D130" s="144">
        <f>SUMIFS('февраль 2024'!$G$4:$G$1413,'февраль 2024'!$D$4:$D$1413,$B130,'февраль 2024'!$J$4:$J$1413,D$1)</f>
        <v>0</v>
      </c>
      <c r="E130" s="144">
        <f>SUMIFS('февраль 2024'!$G$4:$G$1413,'февраль 2024'!$D$4:$D$1413,$B130,'февраль 2024'!$J$4:$J$1413,E$1)</f>
        <v>0</v>
      </c>
      <c r="F130" s="144">
        <f>SUMIFS('февраль 2024'!$G$4:$G$1413,'февраль 2024'!$D$4:$D$1413,$B130,'февраль 2024'!$J$4:$J$1413,F$1)</f>
        <v>0</v>
      </c>
      <c r="G130" s="144">
        <f>SUMIFS('февраль 2024'!$G$4:$G$1413,'февраль 2024'!$D$4:$D$1413,$B130,'февраль 2024'!$J$4:$J$1413,G$1)</f>
        <v>0</v>
      </c>
      <c r="H130" s="144">
        <f>SUMIFS('февраль 2024'!$G$4:$G$1413,'февраль 2024'!$D$4:$D$1413,$B130,'февраль 2024'!$J$4:$J$1413,H$1)</f>
        <v>0</v>
      </c>
      <c r="I130" s="144">
        <f>SUMIFS('февраль 2024'!$G$4:$G$1413,'февраль 2024'!$D$4:$D$1413,$B130,'февраль 2024'!$J$4:$J$1413,I$1)</f>
        <v>0</v>
      </c>
      <c r="J130" s="144">
        <f>SUMIFS('февраль 2024'!$G$4:$G$1413,'февраль 2024'!$D$4:$D$1413,$B130,'февраль 2024'!$J$4:$J$1413,J$1)</f>
        <v>0</v>
      </c>
      <c r="K130" s="144">
        <f>SUMIFS('февраль 2024'!$G$4:$G$1413,'февраль 2024'!$D$4:$D$1413,$B130,'февраль 2024'!$J$4:$J$1413,K$1)</f>
        <v>0</v>
      </c>
      <c r="L130" s="144">
        <f>SUMIFS('февраль 2024'!$G$4:$G$1413,'февраль 2024'!$D$4:$D$1413,$B130,'февраль 2024'!$J$4:$J$1413,L$1)</f>
        <v>0</v>
      </c>
      <c r="M130" s="144">
        <f>SUMIFS('февраль 2024'!$G$4:$G$1413,'февраль 2024'!$D$4:$D$1413,$B130,'февраль 2024'!$J$4:$J$1413,M$1)</f>
        <v>0</v>
      </c>
      <c r="N130" s="144">
        <f>SUMIFS('февраль 2024'!$G$4:$G$1413,'февраль 2024'!$D$4:$D$1413,$B130,'февраль 2024'!$J$4:$J$1413,N$1)</f>
        <v>0</v>
      </c>
      <c r="O130" s="144">
        <f>SUMIFS('февраль 2024'!$G$4:$G$1413,'февраль 2024'!$D$4:$D$1413,$B130,'февраль 2024'!$J$4:$J$1413,O$1)</f>
        <v>0</v>
      </c>
      <c r="P130" s="144">
        <f>SUMIFS('февраль 2024'!$G$4:$G$1413,'февраль 2024'!$D$4:$D$1413,$B130,'февраль 2024'!$J$4:$J$1413,P$1)</f>
        <v>0</v>
      </c>
      <c r="Q130" s="144">
        <f>SUMIFS('февраль 2024'!$G$4:$G$1413,'февраль 2024'!$D$4:$D$1413,$B130,'февраль 2024'!$J$4:$J$1413,Q$1)</f>
        <v>0</v>
      </c>
      <c r="R130" s="144">
        <f>SUMIFS('февраль 2024'!$G$4:$G$1413,'февраль 2024'!$D$4:$D$1413,$B130,'февраль 2024'!$J$4:$J$1413,R$1)</f>
        <v>0</v>
      </c>
      <c r="S130" s="144">
        <f>SUMIFS('февраль 2024'!$G$4:$G$1413,'февраль 2024'!$D$4:$D$1413,$B130,'февраль 2024'!$J$4:$J$1413,S$1)</f>
        <v>0</v>
      </c>
      <c r="T130" s="144">
        <f>SUMIFS('февраль 2024'!$G$4:$G$1413,'февраль 2024'!$D$4:$D$1413,$B130,'февраль 2024'!$J$4:$J$1413,T$1)</f>
        <v>0</v>
      </c>
      <c r="U130" s="144">
        <f>SUMIFS('февраль 2024'!$G$4:$G$1413,'февраль 2024'!$D$4:$D$1413,$B130,'февраль 2024'!$J$4:$J$1413,U$1)</f>
        <v>0</v>
      </c>
      <c r="V130" s="144">
        <f>SUMIFS('февраль 2024'!$G$4:$G$1413,'февраль 2024'!$D$4:$D$1413,$B130,'февраль 2024'!$J$4:$J$1413,V$1)</f>
        <v>0</v>
      </c>
      <c r="W130" s="144">
        <f>SUMIFS('февраль 2024'!$G$4:$G$1413,'февраль 2024'!$D$4:$D$1413,$B130,'февраль 2024'!$J$4:$J$1413,W$1)</f>
        <v>0</v>
      </c>
      <c r="X130" s="144">
        <f>SUMIFS('февраль 2024'!$G$4:$G$1413,'февраль 2024'!$D$4:$D$1413,$B130,'февраль 2024'!$J$4:$J$1413,X$1)</f>
        <v>0</v>
      </c>
      <c r="Y130" s="144">
        <f>SUMIFS('февраль 2024'!$G$4:$G$1413,'февраль 2024'!$D$4:$D$1413,$B130,'февраль 2024'!$J$4:$J$1413,Y$1)</f>
        <v>0</v>
      </c>
      <c r="Z130" s="144">
        <f>SUMIFS('февраль 2024'!$G$4:$G$1413,'февраль 2024'!$D$4:$D$1413,$B130,'февраль 2024'!$J$4:$J$1413,Z$1)</f>
        <v>0</v>
      </c>
      <c r="AA130" s="144">
        <f>SUMIFS('февраль 2024'!$G$4:$G$1413,'февраль 2024'!$D$4:$D$1413,$B130,'февраль 2024'!$J$4:$J$1413,AA$1)</f>
        <v>0</v>
      </c>
      <c r="AB130" s="144">
        <f>SUMIFS('февраль 2024'!$G$4:$G$1413,'февраль 2024'!$D$4:$D$1413,$B130,'февраль 2024'!$J$4:$J$1413,AB$1)</f>
        <v>0</v>
      </c>
      <c r="AC130" s="144">
        <f>SUMIFS('февраль 2024'!$G$4:$G$1413,'февраль 2024'!$D$4:$D$1413,$B130,'февраль 2024'!$J$4:$J$1413,AC$1)</f>
        <v>0</v>
      </c>
      <c r="AD130" s="144">
        <f>SUMIFS('февраль 2024'!$G$4:$G$1413,'февраль 2024'!$D$4:$D$1413,$B130,'февраль 2024'!$J$4:$J$1413,AD$1)</f>
        <v>0</v>
      </c>
      <c r="AE130" s="144">
        <f>SUMIFS('февраль 2024'!$G$4:$G$1413,'февраль 2024'!$D$4:$D$1413,$B130,'февраль 2024'!$J$4:$J$1413,AE$1)</f>
        <v>0</v>
      </c>
      <c r="AF130" s="144">
        <f>SUMIFS('февраль 2024'!$G$4:$G$1413,'февраль 2024'!$D$4:$D$1413,$B130,'февраль 2024'!$J$4:$J$1413,AF$1)</f>
        <v>0</v>
      </c>
      <c r="AG130" s="144">
        <f>SUMIFS('февраль 2024'!$G$4:$G$1413,'февраль 2024'!$D$4:$D$1413,$B130,'февраль 2024'!$J$4:$J$1413,AG$1)</f>
        <v>0</v>
      </c>
      <c r="AH130" s="144">
        <f>SUMIFS('февраль 2024'!$G$4:$G$1413,'февраль 2024'!$D$4:$D$1413,$B130,'февраль 2024'!$J$4:$J$1413,AH$1)</f>
        <v>0</v>
      </c>
      <c r="AI130" s="21">
        <f t="shared" si="1"/>
        <v>0</v>
      </c>
    </row>
    <row r="131" spans="2:35" ht="15" customHeight="1" x14ac:dyDescent="0.25">
      <c r="B131" s="89" t="s">
        <v>215</v>
      </c>
      <c r="C131" s="91">
        <v>200</v>
      </c>
      <c r="D131" s="144">
        <f>SUMIFS('февраль 2024'!$G$4:$G$1413,'февраль 2024'!$D$4:$D$1413,$B131,'февраль 2024'!$J$4:$J$1413,D$1)</f>
        <v>0</v>
      </c>
      <c r="E131" s="144">
        <f>SUMIFS('февраль 2024'!$G$4:$G$1413,'февраль 2024'!$D$4:$D$1413,$B131,'февраль 2024'!$J$4:$J$1413,E$1)</f>
        <v>0</v>
      </c>
      <c r="F131" s="144">
        <f>SUMIFS('февраль 2024'!$G$4:$G$1413,'февраль 2024'!$D$4:$D$1413,$B131,'февраль 2024'!$J$4:$J$1413,F$1)</f>
        <v>0</v>
      </c>
      <c r="G131" s="144">
        <f>SUMIFS('февраль 2024'!$G$4:$G$1413,'февраль 2024'!$D$4:$D$1413,$B131,'февраль 2024'!$J$4:$J$1413,G$1)</f>
        <v>0</v>
      </c>
      <c r="H131" s="144">
        <f>SUMIFS('февраль 2024'!$G$4:$G$1413,'февраль 2024'!$D$4:$D$1413,$B131,'февраль 2024'!$J$4:$J$1413,H$1)</f>
        <v>0</v>
      </c>
      <c r="I131" s="144">
        <f>SUMIFS('февраль 2024'!$G$4:$G$1413,'февраль 2024'!$D$4:$D$1413,$B131,'февраль 2024'!$J$4:$J$1413,I$1)</f>
        <v>0</v>
      </c>
      <c r="J131" s="144">
        <f>SUMIFS('февраль 2024'!$G$4:$G$1413,'февраль 2024'!$D$4:$D$1413,$B131,'февраль 2024'!$J$4:$J$1413,J$1)</f>
        <v>0</v>
      </c>
      <c r="K131" s="144">
        <f>SUMIFS('февраль 2024'!$G$4:$G$1413,'февраль 2024'!$D$4:$D$1413,$B131,'февраль 2024'!$J$4:$J$1413,K$1)</f>
        <v>0</v>
      </c>
      <c r="L131" s="144">
        <f>SUMIFS('февраль 2024'!$G$4:$G$1413,'февраль 2024'!$D$4:$D$1413,$B131,'февраль 2024'!$J$4:$J$1413,L$1)</f>
        <v>0</v>
      </c>
      <c r="M131" s="144">
        <f>SUMIFS('февраль 2024'!$G$4:$G$1413,'февраль 2024'!$D$4:$D$1413,$B131,'февраль 2024'!$J$4:$J$1413,M$1)</f>
        <v>0</v>
      </c>
      <c r="N131" s="144">
        <f>SUMIFS('февраль 2024'!$G$4:$G$1413,'февраль 2024'!$D$4:$D$1413,$B131,'февраль 2024'!$J$4:$J$1413,N$1)</f>
        <v>0</v>
      </c>
      <c r="O131" s="144">
        <f>SUMIFS('февраль 2024'!$G$4:$G$1413,'февраль 2024'!$D$4:$D$1413,$B131,'февраль 2024'!$J$4:$J$1413,O$1)</f>
        <v>0</v>
      </c>
      <c r="P131" s="144">
        <f>SUMIFS('февраль 2024'!$G$4:$G$1413,'февраль 2024'!$D$4:$D$1413,$B131,'февраль 2024'!$J$4:$J$1413,P$1)</f>
        <v>0</v>
      </c>
      <c r="Q131" s="144">
        <f>SUMIFS('февраль 2024'!$G$4:$G$1413,'февраль 2024'!$D$4:$D$1413,$B131,'февраль 2024'!$J$4:$J$1413,Q$1)</f>
        <v>0</v>
      </c>
      <c r="R131" s="144">
        <f>SUMIFS('февраль 2024'!$G$4:$G$1413,'февраль 2024'!$D$4:$D$1413,$B131,'февраль 2024'!$J$4:$J$1413,R$1)</f>
        <v>0</v>
      </c>
      <c r="S131" s="144">
        <f>SUMIFS('февраль 2024'!$G$4:$G$1413,'февраль 2024'!$D$4:$D$1413,$B131,'февраль 2024'!$J$4:$J$1413,S$1)</f>
        <v>0</v>
      </c>
      <c r="T131" s="144">
        <f>SUMIFS('февраль 2024'!$G$4:$G$1413,'февраль 2024'!$D$4:$D$1413,$B131,'февраль 2024'!$J$4:$J$1413,T$1)</f>
        <v>0</v>
      </c>
      <c r="U131" s="144">
        <f>SUMIFS('февраль 2024'!$G$4:$G$1413,'февраль 2024'!$D$4:$D$1413,$B131,'февраль 2024'!$J$4:$J$1413,U$1)</f>
        <v>0</v>
      </c>
      <c r="V131" s="144">
        <f>SUMIFS('февраль 2024'!$G$4:$G$1413,'февраль 2024'!$D$4:$D$1413,$B131,'февраль 2024'!$J$4:$J$1413,V$1)</f>
        <v>0</v>
      </c>
      <c r="W131" s="144">
        <f>SUMIFS('февраль 2024'!$G$4:$G$1413,'февраль 2024'!$D$4:$D$1413,$B131,'февраль 2024'!$J$4:$J$1413,W$1)</f>
        <v>0</v>
      </c>
      <c r="X131" s="144">
        <f>SUMIFS('февраль 2024'!$G$4:$G$1413,'февраль 2024'!$D$4:$D$1413,$B131,'февраль 2024'!$J$4:$J$1413,X$1)</f>
        <v>0</v>
      </c>
      <c r="Y131" s="144">
        <f>SUMIFS('февраль 2024'!$G$4:$G$1413,'февраль 2024'!$D$4:$D$1413,$B131,'февраль 2024'!$J$4:$J$1413,Y$1)</f>
        <v>0</v>
      </c>
      <c r="Z131" s="144">
        <f>SUMIFS('февраль 2024'!$G$4:$G$1413,'февраль 2024'!$D$4:$D$1413,$B131,'февраль 2024'!$J$4:$J$1413,Z$1)</f>
        <v>0</v>
      </c>
      <c r="AA131" s="144">
        <f>SUMIFS('февраль 2024'!$G$4:$G$1413,'февраль 2024'!$D$4:$D$1413,$B131,'февраль 2024'!$J$4:$J$1413,AA$1)</f>
        <v>0</v>
      </c>
      <c r="AB131" s="144">
        <f>SUMIFS('февраль 2024'!$G$4:$G$1413,'февраль 2024'!$D$4:$D$1413,$B131,'февраль 2024'!$J$4:$J$1413,AB$1)</f>
        <v>0</v>
      </c>
      <c r="AC131" s="144">
        <f>SUMIFS('февраль 2024'!$G$4:$G$1413,'февраль 2024'!$D$4:$D$1413,$B131,'февраль 2024'!$J$4:$J$1413,AC$1)</f>
        <v>0</v>
      </c>
      <c r="AD131" s="144">
        <f>SUMIFS('февраль 2024'!$G$4:$G$1413,'февраль 2024'!$D$4:$D$1413,$B131,'февраль 2024'!$J$4:$J$1413,AD$1)</f>
        <v>0</v>
      </c>
      <c r="AE131" s="144">
        <f>SUMIFS('февраль 2024'!$G$4:$G$1413,'февраль 2024'!$D$4:$D$1413,$B131,'февраль 2024'!$J$4:$J$1413,AE$1)</f>
        <v>0</v>
      </c>
      <c r="AF131" s="144">
        <f>SUMIFS('февраль 2024'!$G$4:$G$1413,'февраль 2024'!$D$4:$D$1413,$B131,'февраль 2024'!$J$4:$J$1413,AF$1)</f>
        <v>0</v>
      </c>
      <c r="AG131" s="144">
        <f>SUMIFS('февраль 2024'!$G$4:$G$1413,'февраль 2024'!$D$4:$D$1413,$B131,'февраль 2024'!$J$4:$J$1413,AG$1)</f>
        <v>0</v>
      </c>
      <c r="AH131" s="144">
        <f>SUMIFS('февраль 2024'!$G$4:$G$1413,'февраль 2024'!$D$4:$D$1413,$B131,'февраль 2024'!$J$4:$J$1413,AH$1)</f>
        <v>0</v>
      </c>
      <c r="AI131" s="21">
        <f t="shared" si="1"/>
        <v>0</v>
      </c>
    </row>
    <row r="132" spans="2:35" ht="15" customHeight="1" x14ac:dyDescent="0.25">
      <c r="B132" s="89" t="s">
        <v>585</v>
      </c>
      <c r="C132" s="91">
        <v>200</v>
      </c>
      <c r="D132" s="144">
        <f>SUMIFS('февраль 2024'!$G$4:$G$1413,'февраль 2024'!$D$4:$D$1413,$B132,'февраль 2024'!$J$4:$J$1413,D$1)</f>
        <v>0</v>
      </c>
      <c r="E132" s="144">
        <f>SUMIFS('февраль 2024'!$G$4:$G$1413,'февраль 2024'!$D$4:$D$1413,$B132,'февраль 2024'!$J$4:$J$1413,E$1)</f>
        <v>0</v>
      </c>
      <c r="F132" s="144">
        <f>SUMIFS('февраль 2024'!$G$4:$G$1413,'февраль 2024'!$D$4:$D$1413,$B132,'февраль 2024'!$J$4:$J$1413,F$1)</f>
        <v>0</v>
      </c>
      <c r="G132" s="144">
        <f>SUMIFS('февраль 2024'!$G$4:$G$1413,'февраль 2024'!$D$4:$D$1413,$B132,'февраль 2024'!$J$4:$J$1413,G$1)</f>
        <v>0</v>
      </c>
      <c r="H132" s="144">
        <f>SUMIFS('февраль 2024'!$G$4:$G$1413,'февраль 2024'!$D$4:$D$1413,$B132,'февраль 2024'!$J$4:$J$1413,H$1)</f>
        <v>0</v>
      </c>
      <c r="I132" s="144">
        <f>SUMIFS('февраль 2024'!$G$4:$G$1413,'февраль 2024'!$D$4:$D$1413,$B132,'февраль 2024'!$J$4:$J$1413,I$1)</f>
        <v>0</v>
      </c>
      <c r="J132" s="144">
        <f>SUMIFS('февраль 2024'!$G$4:$G$1413,'февраль 2024'!$D$4:$D$1413,$B132,'февраль 2024'!$J$4:$J$1413,J$1)</f>
        <v>0</v>
      </c>
      <c r="K132" s="144">
        <f>SUMIFS('февраль 2024'!$G$4:$G$1413,'февраль 2024'!$D$4:$D$1413,$B132,'февраль 2024'!$J$4:$J$1413,K$1)</f>
        <v>0</v>
      </c>
      <c r="L132" s="144">
        <f>SUMIFS('февраль 2024'!$G$4:$G$1413,'февраль 2024'!$D$4:$D$1413,$B132,'февраль 2024'!$J$4:$J$1413,L$1)</f>
        <v>0</v>
      </c>
      <c r="M132" s="144">
        <f>SUMIFS('февраль 2024'!$G$4:$G$1413,'февраль 2024'!$D$4:$D$1413,$B132,'февраль 2024'!$J$4:$J$1413,M$1)</f>
        <v>0</v>
      </c>
      <c r="N132" s="144">
        <f>SUMIFS('февраль 2024'!$G$4:$G$1413,'февраль 2024'!$D$4:$D$1413,$B132,'февраль 2024'!$J$4:$J$1413,N$1)</f>
        <v>0</v>
      </c>
      <c r="O132" s="144">
        <f>SUMIFS('февраль 2024'!$G$4:$G$1413,'февраль 2024'!$D$4:$D$1413,$B132,'февраль 2024'!$J$4:$J$1413,O$1)</f>
        <v>0</v>
      </c>
      <c r="P132" s="144">
        <f>SUMIFS('февраль 2024'!$G$4:$G$1413,'февраль 2024'!$D$4:$D$1413,$B132,'февраль 2024'!$J$4:$J$1413,P$1)</f>
        <v>0</v>
      </c>
      <c r="Q132" s="144">
        <f>SUMIFS('февраль 2024'!$G$4:$G$1413,'февраль 2024'!$D$4:$D$1413,$B132,'февраль 2024'!$J$4:$J$1413,Q$1)</f>
        <v>0</v>
      </c>
      <c r="R132" s="144">
        <f>SUMIFS('февраль 2024'!$G$4:$G$1413,'февраль 2024'!$D$4:$D$1413,$B132,'февраль 2024'!$J$4:$J$1413,R$1)</f>
        <v>28</v>
      </c>
      <c r="S132" s="144">
        <f>SUMIFS('февраль 2024'!$G$4:$G$1413,'февраль 2024'!$D$4:$D$1413,$B132,'февраль 2024'!$J$4:$J$1413,S$1)</f>
        <v>0</v>
      </c>
      <c r="T132" s="144">
        <f>SUMIFS('февраль 2024'!$G$4:$G$1413,'февраль 2024'!$D$4:$D$1413,$B132,'февраль 2024'!$J$4:$J$1413,T$1)</f>
        <v>0</v>
      </c>
      <c r="U132" s="144">
        <f>SUMIFS('февраль 2024'!$G$4:$G$1413,'февраль 2024'!$D$4:$D$1413,$B132,'февраль 2024'!$J$4:$J$1413,U$1)</f>
        <v>0</v>
      </c>
      <c r="V132" s="144">
        <f>SUMIFS('февраль 2024'!$G$4:$G$1413,'февраль 2024'!$D$4:$D$1413,$B132,'февраль 2024'!$J$4:$J$1413,V$1)</f>
        <v>0</v>
      </c>
      <c r="W132" s="144">
        <f>SUMIFS('февраль 2024'!$G$4:$G$1413,'февраль 2024'!$D$4:$D$1413,$B132,'февраль 2024'!$J$4:$J$1413,W$1)</f>
        <v>0</v>
      </c>
      <c r="X132" s="144">
        <f>SUMIFS('февраль 2024'!$G$4:$G$1413,'февраль 2024'!$D$4:$D$1413,$B132,'февраль 2024'!$J$4:$J$1413,X$1)</f>
        <v>0</v>
      </c>
      <c r="Y132" s="144">
        <f>SUMIFS('февраль 2024'!$G$4:$G$1413,'февраль 2024'!$D$4:$D$1413,$B132,'февраль 2024'!$J$4:$J$1413,Y$1)</f>
        <v>0</v>
      </c>
      <c r="Z132" s="144">
        <f>SUMIFS('февраль 2024'!$G$4:$G$1413,'февраль 2024'!$D$4:$D$1413,$B132,'февраль 2024'!$J$4:$J$1413,Z$1)</f>
        <v>0</v>
      </c>
      <c r="AA132" s="144">
        <f>SUMIFS('февраль 2024'!$G$4:$G$1413,'февраль 2024'!$D$4:$D$1413,$B132,'февраль 2024'!$J$4:$J$1413,AA$1)</f>
        <v>0</v>
      </c>
      <c r="AB132" s="144">
        <f>SUMIFS('февраль 2024'!$G$4:$G$1413,'февраль 2024'!$D$4:$D$1413,$B132,'февраль 2024'!$J$4:$J$1413,AB$1)</f>
        <v>0</v>
      </c>
      <c r="AC132" s="144">
        <f>SUMIFS('февраль 2024'!$G$4:$G$1413,'февраль 2024'!$D$4:$D$1413,$B132,'февраль 2024'!$J$4:$J$1413,AC$1)</f>
        <v>36</v>
      </c>
      <c r="AD132" s="144">
        <f>SUMIFS('февраль 2024'!$G$4:$G$1413,'февраль 2024'!$D$4:$D$1413,$B132,'февраль 2024'!$J$4:$J$1413,AD$1)</f>
        <v>0</v>
      </c>
      <c r="AE132" s="144">
        <f>SUMIFS('февраль 2024'!$G$4:$G$1413,'февраль 2024'!$D$4:$D$1413,$B132,'февраль 2024'!$J$4:$J$1413,AE$1)</f>
        <v>0</v>
      </c>
      <c r="AF132" s="144">
        <f>SUMIFS('февраль 2024'!$G$4:$G$1413,'февраль 2024'!$D$4:$D$1413,$B132,'февраль 2024'!$J$4:$J$1413,AF$1)</f>
        <v>0</v>
      </c>
      <c r="AG132" s="144">
        <f>SUMIFS('февраль 2024'!$G$4:$G$1413,'февраль 2024'!$D$4:$D$1413,$B132,'февраль 2024'!$J$4:$J$1413,AG$1)</f>
        <v>0</v>
      </c>
      <c r="AH132" s="144">
        <f>SUMIFS('февраль 2024'!$G$4:$G$1413,'февраль 2024'!$D$4:$D$1413,$B132,'февраль 2024'!$J$4:$J$1413,AH$1)</f>
        <v>0</v>
      </c>
      <c r="AI132" s="21">
        <f>SUM(D132:AH132)</f>
        <v>64</v>
      </c>
    </row>
    <row r="133" spans="2:35" ht="15" customHeight="1" x14ac:dyDescent="0.25">
      <c r="B133" s="93" t="s">
        <v>186</v>
      </c>
      <c r="C133" s="91">
        <v>25</v>
      </c>
      <c r="D133" s="144">
        <f>SUMIFS('февраль 2024'!$G$4:$G$1413,'февраль 2024'!$D$4:$D$1413,$B133,'февраль 2024'!$J$4:$J$1413,D$1)</f>
        <v>0</v>
      </c>
      <c r="E133" s="144">
        <f>SUMIFS('февраль 2024'!$G$4:$G$1413,'февраль 2024'!$D$4:$D$1413,$B133,'февраль 2024'!$J$4:$J$1413,E$1)</f>
        <v>0</v>
      </c>
      <c r="F133" s="144">
        <f>SUMIFS('февраль 2024'!$G$4:$G$1413,'февраль 2024'!$D$4:$D$1413,$B133,'февраль 2024'!$J$4:$J$1413,F$1)</f>
        <v>0</v>
      </c>
      <c r="G133" s="144">
        <f>SUMIFS('февраль 2024'!$G$4:$G$1413,'февраль 2024'!$D$4:$D$1413,$B133,'февраль 2024'!$J$4:$J$1413,G$1)</f>
        <v>0</v>
      </c>
      <c r="H133" s="144">
        <f>SUMIFS('февраль 2024'!$G$4:$G$1413,'февраль 2024'!$D$4:$D$1413,$B133,'февраль 2024'!$J$4:$J$1413,H$1)</f>
        <v>0</v>
      </c>
      <c r="I133" s="144">
        <f>SUMIFS('февраль 2024'!$G$4:$G$1413,'февраль 2024'!$D$4:$D$1413,$B133,'февраль 2024'!$J$4:$J$1413,I$1)</f>
        <v>0</v>
      </c>
      <c r="J133" s="144">
        <f>SUMIFS('февраль 2024'!$G$4:$G$1413,'февраль 2024'!$D$4:$D$1413,$B133,'февраль 2024'!$J$4:$J$1413,J$1)</f>
        <v>0</v>
      </c>
      <c r="K133" s="144">
        <f>SUMIFS('февраль 2024'!$G$4:$G$1413,'февраль 2024'!$D$4:$D$1413,$B133,'февраль 2024'!$J$4:$J$1413,K$1)</f>
        <v>0</v>
      </c>
      <c r="L133" s="144">
        <f>SUMIFS('февраль 2024'!$G$4:$G$1413,'февраль 2024'!$D$4:$D$1413,$B133,'февраль 2024'!$J$4:$J$1413,L$1)</f>
        <v>0</v>
      </c>
      <c r="M133" s="144">
        <f>SUMIFS('февраль 2024'!$G$4:$G$1413,'февраль 2024'!$D$4:$D$1413,$B133,'февраль 2024'!$J$4:$J$1413,M$1)</f>
        <v>0</v>
      </c>
      <c r="N133" s="144">
        <f>SUMIFS('февраль 2024'!$G$4:$G$1413,'февраль 2024'!$D$4:$D$1413,$B133,'февраль 2024'!$J$4:$J$1413,N$1)</f>
        <v>0</v>
      </c>
      <c r="O133" s="144">
        <f>SUMIFS('февраль 2024'!$G$4:$G$1413,'февраль 2024'!$D$4:$D$1413,$B133,'февраль 2024'!$J$4:$J$1413,O$1)</f>
        <v>0</v>
      </c>
      <c r="P133" s="144">
        <f>SUMIFS('февраль 2024'!$G$4:$G$1413,'февраль 2024'!$D$4:$D$1413,$B133,'февраль 2024'!$J$4:$J$1413,P$1)</f>
        <v>0</v>
      </c>
      <c r="Q133" s="144">
        <f>SUMIFS('февраль 2024'!$G$4:$G$1413,'февраль 2024'!$D$4:$D$1413,$B133,'февраль 2024'!$J$4:$J$1413,Q$1)</f>
        <v>0</v>
      </c>
      <c r="R133" s="144">
        <f>SUMIFS('февраль 2024'!$G$4:$G$1413,'февраль 2024'!$D$4:$D$1413,$B133,'февраль 2024'!$J$4:$J$1413,R$1)</f>
        <v>0</v>
      </c>
      <c r="S133" s="144">
        <f>SUMIFS('февраль 2024'!$G$4:$G$1413,'февраль 2024'!$D$4:$D$1413,$B133,'февраль 2024'!$J$4:$J$1413,S$1)</f>
        <v>0</v>
      </c>
      <c r="T133" s="144">
        <f>SUMIFS('февраль 2024'!$G$4:$G$1413,'февраль 2024'!$D$4:$D$1413,$B133,'февраль 2024'!$J$4:$J$1413,T$1)</f>
        <v>0</v>
      </c>
      <c r="U133" s="144">
        <f>SUMIFS('февраль 2024'!$G$4:$G$1413,'февраль 2024'!$D$4:$D$1413,$B133,'февраль 2024'!$J$4:$J$1413,U$1)</f>
        <v>0</v>
      </c>
      <c r="V133" s="144">
        <f>SUMIFS('февраль 2024'!$G$4:$G$1413,'февраль 2024'!$D$4:$D$1413,$B133,'февраль 2024'!$J$4:$J$1413,V$1)</f>
        <v>0</v>
      </c>
      <c r="W133" s="144">
        <f>SUMIFS('февраль 2024'!$G$4:$G$1413,'февраль 2024'!$D$4:$D$1413,$B133,'февраль 2024'!$J$4:$J$1413,W$1)</f>
        <v>0</v>
      </c>
      <c r="X133" s="144">
        <f>SUMIFS('февраль 2024'!$G$4:$G$1413,'февраль 2024'!$D$4:$D$1413,$B133,'февраль 2024'!$J$4:$J$1413,X$1)</f>
        <v>0</v>
      </c>
      <c r="Y133" s="144">
        <f>SUMIFS('февраль 2024'!$G$4:$G$1413,'февраль 2024'!$D$4:$D$1413,$B133,'февраль 2024'!$J$4:$J$1413,Y$1)</f>
        <v>0</v>
      </c>
      <c r="Z133" s="144">
        <f>SUMIFS('февраль 2024'!$G$4:$G$1413,'февраль 2024'!$D$4:$D$1413,$B133,'февраль 2024'!$J$4:$J$1413,Z$1)</f>
        <v>0</v>
      </c>
      <c r="AA133" s="144">
        <f>SUMIFS('февраль 2024'!$G$4:$G$1413,'февраль 2024'!$D$4:$D$1413,$B133,'февраль 2024'!$J$4:$J$1413,AA$1)</f>
        <v>0</v>
      </c>
      <c r="AB133" s="144">
        <f>SUMIFS('февраль 2024'!$G$4:$G$1413,'февраль 2024'!$D$4:$D$1413,$B133,'февраль 2024'!$J$4:$J$1413,AB$1)</f>
        <v>0</v>
      </c>
      <c r="AC133" s="144">
        <f>SUMIFS('февраль 2024'!$G$4:$G$1413,'февраль 2024'!$D$4:$D$1413,$B133,'февраль 2024'!$J$4:$J$1413,AC$1)</f>
        <v>0</v>
      </c>
      <c r="AD133" s="144">
        <f>SUMIFS('февраль 2024'!$G$4:$G$1413,'февраль 2024'!$D$4:$D$1413,$B133,'февраль 2024'!$J$4:$J$1413,AD$1)</f>
        <v>0</v>
      </c>
      <c r="AE133" s="144">
        <f>SUMIFS('февраль 2024'!$G$4:$G$1413,'февраль 2024'!$D$4:$D$1413,$B133,'февраль 2024'!$J$4:$J$1413,AE$1)</f>
        <v>0</v>
      </c>
      <c r="AF133" s="144">
        <f>SUMIFS('февраль 2024'!$G$4:$G$1413,'февраль 2024'!$D$4:$D$1413,$B133,'февраль 2024'!$J$4:$J$1413,AF$1)</f>
        <v>0</v>
      </c>
      <c r="AG133" s="144">
        <f>SUMIFS('февраль 2024'!$G$4:$G$1413,'февраль 2024'!$D$4:$D$1413,$B133,'февраль 2024'!$J$4:$J$1413,AG$1)</f>
        <v>0</v>
      </c>
      <c r="AH133" s="144">
        <f>SUMIFS('февраль 2024'!$G$4:$G$1413,'февраль 2024'!$D$4:$D$1413,$B133,'февраль 2024'!$J$4:$J$1413,AH$1)</f>
        <v>0</v>
      </c>
      <c r="AI133" s="21">
        <f t="shared" si="1"/>
        <v>0</v>
      </c>
    </row>
    <row r="134" spans="2:35" ht="15" customHeight="1" x14ac:dyDescent="0.25">
      <c r="B134" s="89" t="s">
        <v>184</v>
      </c>
      <c r="C134" s="88">
        <v>25</v>
      </c>
      <c r="D134" s="144">
        <f>SUMIFS('февраль 2024'!$G$4:$G$1413,'февраль 2024'!$D$4:$D$1413,$B134,'февраль 2024'!$J$4:$J$1413,D$1)</f>
        <v>0</v>
      </c>
      <c r="E134" s="144">
        <f>SUMIFS('февраль 2024'!$G$4:$G$1413,'февраль 2024'!$D$4:$D$1413,$B134,'февраль 2024'!$J$4:$J$1413,E$1)</f>
        <v>0</v>
      </c>
      <c r="F134" s="144">
        <f>SUMIFS('февраль 2024'!$G$4:$G$1413,'февраль 2024'!$D$4:$D$1413,$B134,'февраль 2024'!$J$4:$J$1413,F$1)</f>
        <v>0</v>
      </c>
      <c r="G134" s="144">
        <f>SUMIFS('февраль 2024'!$G$4:$G$1413,'февраль 2024'!$D$4:$D$1413,$B134,'февраль 2024'!$J$4:$J$1413,G$1)</f>
        <v>0</v>
      </c>
      <c r="H134" s="144">
        <f>SUMIFS('февраль 2024'!$G$4:$G$1413,'февраль 2024'!$D$4:$D$1413,$B134,'февраль 2024'!$J$4:$J$1413,H$1)</f>
        <v>0</v>
      </c>
      <c r="I134" s="144">
        <f>SUMIFS('февраль 2024'!$G$4:$G$1413,'февраль 2024'!$D$4:$D$1413,$B134,'февраль 2024'!$J$4:$J$1413,I$1)</f>
        <v>0</v>
      </c>
      <c r="J134" s="144">
        <f>SUMIFS('февраль 2024'!$G$4:$G$1413,'февраль 2024'!$D$4:$D$1413,$B134,'февраль 2024'!$J$4:$J$1413,J$1)</f>
        <v>0</v>
      </c>
      <c r="K134" s="144">
        <f>SUMIFS('февраль 2024'!$G$4:$G$1413,'февраль 2024'!$D$4:$D$1413,$B134,'февраль 2024'!$J$4:$J$1413,K$1)</f>
        <v>0</v>
      </c>
      <c r="L134" s="144">
        <f>SUMIFS('февраль 2024'!$G$4:$G$1413,'февраль 2024'!$D$4:$D$1413,$B134,'февраль 2024'!$J$4:$J$1413,L$1)</f>
        <v>0</v>
      </c>
      <c r="M134" s="144">
        <f>SUMIFS('февраль 2024'!$G$4:$G$1413,'февраль 2024'!$D$4:$D$1413,$B134,'февраль 2024'!$J$4:$J$1413,M$1)</f>
        <v>0</v>
      </c>
      <c r="N134" s="144">
        <f>SUMIFS('февраль 2024'!$G$4:$G$1413,'февраль 2024'!$D$4:$D$1413,$B134,'февраль 2024'!$J$4:$J$1413,N$1)</f>
        <v>0</v>
      </c>
      <c r="O134" s="144">
        <f>SUMIFS('февраль 2024'!$G$4:$G$1413,'февраль 2024'!$D$4:$D$1413,$B134,'февраль 2024'!$J$4:$J$1413,O$1)</f>
        <v>0</v>
      </c>
      <c r="P134" s="144">
        <f>SUMIFS('февраль 2024'!$G$4:$G$1413,'февраль 2024'!$D$4:$D$1413,$B134,'февраль 2024'!$J$4:$J$1413,P$1)</f>
        <v>0</v>
      </c>
      <c r="Q134" s="144">
        <f>SUMIFS('февраль 2024'!$G$4:$G$1413,'февраль 2024'!$D$4:$D$1413,$B134,'февраль 2024'!$J$4:$J$1413,Q$1)</f>
        <v>0</v>
      </c>
      <c r="R134" s="144">
        <f>SUMIFS('февраль 2024'!$G$4:$G$1413,'февраль 2024'!$D$4:$D$1413,$B134,'февраль 2024'!$J$4:$J$1413,R$1)</f>
        <v>0</v>
      </c>
      <c r="S134" s="144">
        <f>SUMIFS('февраль 2024'!$G$4:$G$1413,'февраль 2024'!$D$4:$D$1413,$B134,'февраль 2024'!$J$4:$J$1413,S$1)</f>
        <v>0</v>
      </c>
      <c r="T134" s="144">
        <f>SUMIFS('февраль 2024'!$G$4:$G$1413,'февраль 2024'!$D$4:$D$1413,$B134,'февраль 2024'!$J$4:$J$1413,T$1)</f>
        <v>0</v>
      </c>
      <c r="U134" s="144">
        <f>SUMIFS('февраль 2024'!$G$4:$G$1413,'февраль 2024'!$D$4:$D$1413,$B134,'февраль 2024'!$J$4:$J$1413,U$1)</f>
        <v>0</v>
      </c>
      <c r="V134" s="144">
        <f>SUMIFS('февраль 2024'!$G$4:$G$1413,'февраль 2024'!$D$4:$D$1413,$B134,'февраль 2024'!$J$4:$J$1413,V$1)</f>
        <v>0</v>
      </c>
      <c r="W134" s="144">
        <f>SUMIFS('февраль 2024'!$G$4:$G$1413,'февраль 2024'!$D$4:$D$1413,$B134,'февраль 2024'!$J$4:$J$1413,W$1)</f>
        <v>0</v>
      </c>
      <c r="X134" s="144">
        <f>SUMIFS('февраль 2024'!$G$4:$G$1413,'февраль 2024'!$D$4:$D$1413,$B134,'февраль 2024'!$J$4:$J$1413,X$1)</f>
        <v>0</v>
      </c>
      <c r="Y134" s="144">
        <f>SUMIFS('февраль 2024'!$G$4:$G$1413,'февраль 2024'!$D$4:$D$1413,$B134,'февраль 2024'!$J$4:$J$1413,Y$1)</f>
        <v>0</v>
      </c>
      <c r="Z134" s="144">
        <f>SUMIFS('февраль 2024'!$G$4:$G$1413,'февраль 2024'!$D$4:$D$1413,$B134,'февраль 2024'!$J$4:$J$1413,Z$1)</f>
        <v>0</v>
      </c>
      <c r="AA134" s="144">
        <f>SUMIFS('февраль 2024'!$G$4:$G$1413,'февраль 2024'!$D$4:$D$1413,$B134,'февраль 2024'!$J$4:$J$1413,AA$1)</f>
        <v>0</v>
      </c>
      <c r="AB134" s="144">
        <f>SUMIFS('февраль 2024'!$G$4:$G$1413,'февраль 2024'!$D$4:$D$1413,$B134,'февраль 2024'!$J$4:$J$1413,AB$1)</f>
        <v>0</v>
      </c>
      <c r="AC134" s="144">
        <f>SUMIFS('февраль 2024'!$G$4:$G$1413,'февраль 2024'!$D$4:$D$1413,$B134,'февраль 2024'!$J$4:$J$1413,AC$1)</f>
        <v>0</v>
      </c>
      <c r="AD134" s="144">
        <f>SUMIFS('февраль 2024'!$G$4:$G$1413,'февраль 2024'!$D$4:$D$1413,$B134,'февраль 2024'!$J$4:$J$1413,AD$1)</f>
        <v>0</v>
      </c>
      <c r="AE134" s="144">
        <f>SUMIFS('февраль 2024'!$G$4:$G$1413,'февраль 2024'!$D$4:$D$1413,$B134,'февраль 2024'!$J$4:$J$1413,AE$1)</f>
        <v>0</v>
      </c>
      <c r="AF134" s="144">
        <f>SUMIFS('февраль 2024'!$G$4:$G$1413,'февраль 2024'!$D$4:$D$1413,$B134,'февраль 2024'!$J$4:$J$1413,AF$1)</f>
        <v>0</v>
      </c>
      <c r="AG134" s="144">
        <f>SUMIFS('февраль 2024'!$G$4:$G$1413,'февраль 2024'!$D$4:$D$1413,$B134,'февраль 2024'!$J$4:$J$1413,AG$1)</f>
        <v>0</v>
      </c>
      <c r="AH134" s="144">
        <f>SUMIFS('февраль 2024'!$G$4:$G$1413,'февраль 2024'!$D$4:$D$1413,$B134,'февраль 2024'!$J$4:$J$1413,AH$1)</f>
        <v>0</v>
      </c>
      <c r="AI134" s="21">
        <f t="shared" si="1"/>
        <v>0</v>
      </c>
    </row>
    <row r="135" spans="2:35" ht="15" customHeight="1" x14ac:dyDescent="0.25">
      <c r="B135" s="89" t="s">
        <v>185</v>
      </c>
      <c r="C135" s="88">
        <v>25</v>
      </c>
      <c r="D135" s="144">
        <f>SUMIFS('февраль 2024'!$G$4:$G$1413,'февраль 2024'!$D$4:$D$1413,$B135,'февраль 2024'!$J$4:$J$1413,D$1)</f>
        <v>0</v>
      </c>
      <c r="E135" s="144">
        <f>SUMIFS('февраль 2024'!$G$4:$G$1413,'февраль 2024'!$D$4:$D$1413,$B135,'февраль 2024'!$J$4:$J$1413,E$1)</f>
        <v>0</v>
      </c>
      <c r="F135" s="144">
        <f>SUMIFS('февраль 2024'!$G$4:$G$1413,'февраль 2024'!$D$4:$D$1413,$B135,'февраль 2024'!$J$4:$J$1413,F$1)</f>
        <v>0</v>
      </c>
      <c r="G135" s="144">
        <f>SUMIFS('февраль 2024'!$G$4:$G$1413,'февраль 2024'!$D$4:$D$1413,$B135,'февраль 2024'!$J$4:$J$1413,G$1)</f>
        <v>0</v>
      </c>
      <c r="H135" s="144">
        <f>SUMIFS('февраль 2024'!$G$4:$G$1413,'февраль 2024'!$D$4:$D$1413,$B135,'февраль 2024'!$J$4:$J$1413,H$1)</f>
        <v>0</v>
      </c>
      <c r="I135" s="144">
        <f>SUMIFS('февраль 2024'!$G$4:$G$1413,'февраль 2024'!$D$4:$D$1413,$B135,'февраль 2024'!$J$4:$J$1413,I$1)</f>
        <v>0</v>
      </c>
      <c r="J135" s="144">
        <f>SUMIFS('февраль 2024'!$G$4:$G$1413,'февраль 2024'!$D$4:$D$1413,$B135,'февраль 2024'!$J$4:$J$1413,J$1)</f>
        <v>0</v>
      </c>
      <c r="K135" s="144">
        <f>SUMIFS('февраль 2024'!$G$4:$G$1413,'февраль 2024'!$D$4:$D$1413,$B135,'февраль 2024'!$J$4:$J$1413,K$1)</f>
        <v>0</v>
      </c>
      <c r="L135" s="144">
        <f>SUMIFS('февраль 2024'!$G$4:$G$1413,'февраль 2024'!$D$4:$D$1413,$B135,'февраль 2024'!$J$4:$J$1413,L$1)</f>
        <v>0</v>
      </c>
      <c r="M135" s="144">
        <f>SUMIFS('февраль 2024'!$G$4:$G$1413,'февраль 2024'!$D$4:$D$1413,$B135,'февраль 2024'!$J$4:$J$1413,M$1)</f>
        <v>0</v>
      </c>
      <c r="N135" s="144">
        <f>SUMIFS('февраль 2024'!$G$4:$G$1413,'февраль 2024'!$D$4:$D$1413,$B135,'февраль 2024'!$J$4:$J$1413,N$1)</f>
        <v>0</v>
      </c>
      <c r="O135" s="144">
        <f>SUMIFS('февраль 2024'!$G$4:$G$1413,'февраль 2024'!$D$4:$D$1413,$B135,'февраль 2024'!$J$4:$J$1413,O$1)</f>
        <v>0</v>
      </c>
      <c r="P135" s="144">
        <f>SUMIFS('февраль 2024'!$G$4:$G$1413,'февраль 2024'!$D$4:$D$1413,$B135,'февраль 2024'!$J$4:$J$1413,P$1)</f>
        <v>0</v>
      </c>
      <c r="Q135" s="144">
        <f>SUMIFS('февраль 2024'!$G$4:$G$1413,'февраль 2024'!$D$4:$D$1413,$B135,'февраль 2024'!$J$4:$J$1413,Q$1)</f>
        <v>0</v>
      </c>
      <c r="R135" s="144">
        <f>SUMIFS('февраль 2024'!$G$4:$G$1413,'февраль 2024'!$D$4:$D$1413,$B135,'февраль 2024'!$J$4:$J$1413,R$1)</f>
        <v>0</v>
      </c>
      <c r="S135" s="144">
        <f>SUMIFS('февраль 2024'!$G$4:$G$1413,'февраль 2024'!$D$4:$D$1413,$B135,'февраль 2024'!$J$4:$J$1413,S$1)</f>
        <v>0</v>
      </c>
      <c r="T135" s="144">
        <f>SUMIFS('февраль 2024'!$G$4:$G$1413,'февраль 2024'!$D$4:$D$1413,$B135,'февраль 2024'!$J$4:$J$1413,T$1)</f>
        <v>0</v>
      </c>
      <c r="U135" s="144">
        <f>SUMIFS('февраль 2024'!$G$4:$G$1413,'февраль 2024'!$D$4:$D$1413,$B135,'февраль 2024'!$J$4:$J$1413,U$1)</f>
        <v>0</v>
      </c>
      <c r="V135" s="144">
        <f>SUMIFS('февраль 2024'!$G$4:$G$1413,'февраль 2024'!$D$4:$D$1413,$B135,'февраль 2024'!$J$4:$J$1413,V$1)</f>
        <v>0</v>
      </c>
      <c r="W135" s="144">
        <f>SUMIFS('февраль 2024'!$G$4:$G$1413,'февраль 2024'!$D$4:$D$1413,$B135,'февраль 2024'!$J$4:$J$1413,W$1)</f>
        <v>0</v>
      </c>
      <c r="X135" s="144">
        <f>SUMIFS('февраль 2024'!$G$4:$G$1413,'февраль 2024'!$D$4:$D$1413,$B135,'февраль 2024'!$J$4:$J$1413,X$1)</f>
        <v>0</v>
      </c>
      <c r="Y135" s="144">
        <f>SUMIFS('февраль 2024'!$G$4:$G$1413,'февраль 2024'!$D$4:$D$1413,$B135,'февраль 2024'!$J$4:$J$1413,Y$1)</f>
        <v>0</v>
      </c>
      <c r="Z135" s="144">
        <f>SUMIFS('февраль 2024'!$G$4:$G$1413,'февраль 2024'!$D$4:$D$1413,$B135,'февраль 2024'!$J$4:$J$1413,Z$1)</f>
        <v>0</v>
      </c>
      <c r="AA135" s="144">
        <f>SUMIFS('февраль 2024'!$G$4:$G$1413,'февраль 2024'!$D$4:$D$1413,$B135,'февраль 2024'!$J$4:$J$1413,AA$1)</f>
        <v>0</v>
      </c>
      <c r="AB135" s="144">
        <f>SUMIFS('февраль 2024'!$G$4:$G$1413,'февраль 2024'!$D$4:$D$1413,$B135,'февраль 2024'!$J$4:$J$1413,AB$1)</f>
        <v>0</v>
      </c>
      <c r="AC135" s="144">
        <f>SUMIFS('февраль 2024'!$G$4:$G$1413,'февраль 2024'!$D$4:$D$1413,$B135,'февраль 2024'!$J$4:$J$1413,AC$1)</f>
        <v>0</v>
      </c>
      <c r="AD135" s="144">
        <f>SUMIFS('февраль 2024'!$G$4:$G$1413,'февраль 2024'!$D$4:$D$1413,$B135,'февраль 2024'!$J$4:$J$1413,AD$1)</f>
        <v>0</v>
      </c>
      <c r="AE135" s="144">
        <f>SUMIFS('февраль 2024'!$G$4:$G$1413,'февраль 2024'!$D$4:$D$1413,$B135,'февраль 2024'!$J$4:$J$1413,AE$1)</f>
        <v>0</v>
      </c>
      <c r="AF135" s="144">
        <f>SUMIFS('февраль 2024'!$G$4:$G$1413,'февраль 2024'!$D$4:$D$1413,$B135,'февраль 2024'!$J$4:$J$1413,AF$1)</f>
        <v>0</v>
      </c>
      <c r="AG135" s="144">
        <f>SUMIFS('февраль 2024'!$G$4:$G$1413,'февраль 2024'!$D$4:$D$1413,$B135,'февраль 2024'!$J$4:$J$1413,AG$1)</f>
        <v>0</v>
      </c>
      <c r="AH135" s="144">
        <f>SUMIFS('февраль 2024'!$G$4:$G$1413,'февраль 2024'!$D$4:$D$1413,$B135,'февраль 2024'!$J$4:$J$1413,AH$1)</f>
        <v>0</v>
      </c>
      <c r="AI135" s="21">
        <f t="shared" si="1"/>
        <v>0</v>
      </c>
    </row>
    <row r="136" spans="2:35" ht="15" customHeight="1" x14ac:dyDescent="0.25">
      <c r="B136" s="89" t="s">
        <v>212</v>
      </c>
      <c r="C136" s="88">
        <v>25</v>
      </c>
      <c r="D136" s="144">
        <f>SUMIFS('февраль 2024'!$G$4:$G$1413,'февраль 2024'!$D$4:$D$1413,$B136,'февраль 2024'!$J$4:$J$1413,D$1)</f>
        <v>0</v>
      </c>
      <c r="E136" s="144">
        <f>SUMIFS('февраль 2024'!$G$4:$G$1413,'февраль 2024'!$D$4:$D$1413,$B136,'февраль 2024'!$J$4:$J$1413,E$1)</f>
        <v>0</v>
      </c>
      <c r="F136" s="144">
        <f>SUMIFS('февраль 2024'!$G$4:$G$1413,'февраль 2024'!$D$4:$D$1413,$B136,'февраль 2024'!$J$4:$J$1413,F$1)</f>
        <v>0</v>
      </c>
      <c r="G136" s="144">
        <f>SUMIFS('февраль 2024'!$G$4:$G$1413,'февраль 2024'!$D$4:$D$1413,$B136,'февраль 2024'!$J$4:$J$1413,G$1)</f>
        <v>0</v>
      </c>
      <c r="H136" s="144">
        <f>SUMIFS('февраль 2024'!$G$4:$G$1413,'февраль 2024'!$D$4:$D$1413,$B136,'февраль 2024'!$J$4:$J$1413,H$1)</f>
        <v>0</v>
      </c>
      <c r="I136" s="144">
        <f>SUMIFS('февраль 2024'!$G$4:$G$1413,'февраль 2024'!$D$4:$D$1413,$B136,'февраль 2024'!$J$4:$J$1413,I$1)</f>
        <v>0</v>
      </c>
      <c r="J136" s="144">
        <f>SUMIFS('февраль 2024'!$G$4:$G$1413,'февраль 2024'!$D$4:$D$1413,$B136,'февраль 2024'!$J$4:$J$1413,J$1)</f>
        <v>0</v>
      </c>
      <c r="K136" s="144">
        <f>SUMIFS('февраль 2024'!$G$4:$G$1413,'февраль 2024'!$D$4:$D$1413,$B136,'февраль 2024'!$J$4:$J$1413,K$1)</f>
        <v>0</v>
      </c>
      <c r="L136" s="144">
        <f>SUMIFS('февраль 2024'!$G$4:$G$1413,'февраль 2024'!$D$4:$D$1413,$B136,'февраль 2024'!$J$4:$J$1413,L$1)</f>
        <v>0</v>
      </c>
      <c r="M136" s="144">
        <f>SUMIFS('февраль 2024'!$G$4:$G$1413,'февраль 2024'!$D$4:$D$1413,$B136,'февраль 2024'!$J$4:$J$1413,M$1)</f>
        <v>0</v>
      </c>
      <c r="N136" s="144">
        <f>SUMIFS('февраль 2024'!$G$4:$G$1413,'февраль 2024'!$D$4:$D$1413,$B136,'февраль 2024'!$J$4:$J$1413,N$1)</f>
        <v>0</v>
      </c>
      <c r="O136" s="144">
        <f>SUMIFS('февраль 2024'!$G$4:$G$1413,'февраль 2024'!$D$4:$D$1413,$B136,'февраль 2024'!$J$4:$J$1413,O$1)</f>
        <v>0</v>
      </c>
      <c r="P136" s="144">
        <f>SUMIFS('февраль 2024'!$G$4:$G$1413,'февраль 2024'!$D$4:$D$1413,$B136,'февраль 2024'!$J$4:$J$1413,P$1)</f>
        <v>0</v>
      </c>
      <c r="Q136" s="144">
        <f>SUMIFS('февраль 2024'!$G$4:$G$1413,'февраль 2024'!$D$4:$D$1413,$B136,'февраль 2024'!$J$4:$J$1413,Q$1)</f>
        <v>0</v>
      </c>
      <c r="R136" s="144">
        <f>SUMIFS('февраль 2024'!$G$4:$G$1413,'февраль 2024'!$D$4:$D$1413,$B136,'февраль 2024'!$J$4:$J$1413,R$1)</f>
        <v>0</v>
      </c>
      <c r="S136" s="144">
        <f>SUMIFS('февраль 2024'!$G$4:$G$1413,'февраль 2024'!$D$4:$D$1413,$B136,'февраль 2024'!$J$4:$J$1413,S$1)</f>
        <v>0</v>
      </c>
      <c r="T136" s="144">
        <f>SUMIFS('февраль 2024'!$G$4:$G$1413,'февраль 2024'!$D$4:$D$1413,$B136,'февраль 2024'!$J$4:$J$1413,T$1)</f>
        <v>0</v>
      </c>
      <c r="U136" s="144">
        <f>SUMIFS('февраль 2024'!$G$4:$G$1413,'февраль 2024'!$D$4:$D$1413,$B136,'февраль 2024'!$J$4:$J$1413,U$1)</f>
        <v>0</v>
      </c>
      <c r="V136" s="144">
        <f>SUMIFS('февраль 2024'!$G$4:$G$1413,'февраль 2024'!$D$4:$D$1413,$B136,'февраль 2024'!$J$4:$J$1413,V$1)</f>
        <v>0</v>
      </c>
      <c r="W136" s="144">
        <f>SUMIFS('февраль 2024'!$G$4:$G$1413,'февраль 2024'!$D$4:$D$1413,$B136,'февраль 2024'!$J$4:$J$1413,W$1)</f>
        <v>0</v>
      </c>
      <c r="X136" s="144">
        <f>SUMIFS('февраль 2024'!$G$4:$G$1413,'февраль 2024'!$D$4:$D$1413,$B136,'февраль 2024'!$J$4:$J$1413,X$1)</f>
        <v>0</v>
      </c>
      <c r="Y136" s="144">
        <f>SUMIFS('февраль 2024'!$G$4:$G$1413,'февраль 2024'!$D$4:$D$1413,$B136,'февраль 2024'!$J$4:$J$1413,Y$1)</f>
        <v>0</v>
      </c>
      <c r="Z136" s="144">
        <f>SUMIFS('февраль 2024'!$G$4:$G$1413,'февраль 2024'!$D$4:$D$1413,$B136,'февраль 2024'!$J$4:$J$1413,Z$1)</f>
        <v>0</v>
      </c>
      <c r="AA136" s="144">
        <f>SUMIFS('февраль 2024'!$G$4:$G$1413,'февраль 2024'!$D$4:$D$1413,$B136,'февраль 2024'!$J$4:$J$1413,AA$1)</f>
        <v>0</v>
      </c>
      <c r="AB136" s="144">
        <f>SUMIFS('февраль 2024'!$G$4:$G$1413,'февраль 2024'!$D$4:$D$1413,$B136,'февраль 2024'!$J$4:$J$1413,AB$1)</f>
        <v>0</v>
      </c>
      <c r="AC136" s="144">
        <f>SUMIFS('февраль 2024'!$G$4:$G$1413,'февраль 2024'!$D$4:$D$1413,$B136,'февраль 2024'!$J$4:$J$1413,AC$1)</f>
        <v>0</v>
      </c>
      <c r="AD136" s="144">
        <f>SUMIFS('февраль 2024'!$G$4:$G$1413,'февраль 2024'!$D$4:$D$1413,$B136,'февраль 2024'!$J$4:$J$1413,AD$1)</f>
        <v>0</v>
      </c>
      <c r="AE136" s="144">
        <f>SUMIFS('февраль 2024'!$G$4:$G$1413,'февраль 2024'!$D$4:$D$1413,$B136,'февраль 2024'!$J$4:$J$1413,AE$1)</f>
        <v>0</v>
      </c>
      <c r="AF136" s="144">
        <f>SUMIFS('февраль 2024'!$G$4:$G$1413,'февраль 2024'!$D$4:$D$1413,$B136,'февраль 2024'!$J$4:$J$1413,AF$1)</f>
        <v>0</v>
      </c>
      <c r="AG136" s="144">
        <f>SUMIFS('февраль 2024'!$G$4:$G$1413,'февраль 2024'!$D$4:$D$1413,$B136,'февраль 2024'!$J$4:$J$1413,AG$1)</f>
        <v>0</v>
      </c>
      <c r="AH136" s="144">
        <f>SUMIFS('февраль 2024'!$G$4:$G$1413,'февраль 2024'!$D$4:$D$1413,$B136,'февраль 2024'!$J$4:$J$1413,AH$1)</f>
        <v>0</v>
      </c>
      <c r="AI136" s="21">
        <f t="shared" si="1"/>
        <v>0</v>
      </c>
    </row>
    <row r="137" spans="2:35" ht="15" customHeight="1" x14ac:dyDescent="0.25">
      <c r="B137" s="89"/>
      <c r="C137" s="88"/>
      <c r="D137" s="86">
        <f>SUMIFS('февраль 2024'!$G$6:$G$1413,'февраль 2024'!$D$6:$D$1413,$B137,'февраль 2024'!$J$6:$J$1413,D$1)</f>
        <v>0</v>
      </c>
      <c r="E137" s="86">
        <f>SUMIFS('февраль 2024'!$G$6:$G$1413,'февраль 2024'!$D$6:$D$1413,$B137,'февраль 2024'!$J$6:$J$1413,E$1)</f>
        <v>0</v>
      </c>
      <c r="F137" s="86">
        <f>SUMIFS('февраль 2024'!$G$6:$G$1413,'февраль 2024'!$D$6:$D$1413,$B137,'февраль 2024'!$J$6:$J$1413,F$1)</f>
        <v>0</v>
      </c>
      <c r="G137" s="86">
        <f>SUMIFS('февраль 2024'!$G$6:$G$1413,'февраль 2024'!$D$6:$D$1413,$B137,'февраль 2024'!$J$6:$J$1413,G$1)</f>
        <v>0</v>
      </c>
      <c r="H137" s="86">
        <f>SUMIFS('февраль 2024'!$G$6:$G$1413,'февраль 2024'!$D$6:$D$1413,$B137,'февраль 2024'!$J$6:$J$1413,H$1)</f>
        <v>0</v>
      </c>
      <c r="I137" s="86">
        <f>SUMIFS('февраль 2024'!$G$6:$G$1413,'февраль 2024'!$D$6:$D$1413,$B137,'февраль 2024'!$J$6:$J$1413,I$1)</f>
        <v>0</v>
      </c>
      <c r="J137" s="86">
        <f>SUMIFS('февраль 2024'!$G$6:$G$1413,'февраль 2024'!$D$6:$D$1413,$B137,'февраль 2024'!$J$6:$J$1413,J$1)</f>
        <v>0</v>
      </c>
      <c r="K137" s="86">
        <f>SUMIFS('февраль 2024'!$G$6:$G$1413,'февраль 2024'!$D$6:$D$1413,$B137,'февраль 2024'!$J$6:$J$1413,K$1)</f>
        <v>0</v>
      </c>
      <c r="L137" s="86">
        <f>SUMIFS('февраль 2024'!$G$6:$G$1413,'февраль 2024'!$D$6:$D$1413,$B137,'февраль 2024'!$J$6:$J$1413,L$1)</f>
        <v>0</v>
      </c>
      <c r="M137" s="86">
        <f>SUMIFS('февраль 2024'!$G$6:$G$1413,'февраль 2024'!$D$6:$D$1413,$B137,'февраль 2024'!$J$6:$J$1413,M$1)</f>
        <v>0</v>
      </c>
      <c r="N137" s="86">
        <f>SUMIFS('февраль 2024'!$G$6:$G$1413,'февраль 2024'!$D$6:$D$1413,$B137,'февраль 2024'!$J$6:$J$1413,N$1)</f>
        <v>0</v>
      </c>
      <c r="O137" s="86">
        <f>SUMIFS('февраль 2024'!$G$6:$G$1413,'февраль 2024'!$D$6:$D$1413,$B137,'февраль 2024'!$J$6:$J$1413,O$1)</f>
        <v>0</v>
      </c>
      <c r="P137" s="86">
        <f>SUMIFS('февраль 2024'!$G$6:$G$1413,'февраль 2024'!$D$6:$D$1413,$B137,'февраль 2024'!$J$6:$J$1413,P$1)</f>
        <v>0</v>
      </c>
      <c r="Q137" s="86">
        <f>SUMIFS('февраль 2024'!$G$6:$G$1413,'февраль 2024'!$D$6:$D$1413,$B137,'февраль 2024'!$J$6:$J$1413,Q$1)</f>
        <v>0</v>
      </c>
      <c r="R137" s="86">
        <f>SUMIFS('февраль 2024'!$G$6:$G$1413,'февраль 2024'!$D$6:$D$1413,$B137,'февраль 2024'!$J$6:$J$1413,R$1)</f>
        <v>0</v>
      </c>
      <c r="S137" s="86">
        <f>SUMIFS('февраль 2024'!$G$6:$G$1413,'февраль 2024'!$D$6:$D$1413,$B137,'февраль 2024'!$J$6:$J$1413,S$1)</f>
        <v>0</v>
      </c>
      <c r="T137" s="86">
        <f>SUMIFS('февраль 2024'!$G$6:$G$1413,'февраль 2024'!$D$6:$D$1413,$B137,'февраль 2024'!$J$6:$J$1413,T$1)</f>
        <v>0</v>
      </c>
      <c r="U137" s="86">
        <f>SUMIFS('февраль 2024'!$G$6:$G$1413,'февраль 2024'!$D$6:$D$1413,$B137,'февраль 2024'!$J$6:$J$1413,U$1)</f>
        <v>0</v>
      </c>
      <c r="V137" s="86">
        <f>SUMIFS('февраль 2024'!$G$6:$G$1413,'февраль 2024'!$D$6:$D$1413,$B137,'февраль 2024'!$J$6:$J$1413,V$1)</f>
        <v>0</v>
      </c>
      <c r="W137" s="86">
        <f>SUMIFS('февраль 2024'!$G$6:$G$1413,'февраль 2024'!$D$6:$D$1413,$B137,'февраль 2024'!$J$6:$J$1413,W$1)</f>
        <v>0</v>
      </c>
      <c r="X137" s="86">
        <f>SUMIFS('февраль 2024'!$G$6:$G$1413,'февраль 2024'!$D$6:$D$1413,$B137,'февраль 2024'!$J$6:$J$1413,X$1)</f>
        <v>0</v>
      </c>
      <c r="Y137" s="86">
        <f>SUMIFS('февраль 2024'!$G$6:$G$1413,'февраль 2024'!$D$6:$D$1413,$B137,'февраль 2024'!$J$6:$J$1413,Y$1)</f>
        <v>0</v>
      </c>
      <c r="Z137" s="86">
        <f>SUMIFS('февраль 2024'!$G$6:$G$1413,'февраль 2024'!$D$6:$D$1413,$B137,'февраль 2024'!$J$6:$J$1413,Z$1)</f>
        <v>0</v>
      </c>
      <c r="AA137" s="86">
        <f>SUMIFS('февраль 2024'!$G$6:$G$1413,'февраль 2024'!$D$6:$D$1413,$B137,'февраль 2024'!$J$6:$J$1413,AA$1)</f>
        <v>0</v>
      </c>
      <c r="AB137" s="86">
        <f>SUMIFS('февраль 2024'!$G$6:$G$1413,'февраль 2024'!$D$6:$D$1413,$B137,'февраль 2024'!$J$6:$J$1413,AB$1)</f>
        <v>0</v>
      </c>
      <c r="AC137" s="86">
        <f>SUMIFS('февраль 2024'!$G$6:$G$1413,'февраль 2024'!$D$6:$D$1413,$B137,'февраль 2024'!$J$6:$J$1413,AC$1)</f>
        <v>0</v>
      </c>
      <c r="AD137" s="86">
        <f>SUMIFS('февраль 2024'!$G$6:$G$1413,'февраль 2024'!$D$6:$D$1413,$B137,'февраль 2024'!$J$6:$J$1413,AD$1)</f>
        <v>0</v>
      </c>
      <c r="AE137" s="86">
        <f>SUMIFS('февраль 2024'!$G$6:$G$1413,'февраль 2024'!$D$6:$D$1413,$B137,'февраль 2024'!$J$6:$J$1413,AE$1)</f>
        <v>0</v>
      </c>
      <c r="AF137" s="86">
        <f>SUMIFS('февраль 2024'!$G$6:$G$1413,'февраль 2024'!$D$6:$D$1413,$B137,'февраль 2024'!$J$6:$J$1413,AF$1)</f>
        <v>0</v>
      </c>
      <c r="AG137" s="86">
        <f>SUMIFS('февраль 2024'!$G$6:$G$1413,'февраль 2024'!$D$6:$D$1413,$B137,'февраль 2024'!$J$6:$J$1413,AG$1)</f>
        <v>0</v>
      </c>
      <c r="AH137" s="86">
        <f>SUMIFS('февраль 2024'!$G$6:$G$1413,'февраль 2024'!$D$6:$D$1413,$B137,'февраль 2024'!$J$6:$J$1413,AH$1)</f>
        <v>0</v>
      </c>
      <c r="AI137" s="21">
        <f>SUM(D137:AH137)</f>
        <v>0</v>
      </c>
    </row>
    <row r="138" spans="2:35" ht="15" customHeight="1" x14ac:dyDescent="0.25">
      <c r="B138" s="89"/>
      <c r="C138" s="88"/>
      <c r="D138" s="86">
        <f>SUMIFS('февраль 2024'!$G$6:$G$1413,'февраль 2024'!$D$6:$D$1413,$B138,'февраль 2024'!$J$6:$J$1413,D$1)</f>
        <v>0</v>
      </c>
      <c r="E138" s="86">
        <f>SUMIFS('февраль 2024'!$G$6:$G$1413,'февраль 2024'!$D$6:$D$1413,$B138,'февраль 2024'!$J$6:$J$1413,E$1)</f>
        <v>0</v>
      </c>
      <c r="F138" s="86">
        <f>SUMIFS('февраль 2024'!$G$6:$G$1413,'февраль 2024'!$D$6:$D$1413,$B138,'февраль 2024'!$J$6:$J$1413,F$1)</f>
        <v>0</v>
      </c>
      <c r="G138" s="86">
        <f>SUMIFS('февраль 2024'!$G$6:$G$1413,'февраль 2024'!$D$6:$D$1413,$B138,'февраль 2024'!$J$6:$J$1413,G$1)</f>
        <v>0</v>
      </c>
      <c r="H138" s="86">
        <f>SUMIFS('февраль 2024'!$G$6:$G$1413,'февраль 2024'!$D$6:$D$1413,$B138,'февраль 2024'!$J$6:$J$1413,H$1)</f>
        <v>0</v>
      </c>
      <c r="I138" s="86">
        <f>SUMIFS('февраль 2024'!$G$6:$G$1413,'февраль 2024'!$D$6:$D$1413,$B138,'февраль 2024'!$J$6:$J$1413,I$1)</f>
        <v>0</v>
      </c>
      <c r="J138" s="86">
        <f>SUMIFS('февраль 2024'!$G$6:$G$1413,'февраль 2024'!$D$6:$D$1413,$B138,'февраль 2024'!$J$6:$J$1413,J$1)</f>
        <v>0</v>
      </c>
      <c r="K138" s="86">
        <f>SUMIFS('февраль 2024'!$G$6:$G$1413,'февраль 2024'!$D$6:$D$1413,$B138,'февраль 2024'!$J$6:$J$1413,K$1)</f>
        <v>0</v>
      </c>
      <c r="L138" s="86">
        <f>SUMIFS('февраль 2024'!$G$6:$G$1413,'февраль 2024'!$D$6:$D$1413,$B138,'февраль 2024'!$J$6:$J$1413,L$1)</f>
        <v>0</v>
      </c>
      <c r="M138" s="86">
        <f>SUMIFS('февраль 2024'!$G$6:$G$1413,'февраль 2024'!$D$6:$D$1413,$B138,'февраль 2024'!$J$6:$J$1413,M$1)</f>
        <v>0</v>
      </c>
      <c r="N138" s="86">
        <f>SUMIFS('февраль 2024'!$G$6:$G$1413,'февраль 2024'!$D$6:$D$1413,$B138,'февраль 2024'!$J$6:$J$1413,N$1)</f>
        <v>0</v>
      </c>
      <c r="O138" s="86">
        <f>SUMIFS('февраль 2024'!$G$6:$G$1413,'февраль 2024'!$D$6:$D$1413,$B138,'февраль 2024'!$J$6:$J$1413,O$1)</f>
        <v>0</v>
      </c>
      <c r="P138" s="86">
        <f>SUMIFS('февраль 2024'!$G$6:$G$1413,'февраль 2024'!$D$6:$D$1413,$B138,'февраль 2024'!$J$6:$J$1413,P$1)</f>
        <v>0</v>
      </c>
      <c r="Q138" s="86">
        <f>SUMIFS('февраль 2024'!$G$6:$G$1413,'февраль 2024'!$D$6:$D$1413,$B138,'февраль 2024'!$J$6:$J$1413,Q$1)</f>
        <v>0</v>
      </c>
      <c r="R138" s="86">
        <f>SUMIFS('февраль 2024'!$G$6:$G$1413,'февраль 2024'!$D$6:$D$1413,$B138,'февраль 2024'!$J$6:$J$1413,R$1)</f>
        <v>0</v>
      </c>
      <c r="S138" s="86">
        <f>SUMIFS('февраль 2024'!$G$6:$G$1413,'февраль 2024'!$D$6:$D$1413,$B138,'февраль 2024'!$J$6:$J$1413,S$1)</f>
        <v>0</v>
      </c>
      <c r="T138" s="86">
        <f>SUMIFS('февраль 2024'!$G$6:$G$1413,'февраль 2024'!$D$6:$D$1413,$B138,'февраль 2024'!$J$6:$J$1413,T$1)</f>
        <v>0</v>
      </c>
      <c r="U138" s="86">
        <f>SUMIFS('февраль 2024'!$G$6:$G$1413,'февраль 2024'!$D$6:$D$1413,$B138,'февраль 2024'!$J$6:$J$1413,U$1)</f>
        <v>0</v>
      </c>
      <c r="V138" s="86">
        <f>SUMIFS('февраль 2024'!$G$6:$G$1413,'февраль 2024'!$D$6:$D$1413,$B138,'февраль 2024'!$J$6:$J$1413,V$1)</f>
        <v>0</v>
      </c>
      <c r="W138" s="86">
        <f>SUMIFS('февраль 2024'!$G$6:$G$1413,'февраль 2024'!$D$6:$D$1413,$B138,'февраль 2024'!$J$6:$J$1413,W$1)</f>
        <v>0</v>
      </c>
      <c r="X138" s="86">
        <f>SUMIFS('февраль 2024'!$G$6:$G$1413,'февраль 2024'!$D$6:$D$1413,$B138,'февраль 2024'!$J$6:$J$1413,X$1)</f>
        <v>0</v>
      </c>
      <c r="Y138" s="86">
        <f>SUMIFS('февраль 2024'!$G$6:$G$1413,'февраль 2024'!$D$6:$D$1413,$B138,'февраль 2024'!$J$6:$J$1413,Y$1)</f>
        <v>0</v>
      </c>
      <c r="Z138" s="86">
        <f>SUMIFS('февраль 2024'!$G$6:$G$1413,'февраль 2024'!$D$6:$D$1413,$B138,'февраль 2024'!$J$6:$J$1413,Z$1)</f>
        <v>0</v>
      </c>
      <c r="AA138" s="86">
        <f>SUMIFS('февраль 2024'!$G$6:$G$1413,'февраль 2024'!$D$6:$D$1413,$B138,'февраль 2024'!$J$6:$J$1413,AA$1)</f>
        <v>0</v>
      </c>
      <c r="AB138" s="86">
        <f>SUMIFS('февраль 2024'!$G$6:$G$1413,'февраль 2024'!$D$6:$D$1413,$B138,'февраль 2024'!$J$6:$J$1413,AB$1)</f>
        <v>0</v>
      </c>
      <c r="AC138" s="86">
        <f>SUMIFS('февраль 2024'!$G$6:$G$1413,'февраль 2024'!$D$6:$D$1413,$B138,'февраль 2024'!$J$6:$J$1413,AC$1)</f>
        <v>0</v>
      </c>
      <c r="AD138" s="86">
        <f>SUMIFS('февраль 2024'!$G$6:$G$1413,'февраль 2024'!$D$6:$D$1413,$B138,'февраль 2024'!$J$6:$J$1413,AD$1)</f>
        <v>0</v>
      </c>
      <c r="AE138" s="86">
        <f>SUMIFS('февраль 2024'!$G$6:$G$1413,'февраль 2024'!$D$6:$D$1413,$B138,'февраль 2024'!$J$6:$J$1413,AE$1)</f>
        <v>0</v>
      </c>
      <c r="AF138" s="86">
        <f>SUMIFS('февраль 2024'!$G$6:$G$1413,'февраль 2024'!$D$6:$D$1413,$B138,'февраль 2024'!$J$6:$J$1413,AF$1)</f>
        <v>0</v>
      </c>
      <c r="AG138" s="86">
        <f>SUMIFS('февраль 2024'!$G$6:$G$1413,'февраль 2024'!$D$6:$D$1413,$B138,'февраль 2024'!$J$6:$J$1413,AG$1)</f>
        <v>0</v>
      </c>
      <c r="AH138" s="86">
        <f>SUMIFS('февраль 2024'!$G$6:$G$1413,'февраль 2024'!$D$6:$D$1413,$B138,'февраль 2024'!$J$6:$J$1413,AH$1)</f>
        <v>0</v>
      </c>
      <c r="AI138" s="21">
        <f>SUM(D138:AH138)</f>
        <v>0</v>
      </c>
    </row>
    <row r="139" spans="2:35" ht="15" customHeight="1" x14ac:dyDescent="0.25">
      <c r="B139" s="89"/>
      <c r="C139" s="88"/>
      <c r="D139" s="86">
        <f>SUMIFS('февраль 2024'!$G$6:$G$1413,'февраль 2024'!$D$6:$D$1413,$B139,'февраль 2024'!$J$6:$J$1413,D$1)</f>
        <v>0</v>
      </c>
      <c r="E139" s="86">
        <f>SUMIFS('февраль 2024'!$G$6:$G$1413,'февраль 2024'!$D$6:$D$1413,$B139,'февраль 2024'!$J$6:$J$1413,E$1)</f>
        <v>0</v>
      </c>
      <c r="F139" s="86">
        <f>SUMIFS('февраль 2024'!$G$6:$G$1413,'февраль 2024'!$D$6:$D$1413,$B139,'февраль 2024'!$J$6:$J$1413,F$1)</f>
        <v>0</v>
      </c>
      <c r="G139" s="86">
        <f>SUMIFS('февраль 2024'!$G$6:$G$1413,'февраль 2024'!$D$6:$D$1413,$B139,'февраль 2024'!$J$6:$J$1413,G$1)</f>
        <v>0</v>
      </c>
      <c r="H139" s="86">
        <f>SUMIFS('февраль 2024'!$G$6:$G$1413,'февраль 2024'!$D$6:$D$1413,$B139,'февраль 2024'!$J$6:$J$1413,H$1)</f>
        <v>0</v>
      </c>
      <c r="I139" s="86">
        <f>SUMIFS('февраль 2024'!$G$6:$G$1413,'февраль 2024'!$D$6:$D$1413,$B139,'февраль 2024'!$J$6:$J$1413,I$1)</f>
        <v>0</v>
      </c>
      <c r="J139" s="86">
        <f>SUMIFS('февраль 2024'!$G$6:$G$1413,'февраль 2024'!$D$6:$D$1413,$B139,'февраль 2024'!$J$6:$J$1413,J$1)</f>
        <v>0</v>
      </c>
      <c r="K139" s="86">
        <f>SUMIFS('февраль 2024'!$G$6:$G$1413,'февраль 2024'!$D$6:$D$1413,$B139,'февраль 2024'!$J$6:$J$1413,K$1)</f>
        <v>0</v>
      </c>
      <c r="L139" s="86">
        <f>SUMIFS('февраль 2024'!$G$6:$G$1413,'февраль 2024'!$D$6:$D$1413,$B139,'февраль 2024'!$J$6:$J$1413,L$1)</f>
        <v>0</v>
      </c>
      <c r="M139" s="86">
        <f>SUMIFS('февраль 2024'!$G$6:$G$1413,'февраль 2024'!$D$6:$D$1413,$B139,'февраль 2024'!$J$6:$J$1413,M$1)</f>
        <v>0</v>
      </c>
      <c r="N139" s="86">
        <f>SUMIFS('февраль 2024'!$G$6:$G$1413,'февраль 2024'!$D$6:$D$1413,$B139,'февраль 2024'!$J$6:$J$1413,N$1)</f>
        <v>0</v>
      </c>
      <c r="O139" s="86">
        <f>SUMIFS('февраль 2024'!$G$6:$G$1413,'февраль 2024'!$D$6:$D$1413,$B139,'февраль 2024'!$J$6:$J$1413,O$1)</f>
        <v>0</v>
      </c>
      <c r="P139" s="86">
        <f>SUMIFS('февраль 2024'!$G$6:$G$1413,'февраль 2024'!$D$6:$D$1413,$B139,'февраль 2024'!$J$6:$J$1413,P$1)</f>
        <v>0</v>
      </c>
      <c r="Q139" s="86">
        <f>SUMIFS('февраль 2024'!$G$6:$G$1413,'февраль 2024'!$D$6:$D$1413,$B139,'февраль 2024'!$J$6:$J$1413,Q$1)</f>
        <v>0</v>
      </c>
      <c r="R139" s="86">
        <f>SUMIFS('февраль 2024'!$G$6:$G$1413,'февраль 2024'!$D$6:$D$1413,$B139,'февраль 2024'!$J$6:$J$1413,R$1)</f>
        <v>0</v>
      </c>
      <c r="S139" s="86">
        <f>SUMIFS('февраль 2024'!$G$6:$G$1413,'февраль 2024'!$D$6:$D$1413,$B139,'февраль 2024'!$J$6:$J$1413,S$1)</f>
        <v>0</v>
      </c>
      <c r="T139" s="86">
        <f>SUMIFS('февраль 2024'!$G$6:$G$1413,'февраль 2024'!$D$6:$D$1413,$B139,'февраль 2024'!$J$6:$J$1413,T$1)</f>
        <v>0</v>
      </c>
      <c r="U139" s="86">
        <f>SUMIFS('февраль 2024'!$G$6:$G$1413,'февраль 2024'!$D$6:$D$1413,$B139,'февраль 2024'!$J$6:$J$1413,U$1)</f>
        <v>0</v>
      </c>
      <c r="V139" s="86">
        <f>SUMIFS('февраль 2024'!$G$6:$G$1413,'февраль 2024'!$D$6:$D$1413,$B139,'февраль 2024'!$J$6:$J$1413,V$1)</f>
        <v>0</v>
      </c>
      <c r="W139" s="86">
        <f>SUMIFS('февраль 2024'!$G$6:$G$1413,'февраль 2024'!$D$6:$D$1413,$B139,'февраль 2024'!$J$6:$J$1413,W$1)</f>
        <v>0</v>
      </c>
      <c r="X139" s="86">
        <f>SUMIFS('февраль 2024'!$G$6:$G$1413,'февраль 2024'!$D$6:$D$1413,$B139,'февраль 2024'!$J$6:$J$1413,X$1)</f>
        <v>0</v>
      </c>
      <c r="Y139" s="86">
        <f>SUMIFS('февраль 2024'!$G$6:$G$1413,'февраль 2024'!$D$6:$D$1413,$B139,'февраль 2024'!$J$6:$J$1413,Y$1)</f>
        <v>0</v>
      </c>
      <c r="Z139" s="86">
        <f>SUMIFS('февраль 2024'!$G$6:$G$1413,'февраль 2024'!$D$6:$D$1413,$B139,'февраль 2024'!$J$6:$J$1413,Z$1)</f>
        <v>0</v>
      </c>
      <c r="AA139" s="86">
        <f>SUMIFS('февраль 2024'!$G$6:$G$1413,'февраль 2024'!$D$6:$D$1413,$B139,'февраль 2024'!$J$6:$J$1413,AA$1)</f>
        <v>0</v>
      </c>
      <c r="AB139" s="86">
        <f>SUMIFS('февраль 2024'!$G$6:$G$1413,'февраль 2024'!$D$6:$D$1413,$B139,'февраль 2024'!$J$6:$J$1413,AB$1)</f>
        <v>0</v>
      </c>
      <c r="AC139" s="86">
        <f>SUMIFS('февраль 2024'!$G$6:$G$1413,'февраль 2024'!$D$6:$D$1413,$B139,'февраль 2024'!$J$6:$J$1413,AC$1)</f>
        <v>0</v>
      </c>
      <c r="AD139" s="86">
        <f>SUMIFS('февраль 2024'!$G$6:$G$1413,'февраль 2024'!$D$6:$D$1413,$B139,'февраль 2024'!$J$6:$J$1413,AD$1)</f>
        <v>0</v>
      </c>
      <c r="AE139" s="86">
        <f>SUMIFS('февраль 2024'!$G$6:$G$1413,'февраль 2024'!$D$6:$D$1413,$B139,'февраль 2024'!$J$6:$J$1413,AE$1)</f>
        <v>0</v>
      </c>
      <c r="AF139" s="86">
        <f>SUMIFS('февраль 2024'!$G$6:$G$1413,'февраль 2024'!$D$6:$D$1413,$B139,'февраль 2024'!$J$6:$J$1413,AF$1)</f>
        <v>0</v>
      </c>
      <c r="AG139" s="86">
        <f>SUMIFS('февраль 2024'!$G$6:$G$1413,'февраль 2024'!$D$6:$D$1413,$B139,'февраль 2024'!$J$6:$J$1413,AG$1)</f>
        <v>0</v>
      </c>
      <c r="AH139" s="86">
        <f>SUMIFS('февраль 2024'!$G$6:$G$1413,'февраль 2024'!$D$6:$D$1413,$B139,'февраль 2024'!$J$6:$J$1413,AH$1)</f>
        <v>0</v>
      </c>
      <c r="AI139" s="21">
        <f>SUM(D139:AH139)</f>
        <v>0</v>
      </c>
    </row>
    <row r="140" spans="2:35" ht="15" customHeight="1" x14ac:dyDescent="0.25">
      <c r="B140" s="89"/>
      <c r="C140" s="88"/>
      <c r="D140" s="86">
        <f>SUMIFS('февраль 2024'!$G$6:$G$1413,'февраль 2024'!$D$6:$D$1413,$B140,'февраль 2024'!$J$6:$J$1413,D$1)</f>
        <v>0</v>
      </c>
      <c r="E140" s="86">
        <f>SUMIFS('февраль 2024'!$G$6:$G$1413,'февраль 2024'!$D$6:$D$1413,$B140,'февраль 2024'!$J$6:$J$1413,E$1)</f>
        <v>0</v>
      </c>
      <c r="F140" s="86">
        <f>SUMIFS('февраль 2024'!$G$6:$G$1413,'февраль 2024'!$D$6:$D$1413,$B140,'февраль 2024'!$J$6:$J$1413,F$1)</f>
        <v>0</v>
      </c>
      <c r="G140" s="86">
        <f>SUMIFS('февраль 2024'!$G$6:$G$1413,'февраль 2024'!$D$6:$D$1413,$B140,'февраль 2024'!$J$6:$J$1413,G$1)</f>
        <v>0</v>
      </c>
      <c r="H140" s="86">
        <f>SUMIFS('февраль 2024'!$G$6:$G$1413,'февраль 2024'!$D$6:$D$1413,$B140,'февраль 2024'!$J$6:$J$1413,H$1)</f>
        <v>0</v>
      </c>
      <c r="I140" s="86">
        <f>SUMIFS('февраль 2024'!$G$6:$G$1413,'февраль 2024'!$D$6:$D$1413,$B140,'февраль 2024'!$J$6:$J$1413,I$1)</f>
        <v>0</v>
      </c>
      <c r="J140" s="86">
        <f>SUMIFS('февраль 2024'!$G$6:$G$1413,'февраль 2024'!$D$6:$D$1413,$B140,'февраль 2024'!$J$6:$J$1413,J$1)</f>
        <v>0</v>
      </c>
      <c r="K140" s="86">
        <f>SUMIFS('февраль 2024'!$G$6:$G$1413,'февраль 2024'!$D$6:$D$1413,$B140,'февраль 2024'!$J$6:$J$1413,K$1)</f>
        <v>0</v>
      </c>
      <c r="L140" s="86">
        <f>SUMIFS('февраль 2024'!$G$6:$G$1413,'февраль 2024'!$D$6:$D$1413,$B140,'февраль 2024'!$J$6:$J$1413,L$1)</f>
        <v>0</v>
      </c>
      <c r="M140" s="86">
        <f>SUMIFS('февраль 2024'!$G$6:$G$1413,'февраль 2024'!$D$6:$D$1413,$B140,'февраль 2024'!$J$6:$J$1413,M$1)</f>
        <v>0</v>
      </c>
      <c r="N140" s="86">
        <f>SUMIFS('февраль 2024'!$G$6:$G$1413,'февраль 2024'!$D$6:$D$1413,$B140,'февраль 2024'!$J$6:$J$1413,N$1)</f>
        <v>0</v>
      </c>
      <c r="O140" s="86">
        <f>SUMIFS('февраль 2024'!$G$6:$G$1413,'февраль 2024'!$D$6:$D$1413,$B140,'февраль 2024'!$J$6:$J$1413,O$1)</f>
        <v>0</v>
      </c>
      <c r="P140" s="86">
        <f>SUMIFS('февраль 2024'!$G$6:$G$1413,'февраль 2024'!$D$6:$D$1413,$B140,'февраль 2024'!$J$6:$J$1413,P$1)</f>
        <v>0</v>
      </c>
      <c r="Q140" s="86">
        <f>SUMIFS('февраль 2024'!$G$6:$G$1413,'февраль 2024'!$D$6:$D$1413,$B140,'февраль 2024'!$J$6:$J$1413,Q$1)</f>
        <v>0</v>
      </c>
      <c r="R140" s="86">
        <f>SUMIFS('февраль 2024'!$G$6:$G$1413,'февраль 2024'!$D$6:$D$1413,$B140,'февраль 2024'!$J$6:$J$1413,R$1)</f>
        <v>0</v>
      </c>
      <c r="S140" s="86">
        <f>SUMIFS('февраль 2024'!$G$6:$G$1413,'февраль 2024'!$D$6:$D$1413,$B140,'февраль 2024'!$J$6:$J$1413,S$1)</f>
        <v>0</v>
      </c>
      <c r="T140" s="86">
        <f>SUMIFS('февраль 2024'!$G$6:$G$1413,'февраль 2024'!$D$6:$D$1413,$B140,'февраль 2024'!$J$6:$J$1413,T$1)</f>
        <v>0</v>
      </c>
      <c r="U140" s="86">
        <f>SUMIFS('февраль 2024'!$G$6:$G$1413,'февраль 2024'!$D$6:$D$1413,$B140,'февраль 2024'!$J$6:$J$1413,U$1)</f>
        <v>0</v>
      </c>
      <c r="V140" s="86">
        <f>SUMIFS('февраль 2024'!$G$6:$G$1413,'февраль 2024'!$D$6:$D$1413,$B140,'февраль 2024'!$J$6:$J$1413,V$1)</f>
        <v>0</v>
      </c>
      <c r="W140" s="86">
        <f>SUMIFS('февраль 2024'!$G$6:$G$1413,'февраль 2024'!$D$6:$D$1413,$B140,'февраль 2024'!$J$6:$J$1413,W$1)</f>
        <v>0</v>
      </c>
      <c r="X140" s="86">
        <f>SUMIFS('февраль 2024'!$G$6:$G$1413,'февраль 2024'!$D$6:$D$1413,$B140,'февраль 2024'!$J$6:$J$1413,X$1)</f>
        <v>0</v>
      </c>
      <c r="Y140" s="86">
        <f>SUMIFS('февраль 2024'!$G$6:$G$1413,'февраль 2024'!$D$6:$D$1413,$B140,'февраль 2024'!$J$6:$J$1413,Y$1)</f>
        <v>0</v>
      </c>
      <c r="Z140" s="86">
        <f>SUMIFS('февраль 2024'!$G$6:$G$1413,'февраль 2024'!$D$6:$D$1413,$B140,'февраль 2024'!$J$6:$J$1413,Z$1)</f>
        <v>0</v>
      </c>
      <c r="AA140" s="86">
        <f>SUMIFS('февраль 2024'!$G$6:$G$1413,'февраль 2024'!$D$6:$D$1413,$B140,'февраль 2024'!$J$6:$J$1413,AA$1)</f>
        <v>0</v>
      </c>
      <c r="AB140" s="86">
        <f>SUMIFS('февраль 2024'!$G$6:$G$1413,'февраль 2024'!$D$6:$D$1413,$B140,'февраль 2024'!$J$6:$J$1413,AB$1)</f>
        <v>0</v>
      </c>
      <c r="AC140" s="86">
        <f>SUMIFS('февраль 2024'!$G$6:$G$1413,'февраль 2024'!$D$6:$D$1413,$B140,'февраль 2024'!$J$6:$J$1413,AC$1)</f>
        <v>0</v>
      </c>
      <c r="AD140" s="86">
        <f>SUMIFS('февраль 2024'!$G$6:$G$1413,'февраль 2024'!$D$6:$D$1413,$B140,'февраль 2024'!$J$6:$J$1413,AD$1)</f>
        <v>0</v>
      </c>
      <c r="AE140" s="86">
        <f>SUMIFS('февраль 2024'!$G$6:$G$1413,'февраль 2024'!$D$6:$D$1413,$B140,'февраль 2024'!$J$6:$J$1413,AE$1)</f>
        <v>0</v>
      </c>
      <c r="AF140" s="86">
        <f>SUMIFS('февраль 2024'!$G$6:$G$1413,'февраль 2024'!$D$6:$D$1413,$B140,'февраль 2024'!$J$6:$J$1413,AF$1)</f>
        <v>0</v>
      </c>
      <c r="AG140" s="86">
        <f>SUMIFS('февраль 2024'!$G$6:$G$1413,'февраль 2024'!$D$6:$D$1413,$B140,'февраль 2024'!$J$6:$J$1413,AG$1)</f>
        <v>0</v>
      </c>
      <c r="AH140" s="86">
        <f>SUMIFS('февраль 2024'!$G$6:$G$1413,'февраль 2024'!$D$6:$D$1413,$B140,'февраль 2024'!$J$6:$J$1413,AH$1)</f>
        <v>0</v>
      </c>
      <c r="AI140" s="21">
        <f>SUM(D140:AH140)</f>
        <v>0</v>
      </c>
    </row>
    <row r="141" spans="2:35" ht="15" hidden="1" customHeight="1" x14ac:dyDescent="0.25">
      <c r="B141" s="89"/>
      <c r="C141" s="88"/>
      <c r="D141" s="80">
        <f>SUMIFS('февраль 2024'!$G$6:$G$1413,'февраль 2024'!$D$6:$D$1413,$B141,'февраль 2024'!$J$6:$J$1413,D$1)</f>
        <v>0</v>
      </c>
      <c r="E141" s="80">
        <f>SUMIFS('февраль 2024'!$G$6:$G$1413,'февраль 2024'!$D$6:$D$1413,$B141,'февраль 2024'!$J$6:$J$1413,E$1)</f>
        <v>0</v>
      </c>
      <c r="F141" s="80">
        <f>SUMIFS('февраль 2024'!$G$6:$G$1413,'февраль 2024'!$D$6:$D$1413,$B141,'февраль 2024'!$J$6:$J$1413,F$1)</f>
        <v>0</v>
      </c>
      <c r="G141" s="80">
        <f>SUMIFS('февраль 2024'!$G$6:$G$1413,'февраль 2024'!$D$6:$D$1413,$B141,'февраль 2024'!$J$6:$J$1413,G$1)</f>
        <v>0</v>
      </c>
      <c r="H141" s="80">
        <f>SUMIFS('февраль 2024'!$G$6:$G$1413,'февраль 2024'!$D$6:$D$1413,$B141,'февраль 2024'!$J$6:$J$1413,H$1)</f>
        <v>0</v>
      </c>
      <c r="I141" s="80">
        <f>SUMIFS('февраль 2024'!$G$6:$G$1413,'февраль 2024'!$D$6:$D$1413,$B141,'февраль 2024'!$J$6:$J$1413,I$1)</f>
        <v>0</v>
      </c>
      <c r="J141" s="80">
        <f>SUMIFS('февраль 2024'!$G$6:$G$1413,'февраль 2024'!$D$6:$D$1413,$B141,'февраль 2024'!$J$6:$J$1413,J$1)</f>
        <v>0</v>
      </c>
      <c r="K141" s="80">
        <f>SUMIFS('февраль 2024'!$G$6:$G$1413,'февраль 2024'!$D$6:$D$1413,$B141,'февраль 2024'!$J$6:$J$1413,K$1)</f>
        <v>0</v>
      </c>
      <c r="L141" s="80">
        <f>SUMIFS('февраль 2024'!$G$6:$G$1413,'февраль 2024'!$D$6:$D$1413,$B141,'февраль 2024'!$J$6:$J$1413,L$1)</f>
        <v>0</v>
      </c>
      <c r="M141" s="80">
        <f>SUMIFS('февраль 2024'!$G$6:$G$1413,'февраль 2024'!$D$6:$D$1413,$B141,'февраль 2024'!$J$6:$J$1413,M$1)</f>
        <v>0</v>
      </c>
      <c r="N141" s="80">
        <f>SUMIFS('февраль 2024'!$G$6:$G$1413,'февраль 2024'!$D$6:$D$1413,$B141,'февраль 2024'!$J$6:$J$1413,N$1)</f>
        <v>0</v>
      </c>
      <c r="O141" s="80">
        <f>SUMIFS('февраль 2024'!$G$6:$G$1413,'февраль 2024'!$D$6:$D$1413,$B141,'февраль 2024'!$J$6:$J$1413,O$1)</f>
        <v>0</v>
      </c>
      <c r="P141" s="80">
        <f>SUMIFS('февраль 2024'!$G$6:$G$1413,'февраль 2024'!$D$6:$D$1413,$B141,'февраль 2024'!$J$6:$J$1413,P$1)</f>
        <v>0</v>
      </c>
      <c r="Q141" s="80">
        <f>SUMIFS('февраль 2024'!$G$6:$G$1413,'февраль 2024'!$D$6:$D$1413,$B141,'февраль 2024'!$J$6:$J$1413,Q$1)</f>
        <v>0</v>
      </c>
      <c r="R141" s="80">
        <f>SUMIFS('февраль 2024'!$G$6:$G$1413,'февраль 2024'!$D$6:$D$1413,$B141,'февраль 2024'!$J$6:$J$1413,R$1)</f>
        <v>0</v>
      </c>
      <c r="S141" s="80">
        <f>SUMIFS('февраль 2024'!$G$6:$G$1413,'февраль 2024'!$D$6:$D$1413,$B141,'февраль 2024'!$J$6:$J$1413,S$1)</f>
        <v>0</v>
      </c>
      <c r="T141" s="80">
        <f>SUMIFS('февраль 2024'!$G$6:$G$1413,'февраль 2024'!$D$6:$D$1413,$B141,'февраль 2024'!$J$6:$J$1413,T$1)</f>
        <v>0</v>
      </c>
      <c r="U141" s="80">
        <f>SUMIFS('февраль 2024'!$G$6:$G$1413,'февраль 2024'!$D$6:$D$1413,$B141,'февраль 2024'!$J$6:$J$1413,U$1)</f>
        <v>0</v>
      </c>
      <c r="V141" s="80">
        <f>SUMIFS('февраль 2024'!$G$6:$G$1413,'февраль 2024'!$D$6:$D$1413,$B141,'февраль 2024'!$J$6:$J$1413,V$1)</f>
        <v>0</v>
      </c>
      <c r="W141" s="80">
        <f>SUMIFS('февраль 2024'!$G$6:$G$1413,'февраль 2024'!$D$6:$D$1413,$B141,'февраль 2024'!$J$6:$J$1413,W$1)</f>
        <v>0</v>
      </c>
      <c r="X141" s="80">
        <f>SUMIFS('февраль 2024'!$G$6:$G$1413,'февраль 2024'!$D$6:$D$1413,$B141,'февраль 2024'!$J$6:$J$1413,X$1)</f>
        <v>0</v>
      </c>
      <c r="Y141" s="80">
        <f>SUMIFS('февраль 2024'!$G$6:$G$1413,'февраль 2024'!$D$6:$D$1413,$B141,'февраль 2024'!$J$6:$J$1413,Y$1)</f>
        <v>0</v>
      </c>
      <c r="Z141" s="80">
        <f>SUMIFS('февраль 2024'!$G$6:$G$1413,'февраль 2024'!$D$6:$D$1413,$B141,'февраль 2024'!$J$6:$J$1413,Z$1)</f>
        <v>0</v>
      </c>
      <c r="AA141" s="80">
        <f>SUMIFS('февраль 2024'!$G$6:$G$1413,'февраль 2024'!$D$6:$D$1413,$B141,'февраль 2024'!$J$6:$J$1413,AA$1)</f>
        <v>0</v>
      </c>
      <c r="AB141" s="80">
        <f>SUMIFS('февраль 2024'!$G$6:$G$1413,'февраль 2024'!$D$6:$D$1413,$B141,'февраль 2024'!$J$6:$J$1413,AB$1)</f>
        <v>0</v>
      </c>
      <c r="AC141" s="80">
        <f>SUMIFS('февраль 2024'!$G$6:$G$1413,'февраль 2024'!$D$6:$D$1413,$B141,'февраль 2024'!$J$6:$J$1413,AC$1)</f>
        <v>0</v>
      </c>
      <c r="AD141" s="80">
        <f>SUMIFS('февраль 2024'!$G$6:$G$1413,'февраль 2024'!$D$6:$D$1413,$B141,'февраль 2024'!$J$6:$J$1413,AD$1)</f>
        <v>0</v>
      </c>
      <c r="AE141" s="80">
        <f>SUMIFS('февраль 2024'!$G$6:$G$1413,'февраль 2024'!$D$6:$D$1413,$B141,'февраль 2024'!$J$6:$J$1413,AE$1)</f>
        <v>0</v>
      </c>
      <c r="AF141" s="80">
        <f>SUMIFS('февраль 2024'!$G$6:$G$1413,'февраль 2024'!$D$6:$D$1413,$B141,'февраль 2024'!$J$6:$J$1413,AF$1)</f>
        <v>0</v>
      </c>
      <c r="AG141" s="80">
        <f>SUMIFS('февраль 2024'!$G$6:$G$1413,'февраль 2024'!$D$6:$D$1413,$B141,'февраль 2024'!$J$6:$J$1413,AG$1)</f>
        <v>0</v>
      </c>
      <c r="AH141" s="80">
        <f>SUMIFS('февраль 2024'!$G$6:$G$1413,'февраль 2024'!$D$6:$D$1413,$B141,'февраль 2024'!$J$6:$J$1413,AH$1)</f>
        <v>0</v>
      </c>
      <c r="AI141" s="87"/>
    </row>
    <row r="142" spans="2:35" ht="15" hidden="1" customHeight="1" x14ac:dyDescent="0.25">
      <c r="B142" s="89"/>
      <c r="C142" s="88"/>
      <c r="D142" s="80">
        <f>SUMIFS('февраль 2024'!$G$6:$G$1413,'февраль 2024'!$D$6:$D$1413,$B142,'февраль 2024'!$J$6:$J$1413,D$1)</f>
        <v>0</v>
      </c>
      <c r="E142" s="80">
        <f>SUMIFS('февраль 2024'!$G$6:$G$1413,'февраль 2024'!$D$6:$D$1413,$B142,'февраль 2024'!$J$6:$J$1413,E$1)</f>
        <v>0</v>
      </c>
      <c r="F142" s="80">
        <f>SUMIFS('февраль 2024'!$G$6:$G$1413,'февраль 2024'!$D$6:$D$1413,$B142,'февраль 2024'!$J$6:$J$1413,F$1)</f>
        <v>0</v>
      </c>
      <c r="G142" s="80">
        <f>SUMIFS('февраль 2024'!$G$6:$G$1413,'февраль 2024'!$D$6:$D$1413,$B142,'февраль 2024'!$J$6:$J$1413,G$1)</f>
        <v>0</v>
      </c>
      <c r="H142" s="80">
        <f>SUMIFS('февраль 2024'!$G$6:$G$1413,'февраль 2024'!$D$6:$D$1413,$B142,'февраль 2024'!$J$6:$J$1413,H$1)</f>
        <v>0</v>
      </c>
      <c r="I142" s="80">
        <f>SUMIFS('февраль 2024'!$G$6:$G$1413,'февраль 2024'!$D$6:$D$1413,$B142,'февраль 2024'!$J$6:$J$1413,I$1)</f>
        <v>0</v>
      </c>
      <c r="J142" s="80">
        <f>SUMIFS('февраль 2024'!$G$6:$G$1413,'февраль 2024'!$D$6:$D$1413,$B142,'февраль 2024'!$J$6:$J$1413,J$1)</f>
        <v>0</v>
      </c>
      <c r="K142" s="80">
        <f>SUMIFS('февраль 2024'!$G$6:$G$1413,'февраль 2024'!$D$6:$D$1413,$B142,'февраль 2024'!$J$6:$J$1413,K$1)</f>
        <v>0</v>
      </c>
      <c r="L142" s="80">
        <f>SUMIFS('февраль 2024'!$G$6:$G$1413,'февраль 2024'!$D$6:$D$1413,$B142,'февраль 2024'!$J$6:$J$1413,L$1)</f>
        <v>0</v>
      </c>
      <c r="M142" s="80">
        <f>SUMIFS('февраль 2024'!$G$6:$G$1413,'февраль 2024'!$D$6:$D$1413,$B142,'февраль 2024'!$J$6:$J$1413,M$1)</f>
        <v>0</v>
      </c>
      <c r="N142" s="80">
        <f>SUMIFS('февраль 2024'!$G$6:$G$1413,'февраль 2024'!$D$6:$D$1413,$B142,'февраль 2024'!$J$6:$J$1413,N$1)</f>
        <v>0</v>
      </c>
      <c r="O142" s="80">
        <f>SUMIFS('февраль 2024'!$G$6:$G$1413,'февраль 2024'!$D$6:$D$1413,$B142,'февраль 2024'!$J$6:$J$1413,O$1)</f>
        <v>0</v>
      </c>
      <c r="P142" s="80">
        <f>SUMIFS('февраль 2024'!$G$6:$G$1413,'февраль 2024'!$D$6:$D$1413,$B142,'февраль 2024'!$J$6:$J$1413,P$1)</f>
        <v>0</v>
      </c>
      <c r="Q142" s="80">
        <f>SUMIFS('февраль 2024'!$G$6:$G$1413,'февраль 2024'!$D$6:$D$1413,$B142,'февраль 2024'!$J$6:$J$1413,Q$1)</f>
        <v>0</v>
      </c>
      <c r="R142" s="80">
        <f>SUMIFS('февраль 2024'!$G$6:$G$1413,'февраль 2024'!$D$6:$D$1413,$B142,'февраль 2024'!$J$6:$J$1413,R$1)</f>
        <v>0</v>
      </c>
      <c r="S142" s="80">
        <f>SUMIFS('февраль 2024'!$G$6:$G$1413,'февраль 2024'!$D$6:$D$1413,$B142,'февраль 2024'!$J$6:$J$1413,S$1)</f>
        <v>0</v>
      </c>
      <c r="T142" s="80">
        <f>SUMIFS('февраль 2024'!$G$6:$G$1413,'февраль 2024'!$D$6:$D$1413,$B142,'февраль 2024'!$J$6:$J$1413,T$1)</f>
        <v>0</v>
      </c>
      <c r="U142" s="80">
        <f>SUMIFS('февраль 2024'!$G$6:$G$1413,'февраль 2024'!$D$6:$D$1413,$B142,'февраль 2024'!$J$6:$J$1413,U$1)</f>
        <v>0</v>
      </c>
      <c r="V142" s="80">
        <f>SUMIFS('февраль 2024'!$G$6:$G$1413,'февраль 2024'!$D$6:$D$1413,$B142,'февраль 2024'!$J$6:$J$1413,V$1)</f>
        <v>0</v>
      </c>
      <c r="W142" s="80">
        <f>SUMIFS('февраль 2024'!$G$6:$G$1413,'февраль 2024'!$D$6:$D$1413,$B142,'февраль 2024'!$J$6:$J$1413,W$1)</f>
        <v>0</v>
      </c>
      <c r="X142" s="80">
        <f>SUMIFS('февраль 2024'!$G$6:$G$1413,'февраль 2024'!$D$6:$D$1413,$B142,'февраль 2024'!$J$6:$J$1413,X$1)</f>
        <v>0</v>
      </c>
      <c r="Y142" s="80">
        <f>SUMIFS('февраль 2024'!$G$6:$G$1413,'февраль 2024'!$D$6:$D$1413,$B142,'февраль 2024'!$J$6:$J$1413,Y$1)</f>
        <v>0</v>
      </c>
      <c r="Z142" s="80">
        <f>SUMIFS('февраль 2024'!$G$6:$G$1413,'февраль 2024'!$D$6:$D$1413,$B142,'февраль 2024'!$J$6:$J$1413,Z$1)</f>
        <v>0</v>
      </c>
      <c r="AA142" s="80">
        <f>SUMIFS('февраль 2024'!$G$6:$G$1413,'февраль 2024'!$D$6:$D$1413,$B142,'февраль 2024'!$J$6:$J$1413,AA$1)</f>
        <v>0</v>
      </c>
      <c r="AB142" s="80">
        <f>SUMIFS('февраль 2024'!$G$6:$G$1413,'февраль 2024'!$D$6:$D$1413,$B142,'февраль 2024'!$J$6:$J$1413,AB$1)</f>
        <v>0</v>
      </c>
      <c r="AC142" s="80">
        <f>SUMIFS('февраль 2024'!$G$6:$G$1413,'февраль 2024'!$D$6:$D$1413,$B142,'февраль 2024'!$J$6:$J$1413,AC$1)</f>
        <v>0</v>
      </c>
      <c r="AD142" s="80">
        <f>SUMIFS('февраль 2024'!$G$6:$G$1413,'февраль 2024'!$D$6:$D$1413,$B142,'февраль 2024'!$J$6:$J$1413,AD$1)</f>
        <v>0</v>
      </c>
      <c r="AE142" s="80">
        <f>SUMIFS('февраль 2024'!$G$6:$G$1413,'февраль 2024'!$D$6:$D$1413,$B142,'февраль 2024'!$J$6:$J$1413,AE$1)</f>
        <v>0</v>
      </c>
      <c r="AF142" s="80">
        <f>SUMIFS('февраль 2024'!$G$6:$G$1413,'февраль 2024'!$D$6:$D$1413,$B142,'февраль 2024'!$J$6:$J$1413,AF$1)</f>
        <v>0</v>
      </c>
      <c r="AG142" s="80">
        <f>SUMIFS('февраль 2024'!$G$6:$G$1413,'февраль 2024'!$D$6:$D$1413,$B142,'февраль 2024'!$J$6:$J$1413,AG$1)</f>
        <v>0</v>
      </c>
      <c r="AH142" s="80">
        <f>SUMIFS('февраль 2024'!$G$6:$G$1413,'февраль 2024'!$D$6:$D$1413,$B142,'февраль 2024'!$J$6:$J$1413,AH$1)</f>
        <v>0</v>
      </c>
      <c r="AI142" s="87"/>
    </row>
    <row r="143" spans="2:35" ht="15" hidden="1" customHeight="1" x14ac:dyDescent="0.25">
      <c r="B143" s="93"/>
      <c r="C143" s="88"/>
      <c r="D143" s="80">
        <f>SUMIFS('февраль 2024'!$G$6:$G$1413,'февраль 2024'!$D$6:$D$1413,$B143,'февраль 2024'!$J$6:$J$1413,D$1)</f>
        <v>0</v>
      </c>
      <c r="E143" s="80">
        <f>SUMIFS('февраль 2024'!$G$6:$G$1413,'февраль 2024'!$D$6:$D$1413,$B143,'февраль 2024'!$J$6:$J$1413,E$1)</f>
        <v>0</v>
      </c>
      <c r="F143" s="80">
        <f>SUMIFS('февраль 2024'!$G$6:$G$1413,'февраль 2024'!$D$6:$D$1413,$B143,'февраль 2024'!$J$6:$J$1413,F$1)</f>
        <v>0</v>
      </c>
      <c r="G143" s="80">
        <f>SUMIFS('февраль 2024'!$G$6:$G$1413,'февраль 2024'!$D$6:$D$1413,$B143,'февраль 2024'!$J$6:$J$1413,G$1)</f>
        <v>0</v>
      </c>
      <c r="H143" s="80">
        <f>SUMIFS('февраль 2024'!$G$6:$G$1413,'февраль 2024'!$D$6:$D$1413,$B143,'февраль 2024'!$J$6:$J$1413,H$1)</f>
        <v>0</v>
      </c>
      <c r="I143" s="80">
        <f>SUMIFS('февраль 2024'!$G$6:$G$1413,'февраль 2024'!$D$6:$D$1413,$B143,'февраль 2024'!$J$6:$J$1413,I$1)</f>
        <v>0</v>
      </c>
      <c r="J143" s="80">
        <f>SUMIFS('февраль 2024'!$G$6:$G$1413,'февраль 2024'!$D$6:$D$1413,$B143,'февраль 2024'!$J$6:$J$1413,J$1)</f>
        <v>0</v>
      </c>
      <c r="K143" s="80">
        <f>SUMIFS('февраль 2024'!$G$6:$G$1413,'февраль 2024'!$D$6:$D$1413,$B143,'февраль 2024'!$J$6:$J$1413,K$1)</f>
        <v>0</v>
      </c>
      <c r="L143" s="80">
        <f>SUMIFS('февраль 2024'!$G$6:$G$1413,'февраль 2024'!$D$6:$D$1413,$B143,'февраль 2024'!$J$6:$J$1413,L$1)</f>
        <v>0</v>
      </c>
      <c r="M143" s="80">
        <f>SUMIFS('февраль 2024'!$G$6:$G$1413,'февраль 2024'!$D$6:$D$1413,$B143,'февраль 2024'!$J$6:$J$1413,M$1)</f>
        <v>0</v>
      </c>
      <c r="N143" s="80">
        <f>SUMIFS('февраль 2024'!$G$6:$G$1413,'февраль 2024'!$D$6:$D$1413,$B143,'февраль 2024'!$J$6:$J$1413,N$1)</f>
        <v>0</v>
      </c>
      <c r="O143" s="80">
        <f>SUMIFS('февраль 2024'!$G$6:$G$1413,'февраль 2024'!$D$6:$D$1413,$B143,'февраль 2024'!$J$6:$J$1413,O$1)</f>
        <v>0</v>
      </c>
      <c r="P143" s="80">
        <f>SUMIFS('февраль 2024'!$G$6:$G$1413,'февраль 2024'!$D$6:$D$1413,$B143,'февраль 2024'!$J$6:$J$1413,P$1)</f>
        <v>0</v>
      </c>
      <c r="Q143" s="80">
        <f>SUMIFS('февраль 2024'!$G$6:$G$1413,'февраль 2024'!$D$6:$D$1413,$B143,'февраль 2024'!$J$6:$J$1413,Q$1)</f>
        <v>0</v>
      </c>
      <c r="R143" s="80">
        <f>SUMIFS('февраль 2024'!$G$6:$G$1413,'февраль 2024'!$D$6:$D$1413,$B143,'февраль 2024'!$J$6:$J$1413,R$1)</f>
        <v>0</v>
      </c>
      <c r="S143" s="80">
        <f>SUMIFS('февраль 2024'!$G$6:$G$1413,'февраль 2024'!$D$6:$D$1413,$B143,'февраль 2024'!$J$6:$J$1413,S$1)</f>
        <v>0</v>
      </c>
      <c r="T143" s="80">
        <f>SUMIFS('февраль 2024'!$G$6:$G$1413,'февраль 2024'!$D$6:$D$1413,$B143,'февраль 2024'!$J$6:$J$1413,T$1)</f>
        <v>0</v>
      </c>
      <c r="U143" s="80">
        <f>SUMIFS('февраль 2024'!$G$6:$G$1413,'февраль 2024'!$D$6:$D$1413,$B143,'февраль 2024'!$J$6:$J$1413,U$1)</f>
        <v>0</v>
      </c>
      <c r="V143" s="80">
        <f>SUMIFS('февраль 2024'!$G$6:$G$1413,'февраль 2024'!$D$6:$D$1413,$B143,'февраль 2024'!$J$6:$J$1413,V$1)</f>
        <v>0</v>
      </c>
      <c r="W143" s="80">
        <f>SUMIFS('февраль 2024'!$G$6:$G$1413,'февраль 2024'!$D$6:$D$1413,$B143,'февраль 2024'!$J$6:$J$1413,W$1)</f>
        <v>0</v>
      </c>
      <c r="X143" s="80">
        <f>SUMIFS('февраль 2024'!$G$6:$G$1413,'февраль 2024'!$D$6:$D$1413,$B143,'февраль 2024'!$J$6:$J$1413,X$1)</f>
        <v>0</v>
      </c>
      <c r="Y143" s="80">
        <f>SUMIFS('февраль 2024'!$G$6:$G$1413,'февраль 2024'!$D$6:$D$1413,$B143,'февраль 2024'!$J$6:$J$1413,Y$1)</f>
        <v>0</v>
      </c>
      <c r="Z143" s="80">
        <f>SUMIFS('февраль 2024'!$G$6:$G$1413,'февраль 2024'!$D$6:$D$1413,$B143,'февраль 2024'!$J$6:$J$1413,Z$1)</f>
        <v>0</v>
      </c>
      <c r="AA143" s="80">
        <f>SUMIFS('февраль 2024'!$G$6:$G$1413,'февраль 2024'!$D$6:$D$1413,$B143,'февраль 2024'!$J$6:$J$1413,AA$1)</f>
        <v>0</v>
      </c>
      <c r="AB143" s="80">
        <f>SUMIFS('февраль 2024'!$G$6:$G$1413,'февраль 2024'!$D$6:$D$1413,$B143,'февраль 2024'!$J$6:$J$1413,AB$1)</f>
        <v>0</v>
      </c>
      <c r="AC143" s="80">
        <f>SUMIFS('февраль 2024'!$G$6:$G$1413,'февраль 2024'!$D$6:$D$1413,$B143,'февраль 2024'!$J$6:$J$1413,AC$1)</f>
        <v>0</v>
      </c>
      <c r="AD143" s="80">
        <f>SUMIFS('февраль 2024'!$G$6:$G$1413,'февраль 2024'!$D$6:$D$1413,$B143,'февраль 2024'!$J$6:$J$1413,AD$1)</f>
        <v>0</v>
      </c>
      <c r="AE143" s="80">
        <f>SUMIFS('февраль 2024'!$G$6:$G$1413,'февраль 2024'!$D$6:$D$1413,$B143,'февраль 2024'!$J$6:$J$1413,AE$1)</f>
        <v>0</v>
      </c>
      <c r="AF143" s="80">
        <f>SUMIFS('февраль 2024'!$G$6:$G$1413,'февраль 2024'!$D$6:$D$1413,$B143,'февраль 2024'!$J$6:$J$1413,AF$1)</f>
        <v>0</v>
      </c>
      <c r="AG143" s="80">
        <f>SUMIFS('февраль 2024'!$G$6:$G$1413,'февраль 2024'!$D$6:$D$1413,$B143,'февраль 2024'!$J$6:$J$1413,AG$1)</f>
        <v>0</v>
      </c>
      <c r="AH143" s="80">
        <f>SUMIFS('февраль 2024'!$G$6:$G$1413,'февраль 2024'!$D$6:$D$1413,$B143,'февраль 2024'!$J$6:$J$1413,AH$1)</f>
        <v>0</v>
      </c>
      <c r="AI143" s="87"/>
    </row>
    <row r="144" spans="2:35" ht="15" hidden="1" customHeight="1" x14ac:dyDescent="0.25">
      <c r="B144" s="93"/>
      <c r="C144" s="91"/>
      <c r="D144" s="80">
        <f>SUMIFS('февраль 2024'!$G$6:$G$1413,'февраль 2024'!$D$6:$D$1413,$B144,'февраль 2024'!$J$6:$J$1413,D$1)</f>
        <v>0</v>
      </c>
      <c r="E144" s="80">
        <f>SUMIFS('февраль 2024'!$G$6:$G$1413,'февраль 2024'!$D$6:$D$1413,$B144,'февраль 2024'!$J$6:$J$1413,E$1)</f>
        <v>0</v>
      </c>
      <c r="F144" s="80">
        <f>SUMIFS('февраль 2024'!$G$6:$G$1413,'февраль 2024'!$D$6:$D$1413,$B144,'февраль 2024'!$J$6:$J$1413,F$1)</f>
        <v>0</v>
      </c>
      <c r="G144" s="80">
        <f>SUMIFS('февраль 2024'!$G$6:$G$1413,'февраль 2024'!$D$6:$D$1413,$B144,'февраль 2024'!$J$6:$J$1413,G$1)</f>
        <v>0</v>
      </c>
      <c r="H144" s="80">
        <f>SUMIFS('февраль 2024'!$G$6:$G$1413,'февраль 2024'!$D$6:$D$1413,$B144,'февраль 2024'!$J$6:$J$1413,H$1)</f>
        <v>0</v>
      </c>
      <c r="I144" s="80">
        <f>SUMIFS('февраль 2024'!$G$6:$G$1413,'февраль 2024'!$D$6:$D$1413,$B144,'февраль 2024'!$J$6:$J$1413,I$1)</f>
        <v>0</v>
      </c>
      <c r="J144" s="80">
        <f>SUMIFS('февраль 2024'!$G$6:$G$1413,'февраль 2024'!$D$6:$D$1413,$B144,'февраль 2024'!$J$6:$J$1413,J$1)</f>
        <v>0</v>
      </c>
      <c r="K144" s="80">
        <f>SUMIFS('февраль 2024'!$G$6:$G$1413,'февраль 2024'!$D$6:$D$1413,$B144,'февраль 2024'!$J$6:$J$1413,K$1)</f>
        <v>0</v>
      </c>
      <c r="L144" s="80">
        <f>SUMIFS('февраль 2024'!$G$6:$G$1413,'февраль 2024'!$D$6:$D$1413,$B144,'февраль 2024'!$J$6:$J$1413,L$1)</f>
        <v>0</v>
      </c>
      <c r="M144" s="80">
        <f>SUMIFS('февраль 2024'!$G$6:$G$1413,'февраль 2024'!$D$6:$D$1413,$B144,'февраль 2024'!$J$6:$J$1413,M$1)</f>
        <v>0</v>
      </c>
      <c r="N144" s="80">
        <f>SUMIFS('февраль 2024'!$G$6:$G$1413,'февраль 2024'!$D$6:$D$1413,$B144,'февраль 2024'!$J$6:$J$1413,N$1)</f>
        <v>0</v>
      </c>
      <c r="O144" s="80">
        <f>SUMIFS('февраль 2024'!$G$6:$G$1413,'февраль 2024'!$D$6:$D$1413,$B144,'февраль 2024'!$J$6:$J$1413,O$1)</f>
        <v>0</v>
      </c>
      <c r="P144" s="80">
        <f>SUMIFS('февраль 2024'!$G$6:$G$1413,'февраль 2024'!$D$6:$D$1413,$B144,'февраль 2024'!$J$6:$J$1413,P$1)</f>
        <v>0</v>
      </c>
      <c r="Q144" s="80">
        <f>SUMIFS('февраль 2024'!$G$6:$G$1413,'февраль 2024'!$D$6:$D$1413,$B144,'февраль 2024'!$J$6:$J$1413,Q$1)</f>
        <v>0</v>
      </c>
      <c r="R144" s="80">
        <f>SUMIFS('февраль 2024'!$G$6:$G$1413,'февраль 2024'!$D$6:$D$1413,$B144,'февраль 2024'!$J$6:$J$1413,R$1)</f>
        <v>0</v>
      </c>
      <c r="S144" s="80">
        <f>SUMIFS('февраль 2024'!$G$6:$G$1413,'февраль 2024'!$D$6:$D$1413,$B144,'февраль 2024'!$J$6:$J$1413,S$1)</f>
        <v>0</v>
      </c>
      <c r="T144" s="80">
        <f>SUMIFS('февраль 2024'!$G$6:$G$1413,'февраль 2024'!$D$6:$D$1413,$B144,'февраль 2024'!$J$6:$J$1413,T$1)</f>
        <v>0</v>
      </c>
      <c r="U144" s="80">
        <f>SUMIFS('февраль 2024'!$G$6:$G$1413,'февраль 2024'!$D$6:$D$1413,$B144,'февраль 2024'!$J$6:$J$1413,U$1)</f>
        <v>0</v>
      </c>
      <c r="V144" s="80">
        <f>SUMIFS('февраль 2024'!$G$6:$G$1413,'февраль 2024'!$D$6:$D$1413,$B144,'февраль 2024'!$J$6:$J$1413,V$1)</f>
        <v>0</v>
      </c>
      <c r="W144" s="80">
        <f>SUMIFS('февраль 2024'!$G$6:$G$1413,'февраль 2024'!$D$6:$D$1413,$B144,'февраль 2024'!$J$6:$J$1413,W$1)</f>
        <v>0</v>
      </c>
      <c r="X144" s="80">
        <f>SUMIFS('февраль 2024'!$G$6:$G$1413,'февраль 2024'!$D$6:$D$1413,$B144,'февраль 2024'!$J$6:$J$1413,X$1)</f>
        <v>0</v>
      </c>
      <c r="Y144" s="80">
        <f>SUMIFS('февраль 2024'!$G$6:$G$1413,'февраль 2024'!$D$6:$D$1413,$B144,'февраль 2024'!$J$6:$J$1413,Y$1)</f>
        <v>0</v>
      </c>
      <c r="Z144" s="80">
        <f>SUMIFS('февраль 2024'!$G$6:$G$1413,'февраль 2024'!$D$6:$D$1413,$B144,'февраль 2024'!$J$6:$J$1413,Z$1)</f>
        <v>0</v>
      </c>
      <c r="AA144" s="80">
        <f>SUMIFS('февраль 2024'!$G$6:$G$1413,'февраль 2024'!$D$6:$D$1413,$B144,'февраль 2024'!$J$6:$J$1413,AA$1)</f>
        <v>0</v>
      </c>
      <c r="AB144" s="80">
        <f>SUMIFS('февраль 2024'!$G$6:$G$1413,'февраль 2024'!$D$6:$D$1413,$B144,'февраль 2024'!$J$6:$J$1413,AB$1)</f>
        <v>0</v>
      </c>
      <c r="AC144" s="80">
        <f>SUMIFS('февраль 2024'!$G$6:$G$1413,'февраль 2024'!$D$6:$D$1413,$B144,'февраль 2024'!$J$6:$J$1413,AC$1)</f>
        <v>0</v>
      </c>
      <c r="AD144" s="80">
        <f>SUMIFS('февраль 2024'!$G$6:$G$1413,'февраль 2024'!$D$6:$D$1413,$B144,'февраль 2024'!$J$6:$J$1413,AD$1)</f>
        <v>0</v>
      </c>
      <c r="AE144" s="80">
        <f>SUMIFS('февраль 2024'!$G$6:$G$1413,'февраль 2024'!$D$6:$D$1413,$B144,'февраль 2024'!$J$6:$J$1413,AE$1)</f>
        <v>0</v>
      </c>
      <c r="AF144" s="80">
        <f>SUMIFS('февраль 2024'!$G$6:$G$1413,'февраль 2024'!$D$6:$D$1413,$B144,'февраль 2024'!$J$6:$J$1413,AF$1)</f>
        <v>0</v>
      </c>
      <c r="AG144" s="80">
        <f>SUMIFS('февраль 2024'!$G$6:$G$1413,'февраль 2024'!$D$6:$D$1413,$B144,'февраль 2024'!$J$6:$J$1413,AG$1)</f>
        <v>0</v>
      </c>
      <c r="AH144" s="80">
        <f>SUMIFS('февраль 2024'!$G$6:$G$1413,'февраль 2024'!$D$6:$D$1413,$B144,'февраль 2024'!$J$6:$J$1413,AH$1)</f>
        <v>0</v>
      </c>
      <c r="AI144" s="87"/>
    </row>
    <row r="145" spans="2:35" ht="15" hidden="1" customHeight="1" x14ac:dyDescent="0.25">
      <c r="B145" s="89"/>
      <c r="C145" s="88"/>
      <c r="D145" s="80">
        <f>SUMIFS('февраль 2024'!$G$6:$G$1413,'февраль 2024'!$D$6:$D$1413,$B145,'февраль 2024'!$J$6:$J$1413,D$1)</f>
        <v>0</v>
      </c>
      <c r="E145" s="80">
        <f>SUMIFS('февраль 2024'!$G$6:$G$1413,'февраль 2024'!$D$6:$D$1413,$B145,'февраль 2024'!$J$6:$J$1413,E$1)</f>
        <v>0</v>
      </c>
      <c r="F145" s="80">
        <f>SUMIFS('февраль 2024'!$G$6:$G$1413,'февраль 2024'!$D$6:$D$1413,$B145,'февраль 2024'!$J$6:$J$1413,F$1)</f>
        <v>0</v>
      </c>
      <c r="G145" s="80">
        <f>SUMIFS('февраль 2024'!$G$6:$G$1413,'февраль 2024'!$D$6:$D$1413,$B145,'февраль 2024'!$J$6:$J$1413,G$1)</f>
        <v>0</v>
      </c>
      <c r="H145" s="80">
        <f>SUMIFS('февраль 2024'!$G$6:$G$1413,'февраль 2024'!$D$6:$D$1413,$B145,'февраль 2024'!$J$6:$J$1413,H$1)</f>
        <v>0</v>
      </c>
      <c r="I145" s="80">
        <f>SUMIFS('февраль 2024'!$G$6:$G$1413,'февраль 2024'!$D$6:$D$1413,$B145,'февраль 2024'!$J$6:$J$1413,I$1)</f>
        <v>0</v>
      </c>
      <c r="J145" s="80">
        <f>SUMIFS('февраль 2024'!$G$6:$G$1413,'февраль 2024'!$D$6:$D$1413,$B145,'февраль 2024'!$J$6:$J$1413,J$1)</f>
        <v>0</v>
      </c>
      <c r="K145" s="80">
        <f>SUMIFS('февраль 2024'!$G$6:$G$1413,'февраль 2024'!$D$6:$D$1413,$B145,'февраль 2024'!$J$6:$J$1413,K$1)</f>
        <v>0</v>
      </c>
      <c r="L145" s="80">
        <f>SUMIFS('февраль 2024'!$G$6:$G$1413,'февраль 2024'!$D$6:$D$1413,$B145,'февраль 2024'!$J$6:$J$1413,L$1)</f>
        <v>0</v>
      </c>
      <c r="M145" s="80">
        <f>SUMIFS('февраль 2024'!$G$6:$G$1413,'февраль 2024'!$D$6:$D$1413,$B145,'февраль 2024'!$J$6:$J$1413,M$1)</f>
        <v>0</v>
      </c>
      <c r="N145" s="80">
        <f>SUMIFS('февраль 2024'!$G$6:$G$1413,'февраль 2024'!$D$6:$D$1413,$B145,'февраль 2024'!$J$6:$J$1413,N$1)</f>
        <v>0</v>
      </c>
      <c r="O145" s="80">
        <f>SUMIFS('февраль 2024'!$G$6:$G$1413,'февраль 2024'!$D$6:$D$1413,$B145,'февраль 2024'!$J$6:$J$1413,O$1)</f>
        <v>0</v>
      </c>
      <c r="P145" s="80">
        <f>SUMIFS('февраль 2024'!$G$6:$G$1413,'февраль 2024'!$D$6:$D$1413,$B145,'февраль 2024'!$J$6:$J$1413,P$1)</f>
        <v>0</v>
      </c>
      <c r="Q145" s="80">
        <f>SUMIFS('февраль 2024'!$G$6:$G$1413,'февраль 2024'!$D$6:$D$1413,$B145,'февраль 2024'!$J$6:$J$1413,Q$1)</f>
        <v>0</v>
      </c>
      <c r="R145" s="80">
        <f>SUMIFS('февраль 2024'!$G$6:$G$1413,'февраль 2024'!$D$6:$D$1413,$B145,'февраль 2024'!$J$6:$J$1413,R$1)</f>
        <v>0</v>
      </c>
      <c r="S145" s="80">
        <f>SUMIFS('февраль 2024'!$G$6:$G$1413,'февраль 2024'!$D$6:$D$1413,$B145,'февраль 2024'!$J$6:$J$1413,S$1)</f>
        <v>0</v>
      </c>
      <c r="T145" s="80">
        <f>SUMIFS('февраль 2024'!$G$6:$G$1413,'февраль 2024'!$D$6:$D$1413,$B145,'февраль 2024'!$J$6:$J$1413,T$1)</f>
        <v>0</v>
      </c>
      <c r="U145" s="80">
        <f>SUMIFS('февраль 2024'!$G$6:$G$1413,'февраль 2024'!$D$6:$D$1413,$B145,'февраль 2024'!$J$6:$J$1413,U$1)</f>
        <v>0</v>
      </c>
      <c r="V145" s="80">
        <f>SUMIFS('февраль 2024'!$G$6:$G$1413,'февраль 2024'!$D$6:$D$1413,$B145,'февраль 2024'!$J$6:$J$1413,V$1)</f>
        <v>0</v>
      </c>
      <c r="W145" s="80">
        <f>SUMIFS('февраль 2024'!$G$6:$G$1413,'февраль 2024'!$D$6:$D$1413,$B145,'февраль 2024'!$J$6:$J$1413,W$1)</f>
        <v>0</v>
      </c>
      <c r="X145" s="80">
        <f>SUMIFS('февраль 2024'!$G$6:$G$1413,'февраль 2024'!$D$6:$D$1413,$B145,'февраль 2024'!$J$6:$J$1413,X$1)</f>
        <v>0</v>
      </c>
      <c r="Y145" s="80">
        <f>SUMIFS('февраль 2024'!$G$6:$G$1413,'февраль 2024'!$D$6:$D$1413,$B145,'февраль 2024'!$J$6:$J$1413,Y$1)</f>
        <v>0</v>
      </c>
      <c r="Z145" s="80">
        <f>SUMIFS('февраль 2024'!$G$6:$G$1413,'февраль 2024'!$D$6:$D$1413,$B145,'февраль 2024'!$J$6:$J$1413,Z$1)</f>
        <v>0</v>
      </c>
      <c r="AA145" s="80">
        <f>SUMIFS('февраль 2024'!$G$6:$G$1413,'февраль 2024'!$D$6:$D$1413,$B145,'февраль 2024'!$J$6:$J$1413,AA$1)</f>
        <v>0</v>
      </c>
      <c r="AB145" s="80">
        <f>SUMIFS('февраль 2024'!$G$6:$G$1413,'февраль 2024'!$D$6:$D$1413,$B145,'февраль 2024'!$J$6:$J$1413,AB$1)</f>
        <v>0</v>
      </c>
      <c r="AC145" s="80">
        <f>SUMIFS('февраль 2024'!$G$6:$G$1413,'февраль 2024'!$D$6:$D$1413,$B145,'февраль 2024'!$J$6:$J$1413,AC$1)</f>
        <v>0</v>
      </c>
      <c r="AD145" s="80">
        <f>SUMIFS('февраль 2024'!$G$6:$G$1413,'февраль 2024'!$D$6:$D$1413,$B145,'февраль 2024'!$J$6:$J$1413,AD$1)</f>
        <v>0</v>
      </c>
      <c r="AE145" s="80">
        <f>SUMIFS('февраль 2024'!$G$6:$G$1413,'февраль 2024'!$D$6:$D$1413,$B145,'февраль 2024'!$J$6:$J$1413,AE$1)</f>
        <v>0</v>
      </c>
      <c r="AF145" s="80">
        <f>SUMIFS('февраль 2024'!$G$6:$G$1413,'февраль 2024'!$D$6:$D$1413,$B145,'февраль 2024'!$J$6:$J$1413,AF$1)</f>
        <v>0</v>
      </c>
      <c r="AG145" s="80">
        <f>SUMIFS('февраль 2024'!$G$6:$G$1413,'февраль 2024'!$D$6:$D$1413,$B145,'февраль 2024'!$J$6:$J$1413,AG$1)</f>
        <v>0</v>
      </c>
      <c r="AH145" s="80">
        <f>SUMIFS('февраль 2024'!$G$6:$G$1413,'февраль 2024'!$D$6:$D$1413,$B145,'февраль 2024'!$J$6:$J$1413,AH$1)</f>
        <v>0</v>
      </c>
      <c r="AI145" s="87"/>
    </row>
    <row r="146" spans="2:35" ht="15" hidden="1" customHeight="1" x14ac:dyDescent="0.25">
      <c r="B146" s="92"/>
      <c r="C146" s="91"/>
      <c r="D146" s="80">
        <f>SUMIFS('февраль 2024'!$G$6:$G$1413,'февраль 2024'!$D$6:$D$1413,$B146,'февраль 2024'!$J$6:$J$1413,D$1)</f>
        <v>0</v>
      </c>
      <c r="E146" s="80">
        <f>SUMIFS('февраль 2024'!$G$6:$G$1413,'февраль 2024'!$D$6:$D$1413,$B146,'февраль 2024'!$J$6:$J$1413,E$1)</f>
        <v>0</v>
      </c>
      <c r="F146" s="80">
        <f>SUMIFS('февраль 2024'!$G$6:$G$1413,'февраль 2024'!$D$6:$D$1413,$B146,'февраль 2024'!$J$6:$J$1413,F$1)</f>
        <v>0</v>
      </c>
      <c r="G146" s="80">
        <f>SUMIFS('февраль 2024'!$G$6:$G$1413,'февраль 2024'!$D$6:$D$1413,$B146,'февраль 2024'!$J$6:$J$1413,G$1)</f>
        <v>0</v>
      </c>
      <c r="H146" s="80">
        <f>SUMIFS('февраль 2024'!$G$6:$G$1413,'февраль 2024'!$D$6:$D$1413,$B146,'февраль 2024'!$J$6:$J$1413,H$1)</f>
        <v>0</v>
      </c>
      <c r="I146" s="80">
        <f>SUMIFS('февраль 2024'!$G$6:$G$1413,'февраль 2024'!$D$6:$D$1413,$B146,'февраль 2024'!$J$6:$J$1413,I$1)</f>
        <v>0</v>
      </c>
      <c r="J146" s="80">
        <f>SUMIFS('февраль 2024'!$G$6:$G$1413,'февраль 2024'!$D$6:$D$1413,$B146,'февраль 2024'!$J$6:$J$1413,J$1)</f>
        <v>0</v>
      </c>
      <c r="K146" s="80">
        <f>SUMIFS('февраль 2024'!$G$6:$G$1413,'февраль 2024'!$D$6:$D$1413,$B146,'февраль 2024'!$J$6:$J$1413,K$1)</f>
        <v>0</v>
      </c>
      <c r="L146" s="80">
        <f>SUMIFS('февраль 2024'!$G$6:$G$1413,'февраль 2024'!$D$6:$D$1413,$B146,'февраль 2024'!$J$6:$J$1413,L$1)</f>
        <v>0</v>
      </c>
      <c r="M146" s="80">
        <f>SUMIFS('февраль 2024'!$G$6:$G$1413,'февраль 2024'!$D$6:$D$1413,$B146,'февраль 2024'!$J$6:$J$1413,M$1)</f>
        <v>0</v>
      </c>
      <c r="N146" s="80">
        <f>SUMIFS('февраль 2024'!$G$6:$G$1413,'февраль 2024'!$D$6:$D$1413,$B146,'февраль 2024'!$J$6:$J$1413,N$1)</f>
        <v>0</v>
      </c>
      <c r="O146" s="80">
        <f>SUMIFS('февраль 2024'!$G$6:$G$1413,'февраль 2024'!$D$6:$D$1413,$B146,'февраль 2024'!$J$6:$J$1413,O$1)</f>
        <v>0</v>
      </c>
      <c r="P146" s="80">
        <f>SUMIFS('февраль 2024'!$G$6:$G$1413,'февраль 2024'!$D$6:$D$1413,$B146,'февраль 2024'!$J$6:$J$1413,P$1)</f>
        <v>0</v>
      </c>
      <c r="Q146" s="80">
        <f>SUMIFS('февраль 2024'!$G$6:$G$1413,'февраль 2024'!$D$6:$D$1413,$B146,'февраль 2024'!$J$6:$J$1413,Q$1)</f>
        <v>0</v>
      </c>
      <c r="R146" s="80">
        <f>SUMIFS('февраль 2024'!$G$6:$G$1413,'февраль 2024'!$D$6:$D$1413,$B146,'февраль 2024'!$J$6:$J$1413,R$1)</f>
        <v>0</v>
      </c>
      <c r="S146" s="80">
        <f>SUMIFS('февраль 2024'!$G$6:$G$1413,'февраль 2024'!$D$6:$D$1413,$B146,'февраль 2024'!$J$6:$J$1413,S$1)</f>
        <v>0</v>
      </c>
      <c r="T146" s="80">
        <f>SUMIFS('февраль 2024'!$G$6:$G$1413,'февраль 2024'!$D$6:$D$1413,$B146,'февраль 2024'!$J$6:$J$1413,T$1)</f>
        <v>0</v>
      </c>
      <c r="U146" s="80">
        <f>SUMIFS('февраль 2024'!$G$6:$G$1413,'февраль 2024'!$D$6:$D$1413,$B146,'февраль 2024'!$J$6:$J$1413,U$1)</f>
        <v>0</v>
      </c>
      <c r="V146" s="80">
        <f>SUMIFS('февраль 2024'!$G$6:$G$1413,'февраль 2024'!$D$6:$D$1413,$B146,'февраль 2024'!$J$6:$J$1413,V$1)</f>
        <v>0</v>
      </c>
      <c r="W146" s="80">
        <f>SUMIFS('февраль 2024'!$G$6:$G$1413,'февраль 2024'!$D$6:$D$1413,$B146,'февраль 2024'!$J$6:$J$1413,W$1)</f>
        <v>0</v>
      </c>
      <c r="X146" s="80">
        <f>SUMIFS('февраль 2024'!$G$6:$G$1413,'февраль 2024'!$D$6:$D$1413,$B146,'февраль 2024'!$J$6:$J$1413,X$1)</f>
        <v>0</v>
      </c>
      <c r="Y146" s="80">
        <f>SUMIFS('февраль 2024'!$G$6:$G$1413,'февраль 2024'!$D$6:$D$1413,$B146,'февраль 2024'!$J$6:$J$1413,Y$1)</f>
        <v>0</v>
      </c>
      <c r="Z146" s="80">
        <f>SUMIFS('февраль 2024'!$G$6:$G$1413,'февраль 2024'!$D$6:$D$1413,$B146,'февраль 2024'!$J$6:$J$1413,Z$1)</f>
        <v>0</v>
      </c>
      <c r="AA146" s="80">
        <f>SUMIFS('февраль 2024'!$G$6:$G$1413,'февраль 2024'!$D$6:$D$1413,$B146,'февраль 2024'!$J$6:$J$1413,AA$1)</f>
        <v>0</v>
      </c>
      <c r="AB146" s="80">
        <f>SUMIFS('февраль 2024'!$G$6:$G$1413,'февраль 2024'!$D$6:$D$1413,$B146,'февраль 2024'!$J$6:$J$1413,AB$1)</f>
        <v>0</v>
      </c>
      <c r="AC146" s="80">
        <f>SUMIFS('февраль 2024'!$G$6:$G$1413,'февраль 2024'!$D$6:$D$1413,$B146,'февраль 2024'!$J$6:$J$1413,AC$1)</f>
        <v>0</v>
      </c>
      <c r="AD146" s="80">
        <f>SUMIFS('февраль 2024'!$G$6:$G$1413,'февраль 2024'!$D$6:$D$1413,$B146,'февраль 2024'!$J$6:$J$1413,AD$1)</f>
        <v>0</v>
      </c>
      <c r="AE146" s="80">
        <f>SUMIFS('февраль 2024'!$G$6:$G$1413,'февраль 2024'!$D$6:$D$1413,$B146,'февраль 2024'!$J$6:$J$1413,AE$1)</f>
        <v>0</v>
      </c>
      <c r="AF146" s="80">
        <f>SUMIFS('февраль 2024'!$G$6:$G$1413,'февраль 2024'!$D$6:$D$1413,$B146,'февраль 2024'!$J$6:$J$1413,AF$1)</f>
        <v>0</v>
      </c>
      <c r="AG146" s="80">
        <f>SUMIFS('февраль 2024'!$G$6:$G$1413,'февраль 2024'!$D$6:$D$1413,$B146,'февраль 2024'!$J$6:$J$1413,AG$1)</f>
        <v>0</v>
      </c>
      <c r="AH146" s="80">
        <f>SUMIFS('февраль 2024'!$G$6:$G$1413,'февраль 2024'!$D$6:$D$1413,$B146,'февраль 2024'!$J$6:$J$1413,AH$1)</f>
        <v>0</v>
      </c>
      <c r="AI146" s="87"/>
    </row>
    <row r="147" spans="2:35" ht="15" hidden="1" customHeight="1" x14ac:dyDescent="0.25">
      <c r="B147" s="89"/>
      <c r="C147" s="91"/>
      <c r="D147" s="80">
        <f>SUMIFS('февраль 2024'!$G$6:$G$1413,'февраль 2024'!$D$6:$D$1413,$B147,'февраль 2024'!$J$6:$J$1413,D$1)</f>
        <v>0</v>
      </c>
      <c r="E147" s="80">
        <f>SUMIFS('февраль 2024'!$G$6:$G$1413,'февраль 2024'!$D$6:$D$1413,$B147,'февраль 2024'!$J$6:$J$1413,E$1)</f>
        <v>0</v>
      </c>
      <c r="F147" s="80">
        <f>SUMIFS('февраль 2024'!$G$6:$G$1413,'февраль 2024'!$D$6:$D$1413,$B147,'февраль 2024'!$J$6:$J$1413,F$1)</f>
        <v>0</v>
      </c>
      <c r="G147" s="80">
        <f>SUMIFS('февраль 2024'!$G$6:$G$1413,'февраль 2024'!$D$6:$D$1413,$B147,'февраль 2024'!$J$6:$J$1413,G$1)</f>
        <v>0</v>
      </c>
      <c r="H147" s="80">
        <f>SUMIFS('февраль 2024'!$G$6:$G$1413,'февраль 2024'!$D$6:$D$1413,$B147,'февраль 2024'!$J$6:$J$1413,H$1)</f>
        <v>0</v>
      </c>
      <c r="I147" s="80">
        <f>SUMIFS('февраль 2024'!$G$6:$G$1413,'февраль 2024'!$D$6:$D$1413,$B147,'февраль 2024'!$J$6:$J$1413,I$1)</f>
        <v>0</v>
      </c>
      <c r="J147" s="80">
        <f>SUMIFS('февраль 2024'!$G$6:$G$1413,'февраль 2024'!$D$6:$D$1413,$B147,'февраль 2024'!$J$6:$J$1413,J$1)</f>
        <v>0</v>
      </c>
      <c r="K147" s="80">
        <f>SUMIFS('февраль 2024'!$G$6:$G$1413,'февраль 2024'!$D$6:$D$1413,$B147,'февраль 2024'!$J$6:$J$1413,K$1)</f>
        <v>0</v>
      </c>
      <c r="L147" s="80">
        <f>SUMIFS('февраль 2024'!$G$6:$G$1413,'февраль 2024'!$D$6:$D$1413,$B147,'февраль 2024'!$J$6:$J$1413,L$1)</f>
        <v>0</v>
      </c>
      <c r="M147" s="80">
        <f>SUMIFS('февраль 2024'!$G$6:$G$1413,'февраль 2024'!$D$6:$D$1413,$B147,'февраль 2024'!$J$6:$J$1413,M$1)</f>
        <v>0</v>
      </c>
      <c r="N147" s="80">
        <f>SUMIFS('февраль 2024'!$G$6:$G$1413,'февраль 2024'!$D$6:$D$1413,$B147,'февраль 2024'!$J$6:$J$1413,N$1)</f>
        <v>0</v>
      </c>
      <c r="O147" s="80">
        <f>SUMIFS('февраль 2024'!$G$6:$G$1413,'февраль 2024'!$D$6:$D$1413,$B147,'февраль 2024'!$J$6:$J$1413,O$1)</f>
        <v>0</v>
      </c>
      <c r="P147" s="80">
        <f>SUMIFS('февраль 2024'!$G$6:$G$1413,'февраль 2024'!$D$6:$D$1413,$B147,'февраль 2024'!$J$6:$J$1413,P$1)</f>
        <v>0</v>
      </c>
      <c r="Q147" s="80">
        <f>SUMIFS('февраль 2024'!$G$6:$G$1413,'февраль 2024'!$D$6:$D$1413,$B147,'февраль 2024'!$J$6:$J$1413,Q$1)</f>
        <v>0</v>
      </c>
      <c r="R147" s="80">
        <f>SUMIFS('февраль 2024'!$G$6:$G$1413,'февраль 2024'!$D$6:$D$1413,$B147,'февраль 2024'!$J$6:$J$1413,R$1)</f>
        <v>0</v>
      </c>
      <c r="S147" s="80">
        <f>SUMIFS('февраль 2024'!$G$6:$G$1413,'февраль 2024'!$D$6:$D$1413,$B147,'февраль 2024'!$J$6:$J$1413,S$1)</f>
        <v>0</v>
      </c>
      <c r="T147" s="80">
        <f>SUMIFS('февраль 2024'!$G$6:$G$1413,'февраль 2024'!$D$6:$D$1413,$B147,'февраль 2024'!$J$6:$J$1413,T$1)</f>
        <v>0</v>
      </c>
      <c r="U147" s="80">
        <f>SUMIFS('февраль 2024'!$G$6:$G$1413,'февраль 2024'!$D$6:$D$1413,$B147,'февраль 2024'!$J$6:$J$1413,U$1)</f>
        <v>0</v>
      </c>
      <c r="V147" s="80">
        <f>SUMIFS('февраль 2024'!$G$6:$G$1413,'февраль 2024'!$D$6:$D$1413,$B147,'февраль 2024'!$J$6:$J$1413,V$1)</f>
        <v>0</v>
      </c>
      <c r="W147" s="80">
        <f>SUMIFS('февраль 2024'!$G$6:$G$1413,'февраль 2024'!$D$6:$D$1413,$B147,'февраль 2024'!$J$6:$J$1413,W$1)</f>
        <v>0</v>
      </c>
      <c r="X147" s="80">
        <f>SUMIFS('февраль 2024'!$G$6:$G$1413,'февраль 2024'!$D$6:$D$1413,$B147,'февраль 2024'!$J$6:$J$1413,X$1)</f>
        <v>0</v>
      </c>
      <c r="Y147" s="80">
        <f>SUMIFS('февраль 2024'!$G$6:$G$1413,'февраль 2024'!$D$6:$D$1413,$B147,'февраль 2024'!$J$6:$J$1413,Y$1)</f>
        <v>0</v>
      </c>
      <c r="Z147" s="80">
        <f>SUMIFS('февраль 2024'!$G$6:$G$1413,'февраль 2024'!$D$6:$D$1413,$B147,'февраль 2024'!$J$6:$J$1413,Z$1)</f>
        <v>0</v>
      </c>
      <c r="AA147" s="80">
        <f>SUMIFS('февраль 2024'!$G$6:$G$1413,'февраль 2024'!$D$6:$D$1413,$B147,'февраль 2024'!$J$6:$J$1413,AA$1)</f>
        <v>0</v>
      </c>
      <c r="AB147" s="80">
        <f>SUMIFS('февраль 2024'!$G$6:$G$1413,'февраль 2024'!$D$6:$D$1413,$B147,'февраль 2024'!$J$6:$J$1413,AB$1)</f>
        <v>0</v>
      </c>
      <c r="AC147" s="80">
        <f>SUMIFS('февраль 2024'!$G$6:$G$1413,'февраль 2024'!$D$6:$D$1413,$B147,'февраль 2024'!$J$6:$J$1413,AC$1)</f>
        <v>0</v>
      </c>
      <c r="AD147" s="80">
        <f>SUMIFS('февраль 2024'!$G$6:$G$1413,'февраль 2024'!$D$6:$D$1413,$B147,'февраль 2024'!$J$6:$J$1413,AD$1)</f>
        <v>0</v>
      </c>
      <c r="AE147" s="80">
        <f>SUMIFS('февраль 2024'!$G$6:$G$1413,'февраль 2024'!$D$6:$D$1413,$B147,'февраль 2024'!$J$6:$J$1413,AE$1)</f>
        <v>0</v>
      </c>
      <c r="AF147" s="80">
        <f>SUMIFS('февраль 2024'!$G$6:$G$1413,'февраль 2024'!$D$6:$D$1413,$B147,'февраль 2024'!$J$6:$J$1413,AF$1)</f>
        <v>0</v>
      </c>
      <c r="AG147" s="80">
        <f>SUMIFS('февраль 2024'!$G$6:$G$1413,'февраль 2024'!$D$6:$D$1413,$B147,'февраль 2024'!$J$6:$J$1413,AG$1)</f>
        <v>0</v>
      </c>
      <c r="AH147" s="80">
        <f>SUMIFS('февраль 2024'!$G$6:$G$1413,'февраль 2024'!$D$6:$D$1413,$B147,'февраль 2024'!$J$6:$J$1413,AH$1)</f>
        <v>0</v>
      </c>
      <c r="AI147" s="87"/>
    </row>
    <row r="148" spans="2:35" ht="15" hidden="1" customHeight="1" x14ac:dyDescent="0.25">
      <c r="B148" s="89"/>
      <c r="C148" s="88"/>
      <c r="D148" s="80">
        <f>SUMIFS('февраль 2024'!$G$6:$G$1413,'февраль 2024'!$D$6:$D$1413,$B148,'февраль 2024'!$J$6:$J$1413,D$1)</f>
        <v>0</v>
      </c>
      <c r="E148" s="80">
        <f>SUMIFS('февраль 2024'!$G$6:$G$1413,'февраль 2024'!$D$6:$D$1413,$B148,'февраль 2024'!$J$6:$J$1413,E$1)</f>
        <v>0</v>
      </c>
      <c r="F148" s="80">
        <f>SUMIFS('февраль 2024'!$G$6:$G$1413,'февраль 2024'!$D$6:$D$1413,$B148,'февраль 2024'!$J$6:$J$1413,F$1)</f>
        <v>0</v>
      </c>
      <c r="G148" s="80">
        <f>SUMIFS('февраль 2024'!$G$6:$G$1413,'февраль 2024'!$D$6:$D$1413,$B148,'февраль 2024'!$J$6:$J$1413,G$1)</f>
        <v>0</v>
      </c>
      <c r="H148" s="80">
        <f>SUMIFS('февраль 2024'!$G$6:$G$1413,'февраль 2024'!$D$6:$D$1413,$B148,'февраль 2024'!$J$6:$J$1413,H$1)</f>
        <v>0</v>
      </c>
      <c r="I148" s="80">
        <f>SUMIFS('февраль 2024'!$G$6:$G$1413,'февраль 2024'!$D$6:$D$1413,$B148,'февраль 2024'!$J$6:$J$1413,I$1)</f>
        <v>0</v>
      </c>
      <c r="J148" s="80">
        <f>SUMIFS('февраль 2024'!$G$6:$G$1413,'февраль 2024'!$D$6:$D$1413,$B148,'февраль 2024'!$J$6:$J$1413,J$1)</f>
        <v>0</v>
      </c>
      <c r="K148" s="80">
        <f>SUMIFS('февраль 2024'!$G$6:$G$1413,'февраль 2024'!$D$6:$D$1413,$B148,'февраль 2024'!$J$6:$J$1413,K$1)</f>
        <v>0</v>
      </c>
      <c r="L148" s="80">
        <f>SUMIFS('февраль 2024'!$G$6:$G$1413,'февраль 2024'!$D$6:$D$1413,$B148,'февраль 2024'!$J$6:$J$1413,L$1)</f>
        <v>0</v>
      </c>
      <c r="M148" s="80">
        <f>SUMIFS('февраль 2024'!$G$6:$G$1413,'февраль 2024'!$D$6:$D$1413,$B148,'февраль 2024'!$J$6:$J$1413,M$1)</f>
        <v>0</v>
      </c>
      <c r="N148" s="80">
        <f>SUMIFS('февраль 2024'!$G$6:$G$1413,'февраль 2024'!$D$6:$D$1413,$B148,'февраль 2024'!$J$6:$J$1413,N$1)</f>
        <v>0</v>
      </c>
      <c r="O148" s="80">
        <f>SUMIFS('февраль 2024'!$G$6:$G$1413,'февраль 2024'!$D$6:$D$1413,$B148,'февраль 2024'!$J$6:$J$1413,O$1)</f>
        <v>0</v>
      </c>
      <c r="P148" s="80">
        <f>SUMIFS('февраль 2024'!$G$6:$G$1413,'февраль 2024'!$D$6:$D$1413,$B148,'февраль 2024'!$J$6:$J$1413,P$1)</f>
        <v>0</v>
      </c>
      <c r="Q148" s="80">
        <f>SUMIFS('февраль 2024'!$G$6:$G$1413,'февраль 2024'!$D$6:$D$1413,$B148,'февраль 2024'!$J$6:$J$1413,Q$1)</f>
        <v>0</v>
      </c>
      <c r="R148" s="80">
        <f>SUMIFS('февраль 2024'!$G$6:$G$1413,'февраль 2024'!$D$6:$D$1413,$B148,'февраль 2024'!$J$6:$J$1413,R$1)</f>
        <v>0</v>
      </c>
      <c r="S148" s="80">
        <f>SUMIFS('февраль 2024'!$G$6:$G$1413,'февраль 2024'!$D$6:$D$1413,$B148,'февраль 2024'!$J$6:$J$1413,S$1)</f>
        <v>0</v>
      </c>
      <c r="T148" s="80">
        <f>SUMIFS('февраль 2024'!$G$6:$G$1413,'февраль 2024'!$D$6:$D$1413,$B148,'февраль 2024'!$J$6:$J$1413,T$1)</f>
        <v>0</v>
      </c>
      <c r="U148" s="80">
        <f>SUMIFS('февраль 2024'!$G$6:$G$1413,'февраль 2024'!$D$6:$D$1413,$B148,'февраль 2024'!$J$6:$J$1413,U$1)</f>
        <v>0</v>
      </c>
      <c r="V148" s="80">
        <f>SUMIFS('февраль 2024'!$G$6:$G$1413,'февраль 2024'!$D$6:$D$1413,$B148,'февраль 2024'!$J$6:$J$1413,V$1)</f>
        <v>0</v>
      </c>
      <c r="W148" s="80">
        <f>SUMIFS('февраль 2024'!$G$6:$G$1413,'февраль 2024'!$D$6:$D$1413,$B148,'февраль 2024'!$J$6:$J$1413,W$1)</f>
        <v>0</v>
      </c>
      <c r="X148" s="80">
        <f>SUMIFS('февраль 2024'!$G$6:$G$1413,'февраль 2024'!$D$6:$D$1413,$B148,'февраль 2024'!$J$6:$J$1413,X$1)</f>
        <v>0</v>
      </c>
      <c r="Y148" s="80">
        <f>SUMIFS('февраль 2024'!$G$6:$G$1413,'февраль 2024'!$D$6:$D$1413,$B148,'февраль 2024'!$J$6:$J$1413,Y$1)</f>
        <v>0</v>
      </c>
      <c r="Z148" s="80">
        <f>SUMIFS('февраль 2024'!$G$6:$G$1413,'февраль 2024'!$D$6:$D$1413,$B148,'февраль 2024'!$J$6:$J$1413,Z$1)</f>
        <v>0</v>
      </c>
      <c r="AA148" s="80">
        <f>SUMIFS('февраль 2024'!$G$6:$G$1413,'февраль 2024'!$D$6:$D$1413,$B148,'февраль 2024'!$J$6:$J$1413,AA$1)</f>
        <v>0</v>
      </c>
      <c r="AB148" s="80">
        <f>SUMIFS('февраль 2024'!$G$6:$G$1413,'февраль 2024'!$D$6:$D$1413,$B148,'февраль 2024'!$J$6:$J$1413,AB$1)</f>
        <v>0</v>
      </c>
      <c r="AC148" s="80">
        <f>SUMIFS('февраль 2024'!$G$6:$G$1413,'февраль 2024'!$D$6:$D$1413,$B148,'февраль 2024'!$J$6:$J$1413,AC$1)</f>
        <v>0</v>
      </c>
      <c r="AD148" s="80">
        <f>SUMIFS('февраль 2024'!$G$6:$G$1413,'февраль 2024'!$D$6:$D$1413,$B148,'февраль 2024'!$J$6:$J$1413,AD$1)</f>
        <v>0</v>
      </c>
      <c r="AE148" s="80">
        <f>SUMIFS('февраль 2024'!$G$6:$G$1413,'февраль 2024'!$D$6:$D$1413,$B148,'февраль 2024'!$J$6:$J$1413,AE$1)</f>
        <v>0</v>
      </c>
      <c r="AF148" s="80">
        <f>SUMIFS('февраль 2024'!$G$6:$G$1413,'февраль 2024'!$D$6:$D$1413,$B148,'февраль 2024'!$J$6:$J$1413,AF$1)</f>
        <v>0</v>
      </c>
      <c r="AG148" s="80">
        <f>SUMIFS('февраль 2024'!$G$6:$G$1413,'февраль 2024'!$D$6:$D$1413,$B148,'февраль 2024'!$J$6:$J$1413,AG$1)</f>
        <v>0</v>
      </c>
      <c r="AH148" s="80">
        <f>SUMIFS('февраль 2024'!$G$6:$G$1413,'февраль 2024'!$D$6:$D$1413,$B148,'февраль 2024'!$J$6:$J$1413,AH$1)</f>
        <v>0</v>
      </c>
      <c r="AI148" s="87"/>
    </row>
    <row r="149" spans="2:35" ht="15" hidden="1" customHeight="1" x14ac:dyDescent="0.25">
      <c r="B149" s="89"/>
      <c r="C149" s="88"/>
      <c r="D149" s="80">
        <f>SUMIFS('февраль 2024'!$G$6:$G$1413,'февраль 2024'!$D$6:$D$1413,$B149,'февраль 2024'!$J$6:$J$1413,D$1)</f>
        <v>0</v>
      </c>
      <c r="E149" s="80">
        <f>SUMIFS('февраль 2024'!$G$6:$G$1413,'февраль 2024'!$D$6:$D$1413,$B149,'февраль 2024'!$J$6:$J$1413,E$1)</f>
        <v>0</v>
      </c>
      <c r="F149" s="80">
        <f>SUMIFS('февраль 2024'!$G$6:$G$1413,'февраль 2024'!$D$6:$D$1413,$B149,'февраль 2024'!$J$6:$J$1413,F$1)</f>
        <v>0</v>
      </c>
      <c r="G149" s="80">
        <f>SUMIFS('февраль 2024'!$G$6:$G$1413,'февраль 2024'!$D$6:$D$1413,$B149,'февраль 2024'!$J$6:$J$1413,G$1)</f>
        <v>0</v>
      </c>
      <c r="H149" s="80">
        <f>SUMIFS('февраль 2024'!$G$6:$G$1413,'февраль 2024'!$D$6:$D$1413,$B149,'февраль 2024'!$J$6:$J$1413,H$1)</f>
        <v>0</v>
      </c>
      <c r="I149" s="80">
        <f>SUMIFS('февраль 2024'!$G$6:$G$1413,'февраль 2024'!$D$6:$D$1413,$B149,'февраль 2024'!$J$6:$J$1413,I$1)</f>
        <v>0</v>
      </c>
      <c r="J149" s="80">
        <f>SUMIFS('февраль 2024'!$G$6:$G$1413,'февраль 2024'!$D$6:$D$1413,$B149,'февраль 2024'!$J$6:$J$1413,J$1)</f>
        <v>0</v>
      </c>
      <c r="K149" s="80">
        <f>SUMIFS('февраль 2024'!$G$6:$G$1413,'февраль 2024'!$D$6:$D$1413,$B149,'февраль 2024'!$J$6:$J$1413,K$1)</f>
        <v>0</v>
      </c>
      <c r="L149" s="80">
        <f>SUMIFS('февраль 2024'!$G$6:$G$1413,'февраль 2024'!$D$6:$D$1413,$B149,'февраль 2024'!$J$6:$J$1413,L$1)</f>
        <v>0</v>
      </c>
      <c r="M149" s="80">
        <f>SUMIFS('февраль 2024'!$G$6:$G$1413,'февраль 2024'!$D$6:$D$1413,$B149,'февраль 2024'!$J$6:$J$1413,M$1)</f>
        <v>0</v>
      </c>
      <c r="N149" s="80">
        <f>SUMIFS('февраль 2024'!$G$6:$G$1413,'февраль 2024'!$D$6:$D$1413,$B149,'февраль 2024'!$J$6:$J$1413,N$1)</f>
        <v>0</v>
      </c>
      <c r="O149" s="80">
        <f>SUMIFS('февраль 2024'!$G$6:$G$1413,'февраль 2024'!$D$6:$D$1413,$B149,'февраль 2024'!$J$6:$J$1413,O$1)</f>
        <v>0</v>
      </c>
      <c r="P149" s="80">
        <f>SUMIFS('февраль 2024'!$G$6:$G$1413,'февраль 2024'!$D$6:$D$1413,$B149,'февраль 2024'!$J$6:$J$1413,P$1)</f>
        <v>0</v>
      </c>
      <c r="Q149" s="80">
        <f>SUMIFS('февраль 2024'!$G$6:$G$1413,'февраль 2024'!$D$6:$D$1413,$B149,'февраль 2024'!$J$6:$J$1413,Q$1)</f>
        <v>0</v>
      </c>
      <c r="R149" s="80">
        <f>SUMIFS('февраль 2024'!$G$6:$G$1413,'февраль 2024'!$D$6:$D$1413,$B149,'февраль 2024'!$J$6:$J$1413,R$1)</f>
        <v>0</v>
      </c>
      <c r="S149" s="80">
        <f>SUMIFS('февраль 2024'!$G$6:$G$1413,'февраль 2024'!$D$6:$D$1413,$B149,'февраль 2024'!$J$6:$J$1413,S$1)</f>
        <v>0</v>
      </c>
      <c r="T149" s="80">
        <f>SUMIFS('февраль 2024'!$G$6:$G$1413,'февраль 2024'!$D$6:$D$1413,$B149,'февраль 2024'!$J$6:$J$1413,T$1)</f>
        <v>0</v>
      </c>
      <c r="U149" s="80">
        <f>SUMIFS('февраль 2024'!$G$6:$G$1413,'февраль 2024'!$D$6:$D$1413,$B149,'февраль 2024'!$J$6:$J$1413,U$1)</f>
        <v>0</v>
      </c>
      <c r="V149" s="80">
        <f>SUMIFS('февраль 2024'!$G$6:$G$1413,'февраль 2024'!$D$6:$D$1413,$B149,'февраль 2024'!$J$6:$J$1413,V$1)</f>
        <v>0</v>
      </c>
      <c r="W149" s="80">
        <f>SUMIFS('февраль 2024'!$G$6:$G$1413,'февраль 2024'!$D$6:$D$1413,$B149,'февраль 2024'!$J$6:$J$1413,W$1)</f>
        <v>0</v>
      </c>
      <c r="X149" s="80">
        <f>SUMIFS('февраль 2024'!$G$6:$G$1413,'февраль 2024'!$D$6:$D$1413,$B149,'февраль 2024'!$J$6:$J$1413,X$1)</f>
        <v>0</v>
      </c>
      <c r="Y149" s="80">
        <f>SUMIFS('февраль 2024'!$G$6:$G$1413,'февраль 2024'!$D$6:$D$1413,$B149,'февраль 2024'!$J$6:$J$1413,Y$1)</f>
        <v>0</v>
      </c>
      <c r="Z149" s="80">
        <f>SUMIFS('февраль 2024'!$G$6:$G$1413,'февраль 2024'!$D$6:$D$1413,$B149,'февраль 2024'!$J$6:$J$1413,Z$1)</f>
        <v>0</v>
      </c>
      <c r="AA149" s="80">
        <f>SUMIFS('февраль 2024'!$G$6:$G$1413,'февраль 2024'!$D$6:$D$1413,$B149,'февраль 2024'!$J$6:$J$1413,AA$1)</f>
        <v>0</v>
      </c>
      <c r="AB149" s="80">
        <f>SUMIFS('февраль 2024'!$G$6:$G$1413,'февраль 2024'!$D$6:$D$1413,$B149,'февраль 2024'!$J$6:$J$1413,AB$1)</f>
        <v>0</v>
      </c>
      <c r="AC149" s="80">
        <f>SUMIFS('февраль 2024'!$G$6:$G$1413,'февраль 2024'!$D$6:$D$1413,$B149,'февраль 2024'!$J$6:$J$1413,AC$1)</f>
        <v>0</v>
      </c>
      <c r="AD149" s="80">
        <f>SUMIFS('февраль 2024'!$G$6:$G$1413,'февраль 2024'!$D$6:$D$1413,$B149,'февраль 2024'!$J$6:$J$1413,AD$1)</f>
        <v>0</v>
      </c>
      <c r="AE149" s="80">
        <f>SUMIFS('февраль 2024'!$G$6:$G$1413,'февраль 2024'!$D$6:$D$1413,$B149,'февраль 2024'!$J$6:$J$1413,AE$1)</f>
        <v>0</v>
      </c>
      <c r="AF149" s="80">
        <f>SUMIFS('февраль 2024'!$G$6:$G$1413,'февраль 2024'!$D$6:$D$1413,$B149,'февраль 2024'!$J$6:$J$1413,AF$1)</f>
        <v>0</v>
      </c>
      <c r="AG149" s="80">
        <f>SUMIFS('февраль 2024'!$G$6:$G$1413,'февраль 2024'!$D$6:$D$1413,$B149,'февраль 2024'!$J$6:$J$1413,AG$1)</f>
        <v>0</v>
      </c>
      <c r="AH149" s="80">
        <f>SUMIFS('февраль 2024'!$G$6:$G$1413,'февраль 2024'!$D$6:$D$1413,$B149,'февраль 2024'!$J$6:$J$1413,AH$1)</f>
        <v>0</v>
      </c>
      <c r="AI149" s="87"/>
    </row>
    <row r="150" spans="2:35" ht="15" hidden="1" customHeight="1" x14ac:dyDescent="0.25">
      <c r="B150" s="89"/>
      <c r="C150" s="88"/>
      <c r="D150" s="80">
        <f>SUMIFS('февраль 2024'!$G$6:$G$1413,'февраль 2024'!$D$6:$D$1413,$B150,'февраль 2024'!$J$6:$J$1413,D$1)</f>
        <v>0</v>
      </c>
      <c r="E150" s="80">
        <f>SUMIFS('февраль 2024'!$G$6:$G$1413,'февраль 2024'!$D$6:$D$1413,$B150,'февраль 2024'!$J$6:$J$1413,E$1)</f>
        <v>0</v>
      </c>
      <c r="F150" s="80">
        <f>SUMIFS('февраль 2024'!$G$6:$G$1413,'февраль 2024'!$D$6:$D$1413,$B150,'февраль 2024'!$J$6:$J$1413,F$1)</f>
        <v>0</v>
      </c>
      <c r="G150" s="80">
        <f>SUMIFS('февраль 2024'!$G$6:$G$1413,'февраль 2024'!$D$6:$D$1413,$B150,'февраль 2024'!$J$6:$J$1413,G$1)</f>
        <v>0</v>
      </c>
      <c r="H150" s="80">
        <f>SUMIFS('февраль 2024'!$G$6:$G$1413,'февраль 2024'!$D$6:$D$1413,$B150,'февраль 2024'!$J$6:$J$1413,H$1)</f>
        <v>0</v>
      </c>
      <c r="I150" s="80">
        <f>SUMIFS('февраль 2024'!$G$6:$G$1413,'февраль 2024'!$D$6:$D$1413,$B150,'февраль 2024'!$J$6:$J$1413,I$1)</f>
        <v>0</v>
      </c>
      <c r="J150" s="80">
        <f>SUMIFS('февраль 2024'!$G$6:$G$1413,'февраль 2024'!$D$6:$D$1413,$B150,'февраль 2024'!$J$6:$J$1413,J$1)</f>
        <v>0</v>
      </c>
      <c r="K150" s="80">
        <f>SUMIFS('февраль 2024'!$G$6:$G$1413,'февраль 2024'!$D$6:$D$1413,$B150,'февраль 2024'!$J$6:$J$1413,K$1)</f>
        <v>0</v>
      </c>
      <c r="L150" s="80">
        <f>SUMIFS('февраль 2024'!$G$6:$G$1413,'февраль 2024'!$D$6:$D$1413,$B150,'февраль 2024'!$J$6:$J$1413,L$1)</f>
        <v>0</v>
      </c>
      <c r="M150" s="80">
        <f>SUMIFS('февраль 2024'!$G$6:$G$1413,'февраль 2024'!$D$6:$D$1413,$B150,'февраль 2024'!$J$6:$J$1413,M$1)</f>
        <v>0</v>
      </c>
      <c r="N150" s="80">
        <f>SUMIFS('февраль 2024'!$G$6:$G$1413,'февраль 2024'!$D$6:$D$1413,$B150,'февраль 2024'!$J$6:$J$1413,N$1)</f>
        <v>0</v>
      </c>
      <c r="O150" s="80">
        <f>SUMIFS('февраль 2024'!$G$6:$G$1413,'февраль 2024'!$D$6:$D$1413,$B150,'февраль 2024'!$J$6:$J$1413,O$1)</f>
        <v>0</v>
      </c>
      <c r="P150" s="80">
        <f>SUMIFS('февраль 2024'!$G$6:$G$1413,'февраль 2024'!$D$6:$D$1413,$B150,'февраль 2024'!$J$6:$J$1413,P$1)</f>
        <v>0</v>
      </c>
      <c r="Q150" s="80">
        <f>SUMIFS('февраль 2024'!$G$6:$G$1413,'февраль 2024'!$D$6:$D$1413,$B150,'февраль 2024'!$J$6:$J$1413,Q$1)</f>
        <v>0</v>
      </c>
      <c r="R150" s="80">
        <f>SUMIFS('февраль 2024'!$G$6:$G$1413,'февраль 2024'!$D$6:$D$1413,$B150,'февраль 2024'!$J$6:$J$1413,R$1)</f>
        <v>0</v>
      </c>
      <c r="S150" s="80">
        <f>SUMIFS('февраль 2024'!$G$6:$G$1413,'февраль 2024'!$D$6:$D$1413,$B150,'февраль 2024'!$J$6:$J$1413,S$1)</f>
        <v>0</v>
      </c>
      <c r="T150" s="80">
        <f>SUMIFS('февраль 2024'!$G$6:$G$1413,'февраль 2024'!$D$6:$D$1413,$B150,'февраль 2024'!$J$6:$J$1413,T$1)</f>
        <v>0</v>
      </c>
      <c r="U150" s="80">
        <f>SUMIFS('февраль 2024'!$G$6:$G$1413,'февраль 2024'!$D$6:$D$1413,$B150,'февраль 2024'!$J$6:$J$1413,U$1)</f>
        <v>0</v>
      </c>
      <c r="V150" s="80">
        <f>SUMIFS('февраль 2024'!$G$6:$G$1413,'февраль 2024'!$D$6:$D$1413,$B150,'февраль 2024'!$J$6:$J$1413,V$1)</f>
        <v>0</v>
      </c>
      <c r="W150" s="80">
        <f>SUMIFS('февраль 2024'!$G$6:$G$1413,'февраль 2024'!$D$6:$D$1413,$B150,'февраль 2024'!$J$6:$J$1413,W$1)</f>
        <v>0</v>
      </c>
      <c r="X150" s="80">
        <f>SUMIFS('февраль 2024'!$G$6:$G$1413,'февраль 2024'!$D$6:$D$1413,$B150,'февраль 2024'!$J$6:$J$1413,X$1)</f>
        <v>0</v>
      </c>
      <c r="Y150" s="80">
        <f>SUMIFS('февраль 2024'!$G$6:$G$1413,'февраль 2024'!$D$6:$D$1413,$B150,'февраль 2024'!$J$6:$J$1413,Y$1)</f>
        <v>0</v>
      </c>
      <c r="Z150" s="80">
        <f>SUMIFS('февраль 2024'!$G$6:$G$1413,'февраль 2024'!$D$6:$D$1413,$B150,'февраль 2024'!$J$6:$J$1413,Z$1)</f>
        <v>0</v>
      </c>
      <c r="AA150" s="80">
        <f>SUMIFS('февраль 2024'!$G$6:$G$1413,'февраль 2024'!$D$6:$D$1413,$B150,'февраль 2024'!$J$6:$J$1413,AA$1)</f>
        <v>0</v>
      </c>
      <c r="AB150" s="80">
        <f>SUMIFS('февраль 2024'!$G$6:$G$1413,'февраль 2024'!$D$6:$D$1413,$B150,'февраль 2024'!$J$6:$J$1413,AB$1)</f>
        <v>0</v>
      </c>
      <c r="AC150" s="80">
        <f>SUMIFS('февраль 2024'!$G$6:$G$1413,'февраль 2024'!$D$6:$D$1413,$B150,'февраль 2024'!$J$6:$J$1413,AC$1)</f>
        <v>0</v>
      </c>
      <c r="AD150" s="80">
        <f>SUMIFS('февраль 2024'!$G$6:$G$1413,'февраль 2024'!$D$6:$D$1413,$B150,'февраль 2024'!$J$6:$J$1413,AD$1)</f>
        <v>0</v>
      </c>
      <c r="AE150" s="80">
        <f>SUMIFS('февраль 2024'!$G$6:$G$1413,'февраль 2024'!$D$6:$D$1413,$B150,'февраль 2024'!$J$6:$J$1413,AE$1)</f>
        <v>0</v>
      </c>
      <c r="AF150" s="80">
        <f>SUMIFS('февраль 2024'!$G$6:$G$1413,'февраль 2024'!$D$6:$D$1413,$B150,'февраль 2024'!$J$6:$J$1413,AF$1)</f>
        <v>0</v>
      </c>
      <c r="AG150" s="80">
        <f>SUMIFS('февраль 2024'!$G$6:$G$1413,'февраль 2024'!$D$6:$D$1413,$B150,'февраль 2024'!$J$6:$J$1413,AG$1)</f>
        <v>0</v>
      </c>
      <c r="AH150" s="80">
        <f>SUMIFS('февраль 2024'!$G$6:$G$1413,'февраль 2024'!$D$6:$D$1413,$B150,'февраль 2024'!$J$6:$J$1413,AH$1)</f>
        <v>0</v>
      </c>
      <c r="AI150" s="87"/>
    </row>
    <row r="151" spans="2:35" ht="15" hidden="1" customHeight="1" x14ac:dyDescent="0.25">
      <c r="B151" s="93"/>
      <c r="C151" s="91"/>
      <c r="D151" s="80">
        <f>SUMIFS('февраль 2024'!$G$6:$G$1413,'февраль 2024'!$D$6:$D$1413,$B151,'февраль 2024'!$J$6:$J$1413,D$1)</f>
        <v>0</v>
      </c>
      <c r="E151" s="80">
        <f>SUMIFS('февраль 2024'!$G$6:$G$1413,'февраль 2024'!$D$6:$D$1413,$B151,'февраль 2024'!$J$6:$J$1413,E$1)</f>
        <v>0</v>
      </c>
      <c r="F151" s="80">
        <f>SUMIFS('февраль 2024'!$G$6:$G$1413,'февраль 2024'!$D$6:$D$1413,$B151,'февраль 2024'!$J$6:$J$1413,F$1)</f>
        <v>0</v>
      </c>
      <c r="G151" s="80">
        <f>SUMIFS('февраль 2024'!$G$6:$G$1413,'февраль 2024'!$D$6:$D$1413,$B151,'февраль 2024'!$J$6:$J$1413,G$1)</f>
        <v>0</v>
      </c>
      <c r="H151" s="80">
        <f>SUMIFS('февраль 2024'!$G$6:$G$1413,'февраль 2024'!$D$6:$D$1413,$B151,'февраль 2024'!$J$6:$J$1413,H$1)</f>
        <v>0</v>
      </c>
      <c r="I151" s="80">
        <f>SUMIFS('февраль 2024'!$G$6:$G$1413,'февраль 2024'!$D$6:$D$1413,$B151,'февраль 2024'!$J$6:$J$1413,I$1)</f>
        <v>0</v>
      </c>
      <c r="J151" s="80">
        <f>SUMIFS('февраль 2024'!$G$6:$G$1413,'февраль 2024'!$D$6:$D$1413,$B151,'февраль 2024'!$J$6:$J$1413,J$1)</f>
        <v>0</v>
      </c>
      <c r="K151" s="80">
        <f>SUMIFS('февраль 2024'!$G$6:$G$1413,'февраль 2024'!$D$6:$D$1413,$B151,'февраль 2024'!$J$6:$J$1413,K$1)</f>
        <v>0</v>
      </c>
      <c r="L151" s="80">
        <f>SUMIFS('февраль 2024'!$G$6:$G$1413,'февраль 2024'!$D$6:$D$1413,$B151,'февраль 2024'!$J$6:$J$1413,L$1)</f>
        <v>0</v>
      </c>
      <c r="M151" s="80">
        <f>SUMIFS('февраль 2024'!$G$6:$G$1413,'февраль 2024'!$D$6:$D$1413,$B151,'февраль 2024'!$J$6:$J$1413,M$1)</f>
        <v>0</v>
      </c>
      <c r="N151" s="80">
        <f>SUMIFS('февраль 2024'!$G$6:$G$1413,'февраль 2024'!$D$6:$D$1413,$B151,'февраль 2024'!$J$6:$J$1413,N$1)</f>
        <v>0</v>
      </c>
      <c r="O151" s="80">
        <f>SUMIFS('февраль 2024'!$G$6:$G$1413,'февраль 2024'!$D$6:$D$1413,$B151,'февраль 2024'!$J$6:$J$1413,O$1)</f>
        <v>0</v>
      </c>
      <c r="P151" s="80">
        <f>SUMIFS('февраль 2024'!$G$6:$G$1413,'февраль 2024'!$D$6:$D$1413,$B151,'февраль 2024'!$J$6:$J$1413,P$1)</f>
        <v>0</v>
      </c>
      <c r="Q151" s="80">
        <f>SUMIFS('февраль 2024'!$G$6:$G$1413,'февраль 2024'!$D$6:$D$1413,$B151,'февраль 2024'!$J$6:$J$1413,Q$1)</f>
        <v>0</v>
      </c>
      <c r="R151" s="80">
        <f>SUMIFS('февраль 2024'!$G$6:$G$1413,'февраль 2024'!$D$6:$D$1413,$B151,'февраль 2024'!$J$6:$J$1413,R$1)</f>
        <v>0</v>
      </c>
      <c r="S151" s="80">
        <f>SUMIFS('февраль 2024'!$G$6:$G$1413,'февраль 2024'!$D$6:$D$1413,$B151,'февраль 2024'!$J$6:$J$1413,S$1)</f>
        <v>0</v>
      </c>
      <c r="T151" s="80">
        <f>SUMIFS('февраль 2024'!$G$6:$G$1413,'февраль 2024'!$D$6:$D$1413,$B151,'февраль 2024'!$J$6:$J$1413,T$1)</f>
        <v>0</v>
      </c>
      <c r="U151" s="80">
        <f>SUMIFS('февраль 2024'!$G$6:$G$1413,'февраль 2024'!$D$6:$D$1413,$B151,'февраль 2024'!$J$6:$J$1413,U$1)</f>
        <v>0</v>
      </c>
      <c r="V151" s="80">
        <f>SUMIFS('февраль 2024'!$G$6:$G$1413,'февраль 2024'!$D$6:$D$1413,$B151,'февраль 2024'!$J$6:$J$1413,V$1)</f>
        <v>0</v>
      </c>
      <c r="W151" s="80">
        <f>SUMIFS('февраль 2024'!$G$6:$G$1413,'февраль 2024'!$D$6:$D$1413,$B151,'февраль 2024'!$J$6:$J$1413,W$1)</f>
        <v>0</v>
      </c>
      <c r="X151" s="80">
        <f>SUMIFS('февраль 2024'!$G$6:$G$1413,'февраль 2024'!$D$6:$D$1413,$B151,'февраль 2024'!$J$6:$J$1413,X$1)</f>
        <v>0</v>
      </c>
      <c r="Y151" s="80">
        <f>SUMIFS('февраль 2024'!$G$6:$G$1413,'февраль 2024'!$D$6:$D$1413,$B151,'февраль 2024'!$J$6:$J$1413,Y$1)</f>
        <v>0</v>
      </c>
      <c r="Z151" s="80">
        <f>SUMIFS('февраль 2024'!$G$6:$G$1413,'февраль 2024'!$D$6:$D$1413,$B151,'февраль 2024'!$J$6:$J$1413,Z$1)</f>
        <v>0</v>
      </c>
      <c r="AA151" s="80">
        <f>SUMIFS('февраль 2024'!$G$6:$G$1413,'февраль 2024'!$D$6:$D$1413,$B151,'февраль 2024'!$J$6:$J$1413,AA$1)</f>
        <v>0</v>
      </c>
      <c r="AB151" s="80">
        <f>SUMIFS('февраль 2024'!$G$6:$G$1413,'февраль 2024'!$D$6:$D$1413,$B151,'февраль 2024'!$J$6:$J$1413,AB$1)</f>
        <v>0</v>
      </c>
      <c r="AC151" s="80">
        <f>SUMIFS('февраль 2024'!$G$6:$G$1413,'февраль 2024'!$D$6:$D$1413,$B151,'февраль 2024'!$J$6:$J$1413,AC$1)</f>
        <v>0</v>
      </c>
      <c r="AD151" s="80">
        <f>SUMIFS('февраль 2024'!$G$6:$G$1413,'февраль 2024'!$D$6:$D$1413,$B151,'февраль 2024'!$J$6:$J$1413,AD$1)</f>
        <v>0</v>
      </c>
      <c r="AE151" s="80">
        <f>SUMIFS('февраль 2024'!$G$6:$G$1413,'февраль 2024'!$D$6:$D$1413,$B151,'февраль 2024'!$J$6:$J$1413,AE$1)</f>
        <v>0</v>
      </c>
      <c r="AF151" s="80">
        <f>SUMIFS('февраль 2024'!$G$6:$G$1413,'февраль 2024'!$D$6:$D$1413,$B151,'февраль 2024'!$J$6:$J$1413,AF$1)</f>
        <v>0</v>
      </c>
      <c r="AG151" s="80">
        <f>SUMIFS('февраль 2024'!$G$6:$G$1413,'февраль 2024'!$D$6:$D$1413,$B151,'февраль 2024'!$J$6:$J$1413,AG$1)</f>
        <v>0</v>
      </c>
      <c r="AH151" s="80">
        <f>SUMIFS('февраль 2024'!$G$6:$G$1413,'февраль 2024'!$D$6:$D$1413,$B151,'февраль 2024'!$J$6:$J$1413,AH$1)</f>
        <v>0</v>
      </c>
      <c r="AI151" s="87"/>
    </row>
    <row r="152" spans="2:35" ht="15" hidden="1" customHeight="1" x14ac:dyDescent="0.25">
      <c r="B152" s="93"/>
      <c r="C152" s="91"/>
      <c r="D152" s="80">
        <f>SUMIFS('февраль 2024'!$G$6:$G$1413,'февраль 2024'!$D$6:$D$1413,$B152,'февраль 2024'!$J$6:$J$1413,D$1)</f>
        <v>0</v>
      </c>
      <c r="E152" s="80">
        <f>SUMIFS('февраль 2024'!$G$6:$G$1413,'февраль 2024'!$D$6:$D$1413,$B152,'февраль 2024'!$J$6:$J$1413,E$1)</f>
        <v>0</v>
      </c>
      <c r="F152" s="80">
        <f>SUMIFS('февраль 2024'!$G$6:$G$1413,'февраль 2024'!$D$6:$D$1413,$B152,'февраль 2024'!$J$6:$J$1413,F$1)</f>
        <v>0</v>
      </c>
      <c r="G152" s="80">
        <f>SUMIFS('февраль 2024'!$G$6:$G$1413,'февраль 2024'!$D$6:$D$1413,$B152,'февраль 2024'!$J$6:$J$1413,G$1)</f>
        <v>0</v>
      </c>
      <c r="H152" s="80">
        <f>SUMIFS('февраль 2024'!$G$6:$G$1413,'февраль 2024'!$D$6:$D$1413,$B152,'февраль 2024'!$J$6:$J$1413,H$1)</f>
        <v>0</v>
      </c>
      <c r="I152" s="80">
        <f>SUMIFS('февраль 2024'!$G$6:$G$1413,'февраль 2024'!$D$6:$D$1413,$B152,'февраль 2024'!$J$6:$J$1413,I$1)</f>
        <v>0</v>
      </c>
      <c r="J152" s="80">
        <f>SUMIFS('февраль 2024'!$G$6:$G$1413,'февраль 2024'!$D$6:$D$1413,$B152,'февраль 2024'!$J$6:$J$1413,J$1)</f>
        <v>0</v>
      </c>
      <c r="K152" s="80">
        <f>SUMIFS('февраль 2024'!$G$6:$G$1413,'февраль 2024'!$D$6:$D$1413,$B152,'февраль 2024'!$J$6:$J$1413,K$1)</f>
        <v>0</v>
      </c>
      <c r="L152" s="80">
        <f>SUMIFS('февраль 2024'!$G$6:$G$1413,'февраль 2024'!$D$6:$D$1413,$B152,'февраль 2024'!$J$6:$J$1413,L$1)</f>
        <v>0</v>
      </c>
      <c r="M152" s="80">
        <f>SUMIFS('февраль 2024'!$G$6:$G$1413,'февраль 2024'!$D$6:$D$1413,$B152,'февраль 2024'!$J$6:$J$1413,M$1)</f>
        <v>0</v>
      </c>
      <c r="N152" s="80">
        <f>SUMIFS('февраль 2024'!$G$6:$G$1413,'февраль 2024'!$D$6:$D$1413,$B152,'февраль 2024'!$J$6:$J$1413,N$1)</f>
        <v>0</v>
      </c>
      <c r="O152" s="80">
        <f>SUMIFS('февраль 2024'!$G$6:$G$1413,'февраль 2024'!$D$6:$D$1413,$B152,'февраль 2024'!$J$6:$J$1413,O$1)</f>
        <v>0</v>
      </c>
      <c r="P152" s="80">
        <f>SUMIFS('февраль 2024'!$G$6:$G$1413,'февраль 2024'!$D$6:$D$1413,$B152,'февраль 2024'!$J$6:$J$1413,P$1)</f>
        <v>0</v>
      </c>
      <c r="Q152" s="80">
        <f>SUMIFS('февраль 2024'!$G$6:$G$1413,'февраль 2024'!$D$6:$D$1413,$B152,'февраль 2024'!$J$6:$J$1413,Q$1)</f>
        <v>0</v>
      </c>
      <c r="R152" s="80">
        <f>SUMIFS('февраль 2024'!$G$6:$G$1413,'февраль 2024'!$D$6:$D$1413,$B152,'февраль 2024'!$J$6:$J$1413,R$1)</f>
        <v>0</v>
      </c>
      <c r="S152" s="80">
        <f>SUMIFS('февраль 2024'!$G$6:$G$1413,'февраль 2024'!$D$6:$D$1413,$B152,'февраль 2024'!$J$6:$J$1413,S$1)</f>
        <v>0</v>
      </c>
      <c r="T152" s="80">
        <f>SUMIFS('февраль 2024'!$G$6:$G$1413,'февраль 2024'!$D$6:$D$1413,$B152,'февраль 2024'!$J$6:$J$1413,T$1)</f>
        <v>0</v>
      </c>
      <c r="U152" s="80">
        <f>SUMIFS('февраль 2024'!$G$6:$G$1413,'февраль 2024'!$D$6:$D$1413,$B152,'февраль 2024'!$J$6:$J$1413,U$1)</f>
        <v>0</v>
      </c>
      <c r="V152" s="80">
        <f>SUMIFS('февраль 2024'!$G$6:$G$1413,'февраль 2024'!$D$6:$D$1413,$B152,'февраль 2024'!$J$6:$J$1413,V$1)</f>
        <v>0</v>
      </c>
      <c r="W152" s="80">
        <f>SUMIFS('февраль 2024'!$G$6:$G$1413,'февраль 2024'!$D$6:$D$1413,$B152,'февраль 2024'!$J$6:$J$1413,W$1)</f>
        <v>0</v>
      </c>
      <c r="X152" s="80">
        <f>SUMIFS('февраль 2024'!$G$6:$G$1413,'февраль 2024'!$D$6:$D$1413,$B152,'февраль 2024'!$J$6:$J$1413,X$1)</f>
        <v>0</v>
      </c>
      <c r="Y152" s="80">
        <f>SUMIFS('февраль 2024'!$G$6:$G$1413,'февраль 2024'!$D$6:$D$1413,$B152,'февраль 2024'!$J$6:$J$1413,Y$1)</f>
        <v>0</v>
      </c>
      <c r="Z152" s="80">
        <f>SUMIFS('февраль 2024'!$G$6:$G$1413,'февраль 2024'!$D$6:$D$1413,$B152,'февраль 2024'!$J$6:$J$1413,Z$1)</f>
        <v>0</v>
      </c>
      <c r="AA152" s="80">
        <f>SUMIFS('февраль 2024'!$G$6:$G$1413,'февраль 2024'!$D$6:$D$1413,$B152,'февраль 2024'!$J$6:$J$1413,AA$1)</f>
        <v>0</v>
      </c>
      <c r="AB152" s="80">
        <f>SUMIFS('февраль 2024'!$G$6:$G$1413,'февраль 2024'!$D$6:$D$1413,$B152,'февраль 2024'!$J$6:$J$1413,AB$1)</f>
        <v>0</v>
      </c>
      <c r="AC152" s="80">
        <f>SUMIFS('февраль 2024'!$G$6:$G$1413,'февраль 2024'!$D$6:$D$1413,$B152,'февраль 2024'!$J$6:$J$1413,AC$1)</f>
        <v>0</v>
      </c>
      <c r="AD152" s="80">
        <f>SUMIFS('февраль 2024'!$G$6:$G$1413,'февраль 2024'!$D$6:$D$1413,$B152,'февраль 2024'!$J$6:$J$1413,AD$1)</f>
        <v>0</v>
      </c>
      <c r="AE152" s="80">
        <f>SUMIFS('февраль 2024'!$G$6:$G$1413,'февраль 2024'!$D$6:$D$1413,$B152,'февраль 2024'!$J$6:$J$1413,AE$1)</f>
        <v>0</v>
      </c>
      <c r="AF152" s="80">
        <f>SUMIFS('февраль 2024'!$G$6:$G$1413,'февраль 2024'!$D$6:$D$1413,$B152,'февраль 2024'!$J$6:$J$1413,AF$1)</f>
        <v>0</v>
      </c>
      <c r="AG152" s="80">
        <f>SUMIFS('февраль 2024'!$G$6:$G$1413,'февраль 2024'!$D$6:$D$1413,$B152,'февраль 2024'!$J$6:$J$1413,AG$1)</f>
        <v>0</v>
      </c>
      <c r="AH152" s="80">
        <f>SUMIFS('февраль 2024'!$G$6:$G$1413,'февраль 2024'!$D$6:$D$1413,$B152,'февраль 2024'!$J$6:$J$1413,AH$1)</f>
        <v>0</v>
      </c>
      <c r="AI152" s="87"/>
    </row>
    <row r="153" spans="2:35" ht="15" hidden="1" customHeight="1" x14ac:dyDescent="0.25">
      <c r="B153" s="93"/>
      <c r="C153" s="91"/>
      <c r="D153" s="80">
        <f>SUMIFS('февраль 2024'!$G$6:$G$1413,'февраль 2024'!$D$6:$D$1413,$B153,'февраль 2024'!$J$6:$J$1413,D$1)</f>
        <v>0</v>
      </c>
      <c r="E153" s="80">
        <f>SUMIFS('февраль 2024'!$G$6:$G$1413,'февраль 2024'!$D$6:$D$1413,$B153,'февраль 2024'!$J$6:$J$1413,E$1)</f>
        <v>0</v>
      </c>
      <c r="F153" s="80">
        <f>SUMIFS('февраль 2024'!$G$6:$G$1413,'февраль 2024'!$D$6:$D$1413,$B153,'февраль 2024'!$J$6:$J$1413,F$1)</f>
        <v>0</v>
      </c>
      <c r="G153" s="80">
        <f>SUMIFS('февраль 2024'!$G$6:$G$1413,'февраль 2024'!$D$6:$D$1413,$B153,'февраль 2024'!$J$6:$J$1413,G$1)</f>
        <v>0</v>
      </c>
      <c r="H153" s="80">
        <f>SUMIFS('февраль 2024'!$G$6:$G$1413,'февраль 2024'!$D$6:$D$1413,$B153,'февраль 2024'!$J$6:$J$1413,H$1)</f>
        <v>0</v>
      </c>
      <c r="I153" s="80">
        <f>SUMIFS('февраль 2024'!$G$6:$G$1413,'февраль 2024'!$D$6:$D$1413,$B153,'февраль 2024'!$J$6:$J$1413,I$1)</f>
        <v>0</v>
      </c>
      <c r="J153" s="80">
        <f>SUMIFS('февраль 2024'!$G$6:$G$1413,'февраль 2024'!$D$6:$D$1413,$B153,'февраль 2024'!$J$6:$J$1413,J$1)</f>
        <v>0</v>
      </c>
      <c r="K153" s="80">
        <f>SUMIFS('февраль 2024'!$G$6:$G$1413,'февраль 2024'!$D$6:$D$1413,$B153,'февраль 2024'!$J$6:$J$1413,K$1)</f>
        <v>0</v>
      </c>
      <c r="L153" s="80">
        <f>SUMIFS('февраль 2024'!$G$6:$G$1413,'февраль 2024'!$D$6:$D$1413,$B153,'февраль 2024'!$J$6:$J$1413,L$1)</f>
        <v>0</v>
      </c>
      <c r="M153" s="80">
        <f>SUMIFS('февраль 2024'!$G$6:$G$1413,'февраль 2024'!$D$6:$D$1413,$B153,'февраль 2024'!$J$6:$J$1413,M$1)</f>
        <v>0</v>
      </c>
      <c r="N153" s="80">
        <f>SUMIFS('февраль 2024'!$G$6:$G$1413,'февраль 2024'!$D$6:$D$1413,$B153,'февраль 2024'!$J$6:$J$1413,N$1)</f>
        <v>0</v>
      </c>
      <c r="O153" s="80">
        <f>SUMIFS('февраль 2024'!$G$6:$G$1413,'февраль 2024'!$D$6:$D$1413,$B153,'февраль 2024'!$J$6:$J$1413,O$1)</f>
        <v>0</v>
      </c>
      <c r="P153" s="80">
        <f>SUMIFS('февраль 2024'!$G$6:$G$1413,'февраль 2024'!$D$6:$D$1413,$B153,'февраль 2024'!$J$6:$J$1413,P$1)</f>
        <v>0</v>
      </c>
      <c r="Q153" s="80">
        <f>SUMIFS('февраль 2024'!$G$6:$G$1413,'февраль 2024'!$D$6:$D$1413,$B153,'февраль 2024'!$J$6:$J$1413,Q$1)</f>
        <v>0</v>
      </c>
      <c r="R153" s="80">
        <f>SUMIFS('февраль 2024'!$G$6:$G$1413,'февраль 2024'!$D$6:$D$1413,$B153,'февраль 2024'!$J$6:$J$1413,R$1)</f>
        <v>0</v>
      </c>
      <c r="S153" s="80">
        <f>SUMIFS('февраль 2024'!$G$6:$G$1413,'февраль 2024'!$D$6:$D$1413,$B153,'февраль 2024'!$J$6:$J$1413,S$1)</f>
        <v>0</v>
      </c>
      <c r="T153" s="80">
        <f>SUMIFS('февраль 2024'!$G$6:$G$1413,'февраль 2024'!$D$6:$D$1413,$B153,'февраль 2024'!$J$6:$J$1413,T$1)</f>
        <v>0</v>
      </c>
      <c r="U153" s="80">
        <f>SUMIFS('февраль 2024'!$G$6:$G$1413,'февраль 2024'!$D$6:$D$1413,$B153,'февраль 2024'!$J$6:$J$1413,U$1)</f>
        <v>0</v>
      </c>
      <c r="V153" s="80">
        <f>SUMIFS('февраль 2024'!$G$6:$G$1413,'февраль 2024'!$D$6:$D$1413,$B153,'февраль 2024'!$J$6:$J$1413,V$1)</f>
        <v>0</v>
      </c>
      <c r="W153" s="80">
        <f>SUMIFS('февраль 2024'!$G$6:$G$1413,'февраль 2024'!$D$6:$D$1413,$B153,'февраль 2024'!$J$6:$J$1413,W$1)</f>
        <v>0</v>
      </c>
      <c r="X153" s="80">
        <f>SUMIFS('февраль 2024'!$G$6:$G$1413,'февраль 2024'!$D$6:$D$1413,$B153,'февраль 2024'!$J$6:$J$1413,X$1)</f>
        <v>0</v>
      </c>
      <c r="Y153" s="80">
        <f>SUMIFS('февраль 2024'!$G$6:$G$1413,'февраль 2024'!$D$6:$D$1413,$B153,'февраль 2024'!$J$6:$J$1413,Y$1)</f>
        <v>0</v>
      </c>
      <c r="Z153" s="80">
        <f>SUMIFS('февраль 2024'!$G$6:$G$1413,'февраль 2024'!$D$6:$D$1413,$B153,'февраль 2024'!$J$6:$J$1413,Z$1)</f>
        <v>0</v>
      </c>
      <c r="AA153" s="80">
        <f>SUMIFS('февраль 2024'!$G$6:$G$1413,'февраль 2024'!$D$6:$D$1413,$B153,'февраль 2024'!$J$6:$J$1413,AA$1)</f>
        <v>0</v>
      </c>
      <c r="AB153" s="80">
        <f>SUMIFS('февраль 2024'!$G$6:$G$1413,'февраль 2024'!$D$6:$D$1413,$B153,'февраль 2024'!$J$6:$J$1413,AB$1)</f>
        <v>0</v>
      </c>
      <c r="AC153" s="80">
        <f>SUMIFS('февраль 2024'!$G$6:$G$1413,'февраль 2024'!$D$6:$D$1413,$B153,'февраль 2024'!$J$6:$J$1413,AC$1)</f>
        <v>0</v>
      </c>
      <c r="AD153" s="80">
        <f>SUMIFS('февраль 2024'!$G$6:$G$1413,'февраль 2024'!$D$6:$D$1413,$B153,'февраль 2024'!$J$6:$J$1413,AD$1)</f>
        <v>0</v>
      </c>
      <c r="AE153" s="80">
        <f>SUMIFS('февраль 2024'!$G$6:$G$1413,'февраль 2024'!$D$6:$D$1413,$B153,'февраль 2024'!$J$6:$J$1413,AE$1)</f>
        <v>0</v>
      </c>
      <c r="AF153" s="80">
        <f>SUMIFS('февраль 2024'!$G$6:$G$1413,'февраль 2024'!$D$6:$D$1413,$B153,'февраль 2024'!$J$6:$J$1413,AF$1)</f>
        <v>0</v>
      </c>
      <c r="AG153" s="80">
        <f>SUMIFS('февраль 2024'!$G$6:$G$1413,'февраль 2024'!$D$6:$D$1413,$B153,'февраль 2024'!$J$6:$J$1413,AG$1)</f>
        <v>0</v>
      </c>
      <c r="AH153" s="80">
        <f>SUMIFS('февраль 2024'!$G$6:$G$1413,'февраль 2024'!$D$6:$D$1413,$B153,'февраль 2024'!$J$6:$J$1413,AH$1)</f>
        <v>0</v>
      </c>
      <c r="AI153" s="87"/>
    </row>
    <row r="154" spans="2:35" ht="15" hidden="1" customHeight="1" x14ac:dyDescent="0.25">
      <c r="B154" s="89"/>
      <c r="C154" s="88"/>
      <c r="D154" s="80">
        <f>SUMIFS('февраль 2024'!$G$6:$G$1413,'февраль 2024'!$D$6:$D$1413,$B154,'февраль 2024'!$J$6:$J$1413,D$1)</f>
        <v>0</v>
      </c>
      <c r="E154" s="80">
        <f>SUMIFS('февраль 2024'!$G$6:$G$1413,'февраль 2024'!$D$6:$D$1413,$B154,'февраль 2024'!$J$6:$J$1413,E$1)</f>
        <v>0</v>
      </c>
      <c r="F154" s="80">
        <f>SUMIFS('февраль 2024'!$G$6:$G$1413,'февраль 2024'!$D$6:$D$1413,$B154,'февраль 2024'!$J$6:$J$1413,F$1)</f>
        <v>0</v>
      </c>
      <c r="G154" s="80">
        <f>SUMIFS('февраль 2024'!$G$6:$G$1413,'февраль 2024'!$D$6:$D$1413,$B154,'февраль 2024'!$J$6:$J$1413,G$1)</f>
        <v>0</v>
      </c>
      <c r="H154" s="80">
        <f>SUMIFS('февраль 2024'!$G$6:$G$1413,'февраль 2024'!$D$6:$D$1413,$B154,'февраль 2024'!$J$6:$J$1413,H$1)</f>
        <v>0</v>
      </c>
      <c r="I154" s="80">
        <f>SUMIFS('февраль 2024'!$G$6:$G$1413,'февраль 2024'!$D$6:$D$1413,$B154,'февраль 2024'!$J$6:$J$1413,I$1)</f>
        <v>0</v>
      </c>
      <c r="J154" s="80">
        <f>SUMIFS('февраль 2024'!$G$6:$G$1413,'февраль 2024'!$D$6:$D$1413,$B154,'февраль 2024'!$J$6:$J$1413,J$1)</f>
        <v>0</v>
      </c>
      <c r="K154" s="80">
        <f>SUMIFS('февраль 2024'!$G$6:$G$1413,'февраль 2024'!$D$6:$D$1413,$B154,'февраль 2024'!$J$6:$J$1413,K$1)</f>
        <v>0</v>
      </c>
      <c r="L154" s="80">
        <f>SUMIFS('февраль 2024'!$G$6:$G$1413,'февраль 2024'!$D$6:$D$1413,$B154,'февраль 2024'!$J$6:$J$1413,L$1)</f>
        <v>0</v>
      </c>
      <c r="M154" s="80">
        <f>SUMIFS('февраль 2024'!$G$6:$G$1413,'февраль 2024'!$D$6:$D$1413,$B154,'февраль 2024'!$J$6:$J$1413,M$1)</f>
        <v>0</v>
      </c>
      <c r="N154" s="80">
        <f>SUMIFS('февраль 2024'!$G$6:$G$1413,'февраль 2024'!$D$6:$D$1413,$B154,'февраль 2024'!$J$6:$J$1413,N$1)</f>
        <v>0</v>
      </c>
      <c r="O154" s="80">
        <f>SUMIFS('февраль 2024'!$G$6:$G$1413,'февраль 2024'!$D$6:$D$1413,$B154,'февраль 2024'!$J$6:$J$1413,O$1)</f>
        <v>0</v>
      </c>
      <c r="P154" s="80">
        <f>SUMIFS('февраль 2024'!$G$6:$G$1413,'февраль 2024'!$D$6:$D$1413,$B154,'февраль 2024'!$J$6:$J$1413,P$1)</f>
        <v>0</v>
      </c>
      <c r="Q154" s="80">
        <f>SUMIFS('февраль 2024'!$G$6:$G$1413,'февраль 2024'!$D$6:$D$1413,$B154,'февраль 2024'!$J$6:$J$1413,Q$1)</f>
        <v>0</v>
      </c>
      <c r="R154" s="80">
        <f>SUMIFS('февраль 2024'!$G$6:$G$1413,'февраль 2024'!$D$6:$D$1413,$B154,'февраль 2024'!$J$6:$J$1413,R$1)</f>
        <v>0</v>
      </c>
      <c r="S154" s="80">
        <f>SUMIFS('февраль 2024'!$G$6:$G$1413,'февраль 2024'!$D$6:$D$1413,$B154,'февраль 2024'!$J$6:$J$1413,S$1)</f>
        <v>0</v>
      </c>
      <c r="T154" s="80">
        <f>SUMIFS('февраль 2024'!$G$6:$G$1413,'февраль 2024'!$D$6:$D$1413,$B154,'февраль 2024'!$J$6:$J$1413,T$1)</f>
        <v>0</v>
      </c>
      <c r="U154" s="80">
        <f>SUMIFS('февраль 2024'!$G$6:$G$1413,'февраль 2024'!$D$6:$D$1413,$B154,'февраль 2024'!$J$6:$J$1413,U$1)</f>
        <v>0</v>
      </c>
      <c r="V154" s="80">
        <f>SUMIFS('февраль 2024'!$G$6:$G$1413,'февраль 2024'!$D$6:$D$1413,$B154,'февраль 2024'!$J$6:$J$1413,V$1)</f>
        <v>0</v>
      </c>
      <c r="W154" s="80">
        <f>SUMIFS('февраль 2024'!$G$6:$G$1413,'февраль 2024'!$D$6:$D$1413,$B154,'февраль 2024'!$J$6:$J$1413,W$1)</f>
        <v>0</v>
      </c>
      <c r="X154" s="80">
        <f>SUMIFS('февраль 2024'!$G$6:$G$1413,'февраль 2024'!$D$6:$D$1413,$B154,'февраль 2024'!$J$6:$J$1413,X$1)</f>
        <v>0</v>
      </c>
      <c r="Y154" s="80">
        <f>SUMIFS('февраль 2024'!$G$6:$G$1413,'февраль 2024'!$D$6:$D$1413,$B154,'февраль 2024'!$J$6:$J$1413,Y$1)</f>
        <v>0</v>
      </c>
      <c r="Z154" s="80">
        <f>SUMIFS('февраль 2024'!$G$6:$G$1413,'февраль 2024'!$D$6:$D$1413,$B154,'февраль 2024'!$J$6:$J$1413,Z$1)</f>
        <v>0</v>
      </c>
      <c r="AA154" s="80">
        <f>SUMIFS('февраль 2024'!$G$6:$G$1413,'февраль 2024'!$D$6:$D$1413,$B154,'февраль 2024'!$J$6:$J$1413,AA$1)</f>
        <v>0</v>
      </c>
      <c r="AB154" s="80">
        <f>SUMIFS('февраль 2024'!$G$6:$G$1413,'февраль 2024'!$D$6:$D$1413,$B154,'февраль 2024'!$J$6:$J$1413,AB$1)</f>
        <v>0</v>
      </c>
      <c r="AC154" s="80">
        <f>SUMIFS('февраль 2024'!$G$6:$G$1413,'февраль 2024'!$D$6:$D$1413,$B154,'февраль 2024'!$J$6:$J$1413,AC$1)</f>
        <v>0</v>
      </c>
      <c r="AD154" s="80">
        <f>SUMIFS('февраль 2024'!$G$6:$G$1413,'февраль 2024'!$D$6:$D$1413,$B154,'февраль 2024'!$J$6:$J$1413,AD$1)</f>
        <v>0</v>
      </c>
      <c r="AE154" s="80">
        <f>SUMIFS('февраль 2024'!$G$6:$G$1413,'февраль 2024'!$D$6:$D$1413,$B154,'февраль 2024'!$J$6:$J$1413,AE$1)</f>
        <v>0</v>
      </c>
      <c r="AF154" s="80">
        <f>SUMIFS('февраль 2024'!$G$6:$G$1413,'февраль 2024'!$D$6:$D$1413,$B154,'февраль 2024'!$J$6:$J$1413,AF$1)</f>
        <v>0</v>
      </c>
      <c r="AG154" s="80">
        <f>SUMIFS('февраль 2024'!$G$6:$G$1413,'февраль 2024'!$D$6:$D$1413,$B154,'февраль 2024'!$J$6:$J$1413,AG$1)</f>
        <v>0</v>
      </c>
      <c r="AH154" s="80">
        <f>SUMIFS('февраль 2024'!$G$6:$G$1413,'февраль 2024'!$D$6:$D$1413,$B154,'февраль 2024'!$J$6:$J$1413,AH$1)</f>
        <v>0</v>
      </c>
      <c r="AI154" s="87"/>
    </row>
    <row r="155" spans="2:35" ht="15" hidden="1" customHeight="1" x14ac:dyDescent="0.25">
      <c r="B155" s="89"/>
      <c r="C155" s="88"/>
      <c r="D155" s="80">
        <f>SUMIFS('февраль 2024'!$G$6:$G$1413,'февраль 2024'!$D$6:$D$1413,$B155,'февраль 2024'!$J$6:$J$1413,D$1)</f>
        <v>0</v>
      </c>
      <c r="E155" s="80">
        <f>SUMIFS('февраль 2024'!$G$6:$G$1413,'февраль 2024'!$D$6:$D$1413,$B155,'февраль 2024'!$J$6:$J$1413,E$1)</f>
        <v>0</v>
      </c>
      <c r="F155" s="80">
        <f>SUMIFS('февраль 2024'!$G$6:$G$1413,'февраль 2024'!$D$6:$D$1413,$B155,'февраль 2024'!$J$6:$J$1413,F$1)</f>
        <v>0</v>
      </c>
      <c r="G155" s="80">
        <f>SUMIFS('февраль 2024'!$G$6:$G$1413,'февраль 2024'!$D$6:$D$1413,$B155,'февраль 2024'!$J$6:$J$1413,G$1)</f>
        <v>0</v>
      </c>
      <c r="H155" s="80">
        <f>SUMIFS('февраль 2024'!$G$6:$G$1413,'февраль 2024'!$D$6:$D$1413,$B155,'февраль 2024'!$J$6:$J$1413,H$1)</f>
        <v>0</v>
      </c>
      <c r="I155" s="80">
        <f>SUMIFS('февраль 2024'!$G$6:$G$1413,'февраль 2024'!$D$6:$D$1413,$B155,'февраль 2024'!$J$6:$J$1413,I$1)</f>
        <v>0</v>
      </c>
      <c r="J155" s="80">
        <f>SUMIFS('февраль 2024'!$G$6:$G$1413,'февраль 2024'!$D$6:$D$1413,$B155,'февраль 2024'!$J$6:$J$1413,J$1)</f>
        <v>0</v>
      </c>
      <c r="K155" s="80">
        <f>SUMIFS('февраль 2024'!$G$6:$G$1413,'февраль 2024'!$D$6:$D$1413,$B155,'февраль 2024'!$J$6:$J$1413,K$1)</f>
        <v>0</v>
      </c>
      <c r="L155" s="80">
        <f>SUMIFS('февраль 2024'!$G$6:$G$1413,'февраль 2024'!$D$6:$D$1413,$B155,'февраль 2024'!$J$6:$J$1413,L$1)</f>
        <v>0</v>
      </c>
      <c r="M155" s="80">
        <f>SUMIFS('февраль 2024'!$G$6:$G$1413,'февраль 2024'!$D$6:$D$1413,$B155,'февраль 2024'!$J$6:$J$1413,M$1)</f>
        <v>0</v>
      </c>
      <c r="N155" s="80">
        <f>SUMIFS('февраль 2024'!$G$6:$G$1413,'февраль 2024'!$D$6:$D$1413,$B155,'февраль 2024'!$J$6:$J$1413,N$1)</f>
        <v>0</v>
      </c>
      <c r="O155" s="80">
        <f>SUMIFS('февраль 2024'!$G$6:$G$1413,'февраль 2024'!$D$6:$D$1413,$B155,'февраль 2024'!$J$6:$J$1413,O$1)</f>
        <v>0</v>
      </c>
      <c r="P155" s="80">
        <f>SUMIFS('февраль 2024'!$G$6:$G$1413,'февраль 2024'!$D$6:$D$1413,$B155,'февраль 2024'!$J$6:$J$1413,P$1)</f>
        <v>0</v>
      </c>
      <c r="Q155" s="80">
        <f>SUMIFS('февраль 2024'!$G$6:$G$1413,'февраль 2024'!$D$6:$D$1413,$B155,'февраль 2024'!$J$6:$J$1413,Q$1)</f>
        <v>0</v>
      </c>
      <c r="R155" s="80">
        <f>SUMIFS('февраль 2024'!$G$6:$G$1413,'февраль 2024'!$D$6:$D$1413,$B155,'февраль 2024'!$J$6:$J$1413,R$1)</f>
        <v>0</v>
      </c>
      <c r="S155" s="80">
        <f>SUMIFS('февраль 2024'!$G$6:$G$1413,'февраль 2024'!$D$6:$D$1413,$B155,'февраль 2024'!$J$6:$J$1413,S$1)</f>
        <v>0</v>
      </c>
      <c r="T155" s="80">
        <f>SUMIFS('февраль 2024'!$G$6:$G$1413,'февраль 2024'!$D$6:$D$1413,$B155,'февраль 2024'!$J$6:$J$1413,T$1)</f>
        <v>0</v>
      </c>
      <c r="U155" s="80">
        <f>SUMIFS('февраль 2024'!$G$6:$G$1413,'февраль 2024'!$D$6:$D$1413,$B155,'февраль 2024'!$J$6:$J$1413,U$1)</f>
        <v>0</v>
      </c>
      <c r="V155" s="80">
        <f>SUMIFS('февраль 2024'!$G$6:$G$1413,'февраль 2024'!$D$6:$D$1413,$B155,'февраль 2024'!$J$6:$J$1413,V$1)</f>
        <v>0</v>
      </c>
      <c r="W155" s="80">
        <f>SUMIFS('февраль 2024'!$G$6:$G$1413,'февраль 2024'!$D$6:$D$1413,$B155,'февраль 2024'!$J$6:$J$1413,W$1)</f>
        <v>0</v>
      </c>
      <c r="X155" s="80">
        <f>SUMIFS('февраль 2024'!$G$6:$G$1413,'февраль 2024'!$D$6:$D$1413,$B155,'февраль 2024'!$J$6:$J$1413,X$1)</f>
        <v>0</v>
      </c>
      <c r="Y155" s="80">
        <f>SUMIFS('февраль 2024'!$G$6:$G$1413,'февраль 2024'!$D$6:$D$1413,$B155,'февраль 2024'!$J$6:$J$1413,Y$1)</f>
        <v>0</v>
      </c>
      <c r="Z155" s="80">
        <f>SUMIFS('февраль 2024'!$G$6:$G$1413,'февраль 2024'!$D$6:$D$1413,$B155,'февраль 2024'!$J$6:$J$1413,Z$1)</f>
        <v>0</v>
      </c>
      <c r="AA155" s="80">
        <f>SUMIFS('февраль 2024'!$G$6:$G$1413,'февраль 2024'!$D$6:$D$1413,$B155,'февраль 2024'!$J$6:$J$1413,AA$1)</f>
        <v>0</v>
      </c>
      <c r="AB155" s="80">
        <f>SUMIFS('февраль 2024'!$G$6:$G$1413,'февраль 2024'!$D$6:$D$1413,$B155,'февраль 2024'!$J$6:$J$1413,AB$1)</f>
        <v>0</v>
      </c>
      <c r="AC155" s="80">
        <f>SUMIFS('февраль 2024'!$G$6:$G$1413,'февраль 2024'!$D$6:$D$1413,$B155,'февраль 2024'!$J$6:$J$1413,AC$1)</f>
        <v>0</v>
      </c>
      <c r="AD155" s="80">
        <f>SUMIFS('февраль 2024'!$G$6:$G$1413,'февраль 2024'!$D$6:$D$1413,$B155,'февраль 2024'!$J$6:$J$1413,AD$1)</f>
        <v>0</v>
      </c>
      <c r="AE155" s="80">
        <f>SUMIFS('февраль 2024'!$G$6:$G$1413,'февраль 2024'!$D$6:$D$1413,$B155,'февраль 2024'!$J$6:$J$1413,AE$1)</f>
        <v>0</v>
      </c>
      <c r="AF155" s="80">
        <f>SUMIFS('февраль 2024'!$G$6:$G$1413,'февраль 2024'!$D$6:$D$1413,$B155,'февраль 2024'!$J$6:$J$1413,AF$1)</f>
        <v>0</v>
      </c>
      <c r="AG155" s="80">
        <f>SUMIFS('февраль 2024'!$G$6:$G$1413,'февраль 2024'!$D$6:$D$1413,$B155,'февраль 2024'!$J$6:$J$1413,AG$1)</f>
        <v>0</v>
      </c>
      <c r="AH155" s="80">
        <f>SUMIFS('февраль 2024'!$G$6:$G$1413,'февраль 2024'!$D$6:$D$1413,$B155,'февраль 2024'!$J$6:$J$1413,AH$1)</f>
        <v>0</v>
      </c>
      <c r="AI155" s="87"/>
    </row>
    <row r="156" spans="2:35" ht="15" hidden="1" customHeight="1" x14ac:dyDescent="0.25">
      <c r="B156" s="89"/>
      <c r="C156" s="88"/>
      <c r="D156" s="80">
        <f>SUMIFS('февраль 2024'!$G$6:$G$1413,'февраль 2024'!$D$6:$D$1413,$B156,'февраль 2024'!$J$6:$J$1413,D$1)</f>
        <v>0</v>
      </c>
      <c r="E156" s="80">
        <f>SUMIFS('февраль 2024'!$G$6:$G$1413,'февраль 2024'!$D$6:$D$1413,$B156,'февраль 2024'!$J$6:$J$1413,E$1)</f>
        <v>0</v>
      </c>
      <c r="F156" s="80">
        <f>SUMIFS('февраль 2024'!$G$6:$G$1413,'февраль 2024'!$D$6:$D$1413,$B156,'февраль 2024'!$J$6:$J$1413,F$1)</f>
        <v>0</v>
      </c>
      <c r="G156" s="80">
        <f>SUMIFS('февраль 2024'!$G$6:$G$1413,'февраль 2024'!$D$6:$D$1413,$B156,'февраль 2024'!$J$6:$J$1413,G$1)</f>
        <v>0</v>
      </c>
      <c r="H156" s="80">
        <f>SUMIFS('февраль 2024'!$G$6:$G$1413,'февраль 2024'!$D$6:$D$1413,$B156,'февраль 2024'!$J$6:$J$1413,H$1)</f>
        <v>0</v>
      </c>
      <c r="I156" s="80">
        <f>SUMIFS('февраль 2024'!$G$6:$G$1413,'февраль 2024'!$D$6:$D$1413,$B156,'февраль 2024'!$J$6:$J$1413,I$1)</f>
        <v>0</v>
      </c>
      <c r="J156" s="80">
        <f>SUMIFS('февраль 2024'!$G$6:$G$1413,'февраль 2024'!$D$6:$D$1413,$B156,'февраль 2024'!$J$6:$J$1413,J$1)</f>
        <v>0</v>
      </c>
      <c r="K156" s="80">
        <f>SUMIFS('февраль 2024'!$G$6:$G$1413,'февраль 2024'!$D$6:$D$1413,$B156,'февраль 2024'!$J$6:$J$1413,K$1)</f>
        <v>0</v>
      </c>
      <c r="L156" s="80">
        <f>SUMIFS('февраль 2024'!$G$6:$G$1413,'февраль 2024'!$D$6:$D$1413,$B156,'февраль 2024'!$J$6:$J$1413,L$1)</f>
        <v>0</v>
      </c>
      <c r="M156" s="80">
        <f>SUMIFS('февраль 2024'!$G$6:$G$1413,'февраль 2024'!$D$6:$D$1413,$B156,'февраль 2024'!$J$6:$J$1413,M$1)</f>
        <v>0</v>
      </c>
      <c r="N156" s="80">
        <f>SUMIFS('февраль 2024'!$G$6:$G$1413,'февраль 2024'!$D$6:$D$1413,$B156,'февраль 2024'!$J$6:$J$1413,N$1)</f>
        <v>0</v>
      </c>
      <c r="O156" s="80">
        <f>SUMIFS('февраль 2024'!$G$6:$G$1413,'февраль 2024'!$D$6:$D$1413,$B156,'февраль 2024'!$J$6:$J$1413,O$1)</f>
        <v>0</v>
      </c>
      <c r="P156" s="80">
        <f>SUMIFS('февраль 2024'!$G$6:$G$1413,'февраль 2024'!$D$6:$D$1413,$B156,'февраль 2024'!$J$6:$J$1413,P$1)</f>
        <v>0</v>
      </c>
      <c r="Q156" s="80">
        <f>SUMIFS('февраль 2024'!$G$6:$G$1413,'февраль 2024'!$D$6:$D$1413,$B156,'февраль 2024'!$J$6:$J$1413,Q$1)</f>
        <v>0</v>
      </c>
      <c r="R156" s="80">
        <f>SUMIFS('февраль 2024'!$G$6:$G$1413,'февраль 2024'!$D$6:$D$1413,$B156,'февраль 2024'!$J$6:$J$1413,R$1)</f>
        <v>0</v>
      </c>
      <c r="S156" s="80">
        <f>SUMIFS('февраль 2024'!$G$6:$G$1413,'февраль 2024'!$D$6:$D$1413,$B156,'февраль 2024'!$J$6:$J$1413,S$1)</f>
        <v>0</v>
      </c>
      <c r="T156" s="80">
        <f>SUMIFS('февраль 2024'!$G$6:$G$1413,'февраль 2024'!$D$6:$D$1413,$B156,'февраль 2024'!$J$6:$J$1413,T$1)</f>
        <v>0</v>
      </c>
      <c r="U156" s="80">
        <f>SUMIFS('февраль 2024'!$G$6:$G$1413,'февраль 2024'!$D$6:$D$1413,$B156,'февраль 2024'!$J$6:$J$1413,U$1)</f>
        <v>0</v>
      </c>
      <c r="V156" s="80">
        <f>SUMIFS('февраль 2024'!$G$6:$G$1413,'февраль 2024'!$D$6:$D$1413,$B156,'февраль 2024'!$J$6:$J$1413,V$1)</f>
        <v>0</v>
      </c>
      <c r="W156" s="80">
        <f>SUMIFS('февраль 2024'!$G$6:$G$1413,'февраль 2024'!$D$6:$D$1413,$B156,'февраль 2024'!$J$6:$J$1413,W$1)</f>
        <v>0</v>
      </c>
      <c r="X156" s="80">
        <f>SUMIFS('февраль 2024'!$G$6:$G$1413,'февраль 2024'!$D$6:$D$1413,$B156,'февраль 2024'!$J$6:$J$1413,X$1)</f>
        <v>0</v>
      </c>
      <c r="Y156" s="80">
        <f>SUMIFS('февраль 2024'!$G$6:$G$1413,'февраль 2024'!$D$6:$D$1413,$B156,'февраль 2024'!$J$6:$J$1413,Y$1)</f>
        <v>0</v>
      </c>
      <c r="Z156" s="80">
        <f>SUMIFS('февраль 2024'!$G$6:$G$1413,'февраль 2024'!$D$6:$D$1413,$B156,'февраль 2024'!$J$6:$J$1413,Z$1)</f>
        <v>0</v>
      </c>
      <c r="AA156" s="80">
        <f>SUMIFS('февраль 2024'!$G$6:$G$1413,'февраль 2024'!$D$6:$D$1413,$B156,'февраль 2024'!$J$6:$J$1413,AA$1)</f>
        <v>0</v>
      </c>
      <c r="AB156" s="80">
        <f>SUMIFS('февраль 2024'!$G$6:$G$1413,'февраль 2024'!$D$6:$D$1413,$B156,'февраль 2024'!$J$6:$J$1413,AB$1)</f>
        <v>0</v>
      </c>
      <c r="AC156" s="80">
        <f>SUMIFS('февраль 2024'!$G$6:$G$1413,'февраль 2024'!$D$6:$D$1413,$B156,'февраль 2024'!$J$6:$J$1413,AC$1)</f>
        <v>0</v>
      </c>
      <c r="AD156" s="80">
        <f>SUMIFS('февраль 2024'!$G$6:$G$1413,'февраль 2024'!$D$6:$D$1413,$B156,'февраль 2024'!$J$6:$J$1413,AD$1)</f>
        <v>0</v>
      </c>
      <c r="AE156" s="80">
        <f>SUMIFS('февраль 2024'!$G$6:$G$1413,'февраль 2024'!$D$6:$D$1413,$B156,'февраль 2024'!$J$6:$J$1413,AE$1)</f>
        <v>0</v>
      </c>
      <c r="AF156" s="80">
        <f>SUMIFS('февраль 2024'!$G$6:$G$1413,'февраль 2024'!$D$6:$D$1413,$B156,'февраль 2024'!$J$6:$J$1413,AF$1)</f>
        <v>0</v>
      </c>
      <c r="AG156" s="80">
        <f>SUMIFS('февраль 2024'!$G$6:$G$1413,'февраль 2024'!$D$6:$D$1413,$B156,'февраль 2024'!$J$6:$J$1413,AG$1)</f>
        <v>0</v>
      </c>
      <c r="AH156" s="80">
        <f>SUMIFS('февраль 2024'!$G$6:$G$1413,'февраль 2024'!$D$6:$D$1413,$B156,'февраль 2024'!$J$6:$J$1413,AH$1)</f>
        <v>0</v>
      </c>
      <c r="AI156" s="87"/>
    </row>
    <row r="157" spans="2:35" ht="15" hidden="1" customHeight="1" x14ac:dyDescent="0.25">
      <c r="B157" s="94"/>
      <c r="C157" s="95"/>
      <c r="D157" s="80">
        <f>SUMIFS('февраль 2024'!$G$6:$G$1413,'февраль 2024'!$D$6:$D$1413,$B157,'февраль 2024'!$J$6:$J$1413,D$1)</f>
        <v>0</v>
      </c>
      <c r="E157" s="80">
        <f>SUMIFS('февраль 2024'!$G$6:$G$1413,'февраль 2024'!$D$6:$D$1413,$B157,'февраль 2024'!$J$6:$J$1413,E$1)</f>
        <v>0</v>
      </c>
      <c r="F157" s="80">
        <f>SUMIFS('февраль 2024'!$G$6:$G$1413,'февраль 2024'!$D$6:$D$1413,$B157,'февраль 2024'!$J$6:$J$1413,F$1)</f>
        <v>0</v>
      </c>
      <c r="G157" s="80">
        <f>SUMIFS('февраль 2024'!$G$6:$G$1413,'февраль 2024'!$D$6:$D$1413,$B157,'февраль 2024'!$J$6:$J$1413,G$1)</f>
        <v>0</v>
      </c>
      <c r="H157" s="80">
        <f>SUMIFS('февраль 2024'!$G$6:$G$1413,'февраль 2024'!$D$6:$D$1413,$B157,'февраль 2024'!$J$6:$J$1413,H$1)</f>
        <v>0</v>
      </c>
      <c r="I157" s="80">
        <f>SUMIFS('февраль 2024'!$G$6:$G$1413,'февраль 2024'!$D$6:$D$1413,$B157,'февраль 2024'!$J$6:$J$1413,I$1)</f>
        <v>0</v>
      </c>
      <c r="J157" s="80">
        <f>SUMIFS('февраль 2024'!$G$6:$G$1413,'февраль 2024'!$D$6:$D$1413,$B157,'февраль 2024'!$J$6:$J$1413,J$1)</f>
        <v>0</v>
      </c>
      <c r="K157" s="80">
        <f>SUMIFS('февраль 2024'!$G$6:$G$1413,'февраль 2024'!$D$6:$D$1413,$B157,'февраль 2024'!$J$6:$J$1413,K$1)</f>
        <v>0</v>
      </c>
      <c r="L157" s="80">
        <f>SUMIFS('февраль 2024'!$G$6:$G$1413,'февраль 2024'!$D$6:$D$1413,$B157,'февраль 2024'!$J$6:$J$1413,L$1)</f>
        <v>0</v>
      </c>
      <c r="M157" s="80">
        <f>SUMIFS('февраль 2024'!$G$6:$G$1413,'февраль 2024'!$D$6:$D$1413,$B157,'февраль 2024'!$J$6:$J$1413,M$1)</f>
        <v>0</v>
      </c>
      <c r="N157" s="80">
        <f>SUMIFS('февраль 2024'!$G$6:$G$1413,'февраль 2024'!$D$6:$D$1413,$B157,'февраль 2024'!$J$6:$J$1413,N$1)</f>
        <v>0</v>
      </c>
      <c r="O157" s="80">
        <f>SUMIFS('февраль 2024'!$G$6:$G$1413,'февраль 2024'!$D$6:$D$1413,$B157,'февраль 2024'!$J$6:$J$1413,O$1)</f>
        <v>0</v>
      </c>
      <c r="P157" s="80">
        <f>SUMIFS('февраль 2024'!$G$6:$G$1413,'февраль 2024'!$D$6:$D$1413,$B157,'февраль 2024'!$J$6:$J$1413,P$1)</f>
        <v>0</v>
      </c>
      <c r="Q157" s="80">
        <f>SUMIFS('февраль 2024'!$G$6:$G$1413,'февраль 2024'!$D$6:$D$1413,$B157,'февраль 2024'!$J$6:$J$1413,Q$1)</f>
        <v>0</v>
      </c>
      <c r="R157" s="80">
        <f>SUMIFS('февраль 2024'!$G$6:$G$1413,'февраль 2024'!$D$6:$D$1413,$B157,'февраль 2024'!$J$6:$J$1413,R$1)</f>
        <v>0</v>
      </c>
      <c r="S157" s="80">
        <f>SUMIFS('февраль 2024'!$G$6:$G$1413,'февраль 2024'!$D$6:$D$1413,$B157,'февраль 2024'!$J$6:$J$1413,S$1)</f>
        <v>0</v>
      </c>
      <c r="T157" s="80">
        <f>SUMIFS('февраль 2024'!$G$6:$G$1413,'февраль 2024'!$D$6:$D$1413,$B157,'февраль 2024'!$J$6:$J$1413,T$1)</f>
        <v>0</v>
      </c>
      <c r="U157" s="80">
        <f>SUMIFS('февраль 2024'!$G$6:$G$1413,'февраль 2024'!$D$6:$D$1413,$B157,'февраль 2024'!$J$6:$J$1413,U$1)</f>
        <v>0</v>
      </c>
      <c r="V157" s="80">
        <f>SUMIFS('февраль 2024'!$G$6:$G$1413,'февраль 2024'!$D$6:$D$1413,$B157,'февраль 2024'!$J$6:$J$1413,V$1)</f>
        <v>0</v>
      </c>
      <c r="W157" s="80">
        <f>SUMIFS('февраль 2024'!$G$6:$G$1413,'февраль 2024'!$D$6:$D$1413,$B157,'февраль 2024'!$J$6:$J$1413,W$1)</f>
        <v>0</v>
      </c>
      <c r="X157" s="80">
        <f>SUMIFS('февраль 2024'!$G$6:$G$1413,'февраль 2024'!$D$6:$D$1413,$B157,'февраль 2024'!$J$6:$J$1413,X$1)</f>
        <v>0</v>
      </c>
      <c r="Y157" s="80">
        <f>SUMIFS('февраль 2024'!$G$6:$G$1413,'февраль 2024'!$D$6:$D$1413,$B157,'февраль 2024'!$J$6:$J$1413,Y$1)</f>
        <v>0</v>
      </c>
      <c r="Z157" s="80">
        <f>SUMIFS('февраль 2024'!$G$6:$G$1413,'февраль 2024'!$D$6:$D$1413,$B157,'февраль 2024'!$J$6:$J$1413,Z$1)</f>
        <v>0</v>
      </c>
      <c r="AA157" s="80">
        <f>SUMIFS('февраль 2024'!$G$6:$G$1413,'февраль 2024'!$D$6:$D$1413,$B157,'февраль 2024'!$J$6:$J$1413,AA$1)</f>
        <v>0</v>
      </c>
      <c r="AB157" s="80">
        <f>SUMIFS('февраль 2024'!$G$6:$G$1413,'февраль 2024'!$D$6:$D$1413,$B157,'февраль 2024'!$J$6:$J$1413,AB$1)</f>
        <v>0</v>
      </c>
      <c r="AC157" s="80">
        <f>SUMIFS('февраль 2024'!$G$6:$G$1413,'февраль 2024'!$D$6:$D$1413,$B157,'февраль 2024'!$J$6:$J$1413,AC$1)</f>
        <v>0</v>
      </c>
      <c r="AD157" s="80">
        <f>SUMIFS('февраль 2024'!$G$6:$G$1413,'февраль 2024'!$D$6:$D$1413,$B157,'февраль 2024'!$J$6:$J$1413,AD$1)</f>
        <v>0</v>
      </c>
      <c r="AE157" s="80">
        <f>SUMIFS('февраль 2024'!$G$6:$G$1413,'февраль 2024'!$D$6:$D$1413,$B157,'февраль 2024'!$J$6:$J$1413,AE$1)</f>
        <v>0</v>
      </c>
      <c r="AF157" s="80">
        <f>SUMIFS('февраль 2024'!$G$6:$G$1413,'февраль 2024'!$D$6:$D$1413,$B157,'февраль 2024'!$J$6:$J$1413,AF$1)</f>
        <v>0</v>
      </c>
      <c r="AG157" s="80">
        <f>SUMIFS('февраль 2024'!$G$6:$G$1413,'февраль 2024'!$D$6:$D$1413,$B157,'февраль 2024'!$J$6:$J$1413,AG$1)</f>
        <v>0</v>
      </c>
      <c r="AH157" s="80">
        <f>SUMIFS('февраль 2024'!$G$6:$G$1413,'февраль 2024'!$D$6:$D$1413,$B157,'февраль 2024'!$J$6:$J$1413,AH$1)</f>
        <v>0</v>
      </c>
      <c r="AI157" s="87"/>
    </row>
    <row r="158" spans="2:35" ht="15" hidden="1" customHeight="1" x14ac:dyDescent="0.25">
      <c r="B158" s="89"/>
      <c r="C158" s="91"/>
      <c r="D158" s="80">
        <f>SUMIFS('февраль 2024'!$G$6:$G$1413,'февраль 2024'!$D$6:$D$1413,$B158,'февраль 2024'!$J$6:$J$1413,D$1)</f>
        <v>0</v>
      </c>
      <c r="E158" s="80">
        <f>SUMIFS('февраль 2024'!$G$6:$G$1413,'февраль 2024'!$D$6:$D$1413,$B158,'февраль 2024'!$J$6:$J$1413,E$1)</f>
        <v>0</v>
      </c>
      <c r="F158" s="80">
        <f>SUMIFS('февраль 2024'!$G$6:$G$1413,'февраль 2024'!$D$6:$D$1413,$B158,'февраль 2024'!$J$6:$J$1413,F$1)</f>
        <v>0</v>
      </c>
      <c r="G158" s="80">
        <f>SUMIFS('февраль 2024'!$G$6:$G$1413,'февраль 2024'!$D$6:$D$1413,$B158,'февраль 2024'!$J$6:$J$1413,G$1)</f>
        <v>0</v>
      </c>
      <c r="H158" s="80">
        <f>SUMIFS('февраль 2024'!$G$6:$G$1413,'февраль 2024'!$D$6:$D$1413,$B158,'февраль 2024'!$J$6:$J$1413,H$1)</f>
        <v>0</v>
      </c>
      <c r="I158" s="80">
        <f>SUMIFS('февраль 2024'!$G$6:$G$1413,'февраль 2024'!$D$6:$D$1413,$B158,'февраль 2024'!$J$6:$J$1413,I$1)</f>
        <v>0</v>
      </c>
      <c r="J158" s="80">
        <f>SUMIFS('февраль 2024'!$G$6:$G$1413,'февраль 2024'!$D$6:$D$1413,$B158,'февраль 2024'!$J$6:$J$1413,J$1)</f>
        <v>0</v>
      </c>
      <c r="K158" s="80">
        <f>SUMIFS('февраль 2024'!$G$6:$G$1413,'февраль 2024'!$D$6:$D$1413,$B158,'февраль 2024'!$J$6:$J$1413,K$1)</f>
        <v>0</v>
      </c>
      <c r="L158" s="80">
        <f>SUMIFS('февраль 2024'!$G$6:$G$1413,'февраль 2024'!$D$6:$D$1413,$B158,'февраль 2024'!$J$6:$J$1413,L$1)</f>
        <v>0</v>
      </c>
      <c r="M158" s="80">
        <f>SUMIFS('февраль 2024'!$G$6:$G$1413,'февраль 2024'!$D$6:$D$1413,$B158,'февраль 2024'!$J$6:$J$1413,M$1)</f>
        <v>0</v>
      </c>
      <c r="N158" s="80">
        <f>SUMIFS('февраль 2024'!$G$6:$G$1413,'февраль 2024'!$D$6:$D$1413,$B158,'февраль 2024'!$J$6:$J$1413,N$1)</f>
        <v>0</v>
      </c>
      <c r="O158" s="80">
        <f>SUMIFS('февраль 2024'!$G$6:$G$1413,'февраль 2024'!$D$6:$D$1413,$B158,'февраль 2024'!$J$6:$J$1413,O$1)</f>
        <v>0</v>
      </c>
      <c r="P158" s="80">
        <f>SUMIFS('февраль 2024'!$G$6:$G$1413,'февраль 2024'!$D$6:$D$1413,$B158,'февраль 2024'!$J$6:$J$1413,P$1)</f>
        <v>0</v>
      </c>
      <c r="Q158" s="80">
        <f>SUMIFS('февраль 2024'!$G$6:$G$1413,'февраль 2024'!$D$6:$D$1413,$B158,'февраль 2024'!$J$6:$J$1413,Q$1)</f>
        <v>0</v>
      </c>
      <c r="R158" s="80">
        <f>SUMIFS('февраль 2024'!$G$6:$G$1413,'февраль 2024'!$D$6:$D$1413,$B158,'февраль 2024'!$J$6:$J$1413,R$1)</f>
        <v>0</v>
      </c>
      <c r="S158" s="80">
        <f>SUMIFS('февраль 2024'!$G$6:$G$1413,'февраль 2024'!$D$6:$D$1413,$B158,'февраль 2024'!$J$6:$J$1413,S$1)</f>
        <v>0</v>
      </c>
      <c r="T158" s="80">
        <f>SUMIFS('февраль 2024'!$G$6:$G$1413,'февраль 2024'!$D$6:$D$1413,$B158,'февраль 2024'!$J$6:$J$1413,T$1)</f>
        <v>0</v>
      </c>
      <c r="U158" s="80">
        <f>SUMIFS('февраль 2024'!$G$6:$G$1413,'февраль 2024'!$D$6:$D$1413,$B158,'февраль 2024'!$J$6:$J$1413,U$1)</f>
        <v>0</v>
      </c>
      <c r="V158" s="80">
        <f>SUMIFS('февраль 2024'!$G$6:$G$1413,'февраль 2024'!$D$6:$D$1413,$B158,'февраль 2024'!$J$6:$J$1413,V$1)</f>
        <v>0</v>
      </c>
      <c r="W158" s="80">
        <f>SUMIFS('февраль 2024'!$G$6:$G$1413,'февраль 2024'!$D$6:$D$1413,$B158,'февраль 2024'!$J$6:$J$1413,W$1)</f>
        <v>0</v>
      </c>
      <c r="X158" s="80">
        <f>SUMIFS('февраль 2024'!$G$6:$G$1413,'февраль 2024'!$D$6:$D$1413,$B158,'февраль 2024'!$J$6:$J$1413,X$1)</f>
        <v>0</v>
      </c>
      <c r="Y158" s="80">
        <f>SUMIFS('февраль 2024'!$G$6:$G$1413,'февраль 2024'!$D$6:$D$1413,$B158,'февраль 2024'!$J$6:$J$1413,Y$1)</f>
        <v>0</v>
      </c>
      <c r="Z158" s="80">
        <f>SUMIFS('февраль 2024'!$G$6:$G$1413,'февраль 2024'!$D$6:$D$1413,$B158,'февраль 2024'!$J$6:$J$1413,Z$1)</f>
        <v>0</v>
      </c>
      <c r="AA158" s="80">
        <f>SUMIFS('февраль 2024'!$G$6:$G$1413,'февраль 2024'!$D$6:$D$1413,$B158,'февраль 2024'!$J$6:$J$1413,AA$1)</f>
        <v>0</v>
      </c>
      <c r="AB158" s="80">
        <f>SUMIFS('февраль 2024'!$G$6:$G$1413,'февраль 2024'!$D$6:$D$1413,$B158,'февраль 2024'!$J$6:$J$1413,AB$1)</f>
        <v>0</v>
      </c>
      <c r="AC158" s="80">
        <f>SUMIFS('февраль 2024'!$G$6:$G$1413,'февраль 2024'!$D$6:$D$1413,$B158,'февраль 2024'!$J$6:$J$1413,AC$1)</f>
        <v>0</v>
      </c>
      <c r="AD158" s="80">
        <f>SUMIFS('февраль 2024'!$G$6:$G$1413,'февраль 2024'!$D$6:$D$1413,$B158,'февраль 2024'!$J$6:$J$1413,AD$1)</f>
        <v>0</v>
      </c>
      <c r="AE158" s="80">
        <f>SUMIFS('февраль 2024'!$G$6:$G$1413,'февраль 2024'!$D$6:$D$1413,$B158,'февраль 2024'!$J$6:$J$1413,AE$1)</f>
        <v>0</v>
      </c>
      <c r="AF158" s="80">
        <f>SUMIFS('февраль 2024'!$G$6:$G$1413,'февраль 2024'!$D$6:$D$1413,$B158,'февраль 2024'!$J$6:$J$1413,AF$1)</f>
        <v>0</v>
      </c>
      <c r="AG158" s="80">
        <f>SUMIFS('февраль 2024'!$G$6:$G$1413,'февраль 2024'!$D$6:$D$1413,$B158,'февраль 2024'!$J$6:$J$1413,AG$1)</f>
        <v>0</v>
      </c>
      <c r="AH158" s="80">
        <f>SUMIFS('февраль 2024'!$G$6:$G$1413,'февраль 2024'!$D$6:$D$1413,$B158,'февраль 2024'!$J$6:$J$1413,AH$1)</f>
        <v>0</v>
      </c>
      <c r="AI158" s="87"/>
    </row>
    <row r="159" spans="2:35" ht="15" hidden="1" customHeight="1" x14ac:dyDescent="0.25">
      <c r="B159" s="89"/>
      <c r="C159" s="88"/>
      <c r="D159" s="80">
        <f>SUMIFS('февраль 2024'!$G$6:$G$1413,'февраль 2024'!$D$6:$D$1413,$B159,'февраль 2024'!$J$6:$J$1413,D$1)</f>
        <v>0</v>
      </c>
      <c r="E159" s="80">
        <f>SUMIFS('февраль 2024'!$G$6:$G$1413,'февраль 2024'!$D$6:$D$1413,$B159,'февраль 2024'!$J$6:$J$1413,E$1)</f>
        <v>0</v>
      </c>
      <c r="F159" s="80">
        <f>SUMIFS('февраль 2024'!$G$6:$G$1413,'февраль 2024'!$D$6:$D$1413,$B159,'февраль 2024'!$J$6:$J$1413,F$1)</f>
        <v>0</v>
      </c>
      <c r="G159" s="80">
        <f>SUMIFS('февраль 2024'!$G$6:$G$1413,'февраль 2024'!$D$6:$D$1413,$B159,'февраль 2024'!$J$6:$J$1413,G$1)</f>
        <v>0</v>
      </c>
      <c r="H159" s="80">
        <f>SUMIFS('февраль 2024'!$G$6:$G$1413,'февраль 2024'!$D$6:$D$1413,$B159,'февраль 2024'!$J$6:$J$1413,H$1)</f>
        <v>0</v>
      </c>
      <c r="I159" s="80">
        <f>SUMIFS('февраль 2024'!$G$6:$G$1413,'февраль 2024'!$D$6:$D$1413,$B159,'февраль 2024'!$J$6:$J$1413,I$1)</f>
        <v>0</v>
      </c>
      <c r="J159" s="80">
        <f>SUMIFS('февраль 2024'!$G$6:$G$1413,'февраль 2024'!$D$6:$D$1413,$B159,'февраль 2024'!$J$6:$J$1413,J$1)</f>
        <v>0</v>
      </c>
      <c r="K159" s="80">
        <f>SUMIFS('февраль 2024'!$G$6:$G$1413,'февраль 2024'!$D$6:$D$1413,$B159,'февраль 2024'!$J$6:$J$1413,K$1)</f>
        <v>0</v>
      </c>
      <c r="L159" s="80">
        <f>SUMIFS('февраль 2024'!$G$6:$G$1413,'февраль 2024'!$D$6:$D$1413,$B159,'февраль 2024'!$J$6:$J$1413,L$1)</f>
        <v>0</v>
      </c>
      <c r="M159" s="80">
        <f>SUMIFS('февраль 2024'!$G$6:$G$1413,'февраль 2024'!$D$6:$D$1413,$B159,'февраль 2024'!$J$6:$J$1413,M$1)</f>
        <v>0</v>
      </c>
      <c r="N159" s="80">
        <f>SUMIFS('февраль 2024'!$G$6:$G$1413,'февраль 2024'!$D$6:$D$1413,$B159,'февраль 2024'!$J$6:$J$1413,N$1)</f>
        <v>0</v>
      </c>
      <c r="O159" s="80">
        <f>SUMIFS('февраль 2024'!$G$6:$G$1413,'февраль 2024'!$D$6:$D$1413,$B159,'февраль 2024'!$J$6:$J$1413,O$1)</f>
        <v>0</v>
      </c>
      <c r="P159" s="80">
        <f>SUMIFS('февраль 2024'!$G$6:$G$1413,'февраль 2024'!$D$6:$D$1413,$B159,'февраль 2024'!$J$6:$J$1413,P$1)</f>
        <v>0</v>
      </c>
      <c r="Q159" s="80">
        <f>SUMIFS('февраль 2024'!$G$6:$G$1413,'февраль 2024'!$D$6:$D$1413,$B159,'февраль 2024'!$J$6:$J$1413,Q$1)</f>
        <v>0</v>
      </c>
      <c r="R159" s="80">
        <f>SUMIFS('февраль 2024'!$G$6:$G$1413,'февраль 2024'!$D$6:$D$1413,$B159,'февраль 2024'!$J$6:$J$1413,R$1)</f>
        <v>0</v>
      </c>
      <c r="S159" s="80">
        <f>SUMIFS('февраль 2024'!$G$6:$G$1413,'февраль 2024'!$D$6:$D$1413,$B159,'февраль 2024'!$J$6:$J$1413,S$1)</f>
        <v>0</v>
      </c>
      <c r="T159" s="80">
        <f>SUMIFS('февраль 2024'!$G$6:$G$1413,'февраль 2024'!$D$6:$D$1413,$B159,'февраль 2024'!$J$6:$J$1413,T$1)</f>
        <v>0</v>
      </c>
      <c r="U159" s="80">
        <f>SUMIFS('февраль 2024'!$G$6:$G$1413,'февраль 2024'!$D$6:$D$1413,$B159,'февраль 2024'!$J$6:$J$1413,U$1)</f>
        <v>0</v>
      </c>
      <c r="V159" s="80">
        <f>SUMIFS('февраль 2024'!$G$6:$G$1413,'февраль 2024'!$D$6:$D$1413,$B159,'февраль 2024'!$J$6:$J$1413,V$1)</f>
        <v>0</v>
      </c>
      <c r="W159" s="80">
        <f>SUMIFS('февраль 2024'!$G$6:$G$1413,'февраль 2024'!$D$6:$D$1413,$B159,'февраль 2024'!$J$6:$J$1413,W$1)</f>
        <v>0</v>
      </c>
      <c r="X159" s="80">
        <f>SUMIFS('февраль 2024'!$G$6:$G$1413,'февраль 2024'!$D$6:$D$1413,$B159,'февраль 2024'!$J$6:$J$1413,X$1)</f>
        <v>0</v>
      </c>
      <c r="Y159" s="80">
        <f>SUMIFS('февраль 2024'!$G$6:$G$1413,'февраль 2024'!$D$6:$D$1413,$B159,'февраль 2024'!$J$6:$J$1413,Y$1)</f>
        <v>0</v>
      </c>
      <c r="Z159" s="80">
        <f>SUMIFS('февраль 2024'!$G$6:$G$1413,'февраль 2024'!$D$6:$D$1413,$B159,'февраль 2024'!$J$6:$J$1413,Z$1)</f>
        <v>0</v>
      </c>
      <c r="AA159" s="80">
        <f>SUMIFS('февраль 2024'!$G$6:$G$1413,'февраль 2024'!$D$6:$D$1413,$B159,'февраль 2024'!$J$6:$J$1413,AA$1)</f>
        <v>0</v>
      </c>
      <c r="AB159" s="80">
        <f>SUMIFS('февраль 2024'!$G$6:$G$1413,'февраль 2024'!$D$6:$D$1413,$B159,'февраль 2024'!$J$6:$J$1413,AB$1)</f>
        <v>0</v>
      </c>
      <c r="AC159" s="80">
        <f>SUMIFS('февраль 2024'!$G$6:$G$1413,'февраль 2024'!$D$6:$D$1413,$B159,'февраль 2024'!$J$6:$J$1413,AC$1)</f>
        <v>0</v>
      </c>
      <c r="AD159" s="80">
        <f>SUMIFS('февраль 2024'!$G$6:$G$1413,'февраль 2024'!$D$6:$D$1413,$B159,'февраль 2024'!$J$6:$J$1413,AD$1)</f>
        <v>0</v>
      </c>
      <c r="AE159" s="80">
        <f>SUMIFS('февраль 2024'!$G$6:$G$1413,'февраль 2024'!$D$6:$D$1413,$B159,'февраль 2024'!$J$6:$J$1413,AE$1)</f>
        <v>0</v>
      </c>
      <c r="AF159" s="80">
        <f>SUMIFS('февраль 2024'!$G$6:$G$1413,'февраль 2024'!$D$6:$D$1413,$B159,'февраль 2024'!$J$6:$J$1413,AF$1)</f>
        <v>0</v>
      </c>
      <c r="AG159" s="80">
        <f>SUMIFS('февраль 2024'!$G$6:$G$1413,'февраль 2024'!$D$6:$D$1413,$B159,'февраль 2024'!$J$6:$J$1413,AG$1)</f>
        <v>0</v>
      </c>
      <c r="AH159" s="80">
        <f>SUMIFS('февраль 2024'!$G$6:$G$1413,'февраль 2024'!$D$6:$D$1413,$B159,'февраль 2024'!$J$6:$J$1413,AH$1)</f>
        <v>0</v>
      </c>
      <c r="AI159" s="87"/>
    </row>
    <row r="160" spans="2:35" ht="15" hidden="1" customHeight="1" x14ac:dyDescent="0.25">
      <c r="B160" s="89"/>
      <c r="C160" s="88"/>
      <c r="D160" s="80">
        <f>SUMIFS('февраль 2024'!$G$6:$G$1413,'февраль 2024'!$D$6:$D$1413,$B160,'февраль 2024'!$J$6:$J$1413,D$1)</f>
        <v>0</v>
      </c>
      <c r="E160" s="80">
        <f>SUMIFS('февраль 2024'!$G$6:$G$1413,'февраль 2024'!$D$6:$D$1413,$B160,'февраль 2024'!$J$6:$J$1413,E$1)</f>
        <v>0</v>
      </c>
      <c r="F160" s="80">
        <f>SUMIFS('февраль 2024'!$G$6:$G$1413,'февраль 2024'!$D$6:$D$1413,$B160,'февраль 2024'!$J$6:$J$1413,F$1)</f>
        <v>0</v>
      </c>
      <c r="G160" s="80">
        <f>SUMIFS('февраль 2024'!$G$6:$G$1413,'февраль 2024'!$D$6:$D$1413,$B160,'февраль 2024'!$J$6:$J$1413,G$1)</f>
        <v>0</v>
      </c>
      <c r="H160" s="80">
        <f>SUMIFS('февраль 2024'!$G$6:$G$1413,'февраль 2024'!$D$6:$D$1413,$B160,'февраль 2024'!$J$6:$J$1413,H$1)</f>
        <v>0</v>
      </c>
      <c r="I160" s="80">
        <f>SUMIFS('февраль 2024'!$G$6:$G$1413,'февраль 2024'!$D$6:$D$1413,$B160,'февраль 2024'!$J$6:$J$1413,I$1)</f>
        <v>0</v>
      </c>
      <c r="J160" s="80">
        <f>SUMIFS('февраль 2024'!$G$6:$G$1413,'февраль 2024'!$D$6:$D$1413,$B160,'февраль 2024'!$J$6:$J$1413,J$1)</f>
        <v>0</v>
      </c>
      <c r="K160" s="80">
        <f>SUMIFS('февраль 2024'!$G$6:$G$1413,'февраль 2024'!$D$6:$D$1413,$B160,'февраль 2024'!$J$6:$J$1413,K$1)</f>
        <v>0</v>
      </c>
      <c r="L160" s="80">
        <f>SUMIFS('февраль 2024'!$G$6:$G$1413,'февраль 2024'!$D$6:$D$1413,$B160,'февраль 2024'!$J$6:$J$1413,L$1)</f>
        <v>0</v>
      </c>
      <c r="M160" s="80">
        <f>SUMIFS('февраль 2024'!$G$6:$G$1413,'февраль 2024'!$D$6:$D$1413,$B160,'февраль 2024'!$J$6:$J$1413,M$1)</f>
        <v>0</v>
      </c>
      <c r="N160" s="80">
        <f>SUMIFS('февраль 2024'!$G$6:$G$1413,'февраль 2024'!$D$6:$D$1413,$B160,'февраль 2024'!$J$6:$J$1413,N$1)</f>
        <v>0</v>
      </c>
      <c r="O160" s="80">
        <f>SUMIFS('февраль 2024'!$G$6:$G$1413,'февраль 2024'!$D$6:$D$1413,$B160,'февраль 2024'!$J$6:$J$1413,O$1)</f>
        <v>0</v>
      </c>
      <c r="P160" s="80">
        <f>SUMIFS('февраль 2024'!$G$6:$G$1413,'февраль 2024'!$D$6:$D$1413,$B160,'февраль 2024'!$J$6:$J$1413,P$1)</f>
        <v>0</v>
      </c>
      <c r="Q160" s="80">
        <f>SUMIFS('февраль 2024'!$G$6:$G$1413,'февраль 2024'!$D$6:$D$1413,$B160,'февраль 2024'!$J$6:$J$1413,Q$1)</f>
        <v>0</v>
      </c>
      <c r="R160" s="80">
        <f>SUMIFS('февраль 2024'!$G$6:$G$1413,'февраль 2024'!$D$6:$D$1413,$B160,'февраль 2024'!$J$6:$J$1413,R$1)</f>
        <v>0</v>
      </c>
      <c r="S160" s="80">
        <f>SUMIFS('февраль 2024'!$G$6:$G$1413,'февраль 2024'!$D$6:$D$1413,$B160,'февраль 2024'!$J$6:$J$1413,S$1)</f>
        <v>0</v>
      </c>
      <c r="T160" s="80">
        <f>SUMIFS('февраль 2024'!$G$6:$G$1413,'февраль 2024'!$D$6:$D$1413,$B160,'февраль 2024'!$J$6:$J$1413,T$1)</f>
        <v>0</v>
      </c>
      <c r="U160" s="80">
        <f>SUMIFS('февраль 2024'!$G$6:$G$1413,'февраль 2024'!$D$6:$D$1413,$B160,'февраль 2024'!$J$6:$J$1413,U$1)</f>
        <v>0</v>
      </c>
      <c r="V160" s="80">
        <f>SUMIFS('февраль 2024'!$G$6:$G$1413,'февраль 2024'!$D$6:$D$1413,$B160,'февраль 2024'!$J$6:$J$1413,V$1)</f>
        <v>0</v>
      </c>
      <c r="W160" s="80">
        <f>SUMIFS('февраль 2024'!$G$6:$G$1413,'февраль 2024'!$D$6:$D$1413,$B160,'февраль 2024'!$J$6:$J$1413,W$1)</f>
        <v>0</v>
      </c>
      <c r="X160" s="80">
        <f>SUMIFS('февраль 2024'!$G$6:$G$1413,'февраль 2024'!$D$6:$D$1413,$B160,'февраль 2024'!$J$6:$J$1413,X$1)</f>
        <v>0</v>
      </c>
      <c r="Y160" s="80">
        <f>SUMIFS('февраль 2024'!$G$6:$G$1413,'февраль 2024'!$D$6:$D$1413,$B160,'февраль 2024'!$J$6:$J$1413,Y$1)</f>
        <v>0</v>
      </c>
      <c r="Z160" s="80">
        <f>SUMIFS('февраль 2024'!$G$6:$G$1413,'февраль 2024'!$D$6:$D$1413,$B160,'февраль 2024'!$J$6:$J$1413,Z$1)</f>
        <v>0</v>
      </c>
      <c r="AA160" s="80">
        <f>SUMIFS('февраль 2024'!$G$6:$G$1413,'февраль 2024'!$D$6:$D$1413,$B160,'февраль 2024'!$J$6:$J$1413,AA$1)</f>
        <v>0</v>
      </c>
      <c r="AB160" s="80">
        <f>SUMIFS('февраль 2024'!$G$6:$G$1413,'февраль 2024'!$D$6:$D$1413,$B160,'февраль 2024'!$J$6:$J$1413,AB$1)</f>
        <v>0</v>
      </c>
      <c r="AC160" s="80">
        <f>SUMIFS('февраль 2024'!$G$6:$G$1413,'февраль 2024'!$D$6:$D$1413,$B160,'февраль 2024'!$J$6:$J$1413,AC$1)</f>
        <v>0</v>
      </c>
      <c r="AD160" s="80">
        <f>SUMIFS('февраль 2024'!$G$6:$G$1413,'февраль 2024'!$D$6:$D$1413,$B160,'февраль 2024'!$J$6:$J$1413,AD$1)</f>
        <v>0</v>
      </c>
      <c r="AE160" s="80">
        <f>SUMIFS('февраль 2024'!$G$6:$G$1413,'февраль 2024'!$D$6:$D$1413,$B160,'февраль 2024'!$J$6:$J$1413,AE$1)</f>
        <v>0</v>
      </c>
      <c r="AF160" s="80">
        <f>SUMIFS('февраль 2024'!$G$6:$G$1413,'февраль 2024'!$D$6:$D$1413,$B160,'февраль 2024'!$J$6:$J$1413,AF$1)</f>
        <v>0</v>
      </c>
      <c r="AG160" s="80">
        <f>SUMIFS('февраль 2024'!$G$6:$G$1413,'февраль 2024'!$D$6:$D$1413,$B160,'февраль 2024'!$J$6:$J$1413,AG$1)</f>
        <v>0</v>
      </c>
      <c r="AH160" s="80">
        <f>SUMIFS('февраль 2024'!$G$6:$G$1413,'февраль 2024'!$D$6:$D$1413,$B160,'февраль 2024'!$J$6:$J$1413,AH$1)</f>
        <v>0</v>
      </c>
      <c r="AI160" s="87"/>
    </row>
    <row r="161" spans="2:35" ht="15" hidden="1" customHeight="1" x14ac:dyDescent="0.25">
      <c r="B161" s="89"/>
      <c r="C161" s="90"/>
      <c r="D161" s="80">
        <f>SUMIFS('февраль 2024'!$G$6:$G$1413,'февраль 2024'!$D$6:$D$1413,$B161,'февраль 2024'!$J$6:$J$1413,D$1)</f>
        <v>0</v>
      </c>
      <c r="E161" s="80">
        <f>SUMIFS('февраль 2024'!$G$6:$G$1413,'февраль 2024'!$D$6:$D$1413,$B161,'февраль 2024'!$J$6:$J$1413,E$1)</f>
        <v>0</v>
      </c>
      <c r="F161" s="80">
        <f>SUMIFS('февраль 2024'!$G$6:$G$1413,'февраль 2024'!$D$6:$D$1413,$B161,'февраль 2024'!$J$6:$J$1413,F$1)</f>
        <v>0</v>
      </c>
      <c r="G161" s="80">
        <f>SUMIFS('февраль 2024'!$G$6:$G$1413,'февраль 2024'!$D$6:$D$1413,$B161,'февраль 2024'!$J$6:$J$1413,G$1)</f>
        <v>0</v>
      </c>
      <c r="H161" s="80">
        <f>SUMIFS('февраль 2024'!$G$6:$G$1413,'февраль 2024'!$D$6:$D$1413,$B161,'февраль 2024'!$J$6:$J$1413,H$1)</f>
        <v>0</v>
      </c>
      <c r="I161" s="80">
        <f>SUMIFS('февраль 2024'!$G$6:$G$1413,'февраль 2024'!$D$6:$D$1413,$B161,'февраль 2024'!$J$6:$J$1413,I$1)</f>
        <v>0</v>
      </c>
      <c r="J161" s="80">
        <f>SUMIFS('февраль 2024'!$G$6:$G$1413,'февраль 2024'!$D$6:$D$1413,$B161,'февраль 2024'!$J$6:$J$1413,J$1)</f>
        <v>0</v>
      </c>
      <c r="K161" s="80">
        <f>SUMIFS('февраль 2024'!$G$6:$G$1413,'февраль 2024'!$D$6:$D$1413,$B161,'февраль 2024'!$J$6:$J$1413,K$1)</f>
        <v>0</v>
      </c>
      <c r="L161" s="80">
        <f>SUMIFS('февраль 2024'!$G$6:$G$1413,'февраль 2024'!$D$6:$D$1413,$B161,'февраль 2024'!$J$6:$J$1413,L$1)</f>
        <v>0</v>
      </c>
      <c r="M161" s="80">
        <f>SUMIFS('февраль 2024'!$G$6:$G$1413,'февраль 2024'!$D$6:$D$1413,$B161,'февраль 2024'!$J$6:$J$1413,M$1)</f>
        <v>0</v>
      </c>
      <c r="N161" s="80">
        <f>SUMIFS('февраль 2024'!$G$6:$G$1413,'февраль 2024'!$D$6:$D$1413,$B161,'февраль 2024'!$J$6:$J$1413,N$1)</f>
        <v>0</v>
      </c>
      <c r="O161" s="80">
        <f>SUMIFS('февраль 2024'!$G$6:$G$1413,'февраль 2024'!$D$6:$D$1413,$B161,'февраль 2024'!$J$6:$J$1413,O$1)</f>
        <v>0</v>
      </c>
      <c r="P161" s="80">
        <f>SUMIFS('февраль 2024'!$G$6:$G$1413,'февраль 2024'!$D$6:$D$1413,$B161,'февраль 2024'!$J$6:$J$1413,P$1)</f>
        <v>0</v>
      </c>
      <c r="Q161" s="80">
        <f>SUMIFS('февраль 2024'!$G$6:$G$1413,'февраль 2024'!$D$6:$D$1413,$B161,'февраль 2024'!$J$6:$J$1413,Q$1)</f>
        <v>0</v>
      </c>
      <c r="R161" s="80">
        <f>SUMIFS('февраль 2024'!$G$6:$G$1413,'февраль 2024'!$D$6:$D$1413,$B161,'февраль 2024'!$J$6:$J$1413,R$1)</f>
        <v>0</v>
      </c>
      <c r="S161" s="80">
        <f>SUMIFS('февраль 2024'!$G$6:$G$1413,'февраль 2024'!$D$6:$D$1413,$B161,'февраль 2024'!$J$6:$J$1413,S$1)</f>
        <v>0</v>
      </c>
      <c r="T161" s="80">
        <f>SUMIFS('февраль 2024'!$G$6:$G$1413,'февраль 2024'!$D$6:$D$1413,$B161,'февраль 2024'!$J$6:$J$1413,T$1)</f>
        <v>0</v>
      </c>
      <c r="U161" s="80">
        <f>SUMIFS('февраль 2024'!$G$6:$G$1413,'февраль 2024'!$D$6:$D$1413,$B161,'февраль 2024'!$J$6:$J$1413,U$1)</f>
        <v>0</v>
      </c>
      <c r="V161" s="80">
        <f>SUMIFS('февраль 2024'!$G$6:$G$1413,'февраль 2024'!$D$6:$D$1413,$B161,'февраль 2024'!$J$6:$J$1413,V$1)</f>
        <v>0</v>
      </c>
      <c r="W161" s="80">
        <f>SUMIFS('февраль 2024'!$G$6:$G$1413,'февраль 2024'!$D$6:$D$1413,$B161,'февраль 2024'!$J$6:$J$1413,W$1)</f>
        <v>0</v>
      </c>
      <c r="X161" s="80">
        <f>SUMIFS('февраль 2024'!$G$6:$G$1413,'февраль 2024'!$D$6:$D$1413,$B161,'февраль 2024'!$J$6:$J$1413,X$1)</f>
        <v>0</v>
      </c>
      <c r="Y161" s="80">
        <f>SUMIFS('февраль 2024'!$G$6:$G$1413,'февраль 2024'!$D$6:$D$1413,$B161,'февраль 2024'!$J$6:$J$1413,Y$1)</f>
        <v>0</v>
      </c>
      <c r="Z161" s="80">
        <f>SUMIFS('февраль 2024'!$G$6:$G$1413,'февраль 2024'!$D$6:$D$1413,$B161,'февраль 2024'!$J$6:$J$1413,Z$1)</f>
        <v>0</v>
      </c>
      <c r="AA161" s="80">
        <f>SUMIFS('февраль 2024'!$G$6:$G$1413,'февраль 2024'!$D$6:$D$1413,$B161,'февраль 2024'!$J$6:$J$1413,AA$1)</f>
        <v>0</v>
      </c>
      <c r="AB161" s="80">
        <f>SUMIFS('февраль 2024'!$G$6:$G$1413,'февраль 2024'!$D$6:$D$1413,$B161,'февраль 2024'!$J$6:$J$1413,AB$1)</f>
        <v>0</v>
      </c>
      <c r="AC161" s="80">
        <f>SUMIFS('февраль 2024'!$G$6:$G$1413,'февраль 2024'!$D$6:$D$1413,$B161,'февраль 2024'!$J$6:$J$1413,AC$1)</f>
        <v>0</v>
      </c>
      <c r="AD161" s="80">
        <f>SUMIFS('февраль 2024'!$G$6:$G$1413,'февраль 2024'!$D$6:$D$1413,$B161,'февраль 2024'!$J$6:$J$1413,AD$1)</f>
        <v>0</v>
      </c>
      <c r="AE161" s="80">
        <f>SUMIFS('февраль 2024'!$G$6:$G$1413,'февраль 2024'!$D$6:$D$1413,$B161,'февраль 2024'!$J$6:$J$1413,AE$1)</f>
        <v>0</v>
      </c>
      <c r="AF161" s="80">
        <f>SUMIFS('февраль 2024'!$G$6:$G$1413,'февраль 2024'!$D$6:$D$1413,$B161,'февраль 2024'!$J$6:$J$1413,AF$1)</f>
        <v>0</v>
      </c>
      <c r="AG161" s="80">
        <f>SUMIFS('февраль 2024'!$G$6:$G$1413,'февраль 2024'!$D$6:$D$1413,$B161,'февраль 2024'!$J$6:$J$1413,AG$1)</f>
        <v>0</v>
      </c>
      <c r="AH161" s="80">
        <f>SUMIFS('февраль 2024'!$G$6:$G$1413,'февраль 2024'!$D$6:$D$1413,$B161,'февраль 2024'!$J$6:$J$1413,AH$1)</f>
        <v>0</v>
      </c>
      <c r="AI161" s="87"/>
    </row>
    <row r="162" spans="2:35" ht="15" hidden="1" customHeight="1" x14ac:dyDescent="0.25">
      <c r="B162" s="89"/>
      <c r="C162" s="91"/>
      <c r="D162" s="80">
        <f>SUMIFS('февраль 2024'!$G$6:$G$1413,'февраль 2024'!$D$6:$D$1413,$B162,'февраль 2024'!$J$6:$J$1413,D$1)</f>
        <v>0</v>
      </c>
      <c r="E162" s="80">
        <f>SUMIFS('февраль 2024'!$G$6:$G$1413,'февраль 2024'!$D$6:$D$1413,$B162,'февраль 2024'!$J$6:$J$1413,E$1)</f>
        <v>0</v>
      </c>
      <c r="F162" s="80">
        <f>SUMIFS('февраль 2024'!$G$6:$G$1413,'февраль 2024'!$D$6:$D$1413,$B162,'февраль 2024'!$J$6:$J$1413,F$1)</f>
        <v>0</v>
      </c>
      <c r="G162" s="80">
        <f>SUMIFS('февраль 2024'!$G$6:$G$1413,'февраль 2024'!$D$6:$D$1413,$B162,'февраль 2024'!$J$6:$J$1413,G$1)</f>
        <v>0</v>
      </c>
      <c r="H162" s="80">
        <f>SUMIFS('февраль 2024'!$G$6:$G$1413,'февраль 2024'!$D$6:$D$1413,$B162,'февраль 2024'!$J$6:$J$1413,H$1)</f>
        <v>0</v>
      </c>
      <c r="I162" s="80">
        <f>SUMIFS('февраль 2024'!$G$6:$G$1413,'февраль 2024'!$D$6:$D$1413,$B162,'февраль 2024'!$J$6:$J$1413,I$1)</f>
        <v>0</v>
      </c>
      <c r="J162" s="80">
        <f>SUMIFS('февраль 2024'!$G$6:$G$1413,'февраль 2024'!$D$6:$D$1413,$B162,'февраль 2024'!$J$6:$J$1413,J$1)</f>
        <v>0</v>
      </c>
      <c r="K162" s="80">
        <f>SUMIFS('февраль 2024'!$G$6:$G$1413,'февраль 2024'!$D$6:$D$1413,$B162,'февраль 2024'!$J$6:$J$1413,K$1)</f>
        <v>0</v>
      </c>
      <c r="L162" s="80">
        <f>SUMIFS('февраль 2024'!$G$6:$G$1413,'февраль 2024'!$D$6:$D$1413,$B162,'февраль 2024'!$J$6:$J$1413,L$1)</f>
        <v>0</v>
      </c>
      <c r="M162" s="80">
        <f>SUMIFS('февраль 2024'!$G$6:$G$1413,'февраль 2024'!$D$6:$D$1413,$B162,'февраль 2024'!$J$6:$J$1413,M$1)</f>
        <v>0</v>
      </c>
      <c r="N162" s="80">
        <f>SUMIFS('февраль 2024'!$G$6:$G$1413,'февраль 2024'!$D$6:$D$1413,$B162,'февраль 2024'!$J$6:$J$1413,N$1)</f>
        <v>0</v>
      </c>
      <c r="O162" s="80">
        <f>SUMIFS('февраль 2024'!$G$6:$G$1413,'февраль 2024'!$D$6:$D$1413,$B162,'февраль 2024'!$J$6:$J$1413,O$1)</f>
        <v>0</v>
      </c>
      <c r="P162" s="80">
        <f>SUMIFS('февраль 2024'!$G$6:$G$1413,'февраль 2024'!$D$6:$D$1413,$B162,'февраль 2024'!$J$6:$J$1413,P$1)</f>
        <v>0</v>
      </c>
      <c r="Q162" s="80">
        <f>SUMIFS('февраль 2024'!$G$6:$G$1413,'февраль 2024'!$D$6:$D$1413,$B162,'февраль 2024'!$J$6:$J$1413,Q$1)</f>
        <v>0</v>
      </c>
      <c r="R162" s="80">
        <f>SUMIFS('февраль 2024'!$G$6:$G$1413,'февраль 2024'!$D$6:$D$1413,$B162,'февраль 2024'!$J$6:$J$1413,R$1)</f>
        <v>0</v>
      </c>
      <c r="S162" s="80">
        <f>SUMIFS('февраль 2024'!$G$6:$G$1413,'февраль 2024'!$D$6:$D$1413,$B162,'февраль 2024'!$J$6:$J$1413,S$1)</f>
        <v>0</v>
      </c>
      <c r="T162" s="80">
        <f>SUMIFS('февраль 2024'!$G$6:$G$1413,'февраль 2024'!$D$6:$D$1413,$B162,'февраль 2024'!$J$6:$J$1413,T$1)</f>
        <v>0</v>
      </c>
      <c r="U162" s="80">
        <f>SUMIFS('февраль 2024'!$G$6:$G$1413,'февраль 2024'!$D$6:$D$1413,$B162,'февраль 2024'!$J$6:$J$1413,U$1)</f>
        <v>0</v>
      </c>
      <c r="V162" s="80">
        <f>SUMIFS('февраль 2024'!$G$6:$G$1413,'февраль 2024'!$D$6:$D$1413,$B162,'февраль 2024'!$J$6:$J$1413,V$1)</f>
        <v>0</v>
      </c>
      <c r="W162" s="80">
        <f>SUMIFS('февраль 2024'!$G$6:$G$1413,'февраль 2024'!$D$6:$D$1413,$B162,'февраль 2024'!$J$6:$J$1413,W$1)</f>
        <v>0</v>
      </c>
      <c r="X162" s="80">
        <f>SUMIFS('февраль 2024'!$G$6:$G$1413,'февраль 2024'!$D$6:$D$1413,$B162,'февраль 2024'!$J$6:$J$1413,X$1)</f>
        <v>0</v>
      </c>
      <c r="Y162" s="80">
        <f>SUMIFS('февраль 2024'!$G$6:$G$1413,'февраль 2024'!$D$6:$D$1413,$B162,'февраль 2024'!$J$6:$J$1413,Y$1)</f>
        <v>0</v>
      </c>
      <c r="Z162" s="80">
        <f>SUMIFS('февраль 2024'!$G$6:$G$1413,'февраль 2024'!$D$6:$D$1413,$B162,'февраль 2024'!$J$6:$J$1413,Z$1)</f>
        <v>0</v>
      </c>
      <c r="AA162" s="80">
        <f>SUMIFS('февраль 2024'!$G$6:$G$1413,'февраль 2024'!$D$6:$D$1413,$B162,'февраль 2024'!$J$6:$J$1413,AA$1)</f>
        <v>0</v>
      </c>
      <c r="AB162" s="80">
        <f>SUMIFS('февраль 2024'!$G$6:$G$1413,'февраль 2024'!$D$6:$D$1413,$B162,'февраль 2024'!$J$6:$J$1413,AB$1)</f>
        <v>0</v>
      </c>
      <c r="AC162" s="80">
        <f>SUMIFS('февраль 2024'!$G$6:$G$1413,'февраль 2024'!$D$6:$D$1413,$B162,'февраль 2024'!$J$6:$J$1413,AC$1)</f>
        <v>0</v>
      </c>
      <c r="AD162" s="80">
        <f>SUMIFS('февраль 2024'!$G$6:$G$1413,'февраль 2024'!$D$6:$D$1413,$B162,'февраль 2024'!$J$6:$J$1413,AD$1)</f>
        <v>0</v>
      </c>
      <c r="AE162" s="80">
        <f>SUMIFS('февраль 2024'!$G$6:$G$1413,'февраль 2024'!$D$6:$D$1413,$B162,'февраль 2024'!$J$6:$J$1413,AE$1)</f>
        <v>0</v>
      </c>
      <c r="AF162" s="80">
        <f>SUMIFS('февраль 2024'!$G$6:$G$1413,'февраль 2024'!$D$6:$D$1413,$B162,'февраль 2024'!$J$6:$J$1413,AF$1)</f>
        <v>0</v>
      </c>
      <c r="AG162" s="80">
        <f>SUMIFS('февраль 2024'!$G$6:$G$1413,'февраль 2024'!$D$6:$D$1413,$B162,'февраль 2024'!$J$6:$J$1413,AG$1)</f>
        <v>0</v>
      </c>
      <c r="AH162" s="80">
        <f>SUMIFS('февраль 2024'!$G$6:$G$1413,'февраль 2024'!$D$6:$D$1413,$B162,'февраль 2024'!$J$6:$J$1413,AH$1)</f>
        <v>0</v>
      </c>
      <c r="AI162" s="87"/>
    </row>
    <row r="163" spans="2:35" ht="15" hidden="1" customHeight="1" x14ac:dyDescent="0.25">
      <c r="B163" s="93"/>
      <c r="C163" s="91"/>
      <c r="D163" s="80">
        <f>SUMIFS('февраль 2024'!$G$6:$G$1413,'февраль 2024'!$D$6:$D$1413,$B163,'февраль 2024'!$J$6:$J$1413,D$1)</f>
        <v>0</v>
      </c>
      <c r="E163" s="80">
        <f>SUMIFS('февраль 2024'!$G$6:$G$1413,'февраль 2024'!$D$6:$D$1413,$B163,'февраль 2024'!$J$6:$J$1413,E$1)</f>
        <v>0</v>
      </c>
      <c r="F163" s="80">
        <f>SUMIFS('февраль 2024'!$G$6:$G$1413,'февраль 2024'!$D$6:$D$1413,$B163,'февраль 2024'!$J$6:$J$1413,F$1)</f>
        <v>0</v>
      </c>
      <c r="G163" s="80">
        <f>SUMIFS('февраль 2024'!$G$6:$G$1413,'февраль 2024'!$D$6:$D$1413,$B163,'февраль 2024'!$J$6:$J$1413,G$1)</f>
        <v>0</v>
      </c>
      <c r="H163" s="80">
        <f>SUMIFS('февраль 2024'!$G$6:$G$1413,'февраль 2024'!$D$6:$D$1413,$B163,'февраль 2024'!$J$6:$J$1413,H$1)</f>
        <v>0</v>
      </c>
      <c r="I163" s="80">
        <f>SUMIFS('февраль 2024'!$G$6:$G$1413,'февраль 2024'!$D$6:$D$1413,$B163,'февраль 2024'!$J$6:$J$1413,I$1)</f>
        <v>0</v>
      </c>
      <c r="J163" s="80">
        <f>SUMIFS('февраль 2024'!$G$6:$G$1413,'февраль 2024'!$D$6:$D$1413,$B163,'февраль 2024'!$J$6:$J$1413,J$1)</f>
        <v>0</v>
      </c>
      <c r="K163" s="80">
        <f>SUMIFS('февраль 2024'!$G$6:$G$1413,'февраль 2024'!$D$6:$D$1413,$B163,'февраль 2024'!$J$6:$J$1413,K$1)</f>
        <v>0</v>
      </c>
      <c r="L163" s="80">
        <f>SUMIFS('февраль 2024'!$G$6:$G$1413,'февраль 2024'!$D$6:$D$1413,$B163,'февраль 2024'!$J$6:$J$1413,L$1)</f>
        <v>0</v>
      </c>
      <c r="M163" s="80">
        <f>SUMIFS('февраль 2024'!$G$6:$G$1413,'февраль 2024'!$D$6:$D$1413,$B163,'февраль 2024'!$J$6:$J$1413,M$1)</f>
        <v>0</v>
      </c>
      <c r="N163" s="80">
        <f>SUMIFS('февраль 2024'!$G$6:$G$1413,'февраль 2024'!$D$6:$D$1413,$B163,'февраль 2024'!$J$6:$J$1413,N$1)</f>
        <v>0</v>
      </c>
      <c r="O163" s="80">
        <f>SUMIFS('февраль 2024'!$G$6:$G$1413,'февраль 2024'!$D$6:$D$1413,$B163,'февраль 2024'!$J$6:$J$1413,O$1)</f>
        <v>0</v>
      </c>
      <c r="P163" s="80">
        <f>SUMIFS('февраль 2024'!$G$6:$G$1413,'февраль 2024'!$D$6:$D$1413,$B163,'февраль 2024'!$J$6:$J$1413,P$1)</f>
        <v>0</v>
      </c>
      <c r="Q163" s="80">
        <f>SUMIFS('февраль 2024'!$G$6:$G$1413,'февраль 2024'!$D$6:$D$1413,$B163,'февраль 2024'!$J$6:$J$1413,Q$1)</f>
        <v>0</v>
      </c>
      <c r="R163" s="80">
        <f>SUMIFS('февраль 2024'!$G$6:$G$1413,'февраль 2024'!$D$6:$D$1413,$B163,'февраль 2024'!$J$6:$J$1413,R$1)</f>
        <v>0</v>
      </c>
      <c r="S163" s="80">
        <f>SUMIFS('февраль 2024'!$G$6:$G$1413,'февраль 2024'!$D$6:$D$1413,$B163,'февраль 2024'!$J$6:$J$1413,S$1)</f>
        <v>0</v>
      </c>
      <c r="T163" s="80">
        <f>SUMIFS('февраль 2024'!$G$6:$G$1413,'февраль 2024'!$D$6:$D$1413,$B163,'февраль 2024'!$J$6:$J$1413,T$1)</f>
        <v>0</v>
      </c>
      <c r="U163" s="80">
        <f>SUMIFS('февраль 2024'!$G$6:$G$1413,'февраль 2024'!$D$6:$D$1413,$B163,'февраль 2024'!$J$6:$J$1413,U$1)</f>
        <v>0</v>
      </c>
      <c r="V163" s="80">
        <f>SUMIFS('февраль 2024'!$G$6:$G$1413,'февраль 2024'!$D$6:$D$1413,$B163,'февраль 2024'!$J$6:$J$1413,V$1)</f>
        <v>0</v>
      </c>
      <c r="W163" s="80">
        <f>SUMIFS('февраль 2024'!$G$6:$G$1413,'февраль 2024'!$D$6:$D$1413,$B163,'февраль 2024'!$J$6:$J$1413,W$1)</f>
        <v>0</v>
      </c>
      <c r="X163" s="80">
        <f>SUMIFS('февраль 2024'!$G$6:$G$1413,'февраль 2024'!$D$6:$D$1413,$B163,'февраль 2024'!$J$6:$J$1413,X$1)</f>
        <v>0</v>
      </c>
      <c r="Y163" s="80">
        <f>SUMIFS('февраль 2024'!$G$6:$G$1413,'февраль 2024'!$D$6:$D$1413,$B163,'февраль 2024'!$J$6:$J$1413,Y$1)</f>
        <v>0</v>
      </c>
      <c r="Z163" s="80">
        <f>SUMIFS('февраль 2024'!$G$6:$G$1413,'февраль 2024'!$D$6:$D$1413,$B163,'февраль 2024'!$J$6:$J$1413,Z$1)</f>
        <v>0</v>
      </c>
      <c r="AA163" s="80">
        <f>SUMIFS('февраль 2024'!$G$6:$G$1413,'февраль 2024'!$D$6:$D$1413,$B163,'февраль 2024'!$J$6:$J$1413,AA$1)</f>
        <v>0</v>
      </c>
      <c r="AB163" s="80">
        <f>SUMIFS('февраль 2024'!$G$6:$G$1413,'февраль 2024'!$D$6:$D$1413,$B163,'февраль 2024'!$J$6:$J$1413,AB$1)</f>
        <v>0</v>
      </c>
      <c r="AC163" s="80">
        <f>SUMIFS('февраль 2024'!$G$6:$G$1413,'февраль 2024'!$D$6:$D$1413,$B163,'февраль 2024'!$J$6:$J$1413,AC$1)</f>
        <v>0</v>
      </c>
      <c r="AD163" s="80">
        <f>SUMIFS('февраль 2024'!$G$6:$G$1413,'февраль 2024'!$D$6:$D$1413,$B163,'февраль 2024'!$J$6:$J$1413,AD$1)</f>
        <v>0</v>
      </c>
      <c r="AE163" s="80">
        <f>SUMIFS('февраль 2024'!$G$6:$G$1413,'февраль 2024'!$D$6:$D$1413,$B163,'февраль 2024'!$J$6:$J$1413,AE$1)</f>
        <v>0</v>
      </c>
      <c r="AF163" s="80">
        <f>SUMIFS('февраль 2024'!$G$6:$G$1413,'февраль 2024'!$D$6:$D$1413,$B163,'февраль 2024'!$J$6:$J$1413,AF$1)</f>
        <v>0</v>
      </c>
      <c r="AG163" s="80">
        <f>SUMIFS('февраль 2024'!$G$6:$G$1413,'февраль 2024'!$D$6:$D$1413,$B163,'февраль 2024'!$J$6:$J$1413,AG$1)</f>
        <v>0</v>
      </c>
      <c r="AH163" s="80">
        <f>SUMIFS('февраль 2024'!$G$6:$G$1413,'февраль 2024'!$D$6:$D$1413,$B163,'февраль 2024'!$J$6:$J$1413,AH$1)</f>
        <v>0</v>
      </c>
      <c r="AI163" s="87"/>
    </row>
    <row r="164" spans="2:35" ht="15" hidden="1" customHeight="1" x14ac:dyDescent="0.25">
      <c r="B164" s="89"/>
      <c r="C164" s="88"/>
      <c r="D164" s="80">
        <f>SUMIFS('февраль 2024'!$G$6:$G$1413,'февраль 2024'!$D$6:$D$1413,$B164,'февраль 2024'!$J$6:$J$1413,D$1)</f>
        <v>0</v>
      </c>
      <c r="E164" s="80">
        <f>SUMIFS('февраль 2024'!$G$6:$G$1413,'февраль 2024'!$D$6:$D$1413,$B164,'февраль 2024'!$J$6:$J$1413,E$1)</f>
        <v>0</v>
      </c>
      <c r="F164" s="80">
        <f>SUMIFS('февраль 2024'!$G$6:$G$1413,'февраль 2024'!$D$6:$D$1413,$B164,'февраль 2024'!$J$6:$J$1413,F$1)</f>
        <v>0</v>
      </c>
      <c r="G164" s="80">
        <f>SUMIFS('февраль 2024'!$G$6:$G$1413,'февраль 2024'!$D$6:$D$1413,$B164,'февраль 2024'!$J$6:$J$1413,G$1)</f>
        <v>0</v>
      </c>
      <c r="H164" s="80">
        <f>SUMIFS('февраль 2024'!$G$6:$G$1413,'февраль 2024'!$D$6:$D$1413,$B164,'февраль 2024'!$J$6:$J$1413,H$1)</f>
        <v>0</v>
      </c>
      <c r="I164" s="80">
        <f>SUMIFS('февраль 2024'!$G$6:$G$1413,'февраль 2024'!$D$6:$D$1413,$B164,'февраль 2024'!$J$6:$J$1413,I$1)</f>
        <v>0</v>
      </c>
      <c r="J164" s="80">
        <f>SUMIFS('февраль 2024'!$G$6:$G$1413,'февраль 2024'!$D$6:$D$1413,$B164,'февраль 2024'!$J$6:$J$1413,J$1)</f>
        <v>0</v>
      </c>
      <c r="K164" s="80">
        <f>SUMIFS('февраль 2024'!$G$6:$G$1413,'февраль 2024'!$D$6:$D$1413,$B164,'февраль 2024'!$J$6:$J$1413,K$1)</f>
        <v>0</v>
      </c>
      <c r="L164" s="80">
        <f>SUMIFS('февраль 2024'!$G$6:$G$1413,'февраль 2024'!$D$6:$D$1413,$B164,'февраль 2024'!$J$6:$J$1413,L$1)</f>
        <v>0</v>
      </c>
      <c r="M164" s="80">
        <f>SUMIFS('февраль 2024'!$G$6:$G$1413,'февраль 2024'!$D$6:$D$1413,$B164,'февраль 2024'!$J$6:$J$1413,M$1)</f>
        <v>0</v>
      </c>
      <c r="N164" s="80">
        <f>SUMIFS('февраль 2024'!$G$6:$G$1413,'февраль 2024'!$D$6:$D$1413,$B164,'февраль 2024'!$J$6:$J$1413,N$1)</f>
        <v>0</v>
      </c>
      <c r="O164" s="80">
        <f>SUMIFS('февраль 2024'!$G$6:$G$1413,'февраль 2024'!$D$6:$D$1413,$B164,'февраль 2024'!$J$6:$J$1413,O$1)</f>
        <v>0</v>
      </c>
      <c r="P164" s="80">
        <f>SUMIFS('февраль 2024'!$G$6:$G$1413,'февраль 2024'!$D$6:$D$1413,$B164,'февраль 2024'!$J$6:$J$1413,P$1)</f>
        <v>0</v>
      </c>
      <c r="Q164" s="80">
        <f>SUMIFS('февраль 2024'!$G$6:$G$1413,'февраль 2024'!$D$6:$D$1413,$B164,'февраль 2024'!$J$6:$J$1413,Q$1)</f>
        <v>0</v>
      </c>
      <c r="R164" s="80">
        <f>SUMIFS('февраль 2024'!$G$6:$G$1413,'февраль 2024'!$D$6:$D$1413,$B164,'февраль 2024'!$J$6:$J$1413,R$1)</f>
        <v>0</v>
      </c>
      <c r="S164" s="80">
        <f>SUMIFS('февраль 2024'!$G$6:$G$1413,'февраль 2024'!$D$6:$D$1413,$B164,'февраль 2024'!$J$6:$J$1413,S$1)</f>
        <v>0</v>
      </c>
      <c r="T164" s="80">
        <f>SUMIFS('февраль 2024'!$G$6:$G$1413,'февраль 2024'!$D$6:$D$1413,$B164,'февраль 2024'!$J$6:$J$1413,T$1)</f>
        <v>0</v>
      </c>
      <c r="U164" s="80">
        <f>SUMIFS('февраль 2024'!$G$6:$G$1413,'февраль 2024'!$D$6:$D$1413,$B164,'февраль 2024'!$J$6:$J$1413,U$1)</f>
        <v>0</v>
      </c>
      <c r="V164" s="80">
        <f>SUMIFS('февраль 2024'!$G$6:$G$1413,'февраль 2024'!$D$6:$D$1413,$B164,'февраль 2024'!$J$6:$J$1413,V$1)</f>
        <v>0</v>
      </c>
      <c r="W164" s="80">
        <f>SUMIFS('февраль 2024'!$G$6:$G$1413,'февраль 2024'!$D$6:$D$1413,$B164,'февраль 2024'!$J$6:$J$1413,W$1)</f>
        <v>0</v>
      </c>
      <c r="X164" s="80">
        <f>SUMIFS('февраль 2024'!$G$6:$G$1413,'февраль 2024'!$D$6:$D$1413,$B164,'февраль 2024'!$J$6:$J$1413,X$1)</f>
        <v>0</v>
      </c>
      <c r="Y164" s="80">
        <f>SUMIFS('февраль 2024'!$G$6:$G$1413,'февраль 2024'!$D$6:$D$1413,$B164,'февраль 2024'!$J$6:$J$1413,Y$1)</f>
        <v>0</v>
      </c>
      <c r="Z164" s="80">
        <f>SUMIFS('февраль 2024'!$G$6:$G$1413,'февраль 2024'!$D$6:$D$1413,$B164,'февраль 2024'!$J$6:$J$1413,Z$1)</f>
        <v>0</v>
      </c>
      <c r="AA164" s="80">
        <f>SUMIFS('февраль 2024'!$G$6:$G$1413,'февраль 2024'!$D$6:$D$1413,$B164,'февраль 2024'!$J$6:$J$1413,AA$1)</f>
        <v>0</v>
      </c>
      <c r="AB164" s="80">
        <f>SUMIFS('февраль 2024'!$G$6:$G$1413,'февраль 2024'!$D$6:$D$1413,$B164,'февраль 2024'!$J$6:$J$1413,AB$1)</f>
        <v>0</v>
      </c>
      <c r="AC164" s="80">
        <f>SUMIFS('февраль 2024'!$G$6:$G$1413,'февраль 2024'!$D$6:$D$1413,$B164,'февраль 2024'!$J$6:$J$1413,AC$1)</f>
        <v>0</v>
      </c>
      <c r="AD164" s="80">
        <f>SUMIFS('февраль 2024'!$G$6:$G$1413,'февраль 2024'!$D$6:$D$1413,$B164,'февраль 2024'!$J$6:$J$1413,AD$1)</f>
        <v>0</v>
      </c>
      <c r="AE164" s="80">
        <f>SUMIFS('февраль 2024'!$G$6:$G$1413,'февраль 2024'!$D$6:$D$1413,$B164,'февраль 2024'!$J$6:$J$1413,AE$1)</f>
        <v>0</v>
      </c>
      <c r="AF164" s="80">
        <f>SUMIFS('февраль 2024'!$G$6:$G$1413,'февраль 2024'!$D$6:$D$1413,$B164,'февраль 2024'!$J$6:$J$1413,AF$1)</f>
        <v>0</v>
      </c>
      <c r="AG164" s="80">
        <f>SUMIFS('февраль 2024'!$G$6:$G$1413,'февраль 2024'!$D$6:$D$1413,$B164,'февраль 2024'!$J$6:$J$1413,AG$1)</f>
        <v>0</v>
      </c>
      <c r="AH164" s="80">
        <f>SUMIFS('февраль 2024'!$G$6:$G$1413,'февраль 2024'!$D$6:$D$1413,$B164,'февраль 2024'!$J$6:$J$1413,AH$1)</f>
        <v>0</v>
      </c>
      <c r="AI164" s="87"/>
    </row>
    <row r="165" spans="2:35" ht="15" hidden="1" customHeight="1" x14ac:dyDescent="0.25">
      <c r="B165" s="89"/>
      <c r="C165" s="91"/>
      <c r="D165" s="80">
        <f>SUMIFS('февраль 2024'!$G$6:$G$1413,'февраль 2024'!$D$6:$D$1413,$B165,'февраль 2024'!$J$6:$J$1413,D$1)</f>
        <v>0</v>
      </c>
      <c r="E165" s="80">
        <f>SUMIFS('февраль 2024'!$G$6:$G$1413,'февраль 2024'!$D$6:$D$1413,$B165,'февраль 2024'!$J$6:$J$1413,E$1)</f>
        <v>0</v>
      </c>
      <c r="F165" s="80">
        <f>SUMIFS('февраль 2024'!$G$6:$G$1413,'февраль 2024'!$D$6:$D$1413,$B165,'февраль 2024'!$J$6:$J$1413,F$1)</f>
        <v>0</v>
      </c>
      <c r="G165" s="80">
        <f>SUMIFS('февраль 2024'!$G$6:$G$1413,'февраль 2024'!$D$6:$D$1413,$B165,'февраль 2024'!$J$6:$J$1413,G$1)</f>
        <v>0</v>
      </c>
      <c r="H165" s="80">
        <f>SUMIFS('февраль 2024'!$G$6:$G$1413,'февраль 2024'!$D$6:$D$1413,$B165,'февраль 2024'!$J$6:$J$1413,H$1)</f>
        <v>0</v>
      </c>
      <c r="I165" s="80">
        <f>SUMIFS('февраль 2024'!$G$6:$G$1413,'февраль 2024'!$D$6:$D$1413,$B165,'февраль 2024'!$J$6:$J$1413,I$1)</f>
        <v>0</v>
      </c>
      <c r="J165" s="80">
        <f>SUMIFS('февраль 2024'!$G$6:$G$1413,'февраль 2024'!$D$6:$D$1413,$B165,'февраль 2024'!$J$6:$J$1413,J$1)</f>
        <v>0</v>
      </c>
      <c r="K165" s="80">
        <f>SUMIFS('февраль 2024'!$G$6:$G$1413,'февраль 2024'!$D$6:$D$1413,$B165,'февраль 2024'!$J$6:$J$1413,K$1)</f>
        <v>0</v>
      </c>
      <c r="L165" s="80">
        <f>SUMIFS('февраль 2024'!$G$6:$G$1413,'февраль 2024'!$D$6:$D$1413,$B165,'февраль 2024'!$J$6:$J$1413,L$1)</f>
        <v>0</v>
      </c>
      <c r="M165" s="80">
        <f>SUMIFS('февраль 2024'!$G$6:$G$1413,'февраль 2024'!$D$6:$D$1413,$B165,'февраль 2024'!$J$6:$J$1413,M$1)</f>
        <v>0</v>
      </c>
      <c r="N165" s="80">
        <f>SUMIFS('февраль 2024'!$G$6:$G$1413,'февраль 2024'!$D$6:$D$1413,$B165,'февраль 2024'!$J$6:$J$1413,N$1)</f>
        <v>0</v>
      </c>
      <c r="O165" s="80">
        <f>SUMIFS('февраль 2024'!$G$6:$G$1413,'февраль 2024'!$D$6:$D$1413,$B165,'февраль 2024'!$J$6:$J$1413,O$1)</f>
        <v>0</v>
      </c>
      <c r="P165" s="80">
        <f>SUMIFS('февраль 2024'!$G$6:$G$1413,'февраль 2024'!$D$6:$D$1413,$B165,'февраль 2024'!$J$6:$J$1413,P$1)</f>
        <v>0</v>
      </c>
      <c r="Q165" s="80">
        <f>SUMIFS('февраль 2024'!$G$6:$G$1413,'февраль 2024'!$D$6:$D$1413,$B165,'февраль 2024'!$J$6:$J$1413,Q$1)</f>
        <v>0</v>
      </c>
      <c r="R165" s="80">
        <f>SUMIFS('февраль 2024'!$G$6:$G$1413,'февраль 2024'!$D$6:$D$1413,$B165,'февраль 2024'!$J$6:$J$1413,R$1)</f>
        <v>0</v>
      </c>
      <c r="S165" s="80">
        <f>SUMIFS('февраль 2024'!$G$6:$G$1413,'февраль 2024'!$D$6:$D$1413,$B165,'февраль 2024'!$J$6:$J$1413,S$1)</f>
        <v>0</v>
      </c>
      <c r="T165" s="80">
        <f>SUMIFS('февраль 2024'!$G$6:$G$1413,'февраль 2024'!$D$6:$D$1413,$B165,'февраль 2024'!$J$6:$J$1413,T$1)</f>
        <v>0</v>
      </c>
      <c r="U165" s="80">
        <f>SUMIFS('февраль 2024'!$G$6:$G$1413,'февраль 2024'!$D$6:$D$1413,$B165,'февраль 2024'!$J$6:$J$1413,U$1)</f>
        <v>0</v>
      </c>
      <c r="V165" s="80">
        <f>SUMIFS('февраль 2024'!$G$6:$G$1413,'февраль 2024'!$D$6:$D$1413,$B165,'февраль 2024'!$J$6:$J$1413,V$1)</f>
        <v>0</v>
      </c>
      <c r="W165" s="80">
        <f>SUMIFS('февраль 2024'!$G$6:$G$1413,'февраль 2024'!$D$6:$D$1413,$B165,'февраль 2024'!$J$6:$J$1413,W$1)</f>
        <v>0</v>
      </c>
      <c r="X165" s="80">
        <f>SUMIFS('февраль 2024'!$G$6:$G$1413,'февраль 2024'!$D$6:$D$1413,$B165,'февраль 2024'!$J$6:$J$1413,X$1)</f>
        <v>0</v>
      </c>
      <c r="Y165" s="80">
        <f>SUMIFS('февраль 2024'!$G$6:$G$1413,'февраль 2024'!$D$6:$D$1413,$B165,'февраль 2024'!$J$6:$J$1413,Y$1)</f>
        <v>0</v>
      </c>
      <c r="Z165" s="80">
        <f>SUMIFS('февраль 2024'!$G$6:$G$1413,'февраль 2024'!$D$6:$D$1413,$B165,'февраль 2024'!$J$6:$J$1413,Z$1)</f>
        <v>0</v>
      </c>
      <c r="AA165" s="80">
        <f>SUMIFS('февраль 2024'!$G$6:$G$1413,'февраль 2024'!$D$6:$D$1413,$B165,'февраль 2024'!$J$6:$J$1413,AA$1)</f>
        <v>0</v>
      </c>
      <c r="AB165" s="80">
        <f>SUMIFS('февраль 2024'!$G$6:$G$1413,'февраль 2024'!$D$6:$D$1413,$B165,'февраль 2024'!$J$6:$J$1413,AB$1)</f>
        <v>0</v>
      </c>
      <c r="AC165" s="80">
        <f>SUMIFS('февраль 2024'!$G$6:$G$1413,'февраль 2024'!$D$6:$D$1413,$B165,'февраль 2024'!$J$6:$J$1413,AC$1)</f>
        <v>0</v>
      </c>
      <c r="AD165" s="80">
        <f>SUMIFS('февраль 2024'!$G$6:$G$1413,'февраль 2024'!$D$6:$D$1413,$B165,'февраль 2024'!$J$6:$J$1413,AD$1)</f>
        <v>0</v>
      </c>
      <c r="AE165" s="80">
        <f>SUMIFS('февраль 2024'!$G$6:$G$1413,'февраль 2024'!$D$6:$D$1413,$B165,'февраль 2024'!$J$6:$J$1413,AE$1)</f>
        <v>0</v>
      </c>
      <c r="AF165" s="80">
        <f>SUMIFS('февраль 2024'!$G$6:$G$1413,'февраль 2024'!$D$6:$D$1413,$B165,'февраль 2024'!$J$6:$J$1413,AF$1)</f>
        <v>0</v>
      </c>
      <c r="AG165" s="80">
        <f>SUMIFS('февраль 2024'!$G$6:$G$1413,'февраль 2024'!$D$6:$D$1413,$B165,'февраль 2024'!$J$6:$J$1413,AG$1)</f>
        <v>0</v>
      </c>
      <c r="AH165" s="80">
        <f>SUMIFS('февраль 2024'!$G$6:$G$1413,'февраль 2024'!$D$6:$D$1413,$B165,'февраль 2024'!$J$6:$J$1413,AH$1)</f>
        <v>0</v>
      </c>
      <c r="AI165" s="87"/>
    </row>
    <row r="166" spans="2:35" ht="15" hidden="1" customHeight="1" x14ac:dyDescent="0.25">
      <c r="B166" s="89"/>
      <c r="C166" s="91"/>
      <c r="D166" s="80">
        <f>SUMIFS('февраль 2024'!$G$6:$G$1413,'февраль 2024'!$D$6:$D$1413,$B166,'февраль 2024'!$J$6:$J$1413,D$1)</f>
        <v>0</v>
      </c>
      <c r="E166" s="80">
        <f>SUMIFS('февраль 2024'!$G$6:$G$1413,'февраль 2024'!$D$6:$D$1413,$B166,'февраль 2024'!$J$6:$J$1413,E$1)</f>
        <v>0</v>
      </c>
      <c r="F166" s="80">
        <f>SUMIFS('февраль 2024'!$G$6:$G$1413,'февраль 2024'!$D$6:$D$1413,$B166,'февраль 2024'!$J$6:$J$1413,F$1)</f>
        <v>0</v>
      </c>
      <c r="G166" s="80">
        <f>SUMIFS('февраль 2024'!$G$6:$G$1413,'февраль 2024'!$D$6:$D$1413,$B166,'февраль 2024'!$J$6:$J$1413,G$1)</f>
        <v>0</v>
      </c>
      <c r="H166" s="80">
        <f>SUMIFS('февраль 2024'!$G$6:$G$1413,'февраль 2024'!$D$6:$D$1413,$B166,'февраль 2024'!$J$6:$J$1413,H$1)</f>
        <v>0</v>
      </c>
      <c r="I166" s="80">
        <f>SUMIFS('февраль 2024'!$G$6:$G$1413,'февраль 2024'!$D$6:$D$1413,$B166,'февраль 2024'!$J$6:$J$1413,I$1)</f>
        <v>0</v>
      </c>
      <c r="J166" s="80">
        <f>SUMIFS('февраль 2024'!$G$6:$G$1413,'февраль 2024'!$D$6:$D$1413,$B166,'февраль 2024'!$J$6:$J$1413,J$1)</f>
        <v>0</v>
      </c>
      <c r="K166" s="80">
        <f>SUMIFS('февраль 2024'!$G$6:$G$1413,'февраль 2024'!$D$6:$D$1413,$B166,'февраль 2024'!$J$6:$J$1413,K$1)</f>
        <v>0</v>
      </c>
      <c r="L166" s="80">
        <f>SUMIFS('февраль 2024'!$G$6:$G$1413,'февраль 2024'!$D$6:$D$1413,$B166,'февраль 2024'!$J$6:$J$1413,L$1)</f>
        <v>0</v>
      </c>
      <c r="M166" s="80">
        <f>SUMIFS('февраль 2024'!$G$6:$G$1413,'февраль 2024'!$D$6:$D$1413,$B166,'февраль 2024'!$J$6:$J$1413,M$1)</f>
        <v>0</v>
      </c>
      <c r="N166" s="80">
        <f>SUMIFS('февраль 2024'!$G$6:$G$1413,'февраль 2024'!$D$6:$D$1413,$B166,'февраль 2024'!$J$6:$J$1413,N$1)</f>
        <v>0</v>
      </c>
      <c r="O166" s="80">
        <f>SUMIFS('февраль 2024'!$G$6:$G$1413,'февраль 2024'!$D$6:$D$1413,$B166,'февраль 2024'!$J$6:$J$1413,O$1)</f>
        <v>0</v>
      </c>
      <c r="P166" s="80">
        <f>SUMIFS('февраль 2024'!$G$6:$G$1413,'февраль 2024'!$D$6:$D$1413,$B166,'февраль 2024'!$J$6:$J$1413,P$1)</f>
        <v>0</v>
      </c>
      <c r="Q166" s="80">
        <f>SUMIFS('февраль 2024'!$G$6:$G$1413,'февраль 2024'!$D$6:$D$1413,$B166,'февраль 2024'!$J$6:$J$1413,Q$1)</f>
        <v>0</v>
      </c>
      <c r="R166" s="80">
        <f>SUMIFS('февраль 2024'!$G$6:$G$1413,'февраль 2024'!$D$6:$D$1413,$B166,'февраль 2024'!$J$6:$J$1413,R$1)</f>
        <v>0</v>
      </c>
      <c r="S166" s="80">
        <f>SUMIFS('февраль 2024'!$G$6:$G$1413,'февраль 2024'!$D$6:$D$1413,$B166,'февраль 2024'!$J$6:$J$1413,S$1)</f>
        <v>0</v>
      </c>
      <c r="T166" s="80">
        <f>SUMIFS('февраль 2024'!$G$6:$G$1413,'февраль 2024'!$D$6:$D$1413,$B166,'февраль 2024'!$J$6:$J$1413,T$1)</f>
        <v>0</v>
      </c>
      <c r="U166" s="80">
        <f>SUMIFS('февраль 2024'!$G$6:$G$1413,'февраль 2024'!$D$6:$D$1413,$B166,'февраль 2024'!$J$6:$J$1413,U$1)</f>
        <v>0</v>
      </c>
      <c r="V166" s="80">
        <f>SUMIFS('февраль 2024'!$G$6:$G$1413,'февраль 2024'!$D$6:$D$1413,$B166,'февраль 2024'!$J$6:$J$1413,V$1)</f>
        <v>0</v>
      </c>
      <c r="W166" s="80">
        <f>SUMIFS('февраль 2024'!$G$6:$G$1413,'февраль 2024'!$D$6:$D$1413,$B166,'февраль 2024'!$J$6:$J$1413,W$1)</f>
        <v>0</v>
      </c>
      <c r="X166" s="80">
        <f>SUMIFS('февраль 2024'!$G$6:$G$1413,'февраль 2024'!$D$6:$D$1413,$B166,'февраль 2024'!$J$6:$J$1413,X$1)</f>
        <v>0</v>
      </c>
      <c r="Y166" s="80">
        <f>SUMIFS('февраль 2024'!$G$6:$G$1413,'февраль 2024'!$D$6:$D$1413,$B166,'февраль 2024'!$J$6:$J$1413,Y$1)</f>
        <v>0</v>
      </c>
      <c r="Z166" s="80">
        <f>SUMIFS('февраль 2024'!$G$6:$G$1413,'февраль 2024'!$D$6:$D$1413,$B166,'февраль 2024'!$J$6:$J$1413,Z$1)</f>
        <v>0</v>
      </c>
      <c r="AA166" s="80">
        <f>SUMIFS('февраль 2024'!$G$6:$G$1413,'февраль 2024'!$D$6:$D$1413,$B166,'февраль 2024'!$J$6:$J$1413,AA$1)</f>
        <v>0</v>
      </c>
      <c r="AB166" s="80">
        <f>SUMIFS('февраль 2024'!$G$6:$G$1413,'февраль 2024'!$D$6:$D$1413,$B166,'февраль 2024'!$J$6:$J$1413,AB$1)</f>
        <v>0</v>
      </c>
      <c r="AC166" s="80">
        <f>SUMIFS('февраль 2024'!$G$6:$G$1413,'февраль 2024'!$D$6:$D$1413,$B166,'февраль 2024'!$J$6:$J$1413,AC$1)</f>
        <v>0</v>
      </c>
      <c r="AD166" s="80">
        <f>SUMIFS('февраль 2024'!$G$6:$G$1413,'февраль 2024'!$D$6:$D$1413,$B166,'февраль 2024'!$J$6:$J$1413,AD$1)</f>
        <v>0</v>
      </c>
      <c r="AE166" s="80">
        <f>SUMIFS('февраль 2024'!$G$6:$G$1413,'февраль 2024'!$D$6:$D$1413,$B166,'февраль 2024'!$J$6:$J$1413,AE$1)</f>
        <v>0</v>
      </c>
      <c r="AF166" s="80">
        <f>SUMIFS('февраль 2024'!$G$6:$G$1413,'февраль 2024'!$D$6:$D$1413,$B166,'февраль 2024'!$J$6:$J$1413,AF$1)</f>
        <v>0</v>
      </c>
      <c r="AG166" s="80">
        <f>SUMIFS('февраль 2024'!$G$6:$G$1413,'февраль 2024'!$D$6:$D$1413,$B166,'февраль 2024'!$J$6:$J$1413,AG$1)</f>
        <v>0</v>
      </c>
      <c r="AH166" s="80">
        <f>SUMIFS('февраль 2024'!$G$6:$G$1413,'февраль 2024'!$D$6:$D$1413,$B166,'февраль 2024'!$J$6:$J$1413,AH$1)</f>
        <v>0</v>
      </c>
      <c r="AI166" s="87"/>
    </row>
    <row r="167" spans="2:35" ht="15" hidden="1" customHeight="1" x14ac:dyDescent="0.25">
      <c r="B167" s="89"/>
      <c r="C167" s="91"/>
      <c r="D167" s="80">
        <f>SUMIFS('февраль 2024'!$G$6:$G$1413,'февраль 2024'!$D$6:$D$1413,$B167,'февраль 2024'!$J$6:$J$1413,D$1)</f>
        <v>0</v>
      </c>
      <c r="E167" s="80">
        <f>SUMIFS('февраль 2024'!$G$6:$G$1413,'февраль 2024'!$D$6:$D$1413,$B167,'февраль 2024'!$J$6:$J$1413,E$1)</f>
        <v>0</v>
      </c>
      <c r="F167" s="80">
        <f>SUMIFS('февраль 2024'!$G$6:$G$1413,'февраль 2024'!$D$6:$D$1413,$B167,'февраль 2024'!$J$6:$J$1413,F$1)</f>
        <v>0</v>
      </c>
      <c r="G167" s="80">
        <f>SUMIFS('февраль 2024'!$G$6:$G$1413,'февраль 2024'!$D$6:$D$1413,$B167,'февраль 2024'!$J$6:$J$1413,G$1)</f>
        <v>0</v>
      </c>
      <c r="H167" s="80">
        <f>SUMIFS('февраль 2024'!$G$6:$G$1413,'февраль 2024'!$D$6:$D$1413,$B167,'февраль 2024'!$J$6:$J$1413,H$1)</f>
        <v>0</v>
      </c>
      <c r="I167" s="80">
        <f>SUMIFS('февраль 2024'!$G$6:$G$1413,'февраль 2024'!$D$6:$D$1413,$B167,'февраль 2024'!$J$6:$J$1413,I$1)</f>
        <v>0</v>
      </c>
      <c r="J167" s="80">
        <f>SUMIFS('февраль 2024'!$G$6:$G$1413,'февраль 2024'!$D$6:$D$1413,$B167,'февраль 2024'!$J$6:$J$1413,J$1)</f>
        <v>0</v>
      </c>
      <c r="K167" s="80">
        <f>SUMIFS('февраль 2024'!$G$6:$G$1413,'февраль 2024'!$D$6:$D$1413,$B167,'февраль 2024'!$J$6:$J$1413,K$1)</f>
        <v>0</v>
      </c>
      <c r="L167" s="80">
        <f>SUMIFS('февраль 2024'!$G$6:$G$1413,'февраль 2024'!$D$6:$D$1413,$B167,'февраль 2024'!$J$6:$J$1413,L$1)</f>
        <v>0</v>
      </c>
      <c r="M167" s="80">
        <f>SUMIFS('февраль 2024'!$G$6:$G$1413,'февраль 2024'!$D$6:$D$1413,$B167,'февраль 2024'!$J$6:$J$1413,M$1)</f>
        <v>0</v>
      </c>
      <c r="N167" s="80">
        <f>SUMIFS('февраль 2024'!$G$6:$G$1413,'февраль 2024'!$D$6:$D$1413,$B167,'февраль 2024'!$J$6:$J$1413,N$1)</f>
        <v>0</v>
      </c>
      <c r="O167" s="80">
        <f>SUMIFS('февраль 2024'!$G$6:$G$1413,'февраль 2024'!$D$6:$D$1413,$B167,'февраль 2024'!$J$6:$J$1413,O$1)</f>
        <v>0</v>
      </c>
      <c r="P167" s="80">
        <f>SUMIFS('февраль 2024'!$G$6:$G$1413,'февраль 2024'!$D$6:$D$1413,$B167,'февраль 2024'!$J$6:$J$1413,P$1)</f>
        <v>0</v>
      </c>
      <c r="Q167" s="80">
        <f>SUMIFS('февраль 2024'!$G$6:$G$1413,'февраль 2024'!$D$6:$D$1413,$B167,'февраль 2024'!$J$6:$J$1413,Q$1)</f>
        <v>0</v>
      </c>
      <c r="R167" s="80">
        <f>SUMIFS('февраль 2024'!$G$6:$G$1413,'февраль 2024'!$D$6:$D$1413,$B167,'февраль 2024'!$J$6:$J$1413,R$1)</f>
        <v>0</v>
      </c>
      <c r="S167" s="80">
        <f>SUMIFS('февраль 2024'!$G$6:$G$1413,'февраль 2024'!$D$6:$D$1413,$B167,'февраль 2024'!$J$6:$J$1413,S$1)</f>
        <v>0</v>
      </c>
      <c r="T167" s="80">
        <f>SUMIFS('февраль 2024'!$G$6:$G$1413,'февраль 2024'!$D$6:$D$1413,$B167,'февраль 2024'!$J$6:$J$1413,T$1)</f>
        <v>0</v>
      </c>
      <c r="U167" s="80">
        <f>SUMIFS('февраль 2024'!$G$6:$G$1413,'февраль 2024'!$D$6:$D$1413,$B167,'февраль 2024'!$J$6:$J$1413,U$1)</f>
        <v>0</v>
      </c>
      <c r="V167" s="80">
        <f>SUMIFS('февраль 2024'!$G$6:$G$1413,'февраль 2024'!$D$6:$D$1413,$B167,'февраль 2024'!$J$6:$J$1413,V$1)</f>
        <v>0</v>
      </c>
      <c r="W167" s="80">
        <f>SUMIFS('февраль 2024'!$G$6:$G$1413,'февраль 2024'!$D$6:$D$1413,$B167,'февраль 2024'!$J$6:$J$1413,W$1)</f>
        <v>0</v>
      </c>
      <c r="X167" s="80">
        <f>SUMIFS('февраль 2024'!$G$6:$G$1413,'февраль 2024'!$D$6:$D$1413,$B167,'февраль 2024'!$J$6:$J$1413,X$1)</f>
        <v>0</v>
      </c>
      <c r="Y167" s="80">
        <f>SUMIFS('февраль 2024'!$G$6:$G$1413,'февраль 2024'!$D$6:$D$1413,$B167,'февраль 2024'!$J$6:$J$1413,Y$1)</f>
        <v>0</v>
      </c>
      <c r="Z167" s="80">
        <f>SUMIFS('февраль 2024'!$G$6:$G$1413,'февраль 2024'!$D$6:$D$1413,$B167,'февраль 2024'!$J$6:$J$1413,Z$1)</f>
        <v>0</v>
      </c>
      <c r="AA167" s="80">
        <f>SUMIFS('февраль 2024'!$G$6:$G$1413,'февраль 2024'!$D$6:$D$1413,$B167,'февраль 2024'!$J$6:$J$1413,AA$1)</f>
        <v>0</v>
      </c>
      <c r="AB167" s="80">
        <f>SUMIFS('февраль 2024'!$G$6:$G$1413,'февраль 2024'!$D$6:$D$1413,$B167,'февраль 2024'!$J$6:$J$1413,AB$1)</f>
        <v>0</v>
      </c>
      <c r="AC167" s="80">
        <f>SUMIFS('февраль 2024'!$G$6:$G$1413,'февраль 2024'!$D$6:$D$1413,$B167,'февраль 2024'!$J$6:$J$1413,AC$1)</f>
        <v>0</v>
      </c>
      <c r="AD167" s="80">
        <f>SUMIFS('февраль 2024'!$G$6:$G$1413,'февраль 2024'!$D$6:$D$1413,$B167,'февраль 2024'!$J$6:$J$1413,AD$1)</f>
        <v>0</v>
      </c>
      <c r="AE167" s="80">
        <f>SUMIFS('февраль 2024'!$G$6:$G$1413,'февраль 2024'!$D$6:$D$1413,$B167,'февраль 2024'!$J$6:$J$1413,AE$1)</f>
        <v>0</v>
      </c>
      <c r="AF167" s="80">
        <f>SUMIFS('февраль 2024'!$G$6:$G$1413,'февраль 2024'!$D$6:$D$1413,$B167,'февраль 2024'!$J$6:$J$1413,AF$1)</f>
        <v>0</v>
      </c>
      <c r="AG167" s="80">
        <f>SUMIFS('февраль 2024'!$G$6:$G$1413,'февраль 2024'!$D$6:$D$1413,$B167,'февраль 2024'!$J$6:$J$1413,AG$1)</f>
        <v>0</v>
      </c>
      <c r="AH167" s="80">
        <f>SUMIFS('февраль 2024'!$G$6:$G$1413,'февраль 2024'!$D$6:$D$1413,$B167,'февраль 2024'!$J$6:$J$1413,AH$1)</f>
        <v>0</v>
      </c>
      <c r="AI167" s="87"/>
    </row>
    <row r="168" spans="2:35" ht="15" hidden="1" customHeight="1" x14ac:dyDescent="0.25">
      <c r="B168" s="89"/>
      <c r="C168" s="91"/>
      <c r="D168" s="80">
        <f>SUMIFS('февраль 2024'!$G$6:$G$1413,'февраль 2024'!$D$6:$D$1413,$B168,'февраль 2024'!$J$6:$J$1413,D$1)</f>
        <v>0</v>
      </c>
      <c r="E168" s="80">
        <f>SUMIFS('февраль 2024'!$G$6:$G$1413,'февраль 2024'!$D$6:$D$1413,$B168,'февраль 2024'!$J$6:$J$1413,E$1)</f>
        <v>0</v>
      </c>
      <c r="F168" s="80">
        <f>SUMIFS('февраль 2024'!$G$6:$G$1413,'февраль 2024'!$D$6:$D$1413,$B168,'февраль 2024'!$J$6:$J$1413,F$1)</f>
        <v>0</v>
      </c>
      <c r="G168" s="80">
        <f>SUMIFS('февраль 2024'!$G$6:$G$1413,'февраль 2024'!$D$6:$D$1413,$B168,'февраль 2024'!$J$6:$J$1413,G$1)</f>
        <v>0</v>
      </c>
      <c r="H168" s="80">
        <f>SUMIFS('февраль 2024'!$G$6:$G$1413,'февраль 2024'!$D$6:$D$1413,$B168,'февраль 2024'!$J$6:$J$1413,H$1)</f>
        <v>0</v>
      </c>
      <c r="I168" s="80">
        <f>SUMIFS('февраль 2024'!$G$6:$G$1413,'февраль 2024'!$D$6:$D$1413,$B168,'февраль 2024'!$J$6:$J$1413,I$1)</f>
        <v>0</v>
      </c>
      <c r="J168" s="80">
        <f>SUMIFS('февраль 2024'!$G$6:$G$1413,'февраль 2024'!$D$6:$D$1413,$B168,'февраль 2024'!$J$6:$J$1413,J$1)</f>
        <v>0</v>
      </c>
      <c r="K168" s="80">
        <f>SUMIFS('февраль 2024'!$G$6:$G$1413,'февраль 2024'!$D$6:$D$1413,$B168,'февраль 2024'!$J$6:$J$1413,K$1)</f>
        <v>0</v>
      </c>
      <c r="L168" s="80">
        <f>SUMIFS('февраль 2024'!$G$6:$G$1413,'февраль 2024'!$D$6:$D$1413,$B168,'февраль 2024'!$J$6:$J$1413,L$1)</f>
        <v>0</v>
      </c>
      <c r="M168" s="80">
        <f>SUMIFS('февраль 2024'!$G$6:$G$1413,'февраль 2024'!$D$6:$D$1413,$B168,'февраль 2024'!$J$6:$J$1413,M$1)</f>
        <v>0</v>
      </c>
      <c r="N168" s="80">
        <f>SUMIFS('февраль 2024'!$G$6:$G$1413,'февраль 2024'!$D$6:$D$1413,$B168,'февраль 2024'!$J$6:$J$1413,N$1)</f>
        <v>0</v>
      </c>
      <c r="O168" s="80">
        <f>SUMIFS('февраль 2024'!$G$6:$G$1413,'февраль 2024'!$D$6:$D$1413,$B168,'февраль 2024'!$J$6:$J$1413,O$1)</f>
        <v>0</v>
      </c>
      <c r="P168" s="80">
        <f>SUMIFS('февраль 2024'!$G$6:$G$1413,'февраль 2024'!$D$6:$D$1413,$B168,'февраль 2024'!$J$6:$J$1413,P$1)</f>
        <v>0</v>
      </c>
      <c r="Q168" s="80">
        <f>SUMIFS('февраль 2024'!$G$6:$G$1413,'февраль 2024'!$D$6:$D$1413,$B168,'февраль 2024'!$J$6:$J$1413,Q$1)</f>
        <v>0</v>
      </c>
      <c r="R168" s="80">
        <f>SUMIFS('февраль 2024'!$G$6:$G$1413,'февраль 2024'!$D$6:$D$1413,$B168,'февраль 2024'!$J$6:$J$1413,R$1)</f>
        <v>0</v>
      </c>
      <c r="S168" s="80">
        <f>SUMIFS('февраль 2024'!$G$6:$G$1413,'февраль 2024'!$D$6:$D$1413,$B168,'февраль 2024'!$J$6:$J$1413,S$1)</f>
        <v>0</v>
      </c>
      <c r="T168" s="80">
        <f>SUMIFS('февраль 2024'!$G$6:$G$1413,'февраль 2024'!$D$6:$D$1413,$B168,'февраль 2024'!$J$6:$J$1413,T$1)</f>
        <v>0</v>
      </c>
      <c r="U168" s="80">
        <f>SUMIFS('февраль 2024'!$G$6:$G$1413,'февраль 2024'!$D$6:$D$1413,$B168,'февраль 2024'!$J$6:$J$1413,U$1)</f>
        <v>0</v>
      </c>
      <c r="V168" s="80">
        <f>SUMIFS('февраль 2024'!$G$6:$G$1413,'февраль 2024'!$D$6:$D$1413,$B168,'февраль 2024'!$J$6:$J$1413,V$1)</f>
        <v>0</v>
      </c>
      <c r="W168" s="80">
        <f>SUMIFS('февраль 2024'!$G$6:$G$1413,'февраль 2024'!$D$6:$D$1413,$B168,'февраль 2024'!$J$6:$J$1413,W$1)</f>
        <v>0</v>
      </c>
      <c r="X168" s="80">
        <f>SUMIFS('февраль 2024'!$G$6:$G$1413,'февраль 2024'!$D$6:$D$1413,$B168,'февраль 2024'!$J$6:$J$1413,X$1)</f>
        <v>0</v>
      </c>
      <c r="Y168" s="80">
        <f>SUMIFS('февраль 2024'!$G$6:$G$1413,'февраль 2024'!$D$6:$D$1413,$B168,'февраль 2024'!$J$6:$J$1413,Y$1)</f>
        <v>0</v>
      </c>
      <c r="Z168" s="80">
        <f>SUMIFS('февраль 2024'!$G$6:$G$1413,'февраль 2024'!$D$6:$D$1413,$B168,'февраль 2024'!$J$6:$J$1413,Z$1)</f>
        <v>0</v>
      </c>
      <c r="AA168" s="80">
        <f>SUMIFS('февраль 2024'!$G$6:$G$1413,'февраль 2024'!$D$6:$D$1413,$B168,'февраль 2024'!$J$6:$J$1413,AA$1)</f>
        <v>0</v>
      </c>
      <c r="AB168" s="80">
        <f>SUMIFS('февраль 2024'!$G$6:$G$1413,'февраль 2024'!$D$6:$D$1413,$B168,'февраль 2024'!$J$6:$J$1413,AB$1)</f>
        <v>0</v>
      </c>
      <c r="AC168" s="80">
        <f>SUMIFS('февраль 2024'!$G$6:$G$1413,'февраль 2024'!$D$6:$D$1413,$B168,'февраль 2024'!$J$6:$J$1413,AC$1)</f>
        <v>0</v>
      </c>
      <c r="AD168" s="80">
        <f>SUMIFS('февраль 2024'!$G$6:$G$1413,'февраль 2024'!$D$6:$D$1413,$B168,'февраль 2024'!$J$6:$J$1413,AD$1)</f>
        <v>0</v>
      </c>
      <c r="AE168" s="80">
        <f>SUMIFS('февраль 2024'!$G$6:$G$1413,'февраль 2024'!$D$6:$D$1413,$B168,'февраль 2024'!$J$6:$J$1413,AE$1)</f>
        <v>0</v>
      </c>
      <c r="AF168" s="80">
        <f>SUMIFS('февраль 2024'!$G$6:$G$1413,'февраль 2024'!$D$6:$D$1413,$B168,'февраль 2024'!$J$6:$J$1413,AF$1)</f>
        <v>0</v>
      </c>
      <c r="AG168" s="80">
        <f>SUMIFS('февраль 2024'!$G$6:$G$1413,'февраль 2024'!$D$6:$D$1413,$B168,'февраль 2024'!$J$6:$J$1413,AG$1)</f>
        <v>0</v>
      </c>
      <c r="AH168" s="80">
        <f>SUMIFS('февраль 2024'!$G$6:$G$1413,'февраль 2024'!$D$6:$D$1413,$B168,'февраль 2024'!$J$6:$J$1413,AH$1)</f>
        <v>0</v>
      </c>
      <c r="AI168" s="87"/>
    </row>
    <row r="169" spans="2:35" ht="15" hidden="1" customHeight="1" x14ac:dyDescent="0.25">
      <c r="B169" s="89"/>
      <c r="C169" s="91"/>
      <c r="D169" s="80">
        <f>SUMIFS('февраль 2024'!$G$6:$G$1413,'февраль 2024'!$D$6:$D$1413,$B169,'февраль 2024'!$J$6:$J$1413,D$1)</f>
        <v>0</v>
      </c>
      <c r="E169" s="80">
        <f>SUMIFS('февраль 2024'!$G$6:$G$1413,'февраль 2024'!$D$6:$D$1413,$B169,'февраль 2024'!$J$6:$J$1413,E$1)</f>
        <v>0</v>
      </c>
      <c r="F169" s="80">
        <f>SUMIFS('февраль 2024'!$G$6:$G$1413,'февраль 2024'!$D$6:$D$1413,$B169,'февраль 2024'!$J$6:$J$1413,F$1)</f>
        <v>0</v>
      </c>
      <c r="G169" s="80">
        <f>SUMIFS('февраль 2024'!$G$6:$G$1413,'февраль 2024'!$D$6:$D$1413,$B169,'февраль 2024'!$J$6:$J$1413,G$1)</f>
        <v>0</v>
      </c>
      <c r="H169" s="80">
        <f>SUMIFS('февраль 2024'!$G$6:$G$1413,'февраль 2024'!$D$6:$D$1413,$B169,'февраль 2024'!$J$6:$J$1413,H$1)</f>
        <v>0</v>
      </c>
      <c r="I169" s="80">
        <f>SUMIFS('февраль 2024'!$G$6:$G$1413,'февраль 2024'!$D$6:$D$1413,$B169,'февраль 2024'!$J$6:$J$1413,I$1)</f>
        <v>0</v>
      </c>
      <c r="J169" s="80">
        <f>SUMIFS('февраль 2024'!$G$6:$G$1413,'февраль 2024'!$D$6:$D$1413,$B169,'февраль 2024'!$J$6:$J$1413,J$1)</f>
        <v>0</v>
      </c>
      <c r="K169" s="80">
        <f>SUMIFS('февраль 2024'!$G$6:$G$1413,'февраль 2024'!$D$6:$D$1413,$B169,'февраль 2024'!$J$6:$J$1413,K$1)</f>
        <v>0</v>
      </c>
      <c r="L169" s="80">
        <f>SUMIFS('февраль 2024'!$G$6:$G$1413,'февраль 2024'!$D$6:$D$1413,$B169,'февраль 2024'!$J$6:$J$1413,L$1)</f>
        <v>0</v>
      </c>
      <c r="M169" s="80">
        <f>SUMIFS('февраль 2024'!$G$6:$G$1413,'февраль 2024'!$D$6:$D$1413,$B169,'февраль 2024'!$J$6:$J$1413,M$1)</f>
        <v>0</v>
      </c>
      <c r="N169" s="80">
        <f>SUMIFS('февраль 2024'!$G$6:$G$1413,'февраль 2024'!$D$6:$D$1413,$B169,'февраль 2024'!$J$6:$J$1413,N$1)</f>
        <v>0</v>
      </c>
      <c r="O169" s="80">
        <f>SUMIFS('февраль 2024'!$G$6:$G$1413,'февраль 2024'!$D$6:$D$1413,$B169,'февраль 2024'!$J$6:$J$1413,O$1)</f>
        <v>0</v>
      </c>
      <c r="P169" s="80">
        <f>SUMIFS('февраль 2024'!$G$6:$G$1413,'февраль 2024'!$D$6:$D$1413,$B169,'февраль 2024'!$J$6:$J$1413,P$1)</f>
        <v>0</v>
      </c>
      <c r="Q169" s="80">
        <f>SUMIFS('февраль 2024'!$G$6:$G$1413,'февраль 2024'!$D$6:$D$1413,$B169,'февраль 2024'!$J$6:$J$1413,Q$1)</f>
        <v>0</v>
      </c>
      <c r="R169" s="80">
        <f>SUMIFS('февраль 2024'!$G$6:$G$1413,'февраль 2024'!$D$6:$D$1413,$B169,'февраль 2024'!$J$6:$J$1413,R$1)</f>
        <v>0</v>
      </c>
      <c r="S169" s="80">
        <f>SUMIFS('февраль 2024'!$G$6:$G$1413,'февраль 2024'!$D$6:$D$1413,$B169,'февраль 2024'!$J$6:$J$1413,S$1)</f>
        <v>0</v>
      </c>
      <c r="T169" s="80">
        <f>SUMIFS('февраль 2024'!$G$6:$G$1413,'февраль 2024'!$D$6:$D$1413,$B169,'февраль 2024'!$J$6:$J$1413,T$1)</f>
        <v>0</v>
      </c>
      <c r="U169" s="80">
        <f>SUMIFS('февраль 2024'!$G$6:$G$1413,'февраль 2024'!$D$6:$D$1413,$B169,'февраль 2024'!$J$6:$J$1413,U$1)</f>
        <v>0</v>
      </c>
      <c r="V169" s="80">
        <f>SUMIFS('февраль 2024'!$G$6:$G$1413,'февраль 2024'!$D$6:$D$1413,$B169,'февраль 2024'!$J$6:$J$1413,V$1)</f>
        <v>0</v>
      </c>
      <c r="W169" s="80">
        <f>SUMIFS('февраль 2024'!$G$6:$G$1413,'февраль 2024'!$D$6:$D$1413,$B169,'февраль 2024'!$J$6:$J$1413,W$1)</f>
        <v>0</v>
      </c>
      <c r="X169" s="80">
        <f>SUMIFS('февраль 2024'!$G$6:$G$1413,'февраль 2024'!$D$6:$D$1413,$B169,'февраль 2024'!$J$6:$J$1413,X$1)</f>
        <v>0</v>
      </c>
      <c r="Y169" s="80">
        <f>SUMIFS('февраль 2024'!$G$6:$G$1413,'февраль 2024'!$D$6:$D$1413,$B169,'февраль 2024'!$J$6:$J$1413,Y$1)</f>
        <v>0</v>
      </c>
      <c r="Z169" s="80">
        <f>SUMIFS('февраль 2024'!$G$6:$G$1413,'февраль 2024'!$D$6:$D$1413,$B169,'февраль 2024'!$J$6:$J$1413,Z$1)</f>
        <v>0</v>
      </c>
      <c r="AA169" s="80">
        <f>SUMIFS('февраль 2024'!$G$6:$G$1413,'февраль 2024'!$D$6:$D$1413,$B169,'февраль 2024'!$J$6:$J$1413,AA$1)</f>
        <v>0</v>
      </c>
      <c r="AB169" s="80">
        <f>SUMIFS('февраль 2024'!$G$6:$G$1413,'февраль 2024'!$D$6:$D$1413,$B169,'февраль 2024'!$J$6:$J$1413,AB$1)</f>
        <v>0</v>
      </c>
      <c r="AC169" s="80">
        <f>SUMIFS('февраль 2024'!$G$6:$G$1413,'февраль 2024'!$D$6:$D$1413,$B169,'февраль 2024'!$J$6:$J$1413,AC$1)</f>
        <v>0</v>
      </c>
      <c r="AD169" s="80">
        <f>SUMIFS('февраль 2024'!$G$6:$G$1413,'февраль 2024'!$D$6:$D$1413,$B169,'февраль 2024'!$J$6:$J$1413,AD$1)</f>
        <v>0</v>
      </c>
      <c r="AE169" s="80">
        <f>SUMIFS('февраль 2024'!$G$6:$G$1413,'февраль 2024'!$D$6:$D$1413,$B169,'февраль 2024'!$J$6:$J$1413,AE$1)</f>
        <v>0</v>
      </c>
      <c r="AF169" s="80">
        <f>SUMIFS('февраль 2024'!$G$6:$G$1413,'февраль 2024'!$D$6:$D$1413,$B169,'февраль 2024'!$J$6:$J$1413,AF$1)</f>
        <v>0</v>
      </c>
      <c r="AG169" s="80">
        <f>SUMIFS('февраль 2024'!$G$6:$G$1413,'февраль 2024'!$D$6:$D$1413,$B169,'февраль 2024'!$J$6:$J$1413,AG$1)</f>
        <v>0</v>
      </c>
      <c r="AH169" s="80">
        <f>SUMIFS('февраль 2024'!$G$6:$G$1413,'февраль 2024'!$D$6:$D$1413,$B169,'февраль 2024'!$J$6:$J$1413,AH$1)</f>
        <v>0</v>
      </c>
      <c r="AI169" s="87"/>
    </row>
    <row r="170" spans="2:35" ht="15" hidden="1" customHeight="1" x14ac:dyDescent="0.25">
      <c r="B170" s="89"/>
      <c r="C170" s="88"/>
      <c r="D170" s="80">
        <f>SUMIFS('февраль 2024'!$G$6:$G$1413,'февраль 2024'!$D$6:$D$1413,$B170,'февраль 2024'!$J$6:$J$1413,D$1)</f>
        <v>0</v>
      </c>
      <c r="E170" s="80">
        <f>SUMIFS('февраль 2024'!$G$6:$G$1413,'февраль 2024'!$D$6:$D$1413,$B170,'февраль 2024'!$J$6:$J$1413,E$1)</f>
        <v>0</v>
      </c>
      <c r="F170" s="80">
        <f>SUMIFS('февраль 2024'!$G$6:$G$1413,'февраль 2024'!$D$6:$D$1413,$B170,'февраль 2024'!$J$6:$J$1413,F$1)</f>
        <v>0</v>
      </c>
      <c r="G170" s="80">
        <f>SUMIFS('февраль 2024'!$G$6:$G$1413,'февраль 2024'!$D$6:$D$1413,$B170,'февраль 2024'!$J$6:$J$1413,G$1)</f>
        <v>0</v>
      </c>
      <c r="H170" s="80">
        <f>SUMIFS('февраль 2024'!$G$6:$G$1413,'февраль 2024'!$D$6:$D$1413,$B170,'февраль 2024'!$J$6:$J$1413,H$1)</f>
        <v>0</v>
      </c>
      <c r="I170" s="80">
        <f>SUMIFS('февраль 2024'!$G$6:$G$1413,'февраль 2024'!$D$6:$D$1413,$B170,'февраль 2024'!$J$6:$J$1413,I$1)</f>
        <v>0</v>
      </c>
      <c r="J170" s="80">
        <f>SUMIFS('февраль 2024'!$G$6:$G$1413,'февраль 2024'!$D$6:$D$1413,$B170,'февраль 2024'!$J$6:$J$1413,J$1)</f>
        <v>0</v>
      </c>
      <c r="K170" s="80">
        <f>SUMIFS('февраль 2024'!$G$6:$G$1413,'февраль 2024'!$D$6:$D$1413,$B170,'февраль 2024'!$J$6:$J$1413,K$1)</f>
        <v>0</v>
      </c>
      <c r="L170" s="80">
        <f>SUMIFS('февраль 2024'!$G$6:$G$1413,'февраль 2024'!$D$6:$D$1413,$B170,'февраль 2024'!$J$6:$J$1413,L$1)</f>
        <v>0</v>
      </c>
      <c r="M170" s="80">
        <f>SUMIFS('февраль 2024'!$G$6:$G$1413,'февраль 2024'!$D$6:$D$1413,$B170,'февраль 2024'!$J$6:$J$1413,M$1)</f>
        <v>0</v>
      </c>
      <c r="N170" s="80">
        <f>SUMIFS('февраль 2024'!$G$6:$G$1413,'февраль 2024'!$D$6:$D$1413,$B170,'февраль 2024'!$J$6:$J$1413,N$1)</f>
        <v>0</v>
      </c>
      <c r="O170" s="80">
        <f>SUMIFS('февраль 2024'!$G$6:$G$1413,'февраль 2024'!$D$6:$D$1413,$B170,'февраль 2024'!$J$6:$J$1413,O$1)</f>
        <v>0</v>
      </c>
      <c r="P170" s="80">
        <f>SUMIFS('февраль 2024'!$G$6:$G$1413,'февраль 2024'!$D$6:$D$1413,$B170,'февраль 2024'!$J$6:$J$1413,P$1)</f>
        <v>0</v>
      </c>
      <c r="Q170" s="80">
        <f>SUMIFS('февраль 2024'!$G$6:$G$1413,'февраль 2024'!$D$6:$D$1413,$B170,'февраль 2024'!$J$6:$J$1413,Q$1)</f>
        <v>0</v>
      </c>
      <c r="R170" s="80">
        <f>SUMIFS('февраль 2024'!$G$6:$G$1413,'февраль 2024'!$D$6:$D$1413,$B170,'февраль 2024'!$J$6:$J$1413,R$1)</f>
        <v>0</v>
      </c>
      <c r="S170" s="80">
        <f>SUMIFS('февраль 2024'!$G$6:$G$1413,'февраль 2024'!$D$6:$D$1413,$B170,'февраль 2024'!$J$6:$J$1413,S$1)</f>
        <v>0</v>
      </c>
      <c r="T170" s="80">
        <f>SUMIFS('февраль 2024'!$G$6:$G$1413,'февраль 2024'!$D$6:$D$1413,$B170,'февраль 2024'!$J$6:$J$1413,T$1)</f>
        <v>0</v>
      </c>
      <c r="U170" s="80">
        <f>SUMIFS('февраль 2024'!$G$6:$G$1413,'февраль 2024'!$D$6:$D$1413,$B170,'февраль 2024'!$J$6:$J$1413,U$1)</f>
        <v>0</v>
      </c>
      <c r="V170" s="80">
        <f>SUMIFS('февраль 2024'!$G$6:$G$1413,'февраль 2024'!$D$6:$D$1413,$B170,'февраль 2024'!$J$6:$J$1413,V$1)</f>
        <v>0</v>
      </c>
      <c r="W170" s="80">
        <f>SUMIFS('февраль 2024'!$G$6:$G$1413,'февраль 2024'!$D$6:$D$1413,$B170,'февраль 2024'!$J$6:$J$1413,W$1)</f>
        <v>0</v>
      </c>
      <c r="X170" s="80">
        <f>SUMIFS('февраль 2024'!$G$6:$G$1413,'февраль 2024'!$D$6:$D$1413,$B170,'февраль 2024'!$J$6:$J$1413,X$1)</f>
        <v>0</v>
      </c>
      <c r="Y170" s="80">
        <f>SUMIFS('февраль 2024'!$G$6:$G$1413,'февраль 2024'!$D$6:$D$1413,$B170,'февраль 2024'!$J$6:$J$1413,Y$1)</f>
        <v>0</v>
      </c>
      <c r="Z170" s="80">
        <f>SUMIFS('февраль 2024'!$G$6:$G$1413,'февраль 2024'!$D$6:$D$1413,$B170,'февраль 2024'!$J$6:$J$1413,Z$1)</f>
        <v>0</v>
      </c>
      <c r="AA170" s="80">
        <f>SUMIFS('февраль 2024'!$G$6:$G$1413,'февраль 2024'!$D$6:$D$1413,$B170,'февраль 2024'!$J$6:$J$1413,AA$1)</f>
        <v>0</v>
      </c>
      <c r="AB170" s="80">
        <f>SUMIFS('февраль 2024'!$G$6:$G$1413,'февраль 2024'!$D$6:$D$1413,$B170,'февраль 2024'!$J$6:$J$1413,AB$1)</f>
        <v>0</v>
      </c>
      <c r="AC170" s="80">
        <f>SUMIFS('февраль 2024'!$G$6:$G$1413,'февраль 2024'!$D$6:$D$1413,$B170,'февраль 2024'!$J$6:$J$1413,AC$1)</f>
        <v>0</v>
      </c>
      <c r="AD170" s="80">
        <f>SUMIFS('февраль 2024'!$G$6:$G$1413,'февраль 2024'!$D$6:$D$1413,$B170,'февраль 2024'!$J$6:$J$1413,AD$1)</f>
        <v>0</v>
      </c>
      <c r="AE170" s="80">
        <f>SUMIFS('февраль 2024'!$G$6:$G$1413,'февраль 2024'!$D$6:$D$1413,$B170,'февраль 2024'!$J$6:$J$1413,AE$1)</f>
        <v>0</v>
      </c>
      <c r="AF170" s="80">
        <f>SUMIFS('февраль 2024'!$G$6:$G$1413,'февраль 2024'!$D$6:$D$1413,$B170,'февраль 2024'!$J$6:$J$1413,AF$1)</f>
        <v>0</v>
      </c>
      <c r="AG170" s="80">
        <f>SUMIFS('февраль 2024'!$G$6:$G$1413,'февраль 2024'!$D$6:$D$1413,$B170,'февраль 2024'!$J$6:$J$1413,AG$1)</f>
        <v>0</v>
      </c>
      <c r="AH170" s="80">
        <f>SUMIFS('февраль 2024'!$G$6:$G$1413,'февраль 2024'!$D$6:$D$1413,$B170,'февраль 2024'!$J$6:$J$1413,AH$1)</f>
        <v>0</v>
      </c>
      <c r="AI170" s="87"/>
    </row>
    <row r="171" spans="2:35" ht="15" hidden="1" customHeight="1" x14ac:dyDescent="0.25">
      <c r="B171" s="89"/>
      <c r="C171" s="88"/>
      <c r="D171" s="80">
        <f>SUMIFS('февраль 2024'!$G$6:$G$1413,'февраль 2024'!$D$6:$D$1413,$B171,'февраль 2024'!$J$6:$J$1413,D$1)</f>
        <v>0</v>
      </c>
      <c r="E171" s="80">
        <f>SUMIFS('февраль 2024'!$G$6:$G$1413,'февраль 2024'!$D$6:$D$1413,$B171,'февраль 2024'!$J$6:$J$1413,E$1)</f>
        <v>0</v>
      </c>
      <c r="F171" s="80">
        <f>SUMIFS('февраль 2024'!$G$6:$G$1413,'февраль 2024'!$D$6:$D$1413,$B171,'февраль 2024'!$J$6:$J$1413,F$1)</f>
        <v>0</v>
      </c>
      <c r="G171" s="80">
        <f>SUMIFS('февраль 2024'!$G$6:$G$1413,'февраль 2024'!$D$6:$D$1413,$B171,'февраль 2024'!$J$6:$J$1413,G$1)</f>
        <v>0</v>
      </c>
      <c r="H171" s="80">
        <f>SUMIFS('февраль 2024'!$G$6:$G$1413,'февраль 2024'!$D$6:$D$1413,$B171,'февраль 2024'!$J$6:$J$1413,H$1)</f>
        <v>0</v>
      </c>
      <c r="I171" s="80">
        <f>SUMIFS('февраль 2024'!$G$6:$G$1413,'февраль 2024'!$D$6:$D$1413,$B171,'февраль 2024'!$J$6:$J$1413,I$1)</f>
        <v>0</v>
      </c>
      <c r="J171" s="80">
        <f>SUMIFS('февраль 2024'!$G$6:$G$1413,'февраль 2024'!$D$6:$D$1413,$B171,'февраль 2024'!$J$6:$J$1413,J$1)</f>
        <v>0</v>
      </c>
      <c r="K171" s="80">
        <f>SUMIFS('февраль 2024'!$G$6:$G$1413,'февраль 2024'!$D$6:$D$1413,$B171,'февраль 2024'!$J$6:$J$1413,K$1)</f>
        <v>0</v>
      </c>
      <c r="L171" s="80">
        <f>SUMIFS('февраль 2024'!$G$6:$G$1413,'февраль 2024'!$D$6:$D$1413,$B171,'февраль 2024'!$J$6:$J$1413,L$1)</f>
        <v>0</v>
      </c>
      <c r="M171" s="80">
        <f>SUMIFS('февраль 2024'!$G$6:$G$1413,'февраль 2024'!$D$6:$D$1413,$B171,'февраль 2024'!$J$6:$J$1413,M$1)</f>
        <v>0</v>
      </c>
      <c r="N171" s="80">
        <f>SUMIFS('февраль 2024'!$G$6:$G$1413,'февраль 2024'!$D$6:$D$1413,$B171,'февраль 2024'!$J$6:$J$1413,N$1)</f>
        <v>0</v>
      </c>
      <c r="O171" s="80">
        <f>SUMIFS('февраль 2024'!$G$6:$G$1413,'февраль 2024'!$D$6:$D$1413,$B171,'февраль 2024'!$J$6:$J$1413,O$1)</f>
        <v>0</v>
      </c>
      <c r="P171" s="80">
        <f>SUMIFS('февраль 2024'!$G$6:$G$1413,'февраль 2024'!$D$6:$D$1413,$B171,'февраль 2024'!$J$6:$J$1413,P$1)</f>
        <v>0</v>
      </c>
      <c r="Q171" s="80">
        <f>SUMIFS('февраль 2024'!$G$6:$G$1413,'февраль 2024'!$D$6:$D$1413,$B171,'февраль 2024'!$J$6:$J$1413,Q$1)</f>
        <v>0</v>
      </c>
      <c r="R171" s="80">
        <f>SUMIFS('февраль 2024'!$G$6:$G$1413,'февраль 2024'!$D$6:$D$1413,$B171,'февраль 2024'!$J$6:$J$1413,R$1)</f>
        <v>0</v>
      </c>
      <c r="S171" s="80">
        <f>SUMIFS('февраль 2024'!$G$6:$G$1413,'февраль 2024'!$D$6:$D$1413,$B171,'февраль 2024'!$J$6:$J$1413,S$1)</f>
        <v>0</v>
      </c>
      <c r="T171" s="80">
        <f>SUMIFS('февраль 2024'!$G$6:$G$1413,'февраль 2024'!$D$6:$D$1413,$B171,'февраль 2024'!$J$6:$J$1413,T$1)</f>
        <v>0</v>
      </c>
      <c r="U171" s="80">
        <f>SUMIFS('февраль 2024'!$G$6:$G$1413,'февраль 2024'!$D$6:$D$1413,$B171,'февраль 2024'!$J$6:$J$1413,U$1)</f>
        <v>0</v>
      </c>
      <c r="V171" s="80">
        <f>SUMIFS('февраль 2024'!$G$6:$G$1413,'февраль 2024'!$D$6:$D$1413,$B171,'февраль 2024'!$J$6:$J$1413,V$1)</f>
        <v>0</v>
      </c>
      <c r="W171" s="80">
        <f>SUMIFS('февраль 2024'!$G$6:$G$1413,'февраль 2024'!$D$6:$D$1413,$B171,'февраль 2024'!$J$6:$J$1413,W$1)</f>
        <v>0</v>
      </c>
      <c r="X171" s="80">
        <f>SUMIFS('февраль 2024'!$G$6:$G$1413,'февраль 2024'!$D$6:$D$1413,$B171,'февраль 2024'!$J$6:$J$1413,X$1)</f>
        <v>0</v>
      </c>
      <c r="Y171" s="80">
        <f>SUMIFS('февраль 2024'!$G$6:$G$1413,'февраль 2024'!$D$6:$D$1413,$B171,'февраль 2024'!$J$6:$J$1413,Y$1)</f>
        <v>0</v>
      </c>
      <c r="Z171" s="80">
        <f>SUMIFS('февраль 2024'!$G$6:$G$1413,'февраль 2024'!$D$6:$D$1413,$B171,'февраль 2024'!$J$6:$J$1413,Z$1)</f>
        <v>0</v>
      </c>
      <c r="AA171" s="80">
        <f>SUMIFS('февраль 2024'!$G$6:$G$1413,'февраль 2024'!$D$6:$D$1413,$B171,'февраль 2024'!$J$6:$J$1413,AA$1)</f>
        <v>0</v>
      </c>
      <c r="AB171" s="80">
        <f>SUMIFS('февраль 2024'!$G$6:$G$1413,'февраль 2024'!$D$6:$D$1413,$B171,'февраль 2024'!$J$6:$J$1413,AB$1)</f>
        <v>0</v>
      </c>
      <c r="AC171" s="80">
        <f>SUMIFS('февраль 2024'!$G$6:$G$1413,'февраль 2024'!$D$6:$D$1413,$B171,'февраль 2024'!$J$6:$J$1413,AC$1)</f>
        <v>0</v>
      </c>
      <c r="AD171" s="80">
        <f>SUMIFS('февраль 2024'!$G$6:$G$1413,'февраль 2024'!$D$6:$D$1413,$B171,'февраль 2024'!$J$6:$J$1413,AD$1)</f>
        <v>0</v>
      </c>
      <c r="AE171" s="80">
        <f>SUMIFS('февраль 2024'!$G$6:$G$1413,'февраль 2024'!$D$6:$D$1413,$B171,'февраль 2024'!$J$6:$J$1413,AE$1)</f>
        <v>0</v>
      </c>
      <c r="AF171" s="80">
        <f>SUMIFS('февраль 2024'!$G$6:$G$1413,'февраль 2024'!$D$6:$D$1413,$B171,'февраль 2024'!$J$6:$J$1413,AF$1)</f>
        <v>0</v>
      </c>
      <c r="AG171" s="80">
        <f>SUMIFS('февраль 2024'!$G$6:$G$1413,'февраль 2024'!$D$6:$D$1413,$B171,'февраль 2024'!$J$6:$J$1413,AG$1)</f>
        <v>0</v>
      </c>
      <c r="AH171" s="80">
        <f>SUMIFS('февраль 2024'!$G$6:$G$1413,'февраль 2024'!$D$6:$D$1413,$B171,'февраль 2024'!$J$6:$J$1413,AH$1)</f>
        <v>0</v>
      </c>
      <c r="AI171" s="87"/>
    </row>
    <row r="172" spans="2:35" ht="15" hidden="1" customHeight="1" x14ac:dyDescent="0.25">
      <c r="B172" s="89"/>
      <c r="C172" s="88"/>
      <c r="D172" s="80">
        <f>SUMIFS('февраль 2024'!$G$6:$G$1413,'февраль 2024'!$D$6:$D$1413,$B172,'февраль 2024'!$J$6:$J$1413,D$1)</f>
        <v>0</v>
      </c>
      <c r="E172" s="80">
        <f>SUMIFS('февраль 2024'!$G$6:$G$1413,'февраль 2024'!$D$6:$D$1413,$B172,'февраль 2024'!$J$6:$J$1413,E$1)</f>
        <v>0</v>
      </c>
      <c r="F172" s="80">
        <f>SUMIFS('февраль 2024'!$G$6:$G$1413,'февраль 2024'!$D$6:$D$1413,$B172,'февраль 2024'!$J$6:$J$1413,F$1)</f>
        <v>0</v>
      </c>
      <c r="G172" s="80">
        <f>SUMIFS('февраль 2024'!$G$6:$G$1413,'февраль 2024'!$D$6:$D$1413,$B172,'февраль 2024'!$J$6:$J$1413,G$1)</f>
        <v>0</v>
      </c>
      <c r="H172" s="80">
        <f>SUMIFS('февраль 2024'!$G$6:$G$1413,'февраль 2024'!$D$6:$D$1413,$B172,'февраль 2024'!$J$6:$J$1413,H$1)</f>
        <v>0</v>
      </c>
      <c r="I172" s="80">
        <f>SUMIFS('февраль 2024'!$G$6:$G$1413,'февраль 2024'!$D$6:$D$1413,$B172,'февраль 2024'!$J$6:$J$1413,I$1)</f>
        <v>0</v>
      </c>
      <c r="J172" s="80">
        <f>SUMIFS('февраль 2024'!$G$6:$G$1413,'февраль 2024'!$D$6:$D$1413,$B172,'февраль 2024'!$J$6:$J$1413,J$1)</f>
        <v>0</v>
      </c>
      <c r="K172" s="80">
        <f>SUMIFS('февраль 2024'!$G$6:$G$1413,'февраль 2024'!$D$6:$D$1413,$B172,'февраль 2024'!$J$6:$J$1413,K$1)</f>
        <v>0</v>
      </c>
      <c r="L172" s="80">
        <f>SUMIFS('февраль 2024'!$G$6:$G$1413,'февраль 2024'!$D$6:$D$1413,$B172,'февраль 2024'!$J$6:$J$1413,L$1)</f>
        <v>0</v>
      </c>
      <c r="M172" s="80">
        <f>SUMIFS('февраль 2024'!$G$6:$G$1413,'февраль 2024'!$D$6:$D$1413,$B172,'февраль 2024'!$J$6:$J$1413,M$1)</f>
        <v>0</v>
      </c>
      <c r="N172" s="80">
        <f>SUMIFS('февраль 2024'!$G$6:$G$1413,'февраль 2024'!$D$6:$D$1413,$B172,'февраль 2024'!$J$6:$J$1413,N$1)</f>
        <v>0</v>
      </c>
      <c r="O172" s="80">
        <f>SUMIFS('февраль 2024'!$G$6:$G$1413,'февраль 2024'!$D$6:$D$1413,$B172,'февраль 2024'!$J$6:$J$1413,O$1)</f>
        <v>0</v>
      </c>
      <c r="P172" s="80">
        <f>SUMIFS('февраль 2024'!$G$6:$G$1413,'февраль 2024'!$D$6:$D$1413,$B172,'февраль 2024'!$J$6:$J$1413,P$1)</f>
        <v>0</v>
      </c>
      <c r="Q172" s="80">
        <f>SUMIFS('февраль 2024'!$G$6:$G$1413,'февраль 2024'!$D$6:$D$1413,$B172,'февраль 2024'!$J$6:$J$1413,Q$1)</f>
        <v>0</v>
      </c>
      <c r="R172" s="80">
        <f>SUMIFS('февраль 2024'!$G$6:$G$1413,'февраль 2024'!$D$6:$D$1413,$B172,'февраль 2024'!$J$6:$J$1413,R$1)</f>
        <v>0</v>
      </c>
      <c r="S172" s="80">
        <f>SUMIFS('февраль 2024'!$G$6:$G$1413,'февраль 2024'!$D$6:$D$1413,$B172,'февраль 2024'!$J$6:$J$1413,S$1)</f>
        <v>0</v>
      </c>
      <c r="T172" s="80">
        <f>SUMIFS('февраль 2024'!$G$6:$G$1413,'февраль 2024'!$D$6:$D$1413,$B172,'февраль 2024'!$J$6:$J$1413,T$1)</f>
        <v>0</v>
      </c>
      <c r="U172" s="80">
        <f>SUMIFS('февраль 2024'!$G$6:$G$1413,'февраль 2024'!$D$6:$D$1413,$B172,'февраль 2024'!$J$6:$J$1413,U$1)</f>
        <v>0</v>
      </c>
      <c r="V172" s="80">
        <f>SUMIFS('февраль 2024'!$G$6:$G$1413,'февраль 2024'!$D$6:$D$1413,$B172,'февраль 2024'!$J$6:$J$1413,V$1)</f>
        <v>0</v>
      </c>
      <c r="W172" s="80">
        <f>SUMIFS('февраль 2024'!$G$6:$G$1413,'февраль 2024'!$D$6:$D$1413,$B172,'февраль 2024'!$J$6:$J$1413,W$1)</f>
        <v>0</v>
      </c>
      <c r="X172" s="80">
        <f>SUMIFS('февраль 2024'!$G$6:$G$1413,'февраль 2024'!$D$6:$D$1413,$B172,'февраль 2024'!$J$6:$J$1413,X$1)</f>
        <v>0</v>
      </c>
      <c r="Y172" s="80">
        <f>SUMIFS('февраль 2024'!$G$6:$G$1413,'февраль 2024'!$D$6:$D$1413,$B172,'февраль 2024'!$J$6:$J$1413,Y$1)</f>
        <v>0</v>
      </c>
      <c r="Z172" s="80">
        <f>SUMIFS('февраль 2024'!$G$6:$G$1413,'февраль 2024'!$D$6:$D$1413,$B172,'февраль 2024'!$J$6:$J$1413,Z$1)</f>
        <v>0</v>
      </c>
      <c r="AA172" s="80">
        <f>SUMIFS('февраль 2024'!$G$6:$G$1413,'февраль 2024'!$D$6:$D$1413,$B172,'февраль 2024'!$J$6:$J$1413,AA$1)</f>
        <v>0</v>
      </c>
      <c r="AB172" s="80">
        <f>SUMIFS('февраль 2024'!$G$6:$G$1413,'февраль 2024'!$D$6:$D$1413,$B172,'февраль 2024'!$J$6:$J$1413,AB$1)</f>
        <v>0</v>
      </c>
      <c r="AC172" s="80">
        <f>SUMIFS('февраль 2024'!$G$6:$G$1413,'февраль 2024'!$D$6:$D$1413,$B172,'февраль 2024'!$J$6:$J$1413,AC$1)</f>
        <v>0</v>
      </c>
      <c r="AD172" s="80">
        <f>SUMIFS('февраль 2024'!$G$6:$G$1413,'февраль 2024'!$D$6:$D$1413,$B172,'февраль 2024'!$J$6:$J$1413,AD$1)</f>
        <v>0</v>
      </c>
      <c r="AE172" s="80">
        <f>SUMIFS('февраль 2024'!$G$6:$G$1413,'февраль 2024'!$D$6:$D$1413,$B172,'февраль 2024'!$J$6:$J$1413,AE$1)</f>
        <v>0</v>
      </c>
      <c r="AF172" s="80">
        <f>SUMIFS('февраль 2024'!$G$6:$G$1413,'февраль 2024'!$D$6:$D$1413,$B172,'февраль 2024'!$J$6:$J$1413,AF$1)</f>
        <v>0</v>
      </c>
      <c r="AG172" s="80">
        <f>SUMIFS('февраль 2024'!$G$6:$G$1413,'февраль 2024'!$D$6:$D$1413,$B172,'февраль 2024'!$J$6:$J$1413,AG$1)</f>
        <v>0</v>
      </c>
      <c r="AH172" s="80">
        <f>SUMIFS('февраль 2024'!$G$6:$G$1413,'февраль 2024'!$D$6:$D$1413,$B172,'февраль 2024'!$J$6:$J$1413,AH$1)</f>
        <v>0</v>
      </c>
      <c r="AI172" s="87"/>
    </row>
    <row r="173" spans="2:35" ht="15" hidden="1" customHeight="1" x14ac:dyDescent="0.25">
      <c r="B173" s="89"/>
      <c r="C173" s="88"/>
      <c r="D173" s="80">
        <f>SUMIFS('февраль 2024'!$G$6:$G$1413,'февраль 2024'!$D$6:$D$1413,$B173,'февраль 2024'!$J$6:$J$1413,D$1)</f>
        <v>0</v>
      </c>
      <c r="E173" s="80">
        <f>SUMIFS('февраль 2024'!$G$6:$G$1413,'февраль 2024'!$D$6:$D$1413,$B173,'февраль 2024'!$J$6:$J$1413,E$1)</f>
        <v>0</v>
      </c>
      <c r="F173" s="80">
        <f>SUMIFS('февраль 2024'!$G$6:$G$1413,'февраль 2024'!$D$6:$D$1413,$B173,'февраль 2024'!$J$6:$J$1413,F$1)</f>
        <v>0</v>
      </c>
      <c r="G173" s="80">
        <f>SUMIFS('февраль 2024'!$G$6:$G$1413,'февраль 2024'!$D$6:$D$1413,$B173,'февраль 2024'!$J$6:$J$1413,G$1)</f>
        <v>0</v>
      </c>
      <c r="H173" s="80">
        <f>SUMIFS('февраль 2024'!$G$6:$G$1413,'февраль 2024'!$D$6:$D$1413,$B173,'февраль 2024'!$J$6:$J$1413,H$1)</f>
        <v>0</v>
      </c>
      <c r="I173" s="80">
        <f>SUMIFS('февраль 2024'!$G$6:$G$1413,'февраль 2024'!$D$6:$D$1413,$B173,'февраль 2024'!$J$6:$J$1413,I$1)</f>
        <v>0</v>
      </c>
      <c r="J173" s="80">
        <f>SUMIFS('февраль 2024'!$G$6:$G$1413,'февраль 2024'!$D$6:$D$1413,$B173,'февраль 2024'!$J$6:$J$1413,J$1)</f>
        <v>0</v>
      </c>
      <c r="K173" s="80">
        <f>SUMIFS('февраль 2024'!$G$6:$G$1413,'февраль 2024'!$D$6:$D$1413,$B173,'февраль 2024'!$J$6:$J$1413,K$1)</f>
        <v>0</v>
      </c>
      <c r="L173" s="80">
        <f>SUMIFS('февраль 2024'!$G$6:$G$1413,'февраль 2024'!$D$6:$D$1413,$B173,'февраль 2024'!$J$6:$J$1413,L$1)</f>
        <v>0</v>
      </c>
      <c r="M173" s="80">
        <f>SUMIFS('февраль 2024'!$G$6:$G$1413,'февраль 2024'!$D$6:$D$1413,$B173,'февраль 2024'!$J$6:$J$1413,M$1)</f>
        <v>0</v>
      </c>
      <c r="N173" s="80">
        <f>SUMIFS('февраль 2024'!$G$6:$G$1413,'февраль 2024'!$D$6:$D$1413,$B173,'февраль 2024'!$J$6:$J$1413,N$1)</f>
        <v>0</v>
      </c>
      <c r="O173" s="80">
        <f>SUMIFS('февраль 2024'!$G$6:$G$1413,'февраль 2024'!$D$6:$D$1413,$B173,'февраль 2024'!$J$6:$J$1413,O$1)</f>
        <v>0</v>
      </c>
      <c r="P173" s="80">
        <f>SUMIFS('февраль 2024'!$G$6:$G$1413,'февраль 2024'!$D$6:$D$1413,$B173,'февраль 2024'!$J$6:$J$1413,P$1)</f>
        <v>0</v>
      </c>
      <c r="Q173" s="80">
        <f>SUMIFS('февраль 2024'!$G$6:$G$1413,'февраль 2024'!$D$6:$D$1413,$B173,'февраль 2024'!$J$6:$J$1413,Q$1)</f>
        <v>0</v>
      </c>
      <c r="R173" s="80">
        <f>SUMIFS('февраль 2024'!$G$6:$G$1413,'февраль 2024'!$D$6:$D$1413,$B173,'февраль 2024'!$J$6:$J$1413,R$1)</f>
        <v>0</v>
      </c>
      <c r="S173" s="80">
        <f>SUMIFS('февраль 2024'!$G$6:$G$1413,'февраль 2024'!$D$6:$D$1413,$B173,'февраль 2024'!$J$6:$J$1413,S$1)</f>
        <v>0</v>
      </c>
      <c r="T173" s="80">
        <f>SUMIFS('февраль 2024'!$G$6:$G$1413,'февраль 2024'!$D$6:$D$1413,$B173,'февраль 2024'!$J$6:$J$1413,T$1)</f>
        <v>0</v>
      </c>
      <c r="U173" s="80">
        <f>SUMIFS('февраль 2024'!$G$6:$G$1413,'февраль 2024'!$D$6:$D$1413,$B173,'февраль 2024'!$J$6:$J$1413,U$1)</f>
        <v>0</v>
      </c>
      <c r="V173" s="80">
        <f>SUMIFS('февраль 2024'!$G$6:$G$1413,'февраль 2024'!$D$6:$D$1413,$B173,'февраль 2024'!$J$6:$J$1413,V$1)</f>
        <v>0</v>
      </c>
      <c r="W173" s="80">
        <f>SUMIFS('февраль 2024'!$G$6:$G$1413,'февраль 2024'!$D$6:$D$1413,$B173,'февраль 2024'!$J$6:$J$1413,W$1)</f>
        <v>0</v>
      </c>
      <c r="X173" s="80">
        <f>SUMIFS('февраль 2024'!$G$6:$G$1413,'февраль 2024'!$D$6:$D$1413,$B173,'февраль 2024'!$J$6:$J$1413,X$1)</f>
        <v>0</v>
      </c>
      <c r="Y173" s="80">
        <f>SUMIFS('февраль 2024'!$G$6:$G$1413,'февраль 2024'!$D$6:$D$1413,$B173,'февраль 2024'!$J$6:$J$1413,Y$1)</f>
        <v>0</v>
      </c>
      <c r="Z173" s="80">
        <f>SUMIFS('февраль 2024'!$G$6:$G$1413,'февраль 2024'!$D$6:$D$1413,$B173,'февраль 2024'!$J$6:$J$1413,Z$1)</f>
        <v>0</v>
      </c>
      <c r="AA173" s="80">
        <f>SUMIFS('февраль 2024'!$G$6:$G$1413,'февраль 2024'!$D$6:$D$1413,$B173,'февраль 2024'!$J$6:$J$1413,AA$1)</f>
        <v>0</v>
      </c>
      <c r="AB173" s="80">
        <f>SUMIFS('февраль 2024'!$G$6:$G$1413,'февраль 2024'!$D$6:$D$1413,$B173,'февраль 2024'!$J$6:$J$1413,AB$1)</f>
        <v>0</v>
      </c>
      <c r="AC173" s="80">
        <f>SUMIFS('февраль 2024'!$G$6:$G$1413,'февраль 2024'!$D$6:$D$1413,$B173,'февраль 2024'!$J$6:$J$1413,AC$1)</f>
        <v>0</v>
      </c>
      <c r="AD173" s="80">
        <f>SUMIFS('февраль 2024'!$G$6:$G$1413,'февраль 2024'!$D$6:$D$1413,$B173,'февраль 2024'!$J$6:$J$1413,AD$1)</f>
        <v>0</v>
      </c>
      <c r="AE173" s="80">
        <f>SUMIFS('февраль 2024'!$G$6:$G$1413,'февраль 2024'!$D$6:$D$1413,$B173,'февраль 2024'!$J$6:$J$1413,AE$1)</f>
        <v>0</v>
      </c>
      <c r="AF173" s="80">
        <f>SUMIFS('февраль 2024'!$G$6:$G$1413,'февраль 2024'!$D$6:$D$1413,$B173,'февраль 2024'!$J$6:$J$1413,AF$1)</f>
        <v>0</v>
      </c>
      <c r="AG173" s="80">
        <f>SUMIFS('февраль 2024'!$G$6:$G$1413,'февраль 2024'!$D$6:$D$1413,$B173,'февраль 2024'!$J$6:$J$1413,AG$1)</f>
        <v>0</v>
      </c>
      <c r="AH173" s="80">
        <f>SUMIFS('февраль 2024'!$G$6:$G$1413,'февраль 2024'!$D$6:$D$1413,$B173,'февраль 2024'!$J$6:$J$1413,AH$1)</f>
        <v>0</v>
      </c>
      <c r="AI173" s="87"/>
    </row>
    <row r="174" spans="2:35" ht="15" hidden="1" customHeight="1" x14ac:dyDescent="0.25">
      <c r="B174" s="89"/>
      <c r="C174" s="88"/>
      <c r="D174" s="80">
        <f>SUMIFS('февраль 2024'!$G$6:$G$1413,'февраль 2024'!$D$6:$D$1413,$B174,'февраль 2024'!$J$6:$J$1413,D$1)</f>
        <v>0</v>
      </c>
      <c r="E174" s="80">
        <f>SUMIFS('февраль 2024'!$G$6:$G$1413,'февраль 2024'!$D$6:$D$1413,$B174,'февраль 2024'!$J$6:$J$1413,E$1)</f>
        <v>0</v>
      </c>
      <c r="F174" s="80">
        <f>SUMIFS('февраль 2024'!$G$6:$G$1413,'февраль 2024'!$D$6:$D$1413,$B174,'февраль 2024'!$J$6:$J$1413,F$1)</f>
        <v>0</v>
      </c>
      <c r="G174" s="80">
        <f>SUMIFS('февраль 2024'!$G$6:$G$1413,'февраль 2024'!$D$6:$D$1413,$B174,'февраль 2024'!$J$6:$J$1413,G$1)</f>
        <v>0</v>
      </c>
      <c r="H174" s="80">
        <f>SUMIFS('февраль 2024'!$G$6:$G$1413,'февраль 2024'!$D$6:$D$1413,$B174,'февраль 2024'!$J$6:$J$1413,H$1)</f>
        <v>0</v>
      </c>
      <c r="I174" s="80">
        <f>SUMIFS('февраль 2024'!$G$6:$G$1413,'февраль 2024'!$D$6:$D$1413,$B174,'февраль 2024'!$J$6:$J$1413,I$1)</f>
        <v>0</v>
      </c>
      <c r="J174" s="80">
        <f>SUMIFS('февраль 2024'!$G$6:$G$1413,'февраль 2024'!$D$6:$D$1413,$B174,'февраль 2024'!$J$6:$J$1413,J$1)</f>
        <v>0</v>
      </c>
      <c r="K174" s="80">
        <f>SUMIFS('февраль 2024'!$G$6:$G$1413,'февраль 2024'!$D$6:$D$1413,$B174,'февраль 2024'!$J$6:$J$1413,K$1)</f>
        <v>0</v>
      </c>
      <c r="L174" s="80">
        <f>SUMIFS('февраль 2024'!$G$6:$G$1413,'февраль 2024'!$D$6:$D$1413,$B174,'февраль 2024'!$J$6:$J$1413,L$1)</f>
        <v>0</v>
      </c>
      <c r="M174" s="80">
        <f>SUMIFS('февраль 2024'!$G$6:$G$1413,'февраль 2024'!$D$6:$D$1413,$B174,'февраль 2024'!$J$6:$J$1413,M$1)</f>
        <v>0</v>
      </c>
      <c r="N174" s="80">
        <f>SUMIFS('февраль 2024'!$G$6:$G$1413,'февраль 2024'!$D$6:$D$1413,$B174,'февраль 2024'!$J$6:$J$1413,N$1)</f>
        <v>0</v>
      </c>
      <c r="O174" s="80">
        <f>SUMIFS('февраль 2024'!$G$6:$G$1413,'февраль 2024'!$D$6:$D$1413,$B174,'февраль 2024'!$J$6:$J$1413,O$1)</f>
        <v>0</v>
      </c>
      <c r="P174" s="80">
        <f>SUMIFS('февраль 2024'!$G$6:$G$1413,'февраль 2024'!$D$6:$D$1413,$B174,'февраль 2024'!$J$6:$J$1413,P$1)</f>
        <v>0</v>
      </c>
      <c r="Q174" s="80">
        <f>SUMIFS('февраль 2024'!$G$6:$G$1413,'февраль 2024'!$D$6:$D$1413,$B174,'февраль 2024'!$J$6:$J$1413,Q$1)</f>
        <v>0</v>
      </c>
      <c r="R174" s="80">
        <f>SUMIFS('февраль 2024'!$G$6:$G$1413,'февраль 2024'!$D$6:$D$1413,$B174,'февраль 2024'!$J$6:$J$1413,R$1)</f>
        <v>0</v>
      </c>
      <c r="S174" s="80">
        <f>SUMIFS('февраль 2024'!$G$6:$G$1413,'февраль 2024'!$D$6:$D$1413,$B174,'февраль 2024'!$J$6:$J$1413,S$1)</f>
        <v>0</v>
      </c>
      <c r="T174" s="80">
        <f>SUMIFS('февраль 2024'!$G$6:$G$1413,'февраль 2024'!$D$6:$D$1413,$B174,'февраль 2024'!$J$6:$J$1413,T$1)</f>
        <v>0</v>
      </c>
      <c r="U174" s="80">
        <f>SUMIFS('февраль 2024'!$G$6:$G$1413,'февраль 2024'!$D$6:$D$1413,$B174,'февраль 2024'!$J$6:$J$1413,U$1)</f>
        <v>0</v>
      </c>
      <c r="V174" s="80">
        <f>SUMIFS('февраль 2024'!$G$6:$G$1413,'февраль 2024'!$D$6:$D$1413,$B174,'февраль 2024'!$J$6:$J$1413,V$1)</f>
        <v>0</v>
      </c>
      <c r="W174" s="80">
        <f>SUMIFS('февраль 2024'!$G$6:$G$1413,'февраль 2024'!$D$6:$D$1413,$B174,'февраль 2024'!$J$6:$J$1413,W$1)</f>
        <v>0</v>
      </c>
      <c r="X174" s="80">
        <f>SUMIFS('февраль 2024'!$G$6:$G$1413,'февраль 2024'!$D$6:$D$1413,$B174,'февраль 2024'!$J$6:$J$1413,X$1)</f>
        <v>0</v>
      </c>
      <c r="Y174" s="80">
        <f>SUMIFS('февраль 2024'!$G$6:$G$1413,'февраль 2024'!$D$6:$D$1413,$B174,'февраль 2024'!$J$6:$J$1413,Y$1)</f>
        <v>0</v>
      </c>
      <c r="Z174" s="80">
        <f>SUMIFS('февраль 2024'!$G$6:$G$1413,'февраль 2024'!$D$6:$D$1413,$B174,'февраль 2024'!$J$6:$J$1413,Z$1)</f>
        <v>0</v>
      </c>
      <c r="AA174" s="80">
        <f>SUMIFS('февраль 2024'!$G$6:$G$1413,'февраль 2024'!$D$6:$D$1413,$B174,'февраль 2024'!$J$6:$J$1413,AA$1)</f>
        <v>0</v>
      </c>
      <c r="AB174" s="80">
        <f>SUMIFS('февраль 2024'!$G$6:$G$1413,'февраль 2024'!$D$6:$D$1413,$B174,'февраль 2024'!$J$6:$J$1413,AB$1)</f>
        <v>0</v>
      </c>
      <c r="AC174" s="80">
        <f>SUMIFS('февраль 2024'!$G$6:$G$1413,'февраль 2024'!$D$6:$D$1413,$B174,'февраль 2024'!$J$6:$J$1413,AC$1)</f>
        <v>0</v>
      </c>
      <c r="AD174" s="80">
        <f>SUMIFS('февраль 2024'!$G$6:$G$1413,'февраль 2024'!$D$6:$D$1413,$B174,'февраль 2024'!$J$6:$J$1413,AD$1)</f>
        <v>0</v>
      </c>
      <c r="AE174" s="80">
        <f>SUMIFS('февраль 2024'!$G$6:$G$1413,'февраль 2024'!$D$6:$D$1413,$B174,'февраль 2024'!$J$6:$J$1413,AE$1)</f>
        <v>0</v>
      </c>
      <c r="AF174" s="80">
        <f>SUMIFS('февраль 2024'!$G$6:$G$1413,'февраль 2024'!$D$6:$D$1413,$B174,'февраль 2024'!$J$6:$J$1413,AF$1)</f>
        <v>0</v>
      </c>
      <c r="AG174" s="80">
        <f>SUMIFS('февраль 2024'!$G$6:$G$1413,'февраль 2024'!$D$6:$D$1413,$B174,'февраль 2024'!$J$6:$J$1413,AG$1)</f>
        <v>0</v>
      </c>
      <c r="AH174" s="80">
        <f>SUMIFS('февраль 2024'!$G$6:$G$1413,'февраль 2024'!$D$6:$D$1413,$B174,'февраль 2024'!$J$6:$J$1413,AH$1)</f>
        <v>0</v>
      </c>
      <c r="AI174" s="87"/>
    </row>
    <row r="175" spans="2:35" ht="15" hidden="1" customHeight="1" x14ac:dyDescent="0.25">
      <c r="B175" s="89"/>
      <c r="C175" s="88"/>
      <c r="D175" s="80">
        <f>SUMIFS('февраль 2024'!$G$6:$G$1413,'февраль 2024'!$D$6:$D$1413,$B175,'февраль 2024'!$J$6:$J$1413,D$1)</f>
        <v>0</v>
      </c>
      <c r="E175" s="80">
        <f>SUMIFS('февраль 2024'!$G$6:$G$1413,'февраль 2024'!$D$6:$D$1413,$B175,'февраль 2024'!$J$6:$J$1413,E$1)</f>
        <v>0</v>
      </c>
      <c r="F175" s="80">
        <f>SUMIFS('февраль 2024'!$G$6:$G$1413,'февраль 2024'!$D$6:$D$1413,$B175,'февраль 2024'!$J$6:$J$1413,F$1)</f>
        <v>0</v>
      </c>
      <c r="G175" s="80">
        <f>SUMIFS('февраль 2024'!$G$6:$G$1413,'февраль 2024'!$D$6:$D$1413,$B175,'февраль 2024'!$J$6:$J$1413,G$1)</f>
        <v>0</v>
      </c>
      <c r="H175" s="80">
        <f>SUMIFS('февраль 2024'!$G$6:$G$1413,'февраль 2024'!$D$6:$D$1413,$B175,'февраль 2024'!$J$6:$J$1413,H$1)</f>
        <v>0</v>
      </c>
      <c r="I175" s="80">
        <f>SUMIFS('февраль 2024'!$G$6:$G$1413,'февраль 2024'!$D$6:$D$1413,$B175,'февраль 2024'!$J$6:$J$1413,I$1)</f>
        <v>0</v>
      </c>
      <c r="J175" s="80">
        <f>SUMIFS('февраль 2024'!$G$6:$G$1413,'февраль 2024'!$D$6:$D$1413,$B175,'февраль 2024'!$J$6:$J$1413,J$1)</f>
        <v>0</v>
      </c>
      <c r="K175" s="80">
        <f>SUMIFS('февраль 2024'!$G$6:$G$1413,'февраль 2024'!$D$6:$D$1413,$B175,'февраль 2024'!$J$6:$J$1413,K$1)</f>
        <v>0</v>
      </c>
      <c r="L175" s="80">
        <f>SUMIFS('февраль 2024'!$G$6:$G$1413,'февраль 2024'!$D$6:$D$1413,$B175,'февраль 2024'!$J$6:$J$1413,L$1)</f>
        <v>0</v>
      </c>
      <c r="M175" s="80">
        <f>SUMIFS('февраль 2024'!$G$6:$G$1413,'февраль 2024'!$D$6:$D$1413,$B175,'февраль 2024'!$J$6:$J$1413,M$1)</f>
        <v>0</v>
      </c>
      <c r="N175" s="80">
        <f>SUMIFS('февраль 2024'!$G$6:$G$1413,'февраль 2024'!$D$6:$D$1413,$B175,'февраль 2024'!$J$6:$J$1413,N$1)</f>
        <v>0</v>
      </c>
      <c r="O175" s="80">
        <f>SUMIFS('февраль 2024'!$G$6:$G$1413,'февраль 2024'!$D$6:$D$1413,$B175,'февраль 2024'!$J$6:$J$1413,O$1)</f>
        <v>0</v>
      </c>
      <c r="P175" s="80">
        <f>SUMIFS('февраль 2024'!$G$6:$G$1413,'февраль 2024'!$D$6:$D$1413,$B175,'февраль 2024'!$J$6:$J$1413,P$1)</f>
        <v>0</v>
      </c>
      <c r="Q175" s="80">
        <f>SUMIFS('февраль 2024'!$G$6:$G$1413,'февраль 2024'!$D$6:$D$1413,$B175,'февраль 2024'!$J$6:$J$1413,Q$1)</f>
        <v>0</v>
      </c>
      <c r="R175" s="80">
        <f>SUMIFS('февраль 2024'!$G$6:$G$1413,'февраль 2024'!$D$6:$D$1413,$B175,'февраль 2024'!$J$6:$J$1413,R$1)</f>
        <v>0</v>
      </c>
      <c r="S175" s="80">
        <f>SUMIFS('февраль 2024'!$G$6:$G$1413,'февраль 2024'!$D$6:$D$1413,$B175,'февраль 2024'!$J$6:$J$1413,S$1)</f>
        <v>0</v>
      </c>
      <c r="T175" s="80">
        <f>SUMIFS('февраль 2024'!$G$6:$G$1413,'февраль 2024'!$D$6:$D$1413,$B175,'февраль 2024'!$J$6:$J$1413,T$1)</f>
        <v>0</v>
      </c>
      <c r="U175" s="80">
        <f>SUMIFS('февраль 2024'!$G$6:$G$1413,'февраль 2024'!$D$6:$D$1413,$B175,'февраль 2024'!$J$6:$J$1413,U$1)</f>
        <v>0</v>
      </c>
      <c r="V175" s="80">
        <f>SUMIFS('февраль 2024'!$G$6:$G$1413,'февраль 2024'!$D$6:$D$1413,$B175,'февраль 2024'!$J$6:$J$1413,V$1)</f>
        <v>0</v>
      </c>
      <c r="W175" s="80">
        <f>SUMIFS('февраль 2024'!$G$6:$G$1413,'февраль 2024'!$D$6:$D$1413,$B175,'февраль 2024'!$J$6:$J$1413,W$1)</f>
        <v>0</v>
      </c>
      <c r="X175" s="80">
        <f>SUMIFS('февраль 2024'!$G$6:$G$1413,'февраль 2024'!$D$6:$D$1413,$B175,'февраль 2024'!$J$6:$J$1413,X$1)</f>
        <v>0</v>
      </c>
      <c r="Y175" s="80">
        <f>SUMIFS('февраль 2024'!$G$6:$G$1413,'февраль 2024'!$D$6:$D$1413,$B175,'февраль 2024'!$J$6:$J$1413,Y$1)</f>
        <v>0</v>
      </c>
      <c r="Z175" s="80">
        <f>SUMIFS('февраль 2024'!$G$6:$G$1413,'февраль 2024'!$D$6:$D$1413,$B175,'февраль 2024'!$J$6:$J$1413,Z$1)</f>
        <v>0</v>
      </c>
      <c r="AA175" s="80">
        <f>SUMIFS('февраль 2024'!$G$6:$G$1413,'февраль 2024'!$D$6:$D$1413,$B175,'февраль 2024'!$J$6:$J$1413,AA$1)</f>
        <v>0</v>
      </c>
      <c r="AB175" s="80">
        <f>SUMIFS('февраль 2024'!$G$6:$G$1413,'февраль 2024'!$D$6:$D$1413,$B175,'февраль 2024'!$J$6:$J$1413,AB$1)</f>
        <v>0</v>
      </c>
      <c r="AC175" s="80">
        <f>SUMIFS('февраль 2024'!$G$6:$G$1413,'февраль 2024'!$D$6:$D$1413,$B175,'февраль 2024'!$J$6:$J$1413,AC$1)</f>
        <v>0</v>
      </c>
      <c r="AD175" s="80">
        <f>SUMIFS('февраль 2024'!$G$6:$G$1413,'февраль 2024'!$D$6:$D$1413,$B175,'февраль 2024'!$J$6:$J$1413,AD$1)</f>
        <v>0</v>
      </c>
      <c r="AE175" s="80">
        <f>SUMIFS('февраль 2024'!$G$6:$G$1413,'февраль 2024'!$D$6:$D$1413,$B175,'февраль 2024'!$J$6:$J$1413,AE$1)</f>
        <v>0</v>
      </c>
      <c r="AF175" s="80">
        <f>SUMIFS('февраль 2024'!$G$6:$G$1413,'февраль 2024'!$D$6:$D$1413,$B175,'февраль 2024'!$J$6:$J$1413,AF$1)</f>
        <v>0</v>
      </c>
      <c r="AG175" s="80">
        <f>SUMIFS('февраль 2024'!$G$6:$G$1413,'февраль 2024'!$D$6:$D$1413,$B175,'февраль 2024'!$J$6:$J$1413,AG$1)</f>
        <v>0</v>
      </c>
      <c r="AH175" s="80">
        <f>SUMIFS('февраль 2024'!$G$6:$G$1413,'февраль 2024'!$D$6:$D$1413,$B175,'февраль 2024'!$J$6:$J$1413,AH$1)</f>
        <v>0</v>
      </c>
      <c r="AI175" s="87"/>
    </row>
    <row r="176" spans="2:35" ht="15" hidden="1" customHeight="1" x14ac:dyDescent="0.25">
      <c r="B176" s="89"/>
      <c r="C176" s="88"/>
      <c r="D176" s="80">
        <f>SUMIFS('февраль 2024'!$G$6:$G$1413,'февраль 2024'!$D$6:$D$1413,$B176,'февраль 2024'!$J$6:$J$1413,D$1)</f>
        <v>0</v>
      </c>
      <c r="E176" s="80">
        <f>SUMIFS('февраль 2024'!$G$6:$G$1413,'февраль 2024'!$D$6:$D$1413,$B176,'февраль 2024'!$J$6:$J$1413,E$1)</f>
        <v>0</v>
      </c>
      <c r="F176" s="80">
        <f>SUMIFS('февраль 2024'!$G$6:$G$1413,'февраль 2024'!$D$6:$D$1413,$B176,'февраль 2024'!$J$6:$J$1413,F$1)</f>
        <v>0</v>
      </c>
      <c r="G176" s="80">
        <f>SUMIFS('февраль 2024'!$G$6:$G$1413,'февраль 2024'!$D$6:$D$1413,$B176,'февраль 2024'!$J$6:$J$1413,G$1)</f>
        <v>0</v>
      </c>
      <c r="H176" s="80">
        <f>SUMIFS('февраль 2024'!$G$6:$G$1413,'февраль 2024'!$D$6:$D$1413,$B176,'февраль 2024'!$J$6:$J$1413,H$1)</f>
        <v>0</v>
      </c>
      <c r="I176" s="80">
        <f>SUMIFS('февраль 2024'!$G$6:$G$1413,'февраль 2024'!$D$6:$D$1413,$B176,'февраль 2024'!$J$6:$J$1413,I$1)</f>
        <v>0</v>
      </c>
      <c r="J176" s="80">
        <f>SUMIFS('февраль 2024'!$G$6:$G$1413,'февраль 2024'!$D$6:$D$1413,$B176,'февраль 2024'!$J$6:$J$1413,J$1)</f>
        <v>0</v>
      </c>
      <c r="K176" s="80">
        <f>SUMIFS('февраль 2024'!$G$6:$G$1413,'февраль 2024'!$D$6:$D$1413,$B176,'февраль 2024'!$J$6:$J$1413,K$1)</f>
        <v>0</v>
      </c>
      <c r="L176" s="80">
        <f>SUMIFS('февраль 2024'!$G$6:$G$1413,'февраль 2024'!$D$6:$D$1413,$B176,'февраль 2024'!$J$6:$J$1413,L$1)</f>
        <v>0</v>
      </c>
      <c r="M176" s="80">
        <f>SUMIFS('февраль 2024'!$G$6:$G$1413,'февраль 2024'!$D$6:$D$1413,$B176,'февраль 2024'!$J$6:$J$1413,M$1)</f>
        <v>0</v>
      </c>
      <c r="N176" s="80">
        <f>SUMIFS('февраль 2024'!$G$6:$G$1413,'февраль 2024'!$D$6:$D$1413,$B176,'февраль 2024'!$J$6:$J$1413,N$1)</f>
        <v>0</v>
      </c>
      <c r="O176" s="80">
        <f>SUMIFS('февраль 2024'!$G$6:$G$1413,'февраль 2024'!$D$6:$D$1413,$B176,'февраль 2024'!$J$6:$J$1413,O$1)</f>
        <v>0</v>
      </c>
      <c r="P176" s="80">
        <f>SUMIFS('февраль 2024'!$G$6:$G$1413,'февраль 2024'!$D$6:$D$1413,$B176,'февраль 2024'!$J$6:$J$1413,P$1)</f>
        <v>0</v>
      </c>
      <c r="Q176" s="80">
        <f>SUMIFS('февраль 2024'!$G$6:$G$1413,'февраль 2024'!$D$6:$D$1413,$B176,'февраль 2024'!$J$6:$J$1413,Q$1)</f>
        <v>0</v>
      </c>
      <c r="R176" s="80">
        <f>SUMIFS('февраль 2024'!$G$6:$G$1413,'февраль 2024'!$D$6:$D$1413,$B176,'февраль 2024'!$J$6:$J$1413,R$1)</f>
        <v>0</v>
      </c>
      <c r="S176" s="80">
        <f>SUMIFS('февраль 2024'!$G$6:$G$1413,'февраль 2024'!$D$6:$D$1413,$B176,'февраль 2024'!$J$6:$J$1413,S$1)</f>
        <v>0</v>
      </c>
      <c r="T176" s="80">
        <f>SUMIFS('февраль 2024'!$G$6:$G$1413,'февраль 2024'!$D$6:$D$1413,$B176,'февраль 2024'!$J$6:$J$1413,T$1)</f>
        <v>0</v>
      </c>
      <c r="U176" s="80">
        <f>SUMIFS('февраль 2024'!$G$6:$G$1413,'февраль 2024'!$D$6:$D$1413,$B176,'февраль 2024'!$J$6:$J$1413,U$1)</f>
        <v>0</v>
      </c>
      <c r="V176" s="80">
        <f>SUMIFS('февраль 2024'!$G$6:$G$1413,'февраль 2024'!$D$6:$D$1413,$B176,'февраль 2024'!$J$6:$J$1413,V$1)</f>
        <v>0</v>
      </c>
      <c r="W176" s="80">
        <f>SUMIFS('февраль 2024'!$G$6:$G$1413,'февраль 2024'!$D$6:$D$1413,$B176,'февраль 2024'!$J$6:$J$1413,W$1)</f>
        <v>0</v>
      </c>
      <c r="X176" s="80">
        <f>SUMIFS('февраль 2024'!$G$6:$G$1413,'февраль 2024'!$D$6:$D$1413,$B176,'февраль 2024'!$J$6:$J$1413,X$1)</f>
        <v>0</v>
      </c>
      <c r="Y176" s="80">
        <f>SUMIFS('февраль 2024'!$G$6:$G$1413,'февраль 2024'!$D$6:$D$1413,$B176,'февраль 2024'!$J$6:$J$1413,Y$1)</f>
        <v>0</v>
      </c>
      <c r="Z176" s="80">
        <f>SUMIFS('февраль 2024'!$G$6:$G$1413,'февраль 2024'!$D$6:$D$1413,$B176,'февраль 2024'!$J$6:$J$1413,Z$1)</f>
        <v>0</v>
      </c>
      <c r="AA176" s="80">
        <f>SUMIFS('февраль 2024'!$G$6:$G$1413,'февраль 2024'!$D$6:$D$1413,$B176,'февраль 2024'!$J$6:$J$1413,AA$1)</f>
        <v>0</v>
      </c>
      <c r="AB176" s="80">
        <f>SUMIFS('февраль 2024'!$G$6:$G$1413,'февраль 2024'!$D$6:$D$1413,$B176,'февраль 2024'!$J$6:$J$1413,AB$1)</f>
        <v>0</v>
      </c>
      <c r="AC176" s="80">
        <f>SUMIFS('февраль 2024'!$G$6:$G$1413,'февраль 2024'!$D$6:$D$1413,$B176,'февраль 2024'!$J$6:$J$1413,AC$1)</f>
        <v>0</v>
      </c>
      <c r="AD176" s="80">
        <f>SUMIFS('февраль 2024'!$G$6:$G$1413,'февраль 2024'!$D$6:$D$1413,$B176,'февраль 2024'!$J$6:$J$1413,AD$1)</f>
        <v>0</v>
      </c>
      <c r="AE176" s="80">
        <f>SUMIFS('февраль 2024'!$G$6:$G$1413,'февраль 2024'!$D$6:$D$1413,$B176,'февраль 2024'!$J$6:$J$1413,AE$1)</f>
        <v>0</v>
      </c>
      <c r="AF176" s="80">
        <f>SUMIFS('февраль 2024'!$G$6:$G$1413,'февраль 2024'!$D$6:$D$1413,$B176,'февраль 2024'!$J$6:$J$1413,AF$1)</f>
        <v>0</v>
      </c>
      <c r="AG176" s="80">
        <f>SUMIFS('февраль 2024'!$G$6:$G$1413,'февраль 2024'!$D$6:$D$1413,$B176,'февраль 2024'!$J$6:$J$1413,AG$1)</f>
        <v>0</v>
      </c>
      <c r="AH176" s="80">
        <f>SUMIFS('февраль 2024'!$G$6:$G$1413,'февраль 2024'!$D$6:$D$1413,$B176,'февраль 2024'!$J$6:$J$1413,AH$1)</f>
        <v>0</v>
      </c>
      <c r="AI176" s="87"/>
    </row>
    <row r="177" spans="2:35" ht="15" hidden="1" customHeight="1" x14ac:dyDescent="0.25">
      <c r="B177" s="89"/>
      <c r="C177" s="88"/>
      <c r="D177" s="80">
        <f>SUMIFS('февраль 2024'!$G$6:$G$1413,'февраль 2024'!$D$6:$D$1413,$B177,'февраль 2024'!$J$6:$J$1413,D$1)</f>
        <v>0</v>
      </c>
      <c r="E177" s="80">
        <f>SUMIFS('февраль 2024'!$G$6:$G$1413,'февраль 2024'!$D$6:$D$1413,$B177,'февраль 2024'!$J$6:$J$1413,E$1)</f>
        <v>0</v>
      </c>
      <c r="F177" s="80">
        <f>SUMIFS('февраль 2024'!$G$6:$G$1413,'февраль 2024'!$D$6:$D$1413,$B177,'февраль 2024'!$J$6:$J$1413,F$1)</f>
        <v>0</v>
      </c>
      <c r="G177" s="80">
        <f>SUMIFS('февраль 2024'!$G$6:$G$1413,'февраль 2024'!$D$6:$D$1413,$B177,'февраль 2024'!$J$6:$J$1413,G$1)</f>
        <v>0</v>
      </c>
      <c r="H177" s="80">
        <f>SUMIFS('февраль 2024'!$G$6:$G$1413,'февраль 2024'!$D$6:$D$1413,$B177,'февраль 2024'!$J$6:$J$1413,H$1)</f>
        <v>0</v>
      </c>
      <c r="I177" s="80">
        <f>SUMIFS('февраль 2024'!$G$6:$G$1413,'февраль 2024'!$D$6:$D$1413,$B177,'февраль 2024'!$J$6:$J$1413,I$1)</f>
        <v>0</v>
      </c>
      <c r="J177" s="80">
        <f>SUMIFS('февраль 2024'!$G$6:$G$1413,'февраль 2024'!$D$6:$D$1413,$B177,'февраль 2024'!$J$6:$J$1413,J$1)</f>
        <v>0</v>
      </c>
      <c r="K177" s="80">
        <f>SUMIFS('февраль 2024'!$G$6:$G$1413,'февраль 2024'!$D$6:$D$1413,$B177,'февраль 2024'!$J$6:$J$1413,K$1)</f>
        <v>0</v>
      </c>
      <c r="L177" s="80">
        <f>SUMIFS('февраль 2024'!$G$6:$G$1413,'февраль 2024'!$D$6:$D$1413,$B177,'февраль 2024'!$J$6:$J$1413,L$1)</f>
        <v>0</v>
      </c>
      <c r="M177" s="80">
        <f>SUMIFS('февраль 2024'!$G$6:$G$1413,'февраль 2024'!$D$6:$D$1413,$B177,'февраль 2024'!$J$6:$J$1413,M$1)</f>
        <v>0</v>
      </c>
      <c r="N177" s="80">
        <f>SUMIFS('февраль 2024'!$G$6:$G$1413,'февраль 2024'!$D$6:$D$1413,$B177,'февраль 2024'!$J$6:$J$1413,N$1)</f>
        <v>0</v>
      </c>
      <c r="O177" s="80">
        <f>SUMIFS('февраль 2024'!$G$6:$G$1413,'февраль 2024'!$D$6:$D$1413,$B177,'февраль 2024'!$J$6:$J$1413,O$1)</f>
        <v>0</v>
      </c>
      <c r="P177" s="80">
        <f>SUMIFS('февраль 2024'!$G$6:$G$1413,'февраль 2024'!$D$6:$D$1413,$B177,'февраль 2024'!$J$6:$J$1413,P$1)</f>
        <v>0</v>
      </c>
      <c r="Q177" s="80">
        <f>SUMIFS('февраль 2024'!$G$6:$G$1413,'февраль 2024'!$D$6:$D$1413,$B177,'февраль 2024'!$J$6:$J$1413,Q$1)</f>
        <v>0</v>
      </c>
      <c r="R177" s="80">
        <f>SUMIFS('февраль 2024'!$G$6:$G$1413,'февраль 2024'!$D$6:$D$1413,$B177,'февраль 2024'!$J$6:$J$1413,R$1)</f>
        <v>0</v>
      </c>
      <c r="S177" s="80">
        <f>SUMIFS('февраль 2024'!$G$6:$G$1413,'февраль 2024'!$D$6:$D$1413,$B177,'февраль 2024'!$J$6:$J$1413,S$1)</f>
        <v>0</v>
      </c>
      <c r="T177" s="80">
        <f>SUMIFS('февраль 2024'!$G$6:$G$1413,'февраль 2024'!$D$6:$D$1413,$B177,'февраль 2024'!$J$6:$J$1413,T$1)</f>
        <v>0</v>
      </c>
      <c r="U177" s="80">
        <f>SUMIFS('февраль 2024'!$G$6:$G$1413,'февраль 2024'!$D$6:$D$1413,$B177,'февраль 2024'!$J$6:$J$1413,U$1)</f>
        <v>0</v>
      </c>
      <c r="V177" s="80">
        <f>SUMIFS('февраль 2024'!$G$6:$G$1413,'февраль 2024'!$D$6:$D$1413,$B177,'февраль 2024'!$J$6:$J$1413,V$1)</f>
        <v>0</v>
      </c>
      <c r="W177" s="80">
        <f>SUMIFS('февраль 2024'!$G$6:$G$1413,'февраль 2024'!$D$6:$D$1413,$B177,'февраль 2024'!$J$6:$J$1413,W$1)</f>
        <v>0</v>
      </c>
      <c r="X177" s="80">
        <f>SUMIFS('февраль 2024'!$G$6:$G$1413,'февраль 2024'!$D$6:$D$1413,$B177,'февраль 2024'!$J$6:$J$1413,X$1)</f>
        <v>0</v>
      </c>
      <c r="Y177" s="80">
        <f>SUMIFS('февраль 2024'!$G$6:$G$1413,'февраль 2024'!$D$6:$D$1413,$B177,'февраль 2024'!$J$6:$J$1413,Y$1)</f>
        <v>0</v>
      </c>
      <c r="Z177" s="80">
        <f>SUMIFS('февраль 2024'!$G$6:$G$1413,'февраль 2024'!$D$6:$D$1413,$B177,'февраль 2024'!$J$6:$J$1413,Z$1)</f>
        <v>0</v>
      </c>
      <c r="AA177" s="80">
        <f>SUMIFS('февраль 2024'!$G$6:$G$1413,'февраль 2024'!$D$6:$D$1413,$B177,'февраль 2024'!$J$6:$J$1413,AA$1)</f>
        <v>0</v>
      </c>
      <c r="AB177" s="80">
        <f>SUMIFS('февраль 2024'!$G$6:$G$1413,'февраль 2024'!$D$6:$D$1413,$B177,'февраль 2024'!$J$6:$J$1413,AB$1)</f>
        <v>0</v>
      </c>
      <c r="AC177" s="80">
        <f>SUMIFS('февраль 2024'!$G$6:$G$1413,'февраль 2024'!$D$6:$D$1413,$B177,'февраль 2024'!$J$6:$J$1413,AC$1)</f>
        <v>0</v>
      </c>
      <c r="AD177" s="80">
        <f>SUMIFS('февраль 2024'!$G$6:$G$1413,'февраль 2024'!$D$6:$D$1413,$B177,'февраль 2024'!$J$6:$J$1413,AD$1)</f>
        <v>0</v>
      </c>
      <c r="AE177" s="80">
        <f>SUMIFS('февраль 2024'!$G$6:$G$1413,'февраль 2024'!$D$6:$D$1413,$B177,'февраль 2024'!$J$6:$J$1413,AE$1)</f>
        <v>0</v>
      </c>
      <c r="AF177" s="80">
        <f>SUMIFS('февраль 2024'!$G$6:$G$1413,'февраль 2024'!$D$6:$D$1413,$B177,'февраль 2024'!$J$6:$J$1413,AF$1)</f>
        <v>0</v>
      </c>
      <c r="AG177" s="80">
        <f>SUMIFS('февраль 2024'!$G$6:$G$1413,'февраль 2024'!$D$6:$D$1413,$B177,'февраль 2024'!$J$6:$J$1413,AG$1)</f>
        <v>0</v>
      </c>
      <c r="AH177" s="80">
        <f>SUMIFS('февраль 2024'!$G$6:$G$1413,'февраль 2024'!$D$6:$D$1413,$B177,'февраль 2024'!$J$6:$J$1413,AH$1)</f>
        <v>0</v>
      </c>
      <c r="AI177" s="87"/>
    </row>
    <row r="178" spans="2:35" ht="15" hidden="1" customHeight="1" x14ac:dyDescent="0.25">
      <c r="B178" s="89"/>
      <c r="C178" s="88"/>
      <c r="D178" s="80">
        <f>SUMIFS('февраль 2024'!$G$6:$G$1413,'февраль 2024'!$D$6:$D$1413,$B178,'февраль 2024'!$J$6:$J$1413,D$1)</f>
        <v>0</v>
      </c>
      <c r="E178" s="80">
        <f>SUMIFS('февраль 2024'!$G$6:$G$1413,'февраль 2024'!$D$6:$D$1413,$B178,'февраль 2024'!$J$6:$J$1413,E$1)</f>
        <v>0</v>
      </c>
      <c r="F178" s="80">
        <f>SUMIFS('февраль 2024'!$G$6:$G$1413,'февраль 2024'!$D$6:$D$1413,$B178,'февраль 2024'!$J$6:$J$1413,F$1)</f>
        <v>0</v>
      </c>
      <c r="G178" s="80">
        <f>SUMIFS('февраль 2024'!$G$6:$G$1413,'февраль 2024'!$D$6:$D$1413,$B178,'февраль 2024'!$J$6:$J$1413,G$1)</f>
        <v>0</v>
      </c>
      <c r="H178" s="80">
        <f>SUMIFS('февраль 2024'!$G$6:$G$1413,'февраль 2024'!$D$6:$D$1413,$B178,'февраль 2024'!$J$6:$J$1413,H$1)</f>
        <v>0</v>
      </c>
      <c r="I178" s="80">
        <f>SUMIFS('февраль 2024'!$G$6:$G$1413,'февраль 2024'!$D$6:$D$1413,$B178,'февраль 2024'!$J$6:$J$1413,I$1)</f>
        <v>0</v>
      </c>
      <c r="J178" s="80">
        <f>SUMIFS('февраль 2024'!$G$6:$G$1413,'февраль 2024'!$D$6:$D$1413,$B178,'февраль 2024'!$J$6:$J$1413,J$1)</f>
        <v>0</v>
      </c>
      <c r="K178" s="80">
        <f>SUMIFS('февраль 2024'!$G$6:$G$1413,'февраль 2024'!$D$6:$D$1413,$B178,'февраль 2024'!$J$6:$J$1413,K$1)</f>
        <v>0</v>
      </c>
      <c r="L178" s="80">
        <f>SUMIFS('февраль 2024'!$G$6:$G$1413,'февраль 2024'!$D$6:$D$1413,$B178,'февраль 2024'!$J$6:$J$1413,L$1)</f>
        <v>0</v>
      </c>
      <c r="M178" s="80">
        <f>SUMIFS('февраль 2024'!$G$6:$G$1413,'февраль 2024'!$D$6:$D$1413,$B178,'февраль 2024'!$J$6:$J$1413,M$1)</f>
        <v>0</v>
      </c>
      <c r="N178" s="80">
        <f>SUMIFS('февраль 2024'!$G$6:$G$1413,'февраль 2024'!$D$6:$D$1413,$B178,'февраль 2024'!$J$6:$J$1413,N$1)</f>
        <v>0</v>
      </c>
      <c r="O178" s="80">
        <f>SUMIFS('февраль 2024'!$G$6:$G$1413,'февраль 2024'!$D$6:$D$1413,$B178,'февраль 2024'!$J$6:$J$1413,O$1)</f>
        <v>0</v>
      </c>
      <c r="P178" s="80">
        <f>SUMIFS('февраль 2024'!$G$6:$G$1413,'февраль 2024'!$D$6:$D$1413,$B178,'февраль 2024'!$J$6:$J$1413,P$1)</f>
        <v>0</v>
      </c>
      <c r="Q178" s="80">
        <f>SUMIFS('февраль 2024'!$G$6:$G$1413,'февраль 2024'!$D$6:$D$1413,$B178,'февраль 2024'!$J$6:$J$1413,Q$1)</f>
        <v>0</v>
      </c>
      <c r="R178" s="80">
        <f>SUMIFS('февраль 2024'!$G$6:$G$1413,'февраль 2024'!$D$6:$D$1413,$B178,'февраль 2024'!$J$6:$J$1413,R$1)</f>
        <v>0</v>
      </c>
      <c r="S178" s="80">
        <f>SUMIFS('февраль 2024'!$G$6:$G$1413,'февраль 2024'!$D$6:$D$1413,$B178,'февраль 2024'!$J$6:$J$1413,S$1)</f>
        <v>0</v>
      </c>
      <c r="T178" s="80">
        <f>SUMIFS('февраль 2024'!$G$6:$G$1413,'февраль 2024'!$D$6:$D$1413,$B178,'февраль 2024'!$J$6:$J$1413,T$1)</f>
        <v>0</v>
      </c>
      <c r="U178" s="80">
        <f>SUMIFS('февраль 2024'!$G$6:$G$1413,'февраль 2024'!$D$6:$D$1413,$B178,'февраль 2024'!$J$6:$J$1413,U$1)</f>
        <v>0</v>
      </c>
      <c r="V178" s="80">
        <f>SUMIFS('февраль 2024'!$G$6:$G$1413,'февраль 2024'!$D$6:$D$1413,$B178,'февраль 2024'!$J$6:$J$1413,V$1)</f>
        <v>0</v>
      </c>
      <c r="W178" s="80">
        <f>SUMIFS('февраль 2024'!$G$6:$G$1413,'февраль 2024'!$D$6:$D$1413,$B178,'февраль 2024'!$J$6:$J$1413,W$1)</f>
        <v>0</v>
      </c>
      <c r="X178" s="80">
        <f>SUMIFS('февраль 2024'!$G$6:$G$1413,'февраль 2024'!$D$6:$D$1413,$B178,'февраль 2024'!$J$6:$J$1413,X$1)</f>
        <v>0</v>
      </c>
      <c r="Y178" s="80">
        <f>SUMIFS('февраль 2024'!$G$6:$G$1413,'февраль 2024'!$D$6:$D$1413,$B178,'февраль 2024'!$J$6:$J$1413,Y$1)</f>
        <v>0</v>
      </c>
      <c r="Z178" s="80">
        <f>SUMIFS('февраль 2024'!$G$6:$G$1413,'февраль 2024'!$D$6:$D$1413,$B178,'февраль 2024'!$J$6:$J$1413,Z$1)</f>
        <v>0</v>
      </c>
      <c r="AA178" s="80">
        <f>SUMIFS('февраль 2024'!$G$6:$G$1413,'февраль 2024'!$D$6:$D$1413,$B178,'февраль 2024'!$J$6:$J$1413,AA$1)</f>
        <v>0</v>
      </c>
      <c r="AB178" s="80">
        <f>SUMIFS('февраль 2024'!$G$6:$G$1413,'февраль 2024'!$D$6:$D$1413,$B178,'февраль 2024'!$J$6:$J$1413,AB$1)</f>
        <v>0</v>
      </c>
      <c r="AC178" s="80">
        <f>SUMIFS('февраль 2024'!$G$6:$G$1413,'февраль 2024'!$D$6:$D$1413,$B178,'февраль 2024'!$J$6:$J$1413,AC$1)</f>
        <v>0</v>
      </c>
      <c r="AD178" s="80">
        <f>SUMIFS('февраль 2024'!$G$6:$G$1413,'февраль 2024'!$D$6:$D$1413,$B178,'февраль 2024'!$J$6:$J$1413,AD$1)</f>
        <v>0</v>
      </c>
      <c r="AE178" s="80">
        <f>SUMIFS('февраль 2024'!$G$6:$G$1413,'февраль 2024'!$D$6:$D$1413,$B178,'февраль 2024'!$J$6:$J$1413,AE$1)</f>
        <v>0</v>
      </c>
      <c r="AF178" s="80">
        <f>SUMIFS('февраль 2024'!$G$6:$G$1413,'февраль 2024'!$D$6:$D$1413,$B178,'февраль 2024'!$J$6:$J$1413,AF$1)</f>
        <v>0</v>
      </c>
      <c r="AG178" s="80">
        <f>SUMIFS('февраль 2024'!$G$6:$G$1413,'февраль 2024'!$D$6:$D$1413,$B178,'февраль 2024'!$J$6:$J$1413,AG$1)</f>
        <v>0</v>
      </c>
      <c r="AH178" s="80">
        <f>SUMIFS('февраль 2024'!$G$6:$G$1413,'февраль 2024'!$D$6:$D$1413,$B178,'февраль 2024'!$J$6:$J$1413,AH$1)</f>
        <v>0</v>
      </c>
      <c r="AI178" s="87"/>
    </row>
    <row r="179" spans="2:35" ht="15" hidden="1" customHeight="1" x14ac:dyDescent="0.25">
      <c r="B179" s="89"/>
      <c r="C179" s="88"/>
      <c r="D179" s="80">
        <f>SUMIFS('февраль 2024'!$G$6:$G$1413,'февраль 2024'!$D$6:$D$1413,$B179,'февраль 2024'!$J$6:$J$1413,D$1)</f>
        <v>0</v>
      </c>
      <c r="E179" s="80">
        <f>SUMIFS('февраль 2024'!$G$6:$G$1413,'февраль 2024'!$D$6:$D$1413,$B179,'февраль 2024'!$J$6:$J$1413,E$1)</f>
        <v>0</v>
      </c>
      <c r="F179" s="80">
        <f>SUMIFS('февраль 2024'!$G$6:$G$1413,'февраль 2024'!$D$6:$D$1413,$B179,'февраль 2024'!$J$6:$J$1413,F$1)</f>
        <v>0</v>
      </c>
      <c r="G179" s="80">
        <f>SUMIFS('февраль 2024'!$G$6:$G$1413,'февраль 2024'!$D$6:$D$1413,$B179,'февраль 2024'!$J$6:$J$1413,G$1)</f>
        <v>0</v>
      </c>
      <c r="H179" s="80">
        <f>SUMIFS('февраль 2024'!$G$6:$G$1413,'февраль 2024'!$D$6:$D$1413,$B179,'февраль 2024'!$J$6:$J$1413,H$1)</f>
        <v>0</v>
      </c>
      <c r="I179" s="80">
        <f>SUMIFS('февраль 2024'!$G$6:$G$1413,'февраль 2024'!$D$6:$D$1413,$B179,'февраль 2024'!$J$6:$J$1413,I$1)</f>
        <v>0</v>
      </c>
      <c r="J179" s="80">
        <f>SUMIFS('февраль 2024'!$G$6:$G$1413,'февраль 2024'!$D$6:$D$1413,$B179,'февраль 2024'!$J$6:$J$1413,J$1)</f>
        <v>0</v>
      </c>
      <c r="K179" s="80">
        <f>SUMIFS('февраль 2024'!$G$6:$G$1413,'февраль 2024'!$D$6:$D$1413,$B179,'февраль 2024'!$J$6:$J$1413,K$1)</f>
        <v>0</v>
      </c>
      <c r="L179" s="80">
        <f>SUMIFS('февраль 2024'!$G$6:$G$1413,'февраль 2024'!$D$6:$D$1413,$B179,'февраль 2024'!$J$6:$J$1413,L$1)</f>
        <v>0</v>
      </c>
      <c r="M179" s="80">
        <f>SUMIFS('февраль 2024'!$G$6:$G$1413,'февраль 2024'!$D$6:$D$1413,$B179,'февраль 2024'!$J$6:$J$1413,M$1)</f>
        <v>0</v>
      </c>
      <c r="N179" s="80">
        <f>SUMIFS('февраль 2024'!$G$6:$G$1413,'февраль 2024'!$D$6:$D$1413,$B179,'февраль 2024'!$J$6:$J$1413,N$1)</f>
        <v>0</v>
      </c>
      <c r="O179" s="80">
        <f>SUMIFS('февраль 2024'!$G$6:$G$1413,'февраль 2024'!$D$6:$D$1413,$B179,'февраль 2024'!$J$6:$J$1413,O$1)</f>
        <v>0</v>
      </c>
      <c r="P179" s="80">
        <f>SUMIFS('февраль 2024'!$G$6:$G$1413,'февраль 2024'!$D$6:$D$1413,$B179,'февраль 2024'!$J$6:$J$1413,P$1)</f>
        <v>0</v>
      </c>
      <c r="Q179" s="80">
        <f>SUMIFS('февраль 2024'!$G$6:$G$1413,'февраль 2024'!$D$6:$D$1413,$B179,'февраль 2024'!$J$6:$J$1413,Q$1)</f>
        <v>0</v>
      </c>
      <c r="R179" s="80">
        <f>SUMIFS('февраль 2024'!$G$6:$G$1413,'февраль 2024'!$D$6:$D$1413,$B179,'февраль 2024'!$J$6:$J$1413,R$1)</f>
        <v>0</v>
      </c>
      <c r="S179" s="80">
        <f>SUMIFS('февраль 2024'!$G$6:$G$1413,'февраль 2024'!$D$6:$D$1413,$B179,'февраль 2024'!$J$6:$J$1413,S$1)</f>
        <v>0</v>
      </c>
      <c r="T179" s="80">
        <f>SUMIFS('февраль 2024'!$G$6:$G$1413,'февраль 2024'!$D$6:$D$1413,$B179,'февраль 2024'!$J$6:$J$1413,T$1)</f>
        <v>0</v>
      </c>
      <c r="U179" s="80">
        <f>SUMIFS('февраль 2024'!$G$6:$G$1413,'февраль 2024'!$D$6:$D$1413,$B179,'февраль 2024'!$J$6:$J$1413,U$1)</f>
        <v>0</v>
      </c>
      <c r="V179" s="80">
        <f>SUMIFS('февраль 2024'!$G$6:$G$1413,'февраль 2024'!$D$6:$D$1413,$B179,'февраль 2024'!$J$6:$J$1413,V$1)</f>
        <v>0</v>
      </c>
      <c r="W179" s="80">
        <f>SUMIFS('февраль 2024'!$G$6:$G$1413,'февраль 2024'!$D$6:$D$1413,$B179,'февраль 2024'!$J$6:$J$1413,W$1)</f>
        <v>0</v>
      </c>
      <c r="X179" s="80">
        <f>SUMIFS('февраль 2024'!$G$6:$G$1413,'февраль 2024'!$D$6:$D$1413,$B179,'февраль 2024'!$J$6:$J$1413,X$1)</f>
        <v>0</v>
      </c>
      <c r="Y179" s="80">
        <f>SUMIFS('февраль 2024'!$G$6:$G$1413,'февраль 2024'!$D$6:$D$1413,$B179,'февраль 2024'!$J$6:$J$1413,Y$1)</f>
        <v>0</v>
      </c>
      <c r="Z179" s="80">
        <f>SUMIFS('февраль 2024'!$G$6:$G$1413,'февраль 2024'!$D$6:$D$1413,$B179,'февраль 2024'!$J$6:$J$1413,Z$1)</f>
        <v>0</v>
      </c>
      <c r="AA179" s="80">
        <f>SUMIFS('февраль 2024'!$G$6:$G$1413,'февраль 2024'!$D$6:$D$1413,$B179,'февраль 2024'!$J$6:$J$1413,AA$1)</f>
        <v>0</v>
      </c>
      <c r="AB179" s="80">
        <f>SUMIFS('февраль 2024'!$G$6:$G$1413,'февраль 2024'!$D$6:$D$1413,$B179,'февраль 2024'!$J$6:$J$1413,AB$1)</f>
        <v>0</v>
      </c>
      <c r="AC179" s="80">
        <f>SUMIFS('февраль 2024'!$G$6:$G$1413,'февраль 2024'!$D$6:$D$1413,$B179,'февраль 2024'!$J$6:$J$1413,AC$1)</f>
        <v>0</v>
      </c>
      <c r="AD179" s="80">
        <f>SUMIFS('февраль 2024'!$G$6:$G$1413,'февраль 2024'!$D$6:$D$1413,$B179,'февраль 2024'!$J$6:$J$1413,AD$1)</f>
        <v>0</v>
      </c>
      <c r="AE179" s="80">
        <f>SUMIFS('февраль 2024'!$G$6:$G$1413,'февраль 2024'!$D$6:$D$1413,$B179,'февраль 2024'!$J$6:$J$1413,AE$1)</f>
        <v>0</v>
      </c>
      <c r="AF179" s="80">
        <f>SUMIFS('февраль 2024'!$G$6:$G$1413,'февраль 2024'!$D$6:$D$1413,$B179,'февраль 2024'!$J$6:$J$1413,AF$1)</f>
        <v>0</v>
      </c>
      <c r="AG179" s="80">
        <f>SUMIFS('февраль 2024'!$G$6:$G$1413,'февраль 2024'!$D$6:$D$1413,$B179,'февраль 2024'!$J$6:$J$1413,AG$1)</f>
        <v>0</v>
      </c>
      <c r="AH179" s="80">
        <f>SUMIFS('февраль 2024'!$G$6:$G$1413,'февраль 2024'!$D$6:$D$1413,$B179,'февраль 2024'!$J$6:$J$1413,AH$1)</f>
        <v>0</v>
      </c>
      <c r="AI179" s="87"/>
    </row>
    <row r="180" spans="2:35" ht="15" hidden="1" customHeight="1" x14ac:dyDescent="0.25">
      <c r="B180" s="89"/>
      <c r="C180" s="88"/>
      <c r="D180" s="80">
        <f>SUMIFS('февраль 2024'!$G$6:$G$1413,'февраль 2024'!$D$6:$D$1413,$B180,'февраль 2024'!$J$6:$J$1413,D$1)</f>
        <v>0</v>
      </c>
      <c r="E180" s="80">
        <f>SUMIFS('февраль 2024'!$G$6:$G$1413,'февраль 2024'!$D$6:$D$1413,$B180,'февраль 2024'!$J$6:$J$1413,E$1)</f>
        <v>0</v>
      </c>
      <c r="F180" s="80">
        <f>SUMIFS('февраль 2024'!$G$6:$G$1413,'февраль 2024'!$D$6:$D$1413,$B180,'февраль 2024'!$J$6:$J$1413,F$1)</f>
        <v>0</v>
      </c>
      <c r="G180" s="80">
        <f>SUMIFS('февраль 2024'!$G$6:$G$1413,'февраль 2024'!$D$6:$D$1413,$B180,'февраль 2024'!$J$6:$J$1413,G$1)</f>
        <v>0</v>
      </c>
      <c r="H180" s="80">
        <f>SUMIFS('февраль 2024'!$G$6:$G$1413,'февраль 2024'!$D$6:$D$1413,$B180,'февраль 2024'!$J$6:$J$1413,H$1)</f>
        <v>0</v>
      </c>
      <c r="I180" s="80">
        <f>SUMIFS('февраль 2024'!$G$6:$G$1413,'февраль 2024'!$D$6:$D$1413,$B180,'февраль 2024'!$J$6:$J$1413,I$1)</f>
        <v>0</v>
      </c>
      <c r="J180" s="80">
        <f>SUMIFS('февраль 2024'!$G$6:$G$1413,'февраль 2024'!$D$6:$D$1413,$B180,'февраль 2024'!$J$6:$J$1413,J$1)</f>
        <v>0</v>
      </c>
      <c r="K180" s="80">
        <f>SUMIFS('февраль 2024'!$G$6:$G$1413,'февраль 2024'!$D$6:$D$1413,$B180,'февраль 2024'!$J$6:$J$1413,K$1)</f>
        <v>0</v>
      </c>
      <c r="L180" s="80">
        <f>SUMIFS('февраль 2024'!$G$6:$G$1413,'февраль 2024'!$D$6:$D$1413,$B180,'февраль 2024'!$J$6:$J$1413,L$1)</f>
        <v>0</v>
      </c>
      <c r="M180" s="80">
        <f>SUMIFS('февраль 2024'!$G$6:$G$1413,'февраль 2024'!$D$6:$D$1413,$B180,'февраль 2024'!$J$6:$J$1413,M$1)</f>
        <v>0</v>
      </c>
      <c r="N180" s="80">
        <f>SUMIFS('февраль 2024'!$G$6:$G$1413,'февраль 2024'!$D$6:$D$1413,$B180,'февраль 2024'!$J$6:$J$1413,N$1)</f>
        <v>0</v>
      </c>
      <c r="O180" s="80">
        <f>SUMIFS('февраль 2024'!$G$6:$G$1413,'февраль 2024'!$D$6:$D$1413,$B180,'февраль 2024'!$J$6:$J$1413,O$1)</f>
        <v>0</v>
      </c>
      <c r="P180" s="80">
        <f>SUMIFS('февраль 2024'!$G$6:$G$1413,'февраль 2024'!$D$6:$D$1413,$B180,'февраль 2024'!$J$6:$J$1413,P$1)</f>
        <v>0</v>
      </c>
      <c r="Q180" s="80">
        <f>SUMIFS('февраль 2024'!$G$6:$G$1413,'февраль 2024'!$D$6:$D$1413,$B180,'февраль 2024'!$J$6:$J$1413,Q$1)</f>
        <v>0</v>
      </c>
      <c r="R180" s="80">
        <f>SUMIFS('февраль 2024'!$G$6:$G$1413,'февраль 2024'!$D$6:$D$1413,$B180,'февраль 2024'!$J$6:$J$1413,R$1)</f>
        <v>0</v>
      </c>
      <c r="S180" s="80">
        <f>SUMIFS('февраль 2024'!$G$6:$G$1413,'февраль 2024'!$D$6:$D$1413,$B180,'февраль 2024'!$J$6:$J$1413,S$1)</f>
        <v>0</v>
      </c>
      <c r="T180" s="80">
        <f>SUMIFS('февраль 2024'!$G$6:$G$1413,'февраль 2024'!$D$6:$D$1413,$B180,'февраль 2024'!$J$6:$J$1413,T$1)</f>
        <v>0</v>
      </c>
      <c r="U180" s="80">
        <f>SUMIFS('февраль 2024'!$G$6:$G$1413,'февраль 2024'!$D$6:$D$1413,$B180,'февраль 2024'!$J$6:$J$1413,U$1)</f>
        <v>0</v>
      </c>
      <c r="V180" s="80">
        <f>SUMIFS('февраль 2024'!$G$6:$G$1413,'февраль 2024'!$D$6:$D$1413,$B180,'февраль 2024'!$J$6:$J$1413,V$1)</f>
        <v>0</v>
      </c>
      <c r="W180" s="80">
        <f>SUMIFS('февраль 2024'!$G$6:$G$1413,'февраль 2024'!$D$6:$D$1413,$B180,'февраль 2024'!$J$6:$J$1413,W$1)</f>
        <v>0</v>
      </c>
      <c r="X180" s="80">
        <f>SUMIFS('февраль 2024'!$G$6:$G$1413,'февраль 2024'!$D$6:$D$1413,$B180,'февраль 2024'!$J$6:$J$1413,X$1)</f>
        <v>0</v>
      </c>
      <c r="Y180" s="80">
        <f>SUMIFS('февраль 2024'!$G$6:$G$1413,'февраль 2024'!$D$6:$D$1413,$B180,'февраль 2024'!$J$6:$J$1413,Y$1)</f>
        <v>0</v>
      </c>
      <c r="Z180" s="80">
        <f>SUMIFS('февраль 2024'!$G$6:$G$1413,'февраль 2024'!$D$6:$D$1413,$B180,'февраль 2024'!$J$6:$J$1413,Z$1)</f>
        <v>0</v>
      </c>
      <c r="AA180" s="80">
        <f>SUMIFS('февраль 2024'!$G$6:$G$1413,'февраль 2024'!$D$6:$D$1413,$B180,'февраль 2024'!$J$6:$J$1413,AA$1)</f>
        <v>0</v>
      </c>
      <c r="AB180" s="80">
        <f>SUMIFS('февраль 2024'!$G$6:$G$1413,'февраль 2024'!$D$6:$D$1413,$B180,'февраль 2024'!$J$6:$J$1413,AB$1)</f>
        <v>0</v>
      </c>
      <c r="AC180" s="80">
        <f>SUMIFS('февраль 2024'!$G$6:$G$1413,'февраль 2024'!$D$6:$D$1413,$B180,'февраль 2024'!$J$6:$J$1413,AC$1)</f>
        <v>0</v>
      </c>
      <c r="AD180" s="80">
        <f>SUMIFS('февраль 2024'!$G$6:$G$1413,'февраль 2024'!$D$6:$D$1413,$B180,'февраль 2024'!$J$6:$J$1413,AD$1)</f>
        <v>0</v>
      </c>
      <c r="AE180" s="80">
        <f>SUMIFS('февраль 2024'!$G$6:$G$1413,'февраль 2024'!$D$6:$D$1413,$B180,'февраль 2024'!$J$6:$J$1413,AE$1)</f>
        <v>0</v>
      </c>
      <c r="AF180" s="80">
        <f>SUMIFS('февраль 2024'!$G$6:$G$1413,'февраль 2024'!$D$6:$D$1413,$B180,'февраль 2024'!$J$6:$J$1413,AF$1)</f>
        <v>0</v>
      </c>
      <c r="AG180" s="80">
        <f>SUMIFS('февраль 2024'!$G$6:$G$1413,'февраль 2024'!$D$6:$D$1413,$B180,'февраль 2024'!$J$6:$J$1413,AG$1)</f>
        <v>0</v>
      </c>
      <c r="AH180" s="80">
        <f>SUMIFS('февраль 2024'!$G$6:$G$1413,'февраль 2024'!$D$6:$D$1413,$B180,'февраль 2024'!$J$6:$J$1413,AH$1)</f>
        <v>0</v>
      </c>
      <c r="AI180" s="87"/>
    </row>
    <row r="181" spans="2:35" ht="15" hidden="1" customHeight="1" x14ac:dyDescent="0.25">
      <c r="B181" s="89"/>
      <c r="C181" s="88"/>
      <c r="D181" s="80">
        <f>SUMIFS('февраль 2024'!$G$6:$G$1413,'февраль 2024'!$D$6:$D$1413,$B181,'февраль 2024'!$J$6:$J$1413,D$1)</f>
        <v>0</v>
      </c>
      <c r="E181" s="80">
        <f>SUMIFS('февраль 2024'!$G$6:$G$1413,'февраль 2024'!$D$6:$D$1413,$B181,'февраль 2024'!$J$6:$J$1413,E$1)</f>
        <v>0</v>
      </c>
      <c r="F181" s="80">
        <f>SUMIFS('февраль 2024'!$G$6:$G$1413,'февраль 2024'!$D$6:$D$1413,$B181,'февраль 2024'!$J$6:$J$1413,F$1)</f>
        <v>0</v>
      </c>
      <c r="G181" s="80">
        <f>SUMIFS('февраль 2024'!$G$6:$G$1413,'февраль 2024'!$D$6:$D$1413,$B181,'февраль 2024'!$J$6:$J$1413,G$1)</f>
        <v>0</v>
      </c>
      <c r="H181" s="80">
        <f>SUMIFS('февраль 2024'!$G$6:$G$1413,'февраль 2024'!$D$6:$D$1413,$B181,'февраль 2024'!$J$6:$J$1413,H$1)</f>
        <v>0</v>
      </c>
      <c r="I181" s="80">
        <f>SUMIFS('февраль 2024'!$G$6:$G$1413,'февраль 2024'!$D$6:$D$1413,$B181,'февраль 2024'!$J$6:$J$1413,I$1)</f>
        <v>0</v>
      </c>
      <c r="J181" s="80">
        <f>SUMIFS('февраль 2024'!$G$6:$G$1413,'февраль 2024'!$D$6:$D$1413,$B181,'февраль 2024'!$J$6:$J$1413,J$1)</f>
        <v>0</v>
      </c>
      <c r="K181" s="80">
        <f>SUMIFS('февраль 2024'!$G$6:$G$1413,'февраль 2024'!$D$6:$D$1413,$B181,'февраль 2024'!$J$6:$J$1413,K$1)</f>
        <v>0</v>
      </c>
      <c r="L181" s="80">
        <f>SUMIFS('февраль 2024'!$G$6:$G$1413,'февраль 2024'!$D$6:$D$1413,$B181,'февраль 2024'!$J$6:$J$1413,L$1)</f>
        <v>0</v>
      </c>
      <c r="M181" s="80">
        <f>SUMIFS('февраль 2024'!$G$6:$G$1413,'февраль 2024'!$D$6:$D$1413,$B181,'февраль 2024'!$J$6:$J$1413,M$1)</f>
        <v>0</v>
      </c>
      <c r="N181" s="80">
        <f>SUMIFS('февраль 2024'!$G$6:$G$1413,'февраль 2024'!$D$6:$D$1413,$B181,'февраль 2024'!$J$6:$J$1413,N$1)</f>
        <v>0</v>
      </c>
      <c r="O181" s="80">
        <f>SUMIFS('февраль 2024'!$G$6:$G$1413,'февраль 2024'!$D$6:$D$1413,$B181,'февраль 2024'!$J$6:$J$1413,O$1)</f>
        <v>0</v>
      </c>
      <c r="P181" s="80">
        <f>SUMIFS('февраль 2024'!$G$6:$G$1413,'февраль 2024'!$D$6:$D$1413,$B181,'февраль 2024'!$J$6:$J$1413,P$1)</f>
        <v>0</v>
      </c>
      <c r="Q181" s="80">
        <f>SUMIFS('февраль 2024'!$G$6:$G$1413,'февраль 2024'!$D$6:$D$1413,$B181,'февраль 2024'!$J$6:$J$1413,Q$1)</f>
        <v>0</v>
      </c>
      <c r="R181" s="80">
        <f>SUMIFS('февраль 2024'!$G$6:$G$1413,'февраль 2024'!$D$6:$D$1413,$B181,'февраль 2024'!$J$6:$J$1413,R$1)</f>
        <v>0</v>
      </c>
      <c r="S181" s="80">
        <f>SUMIFS('февраль 2024'!$G$6:$G$1413,'февраль 2024'!$D$6:$D$1413,$B181,'февраль 2024'!$J$6:$J$1413,S$1)</f>
        <v>0</v>
      </c>
      <c r="T181" s="80">
        <f>SUMIFS('февраль 2024'!$G$6:$G$1413,'февраль 2024'!$D$6:$D$1413,$B181,'февраль 2024'!$J$6:$J$1413,T$1)</f>
        <v>0</v>
      </c>
      <c r="U181" s="80">
        <f>SUMIFS('февраль 2024'!$G$6:$G$1413,'февраль 2024'!$D$6:$D$1413,$B181,'февраль 2024'!$J$6:$J$1413,U$1)</f>
        <v>0</v>
      </c>
      <c r="V181" s="80">
        <f>SUMIFS('февраль 2024'!$G$6:$G$1413,'февраль 2024'!$D$6:$D$1413,$B181,'февраль 2024'!$J$6:$J$1413,V$1)</f>
        <v>0</v>
      </c>
      <c r="W181" s="80">
        <f>SUMIFS('февраль 2024'!$G$6:$G$1413,'февраль 2024'!$D$6:$D$1413,$B181,'февраль 2024'!$J$6:$J$1413,W$1)</f>
        <v>0</v>
      </c>
      <c r="X181" s="80">
        <f>SUMIFS('февраль 2024'!$G$6:$G$1413,'февраль 2024'!$D$6:$D$1413,$B181,'февраль 2024'!$J$6:$J$1413,X$1)</f>
        <v>0</v>
      </c>
      <c r="Y181" s="80">
        <f>SUMIFS('февраль 2024'!$G$6:$G$1413,'февраль 2024'!$D$6:$D$1413,$B181,'февраль 2024'!$J$6:$J$1413,Y$1)</f>
        <v>0</v>
      </c>
      <c r="Z181" s="80">
        <f>SUMIFS('февраль 2024'!$G$6:$G$1413,'февраль 2024'!$D$6:$D$1413,$B181,'февраль 2024'!$J$6:$J$1413,Z$1)</f>
        <v>0</v>
      </c>
      <c r="AA181" s="80">
        <f>SUMIFS('февраль 2024'!$G$6:$G$1413,'февраль 2024'!$D$6:$D$1413,$B181,'февраль 2024'!$J$6:$J$1413,AA$1)</f>
        <v>0</v>
      </c>
      <c r="AB181" s="80">
        <f>SUMIFS('февраль 2024'!$G$6:$G$1413,'февраль 2024'!$D$6:$D$1413,$B181,'февраль 2024'!$J$6:$J$1413,AB$1)</f>
        <v>0</v>
      </c>
      <c r="AC181" s="80">
        <f>SUMIFS('февраль 2024'!$G$6:$G$1413,'февраль 2024'!$D$6:$D$1413,$B181,'февраль 2024'!$J$6:$J$1413,AC$1)</f>
        <v>0</v>
      </c>
      <c r="AD181" s="80">
        <f>SUMIFS('февраль 2024'!$G$6:$G$1413,'февраль 2024'!$D$6:$D$1413,$B181,'февраль 2024'!$J$6:$J$1413,AD$1)</f>
        <v>0</v>
      </c>
      <c r="AE181" s="80">
        <f>SUMIFS('февраль 2024'!$G$6:$G$1413,'февраль 2024'!$D$6:$D$1413,$B181,'февраль 2024'!$J$6:$J$1413,AE$1)</f>
        <v>0</v>
      </c>
      <c r="AF181" s="80">
        <f>SUMIFS('февраль 2024'!$G$6:$G$1413,'февраль 2024'!$D$6:$D$1413,$B181,'февраль 2024'!$J$6:$J$1413,AF$1)</f>
        <v>0</v>
      </c>
      <c r="AG181" s="80">
        <f>SUMIFS('февраль 2024'!$G$6:$G$1413,'февраль 2024'!$D$6:$D$1413,$B181,'февраль 2024'!$J$6:$J$1413,AG$1)</f>
        <v>0</v>
      </c>
      <c r="AH181" s="80">
        <f>SUMIFS('февраль 2024'!$G$6:$G$1413,'февраль 2024'!$D$6:$D$1413,$B181,'февраль 2024'!$J$6:$J$1413,AH$1)</f>
        <v>0</v>
      </c>
      <c r="AI181" s="87"/>
    </row>
    <row r="182" spans="2:35" ht="15" hidden="1" customHeight="1" x14ac:dyDescent="0.25">
      <c r="B182" s="89"/>
      <c r="C182" s="88"/>
      <c r="D182" s="80">
        <f>SUMIFS('февраль 2024'!$G$6:$G$1413,'февраль 2024'!$D$6:$D$1413,$B182,'февраль 2024'!$J$6:$J$1413,D$1)</f>
        <v>0</v>
      </c>
      <c r="E182" s="80">
        <f>SUMIFS('февраль 2024'!$G$6:$G$1413,'февраль 2024'!$D$6:$D$1413,$B182,'февраль 2024'!$J$6:$J$1413,E$1)</f>
        <v>0</v>
      </c>
      <c r="F182" s="80">
        <f>SUMIFS('февраль 2024'!$G$6:$G$1413,'февраль 2024'!$D$6:$D$1413,$B182,'февраль 2024'!$J$6:$J$1413,F$1)</f>
        <v>0</v>
      </c>
      <c r="G182" s="80">
        <f>SUMIFS('февраль 2024'!$G$6:$G$1413,'февраль 2024'!$D$6:$D$1413,$B182,'февраль 2024'!$J$6:$J$1413,G$1)</f>
        <v>0</v>
      </c>
      <c r="H182" s="80">
        <f>SUMIFS('февраль 2024'!$G$6:$G$1413,'февраль 2024'!$D$6:$D$1413,$B182,'февраль 2024'!$J$6:$J$1413,H$1)</f>
        <v>0</v>
      </c>
      <c r="I182" s="80">
        <f>SUMIFS('февраль 2024'!$G$6:$G$1413,'февраль 2024'!$D$6:$D$1413,$B182,'февраль 2024'!$J$6:$J$1413,I$1)</f>
        <v>0</v>
      </c>
      <c r="J182" s="80">
        <f>SUMIFS('февраль 2024'!$G$6:$G$1413,'февраль 2024'!$D$6:$D$1413,$B182,'февраль 2024'!$J$6:$J$1413,J$1)</f>
        <v>0</v>
      </c>
      <c r="K182" s="80">
        <f>SUMIFS('февраль 2024'!$G$6:$G$1413,'февраль 2024'!$D$6:$D$1413,$B182,'февраль 2024'!$J$6:$J$1413,K$1)</f>
        <v>0</v>
      </c>
      <c r="L182" s="80">
        <f>SUMIFS('февраль 2024'!$G$6:$G$1413,'февраль 2024'!$D$6:$D$1413,$B182,'февраль 2024'!$J$6:$J$1413,L$1)</f>
        <v>0</v>
      </c>
      <c r="M182" s="80">
        <f>SUMIFS('февраль 2024'!$G$6:$G$1413,'февраль 2024'!$D$6:$D$1413,$B182,'февраль 2024'!$J$6:$J$1413,M$1)</f>
        <v>0</v>
      </c>
      <c r="N182" s="80">
        <f>SUMIFS('февраль 2024'!$G$6:$G$1413,'февраль 2024'!$D$6:$D$1413,$B182,'февраль 2024'!$J$6:$J$1413,N$1)</f>
        <v>0</v>
      </c>
      <c r="O182" s="80">
        <f>SUMIFS('февраль 2024'!$G$6:$G$1413,'февраль 2024'!$D$6:$D$1413,$B182,'февраль 2024'!$J$6:$J$1413,O$1)</f>
        <v>0</v>
      </c>
      <c r="P182" s="80">
        <f>SUMIFS('февраль 2024'!$G$6:$G$1413,'февраль 2024'!$D$6:$D$1413,$B182,'февраль 2024'!$J$6:$J$1413,P$1)</f>
        <v>0</v>
      </c>
      <c r="Q182" s="80">
        <f>SUMIFS('февраль 2024'!$G$6:$G$1413,'февраль 2024'!$D$6:$D$1413,$B182,'февраль 2024'!$J$6:$J$1413,Q$1)</f>
        <v>0</v>
      </c>
      <c r="R182" s="80">
        <f>SUMIFS('февраль 2024'!$G$6:$G$1413,'февраль 2024'!$D$6:$D$1413,$B182,'февраль 2024'!$J$6:$J$1413,R$1)</f>
        <v>0</v>
      </c>
      <c r="S182" s="80">
        <f>SUMIFS('февраль 2024'!$G$6:$G$1413,'февраль 2024'!$D$6:$D$1413,$B182,'февраль 2024'!$J$6:$J$1413,S$1)</f>
        <v>0</v>
      </c>
      <c r="T182" s="80">
        <f>SUMIFS('февраль 2024'!$G$6:$G$1413,'февраль 2024'!$D$6:$D$1413,$B182,'февраль 2024'!$J$6:$J$1413,T$1)</f>
        <v>0</v>
      </c>
      <c r="U182" s="80">
        <f>SUMIFS('февраль 2024'!$G$6:$G$1413,'февраль 2024'!$D$6:$D$1413,$B182,'февраль 2024'!$J$6:$J$1413,U$1)</f>
        <v>0</v>
      </c>
      <c r="V182" s="80">
        <f>SUMIFS('февраль 2024'!$G$6:$G$1413,'февраль 2024'!$D$6:$D$1413,$B182,'февраль 2024'!$J$6:$J$1413,V$1)</f>
        <v>0</v>
      </c>
      <c r="W182" s="80">
        <f>SUMIFS('февраль 2024'!$G$6:$G$1413,'февраль 2024'!$D$6:$D$1413,$B182,'февраль 2024'!$J$6:$J$1413,W$1)</f>
        <v>0</v>
      </c>
      <c r="X182" s="80">
        <f>SUMIFS('февраль 2024'!$G$6:$G$1413,'февраль 2024'!$D$6:$D$1413,$B182,'февраль 2024'!$J$6:$J$1413,X$1)</f>
        <v>0</v>
      </c>
      <c r="Y182" s="80">
        <f>SUMIFS('февраль 2024'!$G$6:$G$1413,'февраль 2024'!$D$6:$D$1413,$B182,'февраль 2024'!$J$6:$J$1413,Y$1)</f>
        <v>0</v>
      </c>
      <c r="Z182" s="80">
        <f>SUMIFS('февраль 2024'!$G$6:$G$1413,'февраль 2024'!$D$6:$D$1413,$B182,'февраль 2024'!$J$6:$J$1413,Z$1)</f>
        <v>0</v>
      </c>
      <c r="AA182" s="80">
        <f>SUMIFS('февраль 2024'!$G$6:$G$1413,'февраль 2024'!$D$6:$D$1413,$B182,'февраль 2024'!$J$6:$J$1413,AA$1)</f>
        <v>0</v>
      </c>
      <c r="AB182" s="80">
        <f>SUMIFS('февраль 2024'!$G$6:$G$1413,'февраль 2024'!$D$6:$D$1413,$B182,'февраль 2024'!$J$6:$J$1413,AB$1)</f>
        <v>0</v>
      </c>
      <c r="AC182" s="80">
        <f>SUMIFS('февраль 2024'!$G$6:$G$1413,'февраль 2024'!$D$6:$D$1413,$B182,'февраль 2024'!$J$6:$J$1413,AC$1)</f>
        <v>0</v>
      </c>
      <c r="AD182" s="80">
        <f>SUMIFS('февраль 2024'!$G$6:$G$1413,'февраль 2024'!$D$6:$D$1413,$B182,'февраль 2024'!$J$6:$J$1413,AD$1)</f>
        <v>0</v>
      </c>
      <c r="AE182" s="80">
        <f>SUMIFS('февраль 2024'!$G$6:$G$1413,'февраль 2024'!$D$6:$D$1413,$B182,'февраль 2024'!$J$6:$J$1413,AE$1)</f>
        <v>0</v>
      </c>
      <c r="AF182" s="80">
        <f>SUMIFS('февраль 2024'!$G$6:$G$1413,'февраль 2024'!$D$6:$D$1413,$B182,'февраль 2024'!$J$6:$J$1413,AF$1)</f>
        <v>0</v>
      </c>
      <c r="AG182" s="80">
        <f>SUMIFS('февраль 2024'!$G$6:$G$1413,'февраль 2024'!$D$6:$D$1413,$B182,'февраль 2024'!$J$6:$J$1413,AG$1)</f>
        <v>0</v>
      </c>
      <c r="AH182" s="80">
        <f>SUMIFS('февраль 2024'!$G$6:$G$1413,'февраль 2024'!$D$6:$D$1413,$B182,'февраль 2024'!$J$6:$J$1413,AH$1)</f>
        <v>0</v>
      </c>
      <c r="AI182" s="87"/>
    </row>
    <row r="183" spans="2:35" ht="15" hidden="1" customHeight="1" x14ac:dyDescent="0.25">
      <c r="B183" s="89"/>
      <c r="C183" s="88"/>
      <c r="D183" s="80">
        <f>SUMIFS('февраль 2024'!$G$6:$G$1413,'февраль 2024'!$D$6:$D$1413,$B183,'февраль 2024'!$J$6:$J$1413,D$1)</f>
        <v>0</v>
      </c>
      <c r="E183" s="80">
        <f>SUMIFS('февраль 2024'!$G$6:$G$1413,'февраль 2024'!$D$6:$D$1413,$B183,'февраль 2024'!$J$6:$J$1413,E$1)</f>
        <v>0</v>
      </c>
      <c r="F183" s="80">
        <f>SUMIFS('февраль 2024'!$G$6:$G$1413,'февраль 2024'!$D$6:$D$1413,$B183,'февраль 2024'!$J$6:$J$1413,F$1)</f>
        <v>0</v>
      </c>
      <c r="G183" s="80">
        <f>SUMIFS('февраль 2024'!$G$6:$G$1413,'февраль 2024'!$D$6:$D$1413,$B183,'февраль 2024'!$J$6:$J$1413,G$1)</f>
        <v>0</v>
      </c>
      <c r="H183" s="80">
        <f>SUMIFS('февраль 2024'!$G$6:$G$1413,'февраль 2024'!$D$6:$D$1413,$B183,'февраль 2024'!$J$6:$J$1413,H$1)</f>
        <v>0</v>
      </c>
      <c r="I183" s="80">
        <f>SUMIFS('февраль 2024'!$G$6:$G$1413,'февраль 2024'!$D$6:$D$1413,$B183,'февраль 2024'!$J$6:$J$1413,I$1)</f>
        <v>0</v>
      </c>
      <c r="J183" s="80">
        <f>SUMIFS('февраль 2024'!$G$6:$G$1413,'февраль 2024'!$D$6:$D$1413,$B183,'февраль 2024'!$J$6:$J$1413,J$1)</f>
        <v>0</v>
      </c>
      <c r="K183" s="80">
        <f>SUMIFS('февраль 2024'!$G$6:$G$1413,'февраль 2024'!$D$6:$D$1413,$B183,'февраль 2024'!$J$6:$J$1413,K$1)</f>
        <v>0</v>
      </c>
      <c r="L183" s="80">
        <f>SUMIFS('февраль 2024'!$G$6:$G$1413,'февраль 2024'!$D$6:$D$1413,$B183,'февраль 2024'!$J$6:$J$1413,L$1)</f>
        <v>0</v>
      </c>
      <c r="M183" s="80">
        <f>SUMIFS('февраль 2024'!$G$6:$G$1413,'февраль 2024'!$D$6:$D$1413,$B183,'февраль 2024'!$J$6:$J$1413,M$1)</f>
        <v>0</v>
      </c>
      <c r="N183" s="80">
        <f>SUMIFS('февраль 2024'!$G$6:$G$1413,'февраль 2024'!$D$6:$D$1413,$B183,'февраль 2024'!$J$6:$J$1413,N$1)</f>
        <v>0</v>
      </c>
      <c r="O183" s="80">
        <f>SUMIFS('февраль 2024'!$G$6:$G$1413,'февраль 2024'!$D$6:$D$1413,$B183,'февраль 2024'!$J$6:$J$1413,O$1)</f>
        <v>0</v>
      </c>
      <c r="P183" s="80">
        <f>SUMIFS('февраль 2024'!$G$6:$G$1413,'февраль 2024'!$D$6:$D$1413,$B183,'февраль 2024'!$J$6:$J$1413,P$1)</f>
        <v>0</v>
      </c>
      <c r="Q183" s="80">
        <f>SUMIFS('февраль 2024'!$G$6:$G$1413,'февраль 2024'!$D$6:$D$1413,$B183,'февраль 2024'!$J$6:$J$1413,Q$1)</f>
        <v>0</v>
      </c>
      <c r="R183" s="80">
        <f>SUMIFS('февраль 2024'!$G$6:$G$1413,'февраль 2024'!$D$6:$D$1413,$B183,'февраль 2024'!$J$6:$J$1413,R$1)</f>
        <v>0</v>
      </c>
      <c r="S183" s="80">
        <f>SUMIFS('февраль 2024'!$G$6:$G$1413,'февраль 2024'!$D$6:$D$1413,$B183,'февраль 2024'!$J$6:$J$1413,S$1)</f>
        <v>0</v>
      </c>
      <c r="T183" s="80">
        <f>SUMIFS('февраль 2024'!$G$6:$G$1413,'февраль 2024'!$D$6:$D$1413,$B183,'февраль 2024'!$J$6:$J$1413,T$1)</f>
        <v>0</v>
      </c>
      <c r="U183" s="80">
        <f>SUMIFS('февраль 2024'!$G$6:$G$1413,'февраль 2024'!$D$6:$D$1413,$B183,'февраль 2024'!$J$6:$J$1413,U$1)</f>
        <v>0</v>
      </c>
      <c r="V183" s="80">
        <f>SUMIFS('февраль 2024'!$G$6:$G$1413,'февраль 2024'!$D$6:$D$1413,$B183,'февраль 2024'!$J$6:$J$1413,V$1)</f>
        <v>0</v>
      </c>
      <c r="W183" s="80">
        <f>SUMIFS('февраль 2024'!$G$6:$G$1413,'февраль 2024'!$D$6:$D$1413,$B183,'февраль 2024'!$J$6:$J$1413,W$1)</f>
        <v>0</v>
      </c>
      <c r="X183" s="80">
        <f>SUMIFS('февраль 2024'!$G$6:$G$1413,'февраль 2024'!$D$6:$D$1413,$B183,'февраль 2024'!$J$6:$J$1413,X$1)</f>
        <v>0</v>
      </c>
      <c r="Y183" s="80">
        <f>SUMIFS('февраль 2024'!$G$6:$G$1413,'февраль 2024'!$D$6:$D$1413,$B183,'февраль 2024'!$J$6:$J$1413,Y$1)</f>
        <v>0</v>
      </c>
      <c r="Z183" s="80">
        <f>SUMIFS('февраль 2024'!$G$6:$G$1413,'февраль 2024'!$D$6:$D$1413,$B183,'февраль 2024'!$J$6:$J$1413,Z$1)</f>
        <v>0</v>
      </c>
      <c r="AA183" s="80">
        <f>SUMIFS('февраль 2024'!$G$6:$G$1413,'февраль 2024'!$D$6:$D$1413,$B183,'февраль 2024'!$J$6:$J$1413,AA$1)</f>
        <v>0</v>
      </c>
      <c r="AB183" s="80">
        <f>SUMIFS('февраль 2024'!$G$6:$G$1413,'февраль 2024'!$D$6:$D$1413,$B183,'февраль 2024'!$J$6:$J$1413,AB$1)</f>
        <v>0</v>
      </c>
      <c r="AC183" s="80">
        <f>SUMIFS('февраль 2024'!$G$6:$G$1413,'февраль 2024'!$D$6:$D$1413,$B183,'февраль 2024'!$J$6:$J$1413,AC$1)</f>
        <v>0</v>
      </c>
      <c r="AD183" s="80">
        <f>SUMIFS('февраль 2024'!$G$6:$G$1413,'февраль 2024'!$D$6:$D$1413,$B183,'февраль 2024'!$J$6:$J$1413,AD$1)</f>
        <v>0</v>
      </c>
      <c r="AE183" s="80">
        <f>SUMIFS('февраль 2024'!$G$6:$G$1413,'февраль 2024'!$D$6:$D$1413,$B183,'февраль 2024'!$J$6:$J$1413,AE$1)</f>
        <v>0</v>
      </c>
      <c r="AF183" s="80">
        <f>SUMIFS('февраль 2024'!$G$6:$G$1413,'февраль 2024'!$D$6:$D$1413,$B183,'февраль 2024'!$J$6:$J$1413,AF$1)</f>
        <v>0</v>
      </c>
      <c r="AG183" s="80">
        <f>SUMIFS('февраль 2024'!$G$6:$G$1413,'февраль 2024'!$D$6:$D$1413,$B183,'февраль 2024'!$J$6:$J$1413,AG$1)</f>
        <v>0</v>
      </c>
      <c r="AH183" s="80">
        <f>SUMIFS('февраль 2024'!$G$6:$G$1413,'февраль 2024'!$D$6:$D$1413,$B183,'февраль 2024'!$J$6:$J$1413,AH$1)</f>
        <v>0</v>
      </c>
      <c r="AI183" s="87"/>
    </row>
    <row r="184" spans="2:35" ht="15" hidden="1" customHeight="1" x14ac:dyDescent="0.25">
      <c r="B184" s="89"/>
      <c r="C184" s="88"/>
      <c r="D184" s="80">
        <f>SUMIFS('февраль 2024'!$G$6:$G$1413,'февраль 2024'!$D$6:$D$1413,$B184,'февраль 2024'!$J$6:$J$1413,D$1)</f>
        <v>0</v>
      </c>
      <c r="E184" s="80">
        <f>SUMIFS('февраль 2024'!$G$6:$G$1413,'февраль 2024'!$D$6:$D$1413,$B184,'февраль 2024'!$J$6:$J$1413,E$1)</f>
        <v>0</v>
      </c>
      <c r="F184" s="80">
        <f>SUMIFS('февраль 2024'!$G$6:$G$1413,'февраль 2024'!$D$6:$D$1413,$B184,'февраль 2024'!$J$6:$J$1413,F$1)</f>
        <v>0</v>
      </c>
      <c r="G184" s="80">
        <f>SUMIFS('февраль 2024'!$G$6:$G$1413,'февраль 2024'!$D$6:$D$1413,$B184,'февраль 2024'!$J$6:$J$1413,G$1)</f>
        <v>0</v>
      </c>
      <c r="H184" s="80">
        <f>SUMIFS('февраль 2024'!$G$6:$G$1413,'февраль 2024'!$D$6:$D$1413,$B184,'февраль 2024'!$J$6:$J$1413,H$1)</f>
        <v>0</v>
      </c>
      <c r="I184" s="80">
        <f>SUMIFS('февраль 2024'!$G$6:$G$1413,'февраль 2024'!$D$6:$D$1413,$B184,'февраль 2024'!$J$6:$J$1413,I$1)</f>
        <v>0</v>
      </c>
      <c r="J184" s="80">
        <f>SUMIFS('февраль 2024'!$G$6:$G$1413,'февраль 2024'!$D$6:$D$1413,$B184,'февраль 2024'!$J$6:$J$1413,J$1)</f>
        <v>0</v>
      </c>
      <c r="K184" s="80">
        <f>SUMIFS('февраль 2024'!$G$6:$G$1413,'февраль 2024'!$D$6:$D$1413,$B184,'февраль 2024'!$J$6:$J$1413,K$1)</f>
        <v>0</v>
      </c>
      <c r="L184" s="80">
        <f>SUMIFS('февраль 2024'!$G$6:$G$1413,'февраль 2024'!$D$6:$D$1413,$B184,'февраль 2024'!$J$6:$J$1413,L$1)</f>
        <v>0</v>
      </c>
      <c r="M184" s="80">
        <f>SUMIFS('февраль 2024'!$G$6:$G$1413,'февраль 2024'!$D$6:$D$1413,$B184,'февраль 2024'!$J$6:$J$1413,M$1)</f>
        <v>0</v>
      </c>
      <c r="N184" s="80">
        <f>SUMIFS('февраль 2024'!$G$6:$G$1413,'февраль 2024'!$D$6:$D$1413,$B184,'февраль 2024'!$J$6:$J$1413,N$1)</f>
        <v>0</v>
      </c>
      <c r="O184" s="80">
        <f>SUMIFS('февраль 2024'!$G$6:$G$1413,'февраль 2024'!$D$6:$D$1413,$B184,'февраль 2024'!$J$6:$J$1413,O$1)</f>
        <v>0</v>
      </c>
      <c r="P184" s="80">
        <f>SUMIFS('февраль 2024'!$G$6:$G$1413,'февраль 2024'!$D$6:$D$1413,$B184,'февраль 2024'!$J$6:$J$1413,P$1)</f>
        <v>0</v>
      </c>
      <c r="Q184" s="80">
        <f>SUMIFS('февраль 2024'!$G$6:$G$1413,'февраль 2024'!$D$6:$D$1413,$B184,'февраль 2024'!$J$6:$J$1413,Q$1)</f>
        <v>0</v>
      </c>
      <c r="R184" s="80">
        <f>SUMIFS('февраль 2024'!$G$6:$G$1413,'февраль 2024'!$D$6:$D$1413,$B184,'февраль 2024'!$J$6:$J$1413,R$1)</f>
        <v>0</v>
      </c>
      <c r="S184" s="80">
        <f>SUMIFS('февраль 2024'!$G$6:$G$1413,'февраль 2024'!$D$6:$D$1413,$B184,'февраль 2024'!$J$6:$J$1413,S$1)</f>
        <v>0</v>
      </c>
      <c r="T184" s="80">
        <f>SUMIFS('февраль 2024'!$G$6:$G$1413,'февраль 2024'!$D$6:$D$1413,$B184,'февраль 2024'!$J$6:$J$1413,T$1)</f>
        <v>0</v>
      </c>
      <c r="U184" s="80">
        <f>SUMIFS('февраль 2024'!$G$6:$G$1413,'февраль 2024'!$D$6:$D$1413,$B184,'февраль 2024'!$J$6:$J$1413,U$1)</f>
        <v>0</v>
      </c>
      <c r="V184" s="80">
        <f>SUMIFS('февраль 2024'!$G$6:$G$1413,'февраль 2024'!$D$6:$D$1413,$B184,'февраль 2024'!$J$6:$J$1413,V$1)</f>
        <v>0</v>
      </c>
      <c r="W184" s="80">
        <f>SUMIFS('февраль 2024'!$G$6:$G$1413,'февраль 2024'!$D$6:$D$1413,$B184,'февраль 2024'!$J$6:$J$1413,W$1)</f>
        <v>0</v>
      </c>
      <c r="X184" s="80">
        <f>SUMIFS('февраль 2024'!$G$6:$G$1413,'февраль 2024'!$D$6:$D$1413,$B184,'февраль 2024'!$J$6:$J$1413,X$1)</f>
        <v>0</v>
      </c>
      <c r="Y184" s="80">
        <f>SUMIFS('февраль 2024'!$G$6:$G$1413,'февраль 2024'!$D$6:$D$1413,$B184,'февраль 2024'!$J$6:$J$1413,Y$1)</f>
        <v>0</v>
      </c>
      <c r="Z184" s="80">
        <f>SUMIFS('февраль 2024'!$G$6:$G$1413,'февраль 2024'!$D$6:$D$1413,$B184,'февраль 2024'!$J$6:$J$1413,Z$1)</f>
        <v>0</v>
      </c>
      <c r="AA184" s="80">
        <f>SUMIFS('февраль 2024'!$G$6:$G$1413,'февраль 2024'!$D$6:$D$1413,$B184,'февраль 2024'!$J$6:$J$1413,AA$1)</f>
        <v>0</v>
      </c>
      <c r="AB184" s="80">
        <f>SUMIFS('февраль 2024'!$G$6:$G$1413,'февраль 2024'!$D$6:$D$1413,$B184,'февраль 2024'!$J$6:$J$1413,AB$1)</f>
        <v>0</v>
      </c>
      <c r="AC184" s="80">
        <f>SUMIFS('февраль 2024'!$G$6:$G$1413,'февраль 2024'!$D$6:$D$1413,$B184,'февраль 2024'!$J$6:$J$1413,AC$1)</f>
        <v>0</v>
      </c>
      <c r="AD184" s="80">
        <f>SUMIFS('февраль 2024'!$G$6:$G$1413,'февраль 2024'!$D$6:$D$1413,$B184,'февраль 2024'!$J$6:$J$1413,AD$1)</f>
        <v>0</v>
      </c>
      <c r="AE184" s="80">
        <f>SUMIFS('февраль 2024'!$G$6:$G$1413,'февраль 2024'!$D$6:$D$1413,$B184,'февраль 2024'!$J$6:$J$1413,AE$1)</f>
        <v>0</v>
      </c>
      <c r="AF184" s="80">
        <f>SUMIFS('февраль 2024'!$G$6:$G$1413,'февраль 2024'!$D$6:$D$1413,$B184,'февраль 2024'!$J$6:$J$1413,AF$1)</f>
        <v>0</v>
      </c>
      <c r="AG184" s="80">
        <f>SUMIFS('февраль 2024'!$G$6:$G$1413,'февраль 2024'!$D$6:$D$1413,$B184,'февраль 2024'!$J$6:$J$1413,AG$1)</f>
        <v>0</v>
      </c>
      <c r="AH184" s="80">
        <f>SUMIFS('февраль 2024'!$G$6:$G$1413,'февраль 2024'!$D$6:$D$1413,$B184,'февраль 2024'!$J$6:$J$1413,AH$1)</f>
        <v>0</v>
      </c>
      <c r="AI184" s="87"/>
    </row>
    <row r="185" spans="2:35" ht="15" hidden="1" customHeight="1" x14ac:dyDescent="0.25">
      <c r="B185" s="89"/>
      <c r="C185" s="88"/>
      <c r="D185" s="80">
        <f>SUMIFS('февраль 2024'!$G$6:$G$1413,'февраль 2024'!$D$6:$D$1413,$B185,'февраль 2024'!$J$6:$J$1413,D$1)</f>
        <v>0</v>
      </c>
      <c r="E185" s="80">
        <f>SUMIFS('февраль 2024'!$G$6:$G$1413,'февраль 2024'!$D$6:$D$1413,$B185,'февраль 2024'!$J$6:$J$1413,E$1)</f>
        <v>0</v>
      </c>
      <c r="F185" s="80">
        <f>SUMIFS('февраль 2024'!$G$6:$G$1413,'февраль 2024'!$D$6:$D$1413,$B185,'февраль 2024'!$J$6:$J$1413,F$1)</f>
        <v>0</v>
      </c>
      <c r="G185" s="80">
        <f>SUMIFS('февраль 2024'!$G$6:$G$1413,'февраль 2024'!$D$6:$D$1413,$B185,'февраль 2024'!$J$6:$J$1413,G$1)</f>
        <v>0</v>
      </c>
      <c r="H185" s="80">
        <f>SUMIFS('февраль 2024'!$G$6:$G$1413,'февраль 2024'!$D$6:$D$1413,$B185,'февраль 2024'!$J$6:$J$1413,H$1)</f>
        <v>0</v>
      </c>
      <c r="I185" s="80">
        <f>SUMIFS('февраль 2024'!$G$6:$G$1413,'февраль 2024'!$D$6:$D$1413,$B185,'февраль 2024'!$J$6:$J$1413,I$1)</f>
        <v>0</v>
      </c>
      <c r="J185" s="80">
        <f>SUMIFS('февраль 2024'!$G$6:$G$1413,'февраль 2024'!$D$6:$D$1413,$B185,'февраль 2024'!$J$6:$J$1413,J$1)</f>
        <v>0</v>
      </c>
      <c r="K185" s="80">
        <f>SUMIFS('февраль 2024'!$G$6:$G$1413,'февраль 2024'!$D$6:$D$1413,$B185,'февраль 2024'!$J$6:$J$1413,K$1)</f>
        <v>0</v>
      </c>
      <c r="L185" s="80">
        <f>SUMIFS('февраль 2024'!$G$6:$G$1413,'февраль 2024'!$D$6:$D$1413,$B185,'февраль 2024'!$J$6:$J$1413,L$1)</f>
        <v>0</v>
      </c>
      <c r="M185" s="80">
        <f>SUMIFS('февраль 2024'!$G$6:$G$1413,'февраль 2024'!$D$6:$D$1413,$B185,'февраль 2024'!$J$6:$J$1413,M$1)</f>
        <v>0</v>
      </c>
      <c r="N185" s="80">
        <f>SUMIFS('февраль 2024'!$G$6:$G$1413,'февраль 2024'!$D$6:$D$1413,$B185,'февраль 2024'!$J$6:$J$1413,N$1)</f>
        <v>0</v>
      </c>
      <c r="O185" s="80">
        <f>SUMIFS('февраль 2024'!$G$6:$G$1413,'февраль 2024'!$D$6:$D$1413,$B185,'февраль 2024'!$J$6:$J$1413,O$1)</f>
        <v>0</v>
      </c>
      <c r="P185" s="80">
        <f>SUMIFS('февраль 2024'!$G$6:$G$1413,'февраль 2024'!$D$6:$D$1413,$B185,'февраль 2024'!$J$6:$J$1413,P$1)</f>
        <v>0</v>
      </c>
      <c r="Q185" s="80">
        <f>SUMIFS('февраль 2024'!$G$6:$G$1413,'февраль 2024'!$D$6:$D$1413,$B185,'февраль 2024'!$J$6:$J$1413,Q$1)</f>
        <v>0</v>
      </c>
      <c r="R185" s="80">
        <f>SUMIFS('февраль 2024'!$G$6:$G$1413,'февраль 2024'!$D$6:$D$1413,$B185,'февраль 2024'!$J$6:$J$1413,R$1)</f>
        <v>0</v>
      </c>
      <c r="S185" s="80">
        <f>SUMIFS('февраль 2024'!$G$6:$G$1413,'февраль 2024'!$D$6:$D$1413,$B185,'февраль 2024'!$J$6:$J$1413,S$1)</f>
        <v>0</v>
      </c>
      <c r="T185" s="80">
        <f>SUMIFS('февраль 2024'!$G$6:$G$1413,'февраль 2024'!$D$6:$D$1413,$B185,'февраль 2024'!$J$6:$J$1413,T$1)</f>
        <v>0</v>
      </c>
      <c r="U185" s="80">
        <f>SUMIFS('февраль 2024'!$G$6:$G$1413,'февраль 2024'!$D$6:$D$1413,$B185,'февраль 2024'!$J$6:$J$1413,U$1)</f>
        <v>0</v>
      </c>
      <c r="V185" s="80">
        <f>SUMIFS('февраль 2024'!$G$6:$G$1413,'февраль 2024'!$D$6:$D$1413,$B185,'февраль 2024'!$J$6:$J$1413,V$1)</f>
        <v>0</v>
      </c>
      <c r="W185" s="80">
        <f>SUMIFS('февраль 2024'!$G$6:$G$1413,'февраль 2024'!$D$6:$D$1413,$B185,'февраль 2024'!$J$6:$J$1413,W$1)</f>
        <v>0</v>
      </c>
      <c r="X185" s="80">
        <f>SUMIFS('февраль 2024'!$G$6:$G$1413,'февраль 2024'!$D$6:$D$1413,$B185,'февраль 2024'!$J$6:$J$1413,X$1)</f>
        <v>0</v>
      </c>
      <c r="Y185" s="80">
        <f>SUMIFS('февраль 2024'!$G$6:$G$1413,'февраль 2024'!$D$6:$D$1413,$B185,'февраль 2024'!$J$6:$J$1413,Y$1)</f>
        <v>0</v>
      </c>
      <c r="Z185" s="80">
        <f>SUMIFS('февраль 2024'!$G$6:$G$1413,'февраль 2024'!$D$6:$D$1413,$B185,'февраль 2024'!$J$6:$J$1413,Z$1)</f>
        <v>0</v>
      </c>
      <c r="AA185" s="80">
        <f>SUMIFS('февраль 2024'!$G$6:$G$1413,'февраль 2024'!$D$6:$D$1413,$B185,'февраль 2024'!$J$6:$J$1413,AA$1)</f>
        <v>0</v>
      </c>
      <c r="AB185" s="80">
        <f>SUMIFS('февраль 2024'!$G$6:$G$1413,'февраль 2024'!$D$6:$D$1413,$B185,'февраль 2024'!$J$6:$J$1413,AB$1)</f>
        <v>0</v>
      </c>
      <c r="AC185" s="80">
        <f>SUMIFS('февраль 2024'!$G$6:$G$1413,'февраль 2024'!$D$6:$D$1413,$B185,'февраль 2024'!$J$6:$J$1413,AC$1)</f>
        <v>0</v>
      </c>
      <c r="AD185" s="80">
        <f>SUMIFS('февраль 2024'!$G$6:$G$1413,'февраль 2024'!$D$6:$D$1413,$B185,'февраль 2024'!$J$6:$J$1413,AD$1)</f>
        <v>0</v>
      </c>
      <c r="AE185" s="80">
        <f>SUMIFS('февраль 2024'!$G$6:$G$1413,'февраль 2024'!$D$6:$D$1413,$B185,'февраль 2024'!$J$6:$J$1413,AE$1)</f>
        <v>0</v>
      </c>
      <c r="AF185" s="80">
        <f>SUMIFS('февраль 2024'!$G$6:$G$1413,'февраль 2024'!$D$6:$D$1413,$B185,'февраль 2024'!$J$6:$J$1413,AF$1)</f>
        <v>0</v>
      </c>
      <c r="AG185" s="80">
        <f>SUMIFS('февраль 2024'!$G$6:$G$1413,'февраль 2024'!$D$6:$D$1413,$B185,'февраль 2024'!$J$6:$J$1413,AG$1)</f>
        <v>0</v>
      </c>
      <c r="AH185" s="80">
        <f>SUMIFS('февраль 2024'!$G$6:$G$1413,'февраль 2024'!$D$6:$D$1413,$B185,'февраль 2024'!$J$6:$J$1413,AH$1)</f>
        <v>0</v>
      </c>
      <c r="AI185" s="87"/>
    </row>
    <row r="186" spans="2:35" ht="15" hidden="1" customHeight="1" x14ac:dyDescent="0.25">
      <c r="B186" s="89"/>
      <c r="C186" s="88"/>
      <c r="D186" s="80">
        <f>SUMIFS('февраль 2024'!$G$6:$G$1413,'февраль 2024'!$D$6:$D$1413,$B186,'февраль 2024'!$J$6:$J$1413,D$1)</f>
        <v>0</v>
      </c>
      <c r="E186" s="80">
        <f>SUMIFS('февраль 2024'!$G$6:$G$1413,'февраль 2024'!$D$6:$D$1413,$B186,'февраль 2024'!$J$6:$J$1413,E$1)</f>
        <v>0</v>
      </c>
      <c r="F186" s="80">
        <f>SUMIFS('февраль 2024'!$G$6:$G$1413,'февраль 2024'!$D$6:$D$1413,$B186,'февраль 2024'!$J$6:$J$1413,F$1)</f>
        <v>0</v>
      </c>
      <c r="G186" s="80">
        <f>SUMIFS('февраль 2024'!$G$6:$G$1413,'февраль 2024'!$D$6:$D$1413,$B186,'февраль 2024'!$J$6:$J$1413,G$1)</f>
        <v>0</v>
      </c>
      <c r="H186" s="80">
        <f>SUMIFS('февраль 2024'!$G$6:$G$1413,'февраль 2024'!$D$6:$D$1413,$B186,'февраль 2024'!$J$6:$J$1413,H$1)</f>
        <v>0</v>
      </c>
      <c r="I186" s="80">
        <f>SUMIFS('февраль 2024'!$G$6:$G$1413,'февраль 2024'!$D$6:$D$1413,$B186,'февраль 2024'!$J$6:$J$1413,I$1)</f>
        <v>0</v>
      </c>
      <c r="J186" s="80">
        <f>SUMIFS('февраль 2024'!$G$6:$G$1413,'февраль 2024'!$D$6:$D$1413,$B186,'февраль 2024'!$J$6:$J$1413,J$1)</f>
        <v>0</v>
      </c>
      <c r="K186" s="80">
        <f>SUMIFS('февраль 2024'!$G$6:$G$1413,'февраль 2024'!$D$6:$D$1413,$B186,'февраль 2024'!$J$6:$J$1413,K$1)</f>
        <v>0</v>
      </c>
      <c r="L186" s="80">
        <f>SUMIFS('февраль 2024'!$G$6:$G$1413,'февраль 2024'!$D$6:$D$1413,$B186,'февраль 2024'!$J$6:$J$1413,L$1)</f>
        <v>0</v>
      </c>
      <c r="M186" s="80">
        <f>SUMIFS('февраль 2024'!$G$6:$G$1413,'февраль 2024'!$D$6:$D$1413,$B186,'февраль 2024'!$J$6:$J$1413,M$1)</f>
        <v>0</v>
      </c>
      <c r="N186" s="80">
        <f>SUMIFS('февраль 2024'!$G$6:$G$1413,'февраль 2024'!$D$6:$D$1413,$B186,'февраль 2024'!$J$6:$J$1413,N$1)</f>
        <v>0</v>
      </c>
      <c r="O186" s="80">
        <f>SUMIFS('февраль 2024'!$G$6:$G$1413,'февраль 2024'!$D$6:$D$1413,$B186,'февраль 2024'!$J$6:$J$1413,O$1)</f>
        <v>0</v>
      </c>
      <c r="P186" s="80">
        <f>SUMIFS('февраль 2024'!$G$6:$G$1413,'февраль 2024'!$D$6:$D$1413,$B186,'февраль 2024'!$J$6:$J$1413,P$1)</f>
        <v>0</v>
      </c>
      <c r="Q186" s="80">
        <f>SUMIFS('февраль 2024'!$G$6:$G$1413,'февраль 2024'!$D$6:$D$1413,$B186,'февраль 2024'!$J$6:$J$1413,Q$1)</f>
        <v>0</v>
      </c>
      <c r="R186" s="80">
        <f>SUMIFS('февраль 2024'!$G$6:$G$1413,'февраль 2024'!$D$6:$D$1413,$B186,'февраль 2024'!$J$6:$J$1413,R$1)</f>
        <v>0</v>
      </c>
      <c r="S186" s="80">
        <f>SUMIFS('февраль 2024'!$G$6:$G$1413,'февраль 2024'!$D$6:$D$1413,$B186,'февраль 2024'!$J$6:$J$1413,S$1)</f>
        <v>0</v>
      </c>
      <c r="T186" s="80">
        <f>SUMIFS('февраль 2024'!$G$6:$G$1413,'февраль 2024'!$D$6:$D$1413,$B186,'февраль 2024'!$J$6:$J$1413,T$1)</f>
        <v>0</v>
      </c>
      <c r="U186" s="80">
        <f>SUMIFS('февраль 2024'!$G$6:$G$1413,'февраль 2024'!$D$6:$D$1413,$B186,'февраль 2024'!$J$6:$J$1413,U$1)</f>
        <v>0</v>
      </c>
      <c r="V186" s="80">
        <f>SUMIFS('февраль 2024'!$G$6:$G$1413,'февраль 2024'!$D$6:$D$1413,$B186,'февраль 2024'!$J$6:$J$1413,V$1)</f>
        <v>0</v>
      </c>
      <c r="W186" s="80">
        <f>SUMIFS('февраль 2024'!$G$6:$G$1413,'февраль 2024'!$D$6:$D$1413,$B186,'февраль 2024'!$J$6:$J$1413,W$1)</f>
        <v>0</v>
      </c>
      <c r="X186" s="80">
        <f>SUMIFS('февраль 2024'!$G$6:$G$1413,'февраль 2024'!$D$6:$D$1413,$B186,'февраль 2024'!$J$6:$J$1413,X$1)</f>
        <v>0</v>
      </c>
      <c r="Y186" s="80">
        <f>SUMIFS('февраль 2024'!$G$6:$G$1413,'февраль 2024'!$D$6:$D$1413,$B186,'февраль 2024'!$J$6:$J$1413,Y$1)</f>
        <v>0</v>
      </c>
      <c r="Z186" s="80">
        <f>SUMIFS('февраль 2024'!$G$6:$G$1413,'февраль 2024'!$D$6:$D$1413,$B186,'февраль 2024'!$J$6:$J$1413,Z$1)</f>
        <v>0</v>
      </c>
      <c r="AA186" s="80">
        <f>SUMIFS('февраль 2024'!$G$6:$G$1413,'февраль 2024'!$D$6:$D$1413,$B186,'февраль 2024'!$J$6:$J$1413,AA$1)</f>
        <v>0</v>
      </c>
      <c r="AB186" s="80">
        <f>SUMIFS('февраль 2024'!$G$6:$G$1413,'февраль 2024'!$D$6:$D$1413,$B186,'февраль 2024'!$J$6:$J$1413,AB$1)</f>
        <v>0</v>
      </c>
      <c r="AC186" s="80">
        <f>SUMIFS('февраль 2024'!$G$6:$G$1413,'февраль 2024'!$D$6:$D$1413,$B186,'февраль 2024'!$J$6:$J$1413,AC$1)</f>
        <v>0</v>
      </c>
      <c r="AD186" s="80">
        <f>SUMIFS('февраль 2024'!$G$6:$G$1413,'февраль 2024'!$D$6:$D$1413,$B186,'февраль 2024'!$J$6:$J$1413,AD$1)</f>
        <v>0</v>
      </c>
      <c r="AE186" s="80">
        <f>SUMIFS('февраль 2024'!$G$6:$G$1413,'февраль 2024'!$D$6:$D$1413,$B186,'февраль 2024'!$J$6:$J$1413,AE$1)</f>
        <v>0</v>
      </c>
      <c r="AF186" s="80">
        <f>SUMIFS('февраль 2024'!$G$6:$G$1413,'февраль 2024'!$D$6:$D$1413,$B186,'февраль 2024'!$J$6:$J$1413,AF$1)</f>
        <v>0</v>
      </c>
      <c r="AG186" s="80">
        <f>SUMIFS('февраль 2024'!$G$6:$G$1413,'февраль 2024'!$D$6:$D$1413,$B186,'февраль 2024'!$J$6:$J$1413,AG$1)</f>
        <v>0</v>
      </c>
      <c r="AH186" s="80">
        <f>SUMIFS('февраль 2024'!$G$6:$G$1413,'февраль 2024'!$D$6:$D$1413,$B186,'февраль 2024'!$J$6:$J$1413,AH$1)</f>
        <v>0</v>
      </c>
      <c r="AI186" s="87"/>
    </row>
    <row r="187" spans="2:35" ht="15" hidden="1" customHeight="1" x14ac:dyDescent="0.25">
      <c r="B187" s="89"/>
      <c r="C187" s="88"/>
      <c r="D187" s="80">
        <f>SUMIFS('февраль 2024'!$G$6:$G$1413,'февраль 2024'!$D$6:$D$1413,$B187,'февраль 2024'!$J$6:$J$1413,D$1)</f>
        <v>0</v>
      </c>
      <c r="E187" s="80">
        <f>SUMIFS('февраль 2024'!$G$6:$G$1413,'февраль 2024'!$D$6:$D$1413,$B187,'февраль 2024'!$J$6:$J$1413,E$1)</f>
        <v>0</v>
      </c>
      <c r="F187" s="80">
        <f>SUMIFS('февраль 2024'!$G$6:$G$1413,'февраль 2024'!$D$6:$D$1413,$B187,'февраль 2024'!$J$6:$J$1413,F$1)</f>
        <v>0</v>
      </c>
      <c r="G187" s="80">
        <f>SUMIFS('февраль 2024'!$G$6:$G$1413,'февраль 2024'!$D$6:$D$1413,$B187,'февраль 2024'!$J$6:$J$1413,G$1)</f>
        <v>0</v>
      </c>
      <c r="H187" s="80">
        <f>SUMIFS('февраль 2024'!$G$6:$G$1413,'февраль 2024'!$D$6:$D$1413,$B187,'февраль 2024'!$J$6:$J$1413,H$1)</f>
        <v>0</v>
      </c>
      <c r="I187" s="80">
        <f>SUMIFS('февраль 2024'!$G$6:$G$1413,'февраль 2024'!$D$6:$D$1413,$B187,'февраль 2024'!$J$6:$J$1413,I$1)</f>
        <v>0</v>
      </c>
      <c r="J187" s="80">
        <f>SUMIFS('февраль 2024'!$G$6:$G$1413,'февраль 2024'!$D$6:$D$1413,$B187,'февраль 2024'!$J$6:$J$1413,J$1)</f>
        <v>0</v>
      </c>
      <c r="K187" s="80">
        <f>SUMIFS('февраль 2024'!$G$6:$G$1413,'февраль 2024'!$D$6:$D$1413,$B187,'февраль 2024'!$J$6:$J$1413,K$1)</f>
        <v>0</v>
      </c>
      <c r="L187" s="80">
        <f>SUMIFS('февраль 2024'!$G$6:$G$1413,'февраль 2024'!$D$6:$D$1413,$B187,'февраль 2024'!$J$6:$J$1413,L$1)</f>
        <v>0</v>
      </c>
      <c r="M187" s="80">
        <f>SUMIFS('февраль 2024'!$G$6:$G$1413,'февраль 2024'!$D$6:$D$1413,$B187,'февраль 2024'!$J$6:$J$1413,M$1)</f>
        <v>0</v>
      </c>
      <c r="N187" s="80">
        <f>SUMIFS('февраль 2024'!$G$6:$G$1413,'февраль 2024'!$D$6:$D$1413,$B187,'февраль 2024'!$J$6:$J$1413,N$1)</f>
        <v>0</v>
      </c>
      <c r="O187" s="80">
        <f>SUMIFS('февраль 2024'!$G$6:$G$1413,'февраль 2024'!$D$6:$D$1413,$B187,'февраль 2024'!$J$6:$J$1413,O$1)</f>
        <v>0</v>
      </c>
      <c r="P187" s="80">
        <f>SUMIFS('февраль 2024'!$G$6:$G$1413,'февраль 2024'!$D$6:$D$1413,$B187,'февраль 2024'!$J$6:$J$1413,P$1)</f>
        <v>0</v>
      </c>
      <c r="Q187" s="80">
        <f>SUMIFS('февраль 2024'!$G$6:$G$1413,'февраль 2024'!$D$6:$D$1413,$B187,'февраль 2024'!$J$6:$J$1413,Q$1)</f>
        <v>0</v>
      </c>
      <c r="R187" s="80">
        <f>SUMIFS('февраль 2024'!$G$6:$G$1413,'февраль 2024'!$D$6:$D$1413,$B187,'февраль 2024'!$J$6:$J$1413,R$1)</f>
        <v>0</v>
      </c>
      <c r="S187" s="80">
        <f>SUMIFS('февраль 2024'!$G$6:$G$1413,'февраль 2024'!$D$6:$D$1413,$B187,'февраль 2024'!$J$6:$J$1413,S$1)</f>
        <v>0</v>
      </c>
      <c r="T187" s="80">
        <f>SUMIFS('февраль 2024'!$G$6:$G$1413,'февраль 2024'!$D$6:$D$1413,$B187,'февраль 2024'!$J$6:$J$1413,T$1)</f>
        <v>0</v>
      </c>
      <c r="U187" s="80">
        <f>SUMIFS('февраль 2024'!$G$6:$G$1413,'февраль 2024'!$D$6:$D$1413,$B187,'февраль 2024'!$J$6:$J$1413,U$1)</f>
        <v>0</v>
      </c>
      <c r="V187" s="80">
        <f>SUMIFS('февраль 2024'!$G$6:$G$1413,'февраль 2024'!$D$6:$D$1413,$B187,'февраль 2024'!$J$6:$J$1413,V$1)</f>
        <v>0</v>
      </c>
      <c r="W187" s="80">
        <f>SUMIFS('февраль 2024'!$G$6:$G$1413,'февраль 2024'!$D$6:$D$1413,$B187,'февраль 2024'!$J$6:$J$1413,W$1)</f>
        <v>0</v>
      </c>
      <c r="X187" s="80">
        <f>SUMIFS('февраль 2024'!$G$6:$G$1413,'февраль 2024'!$D$6:$D$1413,$B187,'февраль 2024'!$J$6:$J$1413,X$1)</f>
        <v>0</v>
      </c>
      <c r="Y187" s="80">
        <f>SUMIFS('февраль 2024'!$G$6:$G$1413,'февраль 2024'!$D$6:$D$1413,$B187,'февраль 2024'!$J$6:$J$1413,Y$1)</f>
        <v>0</v>
      </c>
      <c r="Z187" s="80">
        <f>SUMIFS('февраль 2024'!$G$6:$G$1413,'февраль 2024'!$D$6:$D$1413,$B187,'февраль 2024'!$J$6:$J$1413,Z$1)</f>
        <v>0</v>
      </c>
      <c r="AA187" s="80">
        <f>SUMIFS('февраль 2024'!$G$6:$G$1413,'февраль 2024'!$D$6:$D$1413,$B187,'февраль 2024'!$J$6:$J$1413,AA$1)</f>
        <v>0</v>
      </c>
      <c r="AB187" s="80">
        <f>SUMIFS('февраль 2024'!$G$6:$G$1413,'февраль 2024'!$D$6:$D$1413,$B187,'февраль 2024'!$J$6:$J$1413,AB$1)</f>
        <v>0</v>
      </c>
      <c r="AC187" s="80">
        <f>SUMIFS('февраль 2024'!$G$6:$G$1413,'февраль 2024'!$D$6:$D$1413,$B187,'февраль 2024'!$J$6:$J$1413,AC$1)</f>
        <v>0</v>
      </c>
      <c r="AD187" s="80">
        <f>SUMIFS('февраль 2024'!$G$6:$G$1413,'февраль 2024'!$D$6:$D$1413,$B187,'февраль 2024'!$J$6:$J$1413,AD$1)</f>
        <v>0</v>
      </c>
      <c r="AE187" s="80">
        <f>SUMIFS('февраль 2024'!$G$6:$G$1413,'февраль 2024'!$D$6:$D$1413,$B187,'февраль 2024'!$J$6:$J$1413,AE$1)</f>
        <v>0</v>
      </c>
      <c r="AF187" s="80">
        <f>SUMIFS('февраль 2024'!$G$6:$G$1413,'февраль 2024'!$D$6:$D$1413,$B187,'февраль 2024'!$J$6:$J$1413,AF$1)</f>
        <v>0</v>
      </c>
      <c r="AG187" s="80">
        <f>SUMIFS('февраль 2024'!$G$6:$G$1413,'февраль 2024'!$D$6:$D$1413,$B187,'февраль 2024'!$J$6:$J$1413,AG$1)</f>
        <v>0</v>
      </c>
      <c r="AH187" s="80">
        <f>SUMIFS('февраль 2024'!$G$6:$G$1413,'февраль 2024'!$D$6:$D$1413,$B187,'февраль 2024'!$J$6:$J$1413,AH$1)</f>
        <v>0</v>
      </c>
      <c r="AI187" s="87"/>
    </row>
    <row r="188" spans="2:35" ht="15" hidden="1" customHeight="1" x14ac:dyDescent="0.25">
      <c r="B188" s="89"/>
      <c r="C188" s="88"/>
      <c r="D188" s="80">
        <f>SUMIFS('февраль 2024'!$G$6:$G$1413,'февраль 2024'!$D$6:$D$1413,$B188,'февраль 2024'!$J$6:$J$1413,D$1)</f>
        <v>0</v>
      </c>
      <c r="E188" s="80">
        <f>SUMIFS('февраль 2024'!$G$6:$G$1413,'февраль 2024'!$D$6:$D$1413,$B188,'февраль 2024'!$J$6:$J$1413,E$1)</f>
        <v>0</v>
      </c>
      <c r="F188" s="80">
        <f>SUMIFS('февраль 2024'!$G$6:$G$1413,'февраль 2024'!$D$6:$D$1413,$B188,'февраль 2024'!$J$6:$J$1413,F$1)</f>
        <v>0</v>
      </c>
      <c r="G188" s="80">
        <f>SUMIFS('февраль 2024'!$G$6:$G$1413,'февраль 2024'!$D$6:$D$1413,$B188,'февраль 2024'!$J$6:$J$1413,G$1)</f>
        <v>0</v>
      </c>
      <c r="H188" s="80">
        <f>SUMIFS('февраль 2024'!$G$6:$G$1413,'февраль 2024'!$D$6:$D$1413,$B188,'февраль 2024'!$J$6:$J$1413,H$1)</f>
        <v>0</v>
      </c>
      <c r="I188" s="80">
        <f>SUMIFS('февраль 2024'!$G$6:$G$1413,'февраль 2024'!$D$6:$D$1413,$B188,'февраль 2024'!$J$6:$J$1413,I$1)</f>
        <v>0</v>
      </c>
      <c r="J188" s="80">
        <f>SUMIFS('февраль 2024'!$G$6:$G$1413,'февраль 2024'!$D$6:$D$1413,$B188,'февраль 2024'!$J$6:$J$1413,J$1)</f>
        <v>0</v>
      </c>
      <c r="K188" s="80">
        <f>SUMIFS('февраль 2024'!$G$6:$G$1413,'февраль 2024'!$D$6:$D$1413,$B188,'февраль 2024'!$J$6:$J$1413,K$1)</f>
        <v>0</v>
      </c>
      <c r="L188" s="80">
        <f>SUMIFS('февраль 2024'!$G$6:$G$1413,'февраль 2024'!$D$6:$D$1413,$B188,'февраль 2024'!$J$6:$J$1413,L$1)</f>
        <v>0</v>
      </c>
      <c r="M188" s="80">
        <f>SUMIFS('февраль 2024'!$G$6:$G$1413,'февраль 2024'!$D$6:$D$1413,$B188,'февраль 2024'!$J$6:$J$1413,M$1)</f>
        <v>0</v>
      </c>
      <c r="N188" s="80">
        <f>SUMIFS('февраль 2024'!$G$6:$G$1413,'февраль 2024'!$D$6:$D$1413,$B188,'февраль 2024'!$J$6:$J$1413,N$1)</f>
        <v>0</v>
      </c>
      <c r="O188" s="80">
        <f>SUMIFS('февраль 2024'!$G$6:$G$1413,'февраль 2024'!$D$6:$D$1413,$B188,'февраль 2024'!$J$6:$J$1413,O$1)</f>
        <v>0</v>
      </c>
      <c r="P188" s="80">
        <f>SUMIFS('февраль 2024'!$G$6:$G$1413,'февраль 2024'!$D$6:$D$1413,$B188,'февраль 2024'!$J$6:$J$1413,P$1)</f>
        <v>0</v>
      </c>
      <c r="Q188" s="80">
        <f>SUMIFS('февраль 2024'!$G$6:$G$1413,'февраль 2024'!$D$6:$D$1413,$B188,'февраль 2024'!$J$6:$J$1413,Q$1)</f>
        <v>0</v>
      </c>
      <c r="R188" s="80">
        <f>SUMIFS('февраль 2024'!$G$6:$G$1413,'февраль 2024'!$D$6:$D$1413,$B188,'февраль 2024'!$J$6:$J$1413,R$1)</f>
        <v>0</v>
      </c>
      <c r="S188" s="80">
        <f>SUMIFS('февраль 2024'!$G$6:$G$1413,'февраль 2024'!$D$6:$D$1413,$B188,'февраль 2024'!$J$6:$J$1413,S$1)</f>
        <v>0</v>
      </c>
      <c r="T188" s="80">
        <f>SUMIFS('февраль 2024'!$G$6:$G$1413,'февраль 2024'!$D$6:$D$1413,$B188,'февраль 2024'!$J$6:$J$1413,T$1)</f>
        <v>0</v>
      </c>
      <c r="U188" s="80">
        <f>SUMIFS('февраль 2024'!$G$6:$G$1413,'февраль 2024'!$D$6:$D$1413,$B188,'февраль 2024'!$J$6:$J$1413,U$1)</f>
        <v>0</v>
      </c>
      <c r="V188" s="80">
        <f>SUMIFS('февраль 2024'!$G$6:$G$1413,'февраль 2024'!$D$6:$D$1413,$B188,'февраль 2024'!$J$6:$J$1413,V$1)</f>
        <v>0</v>
      </c>
      <c r="W188" s="80">
        <f>SUMIFS('февраль 2024'!$G$6:$G$1413,'февраль 2024'!$D$6:$D$1413,$B188,'февраль 2024'!$J$6:$J$1413,W$1)</f>
        <v>0</v>
      </c>
      <c r="X188" s="80">
        <f>SUMIFS('февраль 2024'!$G$6:$G$1413,'февраль 2024'!$D$6:$D$1413,$B188,'февраль 2024'!$J$6:$J$1413,X$1)</f>
        <v>0</v>
      </c>
      <c r="Y188" s="80">
        <f>SUMIFS('февраль 2024'!$G$6:$G$1413,'февраль 2024'!$D$6:$D$1413,$B188,'февраль 2024'!$J$6:$J$1413,Y$1)</f>
        <v>0</v>
      </c>
      <c r="Z188" s="80">
        <f>SUMIFS('февраль 2024'!$G$6:$G$1413,'февраль 2024'!$D$6:$D$1413,$B188,'февраль 2024'!$J$6:$J$1413,Z$1)</f>
        <v>0</v>
      </c>
      <c r="AA188" s="80">
        <f>SUMIFS('февраль 2024'!$G$6:$G$1413,'февраль 2024'!$D$6:$D$1413,$B188,'февраль 2024'!$J$6:$J$1413,AA$1)</f>
        <v>0</v>
      </c>
      <c r="AB188" s="80">
        <f>SUMIFS('февраль 2024'!$G$6:$G$1413,'февраль 2024'!$D$6:$D$1413,$B188,'февраль 2024'!$J$6:$J$1413,AB$1)</f>
        <v>0</v>
      </c>
      <c r="AC188" s="80">
        <f>SUMIFS('февраль 2024'!$G$6:$G$1413,'февраль 2024'!$D$6:$D$1413,$B188,'февраль 2024'!$J$6:$J$1413,AC$1)</f>
        <v>0</v>
      </c>
      <c r="AD188" s="80">
        <f>SUMIFS('февраль 2024'!$G$6:$G$1413,'февраль 2024'!$D$6:$D$1413,$B188,'февраль 2024'!$J$6:$J$1413,AD$1)</f>
        <v>0</v>
      </c>
      <c r="AE188" s="80">
        <f>SUMIFS('февраль 2024'!$G$6:$G$1413,'февраль 2024'!$D$6:$D$1413,$B188,'февраль 2024'!$J$6:$J$1413,AE$1)</f>
        <v>0</v>
      </c>
      <c r="AF188" s="80">
        <f>SUMIFS('февраль 2024'!$G$6:$G$1413,'февраль 2024'!$D$6:$D$1413,$B188,'февраль 2024'!$J$6:$J$1413,AF$1)</f>
        <v>0</v>
      </c>
      <c r="AG188" s="80">
        <f>SUMIFS('февраль 2024'!$G$6:$G$1413,'февраль 2024'!$D$6:$D$1413,$B188,'февраль 2024'!$J$6:$J$1413,AG$1)</f>
        <v>0</v>
      </c>
      <c r="AH188" s="80">
        <f>SUMIFS('февраль 2024'!$G$6:$G$1413,'февраль 2024'!$D$6:$D$1413,$B188,'февраль 2024'!$J$6:$J$1413,AH$1)</f>
        <v>0</v>
      </c>
      <c r="AI188" s="87"/>
    </row>
    <row r="189" spans="2:35" ht="15" hidden="1" customHeight="1" x14ac:dyDescent="0.25">
      <c r="B189" s="89"/>
      <c r="C189" s="88"/>
      <c r="D189" s="80">
        <f>SUMIFS('февраль 2024'!$G$6:$G$1413,'февраль 2024'!$D$6:$D$1413,$B189,'февраль 2024'!$J$6:$J$1413,D$1)</f>
        <v>0</v>
      </c>
      <c r="E189" s="80">
        <f>SUMIFS('февраль 2024'!$G$6:$G$1413,'февраль 2024'!$D$6:$D$1413,$B189,'февраль 2024'!$J$6:$J$1413,E$1)</f>
        <v>0</v>
      </c>
      <c r="F189" s="80">
        <f>SUMIFS('февраль 2024'!$G$6:$G$1413,'февраль 2024'!$D$6:$D$1413,$B189,'февраль 2024'!$J$6:$J$1413,F$1)</f>
        <v>0</v>
      </c>
      <c r="G189" s="80">
        <f>SUMIFS('февраль 2024'!$G$6:$G$1413,'февраль 2024'!$D$6:$D$1413,$B189,'февраль 2024'!$J$6:$J$1413,G$1)</f>
        <v>0</v>
      </c>
      <c r="H189" s="80">
        <f>SUMIFS('февраль 2024'!$G$6:$G$1413,'февраль 2024'!$D$6:$D$1413,$B189,'февраль 2024'!$J$6:$J$1413,H$1)</f>
        <v>0</v>
      </c>
      <c r="I189" s="80">
        <f>SUMIFS('февраль 2024'!$G$6:$G$1413,'февраль 2024'!$D$6:$D$1413,$B189,'февраль 2024'!$J$6:$J$1413,I$1)</f>
        <v>0</v>
      </c>
      <c r="J189" s="80">
        <f>SUMIFS('февраль 2024'!$G$6:$G$1413,'февраль 2024'!$D$6:$D$1413,$B189,'февраль 2024'!$J$6:$J$1413,J$1)</f>
        <v>0</v>
      </c>
      <c r="K189" s="80">
        <f>SUMIFS('февраль 2024'!$G$6:$G$1413,'февраль 2024'!$D$6:$D$1413,$B189,'февраль 2024'!$J$6:$J$1413,K$1)</f>
        <v>0</v>
      </c>
      <c r="L189" s="80">
        <f>SUMIFS('февраль 2024'!$G$6:$G$1413,'февраль 2024'!$D$6:$D$1413,$B189,'февраль 2024'!$J$6:$J$1413,L$1)</f>
        <v>0</v>
      </c>
      <c r="M189" s="80">
        <f>SUMIFS('февраль 2024'!$G$6:$G$1413,'февраль 2024'!$D$6:$D$1413,$B189,'февраль 2024'!$J$6:$J$1413,M$1)</f>
        <v>0</v>
      </c>
      <c r="N189" s="80">
        <f>SUMIFS('февраль 2024'!$G$6:$G$1413,'февраль 2024'!$D$6:$D$1413,$B189,'февраль 2024'!$J$6:$J$1413,N$1)</f>
        <v>0</v>
      </c>
      <c r="O189" s="80">
        <f>SUMIFS('февраль 2024'!$G$6:$G$1413,'февраль 2024'!$D$6:$D$1413,$B189,'февраль 2024'!$J$6:$J$1413,O$1)</f>
        <v>0</v>
      </c>
      <c r="P189" s="80">
        <f>SUMIFS('февраль 2024'!$G$6:$G$1413,'февраль 2024'!$D$6:$D$1413,$B189,'февраль 2024'!$J$6:$J$1413,P$1)</f>
        <v>0</v>
      </c>
      <c r="Q189" s="80">
        <f>SUMIFS('февраль 2024'!$G$6:$G$1413,'февраль 2024'!$D$6:$D$1413,$B189,'февраль 2024'!$J$6:$J$1413,Q$1)</f>
        <v>0</v>
      </c>
      <c r="R189" s="80">
        <f>SUMIFS('февраль 2024'!$G$6:$G$1413,'февраль 2024'!$D$6:$D$1413,$B189,'февраль 2024'!$J$6:$J$1413,R$1)</f>
        <v>0</v>
      </c>
      <c r="S189" s="80">
        <f>SUMIFS('февраль 2024'!$G$6:$G$1413,'февраль 2024'!$D$6:$D$1413,$B189,'февраль 2024'!$J$6:$J$1413,S$1)</f>
        <v>0</v>
      </c>
      <c r="T189" s="80">
        <f>SUMIFS('февраль 2024'!$G$6:$G$1413,'февраль 2024'!$D$6:$D$1413,$B189,'февраль 2024'!$J$6:$J$1413,T$1)</f>
        <v>0</v>
      </c>
      <c r="U189" s="80">
        <f>SUMIFS('февраль 2024'!$G$6:$G$1413,'февраль 2024'!$D$6:$D$1413,$B189,'февраль 2024'!$J$6:$J$1413,U$1)</f>
        <v>0</v>
      </c>
      <c r="V189" s="80">
        <f>SUMIFS('февраль 2024'!$G$6:$G$1413,'февраль 2024'!$D$6:$D$1413,$B189,'февраль 2024'!$J$6:$J$1413,V$1)</f>
        <v>0</v>
      </c>
      <c r="W189" s="80">
        <f>SUMIFS('февраль 2024'!$G$6:$G$1413,'февраль 2024'!$D$6:$D$1413,$B189,'февраль 2024'!$J$6:$J$1413,W$1)</f>
        <v>0</v>
      </c>
      <c r="X189" s="80">
        <f>SUMIFS('февраль 2024'!$G$6:$G$1413,'февраль 2024'!$D$6:$D$1413,$B189,'февраль 2024'!$J$6:$J$1413,X$1)</f>
        <v>0</v>
      </c>
      <c r="Y189" s="80">
        <f>SUMIFS('февраль 2024'!$G$6:$G$1413,'февраль 2024'!$D$6:$D$1413,$B189,'февраль 2024'!$J$6:$J$1413,Y$1)</f>
        <v>0</v>
      </c>
      <c r="Z189" s="80">
        <f>SUMIFS('февраль 2024'!$G$6:$G$1413,'февраль 2024'!$D$6:$D$1413,$B189,'февраль 2024'!$J$6:$J$1413,Z$1)</f>
        <v>0</v>
      </c>
      <c r="AA189" s="80">
        <f>SUMIFS('февраль 2024'!$G$6:$G$1413,'февраль 2024'!$D$6:$D$1413,$B189,'февраль 2024'!$J$6:$J$1413,AA$1)</f>
        <v>0</v>
      </c>
      <c r="AB189" s="80">
        <f>SUMIFS('февраль 2024'!$G$6:$G$1413,'февраль 2024'!$D$6:$D$1413,$B189,'февраль 2024'!$J$6:$J$1413,AB$1)</f>
        <v>0</v>
      </c>
      <c r="AC189" s="80">
        <f>SUMIFS('февраль 2024'!$G$6:$G$1413,'февраль 2024'!$D$6:$D$1413,$B189,'февраль 2024'!$J$6:$J$1413,AC$1)</f>
        <v>0</v>
      </c>
      <c r="AD189" s="80">
        <f>SUMIFS('февраль 2024'!$G$6:$G$1413,'февраль 2024'!$D$6:$D$1413,$B189,'февраль 2024'!$J$6:$J$1413,AD$1)</f>
        <v>0</v>
      </c>
      <c r="AE189" s="80">
        <f>SUMIFS('февраль 2024'!$G$6:$G$1413,'февраль 2024'!$D$6:$D$1413,$B189,'февраль 2024'!$J$6:$J$1413,AE$1)</f>
        <v>0</v>
      </c>
      <c r="AF189" s="80">
        <f>SUMIFS('февраль 2024'!$G$6:$G$1413,'февраль 2024'!$D$6:$D$1413,$B189,'февраль 2024'!$J$6:$J$1413,AF$1)</f>
        <v>0</v>
      </c>
      <c r="AG189" s="80">
        <f>SUMIFS('февраль 2024'!$G$6:$G$1413,'февраль 2024'!$D$6:$D$1413,$B189,'февраль 2024'!$J$6:$J$1413,AG$1)</f>
        <v>0</v>
      </c>
      <c r="AH189" s="80">
        <f>SUMIFS('февраль 2024'!$G$6:$G$1413,'февраль 2024'!$D$6:$D$1413,$B189,'февраль 2024'!$J$6:$J$1413,AH$1)</f>
        <v>0</v>
      </c>
      <c r="AI189" s="87"/>
    </row>
    <row r="190" spans="2:35" ht="15" hidden="1" customHeight="1" x14ac:dyDescent="0.25">
      <c r="B190" s="89"/>
      <c r="C190" s="88"/>
      <c r="D190" s="80">
        <f>SUMIFS('февраль 2024'!$G$6:$G$1413,'февраль 2024'!$D$6:$D$1413,$B190,'февраль 2024'!$J$6:$J$1413,D$1)</f>
        <v>0</v>
      </c>
      <c r="E190" s="80">
        <f>SUMIFS('февраль 2024'!$G$6:$G$1413,'февраль 2024'!$D$6:$D$1413,$B190,'февраль 2024'!$J$6:$J$1413,E$1)</f>
        <v>0</v>
      </c>
      <c r="F190" s="80">
        <f>SUMIFS('февраль 2024'!$G$6:$G$1413,'февраль 2024'!$D$6:$D$1413,$B190,'февраль 2024'!$J$6:$J$1413,F$1)</f>
        <v>0</v>
      </c>
      <c r="G190" s="80">
        <f>SUMIFS('февраль 2024'!$G$6:$G$1413,'февраль 2024'!$D$6:$D$1413,$B190,'февраль 2024'!$J$6:$J$1413,G$1)</f>
        <v>0</v>
      </c>
      <c r="H190" s="80">
        <f>SUMIFS('февраль 2024'!$G$6:$G$1413,'февраль 2024'!$D$6:$D$1413,$B190,'февраль 2024'!$J$6:$J$1413,H$1)</f>
        <v>0</v>
      </c>
      <c r="I190" s="80">
        <f>SUMIFS('февраль 2024'!$G$6:$G$1413,'февраль 2024'!$D$6:$D$1413,$B190,'февраль 2024'!$J$6:$J$1413,I$1)</f>
        <v>0</v>
      </c>
      <c r="J190" s="80">
        <f>SUMIFS('февраль 2024'!$G$6:$G$1413,'февраль 2024'!$D$6:$D$1413,$B190,'февраль 2024'!$J$6:$J$1413,J$1)</f>
        <v>0</v>
      </c>
      <c r="K190" s="80">
        <f>SUMIFS('февраль 2024'!$G$6:$G$1413,'февраль 2024'!$D$6:$D$1413,$B190,'февраль 2024'!$J$6:$J$1413,K$1)</f>
        <v>0</v>
      </c>
      <c r="L190" s="80">
        <f>SUMIFS('февраль 2024'!$G$6:$G$1413,'февраль 2024'!$D$6:$D$1413,$B190,'февраль 2024'!$J$6:$J$1413,L$1)</f>
        <v>0</v>
      </c>
      <c r="M190" s="80">
        <f>SUMIFS('февраль 2024'!$G$6:$G$1413,'февраль 2024'!$D$6:$D$1413,$B190,'февраль 2024'!$J$6:$J$1413,M$1)</f>
        <v>0</v>
      </c>
      <c r="N190" s="80">
        <f>SUMIFS('февраль 2024'!$G$6:$G$1413,'февраль 2024'!$D$6:$D$1413,$B190,'февраль 2024'!$J$6:$J$1413,N$1)</f>
        <v>0</v>
      </c>
      <c r="O190" s="80">
        <f>SUMIFS('февраль 2024'!$G$6:$G$1413,'февраль 2024'!$D$6:$D$1413,$B190,'февраль 2024'!$J$6:$J$1413,O$1)</f>
        <v>0</v>
      </c>
      <c r="P190" s="80">
        <f>SUMIFS('февраль 2024'!$G$6:$G$1413,'февраль 2024'!$D$6:$D$1413,$B190,'февраль 2024'!$J$6:$J$1413,P$1)</f>
        <v>0</v>
      </c>
      <c r="Q190" s="80">
        <f>SUMIFS('февраль 2024'!$G$6:$G$1413,'февраль 2024'!$D$6:$D$1413,$B190,'февраль 2024'!$J$6:$J$1413,Q$1)</f>
        <v>0</v>
      </c>
      <c r="R190" s="80">
        <f>SUMIFS('февраль 2024'!$G$6:$G$1413,'февраль 2024'!$D$6:$D$1413,$B190,'февраль 2024'!$J$6:$J$1413,R$1)</f>
        <v>0</v>
      </c>
      <c r="S190" s="80">
        <f>SUMIFS('февраль 2024'!$G$6:$G$1413,'февраль 2024'!$D$6:$D$1413,$B190,'февраль 2024'!$J$6:$J$1413,S$1)</f>
        <v>0</v>
      </c>
      <c r="T190" s="80">
        <f>SUMIFS('февраль 2024'!$G$6:$G$1413,'февраль 2024'!$D$6:$D$1413,$B190,'февраль 2024'!$J$6:$J$1413,T$1)</f>
        <v>0</v>
      </c>
      <c r="U190" s="80">
        <f>SUMIFS('февраль 2024'!$G$6:$G$1413,'февраль 2024'!$D$6:$D$1413,$B190,'февраль 2024'!$J$6:$J$1413,U$1)</f>
        <v>0</v>
      </c>
      <c r="V190" s="80">
        <f>SUMIFS('февраль 2024'!$G$6:$G$1413,'февраль 2024'!$D$6:$D$1413,$B190,'февраль 2024'!$J$6:$J$1413,V$1)</f>
        <v>0</v>
      </c>
      <c r="W190" s="80">
        <f>SUMIFS('февраль 2024'!$G$6:$G$1413,'февраль 2024'!$D$6:$D$1413,$B190,'февраль 2024'!$J$6:$J$1413,W$1)</f>
        <v>0</v>
      </c>
      <c r="X190" s="80">
        <f>SUMIFS('февраль 2024'!$G$6:$G$1413,'февраль 2024'!$D$6:$D$1413,$B190,'февраль 2024'!$J$6:$J$1413,X$1)</f>
        <v>0</v>
      </c>
      <c r="Y190" s="80">
        <f>SUMIFS('февраль 2024'!$G$6:$G$1413,'февраль 2024'!$D$6:$D$1413,$B190,'февраль 2024'!$J$6:$J$1413,Y$1)</f>
        <v>0</v>
      </c>
      <c r="Z190" s="80">
        <f>SUMIFS('февраль 2024'!$G$6:$G$1413,'февраль 2024'!$D$6:$D$1413,$B190,'февраль 2024'!$J$6:$J$1413,Z$1)</f>
        <v>0</v>
      </c>
      <c r="AA190" s="80">
        <f>SUMIFS('февраль 2024'!$G$6:$G$1413,'февраль 2024'!$D$6:$D$1413,$B190,'февраль 2024'!$J$6:$J$1413,AA$1)</f>
        <v>0</v>
      </c>
      <c r="AB190" s="80">
        <f>SUMIFS('февраль 2024'!$G$6:$G$1413,'февраль 2024'!$D$6:$D$1413,$B190,'февраль 2024'!$J$6:$J$1413,AB$1)</f>
        <v>0</v>
      </c>
      <c r="AC190" s="80">
        <f>SUMIFS('февраль 2024'!$G$6:$G$1413,'февраль 2024'!$D$6:$D$1413,$B190,'февраль 2024'!$J$6:$J$1413,AC$1)</f>
        <v>0</v>
      </c>
      <c r="AD190" s="80">
        <f>SUMIFS('февраль 2024'!$G$6:$G$1413,'февраль 2024'!$D$6:$D$1413,$B190,'февраль 2024'!$J$6:$J$1413,AD$1)</f>
        <v>0</v>
      </c>
      <c r="AE190" s="80">
        <f>SUMIFS('февраль 2024'!$G$6:$G$1413,'февраль 2024'!$D$6:$D$1413,$B190,'февраль 2024'!$J$6:$J$1413,AE$1)</f>
        <v>0</v>
      </c>
      <c r="AF190" s="80">
        <f>SUMIFS('февраль 2024'!$G$6:$G$1413,'февраль 2024'!$D$6:$D$1413,$B190,'февраль 2024'!$J$6:$J$1413,AF$1)</f>
        <v>0</v>
      </c>
      <c r="AG190" s="80">
        <f>SUMIFS('февраль 2024'!$G$6:$G$1413,'февраль 2024'!$D$6:$D$1413,$B190,'февраль 2024'!$J$6:$J$1413,AG$1)</f>
        <v>0</v>
      </c>
      <c r="AH190" s="80">
        <f>SUMIFS('февраль 2024'!$G$6:$G$1413,'февраль 2024'!$D$6:$D$1413,$B190,'февраль 2024'!$J$6:$J$1413,AH$1)</f>
        <v>0</v>
      </c>
      <c r="AI190" s="87"/>
    </row>
    <row r="191" spans="2:35" ht="15" hidden="1" customHeight="1" x14ac:dyDescent="0.25">
      <c r="B191" s="89"/>
      <c r="C191" s="88"/>
      <c r="D191" s="80">
        <f>SUMIFS('февраль 2024'!$G$6:$G$1413,'февраль 2024'!$D$6:$D$1413,$B191,'февраль 2024'!$J$6:$J$1413,D$1)</f>
        <v>0</v>
      </c>
      <c r="E191" s="80">
        <f>SUMIFS('февраль 2024'!$G$6:$G$1413,'февраль 2024'!$D$6:$D$1413,$B191,'февраль 2024'!$J$6:$J$1413,E$1)</f>
        <v>0</v>
      </c>
      <c r="F191" s="80">
        <f>SUMIFS('февраль 2024'!$G$6:$G$1413,'февраль 2024'!$D$6:$D$1413,$B191,'февраль 2024'!$J$6:$J$1413,F$1)</f>
        <v>0</v>
      </c>
      <c r="G191" s="80">
        <f>SUMIFS('февраль 2024'!$G$6:$G$1413,'февраль 2024'!$D$6:$D$1413,$B191,'февраль 2024'!$J$6:$J$1413,G$1)</f>
        <v>0</v>
      </c>
      <c r="H191" s="80">
        <f>SUMIFS('февраль 2024'!$G$6:$G$1413,'февраль 2024'!$D$6:$D$1413,$B191,'февраль 2024'!$J$6:$J$1413,H$1)</f>
        <v>0</v>
      </c>
      <c r="I191" s="80">
        <f>SUMIFS('февраль 2024'!$G$6:$G$1413,'февраль 2024'!$D$6:$D$1413,$B191,'февраль 2024'!$J$6:$J$1413,I$1)</f>
        <v>0</v>
      </c>
      <c r="J191" s="80">
        <f>SUMIFS('февраль 2024'!$G$6:$G$1413,'февраль 2024'!$D$6:$D$1413,$B191,'февраль 2024'!$J$6:$J$1413,J$1)</f>
        <v>0</v>
      </c>
      <c r="K191" s="80">
        <f>SUMIFS('февраль 2024'!$G$6:$G$1413,'февраль 2024'!$D$6:$D$1413,$B191,'февраль 2024'!$J$6:$J$1413,K$1)</f>
        <v>0</v>
      </c>
      <c r="L191" s="80">
        <f>SUMIFS('февраль 2024'!$G$6:$G$1413,'февраль 2024'!$D$6:$D$1413,$B191,'февраль 2024'!$J$6:$J$1413,L$1)</f>
        <v>0</v>
      </c>
      <c r="M191" s="80">
        <f>SUMIFS('февраль 2024'!$G$6:$G$1413,'февраль 2024'!$D$6:$D$1413,$B191,'февраль 2024'!$J$6:$J$1413,M$1)</f>
        <v>0</v>
      </c>
      <c r="N191" s="80">
        <f>SUMIFS('февраль 2024'!$G$6:$G$1413,'февраль 2024'!$D$6:$D$1413,$B191,'февраль 2024'!$J$6:$J$1413,N$1)</f>
        <v>0</v>
      </c>
      <c r="O191" s="80">
        <f>SUMIFS('февраль 2024'!$G$6:$G$1413,'февраль 2024'!$D$6:$D$1413,$B191,'февраль 2024'!$J$6:$J$1413,O$1)</f>
        <v>0</v>
      </c>
      <c r="P191" s="80">
        <f>SUMIFS('февраль 2024'!$G$6:$G$1413,'февраль 2024'!$D$6:$D$1413,$B191,'февраль 2024'!$J$6:$J$1413,P$1)</f>
        <v>0</v>
      </c>
      <c r="Q191" s="80">
        <f>SUMIFS('февраль 2024'!$G$6:$G$1413,'февраль 2024'!$D$6:$D$1413,$B191,'февраль 2024'!$J$6:$J$1413,Q$1)</f>
        <v>0</v>
      </c>
      <c r="R191" s="80">
        <f>SUMIFS('февраль 2024'!$G$6:$G$1413,'февраль 2024'!$D$6:$D$1413,$B191,'февраль 2024'!$J$6:$J$1413,R$1)</f>
        <v>0</v>
      </c>
      <c r="S191" s="80">
        <f>SUMIFS('февраль 2024'!$G$6:$G$1413,'февраль 2024'!$D$6:$D$1413,$B191,'февраль 2024'!$J$6:$J$1413,S$1)</f>
        <v>0</v>
      </c>
      <c r="T191" s="80">
        <f>SUMIFS('февраль 2024'!$G$6:$G$1413,'февраль 2024'!$D$6:$D$1413,$B191,'февраль 2024'!$J$6:$J$1413,T$1)</f>
        <v>0</v>
      </c>
      <c r="U191" s="80">
        <f>SUMIFS('февраль 2024'!$G$6:$G$1413,'февраль 2024'!$D$6:$D$1413,$B191,'февраль 2024'!$J$6:$J$1413,U$1)</f>
        <v>0</v>
      </c>
      <c r="V191" s="80">
        <f>SUMIFS('февраль 2024'!$G$6:$G$1413,'февраль 2024'!$D$6:$D$1413,$B191,'февраль 2024'!$J$6:$J$1413,V$1)</f>
        <v>0</v>
      </c>
      <c r="W191" s="80">
        <f>SUMIFS('февраль 2024'!$G$6:$G$1413,'февраль 2024'!$D$6:$D$1413,$B191,'февраль 2024'!$J$6:$J$1413,W$1)</f>
        <v>0</v>
      </c>
      <c r="X191" s="80">
        <f>SUMIFS('февраль 2024'!$G$6:$G$1413,'февраль 2024'!$D$6:$D$1413,$B191,'февраль 2024'!$J$6:$J$1413,X$1)</f>
        <v>0</v>
      </c>
      <c r="Y191" s="80">
        <f>SUMIFS('февраль 2024'!$G$6:$G$1413,'февраль 2024'!$D$6:$D$1413,$B191,'февраль 2024'!$J$6:$J$1413,Y$1)</f>
        <v>0</v>
      </c>
      <c r="Z191" s="80">
        <f>SUMIFS('февраль 2024'!$G$6:$G$1413,'февраль 2024'!$D$6:$D$1413,$B191,'февраль 2024'!$J$6:$J$1413,Z$1)</f>
        <v>0</v>
      </c>
      <c r="AA191" s="80">
        <f>SUMIFS('февраль 2024'!$G$6:$G$1413,'февраль 2024'!$D$6:$D$1413,$B191,'февраль 2024'!$J$6:$J$1413,AA$1)</f>
        <v>0</v>
      </c>
      <c r="AB191" s="80">
        <f>SUMIFS('февраль 2024'!$G$6:$G$1413,'февраль 2024'!$D$6:$D$1413,$B191,'февраль 2024'!$J$6:$J$1413,AB$1)</f>
        <v>0</v>
      </c>
      <c r="AC191" s="80">
        <f>SUMIFS('февраль 2024'!$G$6:$G$1413,'февраль 2024'!$D$6:$D$1413,$B191,'февраль 2024'!$J$6:$J$1413,AC$1)</f>
        <v>0</v>
      </c>
      <c r="AD191" s="80">
        <f>SUMIFS('февраль 2024'!$G$6:$G$1413,'февраль 2024'!$D$6:$D$1413,$B191,'февраль 2024'!$J$6:$J$1413,AD$1)</f>
        <v>0</v>
      </c>
      <c r="AE191" s="80">
        <f>SUMIFS('февраль 2024'!$G$6:$G$1413,'февраль 2024'!$D$6:$D$1413,$B191,'февраль 2024'!$J$6:$J$1413,AE$1)</f>
        <v>0</v>
      </c>
      <c r="AF191" s="80">
        <f>SUMIFS('февраль 2024'!$G$6:$G$1413,'февраль 2024'!$D$6:$D$1413,$B191,'февраль 2024'!$J$6:$J$1413,AF$1)</f>
        <v>0</v>
      </c>
      <c r="AG191" s="80">
        <f>SUMIFS('февраль 2024'!$G$6:$G$1413,'февраль 2024'!$D$6:$D$1413,$B191,'февраль 2024'!$J$6:$J$1413,AG$1)</f>
        <v>0</v>
      </c>
      <c r="AH191" s="80">
        <f>SUMIFS('февраль 2024'!$G$6:$G$1413,'февраль 2024'!$D$6:$D$1413,$B191,'февраль 2024'!$J$6:$J$1413,AH$1)</f>
        <v>0</v>
      </c>
      <c r="AI191" s="87"/>
    </row>
    <row r="192" spans="2:35" ht="15" hidden="1" customHeight="1" x14ac:dyDescent="0.25">
      <c r="B192" s="89"/>
      <c r="C192" s="88"/>
      <c r="D192" s="80">
        <f>SUMIFS('февраль 2024'!$G$6:$G$1413,'февраль 2024'!$D$6:$D$1413,$B192,'февраль 2024'!$J$6:$J$1413,D$1)</f>
        <v>0</v>
      </c>
      <c r="E192" s="80">
        <f>SUMIFS('февраль 2024'!$G$6:$G$1413,'февраль 2024'!$D$6:$D$1413,$B192,'февраль 2024'!$J$6:$J$1413,E$1)</f>
        <v>0</v>
      </c>
      <c r="F192" s="80">
        <f>SUMIFS('февраль 2024'!$G$6:$G$1413,'февраль 2024'!$D$6:$D$1413,$B192,'февраль 2024'!$J$6:$J$1413,F$1)</f>
        <v>0</v>
      </c>
      <c r="G192" s="80">
        <f>SUMIFS('февраль 2024'!$G$6:$G$1413,'февраль 2024'!$D$6:$D$1413,$B192,'февраль 2024'!$J$6:$J$1413,G$1)</f>
        <v>0</v>
      </c>
      <c r="H192" s="80">
        <f>SUMIFS('февраль 2024'!$G$6:$G$1413,'февраль 2024'!$D$6:$D$1413,$B192,'февраль 2024'!$J$6:$J$1413,H$1)</f>
        <v>0</v>
      </c>
      <c r="I192" s="80">
        <f>SUMIFS('февраль 2024'!$G$6:$G$1413,'февраль 2024'!$D$6:$D$1413,$B192,'февраль 2024'!$J$6:$J$1413,I$1)</f>
        <v>0</v>
      </c>
      <c r="J192" s="80">
        <f>SUMIFS('февраль 2024'!$G$6:$G$1413,'февраль 2024'!$D$6:$D$1413,$B192,'февраль 2024'!$J$6:$J$1413,J$1)</f>
        <v>0</v>
      </c>
      <c r="K192" s="80">
        <f>SUMIFS('февраль 2024'!$G$6:$G$1413,'февраль 2024'!$D$6:$D$1413,$B192,'февраль 2024'!$J$6:$J$1413,K$1)</f>
        <v>0</v>
      </c>
      <c r="L192" s="80">
        <f>SUMIFS('февраль 2024'!$G$6:$G$1413,'февраль 2024'!$D$6:$D$1413,$B192,'февраль 2024'!$J$6:$J$1413,L$1)</f>
        <v>0</v>
      </c>
      <c r="M192" s="80">
        <f>SUMIFS('февраль 2024'!$G$6:$G$1413,'февраль 2024'!$D$6:$D$1413,$B192,'февраль 2024'!$J$6:$J$1413,M$1)</f>
        <v>0</v>
      </c>
      <c r="N192" s="80">
        <f>SUMIFS('февраль 2024'!$G$6:$G$1413,'февраль 2024'!$D$6:$D$1413,$B192,'февраль 2024'!$J$6:$J$1413,N$1)</f>
        <v>0</v>
      </c>
      <c r="O192" s="80">
        <f>SUMIFS('февраль 2024'!$G$6:$G$1413,'февраль 2024'!$D$6:$D$1413,$B192,'февраль 2024'!$J$6:$J$1413,O$1)</f>
        <v>0</v>
      </c>
      <c r="P192" s="80">
        <f>SUMIFS('февраль 2024'!$G$6:$G$1413,'февраль 2024'!$D$6:$D$1413,$B192,'февраль 2024'!$J$6:$J$1413,P$1)</f>
        <v>0</v>
      </c>
      <c r="Q192" s="80">
        <f>SUMIFS('февраль 2024'!$G$6:$G$1413,'февраль 2024'!$D$6:$D$1413,$B192,'февраль 2024'!$J$6:$J$1413,Q$1)</f>
        <v>0</v>
      </c>
      <c r="R192" s="80">
        <f>SUMIFS('февраль 2024'!$G$6:$G$1413,'февраль 2024'!$D$6:$D$1413,$B192,'февраль 2024'!$J$6:$J$1413,R$1)</f>
        <v>0</v>
      </c>
      <c r="S192" s="80">
        <f>SUMIFS('февраль 2024'!$G$6:$G$1413,'февраль 2024'!$D$6:$D$1413,$B192,'февраль 2024'!$J$6:$J$1413,S$1)</f>
        <v>0</v>
      </c>
      <c r="T192" s="80">
        <f>SUMIFS('февраль 2024'!$G$6:$G$1413,'февраль 2024'!$D$6:$D$1413,$B192,'февраль 2024'!$J$6:$J$1413,T$1)</f>
        <v>0</v>
      </c>
      <c r="U192" s="80">
        <f>SUMIFS('февраль 2024'!$G$6:$G$1413,'февраль 2024'!$D$6:$D$1413,$B192,'февраль 2024'!$J$6:$J$1413,U$1)</f>
        <v>0</v>
      </c>
      <c r="V192" s="80">
        <f>SUMIFS('февраль 2024'!$G$6:$G$1413,'февраль 2024'!$D$6:$D$1413,$B192,'февраль 2024'!$J$6:$J$1413,V$1)</f>
        <v>0</v>
      </c>
      <c r="W192" s="80">
        <f>SUMIFS('февраль 2024'!$G$6:$G$1413,'февраль 2024'!$D$6:$D$1413,$B192,'февраль 2024'!$J$6:$J$1413,W$1)</f>
        <v>0</v>
      </c>
      <c r="X192" s="80">
        <f>SUMIFS('февраль 2024'!$G$6:$G$1413,'февраль 2024'!$D$6:$D$1413,$B192,'февраль 2024'!$J$6:$J$1413,X$1)</f>
        <v>0</v>
      </c>
      <c r="Y192" s="80">
        <f>SUMIFS('февраль 2024'!$G$6:$G$1413,'февраль 2024'!$D$6:$D$1413,$B192,'февраль 2024'!$J$6:$J$1413,Y$1)</f>
        <v>0</v>
      </c>
      <c r="Z192" s="80">
        <f>SUMIFS('февраль 2024'!$G$6:$G$1413,'февраль 2024'!$D$6:$D$1413,$B192,'февраль 2024'!$J$6:$J$1413,Z$1)</f>
        <v>0</v>
      </c>
      <c r="AA192" s="80">
        <f>SUMIFS('февраль 2024'!$G$6:$G$1413,'февраль 2024'!$D$6:$D$1413,$B192,'февраль 2024'!$J$6:$J$1413,AA$1)</f>
        <v>0</v>
      </c>
      <c r="AB192" s="80">
        <f>SUMIFS('февраль 2024'!$G$6:$G$1413,'февраль 2024'!$D$6:$D$1413,$B192,'февраль 2024'!$J$6:$J$1413,AB$1)</f>
        <v>0</v>
      </c>
      <c r="AC192" s="80">
        <f>SUMIFS('февраль 2024'!$G$6:$G$1413,'февраль 2024'!$D$6:$D$1413,$B192,'февраль 2024'!$J$6:$J$1413,AC$1)</f>
        <v>0</v>
      </c>
      <c r="AD192" s="80">
        <f>SUMIFS('февраль 2024'!$G$6:$G$1413,'февраль 2024'!$D$6:$D$1413,$B192,'февраль 2024'!$J$6:$J$1413,AD$1)</f>
        <v>0</v>
      </c>
      <c r="AE192" s="80">
        <f>SUMIFS('февраль 2024'!$G$6:$G$1413,'февраль 2024'!$D$6:$D$1413,$B192,'февраль 2024'!$J$6:$J$1413,AE$1)</f>
        <v>0</v>
      </c>
      <c r="AF192" s="80">
        <f>SUMIFS('февраль 2024'!$G$6:$G$1413,'февраль 2024'!$D$6:$D$1413,$B192,'февраль 2024'!$J$6:$J$1413,AF$1)</f>
        <v>0</v>
      </c>
      <c r="AG192" s="80">
        <f>SUMIFS('февраль 2024'!$G$6:$G$1413,'февраль 2024'!$D$6:$D$1413,$B192,'февраль 2024'!$J$6:$J$1413,AG$1)</f>
        <v>0</v>
      </c>
      <c r="AH192" s="80">
        <f>SUMIFS('февраль 2024'!$G$6:$G$1413,'февраль 2024'!$D$6:$D$1413,$B192,'февраль 2024'!$J$6:$J$1413,AH$1)</f>
        <v>0</v>
      </c>
      <c r="AI192" s="87"/>
    </row>
    <row r="193" spans="2:35" ht="15" hidden="1" customHeight="1" x14ac:dyDescent="0.25">
      <c r="B193" s="89"/>
      <c r="C193" s="88"/>
      <c r="D193" s="80">
        <f>SUMIFS('февраль 2024'!$G$6:$G$1413,'февраль 2024'!$D$6:$D$1413,$B193,'февраль 2024'!$J$6:$J$1413,D$1)</f>
        <v>0</v>
      </c>
      <c r="E193" s="80">
        <f>SUMIFS('февраль 2024'!$G$6:$G$1413,'февраль 2024'!$D$6:$D$1413,$B193,'февраль 2024'!$J$6:$J$1413,E$1)</f>
        <v>0</v>
      </c>
      <c r="F193" s="80">
        <f>SUMIFS('февраль 2024'!$G$6:$G$1413,'февраль 2024'!$D$6:$D$1413,$B193,'февраль 2024'!$J$6:$J$1413,F$1)</f>
        <v>0</v>
      </c>
      <c r="G193" s="80">
        <f>SUMIFS('февраль 2024'!$G$6:$G$1413,'февраль 2024'!$D$6:$D$1413,$B193,'февраль 2024'!$J$6:$J$1413,G$1)</f>
        <v>0</v>
      </c>
      <c r="H193" s="80">
        <f>SUMIFS('февраль 2024'!$G$6:$G$1413,'февраль 2024'!$D$6:$D$1413,$B193,'февраль 2024'!$J$6:$J$1413,H$1)</f>
        <v>0</v>
      </c>
      <c r="I193" s="80">
        <f>SUMIFS('февраль 2024'!$G$6:$G$1413,'февраль 2024'!$D$6:$D$1413,$B193,'февраль 2024'!$J$6:$J$1413,I$1)</f>
        <v>0</v>
      </c>
      <c r="J193" s="80">
        <f>SUMIFS('февраль 2024'!$G$6:$G$1413,'февраль 2024'!$D$6:$D$1413,$B193,'февраль 2024'!$J$6:$J$1413,J$1)</f>
        <v>0</v>
      </c>
      <c r="K193" s="80">
        <f>SUMIFS('февраль 2024'!$G$6:$G$1413,'февраль 2024'!$D$6:$D$1413,$B193,'февраль 2024'!$J$6:$J$1413,K$1)</f>
        <v>0</v>
      </c>
      <c r="L193" s="80">
        <f>SUMIFS('февраль 2024'!$G$6:$G$1413,'февраль 2024'!$D$6:$D$1413,$B193,'февраль 2024'!$J$6:$J$1413,L$1)</f>
        <v>0</v>
      </c>
      <c r="M193" s="80">
        <f>SUMIFS('февраль 2024'!$G$6:$G$1413,'февраль 2024'!$D$6:$D$1413,$B193,'февраль 2024'!$J$6:$J$1413,M$1)</f>
        <v>0</v>
      </c>
      <c r="N193" s="80">
        <f>SUMIFS('февраль 2024'!$G$6:$G$1413,'февраль 2024'!$D$6:$D$1413,$B193,'февраль 2024'!$J$6:$J$1413,N$1)</f>
        <v>0</v>
      </c>
      <c r="O193" s="80">
        <f>SUMIFS('февраль 2024'!$G$6:$G$1413,'февраль 2024'!$D$6:$D$1413,$B193,'февраль 2024'!$J$6:$J$1413,O$1)</f>
        <v>0</v>
      </c>
      <c r="P193" s="80">
        <f>SUMIFS('февраль 2024'!$G$6:$G$1413,'февраль 2024'!$D$6:$D$1413,$B193,'февраль 2024'!$J$6:$J$1413,P$1)</f>
        <v>0</v>
      </c>
      <c r="Q193" s="80">
        <f>SUMIFS('февраль 2024'!$G$6:$G$1413,'февраль 2024'!$D$6:$D$1413,$B193,'февраль 2024'!$J$6:$J$1413,Q$1)</f>
        <v>0</v>
      </c>
      <c r="R193" s="80">
        <f>SUMIFS('февраль 2024'!$G$6:$G$1413,'февраль 2024'!$D$6:$D$1413,$B193,'февраль 2024'!$J$6:$J$1413,R$1)</f>
        <v>0</v>
      </c>
      <c r="S193" s="80">
        <f>SUMIFS('февраль 2024'!$G$6:$G$1413,'февраль 2024'!$D$6:$D$1413,$B193,'февраль 2024'!$J$6:$J$1413,S$1)</f>
        <v>0</v>
      </c>
      <c r="T193" s="80">
        <f>SUMIFS('февраль 2024'!$G$6:$G$1413,'февраль 2024'!$D$6:$D$1413,$B193,'февраль 2024'!$J$6:$J$1413,T$1)</f>
        <v>0</v>
      </c>
      <c r="U193" s="80">
        <f>SUMIFS('февраль 2024'!$G$6:$G$1413,'февраль 2024'!$D$6:$D$1413,$B193,'февраль 2024'!$J$6:$J$1413,U$1)</f>
        <v>0</v>
      </c>
      <c r="V193" s="80">
        <f>SUMIFS('февраль 2024'!$G$6:$G$1413,'февраль 2024'!$D$6:$D$1413,$B193,'февраль 2024'!$J$6:$J$1413,V$1)</f>
        <v>0</v>
      </c>
      <c r="W193" s="80">
        <f>SUMIFS('февраль 2024'!$G$6:$G$1413,'февраль 2024'!$D$6:$D$1413,$B193,'февраль 2024'!$J$6:$J$1413,W$1)</f>
        <v>0</v>
      </c>
      <c r="X193" s="80">
        <f>SUMIFS('февраль 2024'!$G$6:$G$1413,'февраль 2024'!$D$6:$D$1413,$B193,'февраль 2024'!$J$6:$J$1413,X$1)</f>
        <v>0</v>
      </c>
      <c r="Y193" s="80">
        <f>SUMIFS('февраль 2024'!$G$6:$G$1413,'февраль 2024'!$D$6:$D$1413,$B193,'февраль 2024'!$J$6:$J$1413,Y$1)</f>
        <v>0</v>
      </c>
      <c r="Z193" s="80">
        <f>SUMIFS('февраль 2024'!$G$6:$G$1413,'февраль 2024'!$D$6:$D$1413,$B193,'февраль 2024'!$J$6:$J$1413,Z$1)</f>
        <v>0</v>
      </c>
      <c r="AA193" s="80">
        <f>SUMIFS('февраль 2024'!$G$6:$G$1413,'февраль 2024'!$D$6:$D$1413,$B193,'февраль 2024'!$J$6:$J$1413,AA$1)</f>
        <v>0</v>
      </c>
      <c r="AB193" s="80">
        <f>SUMIFS('февраль 2024'!$G$6:$G$1413,'февраль 2024'!$D$6:$D$1413,$B193,'февраль 2024'!$J$6:$J$1413,AB$1)</f>
        <v>0</v>
      </c>
      <c r="AC193" s="80">
        <f>SUMIFS('февраль 2024'!$G$6:$G$1413,'февраль 2024'!$D$6:$D$1413,$B193,'февраль 2024'!$J$6:$J$1413,AC$1)</f>
        <v>0</v>
      </c>
      <c r="AD193" s="80">
        <f>SUMIFS('февраль 2024'!$G$6:$G$1413,'февраль 2024'!$D$6:$D$1413,$B193,'февраль 2024'!$J$6:$J$1413,AD$1)</f>
        <v>0</v>
      </c>
      <c r="AE193" s="80">
        <f>SUMIFS('февраль 2024'!$G$6:$G$1413,'февраль 2024'!$D$6:$D$1413,$B193,'февраль 2024'!$J$6:$J$1413,AE$1)</f>
        <v>0</v>
      </c>
      <c r="AF193" s="80">
        <f>SUMIFS('февраль 2024'!$G$6:$G$1413,'февраль 2024'!$D$6:$D$1413,$B193,'февраль 2024'!$J$6:$J$1413,AF$1)</f>
        <v>0</v>
      </c>
      <c r="AG193" s="80">
        <f>SUMIFS('февраль 2024'!$G$6:$G$1413,'февраль 2024'!$D$6:$D$1413,$B193,'февраль 2024'!$J$6:$J$1413,AG$1)</f>
        <v>0</v>
      </c>
      <c r="AH193" s="80">
        <f>SUMIFS('февраль 2024'!$G$6:$G$1413,'февраль 2024'!$D$6:$D$1413,$B193,'февраль 2024'!$J$6:$J$1413,AH$1)</f>
        <v>0</v>
      </c>
      <c r="AI193" s="87"/>
    </row>
    <row r="194" spans="2:35" ht="15" hidden="1" customHeight="1" x14ac:dyDescent="0.25">
      <c r="B194" s="89"/>
      <c r="C194" s="88"/>
      <c r="D194" s="80">
        <f>SUMIFS('февраль 2024'!$G$6:$G$1413,'февраль 2024'!$D$6:$D$1413,$B194,'февраль 2024'!$J$6:$J$1413,D$1)</f>
        <v>0</v>
      </c>
      <c r="E194" s="80">
        <f>SUMIFS('февраль 2024'!$G$6:$G$1413,'февраль 2024'!$D$6:$D$1413,$B194,'февраль 2024'!$J$6:$J$1413,E$1)</f>
        <v>0</v>
      </c>
      <c r="F194" s="80">
        <f>SUMIFS('февраль 2024'!$G$6:$G$1413,'февраль 2024'!$D$6:$D$1413,$B194,'февраль 2024'!$J$6:$J$1413,F$1)</f>
        <v>0</v>
      </c>
      <c r="G194" s="80">
        <f>SUMIFS('февраль 2024'!$G$6:$G$1413,'февраль 2024'!$D$6:$D$1413,$B194,'февраль 2024'!$J$6:$J$1413,G$1)</f>
        <v>0</v>
      </c>
      <c r="H194" s="80">
        <f>SUMIFS('февраль 2024'!$G$6:$G$1413,'февраль 2024'!$D$6:$D$1413,$B194,'февраль 2024'!$J$6:$J$1413,H$1)</f>
        <v>0</v>
      </c>
      <c r="I194" s="80">
        <f>SUMIFS('февраль 2024'!$G$6:$G$1413,'февраль 2024'!$D$6:$D$1413,$B194,'февраль 2024'!$J$6:$J$1413,I$1)</f>
        <v>0</v>
      </c>
      <c r="J194" s="80">
        <f>SUMIFS('февраль 2024'!$G$6:$G$1413,'февраль 2024'!$D$6:$D$1413,$B194,'февраль 2024'!$J$6:$J$1413,J$1)</f>
        <v>0</v>
      </c>
      <c r="K194" s="80">
        <f>SUMIFS('февраль 2024'!$G$6:$G$1413,'февраль 2024'!$D$6:$D$1413,$B194,'февраль 2024'!$J$6:$J$1413,K$1)</f>
        <v>0</v>
      </c>
      <c r="L194" s="80">
        <f>SUMIFS('февраль 2024'!$G$6:$G$1413,'февраль 2024'!$D$6:$D$1413,$B194,'февраль 2024'!$J$6:$J$1413,L$1)</f>
        <v>0</v>
      </c>
      <c r="M194" s="80">
        <f>SUMIFS('февраль 2024'!$G$6:$G$1413,'февраль 2024'!$D$6:$D$1413,$B194,'февраль 2024'!$J$6:$J$1413,M$1)</f>
        <v>0</v>
      </c>
      <c r="N194" s="80">
        <f>SUMIFS('февраль 2024'!$G$6:$G$1413,'февраль 2024'!$D$6:$D$1413,$B194,'февраль 2024'!$J$6:$J$1413,N$1)</f>
        <v>0</v>
      </c>
      <c r="O194" s="80">
        <f>SUMIFS('февраль 2024'!$G$6:$G$1413,'февраль 2024'!$D$6:$D$1413,$B194,'февраль 2024'!$J$6:$J$1413,O$1)</f>
        <v>0</v>
      </c>
      <c r="P194" s="80">
        <f>SUMIFS('февраль 2024'!$G$6:$G$1413,'февраль 2024'!$D$6:$D$1413,$B194,'февраль 2024'!$J$6:$J$1413,P$1)</f>
        <v>0</v>
      </c>
      <c r="Q194" s="80">
        <f>SUMIFS('февраль 2024'!$G$6:$G$1413,'февраль 2024'!$D$6:$D$1413,$B194,'февраль 2024'!$J$6:$J$1413,Q$1)</f>
        <v>0</v>
      </c>
      <c r="R194" s="80">
        <f>SUMIFS('февраль 2024'!$G$6:$G$1413,'февраль 2024'!$D$6:$D$1413,$B194,'февраль 2024'!$J$6:$J$1413,R$1)</f>
        <v>0</v>
      </c>
      <c r="S194" s="80">
        <f>SUMIFS('февраль 2024'!$G$6:$G$1413,'февраль 2024'!$D$6:$D$1413,$B194,'февраль 2024'!$J$6:$J$1413,S$1)</f>
        <v>0</v>
      </c>
      <c r="T194" s="80">
        <f>SUMIFS('февраль 2024'!$G$6:$G$1413,'февраль 2024'!$D$6:$D$1413,$B194,'февраль 2024'!$J$6:$J$1413,T$1)</f>
        <v>0</v>
      </c>
      <c r="U194" s="80">
        <f>SUMIFS('февраль 2024'!$G$6:$G$1413,'февраль 2024'!$D$6:$D$1413,$B194,'февраль 2024'!$J$6:$J$1413,U$1)</f>
        <v>0</v>
      </c>
      <c r="V194" s="80">
        <f>SUMIFS('февраль 2024'!$G$6:$G$1413,'февраль 2024'!$D$6:$D$1413,$B194,'февраль 2024'!$J$6:$J$1413,V$1)</f>
        <v>0</v>
      </c>
      <c r="W194" s="80">
        <f>SUMIFS('февраль 2024'!$G$6:$G$1413,'февраль 2024'!$D$6:$D$1413,$B194,'февраль 2024'!$J$6:$J$1413,W$1)</f>
        <v>0</v>
      </c>
      <c r="X194" s="80">
        <f>SUMIFS('февраль 2024'!$G$6:$G$1413,'февраль 2024'!$D$6:$D$1413,$B194,'февраль 2024'!$J$6:$J$1413,X$1)</f>
        <v>0</v>
      </c>
      <c r="Y194" s="80">
        <f>SUMIFS('февраль 2024'!$G$6:$G$1413,'февраль 2024'!$D$6:$D$1413,$B194,'февраль 2024'!$J$6:$J$1413,Y$1)</f>
        <v>0</v>
      </c>
      <c r="Z194" s="80">
        <f>SUMIFS('февраль 2024'!$G$6:$G$1413,'февраль 2024'!$D$6:$D$1413,$B194,'февраль 2024'!$J$6:$J$1413,Z$1)</f>
        <v>0</v>
      </c>
      <c r="AA194" s="80">
        <f>SUMIFS('февраль 2024'!$G$6:$G$1413,'февраль 2024'!$D$6:$D$1413,$B194,'февраль 2024'!$J$6:$J$1413,AA$1)</f>
        <v>0</v>
      </c>
      <c r="AB194" s="80">
        <f>SUMIFS('февраль 2024'!$G$6:$G$1413,'февраль 2024'!$D$6:$D$1413,$B194,'февраль 2024'!$J$6:$J$1413,AB$1)</f>
        <v>0</v>
      </c>
      <c r="AC194" s="80">
        <f>SUMIFS('февраль 2024'!$G$6:$G$1413,'февраль 2024'!$D$6:$D$1413,$B194,'февраль 2024'!$J$6:$J$1413,AC$1)</f>
        <v>0</v>
      </c>
      <c r="AD194" s="80">
        <f>SUMIFS('февраль 2024'!$G$6:$G$1413,'февраль 2024'!$D$6:$D$1413,$B194,'февраль 2024'!$J$6:$J$1413,AD$1)</f>
        <v>0</v>
      </c>
      <c r="AE194" s="80">
        <f>SUMIFS('февраль 2024'!$G$6:$G$1413,'февраль 2024'!$D$6:$D$1413,$B194,'февраль 2024'!$J$6:$J$1413,AE$1)</f>
        <v>0</v>
      </c>
      <c r="AF194" s="80">
        <f>SUMIFS('февраль 2024'!$G$6:$G$1413,'февраль 2024'!$D$6:$D$1413,$B194,'февраль 2024'!$J$6:$J$1413,AF$1)</f>
        <v>0</v>
      </c>
      <c r="AG194" s="80">
        <f>SUMIFS('февраль 2024'!$G$6:$G$1413,'февраль 2024'!$D$6:$D$1413,$B194,'февраль 2024'!$J$6:$J$1413,AG$1)</f>
        <v>0</v>
      </c>
      <c r="AH194" s="80">
        <f>SUMIFS('февраль 2024'!$G$6:$G$1413,'февраль 2024'!$D$6:$D$1413,$B194,'февраль 2024'!$J$6:$J$1413,AH$1)</f>
        <v>0</v>
      </c>
      <c r="AI194" s="87"/>
    </row>
    <row r="195" spans="2:35" ht="15" hidden="1" customHeight="1" x14ac:dyDescent="0.25">
      <c r="B195" s="89"/>
      <c r="C195" s="88"/>
      <c r="D195" s="80">
        <f>SUMIFS('февраль 2024'!$G$6:$G$1413,'февраль 2024'!$D$6:$D$1413,$B195,'февраль 2024'!$J$6:$J$1413,D$1)</f>
        <v>0</v>
      </c>
      <c r="E195" s="80">
        <f>SUMIFS('февраль 2024'!$G$6:$G$1413,'февраль 2024'!$D$6:$D$1413,$B195,'февраль 2024'!$J$6:$J$1413,E$1)</f>
        <v>0</v>
      </c>
      <c r="F195" s="80">
        <f>SUMIFS('февраль 2024'!$G$6:$G$1413,'февраль 2024'!$D$6:$D$1413,$B195,'февраль 2024'!$J$6:$J$1413,F$1)</f>
        <v>0</v>
      </c>
      <c r="G195" s="80">
        <f>SUMIFS('февраль 2024'!$G$6:$G$1413,'февраль 2024'!$D$6:$D$1413,$B195,'февраль 2024'!$J$6:$J$1413,G$1)</f>
        <v>0</v>
      </c>
      <c r="H195" s="80">
        <f>SUMIFS('февраль 2024'!$G$6:$G$1413,'февраль 2024'!$D$6:$D$1413,$B195,'февраль 2024'!$J$6:$J$1413,H$1)</f>
        <v>0</v>
      </c>
      <c r="I195" s="80">
        <f>SUMIFS('февраль 2024'!$G$6:$G$1413,'февраль 2024'!$D$6:$D$1413,$B195,'февраль 2024'!$J$6:$J$1413,I$1)</f>
        <v>0</v>
      </c>
      <c r="J195" s="80">
        <f>SUMIFS('февраль 2024'!$G$6:$G$1413,'февраль 2024'!$D$6:$D$1413,$B195,'февраль 2024'!$J$6:$J$1413,J$1)</f>
        <v>0</v>
      </c>
      <c r="K195" s="80">
        <f>SUMIFS('февраль 2024'!$G$6:$G$1413,'февраль 2024'!$D$6:$D$1413,$B195,'февраль 2024'!$J$6:$J$1413,K$1)</f>
        <v>0</v>
      </c>
      <c r="L195" s="80">
        <f>SUMIFS('февраль 2024'!$G$6:$G$1413,'февраль 2024'!$D$6:$D$1413,$B195,'февраль 2024'!$J$6:$J$1413,L$1)</f>
        <v>0</v>
      </c>
      <c r="M195" s="80">
        <f>SUMIFS('февраль 2024'!$G$6:$G$1413,'февраль 2024'!$D$6:$D$1413,$B195,'февраль 2024'!$J$6:$J$1413,M$1)</f>
        <v>0</v>
      </c>
      <c r="N195" s="80">
        <f>SUMIFS('февраль 2024'!$G$6:$G$1413,'февраль 2024'!$D$6:$D$1413,$B195,'февраль 2024'!$J$6:$J$1413,N$1)</f>
        <v>0</v>
      </c>
      <c r="O195" s="80">
        <f>SUMIFS('февраль 2024'!$G$6:$G$1413,'февраль 2024'!$D$6:$D$1413,$B195,'февраль 2024'!$J$6:$J$1413,O$1)</f>
        <v>0</v>
      </c>
      <c r="P195" s="80">
        <f>SUMIFS('февраль 2024'!$G$6:$G$1413,'февраль 2024'!$D$6:$D$1413,$B195,'февраль 2024'!$J$6:$J$1413,P$1)</f>
        <v>0</v>
      </c>
      <c r="Q195" s="80">
        <f>SUMIFS('февраль 2024'!$G$6:$G$1413,'февраль 2024'!$D$6:$D$1413,$B195,'февраль 2024'!$J$6:$J$1413,Q$1)</f>
        <v>0</v>
      </c>
      <c r="R195" s="80">
        <f>SUMIFS('февраль 2024'!$G$6:$G$1413,'февраль 2024'!$D$6:$D$1413,$B195,'февраль 2024'!$J$6:$J$1413,R$1)</f>
        <v>0</v>
      </c>
      <c r="S195" s="80">
        <f>SUMIFS('февраль 2024'!$G$6:$G$1413,'февраль 2024'!$D$6:$D$1413,$B195,'февраль 2024'!$J$6:$J$1413,S$1)</f>
        <v>0</v>
      </c>
      <c r="T195" s="80">
        <f>SUMIFS('февраль 2024'!$G$6:$G$1413,'февраль 2024'!$D$6:$D$1413,$B195,'февраль 2024'!$J$6:$J$1413,T$1)</f>
        <v>0</v>
      </c>
      <c r="U195" s="80">
        <f>SUMIFS('февраль 2024'!$G$6:$G$1413,'февраль 2024'!$D$6:$D$1413,$B195,'февраль 2024'!$J$6:$J$1413,U$1)</f>
        <v>0</v>
      </c>
      <c r="V195" s="80">
        <f>SUMIFS('февраль 2024'!$G$6:$G$1413,'февраль 2024'!$D$6:$D$1413,$B195,'февраль 2024'!$J$6:$J$1413,V$1)</f>
        <v>0</v>
      </c>
      <c r="W195" s="80">
        <f>SUMIFS('февраль 2024'!$G$6:$G$1413,'февраль 2024'!$D$6:$D$1413,$B195,'февраль 2024'!$J$6:$J$1413,W$1)</f>
        <v>0</v>
      </c>
      <c r="X195" s="80">
        <f>SUMIFS('февраль 2024'!$G$6:$G$1413,'февраль 2024'!$D$6:$D$1413,$B195,'февраль 2024'!$J$6:$J$1413,X$1)</f>
        <v>0</v>
      </c>
      <c r="Y195" s="80">
        <f>SUMIFS('февраль 2024'!$G$6:$G$1413,'февраль 2024'!$D$6:$D$1413,$B195,'февраль 2024'!$J$6:$J$1413,Y$1)</f>
        <v>0</v>
      </c>
      <c r="Z195" s="80">
        <f>SUMIFS('февраль 2024'!$G$6:$G$1413,'февраль 2024'!$D$6:$D$1413,$B195,'февраль 2024'!$J$6:$J$1413,Z$1)</f>
        <v>0</v>
      </c>
      <c r="AA195" s="80">
        <f>SUMIFS('февраль 2024'!$G$6:$G$1413,'февраль 2024'!$D$6:$D$1413,$B195,'февраль 2024'!$J$6:$J$1413,AA$1)</f>
        <v>0</v>
      </c>
      <c r="AB195" s="80">
        <f>SUMIFS('февраль 2024'!$G$6:$G$1413,'февраль 2024'!$D$6:$D$1413,$B195,'февраль 2024'!$J$6:$J$1413,AB$1)</f>
        <v>0</v>
      </c>
      <c r="AC195" s="80">
        <f>SUMIFS('февраль 2024'!$G$6:$G$1413,'февраль 2024'!$D$6:$D$1413,$B195,'февраль 2024'!$J$6:$J$1413,AC$1)</f>
        <v>0</v>
      </c>
      <c r="AD195" s="80">
        <f>SUMIFS('февраль 2024'!$G$6:$G$1413,'февраль 2024'!$D$6:$D$1413,$B195,'февраль 2024'!$J$6:$J$1413,AD$1)</f>
        <v>0</v>
      </c>
      <c r="AE195" s="80">
        <f>SUMIFS('февраль 2024'!$G$6:$G$1413,'февраль 2024'!$D$6:$D$1413,$B195,'февраль 2024'!$J$6:$J$1413,AE$1)</f>
        <v>0</v>
      </c>
      <c r="AF195" s="80">
        <f>SUMIFS('февраль 2024'!$G$6:$G$1413,'февраль 2024'!$D$6:$D$1413,$B195,'февраль 2024'!$J$6:$J$1413,AF$1)</f>
        <v>0</v>
      </c>
      <c r="AG195" s="80">
        <f>SUMIFS('февраль 2024'!$G$6:$G$1413,'февраль 2024'!$D$6:$D$1413,$B195,'февраль 2024'!$J$6:$J$1413,AG$1)</f>
        <v>0</v>
      </c>
      <c r="AH195" s="80">
        <f>SUMIFS('февраль 2024'!$G$6:$G$1413,'февраль 2024'!$D$6:$D$1413,$B195,'февраль 2024'!$J$6:$J$1413,AH$1)</f>
        <v>0</v>
      </c>
      <c r="AI195" s="87"/>
    </row>
    <row r="196" spans="2:35" ht="15" hidden="1" customHeight="1" x14ac:dyDescent="0.25">
      <c r="B196" s="89"/>
      <c r="C196" s="88"/>
      <c r="D196" s="80">
        <f>SUMIFS('февраль 2024'!$G$6:$G$1413,'февраль 2024'!$D$6:$D$1413,$B196,'февраль 2024'!$J$6:$J$1413,D$1)</f>
        <v>0</v>
      </c>
      <c r="E196" s="80">
        <f>SUMIFS('февраль 2024'!$G$6:$G$1413,'февраль 2024'!$D$6:$D$1413,$B196,'февраль 2024'!$J$6:$J$1413,E$1)</f>
        <v>0</v>
      </c>
      <c r="F196" s="80">
        <f>SUMIFS('февраль 2024'!$G$6:$G$1413,'февраль 2024'!$D$6:$D$1413,$B196,'февраль 2024'!$J$6:$J$1413,F$1)</f>
        <v>0</v>
      </c>
      <c r="G196" s="80">
        <f>SUMIFS('февраль 2024'!$G$6:$G$1413,'февраль 2024'!$D$6:$D$1413,$B196,'февраль 2024'!$J$6:$J$1413,G$1)</f>
        <v>0</v>
      </c>
      <c r="H196" s="80">
        <f>SUMIFS('февраль 2024'!$G$6:$G$1413,'февраль 2024'!$D$6:$D$1413,$B196,'февраль 2024'!$J$6:$J$1413,H$1)</f>
        <v>0</v>
      </c>
      <c r="I196" s="80">
        <f>SUMIFS('февраль 2024'!$G$6:$G$1413,'февраль 2024'!$D$6:$D$1413,$B196,'февраль 2024'!$J$6:$J$1413,I$1)</f>
        <v>0</v>
      </c>
      <c r="J196" s="80">
        <f>SUMIFS('февраль 2024'!$G$6:$G$1413,'февраль 2024'!$D$6:$D$1413,$B196,'февраль 2024'!$J$6:$J$1413,J$1)</f>
        <v>0</v>
      </c>
      <c r="K196" s="80">
        <f>SUMIFS('февраль 2024'!$G$6:$G$1413,'февраль 2024'!$D$6:$D$1413,$B196,'февраль 2024'!$J$6:$J$1413,K$1)</f>
        <v>0</v>
      </c>
      <c r="L196" s="80">
        <f>SUMIFS('февраль 2024'!$G$6:$G$1413,'февраль 2024'!$D$6:$D$1413,$B196,'февраль 2024'!$J$6:$J$1413,L$1)</f>
        <v>0</v>
      </c>
      <c r="M196" s="80">
        <f>SUMIFS('февраль 2024'!$G$6:$G$1413,'февраль 2024'!$D$6:$D$1413,$B196,'февраль 2024'!$J$6:$J$1413,M$1)</f>
        <v>0</v>
      </c>
      <c r="N196" s="80">
        <f>SUMIFS('февраль 2024'!$G$6:$G$1413,'февраль 2024'!$D$6:$D$1413,$B196,'февраль 2024'!$J$6:$J$1413,N$1)</f>
        <v>0</v>
      </c>
      <c r="O196" s="80">
        <f>SUMIFS('февраль 2024'!$G$6:$G$1413,'февраль 2024'!$D$6:$D$1413,$B196,'февраль 2024'!$J$6:$J$1413,O$1)</f>
        <v>0</v>
      </c>
      <c r="P196" s="80">
        <f>SUMIFS('февраль 2024'!$G$6:$G$1413,'февраль 2024'!$D$6:$D$1413,$B196,'февраль 2024'!$J$6:$J$1413,P$1)</f>
        <v>0</v>
      </c>
      <c r="Q196" s="80">
        <f>SUMIFS('февраль 2024'!$G$6:$G$1413,'февраль 2024'!$D$6:$D$1413,$B196,'февраль 2024'!$J$6:$J$1413,Q$1)</f>
        <v>0</v>
      </c>
      <c r="R196" s="80">
        <f>SUMIFS('февраль 2024'!$G$6:$G$1413,'февраль 2024'!$D$6:$D$1413,$B196,'февраль 2024'!$J$6:$J$1413,R$1)</f>
        <v>0</v>
      </c>
      <c r="S196" s="80">
        <f>SUMIFS('февраль 2024'!$G$6:$G$1413,'февраль 2024'!$D$6:$D$1413,$B196,'февраль 2024'!$J$6:$J$1413,S$1)</f>
        <v>0</v>
      </c>
      <c r="T196" s="80">
        <f>SUMIFS('февраль 2024'!$G$6:$G$1413,'февраль 2024'!$D$6:$D$1413,$B196,'февраль 2024'!$J$6:$J$1413,T$1)</f>
        <v>0</v>
      </c>
      <c r="U196" s="80">
        <f>SUMIFS('февраль 2024'!$G$6:$G$1413,'февраль 2024'!$D$6:$D$1413,$B196,'февраль 2024'!$J$6:$J$1413,U$1)</f>
        <v>0</v>
      </c>
      <c r="V196" s="80">
        <f>SUMIFS('февраль 2024'!$G$6:$G$1413,'февраль 2024'!$D$6:$D$1413,$B196,'февраль 2024'!$J$6:$J$1413,V$1)</f>
        <v>0</v>
      </c>
      <c r="W196" s="80">
        <f>SUMIFS('февраль 2024'!$G$6:$G$1413,'февраль 2024'!$D$6:$D$1413,$B196,'февраль 2024'!$J$6:$J$1413,W$1)</f>
        <v>0</v>
      </c>
      <c r="X196" s="80">
        <f>SUMIFS('февраль 2024'!$G$6:$G$1413,'февраль 2024'!$D$6:$D$1413,$B196,'февраль 2024'!$J$6:$J$1413,X$1)</f>
        <v>0</v>
      </c>
      <c r="Y196" s="80">
        <f>SUMIFS('февраль 2024'!$G$6:$G$1413,'февраль 2024'!$D$6:$D$1413,$B196,'февраль 2024'!$J$6:$J$1413,Y$1)</f>
        <v>0</v>
      </c>
      <c r="Z196" s="80">
        <f>SUMIFS('февраль 2024'!$G$6:$G$1413,'февраль 2024'!$D$6:$D$1413,$B196,'февраль 2024'!$J$6:$J$1413,Z$1)</f>
        <v>0</v>
      </c>
      <c r="AA196" s="80">
        <f>SUMIFS('февраль 2024'!$G$6:$G$1413,'февраль 2024'!$D$6:$D$1413,$B196,'февраль 2024'!$J$6:$J$1413,AA$1)</f>
        <v>0</v>
      </c>
      <c r="AB196" s="80">
        <f>SUMIFS('февраль 2024'!$G$6:$G$1413,'февраль 2024'!$D$6:$D$1413,$B196,'февраль 2024'!$J$6:$J$1413,AB$1)</f>
        <v>0</v>
      </c>
      <c r="AC196" s="80">
        <f>SUMIFS('февраль 2024'!$G$6:$G$1413,'февраль 2024'!$D$6:$D$1413,$B196,'февраль 2024'!$J$6:$J$1413,AC$1)</f>
        <v>0</v>
      </c>
      <c r="AD196" s="80">
        <f>SUMIFS('февраль 2024'!$G$6:$G$1413,'февраль 2024'!$D$6:$D$1413,$B196,'февраль 2024'!$J$6:$J$1413,AD$1)</f>
        <v>0</v>
      </c>
      <c r="AE196" s="80">
        <f>SUMIFS('февраль 2024'!$G$6:$G$1413,'февраль 2024'!$D$6:$D$1413,$B196,'февраль 2024'!$J$6:$J$1413,AE$1)</f>
        <v>0</v>
      </c>
      <c r="AF196" s="80">
        <f>SUMIFS('февраль 2024'!$G$6:$G$1413,'февраль 2024'!$D$6:$D$1413,$B196,'февраль 2024'!$J$6:$J$1413,AF$1)</f>
        <v>0</v>
      </c>
      <c r="AG196" s="80">
        <f>SUMIFS('февраль 2024'!$G$6:$G$1413,'февраль 2024'!$D$6:$D$1413,$B196,'февраль 2024'!$J$6:$J$1413,AG$1)</f>
        <v>0</v>
      </c>
      <c r="AH196" s="80">
        <f>SUMIFS('февраль 2024'!$G$6:$G$1413,'февраль 2024'!$D$6:$D$1413,$B196,'февраль 2024'!$J$6:$J$1413,AH$1)</f>
        <v>0</v>
      </c>
      <c r="AI196" s="87"/>
    </row>
    <row r="197" spans="2:35" ht="15" hidden="1" customHeight="1" x14ac:dyDescent="0.25">
      <c r="B197" s="89"/>
      <c r="C197" s="88"/>
      <c r="D197" s="80">
        <f>SUMIFS('февраль 2024'!$G$6:$G$1413,'февраль 2024'!$D$6:$D$1413,$B197,'февраль 2024'!$J$6:$J$1413,D$1)</f>
        <v>0</v>
      </c>
      <c r="E197" s="80">
        <f>SUMIFS('февраль 2024'!$G$6:$G$1413,'февраль 2024'!$D$6:$D$1413,$B197,'февраль 2024'!$J$6:$J$1413,E$1)</f>
        <v>0</v>
      </c>
      <c r="F197" s="80">
        <f>SUMIFS('февраль 2024'!$G$6:$G$1413,'февраль 2024'!$D$6:$D$1413,$B197,'февраль 2024'!$J$6:$J$1413,F$1)</f>
        <v>0</v>
      </c>
      <c r="G197" s="80">
        <f>SUMIFS('февраль 2024'!$G$6:$G$1413,'февраль 2024'!$D$6:$D$1413,$B197,'февраль 2024'!$J$6:$J$1413,G$1)</f>
        <v>0</v>
      </c>
      <c r="H197" s="80">
        <f>SUMIFS('февраль 2024'!$G$6:$G$1413,'февраль 2024'!$D$6:$D$1413,$B197,'февраль 2024'!$J$6:$J$1413,H$1)</f>
        <v>0</v>
      </c>
      <c r="I197" s="80">
        <f>SUMIFS('февраль 2024'!$G$6:$G$1413,'февраль 2024'!$D$6:$D$1413,$B197,'февраль 2024'!$J$6:$J$1413,I$1)</f>
        <v>0</v>
      </c>
      <c r="J197" s="80">
        <f>SUMIFS('февраль 2024'!$G$6:$G$1413,'февраль 2024'!$D$6:$D$1413,$B197,'февраль 2024'!$J$6:$J$1413,J$1)</f>
        <v>0</v>
      </c>
      <c r="K197" s="80">
        <f>SUMIFS('февраль 2024'!$G$6:$G$1413,'февраль 2024'!$D$6:$D$1413,$B197,'февраль 2024'!$J$6:$J$1413,K$1)</f>
        <v>0</v>
      </c>
      <c r="L197" s="80">
        <f>SUMIFS('февраль 2024'!$G$6:$G$1413,'февраль 2024'!$D$6:$D$1413,$B197,'февраль 2024'!$J$6:$J$1413,L$1)</f>
        <v>0</v>
      </c>
      <c r="M197" s="80">
        <f>SUMIFS('февраль 2024'!$G$6:$G$1413,'февраль 2024'!$D$6:$D$1413,$B197,'февраль 2024'!$J$6:$J$1413,M$1)</f>
        <v>0</v>
      </c>
      <c r="N197" s="80">
        <f>SUMIFS('февраль 2024'!$G$6:$G$1413,'февраль 2024'!$D$6:$D$1413,$B197,'февраль 2024'!$J$6:$J$1413,N$1)</f>
        <v>0</v>
      </c>
      <c r="O197" s="80">
        <f>SUMIFS('февраль 2024'!$G$6:$G$1413,'февраль 2024'!$D$6:$D$1413,$B197,'февраль 2024'!$J$6:$J$1413,O$1)</f>
        <v>0</v>
      </c>
      <c r="P197" s="80">
        <f>SUMIFS('февраль 2024'!$G$6:$G$1413,'февраль 2024'!$D$6:$D$1413,$B197,'февраль 2024'!$J$6:$J$1413,P$1)</f>
        <v>0</v>
      </c>
      <c r="Q197" s="80">
        <f>SUMIFS('февраль 2024'!$G$6:$G$1413,'февраль 2024'!$D$6:$D$1413,$B197,'февраль 2024'!$J$6:$J$1413,Q$1)</f>
        <v>0</v>
      </c>
      <c r="R197" s="80">
        <f>SUMIFS('февраль 2024'!$G$6:$G$1413,'февраль 2024'!$D$6:$D$1413,$B197,'февраль 2024'!$J$6:$J$1413,R$1)</f>
        <v>0</v>
      </c>
      <c r="S197" s="80">
        <f>SUMIFS('февраль 2024'!$G$6:$G$1413,'февраль 2024'!$D$6:$D$1413,$B197,'февраль 2024'!$J$6:$J$1413,S$1)</f>
        <v>0</v>
      </c>
      <c r="T197" s="80">
        <f>SUMIFS('февраль 2024'!$G$6:$G$1413,'февраль 2024'!$D$6:$D$1413,$B197,'февраль 2024'!$J$6:$J$1413,T$1)</f>
        <v>0</v>
      </c>
      <c r="U197" s="80">
        <f>SUMIFS('февраль 2024'!$G$6:$G$1413,'февраль 2024'!$D$6:$D$1413,$B197,'февраль 2024'!$J$6:$J$1413,U$1)</f>
        <v>0</v>
      </c>
      <c r="V197" s="80">
        <f>SUMIFS('февраль 2024'!$G$6:$G$1413,'февраль 2024'!$D$6:$D$1413,$B197,'февраль 2024'!$J$6:$J$1413,V$1)</f>
        <v>0</v>
      </c>
      <c r="W197" s="80">
        <f>SUMIFS('февраль 2024'!$G$6:$G$1413,'февраль 2024'!$D$6:$D$1413,$B197,'февраль 2024'!$J$6:$J$1413,W$1)</f>
        <v>0</v>
      </c>
      <c r="X197" s="80">
        <f>SUMIFS('февраль 2024'!$G$6:$G$1413,'февраль 2024'!$D$6:$D$1413,$B197,'февраль 2024'!$J$6:$J$1413,X$1)</f>
        <v>0</v>
      </c>
      <c r="Y197" s="80">
        <f>SUMIFS('февраль 2024'!$G$6:$G$1413,'февраль 2024'!$D$6:$D$1413,$B197,'февраль 2024'!$J$6:$J$1413,Y$1)</f>
        <v>0</v>
      </c>
      <c r="Z197" s="80">
        <f>SUMIFS('февраль 2024'!$G$6:$G$1413,'февраль 2024'!$D$6:$D$1413,$B197,'февраль 2024'!$J$6:$J$1413,Z$1)</f>
        <v>0</v>
      </c>
      <c r="AA197" s="80">
        <f>SUMIFS('февраль 2024'!$G$6:$G$1413,'февраль 2024'!$D$6:$D$1413,$B197,'февраль 2024'!$J$6:$J$1413,AA$1)</f>
        <v>0</v>
      </c>
      <c r="AB197" s="80">
        <f>SUMIFS('февраль 2024'!$G$6:$G$1413,'февраль 2024'!$D$6:$D$1413,$B197,'февраль 2024'!$J$6:$J$1413,AB$1)</f>
        <v>0</v>
      </c>
      <c r="AC197" s="80">
        <f>SUMIFS('февраль 2024'!$G$6:$G$1413,'февраль 2024'!$D$6:$D$1413,$B197,'февраль 2024'!$J$6:$J$1413,AC$1)</f>
        <v>0</v>
      </c>
      <c r="AD197" s="80">
        <f>SUMIFS('февраль 2024'!$G$6:$G$1413,'февраль 2024'!$D$6:$D$1413,$B197,'февраль 2024'!$J$6:$J$1413,AD$1)</f>
        <v>0</v>
      </c>
      <c r="AE197" s="80">
        <f>SUMIFS('февраль 2024'!$G$6:$G$1413,'февраль 2024'!$D$6:$D$1413,$B197,'февраль 2024'!$J$6:$J$1413,AE$1)</f>
        <v>0</v>
      </c>
      <c r="AF197" s="80">
        <f>SUMIFS('февраль 2024'!$G$6:$G$1413,'февраль 2024'!$D$6:$D$1413,$B197,'февраль 2024'!$J$6:$J$1413,AF$1)</f>
        <v>0</v>
      </c>
      <c r="AG197" s="80">
        <f>SUMIFS('февраль 2024'!$G$6:$G$1413,'февраль 2024'!$D$6:$D$1413,$B197,'февраль 2024'!$J$6:$J$1413,AG$1)</f>
        <v>0</v>
      </c>
      <c r="AH197" s="80">
        <f>SUMIFS('февраль 2024'!$G$6:$G$1413,'февраль 2024'!$D$6:$D$1413,$B197,'февраль 2024'!$J$6:$J$1413,AH$1)</f>
        <v>0</v>
      </c>
      <c r="AI197" s="87"/>
    </row>
    <row r="198" spans="2:35" ht="15" hidden="1" customHeight="1" x14ac:dyDescent="0.25">
      <c r="B198" s="89"/>
      <c r="C198" s="88"/>
      <c r="D198" s="80">
        <f>SUMIFS('февраль 2024'!$G$6:$G$1413,'февраль 2024'!$D$6:$D$1413,$B198,'февраль 2024'!$J$6:$J$1413,D$1)</f>
        <v>0</v>
      </c>
      <c r="E198" s="80">
        <f>SUMIFS('февраль 2024'!$G$6:$G$1413,'февраль 2024'!$D$6:$D$1413,$B198,'февраль 2024'!$J$6:$J$1413,E$1)</f>
        <v>0</v>
      </c>
      <c r="F198" s="80">
        <f>SUMIFS('февраль 2024'!$G$6:$G$1413,'февраль 2024'!$D$6:$D$1413,$B198,'февраль 2024'!$J$6:$J$1413,F$1)</f>
        <v>0</v>
      </c>
      <c r="G198" s="80">
        <f>SUMIFS('февраль 2024'!$G$6:$G$1413,'февраль 2024'!$D$6:$D$1413,$B198,'февраль 2024'!$J$6:$J$1413,G$1)</f>
        <v>0</v>
      </c>
      <c r="H198" s="80">
        <f>SUMIFS('февраль 2024'!$G$6:$G$1413,'февраль 2024'!$D$6:$D$1413,$B198,'февраль 2024'!$J$6:$J$1413,H$1)</f>
        <v>0</v>
      </c>
      <c r="I198" s="80">
        <f>SUMIFS('февраль 2024'!$G$6:$G$1413,'февраль 2024'!$D$6:$D$1413,$B198,'февраль 2024'!$J$6:$J$1413,I$1)</f>
        <v>0</v>
      </c>
      <c r="J198" s="80">
        <f>SUMIFS('февраль 2024'!$G$6:$G$1413,'февраль 2024'!$D$6:$D$1413,$B198,'февраль 2024'!$J$6:$J$1413,J$1)</f>
        <v>0</v>
      </c>
      <c r="K198" s="80">
        <f>SUMIFS('февраль 2024'!$G$6:$G$1413,'февраль 2024'!$D$6:$D$1413,$B198,'февраль 2024'!$J$6:$J$1413,K$1)</f>
        <v>0</v>
      </c>
      <c r="L198" s="80">
        <f>SUMIFS('февраль 2024'!$G$6:$G$1413,'февраль 2024'!$D$6:$D$1413,$B198,'февраль 2024'!$J$6:$J$1413,L$1)</f>
        <v>0</v>
      </c>
      <c r="M198" s="80">
        <f>SUMIFS('февраль 2024'!$G$6:$G$1413,'февраль 2024'!$D$6:$D$1413,$B198,'февраль 2024'!$J$6:$J$1413,M$1)</f>
        <v>0</v>
      </c>
      <c r="N198" s="80">
        <f>SUMIFS('февраль 2024'!$G$6:$G$1413,'февраль 2024'!$D$6:$D$1413,$B198,'февраль 2024'!$J$6:$J$1413,N$1)</f>
        <v>0</v>
      </c>
      <c r="O198" s="80">
        <f>SUMIFS('февраль 2024'!$G$6:$G$1413,'февраль 2024'!$D$6:$D$1413,$B198,'февраль 2024'!$J$6:$J$1413,O$1)</f>
        <v>0</v>
      </c>
      <c r="P198" s="80">
        <f>SUMIFS('февраль 2024'!$G$6:$G$1413,'февраль 2024'!$D$6:$D$1413,$B198,'февраль 2024'!$J$6:$J$1413,P$1)</f>
        <v>0</v>
      </c>
      <c r="Q198" s="80">
        <f>SUMIFS('февраль 2024'!$G$6:$G$1413,'февраль 2024'!$D$6:$D$1413,$B198,'февраль 2024'!$J$6:$J$1413,Q$1)</f>
        <v>0</v>
      </c>
      <c r="R198" s="80">
        <f>SUMIFS('февраль 2024'!$G$6:$G$1413,'февраль 2024'!$D$6:$D$1413,$B198,'февраль 2024'!$J$6:$J$1413,R$1)</f>
        <v>0</v>
      </c>
      <c r="S198" s="80">
        <f>SUMIFS('февраль 2024'!$G$6:$G$1413,'февраль 2024'!$D$6:$D$1413,$B198,'февраль 2024'!$J$6:$J$1413,S$1)</f>
        <v>0</v>
      </c>
      <c r="T198" s="80">
        <f>SUMIFS('февраль 2024'!$G$6:$G$1413,'февраль 2024'!$D$6:$D$1413,$B198,'февраль 2024'!$J$6:$J$1413,T$1)</f>
        <v>0</v>
      </c>
      <c r="U198" s="80">
        <f>SUMIFS('февраль 2024'!$G$6:$G$1413,'февраль 2024'!$D$6:$D$1413,$B198,'февраль 2024'!$J$6:$J$1413,U$1)</f>
        <v>0</v>
      </c>
      <c r="V198" s="80">
        <f>SUMIFS('февраль 2024'!$G$6:$G$1413,'февраль 2024'!$D$6:$D$1413,$B198,'февраль 2024'!$J$6:$J$1413,V$1)</f>
        <v>0</v>
      </c>
      <c r="W198" s="80">
        <f>SUMIFS('февраль 2024'!$G$6:$G$1413,'февраль 2024'!$D$6:$D$1413,$B198,'февраль 2024'!$J$6:$J$1413,W$1)</f>
        <v>0</v>
      </c>
      <c r="X198" s="80">
        <f>SUMIFS('февраль 2024'!$G$6:$G$1413,'февраль 2024'!$D$6:$D$1413,$B198,'февраль 2024'!$J$6:$J$1413,X$1)</f>
        <v>0</v>
      </c>
      <c r="Y198" s="80">
        <f>SUMIFS('февраль 2024'!$G$6:$G$1413,'февраль 2024'!$D$6:$D$1413,$B198,'февраль 2024'!$J$6:$J$1413,Y$1)</f>
        <v>0</v>
      </c>
      <c r="Z198" s="80">
        <f>SUMIFS('февраль 2024'!$G$6:$G$1413,'февраль 2024'!$D$6:$D$1413,$B198,'февраль 2024'!$J$6:$J$1413,Z$1)</f>
        <v>0</v>
      </c>
      <c r="AA198" s="80">
        <f>SUMIFS('февраль 2024'!$G$6:$G$1413,'февраль 2024'!$D$6:$D$1413,$B198,'февраль 2024'!$J$6:$J$1413,AA$1)</f>
        <v>0</v>
      </c>
      <c r="AB198" s="80">
        <f>SUMIFS('февраль 2024'!$G$6:$G$1413,'февраль 2024'!$D$6:$D$1413,$B198,'февраль 2024'!$J$6:$J$1413,AB$1)</f>
        <v>0</v>
      </c>
      <c r="AC198" s="80">
        <f>SUMIFS('февраль 2024'!$G$6:$G$1413,'февраль 2024'!$D$6:$D$1413,$B198,'февраль 2024'!$J$6:$J$1413,AC$1)</f>
        <v>0</v>
      </c>
      <c r="AD198" s="80">
        <f>SUMIFS('февраль 2024'!$G$6:$G$1413,'февраль 2024'!$D$6:$D$1413,$B198,'февраль 2024'!$J$6:$J$1413,AD$1)</f>
        <v>0</v>
      </c>
      <c r="AE198" s="80">
        <f>SUMIFS('февраль 2024'!$G$6:$G$1413,'февраль 2024'!$D$6:$D$1413,$B198,'февраль 2024'!$J$6:$J$1413,AE$1)</f>
        <v>0</v>
      </c>
      <c r="AF198" s="80">
        <f>SUMIFS('февраль 2024'!$G$6:$G$1413,'февраль 2024'!$D$6:$D$1413,$B198,'февраль 2024'!$J$6:$J$1413,AF$1)</f>
        <v>0</v>
      </c>
      <c r="AG198" s="80">
        <f>SUMIFS('февраль 2024'!$G$6:$G$1413,'февраль 2024'!$D$6:$D$1413,$B198,'февраль 2024'!$J$6:$J$1413,AG$1)</f>
        <v>0</v>
      </c>
      <c r="AH198" s="80">
        <f>SUMIFS('февраль 2024'!$G$6:$G$1413,'февраль 2024'!$D$6:$D$1413,$B198,'февраль 2024'!$J$6:$J$1413,AH$1)</f>
        <v>0</v>
      </c>
      <c r="AI198" s="87"/>
    </row>
    <row r="199" spans="2:35" ht="15" hidden="1" customHeight="1" x14ac:dyDescent="0.25">
      <c r="B199" s="89"/>
      <c r="C199" s="88"/>
      <c r="D199" s="80">
        <f>SUMIFS('февраль 2024'!$G$6:$G$1413,'февраль 2024'!$D$6:$D$1413,$B199,'февраль 2024'!$J$6:$J$1413,D$1)</f>
        <v>0</v>
      </c>
      <c r="E199" s="80">
        <f>SUMIFS('февраль 2024'!$G$6:$G$1413,'февраль 2024'!$D$6:$D$1413,$B199,'февраль 2024'!$J$6:$J$1413,E$1)</f>
        <v>0</v>
      </c>
      <c r="F199" s="80">
        <f>SUMIFS('февраль 2024'!$G$6:$G$1413,'февраль 2024'!$D$6:$D$1413,$B199,'февраль 2024'!$J$6:$J$1413,F$1)</f>
        <v>0</v>
      </c>
      <c r="G199" s="80">
        <f>SUMIFS('февраль 2024'!$G$6:$G$1413,'февраль 2024'!$D$6:$D$1413,$B199,'февраль 2024'!$J$6:$J$1413,G$1)</f>
        <v>0</v>
      </c>
      <c r="H199" s="80">
        <f>SUMIFS('февраль 2024'!$G$6:$G$1413,'февраль 2024'!$D$6:$D$1413,$B199,'февраль 2024'!$J$6:$J$1413,H$1)</f>
        <v>0</v>
      </c>
      <c r="I199" s="80">
        <f>SUMIFS('февраль 2024'!$G$6:$G$1413,'февраль 2024'!$D$6:$D$1413,$B199,'февраль 2024'!$J$6:$J$1413,I$1)</f>
        <v>0</v>
      </c>
      <c r="J199" s="80">
        <f>SUMIFS('февраль 2024'!$G$6:$G$1413,'февраль 2024'!$D$6:$D$1413,$B199,'февраль 2024'!$J$6:$J$1413,J$1)</f>
        <v>0</v>
      </c>
      <c r="K199" s="80">
        <f>SUMIFS('февраль 2024'!$G$6:$G$1413,'февраль 2024'!$D$6:$D$1413,$B199,'февраль 2024'!$J$6:$J$1413,K$1)</f>
        <v>0</v>
      </c>
      <c r="L199" s="80">
        <f>SUMIFS('февраль 2024'!$G$6:$G$1413,'февраль 2024'!$D$6:$D$1413,$B199,'февраль 2024'!$J$6:$J$1413,L$1)</f>
        <v>0</v>
      </c>
      <c r="M199" s="80">
        <f>SUMIFS('февраль 2024'!$G$6:$G$1413,'февраль 2024'!$D$6:$D$1413,$B199,'февраль 2024'!$J$6:$J$1413,M$1)</f>
        <v>0</v>
      </c>
      <c r="N199" s="80">
        <f>SUMIFS('февраль 2024'!$G$6:$G$1413,'февраль 2024'!$D$6:$D$1413,$B199,'февраль 2024'!$J$6:$J$1413,N$1)</f>
        <v>0</v>
      </c>
      <c r="O199" s="80">
        <f>SUMIFS('февраль 2024'!$G$6:$G$1413,'февраль 2024'!$D$6:$D$1413,$B199,'февраль 2024'!$J$6:$J$1413,O$1)</f>
        <v>0</v>
      </c>
      <c r="P199" s="80">
        <f>SUMIFS('февраль 2024'!$G$6:$G$1413,'февраль 2024'!$D$6:$D$1413,$B199,'февраль 2024'!$J$6:$J$1413,P$1)</f>
        <v>0</v>
      </c>
      <c r="Q199" s="80">
        <f>SUMIFS('февраль 2024'!$G$6:$G$1413,'февраль 2024'!$D$6:$D$1413,$B199,'февраль 2024'!$J$6:$J$1413,Q$1)</f>
        <v>0</v>
      </c>
      <c r="R199" s="80">
        <f>SUMIFS('февраль 2024'!$G$6:$G$1413,'февраль 2024'!$D$6:$D$1413,$B199,'февраль 2024'!$J$6:$J$1413,R$1)</f>
        <v>0</v>
      </c>
      <c r="S199" s="80">
        <f>SUMIFS('февраль 2024'!$G$6:$G$1413,'февраль 2024'!$D$6:$D$1413,$B199,'февраль 2024'!$J$6:$J$1413,S$1)</f>
        <v>0</v>
      </c>
      <c r="T199" s="80">
        <f>SUMIFS('февраль 2024'!$G$6:$G$1413,'февраль 2024'!$D$6:$D$1413,$B199,'февраль 2024'!$J$6:$J$1413,T$1)</f>
        <v>0</v>
      </c>
      <c r="U199" s="80">
        <f>SUMIFS('февраль 2024'!$G$6:$G$1413,'февраль 2024'!$D$6:$D$1413,$B199,'февраль 2024'!$J$6:$J$1413,U$1)</f>
        <v>0</v>
      </c>
      <c r="V199" s="80">
        <f>SUMIFS('февраль 2024'!$G$6:$G$1413,'февраль 2024'!$D$6:$D$1413,$B199,'февраль 2024'!$J$6:$J$1413,V$1)</f>
        <v>0</v>
      </c>
      <c r="W199" s="80">
        <f>SUMIFS('февраль 2024'!$G$6:$G$1413,'февраль 2024'!$D$6:$D$1413,$B199,'февраль 2024'!$J$6:$J$1413,W$1)</f>
        <v>0</v>
      </c>
      <c r="X199" s="80">
        <f>SUMIFS('февраль 2024'!$G$6:$G$1413,'февраль 2024'!$D$6:$D$1413,$B199,'февраль 2024'!$J$6:$J$1413,X$1)</f>
        <v>0</v>
      </c>
      <c r="Y199" s="80">
        <f>SUMIFS('февраль 2024'!$G$6:$G$1413,'февраль 2024'!$D$6:$D$1413,$B199,'февраль 2024'!$J$6:$J$1413,Y$1)</f>
        <v>0</v>
      </c>
      <c r="Z199" s="80">
        <f>SUMIFS('февраль 2024'!$G$6:$G$1413,'февраль 2024'!$D$6:$D$1413,$B199,'февраль 2024'!$J$6:$J$1413,Z$1)</f>
        <v>0</v>
      </c>
      <c r="AA199" s="80">
        <f>SUMIFS('февраль 2024'!$G$6:$G$1413,'февраль 2024'!$D$6:$D$1413,$B199,'февраль 2024'!$J$6:$J$1413,AA$1)</f>
        <v>0</v>
      </c>
      <c r="AB199" s="80">
        <f>SUMIFS('февраль 2024'!$G$6:$G$1413,'февраль 2024'!$D$6:$D$1413,$B199,'февраль 2024'!$J$6:$J$1413,AB$1)</f>
        <v>0</v>
      </c>
      <c r="AC199" s="80">
        <f>SUMIFS('февраль 2024'!$G$6:$G$1413,'февраль 2024'!$D$6:$D$1413,$B199,'февраль 2024'!$J$6:$J$1413,AC$1)</f>
        <v>0</v>
      </c>
      <c r="AD199" s="80">
        <f>SUMIFS('февраль 2024'!$G$6:$G$1413,'февраль 2024'!$D$6:$D$1413,$B199,'февраль 2024'!$J$6:$J$1413,AD$1)</f>
        <v>0</v>
      </c>
      <c r="AE199" s="80">
        <f>SUMIFS('февраль 2024'!$G$6:$G$1413,'февраль 2024'!$D$6:$D$1413,$B199,'февраль 2024'!$J$6:$J$1413,AE$1)</f>
        <v>0</v>
      </c>
      <c r="AF199" s="80">
        <f>SUMIFS('февраль 2024'!$G$6:$G$1413,'февраль 2024'!$D$6:$D$1413,$B199,'февраль 2024'!$J$6:$J$1413,AF$1)</f>
        <v>0</v>
      </c>
      <c r="AG199" s="80">
        <f>SUMIFS('февраль 2024'!$G$6:$G$1413,'февраль 2024'!$D$6:$D$1413,$B199,'февраль 2024'!$J$6:$J$1413,AG$1)</f>
        <v>0</v>
      </c>
      <c r="AH199" s="80">
        <f>SUMIFS('февраль 2024'!$G$6:$G$1413,'февраль 2024'!$D$6:$D$1413,$B199,'февраль 2024'!$J$6:$J$1413,AH$1)</f>
        <v>0</v>
      </c>
      <c r="AI199" s="87"/>
    </row>
    <row r="200" spans="2:35" ht="15" hidden="1" customHeight="1" x14ac:dyDescent="0.25">
      <c r="B200" s="89"/>
      <c r="C200" s="88"/>
      <c r="D200" s="80">
        <f>SUMIFS('февраль 2024'!$G$6:$G$1413,'февраль 2024'!$D$6:$D$1413,$B200,'февраль 2024'!$J$6:$J$1413,D$1)</f>
        <v>0</v>
      </c>
      <c r="E200" s="80">
        <f>SUMIFS('февраль 2024'!$G$6:$G$1413,'февраль 2024'!$D$6:$D$1413,$B200,'февраль 2024'!$J$6:$J$1413,E$1)</f>
        <v>0</v>
      </c>
      <c r="F200" s="80">
        <f>SUMIFS('февраль 2024'!$G$6:$G$1413,'февраль 2024'!$D$6:$D$1413,$B200,'февраль 2024'!$J$6:$J$1413,F$1)</f>
        <v>0</v>
      </c>
      <c r="G200" s="80">
        <f>SUMIFS('февраль 2024'!$G$6:$G$1413,'февраль 2024'!$D$6:$D$1413,$B200,'февраль 2024'!$J$6:$J$1413,G$1)</f>
        <v>0</v>
      </c>
      <c r="H200" s="80">
        <f>SUMIFS('февраль 2024'!$G$6:$G$1413,'февраль 2024'!$D$6:$D$1413,$B200,'февраль 2024'!$J$6:$J$1413,H$1)</f>
        <v>0</v>
      </c>
      <c r="I200" s="80">
        <f>SUMIFS('февраль 2024'!$G$6:$G$1413,'февраль 2024'!$D$6:$D$1413,$B200,'февраль 2024'!$J$6:$J$1413,I$1)</f>
        <v>0</v>
      </c>
      <c r="J200" s="80">
        <f>SUMIFS('февраль 2024'!$G$6:$G$1413,'февраль 2024'!$D$6:$D$1413,$B200,'февраль 2024'!$J$6:$J$1413,J$1)</f>
        <v>0</v>
      </c>
      <c r="K200" s="80">
        <f>SUMIFS('февраль 2024'!$G$6:$G$1413,'февраль 2024'!$D$6:$D$1413,$B200,'февраль 2024'!$J$6:$J$1413,K$1)</f>
        <v>0</v>
      </c>
      <c r="L200" s="80">
        <f>SUMIFS('февраль 2024'!$G$6:$G$1413,'февраль 2024'!$D$6:$D$1413,$B200,'февраль 2024'!$J$6:$J$1413,L$1)</f>
        <v>0</v>
      </c>
      <c r="M200" s="80">
        <f>SUMIFS('февраль 2024'!$G$6:$G$1413,'февраль 2024'!$D$6:$D$1413,$B200,'февраль 2024'!$J$6:$J$1413,M$1)</f>
        <v>0</v>
      </c>
      <c r="N200" s="80">
        <f>SUMIFS('февраль 2024'!$G$6:$G$1413,'февраль 2024'!$D$6:$D$1413,$B200,'февраль 2024'!$J$6:$J$1413,N$1)</f>
        <v>0</v>
      </c>
      <c r="O200" s="80">
        <f>SUMIFS('февраль 2024'!$G$6:$G$1413,'февраль 2024'!$D$6:$D$1413,$B200,'февраль 2024'!$J$6:$J$1413,O$1)</f>
        <v>0</v>
      </c>
      <c r="P200" s="80">
        <f>SUMIFS('февраль 2024'!$G$6:$G$1413,'февраль 2024'!$D$6:$D$1413,$B200,'февраль 2024'!$J$6:$J$1413,P$1)</f>
        <v>0</v>
      </c>
      <c r="Q200" s="80">
        <f>SUMIFS('февраль 2024'!$G$6:$G$1413,'февраль 2024'!$D$6:$D$1413,$B200,'февраль 2024'!$J$6:$J$1413,Q$1)</f>
        <v>0</v>
      </c>
      <c r="R200" s="80">
        <f>SUMIFS('февраль 2024'!$G$6:$G$1413,'февраль 2024'!$D$6:$D$1413,$B200,'февраль 2024'!$J$6:$J$1413,R$1)</f>
        <v>0</v>
      </c>
      <c r="S200" s="80">
        <f>SUMIFS('февраль 2024'!$G$6:$G$1413,'февраль 2024'!$D$6:$D$1413,$B200,'февраль 2024'!$J$6:$J$1413,S$1)</f>
        <v>0</v>
      </c>
      <c r="T200" s="80">
        <f>SUMIFS('февраль 2024'!$G$6:$G$1413,'февраль 2024'!$D$6:$D$1413,$B200,'февраль 2024'!$J$6:$J$1413,T$1)</f>
        <v>0</v>
      </c>
      <c r="U200" s="80">
        <f>SUMIFS('февраль 2024'!$G$6:$G$1413,'февраль 2024'!$D$6:$D$1413,$B200,'февраль 2024'!$J$6:$J$1413,U$1)</f>
        <v>0</v>
      </c>
      <c r="V200" s="80">
        <f>SUMIFS('февраль 2024'!$G$6:$G$1413,'февраль 2024'!$D$6:$D$1413,$B200,'февраль 2024'!$J$6:$J$1413,V$1)</f>
        <v>0</v>
      </c>
      <c r="W200" s="80">
        <f>SUMIFS('февраль 2024'!$G$6:$G$1413,'февраль 2024'!$D$6:$D$1413,$B200,'февраль 2024'!$J$6:$J$1413,W$1)</f>
        <v>0</v>
      </c>
      <c r="X200" s="80">
        <f>SUMIFS('февраль 2024'!$G$6:$G$1413,'февраль 2024'!$D$6:$D$1413,$B200,'февраль 2024'!$J$6:$J$1413,X$1)</f>
        <v>0</v>
      </c>
      <c r="Y200" s="80">
        <f>SUMIFS('февраль 2024'!$G$6:$G$1413,'февраль 2024'!$D$6:$D$1413,$B200,'февраль 2024'!$J$6:$J$1413,Y$1)</f>
        <v>0</v>
      </c>
      <c r="Z200" s="80">
        <f>SUMIFS('февраль 2024'!$G$6:$G$1413,'февраль 2024'!$D$6:$D$1413,$B200,'февраль 2024'!$J$6:$J$1413,Z$1)</f>
        <v>0</v>
      </c>
      <c r="AA200" s="80">
        <f>SUMIFS('февраль 2024'!$G$6:$G$1413,'февраль 2024'!$D$6:$D$1413,$B200,'февраль 2024'!$J$6:$J$1413,AA$1)</f>
        <v>0</v>
      </c>
      <c r="AB200" s="80">
        <f>SUMIFS('февраль 2024'!$G$6:$G$1413,'февраль 2024'!$D$6:$D$1413,$B200,'февраль 2024'!$J$6:$J$1413,AB$1)</f>
        <v>0</v>
      </c>
      <c r="AC200" s="80">
        <f>SUMIFS('февраль 2024'!$G$6:$G$1413,'февраль 2024'!$D$6:$D$1413,$B200,'февраль 2024'!$J$6:$J$1413,AC$1)</f>
        <v>0</v>
      </c>
      <c r="AD200" s="80">
        <f>SUMIFS('февраль 2024'!$G$6:$G$1413,'февраль 2024'!$D$6:$D$1413,$B200,'февраль 2024'!$J$6:$J$1413,AD$1)</f>
        <v>0</v>
      </c>
      <c r="AE200" s="80">
        <f>SUMIFS('февраль 2024'!$G$6:$G$1413,'февраль 2024'!$D$6:$D$1413,$B200,'февраль 2024'!$J$6:$J$1413,AE$1)</f>
        <v>0</v>
      </c>
      <c r="AF200" s="80">
        <f>SUMIFS('февраль 2024'!$G$6:$G$1413,'февраль 2024'!$D$6:$D$1413,$B200,'февраль 2024'!$J$6:$J$1413,AF$1)</f>
        <v>0</v>
      </c>
      <c r="AG200" s="80">
        <f>SUMIFS('февраль 2024'!$G$6:$G$1413,'февраль 2024'!$D$6:$D$1413,$B200,'февраль 2024'!$J$6:$J$1413,AG$1)</f>
        <v>0</v>
      </c>
      <c r="AH200" s="80">
        <f>SUMIFS('февраль 2024'!$G$6:$G$1413,'февраль 2024'!$D$6:$D$1413,$B200,'февраль 2024'!$J$6:$J$1413,AH$1)</f>
        <v>0</v>
      </c>
      <c r="AI200" s="87"/>
    </row>
    <row r="201" spans="2:35" ht="15" hidden="1" customHeight="1" x14ac:dyDescent="0.25">
      <c r="B201" s="89"/>
      <c r="C201" s="88"/>
      <c r="D201" s="80">
        <f>SUMIFS('февраль 2024'!$G$6:$G$1413,'февраль 2024'!$D$6:$D$1413,$B201,'февраль 2024'!$J$6:$J$1413,D$1)</f>
        <v>0</v>
      </c>
      <c r="E201" s="80">
        <f>SUMIFS('февраль 2024'!$G$6:$G$1413,'февраль 2024'!$D$6:$D$1413,$B201,'февраль 2024'!$J$6:$J$1413,E$1)</f>
        <v>0</v>
      </c>
      <c r="F201" s="80">
        <f>SUMIFS('февраль 2024'!$G$6:$G$1413,'февраль 2024'!$D$6:$D$1413,$B201,'февраль 2024'!$J$6:$J$1413,F$1)</f>
        <v>0</v>
      </c>
      <c r="G201" s="80">
        <f>SUMIFS('февраль 2024'!$G$6:$G$1413,'февраль 2024'!$D$6:$D$1413,$B201,'февраль 2024'!$J$6:$J$1413,G$1)</f>
        <v>0</v>
      </c>
      <c r="H201" s="80">
        <f>SUMIFS('февраль 2024'!$G$6:$G$1413,'февраль 2024'!$D$6:$D$1413,$B201,'февраль 2024'!$J$6:$J$1413,H$1)</f>
        <v>0</v>
      </c>
      <c r="I201" s="80">
        <f>SUMIFS('февраль 2024'!$G$6:$G$1413,'февраль 2024'!$D$6:$D$1413,$B201,'февраль 2024'!$J$6:$J$1413,I$1)</f>
        <v>0</v>
      </c>
      <c r="J201" s="80">
        <f>SUMIFS('февраль 2024'!$G$6:$G$1413,'февраль 2024'!$D$6:$D$1413,$B201,'февраль 2024'!$J$6:$J$1413,J$1)</f>
        <v>0</v>
      </c>
      <c r="K201" s="80">
        <f>SUMIFS('февраль 2024'!$G$6:$G$1413,'февраль 2024'!$D$6:$D$1413,$B201,'февраль 2024'!$J$6:$J$1413,K$1)</f>
        <v>0</v>
      </c>
      <c r="L201" s="80">
        <f>SUMIFS('февраль 2024'!$G$6:$G$1413,'февраль 2024'!$D$6:$D$1413,$B201,'февраль 2024'!$J$6:$J$1413,L$1)</f>
        <v>0</v>
      </c>
      <c r="M201" s="80">
        <f>SUMIFS('февраль 2024'!$G$6:$G$1413,'февраль 2024'!$D$6:$D$1413,$B201,'февраль 2024'!$J$6:$J$1413,M$1)</f>
        <v>0</v>
      </c>
      <c r="N201" s="80">
        <f>SUMIFS('февраль 2024'!$G$6:$G$1413,'февраль 2024'!$D$6:$D$1413,$B201,'февраль 2024'!$J$6:$J$1413,N$1)</f>
        <v>0</v>
      </c>
      <c r="O201" s="80">
        <f>SUMIFS('февраль 2024'!$G$6:$G$1413,'февраль 2024'!$D$6:$D$1413,$B201,'февраль 2024'!$J$6:$J$1413,O$1)</f>
        <v>0</v>
      </c>
      <c r="P201" s="80">
        <f>SUMIFS('февраль 2024'!$G$6:$G$1413,'февраль 2024'!$D$6:$D$1413,$B201,'февраль 2024'!$J$6:$J$1413,P$1)</f>
        <v>0</v>
      </c>
      <c r="Q201" s="80">
        <f>SUMIFS('февраль 2024'!$G$6:$G$1413,'февраль 2024'!$D$6:$D$1413,$B201,'февраль 2024'!$J$6:$J$1413,Q$1)</f>
        <v>0</v>
      </c>
      <c r="R201" s="80">
        <f>SUMIFS('февраль 2024'!$G$6:$G$1413,'февраль 2024'!$D$6:$D$1413,$B201,'февраль 2024'!$J$6:$J$1413,R$1)</f>
        <v>0</v>
      </c>
      <c r="S201" s="80">
        <f>SUMIFS('февраль 2024'!$G$6:$G$1413,'февраль 2024'!$D$6:$D$1413,$B201,'февраль 2024'!$J$6:$J$1413,S$1)</f>
        <v>0</v>
      </c>
      <c r="T201" s="80">
        <f>SUMIFS('февраль 2024'!$G$6:$G$1413,'февраль 2024'!$D$6:$D$1413,$B201,'февраль 2024'!$J$6:$J$1413,T$1)</f>
        <v>0</v>
      </c>
      <c r="U201" s="80">
        <f>SUMIFS('февраль 2024'!$G$6:$G$1413,'февраль 2024'!$D$6:$D$1413,$B201,'февраль 2024'!$J$6:$J$1413,U$1)</f>
        <v>0</v>
      </c>
      <c r="V201" s="80">
        <f>SUMIFS('февраль 2024'!$G$6:$G$1413,'февраль 2024'!$D$6:$D$1413,$B201,'февраль 2024'!$J$6:$J$1413,V$1)</f>
        <v>0</v>
      </c>
      <c r="W201" s="80">
        <f>SUMIFS('февраль 2024'!$G$6:$G$1413,'февраль 2024'!$D$6:$D$1413,$B201,'февраль 2024'!$J$6:$J$1413,W$1)</f>
        <v>0</v>
      </c>
      <c r="X201" s="80">
        <f>SUMIFS('февраль 2024'!$G$6:$G$1413,'февраль 2024'!$D$6:$D$1413,$B201,'февраль 2024'!$J$6:$J$1413,X$1)</f>
        <v>0</v>
      </c>
      <c r="Y201" s="80">
        <f>SUMIFS('февраль 2024'!$G$6:$G$1413,'февраль 2024'!$D$6:$D$1413,$B201,'февраль 2024'!$J$6:$J$1413,Y$1)</f>
        <v>0</v>
      </c>
      <c r="Z201" s="80">
        <f>SUMIFS('февраль 2024'!$G$6:$G$1413,'февраль 2024'!$D$6:$D$1413,$B201,'февраль 2024'!$J$6:$J$1413,Z$1)</f>
        <v>0</v>
      </c>
      <c r="AA201" s="80">
        <f>SUMIFS('февраль 2024'!$G$6:$G$1413,'февраль 2024'!$D$6:$D$1413,$B201,'февраль 2024'!$J$6:$J$1413,AA$1)</f>
        <v>0</v>
      </c>
      <c r="AB201" s="80">
        <f>SUMIFS('февраль 2024'!$G$6:$G$1413,'февраль 2024'!$D$6:$D$1413,$B201,'февраль 2024'!$J$6:$J$1413,AB$1)</f>
        <v>0</v>
      </c>
      <c r="AC201" s="80">
        <f>SUMIFS('февраль 2024'!$G$6:$G$1413,'февраль 2024'!$D$6:$D$1413,$B201,'февраль 2024'!$J$6:$J$1413,AC$1)</f>
        <v>0</v>
      </c>
      <c r="AD201" s="80">
        <f>SUMIFS('февраль 2024'!$G$6:$G$1413,'февраль 2024'!$D$6:$D$1413,$B201,'февраль 2024'!$J$6:$J$1413,AD$1)</f>
        <v>0</v>
      </c>
      <c r="AE201" s="80">
        <f>SUMIFS('февраль 2024'!$G$6:$G$1413,'февраль 2024'!$D$6:$D$1413,$B201,'февраль 2024'!$J$6:$J$1413,AE$1)</f>
        <v>0</v>
      </c>
      <c r="AF201" s="80">
        <f>SUMIFS('февраль 2024'!$G$6:$G$1413,'февраль 2024'!$D$6:$D$1413,$B201,'февраль 2024'!$J$6:$J$1413,AF$1)</f>
        <v>0</v>
      </c>
      <c r="AG201" s="80">
        <f>SUMIFS('февраль 2024'!$G$6:$G$1413,'февраль 2024'!$D$6:$D$1413,$B201,'февраль 2024'!$J$6:$J$1413,AG$1)</f>
        <v>0</v>
      </c>
      <c r="AH201" s="80">
        <f>SUMIFS('февраль 2024'!$G$6:$G$1413,'февраль 2024'!$D$6:$D$1413,$B201,'февраль 2024'!$J$6:$J$1413,AH$1)</f>
        <v>0</v>
      </c>
      <c r="AI201" s="87"/>
    </row>
    <row r="202" spans="2:35" ht="15" hidden="1" customHeight="1" x14ac:dyDescent="0.25">
      <c r="B202" s="89"/>
      <c r="C202" s="88"/>
      <c r="D202" s="80">
        <f>SUMIFS('февраль 2024'!$G$6:$G$1413,'февраль 2024'!$D$6:$D$1413,$B202,'февраль 2024'!$J$6:$J$1413,D$1)</f>
        <v>0</v>
      </c>
      <c r="E202" s="80">
        <f>SUMIFS('февраль 2024'!$G$6:$G$1413,'февраль 2024'!$D$6:$D$1413,$B202,'февраль 2024'!$J$6:$J$1413,E$1)</f>
        <v>0</v>
      </c>
      <c r="F202" s="80">
        <f>SUMIFS('февраль 2024'!$G$6:$G$1413,'февраль 2024'!$D$6:$D$1413,$B202,'февраль 2024'!$J$6:$J$1413,F$1)</f>
        <v>0</v>
      </c>
      <c r="G202" s="80">
        <f>SUMIFS('февраль 2024'!$G$6:$G$1413,'февраль 2024'!$D$6:$D$1413,$B202,'февраль 2024'!$J$6:$J$1413,G$1)</f>
        <v>0</v>
      </c>
      <c r="H202" s="80">
        <f>SUMIFS('февраль 2024'!$G$6:$G$1413,'февраль 2024'!$D$6:$D$1413,$B202,'февраль 2024'!$J$6:$J$1413,H$1)</f>
        <v>0</v>
      </c>
      <c r="I202" s="80">
        <f>SUMIFS('февраль 2024'!$G$6:$G$1413,'февраль 2024'!$D$6:$D$1413,$B202,'февраль 2024'!$J$6:$J$1413,I$1)</f>
        <v>0</v>
      </c>
      <c r="J202" s="80">
        <f>SUMIFS('февраль 2024'!$G$6:$G$1413,'февраль 2024'!$D$6:$D$1413,$B202,'февраль 2024'!$J$6:$J$1413,J$1)</f>
        <v>0</v>
      </c>
      <c r="K202" s="80">
        <f>SUMIFS('февраль 2024'!$G$6:$G$1413,'февраль 2024'!$D$6:$D$1413,$B202,'февраль 2024'!$J$6:$J$1413,K$1)</f>
        <v>0</v>
      </c>
      <c r="L202" s="80">
        <f>SUMIFS('февраль 2024'!$G$6:$G$1413,'февраль 2024'!$D$6:$D$1413,$B202,'февраль 2024'!$J$6:$J$1413,L$1)</f>
        <v>0</v>
      </c>
      <c r="M202" s="80">
        <f>SUMIFS('февраль 2024'!$G$6:$G$1413,'февраль 2024'!$D$6:$D$1413,$B202,'февраль 2024'!$J$6:$J$1413,M$1)</f>
        <v>0</v>
      </c>
      <c r="N202" s="80">
        <f>SUMIFS('февраль 2024'!$G$6:$G$1413,'февраль 2024'!$D$6:$D$1413,$B202,'февраль 2024'!$J$6:$J$1413,N$1)</f>
        <v>0</v>
      </c>
      <c r="O202" s="80">
        <f>SUMIFS('февраль 2024'!$G$6:$G$1413,'февраль 2024'!$D$6:$D$1413,$B202,'февраль 2024'!$J$6:$J$1413,O$1)</f>
        <v>0</v>
      </c>
      <c r="P202" s="80">
        <f>SUMIFS('февраль 2024'!$G$6:$G$1413,'февраль 2024'!$D$6:$D$1413,$B202,'февраль 2024'!$J$6:$J$1413,P$1)</f>
        <v>0</v>
      </c>
      <c r="Q202" s="80">
        <f>SUMIFS('февраль 2024'!$G$6:$G$1413,'февраль 2024'!$D$6:$D$1413,$B202,'февраль 2024'!$J$6:$J$1413,Q$1)</f>
        <v>0</v>
      </c>
      <c r="R202" s="80">
        <f>SUMIFS('февраль 2024'!$G$6:$G$1413,'февраль 2024'!$D$6:$D$1413,$B202,'февраль 2024'!$J$6:$J$1413,R$1)</f>
        <v>0</v>
      </c>
      <c r="S202" s="80">
        <f>SUMIFS('февраль 2024'!$G$6:$G$1413,'февраль 2024'!$D$6:$D$1413,$B202,'февраль 2024'!$J$6:$J$1413,S$1)</f>
        <v>0</v>
      </c>
      <c r="T202" s="80">
        <f>SUMIFS('февраль 2024'!$G$6:$G$1413,'февраль 2024'!$D$6:$D$1413,$B202,'февраль 2024'!$J$6:$J$1413,T$1)</f>
        <v>0</v>
      </c>
      <c r="U202" s="80">
        <f>SUMIFS('февраль 2024'!$G$6:$G$1413,'февраль 2024'!$D$6:$D$1413,$B202,'февраль 2024'!$J$6:$J$1413,U$1)</f>
        <v>0</v>
      </c>
      <c r="V202" s="80">
        <f>SUMIFS('февраль 2024'!$G$6:$G$1413,'февраль 2024'!$D$6:$D$1413,$B202,'февраль 2024'!$J$6:$J$1413,V$1)</f>
        <v>0</v>
      </c>
      <c r="W202" s="80">
        <f>SUMIFS('февраль 2024'!$G$6:$G$1413,'февраль 2024'!$D$6:$D$1413,$B202,'февраль 2024'!$J$6:$J$1413,W$1)</f>
        <v>0</v>
      </c>
      <c r="X202" s="80">
        <f>SUMIFS('февраль 2024'!$G$6:$G$1413,'февраль 2024'!$D$6:$D$1413,$B202,'февраль 2024'!$J$6:$J$1413,X$1)</f>
        <v>0</v>
      </c>
      <c r="Y202" s="80">
        <f>SUMIFS('февраль 2024'!$G$6:$G$1413,'февраль 2024'!$D$6:$D$1413,$B202,'февраль 2024'!$J$6:$J$1413,Y$1)</f>
        <v>0</v>
      </c>
      <c r="Z202" s="80">
        <f>SUMIFS('февраль 2024'!$G$6:$G$1413,'февраль 2024'!$D$6:$D$1413,$B202,'февраль 2024'!$J$6:$J$1413,Z$1)</f>
        <v>0</v>
      </c>
      <c r="AA202" s="80">
        <f>SUMIFS('февраль 2024'!$G$6:$G$1413,'февраль 2024'!$D$6:$D$1413,$B202,'февраль 2024'!$J$6:$J$1413,AA$1)</f>
        <v>0</v>
      </c>
      <c r="AB202" s="80">
        <f>SUMIFS('февраль 2024'!$G$6:$G$1413,'февраль 2024'!$D$6:$D$1413,$B202,'февраль 2024'!$J$6:$J$1413,AB$1)</f>
        <v>0</v>
      </c>
      <c r="AC202" s="80">
        <f>SUMIFS('февраль 2024'!$G$6:$G$1413,'февраль 2024'!$D$6:$D$1413,$B202,'февраль 2024'!$J$6:$J$1413,AC$1)</f>
        <v>0</v>
      </c>
      <c r="AD202" s="80">
        <f>SUMIFS('февраль 2024'!$G$6:$G$1413,'февраль 2024'!$D$6:$D$1413,$B202,'февраль 2024'!$J$6:$J$1413,AD$1)</f>
        <v>0</v>
      </c>
      <c r="AE202" s="80">
        <f>SUMIFS('февраль 2024'!$G$6:$G$1413,'февраль 2024'!$D$6:$D$1413,$B202,'февраль 2024'!$J$6:$J$1413,AE$1)</f>
        <v>0</v>
      </c>
      <c r="AF202" s="80">
        <f>SUMIFS('февраль 2024'!$G$6:$G$1413,'февраль 2024'!$D$6:$D$1413,$B202,'февраль 2024'!$J$6:$J$1413,AF$1)</f>
        <v>0</v>
      </c>
      <c r="AG202" s="80">
        <f>SUMIFS('февраль 2024'!$G$6:$G$1413,'февраль 2024'!$D$6:$D$1413,$B202,'февраль 2024'!$J$6:$J$1413,AG$1)</f>
        <v>0</v>
      </c>
      <c r="AH202" s="80">
        <f>SUMIFS('февраль 2024'!$G$6:$G$1413,'февраль 2024'!$D$6:$D$1413,$B202,'февраль 2024'!$J$6:$J$1413,AH$1)</f>
        <v>0</v>
      </c>
      <c r="AI202" s="87"/>
    </row>
    <row r="203" spans="2:35" ht="15" hidden="1" customHeight="1" x14ac:dyDescent="0.25">
      <c r="B203" s="89"/>
      <c r="C203" s="88"/>
      <c r="D203" s="80">
        <f>SUMIFS('февраль 2024'!$G$6:$G$1413,'февраль 2024'!$D$6:$D$1413,$B203,'февраль 2024'!$J$6:$J$1413,D$1)</f>
        <v>0</v>
      </c>
      <c r="E203" s="80">
        <f>SUMIFS('февраль 2024'!$G$6:$G$1413,'февраль 2024'!$D$6:$D$1413,$B203,'февраль 2024'!$J$6:$J$1413,E$1)</f>
        <v>0</v>
      </c>
      <c r="F203" s="80">
        <f>SUMIFS('февраль 2024'!$G$6:$G$1413,'февраль 2024'!$D$6:$D$1413,$B203,'февраль 2024'!$J$6:$J$1413,F$1)</f>
        <v>0</v>
      </c>
      <c r="G203" s="80">
        <f>SUMIFS('февраль 2024'!$G$6:$G$1413,'февраль 2024'!$D$6:$D$1413,$B203,'февраль 2024'!$J$6:$J$1413,G$1)</f>
        <v>0</v>
      </c>
      <c r="H203" s="80">
        <f>SUMIFS('февраль 2024'!$G$6:$G$1413,'февраль 2024'!$D$6:$D$1413,$B203,'февраль 2024'!$J$6:$J$1413,H$1)</f>
        <v>0</v>
      </c>
      <c r="I203" s="80">
        <f>SUMIFS('февраль 2024'!$G$6:$G$1413,'февраль 2024'!$D$6:$D$1413,$B203,'февраль 2024'!$J$6:$J$1413,I$1)</f>
        <v>0</v>
      </c>
      <c r="J203" s="80">
        <f>SUMIFS('февраль 2024'!$G$6:$G$1413,'февраль 2024'!$D$6:$D$1413,$B203,'февраль 2024'!$J$6:$J$1413,J$1)</f>
        <v>0</v>
      </c>
      <c r="K203" s="80">
        <f>SUMIFS('февраль 2024'!$G$6:$G$1413,'февраль 2024'!$D$6:$D$1413,$B203,'февраль 2024'!$J$6:$J$1413,K$1)</f>
        <v>0</v>
      </c>
      <c r="L203" s="80">
        <f>SUMIFS('февраль 2024'!$G$6:$G$1413,'февраль 2024'!$D$6:$D$1413,$B203,'февраль 2024'!$J$6:$J$1413,L$1)</f>
        <v>0</v>
      </c>
      <c r="M203" s="80">
        <f>SUMIFS('февраль 2024'!$G$6:$G$1413,'февраль 2024'!$D$6:$D$1413,$B203,'февраль 2024'!$J$6:$J$1413,M$1)</f>
        <v>0</v>
      </c>
      <c r="N203" s="80">
        <f>SUMIFS('февраль 2024'!$G$6:$G$1413,'февраль 2024'!$D$6:$D$1413,$B203,'февраль 2024'!$J$6:$J$1413,N$1)</f>
        <v>0</v>
      </c>
      <c r="O203" s="80">
        <f>SUMIFS('февраль 2024'!$G$6:$G$1413,'февраль 2024'!$D$6:$D$1413,$B203,'февраль 2024'!$J$6:$J$1413,O$1)</f>
        <v>0</v>
      </c>
      <c r="P203" s="80">
        <f>SUMIFS('февраль 2024'!$G$6:$G$1413,'февраль 2024'!$D$6:$D$1413,$B203,'февраль 2024'!$J$6:$J$1413,P$1)</f>
        <v>0</v>
      </c>
      <c r="Q203" s="80">
        <f>SUMIFS('февраль 2024'!$G$6:$G$1413,'февраль 2024'!$D$6:$D$1413,$B203,'февраль 2024'!$J$6:$J$1413,Q$1)</f>
        <v>0</v>
      </c>
      <c r="R203" s="80">
        <f>SUMIFS('февраль 2024'!$G$6:$G$1413,'февраль 2024'!$D$6:$D$1413,$B203,'февраль 2024'!$J$6:$J$1413,R$1)</f>
        <v>0</v>
      </c>
      <c r="S203" s="80">
        <f>SUMIFS('февраль 2024'!$G$6:$G$1413,'февраль 2024'!$D$6:$D$1413,$B203,'февраль 2024'!$J$6:$J$1413,S$1)</f>
        <v>0</v>
      </c>
      <c r="T203" s="80">
        <f>SUMIFS('февраль 2024'!$G$6:$G$1413,'февраль 2024'!$D$6:$D$1413,$B203,'февраль 2024'!$J$6:$J$1413,T$1)</f>
        <v>0</v>
      </c>
      <c r="U203" s="80">
        <f>SUMIFS('февраль 2024'!$G$6:$G$1413,'февраль 2024'!$D$6:$D$1413,$B203,'февраль 2024'!$J$6:$J$1413,U$1)</f>
        <v>0</v>
      </c>
      <c r="V203" s="80">
        <f>SUMIFS('февраль 2024'!$G$6:$G$1413,'февраль 2024'!$D$6:$D$1413,$B203,'февраль 2024'!$J$6:$J$1413,V$1)</f>
        <v>0</v>
      </c>
      <c r="W203" s="80">
        <f>SUMIFS('февраль 2024'!$G$6:$G$1413,'февраль 2024'!$D$6:$D$1413,$B203,'февраль 2024'!$J$6:$J$1413,W$1)</f>
        <v>0</v>
      </c>
      <c r="X203" s="80">
        <f>SUMIFS('февраль 2024'!$G$6:$G$1413,'февраль 2024'!$D$6:$D$1413,$B203,'февраль 2024'!$J$6:$J$1413,X$1)</f>
        <v>0</v>
      </c>
      <c r="Y203" s="80">
        <f>SUMIFS('февраль 2024'!$G$6:$G$1413,'февраль 2024'!$D$6:$D$1413,$B203,'февраль 2024'!$J$6:$J$1413,Y$1)</f>
        <v>0</v>
      </c>
      <c r="Z203" s="80">
        <f>SUMIFS('февраль 2024'!$G$6:$G$1413,'февраль 2024'!$D$6:$D$1413,$B203,'февраль 2024'!$J$6:$J$1413,Z$1)</f>
        <v>0</v>
      </c>
      <c r="AA203" s="80">
        <f>SUMIFS('февраль 2024'!$G$6:$G$1413,'февраль 2024'!$D$6:$D$1413,$B203,'февраль 2024'!$J$6:$J$1413,AA$1)</f>
        <v>0</v>
      </c>
      <c r="AB203" s="80">
        <f>SUMIFS('февраль 2024'!$G$6:$G$1413,'февраль 2024'!$D$6:$D$1413,$B203,'февраль 2024'!$J$6:$J$1413,AB$1)</f>
        <v>0</v>
      </c>
      <c r="AC203" s="80">
        <f>SUMIFS('февраль 2024'!$G$6:$G$1413,'февраль 2024'!$D$6:$D$1413,$B203,'февраль 2024'!$J$6:$J$1413,AC$1)</f>
        <v>0</v>
      </c>
      <c r="AD203" s="80">
        <f>SUMIFS('февраль 2024'!$G$6:$G$1413,'февраль 2024'!$D$6:$D$1413,$B203,'февраль 2024'!$J$6:$J$1413,AD$1)</f>
        <v>0</v>
      </c>
      <c r="AE203" s="80">
        <f>SUMIFS('февраль 2024'!$G$6:$G$1413,'февраль 2024'!$D$6:$D$1413,$B203,'февраль 2024'!$J$6:$J$1413,AE$1)</f>
        <v>0</v>
      </c>
      <c r="AF203" s="80">
        <f>SUMIFS('февраль 2024'!$G$6:$G$1413,'февраль 2024'!$D$6:$D$1413,$B203,'февраль 2024'!$J$6:$J$1413,AF$1)</f>
        <v>0</v>
      </c>
      <c r="AG203" s="80">
        <f>SUMIFS('февраль 2024'!$G$6:$G$1413,'февраль 2024'!$D$6:$D$1413,$B203,'февраль 2024'!$J$6:$J$1413,AG$1)</f>
        <v>0</v>
      </c>
      <c r="AH203" s="80">
        <f>SUMIFS('февраль 2024'!$G$6:$G$1413,'февраль 2024'!$D$6:$D$1413,$B203,'февраль 2024'!$J$6:$J$1413,AH$1)</f>
        <v>0</v>
      </c>
      <c r="AI203" s="87"/>
    </row>
    <row r="204" spans="2:35" ht="15" hidden="1" customHeight="1" thickBot="1" x14ac:dyDescent="0.3">
      <c r="B204" s="89"/>
      <c r="C204" s="96"/>
      <c r="D204" s="80">
        <f>SUMIFS('февраль 2024'!$G$6:$G$1413,'февраль 2024'!$D$6:$D$1413,$B204,'февраль 2024'!$J$6:$J$1413,D$1)</f>
        <v>0</v>
      </c>
      <c r="E204" s="80">
        <f>SUMIFS('февраль 2024'!$G$6:$G$1413,'февраль 2024'!$D$6:$D$1413,$B204,'февраль 2024'!$J$6:$J$1413,E$1)</f>
        <v>0</v>
      </c>
      <c r="F204" s="80">
        <f>SUMIFS('февраль 2024'!$G$6:$G$1413,'февраль 2024'!$D$6:$D$1413,$B204,'февраль 2024'!$J$6:$J$1413,F$1)</f>
        <v>0</v>
      </c>
      <c r="G204" s="80">
        <f>SUMIFS('февраль 2024'!$G$6:$G$1413,'февраль 2024'!$D$6:$D$1413,$B204,'февраль 2024'!$J$6:$J$1413,G$1)</f>
        <v>0</v>
      </c>
      <c r="H204" s="80">
        <f>SUMIFS('февраль 2024'!$G$6:$G$1413,'февраль 2024'!$D$6:$D$1413,$B204,'февраль 2024'!$J$6:$J$1413,H$1)</f>
        <v>0</v>
      </c>
      <c r="I204" s="80">
        <f>SUMIFS('февраль 2024'!$G$6:$G$1413,'февраль 2024'!$D$6:$D$1413,$B204,'февраль 2024'!$J$6:$J$1413,I$1)</f>
        <v>0</v>
      </c>
      <c r="J204" s="80">
        <f>SUMIFS('февраль 2024'!$G$6:$G$1413,'февраль 2024'!$D$6:$D$1413,$B204,'февраль 2024'!$J$6:$J$1413,J$1)</f>
        <v>0</v>
      </c>
      <c r="K204" s="80">
        <f>SUMIFS('февраль 2024'!$G$6:$G$1413,'февраль 2024'!$D$6:$D$1413,$B204,'февраль 2024'!$J$6:$J$1413,K$1)</f>
        <v>0</v>
      </c>
      <c r="L204" s="80">
        <f>SUMIFS('февраль 2024'!$G$6:$G$1413,'февраль 2024'!$D$6:$D$1413,$B204,'февраль 2024'!$J$6:$J$1413,L$1)</f>
        <v>0</v>
      </c>
      <c r="M204" s="80">
        <f>SUMIFS('февраль 2024'!$G$6:$G$1413,'февраль 2024'!$D$6:$D$1413,$B204,'февраль 2024'!$J$6:$J$1413,M$1)</f>
        <v>0</v>
      </c>
      <c r="N204" s="80">
        <f>SUMIFS('февраль 2024'!$G$6:$G$1413,'февраль 2024'!$D$6:$D$1413,$B204,'февраль 2024'!$J$6:$J$1413,N$1)</f>
        <v>0</v>
      </c>
      <c r="O204" s="80">
        <f>SUMIFS('февраль 2024'!$G$6:$G$1413,'февраль 2024'!$D$6:$D$1413,$B204,'февраль 2024'!$J$6:$J$1413,O$1)</f>
        <v>0</v>
      </c>
      <c r="P204" s="80">
        <f>SUMIFS('февраль 2024'!$G$6:$G$1413,'февраль 2024'!$D$6:$D$1413,$B204,'февраль 2024'!$J$6:$J$1413,P$1)</f>
        <v>0</v>
      </c>
      <c r="Q204" s="80">
        <f>SUMIFS('февраль 2024'!$G$6:$G$1413,'февраль 2024'!$D$6:$D$1413,$B204,'февраль 2024'!$J$6:$J$1413,Q$1)</f>
        <v>0</v>
      </c>
      <c r="R204" s="80">
        <f>SUMIFS('февраль 2024'!$G$6:$G$1413,'февраль 2024'!$D$6:$D$1413,$B204,'февраль 2024'!$J$6:$J$1413,R$1)</f>
        <v>0</v>
      </c>
      <c r="S204" s="80">
        <f>SUMIFS('февраль 2024'!$G$6:$G$1413,'февраль 2024'!$D$6:$D$1413,$B204,'февраль 2024'!$J$6:$J$1413,S$1)</f>
        <v>0</v>
      </c>
      <c r="T204" s="80">
        <f>SUMIFS('февраль 2024'!$G$6:$G$1413,'февраль 2024'!$D$6:$D$1413,$B204,'февраль 2024'!$J$6:$J$1413,T$1)</f>
        <v>0</v>
      </c>
      <c r="U204" s="80">
        <f>SUMIFS('февраль 2024'!$G$6:$G$1413,'февраль 2024'!$D$6:$D$1413,$B204,'февраль 2024'!$J$6:$J$1413,U$1)</f>
        <v>0</v>
      </c>
      <c r="V204" s="80">
        <f>SUMIFS('февраль 2024'!$G$6:$G$1413,'февраль 2024'!$D$6:$D$1413,$B204,'февраль 2024'!$J$6:$J$1413,V$1)</f>
        <v>0</v>
      </c>
      <c r="W204" s="80">
        <f>SUMIFS('февраль 2024'!$G$6:$G$1413,'февраль 2024'!$D$6:$D$1413,$B204,'февраль 2024'!$J$6:$J$1413,W$1)</f>
        <v>0</v>
      </c>
      <c r="X204" s="80">
        <f>SUMIFS('февраль 2024'!$G$6:$G$1413,'февраль 2024'!$D$6:$D$1413,$B204,'февраль 2024'!$J$6:$J$1413,X$1)</f>
        <v>0</v>
      </c>
      <c r="Y204" s="80">
        <f>SUMIFS('февраль 2024'!$G$6:$G$1413,'февраль 2024'!$D$6:$D$1413,$B204,'февраль 2024'!$J$6:$J$1413,Y$1)</f>
        <v>0</v>
      </c>
      <c r="Z204" s="80">
        <f>SUMIFS('февраль 2024'!$G$6:$G$1413,'февраль 2024'!$D$6:$D$1413,$B204,'февраль 2024'!$J$6:$J$1413,Z$1)</f>
        <v>0</v>
      </c>
      <c r="AA204" s="80">
        <f>SUMIFS('февраль 2024'!$G$6:$G$1413,'февраль 2024'!$D$6:$D$1413,$B204,'февраль 2024'!$J$6:$J$1413,AA$1)</f>
        <v>0</v>
      </c>
      <c r="AB204" s="80">
        <f>SUMIFS('февраль 2024'!$G$6:$G$1413,'февраль 2024'!$D$6:$D$1413,$B204,'февраль 2024'!$J$6:$J$1413,AB$1)</f>
        <v>0</v>
      </c>
      <c r="AC204" s="80">
        <f>SUMIFS('февраль 2024'!$G$6:$G$1413,'февраль 2024'!$D$6:$D$1413,$B204,'февраль 2024'!$J$6:$J$1413,AC$1)</f>
        <v>0</v>
      </c>
      <c r="AD204" s="80">
        <f>SUMIFS('февраль 2024'!$G$6:$G$1413,'февраль 2024'!$D$6:$D$1413,$B204,'февраль 2024'!$J$6:$J$1413,AD$1)</f>
        <v>0</v>
      </c>
      <c r="AE204" s="80">
        <f>SUMIFS('февраль 2024'!$G$6:$G$1413,'февраль 2024'!$D$6:$D$1413,$B204,'февраль 2024'!$J$6:$J$1413,AE$1)</f>
        <v>0</v>
      </c>
      <c r="AF204" s="80">
        <f>SUMIFS('февраль 2024'!$G$6:$G$1413,'февраль 2024'!$D$6:$D$1413,$B204,'февраль 2024'!$J$6:$J$1413,AF$1)</f>
        <v>0</v>
      </c>
      <c r="AG204" s="80">
        <f>SUMIFS('февраль 2024'!$G$6:$G$1413,'февраль 2024'!$D$6:$D$1413,$B204,'февраль 2024'!$J$6:$J$1413,AG$1)</f>
        <v>0</v>
      </c>
      <c r="AH204" s="80">
        <f>SUMIFS('февраль 2024'!$G$6:$G$1413,'февраль 2024'!$D$6:$D$1413,$B204,'февраль 2024'!$J$6:$J$1413,AH$1)</f>
        <v>0</v>
      </c>
      <c r="AI204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900-000000000000}">
          <x14:formula1>
            <xm:f>справочник!$E$1:$E$2+справочник!$E$2:$E$37</xm:f>
          </x14:formula1>
          <xm:sqref>B185:B204</xm:sqref>
        </x14:dataValidation>
        <x14:dataValidation type="list" allowBlank="1" showInputMessage="1" showErrorMessage="1" xr:uid="{00000000-0002-0000-1900-000001000000}">
          <x14:formula1>
            <xm:f>справочник!$E$2:$E$155</xm:f>
          </x14:formula1>
          <xm:sqref>B3:B184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AI200"/>
  <sheetViews>
    <sheetView showZeros="0" zoomScale="70" zoomScaleNormal="70" workbookViewId="0">
      <selection activeCell="AL83" sqref="AL83"/>
    </sheetView>
  </sheetViews>
  <sheetFormatPr defaultRowHeight="15" x14ac:dyDescent="0.25"/>
  <cols>
    <col min="1" max="1" width="2.140625" customWidth="1"/>
    <col min="2" max="2" width="41.85546875" customWidth="1"/>
    <col min="4" max="34" width="6.7109375" customWidth="1"/>
  </cols>
  <sheetData>
    <row r="1" spans="2:35" ht="15" customHeight="1" thickBot="1" x14ac:dyDescent="0.3">
      <c r="B1" s="71">
        <v>45292</v>
      </c>
      <c r="C1" s="72"/>
      <c r="D1" s="73">
        <f>B1</f>
        <v>45292</v>
      </c>
      <c r="E1" s="73">
        <f>D1+1</f>
        <v>45293</v>
      </c>
      <c r="F1" s="73">
        <f t="shared" ref="F1:AH1" si="0">E1+1</f>
        <v>45294</v>
      </c>
      <c r="G1" s="73">
        <f t="shared" si="0"/>
        <v>45295</v>
      </c>
      <c r="H1" s="73">
        <f t="shared" si="0"/>
        <v>45296</v>
      </c>
      <c r="I1" s="73">
        <f t="shared" si="0"/>
        <v>45297</v>
      </c>
      <c r="J1" s="73">
        <f t="shared" si="0"/>
        <v>45298</v>
      </c>
      <c r="K1" s="73">
        <f t="shared" si="0"/>
        <v>45299</v>
      </c>
      <c r="L1" s="73">
        <f t="shared" si="0"/>
        <v>45300</v>
      </c>
      <c r="M1" s="73">
        <f t="shared" si="0"/>
        <v>45301</v>
      </c>
      <c r="N1" s="73">
        <f t="shared" si="0"/>
        <v>45302</v>
      </c>
      <c r="O1" s="73">
        <f t="shared" si="0"/>
        <v>45303</v>
      </c>
      <c r="P1" s="73">
        <f t="shared" si="0"/>
        <v>45304</v>
      </c>
      <c r="Q1" s="73">
        <f t="shared" si="0"/>
        <v>45305</v>
      </c>
      <c r="R1" s="73">
        <f t="shared" si="0"/>
        <v>45306</v>
      </c>
      <c r="S1" s="73">
        <f t="shared" si="0"/>
        <v>45307</v>
      </c>
      <c r="T1" s="73">
        <f t="shared" si="0"/>
        <v>45308</v>
      </c>
      <c r="U1" s="73">
        <f t="shared" si="0"/>
        <v>45309</v>
      </c>
      <c r="V1" s="73">
        <f t="shared" si="0"/>
        <v>45310</v>
      </c>
      <c r="W1" s="73">
        <f t="shared" si="0"/>
        <v>45311</v>
      </c>
      <c r="X1" s="73">
        <f t="shared" si="0"/>
        <v>45312</v>
      </c>
      <c r="Y1" s="73">
        <f t="shared" si="0"/>
        <v>45313</v>
      </c>
      <c r="Z1" s="73">
        <f t="shared" si="0"/>
        <v>45314</v>
      </c>
      <c r="AA1" s="73">
        <f t="shared" si="0"/>
        <v>45315</v>
      </c>
      <c r="AB1" s="73">
        <f t="shared" si="0"/>
        <v>45316</v>
      </c>
      <c r="AC1" s="73">
        <f t="shared" si="0"/>
        <v>45317</v>
      </c>
      <c r="AD1" s="73">
        <f t="shared" si="0"/>
        <v>45318</v>
      </c>
      <c r="AE1" s="73">
        <f t="shared" si="0"/>
        <v>45319</v>
      </c>
      <c r="AF1" s="73">
        <f t="shared" si="0"/>
        <v>45320</v>
      </c>
      <c r="AG1" s="73">
        <f t="shared" si="0"/>
        <v>45321</v>
      </c>
      <c r="AH1" s="73">
        <f t="shared" si="0"/>
        <v>45322</v>
      </c>
      <c r="AI1" s="74"/>
    </row>
    <row r="2" spans="2:35" ht="15" customHeight="1" thickBot="1" x14ac:dyDescent="0.3">
      <c r="B2" s="75"/>
      <c r="C2" s="72"/>
      <c r="D2" s="76">
        <v>1</v>
      </c>
      <c r="E2" s="77">
        <v>2</v>
      </c>
      <c r="F2" s="77">
        <v>3</v>
      </c>
      <c r="G2" s="77">
        <v>4</v>
      </c>
      <c r="H2" s="77">
        <v>5</v>
      </c>
      <c r="I2" s="77">
        <v>6</v>
      </c>
      <c r="J2" s="77">
        <v>7</v>
      </c>
      <c r="K2" s="77">
        <v>8</v>
      </c>
      <c r="L2" s="77">
        <v>9</v>
      </c>
      <c r="M2" s="77">
        <v>10</v>
      </c>
      <c r="N2" s="77">
        <v>11</v>
      </c>
      <c r="O2" s="77">
        <v>12</v>
      </c>
      <c r="P2" s="77">
        <v>13</v>
      </c>
      <c r="Q2" s="77">
        <v>14</v>
      </c>
      <c r="R2" s="77">
        <v>15</v>
      </c>
      <c r="S2" s="77">
        <v>16</v>
      </c>
      <c r="T2" s="77">
        <v>17</v>
      </c>
      <c r="U2" s="77">
        <v>18</v>
      </c>
      <c r="V2" s="77">
        <v>19</v>
      </c>
      <c r="W2" s="77">
        <v>20</v>
      </c>
      <c r="X2" s="77">
        <v>21</v>
      </c>
      <c r="Y2" s="77">
        <v>22</v>
      </c>
      <c r="Z2" s="77">
        <v>23</v>
      </c>
      <c r="AA2" s="77">
        <v>24</v>
      </c>
      <c r="AB2" s="77">
        <v>25</v>
      </c>
      <c r="AC2" s="77">
        <v>26</v>
      </c>
      <c r="AD2" s="77">
        <v>27</v>
      </c>
      <c r="AE2" s="77">
        <v>28</v>
      </c>
      <c r="AF2" s="77">
        <v>29</v>
      </c>
      <c r="AG2" s="77">
        <v>30</v>
      </c>
      <c r="AH2" s="77">
        <v>31</v>
      </c>
      <c r="AI2" s="74"/>
    </row>
    <row r="3" spans="2:35" ht="15" customHeight="1" x14ac:dyDescent="0.25">
      <c r="B3" s="78" t="s">
        <v>275</v>
      </c>
      <c r="C3" s="79">
        <v>25</v>
      </c>
      <c r="D3" s="80">
        <f>SUMIFS('январь 2024'!$G$4:$G$1206,'январь 2024'!$D$4:$D$1206,$B3,'январь 2024'!$J$4:$J$1206,D$1)</f>
        <v>0</v>
      </c>
      <c r="E3" s="80">
        <f>SUMIFS('январь 2024'!$G$4:$G$1206,'январь 2024'!$D$4:$D$1206,$B3,'январь 2024'!$J$4:$J$1206,E$1)</f>
        <v>0</v>
      </c>
      <c r="F3" s="80">
        <f>SUMIFS('январь 2024'!$G$4:$G$1206,'январь 2024'!$D$4:$D$1206,$B3,'январь 2024'!$J$4:$J$1206,F$1)</f>
        <v>0</v>
      </c>
      <c r="G3" s="80">
        <f>SUMIFS('январь 2024'!$G$4:$G$1206,'январь 2024'!$D$4:$D$1206,$B3,'январь 2024'!$J$4:$J$1206,G$1)</f>
        <v>0</v>
      </c>
      <c r="H3" s="80">
        <f>SUMIFS('январь 2024'!$G$4:$G$1206,'январь 2024'!$D$4:$D$1206,$B3,'январь 2024'!$J$4:$J$1206,H$1)</f>
        <v>0</v>
      </c>
      <c r="I3" s="80">
        <f>SUMIFS('январь 2024'!$G$4:$G$1206,'январь 2024'!$D$4:$D$1206,$B3,'январь 2024'!$J$4:$J$1206,I$1)</f>
        <v>0</v>
      </c>
      <c r="J3" s="80">
        <f>SUMIFS('январь 2024'!$G$4:$G$1206,'январь 2024'!$D$4:$D$1206,$B3,'январь 2024'!$J$4:$J$1206,J$1)</f>
        <v>0</v>
      </c>
      <c r="K3" s="80">
        <f>SUMIFS('январь 2024'!$G$4:$G$1206,'январь 2024'!$D$4:$D$1206,$B3,'январь 2024'!$J$4:$J$1206,K$1)</f>
        <v>0</v>
      </c>
      <c r="L3" s="80">
        <f>SUMIFS('январь 2024'!$G$4:$G$1206,'январь 2024'!$D$4:$D$1206,$B3,'январь 2024'!$J$4:$J$1206,L$1)</f>
        <v>0</v>
      </c>
      <c r="M3" s="80">
        <f>SUMIFS('январь 2024'!$G$4:$G$1206,'январь 2024'!$D$4:$D$1206,$B3,'январь 2024'!$J$4:$J$1206,M$1)</f>
        <v>0</v>
      </c>
      <c r="N3" s="80">
        <f>SUMIFS('январь 2024'!$G$4:$G$1206,'январь 2024'!$D$4:$D$1206,$B3,'январь 2024'!$J$4:$J$1206,N$1)</f>
        <v>0</v>
      </c>
      <c r="O3" s="80">
        <f>SUMIFS('январь 2024'!$G$4:$G$1206,'январь 2024'!$D$4:$D$1206,$B3,'январь 2024'!$J$4:$J$1206,O$1)</f>
        <v>0</v>
      </c>
      <c r="P3" s="80">
        <f>SUMIFS('январь 2024'!$G$4:$G$1206,'январь 2024'!$D$4:$D$1206,$B3,'январь 2024'!$J$4:$J$1206,P$1)</f>
        <v>0</v>
      </c>
      <c r="Q3" s="80">
        <f>SUMIFS('январь 2024'!$G$4:$G$1206,'январь 2024'!$D$4:$D$1206,$B3,'январь 2024'!$J$4:$J$1206,Q$1)</f>
        <v>0</v>
      </c>
      <c r="R3" s="80">
        <f>SUMIFS('январь 2024'!$G$4:$G$1206,'январь 2024'!$D$4:$D$1206,$B3,'январь 2024'!$J$4:$J$1206,R$1)</f>
        <v>0</v>
      </c>
      <c r="S3" s="80">
        <f>SUMIFS('январь 2024'!$G$4:$G$1206,'январь 2024'!$D$4:$D$1206,$B3,'январь 2024'!$J$4:$J$1206,S$1)</f>
        <v>0</v>
      </c>
      <c r="T3" s="80">
        <f>SUMIFS('январь 2024'!$G$4:$G$1206,'январь 2024'!$D$4:$D$1206,$B3,'январь 2024'!$J$4:$J$1206,T$1)</f>
        <v>0</v>
      </c>
      <c r="U3" s="80">
        <f>SUMIFS('январь 2024'!$G$4:$G$1206,'январь 2024'!$D$4:$D$1206,$B3,'январь 2024'!$J$4:$J$1206,U$1)</f>
        <v>0</v>
      </c>
      <c r="V3" s="80">
        <f>SUMIFS('январь 2024'!$G$4:$G$1206,'январь 2024'!$D$4:$D$1206,$B3,'январь 2024'!$J$4:$J$1206,V$1)</f>
        <v>0</v>
      </c>
      <c r="W3" s="80">
        <f>SUMIFS('январь 2024'!$G$4:$G$1206,'январь 2024'!$D$4:$D$1206,$B3,'январь 2024'!$J$4:$J$1206,W$1)</f>
        <v>0</v>
      </c>
      <c r="X3" s="80">
        <f>SUMIFS('январь 2024'!$G$4:$G$1206,'январь 2024'!$D$4:$D$1206,$B3,'январь 2024'!$J$4:$J$1206,X$1)</f>
        <v>0</v>
      </c>
      <c r="Y3" s="80">
        <f>SUMIFS('январь 2024'!$G$4:$G$1206,'январь 2024'!$D$4:$D$1206,$B3,'январь 2024'!$J$4:$J$1206,Y$1)</f>
        <v>0</v>
      </c>
      <c r="Z3" s="80">
        <f>SUMIFS('январь 2024'!$G$4:$G$1206,'январь 2024'!$D$4:$D$1206,$B3,'январь 2024'!$J$4:$J$1206,Z$1)</f>
        <v>0</v>
      </c>
      <c r="AA3" s="80">
        <f>SUMIFS('январь 2024'!$G$4:$G$1206,'январь 2024'!$D$4:$D$1206,$B3,'январь 2024'!$J$4:$J$1206,AA$1)</f>
        <v>0</v>
      </c>
      <c r="AB3" s="80">
        <f>SUMIFS('январь 2024'!$G$4:$G$1206,'январь 2024'!$D$4:$D$1206,$B3,'январь 2024'!$J$4:$J$1206,AB$1)</f>
        <v>0</v>
      </c>
      <c r="AC3" s="80">
        <f>SUMIFS('январь 2024'!$G$4:$G$1206,'январь 2024'!$D$4:$D$1206,$B3,'январь 2024'!$J$4:$J$1206,AC$1)</f>
        <v>0</v>
      </c>
      <c r="AD3" s="80">
        <f>SUMIFS('январь 2024'!$G$4:$G$1206,'январь 2024'!$D$4:$D$1206,$B3,'январь 2024'!$J$4:$J$1206,AD$1)</f>
        <v>0</v>
      </c>
      <c r="AE3" s="80">
        <f>SUMIFS('январь 2024'!$G$4:$G$1206,'январь 2024'!$D$4:$D$1206,$B3,'январь 2024'!$J$4:$J$1206,AE$1)</f>
        <v>0</v>
      </c>
      <c r="AF3" s="80">
        <f>SUMIFS('январь 2024'!$G$4:$G$1206,'январь 2024'!$D$4:$D$1206,$B3,'январь 2024'!$J$4:$J$1206,AF$1)</f>
        <v>0</v>
      </c>
      <c r="AG3" s="80">
        <f>SUMIFS('январь 2024'!$G$4:$G$1206,'январь 2024'!$D$4:$D$1206,$B3,'январь 2024'!$J$4:$J$1206,AG$1)</f>
        <v>0</v>
      </c>
      <c r="AH3" s="80">
        <f>SUMIFS('январь 2024'!$G$4:$G$1206,'январь 2024'!$D$4:$D$1206,$B3,'январь 2024'!$J$4:$J$1206,AH$1)</f>
        <v>0</v>
      </c>
      <c r="AI3" s="49">
        <f t="shared" ref="AI3:AI132" si="1">SUM(D3:AH3)</f>
        <v>0</v>
      </c>
    </row>
    <row r="4" spans="2:35" ht="15" customHeight="1" x14ac:dyDescent="0.25">
      <c r="B4" s="81" t="s">
        <v>277</v>
      </c>
      <c r="C4" s="82">
        <v>25</v>
      </c>
      <c r="D4" s="80">
        <f>SUMIFS('январь 2024'!$G$4:$G$1206,'январь 2024'!$D$4:$D$1206,$B4,'январь 2024'!$J$4:$J$1206,D$1)</f>
        <v>0</v>
      </c>
      <c r="E4" s="80">
        <f>SUMIFS('январь 2024'!$G$4:$G$1206,'январь 2024'!$D$4:$D$1206,$B4,'январь 2024'!$J$4:$J$1206,E$1)</f>
        <v>0</v>
      </c>
      <c r="F4" s="80">
        <f>SUMIFS('январь 2024'!$G$4:$G$1206,'январь 2024'!$D$4:$D$1206,$B4,'январь 2024'!$J$4:$J$1206,F$1)</f>
        <v>0</v>
      </c>
      <c r="G4" s="80">
        <f>SUMIFS('январь 2024'!$G$4:$G$1206,'январь 2024'!$D$4:$D$1206,$B4,'январь 2024'!$J$4:$J$1206,G$1)</f>
        <v>0</v>
      </c>
      <c r="H4" s="80">
        <f>SUMIFS('январь 2024'!$G$4:$G$1206,'январь 2024'!$D$4:$D$1206,$B4,'январь 2024'!$J$4:$J$1206,H$1)</f>
        <v>0</v>
      </c>
      <c r="I4" s="80">
        <f>SUMIFS('январь 2024'!$G$4:$G$1206,'январь 2024'!$D$4:$D$1206,$B4,'январь 2024'!$J$4:$J$1206,I$1)</f>
        <v>0</v>
      </c>
      <c r="J4" s="80">
        <f>SUMIFS('январь 2024'!$G$4:$G$1206,'январь 2024'!$D$4:$D$1206,$B4,'январь 2024'!$J$4:$J$1206,J$1)</f>
        <v>0</v>
      </c>
      <c r="K4" s="80">
        <f>SUMIFS('январь 2024'!$G$4:$G$1206,'январь 2024'!$D$4:$D$1206,$B4,'январь 2024'!$J$4:$J$1206,K$1)</f>
        <v>0</v>
      </c>
      <c r="L4" s="80">
        <f>SUMIFS('январь 2024'!$G$4:$G$1206,'январь 2024'!$D$4:$D$1206,$B4,'январь 2024'!$J$4:$J$1206,L$1)</f>
        <v>0</v>
      </c>
      <c r="M4" s="80">
        <f>SUMIFS('январь 2024'!$G$4:$G$1206,'январь 2024'!$D$4:$D$1206,$B4,'январь 2024'!$J$4:$J$1206,M$1)</f>
        <v>0</v>
      </c>
      <c r="N4" s="80">
        <f>SUMIFS('январь 2024'!$G$4:$G$1206,'январь 2024'!$D$4:$D$1206,$B4,'январь 2024'!$J$4:$J$1206,N$1)</f>
        <v>0</v>
      </c>
      <c r="O4" s="80">
        <f>SUMIFS('январь 2024'!$G$4:$G$1206,'январь 2024'!$D$4:$D$1206,$B4,'январь 2024'!$J$4:$J$1206,O$1)</f>
        <v>0</v>
      </c>
      <c r="P4" s="80">
        <f>SUMIFS('январь 2024'!$G$4:$G$1206,'январь 2024'!$D$4:$D$1206,$B4,'январь 2024'!$J$4:$J$1206,P$1)</f>
        <v>0</v>
      </c>
      <c r="Q4" s="80">
        <f>SUMIFS('январь 2024'!$G$4:$G$1206,'январь 2024'!$D$4:$D$1206,$B4,'январь 2024'!$J$4:$J$1206,Q$1)</f>
        <v>0</v>
      </c>
      <c r="R4" s="80">
        <f>SUMIFS('январь 2024'!$G$4:$G$1206,'январь 2024'!$D$4:$D$1206,$B4,'январь 2024'!$J$4:$J$1206,R$1)</f>
        <v>0</v>
      </c>
      <c r="S4" s="80">
        <f>SUMIFS('январь 2024'!$G$4:$G$1206,'январь 2024'!$D$4:$D$1206,$B4,'январь 2024'!$J$4:$J$1206,S$1)</f>
        <v>0</v>
      </c>
      <c r="T4" s="80">
        <f>SUMIFS('январь 2024'!$G$4:$G$1206,'январь 2024'!$D$4:$D$1206,$B4,'январь 2024'!$J$4:$J$1206,T$1)</f>
        <v>0</v>
      </c>
      <c r="U4" s="80">
        <f>SUMIFS('январь 2024'!$G$4:$G$1206,'январь 2024'!$D$4:$D$1206,$B4,'январь 2024'!$J$4:$J$1206,U$1)</f>
        <v>0</v>
      </c>
      <c r="V4" s="80">
        <f>SUMIFS('январь 2024'!$G$4:$G$1206,'январь 2024'!$D$4:$D$1206,$B4,'январь 2024'!$J$4:$J$1206,V$1)</f>
        <v>0</v>
      </c>
      <c r="W4" s="80">
        <f>SUMIFS('январь 2024'!$G$4:$G$1206,'январь 2024'!$D$4:$D$1206,$B4,'январь 2024'!$J$4:$J$1206,W$1)</f>
        <v>0</v>
      </c>
      <c r="X4" s="80">
        <f>SUMIFS('январь 2024'!$G$4:$G$1206,'январь 2024'!$D$4:$D$1206,$B4,'январь 2024'!$J$4:$J$1206,X$1)</f>
        <v>0</v>
      </c>
      <c r="Y4" s="80">
        <f>SUMIFS('январь 2024'!$G$4:$G$1206,'январь 2024'!$D$4:$D$1206,$B4,'январь 2024'!$J$4:$J$1206,Y$1)</f>
        <v>0</v>
      </c>
      <c r="Z4" s="80">
        <f>SUMIFS('январь 2024'!$G$4:$G$1206,'январь 2024'!$D$4:$D$1206,$B4,'январь 2024'!$J$4:$J$1206,Z$1)</f>
        <v>0</v>
      </c>
      <c r="AA4" s="80">
        <f>SUMIFS('январь 2024'!$G$4:$G$1206,'январь 2024'!$D$4:$D$1206,$B4,'январь 2024'!$J$4:$J$1206,AA$1)</f>
        <v>0</v>
      </c>
      <c r="AB4" s="80">
        <f>SUMIFS('январь 2024'!$G$4:$G$1206,'январь 2024'!$D$4:$D$1206,$B4,'январь 2024'!$J$4:$J$1206,AB$1)</f>
        <v>0</v>
      </c>
      <c r="AC4" s="80">
        <f>SUMIFS('январь 2024'!$G$4:$G$1206,'январь 2024'!$D$4:$D$1206,$B4,'январь 2024'!$J$4:$J$1206,AC$1)</f>
        <v>0</v>
      </c>
      <c r="AD4" s="80">
        <f>SUMIFS('январь 2024'!$G$4:$G$1206,'январь 2024'!$D$4:$D$1206,$B4,'январь 2024'!$J$4:$J$1206,AD$1)</f>
        <v>0</v>
      </c>
      <c r="AE4" s="80">
        <f>SUMIFS('январь 2024'!$G$4:$G$1206,'январь 2024'!$D$4:$D$1206,$B4,'январь 2024'!$J$4:$J$1206,AE$1)</f>
        <v>0</v>
      </c>
      <c r="AF4" s="80">
        <f>SUMIFS('январь 2024'!$G$4:$G$1206,'январь 2024'!$D$4:$D$1206,$B4,'январь 2024'!$J$4:$J$1206,AF$1)</f>
        <v>0</v>
      </c>
      <c r="AG4" s="80">
        <f>SUMIFS('январь 2024'!$G$4:$G$1206,'январь 2024'!$D$4:$D$1206,$B4,'январь 2024'!$J$4:$J$1206,AG$1)</f>
        <v>0</v>
      </c>
      <c r="AH4" s="80">
        <f>SUMIFS('январь 2024'!$G$4:$G$1206,'январь 2024'!$D$4:$D$1206,$B4,'январь 2024'!$J$4:$J$1206,AH$1)</f>
        <v>0</v>
      </c>
      <c r="AI4" s="21">
        <f t="shared" si="1"/>
        <v>0</v>
      </c>
    </row>
    <row r="5" spans="2:35" ht="15" customHeight="1" x14ac:dyDescent="0.25">
      <c r="B5" s="81" t="s">
        <v>279</v>
      </c>
      <c r="C5" s="82">
        <v>25</v>
      </c>
      <c r="D5" s="80">
        <f>SUMIFS('январь 2024'!$G$4:$G$1206,'январь 2024'!$D$4:$D$1206,$B5,'январь 2024'!$J$4:$J$1206,D$1)</f>
        <v>0</v>
      </c>
      <c r="E5" s="80">
        <f>SUMIFS('январь 2024'!$G$4:$G$1206,'январь 2024'!$D$4:$D$1206,$B5,'январь 2024'!$J$4:$J$1206,E$1)</f>
        <v>0</v>
      </c>
      <c r="F5" s="80">
        <f>SUMIFS('январь 2024'!$G$4:$G$1206,'январь 2024'!$D$4:$D$1206,$B5,'январь 2024'!$J$4:$J$1206,F$1)</f>
        <v>0</v>
      </c>
      <c r="G5" s="80">
        <f>SUMIFS('январь 2024'!$G$4:$G$1206,'январь 2024'!$D$4:$D$1206,$B5,'январь 2024'!$J$4:$J$1206,G$1)</f>
        <v>0</v>
      </c>
      <c r="H5" s="80">
        <f>SUMIFS('январь 2024'!$G$4:$G$1206,'январь 2024'!$D$4:$D$1206,$B5,'январь 2024'!$J$4:$J$1206,H$1)</f>
        <v>0</v>
      </c>
      <c r="I5" s="80">
        <f>SUMIFS('январь 2024'!$G$4:$G$1206,'январь 2024'!$D$4:$D$1206,$B5,'январь 2024'!$J$4:$J$1206,I$1)</f>
        <v>0</v>
      </c>
      <c r="J5" s="80">
        <f>SUMIFS('январь 2024'!$G$4:$G$1206,'январь 2024'!$D$4:$D$1206,$B5,'январь 2024'!$J$4:$J$1206,J$1)</f>
        <v>0</v>
      </c>
      <c r="K5" s="80">
        <f>SUMIFS('январь 2024'!$G$4:$G$1206,'январь 2024'!$D$4:$D$1206,$B5,'январь 2024'!$J$4:$J$1206,K$1)</f>
        <v>0</v>
      </c>
      <c r="L5" s="80">
        <f>SUMIFS('январь 2024'!$G$4:$G$1206,'январь 2024'!$D$4:$D$1206,$B5,'январь 2024'!$J$4:$J$1206,L$1)</f>
        <v>0</v>
      </c>
      <c r="M5" s="80">
        <f>SUMIFS('январь 2024'!$G$4:$G$1206,'январь 2024'!$D$4:$D$1206,$B5,'январь 2024'!$J$4:$J$1206,M$1)</f>
        <v>0</v>
      </c>
      <c r="N5" s="80">
        <f>SUMIFS('январь 2024'!$G$4:$G$1206,'январь 2024'!$D$4:$D$1206,$B5,'январь 2024'!$J$4:$J$1206,N$1)</f>
        <v>0</v>
      </c>
      <c r="O5" s="80">
        <f>SUMIFS('январь 2024'!$G$4:$G$1206,'январь 2024'!$D$4:$D$1206,$B5,'январь 2024'!$J$4:$J$1206,O$1)</f>
        <v>0</v>
      </c>
      <c r="P5" s="80">
        <f>SUMIFS('январь 2024'!$G$4:$G$1206,'январь 2024'!$D$4:$D$1206,$B5,'январь 2024'!$J$4:$J$1206,P$1)</f>
        <v>0</v>
      </c>
      <c r="Q5" s="80">
        <f>SUMIFS('январь 2024'!$G$4:$G$1206,'январь 2024'!$D$4:$D$1206,$B5,'январь 2024'!$J$4:$J$1206,Q$1)</f>
        <v>0</v>
      </c>
      <c r="R5" s="80">
        <f>SUMIFS('январь 2024'!$G$4:$G$1206,'январь 2024'!$D$4:$D$1206,$B5,'январь 2024'!$J$4:$J$1206,R$1)</f>
        <v>0</v>
      </c>
      <c r="S5" s="80">
        <f>SUMIFS('январь 2024'!$G$4:$G$1206,'январь 2024'!$D$4:$D$1206,$B5,'январь 2024'!$J$4:$J$1206,S$1)</f>
        <v>0</v>
      </c>
      <c r="T5" s="80">
        <f>SUMIFS('январь 2024'!$G$4:$G$1206,'январь 2024'!$D$4:$D$1206,$B5,'январь 2024'!$J$4:$J$1206,T$1)</f>
        <v>0</v>
      </c>
      <c r="U5" s="80">
        <f>SUMIFS('январь 2024'!$G$4:$G$1206,'январь 2024'!$D$4:$D$1206,$B5,'январь 2024'!$J$4:$J$1206,U$1)</f>
        <v>0</v>
      </c>
      <c r="V5" s="80">
        <f>SUMIFS('январь 2024'!$G$4:$G$1206,'январь 2024'!$D$4:$D$1206,$B5,'январь 2024'!$J$4:$J$1206,V$1)</f>
        <v>0</v>
      </c>
      <c r="W5" s="80">
        <f>SUMIFS('январь 2024'!$G$4:$G$1206,'январь 2024'!$D$4:$D$1206,$B5,'январь 2024'!$J$4:$J$1206,W$1)</f>
        <v>0</v>
      </c>
      <c r="X5" s="80">
        <f>SUMIFS('январь 2024'!$G$4:$G$1206,'январь 2024'!$D$4:$D$1206,$B5,'январь 2024'!$J$4:$J$1206,X$1)</f>
        <v>0</v>
      </c>
      <c r="Y5" s="80">
        <f>SUMIFS('январь 2024'!$G$4:$G$1206,'январь 2024'!$D$4:$D$1206,$B5,'январь 2024'!$J$4:$J$1206,Y$1)</f>
        <v>0</v>
      </c>
      <c r="Z5" s="80">
        <f>SUMIFS('январь 2024'!$G$4:$G$1206,'январь 2024'!$D$4:$D$1206,$B5,'январь 2024'!$J$4:$J$1206,Z$1)</f>
        <v>0</v>
      </c>
      <c r="AA5" s="80">
        <f>SUMIFS('январь 2024'!$G$4:$G$1206,'январь 2024'!$D$4:$D$1206,$B5,'январь 2024'!$J$4:$J$1206,AA$1)</f>
        <v>800</v>
      </c>
      <c r="AB5" s="80">
        <f>SUMIFS('январь 2024'!$G$4:$G$1206,'январь 2024'!$D$4:$D$1206,$B5,'январь 2024'!$J$4:$J$1206,AB$1)</f>
        <v>0</v>
      </c>
      <c r="AC5" s="80">
        <f>SUMIFS('январь 2024'!$G$4:$G$1206,'январь 2024'!$D$4:$D$1206,$B5,'январь 2024'!$J$4:$J$1206,AC$1)</f>
        <v>0</v>
      </c>
      <c r="AD5" s="80">
        <f>SUMIFS('январь 2024'!$G$4:$G$1206,'январь 2024'!$D$4:$D$1206,$B5,'январь 2024'!$J$4:$J$1206,AD$1)</f>
        <v>0</v>
      </c>
      <c r="AE5" s="80">
        <f>SUMIFS('январь 2024'!$G$4:$G$1206,'январь 2024'!$D$4:$D$1206,$B5,'январь 2024'!$J$4:$J$1206,AE$1)</f>
        <v>0</v>
      </c>
      <c r="AF5" s="80">
        <f>SUMIFS('январь 2024'!$G$4:$G$1206,'январь 2024'!$D$4:$D$1206,$B5,'январь 2024'!$J$4:$J$1206,AF$1)</f>
        <v>0</v>
      </c>
      <c r="AG5" s="80">
        <f>SUMIFS('январь 2024'!$G$4:$G$1206,'январь 2024'!$D$4:$D$1206,$B5,'январь 2024'!$J$4:$J$1206,AG$1)</f>
        <v>0</v>
      </c>
      <c r="AH5" s="80">
        <f>SUMIFS('январь 2024'!$G$4:$G$1206,'январь 2024'!$D$4:$D$1206,$B5,'январь 2024'!$J$4:$J$1206,AH$1)</f>
        <v>0</v>
      </c>
      <c r="AI5" s="21">
        <f t="shared" si="1"/>
        <v>800</v>
      </c>
    </row>
    <row r="6" spans="2:35" ht="15" customHeight="1" x14ac:dyDescent="0.25">
      <c r="B6" s="81" t="s">
        <v>281</v>
      </c>
      <c r="C6" s="82">
        <v>22.7</v>
      </c>
      <c r="D6" s="80">
        <f>SUMIFS('январь 2024'!$G$4:$G$1206,'январь 2024'!$D$4:$D$1206,$B6,'январь 2024'!$J$4:$J$1206,D$1)</f>
        <v>0</v>
      </c>
      <c r="E6" s="80">
        <f>SUMIFS('январь 2024'!$G$4:$G$1206,'январь 2024'!$D$4:$D$1206,$B6,'январь 2024'!$J$4:$J$1206,E$1)</f>
        <v>0</v>
      </c>
      <c r="F6" s="80">
        <f>SUMIFS('январь 2024'!$G$4:$G$1206,'январь 2024'!$D$4:$D$1206,$B6,'январь 2024'!$J$4:$J$1206,F$1)</f>
        <v>0</v>
      </c>
      <c r="G6" s="80">
        <f>SUMIFS('январь 2024'!$G$4:$G$1206,'январь 2024'!$D$4:$D$1206,$B6,'январь 2024'!$J$4:$J$1206,G$1)</f>
        <v>0</v>
      </c>
      <c r="H6" s="80">
        <f>SUMIFS('январь 2024'!$G$4:$G$1206,'январь 2024'!$D$4:$D$1206,$B6,'январь 2024'!$J$4:$J$1206,H$1)</f>
        <v>0</v>
      </c>
      <c r="I6" s="80">
        <f>SUMIFS('январь 2024'!$G$4:$G$1206,'январь 2024'!$D$4:$D$1206,$B6,'январь 2024'!$J$4:$J$1206,I$1)</f>
        <v>0</v>
      </c>
      <c r="J6" s="80">
        <f>SUMIFS('январь 2024'!$G$4:$G$1206,'январь 2024'!$D$4:$D$1206,$B6,'январь 2024'!$J$4:$J$1206,J$1)</f>
        <v>0</v>
      </c>
      <c r="K6" s="80">
        <f>SUMIFS('январь 2024'!$G$4:$G$1206,'январь 2024'!$D$4:$D$1206,$B6,'январь 2024'!$J$4:$J$1206,K$1)</f>
        <v>0</v>
      </c>
      <c r="L6" s="80">
        <f>SUMIFS('январь 2024'!$G$4:$G$1206,'январь 2024'!$D$4:$D$1206,$B6,'январь 2024'!$J$4:$J$1206,L$1)</f>
        <v>0</v>
      </c>
      <c r="M6" s="80">
        <f>SUMIFS('январь 2024'!$G$4:$G$1206,'январь 2024'!$D$4:$D$1206,$B6,'январь 2024'!$J$4:$J$1206,M$1)</f>
        <v>0</v>
      </c>
      <c r="N6" s="80">
        <f>SUMIFS('январь 2024'!$G$4:$G$1206,'январь 2024'!$D$4:$D$1206,$B6,'январь 2024'!$J$4:$J$1206,N$1)</f>
        <v>0</v>
      </c>
      <c r="O6" s="80">
        <f>SUMIFS('январь 2024'!$G$4:$G$1206,'январь 2024'!$D$4:$D$1206,$B6,'январь 2024'!$J$4:$J$1206,O$1)</f>
        <v>0</v>
      </c>
      <c r="P6" s="80">
        <f>SUMIFS('январь 2024'!$G$4:$G$1206,'январь 2024'!$D$4:$D$1206,$B6,'январь 2024'!$J$4:$J$1206,P$1)</f>
        <v>0</v>
      </c>
      <c r="Q6" s="80">
        <f>SUMIFS('январь 2024'!$G$4:$G$1206,'январь 2024'!$D$4:$D$1206,$B6,'январь 2024'!$J$4:$J$1206,Q$1)</f>
        <v>0</v>
      </c>
      <c r="R6" s="80">
        <f>SUMIFS('январь 2024'!$G$4:$G$1206,'январь 2024'!$D$4:$D$1206,$B6,'январь 2024'!$J$4:$J$1206,R$1)</f>
        <v>0</v>
      </c>
      <c r="S6" s="80">
        <f>SUMIFS('январь 2024'!$G$4:$G$1206,'январь 2024'!$D$4:$D$1206,$B6,'январь 2024'!$J$4:$J$1206,S$1)</f>
        <v>0</v>
      </c>
      <c r="T6" s="80">
        <f>SUMIFS('январь 2024'!$G$4:$G$1206,'январь 2024'!$D$4:$D$1206,$B6,'январь 2024'!$J$4:$J$1206,T$1)</f>
        <v>0</v>
      </c>
      <c r="U6" s="80">
        <f>SUMIFS('январь 2024'!$G$4:$G$1206,'январь 2024'!$D$4:$D$1206,$B6,'январь 2024'!$J$4:$J$1206,U$1)</f>
        <v>0</v>
      </c>
      <c r="V6" s="80">
        <f>SUMIFS('январь 2024'!$G$4:$G$1206,'январь 2024'!$D$4:$D$1206,$B6,'январь 2024'!$J$4:$J$1206,V$1)</f>
        <v>0</v>
      </c>
      <c r="W6" s="80">
        <f>SUMIFS('январь 2024'!$G$4:$G$1206,'январь 2024'!$D$4:$D$1206,$B6,'январь 2024'!$J$4:$J$1206,W$1)</f>
        <v>0</v>
      </c>
      <c r="X6" s="80">
        <f>SUMIFS('январь 2024'!$G$4:$G$1206,'январь 2024'!$D$4:$D$1206,$B6,'январь 2024'!$J$4:$J$1206,X$1)</f>
        <v>0</v>
      </c>
      <c r="Y6" s="80">
        <f>SUMIFS('январь 2024'!$G$4:$G$1206,'январь 2024'!$D$4:$D$1206,$B6,'январь 2024'!$J$4:$J$1206,Y$1)</f>
        <v>0</v>
      </c>
      <c r="Z6" s="80">
        <f>SUMIFS('январь 2024'!$G$4:$G$1206,'январь 2024'!$D$4:$D$1206,$B6,'январь 2024'!$J$4:$J$1206,Z$1)</f>
        <v>0</v>
      </c>
      <c r="AA6" s="80">
        <f>SUMIFS('январь 2024'!$G$4:$G$1206,'январь 2024'!$D$4:$D$1206,$B6,'январь 2024'!$J$4:$J$1206,AA$1)</f>
        <v>0</v>
      </c>
      <c r="AB6" s="80">
        <f>SUMIFS('январь 2024'!$G$4:$G$1206,'январь 2024'!$D$4:$D$1206,$B6,'январь 2024'!$J$4:$J$1206,AB$1)</f>
        <v>0</v>
      </c>
      <c r="AC6" s="80">
        <f>SUMIFS('январь 2024'!$G$4:$G$1206,'январь 2024'!$D$4:$D$1206,$B6,'январь 2024'!$J$4:$J$1206,AC$1)</f>
        <v>0</v>
      </c>
      <c r="AD6" s="80">
        <f>SUMIFS('январь 2024'!$G$4:$G$1206,'январь 2024'!$D$4:$D$1206,$B6,'январь 2024'!$J$4:$J$1206,AD$1)</f>
        <v>0</v>
      </c>
      <c r="AE6" s="80">
        <f>SUMIFS('январь 2024'!$G$4:$G$1206,'январь 2024'!$D$4:$D$1206,$B6,'январь 2024'!$J$4:$J$1206,AE$1)</f>
        <v>0</v>
      </c>
      <c r="AF6" s="80">
        <f>SUMIFS('январь 2024'!$G$4:$G$1206,'январь 2024'!$D$4:$D$1206,$B6,'январь 2024'!$J$4:$J$1206,AF$1)</f>
        <v>0</v>
      </c>
      <c r="AG6" s="80">
        <f>SUMIFS('январь 2024'!$G$4:$G$1206,'январь 2024'!$D$4:$D$1206,$B6,'январь 2024'!$J$4:$J$1206,AG$1)</f>
        <v>0</v>
      </c>
      <c r="AH6" s="80">
        <f>SUMIFS('январь 2024'!$G$4:$G$1206,'январь 2024'!$D$4:$D$1206,$B6,'январь 2024'!$J$4:$J$1206,AH$1)</f>
        <v>0</v>
      </c>
      <c r="AI6" s="21">
        <f t="shared" si="1"/>
        <v>0</v>
      </c>
    </row>
    <row r="7" spans="2:35" ht="15" customHeight="1" x14ac:dyDescent="0.25">
      <c r="B7" s="81" t="s">
        <v>283</v>
      </c>
      <c r="C7" s="82">
        <v>22.7</v>
      </c>
      <c r="D7" s="80">
        <f>SUMIFS('январь 2024'!$G$4:$G$1206,'январь 2024'!$D$4:$D$1206,$B7,'январь 2024'!$J$4:$J$1206,D$1)</f>
        <v>0</v>
      </c>
      <c r="E7" s="80">
        <f>SUMIFS('январь 2024'!$G$4:$G$1206,'январь 2024'!$D$4:$D$1206,$B7,'январь 2024'!$J$4:$J$1206,E$1)</f>
        <v>0</v>
      </c>
      <c r="F7" s="80">
        <f>SUMIFS('январь 2024'!$G$4:$G$1206,'январь 2024'!$D$4:$D$1206,$B7,'январь 2024'!$J$4:$J$1206,F$1)</f>
        <v>0</v>
      </c>
      <c r="G7" s="80">
        <f>SUMIFS('январь 2024'!$G$4:$G$1206,'январь 2024'!$D$4:$D$1206,$B7,'январь 2024'!$J$4:$J$1206,G$1)</f>
        <v>0</v>
      </c>
      <c r="H7" s="80">
        <f>SUMIFS('январь 2024'!$G$4:$G$1206,'январь 2024'!$D$4:$D$1206,$B7,'январь 2024'!$J$4:$J$1206,H$1)</f>
        <v>0</v>
      </c>
      <c r="I7" s="80">
        <f>SUMIFS('январь 2024'!$G$4:$G$1206,'январь 2024'!$D$4:$D$1206,$B7,'январь 2024'!$J$4:$J$1206,I$1)</f>
        <v>0</v>
      </c>
      <c r="J7" s="80">
        <f>SUMIFS('январь 2024'!$G$4:$G$1206,'январь 2024'!$D$4:$D$1206,$B7,'январь 2024'!$J$4:$J$1206,J$1)</f>
        <v>0</v>
      </c>
      <c r="K7" s="80">
        <f>SUMIFS('январь 2024'!$G$4:$G$1206,'январь 2024'!$D$4:$D$1206,$B7,'январь 2024'!$J$4:$J$1206,K$1)</f>
        <v>0</v>
      </c>
      <c r="L7" s="80">
        <f>SUMIFS('январь 2024'!$G$4:$G$1206,'январь 2024'!$D$4:$D$1206,$B7,'январь 2024'!$J$4:$J$1206,L$1)</f>
        <v>0</v>
      </c>
      <c r="M7" s="80">
        <f>SUMIFS('январь 2024'!$G$4:$G$1206,'январь 2024'!$D$4:$D$1206,$B7,'январь 2024'!$J$4:$J$1206,M$1)</f>
        <v>0</v>
      </c>
      <c r="N7" s="80">
        <f>SUMIFS('январь 2024'!$G$4:$G$1206,'январь 2024'!$D$4:$D$1206,$B7,'январь 2024'!$J$4:$J$1206,N$1)</f>
        <v>0</v>
      </c>
      <c r="O7" s="80">
        <f>SUMIFS('январь 2024'!$G$4:$G$1206,'январь 2024'!$D$4:$D$1206,$B7,'январь 2024'!$J$4:$J$1206,O$1)</f>
        <v>0</v>
      </c>
      <c r="P7" s="80">
        <f>SUMIFS('январь 2024'!$G$4:$G$1206,'январь 2024'!$D$4:$D$1206,$B7,'январь 2024'!$J$4:$J$1206,P$1)</f>
        <v>0</v>
      </c>
      <c r="Q7" s="80">
        <f>SUMIFS('январь 2024'!$G$4:$G$1206,'январь 2024'!$D$4:$D$1206,$B7,'январь 2024'!$J$4:$J$1206,Q$1)</f>
        <v>0</v>
      </c>
      <c r="R7" s="80">
        <f>SUMIFS('январь 2024'!$G$4:$G$1206,'январь 2024'!$D$4:$D$1206,$B7,'январь 2024'!$J$4:$J$1206,R$1)</f>
        <v>0</v>
      </c>
      <c r="S7" s="80">
        <f>SUMIFS('январь 2024'!$G$4:$G$1206,'январь 2024'!$D$4:$D$1206,$B7,'январь 2024'!$J$4:$J$1206,S$1)</f>
        <v>0</v>
      </c>
      <c r="T7" s="80">
        <f>SUMIFS('январь 2024'!$G$4:$G$1206,'январь 2024'!$D$4:$D$1206,$B7,'январь 2024'!$J$4:$J$1206,T$1)</f>
        <v>0</v>
      </c>
      <c r="U7" s="80">
        <f>SUMIFS('январь 2024'!$G$4:$G$1206,'январь 2024'!$D$4:$D$1206,$B7,'январь 2024'!$J$4:$J$1206,U$1)</f>
        <v>0</v>
      </c>
      <c r="V7" s="80">
        <f>SUMIFS('январь 2024'!$G$4:$G$1206,'январь 2024'!$D$4:$D$1206,$B7,'январь 2024'!$J$4:$J$1206,V$1)</f>
        <v>0</v>
      </c>
      <c r="W7" s="80">
        <f>SUMIFS('январь 2024'!$G$4:$G$1206,'январь 2024'!$D$4:$D$1206,$B7,'январь 2024'!$J$4:$J$1206,W$1)</f>
        <v>0</v>
      </c>
      <c r="X7" s="80">
        <f>SUMIFS('январь 2024'!$G$4:$G$1206,'январь 2024'!$D$4:$D$1206,$B7,'январь 2024'!$J$4:$J$1206,X$1)</f>
        <v>0</v>
      </c>
      <c r="Y7" s="80">
        <f>SUMIFS('январь 2024'!$G$4:$G$1206,'январь 2024'!$D$4:$D$1206,$B7,'январь 2024'!$J$4:$J$1206,Y$1)</f>
        <v>0</v>
      </c>
      <c r="Z7" s="80">
        <f>SUMIFS('январь 2024'!$G$4:$G$1206,'январь 2024'!$D$4:$D$1206,$B7,'январь 2024'!$J$4:$J$1206,Z$1)</f>
        <v>0</v>
      </c>
      <c r="AA7" s="80">
        <f>SUMIFS('январь 2024'!$G$4:$G$1206,'январь 2024'!$D$4:$D$1206,$B7,'январь 2024'!$J$4:$J$1206,AA$1)</f>
        <v>0</v>
      </c>
      <c r="AB7" s="80">
        <f>SUMIFS('январь 2024'!$G$4:$G$1206,'январь 2024'!$D$4:$D$1206,$B7,'январь 2024'!$J$4:$J$1206,AB$1)</f>
        <v>0</v>
      </c>
      <c r="AC7" s="80">
        <f>SUMIFS('январь 2024'!$G$4:$G$1206,'январь 2024'!$D$4:$D$1206,$B7,'январь 2024'!$J$4:$J$1206,AC$1)</f>
        <v>0</v>
      </c>
      <c r="AD7" s="80">
        <f>SUMIFS('январь 2024'!$G$4:$G$1206,'январь 2024'!$D$4:$D$1206,$B7,'январь 2024'!$J$4:$J$1206,AD$1)</f>
        <v>0</v>
      </c>
      <c r="AE7" s="80">
        <f>SUMIFS('январь 2024'!$G$4:$G$1206,'январь 2024'!$D$4:$D$1206,$B7,'январь 2024'!$J$4:$J$1206,AE$1)</f>
        <v>0</v>
      </c>
      <c r="AF7" s="80">
        <f>SUMIFS('январь 2024'!$G$4:$G$1206,'январь 2024'!$D$4:$D$1206,$B7,'январь 2024'!$J$4:$J$1206,AF$1)</f>
        <v>0</v>
      </c>
      <c r="AG7" s="80">
        <f>SUMIFS('январь 2024'!$G$4:$G$1206,'январь 2024'!$D$4:$D$1206,$B7,'январь 2024'!$J$4:$J$1206,AG$1)</f>
        <v>0</v>
      </c>
      <c r="AH7" s="80">
        <f>SUMIFS('январь 2024'!$G$4:$G$1206,'январь 2024'!$D$4:$D$1206,$B7,'январь 2024'!$J$4:$J$1206,AH$1)</f>
        <v>0</v>
      </c>
      <c r="AI7" s="21">
        <f t="shared" si="1"/>
        <v>0</v>
      </c>
    </row>
    <row r="8" spans="2:35" ht="15" customHeight="1" x14ac:dyDescent="0.25">
      <c r="B8" s="83" t="s">
        <v>285</v>
      </c>
      <c r="C8" s="82">
        <v>25</v>
      </c>
      <c r="D8" s="80">
        <f>SUMIFS('январь 2024'!$G$4:$G$1206,'январь 2024'!$D$4:$D$1206,$B8,'январь 2024'!$J$4:$J$1206,D$1)</f>
        <v>0</v>
      </c>
      <c r="E8" s="80">
        <f>SUMIFS('январь 2024'!$G$4:$G$1206,'январь 2024'!$D$4:$D$1206,$B8,'январь 2024'!$J$4:$J$1206,E$1)</f>
        <v>0</v>
      </c>
      <c r="F8" s="80">
        <f>SUMIFS('январь 2024'!$G$4:$G$1206,'январь 2024'!$D$4:$D$1206,$B8,'январь 2024'!$J$4:$J$1206,F$1)</f>
        <v>0</v>
      </c>
      <c r="G8" s="80">
        <f>SUMIFS('январь 2024'!$G$4:$G$1206,'январь 2024'!$D$4:$D$1206,$B8,'январь 2024'!$J$4:$J$1206,G$1)</f>
        <v>0</v>
      </c>
      <c r="H8" s="80">
        <f>SUMIFS('январь 2024'!$G$4:$G$1206,'январь 2024'!$D$4:$D$1206,$B8,'январь 2024'!$J$4:$J$1206,H$1)</f>
        <v>0</v>
      </c>
      <c r="I8" s="80">
        <f>SUMIFS('январь 2024'!$G$4:$G$1206,'январь 2024'!$D$4:$D$1206,$B8,'январь 2024'!$J$4:$J$1206,I$1)</f>
        <v>0</v>
      </c>
      <c r="J8" s="80">
        <f>SUMIFS('январь 2024'!$G$4:$G$1206,'январь 2024'!$D$4:$D$1206,$B8,'январь 2024'!$J$4:$J$1206,J$1)</f>
        <v>0</v>
      </c>
      <c r="K8" s="80">
        <f>SUMIFS('январь 2024'!$G$4:$G$1206,'январь 2024'!$D$4:$D$1206,$B8,'январь 2024'!$J$4:$J$1206,K$1)</f>
        <v>0</v>
      </c>
      <c r="L8" s="80">
        <f>SUMIFS('январь 2024'!$G$4:$G$1206,'январь 2024'!$D$4:$D$1206,$B8,'январь 2024'!$J$4:$J$1206,L$1)</f>
        <v>0</v>
      </c>
      <c r="M8" s="80">
        <f>SUMIFS('январь 2024'!$G$4:$G$1206,'январь 2024'!$D$4:$D$1206,$B8,'январь 2024'!$J$4:$J$1206,M$1)</f>
        <v>0</v>
      </c>
      <c r="N8" s="80">
        <f>SUMIFS('январь 2024'!$G$4:$G$1206,'январь 2024'!$D$4:$D$1206,$B8,'январь 2024'!$J$4:$J$1206,N$1)</f>
        <v>0</v>
      </c>
      <c r="O8" s="80">
        <f>SUMIFS('январь 2024'!$G$4:$G$1206,'январь 2024'!$D$4:$D$1206,$B8,'январь 2024'!$J$4:$J$1206,O$1)</f>
        <v>0</v>
      </c>
      <c r="P8" s="80">
        <f>SUMIFS('январь 2024'!$G$4:$G$1206,'январь 2024'!$D$4:$D$1206,$B8,'январь 2024'!$J$4:$J$1206,P$1)</f>
        <v>0</v>
      </c>
      <c r="Q8" s="80">
        <f>SUMIFS('январь 2024'!$G$4:$G$1206,'январь 2024'!$D$4:$D$1206,$B8,'январь 2024'!$J$4:$J$1206,Q$1)</f>
        <v>0</v>
      </c>
      <c r="R8" s="80">
        <f>SUMIFS('январь 2024'!$G$4:$G$1206,'январь 2024'!$D$4:$D$1206,$B8,'январь 2024'!$J$4:$J$1206,R$1)</f>
        <v>0</v>
      </c>
      <c r="S8" s="80">
        <f>SUMIFS('январь 2024'!$G$4:$G$1206,'январь 2024'!$D$4:$D$1206,$B8,'январь 2024'!$J$4:$J$1206,S$1)</f>
        <v>480</v>
      </c>
      <c r="T8" s="80">
        <f>SUMIFS('январь 2024'!$G$4:$G$1206,'январь 2024'!$D$4:$D$1206,$B8,'январь 2024'!$J$4:$J$1206,T$1)</f>
        <v>0</v>
      </c>
      <c r="U8" s="80">
        <f>SUMIFS('январь 2024'!$G$4:$G$1206,'январь 2024'!$D$4:$D$1206,$B8,'январь 2024'!$J$4:$J$1206,U$1)</f>
        <v>0</v>
      </c>
      <c r="V8" s="80">
        <f>SUMIFS('январь 2024'!$G$4:$G$1206,'январь 2024'!$D$4:$D$1206,$B8,'январь 2024'!$J$4:$J$1206,V$1)</f>
        <v>0</v>
      </c>
      <c r="W8" s="80">
        <f>SUMIFS('январь 2024'!$G$4:$G$1206,'январь 2024'!$D$4:$D$1206,$B8,'январь 2024'!$J$4:$J$1206,W$1)</f>
        <v>0</v>
      </c>
      <c r="X8" s="80">
        <f>SUMIFS('январь 2024'!$G$4:$G$1206,'январь 2024'!$D$4:$D$1206,$B8,'январь 2024'!$J$4:$J$1206,X$1)</f>
        <v>0</v>
      </c>
      <c r="Y8" s="80">
        <f>SUMIFS('январь 2024'!$G$4:$G$1206,'январь 2024'!$D$4:$D$1206,$B8,'январь 2024'!$J$4:$J$1206,Y$1)</f>
        <v>0</v>
      </c>
      <c r="Z8" s="80">
        <f>SUMIFS('январь 2024'!$G$4:$G$1206,'январь 2024'!$D$4:$D$1206,$B8,'январь 2024'!$J$4:$J$1206,Z$1)</f>
        <v>0</v>
      </c>
      <c r="AA8" s="80">
        <f>SUMIFS('январь 2024'!$G$4:$G$1206,'январь 2024'!$D$4:$D$1206,$B8,'январь 2024'!$J$4:$J$1206,AA$1)</f>
        <v>0</v>
      </c>
      <c r="AB8" s="80">
        <f>SUMIFS('январь 2024'!$G$4:$G$1206,'январь 2024'!$D$4:$D$1206,$B8,'январь 2024'!$J$4:$J$1206,AB$1)</f>
        <v>0</v>
      </c>
      <c r="AC8" s="80">
        <f>SUMIFS('январь 2024'!$G$4:$G$1206,'январь 2024'!$D$4:$D$1206,$B8,'январь 2024'!$J$4:$J$1206,AC$1)</f>
        <v>800</v>
      </c>
      <c r="AD8" s="80">
        <f>SUMIFS('январь 2024'!$G$4:$G$1206,'январь 2024'!$D$4:$D$1206,$B8,'январь 2024'!$J$4:$J$1206,AD$1)</f>
        <v>0</v>
      </c>
      <c r="AE8" s="80">
        <f>SUMIFS('январь 2024'!$G$4:$G$1206,'январь 2024'!$D$4:$D$1206,$B8,'январь 2024'!$J$4:$J$1206,AE$1)</f>
        <v>0</v>
      </c>
      <c r="AF8" s="80">
        <f>SUMIFS('январь 2024'!$G$4:$G$1206,'январь 2024'!$D$4:$D$1206,$B8,'январь 2024'!$J$4:$J$1206,AF$1)</f>
        <v>0</v>
      </c>
      <c r="AG8" s="80">
        <f>SUMIFS('январь 2024'!$G$4:$G$1206,'январь 2024'!$D$4:$D$1206,$B8,'январь 2024'!$J$4:$J$1206,AG$1)</f>
        <v>0</v>
      </c>
      <c r="AH8" s="80">
        <f>SUMIFS('январь 2024'!$G$4:$G$1206,'январь 2024'!$D$4:$D$1206,$B8,'январь 2024'!$J$4:$J$1206,AH$1)</f>
        <v>0</v>
      </c>
      <c r="AI8" s="21">
        <f t="shared" si="1"/>
        <v>1280</v>
      </c>
    </row>
    <row r="9" spans="2:35" ht="15" customHeight="1" x14ac:dyDescent="0.25">
      <c r="B9" s="81" t="s">
        <v>287</v>
      </c>
      <c r="C9" s="82">
        <v>25</v>
      </c>
      <c r="D9" s="80">
        <f>SUMIFS('январь 2024'!$G$4:$G$1206,'январь 2024'!$D$4:$D$1206,$B9,'январь 2024'!$J$4:$J$1206,D$1)</f>
        <v>0</v>
      </c>
      <c r="E9" s="80">
        <f>SUMIFS('январь 2024'!$G$4:$G$1206,'январь 2024'!$D$4:$D$1206,$B9,'январь 2024'!$J$4:$J$1206,E$1)</f>
        <v>0</v>
      </c>
      <c r="F9" s="80">
        <f>SUMIFS('январь 2024'!$G$4:$G$1206,'январь 2024'!$D$4:$D$1206,$B9,'январь 2024'!$J$4:$J$1206,F$1)</f>
        <v>0</v>
      </c>
      <c r="G9" s="80">
        <f>SUMIFS('январь 2024'!$G$4:$G$1206,'январь 2024'!$D$4:$D$1206,$B9,'январь 2024'!$J$4:$J$1206,G$1)</f>
        <v>0</v>
      </c>
      <c r="H9" s="80">
        <f>SUMIFS('январь 2024'!$G$4:$G$1206,'январь 2024'!$D$4:$D$1206,$B9,'январь 2024'!$J$4:$J$1206,H$1)</f>
        <v>0</v>
      </c>
      <c r="I9" s="80">
        <f>SUMIFS('январь 2024'!$G$4:$G$1206,'январь 2024'!$D$4:$D$1206,$B9,'январь 2024'!$J$4:$J$1206,I$1)</f>
        <v>0</v>
      </c>
      <c r="J9" s="80">
        <f>SUMIFS('январь 2024'!$G$4:$G$1206,'январь 2024'!$D$4:$D$1206,$B9,'январь 2024'!$J$4:$J$1206,J$1)</f>
        <v>0</v>
      </c>
      <c r="K9" s="80">
        <f>SUMIFS('январь 2024'!$G$4:$G$1206,'январь 2024'!$D$4:$D$1206,$B9,'январь 2024'!$J$4:$J$1206,K$1)</f>
        <v>0</v>
      </c>
      <c r="L9" s="80">
        <f>SUMIFS('январь 2024'!$G$4:$G$1206,'январь 2024'!$D$4:$D$1206,$B9,'январь 2024'!$J$4:$J$1206,L$1)</f>
        <v>0</v>
      </c>
      <c r="M9" s="80">
        <f>SUMIFS('январь 2024'!$G$4:$G$1206,'январь 2024'!$D$4:$D$1206,$B9,'январь 2024'!$J$4:$J$1206,M$1)</f>
        <v>0</v>
      </c>
      <c r="N9" s="80">
        <f>SUMIFS('январь 2024'!$G$4:$G$1206,'январь 2024'!$D$4:$D$1206,$B9,'январь 2024'!$J$4:$J$1206,N$1)</f>
        <v>0</v>
      </c>
      <c r="O9" s="80">
        <f>SUMIFS('январь 2024'!$G$4:$G$1206,'январь 2024'!$D$4:$D$1206,$B9,'январь 2024'!$J$4:$J$1206,O$1)</f>
        <v>0</v>
      </c>
      <c r="P9" s="80">
        <f>SUMIFS('январь 2024'!$G$4:$G$1206,'январь 2024'!$D$4:$D$1206,$B9,'январь 2024'!$J$4:$J$1206,P$1)</f>
        <v>0</v>
      </c>
      <c r="Q9" s="80">
        <f>SUMIFS('январь 2024'!$G$4:$G$1206,'январь 2024'!$D$4:$D$1206,$B9,'январь 2024'!$J$4:$J$1206,Q$1)</f>
        <v>0</v>
      </c>
      <c r="R9" s="80">
        <f>SUMIFS('январь 2024'!$G$4:$G$1206,'январь 2024'!$D$4:$D$1206,$B9,'январь 2024'!$J$4:$J$1206,R$1)</f>
        <v>0</v>
      </c>
      <c r="S9" s="80">
        <f>SUMIFS('январь 2024'!$G$4:$G$1206,'январь 2024'!$D$4:$D$1206,$B9,'январь 2024'!$J$4:$J$1206,S$1)</f>
        <v>0</v>
      </c>
      <c r="T9" s="80">
        <f>SUMIFS('январь 2024'!$G$4:$G$1206,'январь 2024'!$D$4:$D$1206,$B9,'январь 2024'!$J$4:$J$1206,T$1)</f>
        <v>0</v>
      </c>
      <c r="U9" s="80">
        <f>SUMIFS('январь 2024'!$G$4:$G$1206,'январь 2024'!$D$4:$D$1206,$B9,'январь 2024'!$J$4:$J$1206,U$1)</f>
        <v>0</v>
      </c>
      <c r="V9" s="80">
        <f>SUMIFS('январь 2024'!$G$4:$G$1206,'январь 2024'!$D$4:$D$1206,$B9,'январь 2024'!$J$4:$J$1206,V$1)</f>
        <v>0</v>
      </c>
      <c r="W9" s="80">
        <f>SUMIFS('январь 2024'!$G$4:$G$1206,'январь 2024'!$D$4:$D$1206,$B9,'январь 2024'!$J$4:$J$1206,W$1)</f>
        <v>0</v>
      </c>
      <c r="X9" s="80">
        <f>SUMIFS('январь 2024'!$G$4:$G$1206,'январь 2024'!$D$4:$D$1206,$B9,'январь 2024'!$J$4:$J$1206,X$1)</f>
        <v>0</v>
      </c>
      <c r="Y9" s="80">
        <f>SUMIFS('январь 2024'!$G$4:$G$1206,'январь 2024'!$D$4:$D$1206,$B9,'январь 2024'!$J$4:$J$1206,Y$1)</f>
        <v>0</v>
      </c>
      <c r="Z9" s="80">
        <f>SUMIFS('январь 2024'!$G$4:$G$1206,'январь 2024'!$D$4:$D$1206,$B9,'январь 2024'!$J$4:$J$1206,Z$1)</f>
        <v>0</v>
      </c>
      <c r="AA9" s="80">
        <f>SUMIFS('январь 2024'!$G$4:$G$1206,'январь 2024'!$D$4:$D$1206,$B9,'январь 2024'!$J$4:$J$1206,AA$1)</f>
        <v>0</v>
      </c>
      <c r="AB9" s="80">
        <f>SUMIFS('январь 2024'!$G$4:$G$1206,'январь 2024'!$D$4:$D$1206,$B9,'январь 2024'!$J$4:$J$1206,AB$1)</f>
        <v>0</v>
      </c>
      <c r="AC9" s="80">
        <f>SUMIFS('январь 2024'!$G$4:$G$1206,'январь 2024'!$D$4:$D$1206,$B9,'январь 2024'!$J$4:$J$1206,AC$1)</f>
        <v>0</v>
      </c>
      <c r="AD9" s="80">
        <f>SUMIFS('январь 2024'!$G$4:$G$1206,'январь 2024'!$D$4:$D$1206,$B9,'январь 2024'!$J$4:$J$1206,AD$1)</f>
        <v>0</v>
      </c>
      <c r="AE9" s="80">
        <f>SUMIFS('январь 2024'!$G$4:$G$1206,'январь 2024'!$D$4:$D$1206,$B9,'январь 2024'!$J$4:$J$1206,AE$1)</f>
        <v>0</v>
      </c>
      <c r="AF9" s="80">
        <f>SUMIFS('январь 2024'!$G$4:$G$1206,'январь 2024'!$D$4:$D$1206,$B9,'январь 2024'!$J$4:$J$1206,AF$1)</f>
        <v>0</v>
      </c>
      <c r="AG9" s="80">
        <f>SUMIFS('январь 2024'!$G$4:$G$1206,'январь 2024'!$D$4:$D$1206,$B9,'январь 2024'!$J$4:$J$1206,AG$1)</f>
        <v>0</v>
      </c>
      <c r="AH9" s="80">
        <f>SUMIFS('январь 2024'!$G$4:$G$1206,'январь 2024'!$D$4:$D$1206,$B9,'январь 2024'!$J$4:$J$1206,AH$1)</f>
        <v>0</v>
      </c>
      <c r="AI9" s="21">
        <f t="shared" si="1"/>
        <v>0</v>
      </c>
    </row>
    <row r="10" spans="2:35" ht="15" customHeight="1" x14ac:dyDescent="0.25">
      <c r="B10" s="81" t="s">
        <v>289</v>
      </c>
      <c r="C10" s="82">
        <v>25</v>
      </c>
      <c r="D10" s="80">
        <f>SUMIFS('январь 2024'!$G$4:$G$1206,'январь 2024'!$D$4:$D$1206,$B10,'январь 2024'!$J$4:$J$1206,D$1)</f>
        <v>0</v>
      </c>
      <c r="E10" s="80">
        <f>SUMIFS('январь 2024'!$G$4:$G$1206,'январь 2024'!$D$4:$D$1206,$B10,'январь 2024'!$J$4:$J$1206,E$1)</f>
        <v>0</v>
      </c>
      <c r="F10" s="80">
        <f>SUMIFS('январь 2024'!$G$4:$G$1206,'январь 2024'!$D$4:$D$1206,$B10,'январь 2024'!$J$4:$J$1206,F$1)</f>
        <v>0</v>
      </c>
      <c r="G10" s="80">
        <f>SUMIFS('январь 2024'!$G$4:$G$1206,'январь 2024'!$D$4:$D$1206,$B10,'январь 2024'!$J$4:$J$1206,G$1)</f>
        <v>0</v>
      </c>
      <c r="H10" s="80">
        <f>SUMIFS('январь 2024'!$G$4:$G$1206,'январь 2024'!$D$4:$D$1206,$B10,'январь 2024'!$J$4:$J$1206,H$1)</f>
        <v>0</v>
      </c>
      <c r="I10" s="80">
        <f>SUMIFS('январь 2024'!$G$4:$G$1206,'январь 2024'!$D$4:$D$1206,$B10,'январь 2024'!$J$4:$J$1206,I$1)</f>
        <v>0</v>
      </c>
      <c r="J10" s="80">
        <f>SUMIFS('январь 2024'!$G$4:$G$1206,'январь 2024'!$D$4:$D$1206,$B10,'январь 2024'!$J$4:$J$1206,J$1)</f>
        <v>0</v>
      </c>
      <c r="K10" s="80">
        <f>SUMIFS('январь 2024'!$G$4:$G$1206,'январь 2024'!$D$4:$D$1206,$B10,'январь 2024'!$J$4:$J$1206,K$1)</f>
        <v>0</v>
      </c>
      <c r="L10" s="80">
        <f>SUMIFS('январь 2024'!$G$4:$G$1206,'январь 2024'!$D$4:$D$1206,$B10,'январь 2024'!$J$4:$J$1206,L$1)</f>
        <v>0</v>
      </c>
      <c r="M10" s="80">
        <f>SUMIFS('январь 2024'!$G$4:$G$1206,'январь 2024'!$D$4:$D$1206,$B10,'январь 2024'!$J$4:$J$1206,M$1)</f>
        <v>0</v>
      </c>
      <c r="N10" s="80">
        <f>SUMIFS('январь 2024'!$G$4:$G$1206,'январь 2024'!$D$4:$D$1206,$B10,'январь 2024'!$J$4:$J$1206,N$1)</f>
        <v>0</v>
      </c>
      <c r="O10" s="80">
        <f>SUMIFS('январь 2024'!$G$4:$G$1206,'январь 2024'!$D$4:$D$1206,$B10,'январь 2024'!$J$4:$J$1206,O$1)</f>
        <v>800</v>
      </c>
      <c r="P10" s="80">
        <f>SUMIFS('январь 2024'!$G$4:$G$1206,'январь 2024'!$D$4:$D$1206,$B10,'январь 2024'!$J$4:$J$1206,P$1)</f>
        <v>0</v>
      </c>
      <c r="Q10" s="80">
        <f>SUMIFS('январь 2024'!$G$4:$G$1206,'январь 2024'!$D$4:$D$1206,$B10,'январь 2024'!$J$4:$J$1206,Q$1)</f>
        <v>0</v>
      </c>
      <c r="R10" s="80">
        <f>SUMIFS('январь 2024'!$G$4:$G$1206,'январь 2024'!$D$4:$D$1206,$B10,'январь 2024'!$J$4:$J$1206,R$1)</f>
        <v>800</v>
      </c>
      <c r="S10" s="80">
        <f>SUMIFS('январь 2024'!$G$4:$G$1206,'январь 2024'!$D$4:$D$1206,$B10,'январь 2024'!$J$4:$J$1206,S$1)</f>
        <v>0</v>
      </c>
      <c r="T10" s="80">
        <f>SUMIFS('январь 2024'!$G$4:$G$1206,'январь 2024'!$D$4:$D$1206,$B10,'январь 2024'!$J$4:$J$1206,T$1)</f>
        <v>800</v>
      </c>
      <c r="U10" s="80">
        <f>SUMIFS('январь 2024'!$G$4:$G$1206,'январь 2024'!$D$4:$D$1206,$B10,'январь 2024'!$J$4:$J$1206,U$1)</f>
        <v>0</v>
      </c>
      <c r="V10" s="80">
        <f>SUMIFS('январь 2024'!$G$4:$G$1206,'январь 2024'!$D$4:$D$1206,$B10,'январь 2024'!$J$4:$J$1206,V$1)</f>
        <v>0</v>
      </c>
      <c r="W10" s="80">
        <f>SUMIFS('январь 2024'!$G$4:$G$1206,'январь 2024'!$D$4:$D$1206,$B10,'январь 2024'!$J$4:$J$1206,W$1)</f>
        <v>0</v>
      </c>
      <c r="X10" s="80">
        <f>SUMIFS('январь 2024'!$G$4:$G$1206,'январь 2024'!$D$4:$D$1206,$B10,'январь 2024'!$J$4:$J$1206,X$1)</f>
        <v>0</v>
      </c>
      <c r="Y10" s="80">
        <f>SUMIFS('январь 2024'!$G$4:$G$1206,'январь 2024'!$D$4:$D$1206,$B10,'январь 2024'!$J$4:$J$1206,Y$1)</f>
        <v>0</v>
      </c>
      <c r="Z10" s="80">
        <f>SUMIFS('январь 2024'!$G$4:$G$1206,'январь 2024'!$D$4:$D$1206,$B10,'январь 2024'!$J$4:$J$1206,Z$1)</f>
        <v>0</v>
      </c>
      <c r="AA10" s="80">
        <f>SUMIFS('январь 2024'!$G$4:$G$1206,'январь 2024'!$D$4:$D$1206,$B10,'январь 2024'!$J$4:$J$1206,AA$1)</f>
        <v>0</v>
      </c>
      <c r="AB10" s="80">
        <f>SUMIFS('январь 2024'!$G$4:$G$1206,'январь 2024'!$D$4:$D$1206,$B10,'январь 2024'!$J$4:$J$1206,AB$1)</f>
        <v>0</v>
      </c>
      <c r="AC10" s="80">
        <f>SUMIFS('январь 2024'!$G$4:$G$1206,'январь 2024'!$D$4:$D$1206,$B10,'январь 2024'!$J$4:$J$1206,AC$1)</f>
        <v>0</v>
      </c>
      <c r="AD10" s="80">
        <f>SUMIFS('январь 2024'!$G$4:$G$1206,'январь 2024'!$D$4:$D$1206,$B10,'январь 2024'!$J$4:$J$1206,AD$1)</f>
        <v>0</v>
      </c>
      <c r="AE10" s="80">
        <f>SUMIFS('январь 2024'!$G$4:$G$1206,'январь 2024'!$D$4:$D$1206,$B10,'январь 2024'!$J$4:$J$1206,AE$1)</f>
        <v>0</v>
      </c>
      <c r="AF10" s="80">
        <f>SUMIFS('январь 2024'!$G$4:$G$1206,'январь 2024'!$D$4:$D$1206,$B10,'январь 2024'!$J$4:$J$1206,AF$1)</f>
        <v>0</v>
      </c>
      <c r="AG10" s="80">
        <f>SUMIFS('январь 2024'!$G$4:$G$1206,'январь 2024'!$D$4:$D$1206,$B10,'январь 2024'!$J$4:$J$1206,AG$1)</f>
        <v>0</v>
      </c>
      <c r="AH10" s="80">
        <f>SUMIFS('январь 2024'!$G$4:$G$1206,'январь 2024'!$D$4:$D$1206,$B10,'январь 2024'!$J$4:$J$1206,AH$1)</f>
        <v>0</v>
      </c>
      <c r="AI10" s="21">
        <f t="shared" si="1"/>
        <v>2400</v>
      </c>
    </row>
    <row r="11" spans="2:35" ht="15" customHeight="1" x14ac:dyDescent="0.25">
      <c r="B11" s="84" t="s">
        <v>291</v>
      </c>
      <c r="C11" s="85">
        <v>22.68</v>
      </c>
      <c r="D11" s="80">
        <f>SUMIFS('январь 2024'!$G$4:$G$1206,'январь 2024'!$D$4:$D$1206,$B11,'январь 2024'!$J$4:$J$1206,D$1)</f>
        <v>0</v>
      </c>
      <c r="E11" s="80">
        <f>SUMIFS('январь 2024'!$G$4:$G$1206,'январь 2024'!$D$4:$D$1206,$B11,'январь 2024'!$J$4:$J$1206,E$1)</f>
        <v>0</v>
      </c>
      <c r="F11" s="80">
        <f>SUMIFS('январь 2024'!$G$4:$G$1206,'январь 2024'!$D$4:$D$1206,$B11,'январь 2024'!$J$4:$J$1206,F$1)</f>
        <v>0</v>
      </c>
      <c r="G11" s="80">
        <f>SUMIFS('январь 2024'!$G$4:$G$1206,'январь 2024'!$D$4:$D$1206,$B11,'январь 2024'!$J$4:$J$1206,G$1)</f>
        <v>0</v>
      </c>
      <c r="H11" s="80">
        <f>SUMIFS('январь 2024'!$G$4:$G$1206,'январь 2024'!$D$4:$D$1206,$B11,'январь 2024'!$J$4:$J$1206,H$1)</f>
        <v>0</v>
      </c>
      <c r="I11" s="80">
        <f>SUMIFS('январь 2024'!$G$4:$G$1206,'январь 2024'!$D$4:$D$1206,$B11,'январь 2024'!$J$4:$J$1206,I$1)</f>
        <v>0</v>
      </c>
      <c r="J11" s="80">
        <f>SUMIFS('январь 2024'!$G$4:$G$1206,'январь 2024'!$D$4:$D$1206,$B11,'январь 2024'!$J$4:$J$1206,J$1)</f>
        <v>0</v>
      </c>
      <c r="K11" s="80">
        <f>SUMIFS('январь 2024'!$G$4:$G$1206,'январь 2024'!$D$4:$D$1206,$B11,'январь 2024'!$J$4:$J$1206,K$1)</f>
        <v>0</v>
      </c>
      <c r="L11" s="80">
        <f>SUMIFS('январь 2024'!$G$4:$G$1206,'январь 2024'!$D$4:$D$1206,$B11,'январь 2024'!$J$4:$J$1206,L$1)</f>
        <v>0</v>
      </c>
      <c r="M11" s="80">
        <f>SUMIFS('январь 2024'!$G$4:$G$1206,'январь 2024'!$D$4:$D$1206,$B11,'январь 2024'!$J$4:$J$1206,M$1)</f>
        <v>2100</v>
      </c>
      <c r="N11" s="80">
        <f>SUMIFS('январь 2024'!$G$4:$G$1206,'январь 2024'!$D$4:$D$1206,$B11,'январь 2024'!$J$4:$J$1206,N$1)</f>
        <v>0</v>
      </c>
      <c r="O11" s="80">
        <f>SUMIFS('январь 2024'!$G$4:$G$1206,'январь 2024'!$D$4:$D$1206,$B11,'январь 2024'!$J$4:$J$1206,O$1)</f>
        <v>2100</v>
      </c>
      <c r="P11" s="80">
        <f>SUMIFS('январь 2024'!$G$4:$G$1206,'январь 2024'!$D$4:$D$1206,$B11,'январь 2024'!$J$4:$J$1206,P$1)</f>
        <v>0</v>
      </c>
      <c r="Q11" s="80">
        <f>SUMIFS('январь 2024'!$G$4:$G$1206,'январь 2024'!$D$4:$D$1206,$B11,'январь 2024'!$J$4:$J$1206,Q$1)</f>
        <v>0</v>
      </c>
      <c r="R11" s="80">
        <f>SUMIFS('январь 2024'!$G$4:$G$1206,'январь 2024'!$D$4:$D$1206,$B11,'январь 2024'!$J$4:$J$1206,R$1)</f>
        <v>0</v>
      </c>
      <c r="S11" s="80">
        <f>SUMIFS('январь 2024'!$G$4:$G$1206,'январь 2024'!$D$4:$D$1206,$B11,'январь 2024'!$J$4:$J$1206,S$1)</f>
        <v>0</v>
      </c>
      <c r="T11" s="80">
        <f>SUMIFS('январь 2024'!$G$4:$G$1206,'январь 2024'!$D$4:$D$1206,$B11,'январь 2024'!$J$4:$J$1206,T$1)</f>
        <v>2100</v>
      </c>
      <c r="U11" s="80">
        <f>SUMIFS('январь 2024'!$G$4:$G$1206,'январь 2024'!$D$4:$D$1206,$B11,'январь 2024'!$J$4:$J$1206,U$1)</f>
        <v>0</v>
      </c>
      <c r="V11" s="80">
        <f>SUMIFS('январь 2024'!$G$4:$G$1206,'январь 2024'!$D$4:$D$1206,$B11,'январь 2024'!$J$4:$J$1206,V$1)</f>
        <v>0</v>
      </c>
      <c r="W11" s="80">
        <f>SUMIFS('январь 2024'!$G$4:$G$1206,'январь 2024'!$D$4:$D$1206,$B11,'январь 2024'!$J$4:$J$1206,W$1)</f>
        <v>0</v>
      </c>
      <c r="X11" s="80">
        <f>SUMIFS('январь 2024'!$G$4:$G$1206,'январь 2024'!$D$4:$D$1206,$B11,'январь 2024'!$J$4:$J$1206,X$1)</f>
        <v>0</v>
      </c>
      <c r="Y11" s="80">
        <f>SUMIFS('январь 2024'!$G$4:$G$1206,'январь 2024'!$D$4:$D$1206,$B11,'январь 2024'!$J$4:$J$1206,Y$1)</f>
        <v>0</v>
      </c>
      <c r="Z11" s="80">
        <f>SUMIFS('январь 2024'!$G$4:$G$1206,'январь 2024'!$D$4:$D$1206,$B11,'январь 2024'!$J$4:$J$1206,Z$1)</f>
        <v>0</v>
      </c>
      <c r="AA11" s="80">
        <f>SUMIFS('январь 2024'!$G$4:$G$1206,'январь 2024'!$D$4:$D$1206,$B11,'январь 2024'!$J$4:$J$1206,AA$1)</f>
        <v>0</v>
      </c>
      <c r="AB11" s="80">
        <f>SUMIFS('январь 2024'!$G$4:$G$1206,'январь 2024'!$D$4:$D$1206,$B11,'январь 2024'!$J$4:$J$1206,AB$1)</f>
        <v>0</v>
      </c>
      <c r="AC11" s="80">
        <f>SUMIFS('январь 2024'!$G$4:$G$1206,'январь 2024'!$D$4:$D$1206,$B11,'январь 2024'!$J$4:$J$1206,AC$1)</f>
        <v>0</v>
      </c>
      <c r="AD11" s="80">
        <f>SUMIFS('январь 2024'!$G$4:$G$1206,'январь 2024'!$D$4:$D$1206,$B11,'январь 2024'!$J$4:$J$1206,AD$1)</f>
        <v>0</v>
      </c>
      <c r="AE11" s="80">
        <f>SUMIFS('январь 2024'!$G$4:$G$1206,'январь 2024'!$D$4:$D$1206,$B11,'январь 2024'!$J$4:$J$1206,AE$1)</f>
        <v>0</v>
      </c>
      <c r="AF11" s="80">
        <f>SUMIFS('январь 2024'!$G$4:$G$1206,'январь 2024'!$D$4:$D$1206,$B11,'январь 2024'!$J$4:$J$1206,AF$1)</f>
        <v>1400</v>
      </c>
      <c r="AG11" s="80">
        <f>SUMIFS('январь 2024'!$G$4:$G$1206,'январь 2024'!$D$4:$D$1206,$B11,'январь 2024'!$J$4:$J$1206,AG$1)</f>
        <v>0</v>
      </c>
      <c r="AH11" s="80">
        <f>SUMIFS('январь 2024'!$G$4:$G$1206,'январь 2024'!$D$4:$D$1206,$B11,'январь 2024'!$J$4:$J$1206,AH$1)</f>
        <v>0</v>
      </c>
      <c r="AI11" s="21">
        <f t="shared" si="1"/>
        <v>7700</v>
      </c>
    </row>
    <row r="12" spans="2:35" ht="15" customHeight="1" x14ac:dyDescent="0.25">
      <c r="B12" s="84" t="s">
        <v>293</v>
      </c>
      <c r="C12" s="85">
        <v>22.68</v>
      </c>
      <c r="D12" s="80">
        <f>SUMIFS('январь 2024'!$G$4:$G$1206,'январь 2024'!$D$4:$D$1206,$B12,'январь 2024'!$J$4:$J$1206,D$1)</f>
        <v>0</v>
      </c>
      <c r="E12" s="80">
        <f>SUMIFS('январь 2024'!$G$4:$G$1206,'январь 2024'!$D$4:$D$1206,$B12,'январь 2024'!$J$4:$J$1206,E$1)</f>
        <v>0</v>
      </c>
      <c r="F12" s="80">
        <f>SUMIFS('январь 2024'!$G$4:$G$1206,'январь 2024'!$D$4:$D$1206,$B12,'январь 2024'!$J$4:$J$1206,F$1)</f>
        <v>0</v>
      </c>
      <c r="G12" s="80">
        <f>SUMIFS('январь 2024'!$G$4:$G$1206,'январь 2024'!$D$4:$D$1206,$B12,'январь 2024'!$J$4:$J$1206,G$1)</f>
        <v>0</v>
      </c>
      <c r="H12" s="80">
        <f>SUMIFS('январь 2024'!$G$4:$G$1206,'январь 2024'!$D$4:$D$1206,$B12,'январь 2024'!$J$4:$J$1206,H$1)</f>
        <v>2100</v>
      </c>
      <c r="I12" s="80">
        <f>SUMIFS('январь 2024'!$G$4:$G$1206,'январь 2024'!$D$4:$D$1206,$B12,'январь 2024'!$J$4:$J$1206,I$1)</f>
        <v>0</v>
      </c>
      <c r="J12" s="80">
        <f>SUMIFS('январь 2024'!$G$4:$G$1206,'январь 2024'!$D$4:$D$1206,$B12,'январь 2024'!$J$4:$J$1206,J$1)</f>
        <v>0</v>
      </c>
      <c r="K12" s="80">
        <f>SUMIFS('январь 2024'!$G$4:$G$1206,'январь 2024'!$D$4:$D$1206,$B12,'январь 2024'!$J$4:$J$1206,K$1)</f>
        <v>0</v>
      </c>
      <c r="L12" s="80">
        <f>SUMIFS('январь 2024'!$G$4:$G$1206,'январь 2024'!$D$4:$D$1206,$B12,'январь 2024'!$J$4:$J$1206,L$1)</f>
        <v>0</v>
      </c>
      <c r="M12" s="80">
        <f>SUMIFS('январь 2024'!$G$4:$G$1206,'январь 2024'!$D$4:$D$1206,$B12,'январь 2024'!$J$4:$J$1206,M$1)</f>
        <v>0</v>
      </c>
      <c r="N12" s="80">
        <f>SUMIFS('январь 2024'!$G$4:$G$1206,'январь 2024'!$D$4:$D$1206,$B12,'январь 2024'!$J$4:$J$1206,N$1)</f>
        <v>0</v>
      </c>
      <c r="O12" s="80">
        <f>SUMIFS('январь 2024'!$G$4:$G$1206,'январь 2024'!$D$4:$D$1206,$B12,'январь 2024'!$J$4:$J$1206,O$1)</f>
        <v>0</v>
      </c>
      <c r="P12" s="80">
        <f>SUMIFS('январь 2024'!$G$4:$G$1206,'январь 2024'!$D$4:$D$1206,$B12,'январь 2024'!$J$4:$J$1206,P$1)</f>
        <v>0</v>
      </c>
      <c r="Q12" s="80">
        <f>SUMIFS('январь 2024'!$G$4:$G$1206,'январь 2024'!$D$4:$D$1206,$B12,'январь 2024'!$J$4:$J$1206,Q$1)</f>
        <v>0</v>
      </c>
      <c r="R12" s="80">
        <f>SUMIFS('январь 2024'!$G$4:$G$1206,'январь 2024'!$D$4:$D$1206,$B12,'январь 2024'!$J$4:$J$1206,R$1)</f>
        <v>0</v>
      </c>
      <c r="S12" s="80">
        <f>SUMIFS('январь 2024'!$G$4:$G$1206,'январь 2024'!$D$4:$D$1206,$B12,'январь 2024'!$J$4:$J$1206,S$1)</f>
        <v>0</v>
      </c>
      <c r="T12" s="80">
        <f>SUMIFS('январь 2024'!$G$4:$G$1206,'январь 2024'!$D$4:$D$1206,$B12,'январь 2024'!$J$4:$J$1206,T$1)</f>
        <v>0</v>
      </c>
      <c r="U12" s="80">
        <f>SUMIFS('январь 2024'!$G$4:$G$1206,'январь 2024'!$D$4:$D$1206,$B12,'январь 2024'!$J$4:$J$1206,U$1)</f>
        <v>0</v>
      </c>
      <c r="V12" s="80">
        <f>SUMIFS('январь 2024'!$G$4:$G$1206,'январь 2024'!$D$4:$D$1206,$B12,'январь 2024'!$J$4:$J$1206,V$1)</f>
        <v>0</v>
      </c>
      <c r="W12" s="80">
        <f>SUMIFS('январь 2024'!$G$4:$G$1206,'январь 2024'!$D$4:$D$1206,$B12,'январь 2024'!$J$4:$J$1206,W$1)</f>
        <v>0</v>
      </c>
      <c r="X12" s="80">
        <f>SUMIFS('январь 2024'!$G$4:$G$1206,'январь 2024'!$D$4:$D$1206,$B12,'январь 2024'!$J$4:$J$1206,X$1)</f>
        <v>0</v>
      </c>
      <c r="Y12" s="80">
        <f>SUMIFS('январь 2024'!$G$4:$G$1206,'январь 2024'!$D$4:$D$1206,$B12,'январь 2024'!$J$4:$J$1206,Y$1)</f>
        <v>0</v>
      </c>
      <c r="Z12" s="80">
        <f>SUMIFS('январь 2024'!$G$4:$G$1206,'январь 2024'!$D$4:$D$1206,$B12,'январь 2024'!$J$4:$J$1206,Z$1)</f>
        <v>0</v>
      </c>
      <c r="AA12" s="80">
        <f>SUMIFS('январь 2024'!$G$4:$G$1206,'январь 2024'!$D$4:$D$1206,$B12,'январь 2024'!$J$4:$J$1206,AA$1)</f>
        <v>0</v>
      </c>
      <c r="AB12" s="80">
        <f>SUMIFS('январь 2024'!$G$4:$G$1206,'январь 2024'!$D$4:$D$1206,$B12,'январь 2024'!$J$4:$J$1206,AB$1)</f>
        <v>0</v>
      </c>
      <c r="AC12" s="80">
        <f>SUMIFS('январь 2024'!$G$4:$G$1206,'январь 2024'!$D$4:$D$1206,$B12,'январь 2024'!$J$4:$J$1206,AC$1)</f>
        <v>0</v>
      </c>
      <c r="AD12" s="80">
        <f>SUMIFS('январь 2024'!$G$4:$G$1206,'январь 2024'!$D$4:$D$1206,$B12,'январь 2024'!$J$4:$J$1206,AD$1)</f>
        <v>0</v>
      </c>
      <c r="AE12" s="80">
        <f>SUMIFS('январь 2024'!$G$4:$G$1206,'январь 2024'!$D$4:$D$1206,$B12,'январь 2024'!$J$4:$J$1206,AE$1)</f>
        <v>0</v>
      </c>
      <c r="AF12" s="80">
        <f>SUMIFS('январь 2024'!$G$4:$G$1206,'январь 2024'!$D$4:$D$1206,$B12,'январь 2024'!$J$4:$J$1206,AF$1)</f>
        <v>0</v>
      </c>
      <c r="AG12" s="80">
        <f>SUMIFS('январь 2024'!$G$4:$G$1206,'январь 2024'!$D$4:$D$1206,$B12,'январь 2024'!$J$4:$J$1206,AG$1)</f>
        <v>0</v>
      </c>
      <c r="AH12" s="80">
        <f>SUMIFS('январь 2024'!$G$4:$G$1206,'январь 2024'!$D$4:$D$1206,$B12,'январь 2024'!$J$4:$J$1206,AH$1)</f>
        <v>0</v>
      </c>
      <c r="AI12" s="21">
        <f t="shared" si="1"/>
        <v>2100</v>
      </c>
    </row>
    <row r="13" spans="2:35" ht="15" customHeight="1" x14ac:dyDescent="0.25">
      <c r="B13" s="84" t="s">
        <v>295</v>
      </c>
      <c r="C13" s="85">
        <v>22.7</v>
      </c>
      <c r="D13" s="80">
        <f>SUMIFS('январь 2024'!$G$4:$G$1206,'январь 2024'!$D$4:$D$1206,$B13,'январь 2024'!$J$4:$J$1206,D$1)</f>
        <v>0</v>
      </c>
      <c r="E13" s="80">
        <f>SUMIFS('январь 2024'!$G$4:$G$1206,'январь 2024'!$D$4:$D$1206,$B13,'январь 2024'!$J$4:$J$1206,E$1)</f>
        <v>0</v>
      </c>
      <c r="F13" s="80">
        <f>SUMIFS('январь 2024'!$G$4:$G$1206,'январь 2024'!$D$4:$D$1206,$B13,'январь 2024'!$J$4:$J$1206,F$1)</f>
        <v>0</v>
      </c>
      <c r="G13" s="80">
        <f>SUMIFS('январь 2024'!$G$4:$G$1206,'январь 2024'!$D$4:$D$1206,$B13,'январь 2024'!$J$4:$J$1206,G$1)</f>
        <v>0</v>
      </c>
      <c r="H13" s="80">
        <f>SUMIFS('январь 2024'!$G$4:$G$1206,'январь 2024'!$D$4:$D$1206,$B13,'январь 2024'!$J$4:$J$1206,H$1)</f>
        <v>0</v>
      </c>
      <c r="I13" s="80">
        <f>SUMIFS('январь 2024'!$G$4:$G$1206,'январь 2024'!$D$4:$D$1206,$B13,'январь 2024'!$J$4:$J$1206,I$1)</f>
        <v>0</v>
      </c>
      <c r="J13" s="80">
        <f>SUMIFS('январь 2024'!$G$4:$G$1206,'январь 2024'!$D$4:$D$1206,$B13,'январь 2024'!$J$4:$J$1206,J$1)</f>
        <v>0</v>
      </c>
      <c r="K13" s="80">
        <f>SUMIFS('январь 2024'!$G$4:$G$1206,'январь 2024'!$D$4:$D$1206,$B13,'январь 2024'!$J$4:$J$1206,K$1)</f>
        <v>0</v>
      </c>
      <c r="L13" s="80">
        <f>SUMIFS('январь 2024'!$G$4:$G$1206,'январь 2024'!$D$4:$D$1206,$B13,'январь 2024'!$J$4:$J$1206,L$1)</f>
        <v>0</v>
      </c>
      <c r="M13" s="80">
        <f>SUMIFS('январь 2024'!$G$4:$G$1206,'январь 2024'!$D$4:$D$1206,$B13,'январь 2024'!$J$4:$J$1206,M$1)</f>
        <v>0</v>
      </c>
      <c r="N13" s="80">
        <f>SUMIFS('январь 2024'!$G$4:$G$1206,'январь 2024'!$D$4:$D$1206,$B13,'январь 2024'!$J$4:$J$1206,N$1)</f>
        <v>0</v>
      </c>
      <c r="O13" s="80">
        <f>SUMIFS('январь 2024'!$G$4:$G$1206,'январь 2024'!$D$4:$D$1206,$B13,'январь 2024'!$J$4:$J$1206,O$1)</f>
        <v>0</v>
      </c>
      <c r="P13" s="80">
        <f>SUMIFS('январь 2024'!$G$4:$G$1206,'январь 2024'!$D$4:$D$1206,$B13,'январь 2024'!$J$4:$J$1206,P$1)</f>
        <v>0</v>
      </c>
      <c r="Q13" s="80">
        <f>SUMIFS('январь 2024'!$G$4:$G$1206,'январь 2024'!$D$4:$D$1206,$B13,'январь 2024'!$J$4:$J$1206,Q$1)</f>
        <v>0</v>
      </c>
      <c r="R13" s="80">
        <f>SUMIFS('январь 2024'!$G$4:$G$1206,'январь 2024'!$D$4:$D$1206,$B13,'январь 2024'!$J$4:$J$1206,R$1)</f>
        <v>0</v>
      </c>
      <c r="S13" s="80">
        <f>SUMIFS('январь 2024'!$G$4:$G$1206,'январь 2024'!$D$4:$D$1206,$B13,'январь 2024'!$J$4:$J$1206,S$1)</f>
        <v>0</v>
      </c>
      <c r="T13" s="80">
        <f>SUMIFS('январь 2024'!$G$4:$G$1206,'январь 2024'!$D$4:$D$1206,$B13,'январь 2024'!$J$4:$J$1206,T$1)</f>
        <v>0</v>
      </c>
      <c r="U13" s="80">
        <f>SUMIFS('январь 2024'!$G$4:$G$1206,'январь 2024'!$D$4:$D$1206,$B13,'январь 2024'!$J$4:$J$1206,U$1)</f>
        <v>0</v>
      </c>
      <c r="V13" s="80">
        <f>SUMIFS('январь 2024'!$G$4:$G$1206,'январь 2024'!$D$4:$D$1206,$B13,'январь 2024'!$J$4:$J$1206,V$1)</f>
        <v>0</v>
      </c>
      <c r="W13" s="80">
        <f>SUMIFS('январь 2024'!$G$4:$G$1206,'январь 2024'!$D$4:$D$1206,$B13,'январь 2024'!$J$4:$J$1206,W$1)</f>
        <v>0</v>
      </c>
      <c r="X13" s="80">
        <f>SUMIFS('январь 2024'!$G$4:$G$1206,'январь 2024'!$D$4:$D$1206,$B13,'январь 2024'!$J$4:$J$1206,X$1)</f>
        <v>0</v>
      </c>
      <c r="Y13" s="80">
        <f>SUMIFS('январь 2024'!$G$4:$G$1206,'январь 2024'!$D$4:$D$1206,$B13,'январь 2024'!$J$4:$J$1206,Y$1)</f>
        <v>0</v>
      </c>
      <c r="Z13" s="80">
        <f>SUMIFS('январь 2024'!$G$4:$G$1206,'январь 2024'!$D$4:$D$1206,$B13,'январь 2024'!$J$4:$J$1206,Z$1)</f>
        <v>0</v>
      </c>
      <c r="AA13" s="80">
        <f>SUMIFS('январь 2024'!$G$4:$G$1206,'январь 2024'!$D$4:$D$1206,$B13,'январь 2024'!$J$4:$J$1206,AA$1)</f>
        <v>0</v>
      </c>
      <c r="AB13" s="80">
        <f>SUMIFS('январь 2024'!$G$4:$G$1206,'январь 2024'!$D$4:$D$1206,$B13,'январь 2024'!$J$4:$J$1206,AB$1)</f>
        <v>0</v>
      </c>
      <c r="AC13" s="80">
        <f>SUMIFS('январь 2024'!$G$4:$G$1206,'январь 2024'!$D$4:$D$1206,$B13,'январь 2024'!$J$4:$J$1206,AC$1)</f>
        <v>0</v>
      </c>
      <c r="AD13" s="80">
        <f>SUMIFS('январь 2024'!$G$4:$G$1206,'январь 2024'!$D$4:$D$1206,$B13,'январь 2024'!$J$4:$J$1206,AD$1)</f>
        <v>0</v>
      </c>
      <c r="AE13" s="80">
        <f>SUMIFS('январь 2024'!$G$4:$G$1206,'январь 2024'!$D$4:$D$1206,$B13,'январь 2024'!$J$4:$J$1206,AE$1)</f>
        <v>0</v>
      </c>
      <c r="AF13" s="80">
        <f>SUMIFS('январь 2024'!$G$4:$G$1206,'январь 2024'!$D$4:$D$1206,$B13,'январь 2024'!$J$4:$J$1206,AF$1)</f>
        <v>0</v>
      </c>
      <c r="AG13" s="80">
        <f>SUMIFS('январь 2024'!$G$4:$G$1206,'январь 2024'!$D$4:$D$1206,$B13,'январь 2024'!$J$4:$J$1206,AG$1)</f>
        <v>0</v>
      </c>
      <c r="AH13" s="80">
        <f>SUMIFS('январь 2024'!$G$4:$G$1206,'январь 2024'!$D$4:$D$1206,$B13,'январь 2024'!$J$4:$J$1206,AH$1)</f>
        <v>0</v>
      </c>
      <c r="AI13" s="21">
        <f t="shared" si="1"/>
        <v>0</v>
      </c>
    </row>
    <row r="14" spans="2:35" ht="15" customHeight="1" x14ac:dyDescent="0.25">
      <c r="B14" s="81" t="s">
        <v>297</v>
      </c>
      <c r="C14" s="82">
        <v>22.7</v>
      </c>
      <c r="D14" s="80">
        <f>SUMIFS('январь 2024'!$G$4:$G$1206,'январь 2024'!$D$4:$D$1206,$B14,'январь 2024'!$J$4:$J$1206,D$1)</f>
        <v>0</v>
      </c>
      <c r="E14" s="80">
        <f>SUMIFS('январь 2024'!$G$4:$G$1206,'январь 2024'!$D$4:$D$1206,$B14,'январь 2024'!$J$4:$J$1206,E$1)</f>
        <v>0</v>
      </c>
      <c r="F14" s="80">
        <f>SUMIFS('январь 2024'!$G$4:$G$1206,'январь 2024'!$D$4:$D$1206,$B14,'январь 2024'!$J$4:$J$1206,F$1)</f>
        <v>0</v>
      </c>
      <c r="G14" s="80">
        <f>SUMIFS('январь 2024'!$G$4:$G$1206,'январь 2024'!$D$4:$D$1206,$B14,'январь 2024'!$J$4:$J$1206,G$1)</f>
        <v>0</v>
      </c>
      <c r="H14" s="80">
        <f>SUMIFS('январь 2024'!$G$4:$G$1206,'январь 2024'!$D$4:$D$1206,$B14,'январь 2024'!$J$4:$J$1206,H$1)</f>
        <v>0</v>
      </c>
      <c r="I14" s="80">
        <f>SUMIFS('январь 2024'!$G$4:$G$1206,'январь 2024'!$D$4:$D$1206,$B14,'январь 2024'!$J$4:$J$1206,I$1)</f>
        <v>0</v>
      </c>
      <c r="J14" s="80">
        <f>SUMIFS('январь 2024'!$G$4:$G$1206,'январь 2024'!$D$4:$D$1206,$B14,'январь 2024'!$J$4:$J$1206,J$1)</f>
        <v>0</v>
      </c>
      <c r="K14" s="80">
        <f>SUMIFS('январь 2024'!$G$4:$G$1206,'январь 2024'!$D$4:$D$1206,$B14,'январь 2024'!$J$4:$J$1206,K$1)</f>
        <v>0</v>
      </c>
      <c r="L14" s="80">
        <f>SUMIFS('январь 2024'!$G$4:$G$1206,'январь 2024'!$D$4:$D$1206,$B14,'январь 2024'!$J$4:$J$1206,L$1)</f>
        <v>1750</v>
      </c>
      <c r="M14" s="80">
        <f>SUMIFS('январь 2024'!$G$4:$G$1206,'январь 2024'!$D$4:$D$1206,$B14,'январь 2024'!$J$4:$J$1206,M$1)</f>
        <v>0</v>
      </c>
      <c r="N14" s="80">
        <f>SUMIFS('январь 2024'!$G$4:$G$1206,'январь 2024'!$D$4:$D$1206,$B14,'январь 2024'!$J$4:$J$1206,N$1)</f>
        <v>0</v>
      </c>
      <c r="O14" s="80">
        <f>SUMIFS('январь 2024'!$G$4:$G$1206,'январь 2024'!$D$4:$D$1206,$B14,'январь 2024'!$J$4:$J$1206,O$1)</f>
        <v>0</v>
      </c>
      <c r="P14" s="80">
        <f>SUMIFS('январь 2024'!$G$4:$G$1206,'январь 2024'!$D$4:$D$1206,$B14,'январь 2024'!$J$4:$J$1206,P$1)</f>
        <v>0</v>
      </c>
      <c r="Q14" s="80">
        <f>SUMIFS('январь 2024'!$G$4:$G$1206,'январь 2024'!$D$4:$D$1206,$B14,'январь 2024'!$J$4:$J$1206,Q$1)</f>
        <v>0</v>
      </c>
      <c r="R14" s="80">
        <f>SUMIFS('январь 2024'!$G$4:$G$1206,'январь 2024'!$D$4:$D$1206,$B14,'январь 2024'!$J$4:$J$1206,R$1)</f>
        <v>0</v>
      </c>
      <c r="S14" s="80">
        <f>SUMIFS('январь 2024'!$G$4:$G$1206,'январь 2024'!$D$4:$D$1206,$B14,'январь 2024'!$J$4:$J$1206,S$1)</f>
        <v>0</v>
      </c>
      <c r="T14" s="80">
        <f>SUMIFS('январь 2024'!$G$4:$G$1206,'январь 2024'!$D$4:$D$1206,$B14,'январь 2024'!$J$4:$J$1206,T$1)</f>
        <v>0</v>
      </c>
      <c r="U14" s="80">
        <f>SUMIFS('январь 2024'!$G$4:$G$1206,'январь 2024'!$D$4:$D$1206,$B14,'январь 2024'!$J$4:$J$1206,U$1)</f>
        <v>0</v>
      </c>
      <c r="V14" s="80">
        <f>SUMIFS('январь 2024'!$G$4:$G$1206,'январь 2024'!$D$4:$D$1206,$B14,'январь 2024'!$J$4:$J$1206,V$1)</f>
        <v>0</v>
      </c>
      <c r="W14" s="80">
        <f>SUMIFS('январь 2024'!$G$4:$G$1206,'январь 2024'!$D$4:$D$1206,$B14,'январь 2024'!$J$4:$J$1206,W$1)</f>
        <v>0</v>
      </c>
      <c r="X14" s="80">
        <f>SUMIFS('январь 2024'!$G$4:$G$1206,'январь 2024'!$D$4:$D$1206,$B14,'январь 2024'!$J$4:$J$1206,X$1)</f>
        <v>0</v>
      </c>
      <c r="Y14" s="80">
        <f>SUMIFS('январь 2024'!$G$4:$G$1206,'январь 2024'!$D$4:$D$1206,$B14,'январь 2024'!$J$4:$J$1206,Y$1)</f>
        <v>0</v>
      </c>
      <c r="Z14" s="80">
        <f>SUMIFS('январь 2024'!$G$4:$G$1206,'январь 2024'!$D$4:$D$1206,$B14,'январь 2024'!$J$4:$J$1206,Z$1)</f>
        <v>0</v>
      </c>
      <c r="AA14" s="80">
        <f>SUMIFS('январь 2024'!$G$4:$G$1206,'январь 2024'!$D$4:$D$1206,$B14,'январь 2024'!$J$4:$J$1206,AA$1)</f>
        <v>0</v>
      </c>
      <c r="AB14" s="80">
        <f>SUMIFS('январь 2024'!$G$4:$G$1206,'январь 2024'!$D$4:$D$1206,$B14,'январь 2024'!$J$4:$J$1206,AB$1)</f>
        <v>0</v>
      </c>
      <c r="AC14" s="80">
        <f>SUMIFS('январь 2024'!$G$4:$G$1206,'январь 2024'!$D$4:$D$1206,$B14,'январь 2024'!$J$4:$J$1206,AC$1)</f>
        <v>0</v>
      </c>
      <c r="AD14" s="80">
        <f>SUMIFS('январь 2024'!$G$4:$G$1206,'январь 2024'!$D$4:$D$1206,$B14,'январь 2024'!$J$4:$J$1206,AD$1)</f>
        <v>0</v>
      </c>
      <c r="AE14" s="80">
        <f>SUMIFS('январь 2024'!$G$4:$G$1206,'январь 2024'!$D$4:$D$1206,$B14,'январь 2024'!$J$4:$J$1206,AE$1)</f>
        <v>0</v>
      </c>
      <c r="AF14" s="80">
        <f>SUMIFS('январь 2024'!$G$4:$G$1206,'январь 2024'!$D$4:$D$1206,$B14,'январь 2024'!$J$4:$J$1206,AF$1)</f>
        <v>0</v>
      </c>
      <c r="AG14" s="80">
        <f>SUMIFS('январь 2024'!$G$4:$G$1206,'январь 2024'!$D$4:$D$1206,$B14,'январь 2024'!$J$4:$J$1206,AG$1)</f>
        <v>0</v>
      </c>
      <c r="AH14" s="80">
        <f>SUMIFS('январь 2024'!$G$4:$G$1206,'январь 2024'!$D$4:$D$1206,$B14,'январь 2024'!$J$4:$J$1206,AH$1)</f>
        <v>0</v>
      </c>
      <c r="AI14" s="21">
        <f t="shared" si="1"/>
        <v>1750</v>
      </c>
    </row>
    <row r="15" spans="2:35" ht="15" customHeight="1" x14ac:dyDescent="0.25">
      <c r="B15" s="84" t="s">
        <v>299</v>
      </c>
      <c r="C15" s="85">
        <v>22.7</v>
      </c>
      <c r="D15" s="80">
        <f>SUMIFS('январь 2024'!$G$4:$G$1206,'январь 2024'!$D$4:$D$1206,$B15,'январь 2024'!$J$4:$J$1206,D$1)</f>
        <v>0</v>
      </c>
      <c r="E15" s="80">
        <f>SUMIFS('январь 2024'!$G$4:$G$1206,'январь 2024'!$D$4:$D$1206,$B15,'январь 2024'!$J$4:$J$1206,E$1)</f>
        <v>0</v>
      </c>
      <c r="F15" s="80">
        <f>SUMIFS('январь 2024'!$G$4:$G$1206,'январь 2024'!$D$4:$D$1206,$B15,'январь 2024'!$J$4:$J$1206,F$1)</f>
        <v>0</v>
      </c>
      <c r="G15" s="80">
        <f>SUMIFS('январь 2024'!$G$4:$G$1206,'январь 2024'!$D$4:$D$1206,$B15,'январь 2024'!$J$4:$J$1206,G$1)</f>
        <v>0</v>
      </c>
      <c r="H15" s="80">
        <f>SUMIFS('январь 2024'!$G$4:$G$1206,'январь 2024'!$D$4:$D$1206,$B15,'январь 2024'!$J$4:$J$1206,H$1)</f>
        <v>0</v>
      </c>
      <c r="I15" s="80">
        <f>SUMIFS('январь 2024'!$G$4:$G$1206,'январь 2024'!$D$4:$D$1206,$B15,'январь 2024'!$J$4:$J$1206,I$1)</f>
        <v>0</v>
      </c>
      <c r="J15" s="80">
        <f>SUMIFS('январь 2024'!$G$4:$G$1206,'январь 2024'!$D$4:$D$1206,$B15,'январь 2024'!$J$4:$J$1206,J$1)</f>
        <v>0</v>
      </c>
      <c r="K15" s="80">
        <f>SUMIFS('январь 2024'!$G$4:$G$1206,'январь 2024'!$D$4:$D$1206,$B15,'январь 2024'!$J$4:$J$1206,K$1)</f>
        <v>0</v>
      </c>
      <c r="L15" s="80">
        <f>SUMIFS('январь 2024'!$G$4:$G$1206,'январь 2024'!$D$4:$D$1206,$B15,'январь 2024'!$J$4:$J$1206,L$1)</f>
        <v>0</v>
      </c>
      <c r="M15" s="80">
        <f>SUMIFS('январь 2024'!$G$4:$G$1206,'январь 2024'!$D$4:$D$1206,$B15,'январь 2024'!$J$4:$J$1206,M$1)</f>
        <v>0</v>
      </c>
      <c r="N15" s="80">
        <f>SUMIFS('январь 2024'!$G$4:$G$1206,'январь 2024'!$D$4:$D$1206,$B15,'январь 2024'!$J$4:$J$1206,N$1)</f>
        <v>0</v>
      </c>
      <c r="O15" s="80">
        <f>SUMIFS('январь 2024'!$G$4:$G$1206,'январь 2024'!$D$4:$D$1206,$B15,'январь 2024'!$J$4:$J$1206,O$1)</f>
        <v>0</v>
      </c>
      <c r="P15" s="80">
        <f>SUMIFS('январь 2024'!$G$4:$G$1206,'январь 2024'!$D$4:$D$1206,$B15,'январь 2024'!$J$4:$J$1206,P$1)</f>
        <v>0</v>
      </c>
      <c r="Q15" s="80">
        <f>SUMIFS('январь 2024'!$G$4:$G$1206,'январь 2024'!$D$4:$D$1206,$B15,'январь 2024'!$J$4:$J$1206,Q$1)</f>
        <v>0</v>
      </c>
      <c r="R15" s="80">
        <f>SUMIFS('январь 2024'!$G$4:$G$1206,'январь 2024'!$D$4:$D$1206,$B15,'январь 2024'!$J$4:$J$1206,R$1)</f>
        <v>0</v>
      </c>
      <c r="S15" s="80">
        <f>SUMIFS('январь 2024'!$G$4:$G$1206,'январь 2024'!$D$4:$D$1206,$B15,'январь 2024'!$J$4:$J$1206,S$1)</f>
        <v>0</v>
      </c>
      <c r="T15" s="80">
        <f>SUMIFS('январь 2024'!$G$4:$G$1206,'январь 2024'!$D$4:$D$1206,$B15,'январь 2024'!$J$4:$J$1206,T$1)</f>
        <v>0</v>
      </c>
      <c r="U15" s="80">
        <f>SUMIFS('январь 2024'!$G$4:$G$1206,'январь 2024'!$D$4:$D$1206,$B15,'январь 2024'!$J$4:$J$1206,U$1)</f>
        <v>0</v>
      </c>
      <c r="V15" s="80">
        <f>SUMIFS('январь 2024'!$G$4:$G$1206,'январь 2024'!$D$4:$D$1206,$B15,'январь 2024'!$J$4:$J$1206,V$1)</f>
        <v>0</v>
      </c>
      <c r="W15" s="80">
        <f>SUMIFS('январь 2024'!$G$4:$G$1206,'январь 2024'!$D$4:$D$1206,$B15,'январь 2024'!$J$4:$J$1206,W$1)</f>
        <v>0</v>
      </c>
      <c r="X15" s="80">
        <f>SUMIFS('январь 2024'!$G$4:$G$1206,'январь 2024'!$D$4:$D$1206,$B15,'январь 2024'!$J$4:$J$1206,X$1)</f>
        <v>0</v>
      </c>
      <c r="Y15" s="80">
        <f>SUMIFS('январь 2024'!$G$4:$G$1206,'январь 2024'!$D$4:$D$1206,$B15,'январь 2024'!$J$4:$J$1206,Y$1)</f>
        <v>0</v>
      </c>
      <c r="Z15" s="80">
        <f>SUMIFS('январь 2024'!$G$4:$G$1206,'январь 2024'!$D$4:$D$1206,$B15,'январь 2024'!$J$4:$J$1206,Z$1)</f>
        <v>0</v>
      </c>
      <c r="AA15" s="80">
        <f>SUMIFS('январь 2024'!$G$4:$G$1206,'январь 2024'!$D$4:$D$1206,$B15,'январь 2024'!$J$4:$J$1206,AA$1)</f>
        <v>0</v>
      </c>
      <c r="AB15" s="80">
        <f>SUMIFS('январь 2024'!$G$4:$G$1206,'январь 2024'!$D$4:$D$1206,$B15,'январь 2024'!$J$4:$J$1206,AB$1)</f>
        <v>0</v>
      </c>
      <c r="AC15" s="80">
        <f>SUMIFS('январь 2024'!$G$4:$G$1206,'январь 2024'!$D$4:$D$1206,$B15,'январь 2024'!$J$4:$J$1206,AC$1)</f>
        <v>0</v>
      </c>
      <c r="AD15" s="80">
        <f>SUMIFS('январь 2024'!$G$4:$G$1206,'январь 2024'!$D$4:$D$1206,$B15,'январь 2024'!$J$4:$J$1206,AD$1)</f>
        <v>0</v>
      </c>
      <c r="AE15" s="80">
        <f>SUMIFS('январь 2024'!$G$4:$G$1206,'январь 2024'!$D$4:$D$1206,$B15,'январь 2024'!$J$4:$J$1206,AE$1)</f>
        <v>0</v>
      </c>
      <c r="AF15" s="80">
        <f>SUMIFS('январь 2024'!$G$4:$G$1206,'январь 2024'!$D$4:$D$1206,$B15,'январь 2024'!$J$4:$J$1206,AF$1)</f>
        <v>0</v>
      </c>
      <c r="AG15" s="80">
        <f>SUMIFS('январь 2024'!$G$4:$G$1206,'январь 2024'!$D$4:$D$1206,$B15,'январь 2024'!$J$4:$J$1206,AG$1)</f>
        <v>0</v>
      </c>
      <c r="AH15" s="80">
        <f>SUMIFS('январь 2024'!$G$4:$G$1206,'январь 2024'!$D$4:$D$1206,$B15,'январь 2024'!$J$4:$J$1206,AH$1)</f>
        <v>0</v>
      </c>
      <c r="AI15" s="21">
        <f t="shared" si="1"/>
        <v>0</v>
      </c>
    </row>
    <row r="16" spans="2:35" ht="15" customHeight="1" x14ac:dyDescent="0.25">
      <c r="B16" s="84" t="s">
        <v>301</v>
      </c>
      <c r="C16" s="85">
        <v>25</v>
      </c>
      <c r="D16" s="80">
        <f>SUMIFS('январь 2024'!$G$4:$G$1206,'январь 2024'!$D$4:$D$1206,$B16,'январь 2024'!$J$4:$J$1206,D$1)</f>
        <v>0</v>
      </c>
      <c r="E16" s="80">
        <f>SUMIFS('январь 2024'!$G$4:$G$1206,'январь 2024'!$D$4:$D$1206,$B16,'январь 2024'!$J$4:$J$1206,E$1)</f>
        <v>0</v>
      </c>
      <c r="F16" s="80">
        <f>SUMIFS('январь 2024'!$G$4:$G$1206,'январь 2024'!$D$4:$D$1206,$B16,'январь 2024'!$J$4:$J$1206,F$1)</f>
        <v>0</v>
      </c>
      <c r="G16" s="80">
        <f>SUMIFS('январь 2024'!$G$4:$G$1206,'январь 2024'!$D$4:$D$1206,$B16,'январь 2024'!$J$4:$J$1206,G$1)</f>
        <v>0</v>
      </c>
      <c r="H16" s="80">
        <f>SUMIFS('январь 2024'!$G$4:$G$1206,'январь 2024'!$D$4:$D$1206,$B16,'январь 2024'!$J$4:$J$1206,H$1)</f>
        <v>0</v>
      </c>
      <c r="I16" s="80">
        <f>SUMIFS('январь 2024'!$G$4:$G$1206,'январь 2024'!$D$4:$D$1206,$B16,'январь 2024'!$J$4:$J$1206,I$1)</f>
        <v>0</v>
      </c>
      <c r="J16" s="80">
        <f>SUMIFS('январь 2024'!$G$4:$G$1206,'январь 2024'!$D$4:$D$1206,$B16,'январь 2024'!$J$4:$J$1206,J$1)</f>
        <v>0</v>
      </c>
      <c r="K16" s="80">
        <f>SUMIFS('январь 2024'!$G$4:$G$1206,'январь 2024'!$D$4:$D$1206,$B16,'январь 2024'!$J$4:$J$1206,K$1)</f>
        <v>0</v>
      </c>
      <c r="L16" s="80">
        <f>SUMIFS('январь 2024'!$G$4:$G$1206,'январь 2024'!$D$4:$D$1206,$B16,'январь 2024'!$J$4:$J$1206,L$1)</f>
        <v>0</v>
      </c>
      <c r="M16" s="80">
        <f>SUMIFS('январь 2024'!$G$4:$G$1206,'январь 2024'!$D$4:$D$1206,$B16,'январь 2024'!$J$4:$J$1206,M$1)</f>
        <v>0</v>
      </c>
      <c r="N16" s="80">
        <f>SUMIFS('январь 2024'!$G$4:$G$1206,'январь 2024'!$D$4:$D$1206,$B16,'январь 2024'!$J$4:$J$1206,N$1)</f>
        <v>0</v>
      </c>
      <c r="O16" s="80">
        <f>SUMIFS('январь 2024'!$G$4:$G$1206,'январь 2024'!$D$4:$D$1206,$B16,'январь 2024'!$J$4:$J$1206,O$1)</f>
        <v>0</v>
      </c>
      <c r="P16" s="80">
        <f>SUMIFS('январь 2024'!$G$4:$G$1206,'январь 2024'!$D$4:$D$1206,$B16,'январь 2024'!$J$4:$J$1206,P$1)</f>
        <v>0</v>
      </c>
      <c r="Q16" s="80">
        <f>SUMIFS('январь 2024'!$G$4:$G$1206,'январь 2024'!$D$4:$D$1206,$B16,'январь 2024'!$J$4:$J$1206,Q$1)</f>
        <v>0</v>
      </c>
      <c r="R16" s="80">
        <f>SUMIFS('январь 2024'!$G$4:$G$1206,'январь 2024'!$D$4:$D$1206,$B16,'январь 2024'!$J$4:$J$1206,R$1)</f>
        <v>0</v>
      </c>
      <c r="S16" s="80">
        <f>SUMIFS('январь 2024'!$G$4:$G$1206,'январь 2024'!$D$4:$D$1206,$B16,'январь 2024'!$J$4:$J$1206,S$1)</f>
        <v>0</v>
      </c>
      <c r="T16" s="80">
        <f>SUMIFS('январь 2024'!$G$4:$G$1206,'январь 2024'!$D$4:$D$1206,$B16,'январь 2024'!$J$4:$J$1206,T$1)</f>
        <v>0</v>
      </c>
      <c r="U16" s="80">
        <f>SUMIFS('январь 2024'!$G$4:$G$1206,'январь 2024'!$D$4:$D$1206,$B16,'январь 2024'!$J$4:$J$1206,U$1)</f>
        <v>0</v>
      </c>
      <c r="V16" s="80">
        <f>SUMIFS('январь 2024'!$G$4:$G$1206,'январь 2024'!$D$4:$D$1206,$B16,'январь 2024'!$J$4:$J$1206,V$1)</f>
        <v>0</v>
      </c>
      <c r="W16" s="80">
        <f>SUMIFS('январь 2024'!$G$4:$G$1206,'январь 2024'!$D$4:$D$1206,$B16,'январь 2024'!$J$4:$J$1206,W$1)</f>
        <v>0</v>
      </c>
      <c r="X16" s="80">
        <f>SUMIFS('январь 2024'!$G$4:$G$1206,'январь 2024'!$D$4:$D$1206,$B16,'январь 2024'!$J$4:$J$1206,X$1)</f>
        <v>0</v>
      </c>
      <c r="Y16" s="80">
        <f>SUMIFS('январь 2024'!$G$4:$G$1206,'январь 2024'!$D$4:$D$1206,$B16,'январь 2024'!$J$4:$J$1206,Y$1)</f>
        <v>0</v>
      </c>
      <c r="Z16" s="80">
        <f>SUMIFS('январь 2024'!$G$4:$G$1206,'январь 2024'!$D$4:$D$1206,$B16,'январь 2024'!$J$4:$J$1206,Z$1)</f>
        <v>0</v>
      </c>
      <c r="AA16" s="80">
        <f>SUMIFS('январь 2024'!$G$4:$G$1206,'январь 2024'!$D$4:$D$1206,$B16,'январь 2024'!$J$4:$J$1206,AA$1)</f>
        <v>0</v>
      </c>
      <c r="AB16" s="80">
        <f>SUMIFS('январь 2024'!$G$4:$G$1206,'январь 2024'!$D$4:$D$1206,$B16,'январь 2024'!$J$4:$J$1206,AB$1)</f>
        <v>0</v>
      </c>
      <c r="AC16" s="80">
        <f>SUMIFS('январь 2024'!$G$4:$G$1206,'январь 2024'!$D$4:$D$1206,$B16,'январь 2024'!$J$4:$J$1206,AC$1)</f>
        <v>0</v>
      </c>
      <c r="AD16" s="80">
        <f>SUMIFS('январь 2024'!$G$4:$G$1206,'январь 2024'!$D$4:$D$1206,$B16,'январь 2024'!$J$4:$J$1206,AD$1)</f>
        <v>0</v>
      </c>
      <c r="AE16" s="80">
        <f>SUMIFS('январь 2024'!$G$4:$G$1206,'январь 2024'!$D$4:$D$1206,$B16,'январь 2024'!$J$4:$J$1206,AE$1)</f>
        <v>0</v>
      </c>
      <c r="AF16" s="80">
        <f>SUMIFS('январь 2024'!$G$4:$G$1206,'январь 2024'!$D$4:$D$1206,$B16,'январь 2024'!$J$4:$J$1206,AF$1)</f>
        <v>0</v>
      </c>
      <c r="AG16" s="80">
        <f>SUMIFS('январь 2024'!$G$4:$G$1206,'январь 2024'!$D$4:$D$1206,$B16,'январь 2024'!$J$4:$J$1206,AG$1)</f>
        <v>0</v>
      </c>
      <c r="AH16" s="80">
        <f>SUMIFS('январь 2024'!$G$4:$G$1206,'январь 2024'!$D$4:$D$1206,$B16,'январь 2024'!$J$4:$J$1206,AH$1)</f>
        <v>0</v>
      </c>
      <c r="AI16" s="21">
        <f t="shared" si="1"/>
        <v>0</v>
      </c>
    </row>
    <row r="17" spans="2:35" ht="15" customHeight="1" x14ac:dyDescent="0.25">
      <c r="B17" s="81" t="s">
        <v>303</v>
      </c>
      <c r="C17" s="82">
        <v>25</v>
      </c>
      <c r="D17" s="80">
        <f>SUMIFS('январь 2024'!$G$4:$G$1206,'январь 2024'!$D$4:$D$1206,$B17,'январь 2024'!$J$4:$J$1206,D$1)</f>
        <v>0</v>
      </c>
      <c r="E17" s="80">
        <f>SUMIFS('январь 2024'!$G$4:$G$1206,'январь 2024'!$D$4:$D$1206,$B17,'январь 2024'!$J$4:$J$1206,E$1)</f>
        <v>0</v>
      </c>
      <c r="F17" s="80">
        <f>SUMIFS('январь 2024'!$G$4:$G$1206,'январь 2024'!$D$4:$D$1206,$B17,'январь 2024'!$J$4:$J$1206,F$1)</f>
        <v>0</v>
      </c>
      <c r="G17" s="80">
        <f>SUMIFS('январь 2024'!$G$4:$G$1206,'январь 2024'!$D$4:$D$1206,$B17,'январь 2024'!$J$4:$J$1206,G$1)</f>
        <v>0</v>
      </c>
      <c r="H17" s="80">
        <f>SUMIFS('январь 2024'!$G$4:$G$1206,'январь 2024'!$D$4:$D$1206,$B17,'январь 2024'!$J$4:$J$1206,H$1)</f>
        <v>0</v>
      </c>
      <c r="I17" s="80">
        <f>SUMIFS('январь 2024'!$G$4:$G$1206,'январь 2024'!$D$4:$D$1206,$B17,'январь 2024'!$J$4:$J$1206,I$1)</f>
        <v>0</v>
      </c>
      <c r="J17" s="80">
        <f>SUMIFS('январь 2024'!$G$4:$G$1206,'январь 2024'!$D$4:$D$1206,$B17,'январь 2024'!$J$4:$J$1206,J$1)</f>
        <v>0</v>
      </c>
      <c r="K17" s="80">
        <f>SUMIFS('январь 2024'!$G$4:$G$1206,'январь 2024'!$D$4:$D$1206,$B17,'январь 2024'!$J$4:$J$1206,K$1)</f>
        <v>0</v>
      </c>
      <c r="L17" s="80">
        <f>SUMIFS('январь 2024'!$G$4:$G$1206,'январь 2024'!$D$4:$D$1206,$B17,'январь 2024'!$J$4:$J$1206,L$1)</f>
        <v>0</v>
      </c>
      <c r="M17" s="80">
        <f>SUMIFS('январь 2024'!$G$4:$G$1206,'январь 2024'!$D$4:$D$1206,$B17,'январь 2024'!$J$4:$J$1206,M$1)</f>
        <v>0</v>
      </c>
      <c r="N17" s="80">
        <f>SUMIFS('январь 2024'!$G$4:$G$1206,'январь 2024'!$D$4:$D$1206,$B17,'январь 2024'!$J$4:$J$1206,N$1)</f>
        <v>0</v>
      </c>
      <c r="O17" s="80">
        <f>SUMIFS('январь 2024'!$G$4:$G$1206,'январь 2024'!$D$4:$D$1206,$B17,'январь 2024'!$J$4:$J$1206,O$1)</f>
        <v>0</v>
      </c>
      <c r="P17" s="80">
        <f>SUMIFS('январь 2024'!$G$4:$G$1206,'январь 2024'!$D$4:$D$1206,$B17,'январь 2024'!$J$4:$J$1206,P$1)</f>
        <v>0</v>
      </c>
      <c r="Q17" s="80">
        <f>SUMIFS('январь 2024'!$G$4:$G$1206,'январь 2024'!$D$4:$D$1206,$B17,'январь 2024'!$J$4:$J$1206,Q$1)</f>
        <v>0</v>
      </c>
      <c r="R17" s="80">
        <f>SUMIFS('январь 2024'!$G$4:$G$1206,'январь 2024'!$D$4:$D$1206,$B17,'январь 2024'!$J$4:$J$1206,R$1)</f>
        <v>0</v>
      </c>
      <c r="S17" s="80">
        <f>SUMIFS('январь 2024'!$G$4:$G$1206,'январь 2024'!$D$4:$D$1206,$B17,'январь 2024'!$J$4:$J$1206,S$1)</f>
        <v>0</v>
      </c>
      <c r="T17" s="80">
        <f>SUMIFS('январь 2024'!$G$4:$G$1206,'январь 2024'!$D$4:$D$1206,$B17,'январь 2024'!$J$4:$J$1206,T$1)</f>
        <v>0</v>
      </c>
      <c r="U17" s="80">
        <f>SUMIFS('январь 2024'!$G$4:$G$1206,'январь 2024'!$D$4:$D$1206,$B17,'январь 2024'!$J$4:$J$1206,U$1)</f>
        <v>0</v>
      </c>
      <c r="V17" s="80">
        <f>SUMIFS('январь 2024'!$G$4:$G$1206,'январь 2024'!$D$4:$D$1206,$B17,'январь 2024'!$J$4:$J$1206,V$1)</f>
        <v>0</v>
      </c>
      <c r="W17" s="80">
        <f>SUMIFS('январь 2024'!$G$4:$G$1206,'январь 2024'!$D$4:$D$1206,$B17,'январь 2024'!$J$4:$J$1206,W$1)</f>
        <v>0</v>
      </c>
      <c r="X17" s="80">
        <f>SUMIFS('январь 2024'!$G$4:$G$1206,'январь 2024'!$D$4:$D$1206,$B17,'январь 2024'!$J$4:$J$1206,X$1)</f>
        <v>0</v>
      </c>
      <c r="Y17" s="80">
        <f>SUMIFS('январь 2024'!$G$4:$G$1206,'январь 2024'!$D$4:$D$1206,$B17,'январь 2024'!$J$4:$J$1206,Y$1)</f>
        <v>0</v>
      </c>
      <c r="Z17" s="80">
        <f>SUMIFS('январь 2024'!$G$4:$G$1206,'январь 2024'!$D$4:$D$1206,$B17,'январь 2024'!$J$4:$J$1206,Z$1)</f>
        <v>0</v>
      </c>
      <c r="AA17" s="80">
        <f>SUMIFS('январь 2024'!$G$4:$G$1206,'январь 2024'!$D$4:$D$1206,$B17,'январь 2024'!$J$4:$J$1206,AA$1)</f>
        <v>0</v>
      </c>
      <c r="AB17" s="80">
        <f>SUMIFS('январь 2024'!$G$4:$G$1206,'январь 2024'!$D$4:$D$1206,$B17,'январь 2024'!$J$4:$J$1206,AB$1)</f>
        <v>0</v>
      </c>
      <c r="AC17" s="80">
        <f>SUMIFS('январь 2024'!$G$4:$G$1206,'январь 2024'!$D$4:$D$1206,$B17,'январь 2024'!$J$4:$J$1206,AC$1)</f>
        <v>0</v>
      </c>
      <c r="AD17" s="80">
        <f>SUMIFS('январь 2024'!$G$4:$G$1206,'январь 2024'!$D$4:$D$1206,$B17,'январь 2024'!$J$4:$J$1206,AD$1)</f>
        <v>0</v>
      </c>
      <c r="AE17" s="80">
        <f>SUMIFS('январь 2024'!$G$4:$G$1206,'январь 2024'!$D$4:$D$1206,$B17,'январь 2024'!$J$4:$J$1206,AE$1)</f>
        <v>0</v>
      </c>
      <c r="AF17" s="80">
        <f>SUMIFS('январь 2024'!$G$4:$G$1206,'январь 2024'!$D$4:$D$1206,$B17,'январь 2024'!$J$4:$J$1206,AF$1)</f>
        <v>0</v>
      </c>
      <c r="AG17" s="80">
        <f>SUMIFS('январь 2024'!$G$4:$G$1206,'январь 2024'!$D$4:$D$1206,$B17,'январь 2024'!$J$4:$J$1206,AG$1)</f>
        <v>0</v>
      </c>
      <c r="AH17" s="80">
        <f>SUMIFS('январь 2024'!$G$4:$G$1206,'январь 2024'!$D$4:$D$1206,$B17,'январь 2024'!$J$4:$J$1206,AH$1)</f>
        <v>0</v>
      </c>
      <c r="AI17" s="21">
        <f t="shared" si="1"/>
        <v>0</v>
      </c>
    </row>
    <row r="18" spans="2:35" ht="15" customHeight="1" x14ac:dyDescent="0.25">
      <c r="B18" s="81" t="s">
        <v>305</v>
      </c>
      <c r="C18" s="82">
        <v>25</v>
      </c>
      <c r="D18" s="80">
        <f>SUMIFS('январь 2024'!$G$4:$G$1206,'январь 2024'!$D$4:$D$1206,$B18,'январь 2024'!$J$4:$J$1206,D$1)</f>
        <v>0</v>
      </c>
      <c r="E18" s="80">
        <f>SUMIFS('январь 2024'!$G$4:$G$1206,'январь 2024'!$D$4:$D$1206,$B18,'январь 2024'!$J$4:$J$1206,E$1)</f>
        <v>0</v>
      </c>
      <c r="F18" s="80">
        <f>SUMIFS('январь 2024'!$G$4:$G$1206,'январь 2024'!$D$4:$D$1206,$B18,'январь 2024'!$J$4:$J$1206,F$1)</f>
        <v>0</v>
      </c>
      <c r="G18" s="80">
        <f>SUMIFS('январь 2024'!$G$4:$G$1206,'январь 2024'!$D$4:$D$1206,$B18,'январь 2024'!$J$4:$J$1206,G$1)</f>
        <v>0</v>
      </c>
      <c r="H18" s="80">
        <f>SUMIFS('январь 2024'!$G$4:$G$1206,'январь 2024'!$D$4:$D$1206,$B18,'январь 2024'!$J$4:$J$1206,H$1)</f>
        <v>0</v>
      </c>
      <c r="I18" s="80">
        <f>SUMIFS('январь 2024'!$G$4:$G$1206,'январь 2024'!$D$4:$D$1206,$B18,'январь 2024'!$J$4:$J$1206,I$1)</f>
        <v>0</v>
      </c>
      <c r="J18" s="80">
        <f>SUMIFS('январь 2024'!$G$4:$G$1206,'январь 2024'!$D$4:$D$1206,$B18,'январь 2024'!$J$4:$J$1206,J$1)</f>
        <v>0</v>
      </c>
      <c r="K18" s="80">
        <f>SUMIFS('январь 2024'!$G$4:$G$1206,'январь 2024'!$D$4:$D$1206,$B18,'январь 2024'!$J$4:$J$1206,K$1)</f>
        <v>0</v>
      </c>
      <c r="L18" s="80">
        <f>SUMIFS('январь 2024'!$G$4:$G$1206,'январь 2024'!$D$4:$D$1206,$B18,'январь 2024'!$J$4:$J$1206,L$1)</f>
        <v>0</v>
      </c>
      <c r="M18" s="80">
        <f>SUMIFS('январь 2024'!$G$4:$G$1206,'январь 2024'!$D$4:$D$1206,$B18,'январь 2024'!$J$4:$J$1206,M$1)</f>
        <v>0</v>
      </c>
      <c r="N18" s="80">
        <f>SUMIFS('январь 2024'!$G$4:$G$1206,'январь 2024'!$D$4:$D$1206,$B18,'январь 2024'!$J$4:$J$1206,N$1)</f>
        <v>0</v>
      </c>
      <c r="O18" s="80">
        <f>SUMIFS('январь 2024'!$G$4:$G$1206,'январь 2024'!$D$4:$D$1206,$B18,'январь 2024'!$J$4:$J$1206,O$1)</f>
        <v>0</v>
      </c>
      <c r="P18" s="80">
        <f>SUMIFS('январь 2024'!$G$4:$G$1206,'январь 2024'!$D$4:$D$1206,$B18,'январь 2024'!$J$4:$J$1206,P$1)</f>
        <v>0</v>
      </c>
      <c r="Q18" s="80">
        <f>SUMIFS('январь 2024'!$G$4:$G$1206,'январь 2024'!$D$4:$D$1206,$B18,'январь 2024'!$J$4:$J$1206,Q$1)</f>
        <v>0</v>
      </c>
      <c r="R18" s="80">
        <f>SUMIFS('январь 2024'!$G$4:$G$1206,'январь 2024'!$D$4:$D$1206,$B18,'январь 2024'!$J$4:$J$1206,R$1)</f>
        <v>0</v>
      </c>
      <c r="S18" s="80">
        <f>SUMIFS('январь 2024'!$G$4:$G$1206,'январь 2024'!$D$4:$D$1206,$B18,'январь 2024'!$J$4:$J$1206,S$1)</f>
        <v>0</v>
      </c>
      <c r="T18" s="80">
        <f>SUMIFS('январь 2024'!$G$4:$G$1206,'январь 2024'!$D$4:$D$1206,$B18,'январь 2024'!$J$4:$J$1206,T$1)</f>
        <v>0</v>
      </c>
      <c r="U18" s="80">
        <f>SUMIFS('январь 2024'!$G$4:$G$1206,'январь 2024'!$D$4:$D$1206,$B18,'январь 2024'!$J$4:$J$1206,U$1)</f>
        <v>0</v>
      </c>
      <c r="V18" s="80">
        <f>SUMIFS('январь 2024'!$G$4:$G$1206,'январь 2024'!$D$4:$D$1206,$B18,'январь 2024'!$J$4:$J$1206,V$1)</f>
        <v>0</v>
      </c>
      <c r="W18" s="80">
        <f>SUMIFS('январь 2024'!$G$4:$G$1206,'январь 2024'!$D$4:$D$1206,$B18,'январь 2024'!$J$4:$J$1206,W$1)</f>
        <v>0</v>
      </c>
      <c r="X18" s="80">
        <f>SUMIFS('январь 2024'!$G$4:$G$1206,'январь 2024'!$D$4:$D$1206,$B18,'январь 2024'!$J$4:$J$1206,X$1)</f>
        <v>0</v>
      </c>
      <c r="Y18" s="80">
        <f>SUMIFS('январь 2024'!$G$4:$G$1206,'январь 2024'!$D$4:$D$1206,$B18,'январь 2024'!$J$4:$J$1206,Y$1)</f>
        <v>0</v>
      </c>
      <c r="Z18" s="80">
        <f>SUMIFS('январь 2024'!$G$4:$G$1206,'январь 2024'!$D$4:$D$1206,$B18,'январь 2024'!$J$4:$J$1206,Z$1)</f>
        <v>0</v>
      </c>
      <c r="AA18" s="80">
        <f>SUMIFS('январь 2024'!$G$4:$G$1206,'январь 2024'!$D$4:$D$1206,$B18,'январь 2024'!$J$4:$J$1206,AA$1)</f>
        <v>0</v>
      </c>
      <c r="AB18" s="80">
        <f>SUMIFS('январь 2024'!$G$4:$G$1206,'январь 2024'!$D$4:$D$1206,$B18,'январь 2024'!$J$4:$J$1206,AB$1)</f>
        <v>0</v>
      </c>
      <c r="AC18" s="80">
        <f>SUMIFS('январь 2024'!$G$4:$G$1206,'январь 2024'!$D$4:$D$1206,$B18,'январь 2024'!$J$4:$J$1206,AC$1)</f>
        <v>0</v>
      </c>
      <c r="AD18" s="80">
        <f>SUMIFS('январь 2024'!$G$4:$G$1206,'январь 2024'!$D$4:$D$1206,$B18,'январь 2024'!$J$4:$J$1206,AD$1)</f>
        <v>0</v>
      </c>
      <c r="AE18" s="80">
        <f>SUMIFS('январь 2024'!$G$4:$G$1206,'январь 2024'!$D$4:$D$1206,$B18,'январь 2024'!$J$4:$J$1206,AE$1)</f>
        <v>0</v>
      </c>
      <c r="AF18" s="80">
        <f>SUMIFS('январь 2024'!$G$4:$G$1206,'январь 2024'!$D$4:$D$1206,$B18,'январь 2024'!$J$4:$J$1206,AF$1)</f>
        <v>0</v>
      </c>
      <c r="AG18" s="80">
        <f>SUMIFS('январь 2024'!$G$4:$G$1206,'январь 2024'!$D$4:$D$1206,$B18,'январь 2024'!$J$4:$J$1206,AG$1)</f>
        <v>0</v>
      </c>
      <c r="AH18" s="80">
        <f>SUMIFS('январь 2024'!$G$4:$G$1206,'январь 2024'!$D$4:$D$1206,$B18,'январь 2024'!$J$4:$J$1206,AH$1)</f>
        <v>0</v>
      </c>
      <c r="AI18" s="21">
        <f t="shared" si="1"/>
        <v>0</v>
      </c>
    </row>
    <row r="19" spans="2:35" ht="15" customHeight="1" x14ac:dyDescent="0.25">
      <c r="B19" s="81" t="s">
        <v>307</v>
      </c>
      <c r="C19" s="82">
        <v>25</v>
      </c>
      <c r="D19" s="80">
        <f>SUMIFS('январь 2024'!$G$4:$G$1206,'январь 2024'!$D$4:$D$1206,$B19,'январь 2024'!$J$4:$J$1206,D$1)</f>
        <v>0</v>
      </c>
      <c r="E19" s="80">
        <f>SUMIFS('январь 2024'!$G$4:$G$1206,'январь 2024'!$D$4:$D$1206,$B19,'январь 2024'!$J$4:$J$1206,E$1)</f>
        <v>0</v>
      </c>
      <c r="F19" s="80">
        <f>SUMIFS('январь 2024'!$G$4:$G$1206,'январь 2024'!$D$4:$D$1206,$B19,'январь 2024'!$J$4:$J$1206,F$1)</f>
        <v>0</v>
      </c>
      <c r="G19" s="80">
        <f>SUMIFS('январь 2024'!$G$4:$G$1206,'январь 2024'!$D$4:$D$1206,$B19,'январь 2024'!$J$4:$J$1206,G$1)</f>
        <v>0</v>
      </c>
      <c r="H19" s="80">
        <f>SUMIFS('январь 2024'!$G$4:$G$1206,'январь 2024'!$D$4:$D$1206,$B19,'январь 2024'!$J$4:$J$1206,H$1)</f>
        <v>0</v>
      </c>
      <c r="I19" s="80">
        <f>SUMIFS('январь 2024'!$G$4:$G$1206,'январь 2024'!$D$4:$D$1206,$B19,'январь 2024'!$J$4:$J$1206,I$1)</f>
        <v>0</v>
      </c>
      <c r="J19" s="80">
        <f>SUMIFS('январь 2024'!$G$4:$G$1206,'январь 2024'!$D$4:$D$1206,$B19,'январь 2024'!$J$4:$J$1206,J$1)</f>
        <v>0</v>
      </c>
      <c r="K19" s="80">
        <f>SUMIFS('январь 2024'!$G$4:$G$1206,'январь 2024'!$D$4:$D$1206,$B19,'январь 2024'!$J$4:$J$1206,K$1)</f>
        <v>0</v>
      </c>
      <c r="L19" s="80">
        <f>SUMIFS('январь 2024'!$G$4:$G$1206,'январь 2024'!$D$4:$D$1206,$B19,'январь 2024'!$J$4:$J$1206,L$1)</f>
        <v>0</v>
      </c>
      <c r="M19" s="80">
        <f>SUMIFS('январь 2024'!$G$4:$G$1206,'январь 2024'!$D$4:$D$1206,$B19,'январь 2024'!$J$4:$J$1206,M$1)</f>
        <v>0</v>
      </c>
      <c r="N19" s="80">
        <f>SUMIFS('январь 2024'!$G$4:$G$1206,'январь 2024'!$D$4:$D$1206,$B19,'январь 2024'!$J$4:$J$1206,N$1)</f>
        <v>0</v>
      </c>
      <c r="O19" s="80">
        <f>SUMIFS('январь 2024'!$G$4:$G$1206,'январь 2024'!$D$4:$D$1206,$B19,'январь 2024'!$J$4:$J$1206,O$1)</f>
        <v>0</v>
      </c>
      <c r="P19" s="80">
        <f>SUMIFS('январь 2024'!$G$4:$G$1206,'январь 2024'!$D$4:$D$1206,$B19,'январь 2024'!$J$4:$J$1206,P$1)</f>
        <v>0</v>
      </c>
      <c r="Q19" s="80">
        <f>SUMIFS('январь 2024'!$G$4:$G$1206,'январь 2024'!$D$4:$D$1206,$B19,'январь 2024'!$J$4:$J$1206,Q$1)</f>
        <v>0</v>
      </c>
      <c r="R19" s="80">
        <f>SUMIFS('январь 2024'!$G$4:$G$1206,'январь 2024'!$D$4:$D$1206,$B19,'январь 2024'!$J$4:$J$1206,R$1)</f>
        <v>0</v>
      </c>
      <c r="S19" s="80">
        <f>SUMIFS('январь 2024'!$G$4:$G$1206,'январь 2024'!$D$4:$D$1206,$B19,'январь 2024'!$J$4:$J$1206,S$1)</f>
        <v>0</v>
      </c>
      <c r="T19" s="80">
        <f>SUMIFS('январь 2024'!$G$4:$G$1206,'январь 2024'!$D$4:$D$1206,$B19,'январь 2024'!$J$4:$J$1206,T$1)</f>
        <v>0</v>
      </c>
      <c r="U19" s="80">
        <f>SUMIFS('январь 2024'!$G$4:$G$1206,'январь 2024'!$D$4:$D$1206,$B19,'январь 2024'!$J$4:$J$1206,U$1)</f>
        <v>0</v>
      </c>
      <c r="V19" s="80">
        <f>SUMIFS('январь 2024'!$G$4:$G$1206,'январь 2024'!$D$4:$D$1206,$B19,'январь 2024'!$J$4:$J$1206,V$1)</f>
        <v>0</v>
      </c>
      <c r="W19" s="80">
        <f>SUMIFS('январь 2024'!$G$4:$G$1206,'январь 2024'!$D$4:$D$1206,$B19,'январь 2024'!$J$4:$J$1206,W$1)</f>
        <v>0</v>
      </c>
      <c r="X19" s="80">
        <f>SUMIFS('январь 2024'!$G$4:$G$1206,'январь 2024'!$D$4:$D$1206,$B19,'январь 2024'!$J$4:$J$1206,X$1)</f>
        <v>0</v>
      </c>
      <c r="Y19" s="80">
        <f>SUMIFS('январь 2024'!$G$4:$G$1206,'январь 2024'!$D$4:$D$1206,$B19,'январь 2024'!$J$4:$J$1206,Y$1)</f>
        <v>0</v>
      </c>
      <c r="Z19" s="80">
        <f>SUMIFS('январь 2024'!$G$4:$G$1206,'январь 2024'!$D$4:$D$1206,$B19,'январь 2024'!$J$4:$J$1206,Z$1)</f>
        <v>0</v>
      </c>
      <c r="AA19" s="80">
        <f>SUMIFS('январь 2024'!$G$4:$G$1206,'январь 2024'!$D$4:$D$1206,$B19,'январь 2024'!$J$4:$J$1206,AA$1)</f>
        <v>0</v>
      </c>
      <c r="AB19" s="80">
        <f>SUMIFS('январь 2024'!$G$4:$G$1206,'январь 2024'!$D$4:$D$1206,$B19,'январь 2024'!$J$4:$J$1206,AB$1)</f>
        <v>0</v>
      </c>
      <c r="AC19" s="80">
        <f>SUMIFS('январь 2024'!$G$4:$G$1206,'январь 2024'!$D$4:$D$1206,$B19,'январь 2024'!$J$4:$J$1206,AC$1)</f>
        <v>0</v>
      </c>
      <c r="AD19" s="80">
        <f>SUMIFS('январь 2024'!$G$4:$G$1206,'январь 2024'!$D$4:$D$1206,$B19,'январь 2024'!$J$4:$J$1206,AD$1)</f>
        <v>0</v>
      </c>
      <c r="AE19" s="80">
        <f>SUMIFS('январь 2024'!$G$4:$G$1206,'январь 2024'!$D$4:$D$1206,$B19,'январь 2024'!$J$4:$J$1206,AE$1)</f>
        <v>0</v>
      </c>
      <c r="AF19" s="80">
        <f>SUMIFS('январь 2024'!$G$4:$G$1206,'январь 2024'!$D$4:$D$1206,$B19,'январь 2024'!$J$4:$J$1206,AF$1)</f>
        <v>0</v>
      </c>
      <c r="AG19" s="80">
        <f>SUMIFS('январь 2024'!$G$4:$G$1206,'январь 2024'!$D$4:$D$1206,$B19,'январь 2024'!$J$4:$J$1206,AG$1)</f>
        <v>0</v>
      </c>
      <c r="AH19" s="80">
        <f>SUMIFS('январь 2024'!$G$4:$G$1206,'январь 2024'!$D$4:$D$1206,$B19,'январь 2024'!$J$4:$J$1206,AH$1)</f>
        <v>0</v>
      </c>
      <c r="AI19" s="21">
        <f t="shared" si="1"/>
        <v>0</v>
      </c>
    </row>
    <row r="20" spans="2:35" ht="15" customHeight="1" x14ac:dyDescent="0.25">
      <c r="B20" s="81" t="s">
        <v>309</v>
      </c>
      <c r="C20" s="82">
        <v>25</v>
      </c>
      <c r="D20" s="80">
        <f>SUMIFS('январь 2024'!$G$4:$G$1206,'январь 2024'!$D$4:$D$1206,$B20,'январь 2024'!$J$4:$J$1206,D$1)</f>
        <v>0</v>
      </c>
      <c r="E20" s="80">
        <f>SUMIFS('январь 2024'!$G$4:$G$1206,'январь 2024'!$D$4:$D$1206,$B20,'январь 2024'!$J$4:$J$1206,E$1)</f>
        <v>0</v>
      </c>
      <c r="F20" s="80">
        <f>SUMIFS('январь 2024'!$G$4:$G$1206,'январь 2024'!$D$4:$D$1206,$B20,'январь 2024'!$J$4:$J$1206,F$1)</f>
        <v>0</v>
      </c>
      <c r="G20" s="80">
        <f>SUMIFS('январь 2024'!$G$4:$G$1206,'январь 2024'!$D$4:$D$1206,$B20,'январь 2024'!$J$4:$J$1206,G$1)</f>
        <v>0</v>
      </c>
      <c r="H20" s="80">
        <f>SUMIFS('январь 2024'!$G$4:$G$1206,'январь 2024'!$D$4:$D$1206,$B20,'январь 2024'!$J$4:$J$1206,H$1)</f>
        <v>0</v>
      </c>
      <c r="I20" s="80">
        <f>SUMIFS('январь 2024'!$G$4:$G$1206,'январь 2024'!$D$4:$D$1206,$B20,'январь 2024'!$J$4:$J$1206,I$1)</f>
        <v>0</v>
      </c>
      <c r="J20" s="80">
        <f>SUMIFS('январь 2024'!$G$4:$G$1206,'январь 2024'!$D$4:$D$1206,$B20,'январь 2024'!$J$4:$J$1206,J$1)</f>
        <v>0</v>
      </c>
      <c r="K20" s="80">
        <f>SUMIFS('январь 2024'!$G$4:$G$1206,'январь 2024'!$D$4:$D$1206,$B20,'январь 2024'!$J$4:$J$1206,K$1)</f>
        <v>0</v>
      </c>
      <c r="L20" s="80">
        <f>SUMIFS('январь 2024'!$G$4:$G$1206,'январь 2024'!$D$4:$D$1206,$B20,'январь 2024'!$J$4:$J$1206,L$1)</f>
        <v>0</v>
      </c>
      <c r="M20" s="80">
        <f>SUMIFS('январь 2024'!$G$4:$G$1206,'январь 2024'!$D$4:$D$1206,$B20,'январь 2024'!$J$4:$J$1206,M$1)</f>
        <v>0</v>
      </c>
      <c r="N20" s="80">
        <f>SUMIFS('январь 2024'!$G$4:$G$1206,'январь 2024'!$D$4:$D$1206,$B20,'январь 2024'!$J$4:$J$1206,N$1)</f>
        <v>0</v>
      </c>
      <c r="O20" s="80">
        <f>SUMIFS('январь 2024'!$G$4:$G$1206,'январь 2024'!$D$4:$D$1206,$B20,'январь 2024'!$J$4:$J$1206,O$1)</f>
        <v>0</v>
      </c>
      <c r="P20" s="80">
        <f>SUMIFS('январь 2024'!$G$4:$G$1206,'январь 2024'!$D$4:$D$1206,$B20,'январь 2024'!$J$4:$J$1206,P$1)</f>
        <v>0</v>
      </c>
      <c r="Q20" s="80">
        <f>SUMIFS('январь 2024'!$G$4:$G$1206,'январь 2024'!$D$4:$D$1206,$B20,'январь 2024'!$J$4:$J$1206,Q$1)</f>
        <v>0</v>
      </c>
      <c r="R20" s="80">
        <f>SUMIFS('январь 2024'!$G$4:$G$1206,'январь 2024'!$D$4:$D$1206,$B20,'январь 2024'!$J$4:$J$1206,R$1)</f>
        <v>0</v>
      </c>
      <c r="S20" s="80">
        <f>SUMIFS('январь 2024'!$G$4:$G$1206,'январь 2024'!$D$4:$D$1206,$B20,'январь 2024'!$J$4:$J$1206,S$1)</f>
        <v>0</v>
      </c>
      <c r="T20" s="80">
        <f>SUMIFS('январь 2024'!$G$4:$G$1206,'январь 2024'!$D$4:$D$1206,$B20,'январь 2024'!$J$4:$J$1206,T$1)</f>
        <v>0</v>
      </c>
      <c r="U20" s="80">
        <f>SUMIFS('январь 2024'!$G$4:$G$1206,'январь 2024'!$D$4:$D$1206,$B20,'январь 2024'!$J$4:$J$1206,U$1)</f>
        <v>0</v>
      </c>
      <c r="V20" s="80">
        <f>SUMIFS('январь 2024'!$G$4:$G$1206,'январь 2024'!$D$4:$D$1206,$B20,'январь 2024'!$J$4:$J$1206,V$1)</f>
        <v>0</v>
      </c>
      <c r="W20" s="80">
        <f>SUMIFS('январь 2024'!$G$4:$G$1206,'январь 2024'!$D$4:$D$1206,$B20,'январь 2024'!$J$4:$J$1206,W$1)</f>
        <v>0</v>
      </c>
      <c r="X20" s="80">
        <f>SUMIFS('январь 2024'!$G$4:$G$1206,'январь 2024'!$D$4:$D$1206,$B20,'январь 2024'!$J$4:$J$1206,X$1)</f>
        <v>0</v>
      </c>
      <c r="Y20" s="80">
        <f>SUMIFS('январь 2024'!$G$4:$G$1206,'январь 2024'!$D$4:$D$1206,$B20,'январь 2024'!$J$4:$J$1206,Y$1)</f>
        <v>0</v>
      </c>
      <c r="Z20" s="80">
        <f>SUMIFS('январь 2024'!$G$4:$G$1206,'январь 2024'!$D$4:$D$1206,$B20,'январь 2024'!$J$4:$J$1206,Z$1)</f>
        <v>0</v>
      </c>
      <c r="AA20" s="80">
        <f>SUMIFS('январь 2024'!$G$4:$G$1206,'январь 2024'!$D$4:$D$1206,$B20,'январь 2024'!$J$4:$J$1206,AA$1)</f>
        <v>0</v>
      </c>
      <c r="AB20" s="80">
        <f>SUMIFS('январь 2024'!$G$4:$G$1206,'январь 2024'!$D$4:$D$1206,$B20,'январь 2024'!$J$4:$J$1206,AB$1)</f>
        <v>0</v>
      </c>
      <c r="AC20" s="80">
        <f>SUMIFS('январь 2024'!$G$4:$G$1206,'январь 2024'!$D$4:$D$1206,$B20,'январь 2024'!$J$4:$J$1206,AC$1)</f>
        <v>0</v>
      </c>
      <c r="AD20" s="80">
        <f>SUMIFS('январь 2024'!$G$4:$G$1206,'январь 2024'!$D$4:$D$1206,$B20,'январь 2024'!$J$4:$J$1206,AD$1)</f>
        <v>0</v>
      </c>
      <c r="AE20" s="80">
        <f>SUMIFS('январь 2024'!$G$4:$G$1206,'январь 2024'!$D$4:$D$1206,$B20,'январь 2024'!$J$4:$J$1206,AE$1)</f>
        <v>0</v>
      </c>
      <c r="AF20" s="80">
        <f>SUMIFS('январь 2024'!$G$4:$G$1206,'январь 2024'!$D$4:$D$1206,$B20,'январь 2024'!$J$4:$J$1206,AF$1)</f>
        <v>0</v>
      </c>
      <c r="AG20" s="80">
        <f>SUMIFS('январь 2024'!$G$4:$G$1206,'январь 2024'!$D$4:$D$1206,$B20,'январь 2024'!$J$4:$J$1206,AG$1)</f>
        <v>0</v>
      </c>
      <c r="AH20" s="80">
        <f>SUMIFS('январь 2024'!$G$4:$G$1206,'январь 2024'!$D$4:$D$1206,$B20,'январь 2024'!$J$4:$J$1206,AH$1)</f>
        <v>0</v>
      </c>
      <c r="AI20" s="21">
        <f t="shared" si="1"/>
        <v>0</v>
      </c>
    </row>
    <row r="21" spans="2:35" ht="15" customHeight="1" x14ac:dyDescent="0.25">
      <c r="B21" s="84" t="s">
        <v>311</v>
      </c>
      <c r="C21" s="103">
        <v>25</v>
      </c>
      <c r="D21" s="80">
        <f>SUMIFS('январь 2024'!$G$4:$G$1206,'январь 2024'!$D$4:$D$1206,$B21,'январь 2024'!$J$4:$J$1206,D$1)</f>
        <v>0</v>
      </c>
      <c r="E21" s="80">
        <f>SUMIFS('январь 2024'!$G$4:$G$1206,'январь 2024'!$D$4:$D$1206,$B21,'январь 2024'!$J$4:$J$1206,E$1)</f>
        <v>0</v>
      </c>
      <c r="F21" s="80">
        <f>SUMIFS('январь 2024'!$G$4:$G$1206,'январь 2024'!$D$4:$D$1206,$B21,'январь 2024'!$J$4:$J$1206,F$1)</f>
        <v>0</v>
      </c>
      <c r="G21" s="80">
        <f>SUMIFS('январь 2024'!$G$4:$G$1206,'январь 2024'!$D$4:$D$1206,$B21,'январь 2024'!$J$4:$J$1206,G$1)</f>
        <v>0</v>
      </c>
      <c r="H21" s="80">
        <f>SUMIFS('январь 2024'!$G$4:$G$1206,'январь 2024'!$D$4:$D$1206,$B21,'январь 2024'!$J$4:$J$1206,H$1)</f>
        <v>0</v>
      </c>
      <c r="I21" s="80">
        <f>SUMIFS('январь 2024'!$G$4:$G$1206,'январь 2024'!$D$4:$D$1206,$B21,'январь 2024'!$J$4:$J$1206,I$1)</f>
        <v>0</v>
      </c>
      <c r="J21" s="80">
        <f>SUMIFS('январь 2024'!$G$4:$G$1206,'январь 2024'!$D$4:$D$1206,$B21,'январь 2024'!$J$4:$J$1206,J$1)</f>
        <v>0</v>
      </c>
      <c r="K21" s="80">
        <f>SUMIFS('январь 2024'!$G$4:$G$1206,'январь 2024'!$D$4:$D$1206,$B21,'январь 2024'!$J$4:$J$1206,K$1)</f>
        <v>0</v>
      </c>
      <c r="L21" s="80">
        <f>SUMIFS('январь 2024'!$G$4:$G$1206,'январь 2024'!$D$4:$D$1206,$B21,'январь 2024'!$J$4:$J$1206,L$1)</f>
        <v>0</v>
      </c>
      <c r="M21" s="80">
        <f>SUMIFS('январь 2024'!$G$4:$G$1206,'январь 2024'!$D$4:$D$1206,$B21,'январь 2024'!$J$4:$J$1206,M$1)</f>
        <v>0</v>
      </c>
      <c r="N21" s="80">
        <f>SUMIFS('январь 2024'!$G$4:$G$1206,'январь 2024'!$D$4:$D$1206,$B21,'январь 2024'!$J$4:$J$1206,N$1)</f>
        <v>0</v>
      </c>
      <c r="O21" s="80">
        <f>SUMIFS('январь 2024'!$G$4:$G$1206,'январь 2024'!$D$4:$D$1206,$B21,'январь 2024'!$J$4:$J$1206,O$1)</f>
        <v>0</v>
      </c>
      <c r="P21" s="80">
        <f>SUMIFS('январь 2024'!$G$4:$G$1206,'январь 2024'!$D$4:$D$1206,$B21,'январь 2024'!$J$4:$J$1206,P$1)</f>
        <v>0</v>
      </c>
      <c r="Q21" s="80">
        <f>SUMIFS('январь 2024'!$G$4:$G$1206,'январь 2024'!$D$4:$D$1206,$B21,'январь 2024'!$J$4:$J$1206,Q$1)</f>
        <v>0</v>
      </c>
      <c r="R21" s="80">
        <f>SUMIFS('январь 2024'!$G$4:$G$1206,'январь 2024'!$D$4:$D$1206,$B21,'январь 2024'!$J$4:$J$1206,R$1)</f>
        <v>0</v>
      </c>
      <c r="S21" s="80">
        <f>SUMIFS('январь 2024'!$G$4:$G$1206,'январь 2024'!$D$4:$D$1206,$B21,'январь 2024'!$J$4:$J$1206,S$1)</f>
        <v>0</v>
      </c>
      <c r="T21" s="80">
        <f>SUMIFS('январь 2024'!$G$4:$G$1206,'январь 2024'!$D$4:$D$1206,$B21,'январь 2024'!$J$4:$J$1206,T$1)</f>
        <v>0</v>
      </c>
      <c r="U21" s="80">
        <f>SUMIFS('январь 2024'!$G$4:$G$1206,'январь 2024'!$D$4:$D$1206,$B21,'январь 2024'!$J$4:$J$1206,U$1)</f>
        <v>0</v>
      </c>
      <c r="V21" s="80">
        <f>SUMIFS('январь 2024'!$G$4:$G$1206,'январь 2024'!$D$4:$D$1206,$B21,'январь 2024'!$J$4:$J$1206,V$1)</f>
        <v>0</v>
      </c>
      <c r="W21" s="80">
        <f>SUMIFS('январь 2024'!$G$4:$G$1206,'январь 2024'!$D$4:$D$1206,$B21,'январь 2024'!$J$4:$J$1206,W$1)</f>
        <v>0</v>
      </c>
      <c r="X21" s="80">
        <f>SUMIFS('январь 2024'!$G$4:$G$1206,'январь 2024'!$D$4:$D$1206,$B21,'январь 2024'!$J$4:$J$1206,X$1)</f>
        <v>0</v>
      </c>
      <c r="Y21" s="80">
        <f>SUMIFS('январь 2024'!$G$4:$G$1206,'январь 2024'!$D$4:$D$1206,$B21,'январь 2024'!$J$4:$J$1206,Y$1)</f>
        <v>0</v>
      </c>
      <c r="Z21" s="80">
        <f>SUMIFS('январь 2024'!$G$4:$G$1206,'январь 2024'!$D$4:$D$1206,$B21,'январь 2024'!$J$4:$J$1206,Z$1)</f>
        <v>0</v>
      </c>
      <c r="AA21" s="80">
        <f>SUMIFS('январь 2024'!$G$4:$G$1206,'январь 2024'!$D$4:$D$1206,$B21,'январь 2024'!$J$4:$J$1206,AA$1)</f>
        <v>0</v>
      </c>
      <c r="AB21" s="80">
        <f>SUMIFS('январь 2024'!$G$4:$G$1206,'январь 2024'!$D$4:$D$1206,$B21,'январь 2024'!$J$4:$J$1206,AB$1)</f>
        <v>0</v>
      </c>
      <c r="AC21" s="80">
        <f>SUMIFS('январь 2024'!$G$4:$G$1206,'январь 2024'!$D$4:$D$1206,$B21,'январь 2024'!$J$4:$J$1206,AC$1)</f>
        <v>0</v>
      </c>
      <c r="AD21" s="80">
        <f>SUMIFS('январь 2024'!$G$4:$G$1206,'январь 2024'!$D$4:$D$1206,$B21,'январь 2024'!$J$4:$J$1206,AD$1)</f>
        <v>0</v>
      </c>
      <c r="AE21" s="80">
        <f>SUMIFS('январь 2024'!$G$4:$G$1206,'январь 2024'!$D$4:$D$1206,$B21,'январь 2024'!$J$4:$J$1206,AE$1)</f>
        <v>0</v>
      </c>
      <c r="AF21" s="80">
        <f>SUMIFS('январь 2024'!$G$4:$G$1206,'январь 2024'!$D$4:$D$1206,$B21,'январь 2024'!$J$4:$J$1206,AF$1)</f>
        <v>0</v>
      </c>
      <c r="AG21" s="80">
        <f>SUMIFS('январь 2024'!$G$4:$G$1206,'январь 2024'!$D$4:$D$1206,$B21,'январь 2024'!$J$4:$J$1206,AG$1)</f>
        <v>0</v>
      </c>
      <c r="AH21" s="80">
        <f>SUMIFS('январь 2024'!$G$4:$G$1206,'январь 2024'!$D$4:$D$1206,$B21,'январь 2024'!$J$4:$J$1206,AH$1)</f>
        <v>0</v>
      </c>
      <c r="AI21" s="21">
        <f t="shared" si="1"/>
        <v>0</v>
      </c>
    </row>
    <row r="22" spans="2:35" ht="15" customHeight="1" x14ac:dyDescent="0.25">
      <c r="B22" s="84" t="s">
        <v>312</v>
      </c>
      <c r="C22" s="82">
        <v>25</v>
      </c>
      <c r="D22" s="80">
        <f>SUMIFS('январь 2024'!$G$4:$G$1206,'январь 2024'!$D$4:$D$1206,$B22,'январь 2024'!$J$4:$J$1206,D$1)</f>
        <v>0</v>
      </c>
      <c r="E22" s="80">
        <f>SUMIFS('январь 2024'!$G$4:$G$1206,'январь 2024'!$D$4:$D$1206,$B22,'январь 2024'!$J$4:$J$1206,E$1)</f>
        <v>0</v>
      </c>
      <c r="F22" s="80">
        <f>SUMIFS('январь 2024'!$G$4:$G$1206,'январь 2024'!$D$4:$D$1206,$B22,'январь 2024'!$J$4:$J$1206,F$1)</f>
        <v>0</v>
      </c>
      <c r="G22" s="80">
        <f>SUMIFS('январь 2024'!$G$4:$G$1206,'январь 2024'!$D$4:$D$1206,$B22,'январь 2024'!$J$4:$J$1206,G$1)</f>
        <v>0</v>
      </c>
      <c r="H22" s="80">
        <f>SUMIFS('январь 2024'!$G$4:$G$1206,'январь 2024'!$D$4:$D$1206,$B22,'январь 2024'!$J$4:$J$1206,H$1)</f>
        <v>0</v>
      </c>
      <c r="I22" s="80">
        <f>SUMIFS('январь 2024'!$G$4:$G$1206,'январь 2024'!$D$4:$D$1206,$B22,'январь 2024'!$J$4:$J$1206,I$1)</f>
        <v>0</v>
      </c>
      <c r="J22" s="80">
        <f>SUMIFS('январь 2024'!$G$4:$G$1206,'январь 2024'!$D$4:$D$1206,$B22,'январь 2024'!$J$4:$J$1206,J$1)</f>
        <v>0</v>
      </c>
      <c r="K22" s="80">
        <f>SUMIFS('январь 2024'!$G$4:$G$1206,'январь 2024'!$D$4:$D$1206,$B22,'январь 2024'!$J$4:$J$1206,K$1)</f>
        <v>0</v>
      </c>
      <c r="L22" s="80">
        <f>SUMIFS('январь 2024'!$G$4:$G$1206,'январь 2024'!$D$4:$D$1206,$B22,'январь 2024'!$J$4:$J$1206,L$1)</f>
        <v>0</v>
      </c>
      <c r="M22" s="80">
        <f>SUMIFS('январь 2024'!$G$4:$G$1206,'январь 2024'!$D$4:$D$1206,$B22,'январь 2024'!$J$4:$J$1206,M$1)</f>
        <v>0</v>
      </c>
      <c r="N22" s="80">
        <f>SUMIFS('январь 2024'!$G$4:$G$1206,'январь 2024'!$D$4:$D$1206,$B22,'январь 2024'!$J$4:$J$1206,N$1)</f>
        <v>0</v>
      </c>
      <c r="O22" s="80">
        <f>SUMIFS('январь 2024'!$G$4:$G$1206,'январь 2024'!$D$4:$D$1206,$B22,'январь 2024'!$J$4:$J$1206,O$1)</f>
        <v>0</v>
      </c>
      <c r="P22" s="80">
        <f>SUMIFS('январь 2024'!$G$4:$G$1206,'январь 2024'!$D$4:$D$1206,$B22,'январь 2024'!$J$4:$J$1206,P$1)</f>
        <v>0</v>
      </c>
      <c r="Q22" s="80">
        <f>SUMIFS('январь 2024'!$G$4:$G$1206,'январь 2024'!$D$4:$D$1206,$B22,'январь 2024'!$J$4:$J$1206,Q$1)</f>
        <v>0</v>
      </c>
      <c r="R22" s="80">
        <f>SUMIFS('январь 2024'!$G$4:$G$1206,'январь 2024'!$D$4:$D$1206,$B22,'январь 2024'!$J$4:$J$1206,R$1)</f>
        <v>0</v>
      </c>
      <c r="S22" s="80">
        <f>SUMIFS('январь 2024'!$G$4:$G$1206,'январь 2024'!$D$4:$D$1206,$B22,'январь 2024'!$J$4:$J$1206,S$1)</f>
        <v>0</v>
      </c>
      <c r="T22" s="80">
        <f>SUMIFS('январь 2024'!$G$4:$G$1206,'январь 2024'!$D$4:$D$1206,$B22,'январь 2024'!$J$4:$J$1206,T$1)</f>
        <v>0</v>
      </c>
      <c r="U22" s="80">
        <f>SUMIFS('январь 2024'!$G$4:$G$1206,'январь 2024'!$D$4:$D$1206,$B22,'январь 2024'!$J$4:$J$1206,U$1)</f>
        <v>0</v>
      </c>
      <c r="V22" s="80">
        <f>SUMIFS('январь 2024'!$G$4:$G$1206,'январь 2024'!$D$4:$D$1206,$B22,'январь 2024'!$J$4:$J$1206,V$1)</f>
        <v>0</v>
      </c>
      <c r="W22" s="80">
        <f>SUMIFS('январь 2024'!$G$4:$G$1206,'январь 2024'!$D$4:$D$1206,$B22,'январь 2024'!$J$4:$J$1206,W$1)</f>
        <v>0</v>
      </c>
      <c r="X22" s="80">
        <f>SUMIFS('январь 2024'!$G$4:$G$1206,'январь 2024'!$D$4:$D$1206,$B22,'январь 2024'!$J$4:$J$1206,X$1)</f>
        <v>0</v>
      </c>
      <c r="Y22" s="80">
        <f>SUMIFS('январь 2024'!$G$4:$G$1206,'январь 2024'!$D$4:$D$1206,$B22,'январь 2024'!$J$4:$J$1206,Y$1)</f>
        <v>0</v>
      </c>
      <c r="Z22" s="80">
        <f>SUMIFS('январь 2024'!$G$4:$G$1206,'январь 2024'!$D$4:$D$1206,$B22,'январь 2024'!$J$4:$J$1206,Z$1)</f>
        <v>0</v>
      </c>
      <c r="AA22" s="80">
        <f>SUMIFS('январь 2024'!$G$4:$G$1206,'январь 2024'!$D$4:$D$1206,$B22,'январь 2024'!$J$4:$J$1206,AA$1)</f>
        <v>0</v>
      </c>
      <c r="AB22" s="80">
        <f>SUMIFS('январь 2024'!$G$4:$G$1206,'январь 2024'!$D$4:$D$1206,$B22,'январь 2024'!$J$4:$J$1206,AB$1)</f>
        <v>0</v>
      </c>
      <c r="AC22" s="80">
        <f>SUMIFS('январь 2024'!$G$4:$G$1206,'январь 2024'!$D$4:$D$1206,$B22,'январь 2024'!$J$4:$J$1206,AC$1)</f>
        <v>0</v>
      </c>
      <c r="AD22" s="80">
        <f>SUMIFS('январь 2024'!$G$4:$G$1206,'январь 2024'!$D$4:$D$1206,$B22,'январь 2024'!$J$4:$J$1206,AD$1)</f>
        <v>0</v>
      </c>
      <c r="AE22" s="80">
        <f>SUMIFS('январь 2024'!$G$4:$G$1206,'январь 2024'!$D$4:$D$1206,$B22,'январь 2024'!$J$4:$J$1206,AE$1)</f>
        <v>0</v>
      </c>
      <c r="AF22" s="80">
        <f>SUMIFS('январь 2024'!$G$4:$G$1206,'январь 2024'!$D$4:$D$1206,$B22,'январь 2024'!$J$4:$J$1206,AF$1)</f>
        <v>0</v>
      </c>
      <c r="AG22" s="80">
        <f>SUMIFS('январь 2024'!$G$4:$G$1206,'январь 2024'!$D$4:$D$1206,$B22,'январь 2024'!$J$4:$J$1206,AG$1)</f>
        <v>0</v>
      </c>
      <c r="AH22" s="80">
        <f>SUMIFS('январь 2024'!$G$4:$G$1206,'январь 2024'!$D$4:$D$1206,$B22,'январь 2024'!$J$4:$J$1206,AH$1)</f>
        <v>0</v>
      </c>
      <c r="AI22" s="21">
        <f t="shared" si="1"/>
        <v>0</v>
      </c>
    </row>
    <row r="23" spans="2:35" ht="15" customHeight="1" x14ac:dyDescent="0.25">
      <c r="B23" s="84" t="s">
        <v>313</v>
      </c>
      <c r="C23" s="82">
        <v>25</v>
      </c>
      <c r="D23" s="80">
        <f>SUMIFS('январь 2024'!$G$4:$G$1206,'январь 2024'!$D$4:$D$1206,$B23,'январь 2024'!$J$4:$J$1206,D$1)</f>
        <v>0</v>
      </c>
      <c r="E23" s="80">
        <f>SUMIFS('январь 2024'!$G$4:$G$1206,'январь 2024'!$D$4:$D$1206,$B23,'январь 2024'!$J$4:$J$1206,E$1)</f>
        <v>0</v>
      </c>
      <c r="F23" s="80">
        <f>SUMIFS('январь 2024'!$G$4:$G$1206,'январь 2024'!$D$4:$D$1206,$B23,'январь 2024'!$J$4:$J$1206,F$1)</f>
        <v>0</v>
      </c>
      <c r="G23" s="80">
        <f>SUMIFS('январь 2024'!$G$4:$G$1206,'январь 2024'!$D$4:$D$1206,$B23,'январь 2024'!$J$4:$J$1206,G$1)</f>
        <v>0</v>
      </c>
      <c r="H23" s="80">
        <f>SUMIFS('январь 2024'!$G$4:$G$1206,'январь 2024'!$D$4:$D$1206,$B23,'январь 2024'!$J$4:$J$1206,H$1)</f>
        <v>0</v>
      </c>
      <c r="I23" s="80">
        <f>SUMIFS('январь 2024'!$G$4:$G$1206,'январь 2024'!$D$4:$D$1206,$B23,'январь 2024'!$J$4:$J$1206,I$1)</f>
        <v>0</v>
      </c>
      <c r="J23" s="80">
        <f>SUMIFS('январь 2024'!$G$4:$G$1206,'январь 2024'!$D$4:$D$1206,$B23,'январь 2024'!$J$4:$J$1206,J$1)</f>
        <v>0</v>
      </c>
      <c r="K23" s="80">
        <f>SUMIFS('январь 2024'!$G$4:$G$1206,'январь 2024'!$D$4:$D$1206,$B23,'январь 2024'!$J$4:$J$1206,K$1)</f>
        <v>0</v>
      </c>
      <c r="L23" s="80">
        <f>SUMIFS('январь 2024'!$G$4:$G$1206,'январь 2024'!$D$4:$D$1206,$B23,'январь 2024'!$J$4:$J$1206,L$1)</f>
        <v>0</v>
      </c>
      <c r="M23" s="80">
        <f>SUMIFS('январь 2024'!$G$4:$G$1206,'январь 2024'!$D$4:$D$1206,$B23,'январь 2024'!$J$4:$J$1206,M$1)</f>
        <v>0</v>
      </c>
      <c r="N23" s="80">
        <f>SUMIFS('январь 2024'!$G$4:$G$1206,'январь 2024'!$D$4:$D$1206,$B23,'январь 2024'!$J$4:$J$1206,N$1)</f>
        <v>0</v>
      </c>
      <c r="O23" s="80">
        <f>SUMIFS('январь 2024'!$G$4:$G$1206,'январь 2024'!$D$4:$D$1206,$B23,'январь 2024'!$J$4:$J$1206,O$1)</f>
        <v>0</v>
      </c>
      <c r="P23" s="80">
        <f>SUMIFS('январь 2024'!$G$4:$G$1206,'январь 2024'!$D$4:$D$1206,$B23,'январь 2024'!$J$4:$J$1206,P$1)</f>
        <v>0</v>
      </c>
      <c r="Q23" s="80">
        <f>SUMIFS('январь 2024'!$G$4:$G$1206,'январь 2024'!$D$4:$D$1206,$B23,'январь 2024'!$J$4:$J$1206,Q$1)</f>
        <v>0</v>
      </c>
      <c r="R23" s="80">
        <f>SUMIFS('январь 2024'!$G$4:$G$1206,'январь 2024'!$D$4:$D$1206,$B23,'январь 2024'!$J$4:$J$1206,R$1)</f>
        <v>0</v>
      </c>
      <c r="S23" s="80">
        <f>SUMIFS('январь 2024'!$G$4:$G$1206,'январь 2024'!$D$4:$D$1206,$B23,'январь 2024'!$J$4:$J$1206,S$1)</f>
        <v>0</v>
      </c>
      <c r="T23" s="80">
        <f>SUMIFS('январь 2024'!$G$4:$G$1206,'январь 2024'!$D$4:$D$1206,$B23,'январь 2024'!$J$4:$J$1206,T$1)</f>
        <v>0</v>
      </c>
      <c r="U23" s="80">
        <f>SUMIFS('январь 2024'!$G$4:$G$1206,'январь 2024'!$D$4:$D$1206,$B23,'январь 2024'!$J$4:$J$1206,U$1)</f>
        <v>0</v>
      </c>
      <c r="V23" s="80">
        <f>SUMIFS('январь 2024'!$G$4:$G$1206,'январь 2024'!$D$4:$D$1206,$B23,'январь 2024'!$J$4:$J$1206,V$1)</f>
        <v>0</v>
      </c>
      <c r="W23" s="80">
        <f>SUMIFS('январь 2024'!$G$4:$G$1206,'январь 2024'!$D$4:$D$1206,$B23,'январь 2024'!$J$4:$J$1206,W$1)</f>
        <v>0</v>
      </c>
      <c r="X23" s="80">
        <f>SUMIFS('январь 2024'!$G$4:$G$1206,'январь 2024'!$D$4:$D$1206,$B23,'январь 2024'!$J$4:$J$1206,X$1)</f>
        <v>0</v>
      </c>
      <c r="Y23" s="80">
        <f>SUMIFS('январь 2024'!$G$4:$G$1206,'январь 2024'!$D$4:$D$1206,$B23,'январь 2024'!$J$4:$J$1206,Y$1)</f>
        <v>0</v>
      </c>
      <c r="Z23" s="80">
        <f>SUMIFS('январь 2024'!$G$4:$G$1206,'январь 2024'!$D$4:$D$1206,$B23,'январь 2024'!$J$4:$J$1206,Z$1)</f>
        <v>0</v>
      </c>
      <c r="AA23" s="80">
        <f>SUMIFS('январь 2024'!$G$4:$G$1206,'январь 2024'!$D$4:$D$1206,$B23,'январь 2024'!$J$4:$J$1206,AA$1)</f>
        <v>0</v>
      </c>
      <c r="AB23" s="80">
        <f>SUMIFS('январь 2024'!$G$4:$G$1206,'январь 2024'!$D$4:$D$1206,$B23,'январь 2024'!$J$4:$J$1206,AB$1)</f>
        <v>0</v>
      </c>
      <c r="AC23" s="80">
        <f>SUMIFS('январь 2024'!$G$4:$G$1206,'январь 2024'!$D$4:$D$1206,$B23,'январь 2024'!$J$4:$J$1206,AC$1)</f>
        <v>0</v>
      </c>
      <c r="AD23" s="80">
        <f>SUMIFS('январь 2024'!$G$4:$G$1206,'январь 2024'!$D$4:$D$1206,$B23,'январь 2024'!$J$4:$J$1206,AD$1)</f>
        <v>0</v>
      </c>
      <c r="AE23" s="80">
        <f>SUMIFS('январь 2024'!$G$4:$G$1206,'январь 2024'!$D$4:$D$1206,$B23,'январь 2024'!$J$4:$J$1206,AE$1)</f>
        <v>0</v>
      </c>
      <c r="AF23" s="80">
        <f>SUMIFS('январь 2024'!$G$4:$G$1206,'январь 2024'!$D$4:$D$1206,$B23,'январь 2024'!$J$4:$J$1206,AF$1)</f>
        <v>0</v>
      </c>
      <c r="AG23" s="80">
        <f>SUMIFS('январь 2024'!$G$4:$G$1206,'январь 2024'!$D$4:$D$1206,$B23,'январь 2024'!$J$4:$J$1206,AG$1)</f>
        <v>0</v>
      </c>
      <c r="AH23" s="80">
        <f>SUMIFS('январь 2024'!$G$4:$G$1206,'январь 2024'!$D$4:$D$1206,$B23,'январь 2024'!$J$4:$J$1206,AH$1)</f>
        <v>0</v>
      </c>
      <c r="AI23" s="21">
        <f t="shared" si="1"/>
        <v>0</v>
      </c>
    </row>
    <row r="24" spans="2:35" ht="15" customHeight="1" x14ac:dyDescent="0.25">
      <c r="B24" s="84" t="s">
        <v>314</v>
      </c>
      <c r="C24" s="82">
        <v>25</v>
      </c>
      <c r="D24" s="80">
        <f>SUMIFS('январь 2024'!$G$4:$G$1206,'январь 2024'!$D$4:$D$1206,$B24,'январь 2024'!$J$4:$J$1206,D$1)</f>
        <v>0</v>
      </c>
      <c r="E24" s="80">
        <f>SUMIFS('январь 2024'!$G$4:$G$1206,'январь 2024'!$D$4:$D$1206,$B24,'январь 2024'!$J$4:$J$1206,E$1)</f>
        <v>0</v>
      </c>
      <c r="F24" s="80">
        <f>SUMIFS('январь 2024'!$G$4:$G$1206,'январь 2024'!$D$4:$D$1206,$B24,'январь 2024'!$J$4:$J$1206,F$1)</f>
        <v>0</v>
      </c>
      <c r="G24" s="80">
        <f>SUMIFS('январь 2024'!$G$4:$G$1206,'январь 2024'!$D$4:$D$1206,$B24,'январь 2024'!$J$4:$J$1206,G$1)</f>
        <v>0</v>
      </c>
      <c r="H24" s="80">
        <f>SUMIFS('январь 2024'!$G$4:$G$1206,'январь 2024'!$D$4:$D$1206,$B24,'январь 2024'!$J$4:$J$1206,H$1)</f>
        <v>0</v>
      </c>
      <c r="I24" s="80">
        <f>SUMIFS('январь 2024'!$G$4:$G$1206,'январь 2024'!$D$4:$D$1206,$B24,'январь 2024'!$J$4:$J$1206,I$1)</f>
        <v>0</v>
      </c>
      <c r="J24" s="80">
        <f>SUMIFS('январь 2024'!$G$4:$G$1206,'январь 2024'!$D$4:$D$1206,$B24,'январь 2024'!$J$4:$J$1206,J$1)</f>
        <v>0</v>
      </c>
      <c r="K24" s="80">
        <f>SUMIFS('январь 2024'!$G$4:$G$1206,'январь 2024'!$D$4:$D$1206,$B24,'январь 2024'!$J$4:$J$1206,K$1)</f>
        <v>0</v>
      </c>
      <c r="L24" s="80">
        <f>SUMIFS('январь 2024'!$G$4:$G$1206,'январь 2024'!$D$4:$D$1206,$B24,'январь 2024'!$J$4:$J$1206,L$1)</f>
        <v>0</v>
      </c>
      <c r="M24" s="80">
        <f>SUMIFS('январь 2024'!$G$4:$G$1206,'январь 2024'!$D$4:$D$1206,$B24,'январь 2024'!$J$4:$J$1206,M$1)</f>
        <v>0</v>
      </c>
      <c r="N24" s="80">
        <f>SUMIFS('январь 2024'!$G$4:$G$1206,'январь 2024'!$D$4:$D$1206,$B24,'январь 2024'!$J$4:$J$1206,N$1)</f>
        <v>0</v>
      </c>
      <c r="O24" s="80">
        <f>SUMIFS('январь 2024'!$G$4:$G$1206,'январь 2024'!$D$4:$D$1206,$B24,'январь 2024'!$J$4:$J$1206,O$1)</f>
        <v>0</v>
      </c>
      <c r="P24" s="80">
        <f>SUMIFS('январь 2024'!$G$4:$G$1206,'январь 2024'!$D$4:$D$1206,$B24,'январь 2024'!$J$4:$J$1206,P$1)</f>
        <v>0</v>
      </c>
      <c r="Q24" s="80">
        <f>SUMIFS('январь 2024'!$G$4:$G$1206,'январь 2024'!$D$4:$D$1206,$B24,'январь 2024'!$J$4:$J$1206,Q$1)</f>
        <v>0</v>
      </c>
      <c r="R24" s="80">
        <f>SUMIFS('январь 2024'!$G$4:$G$1206,'январь 2024'!$D$4:$D$1206,$B24,'январь 2024'!$J$4:$J$1206,R$1)</f>
        <v>0</v>
      </c>
      <c r="S24" s="80">
        <f>SUMIFS('январь 2024'!$G$4:$G$1206,'январь 2024'!$D$4:$D$1206,$B24,'январь 2024'!$J$4:$J$1206,S$1)</f>
        <v>0</v>
      </c>
      <c r="T24" s="80">
        <f>SUMIFS('январь 2024'!$G$4:$G$1206,'январь 2024'!$D$4:$D$1206,$B24,'январь 2024'!$J$4:$J$1206,T$1)</f>
        <v>0</v>
      </c>
      <c r="U24" s="80">
        <f>SUMIFS('январь 2024'!$G$4:$G$1206,'январь 2024'!$D$4:$D$1206,$B24,'январь 2024'!$J$4:$J$1206,U$1)</f>
        <v>0</v>
      </c>
      <c r="V24" s="80">
        <f>SUMIFS('январь 2024'!$G$4:$G$1206,'январь 2024'!$D$4:$D$1206,$B24,'январь 2024'!$J$4:$J$1206,V$1)</f>
        <v>0</v>
      </c>
      <c r="W24" s="80">
        <f>SUMIFS('январь 2024'!$G$4:$G$1206,'январь 2024'!$D$4:$D$1206,$B24,'январь 2024'!$J$4:$J$1206,W$1)</f>
        <v>0</v>
      </c>
      <c r="X24" s="80">
        <f>SUMIFS('январь 2024'!$G$4:$G$1206,'январь 2024'!$D$4:$D$1206,$B24,'январь 2024'!$J$4:$J$1206,X$1)</f>
        <v>0</v>
      </c>
      <c r="Y24" s="80">
        <f>SUMIFS('январь 2024'!$G$4:$G$1206,'январь 2024'!$D$4:$D$1206,$B24,'январь 2024'!$J$4:$J$1206,Y$1)</f>
        <v>0</v>
      </c>
      <c r="Z24" s="80">
        <f>SUMIFS('январь 2024'!$G$4:$G$1206,'январь 2024'!$D$4:$D$1206,$B24,'январь 2024'!$J$4:$J$1206,Z$1)</f>
        <v>0</v>
      </c>
      <c r="AA24" s="80">
        <f>SUMIFS('январь 2024'!$G$4:$G$1206,'январь 2024'!$D$4:$D$1206,$B24,'январь 2024'!$J$4:$J$1206,AA$1)</f>
        <v>0</v>
      </c>
      <c r="AB24" s="80">
        <f>SUMIFS('январь 2024'!$G$4:$G$1206,'январь 2024'!$D$4:$D$1206,$B24,'январь 2024'!$J$4:$J$1206,AB$1)</f>
        <v>0</v>
      </c>
      <c r="AC24" s="80">
        <f>SUMIFS('январь 2024'!$G$4:$G$1206,'январь 2024'!$D$4:$D$1206,$B24,'январь 2024'!$J$4:$J$1206,AC$1)</f>
        <v>0</v>
      </c>
      <c r="AD24" s="80">
        <f>SUMIFS('январь 2024'!$G$4:$G$1206,'январь 2024'!$D$4:$D$1206,$B24,'январь 2024'!$J$4:$J$1206,AD$1)</f>
        <v>0</v>
      </c>
      <c r="AE24" s="80">
        <f>SUMIFS('январь 2024'!$G$4:$G$1206,'январь 2024'!$D$4:$D$1206,$B24,'январь 2024'!$J$4:$J$1206,AE$1)</f>
        <v>0</v>
      </c>
      <c r="AF24" s="80">
        <f>SUMIFS('январь 2024'!$G$4:$G$1206,'январь 2024'!$D$4:$D$1206,$B24,'январь 2024'!$J$4:$J$1206,AF$1)</f>
        <v>0</v>
      </c>
      <c r="AG24" s="80">
        <f>SUMIFS('январь 2024'!$G$4:$G$1206,'январь 2024'!$D$4:$D$1206,$B24,'январь 2024'!$J$4:$J$1206,AG$1)</f>
        <v>0</v>
      </c>
      <c r="AH24" s="80">
        <f>SUMIFS('январь 2024'!$G$4:$G$1206,'январь 2024'!$D$4:$D$1206,$B24,'январь 2024'!$J$4:$J$1206,AH$1)</f>
        <v>0</v>
      </c>
      <c r="AI24" s="21">
        <f t="shared" si="1"/>
        <v>0</v>
      </c>
    </row>
    <row r="25" spans="2:35" ht="15" customHeight="1" x14ac:dyDescent="0.25">
      <c r="B25" s="84" t="s">
        <v>315</v>
      </c>
      <c r="C25" s="82">
        <v>25</v>
      </c>
      <c r="D25" s="80">
        <f>SUMIFS('январь 2024'!$G$4:$G$1206,'январь 2024'!$D$4:$D$1206,$B25,'январь 2024'!$J$4:$J$1206,D$1)</f>
        <v>0</v>
      </c>
      <c r="E25" s="80">
        <f>SUMIFS('январь 2024'!$G$4:$G$1206,'январь 2024'!$D$4:$D$1206,$B25,'январь 2024'!$J$4:$J$1206,E$1)</f>
        <v>0</v>
      </c>
      <c r="F25" s="80">
        <f>SUMIFS('январь 2024'!$G$4:$G$1206,'январь 2024'!$D$4:$D$1206,$B25,'январь 2024'!$J$4:$J$1206,F$1)</f>
        <v>0</v>
      </c>
      <c r="G25" s="80">
        <f>SUMIFS('январь 2024'!$G$4:$G$1206,'январь 2024'!$D$4:$D$1206,$B25,'январь 2024'!$J$4:$J$1206,G$1)</f>
        <v>0</v>
      </c>
      <c r="H25" s="80">
        <f>SUMIFS('январь 2024'!$G$4:$G$1206,'январь 2024'!$D$4:$D$1206,$B25,'январь 2024'!$J$4:$J$1206,H$1)</f>
        <v>0</v>
      </c>
      <c r="I25" s="80">
        <f>SUMIFS('январь 2024'!$G$4:$G$1206,'январь 2024'!$D$4:$D$1206,$B25,'январь 2024'!$J$4:$J$1206,I$1)</f>
        <v>0</v>
      </c>
      <c r="J25" s="80">
        <f>SUMIFS('январь 2024'!$G$4:$G$1206,'январь 2024'!$D$4:$D$1206,$B25,'январь 2024'!$J$4:$J$1206,J$1)</f>
        <v>0</v>
      </c>
      <c r="K25" s="80">
        <f>SUMIFS('январь 2024'!$G$4:$G$1206,'январь 2024'!$D$4:$D$1206,$B25,'январь 2024'!$J$4:$J$1206,K$1)</f>
        <v>0</v>
      </c>
      <c r="L25" s="80">
        <f>SUMIFS('январь 2024'!$G$4:$G$1206,'январь 2024'!$D$4:$D$1206,$B25,'январь 2024'!$J$4:$J$1206,L$1)</f>
        <v>0</v>
      </c>
      <c r="M25" s="80">
        <f>SUMIFS('январь 2024'!$G$4:$G$1206,'январь 2024'!$D$4:$D$1206,$B25,'январь 2024'!$J$4:$J$1206,M$1)</f>
        <v>0</v>
      </c>
      <c r="N25" s="80">
        <f>SUMIFS('январь 2024'!$G$4:$G$1206,'январь 2024'!$D$4:$D$1206,$B25,'январь 2024'!$J$4:$J$1206,N$1)</f>
        <v>0</v>
      </c>
      <c r="O25" s="80">
        <f>SUMIFS('январь 2024'!$G$4:$G$1206,'январь 2024'!$D$4:$D$1206,$B25,'январь 2024'!$J$4:$J$1206,O$1)</f>
        <v>0</v>
      </c>
      <c r="P25" s="80">
        <f>SUMIFS('январь 2024'!$G$4:$G$1206,'январь 2024'!$D$4:$D$1206,$B25,'январь 2024'!$J$4:$J$1206,P$1)</f>
        <v>0</v>
      </c>
      <c r="Q25" s="80">
        <f>SUMIFS('январь 2024'!$G$4:$G$1206,'январь 2024'!$D$4:$D$1206,$B25,'январь 2024'!$J$4:$J$1206,Q$1)</f>
        <v>0</v>
      </c>
      <c r="R25" s="80">
        <f>SUMIFS('январь 2024'!$G$4:$G$1206,'январь 2024'!$D$4:$D$1206,$B25,'январь 2024'!$J$4:$J$1206,R$1)</f>
        <v>0</v>
      </c>
      <c r="S25" s="80">
        <f>SUMIFS('январь 2024'!$G$4:$G$1206,'январь 2024'!$D$4:$D$1206,$B25,'январь 2024'!$J$4:$J$1206,S$1)</f>
        <v>0</v>
      </c>
      <c r="T25" s="80">
        <f>SUMIFS('январь 2024'!$G$4:$G$1206,'январь 2024'!$D$4:$D$1206,$B25,'январь 2024'!$J$4:$J$1206,T$1)</f>
        <v>0</v>
      </c>
      <c r="U25" s="80">
        <f>SUMIFS('январь 2024'!$G$4:$G$1206,'январь 2024'!$D$4:$D$1206,$B25,'январь 2024'!$J$4:$J$1206,U$1)</f>
        <v>0</v>
      </c>
      <c r="V25" s="80">
        <f>SUMIFS('январь 2024'!$G$4:$G$1206,'январь 2024'!$D$4:$D$1206,$B25,'январь 2024'!$J$4:$J$1206,V$1)</f>
        <v>0</v>
      </c>
      <c r="W25" s="80">
        <f>SUMIFS('январь 2024'!$G$4:$G$1206,'январь 2024'!$D$4:$D$1206,$B25,'январь 2024'!$J$4:$J$1206,W$1)</f>
        <v>0</v>
      </c>
      <c r="X25" s="80">
        <f>SUMIFS('январь 2024'!$G$4:$G$1206,'январь 2024'!$D$4:$D$1206,$B25,'январь 2024'!$J$4:$J$1206,X$1)</f>
        <v>0</v>
      </c>
      <c r="Y25" s="80">
        <f>SUMIFS('январь 2024'!$G$4:$G$1206,'январь 2024'!$D$4:$D$1206,$B25,'январь 2024'!$J$4:$J$1206,Y$1)</f>
        <v>0</v>
      </c>
      <c r="Z25" s="80">
        <f>SUMIFS('январь 2024'!$G$4:$G$1206,'январь 2024'!$D$4:$D$1206,$B25,'январь 2024'!$J$4:$J$1206,Z$1)</f>
        <v>0</v>
      </c>
      <c r="AA25" s="80">
        <f>SUMIFS('январь 2024'!$G$4:$G$1206,'январь 2024'!$D$4:$D$1206,$B25,'январь 2024'!$J$4:$J$1206,AA$1)</f>
        <v>0</v>
      </c>
      <c r="AB25" s="80">
        <f>SUMIFS('январь 2024'!$G$4:$G$1206,'январь 2024'!$D$4:$D$1206,$B25,'январь 2024'!$J$4:$J$1206,AB$1)</f>
        <v>0</v>
      </c>
      <c r="AC25" s="80">
        <f>SUMIFS('январь 2024'!$G$4:$G$1206,'январь 2024'!$D$4:$D$1206,$B25,'январь 2024'!$J$4:$J$1206,AC$1)</f>
        <v>0</v>
      </c>
      <c r="AD25" s="80">
        <f>SUMIFS('январь 2024'!$G$4:$G$1206,'январь 2024'!$D$4:$D$1206,$B25,'январь 2024'!$J$4:$J$1206,AD$1)</f>
        <v>0</v>
      </c>
      <c r="AE25" s="80">
        <f>SUMIFS('январь 2024'!$G$4:$G$1206,'январь 2024'!$D$4:$D$1206,$B25,'январь 2024'!$J$4:$J$1206,AE$1)</f>
        <v>0</v>
      </c>
      <c r="AF25" s="80">
        <f>SUMIFS('январь 2024'!$G$4:$G$1206,'январь 2024'!$D$4:$D$1206,$B25,'январь 2024'!$J$4:$J$1206,AF$1)</f>
        <v>0</v>
      </c>
      <c r="AG25" s="80">
        <f>SUMIFS('январь 2024'!$G$4:$G$1206,'январь 2024'!$D$4:$D$1206,$B25,'январь 2024'!$J$4:$J$1206,AG$1)</f>
        <v>0</v>
      </c>
      <c r="AH25" s="80">
        <f>SUMIFS('январь 2024'!$G$4:$G$1206,'январь 2024'!$D$4:$D$1206,$B25,'январь 2024'!$J$4:$J$1206,AH$1)</f>
        <v>0</v>
      </c>
      <c r="AI25" s="21">
        <f t="shared" si="1"/>
        <v>0</v>
      </c>
    </row>
    <row r="26" spans="2:35" ht="15" customHeight="1" x14ac:dyDescent="0.25">
      <c r="B26" s="84"/>
      <c r="C26" s="82"/>
      <c r="D26" s="80">
        <f>SUMIFS('январь 2024'!$G$4:$G$1206,'январь 2024'!$D$4:$D$1206,$B26,'январь 2024'!$J$4:$J$1206,D$1)</f>
        <v>0</v>
      </c>
      <c r="E26" s="80">
        <f>SUMIFS('январь 2024'!$G$4:$G$1206,'январь 2024'!$D$4:$D$1206,$B26,'январь 2024'!$J$4:$J$1206,E$1)</f>
        <v>0</v>
      </c>
      <c r="F26" s="80">
        <f>SUMIFS('январь 2024'!$G$4:$G$1206,'январь 2024'!$D$4:$D$1206,$B26,'январь 2024'!$J$4:$J$1206,F$1)</f>
        <v>0</v>
      </c>
      <c r="G26" s="80">
        <f>SUMIFS('январь 2024'!$G$4:$G$1206,'январь 2024'!$D$4:$D$1206,$B26,'январь 2024'!$J$4:$J$1206,G$1)</f>
        <v>0</v>
      </c>
      <c r="H26" s="80">
        <f>SUMIFS('январь 2024'!$G$4:$G$1206,'январь 2024'!$D$4:$D$1206,$B26,'январь 2024'!$J$4:$J$1206,H$1)</f>
        <v>0</v>
      </c>
      <c r="I26" s="80">
        <f>SUMIFS('январь 2024'!$G$4:$G$1206,'январь 2024'!$D$4:$D$1206,$B26,'январь 2024'!$J$4:$J$1206,I$1)</f>
        <v>0</v>
      </c>
      <c r="J26" s="80">
        <f>SUMIFS('январь 2024'!$G$4:$G$1206,'январь 2024'!$D$4:$D$1206,$B26,'январь 2024'!$J$4:$J$1206,J$1)</f>
        <v>0</v>
      </c>
      <c r="K26" s="80">
        <f>SUMIFS('январь 2024'!$G$4:$G$1206,'январь 2024'!$D$4:$D$1206,$B26,'январь 2024'!$J$4:$J$1206,K$1)</f>
        <v>0</v>
      </c>
      <c r="L26" s="80">
        <f>SUMIFS('январь 2024'!$G$4:$G$1206,'январь 2024'!$D$4:$D$1206,$B26,'январь 2024'!$J$4:$J$1206,L$1)</f>
        <v>0</v>
      </c>
      <c r="M26" s="80">
        <f>SUMIFS('январь 2024'!$G$4:$G$1206,'январь 2024'!$D$4:$D$1206,$B26,'январь 2024'!$J$4:$J$1206,M$1)</f>
        <v>0</v>
      </c>
      <c r="N26" s="80">
        <f>SUMIFS('январь 2024'!$G$4:$G$1206,'январь 2024'!$D$4:$D$1206,$B26,'январь 2024'!$J$4:$J$1206,N$1)</f>
        <v>0</v>
      </c>
      <c r="O26" s="80">
        <f>SUMIFS('январь 2024'!$G$4:$G$1206,'январь 2024'!$D$4:$D$1206,$B26,'январь 2024'!$J$4:$J$1206,O$1)</f>
        <v>0</v>
      </c>
      <c r="P26" s="80">
        <f>SUMIFS('январь 2024'!$G$4:$G$1206,'январь 2024'!$D$4:$D$1206,$B26,'январь 2024'!$J$4:$J$1206,P$1)</f>
        <v>0</v>
      </c>
      <c r="Q26" s="80">
        <f>SUMIFS('январь 2024'!$G$4:$G$1206,'январь 2024'!$D$4:$D$1206,$B26,'январь 2024'!$J$4:$J$1206,Q$1)</f>
        <v>0</v>
      </c>
      <c r="R26" s="80">
        <f>SUMIFS('январь 2024'!$G$4:$G$1206,'январь 2024'!$D$4:$D$1206,$B26,'январь 2024'!$J$4:$J$1206,R$1)</f>
        <v>0</v>
      </c>
      <c r="S26" s="80">
        <f>SUMIFS('январь 2024'!$G$4:$G$1206,'январь 2024'!$D$4:$D$1206,$B26,'январь 2024'!$J$4:$J$1206,S$1)</f>
        <v>0</v>
      </c>
      <c r="T26" s="80">
        <f>SUMIFS('январь 2024'!$G$4:$G$1206,'январь 2024'!$D$4:$D$1206,$B26,'январь 2024'!$J$4:$J$1206,T$1)</f>
        <v>0</v>
      </c>
      <c r="U26" s="80">
        <f>SUMIFS('январь 2024'!$G$4:$G$1206,'январь 2024'!$D$4:$D$1206,$B26,'январь 2024'!$J$4:$J$1206,U$1)</f>
        <v>0</v>
      </c>
      <c r="V26" s="80">
        <f>SUMIFS('январь 2024'!$G$4:$G$1206,'январь 2024'!$D$4:$D$1206,$B26,'январь 2024'!$J$4:$J$1206,V$1)</f>
        <v>0</v>
      </c>
      <c r="W26" s="80">
        <f>SUMIFS('январь 2024'!$G$4:$G$1206,'январь 2024'!$D$4:$D$1206,$B26,'январь 2024'!$J$4:$J$1206,W$1)</f>
        <v>0</v>
      </c>
      <c r="X26" s="80">
        <f>SUMIFS('январь 2024'!$G$4:$G$1206,'январь 2024'!$D$4:$D$1206,$B26,'январь 2024'!$J$4:$J$1206,X$1)</f>
        <v>0</v>
      </c>
      <c r="Y26" s="80">
        <f>SUMIFS('январь 2024'!$G$4:$G$1206,'январь 2024'!$D$4:$D$1206,$B26,'январь 2024'!$J$4:$J$1206,Y$1)</f>
        <v>0</v>
      </c>
      <c r="Z26" s="80">
        <f>SUMIFS('январь 2024'!$G$4:$G$1206,'январь 2024'!$D$4:$D$1206,$B26,'январь 2024'!$J$4:$J$1206,Z$1)</f>
        <v>0</v>
      </c>
      <c r="AA26" s="80">
        <f>SUMIFS('январь 2024'!$G$4:$G$1206,'январь 2024'!$D$4:$D$1206,$B26,'январь 2024'!$J$4:$J$1206,AA$1)</f>
        <v>0</v>
      </c>
      <c r="AB26" s="80">
        <f>SUMIFS('январь 2024'!$G$4:$G$1206,'январь 2024'!$D$4:$D$1206,$B26,'январь 2024'!$J$4:$J$1206,AB$1)</f>
        <v>0</v>
      </c>
      <c r="AC26" s="80">
        <f>SUMIFS('январь 2024'!$G$4:$G$1206,'январь 2024'!$D$4:$D$1206,$B26,'январь 2024'!$J$4:$J$1206,AC$1)</f>
        <v>0</v>
      </c>
      <c r="AD26" s="80">
        <f>SUMIFS('январь 2024'!$G$4:$G$1206,'январь 2024'!$D$4:$D$1206,$B26,'январь 2024'!$J$4:$J$1206,AD$1)</f>
        <v>0</v>
      </c>
      <c r="AE26" s="80">
        <f>SUMIFS('январь 2024'!$G$4:$G$1206,'январь 2024'!$D$4:$D$1206,$B26,'январь 2024'!$J$4:$J$1206,AE$1)</f>
        <v>0</v>
      </c>
      <c r="AF26" s="80">
        <f>SUMIFS('январь 2024'!$G$4:$G$1206,'январь 2024'!$D$4:$D$1206,$B26,'январь 2024'!$J$4:$J$1206,AF$1)</f>
        <v>0</v>
      </c>
      <c r="AG26" s="80">
        <f>SUMIFS('январь 2024'!$G$4:$G$1206,'январь 2024'!$D$4:$D$1206,$B26,'январь 2024'!$J$4:$J$1206,AG$1)</f>
        <v>0</v>
      </c>
      <c r="AH26" s="80">
        <f>SUMIFS('январь 2024'!$G$4:$G$1206,'январь 2024'!$D$4:$D$1206,$B26,'январь 2024'!$J$4:$J$1206,AH$1)</f>
        <v>0</v>
      </c>
      <c r="AI26" s="21"/>
    </row>
    <row r="27" spans="2:35" ht="15" customHeight="1" x14ac:dyDescent="0.25">
      <c r="B27" s="84"/>
      <c r="C27" s="82"/>
      <c r="D27" s="80">
        <f>SUMIFS('январь 2024'!$G$4:$G$1206,'январь 2024'!$D$4:$D$1206,$B27,'январь 2024'!$J$4:$J$1206,D$1)</f>
        <v>0</v>
      </c>
      <c r="E27" s="80">
        <f>SUMIFS('январь 2024'!$G$4:$G$1206,'январь 2024'!$D$4:$D$1206,$B27,'январь 2024'!$J$4:$J$1206,E$1)</f>
        <v>0</v>
      </c>
      <c r="F27" s="80">
        <f>SUMIFS('январь 2024'!$G$4:$G$1206,'январь 2024'!$D$4:$D$1206,$B27,'январь 2024'!$J$4:$J$1206,F$1)</f>
        <v>0</v>
      </c>
      <c r="G27" s="80">
        <f>SUMIFS('январь 2024'!$G$4:$G$1206,'январь 2024'!$D$4:$D$1206,$B27,'январь 2024'!$J$4:$J$1206,G$1)</f>
        <v>0</v>
      </c>
      <c r="H27" s="80">
        <f>SUMIFS('январь 2024'!$G$4:$G$1206,'январь 2024'!$D$4:$D$1206,$B27,'январь 2024'!$J$4:$J$1206,H$1)</f>
        <v>0</v>
      </c>
      <c r="I27" s="80">
        <f>SUMIFS('январь 2024'!$G$4:$G$1206,'январь 2024'!$D$4:$D$1206,$B27,'январь 2024'!$J$4:$J$1206,I$1)</f>
        <v>0</v>
      </c>
      <c r="J27" s="80">
        <f>SUMIFS('январь 2024'!$G$4:$G$1206,'январь 2024'!$D$4:$D$1206,$B27,'январь 2024'!$J$4:$J$1206,J$1)</f>
        <v>0</v>
      </c>
      <c r="K27" s="80">
        <f>SUMIFS('январь 2024'!$G$4:$G$1206,'январь 2024'!$D$4:$D$1206,$B27,'январь 2024'!$J$4:$J$1206,K$1)</f>
        <v>0</v>
      </c>
      <c r="L27" s="80">
        <f>SUMIFS('январь 2024'!$G$4:$G$1206,'январь 2024'!$D$4:$D$1206,$B27,'январь 2024'!$J$4:$J$1206,L$1)</f>
        <v>0</v>
      </c>
      <c r="M27" s="80">
        <f>SUMIFS('январь 2024'!$G$4:$G$1206,'январь 2024'!$D$4:$D$1206,$B27,'январь 2024'!$J$4:$J$1206,M$1)</f>
        <v>0</v>
      </c>
      <c r="N27" s="80">
        <f>SUMIFS('январь 2024'!$G$4:$G$1206,'январь 2024'!$D$4:$D$1206,$B27,'январь 2024'!$J$4:$J$1206,N$1)</f>
        <v>0</v>
      </c>
      <c r="O27" s="80">
        <f>SUMIFS('январь 2024'!$G$4:$G$1206,'январь 2024'!$D$4:$D$1206,$B27,'январь 2024'!$J$4:$J$1206,O$1)</f>
        <v>0</v>
      </c>
      <c r="P27" s="80">
        <f>SUMIFS('январь 2024'!$G$4:$G$1206,'январь 2024'!$D$4:$D$1206,$B27,'январь 2024'!$J$4:$J$1206,P$1)</f>
        <v>0</v>
      </c>
      <c r="Q27" s="80">
        <f>SUMIFS('январь 2024'!$G$4:$G$1206,'январь 2024'!$D$4:$D$1206,$B27,'январь 2024'!$J$4:$J$1206,Q$1)</f>
        <v>0</v>
      </c>
      <c r="R27" s="80">
        <f>SUMIFS('январь 2024'!$G$4:$G$1206,'январь 2024'!$D$4:$D$1206,$B27,'январь 2024'!$J$4:$J$1206,R$1)</f>
        <v>0</v>
      </c>
      <c r="S27" s="80">
        <f>SUMIFS('январь 2024'!$G$4:$G$1206,'январь 2024'!$D$4:$D$1206,$B27,'январь 2024'!$J$4:$J$1206,S$1)</f>
        <v>0</v>
      </c>
      <c r="T27" s="80">
        <f>SUMIFS('январь 2024'!$G$4:$G$1206,'январь 2024'!$D$4:$D$1206,$B27,'январь 2024'!$J$4:$J$1206,T$1)</f>
        <v>0</v>
      </c>
      <c r="U27" s="80">
        <f>SUMIFS('январь 2024'!$G$4:$G$1206,'январь 2024'!$D$4:$D$1206,$B27,'январь 2024'!$J$4:$J$1206,U$1)</f>
        <v>0</v>
      </c>
      <c r="V27" s="80">
        <f>SUMIFS('январь 2024'!$G$4:$G$1206,'январь 2024'!$D$4:$D$1206,$B27,'январь 2024'!$J$4:$J$1206,V$1)</f>
        <v>0</v>
      </c>
      <c r="W27" s="80">
        <f>SUMIFS('январь 2024'!$G$4:$G$1206,'январь 2024'!$D$4:$D$1206,$B27,'январь 2024'!$J$4:$J$1206,W$1)</f>
        <v>0</v>
      </c>
      <c r="X27" s="80">
        <f>SUMIFS('январь 2024'!$G$4:$G$1206,'январь 2024'!$D$4:$D$1206,$B27,'январь 2024'!$J$4:$J$1206,X$1)</f>
        <v>0</v>
      </c>
      <c r="Y27" s="80">
        <f>SUMIFS('январь 2024'!$G$4:$G$1206,'январь 2024'!$D$4:$D$1206,$B27,'январь 2024'!$J$4:$J$1206,Y$1)</f>
        <v>0</v>
      </c>
      <c r="Z27" s="80">
        <f>SUMIFS('январь 2024'!$G$4:$G$1206,'январь 2024'!$D$4:$D$1206,$B27,'январь 2024'!$J$4:$J$1206,Z$1)</f>
        <v>0</v>
      </c>
      <c r="AA27" s="80">
        <f>SUMIFS('январь 2024'!$G$4:$G$1206,'январь 2024'!$D$4:$D$1206,$B27,'январь 2024'!$J$4:$J$1206,AA$1)</f>
        <v>0</v>
      </c>
      <c r="AB27" s="80">
        <f>SUMIFS('январь 2024'!$G$4:$G$1206,'январь 2024'!$D$4:$D$1206,$B27,'январь 2024'!$J$4:$J$1206,AB$1)</f>
        <v>0</v>
      </c>
      <c r="AC27" s="80">
        <f>SUMIFS('январь 2024'!$G$4:$G$1206,'январь 2024'!$D$4:$D$1206,$B27,'январь 2024'!$J$4:$J$1206,AC$1)</f>
        <v>0</v>
      </c>
      <c r="AD27" s="80">
        <f>SUMIFS('январь 2024'!$G$4:$G$1206,'январь 2024'!$D$4:$D$1206,$B27,'январь 2024'!$J$4:$J$1206,AD$1)</f>
        <v>0</v>
      </c>
      <c r="AE27" s="80">
        <f>SUMIFS('январь 2024'!$G$4:$G$1206,'январь 2024'!$D$4:$D$1206,$B27,'январь 2024'!$J$4:$J$1206,AE$1)</f>
        <v>0</v>
      </c>
      <c r="AF27" s="80">
        <f>SUMIFS('январь 2024'!$G$4:$G$1206,'январь 2024'!$D$4:$D$1206,$B27,'январь 2024'!$J$4:$J$1206,AF$1)</f>
        <v>0</v>
      </c>
      <c r="AG27" s="80">
        <f>SUMIFS('январь 2024'!$G$4:$G$1206,'январь 2024'!$D$4:$D$1206,$B27,'январь 2024'!$J$4:$J$1206,AG$1)</f>
        <v>0</v>
      </c>
      <c r="AH27" s="80">
        <f>SUMIFS('январь 2024'!$G$4:$G$1206,'январь 2024'!$D$4:$D$1206,$B27,'январь 2024'!$J$4:$J$1206,AH$1)</f>
        <v>0</v>
      </c>
      <c r="AI27" s="21"/>
    </row>
    <row r="28" spans="2:35" ht="15" customHeight="1" x14ac:dyDescent="0.25">
      <c r="B28" s="84"/>
      <c r="C28" s="82"/>
      <c r="D28" s="80">
        <f>SUMIFS('январь 2024'!$G$4:$G$1206,'январь 2024'!$D$4:$D$1206,$B28,'январь 2024'!$J$4:$J$1206,D$1)</f>
        <v>0</v>
      </c>
      <c r="E28" s="80">
        <f>SUMIFS('январь 2024'!$G$4:$G$1206,'январь 2024'!$D$4:$D$1206,$B28,'январь 2024'!$J$4:$J$1206,E$1)</f>
        <v>0</v>
      </c>
      <c r="F28" s="80">
        <f>SUMIFS('январь 2024'!$G$4:$G$1206,'январь 2024'!$D$4:$D$1206,$B28,'январь 2024'!$J$4:$J$1206,F$1)</f>
        <v>0</v>
      </c>
      <c r="G28" s="80">
        <f>SUMIFS('январь 2024'!$G$4:$G$1206,'январь 2024'!$D$4:$D$1206,$B28,'январь 2024'!$J$4:$J$1206,G$1)</f>
        <v>0</v>
      </c>
      <c r="H28" s="80">
        <f>SUMIFS('январь 2024'!$G$4:$G$1206,'январь 2024'!$D$4:$D$1206,$B28,'январь 2024'!$J$4:$J$1206,H$1)</f>
        <v>0</v>
      </c>
      <c r="I28" s="80">
        <f>SUMIFS('январь 2024'!$G$4:$G$1206,'январь 2024'!$D$4:$D$1206,$B28,'январь 2024'!$J$4:$J$1206,I$1)</f>
        <v>0</v>
      </c>
      <c r="J28" s="80">
        <f>SUMIFS('январь 2024'!$G$4:$G$1206,'январь 2024'!$D$4:$D$1206,$B28,'январь 2024'!$J$4:$J$1206,J$1)</f>
        <v>0</v>
      </c>
      <c r="K28" s="80">
        <f>SUMIFS('январь 2024'!$G$4:$G$1206,'январь 2024'!$D$4:$D$1206,$B28,'январь 2024'!$J$4:$J$1206,K$1)</f>
        <v>0</v>
      </c>
      <c r="L28" s="80">
        <f>SUMIFS('январь 2024'!$G$4:$G$1206,'январь 2024'!$D$4:$D$1206,$B28,'январь 2024'!$J$4:$J$1206,L$1)</f>
        <v>0</v>
      </c>
      <c r="M28" s="80">
        <f>SUMIFS('январь 2024'!$G$4:$G$1206,'январь 2024'!$D$4:$D$1206,$B28,'январь 2024'!$J$4:$J$1206,M$1)</f>
        <v>0</v>
      </c>
      <c r="N28" s="80">
        <f>SUMIFS('январь 2024'!$G$4:$G$1206,'январь 2024'!$D$4:$D$1206,$B28,'январь 2024'!$J$4:$J$1206,N$1)</f>
        <v>0</v>
      </c>
      <c r="O28" s="80">
        <f>SUMIFS('январь 2024'!$G$4:$G$1206,'январь 2024'!$D$4:$D$1206,$B28,'январь 2024'!$J$4:$J$1206,O$1)</f>
        <v>0</v>
      </c>
      <c r="P28" s="80">
        <f>SUMIFS('январь 2024'!$G$4:$G$1206,'январь 2024'!$D$4:$D$1206,$B28,'январь 2024'!$J$4:$J$1206,P$1)</f>
        <v>0</v>
      </c>
      <c r="Q28" s="80">
        <f>SUMIFS('январь 2024'!$G$4:$G$1206,'январь 2024'!$D$4:$D$1206,$B28,'январь 2024'!$J$4:$J$1206,Q$1)</f>
        <v>0</v>
      </c>
      <c r="R28" s="80">
        <f>SUMIFS('январь 2024'!$G$4:$G$1206,'январь 2024'!$D$4:$D$1206,$B28,'январь 2024'!$J$4:$J$1206,R$1)</f>
        <v>0</v>
      </c>
      <c r="S28" s="80">
        <f>SUMIFS('январь 2024'!$G$4:$G$1206,'январь 2024'!$D$4:$D$1206,$B28,'январь 2024'!$J$4:$J$1206,S$1)</f>
        <v>0</v>
      </c>
      <c r="T28" s="80">
        <f>SUMIFS('январь 2024'!$G$4:$G$1206,'январь 2024'!$D$4:$D$1206,$B28,'январь 2024'!$J$4:$J$1206,T$1)</f>
        <v>0</v>
      </c>
      <c r="U28" s="80">
        <f>SUMIFS('январь 2024'!$G$4:$G$1206,'январь 2024'!$D$4:$D$1206,$B28,'январь 2024'!$J$4:$J$1206,U$1)</f>
        <v>0</v>
      </c>
      <c r="V28" s="80">
        <f>SUMIFS('январь 2024'!$G$4:$G$1206,'январь 2024'!$D$4:$D$1206,$B28,'январь 2024'!$J$4:$J$1206,V$1)</f>
        <v>0</v>
      </c>
      <c r="W28" s="80">
        <f>SUMIFS('январь 2024'!$G$4:$G$1206,'январь 2024'!$D$4:$D$1206,$B28,'январь 2024'!$J$4:$J$1206,W$1)</f>
        <v>0</v>
      </c>
      <c r="X28" s="80">
        <f>SUMIFS('январь 2024'!$G$4:$G$1206,'январь 2024'!$D$4:$D$1206,$B28,'январь 2024'!$J$4:$J$1206,X$1)</f>
        <v>0</v>
      </c>
      <c r="Y28" s="80">
        <f>SUMIFS('январь 2024'!$G$4:$G$1206,'январь 2024'!$D$4:$D$1206,$B28,'январь 2024'!$J$4:$J$1206,Y$1)</f>
        <v>0</v>
      </c>
      <c r="Z28" s="80">
        <f>SUMIFS('январь 2024'!$G$4:$G$1206,'январь 2024'!$D$4:$D$1206,$B28,'январь 2024'!$J$4:$J$1206,Z$1)</f>
        <v>0</v>
      </c>
      <c r="AA28" s="80">
        <f>SUMIFS('январь 2024'!$G$4:$G$1206,'январь 2024'!$D$4:$D$1206,$B28,'январь 2024'!$J$4:$J$1206,AA$1)</f>
        <v>0</v>
      </c>
      <c r="AB28" s="80">
        <f>SUMIFS('январь 2024'!$G$4:$G$1206,'январь 2024'!$D$4:$D$1206,$B28,'январь 2024'!$J$4:$J$1206,AB$1)</f>
        <v>0</v>
      </c>
      <c r="AC28" s="80">
        <f>SUMIFS('январь 2024'!$G$4:$G$1206,'январь 2024'!$D$4:$D$1206,$B28,'январь 2024'!$J$4:$J$1206,AC$1)</f>
        <v>0</v>
      </c>
      <c r="AD28" s="80">
        <f>SUMIFS('январь 2024'!$G$4:$G$1206,'январь 2024'!$D$4:$D$1206,$B28,'январь 2024'!$J$4:$J$1206,AD$1)</f>
        <v>0</v>
      </c>
      <c r="AE28" s="80">
        <f>SUMIFS('январь 2024'!$G$4:$G$1206,'январь 2024'!$D$4:$D$1206,$B28,'январь 2024'!$J$4:$J$1206,AE$1)</f>
        <v>0</v>
      </c>
      <c r="AF28" s="80">
        <f>SUMIFS('январь 2024'!$G$4:$G$1206,'январь 2024'!$D$4:$D$1206,$B28,'январь 2024'!$J$4:$J$1206,AF$1)</f>
        <v>0</v>
      </c>
      <c r="AG28" s="80">
        <f>SUMIFS('январь 2024'!$G$4:$G$1206,'январь 2024'!$D$4:$D$1206,$B28,'январь 2024'!$J$4:$J$1206,AG$1)</f>
        <v>0</v>
      </c>
      <c r="AH28" s="80">
        <f>SUMIFS('январь 2024'!$G$4:$G$1206,'январь 2024'!$D$4:$D$1206,$B28,'январь 2024'!$J$4:$J$1206,AH$1)</f>
        <v>0</v>
      </c>
      <c r="AI28" s="21"/>
    </row>
    <row r="29" spans="2:35" ht="15" customHeight="1" x14ac:dyDescent="0.25">
      <c r="B29" s="84"/>
      <c r="C29" s="82"/>
      <c r="D29" s="80">
        <f>SUMIFS('январь 2024'!$G$4:$G$1206,'январь 2024'!$D$4:$D$1206,$B29,'январь 2024'!$J$4:$J$1206,D$1)</f>
        <v>0</v>
      </c>
      <c r="E29" s="80">
        <f>SUMIFS('январь 2024'!$G$4:$G$1206,'январь 2024'!$D$4:$D$1206,$B29,'январь 2024'!$J$4:$J$1206,E$1)</f>
        <v>0</v>
      </c>
      <c r="F29" s="80">
        <f>SUMIFS('январь 2024'!$G$4:$G$1206,'январь 2024'!$D$4:$D$1206,$B29,'январь 2024'!$J$4:$J$1206,F$1)</f>
        <v>0</v>
      </c>
      <c r="G29" s="80">
        <f>SUMIFS('январь 2024'!$G$4:$G$1206,'январь 2024'!$D$4:$D$1206,$B29,'январь 2024'!$J$4:$J$1206,G$1)</f>
        <v>0</v>
      </c>
      <c r="H29" s="80">
        <f>SUMIFS('январь 2024'!$G$4:$G$1206,'январь 2024'!$D$4:$D$1206,$B29,'январь 2024'!$J$4:$J$1206,H$1)</f>
        <v>0</v>
      </c>
      <c r="I29" s="80">
        <f>SUMIFS('январь 2024'!$G$4:$G$1206,'январь 2024'!$D$4:$D$1206,$B29,'январь 2024'!$J$4:$J$1206,I$1)</f>
        <v>0</v>
      </c>
      <c r="J29" s="80">
        <f>SUMIFS('январь 2024'!$G$4:$G$1206,'январь 2024'!$D$4:$D$1206,$B29,'январь 2024'!$J$4:$J$1206,J$1)</f>
        <v>0</v>
      </c>
      <c r="K29" s="80">
        <f>SUMIFS('январь 2024'!$G$4:$G$1206,'январь 2024'!$D$4:$D$1206,$B29,'январь 2024'!$J$4:$J$1206,K$1)</f>
        <v>0</v>
      </c>
      <c r="L29" s="80">
        <f>SUMIFS('январь 2024'!$G$4:$G$1206,'январь 2024'!$D$4:$D$1206,$B29,'январь 2024'!$J$4:$J$1206,L$1)</f>
        <v>0</v>
      </c>
      <c r="M29" s="80">
        <f>SUMIFS('январь 2024'!$G$4:$G$1206,'январь 2024'!$D$4:$D$1206,$B29,'январь 2024'!$J$4:$J$1206,M$1)</f>
        <v>0</v>
      </c>
      <c r="N29" s="80">
        <f>SUMIFS('январь 2024'!$G$4:$G$1206,'январь 2024'!$D$4:$D$1206,$B29,'январь 2024'!$J$4:$J$1206,N$1)</f>
        <v>0</v>
      </c>
      <c r="O29" s="80">
        <f>SUMIFS('январь 2024'!$G$4:$G$1206,'январь 2024'!$D$4:$D$1206,$B29,'январь 2024'!$J$4:$J$1206,O$1)</f>
        <v>0</v>
      </c>
      <c r="P29" s="80">
        <f>SUMIFS('январь 2024'!$G$4:$G$1206,'январь 2024'!$D$4:$D$1206,$B29,'январь 2024'!$J$4:$J$1206,P$1)</f>
        <v>0</v>
      </c>
      <c r="Q29" s="80">
        <f>SUMIFS('январь 2024'!$G$4:$G$1206,'январь 2024'!$D$4:$D$1206,$B29,'январь 2024'!$J$4:$J$1206,Q$1)</f>
        <v>0</v>
      </c>
      <c r="R29" s="80">
        <f>SUMIFS('январь 2024'!$G$4:$G$1206,'январь 2024'!$D$4:$D$1206,$B29,'январь 2024'!$J$4:$J$1206,R$1)</f>
        <v>0</v>
      </c>
      <c r="S29" s="80">
        <f>SUMIFS('январь 2024'!$G$4:$G$1206,'январь 2024'!$D$4:$D$1206,$B29,'январь 2024'!$J$4:$J$1206,S$1)</f>
        <v>0</v>
      </c>
      <c r="T29" s="80">
        <f>SUMIFS('январь 2024'!$G$4:$G$1206,'январь 2024'!$D$4:$D$1206,$B29,'январь 2024'!$J$4:$J$1206,T$1)</f>
        <v>0</v>
      </c>
      <c r="U29" s="80">
        <f>SUMIFS('январь 2024'!$G$4:$G$1206,'январь 2024'!$D$4:$D$1206,$B29,'январь 2024'!$J$4:$J$1206,U$1)</f>
        <v>0</v>
      </c>
      <c r="V29" s="80">
        <f>SUMIFS('январь 2024'!$G$4:$G$1206,'январь 2024'!$D$4:$D$1206,$B29,'январь 2024'!$J$4:$J$1206,V$1)</f>
        <v>0</v>
      </c>
      <c r="W29" s="80">
        <f>SUMIFS('январь 2024'!$G$4:$G$1206,'январь 2024'!$D$4:$D$1206,$B29,'январь 2024'!$J$4:$J$1206,W$1)</f>
        <v>0</v>
      </c>
      <c r="X29" s="80">
        <f>SUMIFS('январь 2024'!$G$4:$G$1206,'январь 2024'!$D$4:$D$1206,$B29,'январь 2024'!$J$4:$J$1206,X$1)</f>
        <v>0</v>
      </c>
      <c r="Y29" s="80">
        <f>SUMIFS('январь 2024'!$G$4:$G$1206,'январь 2024'!$D$4:$D$1206,$B29,'январь 2024'!$J$4:$J$1206,Y$1)</f>
        <v>0</v>
      </c>
      <c r="Z29" s="80">
        <f>SUMIFS('январь 2024'!$G$4:$G$1206,'январь 2024'!$D$4:$D$1206,$B29,'январь 2024'!$J$4:$J$1206,Z$1)</f>
        <v>0</v>
      </c>
      <c r="AA29" s="80">
        <f>SUMIFS('январь 2024'!$G$4:$G$1206,'январь 2024'!$D$4:$D$1206,$B29,'январь 2024'!$J$4:$J$1206,AA$1)</f>
        <v>0</v>
      </c>
      <c r="AB29" s="80">
        <f>SUMIFS('январь 2024'!$G$4:$G$1206,'январь 2024'!$D$4:$D$1206,$B29,'январь 2024'!$J$4:$J$1206,AB$1)</f>
        <v>0</v>
      </c>
      <c r="AC29" s="80">
        <f>SUMIFS('январь 2024'!$G$4:$G$1206,'январь 2024'!$D$4:$D$1206,$B29,'январь 2024'!$J$4:$J$1206,AC$1)</f>
        <v>0</v>
      </c>
      <c r="AD29" s="80">
        <f>SUMIFS('январь 2024'!$G$4:$G$1206,'январь 2024'!$D$4:$D$1206,$B29,'январь 2024'!$J$4:$J$1206,AD$1)</f>
        <v>0</v>
      </c>
      <c r="AE29" s="80">
        <f>SUMIFS('январь 2024'!$G$4:$G$1206,'январь 2024'!$D$4:$D$1206,$B29,'январь 2024'!$J$4:$J$1206,AE$1)</f>
        <v>0</v>
      </c>
      <c r="AF29" s="80">
        <f>SUMIFS('январь 2024'!$G$4:$G$1206,'январь 2024'!$D$4:$D$1206,$B29,'январь 2024'!$J$4:$J$1206,AF$1)</f>
        <v>0</v>
      </c>
      <c r="AG29" s="80">
        <f>SUMIFS('январь 2024'!$G$4:$G$1206,'январь 2024'!$D$4:$D$1206,$B29,'январь 2024'!$J$4:$J$1206,AG$1)</f>
        <v>0</v>
      </c>
      <c r="AH29" s="80">
        <f>SUMIFS('январь 2024'!$G$4:$G$1206,'январь 2024'!$D$4:$D$1206,$B29,'январь 2024'!$J$4:$J$1206,AH$1)</f>
        <v>0</v>
      </c>
      <c r="AI29" s="21"/>
    </row>
    <row r="30" spans="2:35" ht="15" customHeight="1" x14ac:dyDescent="0.25">
      <c r="B30" s="84"/>
      <c r="C30" s="82"/>
      <c r="D30" s="80">
        <f>SUMIFS('январь 2024'!$G$4:$G$1206,'январь 2024'!$D$4:$D$1206,$B30,'январь 2024'!$J$4:$J$1206,D$1)</f>
        <v>0</v>
      </c>
      <c r="E30" s="80">
        <f>SUMIFS('январь 2024'!$G$4:$G$1206,'январь 2024'!$D$4:$D$1206,$B30,'январь 2024'!$J$4:$J$1206,E$1)</f>
        <v>0</v>
      </c>
      <c r="F30" s="80">
        <f>SUMIFS('январь 2024'!$G$4:$G$1206,'январь 2024'!$D$4:$D$1206,$B30,'январь 2024'!$J$4:$J$1206,F$1)</f>
        <v>0</v>
      </c>
      <c r="G30" s="80">
        <f>SUMIFS('январь 2024'!$G$4:$G$1206,'январь 2024'!$D$4:$D$1206,$B30,'январь 2024'!$J$4:$J$1206,G$1)</f>
        <v>0</v>
      </c>
      <c r="H30" s="80">
        <f>SUMIFS('январь 2024'!$G$4:$G$1206,'январь 2024'!$D$4:$D$1206,$B30,'январь 2024'!$J$4:$J$1206,H$1)</f>
        <v>0</v>
      </c>
      <c r="I30" s="80">
        <f>SUMIFS('январь 2024'!$G$4:$G$1206,'январь 2024'!$D$4:$D$1206,$B30,'январь 2024'!$J$4:$J$1206,I$1)</f>
        <v>0</v>
      </c>
      <c r="J30" s="80">
        <f>SUMIFS('январь 2024'!$G$4:$G$1206,'январь 2024'!$D$4:$D$1206,$B30,'январь 2024'!$J$4:$J$1206,J$1)</f>
        <v>0</v>
      </c>
      <c r="K30" s="80">
        <f>SUMIFS('январь 2024'!$G$4:$G$1206,'январь 2024'!$D$4:$D$1206,$B30,'январь 2024'!$J$4:$J$1206,K$1)</f>
        <v>0</v>
      </c>
      <c r="L30" s="80">
        <f>SUMIFS('январь 2024'!$G$4:$G$1206,'январь 2024'!$D$4:$D$1206,$B30,'январь 2024'!$J$4:$J$1206,L$1)</f>
        <v>0</v>
      </c>
      <c r="M30" s="80">
        <f>SUMIFS('январь 2024'!$G$4:$G$1206,'январь 2024'!$D$4:$D$1206,$B30,'январь 2024'!$J$4:$J$1206,M$1)</f>
        <v>0</v>
      </c>
      <c r="N30" s="80">
        <f>SUMIFS('январь 2024'!$G$4:$G$1206,'январь 2024'!$D$4:$D$1206,$B30,'январь 2024'!$J$4:$J$1206,N$1)</f>
        <v>0</v>
      </c>
      <c r="O30" s="80">
        <f>SUMIFS('январь 2024'!$G$4:$G$1206,'январь 2024'!$D$4:$D$1206,$B30,'январь 2024'!$J$4:$J$1206,O$1)</f>
        <v>0</v>
      </c>
      <c r="P30" s="80">
        <f>SUMIFS('январь 2024'!$G$4:$G$1206,'январь 2024'!$D$4:$D$1206,$B30,'январь 2024'!$J$4:$J$1206,P$1)</f>
        <v>0</v>
      </c>
      <c r="Q30" s="80">
        <f>SUMIFS('январь 2024'!$G$4:$G$1206,'январь 2024'!$D$4:$D$1206,$B30,'январь 2024'!$J$4:$J$1206,Q$1)</f>
        <v>0</v>
      </c>
      <c r="R30" s="80">
        <f>SUMIFS('январь 2024'!$G$4:$G$1206,'январь 2024'!$D$4:$D$1206,$B30,'январь 2024'!$J$4:$J$1206,R$1)</f>
        <v>0</v>
      </c>
      <c r="S30" s="80">
        <f>SUMIFS('январь 2024'!$G$4:$G$1206,'январь 2024'!$D$4:$D$1206,$B30,'январь 2024'!$J$4:$J$1206,S$1)</f>
        <v>0</v>
      </c>
      <c r="T30" s="80">
        <f>SUMIFS('январь 2024'!$G$4:$G$1206,'январь 2024'!$D$4:$D$1206,$B30,'январь 2024'!$J$4:$J$1206,T$1)</f>
        <v>0</v>
      </c>
      <c r="U30" s="80">
        <f>SUMIFS('январь 2024'!$G$4:$G$1206,'январь 2024'!$D$4:$D$1206,$B30,'январь 2024'!$J$4:$J$1206,U$1)</f>
        <v>0</v>
      </c>
      <c r="V30" s="80">
        <f>SUMIFS('январь 2024'!$G$4:$G$1206,'январь 2024'!$D$4:$D$1206,$B30,'январь 2024'!$J$4:$J$1206,V$1)</f>
        <v>0</v>
      </c>
      <c r="W30" s="80">
        <f>SUMIFS('январь 2024'!$G$4:$G$1206,'январь 2024'!$D$4:$D$1206,$B30,'январь 2024'!$J$4:$J$1206,W$1)</f>
        <v>0</v>
      </c>
      <c r="X30" s="80">
        <f>SUMIFS('январь 2024'!$G$4:$G$1206,'январь 2024'!$D$4:$D$1206,$B30,'январь 2024'!$J$4:$J$1206,X$1)</f>
        <v>0</v>
      </c>
      <c r="Y30" s="80">
        <f>SUMIFS('январь 2024'!$G$4:$G$1206,'январь 2024'!$D$4:$D$1206,$B30,'январь 2024'!$J$4:$J$1206,Y$1)</f>
        <v>0</v>
      </c>
      <c r="Z30" s="80">
        <f>SUMIFS('январь 2024'!$G$4:$G$1206,'январь 2024'!$D$4:$D$1206,$B30,'январь 2024'!$J$4:$J$1206,Z$1)</f>
        <v>0</v>
      </c>
      <c r="AA30" s="80">
        <f>SUMIFS('январь 2024'!$G$4:$G$1206,'январь 2024'!$D$4:$D$1206,$B30,'январь 2024'!$J$4:$J$1206,AA$1)</f>
        <v>0</v>
      </c>
      <c r="AB30" s="80">
        <f>SUMIFS('январь 2024'!$G$4:$G$1206,'январь 2024'!$D$4:$D$1206,$B30,'январь 2024'!$J$4:$J$1206,AB$1)</f>
        <v>0</v>
      </c>
      <c r="AC30" s="80">
        <f>SUMIFS('январь 2024'!$G$4:$G$1206,'январь 2024'!$D$4:$D$1206,$B30,'январь 2024'!$J$4:$J$1206,AC$1)</f>
        <v>0</v>
      </c>
      <c r="AD30" s="80">
        <f>SUMIFS('январь 2024'!$G$4:$G$1206,'январь 2024'!$D$4:$D$1206,$B30,'январь 2024'!$J$4:$J$1206,AD$1)</f>
        <v>0</v>
      </c>
      <c r="AE30" s="80">
        <f>SUMIFS('январь 2024'!$G$4:$G$1206,'январь 2024'!$D$4:$D$1206,$B30,'январь 2024'!$J$4:$J$1206,AE$1)</f>
        <v>0</v>
      </c>
      <c r="AF30" s="80">
        <f>SUMIFS('январь 2024'!$G$4:$G$1206,'январь 2024'!$D$4:$D$1206,$B30,'январь 2024'!$J$4:$J$1206,AF$1)</f>
        <v>0</v>
      </c>
      <c r="AG30" s="80">
        <f>SUMIFS('январь 2024'!$G$4:$G$1206,'январь 2024'!$D$4:$D$1206,$B30,'январь 2024'!$J$4:$J$1206,AG$1)</f>
        <v>0</v>
      </c>
      <c r="AH30" s="80">
        <f>SUMIFS('январь 2024'!$G$4:$G$1206,'январь 2024'!$D$4:$D$1206,$B30,'январь 2024'!$J$4:$J$1206,AH$1)</f>
        <v>0</v>
      </c>
      <c r="AI30" s="21"/>
    </row>
    <row r="31" spans="2:35" ht="15" customHeight="1" x14ac:dyDescent="0.25">
      <c r="B31" s="142" t="s">
        <v>276</v>
      </c>
      <c r="C31" s="143">
        <v>25</v>
      </c>
      <c r="D31" s="144">
        <f>SUMIFS('январь 2024'!$G$4:$G$1206,'январь 2024'!$D$4:$D$1206,$B31,'январь 2024'!$J$4:$J$1206,D$1)</f>
        <v>0</v>
      </c>
      <c r="E31" s="144">
        <f>SUMIFS('январь 2024'!$G$4:$G$1206,'январь 2024'!$D$4:$D$1206,$B31,'январь 2024'!$J$4:$J$1206,E$1)</f>
        <v>0</v>
      </c>
      <c r="F31" s="144">
        <f>SUMIFS('январь 2024'!$G$4:$G$1206,'январь 2024'!$D$4:$D$1206,$B31,'январь 2024'!$J$4:$J$1206,F$1)</f>
        <v>0</v>
      </c>
      <c r="G31" s="144">
        <f>SUMIFS('январь 2024'!$G$4:$G$1206,'январь 2024'!$D$4:$D$1206,$B31,'январь 2024'!$J$4:$J$1206,G$1)</f>
        <v>0</v>
      </c>
      <c r="H31" s="144">
        <f>SUMIFS('январь 2024'!$G$4:$G$1206,'январь 2024'!$D$4:$D$1206,$B31,'январь 2024'!$J$4:$J$1206,H$1)</f>
        <v>0</v>
      </c>
      <c r="I31" s="144">
        <f>SUMIFS('январь 2024'!$G$4:$G$1206,'январь 2024'!$D$4:$D$1206,$B31,'январь 2024'!$J$4:$J$1206,I$1)</f>
        <v>0</v>
      </c>
      <c r="J31" s="144">
        <f>SUMIFS('январь 2024'!$G$4:$G$1206,'январь 2024'!$D$4:$D$1206,$B31,'январь 2024'!$J$4:$J$1206,J$1)</f>
        <v>0</v>
      </c>
      <c r="K31" s="144">
        <f>SUMIFS('январь 2024'!$G$4:$G$1206,'январь 2024'!$D$4:$D$1206,$B31,'январь 2024'!$J$4:$J$1206,K$1)</f>
        <v>0</v>
      </c>
      <c r="L31" s="144">
        <f>SUMIFS('январь 2024'!$G$4:$G$1206,'январь 2024'!$D$4:$D$1206,$B31,'январь 2024'!$J$4:$J$1206,L$1)</f>
        <v>0</v>
      </c>
      <c r="M31" s="144">
        <f>SUMIFS('январь 2024'!$G$4:$G$1206,'январь 2024'!$D$4:$D$1206,$B31,'январь 2024'!$J$4:$J$1206,M$1)</f>
        <v>0</v>
      </c>
      <c r="N31" s="144">
        <f>SUMIFS('январь 2024'!$G$4:$G$1206,'январь 2024'!$D$4:$D$1206,$B31,'январь 2024'!$J$4:$J$1206,N$1)</f>
        <v>0</v>
      </c>
      <c r="O31" s="144">
        <f>SUMIFS('январь 2024'!$G$4:$G$1206,'январь 2024'!$D$4:$D$1206,$B31,'январь 2024'!$J$4:$J$1206,O$1)</f>
        <v>0</v>
      </c>
      <c r="P31" s="144">
        <f>SUMIFS('январь 2024'!$G$4:$G$1206,'январь 2024'!$D$4:$D$1206,$B31,'январь 2024'!$J$4:$J$1206,P$1)</f>
        <v>0</v>
      </c>
      <c r="Q31" s="144">
        <f>SUMIFS('январь 2024'!$G$4:$G$1206,'январь 2024'!$D$4:$D$1206,$B31,'январь 2024'!$J$4:$J$1206,Q$1)</f>
        <v>0</v>
      </c>
      <c r="R31" s="144">
        <f>SUMIFS('январь 2024'!$G$4:$G$1206,'январь 2024'!$D$4:$D$1206,$B31,'январь 2024'!$J$4:$J$1206,R$1)</f>
        <v>0</v>
      </c>
      <c r="S31" s="144">
        <f>SUMIFS('январь 2024'!$G$4:$G$1206,'январь 2024'!$D$4:$D$1206,$B31,'январь 2024'!$J$4:$J$1206,S$1)</f>
        <v>0</v>
      </c>
      <c r="T31" s="144">
        <f>SUMIFS('январь 2024'!$G$4:$G$1206,'январь 2024'!$D$4:$D$1206,$B31,'январь 2024'!$J$4:$J$1206,T$1)</f>
        <v>0</v>
      </c>
      <c r="U31" s="144">
        <f>SUMIFS('январь 2024'!$G$4:$G$1206,'январь 2024'!$D$4:$D$1206,$B31,'январь 2024'!$J$4:$J$1206,U$1)</f>
        <v>0</v>
      </c>
      <c r="V31" s="144">
        <f>SUMIFS('январь 2024'!$G$4:$G$1206,'январь 2024'!$D$4:$D$1206,$B31,'январь 2024'!$J$4:$J$1206,V$1)</f>
        <v>0</v>
      </c>
      <c r="W31" s="144">
        <f>SUMIFS('январь 2024'!$G$4:$G$1206,'январь 2024'!$D$4:$D$1206,$B31,'январь 2024'!$J$4:$J$1206,W$1)</f>
        <v>0</v>
      </c>
      <c r="X31" s="144">
        <f>SUMIFS('январь 2024'!$G$4:$G$1206,'январь 2024'!$D$4:$D$1206,$B31,'январь 2024'!$J$4:$J$1206,X$1)</f>
        <v>0</v>
      </c>
      <c r="Y31" s="144">
        <f>SUMIFS('январь 2024'!$G$4:$G$1206,'январь 2024'!$D$4:$D$1206,$B31,'январь 2024'!$J$4:$J$1206,Y$1)</f>
        <v>0</v>
      </c>
      <c r="Z31" s="144">
        <f>SUMIFS('январь 2024'!$G$4:$G$1206,'январь 2024'!$D$4:$D$1206,$B31,'январь 2024'!$J$4:$J$1206,Z$1)</f>
        <v>0</v>
      </c>
      <c r="AA31" s="144">
        <f>SUMIFS('январь 2024'!$G$4:$G$1206,'январь 2024'!$D$4:$D$1206,$B31,'январь 2024'!$J$4:$J$1206,AA$1)</f>
        <v>0</v>
      </c>
      <c r="AB31" s="144">
        <f>SUMIFS('январь 2024'!$G$4:$G$1206,'январь 2024'!$D$4:$D$1206,$B31,'январь 2024'!$J$4:$J$1206,AB$1)</f>
        <v>0</v>
      </c>
      <c r="AC31" s="144">
        <f>SUMIFS('январь 2024'!$G$4:$G$1206,'январь 2024'!$D$4:$D$1206,$B31,'январь 2024'!$J$4:$J$1206,AC$1)</f>
        <v>0</v>
      </c>
      <c r="AD31" s="144">
        <f>SUMIFS('январь 2024'!$G$4:$G$1206,'январь 2024'!$D$4:$D$1206,$B31,'январь 2024'!$J$4:$J$1206,AD$1)</f>
        <v>0</v>
      </c>
      <c r="AE31" s="144">
        <f>SUMIFS('январь 2024'!$G$4:$G$1206,'январь 2024'!$D$4:$D$1206,$B31,'январь 2024'!$J$4:$J$1206,AE$1)</f>
        <v>0</v>
      </c>
      <c r="AF31" s="144">
        <f>SUMIFS('январь 2024'!$G$4:$G$1206,'январь 2024'!$D$4:$D$1206,$B31,'январь 2024'!$J$4:$J$1206,AF$1)</f>
        <v>0</v>
      </c>
      <c r="AG31" s="144">
        <f>SUMIFS('январь 2024'!$G$4:$G$1206,'январь 2024'!$D$4:$D$1206,$B31,'январь 2024'!$J$4:$J$1206,AG$1)</f>
        <v>0</v>
      </c>
      <c r="AH31" s="144">
        <f>SUMIFS('январь 2024'!$G$4:$G$1206,'январь 2024'!$D$4:$D$1206,$B31,'январь 2024'!$J$4:$J$1206,AH$1)</f>
        <v>0</v>
      </c>
      <c r="AI31" s="145">
        <f t="shared" si="1"/>
        <v>0</v>
      </c>
    </row>
    <row r="32" spans="2:35" ht="15" customHeight="1" x14ac:dyDescent="0.25">
      <c r="B32" s="146" t="s">
        <v>278</v>
      </c>
      <c r="C32" s="143">
        <v>25</v>
      </c>
      <c r="D32" s="144">
        <f>SUMIFS('январь 2024'!$G$4:$G$1206,'январь 2024'!$D$4:$D$1206,$B32,'январь 2024'!$J$4:$J$1206,D$1)</f>
        <v>0</v>
      </c>
      <c r="E32" s="144">
        <f>SUMIFS('январь 2024'!$G$4:$G$1206,'январь 2024'!$D$4:$D$1206,$B32,'январь 2024'!$J$4:$J$1206,E$1)</f>
        <v>0</v>
      </c>
      <c r="F32" s="144">
        <f>SUMIFS('январь 2024'!$G$4:$G$1206,'январь 2024'!$D$4:$D$1206,$B32,'январь 2024'!$J$4:$J$1206,F$1)</f>
        <v>0</v>
      </c>
      <c r="G32" s="144">
        <f>SUMIFS('январь 2024'!$G$4:$G$1206,'январь 2024'!$D$4:$D$1206,$B32,'январь 2024'!$J$4:$J$1206,G$1)</f>
        <v>0</v>
      </c>
      <c r="H32" s="144">
        <f>SUMIFS('январь 2024'!$G$4:$G$1206,'январь 2024'!$D$4:$D$1206,$B32,'январь 2024'!$J$4:$J$1206,H$1)</f>
        <v>0</v>
      </c>
      <c r="I32" s="144">
        <f>SUMIFS('январь 2024'!$G$4:$G$1206,'январь 2024'!$D$4:$D$1206,$B32,'январь 2024'!$J$4:$J$1206,I$1)</f>
        <v>0</v>
      </c>
      <c r="J32" s="144">
        <f>SUMIFS('январь 2024'!$G$4:$G$1206,'январь 2024'!$D$4:$D$1206,$B32,'январь 2024'!$J$4:$J$1206,J$1)</f>
        <v>0</v>
      </c>
      <c r="K32" s="144">
        <f>SUMIFS('январь 2024'!$G$4:$G$1206,'январь 2024'!$D$4:$D$1206,$B32,'январь 2024'!$J$4:$J$1206,K$1)</f>
        <v>0</v>
      </c>
      <c r="L32" s="144">
        <f>SUMIFS('январь 2024'!$G$4:$G$1206,'январь 2024'!$D$4:$D$1206,$B32,'январь 2024'!$J$4:$J$1206,L$1)</f>
        <v>0</v>
      </c>
      <c r="M32" s="144">
        <f>SUMIFS('январь 2024'!$G$4:$G$1206,'январь 2024'!$D$4:$D$1206,$B32,'январь 2024'!$J$4:$J$1206,M$1)</f>
        <v>0</v>
      </c>
      <c r="N32" s="144">
        <f>SUMIFS('январь 2024'!$G$4:$G$1206,'январь 2024'!$D$4:$D$1206,$B32,'январь 2024'!$J$4:$J$1206,N$1)</f>
        <v>0</v>
      </c>
      <c r="O32" s="144">
        <f>SUMIFS('январь 2024'!$G$4:$G$1206,'январь 2024'!$D$4:$D$1206,$B32,'январь 2024'!$J$4:$J$1206,O$1)</f>
        <v>0</v>
      </c>
      <c r="P32" s="144">
        <f>SUMIFS('январь 2024'!$G$4:$G$1206,'январь 2024'!$D$4:$D$1206,$B32,'январь 2024'!$J$4:$J$1206,P$1)</f>
        <v>0</v>
      </c>
      <c r="Q32" s="144">
        <f>SUMIFS('январь 2024'!$G$4:$G$1206,'январь 2024'!$D$4:$D$1206,$B32,'январь 2024'!$J$4:$J$1206,Q$1)</f>
        <v>0</v>
      </c>
      <c r="R32" s="144">
        <f>SUMIFS('январь 2024'!$G$4:$G$1206,'январь 2024'!$D$4:$D$1206,$B32,'январь 2024'!$J$4:$J$1206,R$1)</f>
        <v>0</v>
      </c>
      <c r="S32" s="144">
        <f>SUMIFS('январь 2024'!$G$4:$G$1206,'январь 2024'!$D$4:$D$1206,$B32,'январь 2024'!$J$4:$J$1206,S$1)</f>
        <v>0</v>
      </c>
      <c r="T32" s="144">
        <f>SUMIFS('январь 2024'!$G$4:$G$1206,'январь 2024'!$D$4:$D$1206,$B32,'январь 2024'!$J$4:$J$1206,T$1)</f>
        <v>0</v>
      </c>
      <c r="U32" s="144">
        <f>SUMIFS('январь 2024'!$G$4:$G$1206,'январь 2024'!$D$4:$D$1206,$B32,'январь 2024'!$J$4:$J$1206,U$1)</f>
        <v>0</v>
      </c>
      <c r="V32" s="144">
        <f>SUMIFS('январь 2024'!$G$4:$G$1206,'январь 2024'!$D$4:$D$1206,$B32,'январь 2024'!$J$4:$J$1206,V$1)</f>
        <v>0</v>
      </c>
      <c r="W32" s="144">
        <f>SUMIFS('январь 2024'!$G$4:$G$1206,'январь 2024'!$D$4:$D$1206,$B32,'январь 2024'!$J$4:$J$1206,W$1)</f>
        <v>0</v>
      </c>
      <c r="X32" s="144">
        <f>SUMIFS('январь 2024'!$G$4:$G$1206,'январь 2024'!$D$4:$D$1206,$B32,'январь 2024'!$J$4:$J$1206,X$1)</f>
        <v>0</v>
      </c>
      <c r="Y32" s="144">
        <f>SUMIFS('январь 2024'!$G$4:$G$1206,'январь 2024'!$D$4:$D$1206,$B32,'январь 2024'!$J$4:$J$1206,Y$1)</f>
        <v>0</v>
      </c>
      <c r="Z32" s="144">
        <f>SUMIFS('январь 2024'!$G$4:$G$1206,'январь 2024'!$D$4:$D$1206,$B32,'январь 2024'!$J$4:$J$1206,Z$1)</f>
        <v>0</v>
      </c>
      <c r="AA32" s="144">
        <f>SUMIFS('январь 2024'!$G$4:$G$1206,'январь 2024'!$D$4:$D$1206,$B32,'январь 2024'!$J$4:$J$1206,AA$1)</f>
        <v>0</v>
      </c>
      <c r="AB32" s="144">
        <f>SUMIFS('январь 2024'!$G$4:$G$1206,'январь 2024'!$D$4:$D$1206,$B32,'январь 2024'!$J$4:$J$1206,AB$1)</f>
        <v>0</v>
      </c>
      <c r="AC32" s="144">
        <f>SUMIFS('январь 2024'!$G$4:$G$1206,'январь 2024'!$D$4:$D$1206,$B32,'январь 2024'!$J$4:$J$1206,AC$1)</f>
        <v>0</v>
      </c>
      <c r="AD32" s="144">
        <f>SUMIFS('январь 2024'!$G$4:$G$1206,'январь 2024'!$D$4:$D$1206,$B32,'январь 2024'!$J$4:$J$1206,AD$1)</f>
        <v>0</v>
      </c>
      <c r="AE32" s="144">
        <f>SUMIFS('январь 2024'!$G$4:$G$1206,'январь 2024'!$D$4:$D$1206,$B32,'январь 2024'!$J$4:$J$1206,AE$1)</f>
        <v>0</v>
      </c>
      <c r="AF32" s="144">
        <f>SUMIFS('январь 2024'!$G$4:$G$1206,'январь 2024'!$D$4:$D$1206,$B32,'январь 2024'!$J$4:$J$1206,AF$1)</f>
        <v>0</v>
      </c>
      <c r="AG32" s="144">
        <f>SUMIFS('январь 2024'!$G$4:$G$1206,'январь 2024'!$D$4:$D$1206,$B32,'январь 2024'!$J$4:$J$1206,AG$1)</f>
        <v>0</v>
      </c>
      <c r="AH32" s="144">
        <f>SUMIFS('январь 2024'!$G$4:$G$1206,'январь 2024'!$D$4:$D$1206,$B32,'январь 2024'!$J$4:$J$1206,AH$1)</f>
        <v>0</v>
      </c>
      <c r="AI32" s="145">
        <f t="shared" si="1"/>
        <v>0</v>
      </c>
    </row>
    <row r="33" spans="2:35" ht="15" customHeight="1" x14ac:dyDescent="0.25">
      <c r="B33" s="147" t="s">
        <v>280</v>
      </c>
      <c r="C33" s="143">
        <v>25</v>
      </c>
      <c r="D33" s="144">
        <f>SUMIFS('январь 2024'!$G$4:$G$1206,'январь 2024'!$D$4:$D$1206,$B33,'январь 2024'!$J$4:$J$1206,D$1)</f>
        <v>0</v>
      </c>
      <c r="E33" s="144">
        <f>SUMIFS('январь 2024'!$G$4:$G$1206,'январь 2024'!$D$4:$D$1206,$B33,'январь 2024'!$J$4:$J$1206,E$1)</f>
        <v>0</v>
      </c>
      <c r="F33" s="144">
        <f>SUMIFS('январь 2024'!$G$4:$G$1206,'январь 2024'!$D$4:$D$1206,$B33,'январь 2024'!$J$4:$J$1206,F$1)</f>
        <v>0</v>
      </c>
      <c r="G33" s="144">
        <f>SUMIFS('январь 2024'!$G$4:$G$1206,'январь 2024'!$D$4:$D$1206,$B33,'январь 2024'!$J$4:$J$1206,G$1)</f>
        <v>0</v>
      </c>
      <c r="H33" s="144">
        <f>SUMIFS('январь 2024'!$G$4:$G$1206,'январь 2024'!$D$4:$D$1206,$B33,'январь 2024'!$J$4:$J$1206,H$1)</f>
        <v>0</v>
      </c>
      <c r="I33" s="144">
        <f>SUMIFS('январь 2024'!$G$4:$G$1206,'январь 2024'!$D$4:$D$1206,$B33,'январь 2024'!$J$4:$J$1206,I$1)</f>
        <v>0</v>
      </c>
      <c r="J33" s="144">
        <f>SUMIFS('январь 2024'!$G$4:$G$1206,'январь 2024'!$D$4:$D$1206,$B33,'январь 2024'!$J$4:$J$1206,J$1)</f>
        <v>0</v>
      </c>
      <c r="K33" s="144">
        <f>SUMIFS('январь 2024'!$G$4:$G$1206,'январь 2024'!$D$4:$D$1206,$B33,'январь 2024'!$J$4:$J$1206,K$1)</f>
        <v>0</v>
      </c>
      <c r="L33" s="144">
        <f>SUMIFS('январь 2024'!$G$4:$G$1206,'январь 2024'!$D$4:$D$1206,$B33,'январь 2024'!$J$4:$J$1206,L$1)</f>
        <v>0</v>
      </c>
      <c r="M33" s="144">
        <f>SUMIFS('январь 2024'!$G$4:$G$1206,'январь 2024'!$D$4:$D$1206,$B33,'январь 2024'!$J$4:$J$1206,M$1)</f>
        <v>0</v>
      </c>
      <c r="N33" s="144">
        <f>SUMIFS('январь 2024'!$G$4:$G$1206,'январь 2024'!$D$4:$D$1206,$B33,'январь 2024'!$J$4:$J$1206,N$1)</f>
        <v>0</v>
      </c>
      <c r="O33" s="144">
        <f>SUMIFS('январь 2024'!$G$4:$G$1206,'январь 2024'!$D$4:$D$1206,$B33,'январь 2024'!$J$4:$J$1206,O$1)</f>
        <v>0</v>
      </c>
      <c r="P33" s="144">
        <f>SUMIFS('январь 2024'!$G$4:$G$1206,'январь 2024'!$D$4:$D$1206,$B33,'январь 2024'!$J$4:$J$1206,P$1)</f>
        <v>0</v>
      </c>
      <c r="Q33" s="144">
        <f>SUMIFS('январь 2024'!$G$4:$G$1206,'январь 2024'!$D$4:$D$1206,$B33,'январь 2024'!$J$4:$J$1206,Q$1)</f>
        <v>0</v>
      </c>
      <c r="R33" s="144">
        <f>SUMIFS('январь 2024'!$G$4:$G$1206,'январь 2024'!$D$4:$D$1206,$B33,'январь 2024'!$J$4:$J$1206,R$1)</f>
        <v>0</v>
      </c>
      <c r="S33" s="144">
        <f>SUMIFS('январь 2024'!$G$4:$G$1206,'январь 2024'!$D$4:$D$1206,$B33,'январь 2024'!$J$4:$J$1206,S$1)</f>
        <v>0</v>
      </c>
      <c r="T33" s="144">
        <f>SUMIFS('январь 2024'!$G$4:$G$1206,'январь 2024'!$D$4:$D$1206,$B33,'январь 2024'!$J$4:$J$1206,T$1)</f>
        <v>0</v>
      </c>
      <c r="U33" s="144">
        <f>SUMIFS('январь 2024'!$G$4:$G$1206,'январь 2024'!$D$4:$D$1206,$B33,'январь 2024'!$J$4:$J$1206,U$1)</f>
        <v>0</v>
      </c>
      <c r="V33" s="144">
        <f>SUMIFS('январь 2024'!$G$4:$G$1206,'январь 2024'!$D$4:$D$1206,$B33,'январь 2024'!$J$4:$J$1206,V$1)</f>
        <v>0</v>
      </c>
      <c r="W33" s="144">
        <f>SUMIFS('январь 2024'!$G$4:$G$1206,'январь 2024'!$D$4:$D$1206,$B33,'январь 2024'!$J$4:$J$1206,W$1)</f>
        <v>0</v>
      </c>
      <c r="X33" s="144">
        <f>SUMIFS('январь 2024'!$G$4:$G$1206,'январь 2024'!$D$4:$D$1206,$B33,'январь 2024'!$J$4:$J$1206,X$1)</f>
        <v>0</v>
      </c>
      <c r="Y33" s="144">
        <f>SUMIFS('январь 2024'!$G$4:$G$1206,'январь 2024'!$D$4:$D$1206,$B33,'январь 2024'!$J$4:$J$1206,Y$1)</f>
        <v>0</v>
      </c>
      <c r="Z33" s="144">
        <f>SUMIFS('январь 2024'!$G$4:$G$1206,'январь 2024'!$D$4:$D$1206,$B33,'январь 2024'!$J$4:$J$1206,Z$1)</f>
        <v>0</v>
      </c>
      <c r="AA33" s="144">
        <f>SUMIFS('январь 2024'!$G$4:$G$1206,'январь 2024'!$D$4:$D$1206,$B33,'январь 2024'!$J$4:$J$1206,AA$1)</f>
        <v>0</v>
      </c>
      <c r="AB33" s="144">
        <f>SUMIFS('январь 2024'!$G$4:$G$1206,'январь 2024'!$D$4:$D$1206,$B33,'январь 2024'!$J$4:$J$1206,AB$1)</f>
        <v>0</v>
      </c>
      <c r="AC33" s="144">
        <f>SUMIFS('январь 2024'!$G$4:$G$1206,'январь 2024'!$D$4:$D$1206,$B33,'январь 2024'!$J$4:$J$1206,AC$1)</f>
        <v>0</v>
      </c>
      <c r="AD33" s="144">
        <f>SUMIFS('январь 2024'!$G$4:$G$1206,'январь 2024'!$D$4:$D$1206,$B33,'январь 2024'!$J$4:$J$1206,AD$1)</f>
        <v>0</v>
      </c>
      <c r="AE33" s="144">
        <f>SUMIFS('январь 2024'!$G$4:$G$1206,'январь 2024'!$D$4:$D$1206,$B33,'январь 2024'!$J$4:$J$1206,AE$1)</f>
        <v>0</v>
      </c>
      <c r="AF33" s="144">
        <f>SUMIFS('январь 2024'!$G$4:$G$1206,'январь 2024'!$D$4:$D$1206,$B33,'январь 2024'!$J$4:$J$1206,AF$1)</f>
        <v>0</v>
      </c>
      <c r="AG33" s="144">
        <f>SUMIFS('январь 2024'!$G$4:$G$1206,'январь 2024'!$D$4:$D$1206,$B33,'январь 2024'!$J$4:$J$1206,AG$1)</f>
        <v>0</v>
      </c>
      <c r="AH33" s="144">
        <f>SUMIFS('январь 2024'!$G$4:$G$1206,'январь 2024'!$D$4:$D$1206,$B33,'январь 2024'!$J$4:$J$1206,AH$1)</f>
        <v>0</v>
      </c>
      <c r="AI33" s="145">
        <f t="shared" si="1"/>
        <v>0</v>
      </c>
    </row>
    <row r="34" spans="2:35" ht="15" customHeight="1" x14ac:dyDescent="0.25">
      <c r="B34" s="148" t="s">
        <v>282</v>
      </c>
      <c r="C34" s="149">
        <v>25</v>
      </c>
      <c r="D34" s="144">
        <f>SUMIFS('январь 2024'!$G$4:$G$1206,'январь 2024'!$D$4:$D$1206,$B34,'январь 2024'!$J$4:$J$1206,D$1)</f>
        <v>0</v>
      </c>
      <c r="E34" s="144">
        <f>SUMIFS('январь 2024'!$G$4:$G$1206,'январь 2024'!$D$4:$D$1206,$B34,'январь 2024'!$J$4:$J$1206,E$1)</f>
        <v>0</v>
      </c>
      <c r="F34" s="144">
        <f>SUMIFS('январь 2024'!$G$4:$G$1206,'январь 2024'!$D$4:$D$1206,$B34,'январь 2024'!$J$4:$J$1206,F$1)</f>
        <v>0</v>
      </c>
      <c r="G34" s="144">
        <f>SUMIFS('январь 2024'!$G$4:$G$1206,'январь 2024'!$D$4:$D$1206,$B34,'январь 2024'!$J$4:$J$1206,G$1)</f>
        <v>0</v>
      </c>
      <c r="H34" s="144">
        <f>SUMIFS('январь 2024'!$G$4:$G$1206,'январь 2024'!$D$4:$D$1206,$B34,'январь 2024'!$J$4:$J$1206,H$1)</f>
        <v>0</v>
      </c>
      <c r="I34" s="144">
        <f>SUMIFS('январь 2024'!$G$4:$G$1206,'январь 2024'!$D$4:$D$1206,$B34,'январь 2024'!$J$4:$J$1206,I$1)</f>
        <v>0</v>
      </c>
      <c r="J34" s="144">
        <f>SUMIFS('январь 2024'!$G$4:$G$1206,'январь 2024'!$D$4:$D$1206,$B34,'январь 2024'!$J$4:$J$1206,J$1)</f>
        <v>0</v>
      </c>
      <c r="K34" s="144">
        <f>SUMIFS('январь 2024'!$G$4:$G$1206,'январь 2024'!$D$4:$D$1206,$B34,'январь 2024'!$J$4:$J$1206,K$1)</f>
        <v>0</v>
      </c>
      <c r="L34" s="144">
        <f>SUMIFS('январь 2024'!$G$4:$G$1206,'январь 2024'!$D$4:$D$1206,$B34,'январь 2024'!$J$4:$J$1206,L$1)</f>
        <v>0</v>
      </c>
      <c r="M34" s="144">
        <f>SUMIFS('январь 2024'!$G$4:$G$1206,'январь 2024'!$D$4:$D$1206,$B34,'январь 2024'!$J$4:$J$1206,M$1)</f>
        <v>0</v>
      </c>
      <c r="N34" s="144">
        <f>SUMIFS('январь 2024'!$G$4:$G$1206,'январь 2024'!$D$4:$D$1206,$B34,'январь 2024'!$J$4:$J$1206,N$1)</f>
        <v>0</v>
      </c>
      <c r="O34" s="144">
        <f>SUMIFS('январь 2024'!$G$4:$G$1206,'январь 2024'!$D$4:$D$1206,$B34,'январь 2024'!$J$4:$J$1206,O$1)</f>
        <v>0</v>
      </c>
      <c r="P34" s="144">
        <f>SUMIFS('январь 2024'!$G$4:$G$1206,'январь 2024'!$D$4:$D$1206,$B34,'январь 2024'!$J$4:$J$1206,P$1)</f>
        <v>0</v>
      </c>
      <c r="Q34" s="144">
        <f>SUMIFS('январь 2024'!$G$4:$G$1206,'январь 2024'!$D$4:$D$1206,$B34,'январь 2024'!$J$4:$J$1206,Q$1)</f>
        <v>0</v>
      </c>
      <c r="R34" s="144">
        <f>SUMIFS('январь 2024'!$G$4:$G$1206,'январь 2024'!$D$4:$D$1206,$B34,'январь 2024'!$J$4:$J$1206,R$1)</f>
        <v>0</v>
      </c>
      <c r="S34" s="144">
        <f>SUMIFS('январь 2024'!$G$4:$G$1206,'январь 2024'!$D$4:$D$1206,$B34,'январь 2024'!$J$4:$J$1206,S$1)</f>
        <v>0</v>
      </c>
      <c r="T34" s="144">
        <f>SUMIFS('январь 2024'!$G$4:$G$1206,'январь 2024'!$D$4:$D$1206,$B34,'январь 2024'!$J$4:$J$1206,T$1)</f>
        <v>0</v>
      </c>
      <c r="U34" s="144">
        <f>SUMIFS('январь 2024'!$G$4:$G$1206,'январь 2024'!$D$4:$D$1206,$B34,'январь 2024'!$J$4:$J$1206,U$1)</f>
        <v>0</v>
      </c>
      <c r="V34" s="144">
        <f>SUMIFS('январь 2024'!$G$4:$G$1206,'январь 2024'!$D$4:$D$1206,$B34,'январь 2024'!$J$4:$J$1206,V$1)</f>
        <v>0</v>
      </c>
      <c r="W34" s="144">
        <f>SUMIFS('январь 2024'!$G$4:$G$1206,'январь 2024'!$D$4:$D$1206,$B34,'январь 2024'!$J$4:$J$1206,W$1)</f>
        <v>0</v>
      </c>
      <c r="X34" s="144">
        <f>SUMIFS('январь 2024'!$G$4:$G$1206,'январь 2024'!$D$4:$D$1206,$B34,'январь 2024'!$J$4:$J$1206,X$1)</f>
        <v>0</v>
      </c>
      <c r="Y34" s="144">
        <f>SUMIFS('январь 2024'!$G$4:$G$1206,'январь 2024'!$D$4:$D$1206,$B34,'январь 2024'!$J$4:$J$1206,Y$1)</f>
        <v>0</v>
      </c>
      <c r="Z34" s="144">
        <f>SUMIFS('январь 2024'!$G$4:$G$1206,'январь 2024'!$D$4:$D$1206,$B34,'январь 2024'!$J$4:$J$1206,Z$1)</f>
        <v>0</v>
      </c>
      <c r="AA34" s="144">
        <f>SUMIFS('январь 2024'!$G$4:$G$1206,'январь 2024'!$D$4:$D$1206,$B34,'январь 2024'!$J$4:$J$1206,AA$1)</f>
        <v>0</v>
      </c>
      <c r="AB34" s="144">
        <f>SUMIFS('январь 2024'!$G$4:$G$1206,'январь 2024'!$D$4:$D$1206,$B34,'январь 2024'!$J$4:$J$1206,AB$1)</f>
        <v>0</v>
      </c>
      <c r="AC34" s="144">
        <f>SUMIFS('январь 2024'!$G$4:$G$1206,'январь 2024'!$D$4:$D$1206,$B34,'январь 2024'!$J$4:$J$1206,AC$1)</f>
        <v>0</v>
      </c>
      <c r="AD34" s="144">
        <f>SUMIFS('январь 2024'!$G$4:$G$1206,'январь 2024'!$D$4:$D$1206,$B34,'январь 2024'!$J$4:$J$1206,AD$1)</f>
        <v>0</v>
      </c>
      <c r="AE34" s="144">
        <f>SUMIFS('январь 2024'!$G$4:$G$1206,'январь 2024'!$D$4:$D$1206,$B34,'январь 2024'!$J$4:$J$1206,AE$1)</f>
        <v>0</v>
      </c>
      <c r="AF34" s="144">
        <f>SUMIFS('январь 2024'!$G$4:$G$1206,'январь 2024'!$D$4:$D$1206,$B34,'январь 2024'!$J$4:$J$1206,AF$1)</f>
        <v>0</v>
      </c>
      <c r="AG34" s="144">
        <f>SUMIFS('январь 2024'!$G$4:$G$1206,'январь 2024'!$D$4:$D$1206,$B34,'январь 2024'!$J$4:$J$1206,AG$1)</f>
        <v>0</v>
      </c>
      <c r="AH34" s="144">
        <f>SUMIFS('январь 2024'!$G$4:$G$1206,'январь 2024'!$D$4:$D$1206,$B34,'январь 2024'!$J$4:$J$1206,AH$1)</f>
        <v>0</v>
      </c>
      <c r="AI34" s="145">
        <f t="shared" si="1"/>
        <v>0</v>
      </c>
    </row>
    <row r="35" spans="2:35" ht="15" customHeight="1" x14ac:dyDescent="0.25">
      <c r="B35" s="150" t="s">
        <v>284</v>
      </c>
      <c r="C35" s="151">
        <v>22.68</v>
      </c>
      <c r="D35" s="144">
        <f>SUMIFS('январь 2024'!$G$4:$G$1206,'январь 2024'!$D$4:$D$1206,$B35,'январь 2024'!$J$4:$J$1206,D$1)</f>
        <v>0</v>
      </c>
      <c r="E35" s="144">
        <f>SUMIFS('январь 2024'!$G$4:$G$1206,'январь 2024'!$D$4:$D$1206,$B35,'январь 2024'!$J$4:$J$1206,E$1)</f>
        <v>0</v>
      </c>
      <c r="F35" s="144">
        <f>SUMIFS('январь 2024'!$G$4:$G$1206,'январь 2024'!$D$4:$D$1206,$B35,'январь 2024'!$J$4:$J$1206,F$1)</f>
        <v>0</v>
      </c>
      <c r="G35" s="144">
        <f>SUMIFS('январь 2024'!$G$4:$G$1206,'январь 2024'!$D$4:$D$1206,$B35,'январь 2024'!$J$4:$J$1206,G$1)</f>
        <v>0</v>
      </c>
      <c r="H35" s="144">
        <f>SUMIFS('январь 2024'!$G$4:$G$1206,'январь 2024'!$D$4:$D$1206,$B35,'январь 2024'!$J$4:$J$1206,H$1)</f>
        <v>0</v>
      </c>
      <c r="I35" s="144">
        <f>SUMIFS('январь 2024'!$G$4:$G$1206,'январь 2024'!$D$4:$D$1206,$B35,'январь 2024'!$J$4:$J$1206,I$1)</f>
        <v>0</v>
      </c>
      <c r="J35" s="144">
        <f>SUMIFS('январь 2024'!$G$4:$G$1206,'январь 2024'!$D$4:$D$1206,$B35,'январь 2024'!$J$4:$J$1206,J$1)</f>
        <v>0</v>
      </c>
      <c r="K35" s="144">
        <f>SUMIFS('январь 2024'!$G$4:$G$1206,'январь 2024'!$D$4:$D$1206,$B35,'январь 2024'!$J$4:$J$1206,K$1)</f>
        <v>0</v>
      </c>
      <c r="L35" s="144">
        <f>SUMIFS('январь 2024'!$G$4:$G$1206,'январь 2024'!$D$4:$D$1206,$B35,'январь 2024'!$J$4:$J$1206,L$1)</f>
        <v>0</v>
      </c>
      <c r="M35" s="144">
        <f>SUMIFS('январь 2024'!$G$4:$G$1206,'январь 2024'!$D$4:$D$1206,$B35,'январь 2024'!$J$4:$J$1206,M$1)</f>
        <v>0</v>
      </c>
      <c r="N35" s="144">
        <f>SUMIFS('январь 2024'!$G$4:$G$1206,'январь 2024'!$D$4:$D$1206,$B35,'январь 2024'!$J$4:$J$1206,N$1)</f>
        <v>0</v>
      </c>
      <c r="O35" s="144">
        <f>SUMIFS('январь 2024'!$G$4:$G$1206,'январь 2024'!$D$4:$D$1206,$B35,'январь 2024'!$J$4:$J$1206,O$1)</f>
        <v>0</v>
      </c>
      <c r="P35" s="144">
        <f>SUMIFS('январь 2024'!$G$4:$G$1206,'январь 2024'!$D$4:$D$1206,$B35,'январь 2024'!$J$4:$J$1206,P$1)</f>
        <v>0</v>
      </c>
      <c r="Q35" s="144">
        <f>SUMIFS('январь 2024'!$G$4:$G$1206,'январь 2024'!$D$4:$D$1206,$B35,'январь 2024'!$J$4:$J$1206,Q$1)</f>
        <v>0</v>
      </c>
      <c r="R35" s="144">
        <f>SUMIFS('январь 2024'!$G$4:$G$1206,'январь 2024'!$D$4:$D$1206,$B35,'январь 2024'!$J$4:$J$1206,R$1)</f>
        <v>0</v>
      </c>
      <c r="S35" s="144">
        <f>SUMIFS('январь 2024'!$G$4:$G$1206,'январь 2024'!$D$4:$D$1206,$B35,'январь 2024'!$J$4:$J$1206,S$1)</f>
        <v>0</v>
      </c>
      <c r="T35" s="144">
        <f>SUMIFS('январь 2024'!$G$4:$G$1206,'январь 2024'!$D$4:$D$1206,$B35,'январь 2024'!$J$4:$J$1206,T$1)</f>
        <v>0</v>
      </c>
      <c r="U35" s="144">
        <f>SUMIFS('январь 2024'!$G$4:$G$1206,'январь 2024'!$D$4:$D$1206,$B35,'январь 2024'!$J$4:$J$1206,U$1)</f>
        <v>0</v>
      </c>
      <c r="V35" s="144">
        <f>SUMIFS('январь 2024'!$G$4:$G$1206,'январь 2024'!$D$4:$D$1206,$B35,'январь 2024'!$J$4:$J$1206,V$1)</f>
        <v>0</v>
      </c>
      <c r="W35" s="144">
        <f>SUMIFS('январь 2024'!$G$4:$G$1206,'январь 2024'!$D$4:$D$1206,$B35,'январь 2024'!$J$4:$J$1206,W$1)</f>
        <v>0</v>
      </c>
      <c r="X35" s="144">
        <f>SUMIFS('январь 2024'!$G$4:$G$1206,'январь 2024'!$D$4:$D$1206,$B35,'январь 2024'!$J$4:$J$1206,X$1)</f>
        <v>0</v>
      </c>
      <c r="Y35" s="144">
        <f>SUMIFS('январь 2024'!$G$4:$G$1206,'январь 2024'!$D$4:$D$1206,$B35,'январь 2024'!$J$4:$J$1206,Y$1)</f>
        <v>0</v>
      </c>
      <c r="Z35" s="144">
        <f>SUMIFS('январь 2024'!$G$4:$G$1206,'январь 2024'!$D$4:$D$1206,$B35,'январь 2024'!$J$4:$J$1206,Z$1)</f>
        <v>0</v>
      </c>
      <c r="AA35" s="144">
        <f>SUMIFS('январь 2024'!$G$4:$G$1206,'январь 2024'!$D$4:$D$1206,$B35,'январь 2024'!$J$4:$J$1206,AA$1)</f>
        <v>0</v>
      </c>
      <c r="AB35" s="144">
        <f>SUMIFS('январь 2024'!$G$4:$G$1206,'январь 2024'!$D$4:$D$1206,$B35,'январь 2024'!$J$4:$J$1206,AB$1)</f>
        <v>0</v>
      </c>
      <c r="AC35" s="144">
        <f>SUMIFS('январь 2024'!$G$4:$G$1206,'январь 2024'!$D$4:$D$1206,$B35,'январь 2024'!$J$4:$J$1206,AC$1)</f>
        <v>0</v>
      </c>
      <c r="AD35" s="144">
        <f>SUMIFS('январь 2024'!$G$4:$G$1206,'январь 2024'!$D$4:$D$1206,$B35,'январь 2024'!$J$4:$J$1206,AD$1)</f>
        <v>0</v>
      </c>
      <c r="AE35" s="144">
        <f>SUMIFS('январь 2024'!$G$4:$G$1206,'январь 2024'!$D$4:$D$1206,$B35,'январь 2024'!$J$4:$J$1206,AE$1)</f>
        <v>0</v>
      </c>
      <c r="AF35" s="144">
        <f>SUMIFS('январь 2024'!$G$4:$G$1206,'январь 2024'!$D$4:$D$1206,$B35,'январь 2024'!$J$4:$J$1206,AF$1)</f>
        <v>0</v>
      </c>
      <c r="AG35" s="144">
        <f>SUMIFS('январь 2024'!$G$4:$G$1206,'январь 2024'!$D$4:$D$1206,$B35,'январь 2024'!$J$4:$J$1206,AG$1)</f>
        <v>0</v>
      </c>
      <c r="AH35" s="144">
        <f>SUMIFS('январь 2024'!$G$4:$G$1206,'январь 2024'!$D$4:$D$1206,$B35,'январь 2024'!$J$4:$J$1206,AH$1)</f>
        <v>0</v>
      </c>
      <c r="AI35" s="145">
        <f t="shared" si="1"/>
        <v>0</v>
      </c>
    </row>
    <row r="36" spans="2:35" ht="15" customHeight="1" x14ac:dyDescent="0.25">
      <c r="B36" s="150" t="s">
        <v>286</v>
      </c>
      <c r="C36" s="152">
        <v>25</v>
      </c>
      <c r="D36" s="144">
        <f>SUMIFS('январь 2024'!$G$4:$G$1206,'январь 2024'!$D$4:$D$1206,$B36,'январь 2024'!$J$4:$J$1206,D$1)</f>
        <v>0</v>
      </c>
      <c r="E36" s="144">
        <f>SUMIFS('январь 2024'!$G$4:$G$1206,'январь 2024'!$D$4:$D$1206,$B36,'январь 2024'!$J$4:$J$1206,E$1)</f>
        <v>0</v>
      </c>
      <c r="F36" s="144">
        <f>SUMIFS('январь 2024'!$G$4:$G$1206,'январь 2024'!$D$4:$D$1206,$B36,'январь 2024'!$J$4:$J$1206,F$1)</f>
        <v>0</v>
      </c>
      <c r="G36" s="144">
        <f>SUMIFS('январь 2024'!$G$4:$G$1206,'январь 2024'!$D$4:$D$1206,$B36,'январь 2024'!$J$4:$J$1206,G$1)</f>
        <v>0</v>
      </c>
      <c r="H36" s="144">
        <f>SUMIFS('январь 2024'!$G$4:$G$1206,'январь 2024'!$D$4:$D$1206,$B36,'январь 2024'!$J$4:$J$1206,H$1)</f>
        <v>0</v>
      </c>
      <c r="I36" s="144">
        <f>SUMIFS('январь 2024'!$G$4:$G$1206,'январь 2024'!$D$4:$D$1206,$B36,'январь 2024'!$J$4:$J$1206,I$1)</f>
        <v>0</v>
      </c>
      <c r="J36" s="144">
        <f>SUMIFS('январь 2024'!$G$4:$G$1206,'январь 2024'!$D$4:$D$1206,$B36,'январь 2024'!$J$4:$J$1206,J$1)</f>
        <v>0</v>
      </c>
      <c r="K36" s="144">
        <f>SUMIFS('январь 2024'!$G$4:$G$1206,'январь 2024'!$D$4:$D$1206,$B36,'январь 2024'!$J$4:$J$1206,K$1)</f>
        <v>0</v>
      </c>
      <c r="L36" s="144">
        <f>SUMIFS('январь 2024'!$G$4:$G$1206,'январь 2024'!$D$4:$D$1206,$B36,'январь 2024'!$J$4:$J$1206,L$1)</f>
        <v>0</v>
      </c>
      <c r="M36" s="144">
        <f>SUMIFS('январь 2024'!$G$4:$G$1206,'январь 2024'!$D$4:$D$1206,$B36,'январь 2024'!$J$4:$J$1206,M$1)</f>
        <v>0</v>
      </c>
      <c r="N36" s="144">
        <f>SUMIFS('январь 2024'!$G$4:$G$1206,'январь 2024'!$D$4:$D$1206,$B36,'январь 2024'!$J$4:$J$1206,N$1)</f>
        <v>0</v>
      </c>
      <c r="O36" s="144">
        <f>SUMIFS('январь 2024'!$G$4:$G$1206,'январь 2024'!$D$4:$D$1206,$B36,'январь 2024'!$J$4:$J$1206,O$1)</f>
        <v>0</v>
      </c>
      <c r="P36" s="144">
        <f>SUMIFS('январь 2024'!$G$4:$G$1206,'январь 2024'!$D$4:$D$1206,$B36,'январь 2024'!$J$4:$J$1206,P$1)</f>
        <v>0</v>
      </c>
      <c r="Q36" s="144">
        <f>SUMIFS('январь 2024'!$G$4:$G$1206,'январь 2024'!$D$4:$D$1206,$B36,'январь 2024'!$J$4:$J$1206,Q$1)</f>
        <v>0</v>
      </c>
      <c r="R36" s="144">
        <f>SUMIFS('январь 2024'!$G$4:$G$1206,'январь 2024'!$D$4:$D$1206,$B36,'январь 2024'!$J$4:$J$1206,R$1)</f>
        <v>0</v>
      </c>
      <c r="S36" s="144">
        <f>SUMIFS('январь 2024'!$G$4:$G$1206,'январь 2024'!$D$4:$D$1206,$B36,'январь 2024'!$J$4:$J$1206,S$1)</f>
        <v>0</v>
      </c>
      <c r="T36" s="144">
        <f>SUMIFS('январь 2024'!$G$4:$G$1206,'январь 2024'!$D$4:$D$1206,$B36,'январь 2024'!$J$4:$J$1206,T$1)</f>
        <v>0</v>
      </c>
      <c r="U36" s="144">
        <f>SUMIFS('январь 2024'!$G$4:$G$1206,'январь 2024'!$D$4:$D$1206,$B36,'январь 2024'!$J$4:$J$1206,U$1)</f>
        <v>0</v>
      </c>
      <c r="V36" s="144">
        <f>SUMIFS('январь 2024'!$G$4:$G$1206,'январь 2024'!$D$4:$D$1206,$B36,'январь 2024'!$J$4:$J$1206,V$1)</f>
        <v>0</v>
      </c>
      <c r="W36" s="144">
        <f>SUMIFS('январь 2024'!$G$4:$G$1206,'январь 2024'!$D$4:$D$1206,$B36,'январь 2024'!$J$4:$J$1206,W$1)</f>
        <v>0</v>
      </c>
      <c r="X36" s="144">
        <f>SUMIFS('январь 2024'!$G$4:$G$1206,'январь 2024'!$D$4:$D$1206,$B36,'январь 2024'!$J$4:$J$1206,X$1)</f>
        <v>0</v>
      </c>
      <c r="Y36" s="144">
        <f>SUMIFS('январь 2024'!$G$4:$G$1206,'январь 2024'!$D$4:$D$1206,$B36,'январь 2024'!$J$4:$J$1206,Y$1)</f>
        <v>0</v>
      </c>
      <c r="Z36" s="144">
        <f>SUMIFS('январь 2024'!$G$4:$G$1206,'январь 2024'!$D$4:$D$1206,$B36,'январь 2024'!$J$4:$J$1206,Z$1)</f>
        <v>0</v>
      </c>
      <c r="AA36" s="144">
        <f>SUMIFS('январь 2024'!$G$4:$G$1206,'январь 2024'!$D$4:$D$1206,$B36,'январь 2024'!$J$4:$J$1206,AA$1)</f>
        <v>0</v>
      </c>
      <c r="AB36" s="144">
        <f>SUMIFS('январь 2024'!$G$4:$G$1206,'январь 2024'!$D$4:$D$1206,$B36,'январь 2024'!$J$4:$J$1206,AB$1)</f>
        <v>0</v>
      </c>
      <c r="AC36" s="144">
        <f>SUMIFS('январь 2024'!$G$4:$G$1206,'январь 2024'!$D$4:$D$1206,$B36,'январь 2024'!$J$4:$J$1206,AC$1)</f>
        <v>0</v>
      </c>
      <c r="AD36" s="144">
        <f>SUMIFS('январь 2024'!$G$4:$G$1206,'январь 2024'!$D$4:$D$1206,$B36,'январь 2024'!$J$4:$J$1206,AD$1)</f>
        <v>0</v>
      </c>
      <c r="AE36" s="144">
        <f>SUMIFS('январь 2024'!$G$4:$G$1206,'январь 2024'!$D$4:$D$1206,$B36,'январь 2024'!$J$4:$J$1206,AE$1)</f>
        <v>0</v>
      </c>
      <c r="AF36" s="144">
        <f>SUMIFS('январь 2024'!$G$4:$G$1206,'январь 2024'!$D$4:$D$1206,$B36,'январь 2024'!$J$4:$J$1206,AF$1)</f>
        <v>0</v>
      </c>
      <c r="AG36" s="144">
        <f>SUMIFS('январь 2024'!$G$4:$G$1206,'январь 2024'!$D$4:$D$1206,$B36,'январь 2024'!$J$4:$J$1206,AG$1)</f>
        <v>0</v>
      </c>
      <c r="AH36" s="144">
        <f>SUMIFS('январь 2024'!$G$4:$G$1206,'январь 2024'!$D$4:$D$1206,$B36,'январь 2024'!$J$4:$J$1206,AH$1)</f>
        <v>0</v>
      </c>
      <c r="AI36" s="145">
        <f t="shared" si="1"/>
        <v>0</v>
      </c>
    </row>
    <row r="37" spans="2:35" ht="15" customHeight="1" x14ac:dyDescent="0.25">
      <c r="B37" s="150" t="s">
        <v>288</v>
      </c>
      <c r="C37" s="153">
        <v>25</v>
      </c>
      <c r="D37" s="144">
        <f>SUMIFS('январь 2024'!$G$4:$G$1206,'январь 2024'!$D$4:$D$1206,$B37,'январь 2024'!$J$4:$J$1206,D$1)</f>
        <v>0</v>
      </c>
      <c r="E37" s="144">
        <f>SUMIFS('январь 2024'!$G$4:$G$1206,'январь 2024'!$D$4:$D$1206,$B37,'январь 2024'!$J$4:$J$1206,E$1)</f>
        <v>0</v>
      </c>
      <c r="F37" s="144">
        <f>SUMIFS('январь 2024'!$G$4:$G$1206,'январь 2024'!$D$4:$D$1206,$B37,'январь 2024'!$J$4:$J$1206,F$1)</f>
        <v>0</v>
      </c>
      <c r="G37" s="144">
        <f>SUMIFS('январь 2024'!$G$4:$G$1206,'январь 2024'!$D$4:$D$1206,$B37,'январь 2024'!$J$4:$J$1206,G$1)</f>
        <v>0</v>
      </c>
      <c r="H37" s="144">
        <f>SUMIFS('январь 2024'!$G$4:$G$1206,'январь 2024'!$D$4:$D$1206,$B37,'январь 2024'!$J$4:$J$1206,H$1)</f>
        <v>0</v>
      </c>
      <c r="I37" s="144">
        <f>SUMIFS('январь 2024'!$G$4:$G$1206,'январь 2024'!$D$4:$D$1206,$B37,'январь 2024'!$J$4:$J$1206,I$1)</f>
        <v>0</v>
      </c>
      <c r="J37" s="144">
        <f>SUMIFS('январь 2024'!$G$4:$G$1206,'январь 2024'!$D$4:$D$1206,$B37,'январь 2024'!$J$4:$J$1206,J$1)</f>
        <v>0</v>
      </c>
      <c r="K37" s="144">
        <f>SUMIFS('январь 2024'!$G$4:$G$1206,'январь 2024'!$D$4:$D$1206,$B37,'январь 2024'!$J$4:$J$1206,K$1)</f>
        <v>0</v>
      </c>
      <c r="L37" s="144">
        <f>SUMIFS('январь 2024'!$G$4:$G$1206,'январь 2024'!$D$4:$D$1206,$B37,'январь 2024'!$J$4:$J$1206,L$1)</f>
        <v>0</v>
      </c>
      <c r="M37" s="144">
        <f>SUMIFS('январь 2024'!$G$4:$G$1206,'январь 2024'!$D$4:$D$1206,$B37,'январь 2024'!$J$4:$J$1206,M$1)</f>
        <v>0</v>
      </c>
      <c r="N37" s="144">
        <f>SUMIFS('январь 2024'!$G$4:$G$1206,'январь 2024'!$D$4:$D$1206,$B37,'январь 2024'!$J$4:$J$1206,N$1)</f>
        <v>0</v>
      </c>
      <c r="O37" s="144">
        <f>SUMIFS('январь 2024'!$G$4:$G$1206,'январь 2024'!$D$4:$D$1206,$B37,'январь 2024'!$J$4:$J$1206,O$1)</f>
        <v>0</v>
      </c>
      <c r="P37" s="144">
        <f>SUMIFS('январь 2024'!$G$4:$G$1206,'январь 2024'!$D$4:$D$1206,$B37,'январь 2024'!$J$4:$J$1206,P$1)</f>
        <v>0</v>
      </c>
      <c r="Q37" s="144">
        <f>SUMIFS('январь 2024'!$G$4:$G$1206,'январь 2024'!$D$4:$D$1206,$B37,'январь 2024'!$J$4:$J$1206,Q$1)</f>
        <v>0</v>
      </c>
      <c r="R37" s="144">
        <f>SUMIFS('январь 2024'!$G$4:$G$1206,'январь 2024'!$D$4:$D$1206,$B37,'январь 2024'!$J$4:$J$1206,R$1)</f>
        <v>0</v>
      </c>
      <c r="S37" s="144">
        <f>SUMIFS('январь 2024'!$G$4:$G$1206,'январь 2024'!$D$4:$D$1206,$B37,'январь 2024'!$J$4:$J$1206,S$1)</f>
        <v>0</v>
      </c>
      <c r="T37" s="144">
        <f>SUMIFS('январь 2024'!$G$4:$G$1206,'январь 2024'!$D$4:$D$1206,$B37,'январь 2024'!$J$4:$J$1206,T$1)</f>
        <v>0</v>
      </c>
      <c r="U37" s="144">
        <f>SUMIFS('январь 2024'!$G$4:$G$1206,'январь 2024'!$D$4:$D$1206,$B37,'январь 2024'!$J$4:$J$1206,U$1)</f>
        <v>0</v>
      </c>
      <c r="V37" s="144">
        <f>SUMIFS('январь 2024'!$G$4:$G$1206,'январь 2024'!$D$4:$D$1206,$B37,'январь 2024'!$J$4:$J$1206,V$1)</f>
        <v>0</v>
      </c>
      <c r="W37" s="144">
        <f>SUMIFS('январь 2024'!$G$4:$G$1206,'январь 2024'!$D$4:$D$1206,$B37,'январь 2024'!$J$4:$J$1206,W$1)</f>
        <v>0</v>
      </c>
      <c r="X37" s="144">
        <f>SUMIFS('январь 2024'!$G$4:$G$1206,'январь 2024'!$D$4:$D$1206,$B37,'январь 2024'!$J$4:$J$1206,X$1)</f>
        <v>0</v>
      </c>
      <c r="Y37" s="144">
        <f>SUMIFS('январь 2024'!$G$4:$G$1206,'январь 2024'!$D$4:$D$1206,$B37,'январь 2024'!$J$4:$J$1206,Y$1)</f>
        <v>0</v>
      </c>
      <c r="Z37" s="144">
        <f>SUMIFS('январь 2024'!$G$4:$G$1206,'январь 2024'!$D$4:$D$1206,$B37,'январь 2024'!$J$4:$J$1206,Z$1)</f>
        <v>0</v>
      </c>
      <c r="AA37" s="144">
        <f>SUMIFS('январь 2024'!$G$4:$G$1206,'январь 2024'!$D$4:$D$1206,$B37,'январь 2024'!$J$4:$J$1206,AA$1)</f>
        <v>0</v>
      </c>
      <c r="AB37" s="144">
        <f>SUMIFS('январь 2024'!$G$4:$G$1206,'январь 2024'!$D$4:$D$1206,$B37,'январь 2024'!$J$4:$J$1206,AB$1)</f>
        <v>0</v>
      </c>
      <c r="AC37" s="144">
        <f>SUMIFS('январь 2024'!$G$4:$G$1206,'январь 2024'!$D$4:$D$1206,$B37,'январь 2024'!$J$4:$J$1206,AC$1)</f>
        <v>0</v>
      </c>
      <c r="AD37" s="144">
        <f>SUMIFS('январь 2024'!$G$4:$G$1206,'январь 2024'!$D$4:$D$1206,$B37,'январь 2024'!$J$4:$J$1206,AD$1)</f>
        <v>0</v>
      </c>
      <c r="AE37" s="144">
        <f>SUMIFS('январь 2024'!$G$4:$G$1206,'январь 2024'!$D$4:$D$1206,$B37,'январь 2024'!$J$4:$J$1206,AE$1)</f>
        <v>0</v>
      </c>
      <c r="AF37" s="144">
        <f>SUMIFS('январь 2024'!$G$4:$G$1206,'январь 2024'!$D$4:$D$1206,$B37,'январь 2024'!$J$4:$J$1206,AF$1)</f>
        <v>0</v>
      </c>
      <c r="AG37" s="144">
        <f>SUMIFS('январь 2024'!$G$4:$G$1206,'январь 2024'!$D$4:$D$1206,$B37,'январь 2024'!$J$4:$J$1206,AG$1)</f>
        <v>0</v>
      </c>
      <c r="AH37" s="144">
        <f>SUMIFS('январь 2024'!$G$4:$G$1206,'январь 2024'!$D$4:$D$1206,$B37,'январь 2024'!$J$4:$J$1206,AH$1)</f>
        <v>0</v>
      </c>
      <c r="AI37" s="145">
        <f t="shared" si="1"/>
        <v>0</v>
      </c>
    </row>
    <row r="38" spans="2:35" ht="15" customHeight="1" x14ac:dyDescent="0.25">
      <c r="B38" s="150" t="s">
        <v>290</v>
      </c>
      <c r="C38" s="149">
        <v>22.68</v>
      </c>
      <c r="D38" s="144">
        <f>SUMIFS('январь 2024'!$G$4:$G$1206,'январь 2024'!$D$4:$D$1206,$B38,'январь 2024'!$J$4:$J$1206,D$1)</f>
        <v>0</v>
      </c>
      <c r="E38" s="144">
        <f>SUMIFS('январь 2024'!$G$4:$G$1206,'январь 2024'!$D$4:$D$1206,$B38,'январь 2024'!$J$4:$J$1206,E$1)</f>
        <v>0</v>
      </c>
      <c r="F38" s="144">
        <f>SUMIFS('январь 2024'!$G$4:$G$1206,'январь 2024'!$D$4:$D$1206,$B38,'январь 2024'!$J$4:$J$1206,F$1)</f>
        <v>0</v>
      </c>
      <c r="G38" s="144">
        <f>SUMIFS('январь 2024'!$G$4:$G$1206,'январь 2024'!$D$4:$D$1206,$B38,'январь 2024'!$J$4:$J$1206,G$1)</f>
        <v>0</v>
      </c>
      <c r="H38" s="144">
        <f>SUMIFS('январь 2024'!$G$4:$G$1206,'январь 2024'!$D$4:$D$1206,$B38,'январь 2024'!$J$4:$J$1206,H$1)</f>
        <v>0</v>
      </c>
      <c r="I38" s="144">
        <f>SUMIFS('январь 2024'!$G$4:$G$1206,'январь 2024'!$D$4:$D$1206,$B38,'январь 2024'!$J$4:$J$1206,I$1)</f>
        <v>0</v>
      </c>
      <c r="J38" s="144">
        <f>SUMIFS('январь 2024'!$G$4:$G$1206,'январь 2024'!$D$4:$D$1206,$B38,'январь 2024'!$J$4:$J$1206,J$1)</f>
        <v>0</v>
      </c>
      <c r="K38" s="144">
        <f>SUMIFS('январь 2024'!$G$4:$G$1206,'январь 2024'!$D$4:$D$1206,$B38,'январь 2024'!$J$4:$J$1206,K$1)</f>
        <v>0</v>
      </c>
      <c r="L38" s="144">
        <f>SUMIFS('январь 2024'!$G$4:$G$1206,'январь 2024'!$D$4:$D$1206,$B38,'январь 2024'!$J$4:$J$1206,L$1)</f>
        <v>0</v>
      </c>
      <c r="M38" s="144">
        <f>SUMIFS('январь 2024'!$G$4:$G$1206,'январь 2024'!$D$4:$D$1206,$B38,'январь 2024'!$J$4:$J$1206,M$1)</f>
        <v>0</v>
      </c>
      <c r="N38" s="144">
        <f>SUMIFS('январь 2024'!$G$4:$G$1206,'январь 2024'!$D$4:$D$1206,$B38,'январь 2024'!$J$4:$J$1206,N$1)</f>
        <v>0</v>
      </c>
      <c r="O38" s="144">
        <f>SUMIFS('январь 2024'!$G$4:$G$1206,'январь 2024'!$D$4:$D$1206,$B38,'январь 2024'!$J$4:$J$1206,O$1)</f>
        <v>0</v>
      </c>
      <c r="P38" s="144">
        <f>SUMIFS('январь 2024'!$G$4:$G$1206,'январь 2024'!$D$4:$D$1206,$B38,'январь 2024'!$J$4:$J$1206,P$1)</f>
        <v>0</v>
      </c>
      <c r="Q38" s="144">
        <f>SUMIFS('январь 2024'!$G$4:$G$1206,'январь 2024'!$D$4:$D$1206,$B38,'январь 2024'!$J$4:$J$1206,Q$1)</f>
        <v>0</v>
      </c>
      <c r="R38" s="144">
        <f>SUMIFS('январь 2024'!$G$4:$G$1206,'январь 2024'!$D$4:$D$1206,$B38,'январь 2024'!$J$4:$J$1206,R$1)</f>
        <v>0</v>
      </c>
      <c r="S38" s="144">
        <f>SUMIFS('январь 2024'!$G$4:$G$1206,'январь 2024'!$D$4:$D$1206,$B38,'январь 2024'!$J$4:$J$1206,S$1)</f>
        <v>0</v>
      </c>
      <c r="T38" s="144">
        <f>SUMIFS('январь 2024'!$G$4:$G$1206,'январь 2024'!$D$4:$D$1206,$B38,'январь 2024'!$J$4:$J$1206,T$1)</f>
        <v>0</v>
      </c>
      <c r="U38" s="144">
        <f>SUMIFS('январь 2024'!$G$4:$G$1206,'январь 2024'!$D$4:$D$1206,$B38,'январь 2024'!$J$4:$J$1206,U$1)</f>
        <v>0</v>
      </c>
      <c r="V38" s="144">
        <f>SUMIFS('январь 2024'!$G$4:$G$1206,'январь 2024'!$D$4:$D$1206,$B38,'январь 2024'!$J$4:$J$1206,V$1)</f>
        <v>0</v>
      </c>
      <c r="W38" s="144">
        <f>SUMIFS('январь 2024'!$G$4:$G$1206,'январь 2024'!$D$4:$D$1206,$B38,'январь 2024'!$J$4:$J$1206,W$1)</f>
        <v>0</v>
      </c>
      <c r="X38" s="144">
        <f>SUMIFS('январь 2024'!$G$4:$G$1206,'январь 2024'!$D$4:$D$1206,$B38,'январь 2024'!$J$4:$J$1206,X$1)</f>
        <v>0</v>
      </c>
      <c r="Y38" s="144">
        <f>SUMIFS('январь 2024'!$G$4:$G$1206,'январь 2024'!$D$4:$D$1206,$B38,'январь 2024'!$J$4:$J$1206,Y$1)</f>
        <v>0</v>
      </c>
      <c r="Z38" s="144">
        <f>SUMIFS('январь 2024'!$G$4:$G$1206,'январь 2024'!$D$4:$D$1206,$B38,'январь 2024'!$J$4:$J$1206,Z$1)</f>
        <v>0</v>
      </c>
      <c r="AA38" s="144">
        <f>SUMIFS('январь 2024'!$G$4:$G$1206,'январь 2024'!$D$4:$D$1206,$B38,'январь 2024'!$J$4:$J$1206,AA$1)</f>
        <v>0</v>
      </c>
      <c r="AB38" s="144">
        <f>SUMIFS('январь 2024'!$G$4:$G$1206,'январь 2024'!$D$4:$D$1206,$B38,'январь 2024'!$J$4:$J$1206,AB$1)</f>
        <v>0</v>
      </c>
      <c r="AC38" s="144">
        <f>SUMIFS('январь 2024'!$G$4:$G$1206,'январь 2024'!$D$4:$D$1206,$B38,'январь 2024'!$J$4:$J$1206,AC$1)</f>
        <v>0</v>
      </c>
      <c r="AD38" s="144">
        <f>SUMIFS('январь 2024'!$G$4:$G$1206,'январь 2024'!$D$4:$D$1206,$B38,'январь 2024'!$J$4:$J$1206,AD$1)</f>
        <v>0</v>
      </c>
      <c r="AE38" s="144">
        <f>SUMIFS('январь 2024'!$G$4:$G$1206,'январь 2024'!$D$4:$D$1206,$B38,'январь 2024'!$J$4:$J$1206,AE$1)</f>
        <v>0</v>
      </c>
      <c r="AF38" s="144">
        <f>SUMIFS('январь 2024'!$G$4:$G$1206,'январь 2024'!$D$4:$D$1206,$B38,'январь 2024'!$J$4:$J$1206,AF$1)</f>
        <v>0</v>
      </c>
      <c r="AG38" s="144">
        <f>SUMIFS('январь 2024'!$G$4:$G$1206,'январь 2024'!$D$4:$D$1206,$B38,'январь 2024'!$J$4:$J$1206,AG$1)</f>
        <v>0</v>
      </c>
      <c r="AH38" s="144">
        <f>SUMIFS('январь 2024'!$G$4:$G$1206,'январь 2024'!$D$4:$D$1206,$B38,'январь 2024'!$J$4:$J$1206,AH$1)</f>
        <v>0</v>
      </c>
      <c r="AI38" s="145">
        <f t="shared" si="1"/>
        <v>0</v>
      </c>
    </row>
    <row r="39" spans="2:35" ht="15" customHeight="1" x14ac:dyDescent="0.25">
      <c r="B39" s="154" t="s">
        <v>292</v>
      </c>
      <c r="C39" s="151">
        <v>25</v>
      </c>
      <c r="D39" s="144">
        <f>SUMIFS('январь 2024'!$G$4:$G$1206,'январь 2024'!$D$4:$D$1206,$B39,'январь 2024'!$J$4:$J$1206,D$1)</f>
        <v>0</v>
      </c>
      <c r="E39" s="144">
        <f>SUMIFS('январь 2024'!$G$4:$G$1206,'январь 2024'!$D$4:$D$1206,$B39,'январь 2024'!$J$4:$J$1206,E$1)</f>
        <v>0</v>
      </c>
      <c r="F39" s="144">
        <f>SUMIFS('январь 2024'!$G$4:$G$1206,'январь 2024'!$D$4:$D$1206,$B39,'январь 2024'!$J$4:$J$1206,F$1)</f>
        <v>0</v>
      </c>
      <c r="G39" s="144">
        <f>SUMIFS('январь 2024'!$G$4:$G$1206,'январь 2024'!$D$4:$D$1206,$B39,'январь 2024'!$J$4:$J$1206,G$1)</f>
        <v>0</v>
      </c>
      <c r="H39" s="144">
        <f>SUMIFS('январь 2024'!$G$4:$G$1206,'январь 2024'!$D$4:$D$1206,$B39,'январь 2024'!$J$4:$J$1206,H$1)</f>
        <v>0</v>
      </c>
      <c r="I39" s="144">
        <f>SUMIFS('январь 2024'!$G$4:$G$1206,'январь 2024'!$D$4:$D$1206,$B39,'январь 2024'!$J$4:$J$1206,I$1)</f>
        <v>0</v>
      </c>
      <c r="J39" s="144">
        <f>SUMIFS('январь 2024'!$G$4:$G$1206,'январь 2024'!$D$4:$D$1206,$B39,'январь 2024'!$J$4:$J$1206,J$1)</f>
        <v>0</v>
      </c>
      <c r="K39" s="144">
        <f>SUMIFS('январь 2024'!$G$4:$G$1206,'январь 2024'!$D$4:$D$1206,$B39,'январь 2024'!$J$4:$J$1206,K$1)</f>
        <v>0</v>
      </c>
      <c r="L39" s="144">
        <f>SUMIFS('январь 2024'!$G$4:$G$1206,'январь 2024'!$D$4:$D$1206,$B39,'январь 2024'!$J$4:$J$1206,L$1)</f>
        <v>0</v>
      </c>
      <c r="M39" s="144">
        <f>SUMIFS('январь 2024'!$G$4:$G$1206,'январь 2024'!$D$4:$D$1206,$B39,'январь 2024'!$J$4:$J$1206,M$1)</f>
        <v>0</v>
      </c>
      <c r="N39" s="144">
        <f>SUMIFS('январь 2024'!$G$4:$G$1206,'январь 2024'!$D$4:$D$1206,$B39,'январь 2024'!$J$4:$J$1206,N$1)</f>
        <v>0</v>
      </c>
      <c r="O39" s="144">
        <f>SUMIFS('январь 2024'!$G$4:$G$1206,'январь 2024'!$D$4:$D$1206,$B39,'январь 2024'!$J$4:$J$1206,O$1)</f>
        <v>0</v>
      </c>
      <c r="P39" s="144">
        <f>SUMIFS('январь 2024'!$G$4:$G$1206,'январь 2024'!$D$4:$D$1206,$B39,'январь 2024'!$J$4:$J$1206,P$1)</f>
        <v>0</v>
      </c>
      <c r="Q39" s="144">
        <f>SUMIFS('январь 2024'!$G$4:$G$1206,'январь 2024'!$D$4:$D$1206,$B39,'январь 2024'!$J$4:$J$1206,Q$1)</f>
        <v>0</v>
      </c>
      <c r="R39" s="144">
        <f>SUMIFS('январь 2024'!$G$4:$G$1206,'январь 2024'!$D$4:$D$1206,$B39,'январь 2024'!$J$4:$J$1206,R$1)</f>
        <v>0</v>
      </c>
      <c r="S39" s="144">
        <f>SUMIFS('январь 2024'!$G$4:$G$1206,'январь 2024'!$D$4:$D$1206,$B39,'январь 2024'!$J$4:$J$1206,S$1)</f>
        <v>0</v>
      </c>
      <c r="T39" s="144">
        <f>SUMIFS('январь 2024'!$G$4:$G$1206,'январь 2024'!$D$4:$D$1206,$B39,'январь 2024'!$J$4:$J$1206,T$1)</f>
        <v>0</v>
      </c>
      <c r="U39" s="144">
        <f>SUMIFS('январь 2024'!$G$4:$G$1206,'январь 2024'!$D$4:$D$1206,$B39,'январь 2024'!$J$4:$J$1206,U$1)</f>
        <v>0</v>
      </c>
      <c r="V39" s="144">
        <f>SUMIFS('январь 2024'!$G$4:$G$1206,'январь 2024'!$D$4:$D$1206,$B39,'январь 2024'!$J$4:$J$1206,V$1)</f>
        <v>0</v>
      </c>
      <c r="W39" s="144">
        <f>SUMIFS('январь 2024'!$G$4:$G$1206,'январь 2024'!$D$4:$D$1206,$B39,'январь 2024'!$J$4:$J$1206,W$1)</f>
        <v>0</v>
      </c>
      <c r="X39" s="144">
        <f>SUMIFS('январь 2024'!$G$4:$G$1206,'январь 2024'!$D$4:$D$1206,$B39,'январь 2024'!$J$4:$J$1206,X$1)</f>
        <v>0</v>
      </c>
      <c r="Y39" s="144">
        <f>SUMIFS('январь 2024'!$G$4:$G$1206,'январь 2024'!$D$4:$D$1206,$B39,'январь 2024'!$J$4:$J$1206,Y$1)</f>
        <v>0</v>
      </c>
      <c r="Z39" s="144">
        <f>SUMIFS('январь 2024'!$G$4:$G$1206,'январь 2024'!$D$4:$D$1206,$B39,'январь 2024'!$J$4:$J$1206,Z$1)</f>
        <v>0</v>
      </c>
      <c r="AA39" s="144">
        <f>SUMIFS('январь 2024'!$G$4:$G$1206,'январь 2024'!$D$4:$D$1206,$B39,'январь 2024'!$J$4:$J$1206,AA$1)</f>
        <v>0</v>
      </c>
      <c r="AB39" s="144">
        <f>SUMIFS('январь 2024'!$G$4:$G$1206,'январь 2024'!$D$4:$D$1206,$B39,'январь 2024'!$J$4:$J$1206,AB$1)</f>
        <v>0</v>
      </c>
      <c r="AC39" s="144">
        <f>SUMIFS('январь 2024'!$G$4:$G$1206,'январь 2024'!$D$4:$D$1206,$B39,'январь 2024'!$J$4:$J$1206,AC$1)</f>
        <v>0</v>
      </c>
      <c r="AD39" s="144">
        <f>SUMIFS('январь 2024'!$G$4:$G$1206,'январь 2024'!$D$4:$D$1206,$B39,'январь 2024'!$J$4:$J$1206,AD$1)</f>
        <v>0</v>
      </c>
      <c r="AE39" s="144">
        <f>SUMIFS('январь 2024'!$G$4:$G$1206,'январь 2024'!$D$4:$D$1206,$B39,'январь 2024'!$J$4:$J$1206,AE$1)</f>
        <v>0</v>
      </c>
      <c r="AF39" s="144">
        <f>SUMIFS('январь 2024'!$G$4:$G$1206,'январь 2024'!$D$4:$D$1206,$B39,'январь 2024'!$J$4:$J$1206,AF$1)</f>
        <v>0</v>
      </c>
      <c r="AG39" s="144">
        <f>SUMIFS('январь 2024'!$G$4:$G$1206,'январь 2024'!$D$4:$D$1206,$B39,'январь 2024'!$J$4:$J$1206,AG$1)</f>
        <v>0</v>
      </c>
      <c r="AH39" s="144">
        <f>SUMIFS('январь 2024'!$G$4:$G$1206,'январь 2024'!$D$4:$D$1206,$B39,'январь 2024'!$J$4:$J$1206,AH$1)</f>
        <v>0</v>
      </c>
      <c r="AI39" s="145">
        <f t="shared" si="1"/>
        <v>0</v>
      </c>
    </row>
    <row r="40" spans="2:35" ht="15" customHeight="1" x14ac:dyDescent="0.25">
      <c r="B40" s="150" t="s">
        <v>294</v>
      </c>
      <c r="C40" s="153">
        <v>25</v>
      </c>
      <c r="D40" s="144">
        <f>SUMIFS('январь 2024'!$G$4:$G$1206,'январь 2024'!$D$4:$D$1206,$B40,'январь 2024'!$J$4:$J$1206,D$1)</f>
        <v>0</v>
      </c>
      <c r="E40" s="144">
        <f>SUMIFS('январь 2024'!$G$4:$G$1206,'январь 2024'!$D$4:$D$1206,$B40,'январь 2024'!$J$4:$J$1206,E$1)</f>
        <v>0</v>
      </c>
      <c r="F40" s="144">
        <f>SUMIFS('январь 2024'!$G$4:$G$1206,'январь 2024'!$D$4:$D$1206,$B40,'январь 2024'!$J$4:$J$1206,F$1)</f>
        <v>0</v>
      </c>
      <c r="G40" s="144">
        <f>SUMIFS('январь 2024'!$G$4:$G$1206,'январь 2024'!$D$4:$D$1206,$B40,'январь 2024'!$J$4:$J$1206,G$1)</f>
        <v>0</v>
      </c>
      <c r="H40" s="144">
        <f>SUMIFS('январь 2024'!$G$4:$G$1206,'январь 2024'!$D$4:$D$1206,$B40,'январь 2024'!$J$4:$J$1206,H$1)</f>
        <v>0</v>
      </c>
      <c r="I40" s="144">
        <f>SUMIFS('январь 2024'!$G$4:$G$1206,'январь 2024'!$D$4:$D$1206,$B40,'январь 2024'!$J$4:$J$1206,I$1)</f>
        <v>0</v>
      </c>
      <c r="J40" s="144">
        <f>SUMIFS('январь 2024'!$G$4:$G$1206,'январь 2024'!$D$4:$D$1206,$B40,'январь 2024'!$J$4:$J$1206,J$1)</f>
        <v>0</v>
      </c>
      <c r="K40" s="144">
        <f>SUMIFS('январь 2024'!$G$4:$G$1206,'январь 2024'!$D$4:$D$1206,$B40,'январь 2024'!$J$4:$J$1206,K$1)</f>
        <v>0</v>
      </c>
      <c r="L40" s="144">
        <f>SUMIFS('январь 2024'!$G$4:$G$1206,'январь 2024'!$D$4:$D$1206,$B40,'январь 2024'!$J$4:$J$1206,L$1)</f>
        <v>0</v>
      </c>
      <c r="M40" s="144">
        <f>SUMIFS('январь 2024'!$G$4:$G$1206,'январь 2024'!$D$4:$D$1206,$B40,'январь 2024'!$J$4:$J$1206,M$1)</f>
        <v>0</v>
      </c>
      <c r="N40" s="144">
        <f>SUMIFS('январь 2024'!$G$4:$G$1206,'январь 2024'!$D$4:$D$1206,$B40,'январь 2024'!$J$4:$J$1206,N$1)</f>
        <v>0</v>
      </c>
      <c r="O40" s="144">
        <f>SUMIFS('январь 2024'!$G$4:$G$1206,'январь 2024'!$D$4:$D$1206,$B40,'январь 2024'!$J$4:$J$1206,O$1)</f>
        <v>0</v>
      </c>
      <c r="P40" s="144">
        <f>SUMIFS('январь 2024'!$G$4:$G$1206,'январь 2024'!$D$4:$D$1206,$B40,'январь 2024'!$J$4:$J$1206,P$1)</f>
        <v>0</v>
      </c>
      <c r="Q40" s="144">
        <f>SUMIFS('январь 2024'!$G$4:$G$1206,'январь 2024'!$D$4:$D$1206,$B40,'январь 2024'!$J$4:$J$1206,Q$1)</f>
        <v>0</v>
      </c>
      <c r="R40" s="144">
        <f>SUMIFS('январь 2024'!$G$4:$G$1206,'январь 2024'!$D$4:$D$1206,$B40,'январь 2024'!$J$4:$J$1206,R$1)</f>
        <v>0</v>
      </c>
      <c r="S40" s="144">
        <f>SUMIFS('январь 2024'!$G$4:$G$1206,'январь 2024'!$D$4:$D$1206,$B40,'январь 2024'!$J$4:$J$1206,S$1)</f>
        <v>0</v>
      </c>
      <c r="T40" s="144">
        <f>SUMIFS('январь 2024'!$G$4:$G$1206,'январь 2024'!$D$4:$D$1206,$B40,'январь 2024'!$J$4:$J$1206,T$1)</f>
        <v>0</v>
      </c>
      <c r="U40" s="144">
        <f>SUMIFS('январь 2024'!$G$4:$G$1206,'январь 2024'!$D$4:$D$1206,$B40,'январь 2024'!$J$4:$J$1206,U$1)</f>
        <v>0</v>
      </c>
      <c r="V40" s="144">
        <f>SUMIFS('январь 2024'!$G$4:$G$1206,'январь 2024'!$D$4:$D$1206,$B40,'январь 2024'!$J$4:$J$1206,V$1)</f>
        <v>0</v>
      </c>
      <c r="W40" s="144">
        <f>SUMIFS('январь 2024'!$G$4:$G$1206,'январь 2024'!$D$4:$D$1206,$B40,'январь 2024'!$J$4:$J$1206,W$1)</f>
        <v>0</v>
      </c>
      <c r="X40" s="144">
        <f>SUMIFS('январь 2024'!$G$4:$G$1206,'январь 2024'!$D$4:$D$1206,$B40,'январь 2024'!$J$4:$J$1206,X$1)</f>
        <v>0</v>
      </c>
      <c r="Y40" s="144">
        <f>SUMIFS('январь 2024'!$G$4:$G$1206,'январь 2024'!$D$4:$D$1206,$B40,'январь 2024'!$J$4:$J$1206,Y$1)</f>
        <v>0</v>
      </c>
      <c r="Z40" s="144">
        <f>SUMIFS('январь 2024'!$G$4:$G$1206,'январь 2024'!$D$4:$D$1206,$B40,'январь 2024'!$J$4:$J$1206,Z$1)</f>
        <v>0</v>
      </c>
      <c r="AA40" s="144">
        <f>SUMIFS('январь 2024'!$G$4:$G$1206,'январь 2024'!$D$4:$D$1206,$B40,'январь 2024'!$J$4:$J$1206,AA$1)</f>
        <v>0</v>
      </c>
      <c r="AB40" s="144">
        <f>SUMIFS('январь 2024'!$G$4:$G$1206,'январь 2024'!$D$4:$D$1206,$B40,'январь 2024'!$J$4:$J$1206,AB$1)</f>
        <v>0</v>
      </c>
      <c r="AC40" s="144">
        <f>SUMIFS('январь 2024'!$G$4:$G$1206,'январь 2024'!$D$4:$D$1206,$B40,'январь 2024'!$J$4:$J$1206,AC$1)</f>
        <v>0</v>
      </c>
      <c r="AD40" s="144">
        <f>SUMIFS('январь 2024'!$G$4:$G$1206,'январь 2024'!$D$4:$D$1206,$B40,'январь 2024'!$J$4:$J$1206,AD$1)</f>
        <v>0</v>
      </c>
      <c r="AE40" s="144">
        <f>SUMIFS('январь 2024'!$G$4:$G$1206,'январь 2024'!$D$4:$D$1206,$B40,'январь 2024'!$J$4:$J$1206,AE$1)</f>
        <v>0</v>
      </c>
      <c r="AF40" s="144">
        <f>SUMIFS('январь 2024'!$G$4:$G$1206,'январь 2024'!$D$4:$D$1206,$B40,'январь 2024'!$J$4:$J$1206,AF$1)</f>
        <v>0</v>
      </c>
      <c r="AG40" s="144">
        <f>SUMIFS('январь 2024'!$G$4:$G$1206,'январь 2024'!$D$4:$D$1206,$B40,'январь 2024'!$J$4:$J$1206,AG$1)</f>
        <v>0</v>
      </c>
      <c r="AH40" s="144">
        <f>SUMIFS('январь 2024'!$G$4:$G$1206,'январь 2024'!$D$4:$D$1206,$B40,'январь 2024'!$J$4:$J$1206,AH$1)</f>
        <v>0</v>
      </c>
      <c r="AI40" s="145">
        <f t="shared" si="1"/>
        <v>0</v>
      </c>
    </row>
    <row r="41" spans="2:35" ht="15" customHeight="1" x14ac:dyDescent="0.25">
      <c r="B41" s="154" t="s">
        <v>468</v>
      </c>
      <c r="C41" s="170">
        <v>25</v>
      </c>
      <c r="D41" s="144">
        <f>SUMIFS('январь 2024'!$G$4:$G$1206,'январь 2024'!$D$4:$D$1206,$B41,'январь 2024'!$J$4:$J$1206,D$1)</f>
        <v>0</v>
      </c>
      <c r="E41" s="144">
        <f>SUMIFS('январь 2024'!$G$4:$G$1206,'январь 2024'!$D$4:$D$1206,$B41,'январь 2024'!$J$4:$J$1206,E$1)</f>
        <v>0</v>
      </c>
      <c r="F41" s="144">
        <f>SUMIFS('январь 2024'!$G$4:$G$1206,'январь 2024'!$D$4:$D$1206,$B41,'январь 2024'!$J$4:$J$1206,F$1)</f>
        <v>0</v>
      </c>
      <c r="G41" s="144">
        <f>SUMIFS('январь 2024'!$G$4:$G$1206,'январь 2024'!$D$4:$D$1206,$B41,'январь 2024'!$J$4:$J$1206,G$1)</f>
        <v>0</v>
      </c>
      <c r="H41" s="144">
        <f>SUMIFS('январь 2024'!$G$4:$G$1206,'январь 2024'!$D$4:$D$1206,$B41,'январь 2024'!$J$4:$J$1206,H$1)</f>
        <v>0</v>
      </c>
      <c r="I41" s="144">
        <f>SUMIFS('январь 2024'!$G$4:$G$1206,'январь 2024'!$D$4:$D$1206,$B41,'январь 2024'!$J$4:$J$1206,I$1)</f>
        <v>0</v>
      </c>
      <c r="J41" s="144">
        <f>SUMIFS('январь 2024'!$G$4:$G$1206,'январь 2024'!$D$4:$D$1206,$B41,'январь 2024'!$J$4:$J$1206,J$1)</f>
        <v>0</v>
      </c>
      <c r="K41" s="144">
        <f>SUMIFS('январь 2024'!$G$4:$G$1206,'январь 2024'!$D$4:$D$1206,$B41,'январь 2024'!$J$4:$J$1206,K$1)</f>
        <v>0</v>
      </c>
      <c r="L41" s="144">
        <f>SUMIFS('январь 2024'!$G$4:$G$1206,'январь 2024'!$D$4:$D$1206,$B41,'январь 2024'!$J$4:$J$1206,L$1)</f>
        <v>0</v>
      </c>
      <c r="M41" s="144">
        <f>SUMIFS('январь 2024'!$G$4:$G$1206,'январь 2024'!$D$4:$D$1206,$B41,'январь 2024'!$J$4:$J$1206,M$1)</f>
        <v>0</v>
      </c>
      <c r="N41" s="144">
        <f>SUMIFS('январь 2024'!$G$4:$G$1206,'январь 2024'!$D$4:$D$1206,$B41,'январь 2024'!$J$4:$J$1206,N$1)</f>
        <v>0</v>
      </c>
      <c r="O41" s="144">
        <f>SUMIFS('январь 2024'!$G$4:$G$1206,'январь 2024'!$D$4:$D$1206,$B41,'январь 2024'!$J$4:$J$1206,O$1)</f>
        <v>0</v>
      </c>
      <c r="P41" s="144">
        <f>SUMIFS('январь 2024'!$G$4:$G$1206,'январь 2024'!$D$4:$D$1206,$B41,'январь 2024'!$J$4:$J$1206,P$1)</f>
        <v>0</v>
      </c>
      <c r="Q41" s="144">
        <f>SUMIFS('январь 2024'!$G$4:$G$1206,'январь 2024'!$D$4:$D$1206,$B41,'январь 2024'!$J$4:$J$1206,Q$1)</f>
        <v>0</v>
      </c>
      <c r="R41" s="144">
        <f>SUMIFS('январь 2024'!$G$4:$G$1206,'январь 2024'!$D$4:$D$1206,$B41,'январь 2024'!$J$4:$J$1206,R$1)</f>
        <v>0</v>
      </c>
      <c r="S41" s="144">
        <f>SUMIFS('январь 2024'!$G$4:$G$1206,'январь 2024'!$D$4:$D$1206,$B41,'январь 2024'!$J$4:$J$1206,S$1)</f>
        <v>0</v>
      </c>
      <c r="T41" s="144">
        <f>SUMIFS('январь 2024'!$G$4:$G$1206,'январь 2024'!$D$4:$D$1206,$B41,'январь 2024'!$J$4:$J$1206,T$1)</f>
        <v>0</v>
      </c>
      <c r="U41" s="144">
        <f>SUMIFS('январь 2024'!$G$4:$G$1206,'январь 2024'!$D$4:$D$1206,$B41,'январь 2024'!$J$4:$J$1206,U$1)</f>
        <v>0</v>
      </c>
      <c r="V41" s="144">
        <f>SUMIFS('январь 2024'!$G$4:$G$1206,'январь 2024'!$D$4:$D$1206,$B41,'январь 2024'!$J$4:$J$1206,V$1)</f>
        <v>0</v>
      </c>
      <c r="W41" s="144">
        <f>SUMIFS('январь 2024'!$G$4:$G$1206,'январь 2024'!$D$4:$D$1206,$B41,'январь 2024'!$J$4:$J$1206,W$1)</f>
        <v>0</v>
      </c>
      <c r="X41" s="144">
        <f>SUMIFS('январь 2024'!$G$4:$G$1206,'январь 2024'!$D$4:$D$1206,$B41,'январь 2024'!$J$4:$J$1206,X$1)</f>
        <v>0</v>
      </c>
      <c r="Y41" s="144">
        <f>SUMIFS('январь 2024'!$G$4:$G$1206,'январь 2024'!$D$4:$D$1206,$B41,'январь 2024'!$J$4:$J$1206,Y$1)</f>
        <v>0</v>
      </c>
      <c r="Z41" s="144">
        <f>SUMIFS('январь 2024'!$G$4:$G$1206,'январь 2024'!$D$4:$D$1206,$B41,'январь 2024'!$J$4:$J$1206,Z$1)</f>
        <v>0</v>
      </c>
      <c r="AA41" s="144">
        <f>SUMIFS('январь 2024'!$G$4:$G$1206,'январь 2024'!$D$4:$D$1206,$B41,'январь 2024'!$J$4:$J$1206,AA$1)</f>
        <v>0</v>
      </c>
      <c r="AB41" s="144">
        <f>SUMIFS('январь 2024'!$G$4:$G$1206,'январь 2024'!$D$4:$D$1206,$B41,'январь 2024'!$J$4:$J$1206,AB$1)</f>
        <v>0</v>
      </c>
      <c r="AC41" s="144">
        <f>SUMIFS('январь 2024'!$G$4:$G$1206,'январь 2024'!$D$4:$D$1206,$B41,'январь 2024'!$J$4:$J$1206,AC$1)</f>
        <v>0</v>
      </c>
      <c r="AD41" s="144">
        <f>SUMIFS('январь 2024'!$G$4:$G$1206,'январь 2024'!$D$4:$D$1206,$B41,'январь 2024'!$J$4:$J$1206,AD$1)</f>
        <v>0</v>
      </c>
      <c r="AE41" s="144">
        <f>SUMIFS('январь 2024'!$G$4:$G$1206,'январь 2024'!$D$4:$D$1206,$B41,'январь 2024'!$J$4:$J$1206,AE$1)</f>
        <v>0</v>
      </c>
      <c r="AF41" s="144">
        <f>SUMIFS('январь 2024'!$G$4:$G$1206,'январь 2024'!$D$4:$D$1206,$B41,'январь 2024'!$J$4:$J$1206,AF$1)</f>
        <v>0</v>
      </c>
      <c r="AG41" s="144">
        <f>SUMIFS('январь 2024'!$G$4:$G$1206,'январь 2024'!$D$4:$D$1206,$B41,'январь 2024'!$J$4:$J$1206,AG$1)</f>
        <v>0</v>
      </c>
      <c r="AH41" s="144">
        <f>SUMIFS('январь 2024'!$G$4:$G$1206,'январь 2024'!$D$4:$D$1206,$B41,'январь 2024'!$J$4:$J$1206,AH$1)</f>
        <v>0</v>
      </c>
      <c r="AI41" s="145">
        <f>SUM(D41:AH41)</f>
        <v>0</v>
      </c>
    </row>
    <row r="42" spans="2:35" ht="15" customHeight="1" x14ac:dyDescent="0.25">
      <c r="B42" s="154" t="s">
        <v>296</v>
      </c>
      <c r="C42" s="151">
        <v>25</v>
      </c>
      <c r="D42" s="144">
        <f>SUMIFS('январь 2024'!$G$4:$G$1206,'январь 2024'!$D$4:$D$1206,$B42,'январь 2024'!$J$4:$J$1206,D$1)</f>
        <v>0</v>
      </c>
      <c r="E42" s="144">
        <f>SUMIFS('январь 2024'!$G$4:$G$1206,'январь 2024'!$D$4:$D$1206,$B42,'январь 2024'!$J$4:$J$1206,E$1)</f>
        <v>0</v>
      </c>
      <c r="F42" s="144">
        <f>SUMIFS('январь 2024'!$G$4:$G$1206,'январь 2024'!$D$4:$D$1206,$B42,'январь 2024'!$J$4:$J$1206,F$1)</f>
        <v>0</v>
      </c>
      <c r="G42" s="144">
        <f>SUMIFS('январь 2024'!$G$4:$G$1206,'январь 2024'!$D$4:$D$1206,$B42,'январь 2024'!$J$4:$J$1206,G$1)</f>
        <v>0</v>
      </c>
      <c r="H42" s="144">
        <f>SUMIFS('январь 2024'!$G$4:$G$1206,'январь 2024'!$D$4:$D$1206,$B42,'январь 2024'!$J$4:$J$1206,H$1)</f>
        <v>0</v>
      </c>
      <c r="I42" s="144">
        <f>SUMIFS('январь 2024'!$G$4:$G$1206,'январь 2024'!$D$4:$D$1206,$B42,'январь 2024'!$J$4:$J$1206,I$1)</f>
        <v>0</v>
      </c>
      <c r="J42" s="144">
        <f>SUMIFS('январь 2024'!$G$4:$G$1206,'январь 2024'!$D$4:$D$1206,$B42,'январь 2024'!$J$4:$J$1206,J$1)</f>
        <v>0</v>
      </c>
      <c r="K42" s="144">
        <f>SUMIFS('январь 2024'!$G$4:$G$1206,'январь 2024'!$D$4:$D$1206,$B42,'январь 2024'!$J$4:$J$1206,K$1)</f>
        <v>0</v>
      </c>
      <c r="L42" s="144">
        <f>SUMIFS('январь 2024'!$G$4:$G$1206,'январь 2024'!$D$4:$D$1206,$B42,'январь 2024'!$J$4:$J$1206,L$1)</f>
        <v>0</v>
      </c>
      <c r="M42" s="144">
        <f>SUMIFS('январь 2024'!$G$4:$G$1206,'январь 2024'!$D$4:$D$1206,$B42,'январь 2024'!$J$4:$J$1206,M$1)</f>
        <v>0</v>
      </c>
      <c r="N42" s="144">
        <f>SUMIFS('январь 2024'!$G$4:$G$1206,'январь 2024'!$D$4:$D$1206,$B42,'январь 2024'!$J$4:$J$1206,N$1)</f>
        <v>0</v>
      </c>
      <c r="O42" s="144">
        <f>SUMIFS('январь 2024'!$G$4:$G$1206,'январь 2024'!$D$4:$D$1206,$B42,'январь 2024'!$J$4:$J$1206,O$1)</f>
        <v>0</v>
      </c>
      <c r="P42" s="144">
        <f>SUMIFS('январь 2024'!$G$4:$G$1206,'январь 2024'!$D$4:$D$1206,$B42,'январь 2024'!$J$4:$J$1206,P$1)</f>
        <v>0</v>
      </c>
      <c r="Q42" s="144">
        <f>SUMIFS('январь 2024'!$G$4:$G$1206,'январь 2024'!$D$4:$D$1206,$B42,'январь 2024'!$J$4:$J$1206,Q$1)</f>
        <v>0</v>
      </c>
      <c r="R42" s="144">
        <f>SUMIFS('январь 2024'!$G$4:$G$1206,'январь 2024'!$D$4:$D$1206,$B42,'январь 2024'!$J$4:$J$1206,R$1)</f>
        <v>400</v>
      </c>
      <c r="S42" s="144">
        <f>SUMIFS('январь 2024'!$G$4:$G$1206,'январь 2024'!$D$4:$D$1206,$B42,'январь 2024'!$J$4:$J$1206,S$1)</f>
        <v>0</v>
      </c>
      <c r="T42" s="144">
        <f>SUMIFS('январь 2024'!$G$4:$G$1206,'январь 2024'!$D$4:$D$1206,$B42,'январь 2024'!$J$4:$J$1206,T$1)</f>
        <v>0</v>
      </c>
      <c r="U42" s="144">
        <f>SUMIFS('январь 2024'!$G$4:$G$1206,'январь 2024'!$D$4:$D$1206,$B42,'январь 2024'!$J$4:$J$1206,U$1)</f>
        <v>0</v>
      </c>
      <c r="V42" s="144">
        <f>SUMIFS('январь 2024'!$G$4:$G$1206,'январь 2024'!$D$4:$D$1206,$B42,'январь 2024'!$J$4:$J$1206,V$1)</f>
        <v>600</v>
      </c>
      <c r="W42" s="144">
        <f>SUMIFS('январь 2024'!$G$4:$G$1206,'январь 2024'!$D$4:$D$1206,$B42,'январь 2024'!$J$4:$J$1206,W$1)</f>
        <v>0</v>
      </c>
      <c r="X42" s="144">
        <f>SUMIFS('январь 2024'!$G$4:$G$1206,'январь 2024'!$D$4:$D$1206,$B42,'январь 2024'!$J$4:$J$1206,X$1)</f>
        <v>0</v>
      </c>
      <c r="Y42" s="144">
        <f>SUMIFS('январь 2024'!$G$4:$G$1206,'январь 2024'!$D$4:$D$1206,$B42,'январь 2024'!$J$4:$J$1206,Y$1)</f>
        <v>0</v>
      </c>
      <c r="Z42" s="144">
        <f>SUMIFS('январь 2024'!$G$4:$G$1206,'январь 2024'!$D$4:$D$1206,$B42,'январь 2024'!$J$4:$J$1206,Z$1)</f>
        <v>0</v>
      </c>
      <c r="AA42" s="144">
        <f>SUMIFS('январь 2024'!$G$4:$G$1206,'январь 2024'!$D$4:$D$1206,$B42,'январь 2024'!$J$4:$J$1206,AA$1)</f>
        <v>0</v>
      </c>
      <c r="AB42" s="144">
        <f>SUMIFS('январь 2024'!$G$4:$G$1206,'январь 2024'!$D$4:$D$1206,$B42,'январь 2024'!$J$4:$J$1206,AB$1)</f>
        <v>0</v>
      </c>
      <c r="AC42" s="144">
        <f>SUMIFS('январь 2024'!$G$4:$G$1206,'январь 2024'!$D$4:$D$1206,$B42,'январь 2024'!$J$4:$J$1206,AC$1)</f>
        <v>0</v>
      </c>
      <c r="AD42" s="144">
        <f>SUMIFS('январь 2024'!$G$4:$G$1206,'январь 2024'!$D$4:$D$1206,$B42,'январь 2024'!$J$4:$J$1206,AD$1)</f>
        <v>0</v>
      </c>
      <c r="AE42" s="144">
        <f>SUMIFS('январь 2024'!$G$4:$G$1206,'январь 2024'!$D$4:$D$1206,$B42,'январь 2024'!$J$4:$J$1206,AE$1)</f>
        <v>0</v>
      </c>
      <c r="AF42" s="144">
        <f>SUMIFS('январь 2024'!$G$4:$G$1206,'январь 2024'!$D$4:$D$1206,$B42,'январь 2024'!$J$4:$J$1206,AF$1)</f>
        <v>0</v>
      </c>
      <c r="AG42" s="144">
        <f>SUMIFS('январь 2024'!$G$4:$G$1206,'январь 2024'!$D$4:$D$1206,$B42,'январь 2024'!$J$4:$J$1206,AG$1)</f>
        <v>0</v>
      </c>
      <c r="AH42" s="144">
        <f>SUMIFS('январь 2024'!$G$4:$G$1206,'январь 2024'!$D$4:$D$1206,$B42,'январь 2024'!$J$4:$J$1206,AH$1)</f>
        <v>0</v>
      </c>
      <c r="AI42" s="145">
        <f t="shared" si="1"/>
        <v>1000</v>
      </c>
    </row>
    <row r="43" spans="2:35" ht="15" customHeight="1" x14ac:dyDescent="0.25">
      <c r="B43" s="154" t="s">
        <v>298</v>
      </c>
      <c r="C43" s="151">
        <v>18</v>
      </c>
      <c r="D43" s="144">
        <f>SUMIFS('январь 2024'!$G$4:$G$1206,'январь 2024'!$D$4:$D$1206,$B43,'январь 2024'!$J$4:$J$1206,D$1)</f>
        <v>0</v>
      </c>
      <c r="E43" s="144">
        <f>SUMIFS('январь 2024'!$G$4:$G$1206,'январь 2024'!$D$4:$D$1206,$B43,'январь 2024'!$J$4:$J$1206,E$1)</f>
        <v>0</v>
      </c>
      <c r="F43" s="144">
        <f>SUMIFS('январь 2024'!$G$4:$G$1206,'январь 2024'!$D$4:$D$1206,$B43,'январь 2024'!$J$4:$J$1206,F$1)</f>
        <v>0</v>
      </c>
      <c r="G43" s="144">
        <f>SUMIFS('январь 2024'!$G$4:$G$1206,'январь 2024'!$D$4:$D$1206,$B43,'январь 2024'!$J$4:$J$1206,G$1)</f>
        <v>0</v>
      </c>
      <c r="H43" s="144">
        <f>SUMIFS('январь 2024'!$G$4:$G$1206,'январь 2024'!$D$4:$D$1206,$B43,'январь 2024'!$J$4:$J$1206,H$1)</f>
        <v>0</v>
      </c>
      <c r="I43" s="144">
        <f>SUMIFS('январь 2024'!$G$4:$G$1206,'январь 2024'!$D$4:$D$1206,$B43,'январь 2024'!$J$4:$J$1206,I$1)</f>
        <v>0</v>
      </c>
      <c r="J43" s="144">
        <f>SUMIFS('январь 2024'!$G$4:$G$1206,'январь 2024'!$D$4:$D$1206,$B43,'январь 2024'!$J$4:$J$1206,J$1)</f>
        <v>0</v>
      </c>
      <c r="K43" s="144">
        <f>SUMIFS('январь 2024'!$G$4:$G$1206,'январь 2024'!$D$4:$D$1206,$B43,'январь 2024'!$J$4:$J$1206,K$1)</f>
        <v>0</v>
      </c>
      <c r="L43" s="144">
        <f>SUMIFS('январь 2024'!$G$4:$G$1206,'январь 2024'!$D$4:$D$1206,$B43,'январь 2024'!$J$4:$J$1206,L$1)</f>
        <v>0</v>
      </c>
      <c r="M43" s="144">
        <f>SUMIFS('январь 2024'!$G$4:$G$1206,'январь 2024'!$D$4:$D$1206,$B43,'январь 2024'!$J$4:$J$1206,M$1)</f>
        <v>0</v>
      </c>
      <c r="N43" s="144">
        <f>SUMIFS('январь 2024'!$G$4:$G$1206,'январь 2024'!$D$4:$D$1206,$B43,'январь 2024'!$J$4:$J$1206,N$1)</f>
        <v>0</v>
      </c>
      <c r="O43" s="144">
        <f>SUMIFS('январь 2024'!$G$4:$G$1206,'январь 2024'!$D$4:$D$1206,$B43,'январь 2024'!$J$4:$J$1206,O$1)</f>
        <v>0</v>
      </c>
      <c r="P43" s="144">
        <f>SUMIFS('январь 2024'!$G$4:$G$1206,'январь 2024'!$D$4:$D$1206,$B43,'январь 2024'!$J$4:$J$1206,P$1)</f>
        <v>0</v>
      </c>
      <c r="Q43" s="144">
        <f>SUMIFS('январь 2024'!$G$4:$G$1206,'январь 2024'!$D$4:$D$1206,$B43,'январь 2024'!$J$4:$J$1206,Q$1)</f>
        <v>0</v>
      </c>
      <c r="R43" s="144">
        <f>SUMIFS('январь 2024'!$G$4:$G$1206,'январь 2024'!$D$4:$D$1206,$B43,'январь 2024'!$J$4:$J$1206,R$1)</f>
        <v>0</v>
      </c>
      <c r="S43" s="144">
        <f>SUMIFS('январь 2024'!$G$4:$G$1206,'январь 2024'!$D$4:$D$1206,$B43,'январь 2024'!$J$4:$J$1206,S$1)</f>
        <v>0</v>
      </c>
      <c r="T43" s="144">
        <f>SUMIFS('январь 2024'!$G$4:$G$1206,'январь 2024'!$D$4:$D$1206,$B43,'январь 2024'!$J$4:$J$1206,T$1)</f>
        <v>0</v>
      </c>
      <c r="U43" s="144">
        <f>SUMIFS('январь 2024'!$G$4:$G$1206,'январь 2024'!$D$4:$D$1206,$B43,'январь 2024'!$J$4:$J$1206,U$1)</f>
        <v>0</v>
      </c>
      <c r="V43" s="144">
        <f>SUMIFS('январь 2024'!$G$4:$G$1206,'январь 2024'!$D$4:$D$1206,$B43,'январь 2024'!$J$4:$J$1206,V$1)</f>
        <v>0</v>
      </c>
      <c r="W43" s="144">
        <f>SUMIFS('январь 2024'!$G$4:$G$1206,'январь 2024'!$D$4:$D$1206,$B43,'январь 2024'!$J$4:$J$1206,W$1)</f>
        <v>0</v>
      </c>
      <c r="X43" s="144">
        <f>SUMIFS('январь 2024'!$G$4:$G$1206,'январь 2024'!$D$4:$D$1206,$B43,'январь 2024'!$J$4:$J$1206,X$1)</f>
        <v>0</v>
      </c>
      <c r="Y43" s="144">
        <f>SUMIFS('январь 2024'!$G$4:$G$1206,'январь 2024'!$D$4:$D$1206,$B43,'январь 2024'!$J$4:$J$1206,Y$1)</f>
        <v>0</v>
      </c>
      <c r="Z43" s="144">
        <f>SUMIFS('январь 2024'!$G$4:$G$1206,'январь 2024'!$D$4:$D$1206,$B43,'январь 2024'!$J$4:$J$1206,Z$1)</f>
        <v>0</v>
      </c>
      <c r="AA43" s="144">
        <f>SUMIFS('январь 2024'!$G$4:$G$1206,'январь 2024'!$D$4:$D$1206,$B43,'январь 2024'!$J$4:$J$1206,AA$1)</f>
        <v>0</v>
      </c>
      <c r="AB43" s="144">
        <f>SUMIFS('январь 2024'!$G$4:$G$1206,'январь 2024'!$D$4:$D$1206,$B43,'январь 2024'!$J$4:$J$1206,AB$1)</f>
        <v>0</v>
      </c>
      <c r="AC43" s="144">
        <f>SUMIFS('январь 2024'!$G$4:$G$1206,'январь 2024'!$D$4:$D$1206,$B43,'январь 2024'!$J$4:$J$1206,AC$1)</f>
        <v>0</v>
      </c>
      <c r="AD43" s="144">
        <f>SUMIFS('январь 2024'!$G$4:$G$1206,'январь 2024'!$D$4:$D$1206,$B43,'январь 2024'!$J$4:$J$1206,AD$1)</f>
        <v>0</v>
      </c>
      <c r="AE43" s="144">
        <f>SUMIFS('январь 2024'!$G$4:$G$1206,'январь 2024'!$D$4:$D$1206,$B43,'январь 2024'!$J$4:$J$1206,AE$1)</f>
        <v>0</v>
      </c>
      <c r="AF43" s="144">
        <f>SUMIFS('январь 2024'!$G$4:$G$1206,'январь 2024'!$D$4:$D$1206,$B43,'январь 2024'!$J$4:$J$1206,AF$1)</f>
        <v>0</v>
      </c>
      <c r="AG43" s="144">
        <f>SUMIFS('январь 2024'!$G$4:$G$1206,'январь 2024'!$D$4:$D$1206,$B43,'январь 2024'!$J$4:$J$1206,AG$1)</f>
        <v>0</v>
      </c>
      <c r="AH43" s="144">
        <f>SUMIFS('январь 2024'!$G$4:$G$1206,'январь 2024'!$D$4:$D$1206,$B43,'январь 2024'!$J$4:$J$1206,AH$1)</f>
        <v>0</v>
      </c>
      <c r="AI43" s="145">
        <f t="shared" si="1"/>
        <v>0</v>
      </c>
    </row>
    <row r="44" spans="2:35" ht="15" customHeight="1" x14ac:dyDescent="0.25">
      <c r="B44" s="154" t="s">
        <v>300</v>
      </c>
      <c r="C44" s="151">
        <v>20</v>
      </c>
      <c r="D44" s="144">
        <f>SUMIFS('январь 2024'!$G$4:$G$1206,'январь 2024'!$D$4:$D$1206,$B44,'январь 2024'!$J$4:$J$1206,D$1)</f>
        <v>0</v>
      </c>
      <c r="E44" s="144">
        <f>SUMIFS('январь 2024'!$G$4:$G$1206,'январь 2024'!$D$4:$D$1206,$B44,'январь 2024'!$J$4:$J$1206,E$1)</f>
        <v>0</v>
      </c>
      <c r="F44" s="144">
        <f>SUMIFS('январь 2024'!$G$4:$G$1206,'январь 2024'!$D$4:$D$1206,$B44,'январь 2024'!$J$4:$J$1206,F$1)</f>
        <v>0</v>
      </c>
      <c r="G44" s="144">
        <f>SUMIFS('январь 2024'!$G$4:$G$1206,'январь 2024'!$D$4:$D$1206,$B44,'январь 2024'!$J$4:$J$1206,G$1)</f>
        <v>0</v>
      </c>
      <c r="H44" s="144">
        <f>SUMIFS('январь 2024'!$G$4:$G$1206,'январь 2024'!$D$4:$D$1206,$B44,'январь 2024'!$J$4:$J$1206,H$1)</f>
        <v>0</v>
      </c>
      <c r="I44" s="144">
        <f>SUMIFS('январь 2024'!$G$4:$G$1206,'январь 2024'!$D$4:$D$1206,$B44,'январь 2024'!$J$4:$J$1206,I$1)</f>
        <v>0</v>
      </c>
      <c r="J44" s="144">
        <f>SUMIFS('январь 2024'!$G$4:$G$1206,'январь 2024'!$D$4:$D$1206,$B44,'январь 2024'!$J$4:$J$1206,J$1)</f>
        <v>0</v>
      </c>
      <c r="K44" s="144">
        <f>SUMIFS('январь 2024'!$G$4:$G$1206,'январь 2024'!$D$4:$D$1206,$B44,'январь 2024'!$J$4:$J$1206,K$1)</f>
        <v>0</v>
      </c>
      <c r="L44" s="144">
        <f>SUMIFS('январь 2024'!$G$4:$G$1206,'январь 2024'!$D$4:$D$1206,$B44,'январь 2024'!$J$4:$J$1206,L$1)</f>
        <v>0</v>
      </c>
      <c r="M44" s="144">
        <f>SUMIFS('январь 2024'!$G$4:$G$1206,'январь 2024'!$D$4:$D$1206,$B44,'январь 2024'!$J$4:$J$1206,M$1)</f>
        <v>0</v>
      </c>
      <c r="N44" s="144">
        <f>SUMIFS('январь 2024'!$G$4:$G$1206,'январь 2024'!$D$4:$D$1206,$B44,'январь 2024'!$J$4:$J$1206,N$1)</f>
        <v>0</v>
      </c>
      <c r="O44" s="144">
        <f>SUMIFS('январь 2024'!$G$4:$G$1206,'январь 2024'!$D$4:$D$1206,$B44,'январь 2024'!$J$4:$J$1206,O$1)</f>
        <v>0</v>
      </c>
      <c r="P44" s="144">
        <f>SUMIFS('январь 2024'!$G$4:$G$1206,'январь 2024'!$D$4:$D$1206,$B44,'январь 2024'!$J$4:$J$1206,P$1)</f>
        <v>0</v>
      </c>
      <c r="Q44" s="144">
        <f>SUMIFS('январь 2024'!$G$4:$G$1206,'январь 2024'!$D$4:$D$1206,$B44,'январь 2024'!$J$4:$J$1206,Q$1)</f>
        <v>0</v>
      </c>
      <c r="R44" s="144">
        <f>SUMIFS('январь 2024'!$G$4:$G$1206,'январь 2024'!$D$4:$D$1206,$B44,'январь 2024'!$J$4:$J$1206,R$1)</f>
        <v>0</v>
      </c>
      <c r="S44" s="144">
        <f>SUMIFS('январь 2024'!$G$4:$G$1206,'январь 2024'!$D$4:$D$1206,$B44,'январь 2024'!$J$4:$J$1206,S$1)</f>
        <v>0</v>
      </c>
      <c r="T44" s="144">
        <f>SUMIFS('январь 2024'!$G$4:$G$1206,'январь 2024'!$D$4:$D$1206,$B44,'январь 2024'!$J$4:$J$1206,T$1)</f>
        <v>0</v>
      </c>
      <c r="U44" s="144">
        <f>SUMIFS('январь 2024'!$G$4:$G$1206,'январь 2024'!$D$4:$D$1206,$B44,'январь 2024'!$J$4:$J$1206,U$1)</f>
        <v>0</v>
      </c>
      <c r="V44" s="144">
        <f>SUMIFS('январь 2024'!$G$4:$G$1206,'январь 2024'!$D$4:$D$1206,$B44,'январь 2024'!$J$4:$J$1206,V$1)</f>
        <v>0</v>
      </c>
      <c r="W44" s="144">
        <f>SUMIFS('январь 2024'!$G$4:$G$1206,'январь 2024'!$D$4:$D$1206,$B44,'январь 2024'!$J$4:$J$1206,W$1)</f>
        <v>0</v>
      </c>
      <c r="X44" s="144">
        <f>SUMIFS('январь 2024'!$G$4:$G$1206,'январь 2024'!$D$4:$D$1206,$B44,'январь 2024'!$J$4:$J$1206,X$1)</f>
        <v>0</v>
      </c>
      <c r="Y44" s="144">
        <f>SUMIFS('январь 2024'!$G$4:$G$1206,'январь 2024'!$D$4:$D$1206,$B44,'январь 2024'!$J$4:$J$1206,Y$1)</f>
        <v>0</v>
      </c>
      <c r="Z44" s="144">
        <f>SUMIFS('январь 2024'!$G$4:$G$1206,'январь 2024'!$D$4:$D$1206,$B44,'январь 2024'!$J$4:$J$1206,Z$1)</f>
        <v>0</v>
      </c>
      <c r="AA44" s="144">
        <f>SUMIFS('январь 2024'!$G$4:$G$1206,'январь 2024'!$D$4:$D$1206,$B44,'январь 2024'!$J$4:$J$1206,AA$1)</f>
        <v>0</v>
      </c>
      <c r="AB44" s="144">
        <f>SUMIFS('январь 2024'!$G$4:$G$1206,'январь 2024'!$D$4:$D$1206,$B44,'январь 2024'!$J$4:$J$1206,AB$1)</f>
        <v>0</v>
      </c>
      <c r="AC44" s="144">
        <f>SUMIFS('январь 2024'!$G$4:$G$1206,'январь 2024'!$D$4:$D$1206,$B44,'январь 2024'!$J$4:$J$1206,AC$1)</f>
        <v>0</v>
      </c>
      <c r="AD44" s="144">
        <f>SUMIFS('январь 2024'!$G$4:$G$1206,'январь 2024'!$D$4:$D$1206,$B44,'январь 2024'!$J$4:$J$1206,AD$1)</f>
        <v>0</v>
      </c>
      <c r="AE44" s="144">
        <f>SUMIFS('январь 2024'!$G$4:$G$1206,'январь 2024'!$D$4:$D$1206,$B44,'январь 2024'!$J$4:$J$1206,AE$1)</f>
        <v>0</v>
      </c>
      <c r="AF44" s="144">
        <f>SUMIFS('январь 2024'!$G$4:$G$1206,'январь 2024'!$D$4:$D$1206,$B44,'январь 2024'!$J$4:$J$1206,AF$1)</f>
        <v>0</v>
      </c>
      <c r="AG44" s="144">
        <f>SUMIFS('январь 2024'!$G$4:$G$1206,'январь 2024'!$D$4:$D$1206,$B44,'январь 2024'!$J$4:$J$1206,AG$1)</f>
        <v>0</v>
      </c>
      <c r="AH44" s="144">
        <f>SUMIFS('январь 2024'!$G$4:$G$1206,'январь 2024'!$D$4:$D$1206,$B44,'январь 2024'!$J$4:$J$1206,AH$1)</f>
        <v>0</v>
      </c>
      <c r="AI44" s="145">
        <f t="shared" si="1"/>
        <v>0</v>
      </c>
    </row>
    <row r="45" spans="2:35" ht="15" customHeight="1" x14ac:dyDescent="0.25">
      <c r="B45" s="150" t="s">
        <v>302</v>
      </c>
      <c r="C45" s="153">
        <v>20</v>
      </c>
      <c r="D45" s="144">
        <f>SUMIFS('январь 2024'!$G$4:$G$1206,'январь 2024'!$D$4:$D$1206,$B45,'январь 2024'!$J$4:$J$1206,D$1)</f>
        <v>0</v>
      </c>
      <c r="E45" s="144">
        <f>SUMIFS('январь 2024'!$G$4:$G$1206,'январь 2024'!$D$4:$D$1206,$B45,'январь 2024'!$J$4:$J$1206,E$1)</f>
        <v>0</v>
      </c>
      <c r="F45" s="144">
        <f>SUMIFS('январь 2024'!$G$4:$G$1206,'январь 2024'!$D$4:$D$1206,$B45,'январь 2024'!$J$4:$J$1206,F$1)</f>
        <v>0</v>
      </c>
      <c r="G45" s="144">
        <f>SUMIFS('январь 2024'!$G$4:$G$1206,'январь 2024'!$D$4:$D$1206,$B45,'январь 2024'!$J$4:$J$1206,G$1)</f>
        <v>0</v>
      </c>
      <c r="H45" s="144">
        <f>SUMIFS('январь 2024'!$G$4:$G$1206,'январь 2024'!$D$4:$D$1206,$B45,'январь 2024'!$J$4:$J$1206,H$1)</f>
        <v>0</v>
      </c>
      <c r="I45" s="144">
        <f>SUMIFS('январь 2024'!$G$4:$G$1206,'январь 2024'!$D$4:$D$1206,$B45,'январь 2024'!$J$4:$J$1206,I$1)</f>
        <v>0</v>
      </c>
      <c r="J45" s="144">
        <f>SUMIFS('январь 2024'!$G$4:$G$1206,'январь 2024'!$D$4:$D$1206,$B45,'январь 2024'!$J$4:$J$1206,J$1)</f>
        <v>0</v>
      </c>
      <c r="K45" s="144">
        <f>SUMIFS('январь 2024'!$G$4:$G$1206,'январь 2024'!$D$4:$D$1206,$B45,'январь 2024'!$J$4:$J$1206,K$1)</f>
        <v>0</v>
      </c>
      <c r="L45" s="144">
        <f>SUMIFS('январь 2024'!$G$4:$G$1206,'январь 2024'!$D$4:$D$1206,$B45,'январь 2024'!$J$4:$J$1206,L$1)</f>
        <v>0</v>
      </c>
      <c r="M45" s="144">
        <f>SUMIFS('январь 2024'!$G$4:$G$1206,'январь 2024'!$D$4:$D$1206,$B45,'январь 2024'!$J$4:$J$1206,M$1)</f>
        <v>0</v>
      </c>
      <c r="N45" s="144">
        <f>SUMIFS('январь 2024'!$G$4:$G$1206,'январь 2024'!$D$4:$D$1206,$B45,'январь 2024'!$J$4:$J$1206,N$1)</f>
        <v>0</v>
      </c>
      <c r="O45" s="144">
        <f>SUMIFS('январь 2024'!$G$4:$G$1206,'январь 2024'!$D$4:$D$1206,$B45,'январь 2024'!$J$4:$J$1206,O$1)</f>
        <v>0</v>
      </c>
      <c r="P45" s="144">
        <f>SUMIFS('январь 2024'!$G$4:$G$1206,'январь 2024'!$D$4:$D$1206,$B45,'январь 2024'!$J$4:$J$1206,P$1)</f>
        <v>0</v>
      </c>
      <c r="Q45" s="144">
        <f>SUMIFS('январь 2024'!$G$4:$G$1206,'январь 2024'!$D$4:$D$1206,$B45,'январь 2024'!$J$4:$J$1206,Q$1)</f>
        <v>0</v>
      </c>
      <c r="R45" s="144">
        <f>SUMIFS('январь 2024'!$G$4:$G$1206,'январь 2024'!$D$4:$D$1206,$B45,'январь 2024'!$J$4:$J$1206,R$1)</f>
        <v>0</v>
      </c>
      <c r="S45" s="144">
        <f>SUMIFS('январь 2024'!$G$4:$G$1206,'январь 2024'!$D$4:$D$1206,$B45,'январь 2024'!$J$4:$J$1206,S$1)</f>
        <v>0</v>
      </c>
      <c r="T45" s="144">
        <f>SUMIFS('январь 2024'!$G$4:$G$1206,'январь 2024'!$D$4:$D$1206,$B45,'январь 2024'!$J$4:$J$1206,T$1)</f>
        <v>0</v>
      </c>
      <c r="U45" s="144">
        <f>SUMIFS('январь 2024'!$G$4:$G$1206,'январь 2024'!$D$4:$D$1206,$B45,'январь 2024'!$J$4:$J$1206,U$1)</f>
        <v>0</v>
      </c>
      <c r="V45" s="144">
        <f>SUMIFS('январь 2024'!$G$4:$G$1206,'январь 2024'!$D$4:$D$1206,$B45,'январь 2024'!$J$4:$J$1206,V$1)</f>
        <v>0</v>
      </c>
      <c r="W45" s="144">
        <f>SUMIFS('январь 2024'!$G$4:$G$1206,'январь 2024'!$D$4:$D$1206,$B45,'январь 2024'!$J$4:$J$1206,W$1)</f>
        <v>0</v>
      </c>
      <c r="X45" s="144">
        <f>SUMIFS('январь 2024'!$G$4:$G$1206,'январь 2024'!$D$4:$D$1206,$B45,'январь 2024'!$J$4:$J$1206,X$1)</f>
        <v>0</v>
      </c>
      <c r="Y45" s="144">
        <f>SUMIFS('январь 2024'!$G$4:$G$1206,'январь 2024'!$D$4:$D$1206,$B45,'январь 2024'!$J$4:$J$1206,Y$1)</f>
        <v>0</v>
      </c>
      <c r="Z45" s="144">
        <f>SUMIFS('январь 2024'!$G$4:$G$1206,'январь 2024'!$D$4:$D$1206,$B45,'январь 2024'!$J$4:$J$1206,Z$1)</f>
        <v>0</v>
      </c>
      <c r="AA45" s="144">
        <f>SUMIFS('январь 2024'!$G$4:$G$1206,'январь 2024'!$D$4:$D$1206,$B45,'январь 2024'!$J$4:$J$1206,AA$1)</f>
        <v>0</v>
      </c>
      <c r="AB45" s="144">
        <f>SUMIFS('январь 2024'!$G$4:$G$1206,'январь 2024'!$D$4:$D$1206,$B45,'январь 2024'!$J$4:$J$1206,AB$1)</f>
        <v>0</v>
      </c>
      <c r="AC45" s="144">
        <f>SUMIFS('январь 2024'!$G$4:$G$1206,'январь 2024'!$D$4:$D$1206,$B45,'январь 2024'!$J$4:$J$1206,AC$1)</f>
        <v>0</v>
      </c>
      <c r="AD45" s="144">
        <f>SUMIFS('январь 2024'!$G$4:$G$1206,'январь 2024'!$D$4:$D$1206,$B45,'январь 2024'!$J$4:$J$1206,AD$1)</f>
        <v>0</v>
      </c>
      <c r="AE45" s="144">
        <f>SUMIFS('январь 2024'!$G$4:$G$1206,'январь 2024'!$D$4:$D$1206,$B45,'январь 2024'!$J$4:$J$1206,AE$1)</f>
        <v>0</v>
      </c>
      <c r="AF45" s="144">
        <f>SUMIFS('январь 2024'!$G$4:$G$1206,'январь 2024'!$D$4:$D$1206,$B45,'январь 2024'!$J$4:$J$1206,AF$1)</f>
        <v>0</v>
      </c>
      <c r="AG45" s="144">
        <f>SUMIFS('январь 2024'!$G$4:$G$1206,'январь 2024'!$D$4:$D$1206,$B45,'январь 2024'!$J$4:$J$1206,AG$1)</f>
        <v>0</v>
      </c>
      <c r="AH45" s="144">
        <f>SUMIFS('январь 2024'!$G$4:$G$1206,'январь 2024'!$D$4:$D$1206,$B45,'январь 2024'!$J$4:$J$1206,AH$1)</f>
        <v>0</v>
      </c>
      <c r="AI45" s="145">
        <f t="shared" si="1"/>
        <v>0</v>
      </c>
    </row>
    <row r="46" spans="2:35" ht="15" customHeight="1" x14ac:dyDescent="0.25">
      <c r="B46" s="150" t="s">
        <v>304</v>
      </c>
      <c r="C46" s="149">
        <v>20</v>
      </c>
      <c r="D46" s="144">
        <f>SUMIFS('январь 2024'!$G$4:$G$1206,'январь 2024'!$D$4:$D$1206,$B46,'январь 2024'!$J$4:$J$1206,D$1)</f>
        <v>0</v>
      </c>
      <c r="E46" s="144">
        <f>SUMIFS('январь 2024'!$G$4:$G$1206,'январь 2024'!$D$4:$D$1206,$B46,'январь 2024'!$J$4:$J$1206,E$1)</f>
        <v>0</v>
      </c>
      <c r="F46" s="144">
        <f>SUMIFS('январь 2024'!$G$4:$G$1206,'январь 2024'!$D$4:$D$1206,$B46,'январь 2024'!$J$4:$J$1206,F$1)</f>
        <v>0</v>
      </c>
      <c r="G46" s="144">
        <f>SUMIFS('январь 2024'!$G$4:$G$1206,'январь 2024'!$D$4:$D$1206,$B46,'январь 2024'!$J$4:$J$1206,G$1)</f>
        <v>0</v>
      </c>
      <c r="H46" s="144">
        <f>SUMIFS('январь 2024'!$G$4:$G$1206,'январь 2024'!$D$4:$D$1206,$B46,'январь 2024'!$J$4:$J$1206,H$1)</f>
        <v>0</v>
      </c>
      <c r="I46" s="144">
        <f>SUMIFS('январь 2024'!$G$4:$G$1206,'январь 2024'!$D$4:$D$1206,$B46,'январь 2024'!$J$4:$J$1206,I$1)</f>
        <v>0</v>
      </c>
      <c r="J46" s="144">
        <f>SUMIFS('январь 2024'!$G$4:$G$1206,'январь 2024'!$D$4:$D$1206,$B46,'январь 2024'!$J$4:$J$1206,J$1)</f>
        <v>0</v>
      </c>
      <c r="K46" s="144">
        <f>SUMIFS('январь 2024'!$G$4:$G$1206,'январь 2024'!$D$4:$D$1206,$B46,'январь 2024'!$J$4:$J$1206,K$1)</f>
        <v>0</v>
      </c>
      <c r="L46" s="144">
        <f>SUMIFS('январь 2024'!$G$4:$G$1206,'январь 2024'!$D$4:$D$1206,$B46,'январь 2024'!$J$4:$J$1206,L$1)</f>
        <v>0</v>
      </c>
      <c r="M46" s="144">
        <f>SUMIFS('январь 2024'!$G$4:$G$1206,'январь 2024'!$D$4:$D$1206,$B46,'январь 2024'!$J$4:$J$1206,M$1)</f>
        <v>0</v>
      </c>
      <c r="N46" s="144">
        <f>SUMIFS('январь 2024'!$G$4:$G$1206,'январь 2024'!$D$4:$D$1206,$B46,'январь 2024'!$J$4:$J$1206,N$1)</f>
        <v>0</v>
      </c>
      <c r="O46" s="144">
        <f>SUMIFS('январь 2024'!$G$4:$G$1206,'январь 2024'!$D$4:$D$1206,$B46,'январь 2024'!$J$4:$J$1206,O$1)</f>
        <v>0</v>
      </c>
      <c r="P46" s="144">
        <f>SUMIFS('январь 2024'!$G$4:$G$1206,'январь 2024'!$D$4:$D$1206,$B46,'январь 2024'!$J$4:$J$1206,P$1)</f>
        <v>0</v>
      </c>
      <c r="Q46" s="144">
        <f>SUMIFS('январь 2024'!$G$4:$G$1206,'январь 2024'!$D$4:$D$1206,$B46,'январь 2024'!$J$4:$J$1206,Q$1)</f>
        <v>0</v>
      </c>
      <c r="R46" s="144">
        <f>SUMIFS('январь 2024'!$G$4:$G$1206,'январь 2024'!$D$4:$D$1206,$B46,'январь 2024'!$J$4:$J$1206,R$1)</f>
        <v>0</v>
      </c>
      <c r="S46" s="144">
        <f>SUMIFS('январь 2024'!$G$4:$G$1206,'январь 2024'!$D$4:$D$1206,$B46,'январь 2024'!$J$4:$J$1206,S$1)</f>
        <v>0</v>
      </c>
      <c r="T46" s="144">
        <f>SUMIFS('январь 2024'!$G$4:$G$1206,'январь 2024'!$D$4:$D$1206,$B46,'январь 2024'!$J$4:$J$1206,T$1)</f>
        <v>0</v>
      </c>
      <c r="U46" s="144">
        <f>SUMIFS('январь 2024'!$G$4:$G$1206,'январь 2024'!$D$4:$D$1206,$B46,'январь 2024'!$J$4:$J$1206,U$1)</f>
        <v>0</v>
      </c>
      <c r="V46" s="144">
        <f>SUMIFS('январь 2024'!$G$4:$G$1206,'январь 2024'!$D$4:$D$1206,$B46,'январь 2024'!$J$4:$J$1206,V$1)</f>
        <v>0</v>
      </c>
      <c r="W46" s="144">
        <f>SUMIFS('январь 2024'!$G$4:$G$1206,'январь 2024'!$D$4:$D$1206,$B46,'январь 2024'!$J$4:$J$1206,W$1)</f>
        <v>0</v>
      </c>
      <c r="X46" s="144">
        <f>SUMIFS('январь 2024'!$G$4:$G$1206,'январь 2024'!$D$4:$D$1206,$B46,'январь 2024'!$J$4:$J$1206,X$1)</f>
        <v>0</v>
      </c>
      <c r="Y46" s="144">
        <f>SUMIFS('январь 2024'!$G$4:$G$1206,'январь 2024'!$D$4:$D$1206,$B46,'январь 2024'!$J$4:$J$1206,Y$1)</f>
        <v>0</v>
      </c>
      <c r="Z46" s="144">
        <f>SUMIFS('январь 2024'!$G$4:$G$1206,'январь 2024'!$D$4:$D$1206,$B46,'январь 2024'!$J$4:$J$1206,Z$1)</f>
        <v>0</v>
      </c>
      <c r="AA46" s="144">
        <f>SUMIFS('январь 2024'!$G$4:$G$1206,'январь 2024'!$D$4:$D$1206,$B46,'январь 2024'!$J$4:$J$1206,AA$1)</f>
        <v>0</v>
      </c>
      <c r="AB46" s="144">
        <f>SUMIFS('январь 2024'!$G$4:$G$1206,'январь 2024'!$D$4:$D$1206,$B46,'январь 2024'!$J$4:$J$1206,AB$1)</f>
        <v>0</v>
      </c>
      <c r="AC46" s="144">
        <f>SUMIFS('январь 2024'!$G$4:$G$1206,'январь 2024'!$D$4:$D$1206,$B46,'январь 2024'!$J$4:$J$1206,AC$1)</f>
        <v>0</v>
      </c>
      <c r="AD46" s="144">
        <f>SUMIFS('январь 2024'!$G$4:$G$1206,'январь 2024'!$D$4:$D$1206,$B46,'январь 2024'!$J$4:$J$1206,AD$1)</f>
        <v>0</v>
      </c>
      <c r="AE46" s="144">
        <f>SUMIFS('январь 2024'!$G$4:$G$1206,'январь 2024'!$D$4:$D$1206,$B46,'январь 2024'!$J$4:$J$1206,AE$1)</f>
        <v>0</v>
      </c>
      <c r="AF46" s="144">
        <f>SUMIFS('январь 2024'!$G$4:$G$1206,'январь 2024'!$D$4:$D$1206,$B46,'январь 2024'!$J$4:$J$1206,AF$1)</f>
        <v>0</v>
      </c>
      <c r="AG46" s="144">
        <f>SUMIFS('январь 2024'!$G$4:$G$1206,'январь 2024'!$D$4:$D$1206,$B46,'январь 2024'!$J$4:$J$1206,AG$1)</f>
        <v>0</v>
      </c>
      <c r="AH46" s="144">
        <f>SUMIFS('январь 2024'!$G$4:$G$1206,'январь 2024'!$D$4:$D$1206,$B46,'январь 2024'!$J$4:$J$1206,AH$1)</f>
        <v>0</v>
      </c>
      <c r="AI46" s="145">
        <f t="shared" si="1"/>
        <v>0</v>
      </c>
    </row>
    <row r="47" spans="2:35" ht="15" customHeight="1" x14ac:dyDescent="0.25">
      <c r="B47" s="150" t="s">
        <v>306</v>
      </c>
      <c r="C47" s="151">
        <v>20</v>
      </c>
      <c r="D47" s="144">
        <f>SUMIFS('январь 2024'!$G$4:$G$1206,'январь 2024'!$D$4:$D$1206,$B47,'январь 2024'!$J$4:$J$1206,D$1)</f>
        <v>0</v>
      </c>
      <c r="E47" s="144">
        <f>SUMIFS('январь 2024'!$G$4:$G$1206,'январь 2024'!$D$4:$D$1206,$B47,'январь 2024'!$J$4:$J$1206,E$1)</f>
        <v>0</v>
      </c>
      <c r="F47" s="144">
        <f>SUMIFS('январь 2024'!$G$4:$G$1206,'январь 2024'!$D$4:$D$1206,$B47,'январь 2024'!$J$4:$J$1206,F$1)</f>
        <v>0</v>
      </c>
      <c r="G47" s="144">
        <f>SUMIFS('январь 2024'!$G$4:$G$1206,'январь 2024'!$D$4:$D$1206,$B47,'январь 2024'!$J$4:$J$1206,G$1)</f>
        <v>0</v>
      </c>
      <c r="H47" s="144">
        <f>SUMIFS('январь 2024'!$G$4:$G$1206,'январь 2024'!$D$4:$D$1206,$B47,'январь 2024'!$J$4:$J$1206,H$1)</f>
        <v>0</v>
      </c>
      <c r="I47" s="144">
        <f>SUMIFS('январь 2024'!$G$4:$G$1206,'январь 2024'!$D$4:$D$1206,$B47,'январь 2024'!$J$4:$J$1206,I$1)</f>
        <v>0</v>
      </c>
      <c r="J47" s="144">
        <f>SUMIFS('январь 2024'!$G$4:$G$1206,'январь 2024'!$D$4:$D$1206,$B47,'январь 2024'!$J$4:$J$1206,J$1)</f>
        <v>0</v>
      </c>
      <c r="K47" s="144">
        <f>SUMIFS('январь 2024'!$G$4:$G$1206,'январь 2024'!$D$4:$D$1206,$B47,'январь 2024'!$J$4:$J$1206,K$1)</f>
        <v>0</v>
      </c>
      <c r="L47" s="144">
        <f>SUMIFS('январь 2024'!$G$4:$G$1206,'январь 2024'!$D$4:$D$1206,$B47,'январь 2024'!$J$4:$J$1206,L$1)</f>
        <v>0</v>
      </c>
      <c r="M47" s="144">
        <f>SUMIFS('январь 2024'!$G$4:$G$1206,'январь 2024'!$D$4:$D$1206,$B47,'январь 2024'!$J$4:$J$1206,M$1)</f>
        <v>0</v>
      </c>
      <c r="N47" s="144">
        <f>SUMIFS('январь 2024'!$G$4:$G$1206,'январь 2024'!$D$4:$D$1206,$B47,'январь 2024'!$J$4:$J$1206,N$1)</f>
        <v>0</v>
      </c>
      <c r="O47" s="144">
        <f>SUMIFS('январь 2024'!$G$4:$G$1206,'январь 2024'!$D$4:$D$1206,$B47,'январь 2024'!$J$4:$J$1206,O$1)</f>
        <v>0</v>
      </c>
      <c r="P47" s="144">
        <f>SUMIFS('январь 2024'!$G$4:$G$1206,'январь 2024'!$D$4:$D$1206,$B47,'январь 2024'!$J$4:$J$1206,P$1)</f>
        <v>0</v>
      </c>
      <c r="Q47" s="144">
        <f>SUMIFS('январь 2024'!$G$4:$G$1206,'январь 2024'!$D$4:$D$1206,$B47,'январь 2024'!$J$4:$J$1206,Q$1)</f>
        <v>0</v>
      </c>
      <c r="R47" s="144">
        <f>SUMIFS('январь 2024'!$G$4:$G$1206,'январь 2024'!$D$4:$D$1206,$B47,'январь 2024'!$J$4:$J$1206,R$1)</f>
        <v>0</v>
      </c>
      <c r="S47" s="144">
        <f>SUMIFS('январь 2024'!$G$4:$G$1206,'январь 2024'!$D$4:$D$1206,$B47,'январь 2024'!$J$4:$J$1206,S$1)</f>
        <v>0</v>
      </c>
      <c r="T47" s="144">
        <f>SUMIFS('январь 2024'!$G$4:$G$1206,'январь 2024'!$D$4:$D$1206,$B47,'январь 2024'!$J$4:$J$1206,T$1)</f>
        <v>0</v>
      </c>
      <c r="U47" s="144">
        <f>SUMIFS('январь 2024'!$G$4:$G$1206,'январь 2024'!$D$4:$D$1206,$B47,'январь 2024'!$J$4:$J$1206,U$1)</f>
        <v>0</v>
      </c>
      <c r="V47" s="144">
        <f>SUMIFS('январь 2024'!$G$4:$G$1206,'январь 2024'!$D$4:$D$1206,$B47,'январь 2024'!$J$4:$J$1206,V$1)</f>
        <v>0</v>
      </c>
      <c r="W47" s="144">
        <f>SUMIFS('январь 2024'!$G$4:$G$1206,'январь 2024'!$D$4:$D$1206,$B47,'январь 2024'!$J$4:$J$1206,W$1)</f>
        <v>0</v>
      </c>
      <c r="X47" s="144">
        <f>SUMIFS('январь 2024'!$G$4:$G$1206,'январь 2024'!$D$4:$D$1206,$B47,'январь 2024'!$J$4:$J$1206,X$1)</f>
        <v>0</v>
      </c>
      <c r="Y47" s="144">
        <f>SUMIFS('январь 2024'!$G$4:$G$1206,'январь 2024'!$D$4:$D$1206,$B47,'январь 2024'!$J$4:$J$1206,Y$1)</f>
        <v>0</v>
      </c>
      <c r="Z47" s="144">
        <f>SUMIFS('январь 2024'!$G$4:$G$1206,'январь 2024'!$D$4:$D$1206,$B47,'январь 2024'!$J$4:$J$1206,Z$1)</f>
        <v>0</v>
      </c>
      <c r="AA47" s="144">
        <f>SUMIFS('январь 2024'!$G$4:$G$1206,'январь 2024'!$D$4:$D$1206,$B47,'январь 2024'!$J$4:$J$1206,AA$1)</f>
        <v>0</v>
      </c>
      <c r="AB47" s="144">
        <f>SUMIFS('январь 2024'!$G$4:$G$1206,'январь 2024'!$D$4:$D$1206,$B47,'январь 2024'!$J$4:$J$1206,AB$1)</f>
        <v>0</v>
      </c>
      <c r="AC47" s="144">
        <f>SUMIFS('январь 2024'!$G$4:$G$1206,'январь 2024'!$D$4:$D$1206,$B47,'январь 2024'!$J$4:$J$1206,AC$1)</f>
        <v>0</v>
      </c>
      <c r="AD47" s="144">
        <f>SUMIFS('январь 2024'!$G$4:$G$1206,'январь 2024'!$D$4:$D$1206,$B47,'январь 2024'!$J$4:$J$1206,AD$1)</f>
        <v>0</v>
      </c>
      <c r="AE47" s="144">
        <f>SUMIFS('январь 2024'!$G$4:$G$1206,'январь 2024'!$D$4:$D$1206,$B47,'январь 2024'!$J$4:$J$1206,AE$1)</f>
        <v>0</v>
      </c>
      <c r="AF47" s="144">
        <f>SUMIFS('январь 2024'!$G$4:$G$1206,'январь 2024'!$D$4:$D$1206,$B47,'январь 2024'!$J$4:$J$1206,AF$1)</f>
        <v>0</v>
      </c>
      <c r="AG47" s="144">
        <f>SUMIFS('январь 2024'!$G$4:$G$1206,'январь 2024'!$D$4:$D$1206,$B47,'январь 2024'!$J$4:$J$1206,AG$1)</f>
        <v>0</v>
      </c>
      <c r="AH47" s="144">
        <f>SUMIFS('январь 2024'!$G$4:$G$1206,'январь 2024'!$D$4:$D$1206,$B47,'январь 2024'!$J$4:$J$1206,AH$1)</f>
        <v>0</v>
      </c>
      <c r="AI47" s="145">
        <f t="shared" si="1"/>
        <v>0</v>
      </c>
    </row>
    <row r="48" spans="2:35" ht="15" customHeight="1" x14ac:dyDescent="0.25">
      <c r="B48" s="150" t="s">
        <v>308</v>
      </c>
      <c r="C48" s="151">
        <v>14</v>
      </c>
      <c r="D48" s="144">
        <f>SUMIFS('январь 2024'!$G$4:$G$1206,'январь 2024'!$D$4:$D$1206,$B48,'январь 2024'!$J$4:$J$1206,D$1)</f>
        <v>0</v>
      </c>
      <c r="E48" s="144">
        <f>SUMIFS('январь 2024'!$G$4:$G$1206,'январь 2024'!$D$4:$D$1206,$B48,'январь 2024'!$J$4:$J$1206,E$1)</f>
        <v>0</v>
      </c>
      <c r="F48" s="144">
        <f>SUMIFS('январь 2024'!$G$4:$G$1206,'январь 2024'!$D$4:$D$1206,$B48,'январь 2024'!$J$4:$J$1206,F$1)</f>
        <v>0</v>
      </c>
      <c r="G48" s="144">
        <f>SUMIFS('январь 2024'!$G$4:$G$1206,'январь 2024'!$D$4:$D$1206,$B48,'январь 2024'!$J$4:$J$1206,G$1)</f>
        <v>0</v>
      </c>
      <c r="H48" s="144">
        <f>SUMIFS('январь 2024'!$G$4:$G$1206,'январь 2024'!$D$4:$D$1206,$B48,'январь 2024'!$J$4:$J$1206,H$1)</f>
        <v>0</v>
      </c>
      <c r="I48" s="144">
        <f>SUMIFS('январь 2024'!$G$4:$G$1206,'январь 2024'!$D$4:$D$1206,$B48,'январь 2024'!$J$4:$J$1206,I$1)</f>
        <v>0</v>
      </c>
      <c r="J48" s="144">
        <f>SUMIFS('январь 2024'!$G$4:$G$1206,'январь 2024'!$D$4:$D$1206,$B48,'январь 2024'!$J$4:$J$1206,J$1)</f>
        <v>0</v>
      </c>
      <c r="K48" s="144">
        <f>SUMIFS('январь 2024'!$G$4:$G$1206,'январь 2024'!$D$4:$D$1206,$B48,'январь 2024'!$J$4:$J$1206,K$1)</f>
        <v>0</v>
      </c>
      <c r="L48" s="144">
        <f>SUMIFS('январь 2024'!$G$4:$G$1206,'январь 2024'!$D$4:$D$1206,$B48,'январь 2024'!$J$4:$J$1206,L$1)</f>
        <v>0</v>
      </c>
      <c r="M48" s="144">
        <f>SUMIFS('январь 2024'!$G$4:$G$1206,'январь 2024'!$D$4:$D$1206,$B48,'январь 2024'!$J$4:$J$1206,M$1)</f>
        <v>0</v>
      </c>
      <c r="N48" s="144">
        <f>SUMIFS('январь 2024'!$G$4:$G$1206,'январь 2024'!$D$4:$D$1206,$B48,'январь 2024'!$J$4:$J$1206,N$1)</f>
        <v>0</v>
      </c>
      <c r="O48" s="144">
        <f>SUMIFS('январь 2024'!$G$4:$G$1206,'январь 2024'!$D$4:$D$1206,$B48,'январь 2024'!$J$4:$J$1206,O$1)</f>
        <v>0</v>
      </c>
      <c r="P48" s="144">
        <f>SUMIFS('январь 2024'!$G$4:$G$1206,'январь 2024'!$D$4:$D$1206,$B48,'январь 2024'!$J$4:$J$1206,P$1)</f>
        <v>0</v>
      </c>
      <c r="Q48" s="144">
        <f>SUMIFS('январь 2024'!$G$4:$G$1206,'январь 2024'!$D$4:$D$1206,$B48,'январь 2024'!$J$4:$J$1206,Q$1)</f>
        <v>0</v>
      </c>
      <c r="R48" s="144">
        <f>SUMIFS('январь 2024'!$G$4:$G$1206,'январь 2024'!$D$4:$D$1206,$B48,'январь 2024'!$J$4:$J$1206,R$1)</f>
        <v>0</v>
      </c>
      <c r="S48" s="144">
        <f>SUMIFS('январь 2024'!$G$4:$G$1206,'январь 2024'!$D$4:$D$1206,$B48,'январь 2024'!$J$4:$J$1206,S$1)</f>
        <v>0</v>
      </c>
      <c r="T48" s="144">
        <f>SUMIFS('январь 2024'!$G$4:$G$1206,'январь 2024'!$D$4:$D$1206,$B48,'январь 2024'!$J$4:$J$1206,T$1)</f>
        <v>0</v>
      </c>
      <c r="U48" s="144">
        <f>SUMIFS('январь 2024'!$G$4:$G$1206,'январь 2024'!$D$4:$D$1206,$B48,'январь 2024'!$J$4:$J$1206,U$1)</f>
        <v>0</v>
      </c>
      <c r="V48" s="144">
        <f>SUMIFS('январь 2024'!$G$4:$G$1206,'январь 2024'!$D$4:$D$1206,$B48,'январь 2024'!$J$4:$J$1206,V$1)</f>
        <v>0</v>
      </c>
      <c r="W48" s="144">
        <f>SUMIFS('январь 2024'!$G$4:$G$1206,'январь 2024'!$D$4:$D$1206,$B48,'январь 2024'!$J$4:$J$1206,W$1)</f>
        <v>0</v>
      </c>
      <c r="X48" s="144">
        <f>SUMIFS('январь 2024'!$G$4:$G$1206,'январь 2024'!$D$4:$D$1206,$B48,'январь 2024'!$J$4:$J$1206,X$1)</f>
        <v>0</v>
      </c>
      <c r="Y48" s="144">
        <f>SUMIFS('январь 2024'!$G$4:$G$1206,'январь 2024'!$D$4:$D$1206,$B48,'январь 2024'!$J$4:$J$1206,Y$1)</f>
        <v>0</v>
      </c>
      <c r="Z48" s="144">
        <f>SUMIFS('январь 2024'!$G$4:$G$1206,'январь 2024'!$D$4:$D$1206,$B48,'январь 2024'!$J$4:$J$1206,Z$1)</f>
        <v>0</v>
      </c>
      <c r="AA48" s="144">
        <f>SUMIFS('январь 2024'!$G$4:$G$1206,'январь 2024'!$D$4:$D$1206,$B48,'январь 2024'!$J$4:$J$1206,AA$1)</f>
        <v>0</v>
      </c>
      <c r="AB48" s="144">
        <f>SUMIFS('январь 2024'!$G$4:$G$1206,'январь 2024'!$D$4:$D$1206,$B48,'январь 2024'!$J$4:$J$1206,AB$1)</f>
        <v>0</v>
      </c>
      <c r="AC48" s="144">
        <f>SUMIFS('январь 2024'!$G$4:$G$1206,'январь 2024'!$D$4:$D$1206,$B48,'январь 2024'!$J$4:$J$1206,AC$1)</f>
        <v>0</v>
      </c>
      <c r="AD48" s="144">
        <f>SUMIFS('январь 2024'!$G$4:$G$1206,'январь 2024'!$D$4:$D$1206,$B48,'январь 2024'!$J$4:$J$1206,AD$1)</f>
        <v>0</v>
      </c>
      <c r="AE48" s="144">
        <f>SUMIFS('январь 2024'!$G$4:$G$1206,'январь 2024'!$D$4:$D$1206,$B48,'январь 2024'!$J$4:$J$1206,AE$1)</f>
        <v>0</v>
      </c>
      <c r="AF48" s="144">
        <f>SUMIFS('январь 2024'!$G$4:$G$1206,'январь 2024'!$D$4:$D$1206,$B48,'январь 2024'!$J$4:$J$1206,AF$1)</f>
        <v>0</v>
      </c>
      <c r="AG48" s="144">
        <f>SUMIFS('январь 2024'!$G$4:$G$1206,'январь 2024'!$D$4:$D$1206,$B48,'январь 2024'!$J$4:$J$1206,AG$1)</f>
        <v>0</v>
      </c>
      <c r="AH48" s="144">
        <f>SUMIFS('январь 2024'!$G$4:$G$1206,'январь 2024'!$D$4:$D$1206,$B48,'январь 2024'!$J$4:$J$1206,AH$1)</f>
        <v>0</v>
      </c>
      <c r="AI48" s="145">
        <f t="shared" si="1"/>
        <v>0</v>
      </c>
    </row>
    <row r="49" spans="2:35" ht="15" customHeight="1" x14ac:dyDescent="0.25">
      <c r="B49" s="150" t="s">
        <v>310</v>
      </c>
      <c r="C49" s="151">
        <v>25</v>
      </c>
      <c r="D49" s="144">
        <f>SUMIFS('январь 2024'!$G$4:$G$1206,'январь 2024'!$D$4:$D$1206,$B49,'январь 2024'!$J$4:$J$1206,D$1)</f>
        <v>0</v>
      </c>
      <c r="E49" s="144">
        <f>SUMIFS('январь 2024'!$G$4:$G$1206,'январь 2024'!$D$4:$D$1206,$B49,'январь 2024'!$J$4:$J$1206,E$1)</f>
        <v>0</v>
      </c>
      <c r="F49" s="144">
        <f>SUMIFS('январь 2024'!$G$4:$G$1206,'январь 2024'!$D$4:$D$1206,$B49,'январь 2024'!$J$4:$J$1206,F$1)</f>
        <v>0</v>
      </c>
      <c r="G49" s="144">
        <f>SUMIFS('январь 2024'!$G$4:$G$1206,'январь 2024'!$D$4:$D$1206,$B49,'январь 2024'!$J$4:$J$1206,G$1)</f>
        <v>0</v>
      </c>
      <c r="H49" s="144">
        <f>SUMIFS('январь 2024'!$G$4:$G$1206,'январь 2024'!$D$4:$D$1206,$B49,'январь 2024'!$J$4:$J$1206,H$1)</f>
        <v>0</v>
      </c>
      <c r="I49" s="144">
        <f>SUMIFS('январь 2024'!$G$4:$G$1206,'январь 2024'!$D$4:$D$1206,$B49,'январь 2024'!$J$4:$J$1206,I$1)</f>
        <v>0</v>
      </c>
      <c r="J49" s="144">
        <f>SUMIFS('январь 2024'!$G$4:$G$1206,'январь 2024'!$D$4:$D$1206,$B49,'январь 2024'!$J$4:$J$1206,J$1)</f>
        <v>0</v>
      </c>
      <c r="K49" s="144">
        <f>SUMIFS('январь 2024'!$G$4:$G$1206,'январь 2024'!$D$4:$D$1206,$B49,'январь 2024'!$J$4:$J$1206,K$1)</f>
        <v>0</v>
      </c>
      <c r="L49" s="144">
        <f>SUMIFS('январь 2024'!$G$4:$G$1206,'январь 2024'!$D$4:$D$1206,$B49,'январь 2024'!$J$4:$J$1206,L$1)</f>
        <v>0</v>
      </c>
      <c r="M49" s="144">
        <f>SUMIFS('январь 2024'!$G$4:$G$1206,'январь 2024'!$D$4:$D$1206,$B49,'январь 2024'!$J$4:$J$1206,M$1)</f>
        <v>0</v>
      </c>
      <c r="N49" s="144">
        <f>SUMIFS('январь 2024'!$G$4:$G$1206,'январь 2024'!$D$4:$D$1206,$B49,'январь 2024'!$J$4:$J$1206,N$1)</f>
        <v>0</v>
      </c>
      <c r="O49" s="144">
        <f>SUMIFS('январь 2024'!$G$4:$G$1206,'январь 2024'!$D$4:$D$1206,$B49,'январь 2024'!$J$4:$J$1206,O$1)</f>
        <v>0</v>
      </c>
      <c r="P49" s="144">
        <f>SUMIFS('январь 2024'!$G$4:$G$1206,'январь 2024'!$D$4:$D$1206,$B49,'январь 2024'!$J$4:$J$1206,P$1)</f>
        <v>0</v>
      </c>
      <c r="Q49" s="144">
        <f>SUMIFS('январь 2024'!$G$4:$G$1206,'январь 2024'!$D$4:$D$1206,$B49,'январь 2024'!$J$4:$J$1206,Q$1)</f>
        <v>0</v>
      </c>
      <c r="R49" s="144">
        <f>SUMIFS('январь 2024'!$G$4:$G$1206,'январь 2024'!$D$4:$D$1206,$B49,'январь 2024'!$J$4:$J$1206,R$1)</f>
        <v>0</v>
      </c>
      <c r="S49" s="144">
        <f>SUMIFS('январь 2024'!$G$4:$G$1206,'январь 2024'!$D$4:$D$1206,$B49,'январь 2024'!$J$4:$J$1206,S$1)</f>
        <v>0</v>
      </c>
      <c r="T49" s="144">
        <f>SUMIFS('январь 2024'!$G$4:$G$1206,'январь 2024'!$D$4:$D$1206,$B49,'январь 2024'!$J$4:$J$1206,T$1)</f>
        <v>0</v>
      </c>
      <c r="U49" s="144">
        <f>SUMIFS('январь 2024'!$G$4:$G$1206,'январь 2024'!$D$4:$D$1206,$B49,'январь 2024'!$J$4:$J$1206,U$1)</f>
        <v>0</v>
      </c>
      <c r="V49" s="144">
        <f>SUMIFS('январь 2024'!$G$4:$G$1206,'январь 2024'!$D$4:$D$1206,$B49,'январь 2024'!$J$4:$J$1206,V$1)</f>
        <v>0</v>
      </c>
      <c r="W49" s="144">
        <f>SUMIFS('январь 2024'!$G$4:$G$1206,'январь 2024'!$D$4:$D$1206,$B49,'январь 2024'!$J$4:$J$1206,W$1)</f>
        <v>0</v>
      </c>
      <c r="X49" s="144">
        <f>SUMIFS('январь 2024'!$G$4:$G$1206,'январь 2024'!$D$4:$D$1206,$B49,'январь 2024'!$J$4:$J$1206,X$1)</f>
        <v>0</v>
      </c>
      <c r="Y49" s="144">
        <f>SUMIFS('январь 2024'!$G$4:$G$1206,'январь 2024'!$D$4:$D$1206,$B49,'январь 2024'!$J$4:$J$1206,Y$1)</f>
        <v>0</v>
      </c>
      <c r="Z49" s="144">
        <f>SUMIFS('январь 2024'!$G$4:$G$1206,'январь 2024'!$D$4:$D$1206,$B49,'январь 2024'!$J$4:$J$1206,Z$1)</f>
        <v>0</v>
      </c>
      <c r="AA49" s="144">
        <f>SUMIFS('январь 2024'!$G$4:$G$1206,'январь 2024'!$D$4:$D$1206,$B49,'январь 2024'!$J$4:$J$1206,AA$1)</f>
        <v>0</v>
      </c>
      <c r="AB49" s="144">
        <f>SUMIFS('январь 2024'!$G$4:$G$1206,'январь 2024'!$D$4:$D$1206,$B49,'январь 2024'!$J$4:$J$1206,AB$1)</f>
        <v>0</v>
      </c>
      <c r="AC49" s="144">
        <f>SUMIFS('январь 2024'!$G$4:$G$1206,'январь 2024'!$D$4:$D$1206,$B49,'январь 2024'!$J$4:$J$1206,AC$1)</f>
        <v>0</v>
      </c>
      <c r="AD49" s="144">
        <f>SUMIFS('январь 2024'!$G$4:$G$1206,'январь 2024'!$D$4:$D$1206,$B49,'январь 2024'!$J$4:$J$1206,AD$1)</f>
        <v>0</v>
      </c>
      <c r="AE49" s="144">
        <f>SUMIFS('январь 2024'!$G$4:$G$1206,'январь 2024'!$D$4:$D$1206,$B49,'январь 2024'!$J$4:$J$1206,AE$1)</f>
        <v>0</v>
      </c>
      <c r="AF49" s="144">
        <f>SUMIFS('январь 2024'!$G$4:$G$1206,'январь 2024'!$D$4:$D$1206,$B49,'январь 2024'!$J$4:$J$1206,AF$1)</f>
        <v>0</v>
      </c>
      <c r="AG49" s="144">
        <f>SUMIFS('январь 2024'!$G$4:$G$1206,'январь 2024'!$D$4:$D$1206,$B49,'январь 2024'!$J$4:$J$1206,AG$1)</f>
        <v>0</v>
      </c>
      <c r="AH49" s="144">
        <f>SUMIFS('январь 2024'!$G$4:$G$1206,'январь 2024'!$D$4:$D$1206,$B49,'январь 2024'!$J$4:$J$1206,AH$1)</f>
        <v>0</v>
      </c>
      <c r="AI49" s="145">
        <f t="shared" si="1"/>
        <v>0</v>
      </c>
    </row>
    <row r="50" spans="2:35" ht="15" customHeight="1" x14ac:dyDescent="0.25">
      <c r="B50" s="150" t="s">
        <v>316</v>
      </c>
      <c r="C50" s="151">
        <v>20</v>
      </c>
      <c r="D50" s="144">
        <f>SUMIFS('январь 2024'!$G$4:$G$1206,'январь 2024'!$D$4:$D$1206,$B50,'январь 2024'!$J$4:$J$1206,D$1)</f>
        <v>0</v>
      </c>
      <c r="E50" s="144">
        <f>SUMIFS('январь 2024'!$G$4:$G$1206,'январь 2024'!$D$4:$D$1206,$B50,'январь 2024'!$J$4:$J$1206,E$1)</f>
        <v>0</v>
      </c>
      <c r="F50" s="144">
        <f>SUMIFS('январь 2024'!$G$4:$G$1206,'январь 2024'!$D$4:$D$1206,$B50,'январь 2024'!$J$4:$J$1206,F$1)</f>
        <v>0</v>
      </c>
      <c r="G50" s="144">
        <f>SUMIFS('январь 2024'!$G$4:$G$1206,'январь 2024'!$D$4:$D$1206,$B50,'январь 2024'!$J$4:$J$1206,G$1)</f>
        <v>0</v>
      </c>
      <c r="H50" s="144">
        <f>SUMIFS('январь 2024'!$G$4:$G$1206,'январь 2024'!$D$4:$D$1206,$B50,'январь 2024'!$J$4:$J$1206,H$1)</f>
        <v>0</v>
      </c>
      <c r="I50" s="144">
        <f>SUMIFS('январь 2024'!$G$4:$G$1206,'январь 2024'!$D$4:$D$1206,$B50,'январь 2024'!$J$4:$J$1206,I$1)</f>
        <v>0</v>
      </c>
      <c r="J50" s="144">
        <f>SUMIFS('январь 2024'!$G$4:$G$1206,'январь 2024'!$D$4:$D$1206,$B50,'январь 2024'!$J$4:$J$1206,J$1)</f>
        <v>0</v>
      </c>
      <c r="K50" s="144">
        <f>SUMIFS('январь 2024'!$G$4:$G$1206,'январь 2024'!$D$4:$D$1206,$B50,'январь 2024'!$J$4:$J$1206,K$1)</f>
        <v>0</v>
      </c>
      <c r="L50" s="144">
        <f>SUMIFS('январь 2024'!$G$4:$G$1206,'январь 2024'!$D$4:$D$1206,$B50,'январь 2024'!$J$4:$J$1206,L$1)</f>
        <v>0</v>
      </c>
      <c r="M50" s="144">
        <f>SUMIFS('январь 2024'!$G$4:$G$1206,'январь 2024'!$D$4:$D$1206,$B50,'январь 2024'!$J$4:$J$1206,M$1)</f>
        <v>0</v>
      </c>
      <c r="N50" s="144">
        <f>SUMIFS('январь 2024'!$G$4:$G$1206,'январь 2024'!$D$4:$D$1206,$B50,'январь 2024'!$J$4:$J$1206,N$1)</f>
        <v>0</v>
      </c>
      <c r="O50" s="144">
        <f>SUMIFS('январь 2024'!$G$4:$G$1206,'январь 2024'!$D$4:$D$1206,$B50,'январь 2024'!$J$4:$J$1206,O$1)</f>
        <v>0</v>
      </c>
      <c r="P50" s="144">
        <f>SUMIFS('январь 2024'!$G$4:$G$1206,'январь 2024'!$D$4:$D$1206,$B50,'январь 2024'!$J$4:$J$1206,P$1)</f>
        <v>0</v>
      </c>
      <c r="Q50" s="144">
        <f>SUMIFS('январь 2024'!$G$4:$G$1206,'январь 2024'!$D$4:$D$1206,$B50,'январь 2024'!$J$4:$J$1206,Q$1)</f>
        <v>0</v>
      </c>
      <c r="R50" s="144">
        <f>SUMIFS('январь 2024'!$G$4:$G$1206,'январь 2024'!$D$4:$D$1206,$B50,'январь 2024'!$J$4:$J$1206,R$1)</f>
        <v>0</v>
      </c>
      <c r="S50" s="144">
        <f>SUMIFS('январь 2024'!$G$4:$G$1206,'январь 2024'!$D$4:$D$1206,$B50,'январь 2024'!$J$4:$J$1206,S$1)</f>
        <v>0</v>
      </c>
      <c r="T50" s="144">
        <f>SUMIFS('январь 2024'!$G$4:$G$1206,'январь 2024'!$D$4:$D$1206,$B50,'январь 2024'!$J$4:$J$1206,T$1)</f>
        <v>0</v>
      </c>
      <c r="U50" s="144">
        <f>SUMIFS('январь 2024'!$G$4:$G$1206,'январь 2024'!$D$4:$D$1206,$B50,'январь 2024'!$J$4:$J$1206,U$1)</f>
        <v>0</v>
      </c>
      <c r="V50" s="144">
        <f>SUMIFS('январь 2024'!$G$4:$G$1206,'январь 2024'!$D$4:$D$1206,$B50,'январь 2024'!$J$4:$J$1206,V$1)</f>
        <v>0</v>
      </c>
      <c r="W50" s="144">
        <f>SUMIFS('январь 2024'!$G$4:$G$1206,'январь 2024'!$D$4:$D$1206,$B50,'январь 2024'!$J$4:$J$1206,W$1)</f>
        <v>0</v>
      </c>
      <c r="X50" s="144">
        <f>SUMIFS('январь 2024'!$G$4:$G$1206,'январь 2024'!$D$4:$D$1206,$B50,'январь 2024'!$J$4:$J$1206,X$1)</f>
        <v>0</v>
      </c>
      <c r="Y50" s="144">
        <f>SUMIFS('январь 2024'!$G$4:$G$1206,'январь 2024'!$D$4:$D$1206,$B50,'январь 2024'!$J$4:$J$1206,Y$1)</f>
        <v>0</v>
      </c>
      <c r="Z50" s="144">
        <f>SUMIFS('январь 2024'!$G$4:$G$1206,'январь 2024'!$D$4:$D$1206,$B50,'январь 2024'!$J$4:$J$1206,Z$1)</f>
        <v>0</v>
      </c>
      <c r="AA50" s="144">
        <f>SUMIFS('январь 2024'!$G$4:$G$1206,'январь 2024'!$D$4:$D$1206,$B50,'январь 2024'!$J$4:$J$1206,AA$1)</f>
        <v>0</v>
      </c>
      <c r="AB50" s="144">
        <f>SUMIFS('январь 2024'!$G$4:$G$1206,'январь 2024'!$D$4:$D$1206,$B50,'январь 2024'!$J$4:$J$1206,AB$1)</f>
        <v>0</v>
      </c>
      <c r="AC50" s="144">
        <f>SUMIFS('январь 2024'!$G$4:$G$1206,'январь 2024'!$D$4:$D$1206,$B50,'январь 2024'!$J$4:$J$1206,AC$1)</f>
        <v>0</v>
      </c>
      <c r="AD50" s="144">
        <f>SUMIFS('январь 2024'!$G$4:$G$1206,'январь 2024'!$D$4:$D$1206,$B50,'январь 2024'!$J$4:$J$1206,AD$1)</f>
        <v>0</v>
      </c>
      <c r="AE50" s="144">
        <f>SUMIFS('январь 2024'!$G$4:$G$1206,'январь 2024'!$D$4:$D$1206,$B50,'январь 2024'!$J$4:$J$1206,AE$1)</f>
        <v>0</v>
      </c>
      <c r="AF50" s="144">
        <f>SUMIFS('январь 2024'!$G$4:$G$1206,'январь 2024'!$D$4:$D$1206,$B50,'январь 2024'!$J$4:$J$1206,AF$1)</f>
        <v>0</v>
      </c>
      <c r="AG50" s="144">
        <f>SUMIFS('январь 2024'!$G$4:$G$1206,'январь 2024'!$D$4:$D$1206,$B50,'январь 2024'!$J$4:$J$1206,AG$1)</f>
        <v>0</v>
      </c>
      <c r="AH50" s="144">
        <f>SUMIFS('январь 2024'!$G$4:$G$1206,'январь 2024'!$D$4:$D$1206,$B50,'январь 2024'!$J$4:$J$1206,AH$1)</f>
        <v>0</v>
      </c>
      <c r="AI50" s="145">
        <f t="shared" si="1"/>
        <v>0</v>
      </c>
    </row>
    <row r="51" spans="2:35" ht="15" customHeight="1" x14ac:dyDescent="0.25">
      <c r="B51" s="146" t="s">
        <v>317</v>
      </c>
      <c r="C51" s="151">
        <v>20</v>
      </c>
      <c r="D51" s="144">
        <f>SUMIFS('январь 2024'!$G$4:$G$1206,'январь 2024'!$D$4:$D$1206,$B51,'январь 2024'!$J$4:$J$1206,D$1)</f>
        <v>0</v>
      </c>
      <c r="E51" s="144">
        <f>SUMIFS('январь 2024'!$G$4:$G$1206,'январь 2024'!$D$4:$D$1206,$B51,'январь 2024'!$J$4:$J$1206,E$1)</f>
        <v>0</v>
      </c>
      <c r="F51" s="144">
        <f>SUMIFS('январь 2024'!$G$4:$G$1206,'январь 2024'!$D$4:$D$1206,$B51,'январь 2024'!$J$4:$J$1206,F$1)</f>
        <v>0</v>
      </c>
      <c r="G51" s="144">
        <f>SUMIFS('январь 2024'!$G$4:$G$1206,'январь 2024'!$D$4:$D$1206,$B51,'январь 2024'!$J$4:$J$1206,G$1)</f>
        <v>0</v>
      </c>
      <c r="H51" s="144">
        <f>SUMIFS('январь 2024'!$G$4:$G$1206,'январь 2024'!$D$4:$D$1206,$B51,'январь 2024'!$J$4:$J$1206,H$1)</f>
        <v>0</v>
      </c>
      <c r="I51" s="144">
        <f>SUMIFS('январь 2024'!$G$4:$G$1206,'январь 2024'!$D$4:$D$1206,$B51,'январь 2024'!$J$4:$J$1206,I$1)</f>
        <v>0</v>
      </c>
      <c r="J51" s="144">
        <f>SUMIFS('январь 2024'!$G$4:$G$1206,'январь 2024'!$D$4:$D$1206,$B51,'январь 2024'!$J$4:$J$1206,J$1)</f>
        <v>0</v>
      </c>
      <c r="K51" s="144">
        <f>SUMIFS('январь 2024'!$G$4:$G$1206,'январь 2024'!$D$4:$D$1206,$B51,'январь 2024'!$J$4:$J$1206,K$1)</f>
        <v>0</v>
      </c>
      <c r="L51" s="144">
        <f>SUMIFS('январь 2024'!$G$4:$G$1206,'январь 2024'!$D$4:$D$1206,$B51,'январь 2024'!$J$4:$J$1206,L$1)</f>
        <v>0</v>
      </c>
      <c r="M51" s="144">
        <f>SUMIFS('январь 2024'!$G$4:$G$1206,'январь 2024'!$D$4:$D$1206,$B51,'январь 2024'!$J$4:$J$1206,M$1)</f>
        <v>0</v>
      </c>
      <c r="N51" s="144">
        <f>SUMIFS('январь 2024'!$G$4:$G$1206,'январь 2024'!$D$4:$D$1206,$B51,'январь 2024'!$J$4:$J$1206,N$1)</f>
        <v>0</v>
      </c>
      <c r="O51" s="144">
        <f>SUMIFS('январь 2024'!$G$4:$G$1206,'январь 2024'!$D$4:$D$1206,$B51,'январь 2024'!$J$4:$J$1206,O$1)</f>
        <v>0</v>
      </c>
      <c r="P51" s="144">
        <f>SUMIFS('январь 2024'!$G$4:$G$1206,'январь 2024'!$D$4:$D$1206,$B51,'январь 2024'!$J$4:$J$1206,P$1)</f>
        <v>0</v>
      </c>
      <c r="Q51" s="144">
        <f>SUMIFS('январь 2024'!$G$4:$G$1206,'январь 2024'!$D$4:$D$1206,$B51,'январь 2024'!$J$4:$J$1206,Q$1)</f>
        <v>0</v>
      </c>
      <c r="R51" s="144">
        <f>SUMIFS('январь 2024'!$G$4:$G$1206,'январь 2024'!$D$4:$D$1206,$B51,'январь 2024'!$J$4:$J$1206,R$1)</f>
        <v>0</v>
      </c>
      <c r="S51" s="144">
        <f>SUMIFS('январь 2024'!$G$4:$G$1206,'январь 2024'!$D$4:$D$1206,$B51,'январь 2024'!$J$4:$J$1206,S$1)</f>
        <v>0</v>
      </c>
      <c r="T51" s="144">
        <f>SUMIFS('январь 2024'!$G$4:$G$1206,'январь 2024'!$D$4:$D$1206,$B51,'январь 2024'!$J$4:$J$1206,T$1)</f>
        <v>0</v>
      </c>
      <c r="U51" s="144">
        <f>SUMIFS('январь 2024'!$G$4:$G$1206,'январь 2024'!$D$4:$D$1206,$B51,'январь 2024'!$J$4:$J$1206,U$1)</f>
        <v>0</v>
      </c>
      <c r="V51" s="144">
        <f>SUMIFS('январь 2024'!$G$4:$G$1206,'январь 2024'!$D$4:$D$1206,$B51,'январь 2024'!$J$4:$J$1206,V$1)</f>
        <v>0</v>
      </c>
      <c r="W51" s="144">
        <f>SUMIFS('январь 2024'!$G$4:$G$1206,'январь 2024'!$D$4:$D$1206,$B51,'январь 2024'!$J$4:$J$1206,W$1)</f>
        <v>0</v>
      </c>
      <c r="X51" s="144">
        <f>SUMIFS('январь 2024'!$G$4:$G$1206,'январь 2024'!$D$4:$D$1206,$B51,'январь 2024'!$J$4:$J$1206,X$1)</f>
        <v>0</v>
      </c>
      <c r="Y51" s="144">
        <f>SUMIFS('январь 2024'!$G$4:$G$1206,'январь 2024'!$D$4:$D$1206,$B51,'январь 2024'!$J$4:$J$1206,Y$1)</f>
        <v>0</v>
      </c>
      <c r="Z51" s="144">
        <f>SUMIFS('январь 2024'!$G$4:$G$1206,'январь 2024'!$D$4:$D$1206,$B51,'январь 2024'!$J$4:$J$1206,Z$1)</f>
        <v>0</v>
      </c>
      <c r="AA51" s="144">
        <f>SUMIFS('январь 2024'!$G$4:$G$1206,'январь 2024'!$D$4:$D$1206,$B51,'январь 2024'!$J$4:$J$1206,AA$1)</f>
        <v>0</v>
      </c>
      <c r="AB51" s="144">
        <f>SUMIFS('январь 2024'!$G$4:$G$1206,'январь 2024'!$D$4:$D$1206,$B51,'январь 2024'!$J$4:$J$1206,AB$1)</f>
        <v>0</v>
      </c>
      <c r="AC51" s="144">
        <f>SUMIFS('январь 2024'!$G$4:$G$1206,'январь 2024'!$D$4:$D$1206,$B51,'январь 2024'!$J$4:$J$1206,AC$1)</f>
        <v>0</v>
      </c>
      <c r="AD51" s="144">
        <f>SUMIFS('январь 2024'!$G$4:$G$1206,'январь 2024'!$D$4:$D$1206,$B51,'январь 2024'!$J$4:$J$1206,AD$1)</f>
        <v>0</v>
      </c>
      <c r="AE51" s="144">
        <f>SUMIFS('январь 2024'!$G$4:$G$1206,'январь 2024'!$D$4:$D$1206,$B51,'январь 2024'!$J$4:$J$1206,AE$1)</f>
        <v>0</v>
      </c>
      <c r="AF51" s="144">
        <f>SUMIFS('январь 2024'!$G$4:$G$1206,'январь 2024'!$D$4:$D$1206,$B51,'январь 2024'!$J$4:$J$1206,AF$1)</f>
        <v>0</v>
      </c>
      <c r="AG51" s="144">
        <f>SUMIFS('январь 2024'!$G$4:$G$1206,'январь 2024'!$D$4:$D$1206,$B51,'январь 2024'!$J$4:$J$1206,AG$1)</f>
        <v>0</v>
      </c>
      <c r="AH51" s="144">
        <f>SUMIFS('январь 2024'!$G$4:$G$1206,'январь 2024'!$D$4:$D$1206,$B51,'январь 2024'!$J$4:$J$1206,AH$1)</f>
        <v>0</v>
      </c>
      <c r="AI51" s="145">
        <f t="shared" si="1"/>
        <v>0</v>
      </c>
    </row>
    <row r="52" spans="2:35" ht="15" customHeight="1" x14ac:dyDescent="0.25">
      <c r="B52" s="150" t="s">
        <v>318</v>
      </c>
      <c r="C52" s="151">
        <v>20</v>
      </c>
      <c r="D52" s="144">
        <f>SUMIFS('январь 2024'!$G$4:$G$1206,'январь 2024'!$D$4:$D$1206,$B52,'январь 2024'!$J$4:$J$1206,D$1)</f>
        <v>0</v>
      </c>
      <c r="E52" s="144">
        <f>SUMIFS('январь 2024'!$G$4:$G$1206,'январь 2024'!$D$4:$D$1206,$B52,'январь 2024'!$J$4:$J$1206,E$1)</f>
        <v>0</v>
      </c>
      <c r="F52" s="144">
        <f>SUMIFS('январь 2024'!$G$4:$G$1206,'январь 2024'!$D$4:$D$1206,$B52,'январь 2024'!$J$4:$J$1206,F$1)</f>
        <v>0</v>
      </c>
      <c r="G52" s="144">
        <f>SUMIFS('январь 2024'!$G$4:$G$1206,'январь 2024'!$D$4:$D$1206,$B52,'январь 2024'!$J$4:$J$1206,G$1)</f>
        <v>0</v>
      </c>
      <c r="H52" s="144">
        <f>SUMIFS('январь 2024'!$G$4:$G$1206,'январь 2024'!$D$4:$D$1206,$B52,'январь 2024'!$J$4:$J$1206,H$1)</f>
        <v>0</v>
      </c>
      <c r="I52" s="144">
        <f>SUMIFS('январь 2024'!$G$4:$G$1206,'январь 2024'!$D$4:$D$1206,$B52,'январь 2024'!$J$4:$J$1206,I$1)</f>
        <v>0</v>
      </c>
      <c r="J52" s="144">
        <f>SUMIFS('январь 2024'!$G$4:$G$1206,'январь 2024'!$D$4:$D$1206,$B52,'январь 2024'!$J$4:$J$1206,J$1)</f>
        <v>0</v>
      </c>
      <c r="K52" s="144">
        <f>SUMIFS('январь 2024'!$G$4:$G$1206,'январь 2024'!$D$4:$D$1206,$B52,'январь 2024'!$J$4:$J$1206,K$1)</f>
        <v>0</v>
      </c>
      <c r="L52" s="144">
        <f>SUMIFS('январь 2024'!$G$4:$G$1206,'январь 2024'!$D$4:$D$1206,$B52,'январь 2024'!$J$4:$J$1206,L$1)</f>
        <v>0</v>
      </c>
      <c r="M52" s="144">
        <f>SUMIFS('январь 2024'!$G$4:$G$1206,'январь 2024'!$D$4:$D$1206,$B52,'январь 2024'!$J$4:$J$1206,M$1)</f>
        <v>0</v>
      </c>
      <c r="N52" s="144">
        <f>SUMIFS('январь 2024'!$G$4:$G$1206,'январь 2024'!$D$4:$D$1206,$B52,'январь 2024'!$J$4:$J$1206,N$1)</f>
        <v>0</v>
      </c>
      <c r="O52" s="144">
        <f>SUMIFS('январь 2024'!$G$4:$G$1206,'январь 2024'!$D$4:$D$1206,$B52,'январь 2024'!$J$4:$J$1206,O$1)</f>
        <v>0</v>
      </c>
      <c r="P52" s="144">
        <f>SUMIFS('январь 2024'!$G$4:$G$1206,'январь 2024'!$D$4:$D$1206,$B52,'январь 2024'!$J$4:$J$1206,P$1)</f>
        <v>0</v>
      </c>
      <c r="Q52" s="144">
        <f>SUMIFS('январь 2024'!$G$4:$G$1206,'январь 2024'!$D$4:$D$1206,$B52,'январь 2024'!$J$4:$J$1206,Q$1)</f>
        <v>0</v>
      </c>
      <c r="R52" s="144">
        <f>SUMIFS('январь 2024'!$G$4:$G$1206,'январь 2024'!$D$4:$D$1206,$B52,'январь 2024'!$J$4:$J$1206,R$1)</f>
        <v>0</v>
      </c>
      <c r="S52" s="144">
        <f>SUMIFS('январь 2024'!$G$4:$G$1206,'январь 2024'!$D$4:$D$1206,$B52,'январь 2024'!$J$4:$J$1206,S$1)</f>
        <v>0</v>
      </c>
      <c r="T52" s="144">
        <f>SUMIFS('январь 2024'!$G$4:$G$1206,'январь 2024'!$D$4:$D$1206,$B52,'январь 2024'!$J$4:$J$1206,T$1)</f>
        <v>0</v>
      </c>
      <c r="U52" s="144">
        <f>SUMIFS('январь 2024'!$G$4:$G$1206,'январь 2024'!$D$4:$D$1206,$B52,'январь 2024'!$J$4:$J$1206,U$1)</f>
        <v>0</v>
      </c>
      <c r="V52" s="144">
        <f>SUMIFS('январь 2024'!$G$4:$G$1206,'январь 2024'!$D$4:$D$1206,$B52,'январь 2024'!$J$4:$J$1206,V$1)</f>
        <v>0</v>
      </c>
      <c r="W52" s="144">
        <f>SUMIFS('январь 2024'!$G$4:$G$1206,'январь 2024'!$D$4:$D$1206,$B52,'январь 2024'!$J$4:$J$1206,W$1)</f>
        <v>0</v>
      </c>
      <c r="X52" s="144">
        <f>SUMIFS('январь 2024'!$G$4:$G$1206,'январь 2024'!$D$4:$D$1206,$B52,'январь 2024'!$J$4:$J$1206,X$1)</f>
        <v>0</v>
      </c>
      <c r="Y52" s="144">
        <f>SUMIFS('январь 2024'!$G$4:$G$1206,'январь 2024'!$D$4:$D$1206,$B52,'январь 2024'!$J$4:$J$1206,Y$1)</f>
        <v>0</v>
      </c>
      <c r="Z52" s="144">
        <f>SUMIFS('январь 2024'!$G$4:$G$1206,'январь 2024'!$D$4:$D$1206,$B52,'январь 2024'!$J$4:$J$1206,Z$1)</f>
        <v>0</v>
      </c>
      <c r="AA52" s="144">
        <f>SUMIFS('январь 2024'!$G$4:$G$1206,'январь 2024'!$D$4:$D$1206,$B52,'январь 2024'!$J$4:$J$1206,AA$1)</f>
        <v>0</v>
      </c>
      <c r="AB52" s="144">
        <f>SUMIFS('январь 2024'!$G$4:$G$1206,'январь 2024'!$D$4:$D$1206,$B52,'январь 2024'!$J$4:$J$1206,AB$1)</f>
        <v>0</v>
      </c>
      <c r="AC52" s="144">
        <f>SUMIFS('январь 2024'!$G$4:$G$1206,'январь 2024'!$D$4:$D$1206,$B52,'январь 2024'!$J$4:$J$1206,AC$1)</f>
        <v>0</v>
      </c>
      <c r="AD52" s="144">
        <f>SUMIFS('январь 2024'!$G$4:$G$1206,'январь 2024'!$D$4:$D$1206,$B52,'январь 2024'!$J$4:$J$1206,AD$1)</f>
        <v>0</v>
      </c>
      <c r="AE52" s="144">
        <f>SUMIFS('январь 2024'!$G$4:$G$1206,'январь 2024'!$D$4:$D$1206,$B52,'январь 2024'!$J$4:$J$1206,AE$1)</f>
        <v>0</v>
      </c>
      <c r="AF52" s="144">
        <f>SUMIFS('январь 2024'!$G$4:$G$1206,'январь 2024'!$D$4:$D$1206,$B52,'январь 2024'!$J$4:$J$1206,AF$1)</f>
        <v>0</v>
      </c>
      <c r="AG52" s="144">
        <f>SUMIFS('январь 2024'!$G$4:$G$1206,'январь 2024'!$D$4:$D$1206,$B52,'январь 2024'!$J$4:$J$1206,AG$1)</f>
        <v>0</v>
      </c>
      <c r="AH52" s="144">
        <f>SUMIFS('январь 2024'!$G$4:$G$1206,'январь 2024'!$D$4:$D$1206,$B52,'январь 2024'!$J$4:$J$1206,AH$1)</f>
        <v>0</v>
      </c>
      <c r="AI52" s="145">
        <f t="shared" si="1"/>
        <v>0</v>
      </c>
    </row>
    <row r="53" spans="2:35" ht="15" customHeight="1" x14ac:dyDescent="0.25">
      <c r="B53" s="150" t="s">
        <v>319</v>
      </c>
      <c r="C53" s="151">
        <v>20</v>
      </c>
      <c r="D53" s="144">
        <f>SUMIFS('январь 2024'!$G$4:$G$1206,'январь 2024'!$D$4:$D$1206,$B53,'январь 2024'!$J$4:$J$1206,D$1)</f>
        <v>0</v>
      </c>
      <c r="E53" s="144">
        <f>SUMIFS('январь 2024'!$G$4:$G$1206,'январь 2024'!$D$4:$D$1206,$B53,'январь 2024'!$J$4:$J$1206,E$1)</f>
        <v>0</v>
      </c>
      <c r="F53" s="144">
        <f>SUMIFS('январь 2024'!$G$4:$G$1206,'январь 2024'!$D$4:$D$1206,$B53,'январь 2024'!$J$4:$J$1206,F$1)</f>
        <v>0</v>
      </c>
      <c r="G53" s="144">
        <f>SUMIFS('январь 2024'!$G$4:$G$1206,'январь 2024'!$D$4:$D$1206,$B53,'январь 2024'!$J$4:$J$1206,G$1)</f>
        <v>0</v>
      </c>
      <c r="H53" s="144">
        <f>SUMIFS('январь 2024'!$G$4:$G$1206,'январь 2024'!$D$4:$D$1206,$B53,'январь 2024'!$J$4:$J$1206,H$1)</f>
        <v>0</v>
      </c>
      <c r="I53" s="144">
        <f>SUMIFS('январь 2024'!$G$4:$G$1206,'январь 2024'!$D$4:$D$1206,$B53,'январь 2024'!$J$4:$J$1206,I$1)</f>
        <v>0</v>
      </c>
      <c r="J53" s="144">
        <f>SUMIFS('январь 2024'!$G$4:$G$1206,'январь 2024'!$D$4:$D$1206,$B53,'январь 2024'!$J$4:$J$1206,J$1)</f>
        <v>0</v>
      </c>
      <c r="K53" s="144">
        <f>SUMIFS('январь 2024'!$G$4:$G$1206,'январь 2024'!$D$4:$D$1206,$B53,'январь 2024'!$J$4:$J$1206,K$1)</f>
        <v>0</v>
      </c>
      <c r="L53" s="144">
        <f>SUMIFS('январь 2024'!$G$4:$G$1206,'январь 2024'!$D$4:$D$1206,$B53,'январь 2024'!$J$4:$J$1206,L$1)</f>
        <v>0</v>
      </c>
      <c r="M53" s="144">
        <f>SUMIFS('январь 2024'!$G$4:$G$1206,'январь 2024'!$D$4:$D$1206,$B53,'январь 2024'!$J$4:$J$1206,M$1)</f>
        <v>0</v>
      </c>
      <c r="N53" s="144">
        <f>SUMIFS('январь 2024'!$G$4:$G$1206,'январь 2024'!$D$4:$D$1206,$B53,'январь 2024'!$J$4:$J$1206,N$1)</f>
        <v>0</v>
      </c>
      <c r="O53" s="144">
        <f>SUMIFS('январь 2024'!$G$4:$G$1206,'январь 2024'!$D$4:$D$1206,$B53,'январь 2024'!$J$4:$J$1206,O$1)</f>
        <v>0</v>
      </c>
      <c r="P53" s="144">
        <f>SUMIFS('январь 2024'!$G$4:$G$1206,'январь 2024'!$D$4:$D$1206,$B53,'январь 2024'!$J$4:$J$1206,P$1)</f>
        <v>0</v>
      </c>
      <c r="Q53" s="144">
        <f>SUMIFS('январь 2024'!$G$4:$G$1206,'январь 2024'!$D$4:$D$1206,$B53,'январь 2024'!$J$4:$J$1206,Q$1)</f>
        <v>0</v>
      </c>
      <c r="R53" s="144">
        <f>SUMIFS('январь 2024'!$G$4:$G$1206,'январь 2024'!$D$4:$D$1206,$B53,'январь 2024'!$J$4:$J$1206,R$1)</f>
        <v>0</v>
      </c>
      <c r="S53" s="144">
        <f>SUMIFS('январь 2024'!$G$4:$G$1206,'январь 2024'!$D$4:$D$1206,$B53,'январь 2024'!$J$4:$J$1206,S$1)</f>
        <v>0</v>
      </c>
      <c r="T53" s="144">
        <f>SUMIFS('январь 2024'!$G$4:$G$1206,'январь 2024'!$D$4:$D$1206,$B53,'январь 2024'!$J$4:$J$1206,T$1)</f>
        <v>0</v>
      </c>
      <c r="U53" s="144">
        <f>SUMIFS('январь 2024'!$G$4:$G$1206,'январь 2024'!$D$4:$D$1206,$B53,'январь 2024'!$J$4:$J$1206,U$1)</f>
        <v>0</v>
      </c>
      <c r="V53" s="144">
        <f>SUMIFS('январь 2024'!$G$4:$G$1206,'январь 2024'!$D$4:$D$1206,$B53,'январь 2024'!$J$4:$J$1206,V$1)</f>
        <v>0</v>
      </c>
      <c r="W53" s="144">
        <f>SUMIFS('январь 2024'!$G$4:$G$1206,'январь 2024'!$D$4:$D$1206,$B53,'январь 2024'!$J$4:$J$1206,W$1)</f>
        <v>0</v>
      </c>
      <c r="X53" s="144">
        <f>SUMIFS('январь 2024'!$G$4:$G$1206,'январь 2024'!$D$4:$D$1206,$B53,'январь 2024'!$J$4:$J$1206,X$1)</f>
        <v>0</v>
      </c>
      <c r="Y53" s="144">
        <f>SUMIFS('январь 2024'!$G$4:$G$1206,'январь 2024'!$D$4:$D$1206,$B53,'январь 2024'!$J$4:$J$1206,Y$1)</f>
        <v>0</v>
      </c>
      <c r="Z53" s="144">
        <f>SUMIFS('январь 2024'!$G$4:$G$1206,'январь 2024'!$D$4:$D$1206,$B53,'январь 2024'!$J$4:$J$1206,Z$1)</f>
        <v>0</v>
      </c>
      <c r="AA53" s="144">
        <f>SUMIFS('январь 2024'!$G$4:$G$1206,'январь 2024'!$D$4:$D$1206,$B53,'январь 2024'!$J$4:$J$1206,AA$1)</f>
        <v>0</v>
      </c>
      <c r="AB53" s="144">
        <f>SUMIFS('январь 2024'!$G$4:$G$1206,'январь 2024'!$D$4:$D$1206,$B53,'январь 2024'!$J$4:$J$1206,AB$1)</f>
        <v>0</v>
      </c>
      <c r="AC53" s="144">
        <f>SUMIFS('январь 2024'!$G$4:$G$1206,'январь 2024'!$D$4:$D$1206,$B53,'январь 2024'!$J$4:$J$1206,AC$1)</f>
        <v>0</v>
      </c>
      <c r="AD53" s="144">
        <f>SUMIFS('январь 2024'!$G$4:$G$1206,'январь 2024'!$D$4:$D$1206,$B53,'январь 2024'!$J$4:$J$1206,AD$1)</f>
        <v>0</v>
      </c>
      <c r="AE53" s="144">
        <f>SUMIFS('январь 2024'!$G$4:$G$1206,'январь 2024'!$D$4:$D$1206,$B53,'январь 2024'!$J$4:$J$1206,AE$1)</f>
        <v>0</v>
      </c>
      <c r="AF53" s="144">
        <f>SUMIFS('январь 2024'!$G$4:$G$1206,'январь 2024'!$D$4:$D$1206,$B53,'январь 2024'!$J$4:$J$1206,AF$1)</f>
        <v>0</v>
      </c>
      <c r="AG53" s="144">
        <f>SUMIFS('январь 2024'!$G$4:$G$1206,'январь 2024'!$D$4:$D$1206,$B53,'январь 2024'!$J$4:$J$1206,AG$1)</f>
        <v>1950</v>
      </c>
      <c r="AH53" s="144">
        <f>SUMIFS('январь 2024'!$G$4:$G$1206,'январь 2024'!$D$4:$D$1206,$B53,'январь 2024'!$J$4:$J$1206,AH$1)</f>
        <v>0</v>
      </c>
      <c r="AI53" s="145">
        <f t="shared" si="1"/>
        <v>1950</v>
      </c>
    </row>
    <row r="54" spans="2:35" ht="15" customHeight="1" x14ac:dyDescent="0.25">
      <c r="B54" s="150"/>
      <c r="C54" s="151"/>
      <c r="D54" s="144">
        <f>SUMIFS('январь 2024'!$G$4:$G$1206,'январь 2024'!$D$4:$D$1206,$B54,'январь 2024'!$J$4:$J$1206,D$1)</f>
        <v>0</v>
      </c>
      <c r="E54" s="144">
        <f>SUMIFS('январь 2024'!$G$4:$G$1206,'январь 2024'!$D$4:$D$1206,$B54,'январь 2024'!$J$4:$J$1206,E$1)</f>
        <v>0</v>
      </c>
      <c r="F54" s="144">
        <f>SUMIFS('январь 2024'!$G$4:$G$1206,'январь 2024'!$D$4:$D$1206,$B54,'январь 2024'!$J$4:$J$1206,F$1)</f>
        <v>0</v>
      </c>
      <c r="G54" s="144">
        <f>SUMIFS('январь 2024'!$G$4:$G$1206,'январь 2024'!$D$4:$D$1206,$B54,'январь 2024'!$J$4:$J$1206,G$1)</f>
        <v>0</v>
      </c>
      <c r="H54" s="144">
        <f>SUMIFS('январь 2024'!$G$4:$G$1206,'январь 2024'!$D$4:$D$1206,$B54,'январь 2024'!$J$4:$J$1206,H$1)</f>
        <v>0</v>
      </c>
      <c r="I54" s="144">
        <f>SUMIFS('январь 2024'!$G$4:$G$1206,'январь 2024'!$D$4:$D$1206,$B54,'январь 2024'!$J$4:$J$1206,I$1)</f>
        <v>0</v>
      </c>
      <c r="J54" s="144">
        <f>SUMIFS('январь 2024'!$G$4:$G$1206,'январь 2024'!$D$4:$D$1206,$B54,'январь 2024'!$J$4:$J$1206,J$1)</f>
        <v>0</v>
      </c>
      <c r="K54" s="144">
        <f>SUMIFS('январь 2024'!$G$4:$G$1206,'январь 2024'!$D$4:$D$1206,$B54,'январь 2024'!$J$4:$J$1206,K$1)</f>
        <v>0</v>
      </c>
      <c r="L54" s="144">
        <f>SUMIFS('январь 2024'!$G$4:$G$1206,'январь 2024'!$D$4:$D$1206,$B54,'январь 2024'!$J$4:$J$1206,L$1)</f>
        <v>0</v>
      </c>
      <c r="M54" s="144">
        <f>SUMIFS('январь 2024'!$G$4:$G$1206,'январь 2024'!$D$4:$D$1206,$B54,'январь 2024'!$J$4:$J$1206,M$1)</f>
        <v>0</v>
      </c>
      <c r="N54" s="144">
        <f>SUMIFS('январь 2024'!$G$4:$G$1206,'январь 2024'!$D$4:$D$1206,$B54,'январь 2024'!$J$4:$J$1206,N$1)</f>
        <v>0</v>
      </c>
      <c r="O54" s="144">
        <f>SUMIFS('январь 2024'!$G$4:$G$1206,'январь 2024'!$D$4:$D$1206,$B54,'январь 2024'!$J$4:$J$1206,O$1)</f>
        <v>0</v>
      </c>
      <c r="P54" s="144">
        <f>SUMIFS('январь 2024'!$G$4:$G$1206,'январь 2024'!$D$4:$D$1206,$B54,'январь 2024'!$J$4:$J$1206,P$1)</f>
        <v>0</v>
      </c>
      <c r="Q54" s="144">
        <f>SUMIFS('январь 2024'!$G$4:$G$1206,'январь 2024'!$D$4:$D$1206,$B54,'январь 2024'!$J$4:$J$1206,Q$1)</f>
        <v>0</v>
      </c>
      <c r="R54" s="144">
        <f>SUMIFS('январь 2024'!$G$4:$G$1206,'январь 2024'!$D$4:$D$1206,$B54,'январь 2024'!$J$4:$J$1206,R$1)</f>
        <v>0</v>
      </c>
      <c r="S54" s="144">
        <f>SUMIFS('январь 2024'!$G$4:$G$1206,'январь 2024'!$D$4:$D$1206,$B54,'январь 2024'!$J$4:$J$1206,S$1)</f>
        <v>0</v>
      </c>
      <c r="T54" s="144">
        <f>SUMIFS('январь 2024'!$G$4:$G$1206,'январь 2024'!$D$4:$D$1206,$B54,'январь 2024'!$J$4:$J$1206,T$1)</f>
        <v>0</v>
      </c>
      <c r="U54" s="144">
        <f>SUMIFS('январь 2024'!$G$4:$G$1206,'январь 2024'!$D$4:$D$1206,$B54,'январь 2024'!$J$4:$J$1206,U$1)</f>
        <v>0</v>
      </c>
      <c r="V54" s="144">
        <f>SUMIFS('январь 2024'!$G$4:$G$1206,'январь 2024'!$D$4:$D$1206,$B54,'январь 2024'!$J$4:$J$1206,V$1)</f>
        <v>0</v>
      </c>
      <c r="W54" s="144">
        <f>SUMIFS('январь 2024'!$G$4:$G$1206,'январь 2024'!$D$4:$D$1206,$B54,'январь 2024'!$J$4:$J$1206,W$1)</f>
        <v>0</v>
      </c>
      <c r="X54" s="144">
        <f>SUMIFS('январь 2024'!$G$4:$G$1206,'январь 2024'!$D$4:$D$1206,$B54,'январь 2024'!$J$4:$J$1206,X$1)</f>
        <v>0</v>
      </c>
      <c r="Y54" s="144">
        <f>SUMIFS('январь 2024'!$G$4:$G$1206,'январь 2024'!$D$4:$D$1206,$B54,'январь 2024'!$J$4:$J$1206,Y$1)</f>
        <v>0</v>
      </c>
      <c r="Z54" s="144">
        <f>SUMIFS('январь 2024'!$G$4:$G$1206,'январь 2024'!$D$4:$D$1206,$B54,'январь 2024'!$J$4:$J$1206,Z$1)</f>
        <v>0</v>
      </c>
      <c r="AA54" s="144">
        <f>SUMIFS('январь 2024'!$G$4:$G$1206,'январь 2024'!$D$4:$D$1206,$B54,'январь 2024'!$J$4:$J$1206,AA$1)</f>
        <v>0</v>
      </c>
      <c r="AB54" s="144">
        <f>SUMIFS('январь 2024'!$G$4:$G$1206,'январь 2024'!$D$4:$D$1206,$B54,'январь 2024'!$J$4:$J$1206,AB$1)</f>
        <v>0</v>
      </c>
      <c r="AC54" s="144">
        <f>SUMIFS('январь 2024'!$G$4:$G$1206,'январь 2024'!$D$4:$D$1206,$B54,'январь 2024'!$J$4:$J$1206,AC$1)</f>
        <v>0</v>
      </c>
      <c r="AD54" s="144">
        <f>SUMIFS('январь 2024'!$G$4:$G$1206,'январь 2024'!$D$4:$D$1206,$B54,'январь 2024'!$J$4:$J$1206,AD$1)</f>
        <v>0</v>
      </c>
      <c r="AE54" s="144">
        <f>SUMIFS('январь 2024'!$G$4:$G$1206,'январь 2024'!$D$4:$D$1206,$B54,'январь 2024'!$J$4:$J$1206,AE$1)</f>
        <v>0</v>
      </c>
      <c r="AF54" s="144">
        <f>SUMIFS('январь 2024'!$G$4:$G$1206,'январь 2024'!$D$4:$D$1206,$B54,'январь 2024'!$J$4:$J$1206,AF$1)</f>
        <v>0</v>
      </c>
      <c r="AG54" s="144">
        <f>SUMIFS('январь 2024'!$G$4:$G$1206,'январь 2024'!$D$4:$D$1206,$B54,'январь 2024'!$J$4:$J$1206,AG$1)</f>
        <v>0</v>
      </c>
      <c r="AH54" s="144">
        <f>SUMIFS('январь 2024'!$G$4:$G$1206,'январь 2024'!$D$4:$D$1206,$B54,'январь 2024'!$J$4:$J$1206,AH$1)</f>
        <v>0</v>
      </c>
      <c r="AI54" s="145">
        <f t="shared" si="1"/>
        <v>0</v>
      </c>
    </row>
    <row r="55" spans="2:35" ht="15" customHeight="1" x14ac:dyDescent="0.25">
      <c r="B55" s="150"/>
      <c r="C55" s="151"/>
      <c r="D55" s="144">
        <f>SUMIFS('январь 2024'!$G$4:$G$1206,'январь 2024'!$D$4:$D$1206,$B55,'январь 2024'!$J$4:$J$1206,D$1)</f>
        <v>0</v>
      </c>
      <c r="E55" s="144">
        <f>SUMIFS('январь 2024'!$G$4:$G$1206,'январь 2024'!$D$4:$D$1206,$B55,'январь 2024'!$J$4:$J$1206,E$1)</f>
        <v>0</v>
      </c>
      <c r="F55" s="144">
        <f>SUMIFS('январь 2024'!$G$4:$G$1206,'январь 2024'!$D$4:$D$1206,$B55,'январь 2024'!$J$4:$J$1206,F$1)</f>
        <v>0</v>
      </c>
      <c r="G55" s="144">
        <f>SUMIFS('январь 2024'!$G$4:$G$1206,'январь 2024'!$D$4:$D$1206,$B55,'январь 2024'!$J$4:$J$1206,G$1)</f>
        <v>0</v>
      </c>
      <c r="H55" s="144">
        <f>SUMIFS('январь 2024'!$G$4:$G$1206,'январь 2024'!$D$4:$D$1206,$B55,'январь 2024'!$J$4:$J$1206,H$1)</f>
        <v>0</v>
      </c>
      <c r="I55" s="144">
        <f>SUMIFS('январь 2024'!$G$4:$G$1206,'январь 2024'!$D$4:$D$1206,$B55,'январь 2024'!$J$4:$J$1206,I$1)</f>
        <v>0</v>
      </c>
      <c r="J55" s="144">
        <f>SUMIFS('январь 2024'!$G$4:$G$1206,'январь 2024'!$D$4:$D$1206,$B55,'январь 2024'!$J$4:$J$1206,J$1)</f>
        <v>0</v>
      </c>
      <c r="K55" s="144">
        <f>SUMIFS('январь 2024'!$G$4:$G$1206,'январь 2024'!$D$4:$D$1206,$B55,'январь 2024'!$J$4:$J$1206,K$1)</f>
        <v>0</v>
      </c>
      <c r="L55" s="144">
        <f>SUMIFS('январь 2024'!$G$4:$G$1206,'январь 2024'!$D$4:$D$1206,$B55,'январь 2024'!$J$4:$J$1206,L$1)</f>
        <v>0</v>
      </c>
      <c r="M55" s="144">
        <f>SUMIFS('январь 2024'!$G$4:$G$1206,'январь 2024'!$D$4:$D$1206,$B55,'январь 2024'!$J$4:$J$1206,M$1)</f>
        <v>0</v>
      </c>
      <c r="N55" s="144">
        <f>SUMIFS('январь 2024'!$G$4:$G$1206,'январь 2024'!$D$4:$D$1206,$B55,'январь 2024'!$J$4:$J$1206,N$1)</f>
        <v>0</v>
      </c>
      <c r="O55" s="144">
        <f>SUMIFS('январь 2024'!$G$4:$G$1206,'январь 2024'!$D$4:$D$1206,$B55,'январь 2024'!$J$4:$J$1206,O$1)</f>
        <v>0</v>
      </c>
      <c r="P55" s="144">
        <f>SUMIFS('январь 2024'!$G$4:$G$1206,'январь 2024'!$D$4:$D$1206,$B55,'январь 2024'!$J$4:$J$1206,P$1)</f>
        <v>0</v>
      </c>
      <c r="Q55" s="144">
        <f>SUMIFS('январь 2024'!$G$4:$G$1206,'январь 2024'!$D$4:$D$1206,$B55,'январь 2024'!$J$4:$J$1206,Q$1)</f>
        <v>0</v>
      </c>
      <c r="R55" s="144">
        <f>SUMIFS('январь 2024'!$G$4:$G$1206,'январь 2024'!$D$4:$D$1206,$B55,'январь 2024'!$J$4:$J$1206,R$1)</f>
        <v>0</v>
      </c>
      <c r="S55" s="144">
        <f>SUMIFS('январь 2024'!$G$4:$G$1206,'январь 2024'!$D$4:$D$1206,$B55,'январь 2024'!$J$4:$J$1206,S$1)</f>
        <v>0</v>
      </c>
      <c r="T55" s="144">
        <f>SUMIFS('январь 2024'!$G$4:$G$1206,'январь 2024'!$D$4:$D$1206,$B55,'январь 2024'!$J$4:$J$1206,T$1)</f>
        <v>0</v>
      </c>
      <c r="U55" s="144">
        <f>SUMIFS('январь 2024'!$G$4:$G$1206,'январь 2024'!$D$4:$D$1206,$B55,'январь 2024'!$J$4:$J$1206,U$1)</f>
        <v>0</v>
      </c>
      <c r="V55" s="144">
        <f>SUMIFS('январь 2024'!$G$4:$G$1206,'январь 2024'!$D$4:$D$1206,$B55,'январь 2024'!$J$4:$J$1206,V$1)</f>
        <v>0</v>
      </c>
      <c r="W55" s="144">
        <f>SUMIFS('январь 2024'!$G$4:$G$1206,'январь 2024'!$D$4:$D$1206,$B55,'январь 2024'!$J$4:$J$1206,W$1)</f>
        <v>0</v>
      </c>
      <c r="X55" s="144">
        <f>SUMIFS('январь 2024'!$G$4:$G$1206,'январь 2024'!$D$4:$D$1206,$B55,'январь 2024'!$J$4:$J$1206,X$1)</f>
        <v>0</v>
      </c>
      <c r="Y55" s="144">
        <f>SUMIFS('январь 2024'!$G$4:$G$1206,'январь 2024'!$D$4:$D$1206,$B55,'январь 2024'!$J$4:$J$1206,Y$1)</f>
        <v>0</v>
      </c>
      <c r="Z55" s="144">
        <f>SUMIFS('январь 2024'!$G$4:$G$1206,'январь 2024'!$D$4:$D$1206,$B55,'январь 2024'!$J$4:$J$1206,Z$1)</f>
        <v>0</v>
      </c>
      <c r="AA55" s="144">
        <f>SUMIFS('январь 2024'!$G$4:$G$1206,'январь 2024'!$D$4:$D$1206,$B55,'январь 2024'!$J$4:$J$1206,AA$1)</f>
        <v>0</v>
      </c>
      <c r="AB55" s="144">
        <f>SUMIFS('январь 2024'!$G$4:$G$1206,'январь 2024'!$D$4:$D$1206,$B55,'январь 2024'!$J$4:$J$1206,AB$1)</f>
        <v>0</v>
      </c>
      <c r="AC55" s="144">
        <f>SUMIFS('январь 2024'!$G$4:$G$1206,'январь 2024'!$D$4:$D$1206,$B55,'январь 2024'!$J$4:$J$1206,AC$1)</f>
        <v>0</v>
      </c>
      <c r="AD55" s="144">
        <f>SUMIFS('январь 2024'!$G$4:$G$1206,'январь 2024'!$D$4:$D$1206,$B55,'январь 2024'!$J$4:$J$1206,AD$1)</f>
        <v>0</v>
      </c>
      <c r="AE55" s="144">
        <f>SUMIFS('январь 2024'!$G$4:$G$1206,'январь 2024'!$D$4:$D$1206,$B55,'январь 2024'!$J$4:$J$1206,AE$1)</f>
        <v>0</v>
      </c>
      <c r="AF55" s="144">
        <f>SUMIFS('январь 2024'!$G$4:$G$1206,'январь 2024'!$D$4:$D$1206,$B55,'январь 2024'!$J$4:$J$1206,AF$1)</f>
        <v>0</v>
      </c>
      <c r="AG55" s="144">
        <f>SUMIFS('январь 2024'!$G$4:$G$1206,'январь 2024'!$D$4:$D$1206,$B55,'январь 2024'!$J$4:$J$1206,AG$1)</f>
        <v>0</v>
      </c>
      <c r="AH55" s="144">
        <f>SUMIFS('январь 2024'!$G$4:$G$1206,'январь 2024'!$D$4:$D$1206,$B55,'январь 2024'!$J$4:$J$1206,AH$1)</f>
        <v>0</v>
      </c>
      <c r="AI55" s="145">
        <f t="shared" si="1"/>
        <v>0</v>
      </c>
    </row>
    <row r="56" spans="2:35" ht="15" customHeight="1" x14ac:dyDescent="0.25">
      <c r="B56" s="155"/>
      <c r="C56" s="151"/>
      <c r="D56" s="144">
        <f>SUMIFS('январь 2024'!$G$4:$G$1206,'январь 2024'!$D$4:$D$1206,$B56,'январь 2024'!$J$4:$J$1206,D$1)</f>
        <v>0</v>
      </c>
      <c r="E56" s="144">
        <f>SUMIFS('январь 2024'!$G$4:$G$1206,'январь 2024'!$D$4:$D$1206,$B56,'январь 2024'!$J$4:$J$1206,E$1)</f>
        <v>0</v>
      </c>
      <c r="F56" s="144">
        <f>SUMIFS('январь 2024'!$G$4:$G$1206,'январь 2024'!$D$4:$D$1206,$B56,'январь 2024'!$J$4:$J$1206,F$1)</f>
        <v>0</v>
      </c>
      <c r="G56" s="144">
        <f>SUMIFS('январь 2024'!$G$4:$G$1206,'январь 2024'!$D$4:$D$1206,$B56,'январь 2024'!$J$4:$J$1206,G$1)</f>
        <v>0</v>
      </c>
      <c r="H56" s="144">
        <f>SUMIFS('январь 2024'!$G$4:$G$1206,'январь 2024'!$D$4:$D$1206,$B56,'январь 2024'!$J$4:$J$1206,H$1)</f>
        <v>0</v>
      </c>
      <c r="I56" s="144">
        <f>SUMIFS('январь 2024'!$G$4:$G$1206,'январь 2024'!$D$4:$D$1206,$B56,'январь 2024'!$J$4:$J$1206,I$1)</f>
        <v>0</v>
      </c>
      <c r="J56" s="144">
        <f>SUMIFS('январь 2024'!$G$4:$G$1206,'январь 2024'!$D$4:$D$1206,$B56,'январь 2024'!$J$4:$J$1206,J$1)</f>
        <v>0</v>
      </c>
      <c r="K56" s="144">
        <f>SUMIFS('январь 2024'!$G$4:$G$1206,'январь 2024'!$D$4:$D$1206,$B56,'январь 2024'!$J$4:$J$1206,K$1)</f>
        <v>0</v>
      </c>
      <c r="L56" s="144">
        <f>SUMIFS('январь 2024'!$G$4:$G$1206,'январь 2024'!$D$4:$D$1206,$B56,'январь 2024'!$J$4:$J$1206,L$1)</f>
        <v>0</v>
      </c>
      <c r="M56" s="144">
        <f>SUMIFS('январь 2024'!$G$4:$G$1206,'январь 2024'!$D$4:$D$1206,$B56,'январь 2024'!$J$4:$J$1206,M$1)</f>
        <v>0</v>
      </c>
      <c r="N56" s="144">
        <f>SUMIFS('январь 2024'!$G$4:$G$1206,'январь 2024'!$D$4:$D$1206,$B56,'январь 2024'!$J$4:$J$1206,N$1)</f>
        <v>0</v>
      </c>
      <c r="O56" s="144">
        <f>SUMIFS('январь 2024'!$G$4:$G$1206,'январь 2024'!$D$4:$D$1206,$B56,'январь 2024'!$J$4:$J$1206,O$1)</f>
        <v>0</v>
      </c>
      <c r="P56" s="144">
        <f>SUMIFS('январь 2024'!$G$4:$G$1206,'январь 2024'!$D$4:$D$1206,$B56,'январь 2024'!$J$4:$J$1206,P$1)</f>
        <v>0</v>
      </c>
      <c r="Q56" s="144">
        <f>SUMIFS('январь 2024'!$G$4:$G$1206,'январь 2024'!$D$4:$D$1206,$B56,'январь 2024'!$J$4:$J$1206,Q$1)</f>
        <v>0</v>
      </c>
      <c r="R56" s="144">
        <f>SUMIFS('январь 2024'!$G$4:$G$1206,'январь 2024'!$D$4:$D$1206,$B56,'январь 2024'!$J$4:$J$1206,R$1)</f>
        <v>0</v>
      </c>
      <c r="S56" s="144">
        <f>SUMIFS('январь 2024'!$G$4:$G$1206,'январь 2024'!$D$4:$D$1206,$B56,'январь 2024'!$J$4:$J$1206,S$1)</f>
        <v>0</v>
      </c>
      <c r="T56" s="144">
        <f>SUMIFS('январь 2024'!$G$4:$G$1206,'январь 2024'!$D$4:$D$1206,$B56,'январь 2024'!$J$4:$J$1206,T$1)</f>
        <v>0</v>
      </c>
      <c r="U56" s="144">
        <f>SUMIFS('январь 2024'!$G$4:$G$1206,'январь 2024'!$D$4:$D$1206,$B56,'январь 2024'!$J$4:$J$1206,U$1)</f>
        <v>0</v>
      </c>
      <c r="V56" s="144">
        <f>SUMIFS('январь 2024'!$G$4:$G$1206,'январь 2024'!$D$4:$D$1206,$B56,'январь 2024'!$J$4:$J$1206,V$1)</f>
        <v>0</v>
      </c>
      <c r="W56" s="144">
        <f>SUMIFS('январь 2024'!$G$4:$G$1206,'январь 2024'!$D$4:$D$1206,$B56,'январь 2024'!$J$4:$J$1206,W$1)</f>
        <v>0</v>
      </c>
      <c r="X56" s="144">
        <f>SUMIFS('январь 2024'!$G$4:$G$1206,'январь 2024'!$D$4:$D$1206,$B56,'январь 2024'!$J$4:$J$1206,X$1)</f>
        <v>0</v>
      </c>
      <c r="Y56" s="144">
        <f>SUMIFS('январь 2024'!$G$4:$G$1206,'январь 2024'!$D$4:$D$1206,$B56,'январь 2024'!$J$4:$J$1206,Y$1)</f>
        <v>0</v>
      </c>
      <c r="Z56" s="144">
        <f>SUMIFS('январь 2024'!$G$4:$G$1206,'январь 2024'!$D$4:$D$1206,$B56,'январь 2024'!$J$4:$J$1206,Z$1)</f>
        <v>0</v>
      </c>
      <c r="AA56" s="144">
        <f>SUMIFS('январь 2024'!$G$4:$G$1206,'январь 2024'!$D$4:$D$1206,$B56,'январь 2024'!$J$4:$J$1206,AA$1)</f>
        <v>0</v>
      </c>
      <c r="AB56" s="144">
        <f>SUMIFS('январь 2024'!$G$4:$G$1206,'январь 2024'!$D$4:$D$1206,$B56,'январь 2024'!$J$4:$J$1206,AB$1)</f>
        <v>0</v>
      </c>
      <c r="AC56" s="144">
        <f>SUMIFS('январь 2024'!$G$4:$G$1206,'январь 2024'!$D$4:$D$1206,$B56,'январь 2024'!$J$4:$J$1206,AC$1)</f>
        <v>0</v>
      </c>
      <c r="AD56" s="144">
        <f>SUMIFS('январь 2024'!$G$4:$G$1206,'январь 2024'!$D$4:$D$1206,$B56,'январь 2024'!$J$4:$J$1206,AD$1)</f>
        <v>0</v>
      </c>
      <c r="AE56" s="144">
        <f>SUMIFS('январь 2024'!$G$4:$G$1206,'январь 2024'!$D$4:$D$1206,$B56,'январь 2024'!$J$4:$J$1206,AE$1)</f>
        <v>0</v>
      </c>
      <c r="AF56" s="144">
        <f>SUMIFS('январь 2024'!$G$4:$G$1206,'январь 2024'!$D$4:$D$1206,$B56,'январь 2024'!$J$4:$J$1206,AF$1)</f>
        <v>0</v>
      </c>
      <c r="AG56" s="144">
        <f>SUMIFS('январь 2024'!$G$4:$G$1206,'январь 2024'!$D$4:$D$1206,$B56,'январь 2024'!$J$4:$J$1206,AG$1)</f>
        <v>0</v>
      </c>
      <c r="AH56" s="144">
        <f>SUMIFS('январь 2024'!$G$4:$G$1206,'январь 2024'!$D$4:$D$1206,$B56,'январь 2024'!$J$4:$J$1206,AH$1)</f>
        <v>0</v>
      </c>
      <c r="AI56" s="145">
        <f t="shared" si="1"/>
        <v>0</v>
      </c>
    </row>
    <row r="57" spans="2:35" ht="15" customHeight="1" x14ac:dyDescent="0.25">
      <c r="B57" s="155"/>
      <c r="C57" s="151"/>
      <c r="D57" s="144">
        <f>SUMIFS('январь 2024'!$G$4:$G$1206,'январь 2024'!$D$4:$D$1206,$B57,'январь 2024'!$J$4:$J$1206,D$1)</f>
        <v>0</v>
      </c>
      <c r="E57" s="144">
        <f>SUMIFS('январь 2024'!$G$4:$G$1206,'январь 2024'!$D$4:$D$1206,$B57,'январь 2024'!$J$4:$J$1206,E$1)</f>
        <v>0</v>
      </c>
      <c r="F57" s="144">
        <f>SUMIFS('январь 2024'!$G$4:$G$1206,'январь 2024'!$D$4:$D$1206,$B57,'январь 2024'!$J$4:$J$1206,F$1)</f>
        <v>0</v>
      </c>
      <c r="G57" s="144">
        <f>SUMIFS('январь 2024'!$G$4:$G$1206,'январь 2024'!$D$4:$D$1206,$B57,'январь 2024'!$J$4:$J$1206,G$1)</f>
        <v>0</v>
      </c>
      <c r="H57" s="144">
        <f>SUMIFS('январь 2024'!$G$4:$G$1206,'январь 2024'!$D$4:$D$1206,$B57,'январь 2024'!$J$4:$J$1206,H$1)</f>
        <v>0</v>
      </c>
      <c r="I57" s="144">
        <f>SUMIFS('январь 2024'!$G$4:$G$1206,'январь 2024'!$D$4:$D$1206,$B57,'январь 2024'!$J$4:$J$1206,I$1)</f>
        <v>0</v>
      </c>
      <c r="J57" s="144">
        <f>SUMIFS('январь 2024'!$G$4:$G$1206,'январь 2024'!$D$4:$D$1206,$B57,'январь 2024'!$J$4:$J$1206,J$1)</f>
        <v>0</v>
      </c>
      <c r="K57" s="144">
        <f>SUMIFS('январь 2024'!$G$4:$G$1206,'январь 2024'!$D$4:$D$1206,$B57,'январь 2024'!$J$4:$J$1206,K$1)</f>
        <v>0</v>
      </c>
      <c r="L57" s="144">
        <f>SUMIFS('январь 2024'!$G$4:$G$1206,'январь 2024'!$D$4:$D$1206,$B57,'январь 2024'!$J$4:$J$1206,L$1)</f>
        <v>0</v>
      </c>
      <c r="M57" s="144">
        <f>SUMIFS('январь 2024'!$G$4:$G$1206,'январь 2024'!$D$4:$D$1206,$B57,'январь 2024'!$J$4:$J$1206,M$1)</f>
        <v>0</v>
      </c>
      <c r="N57" s="144">
        <f>SUMIFS('январь 2024'!$G$4:$G$1206,'январь 2024'!$D$4:$D$1206,$B57,'январь 2024'!$J$4:$J$1206,N$1)</f>
        <v>0</v>
      </c>
      <c r="O57" s="144">
        <f>SUMIFS('январь 2024'!$G$4:$G$1206,'январь 2024'!$D$4:$D$1206,$B57,'январь 2024'!$J$4:$J$1206,O$1)</f>
        <v>0</v>
      </c>
      <c r="P57" s="144">
        <f>SUMIFS('январь 2024'!$G$4:$G$1206,'январь 2024'!$D$4:$D$1206,$B57,'январь 2024'!$J$4:$J$1206,P$1)</f>
        <v>0</v>
      </c>
      <c r="Q57" s="144">
        <f>SUMIFS('январь 2024'!$G$4:$G$1206,'январь 2024'!$D$4:$D$1206,$B57,'январь 2024'!$J$4:$J$1206,Q$1)</f>
        <v>0</v>
      </c>
      <c r="R57" s="144">
        <f>SUMIFS('январь 2024'!$G$4:$G$1206,'январь 2024'!$D$4:$D$1206,$B57,'январь 2024'!$J$4:$J$1206,R$1)</f>
        <v>0</v>
      </c>
      <c r="S57" s="144">
        <f>SUMIFS('январь 2024'!$G$4:$G$1206,'январь 2024'!$D$4:$D$1206,$B57,'январь 2024'!$J$4:$J$1206,S$1)</f>
        <v>0</v>
      </c>
      <c r="T57" s="144">
        <f>SUMIFS('январь 2024'!$G$4:$G$1206,'январь 2024'!$D$4:$D$1206,$B57,'январь 2024'!$J$4:$J$1206,T$1)</f>
        <v>0</v>
      </c>
      <c r="U57" s="144">
        <f>SUMIFS('январь 2024'!$G$4:$G$1206,'январь 2024'!$D$4:$D$1206,$B57,'январь 2024'!$J$4:$J$1206,U$1)</f>
        <v>0</v>
      </c>
      <c r="V57" s="144">
        <f>SUMIFS('январь 2024'!$G$4:$G$1206,'январь 2024'!$D$4:$D$1206,$B57,'январь 2024'!$J$4:$J$1206,V$1)</f>
        <v>0</v>
      </c>
      <c r="W57" s="144">
        <f>SUMIFS('январь 2024'!$G$4:$G$1206,'январь 2024'!$D$4:$D$1206,$B57,'январь 2024'!$J$4:$J$1206,W$1)</f>
        <v>0</v>
      </c>
      <c r="X57" s="144">
        <f>SUMIFS('январь 2024'!$G$4:$G$1206,'январь 2024'!$D$4:$D$1206,$B57,'январь 2024'!$J$4:$J$1206,X$1)</f>
        <v>0</v>
      </c>
      <c r="Y57" s="144">
        <f>SUMIFS('январь 2024'!$G$4:$G$1206,'январь 2024'!$D$4:$D$1206,$B57,'январь 2024'!$J$4:$J$1206,Y$1)</f>
        <v>0</v>
      </c>
      <c r="Z57" s="144">
        <f>SUMIFS('январь 2024'!$G$4:$G$1206,'январь 2024'!$D$4:$D$1206,$B57,'январь 2024'!$J$4:$J$1206,Z$1)</f>
        <v>0</v>
      </c>
      <c r="AA57" s="144">
        <f>SUMIFS('январь 2024'!$G$4:$G$1206,'январь 2024'!$D$4:$D$1206,$B57,'январь 2024'!$J$4:$J$1206,AA$1)</f>
        <v>0</v>
      </c>
      <c r="AB57" s="144">
        <f>SUMIFS('январь 2024'!$G$4:$G$1206,'январь 2024'!$D$4:$D$1206,$B57,'январь 2024'!$J$4:$J$1206,AB$1)</f>
        <v>0</v>
      </c>
      <c r="AC57" s="144">
        <f>SUMIFS('январь 2024'!$G$4:$G$1206,'январь 2024'!$D$4:$D$1206,$B57,'январь 2024'!$J$4:$J$1206,AC$1)</f>
        <v>0</v>
      </c>
      <c r="AD57" s="144">
        <f>SUMIFS('январь 2024'!$G$4:$G$1206,'январь 2024'!$D$4:$D$1206,$B57,'январь 2024'!$J$4:$J$1206,AD$1)</f>
        <v>0</v>
      </c>
      <c r="AE57" s="144">
        <f>SUMIFS('январь 2024'!$G$4:$G$1206,'январь 2024'!$D$4:$D$1206,$B57,'январь 2024'!$J$4:$J$1206,AE$1)</f>
        <v>0</v>
      </c>
      <c r="AF57" s="144">
        <f>SUMIFS('январь 2024'!$G$4:$G$1206,'январь 2024'!$D$4:$D$1206,$B57,'январь 2024'!$J$4:$J$1206,AF$1)</f>
        <v>0</v>
      </c>
      <c r="AG57" s="144">
        <f>SUMIFS('январь 2024'!$G$4:$G$1206,'январь 2024'!$D$4:$D$1206,$B57,'январь 2024'!$J$4:$J$1206,AG$1)</f>
        <v>0</v>
      </c>
      <c r="AH57" s="144">
        <f>SUMIFS('январь 2024'!$G$4:$G$1206,'январь 2024'!$D$4:$D$1206,$B57,'январь 2024'!$J$4:$J$1206,AH$1)</f>
        <v>0</v>
      </c>
      <c r="AI57" s="145">
        <f t="shared" si="1"/>
        <v>0</v>
      </c>
    </row>
    <row r="58" spans="2:35" ht="15" customHeight="1" x14ac:dyDescent="0.25">
      <c r="B58" s="155"/>
      <c r="C58" s="151"/>
      <c r="D58" s="144">
        <f>SUMIFS('январь 2024'!$G$4:$G$1206,'январь 2024'!$D$4:$D$1206,$B58,'январь 2024'!$J$4:$J$1206,D$1)</f>
        <v>0</v>
      </c>
      <c r="E58" s="144">
        <f>SUMIFS('январь 2024'!$G$4:$G$1206,'январь 2024'!$D$4:$D$1206,$B58,'январь 2024'!$J$4:$J$1206,E$1)</f>
        <v>0</v>
      </c>
      <c r="F58" s="144">
        <f>SUMIFS('январь 2024'!$G$4:$G$1206,'январь 2024'!$D$4:$D$1206,$B58,'январь 2024'!$J$4:$J$1206,F$1)</f>
        <v>0</v>
      </c>
      <c r="G58" s="144">
        <f>SUMIFS('январь 2024'!$G$4:$G$1206,'январь 2024'!$D$4:$D$1206,$B58,'январь 2024'!$J$4:$J$1206,G$1)</f>
        <v>0</v>
      </c>
      <c r="H58" s="144">
        <f>SUMIFS('январь 2024'!$G$4:$G$1206,'январь 2024'!$D$4:$D$1206,$B58,'январь 2024'!$J$4:$J$1206,H$1)</f>
        <v>0</v>
      </c>
      <c r="I58" s="144">
        <f>SUMIFS('январь 2024'!$G$4:$G$1206,'январь 2024'!$D$4:$D$1206,$B58,'январь 2024'!$J$4:$J$1206,I$1)</f>
        <v>0</v>
      </c>
      <c r="J58" s="144">
        <f>SUMIFS('январь 2024'!$G$4:$G$1206,'январь 2024'!$D$4:$D$1206,$B58,'январь 2024'!$J$4:$J$1206,J$1)</f>
        <v>0</v>
      </c>
      <c r="K58" s="144">
        <f>SUMIFS('январь 2024'!$G$4:$G$1206,'январь 2024'!$D$4:$D$1206,$B58,'январь 2024'!$J$4:$J$1206,K$1)</f>
        <v>0</v>
      </c>
      <c r="L58" s="144">
        <f>SUMIFS('январь 2024'!$G$4:$G$1206,'январь 2024'!$D$4:$D$1206,$B58,'январь 2024'!$J$4:$J$1206,L$1)</f>
        <v>0</v>
      </c>
      <c r="M58" s="144">
        <f>SUMIFS('январь 2024'!$G$4:$G$1206,'январь 2024'!$D$4:$D$1206,$B58,'январь 2024'!$J$4:$J$1206,M$1)</f>
        <v>0</v>
      </c>
      <c r="N58" s="144">
        <f>SUMIFS('январь 2024'!$G$4:$G$1206,'январь 2024'!$D$4:$D$1206,$B58,'январь 2024'!$J$4:$J$1206,N$1)</f>
        <v>0</v>
      </c>
      <c r="O58" s="144">
        <f>SUMIFS('январь 2024'!$G$4:$G$1206,'январь 2024'!$D$4:$D$1206,$B58,'январь 2024'!$J$4:$J$1206,O$1)</f>
        <v>0</v>
      </c>
      <c r="P58" s="144">
        <f>SUMIFS('январь 2024'!$G$4:$G$1206,'январь 2024'!$D$4:$D$1206,$B58,'январь 2024'!$J$4:$J$1206,P$1)</f>
        <v>0</v>
      </c>
      <c r="Q58" s="144">
        <f>SUMIFS('январь 2024'!$G$4:$G$1206,'январь 2024'!$D$4:$D$1206,$B58,'январь 2024'!$J$4:$J$1206,Q$1)</f>
        <v>0</v>
      </c>
      <c r="R58" s="144">
        <f>SUMIFS('январь 2024'!$G$4:$G$1206,'январь 2024'!$D$4:$D$1206,$B58,'январь 2024'!$J$4:$J$1206,R$1)</f>
        <v>0</v>
      </c>
      <c r="S58" s="144">
        <f>SUMIFS('январь 2024'!$G$4:$G$1206,'январь 2024'!$D$4:$D$1206,$B58,'январь 2024'!$J$4:$J$1206,S$1)</f>
        <v>0</v>
      </c>
      <c r="T58" s="144">
        <f>SUMIFS('январь 2024'!$G$4:$G$1206,'январь 2024'!$D$4:$D$1206,$B58,'январь 2024'!$J$4:$J$1206,T$1)</f>
        <v>0</v>
      </c>
      <c r="U58" s="144">
        <f>SUMIFS('январь 2024'!$G$4:$G$1206,'январь 2024'!$D$4:$D$1206,$B58,'январь 2024'!$J$4:$J$1206,U$1)</f>
        <v>0</v>
      </c>
      <c r="V58" s="144">
        <f>SUMIFS('январь 2024'!$G$4:$G$1206,'январь 2024'!$D$4:$D$1206,$B58,'январь 2024'!$J$4:$J$1206,V$1)</f>
        <v>0</v>
      </c>
      <c r="W58" s="144">
        <f>SUMIFS('январь 2024'!$G$4:$G$1206,'январь 2024'!$D$4:$D$1206,$B58,'январь 2024'!$J$4:$J$1206,W$1)</f>
        <v>0</v>
      </c>
      <c r="X58" s="144">
        <f>SUMIFS('январь 2024'!$G$4:$G$1206,'январь 2024'!$D$4:$D$1206,$B58,'январь 2024'!$J$4:$J$1206,X$1)</f>
        <v>0</v>
      </c>
      <c r="Y58" s="144">
        <f>SUMIFS('январь 2024'!$G$4:$G$1206,'январь 2024'!$D$4:$D$1206,$B58,'январь 2024'!$J$4:$J$1206,Y$1)</f>
        <v>0</v>
      </c>
      <c r="Z58" s="144">
        <f>SUMIFS('январь 2024'!$G$4:$G$1206,'январь 2024'!$D$4:$D$1206,$B58,'январь 2024'!$J$4:$J$1206,Z$1)</f>
        <v>0</v>
      </c>
      <c r="AA58" s="144">
        <f>SUMIFS('январь 2024'!$G$4:$G$1206,'январь 2024'!$D$4:$D$1206,$B58,'январь 2024'!$J$4:$J$1206,AA$1)</f>
        <v>0</v>
      </c>
      <c r="AB58" s="144">
        <f>SUMIFS('январь 2024'!$G$4:$G$1206,'январь 2024'!$D$4:$D$1206,$B58,'январь 2024'!$J$4:$J$1206,AB$1)</f>
        <v>0</v>
      </c>
      <c r="AC58" s="144">
        <f>SUMIFS('январь 2024'!$G$4:$G$1206,'январь 2024'!$D$4:$D$1206,$B58,'январь 2024'!$J$4:$J$1206,AC$1)</f>
        <v>0</v>
      </c>
      <c r="AD58" s="144">
        <f>SUMIFS('январь 2024'!$G$4:$G$1206,'январь 2024'!$D$4:$D$1206,$B58,'январь 2024'!$J$4:$J$1206,AD$1)</f>
        <v>0</v>
      </c>
      <c r="AE58" s="144">
        <f>SUMIFS('январь 2024'!$G$4:$G$1206,'январь 2024'!$D$4:$D$1206,$B58,'январь 2024'!$J$4:$J$1206,AE$1)</f>
        <v>0</v>
      </c>
      <c r="AF58" s="144">
        <f>SUMIFS('январь 2024'!$G$4:$G$1206,'январь 2024'!$D$4:$D$1206,$B58,'январь 2024'!$J$4:$J$1206,AF$1)</f>
        <v>0</v>
      </c>
      <c r="AG58" s="144">
        <f>SUMIFS('январь 2024'!$G$4:$G$1206,'январь 2024'!$D$4:$D$1206,$B58,'январь 2024'!$J$4:$J$1206,AG$1)</f>
        <v>0</v>
      </c>
      <c r="AH58" s="144">
        <f>SUMIFS('январь 2024'!$G$4:$G$1206,'январь 2024'!$D$4:$D$1206,$B58,'январь 2024'!$J$4:$J$1206,AH$1)</f>
        <v>0</v>
      </c>
      <c r="AI58" s="145">
        <f t="shared" si="1"/>
        <v>0</v>
      </c>
    </row>
    <row r="59" spans="2:35" ht="15" customHeight="1" x14ac:dyDescent="0.25">
      <c r="B59" s="92" t="s">
        <v>161</v>
      </c>
      <c r="C59" s="91">
        <v>200</v>
      </c>
      <c r="D59" s="86">
        <f>SUMIFS('январь 2024'!$G$4:$G$1206,'январь 2024'!$D$4:$D$1206,$B59,'январь 2024'!$J$4:$J$1206,D$1)</f>
        <v>0</v>
      </c>
      <c r="E59" s="86">
        <f>SUMIFS('январь 2024'!$G$4:$G$1206,'январь 2024'!$D$4:$D$1206,$B59,'январь 2024'!$J$4:$J$1206,E$1)</f>
        <v>0</v>
      </c>
      <c r="F59" s="86">
        <f>SUMIFS('январь 2024'!$G$4:$G$1206,'январь 2024'!$D$4:$D$1206,$B59,'январь 2024'!$J$4:$J$1206,F$1)</f>
        <v>0</v>
      </c>
      <c r="G59" s="86">
        <f>SUMIFS('январь 2024'!$G$4:$G$1206,'январь 2024'!$D$4:$D$1206,$B59,'январь 2024'!$J$4:$J$1206,G$1)</f>
        <v>0</v>
      </c>
      <c r="H59" s="86">
        <f>SUMIFS('январь 2024'!$G$4:$G$1206,'январь 2024'!$D$4:$D$1206,$B59,'январь 2024'!$J$4:$J$1206,H$1)</f>
        <v>0</v>
      </c>
      <c r="I59" s="86">
        <f>SUMIFS('январь 2024'!$G$4:$G$1206,'январь 2024'!$D$4:$D$1206,$B59,'январь 2024'!$J$4:$J$1206,I$1)</f>
        <v>0</v>
      </c>
      <c r="J59" s="86">
        <f>SUMIFS('январь 2024'!$G$4:$G$1206,'январь 2024'!$D$4:$D$1206,$B59,'январь 2024'!$J$4:$J$1206,J$1)</f>
        <v>0</v>
      </c>
      <c r="K59" s="86">
        <f>SUMIFS('январь 2024'!$G$4:$G$1206,'январь 2024'!$D$4:$D$1206,$B59,'январь 2024'!$J$4:$J$1206,K$1)</f>
        <v>0</v>
      </c>
      <c r="L59" s="86">
        <f>SUMIFS('январь 2024'!$G$4:$G$1206,'январь 2024'!$D$4:$D$1206,$B59,'январь 2024'!$J$4:$J$1206,L$1)</f>
        <v>0</v>
      </c>
      <c r="M59" s="86">
        <f>SUMIFS('январь 2024'!$G$4:$G$1206,'январь 2024'!$D$4:$D$1206,$B59,'январь 2024'!$J$4:$J$1206,M$1)</f>
        <v>0</v>
      </c>
      <c r="N59" s="86">
        <f>SUMIFS('январь 2024'!$G$4:$G$1206,'январь 2024'!$D$4:$D$1206,$B59,'январь 2024'!$J$4:$J$1206,N$1)</f>
        <v>0</v>
      </c>
      <c r="O59" s="86">
        <f>SUMIFS('январь 2024'!$G$4:$G$1206,'январь 2024'!$D$4:$D$1206,$B59,'январь 2024'!$J$4:$J$1206,O$1)</f>
        <v>0</v>
      </c>
      <c r="P59" s="86">
        <f>SUMIFS('январь 2024'!$G$4:$G$1206,'январь 2024'!$D$4:$D$1206,$B59,'январь 2024'!$J$4:$J$1206,P$1)</f>
        <v>0</v>
      </c>
      <c r="Q59" s="86">
        <f>SUMIFS('январь 2024'!$G$4:$G$1206,'январь 2024'!$D$4:$D$1206,$B59,'январь 2024'!$J$4:$J$1206,Q$1)</f>
        <v>0</v>
      </c>
      <c r="R59" s="86">
        <f>SUMIFS('январь 2024'!$G$4:$G$1206,'январь 2024'!$D$4:$D$1206,$B59,'январь 2024'!$J$4:$J$1206,R$1)</f>
        <v>0</v>
      </c>
      <c r="S59" s="86">
        <f>SUMIFS('январь 2024'!$G$4:$G$1206,'январь 2024'!$D$4:$D$1206,$B59,'январь 2024'!$J$4:$J$1206,S$1)</f>
        <v>0</v>
      </c>
      <c r="T59" s="86">
        <f>SUMIFS('январь 2024'!$G$4:$G$1206,'январь 2024'!$D$4:$D$1206,$B59,'январь 2024'!$J$4:$J$1206,T$1)</f>
        <v>0</v>
      </c>
      <c r="U59" s="86">
        <f>SUMIFS('январь 2024'!$G$4:$G$1206,'январь 2024'!$D$4:$D$1206,$B59,'январь 2024'!$J$4:$J$1206,U$1)</f>
        <v>0</v>
      </c>
      <c r="V59" s="86">
        <f>SUMIFS('январь 2024'!$G$4:$G$1206,'январь 2024'!$D$4:$D$1206,$B59,'январь 2024'!$J$4:$J$1206,V$1)</f>
        <v>0</v>
      </c>
      <c r="W59" s="86">
        <f>SUMIFS('январь 2024'!$G$4:$G$1206,'январь 2024'!$D$4:$D$1206,$B59,'январь 2024'!$J$4:$J$1206,W$1)</f>
        <v>0</v>
      </c>
      <c r="X59" s="86">
        <f>SUMIFS('январь 2024'!$G$4:$G$1206,'январь 2024'!$D$4:$D$1206,$B59,'январь 2024'!$J$4:$J$1206,X$1)</f>
        <v>0</v>
      </c>
      <c r="Y59" s="86">
        <f>SUMIFS('январь 2024'!$G$4:$G$1206,'январь 2024'!$D$4:$D$1206,$B59,'январь 2024'!$J$4:$J$1206,Y$1)</f>
        <v>0</v>
      </c>
      <c r="Z59" s="86">
        <f>SUMIFS('январь 2024'!$G$4:$G$1206,'январь 2024'!$D$4:$D$1206,$B59,'январь 2024'!$J$4:$J$1206,Z$1)</f>
        <v>0</v>
      </c>
      <c r="AA59" s="86">
        <f>SUMIFS('январь 2024'!$G$4:$G$1206,'январь 2024'!$D$4:$D$1206,$B59,'январь 2024'!$J$4:$J$1206,AA$1)</f>
        <v>0</v>
      </c>
      <c r="AB59" s="86">
        <f>SUMIFS('январь 2024'!$G$4:$G$1206,'январь 2024'!$D$4:$D$1206,$B59,'январь 2024'!$J$4:$J$1206,AB$1)</f>
        <v>0</v>
      </c>
      <c r="AC59" s="86">
        <f>SUMIFS('январь 2024'!$G$4:$G$1206,'январь 2024'!$D$4:$D$1206,$B59,'январь 2024'!$J$4:$J$1206,AC$1)</f>
        <v>0</v>
      </c>
      <c r="AD59" s="86">
        <f>SUMIFS('январь 2024'!$G$4:$G$1206,'январь 2024'!$D$4:$D$1206,$B59,'январь 2024'!$J$4:$J$1206,AD$1)</f>
        <v>0</v>
      </c>
      <c r="AE59" s="86">
        <f>SUMIFS('январь 2024'!$G$4:$G$1206,'январь 2024'!$D$4:$D$1206,$B59,'январь 2024'!$J$4:$J$1206,AE$1)</f>
        <v>0</v>
      </c>
      <c r="AF59" s="86">
        <f>SUMIFS('январь 2024'!$G$4:$G$1206,'январь 2024'!$D$4:$D$1206,$B59,'январь 2024'!$J$4:$J$1206,AF$1)</f>
        <v>0</v>
      </c>
      <c r="AG59" s="86">
        <f>SUMIFS('январь 2024'!$G$4:$G$1206,'январь 2024'!$D$4:$D$1206,$B59,'январь 2024'!$J$4:$J$1206,AG$1)</f>
        <v>24</v>
      </c>
      <c r="AH59" s="86">
        <f>SUMIFS('январь 2024'!$G$4:$G$1206,'январь 2024'!$D$4:$D$1206,$B59,'январь 2024'!$J$4:$J$1206,AH$1)</f>
        <v>0</v>
      </c>
      <c r="AI59" s="21">
        <f t="shared" si="1"/>
        <v>24</v>
      </c>
    </row>
    <row r="60" spans="2:35" ht="15" customHeight="1" x14ac:dyDescent="0.25">
      <c r="B60" s="92" t="s">
        <v>208</v>
      </c>
      <c r="C60" s="91">
        <v>50</v>
      </c>
      <c r="D60" s="86">
        <f>SUMIFS('январь 2024'!$G$4:$G$1206,'январь 2024'!$D$4:$D$1206,$B60,'январь 2024'!$J$4:$J$1206,D$1)</f>
        <v>0</v>
      </c>
      <c r="E60" s="86">
        <f>SUMIFS('январь 2024'!$G$4:$G$1206,'январь 2024'!$D$4:$D$1206,$B60,'январь 2024'!$J$4:$J$1206,E$1)</f>
        <v>0</v>
      </c>
      <c r="F60" s="86">
        <f>SUMIFS('январь 2024'!$G$4:$G$1206,'январь 2024'!$D$4:$D$1206,$B60,'январь 2024'!$J$4:$J$1206,F$1)</f>
        <v>0</v>
      </c>
      <c r="G60" s="86">
        <f>SUMIFS('январь 2024'!$G$4:$G$1206,'январь 2024'!$D$4:$D$1206,$B60,'январь 2024'!$J$4:$J$1206,G$1)</f>
        <v>0</v>
      </c>
      <c r="H60" s="86">
        <f>SUMIFS('январь 2024'!$G$4:$G$1206,'январь 2024'!$D$4:$D$1206,$B60,'январь 2024'!$J$4:$J$1206,H$1)</f>
        <v>0</v>
      </c>
      <c r="I60" s="86">
        <f>SUMIFS('январь 2024'!$G$4:$G$1206,'январь 2024'!$D$4:$D$1206,$B60,'январь 2024'!$J$4:$J$1206,I$1)</f>
        <v>0</v>
      </c>
      <c r="J60" s="86">
        <f>SUMIFS('январь 2024'!$G$4:$G$1206,'январь 2024'!$D$4:$D$1206,$B60,'январь 2024'!$J$4:$J$1206,J$1)</f>
        <v>0</v>
      </c>
      <c r="K60" s="86">
        <f>SUMIFS('январь 2024'!$G$4:$G$1206,'январь 2024'!$D$4:$D$1206,$B60,'январь 2024'!$J$4:$J$1206,K$1)</f>
        <v>0</v>
      </c>
      <c r="L60" s="86">
        <f>SUMIFS('январь 2024'!$G$4:$G$1206,'январь 2024'!$D$4:$D$1206,$B60,'январь 2024'!$J$4:$J$1206,L$1)</f>
        <v>0</v>
      </c>
      <c r="M60" s="86">
        <f>SUMIFS('январь 2024'!$G$4:$G$1206,'январь 2024'!$D$4:$D$1206,$B60,'январь 2024'!$J$4:$J$1206,M$1)</f>
        <v>0</v>
      </c>
      <c r="N60" s="86">
        <f>SUMIFS('январь 2024'!$G$4:$G$1206,'январь 2024'!$D$4:$D$1206,$B60,'январь 2024'!$J$4:$J$1206,N$1)</f>
        <v>0</v>
      </c>
      <c r="O60" s="86">
        <f>SUMIFS('январь 2024'!$G$4:$G$1206,'январь 2024'!$D$4:$D$1206,$B60,'январь 2024'!$J$4:$J$1206,O$1)</f>
        <v>0</v>
      </c>
      <c r="P60" s="86">
        <f>SUMIFS('январь 2024'!$G$4:$G$1206,'январь 2024'!$D$4:$D$1206,$B60,'январь 2024'!$J$4:$J$1206,P$1)</f>
        <v>0</v>
      </c>
      <c r="Q60" s="86">
        <f>SUMIFS('январь 2024'!$G$4:$G$1206,'январь 2024'!$D$4:$D$1206,$B60,'январь 2024'!$J$4:$J$1206,Q$1)</f>
        <v>0</v>
      </c>
      <c r="R60" s="86">
        <f>SUMIFS('январь 2024'!$G$4:$G$1206,'январь 2024'!$D$4:$D$1206,$B60,'январь 2024'!$J$4:$J$1206,R$1)</f>
        <v>0</v>
      </c>
      <c r="S60" s="86">
        <f>SUMIFS('январь 2024'!$G$4:$G$1206,'январь 2024'!$D$4:$D$1206,$B60,'январь 2024'!$J$4:$J$1206,S$1)</f>
        <v>0</v>
      </c>
      <c r="T60" s="86">
        <f>SUMIFS('январь 2024'!$G$4:$G$1206,'январь 2024'!$D$4:$D$1206,$B60,'январь 2024'!$J$4:$J$1206,T$1)</f>
        <v>0</v>
      </c>
      <c r="U60" s="86">
        <f>SUMIFS('январь 2024'!$G$4:$G$1206,'январь 2024'!$D$4:$D$1206,$B60,'январь 2024'!$J$4:$J$1206,U$1)</f>
        <v>0</v>
      </c>
      <c r="V60" s="86">
        <f>SUMIFS('январь 2024'!$G$4:$G$1206,'январь 2024'!$D$4:$D$1206,$B60,'январь 2024'!$J$4:$J$1206,V$1)</f>
        <v>0</v>
      </c>
      <c r="W60" s="86">
        <f>SUMIFS('январь 2024'!$G$4:$G$1206,'январь 2024'!$D$4:$D$1206,$B60,'январь 2024'!$J$4:$J$1206,W$1)</f>
        <v>0</v>
      </c>
      <c r="X60" s="86">
        <f>SUMIFS('январь 2024'!$G$4:$G$1206,'январь 2024'!$D$4:$D$1206,$B60,'январь 2024'!$J$4:$J$1206,X$1)</f>
        <v>0</v>
      </c>
      <c r="Y60" s="86">
        <f>SUMIFS('январь 2024'!$G$4:$G$1206,'январь 2024'!$D$4:$D$1206,$B60,'январь 2024'!$J$4:$J$1206,Y$1)</f>
        <v>0</v>
      </c>
      <c r="Z60" s="86">
        <f>SUMIFS('январь 2024'!$G$4:$G$1206,'январь 2024'!$D$4:$D$1206,$B60,'январь 2024'!$J$4:$J$1206,Z$1)</f>
        <v>0</v>
      </c>
      <c r="AA60" s="86">
        <f>SUMIFS('январь 2024'!$G$4:$G$1206,'январь 2024'!$D$4:$D$1206,$B60,'январь 2024'!$J$4:$J$1206,AA$1)</f>
        <v>0</v>
      </c>
      <c r="AB60" s="86">
        <f>SUMIFS('январь 2024'!$G$4:$G$1206,'январь 2024'!$D$4:$D$1206,$B60,'январь 2024'!$J$4:$J$1206,AB$1)</f>
        <v>0</v>
      </c>
      <c r="AC60" s="86">
        <f>SUMIFS('январь 2024'!$G$4:$G$1206,'январь 2024'!$D$4:$D$1206,$B60,'январь 2024'!$J$4:$J$1206,AC$1)</f>
        <v>0</v>
      </c>
      <c r="AD60" s="86">
        <f>SUMIFS('январь 2024'!$G$4:$G$1206,'январь 2024'!$D$4:$D$1206,$B60,'январь 2024'!$J$4:$J$1206,AD$1)</f>
        <v>0</v>
      </c>
      <c r="AE60" s="86">
        <f>SUMIFS('январь 2024'!$G$4:$G$1206,'январь 2024'!$D$4:$D$1206,$B60,'январь 2024'!$J$4:$J$1206,AE$1)</f>
        <v>0</v>
      </c>
      <c r="AF60" s="86">
        <f>SUMIFS('январь 2024'!$G$4:$G$1206,'январь 2024'!$D$4:$D$1206,$B60,'январь 2024'!$J$4:$J$1206,AF$1)</f>
        <v>0</v>
      </c>
      <c r="AG60" s="86">
        <f>SUMIFS('январь 2024'!$G$4:$G$1206,'январь 2024'!$D$4:$D$1206,$B60,'январь 2024'!$J$4:$J$1206,AG$1)</f>
        <v>0</v>
      </c>
      <c r="AH60" s="86">
        <f>SUMIFS('январь 2024'!$G$4:$G$1206,'январь 2024'!$D$4:$D$1206,$B60,'январь 2024'!$J$4:$J$1206,AH$1)</f>
        <v>0</v>
      </c>
      <c r="AI60" s="21">
        <f t="shared" si="1"/>
        <v>0</v>
      </c>
    </row>
    <row r="61" spans="2:35" ht="15" customHeight="1" x14ac:dyDescent="0.25">
      <c r="B61" s="93" t="s">
        <v>209</v>
      </c>
      <c r="C61" s="91">
        <v>200</v>
      </c>
      <c r="D61" s="86">
        <f>SUMIFS('январь 2024'!$G$4:$G$1206,'январь 2024'!$D$4:$D$1206,$B61,'январь 2024'!$J$4:$J$1206,D$1)</f>
        <v>0</v>
      </c>
      <c r="E61" s="86">
        <f>SUMIFS('январь 2024'!$G$4:$G$1206,'январь 2024'!$D$4:$D$1206,$B61,'январь 2024'!$J$4:$J$1206,E$1)</f>
        <v>0</v>
      </c>
      <c r="F61" s="86">
        <f>SUMIFS('январь 2024'!$G$4:$G$1206,'январь 2024'!$D$4:$D$1206,$B61,'январь 2024'!$J$4:$J$1206,F$1)</f>
        <v>0</v>
      </c>
      <c r="G61" s="86">
        <f>SUMIFS('январь 2024'!$G$4:$G$1206,'январь 2024'!$D$4:$D$1206,$B61,'январь 2024'!$J$4:$J$1206,G$1)</f>
        <v>0</v>
      </c>
      <c r="H61" s="86">
        <f>SUMIFS('январь 2024'!$G$4:$G$1206,'январь 2024'!$D$4:$D$1206,$B61,'январь 2024'!$J$4:$J$1206,H$1)</f>
        <v>0</v>
      </c>
      <c r="I61" s="86">
        <f>SUMIFS('январь 2024'!$G$4:$G$1206,'январь 2024'!$D$4:$D$1206,$B61,'январь 2024'!$J$4:$J$1206,I$1)</f>
        <v>0</v>
      </c>
      <c r="J61" s="86">
        <f>SUMIFS('январь 2024'!$G$4:$G$1206,'январь 2024'!$D$4:$D$1206,$B61,'январь 2024'!$J$4:$J$1206,J$1)</f>
        <v>0</v>
      </c>
      <c r="K61" s="86">
        <f>SUMIFS('январь 2024'!$G$4:$G$1206,'январь 2024'!$D$4:$D$1206,$B61,'январь 2024'!$J$4:$J$1206,K$1)</f>
        <v>0</v>
      </c>
      <c r="L61" s="86">
        <f>SUMIFS('январь 2024'!$G$4:$G$1206,'январь 2024'!$D$4:$D$1206,$B61,'январь 2024'!$J$4:$J$1206,L$1)</f>
        <v>0</v>
      </c>
      <c r="M61" s="86">
        <f>SUMIFS('январь 2024'!$G$4:$G$1206,'январь 2024'!$D$4:$D$1206,$B61,'январь 2024'!$J$4:$J$1206,M$1)</f>
        <v>0</v>
      </c>
      <c r="N61" s="86">
        <f>SUMIFS('январь 2024'!$G$4:$G$1206,'январь 2024'!$D$4:$D$1206,$B61,'январь 2024'!$J$4:$J$1206,N$1)</f>
        <v>0</v>
      </c>
      <c r="O61" s="86">
        <f>SUMIFS('январь 2024'!$G$4:$G$1206,'январь 2024'!$D$4:$D$1206,$B61,'январь 2024'!$J$4:$J$1206,O$1)</f>
        <v>0</v>
      </c>
      <c r="P61" s="86">
        <f>SUMIFS('январь 2024'!$G$4:$G$1206,'январь 2024'!$D$4:$D$1206,$B61,'январь 2024'!$J$4:$J$1206,P$1)</f>
        <v>0</v>
      </c>
      <c r="Q61" s="86">
        <f>SUMIFS('январь 2024'!$G$4:$G$1206,'январь 2024'!$D$4:$D$1206,$B61,'январь 2024'!$J$4:$J$1206,Q$1)</f>
        <v>0</v>
      </c>
      <c r="R61" s="86">
        <f>SUMIFS('январь 2024'!$G$4:$G$1206,'январь 2024'!$D$4:$D$1206,$B61,'январь 2024'!$J$4:$J$1206,R$1)</f>
        <v>0</v>
      </c>
      <c r="S61" s="86">
        <f>SUMIFS('январь 2024'!$G$4:$G$1206,'январь 2024'!$D$4:$D$1206,$B61,'январь 2024'!$J$4:$J$1206,S$1)</f>
        <v>0</v>
      </c>
      <c r="T61" s="86">
        <f>SUMIFS('январь 2024'!$G$4:$G$1206,'январь 2024'!$D$4:$D$1206,$B61,'январь 2024'!$J$4:$J$1206,T$1)</f>
        <v>0</v>
      </c>
      <c r="U61" s="86">
        <f>SUMIFS('январь 2024'!$G$4:$G$1206,'январь 2024'!$D$4:$D$1206,$B61,'январь 2024'!$J$4:$J$1206,U$1)</f>
        <v>0</v>
      </c>
      <c r="V61" s="86">
        <f>SUMIFS('январь 2024'!$G$4:$G$1206,'январь 2024'!$D$4:$D$1206,$B61,'январь 2024'!$J$4:$J$1206,V$1)</f>
        <v>0</v>
      </c>
      <c r="W61" s="86">
        <f>SUMIFS('январь 2024'!$G$4:$G$1206,'январь 2024'!$D$4:$D$1206,$B61,'январь 2024'!$J$4:$J$1206,W$1)</f>
        <v>0</v>
      </c>
      <c r="X61" s="86">
        <f>SUMIFS('январь 2024'!$G$4:$G$1206,'январь 2024'!$D$4:$D$1206,$B61,'январь 2024'!$J$4:$J$1206,X$1)</f>
        <v>0</v>
      </c>
      <c r="Y61" s="86">
        <f>SUMIFS('январь 2024'!$G$4:$G$1206,'январь 2024'!$D$4:$D$1206,$B61,'январь 2024'!$J$4:$J$1206,Y$1)</f>
        <v>0</v>
      </c>
      <c r="Z61" s="86">
        <f>SUMIFS('январь 2024'!$G$4:$G$1206,'январь 2024'!$D$4:$D$1206,$B61,'январь 2024'!$J$4:$J$1206,Z$1)</f>
        <v>0</v>
      </c>
      <c r="AA61" s="86">
        <f>SUMIFS('январь 2024'!$G$4:$G$1206,'январь 2024'!$D$4:$D$1206,$B61,'январь 2024'!$J$4:$J$1206,AA$1)</f>
        <v>0</v>
      </c>
      <c r="AB61" s="86">
        <f>SUMIFS('январь 2024'!$G$4:$G$1206,'январь 2024'!$D$4:$D$1206,$B61,'январь 2024'!$J$4:$J$1206,AB$1)</f>
        <v>0</v>
      </c>
      <c r="AC61" s="86">
        <f>SUMIFS('январь 2024'!$G$4:$G$1206,'январь 2024'!$D$4:$D$1206,$B61,'январь 2024'!$J$4:$J$1206,AC$1)</f>
        <v>0</v>
      </c>
      <c r="AD61" s="86">
        <f>SUMIFS('январь 2024'!$G$4:$G$1206,'январь 2024'!$D$4:$D$1206,$B61,'январь 2024'!$J$4:$J$1206,AD$1)</f>
        <v>0</v>
      </c>
      <c r="AE61" s="86">
        <f>SUMIFS('январь 2024'!$G$4:$G$1206,'январь 2024'!$D$4:$D$1206,$B61,'январь 2024'!$J$4:$J$1206,AE$1)</f>
        <v>0</v>
      </c>
      <c r="AF61" s="86">
        <f>SUMIFS('январь 2024'!$G$4:$G$1206,'январь 2024'!$D$4:$D$1206,$B61,'январь 2024'!$J$4:$J$1206,AF$1)</f>
        <v>0</v>
      </c>
      <c r="AG61" s="86">
        <f>SUMIFS('январь 2024'!$G$4:$G$1206,'январь 2024'!$D$4:$D$1206,$B61,'январь 2024'!$J$4:$J$1206,AG$1)</f>
        <v>0</v>
      </c>
      <c r="AH61" s="86">
        <f>SUMIFS('январь 2024'!$G$4:$G$1206,'январь 2024'!$D$4:$D$1206,$B61,'январь 2024'!$J$4:$J$1206,AH$1)</f>
        <v>0</v>
      </c>
      <c r="AI61" s="21">
        <f t="shared" si="1"/>
        <v>0</v>
      </c>
    </row>
    <row r="62" spans="2:35" ht="15" customHeight="1" x14ac:dyDescent="0.25">
      <c r="B62" s="93" t="s">
        <v>222</v>
      </c>
      <c r="C62" s="91">
        <v>25</v>
      </c>
      <c r="D62" s="86">
        <f>SUMIFS('январь 2024'!$G$4:$G$1206,'январь 2024'!$D$4:$D$1206,$B62,'январь 2024'!$J$4:$J$1206,D$1)</f>
        <v>0</v>
      </c>
      <c r="E62" s="86">
        <f>SUMIFS('январь 2024'!$G$4:$G$1206,'январь 2024'!$D$4:$D$1206,$B62,'январь 2024'!$J$4:$J$1206,E$1)</f>
        <v>0</v>
      </c>
      <c r="F62" s="86">
        <f>SUMIFS('январь 2024'!$G$4:$G$1206,'январь 2024'!$D$4:$D$1206,$B62,'январь 2024'!$J$4:$J$1206,F$1)</f>
        <v>0</v>
      </c>
      <c r="G62" s="86">
        <f>SUMIFS('январь 2024'!$G$4:$G$1206,'январь 2024'!$D$4:$D$1206,$B62,'январь 2024'!$J$4:$J$1206,G$1)</f>
        <v>0</v>
      </c>
      <c r="H62" s="86">
        <f>SUMIFS('январь 2024'!$G$4:$G$1206,'январь 2024'!$D$4:$D$1206,$B62,'январь 2024'!$J$4:$J$1206,H$1)</f>
        <v>0</v>
      </c>
      <c r="I62" s="86">
        <f>SUMIFS('январь 2024'!$G$4:$G$1206,'январь 2024'!$D$4:$D$1206,$B62,'январь 2024'!$J$4:$J$1206,I$1)</f>
        <v>0</v>
      </c>
      <c r="J62" s="86">
        <f>SUMIFS('январь 2024'!$G$4:$G$1206,'январь 2024'!$D$4:$D$1206,$B62,'январь 2024'!$J$4:$J$1206,J$1)</f>
        <v>0</v>
      </c>
      <c r="K62" s="86">
        <f>SUMIFS('январь 2024'!$G$4:$G$1206,'январь 2024'!$D$4:$D$1206,$B62,'январь 2024'!$J$4:$J$1206,K$1)</f>
        <v>0</v>
      </c>
      <c r="L62" s="86">
        <f>SUMIFS('январь 2024'!$G$4:$G$1206,'январь 2024'!$D$4:$D$1206,$B62,'январь 2024'!$J$4:$J$1206,L$1)</f>
        <v>0</v>
      </c>
      <c r="M62" s="86">
        <f>SUMIFS('январь 2024'!$G$4:$G$1206,'январь 2024'!$D$4:$D$1206,$B62,'январь 2024'!$J$4:$J$1206,M$1)</f>
        <v>0</v>
      </c>
      <c r="N62" s="86">
        <f>SUMIFS('январь 2024'!$G$4:$G$1206,'январь 2024'!$D$4:$D$1206,$B62,'январь 2024'!$J$4:$J$1206,N$1)</f>
        <v>0</v>
      </c>
      <c r="O62" s="86">
        <f>SUMIFS('январь 2024'!$G$4:$G$1206,'январь 2024'!$D$4:$D$1206,$B62,'январь 2024'!$J$4:$J$1206,O$1)</f>
        <v>0</v>
      </c>
      <c r="P62" s="86">
        <f>SUMIFS('январь 2024'!$G$4:$G$1206,'январь 2024'!$D$4:$D$1206,$B62,'январь 2024'!$J$4:$J$1206,P$1)</f>
        <v>0</v>
      </c>
      <c r="Q62" s="86">
        <f>SUMIFS('январь 2024'!$G$4:$G$1206,'январь 2024'!$D$4:$D$1206,$B62,'январь 2024'!$J$4:$J$1206,Q$1)</f>
        <v>0</v>
      </c>
      <c r="R62" s="86">
        <f>SUMIFS('январь 2024'!$G$4:$G$1206,'январь 2024'!$D$4:$D$1206,$B62,'январь 2024'!$J$4:$J$1206,R$1)</f>
        <v>0</v>
      </c>
      <c r="S62" s="86">
        <f>SUMIFS('январь 2024'!$G$4:$G$1206,'январь 2024'!$D$4:$D$1206,$B62,'январь 2024'!$J$4:$J$1206,S$1)</f>
        <v>0</v>
      </c>
      <c r="T62" s="86">
        <f>SUMIFS('январь 2024'!$G$4:$G$1206,'январь 2024'!$D$4:$D$1206,$B62,'январь 2024'!$J$4:$J$1206,T$1)</f>
        <v>0</v>
      </c>
      <c r="U62" s="86">
        <f>SUMIFS('январь 2024'!$G$4:$G$1206,'январь 2024'!$D$4:$D$1206,$B62,'январь 2024'!$J$4:$J$1206,U$1)</f>
        <v>0</v>
      </c>
      <c r="V62" s="86">
        <f>SUMIFS('январь 2024'!$G$4:$G$1206,'январь 2024'!$D$4:$D$1206,$B62,'январь 2024'!$J$4:$J$1206,V$1)</f>
        <v>0</v>
      </c>
      <c r="W62" s="86">
        <f>SUMIFS('январь 2024'!$G$4:$G$1206,'январь 2024'!$D$4:$D$1206,$B62,'январь 2024'!$J$4:$J$1206,W$1)</f>
        <v>0</v>
      </c>
      <c r="X62" s="86">
        <f>SUMIFS('январь 2024'!$G$4:$G$1206,'январь 2024'!$D$4:$D$1206,$B62,'январь 2024'!$J$4:$J$1206,X$1)</f>
        <v>0</v>
      </c>
      <c r="Y62" s="86">
        <f>SUMIFS('январь 2024'!$G$4:$G$1206,'январь 2024'!$D$4:$D$1206,$B62,'январь 2024'!$J$4:$J$1206,Y$1)</f>
        <v>0</v>
      </c>
      <c r="Z62" s="86">
        <f>SUMIFS('январь 2024'!$G$4:$G$1206,'январь 2024'!$D$4:$D$1206,$B62,'январь 2024'!$J$4:$J$1206,Z$1)</f>
        <v>0</v>
      </c>
      <c r="AA62" s="86">
        <f>SUMIFS('январь 2024'!$G$4:$G$1206,'январь 2024'!$D$4:$D$1206,$B62,'январь 2024'!$J$4:$J$1206,AA$1)</f>
        <v>0</v>
      </c>
      <c r="AB62" s="86">
        <f>SUMIFS('январь 2024'!$G$4:$G$1206,'январь 2024'!$D$4:$D$1206,$B62,'январь 2024'!$J$4:$J$1206,AB$1)</f>
        <v>0</v>
      </c>
      <c r="AC62" s="86">
        <f>SUMIFS('январь 2024'!$G$4:$G$1206,'январь 2024'!$D$4:$D$1206,$B62,'январь 2024'!$J$4:$J$1206,AC$1)</f>
        <v>0</v>
      </c>
      <c r="AD62" s="86">
        <f>SUMIFS('январь 2024'!$G$4:$G$1206,'январь 2024'!$D$4:$D$1206,$B62,'январь 2024'!$J$4:$J$1206,AD$1)</f>
        <v>0</v>
      </c>
      <c r="AE62" s="86">
        <f>SUMIFS('январь 2024'!$G$4:$G$1206,'январь 2024'!$D$4:$D$1206,$B62,'январь 2024'!$J$4:$J$1206,AE$1)</f>
        <v>0</v>
      </c>
      <c r="AF62" s="86">
        <f>SUMIFS('январь 2024'!$G$4:$G$1206,'январь 2024'!$D$4:$D$1206,$B62,'январь 2024'!$J$4:$J$1206,AF$1)</f>
        <v>0</v>
      </c>
      <c r="AG62" s="86">
        <f>SUMIFS('январь 2024'!$G$4:$G$1206,'январь 2024'!$D$4:$D$1206,$B62,'январь 2024'!$J$4:$J$1206,AG$1)</f>
        <v>0</v>
      </c>
      <c r="AH62" s="86">
        <f>SUMIFS('январь 2024'!$G$4:$G$1206,'январь 2024'!$D$4:$D$1206,$B62,'январь 2024'!$J$4:$J$1206,AH$1)</f>
        <v>0</v>
      </c>
      <c r="AI62" s="21">
        <f t="shared" si="1"/>
        <v>0</v>
      </c>
    </row>
    <row r="63" spans="2:35" ht="15" customHeight="1" x14ac:dyDescent="0.25">
      <c r="B63" s="93" t="s">
        <v>189</v>
      </c>
      <c r="C63" s="91">
        <v>50</v>
      </c>
      <c r="D63" s="86">
        <f>SUMIFS('январь 2024'!$G$4:$G$1206,'январь 2024'!$D$4:$D$1206,$B63,'январь 2024'!$J$4:$J$1206,D$1)</f>
        <v>0</v>
      </c>
      <c r="E63" s="86">
        <f>SUMIFS('январь 2024'!$G$4:$G$1206,'январь 2024'!$D$4:$D$1206,$B63,'январь 2024'!$J$4:$J$1206,E$1)</f>
        <v>0</v>
      </c>
      <c r="F63" s="86">
        <f>SUMIFS('январь 2024'!$G$4:$G$1206,'январь 2024'!$D$4:$D$1206,$B63,'январь 2024'!$J$4:$J$1206,F$1)</f>
        <v>0</v>
      </c>
      <c r="G63" s="86">
        <f>SUMIFS('январь 2024'!$G$4:$G$1206,'январь 2024'!$D$4:$D$1206,$B63,'январь 2024'!$J$4:$J$1206,G$1)</f>
        <v>0</v>
      </c>
      <c r="H63" s="86">
        <f>SUMIFS('январь 2024'!$G$4:$G$1206,'январь 2024'!$D$4:$D$1206,$B63,'январь 2024'!$J$4:$J$1206,H$1)</f>
        <v>0</v>
      </c>
      <c r="I63" s="86">
        <f>SUMIFS('январь 2024'!$G$4:$G$1206,'январь 2024'!$D$4:$D$1206,$B63,'январь 2024'!$J$4:$J$1206,I$1)</f>
        <v>0</v>
      </c>
      <c r="J63" s="86">
        <f>SUMIFS('январь 2024'!$G$4:$G$1206,'январь 2024'!$D$4:$D$1206,$B63,'январь 2024'!$J$4:$J$1206,J$1)</f>
        <v>0</v>
      </c>
      <c r="K63" s="86">
        <f>SUMIFS('январь 2024'!$G$4:$G$1206,'январь 2024'!$D$4:$D$1206,$B63,'январь 2024'!$J$4:$J$1206,K$1)</f>
        <v>0</v>
      </c>
      <c r="L63" s="86">
        <f>SUMIFS('январь 2024'!$G$4:$G$1206,'январь 2024'!$D$4:$D$1206,$B63,'январь 2024'!$J$4:$J$1206,L$1)</f>
        <v>0</v>
      </c>
      <c r="M63" s="86">
        <f>SUMIFS('январь 2024'!$G$4:$G$1206,'январь 2024'!$D$4:$D$1206,$B63,'январь 2024'!$J$4:$J$1206,M$1)</f>
        <v>0</v>
      </c>
      <c r="N63" s="86">
        <f>SUMIFS('январь 2024'!$G$4:$G$1206,'январь 2024'!$D$4:$D$1206,$B63,'январь 2024'!$J$4:$J$1206,N$1)</f>
        <v>0</v>
      </c>
      <c r="O63" s="86">
        <f>SUMIFS('январь 2024'!$G$4:$G$1206,'январь 2024'!$D$4:$D$1206,$B63,'январь 2024'!$J$4:$J$1206,O$1)</f>
        <v>0</v>
      </c>
      <c r="P63" s="86">
        <f>SUMIFS('январь 2024'!$G$4:$G$1206,'январь 2024'!$D$4:$D$1206,$B63,'январь 2024'!$J$4:$J$1206,P$1)</f>
        <v>0</v>
      </c>
      <c r="Q63" s="86">
        <f>SUMIFS('январь 2024'!$G$4:$G$1206,'январь 2024'!$D$4:$D$1206,$B63,'январь 2024'!$J$4:$J$1206,Q$1)</f>
        <v>0</v>
      </c>
      <c r="R63" s="86">
        <f>SUMIFS('январь 2024'!$G$4:$G$1206,'январь 2024'!$D$4:$D$1206,$B63,'январь 2024'!$J$4:$J$1206,R$1)</f>
        <v>0</v>
      </c>
      <c r="S63" s="86">
        <f>SUMIFS('январь 2024'!$G$4:$G$1206,'январь 2024'!$D$4:$D$1206,$B63,'январь 2024'!$J$4:$J$1206,S$1)</f>
        <v>0</v>
      </c>
      <c r="T63" s="86">
        <f>SUMIFS('январь 2024'!$G$4:$G$1206,'январь 2024'!$D$4:$D$1206,$B63,'январь 2024'!$J$4:$J$1206,T$1)</f>
        <v>0</v>
      </c>
      <c r="U63" s="86">
        <f>SUMIFS('январь 2024'!$G$4:$G$1206,'январь 2024'!$D$4:$D$1206,$B63,'январь 2024'!$J$4:$J$1206,U$1)</f>
        <v>0</v>
      </c>
      <c r="V63" s="86">
        <f>SUMIFS('январь 2024'!$G$4:$G$1206,'январь 2024'!$D$4:$D$1206,$B63,'январь 2024'!$J$4:$J$1206,V$1)</f>
        <v>0</v>
      </c>
      <c r="W63" s="86">
        <f>SUMIFS('январь 2024'!$G$4:$G$1206,'январь 2024'!$D$4:$D$1206,$B63,'январь 2024'!$J$4:$J$1206,W$1)</f>
        <v>0</v>
      </c>
      <c r="X63" s="86">
        <f>SUMIFS('январь 2024'!$G$4:$G$1206,'январь 2024'!$D$4:$D$1206,$B63,'январь 2024'!$J$4:$J$1206,X$1)</f>
        <v>0</v>
      </c>
      <c r="Y63" s="86">
        <f>SUMIFS('январь 2024'!$G$4:$G$1206,'январь 2024'!$D$4:$D$1206,$B63,'январь 2024'!$J$4:$J$1206,Y$1)</f>
        <v>0</v>
      </c>
      <c r="Z63" s="86">
        <f>SUMIFS('январь 2024'!$G$4:$G$1206,'январь 2024'!$D$4:$D$1206,$B63,'январь 2024'!$J$4:$J$1206,Z$1)</f>
        <v>0</v>
      </c>
      <c r="AA63" s="86">
        <f>SUMIFS('январь 2024'!$G$4:$G$1206,'январь 2024'!$D$4:$D$1206,$B63,'январь 2024'!$J$4:$J$1206,AA$1)</f>
        <v>0</v>
      </c>
      <c r="AB63" s="86">
        <f>SUMIFS('январь 2024'!$G$4:$G$1206,'январь 2024'!$D$4:$D$1206,$B63,'январь 2024'!$J$4:$J$1206,AB$1)</f>
        <v>0</v>
      </c>
      <c r="AC63" s="86">
        <f>SUMIFS('январь 2024'!$G$4:$G$1206,'январь 2024'!$D$4:$D$1206,$B63,'январь 2024'!$J$4:$J$1206,AC$1)</f>
        <v>0</v>
      </c>
      <c r="AD63" s="86">
        <f>SUMIFS('январь 2024'!$G$4:$G$1206,'январь 2024'!$D$4:$D$1206,$B63,'январь 2024'!$J$4:$J$1206,AD$1)</f>
        <v>0</v>
      </c>
      <c r="AE63" s="86">
        <f>SUMIFS('январь 2024'!$G$4:$G$1206,'январь 2024'!$D$4:$D$1206,$B63,'январь 2024'!$J$4:$J$1206,AE$1)</f>
        <v>0</v>
      </c>
      <c r="AF63" s="86">
        <f>SUMIFS('январь 2024'!$G$4:$G$1206,'январь 2024'!$D$4:$D$1206,$B63,'январь 2024'!$J$4:$J$1206,AF$1)</f>
        <v>0</v>
      </c>
      <c r="AG63" s="86">
        <f>SUMIFS('январь 2024'!$G$4:$G$1206,'январь 2024'!$D$4:$D$1206,$B63,'январь 2024'!$J$4:$J$1206,AG$1)</f>
        <v>0</v>
      </c>
      <c r="AH63" s="86">
        <f>SUMIFS('январь 2024'!$G$4:$G$1206,'январь 2024'!$D$4:$D$1206,$B63,'январь 2024'!$J$4:$J$1206,AH$1)</f>
        <v>0</v>
      </c>
      <c r="AI63" s="21">
        <f t="shared" si="1"/>
        <v>0</v>
      </c>
    </row>
    <row r="64" spans="2:35" ht="15.75" x14ac:dyDescent="0.25">
      <c r="B64" s="89" t="s">
        <v>159</v>
      </c>
      <c r="C64" s="88">
        <v>200</v>
      </c>
      <c r="D64" s="86">
        <f>SUMIFS('январь 2024'!$G$4:$G$1206,'январь 2024'!$D$4:$D$1206,$B64,'январь 2024'!$J$4:$J$1206,D$1)</f>
        <v>0</v>
      </c>
      <c r="E64" s="86">
        <f>SUMIFS('январь 2024'!$G$4:$G$1206,'январь 2024'!$D$4:$D$1206,$B64,'январь 2024'!$J$4:$J$1206,E$1)</f>
        <v>0</v>
      </c>
      <c r="F64" s="86">
        <f>SUMIFS('январь 2024'!$G$4:$G$1206,'январь 2024'!$D$4:$D$1206,$B64,'январь 2024'!$J$4:$J$1206,F$1)</f>
        <v>0</v>
      </c>
      <c r="G64" s="86">
        <f>SUMIFS('январь 2024'!$G$4:$G$1206,'январь 2024'!$D$4:$D$1206,$B64,'январь 2024'!$J$4:$J$1206,G$1)</f>
        <v>0</v>
      </c>
      <c r="H64" s="86">
        <f>SUMIFS('январь 2024'!$G$4:$G$1206,'январь 2024'!$D$4:$D$1206,$B64,'январь 2024'!$J$4:$J$1206,H$1)</f>
        <v>0</v>
      </c>
      <c r="I64" s="86">
        <f>SUMIFS('январь 2024'!$G$4:$G$1206,'январь 2024'!$D$4:$D$1206,$B64,'январь 2024'!$J$4:$J$1206,I$1)</f>
        <v>0</v>
      </c>
      <c r="J64" s="86">
        <f>SUMIFS('январь 2024'!$G$4:$G$1206,'январь 2024'!$D$4:$D$1206,$B64,'январь 2024'!$J$4:$J$1206,J$1)</f>
        <v>0</v>
      </c>
      <c r="K64" s="86">
        <f>SUMIFS('январь 2024'!$G$4:$G$1206,'январь 2024'!$D$4:$D$1206,$B64,'январь 2024'!$J$4:$J$1206,K$1)</f>
        <v>0</v>
      </c>
      <c r="L64" s="86">
        <f>SUMIFS('январь 2024'!$G$4:$G$1206,'январь 2024'!$D$4:$D$1206,$B64,'январь 2024'!$J$4:$J$1206,L$1)</f>
        <v>0</v>
      </c>
      <c r="M64" s="86">
        <f>SUMIFS('январь 2024'!$G$4:$G$1206,'январь 2024'!$D$4:$D$1206,$B64,'январь 2024'!$J$4:$J$1206,M$1)</f>
        <v>0</v>
      </c>
      <c r="N64" s="86">
        <f>SUMIFS('январь 2024'!$G$4:$G$1206,'январь 2024'!$D$4:$D$1206,$B64,'январь 2024'!$J$4:$J$1206,N$1)</f>
        <v>0</v>
      </c>
      <c r="O64" s="86">
        <f>SUMIFS('январь 2024'!$G$4:$G$1206,'январь 2024'!$D$4:$D$1206,$B64,'январь 2024'!$J$4:$J$1206,O$1)</f>
        <v>0</v>
      </c>
      <c r="P64" s="86">
        <f>SUMIFS('январь 2024'!$G$4:$G$1206,'январь 2024'!$D$4:$D$1206,$B64,'январь 2024'!$J$4:$J$1206,P$1)</f>
        <v>0</v>
      </c>
      <c r="Q64" s="86">
        <f>SUMIFS('январь 2024'!$G$4:$G$1206,'январь 2024'!$D$4:$D$1206,$B64,'январь 2024'!$J$4:$J$1206,Q$1)</f>
        <v>0</v>
      </c>
      <c r="R64" s="86">
        <f>SUMIFS('январь 2024'!$G$4:$G$1206,'январь 2024'!$D$4:$D$1206,$B64,'январь 2024'!$J$4:$J$1206,R$1)</f>
        <v>0</v>
      </c>
      <c r="S64" s="86">
        <f>SUMIFS('январь 2024'!$G$4:$G$1206,'январь 2024'!$D$4:$D$1206,$B64,'январь 2024'!$J$4:$J$1206,S$1)</f>
        <v>0</v>
      </c>
      <c r="T64" s="86">
        <f>SUMIFS('январь 2024'!$G$4:$G$1206,'январь 2024'!$D$4:$D$1206,$B64,'январь 2024'!$J$4:$J$1206,T$1)</f>
        <v>0</v>
      </c>
      <c r="U64" s="86">
        <f>SUMIFS('январь 2024'!$G$4:$G$1206,'январь 2024'!$D$4:$D$1206,$B64,'январь 2024'!$J$4:$J$1206,U$1)</f>
        <v>0</v>
      </c>
      <c r="V64" s="86">
        <f>SUMIFS('январь 2024'!$G$4:$G$1206,'январь 2024'!$D$4:$D$1206,$B64,'январь 2024'!$J$4:$J$1206,V$1)</f>
        <v>0</v>
      </c>
      <c r="W64" s="86">
        <f>SUMIFS('январь 2024'!$G$4:$G$1206,'январь 2024'!$D$4:$D$1206,$B64,'январь 2024'!$J$4:$J$1206,W$1)</f>
        <v>0</v>
      </c>
      <c r="X64" s="86">
        <f>SUMIFS('январь 2024'!$G$4:$G$1206,'январь 2024'!$D$4:$D$1206,$B64,'январь 2024'!$J$4:$J$1206,X$1)</f>
        <v>0</v>
      </c>
      <c r="Y64" s="86">
        <f>SUMIFS('январь 2024'!$G$4:$G$1206,'январь 2024'!$D$4:$D$1206,$B64,'январь 2024'!$J$4:$J$1206,Y$1)</f>
        <v>0</v>
      </c>
      <c r="Z64" s="86">
        <f>SUMIFS('январь 2024'!$G$4:$G$1206,'январь 2024'!$D$4:$D$1206,$B64,'январь 2024'!$J$4:$J$1206,Z$1)</f>
        <v>0</v>
      </c>
      <c r="AA64" s="86">
        <f>SUMIFS('январь 2024'!$G$4:$G$1206,'январь 2024'!$D$4:$D$1206,$B64,'январь 2024'!$J$4:$J$1206,AA$1)</f>
        <v>0</v>
      </c>
      <c r="AB64" s="86">
        <f>SUMIFS('январь 2024'!$G$4:$G$1206,'январь 2024'!$D$4:$D$1206,$B64,'январь 2024'!$J$4:$J$1206,AB$1)</f>
        <v>0</v>
      </c>
      <c r="AC64" s="86">
        <f>SUMIFS('январь 2024'!$G$4:$G$1206,'январь 2024'!$D$4:$D$1206,$B64,'январь 2024'!$J$4:$J$1206,AC$1)</f>
        <v>0</v>
      </c>
      <c r="AD64" s="86">
        <f>SUMIFS('январь 2024'!$G$4:$G$1206,'январь 2024'!$D$4:$D$1206,$B64,'январь 2024'!$J$4:$J$1206,AD$1)</f>
        <v>0</v>
      </c>
      <c r="AE64" s="86">
        <f>SUMIFS('январь 2024'!$G$4:$G$1206,'январь 2024'!$D$4:$D$1206,$B64,'январь 2024'!$J$4:$J$1206,AE$1)</f>
        <v>0</v>
      </c>
      <c r="AF64" s="86">
        <f>SUMIFS('январь 2024'!$G$4:$G$1206,'январь 2024'!$D$4:$D$1206,$B64,'январь 2024'!$J$4:$J$1206,AF$1)</f>
        <v>0</v>
      </c>
      <c r="AG64" s="86">
        <f>SUMIFS('январь 2024'!$G$4:$G$1206,'январь 2024'!$D$4:$D$1206,$B64,'январь 2024'!$J$4:$J$1206,AG$1)</f>
        <v>0</v>
      </c>
      <c r="AH64" s="86">
        <f>SUMIFS('январь 2024'!$G$4:$G$1206,'январь 2024'!$D$4:$D$1206,$B64,'январь 2024'!$J$4:$J$1206,AH$1)</f>
        <v>0</v>
      </c>
      <c r="AI64" s="21">
        <f t="shared" si="1"/>
        <v>0</v>
      </c>
    </row>
    <row r="65" spans="2:35" ht="15.75" x14ac:dyDescent="0.25">
      <c r="B65" s="93" t="s">
        <v>158</v>
      </c>
      <c r="C65" s="91">
        <v>200</v>
      </c>
      <c r="D65" s="86">
        <f>SUMIFS('январь 2024'!$G$4:$G$1206,'январь 2024'!$D$4:$D$1206,$B65,'январь 2024'!$J$4:$J$1206,D$1)</f>
        <v>0</v>
      </c>
      <c r="E65" s="86">
        <f>SUMIFS('январь 2024'!$G$4:$G$1206,'январь 2024'!$D$4:$D$1206,$B65,'январь 2024'!$J$4:$J$1206,E$1)</f>
        <v>0</v>
      </c>
      <c r="F65" s="86">
        <f>SUMIFS('январь 2024'!$G$4:$G$1206,'январь 2024'!$D$4:$D$1206,$B65,'январь 2024'!$J$4:$J$1206,F$1)</f>
        <v>0</v>
      </c>
      <c r="G65" s="86">
        <f>SUMIFS('январь 2024'!$G$4:$G$1206,'январь 2024'!$D$4:$D$1206,$B65,'январь 2024'!$J$4:$J$1206,G$1)</f>
        <v>0</v>
      </c>
      <c r="H65" s="86">
        <f>SUMIFS('январь 2024'!$G$4:$G$1206,'январь 2024'!$D$4:$D$1206,$B65,'январь 2024'!$J$4:$J$1206,H$1)</f>
        <v>0</v>
      </c>
      <c r="I65" s="86">
        <f>SUMIFS('январь 2024'!$G$4:$G$1206,'январь 2024'!$D$4:$D$1206,$B65,'январь 2024'!$J$4:$J$1206,I$1)</f>
        <v>0</v>
      </c>
      <c r="J65" s="86">
        <f>SUMIFS('январь 2024'!$G$4:$G$1206,'январь 2024'!$D$4:$D$1206,$B65,'январь 2024'!$J$4:$J$1206,J$1)</f>
        <v>0</v>
      </c>
      <c r="K65" s="86">
        <f>SUMIFS('январь 2024'!$G$4:$G$1206,'январь 2024'!$D$4:$D$1206,$B65,'январь 2024'!$J$4:$J$1206,K$1)</f>
        <v>0</v>
      </c>
      <c r="L65" s="86">
        <f>SUMIFS('январь 2024'!$G$4:$G$1206,'январь 2024'!$D$4:$D$1206,$B65,'январь 2024'!$J$4:$J$1206,L$1)</f>
        <v>0</v>
      </c>
      <c r="M65" s="86">
        <f>SUMIFS('январь 2024'!$G$4:$G$1206,'январь 2024'!$D$4:$D$1206,$B65,'январь 2024'!$J$4:$J$1206,M$1)</f>
        <v>0</v>
      </c>
      <c r="N65" s="86">
        <f>SUMIFS('январь 2024'!$G$4:$G$1206,'январь 2024'!$D$4:$D$1206,$B65,'январь 2024'!$J$4:$J$1206,N$1)</f>
        <v>0</v>
      </c>
      <c r="O65" s="86">
        <f>SUMIFS('январь 2024'!$G$4:$G$1206,'январь 2024'!$D$4:$D$1206,$B65,'январь 2024'!$J$4:$J$1206,O$1)</f>
        <v>0</v>
      </c>
      <c r="P65" s="86">
        <f>SUMIFS('январь 2024'!$G$4:$G$1206,'январь 2024'!$D$4:$D$1206,$B65,'январь 2024'!$J$4:$J$1206,P$1)</f>
        <v>0</v>
      </c>
      <c r="Q65" s="86">
        <f>SUMIFS('январь 2024'!$G$4:$G$1206,'январь 2024'!$D$4:$D$1206,$B65,'январь 2024'!$J$4:$J$1206,Q$1)</f>
        <v>0</v>
      </c>
      <c r="R65" s="86">
        <f>SUMIFS('январь 2024'!$G$4:$G$1206,'январь 2024'!$D$4:$D$1206,$B65,'январь 2024'!$J$4:$J$1206,R$1)</f>
        <v>88</v>
      </c>
      <c r="S65" s="86">
        <f>SUMIFS('январь 2024'!$G$4:$G$1206,'январь 2024'!$D$4:$D$1206,$B65,'январь 2024'!$J$4:$J$1206,S$1)</f>
        <v>0</v>
      </c>
      <c r="T65" s="86">
        <f>SUMIFS('январь 2024'!$G$4:$G$1206,'январь 2024'!$D$4:$D$1206,$B65,'январь 2024'!$J$4:$J$1206,T$1)</f>
        <v>0</v>
      </c>
      <c r="U65" s="86">
        <f>SUMIFS('январь 2024'!$G$4:$G$1206,'январь 2024'!$D$4:$D$1206,$B65,'январь 2024'!$J$4:$J$1206,U$1)</f>
        <v>0</v>
      </c>
      <c r="V65" s="86">
        <f>SUMIFS('январь 2024'!$G$4:$G$1206,'январь 2024'!$D$4:$D$1206,$B65,'январь 2024'!$J$4:$J$1206,V$1)</f>
        <v>0</v>
      </c>
      <c r="W65" s="86">
        <f>SUMIFS('январь 2024'!$G$4:$G$1206,'январь 2024'!$D$4:$D$1206,$B65,'январь 2024'!$J$4:$J$1206,W$1)</f>
        <v>0</v>
      </c>
      <c r="X65" s="86">
        <f>SUMIFS('январь 2024'!$G$4:$G$1206,'январь 2024'!$D$4:$D$1206,$B65,'январь 2024'!$J$4:$J$1206,X$1)</f>
        <v>0</v>
      </c>
      <c r="Y65" s="86">
        <f>SUMIFS('январь 2024'!$G$4:$G$1206,'январь 2024'!$D$4:$D$1206,$B65,'январь 2024'!$J$4:$J$1206,Y$1)</f>
        <v>0</v>
      </c>
      <c r="Z65" s="86">
        <f>SUMIFS('январь 2024'!$G$4:$G$1206,'январь 2024'!$D$4:$D$1206,$B65,'январь 2024'!$J$4:$J$1206,Z$1)</f>
        <v>0</v>
      </c>
      <c r="AA65" s="86">
        <f>SUMIFS('январь 2024'!$G$4:$G$1206,'январь 2024'!$D$4:$D$1206,$B65,'январь 2024'!$J$4:$J$1206,AA$1)</f>
        <v>0</v>
      </c>
      <c r="AB65" s="86">
        <f>SUMIFS('январь 2024'!$G$4:$G$1206,'январь 2024'!$D$4:$D$1206,$B65,'январь 2024'!$J$4:$J$1206,AB$1)</f>
        <v>0</v>
      </c>
      <c r="AC65" s="86">
        <f>SUMIFS('январь 2024'!$G$4:$G$1206,'январь 2024'!$D$4:$D$1206,$B65,'январь 2024'!$J$4:$J$1206,AC$1)</f>
        <v>0</v>
      </c>
      <c r="AD65" s="86">
        <f>SUMIFS('январь 2024'!$G$4:$G$1206,'январь 2024'!$D$4:$D$1206,$B65,'январь 2024'!$J$4:$J$1206,AD$1)</f>
        <v>0</v>
      </c>
      <c r="AE65" s="86">
        <f>SUMIFS('январь 2024'!$G$4:$G$1206,'январь 2024'!$D$4:$D$1206,$B65,'январь 2024'!$J$4:$J$1206,AE$1)</f>
        <v>0</v>
      </c>
      <c r="AF65" s="86">
        <f>SUMIFS('январь 2024'!$G$4:$G$1206,'январь 2024'!$D$4:$D$1206,$B65,'январь 2024'!$J$4:$J$1206,AF$1)</f>
        <v>0</v>
      </c>
      <c r="AG65" s="86">
        <f>SUMIFS('январь 2024'!$G$4:$G$1206,'январь 2024'!$D$4:$D$1206,$B65,'январь 2024'!$J$4:$J$1206,AG$1)</f>
        <v>8</v>
      </c>
      <c r="AH65" s="86">
        <f>SUMIFS('январь 2024'!$G$4:$G$1206,'январь 2024'!$D$4:$D$1206,$B65,'январь 2024'!$J$4:$J$1206,AH$1)</f>
        <v>0</v>
      </c>
      <c r="AI65" s="21">
        <f t="shared" si="1"/>
        <v>96</v>
      </c>
    </row>
    <row r="66" spans="2:35" ht="15" customHeight="1" x14ac:dyDescent="0.25">
      <c r="B66" s="93" t="s">
        <v>213</v>
      </c>
      <c r="C66" s="91">
        <v>200</v>
      </c>
      <c r="D66" s="86">
        <f>SUMIFS('январь 2024'!$G$4:$G$1206,'январь 2024'!$D$4:$D$1206,$B66,'январь 2024'!$J$4:$J$1206,D$1)</f>
        <v>0</v>
      </c>
      <c r="E66" s="86">
        <f>SUMIFS('январь 2024'!$G$4:$G$1206,'январь 2024'!$D$4:$D$1206,$B66,'январь 2024'!$J$4:$J$1206,E$1)</f>
        <v>0</v>
      </c>
      <c r="F66" s="86">
        <f>SUMIFS('январь 2024'!$G$4:$G$1206,'январь 2024'!$D$4:$D$1206,$B66,'январь 2024'!$J$4:$J$1206,F$1)</f>
        <v>0</v>
      </c>
      <c r="G66" s="86">
        <f>SUMIFS('январь 2024'!$G$4:$G$1206,'январь 2024'!$D$4:$D$1206,$B66,'январь 2024'!$J$4:$J$1206,G$1)</f>
        <v>0</v>
      </c>
      <c r="H66" s="86">
        <f>SUMIFS('январь 2024'!$G$4:$G$1206,'январь 2024'!$D$4:$D$1206,$B66,'январь 2024'!$J$4:$J$1206,H$1)</f>
        <v>0</v>
      </c>
      <c r="I66" s="86">
        <f>SUMIFS('январь 2024'!$G$4:$G$1206,'январь 2024'!$D$4:$D$1206,$B66,'январь 2024'!$J$4:$J$1206,I$1)</f>
        <v>0</v>
      </c>
      <c r="J66" s="86">
        <f>SUMIFS('январь 2024'!$G$4:$G$1206,'январь 2024'!$D$4:$D$1206,$B66,'январь 2024'!$J$4:$J$1206,J$1)</f>
        <v>0</v>
      </c>
      <c r="K66" s="86">
        <f>SUMIFS('январь 2024'!$G$4:$G$1206,'январь 2024'!$D$4:$D$1206,$B66,'январь 2024'!$J$4:$J$1206,K$1)</f>
        <v>0</v>
      </c>
      <c r="L66" s="86">
        <f>SUMIFS('январь 2024'!$G$4:$G$1206,'январь 2024'!$D$4:$D$1206,$B66,'январь 2024'!$J$4:$J$1206,L$1)</f>
        <v>0</v>
      </c>
      <c r="M66" s="86">
        <f>SUMIFS('январь 2024'!$G$4:$G$1206,'январь 2024'!$D$4:$D$1206,$B66,'январь 2024'!$J$4:$J$1206,M$1)</f>
        <v>0</v>
      </c>
      <c r="N66" s="86">
        <f>SUMIFS('январь 2024'!$G$4:$G$1206,'январь 2024'!$D$4:$D$1206,$B66,'январь 2024'!$J$4:$J$1206,N$1)</f>
        <v>0</v>
      </c>
      <c r="O66" s="86">
        <f>SUMIFS('январь 2024'!$G$4:$G$1206,'январь 2024'!$D$4:$D$1206,$B66,'январь 2024'!$J$4:$J$1206,O$1)</f>
        <v>0</v>
      </c>
      <c r="P66" s="86">
        <f>SUMIFS('январь 2024'!$G$4:$G$1206,'январь 2024'!$D$4:$D$1206,$B66,'январь 2024'!$J$4:$J$1206,P$1)</f>
        <v>0</v>
      </c>
      <c r="Q66" s="86">
        <f>SUMIFS('январь 2024'!$G$4:$G$1206,'январь 2024'!$D$4:$D$1206,$B66,'январь 2024'!$J$4:$J$1206,Q$1)</f>
        <v>0</v>
      </c>
      <c r="R66" s="86">
        <f>SUMIFS('январь 2024'!$G$4:$G$1206,'январь 2024'!$D$4:$D$1206,$B66,'январь 2024'!$J$4:$J$1206,R$1)</f>
        <v>0</v>
      </c>
      <c r="S66" s="86">
        <f>SUMIFS('январь 2024'!$G$4:$G$1206,'январь 2024'!$D$4:$D$1206,$B66,'январь 2024'!$J$4:$J$1206,S$1)</f>
        <v>0</v>
      </c>
      <c r="T66" s="86">
        <f>SUMIFS('январь 2024'!$G$4:$G$1206,'январь 2024'!$D$4:$D$1206,$B66,'январь 2024'!$J$4:$J$1206,T$1)</f>
        <v>0</v>
      </c>
      <c r="U66" s="86">
        <f>SUMIFS('январь 2024'!$G$4:$G$1206,'январь 2024'!$D$4:$D$1206,$B66,'январь 2024'!$J$4:$J$1206,U$1)</f>
        <v>0</v>
      </c>
      <c r="V66" s="86">
        <f>SUMIFS('январь 2024'!$G$4:$G$1206,'январь 2024'!$D$4:$D$1206,$B66,'январь 2024'!$J$4:$J$1206,V$1)</f>
        <v>0</v>
      </c>
      <c r="W66" s="86">
        <f>SUMIFS('январь 2024'!$G$4:$G$1206,'январь 2024'!$D$4:$D$1206,$B66,'январь 2024'!$J$4:$J$1206,W$1)</f>
        <v>0</v>
      </c>
      <c r="X66" s="86">
        <f>SUMIFS('январь 2024'!$G$4:$G$1206,'январь 2024'!$D$4:$D$1206,$B66,'январь 2024'!$J$4:$J$1206,X$1)</f>
        <v>0</v>
      </c>
      <c r="Y66" s="86">
        <f>SUMIFS('январь 2024'!$G$4:$G$1206,'январь 2024'!$D$4:$D$1206,$B66,'январь 2024'!$J$4:$J$1206,Y$1)</f>
        <v>0</v>
      </c>
      <c r="Z66" s="86">
        <f>SUMIFS('январь 2024'!$G$4:$G$1206,'январь 2024'!$D$4:$D$1206,$B66,'январь 2024'!$J$4:$J$1206,Z$1)</f>
        <v>0</v>
      </c>
      <c r="AA66" s="86">
        <f>SUMIFS('январь 2024'!$G$4:$G$1206,'январь 2024'!$D$4:$D$1206,$B66,'январь 2024'!$J$4:$J$1206,AA$1)</f>
        <v>0</v>
      </c>
      <c r="AB66" s="86">
        <f>SUMIFS('январь 2024'!$G$4:$G$1206,'январь 2024'!$D$4:$D$1206,$B66,'январь 2024'!$J$4:$J$1206,AB$1)</f>
        <v>0</v>
      </c>
      <c r="AC66" s="86">
        <f>SUMIFS('январь 2024'!$G$4:$G$1206,'январь 2024'!$D$4:$D$1206,$B66,'январь 2024'!$J$4:$J$1206,AC$1)</f>
        <v>0</v>
      </c>
      <c r="AD66" s="86">
        <f>SUMIFS('январь 2024'!$G$4:$G$1206,'январь 2024'!$D$4:$D$1206,$B66,'январь 2024'!$J$4:$J$1206,AD$1)</f>
        <v>0</v>
      </c>
      <c r="AE66" s="86">
        <f>SUMIFS('январь 2024'!$G$4:$G$1206,'январь 2024'!$D$4:$D$1206,$B66,'январь 2024'!$J$4:$J$1206,AE$1)</f>
        <v>0</v>
      </c>
      <c r="AF66" s="86">
        <f>SUMIFS('январь 2024'!$G$4:$G$1206,'январь 2024'!$D$4:$D$1206,$B66,'январь 2024'!$J$4:$J$1206,AF$1)</f>
        <v>0</v>
      </c>
      <c r="AG66" s="86">
        <f>SUMIFS('январь 2024'!$G$4:$G$1206,'январь 2024'!$D$4:$D$1206,$B66,'январь 2024'!$J$4:$J$1206,AG$1)</f>
        <v>0</v>
      </c>
      <c r="AH66" s="86">
        <f>SUMIFS('январь 2024'!$G$4:$G$1206,'январь 2024'!$D$4:$D$1206,$B66,'январь 2024'!$J$4:$J$1206,AH$1)</f>
        <v>0</v>
      </c>
      <c r="AI66" s="21">
        <f t="shared" si="1"/>
        <v>0</v>
      </c>
    </row>
    <row r="67" spans="2:35" ht="15" customHeight="1" x14ac:dyDescent="0.25">
      <c r="B67" s="93" t="s">
        <v>197</v>
      </c>
      <c r="C67" s="91">
        <v>200</v>
      </c>
      <c r="D67" s="86">
        <f>SUMIFS('январь 2024'!$G$4:$G$1206,'январь 2024'!$D$4:$D$1206,$B67,'январь 2024'!$J$4:$J$1206,D$1)</f>
        <v>0</v>
      </c>
      <c r="E67" s="86">
        <f>SUMIFS('январь 2024'!$G$4:$G$1206,'январь 2024'!$D$4:$D$1206,$B67,'январь 2024'!$J$4:$J$1206,E$1)</f>
        <v>0</v>
      </c>
      <c r="F67" s="86">
        <f>SUMIFS('январь 2024'!$G$4:$G$1206,'январь 2024'!$D$4:$D$1206,$B67,'январь 2024'!$J$4:$J$1206,F$1)</f>
        <v>0</v>
      </c>
      <c r="G67" s="86">
        <f>SUMIFS('январь 2024'!$G$4:$G$1206,'январь 2024'!$D$4:$D$1206,$B67,'январь 2024'!$J$4:$J$1206,G$1)</f>
        <v>0</v>
      </c>
      <c r="H67" s="86">
        <f>SUMIFS('январь 2024'!$G$4:$G$1206,'январь 2024'!$D$4:$D$1206,$B67,'январь 2024'!$J$4:$J$1206,H$1)</f>
        <v>0</v>
      </c>
      <c r="I67" s="86">
        <f>SUMIFS('январь 2024'!$G$4:$G$1206,'январь 2024'!$D$4:$D$1206,$B67,'январь 2024'!$J$4:$J$1206,I$1)</f>
        <v>0</v>
      </c>
      <c r="J67" s="86">
        <f>SUMIFS('январь 2024'!$G$4:$G$1206,'январь 2024'!$D$4:$D$1206,$B67,'январь 2024'!$J$4:$J$1206,J$1)</f>
        <v>0</v>
      </c>
      <c r="K67" s="86">
        <f>SUMIFS('январь 2024'!$G$4:$G$1206,'январь 2024'!$D$4:$D$1206,$B67,'январь 2024'!$J$4:$J$1206,K$1)</f>
        <v>0</v>
      </c>
      <c r="L67" s="86">
        <f>SUMIFS('январь 2024'!$G$4:$G$1206,'январь 2024'!$D$4:$D$1206,$B67,'январь 2024'!$J$4:$J$1206,L$1)</f>
        <v>0</v>
      </c>
      <c r="M67" s="86">
        <f>SUMIFS('январь 2024'!$G$4:$G$1206,'январь 2024'!$D$4:$D$1206,$B67,'январь 2024'!$J$4:$J$1206,M$1)</f>
        <v>0</v>
      </c>
      <c r="N67" s="86">
        <f>SUMIFS('январь 2024'!$G$4:$G$1206,'январь 2024'!$D$4:$D$1206,$B67,'январь 2024'!$J$4:$J$1206,N$1)</f>
        <v>0</v>
      </c>
      <c r="O67" s="86">
        <f>SUMIFS('январь 2024'!$G$4:$G$1206,'январь 2024'!$D$4:$D$1206,$B67,'январь 2024'!$J$4:$J$1206,O$1)</f>
        <v>0</v>
      </c>
      <c r="P67" s="86">
        <f>SUMIFS('январь 2024'!$G$4:$G$1206,'январь 2024'!$D$4:$D$1206,$B67,'январь 2024'!$J$4:$J$1206,P$1)</f>
        <v>0</v>
      </c>
      <c r="Q67" s="86">
        <f>SUMIFS('январь 2024'!$G$4:$G$1206,'январь 2024'!$D$4:$D$1206,$B67,'январь 2024'!$J$4:$J$1206,Q$1)</f>
        <v>0</v>
      </c>
      <c r="R67" s="86">
        <f>SUMIFS('январь 2024'!$G$4:$G$1206,'январь 2024'!$D$4:$D$1206,$B67,'январь 2024'!$J$4:$J$1206,R$1)</f>
        <v>0</v>
      </c>
      <c r="S67" s="86">
        <f>SUMIFS('январь 2024'!$G$4:$G$1206,'январь 2024'!$D$4:$D$1206,$B67,'январь 2024'!$J$4:$J$1206,S$1)</f>
        <v>0</v>
      </c>
      <c r="T67" s="86">
        <f>SUMIFS('январь 2024'!$G$4:$G$1206,'январь 2024'!$D$4:$D$1206,$B67,'январь 2024'!$J$4:$J$1206,T$1)</f>
        <v>0</v>
      </c>
      <c r="U67" s="86">
        <f>SUMIFS('январь 2024'!$G$4:$G$1206,'январь 2024'!$D$4:$D$1206,$B67,'январь 2024'!$J$4:$J$1206,U$1)</f>
        <v>0</v>
      </c>
      <c r="V67" s="86">
        <f>SUMIFS('январь 2024'!$G$4:$G$1206,'январь 2024'!$D$4:$D$1206,$B67,'январь 2024'!$J$4:$J$1206,V$1)</f>
        <v>0</v>
      </c>
      <c r="W67" s="86">
        <f>SUMIFS('январь 2024'!$G$4:$G$1206,'январь 2024'!$D$4:$D$1206,$B67,'январь 2024'!$J$4:$J$1206,W$1)</f>
        <v>0</v>
      </c>
      <c r="X67" s="86">
        <f>SUMIFS('январь 2024'!$G$4:$G$1206,'январь 2024'!$D$4:$D$1206,$B67,'январь 2024'!$J$4:$J$1206,X$1)</f>
        <v>0</v>
      </c>
      <c r="Y67" s="86">
        <f>SUMIFS('январь 2024'!$G$4:$G$1206,'январь 2024'!$D$4:$D$1206,$B67,'январь 2024'!$J$4:$J$1206,Y$1)</f>
        <v>0</v>
      </c>
      <c r="Z67" s="86">
        <f>SUMIFS('январь 2024'!$G$4:$G$1206,'январь 2024'!$D$4:$D$1206,$B67,'январь 2024'!$J$4:$J$1206,Z$1)</f>
        <v>0</v>
      </c>
      <c r="AA67" s="86">
        <f>SUMIFS('январь 2024'!$G$4:$G$1206,'январь 2024'!$D$4:$D$1206,$B67,'январь 2024'!$J$4:$J$1206,AA$1)</f>
        <v>0</v>
      </c>
      <c r="AB67" s="86">
        <f>SUMIFS('январь 2024'!$G$4:$G$1206,'январь 2024'!$D$4:$D$1206,$B67,'январь 2024'!$J$4:$J$1206,AB$1)</f>
        <v>0</v>
      </c>
      <c r="AC67" s="86">
        <f>SUMIFS('январь 2024'!$G$4:$G$1206,'январь 2024'!$D$4:$D$1206,$B67,'январь 2024'!$J$4:$J$1206,AC$1)</f>
        <v>0</v>
      </c>
      <c r="AD67" s="86">
        <f>SUMIFS('январь 2024'!$G$4:$G$1206,'январь 2024'!$D$4:$D$1206,$B67,'январь 2024'!$J$4:$J$1206,AD$1)</f>
        <v>0</v>
      </c>
      <c r="AE67" s="86">
        <f>SUMIFS('январь 2024'!$G$4:$G$1206,'январь 2024'!$D$4:$D$1206,$B67,'январь 2024'!$J$4:$J$1206,AE$1)</f>
        <v>0</v>
      </c>
      <c r="AF67" s="86">
        <f>SUMIFS('январь 2024'!$G$4:$G$1206,'январь 2024'!$D$4:$D$1206,$B67,'январь 2024'!$J$4:$J$1206,AF$1)</f>
        <v>0</v>
      </c>
      <c r="AG67" s="86">
        <f>SUMIFS('январь 2024'!$G$4:$G$1206,'январь 2024'!$D$4:$D$1206,$B67,'январь 2024'!$J$4:$J$1206,AG$1)</f>
        <v>0</v>
      </c>
      <c r="AH67" s="86">
        <f>SUMIFS('январь 2024'!$G$4:$G$1206,'январь 2024'!$D$4:$D$1206,$B67,'январь 2024'!$J$4:$J$1206,AH$1)</f>
        <v>0</v>
      </c>
      <c r="AI67" s="21">
        <f t="shared" si="1"/>
        <v>0</v>
      </c>
    </row>
    <row r="68" spans="2:35" ht="15" customHeight="1" x14ac:dyDescent="0.25">
      <c r="B68" s="93" t="s">
        <v>198</v>
      </c>
      <c r="C68" s="91">
        <v>200</v>
      </c>
      <c r="D68" s="86">
        <f>SUMIFS('январь 2024'!$G$4:$G$1206,'январь 2024'!$D$4:$D$1206,$B68,'январь 2024'!$J$4:$J$1206,D$1)</f>
        <v>0</v>
      </c>
      <c r="E68" s="86">
        <f>SUMIFS('январь 2024'!$G$4:$G$1206,'январь 2024'!$D$4:$D$1206,$B68,'январь 2024'!$J$4:$J$1206,E$1)</f>
        <v>0</v>
      </c>
      <c r="F68" s="86">
        <f>SUMIFS('январь 2024'!$G$4:$G$1206,'январь 2024'!$D$4:$D$1206,$B68,'январь 2024'!$J$4:$J$1206,F$1)</f>
        <v>0</v>
      </c>
      <c r="G68" s="86">
        <f>SUMIFS('январь 2024'!$G$4:$G$1206,'январь 2024'!$D$4:$D$1206,$B68,'январь 2024'!$J$4:$J$1206,G$1)</f>
        <v>0</v>
      </c>
      <c r="H68" s="86">
        <f>SUMIFS('январь 2024'!$G$4:$G$1206,'январь 2024'!$D$4:$D$1206,$B68,'январь 2024'!$J$4:$J$1206,H$1)</f>
        <v>0</v>
      </c>
      <c r="I68" s="86">
        <f>SUMIFS('январь 2024'!$G$4:$G$1206,'январь 2024'!$D$4:$D$1206,$B68,'январь 2024'!$J$4:$J$1206,I$1)</f>
        <v>0</v>
      </c>
      <c r="J68" s="86">
        <f>SUMIFS('январь 2024'!$G$4:$G$1206,'январь 2024'!$D$4:$D$1206,$B68,'январь 2024'!$J$4:$J$1206,J$1)</f>
        <v>0</v>
      </c>
      <c r="K68" s="86">
        <f>SUMIFS('январь 2024'!$G$4:$G$1206,'январь 2024'!$D$4:$D$1206,$B68,'январь 2024'!$J$4:$J$1206,K$1)</f>
        <v>0</v>
      </c>
      <c r="L68" s="86">
        <f>SUMIFS('январь 2024'!$G$4:$G$1206,'январь 2024'!$D$4:$D$1206,$B68,'январь 2024'!$J$4:$J$1206,L$1)</f>
        <v>0</v>
      </c>
      <c r="M68" s="86">
        <f>SUMIFS('январь 2024'!$G$4:$G$1206,'январь 2024'!$D$4:$D$1206,$B68,'январь 2024'!$J$4:$J$1206,M$1)</f>
        <v>0</v>
      </c>
      <c r="N68" s="86">
        <f>SUMIFS('январь 2024'!$G$4:$G$1206,'январь 2024'!$D$4:$D$1206,$B68,'январь 2024'!$J$4:$J$1206,N$1)</f>
        <v>0</v>
      </c>
      <c r="O68" s="86">
        <f>SUMIFS('январь 2024'!$G$4:$G$1206,'январь 2024'!$D$4:$D$1206,$B68,'январь 2024'!$J$4:$J$1206,O$1)</f>
        <v>0</v>
      </c>
      <c r="P68" s="86">
        <f>SUMIFS('январь 2024'!$G$4:$G$1206,'январь 2024'!$D$4:$D$1206,$B68,'январь 2024'!$J$4:$J$1206,P$1)</f>
        <v>0</v>
      </c>
      <c r="Q68" s="86">
        <f>SUMIFS('январь 2024'!$G$4:$G$1206,'январь 2024'!$D$4:$D$1206,$B68,'январь 2024'!$J$4:$J$1206,Q$1)</f>
        <v>0</v>
      </c>
      <c r="R68" s="86">
        <f>SUMIFS('январь 2024'!$G$4:$G$1206,'январь 2024'!$D$4:$D$1206,$B68,'январь 2024'!$J$4:$J$1206,R$1)</f>
        <v>0</v>
      </c>
      <c r="S68" s="86">
        <f>SUMIFS('январь 2024'!$G$4:$G$1206,'январь 2024'!$D$4:$D$1206,$B68,'январь 2024'!$J$4:$J$1206,S$1)</f>
        <v>0</v>
      </c>
      <c r="T68" s="86">
        <f>SUMIFS('январь 2024'!$G$4:$G$1206,'январь 2024'!$D$4:$D$1206,$B68,'январь 2024'!$J$4:$J$1206,T$1)</f>
        <v>0</v>
      </c>
      <c r="U68" s="86">
        <f>SUMIFS('январь 2024'!$G$4:$G$1206,'январь 2024'!$D$4:$D$1206,$B68,'январь 2024'!$J$4:$J$1206,U$1)</f>
        <v>0</v>
      </c>
      <c r="V68" s="86">
        <f>SUMIFS('январь 2024'!$G$4:$G$1206,'январь 2024'!$D$4:$D$1206,$B68,'январь 2024'!$J$4:$J$1206,V$1)</f>
        <v>0</v>
      </c>
      <c r="W68" s="86">
        <f>SUMIFS('январь 2024'!$G$4:$G$1206,'январь 2024'!$D$4:$D$1206,$B68,'январь 2024'!$J$4:$J$1206,W$1)</f>
        <v>0</v>
      </c>
      <c r="X68" s="86">
        <f>SUMIFS('январь 2024'!$G$4:$G$1206,'январь 2024'!$D$4:$D$1206,$B68,'январь 2024'!$J$4:$J$1206,X$1)</f>
        <v>0</v>
      </c>
      <c r="Y68" s="86">
        <f>SUMIFS('январь 2024'!$G$4:$G$1206,'январь 2024'!$D$4:$D$1206,$B68,'январь 2024'!$J$4:$J$1206,Y$1)</f>
        <v>0</v>
      </c>
      <c r="Z68" s="86">
        <f>SUMIFS('январь 2024'!$G$4:$G$1206,'январь 2024'!$D$4:$D$1206,$B68,'январь 2024'!$J$4:$J$1206,Z$1)</f>
        <v>0</v>
      </c>
      <c r="AA68" s="86">
        <f>SUMIFS('январь 2024'!$G$4:$G$1206,'январь 2024'!$D$4:$D$1206,$B68,'январь 2024'!$J$4:$J$1206,AA$1)</f>
        <v>0</v>
      </c>
      <c r="AB68" s="86">
        <f>SUMIFS('январь 2024'!$G$4:$G$1206,'январь 2024'!$D$4:$D$1206,$B68,'январь 2024'!$J$4:$J$1206,AB$1)</f>
        <v>0</v>
      </c>
      <c r="AC68" s="86">
        <f>SUMIFS('январь 2024'!$G$4:$G$1206,'январь 2024'!$D$4:$D$1206,$B68,'январь 2024'!$J$4:$J$1206,AC$1)</f>
        <v>0</v>
      </c>
      <c r="AD68" s="86">
        <f>SUMIFS('январь 2024'!$G$4:$G$1206,'январь 2024'!$D$4:$D$1206,$B68,'январь 2024'!$J$4:$J$1206,AD$1)</f>
        <v>0</v>
      </c>
      <c r="AE68" s="86">
        <f>SUMIFS('январь 2024'!$G$4:$G$1206,'январь 2024'!$D$4:$D$1206,$B68,'январь 2024'!$J$4:$J$1206,AE$1)</f>
        <v>0</v>
      </c>
      <c r="AF68" s="86">
        <f>SUMIFS('январь 2024'!$G$4:$G$1206,'январь 2024'!$D$4:$D$1206,$B68,'январь 2024'!$J$4:$J$1206,AF$1)</f>
        <v>0</v>
      </c>
      <c r="AG68" s="86">
        <f>SUMIFS('январь 2024'!$G$4:$G$1206,'январь 2024'!$D$4:$D$1206,$B68,'январь 2024'!$J$4:$J$1206,AG$1)</f>
        <v>0</v>
      </c>
      <c r="AH68" s="86">
        <f>SUMIFS('январь 2024'!$G$4:$G$1206,'январь 2024'!$D$4:$D$1206,$B68,'январь 2024'!$J$4:$J$1206,AH$1)</f>
        <v>0</v>
      </c>
      <c r="AI68" s="21">
        <f t="shared" si="1"/>
        <v>0</v>
      </c>
    </row>
    <row r="69" spans="2:35" ht="15" customHeight="1" x14ac:dyDescent="0.25">
      <c r="B69" s="93" t="s">
        <v>320</v>
      </c>
      <c r="C69" s="91">
        <v>190</v>
      </c>
      <c r="D69" s="86">
        <f>SUMIFS('январь 2024'!$G$4:$G$1206,'январь 2024'!$D$4:$D$1206,$B69,'январь 2024'!$J$4:$J$1206,D$1)</f>
        <v>0</v>
      </c>
      <c r="E69" s="86">
        <f>SUMIFS('январь 2024'!$G$4:$G$1206,'январь 2024'!$D$4:$D$1206,$B69,'январь 2024'!$J$4:$J$1206,E$1)</f>
        <v>0</v>
      </c>
      <c r="F69" s="86">
        <f>SUMIFS('январь 2024'!$G$4:$G$1206,'январь 2024'!$D$4:$D$1206,$B69,'январь 2024'!$J$4:$J$1206,F$1)</f>
        <v>0</v>
      </c>
      <c r="G69" s="86">
        <f>SUMIFS('январь 2024'!$G$4:$G$1206,'январь 2024'!$D$4:$D$1206,$B69,'январь 2024'!$J$4:$J$1206,G$1)</f>
        <v>0</v>
      </c>
      <c r="H69" s="86">
        <f>SUMIFS('январь 2024'!$G$4:$G$1206,'январь 2024'!$D$4:$D$1206,$B69,'январь 2024'!$J$4:$J$1206,H$1)</f>
        <v>0</v>
      </c>
      <c r="I69" s="86">
        <f>SUMIFS('январь 2024'!$G$4:$G$1206,'январь 2024'!$D$4:$D$1206,$B69,'январь 2024'!$J$4:$J$1206,I$1)</f>
        <v>0</v>
      </c>
      <c r="J69" s="86">
        <f>SUMIFS('январь 2024'!$G$4:$G$1206,'январь 2024'!$D$4:$D$1206,$B69,'январь 2024'!$J$4:$J$1206,J$1)</f>
        <v>0</v>
      </c>
      <c r="K69" s="86">
        <f>SUMIFS('январь 2024'!$G$4:$G$1206,'январь 2024'!$D$4:$D$1206,$B69,'январь 2024'!$J$4:$J$1206,K$1)</f>
        <v>0</v>
      </c>
      <c r="L69" s="86">
        <f>SUMIFS('январь 2024'!$G$4:$G$1206,'январь 2024'!$D$4:$D$1206,$B69,'январь 2024'!$J$4:$J$1206,L$1)</f>
        <v>0</v>
      </c>
      <c r="M69" s="86">
        <f>SUMIFS('январь 2024'!$G$4:$G$1206,'январь 2024'!$D$4:$D$1206,$B69,'январь 2024'!$J$4:$J$1206,M$1)</f>
        <v>0</v>
      </c>
      <c r="N69" s="86">
        <f>SUMIFS('январь 2024'!$G$4:$G$1206,'январь 2024'!$D$4:$D$1206,$B69,'январь 2024'!$J$4:$J$1206,N$1)</f>
        <v>0</v>
      </c>
      <c r="O69" s="86">
        <f>SUMIFS('январь 2024'!$G$4:$G$1206,'январь 2024'!$D$4:$D$1206,$B69,'январь 2024'!$J$4:$J$1206,O$1)</f>
        <v>0</v>
      </c>
      <c r="P69" s="86">
        <f>SUMIFS('январь 2024'!$G$4:$G$1206,'январь 2024'!$D$4:$D$1206,$B69,'январь 2024'!$J$4:$J$1206,P$1)</f>
        <v>0</v>
      </c>
      <c r="Q69" s="86">
        <f>SUMIFS('январь 2024'!$G$4:$G$1206,'январь 2024'!$D$4:$D$1206,$B69,'январь 2024'!$J$4:$J$1206,Q$1)</f>
        <v>0</v>
      </c>
      <c r="R69" s="86">
        <f>SUMIFS('январь 2024'!$G$4:$G$1206,'январь 2024'!$D$4:$D$1206,$B69,'январь 2024'!$J$4:$J$1206,R$1)</f>
        <v>0</v>
      </c>
      <c r="S69" s="86">
        <f>SUMIFS('январь 2024'!$G$4:$G$1206,'январь 2024'!$D$4:$D$1206,$B69,'январь 2024'!$J$4:$J$1206,S$1)</f>
        <v>0</v>
      </c>
      <c r="T69" s="86">
        <f>SUMIFS('январь 2024'!$G$4:$G$1206,'январь 2024'!$D$4:$D$1206,$B69,'январь 2024'!$J$4:$J$1206,T$1)</f>
        <v>0</v>
      </c>
      <c r="U69" s="86">
        <f>SUMIFS('январь 2024'!$G$4:$G$1206,'январь 2024'!$D$4:$D$1206,$B69,'январь 2024'!$J$4:$J$1206,U$1)</f>
        <v>0</v>
      </c>
      <c r="V69" s="86">
        <f>SUMIFS('январь 2024'!$G$4:$G$1206,'январь 2024'!$D$4:$D$1206,$B69,'январь 2024'!$J$4:$J$1206,V$1)</f>
        <v>0</v>
      </c>
      <c r="W69" s="86">
        <f>SUMIFS('январь 2024'!$G$4:$G$1206,'январь 2024'!$D$4:$D$1206,$B69,'январь 2024'!$J$4:$J$1206,W$1)</f>
        <v>0</v>
      </c>
      <c r="X69" s="86">
        <f>SUMIFS('январь 2024'!$G$4:$G$1206,'январь 2024'!$D$4:$D$1206,$B69,'январь 2024'!$J$4:$J$1206,X$1)</f>
        <v>0</v>
      </c>
      <c r="Y69" s="86">
        <f>SUMIFS('январь 2024'!$G$4:$G$1206,'январь 2024'!$D$4:$D$1206,$B69,'январь 2024'!$J$4:$J$1206,Y$1)</f>
        <v>0</v>
      </c>
      <c r="Z69" s="86">
        <f>SUMIFS('январь 2024'!$G$4:$G$1206,'январь 2024'!$D$4:$D$1206,$B69,'январь 2024'!$J$4:$J$1206,Z$1)</f>
        <v>0</v>
      </c>
      <c r="AA69" s="86">
        <f>SUMIFS('январь 2024'!$G$4:$G$1206,'январь 2024'!$D$4:$D$1206,$B69,'январь 2024'!$J$4:$J$1206,AA$1)</f>
        <v>0</v>
      </c>
      <c r="AB69" s="86">
        <f>SUMIFS('январь 2024'!$G$4:$G$1206,'январь 2024'!$D$4:$D$1206,$B69,'январь 2024'!$J$4:$J$1206,AB$1)</f>
        <v>0</v>
      </c>
      <c r="AC69" s="86">
        <f>SUMIFS('январь 2024'!$G$4:$G$1206,'январь 2024'!$D$4:$D$1206,$B69,'январь 2024'!$J$4:$J$1206,AC$1)</f>
        <v>0</v>
      </c>
      <c r="AD69" s="86">
        <f>SUMIFS('январь 2024'!$G$4:$G$1206,'январь 2024'!$D$4:$D$1206,$B69,'январь 2024'!$J$4:$J$1206,AD$1)</f>
        <v>0</v>
      </c>
      <c r="AE69" s="86">
        <f>SUMIFS('январь 2024'!$G$4:$G$1206,'январь 2024'!$D$4:$D$1206,$B69,'январь 2024'!$J$4:$J$1206,AE$1)</f>
        <v>0</v>
      </c>
      <c r="AF69" s="86">
        <f>SUMIFS('январь 2024'!$G$4:$G$1206,'январь 2024'!$D$4:$D$1206,$B69,'январь 2024'!$J$4:$J$1206,AF$1)</f>
        <v>0</v>
      </c>
      <c r="AG69" s="86">
        <f>SUMIFS('январь 2024'!$G$4:$G$1206,'январь 2024'!$D$4:$D$1206,$B69,'январь 2024'!$J$4:$J$1206,AG$1)</f>
        <v>0</v>
      </c>
      <c r="AH69" s="86">
        <f>SUMIFS('январь 2024'!$G$4:$G$1206,'январь 2024'!$D$4:$D$1206,$B69,'январь 2024'!$J$4:$J$1206,AH$1)</f>
        <v>0</v>
      </c>
      <c r="AI69" s="21"/>
    </row>
    <row r="70" spans="2:35" ht="15" customHeight="1" x14ac:dyDescent="0.25">
      <c r="B70" s="93" t="s">
        <v>210</v>
      </c>
      <c r="C70" s="91">
        <v>200</v>
      </c>
      <c r="D70" s="86">
        <f>SUMIFS('январь 2024'!$G$4:$G$1206,'январь 2024'!$D$4:$D$1206,$B70,'январь 2024'!$J$4:$J$1206,D$1)</f>
        <v>0</v>
      </c>
      <c r="E70" s="86">
        <f>SUMIFS('январь 2024'!$G$4:$G$1206,'январь 2024'!$D$4:$D$1206,$B70,'январь 2024'!$J$4:$J$1206,E$1)</f>
        <v>0</v>
      </c>
      <c r="F70" s="86">
        <f>SUMIFS('январь 2024'!$G$4:$G$1206,'январь 2024'!$D$4:$D$1206,$B70,'январь 2024'!$J$4:$J$1206,F$1)</f>
        <v>0</v>
      </c>
      <c r="G70" s="86">
        <f>SUMIFS('январь 2024'!$G$4:$G$1206,'январь 2024'!$D$4:$D$1206,$B70,'январь 2024'!$J$4:$J$1206,G$1)</f>
        <v>0</v>
      </c>
      <c r="H70" s="86">
        <f>SUMIFS('январь 2024'!$G$4:$G$1206,'январь 2024'!$D$4:$D$1206,$B70,'январь 2024'!$J$4:$J$1206,H$1)</f>
        <v>0</v>
      </c>
      <c r="I70" s="86">
        <f>SUMIFS('январь 2024'!$G$4:$G$1206,'январь 2024'!$D$4:$D$1206,$B70,'январь 2024'!$J$4:$J$1206,I$1)</f>
        <v>0</v>
      </c>
      <c r="J70" s="86">
        <f>SUMIFS('январь 2024'!$G$4:$G$1206,'январь 2024'!$D$4:$D$1206,$B70,'январь 2024'!$J$4:$J$1206,J$1)</f>
        <v>0</v>
      </c>
      <c r="K70" s="86">
        <f>SUMIFS('январь 2024'!$G$4:$G$1206,'январь 2024'!$D$4:$D$1206,$B70,'январь 2024'!$J$4:$J$1206,K$1)</f>
        <v>0</v>
      </c>
      <c r="L70" s="86">
        <f>SUMIFS('январь 2024'!$G$4:$G$1206,'январь 2024'!$D$4:$D$1206,$B70,'январь 2024'!$J$4:$J$1206,L$1)</f>
        <v>0</v>
      </c>
      <c r="M70" s="86">
        <f>SUMIFS('январь 2024'!$G$4:$G$1206,'январь 2024'!$D$4:$D$1206,$B70,'январь 2024'!$J$4:$J$1206,M$1)</f>
        <v>0</v>
      </c>
      <c r="N70" s="86">
        <f>SUMIFS('январь 2024'!$G$4:$G$1206,'январь 2024'!$D$4:$D$1206,$B70,'январь 2024'!$J$4:$J$1206,N$1)</f>
        <v>0</v>
      </c>
      <c r="O70" s="86">
        <f>SUMIFS('январь 2024'!$G$4:$G$1206,'январь 2024'!$D$4:$D$1206,$B70,'январь 2024'!$J$4:$J$1206,O$1)</f>
        <v>0</v>
      </c>
      <c r="P70" s="86">
        <f>SUMIFS('январь 2024'!$G$4:$G$1206,'январь 2024'!$D$4:$D$1206,$B70,'январь 2024'!$J$4:$J$1206,P$1)</f>
        <v>0</v>
      </c>
      <c r="Q70" s="86">
        <f>SUMIFS('январь 2024'!$G$4:$G$1206,'январь 2024'!$D$4:$D$1206,$B70,'январь 2024'!$J$4:$J$1206,Q$1)</f>
        <v>0</v>
      </c>
      <c r="R70" s="86">
        <f>SUMIFS('январь 2024'!$G$4:$G$1206,'январь 2024'!$D$4:$D$1206,$B70,'январь 2024'!$J$4:$J$1206,R$1)</f>
        <v>0</v>
      </c>
      <c r="S70" s="86">
        <f>SUMIFS('январь 2024'!$G$4:$G$1206,'январь 2024'!$D$4:$D$1206,$B70,'январь 2024'!$J$4:$J$1206,S$1)</f>
        <v>0</v>
      </c>
      <c r="T70" s="86">
        <f>SUMIFS('январь 2024'!$G$4:$G$1206,'январь 2024'!$D$4:$D$1206,$B70,'январь 2024'!$J$4:$J$1206,T$1)</f>
        <v>0</v>
      </c>
      <c r="U70" s="86">
        <f>SUMIFS('январь 2024'!$G$4:$G$1206,'январь 2024'!$D$4:$D$1206,$B70,'январь 2024'!$J$4:$J$1206,U$1)</f>
        <v>0</v>
      </c>
      <c r="V70" s="86">
        <f>SUMIFS('январь 2024'!$G$4:$G$1206,'январь 2024'!$D$4:$D$1206,$B70,'январь 2024'!$J$4:$J$1206,V$1)</f>
        <v>0</v>
      </c>
      <c r="W70" s="86">
        <f>SUMIFS('январь 2024'!$G$4:$G$1206,'январь 2024'!$D$4:$D$1206,$B70,'январь 2024'!$J$4:$J$1206,W$1)</f>
        <v>0</v>
      </c>
      <c r="X70" s="86">
        <f>SUMIFS('январь 2024'!$G$4:$G$1206,'январь 2024'!$D$4:$D$1206,$B70,'январь 2024'!$J$4:$J$1206,X$1)</f>
        <v>0</v>
      </c>
      <c r="Y70" s="86">
        <f>SUMIFS('январь 2024'!$G$4:$G$1206,'январь 2024'!$D$4:$D$1206,$B70,'январь 2024'!$J$4:$J$1206,Y$1)</f>
        <v>0</v>
      </c>
      <c r="Z70" s="86">
        <f>SUMIFS('январь 2024'!$G$4:$G$1206,'январь 2024'!$D$4:$D$1206,$B70,'январь 2024'!$J$4:$J$1206,Z$1)</f>
        <v>0</v>
      </c>
      <c r="AA70" s="86">
        <f>SUMIFS('январь 2024'!$G$4:$G$1206,'январь 2024'!$D$4:$D$1206,$B70,'январь 2024'!$J$4:$J$1206,AA$1)</f>
        <v>0</v>
      </c>
      <c r="AB70" s="86">
        <f>SUMIFS('январь 2024'!$G$4:$G$1206,'январь 2024'!$D$4:$D$1206,$B70,'январь 2024'!$J$4:$J$1206,AB$1)</f>
        <v>0</v>
      </c>
      <c r="AC70" s="86">
        <f>SUMIFS('январь 2024'!$G$4:$G$1206,'январь 2024'!$D$4:$D$1206,$B70,'январь 2024'!$J$4:$J$1206,AC$1)</f>
        <v>0</v>
      </c>
      <c r="AD70" s="86">
        <f>SUMIFS('январь 2024'!$G$4:$G$1206,'январь 2024'!$D$4:$D$1206,$B70,'январь 2024'!$J$4:$J$1206,AD$1)</f>
        <v>0</v>
      </c>
      <c r="AE70" s="86">
        <f>SUMIFS('январь 2024'!$G$4:$G$1206,'январь 2024'!$D$4:$D$1206,$B70,'январь 2024'!$J$4:$J$1206,AE$1)</f>
        <v>0</v>
      </c>
      <c r="AF70" s="86">
        <f>SUMIFS('январь 2024'!$G$4:$G$1206,'январь 2024'!$D$4:$D$1206,$B70,'январь 2024'!$J$4:$J$1206,AF$1)</f>
        <v>0</v>
      </c>
      <c r="AG70" s="86">
        <f>SUMIFS('январь 2024'!$G$4:$G$1206,'январь 2024'!$D$4:$D$1206,$B70,'январь 2024'!$J$4:$J$1206,AG$1)</f>
        <v>0</v>
      </c>
      <c r="AH70" s="86">
        <f>SUMIFS('январь 2024'!$G$4:$G$1206,'январь 2024'!$D$4:$D$1206,$B70,'январь 2024'!$J$4:$J$1206,AH$1)</f>
        <v>0</v>
      </c>
      <c r="AI70" s="21">
        <f t="shared" si="1"/>
        <v>0</v>
      </c>
    </row>
    <row r="71" spans="2:35" ht="15" customHeight="1" x14ac:dyDescent="0.25">
      <c r="B71" s="93" t="s">
        <v>221</v>
      </c>
      <c r="C71" s="91">
        <v>25</v>
      </c>
      <c r="D71" s="86">
        <f>SUMIFS('январь 2024'!$G$4:$G$1206,'январь 2024'!$D$4:$D$1206,$B71,'январь 2024'!$J$4:$J$1206,D$1)</f>
        <v>0</v>
      </c>
      <c r="E71" s="86">
        <f>SUMIFS('январь 2024'!$G$4:$G$1206,'январь 2024'!$D$4:$D$1206,$B71,'январь 2024'!$J$4:$J$1206,E$1)</f>
        <v>0</v>
      </c>
      <c r="F71" s="86">
        <f>SUMIFS('январь 2024'!$G$4:$G$1206,'январь 2024'!$D$4:$D$1206,$B71,'январь 2024'!$J$4:$J$1206,F$1)</f>
        <v>0</v>
      </c>
      <c r="G71" s="86">
        <f>SUMIFS('январь 2024'!$G$4:$G$1206,'январь 2024'!$D$4:$D$1206,$B71,'январь 2024'!$J$4:$J$1206,G$1)</f>
        <v>0</v>
      </c>
      <c r="H71" s="86">
        <f>SUMIFS('январь 2024'!$G$4:$G$1206,'январь 2024'!$D$4:$D$1206,$B71,'январь 2024'!$J$4:$J$1206,H$1)</f>
        <v>0</v>
      </c>
      <c r="I71" s="86">
        <f>SUMIFS('январь 2024'!$G$4:$G$1206,'январь 2024'!$D$4:$D$1206,$B71,'январь 2024'!$J$4:$J$1206,I$1)</f>
        <v>0</v>
      </c>
      <c r="J71" s="86">
        <f>SUMIFS('январь 2024'!$G$4:$G$1206,'январь 2024'!$D$4:$D$1206,$B71,'январь 2024'!$J$4:$J$1206,J$1)</f>
        <v>0</v>
      </c>
      <c r="K71" s="86">
        <f>SUMIFS('январь 2024'!$G$4:$G$1206,'январь 2024'!$D$4:$D$1206,$B71,'январь 2024'!$J$4:$J$1206,K$1)</f>
        <v>0</v>
      </c>
      <c r="L71" s="86">
        <f>SUMIFS('январь 2024'!$G$4:$G$1206,'январь 2024'!$D$4:$D$1206,$B71,'январь 2024'!$J$4:$J$1206,L$1)</f>
        <v>0</v>
      </c>
      <c r="M71" s="86">
        <f>SUMIFS('январь 2024'!$G$4:$G$1206,'январь 2024'!$D$4:$D$1206,$B71,'январь 2024'!$J$4:$J$1206,M$1)</f>
        <v>0</v>
      </c>
      <c r="N71" s="86">
        <f>SUMIFS('январь 2024'!$G$4:$G$1206,'январь 2024'!$D$4:$D$1206,$B71,'январь 2024'!$J$4:$J$1206,N$1)</f>
        <v>0</v>
      </c>
      <c r="O71" s="86">
        <f>SUMIFS('январь 2024'!$G$4:$G$1206,'январь 2024'!$D$4:$D$1206,$B71,'январь 2024'!$J$4:$J$1206,O$1)</f>
        <v>0</v>
      </c>
      <c r="P71" s="86">
        <f>SUMIFS('январь 2024'!$G$4:$G$1206,'январь 2024'!$D$4:$D$1206,$B71,'январь 2024'!$J$4:$J$1206,P$1)</f>
        <v>0</v>
      </c>
      <c r="Q71" s="86">
        <f>SUMIFS('январь 2024'!$G$4:$G$1206,'январь 2024'!$D$4:$D$1206,$B71,'январь 2024'!$J$4:$J$1206,Q$1)</f>
        <v>0</v>
      </c>
      <c r="R71" s="86">
        <f>SUMIFS('январь 2024'!$G$4:$G$1206,'январь 2024'!$D$4:$D$1206,$B71,'январь 2024'!$J$4:$J$1206,R$1)</f>
        <v>0</v>
      </c>
      <c r="S71" s="86">
        <f>SUMIFS('январь 2024'!$G$4:$G$1206,'январь 2024'!$D$4:$D$1206,$B71,'январь 2024'!$J$4:$J$1206,S$1)</f>
        <v>0</v>
      </c>
      <c r="T71" s="86">
        <f>SUMIFS('январь 2024'!$G$4:$G$1206,'январь 2024'!$D$4:$D$1206,$B71,'январь 2024'!$J$4:$J$1206,T$1)</f>
        <v>0</v>
      </c>
      <c r="U71" s="86">
        <f>SUMIFS('январь 2024'!$G$4:$G$1206,'январь 2024'!$D$4:$D$1206,$B71,'январь 2024'!$J$4:$J$1206,U$1)</f>
        <v>0</v>
      </c>
      <c r="V71" s="86">
        <f>SUMIFS('январь 2024'!$G$4:$G$1206,'январь 2024'!$D$4:$D$1206,$B71,'январь 2024'!$J$4:$J$1206,V$1)</f>
        <v>0</v>
      </c>
      <c r="W71" s="86">
        <f>SUMIFS('январь 2024'!$G$4:$G$1206,'январь 2024'!$D$4:$D$1206,$B71,'январь 2024'!$J$4:$J$1206,W$1)</f>
        <v>0</v>
      </c>
      <c r="X71" s="86">
        <f>SUMIFS('январь 2024'!$G$4:$G$1206,'январь 2024'!$D$4:$D$1206,$B71,'январь 2024'!$J$4:$J$1206,X$1)</f>
        <v>0</v>
      </c>
      <c r="Y71" s="86">
        <f>SUMIFS('январь 2024'!$G$4:$G$1206,'январь 2024'!$D$4:$D$1206,$B71,'январь 2024'!$J$4:$J$1206,Y$1)</f>
        <v>0</v>
      </c>
      <c r="Z71" s="86">
        <f>SUMIFS('январь 2024'!$G$4:$G$1206,'январь 2024'!$D$4:$D$1206,$B71,'январь 2024'!$J$4:$J$1206,Z$1)</f>
        <v>0</v>
      </c>
      <c r="AA71" s="86">
        <f>SUMIFS('январь 2024'!$G$4:$G$1206,'январь 2024'!$D$4:$D$1206,$B71,'январь 2024'!$J$4:$J$1206,AA$1)</f>
        <v>0</v>
      </c>
      <c r="AB71" s="86">
        <f>SUMIFS('январь 2024'!$G$4:$G$1206,'январь 2024'!$D$4:$D$1206,$B71,'январь 2024'!$J$4:$J$1206,AB$1)</f>
        <v>0</v>
      </c>
      <c r="AC71" s="86">
        <f>SUMIFS('январь 2024'!$G$4:$G$1206,'январь 2024'!$D$4:$D$1206,$B71,'январь 2024'!$J$4:$J$1206,AC$1)</f>
        <v>0</v>
      </c>
      <c r="AD71" s="86">
        <f>SUMIFS('январь 2024'!$G$4:$G$1206,'январь 2024'!$D$4:$D$1206,$B71,'январь 2024'!$J$4:$J$1206,AD$1)</f>
        <v>0</v>
      </c>
      <c r="AE71" s="86">
        <f>SUMIFS('январь 2024'!$G$4:$G$1206,'январь 2024'!$D$4:$D$1206,$B71,'январь 2024'!$J$4:$J$1206,AE$1)</f>
        <v>0</v>
      </c>
      <c r="AF71" s="86">
        <f>SUMIFS('январь 2024'!$G$4:$G$1206,'январь 2024'!$D$4:$D$1206,$B71,'январь 2024'!$J$4:$J$1206,AF$1)</f>
        <v>0</v>
      </c>
      <c r="AG71" s="86">
        <f>SUMIFS('январь 2024'!$G$4:$G$1206,'январь 2024'!$D$4:$D$1206,$B71,'январь 2024'!$J$4:$J$1206,AG$1)</f>
        <v>0</v>
      </c>
      <c r="AH71" s="86">
        <f>SUMIFS('январь 2024'!$G$4:$G$1206,'январь 2024'!$D$4:$D$1206,$B71,'январь 2024'!$J$4:$J$1206,AH$1)</f>
        <v>0</v>
      </c>
      <c r="AI71" s="21">
        <f t="shared" si="1"/>
        <v>0</v>
      </c>
    </row>
    <row r="72" spans="2:35" ht="15" customHeight="1" x14ac:dyDescent="0.25">
      <c r="B72" s="93" t="s">
        <v>188</v>
      </c>
      <c r="C72" s="91">
        <v>50</v>
      </c>
      <c r="D72" s="86">
        <f>SUMIFS('январь 2024'!$G$4:$G$1206,'январь 2024'!$D$4:$D$1206,$B72,'январь 2024'!$J$4:$J$1206,D$1)</f>
        <v>0</v>
      </c>
      <c r="E72" s="86">
        <f>SUMIFS('январь 2024'!$G$4:$G$1206,'январь 2024'!$D$4:$D$1206,$B72,'январь 2024'!$J$4:$J$1206,E$1)</f>
        <v>0</v>
      </c>
      <c r="F72" s="86">
        <f>SUMIFS('январь 2024'!$G$4:$G$1206,'январь 2024'!$D$4:$D$1206,$B72,'январь 2024'!$J$4:$J$1206,F$1)</f>
        <v>0</v>
      </c>
      <c r="G72" s="86">
        <f>SUMIFS('январь 2024'!$G$4:$G$1206,'январь 2024'!$D$4:$D$1206,$B72,'январь 2024'!$J$4:$J$1206,G$1)</f>
        <v>0</v>
      </c>
      <c r="H72" s="86">
        <f>SUMIFS('январь 2024'!$G$4:$G$1206,'январь 2024'!$D$4:$D$1206,$B72,'январь 2024'!$J$4:$J$1206,H$1)</f>
        <v>0</v>
      </c>
      <c r="I72" s="86">
        <f>SUMIFS('январь 2024'!$G$4:$G$1206,'январь 2024'!$D$4:$D$1206,$B72,'январь 2024'!$J$4:$J$1206,I$1)</f>
        <v>0</v>
      </c>
      <c r="J72" s="86">
        <f>SUMIFS('январь 2024'!$G$4:$G$1206,'январь 2024'!$D$4:$D$1206,$B72,'январь 2024'!$J$4:$J$1206,J$1)</f>
        <v>0</v>
      </c>
      <c r="K72" s="86">
        <f>SUMIFS('январь 2024'!$G$4:$G$1206,'январь 2024'!$D$4:$D$1206,$B72,'январь 2024'!$J$4:$J$1206,K$1)</f>
        <v>0</v>
      </c>
      <c r="L72" s="86">
        <f>SUMIFS('январь 2024'!$G$4:$G$1206,'январь 2024'!$D$4:$D$1206,$B72,'январь 2024'!$J$4:$J$1206,L$1)</f>
        <v>0</v>
      </c>
      <c r="M72" s="86">
        <f>SUMIFS('январь 2024'!$G$4:$G$1206,'январь 2024'!$D$4:$D$1206,$B72,'январь 2024'!$J$4:$J$1206,M$1)</f>
        <v>0</v>
      </c>
      <c r="N72" s="86">
        <f>SUMIFS('январь 2024'!$G$4:$G$1206,'январь 2024'!$D$4:$D$1206,$B72,'январь 2024'!$J$4:$J$1206,N$1)</f>
        <v>0</v>
      </c>
      <c r="O72" s="86">
        <f>SUMIFS('январь 2024'!$G$4:$G$1206,'январь 2024'!$D$4:$D$1206,$B72,'январь 2024'!$J$4:$J$1206,O$1)</f>
        <v>0</v>
      </c>
      <c r="P72" s="86">
        <f>SUMIFS('январь 2024'!$G$4:$G$1206,'январь 2024'!$D$4:$D$1206,$B72,'январь 2024'!$J$4:$J$1206,P$1)</f>
        <v>0</v>
      </c>
      <c r="Q72" s="86">
        <f>SUMIFS('январь 2024'!$G$4:$G$1206,'январь 2024'!$D$4:$D$1206,$B72,'январь 2024'!$J$4:$J$1206,Q$1)</f>
        <v>0</v>
      </c>
      <c r="R72" s="86">
        <f>SUMIFS('январь 2024'!$G$4:$G$1206,'январь 2024'!$D$4:$D$1206,$B72,'январь 2024'!$J$4:$J$1206,R$1)</f>
        <v>0</v>
      </c>
      <c r="S72" s="86">
        <f>SUMIFS('январь 2024'!$G$4:$G$1206,'январь 2024'!$D$4:$D$1206,$B72,'январь 2024'!$J$4:$J$1206,S$1)</f>
        <v>0</v>
      </c>
      <c r="T72" s="86">
        <f>SUMIFS('январь 2024'!$G$4:$G$1206,'январь 2024'!$D$4:$D$1206,$B72,'январь 2024'!$J$4:$J$1206,T$1)</f>
        <v>0</v>
      </c>
      <c r="U72" s="86">
        <f>SUMIFS('январь 2024'!$G$4:$G$1206,'январь 2024'!$D$4:$D$1206,$B72,'январь 2024'!$J$4:$J$1206,U$1)</f>
        <v>0</v>
      </c>
      <c r="V72" s="86">
        <f>SUMIFS('январь 2024'!$G$4:$G$1206,'январь 2024'!$D$4:$D$1206,$B72,'январь 2024'!$J$4:$J$1206,V$1)</f>
        <v>0</v>
      </c>
      <c r="W72" s="86">
        <f>SUMIFS('январь 2024'!$G$4:$G$1206,'январь 2024'!$D$4:$D$1206,$B72,'январь 2024'!$J$4:$J$1206,W$1)</f>
        <v>0</v>
      </c>
      <c r="X72" s="86">
        <f>SUMIFS('январь 2024'!$G$4:$G$1206,'январь 2024'!$D$4:$D$1206,$B72,'январь 2024'!$J$4:$J$1206,X$1)</f>
        <v>0</v>
      </c>
      <c r="Y72" s="86">
        <f>SUMIFS('январь 2024'!$G$4:$G$1206,'январь 2024'!$D$4:$D$1206,$B72,'январь 2024'!$J$4:$J$1206,Y$1)</f>
        <v>0</v>
      </c>
      <c r="Z72" s="86">
        <f>SUMIFS('январь 2024'!$G$4:$G$1206,'январь 2024'!$D$4:$D$1206,$B72,'январь 2024'!$J$4:$J$1206,Z$1)</f>
        <v>0</v>
      </c>
      <c r="AA72" s="86">
        <f>SUMIFS('январь 2024'!$G$4:$G$1206,'январь 2024'!$D$4:$D$1206,$B72,'январь 2024'!$J$4:$J$1206,AA$1)</f>
        <v>0</v>
      </c>
      <c r="AB72" s="86">
        <f>SUMIFS('январь 2024'!$G$4:$G$1206,'январь 2024'!$D$4:$D$1206,$B72,'январь 2024'!$J$4:$J$1206,AB$1)</f>
        <v>0</v>
      </c>
      <c r="AC72" s="86">
        <f>SUMIFS('январь 2024'!$G$4:$G$1206,'январь 2024'!$D$4:$D$1206,$B72,'январь 2024'!$J$4:$J$1206,AC$1)</f>
        <v>0</v>
      </c>
      <c r="AD72" s="86">
        <f>SUMIFS('январь 2024'!$G$4:$G$1206,'январь 2024'!$D$4:$D$1206,$B72,'январь 2024'!$J$4:$J$1206,AD$1)</f>
        <v>0</v>
      </c>
      <c r="AE72" s="86">
        <f>SUMIFS('январь 2024'!$G$4:$G$1206,'январь 2024'!$D$4:$D$1206,$B72,'январь 2024'!$J$4:$J$1206,AE$1)</f>
        <v>0</v>
      </c>
      <c r="AF72" s="86">
        <f>SUMIFS('январь 2024'!$G$4:$G$1206,'январь 2024'!$D$4:$D$1206,$B72,'январь 2024'!$J$4:$J$1206,AF$1)</f>
        <v>0</v>
      </c>
      <c r="AG72" s="86">
        <f>SUMIFS('январь 2024'!$G$4:$G$1206,'январь 2024'!$D$4:$D$1206,$B72,'январь 2024'!$J$4:$J$1206,AG$1)</f>
        <v>0</v>
      </c>
      <c r="AH72" s="86">
        <f>SUMIFS('январь 2024'!$G$4:$G$1206,'январь 2024'!$D$4:$D$1206,$B72,'январь 2024'!$J$4:$J$1206,AH$1)</f>
        <v>0</v>
      </c>
      <c r="AI72" s="21">
        <f t="shared" si="1"/>
        <v>0</v>
      </c>
    </row>
    <row r="73" spans="2:35" ht="15" customHeight="1" x14ac:dyDescent="0.25">
      <c r="B73" s="93" t="s">
        <v>173</v>
      </c>
      <c r="C73" s="91">
        <v>200</v>
      </c>
      <c r="D73" s="86">
        <f>SUMIFS('январь 2024'!$G$4:$G$1206,'январь 2024'!$D$4:$D$1206,$B73,'январь 2024'!$J$4:$J$1206,D$1)</f>
        <v>0</v>
      </c>
      <c r="E73" s="86">
        <f>SUMIFS('январь 2024'!$G$4:$G$1206,'январь 2024'!$D$4:$D$1206,$B73,'январь 2024'!$J$4:$J$1206,E$1)</f>
        <v>0</v>
      </c>
      <c r="F73" s="86">
        <f>SUMIFS('январь 2024'!$G$4:$G$1206,'январь 2024'!$D$4:$D$1206,$B73,'январь 2024'!$J$4:$J$1206,F$1)</f>
        <v>0</v>
      </c>
      <c r="G73" s="86">
        <f>SUMIFS('январь 2024'!$G$4:$G$1206,'январь 2024'!$D$4:$D$1206,$B73,'январь 2024'!$J$4:$J$1206,G$1)</f>
        <v>40</v>
      </c>
      <c r="H73" s="86">
        <f>SUMIFS('январь 2024'!$G$4:$G$1206,'январь 2024'!$D$4:$D$1206,$B73,'январь 2024'!$J$4:$J$1206,H$1)</f>
        <v>0</v>
      </c>
      <c r="I73" s="86">
        <f>SUMIFS('январь 2024'!$G$4:$G$1206,'январь 2024'!$D$4:$D$1206,$B73,'январь 2024'!$J$4:$J$1206,I$1)</f>
        <v>0</v>
      </c>
      <c r="J73" s="86">
        <f>SUMIFS('январь 2024'!$G$4:$G$1206,'январь 2024'!$D$4:$D$1206,$B73,'январь 2024'!$J$4:$J$1206,J$1)</f>
        <v>0</v>
      </c>
      <c r="K73" s="86">
        <f>SUMIFS('январь 2024'!$G$4:$G$1206,'январь 2024'!$D$4:$D$1206,$B73,'январь 2024'!$J$4:$J$1206,K$1)</f>
        <v>0</v>
      </c>
      <c r="L73" s="86">
        <f>SUMIFS('январь 2024'!$G$4:$G$1206,'январь 2024'!$D$4:$D$1206,$B73,'январь 2024'!$J$4:$J$1206,L$1)</f>
        <v>0</v>
      </c>
      <c r="M73" s="86">
        <f>SUMIFS('январь 2024'!$G$4:$G$1206,'январь 2024'!$D$4:$D$1206,$B73,'январь 2024'!$J$4:$J$1206,M$1)</f>
        <v>0</v>
      </c>
      <c r="N73" s="86">
        <f>SUMIFS('январь 2024'!$G$4:$G$1206,'январь 2024'!$D$4:$D$1206,$B73,'январь 2024'!$J$4:$J$1206,N$1)</f>
        <v>0</v>
      </c>
      <c r="O73" s="86">
        <f>SUMIFS('январь 2024'!$G$4:$G$1206,'январь 2024'!$D$4:$D$1206,$B73,'январь 2024'!$J$4:$J$1206,O$1)</f>
        <v>0</v>
      </c>
      <c r="P73" s="86">
        <f>SUMIFS('январь 2024'!$G$4:$G$1206,'январь 2024'!$D$4:$D$1206,$B73,'январь 2024'!$J$4:$J$1206,P$1)</f>
        <v>0</v>
      </c>
      <c r="Q73" s="86">
        <f>SUMIFS('январь 2024'!$G$4:$G$1206,'январь 2024'!$D$4:$D$1206,$B73,'январь 2024'!$J$4:$J$1206,Q$1)</f>
        <v>0</v>
      </c>
      <c r="R73" s="86">
        <f>SUMIFS('январь 2024'!$G$4:$G$1206,'январь 2024'!$D$4:$D$1206,$B73,'январь 2024'!$J$4:$J$1206,R$1)</f>
        <v>0</v>
      </c>
      <c r="S73" s="86">
        <f>SUMIFS('январь 2024'!$G$4:$G$1206,'январь 2024'!$D$4:$D$1206,$B73,'январь 2024'!$J$4:$J$1206,S$1)</f>
        <v>0</v>
      </c>
      <c r="T73" s="86">
        <f>SUMIFS('январь 2024'!$G$4:$G$1206,'январь 2024'!$D$4:$D$1206,$B73,'январь 2024'!$J$4:$J$1206,T$1)</f>
        <v>0</v>
      </c>
      <c r="U73" s="86">
        <f>SUMIFS('январь 2024'!$G$4:$G$1206,'январь 2024'!$D$4:$D$1206,$B73,'январь 2024'!$J$4:$J$1206,U$1)</f>
        <v>0</v>
      </c>
      <c r="V73" s="86">
        <f>SUMIFS('январь 2024'!$G$4:$G$1206,'январь 2024'!$D$4:$D$1206,$B73,'январь 2024'!$J$4:$J$1206,V$1)</f>
        <v>0</v>
      </c>
      <c r="W73" s="86">
        <f>SUMIFS('январь 2024'!$G$4:$G$1206,'январь 2024'!$D$4:$D$1206,$B73,'январь 2024'!$J$4:$J$1206,W$1)</f>
        <v>0</v>
      </c>
      <c r="X73" s="86">
        <f>SUMIFS('январь 2024'!$G$4:$G$1206,'январь 2024'!$D$4:$D$1206,$B73,'январь 2024'!$J$4:$J$1206,X$1)</f>
        <v>0</v>
      </c>
      <c r="Y73" s="86">
        <f>SUMIFS('январь 2024'!$G$4:$G$1206,'январь 2024'!$D$4:$D$1206,$B73,'январь 2024'!$J$4:$J$1206,Y$1)</f>
        <v>0</v>
      </c>
      <c r="Z73" s="86">
        <f>SUMIFS('январь 2024'!$G$4:$G$1206,'январь 2024'!$D$4:$D$1206,$B73,'январь 2024'!$J$4:$J$1206,Z$1)</f>
        <v>0</v>
      </c>
      <c r="AA73" s="86">
        <f>SUMIFS('январь 2024'!$G$4:$G$1206,'январь 2024'!$D$4:$D$1206,$B73,'январь 2024'!$J$4:$J$1206,AA$1)</f>
        <v>0</v>
      </c>
      <c r="AB73" s="86">
        <f>SUMIFS('январь 2024'!$G$4:$G$1206,'январь 2024'!$D$4:$D$1206,$B73,'январь 2024'!$J$4:$J$1206,AB$1)</f>
        <v>0</v>
      </c>
      <c r="AC73" s="86">
        <f>SUMIFS('январь 2024'!$G$4:$G$1206,'январь 2024'!$D$4:$D$1206,$B73,'январь 2024'!$J$4:$J$1206,AC$1)</f>
        <v>88</v>
      </c>
      <c r="AD73" s="86">
        <f>SUMIFS('январь 2024'!$G$4:$G$1206,'январь 2024'!$D$4:$D$1206,$B73,'январь 2024'!$J$4:$J$1206,AD$1)</f>
        <v>0</v>
      </c>
      <c r="AE73" s="86">
        <f>SUMIFS('январь 2024'!$G$4:$G$1206,'январь 2024'!$D$4:$D$1206,$B73,'январь 2024'!$J$4:$J$1206,AE$1)</f>
        <v>0</v>
      </c>
      <c r="AF73" s="86">
        <f>SUMIFS('январь 2024'!$G$4:$G$1206,'январь 2024'!$D$4:$D$1206,$B73,'январь 2024'!$J$4:$J$1206,AF$1)</f>
        <v>0</v>
      </c>
      <c r="AG73" s="86">
        <f>SUMIFS('январь 2024'!$G$4:$G$1206,'январь 2024'!$D$4:$D$1206,$B73,'январь 2024'!$J$4:$J$1206,AG$1)</f>
        <v>0</v>
      </c>
      <c r="AH73" s="86">
        <f>SUMIFS('январь 2024'!$G$4:$G$1206,'январь 2024'!$D$4:$D$1206,$B73,'январь 2024'!$J$4:$J$1206,AH$1)</f>
        <v>0</v>
      </c>
      <c r="AI73" s="21">
        <f t="shared" si="1"/>
        <v>128</v>
      </c>
    </row>
    <row r="74" spans="2:35" ht="15" customHeight="1" x14ac:dyDescent="0.25">
      <c r="B74" s="93" t="s">
        <v>174</v>
      </c>
      <c r="C74" s="91">
        <v>200</v>
      </c>
      <c r="D74" s="86">
        <f>SUMIFS('январь 2024'!$G$4:$G$1206,'январь 2024'!$D$4:$D$1206,$B74,'январь 2024'!$J$4:$J$1206,D$1)</f>
        <v>0</v>
      </c>
      <c r="E74" s="86">
        <f>SUMIFS('январь 2024'!$G$4:$G$1206,'январь 2024'!$D$4:$D$1206,$B74,'январь 2024'!$J$4:$J$1206,E$1)</f>
        <v>0</v>
      </c>
      <c r="F74" s="86">
        <f>SUMIFS('январь 2024'!$G$4:$G$1206,'январь 2024'!$D$4:$D$1206,$B74,'январь 2024'!$J$4:$J$1206,F$1)</f>
        <v>0</v>
      </c>
      <c r="G74" s="86">
        <f>SUMIFS('январь 2024'!$G$4:$G$1206,'январь 2024'!$D$4:$D$1206,$B74,'январь 2024'!$J$4:$J$1206,G$1)</f>
        <v>0</v>
      </c>
      <c r="H74" s="86">
        <f>SUMIFS('январь 2024'!$G$4:$G$1206,'январь 2024'!$D$4:$D$1206,$B74,'январь 2024'!$J$4:$J$1206,H$1)</f>
        <v>0</v>
      </c>
      <c r="I74" s="86">
        <f>SUMIFS('январь 2024'!$G$4:$G$1206,'январь 2024'!$D$4:$D$1206,$B74,'январь 2024'!$J$4:$J$1206,I$1)</f>
        <v>0</v>
      </c>
      <c r="J74" s="86">
        <f>SUMIFS('январь 2024'!$G$4:$G$1206,'январь 2024'!$D$4:$D$1206,$B74,'январь 2024'!$J$4:$J$1206,J$1)</f>
        <v>0</v>
      </c>
      <c r="K74" s="86">
        <f>SUMIFS('январь 2024'!$G$4:$G$1206,'январь 2024'!$D$4:$D$1206,$B74,'январь 2024'!$J$4:$J$1206,K$1)</f>
        <v>0</v>
      </c>
      <c r="L74" s="86">
        <f>SUMIFS('январь 2024'!$G$4:$G$1206,'январь 2024'!$D$4:$D$1206,$B74,'январь 2024'!$J$4:$J$1206,L$1)</f>
        <v>0</v>
      </c>
      <c r="M74" s="86">
        <f>SUMIFS('январь 2024'!$G$4:$G$1206,'январь 2024'!$D$4:$D$1206,$B74,'январь 2024'!$J$4:$J$1206,M$1)</f>
        <v>0</v>
      </c>
      <c r="N74" s="86">
        <f>SUMIFS('январь 2024'!$G$4:$G$1206,'январь 2024'!$D$4:$D$1206,$B74,'январь 2024'!$J$4:$J$1206,N$1)</f>
        <v>0</v>
      </c>
      <c r="O74" s="86">
        <f>SUMIFS('январь 2024'!$G$4:$G$1206,'январь 2024'!$D$4:$D$1206,$B74,'январь 2024'!$J$4:$J$1206,O$1)</f>
        <v>0</v>
      </c>
      <c r="P74" s="86">
        <f>SUMIFS('январь 2024'!$G$4:$G$1206,'январь 2024'!$D$4:$D$1206,$B74,'январь 2024'!$J$4:$J$1206,P$1)</f>
        <v>0</v>
      </c>
      <c r="Q74" s="86">
        <f>SUMIFS('январь 2024'!$G$4:$G$1206,'январь 2024'!$D$4:$D$1206,$B74,'январь 2024'!$J$4:$J$1206,Q$1)</f>
        <v>0</v>
      </c>
      <c r="R74" s="86">
        <f>SUMIFS('январь 2024'!$G$4:$G$1206,'январь 2024'!$D$4:$D$1206,$B74,'январь 2024'!$J$4:$J$1206,R$1)</f>
        <v>0</v>
      </c>
      <c r="S74" s="86">
        <f>SUMIFS('январь 2024'!$G$4:$G$1206,'январь 2024'!$D$4:$D$1206,$B74,'январь 2024'!$J$4:$J$1206,S$1)</f>
        <v>0</v>
      </c>
      <c r="T74" s="86">
        <f>SUMIFS('январь 2024'!$G$4:$G$1206,'январь 2024'!$D$4:$D$1206,$B74,'январь 2024'!$J$4:$J$1206,T$1)</f>
        <v>0</v>
      </c>
      <c r="U74" s="86">
        <f>SUMIFS('январь 2024'!$G$4:$G$1206,'январь 2024'!$D$4:$D$1206,$B74,'январь 2024'!$J$4:$J$1206,U$1)</f>
        <v>0</v>
      </c>
      <c r="V74" s="86">
        <f>SUMIFS('январь 2024'!$G$4:$G$1206,'январь 2024'!$D$4:$D$1206,$B74,'январь 2024'!$J$4:$J$1206,V$1)</f>
        <v>0</v>
      </c>
      <c r="W74" s="86">
        <f>SUMIFS('январь 2024'!$G$4:$G$1206,'январь 2024'!$D$4:$D$1206,$B74,'январь 2024'!$J$4:$J$1206,W$1)</f>
        <v>0</v>
      </c>
      <c r="X74" s="86">
        <f>SUMIFS('январь 2024'!$G$4:$G$1206,'январь 2024'!$D$4:$D$1206,$B74,'январь 2024'!$J$4:$J$1206,X$1)</f>
        <v>0</v>
      </c>
      <c r="Y74" s="86">
        <f>SUMIFS('январь 2024'!$G$4:$G$1206,'январь 2024'!$D$4:$D$1206,$B74,'январь 2024'!$J$4:$J$1206,Y$1)</f>
        <v>0</v>
      </c>
      <c r="Z74" s="86">
        <f>SUMIFS('январь 2024'!$G$4:$G$1206,'январь 2024'!$D$4:$D$1206,$B74,'январь 2024'!$J$4:$J$1206,Z$1)</f>
        <v>0</v>
      </c>
      <c r="AA74" s="86">
        <f>SUMIFS('январь 2024'!$G$4:$G$1206,'январь 2024'!$D$4:$D$1206,$B74,'январь 2024'!$J$4:$J$1206,AA$1)</f>
        <v>0</v>
      </c>
      <c r="AB74" s="86">
        <f>SUMIFS('январь 2024'!$G$4:$G$1206,'январь 2024'!$D$4:$D$1206,$B74,'январь 2024'!$J$4:$J$1206,AB$1)</f>
        <v>0</v>
      </c>
      <c r="AC74" s="86">
        <f>SUMIFS('январь 2024'!$G$4:$G$1206,'январь 2024'!$D$4:$D$1206,$B74,'январь 2024'!$J$4:$J$1206,AC$1)</f>
        <v>0</v>
      </c>
      <c r="AD74" s="86">
        <f>SUMIFS('январь 2024'!$G$4:$G$1206,'январь 2024'!$D$4:$D$1206,$B74,'январь 2024'!$J$4:$J$1206,AD$1)</f>
        <v>0</v>
      </c>
      <c r="AE74" s="86">
        <f>SUMIFS('январь 2024'!$G$4:$G$1206,'январь 2024'!$D$4:$D$1206,$B74,'январь 2024'!$J$4:$J$1206,AE$1)</f>
        <v>0</v>
      </c>
      <c r="AF74" s="86">
        <f>SUMIFS('январь 2024'!$G$4:$G$1206,'январь 2024'!$D$4:$D$1206,$B74,'январь 2024'!$J$4:$J$1206,AF$1)</f>
        <v>0</v>
      </c>
      <c r="AG74" s="86">
        <f>SUMIFS('январь 2024'!$G$4:$G$1206,'январь 2024'!$D$4:$D$1206,$B74,'январь 2024'!$J$4:$J$1206,AG$1)</f>
        <v>88</v>
      </c>
      <c r="AH74" s="86">
        <f>SUMIFS('январь 2024'!$G$4:$G$1206,'январь 2024'!$D$4:$D$1206,$B74,'январь 2024'!$J$4:$J$1206,AH$1)</f>
        <v>0</v>
      </c>
      <c r="AI74" s="21">
        <f t="shared" si="1"/>
        <v>88</v>
      </c>
    </row>
    <row r="75" spans="2:35" ht="15" customHeight="1" x14ac:dyDescent="0.25">
      <c r="B75" s="93" t="s">
        <v>321</v>
      </c>
      <c r="C75" s="91">
        <v>190</v>
      </c>
      <c r="D75" s="86">
        <f>SUMIFS('январь 2024'!$G$4:$G$1206,'январь 2024'!$D$4:$D$1206,$B75,'январь 2024'!$J$4:$J$1206,D$1)</f>
        <v>0</v>
      </c>
      <c r="E75" s="86">
        <f>SUMIFS('январь 2024'!$G$4:$G$1206,'январь 2024'!$D$4:$D$1206,$B75,'январь 2024'!$J$4:$J$1206,E$1)</f>
        <v>0</v>
      </c>
      <c r="F75" s="86">
        <f>SUMIFS('январь 2024'!$G$4:$G$1206,'январь 2024'!$D$4:$D$1206,$B75,'январь 2024'!$J$4:$J$1206,F$1)</f>
        <v>0</v>
      </c>
      <c r="G75" s="86">
        <f>SUMIFS('январь 2024'!$G$4:$G$1206,'январь 2024'!$D$4:$D$1206,$B75,'январь 2024'!$J$4:$J$1206,G$1)</f>
        <v>0</v>
      </c>
      <c r="H75" s="86">
        <f>SUMIFS('январь 2024'!$G$4:$G$1206,'январь 2024'!$D$4:$D$1206,$B75,'январь 2024'!$J$4:$J$1206,H$1)</f>
        <v>0</v>
      </c>
      <c r="I75" s="86">
        <f>SUMIFS('январь 2024'!$G$4:$G$1206,'январь 2024'!$D$4:$D$1206,$B75,'январь 2024'!$J$4:$J$1206,I$1)</f>
        <v>0</v>
      </c>
      <c r="J75" s="86">
        <f>SUMIFS('январь 2024'!$G$4:$G$1206,'январь 2024'!$D$4:$D$1206,$B75,'январь 2024'!$J$4:$J$1206,J$1)</f>
        <v>0</v>
      </c>
      <c r="K75" s="86">
        <f>SUMIFS('январь 2024'!$G$4:$G$1206,'январь 2024'!$D$4:$D$1206,$B75,'январь 2024'!$J$4:$J$1206,K$1)</f>
        <v>0</v>
      </c>
      <c r="L75" s="86">
        <f>SUMIFS('январь 2024'!$G$4:$G$1206,'январь 2024'!$D$4:$D$1206,$B75,'январь 2024'!$J$4:$J$1206,L$1)</f>
        <v>0</v>
      </c>
      <c r="M75" s="86">
        <f>SUMIFS('январь 2024'!$G$4:$G$1206,'январь 2024'!$D$4:$D$1206,$B75,'январь 2024'!$J$4:$J$1206,M$1)</f>
        <v>0</v>
      </c>
      <c r="N75" s="86">
        <f>SUMIFS('январь 2024'!$G$4:$G$1206,'январь 2024'!$D$4:$D$1206,$B75,'январь 2024'!$J$4:$J$1206,N$1)</f>
        <v>0</v>
      </c>
      <c r="O75" s="86">
        <f>SUMIFS('январь 2024'!$G$4:$G$1206,'январь 2024'!$D$4:$D$1206,$B75,'январь 2024'!$J$4:$J$1206,O$1)</f>
        <v>0</v>
      </c>
      <c r="P75" s="86">
        <f>SUMIFS('январь 2024'!$G$4:$G$1206,'январь 2024'!$D$4:$D$1206,$B75,'январь 2024'!$J$4:$J$1206,P$1)</f>
        <v>0</v>
      </c>
      <c r="Q75" s="86">
        <f>SUMIFS('январь 2024'!$G$4:$G$1206,'январь 2024'!$D$4:$D$1206,$B75,'январь 2024'!$J$4:$J$1206,Q$1)</f>
        <v>0</v>
      </c>
      <c r="R75" s="86">
        <f>SUMIFS('январь 2024'!$G$4:$G$1206,'январь 2024'!$D$4:$D$1206,$B75,'январь 2024'!$J$4:$J$1206,R$1)</f>
        <v>0</v>
      </c>
      <c r="S75" s="86">
        <f>SUMIFS('январь 2024'!$G$4:$G$1206,'январь 2024'!$D$4:$D$1206,$B75,'январь 2024'!$J$4:$J$1206,S$1)</f>
        <v>0</v>
      </c>
      <c r="T75" s="86">
        <f>SUMIFS('январь 2024'!$G$4:$G$1206,'январь 2024'!$D$4:$D$1206,$B75,'январь 2024'!$J$4:$J$1206,T$1)</f>
        <v>0</v>
      </c>
      <c r="U75" s="86">
        <f>SUMIFS('январь 2024'!$G$4:$G$1206,'январь 2024'!$D$4:$D$1206,$B75,'январь 2024'!$J$4:$J$1206,U$1)</f>
        <v>0</v>
      </c>
      <c r="V75" s="86">
        <f>SUMIFS('январь 2024'!$G$4:$G$1206,'январь 2024'!$D$4:$D$1206,$B75,'январь 2024'!$J$4:$J$1206,V$1)</f>
        <v>0</v>
      </c>
      <c r="W75" s="86">
        <f>SUMIFS('январь 2024'!$G$4:$G$1206,'январь 2024'!$D$4:$D$1206,$B75,'январь 2024'!$J$4:$J$1206,W$1)</f>
        <v>0</v>
      </c>
      <c r="X75" s="86">
        <f>SUMIFS('январь 2024'!$G$4:$G$1206,'январь 2024'!$D$4:$D$1206,$B75,'январь 2024'!$J$4:$J$1206,X$1)</f>
        <v>0</v>
      </c>
      <c r="Y75" s="86">
        <f>SUMIFS('январь 2024'!$G$4:$G$1206,'январь 2024'!$D$4:$D$1206,$B75,'январь 2024'!$J$4:$J$1206,Y$1)</f>
        <v>0</v>
      </c>
      <c r="Z75" s="86">
        <f>SUMIFS('январь 2024'!$G$4:$G$1206,'январь 2024'!$D$4:$D$1206,$B75,'январь 2024'!$J$4:$J$1206,Z$1)</f>
        <v>0</v>
      </c>
      <c r="AA75" s="86">
        <f>SUMIFS('январь 2024'!$G$4:$G$1206,'январь 2024'!$D$4:$D$1206,$B75,'январь 2024'!$J$4:$J$1206,AA$1)</f>
        <v>0</v>
      </c>
      <c r="AB75" s="86">
        <f>SUMIFS('январь 2024'!$G$4:$G$1206,'январь 2024'!$D$4:$D$1206,$B75,'январь 2024'!$J$4:$J$1206,AB$1)</f>
        <v>0</v>
      </c>
      <c r="AC75" s="86">
        <f>SUMIFS('январь 2024'!$G$4:$G$1206,'январь 2024'!$D$4:$D$1206,$B75,'январь 2024'!$J$4:$J$1206,AC$1)</f>
        <v>0</v>
      </c>
      <c r="AD75" s="86">
        <f>SUMIFS('январь 2024'!$G$4:$G$1206,'январь 2024'!$D$4:$D$1206,$B75,'январь 2024'!$J$4:$J$1206,AD$1)</f>
        <v>0</v>
      </c>
      <c r="AE75" s="86">
        <f>SUMIFS('январь 2024'!$G$4:$G$1206,'январь 2024'!$D$4:$D$1206,$B75,'январь 2024'!$J$4:$J$1206,AE$1)</f>
        <v>0</v>
      </c>
      <c r="AF75" s="86">
        <f>SUMIFS('январь 2024'!$G$4:$G$1206,'январь 2024'!$D$4:$D$1206,$B75,'январь 2024'!$J$4:$J$1206,AF$1)</f>
        <v>0</v>
      </c>
      <c r="AG75" s="86">
        <f>SUMIFS('январь 2024'!$G$4:$G$1206,'январь 2024'!$D$4:$D$1206,$B75,'январь 2024'!$J$4:$J$1206,AG$1)</f>
        <v>0</v>
      </c>
      <c r="AH75" s="86">
        <f>SUMIFS('январь 2024'!$G$4:$G$1206,'январь 2024'!$D$4:$D$1206,$B75,'январь 2024'!$J$4:$J$1206,AH$1)</f>
        <v>0</v>
      </c>
      <c r="AI75" s="21">
        <f t="shared" si="1"/>
        <v>0</v>
      </c>
    </row>
    <row r="76" spans="2:35" ht="15" customHeight="1" x14ac:dyDescent="0.25">
      <c r="B76" s="89" t="s">
        <v>199</v>
      </c>
      <c r="C76" s="88">
        <v>180</v>
      </c>
      <c r="D76" s="86">
        <f>SUMIFS('январь 2024'!$G$4:$G$1206,'январь 2024'!$D$4:$D$1206,$B76,'январь 2024'!$J$4:$J$1206,D$1)</f>
        <v>0</v>
      </c>
      <c r="E76" s="86">
        <f>SUMIFS('январь 2024'!$G$4:$G$1206,'январь 2024'!$D$4:$D$1206,$B76,'январь 2024'!$J$4:$J$1206,E$1)</f>
        <v>0</v>
      </c>
      <c r="F76" s="86">
        <f>SUMIFS('январь 2024'!$G$4:$G$1206,'январь 2024'!$D$4:$D$1206,$B76,'январь 2024'!$J$4:$J$1206,F$1)</f>
        <v>0</v>
      </c>
      <c r="G76" s="86">
        <f>SUMIFS('январь 2024'!$G$4:$G$1206,'январь 2024'!$D$4:$D$1206,$B76,'январь 2024'!$J$4:$J$1206,G$1)</f>
        <v>0</v>
      </c>
      <c r="H76" s="86">
        <f>SUMIFS('январь 2024'!$G$4:$G$1206,'январь 2024'!$D$4:$D$1206,$B76,'январь 2024'!$J$4:$J$1206,H$1)</f>
        <v>0</v>
      </c>
      <c r="I76" s="86">
        <f>SUMIFS('январь 2024'!$G$4:$G$1206,'январь 2024'!$D$4:$D$1206,$B76,'январь 2024'!$J$4:$J$1206,I$1)</f>
        <v>0</v>
      </c>
      <c r="J76" s="86">
        <f>SUMIFS('январь 2024'!$G$4:$G$1206,'январь 2024'!$D$4:$D$1206,$B76,'январь 2024'!$J$4:$J$1206,J$1)</f>
        <v>0</v>
      </c>
      <c r="K76" s="86">
        <f>SUMIFS('январь 2024'!$G$4:$G$1206,'январь 2024'!$D$4:$D$1206,$B76,'январь 2024'!$J$4:$J$1206,K$1)</f>
        <v>0</v>
      </c>
      <c r="L76" s="86">
        <f>SUMIFS('январь 2024'!$G$4:$G$1206,'январь 2024'!$D$4:$D$1206,$B76,'январь 2024'!$J$4:$J$1206,L$1)</f>
        <v>0</v>
      </c>
      <c r="M76" s="86">
        <f>SUMIFS('январь 2024'!$G$4:$G$1206,'январь 2024'!$D$4:$D$1206,$B76,'январь 2024'!$J$4:$J$1206,M$1)</f>
        <v>0</v>
      </c>
      <c r="N76" s="86">
        <f>SUMIFS('январь 2024'!$G$4:$G$1206,'январь 2024'!$D$4:$D$1206,$B76,'январь 2024'!$J$4:$J$1206,N$1)</f>
        <v>0</v>
      </c>
      <c r="O76" s="86">
        <f>SUMIFS('январь 2024'!$G$4:$G$1206,'январь 2024'!$D$4:$D$1206,$B76,'январь 2024'!$J$4:$J$1206,O$1)</f>
        <v>0</v>
      </c>
      <c r="P76" s="86">
        <f>SUMIFS('январь 2024'!$G$4:$G$1206,'январь 2024'!$D$4:$D$1206,$B76,'январь 2024'!$J$4:$J$1206,P$1)</f>
        <v>0</v>
      </c>
      <c r="Q76" s="86">
        <f>SUMIFS('январь 2024'!$G$4:$G$1206,'январь 2024'!$D$4:$D$1206,$B76,'январь 2024'!$J$4:$J$1206,Q$1)</f>
        <v>0</v>
      </c>
      <c r="R76" s="86">
        <f>SUMIFS('январь 2024'!$G$4:$G$1206,'январь 2024'!$D$4:$D$1206,$B76,'январь 2024'!$J$4:$J$1206,R$1)</f>
        <v>0</v>
      </c>
      <c r="S76" s="86">
        <f>SUMIFS('январь 2024'!$G$4:$G$1206,'январь 2024'!$D$4:$D$1206,$B76,'январь 2024'!$J$4:$J$1206,S$1)</f>
        <v>0</v>
      </c>
      <c r="T76" s="86">
        <f>SUMIFS('январь 2024'!$G$4:$G$1206,'январь 2024'!$D$4:$D$1206,$B76,'январь 2024'!$J$4:$J$1206,T$1)</f>
        <v>0</v>
      </c>
      <c r="U76" s="86">
        <f>SUMIFS('январь 2024'!$G$4:$G$1206,'январь 2024'!$D$4:$D$1206,$B76,'январь 2024'!$J$4:$J$1206,U$1)</f>
        <v>0</v>
      </c>
      <c r="V76" s="86">
        <f>SUMIFS('январь 2024'!$G$4:$G$1206,'январь 2024'!$D$4:$D$1206,$B76,'январь 2024'!$J$4:$J$1206,V$1)</f>
        <v>0</v>
      </c>
      <c r="W76" s="86">
        <f>SUMIFS('январь 2024'!$G$4:$G$1206,'январь 2024'!$D$4:$D$1206,$B76,'январь 2024'!$J$4:$J$1206,W$1)</f>
        <v>0</v>
      </c>
      <c r="X76" s="86">
        <f>SUMIFS('январь 2024'!$G$4:$G$1206,'январь 2024'!$D$4:$D$1206,$B76,'январь 2024'!$J$4:$J$1206,X$1)</f>
        <v>0</v>
      </c>
      <c r="Y76" s="86">
        <f>SUMIFS('январь 2024'!$G$4:$G$1206,'январь 2024'!$D$4:$D$1206,$B76,'январь 2024'!$J$4:$J$1206,Y$1)</f>
        <v>0</v>
      </c>
      <c r="Z76" s="86">
        <f>SUMIFS('январь 2024'!$G$4:$G$1206,'январь 2024'!$D$4:$D$1206,$B76,'январь 2024'!$J$4:$J$1206,Z$1)</f>
        <v>0</v>
      </c>
      <c r="AA76" s="86">
        <f>SUMIFS('январь 2024'!$G$4:$G$1206,'январь 2024'!$D$4:$D$1206,$B76,'январь 2024'!$J$4:$J$1206,AA$1)</f>
        <v>0</v>
      </c>
      <c r="AB76" s="86">
        <f>SUMIFS('январь 2024'!$G$4:$G$1206,'январь 2024'!$D$4:$D$1206,$B76,'январь 2024'!$J$4:$J$1206,AB$1)</f>
        <v>0</v>
      </c>
      <c r="AC76" s="86">
        <f>SUMIFS('январь 2024'!$G$4:$G$1206,'январь 2024'!$D$4:$D$1206,$B76,'январь 2024'!$J$4:$J$1206,AC$1)</f>
        <v>0</v>
      </c>
      <c r="AD76" s="86">
        <f>SUMIFS('январь 2024'!$G$4:$G$1206,'январь 2024'!$D$4:$D$1206,$B76,'январь 2024'!$J$4:$J$1206,AD$1)</f>
        <v>0</v>
      </c>
      <c r="AE76" s="86">
        <f>SUMIFS('январь 2024'!$G$4:$G$1206,'январь 2024'!$D$4:$D$1206,$B76,'январь 2024'!$J$4:$J$1206,AE$1)</f>
        <v>0</v>
      </c>
      <c r="AF76" s="86">
        <f>SUMIFS('январь 2024'!$G$4:$G$1206,'январь 2024'!$D$4:$D$1206,$B76,'январь 2024'!$J$4:$J$1206,AF$1)</f>
        <v>0</v>
      </c>
      <c r="AG76" s="86">
        <f>SUMIFS('январь 2024'!$G$4:$G$1206,'январь 2024'!$D$4:$D$1206,$B76,'январь 2024'!$J$4:$J$1206,AG$1)</f>
        <v>0</v>
      </c>
      <c r="AH76" s="86">
        <f>SUMIFS('январь 2024'!$G$4:$G$1206,'январь 2024'!$D$4:$D$1206,$B76,'январь 2024'!$J$4:$J$1206,AH$1)</f>
        <v>0</v>
      </c>
      <c r="AI76" s="21">
        <f t="shared" si="1"/>
        <v>0</v>
      </c>
    </row>
    <row r="77" spans="2:35" ht="15" customHeight="1" x14ac:dyDescent="0.25">
      <c r="B77" s="93" t="s">
        <v>200</v>
      </c>
      <c r="C77" s="91">
        <v>190</v>
      </c>
      <c r="D77" s="86">
        <f>SUMIFS('январь 2024'!$G$4:$G$1206,'январь 2024'!$D$4:$D$1206,$B77,'январь 2024'!$J$4:$J$1206,D$1)</f>
        <v>0</v>
      </c>
      <c r="E77" s="86">
        <f>SUMIFS('январь 2024'!$G$4:$G$1206,'январь 2024'!$D$4:$D$1206,$B77,'январь 2024'!$J$4:$J$1206,E$1)</f>
        <v>0</v>
      </c>
      <c r="F77" s="86">
        <f>SUMIFS('январь 2024'!$G$4:$G$1206,'январь 2024'!$D$4:$D$1206,$B77,'январь 2024'!$J$4:$J$1206,F$1)</f>
        <v>0</v>
      </c>
      <c r="G77" s="86">
        <f>SUMIFS('январь 2024'!$G$4:$G$1206,'январь 2024'!$D$4:$D$1206,$B77,'январь 2024'!$J$4:$J$1206,G$1)</f>
        <v>0</v>
      </c>
      <c r="H77" s="86">
        <f>SUMIFS('январь 2024'!$G$4:$G$1206,'январь 2024'!$D$4:$D$1206,$B77,'январь 2024'!$J$4:$J$1206,H$1)</f>
        <v>0</v>
      </c>
      <c r="I77" s="86">
        <f>SUMIFS('январь 2024'!$G$4:$G$1206,'январь 2024'!$D$4:$D$1206,$B77,'январь 2024'!$J$4:$J$1206,I$1)</f>
        <v>0</v>
      </c>
      <c r="J77" s="86">
        <f>SUMIFS('январь 2024'!$G$4:$G$1206,'январь 2024'!$D$4:$D$1206,$B77,'январь 2024'!$J$4:$J$1206,J$1)</f>
        <v>0</v>
      </c>
      <c r="K77" s="86">
        <f>SUMIFS('январь 2024'!$G$4:$G$1206,'январь 2024'!$D$4:$D$1206,$B77,'январь 2024'!$J$4:$J$1206,K$1)</f>
        <v>0</v>
      </c>
      <c r="L77" s="86">
        <f>SUMIFS('январь 2024'!$G$4:$G$1206,'январь 2024'!$D$4:$D$1206,$B77,'январь 2024'!$J$4:$J$1206,L$1)</f>
        <v>0</v>
      </c>
      <c r="M77" s="86">
        <f>SUMIFS('январь 2024'!$G$4:$G$1206,'январь 2024'!$D$4:$D$1206,$B77,'январь 2024'!$J$4:$J$1206,M$1)</f>
        <v>0</v>
      </c>
      <c r="N77" s="86">
        <f>SUMIFS('январь 2024'!$G$4:$G$1206,'январь 2024'!$D$4:$D$1206,$B77,'январь 2024'!$J$4:$J$1206,N$1)</f>
        <v>0</v>
      </c>
      <c r="O77" s="86">
        <f>SUMIFS('январь 2024'!$G$4:$G$1206,'январь 2024'!$D$4:$D$1206,$B77,'январь 2024'!$J$4:$J$1206,O$1)</f>
        <v>0</v>
      </c>
      <c r="P77" s="86">
        <f>SUMIFS('январь 2024'!$G$4:$G$1206,'январь 2024'!$D$4:$D$1206,$B77,'январь 2024'!$J$4:$J$1206,P$1)</f>
        <v>0</v>
      </c>
      <c r="Q77" s="86">
        <f>SUMIFS('январь 2024'!$G$4:$G$1206,'январь 2024'!$D$4:$D$1206,$B77,'январь 2024'!$J$4:$J$1206,Q$1)</f>
        <v>0</v>
      </c>
      <c r="R77" s="86">
        <f>SUMIFS('январь 2024'!$G$4:$G$1206,'январь 2024'!$D$4:$D$1206,$B77,'январь 2024'!$J$4:$J$1206,R$1)</f>
        <v>0</v>
      </c>
      <c r="S77" s="86">
        <f>SUMIFS('январь 2024'!$G$4:$G$1206,'январь 2024'!$D$4:$D$1206,$B77,'январь 2024'!$J$4:$J$1206,S$1)</f>
        <v>0</v>
      </c>
      <c r="T77" s="86">
        <f>SUMIFS('январь 2024'!$G$4:$G$1206,'январь 2024'!$D$4:$D$1206,$B77,'январь 2024'!$J$4:$J$1206,T$1)</f>
        <v>0</v>
      </c>
      <c r="U77" s="86">
        <f>SUMIFS('январь 2024'!$G$4:$G$1206,'январь 2024'!$D$4:$D$1206,$B77,'январь 2024'!$J$4:$J$1206,U$1)</f>
        <v>0</v>
      </c>
      <c r="V77" s="86">
        <f>SUMIFS('январь 2024'!$G$4:$G$1206,'январь 2024'!$D$4:$D$1206,$B77,'январь 2024'!$J$4:$J$1206,V$1)</f>
        <v>0</v>
      </c>
      <c r="W77" s="86">
        <f>SUMIFS('январь 2024'!$G$4:$G$1206,'январь 2024'!$D$4:$D$1206,$B77,'январь 2024'!$J$4:$J$1206,W$1)</f>
        <v>0</v>
      </c>
      <c r="X77" s="86">
        <f>SUMIFS('январь 2024'!$G$4:$G$1206,'январь 2024'!$D$4:$D$1206,$B77,'январь 2024'!$J$4:$J$1206,X$1)</f>
        <v>0</v>
      </c>
      <c r="Y77" s="86">
        <f>SUMIFS('январь 2024'!$G$4:$G$1206,'январь 2024'!$D$4:$D$1206,$B77,'январь 2024'!$J$4:$J$1206,Y$1)</f>
        <v>0</v>
      </c>
      <c r="Z77" s="86">
        <f>SUMIFS('январь 2024'!$G$4:$G$1206,'январь 2024'!$D$4:$D$1206,$B77,'январь 2024'!$J$4:$J$1206,Z$1)</f>
        <v>0</v>
      </c>
      <c r="AA77" s="86">
        <f>SUMIFS('январь 2024'!$G$4:$G$1206,'январь 2024'!$D$4:$D$1206,$B77,'январь 2024'!$J$4:$J$1206,AA$1)</f>
        <v>0</v>
      </c>
      <c r="AB77" s="86">
        <f>SUMIFS('январь 2024'!$G$4:$G$1206,'январь 2024'!$D$4:$D$1206,$B77,'январь 2024'!$J$4:$J$1206,AB$1)</f>
        <v>0</v>
      </c>
      <c r="AC77" s="86">
        <f>SUMIFS('январь 2024'!$G$4:$G$1206,'январь 2024'!$D$4:$D$1206,$B77,'январь 2024'!$J$4:$J$1206,AC$1)</f>
        <v>0</v>
      </c>
      <c r="AD77" s="86">
        <f>SUMIFS('январь 2024'!$G$4:$G$1206,'январь 2024'!$D$4:$D$1206,$B77,'январь 2024'!$J$4:$J$1206,AD$1)</f>
        <v>0</v>
      </c>
      <c r="AE77" s="86">
        <f>SUMIFS('январь 2024'!$G$4:$G$1206,'январь 2024'!$D$4:$D$1206,$B77,'январь 2024'!$J$4:$J$1206,AE$1)</f>
        <v>0</v>
      </c>
      <c r="AF77" s="86">
        <f>SUMIFS('январь 2024'!$G$4:$G$1206,'январь 2024'!$D$4:$D$1206,$B77,'январь 2024'!$J$4:$J$1206,AF$1)</f>
        <v>0</v>
      </c>
      <c r="AG77" s="86">
        <f>SUMIFS('январь 2024'!$G$4:$G$1206,'январь 2024'!$D$4:$D$1206,$B77,'январь 2024'!$J$4:$J$1206,AG$1)</f>
        <v>0</v>
      </c>
      <c r="AH77" s="86">
        <f>SUMIFS('январь 2024'!$G$4:$G$1206,'январь 2024'!$D$4:$D$1206,$B77,'январь 2024'!$J$4:$J$1206,AH$1)</f>
        <v>0</v>
      </c>
      <c r="AI77" s="21">
        <f t="shared" si="1"/>
        <v>0</v>
      </c>
    </row>
    <row r="78" spans="2:35" ht="15" customHeight="1" x14ac:dyDescent="0.25">
      <c r="B78" s="93" t="s">
        <v>201</v>
      </c>
      <c r="C78" s="91">
        <v>190</v>
      </c>
      <c r="D78" s="86">
        <f>SUMIFS('январь 2024'!$G$4:$G$1206,'январь 2024'!$D$4:$D$1206,$B78,'январь 2024'!$J$4:$J$1206,D$1)</f>
        <v>0</v>
      </c>
      <c r="E78" s="86">
        <f>SUMIFS('январь 2024'!$G$4:$G$1206,'январь 2024'!$D$4:$D$1206,$B78,'январь 2024'!$J$4:$J$1206,E$1)</f>
        <v>0</v>
      </c>
      <c r="F78" s="86">
        <f>SUMIFS('январь 2024'!$G$4:$G$1206,'январь 2024'!$D$4:$D$1206,$B78,'январь 2024'!$J$4:$J$1206,F$1)</f>
        <v>0</v>
      </c>
      <c r="G78" s="86">
        <f>SUMIFS('январь 2024'!$G$4:$G$1206,'январь 2024'!$D$4:$D$1206,$B78,'январь 2024'!$J$4:$J$1206,G$1)</f>
        <v>0</v>
      </c>
      <c r="H78" s="86">
        <f>SUMIFS('январь 2024'!$G$4:$G$1206,'январь 2024'!$D$4:$D$1206,$B78,'январь 2024'!$J$4:$J$1206,H$1)</f>
        <v>0</v>
      </c>
      <c r="I78" s="86">
        <f>SUMIFS('январь 2024'!$G$4:$G$1206,'январь 2024'!$D$4:$D$1206,$B78,'январь 2024'!$J$4:$J$1206,I$1)</f>
        <v>0</v>
      </c>
      <c r="J78" s="86">
        <f>SUMIFS('январь 2024'!$G$4:$G$1206,'январь 2024'!$D$4:$D$1206,$B78,'январь 2024'!$J$4:$J$1206,J$1)</f>
        <v>0</v>
      </c>
      <c r="K78" s="86">
        <f>SUMIFS('январь 2024'!$G$4:$G$1206,'январь 2024'!$D$4:$D$1206,$B78,'январь 2024'!$J$4:$J$1206,K$1)</f>
        <v>0</v>
      </c>
      <c r="L78" s="86">
        <f>SUMIFS('январь 2024'!$G$4:$G$1206,'январь 2024'!$D$4:$D$1206,$B78,'январь 2024'!$J$4:$J$1206,L$1)</f>
        <v>0</v>
      </c>
      <c r="M78" s="86">
        <f>SUMIFS('январь 2024'!$G$4:$G$1206,'январь 2024'!$D$4:$D$1206,$B78,'январь 2024'!$J$4:$J$1206,M$1)</f>
        <v>0</v>
      </c>
      <c r="N78" s="86">
        <f>SUMIFS('январь 2024'!$G$4:$G$1206,'январь 2024'!$D$4:$D$1206,$B78,'январь 2024'!$J$4:$J$1206,N$1)</f>
        <v>0</v>
      </c>
      <c r="O78" s="86">
        <f>SUMIFS('январь 2024'!$G$4:$G$1206,'январь 2024'!$D$4:$D$1206,$B78,'январь 2024'!$J$4:$J$1206,O$1)</f>
        <v>0</v>
      </c>
      <c r="P78" s="86">
        <f>SUMIFS('январь 2024'!$G$4:$G$1206,'январь 2024'!$D$4:$D$1206,$B78,'январь 2024'!$J$4:$J$1206,P$1)</f>
        <v>0</v>
      </c>
      <c r="Q78" s="86">
        <f>SUMIFS('январь 2024'!$G$4:$G$1206,'январь 2024'!$D$4:$D$1206,$B78,'январь 2024'!$J$4:$J$1206,Q$1)</f>
        <v>0</v>
      </c>
      <c r="R78" s="86">
        <f>SUMIFS('январь 2024'!$G$4:$G$1206,'январь 2024'!$D$4:$D$1206,$B78,'январь 2024'!$J$4:$J$1206,R$1)</f>
        <v>0</v>
      </c>
      <c r="S78" s="86">
        <f>SUMIFS('январь 2024'!$G$4:$G$1206,'январь 2024'!$D$4:$D$1206,$B78,'январь 2024'!$J$4:$J$1206,S$1)</f>
        <v>0</v>
      </c>
      <c r="T78" s="86">
        <f>SUMIFS('январь 2024'!$G$4:$G$1206,'январь 2024'!$D$4:$D$1206,$B78,'январь 2024'!$J$4:$J$1206,T$1)</f>
        <v>0</v>
      </c>
      <c r="U78" s="86">
        <f>SUMIFS('январь 2024'!$G$4:$G$1206,'январь 2024'!$D$4:$D$1206,$B78,'январь 2024'!$J$4:$J$1206,U$1)</f>
        <v>0</v>
      </c>
      <c r="V78" s="86">
        <f>SUMIFS('январь 2024'!$G$4:$G$1206,'январь 2024'!$D$4:$D$1206,$B78,'январь 2024'!$J$4:$J$1206,V$1)</f>
        <v>0</v>
      </c>
      <c r="W78" s="86">
        <f>SUMIFS('январь 2024'!$G$4:$G$1206,'январь 2024'!$D$4:$D$1206,$B78,'январь 2024'!$J$4:$J$1206,W$1)</f>
        <v>0</v>
      </c>
      <c r="X78" s="86">
        <f>SUMIFS('январь 2024'!$G$4:$G$1206,'январь 2024'!$D$4:$D$1206,$B78,'январь 2024'!$J$4:$J$1206,X$1)</f>
        <v>0</v>
      </c>
      <c r="Y78" s="86">
        <f>SUMIFS('январь 2024'!$G$4:$G$1206,'январь 2024'!$D$4:$D$1206,$B78,'январь 2024'!$J$4:$J$1206,Y$1)</f>
        <v>0</v>
      </c>
      <c r="Z78" s="86">
        <f>SUMIFS('январь 2024'!$G$4:$G$1206,'январь 2024'!$D$4:$D$1206,$B78,'январь 2024'!$J$4:$J$1206,Z$1)</f>
        <v>0</v>
      </c>
      <c r="AA78" s="86">
        <f>SUMIFS('январь 2024'!$G$4:$G$1206,'январь 2024'!$D$4:$D$1206,$B78,'январь 2024'!$J$4:$J$1206,AA$1)</f>
        <v>0</v>
      </c>
      <c r="AB78" s="86">
        <f>SUMIFS('январь 2024'!$G$4:$G$1206,'январь 2024'!$D$4:$D$1206,$B78,'январь 2024'!$J$4:$J$1206,AB$1)</f>
        <v>0</v>
      </c>
      <c r="AC78" s="86">
        <f>SUMIFS('январь 2024'!$G$4:$G$1206,'январь 2024'!$D$4:$D$1206,$B78,'январь 2024'!$J$4:$J$1206,AC$1)</f>
        <v>0</v>
      </c>
      <c r="AD78" s="86">
        <f>SUMIFS('январь 2024'!$G$4:$G$1206,'январь 2024'!$D$4:$D$1206,$B78,'январь 2024'!$J$4:$J$1206,AD$1)</f>
        <v>0</v>
      </c>
      <c r="AE78" s="86">
        <f>SUMIFS('январь 2024'!$G$4:$G$1206,'январь 2024'!$D$4:$D$1206,$B78,'январь 2024'!$J$4:$J$1206,AE$1)</f>
        <v>0</v>
      </c>
      <c r="AF78" s="86">
        <f>SUMIFS('январь 2024'!$G$4:$G$1206,'январь 2024'!$D$4:$D$1206,$B78,'январь 2024'!$J$4:$J$1206,AF$1)</f>
        <v>0</v>
      </c>
      <c r="AG78" s="86">
        <f>SUMIFS('январь 2024'!$G$4:$G$1206,'январь 2024'!$D$4:$D$1206,$B78,'январь 2024'!$J$4:$J$1206,AG$1)</f>
        <v>0</v>
      </c>
      <c r="AH78" s="86">
        <f>SUMIFS('январь 2024'!$G$4:$G$1206,'январь 2024'!$D$4:$D$1206,$B78,'январь 2024'!$J$4:$J$1206,AH$1)</f>
        <v>0</v>
      </c>
      <c r="AI78" s="21">
        <f t="shared" si="1"/>
        <v>0</v>
      </c>
    </row>
    <row r="79" spans="2:35" ht="15" customHeight="1" x14ac:dyDescent="0.25">
      <c r="B79" s="93" t="s">
        <v>202</v>
      </c>
      <c r="C79" s="91">
        <v>900</v>
      </c>
      <c r="D79" s="86">
        <f>SUMIFS('январь 2024'!$G$4:$G$1206,'январь 2024'!$D$4:$D$1206,$B79,'январь 2024'!$J$4:$J$1206,D$1)</f>
        <v>0</v>
      </c>
      <c r="E79" s="86">
        <f>SUMIFS('январь 2024'!$G$4:$G$1206,'январь 2024'!$D$4:$D$1206,$B79,'январь 2024'!$J$4:$J$1206,E$1)</f>
        <v>0</v>
      </c>
      <c r="F79" s="86">
        <f>SUMIFS('январь 2024'!$G$4:$G$1206,'январь 2024'!$D$4:$D$1206,$B79,'январь 2024'!$J$4:$J$1206,F$1)</f>
        <v>0</v>
      </c>
      <c r="G79" s="86">
        <f>SUMIFS('январь 2024'!$G$4:$G$1206,'январь 2024'!$D$4:$D$1206,$B79,'январь 2024'!$J$4:$J$1206,G$1)</f>
        <v>0</v>
      </c>
      <c r="H79" s="86">
        <f>SUMIFS('январь 2024'!$G$4:$G$1206,'январь 2024'!$D$4:$D$1206,$B79,'январь 2024'!$J$4:$J$1206,H$1)</f>
        <v>0</v>
      </c>
      <c r="I79" s="86">
        <f>SUMIFS('январь 2024'!$G$4:$G$1206,'январь 2024'!$D$4:$D$1206,$B79,'январь 2024'!$J$4:$J$1206,I$1)</f>
        <v>0</v>
      </c>
      <c r="J79" s="86">
        <f>SUMIFS('январь 2024'!$G$4:$G$1206,'январь 2024'!$D$4:$D$1206,$B79,'январь 2024'!$J$4:$J$1206,J$1)</f>
        <v>0</v>
      </c>
      <c r="K79" s="86">
        <f>SUMIFS('январь 2024'!$G$4:$G$1206,'январь 2024'!$D$4:$D$1206,$B79,'январь 2024'!$J$4:$J$1206,K$1)</f>
        <v>0</v>
      </c>
      <c r="L79" s="86">
        <f>SUMIFS('январь 2024'!$G$4:$G$1206,'январь 2024'!$D$4:$D$1206,$B79,'январь 2024'!$J$4:$J$1206,L$1)</f>
        <v>0</v>
      </c>
      <c r="M79" s="86">
        <f>SUMIFS('январь 2024'!$G$4:$G$1206,'январь 2024'!$D$4:$D$1206,$B79,'январь 2024'!$J$4:$J$1206,M$1)</f>
        <v>0</v>
      </c>
      <c r="N79" s="86">
        <f>SUMIFS('январь 2024'!$G$4:$G$1206,'январь 2024'!$D$4:$D$1206,$B79,'январь 2024'!$J$4:$J$1206,N$1)</f>
        <v>0</v>
      </c>
      <c r="O79" s="86">
        <f>SUMIFS('январь 2024'!$G$4:$G$1206,'январь 2024'!$D$4:$D$1206,$B79,'январь 2024'!$J$4:$J$1206,O$1)</f>
        <v>0</v>
      </c>
      <c r="P79" s="86">
        <f>SUMIFS('январь 2024'!$G$4:$G$1206,'январь 2024'!$D$4:$D$1206,$B79,'январь 2024'!$J$4:$J$1206,P$1)</f>
        <v>0</v>
      </c>
      <c r="Q79" s="86">
        <f>SUMIFS('январь 2024'!$G$4:$G$1206,'январь 2024'!$D$4:$D$1206,$B79,'январь 2024'!$J$4:$J$1206,Q$1)</f>
        <v>0</v>
      </c>
      <c r="R79" s="86">
        <f>SUMIFS('январь 2024'!$G$4:$G$1206,'январь 2024'!$D$4:$D$1206,$B79,'январь 2024'!$J$4:$J$1206,R$1)</f>
        <v>0</v>
      </c>
      <c r="S79" s="86">
        <f>SUMIFS('январь 2024'!$G$4:$G$1206,'январь 2024'!$D$4:$D$1206,$B79,'январь 2024'!$J$4:$J$1206,S$1)</f>
        <v>0</v>
      </c>
      <c r="T79" s="86">
        <f>SUMIFS('январь 2024'!$G$4:$G$1206,'январь 2024'!$D$4:$D$1206,$B79,'январь 2024'!$J$4:$J$1206,T$1)</f>
        <v>0</v>
      </c>
      <c r="U79" s="86">
        <f>SUMIFS('январь 2024'!$G$4:$G$1206,'январь 2024'!$D$4:$D$1206,$B79,'январь 2024'!$J$4:$J$1206,U$1)</f>
        <v>0</v>
      </c>
      <c r="V79" s="86">
        <f>SUMIFS('январь 2024'!$G$4:$G$1206,'январь 2024'!$D$4:$D$1206,$B79,'январь 2024'!$J$4:$J$1206,V$1)</f>
        <v>0</v>
      </c>
      <c r="W79" s="86">
        <f>SUMIFS('январь 2024'!$G$4:$G$1206,'январь 2024'!$D$4:$D$1206,$B79,'январь 2024'!$J$4:$J$1206,W$1)</f>
        <v>0</v>
      </c>
      <c r="X79" s="86">
        <f>SUMIFS('январь 2024'!$G$4:$G$1206,'январь 2024'!$D$4:$D$1206,$B79,'январь 2024'!$J$4:$J$1206,X$1)</f>
        <v>0</v>
      </c>
      <c r="Y79" s="86">
        <f>SUMIFS('январь 2024'!$G$4:$G$1206,'январь 2024'!$D$4:$D$1206,$B79,'январь 2024'!$J$4:$J$1206,Y$1)</f>
        <v>0</v>
      </c>
      <c r="Z79" s="86">
        <f>SUMIFS('январь 2024'!$G$4:$G$1206,'январь 2024'!$D$4:$D$1206,$B79,'январь 2024'!$J$4:$J$1206,Z$1)</f>
        <v>0</v>
      </c>
      <c r="AA79" s="86">
        <f>SUMIFS('январь 2024'!$G$4:$G$1206,'январь 2024'!$D$4:$D$1206,$B79,'январь 2024'!$J$4:$J$1206,AA$1)</f>
        <v>0</v>
      </c>
      <c r="AB79" s="86">
        <f>SUMIFS('январь 2024'!$G$4:$G$1206,'январь 2024'!$D$4:$D$1206,$B79,'январь 2024'!$J$4:$J$1206,AB$1)</f>
        <v>0</v>
      </c>
      <c r="AC79" s="86">
        <f>SUMIFS('январь 2024'!$G$4:$G$1206,'январь 2024'!$D$4:$D$1206,$B79,'январь 2024'!$J$4:$J$1206,AC$1)</f>
        <v>0</v>
      </c>
      <c r="AD79" s="86">
        <f>SUMIFS('январь 2024'!$G$4:$G$1206,'январь 2024'!$D$4:$D$1206,$B79,'январь 2024'!$J$4:$J$1206,AD$1)</f>
        <v>0</v>
      </c>
      <c r="AE79" s="86">
        <f>SUMIFS('январь 2024'!$G$4:$G$1206,'январь 2024'!$D$4:$D$1206,$B79,'январь 2024'!$J$4:$J$1206,AE$1)</f>
        <v>0</v>
      </c>
      <c r="AF79" s="86">
        <f>SUMIFS('январь 2024'!$G$4:$G$1206,'январь 2024'!$D$4:$D$1206,$B79,'январь 2024'!$J$4:$J$1206,AF$1)</f>
        <v>0</v>
      </c>
      <c r="AG79" s="86">
        <f>SUMIFS('январь 2024'!$G$4:$G$1206,'январь 2024'!$D$4:$D$1206,$B79,'январь 2024'!$J$4:$J$1206,AG$1)</f>
        <v>0</v>
      </c>
      <c r="AH79" s="86">
        <f>SUMIFS('январь 2024'!$G$4:$G$1206,'январь 2024'!$D$4:$D$1206,$B79,'январь 2024'!$J$4:$J$1206,AH$1)</f>
        <v>0</v>
      </c>
      <c r="AI79" s="21">
        <f t="shared" si="1"/>
        <v>0</v>
      </c>
    </row>
    <row r="80" spans="2:35" ht="15" customHeight="1" x14ac:dyDescent="0.25">
      <c r="B80" s="89" t="s">
        <v>196</v>
      </c>
      <c r="C80" s="88">
        <v>190</v>
      </c>
      <c r="D80" s="86">
        <f>SUMIFS('январь 2024'!$G$4:$G$1206,'январь 2024'!$D$4:$D$1206,$B80,'январь 2024'!$J$4:$J$1206,D$1)</f>
        <v>0</v>
      </c>
      <c r="E80" s="86">
        <f>SUMIFS('январь 2024'!$G$4:$G$1206,'январь 2024'!$D$4:$D$1206,$B80,'январь 2024'!$J$4:$J$1206,E$1)</f>
        <v>0</v>
      </c>
      <c r="F80" s="86">
        <f>SUMIFS('январь 2024'!$G$4:$G$1206,'январь 2024'!$D$4:$D$1206,$B80,'январь 2024'!$J$4:$J$1206,F$1)</f>
        <v>0</v>
      </c>
      <c r="G80" s="86">
        <f>SUMIFS('январь 2024'!$G$4:$G$1206,'январь 2024'!$D$4:$D$1206,$B80,'январь 2024'!$J$4:$J$1206,G$1)</f>
        <v>0</v>
      </c>
      <c r="H80" s="86">
        <f>SUMIFS('январь 2024'!$G$4:$G$1206,'январь 2024'!$D$4:$D$1206,$B80,'январь 2024'!$J$4:$J$1206,H$1)</f>
        <v>0</v>
      </c>
      <c r="I80" s="86">
        <f>SUMIFS('январь 2024'!$G$4:$G$1206,'январь 2024'!$D$4:$D$1206,$B80,'январь 2024'!$J$4:$J$1206,I$1)</f>
        <v>0</v>
      </c>
      <c r="J80" s="86">
        <f>SUMIFS('январь 2024'!$G$4:$G$1206,'январь 2024'!$D$4:$D$1206,$B80,'январь 2024'!$J$4:$J$1206,J$1)</f>
        <v>0</v>
      </c>
      <c r="K80" s="86">
        <f>SUMIFS('январь 2024'!$G$4:$G$1206,'январь 2024'!$D$4:$D$1206,$B80,'январь 2024'!$J$4:$J$1206,K$1)</f>
        <v>0</v>
      </c>
      <c r="L80" s="86">
        <f>SUMIFS('январь 2024'!$G$4:$G$1206,'январь 2024'!$D$4:$D$1206,$B80,'январь 2024'!$J$4:$J$1206,L$1)</f>
        <v>0</v>
      </c>
      <c r="M80" s="86">
        <f>SUMIFS('январь 2024'!$G$4:$G$1206,'январь 2024'!$D$4:$D$1206,$B80,'январь 2024'!$J$4:$J$1206,M$1)</f>
        <v>0</v>
      </c>
      <c r="N80" s="86">
        <f>SUMIFS('январь 2024'!$G$4:$G$1206,'январь 2024'!$D$4:$D$1206,$B80,'январь 2024'!$J$4:$J$1206,N$1)</f>
        <v>0</v>
      </c>
      <c r="O80" s="86">
        <f>SUMIFS('январь 2024'!$G$4:$G$1206,'январь 2024'!$D$4:$D$1206,$B80,'январь 2024'!$J$4:$J$1206,O$1)</f>
        <v>0</v>
      </c>
      <c r="P80" s="86">
        <f>SUMIFS('январь 2024'!$G$4:$G$1206,'январь 2024'!$D$4:$D$1206,$B80,'январь 2024'!$J$4:$J$1206,P$1)</f>
        <v>0</v>
      </c>
      <c r="Q80" s="86">
        <f>SUMIFS('январь 2024'!$G$4:$G$1206,'январь 2024'!$D$4:$D$1206,$B80,'январь 2024'!$J$4:$J$1206,Q$1)</f>
        <v>0</v>
      </c>
      <c r="R80" s="86">
        <f>SUMIFS('январь 2024'!$G$4:$G$1206,'январь 2024'!$D$4:$D$1206,$B80,'январь 2024'!$J$4:$J$1206,R$1)</f>
        <v>0</v>
      </c>
      <c r="S80" s="86">
        <f>SUMIFS('январь 2024'!$G$4:$G$1206,'январь 2024'!$D$4:$D$1206,$B80,'январь 2024'!$J$4:$J$1206,S$1)</f>
        <v>0</v>
      </c>
      <c r="T80" s="86">
        <f>SUMIFS('январь 2024'!$G$4:$G$1206,'январь 2024'!$D$4:$D$1206,$B80,'январь 2024'!$J$4:$J$1206,T$1)</f>
        <v>0</v>
      </c>
      <c r="U80" s="86">
        <f>SUMIFS('январь 2024'!$G$4:$G$1206,'январь 2024'!$D$4:$D$1206,$B80,'январь 2024'!$J$4:$J$1206,U$1)</f>
        <v>0</v>
      </c>
      <c r="V80" s="86">
        <f>SUMIFS('январь 2024'!$G$4:$G$1206,'январь 2024'!$D$4:$D$1206,$B80,'январь 2024'!$J$4:$J$1206,V$1)</f>
        <v>0</v>
      </c>
      <c r="W80" s="86">
        <f>SUMIFS('январь 2024'!$G$4:$G$1206,'январь 2024'!$D$4:$D$1206,$B80,'январь 2024'!$J$4:$J$1206,W$1)</f>
        <v>0</v>
      </c>
      <c r="X80" s="86">
        <f>SUMIFS('январь 2024'!$G$4:$G$1206,'январь 2024'!$D$4:$D$1206,$B80,'январь 2024'!$J$4:$J$1206,X$1)</f>
        <v>0</v>
      </c>
      <c r="Y80" s="86">
        <f>SUMIFS('январь 2024'!$G$4:$G$1206,'январь 2024'!$D$4:$D$1206,$B80,'январь 2024'!$J$4:$J$1206,Y$1)</f>
        <v>0</v>
      </c>
      <c r="Z80" s="86">
        <f>SUMIFS('январь 2024'!$G$4:$G$1206,'январь 2024'!$D$4:$D$1206,$B80,'январь 2024'!$J$4:$J$1206,Z$1)</f>
        <v>0</v>
      </c>
      <c r="AA80" s="86">
        <f>SUMIFS('январь 2024'!$G$4:$G$1206,'январь 2024'!$D$4:$D$1206,$B80,'январь 2024'!$J$4:$J$1206,AA$1)</f>
        <v>0</v>
      </c>
      <c r="AB80" s="86">
        <f>SUMIFS('январь 2024'!$G$4:$G$1206,'январь 2024'!$D$4:$D$1206,$B80,'январь 2024'!$J$4:$J$1206,AB$1)</f>
        <v>0</v>
      </c>
      <c r="AC80" s="86">
        <f>SUMIFS('январь 2024'!$G$4:$G$1206,'январь 2024'!$D$4:$D$1206,$B80,'январь 2024'!$J$4:$J$1206,AC$1)</f>
        <v>0</v>
      </c>
      <c r="AD80" s="86">
        <f>SUMIFS('январь 2024'!$G$4:$G$1206,'январь 2024'!$D$4:$D$1206,$B80,'январь 2024'!$J$4:$J$1206,AD$1)</f>
        <v>0</v>
      </c>
      <c r="AE80" s="86">
        <f>SUMIFS('январь 2024'!$G$4:$G$1206,'январь 2024'!$D$4:$D$1206,$B80,'январь 2024'!$J$4:$J$1206,AE$1)</f>
        <v>0</v>
      </c>
      <c r="AF80" s="86">
        <f>SUMIFS('январь 2024'!$G$4:$G$1206,'январь 2024'!$D$4:$D$1206,$B80,'январь 2024'!$J$4:$J$1206,AF$1)</f>
        <v>0</v>
      </c>
      <c r="AG80" s="86">
        <f>SUMIFS('январь 2024'!$G$4:$G$1206,'январь 2024'!$D$4:$D$1206,$B80,'январь 2024'!$J$4:$J$1206,AG$1)</f>
        <v>0</v>
      </c>
      <c r="AH80" s="86">
        <f>SUMIFS('январь 2024'!$G$4:$G$1206,'январь 2024'!$D$4:$D$1206,$B80,'январь 2024'!$J$4:$J$1206,AH$1)</f>
        <v>0</v>
      </c>
      <c r="AI80" s="21">
        <f t="shared" si="1"/>
        <v>0</v>
      </c>
    </row>
    <row r="81" spans="2:35" ht="15" customHeight="1" x14ac:dyDescent="0.25">
      <c r="B81" s="89" t="s">
        <v>217</v>
      </c>
      <c r="C81" s="88">
        <v>190</v>
      </c>
      <c r="D81" s="86">
        <f>SUMIFS('январь 2024'!$G$4:$G$1206,'январь 2024'!$D$4:$D$1206,$B81,'январь 2024'!$J$4:$J$1206,D$1)</f>
        <v>0</v>
      </c>
      <c r="E81" s="86">
        <f>SUMIFS('январь 2024'!$G$4:$G$1206,'январь 2024'!$D$4:$D$1206,$B81,'январь 2024'!$J$4:$J$1206,E$1)</f>
        <v>0</v>
      </c>
      <c r="F81" s="86">
        <f>SUMIFS('январь 2024'!$G$4:$G$1206,'январь 2024'!$D$4:$D$1206,$B81,'январь 2024'!$J$4:$J$1206,F$1)</f>
        <v>0</v>
      </c>
      <c r="G81" s="86">
        <f>SUMIFS('январь 2024'!$G$4:$G$1206,'январь 2024'!$D$4:$D$1206,$B81,'январь 2024'!$J$4:$J$1206,G$1)</f>
        <v>0</v>
      </c>
      <c r="H81" s="86">
        <f>SUMIFS('январь 2024'!$G$4:$G$1206,'январь 2024'!$D$4:$D$1206,$B81,'январь 2024'!$J$4:$J$1206,H$1)</f>
        <v>0</v>
      </c>
      <c r="I81" s="86">
        <f>SUMIFS('январь 2024'!$G$4:$G$1206,'январь 2024'!$D$4:$D$1206,$B81,'январь 2024'!$J$4:$J$1206,I$1)</f>
        <v>0</v>
      </c>
      <c r="J81" s="86">
        <f>SUMIFS('январь 2024'!$G$4:$G$1206,'январь 2024'!$D$4:$D$1206,$B81,'январь 2024'!$J$4:$J$1206,J$1)</f>
        <v>0</v>
      </c>
      <c r="K81" s="86">
        <f>SUMIFS('январь 2024'!$G$4:$G$1206,'январь 2024'!$D$4:$D$1206,$B81,'январь 2024'!$J$4:$J$1206,K$1)</f>
        <v>0</v>
      </c>
      <c r="L81" s="86">
        <f>SUMIFS('январь 2024'!$G$4:$G$1206,'январь 2024'!$D$4:$D$1206,$B81,'январь 2024'!$J$4:$J$1206,L$1)</f>
        <v>0</v>
      </c>
      <c r="M81" s="86">
        <f>SUMIFS('январь 2024'!$G$4:$G$1206,'январь 2024'!$D$4:$D$1206,$B81,'январь 2024'!$J$4:$J$1206,M$1)</f>
        <v>0</v>
      </c>
      <c r="N81" s="86">
        <f>SUMIFS('январь 2024'!$G$4:$G$1206,'январь 2024'!$D$4:$D$1206,$B81,'январь 2024'!$J$4:$J$1206,N$1)</f>
        <v>0</v>
      </c>
      <c r="O81" s="86">
        <f>SUMIFS('январь 2024'!$G$4:$G$1206,'январь 2024'!$D$4:$D$1206,$B81,'январь 2024'!$J$4:$J$1206,O$1)</f>
        <v>0</v>
      </c>
      <c r="P81" s="86">
        <f>SUMIFS('январь 2024'!$G$4:$G$1206,'январь 2024'!$D$4:$D$1206,$B81,'январь 2024'!$J$4:$J$1206,P$1)</f>
        <v>0</v>
      </c>
      <c r="Q81" s="86">
        <f>SUMIFS('январь 2024'!$G$4:$G$1206,'январь 2024'!$D$4:$D$1206,$B81,'январь 2024'!$J$4:$J$1206,Q$1)</f>
        <v>0</v>
      </c>
      <c r="R81" s="86">
        <f>SUMIFS('январь 2024'!$G$4:$G$1206,'январь 2024'!$D$4:$D$1206,$B81,'январь 2024'!$J$4:$J$1206,R$1)</f>
        <v>0</v>
      </c>
      <c r="S81" s="86">
        <f>SUMIFS('январь 2024'!$G$4:$G$1206,'январь 2024'!$D$4:$D$1206,$B81,'январь 2024'!$J$4:$J$1206,S$1)</f>
        <v>0</v>
      </c>
      <c r="T81" s="86">
        <f>SUMIFS('январь 2024'!$G$4:$G$1206,'январь 2024'!$D$4:$D$1206,$B81,'январь 2024'!$J$4:$J$1206,T$1)</f>
        <v>0</v>
      </c>
      <c r="U81" s="86">
        <f>SUMIFS('январь 2024'!$G$4:$G$1206,'январь 2024'!$D$4:$D$1206,$B81,'январь 2024'!$J$4:$J$1206,U$1)</f>
        <v>0</v>
      </c>
      <c r="V81" s="86">
        <f>SUMIFS('январь 2024'!$G$4:$G$1206,'январь 2024'!$D$4:$D$1206,$B81,'январь 2024'!$J$4:$J$1206,V$1)</f>
        <v>0</v>
      </c>
      <c r="W81" s="86">
        <f>SUMIFS('январь 2024'!$G$4:$G$1206,'январь 2024'!$D$4:$D$1206,$B81,'январь 2024'!$J$4:$J$1206,W$1)</f>
        <v>0</v>
      </c>
      <c r="X81" s="86">
        <f>SUMIFS('январь 2024'!$G$4:$G$1206,'январь 2024'!$D$4:$D$1206,$B81,'январь 2024'!$J$4:$J$1206,X$1)</f>
        <v>0</v>
      </c>
      <c r="Y81" s="86">
        <f>SUMIFS('январь 2024'!$G$4:$G$1206,'январь 2024'!$D$4:$D$1206,$B81,'январь 2024'!$J$4:$J$1206,Y$1)</f>
        <v>0</v>
      </c>
      <c r="Z81" s="86">
        <f>SUMIFS('январь 2024'!$G$4:$G$1206,'январь 2024'!$D$4:$D$1206,$B81,'январь 2024'!$J$4:$J$1206,Z$1)</f>
        <v>0</v>
      </c>
      <c r="AA81" s="86">
        <f>SUMIFS('январь 2024'!$G$4:$G$1206,'январь 2024'!$D$4:$D$1206,$B81,'январь 2024'!$J$4:$J$1206,AA$1)</f>
        <v>0</v>
      </c>
      <c r="AB81" s="86">
        <f>SUMIFS('январь 2024'!$G$4:$G$1206,'январь 2024'!$D$4:$D$1206,$B81,'январь 2024'!$J$4:$J$1206,AB$1)</f>
        <v>0</v>
      </c>
      <c r="AC81" s="86">
        <f>SUMIFS('январь 2024'!$G$4:$G$1206,'январь 2024'!$D$4:$D$1206,$B81,'январь 2024'!$J$4:$J$1206,AC$1)</f>
        <v>0</v>
      </c>
      <c r="AD81" s="86">
        <f>SUMIFS('январь 2024'!$G$4:$G$1206,'январь 2024'!$D$4:$D$1206,$B81,'январь 2024'!$J$4:$J$1206,AD$1)</f>
        <v>0</v>
      </c>
      <c r="AE81" s="86">
        <f>SUMIFS('январь 2024'!$G$4:$G$1206,'январь 2024'!$D$4:$D$1206,$B81,'январь 2024'!$J$4:$J$1206,AE$1)</f>
        <v>0</v>
      </c>
      <c r="AF81" s="86">
        <f>SUMIFS('январь 2024'!$G$4:$G$1206,'январь 2024'!$D$4:$D$1206,$B81,'январь 2024'!$J$4:$J$1206,AF$1)</f>
        <v>0</v>
      </c>
      <c r="AG81" s="86">
        <f>SUMIFS('январь 2024'!$G$4:$G$1206,'январь 2024'!$D$4:$D$1206,$B81,'январь 2024'!$J$4:$J$1206,AG$1)</f>
        <v>0</v>
      </c>
      <c r="AH81" s="86">
        <f>SUMIFS('январь 2024'!$G$4:$G$1206,'январь 2024'!$D$4:$D$1206,$B81,'январь 2024'!$J$4:$J$1206,AH$1)</f>
        <v>0</v>
      </c>
      <c r="AI81" s="21">
        <f t="shared" si="1"/>
        <v>0</v>
      </c>
    </row>
    <row r="82" spans="2:35" ht="15" customHeight="1" x14ac:dyDescent="0.25">
      <c r="B82" s="93" t="s">
        <v>179</v>
      </c>
      <c r="C82" s="88">
        <v>190</v>
      </c>
      <c r="D82" s="86">
        <f>SUMIFS('январь 2024'!$G$4:$G$1206,'январь 2024'!$D$4:$D$1206,$B82,'январь 2024'!$J$4:$J$1206,D$1)</f>
        <v>0</v>
      </c>
      <c r="E82" s="86">
        <f>SUMIFS('январь 2024'!$G$4:$G$1206,'январь 2024'!$D$4:$D$1206,$B82,'январь 2024'!$J$4:$J$1206,E$1)</f>
        <v>0</v>
      </c>
      <c r="F82" s="86">
        <f>SUMIFS('январь 2024'!$G$4:$G$1206,'январь 2024'!$D$4:$D$1206,$B82,'январь 2024'!$J$4:$J$1206,F$1)</f>
        <v>0</v>
      </c>
      <c r="G82" s="86">
        <f>SUMIFS('январь 2024'!$G$4:$G$1206,'январь 2024'!$D$4:$D$1206,$B82,'январь 2024'!$J$4:$J$1206,G$1)</f>
        <v>0</v>
      </c>
      <c r="H82" s="86">
        <f>SUMIFS('январь 2024'!$G$4:$G$1206,'январь 2024'!$D$4:$D$1206,$B82,'январь 2024'!$J$4:$J$1206,H$1)</f>
        <v>0</v>
      </c>
      <c r="I82" s="86">
        <f>SUMIFS('январь 2024'!$G$4:$G$1206,'январь 2024'!$D$4:$D$1206,$B82,'январь 2024'!$J$4:$J$1206,I$1)</f>
        <v>0</v>
      </c>
      <c r="J82" s="86">
        <f>SUMIFS('январь 2024'!$G$4:$G$1206,'январь 2024'!$D$4:$D$1206,$B82,'январь 2024'!$J$4:$J$1206,J$1)</f>
        <v>0</v>
      </c>
      <c r="K82" s="86">
        <f>SUMIFS('январь 2024'!$G$4:$G$1206,'январь 2024'!$D$4:$D$1206,$B82,'январь 2024'!$J$4:$J$1206,K$1)</f>
        <v>0</v>
      </c>
      <c r="L82" s="86">
        <f>SUMIFS('январь 2024'!$G$4:$G$1206,'январь 2024'!$D$4:$D$1206,$B82,'январь 2024'!$J$4:$J$1206,L$1)</f>
        <v>0</v>
      </c>
      <c r="M82" s="86">
        <f>SUMIFS('январь 2024'!$G$4:$G$1206,'январь 2024'!$D$4:$D$1206,$B82,'январь 2024'!$J$4:$J$1206,M$1)</f>
        <v>0</v>
      </c>
      <c r="N82" s="86">
        <f>SUMIFS('январь 2024'!$G$4:$G$1206,'январь 2024'!$D$4:$D$1206,$B82,'январь 2024'!$J$4:$J$1206,N$1)</f>
        <v>0</v>
      </c>
      <c r="O82" s="86">
        <f>SUMIFS('январь 2024'!$G$4:$G$1206,'январь 2024'!$D$4:$D$1206,$B82,'январь 2024'!$J$4:$J$1206,O$1)</f>
        <v>0</v>
      </c>
      <c r="P82" s="86">
        <f>SUMIFS('январь 2024'!$G$4:$G$1206,'январь 2024'!$D$4:$D$1206,$B82,'январь 2024'!$J$4:$J$1206,P$1)</f>
        <v>0</v>
      </c>
      <c r="Q82" s="86">
        <f>SUMIFS('январь 2024'!$G$4:$G$1206,'январь 2024'!$D$4:$D$1206,$B82,'январь 2024'!$J$4:$J$1206,Q$1)</f>
        <v>0</v>
      </c>
      <c r="R82" s="86">
        <f>SUMIFS('январь 2024'!$G$4:$G$1206,'январь 2024'!$D$4:$D$1206,$B82,'январь 2024'!$J$4:$J$1206,R$1)</f>
        <v>0</v>
      </c>
      <c r="S82" s="86">
        <f>SUMIFS('январь 2024'!$G$4:$G$1206,'январь 2024'!$D$4:$D$1206,$B82,'январь 2024'!$J$4:$J$1206,S$1)</f>
        <v>0</v>
      </c>
      <c r="T82" s="86">
        <f>SUMIFS('январь 2024'!$G$4:$G$1206,'январь 2024'!$D$4:$D$1206,$B82,'январь 2024'!$J$4:$J$1206,T$1)</f>
        <v>0</v>
      </c>
      <c r="U82" s="86">
        <f>SUMIFS('январь 2024'!$G$4:$G$1206,'январь 2024'!$D$4:$D$1206,$B82,'январь 2024'!$J$4:$J$1206,U$1)</f>
        <v>0</v>
      </c>
      <c r="V82" s="86">
        <f>SUMIFS('январь 2024'!$G$4:$G$1206,'январь 2024'!$D$4:$D$1206,$B82,'январь 2024'!$J$4:$J$1206,V$1)</f>
        <v>0</v>
      </c>
      <c r="W82" s="86">
        <f>SUMIFS('январь 2024'!$G$4:$G$1206,'январь 2024'!$D$4:$D$1206,$B82,'январь 2024'!$J$4:$J$1206,W$1)</f>
        <v>0</v>
      </c>
      <c r="X82" s="86">
        <f>SUMIFS('январь 2024'!$G$4:$G$1206,'январь 2024'!$D$4:$D$1206,$B82,'январь 2024'!$J$4:$J$1206,X$1)</f>
        <v>0</v>
      </c>
      <c r="Y82" s="86">
        <f>SUMIFS('январь 2024'!$G$4:$G$1206,'январь 2024'!$D$4:$D$1206,$B82,'январь 2024'!$J$4:$J$1206,Y$1)</f>
        <v>0</v>
      </c>
      <c r="Z82" s="86">
        <f>SUMIFS('январь 2024'!$G$4:$G$1206,'январь 2024'!$D$4:$D$1206,$B82,'январь 2024'!$J$4:$J$1206,Z$1)</f>
        <v>0</v>
      </c>
      <c r="AA82" s="86">
        <f>SUMIFS('январь 2024'!$G$4:$G$1206,'январь 2024'!$D$4:$D$1206,$B82,'январь 2024'!$J$4:$J$1206,AA$1)</f>
        <v>0</v>
      </c>
      <c r="AB82" s="86">
        <f>SUMIFS('январь 2024'!$G$4:$G$1206,'январь 2024'!$D$4:$D$1206,$B82,'январь 2024'!$J$4:$J$1206,AB$1)</f>
        <v>0</v>
      </c>
      <c r="AC82" s="86">
        <f>SUMIFS('январь 2024'!$G$4:$G$1206,'январь 2024'!$D$4:$D$1206,$B82,'январь 2024'!$J$4:$J$1206,AC$1)</f>
        <v>0</v>
      </c>
      <c r="AD82" s="86">
        <f>SUMIFS('январь 2024'!$G$4:$G$1206,'январь 2024'!$D$4:$D$1206,$B82,'январь 2024'!$J$4:$J$1206,AD$1)</f>
        <v>0</v>
      </c>
      <c r="AE82" s="86">
        <f>SUMIFS('январь 2024'!$G$4:$G$1206,'январь 2024'!$D$4:$D$1206,$B82,'январь 2024'!$J$4:$J$1206,AE$1)</f>
        <v>0</v>
      </c>
      <c r="AF82" s="86">
        <f>SUMIFS('январь 2024'!$G$4:$G$1206,'январь 2024'!$D$4:$D$1206,$B82,'январь 2024'!$J$4:$J$1206,AF$1)</f>
        <v>0</v>
      </c>
      <c r="AG82" s="86">
        <f>SUMIFS('январь 2024'!$G$4:$G$1206,'январь 2024'!$D$4:$D$1206,$B82,'январь 2024'!$J$4:$J$1206,AG$1)</f>
        <v>0</v>
      </c>
      <c r="AH82" s="86">
        <f>SUMIFS('январь 2024'!$G$4:$G$1206,'январь 2024'!$D$4:$D$1206,$B82,'январь 2024'!$J$4:$J$1206,AH$1)</f>
        <v>0</v>
      </c>
      <c r="AI82" s="21">
        <f t="shared" si="1"/>
        <v>0</v>
      </c>
    </row>
    <row r="83" spans="2:35" ht="15" customHeight="1" x14ac:dyDescent="0.25">
      <c r="B83" s="93" t="s">
        <v>192</v>
      </c>
      <c r="C83" s="91">
        <v>180</v>
      </c>
      <c r="D83" s="86">
        <f>SUMIFS('январь 2024'!$G$4:$G$1206,'январь 2024'!$D$4:$D$1206,$B83,'январь 2024'!$J$4:$J$1206,D$1)</f>
        <v>0</v>
      </c>
      <c r="E83" s="86">
        <f>SUMIFS('январь 2024'!$G$4:$G$1206,'январь 2024'!$D$4:$D$1206,$B83,'январь 2024'!$J$4:$J$1206,E$1)</f>
        <v>0</v>
      </c>
      <c r="F83" s="86">
        <f>SUMIFS('январь 2024'!$G$4:$G$1206,'январь 2024'!$D$4:$D$1206,$B83,'январь 2024'!$J$4:$J$1206,F$1)</f>
        <v>0</v>
      </c>
      <c r="G83" s="86">
        <f>SUMIFS('январь 2024'!$G$4:$G$1206,'январь 2024'!$D$4:$D$1206,$B83,'январь 2024'!$J$4:$J$1206,G$1)</f>
        <v>0</v>
      </c>
      <c r="H83" s="86">
        <f>SUMIFS('январь 2024'!$G$4:$G$1206,'январь 2024'!$D$4:$D$1206,$B83,'январь 2024'!$J$4:$J$1206,H$1)</f>
        <v>0</v>
      </c>
      <c r="I83" s="86">
        <f>SUMIFS('январь 2024'!$G$4:$G$1206,'январь 2024'!$D$4:$D$1206,$B83,'январь 2024'!$J$4:$J$1206,I$1)</f>
        <v>0</v>
      </c>
      <c r="J83" s="86">
        <f>SUMIFS('январь 2024'!$G$4:$G$1206,'январь 2024'!$D$4:$D$1206,$B83,'январь 2024'!$J$4:$J$1206,J$1)</f>
        <v>0</v>
      </c>
      <c r="K83" s="86">
        <f>SUMIFS('январь 2024'!$G$4:$G$1206,'январь 2024'!$D$4:$D$1206,$B83,'январь 2024'!$J$4:$J$1206,K$1)</f>
        <v>0</v>
      </c>
      <c r="L83" s="86">
        <f>SUMIFS('январь 2024'!$G$4:$G$1206,'январь 2024'!$D$4:$D$1206,$B83,'январь 2024'!$J$4:$J$1206,L$1)</f>
        <v>0</v>
      </c>
      <c r="M83" s="86">
        <f>SUMIFS('январь 2024'!$G$4:$G$1206,'январь 2024'!$D$4:$D$1206,$B83,'январь 2024'!$J$4:$J$1206,M$1)</f>
        <v>0</v>
      </c>
      <c r="N83" s="86">
        <f>SUMIFS('январь 2024'!$G$4:$G$1206,'январь 2024'!$D$4:$D$1206,$B83,'январь 2024'!$J$4:$J$1206,N$1)</f>
        <v>0</v>
      </c>
      <c r="O83" s="86">
        <f>SUMIFS('январь 2024'!$G$4:$G$1206,'январь 2024'!$D$4:$D$1206,$B83,'январь 2024'!$J$4:$J$1206,O$1)</f>
        <v>0</v>
      </c>
      <c r="P83" s="86">
        <f>SUMIFS('январь 2024'!$G$4:$G$1206,'январь 2024'!$D$4:$D$1206,$B83,'январь 2024'!$J$4:$J$1206,P$1)</f>
        <v>0</v>
      </c>
      <c r="Q83" s="86">
        <f>SUMIFS('январь 2024'!$G$4:$G$1206,'январь 2024'!$D$4:$D$1206,$B83,'январь 2024'!$J$4:$J$1206,Q$1)</f>
        <v>0</v>
      </c>
      <c r="R83" s="86">
        <f>SUMIFS('январь 2024'!$G$4:$G$1206,'январь 2024'!$D$4:$D$1206,$B83,'январь 2024'!$J$4:$J$1206,R$1)</f>
        <v>0</v>
      </c>
      <c r="S83" s="86">
        <f>SUMIFS('январь 2024'!$G$4:$G$1206,'январь 2024'!$D$4:$D$1206,$B83,'январь 2024'!$J$4:$J$1206,S$1)</f>
        <v>0</v>
      </c>
      <c r="T83" s="86">
        <f>SUMIFS('январь 2024'!$G$4:$G$1206,'январь 2024'!$D$4:$D$1206,$B83,'январь 2024'!$J$4:$J$1206,T$1)</f>
        <v>0</v>
      </c>
      <c r="U83" s="86">
        <f>SUMIFS('январь 2024'!$G$4:$G$1206,'январь 2024'!$D$4:$D$1206,$B83,'январь 2024'!$J$4:$J$1206,U$1)</f>
        <v>0</v>
      </c>
      <c r="V83" s="86">
        <f>SUMIFS('январь 2024'!$G$4:$G$1206,'январь 2024'!$D$4:$D$1206,$B83,'январь 2024'!$J$4:$J$1206,V$1)</f>
        <v>0</v>
      </c>
      <c r="W83" s="86">
        <f>SUMIFS('январь 2024'!$G$4:$G$1206,'январь 2024'!$D$4:$D$1206,$B83,'январь 2024'!$J$4:$J$1206,W$1)</f>
        <v>0</v>
      </c>
      <c r="X83" s="86">
        <f>SUMIFS('январь 2024'!$G$4:$G$1206,'январь 2024'!$D$4:$D$1206,$B83,'январь 2024'!$J$4:$J$1206,X$1)</f>
        <v>0</v>
      </c>
      <c r="Y83" s="86">
        <f>SUMIFS('январь 2024'!$G$4:$G$1206,'январь 2024'!$D$4:$D$1206,$B83,'январь 2024'!$J$4:$J$1206,Y$1)</f>
        <v>0</v>
      </c>
      <c r="Z83" s="86">
        <f>SUMIFS('январь 2024'!$G$4:$G$1206,'январь 2024'!$D$4:$D$1206,$B83,'январь 2024'!$J$4:$J$1206,Z$1)</f>
        <v>0</v>
      </c>
      <c r="AA83" s="86">
        <f>SUMIFS('январь 2024'!$G$4:$G$1206,'январь 2024'!$D$4:$D$1206,$B83,'январь 2024'!$J$4:$J$1206,AA$1)</f>
        <v>0</v>
      </c>
      <c r="AB83" s="86">
        <f>SUMIFS('январь 2024'!$G$4:$G$1206,'январь 2024'!$D$4:$D$1206,$B83,'январь 2024'!$J$4:$J$1206,AB$1)</f>
        <v>0</v>
      </c>
      <c r="AC83" s="86">
        <f>SUMIFS('январь 2024'!$G$4:$G$1206,'январь 2024'!$D$4:$D$1206,$B83,'январь 2024'!$J$4:$J$1206,AC$1)</f>
        <v>0</v>
      </c>
      <c r="AD83" s="86">
        <f>SUMIFS('январь 2024'!$G$4:$G$1206,'январь 2024'!$D$4:$D$1206,$B83,'январь 2024'!$J$4:$J$1206,AD$1)</f>
        <v>0</v>
      </c>
      <c r="AE83" s="86">
        <f>SUMIFS('январь 2024'!$G$4:$G$1206,'январь 2024'!$D$4:$D$1206,$B83,'январь 2024'!$J$4:$J$1206,AE$1)</f>
        <v>0</v>
      </c>
      <c r="AF83" s="86">
        <f>SUMIFS('январь 2024'!$G$4:$G$1206,'январь 2024'!$D$4:$D$1206,$B83,'январь 2024'!$J$4:$J$1206,AF$1)</f>
        <v>0</v>
      </c>
      <c r="AG83" s="86">
        <f>SUMIFS('январь 2024'!$G$4:$G$1206,'январь 2024'!$D$4:$D$1206,$B83,'январь 2024'!$J$4:$J$1206,AG$1)</f>
        <v>0</v>
      </c>
      <c r="AH83" s="86">
        <f>SUMIFS('январь 2024'!$G$4:$G$1206,'январь 2024'!$D$4:$D$1206,$B83,'январь 2024'!$J$4:$J$1206,AH$1)</f>
        <v>0</v>
      </c>
      <c r="AI83" s="21">
        <f t="shared" si="1"/>
        <v>0</v>
      </c>
    </row>
    <row r="84" spans="2:35" ht="15" customHeight="1" x14ac:dyDescent="0.25">
      <c r="B84" s="93" t="s">
        <v>399</v>
      </c>
      <c r="C84" s="91">
        <v>190</v>
      </c>
      <c r="D84" s="86">
        <f>SUMIFS('январь 2024'!$G$4:$G$1206,'январь 2024'!$D$4:$D$1206,$B84,'январь 2024'!$J$4:$J$1206,D$1)</f>
        <v>0</v>
      </c>
      <c r="E84" s="86">
        <f>SUMIFS('январь 2024'!$G$4:$G$1206,'январь 2024'!$D$4:$D$1206,$B84,'январь 2024'!$J$4:$J$1206,E$1)</f>
        <v>0</v>
      </c>
      <c r="F84" s="86">
        <f>SUMIFS('январь 2024'!$G$4:$G$1206,'январь 2024'!$D$4:$D$1206,$B84,'январь 2024'!$J$4:$J$1206,F$1)</f>
        <v>0</v>
      </c>
      <c r="G84" s="86">
        <f>SUMIFS('январь 2024'!$G$4:$G$1206,'январь 2024'!$D$4:$D$1206,$B84,'январь 2024'!$J$4:$J$1206,G$1)</f>
        <v>0</v>
      </c>
      <c r="H84" s="86">
        <f>SUMIFS('январь 2024'!$G$4:$G$1206,'январь 2024'!$D$4:$D$1206,$B84,'январь 2024'!$J$4:$J$1206,H$1)</f>
        <v>0</v>
      </c>
      <c r="I84" s="86">
        <f>SUMIFS('январь 2024'!$G$4:$G$1206,'январь 2024'!$D$4:$D$1206,$B84,'январь 2024'!$J$4:$J$1206,I$1)</f>
        <v>0</v>
      </c>
      <c r="J84" s="86">
        <f>SUMIFS('январь 2024'!$G$4:$G$1206,'январь 2024'!$D$4:$D$1206,$B84,'январь 2024'!$J$4:$J$1206,J$1)</f>
        <v>0</v>
      </c>
      <c r="K84" s="86">
        <f>SUMIFS('январь 2024'!$G$4:$G$1206,'январь 2024'!$D$4:$D$1206,$B84,'январь 2024'!$J$4:$J$1206,K$1)</f>
        <v>0</v>
      </c>
      <c r="L84" s="86">
        <f>SUMIFS('январь 2024'!$G$4:$G$1206,'январь 2024'!$D$4:$D$1206,$B84,'январь 2024'!$J$4:$J$1206,L$1)</f>
        <v>0</v>
      </c>
      <c r="M84" s="86">
        <f>SUMIFS('январь 2024'!$G$4:$G$1206,'январь 2024'!$D$4:$D$1206,$B84,'январь 2024'!$J$4:$J$1206,M$1)</f>
        <v>0</v>
      </c>
      <c r="N84" s="86">
        <f>SUMIFS('январь 2024'!$G$4:$G$1206,'январь 2024'!$D$4:$D$1206,$B84,'январь 2024'!$J$4:$J$1206,N$1)</f>
        <v>0</v>
      </c>
      <c r="O84" s="86">
        <f>SUMIFS('январь 2024'!$G$4:$G$1206,'январь 2024'!$D$4:$D$1206,$B84,'январь 2024'!$J$4:$J$1206,O$1)</f>
        <v>0</v>
      </c>
      <c r="P84" s="86">
        <f>SUMIFS('январь 2024'!$G$4:$G$1206,'январь 2024'!$D$4:$D$1206,$B84,'январь 2024'!$J$4:$J$1206,P$1)</f>
        <v>0</v>
      </c>
      <c r="Q84" s="86">
        <f>SUMIFS('январь 2024'!$G$4:$G$1206,'январь 2024'!$D$4:$D$1206,$B84,'январь 2024'!$J$4:$J$1206,Q$1)</f>
        <v>0</v>
      </c>
      <c r="R84" s="86">
        <f>SUMIFS('январь 2024'!$G$4:$G$1206,'январь 2024'!$D$4:$D$1206,$B84,'январь 2024'!$J$4:$J$1206,R$1)</f>
        <v>0</v>
      </c>
      <c r="S84" s="86">
        <f>SUMIFS('январь 2024'!$G$4:$G$1206,'январь 2024'!$D$4:$D$1206,$B84,'январь 2024'!$J$4:$J$1206,S$1)</f>
        <v>0</v>
      </c>
      <c r="T84" s="86">
        <f>SUMIFS('январь 2024'!$G$4:$G$1206,'январь 2024'!$D$4:$D$1206,$B84,'январь 2024'!$J$4:$J$1206,T$1)</f>
        <v>0</v>
      </c>
      <c r="U84" s="86">
        <f>SUMIFS('январь 2024'!$G$4:$G$1206,'январь 2024'!$D$4:$D$1206,$B84,'январь 2024'!$J$4:$J$1206,U$1)</f>
        <v>0</v>
      </c>
      <c r="V84" s="86">
        <f>SUMIFS('январь 2024'!$G$4:$G$1206,'январь 2024'!$D$4:$D$1206,$B84,'январь 2024'!$J$4:$J$1206,V$1)</f>
        <v>0</v>
      </c>
      <c r="W84" s="86">
        <f>SUMIFS('январь 2024'!$G$4:$G$1206,'январь 2024'!$D$4:$D$1206,$B84,'январь 2024'!$J$4:$J$1206,W$1)</f>
        <v>0</v>
      </c>
      <c r="X84" s="86">
        <f>SUMIFS('январь 2024'!$G$4:$G$1206,'январь 2024'!$D$4:$D$1206,$B84,'январь 2024'!$J$4:$J$1206,X$1)</f>
        <v>0</v>
      </c>
      <c r="Y84" s="86">
        <f>SUMIFS('январь 2024'!$G$4:$G$1206,'январь 2024'!$D$4:$D$1206,$B84,'январь 2024'!$J$4:$J$1206,Y$1)</f>
        <v>88</v>
      </c>
      <c r="Z84" s="86">
        <f>SUMIFS('январь 2024'!$G$4:$G$1206,'январь 2024'!$D$4:$D$1206,$B84,'январь 2024'!$J$4:$J$1206,Z$1)</f>
        <v>0</v>
      </c>
      <c r="AA84" s="86">
        <f>SUMIFS('январь 2024'!$G$4:$G$1206,'январь 2024'!$D$4:$D$1206,$B84,'январь 2024'!$J$4:$J$1206,AA$1)</f>
        <v>0</v>
      </c>
      <c r="AB84" s="86">
        <f>SUMIFS('январь 2024'!$G$4:$G$1206,'январь 2024'!$D$4:$D$1206,$B84,'январь 2024'!$J$4:$J$1206,AB$1)</f>
        <v>0</v>
      </c>
      <c r="AC84" s="86">
        <f>SUMIFS('январь 2024'!$G$4:$G$1206,'январь 2024'!$D$4:$D$1206,$B84,'январь 2024'!$J$4:$J$1206,AC$1)</f>
        <v>0</v>
      </c>
      <c r="AD84" s="86">
        <f>SUMIFS('январь 2024'!$G$4:$G$1206,'январь 2024'!$D$4:$D$1206,$B84,'январь 2024'!$J$4:$J$1206,AD$1)</f>
        <v>0</v>
      </c>
      <c r="AE84" s="86">
        <f>SUMIFS('январь 2024'!$G$4:$G$1206,'январь 2024'!$D$4:$D$1206,$B84,'январь 2024'!$J$4:$J$1206,AE$1)</f>
        <v>0</v>
      </c>
      <c r="AF84" s="86">
        <f>SUMIFS('январь 2024'!$G$4:$G$1206,'январь 2024'!$D$4:$D$1206,$B84,'январь 2024'!$J$4:$J$1206,AF$1)</f>
        <v>0</v>
      </c>
      <c r="AG84" s="86">
        <f>SUMIFS('январь 2024'!$G$4:$G$1206,'январь 2024'!$D$4:$D$1206,$B84,'январь 2024'!$J$4:$J$1206,AG$1)</f>
        <v>0</v>
      </c>
      <c r="AH84" s="86">
        <f>SUMIFS('январь 2024'!$G$4:$G$1206,'январь 2024'!$D$4:$D$1206,$B84,'январь 2024'!$J$4:$J$1206,AH$1)</f>
        <v>0</v>
      </c>
      <c r="AI84" s="21">
        <f>SUM(D84:AH84)</f>
        <v>88</v>
      </c>
    </row>
    <row r="85" spans="2:35" ht="15" customHeight="1" x14ac:dyDescent="0.25">
      <c r="B85" s="93" t="s">
        <v>322</v>
      </c>
      <c r="C85" s="91">
        <v>180</v>
      </c>
      <c r="D85" s="86">
        <f>SUMIFS('январь 2024'!$G$4:$G$1206,'январь 2024'!$D$4:$D$1206,$B85,'январь 2024'!$J$4:$J$1206,D$1)</f>
        <v>0</v>
      </c>
      <c r="E85" s="86">
        <f>SUMIFS('январь 2024'!$G$4:$G$1206,'январь 2024'!$D$4:$D$1206,$B85,'январь 2024'!$J$4:$J$1206,E$1)</f>
        <v>0</v>
      </c>
      <c r="F85" s="86">
        <f>SUMIFS('январь 2024'!$G$4:$G$1206,'январь 2024'!$D$4:$D$1206,$B85,'январь 2024'!$J$4:$J$1206,F$1)</f>
        <v>0</v>
      </c>
      <c r="G85" s="86">
        <f>SUMIFS('январь 2024'!$G$4:$G$1206,'январь 2024'!$D$4:$D$1206,$B85,'январь 2024'!$J$4:$J$1206,G$1)</f>
        <v>0</v>
      </c>
      <c r="H85" s="86">
        <f>SUMIFS('январь 2024'!$G$4:$G$1206,'январь 2024'!$D$4:$D$1206,$B85,'январь 2024'!$J$4:$J$1206,H$1)</f>
        <v>0</v>
      </c>
      <c r="I85" s="86">
        <f>SUMIFS('январь 2024'!$G$4:$G$1206,'январь 2024'!$D$4:$D$1206,$B85,'январь 2024'!$J$4:$J$1206,I$1)</f>
        <v>0</v>
      </c>
      <c r="J85" s="86">
        <f>SUMIFS('январь 2024'!$G$4:$G$1206,'январь 2024'!$D$4:$D$1206,$B85,'январь 2024'!$J$4:$J$1206,J$1)</f>
        <v>0</v>
      </c>
      <c r="K85" s="86">
        <f>SUMIFS('январь 2024'!$G$4:$G$1206,'январь 2024'!$D$4:$D$1206,$B85,'январь 2024'!$J$4:$J$1206,K$1)</f>
        <v>0</v>
      </c>
      <c r="L85" s="86">
        <f>SUMIFS('январь 2024'!$G$4:$G$1206,'январь 2024'!$D$4:$D$1206,$B85,'январь 2024'!$J$4:$J$1206,L$1)</f>
        <v>0</v>
      </c>
      <c r="M85" s="86">
        <f>SUMIFS('январь 2024'!$G$4:$G$1206,'январь 2024'!$D$4:$D$1206,$B85,'январь 2024'!$J$4:$J$1206,M$1)</f>
        <v>0</v>
      </c>
      <c r="N85" s="86">
        <f>SUMIFS('январь 2024'!$G$4:$G$1206,'январь 2024'!$D$4:$D$1206,$B85,'январь 2024'!$J$4:$J$1206,N$1)</f>
        <v>0</v>
      </c>
      <c r="O85" s="86">
        <f>SUMIFS('январь 2024'!$G$4:$G$1206,'январь 2024'!$D$4:$D$1206,$B85,'январь 2024'!$J$4:$J$1206,O$1)</f>
        <v>0</v>
      </c>
      <c r="P85" s="86">
        <f>SUMIFS('январь 2024'!$G$4:$G$1206,'январь 2024'!$D$4:$D$1206,$B85,'январь 2024'!$J$4:$J$1206,P$1)</f>
        <v>0</v>
      </c>
      <c r="Q85" s="86">
        <f>SUMIFS('январь 2024'!$G$4:$G$1206,'январь 2024'!$D$4:$D$1206,$B85,'январь 2024'!$J$4:$J$1206,Q$1)</f>
        <v>0</v>
      </c>
      <c r="R85" s="86">
        <f>SUMIFS('январь 2024'!$G$4:$G$1206,'январь 2024'!$D$4:$D$1206,$B85,'январь 2024'!$J$4:$J$1206,R$1)</f>
        <v>0</v>
      </c>
      <c r="S85" s="86">
        <f>SUMIFS('январь 2024'!$G$4:$G$1206,'январь 2024'!$D$4:$D$1206,$B85,'январь 2024'!$J$4:$J$1206,S$1)</f>
        <v>0</v>
      </c>
      <c r="T85" s="86">
        <f>SUMIFS('январь 2024'!$G$4:$G$1206,'январь 2024'!$D$4:$D$1206,$B85,'январь 2024'!$J$4:$J$1206,T$1)</f>
        <v>0</v>
      </c>
      <c r="U85" s="86">
        <f>SUMIFS('январь 2024'!$G$4:$G$1206,'январь 2024'!$D$4:$D$1206,$B85,'январь 2024'!$J$4:$J$1206,U$1)</f>
        <v>0</v>
      </c>
      <c r="V85" s="86">
        <f>SUMIFS('январь 2024'!$G$4:$G$1206,'январь 2024'!$D$4:$D$1206,$B85,'январь 2024'!$J$4:$J$1206,V$1)</f>
        <v>0</v>
      </c>
      <c r="W85" s="86">
        <f>SUMIFS('январь 2024'!$G$4:$G$1206,'январь 2024'!$D$4:$D$1206,$B85,'январь 2024'!$J$4:$J$1206,W$1)</f>
        <v>0</v>
      </c>
      <c r="X85" s="86">
        <f>SUMIFS('январь 2024'!$G$4:$G$1206,'январь 2024'!$D$4:$D$1206,$B85,'январь 2024'!$J$4:$J$1206,X$1)</f>
        <v>0</v>
      </c>
      <c r="Y85" s="86">
        <f>SUMIFS('январь 2024'!$G$4:$G$1206,'январь 2024'!$D$4:$D$1206,$B85,'январь 2024'!$J$4:$J$1206,Y$1)</f>
        <v>0</v>
      </c>
      <c r="Z85" s="86">
        <f>SUMIFS('январь 2024'!$G$4:$G$1206,'январь 2024'!$D$4:$D$1206,$B85,'январь 2024'!$J$4:$J$1206,Z$1)</f>
        <v>0</v>
      </c>
      <c r="AA85" s="86">
        <f>SUMIFS('январь 2024'!$G$4:$G$1206,'январь 2024'!$D$4:$D$1206,$B85,'январь 2024'!$J$4:$J$1206,AA$1)</f>
        <v>0</v>
      </c>
      <c r="AB85" s="86">
        <f>SUMIFS('январь 2024'!$G$4:$G$1206,'январь 2024'!$D$4:$D$1206,$B85,'январь 2024'!$J$4:$J$1206,AB$1)</f>
        <v>0</v>
      </c>
      <c r="AC85" s="86">
        <f>SUMIFS('январь 2024'!$G$4:$G$1206,'январь 2024'!$D$4:$D$1206,$B85,'январь 2024'!$J$4:$J$1206,AC$1)</f>
        <v>0</v>
      </c>
      <c r="AD85" s="86">
        <f>SUMIFS('январь 2024'!$G$4:$G$1206,'январь 2024'!$D$4:$D$1206,$B85,'январь 2024'!$J$4:$J$1206,AD$1)</f>
        <v>0</v>
      </c>
      <c r="AE85" s="86">
        <f>SUMIFS('январь 2024'!$G$4:$G$1206,'январь 2024'!$D$4:$D$1206,$B85,'январь 2024'!$J$4:$J$1206,AE$1)</f>
        <v>0</v>
      </c>
      <c r="AF85" s="86">
        <f>SUMIFS('январь 2024'!$G$4:$G$1206,'январь 2024'!$D$4:$D$1206,$B85,'январь 2024'!$J$4:$J$1206,AF$1)</f>
        <v>0</v>
      </c>
      <c r="AG85" s="86">
        <f>SUMIFS('январь 2024'!$G$4:$G$1206,'январь 2024'!$D$4:$D$1206,$B85,'январь 2024'!$J$4:$J$1206,AG$1)</f>
        <v>0</v>
      </c>
      <c r="AH85" s="86">
        <f>SUMIFS('январь 2024'!$G$4:$G$1206,'январь 2024'!$D$4:$D$1206,$B85,'январь 2024'!$J$4:$J$1206,AH$1)</f>
        <v>0</v>
      </c>
      <c r="AI85" s="21">
        <f t="shared" si="1"/>
        <v>0</v>
      </c>
    </row>
    <row r="86" spans="2:35" ht="15" customHeight="1" x14ac:dyDescent="0.25">
      <c r="B86" s="93" t="s">
        <v>323</v>
      </c>
      <c r="C86" s="91">
        <v>180</v>
      </c>
      <c r="D86" s="86">
        <f>SUMIFS('январь 2024'!$G$4:$G$1206,'январь 2024'!$D$4:$D$1206,$B86,'январь 2024'!$J$4:$J$1206,D$1)</f>
        <v>0</v>
      </c>
      <c r="E86" s="86">
        <f>SUMIFS('январь 2024'!$G$4:$G$1206,'январь 2024'!$D$4:$D$1206,$B86,'январь 2024'!$J$4:$J$1206,E$1)</f>
        <v>0</v>
      </c>
      <c r="F86" s="86">
        <f>SUMIFS('январь 2024'!$G$4:$G$1206,'январь 2024'!$D$4:$D$1206,$B86,'январь 2024'!$J$4:$J$1206,F$1)</f>
        <v>0</v>
      </c>
      <c r="G86" s="86">
        <f>SUMIFS('январь 2024'!$G$4:$G$1206,'январь 2024'!$D$4:$D$1206,$B86,'январь 2024'!$J$4:$J$1206,G$1)</f>
        <v>0</v>
      </c>
      <c r="H86" s="86">
        <f>SUMIFS('январь 2024'!$G$4:$G$1206,'январь 2024'!$D$4:$D$1206,$B86,'январь 2024'!$J$4:$J$1206,H$1)</f>
        <v>0</v>
      </c>
      <c r="I86" s="86">
        <f>SUMIFS('январь 2024'!$G$4:$G$1206,'январь 2024'!$D$4:$D$1206,$B86,'январь 2024'!$J$4:$J$1206,I$1)</f>
        <v>0</v>
      </c>
      <c r="J86" s="86">
        <f>SUMIFS('январь 2024'!$G$4:$G$1206,'январь 2024'!$D$4:$D$1206,$B86,'январь 2024'!$J$4:$J$1206,J$1)</f>
        <v>0</v>
      </c>
      <c r="K86" s="86">
        <f>SUMIFS('январь 2024'!$G$4:$G$1206,'январь 2024'!$D$4:$D$1206,$B86,'январь 2024'!$J$4:$J$1206,K$1)</f>
        <v>0</v>
      </c>
      <c r="L86" s="86">
        <f>SUMIFS('январь 2024'!$G$4:$G$1206,'январь 2024'!$D$4:$D$1206,$B86,'январь 2024'!$J$4:$J$1206,L$1)</f>
        <v>0</v>
      </c>
      <c r="M86" s="86">
        <f>SUMIFS('январь 2024'!$G$4:$G$1206,'январь 2024'!$D$4:$D$1206,$B86,'январь 2024'!$J$4:$J$1206,M$1)</f>
        <v>0</v>
      </c>
      <c r="N86" s="86">
        <f>SUMIFS('январь 2024'!$G$4:$G$1206,'январь 2024'!$D$4:$D$1206,$B86,'январь 2024'!$J$4:$J$1206,N$1)</f>
        <v>0</v>
      </c>
      <c r="O86" s="86">
        <f>SUMIFS('январь 2024'!$G$4:$G$1206,'январь 2024'!$D$4:$D$1206,$B86,'январь 2024'!$J$4:$J$1206,O$1)</f>
        <v>0</v>
      </c>
      <c r="P86" s="86">
        <f>SUMIFS('январь 2024'!$G$4:$G$1206,'январь 2024'!$D$4:$D$1206,$B86,'январь 2024'!$J$4:$J$1206,P$1)</f>
        <v>0</v>
      </c>
      <c r="Q86" s="86">
        <f>SUMIFS('январь 2024'!$G$4:$G$1206,'январь 2024'!$D$4:$D$1206,$B86,'январь 2024'!$J$4:$J$1206,Q$1)</f>
        <v>0</v>
      </c>
      <c r="R86" s="86">
        <f>SUMIFS('январь 2024'!$G$4:$G$1206,'январь 2024'!$D$4:$D$1206,$B86,'январь 2024'!$J$4:$J$1206,R$1)</f>
        <v>0</v>
      </c>
      <c r="S86" s="86">
        <f>SUMIFS('январь 2024'!$G$4:$G$1206,'январь 2024'!$D$4:$D$1206,$B86,'январь 2024'!$J$4:$J$1206,S$1)</f>
        <v>0</v>
      </c>
      <c r="T86" s="86">
        <f>SUMIFS('январь 2024'!$G$4:$G$1206,'январь 2024'!$D$4:$D$1206,$B86,'январь 2024'!$J$4:$J$1206,T$1)</f>
        <v>0</v>
      </c>
      <c r="U86" s="86">
        <f>SUMIFS('январь 2024'!$G$4:$G$1206,'январь 2024'!$D$4:$D$1206,$B86,'январь 2024'!$J$4:$J$1206,U$1)</f>
        <v>0</v>
      </c>
      <c r="V86" s="86">
        <f>SUMIFS('январь 2024'!$G$4:$G$1206,'январь 2024'!$D$4:$D$1206,$B86,'январь 2024'!$J$4:$J$1206,V$1)</f>
        <v>0</v>
      </c>
      <c r="W86" s="86">
        <f>SUMIFS('январь 2024'!$G$4:$G$1206,'январь 2024'!$D$4:$D$1206,$B86,'январь 2024'!$J$4:$J$1206,W$1)</f>
        <v>0</v>
      </c>
      <c r="X86" s="86">
        <f>SUMIFS('январь 2024'!$G$4:$G$1206,'январь 2024'!$D$4:$D$1206,$B86,'январь 2024'!$J$4:$J$1206,X$1)</f>
        <v>0</v>
      </c>
      <c r="Y86" s="86">
        <f>SUMIFS('январь 2024'!$G$4:$G$1206,'январь 2024'!$D$4:$D$1206,$B86,'январь 2024'!$J$4:$J$1206,Y$1)</f>
        <v>0</v>
      </c>
      <c r="Z86" s="86">
        <f>SUMIFS('январь 2024'!$G$4:$G$1206,'январь 2024'!$D$4:$D$1206,$B86,'январь 2024'!$J$4:$J$1206,Z$1)</f>
        <v>0</v>
      </c>
      <c r="AA86" s="86">
        <f>SUMIFS('январь 2024'!$G$4:$G$1206,'январь 2024'!$D$4:$D$1206,$B86,'январь 2024'!$J$4:$J$1206,AA$1)</f>
        <v>0</v>
      </c>
      <c r="AB86" s="86">
        <f>SUMIFS('январь 2024'!$G$4:$G$1206,'январь 2024'!$D$4:$D$1206,$B86,'январь 2024'!$J$4:$J$1206,AB$1)</f>
        <v>0</v>
      </c>
      <c r="AC86" s="86">
        <f>SUMIFS('январь 2024'!$G$4:$G$1206,'январь 2024'!$D$4:$D$1206,$B86,'январь 2024'!$J$4:$J$1206,AC$1)</f>
        <v>0</v>
      </c>
      <c r="AD86" s="86">
        <f>SUMIFS('январь 2024'!$G$4:$G$1206,'январь 2024'!$D$4:$D$1206,$B86,'январь 2024'!$J$4:$J$1206,AD$1)</f>
        <v>0</v>
      </c>
      <c r="AE86" s="86">
        <f>SUMIFS('январь 2024'!$G$4:$G$1206,'январь 2024'!$D$4:$D$1206,$B86,'январь 2024'!$J$4:$J$1206,AE$1)</f>
        <v>0</v>
      </c>
      <c r="AF86" s="86">
        <f>SUMIFS('январь 2024'!$G$4:$G$1206,'январь 2024'!$D$4:$D$1206,$B86,'январь 2024'!$J$4:$J$1206,AF$1)</f>
        <v>0</v>
      </c>
      <c r="AG86" s="86">
        <f>SUMIFS('январь 2024'!$G$4:$G$1206,'январь 2024'!$D$4:$D$1206,$B86,'январь 2024'!$J$4:$J$1206,AG$1)</f>
        <v>0</v>
      </c>
      <c r="AH86" s="86">
        <f>SUMIFS('январь 2024'!$G$4:$G$1206,'январь 2024'!$D$4:$D$1206,$B86,'январь 2024'!$J$4:$J$1206,AH$1)</f>
        <v>0</v>
      </c>
      <c r="AI86" s="21">
        <f t="shared" si="1"/>
        <v>0</v>
      </c>
    </row>
    <row r="87" spans="2:35" ht="15" customHeight="1" x14ac:dyDescent="0.25">
      <c r="B87" s="93" t="s">
        <v>203</v>
      </c>
      <c r="C87" s="91">
        <v>180</v>
      </c>
      <c r="D87" s="86">
        <f>SUMIFS('январь 2024'!$G$4:$G$1206,'январь 2024'!$D$4:$D$1206,$B87,'январь 2024'!$J$4:$J$1206,D$1)</f>
        <v>0</v>
      </c>
      <c r="E87" s="86">
        <f>SUMIFS('январь 2024'!$G$4:$G$1206,'январь 2024'!$D$4:$D$1206,$B87,'январь 2024'!$J$4:$J$1206,E$1)</f>
        <v>0</v>
      </c>
      <c r="F87" s="86">
        <f>SUMIFS('январь 2024'!$G$4:$G$1206,'январь 2024'!$D$4:$D$1206,$B87,'январь 2024'!$J$4:$J$1206,F$1)</f>
        <v>0</v>
      </c>
      <c r="G87" s="86">
        <f>SUMIFS('январь 2024'!$G$4:$G$1206,'январь 2024'!$D$4:$D$1206,$B87,'январь 2024'!$J$4:$J$1206,G$1)</f>
        <v>0</v>
      </c>
      <c r="H87" s="86">
        <f>SUMIFS('январь 2024'!$G$4:$G$1206,'январь 2024'!$D$4:$D$1206,$B87,'январь 2024'!$J$4:$J$1206,H$1)</f>
        <v>0</v>
      </c>
      <c r="I87" s="86">
        <f>SUMIFS('январь 2024'!$G$4:$G$1206,'январь 2024'!$D$4:$D$1206,$B87,'январь 2024'!$J$4:$J$1206,I$1)</f>
        <v>0</v>
      </c>
      <c r="J87" s="86">
        <f>SUMIFS('январь 2024'!$G$4:$G$1206,'январь 2024'!$D$4:$D$1206,$B87,'январь 2024'!$J$4:$J$1206,J$1)</f>
        <v>0</v>
      </c>
      <c r="K87" s="86">
        <f>SUMIFS('январь 2024'!$G$4:$G$1206,'январь 2024'!$D$4:$D$1206,$B87,'январь 2024'!$J$4:$J$1206,K$1)</f>
        <v>0</v>
      </c>
      <c r="L87" s="86">
        <f>SUMIFS('январь 2024'!$G$4:$G$1206,'январь 2024'!$D$4:$D$1206,$B87,'январь 2024'!$J$4:$J$1206,L$1)</f>
        <v>0</v>
      </c>
      <c r="M87" s="86">
        <f>SUMIFS('январь 2024'!$G$4:$G$1206,'январь 2024'!$D$4:$D$1206,$B87,'январь 2024'!$J$4:$J$1206,M$1)</f>
        <v>0</v>
      </c>
      <c r="N87" s="86">
        <f>SUMIFS('январь 2024'!$G$4:$G$1206,'январь 2024'!$D$4:$D$1206,$B87,'январь 2024'!$J$4:$J$1206,N$1)</f>
        <v>0</v>
      </c>
      <c r="O87" s="86">
        <f>SUMIFS('январь 2024'!$G$4:$G$1206,'январь 2024'!$D$4:$D$1206,$B87,'январь 2024'!$J$4:$J$1206,O$1)</f>
        <v>0</v>
      </c>
      <c r="P87" s="86">
        <f>SUMIFS('январь 2024'!$G$4:$G$1206,'январь 2024'!$D$4:$D$1206,$B87,'январь 2024'!$J$4:$J$1206,P$1)</f>
        <v>0</v>
      </c>
      <c r="Q87" s="86">
        <f>SUMIFS('январь 2024'!$G$4:$G$1206,'январь 2024'!$D$4:$D$1206,$B87,'январь 2024'!$J$4:$J$1206,Q$1)</f>
        <v>0</v>
      </c>
      <c r="R87" s="86">
        <f>SUMIFS('январь 2024'!$G$4:$G$1206,'январь 2024'!$D$4:$D$1206,$B87,'январь 2024'!$J$4:$J$1206,R$1)</f>
        <v>0</v>
      </c>
      <c r="S87" s="86">
        <f>SUMIFS('январь 2024'!$G$4:$G$1206,'январь 2024'!$D$4:$D$1206,$B87,'январь 2024'!$J$4:$J$1206,S$1)</f>
        <v>0</v>
      </c>
      <c r="T87" s="86">
        <f>SUMIFS('январь 2024'!$G$4:$G$1206,'январь 2024'!$D$4:$D$1206,$B87,'январь 2024'!$J$4:$J$1206,T$1)</f>
        <v>0</v>
      </c>
      <c r="U87" s="86">
        <f>SUMIFS('январь 2024'!$G$4:$G$1206,'январь 2024'!$D$4:$D$1206,$B87,'январь 2024'!$J$4:$J$1206,U$1)</f>
        <v>0</v>
      </c>
      <c r="V87" s="86">
        <f>SUMIFS('январь 2024'!$G$4:$G$1206,'январь 2024'!$D$4:$D$1206,$B87,'январь 2024'!$J$4:$J$1206,V$1)</f>
        <v>0</v>
      </c>
      <c r="W87" s="86">
        <f>SUMIFS('январь 2024'!$G$4:$G$1206,'январь 2024'!$D$4:$D$1206,$B87,'январь 2024'!$J$4:$J$1206,W$1)</f>
        <v>0</v>
      </c>
      <c r="X87" s="86">
        <f>SUMIFS('январь 2024'!$G$4:$G$1206,'январь 2024'!$D$4:$D$1206,$B87,'январь 2024'!$J$4:$J$1206,X$1)</f>
        <v>0</v>
      </c>
      <c r="Y87" s="86">
        <f>SUMIFS('январь 2024'!$G$4:$G$1206,'январь 2024'!$D$4:$D$1206,$B87,'январь 2024'!$J$4:$J$1206,Y$1)</f>
        <v>0</v>
      </c>
      <c r="Z87" s="86">
        <f>SUMIFS('январь 2024'!$G$4:$G$1206,'январь 2024'!$D$4:$D$1206,$B87,'январь 2024'!$J$4:$J$1206,Z$1)</f>
        <v>0</v>
      </c>
      <c r="AA87" s="86">
        <f>SUMIFS('январь 2024'!$G$4:$G$1206,'январь 2024'!$D$4:$D$1206,$B87,'январь 2024'!$J$4:$J$1206,AA$1)</f>
        <v>0</v>
      </c>
      <c r="AB87" s="86">
        <f>SUMIFS('январь 2024'!$G$4:$G$1206,'январь 2024'!$D$4:$D$1206,$B87,'январь 2024'!$J$4:$J$1206,AB$1)</f>
        <v>0</v>
      </c>
      <c r="AC87" s="86">
        <f>SUMIFS('январь 2024'!$G$4:$G$1206,'январь 2024'!$D$4:$D$1206,$B87,'январь 2024'!$J$4:$J$1206,AC$1)</f>
        <v>0</v>
      </c>
      <c r="AD87" s="86">
        <f>SUMIFS('январь 2024'!$G$4:$G$1206,'январь 2024'!$D$4:$D$1206,$B87,'январь 2024'!$J$4:$J$1206,AD$1)</f>
        <v>0</v>
      </c>
      <c r="AE87" s="86">
        <f>SUMIFS('январь 2024'!$G$4:$G$1206,'январь 2024'!$D$4:$D$1206,$B87,'январь 2024'!$J$4:$J$1206,AE$1)</f>
        <v>0</v>
      </c>
      <c r="AF87" s="86">
        <f>SUMIFS('январь 2024'!$G$4:$G$1206,'январь 2024'!$D$4:$D$1206,$B87,'январь 2024'!$J$4:$J$1206,AF$1)</f>
        <v>0</v>
      </c>
      <c r="AG87" s="86">
        <f>SUMIFS('январь 2024'!$G$4:$G$1206,'январь 2024'!$D$4:$D$1206,$B87,'январь 2024'!$J$4:$J$1206,AG$1)</f>
        <v>0</v>
      </c>
      <c r="AH87" s="86">
        <f>SUMIFS('январь 2024'!$G$4:$G$1206,'январь 2024'!$D$4:$D$1206,$B87,'январь 2024'!$J$4:$J$1206,AH$1)</f>
        <v>0</v>
      </c>
      <c r="AI87" s="21">
        <f t="shared" si="1"/>
        <v>0</v>
      </c>
    </row>
    <row r="88" spans="2:35" ht="15" customHeight="1" x14ac:dyDescent="0.25">
      <c r="B88" s="89" t="s">
        <v>204</v>
      </c>
      <c r="C88" s="88">
        <v>200</v>
      </c>
      <c r="D88" s="86">
        <f>SUMIFS('январь 2024'!$G$4:$G$1206,'январь 2024'!$D$4:$D$1206,$B88,'январь 2024'!$J$4:$J$1206,D$1)</f>
        <v>0</v>
      </c>
      <c r="E88" s="86">
        <f>SUMIFS('январь 2024'!$G$4:$G$1206,'январь 2024'!$D$4:$D$1206,$B88,'январь 2024'!$J$4:$J$1206,E$1)</f>
        <v>0</v>
      </c>
      <c r="F88" s="86">
        <f>SUMIFS('январь 2024'!$G$4:$G$1206,'январь 2024'!$D$4:$D$1206,$B88,'январь 2024'!$J$4:$J$1206,F$1)</f>
        <v>0</v>
      </c>
      <c r="G88" s="86">
        <f>SUMIFS('январь 2024'!$G$4:$G$1206,'январь 2024'!$D$4:$D$1206,$B88,'январь 2024'!$J$4:$J$1206,G$1)</f>
        <v>0</v>
      </c>
      <c r="H88" s="86">
        <f>SUMIFS('январь 2024'!$G$4:$G$1206,'январь 2024'!$D$4:$D$1206,$B88,'январь 2024'!$J$4:$J$1206,H$1)</f>
        <v>0</v>
      </c>
      <c r="I88" s="86">
        <f>SUMIFS('январь 2024'!$G$4:$G$1206,'январь 2024'!$D$4:$D$1206,$B88,'январь 2024'!$J$4:$J$1206,I$1)</f>
        <v>0</v>
      </c>
      <c r="J88" s="86">
        <f>SUMIFS('январь 2024'!$G$4:$G$1206,'январь 2024'!$D$4:$D$1206,$B88,'январь 2024'!$J$4:$J$1206,J$1)</f>
        <v>0</v>
      </c>
      <c r="K88" s="86">
        <f>SUMIFS('январь 2024'!$G$4:$G$1206,'январь 2024'!$D$4:$D$1206,$B88,'январь 2024'!$J$4:$J$1206,K$1)</f>
        <v>0</v>
      </c>
      <c r="L88" s="86">
        <f>SUMIFS('январь 2024'!$G$4:$G$1206,'январь 2024'!$D$4:$D$1206,$B88,'январь 2024'!$J$4:$J$1206,L$1)</f>
        <v>0</v>
      </c>
      <c r="M88" s="86">
        <f>SUMIFS('январь 2024'!$G$4:$G$1206,'январь 2024'!$D$4:$D$1206,$B88,'январь 2024'!$J$4:$J$1206,M$1)</f>
        <v>0</v>
      </c>
      <c r="N88" s="86">
        <f>SUMIFS('январь 2024'!$G$4:$G$1206,'январь 2024'!$D$4:$D$1206,$B88,'январь 2024'!$J$4:$J$1206,N$1)</f>
        <v>0</v>
      </c>
      <c r="O88" s="86">
        <f>SUMIFS('январь 2024'!$G$4:$G$1206,'январь 2024'!$D$4:$D$1206,$B88,'январь 2024'!$J$4:$J$1206,O$1)</f>
        <v>0</v>
      </c>
      <c r="P88" s="86">
        <f>SUMIFS('январь 2024'!$G$4:$G$1206,'январь 2024'!$D$4:$D$1206,$B88,'январь 2024'!$J$4:$J$1206,P$1)</f>
        <v>0</v>
      </c>
      <c r="Q88" s="86">
        <f>SUMIFS('январь 2024'!$G$4:$G$1206,'январь 2024'!$D$4:$D$1206,$B88,'январь 2024'!$J$4:$J$1206,Q$1)</f>
        <v>0</v>
      </c>
      <c r="R88" s="86">
        <f>SUMIFS('январь 2024'!$G$4:$G$1206,'январь 2024'!$D$4:$D$1206,$B88,'январь 2024'!$J$4:$J$1206,R$1)</f>
        <v>0</v>
      </c>
      <c r="S88" s="86">
        <f>SUMIFS('январь 2024'!$G$4:$G$1206,'январь 2024'!$D$4:$D$1206,$B88,'январь 2024'!$J$4:$J$1206,S$1)</f>
        <v>0</v>
      </c>
      <c r="T88" s="86">
        <f>SUMIFS('январь 2024'!$G$4:$G$1206,'январь 2024'!$D$4:$D$1206,$B88,'январь 2024'!$J$4:$J$1206,T$1)</f>
        <v>0</v>
      </c>
      <c r="U88" s="86">
        <f>SUMIFS('январь 2024'!$G$4:$G$1206,'январь 2024'!$D$4:$D$1206,$B88,'январь 2024'!$J$4:$J$1206,U$1)</f>
        <v>0</v>
      </c>
      <c r="V88" s="86">
        <f>SUMIFS('январь 2024'!$G$4:$G$1206,'январь 2024'!$D$4:$D$1206,$B88,'январь 2024'!$J$4:$J$1206,V$1)</f>
        <v>0</v>
      </c>
      <c r="W88" s="86">
        <f>SUMIFS('январь 2024'!$G$4:$G$1206,'январь 2024'!$D$4:$D$1206,$B88,'январь 2024'!$J$4:$J$1206,W$1)</f>
        <v>0</v>
      </c>
      <c r="X88" s="86">
        <f>SUMIFS('январь 2024'!$G$4:$G$1206,'январь 2024'!$D$4:$D$1206,$B88,'январь 2024'!$J$4:$J$1206,X$1)</f>
        <v>0</v>
      </c>
      <c r="Y88" s="86">
        <f>SUMIFS('январь 2024'!$G$4:$G$1206,'январь 2024'!$D$4:$D$1206,$B88,'январь 2024'!$J$4:$J$1206,Y$1)</f>
        <v>0</v>
      </c>
      <c r="Z88" s="86">
        <f>SUMIFS('январь 2024'!$G$4:$G$1206,'январь 2024'!$D$4:$D$1206,$B88,'январь 2024'!$J$4:$J$1206,Z$1)</f>
        <v>0</v>
      </c>
      <c r="AA88" s="86">
        <f>SUMIFS('январь 2024'!$G$4:$G$1206,'январь 2024'!$D$4:$D$1206,$B88,'январь 2024'!$J$4:$J$1206,AA$1)</f>
        <v>0</v>
      </c>
      <c r="AB88" s="86">
        <f>SUMIFS('январь 2024'!$G$4:$G$1206,'январь 2024'!$D$4:$D$1206,$B88,'январь 2024'!$J$4:$J$1206,AB$1)</f>
        <v>0</v>
      </c>
      <c r="AC88" s="86">
        <f>SUMIFS('январь 2024'!$G$4:$G$1206,'январь 2024'!$D$4:$D$1206,$B88,'январь 2024'!$J$4:$J$1206,AC$1)</f>
        <v>0</v>
      </c>
      <c r="AD88" s="86">
        <f>SUMIFS('январь 2024'!$G$4:$G$1206,'январь 2024'!$D$4:$D$1206,$B88,'январь 2024'!$J$4:$J$1206,AD$1)</f>
        <v>0</v>
      </c>
      <c r="AE88" s="86">
        <f>SUMIFS('январь 2024'!$G$4:$G$1206,'январь 2024'!$D$4:$D$1206,$B88,'январь 2024'!$J$4:$J$1206,AE$1)</f>
        <v>0</v>
      </c>
      <c r="AF88" s="86">
        <f>SUMIFS('январь 2024'!$G$4:$G$1206,'январь 2024'!$D$4:$D$1206,$B88,'январь 2024'!$J$4:$J$1206,AF$1)</f>
        <v>0</v>
      </c>
      <c r="AG88" s="86">
        <f>SUMIFS('январь 2024'!$G$4:$G$1206,'январь 2024'!$D$4:$D$1206,$B88,'январь 2024'!$J$4:$J$1206,AG$1)</f>
        <v>0</v>
      </c>
      <c r="AH88" s="86">
        <f>SUMIFS('январь 2024'!$G$4:$G$1206,'январь 2024'!$D$4:$D$1206,$B88,'январь 2024'!$J$4:$J$1206,AH$1)</f>
        <v>0</v>
      </c>
      <c r="AI88" s="21">
        <f t="shared" si="1"/>
        <v>0</v>
      </c>
    </row>
    <row r="89" spans="2:35" ht="15" customHeight="1" x14ac:dyDescent="0.25">
      <c r="B89" s="92" t="s">
        <v>175</v>
      </c>
      <c r="C89" s="91">
        <v>180</v>
      </c>
      <c r="D89" s="86">
        <f>SUMIFS('январь 2024'!$G$4:$G$1206,'январь 2024'!$D$4:$D$1206,$B89,'январь 2024'!$J$4:$J$1206,D$1)</f>
        <v>0</v>
      </c>
      <c r="E89" s="86">
        <f>SUMIFS('январь 2024'!$G$4:$G$1206,'январь 2024'!$D$4:$D$1206,$B89,'январь 2024'!$J$4:$J$1206,E$1)</f>
        <v>0</v>
      </c>
      <c r="F89" s="86">
        <f>SUMIFS('январь 2024'!$G$4:$G$1206,'январь 2024'!$D$4:$D$1206,$B89,'январь 2024'!$J$4:$J$1206,F$1)</f>
        <v>0</v>
      </c>
      <c r="G89" s="86">
        <f>SUMIFS('январь 2024'!$G$4:$G$1206,'январь 2024'!$D$4:$D$1206,$B89,'январь 2024'!$J$4:$J$1206,G$1)</f>
        <v>0</v>
      </c>
      <c r="H89" s="86">
        <f>SUMIFS('январь 2024'!$G$4:$G$1206,'январь 2024'!$D$4:$D$1206,$B89,'январь 2024'!$J$4:$J$1206,H$1)</f>
        <v>0</v>
      </c>
      <c r="I89" s="86">
        <f>SUMIFS('январь 2024'!$G$4:$G$1206,'январь 2024'!$D$4:$D$1206,$B89,'январь 2024'!$J$4:$J$1206,I$1)</f>
        <v>0</v>
      </c>
      <c r="J89" s="86">
        <f>SUMIFS('январь 2024'!$G$4:$G$1206,'январь 2024'!$D$4:$D$1206,$B89,'январь 2024'!$J$4:$J$1206,J$1)</f>
        <v>0</v>
      </c>
      <c r="K89" s="86">
        <f>SUMIFS('январь 2024'!$G$4:$G$1206,'январь 2024'!$D$4:$D$1206,$B89,'январь 2024'!$J$4:$J$1206,K$1)</f>
        <v>0</v>
      </c>
      <c r="L89" s="86">
        <f>SUMIFS('январь 2024'!$G$4:$G$1206,'январь 2024'!$D$4:$D$1206,$B89,'январь 2024'!$J$4:$J$1206,L$1)</f>
        <v>0</v>
      </c>
      <c r="M89" s="86">
        <f>SUMIFS('январь 2024'!$G$4:$G$1206,'январь 2024'!$D$4:$D$1206,$B89,'январь 2024'!$J$4:$J$1206,M$1)</f>
        <v>0</v>
      </c>
      <c r="N89" s="86">
        <f>SUMIFS('январь 2024'!$G$4:$G$1206,'январь 2024'!$D$4:$D$1206,$B89,'январь 2024'!$J$4:$J$1206,N$1)</f>
        <v>0</v>
      </c>
      <c r="O89" s="86">
        <f>SUMIFS('январь 2024'!$G$4:$G$1206,'январь 2024'!$D$4:$D$1206,$B89,'январь 2024'!$J$4:$J$1206,O$1)</f>
        <v>0</v>
      </c>
      <c r="P89" s="86">
        <f>SUMIFS('январь 2024'!$G$4:$G$1206,'январь 2024'!$D$4:$D$1206,$B89,'январь 2024'!$J$4:$J$1206,P$1)</f>
        <v>0</v>
      </c>
      <c r="Q89" s="86">
        <f>SUMIFS('январь 2024'!$G$4:$G$1206,'январь 2024'!$D$4:$D$1206,$B89,'январь 2024'!$J$4:$J$1206,Q$1)</f>
        <v>0</v>
      </c>
      <c r="R89" s="86">
        <f>SUMIFS('январь 2024'!$G$4:$G$1206,'январь 2024'!$D$4:$D$1206,$B89,'январь 2024'!$J$4:$J$1206,R$1)</f>
        <v>0</v>
      </c>
      <c r="S89" s="86">
        <f>SUMIFS('январь 2024'!$G$4:$G$1206,'январь 2024'!$D$4:$D$1206,$B89,'январь 2024'!$J$4:$J$1206,S$1)</f>
        <v>0</v>
      </c>
      <c r="T89" s="86">
        <f>SUMIFS('январь 2024'!$G$4:$G$1206,'январь 2024'!$D$4:$D$1206,$B89,'январь 2024'!$J$4:$J$1206,T$1)</f>
        <v>0</v>
      </c>
      <c r="U89" s="86">
        <f>SUMIFS('январь 2024'!$G$4:$G$1206,'январь 2024'!$D$4:$D$1206,$B89,'январь 2024'!$J$4:$J$1206,U$1)</f>
        <v>0</v>
      </c>
      <c r="V89" s="86">
        <f>SUMIFS('январь 2024'!$G$4:$G$1206,'январь 2024'!$D$4:$D$1206,$B89,'январь 2024'!$J$4:$J$1206,V$1)</f>
        <v>0</v>
      </c>
      <c r="W89" s="86">
        <f>SUMIFS('январь 2024'!$G$4:$G$1206,'январь 2024'!$D$4:$D$1206,$B89,'январь 2024'!$J$4:$J$1206,W$1)</f>
        <v>0</v>
      </c>
      <c r="X89" s="86">
        <f>SUMIFS('январь 2024'!$G$4:$G$1206,'январь 2024'!$D$4:$D$1206,$B89,'январь 2024'!$J$4:$J$1206,X$1)</f>
        <v>0</v>
      </c>
      <c r="Y89" s="86">
        <f>SUMIFS('январь 2024'!$G$4:$G$1206,'январь 2024'!$D$4:$D$1206,$B89,'январь 2024'!$J$4:$J$1206,Y$1)</f>
        <v>0</v>
      </c>
      <c r="Z89" s="86">
        <f>SUMIFS('январь 2024'!$G$4:$G$1206,'январь 2024'!$D$4:$D$1206,$B89,'январь 2024'!$J$4:$J$1206,Z$1)</f>
        <v>0</v>
      </c>
      <c r="AA89" s="86">
        <f>SUMIFS('январь 2024'!$G$4:$G$1206,'январь 2024'!$D$4:$D$1206,$B89,'январь 2024'!$J$4:$J$1206,AA$1)</f>
        <v>0</v>
      </c>
      <c r="AB89" s="86">
        <f>SUMIFS('январь 2024'!$G$4:$G$1206,'январь 2024'!$D$4:$D$1206,$B89,'январь 2024'!$J$4:$J$1206,AB$1)</f>
        <v>0</v>
      </c>
      <c r="AC89" s="86">
        <f>SUMIFS('январь 2024'!$G$4:$G$1206,'январь 2024'!$D$4:$D$1206,$B89,'январь 2024'!$J$4:$J$1206,AC$1)</f>
        <v>0</v>
      </c>
      <c r="AD89" s="86">
        <f>SUMIFS('январь 2024'!$G$4:$G$1206,'январь 2024'!$D$4:$D$1206,$B89,'январь 2024'!$J$4:$J$1206,AD$1)</f>
        <v>0</v>
      </c>
      <c r="AE89" s="86">
        <f>SUMIFS('январь 2024'!$G$4:$G$1206,'январь 2024'!$D$4:$D$1206,$B89,'январь 2024'!$J$4:$J$1206,AE$1)</f>
        <v>0</v>
      </c>
      <c r="AF89" s="86">
        <f>SUMIFS('январь 2024'!$G$4:$G$1206,'январь 2024'!$D$4:$D$1206,$B89,'январь 2024'!$J$4:$J$1206,AF$1)</f>
        <v>0</v>
      </c>
      <c r="AG89" s="86">
        <f>SUMIFS('январь 2024'!$G$4:$G$1206,'январь 2024'!$D$4:$D$1206,$B89,'январь 2024'!$J$4:$J$1206,AG$1)</f>
        <v>0</v>
      </c>
      <c r="AH89" s="86">
        <f>SUMIFS('январь 2024'!$G$4:$G$1206,'январь 2024'!$D$4:$D$1206,$B89,'январь 2024'!$J$4:$J$1206,AH$1)</f>
        <v>0</v>
      </c>
      <c r="AI89" s="21">
        <f t="shared" si="1"/>
        <v>0</v>
      </c>
    </row>
    <row r="90" spans="2:35" ht="15" customHeight="1" x14ac:dyDescent="0.25">
      <c r="B90" s="89" t="s">
        <v>176</v>
      </c>
      <c r="C90" s="91">
        <v>200</v>
      </c>
      <c r="D90" s="86">
        <f>SUMIFS('январь 2024'!$G$4:$G$1206,'январь 2024'!$D$4:$D$1206,$B90,'январь 2024'!$J$4:$J$1206,D$1)</f>
        <v>0</v>
      </c>
      <c r="E90" s="86">
        <f>SUMIFS('январь 2024'!$G$4:$G$1206,'январь 2024'!$D$4:$D$1206,$B90,'январь 2024'!$J$4:$J$1206,E$1)</f>
        <v>0</v>
      </c>
      <c r="F90" s="86">
        <f>SUMIFS('январь 2024'!$G$4:$G$1206,'январь 2024'!$D$4:$D$1206,$B90,'январь 2024'!$J$4:$J$1206,F$1)</f>
        <v>0</v>
      </c>
      <c r="G90" s="86">
        <f>SUMIFS('январь 2024'!$G$4:$G$1206,'январь 2024'!$D$4:$D$1206,$B90,'январь 2024'!$J$4:$J$1206,G$1)</f>
        <v>0</v>
      </c>
      <c r="H90" s="86">
        <f>SUMIFS('январь 2024'!$G$4:$G$1206,'январь 2024'!$D$4:$D$1206,$B90,'январь 2024'!$J$4:$J$1206,H$1)</f>
        <v>0</v>
      </c>
      <c r="I90" s="86">
        <f>SUMIFS('январь 2024'!$G$4:$G$1206,'январь 2024'!$D$4:$D$1206,$B90,'январь 2024'!$J$4:$J$1206,I$1)</f>
        <v>0</v>
      </c>
      <c r="J90" s="86">
        <f>SUMIFS('январь 2024'!$G$4:$G$1206,'январь 2024'!$D$4:$D$1206,$B90,'январь 2024'!$J$4:$J$1206,J$1)</f>
        <v>0</v>
      </c>
      <c r="K90" s="86">
        <f>SUMIFS('январь 2024'!$G$4:$G$1206,'январь 2024'!$D$4:$D$1206,$B90,'январь 2024'!$J$4:$J$1206,K$1)</f>
        <v>0</v>
      </c>
      <c r="L90" s="86">
        <f>SUMIFS('январь 2024'!$G$4:$G$1206,'январь 2024'!$D$4:$D$1206,$B90,'январь 2024'!$J$4:$J$1206,L$1)</f>
        <v>0</v>
      </c>
      <c r="M90" s="86">
        <f>SUMIFS('январь 2024'!$G$4:$G$1206,'январь 2024'!$D$4:$D$1206,$B90,'январь 2024'!$J$4:$J$1206,M$1)</f>
        <v>0</v>
      </c>
      <c r="N90" s="86">
        <f>SUMIFS('январь 2024'!$G$4:$G$1206,'январь 2024'!$D$4:$D$1206,$B90,'январь 2024'!$J$4:$J$1206,N$1)</f>
        <v>0</v>
      </c>
      <c r="O90" s="86">
        <f>SUMIFS('январь 2024'!$G$4:$G$1206,'январь 2024'!$D$4:$D$1206,$B90,'январь 2024'!$J$4:$J$1206,O$1)</f>
        <v>0</v>
      </c>
      <c r="P90" s="86">
        <f>SUMIFS('январь 2024'!$G$4:$G$1206,'январь 2024'!$D$4:$D$1206,$B90,'январь 2024'!$J$4:$J$1206,P$1)</f>
        <v>0</v>
      </c>
      <c r="Q90" s="86">
        <f>SUMIFS('январь 2024'!$G$4:$G$1206,'январь 2024'!$D$4:$D$1206,$B90,'январь 2024'!$J$4:$J$1206,Q$1)</f>
        <v>0</v>
      </c>
      <c r="R90" s="86">
        <f>SUMIFS('январь 2024'!$G$4:$G$1206,'январь 2024'!$D$4:$D$1206,$B90,'январь 2024'!$J$4:$J$1206,R$1)</f>
        <v>0</v>
      </c>
      <c r="S90" s="86">
        <f>SUMIFS('январь 2024'!$G$4:$G$1206,'январь 2024'!$D$4:$D$1206,$B90,'январь 2024'!$J$4:$J$1206,S$1)</f>
        <v>0</v>
      </c>
      <c r="T90" s="86">
        <f>SUMIFS('январь 2024'!$G$4:$G$1206,'январь 2024'!$D$4:$D$1206,$B90,'январь 2024'!$J$4:$J$1206,T$1)</f>
        <v>0</v>
      </c>
      <c r="U90" s="86">
        <f>SUMIFS('январь 2024'!$G$4:$G$1206,'январь 2024'!$D$4:$D$1206,$B90,'январь 2024'!$J$4:$J$1206,U$1)</f>
        <v>0</v>
      </c>
      <c r="V90" s="86">
        <f>SUMIFS('январь 2024'!$G$4:$G$1206,'январь 2024'!$D$4:$D$1206,$B90,'январь 2024'!$J$4:$J$1206,V$1)</f>
        <v>0</v>
      </c>
      <c r="W90" s="86">
        <f>SUMIFS('январь 2024'!$G$4:$G$1206,'январь 2024'!$D$4:$D$1206,$B90,'январь 2024'!$J$4:$J$1206,W$1)</f>
        <v>0</v>
      </c>
      <c r="X90" s="86">
        <f>SUMIFS('январь 2024'!$G$4:$G$1206,'январь 2024'!$D$4:$D$1206,$B90,'январь 2024'!$J$4:$J$1206,X$1)</f>
        <v>0</v>
      </c>
      <c r="Y90" s="86">
        <f>SUMIFS('январь 2024'!$G$4:$G$1206,'январь 2024'!$D$4:$D$1206,$B90,'январь 2024'!$J$4:$J$1206,Y$1)</f>
        <v>0</v>
      </c>
      <c r="Z90" s="86">
        <f>SUMIFS('январь 2024'!$G$4:$G$1206,'январь 2024'!$D$4:$D$1206,$B90,'январь 2024'!$J$4:$J$1206,Z$1)</f>
        <v>0</v>
      </c>
      <c r="AA90" s="86">
        <f>SUMIFS('январь 2024'!$G$4:$G$1206,'январь 2024'!$D$4:$D$1206,$B90,'январь 2024'!$J$4:$J$1206,AA$1)</f>
        <v>0</v>
      </c>
      <c r="AB90" s="86">
        <f>SUMIFS('январь 2024'!$G$4:$G$1206,'январь 2024'!$D$4:$D$1206,$B90,'январь 2024'!$J$4:$J$1206,AB$1)</f>
        <v>0</v>
      </c>
      <c r="AC90" s="86">
        <f>SUMIFS('январь 2024'!$G$4:$G$1206,'январь 2024'!$D$4:$D$1206,$B90,'январь 2024'!$J$4:$J$1206,AC$1)</f>
        <v>0</v>
      </c>
      <c r="AD90" s="86">
        <f>SUMIFS('январь 2024'!$G$4:$G$1206,'январь 2024'!$D$4:$D$1206,$B90,'январь 2024'!$J$4:$J$1206,AD$1)</f>
        <v>0</v>
      </c>
      <c r="AE90" s="86">
        <f>SUMIFS('январь 2024'!$G$4:$G$1206,'январь 2024'!$D$4:$D$1206,$B90,'январь 2024'!$J$4:$J$1206,AE$1)</f>
        <v>0</v>
      </c>
      <c r="AF90" s="86">
        <f>SUMIFS('январь 2024'!$G$4:$G$1206,'январь 2024'!$D$4:$D$1206,$B90,'январь 2024'!$J$4:$J$1206,AF$1)</f>
        <v>0</v>
      </c>
      <c r="AG90" s="86">
        <f>SUMIFS('январь 2024'!$G$4:$G$1206,'январь 2024'!$D$4:$D$1206,$B90,'январь 2024'!$J$4:$J$1206,AG$1)</f>
        <v>0</v>
      </c>
      <c r="AH90" s="86">
        <f>SUMIFS('январь 2024'!$G$4:$G$1206,'январь 2024'!$D$4:$D$1206,$B90,'январь 2024'!$J$4:$J$1206,AH$1)</f>
        <v>0</v>
      </c>
      <c r="AI90" s="21">
        <f t="shared" si="1"/>
        <v>0</v>
      </c>
    </row>
    <row r="91" spans="2:35" ht="15" customHeight="1" x14ac:dyDescent="0.25">
      <c r="B91" s="89" t="s">
        <v>205</v>
      </c>
      <c r="C91" s="88">
        <v>185</v>
      </c>
      <c r="D91" s="86">
        <f>SUMIFS('январь 2024'!$G$4:$G$1206,'январь 2024'!$D$4:$D$1206,$B91,'январь 2024'!$J$4:$J$1206,D$1)</f>
        <v>0</v>
      </c>
      <c r="E91" s="86">
        <f>SUMIFS('январь 2024'!$G$4:$G$1206,'январь 2024'!$D$4:$D$1206,$B91,'январь 2024'!$J$4:$J$1206,E$1)</f>
        <v>0</v>
      </c>
      <c r="F91" s="86">
        <f>SUMIFS('январь 2024'!$G$4:$G$1206,'январь 2024'!$D$4:$D$1206,$B91,'январь 2024'!$J$4:$J$1206,F$1)</f>
        <v>0</v>
      </c>
      <c r="G91" s="86">
        <f>SUMIFS('январь 2024'!$G$4:$G$1206,'январь 2024'!$D$4:$D$1206,$B91,'январь 2024'!$J$4:$J$1206,G$1)</f>
        <v>0</v>
      </c>
      <c r="H91" s="86">
        <f>SUMIFS('январь 2024'!$G$4:$G$1206,'январь 2024'!$D$4:$D$1206,$B91,'январь 2024'!$J$4:$J$1206,H$1)</f>
        <v>0</v>
      </c>
      <c r="I91" s="86">
        <f>SUMIFS('январь 2024'!$G$4:$G$1206,'январь 2024'!$D$4:$D$1206,$B91,'январь 2024'!$J$4:$J$1206,I$1)</f>
        <v>0</v>
      </c>
      <c r="J91" s="86">
        <f>SUMIFS('январь 2024'!$G$4:$G$1206,'январь 2024'!$D$4:$D$1206,$B91,'январь 2024'!$J$4:$J$1206,J$1)</f>
        <v>0</v>
      </c>
      <c r="K91" s="86">
        <f>SUMIFS('январь 2024'!$G$4:$G$1206,'январь 2024'!$D$4:$D$1206,$B91,'январь 2024'!$J$4:$J$1206,K$1)</f>
        <v>0</v>
      </c>
      <c r="L91" s="86">
        <f>SUMIFS('январь 2024'!$G$4:$G$1206,'январь 2024'!$D$4:$D$1206,$B91,'январь 2024'!$J$4:$J$1206,L$1)</f>
        <v>0</v>
      </c>
      <c r="M91" s="86">
        <f>SUMIFS('январь 2024'!$G$4:$G$1206,'январь 2024'!$D$4:$D$1206,$B91,'январь 2024'!$J$4:$J$1206,M$1)</f>
        <v>0</v>
      </c>
      <c r="N91" s="86">
        <f>SUMIFS('январь 2024'!$G$4:$G$1206,'январь 2024'!$D$4:$D$1206,$B91,'январь 2024'!$J$4:$J$1206,N$1)</f>
        <v>0</v>
      </c>
      <c r="O91" s="86">
        <f>SUMIFS('январь 2024'!$G$4:$G$1206,'январь 2024'!$D$4:$D$1206,$B91,'январь 2024'!$J$4:$J$1206,O$1)</f>
        <v>0</v>
      </c>
      <c r="P91" s="86">
        <f>SUMIFS('январь 2024'!$G$4:$G$1206,'январь 2024'!$D$4:$D$1206,$B91,'январь 2024'!$J$4:$J$1206,P$1)</f>
        <v>0</v>
      </c>
      <c r="Q91" s="86">
        <f>SUMIFS('январь 2024'!$G$4:$G$1206,'январь 2024'!$D$4:$D$1206,$B91,'январь 2024'!$J$4:$J$1206,Q$1)</f>
        <v>0</v>
      </c>
      <c r="R91" s="86">
        <f>SUMIFS('январь 2024'!$G$4:$G$1206,'январь 2024'!$D$4:$D$1206,$B91,'январь 2024'!$J$4:$J$1206,R$1)</f>
        <v>0</v>
      </c>
      <c r="S91" s="86">
        <f>SUMIFS('январь 2024'!$G$4:$G$1206,'январь 2024'!$D$4:$D$1206,$B91,'январь 2024'!$J$4:$J$1206,S$1)</f>
        <v>0</v>
      </c>
      <c r="T91" s="86">
        <f>SUMIFS('январь 2024'!$G$4:$G$1206,'январь 2024'!$D$4:$D$1206,$B91,'январь 2024'!$J$4:$J$1206,T$1)</f>
        <v>0</v>
      </c>
      <c r="U91" s="86">
        <f>SUMIFS('январь 2024'!$G$4:$G$1206,'январь 2024'!$D$4:$D$1206,$B91,'январь 2024'!$J$4:$J$1206,U$1)</f>
        <v>0</v>
      </c>
      <c r="V91" s="86">
        <f>SUMIFS('январь 2024'!$G$4:$G$1206,'январь 2024'!$D$4:$D$1206,$B91,'январь 2024'!$J$4:$J$1206,V$1)</f>
        <v>0</v>
      </c>
      <c r="W91" s="86">
        <f>SUMIFS('январь 2024'!$G$4:$G$1206,'январь 2024'!$D$4:$D$1206,$B91,'январь 2024'!$J$4:$J$1206,W$1)</f>
        <v>0</v>
      </c>
      <c r="X91" s="86">
        <f>SUMIFS('январь 2024'!$G$4:$G$1206,'январь 2024'!$D$4:$D$1206,$B91,'январь 2024'!$J$4:$J$1206,X$1)</f>
        <v>0</v>
      </c>
      <c r="Y91" s="86">
        <f>SUMIFS('январь 2024'!$G$4:$G$1206,'январь 2024'!$D$4:$D$1206,$B91,'январь 2024'!$J$4:$J$1206,Y$1)</f>
        <v>0</v>
      </c>
      <c r="Z91" s="86">
        <f>SUMIFS('январь 2024'!$G$4:$G$1206,'январь 2024'!$D$4:$D$1206,$B91,'январь 2024'!$J$4:$J$1206,Z$1)</f>
        <v>0</v>
      </c>
      <c r="AA91" s="86">
        <f>SUMIFS('январь 2024'!$G$4:$G$1206,'январь 2024'!$D$4:$D$1206,$B91,'январь 2024'!$J$4:$J$1206,AA$1)</f>
        <v>0</v>
      </c>
      <c r="AB91" s="86">
        <f>SUMIFS('январь 2024'!$G$4:$G$1206,'январь 2024'!$D$4:$D$1206,$B91,'январь 2024'!$J$4:$J$1206,AB$1)</f>
        <v>0</v>
      </c>
      <c r="AC91" s="86">
        <f>SUMIFS('январь 2024'!$G$4:$G$1206,'январь 2024'!$D$4:$D$1206,$B91,'январь 2024'!$J$4:$J$1206,AC$1)</f>
        <v>0</v>
      </c>
      <c r="AD91" s="86">
        <f>SUMIFS('январь 2024'!$G$4:$G$1206,'январь 2024'!$D$4:$D$1206,$B91,'январь 2024'!$J$4:$J$1206,AD$1)</f>
        <v>0</v>
      </c>
      <c r="AE91" s="86">
        <f>SUMIFS('январь 2024'!$G$4:$G$1206,'январь 2024'!$D$4:$D$1206,$B91,'январь 2024'!$J$4:$J$1206,AE$1)</f>
        <v>0</v>
      </c>
      <c r="AF91" s="86">
        <f>SUMIFS('январь 2024'!$G$4:$G$1206,'январь 2024'!$D$4:$D$1206,$B91,'январь 2024'!$J$4:$J$1206,AF$1)</f>
        <v>0</v>
      </c>
      <c r="AG91" s="86">
        <f>SUMIFS('январь 2024'!$G$4:$G$1206,'январь 2024'!$D$4:$D$1206,$B91,'январь 2024'!$J$4:$J$1206,AG$1)</f>
        <v>0</v>
      </c>
      <c r="AH91" s="86">
        <f>SUMIFS('январь 2024'!$G$4:$G$1206,'январь 2024'!$D$4:$D$1206,$B91,'январь 2024'!$J$4:$J$1206,AH$1)</f>
        <v>0</v>
      </c>
      <c r="AI91" s="21">
        <f t="shared" si="1"/>
        <v>0</v>
      </c>
    </row>
    <row r="92" spans="2:35" ht="15" customHeight="1" x14ac:dyDescent="0.25">
      <c r="B92" s="89" t="s">
        <v>206</v>
      </c>
      <c r="C92" s="88">
        <v>185</v>
      </c>
      <c r="D92" s="86">
        <f>SUMIFS('январь 2024'!$G$4:$G$1206,'январь 2024'!$D$4:$D$1206,$B92,'январь 2024'!$J$4:$J$1206,D$1)</f>
        <v>0</v>
      </c>
      <c r="E92" s="86">
        <f>SUMIFS('январь 2024'!$G$4:$G$1206,'январь 2024'!$D$4:$D$1206,$B92,'январь 2024'!$J$4:$J$1206,E$1)</f>
        <v>0</v>
      </c>
      <c r="F92" s="86">
        <f>SUMIFS('январь 2024'!$G$4:$G$1206,'январь 2024'!$D$4:$D$1206,$B92,'январь 2024'!$J$4:$J$1206,F$1)</f>
        <v>0</v>
      </c>
      <c r="G92" s="86">
        <f>SUMIFS('январь 2024'!$G$4:$G$1206,'январь 2024'!$D$4:$D$1206,$B92,'январь 2024'!$J$4:$J$1206,G$1)</f>
        <v>0</v>
      </c>
      <c r="H92" s="86">
        <f>SUMIFS('январь 2024'!$G$4:$G$1206,'январь 2024'!$D$4:$D$1206,$B92,'январь 2024'!$J$4:$J$1206,H$1)</f>
        <v>0</v>
      </c>
      <c r="I92" s="86">
        <f>SUMIFS('январь 2024'!$G$4:$G$1206,'январь 2024'!$D$4:$D$1206,$B92,'январь 2024'!$J$4:$J$1206,I$1)</f>
        <v>0</v>
      </c>
      <c r="J92" s="86">
        <f>SUMIFS('январь 2024'!$G$4:$G$1206,'январь 2024'!$D$4:$D$1206,$B92,'январь 2024'!$J$4:$J$1206,J$1)</f>
        <v>0</v>
      </c>
      <c r="K92" s="86">
        <f>SUMIFS('январь 2024'!$G$4:$G$1206,'январь 2024'!$D$4:$D$1206,$B92,'январь 2024'!$J$4:$J$1206,K$1)</f>
        <v>0</v>
      </c>
      <c r="L92" s="86">
        <f>SUMIFS('январь 2024'!$G$4:$G$1206,'январь 2024'!$D$4:$D$1206,$B92,'январь 2024'!$J$4:$J$1206,L$1)</f>
        <v>0</v>
      </c>
      <c r="M92" s="86">
        <f>SUMIFS('январь 2024'!$G$4:$G$1206,'январь 2024'!$D$4:$D$1206,$B92,'январь 2024'!$J$4:$J$1206,M$1)</f>
        <v>0</v>
      </c>
      <c r="N92" s="86">
        <f>SUMIFS('январь 2024'!$G$4:$G$1206,'январь 2024'!$D$4:$D$1206,$B92,'январь 2024'!$J$4:$J$1206,N$1)</f>
        <v>0</v>
      </c>
      <c r="O92" s="86">
        <f>SUMIFS('январь 2024'!$G$4:$G$1206,'январь 2024'!$D$4:$D$1206,$B92,'январь 2024'!$J$4:$J$1206,O$1)</f>
        <v>0</v>
      </c>
      <c r="P92" s="86">
        <f>SUMIFS('январь 2024'!$G$4:$G$1206,'январь 2024'!$D$4:$D$1206,$B92,'январь 2024'!$J$4:$J$1206,P$1)</f>
        <v>0</v>
      </c>
      <c r="Q92" s="86">
        <f>SUMIFS('январь 2024'!$G$4:$G$1206,'январь 2024'!$D$4:$D$1206,$B92,'январь 2024'!$J$4:$J$1206,Q$1)</f>
        <v>0</v>
      </c>
      <c r="R92" s="86">
        <f>SUMIFS('январь 2024'!$G$4:$G$1206,'январь 2024'!$D$4:$D$1206,$B92,'январь 2024'!$J$4:$J$1206,R$1)</f>
        <v>0</v>
      </c>
      <c r="S92" s="86">
        <f>SUMIFS('январь 2024'!$G$4:$G$1206,'январь 2024'!$D$4:$D$1206,$B92,'январь 2024'!$J$4:$J$1206,S$1)</f>
        <v>0</v>
      </c>
      <c r="T92" s="86">
        <f>SUMIFS('январь 2024'!$G$4:$G$1206,'январь 2024'!$D$4:$D$1206,$B92,'январь 2024'!$J$4:$J$1206,T$1)</f>
        <v>0</v>
      </c>
      <c r="U92" s="86">
        <f>SUMIFS('январь 2024'!$G$4:$G$1206,'январь 2024'!$D$4:$D$1206,$B92,'январь 2024'!$J$4:$J$1206,U$1)</f>
        <v>0</v>
      </c>
      <c r="V92" s="86">
        <f>SUMIFS('январь 2024'!$G$4:$G$1206,'январь 2024'!$D$4:$D$1206,$B92,'январь 2024'!$J$4:$J$1206,V$1)</f>
        <v>80</v>
      </c>
      <c r="W92" s="86">
        <f>SUMIFS('январь 2024'!$G$4:$G$1206,'январь 2024'!$D$4:$D$1206,$B92,'январь 2024'!$J$4:$J$1206,W$1)</f>
        <v>0</v>
      </c>
      <c r="X92" s="86">
        <f>SUMIFS('январь 2024'!$G$4:$G$1206,'январь 2024'!$D$4:$D$1206,$B92,'январь 2024'!$J$4:$J$1206,X$1)</f>
        <v>0</v>
      </c>
      <c r="Y92" s="86">
        <f>SUMIFS('январь 2024'!$G$4:$G$1206,'январь 2024'!$D$4:$D$1206,$B92,'январь 2024'!$J$4:$J$1206,Y$1)</f>
        <v>0</v>
      </c>
      <c r="Z92" s="86">
        <f>SUMIFS('январь 2024'!$G$4:$G$1206,'январь 2024'!$D$4:$D$1206,$B92,'январь 2024'!$J$4:$J$1206,Z$1)</f>
        <v>0</v>
      </c>
      <c r="AA92" s="86">
        <f>SUMIFS('январь 2024'!$G$4:$G$1206,'январь 2024'!$D$4:$D$1206,$B92,'январь 2024'!$J$4:$J$1206,AA$1)</f>
        <v>0</v>
      </c>
      <c r="AB92" s="86">
        <f>SUMIFS('январь 2024'!$G$4:$G$1206,'январь 2024'!$D$4:$D$1206,$B92,'январь 2024'!$J$4:$J$1206,AB$1)</f>
        <v>0</v>
      </c>
      <c r="AC92" s="86">
        <f>SUMIFS('январь 2024'!$G$4:$G$1206,'январь 2024'!$D$4:$D$1206,$B92,'январь 2024'!$J$4:$J$1206,AC$1)</f>
        <v>0</v>
      </c>
      <c r="AD92" s="86">
        <f>SUMIFS('январь 2024'!$G$4:$G$1206,'январь 2024'!$D$4:$D$1206,$B92,'январь 2024'!$J$4:$J$1206,AD$1)</f>
        <v>0</v>
      </c>
      <c r="AE92" s="86">
        <f>SUMIFS('январь 2024'!$G$4:$G$1206,'январь 2024'!$D$4:$D$1206,$B92,'январь 2024'!$J$4:$J$1206,AE$1)</f>
        <v>0</v>
      </c>
      <c r="AF92" s="86">
        <f>SUMIFS('январь 2024'!$G$4:$G$1206,'январь 2024'!$D$4:$D$1206,$B92,'январь 2024'!$J$4:$J$1206,AF$1)</f>
        <v>0</v>
      </c>
      <c r="AG92" s="86">
        <f>SUMIFS('январь 2024'!$G$4:$G$1206,'январь 2024'!$D$4:$D$1206,$B92,'январь 2024'!$J$4:$J$1206,AG$1)</f>
        <v>0</v>
      </c>
      <c r="AH92" s="86">
        <f>SUMIFS('январь 2024'!$G$4:$G$1206,'январь 2024'!$D$4:$D$1206,$B92,'январь 2024'!$J$4:$J$1206,AH$1)</f>
        <v>0</v>
      </c>
      <c r="AI92" s="21">
        <f t="shared" si="1"/>
        <v>80</v>
      </c>
    </row>
    <row r="93" spans="2:35" ht="15" customHeight="1" x14ac:dyDescent="0.25">
      <c r="B93" s="89" t="s">
        <v>324</v>
      </c>
      <c r="C93" s="88">
        <v>180</v>
      </c>
      <c r="D93" s="86">
        <f>SUMIFS('январь 2024'!$G$4:$G$1206,'январь 2024'!$D$4:$D$1206,$B93,'январь 2024'!$J$4:$J$1206,D$1)</f>
        <v>0</v>
      </c>
      <c r="E93" s="86">
        <f>SUMIFS('январь 2024'!$G$4:$G$1206,'январь 2024'!$D$4:$D$1206,$B93,'январь 2024'!$J$4:$J$1206,E$1)</f>
        <v>0</v>
      </c>
      <c r="F93" s="86">
        <f>SUMIFS('январь 2024'!$G$4:$G$1206,'январь 2024'!$D$4:$D$1206,$B93,'январь 2024'!$J$4:$J$1206,F$1)</f>
        <v>0</v>
      </c>
      <c r="G93" s="86">
        <f>SUMIFS('январь 2024'!$G$4:$G$1206,'январь 2024'!$D$4:$D$1206,$B93,'январь 2024'!$J$4:$J$1206,G$1)</f>
        <v>0</v>
      </c>
      <c r="H93" s="86">
        <f>SUMIFS('январь 2024'!$G$4:$G$1206,'январь 2024'!$D$4:$D$1206,$B93,'январь 2024'!$J$4:$J$1206,H$1)</f>
        <v>0</v>
      </c>
      <c r="I93" s="86">
        <f>SUMIFS('январь 2024'!$G$4:$G$1206,'январь 2024'!$D$4:$D$1206,$B93,'январь 2024'!$J$4:$J$1206,I$1)</f>
        <v>0</v>
      </c>
      <c r="J93" s="86">
        <f>SUMIFS('январь 2024'!$G$4:$G$1206,'январь 2024'!$D$4:$D$1206,$B93,'январь 2024'!$J$4:$J$1206,J$1)</f>
        <v>0</v>
      </c>
      <c r="K93" s="86">
        <f>SUMIFS('январь 2024'!$G$4:$G$1206,'январь 2024'!$D$4:$D$1206,$B93,'январь 2024'!$J$4:$J$1206,K$1)</f>
        <v>0</v>
      </c>
      <c r="L93" s="86">
        <f>SUMIFS('январь 2024'!$G$4:$G$1206,'январь 2024'!$D$4:$D$1206,$B93,'январь 2024'!$J$4:$J$1206,L$1)</f>
        <v>0</v>
      </c>
      <c r="M93" s="86">
        <f>SUMIFS('январь 2024'!$G$4:$G$1206,'январь 2024'!$D$4:$D$1206,$B93,'январь 2024'!$J$4:$J$1206,M$1)</f>
        <v>0</v>
      </c>
      <c r="N93" s="86">
        <f>SUMIFS('январь 2024'!$G$4:$G$1206,'январь 2024'!$D$4:$D$1206,$B93,'январь 2024'!$J$4:$J$1206,N$1)</f>
        <v>0</v>
      </c>
      <c r="O93" s="86">
        <f>SUMIFS('январь 2024'!$G$4:$G$1206,'январь 2024'!$D$4:$D$1206,$B93,'январь 2024'!$J$4:$J$1206,O$1)</f>
        <v>0</v>
      </c>
      <c r="P93" s="86">
        <f>SUMIFS('январь 2024'!$G$4:$G$1206,'январь 2024'!$D$4:$D$1206,$B93,'январь 2024'!$J$4:$J$1206,P$1)</f>
        <v>0</v>
      </c>
      <c r="Q93" s="86">
        <f>SUMIFS('январь 2024'!$G$4:$G$1206,'январь 2024'!$D$4:$D$1206,$B93,'январь 2024'!$J$4:$J$1206,Q$1)</f>
        <v>0</v>
      </c>
      <c r="R93" s="86">
        <f>SUMIFS('январь 2024'!$G$4:$G$1206,'январь 2024'!$D$4:$D$1206,$B93,'январь 2024'!$J$4:$J$1206,R$1)</f>
        <v>0</v>
      </c>
      <c r="S93" s="86">
        <f>SUMIFS('январь 2024'!$G$4:$G$1206,'январь 2024'!$D$4:$D$1206,$B93,'январь 2024'!$J$4:$J$1206,S$1)</f>
        <v>0</v>
      </c>
      <c r="T93" s="86">
        <f>SUMIFS('январь 2024'!$G$4:$G$1206,'январь 2024'!$D$4:$D$1206,$B93,'январь 2024'!$J$4:$J$1206,T$1)</f>
        <v>0</v>
      </c>
      <c r="U93" s="86">
        <f>SUMIFS('январь 2024'!$G$4:$G$1206,'январь 2024'!$D$4:$D$1206,$B93,'январь 2024'!$J$4:$J$1206,U$1)</f>
        <v>0</v>
      </c>
      <c r="V93" s="86">
        <f>SUMIFS('январь 2024'!$G$4:$G$1206,'январь 2024'!$D$4:$D$1206,$B93,'январь 2024'!$J$4:$J$1206,V$1)</f>
        <v>0</v>
      </c>
      <c r="W93" s="86">
        <f>SUMIFS('январь 2024'!$G$4:$G$1206,'январь 2024'!$D$4:$D$1206,$B93,'январь 2024'!$J$4:$J$1206,W$1)</f>
        <v>0</v>
      </c>
      <c r="X93" s="86">
        <f>SUMIFS('январь 2024'!$G$4:$G$1206,'январь 2024'!$D$4:$D$1206,$B93,'январь 2024'!$J$4:$J$1206,X$1)</f>
        <v>0</v>
      </c>
      <c r="Y93" s="86">
        <f>SUMIFS('январь 2024'!$G$4:$G$1206,'январь 2024'!$D$4:$D$1206,$B93,'январь 2024'!$J$4:$J$1206,Y$1)</f>
        <v>0</v>
      </c>
      <c r="Z93" s="86">
        <f>SUMIFS('январь 2024'!$G$4:$G$1206,'январь 2024'!$D$4:$D$1206,$B93,'январь 2024'!$J$4:$J$1206,Z$1)</f>
        <v>0</v>
      </c>
      <c r="AA93" s="86">
        <f>SUMIFS('январь 2024'!$G$4:$G$1206,'январь 2024'!$D$4:$D$1206,$B93,'январь 2024'!$J$4:$J$1206,AA$1)</f>
        <v>0</v>
      </c>
      <c r="AB93" s="86">
        <f>SUMIFS('январь 2024'!$G$4:$G$1206,'январь 2024'!$D$4:$D$1206,$B93,'январь 2024'!$J$4:$J$1206,AB$1)</f>
        <v>0</v>
      </c>
      <c r="AC93" s="86">
        <f>SUMIFS('январь 2024'!$G$4:$G$1206,'январь 2024'!$D$4:$D$1206,$B93,'январь 2024'!$J$4:$J$1206,AC$1)</f>
        <v>0</v>
      </c>
      <c r="AD93" s="86">
        <f>SUMIFS('январь 2024'!$G$4:$G$1206,'январь 2024'!$D$4:$D$1206,$B93,'январь 2024'!$J$4:$J$1206,AD$1)</f>
        <v>0</v>
      </c>
      <c r="AE93" s="86">
        <f>SUMIFS('январь 2024'!$G$4:$G$1206,'январь 2024'!$D$4:$D$1206,$B93,'январь 2024'!$J$4:$J$1206,AE$1)</f>
        <v>0</v>
      </c>
      <c r="AF93" s="86">
        <f>SUMIFS('январь 2024'!$G$4:$G$1206,'январь 2024'!$D$4:$D$1206,$B93,'январь 2024'!$J$4:$J$1206,AF$1)</f>
        <v>0</v>
      </c>
      <c r="AG93" s="86">
        <f>SUMIFS('январь 2024'!$G$4:$G$1206,'январь 2024'!$D$4:$D$1206,$B93,'январь 2024'!$J$4:$J$1206,AG$1)</f>
        <v>0</v>
      </c>
      <c r="AH93" s="86">
        <f>SUMIFS('январь 2024'!$G$4:$G$1206,'январь 2024'!$D$4:$D$1206,$B93,'январь 2024'!$J$4:$J$1206,AH$1)</f>
        <v>0</v>
      </c>
      <c r="AI93" s="21">
        <f t="shared" si="1"/>
        <v>0</v>
      </c>
    </row>
    <row r="94" spans="2:35" ht="15" customHeight="1" x14ac:dyDescent="0.25">
      <c r="B94" s="93" t="s">
        <v>325</v>
      </c>
      <c r="C94" s="91">
        <v>200</v>
      </c>
      <c r="D94" s="86">
        <f>SUMIFS('январь 2024'!$G$4:$G$1206,'январь 2024'!$D$4:$D$1206,$B94,'январь 2024'!$J$4:$J$1206,D$1)</f>
        <v>0</v>
      </c>
      <c r="E94" s="86">
        <f>SUMIFS('январь 2024'!$G$4:$G$1206,'январь 2024'!$D$4:$D$1206,$B94,'январь 2024'!$J$4:$J$1206,E$1)</f>
        <v>0</v>
      </c>
      <c r="F94" s="86">
        <f>SUMIFS('январь 2024'!$G$4:$G$1206,'январь 2024'!$D$4:$D$1206,$B94,'январь 2024'!$J$4:$J$1206,F$1)</f>
        <v>0</v>
      </c>
      <c r="G94" s="86">
        <f>SUMIFS('январь 2024'!$G$4:$G$1206,'январь 2024'!$D$4:$D$1206,$B94,'январь 2024'!$J$4:$J$1206,G$1)</f>
        <v>0</v>
      </c>
      <c r="H94" s="86">
        <f>SUMIFS('январь 2024'!$G$4:$G$1206,'январь 2024'!$D$4:$D$1206,$B94,'январь 2024'!$J$4:$J$1206,H$1)</f>
        <v>0</v>
      </c>
      <c r="I94" s="86">
        <f>SUMIFS('январь 2024'!$G$4:$G$1206,'январь 2024'!$D$4:$D$1206,$B94,'январь 2024'!$J$4:$J$1206,I$1)</f>
        <v>0</v>
      </c>
      <c r="J94" s="86">
        <f>SUMIFS('январь 2024'!$G$4:$G$1206,'январь 2024'!$D$4:$D$1206,$B94,'январь 2024'!$J$4:$J$1206,J$1)</f>
        <v>0</v>
      </c>
      <c r="K94" s="86">
        <f>SUMIFS('январь 2024'!$G$4:$G$1206,'январь 2024'!$D$4:$D$1206,$B94,'январь 2024'!$J$4:$J$1206,K$1)</f>
        <v>0</v>
      </c>
      <c r="L94" s="86">
        <f>SUMIFS('январь 2024'!$G$4:$G$1206,'январь 2024'!$D$4:$D$1206,$B94,'январь 2024'!$J$4:$J$1206,L$1)</f>
        <v>0</v>
      </c>
      <c r="M94" s="86">
        <f>SUMIFS('январь 2024'!$G$4:$G$1206,'январь 2024'!$D$4:$D$1206,$B94,'январь 2024'!$J$4:$J$1206,M$1)</f>
        <v>0</v>
      </c>
      <c r="N94" s="86">
        <f>SUMIFS('январь 2024'!$G$4:$G$1206,'январь 2024'!$D$4:$D$1206,$B94,'январь 2024'!$J$4:$J$1206,N$1)</f>
        <v>0</v>
      </c>
      <c r="O94" s="86">
        <f>SUMIFS('январь 2024'!$G$4:$G$1206,'январь 2024'!$D$4:$D$1206,$B94,'январь 2024'!$J$4:$J$1206,O$1)</f>
        <v>0</v>
      </c>
      <c r="P94" s="86">
        <f>SUMIFS('январь 2024'!$G$4:$G$1206,'январь 2024'!$D$4:$D$1206,$B94,'январь 2024'!$J$4:$J$1206,P$1)</f>
        <v>0</v>
      </c>
      <c r="Q94" s="86">
        <f>SUMIFS('январь 2024'!$G$4:$G$1206,'январь 2024'!$D$4:$D$1206,$B94,'январь 2024'!$J$4:$J$1206,Q$1)</f>
        <v>0</v>
      </c>
      <c r="R94" s="86">
        <f>SUMIFS('январь 2024'!$G$4:$G$1206,'январь 2024'!$D$4:$D$1206,$B94,'январь 2024'!$J$4:$J$1206,R$1)</f>
        <v>0</v>
      </c>
      <c r="S94" s="86">
        <f>SUMIFS('январь 2024'!$G$4:$G$1206,'январь 2024'!$D$4:$D$1206,$B94,'январь 2024'!$J$4:$J$1206,S$1)</f>
        <v>0</v>
      </c>
      <c r="T94" s="86">
        <f>SUMIFS('январь 2024'!$G$4:$G$1206,'январь 2024'!$D$4:$D$1206,$B94,'январь 2024'!$J$4:$J$1206,T$1)</f>
        <v>0</v>
      </c>
      <c r="U94" s="86">
        <f>SUMIFS('январь 2024'!$G$4:$G$1206,'январь 2024'!$D$4:$D$1206,$B94,'январь 2024'!$J$4:$J$1206,U$1)</f>
        <v>0</v>
      </c>
      <c r="V94" s="86">
        <f>SUMIFS('январь 2024'!$G$4:$G$1206,'январь 2024'!$D$4:$D$1206,$B94,'январь 2024'!$J$4:$J$1206,V$1)</f>
        <v>0</v>
      </c>
      <c r="W94" s="86">
        <f>SUMIFS('январь 2024'!$G$4:$G$1206,'январь 2024'!$D$4:$D$1206,$B94,'январь 2024'!$J$4:$J$1206,W$1)</f>
        <v>0</v>
      </c>
      <c r="X94" s="86">
        <f>SUMIFS('январь 2024'!$G$4:$G$1206,'январь 2024'!$D$4:$D$1206,$B94,'январь 2024'!$J$4:$J$1206,X$1)</f>
        <v>0</v>
      </c>
      <c r="Y94" s="86">
        <f>SUMIFS('январь 2024'!$G$4:$G$1206,'январь 2024'!$D$4:$D$1206,$B94,'январь 2024'!$J$4:$J$1206,Y$1)</f>
        <v>0</v>
      </c>
      <c r="Z94" s="86">
        <f>SUMIFS('январь 2024'!$G$4:$G$1206,'январь 2024'!$D$4:$D$1206,$B94,'январь 2024'!$J$4:$J$1206,Z$1)</f>
        <v>0</v>
      </c>
      <c r="AA94" s="86">
        <f>SUMIFS('январь 2024'!$G$4:$G$1206,'январь 2024'!$D$4:$D$1206,$B94,'январь 2024'!$J$4:$J$1206,AA$1)</f>
        <v>0</v>
      </c>
      <c r="AB94" s="86">
        <f>SUMIFS('январь 2024'!$G$4:$G$1206,'январь 2024'!$D$4:$D$1206,$B94,'январь 2024'!$J$4:$J$1206,AB$1)</f>
        <v>0</v>
      </c>
      <c r="AC94" s="86">
        <f>SUMIFS('январь 2024'!$G$4:$G$1206,'январь 2024'!$D$4:$D$1206,$B94,'январь 2024'!$J$4:$J$1206,AC$1)</f>
        <v>0</v>
      </c>
      <c r="AD94" s="86">
        <f>SUMIFS('январь 2024'!$G$4:$G$1206,'январь 2024'!$D$4:$D$1206,$B94,'январь 2024'!$J$4:$J$1206,AD$1)</f>
        <v>0</v>
      </c>
      <c r="AE94" s="86">
        <f>SUMIFS('январь 2024'!$G$4:$G$1206,'январь 2024'!$D$4:$D$1206,$B94,'январь 2024'!$J$4:$J$1206,AE$1)</f>
        <v>0</v>
      </c>
      <c r="AF94" s="86">
        <f>SUMIFS('январь 2024'!$G$4:$G$1206,'январь 2024'!$D$4:$D$1206,$B94,'январь 2024'!$J$4:$J$1206,AF$1)</f>
        <v>0</v>
      </c>
      <c r="AG94" s="86">
        <f>SUMIFS('январь 2024'!$G$4:$G$1206,'январь 2024'!$D$4:$D$1206,$B94,'январь 2024'!$J$4:$J$1206,AG$1)</f>
        <v>0</v>
      </c>
      <c r="AH94" s="86">
        <f>SUMIFS('январь 2024'!$G$4:$G$1206,'январь 2024'!$D$4:$D$1206,$B94,'январь 2024'!$J$4:$J$1206,AH$1)</f>
        <v>0</v>
      </c>
      <c r="AI94" s="21">
        <f t="shared" si="1"/>
        <v>0</v>
      </c>
    </row>
    <row r="95" spans="2:35" ht="15" customHeight="1" x14ac:dyDescent="0.25">
      <c r="B95" s="93" t="s">
        <v>190</v>
      </c>
      <c r="C95" s="91">
        <v>200</v>
      </c>
      <c r="D95" s="86">
        <f>SUMIFS('январь 2024'!$G$4:$G$1206,'январь 2024'!$D$4:$D$1206,$B95,'январь 2024'!$J$4:$J$1206,D$1)</f>
        <v>0</v>
      </c>
      <c r="E95" s="86">
        <f>SUMIFS('январь 2024'!$G$4:$G$1206,'январь 2024'!$D$4:$D$1206,$B95,'январь 2024'!$J$4:$J$1206,E$1)</f>
        <v>0</v>
      </c>
      <c r="F95" s="86">
        <f>SUMIFS('январь 2024'!$G$4:$G$1206,'январь 2024'!$D$4:$D$1206,$B95,'январь 2024'!$J$4:$J$1206,F$1)</f>
        <v>0</v>
      </c>
      <c r="G95" s="86">
        <f>SUMIFS('январь 2024'!$G$4:$G$1206,'январь 2024'!$D$4:$D$1206,$B95,'январь 2024'!$J$4:$J$1206,G$1)</f>
        <v>0</v>
      </c>
      <c r="H95" s="86">
        <f>SUMIFS('январь 2024'!$G$4:$G$1206,'январь 2024'!$D$4:$D$1206,$B95,'январь 2024'!$J$4:$J$1206,H$1)</f>
        <v>0</v>
      </c>
      <c r="I95" s="86">
        <f>SUMIFS('январь 2024'!$G$4:$G$1206,'январь 2024'!$D$4:$D$1206,$B95,'январь 2024'!$J$4:$J$1206,I$1)</f>
        <v>0</v>
      </c>
      <c r="J95" s="86">
        <f>SUMIFS('январь 2024'!$G$4:$G$1206,'январь 2024'!$D$4:$D$1206,$B95,'январь 2024'!$J$4:$J$1206,J$1)</f>
        <v>0</v>
      </c>
      <c r="K95" s="86">
        <f>SUMIFS('январь 2024'!$G$4:$G$1206,'январь 2024'!$D$4:$D$1206,$B95,'январь 2024'!$J$4:$J$1206,K$1)</f>
        <v>0</v>
      </c>
      <c r="L95" s="86">
        <f>SUMIFS('январь 2024'!$G$4:$G$1206,'январь 2024'!$D$4:$D$1206,$B95,'январь 2024'!$J$4:$J$1206,L$1)</f>
        <v>0</v>
      </c>
      <c r="M95" s="86">
        <f>SUMIFS('январь 2024'!$G$4:$G$1206,'январь 2024'!$D$4:$D$1206,$B95,'январь 2024'!$J$4:$J$1206,M$1)</f>
        <v>0</v>
      </c>
      <c r="N95" s="86">
        <f>SUMIFS('январь 2024'!$G$4:$G$1206,'январь 2024'!$D$4:$D$1206,$B95,'январь 2024'!$J$4:$J$1206,N$1)</f>
        <v>0</v>
      </c>
      <c r="O95" s="86">
        <f>SUMIFS('январь 2024'!$G$4:$G$1206,'январь 2024'!$D$4:$D$1206,$B95,'январь 2024'!$J$4:$J$1206,O$1)</f>
        <v>0</v>
      </c>
      <c r="P95" s="86">
        <f>SUMIFS('январь 2024'!$G$4:$G$1206,'январь 2024'!$D$4:$D$1206,$B95,'январь 2024'!$J$4:$J$1206,P$1)</f>
        <v>0</v>
      </c>
      <c r="Q95" s="86">
        <f>SUMIFS('январь 2024'!$G$4:$G$1206,'январь 2024'!$D$4:$D$1206,$B95,'январь 2024'!$J$4:$J$1206,Q$1)</f>
        <v>0</v>
      </c>
      <c r="R95" s="86">
        <f>SUMIFS('январь 2024'!$G$4:$G$1206,'январь 2024'!$D$4:$D$1206,$B95,'январь 2024'!$J$4:$J$1206,R$1)</f>
        <v>0</v>
      </c>
      <c r="S95" s="86">
        <f>SUMIFS('январь 2024'!$G$4:$G$1206,'январь 2024'!$D$4:$D$1206,$B95,'январь 2024'!$J$4:$J$1206,S$1)</f>
        <v>0</v>
      </c>
      <c r="T95" s="86">
        <f>SUMIFS('январь 2024'!$G$4:$G$1206,'январь 2024'!$D$4:$D$1206,$B95,'январь 2024'!$J$4:$J$1206,T$1)</f>
        <v>0</v>
      </c>
      <c r="U95" s="86">
        <f>SUMIFS('январь 2024'!$G$4:$G$1206,'январь 2024'!$D$4:$D$1206,$B95,'январь 2024'!$J$4:$J$1206,U$1)</f>
        <v>0</v>
      </c>
      <c r="V95" s="86">
        <f>SUMIFS('январь 2024'!$G$4:$G$1206,'январь 2024'!$D$4:$D$1206,$B95,'январь 2024'!$J$4:$J$1206,V$1)</f>
        <v>0</v>
      </c>
      <c r="W95" s="86">
        <f>SUMIFS('январь 2024'!$G$4:$G$1206,'январь 2024'!$D$4:$D$1206,$B95,'январь 2024'!$J$4:$J$1206,W$1)</f>
        <v>0</v>
      </c>
      <c r="X95" s="86">
        <f>SUMIFS('январь 2024'!$G$4:$G$1206,'январь 2024'!$D$4:$D$1206,$B95,'январь 2024'!$J$4:$J$1206,X$1)</f>
        <v>0</v>
      </c>
      <c r="Y95" s="86">
        <f>SUMIFS('январь 2024'!$G$4:$G$1206,'январь 2024'!$D$4:$D$1206,$B95,'январь 2024'!$J$4:$J$1206,Y$1)</f>
        <v>0</v>
      </c>
      <c r="Z95" s="86">
        <f>SUMIFS('январь 2024'!$G$4:$G$1206,'январь 2024'!$D$4:$D$1206,$B95,'январь 2024'!$J$4:$J$1206,Z$1)</f>
        <v>0</v>
      </c>
      <c r="AA95" s="86">
        <f>SUMIFS('январь 2024'!$G$4:$G$1206,'январь 2024'!$D$4:$D$1206,$B95,'январь 2024'!$J$4:$J$1206,AA$1)</f>
        <v>0</v>
      </c>
      <c r="AB95" s="86">
        <f>SUMIFS('январь 2024'!$G$4:$G$1206,'январь 2024'!$D$4:$D$1206,$B95,'январь 2024'!$J$4:$J$1206,AB$1)</f>
        <v>0</v>
      </c>
      <c r="AC95" s="86">
        <f>SUMIFS('январь 2024'!$G$4:$G$1206,'январь 2024'!$D$4:$D$1206,$B95,'январь 2024'!$J$4:$J$1206,AC$1)</f>
        <v>0</v>
      </c>
      <c r="AD95" s="86">
        <f>SUMIFS('январь 2024'!$G$4:$G$1206,'январь 2024'!$D$4:$D$1206,$B95,'январь 2024'!$J$4:$J$1206,AD$1)</f>
        <v>0</v>
      </c>
      <c r="AE95" s="86">
        <f>SUMIFS('январь 2024'!$G$4:$G$1206,'январь 2024'!$D$4:$D$1206,$B95,'январь 2024'!$J$4:$J$1206,AE$1)</f>
        <v>0</v>
      </c>
      <c r="AF95" s="86">
        <f>SUMIFS('январь 2024'!$G$4:$G$1206,'январь 2024'!$D$4:$D$1206,$B95,'январь 2024'!$J$4:$J$1206,AF$1)</f>
        <v>0</v>
      </c>
      <c r="AG95" s="86">
        <f>SUMIFS('январь 2024'!$G$4:$G$1206,'январь 2024'!$D$4:$D$1206,$B95,'январь 2024'!$J$4:$J$1206,AG$1)</f>
        <v>0</v>
      </c>
      <c r="AH95" s="86">
        <f>SUMIFS('январь 2024'!$G$4:$G$1206,'январь 2024'!$D$4:$D$1206,$B95,'январь 2024'!$J$4:$J$1206,AH$1)</f>
        <v>0</v>
      </c>
      <c r="AI95" s="21">
        <f t="shared" si="1"/>
        <v>0</v>
      </c>
    </row>
    <row r="96" spans="2:35" ht="15" customHeight="1" x14ac:dyDescent="0.25">
      <c r="B96" s="93" t="s">
        <v>326</v>
      </c>
      <c r="C96" s="91">
        <v>200</v>
      </c>
      <c r="D96" s="86">
        <f>SUMIFS('январь 2024'!$G$4:$G$1206,'январь 2024'!$D$4:$D$1206,$B96,'январь 2024'!$J$4:$J$1206,D$1)</f>
        <v>0</v>
      </c>
      <c r="E96" s="86">
        <f>SUMIFS('январь 2024'!$G$4:$G$1206,'январь 2024'!$D$4:$D$1206,$B96,'январь 2024'!$J$4:$J$1206,E$1)</f>
        <v>0</v>
      </c>
      <c r="F96" s="86">
        <f>SUMIFS('январь 2024'!$G$4:$G$1206,'январь 2024'!$D$4:$D$1206,$B96,'январь 2024'!$J$4:$J$1206,F$1)</f>
        <v>0</v>
      </c>
      <c r="G96" s="86">
        <f>SUMIFS('январь 2024'!$G$4:$G$1206,'январь 2024'!$D$4:$D$1206,$B96,'январь 2024'!$J$4:$J$1206,G$1)</f>
        <v>0</v>
      </c>
      <c r="H96" s="86">
        <f>SUMIFS('январь 2024'!$G$4:$G$1206,'январь 2024'!$D$4:$D$1206,$B96,'январь 2024'!$J$4:$J$1206,H$1)</f>
        <v>0</v>
      </c>
      <c r="I96" s="86">
        <f>SUMIFS('январь 2024'!$G$4:$G$1206,'январь 2024'!$D$4:$D$1206,$B96,'январь 2024'!$J$4:$J$1206,I$1)</f>
        <v>0</v>
      </c>
      <c r="J96" s="86">
        <f>SUMIFS('январь 2024'!$G$4:$G$1206,'январь 2024'!$D$4:$D$1206,$B96,'январь 2024'!$J$4:$J$1206,J$1)</f>
        <v>0</v>
      </c>
      <c r="K96" s="86">
        <f>SUMIFS('январь 2024'!$G$4:$G$1206,'январь 2024'!$D$4:$D$1206,$B96,'январь 2024'!$J$4:$J$1206,K$1)</f>
        <v>0</v>
      </c>
      <c r="L96" s="86">
        <f>SUMIFS('январь 2024'!$G$4:$G$1206,'январь 2024'!$D$4:$D$1206,$B96,'январь 2024'!$J$4:$J$1206,L$1)</f>
        <v>0</v>
      </c>
      <c r="M96" s="86">
        <f>SUMIFS('январь 2024'!$G$4:$G$1206,'январь 2024'!$D$4:$D$1206,$B96,'январь 2024'!$J$4:$J$1206,M$1)</f>
        <v>0</v>
      </c>
      <c r="N96" s="86">
        <f>SUMIFS('январь 2024'!$G$4:$G$1206,'январь 2024'!$D$4:$D$1206,$B96,'январь 2024'!$J$4:$J$1206,N$1)</f>
        <v>0</v>
      </c>
      <c r="O96" s="86">
        <f>SUMIFS('январь 2024'!$G$4:$G$1206,'январь 2024'!$D$4:$D$1206,$B96,'январь 2024'!$J$4:$J$1206,O$1)</f>
        <v>0</v>
      </c>
      <c r="P96" s="86">
        <f>SUMIFS('январь 2024'!$G$4:$G$1206,'январь 2024'!$D$4:$D$1206,$B96,'январь 2024'!$J$4:$J$1206,P$1)</f>
        <v>0</v>
      </c>
      <c r="Q96" s="86">
        <f>SUMIFS('январь 2024'!$G$4:$G$1206,'январь 2024'!$D$4:$D$1206,$B96,'январь 2024'!$J$4:$J$1206,Q$1)</f>
        <v>0</v>
      </c>
      <c r="R96" s="86">
        <f>SUMIFS('январь 2024'!$G$4:$G$1206,'январь 2024'!$D$4:$D$1206,$B96,'январь 2024'!$J$4:$J$1206,R$1)</f>
        <v>0</v>
      </c>
      <c r="S96" s="86">
        <f>SUMIFS('январь 2024'!$G$4:$G$1206,'январь 2024'!$D$4:$D$1206,$B96,'январь 2024'!$J$4:$J$1206,S$1)</f>
        <v>0</v>
      </c>
      <c r="T96" s="86">
        <f>SUMIFS('январь 2024'!$G$4:$G$1206,'январь 2024'!$D$4:$D$1206,$B96,'январь 2024'!$J$4:$J$1206,T$1)</f>
        <v>0</v>
      </c>
      <c r="U96" s="86">
        <f>SUMIFS('январь 2024'!$G$4:$G$1206,'январь 2024'!$D$4:$D$1206,$B96,'январь 2024'!$J$4:$J$1206,U$1)</f>
        <v>0</v>
      </c>
      <c r="V96" s="86">
        <f>SUMIFS('январь 2024'!$G$4:$G$1206,'январь 2024'!$D$4:$D$1206,$B96,'январь 2024'!$J$4:$J$1206,V$1)</f>
        <v>0</v>
      </c>
      <c r="W96" s="86">
        <f>SUMIFS('январь 2024'!$G$4:$G$1206,'январь 2024'!$D$4:$D$1206,$B96,'январь 2024'!$J$4:$J$1206,W$1)</f>
        <v>0</v>
      </c>
      <c r="X96" s="86">
        <f>SUMIFS('январь 2024'!$G$4:$G$1206,'январь 2024'!$D$4:$D$1206,$B96,'январь 2024'!$J$4:$J$1206,X$1)</f>
        <v>0</v>
      </c>
      <c r="Y96" s="86">
        <f>SUMIFS('январь 2024'!$G$4:$G$1206,'январь 2024'!$D$4:$D$1206,$B96,'январь 2024'!$J$4:$J$1206,Y$1)</f>
        <v>0</v>
      </c>
      <c r="Z96" s="86">
        <f>SUMIFS('январь 2024'!$G$4:$G$1206,'январь 2024'!$D$4:$D$1206,$B96,'январь 2024'!$J$4:$J$1206,Z$1)</f>
        <v>0</v>
      </c>
      <c r="AA96" s="86">
        <f>SUMIFS('январь 2024'!$G$4:$G$1206,'январь 2024'!$D$4:$D$1206,$B96,'январь 2024'!$J$4:$J$1206,AA$1)</f>
        <v>0</v>
      </c>
      <c r="AB96" s="86">
        <f>SUMIFS('январь 2024'!$G$4:$G$1206,'январь 2024'!$D$4:$D$1206,$B96,'январь 2024'!$J$4:$J$1206,AB$1)</f>
        <v>0</v>
      </c>
      <c r="AC96" s="86">
        <f>SUMIFS('январь 2024'!$G$4:$G$1206,'январь 2024'!$D$4:$D$1206,$B96,'январь 2024'!$J$4:$J$1206,AC$1)</f>
        <v>0</v>
      </c>
      <c r="AD96" s="86">
        <f>SUMIFS('январь 2024'!$G$4:$G$1206,'январь 2024'!$D$4:$D$1206,$B96,'январь 2024'!$J$4:$J$1206,AD$1)</f>
        <v>0</v>
      </c>
      <c r="AE96" s="86">
        <f>SUMIFS('январь 2024'!$G$4:$G$1206,'январь 2024'!$D$4:$D$1206,$B96,'январь 2024'!$J$4:$J$1206,AE$1)</f>
        <v>0</v>
      </c>
      <c r="AF96" s="86">
        <f>SUMIFS('январь 2024'!$G$4:$G$1206,'январь 2024'!$D$4:$D$1206,$B96,'январь 2024'!$J$4:$J$1206,AF$1)</f>
        <v>0</v>
      </c>
      <c r="AG96" s="86">
        <f>SUMIFS('январь 2024'!$G$4:$G$1206,'январь 2024'!$D$4:$D$1206,$B96,'январь 2024'!$J$4:$J$1206,AG$1)</f>
        <v>0</v>
      </c>
      <c r="AH96" s="86">
        <f>SUMIFS('январь 2024'!$G$4:$G$1206,'январь 2024'!$D$4:$D$1206,$B96,'январь 2024'!$J$4:$J$1206,AH$1)</f>
        <v>0</v>
      </c>
      <c r="AI96" s="21">
        <f t="shared" si="1"/>
        <v>0</v>
      </c>
    </row>
    <row r="97" spans="2:35" ht="15" customHeight="1" x14ac:dyDescent="0.25">
      <c r="B97" s="93" t="s">
        <v>327</v>
      </c>
      <c r="C97" s="91">
        <v>200</v>
      </c>
      <c r="D97" s="86">
        <f>SUMIFS('январь 2024'!$G$4:$G$1206,'январь 2024'!$D$4:$D$1206,$B97,'январь 2024'!$J$4:$J$1206,D$1)</f>
        <v>0</v>
      </c>
      <c r="E97" s="86">
        <f>SUMIFS('январь 2024'!$G$4:$G$1206,'январь 2024'!$D$4:$D$1206,$B97,'январь 2024'!$J$4:$J$1206,E$1)</f>
        <v>0</v>
      </c>
      <c r="F97" s="86">
        <f>SUMIFS('январь 2024'!$G$4:$G$1206,'январь 2024'!$D$4:$D$1206,$B97,'январь 2024'!$J$4:$J$1206,F$1)</f>
        <v>0</v>
      </c>
      <c r="G97" s="86">
        <f>SUMIFS('январь 2024'!$G$4:$G$1206,'январь 2024'!$D$4:$D$1206,$B97,'январь 2024'!$J$4:$J$1206,G$1)</f>
        <v>0</v>
      </c>
      <c r="H97" s="86">
        <f>SUMIFS('январь 2024'!$G$4:$G$1206,'январь 2024'!$D$4:$D$1206,$B97,'январь 2024'!$J$4:$J$1206,H$1)</f>
        <v>0</v>
      </c>
      <c r="I97" s="86">
        <f>SUMIFS('январь 2024'!$G$4:$G$1206,'январь 2024'!$D$4:$D$1206,$B97,'январь 2024'!$J$4:$J$1206,I$1)</f>
        <v>0</v>
      </c>
      <c r="J97" s="86">
        <f>SUMIFS('январь 2024'!$G$4:$G$1206,'январь 2024'!$D$4:$D$1206,$B97,'январь 2024'!$J$4:$J$1206,J$1)</f>
        <v>0</v>
      </c>
      <c r="K97" s="86">
        <f>SUMIFS('январь 2024'!$G$4:$G$1206,'январь 2024'!$D$4:$D$1206,$B97,'январь 2024'!$J$4:$J$1206,K$1)</f>
        <v>0</v>
      </c>
      <c r="L97" s="86">
        <f>SUMIFS('январь 2024'!$G$4:$G$1206,'январь 2024'!$D$4:$D$1206,$B97,'январь 2024'!$J$4:$J$1206,L$1)</f>
        <v>0</v>
      </c>
      <c r="M97" s="86">
        <f>SUMIFS('январь 2024'!$G$4:$G$1206,'январь 2024'!$D$4:$D$1206,$B97,'январь 2024'!$J$4:$J$1206,M$1)</f>
        <v>0</v>
      </c>
      <c r="N97" s="86">
        <f>SUMIFS('январь 2024'!$G$4:$G$1206,'январь 2024'!$D$4:$D$1206,$B97,'январь 2024'!$J$4:$J$1206,N$1)</f>
        <v>0</v>
      </c>
      <c r="O97" s="86">
        <f>SUMIFS('январь 2024'!$G$4:$G$1206,'январь 2024'!$D$4:$D$1206,$B97,'январь 2024'!$J$4:$J$1206,O$1)</f>
        <v>0</v>
      </c>
      <c r="P97" s="86">
        <f>SUMIFS('январь 2024'!$G$4:$G$1206,'январь 2024'!$D$4:$D$1206,$B97,'январь 2024'!$J$4:$J$1206,P$1)</f>
        <v>0</v>
      </c>
      <c r="Q97" s="86">
        <f>SUMIFS('январь 2024'!$G$4:$G$1206,'январь 2024'!$D$4:$D$1206,$B97,'январь 2024'!$J$4:$J$1206,Q$1)</f>
        <v>0</v>
      </c>
      <c r="R97" s="86">
        <f>SUMIFS('январь 2024'!$G$4:$G$1206,'январь 2024'!$D$4:$D$1206,$B97,'январь 2024'!$J$4:$J$1206,R$1)</f>
        <v>0</v>
      </c>
      <c r="S97" s="86">
        <f>SUMIFS('январь 2024'!$G$4:$G$1206,'январь 2024'!$D$4:$D$1206,$B97,'январь 2024'!$J$4:$J$1206,S$1)</f>
        <v>0</v>
      </c>
      <c r="T97" s="86">
        <f>SUMIFS('январь 2024'!$G$4:$G$1206,'январь 2024'!$D$4:$D$1206,$B97,'январь 2024'!$J$4:$J$1206,T$1)</f>
        <v>0</v>
      </c>
      <c r="U97" s="86">
        <f>SUMIFS('январь 2024'!$G$4:$G$1206,'январь 2024'!$D$4:$D$1206,$B97,'январь 2024'!$J$4:$J$1206,U$1)</f>
        <v>0</v>
      </c>
      <c r="V97" s="86">
        <f>SUMIFS('январь 2024'!$G$4:$G$1206,'январь 2024'!$D$4:$D$1206,$B97,'январь 2024'!$J$4:$J$1206,V$1)</f>
        <v>0</v>
      </c>
      <c r="W97" s="86">
        <f>SUMIFS('январь 2024'!$G$4:$G$1206,'январь 2024'!$D$4:$D$1206,$B97,'январь 2024'!$J$4:$J$1206,W$1)</f>
        <v>0</v>
      </c>
      <c r="X97" s="86">
        <f>SUMIFS('январь 2024'!$G$4:$G$1206,'январь 2024'!$D$4:$D$1206,$B97,'январь 2024'!$J$4:$J$1206,X$1)</f>
        <v>0</v>
      </c>
      <c r="Y97" s="86">
        <f>SUMIFS('январь 2024'!$G$4:$G$1206,'январь 2024'!$D$4:$D$1206,$B97,'январь 2024'!$J$4:$J$1206,Y$1)</f>
        <v>0</v>
      </c>
      <c r="Z97" s="86">
        <f>SUMIFS('январь 2024'!$G$4:$G$1206,'январь 2024'!$D$4:$D$1206,$B97,'январь 2024'!$J$4:$J$1206,Z$1)</f>
        <v>0</v>
      </c>
      <c r="AA97" s="86">
        <f>SUMIFS('январь 2024'!$G$4:$G$1206,'январь 2024'!$D$4:$D$1206,$B97,'январь 2024'!$J$4:$J$1206,AA$1)</f>
        <v>0</v>
      </c>
      <c r="AB97" s="86">
        <f>SUMIFS('январь 2024'!$G$4:$G$1206,'январь 2024'!$D$4:$D$1206,$B97,'январь 2024'!$J$4:$J$1206,AB$1)</f>
        <v>0</v>
      </c>
      <c r="AC97" s="86">
        <f>SUMIFS('январь 2024'!$G$4:$G$1206,'январь 2024'!$D$4:$D$1206,$B97,'январь 2024'!$J$4:$J$1206,AC$1)</f>
        <v>0</v>
      </c>
      <c r="AD97" s="86">
        <f>SUMIFS('январь 2024'!$G$4:$G$1206,'январь 2024'!$D$4:$D$1206,$B97,'январь 2024'!$J$4:$J$1206,AD$1)</f>
        <v>0</v>
      </c>
      <c r="AE97" s="86">
        <f>SUMIFS('январь 2024'!$G$4:$G$1206,'январь 2024'!$D$4:$D$1206,$B97,'январь 2024'!$J$4:$J$1206,AE$1)</f>
        <v>0</v>
      </c>
      <c r="AF97" s="86">
        <f>SUMIFS('январь 2024'!$G$4:$G$1206,'январь 2024'!$D$4:$D$1206,$B97,'январь 2024'!$J$4:$J$1206,AF$1)</f>
        <v>0</v>
      </c>
      <c r="AG97" s="86">
        <f>SUMIFS('январь 2024'!$G$4:$G$1206,'январь 2024'!$D$4:$D$1206,$B97,'январь 2024'!$J$4:$J$1206,AG$1)</f>
        <v>0</v>
      </c>
      <c r="AH97" s="86">
        <f>SUMIFS('январь 2024'!$G$4:$G$1206,'январь 2024'!$D$4:$D$1206,$B97,'январь 2024'!$J$4:$J$1206,AH$1)</f>
        <v>0</v>
      </c>
      <c r="AI97" s="21">
        <f t="shared" si="1"/>
        <v>0</v>
      </c>
    </row>
    <row r="98" spans="2:35" ht="15" customHeight="1" x14ac:dyDescent="0.25">
      <c r="B98" s="89" t="s">
        <v>223</v>
      </c>
      <c r="C98" s="88">
        <v>25</v>
      </c>
      <c r="D98" s="86">
        <f>SUMIFS('январь 2024'!$G$4:$G$1206,'январь 2024'!$D$4:$D$1206,$B98,'январь 2024'!$J$4:$J$1206,D$1)</f>
        <v>0</v>
      </c>
      <c r="E98" s="86">
        <f>SUMIFS('январь 2024'!$G$4:$G$1206,'январь 2024'!$D$4:$D$1206,$B98,'январь 2024'!$J$4:$J$1206,E$1)</f>
        <v>0</v>
      </c>
      <c r="F98" s="86">
        <f>SUMIFS('январь 2024'!$G$4:$G$1206,'январь 2024'!$D$4:$D$1206,$B98,'январь 2024'!$J$4:$J$1206,F$1)</f>
        <v>0</v>
      </c>
      <c r="G98" s="86">
        <f>SUMIFS('январь 2024'!$G$4:$G$1206,'январь 2024'!$D$4:$D$1206,$B98,'январь 2024'!$J$4:$J$1206,G$1)</f>
        <v>0</v>
      </c>
      <c r="H98" s="86">
        <f>SUMIFS('январь 2024'!$G$4:$G$1206,'январь 2024'!$D$4:$D$1206,$B98,'январь 2024'!$J$4:$J$1206,H$1)</f>
        <v>0</v>
      </c>
      <c r="I98" s="86">
        <f>SUMIFS('январь 2024'!$G$4:$G$1206,'январь 2024'!$D$4:$D$1206,$B98,'январь 2024'!$J$4:$J$1206,I$1)</f>
        <v>0</v>
      </c>
      <c r="J98" s="86">
        <f>SUMIFS('январь 2024'!$G$4:$G$1206,'январь 2024'!$D$4:$D$1206,$B98,'январь 2024'!$J$4:$J$1206,J$1)</f>
        <v>0</v>
      </c>
      <c r="K98" s="86">
        <f>SUMIFS('январь 2024'!$G$4:$G$1206,'январь 2024'!$D$4:$D$1206,$B98,'январь 2024'!$J$4:$J$1206,K$1)</f>
        <v>0</v>
      </c>
      <c r="L98" s="86">
        <f>SUMIFS('январь 2024'!$G$4:$G$1206,'январь 2024'!$D$4:$D$1206,$B98,'январь 2024'!$J$4:$J$1206,L$1)</f>
        <v>0</v>
      </c>
      <c r="M98" s="86">
        <f>SUMIFS('январь 2024'!$G$4:$G$1206,'январь 2024'!$D$4:$D$1206,$B98,'январь 2024'!$J$4:$J$1206,M$1)</f>
        <v>0</v>
      </c>
      <c r="N98" s="86">
        <f>SUMIFS('январь 2024'!$G$4:$G$1206,'январь 2024'!$D$4:$D$1206,$B98,'январь 2024'!$J$4:$J$1206,N$1)</f>
        <v>0</v>
      </c>
      <c r="O98" s="86">
        <f>SUMIFS('январь 2024'!$G$4:$G$1206,'январь 2024'!$D$4:$D$1206,$B98,'январь 2024'!$J$4:$J$1206,O$1)</f>
        <v>0</v>
      </c>
      <c r="P98" s="86">
        <f>SUMIFS('январь 2024'!$G$4:$G$1206,'январь 2024'!$D$4:$D$1206,$B98,'январь 2024'!$J$4:$J$1206,P$1)</f>
        <v>0</v>
      </c>
      <c r="Q98" s="86">
        <f>SUMIFS('январь 2024'!$G$4:$G$1206,'январь 2024'!$D$4:$D$1206,$B98,'январь 2024'!$J$4:$J$1206,Q$1)</f>
        <v>0</v>
      </c>
      <c r="R98" s="86">
        <f>SUMIFS('январь 2024'!$G$4:$G$1206,'январь 2024'!$D$4:$D$1206,$B98,'январь 2024'!$J$4:$J$1206,R$1)</f>
        <v>0</v>
      </c>
      <c r="S98" s="86">
        <f>SUMIFS('январь 2024'!$G$4:$G$1206,'январь 2024'!$D$4:$D$1206,$B98,'январь 2024'!$J$4:$J$1206,S$1)</f>
        <v>0</v>
      </c>
      <c r="T98" s="86">
        <f>SUMIFS('январь 2024'!$G$4:$G$1206,'январь 2024'!$D$4:$D$1206,$B98,'январь 2024'!$J$4:$J$1206,T$1)</f>
        <v>0</v>
      </c>
      <c r="U98" s="86">
        <f>SUMIFS('январь 2024'!$G$4:$G$1206,'январь 2024'!$D$4:$D$1206,$B98,'январь 2024'!$J$4:$J$1206,U$1)</f>
        <v>0</v>
      </c>
      <c r="V98" s="86">
        <f>SUMIFS('январь 2024'!$G$4:$G$1206,'январь 2024'!$D$4:$D$1206,$B98,'январь 2024'!$J$4:$J$1206,V$1)</f>
        <v>0</v>
      </c>
      <c r="W98" s="86">
        <f>SUMIFS('январь 2024'!$G$4:$G$1206,'январь 2024'!$D$4:$D$1206,$B98,'январь 2024'!$J$4:$J$1206,W$1)</f>
        <v>0</v>
      </c>
      <c r="X98" s="86">
        <f>SUMIFS('январь 2024'!$G$4:$G$1206,'январь 2024'!$D$4:$D$1206,$B98,'январь 2024'!$J$4:$J$1206,X$1)</f>
        <v>0</v>
      </c>
      <c r="Y98" s="86">
        <f>SUMIFS('январь 2024'!$G$4:$G$1206,'январь 2024'!$D$4:$D$1206,$B98,'январь 2024'!$J$4:$J$1206,Y$1)</f>
        <v>0</v>
      </c>
      <c r="Z98" s="86">
        <f>SUMIFS('январь 2024'!$G$4:$G$1206,'январь 2024'!$D$4:$D$1206,$B98,'январь 2024'!$J$4:$J$1206,Z$1)</f>
        <v>0</v>
      </c>
      <c r="AA98" s="86">
        <f>SUMIFS('январь 2024'!$G$4:$G$1206,'январь 2024'!$D$4:$D$1206,$B98,'январь 2024'!$J$4:$J$1206,AA$1)</f>
        <v>0</v>
      </c>
      <c r="AB98" s="86">
        <f>SUMIFS('январь 2024'!$G$4:$G$1206,'январь 2024'!$D$4:$D$1206,$B98,'январь 2024'!$J$4:$J$1206,AB$1)</f>
        <v>0</v>
      </c>
      <c r="AC98" s="86">
        <f>SUMIFS('январь 2024'!$G$4:$G$1206,'январь 2024'!$D$4:$D$1206,$B98,'январь 2024'!$J$4:$J$1206,AC$1)</f>
        <v>0</v>
      </c>
      <c r="AD98" s="86">
        <f>SUMIFS('январь 2024'!$G$4:$G$1206,'январь 2024'!$D$4:$D$1206,$B98,'январь 2024'!$J$4:$J$1206,AD$1)</f>
        <v>0</v>
      </c>
      <c r="AE98" s="86">
        <f>SUMIFS('январь 2024'!$G$4:$G$1206,'январь 2024'!$D$4:$D$1206,$B98,'январь 2024'!$J$4:$J$1206,AE$1)</f>
        <v>0</v>
      </c>
      <c r="AF98" s="86">
        <f>SUMIFS('январь 2024'!$G$4:$G$1206,'январь 2024'!$D$4:$D$1206,$B98,'январь 2024'!$J$4:$J$1206,AF$1)</f>
        <v>0</v>
      </c>
      <c r="AG98" s="86">
        <f>SUMIFS('январь 2024'!$G$4:$G$1206,'январь 2024'!$D$4:$D$1206,$B98,'январь 2024'!$J$4:$J$1206,AG$1)</f>
        <v>0</v>
      </c>
      <c r="AH98" s="86">
        <f>SUMIFS('январь 2024'!$G$4:$G$1206,'январь 2024'!$D$4:$D$1206,$B98,'январь 2024'!$J$4:$J$1206,AH$1)</f>
        <v>0</v>
      </c>
      <c r="AI98" s="21">
        <f t="shared" si="1"/>
        <v>0</v>
      </c>
    </row>
    <row r="99" spans="2:35" ht="15" customHeight="1" x14ac:dyDescent="0.25">
      <c r="B99" s="93" t="s">
        <v>328</v>
      </c>
      <c r="C99" s="91">
        <v>50</v>
      </c>
      <c r="D99" s="86">
        <f>SUMIFS('январь 2024'!$G$4:$G$1206,'январь 2024'!$D$4:$D$1206,$B99,'январь 2024'!$J$4:$J$1206,D$1)</f>
        <v>0</v>
      </c>
      <c r="E99" s="86">
        <f>SUMIFS('январь 2024'!$G$4:$G$1206,'январь 2024'!$D$4:$D$1206,$B99,'январь 2024'!$J$4:$J$1206,E$1)</f>
        <v>0</v>
      </c>
      <c r="F99" s="86">
        <f>SUMIFS('январь 2024'!$G$4:$G$1206,'январь 2024'!$D$4:$D$1206,$B99,'январь 2024'!$J$4:$J$1206,F$1)</f>
        <v>0</v>
      </c>
      <c r="G99" s="86">
        <f>SUMIFS('январь 2024'!$G$4:$G$1206,'январь 2024'!$D$4:$D$1206,$B99,'январь 2024'!$J$4:$J$1206,G$1)</f>
        <v>0</v>
      </c>
      <c r="H99" s="86">
        <f>SUMIFS('январь 2024'!$G$4:$G$1206,'январь 2024'!$D$4:$D$1206,$B99,'январь 2024'!$J$4:$J$1206,H$1)</f>
        <v>0</v>
      </c>
      <c r="I99" s="86">
        <f>SUMIFS('январь 2024'!$G$4:$G$1206,'январь 2024'!$D$4:$D$1206,$B99,'январь 2024'!$J$4:$J$1206,I$1)</f>
        <v>0</v>
      </c>
      <c r="J99" s="86">
        <f>SUMIFS('январь 2024'!$G$4:$G$1206,'январь 2024'!$D$4:$D$1206,$B99,'январь 2024'!$J$4:$J$1206,J$1)</f>
        <v>0</v>
      </c>
      <c r="K99" s="86">
        <f>SUMIFS('январь 2024'!$G$4:$G$1206,'январь 2024'!$D$4:$D$1206,$B99,'январь 2024'!$J$4:$J$1206,K$1)</f>
        <v>0</v>
      </c>
      <c r="L99" s="86">
        <f>SUMIFS('январь 2024'!$G$4:$G$1206,'январь 2024'!$D$4:$D$1206,$B99,'январь 2024'!$J$4:$J$1206,L$1)</f>
        <v>0</v>
      </c>
      <c r="M99" s="86">
        <f>SUMIFS('январь 2024'!$G$4:$G$1206,'январь 2024'!$D$4:$D$1206,$B99,'январь 2024'!$J$4:$J$1206,M$1)</f>
        <v>0</v>
      </c>
      <c r="N99" s="86">
        <f>SUMIFS('январь 2024'!$G$4:$G$1206,'январь 2024'!$D$4:$D$1206,$B99,'январь 2024'!$J$4:$J$1206,N$1)</f>
        <v>0</v>
      </c>
      <c r="O99" s="86">
        <f>SUMIFS('январь 2024'!$G$4:$G$1206,'январь 2024'!$D$4:$D$1206,$B99,'январь 2024'!$J$4:$J$1206,O$1)</f>
        <v>0</v>
      </c>
      <c r="P99" s="86">
        <f>SUMIFS('январь 2024'!$G$4:$G$1206,'январь 2024'!$D$4:$D$1206,$B99,'январь 2024'!$J$4:$J$1206,P$1)</f>
        <v>0</v>
      </c>
      <c r="Q99" s="86">
        <f>SUMIFS('январь 2024'!$G$4:$G$1206,'январь 2024'!$D$4:$D$1206,$B99,'январь 2024'!$J$4:$J$1206,Q$1)</f>
        <v>0</v>
      </c>
      <c r="R99" s="86">
        <f>SUMIFS('январь 2024'!$G$4:$G$1206,'январь 2024'!$D$4:$D$1206,$B99,'январь 2024'!$J$4:$J$1206,R$1)</f>
        <v>0</v>
      </c>
      <c r="S99" s="86">
        <f>SUMIFS('январь 2024'!$G$4:$G$1206,'январь 2024'!$D$4:$D$1206,$B99,'январь 2024'!$J$4:$J$1206,S$1)</f>
        <v>0</v>
      </c>
      <c r="T99" s="86">
        <f>SUMIFS('январь 2024'!$G$4:$G$1206,'январь 2024'!$D$4:$D$1206,$B99,'январь 2024'!$J$4:$J$1206,T$1)</f>
        <v>0</v>
      </c>
      <c r="U99" s="86">
        <f>SUMIFS('январь 2024'!$G$4:$G$1206,'январь 2024'!$D$4:$D$1206,$B99,'январь 2024'!$J$4:$J$1206,U$1)</f>
        <v>0</v>
      </c>
      <c r="V99" s="86">
        <f>SUMIFS('январь 2024'!$G$4:$G$1206,'январь 2024'!$D$4:$D$1206,$B99,'январь 2024'!$J$4:$J$1206,V$1)</f>
        <v>0</v>
      </c>
      <c r="W99" s="86">
        <f>SUMIFS('январь 2024'!$G$4:$G$1206,'январь 2024'!$D$4:$D$1206,$B99,'январь 2024'!$J$4:$J$1206,W$1)</f>
        <v>0</v>
      </c>
      <c r="X99" s="86">
        <f>SUMIFS('январь 2024'!$G$4:$G$1206,'январь 2024'!$D$4:$D$1206,$B99,'январь 2024'!$J$4:$J$1206,X$1)</f>
        <v>0</v>
      </c>
      <c r="Y99" s="86">
        <f>SUMIFS('январь 2024'!$G$4:$G$1206,'январь 2024'!$D$4:$D$1206,$B99,'январь 2024'!$J$4:$J$1206,Y$1)</f>
        <v>0</v>
      </c>
      <c r="Z99" s="86">
        <f>SUMIFS('январь 2024'!$G$4:$G$1206,'январь 2024'!$D$4:$D$1206,$B99,'январь 2024'!$J$4:$J$1206,Z$1)</f>
        <v>0</v>
      </c>
      <c r="AA99" s="86">
        <f>SUMIFS('январь 2024'!$G$4:$G$1206,'январь 2024'!$D$4:$D$1206,$B99,'январь 2024'!$J$4:$J$1206,AA$1)</f>
        <v>0</v>
      </c>
      <c r="AB99" s="86">
        <f>SUMIFS('январь 2024'!$G$4:$G$1206,'январь 2024'!$D$4:$D$1206,$B99,'январь 2024'!$J$4:$J$1206,AB$1)</f>
        <v>0</v>
      </c>
      <c r="AC99" s="86">
        <f>SUMIFS('январь 2024'!$G$4:$G$1206,'январь 2024'!$D$4:$D$1206,$B99,'январь 2024'!$J$4:$J$1206,AC$1)</f>
        <v>0</v>
      </c>
      <c r="AD99" s="86">
        <f>SUMIFS('январь 2024'!$G$4:$G$1206,'январь 2024'!$D$4:$D$1206,$B99,'январь 2024'!$J$4:$J$1206,AD$1)</f>
        <v>0</v>
      </c>
      <c r="AE99" s="86">
        <f>SUMIFS('январь 2024'!$G$4:$G$1206,'январь 2024'!$D$4:$D$1206,$B99,'январь 2024'!$J$4:$J$1206,AE$1)</f>
        <v>0</v>
      </c>
      <c r="AF99" s="86">
        <f>SUMIFS('январь 2024'!$G$4:$G$1206,'январь 2024'!$D$4:$D$1206,$B99,'январь 2024'!$J$4:$J$1206,AF$1)</f>
        <v>0</v>
      </c>
      <c r="AG99" s="86">
        <f>SUMIFS('январь 2024'!$G$4:$G$1206,'январь 2024'!$D$4:$D$1206,$B99,'январь 2024'!$J$4:$J$1206,AG$1)</f>
        <v>0</v>
      </c>
      <c r="AH99" s="86">
        <f>SUMIFS('январь 2024'!$G$4:$G$1206,'январь 2024'!$D$4:$D$1206,$B99,'январь 2024'!$J$4:$J$1206,AH$1)</f>
        <v>0</v>
      </c>
      <c r="AI99" s="21">
        <f t="shared" si="1"/>
        <v>0</v>
      </c>
    </row>
    <row r="100" spans="2:35" ht="15" customHeight="1" x14ac:dyDescent="0.25">
      <c r="B100" s="93" t="s">
        <v>195</v>
      </c>
      <c r="C100" s="91">
        <v>180</v>
      </c>
      <c r="D100" s="86">
        <f>SUMIFS('январь 2024'!$G$4:$G$1206,'январь 2024'!$D$4:$D$1206,$B100,'январь 2024'!$J$4:$J$1206,D$1)</f>
        <v>0</v>
      </c>
      <c r="E100" s="86">
        <f>SUMIFS('январь 2024'!$G$4:$G$1206,'январь 2024'!$D$4:$D$1206,$B100,'январь 2024'!$J$4:$J$1206,E$1)</f>
        <v>0</v>
      </c>
      <c r="F100" s="86">
        <f>SUMIFS('январь 2024'!$G$4:$G$1206,'январь 2024'!$D$4:$D$1206,$B100,'январь 2024'!$J$4:$J$1206,F$1)</f>
        <v>0</v>
      </c>
      <c r="G100" s="86">
        <f>SUMIFS('январь 2024'!$G$4:$G$1206,'январь 2024'!$D$4:$D$1206,$B100,'январь 2024'!$J$4:$J$1206,G$1)</f>
        <v>0</v>
      </c>
      <c r="H100" s="86">
        <f>SUMIFS('январь 2024'!$G$4:$G$1206,'январь 2024'!$D$4:$D$1206,$B100,'январь 2024'!$J$4:$J$1206,H$1)</f>
        <v>0</v>
      </c>
      <c r="I100" s="86">
        <f>SUMIFS('январь 2024'!$G$4:$G$1206,'январь 2024'!$D$4:$D$1206,$B100,'январь 2024'!$J$4:$J$1206,I$1)</f>
        <v>0</v>
      </c>
      <c r="J100" s="86">
        <f>SUMIFS('январь 2024'!$G$4:$G$1206,'январь 2024'!$D$4:$D$1206,$B100,'январь 2024'!$J$4:$J$1206,J$1)</f>
        <v>0</v>
      </c>
      <c r="K100" s="86">
        <f>SUMIFS('январь 2024'!$G$4:$G$1206,'январь 2024'!$D$4:$D$1206,$B100,'январь 2024'!$J$4:$J$1206,K$1)</f>
        <v>0</v>
      </c>
      <c r="L100" s="86">
        <f>SUMIFS('январь 2024'!$G$4:$G$1206,'январь 2024'!$D$4:$D$1206,$B100,'январь 2024'!$J$4:$J$1206,L$1)</f>
        <v>0</v>
      </c>
      <c r="M100" s="86">
        <f>SUMIFS('январь 2024'!$G$4:$G$1206,'январь 2024'!$D$4:$D$1206,$B100,'январь 2024'!$J$4:$J$1206,M$1)</f>
        <v>0</v>
      </c>
      <c r="N100" s="86">
        <f>SUMIFS('январь 2024'!$G$4:$G$1206,'январь 2024'!$D$4:$D$1206,$B100,'январь 2024'!$J$4:$J$1206,N$1)</f>
        <v>0</v>
      </c>
      <c r="O100" s="86">
        <f>SUMIFS('январь 2024'!$G$4:$G$1206,'январь 2024'!$D$4:$D$1206,$B100,'январь 2024'!$J$4:$J$1206,O$1)</f>
        <v>0</v>
      </c>
      <c r="P100" s="86">
        <f>SUMIFS('январь 2024'!$G$4:$G$1206,'январь 2024'!$D$4:$D$1206,$B100,'январь 2024'!$J$4:$J$1206,P$1)</f>
        <v>0</v>
      </c>
      <c r="Q100" s="86">
        <f>SUMIFS('январь 2024'!$G$4:$G$1206,'январь 2024'!$D$4:$D$1206,$B100,'январь 2024'!$J$4:$J$1206,Q$1)</f>
        <v>0</v>
      </c>
      <c r="R100" s="86">
        <f>SUMIFS('январь 2024'!$G$4:$G$1206,'январь 2024'!$D$4:$D$1206,$B100,'январь 2024'!$J$4:$J$1206,R$1)</f>
        <v>0</v>
      </c>
      <c r="S100" s="86">
        <f>SUMIFS('январь 2024'!$G$4:$G$1206,'январь 2024'!$D$4:$D$1206,$B100,'январь 2024'!$J$4:$J$1206,S$1)</f>
        <v>0</v>
      </c>
      <c r="T100" s="86">
        <f>SUMIFS('январь 2024'!$G$4:$G$1206,'январь 2024'!$D$4:$D$1206,$B100,'январь 2024'!$J$4:$J$1206,T$1)</f>
        <v>0</v>
      </c>
      <c r="U100" s="86">
        <f>SUMIFS('январь 2024'!$G$4:$G$1206,'январь 2024'!$D$4:$D$1206,$B100,'январь 2024'!$J$4:$J$1206,U$1)</f>
        <v>0</v>
      </c>
      <c r="V100" s="86">
        <f>SUMIFS('январь 2024'!$G$4:$G$1206,'январь 2024'!$D$4:$D$1206,$B100,'январь 2024'!$J$4:$J$1206,V$1)</f>
        <v>0</v>
      </c>
      <c r="W100" s="86">
        <f>SUMIFS('январь 2024'!$G$4:$G$1206,'январь 2024'!$D$4:$D$1206,$B100,'январь 2024'!$J$4:$J$1206,W$1)</f>
        <v>0</v>
      </c>
      <c r="X100" s="86">
        <f>SUMIFS('январь 2024'!$G$4:$G$1206,'январь 2024'!$D$4:$D$1206,$B100,'январь 2024'!$J$4:$J$1206,X$1)</f>
        <v>0</v>
      </c>
      <c r="Y100" s="86">
        <f>SUMIFS('январь 2024'!$G$4:$G$1206,'январь 2024'!$D$4:$D$1206,$B100,'январь 2024'!$J$4:$J$1206,Y$1)</f>
        <v>0</v>
      </c>
      <c r="Z100" s="86">
        <f>SUMIFS('январь 2024'!$G$4:$G$1206,'январь 2024'!$D$4:$D$1206,$B100,'январь 2024'!$J$4:$J$1206,Z$1)</f>
        <v>0</v>
      </c>
      <c r="AA100" s="86">
        <f>SUMIFS('январь 2024'!$G$4:$G$1206,'январь 2024'!$D$4:$D$1206,$B100,'январь 2024'!$J$4:$J$1206,AA$1)</f>
        <v>0</v>
      </c>
      <c r="AB100" s="86">
        <f>SUMIFS('январь 2024'!$G$4:$G$1206,'январь 2024'!$D$4:$D$1206,$B100,'январь 2024'!$J$4:$J$1206,AB$1)</f>
        <v>0</v>
      </c>
      <c r="AC100" s="86">
        <f>SUMIFS('январь 2024'!$G$4:$G$1206,'январь 2024'!$D$4:$D$1206,$B100,'январь 2024'!$J$4:$J$1206,AC$1)</f>
        <v>0</v>
      </c>
      <c r="AD100" s="86">
        <f>SUMIFS('январь 2024'!$G$4:$G$1206,'январь 2024'!$D$4:$D$1206,$B100,'январь 2024'!$J$4:$J$1206,AD$1)</f>
        <v>0</v>
      </c>
      <c r="AE100" s="86">
        <f>SUMIFS('январь 2024'!$G$4:$G$1206,'январь 2024'!$D$4:$D$1206,$B100,'январь 2024'!$J$4:$J$1206,AE$1)</f>
        <v>0</v>
      </c>
      <c r="AF100" s="86">
        <f>SUMIFS('январь 2024'!$G$4:$G$1206,'январь 2024'!$D$4:$D$1206,$B100,'январь 2024'!$J$4:$J$1206,AF$1)</f>
        <v>0</v>
      </c>
      <c r="AG100" s="86">
        <f>SUMIFS('январь 2024'!$G$4:$G$1206,'январь 2024'!$D$4:$D$1206,$B100,'январь 2024'!$J$4:$J$1206,AG$1)</f>
        <v>0</v>
      </c>
      <c r="AH100" s="86">
        <f>SUMIFS('январь 2024'!$G$4:$G$1206,'январь 2024'!$D$4:$D$1206,$B100,'январь 2024'!$J$4:$J$1206,AH$1)</f>
        <v>0</v>
      </c>
      <c r="AI100" s="21">
        <f t="shared" si="1"/>
        <v>0</v>
      </c>
    </row>
    <row r="101" spans="2:35" ht="15" customHeight="1" x14ac:dyDescent="0.25">
      <c r="B101" s="93" t="s">
        <v>214</v>
      </c>
      <c r="C101" s="91">
        <v>185</v>
      </c>
      <c r="D101" s="86">
        <f>SUMIFS('январь 2024'!$G$4:$G$1206,'январь 2024'!$D$4:$D$1206,$B101,'январь 2024'!$J$4:$J$1206,D$1)</f>
        <v>0</v>
      </c>
      <c r="E101" s="86">
        <f>SUMIFS('январь 2024'!$G$4:$G$1206,'январь 2024'!$D$4:$D$1206,$B101,'январь 2024'!$J$4:$J$1206,E$1)</f>
        <v>0</v>
      </c>
      <c r="F101" s="86">
        <f>SUMIFS('январь 2024'!$G$4:$G$1206,'январь 2024'!$D$4:$D$1206,$B101,'январь 2024'!$J$4:$J$1206,F$1)</f>
        <v>0</v>
      </c>
      <c r="G101" s="86">
        <f>SUMIFS('январь 2024'!$G$4:$G$1206,'январь 2024'!$D$4:$D$1206,$B101,'январь 2024'!$J$4:$J$1206,G$1)</f>
        <v>0</v>
      </c>
      <c r="H101" s="86">
        <f>SUMIFS('январь 2024'!$G$4:$G$1206,'январь 2024'!$D$4:$D$1206,$B101,'январь 2024'!$J$4:$J$1206,H$1)</f>
        <v>0</v>
      </c>
      <c r="I101" s="86">
        <f>SUMIFS('январь 2024'!$G$4:$G$1206,'январь 2024'!$D$4:$D$1206,$B101,'январь 2024'!$J$4:$J$1206,I$1)</f>
        <v>0</v>
      </c>
      <c r="J101" s="86">
        <f>SUMIFS('январь 2024'!$G$4:$G$1206,'январь 2024'!$D$4:$D$1206,$B101,'январь 2024'!$J$4:$J$1206,J$1)</f>
        <v>0</v>
      </c>
      <c r="K101" s="86">
        <f>SUMIFS('январь 2024'!$G$4:$G$1206,'январь 2024'!$D$4:$D$1206,$B101,'январь 2024'!$J$4:$J$1206,K$1)</f>
        <v>0</v>
      </c>
      <c r="L101" s="86">
        <f>SUMIFS('январь 2024'!$G$4:$G$1206,'январь 2024'!$D$4:$D$1206,$B101,'январь 2024'!$J$4:$J$1206,L$1)</f>
        <v>0</v>
      </c>
      <c r="M101" s="86">
        <f>SUMIFS('январь 2024'!$G$4:$G$1206,'январь 2024'!$D$4:$D$1206,$B101,'январь 2024'!$J$4:$J$1206,M$1)</f>
        <v>0</v>
      </c>
      <c r="N101" s="86">
        <f>SUMIFS('январь 2024'!$G$4:$G$1206,'январь 2024'!$D$4:$D$1206,$B101,'январь 2024'!$J$4:$J$1206,N$1)</f>
        <v>0</v>
      </c>
      <c r="O101" s="86">
        <f>SUMIFS('январь 2024'!$G$4:$G$1206,'январь 2024'!$D$4:$D$1206,$B101,'январь 2024'!$J$4:$J$1206,O$1)</f>
        <v>0</v>
      </c>
      <c r="P101" s="86">
        <f>SUMIFS('январь 2024'!$G$4:$G$1206,'январь 2024'!$D$4:$D$1206,$B101,'январь 2024'!$J$4:$J$1206,P$1)</f>
        <v>0</v>
      </c>
      <c r="Q101" s="86">
        <f>SUMIFS('январь 2024'!$G$4:$G$1206,'январь 2024'!$D$4:$D$1206,$B101,'январь 2024'!$J$4:$J$1206,Q$1)</f>
        <v>0</v>
      </c>
      <c r="R101" s="86">
        <f>SUMIFS('январь 2024'!$G$4:$G$1206,'январь 2024'!$D$4:$D$1206,$B101,'январь 2024'!$J$4:$J$1206,R$1)</f>
        <v>0</v>
      </c>
      <c r="S101" s="86">
        <f>SUMIFS('январь 2024'!$G$4:$G$1206,'январь 2024'!$D$4:$D$1206,$B101,'январь 2024'!$J$4:$J$1206,S$1)</f>
        <v>0</v>
      </c>
      <c r="T101" s="86">
        <f>SUMIFS('январь 2024'!$G$4:$G$1206,'январь 2024'!$D$4:$D$1206,$B101,'январь 2024'!$J$4:$J$1206,T$1)</f>
        <v>0</v>
      </c>
      <c r="U101" s="86">
        <f>SUMIFS('январь 2024'!$G$4:$G$1206,'январь 2024'!$D$4:$D$1206,$B101,'январь 2024'!$J$4:$J$1206,U$1)</f>
        <v>0</v>
      </c>
      <c r="V101" s="86">
        <f>SUMIFS('январь 2024'!$G$4:$G$1206,'январь 2024'!$D$4:$D$1206,$B101,'январь 2024'!$J$4:$J$1206,V$1)</f>
        <v>0</v>
      </c>
      <c r="W101" s="86">
        <f>SUMIFS('январь 2024'!$G$4:$G$1206,'январь 2024'!$D$4:$D$1206,$B101,'январь 2024'!$J$4:$J$1206,W$1)</f>
        <v>0</v>
      </c>
      <c r="X101" s="86">
        <f>SUMIFS('январь 2024'!$G$4:$G$1206,'январь 2024'!$D$4:$D$1206,$B101,'январь 2024'!$J$4:$J$1206,X$1)</f>
        <v>0</v>
      </c>
      <c r="Y101" s="86">
        <f>SUMIFS('январь 2024'!$G$4:$G$1206,'январь 2024'!$D$4:$D$1206,$B101,'январь 2024'!$J$4:$J$1206,Y$1)</f>
        <v>0</v>
      </c>
      <c r="Z101" s="86">
        <f>SUMIFS('январь 2024'!$G$4:$G$1206,'январь 2024'!$D$4:$D$1206,$B101,'январь 2024'!$J$4:$J$1206,Z$1)</f>
        <v>0</v>
      </c>
      <c r="AA101" s="86">
        <f>SUMIFS('январь 2024'!$G$4:$G$1206,'январь 2024'!$D$4:$D$1206,$B101,'январь 2024'!$J$4:$J$1206,AA$1)</f>
        <v>0</v>
      </c>
      <c r="AB101" s="86">
        <f>SUMIFS('январь 2024'!$G$4:$G$1206,'январь 2024'!$D$4:$D$1206,$B101,'январь 2024'!$J$4:$J$1206,AB$1)</f>
        <v>0</v>
      </c>
      <c r="AC101" s="86">
        <f>SUMIFS('январь 2024'!$G$4:$G$1206,'январь 2024'!$D$4:$D$1206,$B101,'январь 2024'!$J$4:$J$1206,AC$1)</f>
        <v>0</v>
      </c>
      <c r="AD101" s="86">
        <f>SUMIFS('январь 2024'!$G$4:$G$1206,'январь 2024'!$D$4:$D$1206,$B101,'январь 2024'!$J$4:$J$1206,AD$1)</f>
        <v>0</v>
      </c>
      <c r="AE101" s="86">
        <f>SUMIFS('январь 2024'!$G$4:$G$1206,'январь 2024'!$D$4:$D$1206,$B101,'январь 2024'!$J$4:$J$1206,AE$1)</f>
        <v>0</v>
      </c>
      <c r="AF101" s="86">
        <f>SUMIFS('январь 2024'!$G$4:$G$1206,'январь 2024'!$D$4:$D$1206,$B101,'январь 2024'!$J$4:$J$1206,AF$1)</f>
        <v>0</v>
      </c>
      <c r="AG101" s="86">
        <f>SUMIFS('январь 2024'!$G$4:$G$1206,'январь 2024'!$D$4:$D$1206,$B101,'январь 2024'!$J$4:$J$1206,AG$1)</f>
        <v>88</v>
      </c>
      <c r="AH101" s="86">
        <f>SUMIFS('январь 2024'!$G$4:$G$1206,'январь 2024'!$D$4:$D$1206,$B101,'январь 2024'!$J$4:$J$1206,AH$1)</f>
        <v>0</v>
      </c>
      <c r="AI101" s="21">
        <f t="shared" si="1"/>
        <v>88</v>
      </c>
    </row>
    <row r="102" spans="2:35" ht="15" customHeight="1" x14ac:dyDescent="0.25">
      <c r="B102" s="93" t="s">
        <v>329</v>
      </c>
      <c r="C102" s="91">
        <v>180</v>
      </c>
      <c r="D102" s="86">
        <f>SUMIFS('январь 2024'!$G$4:$G$1206,'январь 2024'!$D$4:$D$1206,$B102,'январь 2024'!$J$4:$J$1206,D$1)</f>
        <v>0</v>
      </c>
      <c r="E102" s="86">
        <f>SUMIFS('январь 2024'!$G$4:$G$1206,'январь 2024'!$D$4:$D$1206,$B102,'январь 2024'!$J$4:$J$1206,E$1)</f>
        <v>0</v>
      </c>
      <c r="F102" s="86">
        <f>SUMIFS('январь 2024'!$G$4:$G$1206,'январь 2024'!$D$4:$D$1206,$B102,'январь 2024'!$J$4:$J$1206,F$1)</f>
        <v>0</v>
      </c>
      <c r="G102" s="86">
        <f>SUMIFS('январь 2024'!$G$4:$G$1206,'январь 2024'!$D$4:$D$1206,$B102,'январь 2024'!$J$4:$J$1206,G$1)</f>
        <v>0</v>
      </c>
      <c r="H102" s="86">
        <f>SUMIFS('январь 2024'!$G$4:$G$1206,'январь 2024'!$D$4:$D$1206,$B102,'январь 2024'!$J$4:$J$1206,H$1)</f>
        <v>0</v>
      </c>
      <c r="I102" s="86">
        <f>SUMIFS('январь 2024'!$G$4:$G$1206,'январь 2024'!$D$4:$D$1206,$B102,'январь 2024'!$J$4:$J$1206,I$1)</f>
        <v>0</v>
      </c>
      <c r="J102" s="86">
        <f>SUMIFS('январь 2024'!$G$4:$G$1206,'январь 2024'!$D$4:$D$1206,$B102,'январь 2024'!$J$4:$J$1206,J$1)</f>
        <v>0</v>
      </c>
      <c r="K102" s="86">
        <f>SUMIFS('январь 2024'!$G$4:$G$1206,'январь 2024'!$D$4:$D$1206,$B102,'январь 2024'!$J$4:$J$1206,K$1)</f>
        <v>0</v>
      </c>
      <c r="L102" s="86">
        <f>SUMIFS('январь 2024'!$G$4:$G$1206,'январь 2024'!$D$4:$D$1206,$B102,'январь 2024'!$J$4:$J$1206,L$1)</f>
        <v>0</v>
      </c>
      <c r="M102" s="86">
        <f>SUMIFS('январь 2024'!$G$4:$G$1206,'январь 2024'!$D$4:$D$1206,$B102,'январь 2024'!$J$4:$J$1206,M$1)</f>
        <v>0</v>
      </c>
      <c r="N102" s="86">
        <f>SUMIFS('январь 2024'!$G$4:$G$1206,'январь 2024'!$D$4:$D$1206,$B102,'январь 2024'!$J$4:$J$1206,N$1)</f>
        <v>0</v>
      </c>
      <c r="O102" s="86">
        <f>SUMIFS('январь 2024'!$G$4:$G$1206,'январь 2024'!$D$4:$D$1206,$B102,'январь 2024'!$J$4:$J$1206,O$1)</f>
        <v>0</v>
      </c>
      <c r="P102" s="86">
        <f>SUMIFS('январь 2024'!$G$4:$G$1206,'январь 2024'!$D$4:$D$1206,$B102,'январь 2024'!$J$4:$J$1206,P$1)</f>
        <v>0</v>
      </c>
      <c r="Q102" s="86">
        <f>SUMIFS('январь 2024'!$G$4:$G$1206,'январь 2024'!$D$4:$D$1206,$B102,'январь 2024'!$J$4:$J$1206,Q$1)</f>
        <v>0</v>
      </c>
      <c r="R102" s="86">
        <f>SUMIFS('январь 2024'!$G$4:$G$1206,'январь 2024'!$D$4:$D$1206,$B102,'январь 2024'!$J$4:$J$1206,R$1)</f>
        <v>0</v>
      </c>
      <c r="S102" s="86">
        <f>SUMIFS('январь 2024'!$G$4:$G$1206,'январь 2024'!$D$4:$D$1206,$B102,'январь 2024'!$J$4:$J$1206,S$1)</f>
        <v>0</v>
      </c>
      <c r="T102" s="86">
        <f>SUMIFS('январь 2024'!$G$4:$G$1206,'январь 2024'!$D$4:$D$1206,$B102,'январь 2024'!$J$4:$J$1206,T$1)</f>
        <v>0</v>
      </c>
      <c r="U102" s="86">
        <f>SUMIFS('январь 2024'!$G$4:$G$1206,'январь 2024'!$D$4:$D$1206,$B102,'январь 2024'!$J$4:$J$1206,U$1)</f>
        <v>0</v>
      </c>
      <c r="V102" s="86">
        <f>SUMIFS('январь 2024'!$G$4:$G$1206,'январь 2024'!$D$4:$D$1206,$B102,'январь 2024'!$J$4:$J$1206,V$1)</f>
        <v>0</v>
      </c>
      <c r="W102" s="86">
        <f>SUMIFS('январь 2024'!$G$4:$G$1206,'январь 2024'!$D$4:$D$1206,$B102,'январь 2024'!$J$4:$J$1206,W$1)</f>
        <v>0</v>
      </c>
      <c r="X102" s="86">
        <f>SUMIFS('январь 2024'!$G$4:$G$1206,'январь 2024'!$D$4:$D$1206,$B102,'январь 2024'!$J$4:$J$1206,X$1)</f>
        <v>0</v>
      </c>
      <c r="Y102" s="86">
        <f>SUMIFS('январь 2024'!$G$4:$G$1206,'январь 2024'!$D$4:$D$1206,$B102,'январь 2024'!$J$4:$J$1206,Y$1)</f>
        <v>0</v>
      </c>
      <c r="Z102" s="86">
        <f>SUMIFS('январь 2024'!$G$4:$G$1206,'январь 2024'!$D$4:$D$1206,$B102,'январь 2024'!$J$4:$J$1206,Z$1)</f>
        <v>0</v>
      </c>
      <c r="AA102" s="86">
        <f>SUMIFS('январь 2024'!$G$4:$G$1206,'январь 2024'!$D$4:$D$1206,$B102,'январь 2024'!$J$4:$J$1206,AA$1)</f>
        <v>0</v>
      </c>
      <c r="AB102" s="86">
        <f>SUMIFS('январь 2024'!$G$4:$G$1206,'январь 2024'!$D$4:$D$1206,$B102,'январь 2024'!$J$4:$J$1206,AB$1)</f>
        <v>0</v>
      </c>
      <c r="AC102" s="86">
        <f>SUMIFS('январь 2024'!$G$4:$G$1206,'январь 2024'!$D$4:$D$1206,$B102,'январь 2024'!$J$4:$J$1206,AC$1)</f>
        <v>0</v>
      </c>
      <c r="AD102" s="86">
        <f>SUMIFS('январь 2024'!$G$4:$G$1206,'январь 2024'!$D$4:$D$1206,$B102,'январь 2024'!$J$4:$J$1206,AD$1)</f>
        <v>0</v>
      </c>
      <c r="AE102" s="86">
        <f>SUMIFS('январь 2024'!$G$4:$G$1206,'январь 2024'!$D$4:$D$1206,$B102,'январь 2024'!$J$4:$J$1206,AE$1)</f>
        <v>0</v>
      </c>
      <c r="AF102" s="86">
        <f>SUMIFS('январь 2024'!$G$4:$G$1206,'январь 2024'!$D$4:$D$1206,$B102,'январь 2024'!$J$4:$J$1206,AF$1)</f>
        <v>0</v>
      </c>
      <c r="AG102" s="86">
        <f>SUMIFS('январь 2024'!$G$4:$G$1206,'январь 2024'!$D$4:$D$1206,$B102,'январь 2024'!$J$4:$J$1206,AG$1)</f>
        <v>0</v>
      </c>
      <c r="AH102" s="86">
        <f>SUMIFS('январь 2024'!$G$4:$G$1206,'январь 2024'!$D$4:$D$1206,$B102,'январь 2024'!$J$4:$J$1206,AH$1)</f>
        <v>0</v>
      </c>
      <c r="AI102" s="21">
        <f t="shared" si="1"/>
        <v>0</v>
      </c>
    </row>
    <row r="103" spans="2:35" ht="15" customHeight="1" x14ac:dyDescent="0.25">
      <c r="B103" s="93" t="s">
        <v>344</v>
      </c>
      <c r="C103" s="91">
        <v>185</v>
      </c>
      <c r="D103" s="86">
        <f>SUMIFS('январь 2024'!$G$4:$G$1206,'январь 2024'!$D$4:$D$1206,$B103,'январь 2024'!$J$4:$J$1206,D$1)</f>
        <v>0</v>
      </c>
      <c r="E103" s="86">
        <f>SUMIFS('январь 2024'!$G$4:$G$1206,'январь 2024'!$D$4:$D$1206,$B103,'январь 2024'!$J$4:$J$1206,E$1)</f>
        <v>0</v>
      </c>
      <c r="F103" s="86">
        <f>SUMIFS('январь 2024'!$G$4:$G$1206,'январь 2024'!$D$4:$D$1206,$B103,'январь 2024'!$J$4:$J$1206,F$1)</f>
        <v>0</v>
      </c>
      <c r="G103" s="86">
        <f>SUMIFS('январь 2024'!$G$4:$G$1206,'январь 2024'!$D$4:$D$1206,$B103,'январь 2024'!$J$4:$J$1206,G$1)</f>
        <v>0</v>
      </c>
      <c r="H103" s="86">
        <f>SUMIFS('январь 2024'!$G$4:$G$1206,'январь 2024'!$D$4:$D$1206,$B103,'январь 2024'!$J$4:$J$1206,H$1)</f>
        <v>0</v>
      </c>
      <c r="I103" s="86">
        <f>SUMIFS('январь 2024'!$G$4:$G$1206,'январь 2024'!$D$4:$D$1206,$B103,'январь 2024'!$J$4:$J$1206,I$1)</f>
        <v>0</v>
      </c>
      <c r="J103" s="86">
        <f>SUMIFS('январь 2024'!$G$4:$G$1206,'январь 2024'!$D$4:$D$1206,$B103,'январь 2024'!$J$4:$J$1206,J$1)</f>
        <v>0</v>
      </c>
      <c r="K103" s="86">
        <f>SUMIFS('январь 2024'!$G$4:$G$1206,'январь 2024'!$D$4:$D$1206,$B103,'январь 2024'!$J$4:$J$1206,K$1)</f>
        <v>0</v>
      </c>
      <c r="L103" s="86">
        <f>SUMIFS('январь 2024'!$G$4:$G$1206,'январь 2024'!$D$4:$D$1206,$B103,'январь 2024'!$J$4:$J$1206,L$1)</f>
        <v>0</v>
      </c>
      <c r="M103" s="86">
        <f>SUMIFS('январь 2024'!$G$4:$G$1206,'январь 2024'!$D$4:$D$1206,$B103,'январь 2024'!$J$4:$J$1206,M$1)</f>
        <v>0</v>
      </c>
      <c r="N103" s="86">
        <f>SUMIFS('январь 2024'!$G$4:$G$1206,'январь 2024'!$D$4:$D$1206,$B103,'январь 2024'!$J$4:$J$1206,N$1)</f>
        <v>0</v>
      </c>
      <c r="O103" s="86">
        <f>SUMIFS('январь 2024'!$G$4:$G$1206,'январь 2024'!$D$4:$D$1206,$B103,'январь 2024'!$J$4:$J$1206,O$1)</f>
        <v>0</v>
      </c>
      <c r="P103" s="86">
        <f>SUMIFS('январь 2024'!$G$4:$G$1206,'январь 2024'!$D$4:$D$1206,$B103,'январь 2024'!$J$4:$J$1206,P$1)</f>
        <v>0</v>
      </c>
      <c r="Q103" s="86">
        <f>SUMIFS('январь 2024'!$G$4:$G$1206,'январь 2024'!$D$4:$D$1206,$B103,'январь 2024'!$J$4:$J$1206,Q$1)</f>
        <v>0</v>
      </c>
      <c r="R103" s="86">
        <f>SUMIFS('январь 2024'!$G$4:$G$1206,'январь 2024'!$D$4:$D$1206,$B103,'январь 2024'!$J$4:$J$1206,R$1)</f>
        <v>0</v>
      </c>
      <c r="S103" s="86">
        <f>SUMIFS('январь 2024'!$G$4:$G$1206,'январь 2024'!$D$4:$D$1206,$B103,'январь 2024'!$J$4:$J$1206,S$1)</f>
        <v>0</v>
      </c>
      <c r="T103" s="86">
        <f>SUMIFS('январь 2024'!$G$4:$G$1206,'январь 2024'!$D$4:$D$1206,$B103,'январь 2024'!$J$4:$J$1206,T$1)</f>
        <v>0</v>
      </c>
      <c r="U103" s="86">
        <f>SUMIFS('январь 2024'!$G$4:$G$1206,'январь 2024'!$D$4:$D$1206,$B103,'январь 2024'!$J$4:$J$1206,U$1)</f>
        <v>0</v>
      </c>
      <c r="V103" s="86">
        <f>SUMIFS('январь 2024'!$G$4:$G$1206,'январь 2024'!$D$4:$D$1206,$B103,'январь 2024'!$J$4:$J$1206,V$1)</f>
        <v>0</v>
      </c>
      <c r="W103" s="86">
        <f>SUMIFS('январь 2024'!$G$4:$G$1206,'январь 2024'!$D$4:$D$1206,$B103,'январь 2024'!$J$4:$J$1206,W$1)</f>
        <v>0</v>
      </c>
      <c r="X103" s="86">
        <f>SUMIFS('январь 2024'!$G$4:$G$1206,'январь 2024'!$D$4:$D$1206,$B103,'январь 2024'!$J$4:$J$1206,X$1)</f>
        <v>0</v>
      </c>
      <c r="Y103" s="86">
        <f>SUMIFS('январь 2024'!$G$4:$G$1206,'январь 2024'!$D$4:$D$1206,$B103,'январь 2024'!$J$4:$J$1206,Y$1)</f>
        <v>0</v>
      </c>
      <c r="Z103" s="86">
        <f>SUMIFS('январь 2024'!$G$4:$G$1206,'январь 2024'!$D$4:$D$1206,$B103,'январь 2024'!$J$4:$J$1206,Z$1)</f>
        <v>0</v>
      </c>
      <c r="AA103" s="86">
        <f>SUMIFS('январь 2024'!$G$4:$G$1206,'январь 2024'!$D$4:$D$1206,$B103,'январь 2024'!$J$4:$J$1206,AA$1)</f>
        <v>0</v>
      </c>
      <c r="AB103" s="86">
        <f>SUMIFS('январь 2024'!$G$4:$G$1206,'январь 2024'!$D$4:$D$1206,$B103,'январь 2024'!$J$4:$J$1206,AB$1)</f>
        <v>0</v>
      </c>
      <c r="AC103" s="86">
        <f>SUMIFS('январь 2024'!$G$4:$G$1206,'январь 2024'!$D$4:$D$1206,$B103,'январь 2024'!$J$4:$J$1206,AC$1)</f>
        <v>0</v>
      </c>
      <c r="AD103" s="86">
        <f>SUMIFS('январь 2024'!$G$4:$G$1206,'январь 2024'!$D$4:$D$1206,$B103,'январь 2024'!$J$4:$J$1206,AD$1)</f>
        <v>0</v>
      </c>
      <c r="AE103" s="86">
        <f>SUMIFS('январь 2024'!$G$4:$G$1206,'январь 2024'!$D$4:$D$1206,$B103,'январь 2024'!$J$4:$J$1206,AE$1)</f>
        <v>0</v>
      </c>
      <c r="AF103" s="86">
        <f>SUMIFS('январь 2024'!$G$4:$G$1206,'январь 2024'!$D$4:$D$1206,$B103,'январь 2024'!$J$4:$J$1206,AF$1)</f>
        <v>0</v>
      </c>
      <c r="AG103" s="86">
        <f>SUMIFS('январь 2024'!$G$4:$G$1206,'январь 2024'!$D$4:$D$1206,$B103,'январь 2024'!$J$4:$J$1206,AG$1)</f>
        <v>0</v>
      </c>
      <c r="AH103" s="86">
        <f>SUMIFS('январь 2024'!$G$4:$G$1206,'январь 2024'!$D$4:$D$1206,$B103,'январь 2024'!$J$4:$J$1206,AH$1)</f>
        <v>0</v>
      </c>
      <c r="AI103" s="21">
        <f t="shared" si="1"/>
        <v>0</v>
      </c>
    </row>
    <row r="104" spans="2:35" ht="15" customHeight="1" x14ac:dyDescent="0.25">
      <c r="B104" s="93" t="s">
        <v>400</v>
      </c>
      <c r="C104" s="91">
        <v>185</v>
      </c>
      <c r="D104" s="86">
        <f>SUMIFS('январь 2024'!$G$4:$G$1206,'январь 2024'!$D$4:$D$1206,$B104,'январь 2024'!$J$4:$J$1206,D$1)</f>
        <v>0</v>
      </c>
      <c r="E104" s="86">
        <f>SUMIFS('январь 2024'!$G$4:$G$1206,'январь 2024'!$D$4:$D$1206,$B104,'январь 2024'!$J$4:$J$1206,E$1)</f>
        <v>0</v>
      </c>
      <c r="F104" s="86">
        <f>SUMIFS('январь 2024'!$G$4:$G$1206,'январь 2024'!$D$4:$D$1206,$B104,'январь 2024'!$J$4:$J$1206,F$1)</f>
        <v>0</v>
      </c>
      <c r="G104" s="86">
        <f>SUMIFS('январь 2024'!$G$4:$G$1206,'январь 2024'!$D$4:$D$1206,$B104,'январь 2024'!$J$4:$J$1206,G$1)</f>
        <v>0</v>
      </c>
      <c r="H104" s="86">
        <f>SUMIFS('январь 2024'!$G$4:$G$1206,'январь 2024'!$D$4:$D$1206,$B104,'январь 2024'!$J$4:$J$1206,H$1)</f>
        <v>0</v>
      </c>
      <c r="I104" s="86">
        <f>SUMIFS('январь 2024'!$G$4:$G$1206,'январь 2024'!$D$4:$D$1206,$B104,'январь 2024'!$J$4:$J$1206,I$1)</f>
        <v>0</v>
      </c>
      <c r="J104" s="86">
        <f>SUMIFS('январь 2024'!$G$4:$G$1206,'январь 2024'!$D$4:$D$1206,$B104,'январь 2024'!$J$4:$J$1206,J$1)</f>
        <v>0</v>
      </c>
      <c r="K104" s="86">
        <f>SUMIFS('январь 2024'!$G$4:$G$1206,'январь 2024'!$D$4:$D$1206,$B104,'январь 2024'!$J$4:$J$1206,K$1)</f>
        <v>0</v>
      </c>
      <c r="L104" s="86">
        <f>SUMIFS('январь 2024'!$G$4:$G$1206,'январь 2024'!$D$4:$D$1206,$B104,'январь 2024'!$J$4:$J$1206,L$1)</f>
        <v>0</v>
      </c>
      <c r="M104" s="86">
        <f>SUMIFS('январь 2024'!$G$4:$G$1206,'январь 2024'!$D$4:$D$1206,$B104,'январь 2024'!$J$4:$J$1206,M$1)</f>
        <v>0</v>
      </c>
      <c r="N104" s="86">
        <f>SUMIFS('январь 2024'!$G$4:$G$1206,'январь 2024'!$D$4:$D$1206,$B104,'январь 2024'!$J$4:$J$1206,N$1)</f>
        <v>0</v>
      </c>
      <c r="O104" s="86">
        <f>SUMIFS('январь 2024'!$G$4:$G$1206,'январь 2024'!$D$4:$D$1206,$B104,'январь 2024'!$J$4:$J$1206,O$1)</f>
        <v>0</v>
      </c>
      <c r="P104" s="86">
        <f>SUMIFS('январь 2024'!$G$4:$G$1206,'январь 2024'!$D$4:$D$1206,$B104,'январь 2024'!$J$4:$J$1206,P$1)</f>
        <v>0</v>
      </c>
      <c r="Q104" s="86">
        <f>SUMIFS('январь 2024'!$G$4:$G$1206,'январь 2024'!$D$4:$D$1206,$B104,'январь 2024'!$J$4:$J$1206,Q$1)</f>
        <v>0</v>
      </c>
      <c r="R104" s="86">
        <f>SUMIFS('январь 2024'!$G$4:$G$1206,'январь 2024'!$D$4:$D$1206,$B104,'январь 2024'!$J$4:$J$1206,R$1)</f>
        <v>0</v>
      </c>
      <c r="S104" s="86">
        <f>SUMIFS('январь 2024'!$G$4:$G$1206,'январь 2024'!$D$4:$D$1206,$B104,'январь 2024'!$J$4:$J$1206,S$1)</f>
        <v>0</v>
      </c>
      <c r="T104" s="86">
        <f>SUMIFS('январь 2024'!$G$4:$G$1206,'январь 2024'!$D$4:$D$1206,$B104,'январь 2024'!$J$4:$J$1206,T$1)</f>
        <v>0</v>
      </c>
      <c r="U104" s="86">
        <f>SUMIFS('январь 2024'!$G$4:$G$1206,'январь 2024'!$D$4:$D$1206,$B104,'январь 2024'!$J$4:$J$1206,U$1)</f>
        <v>0</v>
      </c>
      <c r="V104" s="86">
        <f>SUMIFS('январь 2024'!$G$4:$G$1206,'январь 2024'!$D$4:$D$1206,$B104,'январь 2024'!$J$4:$J$1206,V$1)</f>
        <v>0</v>
      </c>
      <c r="W104" s="86">
        <f>SUMIFS('январь 2024'!$G$4:$G$1206,'январь 2024'!$D$4:$D$1206,$B104,'январь 2024'!$J$4:$J$1206,W$1)</f>
        <v>0</v>
      </c>
      <c r="X104" s="86">
        <f>SUMIFS('январь 2024'!$G$4:$G$1206,'январь 2024'!$D$4:$D$1206,$B104,'январь 2024'!$J$4:$J$1206,X$1)</f>
        <v>0</v>
      </c>
      <c r="Y104" s="86">
        <f>SUMIFS('январь 2024'!$G$4:$G$1206,'январь 2024'!$D$4:$D$1206,$B104,'январь 2024'!$J$4:$J$1206,Y$1)</f>
        <v>0</v>
      </c>
      <c r="Z104" s="86">
        <f>SUMIFS('январь 2024'!$G$4:$G$1206,'январь 2024'!$D$4:$D$1206,$B104,'январь 2024'!$J$4:$J$1206,Z$1)</f>
        <v>0</v>
      </c>
      <c r="AA104" s="86">
        <f>SUMIFS('январь 2024'!$G$4:$G$1206,'январь 2024'!$D$4:$D$1206,$B104,'январь 2024'!$J$4:$J$1206,AA$1)</f>
        <v>0</v>
      </c>
      <c r="AB104" s="86">
        <f>SUMIFS('январь 2024'!$G$4:$G$1206,'январь 2024'!$D$4:$D$1206,$B104,'январь 2024'!$J$4:$J$1206,AB$1)</f>
        <v>0</v>
      </c>
      <c r="AC104" s="86">
        <f>SUMIFS('январь 2024'!$G$4:$G$1206,'январь 2024'!$D$4:$D$1206,$B104,'январь 2024'!$J$4:$J$1206,AC$1)</f>
        <v>0</v>
      </c>
      <c r="AD104" s="86">
        <f>SUMIFS('январь 2024'!$G$4:$G$1206,'январь 2024'!$D$4:$D$1206,$B104,'январь 2024'!$J$4:$J$1206,AD$1)</f>
        <v>0</v>
      </c>
      <c r="AE104" s="86">
        <f>SUMIFS('январь 2024'!$G$4:$G$1206,'январь 2024'!$D$4:$D$1206,$B104,'январь 2024'!$J$4:$J$1206,AE$1)</f>
        <v>0</v>
      </c>
      <c r="AF104" s="86">
        <f>SUMIFS('январь 2024'!$G$4:$G$1206,'январь 2024'!$D$4:$D$1206,$B104,'январь 2024'!$J$4:$J$1206,AF$1)</f>
        <v>0</v>
      </c>
      <c r="AG104" s="86">
        <f>SUMIFS('январь 2024'!$G$4:$G$1206,'январь 2024'!$D$4:$D$1206,$B104,'январь 2024'!$J$4:$J$1206,AG$1)</f>
        <v>0</v>
      </c>
      <c r="AH104" s="86">
        <f>SUMIFS('январь 2024'!$G$4:$G$1206,'январь 2024'!$D$4:$D$1206,$B104,'январь 2024'!$J$4:$J$1206,AH$1)</f>
        <v>0</v>
      </c>
      <c r="AI104" s="21">
        <f>SUM(D104:AH104)</f>
        <v>0</v>
      </c>
    </row>
    <row r="105" spans="2:35" ht="15" customHeight="1" x14ac:dyDescent="0.25">
      <c r="B105" s="93" t="s">
        <v>330</v>
      </c>
      <c r="C105" s="91">
        <v>180</v>
      </c>
      <c r="D105" s="86">
        <f>SUMIFS('январь 2024'!$G$4:$G$1206,'январь 2024'!$D$4:$D$1206,$B105,'январь 2024'!$J$4:$J$1206,D$1)</f>
        <v>0</v>
      </c>
      <c r="E105" s="86">
        <f>SUMIFS('январь 2024'!$G$4:$G$1206,'январь 2024'!$D$4:$D$1206,$B105,'январь 2024'!$J$4:$J$1206,E$1)</f>
        <v>0</v>
      </c>
      <c r="F105" s="86">
        <f>SUMIFS('январь 2024'!$G$4:$G$1206,'январь 2024'!$D$4:$D$1206,$B105,'январь 2024'!$J$4:$J$1206,F$1)</f>
        <v>0</v>
      </c>
      <c r="G105" s="86">
        <f>SUMIFS('январь 2024'!$G$4:$G$1206,'январь 2024'!$D$4:$D$1206,$B105,'январь 2024'!$J$4:$J$1206,G$1)</f>
        <v>0</v>
      </c>
      <c r="H105" s="86">
        <f>SUMIFS('январь 2024'!$G$4:$G$1206,'январь 2024'!$D$4:$D$1206,$B105,'январь 2024'!$J$4:$J$1206,H$1)</f>
        <v>0</v>
      </c>
      <c r="I105" s="86">
        <f>SUMIFS('январь 2024'!$G$4:$G$1206,'январь 2024'!$D$4:$D$1206,$B105,'январь 2024'!$J$4:$J$1206,I$1)</f>
        <v>0</v>
      </c>
      <c r="J105" s="86">
        <f>SUMIFS('январь 2024'!$G$4:$G$1206,'январь 2024'!$D$4:$D$1206,$B105,'январь 2024'!$J$4:$J$1206,J$1)</f>
        <v>0</v>
      </c>
      <c r="K105" s="86">
        <f>SUMIFS('январь 2024'!$G$4:$G$1206,'январь 2024'!$D$4:$D$1206,$B105,'январь 2024'!$J$4:$J$1206,K$1)</f>
        <v>0</v>
      </c>
      <c r="L105" s="86">
        <f>SUMIFS('январь 2024'!$G$4:$G$1206,'январь 2024'!$D$4:$D$1206,$B105,'январь 2024'!$J$4:$J$1206,L$1)</f>
        <v>0</v>
      </c>
      <c r="M105" s="86">
        <f>SUMIFS('январь 2024'!$G$4:$G$1206,'январь 2024'!$D$4:$D$1206,$B105,'январь 2024'!$J$4:$J$1206,M$1)</f>
        <v>0</v>
      </c>
      <c r="N105" s="86">
        <f>SUMIFS('январь 2024'!$G$4:$G$1206,'январь 2024'!$D$4:$D$1206,$B105,'январь 2024'!$J$4:$J$1206,N$1)</f>
        <v>0</v>
      </c>
      <c r="O105" s="86">
        <f>SUMIFS('январь 2024'!$G$4:$G$1206,'январь 2024'!$D$4:$D$1206,$B105,'январь 2024'!$J$4:$J$1206,O$1)</f>
        <v>0</v>
      </c>
      <c r="P105" s="86">
        <f>SUMIFS('январь 2024'!$G$4:$G$1206,'январь 2024'!$D$4:$D$1206,$B105,'январь 2024'!$J$4:$J$1206,P$1)</f>
        <v>0</v>
      </c>
      <c r="Q105" s="86">
        <f>SUMIFS('январь 2024'!$G$4:$G$1206,'январь 2024'!$D$4:$D$1206,$B105,'январь 2024'!$J$4:$J$1206,Q$1)</f>
        <v>0</v>
      </c>
      <c r="R105" s="86">
        <f>SUMIFS('январь 2024'!$G$4:$G$1206,'январь 2024'!$D$4:$D$1206,$B105,'январь 2024'!$J$4:$J$1206,R$1)</f>
        <v>0</v>
      </c>
      <c r="S105" s="86">
        <f>SUMIFS('январь 2024'!$G$4:$G$1206,'январь 2024'!$D$4:$D$1206,$B105,'январь 2024'!$J$4:$J$1206,S$1)</f>
        <v>0</v>
      </c>
      <c r="T105" s="86">
        <f>SUMIFS('январь 2024'!$G$4:$G$1206,'январь 2024'!$D$4:$D$1206,$B105,'январь 2024'!$J$4:$J$1206,T$1)</f>
        <v>0</v>
      </c>
      <c r="U105" s="86">
        <f>SUMIFS('январь 2024'!$G$4:$G$1206,'январь 2024'!$D$4:$D$1206,$B105,'январь 2024'!$J$4:$J$1206,U$1)</f>
        <v>0</v>
      </c>
      <c r="V105" s="86">
        <f>SUMIFS('январь 2024'!$G$4:$G$1206,'январь 2024'!$D$4:$D$1206,$B105,'январь 2024'!$J$4:$J$1206,V$1)</f>
        <v>0</v>
      </c>
      <c r="W105" s="86">
        <f>SUMIFS('январь 2024'!$G$4:$G$1206,'январь 2024'!$D$4:$D$1206,$B105,'январь 2024'!$J$4:$J$1206,W$1)</f>
        <v>0</v>
      </c>
      <c r="X105" s="86">
        <f>SUMIFS('январь 2024'!$G$4:$G$1206,'январь 2024'!$D$4:$D$1206,$B105,'январь 2024'!$J$4:$J$1206,X$1)</f>
        <v>0</v>
      </c>
      <c r="Y105" s="86">
        <f>SUMIFS('январь 2024'!$G$4:$G$1206,'январь 2024'!$D$4:$D$1206,$B105,'январь 2024'!$J$4:$J$1206,Y$1)</f>
        <v>0</v>
      </c>
      <c r="Z105" s="86">
        <f>SUMIFS('январь 2024'!$G$4:$G$1206,'январь 2024'!$D$4:$D$1206,$B105,'январь 2024'!$J$4:$J$1206,Z$1)</f>
        <v>0</v>
      </c>
      <c r="AA105" s="86">
        <f>SUMIFS('январь 2024'!$G$4:$G$1206,'январь 2024'!$D$4:$D$1206,$B105,'январь 2024'!$J$4:$J$1206,AA$1)</f>
        <v>0</v>
      </c>
      <c r="AB105" s="86">
        <f>SUMIFS('январь 2024'!$G$4:$G$1206,'январь 2024'!$D$4:$D$1206,$B105,'январь 2024'!$J$4:$J$1206,AB$1)</f>
        <v>0</v>
      </c>
      <c r="AC105" s="86">
        <f>SUMIFS('январь 2024'!$G$4:$G$1206,'январь 2024'!$D$4:$D$1206,$B105,'январь 2024'!$J$4:$J$1206,AC$1)</f>
        <v>0</v>
      </c>
      <c r="AD105" s="86">
        <f>SUMIFS('январь 2024'!$G$4:$G$1206,'январь 2024'!$D$4:$D$1206,$B105,'январь 2024'!$J$4:$J$1206,AD$1)</f>
        <v>0</v>
      </c>
      <c r="AE105" s="86">
        <f>SUMIFS('январь 2024'!$G$4:$G$1206,'январь 2024'!$D$4:$D$1206,$B105,'январь 2024'!$J$4:$J$1206,AE$1)</f>
        <v>0</v>
      </c>
      <c r="AF105" s="86">
        <f>SUMIFS('январь 2024'!$G$4:$G$1206,'январь 2024'!$D$4:$D$1206,$B105,'январь 2024'!$J$4:$J$1206,AF$1)</f>
        <v>0</v>
      </c>
      <c r="AG105" s="86">
        <f>SUMIFS('январь 2024'!$G$4:$G$1206,'январь 2024'!$D$4:$D$1206,$B105,'январь 2024'!$J$4:$J$1206,AG$1)</f>
        <v>0</v>
      </c>
      <c r="AH105" s="86">
        <f>SUMIFS('январь 2024'!$G$4:$G$1206,'январь 2024'!$D$4:$D$1206,$B105,'январь 2024'!$J$4:$J$1206,AH$1)</f>
        <v>0</v>
      </c>
      <c r="AI105" s="21">
        <f t="shared" si="1"/>
        <v>0</v>
      </c>
    </row>
    <row r="106" spans="2:35" ht="15" customHeight="1" x14ac:dyDescent="0.25">
      <c r="B106" s="93" t="s">
        <v>331</v>
      </c>
      <c r="C106" s="91">
        <v>200</v>
      </c>
      <c r="D106" s="86">
        <f>SUMIFS('январь 2024'!$G$4:$G$1206,'январь 2024'!$D$4:$D$1206,$B106,'январь 2024'!$J$4:$J$1206,D$1)</f>
        <v>0</v>
      </c>
      <c r="E106" s="86">
        <f>SUMIFS('январь 2024'!$G$4:$G$1206,'январь 2024'!$D$4:$D$1206,$B106,'январь 2024'!$J$4:$J$1206,E$1)</f>
        <v>0</v>
      </c>
      <c r="F106" s="86">
        <f>SUMIFS('январь 2024'!$G$4:$G$1206,'январь 2024'!$D$4:$D$1206,$B106,'январь 2024'!$J$4:$J$1206,F$1)</f>
        <v>0</v>
      </c>
      <c r="G106" s="86">
        <f>SUMIFS('январь 2024'!$G$4:$G$1206,'январь 2024'!$D$4:$D$1206,$B106,'январь 2024'!$J$4:$J$1206,G$1)</f>
        <v>0</v>
      </c>
      <c r="H106" s="86">
        <f>SUMIFS('январь 2024'!$G$4:$G$1206,'январь 2024'!$D$4:$D$1206,$B106,'январь 2024'!$J$4:$J$1206,H$1)</f>
        <v>0</v>
      </c>
      <c r="I106" s="86">
        <f>SUMIFS('январь 2024'!$G$4:$G$1206,'январь 2024'!$D$4:$D$1206,$B106,'январь 2024'!$J$4:$J$1206,I$1)</f>
        <v>0</v>
      </c>
      <c r="J106" s="86">
        <f>SUMIFS('январь 2024'!$G$4:$G$1206,'январь 2024'!$D$4:$D$1206,$B106,'январь 2024'!$J$4:$J$1206,J$1)</f>
        <v>0</v>
      </c>
      <c r="K106" s="86">
        <f>SUMIFS('январь 2024'!$G$4:$G$1206,'январь 2024'!$D$4:$D$1206,$B106,'январь 2024'!$J$4:$J$1206,K$1)</f>
        <v>0</v>
      </c>
      <c r="L106" s="86">
        <f>SUMIFS('январь 2024'!$G$4:$G$1206,'январь 2024'!$D$4:$D$1206,$B106,'январь 2024'!$J$4:$J$1206,L$1)</f>
        <v>0</v>
      </c>
      <c r="M106" s="86">
        <f>SUMIFS('январь 2024'!$G$4:$G$1206,'январь 2024'!$D$4:$D$1206,$B106,'январь 2024'!$J$4:$J$1206,M$1)</f>
        <v>0</v>
      </c>
      <c r="N106" s="86">
        <f>SUMIFS('январь 2024'!$G$4:$G$1206,'январь 2024'!$D$4:$D$1206,$B106,'январь 2024'!$J$4:$J$1206,N$1)</f>
        <v>0</v>
      </c>
      <c r="O106" s="86">
        <f>SUMIFS('январь 2024'!$G$4:$G$1206,'январь 2024'!$D$4:$D$1206,$B106,'январь 2024'!$J$4:$J$1206,O$1)</f>
        <v>0</v>
      </c>
      <c r="P106" s="86">
        <f>SUMIFS('январь 2024'!$G$4:$G$1206,'январь 2024'!$D$4:$D$1206,$B106,'январь 2024'!$J$4:$J$1206,P$1)</f>
        <v>0</v>
      </c>
      <c r="Q106" s="86">
        <f>SUMIFS('январь 2024'!$G$4:$G$1206,'январь 2024'!$D$4:$D$1206,$B106,'январь 2024'!$J$4:$J$1206,Q$1)</f>
        <v>0</v>
      </c>
      <c r="R106" s="86">
        <f>SUMIFS('январь 2024'!$G$4:$G$1206,'январь 2024'!$D$4:$D$1206,$B106,'январь 2024'!$J$4:$J$1206,R$1)</f>
        <v>0</v>
      </c>
      <c r="S106" s="86">
        <f>SUMIFS('январь 2024'!$G$4:$G$1206,'январь 2024'!$D$4:$D$1206,$B106,'январь 2024'!$J$4:$J$1206,S$1)</f>
        <v>0</v>
      </c>
      <c r="T106" s="86">
        <f>SUMIFS('январь 2024'!$G$4:$G$1206,'январь 2024'!$D$4:$D$1206,$B106,'январь 2024'!$J$4:$J$1206,T$1)</f>
        <v>0</v>
      </c>
      <c r="U106" s="86">
        <f>SUMIFS('январь 2024'!$G$4:$G$1206,'январь 2024'!$D$4:$D$1206,$B106,'январь 2024'!$J$4:$J$1206,U$1)</f>
        <v>0</v>
      </c>
      <c r="V106" s="86">
        <f>SUMIFS('январь 2024'!$G$4:$G$1206,'январь 2024'!$D$4:$D$1206,$B106,'январь 2024'!$J$4:$J$1206,V$1)</f>
        <v>0</v>
      </c>
      <c r="W106" s="86">
        <f>SUMIFS('январь 2024'!$G$4:$G$1206,'январь 2024'!$D$4:$D$1206,$B106,'январь 2024'!$J$4:$J$1206,W$1)</f>
        <v>0</v>
      </c>
      <c r="X106" s="86">
        <f>SUMIFS('январь 2024'!$G$4:$G$1206,'январь 2024'!$D$4:$D$1206,$B106,'январь 2024'!$J$4:$J$1206,X$1)</f>
        <v>0</v>
      </c>
      <c r="Y106" s="86">
        <f>SUMIFS('январь 2024'!$G$4:$G$1206,'январь 2024'!$D$4:$D$1206,$B106,'январь 2024'!$J$4:$J$1206,Y$1)</f>
        <v>0</v>
      </c>
      <c r="Z106" s="86">
        <f>SUMIFS('январь 2024'!$G$4:$G$1206,'январь 2024'!$D$4:$D$1206,$B106,'январь 2024'!$J$4:$J$1206,Z$1)</f>
        <v>0</v>
      </c>
      <c r="AA106" s="86">
        <f>SUMIFS('январь 2024'!$G$4:$G$1206,'январь 2024'!$D$4:$D$1206,$B106,'январь 2024'!$J$4:$J$1206,AA$1)</f>
        <v>0</v>
      </c>
      <c r="AB106" s="86">
        <f>SUMIFS('январь 2024'!$G$4:$G$1206,'январь 2024'!$D$4:$D$1206,$B106,'январь 2024'!$J$4:$J$1206,AB$1)</f>
        <v>0</v>
      </c>
      <c r="AC106" s="86">
        <f>SUMIFS('январь 2024'!$G$4:$G$1206,'январь 2024'!$D$4:$D$1206,$B106,'январь 2024'!$J$4:$J$1206,AC$1)</f>
        <v>88</v>
      </c>
      <c r="AD106" s="86">
        <f>SUMIFS('январь 2024'!$G$4:$G$1206,'январь 2024'!$D$4:$D$1206,$B106,'январь 2024'!$J$4:$J$1206,AD$1)</f>
        <v>0</v>
      </c>
      <c r="AE106" s="86">
        <f>SUMIFS('январь 2024'!$G$4:$G$1206,'январь 2024'!$D$4:$D$1206,$B106,'январь 2024'!$J$4:$J$1206,AE$1)</f>
        <v>0</v>
      </c>
      <c r="AF106" s="86">
        <f>SUMIFS('январь 2024'!$G$4:$G$1206,'январь 2024'!$D$4:$D$1206,$B106,'январь 2024'!$J$4:$J$1206,AF$1)</f>
        <v>88</v>
      </c>
      <c r="AG106" s="86">
        <f>SUMIFS('январь 2024'!$G$4:$G$1206,'январь 2024'!$D$4:$D$1206,$B106,'январь 2024'!$J$4:$J$1206,AG$1)</f>
        <v>0</v>
      </c>
      <c r="AH106" s="86">
        <f>SUMIFS('январь 2024'!$G$4:$G$1206,'январь 2024'!$D$4:$D$1206,$B106,'январь 2024'!$J$4:$J$1206,AH$1)</f>
        <v>0</v>
      </c>
      <c r="AI106" s="21">
        <f t="shared" si="1"/>
        <v>176</v>
      </c>
    </row>
    <row r="107" spans="2:35" ht="15" customHeight="1" x14ac:dyDescent="0.25">
      <c r="B107" s="89" t="s">
        <v>164</v>
      </c>
      <c r="C107" s="88">
        <v>950</v>
      </c>
      <c r="D107" s="86">
        <f>SUMIFS('январь 2024'!$G$4:$G$1206,'январь 2024'!$D$4:$D$1206,$B107,'январь 2024'!$J$4:$J$1206,D$1)</f>
        <v>0</v>
      </c>
      <c r="E107" s="86">
        <f>SUMIFS('январь 2024'!$G$4:$G$1206,'январь 2024'!$D$4:$D$1206,$B107,'январь 2024'!$J$4:$J$1206,E$1)</f>
        <v>0</v>
      </c>
      <c r="F107" s="86">
        <f>SUMIFS('январь 2024'!$G$4:$G$1206,'январь 2024'!$D$4:$D$1206,$B107,'январь 2024'!$J$4:$J$1206,F$1)</f>
        <v>0</v>
      </c>
      <c r="G107" s="86">
        <f>SUMIFS('январь 2024'!$G$4:$G$1206,'январь 2024'!$D$4:$D$1206,$B107,'январь 2024'!$J$4:$J$1206,G$1)</f>
        <v>0</v>
      </c>
      <c r="H107" s="86">
        <f>SUMIFS('январь 2024'!$G$4:$G$1206,'январь 2024'!$D$4:$D$1206,$B107,'январь 2024'!$J$4:$J$1206,H$1)</f>
        <v>0</v>
      </c>
      <c r="I107" s="86">
        <f>SUMIFS('январь 2024'!$G$4:$G$1206,'январь 2024'!$D$4:$D$1206,$B107,'январь 2024'!$J$4:$J$1206,I$1)</f>
        <v>0</v>
      </c>
      <c r="J107" s="86">
        <f>SUMIFS('январь 2024'!$G$4:$G$1206,'январь 2024'!$D$4:$D$1206,$B107,'январь 2024'!$J$4:$J$1206,J$1)</f>
        <v>0</v>
      </c>
      <c r="K107" s="86">
        <f>SUMIFS('январь 2024'!$G$4:$G$1206,'январь 2024'!$D$4:$D$1206,$B107,'январь 2024'!$J$4:$J$1206,K$1)</f>
        <v>0</v>
      </c>
      <c r="L107" s="86">
        <f>SUMIFS('январь 2024'!$G$4:$G$1206,'январь 2024'!$D$4:$D$1206,$B107,'январь 2024'!$J$4:$J$1206,L$1)</f>
        <v>0</v>
      </c>
      <c r="M107" s="86">
        <f>SUMIFS('январь 2024'!$G$4:$G$1206,'январь 2024'!$D$4:$D$1206,$B107,'январь 2024'!$J$4:$J$1206,M$1)</f>
        <v>0</v>
      </c>
      <c r="N107" s="86">
        <f>SUMIFS('январь 2024'!$G$4:$G$1206,'январь 2024'!$D$4:$D$1206,$B107,'январь 2024'!$J$4:$J$1206,N$1)</f>
        <v>0</v>
      </c>
      <c r="O107" s="86">
        <f>SUMIFS('январь 2024'!$G$4:$G$1206,'январь 2024'!$D$4:$D$1206,$B107,'январь 2024'!$J$4:$J$1206,O$1)</f>
        <v>0</v>
      </c>
      <c r="P107" s="86">
        <f>SUMIFS('январь 2024'!$G$4:$G$1206,'январь 2024'!$D$4:$D$1206,$B107,'январь 2024'!$J$4:$J$1206,P$1)</f>
        <v>0</v>
      </c>
      <c r="Q107" s="86">
        <f>SUMIFS('январь 2024'!$G$4:$G$1206,'январь 2024'!$D$4:$D$1206,$B107,'январь 2024'!$J$4:$J$1206,Q$1)</f>
        <v>0</v>
      </c>
      <c r="R107" s="86">
        <f>SUMIFS('январь 2024'!$G$4:$G$1206,'январь 2024'!$D$4:$D$1206,$B107,'январь 2024'!$J$4:$J$1206,R$1)</f>
        <v>0</v>
      </c>
      <c r="S107" s="86">
        <f>SUMIFS('январь 2024'!$G$4:$G$1206,'январь 2024'!$D$4:$D$1206,$B107,'январь 2024'!$J$4:$J$1206,S$1)</f>
        <v>0</v>
      </c>
      <c r="T107" s="86">
        <f>SUMIFS('январь 2024'!$G$4:$G$1206,'январь 2024'!$D$4:$D$1206,$B107,'январь 2024'!$J$4:$J$1206,T$1)</f>
        <v>0</v>
      </c>
      <c r="U107" s="86">
        <f>SUMIFS('январь 2024'!$G$4:$G$1206,'январь 2024'!$D$4:$D$1206,$B107,'январь 2024'!$J$4:$J$1206,U$1)</f>
        <v>0</v>
      </c>
      <c r="V107" s="86">
        <f>SUMIFS('январь 2024'!$G$4:$G$1206,'январь 2024'!$D$4:$D$1206,$B107,'январь 2024'!$J$4:$J$1206,V$1)</f>
        <v>0</v>
      </c>
      <c r="W107" s="86">
        <f>SUMIFS('январь 2024'!$G$4:$G$1206,'январь 2024'!$D$4:$D$1206,$B107,'январь 2024'!$J$4:$J$1206,W$1)</f>
        <v>0</v>
      </c>
      <c r="X107" s="86">
        <f>SUMIFS('январь 2024'!$G$4:$G$1206,'январь 2024'!$D$4:$D$1206,$B107,'январь 2024'!$J$4:$J$1206,X$1)</f>
        <v>0</v>
      </c>
      <c r="Y107" s="86">
        <f>SUMIFS('январь 2024'!$G$4:$G$1206,'январь 2024'!$D$4:$D$1206,$B107,'январь 2024'!$J$4:$J$1206,Y$1)</f>
        <v>0</v>
      </c>
      <c r="Z107" s="86">
        <f>SUMIFS('январь 2024'!$G$4:$G$1206,'январь 2024'!$D$4:$D$1206,$B107,'январь 2024'!$J$4:$J$1206,Z$1)</f>
        <v>0</v>
      </c>
      <c r="AA107" s="86">
        <f>SUMIFS('январь 2024'!$G$4:$G$1206,'январь 2024'!$D$4:$D$1206,$B107,'январь 2024'!$J$4:$J$1206,AA$1)</f>
        <v>0</v>
      </c>
      <c r="AB107" s="86">
        <f>SUMIFS('январь 2024'!$G$4:$G$1206,'январь 2024'!$D$4:$D$1206,$B107,'январь 2024'!$J$4:$J$1206,AB$1)</f>
        <v>0</v>
      </c>
      <c r="AC107" s="86">
        <f>SUMIFS('январь 2024'!$G$4:$G$1206,'январь 2024'!$D$4:$D$1206,$B107,'январь 2024'!$J$4:$J$1206,AC$1)</f>
        <v>0</v>
      </c>
      <c r="AD107" s="86">
        <f>SUMIFS('январь 2024'!$G$4:$G$1206,'январь 2024'!$D$4:$D$1206,$B107,'январь 2024'!$J$4:$J$1206,AD$1)</f>
        <v>0</v>
      </c>
      <c r="AE107" s="86">
        <f>SUMIFS('январь 2024'!$G$4:$G$1206,'январь 2024'!$D$4:$D$1206,$B107,'январь 2024'!$J$4:$J$1206,AE$1)</f>
        <v>0</v>
      </c>
      <c r="AF107" s="86">
        <f>SUMIFS('январь 2024'!$G$4:$G$1206,'январь 2024'!$D$4:$D$1206,$B107,'январь 2024'!$J$4:$J$1206,AF$1)</f>
        <v>0</v>
      </c>
      <c r="AG107" s="86">
        <f>SUMIFS('январь 2024'!$G$4:$G$1206,'январь 2024'!$D$4:$D$1206,$B107,'январь 2024'!$J$4:$J$1206,AG$1)</f>
        <v>0</v>
      </c>
      <c r="AH107" s="86">
        <f>SUMIFS('январь 2024'!$G$4:$G$1206,'январь 2024'!$D$4:$D$1206,$B107,'январь 2024'!$J$4:$J$1206,AH$1)</f>
        <v>0</v>
      </c>
      <c r="AI107" s="21">
        <f t="shared" si="1"/>
        <v>0</v>
      </c>
    </row>
    <row r="108" spans="2:35" ht="15" customHeight="1" x14ac:dyDescent="0.25">
      <c r="B108" s="89" t="s">
        <v>193</v>
      </c>
      <c r="C108" s="88">
        <v>180</v>
      </c>
      <c r="D108" s="86">
        <f>SUMIFS('январь 2024'!$G$4:$G$1206,'январь 2024'!$D$4:$D$1206,$B108,'январь 2024'!$J$4:$J$1206,D$1)</f>
        <v>0</v>
      </c>
      <c r="E108" s="86">
        <f>SUMIFS('январь 2024'!$G$4:$G$1206,'январь 2024'!$D$4:$D$1206,$B108,'январь 2024'!$J$4:$J$1206,E$1)</f>
        <v>0</v>
      </c>
      <c r="F108" s="86">
        <f>SUMIFS('январь 2024'!$G$4:$G$1206,'январь 2024'!$D$4:$D$1206,$B108,'январь 2024'!$J$4:$J$1206,F$1)</f>
        <v>0</v>
      </c>
      <c r="G108" s="86">
        <f>SUMIFS('январь 2024'!$G$4:$G$1206,'январь 2024'!$D$4:$D$1206,$B108,'январь 2024'!$J$4:$J$1206,G$1)</f>
        <v>0</v>
      </c>
      <c r="H108" s="86">
        <f>SUMIFS('январь 2024'!$G$4:$G$1206,'январь 2024'!$D$4:$D$1206,$B108,'январь 2024'!$J$4:$J$1206,H$1)</f>
        <v>0</v>
      </c>
      <c r="I108" s="86">
        <f>SUMIFS('январь 2024'!$G$4:$G$1206,'январь 2024'!$D$4:$D$1206,$B108,'январь 2024'!$J$4:$J$1206,I$1)</f>
        <v>0</v>
      </c>
      <c r="J108" s="86">
        <f>SUMIFS('январь 2024'!$G$4:$G$1206,'январь 2024'!$D$4:$D$1206,$B108,'январь 2024'!$J$4:$J$1206,J$1)</f>
        <v>0</v>
      </c>
      <c r="K108" s="86">
        <f>SUMIFS('январь 2024'!$G$4:$G$1206,'январь 2024'!$D$4:$D$1206,$B108,'январь 2024'!$J$4:$J$1206,K$1)</f>
        <v>0</v>
      </c>
      <c r="L108" s="86">
        <f>SUMIFS('январь 2024'!$G$4:$G$1206,'январь 2024'!$D$4:$D$1206,$B108,'январь 2024'!$J$4:$J$1206,L$1)</f>
        <v>0</v>
      </c>
      <c r="M108" s="86">
        <f>SUMIFS('январь 2024'!$G$4:$G$1206,'январь 2024'!$D$4:$D$1206,$B108,'январь 2024'!$J$4:$J$1206,M$1)</f>
        <v>0</v>
      </c>
      <c r="N108" s="86">
        <f>SUMIFS('январь 2024'!$G$4:$G$1206,'январь 2024'!$D$4:$D$1206,$B108,'январь 2024'!$J$4:$J$1206,N$1)</f>
        <v>0</v>
      </c>
      <c r="O108" s="86">
        <f>SUMIFS('январь 2024'!$G$4:$G$1206,'январь 2024'!$D$4:$D$1206,$B108,'январь 2024'!$J$4:$J$1206,O$1)</f>
        <v>0</v>
      </c>
      <c r="P108" s="86">
        <f>SUMIFS('январь 2024'!$G$4:$G$1206,'январь 2024'!$D$4:$D$1206,$B108,'январь 2024'!$J$4:$J$1206,P$1)</f>
        <v>0</v>
      </c>
      <c r="Q108" s="86">
        <f>SUMIFS('январь 2024'!$G$4:$G$1206,'январь 2024'!$D$4:$D$1206,$B108,'январь 2024'!$J$4:$J$1206,Q$1)</f>
        <v>0</v>
      </c>
      <c r="R108" s="86">
        <f>SUMIFS('январь 2024'!$G$4:$G$1206,'январь 2024'!$D$4:$D$1206,$B108,'январь 2024'!$J$4:$J$1206,R$1)</f>
        <v>0</v>
      </c>
      <c r="S108" s="86">
        <f>SUMIFS('январь 2024'!$G$4:$G$1206,'январь 2024'!$D$4:$D$1206,$B108,'январь 2024'!$J$4:$J$1206,S$1)</f>
        <v>0</v>
      </c>
      <c r="T108" s="86">
        <f>SUMIFS('январь 2024'!$G$4:$G$1206,'январь 2024'!$D$4:$D$1206,$B108,'январь 2024'!$J$4:$J$1206,T$1)</f>
        <v>0</v>
      </c>
      <c r="U108" s="86">
        <f>SUMIFS('январь 2024'!$G$4:$G$1206,'январь 2024'!$D$4:$D$1206,$B108,'январь 2024'!$J$4:$J$1206,U$1)</f>
        <v>0</v>
      </c>
      <c r="V108" s="86">
        <f>SUMIFS('январь 2024'!$G$4:$G$1206,'январь 2024'!$D$4:$D$1206,$B108,'январь 2024'!$J$4:$J$1206,V$1)</f>
        <v>0</v>
      </c>
      <c r="W108" s="86">
        <f>SUMIFS('январь 2024'!$G$4:$G$1206,'январь 2024'!$D$4:$D$1206,$B108,'январь 2024'!$J$4:$J$1206,W$1)</f>
        <v>0</v>
      </c>
      <c r="X108" s="86">
        <f>SUMIFS('январь 2024'!$G$4:$G$1206,'январь 2024'!$D$4:$D$1206,$B108,'январь 2024'!$J$4:$J$1206,X$1)</f>
        <v>0</v>
      </c>
      <c r="Y108" s="86">
        <f>SUMIFS('январь 2024'!$G$4:$G$1206,'январь 2024'!$D$4:$D$1206,$B108,'январь 2024'!$J$4:$J$1206,Y$1)</f>
        <v>0</v>
      </c>
      <c r="Z108" s="86">
        <f>SUMIFS('январь 2024'!$G$4:$G$1206,'январь 2024'!$D$4:$D$1206,$B108,'январь 2024'!$J$4:$J$1206,Z$1)</f>
        <v>0</v>
      </c>
      <c r="AA108" s="86">
        <f>SUMIFS('январь 2024'!$G$4:$G$1206,'январь 2024'!$D$4:$D$1206,$B108,'январь 2024'!$J$4:$J$1206,AA$1)</f>
        <v>0</v>
      </c>
      <c r="AB108" s="86">
        <f>SUMIFS('январь 2024'!$G$4:$G$1206,'январь 2024'!$D$4:$D$1206,$B108,'январь 2024'!$J$4:$J$1206,AB$1)</f>
        <v>0</v>
      </c>
      <c r="AC108" s="86">
        <f>SUMIFS('январь 2024'!$G$4:$G$1206,'январь 2024'!$D$4:$D$1206,$B108,'январь 2024'!$J$4:$J$1206,AC$1)</f>
        <v>0</v>
      </c>
      <c r="AD108" s="86">
        <f>SUMIFS('январь 2024'!$G$4:$G$1206,'январь 2024'!$D$4:$D$1206,$B108,'январь 2024'!$J$4:$J$1206,AD$1)</f>
        <v>0</v>
      </c>
      <c r="AE108" s="86">
        <f>SUMIFS('январь 2024'!$G$4:$G$1206,'январь 2024'!$D$4:$D$1206,$B108,'январь 2024'!$J$4:$J$1206,AE$1)</f>
        <v>0</v>
      </c>
      <c r="AF108" s="86">
        <f>SUMIFS('январь 2024'!$G$4:$G$1206,'январь 2024'!$D$4:$D$1206,$B108,'январь 2024'!$J$4:$J$1206,AF$1)</f>
        <v>0</v>
      </c>
      <c r="AG108" s="86">
        <f>SUMIFS('январь 2024'!$G$4:$G$1206,'январь 2024'!$D$4:$D$1206,$B108,'январь 2024'!$J$4:$J$1206,AG$1)</f>
        <v>0</v>
      </c>
      <c r="AH108" s="86">
        <f>SUMIFS('январь 2024'!$G$4:$G$1206,'январь 2024'!$D$4:$D$1206,$B108,'январь 2024'!$J$4:$J$1206,AH$1)</f>
        <v>0</v>
      </c>
      <c r="AI108" s="21">
        <f t="shared" si="1"/>
        <v>0</v>
      </c>
    </row>
    <row r="109" spans="2:35" ht="15" customHeight="1" x14ac:dyDescent="0.25">
      <c r="B109" s="89" t="s">
        <v>177</v>
      </c>
      <c r="C109" s="88">
        <v>200</v>
      </c>
      <c r="D109" s="86">
        <f>SUMIFS('январь 2024'!$G$4:$G$1206,'январь 2024'!$D$4:$D$1206,$B109,'январь 2024'!$J$4:$J$1206,D$1)</f>
        <v>0</v>
      </c>
      <c r="E109" s="86">
        <f>SUMIFS('январь 2024'!$G$4:$G$1206,'январь 2024'!$D$4:$D$1206,$B109,'январь 2024'!$J$4:$J$1206,E$1)</f>
        <v>0</v>
      </c>
      <c r="F109" s="86">
        <f>SUMIFS('январь 2024'!$G$4:$G$1206,'январь 2024'!$D$4:$D$1206,$B109,'январь 2024'!$J$4:$J$1206,F$1)</f>
        <v>0</v>
      </c>
      <c r="G109" s="86">
        <f>SUMIFS('январь 2024'!$G$4:$G$1206,'январь 2024'!$D$4:$D$1206,$B109,'январь 2024'!$J$4:$J$1206,G$1)</f>
        <v>0</v>
      </c>
      <c r="H109" s="86">
        <f>SUMIFS('январь 2024'!$G$4:$G$1206,'январь 2024'!$D$4:$D$1206,$B109,'январь 2024'!$J$4:$J$1206,H$1)</f>
        <v>0</v>
      </c>
      <c r="I109" s="86">
        <f>SUMIFS('январь 2024'!$G$4:$G$1206,'январь 2024'!$D$4:$D$1206,$B109,'январь 2024'!$J$4:$J$1206,I$1)</f>
        <v>0</v>
      </c>
      <c r="J109" s="86">
        <f>SUMIFS('январь 2024'!$G$4:$G$1206,'январь 2024'!$D$4:$D$1206,$B109,'январь 2024'!$J$4:$J$1206,J$1)</f>
        <v>0</v>
      </c>
      <c r="K109" s="86">
        <f>SUMIFS('январь 2024'!$G$4:$G$1206,'январь 2024'!$D$4:$D$1206,$B109,'январь 2024'!$J$4:$J$1206,K$1)</f>
        <v>0</v>
      </c>
      <c r="L109" s="86">
        <f>SUMIFS('январь 2024'!$G$4:$G$1206,'январь 2024'!$D$4:$D$1206,$B109,'январь 2024'!$J$4:$J$1206,L$1)</f>
        <v>0</v>
      </c>
      <c r="M109" s="86">
        <f>SUMIFS('январь 2024'!$G$4:$G$1206,'январь 2024'!$D$4:$D$1206,$B109,'январь 2024'!$J$4:$J$1206,M$1)</f>
        <v>0</v>
      </c>
      <c r="N109" s="86">
        <f>SUMIFS('январь 2024'!$G$4:$G$1206,'январь 2024'!$D$4:$D$1206,$B109,'январь 2024'!$J$4:$J$1206,N$1)</f>
        <v>0</v>
      </c>
      <c r="O109" s="86">
        <f>SUMIFS('январь 2024'!$G$4:$G$1206,'январь 2024'!$D$4:$D$1206,$B109,'январь 2024'!$J$4:$J$1206,O$1)</f>
        <v>0</v>
      </c>
      <c r="P109" s="86">
        <f>SUMIFS('январь 2024'!$G$4:$G$1206,'январь 2024'!$D$4:$D$1206,$B109,'январь 2024'!$J$4:$J$1206,P$1)</f>
        <v>0</v>
      </c>
      <c r="Q109" s="86">
        <f>SUMIFS('январь 2024'!$G$4:$G$1206,'январь 2024'!$D$4:$D$1206,$B109,'январь 2024'!$J$4:$J$1206,Q$1)</f>
        <v>0</v>
      </c>
      <c r="R109" s="86">
        <f>SUMIFS('январь 2024'!$G$4:$G$1206,'январь 2024'!$D$4:$D$1206,$B109,'январь 2024'!$J$4:$J$1206,R$1)</f>
        <v>0</v>
      </c>
      <c r="S109" s="86">
        <f>SUMIFS('январь 2024'!$G$4:$G$1206,'январь 2024'!$D$4:$D$1206,$B109,'январь 2024'!$J$4:$J$1206,S$1)</f>
        <v>0</v>
      </c>
      <c r="T109" s="86">
        <f>SUMIFS('январь 2024'!$G$4:$G$1206,'январь 2024'!$D$4:$D$1206,$B109,'январь 2024'!$J$4:$J$1206,T$1)</f>
        <v>0</v>
      </c>
      <c r="U109" s="86">
        <f>SUMIFS('январь 2024'!$G$4:$G$1206,'январь 2024'!$D$4:$D$1206,$B109,'январь 2024'!$J$4:$J$1206,U$1)</f>
        <v>0</v>
      </c>
      <c r="V109" s="86">
        <f>SUMIFS('январь 2024'!$G$4:$G$1206,'январь 2024'!$D$4:$D$1206,$B109,'январь 2024'!$J$4:$J$1206,V$1)</f>
        <v>0</v>
      </c>
      <c r="W109" s="86">
        <f>SUMIFS('январь 2024'!$G$4:$G$1206,'январь 2024'!$D$4:$D$1206,$B109,'январь 2024'!$J$4:$J$1206,W$1)</f>
        <v>0</v>
      </c>
      <c r="X109" s="86">
        <f>SUMIFS('январь 2024'!$G$4:$G$1206,'январь 2024'!$D$4:$D$1206,$B109,'январь 2024'!$J$4:$J$1206,X$1)</f>
        <v>0</v>
      </c>
      <c r="Y109" s="86">
        <f>SUMIFS('январь 2024'!$G$4:$G$1206,'январь 2024'!$D$4:$D$1206,$B109,'январь 2024'!$J$4:$J$1206,Y$1)</f>
        <v>0</v>
      </c>
      <c r="Z109" s="86">
        <f>SUMIFS('январь 2024'!$G$4:$G$1206,'январь 2024'!$D$4:$D$1206,$B109,'январь 2024'!$J$4:$J$1206,Z$1)</f>
        <v>0</v>
      </c>
      <c r="AA109" s="86">
        <f>SUMIFS('январь 2024'!$G$4:$G$1206,'январь 2024'!$D$4:$D$1206,$B109,'январь 2024'!$J$4:$J$1206,AA$1)</f>
        <v>0</v>
      </c>
      <c r="AB109" s="86">
        <f>SUMIFS('январь 2024'!$G$4:$G$1206,'январь 2024'!$D$4:$D$1206,$B109,'январь 2024'!$J$4:$J$1206,AB$1)</f>
        <v>0</v>
      </c>
      <c r="AC109" s="86">
        <f>SUMIFS('январь 2024'!$G$4:$G$1206,'январь 2024'!$D$4:$D$1206,$B109,'январь 2024'!$J$4:$J$1206,AC$1)</f>
        <v>0</v>
      </c>
      <c r="AD109" s="86">
        <f>SUMIFS('январь 2024'!$G$4:$G$1206,'январь 2024'!$D$4:$D$1206,$B109,'январь 2024'!$J$4:$J$1206,AD$1)</f>
        <v>0</v>
      </c>
      <c r="AE109" s="86">
        <f>SUMIFS('январь 2024'!$G$4:$G$1206,'январь 2024'!$D$4:$D$1206,$B109,'январь 2024'!$J$4:$J$1206,AE$1)</f>
        <v>0</v>
      </c>
      <c r="AF109" s="86">
        <f>SUMIFS('январь 2024'!$G$4:$G$1206,'январь 2024'!$D$4:$D$1206,$B109,'январь 2024'!$J$4:$J$1206,AF$1)</f>
        <v>0</v>
      </c>
      <c r="AG109" s="86">
        <f>SUMIFS('январь 2024'!$G$4:$G$1206,'январь 2024'!$D$4:$D$1206,$B109,'январь 2024'!$J$4:$J$1206,AG$1)</f>
        <v>0</v>
      </c>
      <c r="AH109" s="86">
        <f>SUMIFS('январь 2024'!$G$4:$G$1206,'январь 2024'!$D$4:$D$1206,$B109,'январь 2024'!$J$4:$J$1206,AH$1)</f>
        <v>0</v>
      </c>
      <c r="AI109" s="21">
        <f t="shared" si="1"/>
        <v>0</v>
      </c>
    </row>
    <row r="110" spans="2:35" ht="15" customHeight="1" x14ac:dyDescent="0.25">
      <c r="B110" s="89" t="s">
        <v>178</v>
      </c>
      <c r="C110" s="88">
        <v>200</v>
      </c>
      <c r="D110" s="86">
        <f>SUMIFS('январь 2024'!$G$4:$G$1206,'январь 2024'!$D$4:$D$1206,$B110,'январь 2024'!$J$4:$J$1206,D$1)</f>
        <v>0</v>
      </c>
      <c r="E110" s="86">
        <f>SUMIFS('январь 2024'!$G$4:$G$1206,'январь 2024'!$D$4:$D$1206,$B110,'январь 2024'!$J$4:$J$1206,E$1)</f>
        <v>0</v>
      </c>
      <c r="F110" s="86">
        <f>SUMIFS('январь 2024'!$G$4:$G$1206,'январь 2024'!$D$4:$D$1206,$B110,'январь 2024'!$J$4:$J$1206,F$1)</f>
        <v>0</v>
      </c>
      <c r="G110" s="86">
        <f>SUMIFS('январь 2024'!$G$4:$G$1206,'январь 2024'!$D$4:$D$1206,$B110,'январь 2024'!$J$4:$J$1206,G$1)</f>
        <v>0</v>
      </c>
      <c r="H110" s="86">
        <f>SUMIFS('январь 2024'!$G$4:$G$1206,'январь 2024'!$D$4:$D$1206,$B110,'январь 2024'!$J$4:$J$1206,H$1)</f>
        <v>0</v>
      </c>
      <c r="I110" s="86">
        <f>SUMIFS('январь 2024'!$G$4:$G$1206,'январь 2024'!$D$4:$D$1206,$B110,'январь 2024'!$J$4:$J$1206,I$1)</f>
        <v>0</v>
      </c>
      <c r="J110" s="86">
        <f>SUMIFS('январь 2024'!$G$4:$G$1206,'январь 2024'!$D$4:$D$1206,$B110,'январь 2024'!$J$4:$J$1206,J$1)</f>
        <v>0</v>
      </c>
      <c r="K110" s="86">
        <f>SUMIFS('январь 2024'!$G$4:$G$1206,'январь 2024'!$D$4:$D$1206,$B110,'январь 2024'!$J$4:$J$1206,K$1)</f>
        <v>0</v>
      </c>
      <c r="L110" s="86">
        <f>SUMIFS('январь 2024'!$G$4:$G$1206,'январь 2024'!$D$4:$D$1206,$B110,'январь 2024'!$J$4:$J$1206,L$1)</f>
        <v>0</v>
      </c>
      <c r="M110" s="86">
        <f>SUMIFS('январь 2024'!$G$4:$G$1206,'январь 2024'!$D$4:$D$1206,$B110,'январь 2024'!$J$4:$J$1206,M$1)</f>
        <v>0</v>
      </c>
      <c r="N110" s="86">
        <f>SUMIFS('январь 2024'!$G$4:$G$1206,'январь 2024'!$D$4:$D$1206,$B110,'январь 2024'!$J$4:$J$1206,N$1)</f>
        <v>0</v>
      </c>
      <c r="O110" s="86">
        <f>SUMIFS('январь 2024'!$G$4:$G$1206,'январь 2024'!$D$4:$D$1206,$B110,'январь 2024'!$J$4:$J$1206,O$1)</f>
        <v>0</v>
      </c>
      <c r="P110" s="86">
        <f>SUMIFS('январь 2024'!$G$4:$G$1206,'январь 2024'!$D$4:$D$1206,$B110,'январь 2024'!$J$4:$J$1206,P$1)</f>
        <v>0</v>
      </c>
      <c r="Q110" s="86">
        <f>SUMIFS('январь 2024'!$G$4:$G$1206,'январь 2024'!$D$4:$D$1206,$B110,'январь 2024'!$J$4:$J$1206,Q$1)</f>
        <v>0</v>
      </c>
      <c r="R110" s="86">
        <f>SUMIFS('январь 2024'!$G$4:$G$1206,'январь 2024'!$D$4:$D$1206,$B110,'январь 2024'!$J$4:$J$1206,R$1)</f>
        <v>0</v>
      </c>
      <c r="S110" s="86">
        <f>SUMIFS('январь 2024'!$G$4:$G$1206,'январь 2024'!$D$4:$D$1206,$B110,'январь 2024'!$J$4:$J$1206,S$1)</f>
        <v>0</v>
      </c>
      <c r="T110" s="86">
        <f>SUMIFS('январь 2024'!$G$4:$G$1206,'январь 2024'!$D$4:$D$1206,$B110,'январь 2024'!$J$4:$J$1206,T$1)</f>
        <v>0</v>
      </c>
      <c r="U110" s="86">
        <f>SUMIFS('январь 2024'!$G$4:$G$1206,'январь 2024'!$D$4:$D$1206,$B110,'январь 2024'!$J$4:$J$1206,U$1)</f>
        <v>0</v>
      </c>
      <c r="V110" s="86">
        <f>SUMIFS('январь 2024'!$G$4:$G$1206,'январь 2024'!$D$4:$D$1206,$B110,'январь 2024'!$J$4:$J$1206,V$1)</f>
        <v>0</v>
      </c>
      <c r="W110" s="86">
        <f>SUMIFS('январь 2024'!$G$4:$G$1206,'январь 2024'!$D$4:$D$1206,$B110,'январь 2024'!$J$4:$J$1206,W$1)</f>
        <v>0</v>
      </c>
      <c r="X110" s="86">
        <f>SUMIFS('январь 2024'!$G$4:$G$1206,'январь 2024'!$D$4:$D$1206,$B110,'январь 2024'!$J$4:$J$1206,X$1)</f>
        <v>0</v>
      </c>
      <c r="Y110" s="86">
        <f>SUMIFS('январь 2024'!$G$4:$G$1206,'январь 2024'!$D$4:$D$1206,$B110,'январь 2024'!$J$4:$J$1206,Y$1)</f>
        <v>0</v>
      </c>
      <c r="Z110" s="86">
        <f>SUMIFS('январь 2024'!$G$4:$G$1206,'январь 2024'!$D$4:$D$1206,$B110,'январь 2024'!$J$4:$J$1206,Z$1)</f>
        <v>0</v>
      </c>
      <c r="AA110" s="86">
        <f>SUMIFS('январь 2024'!$G$4:$G$1206,'январь 2024'!$D$4:$D$1206,$B110,'январь 2024'!$J$4:$J$1206,AA$1)</f>
        <v>0</v>
      </c>
      <c r="AB110" s="86">
        <f>SUMIFS('январь 2024'!$G$4:$G$1206,'январь 2024'!$D$4:$D$1206,$B110,'январь 2024'!$J$4:$J$1206,AB$1)</f>
        <v>0</v>
      </c>
      <c r="AC110" s="86">
        <f>SUMIFS('январь 2024'!$G$4:$G$1206,'январь 2024'!$D$4:$D$1206,$B110,'январь 2024'!$J$4:$J$1206,AC$1)</f>
        <v>0</v>
      </c>
      <c r="AD110" s="86">
        <f>SUMIFS('январь 2024'!$G$4:$G$1206,'январь 2024'!$D$4:$D$1206,$B110,'январь 2024'!$J$4:$J$1206,AD$1)</f>
        <v>0</v>
      </c>
      <c r="AE110" s="86">
        <f>SUMIFS('январь 2024'!$G$4:$G$1206,'январь 2024'!$D$4:$D$1206,$B110,'январь 2024'!$J$4:$J$1206,AE$1)</f>
        <v>0</v>
      </c>
      <c r="AF110" s="86">
        <f>SUMIFS('январь 2024'!$G$4:$G$1206,'январь 2024'!$D$4:$D$1206,$B110,'январь 2024'!$J$4:$J$1206,AF$1)</f>
        <v>0</v>
      </c>
      <c r="AG110" s="86">
        <f>SUMIFS('январь 2024'!$G$4:$G$1206,'январь 2024'!$D$4:$D$1206,$B110,'январь 2024'!$J$4:$J$1206,AG$1)</f>
        <v>0</v>
      </c>
      <c r="AH110" s="86">
        <f>SUMIFS('январь 2024'!$G$4:$G$1206,'январь 2024'!$D$4:$D$1206,$B110,'январь 2024'!$J$4:$J$1206,AH$1)</f>
        <v>0</v>
      </c>
      <c r="AI110" s="21">
        <f t="shared" si="1"/>
        <v>0</v>
      </c>
    </row>
    <row r="111" spans="2:35" ht="15" customHeight="1" x14ac:dyDescent="0.25">
      <c r="B111" s="89" t="s">
        <v>180</v>
      </c>
      <c r="C111" s="88">
        <v>200</v>
      </c>
      <c r="D111" s="86">
        <f>SUMIFS('январь 2024'!$G$4:$G$1206,'январь 2024'!$D$4:$D$1206,$B111,'январь 2024'!$J$4:$J$1206,D$1)</f>
        <v>0</v>
      </c>
      <c r="E111" s="86">
        <f>SUMIFS('январь 2024'!$G$4:$G$1206,'январь 2024'!$D$4:$D$1206,$B111,'январь 2024'!$J$4:$J$1206,E$1)</f>
        <v>0</v>
      </c>
      <c r="F111" s="86">
        <f>SUMIFS('январь 2024'!$G$4:$G$1206,'январь 2024'!$D$4:$D$1206,$B111,'январь 2024'!$J$4:$J$1206,F$1)</f>
        <v>0</v>
      </c>
      <c r="G111" s="86">
        <f>SUMIFS('январь 2024'!$G$4:$G$1206,'январь 2024'!$D$4:$D$1206,$B111,'январь 2024'!$J$4:$J$1206,G$1)</f>
        <v>0</v>
      </c>
      <c r="H111" s="86">
        <f>SUMIFS('январь 2024'!$G$4:$G$1206,'январь 2024'!$D$4:$D$1206,$B111,'январь 2024'!$J$4:$J$1206,H$1)</f>
        <v>0</v>
      </c>
      <c r="I111" s="86">
        <f>SUMIFS('январь 2024'!$G$4:$G$1206,'январь 2024'!$D$4:$D$1206,$B111,'январь 2024'!$J$4:$J$1206,I$1)</f>
        <v>0</v>
      </c>
      <c r="J111" s="86">
        <f>SUMIFS('январь 2024'!$G$4:$G$1206,'январь 2024'!$D$4:$D$1206,$B111,'январь 2024'!$J$4:$J$1206,J$1)</f>
        <v>0</v>
      </c>
      <c r="K111" s="86">
        <f>SUMIFS('январь 2024'!$G$4:$G$1206,'январь 2024'!$D$4:$D$1206,$B111,'январь 2024'!$J$4:$J$1206,K$1)</f>
        <v>0</v>
      </c>
      <c r="L111" s="86">
        <f>SUMIFS('январь 2024'!$G$4:$G$1206,'январь 2024'!$D$4:$D$1206,$B111,'январь 2024'!$J$4:$J$1206,L$1)</f>
        <v>0</v>
      </c>
      <c r="M111" s="86">
        <f>SUMIFS('январь 2024'!$G$4:$G$1206,'январь 2024'!$D$4:$D$1206,$B111,'январь 2024'!$J$4:$J$1206,M$1)</f>
        <v>0</v>
      </c>
      <c r="N111" s="86">
        <f>SUMIFS('январь 2024'!$G$4:$G$1206,'январь 2024'!$D$4:$D$1206,$B111,'январь 2024'!$J$4:$J$1206,N$1)</f>
        <v>0</v>
      </c>
      <c r="O111" s="86">
        <f>SUMIFS('январь 2024'!$G$4:$G$1206,'январь 2024'!$D$4:$D$1206,$B111,'январь 2024'!$J$4:$J$1206,O$1)</f>
        <v>0</v>
      </c>
      <c r="P111" s="86">
        <f>SUMIFS('январь 2024'!$G$4:$G$1206,'январь 2024'!$D$4:$D$1206,$B111,'январь 2024'!$J$4:$J$1206,P$1)</f>
        <v>0</v>
      </c>
      <c r="Q111" s="86">
        <f>SUMIFS('январь 2024'!$G$4:$G$1206,'январь 2024'!$D$4:$D$1206,$B111,'январь 2024'!$J$4:$J$1206,Q$1)</f>
        <v>0</v>
      </c>
      <c r="R111" s="86">
        <f>SUMIFS('январь 2024'!$G$4:$G$1206,'январь 2024'!$D$4:$D$1206,$B111,'январь 2024'!$J$4:$J$1206,R$1)</f>
        <v>0</v>
      </c>
      <c r="S111" s="86">
        <f>SUMIFS('январь 2024'!$G$4:$G$1206,'январь 2024'!$D$4:$D$1206,$B111,'январь 2024'!$J$4:$J$1206,S$1)</f>
        <v>0</v>
      </c>
      <c r="T111" s="86">
        <f>SUMIFS('январь 2024'!$G$4:$G$1206,'январь 2024'!$D$4:$D$1206,$B111,'январь 2024'!$J$4:$J$1206,T$1)</f>
        <v>0</v>
      </c>
      <c r="U111" s="86">
        <f>SUMIFS('январь 2024'!$G$4:$G$1206,'январь 2024'!$D$4:$D$1206,$B111,'январь 2024'!$J$4:$J$1206,U$1)</f>
        <v>0</v>
      </c>
      <c r="V111" s="86">
        <f>SUMIFS('январь 2024'!$G$4:$G$1206,'январь 2024'!$D$4:$D$1206,$B111,'январь 2024'!$J$4:$J$1206,V$1)</f>
        <v>0</v>
      </c>
      <c r="W111" s="86">
        <f>SUMIFS('январь 2024'!$G$4:$G$1206,'январь 2024'!$D$4:$D$1206,$B111,'январь 2024'!$J$4:$J$1206,W$1)</f>
        <v>0</v>
      </c>
      <c r="X111" s="86">
        <f>SUMIFS('январь 2024'!$G$4:$G$1206,'январь 2024'!$D$4:$D$1206,$B111,'январь 2024'!$J$4:$J$1206,X$1)</f>
        <v>0</v>
      </c>
      <c r="Y111" s="86">
        <f>SUMIFS('январь 2024'!$G$4:$G$1206,'январь 2024'!$D$4:$D$1206,$B111,'январь 2024'!$J$4:$J$1206,Y$1)</f>
        <v>0</v>
      </c>
      <c r="Z111" s="86">
        <f>SUMIFS('январь 2024'!$G$4:$G$1206,'январь 2024'!$D$4:$D$1206,$B111,'январь 2024'!$J$4:$J$1206,Z$1)</f>
        <v>0</v>
      </c>
      <c r="AA111" s="86">
        <f>SUMIFS('январь 2024'!$G$4:$G$1206,'январь 2024'!$D$4:$D$1206,$B111,'январь 2024'!$J$4:$J$1206,AA$1)</f>
        <v>0</v>
      </c>
      <c r="AB111" s="86">
        <f>SUMIFS('январь 2024'!$G$4:$G$1206,'январь 2024'!$D$4:$D$1206,$B111,'январь 2024'!$J$4:$J$1206,AB$1)</f>
        <v>0</v>
      </c>
      <c r="AC111" s="86">
        <f>SUMIFS('январь 2024'!$G$4:$G$1206,'январь 2024'!$D$4:$D$1206,$B111,'январь 2024'!$J$4:$J$1206,AC$1)</f>
        <v>0</v>
      </c>
      <c r="AD111" s="86">
        <f>SUMIFS('январь 2024'!$G$4:$G$1206,'январь 2024'!$D$4:$D$1206,$B111,'январь 2024'!$J$4:$J$1206,AD$1)</f>
        <v>0</v>
      </c>
      <c r="AE111" s="86">
        <f>SUMIFS('январь 2024'!$G$4:$G$1206,'январь 2024'!$D$4:$D$1206,$B111,'январь 2024'!$J$4:$J$1206,AE$1)</f>
        <v>0</v>
      </c>
      <c r="AF111" s="86">
        <f>SUMIFS('январь 2024'!$G$4:$G$1206,'январь 2024'!$D$4:$D$1206,$B111,'январь 2024'!$J$4:$J$1206,AF$1)</f>
        <v>0</v>
      </c>
      <c r="AG111" s="86">
        <f>SUMIFS('январь 2024'!$G$4:$G$1206,'январь 2024'!$D$4:$D$1206,$B111,'январь 2024'!$J$4:$J$1206,AG$1)</f>
        <v>0</v>
      </c>
      <c r="AH111" s="86">
        <f>SUMIFS('январь 2024'!$G$4:$G$1206,'январь 2024'!$D$4:$D$1206,$B111,'январь 2024'!$J$4:$J$1206,AH$1)</f>
        <v>0</v>
      </c>
      <c r="AI111" s="21">
        <f t="shared" si="1"/>
        <v>0</v>
      </c>
    </row>
    <row r="112" spans="2:35" ht="15" customHeight="1" x14ac:dyDescent="0.25">
      <c r="B112" s="94" t="s">
        <v>194</v>
      </c>
      <c r="C112" s="95">
        <v>180</v>
      </c>
      <c r="D112" s="86">
        <f>SUMIFS('январь 2024'!$G$4:$G$1206,'январь 2024'!$D$4:$D$1206,$B112,'январь 2024'!$J$4:$J$1206,D$1)</f>
        <v>0</v>
      </c>
      <c r="E112" s="86">
        <f>SUMIFS('январь 2024'!$G$4:$G$1206,'январь 2024'!$D$4:$D$1206,$B112,'январь 2024'!$J$4:$J$1206,E$1)</f>
        <v>0</v>
      </c>
      <c r="F112" s="86">
        <f>SUMIFS('январь 2024'!$G$4:$G$1206,'январь 2024'!$D$4:$D$1206,$B112,'январь 2024'!$J$4:$J$1206,F$1)</f>
        <v>0</v>
      </c>
      <c r="G112" s="86">
        <f>SUMIFS('январь 2024'!$G$4:$G$1206,'январь 2024'!$D$4:$D$1206,$B112,'январь 2024'!$J$4:$J$1206,G$1)</f>
        <v>0</v>
      </c>
      <c r="H112" s="86">
        <f>SUMIFS('январь 2024'!$G$4:$G$1206,'январь 2024'!$D$4:$D$1206,$B112,'январь 2024'!$J$4:$J$1206,H$1)</f>
        <v>0</v>
      </c>
      <c r="I112" s="86">
        <f>SUMIFS('январь 2024'!$G$4:$G$1206,'январь 2024'!$D$4:$D$1206,$B112,'январь 2024'!$J$4:$J$1206,I$1)</f>
        <v>0</v>
      </c>
      <c r="J112" s="86">
        <f>SUMIFS('январь 2024'!$G$4:$G$1206,'январь 2024'!$D$4:$D$1206,$B112,'январь 2024'!$J$4:$J$1206,J$1)</f>
        <v>0</v>
      </c>
      <c r="K112" s="86">
        <f>SUMIFS('январь 2024'!$G$4:$G$1206,'январь 2024'!$D$4:$D$1206,$B112,'январь 2024'!$J$4:$J$1206,K$1)</f>
        <v>0</v>
      </c>
      <c r="L112" s="86">
        <f>SUMIFS('январь 2024'!$G$4:$G$1206,'январь 2024'!$D$4:$D$1206,$B112,'январь 2024'!$J$4:$J$1206,L$1)</f>
        <v>0</v>
      </c>
      <c r="M112" s="86">
        <f>SUMIFS('январь 2024'!$G$4:$G$1206,'январь 2024'!$D$4:$D$1206,$B112,'январь 2024'!$J$4:$J$1206,M$1)</f>
        <v>0</v>
      </c>
      <c r="N112" s="86">
        <f>SUMIFS('январь 2024'!$G$4:$G$1206,'январь 2024'!$D$4:$D$1206,$B112,'январь 2024'!$J$4:$J$1206,N$1)</f>
        <v>0</v>
      </c>
      <c r="O112" s="86">
        <f>SUMIFS('январь 2024'!$G$4:$G$1206,'январь 2024'!$D$4:$D$1206,$B112,'январь 2024'!$J$4:$J$1206,O$1)</f>
        <v>0</v>
      </c>
      <c r="P112" s="86">
        <f>SUMIFS('январь 2024'!$G$4:$G$1206,'январь 2024'!$D$4:$D$1206,$B112,'январь 2024'!$J$4:$J$1206,P$1)</f>
        <v>0</v>
      </c>
      <c r="Q112" s="86">
        <f>SUMIFS('январь 2024'!$G$4:$G$1206,'январь 2024'!$D$4:$D$1206,$B112,'январь 2024'!$J$4:$J$1206,Q$1)</f>
        <v>0</v>
      </c>
      <c r="R112" s="86">
        <f>SUMIFS('январь 2024'!$G$4:$G$1206,'январь 2024'!$D$4:$D$1206,$B112,'январь 2024'!$J$4:$J$1206,R$1)</f>
        <v>0</v>
      </c>
      <c r="S112" s="86">
        <f>SUMIFS('январь 2024'!$G$4:$G$1206,'январь 2024'!$D$4:$D$1206,$B112,'январь 2024'!$J$4:$J$1206,S$1)</f>
        <v>0</v>
      </c>
      <c r="T112" s="86">
        <f>SUMIFS('январь 2024'!$G$4:$G$1206,'январь 2024'!$D$4:$D$1206,$B112,'январь 2024'!$J$4:$J$1206,T$1)</f>
        <v>0</v>
      </c>
      <c r="U112" s="86">
        <f>SUMIFS('январь 2024'!$G$4:$G$1206,'январь 2024'!$D$4:$D$1206,$B112,'январь 2024'!$J$4:$J$1206,U$1)</f>
        <v>0</v>
      </c>
      <c r="V112" s="86">
        <f>SUMIFS('январь 2024'!$G$4:$G$1206,'январь 2024'!$D$4:$D$1206,$B112,'январь 2024'!$J$4:$J$1206,V$1)</f>
        <v>0</v>
      </c>
      <c r="W112" s="86">
        <f>SUMIFS('январь 2024'!$G$4:$G$1206,'январь 2024'!$D$4:$D$1206,$B112,'январь 2024'!$J$4:$J$1206,W$1)</f>
        <v>0</v>
      </c>
      <c r="X112" s="86">
        <f>SUMIFS('январь 2024'!$G$4:$G$1206,'январь 2024'!$D$4:$D$1206,$B112,'январь 2024'!$J$4:$J$1206,X$1)</f>
        <v>0</v>
      </c>
      <c r="Y112" s="86">
        <f>SUMIFS('январь 2024'!$G$4:$G$1206,'январь 2024'!$D$4:$D$1206,$B112,'январь 2024'!$J$4:$J$1206,Y$1)</f>
        <v>0</v>
      </c>
      <c r="Z112" s="86">
        <f>SUMIFS('январь 2024'!$G$4:$G$1206,'январь 2024'!$D$4:$D$1206,$B112,'январь 2024'!$J$4:$J$1206,Z$1)</f>
        <v>0</v>
      </c>
      <c r="AA112" s="86">
        <f>SUMIFS('январь 2024'!$G$4:$G$1206,'январь 2024'!$D$4:$D$1206,$B112,'январь 2024'!$J$4:$J$1206,AA$1)</f>
        <v>0</v>
      </c>
      <c r="AB112" s="86">
        <f>SUMIFS('январь 2024'!$G$4:$G$1206,'январь 2024'!$D$4:$D$1206,$B112,'январь 2024'!$J$4:$J$1206,AB$1)</f>
        <v>0</v>
      </c>
      <c r="AC112" s="86">
        <f>SUMIFS('январь 2024'!$G$4:$G$1206,'январь 2024'!$D$4:$D$1206,$B112,'январь 2024'!$J$4:$J$1206,AC$1)</f>
        <v>0</v>
      </c>
      <c r="AD112" s="86">
        <f>SUMIFS('январь 2024'!$G$4:$G$1206,'январь 2024'!$D$4:$D$1206,$B112,'январь 2024'!$J$4:$J$1206,AD$1)</f>
        <v>0</v>
      </c>
      <c r="AE112" s="86">
        <f>SUMIFS('январь 2024'!$G$4:$G$1206,'январь 2024'!$D$4:$D$1206,$B112,'январь 2024'!$J$4:$J$1206,AE$1)</f>
        <v>0</v>
      </c>
      <c r="AF112" s="86">
        <f>SUMIFS('январь 2024'!$G$4:$G$1206,'январь 2024'!$D$4:$D$1206,$B112,'январь 2024'!$J$4:$J$1206,AF$1)</f>
        <v>0</v>
      </c>
      <c r="AG112" s="86">
        <f>SUMIFS('январь 2024'!$G$4:$G$1206,'январь 2024'!$D$4:$D$1206,$B112,'январь 2024'!$J$4:$J$1206,AG$1)</f>
        <v>0</v>
      </c>
      <c r="AH112" s="86">
        <f>SUMIFS('январь 2024'!$G$4:$G$1206,'январь 2024'!$D$4:$D$1206,$B112,'январь 2024'!$J$4:$J$1206,AH$1)</f>
        <v>0</v>
      </c>
      <c r="AI112" s="21">
        <f t="shared" si="1"/>
        <v>0</v>
      </c>
    </row>
    <row r="113" spans="2:35" ht="15" customHeight="1" x14ac:dyDescent="0.25">
      <c r="B113" s="89" t="s">
        <v>332</v>
      </c>
      <c r="C113" s="91">
        <v>180</v>
      </c>
      <c r="D113" s="86">
        <f>SUMIFS('январь 2024'!$G$4:$G$1206,'январь 2024'!$D$4:$D$1206,$B113,'январь 2024'!$J$4:$J$1206,D$1)</f>
        <v>0</v>
      </c>
      <c r="E113" s="86">
        <f>SUMIFS('январь 2024'!$G$4:$G$1206,'январь 2024'!$D$4:$D$1206,$B113,'январь 2024'!$J$4:$J$1206,E$1)</f>
        <v>0</v>
      </c>
      <c r="F113" s="86">
        <f>SUMIFS('январь 2024'!$G$4:$G$1206,'январь 2024'!$D$4:$D$1206,$B113,'январь 2024'!$J$4:$J$1206,F$1)</f>
        <v>0</v>
      </c>
      <c r="G113" s="86">
        <f>SUMIFS('январь 2024'!$G$4:$G$1206,'январь 2024'!$D$4:$D$1206,$B113,'январь 2024'!$J$4:$J$1206,G$1)</f>
        <v>0</v>
      </c>
      <c r="H113" s="86">
        <f>SUMIFS('январь 2024'!$G$4:$G$1206,'январь 2024'!$D$4:$D$1206,$B113,'январь 2024'!$J$4:$J$1206,H$1)</f>
        <v>0</v>
      </c>
      <c r="I113" s="86">
        <f>SUMIFS('январь 2024'!$G$4:$G$1206,'январь 2024'!$D$4:$D$1206,$B113,'январь 2024'!$J$4:$J$1206,I$1)</f>
        <v>0</v>
      </c>
      <c r="J113" s="86">
        <f>SUMIFS('январь 2024'!$G$4:$G$1206,'январь 2024'!$D$4:$D$1206,$B113,'январь 2024'!$J$4:$J$1206,J$1)</f>
        <v>0</v>
      </c>
      <c r="K113" s="86">
        <f>SUMIFS('январь 2024'!$G$4:$G$1206,'январь 2024'!$D$4:$D$1206,$B113,'январь 2024'!$J$4:$J$1206,K$1)</f>
        <v>0</v>
      </c>
      <c r="L113" s="86">
        <f>SUMIFS('январь 2024'!$G$4:$G$1206,'январь 2024'!$D$4:$D$1206,$B113,'январь 2024'!$J$4:$J$1206,L$1)</f>
        <v>0</v>
      </c>
      <c r="M113" s="86">
        <f>SUMIFS('январь 2024'!$G$4:$G$1206,'январь 2024'!$D$4:$D$1206,$B113,'январь 2024'!$J$4:$J$1206,M$1)</f>
        <v>0</v>
      </c>
      <c r="N113" s="86">
        <f>SUMIFS('январь 2024'!$G$4:$G$1206,'январь 2024'!$D$4:$D$1206,$B113,'январь 2024'!$J$4:$J$1206,N$1)</f>
        <v>0</v>
      </c>
      <c r="O113" s="86">
        <f>SUMIFS('январь 2024'!$G$4:$G$1206,'январь 2024'!$D$4:$D$1206,$B113,'январь 2024'!$J$4:$J$1206,O$1)</f>
        <v>0</v>
      </c>
      <c r="P113" s="86">
        <f>SUMIFS('январь 2024'!$G$4:$G$1206,'январь 2024'!$D$4:$D$1206,$B113,'январь 2024'!$J$4:$J$1206,P$1)</f>
        <v>0</v>
      </c>
      <c r="Q113" s="86">
        <f>SUMIFS('январь 2024'!$G$4:$G$1206,'январь 2024'!$D$4:$D$1206,$B113,'январь 2024'!$J$4:$J$1206,Q$1)</f>
        <v>0</v>
      </c>
      <c r="R113" s="86">
        <f>SUMIFS('январь 2024'!$G$4:$G$1206,'январь 2024'!$D$4:$D$1206,$B113,'январь 2024'!$J$4:$J$1206,R$1)</f>
        <v>0</v>
      </c>
      <c r="S113" s="86">
        <f>SUMIFS('январь 2024'!$G$4:$G$1206,'январь 2024'!$D$4:$D$1206,$B113,'январь 2024'!$J$4:$J$1206,S$1)</f>
        <v>0</v>
      </c>
      <c r="T113" s="86">
        <f>SUMIFS('январь 2024'!$G$4:$G$1206,'январь 2024'!$D$4:$D$1206,$B113,'январь 2024'!$J$4:$J$1206,T$1)</f>
        <v>0</v>
      </c>
      <c r="U113" s="86">
        <f>SUMIFS('январь 2024'!$G$4:$G$1206,'январь 2024'!$D$4:$D$1206,$B113,'январь 2024'!$J$4:$J$1206,U$1)</f>
        <v>0</v>
      </c>
      <c r="V113" s="86">
        <f>SUMIFS('январь 2024'!$G$4:$G$1206,'январь 2024'!$D$4:$D$1206,$B113,'январь 2024'!$J$4:$J$1206,V$1)</f>
        <v>0</v>
      </c>
      <c r="W113" s="86">
        <f>SUMIFS('январь 2024'!$G$4:$G$1206,'январь 2024'!$D$4:$D$1206,$B113,'январь 2024'!$J$4:$J$1206,W$1)</f>
        <v>0</v>
      </c>
      <c r="X113" s="86">
        <f>SUMIFS('январь 2024'!$G$4:$G$1206,'январь 2024'!$D$4:$D$1206,$B113,'январь 2024'!$J$4:$J$1206,X$1)</f>
        <v>0</v>
      </c>
      <c r="Y113" s="86">
        <f>SUMIFS('январь 2024'!$G$4:$G$1206,'январь 2024'!$D$4:$D$1206,$B113,'январь 2024'!$J$4:$J$1206,Y$1)</f>
        <v>0</v>
      </c>
      <c r="Z113" s="86">
        <f>SUMIFS('январь 2024'!$G$4:$G$1206,'январь 2024'!$D$4:$D$1206,$B113,'январь 2024'!$J$4:$J$1206,Z$1)</f>
        <v>0</v>
      </c>
      <c r="AA113" s="86">
        <f>SUMIFS('январь 2024'!$G$4:$G$1206,'январь 2024'!$D$4:$D$1206,$B113,'январь 2024'!$J$4:$J$1206,AA$1)</f>
        <v>0</v>
      </c>
      <c r="AB113" s="86">
        <f>SUMIFS('январь 2024'!$G$4:$G$1206,'январь 2024'!$D$4:$D$1206,$B113,'январь 2024'!$J$4:$J$1206,AB$1)</f>
        <v>0</v>
      </c>
      <c r="AC113" s="86">
        <f>SUMIFS('январь 2024'!$G$4:$G$1206,'январь 2024'!$D$4:$D$1206,$B113,'январь 2024'!$J$4:$J$1206,AC$1)</f>
        <v>0</v>
      </c>
      <c r="AD113" s="86">
        <f>SUMIFS('январь 2024'!$G$4:$G$1206,'январь 2024'!$D$4:$D$1206,$B113,'январь 2024'!$J$4:$J$1206,AD$1)</f>
        <v>0</v>
      </c>
      <c r="AE113" s="86">
        <f>SUMIFS('январь 2024'!$G$4:$G$1206,'январь 2024'!$D$4:$D$1206,$B113,'январь 2024'!$J$4:$J$1206,AE$1)</f>
        <v>0</v>
      </c>
      <c r="AF113" s="86">
        <f>SUMIFS('январь 2024'!$G$4:$G$1206,'январь 2024'!$D$4:$D$1206,$B113,'январь 2024'!$J$4:$J$1206,AF$1)</f>
        <v>0</v>
      </c>
      <c r="AG113" s="86">
        <f>SUMIFS('январь 2024'!$G$4:$G$1206,'январь 2024'!$D$4:$D$1206,$B113,'январь 2024'!$J$4:$J$1206,AG$1)</f>
        <v>0</v>
      </c>
      <c r="AH113" s="86">
        <f>SUMIFS('январь 2024'!$G$4:$G$1206,'январь 2024'!$D$4:$D$1206,$B113,'январь 2024'!$J$4:$J$1206,AH$1)</f>
        <v>0</v>
      </c>
      <c r="AI113" s="21">
        <f>SUM(D113:AH113)</f>
        <v>0</v>
      </c>
    </row>
    <row r="114" spans="2:35" ht="15" customHeight="1" x14ac:dyDescent="0.25">
      <c r="B114" s="89" t="s">
        <v>342</v>
      </c>
      <c r="C114" s="91">
        <v>180</v>
      </c>
      <c r="D114" s="86">
        <f>SUMIFS('январь 2024'!$G$4:$G$1206,'январь 2024'!$D$4:$D$1206,$B114,'январь 2024'!$J$4:$J$1206,D$1)</f>
        <v>0</v>
      </c>
      <c r="E114" s="86">
        <f>SUMIFS('январь 2024'!$G$4:$G$1206,'январь 2024'!$D$4:$D$1206,$B114,'январь 2024'!$J$4:$J$1206,E$1)</f>
        <v>0</v>
      </c>
      <c r="F114" s="86">
        <f>SUMIFS('январь 2024'!$G$4:$G$1206,'январь 2024'!$D$4:$D$1206,$B114,'январь 2024'!$J$4:$J$1206,F$1)</f>
        <v>0</v>
      </c>
      <c r="G114" s="86">
        <f>SUMIFS('январь 2024'!$G$4:$G$1206,'январь 2024'!$D$4:$D$1206,$B114,'январь 2024'!$J$4:$J$1206,G$1)</f>
        <v>0</v>
      </c>
      <c r="H114" s="86">
        <f>SUMIFS('январь 2024'!$G$4:$G$1206,'январь 2024'!$D$4:$D$1206,$B114,'январь 2024'!$J$4:$J$1206,H$1)</f>
        <v>0</v>
      </c>
      <c r="I114" s="86">
        <f>SUMIFS('январь 2024'!$G$4:$G$1206,'январь 2024'!$D$4:$D$1206,$B114,'январь 2024'!$J$4:$J$1206,I$1)</f>
        <v>0</v>
      </c>
      <c r="J114" s="86">
        <f>SUMIFS('январь 2024'!$G$4:$G$1206,'январь 2024'!$D$4:$D$1206,$B114,'январь 2024'!$J$4:$J$1206,J$1)</f>
        <v>0</v>
      </c>
      <c r="K114" s="86">
        <f>SUMIFS('январь 2024'!$G$4:$G$1206,'январь 2024'!$D$4:$D$1206,$B114,'январь 2024'!$J$4:$J$1206,K$1)</f>
        <v>0</v>
      </c>
      <c r="L114" s="86">
        <f>SUMIFS('январь 2024'!$G$4:$G$1206,'январь 2024'!$D$4:$D$1206,$B114,'январь 2024'!$J$4:$J$1206,L$1)</f>
        <v>0</v>
      </c>
      <c r="M114" s="86">
        <f>SUMIFS('январь 2024'!$G$4:$G$1206,'январь 2024'!$D$4:$D$1206,$B114,'январь 2024'!$J$4:$J$1206,M$1)</f>
        <v>0</v>
      </c>
      <c r="N114" s="86">
        <f>SUMIFS('январь 2024'!$G$4:$G$1206,'январь 2024'!$D$4:$D$1206,$B114,'январь 2024'!$J$4:$J$1206,N$1)</f>
        <v>0</v>
      </c>
      <c r="O114" s="86">
        <f>SUMIFS('январь 2024'!$G$4:$G$1206,'январь 2024'!$D$4:$D$1206,$B114,'январь 2024'!$J$4:$J$1206,O$1)</f>
        <v>0</v>
      </c>
      <c r="P114" s="86">
        <f>SUMIFS('январь 2024'!$G$4:$G$1206,'январь 2024'!$D$4:$D$1206,$B114,'январь 2024'!$J$4:$J$1206,P$1)</f>
        <v>0</v>
      </c>
      <c r="Q114" s="86">
        <f>SUMIFS('январь 2024'!$G$4:$G$1206,'январь 2024'!$D$4:$D$1206,$B114,'январь 2024'!$J$4:$J$1206,Q$1)</f>
        <v>0</v>
      </c>
      <c r="R114" s="86">
        <f>SUMIFS('январь 2024'!$G$4:$G$1206,'январь 2024'!$D$4:$D$1206,$B114,'январь 2024'!$J$4:$J$1206,R$1)</f>
        <v>0</v>
      </c>
      <c r="S114" s="86">
        <f>SUMIFS('январь 2024'!$G$4:$G$1206,'январь 2024'!$D$4:$D$1206,$B114,'январь 2024'!$J$4:$J$1206,S$1)</f>
        <v>0</v>
      </c>
      <c r="T114" s="86">
        <f>SUMIFS('январь 2024'!$G$4:$G$1206,'январь 2024'!$D$4:$D$1206,$B114,'январь 2024'!$J$4:$J$1206,T$1)</f>
        <v>0</v>
      </c>
      <c r="U114" s="86">
        <f>SUMIFS('январь 2024'!$G$4:$G$1206,'январь 2024'!$D$4:$D$1206,$B114,'январь 2024'!$J$4:$J$1206,U$1)</f>
        <v>0</v>
      </c>
      <c r="V114" s="86">
        <f>SUMIFS('январь 2024'!$G$4:$G$1206,'январь 2024'!$D$4:$D$1206,$B114,'январь 2024'!$J$4:$J$1206,V$1)</f>
        <v>0</v>
      </c>
      <c r="W114" s="86">
        <f>SUMIFS('январь 2024'!$G$4:$G$1206,'январь 2024'!$D$4:$D$1206,$B114,'январь 2024'!$J$4:$J$1206,W$1)</f>
        <v>0</v>
      </c>
      <c r="X114" s="86">
        <f>SUMIFS('январь 2024'!$G$4:$G$1206,'январь 2024'!$D$4:$D$1206,$B114,'январь 2024'!$J$4:$J$1206,X$1)</f>
        <v>0</v>
      </c>
      <c r="Y114" s="86">
        <f>SUMIFS('январь 2024'!$G$4:$G$1206,'январь 2024'!$D$4:$D$1206,$B114,'январь 2024'!$J$4:$J$1206,Y$1)</f>
        <v>0</v>
      </c>
      <c r="Z114" s="86">
        <f>SUMIFS('январь 2024'!$G$4:$G$1206,'январь 2024'!$D$4:$D$1206,$B114,'январь 2024'!$J$4:$J$1206,Z$1)</f>
        <v>0</v>
      </c>
      <c r="AA114" s="86">
        <f>SUMIFS('январь 2024'!$G$4:$G$1206,'январь 2024'!$D$4:$D$1206,$B114,'январь 2024'!$J$4:$J$1206,AA$1)</f>
        <v>0</v>
      </c>
      <c r="AB114" s="86">
        <f>SUMIFS('январь 2024'!$G$4:$G$1206,'январь 2024'!$D$4:$D$1206,$B114,'январь 2024'!$J$4:$J$1206,AB$1)</f>
        <v>0</v>
      </c>
      <c r="AC114" s="86">
        <f>SUMIFS('январь 2024'!$G$4:$G$1206,'январь 2024'!$D$4:$D$1206,$B114,'январь 2024'!$J$4:$J$1206,AC$1)</f>
        <v>0</v>
      </c>
      <c r="AD114" s="86">
        <f>SUMIFS('январь 2024'!$G$4:$G$1206,'январь 2024'!$D$4:$D$1206,$B114,'январь 2024'!$J$4:$J$1206,AD$1)</f>
        <v>0</v>
      </c>
      <c r="AE114" s="86">
        <f>SUMIFS('январь 2024'!$G$4:$G$1206,'январь 2024'!$D$4:$D$1206,$B114,'январь 2024'!$J$4:$J$1206,AE$1)</f>
        <v>0</v>
      </c>
      <c r="AF114" s="86">
        <f>SUMIFS('январь 2024'!$G$4:$G$1206,'январь 2024'!$D$4:$D$1206,$B114,'январь 2024'!$J$4:$J$1206,AF$1)</f>
        <v>0</v>
      </c>
      <c r="AG114" s="86">
        <f>SUMIFS('январь 2024'!$G$4:$G$1206,'январь 2024'!$D$4:$D$1206,$B114,'январь 2024'!$J$4:$J$1206,AG$1)</f>
        <v>0</v>
      </c>
      <c r="AH114" s="86">
        <f>SUMIFS('январь 2024'!$G$4:$G$1206,'январь 2024'!$D$4:$D$1206,$B114,'январь 2024'!$J$4:$J$1206,AH$1)</f>
        <v>0</v>
      </c>
      <c r="AI114" s="21">
        <f>SUM(D114:AH114)</f>
        <v>0</v>
      </c>
    </row>
    <row r="115" spans="2:35" ht="15" customHeight="1" x14ac:dyDescent="0.25">
      <c r="B115" s="89" t="s">
        <v>333</v>
      </c>
      <c r="C115" s="91">
        <v>200</v>
      </c>
      <c r="D115" s="86">
        <f>SUMIFS('январь 2024'!$G$4:$G$1206,'январь 2024'!$D$4:$D$1206,$B115,'январь 2024'!$J$4:$J$1206,D$1)</f>
        <v>0</v>
      </c>
      <c r="E115" s="86">
        <f>SUMIFS('январь 2024'!$G$4:$G$1206,'январь 2024'!$D$4:$D$1206,$B115,'январь 2024'!$J$4:$J$1206,E$1)</f>
        <v>0</v>
      </c>
      <c r="F115" s="86">
        <f>SUMIFS('январь 2024'!$G$4:$G$1206,'январь 2024'!$D$4:$D$1206,$B115,'январь 2024'!$J$4:$J$1206,F$1)</f>
        <v>0</v>
      </c>
      <c r="G115" s="86">
        <f>SUMIFS('январь 2024'!$G$4:$G$1206,'январь 2024'!$D$4:$D$1206,$B115,'январь 2024'!$J$4:$J$1206,G$1)</f>
        <v>0</v>
      </c>
      <c r="H115" s="86">
        <f>SUMIFS('январь 2024'!$G$4:$G$1206,'январь 2024'!$D$4:$D$1206,$B115,'январь 2024'!$J$4:$J$1206,H$1)</f>
        <v>0</v>
      </c>
      <c r="I115" s="86">
        <f>SUMIFS('январь 2024'!$G$4:$G$1206,'январь 2024'!$D$4:$D$1206,$B115,'январь 2024'!$J$4:$J$1206,I$1)</f>
        <v>0</v>
      </c>
      <c r="J115" s="86">
        <f>SUMIFS('январь 2024'!$G$4:$G$1206,'январь 2024'!$D$4:$D$1206,$B115,'январь 2024'!$J$4:$J$1206,J$1)</f>
        <v>0</v>
      </c>
      <c r="K115" s="86">
        <f>SUMIFS('январь 2024'!$G$4:$G$1206,'январь 2024'!$D$4:$D$1206,$B115,'январь 2024'!$J$4:$J$1206,K$1)</f>
        <v>0</v>
      </c>
      <c r="L115" s="86">
        <f>SUMIFS('январь 2024'!$G$4:$G$1206,'январь 2024'!$D$4:$D$1206,$B115,'январь 2024'!$J$4:$J$1206,L$1)</f>
        <v>0</v>
      </c>
      <c r="M115" s="86">
        <f>SUMIFS('январь 2024'!$G$4:$G$1206,'январь 2024'!$D$4:$D$1206,$B115,'январь 2024'!$J$4:$J$1206,M$1)</f>
        <v>0</v>
      </c>
      <c r="N115" s="86">
        <f>SUMIFS('январь 2024'!$G$4:$G$1206,'январь 2024'!$D$4:$D$1206,$B115,'январь 2024'!$J$4:$J$1206,N$1)</f>
        <v>0</v>
      </c>
      <c r="O115" s="86">
        <f>SUMIFS('январь 2024'!$G$4:$G$1206,'январь 2024'!$D$4:$D$1206,$B115,'январь 2024'!$J$4:$J$1206,O$1)</f>
        <v>0</v>
      </c>
      <c r="P115" s="86">
        <f>SUMIFS('январь 2024'!$G$4:$G$1206,'январь 2024'!$D$4:$D$1206,$B115,'январь 2024'!$J$4:$J$1206,P$1)</f>
        <v>0</v>
      </c>
      <c r="Q115" s="86">
        <f>SUMIFS('январь 2024'!$G$4:$G$1206,'январь 2024'!$D$4:$D$1206,$B115,'январь 2024'!$J$4:$J$1206,Q$1)</f>
        <v>0</v>
      </c>
      <c r="R115" s="86">
        <f>SUMIFS('январь 2024'!$G$4:$G$1206,'январь 2024'!$D$4:$D$1206,$B115,'январь 2024'!$J$4:$J$1206,R$1)</f>
        <v>0</v>
      </c>
      <c r="S115" s="86">
        <f>SUMIFS('январь 2024'!$G$4:$G$1206,'январь 2024'!$D$4:$D$1206,$B115,'январь 2024'!$J$4:$J$1206,S$1)</f>
        <v>0</v>
      </c>
      <c r="T115" s="86">
        <f>SUMIFS('январь 2024'!$G$4:$G$1206,'январь 2024'!$D$4:$D$1206,$B115,'январь 2024'!$J$4:$J$1206,T$1)</f>
        <v>0</v>
      </c>
      <c r="U115" s="86">
        <f>SUMIFS('январь 2024'!$G$4:$G$1206,'январь 2024'!$D$4:$D$1206,$B115,'январь 2024'!$J$4:$J$1206,U$1)</f>
        <v>0</v>
      </c>
      <c r="V115" s="86">
        <f>SUMIFS('январь 2024'!$G$4:$G$1206,'январь 2024'!$D$4:$D$1206,$B115,'январь 2024'!$J$4:$J$1206,V$1)</f>
        <v>0</v>
      </c>
      <c r="W115" s="86">
        <f>SUMIFS('январь 2024'!$G$4:$G$1206,'январь 2024'!$D$4:$D$1206,$B115,'январь 2024'!$J$4:$J$1206,W$1)</f>
        <v>0</v>
      </c>
      <c r="X115" s="86">
        <f>SUMIFS('январь 2024'!$G$4:$G$1206,'январь 2024'!$D$4:$D$1206,$B115,'январь 2024'!$J$4:$J$1206,X$1)</f>
        <v>0</v>
      </c>
      <c r="Y115" s="86">
        <f>SUMIFS('январь 2024'!$G$4:$G$1206,'январь 2024'!$D$4:$D$1206,$B115,'январь 2024'!$J$4:$J$1206,Y$1)</f>
        <v>0</v>
      </c>
      <c r="Z115" s="86">
        <f>SUMIFS('январь 2024'!$G$4:$G$1206,'январь 2024'!$D$4:$D$1206,$B115,'январь 2024'!$J$4:$J$1206,Z$1)</f>
        <v>0</v>
      </c>
      <c r="AA115" s="86">
        <f>SUMIFS('январь 2024'!$G$4:$G$1206,'январь 2024'!$D$4:$D$1206,$B115,'январь 2024'!$J$4:$J$1206,AA$1)</f>
        <v>0</v>
      </c>
      <c r="AB115" s="86">
        <f>SUMIFS('январь 2024'!$G$4:$G$1206,'январь 2024'!$D$4:$D$1206,$B115,'январь 2024'!$J$4:$J$1206,AB$1)</f>
        <v>0</v>
      </c>
      <c r="AC115" s="86">
        <f>SUMIFS('январь 2024'!$G$4:$G$1206,'январь 2024'!$D$4:$D$1206,$B115,'январь 2024'!$J$4:$J$1206,AC$1)</f>
        <v>0</v>
      </c>
      <c r="AD115" s="86">
        <f>SUMIFS('январь 2024'!$G$4:$G$1206,'январь 2024'!$D$4:$D$1206,$B115,'январь 2024'!$J$4:$J$1206,AD$1)</f>
        <v>0</v>
      </c>
      <c r="AE115" s="86">
        <f>SUMIFS('январь 2024'!$G$4:$G$1206,'январь 2024'!$D$4:$D$1206,$B115,'январь 2024'!$J$4:$J$1206,AE$1)</f>
        <v>0</v>
      </c>
      <c r="AF115" s="86">
        <f>SUMIFS('январь 2024'!$G$4:$G$1206,'январь 2024'!$D$4:$D$1206,$B115,'январь 2024'!$J$4:$J$1206,AF$1)</f>
        <v>0</v>
      </c>
      <c r="AG115" s="86">
        <f>SUMIFS('январь 2024'!$G$4:$G$1206,'январь 2024'!$D$4:$D$1206,$B115,'январь 2024'!$J$4:$J$1206,AG$1)</f>
        <v>0</v>
      </c>
      <c r="AH115" s="86">
        <f>SUMIFS('январь 2024'!$G$4:$G$1206,'январь 2024'!$D$4:$D$1206,$B115,'январь 2024'!$J$4:$J$1206,AH$1)</f>
        <v>0</v>
      </c>
      <c r="AI115" s="21">
        <f>SUM(D115:AH115)</f>
        <v>0</v>
      </c>
    </row>
    <row r="116" spans="2:35" ht="15" customHeight="1" x14ac:dyDescent="0.25">
      <c r="B116" s="89" t="s">
        <v>343</v>
      </c>
      <c r="C116" s="91">
        <v>200</v>
      </c>
      <c r="D116" s="86">
        <f>SUMIFS('январь 2024'!$G$4:$G$1206,'январь 2024'!$D$4:$D$1206,$B116,'январь 2024'!$J$4:$J$1206,D$1)</f>
        <v>0</v>
      </c>
      <c r="E116" s="86">
        <f>SUMIFS('январь 2024'!$G$4:$G$1206,'январь 2024'!$D$4:$D$1206,$B116,'январь 2024'!$J$4:$J$1206,E$1)</f>
        <v>0</v>
      </c>
      <c r="F116" s="86">
        <f>SUMIFS('январь 2024'!$G$4:$G$1206,'январь 2024'!$D$4:$D$1206,$B116,'январь 2024'!$J$4:$J$1206,F$1)</f>
        <v>0</v>
      </c>
      <c r="G116" s="86">
        <f>SUMIFS('январь 2024'!$G$4:$G$1206,'январь 2024'!$D$4:$D$1206,$B116,'январь 2024'!$J$4:$J$1206,G$1)</f>
        <v>0</v>
      </c>
      <c r="H116" s="86">
        <f>SUMIFS('январь 2024'!$G$4:$G$1206,'январь 2024'!$D$4:$D$1206,$B116,'январь 2024'!$J$4:$J$1206,H$1)</f>
        <v>0</v>
      </c>
      <c r="I116" s="86">
        <f>SUMIFS('январь 2024'!$G$4:$G$1206,'январь 2024'!$D$4:$D$1206,$B116,'январь 2024'!$J$4:$J$1206,I$1)</f>
        <v>0</v>
      </c>
      <c r="J116" s="86">
        <f>SUMIFS('январь 2024'!$G$4:$G$1206,'январь 2024'!$D$4:$D$1206,$B116,'январь 2024'!$J$4:$J$1206,J$1)</f>
        <v>0</v>
      </c>
      <c r="K116" s="86">
        <f>SUMIFS('январь 2024'!$G$4:$G$1206,'январь 2024'!$D$4:$D$1206,$B116,'январь 2024'!$J$4:$J$1206,K$1)</f>
        <v>0</v>
      </c>
      <c r="L116" s="86">
        <f>SUMIFS('январь 2024'!$G$4:$G$1206,'январь 2024'!$D$4:$D$1206,$B116,'январь 2024'!$J$4:$J$1206,L$1)</f>
        <v>0</v>
      </c>
      <c r="M116" s="86">
        <f>SUMIFS('январь 2024'!$G$4:$G$1206,'январь 2024'!$D$4:$D$1206,$B116,'январь 2024'!$J$4:$J$1206,M$1)</f>
        <v>0</v>
      </c>
      <c r="N116" s="86">
        <f>SUMIFS('январь 2024'!$G$4:$G$1206,'январь 2024'!$D$4:$D$1206,$B116,'январь 2024'!$J$4:$J$1206,N$1)</f>
        <v>0</v>
      </c>
      <c r="O116" s="86">
        <f>SUMIFS('январь 2024'!$G$4:$G$1206,'январь 2024'!$D$4:$D$1206,$B116,'январь 2024'!$J$4:$J$1206,O$1)</f>
        <v>0</v>
      </c>
      <c r="P116" s="86">
        <f>SUMIFS('январь 2024'!$G$4:$G$1206,'январь 2024'!$D$4:$D$1206,$B116,'январь 2024'!$J$4:$J$1206,P$1)</f>
        <v>0</v>
      </c>
      <c r="Q116" s="86">
        <f>SUMIFS('январь 2024'!$G$4:$G$1206,'январь 2024'!$D$4:$D$1206,$B116,'январь 2024'!$J$4:$J$1206,Q$1)</f>
        <v>0</v>
      </c>
      <c r="R116" s="86">
        <f>SUMIFS('январь 2024'!$G$4:$G$1206,'январь 2024'!$D$4:$D$1206,$B116,'январь 2024'!$J$4:$J$1206,R$1)</f>
        <v>0</v>
      </c>
      <c r="S116" s="86">
        <f>SUMIFS('январь 2024'!$G$4:$G$1206,'январь 2024'!$D$4:$D$1206,$B116,'январь 2024'!$J$4:$J$1206,S$1)</f>
        <v>0</v>
      </c>
      <c r="T116" s="86">
        <f>SUMIFS('январь 2024'!$G$4:$G$1206,'январь 2024'!$D$4:$D$1206,$B116,'январь 2024'!$J$4:$J$1206,T$1)</f>
        <v>0</v>
      </c>
      <c r="U116" s="86">
        <f>SUMIFS('январь 2024'!$G$4:$G$1206,'январь 2024'!$D$4:$D$1206,$B116,'январь 2024'!$J$4:$J$1206,U$1)</f>
        <v>0</v>
      </c>
      <c r="V116" s="86">
        <f>SUMIFS('январь 2024'!$G$4:$G$1206,'январь 2024'!$D$4:$D$1206,$B116,'январь 2024'!$J$4:$J$1206,V$1)</f>
        <v>0</v>
      </c>
      <c r="W116" s="86">
        <f>SUMIFS('январь 2024'!$G$4:$G$1206,'январь 2024'!$D$4:$D$1206,$B116,'январь 2024'!$J$4:$J$1206,W$1)</f>
        <v>0</v>
      </c>
      <c r="X116" s="86">
        <f>SUMIFS('январь 2024'!$G$4:$G$1206,'январь 2024'!$D$4:$D$1206,$B116,'январь 2024'!$J$4:$J$1206,X$1)</f>
        <v>0</v>
      </c>
      <c r="Y116" s="86">
        <f>SUMIFS('январь 2024'!$G$4:$G$1206,'январь 2024'!$D$4:$D$1206,$B116,'январь 2024'!$J$4:$J$1206,Y$1)</f>
        <v>0</v>
      </c>
      <c r="Z116" s="86">
        <f>SUMIFS('январь 2024'!$G$4:$G$1206,'январь 2024'!$D$4:$D$1206,$B116,'январь 2024'!$J$4:$J$1206,Z$1)</f>
        <v>0</v>
      </c>
      <c r="AA116" s="86">
        <f>SUMIFS('январь 2024'!$G$4:$G$1206,'январь 2024'!$D$4:$D$1206,$B116,'январь 2024'!$J$4:$J$1206,AA$1)</f>
        <v>0</v>
      </c>
      <c r="AB116" s="86">
        <f>SUMIFS('январь 2024'!$G$4:$G$1206,'январь 2024'!$D$4:$D$1206,$B116,'январь 2024'!$J$4:$J$1206,AB$1)</f>
        <v>0</v>
      </c>
      <c r="AC116" s="86">
        <f>SUMIFS('январь 2024'!$G$4:$G$1206,'январь 2024'!$D$4:$D$1206,$B116,'январь 2024'!$J$4:$J$1206,AC$1)</f>
        <v>0</v>
      </c>
      <c r="AD116" s="86">
        <f>SUMIFS('январь 2024'!$G$4:$G$1206,'январь 2024'!$D$4:$D$1206,$B116,'январь 2024'!$J$4:$J$1206,AD$1)</f>
        <v>0</v>
      </c>
      <c r="AE116" s="86">
        <f>SUMIFS('январь 2024'!$G$4:$G$1206,'январь 2024'!$D$4:$D$1206,$B116,'январь 2024'!$J$4:$J$1206,AE$1)</f>
        <v>0</v>
      </c>
      <c r="AF116" s="86">
        <f>SUMIFS('январь 2024'!$G$4:$G$1206,'январь 2024'!$D$4:$D$1206,$B116,'январь 2024'!$J$4:$J$1206,AF$1)</f>
        <v>0</v>
      </c>
      <c r="AG116" s="86">
        <f>SUMIFS('январь 2024'!$G$4:$G$1206,'январь 2024'!$D$4:$D$1206,$B116,'январь 2024'!$J$4:$J$1206,AG$1)</f>
        <v>0</v>
      </c>
      <c r="AH116" s="86">
        <f>SUMIFS('январь 2024'!$G$4:$G$1206,'январь 2024'!$D$4:$D$1206,$B116,'январь 2024'!$J$4:$J$1206,AH$1)</f>
        <v>0</v>
      </c>
      <c r="AI116" s="21">
        <f>SUM(D116:AH116)</f>
        <v>0</v>
      </c>
    </row>
    <row r="117" spans="2:35" ht="15" customHeight="1" x14ac:dyDescent="0.25">
      <c r="B117" s="89" t="s">
        <v>207</v>
      </c>
      <c r="C117" s="91">
        <v>180</v>
      </c>
      <c r="D117" s="86">
        <f>SUMIFS('январь 2024'!$G$4:$G$1206,'январь 2024'!$D$4:$D$1206,$B117,'январь 2024'!$J$4:$J$1206,D$1)</f>
        <v>0</v>
      </c>
      <c r="E117" s="86">
        <f>SUMIFS('январь 2024'!$G$4:$G$1206,'январь 2024'!$D$4:$D$1206,$B117,'январь 2024'!$J$4:$J$1206,E$1)</f>
        <v>0</v>
      </c>
      <c r="F117" s="86">
        <f>SUMIFS('январь 2024'!$G$4:$G$1206,'январь 2024'!$D$4:$D$1206,$B117,'январь 2024'!$J$4:$J$1206,F$1)</f>
        <v>0</v>
      </c>
      <c r="G117" s="86">
        <f>SUMIFS('январь 2024'!$G$4:$G$1206,'январь 2024'!$D$4:$D$1206,$B117,'январь 2024'!$J$4:$J$1206,G$1)</f>
        <v>0</v>
      </c>
      <c r="H117" s="86">
        <f>SUMIFS('январь 2024'!$G$4:$G$1206,'январь 2024'!$D$4:$D$1206,$B117,'январь 2024'!$J$4:$J$1206,H$1)</f>
        <v>0</v>
      </c>
      <c r="I117" s="86">
        <f>SUMIFS('январь 2024'!$G$4:$G$1206,'январь 2024'!$D$4:$D$1206,$B117,'январь 2024'!$J$4:$J$1206,I$1)</f>
        <v>0</v>
      </c>
      <c r="J117" s="86">
        <f>SUMIFS('январь 2024'!$G$4:$G$1206,'январь 2024'!$D$4:$D$1206,$B117,'январь 2024'!$J$4:$J$1206,J$1)</f>
        <v>0</v>
      </c>
      <c r="K117" s="86">
        <f>SUMIFS('январь 2024'!$G$4:$G$1206,'январь 2024'!$D$4:$D$1206,$B117,'январь 2024'!$J$4:$J$1206,K$1)</f>
        <v>0</v>
      </c>
      <c r="L117" s="86">
        <f>SUMIFS('январь 2024'!$G$4:$G$1206,'январь 2024'!$D$4:$D$1206,$B117,'январь 2024'!$J$4:$J$1206,L$1)</f>
        <v>0</v>
      </c>
      <c r="M117" s="86">
        <f>SUMIFS('январь 2024'!$G$4:$G$1206,'январь 2024'!$D$4:$D$1206,$B117,'январь 2024'!$J$4:$J$1206,M$1)</f>
        <v>0</v>
      </c>
      <c r="N117" s="86">
        <f>SUMIFS('январь 2024'!$G$4:$G$1206,'январь 2024'!$D$4:$D$1206,$B117,'январь 2024'!$J$4:$J$1206,N$1)</f>
        <v>0</v>
      </c>
      <c r="O117" s="86">
        <f>SUMIFS('январь 2024'!$G$4:$G$1206,'январь 2024'!$D$4:$D$1206,$B117,'январь 2024'!$J$4:$J$1206,O$1)</f>
        <v>0</v>
      </c>
      <c r="P117" s="86">
        <f>SUMIFS('январь 2024'!$G$4:$G$1206,'январь 2024'!$D$4:$D$1206,$B117,'январь 2024'!$J$4:$J$1206,P$1)</f>
        <v>0</v>
      </c>
      <c r="Q117" s="86">
        <f>SUMIFS('январь 2024'!$G$4:$G$1206,'январь 2024'!$D$4:$D$1206,$B117,'январь 2024'!$J$4:$J$1206,Q$1)</f>
        <v>0</v>
      </c>
      <c r="R117" s="86">
        <f>SUMIFS('январь 2024'!$G$4:$G$1206,'январь 2024'!$D$4:$D$1206,$B117,'январь 2024'!$J$4:$J$1206,R$1)</f>
        <v>0</v>
      </c>
      <c r="S117" s="86">
        <f>SUMIFS('январь 2024'!$G$4:$G$1206,'январь 2024'!$D$4:$D$1206,$B117,'январь 2024'!$J$4:$J$1206,S$1)</f>
        <v>0</v>
      </c>
      <c r="T117" s="86">
        <f>SUMIFS('январь 2024'!$G$4:$G$1206,'январь 2024'!$D$4:$D$1206,$B117,'январь 2024'!$J$4:$J$1206,T$1)</f>
        <v>0</v>
      </c>
      <c r="U117" s="86">
        <f>SUMIFS('январь 2024'!$G$4:$G$1206,'январь 2024'!$D$4:$D$1206,$B117,'январь 2024'!$J$4:$J$1206,U$1)</f>
        <v>0</v>
      </c>
      <c r="V117" s="86">
        <f>SUMIFS('январь 2024'!$G$4:$G$1206,'январь 2024'!$D$4:$D$1206,$B117,'январь 2024'!$J$4:$J$1206,V$1)</f>
        <v>0</v>
      </c>
      <c r="W117" s="86">
        <f>SUMIFS('январь 2024'!$G$4:$G$1206,'январь 2024'!$D$4:$D$1206,$B117,'январь 2024'!$J$4:$J$1206,W$1)</f>
        <v>0</v>
      </c>
      <c r="X117" s="86">
        <f>SUMIFS('январь 2024'!$G$4:$G$1206,'январь 2024'!$D$4:$D$1206,$B117,'январь 2024'!$J$4:$J$1206,X$1)</f>
        <v>0</v>
      </c>
      <c r="Y117" s="86">
        <f>SUMIFS('январь 2024'!$G$4:$G$1206,'январь 2024'!$D$4:$D$1206,$B117,'январь 2024'!$J$4:$J$1206,Y$1)</f>
        <v>0</v>
      </c>
      <c r="Z117" s="86">
        <f>SUMIFS('январь 2024'!$G$4:$G$1206,'январь 2024'!$D$4:$D$1206,$B117,'январь 2024'!$J$4:$J$1206,Z$1)</f>
        <v>88</v>
      </c>
      <c r="AA117" s="86">
        <f>SUMIFS('январь 2024'!$G$4:$G$1206,'январь 2024'!$D$4:$D$1206,$B117,'январь 2024'!$J$4:$J$1206,AA$1)</f>
        <v>0</v>
      </c>
      <c r="AB117" s="86">
        <f>SUMIFS('январь 2024'!$G$4:$G$1206,'январь 2024'!$D$4:$D$1206,$B117,'январь 2024'!$J$4:$J$1206,AB$1)</f>
        <v>0</v>
      </c>
      <c r="AC117" s="86">
        <f>SUMIFS('январь 2024'!$G$4:$G$1206,'январь 2024'!$D$4:$D$1206,$B117,'январь 2024'!$J$4:$J$1206,AC$1)</f>
        <v>0</v>
      </c>
      <c r="AD117" s="86">
        <f>SUMIFS('январь 2024'!$G$4:$G$1206,'январь 2024'!$D$4:$D$1206,$B117,'январь 2024'!$J$4:$J$1206,AD$1)</f>
        <v>0</v>
      </c>
      <c r="AE117" s="86">
        <f>SUMIFS('январь 2024'!$G$4:$G$1206,'январь 2024'!$D$4:$D$1206,$B117,'январь 2024'!$J$4:$J$1206,AE$1)</f>
        <v>0</v>
      </c>
      <c r="AF117" s="86">
        <f>SUMIFS('январь 2024'!$G$4:$G$1206,'январь 2024'!$D$4:$D$1206,$B117,'январь 2024'!$J$4:$J$1206,AF$1)</f>
        <v>88</v>
      </c>
      <c r="AG117" s="86">
        <f>SUMIFS('январь 2024'!$G$4:$G$1206,'январь 2024'!$D$4:$D$1206,$B117,'январь 2024'!$J$4:$J$1206,AG$1)</f>
        <v>0</v>
      </c>
      <c r="AH117" s="86">
        <f>SUMIFS('январь 2024'!$G$4:$G$1206,'январь 2024'!$D$4:$D$1206,$B117,'январь 2024'!$J$4:$J$1206,AH$1)</f>
        <v>0</v>
      </c>
      <c r="AI117" s="21">
        <f t="shared" si="1"/>
        <v>176</v>
      </c>
    </row>
    <row r="118" spans="2:35" ht="15" customHeight="1" x14ac:dyDescent="0.25">
      <c r="B118" s="93" t="s">
        <v>191</v>
      </c>
      <c r="C118" s="91">
        <v>190</v>
      </c>
      <c r="D118" s="86">
        <f>SUMIFS('январь 2024'!$G$4:$G$1206,'январь 2024'!$D$4:$D$1206,$B118,'январь 2024'!$J$4:$J$1206,D$1)</f>
        <v>0</v>
      </c>
      <c r="E118" s="86">
        <f>SUMIFS('январь 2024'!$G$4:$G$1206,'январь 2024'!$D$4:$D$1206,$B118,'январь 2024'!$J$4:$J$1206,E$1)</f>
        <v>0</v>
      </c>
      <c r="F118" s="86">
        <f>SUMIFS('январь 2024'!$G$4:$G$1206,'январь 2024'!$D$4:$D$1206,$B118,'январь 2024'!$J$4:$J$1206,F$1)</f>
        <v>0</v>
      </c>
      <c r="G118" s="86">
        <f>SUMIFS('январь 2024'!$G$4:$G$1206,'январь 2024'!$D$4:$D$1206,$B118,'январь 2024'!$J$4:$J$1206,G$1)</f>
        <v>0</v>
      </c>
      <c r="H118" s="86">
        <f>SUMIFS('январь 2024'!$G$4:$G$1206,'январь 2024'!$D$4:$D$1206,$B118,'январь 2024'!$J$4:$J$1206,H$1)</f>
        <v>0</v>
      </c>
      <c r="I118" s="86">
        <f>SUMIFS('январь 2024'!$G$4:$G$1206,'январь 2024'!$D$4:$D$1206,$B118,'январь 2024'!$J$4:$J$1206,I$1)</f>
        <v>0</v>
      </c>
      <c r="J118" s="86">
        <f>SUMIFS('январь 2024'!$G$4:$G$1206,'январь 2024'!$D$4:$D$1206,$B118,'январь 2024'!$J$4:$J$1206,J$1)</f>
        <v>0</v>
      </c>
      <c r="K118" s="86">
        <f>SUMIFS('январь 2024'!$G$4:$G$1206,'январь 2024'!$D$4:$D$1206,$B118,'январь 2024'!$J$4:$J$1206,K$1)</f>
        <v>0</v>
      </c>
      <c r="L118" s="86">
        <f>SUMIFS('январь 2024'!$G$4:$G$1206,'январь 2024'!$D$4:$D$1206,$B118,'январь 2024'!$J$4:$J$1206,L$1)</f>
        <v>0</v>
      </c>
      <c r="M118" s="86">
        <f>SUMIFS('январь 2024'!$G$4:$G$1206,'январь 2024'!$D$4:$D$1206,$B118,'январь 2024'!$J$4:$J$1206,M$1)</f>
        <v>0</v>
      </c>
      <c r="N118" s="86">
        <f>SUMIFS('январь 2024'!$G$4:$G$1206,'январь 2024'!$D$4:$D$1206,$B118,'январь 2024'!$J$4:$J$1206,N$1)</f>
        <v>0</v>
      </c>
      <c r="O118" s="86">
        <f>SUMIFS('январь 2024'!$G$4:$G$1206,'январь 2024'!$D$4:$D$1206,$B118,'январь 2024'!$J$4:$J$1206,O$1)</f>
        <v>0</v>
      </c>
      <c r="P118" s="86">
        <f>SUMIFS('январь 2024'!$G$4:$G$1206,'январь 2024'!$D$4:$D$1206,$B118,'январь 2024'!$J$4:$J$1206,P$1)</f>
        <v>0</v>
      </c>
      <c r="Q118" s="86">
        <f>SUMIFS('январь 2024'!$G$4:$G$1206,'январь 2024'!$D$4:$D$1206,$B118,'январь 2024'!$J$4:$J$1206,Q$1)</f>
        <v>0</v>
      </c>
      <c r="R118" s="86">
        <f>SUMIFS('январь 2024'!$G$4:$G$1206,'январь 2024'!$D$4:$D$1206,$B118,'январь 2024'!$J$4:$J$1206,R$1)</f>
        <v>0</v>
      </c>
      <c r="S118" s="86">
        <f>SUMIFS('январь 2024'!$G$4:$G$1206,'январь 2024'!$D$4:$D$1206,$B118,'январь 2024'!$J$4:$J$1206,S$1)</f>
        <v>0</v>
      </c>
      <c r="T118" s="86">
        <f>SUMIFS('январь 2024'!$G$4:$G$1206,'январь 2024'!$D$4:$D$1206,$B118,'январь 2024'!$J$4:$J$1206,T$1)</f>
        <v>0</v>
      </c>
      <c r="U118" s="86">
        <f>SUMIFS('январь 2024'!$G$4:$G$1206,'январь 2024'!$D$4:$D$1206,$B118,'январь 2024'!$J$4:$J$1206,U$1)</f>
        <v>0</v>
      </c>
      <c r="V118" s="86">
        <f>SUMIFS('январь 2024'!$G$4:$G$1206,'январь 2024'!$D$4:$D$1206,$B118,'январь 2024'!$J$4:$J$1206,V$1)</f>
        <v>0</v>
      </c>
      <c r="W118" s="86">
        <f>SUMIFS('январь 2024'!$G$4:$G$1206,'январь 2024'!$D$4:$D$1206,$B118,'январь 2024'!$J$4:$J$1206,W$1)</f>
        <v>0</v>
      </c>
      <c r="X118" s="86">
        <f>SUMIFS('январь 2024'!$G$4:$G$1206,'январь 2024'!$D$4:$D$1206,$B118,'январь 2024'!$J$4:$J$1206,X$1)</f>
        <v>0</v>
      </c>
      <c r="Y118" s="86">
        <f>SUMIFS('январь 2024'!$G$4:$G$1206,'январь 2024'!$D$4:$D$1206,$B118,'январь 2024'!$J$4:$J$1206,Y$1)</f>
        <v>0</v>
      </c>
      <c r="Z118" s="86">
        <f>SUMIFS('январь 2024'!$G$4:$G$1206,'январь 2024'!$D$4:$D$1206,$B118,'январь 2024'!$J$4:$J$1206,Z$1)</f>
        <v>0</v>
      </c>
      <c r="AA118" s="86">
        <f>SUMIFS('январь 2024'!$G$4:$G$1206,'январь 2024'!$D$4:$D$1206,$B118,'январь 2024'!$J$4:$J$1206,AA$1)</f>
        <v>0</v>
      </c>
      <c r="AB118" s="86">
        <f>SUMIFS('январь 2024'!$G$4:$G$1206,'январь 2024'!$D$4:$D$1206,$B118,'январь 2024'!$J$4:$J$1206,AB$1)</f>
        <v>0</v>
      </c>
      <c r="AC118" s="86">
        <f>SUMIFS('январь 2024'!$G$4:$G$1206,'январь 2024'!$D$4:$D$1206,$B118,'январь 2024'!$J$4:$J$1206,AC$1)</f>
        <v>0</v>
      </c>
      <c r="AD118" s="86">
        <f>SUMIFS('январь 2024'!$G$4:$G$1206,'январь 2024'!$D$4:$D$1206,$B118,'январь 2024'!$J$4:$J$1206,AD$1)</f>
        <v>0</v>
      </c>
      <c r="AE118" s="86">
        <f>SUMIFS('январь 2024'!$G$4:$G$1206,'январь 2024'!$D$4:$D$1206,$B118,'январь 2024'!$J$4:$J$1206,AE$1)</f>
        <v>0</v>
      </c>
      <c r="AF118" s="86">
        <f>SUMIFS('январь 2024'!$G$4:$G$1206,'январь 2024'!$D$4:$D$1206,$B118,'январь 2024'!$J$4:$J$1206,AF$1)</f>
        <v>0</v>
      </c>
      <c r="AG118" s="86">
        <f>SUMIFS('январь 2024'!$G$4:$G$1206,'январь 2024'!$D$4:$D$1206,$B118,'январь 2024'!$J$4:$J$1206,AG$1)</f>
        <v>0</v>
      </c>
      <c r="AH118" s="86">
        <f>SUMIFS('январь 2024'!$G$4:$G$1206,'январь 2024'!$D$4:$D$1206,$B118,'январь 2024'!$J$4:$J$1206,AH$1)</f>
        <v>0</v>
      </c>
      <c r="AI118" s="21">
        <f t="shared" si="1"/>
        <v>0</v>
      </c>
    </row>
    <row r="119" spans="2:35" ht="15" customHeight="1" x14ac:dyDescent="0.25">
      <c r="B119" s="93" t="s">
        <v>334</v>
      </c>
      <c r="C119" s="91">
        <v>190</v>
      </c>
      <c r="D119" s="86">
        <f>SUMIFS('январь 2024'!$G$4:$G$1206,'январь 2024'!$D$4:$D$1206,$B119,'январь 2024'!$J$4:$J$1206,D$1)</f>
        <v>0</v>
      </c>
      <c r="E119" s="86">
        <f>SUMIFS('январь 2024'!$G$4:$G$1206,'январь 2024'!$D$4:$D$1206,$B119,'январь 2024'!$J$4:$J$1206,E$1)</f>
        <v>0</v>
      </c>
      <c r="F119" s="86">
        <f>SUMIFS('январь 2024'!$G$4:$G$1206,'январь 2024'!$D$4:$D$1206,$B119,'январь 2024'!$J$4:$J$1206,F$1)</f>
        <v>0</v>
      </c>
      <c r="G119" s="86">
        <f>SUMIFS('январь 2024'!$G$4:$G$1206,'январь 2024'!$D$4:$D$1206,$B119,'январь 2024'!$J$4:$J$1206,G$1)</f>
        <v>0</v>
      </c>
      <c r="H119" s="86">
        <f>SUMIFS('январь 2024'!$G$4:$G$1206,'январь 2024'!$D$4:$D$1206,$B119,'январь 2024'!$J$4:$J$1206,H$1)</f>
        <v>0</v>
      </c>
      <c r="I119" s="86">
        <f>SUMIFS('январь 2024'!$G$4:$G$1206,'январь 2024'!$D$4:$D$1206,$B119,'январь 2024'!$J$4:$J$1206,I$1)</f>
        <v>0</v>
      </c>
      <c r="J119" s="86">
        <f>SUMIFS('январь 2024'!$G$4:$G$1206,'январь 2024'!$D$4:$D$1206,$B119,'январь 2024'!$J$4:$J$1206,J$1)</f>
        <v>0</v>
      </c>
      <c r="K119" s="86">
        <f>SUMIFS('январь 2024'!$G$4:$G$1206,'январь 2024'!$D$4:$D$1206,$B119,'январь 2024'!$J$4:$J$1206,K$1)</f>
        <v>0</v>
      </c>
      <c r="L119" s="86">
        <f>SUMIFS('январь 2024'!$G$4:$G$1206,'январь 2024'!$D$4:$D$1206,$B119,'январь 2024'!$J$4:$J$1206,L$1)</f>
        <v>0</v>
      </c>
      <c r="M119" s="86">
        <f>SUMIFS('январь 2024'!$G$4:$G$1206,'январь 2024'!$D$4:$D$1206,$B119,'январь 2024'!$J$4:$J$1206,M$1)</f>
        <v>0</v>
      </c>
      <c r="N119" s="86">
        <f>SUMIFS('январь 2024'!$G$4:$G$1206,'январь 2024'!$D$4:$D$1206,$B119,'январь 2024'!$J$4:$J$1206,N$1)</f>
        <v>0</v>
      </c>
      <c r="O119" s="86">
        <f>SUMIFS('январь 2024'!$G$4:$G$1206,'январь 2024'!$D$4:$D$1206,$B119,'январь 2024'!$J$4:$J$1206,O$1)</f>
        <v>0</v>
      </c>
      <c r="P119" s="86">
        <f>SUMIFS('январь 2024'!$G$4:$G$1206,'январь 2024'!$D$4:$D$1206,$B119,'январь 2024'!$J$4:$J$1206,P$1)</f>
        <v>0</v>
      </c>
      <c r="Q119" s="86">
        <f>SUMIFS('январь 2024'!$G$4:$G$1206,'январь 2024'!$D$4:$D$1206,$B119,'январь 2024'!$J$4:$J$1206,Q$1)</f>
        <v>0</v>
      </c>
      <c r="R119" s="86">
        <f>SUMIFS('январь 2024'!$G$4:$G$1206,'январь 2024'!$D$4:$D$1206,$B119,'январь 2024'!$J$4:$J$1206,R$1)</f>
        <v>0</v>
      </c>
      <c r="S119" s="86">
        <f>SUMIFS('январь 2024'!$G$4:$G$1206,'январь 2024'!$D$4:$D$1206,$B119,'январь 2024'!$J$4:$J$1206,S$1)</f>
        <v>0</v>
      </c>
      <c r="T119" s="86">
        <f>SUMIFS('январь 2024'!$G$4:$G$1206,'январь 2024'!$D$4:$D$1206,$B119,'январь 2024'!$J$4:$J$1206,T$1)</f>
        <v>0</v>
      </c>
      <c r="U119" s="86">
        <f>SUMIFS('январь 2024'!$G$4:$G$1206,'январь 2024'!$D$4:$D$1206,$B119,'январь 2024'!$J$4:$J$1206,U$1)</f>
        <v>0</v>
      </c>
      <c r="V119" s="86">
        <f>SUMIFS('январь 2024'!$G$4:$G$1206,'январь 2024'!$D$4:$D$1206,$B119,'январь 2024'!$J$4:$J$1206,V$1)</f>
        <v>0</v>
      </c>
      <c r="W119" s="86">
        <f>SUMIFS('январь 2024'!$G$4:$G$1206,'январь 2024'!$D$4:$D$1206,$B119,'январь 2024'!$J$4:$J$1206,W$1)</f>
        <v>0</v>
      </c>
      <c r="X119" s="86">
        <f>SUMIFS('январь 2024'!$G$4:$G$1206,'январь 2024'!$D$4:$D$1206,$B119,'январь 2024'!$J$4:$J$1206,X$1)</f>
        <v>0</v>
      </c>
      <c r="Y119" s="86">
        <f>SUMIFS('январь 2024'!$G$4:$G$1206,'январь 2024'!$D$4:$D$1206,$B119,'январь 2024'!$J$4:$J$1206,Y$1)</f>
        <v>0</v>
      </c>
      <c r="Z119" s="86">
        <f>SUMIFS('январь 2024'!$G$4:$G$1206,'январь 2024'!$D$4:$D$1206,$B119,'январь 2024'!$J$4:$J$1206,Z$1)</f>
        <v>0</v>
      </c>
      <c r="AA119" s="86">
        <f>SUMIFS('январь 2024'!$G$4:$G$1206,'январь 2024'!$D$4:$D$1206,$B119,'январь 2024'!$J$4:$J$1206,AA$1)</f>
        <v>0</v>
      </c>
      <c r="AB119" s="86">
        <f>SUMIFS('январь 2024'!$G$4:$G$1206,'январь 2024'!$D$4:$D$1206,$B119,'январь 2024'!$J$4:$J$1206,AB$1)</f>
        <v>0</v>
      </c>
      <c r="AC119" s="86">
        <f>SUMIFS('январь 2024'!$G$4:$G$1206,'январь 2024'!$D$4:$D$1206,$B119,'январь 2024'!$J$4:$J$1206,AC$1)</f>
        <v>0</v>
      </c>
      <c r="AD119" s="86">
        <f>SUMIFS('январь 2024'!$G$4:$G$1206,'январь 2024'!$D$4:$D$1206,$B119,'январь 2024'!$J$4:$J$1206,AD$1)</f>
        <v>0</v>
      </c>
      <c r="AE119" s="86">
        <f>SUMIFS('январь 2024'!$G$4:$G$1206,'январь 2024'!$D$4:$D$1206,$B119,'январь 2024'!$J$4:$J$1206,AE$1)</f>
        <v>0</v>
      </c>
      <c r="AF119" s="86">
        <f>SUMIFS('январь 2024'!$G$4:$G$1206,'январь 2024'!$D$4:$D$1206,$B119,'январь 2024'!$J$4:$J$1206,AF$1)</f>
        <v>0</v>
      </c>
      <c r="AG119" s="86">
        <f>SUMIFS('январь 2024'!$G$4:$G$1206,'январь 2024'!$D$4:$D$1206,$B119,'январь 2024'!$J$4:$J$1206,AG$1)</f>
        <v>0</v>
      </c>
      <c r="AH119" s="86">
        <f>SUMIFS('январь 2024'!$G$4:$G$1206,'январь 2024'!$D$4:$D$1206,$B119,'январь 2024'!$J$4:$J$1206,AH$1)</f>
        <v>0</v>
      </c>
      <c r="AI119" s="21">
        <f t="shared" si="1"/>
        <v>0</v>
      </c>
    </row>
    <row r="120" spans="2:35" ht="16.899999999999999" customHeight="1" x14ac:dyDescent="0.25">
      <c r="B120" s="89" t="s">
        <v>335</v>
      </c>
      <c r="C120" s="88">
        <v>200</v>
      </c>
      <c r="D120" s="86">
        <f>SUMIFS('январь 2024'!$G$4:$G$1206,'январь 2024'!$D$4:$D$1206,$B120,'январь 2024'!$J$4:$J$1206,D$1)</f>
        <v>0</v>
      </c>
      <c r="E120" s="86">
        <f>SUMIFS('январь 2024'!$G$4:$G$1206,'январь 2024'!$D$4:$D$1206,$B120,'январь 2024'!$J$4:$J$1206,E$1)</f>
        <v>0</v>
      </c>
      <c r="F120" s="86">
        <f>SUMIFS('январь 2024'!$G$4:$G$1206,'январь 2024'!$D$4:$D$1206,$B120,'январь 2024'!$J$4:$J$1206,F$1)</f>
        <v>0</v>
      </c>
      <c r="G120" s="86">
        <f>SUMIFS('январь 2024'!$G$4:$G$1206,'январь 2024'!$D$4:$D$1206,$B120,'январь 2024'!$J$4:$J$1206,G$1)</f>
        <v>0</v>
      </c>
      <c r="H120" s="86">
        <f>SUMIFS('январь 2024'!$G$4:$G$1206,'январь 2024'!$D$4:$D$1206,$B120,'январь 2024'!$J$4:$J$1206,H$1)</f>
        <v>0</v>
      </c>
      <c r="I120" s="86">
        <f>SUMIFS('январь 2024'!$G$4:$G$1206,'январь 2024'!$D$4:$D$1206,$B120,'январь 2024'!$J$4:$J$1206,I$1)</f>
        <v>0</v>
      </c>
      <c r="J120" s="86">
        <f>SUMIFS('январь 2024'!$G$4:$G$1206,'январь 2024'!$D$4:$D$1206,$B120,'январь 2024'!$J$4:$J$1206,J$1)</f>
        <v>0</v>
      </c>
      <c r="K120" s="86">
        <f>SUMIFS('январь 2024'!$G$4:$G$1206,'январь 2024'!$D$4:$D$1206,$B120,'январь 2024'!$J$4:$J$1206,K$1)</f>
        <v>0</v>
      </c>
      <c r="L120" s="86">
        <f>SUMIFS('январь 2024'!$G$4:$G$1206,'январь 2024'!$D$4:$D$1206,$B120,'январь 2024'!$J$4:$J$1206,L$1)</f>
        <v>0</v>
      </c>
      <c r="M120" s="86">
        <f>SUMIFS('январь 2024'!$G$4:$G$1206,'январь 2024'!$D$4:$D$1206,$B120,'январь 2024'!$J$4:$J$1206,M$1)</f>
        <v>0</v>
      </c>
      <c r="N120" s="86">
        <f>SUMIFS('январь 2024'!$G$4:$G$1206,'январь 2024'!$D$4:$D$1206,$B120,'январь 2024'!$J$4:$J$1206,N$1)</f>
        <v>0</v>
      </c>
      <c r="O120" s="86">
        <f>SUMIFS('январь 2024'!$G$4:$G$1206,'январь 2024'!$D$4:$D$1206,$B120,'январь 2024'!$J$4:$J$1206,O$1)</f>
        <v>0</v>
      </c>
      <c r="P120" s="86">
        <f>SUMIFS('январь 2024'!$G$4:$G$1206,'январь 2024'!$D$4:$D$1206,$B120,'январь 2024'!$J$4:$J$1206,P$1)</f>
        <v>0</v>
      </c>
      <c r="Q120" s="86">
        <f>SUMIFS('январь 2024'!$G$4:$G$1206,'январь 2024'!$D$4:$D$1206,$B120,'январь 2024'!$J$4:$J$1206,Q$1)</f>
        <v>0</v>
      </c>
      <c r="R120" s="86">
        <f>SUMIFS('январь 2024'!$G$4:$G$1206,'январь 2024'!$D$4:$D$1206,$B120,'январь 2024'!$J$4:$J$1206,R$1)</f>
        <v>0</v>
      </c>
      <c r="S120" s="86">
        <f>SUMIFS('январь 2024'!$G$4:$G$1206,'январь 2024'!$D$4:$D$1206,$B120,'январь 2024'!$J$4:$J$1206,S$1)</f>
        <v>0</v>
      </c>
      <c r="T120" s="86">
        <f>SUMIFS('январь 2024'!$G$4:$G$1206,'январь 2024'!$D$4:$D$1206,$B120,'январь 2024'!$J$4:$J$1206,T$1)</f>
        <v>0</v>
      </c>
      <c r="U120" s="86">
        <f>SUMIFS('январь 2024'!$G$4:$G$1206,'январь 2024'!$D$4:$D$1206,$B120,'январь 2024'!$J$4:$J$1206,U$1)</f>
        <v>0</v>
      </c>
      <c r="V120" s="86">
        <f>SUMIFS('январь 2024'!$G$4:$G$1206,'январь 2024'!$D$4:$D$1206,$B120,'январь 2024'!$J$4:$J$1206,V$1)</f>
        <v>0</v>
      </c>
      <c r="W120" s="86">
        <f>SUMIFS('январь 2024'!$G$4:$G$1206,'январь 2024'!$D$4:$D$1206,$B120,'январь 2024'!$J$4:$J$1206,W$1)</f>
        <v>0</v>
      </c>
      <c r="X120" s="86">
        <f>SUMIFS('январь 2024'!$G$4:$G$1206,'январь 2024'!$D$4:$D$1206,$B120,'январь 2024'!$J$4:$J$1206,X$1)</f>
        <v>0</v>
      </c>
      <c r="Y120" s="86">
        <f>SUMIFS('январь 2024'!$G$4:$G$1206,'январь 2024'!$D$4:$D$1206,$B120,'январь 2024'!$J$4:$J$1206,Y$1)</f>
        <v>0</v>
      </c>
      <c r="Z120" s="86">
        <f>SUMIFS('январь 2024'!$G$4:$G$1206,'январь 2024'!$D$4:$D$1206,$B120,'январь 2024'!$J$4:$J$1206,Z$1)</f>
        <v>0</v>
      </c>
      <c r="AA120" s="86">
        <f>SUMIFS('январь 2024'!$G$4:$G$1206,'январь 2024'!$D$4:$D$1206,$B120,'январь 2024'!$J$4:$J$1206,AA$1)</f>
        <v>0</v>
      </c>
      <c r="AB120" s="86">
        <f>SUMIFS('январь 2024'!$G$4:$G$1206,'январь 2024'!$D$4:$D$1206,$B120,'январь 2024'!$J$4:$J$1206,AB$1)</f>
        <v>0</v>
      </c>
      <c r="AC120" s="86">
        <f>SUMIFS('январь 2024'!$G$4:$G$1206,'январь 2024'!$D$4:$D$1206,$B120,'январь 2024'!$J$4:$J$1206,AC$1)</f>
        <v>0</v>
      </c>
      <c r="AD120" s="86">
        <f>SUMIFS('январь 2024'!$G$4:$G$1206,'январь 2024'!$D$4:$D$1206,$B120,'январь 2024'!$J$4:$J$1206,AD$1)</f>
        <v>0</v>
      </c>
      <c r="AE120" s="86">
        <f>SUMIFS('январь 2024'!$G$4:$G$1206,'январь 2024'!$D$4:$D$1206,$B120,'январь 2024'!$J$4:$J$1206,AE$1)</f>
        <v>0</v>
      </c>
      <c r="AF120" s="86">
        <f>SUMIFS('январь 2024'!$G$4:$G$1206,'январь 2024'!$D$4:$D$1206,$B120,'январь 2024'!$J$4:$J$1206,AF$1)</f>
        <v>0</v>
      </c>
      <c r="AG120" s="86">
        <f>SUMIFS('январь 2024'!$G$4:$G$1206,'январь 2024'!$D$4:$D$1206,$B120,'январь 2024'!$J$4:$J$1206,AG$1)</f>
        <v>0</v>
      </c>
      <c r="AH120" s="86">
        <f>SUMIFS('январь 2024'!$G$4:$G$1206,'январь 2024'!$D$4:$D$1206,$B120,'январь 2024'!$J$4:$J$1206,AH$1)</f>
        <v>0</v>
      </c>
      <c r="AI120" s="21">
        <f t="shared" si="1"/>
        <v>0</v>
      </c>
    </row>
    <row r="121" spans="2:35" ht="16.899999999999999" customHeight="1" x14ac:dyDescent="0.25">
      <c r="B121" s="89" t="s">
        <v>340</v>
      </c>
      <c r="C121" s="88">
        <v>200</v>
      </c>
      <c r="D121" s="86">
        <f>SUMIFS('январь 2024'!$G$4:$G$1206,'январь 2024'!$D$4:$D$1206,$B121,'январь 2024'!$J$4:$J$1206,D$1)</f>
        <v>0</v>
      </c>
      <c r="E121" s="86">
        <f>SUMIFS('январь 2024'!$G$4:$G$1206,'январь 2024'!$D$4:$D$1206,$B121,'январь 2024'!$J$4:$J$1206,E$1)</f>
        <v>0</v>
      </c>
      <c r="F121" s="86">
        <f>SUMIFS('январь 2024'!$G$4:$G$1206,'январь 2024'!$D$4:$D$1206,$B121,'январь 2024'!$J$4:$J$1206,F$1)</f>
        <v>0</v>
      </c>
      <c r="G121" s="86">
        <f>SUMIFS('январь 2024'!$G$4:$G$1206,'январь 2024'!$D$4:$D$1206,$B121,'январь 2024'!$J$4:$J$1206,G$1)</f>
        <v>0</v>
      </c>
      <c r="H121" s="86">
        <f>SUMIFS('январь 2024'!$G$4:$G$1206,'январь 2024'!$D$4:$D$1206,$B121,'январь 2024'!$J$4:$J$1206,H$1)</f>
        <v>88</v>
      </c>
      <c r="I121" s="86">
        <f>SUMIFS('январь 2024'!$G$4:$G$1206,'январь 2024'!$D$4:$D$1206,$B121,'январь 2024'!$J$4:$J$1206,I$1)</f>
        <v>0</v>
      </c>
      <c r="J121" s="86">
        <f>SUMIFS('январь 2024'!$G$4:$G$1206,'январь 2024'!$D$4:$D$1206,$B121,'январь 2024'!$J$4:$J$1206,J$1)</f>
        <v>0</v>
      </c>
      <c r="K121" s="86">
        <f>SUMIFS('январь 2024'!$G$4:$G$1206,'январь 2024'!$D$4:$D$1206,$B121,'январь 2024'!$J$4:$J$1206,K$1)</f>
        <v>0</v>
      </c>
      <c r="L121" s="86">
        <f>SUMIFS('январь 2024'!$G$4:$G$1206,'январь 2024'!$D$4:$D$1206,$B121,'январь 2024'!$J$4:$J$1206,L$1)</f>
        <v>0</v>
      </c>
      <c r="M121" s="86">
        <f>SUMIFS('январь 2024'!$G$4:$G$1206,'январь 2024'!$D$4:$D$1206,$B121,'январь 2024'!$J$4:$J$1206,M$1)</f>
        <v>0</v>
      </c>
      <c r="N121" s="86">
        <f>SUMIFS('январь 2024'!$G$4:$G$1206,'январь 2024'!$D$4:$D$1206,$B121,'январь 2024'!$J$4:$J$1206,N$1)</f>
        <v>0</v>
      </c>
      <c r="O121" s="86">
        <f>SUMIFS('январь 2024'!$G$4:$G$1206,'январь 2024'!$D$4:$D$1206,$B121,'январь 2024'!$J$4:$J$1206,O$1)</f>
        <v>0</v>
      </c>
      <c r="P121" s="86">
        <f>SUMIFS('январь 2024'!$G$4:$G$1206,'январь 2024'!$D$4:$D$1206,$B121,'январь 2024'!$J$4:$J$1206,P$1)</f>
        <v>0</v>
      </c>
      <c r="Q121" s="86">
        <f>SUMIFS('январь 2024'!$G$4:$G$1206,'январь 2024'!$D$4:$D$1206,$B121,'январь 2024'!$J$4:$J$1206,Q$1)</f>
        <v>0</v>
      </c>
      <c r="R121" s="86">
        <f>SUMIFS('январь 2024'!$G$4:$G$1206,'январь 2024'!$D$4:$D$1206,$B121,'январь 2024'!$J$4:$J$1206,R$1)</f>
        <v>0</v>
      </c>
      <c r="S121" s="86">
        <f>SUMIFS('январь 2024'!$G$4:$G$1206,'январь 2024'!$D$4:$D$1206,$B121,'январь 2024'!$J$4:$J$1206,S$1)</f>
        <v>0</v>
      </c>
      <c r="T121" s="86">
        <f>SUMIFS('январь 2024'!$G$4:$G$1206,'январь 2024'!$D$4:$D$1206,$B121,'январь 2024'!$J$4:$J$1206,T$1)</f>
        <v>0</v>
      </c>
      <c r="U121" s="86">
        <f>SUMIFS('январь 2024'!$G$4:$G$1206,'январь 2024'!$D$4:$D$1206,$B121,'январь 2024'!$J$4:$J$1206,U$1)</f>
        <v>0</v>
      </c>
      <c r="V121" s="86">
        <f>SUMIFS('январь 2024'!$G$4:$G$1206,'январь 2024'!$D$4:$D$1206,$B121,'январь 2024'!$J$4:$J$1206,V$1)</f>
        <v>0</v>
      </c>
      <c r="W121" s="86">
        <f>SUMIFS('январь 2024'!$G$4:$G$1206,'январь 2024'!$D$4:$D$1206,$B121,'январь 2024'!$J$4:$J$1206,W$1)</f>
        <v>0</v>
      </c>
      <c r="X121" s="86">
        <f>SUMIFS('январь 2024'!$G$4:$G$1206,'январь 2024'!$D$4:$D$1206,$B121,'январь 2024'!$J$4:$J$1206,X$1)</f>
        <v>0</v>
      </c>
      <c r="Y121" s="86">
        <f>SUMIFS('январь 2024'!$G$4:$G$1206,'январь 2024'!$D$4:$D$1206,$B121,'январь 2024'!$J$4:$J$1206,Y$1)</f>
        <v>0</v>
      </c>
      <c r="Z121" s="86">
        <f>SUMIFS('январь 2024'!$G$4:$G$1206,'январь 2024'!$D$4:$D$1206,$B121,'январь 2024'!$J$4:$J$1206,Z$1)</f>
        <v>0</v>
      </c>
      <c r="AA121" s="86">
        <f>SUMIFS('январь 2024'!$G$4:$G$1206,'январь 2024'!$D$4:$D$1206,$B121,'январь 2024'!$J$4:$J$1206,AA$1)</f>
        <v>0</v>
      </c>
      <c r="AB121" s="86">
        <f>SUMIFS('январь 2024'!$G$4:$G$1206,'январь 2024'!$D$4:$D$1206,$B121,'январь 2024'!$J$4:$J$1206,AB$1)</f>
        <v>0</v>
      </c>
      <c r="AC121" s="86">
        <f>SUMIFS('январь 2024'!$G$4:$G$1206,'январь 2024'!$D$4:$D$1206,$B121,'январь 2024'!$J$4:$J$1206,AC$1)</f>
        <v>0</v>
      </c>
      <c r="AD121" s="86">
        <f>SUMIFS('январь 2024'!$G$4:$G$1206,'январь 2024'!$D$4:$D$1206,$B121,'январь 2024'!$J$4:$J$1206,AD$1)</f>
        <v>0</v>
      </c>
      <c r="AE121" s="86">
        <f>SUMIFS('январь 2024'!$G$4:$G$1206,'январь 2024'!$D$4:$D$1206,$B121,'январь 2024'!$J$4:$J$1206,AE$1)</f>
        <v>0</v>
      </c>
      <c r="AF121" s="86">
        <f>SUMIFS('январь 2024'!$G$4:$G$1206,'январь 2024'!$D$4:$D$1206,$B121,'январь 2024'!$J$4:$J$1206,AF$1)</f>
        <v>0</v>
      </c>
      <c r="AG121" s="86">
        <f>SUMIFS('январь 2024'!$G$4:$G$1206,'январь 2024'!$D$4:$D$1206,$B121,'январь 2024'!$J$4:$J$1206,AG$1)</f>
        <v>0</v>
      </c>
      <c r="AH121" s="86">
        <f>SUMIFS('январь 2024'!$G$4:$G$1206,'январь 2024'!$D$4:$D$1206,$B121,'январь 2024'!$J$4:$J$1206,AH$1)</f>
        <v>0</v>
      </c>
      <c r="AI121" s="21">
        <f>SUM(D121:AH121)</f>
        <v>88</v>
      </c>
    </row>
    <row r="122" spans="2:35" ht="16.899999999999999" customHeight="1" x14ac:dyDescent="0.25">
      <c r="B122" s="89" t="s">
        <v>336</v>
      </c>
      <c r="C122" s="88">
        <v>200</v>
      </c>
      <c r="D122" s="86">
        <f>SUMIFS('январь 2024'!$G$4:$G$1206,'январь 2024'!$D$4:$D$1206,$B122,'январь 2024'!$J$4:$J$1206,D$1)</f>
        <v>0</v>
      </c>
      <c r="E122" s="86">
        <f>SUMIFS('январь 2024'!$G$4:$G$1206,'январь 2024'!$D$4:$D$1206,$B122,'январь 2024'!$J$4:$J$1206,E$1)</f>
        <v>0</v>
      </c>
      <c r="F122" s="86">
        <f>SUMIFS('январь 2024'!$G$4:$G$1206,'январь 2024'!$D$4:$D$1206,$B122,'январь 2024'!$J$4:$J$1206,F$1)</f>
        <v>0</v>
      </c>
      <c r="G122" s="86">
        <f>SUMIFS('январь 2024'!$G$4:$G$1206,'январь 2024'!$D$4:$D$1206,$B122,'январь 2024'!$J$4:$J$1206,G$1)</f>
        <v>0</v>
      </c>
      <c r="H122" s="86">
        <f>SUMIFS('январь 2024'!$G$4:$G$1206,'январь 2024'!$D$4:$D$1206,$B122,'январь 2024'!$J$4:$J$1206,H$1)</f>
        <v>0</v>
      </c>
      <c r="I122" s="86">
        <f>SUMIFS('январь 2024'!$G$4:$G$1206,'январь 2024'!$D$4:$D$1206,$B122,'январь 2024'!$J$4:$J$1206,I$1)</f>
        <v>0</v>
      </c>
      <c r="J122" s="86">
        <f>SUMIFS('январь 2024'!$G$4:$G$1206,'январь 2024'!$D$4:$D$1206,$B122,'январь 2024'!$J$4:$J$1206,J$1)</f>
        <v>0</v>
      </c>
      <c r="K122" s="86">
        <f>SUMIFS('январь 2024'!$G$4:$G$1206,'январь 2024'!$D$4:$D$1206,$B122,'январь 2024'!$J$4:$J$1206,K$1)</f>
        <v>0</v>
      </c>
      <c r="L122" s="86">
        <f>SUMIFS('январь 2024'!$G$4:$G$1206,'январь 2024'!$D$4:$D$1206,$B122,'январь 2024'!$J$4:$J$1206,L$1)</f>
        <v>0</v>
      </c>
      <c r="M122" s="86">
        <f>SUMIFS('январь 2024'!$G$4:$G$1206,'январь 2024'!$D$4:$D$1206,$B122,'январь 2024'!$J$4:$J$1206,M$1)</f>
        <v>0</v>
      </c>
      <c r="N122" s="86">
        <f>SUMIFS('январь 2024'!$G$4:$G$1206,'январь 2024'!$D$4:$D$1206,$B122,'январь 2024'!$J$4:$J$1206,N$1)</f>
        <v>0</v>
      </c>
      <c r="O122" s="86">
        <f>SUMIFS('январь 2024'!$G$4:$G$1206,'январь 2024'!$D$4:$D$1206,$B122,'январь 2024'!$J$4:$J$1206,O$1)</f>
        <v>0</v>
      </c>
      <c r="P122" s="86">
        <f>SUMIFS('январь 2024'!$G$4:$G$1206,'январь 2024'!$D$4:$D$1206,$B122,'январь 2024'!$J$4:$J$1206,P$1)</f>
        <v>0</v>
      </c>
      <c r="Q122" s="86">
        <f>SUMIFS('январь 2024'!$G$4:$G$1206,'январь 2024'!$D$4:$D$1206,$B122,'январь 2024'!$J$4:$J$1206,Q$1)</f>
        <v>0</v>
      </c>
      <c r="R122" s="86">
        <f>SUMIFS('январь 2024'!$G$4:$G$1206,'январь 2024'!$D$4:$D$1206,$B122,'январь 2024'!$J$4:$J$1206,R$1)</f>
        <v>0</v>
      </c>
      <c r="S122" s="86">
        <f>SUMIFS('январь 2024'!$G$4:$G$1206,'январь 2024'!$D$4:$D$1206,$B122,'январь 2024'!$J$4:$J$1206,S$1)</f>
        <v>0</v>
      </c>
      <c r="T122" s="86">
        <f>SUMIFS('январь 2024'!$G$4:$G$1206,'январь 2024'!$D$4:$D$1206,$B122,'январь 2024'!$J$4:$J$1206,T$1)</f>
        <v>0</v>
      </c>
      <c r="U122" s="86">
        <f>SUMIFS('январь 2024'!$G$4:$G$1206,'январь 2024'!$D$4:$D$1206,$B122,'январь 2024'!$J$4:$J$1206,U$1)</f>
        <v>0</v>
      </c>
      <c r="V122" s="86">
        <f>SUMIFS('январь 2024'!$G$4:$G$1206,'январь 2024'!$D$4:$D$1206,$B122,'январь 2024'!$J$4:$J$1206,V$1)</f>
        <v>0</v>
      </c>
      <c r="W122" s="86">
        <f>SUMIFS('январь 2024'!$G$4:$G$1206,'январь 2024'!$D$4:$D$1206,$B122,'январь 2024'!$J$4:$J$1206,W$1)</f>
        <v>0</v>
      </c>
      <c r="X122" s="86">
        <f>SUMIFS('январь 2024'!$G$4:$G$1206,'январь 2024'!$D$4:$D$1206,$B122,'январь 2024'!$J$4:$J$1206,X$1)</f>
        <v>0</v>
      </c>
      <c r="Y122" s="86">
        <f>SUMIFS('январь 2024'!$G$4:$G$1206,'январь 2024'!$D$4:$D$1206,$B122,'январь 2024'!$J$4:$J$1206,Y$1)</f>
        <v>0</v>
      </c>
      <c r="Z122" s="86">
        <f>SUMIFS('январь 2024'!$G$4:$G$1206,'январь 2024'!$D$4:$D$1206,$B122,'январь 2024'!$J$4:$J$1206,Z$1)</f>
        <v>0</v>
      </c>
      <c r="AA122" s="86">
        <f>SUMIFS('январь 2024'!$G$4:$G$1206,'январь 2024'!$D$4:$D$1206,$B122,'январь 2024'!$J$4:$J$1206,AA$1)</f>
        <v>0</v>
      </c>
      <c r="AB122" s="86">
        <f>SUMIFS('январь 2024'!$G$4:$G$1206,'январь 2024'!$D$4:$D$1206,$B122,'январь 2024'!$J$4:$J$1206,AB$1)</f>
        <v>0</v>
      </c>
      <c r="AC122" s="86">
        <f>SUMIFS('январь 2024'!$G$4:$G$1206,'январь 2024'!$D$4:$D$1206,$B122,'январь 2024'!$J$4:$J$1206,AC$1)</f>
        <v>0</v>
      </c>
      <c r="AD122" s="86">
        <f>SUMIFS('январь 2024'!$G$4:$G$1206,'январь 2024'!$D$4:$D$1206,$B122,'январь 2024'!$J$4:$J$1206,AD$1)</f>
        <v>0</v>
      </c>
      <c r="AE122" s="86">
        <f>SUMIFS('январь 2024'!$G$4:$G$1206,'январь 2024'!$D$4:$D$1206,$B122,'январь 2024'!$J$4:$J$1206,AE$1)</f>
        <v>0</v>
      </c>
      <c r="AF122" s="86">
        <f>SUMIFS('январь 2024'!$G$4:$G$1206,'январь 2024'!$D$4:$D$1206,$B122,'январь 2024'!$J$4:$J$1206,AF$1)</f>
        <v>0</v>
      </c>
      <c r="AG122" s="86">
        <f>SUMIFS('январь 2024'!$G$4:$G$1206,'январь 2024'!$D$4:$D$1206,$B122,'январь 2024'!$J$4:$J$1206,AG$1)</f>
        <v>0</v>
      </c>
      <c r="AH122" s="86">
        <f>SUMIFS('январь 2024'!$G$4:$G$1206,'январь 2024'!$D$4:$D$1206,$B122,'январь 2024'!$J$4:$J$1206,AH$1)</f>
        <v>0</v>
      </c>
      <c r="AI122" s="21"/>
    </row>
    <row r="123" spans="2:35" ht="15" customHeight="1" x14ac:dyDescent="0.25">
      <c r="B123" s="89" t="s">
        <v>341</v>
      </c>
      <c r="C123" s="88">
        <v>200</v>
      </c>
      <c r="D123" s="86">
        <f>SUMIFS('январь 2024'!$G$4:$G$1206,'январь 2024'!$D$4:$D$1206,$B123,'январь 2024'!$J$4:$J$1206,D$1)</f>
        <v>0</v>
      </c>
      <c r="E123" s="86">
        <f>SUMIFS('январь 2024'!$G$4:$G$1206,'январь 2024'!$D$4:$D$1206,$B123,'январь 2024'!$J$4:$J$1206,E$1)</f>
        <v>0</v>
      </c>
      <c r="F123" s="86">
        <f>SUMIFS('январь 2024'!$G$4:$G$1206,'январь 2024'!$D$4:$D$1206,$B123,'январь 2024'!$J$4:$J$1206,F$1)</f>
        <v>0</v>
      </c>
      <c r="G123" s="86">
        <f>SUMIFS('январь 2024'!$G$4:$G$1206,'январь 2024'!$D$4:$D$1206,$B123,'январь 2024'!$J$4:$J$1206,G$1)</f>
        <v>0</v>
      </c>
      <c r="H123" s="86">
        <f>SUMIFS('январь 2024'!$G$4:$G$1206,'январь 2024'!$D$4:$D$1206,$B123,'январь 2024'!$J$4:$J$1206,H$1)</f>
        <v>0</v>
      </c>
      <c r="I123" s="86">
        <f>SUMIFS('январь 2024'!$G$4:$G$1206,'январь 2024'!$D$4:$D$1206,$B123,'январь 2024'!$J$4:$J$1206,I$1)</f>
        <v>0</v>
      </c>
      <c r="J123" s="86">
        <f>SUMIFS('январь 2024'!$G$4:$G$1206,'январь 2024'!$D$4:$D$1206,$B123,'январь 2024'!$J$4:$J$1206,J$1)</f>
        <v>0</v>
      </c>
      <c r="K123" s="86">
        <f>SUMIFS('январь 2024'!$G$4:$G$1206,'январь 2024'!$D$4:$D$1206,$B123,'январь 2024'!$J$4:$J$1206,K$1)</f>
        <v>0</v>
      </c>
      <c r="L123" s="86">
        <f>SUMIFS('январь 2024'!$G$4:$G$1206,'январь 2024'!$D$4:$D$1206,$B123,'январь 2024'!$J$4:$J$1206,L$1)</f>
        <v>0</v>
      </c>
      <c r="M123" s="86">
        <f>SUMIFS('январь 2024'!$G$4:$G$1206,'январь 2024'!$D$4:$D$1206,$B123,'январь 2024'!$J$4:$J$1206,M$1)</f>
        <v>0</v>
      </c>
      <c r="N123" s="86">
        <f>SUMIFS('январь 2024'!$G$4:$G$1206,'январь 2024'!$D$4:$D$1206,$B123,'январь 2024'!$J$4:$J$1206,N$1)</f>
        <v>0</v>
      </c>
      <c r="O123" s="86">
        <f>SUMIFS('январь 2024'!$G$4:$G$1206,'январь 2024'!$D$4:$D$1206,$B123,'январь 2024'!$J$4:$J$1206,O$1)</f>
        <v>0</v>
      </c>
      <c r="P123" s="86">
        <f>SUMIFS('январь 2024'!$G$4:$G$1206,'январь 2024'!$D$4:$D$1206,$B123,'январь 2024'!$J$4:$J$1206,P$1)</f>
        <v>0</v>
      </c>
      <c r="Q123" s="86">
        <f>SUMIFS('январь 2024'!$G$4:$G$1206,'январь 2024'!$D$4:$D$1206,$B123,'январь 2024'!$J$4:$J$1206,Q$1)</f>
        <v>0</v>
      </c>
      <c r="R123" s="86">
        <f>SUMIFS('январь 2024'!$G$4:$G$1206,'январь 2024'!$D$4:$D$1206,$B123,'январь 2024'!$J$4:$J$1206,R$1)</f>
        <v>0</v>
      </c>
      <c r="S123" s="86">
        <f>SUMIFS('январь 2024'!$G$4:$G$1206,'январь 2024'!$D$4:$D$1206,$B123,'январь 2024'!$J$4:$J$1206,S$1)</f>
        <v>0</v>
      </c>
      <c r="T123" s="86">
        <f>SUMIFS('январь 2024'!$G$4:$G$1206,'январь 2024'!$D$4:$D$1206,$B123,'январь 2024'!$J$4:$J$1206,T$1)</f>
        <v>0</v>
      </c>
      <c r="U123" s="86">
        <f>SUMIFS('январь 2024'!$G$4:$G$1206,'январь 2024'!$D$4:$D$1206,$B123,'январь 2024'!$J$4:$J$1206,U$1)</f>
        <v>0</v>
      </c>
      <c r="V123" s="86">
        <f>SUMIFS('январь 2024'!$G$4:$G$1206,'январь 2024'!$D$4:$D$1206,$B123,'январь 2024'!$J$4:$J$1206,V$1)</f>
        <v>0</v>
      </c>
      <c r="W123" s="86">
        <f>SUMIFS('январь 2024'!$G$4:$G$1206,'январь 2024'!$D$4:$D$1206,$B123,'январь 2024'!$J$4:$J$1206,W$1)</f>
        <v>0</v>
      </c>
      <c r="X123" s="86">
        <f>SUMIFS('январь 2024'!$G$4:$G$1206,'январь 2024'!$D$4:$D$1206,$B123,'январь 2024'!$J$4:$J$1206,X$1)</f>
        <v>0</v>
      </c>
      <c r="Y123" s="86">
        <f>SUMIFS('январь 2024'!$G$4:$G$1206,'январь 2024'!$D$4:$D$1206,$B123,'январь 2024'!$J$4:$J$1206,Y$1)</f>
        <v>0</v>
      </c>
      <c r="Z123" s="86">
        <f>SUMIFS('январь 2024'!$G$4:$G$1206,'январь 2024'!$D$4:$D$1206,$B123,'январь 2024'!$J$4:$J$1206,Z$1)</f>
        <v>0</v>
      </c>
      <c r="AA123" s="86">
        <f>SUMIFS('январь 2024'!$G$4:$G$1206,'январь 2024'!$D$4:$D$1206,$B123,'январь 2024'!$J$4:$J$1206,AA$1)</f>
        <v>0</v>
      </c>
      <c r="AB123" s="86">
        <f>SUMIFS('январь 2024'!$G$4:$G$1206,'январь 2024'!$D$4:$D$1206,$B123,'январь 2024'!$J$4:$J$1206,AB$1)</f>
        <v>0</v>
      </c>
      <c r="AC123" s="86">
        <f>SUMIFS('январь 2024'!$G$4:$G$1206,'январь 2024'!$D$4:$D$1206,$B123,'январь 2024'!$J$4:$J$1206,AC$1)</f>
        <v>0</v>
      </c>
      <c r="AD123" s="86">
        <f>SUMIFS('январь 2024'!$G$4:$G$1206,'январь 2024'!$D$4:$D$1206,$B123,'январь 2024'!$J$4:$J$1206,AD$1)</f>
        <v>0</v>
      </c>
      <c r="AE123" s="86">
        <f>SUMIFS('январь 2024'!$G$4:$G$1206,'январь 2024'!$D$4:$D$1206,$B123,'январь 2024'!$J$4:$J$1206,AE$1)</f>
        <v>0</v>
      </c>
      <c r="AF123" s="86">
        <f>SUMIFS('январь 2024'!$G$4:$G$1206,'январь 2024'!$D$4:$D$1206,$B123,'январь 2024'!$J$4:$J$1206,AF$1)</f>
        <v>0</v>
      </c>
      <c r="AG123" s="86">
        <f>SUMIFS('январь 2024'!$G$4:$G$1206,'январь 2024'!$D$4:$D$1206,$B123,'январь 2024'!$J$4:$J$1206,AG$1)</f>
        <v>0</v>
      </c>
      <c r="AH123" s="86">
        <f>SUMIFS('январь 2024'!$G$4:$G$1206,'январь 2024'!$D$4:$D$1206,$B123,'январь 2024'!$J$4:$J$1206,AH$1)</f>
        <v>0</v>
      </c>
      <c r="AI123" s="21">
        <f t="shared" si="1"/>
        <v>0</v>
      </c>
    </row>
    <row r="124" spans="2:35" ht="15" customHeight="1" x14ac:dyDescent="0.25">
      <c r="B124" s="89" t="s">
        <v>337</v>
      </c>
      <c r="C124" s="88">
        <v>200</v>
      </c>
      <c r="D124" s="86">
        <f>SUMIFS('январь 2024'!$G$4:$G$1206,'январь 2024'!$D$4:$D$1206,$B124,'январь 2024'!$J$4:$J$1206,D$1)</f>
        <v>0</v>
      </c>
      <c r="E124" s="86">
        <f>SUMIFS('январь 2024'!$G$4:$G$1206,'январь 2024'!$D$4:$D$1206,$B124,'январь 2024'!$J$4:$J$1206,E$1)</f>
        <v>0</v>
      </c>
      <c r="F124" s="86">
        <f>SUMIFS('январь 2024'!$G$4:$G$1206,'январь 2024'!$D$4:$D$1206,$B124,'январь 2024'!$J$4:$J$1206,F$1)</f>
        <v>0</v>
      </c>
      <c r="G124" s="86">
        <f>SUMIFS('январь 2024'!$G$4:$G$1206,'январь 2024'!$D$4:$D$1206,$B124,'январь 2024'!$J$4:$J$1206,G$1)</f>
        <v>100</v>
      </c>
      <c r="H124" s="86">
        <f>SUMIFS('январь 2024'!$G$4:$G$1206,'январь 2024'!$D$4:$D$1206,$B124,'январь 2024'!$J$4:$J$1206,H$1)</f>
        <v>0</v>
      </c>
      <c r="I124" s="86">
        <f>SUMIFS('январь 2024'!$G$4:$G$1206,'январь 2024'!$D$4:$D$1206,$B124,'январь 2024'!$J$4:$J$1206,I$1)</f>
        <v>0</v>
      </c>
      <c r="J124" s="86">
        <f>SUMIFS('январь 2024'!$G$4:$G$1206,'январь 2024'!$D$4:$D$1206,$B124,'январь 2024'!$J$4:$J$1206,J$1)</f>
        <v>0</v>
      </c>
      <c r="K124" s="86">
        <f>SUMIFS('январь 2024'!$G$4:$G$1206,'январь 2024'!$D$4:$D$1206,$B124,'январь 2024'!$J$4:$J$1206,K$1)</f>
        <v>0</v>
      </c>
      <c r="L124" s="86">
        <f>SUMIFS('январь 2024'!$G$4:$G$1206,'январь 2024'!$D$4:$D$1206,$B124,'январь 2024'!$J$4:$J$1206,L$1)</f>
        <v>0</v>
      </c>
      <c r="M124" s="86">
        <f>SUMIFS('январь 2024'!$G$4:$G$1206,'январь 2024'!$D$4:$D$1206,$B124,'январь 2024'!$J$4:$J$1206,M$1)</f>
        <v>0</v>
      </c>
      <c r="N124" s="86">
        <f>SUMIFS('январь 2024'!$G$4:$G$1206,'январь 2024'!$D$4:$D$1206,$B124,'январь 2024'!$J$4:$J$1206,N$1)</f>
        <v>0</v>
      </c>
      <c r="O124" s="86">
        <f>SUMIFS('январь 2024'!$G$4:$G$1206,'январь 2024'!$D$4:$D$1206,$B124,'январь 2024'!$J$4:$J$1206,O$1)</f>
        <v>0</v>
      </c>
      <c r="P124" s="86">
        <f>SUMIFS('январь 2024'!$G$4:$G$1206,'январь 2024'!$D$4:$D$1206,$B124,'январь 2024'!$J$4:$J$1206,P$1)</f>
        <v>0</v>
      </c>
      <c r="Q124" s="86">
        <f>SUMIFS('январь 2024'!$G$4:$G$1206,'январь 2024'!$D$4:$D$1206,$B124,'январь 2024'!$J$4:$J$1206,Q$1)</f>
        <v>0</v>
      </c>
      <c r="R124" s="86">
        <f>SUMIFS('январь 2024'!$G$4:$G$1206,'январь 2024'!$D$4:$D$1206,$B124,'январь 2024'!$J$4:$J$1206,R$1)</f>
        <v>0</v>
      </c>
      <c r="S124" s="86">
        <f>SUMIFS('январь 2024'!$G$4:$G$1206,'январь 2024'!$D$4:$D$1206,$B124,'январь 2024'!$J$4:$J$1206,S$1)</f>
        <v>0</v>
      </c>
      <c r="T124" s="86">
        <f>SUMIFS('январь 2024'!$G$4:$G$1206,'январь 2024'!$D$4:$D$1206,$B124,'январь 2024'!$J$4:$J$1206,T$1)</f>
        <v>0</v>
      </c>
      <c r="U124" s="86">
        <f>SUMIFS('январь 2024'!$G$4:$G$1206,'январь 2024'!$D$4:$D$1206,$B124,'январь 2024'!$J$4:$J$1206,U$1)</f>
        <v>0</v>
      </c>
      <c r="V124" s="86">
        <f>SUMIFS('январь 2024'!$G$4:$G$1206,'январь 2024'!$D$4:$D$1206,$B124,'январь 2024'!$J$4:$J$1206,V$1)</f>
        <v>0</v>
      </c>
      <c r="W124" s="86">
        <f>SUMIFS('январь 2024'!$G$4:$G$1206,'январь 2024'!$D$4:$D$1206,$B124,'январь 2024'!$J$4:$J$1206,W$1)</f>
        <v>0</v>
      </c>
      <c r="X124" s="86">
        <f>SUMIFS('январь 2024'!$G$4:$G$1206,'январь 2024'!$D$4:$D$1206,$B124,'январь 2024'!$J$4:$J$1206,X$1)</f>
        <v>0</v>
      </c>
      <c r="Y124" s="86">
        <f>SUMIFS('январь 2024'!$G$4:$G$1206,'январь 2024'!$D$4:$D$1206,$B124,'январь 2024'!$J$4:$J$1206,Y$1)</f>
        <v>0</v>
      </c>
      <c r="Z124" s="86">
        <f>SUMIFS('январь 2024'!$G$4:$G$1206,'январь 2024'!$D$4:$D$1206,$B124,'январь 2024'!$J$4:$J$1206,Z$1)</f>
        <v>0</v>
      </c>
      <c r="AA124" s="86">
        <f>SUMIFS('январь 2024'!$G$4:$G$1206,'январь 2024'!$D$4:$D$1206,$B124,'январь 2024'!$J$4:$J$1206,AA$1)</f>
        <v>0</v>
      </c>
      <c r="AB124" s="86">
        <f>SUMIFS('январь 2024'!$G$4:$G$1206,'январь 2024'!$D$4:$D$1206,$B124,'январь 2024'!$J$4:$J$1206,AB$1)</f>
        <v>0</v>
      </c>
      <c r="AC124" s="86">
        <f>SUMIFS('январь 2024'!$G$4:$G$1206,'январь 2024'!$D$4:$D$1206,$B124,'январь 2024'!$J$4:$J$1206,AC$1)</f>
        <v>0</v>
      </c>
      <c r="AD124" s="86">
        <f>SUMIFS('январь 2024'!$G$4:$G$1206,'январь 2024'!$D$4:$D$1206,$B124,'январь 2024'!$J$4:$J$1206,AD$1)</f>
        <v>0</v>
      </c>
      <c r="AE124" s="86">
        <f>SUMIFS('январь 2024'!$G$4:$G$1206,'январь 2024'!$D$4:$D$1206,$B124,'январь 2024'!$J$4:$J$1206,AE$1)</f>
        <v>0</v>
      </c>
      <c r="AF124" s="86">
        <f>SUMIFS('январь 2024'!$G$4:$G$1206,'январь 2024'!$D$4:$D$1206,$B124,'январь 2024'!$J$4:$J$1206,AF$1)</f>
        <v>0</v>
      </c>
      <c r="AG124" s="86">
        <f>SUMIFS('январь 2024'!$G$4:$G$1206,'январь 2024'!$D$4:$D$1206,$B124,'январь 2024'!$J$4:$J$1206,AG$1)</f>
        <v>0</v>
      </c>
      <c r="AH124" s="86">
        <f>SUMIFS('январь 2024'!$G$4:$G$1206,'январь 2024'!$D$4:$D$1206,$B124,'январь 2024'!$J$4:$J$1206,AH$1)</f>
        <v>0</v>
      </c>
      <c r="AI124" s="21">
        <f t="shared" si="1"/>
        <v>100</v>
      </c>
    </row>
    <row r="125" spans="2:35" ht="15" customHeight="1" x14ac:dyDescent="0.25">
      <c r="B125" s="89" t="s">
        <v>338</v>
      </c>
      <c r="C125" s="88">
        <v>200</v>
      </c>
      <c r="D125" s="86">
        <f>SUMIFS('январь 2024'!$G$4:$G$1206,'январь 2024'!$D$4:$D$1206,$B125,'январь 2024'!$J$4:$J$1206,D$1)</f>
        <v>0</v>
      </c>
      <c r="E125" s="86">
        <f>SUMIFS('январь 2024'!$G$4:$G$1206,'январь 2024'!$D$4:$D$1206,$B125,'январь 2024'!$J$4:$J$1206,E$1)</f>
        <v>0</v>
      </c>
      <c r="F125" s="86">
        <f>SUMIFS('январь 2024'!$G$4:$G$1206,'январь 2024'!$D$4:$D$1206,$B125,'январь 2024'!$J$4:$J$1206,F$1)</f>
        <v>0</v>
      </c>
      <c r="G125" s="86">
        <f>SUMIFS('январь 2024'!$G$4:$G$1206,'январь 2024'!$D$4:$D$1206,$B125,'январь 2024'!$J$4:$J$1206,G$1)</f>
        <v>0</v>
      </c>
      <c r="H125" s="86">
        <f>SUMIFS('январь 2024'!$G$4:$G$1206,'январь 2024'!$D$4:$D$1206,$B125,'январь 2024'!$J$4:$J$1206,H$1)</f>
        <v>0</v>
      </c>
      <c r="I125" s="86">
        <f>SUMIFS('январь 2024'!$G$4:$G$1206,'январь 2024'!$D$4:$D$1206,$B125,'январь 2024'!$J$4:$J$1206,I$1)</f>
        <v>0</v>
      </c>
      <c r="J125" s="86">
        <f>SUMIFS('январь 2024'!$G$4:$G$1206,'январь 2024'!$D$4:$D$1206,$B125,'январь 2024'!$J$4:$J$1206,J$1)</f>
        <v>0</v>
      </c>
      <c r="K125" s="86">
        <f>SUMIFS('январь 2024'!$G$4:$G$1206,'январь 2024'!$D$4:$D$1206,$B125,'январь 2024'!$J$4:$J$1206,K$1)</f>
        <v>0</v>
      </c>
      <c r="L125" s="86">
        <f>SUMIFS('январь 2024'!$G$4:$G$1206,'январь 2024'!$D$4:$D$1206,$B125,'январь 2024'!$J$4:$J$1206,L$1)</f>
        <v>0</v>
      </c>
      <c r="M125" s="86">
        <f>SUMIFS('январь 2024'!$G$4:$G$1206,'январь 2024'!$D$4:$D$1206,$B125,'январь 2024'!$J$4:$J$1206,M$1)</f>
        <v>0</v>
      </c>
      <c r="N125" s="86">
        <f>SUMIFS('январь 2024'!$G$4:$G$1206,'январь 2024'!$D$4:$D$1206,$B125,'январь 2024'!$J$4:$J$1206,N$1)</f>
        <v>0</v>
      </c>
      <c r="O125" s="86">
        <f>SUMIFS('январь 2024'!$G$4:$G$1206,'январь 2024'!$D$4:$D$1206,$B125,'январь 2024'!$J$4:$J$1206,O$1)</f>
        <v>0</v>
      </c>
      <c r="P125" s="86">
        <f>SUMIFS('январь 2024'!$G$4:$G$1206,'январь 2024'!$D$4:$D$1206,$B125,'январь 2024'!$J$4:$J$1206,P$1)</f>
        <v>0</v>
      </c>
      <c r="Q125" s="86">
        <f>SUMIFS('январь 2024'!$G$4:$G$1206,'январь 2024'!$D$4:$D$1206,$B125,'январь 2024'!$J$4:$J$1206,Q$1)</f>
        <v>0</v>
      </c>
      <c r="R125" s="86">
        <f>SUMIFS('январь 2024'!$G$4:$G$1206,'январь 2024'!$D$4:$D$1206,$B125,'январь 2024'!$J$4:$J$1206,R$1)</f>
        <v>0</v>
      </c>
      <c r="S125" s="86">
        <f>SUMIFS('январь 2024'!$G$4:$G$1206,'январь 2024'!$D$4:$D$1206,$B125,'январь 2024'!$J$4:$J$1206,S$1)</f>
        <v>40</v>
      </c>
      <c r="T125" s="86">
        <f>SUMIFS('январь 2024'!$G$4:$G$1206,'январь 2024'!$D$4:$D$1206,$B125,'январь 2024'!$J$4:$J$1206,T$1)</f>
        <v>0</v>
      </c>
      <c r="U125" s="86">
        <f>SUMIFS('январь 2024'!$G$4:$G$1206,'январь 2024'!$D$4:$D$1206,$B125,'январь 2024'!$J$4:$J$1206,U$1)</f>
        <v>0</v>
      </c>
      <c r="V125" s="86">
        <f>SUMIFS('январь 2024'!$G$4:$G$1206,'январь 2024'!$D$4:$D$1206,$B125,'январь 2024'!$J$4:$J$1206,V$1)</f>
        <v>0</v>
      </c>
      <c r="W125" s="86">
        <f>SUMIFS('январь 2024'!$G$4:$G$1206,'январь 2024'!$D$4:$D$1206,$B125,'январь 2024'!$J$4:$J$1206,W$1)</f>
        <v>0</v>
      </c>
      <c r="X125" s="86">
        <f>SUMIFS('январь 2024'!$G$4:$G$1206,'январь 2024'!$D$4:$D$1206,$B125,'январь 2024'!$J$4:$J$1206,X$1)</f>
        <v>0</v>
      </c>
      <c r="Y125" s="86">
        <f>SUMIFS('январь 2024'!$G$4:$G$1206,'январь 2024'!$D$4:$D$1206,$B125,'январь 2024'!$J$4:$J$1206,Y$1)</f>
        <v>0</v>
      </c>
      <c r="Z125" s="86">
        <f>SUMIFS('январь 2024'!$G$4:$G$1206,'январь 2024'!$D$4:$D$1206,$B125,'январь 2024'!$J$4:$J$1206,Z$1)</f>
        <v>0</v>
      </c>
      <c r="AA125" s="86">
        <f>SUMIFS('январь 2024'!$G$4:$G$1206,'январь 2024'!$D$4:$D$1206,$B125,'январь 2024'!$J$4:$J$1206,AA$1)</f>
        <v>0</v>
      </c>
      <c r="AB125" s="86">
        <f>SUMIFS('январь 2024'!$G$4:$G$1206,'январь 2024'!$D$4:$D$1206,$B125,'январь 2024'!$J$4:$J$1206,AB$1)</f>
        <v>0</v>
      </c>
      <c r="AC125" s="86">
        <f>SUMIFS('январь 2024'!$G$4:$G$1206,'январь 2024'!$D$4:$D$1206,$B125,'январь 2024'!$J$4:$J$1206,AC$1)</f>
        <v>0</v>
      </c>
      <c r="AD125" s="86">
        <f>SUMIFS('январь 2024'!$G$4:$G$1206,'январь 2024'!$D$4:$D$1206,$B125,'январь 2024'!$J$4:$J$1206,AD$1)</f>
        <v>0</v>
      </c>
      <c r="AE125" s="86">
        <f>SUMIFS('январь 2024'!$G$4:$G$1206,'январь 2024'!$D$4:$D$1206,$B125,'январь 2024'!$J$4:$J$1206,AE$1)</f>
        <v>0</v>
      </c>
      <c r="AF125" s="86">
        <f>SUMIFS('январь 2024'!$G$4:$G$1206,'январь 2024'!$D$4:$D$1206,$B125,'январь 2024'!$J$4:$J$1206,AF$1)</f>
        <v>0</v>
      </c>
      <c r="AG125" s="86">
        <f>SUMIFS('январь 2024'!$G$4:$G$1206,'январь 2024'!$D$4:$D$1206,$B125,'январь 2024'!$J$4:$J$1206,AG$1)</f>
        <v>0</v>
      </c>
      <c r="AH125" s="86">
        <f>SUMIFS('январь 2024'!$G$4:$G$1206,'январь 2024'!$D$4:$D$1206,$B125,'январь 2024'!$J$4:$J$1206,AH$1)</f>
        <v>0</v>
      </c>
      <c r="AI125" s="21">
        <f t="shared" si="1"/>
        <v>40</v>
      </c>
    </row>
    <row r="126" spans="2:35" ht="15" customHeight="1" x14ac:dyDescent="0.25">
      <c r="B126" s="89" t="s">
        <v>211</v>
      </c>
      <c r="C126" s="88">
        <v>200</v>
      </c>
      <c r="D126" s="86">
        <f>SUMIFS('январь 2024'!$G$4:$G$1206,'январь 2024'!$D$4:$D$1206,$B126,'январь 2024'!$J$4:$J$1206,D$1)</f>
        <v>0</v>
      </c>
      <c r="E126" s="86">
        <f>SUMIFS('январь 2024'!$G$4:$G$1206,'январь 2024'!$D$4:$D$1206,$B126,'январь 2024'!$J$4:$J$1206,E$1)</f>
        <v>0</v>
      </c>
      <c r="F126" s="86">
        <f>SUMIFS('январь 2024'!$G$4:$G$1206,'январь 2024'!$D$4:$D$1206,$B126,'январь 2024'!$J$4:$J$1206,F$1)</f>
        <v>0</v>
      </c>
      <c r="G126" s="86">
        <f>SUMIFS('январь 2024'!$G$4:$G$1206,'январь 2024'!$D$4:$D$1206,$B126,'январь 2024'!$J$4:$J$1206,G$1)</f>
        <v>0</v>
      </c>
      <c r="H126" s="86">
        <f>SUMIFS('январь 2024'!$G$4:$G$1206,'январь 2024'!$D$4:$D$1206,$B126,'январь 2024'!$J$4:$J$1206,H$1)</f>
        <v>0</v>
      </c>
      <c r="I126" s="86">
        <f>SUMIFS('январь 2024'!$G$4:$G$1206,'январь 2024'!$D$4:$D$1206,$B126,'январь 2024'!$J$4:$J$1206,I$1)</f>
        <v>0</v>
      </c>
      <c r="J126" s="86">
        <f>SUMIFS('январь 2024'!$G$4:$G$1206,'январь 2024'!$D$4:$D$1206,$B126,'январь 2024'!$J$4:$J$1206,J$1)</f>
        <v>0</v>
      </c>
      <c r="K126" s="86">
        <f>SUMIFS('январь 2024'!$G$4:$G$1206,'январь 2024'!$D$4:$D$1206,$B126,'январь 2024'!$J$4:$J$1206,K$1)</f>
        <v>0</v>
      </c>
      <c r="L126" s="86">
        <f>SUMIFS('январь 2024'!$G$4:$G$1206,'январь 2024'!$D$4:$D$1206,$B126,'январь 2024'!$J$4:$J$1206,L$1)</f>
        <v>0</v>
      </c>
      <c r="M126" s="86">
        <f>SUMIFS('январь 2024'!$G$4:$G$1206,'январь 2024'!$D$4:$D$1206,$B126,'январь 2024'!$J$4:$J$1206,M$1)</f>
        <v>0</v>
      </c>
      <c r="N126" s="86">
        <f>SUMIFS('январь 2024'!$G$4:$G$1206,'январь 2024'!$D$4:$D$1206,$B126,'январь 2024'!$J$4:$J$1206,N$1)</f>
        <v>0</v>
      </c>
      <c r="O126" s="86">
        <f>SUMIFS('январь 2024'!$G$4:$G$1206,'январь 2024'!$D$4:$D$1206,$B126,'январь 2024'!$J$4:$J$1206,O$1)</f>
        <v>0</v>
      </c>
      <c r="P126" s="86">
        <f>SUMIFS('январь 2024'!$G$4:$G$1206,'январь 2024'!$D$4:$D$1206,$B126,'январь 2024'!$J$4:$J$1206,P$1)</f>
        <v>0</v>
      </c>
      <c r="Q126" s="86">
        <f>SUMIFS('январь 2024'!$G$4:$G$1206,'январь 2024'!$D$4:$D$1206,$B126,'январь 2024'!$J$4:$J$1206,Q$1)</f>
        <v>0</v>
      </c>
      <c r="R126" s="86">
        <f>SUMIFS('январь 2024'!$G$4:$G$1206,'январь 2024'!$D$4:$D$1206,$B126,'январь 2024'!$J$4:$J$1206,R$1)</f>
        <v>0</v>
      </c>
      <c r="S126" s="86">
        <f>SUMIFS('январь 2024'!$G$4:$G$1206,'январь 2024'!$D$4:$D$1206,$B126,'январь 2024'!$J$4:$J$1206,S$1)</f>
        <v>0</v>
      </c>
      <c r="T126" s="86">
        <f>SUMIFS('январь 2024'!$G$4:$G$1206,'январь 2024'!$D$4:$D$1206,$B126,'январь 2024'!$J$4:$J$1206,T$1)</f>
        <v>0</v>
      </c>
      <c r="U126" s="86">
        <f>SUMIFS('январь 2024'!$G$4:$G$1206,'январь 2024'!$D$4:$D$1206,$B126,'январь 2024'!$J$4:$J$1206,U$1)</f>
        <v>0</v>
      </c>
      <c r="V126" s="86">
        <f>SUMIFS('январь 2024'!$G$4:$G$1206,'январь 2024'!$D$4:$D$1206,$B126,'январь 2024'!$J$4:$J$1206,V$1)</f>
        <v>0</v>
      </c>
      <c r="W126" s="86">
        <f>SUMIFS('январь 2024'!$G$4:$G$1206,'январь 2024'!$D$4:$D$1206,$B126,'январь 2024'!$J$4:$J$1206,W$1)</f>
        <v>0</v>
      </c>
      <c r="X126" s="86">
        <f>SUMIFS('январь 2024'!$G$4:$G$1206,'январь 2024'!$D$4:$D$1206,$B126,'январь 2024'!$J$4:$J$1206,X$1)</f>
        <v>0</v>
      </c>
      <c r="Y126" s="86">
        <f>SUMIFS('январь 2024'!$G$4:$G$1206,'январь 2024'!$D$4:$D$1206,$B126,'январь 2024'!$J$4:$J$1206,Y$1)</f>
        <v>0</v>
      </c>
      <c r="Z126" s="86">
        <f>SUMIFS('январь 2024'!$G$4:$G$1206,'январь 2024'!$D$4:$D$1206,$B126,'январь 2024'!$J$4:$J$1206,Z$1)</f>
        <v>0</v>
      </c>
      <c r="AA126" s="86">
        <f>SUMIFS('январь 2024'!$G$4:$G$1206,'январь 2024'!$D$4:$D$1206,$B126,'январь 2024'!$J$4:$J$1206,AA$1)</f>
        <v>0</v>
      </c>
      <c r="AB126" s="86">
        <f>SUMIFS('январь 2024'!$G$4:$G$1206,'январь 2024'!$D$4:$D$1206,$B126,'январь 2024'!$J$4:$J$1206,AB$1)</f>
        <v>0</v>
      </c>
      <c r="AC126" s="86">
        <f>SUMIFS('январь 2024'!$G$4:$G$1206,'январь 2024'!$D$4:$D$1206,$B126,'январь 2024'!$J$4:$J$1206,AC$1)</f>
        <v>0</v>
      </c>
      <c r="AD126" s="86">
        <f>SUMIFS('январь 2024'!$G$4:$G$1206,'январь 2024'!$D$4:$D$1206,$B126,'январь 2024'!$J$4:$J$1206,AD$1)</f>
        <v>0</v>
      </c>
      <c r="AE126" s="86">
        <f>SUMIFS('январь 2024'!$G$4:$G$1206,'январь 2024'!$D$4:$D$1206,$B126,'январь 2024'!$J$4:$J$1206,AE$1)</f>
        <v>0</v>
      </c>
      <c r="AF126" s="86">
        <f>SUMIFS('январь 2024'!$G$4:$G$1206,'январь 2024'!$D$4:$D$1206,$B126,'январь 2024'!$J$4:$J$1206,AF$1)</f>
        <v>0</v>
      </c>
      <c r="AG126" s="86">
        <f>SUMIFS('январь 2024'!$G$4:$G$1206,'январь 2024'!$D$4:$D$1206,$B126,'январь 2024'!$J$4:$J$1206,AG$1)</f>
        <v>8</v>
      </c>
      <c r="AH126" s="86">
        <f>SUMIFS('январь 2024'!$G$4:$G$1206,'январь 2024'!$D$4:$D$1206,$B126,'январь 2024'!$J$4:$J$1206,AH$1)</f>
        <v>0</v>
      </c>
      <c r="AI126" s="21">
        <f t="shared" si="1"/>
        <v>8</v>
      </c>
    </row>
    <row r="127" spans="2:35" ht="15" customHeight="1" x14ac:dyDescent="0.25">
      <c r="B127" s="89" t="s">
        <v>339</v>
      </c>
      <c r="C127" s="88">
        <v>200</v>
      </c>
      <c r="D127" s="86">
        <f>SUMIFS('январь 2024'!$G$4:$G$1206,'январь 2024'!$D$4:$D$1206,$B127,'январь 2024'!$J$4:$J$1206,D$1)</f>
        <v>0</v>
      </c>
      <c r="E127" s="86">
        <f>SUMIFS('январь 2024'!$G$4:$G$1206,'январь 2024'!$D$4:$D$1206,$B127,'январь 2024'!$J$4:$J$1206,E$1)</f>
        <v>0</v>
      </c>
      <c r="F127" s="86">
        <f>SUMIFS('январь 2024'!$G$4:$G$1206,'январь 2024'!$D$4:$D$1206,$B127,'январь 2024'!$J$4:$J$1206,F$1)</f>
        <v>0</v>
      </c>
      <c r="G127" s="86">
        <f>SUMIFS('январь 2024'!$G$4:$G$1206,'январь 2024'!$D$4:$D$1206,$B127,'январь 2024'!$J$4:$J$1206,G$1)</f>
        <v>0</v>
      </c>
      <c r="H127" s="86">
        <f>SUMIFS('январь 2024'!$G$4:$G$1206,'январь 2024'!$D$4:$D$1206,$B127,'январь 2024'!$J$4:$J$1206,H$1)</f>
        <v>0</v>
      </c>
      <c r="I127" s="86">
        <f>SUMIFS('январь 2024'!$G$4:$G$1206,'январь 2024'!$D$4:$D$1206,$B127,'январь 2024'!$J$4:$J$1206,I$1)</f>
        <v>0</v>
      </c>
      <c r="J127" s="86">
        <f>SUMIFS('январь 2024'!$G$4:$G$1206,'январь 2024'!$D$4:$D$1206,$B127,'январь 2024'!$J$4:$J$1206,J$1)</f>
        <v>0</v>
      </c>
      <c r="K127" s="86">
        <f>SUMIFS('январь 2024'!$G$4:$G$1206,'январь 2024'!$D$4:$D$1206,$B127,'январь 2024'!$J$4:$J$1206,K$1)</f>
        <v>0</v>
      </c>
      <c r="L127" s="86">
        <f>SUMIFS('январь 2024'!$G$4:$G$1206,'январь 2024'!$D$4:$D$1206,$B127,'январь 2024'!$J$4:$J$1206,L$1)</f>
        <v>0</v>
      </c>
      <c r="M127" s="86">
        <f>SUMIFS('январь 2024'!$G$4:$G$1206,'январь 2024'!$D$4:$D$1206,$B127,'январь 2024'!$J$4:$J$1206,M$1)</f>
        <v>0</v>
      </c>
      <c r="N127" s="86">
        <f>SUMIFS('январь 2024'!$G$4:$G$1206,'январь 2024'!$D$4:$D$1206,$B127,'январь 2024'!$J$4:$J$1206,N$1)</f>
        <v>0</v>
      </c>
      <c r="O127" s="86">
        <f>SUMIFS('январь 2024'!$G$4:$G$1206,'январь 2024'!$D$4:$D$1206,$B127,'январь 2024'!$J$4:$J$1206,O$1)</f>
        <v>0</v>
      </c>
      <c r="P127" s="86">
        <f>SUMIFS('январь 2024'!$G$4:$G$1206,'январь 2024'!$D$4:$D$1206,$B127,'январь 2024'!$J$4:$J$1206,P$1)</f>
        <v>0</v>
      </c>
      <c r="Q127" s="86">
        <f>SUMIFS('январь 2024'!$G$4:$G$1206,'январь 2024'!$D$4:$D$1206,$B127,'январь 2024'!$J$4:$J$1206,Q$1)</f>
        <v>0</v>
      </c>
      <c r="R127" s="86">
        <f>SUMIFS('январь 2024'!$G$4:$G$1206,'январь 2024'!$D$4:$D$1206,$B127,'январь 2024'!$J$4:$J$1206,R$1)</f>
        <v>0</v>
      </c>
      <c r="S127" s="86">
        <f>SUMIFS('январь 2024'!$G$4:$G$1206,'январь 2024'!$D$4:$D$1206,$B127,'январь 2024'!$J$4:$J$1206,S$1)</f>
        <v>0</v>
      </c>
      <c r="T127" s="86">
        <f>SUMIFS('январь 2024'!$G$4:$G$1206,'январь 2024'!$D$4:$D$1206,$B127,'январь 2024'!$J$4:$J$1206,T$1)</f>
        <v>0</v>
      </c>
      <c r="U127" s="86">
        <f>SUMIFS('январь 2024'!$G$4:$G$1206,'январь 2024'!$D$4:$D$1206,$B127,'январь 2024'!$J$4:$J$1206,U$1)</f>
        <v>0</v>
      </c>
      <c r="V127" s="86">
        <f>SUMIFS('январь 2024'!$G$4:$G$1206,'январь 2024'!$D$4:$D$1206,$B127,'январь 2024'!$J$4:$J$1206,V$1)</f>
        <v>0</v>
      </c>
      <c r="W127" s="86">
        <f>SUMIFS('январь 2024'!$G$4:$G$1206,'январь 2024'!$D$4:$D$1206,$B127,'январь 2024'!$J$4:$J$1206,W$1)</f>
        <v>0</v>
      </c>
      <c r="X127" s="86">
        <f>SUMIFS('январь 2024'!$G$4:$G$1206,'январь 2024'!$D$4:$D$1206,$B127,'январь 2024'!$J$4:$J$1206,X$1)</f>
        <v>0</v>
      </c>
      <c r="Y127" s="86">
        <f>SUMIFS('январь 2024'!$G$4:$G$1206,'январь 2024'!$D$4:$D$1206,$B127,'январь 2024'!$J$4:$J$1206,Y$1)</f>
        <v>0</v>
      </c>
      <c r="Z127" s="86">
        <f>SUMIFS('январь 2024'!$G$4:$G$1206,'январь 2024'!$D$4:$D$1206,$B127,'январь 2024'!$J$4:$J$1206,Z$1)</f>
        <v>0</v>
      </c>
      <c r="AA127" s="86">
        <f>SUMIFS('январь 2024'!$G$4:$G$1206,'январь 2024'!$D$4:$D$1206,$B127,'январь 2024'!$J$4:$J$1206,AA$1)</f>
        <v>0</v>
      </c>
      <c r="AB127" s="86">
        <f>SUMIFS('январь 2024'!$G$4:$G$1206,'январь 2024'!$D$4:$D$1206,$B127,'январь 2024'!$J$4:$J$1206,AB$1)</f>
        <v>0</v>
      </c>
      <c r="AC127" s="86">
        <f>SUMIFS('январь 2024'!$G$4:$G$1206,'январь 2024'!$D$4:$D$1206,$B127,'январь 2024'!$J$4:$J$1206,AC$1)</f>
        <v>0</v>
      </c>
      <c r="AD127" s="86">
        <f>SUMIFS('январь 2024'!$G$4:$G$1206,'январь 2024'!$D$4:$D$1206,$B127,'январь 2024'!$J$4:$J$1206,AD$1)</f>
        <v>0</v>
      </c>
      <c r="AE127" s="86">
        <f>SUMIFS('январь 2024'!$G$4:$G$1206,'январь 2024'!$D$4:$D$1206,$B127,'январь 2024'!$J$4:$J$1206,AE$1)</f>
        <v>0</v>
      </c>
      <c r="AF127" s="86">
        <f>SUMIFS('январь 2024'!$G$4:$G$1206,'январь 2024'!$D$4:$D$1206,$B127,'январь 2024'!$J$4:$J$1206,AF$1)</f>
        <v>0</v>
      </c>
      <c r="AG127" s="86">
        <f>SUMIFS('январь 2024'!$G$4:$G$1206,'январь 2024'!$D$4:$D$1206,$B127,'январь 2024'!$J$4:$J$1206,AG$1)</f>
        <v>0</v>
      </c>
      <c r="AH127" s="86">
        <f>SUMIFS('январь 2024'!$G$4:$G$1206,'январь 2024'!$D$4:$D$1206,$B127,'январь 2024'!$J$4:$J$1206,AH$1)</f>
        <v>0</v>
      </c>
      <c r="AI127" s="21">
        <f t="shared" si="1"/>
        <v>0</v>
      </c>
    </row>
    <row r="128" spans="2:35" ht="15" customHeight="1" x14ac:dyDescent="0.25">
      <c r="B128" s="89" t="s">
        <v>215</v>
      </c>
      <c r="C128" s="91">
        <v>200</v>
      </c>
      <c r="D128" s="86">
        <f>SUMIFS('январь 2024'!$G$4:$G$1206,'январь 2024'!$D$4:$D$1206,$B128,'январь 2024'!$J$4:$J$1206,D$1)</f>
        <v>0</v>
      </c>
      <c r="E128" s="86">
        <f>SUMIFS('январь 2024'!$G$4:$G$1206,'январь 2024'!$D$4:$D$1206,$B128,'январь 2024'!$J$4:$J$1206,E$1)</f>
        <v>0</v>
      </c>
      <c r="F128" s="86">
        <f>SUMIFS('январь 2024'!$G$4:$G$1206,'январь 2024'!$D$4:$D$1206,$B128,'январь 2024'!$J$4:$J$1206,F$1)</f>
        <v>0</v>
      </c>
      <c r="G128" s="86">
        <f>SUMIFS('январь 2024'!$G$4:$G$1206,'январь 2024'!$D$4:$D$1206,$B128,'январь 2024'!$J$4:$J$1206,G$1)</f>
        <v>0</v>
      </c>
      <c r="H128" s="86">
        <f>SUMIFS('январь 2024'!$G$4:$G$1206,'январь 2024'!$D$4:$D$1206,$B128,'январь 2024'!$J$4:$J$1206,H$1)</f>
        <v>0</v>
      </c>
      <c r="I128" s="86">
        <f>SUMIFS('январь 2024'!$G$4:$G$1206,'январь 2024'!$D$4:$D$1206,$B128,'январь 2024'!$J$4:$J$1206,I$1)</f>
        <v>0</v>
      </c>
      <c r="J128" s="86">
        <f>SUMIFS('январь 2024'!$G$4:$G$1206,'январь 2024'!$D$4:$D$1206,$B128,'январь 2024'!$J$4:$J$1206,J$1)</f>
        <v>0</v>
      </c>
      <c r="K128" s="86">
        <f>SUMIFS('январь 2024'!$G$4:$G$1206,'январь 2024'!$D$4:$D$1206,$B128,'январь 2024'!$J$4:$J$1206,K$1)</f>
        <v>0</v>
      </c>
      <c r="L128" s="86">
        <f>SUMIFS('январь 2024'!$G$4:$G$1206,'январь 2024'!$D$4:$D$1206,$B128,'январь 2024'!$J$4:$J$1206,L$1)</f>
        <v>0</v>
      </c>
      <c r="M128" s="86">
        <f>SUMIFS('январь 2024'!$G$4:$G$1206,'январь 2024'!$D$4:$D$1206,$B128,'январь 2024'!$J$4:$J$1206,M$1)</f>
        <v>0</v>
      </c>
      <c r="N128" s="86">
        <f>SUMIFS('январь 2024'!$G$4:$G$1206,'январь 2024'!$D$4:$D$1206,$B128,'январь 2024'!$J$4:$J$1206,N$1)</f>
        <v>0</v>
      </c>
      <c r="O128" s="86">
        <f>SUMIFS('январь 2024'!$G$4:$G$1206,'январь 2024'!$D$4:$D$1206,$B128,'январь 2024'!$J$4:$J$1206,O$1)</f>
        <v>0</v>
      </c>
      <c r="P128" s="86">
        <f>SUMIFS('январь 2024'!$G$4:$G$1206,'январь 2024'!$D$4:$D$1206,$B128,'январь 2024'!$J$4:$J$1206,P$1)</f>
        <v>0</v>
      </c>
      <c r="Q128" s="86">
        <f>SUMIFS('январь 2024'!$G$4:$G$1206,'январь 2024'!$D$4:$D$1206,$B128,'январь 2024'!$J$4:$J$1206,Q$1)</f>
        <v>0</v>
      </c>
      <c r="R128" s="86">
        <f>SUMIFS('январь 2024'!$G$4:$G$1206,'январь 2024'!$D$4:$D$1206,$B128,'январь 2024'!$J$4:$J$1206,R$1)</f>
        <v>0</v>
      </c>
      <c r="S128" s="86">
        <f>SUMIFS('январь 2024'!$G$4:$G$1206,'январь 2024'!$D$4:$D$1206,$B128,'январь 2024'!$J$4:$J$1206,S$1)</f>
        <v>0</v>
      </c>
      <c r="T128" s="86">
        <f>SUMIFS('январь 2024'!$G$4:$G$1206,'январь 2024'!$D$4:$D$1206,$B128,'январь 2024'!$J$4:$J$1206,T$1)</f>
        <v>0</v>
      </c>
      <c r="U128" s="86">
        <f>SUMIFS('январь 2024'!$G$4:$G$1206,'январь 2024'!$D$4:$D$1206,$B128,'январь 2024'!$J$4:$J$1206,U$1)</f>
        <v>0</v>
      </c>
      <c r="V128" s="86">
        <f>SUMIFS('январь 2024'!$G$4:$G$1206,'январь 2024'!$D$4:$D$1206,$B128,'январь 2024'!$J$4:$J$1206,V$1)</f>
        <v>0</v>
      </c>
      <c r="W128" s="86">
        <f>SUMIFS('январь 2024'!$G$4:$G$1206,'январь 2024'!$D$4:$D$1206,$B128,'январь 2024'!$J$4:$J$1206,W$1)</f>
        <v>0</v>
      </c>
      <c r="X128" s="86">
        <f>SUMIFS('январь 2024'!$G$4:$G$1206,'январь 2024'!$D$4:$D$1206,$B128,'январь 2024'!$J$4:$J$1206,X$1)</f>
        <v>0</v>
      </c>
      <c r="Y128" s="86">
        <f>SUMIFS('январь 2024'!$G$4:$G$1206,'январь 2024'!$D$4:$D$1206,$B128,'январь 2024'!$J$4:$J$1206,Y$1)</f>
        <v>0</v>
      </c>
      <c r="Z128" s="86">
        <f>SUMIFS('январь 2024'!$G$4:$G$1206,'январь 2024'!$D$4:$D$1206,$B128,'январь 2024'!$J$4:$J$1206,Z$1)</f>
        <v>0</v>
      </c>
      <c r="AA128" s="86">
        <f>SUMIFS('январь 2024'!$G$4:$G$1206,'январь 2024'!$D$4:$D$1206,$B128,'январь 2024'!$J$4:$J$1206,AA$1)</f>
        <v>0</v>
      </c>
      <c r="AB128" s="86">
        <f>SUMIFS('январь 2024'!$G$4:$G$1206,'январь 2024'!$D$4:$D$1206,$B128,'январь 2024'!$J$4:$J$1206,AB$1)</f>
        <v>0</v>
      </c>
      <c r="AC128" s="86">
        <f>SUMIFS('январь 2024'!$G$4:$G$1206,'январь 2024'!$D$4:$D$1206,$B128,'январь 2024'!$J$4:$J$1206,AC$1)</f>
        <v>0</v>
      </c>
      <c r="AD128" s="86">
        <f>SUMIFS('январь 2024'!$G$4:$G$1206,'январь 2024'!$D$4:$D$1206,$B128,'январь 2024'!$J$4:$J$1206,AD$1)</f>
        <v>0</v>
      </c>
      <c r="AE128" s="86">
        <f>SUMIFS('январь 2024'!$G$4:$G$1206,'январь 2024'!$D$4:$D$1206,$B128,'январь 2024'!$J$4:$J$1206,AE$1)</f>
        <v>0</v>
      </c>
      <c r="AF128" s="86">
        <f>SUMIFS('январь 2024'!$G$4:$G$1206,'январь 2024'!$D$4:$D$1206,$B128,'январь 2024'!$J$4:$J$1206,AF$1)</f>
        <v>0</v>
      </c>
      <c r="AG128" s="86">
        <f>SUMIFS('январь 2024'!$G$4:$G$1206,'январь 2024'!$D$4:$D$1206,$B128,'январь 2024'!$J$4:$J$1206,AG$1)</f>
        <v>0</v>
      </c>
      <c r="AH128" s="86">
        <f>SUMIFS('январь 2024'!$G$4:$G$1206,'январь 2024'!$D$4:$D$1206,$B128,'январь 2024'!$J$4:$J$1206,AH$1)</f>
        <v>0</v>
      </c>
      <c r="AI128" s="21">
        <f t="shared" si="1"/>
        <v>0</v>
      </c>
    </row>
    <row r="129" spans="2:35" ht="15" customHeight="1" x14ac:dyDescent="0.25">
      <c r="B129" s="93" t="s">
        <v>186</v>
      </c>
      <c r="C129" s="91">
        <v>25</v>
      </c>
      <c r="D129" s="86">
        <f>SUMIFS('январь 2024'!$G$4:$G$1206,'январь 2024'!$D$4:$D$1206,$B129,'январь 2024'!$J$4:$J$1206,D$1)</f>
        <v>0</v>
      </c>
      <c r="E129" s="86">
        <f>SUMIFS('январь 2024'!$G$4:$G$1206,'январь 2024'!$D$4:$D$1206,$B129,'январь 2024'!$J$4:$J$1206,E$1)</f>
        <v>0</v>
      </c>
      <c r="F129" s="86">
        <f>SUMIFS('январь 2024'!$G$4:$G$1206,'январь 2024'!$D$4:$D$1206,$B129,'январь 2024'!$J$4:$J$1206,F$1)</f>
        <v>0</v>
      </c>
      <c r="G129" s="86">
        <f>SUMIFS('январь 2024'!$G$4:$G$1206,'январь 2024'!$D$4:$D$1206,$B129,'январь 2024'!$J$4:$J$1206,G$1)</f>
        <v>0</v>
      </c>
      <c r="H129" s="86">
        <f>SUMIFS('январь 2024'!$G$4:$G$1206,'январь 2024'!$D$4:$D$1206,$B129,'январь 2024'!$J$4:$J$1206,H$1)</f>
        <v>0</v>
      </c>
      <c r="I129" s="86">
        <f>SUMIFS('январь 2024'!$G$4:$G$1206,'январь 2024'!$D$4:$D$1206,$B129,'январь 2024'!$J$4:$J$1206,I$1)</f>
        <v>0</v>
      </c>
      <c r="J129" s="86">
        <f>SUMIFS('январь 2024'!$G$4:$G$1206,'январь 2024'!$D$4:$D$1206,$B129,'январь 2024'!$J$4:$J$1206,J$1)</f>
        <v>0</v>
      </c>
      <c r="K129" s="86">
        <f>SUMIFS('январь 2024'!$G$4:$G$1206,'январь 2024'!$D$4:$D$1206,$B129,'январь 2024'!$J$4:$J$1206,K$1)</f>
        <v>0</v>
      </c>
      <c r="L129" s="86">
        <f>SUMIFS('январь 2024'!$G$4:$G$1206,'январь 2024'!$D$4:$D$1206,$B129,'январь 2024'!$J$4:$J$1206,L$1)</f>
        <v>0</v>
      </c>
      <c r="M129" s="86">
        <f>SUMIFS('январь 2024'!$G$4:$G$1206,'январь 2024'!$D$4:$D$1206,$B129,'январь 2024'!$J$4:$J$1206,M$1)</f>
        <v>0</v>
      </c>
      <c r="N129" s="86">
        <f>SUMIFS('январь 2024'!$G$4:$G$1206,'январь 2024'!$D$4:$D$1206,$B129,'январь 2024'!$J$4:$J$1206,N$1)</f>
        <v>0</v>
      </c>
      <c r="O129" s="86">
        <f>SUMIFS('январь 2024'!$G$4:$G$1206,'январь 2024'!$D$4:$D$1206,$B129,'январь 2024'!$J$4:$J$1206,O$1)</f>
        <v>0</v>
      </c>
      <c r="P129" s="86">
        <f>SUMIFS('январь 2024'!$G$4:$G$1206,'январь 2024'!$D$4:$D$1206,$B129,'январь 2024'!$J$4:$J$1206,P$1)</f>
        <v>0</v>
      </c>
      <c r="Q129" s="86">
        <f>SUMIFS('январь 2024'!$G$4:$G$1206,'январь 2024'!$D$4:$D$1206,$B129,'январь 2024'!$J$4:$J$1206,Q$1)</f>
        <v>0</v>
      </c>
      <c r="R129" s="86">
        <f>SUMIFS('январь 2024'!$G$4:$G$1206,'январь 2024'!$D$4:$D$1206,$B129,'январь 2024'!$J$4:$J$1206,R$1)</f>
        <v>0</v>
      </c>
      <c r="S129" s="86">
        <f>SUMIFS('январь 2024'!$G$4:$G$1206,'январь 2024'!$D$4:$D$1206,$B129,'январь 2024'!$J$4:$J$1206,S$1)</f>
        <v>0</v>
      </c>
      <c r="T129" s="86">
        <f>SUMIFS('январь 2024'!$G$4:$G$1206,'январь 2024'!$D$4:$D$1206,$B129,'январь 2024'!$J$4:$J$1206,T$1)</f>
        <v>0</v>
      </c>
      <c r="U129" s="86">
        <f>SUMIFS('январь 2024'!$G$4:$G$1206,'январь 2024'!$D$4:$D$1206,$B129,'январь 2024'!$J$4:$J$1206,U$1)</f>
        <v>0</v>
      </c>
      <c r="V129" s="86">
        <f>SUMIFS('январь 2024'!$G$4:$G$1206,'январь 2024'!$D$4:$D$1206,$B129,'январь 2024'!$J$4:$J$1206,V$1)</f>
        <v>0</v>
      </c>
      <c r="W129" s="86">
        <f>SUMIFS('январь 2024'!$G$4:$G$1206,'январь 2024'!$D$4:$D$1206,$B129,'январь 2024'!$J$4:$J$1206,W$1)</f>
        <v>0</v>
      </c>
      <c r="X129" s="86">
        <f>SUMIFS('январь 2024'!$G$4:$G$1206,'январь 2024'!$D$4:$D$1206,$B129,'январь 2024'!$J$4:$J$1206,X$1)</f>
        <v>0</v>
      </c>
      <c r="Y129" s="86">
        <f>SUMIFS('январь 2024'!$G$4:$G$1206,'январь 2024'!$D$4:$D$1206,$B129,'январь 2024'!$J$4:$J$1206,Y$1)</f>
        <v>0</v>
      </c>
      <c r="Z129" s="86">
        <f>SUMIFS('январь 2024'!$G$4:$G$1206,'январь 2024'!$D$4:$D$1206,$B129,'январь 2024'!$J$4:$J$1206,Z$1)</f>
        <v>0</v>
      </c>
      <c r="AA129" s="86">
        <f>SUMIFS('январь 2024'!$G$4:$G$1206,'январь 2024'!$D$4:$D$1206,$B129,'январь 2024'!$J$4:$J$1206,AA$1)</f>
        <v>0</v>
      </c>
      <c r="AB129" s="86">
        <f>SUMIFS('январь 2024'!$G$4:$G$1206,'январь 2024'!$D$4:$D$1206,$B129,'январь 2024'!$J$4:$J$1206,AB$1)</f>
        <v>0</v>
      </c>
      <c r="AC129" s="86">
        <f>SUMIFS('январь 2024'!$G$4:$G$1206,'январь 2024'!$D$4:$D$1206,$B129,'январь 2024'!$J$4:$J$1206,AC$1)</f>
        <v>0</v>
      </c>
      <c r="AD129" s="86">
        <f>SUMIFS('январь 2024'!$G$4:$G$1206,'январь 2024'!$D$4:$D$1206,$B129,'январь 2024'!$J$4:$J$1206,AD$1)</f>
        <v>0</v>
      </c>
      <c r="AE129" s="86">
        <f>SUMIFS('январь 2024'!$G$4:$G$1206,'январь 2024'!$D$4:$D$1206,$B129,'январь 2024'!$J$4:$J$1206,AE$1)</f>
        <v>0</v>
      </c>
      <c r="AF129" s="86">
        <f>SUMIFS('январь 2024'!$G$4:$G$1206,'январь 2024'!$D$4:$D$1206,$B129,'январь 2024'!$J$4:$J$1206,AF$1)</f>
        <v>0</v>
      </c>
      <c r="AG129" s="86">
        <f>SUMIFS('январь 2024'!$G$4:$G$1206,'январь 2024'!$D$4:$D$1206,$B129,'январь 2024'!$J$4:$J$1206,AG$1)</f>
        <v>0</v>
      </c>
      <c r="AH129" s="86">
        <f>SUMIFS('январь 2024'!$G$4:$G$1206,'январь 2024'!$D$4:$D$1206,$B129,'январь 2024'!$J$4:$J$1206,AH$1)</f>
        <v>0</v>
      </c>
      <c r="AI129" s="21">
        <f t="shared" si="1"/>
        <v>0</v>
      </c>
    </row>
    <row r="130" spans="2:35" ht="15" customHeight="1" x14ac:dyDescent="0.25">
      <c r="B130" s="89" t="s">
        <v>184</v>
      </c>
      <c r="C130" s="88">
        <v>25</v>
      </c>
      <c r="D130" s="86">
        <f>SUMIFS('январь 2024'!$G$4:$G$1206,'январь 2024'!$D$4:$D$1206,$B130,'январь 2024'!$J$4:$J$1206,D$1)</f>
        <v>0</v>
      </c>
      <c r="E130" s="86">
        <f>SUMIFS('январь 2024'!$G$4:$G$1206,'январь 2024'!$D$4:$D$1206,$B130,'январь 2024'!$J$4:$J$1206,E$1)</f>
        <v>0</v>
      </c>
      <c r="F130" s="86">
        <f>SUMIFS('январь 2024'!$G$4:$G$1206,'январь 2024'!$D$4:$D$1206,$B130,'январь 2024'!$J$4:$J$1206,F$1)</f>
        <v>0</v>
      </c>
      <c r="G130" s="86">
        <f>SUMIFS('январь 2024'!$G$4:$G$1206,'январь 2024'!$D$4:$D$1206,$B130,'январь 2024'!$J$4:$J$1206,G$1)</f>
        <v>0</v>
      </c>
      <c r="H130" s="86">
        <f>SUMIFS('январь 2024'!$G$4:$G$1206,'январь 2024'!$D$4:$D$1206,$B130,'январь 2024'!$J$4:$J$1206,H$1)</f>
        <v>0</v>
      </c>
      <c r="I130" s="86">
        <f>SUMIFS('январь 2024'!$G$4:$G$1206,'январь 2024'!$D$4:$D$1206,$B130,'январь 2024'!$J$4:$J$1206,I$1)</f>
        <v>0</v>
      </c>
      <c r="J130" s="86">
        <f>SUMIFS('январь 2024'!$G$4:$G$1206,'январь 2024'!$D$4:$D$1206,$B130,'январь 2024'!$J$4:$J$1206,J$1)</f>
        <v>0</v>
      </c>
      <c r="K130" s="86">
        <f>SUMIFS('январь 2024'!$G$4:$G$1206,'январь 2024'!$D$4:$D$1206,$B130,'январь 2024'!$J$4:$J$1206,K$1)</f>
        <v>0</v>
      </c>
      <c r="L130" s="86">
        <f>SUMIFS('январь 2024'!$G$4:$G$1206,'январь 2024'!$D$4:$D$1206,$B130,'январь 2024'!$J$4:$J$1206,L$1)</f>
        <v>0</v>
      </c>
      <c r="M130" s="86">
        <f>SUMIFS('январь 2024'!$G$4:$G$1206,'январь 2024'!$D$4:$D$1206,$B130,'январь 2024'!$J$4:$J$1206,M$1)</f>
        <v>0</v>
      </c>
      <c r="N130" s="86">
        <f>SUMIFS('январь 2024'!$G$4:$G$1206,'январь 2024'!$D$4:$D$1206,$B130,'январь 2024'!$J$4:$J$1206,N$1)</f>
        <v>0</v>
      </c>
      <c r="O130" s="86">
        <f>SUMIFS('январь 2024'!$G$4:$G$1206,'январь 2024'!$D$4:$D$1206,$B130,'январь 2024'!$J$4:$J$1206,O$1)</f>
        <v>0</v>
      </c>
      <c r="P130" s="86">
        <f>SUMIFS('январь 2024'!$G$4:$G$1206,'январь 2024'!$D$4:$D$1206,$B130,'январь 2024'!$J$4:$J$1206,P$1)</f>
        <v>0</v>
      </c>
      <c r="Q130" s="86">
        <f>SUMIFS('январь 2024'!$G$4:$G$1206,'январь 2024'!$D$4:$D$1206,$B130,'январь 2024'!$J$4:$J$1206,Q$1)</f>
        <v>0</v>
      </c>
      <c r="R130" s="86">
        <f>SUMIFS('январь 2024'!$G$4:$G$1206,'январь 2024'!$D$4:$D$1206,$B130,'январь 2024'!$J$4:$J$1206,R$1)</f>
        <v>0</v>
      </c>
      <c r="S130" s="86">
        <f>SUMIFS('январь 2024'!$G$4:$G$1206,'январь 2024'!$D$4:$D$1206,$B130,'январь 2024'!$J$4:$J$1206,S$1)</f>
        <v>0</v>
      </c>
      <c r="T130" s="86">
        <f>SUMIFS('январь 2024'!$G$4:$G$1206,'январь 2024'!$D$4:$D$1206,$B130,'январь 2024'!$J$4:$J$1206,T$1)</f>
        <v>0</v>
      </c>
      <c r="U130" s="86">
        <f>SUMIFS('январь 2024'!$G$4:$G$1206,'январь 2024'!$D$4:$D$1206,$B130,'январь 2024'!$J$4:$J$1206,U$1)</f>
        <v>0</v>
      </c>
      <c r="V130" s="86">
        <f>SUMIFS('январь 2024'!$G$4:$G$1206,'январь 2024'!$D$4:$D$1206,$B130,'январь 2024'!$J$4:$J$1206,V$1)</f>
        <v>0</v>
      </c>
      <c r="W130" s="86">
        <f>SUMIFS('январь 2024'!$G$4:$G$1206,'январь 2024'!$D$4:$D$1206,$B130,'январь 2024'!$J$4:$J$1206,W$1)</f>
        <v>0</v>
      </c>
      <c r="X130" s="86">
        <f>SUMIFS('январь 2024'!$G$4:$G$1206,'январь 2024'!$D$4:$D$1206,$B130,'январь 2024'!$J$4:$J$1206,X$1)</f>
        <v>0</v>
      </c>
      <c r="Y130" s="86">
        <f>SUMIFS('январь 2024'!$G$4:$G$1206,'январь 2024'!$D$4:$D$1206,$B130,'январь 2024'!$J$4:$J$1206,Y$1)</f>
        <v>0</v>
      </c>
      <c r="Z130" s="86">
        <f>SUMIFS('январь 2024'!$G$4:$G$1206,'январь 2024'!$D$4:$D$1206,$B130,'январь 2024'!$J$4:$J$1206,Z$1)</f>
        <v>0</v>
      </c>
      <c r="AA130" s="86">
        <f>SUMIFS('январь 2024'!$G$4:$G$1206,'январь 2024'!$D$4:$D$1206,$B130,'январь 2024'!$J$4:$J$1206,AA$1)</f>
        <v>0</v>
      </c>
      <c r="AB130" s="86">
        <f>SUMIFS('январь 2024'!$G$4:$G$1206,'январь 2024'!$D$4:$D$1206,$B130,'январь 2024'!$J$4:$J$1206,AB$1)</f>
        <v>0</v>
      </c>
      <c r="AC130" s="86">
        <f>SUMIFS('январь 2024'!$G$4:$G$1206,'январь 2024'!$D$4:$D$1206,$B130,'январь 2024'!$J$4:$J$1206,AC$1)</f>
        <v>0</v>
      </c>
      <c r="AD130" s="86">
        <f>SUMIFS('январь 2024'!$G$4:$G$1206,'январь 2024'!$D$4:$D$1206,$B130,'январь 2024'!$J$4:$J$1206,AD$1)</f>
        <v>0</v>
      </c>
      <c r="AE130" s="86">
        <f>SUMIFS('январь 2024'!$G$4:$G$1206,'январь 2024'!$D$4:$D$1206,$B130,'январь 2024'!$J$4:$J$1206,AE$1)</f>
        <v>0</v>
      </c>
      <c r="AF130" s="86">
        <f>SUMIFS('январь 2024'!$G$4:$G$1206,'январь 2024'!$D$4:$D$1206,$B130,'январь 2024'!$J$4:$J$1206,AF$1)</f>
        <v>0</v>
      </c>
      <c r="AG130" s="86">
        <f>SUMIFS('январь 2024'!$G$4:$G$1206,'январь 2024'!$D$4:$D$1206,$B130,'январь 2024'!$J$4:$J$1206,AG$1)</f>
        <v>0</v>
      </c>
      <c r="AH130" s="86">
        <f>SUMIFS('январь 2024'!$G$4:$G$1206,'январь 2024'!$D$4:$D$1206,$B130,'январь 2024'!$J$4:$J$1206,AH$1)</f>
        <v>0</v>
      </c>
      <c r="AI130" s="21">
        <f t="shared" si="1"/>
        <v>0</v>
      </c>
    </row>
    <row r="131" spans="2:35" ht="15" customHeight="1" x14ac:dyDescent="0.25">
      <c r="B131" s="89" t="s">
        <v>185</v>
      </c>
      <c r="C131" s="88">
        <v>25</v>
      </c>
      <c r="D131" s="86">
        <f>SUMIFS('январь 2024'!$G$4:$G$1206,'январь 2024'!$D$4:$D$1206,$B131,'январь 2024'!$J$4:$J$1206,D$1)</f>
        <v>0</v>
      </c>
      <c r="E131" s="86">
        <f>SUMIFS('январь 2024'!$G$4:$G$1206,'январь 2024'!$D$4:$D$1206,$B131,'январь 2024'!$J$4:$J$1206,E$1)</f>
        <v>0</v>
      </c>
      <c r="F131" s="86">
        <f>SUMIFS('январь 2024'!$G$4:$G$1206,'январь 2024'!$D$4:$D$1206,$B131,'январь 2024'!$J$4:$J$1206,F$1)</f>
        <v>0</v>
      </c>
      <c r="G131" s="86">
        <f>SUMIFS('январь 2024'!$G$4:$G$1206,'январь 2024'!$D$4:$D$1206,$B131,'январь 2024'!$J$4:$J$1206,G$1)</f>
        <v>0</v>
      </c>
      <c r="H131" s="86">
        <f>SUMIFS('январь 2024'!$G$4:$G$1206,'январь 2024'!$D$4:$D$1206,$B131,'январь 2024'!$J$4:$J$1206,H$1)</f>
        <v>0</v>
      </c>
      <c r="I131" s="86">
        <f>SUMIFS('январь 2024'!$G$4:$G$1206,'январь 2024'!$D$4:$D$1206,$B131,'январь 2024'!$J$4:$J$1206,I$1)</f>
        <v>0</v>
      </c>
      <c r="J131" s="86">
        <f>SUMIFS('январь 2024'!$G$4:$G$1206,'январь 2024'!$D$4:$D$1206,$B131,'январь 2024'!$J$4:$J$1206,J$1)</f>
        <v>0</v>
      </c>
      <c r="K131" s="86">
        <f>SUMIFS('январь 2024'!$G$4:$G$1206,'январь 2024'!$D$4:$D$1206,$B131,'январь 2024'!$J$4:$J$1206,K$1)</f>
        <v>0</v>
      </c>
      <c r="L131" s="86">
        <f>SUMIFS('январь 2024'!$G$4:$G$1206,'январь 2024'!$D$4:$D$1206,$B131,'январь 2024'!$J$4:$J$1206,L$1)</f>
        <v>0</v>
      </c>
      <c r="M131" s="86">
        <f>SUMIFS('январь 2024'!$G$4:$G$1206,'январь 2024'!$D$4:$D$1206,$B131,'январь 2024'!$J$4:$J$1206,M$1)</f>
        <v>0</v>
      </c>
      <c r="N131" s="86">
        <f>SUMIFS('январь 2024'!$G$4:$G$1206,'январь 2024'!$D$4:$D$1206,$B131,'январь 2024'!$J$4:$J$1206,N$1)</f>
        <v>0</v>
      </c>
      <c r="O131" s="86">
        <f>SUMIFS('январь 2024'!$G$4:$G$1206,'январь 2024'!$D$4:$D$1206,$B131,'январь 2024'!$J$4:$J$1206,O$1)</f>
        <v>0</v>
      </c>
      <c r="P131" s="86">
        <f>SUMIFS('январь 2024'!$G$4:$G$1206,'январь 2024'!$D$4:$D$1206,$B131,'январь 2024'!$J$4:$J$1206,P$1)</f>
        <v>0</v>
      </c>
      <c r="Q131" s="86">
        <f>SUMIFS('январь 2024'!$G$4:$G$1206,'январь 2024'!$D$4:$D$1206,$B131,'январь 2024'!$J$4:$J$1206,Q$1)</f>
        <v>0</v>
      </c>
      <c r="R131" s="86">
        <f>SUMIFS('январь 2024'!$G$4:$G$1206,'январь 2024'!$D$4:$D$1206,$B131,'январь 2024'!$J$4:$J$1206,R$1)</f>
        <v>0</v>
      </c>
      <c r="S131" s="86">
        <f>SUMIFS('январь 2024'!$G$4:$G$1206,'январь 2024'!$D$4:$D$1206,$B131,'январь 2024'!$J$4:$J$1206,S$1)</f>
        <v>0</v>
      </c>
      <c r="T131" s="86">
        <f>SUMIFS('январь 2024'!$G$4:$G$1206,'январь 2024'!$D$4:$D$1206,$B131,'январь 2024'!$J$4:$J$1206,T$1)</f>
        <v>0</v>
      </c>
      <c r="U131" s="86">
        <f>SUMIFS('январь 2024'!$G$4:$G$1206,'январь 2024'!$D$4:$D$1206,$B131,'январь 2024'!$J$4:$J$1206,U$1)</f>
        <v>0</v>
      </c>
      <c r="V131" s="86">
        <f>SUMIFS('январь 2024'!$G$4:$G$1206,'январь 2024'!$D$4:$D$1206,$B131,'январь 2024'!$J$4:$J$1206,V$1)</f>
        <v>0</v>
      </c>
      <c r="W131" s="86">
        <f>SUMIFS('январь 2024'!$G$4:$G$1206,'январь 2024'!$D$4:$D$1206,$B131,'январь 2024'!$J$4:$J$1206,W$1)</f>
        <v>0</v>
      </c>
      <c r="X131" s="86">
        <f>SUMIFS('январь 2024'!$G$4:$G$1206,'январь 2024'!$D$4:$D$1206,$B131,'январь 2024'!$J$4:$J$1206,X$1)</f>
        <v>0</v>
      </c>
      <c r="Y131" s="86">
        <f>SUMIFS('январь 2024'!$G$4:$G$1206,'январь 2024'!$D$4:$D$1206,$B131,'январь 2024'!$J$4:$J$1206,Y$1)</f>
        <v>0</v>
      </c>
      <c r="Z131" s="86">
        <f>SUMIFS('январь 2024'!$G$4:$G$1206,'январь 2024'!$D$4:$D$1206,$B131,'январь 2024'!$J$4:$J$1206,Z$1)</f>
        <v>0</v>
      </c>
      <c r="AA131" s="86">
        <f>SUMIFS('январь 2024'!$G$4:$G$1206,'январь 2024'!$D$4:$D$1206,$B131,'январь 2024'!$J$4:$J$1206,AA$1)</f>
        <v>0</v>
      </c>
      <c r="AB131" s="86">
        <f>SUMIFS('январь 2024'!$G$4:$G$1206,'январь 2024'!$D$4:$D$1206,$B131,'январь 2024'!$J$4:$J$1206,AB$1)</f>
        <v>0</v>
      </c>
      <c r="AC131" s="86">
        <f>SUMIFS('январь 2024'!$G$4:$G$1206,'январь 2024'!$D$4:$D$1206,$B131,'январь 2024'!$J$4:$J$1206,AC$1)</f>
        <v>0</v>
      </c>
      <c r="AD131" s="86">
        <f>SUMIFS('январь 2024'!$G$4:$G$1206,'январь 2024'!$D$4:$D$1206,$B131,'январь 2024'!$J$4:$J$1206,AD$1)</f>
        <v>0</v>
      </c>
      <c r="AE131" s="86">
        <f>SUMIFS('январь 2024'!$G$4:$G$1206,'январь 2024'!$D$4:$D$1206,$B131,'январь 2024'!$J$4:$J$1206,AE$1)</f>
        <v>0</v>
      </c>
      <c r="AF131" s="86">
        <f>SUMIFS('январь 2024'!$G$4:$G$1206,'январь 2024'!$D$4:$D$1206,$B131,'январь 2024'!$J$4:$J$1206,AF$1)</f>
        <v>0</v>
      </c>
      <c r="AG131" s="86">
        <f>SUMIFS('январь 2024'!$G$4:$G$1206,'январь 2024'!$D$4:$D$1206,$B131,'январь 2024'!$J$4:$J$1206,AG$1)</f>
        <v>0</v>
      </c>
      <c r="AH131" s="86">
        <f>SUMIFS('январь 2024'!$G$4:$G$1206,'январь 2024'!$D$4:$D$1206,$B131,'январь 2024'!$J$4:$J$1206,AH$1)</f>
        <v>0</v>
      </c>
      <c r="AI131" s="21">
        <f t="shared" si="1"/>
        <v>0</v>
      </c>
    </row>
    <row r="132" spans="2:35" ht="15" customHeight="1" x14ac:dyDescent="0.25">
      <c r="B132" s="89" t="s">
        <v>212</v>
      </c>
      <c r="C132" s="88">
        <v>25</v>
      </c>
      <c r="D132" s="86">
        <f>SUMIFS('январь 2024'!$G$4:$G$1206,'январь 2024'!$D$4:$D$1206,$B132,'январь 2024'!$J$4:$J$1206,D$1)</f>
        <v>0</v>
      </c>
      <c r="E132" s="86">
        <f>SUMIFS('январь 2024'!$G$4:$G$1206,'январь 2024'!$D$4:$D$1206,$B132,'январь 2024'!$J$4:$J$1206,E$1)</f>
        <v>0</v>
      </c>
      <c r="F132" s="86">
        <f>SUMIFS('январь 2024'!$G$4:$G$1206,'январь 2024'!$D$4:$D$1206,$B132,'январь 2024'!$J$4:$J$1206,F$1)</f>
        <v>0</v>
      </c>
      <c r="G132" s="86">
        <f>SUMIFS('январь 2024'!$G$4:$G$1206,'январь 2024'!$D$4:$D$1206,$B132,'январь 2024'!$J$4:$J$1206,G$1)</f>
        <v>0</v>
      </c>
      <c r="H132" s="86">
        <f>SUMIFS('январь 2024'!$G$4:$G$1206,'январь 2024'!$D$4:$D$1206,$B132,'январь 2024'!$J$4:$J$1206,H$1)</f>
        <v>0</v>
      </c>
      <c r="I132" s="86">
        <f>SUMIFS('январь 2024'!$G$4:$G$1206,'январь 2024'!$D$4:$D$1206,$B132,'январь 2024'!$J$4:$J$1206,I$1)</f>
        <v>0</v>
      </c>
      <c r="J132" s="86">
        <f>SUMIFS('январь 2024'!$G$4:$G$1206,'январь 2024'!$D$4:$D$1206,$B132,'январь 2024'!$J$4:$J$1206,J$1)</f>
        <v>0</v>
      </c>
      <c r="K132" s="86">
        <f>SUMIFS('январь 2024'!$G$4:$G$1206,'январь 2024'!$D$4:$D$1206,$B132,'январь 2024'!$J$4:$J$1206,K$1)</f>
        <v>0</v>
      </c>
      <c r="L132" s="86">
        <f>SUMIFS('январь 2024'!$G$4:$G$1206,'январь 2024'!$D$4:$D$1206,$B132,'январь 2024'!$J$4:$J$1206,L$1)</f>
        <v>0</v>
      </c>
      <c r="M132" s="86">
        <f>SUMIFS('январь 2024'!$G$4:$G$1206,'январь 2024'!$D$4:$D$1206,$B132,'январь 2024'!$J$4:$J$1206,M$1)</f>
        <v>0</v>
      </c>
      <c r="N132" s="86">
        <f>SUMIFS('январь 2024'!$G$4:$G$1206,'январь 2024'!$D$4:$D$1206,$B132,'январь 2024'!$J$4:$J$1206,N$1)</f>
        <v>0</v>
      </c>
      <c r="O132" s="86">
        <f>SUMIFS('январь 2024'!$G$4:$G$1206,'январь 2024'!$D$4:$D$1206,$B132,'январь 2024'!$J$4:$J$1206,O$1)</f>
        <v>0</v>
      </c>
      <c r="P132" s="86">
        <f>SUMIFS('январь 2024'!$G$4:$G$1206,'январь 2024'!$D$4:$D$1206,$B132,'январь 2024'!$J$4:$J$1206,P$1)</f>
        <v>0</v>
      </c>
      <c r="Q132" s="86">
        <f>SUMIFS('январь 2024'!$G$4:$G$1206,'январь 2024'!$D$4:$D$1206,$B132,'январь 2024'!$J$4:$J$1206,Q$1)</f>
        <v>0</v>
      </c>
      <c r="R132" s="86">
        <f>SUMIFS('январь 2024'!$G$4:$G$1206,'январь 2024'!$D$4:$D$1206,$B132,'январь 2024'!$J$4:$J$1206,R$1)</f>
        <v>0</v>
      </c>
      <c r="S132" s="86">
        <f>SUMIFS('январь 2024'!$G$4:$G$1206,'январь 2024'!$D$4:$D$1206,$B132,'январь 2024'!$J$4:$J$1206,S$1)</f>
        <v>0</v>
      </c>
      <c r="T132" s="86">
        <f>SUMIFS('январь 2024'!$G$4:$G$1206,'январь 2024'!$D$4:$D$1206,$B132,'январь 2024'!$J$4:$J$1206,T$1)</f>
        <v>0</v>
      </c>
      <c r="U132" s="86">
        <f>SUMIFS('январь 2024'!$G$4:$G$1206,'январь 2024'!$D$4:$D$1206,$B132,'январь 2024'!$J$4:$J$1206,U$1)</f>
        <v>0</v>
      </c>
      <c r="V132" s="86">
        <f>SUMIFS('январь 2024'!$G$4:$G$1206,'январь 2024'!$D$4:$D$1206,$B132,'январь 2024'!$J$4:$J$1206,V$1)</f>
        <v>0</v>
      </c>
      <c r="W132" s="86">
        <f>SUMIFS('январь 2024'!$G$4:$G$1206,'январь 2024'!$D$4:$D$1206,$B132,'январь 2024'!$J$4:$J$1206,W$1)</f>
        <v>0</v>
      </c>
      <c r="X132" s="86">
        <f>SUMIFS('январь 2024'!$G$4:$G$1206,'январь 2024'!$D$4:$D$1206,$B132,'январь 2024'!$J$4:$J$1206,X$1)</f>
        <v>0</v>
      </c>
      <c r="Y132" s="86">
        <f>SUMIFS('январь 2024'!$G$4:$G$1206,'январь 2024'!$D$4:$D$1206,$B132,'январь 2024'!$J$4:$J$1206,Y$1)</f>
        <v>0</v>
      </c>
      <c r="Z132" s="86">
        <f>SUMIFS('январь 2024'!$G$4:$G$1206,'январь 2024'!$D$4:$D$1206,$B132,'январь 2024'!$J$4:$J$1206,Z$1)</f>
        <v>0</v>
      </c>
      <c r="AA132" s="86">
        <f>SUMIFS('январь 2024'!$G$4:$G$1206,'январь 2024'!$D$4:$D$1206,$B132,'январь 2024'!$J$4:$J$1206,AA$1)</f>
        <v>0</v>
      </c>
      <c r="AB132" s="86">
        <f>SUMIFS('январь 2024'!$G$4:$G$1206,'январь 2024'!$D$4:$D$1206,$B132,'январь 2024'!$J$4:$J$1206,AB$1)</f>
        <v>0</v>
      </c>
      <c r="AC132" s="86">
        <f>SUMIFS('январь 2024'!$G$4:$G$1206,'январь 2024'!$D$4:$D$1206,$B132,'январь 2024'!$J$4:$J$1206,AC$1)</f>
        <v>0</v>
      </c>
      <c r="AD132" s="86">
        <f>SUMIFS('январь 2024'!$G$4:$G$1206,'январь 2024'!$D$4:$D$1206,$B132,'январь 2024'!$J$4:$J$1206,AD$1)</f>
        <v>0</v>
      </c>
      <c r="AE132" s="86">
        <f>SUMIFS('январь 2024'!$G$4:$G$1206,'январь 2024'!$D$4:$D$1206,$B132,'январь 2024'!$J$4:$J$1206,AE$1)</f>
        <v>0</v>
      </c>
      <c r="AF132" s="86">
        <f>SUMIFS('январь 2024'!$G$4:$G$1206,'январь 2024'!$D$4:$D$1206,$B132,'январь 2024'!$J$4:$J$1206,AF$1)</f>
        <v>0</v>
      </c>
      <c r="AG132" s="86">
        <f>SUMIFS('январь 2024'!$G$4:$G$1206,'январь 2024'!$D$4:$D$1206,$B132,'январь 2024'!$J$4:$J$1206,AG$1)</f>
        <v>0</v>
      </c>
      <c r="AH132" s="86">
        <f>SUMIFS('январь 2024'!$G$4:$G$1206,'январь 2024'!$D$4:$D$1206,$B132,'январь 2024'!$J$4:$J$1206,AH$1)</f>
        <v>0</v>
      </c>
      <c r="AI132" s="21">
        <f t="shared" si="1"/>
        <v>0</v>
      </c>
    </row>
    <row r="133" spans="2:35" ht="15" customHeight="1" x14ac:dyDescent="0.25">
      <c r="B133" s="89"/>
      <c r="C133" s="88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7"/>
    </row>
    <row r="134" spans="2:35" ht="15" customHeight="1" x14ac:dyDescent="0.25">
      <c r="B134" s="89"/>
      <c r="C134" s="88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7"/>
    </row>
    <row r="135" spans="2:35" ht="15" customHeight="1" x14ac:dyDescent="0.25">
      <c r="B135" s="89"/>
      <c r="C135" s="88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7"/>
    </row>
    <row r="136" spans="2:35" ht="15" customHeight="1" x14ac:dyDescent="0.25">
      <c r="B136" s="89"/>
      <c r="C136" s="88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7"/>
    </row>
    <row r="137" spans="2:35" ht="15" hidden="1" customHeight="1" x14ac:dyDescent="0.25">
      <c r="B137" s="89"/>
      <c r="C137" s="88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7"/>
    </row>
    <row r="138" spans="2:35" ht="15" hidden="1" customHeight="1" x14ac:dyDescent="0.25">
      <c r="B138" s="89"/>
      <c r="C138" s="88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7"/>
    </row>
    <row r="139" spans="2:35" ht="15" hidden="1" customHeight="1" x14ac:dyDescent="0.25">
      <c r="B139" s="93"/>
      <c r="C139" s="88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7"/>
    </row>
    <row r="140" spans="2:35" ht="15" hidden="1" customHeight="1" x14ac:dyDescent="0.25">
      <c r="B140" s="93"/>
      <c r="C140" s="91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7"/>
    </row>
    <row r="141" spans="2:35" ht="15" hidden="1" customHeight="1" x14ac:dyDescent="0.25">
      <c r="B141" s="89"/>
      <c r="C141" s="88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7"/>
    </row>
    <row r="142" spans="2:35" ht="15" hidden="1" customHeight="1" x14ac:dyDescent="0.25">
      <c r="B142" s="92"/>
      <c r="C142" s="91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7"/>
    </row>
    <row r="143" spans="2:35" ht="15" hidden="1" customHeight="1" x14ac:dyDescent="0.25">
      <c r="B143" s="89"/>
      <c r="C143" s="91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7"/>
    </row>
    <row r="144" spans="2:35" ht="15" hidden="1" customHeight="1" x14ac:dyDescent="0.25">
      <c r="B144" s="89"/>
      <c r="C144" s="88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7"/>
    </row>
    <row r="145" spans="2:35" ht="15" hidden="1" customHeight="1" x14ac:dyDescent="0.25">
      <c r="B145" s="89"/>
      <c r="C145" s="88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7"/>
    </row>
    <row r="146" spans="2:35" ht="15" hidden="1" customHeight="1" x14ac:dyDescent="0.25">
      <c r="B146" s="89"/>
      <c r="C146" s="88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7"/>
    </row>
    <row r="147" spans="2:35" ht="15" hidden="1" customHeight="1" x14ac:dyDescent="0.25">
      <c r="B147" s="93"/>
      <c r="C147" s="91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7"/>
    </row>
    <row r="148" spans="2:35" ht="15" hidden="1" customHeight="1" x14ac:dyDescent="0.25">
      <c r="B148" s="93"/>
      <c r="C148" s="91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7"/>
    </row>
    <row r="149" spans="2:35" ht="15" hidden="1" customHeight="1" x14ac:dyDescent="0.25">
      <c r="B149" s="93"/>
      <c r="C149" s="91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7"/>
    </row>
    <row r="150" spans="2:35" ht="15" hidden="1" customHeight="1" x14ac:dyDescent="0.25">
      <c r="B150" s="89"/>
      <c r="C150" s="88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7"/>
    </row>
    <row r="151" spans="2:35" ht="15" hidden="1" customHeight="1" x14ac:dyDescent="0.25">
      <c r="B151" s="89"/>
      <c r="C151" s="88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7"/>
    </row>
    <row r="152" spans="2:35" ht="15" hidden="1" customHeight="1" x14ac:dyDescent="0.25">
      <c r="B152" s="89"/>
      <c r="C152" s="88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7"/>
    </row>
    <row r="153" spans="2:35" ht="15" hidden="1" customHeight="1" x14ac:dyDescent="0.25">
      <c r="B153" s="94"/>
      <c r="C153" s="95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7"/>
    </row>
    <row r="154" spans="2:35" ht="15" hidden="1" customHeight="1" x14ac:dyDescent="0.25">
      <c r="B154" s="89"/>
      <c r="C154" s="91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7"/>
    </row>
    <row r="155" spans="2:35" ht="15" hidden="1" customHeight="1" x14ac:dyDescent="0.25">
      <c r="B155" s="89"/>
      <c r="C155" s="88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7"/>
    </row>
    <row r="156" spans="2:35" ht="15" hidden="1" customHeight="1" x14ac:dyDescent="0.25">
      <c r="B156" s="89"/>
      <c r="C156" s="88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7"/>
    </row>
    <row r="157" spans="2:35" ht="15" hidden="1" customHeight="1" x14ac:dyDescent="0.25">
      <c r="B157" s="89"/>
      <c r="C157" s="90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7"/>
    </row>
    <row r="158" spans="2:35" ht="15" hidden="1" customHeight="1" x14ac:dyDescent="0.25">
      <c r="B158" s="89"/>
      <c r="C158" s="91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7"/>
    </row>
    <row r="159" spans="2:35" ht="15" hidden="1" customHeight="1" x14ac:dyDescent="0.25">
      <c r="B159" s="93"/>
      <c r="C159" s="91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7"/>
    </row>
    <row r="160" spans="2:35" ht="15" hidden="1" customHeight="1" x14ac:dyDescent="0.25">
      <c r="B160" s="89"/>
      <c r="C160" s="88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7"/>
    </row>
    <row r="161" spans="2:35" ht="15" hidden="1" customHeight="1" x14ac:dyDescent="0.25">
      <c r="B161" s="89"/>
      <c r="C161" s="91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7"/>
    </row>
    <row r="162" spans="2:35" ht="15" hidden="1" customHeight="1" x14ac:dyDescent="0.25">
      <c r="B162" s="89"/>
      <c r="C162" s="91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7"/>
    </row>
    <row r="163" spans="2:35" ht="15" hidden="1" customHeight="1" x14ac:dyDescent="0.25">
      <c r="B163" s="89"/>
      <c r="C163" s="91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7"/>
    </row>
    <row r="164" spans="2:35" ht="15" hidden="1" customHeight="1" x14ac:dyDescent="0.25">
      <c r="B164" s="89"/>
      <c r="C164" s="91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7"/>
    </row>
    <row r="165" spans="2:35" ht="15" hidden="1" customHeight="1" x14ac:dyDescent="0.25">
      <c r="B165" s="89"/>
      <c r="C165" s="91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7"/>
    </row>
    <row r="166" spans="2:35" ht="15" hidden="1" customHeight="1" x14ac:dyDescent="0.25">
      <c r="B166" s="89"/>
      <c r="C166" s="88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7"/>
    </row>
    <row r="167" spans="2:35" ht="15" hidden="1" customHeight="1" x14ac:dyDescent="0.25">
      <c r="B167" s="89"/>
      <c r="C167" s="88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7"/>
    </row>
    <row r="168" spans="2:35" ht="15" hidden="1" customHeight="1" x14ac:dyDescent="0.25">
      <c r="B168" s="89"/>
      <c r="C168" s="88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7"/>
    </row>
    <row r="169" spans="2:35" ht="15" hidden="1" customHeight="1" x14ac:dyDescent="0.25">
      <c r="B169" s="89"/>
      <c r="C169" s="88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7"/>
    </row>
    <row r="170" spans="2:35" ht="15" hidden="1" customHeight="1" x14ac:dyDescent="0.25">
      <c r="B170" s="89"/>
      <c r="C170" s="88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7"/>
    </row>
    <row r="171" spans="2:35" ht="15" hidden="1" customHeight="1" x14ac:dyDescent="0.25">
      <c r="B171" s="89"/>
      <c r="C171" s="88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7"/>
    </row>
    <row r="172" spans="2:35" ht="15" hidden="1" customHeight="1" x14ac:dyDescent="0.25">
      <c r="B172" s="89"/>
      <c r="C172" s="88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7"/>
    </row>
    <row r="173" spans="2:35" ht="15" hidden="1" customHeight="1" x14ac:dyDescent="0.25">
      <c r="B173" s="89"/>
      <c r="C173" s="88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7"/>
    </row>
    <row r="174" spans="2:35" ht="15" hidden="1" customHeight="1" x14ac:dyDescent="0.25">
      <c r="B174" s="89"/>
      <c r="C174" s="88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7"/>
    </row>
    <row r="175" spans="2:35" ht="15" hidden="1" customHeight="1" x14ac:dyDescent="0.25">
      <c r="B175" s="89"/>
      <c r="C175" s="88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7"/>
    </row>
    <row r="176" spans="2:35" ht="15" hidden="1" customHeight="1" x14ac:dyDescent="0.25">
      <c r="B176" s="89"/>
      <c r="C176" s="88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7"/>
    </row>
    <row r="177" spans="2:35" ht="15" hidden="1" customHeight="1" x14ac:dyDescent="0.25">
      <c r="B177" s="89"/>
      <c r="C177" s="88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7"/>
    </row>
    <row r="178" spans="2:35" ht="15" hidden="1" customHeight="1" x14ac:dyDescent="0.25">
      <c r="B178" s="89"/>
      <c r="C178" s="88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7"/>
    </row>
    <row r="179" spans="2:35" ht="15" hidden="1" customHeight="1" x14ac:dyDescent="0.25">
      <c r="B179" s="89"/>
      <c r="C179" s="88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7"/>
    </row>
    <row r="180" spans="2:35" ht="15" hidden="1" customHeight="1" x14ac:dyDescent="0.25">
      <c r="B180" s="89"/>
      <c r="C180" s="88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7"/>
    </row>
    <row r="181" spans="2:35" ht="15" hidden="1" customHeight="1" x14ac:dyDescent="0.25">
      <c r="B181" s="89"/>
      <c r="C181" s="88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7"/>
    </row>
    <row r="182" spans="2:35" ht="15" hidden="1" customHeight="1" x14ac:dyDescent="0.25">
      <c r="B182" s="89"/>
      <c r="C182" s="88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7"/>
    </row>
    <row r="183" spans="2:35" ht="15" hidden="1" customHeight="1" x14ac:dyDescent="0.25">
      <c r="B183" s="89"/>
      <c r="C183" s="88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7"/>
    </row>
    <row r="184" spans="2:35" ht="15" hidden="1" customHeight="1" x14ac:dyDescent="0.25">
      <c r="B184" s="89"/>
      <c r="C184" s="88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7"/>
    </row>
    <row r="185" spans="2:35" ht="15" hidden="1" customHeight="1" x14ac:dyDescent="0.25">
      <c r="B185" s="89"/>
      <c r="C185" s="88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7"/>
    </row>
    <row r="186" spans="2:35" ht="15" hidden="1" customHeight="1" x14ac:dyDescent="0.25">
      <c r="B186" s="89"/>
      <c r="C186" s="88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7"/>
    </row>
    <row r="187" spans="2:35" ht="15" hidden="1" customHeight="1" x14ac:dyDescent="0.25">
      <c r="B187" s="89"/>
      <c r="C187" s="88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7"/>
    </row>
    <row r="188" spans="2:35" ht="15" hidden="1" customHeight="1" x14ac:dyDescent="0.25">
      <c r="B188" s="89"/>
      <c r="C188" s="88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7"/>
    </row>
    <row r="189" spans="2:35" ht="15" hidden="1" customHeight="1" x14ac:dyDescent="0.25">
      <c r="B189" s="89"/>
      <c r="C189" s="88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7"/>
    </row>
    <row r="190" spans="2:35" ht="15" hidden="1" customHeight="1" x14ac:dyDescent="0.25">
      <c r="B190" s="89"/>
      <c r="C190" s="88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7"/>
    </row>
    <row r="191" spans="2:35" ht="15" hidden="1" customHeight="1" x14ac:dyDescent="0.25">
      <c r="B191" s="89"/>
      <c r="C191" s="88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7"/>
    </row>
    <row r="192" spans="2:35" ht="15" hidden="1" customHeight="1" x14ac:dyDescent="0.25">
      <c r="B192" s="89"/>
      <c r="C192" s="88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7"/>
    </row>
    <row r="193" spans="2:35" ht="15" hidden="1" customHeight="1" x14ac:dyDescent="0.25">
      <c r="B193" s="89"/>
      <c r="C193" s="88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7"/>
    </row>
    <row r="194" spans="2:35" ht="15" hidden="1" customHeight="1" x14ac:dyDescent="0.25">
      <c r="B194" s="89"/>
      <c r="C194" s="88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7"/>
    </row>
    <row r="195" spans="2:35" ht="15" hidden="1" customHeight="1" x14ac:dyDescent="0.25">
      <c r="B195" s="89"/>
      <c r="C195" s="88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7"/>
    </row>
    <row r="196" spans="2:35" ht="15" hidden="1" customHeight="1" x14ac:dyDescent="0.25">
      <c r="B196" s="89"/>
      <c r="C196" s="88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7"/>
    </row>
    <row r="197" spans="2:35" ht="15" hidden="1" customHeight="1" x14ac:dyDescent="0.25">
      <c r="B197" s="89"/>
      <c r="C197" s="88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7"/>
    </row>
    <row r="198" spans="2:35" ht="15" hidden="1" customHeight="1" x14ac:dyDescent="0.25">
      <c r="B198" s="89"/>
      <c r="C198" s="88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7"/>
    </row>
    <row r="199" spans="2:35" ht="15" hidden="1" customHeight="1" x14ac:dyDescent="0.25">
      <c r="B199" s="89"/>
      <c r="C199" s="88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7"/>
    </row>
    <row r="200" spans="2:35" ht="15" hidden="1" customHeight="1" thickBot="1" x14ac:dyDescent="0.3">
      <c r="B200" s="89"/>
      <c r="C200" s="9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A00-000000000000}">
          <x14:formula1>
            <xm:f>справочник!$E$1:$E$2+справочник!$E$2:$E$37</xm:f>
          </x14:formula1>
          <xm:sqref>B181:B200</xm:sqref>
        </x14:dataValidation>
        <x14:dataValidation type="list" allowBlank="1" showInputMessage="1" showErrorMessage="1" xr:uid="{00000000-0002-0000-1A00-000001000000}">
          <x14:formula1>
            <xm:f>справочник!$E$2:$E$155</xm:f>
          </x14:formula1>
          <xm:sqref>B3:B180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4" baseType="variant">
      <vt:variant>
        <vt:lpstr>Листы</vt:lpstr>
      </vt:variant>
      <vt:variant>
        <vt:i4>27</vt:i4>
      </vt:variant>
      <vt:variant>
        <vt:lpstr>Именованные диапазоны</vt:lpstr>
      </vt:variant>
      <vt:variant>
        <vt:i4>12</vt:i4>
      </vt:variant>
    </vt:vector>
  </HeadingPairs>
  <TitlesOfParts>
    <vt:vector size="39" baseType="lpstr">
      <vt:lpstr>декабрь 2024</vt:lpstr>
      <vt:lpstr>ноябрь 2024</vt:lpstr>
      <vt:lpstr>октябрь 2024</vt:lpstr>
      <vt:lpstr>сентябрь 2024</vt:lpstr>
      <vt:lpstr>август 2024</vt:lpstr>
      <vt:lpstr>июль 2024</vt:lpstr>
      <vt:lpstr>июнь 2024</vt:lpstr>
      <vt:lpstr>май 2024</vt:lpstr>
      <vt:lpstr>апрель 2024</vt:lpstr>
      <vt:lpstr>март 2024</vt:lpstr>
      <vt:lpstr>февраль 2024</vt:lpstr>
      <vt:lpstr>январь 2024</vt:lpstr>
      <vt:lpstr>справочник</vt:lpstr>
      <vt:lpstr>промеж.06</vt:lpstr>
      <vt:lpstr>промеж.</vt:lpstr>
      <vt:lpstr>промеж.12.24</vt:lpstr>
      <vt:lpstr>промеж.11.24</vt:lpstr>
      <vt:lpstr>промеж.10.24</vt:lpstr>
      <vt:lpstr>промеж.09.24</vt:lpstr>
      <vt:lpstr>промеж.08.24</vt:lpstr>
      <vt:lpstr>промеж.07.24</vt:lpstr>
      <vt:lpstr>промеж.06.24</vt:lpstr>
      <vt:lpstr>промеж.05.24</vt:lpstr>
      <vt:lpstr>промеж.04.24</vt:lpstr>
      <vt:lpstr>промеж.03.24</vt:lpstr>
      <vt:lpstr>промеж.02.24</vt:lpstr>
      <vt:lpstr>промеж.01.24</vt:lpstr>
      <vt:lpstr>'август 2024'!Область_печати</vt:lpstr>
      <vt:lpstr>'апрель 2024'!Область_печати</vt:lpstr>
      <vt:lpstr>'декабрь 2024'!Область_печати</vt:lpstr>
      <vt:lpstr>'июль 2024'!Область_печати</vt:lpstr>
      <vt:lpstr>'июнь 2024'!Область_печати</vt:lpstr>
      <vt:lpstr>'май 2024'!Область_печати</vt:lpstr>
      <vt:lpstr>'март 2024'!Область_печати</vt:lpstr>
      <vt:lpstr>'ноябрь 2024'!Область_печати</vt:lpstr>
      <vt:lpstr>'октябрь 2024'!Область_печати</vt:lpstr>
      <vt:lpstr>'сентябрь 2024'!Область_печати</vt:lpstr>
      <vt:lpstr>'февраль 2024'!Область_печати</vt:lpstr>
      <vt:lpstr>'январь 2024'!Область_печати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2025-08-27T08:45:21Z</dcterms:modified>
</cp:coreProperties>
</file>